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92" firstSheet="0" activeTab="2" autoFilterDateGrouping="1"/>
  </bookViews>
  <sheets>
    <sheet name="Consolidado Historico" sheetId="1" state="visible" r:id="rId1"/>
    <sheet name="Consolidado Semestral" sheetId="2" state="visible" r:id="rId2"/>
    <sheet name="Consolidado Cierres" sheetId="3" state="visible" r:id="rId3"/>
    <sheet name="Logica" sheetId="4" state="visible" r:id="rId4"/>
    <sheet name="Variables" sheetId="5" state="visible" r:id="rId5"/>
    <sheet name="Desglose Series" sheetId="6" state="visible" r:id="rId6"/>
    <sheet name="Catalogo Indicadores" sheetId="7" state="visible" r:id="rId7"/>
  </sheets>
  <definedNames>
    <definedName name="Auditoría_Interna">#REF!</definedName>
    <definedName name="Autoevaluación_y_Autoregulación">#REF!</definedName>
    <definedName name="Bienestar_Institucional">#REF!</definedName>
    <definedName name="Comunicación_y_Posicionamiento_Estratégico">#REF!</definedName>
    <definedName name="Datos_y_Analítica">#REF!</definedName>
    <definedName name="Desarrollo_del_Talento_Humano">#REF!</definedName>
    <definedName name="Direccionamiento_Estratégico">#REF!</definedName>
    <definedName name="Docencia">#REF!</definedName>
    <definedName name="Experiencia_Institucional">#REF!</definedName>
    <definedName name="Extensión">#REF!</definedName>
    <definedName name="Gestión_Ambiental">#REF!</definedName>
    <definedName name="Gestión_de_Abastecimiento">#REF!</definedName>
    <definedName name="Gestión_de_la_Tecnología_e_Innovación_Digital">#REF!</definedName>
    <definedName name="Gestión_de_Portafolio_Institucional">#REF!</definedName>
    <definedName name="Gestión_de_Riesgos">#REF!</definedName>
    <definedName name="Gestión_de_Seguridad_y_Salud_en_el_Trabajo">#REF!</definedName>
    <definedName name="Gestión_Financiera">#REF!</definedName>
    <definedName name="Gestión_Jurídica_y_Normativa">#REF!</definedName>
    <definedName name="Gobierno_Institucional">#REF!</definedName>
    <definedName name="Infraestructura_y_Servicios_Administrativos">#REF!</definedName>
    <definedName name="Investigación_Innovación_y_Creación">#REF!</definedName>
    <definedName name="Mercadeo_Admisiones_y_Matrícula">#REF!</definedName>
    <definedName name="Opciones">#REF!</definedName>
    <definedName name="Planificación_y_Mejora_del_Sistema_Integrado">#REF!</definedName>
    <definedName name="Recursos_Académicos_y_de_Investigación">#REF!</definedName>
    <definedName name="Servicio_y_Permanencia">#REF!</definedName>
    <definedName name="Visibilidad_Nacional_e_Internacional">#REF!</definedName>
    <definedName name="_xlnm._FilterDatabase" localSheetId="2" hidden="1">'Consolidado Cierres'!$A$1:$S$1129</definedName>
    <definedName name="_xlnm._FilterDatabase" localSheetId="4" hidden="1">'Variables'!$A$1:$H$349</definedName>
  </definedNames>
  <calcPr calcId="191029" fullCalcOnLoad="1"/>
</workbook>
</file>

<file path=xl/styles.xml><?xml version="1.0" encoding="utf-8"?>
<styleSheet xmlns="http://schemas.openxmlformats.org/spreadsheetml/2006/main">
  <numFmts count="13">
    <numFmt numFmtId="164" formatCode="0.0"/>
    <numFmt numFmtId="165" formatCode="_-* #,##0_-;\-* #,##0_-;_-* &quot;-&quot;??_-;_-@_-"/>
    <numFmt numFmtId="166" formatCode="_-* #,##0.00_-;\-* #,##0.00_-;_-* &quot;-&quot;??_-;_-@_-"/>
    <numFmt numFmtId="167" formatCode="0.0%"/>
    <numFmt numFmtId="168" formatCode="_-&quot;$&quot;\ * #,##0_-;\-&quot;$&quot;\ * #,##0_-;_-&quot;$&quot;\ * &quot;-&quot;??_-;_-@_-"/>
    <numFmt numFmtId="169" formatCode="_-* #,##0.0_-;\-* #,##0.0_-;_-* &quot;-&quot;??_-;_-@_-"/>
    <numFmt numFmtId="170" formatCode="0.0000"/>
    <numFmt numFmtId="171" formatCode="0.000"/>
    <numFmt numFmtId="172" formatCode="yyyy\-mm\-dd"/>
    <numFmt numFmtId="173" formatCode="dd/mm/yyyy"/>
    <numFmt numFmtId="174" formatCode="DD/MM/YYYY"/>
    <numFmt numFmtId="175" formatCode="yyyy-mm-dd"/>
    <numFmt numFmtId="176" formatCode="YYYY-MM-DD"/>
  </numFmts>
  <fonts count="1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indexed="8"/>
      <sz val="11"/>
    </font>
    <font>
      <name val="Calibri"/>
      <family val="2"/>
      <b val="1"/>
      <color theme="0"/>
      <sz val="11"/>
    </font>
    <font>
      <name val="Calibri"/>
      <family val="2"/>
      <color indexed="8"/>
      <sz val="11"/>
    </font>
    <font>
      <name val="Calibri"/>
      <family val="2"/>
      <b val="1"/>
      <color theme="1"/>
      <sz val="11"/>
      <scheme val="minor"/>
    </font>
    <font>
      <name val="Calibri"/>
      <family val="2"/>
      <color rgb="FF000000"/>
      <sz val="11"/>
      <scheme val="minor"/>
    </font>
    <font>
      <name val="Calibri"/>
      <family val="2"/>
      <strike val="1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theme="0"/>
      <sz val="11"/>
      <scheme val="minor"/>
    </font>
  </fonts>
  <fills count="12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6">
    <xf numFmtId="0" fontId="1" fillId="0" borderId="0"/>
    <xf numFmtId="43" fontId="1" fillId="0" borderId="0"/>
    <xf numFmtId="9" fontId="1" fillId="0" borderId="0"/>
    <xf numFmtId="44" fontId="1" fillId="0" borderId="0"/>
    <xf numFmtId="44" fontId="1" fillId="0" borderId="0"/>
    <xf numFmtId="0" fontId="4" fillId="0" borderId="0"/>
  </cellStyleXfs>
  <cellXfs count="113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5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164" fontId="0" fillId="0" borderId="1" pivotButton="0" quotePrefix="0" xfId="0"/>
    <xf numFmtId="9" fontId="0" fillId="0" borderId="1" pivotButton="0" quotePrefix="0" xfId="2"/>
    <xf numFmtId="165" fontId="0" fillId="0" borderId="1" pivotButton="0" quotePrefix="0" xfId="1"/>
    <xf numFmtId="2" fontId="0" fillId="0" borderId="1" pivotButton="0" quotePrefix="0" xfId="0"/>
    <xf numFmtId="4" fontId="0" fillId="0" borderId="1" pivotButton="0" quotePrefix="0" xfId="0"/>
    <xf numFmtId="166" fontId="0" fillId="0" borderId="1" pivotButton="0" quotePrefix="0" xfId="1"/>
    <xf numFmtId="0" fontId="0" fillId="4" borderId="1" pivotButton="0" quotePrefix="0" xfId="0"/>
    <xf numFmtId="10" fontId="0" fillId="0" borderId="1" pivotButton="0" quotePrefix="0" xfId="2"/>
    <xf numFmtId="1" fontId="0" fillId="0" borderId="1" pivotButton="0" quotePrefix="0" xfId="0"/>
    <xf numFmtId="0" fontId="0" fillId="3" borderId="1" pivotButton="0" quotePrefix="0" xfId="0"/>
    <xf numFmtId="10" fontId="0" fillId="0" borderId="1" pivotButton="0" quotePrefix="0" xfId="0"/>
    <xf numFmtId="167" fontId="0" fillId="4" borderId="1" pivotButton="0" quotePrefix="0" xfId="2"/>
    <xf numFmtId="167" fontId="0" fillId="0" borderId="1" pivotButton="0" quotePrefix="0" xfId="2"/>
    <xf numFmtId="0" fontId="4" fillId="0" borderId="1" pivotButton="0" quotePrefix="0" xfId="0"/>
    <xf numFmtId="0" fontId="0" fillId="0" borderId="1" applyAlignment="1" pivotButton="0" quotePrefix="0" xfId="0">
      <alignment horizontal="right"/>
    </xf>
    <xf numFmtId="0" fontId="0" fillId="5" borderId="0" pivotButton="0" quotePrefix="0" xfId="0"/>
    <xf numFmtId="3" fontId="0" fillId="0" borderId="1" pivotButton="0" quotePrefix="0" xfId="0"/>
    <xf numFmtId="0" fontId="0" fillId="3" borderId="1" applyAlignment="1" pivotButton="0" quotePrefix="0" xfId="0">
      <alignment horizontal="right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14" fontId="0" fillId="0" borderId="1" pivotButton="0" quotePrefix="1" xfId="0"/>
    <xf numFmtId="0" fontId="0" fillId="7" borderId="1" pivotButton="0" quotePrefix="0" xfId="0"/>
    <xf numFmtId="0" fontId="3" fillId="9" borderId="1" applyAlignment="1" pivotButton="0" quotePrefix="0" xfId="0">
      <alignment horizontal="center" vertical="center"/>
    </xf>
    <xf numFmtId="10" fontId="0" fillId="9" borderId="1" pivotButton="0" quotePrefix="0" xfId="2"/>
    <xf numFmtId="0" fontId="0" fillId="9" borderId="1" pivotButton="0" quotePrefix="0" xfId="0"/>
    <xf numFmtId="0" fontId="5" fillId="0" borderId="0" pivotButton="0" quotePrefix="0" xfId="0"/>
    <xf numFmtId="0" fontId="2" fillId="0" borderId="1" applyAlignment="1" pivotButton="0" quotePrefix="0" xfId="0">
      <alignment horizontal="center" vertical="center"/>
    </xf>
    <xf numFmtId="0" fontId="0" fillId="8" borderId="1" pivotButton="0" quotePrefix="0" xfId="0"/>
    <xf numFmtId="4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7" fillId="0" borderId="1" pivotButton="0" quotePrefix="0" xfId="0"/>
    <xf numFmtId="10" fontId="0" fillId="0" borderId="0" pivotButton="0" quotePrefix="0" xfId="0"/>
    <xf numFmtId="2" fontId="0" fillId="0" borderId="1" pivotButton="0" quotePrefix="0" xfId="1"/>
    <xf numFmtId="168" fontId="0" fillId="0" borderId="1" pivotButton="0" quotePrefix="0" xfId="4"/>
    <xf numFmtId="0" fontId="0" fillId="10" borderId="1" applyAlignment="1" pivotButton="0" quotePrefix="0" xfId="0">
      <alignment horizontal="right"/>
    </xf>
    <xf numFmtId="0" fontId="0" fillId="10" borderId="1" pivotButton="0" quotePrefix="0" xfId="0"/>
    <xf numFmtId="14" fontId="0" fillId="10" borderId="1" pivotButton="0" quotePrefix="0" xfId="0"/>
    <xf numFmtId="2" fontId="0" fillId="10" borderId="1" pivotButton="0" quotePrefix="0" xfId="0"/>
    <xf numFmtId="10" fontId="0" fillId="10" borderId="1" pivotButton="0" quotePrefix="0" xfId="2"/>
    <xf numFmtId="1" fontId="0" fillId="10" borderId="1" pivotButton="0" quotePrefix="0" xfId="0"/>
    <xf numFmtId="169" fontId="0" fillId="0" borderId="1" pivotButton="0" quotePrefix="0" xfId="1"/>
    <xf numFmtId="10" fontId="1" fillId="0" borderId="1" pivotButton="0" quotePrefix="0" xfId="2"/>
    <xf numFmtId="10" fontId="0" fillId="0" borderId="1" pivotButton="0" quotePrefix="1" xfId="2"/>
    <xf numFmtId="165" fontId="5" fillId="0" borderId="1" pivotButton="0" quotePrefix="0" xfId="1"/>
    <xf numFmtId="3" fontId="0" fillId="0" borderId="1" pivotButton="0" quotePrefix="0" xfId="1"/>
    <xf numFmtId="170" fontId="0" fillId="0" borderId="1" pivotButton="0" quotePrefix="0" xfId="1"/>
    <xf numFmtId="170" fontId="0" fillId="0" borderId="1" pivotButton="0" quotePrefix="0" xfId="0"/>
    <xf numFmtId="10" fontId="0" fillId="0" borderId="3" pivotButton="0" quotePrefix="0" xfId="2"/>
    <xf numFmtId="14" fontId="0" fillId="0" borderId="3" pivotButton="0" quotePrefix="0" xfId="0"/>
    <xf numFmtId="1" fontId="0" fillId="0" borderId="3" pivotButton="0" quotePrefix="0" xfId="0"/>
    <xf numFmtId="0" fontId="0" fillId="0" borderId="3" applyAlignment="1" pivotButton="0" quotePrefix="0" xfId="0">
      <alignment horizontal="right"/>
    </xf>
    <xf numFmtId="165" fontId="0" fillId="0" borderId="3" pivotButton="0" quotePrefix="0" xfId="1"/>
    <xf numFmtId="171" fontId="0" fillId="0" borderId="1" pivotButton="0" quotePrefix="0" xfId="0"/>
    <xf numFmtId="0" fontId="4" fillId="0" borderId="1" pivotButton="0" quotePrefix="0" xfId="5"/>
    <xf numFmtId="2" fontId="5" fillId="0" borderId="1" pivotButton="0" quotePrefix="0" xfId="0"/>
    <xf numFmtId="0" fontId="0" fillId="11" borderId="1" pivotButton="0" quotePrefix="0" xfId="0"/>
    <xf numFmtId="172" fontId="0" fillId="0" borderId="0" pivotButton="0" quotePrefix="0" xfId="0"/>
    <xf numFmtId="0" fontId="0" fillId="0" borderId="0" applyAlignment="1" pivotButton="0" quotePrefix="0" xfId="0">
      <alignment wrapText="1"/>
    </xf>
    <xf numFmtId="0" fontId="8" fillId="2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0" borderId="1" applyAlignment="1" pivotButton="0" quotePrefix="0" xfId="0">
      <alignment vertical="center" wrapText="1"/>
    </xf>
    <xf numFmtId="0" fontId="9" fillId="2" borderId="1" applyAlignment="1" pivotButton="0" quotePrefix="0" xfId="0">
      <alignment wrapText="1"/>
    </xf>
    <xf numFmtId="173" fontId="4" fillId="0" borderId="1" pivotButton="0" quotePrefix="0" xfId="0"/>
    <xf numFmtId="173" fontId="0" fillId="0" borderId="1" pivotButton="0" quotePrefix="0" xfId="0"/>
    <xf numFmtId="173" fontId="0" fillId="10" borderId="1" pivotButton="0" quotePrefix="0" xfId="0"/>
    <xf numFmtId="0" fontId="0" fillId="0" borderId="1" pivotButton="0" quotePrefix="0" xfId="1"/>
    <xf numFmtId="10" fontId="0" fillId="4" borderId="1" pivotButton="0" quotePrefix="0" xfId="2"/>
    <xf numFmtId="0" fontId="5" fillId="0" borderId="1" pivotButton="0" quotePrefix="0" xfId="1"/>
    <xf numFmtId="0" fontId="6" fillId="0" borderId="1" pivotButton="0" quotePrefix="0" xfId="0"/>
    <xf numFmtId="173" fontId="4" fillId="3" borderId="1" pivotButton="0" quotePrefix="0" xfId="0"/>
    <xf numFmtId="173" fontId="4" fillId="0" borderId="3" pivotButton="0" quotePrefix="0" xfId="0"/>
    <xf numFmtId="173" fontId="0" fillId="0" borderId="0" pivotButton="0" quotePrefix="0" xfId="0"/>
    <xf numFmtId="173" fontId="4" fillId="0" borderId="0" pivotButton="0" quotePrefix="0" xfId="0"/>
    <xf numFmtId="0" fontId="1" fillId="0" borderId="1" pivotButton="0" quotePrefix="0" xfId="1"/>
    <xf numFmtId="0" fontId="0" fillId="0" borderId="0" pivotButton="0" quotePrefix="0" xfId="1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8" fillId="2" borderId="0" applyAlignment="1" pivotButton="0" quotePrefix="0" xfId="0">
      <alignment horizontal="center" wrapText="1"/>
    </xf>
    <xf numFmtId="0" fontId="0" fillId="0" borderId="0" applyAlignment="1" pivotButton="0" quotePrefix="0" xfId="0">
      <alignment wrapText="1"/>
    </xf>
    <xf numFmtId="0" fontId="9" fillId="2" borderId="1" applyAlignment="1" pivotButton="0" quotePrefix="0" xfId="0">
      <alignment horizontal="center" wrapText="1"/>
    </xf>
    <xf numFmtId="0" fontId="0" fillId="0" borderId="4" pivotButton="0" quotePrefix="0" xfId="0"/>
    <xf numFmtId="0" fontId="0" fillId="0" borderId="5" pivotButton="0" quotePrefix="0" xfId="0"/>
    <xf numFmtId="174" fontId="4" fillId="0" borderId="1" pivotButton="0" quotePrefix="0" xfId="0"/>
    <xf numFmtId="174" fontId="0" fillId="0" borderId="1" pivotButton="0" quotePrefix="0" xfId="0"/>
    <xf numFmtId="174" fontId="0" fillId="10" borderId="1" pivotButton="0" quotePrefix="0" xfId="0"/>
    <xf numFmtId="166" fontId="0" fillId="0" borderId="1" pivotButton="0" quotePrefix="0" xfId="1"/>
    <xf numFmtId="167" fontId="0" fillId="4" borderId="1" pivotButton="0" quotePrefix="0" xfId="2"/>
    <xf numFmtId="169" fontId="0" fillId="0" borderId="1" pivotButton="0" quotePrefix="0" xfId="1"/>
    <xf numFmtId="167" fontId="0" fillId="0" borderId="1" pivotButton="0" quotePrefix="0" xfId="2"/>
    <xf numFmtId="174" fontId="4" fillId="3" borderId="1" pivotButton="0" quotePrefix="0" xfId="0"/>
    <xf numFmtId="174" fontId="4" fillId="0" borderId="3" pivotButton="0" quotePrefix="0" xfId="0"/>
    <xf numFmtId="174" fontId="0" fillId="0" borderId="0" pivotButton="0" quotePrefix="0" xfId="0"/>
    <xf numFmtId="174" fontId="4" fillId="0" borderId="0" pivotButton="0" quotePrefix="0" xfId="0"/>
    <xf numFmtId="170" fontId="0" fillId="0" borderId="1" pivotButton="0" quotePrefix="0" xfId="1"/>
    <xf numFmtId="170" fontId="0" fillId="0" borderId="1" pivotButton="0" quotePrefix="0" xfId="0"/>
    <xf numFmtId="171" fontId="0" fillId="0" borderId="1" pivotButton="0" quotePrefix="0" xfId="0"/>
    <xf numFmtId="172" fontId="0" fillId="0" borderId="0" pivotButton="0" quotePrefix="0" xfId="0"/>
    <xf numFmtId="174" fontId="4" fillId="0" borderId="1" pivotButton="0" quotePrefix="0" xfId="0"/>
    <xf numFmtId="174" fontId="0" fillId="0" borderId="1" pivotButton="0" quotePrefix="0" xfId="0"/>
    <xf numFmtId="174" fontId="0" fillId="10" borderId="1" pivotButton="0" quotePrefix="0" xfId="0"/>
    <xf numFmtId="174" fontId="4" fillId="3" borderId="1" pivotButton="0" quotePrefix="0" xfId="0"/>
    <xf numFmtId="174" fontId="4" fillId="0" borderId="3" pivotButton="0" quotePrefix="0" xfId="0"/>
    <xf numFmtId="174" fontId="0" fillId="0" borderId="0" pivotButton="0" quotePrefix="0" xfId="0"/>
    <xf numFmtId="174" fontId="4" fillId="0" borderId="0" pivotButton="0" quotePrefix="0" xfId="0"/>
  </cellXfs>
  <cellStyles count="6">
    <cellStyle name="Normal" xfId="0" builtinId="0"/>
    <cellStyle name="Millares" xfId="1" builtinId="3"/>
    <cellStyle name="Porcentaje" xfId="2" builtinId="5"/>
    <cellStyle name="Moneda 2" xfId="3"/>
    <cellStyle name="Moneda" xfId="4" builtinId="4"/>
    <cellStyle name="Normal 2" xfId="5"/>
  </cellStyles>
  <dxfs count="15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Hoja2">
    <outlinePr summaryBelow="1" summaryRight="1"/>
    <pageSetUpPr/>
  </sheetPr>
  <dimension ref="A1:S2636"/>
  <sheetViews>
    <sheetView showGridLines="0" zoomScale="75" zoomScaleNormal="75" workbookViewId="0">
      <selection activeCell="A1" sqref="A1"/>
    </sheetView>
  </sheetViews>
  <sheetFormatPr baseColWidth="10" defaultColWidth="11.44140625" defaultRowHeight="14.4"/>
  <cols>
    <col width="48.109375" customWidth="1" min="2" max="2"/>
    <col width="51.6640625" bestFit="1" customWidth="1" min="3" max="3"/>
    <col width="11.5546875" customWidth="1" min="4" max="6"/>
    <col width="20" customWidth="1" min="7" max="8"/>
    <col width="20" bestFit="1" customWidth="1" min="10" max="11"/>
    <col width="11.5546875" customWidth="1" min="12" max="12"/>
    <col width="20" customWidth="1" min="14" max="15"/>
    <col width="10.44140625" bestFit="1" customWidth="1" min="17" max="17"/>
  </cols>
  <sheetData>
    <row r="1" ht="28.8" customHeight="1">
      <c r="A1" s="29" t="inlineStr">
        <is>
          <t>Id</t>
        </is>
      </c>
      <c r="B1" s="25" t="inlineStr">
        <is>
          <t>Indicador</t>
        </is>
      </c>
      <c r="C1" s="25" t="inlineStr">
        <is>
          <t>Proceso</t>
        </is>
      </c>
      <c r="D1" s="25" t="inlineStr">
        <is>
          <t>Periodicidad</t>
        </is>
      </c>
      <c r="E1" s="25" t="inlineStr">
        <is>
          <t>Sentido</t>
        </is>
      </c>
      <c r="F1" s="25" t="inlineStr">
        <is>
          <t>Fecha</t>
        </is>
      </c>
      <c r="G1" s="1" t="inlineStr">
        <is>
          <t>Año</t>
        </is>
      </c>
      <c r="H1" s="1" t="inlineStr">
        <is>
          <t>Mes</t>
        </is>
      </c>
      <c r="I1" s="35" t="inlineStr">
        <is>
          <t>Semestre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36" t="inlineStr">
        <is>
          <t>Decimales_Meta</t>
        </is>
      </c>
      <c r="Q1" s="36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21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06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14">
        <f>IFERROR(IF(OR(J2=0,K2=""),"",IF(E2="Positivo",MIN(MAX(K2/J2,0),1.3),MIN(MAX(J2/K2,0),1.3))),"") </f>
        <v/>
      </c>
      <c r="M2" s="14">
        <f>IFERROR(IF(OR(J2=0,K2=""),"",IF(E2="Positivo",MAX(K2/J2,0),MAX(J2/K2,0))),"") </f>
        <v/>
      </c>
      <c r="N2" s="5" t="inlineStr">
        <is>
          <t>%</t>
        </is>
      </c>
      <c r="O2" s="5" t="inlineStr">
        <is>
          <t>%</t>
        </is>
      </c>
      <c r="P2" s="15" t="n">
        <v>0</v>
      </c>
      <c r="Q2" s="15" t="n">
        <v>1</v>
      </c>
      <c r="R2" s="5" t="inlineStr">
        <is>
          <t>68-2022-06-30</t>
        </is>
      </c>
    </row>
    <row r="3">
      <c r="A3" s="26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107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14">
        <f>IFERROR(IF(OR(J3=0,K3=""),"",IF(E3="Positivo",MIN(MAX(K3/J3,0),1.3),MIN(MAX(J3/K3,0),1.3))),"") </f>
        <v/>
      </c>
      <c r="M3" s="14">
        <f>IFERROR(IF(OR(J3=0,K3=""),"",IF(E3="Positivo",MAX(K3/J3,0),MAX(J3/K3,0))),"") </f>
        <v/>
      </c>
      <c r="N3" s="5" t="inlineStr">
        <is>
          <t>%</t>
        </is>
      </c>
      <c r="O3" s="5" t="inlineStr">
        <is>
          <t>%</t>
        </is>
      </c>
      <c r="P3" s="15" t="n">
        <v>0</v>
      </c>
      <c r="Q3" s="15" t="n">
        <v>1</v>
      </c>
      <c r="R3" s="5" t="inlineStr">
        <is>
          <t>68-2022-12-31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07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14">
        <f>IFERROR(IF(OR(J4=0,K4=""),"",IF(E4="Positivo",MIN(MAX(K4/J4,0),1.3),MIN(MAX(J4/K4,0),1.3))),"") </f>
        <v/>
      </c>
      <c r="M4" s="14">
        <f>IFERROR(IF(OR(J4=0,K4=""),"",IF(E4="Positivo",MAX(K4/J4,0),MAX(J4/K4,0))),"") </f>
        <v/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>
      <c r="A5" s="21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07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14">
        <f>IFERROR(IF(OR(J5=0,K5=""),"",IF(E5="Positivo",MIN(MAX(K5/J5,0),1.3),MIN(MAX(J5/K5,0),1.3))),"") </f>
        <v/>
      </c>
      <c r="M5" s="14">
        <f>IFERROR(IF(OR(J5=0,K5=""),"",IF(E5="Positivo",MAX(K5/J5,0),MAX(J5/K5,0))),"") </f>
        <v/>
      </c>
      <c r="N5" s="5" t="inlineStr">
        <is>
          <t>%</t>
        </is>
      </c>
      <c r="O5" s="5" t="inlineStr">
        <is>
          <t>%</t>
        </is>
      </c>
      <c r="P5" s="15" t="n">
        <v>0</v>
      </c>
      <c r="Q5" s="15" t="n">
        <v>0</v>
      </c>
      <c r="R5" s="5" t="inlineStr">
        <is>
          <t>68-2023-12-31</t>
        </is>
      </c>
    </row>
    <row r="6">
      <c r="A6" s="21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07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14">
        <f>IFERROR(IF(OR(J6=0,K6=""),"",IF(E6="Positivo",MIN(MAX(K6/J6,0),1.3),MIN(MAX(J6/K6,0),1.3))),"") </f>
        <v/>
      </c>
      <c r="M6" s="14">
        <f>IFERROR(IF(OR(J6=0,K6=""),"",IF(E6="Positivo",MAX(K6/J6,0),MAX(J6/K6,0))),"") </f>
        <v/>
      </c>
      <c r="N6" s="5" t="inlineStr">
        <is>
          <t>%</t>
        </is>
      </c>
      <c r="O6" s="5" t="inlineStr">
        <is>
          <t>%</t>
        </is>
      </c>
      <c r="P6" s="15" t="n">
        <v>1</v>
      </c>
      <c r="Q6" s="15" t="n">
        <v>1</v>
      </c>
      <c r="R6" s="5" t="inlineStr">
        <is>
          <t>68-2024-06-30</t>
        </is>
      </c>
    </row>
    <row r="7">
      <c r="A7" s="21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107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14">
        <f>IFERROR(IF(OR(J7=0,K7=""),"",IF(E7="Positivo",MIN(MAX(K7/J7,0),1.3),MIN(MAX(J7/K7,0),1.3))),"") </f>
        <v/>
      </c>
      <c r="M7" s="14">
        <f>IFERROR(IF(OR(J7=0,K7=""),"",IF(E7="Positivo",MAX(K7/J7,0),MAX(J7/K7,0))),"") </f>
        <v/>
      </c>
      <c r="N7" s="5" t="inlineStr">
        <is>
          <t>%</t>
        </is>
      </c>
      <c r="O7" s="5" t="inlineStr">
        <is>
          <t>%</t>
        </is>
      </c>
      <c r="P7" s="15" t="n">
        <v>1</v>
      </c>
      <c r="Q7" s="15" t="n">
        <v>1</v>
      </c>
      <c r="R7" s="5" t="inlineStr">
        <is>
          <t>68-2024-12-31</t>
        </is>
      </c>
    </row>
    <row r="8">
      <c r="A8" s="28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07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14">
        <f>IFERROR(IF(OR(J8=0,K8=""),"",IF(E8="Positivo",MIN(MAX(K8/J8,0),1.3),MIN(MAX(J8/K8,0),1.3))),"") </f>
        <v/>
      </c>
      <c r="M8" s="14">
        <f>IFERROR(IF(OR(J8=0,K8=""),"",IF(E8="Positivo",MAX(K8/J8,0),MAX(J8/K8,0))),"") </f>
        <v/>
      </c>
      <c r="N8" s="5" t="inlineStr">
        <is>
          <t>%</t>
        </is>
      </c>
      <c r="O8" s="5" t="inlineStr">
        <is>
          <t>%</t>
        </is>
      </c>
      <c r="P8" s="15" t="n">
        <v>0</v>
      </c>
      <c r="Q8" s="15" t="n">
        <v>1</v>
      </c>
      <c r="R8" s="5" t="inlineStr">
        <is>
          <t>68-2025-06-30</t>
        </is>
      </c>
    </row>
    <row r="9">
      <c r="A9" s="26" t="n">
        <v>69</v>
      </c>
      <c r="B9" s="5" t="inlineStr">
        <is>
          <t>Oportunidad de Respuesta Solicitudes de Compra No Licitadas</t>
        </is>
      </c>
      <c r="C9" s="5" t="inlineStr">
        <is>
          <t>GESTIÓN DE ABASTECIMIENTO</t>
        </is>
      </c>
      <c r="D9" s="5" t="inlineStr">
        <is>
          <t>Semestral</t>
        </is>
      </c>
      <c r="E9" s="5" t="inlineStr">
        <is>
          <t>Positivo</t>
        </is>
      </c>
      <c r="F9" s="107" t="n">
        <v>44651</v>
      </c>
      <c r="G9" s="5" t="n">
        <v>2022</v>
      </c>
      <c r="H9" s="5" t="inlineStr">
        <is>
          <t>Marzo</t>
        </is>
      </c>
      <c r="I9" s="6" t="inlineStr">
        <is>
          <t>2022-1</t>
        </is>
      </c>
      <c r="J9" s="5" t="n">
        <v>80</v>
      </c>
      <c r="K9" s="5" t="n">
        <v>80.080321285141</v>
      </c>
      <c r="L9" s="14">
        <f>IFERROR(IF(OR(J9=0,K9=""),"",IF(E9="Positivo",MIN(MAX(K9/J9,0),1.3),MIN(MAX(J9/K9,0),1.3))),"") </f>
        <v/>
      </c>
      <c r="M9" s="14">
        <f>IFERROR(IF(OR(J9=0,K9=""),"",IF(E9="Positivo",MAX(K9/J9,0),MAX(J9/K9,0))),"") </f>
        <v/>
      </c>
      <c r="N9" s="5" t="inlineStr">
        <is>
          <t>%</t>
        </is>
      </c>
      <c r="O9" s="5" t="inlineStr">
        <is>
          <t>%</t>
        </is>
      </c>
      <c r="P9" s="15" t="n">
        <v>0</v>
      </c>
      <c r="Q9" s="15" t="n">
        <v>1</v>
      </c>
      <c r="R9" s="5" t="inlineStr">
        <is>
          <t>69-2022-03-31</t>
        </is>
      </c>
    </row>
    <row r="10">
      <c r="A10" s="21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107" t="n">
        <v>44742</v>
      </c>
      <c r="G10" s="5" t="n">
        <v>2022</v>
      </c>
      <c r="H10" s="5" t="inlineStr">
        <is>
          <t>Junio</t>
        </is>
      </c>
      <c r="I10" s="6" t="inlineStr">
        <is>
          <t>2022-1</t>
        </is>
      </c>
      <c r="J10" s="5" t="n">
        <v>80</v>
      </c>
      <c r="K10" s="10" t="n">
        <v>86.824324324324</v>
      </c>
      <c r="L10" s="14">
        <f>IFERROR(IF(OR(J10=0,K10=""),"",IF(E10="Positivo",MIN(MAX(K10/J10,0),1.3),MIN(MAX(J10/K10,0),1.3))),"") </f>
        <v/>
      </c>
      <c r="M10" s="14">
        <f>IFERROR(IF(OR(J10=0,K10=""),"",IF(E10="Positivo",MAX(K10/J10,0),MAX(J10/K10,0))),"") </f>
        <v/>
      </c>
      <c r="N10" s="5" t="inlineStr">
        <is>
          <t>%</t>
        </is>
      </c>
      <c r="O10" s="5" t="inlineStr">
        <is>
          <t>%</t>
        </is>
      </c>
      <c r="P10" s="15" t="n">
        <v>0</v>
      </c>
      <c r="Q10" s="15" t="n">
        <v>1</v>
      </c>
      <c r="R10" s="5" t="inlineStr">
        <is>
          <t>69-2022-06-30</t>
        </is>
      </c>
    </row>
    <row r="11">
      <c r="A11" s="5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Semestral</t>
        </is>
      </c>
      <c r="E11" s="5" t="inlineStr">
        <is>
          <t>Positivo</t>
        </is>
      </c>
      <c r="F11" s="107" t="n">
        <v>44834</v>
      </c>
      <c r="G11" s="5" t="n">
        <v>2022</v>
      </c>
      <c r="H11" s="5" t="inlineStr">
        <is>
          <t>Septiembre</t>
        </is>
      </c>
      <c r="I11" s="6" t="inlineStr">
        <is>
          <t>2022-2</t>
        </is>
      </c>
      <c r="J11" s="5" t="n">
        <v>80</v>
      </c>
      <c r="K11" s="5" t="n">
        <v>85.129118432769</v>
      </c>
      <c r="L11" s="14">
        <f>IFERROR(IF(OR(J11=0,K11=""),"",IF(E11="Positivo",MIN(MAX(K11/J11,0),1.3),MIN(MAX(J11/K11,0),1.3))),"") </f>
        <v/>
      </c>
      <c r="M11" s="14">
        <f>IFERROR(IF(OR(J11=0,K11=""),"",IF(E11="Positivo",MAX(K11/J11,0),MAX(J11/K11,0))),"") </f>
        <v/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1</v>
      </c>
      <c r="R11" s="5" t="inlineStr">
        <is>
          <t>69-2022-09-30</t>
        </is>
      </c>
    </row>
    <row r="12">
      <c r="A12" s="21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Semestral</t>
        </is>
      </c>
      <c r="E12" s="5" t="inlineStr">
        <is>
          <t>Positivo</t>
        </is>
      </c>
      <c r="F12" s="107" t="n">
        <v>44926</v>
      </c>
      <c r="G12" s="5" t="n">
        <v>2022</v>
      </c>
      <c r="H12" s="5" t="inlineStr">
        <is>
          <t>Diciembre</t>
        </is>
      </c>
      <c r="I12" s="6" t="inlineStr">
        <is>
          <t>2022-2</t>
        </is>
      </c>
      <c r="J12" s="5" t="n">
        <v>80</v>
      </c>
      <c r="K12" s="10" t="n">
        <v>83.754512635379</v>
      </c>
      <c r="L12" s="14">
        <f>IFERROR(IF(OR(J12=0,K12=""),"",IF(E12="Positivo",MIN(MAX(K12/J12,0),1.3),MIN(MAX(J12/K12,0),1.3))),"") </f>
        <v/>
      </c>
      <c r="M12" s="14">
        <f>IFERROR(IF(OR(J12=0,K12=""),"",IF(E12="Positivo",MAX(K12/J12,0),MAX(J12/K12,0))),"") </f>
        <v/>
      </c>
      <c r="N12" s="5" t="inlineStr">
        <is>
          <t>%</t>
        </is>
      </c>
      <c r="O12" s="5" t="inlineStr">
        <is>
          <t>%</t>
        </is>
      </c>
      <c r="P12" s="15" t="n">
        <v>0</v>
      </c>
      <c r="Q12" s="15" t="n">
        <v>1</v>
      </c>
      <c r="R12" s="5" t="inlineStr">
        <is>
          <t>69-2022-12-31</t>
        </is>
      </c>
    </row>
    <row r="13">
      <c r="A13" s="21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Trimestral</t>
        </is>
      </c>
      <c r="E13" s="5" t="inlineStr">
        <is>
          <t>Positivo</t>
        </is>
      </c>
      <c r="F13" s="107" t="n">
        <v>45016</v>
      </c>
      <c r="G13" s="5" t="n">
        <v>2023</v>
      </c>
      <c r="H13" s="5" t="inlineStr">
        <is>
          <t>Marzo</t>
        </is>
      </c>
      <c r="I13" s="6" t="inlineStr">
        <is>
          <t>2023-1</t>
        </is>
      </c>
      <c r="J13" s="5" t="n">
        <v>90</v>
      </c>
      <c r="K13" s="10" t="n">
        <v>90.54178145087199</v>
      </c>
      <c r="L13" s="14">
        <f>IFERROR(IF(OR(J13=0,K13=""),"",IF(E13="Positivo",MIN(MAX(K13/J13,0),1.3),MIN(MAX(J13/K13,0),1.3))),"") </f>
        <v/>
      </c>
      <c r="M13" s="14">
        <f>IFERROR(IF(OR(J13=0,K13=""),"",IF(E13="Positivo",MAX(K13/J13,0),MAX(J13/K13,0))),"") </f>
        <v/>
      </c>
      <c r="N13" s="5" t="inlineStr">
        <is>
          <t>%</t>
        </is>
      </c>
      <c r="O13" s="5" t="inlineStr">
        <is>
          <t>%</t>
        </is>
      </c>
      <c r="P13" s="15" t="n">
        <v>0</v>
      </c>
      <c r="Q13" s="15" t="n">
        <v>0</v>
      </c>
      <c r="R13" s="5" t="inlineStr">
        <is>
          <t>69-2023-03-31</t>
        </is>
      </c>
    </row>
    <row r="14">
      <c r="A14" s="21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106" t="n">
        <v>45107</v>
      </c>
      <c r="G14" s="5" t="n">
        <v>2023</v>
      </c>
      <c r="H14" s="5" t="inlineStr">
        <is>
          <t>Junio</t>
        </is>
      </c>
      <c r="I14" s="6" t="inlineStr">
        <is>
          <t>2023-1</t>
        </is>
      </c>
      <c r="J14" s="5" t="n">
        <v>90</v>
      </c>
      <c r="K14" s="5" t="n">
        <v>90.39767216294899</v>
      </c>
      <c r="L14" s="14">
        <f>IFERROR(IF(OR(J14=0,K14=""),"",IF(E14="Positivo",MIN(MAX(K14/J14,0),1.3),MIN(MAX(J14/K14,0),1.3))),"") </f>
        <v/>
      </c>
      <c r="M14" s="14">
        <f>IFERROR(IF(OR(J14=0,K14=""),"",IF(E14="Positivo",MAX(K14/J14,0),MAX(J14/K14,0))),"") </f>
        <v/>
      </c>
      <c r="N14" s="8" t="inlineStr">
        <is>
          <t>%</t>
        </is>
      </c>
      <c r="O14" s="8" t="inlineStr">
        <is>
          <t>%</t>
        </is>
      </c>
      <c r="P14" s="15" t="n">
        <v>0</v>
      </c>
      <c r="Q14" s="15" t="n">
        <v>0</v>
      </c>
      <c r="R14" s="5" t="inlineStr">
        <is>
          <t>69-2023-06-30</t>
        </is>
      </c>
    </row>
    <row r="15">
      <c r="A15" s="26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Trimestral</t>
        </is>
      </c>
      <c r="E15" s="5" t="inlineStr">
        <is>
          <t>Positivo</t>
        </is>
      </c>
      <c r="F15" s="107" t="n">
        <v>45199</v>
      </c>
      <c r="G15" s="5" t="n">
        <v>2023</v>
      </c>
      <c r="H15" s="5" t="inlineStr">
        <is>
          <t>Septiembre</t>
        </is>
      </c>
      <c r="I15" s="6" t="inlineStr">
        <is>
          <t>2023-2</t>
        </is>
      </c>
      <c r="J15" s="5" t="n">
        <v>90</v>
      </c>
      <c r="K15" s="5" t="n">
        <v>92.89</v>
      </c>
      <c r="L15" s="14">
        <f>IFERROR(IF(OR(J15=0,K15=""),"",IF(E15="Positivo",MIN(MAX(K15/J15,0),1.3),MIN(MAX(J15/K15,0),1.3))),"") </f>
        <v/>
      </c>
      <c r="M15" s="14">
        <f>IFERROR(IF(OR(J15=0,K15=""),"",IF(E15="Positivo",MAX(K15/J15,0),MAX(J15/K15,0))),"") </f>
        <v/>
      </c>
      <c r="N15" s="8" t="inlineStr">
        <is>
          <t>%</t>
        </is>
      </c>
      <c r="O15" s="8" t="inlineStr">
        <is>
          <t>%</t>
        </is>
      </c>
      <c r="P15" s="15" t="n">
        <v>0</v>
      </c>
      <c r="Q15" s="15" t="n">
        <v>0</v>
      </c>
      <c r="R15" s="5" t="inlineStr">
        <is>
          <t>69-2023-09-30</t>
        </is>
      </c>
    </row>
    <row r="16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Trimestral</t>
        </is>
      </c>
      <c r="E16" s="5" t="inlineStr">
        <is>
          <t>Positivo</t>
        </is>
      </c>
      <c r="F16" s="107" t="n">
        <v>45291</v>
      </c>
      <c r="G16" s="5" t="n">
        <v>2023</v>
      </c>
      <c r="H16" s="5" t="inlineStr">
        <is>
          <t>Diciembre</t>
        </is>
      </c>
      <c r="I16" s="6" t="inlineStr">
        <is>
          <t>2023-2</t>
        </is>
      </c>
      <c r="J16" s="5" t="n">
        <v>90</v>
      </c>
      <c r="K16" s="5" t="n">
        <v>92.79000000000001</v>
      </c>
      <c r="L16" s="14">
        <f>IFERROR(IF(OR(J16=0,K16=""),"",IF(E16="Positivo",MIN(MAX(K16/J16,0),1.3),MIN(MAX(J16/K16,0),1.3))),"") </f>
        <v/>
      </c>
      <c r="M16" s="14">
        <f>IFERROR(IF(OR(J16=0,K16=""),"",IF(E16="Positivo",MAX(K16/J16,0),MAX(J16/K16,0))),"") </f>
        <v/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 t="inlineStr">
        <is>
          <t>69-2023-12-31</t>
        </is>
      </c>
    </row>
    <row r="17">
      <c r="A17" s="21" t="n">
        <v>69</v>
      </c>
      <c r="B17" s="5" t="inlineStr">
        <is>
          <t>Oportunidad de Respuesta Solicitudes de Compra No Licitadas</t>
        </is>
      </c>
      <c r="C17" s="5" t="inlineStr">
        <is>
          <t>GESTIÓN DE ABASTECIMIENTO</t>
        </is>
      </c>
      <c r="D17" s="5" t="inlineStr">
        <is>
          <t>Trimestral</t>
        </is>
      </c>
      <c r="E17" s="5" t="inlineStr">
        <is>
          <t>Positivo</t>
        </is>
      </c>
      <c r="F17" s="107" t="n">
        <v>45382</v>
      </c>
      <c r="G17" s="5" t="n">
        <v>2024</v>
      </c>
      <c r="H17" s="5" t="inlineStr">
        <is>
          <t>Marzo</t>
        </is>
      </c>
      <c r="I17" s="6" t="inlineStr">
        <is>
          <t>2024-1</t>
        </is>
      </c>
      <c r="J17" s="5" t="n">
        <v>90</v>
      </c>
      <c r="K17" s="10" t="n">
        <v>91.31999999999999</v>
      </c>
      <c r="L17" s="14">
        <f>IFERROR(IF(OR(J17=0,K17=""),"",IF(E17="Positivo",MIN(MAX(K17/J17,0),1.3),MIN(MAX(J17/K17,0),1.3))),"") </f>
        <v/>
      </c>
      <c r="M17" s="14">
        <f>IFERROR(IF(OR(J17=0,K17=""),"",IF(E17="Positivo",MAX(K17/J17,0),MAX(J17/K17,0))),"") </f>
        <v/>
      </c>
      <c r="N17" s="5" t="inlineStr">
        <is>
          <t>%</t>
        </is>
      </c>
      <c r="O17" s="5" t="inlineStr">
        <is>
          <t>%</t>
        </is>
      </c>
      <c r="P17" s="15" t="n">
        <v>0</v>
      </c>
      <c r="Q17" s="15" t="n">
        <v>0</v>
      </c>
      <c r="R17" s="5" t="inlineStr">
        <is>
          <t>69-2024-03-31</t>
        </is>
      </c>
    </row>
    <row r="18">
      <c r="A18" s="21" t="n">
        <v>69</v>
      </c>
      <c r="B18" s="5" t="inlineStr">
        <is>
          <t>Oportunidad de Respuesta Solicitudes de Compra No Licitadas</t>
        </is>
      </c>
      <c r="C18" s="5" t="inlineStr">
        <is>
          <t>GESTIÓN DE ABASTECIMIENTO</t>
        </is>
      </c>
      <c r="D18" s="5" t="inlineStr">
        <is>
          <t>Trimestral</t>
        </is>
      </c>
      <c r="E18" s="5" t="inlineStr">
        <is>
          <t>Positivo</t>
        </is>
      </c>
      <c r="F18" s="106" t="n">
        <v>45473</v>
      </c>
      <c r="G18" s="5" t="n">
        <v>2024</v>
      </c>
      <c r="H18" s="5" t="inlineStr">
        <is>
          <t>Junio</t>
        </is>
      </c>
      <c r="I18" s="6" t="inlineStr">
        <is>
          <t>2024-1</t>
        </is>
      </c>
      <c r="J18" s="5" t="n">
        <v>90</v>
      </c>
      <c r="K18" s="5" t="n">
        <v>91.33</v>
      </c>
      <c r="L18" s="14">
        <f>IFERROR(IF(OR(J18=0,K18=""),"",IF(E18="Positivo",MIN(MAX(K18/J18,0),1.3),MIN(MAX(J18/K18,0),1.3))),"") </f>
        <v/>
      </c>
      <c r="M18" s="14">
        <f>IFERROR(IF(OR(J18=0,K18=""),"",IF(E18="Positivo",MAX(K18/J18,0),MAX(J18/K18,0))),"") </f>
        <v/>
      </c>
      <c r="N18" s="5" t="inlineStr">
        <is>
          <t>%</t>
        </is>
      </c>
      <c r="O18" s="5" t="inlineStr">
        <is>
          <t>%</t>
        </is>
      </c>
      <c r="P18" s="15" t="n">
        <v>0</v>
      </c>
      <c r="Q18" s="15" t="n">
        <v>0</v>
      </c>
      <c r="R18" s="5" t="inlineStr">
        <is>
          <t>69-2024-06-30</t>
        </is>
      </c>
    </row>
    <row r="19">
      <c r="A19" s="26" t="n">
        <v>69</v>
      </c>
      <c r="B19" s="5" t="inlineStr">
        <is>
          <t>Oportunidad de Respuesta Solicitudes de Compra No Licitadas</t>
        </is>
      </c>
      <c r="C19" s="5" t="inlineStr">
        <is>
          <t>GESTIÓN DE ABASTECIMIENTO</t>
        </is>
      </c>
      <c r="D19" s="5" t="inlineStr">
        <is>
          <t>Trimestral</t>
        </is>
      </c>
      <c r="E19" s="5" t="inlineStr">
        <is>
          <t>Positivo</t>
        </is>
      </c>
      <c r="F19" s="107" t="n">
        <v>45565</v>
      </c>
      <c r="G19" s="5" t="n">
        <v>2024</v>
      </c>
      <c r="H19" s="5" t="inlineStr">
        <is>
          <t>Septiembre</t>
        </is>
      </c>
      <c r="I19" s="6" t="inlineStr">
        <is>
          <t>2024-2</t>
        </is>
      </c>
      <c r="J19" s="5" t="n">
        <v>90</v>
      </c>
      <c r="K19" s="5" t="n">
        <v>91.67</v>
      </c>
      <c r="L19" s="14">
        <f>IFERROR(IF(OR(J19=0,K19=""),"",IF(E19="Positivo",MIN(MAX(K19/J19,0),1.3),MIN(MAX(J19/K19,0),1.3))),"") </f>
        <v/>
      </c>
      <c r="M19" s="14">
        <f>IFERROR(IF(OR(J19=0,K19=""),"",IF(E19="Positivo",MAX(K19/J19,0),MAX(J19/K19,0))),"") </f>
        <v/>
      </c>
      <c r="N19" s="5" t="inlineStr">
        <is>
          <t>%</t>
        </is>
      </c>
      <c r="O19" s="5" t="inlineStr">
        <is>
          <t>%</t>
        </is>
      </c>
      <c r="P19" s="15" t="n">
        <v>0</v>
      </c>
      <c r="Q19" s="15" t="n">
        <v>0</v>
      </c>
      <c r="R19" s="5" t="inlineStr">
        <is>
          <t>69-2024-09-30</t>
        </is>
      </c>
    </row>
    <row r="20">
      <c r="A20" s="5" t="n">
        <v>69</v>
      </c>
      <c r="B20" s="5" t="inlineStr">
        <is>
          <t>Oportunidad de Respuesta Solicitudes de Compra No Licitadas</t>
        </is>
      </c>
      <c r="C20" s="5" t="inlineStr">
        <is>
          <t>GESTIÓN DE ABASTECIMIENTO</t>
        </is>
      </c>
      <c r="D20" s="5" t="inlineStr">
        <is>
          <t>Trimestral</t>
        </is>
      </c>
      <c r="E20" s="5" t="inlineStr">
        <is>
          <t>Positivo</t>
        </is>
      </c>
      <c r="F20" s="107" t="n">
        <v>45657</v>
      </c>
      <c r="G20" s="5" t="n">
        <v>2024</v>
      </c>
      <c r="H20" s="5" t="inlineStr">
        <is>
          <t>Diciembre</t>
        </is>
      </c>
      <c r="I20" s="6" t="inlineStr">
        <is>
          <t>2024-2</t>
        </is>
      </c>
      <c r="J20" s="5" t="n">
        <v>90</v>
      </c>
      <c r="K20" s="5" t="n">
        <v>90.5</v>
      </c>
      <c r="L20" s="14">
        <f>IFERROR(IF(OR(J20=0,K20=""),"",IF(E20="Positivo",MIN(MAX(K20/J20,0),1.3),MIN(MAX(J20/K20,0),1.3))),"") </f>
        <v/>
      </c>
      <c r="M20" s="14">
        <f>IFERROR(IF(OR(J20=0,K20=""),"",IF(E20="Positivo",MAX(K20/J20,0),MAX(J20/K20,0))),"") </f>
        <v/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0</v>
      </c>
      <c r="R20" s="5" t="inlineStr">
        <is>
          <t>69-2024-12-31</t>
        </is>
      </c>
    </row>
    <row r="21">
      <c r="A21" s="21" t="n">
        <v>69</v>
      </c>
      <c r="B21" s="5" t="inlineStr">
        <is>
          <t>Oportunidad de Respuesta Solicitudes de Compra No Licitadas</t>
        </is>
      </c>
      <c r="C21" s="5" t="inlineStr">
        <is>
          <t>GESTIÓN DE ABASTECIMIENTO</t>
        </is>
      </c>
      <c r="D21" s="5" t="inlineStr">
        <is>
          <t>Semestral</t>
        </is>
      </c>
      <c r="E21" s="5" t="inlineStr">
        <is>
          <t>Positivo</t>
        </is>
      </c>
      <c r="F21" s="107" t="n">
        <v>45747</v>
      </c>
      <c r="G21" s="5" t="n">
        <v>2025</v>
      </c>
      <c r="H21" s="5" t="inlineStr">
        <is>
          <t>Marzo</t>
        </is>
      </c>
      <c r="I21" s="6" t="inlineStr">
        <is>
          <t>2025-1</t>
        </is>
      </c>
      <c r="J21" s="5" t="n">
        <v>90</v>
      </c>
      <c r="K21" s="10" t="n">
        <v>90.75</v>
      </c>
      <c r="L21" s="14">
        <f>IFERROR(IF(OR(J21=0,K21=""),"",IF(E21="Positivo",MIN(MAX(K21/J21,0),1.3),MIN(MAX(J21/K21,0),1.3))),"") </f>
        <v/>
      </c>
      <c r="M21" s="14">
        <f>IFERROR(IF(OR(J21=0,K21=""),"",IF(E21="Positivo",MAX(K21/J21,0),MAX(J21/K21,0))),"") </f>
        <v/>
      </c>
      <c r="N21" s="5" t="inlineStr">
        <is>
          <t>%</t>
        </is>
      </c>
      <c r="O21" s="5" t="inlineStr">
        <is>
          <t>%</t>
        </is>
      </c>
      <c r="P21" s="15" t="n">
        <v>0</v>
      </c>
      <c r="Q21" s="15" t="n">
        <v>1</v>
      </c>
      <c r="R21" s="5" t="inlineStr">
        <is>
          <t>69-2025-03-31</t>
        </is>
      </c>
    </row>
    <row r="22">
      <c r="A22" s="5" t="n">
        <v>69</v>
      </c>
      <c r="B22" s="5" t="inlineStr">
        <is>
          <t>Oportunidad de Respuesta Solicitudes de Compra No Licitadas</t>
        </is>
      </c>
      <c r="C22" s="5" t="inlineStr">
        <is>
          <t>GESTIÓN DE ABASTECIMIENTO</t>
        </is>
      </c>
      <c r="D22" s="5" t="inlineStr">
        <is>
          <t>Semestral</t>
        </is>
      </c>
      <c r="E22" s="5" t="inlineStr">
        <is>
          <t>Positivo</t>
        </is>
      </c>
      <c r="F22" s="107" t="n">
        <v>45838</v>
      </c>
      <c r="G22" s="5" t="n">
        <v>2025</v>
      </c>
      <c r="H22" s="5" t="inlineStr">
        <is>
          <t>Junio</t>
        </is>
      </c>
      <c r="I22" s="6" t="inlineStr">
        <is>
          <t>2025-1</t>
        </is>
      </c>
      <c r="J22" s="5" t="n">
        <v>90</v>
      </c>
      <c r="K22" s="5" t="n">
        <v>90.78</v>
      </c>
      <c r="L22" s="14">
        <f>IFERROR(IF(OR(J22=0,K22=""),"",IF(E22="Positivo",MIN(MAX(K22/J22,0),1.3),MIN(MAX(J22/K22,0),1.3))),"") </f>
        <v/>
      </c>
      <c r="M22" s="14">
        <f>IFERROR(IF(OR(J22=0,K22=""),"",IF(E22="Positivo",MAX(K22/J22,0),MAX(J22/K22,0))),"") </f>
        <v/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69-2025-06-30</t>
        </is>
      </c>
    </row>
    <row r="23">
      <c r="A23" s="5" t="n">
        <v>69</v>
      </c>
      <c r="B23" s="5" t="inlineStr">
        <is>
          <t>Oportunidad de Respuesta Solicitudes de Compra No Licitadas</t>
        </is>
      </c>
      <c r="C23" s="5" t="inlineStr">
        <is>
          <t>GESTIÓN DE ABASTECIMIENTO</t>
        </is>
      </c>
      <c r="D23" s="5" t="inlineStr">
        <is>
          <t>Semestral</t>
        </is>
      </c>
      <c r="E23" s="5" t="inlineStr">
        <is>
          <t>Positivo</t>
        </is>
      </c>
      <c r="F23" s="107" t="n">
        <v>45930</v>
      </c>
      <c r="G23" s="5" t="n">
        <v>2025</v>
      </c>
      <c r="H23" s="5" t="inlineStr">
        <is>
          <t>Septiembre</t>
        </is>
      </c>
      <c r="I23" s="6" t="inlineStr">
        <is>
          <t>2025-2</t>
        </is>
      </c>
      <c r="J23" s="5" t="n">
        <v>90</v>
      </c>
      <c r="K23" s="5" t="n">
        <v>90.14</v>
      </c>
      <c r="L23" s="14">
        <f>IFERROR(IF(OR(J23=0,K23=""),"",IF(E23="Positivo",MIN(MAX(K23/J23,0),1.3),MIN(MAX(J23/K23,0),1.3))),"") </f>
        <v/>
      </c>
      <c r="M23" s="14">
        <f>IFERROR(IF(OR(J23=0,K23=""),"",IF(E23="Positivo",MAX(K23/J23,0),MAX(J23/K23,0))),"") </f>
        <v/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1</v>
      </c>
      <c r="R23" s="5" t="inlineStr">
        <is>
          <t>69-2025-09-30</t>
        </is>
      </c>
    </row>
    <row r="24">
      <c r="A24" s="5" t="n">
        <v>69</v>
      </c>
      <c r="B24" s="5" t="inlineStr">
        <is>
          <t>Oportunidad de Respuesta Solicitudes de Compra No Licitadas</t>
        </is>
      </c>
      <c r="C24" s="5" t="inlineStr">
        <is>
          <t>GESTIÓN DE ABASTECIMIENTO</t>
        </is>
      </c>
      <c r="D24" s="5" t="inlineStr">
        <is>
          <t>Semestral</t>
        </is>
      </c>
      <c r="E24" s="5" t="inlineStr">
        <is>
          <t>Positivo</t>
        </is>
      </c>
      <c r="F24" s="107" t="n">
        <v>46022</v>
      </c>
      <c r="G24" s="5" t="n">
        <v>2025</v>
      </c>
      <c r="H24" s="5" t="inlineStr">
        <is>
          <t>Diciembre</t>
        </is>
      </c>
      <c r="I24" s="6" t="inlineStr">
        <is>
          <t>2025-2</t>
        </is>
      </c>
      <c r="J24" s="5" t="n">
        <v>90</v>
      </c>
      <c r="K24" s="5" t="n">
        <v>91.52</v>
      </c>
      <c r="L24" s="14">
        <f>IFERROR(IF(OR(J24=0,K24=""),"",IF(E24="Positivo",MIN(MAX(K24/J24,0),1.3),MIN(MAX(J24/K24,0),1.3))),"") </f>
        <v/>
      </c>
      <c r="M24" s="14">
        <f>IFERROR(IF(OR(J24=0,K24=""),"",IF(E24="Positivo",MAX(K24/J24,0),MAX(J24/K24,0))),"") </f>
        <v/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1</v>
      </c>
      <c r="R24" s="5" t="inlineStr">
        <is>
          <t>69-2025-12-31</t>
        </is>
      </c>
    </row>
    <row r="25">
      <c r="A25" s="5" t="n">
        <v>73</v>
      </c>
      <c r="B25" s="5" t="inlineStr">
        <is>
          <t>Tiempo respuesta selección y contratación de colaboradores de planta</t>
        </is>
      </c>
      <c r="C25" s="5" t="inlineStr">
        <is>
          <t>GESTIÓN Y DESARROLLO DEL TALENTO HUMANO</t>
        </is>
      </c>
      <c r="D25" s="5" t="inlineStr">
        <is>
          <t>Trimestral</t>
        </is>
      </c>
      <c r="E25" s="5" t="inlineStr">
        <is>
          <t>Negativo</t>
        </is>
      </c>
      <c r="F25" s="107" t="n">
        <v>44742</v>
      </c>
      <c r="G25" s="5" t="n">
        <v>2022</v>
      </c>
      <c r="H25" s="5" t="inlineStr">
        <is>
          <t>Junio</t>
        </is>
      </c>
      <c r="I25" s="6" t="inlineStr">
        <is>
          <t>2022-1</t>
        </is>
      </c>
      <c r="J25" s="5" t="n">
        <v>20</v>
      </c>
      <c r="K25" s="5" t="n">
        <v>17.67</v>
      </c>
      <c r="L25" s="14">
        <f>IFERROR(IF(OR(J25=0,K25=""),"",IF(E25="Positivo",MIN(MAX(K25/J25,0),1.3),MIN(MAX(J25/K25,0),1.3))),"") </f>
        <v/>
      </c>
      <c r="M25" s="14">
        <f>IFERROR(IF(OR(J25=0,K25=""),"",IF(E25="Positivo",MAX(K25/J25,0),MAX(J25/K25,0))),"") </f>
        <v/>
      </c>
      <c r="N25" s="5" t="inlineStr">
        <is>
          <t>Días</t>
        </is>
      </c>
      <c r="O25" s="5" t="inlineStr">
        <is>
          <t>Días</t>
        </is>
      </c>
      <c r="P25" s="5" t="n">
        <v>0</v>
      </c>
      <c r="Q25" s="5" t="n">
        <v>0</v>
      </c>
      <c r="R25" s="5" t="inlineStr">
        <is>
          <t>73-2022-06-30</t>
        </is>
      </c>
    </row>
    <row r="26">
      <c r="A26" s="5" t="n">
        <v>73</v>
      </c>
      <c r="B26" s="5" t="inlineStr">
        <is>
          <t>Tiempo respuesta selección y contratación de colaboradores de planta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Negativo</t>
        </is>
      </c>
      <c r="F26" s="107" t="n">
        <v>44926</v>
      </c>
      <c r="G26" s="5" t="n">
        <v>2022</v>
      </c>
      <c r="H26" s="5" t="inlineStr">
        <is>
          <t>Diciembre</t>
        </is>
      </c>
      <c r="I26" s="6" t="inlineStr">
        <is>
          <t>2022-2</t>
        </is>
      </c>
      <c r="J26" s="5" t="n">
        <v>20</v>
      </c>
      <c r="K26" s="5" t="n">
        <v>20</v>
      </c>
      <c r="L26" s="14">
        <f>IFERROR(IF(OR(J26=0,K26=""),"",IF(E26="Positivo",MIN(MAX(K26/J26,0),1.3),MIN(MAX(J26/K26,0),1.3))),"") </f>
        <v/>
      </c>
      <c r="M26" s="14">
        <f>IFERROR(IF(OR(J26=0,K26=""),"",IF(E26="Positivo",MAX(K26/J26,0),MAX(J26/K26,0))),"") </f>
        <v/>
      </c>
      <c r="N26" s="5" t="inlineStr">
        <is>
          <t>Días</t>
        </is>
      </c>
      <c r="O26" s="5" t="inlineStr">
        <is>
          <t>Días</t>
        </is>
      </c>
      <c r="P26" s="5" t="n">
        <v>0</v>
      </c>
      <c r="Q26" s="5" t="n">
        <v>0</v>
      </c>
      <c r="R26" s="5" t="inlineStr">
        <is>
          <t>73-2022-12-31</t>
        </is>
      </c>
    </row>
    <row r="27">
      <c r="A27" s="5" t="n">
        <v>73</v>
      </c>
      <c r="B27" s="5" t="inlineStr">
        <is>
          <t>Tiempo respuesta selección y contratación de colaboradores de planta</t>
        </is>
      </c>
      <c r="C27" s="5" t="inlineStr">
        <is>
          <t>GESTIÓN Y DESARROLLO DEL TALENTO HUMANO</t>
        </is>
      </c>
      <c r="D27" s="5" t="inlineStr">
        <is>
          <t>Semestral</t>
        </is>
      </c>
      <c r="E27" s="5" t="inlineStr">
        <is>
          <t>Negativo</t>
        </is>
      </c>
      <c r="F27" s="107" t="n">
        <v>45107</v>
      </c>
      <c r="G27" s="5" t="n">
        <v>2023</v>
      </c>
      <c r="H27" s="5" t="inlineStr">
        <is>
          <t>Junio</t>
        </is>
      </c>
      <c r="I27" s="6" t="inlineStr">
        <is>
          <t>2023-1</t>
        </is>
      </c>
      <c r="J27" s="5" t="n">
        <v>20</v>
      </c>
      <c r="K27" s="5" t="n">
        <v>19</v>
      </c>
      <c r="L27" s="14">
        <f>IFERROR(IF(OR(J27=0,K27=""),"",IF(E27="Positivo",MIN(MAX(K27/J27,0),1.3),MIN(MAX(J27/K27,0),1.3))),"") </f>
        <v/>
      </c>
      <c r="M27" s="14">
        <f>IFERROR(IF(OR(J27=0,K27=""),"",IF(E27="Positivo",MAX(K27/J27,0),MAX(J27/K27,0))),"") </f>
        <v/>
      </c>
      <c r="N27" s="5" t="inlineStr">
        <is>
          <t>Días</t>
        </is>
      </c>
      <c r="O27" s="5" t="inlineStr">
        <is>
          <t>Días</t>
        </is>
      </c>
      <c r="P27" s="5" t="n">
        <v>0</v>
      </c>
      <c r="Q27" s="5" t="n">
        <v>0</v>
      </c>
      <c r="R27" s="5" t="inlineStr">
        <is>
          <t>73-2023-06-30</t>
        </is>
      </c>
    </row>
    <row r="28">
      <c r="A28" s="5" t="n">
        <v>73</v>
      </c>
      <c r="B28" s="5" t="inlineStr">
        <is>
          <t>Tiempo respuesta selección y contratación de colaboradores de planta</t>
        </is>
      </c>
      <c r="C28" s="5" t="inlineStr">
        <is>
          <t>GESTIÓN Y DESARROLLO DEL TALENTO HUMANO</t>
        </is>
      </c>
      <c r="D28" s="5" t="inlineStr">
        <is>
          <t>Semestral</t>
        </is>
      </c>
      <c r="E28" s="5" t="inlineStr">
        <is>
          <t>Negativo</t>
        </is>
      </c>
      <c r="F28" s="107" t="n">
        <v>45291</v>
      </c>
      <c r="G28" s="5" t="n">
        <v>2023</v>
      </c>
      <c r="H28" s="5" t="inlineStr">
        <is>
          <t>Diciembre</t>
        </is>
      </c>
      <c r="I28" s="6" t="inlineStr">
        <is>
          <t>2023-2</t>
        </is>
      </c>
      <c r="J28" s="5" t="n">
        <v>20</v>
      </c>
      <c r="K28" s="5" t="n">
        <v>17</v>
      </c>
      <c r="L28" s="14">
        <f>IFERROR(IF(OR(J28=0,K28=""),"",IF(E28="Positivo",MIN(MAX(K28/J28,0),1.3),MIN(MAX(J28/K28,0),1.3))),"") </f>
        <v/>
      </c>
      <c r="M28" s="14">
        <f>IFERROR(IF(OR(J28=0,K28=""),"",IF(E28="Positivo",MAX(K28/J28,0),MAX(J28/K28,0))),"") </f>
        <v/>
      </c>
      <c r="N28" s="5" t="inlineStr">
        <is>
          <t>Días</t>
        </is>
      </c>
      <c r="O28" s="5" t="inlineStr">
        <is>
          <t>Días</t>
        </is>
      </c>
      <c r="P28" s="5" t="n">
        <v>0</v>
      </c>
      <c r="Q28" s="5" t="n">
        <v>0</v>
      </c>
      <c r="R28" s="5" t="inlineStr">
        <is>
          <t>73-2023-12-31</t>
        </is>
      </c>
    </row>
    <row r="29">
      <c r="A29" s="5" t="n">
        <v>73</v>
      </c>
      <c r="B29" s="5" t="inlineStr">
        <is>
          <t>Tiempo respuesta selección y contratación de colaboradores de planta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Negativo</t>
        </is>
      </c>
      <c r="F29" s="107" t="n">
        <v>45473</v>
      </c>
      <c r="G29" s="5" t="n">
        <v>2024</v>
      </c>
      <c r="H29" s="5" t="inlineStr">
        <is>
          <t>Junio</t>
        </is>
      </c>
      <c r="I29" s="6" t="inlineStr">
        <is>
          <t>2024-1</t>
        </is>
      </c>
      <c r="J29" s="5" t="n">
        <v>20</v>
      </c>
      <c r="K29" s="5" t="n">
        <v>20</v>
      </c>
      <c r="L29" s="14">
        <f>IFERROR(IF(OR(J29=0,K29=""),"",IF(E29="Positivo",MIN(MAX(K29/J29,0),1.3),MIN(MAX(J29/K29,0),1.3))),"") </f>
        <v/>
      </c>
      <c r="M29" s="14">
        <f>IFERROR(IF(OR(J29=0,K29=""),"",IF(E29="Positivo",MAX(K29/J29,0),MAX(J29/K29,0))),"") </f>
        <v/>
      </c>
      <c r="N29" s="5" t="inlineStr">
        <is>
          <t>Días</t>
        </is>
      </c>
      <c r="O29" s="5" t="inlineStr">
        <is>
          <t>Días</t>
        </is>
      </c>
      <c r="P29" s="5" t="n">
        <v>0</v>
      </c>
      <c r="Q29" s="5" t="n">
        <v>0</v>
      </c>
      <c r="R29" s="5" t="inlineStr">
        <is>
          <t>73-2024-06-30</t>
        </is>
      </c>
    </row>
    <row r="30">
      <c r="A30" s="5" t="n">
        <v>73</v>
      </c>
      <c r="B30" s="5" t="inlineStr">
        <is>
          <t>Tiempo respuesta selección y contratación de colaboradores de planta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Negativo</t>
        </is>
      </c>
      <c r="F30" s="107" t="n">
        <v>45657</v>
      </c>
      <c r="G30" s="5" t="n">
        <v>2024</v>
      </c>
      <c r="H30" s="5" t="inlineStr">
        <is>
          <t>Diciembre</t>
        </is>
      </c>
      <c r="I30" s="6" t="inlineStr">
        <is>
          <t>2024-2</t>
        </is>
      </c>
      <c r="J30" s="5" t="n">
        <v>20</v>
      </c>
      <c r="K30" s="5" t="n">
        <v>17</v>
      </c>
      <c r="L30" s="14">
        <f>IFERROR(IF(OR(J30=0,K30=""),"",IF(E30="Positivo",MIN(MAX(K30/J30,0),1.3),MIN(MAX(J30/K30,0),1.3))),"") </f>
        <v/>
      </c>
      <c r="M30" s="14">
        <f>IFERROR(IF(OR(J30=0,K30=""),"",IF(E30="Positivo",MAX(K30/J30,0),MAX(J30/K30,0))),"") </f>
        <v/>
      </c>
      <c r="N30" s="5" t="inlineStr">
        <is>
          <t>Días</t>
        </is>
      </c>
      <c r="O30" s="5" t="inlineStr">
        <is>
          <t>Días</t>
        </is>
      </c>
      <c r="P30" s="5" t="n">
        <v>0</v>
      </c>
      <c r="Q30" s="5" t="n">
        <v>0</v>
      </c>
      <c r="R30" s="5" t="inlineStr">
        <is>
          <t>73-2024-12-31</t>
        </is>
      </c>
    </row>
    <row r="31">
      <c r="A31" s="5" t="n">
        <v>73</v>
      </c>
      <c r="B31" s="5" t="inlineStr">
        <is>
          <t>Tiempo respuesta selección y contratación de colaboradores de planta</t>
        </is>
      </c>
      <c r="C31" s="5" t="inlineStr">
        <is>
          <t>GESTIÓN Y DESARROLLO DEL TALENTO HUMANO</t>
        </is>
      </c>
      <c r="D31" s="5" t="inlineStr">
        <is>
          <t>Trimestral</t>
        </is>
      </c>
      <c r="E31" s="5" t="inlineStr">
        <is>
          <t>Negativo</t>
        </is>
      </c>
      <c r="F31" s="107" t="n">
        <v>45838</v>
      </c>
      <c r="G31" s="5" t="n">
        <v>2025</v>
      </c>
      <c r="H31" s="5" t="inlineStr">
        <is>
          <t>Junio</t>
        </is>
      </c>
      <c r="I31" s="6" t="inlineStr">
        <is>
          <t>2025-1</t>
        </is>
      </c>
      <c r="J31" s="5" t="n">
        <v>20</v>
      </c>
      <c r="K31" s="5" t="n">
        <v>19</v>
      </c>
      <c r="L31" s="14">
        <f>IFERROR(IF(OR(J31=0,K31=""),"",IF(E31="Positivo",MIN(MAX(K31/J31,0),1.3),MIN(MAX(J31/K31,0),1.3))),"") </f>
        <v/>
      </c>
      <c r="M31" s="14">
        <f>IFERROR(IF(OR(J31=0,K31=""),"",IF(E31="Positivo",MAX(K31/J31,0),MAX(J31/K31,0))),"") </f>
        <v/>
      </c>
      <c r="N31" s="5" t="inlineStr">
        <is>
          <t>Días</t>
        </is>
      </c>
      <c r="O31" s="5" t="inlineStr">
        <is>
          <t>Días</t>
        </is>
      </c>
      <c r="P31" s="5" t="n">
        <v>0</v>
      </c>
      <c r="Q31" s="5" t="n">
        <v>0</v>
      </c>
      <c r="R31" s="5" t="inlineStr">
        <is>
          <t>73-2025-06-30</t>
        </is>
      </c>
    </row>
    <row r="32">
      <c r="A32" s="5" t="n">
        <v>73</v>
      </c>
      <c r="B32" s="5" t="inlineStr">
        <is>
          <t>Tiempo respuesta selección y contratación de colaboradores de planta</t>
        </is>
      </c>
      <c r="C32" s="5" t="inlineStr">
        <is>
          <t>GESTIÓN Y DESARROLLO DEL TALENTO HUMANO</t>
        </is>
      </c>
      <c r="D32" s="5" t="inlineStr">
        <is>
          <t>Trimestral</t>
        </is>
      </c>
      <c r="E32" s="5" t="inlineStr">
        <is>
          <t>Negativo</t>
        </is>
      </c>
      <c r="F32" s="107" t="n">
        <v>46022</v>
      </c>
      <c r="G32" s="5" t="n">
        <v>2025</v>
      </c>
      <c r="H32" s="5" t="inlineStr">
        <is>
          <t>Diciembre</t>
        </is>
      </c>
      <c r="I32" s="6" t="inlineStr">
        <is>
          <t>2025-2</t>
        </is>
      </c>
      <c r="J32" s="5" t="n">
        <v>20</v>
      </c>
      <c r="K32" s="5" t="n">
        <v>20</v>
      </c>
      <c r="L32" s="14">
        <f>IFERROR(IF(OR(J32=0,K32=""),"",IF(E32="Positivo",MIN(MAX(K32/J32,0),1.3),MIN(MAX(J32/K32,0),1.3))),"") </f>
        <v/>
      </c>
      <c r="M32" s="14">
        <f>IFERROR(IF(OR(J32=0,K32=""),"",IF(E32="Positivo",MAX(K32/J32,0),MAX(J32/K32,0))),"") </f>
        <v/>
      </c>
      <c r="N32" s="5" t="inlineStr">
        <is>
          <t>Días</t>
        </is>
      </c>
      <c r="O32" s="5" t="inlineStr">
        <is>
          <t>Días</t>
        </is>
      </c>
      <c r="P32" s="5" t="n">
        <v>0</v>
      </c>
      <c r="Q32" s="5" t="n">
        <v>0</v>
      </c>
      <c r="R32" s="5" t="inlineStr">
        <is>
          <t>73-2025-12-31</t>
        </is>
      </c>
    </row>
    <row r="33">
      <c r="A33" s="5" t="n">
        <v>74</v>
      </c>
      <c r="B33" s="5" t="inlineStr">
        <is>
          <t>Efectividad en las contrataciones</t>
        </is>
      </c>
      <c r="C33" s="5" t="inlineStr">
        <is>
          <t>GESTIÓN Y DESARROLLO DEL TALENTO HUMANO</t>
        </is>
      </c>
      <c r="D33" s="5" t="inlineStr">
        <is>
          <t>Trimestral</t>
        </is>
      </c>
      <c r="E33" s="5" t="inlineStr">
        <is>
          <t>Positivo</t>
        </is>
      </c>
      <c r="F33" s="107" t="n">
        <v>44742</v>
      </c>
      <c r="G33" s="5" t="n">
        <v>2022</v>
      </c>
      <c r="H33" s="5" t="inlineStr">
        <is>
          <t>Junio</t>
        </is>
      </c>
      <c r="I33" s="6" t="inlineStr">
        <is>
          <t>2022-1</t>
        </is>
      </c>
      <c r="J33" s="5" t="n">
        <v>80</v>
      </c>
      <c r="K33" s="5" t="n">
        <v>88</v>
      </c>
      <c r="L33" s="14">
        <f>IFERROR(IF(OR(J33=0,K33=""),"",IF(E33="Positivo",MIN(MAX(K33/J33,0),1.3),MIN(MAX(J33/K33,0),1.3))),"") </f>
        <v/>
      </c>
      <c r="M33" s="14">
        <f>IFERROR(IF(OR(J33=0,K33=""),"",IF(E33="Positivo",MAX(K33/J33,0),MAX(J33/K33,0))),"") </f>
        <v/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74-2022-06-30</t>
        </is>
      </c>
    </row>
    <row r="34">
      <c r="A34" s="21" t="n">
        <v>74</v>
      </c>
      <c r="B34" s="5" t="inlineStr">
        <is>
          <t>Efectividad en las contrataciones</t>
        </is>
      </c>
      <c r="C34" s="5" t="inlineStr">
        <is>
          <t>GESTIÓN Y DESARROLLO DEL TALENTO HUMANO</t>
        </is>
      </c>
      <c r="D34" s="5" t="inlineStr">
        <is>
          <t>Trimestral</t>
        </is>
      </c>
      <c r="E34" s="5" t="inlineStr">
        <is>
          <t>Positivo</t>
        </is>
      </c>
      <c r="F34" s="107" t="n">
        <v>44926</v>
      </c>
      <c r="G34" s="5" t="n">
        <v>2022</v>
      </c>
      <c r="H34" s="5" t="inlineStr">
        <is>
          <t>Diciembre</t>
        </is>
      </c>
      <c r="I34" s="6" t="inlineStr">
        <is>
          <t>2022-2</t>
        </is>
      </c>
      <c r="J34" s="5" t="n">
        <v>80</v>
      </c>
      <c r="K34" s="10" t="n">
        <v>82.894736842105</v>
      </c>
      <c r="L34" s="14">
        <f>IFERROR(IF(OR(J34=0,K34=""),"",IF(E34="Positivo",MIN(MAX(K34/J34,0),1.3),MIN(MAX(J34/K34,0),1.3))),"") </f>
        <v/>
      </c>
      <c r="M34" s="14">
        <f>IFERROR(IF(OR(J34=0,K34=""),"",IF(E34="Positivo",MAX(K34/J34,0),MAX(J34/K34,0))),"") </f>
        <v/>
      </c>
      <c r="N34" s="5" t="inlineStr">
        <is>
          <t>%</t>
        </is>
      </c>
      <c r="O34" s="5" t="inlineStr">
        <is>
          <t>%</t>
        </is>
      </c>
      <c r="P34" s="15" t="n">
        <v>0</v>
      </c>
      <c r="Q34" s="15" t="n">
        <v>0</v>
      </c>
      <c r="R34" s="5" t="inlineStr">
        <is>
          <t>74-2022-12-31</t>
        </is>
      </c>
    </row>
    <row r="35">
      <c r="A35" s="21" t="n">
        <v>74</v>
      </c>
      <c r="B35" s="5" t="inlineStr">
        <is>
          <t>Efectividad en las contrataciones</t>
        </is>
      </c>
      <c r="C35" s="5" t="inlineStr">
        <is>
          <t>GESTIÓN Y DESARROLLO DEL TALENTO HUMANO</t>
        </is>
      </c>
      <c r="D35" s="5" t="inlineStr">
        <is>
          <t>Semestral</t>
        </is>
      </c>
      <c r="E35" s="5" t="inlineStr">
        <is>
          <t>Positivo</t>
        </is>
      </c>
      <c r="F35" s="106" t="n">
        <v>45107</v>
      </c>
      <c r="G35" s="5" t="n">
        <v>2023</v>
      </c>
      <c r="H35" s="5" t="inlineStr">
        <is>
          <t>Junio</t>
        </is>
      </c>
      <c r="I35" s="6" t="inlineStr">
        <is>
          <t>2023-1</t>
        </is>
      </c>
      <c r="J35" s="5" t="n">
        <v>80</v>
      </c>
      <c r="K35" s="10" t="n">
        <v>87.179487179487</v>
      </c>
      <c r="L35" s="14">
        <f>IFERROR(IF(OR(J35=0,K35=""),"",IF(E35="Positivo",MIN(MAX(K35/J35,0),1.3),MIN(MAX(J35/K35,0),1.3))),"") </f>
        <v/>
      </c>
      <c r="M35" s="14">
        <f>IFERROR(IF(OR(J35=0,K35=""),"",IF(E35="Positivo",MAX(K35/J35,0),MAX(J35/K35,0))),"") </f>
        <v/>
      </c>
      <c r="N35" s="5" t="inlineStr">
        <is>
          <t>%</t>
        </is>
      </c>
      <c r="O35" s="5" t="inlineStr">
        <is>
          <t>%</t>
        </is>
      </c>
      <c r="P35" s="15" t="n">
        <v>0</v>
      </c>
      <c r="Q35" s="15" t="n">
        <v>0</v>
      </c>
      <c r="R35" s="5" t="inlineStr">
        <is>
          <t>74-2023-06-30</t>
        </is>
      </c>
    </row>
    <row r="36">
      <c r="A36" s="21" t="n">
        <v>74</v>
      </c>
      <c r="B36" s="5" t="inlineStr">
        <is>
          <t>Efectividad en las contrataciones</t>
        </is>
      </c>
      <c r="C36" s="5" t="inlineStr">
        <is>
          <t>GESTIÓN Y DESARROLLO DEL TALENTO HUMANO</t>
        </is>
      </c>
      <c r="D36" s="5" t="inlineStr">
        <is>
          <t>Semestral</t>
        </is>
      </c>
      <c r="E36" s="5" t="inlineStr">
        <is>
          <t>Positivo</t>
        </is>
      </c>
      <c r="F36" s="107" t="n">
        <v>45291</v>
      </c>
      <c r="G36" s="5" t="n">
        <v>2023</v>
      </c>
      <c r="H36" s="5" t="inlineStr">
        <is>
          <t>Diciembre</t>
        </is>
      </c>
      <c r="I36" s="6" t="inlineStr">
        <is>
          <t>2023-2</t>
        </is>
      </c>
      <c r="J36" s="5" t="n">
        <v>80</v>
      </c>
      <c r="K36" s="10" t="n">
        <v>94.64</v>
      </c>
      <c r="L36" s="14">
        <f>IFERROR(IF(OR(J36=0,K36=""),"",IF(E36="Positivo",MIN(MAX(K36/J36,0),1.3),MIN(MAX(J36/K36,0),1.3))),"") </f>
        <v/>
      </c>
      <c r="M36" s="14">
        <f>IFERROR(IF(OR(J36=0,K36=""),"",IF(E36="Positivo",MAX(K36/J36,0),MAX(J36/K36,0))),"") </f>
        <v/>
      </c>
      <c r="N36" s="5" t="inlineStr">
        <is>
          <t>%</t>
        </is>
      </c>
      <c r="O36" s="5" t="inlineStr">
        <is>
          <t>%</t>
        </is>
      </c>
      <c r="P36" s="15" t="n">
        <v>0</v>
      </c>
      <c r="Q36" s="15" t="n">
        <v>0</v>
      </c>
      <c r="R36" s="5" t="inlineStr">
        <is>
          <t>74-2023-12-31</t>
        </is>
      </c>
    </row>
    <row r="37">
      <c r="A37" s="21" t="n">
        <v>74</v>
      </c>
      <c r="B37" s="5" t="inlineStr">
        <is>
          <t>Efectividad en las contrataciones</t>
        </is>
      </c>
      <c r="C37" s="5" t="inlineStr">
        <is>
          <t>GESTIÓN Y DESARROLLO DEL TALENTO HUMANO</t>
        </is>
      </c>
      <c r="D37" s="5" t="inlineStr">
        <is>
          <t>Semestral</t>
        </is>
      </c>
      <c r="E37" s="5" t="inlineStr">
        <is>
          <t>Positivo</t>
        </is>
      </c>
      <c r="F37" s="107" t="n">
        <v>45473</v>
      </c>
      <c r="G37" s="5" t="n">
        <v>2024</v>
      </c>
      <c r="H37" s="5" t="inlineStr">
        <is>
          <t>Junio</t>
        </is>
      </c>
      <c r="I37" s="6" t="inlineStr">
        <is>
          <t>2024-1</t>
        </is>
      </c>
      <c r="J37" s="5" t="n">
        <v>80</v>
      </c>
      <c r="K37" s="10" t="n">
        <v>91.53</v>
      </c>
      <c r="L37" s="14">
        <f>IFERROR(IF(OR(J37=0,K37=""),"",IF(E37="Positivo",MIN(MAX(K37/J37,0),1.3),MIN(MAX(J37/K37,0),1.3))),"") </f>
        <v/>
      </c>
      <c r="M37" s="14">
        <f>IFERROR(IF(OR(J37=0,K37=""),"",IF(E37="Positivo",MAX(K37/J37,0),MAX(J37/K37,0))),"") </f>
        <v/>
      </c>
      <c r="N37" s="5" t="inlineStr">
        <is>
          <t>%</t>
        </is>
      </c>
      <c r="O37" s="5" t="inlineStr">
        <is>
          <t>%</t>
        </is>
      </c>
      <c r="P37" s="15" t="n">
        <v>0</v>
      </c>
      <c r="Q37" s="15" t="n">
        <v>0</v>
      </c>
      <c r="R37" s="5" t="inlineStr">
        <is>
          <t>74-2024-06-30</t>
        </is>
      </c>
    </row>
    <row r="38">
      <c r="A38" s="21" t="n">
        <v>74</v>
      </c>
      <c r="B38" s="5" t="inlineStr">
        <is>
          <t>Efectividad en las contrataciones</t>
        </is>
      </c>
      <c r="C38" s="5" t="inlineStr">
        <is>
          <t>GESTIÓN Y DESARROLLO DEL TALENTO HUMANO</t>
        </is>
      </c>
      <c r="D38" s="5" t="inlineStr">
        <is>
          <t>Semestral</t>
        </is>
      </c>
      <c r="E38" s="5" t="inlineStr">
        <is>
          <t>Positivo</t>
        </is>
      </c>
      <c r="F38" s="107" t="n">
        <v>45657</v>
      </c>
      <c r="G38" s="5" t="n">
        <v>2024</v>
      </c>
      <c r="H38" s="5" t="inlineStr">
        <is>
          <t>Diciembre</t>
        </is>
      </c>
      <c r="I38" s="6" t="inlineStr">
        <is>
          <t>2024-2</t>
        </is>
      </c>
      <c r="J38" s="5" t="n">
        <v>80</v>
      </c>
      <c r="K38" s="10" t="n">
        <v>95.45</v>
      </c>
      <c r="L38" s="14">
        <f>IFERROR(IF(OR(J38=0,K38=""),"",IF(E38="Positivo",MIN(MAX(K38/J38,0),1.3),MIN(MAX(J38/K38,0),1.3))),"") </f>
        <v/>
      </c>
      <c r="M38" s="14">
        <f>IFERROR(IF(OR(J38=0,K38=""),"",IF(E38="Positivo",MAX(K38/J38,0),MAX(J38/K38,0))),"") </f>
        <v/>
      </c>
      <c r="N38" s="5" t="inlineStr">
        <is>
          <t>%</t>
        </is>
      </c>
      <c r="O38" s="5" t="inlineStr">
        <is>
          <t>%</t>
        </is>
      </c>
      <c r="P38" s="15" t="n">
        <v>0</v>
      </c>
      <c r="Q38" s="15" t="n">
        <v>0</v>
      </c>
      <c r="R38" s="5" t="inlineStr">
        <is>
          <t>74-2024-12-31</t>
        </is>
      </c>
    </row>
    <row r="39">
      <c r="A39" s="21" t="n">
        <v>74</v>
      </c>
      <c r="B39" s="5" t="inlineStr">
        <is>
          <t>Efectividad en las contrataciones</t>
        </is>
      </c>
      <c r="C39" s="5" t="inlineStr">
        <is>
          <t>GESTIÓN Y DESARROLLO DEL TALENTO HUMANO</t>
        </is>
      </c>
      <c r="D39" s="5" t="inlineStr">
        <is>
          <t>Trimestral</t>
        </is>
      </c>
      <c r="E39" s="5" t="inlineStr">
        <is>
          <t>Positivo</t>
        </is>
      </c>
      <c r="F39" s="107" t="n">
        <v>45838</v>
      </c>
      <c r="G39" s="5" t="n">
        <v>2025</v>
      </c>
      <c r="H39" s="5" t="inlineStr">
        <is>
          <t>Junio</t>
        </is>
      </c>
      <c r="I39" s="6" t="inlineStr">
        <is>
          <t>2025-1</t>
        </is>
      </c>
      <c r="J39" s="5" t="n">
        <v>80</v>
      </c>
      <c r="K39" s="10" t="n">
        <v>91.48999999999999</v>
      </c>
      <c r="L39" s="14">
        <f>IFERROR(IF(OR(J39=0,K39=""),"",IF(E39="Positivo",MIN(MAX(K39/J39,0),1.3),MIN(MAX(J39/K39,0),1.3))),"") </f>
        <v/>
      </c>
      <c r="M39" s="14">
        <f>IFERROR(IF(OR(J39=0,K39=""),"",IF(E39="Positivo",MAX(K39/J39,0),MAX(J39/K39,0))),"") </f>
        <v/>
      </c>
      <c r="N39" s="5" t="inlineStr">
        <is>
          <t>%</t>
        </is>
      </c>
      <c r="O39" s="5" t="inlineStr">
        <is>
          <t>%</t>
        </is>
      </c>
      <c r="P39" s="15" t="n">
        <v>0</v>
      </c>
      <c r="Q39" s="15" t="n">
        <v>0</v>
      </c>
      <c r="R39" s="5" t="inlineStr">
        <is>
          <t>74-2025-06-30</t>
        </is>
      </c>
    </row>
    <row r="40">
      <c r="A40" s="21" t="n">
        <v>74</v>
      </c>
      <c r="B40" s="5" t="inlineStr">
        <is>
          <t>Efectividad en las contrataciones</t>
        </is>
      </c>
      <c r="C40" s="5" t="inlineStr">
        <is>
          <t>GESTIÓN Y DESARROLLO DEL TALENTO HUMANO</t>
        </is>
      </c>
      <c r="D40" s="5" t="inlineStr">
        <is>
          <t>Trimestral</t>
        </is>
      </c>
      <c r="E40" s="5" t="inlineStr">
        <is>
          <t>Positivo</t>
        </is>
      </c>
      <c r="F40" s="107" t="n">
        <v>46022</v>
      </c>
      <c r="G40" s="5" t="n">
        <v>2025</v>
      </c>
      <c r="H40" s="5" t="inlineStr">
        <is>
          <t>Diciembre</t>
        </is>
      </c>
      <c r="I40" s="6" t="inlineStr">
        <is>
          <t>2025-2</t>
        </is>
      </c>
      <c r="J40" s="5" t="n">
        <v>80</v>
      </c>
      <c r="K40" s="10" t="n">
        <v>90.31999999999999</v>
      </c>
      <c r="L40" s="14">
        <f>IFERROR(IF(OR(J40=0,K40=""),"",IF(E40="Positivo",MIN(MAX(K40/J40,0),1.3),MIN(MAX(J40/K40,0),1.3))),"") </f>
        <v/>
      </c>
      <c r="M40" s="14">
        <f>IFERROR(IF(OR(J40=0,K40=""),"",IF(E40="Positivo",MAX(K40/J40,0),MAX(J40/K40,0))),"") </f>
        <v/>
      </c>
      <c r="N40" s="5" t="inlineStr">
        <is>
          <t>%</t>
        </is>
      </c>
      <c r="O40" s="5" t="inlineStr">
        <is>
          <t>%</t>
        </is>
      </c>
      <c r="P40" s="15" t="n">
        <v>0</v>
      </c>
      <c r="Q40" s="15" t="n">
        <v>0</v>
      </c>
      <c r="R40" s="5" t="inlineStr">
        <is>
          <t>74-2025-12-31</t>
        </is>
      </c>
    </row>
    <row r="41">
      <c r="A41" s="21" t="n">
        <v>77</v>
      </c>
      <c r="B41" s="5" t="inlineStr">
        <is>
          <t>Disponibilidad de servicios tecnológicos</t>
        </is>
      </c>
      <c r="C41" s="5" t="inlineStr">
        <is>
          <t>GESTIÓN DE LA TECNOLOGÍA E INNOVACIÓN DIGITAL</t>
        </is>
      </c>
      <c r="D41" s="5" t="inlineStr">
        <is>
          <t>Mensual</t>
        </is>
      </c>
      <c r="E41" s="5" t="inlineStr">
        <is>
          <t>Positivo</t>
        </is>
      </c>
      <c r="F41" s="107" t="n">
        <v>44592</v>
      </c>
      <c r="G41" s="5" t="n">
        <v>2022</v>
      </c>
      <c r="H41" s="5" t="inlineStr">
        <is>
          <t>Enero</t>
        </is>
      </c>
      <c r="I41" s="6" t="inlineStr">
        <is>
          <t>2022-1</t>
        </is>
      </c>
      <c r="J41" s="5" t="n">
        <v>97</v>
      </c>
      <c r="K41" s="10" t="n">
        <v>98.2</v>
      </c>
      <c r="L41" s="14">
        <f>IFERROR(IF(OR(J41=0,K41=""),"",IF(E41="Positivo",MIN(MAX(K41/J41,0),1.3),MIN(MAX(J41/K41,0),1.3))),"") </f>
        <v/>
      </c>
      <c r="M41" s="14">
        <f>IFERROR(IF(OR(J41=0,K41=""),"",IF(E41="Positivo",MAX(K41/J41,0),MAX(J41/K41,0))),"") </f>
        <v/>
      </c>
      <c r="N41" s="5" t="inlineStr">
        <is>
          <t>%</t>
        </is>
      </c>
      <c r="O41" s="5" t="inlineStr">
        <is>
          <t>%</t>
        </is>
      </c>
      <c r="P41" s="15" t="n">
        <v>1</v>
      </c>
      <c r="Q41" s="15" t="n">
        <v>1</v>
      </c>
      <c r="R41" s="5" t="inlineStr">
        <is>
          <t>77-2022-01-31</t>
        </is>
      </c>
    </row>
    <row r="42">
      <c r="A42" s="21" t="n">
        <v>77</v>
      </c>
      <c r="B42" s="5" t="inlineStr">
        <is>
          <t>Disponibilidad de servicios tecnológicos</t>
        </is>
      </c>
      <c r="C42" s="5" t="inlineStr">
        <is>
          <t>GESTIÓN DE LA TECNOLOGÍA E INNOVACIÓN DIGITAL</t>
        </is>
      </c>
      <c r="D42" s="5" t="inlineStr">
        <is>
          <t>Mensual</t>
        </is>
      </c>
      <c r="E42" s="5" t="inlineStr">
        <is>
          <t>Positivo</t>
        </is>
      </c>
      <c r="F42" s="107" t="n">
        <v>44620</v>
      </c>
      <c r="G42" s="5" t="n">
        <v>2022</v>
      </c>
      <c r="H42" s="5" t="inlineStr">
        <is>
          <t>Febrero</t>
        </is>
      </c>
      <c r="I42" s="6" t="inlineStr">
        <is>
          <t>2022-1</t>
        </is>
      </c>
      <c r="J42" s="5" t="n">
        <v>97</v>
      </c>
      <c r="K42" s="10" t="n">
        <v>96.09999999999999</v>
      </c>
      <c r="L42" s="14">
        <f>IFERROR(IF(OR(J42=0,K42=""),"",IF(E42="Positivo",MIN(MAX(K42/J42,0),1.3),MIN(MAX(J42/K42,0),1.3))),"") </f>
        <v/>
      </c>
      <c r="M42" s="14">
        <f>IFERROR(IF(OR(J42=0,K42=""),"",IF(E42="Positivo",MAX(K42/J42,0),MAX(J42/K42,0))),"") </f>
        <v/>
      </c>
      <c r="N42" s="5" t="inlineStr">
        <is>
          <t>%</t>
        </is>
      </c>
      <c r="O42" s="5" t="inlineStr">
        <is>
          <t>%</t>
        </is>
      </c>
      <c r="P42" s="15" t="n">
        <v>1</v>
      </c>
      <c r="Q42" s="15" t="n">
        <v>1</v>
      </c>
      <c r="R42" s="5" t="inlineStr">
        <is>
          <t>77-2022-02-28</t>
        </is>
      </c>
    </row>
    <row r="43">
      <c r="A43" s="21" t="n">
        <v>77</v>
      </c>
      <c r="B43" s="5" t="inlineStr">
        <is>
          <t>Disponibilidad de servicios tecnológicos</t>
        </is>
      </c>
      <c r="C43" s="5" t="inlineStr">
        <is>
          <t>GESTIÓN DE LA TECNOLOGÍA E INNOVACIÓN DIGITAL</t>
        </is>
      </c>
      <c r="D43" s="5" t="inlineStr">
        <is>
          <t>Mensual</t>
        </is>
      </c>
      <c r="E43" s="5" t="inlineStr">
        <is>
          <t>Positivo</t>
        </is>
      </c>
      <c r="F43" s="107" t="n">
        <v>44651</v>
      </c>
      <c r="G43" s="5" t="n">
        <v>2022</v>
      </c>
      <c r="H43" s="5" t="inlineStr">
        <is>
          <t>Marzo</t>
        </is>
      </c>
      <c r="I43" s="6" t="inlineStr">
        <is>
          <t>2022-1</t>
        </is>
      </c>
      <c r="J43" s="5" t="n">
        <v>97</v>
      </c>
      <c r="K43" s="10" t="n">
        <v>99.09999999999999</v>
      </c>
      <c r="L43" s="14">
        <f>IFERROR(IF(OR(J43=0,K43=""),"",IF(E43="Positivo",MIN(MAX(K43/J43,0),1.3),MIN(MAX(J43/K43,0),1.3))),"") </f>
        <v/>
      </c>
      <c r="M43" s="14">
        <f>IFERROR(IF(OR(J43=0,K43=""),"",IF(E43="Positivo",MAX(K43/J43,0),MAX(J43/K43,0))),"") </f>
        <v/>
      </c>
      <c r="N43" s="5" t="inlineStr">
        <is>
          <t>%</t>
        </is>
      </c>
      <c r="O43" s="5" t="inlineStr">
        <is>
          <t>%</t>
        </is>
      </c>
      <c r="P43" s="15" t="n">
        <v>1</v>
      </c>
      <c r="Q43" s="15" t="n">
        <v>1</v>
      </c>
      <c r="R43" s="5" t="inlineStr">
        <is>
          <t>77-2022-03-31</t>
        </is>
      </c>
    </row>
    <row r="44">
      <c r="A44" s="21" t="n">
        <v>77</v>
      </c>
      <c r="B44" s="5" t="inlineStr">
        <is>
          <t>Disponibilidad de servicios tecnológicos</t>
        </is>
      </c>
      <c r="C44" s="5" t="inlineStr">
        <is>
          <t>GESTIÓN DE LA TECNOLOGÍA E INNOVACIÓN DIGITAL</t>
        </is>
      </c>
      <c r="D44" s="5" t="inlineStr">
        <is>
          <t>Mensual</t>
        </is>
      </c>
      <c r="E44" s="5" t="inlineStr">
        <is>
          <t>Positivo</t>
        </is>
      </c>
      <c r="F44" s="107" t="n">
        <v>44681</v>
      </c>
      <c r="G44" s="5" t="n">
        <v>2022</v>
      </c>
      <c r="H44" s="5" t="inlineStr">
        <is>
          <t>Abril</t>
        </is>
      </c>
      <c r="I44" s="6" t="inlineStr">
        <is>
          <t>2022-1</t>
        </is>
      </c>
      <c r="J44" s="5" t="n">
        <v>97</v>
      </c>
      <c r="K44" s="10" t="n">
        <v>96.5</v>
      </c>
      <c r="L44" s="14">
        <f>IFERROR(IF(OR(J44=0,K44=""),"",IF(E44="Positivo",MIN(MAX(K44/J44,0),1.3),MIN(MAX(J44/K44,0),1.3))),"") </f>
        <v/>
      </c>
      <c r="M44" s="14">
        <f>IFERROR(IF(OR(J44=0,K44=""),"",IF(E44="Positivo",MAX(K44/J44,0),MAX(J44/K44,0))),"") </f>
        <v/>
      </c>
      <c r="N44" s="5" t="inlineStr">
        <is>
          <t>%</t>
        </is>
      </c>
      <c r="O44" s="5" t="inlineStr">
        <is>
          <t>%</t>
        </is>
      </c>
      <c r="P44" s="15" t="n">
        <v>1</v>
      </c>
      <c r="Q44" s="15" t="n">
        <v>1</v>
      </c>
      <c r="R44" s="5" t="inlineStr">
        <is>
          <t>77-2022-04-30</t>
        </is>
      </c>
    </row>
    <row r="45">
      <c r="A45" s="26" t="n">
        <v>77</v>
      </c>
      <c r="B45" s="5" t="inlineStr">
        <is>
          <t>Disponibilidad de servicios tecnológicos</t>
        </is>
      </c>
      <c r="C45" s="5" t="inlineStr">
        <is>
          <t>GESTIÓN DE LA TECNOLOGÍA E INNOVACIÓN DIGITAL</t>
        </is>
      </c>
      <c r="D45" s="5" t="inlineStr">
        <is>
          <t>Mensual</t>
        </is>
      </c>
      <c r="E45" s="5" t="inlineStr">
        <is>
          <t>Positivo</t>
        </is>
      </c>
      <c r="F45" s="107" t="n">
        <v>44712</v>
      </c>
      <c r="G45" s="5" t="n">
        <v>2022</v>
      </c>
      <c r="H45" s="5" t="inlineStr">
        <is>
          <t>Mayo</t>
        </is>
      </c>
      <c r="I45" s="6" t="inlineStr">
        <is>
          <t>2022-1</t>
        </is>
      </c>
      <c r="J45" s="5" t="n">
        <v>97</v>
      </c>
      <c r="K45" s="10" t="n">
        <v>97.40000000000001</v>
      </c>
      <c r="L45" s="14">
        <f>IFERROR(IF(OR(J45=0,K45=""),"",IF(E45="Positivo",MIN(MAX(K45/J45,0),1.3),MIN(MAX(J45/K45,0),1.3))),"") </f>
        <v/>
      </c>
      <c r="M45" s="14">
        <f>IFERROR(IF(OR(J45=0,K45=""),"",IF(E45="Positivo",MAX(K45/J45,0),MAX(J45/K45,0))),"") </f>
        <v/>
      </c>
      <c r="N45" s="5" t="inlineStr">
        <is>
          <t>%</t>
        </is>
      </c>
      <c r="O45" s="5" t="inlineStr">
        <is>
          <t>%</t>
        </is>
      </c>
      <c r="P45" s="15" t="n">
        <v>1</v>
      </c>
      <c r="Q45" s="15" t="n">
        <v>1</v>
      </c>
      <c r="R45" s="5" t="inlineStr">
        <is>
          <t>77-2022-05-31</t>
        </is>
      </c>
    </row>
    <row r="46">
      <c r="A46" s="21" t="n">
        <v>77</v>
      </c>
      <c r="B46" s="5" t="inlineStr">
        <is>
          <t>Disponibilidad de servicios tecnológicos</t>
        </is>
      </c>
      <c r="C46" s="5" t="inlineStr">
        <is>
          <t>GESTIÓN DE LA TECNOLOGÍA E INNOVACIÓN DIGITAL</t>
        </is>
      </c>
      <c r="D46" s="5" t="inlineStr">
        <is>
          <t>Mensual</t>
        </is>
      </c>
      <c r="E46" s="5" t="inlineStr">
        <is>
          <t>Positivo</t>
        </is>
      </c>
      <c r="F46" s="107" t="n">
        <v>44742</v>
      </c>
      <c r="G46" s="5" t="n">
        <v>2022</v>
      </c>
      <c r="H46" s="5" t="inlineStr">
        <is>
          <t>Junio</t>
        </is>
      </c>
      <c r="I46" s="6" t="inlineStr">
        <is>
          <t>2022-1</t>
        </is>
      </c>
      <c r="J46" s="5" t="n">
        <v>97</v>
      </c>
      <c r="K46" s="10" t="n">
        <v>98.8</v>
      </c>
      <c r="L46" s="14">
        <f>IFERROR(IF(OR(J46=0,K46=""),"",IF(E46="Positivo",MIN(MAX(K46/J46,0),1.3),MIN(MAX(J46/K46,0),1.3))),"") </f>
        <v/>
      </c>
      <c r="M46" s="14">
        <f>IFERROR(IF(OR(J46=0,K46=""),"",IF(E46="Positivo",MAX(K46/J46,0),MAX(J46/K46,0))),"") </f>
        <v/>
      </c>
      <c r="N46" s="5" t="inlineStr">
        <is>
          <t>%</t>
        </is>
      </c>
      <c r="O46" s="5" t="inlineStr">
        <is>
          <t>%</t>
        </is>
      </c>
      <c r="P46" s="15" t="n">
        <v>1</v>
      </c>
      <c r="Q46" s="15" t="n">
        <v>1</v>
      </c>
      <c r="R46" s="5" t="inlineStr">
        <is>
          <t>77-2022-06-30</t>
        </is>
      </c>
    </row>
    <row r="47">
      <c r="A47" s="21" t="n">
        <v>77</v>
      </c>
      <c r="B47" s="5" t="inlineStr">
        <is>
          <t>Disponibilidad de servicios tecnológicos</t>
        </is>
      </c>
      <c r="C47" s="5" t="inlineStr">
        <is>
          <t>GESTIÓN DE LA TECNOLOGÍA E INNOVACIÓN DIGITAL</t>
        </is>
      </c>
      <c r="D47" s="5" t="inlineStr">
        <is>
          <t>Mensual</t>
        </is>
      </c>
      <c r="E47" s="5" t="inlineStr">
        <is>
          <t>Positivo</t>
        </is>
      </c>
      <c r="F47" s="107" t="n">
        <v>44773</v>
      </c>
      <c r="G47" s="5" t="n">
        <v>2022</v>
      </c>
      <c r="H47" s="5" t="inlineStr">
        <is>
          <t>Julio</t>
        </is>
      </c>
      <c r="I47" s="6" t="inlineStr">
        <is>
          <t>2022-2</t>
        </is>
      </c>
      <c r="J47" s="5" t="n">
        <v>97</v>
      </c>
      <c r="K47" s="10" t="n">
        <v>97.09</v>
      </c>
      <c r="L47" s="14">
        <f>IFERROR(IF(OR(J47=0,K47=""),"",IF(E47="Positivo",MIN(MAX(K47/J47,0),1.3),MIN(MAX(J47/K47,0),1.3))),"") </f>
        <v/>
      </c>
      <c r="M47" s="14">
        <f>IFERROR(IF(OR(J47=0,K47=""),"",IF(E47="Positivo",MAX(K47/J47,0),MAX(J47/K47,0))),"") </f>
        <v/>
      </c>
      <c r="N47" s="5" t="inlineStr">
        <is>
          <t>%</t>
        </is>
      </c>
      <c r="O47" s="5" t="inlineStr">
        <is>
          <t>%</t>
        </is>
      </c>
      <c r="P47" s="15" t="n">
        <v>1</v>
      </c>
      <c r="Q47" s="15" t="n">
        <v>1</v>
      </c>
      <c r="R47" s="5" t="inlineStr">
        <is>
          <t>77-2022-07-31</t>
        </is>
      </c>
    </row>
    <row r="48">
      <c r="A48" s="21" t="n">
        <v>77</v>
      </c>
      <c r="B48" s="5" t="inlineStr">
        <is>
          <t>Disponibilidad de servicios tecnológicos</t>
        </is>
      </c>
      <c r="C48" s="5" t="inlineStr">
        <is>
          <t>GESTIÓN DE LA TECNOLOGÍA E INNOVACIÓN DIGITAL</t>
        </is>
      </c>
      <c r="D48" s="5" t="inlineStr">
        <is>
          <t>Mensual</t>
        </is>
      </c>
      <c r="E48" s="5" t="inlineStr">
        <is>
          <t>Positivo</t>
        </is>
      </c>
      <c r="F48" s="107" t="n">
        <v>44804</v>
      </c>
      <c r="G48" s="5" t="n">
        <v>2022</v>
      </c>
      <c r="H48" s="5" t="inlineStr">
        <is>
          <t>Agosto</t>
        </is>
      </c>
      <c r="I48" s="6" t="inlineStr">
        <is>
          <t>2022-2</t>
        </is>
      </c>
      <c r="J48" s="5" t="n">
        <v>97</v>
      </c>
      <c r="K48" s="10" t="n">
        <v>99.01000000000001</v>
      </c>
      <c r="L48" s="14">
        <f>IFERROR(IF(OR(J48=0,K48=""),"",IF(E48="Positivo",MIN(MAX(K48/J48,0),1.3),MIN(MAX(J48/K48,0),1.3))),"") </f>
        <v/>
      </c>
      <c r="M48" s="14">
        <f>IFERROR(IF(OR(J48=0,K48=""),"",IF(E48="Positivo",MAX(K48/J48,0),MAX(J48/K48,0))),"") </f>
        <v/>
      </c>
      <c r="N48" s="5" t="inlineStr">
        <is>
          <t>%</t>
        </is>
      </c>
      <c r="O48" s="5" t="inlineStr">
        <is>
          <t>%</t>
        </is>
      </c>
      <c r="P48" s="15" t="n">
        <v>1</v>
      </c>
      <c r="Q48" s="15" t="n">
        <v>1</v>
      </c>
      <c r="R48" s="5" t="inlineStr">
        <is>
          <t>77-2022-08-31</t>
        </is>
      </c>
    </row>
    <row r="49">
      <c r="A49" s="21" t="n">
        <v>77</v>
      </c>
      <c r="B49" s="5" t="inlineStr">
        <is>
          <t>Disponibilidad de servicios tecnológicos</t>
        </is>
      </c>
      <c r="C49" s="5" t="inlineStr">
        <is>
          <t>GESTIÓN DE LA TECNOLOGÍA E INNOVACIÓN DIGITAL</t>
        </is>
      </c>
      <c r="D49" s="5" t="inlineStr">
        <is>
          <t>Mensual</t>
        </is>
      </c>
      <c r="E49" s="5" t="inlineStr">
        <is>
          <t>Positivo</t>
        </is>
      </c>
      <c r="F49" s="107" t="n">
        <v>44834</v>
      </c>
      <c r="G49" s="5" t="n">
        <v>2022</v>
      </c>
      <c r="H49" s="5" t="inlineStr">
        <is>
          <t>Septiembre</t>
        </is>
      </c>
      <c r="I49" s="6" t="inlineStr">
        <is>
          <t>2022-2</t>
        </is>
      </c>
      <c r="J49" s="5" t="n">
        <v>97</v>
      </c>
      <c r="K49" s="10" t="n">
        <v>98.59999999999999</v>
      </c>
      <c r="L49" s="14">
        <f>IFERROR(IF(OR(J49=0,K49=""),"",IF(E49="Positivo",MIN(MAX(K49/J49,0),1.3),MIN(MAX(J49/K49,0),1.3))),"") </f>
        <v/>
      </c>
      <c r="M49" s="14">
        <f>IFERROR(IF(OR(J49=0,K49=""),"",IF(E49="Positivo",MAX(K49/J49,0),MAX(J49/K49,0))),"") </f>
        <v/>
      </c>
      <c r="N49" s="5" t="inlineStr">
        <is>
          <t>%</t>
        </is>
      </c>
      <c r="O49" s="5" t="inlineStr">
        <is>
          <t>%</t>
        </is>
      </c>
      <c r="P49" s="15" t="n">
        <v>1</v>
      </c>
      <c r="Q49" s="15" t="n">
        <v>1</v>
      </c>
      <c r="R49" s="5" t="inlineStr">
        <is>
          <t>77-2022-09-30</t>
        </is>
      </c>
    </row>
    <row r="50">
      <c r="A50" s="21" t="n">
        <v>77</v>
      </c>
      <c r="B50" s="5" t="inlineStr">
        <is>
          <t>Disponibilidad de servicios tecnológicos</t>
        </is>
      </c>
      <c r="C50" s="5" t="inlineStr">
        <is>
          <t>GESTIÓN DE LA TECNOLOGÍA E INNOVACIÓN DIGITAL</t>
        </is>
      </c>
      <c r="D50" s="5" t="inlineStr">
        <is>
          <t>Mensual</t>
        </is>
      </c>
      <c r="E50" s="5" t="inlineStr">
        <is>
          <t>Positivo</t>
        </is>
      </c>
      <c r="F50" s="107" t="n">
        <v>44865</v>
      </c>
      <c r="G50" s="5" t="n">
        <v>2022</v>
      </c>
      <c r="H50" s="5" t="inlineStr">
        <is>
          <t>Octubre</t>
        </is>
      </c>
      <c r="I50" s="6" t="inlineStr">
        <is>
          <t>2022-2</t>
        </is>
      </c>
      <c r="J50" s="5" t="n">
        <v>97</v>
      </c>
      <c r="K50" s="10" t="n">
        <v>98.3</v>
      </c>
      <c r="L50" s="14">
        <f>IFERROR(IF(OR(J50=0,K50=""),"",IF(E50="Positivo",MIN(MAX(K50/J50,0),1.3),MIN(MAX(J50/K50,0),1.3))),"") </f>
        <v/>
      </c>
      <c r="M50" s="14">
        <f>IFERROR(IF(OR(J50=0,K50=""),"",IF(E50="Positivo",MAX(K50/J50,0),MAX(J50/K50,0))),"") </f>
        <v/>
      </c>
      <c r="N50" s="5" t="inlineStr">
        <is>
          <t>%</t>
        </is>
      </c>
      <c r="O50" s="5" t="inlineStr">
        <is>
          <t>%</t>
        </is>
      </c>
      <c r="P50" s="15" t="n">
        <v>1</v>
      </c>
      <c r="Q50" s="15" t="n">
        <v>1</v>
      </c>
      <c r="R50" s="5" t="inlineStr">
        <is>
          <t>77-2022-10-31</t>
        </is>
      </c>
    </row>
    <row r="51">
      <c r="A51" s="21" t="n">
        <v>77</v>
      </c>
      <c r="B51" s="5" t="inlineStr">
        <is>
          <t>Disponibilidad de servicios tecnológicos</t>
        </is>
      </c>
      <c r="C51" s="5" t="inlineStr">
        <is>
          <t>GESTIÓN DE LA TECNOLOGÍA E INNOVACIÓN DIGITAL</t>
        </is>
      </c>
      <c r="D51" s="5" t="inlineStr">
        <is>
          <t>Mensual</t>
        </is>
      </c>
      <c r="E51" s="5" t="inlineStr">
        <is>
          <t>Positivo</t>
        </is>
      </c>
      <c r="F51" s="107" t="n">
        <v>44895</v>
      </c>
      <c r="G51" s="5" t="n">
        <v>2022</v>
      </c>
      <c r="H51" s="5" t="inlineStr">
        <is>
          <t>Noviembre</t>
        </is>
      </c>
      <c r="I51" s="6" t="inlineStr">
        <is>
          <t>2022-2</t>
        </is>
      </c>
      <c r="J51" s="5" t="n">
        <v>97</v>
      </c>
      <c r="K51" s="10" t="n">
        <v>98.2</v>
      </c>
      <c r="L51" s="14">
        <f>IFERROR(IF(OR(J51=0,K51=""),"",IF(E51="Positivo",MIN(MAX(K51/J51,0),1.3),MIN(MAX(J51/K51,0),1.3))),"") </f>
        <v/>
      </c>
      <c r="M51" s="14">
        <f>IFERROR(IF(OR(J51=0,K51=""),"",IF(E51="Positivo",MAX(K51/J51,0),MAX(J51/K51,0))),"") </f>
        <v/>
      </c>
      <c r="N51" s="5" t="inlineStr">
        <is>
          <t>%</t>
        </is>
      </c>
      <c r="O51" s="5" t="inlineStr">
        <is>
          <t>%</t>
        </is>
      </c>
      <c r="P51" s="15" t="n">
        <v>1</v>
      </c>
      <c r="Q51" s="15" t="n">
        <v>1</v>
      </c>
      <c r="R51" s="5" t="inlineStr">
        <is>
          <t>77-2022-11-30</t>
        </is>
      </c>
    </row>
    <row r="52">
      <c r="A52" s="21" t="n">
        <v>77</v>
      </c>
      <c r="B52" s="5" t="inlineStr">
        <is>
          <t>Disponibilidad de servicios tecnológicos</t>
        </is>
      </c>
      <c r="C52" s="5" t="inlineStr">
        <is>
          <t>GESTIÓN DE LA TECNOLOGÍA E INNOVACIÓN DIGITAL</t>
        </is>
      </c>
      <c r="D52" s="5" t="inlineStr">
        <is>
          <t>Mensual</t>
        </is>
      </c>
      <c r="E52" s="5" t="inlineStr">
        <is>
          <t>Positivo</t>
        </is>
      </c>
      <c r="F52" s="107" t="n">
        <v>44926</v>
      </c>
      <c r="G52" s="5" t="n">
        <v>2022</v>
      </c>
      <c r="H52" s="5" t="inlineStr">
        <is>
          <t>Diciembre</t>
        </is>
      </c>
      <c r="I52" s="6" t="inlineStr">
        <is>
          <t>2022-2</t>
        </is>
      </c>
      <c r="J52" s="5" t="n">
        <v>97</v>
      </c>
      <c r="K52" s="10" t="n">
        <v>97.5</v>
      </c>
      <c r="L52" s="14">
        <f>IFERROR(IF(OR(J52=0,K52=""),"",IF(E52="Positivo",MIN(MAX(K52/J52,0),1.3),MIN(MAX(J52/K52,0),1.3))),"") </f>
        <v/>
      </c>
      <c r="M52" s="14">
        <f>IFERROR(IF(OR(J52=0,K52=""),"",IF(E52="Positivo",MAX(K52/J52,0),MAX(J52/K52,0))),"") </f>
        <v/>
      </c>
      <c r="N52" s="5" t="inlineStr">
        <is>
          <t>%</t>
        </is>
      </c>
      <c r="O52" s="5" t="inlineStr">
        <is>
          <t>%</t>
        </is>
      </c>
      <c r="P52" s="15" t="n">
        <v>1</v>
      </c>
      <c r="Q52" s="15" t="n">
        <v>1</v>
      </c>
      <c r="R52" s="5" t="inlineStr">
        <is>
          <t>77-2022-12-31</t>
        </is>
      </c>
    </row>
    <row r="53">
      <c r="A53" s="21" t="n">
        <v>77</v>
      </c>
      <c r="B53" s="5" t="inlineStr">
        <is>
          <t>Disponibilidad de servicios tecnológicos</t>
        </is>
      </c>
      <c r="C53" s="5" t="inlineStr">
        <is>
          <t>Gestión de la tecnología e innovación digital</t>
        </is>
      </c>
      <c r="D53" s="5" t="inlineStr">
        <is>
          <t>Mensual</t>
        </is>
      </c>
      <c r="E53" s="5" t="inlineStr">
        <is>
          <t>Positivo</t>
        </is>
      </c>
      <c r="F53" s="107" t="n">
        <v>44957</v>
      </c>
      <c r="G53" s="5" t="n">
        <v>2023</v>
      </c>
      <c r="H53" s="5" t="inlineStr">
        <is>
          <t>Enero</t>
        </is>
      </c>
      <c r="I53" s="6" t="inlineStr">
        <is>
          <t>2023-1</t>
        </is>
      </c>
      <c r="J53" s="5" t="n">
        <v>97</v>
      </c>
      <c r="K53" s="10" t="n">
        <v>97.5</v>
      </c>
      <c r="L53" s="14">
        <f>IFERROR(IF(OR(J53=0,K53=""),"",IF(E53="Positivo",MIN(MAX(K53/J53,0),1.3),MIN(MAX(J53/K53,0),1.3))),"") </f>
        <v/>
      </c>
      <c r="M53" s="14">
        <f>IFERROR(IF(OR(J53=0,K53=""),"",IF(E53="Positivo",MAX(K53/J53,0),MAX(J53/K53,0))),"") </f>
        <v/>
      </c>
      <c r="N53" s="5" t="inlineStr">
        <is>
          <t>%</t>
        </is>
      </c>
      <c r="O53" s="5" t="inlineStr">
        <is>
          <t>%</t>
        </is>
      </c>
      <c r="P53" s="15" t="n">
        <v>1</v>
      </c>
      <c r="Q53" s="15" t="n">
        <v>1</v>
      </c>
      <c r="R53" s="5" t="inlineStr">
        <is>
          <t>77-2023-01-31</t>
        </is>
      </c>
    </row>
    <row r="54">
      <c r="A54" s="21" t="n">
        <v>77</v>
      </c>
      <c r="B54" s="5" t="inlineStr">
        <is>
          <t>Disponibilidad de servicios tecnológicos</t>
        </is>
      </c>
      <c r="C54" s="5" t="inlineStr">
        <is>
          <t>Gestión de la tecnología e innovación digital</t>
        </is>
      </c>
      <c r="D54" s="5" t="inlineStr">
        <is>
          <t>Mensual</t>
        </is>
      </c>
      <c r="E54" s="5" t="inlineStr">
        <is>
          <t>Positivo</t>
        </is>
      </c>
      <c r="F54" s="107" t="n">
        <v>44985</v>
      </c>
      <c r="G54" s="5" t="n">
        <v>2023</v>
      </c>
      <c r="H54" s="5" t="inlineStr">
        <is>
          <t>Febrero</t>
        </is>
      </c>
      <c r="I54" s="6" t="inlineStr">
        <is>
          <t>2023-1</t>
        </is>
      </c>
      <c r="J54" s="5" t="n">
        <v>97</v>
      </c>
      <c r="K54" s="10" t="n">
        <v>97.2</v>
      </c>
      <c r="L54" s="14">
        <f>IFERROR(IF(OR(J54=0,K54=""),"",IF(E54="Positivo",MIN(MAX(K54/J54,0),1.3),MIN(MAX(J54/K54,0),1.3))),"") </f>
        <v/>
      </c>
      <c r="M54" s="14">
        <f>IFERROR(IF(OR(J54=0,K54=""),"",IF(E54="Positivo",MAX(K54/J54,0),MAX(J54/K54,0))),"") </f>
        <v/>
      </c>
      <c r="N54" s="5" t="inlineStr">
        <is>
          <t>%</t>
        </is>
      </c>
      <c r="O54" s="5" t="inlineStr">
        <is>
          <t>%</t>
        </is>
      </c>
      <c r="P54" s="15" t="n">
        <v>1</v>
      </c>
      <c r="Q54" s="15" t="n">
        <v>1</v>
      </c>
      <c r="R54" s="5" t="inlineStr">
        <is>
          <t>77-2023-02-28</t>
        </is>
      </c>
    </row>
    <row r="55">
      <c r="A55" s="21" t="n">
        <v>77</v>
      </c>
      <c r="B55" s="5" t="inlineStr">
        <is>
          <t>Disponibilidad de servicios tecnológicos</t>
        </is>
      </c>
      <c r="C55" s="5" t="inlineStr">
        <is>
          <t>Gestión de la tecnología e innovación digital</t>
        </is>
      </c>
      <c r="D55" s="5" t="inlineStr">
        <is>
          <t>Mensual</t>
        </is>
      </c>
      <c r="E55" s="5" t="inlineStr">
        <is>
          <t>Positivo</t>
        </is>
      </c>
      <c r="F55" s="107" t="n">
        <v>45016</v>
      </c>
      <c r="G55" s="5" t="n">
        <v>2023</v>
      </c>
      <c r="H55" s="5" t="inlineStr">
        <is>
          <t>Marzo</t>
        </is>
      </c>
      <c r="I55" s="6" t="inlineStr">
        <is>
          <t>2023-1</t>
        </is>
      </c>
      <c r="J55" s="5" t="n">
        <v>97</v>
      </c>
      <c r="K55" s="10" t="n">
        <v>97.8</v>
      </c>
      <c r="L55" s="14">
        <f>IFERROR(IF(OR(J55=0,K55=""),"",IF(E55="Positivo",MIN(MAX(K55/J55,0),1.3),MIN(MAX(J55/K55,0),1.3))),"") </f>
        <v/>
      </c>
      <c r="M55" s="14">
        <f>IFERROR(IF(OR(J55=0,K55=""),"",IF(E55="Positivo",MAX(K55/J55,0),MAX(J55/K55,0))),"") </f>
        <v/>
      </c>
      <c r="N55" s="5" t="inlineStr">
        <is>
          <t>%</t>
        </is>
      </c>
      <c r="O55" s="5" t="inlineStr">
        <is>
          <t>%</t>
        </is>
      </c>
      <c r="P55" s="15" t="n">
        <v>1</v>
      </c>
      <c r="Q55" s="15" t="n">
        <v>1</v>
      </c>
      <c r="R55" s="5" t="inlineStr">
        <is>
          <t>77-2023-03-31</t>
        </is>
      </c>
    </row>
    <row r="56">
      <c r="A56" s="21" t="n">
        <v>77</v>
      </c>
      <c r="B56" s="5" t="inlineStr">
        <is>
          <t>Disponibilidad de servicios tecnológicos</t>
        </is>
      </c>
      <c r="C56" s="5" t="inlineStr">
        <is>
          <t>Gestión de la tecnología e innovación digital</t>
        </is>
      </c>
      <c r="D56" s="5" t="inlineStr">
        <is>
          <t>Mensual</t>
        </is>
      </c>
      <c r="E56" s="5" t="inlineStr">
        <is>
          <t>Positivo</t>
        </is>
      </c>
      <c r="F56" s="107" t="n">
        <v>45046</v>
      </c>
      <c r="G56" s="5" t="n">
        <v>2023</v>
      </c>
      <c r="H56" s="5" t="inlineStr">
        <is>
          <t>Abril</t>
        </is>
      </c>
      <c r="I56" s="6" t="inlineStr">
        <is>
          <t>2023-1</t>
        </is>
      </c>
      <c r="J56" s="5" t="n">
        <v>97</v>
      </c>
      <c r="K56" s="10" t="n">
        <v>95.59999999999999</v>
      </c>
      <c r="L56" s="14">
        <f>IFERROR(IF(OR(J56=0,K56=""),"",IF(E56="Positivo",MIN(MAX(K56/J56,0),1.3),MIN(MAX(J56/K56,0),1.3))),"") </f>
        <v/>
      </c>
      <c r="M56" s="14">
        <f>IFERROR(IF(OR(J56=0,K56=""),"",IF(E56="Positivo",MAX(K56/J56,0),MAX(J56/K56,0))),"") </f>
        <v/>
      </c>
      <c r="N56" s="5" t="inlineStr">
        <is>
          <t>%</t>
        </is>
      </c>
      <c r="O56" s="5" t="inlineStr">
        <is>
          <t>%</t>
        </is>
      </c>
      <c r="P56" s="15" t="n">
        <v>1</v>
      </c>
      <c r="Q56" s="15" t="n">
        <v>1</v>
      </c>
      <c r="R56" s="5" t="inlineStr">
        <is>
          <t>77-2023-04-30</t>
        </is>
      </c>
    </row>
    <row r="57">
      <c r="A57" s="42" t="n">
        <v>77</v>
      </c>
      <c r="B57" s="43" t="inlineStr">
        <is>
          <t>Disponibilidad de servicios tecnológicos</t>
        </is>
      </c>
      <c r="C57" s="43" t="inlineStr">
        <is>
          <t>Gestión de la tecnología e innovación digital</t>
        </is>
      </c>
      <c r="D57" s="43" t="inlineStr">
        <is>
          <t>Mensual</t>
        </is>
      </c>
      <c r="E57" s="43" t="inlineStr">
        <is>
          <t>Positivo</t>
        </is>
      </c>
      <c r="F57" s="108" t="n">
        <v>45077</v>
      </c>
      <c r="G57" s="43" t="n">
        <v>2023</v>
      </c>
      <c r="H57" s="43" t="inlineStr">
        <is>
          <t>Mayo</t>
        </is>
      </c>
      <c r="I57" s="44" t="inlineStr">
        <is>
          <t>2023-1</t>
        </is>
      </c>
      <c r="J57" s="43" t="n">
        <v>97</v>
      </c>
      <c r="K57" s="45" t="n">
        <v>99.40000000000001</v>
      </c>
      <c r="L57" s="46">
        <f>IFERROR(IF(OR(J57=0,K57=""),"",IF(E57="Positivo",MIN(MAX(K57/J57,0),1.3),MIN(MAX(J57/K57,0),1.3))),"") </f>
        <v/>
      </c>
      <c r="M57" s="46">
        <f>IFERROR(IF(OR(J57=0,K57=""),"",IF(E57="Positivo",MAX(K57/J57,0),MAX(J57/K57,0))),"") </f>
        <v/>
      </c>
      <c r="N57" s="43" t="inlineStr">
        <is>
          <t>%</t>
        </is>
      </c>
      <c r="O57" s="43" t="inlineStr">
        <is>
          <t>%</t>
        </is>
      </c>
      <c r="P57" s="47" t="n">
        <v>1</v>
      </c>
      <c r="Q57" s="47" t="n">
        <v>1</v>
      </c>
      <c r="R57" s="5" t="inlineStr">
        <is>
          <t>77-2023-05-31</t>
        </is>
      </c>
    </row>
    <row r="58">
      <c r="A58" s="21" t="n">
        <v>77</v>
      </c>
      <c r="B58" s="5" t="inlineStr">
        <is>
          <t>Disponibilidad de servicios tecnológicos</t>
        </is>
      </c>
      <c r="C58" s="5" t="inlineStr">
        <is>
          <t>Gestión de la tecnología e innovación digital</t>
        </is>
      </c>
      <c r="D58" s="5" t="inlineStr">
        <is>
          <t>Mensual</t>
        </is>
      </c>
      <c r="E58" s="5" t="inlineStr">
        <is>
          <t>Positivo</t>
        </is>
      </c>
      <c r="F58" s="106" t="n">
        <v>45107</v>
      </c>
      <c r="G58" s="5" t="n">
        <v>2023</v>
      </c>
      <c r="H58" s="5" t="inlineStr">
        <is>
          <t>Junio</t>
        </is>
      </c>
      <c r="I58" s="6" t="inlineStr">
        <is>
          <t>2023-1</t>
        </is>
      </c>
      <c r="J58" s="5" t="n">
        <v>97</v>
      </c>
      <c r="K58" s="10" t="n">
        <v>98.59999999999999</v>
      </c>
      <c r="L58" s="14">
        <f>IFERROR(IF(OR(J58=0,K58=""),"",IF(E58="Positivo",MIN(MAX(K58/J58,0),1.3),MIN(MAX(J58/K58,0),1.3))),"") </f>
        <v/>
      </c>
      <c r="M58" s="14">
        <f>IFERROR(IF(OR(J58=0,K58=""),"",IF(E58="Positivo",MAX(K58/J58,0),MAX(J58/K58,0))),"") </f>
        <v/>
      </c>
      <c r="N58" s="5" t="inlineStr">
        <is>
          <t>%</t>
        </is>
      </c>
      <c r="O58" s="5" t="inlineStr">
        <is>
          <t>%</t>
        </is>
      </c>
      <c r="P58" s="15" t="n">
        <v>1</v>
      </c>
      <c r="Q58" s="15" t="n">
        <v>1</v>
      </c>
      <c r="R58" s="5" t="inlineStr">
        <is>
          <t>77-2023-06-30</t>
        </is>
      </c>
    </row>
    <row r="59">
      <c r="A59" s="21" t="n">
        <v>77</v>
      </c>
      <c r="B59" s="5" t="inlineStr">
        <is>
          <t>Disponibilidad de servicios tecnológicos</t>
        </is>
      </c>
      <c r="C59" s="5" t="inlineStr">
        <is>
          <t>Gestión de la tecnología e innovación digital</t>
        </is>
      </c>
      <c r="D59" s="5" t="inlineStr">
        <is>
          <t>Mensual</t>
        </is>
      </c>
      <c r="E59" s="5" t="inlineStr">
        <is>
          <t>Positivo</t>
        </is>
      </c>
      <c r="F59" s="107" t="n">
        <v>45138</v>
      </c>
      <c r="G59" s="5" t="n">
        <v>2023</v>
      </c>
      <c r="H59" s="5" t="inlineStr">
        <is>
          <t>Julio</t>
        </is>
      </c>
      <c r="I59" s="6" t="inlineStr">
        <is>
          <t>2023-2</t>
        </is>
      </c>
      <c r="J59" s="5" t="n">
        <v>97</v>
      </c>
      <c r="K59" s="10" t="n">
        <v>96.7</v>
      </c>
      <c r="L59" s="14">
        <f>IFERROR(IF(OR(J59=0,K59=""),"",IF(E59="Positivo",MIN(MAX(K59/J59,0),1.3),MIN(MAX(J59/K59,0),1.3))),"") </f>
        <v/>
      </c>
      <c r="M59" s="14">
        <f>IFERROR(IF(OR(J59=0,K59=""),"",IF(E59="Positivo",MAX(K59/J59,0),MAX(J59/K59,0))),"") </f>
        <v/>
      </c>
      <c r="N59" s="5" t="inlineStr">
        <is>
          <t>%</t>
        </is>
      </c>
      <c r="O59" s="5" t="inlineStr">
        <is>
          <t>%</t>
        </is>
      </c>
      <c r="P59" s="15" t="n">
        <v>1</v>
      </c>
      <c r="Q59" s="15" t="n">
        <v>1</v>
      </c>
      <c r="R59" s="5" t="inlineStr">
        <is>
          <t>77-2023-07-31</t>
        </is>
      </c>
    </row>
    <row r="60">
      <c r="A60" s="21" t="n">
        <v>77</v>
      </c>
      <c r="B60" s="5" t="inlineStr">
        <is>
          <t>Disponibilidad de servicios tecnológicos</t>
        </is>
      </c>
      <c r="C60" s="5" t="inlineStr">
        <is>
          <t>Gestión de la tecnología e innovación digital</t>
        </is>
      </c>
      <c r="D60" s="5" t="inlineStr">
        <is>
          <t>Mensual</t>
        </is>
      </c>
      <c r="E60" s="5" t="inlineStr">
        <is>
          <t>Positivo</t>
        </is>
      </c>
      <c r="F60" s="107" t="n">
        <v>45169</v>
      </c>
      <c r="G60" s="5" t="n">
        <v>2023</v>
      </c>
      <c r="H60" s="5" t="inlineStr">
        <is>
          <t>Agosto</t>
        </is>
      </c>
      <c r="I60" s="6" t="inlineStr">
        <is>
          <t>2023-2</t>
        </is>
      </c>
      <c r="J60" s="5" t="n">
        <v>97</v>
      </c>
      <c r="K60" s="10" t="n">
        <v>98</v>
      </c>
      <c r="L60" s="14">
        <f>IFERROR(IF(OR(J60=0,K60=""),"",IF(E60="Positivo",MIN(MAX(K60/J60,0),1.3),MIN(MAX(J60/K60,0),1.3))),"") </f>
        <v/>
      </c>
      <c r="M60" s="14">
        <f>IFERROR(IF(OR(J60=0,K60=""),"",IF(E60="Positivo",MAX(K60/J60,0),MAX(J60/K60,0))),"") </f>
        <v/>
      </c>
      <c r="N60" s="5" t="inlineStr">
        <is>
          <t>%</t>
        </is>
      </c>
      <c r="O60" s="5" t="inlineStr">
        <is>
          <t>%</t>
        </is>
      </c>
      <c r="P60" s="15" t="n">
        <v>0</v>
      </c>
      <c r="Q60" s="15" t="n">
        <v>0</v>
      </c>
      <c r="R60" s="5" t="inlineStr">
        <is>
          <t>77-2023-08-31</t>
        </is>
      </c>
    </row>
    <row r="61">
      <c r="A61" s="26" t="n">
        <v>77</v>
      </c>
      <c r="B61" s="5" t="inlineStr">
        <is>
          <t>Disponibilidad de servicios tecnológicos</t>
        </is>
      </c>
      <c r="C61" s="5" t="inlineStr">
        <is>
          <t>Gestión de la tecnología e innovación digital</t>
        </is>
      </c>
      <c r="D61" s="5" t="inlineStr">
        <is>
          <t>Mensual</t>
        </is>
      </c>
      <c r="E61" s="5" t="inlineStr">
        <is>
          <t>Positivo</t>
        </is>
      </c>
      <c r="F61" s="107" t="n">
        <v>45199</v>
      </c>
      <c r="G61" s="5" t="n">
        <v>2023</v>
      </c>
      <c r="H61" s="5" t="inlineStr">
        <is>
          <t>Septiembre</t>
        </is>
      </c>
      <c r="I61" s="6" t="inlineStr">
        <is>
          <t>2023-2</t>
        </is>
      </c>
      <c r="J61" s="5" t="n">
        <v>97</v>
      </c>
      <c r="K61" s="10" t="n">
        <v>97.40000000000001</v>
      </c>
      <c r="L61" s="14">
        <f>IFERROR(IF(OR(J61=0,K61=""),"",IF(E61="Positivo",MIN(MAX(K61/J61,0),1.3),MIN(MAX(J61/K61,0),1.3))),"") </f>
        <v/>
      </c>
      <c r="M61" s="14">
        <f>IFERROR(IF(OR(J61=0,K61=""),"",IF(E61="Positivo",MAX(K61/J61,0),MAX(J61/K61,0))),"") </f>
        <v/>
      </c>
      <c r="N61" s="5" t="inlineStr">
        <is>
          <t>%</t>
        </is>
      </c>
      <c r="O61" s="5" t="inlineStr">
        <is>
          <t>%</t>
        </is>
      </c>
      <c r="P61" s="15" t="n">
        <v>1</v>
      </c>
      <c r="Q61" s="15" t="n">
        <v>1</v>
      </c>
      <c r="R61" s="5" t="inlineStr">
        <is>
          <t>77-2023-09-30</t>
        </is>
      </c>
    </row>
    <row r="62">
      <c r="A62" s="26" t="n">
        <v>77</v>
      </c>
      <c r="B62" s="5" t="inlineStr">
        <is>
          <t>Disponibilidad de servicios tecnológicos</t>
        </is>
      </c>
      <c r="C62" s="5" t="inlineStr">
        <is>
          <t>Gestión de la tecnología e innovación digital</t>
        </is>
      </c>
      <c r="D62" s="5" t="inlineStr">
        <is>
          <t>Mensual</t>
        </is>
      </c>
      <c r="E62" s="5" t="inlineStr">
        <is>
          <t>Positivo</t>
        </is>
      </c>
      <c r="F62" s="107" t="n">
        <v>45230</v>
      </c>
      <c r="G62" s="5" t="n">
        <v>2023</v>
      </c>
      <c r="H62" s="5" t="inlineStr">
        <is>
          <t>Octubre</t>
        </is>
      </c>
      <c r="I62" s="6" t="inlineStr">
        <is>
          <t>2023-2</t>
        </is>
      </c>
      <c r="J62" s="5" t="n">
        <v>97</v>
      </c>
      <c r="K62" s="10" t="n">
        <v>97.5</v>
      </c>
      <c r="L62" s="14">
        <f>IFERROR(IF(OR(J62=0,K62=""),"",IF(E62="Positivo",MIN(MAX(K62/J62,0),1.3),MIN(MAX(J62/K62,0),1.3))),"") </f>
        <v/>
      </c>
      <c r="M62" s="14">
        <f>IFERROR(IF(OR(J62=0,K62=""),"",IF(E62="Positivo",MAX(K62/J62,0),MAX(J62/K62,0))),"") </f>
        <v/>
      </c>
      <c r="N62" s="5" t="inlineStr">
        <is>
          <t>%</t>
        </is>
      </c>
      <c r="O62" s="5" t="inlineStr">
        <is>
          <t>%</t>
        </is>
      </c>
      <c r="P62" s="15" t="n">
        <v>1</v>
      </c>
      <c r="Q62" s="15" t="n">
        <v>1</v>
      </c>
      <c r="R62" s="5" t="inlineStr">
        <is>
          <t>77-2023-10-31</t>
        </is>
      </c>
    </row>
    <row r="63">
      <c r="A63" s="21" t="n">
        <v>77</v>
      </c>
      <c r="B63" s="5" t="inlineStr">
        <is>
          <t>Disponibilidad de servicios tecnológicos</t>
        </is>
      </c>
      <c r="C63" s="5" t="inlineStr">
        <is>
          <t>Gestión de la tecnología e innovación digital</t>
        </is>
      </c>
      <c r="D63" s="5" t="inlineStr">
        <is>
          <t>Mensual</t>
        </is>
      </c>
      <c r="E63" s="5" t="inlineStr">
        <is>
          <t>Positivo</t>
        </is>
      </c>
      <c r="F63" s="107" t="n">
        <v>45260</v>
      </c>
      <c r="G63" s="5" t="n">
        <v>2023</v>
      </c>
      <c r="H63" s="5" t="inlineStr">
        <is>
          <t>Noviembre</t>
        </is>
      </c>
      <c r="I63" s="6" t="inlineStr">
        <is>
          <t>2023-2</t>
        </is>
      </c>
      <c r="J63" s="5" t="n">
        <v>97</v>
      </c>
      <c r="K63" s="10" t="n">
        <v>97.3</v>
      </c>
      <c r="L63" s="14">
        <f>IFERROR(IF(OR(J63=0,K63=""),"",IF(E63="Positivo",MIN(MAX(K63/J63,0),1.3),MIN(MAX(J63/K63,0),1.3))),"") </f>
        <v/>
      </c>
      <c r="M63" s="14">
        <f>IFERROR(IF(OR(J63=0,K63=""),"",IF(E63="Positivo",MAX(K63/J63,0),MAX(J63/K63,0))),"") </f>
        <v/>
      </c>
      <c r="N63" s="5" t="inlineStr">
        <is>
          <t>%</t>
        </is>
      </c>
      <c r="O63" s="5" t="inlineStr">
        <is>
          <t>%</t>
        </is>
      </c>
      <c r="P63" s="15" t="n">
        <v>1</v>
      </c>
      <c r="Q63" s="15" t="n">
        <v>1</v>
      </c>
      <c r="R63" s="5" t="inlineStr">
        <is>
          <t>77-2023-11-30</t>
        </is>
      </c>
    </row>
    <row r="64">
      <c r="A64" s="5" t="n">
        <v>77</v>
      </c>
      <c r="B64" s="5" t="inlineStr">
        <is>
          <t>Disponibilidad de servicios tecnológicos</t>
        </is>
      </c>
      <c r="C64" s="5" t="inlineStr">
        <is>
          <t>Gestión de la tecnología e innovación digital</t>
        </is>
      </c>
      <c r="D64" s="5" t="inlineStr">
        <is>
          <t>Mensual</t>
        </is>
      </c>
      <c r="E64" s="5" t="inlineStr">
        <is>
          <t>Positivo</t>
        </is>
      </c>
      <c r="F64" s="107" t="n">
        <v>45291</v>
      </c>
      <c r="G64" s="5" t="n">
        <v>2023</v>
      </c>
      <c r="H64" s="5" t="inlineStr">
        <is>
          <t>Diciembre</t>
        </is>
      </c>
      <c r="I64" s="6" t="inlineStr">
        <is>
          <t>2023-2</t>
        </is>
      </c>
      <c r="J64" s="5" t="n">
        <v>97</v>
      </c>
      <c r="K64" s="5" t="n">
        <v>98.59999999999999</v>
      </c>
      <c r="L64" s="14">
        <f>IFERROR(IF(OR(J64=0,K64=""),"",IF(E64="Positivo",MIN(MAX(K64/J64,0),1.3),MIN(MAX(J64/K64,0),1.3))),"") </f>
        <v/>
      </c>
      <c r="M64" s="14">
        <f>IFERROR(IF(OR(J64=0,K64=""),"",IF(E64="Positivo",MAX(K64/J64,0),MAX(J64/K64,0))),"") </f>
        <v/>
      </c>
      <c r="N64" s="5" t="inlineStr">
        <is>
          <t>%</t>
        </is>
      </c>
      <c r="O64" s="5" t="inlineStr">
        <is>
          <t>%</t>
        </is>
      </c>
      <c r="P64" s="15" t="n">
        <v>1</v>
      </c>
      <c r="Q64" s="15" t="n">
        <v>1</v>
      </c>
      <c r="R64" s="5" t="inlineStr">
        <is>
          <t>77-2023-12-31</t>
        </is>
      </c>
    </row>
    <row r="65">
      <c r="A65" s="21" t="n">
        <v>77</v>
      </c>
      <c r="B65" s="5" t="inlineStr">
        <is>
          <t>Disponibilidad de servicios tecnológicos</t>
        </is>
      </c>
      <c r="C65" s="5" t="inlineStr">
        <is>
          <t>Gestión de la tecnología e innovación digital</t>
        </is>
      </c>
      <c r="D65" s="5" t="inlineStr">
        <is>
          <t>Mensual</t>
        </is>
      </c>
      <c r="E65" s="5" t="inlineStr">
        <is>
          <t>Positivo</t>
        </is>
      </c>
      <c r="F65" s="107" t="n">
        <v>45322</v>
      </c>
      <c r="G65" s="5" t="n">
        <v>2024</v>
      </c>
      <c r="H65" s="5" t="inlineStr">
        <is>
          <t>Enero</t>
        </is>
      </c>
      <c r="I65" s="6" t="inlineStr">
        <is>
          <t>2024-1</t>
        </is>
      </c>
      <c r="J65" s="5" t="n">
        <v>97</v>
      </c>
      <c r="K65" s="10" t="n">
        <v>97</v>
      </c>
      <c r="L65" s="14">
        <f>IFERROR(IF(OR(J65=0,K65=""),"",IF(E65="Positivo",MIN(MAX(K65/J65,0),1.3),MIN(MAX(J65/K65,0),1.3))),"") </f>
        <v/>
      </c>
      <c r="M65" s="14">
        <f>IFERROR(IF(OR(J65=0,K65=""),"",IF(E65="Positivo",MAX(K65/J65,0),MAX(J65/K65,0))),"") </f>
        <v/>
      </c>
      <c r="N65" s="5" t="inlineStr">
        <is>
          <t>%</t>
        </is>
      </c>
      <c r="O65" s="5" t="inlineStr">
        <is>
          <t>%</t>
        </is>
      </c>
      <c r="P65" s="15" t="n">
        <v>1</v>
      </c>
      <c r="Q65" s="15" t="n">
        <v>1</v>
      </c>
      <c r="R65" s="5" t="inlineStr">
        <is>
          <t>77-2024-01-31</t>
        </is>
      </c>
    </row>
    <row r="66">
      <c r="A66" s="21" t="n">
        <v>77</v>
      </c>
      <c r="B66" s="5" t="inlineStr">
        <is>
          <t>Disponibilidad de servicios tecnológicos</t>
        </is>
      </c>
      <c r="C66" s="5" t="inlineStr">
        <is>
          <t>GESTIÓN DE LA TECNOLOGÍA E INNOVACIÓN DIGITAL</t>
        </is>
      </c>
      <c r="D66" s="5" t="inlineStr">
        <is>
          <t>Mensual</t>
        </is>
      </c>
      <c r="E66" s="5" t="inlineStr">
        <is>
          <t>Positivo</t>
        </is>
      </c>
      <c r="F66" s="107" t="n">
        <v>45351</v>
      </c>
      <c r="G66" s="5" t="n">
        <v>2024</v>
      </c>
      <c r="H66" s="5" t="inlineStr">
        <is>
          <t>Febrero</t>
        </is>
      </c>
      <c r="I66" s="6" t="inlineStr">
        <is>
          <t>2024-1</t>
        </is>
      </c>
      <c r="J66" s="5" t="n">
        <v>97</v>
      </c>
      <c r="K66" s="10" t="n">
        <v>98</v>
      </c>
      <c r="L66" s="14">
        <f>IFERROR(IF(OR(J66=0,K66=""),"",IF(E66="Positivo",MIN(MAX(K66/J66,0),1.3),MIN(MAX(J66/K66,0),1.3))),"") </f>
        <v/>
      </c>
      <c r="M66" s="14">
        <f>IFERROR(IF(OR(J66=0,K66=""),"",IF(E66="Positivo",MAX(K66/J66,0),MAX(J66/K66,0))),"") </f>
        <v/>
      </c>
      <c r="N66" s="5" t="inlineStr">
        <is>
          <t>%</t>
        </is>
      </c>
      <c r="O66" s="5" t="inlineStr">
        <is>
          <t>%</t>
        </is>
      </c>
      <c r="P66" s="15" t="n">
        <v>1</v>
      </c>
      <c r="Q66" s="15" t="n">
        <v>1</v>
      </c>
      <c r="R66" s="5" t="inlineStr">
        <is>
          <t>77-2024-02-29</t>
        </is>
      </c>
    </row>
    <row r="67">
      <c r="A67" s="21" t="n">
        <v>77</v>
      </c>
      <c r="B67" s="5" t="inlineStr">
        <is>
          <t>Disponibilidad de servicios tecnológicos</t>
        </is>
      </c>
      <c r="C67" s="5" t="inlineStr">
        <is>
          <t>Gestión de la tecnología e innovación digital</t>
        </is>
      </c>
      <c r="D67" s="5" t="inlineStr">
        <is>
          <t>Mensual</t>
        </is>
      </c>
      <c r="E67" s="5" t="inlineStr">
        <is>
          <t>Positivo</t>
        </is>
      </c>
      <c r="F67" s="107" t="n">
        <v>45382</v>
      </c>
      <c r="G67" s="5" t="n">
        <v>2024</v>
      </c>
      <c r="H67" s="5" t="inlineStr">
        <is>
          <t>Marzo</t>
        </is>
      </c>
      <c r="I67" s="6" t="inlineStr">
        <is>
          <t>2024-1</t>
        </is>
      </c>
      <c r="J67" s="5" t="n">
        <v>97</v>
      </c>
      <c r="K67" s="10" t="n">
        <v>99.09999999999999</v>
      </c>
      <c r="L67" s="14">
        <f>IFERROR(IF(OR(J67=0,K67=""),"",IF(E67="Positivo",MIN(MAX(K67/J67,0),1.3),MIN(MAX(J67/K67,0),1.3))),"") </f>
        <v/>
      </c>
      <c r="M67" s="14">
        <f>IFERROR(IF(OR(J67=0,K67=""),"",IF(E67="Positivo",MAX(K67/J67,0),MAX(J67/K67,0))),"") </f>
        <v/>
      </c>
      <c r="N67" s="5" t="inlineStr">
        <is>
          <t>%</t>
        </is>
      </c>
      <c r="O67" s="5" t="inlineStr">
        <is>
          <t>%</t>
        </is>
      </c>
      <c r="P67" s="15" t="n">
        <v>1</v>
      </c>
      <c r="Q67" s="15" t="n">
        <v>1</v>
      </c>
      <c r="R67" s="5" t="inlineStr">
        <is>
          <t>77-2024-03-31</t>
        </is>
      </c>
    </row>
    <row r="68">
      <c r="A68" s="21" t="n">
        <v>77</v>
      </c>
      <c r="B68" s="5" t="inlineStr">
        <is>
          <t>Disponibilidad de servicios tecnológicos</t>
        </is>
      </c>
      <c r="C68" s="5" t="inlineStr">
        <is>
          <t>Gestión de la tecnología e innovación digital</t>
        </is>
      </c>
      <c r="D68" s="5" t="inlineStr">
        <is>
          <t>Mensual</t>
        </is>
      </c>
      <c r="E68" s="5" t="inlineStr">
        <is>
          <t>Positivo</t>
        </is>
      </c>
      <c r="F68" s="107" t="n">
        <v>45412</v>
      </c>
      <c r="G68" s="5" t="n">
        <v>2024</v>
      </c>
      <c r="H68" s="5" t="inlineStr">
        <is>
          <t>Abril</t>
        </is>
      </c>
      <c r="I68" s="6" t="inlineStr">
        <is>
          <t>2024-1</t>
        </is>
      </c>
      <c r="J68" s="5" t="n">
        <v>97</v>
      </c>
      <c r="K68" s="10" t="n">
        <v>98.09</v>
      </c>
      <c r="L68" s="14">
        <f>IFERROR(IF(OR(J68=0,K68=""),"",IF(E68="Positivo",MIN(MAX(K68/J68,0),1.3),MIN(MAX(J68/K68,0),1.3))),"") </f>
        <v/>
      </c>
      <c r="M68" s="14">
        <f>IFERROR(IF(OR(J68=0,K68=""),"",IF(E68="Positivo",MAX(K68/J68,0),MAX(J68/K68,0))),"") </f>
        <v/>
      </c>
      <c r="N68" s="5" t="inlineStr">
        <is>
          <t>%</t>
        </is>
      </c>
      <c r="O68" s="5" t="inlineStr">
        <is>
          <t>%</t>
        </is>
      </c>
      <c r="P68" s="15" t="n">
        <v>1</v>
      </c>
      <c r="Q68" s="15" t="n">
        <v>1</v>
      </c>
      <c r="R68" s="5" t="inlineStr">
        <is>
          <t>77-2024-04-30</t>
        </is>
      </c>
    </row>
    <row r="69">
      <c r="A69" s="21" t="n">
        <v>77</v>
      </c>
      <c r="B69" s="5" t="inlineStr">
        <is>
          <t>Disponibilidad de servicios tecnológicos</t>
        </is>
      </c>
      <c r="C69" s="5" t="inlineStr">
        <is>
          <t>Gestión de la tecnología e innovación digital</t>
        </is>
      </c>
      <c r="D69" s="5" t="inlineStr">
        <is>
          <t>Mensual</t>
        </is>
      </c>
      <c r="E69" s="5" t="inlineStr">
        <is>
          <t>Positivo</t>
        </is>
      </c>
      <c r="F69" s="106" t="n">
        <v>45443</v>
      </c>
      <c r="G69" s="5" t="n">
        <v>2024</v>
      </c>
      <c r="H69" s="5" t="inlineStr">
        <is>
          <t>Mayo</t>
        </is>
      </c>
      <c r="I69" s="6" t="inlineStr">
        <is>
          <t>2024-1</t>
        </is>
      </c>
      <c r="J69" s="5" t="n">
        <v>97</v>
      </c>
      <c r="K69" s="10" t="n">
        <v>98.8</v>
      </c>
      <c r="L69" s="14">
        <f>IFERROR(IF(OR(J69=0,K69=""),"",IF(E69="Positivo",MIN(MAX(K69/J69,0),1.3),MIN(MAX(J69/K69,0),1.3))),"") </f>
        <v/>
      </c>
      <c r="M69" s="14">
        <f>IFERROR(IF(OR(J69=0,K69=""),"",IF(E69="Positivo",MAX(K69/J69,0),MAX(J69/K69,0))),"") </f>
        <v/>
      </c>
      <c r="N69" s="5" t="inlineStr">
        <is>
          <t>%</t>
        </is>
      </c>
      <c r="O69" s="5" t="inlineStr">
        <is>
          <t>%</t>
        </is>
      </c>
      <c r="P69" s="15" t="n">
        <v>1</v>
      </c>
      <c r="Q69" s="15" t="n">
        <v>1</v>
      </c>
      <c r="R69" s="5" t="inlineStr">
        <is>
          <t>77-2024-05-31</t>
        </is>
      </c>
    </row>
    <row r="70">
      <c r="A70" s="26" t="n">
        <v>77</v>
      </c>
      <c r="B70" s="5" t="inlineStr">
        <is>
          <t>Disponibilidad de servicios tecnológicos</t>
        </is>
      </c>
      <c r="C70" s="5" t="inlineStr">
        <is>
          <t>Gestión de la tecnología e innovación digital</t>
        </is>
      </c>
      <c r="D70" s="5" t="inlineStr">
        <is>
          <t>Mensual</t>
        </is>
      </c>
      <c r="E70" s="5" t="inlineStr">
        <is>
          <t>Positivo</t>
        </is>
      </c>
      <c r="F70" s="107" t="n">
        <v>45473</v>
      </c>
      <c r="G70" s="5" t="n">
        <v>2024</v>
      </c>
      <c r="H70" s="5" t="inlineStr">
        <is>
          <t>Junio</t>
        </is>
      </c>
      <c r="I70" s="6" t="inlineStr">
        <is>
          <t>2024-1</t>
        </is>
      </c>
      <c r="J70" s="5" t="n">
        <v>97</v>
      </c>
      <c r="K70" s="10" t="n">
        <v>99</v>
      </c>
      <c r="L70" s="14">
        <f>IFERROR(IF(OR(J70=0,K70=""),"",IF(E70="Positivo",MIN(MAX(K70/J70,0),1.3),MIN(MAX(J70/K70,0),1.3))),"") </f>
        <v/>
      </c>
      <c r="M70" s="14">
        <f>IFERROR(IF(OR(J70=0,K70=""),"",IF(E70="Positivo",MAX(K70/J70,0),MAX(J70/K70,0))),"") </f>
        <v/>
      </c>
      <c r="N70" s="5" t="inlineStr">
        <is>
          <t>%</t>
        </is>
      </c>
      <c r="O70" s="5" t="inlineStr">
        <is>
          <t>%</t>
        </is>
      </c>
      <c r="P70" s="15" t="n">
        <v>1</v>
      </c>
      <c r="Q70" s="15" t="n">
        <v>1</v>
      </c>
      <c r="R70" s="5" t="inlineStr">
        <is>
          <t>77-2024-06-30</t>
        </is>
      </c>
    </row>
    <row r="71">
      <c r="A71" s="26" t="n">
        <v>77</v>
      </c>
      <c r="B71" s="5" t="inlineStr">
        <is>
          <t>Disponibilidad de servicios tecnológicos</t>
        </is>
      </c>
      <c r="C71" s="5" t="inlineStr">
        <is>
          <t>Gestión de la tecnología e innovación digital</t>
        </is>
      </c>
      <c r="D71" s="5" t="inlineStr">
        <is>
          <t>Mensual</t>
        </is>
      </c>
      <c r="E71" s="5" t="inlineStr">
        <is>
          <t>Positivo</t>
        </is>
      </c>
      <c r="F71" s="107" t="n">
        <v>45504</v>
      </c>
      <c r="G71" s="5" t="n">
        <v>2024</v>
      </c>
      <c r="H71" s="5" t="inlineStr">
        <is>
          <t>Julio</t>
        </is>
      </c>
      <c r="I71" s="6" t="inlineStr">
        <is>
          <t>2024-2</t>
        </is>
      </c>
      <c r="J71" s="5" t="n">
        <v>97</v>
      </c>
      <c r="K71" s="10" t="n">
        <v>97</v>
      </c>
      <c r="L71" s="14">
        <f>IFERROR(IF(OR(J71=0,K71=""),"",IF(E71="Positivo",MIN(MAX(K71/J71,0),1.3),MIN(MAX(J71/K71,0),1.3))),"") </f>
        <v/>
      </c>
      <c r="M71" s="14">
        <f>IFERROR(IF(OR(J71=0,K71=""),"",IF(E71="Positivo",MAX(K71/J71,0),MAX(J71/K71,0))),"") </f>
        <v/>
      </c>
      <c r="N71" s="5" t="inlineStr">
        <is>
          <t>%</t>
        </is>
      </c>
      <c r="O71" s="5" t="inlineStr">
        <is>
          <t>%</t>
        </is>
      </c>
      <c r="P71" s="15" t="n">
        <v>1</v>
      </c>
      <c r="Q71" s="15" t="n">
        <v>1</v>
      </c>
      <c r="R71" s="5" t="inlineStr">
        <is>
          <t>77-2024-07-31</t>
        </is>
      </c>
    </row>
    <row r="72">
      <c r="A72" s="26" t="n">
        <v>77</v>
      </c>
      <c r="B72" s="5" t="inlineStr">
        <is>
          <t>Disponibilidad de servicios tecnológicos</t>
        </is>
      </c>
      <c r="C72" s="5" t="inlineStr">
        <is>
          <t>Gestión de la tecnología e innovación digital</t>
        </is>
      </c>
      <c r="D72" s="5" t="inlineStr">
        <is>
          <t>Mensual</t>
        </is>
      </c>
      <c r="E72" s="5" t="inlineStr">
        <is>
          <t>Positivo</t>
        </is>
      </c>
      <c r="F72" s="107" t="n">
        <v>45535</v>
      </c>
      <c r="G72" s="5" t="n">
        <v>2024</v>
      </c>
      <c r="H72" s="5" t="inlineStr">
        <is>
          <t>Agosto</t>
        </is>
      </c>
      <c r="I72" s="6" t="inlineStr">
        <is>
          <t>2024-2</t>
        </is>
      </c>
      <c r="J72" s="5" t="n">
        <v>97</v>
      </c>
      <c r="K72" s="10" t="n">
        <v>92.7</v>
      </c>
      <c r="L72" s="14">
        <f>IFERROR(IF(OR(J72=0,K72=""),"",IF(E72="Positivo",MIN(MAX(K72/J72,0),1.3),MIN(MAX(J72/K72,0),1.3))),"") </f>
        <v/>
      </c>
      <c r="M72" s="14">
        <f>IFERROR(IF(OR(J72=0,K72=""),"",IF(E72="Positivo",MAX(K72/J72,0),MAX(J72/K72,0))),"") </f>
        <v/>
      </c>
      <c r="N72" s="5" t="inlineStr">
        <is>
          <t>%</t>
        </is>
      </c>
      <c r="O72" s="5" t="inlineStr">
        <is>
          <t>%</t>
        </is>
      </c>
      <c r="P72" s="15" t="n">
        <v>1</v>
      </c>
      <c r="Q72" s="15" t="n">
        <v>1</v>
      </c>
      <c r="R72" s="5" t="inlineStr">
        <is>
          <t>77-2024-08-31</t>
        </is>
      </c>
    </row>
    <row r="73">
      <c r="A73" s="21" t="n">
        <v>77</v>
      </c>
      <c r="B73" s="5" t="inlineStr">
        <is>
          <t>Disponibilidad de servicios tecnológicos</t>
        </is>
      </c>
      <c r="C73" s="5" t="inlineStr">
        <is>
          <t>Gestión de la tecnología e innovación digital</t>
        </is>
      </c>
      <c r="D73" s="5" t="inlineStr">
        <is>
          <t>Mensual</t>
        </is>
      </c>
      <c r="E73" s="5" t="inlineStr">
        <is>
          <t>Positivo</t>
        </is>
      </c>
      <c r="F73" s="107" t="n">
        <v>45565</v>
      </c>
      <c r="G73" s="5" t="n">
        <v>2024</v>
      </c>
      <c r="H73" s="5" t="inlineStr">
        <is>
          <t>Septiembre</t>
        </is>
      </c>
      <c r="I73" s="6" t="inlineStr">
        <is>
          <t>2024-2</t>
        </is>
      </c>
      <c r="J73" s="5" t="n">
        <v>97</v>
      </c>
      <c r="K73" s="10" t="n">
        <v>97</v>
      </c>
      <c r="L73" s="14">
        <f>IFERROR(IF(OR(J73=0,K73=""),"",IF(E73="Positivo",MIN(MAX(K73/J73,0),1.3),MIN(MAX(J73/K73,0),1.3))),"") </f>
        <v/>
      </c>
      <c r="M73" s="14">
        <f>IFERROR(IF(OR(J73=0,K73=""),"",IF(E73="Positivo",MAX(K73/J73,0),MAX(J73/K73,0))),"") </f>
        <v/>
      </c>
      <c r="N73" s="5" t="inlineStr">
        <is>
          <t>%</t>
        </is>
      </c>
      <c r="O73" s="5" t="inlineStr">
        <is>
          <t>%</t>
        </is>
      </c>
      <c r="P73" s="15" t="n">
        <v>1</v>
      </c>
      <c r="Q73" s="15" t="n">
        <v>1</v>
      </c>
      <c r="R73" s="5" t="inlineStr">
        <is>
          <t>77-2024-09-30</t>
        </is>
      </c>
    </row>
    <row r="74">
      <c r="A74" s="26" t="n">
        <v>77</v>
      </c>
      <c r="B74" s="5" t="inlineStr">
        <is>
          <t>Disponibilidad de servicios tecnológicos</t>
        </is>
      </c>
      <c r="C74" s="5" t="inlineStr">
        <is>
          <t>Gestión de la tecnología e innovación digital</t>
        </is>
      </c>
      <c r="D74" s="5" t="inlineStr">
        <is>
          <t>Mensual</t>
        </is>
      </c>
      <c r="E74" s="5" t="inlineStr">
        <is>
          <t>Positivo</t>
        </is>
      </c>
      <c r="F74" s="107" t="n">
        <v>45596</v>
      </c>
      <c r="G74" s="5" t="n">
        <v>2024</v>
      </c>
      <c r="H74" s="5" t="inlineStr">
        <is>
          <t>Octubre</t>
        </is>
      </c>
      <c r="I74" s="6" t="inlineStr">
        <is>
          <t>2024-2</t>
        </is>
      </c>
      <c r="J74" s="5" t="n">
        <v>97</v>
      </c>
      <c r="K74" s="10" t="n">
        <v>97.3</v>
      </c>
      <c r="L74" s="14">
        <f>IFERROR(IF(OR(J74=0,K74=""),"",IF(E74="Positivo",MIN(MAX(K74/J74,0),1.3),MIN(MAX(J74/K74,0),1.3))),"") </f>
        <v/>
      </c>
      <c r="M74" s="14">
        <f>IFERROR(IF(OR(J74=0,K74=""),"",IF(E74="Positivo",MAX(K74/J74,0),MAX(J74/K74,0))),"") </f>
        <v/>
      </c>
      <c r="N74" s="5" t="inlineStr">
        <is>
          <t>%</t>
        </is>
      </c>
      <c r="O74" s="5" t="inlineStr">
        <is>
          <t>%</t>
        </is>
      </c>
      <c r="P74" s="15" t="n">
        <v>1</v>
      </c>
      <c r="Q74" s="15" t="n">
        <v>1</v>
      </c>
      <c r="R74" s="5" t="inlineStr">
        <is>
          <t>77-2024-10-31</t>
        </is>
      </c>
    </row>
    <row r="75">
      <c r="A75" s="21" t="n">
        <v>77</v>
      </c>
      <c r="B75" s="5" t="inlineStr">
        <is>
          <t>Disponibilidad de servicios tecnológicos</t>
        </is>
      </c>
      <c r="C75" s="5" t="inlineStr">
        <is>
          <t>Gestión de la tecnología e innovación digital</t>
        </is>
      </c>
      <c r="D75" s="5" t="inlineStr">
        <is>
          <t>Mensual</t>
        </is>
      </c>
      <c r="E75" s="5" t="inlineStr">
        <is>
          <t>Positivo</t>
        </is>
      </c>
      <c r="F75" s="107" t="n">
        <v>45626</v>
      </c>
      <c r="G75" s="5" t="n">
        <v>2024</v>
      </c>
      <c r="H75" s="5" t="inlineStr">
        <is>
          <t>Noviembre</t>
        </is>
      </c>
      <c r="I75" s="6" t="inlineStr">
        <is>
          <t>2024-2</t>
        </is>
      </c>
      <c r="J75" s="5" t="n">
        <v>97</v>
      </c>
      <c r="K75" s="10" t="n">
        <v>97</v>
      </c>
      <c r="L75" s="14">
        <f>IFERROR(IF(OR(J75=0,K75=""),"",IF(E75="Positivo",MIN(MAX(K75/J75,0),1.3),MIN(MAX(J75/K75,0),1.3))),"") </f>
        <v/>
      </c>
      <c r="M75" s="14">
        <f>IFERROR(IF(OR(J75=0,K75=""),"",IF(E75="Positivo",MAX(K75/J75,0),MAX(J75/K75,0))),"") </f>
        <v/>
      </c>
      <c r="N75" s="5" t="inlineStr">
        <is>
          <t>%</t>
        </is>
      </c>
      <c r="O75" s="5" t="inlineStr">
        <is>
          <t>%</t>
        </is>
      </c>
      <c r="P75" s="15" t="n">
        <v>1</v>
      </c>
      <c r="Q75" s="15" t="n">
        <v>1</v>
      </c>
      <c r="R75" s="5" t="inlineStr">
        <is>
          <t>77-2024-11-30</t>
        </is>
      </c>
    </row>
    <row r="76">
      <c r="A76" s="21" t="n">
        <v>77</v>
      </c>
      <c r="B76" s="5" t="inlineStr">
        <is>
          <t>Disponibilidad de servicios tecnológicos</t>
        </is>
      </c>
      <c r="C76" s="5" t="inlineStr">
        <is>
          <t>Gestión de la tecnología e innovación digital</t>
        </is>
      </c>
      <c r="D76" s="5" t="inlineStr">
        <is>
          <t>Mensual</t>
        </is>
      </c>
      <c r="E76" s="5" t="inlineStr">
        <is>
          <t>Positivo</t>
        </is>
      </c>
      <c r="F76" s="106" t="n">
        <v>45657</v>
      </c>
      <c r="G76" s="5" t="n">
        <v>2024</v>
      </c>
      <c r="H76" s="5" t="inlineStr">
        <is>
          <t>Diciembre</t>
        </is>
      </c>
      <c r="I76" s="6" t="inlineStr">
        <is>
          <t>2024-2</t>
        </is>
      </c>
      <c r="J76" s="5" t="n">
        <v>97</v>
      </c>
      <c r="K76" s="10" t="n">
        <v>98.2</v>
      </c>
      <c r="L76" s="14">
        <f>IFERROR(IF(OR(J76=0,K76=""),"",IF(E76="Positivo",MIN(MAX(K76/J76,0),1.3),MIN(MAX(J76/K76,0),1.3))),"") </f>
        <v/>
      </c>
      <c r="M76" s="14">
        <f>IFERROR(IF(OR(J76=0,K76=""),"",IF(E76="Positivo",MAX(K76/J76,0),MAX(J76/K76,0))),"") </f>
        <v/>
      </c>
      <c r="N76" s="5" t="inlineStr">
        <is>
          <t>%</t>
        </is>
      </c>
      <c r="O76" s="5" t="inlineStr">
        <is>
          <t>%</t>
        </is>
      </c>
      <c r="P76" s="15" t="n">
        <v>1</v>
      </c>
      <c r="Q76" s="15" t="n">
        <v>1</v>
      </c>
      <c r="R76" s="5" t="inlineStr">
        <is>
          <t>77-2024-12-31</t>
        </is>
      </c>
    </row>
    <row r="77">
      <c r="A77" s="26" t="n">
        <v>77</v>
      </c>
      <c r="B77" s="5" t="inlineStr">
        <is>
          <t>Disponibilidad de servicios tecnológicos</t>
        </is>
      </c>
      <c r="C77" s="5" t="inlineStr">
        <is>
          <t>Gestión de la tecnología e innovación digital</t>
        </is>
      </c>
      <c r="D77" s="5" t="inlineStr">
        <is>
          <t>Mensual</t>
        </is>
      </c>
      <c r="E77" s="5" t="inlineStr">
        <is>
          <t>Positivo</t>
        </is>
      </c>
      <c r="F77" s="107" t="n">
        <v>45688</v>
      </c>
      <c r="G77" s="5" t="n">
        <v>2025</v>
      </c>
      <c r="H77" s="5" t="inlineStr">
        <is>
          <t>Enero</t>
        </is>
      </c>
      <c r="I77" s="6" t="inlineStr">
        <is>
          <t>2025-1</t>
        </is>
      </c>
      <c r="J77" s="5" t="n">
        <v>97</v>
      </c>
      <c r="K77" s="10" t="n">
        <v>96</v>
      </c>
      <c r="L77" s="14">
        <f>IFERROR(IF(OR(J77=0,K77=""),"",IF(E77="Positivo",MIN(MAX(K77/J77,0),1.3),MIN(MAX(J77/K77,0),1.3))),"") </f>
        <v/>
      </c>
      <c r="M77" s="14">
        <f>IFERROR(IF(OR(J77=0,K77=""),"",IF(E77="Positivo",MAX(K77/J77,0),MAX(J77/K77,0))),"") </f>
        <v/>
      </c>
      <c r="N77" s="5" t="inlineStr">
        <is>
          <t>%</t>
        </is>
      </c>
      <c r="O77" s="5" t="inlineStr">
        <is>
          <t>%</t>
        </is>
      </c>
      <c r="P77" s="15" t="n">
        <v>1</v>
      </c>
      <c r="Q77" s="15" t="n">
        <v>1</v>
      </c>
      <c r="R77" s="5" t="inlineStr">
        <is>
          <t>77-2025-01-31</t>
        </is>
      </c>
    </row>
    <row r="78">
      <c r="A78" s="5" t="n">
        <v>77</v>
      </c>
      <c r="B78" s="5" t="inlineStr">
        <is>
          <t>Disponibilidad de servicios tecnológicos</t>
        </is>
      </c>
      <c r="C78" s="5" t="inlineStr">
        <is>
          <t>Gestión de la tecnología e innovación digital</t>
        </is>
      </c>
      <c r="D78" s="5" t="inlineStr">
        <is>
          <t>Mensual</t>
        </is>
      </c>
      <c r="E78" s="5" t="inlineStr">
        <is>
          <t>Positivo</t>
        </is>
      </c>
      <c r="F78" s="107" t="n">
        <v>45716</v>
      </c>
      <c r="G78" s="5" t="n">
        <v>2025</v>
      </c>
      <c r="H78" s="5" t="inlineStr">
        <is>
          <t>Febrero</t>
        </is>
      </c>
      <c r="I78" s="6" t="inlineStr">
        <is>
          <t>2025-1</t>
        </is>
      </c>
      <c r="J78" s="5" t="n">
        <v>97</v>
      </c>
      <c r="K78" s="5" t="n">
        <v>94</v>
      </c>
      <c r="L78" s="14">
        <f>IFERROR(IF(OR(J78=0,K78=""),"",IF(E78="Positivo",MIN(MAX(K78/J78,0),1.3),MIN(MAX(J78/K78,0),1.3))),"") </f>
        <v/>
      </c>
      <c r="M78" s="14">
        <f>IFERROR(IF(OR(J78=0,K78=""),"",IF(E78="Positivo",MAX(K78/J78,0),MAX(J78/K78,0))),"") </f>
        <v/>
      </c>
      <c r="N78" s="5" t="inlineStr">
        <is>
          <t>%</t>
        </is>
      </c>
      <c r="O78" s="5" t="inlineStr">
        <is>
          <t>%</t>
        </is>
      </c>
      <c r="P78" s="5" t="n">
        <v>1</v>
      </c>
      <c r="Q78" s="5" t="n">
        <v>1</v>
      </c>
      <c r="R78" s="5" t="inlineStr">
        <is>
          <t>77-2025-02-28</t>
        </is>
      </c>
    </row>
    <row r="79">
      <c r="A79" s="21" t="n">
        <v>77</v>
      </c>
      <c r="B79" s="5" t="inlineStr">
        <is>
          <t>Disponibilidad de servicios tecnológicos</t>
        </is>
      </c>
      <c r="C79" s="5" t="inlineStr">
        <is>
          <t>Gestión de la tecnología e innovación digital</t>
        </is>
      </c>
      <c r="D79" s="5" t="inlineStr">
        <is>
          <t>Mensual</t>
        </is>
      </c>
      <c r="E79" s="5" t="inlineStr">
        <is>
          <t>Positivo</t>
        </is>
      </c>
      <c r="F79" s="107" t="n">
        <v>45747</v>
      </c>
      <c r="G79" s="5" t="n">
        <v>2025</v>
      </c>
      <c r="H79" s="5" t="inlineStr">
        <is>
          <t>Marzo</t>
        </is>
      </c>
      <c r="I79" s="6" t="inlineStr">
        <is>
          <t>2025-1</t>
        </is>
      </c>
      <c r="J79" s="5" t="n">
        <v>97</v>
      </c>
      <c r="K79" s="10" t="n">
        <v>97</v>
      </c>
      <c r="L79" s="14">
        <f>IFERROR(IF(OR(J79=0,K79=""),"",IF(E79="Positivo",MIN(MAX(K79/J79,0),1.3),MIN(MAX(J79/K79,0),1.3))),"") </f>
        <v/>
      </c>
      <c r="M79" s="14">
        <f>IFERROR(IF(OR(J79=0,K79=""),"",IF(E79="Positivo",MAX(K79/J79,0),MAX(J79/K79,0))),"") </f>
        <v/>
      </c>
      <c r="N79" s="5" t="inlineStr">
        <is>
          <t>%</t>
        </is>
      </c>
      <c r="O79" s="5" t="inlineStr">
        <is>
          <t>%</t>
        </is>
      </c>
      <c r="P79" s="5" t="n">
        <v>1</v>
      </c>
      <c r="Q79" s="5" t="n">
        <v>1</v>
      </c>
      <c r="R79" s="5" t="inlineStr">
        <is>
          <t>77-2025-03-31</t>
        </is>
      </c>
    </row>
    <row r="80">
      <c r="A80" s="26" t="n">
        <v>77</v>
      </c>
      <c r="B80" s="5" t="inlineStr">
        <is>
          <t>Disponibilidad de servicios tecnológicos</t>
        </is>
      </c>
      <c r="C80" s="5" t="inlineStr">
        <is>
          <t>Gestión de la tecnología e innovación digital</t>
        </is>
      </c>
      <c r="D80" s="5" t="inlineStr">
        <is>
          <t>Mensual</t>
        </is>
      </c>
      <c r="E80" s="5" t="inlineStr">
        <is>
          <t>Positivo</t>
        </is>
      </c>
      <c r="F80" s="107" t="n">
        <v>45777</v>
      </c>
      <c r="G80" s="5" t="n">
        <v>2025</v>
      </c>
      <c r="H80" s="5" t="inlineStr">
        <is>
          <t>Abril</t>
        </is>
      </c>
      <c r="I80" s="6" t="inlineStr">
        <is>
          <t>2025-1</t>
        </is>
      </c>
      <c r="J80" s="5" t="n">
        <v>97</v>
      </c>
      <c r="K80" s="10" t="n">
        <v>87.7</v>
      </c>
      <c r="L80" s="14">
        <f>IFERROR(IF(OR(J80=0,K80=""),"",IF(E80="Positivo",MIN(MAX(K80/J80,0),1.3),MIN(MAX(J80/K80,0),1.3))),"") </f>
        <v/>
      </c>
      <c r="M80" s="14">
        <f>IFERROR(IF(OR(J80=0,K80=""),"",IF(E80="Positivo",MAX(K80/J80,0),MAX(J80/K80,0))),"") </f>
        <v/>
      </c>
      <c r="N80" s="5" t="inlineStr">
        <is>
          <t>%</t>
        </is>
      </c>
      <c r="O80" s="5" t="inlineStr">
        <is>
          <t>%</t>
        </is>
      </c>
      <c r="P80" s="15" t="n">
        <v>1</v>
      </c>
      <c r="Q80" s="15" t="n">
        <v>1</v>
      </c>
      <c r="R80" s="5" t="inlineStr">
        <is>
          <t>77-2025-04-30</t>
        </is>
      </c>
    </row>
    <row r="81">
      <c r="A81" s="26" t="n">
        <v>77</v>
      </c>
      <c r="B81" s="5" t="inlineStr">
        <is>
          <t>Disponibilidad de servicios tecnológicos</t>
        </is>
      </c>
      <c r="C81" s="5" t="inlineStr">
        <is>
          <t>Gestión de la tecnología e innovación digital</t>
        </is>
      </c>
      <c r="D81" s="5" t="inlineStr">
        <is>
          <t>Mensual</t>
        </is>
      </c>
      <c r="E81" s="5" t="inlineStr">
        <is>
          <t>Positivo</t>
        </is>
      </c>
      <c r="F81" s="107" t="n">
        <v>45808</v>
      </c>
      <c r="G81" s="5" t="n">
        <v>2025</v>
      </c>
      <c r="H81" s="5" t="inlineStr">
        <is>
          <t>Mayo</t>
        </is>
      </c>
      <c r="I81" s="6" t="inlineStr">
        <is>
          <t>2025-1</t>
        </is>
      </c>
      <c r="J81" s="5" t="n">
        <v>97</v>
      </c>
      <c r="K81" s="10" t="n">
        <v>97</v>
      </c>
      <c r="L81" s="14">
        <f>IFERROR(IF(OR(J81=0,K81=""),"",IF(E81="Positivo",MIN(MAX(K81/J81,0),1.3),MIN(MAX(J81/K81,0),1.3))),"") </f>
        <v/>
      </c>
      <c r="M81" s="14">
        <f>IFERROR(IF(OR(J81=0,K81=""),"",IF(E81="Positivo",MAX(K81/J81,0),MAX(J81/K81,0))),"") </f>
        <v/>
      </c>
      <c r="N81" s="5" t="inlineStr">
        <is>
          <t>%</t>
        </is>
      </c>
      <c r="O81" s="5" t="inlineStr">
        <is>
          <t>%</t>
        </is>
      </c>
      <c r="P81" s="15" t="n">
        <v>1</v>
      </c>
      <c r="Q81" s="15" t="n">
        <v>1</v>
      </c>
      <c r="R81" s="5" t="inlineStr">
        <is>
          <t>77-2025-05-31</t>
        </is>
      </c>
    </row>
    <row r="82">
      <c r="A82" s="21" t="n">
        <v>77</v>
      </c>
      <c r="B82" s="5" t="inlineStr">
        <is>
          <t>Disponibilidad de servicios tecnológicos</t>
        </is>
      </c>
      <c r="C82" s="5" t="inlineStr">
        <is>
          <t>Gestión de la tecnología e innovación digital</t>
        </is>
      </c>
      <c r="D82" s="5" t="inlineStr">
        <is>
          <t>Mensual</t>
        </is>
      </c>
      <c r="E82" s="5" t="inlineStr">
        <is>
          <t>Positivo</t>
        </is>
      </c>
      <c r="F82" s="107" t="n">
        <v>45838</v>
      </c>
      <c r="G82" s="5" t="n">
        <v>2025</v>
      </c>
      <c r="H82" s="5" t="inlineStr">
        <is>
          <t>Junio</t>
        </is>
      </c>
      <c r="I82" s="6" t="inlineStr">
        <is>
          <t>2025-1</t>
        </is>
      </c>
      <c r="J82" s="5" t="n">
        <v>97</v>
      </c>
      <c r="K82" s="10" t="n">
        <v>96.2</v>
      </c>
      <c r="L82" s="14">
        <f>IFERROR(IF(OR(J82=0,K82=""),"",IF(E82="Positivo",MIN(MAX(K82/J82,0),1.3),MIN(MAX(J82/K82,0),1.3))),"") </f>
        <v/>
      </c>
      <c r="M82" s="14">
        <f>IFERROR(IF(OR(J82=0,K82=""),"",IF(E82="Positivo",MAX(K82/J82,0),MAX(J82/K82,0))),"") </f>
        <v/>
      </c>
      <c r="N82" s="5" t="inlineStr">
        <is>
          <t>%</t>
        </is>
      </c>
      <c r="O82" s="5" t="inlineStr">
        <is>
          <t>%</t>
        </is>
      </c>
      <c r="P82" s="15" t="n">
        <v>1</v>
      </c>
      <c r="Q82" s="15" t="n">
        <v>1</v>
      </c>
      <c r="R82" s="5" t="inlineStr">
        <is>
          <t>77-2025-06-30</t>
        </is>
      </c>
    </row>
    <row r="83">
      <c r="A83" s="26" t="n">
        <v>77</v>
      </c>
      <c r="B83" s="5" t="inlineStr">
        <is>
          <t>Disponibilidad de servicios tecnológicos</t>
        </is>
      </c>
      <c r="C83" s="5" t="inlineStr">
        <is>
          <t>GESTIÓN DE LA TECNOLOGÍA E INNOVACIÓN DIGITAL</t>
        </is>
      </c>
      <c r="D83" s="5" t="inlineStr">
        <is>
          <t>Mensual</t>
        </is>
      </c>
      <c r="E83" s="5" t="inlineStr">
        <is>
          <t>Positivo</t>
        </is>
      </c>
      <c r="F83" s="107" t="n">
        <v>45869</v>
      </c>
      <c r="G83" s="5" t="n">
        <v>2025</v>
      </c>
      <c r="H83" s="5" t="inlineStr">
        <is>
          <t>Julio</t>
        </is>
      </c>
      <c r="I83" s="6" t="inlineStr">
        <is>
          <t>2025-2</t>
        </is>
      </c>
      <c r="J83" s="5" t="n">
        <v>97</v>
      </c>
      <c r="K83" s="10" t="n">
        <v>98.7</v>
      </c>
      <c r="L83" s="14">
        <f>IFERROR(IF(OR(J83=0,K83=""),"",IF(E83="Positivo",MIN(MAX(K83/J83,0),1.3),MIN(MAX(J83/K83,0),1.3))),"") </f>
        <v/>
      </c>
      <c r="M83" s="14">
        <f>IFERROR(IF(OR(J83=0,K83=""),"",IF(E83="Positivo",MAX(K83/J83,0),MAX(J83/K83,0))),"") </f>
        <v/>
      </c>
      <c r="N83" s="5" t="inlineStr">
        <is>
          <t>%</t>
        </is>
      </c>
      <c r="O83" s="5" t="inlineStr">
        <is>
          <t>%</t>
        </is>
      </c>
      <c r="P83" s="15" t="n">
        <v>0</v>
      </c>
      <c r="Q83" s="15" t="n">
        <v>1</v>
      </c>
      <c r="R83" s="5" t="inlineStr">
        <is>
          <t>77-2025-07-31</t>
        </is>
      </c>
    </row>
    <row r="84">
      <c r="A84" s="21" t="n">
        <v>77</v>
      </c>
      <c r="B84" s="5" t="inlineStr">
        <is>
          <t>Disponibilidad de servicios tecnológicos</t>
        </is>
      </c>
      <c r="C84" s="5" t="inlineStr">
        <is>
          <t>GESTIÓN DE LA TECNOLOGÍA E INNOVACIÓN DIGITAL</t>
        </is>
      </c>
      <c r="D84" s="5" t="inlineStr">
        <is>
          <t>Mensual</t>
        </is>
      </c>
      <c r="E84" s="5" t="inlineStr">
        <is>
          <t>Positivo</t>
        </is>
      </c>
      <c r="F84" s="107" t="n">
        <v>45900</v>
      </c>
      <c r="G84" s="5" t="n">
        <v>2025</v>
      </c>
      <c r="H84" s="5" t="inlineStr">
        <is>
          <t>Agosto</t>
        </is>
      </c>
      <c r="I84" s="6" t="inlineStr">
        <is>
          <t>2025-2</t>
        </is>
      </c>
      <c r="J84" s="5" t="n">
        <v>97</v>
      </c>
      <c r="K84" s="10" t="n">
        <v>97.09999999999999</v>
      </c>
      <c r="L84" s="14">
        <f>IFERROR(IF(OR(J84=0,K84=""),"",IF(E84="Positivo",MIN(MAX(K84/J84,0),1.3),MIN(MAX(J84/K84,0),1.3))),"") </f>
        <v/>
      </c>
      <c r="M84" s="14">
        <f>IFERROR(IF(OR(J84=0,K84=""),"",IF(E84="Positivo",MAX(K84/J84,0),MAX(J84/K84,0))),"") </f>
        <v/>
      </c>
      <c r="N84" s="5" t="inlineStr">
        <is>
          <t>%</t>
        </is>
      </c>
      <c r="O84" s="5" t="inlineStr">
        <is>
          <t>%</t>
        </is>
      </c>
      <c r="P84" s="15" t="n">
        <v>0</v>
      </c>
      <c r="Q84" s="15" t="n">
        <v>1</v>
      </c>
      <c r="R84" s="5" t="inlineStr">
        <is>
          <t>77-2025-08-31</t>
        </is>
      </c>
    </row>
    <row r="85">
      <c r="A85" s="26" t="n">
        <v>77</v>
      </c>
      <c r="B85" s="5" t="inlineStr">
        <is>
          <t>Disponibilidad de servicios tecnológicos</t>
        </is>
      </c>
      <c r="C85" s="5" t="inlineStr">
        <is>
          <t>GESTIÓN DE LA TECNOLOGÍA E INNOVACIÓN DIGITAL</t>
        </is>
      </c>
      <c r="D85" s="5" t="inlineStr">
        <is>
          <t>Mensual</t>
        </is>
      </c>
      <c r="E85" s="5" t="inlineStr">
        <is>
          <t>Positivo</t>
        </is>
      </c>
      <c r="F85" s="107" t="n">
        <v>45930</v>
      </c>
      <c r="G85" s="5" t="n">
        <v>2025</v>
      </c>
      <c r="H85" s="5" t="inlineStr">
        <is>
          <t>Septiembre</t>
        </is>
      </c>
      <c r="I85" s="6" t="inlineStr">
        <is>
          <t>2025-2</t>
        </is>
      </c>
      <c r="J85" s="5" t="n">
        <v>97</v>
      </c>
      <c r="K85" s="10" t="n">
        <v>98.40000000000001</v>
      </c>
      <c r="L85" s="14">
        <f>IFERROR(IF(OR(J85=0,K85=""),"",IF(E85="Positivo",MIN(MAX(K85/J85,0),1.3),MIN(MAX(J85/K85,0),1.3))),"") </f>
        <v/>
      </c>
      <c r="M85" s="14">
        <f>IFERROR(IF(OR(J85=0,K85=""),"",IF(E85="Positivo",MAX(K85/J85,0),MAX(J85/K85,0))),"") </f>
        <v/>
      </c>
      <c r="N85" s="5" t="inlineStr">
        <is>
          <t>%</t>
        </is>
      </c>
      <c r="O85" s="5" t="inlineStr">
        <is>
          <t>%</t>
        </is>
      </c>
      <c r="P85" s="15" t="n">
        <v>0</v>
      </c>
      <c r="Q85" s="15" t="n">
        <v>1</v>
      </c>
      <c r="R85" s="5" t="inlineStr">
        <is>
          <t>77-2025-09-30</t>
        </is>
      </c>
    </row>
    <row r="86">
      <c r="A86" s="21" t="n">
        <v>77</v>
      </c>
      <c r="B86" s="5" t="inlineStr">
        <is>
          <t>Disponibilidad de servicios tecnológicos</t>
        </is>
      </c>
      <c r="C86" s="5" t="inlineStr">
        <is>
          <t>GESTIÓN DE LA TECNOLOGÍA E INNOVACIÓN DIGITAL</t>
        </is>
      </c>
      <c r="D86" s="5" t="inlineStr">
        <is>
          <t>Mensual</t>
        </is>
      </c>
      <c r="E86" s="5" t="inlineStr">
        <is>
          <t>Positivo</t>
        </is>
      </c>
      <c r="F86" s="107" t="n">
        <v>45961</v>
      </c>
      <c r="G86" s="5" t="n">
        <v>2025</v>
      </c>
      <c r="H86" s="5" t="inlineStr">
        <is>
          <t>Octubre</t>
        </is>
      </c>
      <c r="I86" s="6" t="inlineStr">
        <is>
          <t>2025-2</t>
        </is>
      </c>
      <c r="J86" s="5" t="n">
        <v>97</v>
      </c>
      <c r="K86" s="10" t="n">
        <v>97.7</v>
      </c>
      <c r="L86" s="14">
        <f>IFERROR(IF(OR(J86=0,K86=""),"",IF(E86="Positivo",MIN(MAX(K86/J86,0),1.3),MIN(MAX(J86/K86,0),1.3))),"") </f>
        <v/>
      </c>
      <c r="M86" s="14">
        <f>IFERROR(IF(OR(J86=0,K86=""),"",IF(E86="Positivo",MAX(K86/J86,0),MAX(J86/K86,0))),"") </f>
        <v/>
      </c>
      <c r="N86" s="5" t="inlineStr">
        <is>
          <t>%</t>
        </is>
      </c>
      <c r="O86" s="5" t="inlineStr">
        <is>
          <t>%</t>
        </is>
      </c>
      <c r="P86" s="15" t="n">
        <v>0</v>
      </c>
      <c r="Q86" s="15" t="n">
        <v>1</v>
      </c>
      <c r="R86" s="5" t="inlineStr">
        <is>
          <t>77-2025-10-31</t>
        </is>
      </c>
    </row>
    <row r="87">
      <c r="A87" s="26" t="n">
        <v>77</v>
      </c>
      <c r="B87" s="5" t="inlineStr">
        <is>
          <t>Disponibilidad de servicios tecnológicos</t>
        </is>
      </c>
      <c r="C87" s="5" t="inlineStr">
        <is>
          <t>GESTIÓN DE LA TECNOLOGÍA E INNOVACIÓN DIGITAL</t>
        </is>
      </c>
      <c r="D87" s="5" t="inlineStr">
        <is>
          <t>Mensual</t>
        </is>
      </c>
      <c r="E87" s="5" t="inlineStr">
        <is>
          <t>Positivo</t>
        </is>
      </c>
      <c r="F87" s="107" t="n">
        <v>45991</v>
      </c>
      <c r="G87" s="5" t="n">
        <v>2025</v>
      </c>
      <c r="H87" s="5" t="inlineStr">
        <is>
          <t>Noviembre</t>
        </is>
      </c>
      <c r="I87" s="6" t="inlineStr">
        <is>
          <t>2025-2</t>
        </is>
      </c>
      <c r="J87" s="5" t="n">
        <v>97</v>
      </c>
      <c r="K87" s="10" t="n">
        <v>93.40000000000001</v>
      </c>
      <c r="L87" s="14">
        <f>IFERROR(IF(OR(J87=0,K87=""),"",IF(E87="Positivo",MIN(MAX(K87/J87,0),1.3),MIN(MAX(J87/K87,0),1.3))),"") </f>
        <v/>
      </c>
      <c r="M87" s="14">
        <f>IFERROR(IF(OR(J87=0,K87=""),"",IF(E87="Positivo",MAX(K87/J87,0),MAX(J87/K87,0))),"") </f>
        <v/>
      </c>
      <c r="N87" s="5" t="inlineStr">
        <is>
          <t>%</t>
        </is>
      </c>
      <c r="O87" s="5" t="inlineStr">
        <is>
          <t>%</t>
        </is>
      </c>
      <c r="P87" s="15" t="n">
        <v>0</v>
      </c>
      <c r="Q87" s="15" t="n">
        <v>1</v>
      </c>
      <c r="R87" s="5" t="inlineStr">
        <is>
          <t>77-2025-11-30</t>
        </is>
      </c>
    </row>
    <row r="88">
      <c r="A88" s="21" t="n">
        <v>77</v>
      </c>
      <c r="B88" s="5" t="inlineStr">
        <is>
          <t>Disponibilidad de servicios tecnológicos</t>
        </is>
      </c>
      <c r="C88" s="5" t="inlineStr">
        <is>
          <t>GESTIÓN DE LA TECNOLOGÍA E INNOVACIÓN DIGITAL</t>
        </is>
      </c>
      <c r="D88" s="5" t="inlineStr">
        <is>
          <t>Mensual</t>
        </is>
      </c>
      <c r="E88" s="5" t="inlineStr">
        <is>
          <t>Positivo</t>
        </is>
      </c>
      <c r="F88" s="107" t="n">
        <v>46022</v>
      </c>
      <c r="G88" s="5" t="n">
        <v>2025</v>
      </c>
      <c r="H88" s="5" t="inlineStr">
        <is>
          <t>Diciembre</t>
        </is>
      </c>
      <c r="I88" s="6" t="inlineStr">
        <is>
          <t>2025-2</t>
        </is>
      </c>
      <c r="J88" s="5" t="n">
        <v>97</v>
      </c>
      <c r="K88" s="10" t="n">
        <v>95.40000000000001</v>
      </c>
      <c r="L88" s="14">
        <f>IFERROR(IF(OR(J88=0,K88=""),"",IF(E88="Positivo",MIN(MAX(K88/J88,0),1.3),MIN(MAX(J88/K88,0),1.3))),"") </f>
        <v/>
      </c>
      <c r="M88" s="14">
        <f>IFERROR(IF(OR(J88=0,K88=""),"",IF(E88="Positivo",MAX(K88/J88,0),MAX(J88/K88,0))),"") </f>
        <v/>
      </c>
      <c r="N88" s="5" t="inlineStr">
        <is>
          <t>%</t>
        </is>
      </c>
      <c r="O88" s="5" t="inlineStr">
        <is>
          <t>%</t>
        </is>
      </c>
      <c r="P88" s="15" t="n">
        <v>0</v>
      </c>
      <c r="Q88" s="15" t="n">
        <v>1</v>
      </c>
      <c r="R88" s="5" t="inlineStr">
        <is>
          <t>77-2025-12-31</t>
        </is>
      </c>
    </row>
    <row r="89">
      <c r="A89" s="26" t="n">
        <v>78</v>
      </c>
      <c r="B89" s="5" t="inlineStr">
        <is>
          <t>Cumplimiento programa de auditoría</t>
        </is>
      </c>
      <c r="C89" s="5" t="inlineStr">
        <is>
          <t>AUDITORÍA INTERNA</t>
        </is>
      </c>
      <c r="D89" s="5" t="inlineStr">
        <is>
          <t>Bimestral</t>
        </is>
      </c>
      <c r="E89" s="5" t="inlineStr">
        <is>
          <t>Positivo</t>
        </is>
      </c>
      <c r="F89" s="107" t="n">
        <v>45046</v>
      </c>
      <c r="G89" s="5" t="n">
        <v>2023</v>
      </c>
      <c r="H89" s="5" t="inlineStr">
        <is>
          <t>Abril</t>
        </is>
      </c>
      <c r="I89" s="6" t="inlineStr">
        <is>
          <t>2023-1</t>
        </is>
      </c>
      <c r="J89" s="5" t="n">
        <v>100</v>
      </c>
      <c r="K89" s="10" t="n">
        <v>100</v>
      </c>
      <c r="L89" s="14">
        <f>IFERROR(IF(OR(J89=0,K89=""),"",IF(E89="Positivo",MIN(MAX(K89/J89,0),1.3),MIN(MAX(J89/K89,0),1.3))),"") </f>
        <v/>
      </c>
      <c r="M89" s="14">
        <f>IFERROR(IF(OR(J89=0,K89=""),"",IF(E89="Positivo",MAX(K89/J89,0),MAX(J89/K89,0))),"") </f>
        <v/>
      </c>
      <c r="N89" s="5" t="inlineStr">
        <is>
          <t>%</t>
        </is>
      </c>
      <c r="O89" s="5" t="inlineStr">
        <is>
          <t>%</t>
        </is>
      </c>
      <c r="P89" s="15" t="n">
        <v>0</v>
      </c>
      <c r="Q89" s="15" t="n">
        <v>0</v>
      </c>
      <c r="R89" s="5" t="inlineStr">
        <is>
          <t>78-2023-04-30</t>
        </is>
      </c>
    </row>
    <row r="90">
      <c r="A90" s="21" t="n">
        <v>78</v>
      </c>
      <c r="B90" s="5" t="inlineStr">
        <is>
          <t>Cumplimiento programa de auditoría</t>
        </is>
      </c>
      <c r="C90" s="5" t="inlineStr">
        <is>
          <t>AUDITORÍA INTERNA</t>
        </is>
      </c>
      <c r="D90" s="5" t="inlineStr">
        <is>
          <t>Bimestral</t>
        </is>
      </c>
      <c r="E90" s="5" t="inlineStr">
        <is>
          <t>Positivo</t>
        </is>
      </c>
      <c r="F90" s="107" t="n">
        <v>45107</v>
      </c>
      <c r="G90" s="5" t="n">
        <v>2023</v>
      </c>
      <c r="H90" s="5" t="inlineStr">
        <is>
          <t>Junio</t>
        </is>
      </c>
      <c r="I90" s="6" t="inlineStr">
        <is>
          <t>2023-1</t>
        </is>
      </c>
      <c r="J90" s="5" t="n">
        <v>100</v>
      </c>
      <c r="K90" s="10" t="n">
        <v>100</v>
      </c>
      <c r="L90" s="14">
        <f>IFERROR(IF(OR(J90=0,K90=""),"",IF(E90="Positivo",MIN(MAX(K90/J90,0),1.3),MIN(MAX(J90/K90,0),1.3))),"") </f>
        <v/>
      </c>
      <c r="M90" s="14">
        <f>IFERROR(IF(OR(J90=0,K90=""),"",IF(E90="Positivo",MAX(K90/J90,0),MAX(J90/K90,0))),"") </f>
        <v/>
      </c>
      <c r="N90" s="5" t="inlineStr">
        <is>
          <t>%</t>
        </is>
      </c>
      <c r="O90" s="5" t="inlineStr">
        <is>
          <t>%</t>
        </is>
      </c>
      <c r="P90" s="15" t="n">
        <v>0</v>
      </c>
      <c r="Q90" s="15" t="n">
        <v>0</v>
      </c>
      <c r="R90" s="5" t="inlineStr">
        <is>
          <t>78-2023-06-30</t>
        </is>
      </c>
    </row>
    <row r="91">
      <c r="A91" s="21" t="n">
        <v>78</v>
      </c>
      <c r="B91" s="5" t="inlineStr">
        <is>
          <t>Cumplimiento programa de auditoría</t>
        </is>
      </c>
      <c r="C91" s="5" t="inlineStr">
        <is>
          <t>AUDITORÍA INTERNA</t>
        </is>
      </c>
      <c r="D91" s="5" t="inlineStr">
        <is>
          <t>Bimestral</t>
        </is>
      </c>
      <c r="E91" s="5" t="inlineStr">
        <is>
          <t>Positivo</t>
        </is>
      </c>
      <c r="F91" s="106" t="n">
        <v>45169</v>
      </c>
      <c r="G91" s="5" t="n">
        <v>2023</v>
      </c>
      <c r="H91" s="5" t="inlineStr">
        <is>
          <t>Agosto</t>
        </is>
      </c>
      <c r="I91" s="6" t="inlineStr">
        <is>
          <t>2023-2</t>
        </is>
      </c>
      <c r="J91" s="5" t="n">
        <v>100</v>
      </c>
      <c r="K91" s="10" t="n">
        <v>100</v>
      </c>
      <c r="L91" s="14">
        <f>IFERROR(IF(OR(J91=0,K91=""),"",IF(E91="Positivo",MIN(MAX(K91/J91,0),1.3),MIN(MAX(J91/K91,0),1.3))),"") </f>
        <v/>
      </c>
      <c r="M91" s="14">
        <f>IFERROR(IF(OR(J91=0,K91=""),"",IF(E91="Positivo",MAX(K91/J91,0),MAX(J91/K91,0))),"") </f>
        <v/>
      </c>
      <c r="N91" s="5" t="inlineStr">
        <is>
          <t>%</t>
        </is>
      </c>
      <c r="O91" s="5" t="inlineStr">
        <is>
          <t>%</t>
        </is>
      </c>
      <c r="P91" s="15" t="n">
        <v>0</v>
      </c>
      <c r="Q91" s="15" t="n">
        <v>0</v>
      </c>
      <c r="R91" s="5" t="inlineStr">
        <is>
          <t>78-2023-08-31</t>
        </is>
      </c>
    </row>
    <row r="92">
      <c r="A92" s="26" t="n">
        <v>78</v>
      </c>
      <c r="B92" s="5" t="inlineStr">
        <is>
          <t>Cumplimiento programa de auditoría</t>
        </is>
      </c>
      <c r="C92" s="5" t="inlineStr">
        <is>
          <t>AUDITORÍA INTERNA</t>
        </is>
      </c>
      <c r="D92" s="5" t="inlineStr">
        <is>
          <t>Bimestral</t>
        </is>
      </c>
      <c r="E92" s="5" t="inlineStr">
        <is>
          <t>Positivo</t>
        </is>
      </c>
      <c r="F92" s="107" t="n">
        <v>45230</v>
      </c>
      <c r="G92" s="5" t="n">
        <v>2023</v>
      </c>
      <c r="H92" s="5" t="inlineStr">
        <is>
          <t>Octubre</t>
        </is>
      </c>
      <c r="I92" s="6" t="inlineStr">
        <is>
          <t>2023-2</t>
        </is>
      </c>
      <c r="J92" s="5" t="n">
        <v>100</v>
      </c>
      <c r="K92" s="10" t="n">
        <v>100</v>
      </c>
      <c r="L92" s="14">
        <f>IFERROR(IF(OR(J92=0,K92=""),"",IF(E92="Positivo",MIN(MAX(K92/J92,0),1.3),MIN(MAX(J92/K92,0),1.3))),"") </f>
        <v/>
      </c>
      <c r="M92" s="14">
        <f>IFERROR(IF(OR(J92=0,K92=""),"",IF(E92="Positivo",MAX(K92/J92,0),MAX(J92/K92,0))),"") </f>
        <v/>
      </c>
      <c r="N92" s="5" t="inlineStr">
        <is>
          <t>%</t>
        </is>
      </c>
      <c r="O92" s="5" t="inlineStr">
        <is>
          <t>%</t>
        </is>
      </c>
      <c r="P92" s="15" t="n">
        <v>0</v>
      </c>
      <c r="Q92" s="15" t="n">
        <v>0</v>
      </c>
      <c r="R92" s="5" t="inlineStr">
        <is>
          <t>78-2023-10-31</t>
        </is>
      </c>
    </row>
    <row r="93">
      <c r="A93" s="5" t="n">
        <v>78</v>
      </c>
      <c r="B93" s="5" t="inlineStr">
        <is>
          <t>Cumplimiento programa de auditoría</t>
        </is>
      </c>
      <c r="C93" s="5" t="inlineStr">
        <is>
          <t>AUDITORÍA INTERNA</t>
        </is>
      </c>
      <c r="D93" s="5" t="inlineStr">
        <is>
          <t>Bimestral</t>
        </is>
      </c>
      <c r="E93" s="5" t="inlineStr">
        <is>
          <t>Positivo</t>
        </is>
      </c>
      <c r="F93" s="107" t="n">
        <v>45291</v>
      </c>
      <c r="G93" s="5" t="n">
        <v>2023</v>
      </c>
      <c r="H93" s="5" t="inlineStr">
        <is>
          <t>Diciembre</t>
        </is>
      </c>
      <c r="I93" s="6" t="inlineStr">
        <is>
          <t>2023-2</t>
        </is>
      </c>
      <c r="J93" s="5" t="n">
        <v>100</v>
      </c>
      <c r="K93" s="5" t="n">
        <v>122.22</v>
      </c>
      <c r="L93" s="14">
        <f>IFERROR(IF(OR(J93=0,K93=""),"",IF(E93="Positivo",MIN(MAX(K93/J93,0),1.3),MIN(MAX(J93/K93,0),1.3))),"") </f>
        <v/>
      </c>
      <c r="M93" s="14">
        <f>IFERROR(IF(OR(J93=0,K93=""),"",IF(E93="Positivo",MAX(K93/J93,0),MAX(J93/K93,0))),"") </f>
        <v/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 t="inlineStr">
        <is>
          <t>78-2023-12-31</t>
        </is>
      </c>
    </row>
    <row r="94">
      <c r="A94" s="21" t="n">
        <v>78</v>
      </c>
      <c r="B94" s="5" t="inlineStr">
        <is>
          <t>Cumplimiento programa de auditoría</t>
        </is>
      </c>
      <c r="C94" s="5" t="inlineStr">
        <is>
          <t>AUDITORÍA INTERNA</t>
        </is>
      </c>
      <c r="D94" s="5" t="inlineStr">
        <is>
          <t>Bimestral</t>
        </is>
      </c>
      <c r="E94" s="5" t="inlineStr">
        <is>
          <t>Positivo</t>
        </is>
      </c>
      <c r="F94" s="107" t="n">
        <v>45412</v>
      </c>
      <c r="G94" s="5" t="n">
        <v>2024</v>
      </c>
      <c r="H94" s="5" t="inlineStr">
        <is>
          <t>Abril</t>
        </is>
      </c>
      <c r="I94" s="6" t="inlineStr">
        <is>
          <t>2024-1</t>
        </is>
      </c>
      <c r="J94" s="5" t="n">
        <v>100</v>
      </c>
      <c r="K94" s="10" t="n">
        <v>100</v>
      </c>
      <c r="L94" s="14">
        <f>IFERROR(IF(OR(J94=0,K94=""),"",IF(E94="Positivo",MIN(MAX(K94/J94,0),1.3),MIN(MAX(J94/K94,0),1.3))),"") </f>
        <v/>
      </c>
      <c r="M94" s="14">
        <f>IFERROR(IF(OR(J94=0,K94=""),"",IF(E94="Positivo",MAX(K94/J94,0),MAX(J94/K94,0))),"") </f>
        <v/>
      </c>
      <c r="N94" s="5" t="inlineStr">
        <is>
          <t>%</t>
        </is>
      </c>
      <c r="O94" s="5" t="inlineStr">
        <is>
          <t>%</t>
        </is>
      </c>
      <c r="P94" s="15" t="n">
        <v>0</v>
      </c>
      <c r="Q94" s="15" t="n">
        <v>0</v>
      </c>
      <c r="R94" s="5" t="inlineStr">
        <is>
          <t>78-2024-04-30</t>
        </is>
      </c>
    </row>
    <row r="95">
      <c r="A95" s="5" t="n">
        <v>78</v>
      </c>
      <c r="B95" s="20" t="inlineStr">
        <is>
          <t>Cumplimiento programa de auditoría</t>
        </is>
      </c>
      <c r="C95" s="5" t="inlineStr">
        <is>
          <t>AUDITORÍA INTERNA</t>
        </is>
      </c>
      <c r="D95" s="5" t="inlineStr">
        <is>
          <t>Bimestral</t>
        </is>
      </c>
      <c r="E95" s="5" t="inlineStr">
        <is>
          <t>Positivo</t>
        </is>
      </c>
      <c r="F95" s="107" t="n">
        <v>45473</v>
      </c>
      <c r="G95" s="5" t="n">
        <v>2024</v>
      </c>
      <c r="H95" s="5" t="inlineStr">
        <is>
          <t>Junio</t>
        </is>
      </c>
      <c r="I95" s="6" t="inlineStr">
        <is>
          <t>2024-1</t>
        </is>
      </c>
      <c r="J95" s="5" t="n">
        <v>100</v>
      </c>
      <c r="K95" s="5" t="n">
        <v>80</v>
      </c>
      <c r="L95" s="14">
        <f>IFERROR(IF(OR(J95=0,K95=""),"",IF(E95="Positivo",MIN(MAX(K95/J95,0),1.3),MIN(MAX(J95/K95,0),1.3))),"") </f>
        <v/>
      </c>
      <c r="M95" s="14">
        <f>IFERROR(IF(OR(J95=0,K95=""),"",IF(E95="Positivo",MAX(K95/J95,0),MAX(J95/K95,0))),"") </f>
        <v/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 t="inlineStr">
        <is>
          <t>78-2024-06-30</t>
        </is>
      </c>
    </row>
    <row r="96">
      <c r="A96" s="26" t="n">
        <v>78</v>
      </c>
      <c r="B96" s="5" t="inlineStr">
        <is>
          <t>Cumplimiento programa de auditoría</t>
        </is>
      </c>
      <c r="C96" s="5" t="inlineStr">
        <is>
          <t>AUDITORÍA INTERNA</t>
        </is>
      </c>
      <c r="D96" s="5" t="inlineStr">
        <is>
          <t>Bimestral</t>
        </is>
      </c>
      <c r="E96" s="5" t="inlineStr">
        <is>
          <t>Positivo</t>
        </is>
      </c>
      <c r="F96" s="107" t="n">
        <v>45535</v>
      </c>
      <c r="G96" s="5" t="n">
        <v>2024</v>
      </c>
      <c r="H96" s="5" t="inlineStr">
        <is>
          <t>Agosto</t>
        </is>
      </c>
      <c r="I96" s="6" t="inlineStr">
        <is>
          <t>2024-2</t>
        </is>
      </c>
      <c r="J96" s="5" t="n">
        <v>100</v>
      </c>
      <c r="K96" s="10" t="n">
        <v>100</v>
      </c>
      <c r="L96" s="14">
        <f>IFERROR(IF(OR(J96=0,K96=""),"",IF(E96="Positivo",MIN(MAX(K96/J96,0),1.3),MIN(MAX(J96/K96,0),1.3))),"") </f>
        <v/>
      </c>
      <c r="M96" s="14">
        <f>IFERROR(IF(OR(J96=0,K96=""),"",IF(E96="Positivo",MAX(K96/J96,0),MAX(J96/K96,0))),"") </f>
        <v/>
      </c>
      <c r="N96" s="5" t="inlineStr">
        <is>
          <t>%</t>
        </is>
      </c>
      <c r="O96" s="5" t="inlineStr">
        <is>
          <t>%</t>
        </is>
      </c>
      <c r="P96" s="15" t="n">
        <v>0</v>
      </c>
      <c r="Q96" s="15" t="n">
        <v>0</v>
      </c>
      <c r="R96" s="5" t="inlineStr">
        <is>
          <t>78-2024-08-31</t>
        </is>
      </c>
    </row>
    <row r="97">
      <c r="A97" s="21" t="n">
        <v>78</v>
      </c>
      <c r="B97" s="5" t="inlineStr">
        <is>
          <t>Cumplimiento programa de auditoría</t>
        </is>
      </c>
      <c r="C97" s="5" t="inlineStr">
        <is>
          <t>AUDITORÍA INTERNA</t>
        </is>
      </c>
      <c r="D97" s="5" t="inlineStr">
        <is>
          <t>Bimestral</t>
        </is>
      </c>
      <c r="E97" s="5" t="inlineStr">
        <is>
          <t>Positivo</t>
        </is>
      </c>
      <c r="F97" s="107" t="n">
        <v>45596</v>
      </c>
      <c r="G97" s="5" t="n">
        <v>2024</v>
      </c>
      <c r="H97" s="5" t="inlineStr">
        <is>
          <t>Octubre</t>
        </is>
      </c>
      <c r="I97" s="6" t="inlineStr">
        <is>
          <t>2024-2</t>
        </is>
      </c>
      <c r="J97" s="5" t="n">
        <v>100</v>
      </c>
      <c r="K97" s="10" t="n">
        <v>100</v>
      </c>
      <c r="L97" s="14">
        <f>IFERROR(IF(OR(J97=0,K97=""),"",IF(E97="Positivo",MIN(MAX(K97/J97,0),1.3),MIN(MAX(J97/K97,0),1.3))),"") </f>
        <v/>
      </c>
      <c r="M97" s="14">
        <f>IFERROR(IF(OR(J97=0,K97=""),"",IF(E97="Positivo",MAX(K97/J97,0),MAX(J97/K97,0))),"") </f>
        <v/>
      </c>
      <c r="N97" s="5" t="inlineStr">
        <is>
          <t>%</t>
        </is>
      </c>
      <c r="O97" s="5" t="inlineStr">
        <is>
          <t>%</t>
        </is>
      </c>
      <c r="P97" s="15" t="n">
        <v>0</v>
      </c>
      <c r="Q97" s="15" t="n">
        <v>0</v>
      </c>
      <c r="R97" s="5" t="inlineStr">
        <is>
          <t>78-2024-10-31</t>
        </is>
      </c>
    </row>
    <row r="98">
      <c r="A98" s="26" t="n">
        <v>78</v>
      </c>
      <c r="B98" s="5" t="inlineStr">
        <is>
          <t>Cumplimiento programa de auditoría</t>
        </is>
      </c>
      <c r="C98" s="5" t="inlineStr">
        <is>
          <t>AUDITORÍA INTERNA</t>
        </is>
      </c>
      <c r="D98" s="5" t="inlineStr">
        <is>
          <t>Bimestral</t>
        </is>
      </c>
      <c r="E98" s="5" t="inlineStr">
        <is>
          <t>Positivo</t>
        </is>
      </c>
      <c r="F98" s="107" t="n">
        <v>45657</v>
      </c>
      <c r="G98" s="5" t="n">
        <v>2024</v>
      </c>
      <c r="H98" s="5" t="inlineStr">
        <is>
          <t>Diciembre</t>
        </is>
      </c>
      <c r="I98" s="6" t="inlineStr">
        <is>
          <t>2024-2</t>
        </is>
      </c>
      <c r="J98" s="5" t="n">
        <v>100</v>
      </c>
      <c r="K98" s="10" t="n">
        <v>112.5</v>
      </c>
      <c r="L98" s="14">
        <f>IFERROR(IF(OR(J98=0,K98=""),"",IF(E98="Positivo",MIN(MAX(K98/J98,0),1.3),MIN(MAX(J98/K98,0),1.3))),"") </f>
        <v/>
      </c>
      <c r="M98" s="14">
        <f>IFERROR(IF(OR(J98=0,K98=""),"",IF(E98="Positivo",MAX(K98/J98,0),MAX(J98/K98,0))),"") </f>
        <v/>
      </c>
      <c r="N98" s="5" t="inlineStr">
        <is>
          <t>%</t>
        </is>
      </c>
      <c r="O98" s="5" t="inlineStr">
        <is>
          <t>%</t>
        </is>
      </c>
      <c r="P98" s="15" t="n">
        <v>0</v>
      </c>
      <c r="Q98" s="15" t="n">
        <v>0</v>
      </c>
      <c r="R98" s="5" t="inlineStr">
        <is>
          <t>78-2024-12-31</t>
        </is>
      </c>
    </row>
    <row r="99">
      <c r="A99" s="21" t="n">
        <v>79</v>
      </c>
      <c r="B99" s="5" t="inlineStr">
        <is>
          <t>Cierre Eficaz De Oportunidades De Mejora De Auditoria Interna</t>
        </is>
      </c>
      <c r="C99" s="5" t="inlineStr">
        <is>
          <t>AUDITORÍA INTERNA</t>
        </is>
      </c>
      <c r="D99" s="5" t="inlineStr">
        <is>
          <t>Bimestral</t>
        </is>
      </c>
      <c r="E99" s="5" t="inlineStr">
        <is>
          <t>Positivo</t>
        </is>
      </c>
      <c r="F99" s="107" t="n">
        <v>45107</v>
      </c>
      <c r="G99" s="5" t="n">
        <v>2023</v>
      </c>
      <c r="H99" s="5" t="inlineStr">
        <is>
          <t>Junio</t>
        </is>
      </c>
      <c r="I99" s="6" t="inlineStr">
        <is>
          <t>2023-1</t>
        </is>
      </c>
      <c r="J99" s="5" t="n">
        <v>85</v>
      </c>
      <c r="K99" s="10" t="n">
        <v>100</v>
      </c>
      <c r="L99" s="14">
        <f>IFERROR(IF(OR(J99=0,K99=""),"",IF(E99="Positivo",MIN(MAX(K99/J99,0),1.3),MIN(MAX(J99/K99,0),1.3))),"") </f>
        <v/>
      </c>
      <c r="M99" s="14">
        <f>IFERROR(IF(OR(J99=0,K99=""),"",IF(E99="Positivo",MAX(K99/J99,0),MAX(J99/K99,0))),"") </f>
        <v/>
      </c>
      <c r="N99" s="5" t="inlineStr">
        <is>
          <t>%</t>
        </is>
      </c>
      <c r="O99" s="5" t="inlineStr">
        <is>
          <t>%</t>
        </is>
      </c>
      <c r="P99" s="15" t="n">
        <v>0</v>
      </c>
      <c r="Q99" s="15" t="n">
        <v>0</v>
      </c>
      <c r="R99" s="5" t="inlineStr">
        <is>
          <t>79-2023-06-30</t>
        </is>
      </c>
    </row>
    <row r="100">
      <c r="A100" s="26" t="n">
        <v>79</v>
      </c>
      <c r="B100" s="5" t="inlineStr">
        <is>
          <t>Cierre Eficaz De Oportunidades De Mejora De Auditoria Interna</t>
        </is>
      </c>
      <c r="C100" s="5" t="inlineStr">
        <is>
          <t>AUDITORÍA INTERNA</t>
        </is>
      </c>
      <c r="D100" s="5" t="inlineStr">
        <is>
          <t>Bimestral</t>
        </is>
      </c>
      <c r="E100" s="5" t="inlineStr">
        <is>
          <t>Positivo</t>
        </is>
      </c>
      <c r="F100" s="107" t="n">
        <v>45169</v>
      </c>
      <c r="G100" s="5" t="n">
        <v>2023</v>
      </c>
      <c r="H100" s="5" t="inlineStr">
        <is>
          <t>Agosto</t>
        </is>
      </c>
      <c r="I100" s="6" t="inlineStr">
        <is>
          <t>2023-2</t>
        </is>
      </c>
      <c r="J100" s="73" t="n">
        <v>85</v>
      </c>
      <c r="K100" s="10" t="n">
        <v>100</v>
      </c>
      <c r="L100" s="14">
        <f>IFERROR(IF(OR(J100=0,K100=""),"",IF(E100="Positivo",MIN(MAX(K100/J100,0),1.3),MIN(MAX(J100/K100,0),1.3))),"") </f>
        <v/>
      </c>
      <c r="M100" s="14">
        <f>IFERROR(IF(OR(J100=0,K100=""),"",IF(E100="Positivo",MAX(K100/J100,0),MAX(J100/K100,0))),"") </f>
        <v/>
      </c>
      <c r="N100" s="5" t="inlineStr">
        <is>
          <t>%</t>
        </is>
      </c>
      <c r="O100" s="5" t="inlineStr">
        <is>
          <t>%</t>
        </is>
      </c>
      <c r="P100" s="15" t="n">
        <v>0</v>
      </c>
      <c r="Q100" s="15" t="n">
        <v>0</v>
      </c>
      <c r="R100" s="5" t="inlineStr">
        <is>
          <t>79-2023-08-31</t>
        </is>
      </c>
    </row>
    <row r="101">
      <c r="A101" s="21" t="n">
        <v>79</v>
      </c>
      <c r="B101" s="5" t="inlineStr">
        <is>
          <t>Cierre Eficaz De Oportunidades De Mejora De Auditoria Interna</t>
        </is>
      </c>
      <c r="C101" s="5" t="inlineStr">
        <is>
          <t>AUDITORÍA INTERNA</t>
        </is>
      </c>
      <c r="D101" s="5" t="inlineStr">
        <is>
          <t>Bimestral</t>
        </is>
      </c>
      <c r="E101" s="5" t="inlineStr">
        <is>
          <t>Positivo</t>
        </is>
      </c>
      <c r="F101" s="107" t="n">
        <v>45230</v>
      </c>
      <c r="G101" s="5" t="n">
        <v>2023</v>
      </c>
      <c r="H101" s="5" t="inlineStr">
        <is>
          <t>Octubre</t>
        </is>
      </c>
      <c r="I101" s="6" t="inlineStr">
        <is>
          <t>2023-2</t>
        </is>
      </c>
      <c r="J101" s="5" t="n">
        <v>85</v>
      </c>
      <c r="K101" s="10" t="n">
        <v>100</v>
      </c>
      <c r="L101" s="14">
        <f>IFERROR(IF(OR(J101=0,K101=""),"",IF(E101="Positivo",MIN(MAX(K101/J101,0),1.3),MIN(MAX(J101/K101,0),1.3))),"") </f>
        <v/>
      </c>
      <c r="M101" s="14">
        <f>IFERROR(IF(OR(J101=0,K101=""),"",IF(E101="Positivo",MAX(K101/J101,0),MAX(J101/K101,0))),"") </f>
        <v/>
      </c>
      <c r="N101" s="5" t="inlineStr">
        <is>
          <t>%</t>
        </is>
      </c>
      <c r="O101" s="5" t="inlineStr">
        <is>
          <t>%</t>
        </is>
      </c>
      <c r="P101" s="15" t="n">
        <v>0</v>
      </c>
      <c r="Q101" s="15" t="n">
        <v>0</v>
      </c>
      <c r="R101" s="5" t="inlineStr">
        <is>
          <t>79-2023-10-31</t>
        </is>
      </c>
    </row>
    <row r="102">
      <c r="A102" s="5" t="n">
        <v>79</v>
      </c>
      <c r="B102" s="5" t="inlineStr">
        <is>
          <t>Cierre Eficaz De Oportunidades De Mejora De Auditoria Interna</t>
        </is>
      </c>
      <c r="C102" s="5" t="inlineStr">
        <is>
          <t>AUDITORÍA INTERNA</t>
        </is>
      </c>
      <c r="D102" s="5" t="inlineStr">
        <is>
          <t>Bimestral</t>
        </is>
      </c>
      <c r="E102" s="5" t="inlineStr">
        <is>
          <t>Positivo</t>
        </is>
      </c>
      <c r="F102" s="107" t="n">
        <v>45291</v>
      </c>
      <c r="G102" s="5" t="n">
        <v>2023</v>
      </c>
      <c r="H102" s="5" t="inlineStr">
        <is>
          <t>Diciembre</t>
        </is>
      </c>
      <c r="I102" s="6" t="inlineStr">
        <is>
          <t>2023-2</t>
        </is>
      </c>
      <c r="J102" s="5" t="n">
        <v>85</v>
      </c>
      <c r="K102" s="5" t="n">
        <v>95.45</v>
      </c>
      <c r="L102" s="74">
        <f>IFERROR(IF(OR(J102=0,K102=""),"",IF(E102="Positivo",MIN(MAX(K102/J102,0),1.3),MIN(MAX(J102/K102,0),1.3))),"") </f>
        <v/>
      </c>
      <c r="M102" s="14">
        <f>IFERROR(IF(OR(J102=0,K102=""),"",IF(E102="Positivo",MAX(K102/J102,0),MAX(J102/K102,0))),"") </f>
        <v/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 t="inlineStr">
        <is>
          <t>79-2023-12-31</t>
        </is>
      </c>
    </row>
    <row r="103">
      <c r="A103" s="21" t="n">
        <v>84</v>
      </c>
      <c r="B103" s="5" t="inlineStr">
        <is>
          <t>Funcionamiento del COPASST</t>
        </is>
      </c>
      <c r="C103" s="5" t="inlineStr">
        <is>
          <t>GESTIÓN DE SEGURIDAD Y SALUD EN EL TRABAJO</t>
        </is>
      </c>
      <c r="D103" s="5" t="inlineStr">
        <is>
          <t>Anual</t>
        </is>
      </c>
      <c r="E103" s="5" t="inlineStr">
        <is>
          <t>Positivo</t>
        </is>
      </c>
      <c r="F103" s="107" t="n">
        <v>44926</v>
      </c>
      <c r="G103" s="5" t="n">
        <v>2022</v>
      </c>
      <c r="H103" s="5" t="inlineStr">
        <is>
          <t>Diciembre</t>
        </is>
      </c>
      <c r="I103" s="6" t="inlineStr">
        <is>
          <t>2022-2</t>
        </is>
      </c>
      <c r="J103" s="5" t="n">
        <v>100</v>
      </c>
      <c r="K103" s="10" t="n">
        <v>100</v>
      </c>
      <c r="L103" s="14">
        <f>IFERROR(IF(OR(J103=0,K103=""),"",IF(E103="Positivo",MIN(MAX(K103/J103,0),1.3),MIN(MAX(J103/K103,0),1.3))),"") </f>
        <v/>
      </c>
      <c r="M103" s="14">
        <f>IFERROR(IF(OR(J103=0,K103=""),"",IF(E103="Positivo",MAX(K103/J103,0),MAX(J103/K103,0))),"") </f>
        <v/>
      </c>
      <c r="N103" s="5" t="inlineStr">
        <is>
          <t>%</t>
        </is>
      </c>
      <c r="O103" s="5" t="inlineStr">
        <is>
          <t>%</t>
        </is>
      </c>
      <c r="P103" s="15" t="n">
        <v>0</v>
      </c>
      <c r="Q103" s="15" t="n">
        <v>0</v>
      </c>
      <c r="R103" s="5" t="inlineStr">
        <is>
          <t>84-2022-12-31</t>
        </is>
      </c>
    </row>
    <row r="104">
      <c r="A104" s="5" t="n">
        <v>84</v>
      </c>
      <c r="B104" s="5" t="inlineStr">
        <is>
          <t>Funcionamiento del COPASST</t>
        </is>
      </c>
      <c r="C104" s="5" t="inlineStr">
        <is>
          <t>GESTIÓN DE SEGURIDAD Y SALUD EN EL TRABAJO</t>
        </is>
      </c>
      <c r="D104" s="5" t="inlineStr">
        <is>
          <t>Anual</t>
        </is>
      </c>
      <c r="E104" s="5" t="inlineStr">
        <is>
          <t>Positivo</t>
        </is>
      </c>
      <c r="F104" s="107" t="n">
        <v>45291</v>
      </c>
      <c r="G104" s="5" t="n">
        <v>2023</v>
      </c>
      <c r="H104" s="5" t="inlineStr">
        <is>
          <t>Diciembre</t>
        </is>
      </c>
      <c r="I104" s="6" t="inlineStr">
        <is>
          <t>2023-2</t>
        </is>
      </c>
      <c r="J104" s="5" t="n">
        <v>100</v>
      </c>
      <c r="K104" s="5" t="n">
        <v>100</v>
      </c>
      <c r="L104" s="14">
        <f>IFERROR(IF(OR(J104=0,K104=""),"",IF(E104="Positivo",MIN(MAX(K104/J104,0),1.3),MIN(MAX(J104/K104,0),1.3))),"") </f>
        <v/>
      </c>
      <c r="M104" s="14">
        <f>IFERROR(IF(OR(J104=0,K104=""),"",IF(E104="Positivo",MAX(K104/J104,0),MAX(J104/K104,0))),"") </f>
        <v/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84-2023-12-31</t>
        </is>
      </c>
    </row>
    <row r="105">
      <c r="A105" s="21" t="n">
        <v>84</v>
      </c>
      <c r="B105" s="5" t="inlineStr">
        <is>
          <t>Funcionamiento del COPASST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107" t="n">
        <v>45657</v>
      </c>
      <c r="G105" s="5" t="n">
        <v>2024</v>
      </c>
      <c r="H105" s="5" t="inlineStr">
        <is>
          <t>Diciembre</t>
        </is>
      </c>
      <c r="I105" s="6" t="inlineStr">
        <is>
          <t>2024-2</t>
        </is>
      </c>
      <c r="J105" s="5" t="n">
        <v>100</v>
      </c>
      <c r="K105" s="10" t="n">
        <v>100</v>
      </c>
      <c r="L105" s="14">
        <f>IFERROR(IF(OR(J105=0,K105=""),"",IF(E105="Positivo",MIN(MAX(K105/J105,0),1.3),MIN(MAX(J105/K105,0),1.3))),"") </f>
        <v/>
      </c>
      <c r="M105" s="14">
        <f>IFERROR(IF(OR(J105=0,K105=""),"",IF(E105="Positivo",MAX(K105/J105,0),MAX(J105/K105,0))),"") </f>
        <v/>
      </c>
      <c r="N105" s="5" t="inlineStr">
        <is>
          <t>%</t>
        </is>
      </c>
      <c r="O105" s="5" t="inlineStr">
        <is>
          <t>%</t>
        </is>
      </c>
      <c r="P105" s="15" t="n">
        <v>0</v>
      </c>
      <c r="Q105" s="15" t="n">
        <v>0</v>
      </c>
      <c r="R105" s="5" t="inlineStr">
        <is>
          <t>84-2024-12-31</t>
        </is>
      </c>
    </row>
    <row r="106">
      <c r="A106" s="21" t="n">
        <v>84</v>
      </c>
      <c r="B106" s="5" t="inlineStr">
        <is>
          <t>Funcionamiento del COPASST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Positivo</t>
        </is>
      </c>
      <c r="F106" s="107" t="n">
        <v>46022</v>
      </c>
      <c r="G106" s="5" t="n">
        <v>2025</v>
      </c>
      <c r="H106" s="5" t="inlineStr">
        <is>
          <t>Diciembre</t>
        </is>
      </c>
      <c r="I106" s="6" t="inlineStr">
        <is>
          <t>2025-2</t>
        </is>
      </c>
      <c r="J106" s="5" t="n">
        <v>100</v>
      </c>
      <c r="K106" s="10" t="n">
        <v>100</v>
      </c>
      <c r="L106" s="14">
        <f>IFERROR(IF(OR(J106=0,K106=""),"",IF(E106="Positivo",MIN(MAX(K106/J106,0),1.3),MIN(MAX(J106/K106,0),1.3))),"") </f>
        <v/>
      </c>
      <c r="M106" s="14">
        <f>IFERROR(IF(OR(J106=0,K106=""),"",IF(E106="Positivo",MAX(K106/J106,0),MAX(J106/K106,0))),"") </f>
        <v/>
      </c>
      <c r="N106" s="5" t="inlineStr">
        <is>
          <t>%</t>
        </is>
      </c>
      <c r="O106" s="5" t="inlineStr">
        <is>
          <t>%</t>
        </is>
      </c>
      <c r="P106" s="15" t="n">
        <v>0</v>
      </c>
      <c r="Q106" s="15" t="n">
        <v>0</v>
      </c>
      <c r="R106" s="5" t="inlineStr">
        <is>
          <t>84-2025-12-31</t>
        </is>
      </c>
    </row>
    <row r="107">
      <c r="A107" s="28" t="n">
        <v>85</v>
      </c>
      <c r="B107" s="5" t="inlineStr">
        <is>
          <t>Plan de Emergencias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Positivo</t>
        </is>
      </c>
      <c r="F107" s="107" t="n">
        <v>44926</v>
      </c>
      <c r="G107" s="5" t="n">
        <v>2022</v>
      </c>
      <c r="H107" s="5" t="inlineStr">
        <is>
          <t>Diciembre</t>
        </is>
      </c>
      <c r="I107" s="6" t="inlineStr">
        <is>
          <t>2022-2</t>
        </is>
      </c>
      <c r="J107" s="5" t="n">
        <v>100</v>
      </c>
      <c r="K107" s="10" t="n">
        <v>100</v>
      </c>
      <c r="L107" s="14">
        <f>IFERROR(IF(OR(J107=0,K107=""),"",IF(E107="Positivo",MIN(MAX(K107/J107,0),1.3),MIN(MAX(J107/K107,0),1.3))),"") </f>
        <v/>
      </c>
      <c r="M107" s="14">
        <f>IFERROR(IF(OR(J107=0,K107=""),"",IF(E107="Positivo",MAX(K107/J107,0),MAX(J107/K107,0))),"") </f>
        <v/>
      </c>
      <c r="N107" s="5" t="inlineStr">
        <is>
          <t>%</t>
        </is>
      </c>
      <c r="O107" s="5" t="inlineStr">
        <is>
          <t>%</t>
        </is>
      </c>
      <c r="P107" s="15" t="n">
        <v>0</v>
      </c>
      <c r="Q107" s="15" t="n">
        <v>0</v>
      </c>
      <c r="R107" s="5" t="inlineStr">
        <is>
          <t>85-2022-12-31</t>
        </is>
      </c>
    </row>
    <row r="108">
      <c r="A108" s="26" t="n">
        <v>85</v>
      </c>
      <c r="B108" s="5" t="inlineStr">
        <is>
          <t>Plan de Emergencias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Positivo</t>
        </is>
      </c>
      <c r="F108" s="107" t="n">
        <v>45291</v>
      </c>
      <c r="G108" s="5" t="n">
        <v>2023</v>
      </c>
      <c r="H108" s="5" t="inlineStr">
        <is>
          <t>Diciembre</t>
        </is>
      </c>
      <c r="I108" s="6" t="inlineStr">
        <is>
          <t>2023-2</t>
        </is>
      </c>
      <c r="J108" s="5" t="n">
        <v>100</v>
      </c>
      <c r="K108" s="10" t="n">
        <v>100</v>
      </c>
      <c r="L108" s="14">
        <f>IFERROR(IF(OR(J108=0,K108=""),"",IF(E108="Positivo",MIN(MAX(K108/J108,0),1.3),MIN(MAX(J108/K108,0),1.3))),"") </f>
        <v/>
      </c>
      <c r="M108" s="14">
        <f>IFERROR(IF(OR(J108=0,K108=""),"",IF(E108="Positivo",MAX(K108/J108,0),MAX(J108/K108,0))),"") </f>
        <v/>
      </c>
      <c r="N108" s="5" t="inlineStr">
        <is>
          <t>%</t>
        </is>
      </c>
      <c r="O108" s="5" t="inlineStr">
        <is>
          <t>%</t>
        </is>
      </c>
      <c r="P108" s="15" t="n">
        <v>0</v>
      </c>
      <c r="Q108" s="15" t="n">
        <v>0</v>
      </c>
      <c r="R108" s="5" t="inlineStr">
        <is>
          <t>85-2023-12-31</t>
        </is>
      </c>
    </row>
    <row r="109">
      <c r="A109" s="21" t="n">
        <v>85</v>
      </c>
      <c r="B109" s="5" t="inlineStr">
        <is>
          <t>Plan de Emergencias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Positivo</t>
        </is>
      </c>
      <c r="F109" s="107" t="n">
        <v>45657</v>
      </c>
      <c r="G109" s="5" t="n">
        <v>2024</v>
      </c>
      <c r="H109" s="5" t="inlineStr">
        <is>
          <t>Diciembre</t>
        </is>
      </c>
      <c r="I109" s="6" t="inlineStr">
        <is>
          <t>2024-2</t>
        </is>
      </c>
      <c r="J109" s="5" t="n">
        <v>100</v>
      </c>
      <c r="K109" s="10" t="n">
        <v>100</v>
      </c>
      <c r="L109" s="14">
        <f>IFERROR(IF(OR(J109=0,K109=""),"",IF(E109="Positivo",MIN(MAX(K109/J109,0),1.3),MIN(MAX(J109/K109,0),1.3))),"") </f>
        <v/>
      </c>
      <c r="M109" s="14">
        <f>IFERROR(IF(OR(J109=0,K109=""),"",IF(E109="Positivo",MAX(K109/J109,0),MAX(J109/K109,0))),"") </f>
        <v/>
      </c>
      <c r="N109" s="5" t="inlineStr">
        <is>
          <t>%</t>
        </is>
      </c>
      <c r="O109" s="5" t="inlineStr">
        <is>
          <t>%</t>
        </is>
      </c>
      <c r="P109" s="15" t="n">
        <v>0</v>
      </c>
      <c r="Q109" s="15" t="n">
        <v>0</v>
      </c>
      <c r="R109" s="5" t="inlineStr">
        <is>
          <t>85-2024-12-31</t>
        </is>
      </c>
    </row>
    <row r="110">
      <c r="A110" s="5" t="n">
        <v>85</v>
      </c>
      <c r="B110" s="5" t="inlineStr">
        <is>
          <t>Plan de Emergencias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Positivo</t>
        </is>
      </c>
      <c r="F110" s="107" t="n">
        <v>46022</v>
      </c>
      <c r="G110" s="5" t="n">
        <v>2025</v>
      </c>
      <c r="H110" s="5" t="inlineStr">
        <is>
          <t>Diciembre</t>
        </is>
      </c>
      <c r="I110" s="6" t="inlineStr">
        <is>
          <t>2025-2</t>
        </is>
      </c>
      <c r="J110" s="5" t="n">
        <v>100</v>
      </c>
      <c r="K110" s="5" t="n">
        <v>100</v>
      </c>
      <c r="L110" s="14">
        <f>IFERROR(IF(OR(J110=0,K110=""),"",IF(E110="Positivo",MIN(MAX(K110/J110,0),1.3),MIN(MAX(J110/K110,0),1.3))),"") </f>
        <v/>
      </c>
      <c r="M110" s="14">
        <f>IFERROR(IF(OR(J110=0,K110=""),"",IF(E110="Positivo",MAX(K110/J110,0),MAX(J110/K110,0))),"") </f>
        <v/>
      </c>
      <c r="N110" s="5" t="inlineStr">
        <is>
          <t>%</t>
        </is>
      </c>
      <c r="O110" s="5" t="inlineStr">
        <is>
          <t>%</t>
        </is>
      </c>
      <c r="P110" s="5" t="n">
        <v>0</v>
      </c>
      <c r="Q110" s="5" t="n">
        <v>0</v>
      </c>
      <c r="R110" s="5" t="inlineStr">
        <is>
          <t>85-2025-12-31</t>
        </is>
      </c>
    </row>
    <row r="111">
      <c r="A111" s="21" t="n">
        <v>86</v>
      </c>
      <c r="B111" s="5" t="inlineStr">
        <is>
          <t>Reporte e investigación</t>
        </is>
      </c>
      <c r="C111" s="5" t="inlineStr">
        <is>
          <t>GESTIÓN DE SEGURIDAD Y SALUD EN EL TRABAJO</t>
        </is>
      </c>
      <c r="D111" s="5" t="inlineStr">
        <is>
          <t>Trimestral</t>
        </is>
      </c>
      <c r="E111" s="5" t="inlineStr">
        <is>
          <t>Positivo</t>
        </is>
      </c>
      <c r="F111" s="107" t="n">
        <v>44742</v>
      </c>
      <c r="G111" s="5" t="n">
        <v>2022</v>
      </c>
      <c r="H111" s="5" t="inlineStr">
        <is>
          <t>Junio</t>
        </is>
      </c>
      <c r="I111" s="6" t="inlineStr">
        <is>
          <t>2022-1</t>
        </is>
      </c>
      <c r="J111" s="5" t="n">
        <v>100</v>
      </c>
      <c r="K111" s="10" t="n">
        <v>100</v>
      </c>
      <c r="L111" s="14">
        <f>IFERROR(IF(OR(J111=0,K111=""),"",IF(E111="Positivo",MIN(MAX(K111/J111,0),1.3),MIN(MAX(J111/K111,0),1.3))),"") </f>
        <v/>
      </c>
      <c r="M111" s="14">
        <f>IFERROR(IF(OR(J111=0,K111=""),"",IF(E111="Positivo",MAX(K111/J111,0),MAX(J111/K111,0))),"") </f>
        <v/>
      </c>
      <c r="N111" s="5" t="inlineStr">
        <is>
          <t>%</t>
        </is>
      </c>
      <c r="O111" s="5" t="inlineStr">
        <is>
          <t>%</t>
        </is>
      </c>
      <c r="P111" s="15" t="n">
        <v>0</v>
      </c>
      <c r="Q111" s="15" t="n">
        <v>0</v>
      </c>
      <c r="R111" s="5" t="inlineStr">
        <is>
          <t>86-2022-06-30</t>
        </is>
      </c>
    </row>
    <row r="112">
      <c r="A112" s="21" t="n">
        <v>86</v>
      </c>
      <c r="B112" s="5" t="inlineStr">
        <is>
          <t>Reporte e investigación</t>
        </is>
      </c>
      <c r="C112" s="5" t="inlineStr">
        <is>
          <t>GESTIÓN DE SEGURIDAD Y SALUD EN EL TRABAJO</t>
        </is>
      </c>
      <c r="D112" s="5" t="inlineStr">
        <is>
          <t>Trimestral</t>
        </is>
      </c>
      <c r="E112" s="5" t="inlineStr">
        <is>
          <t>Positivo</t>
        </is>
      </c>
      <c r="F112" s="107" t="n">
        <v>44926</v>
      </c>
      <c r="G112" s="5" t="n">
        <v>2022</v>
      </c>
      <c r="H112" s="5" t="inlineStr">
        <is>
          <t>Diciembre</t>
        </is>
      </c>
      <c r="I112" s="6" t="inlineStr">
        <is>
          <t>2022-2</t>
        </is>
      </c>
      <c r="J112" s="5" t="n">
        <v>100</v>
      </c>
      <c r="K112" s="10" t="n">
        <v>100</v>
      </c>
      <c r="L112" s="14">
        <f>IFERROR(IF(OR(J112=0,K112=""),"",IF(E112="Positivo",MIN(MAX(K112/J112,0),1.3),MIN(MAX(J112/K112,0),1.3))),"") </f>
        <v/>
      </c>
      <c r="M112" s="14">
        <f>IFERROR(IF(OR(J112=0,K112=""),"",IF(E112="Positivo",MAX(K112/J112,0),MAX(J112/K112,0))),"") </f>
        <v/>
      </c>
      <c r="N112" s="5" t="inlineStr">
        <is>
          <t>%</t>
        </is>
      </c>
      <c r="O112" s="5" t="inlineStr">
        <is>
          <t>%</t>
        </is>
      </c>
      <c r="P112" s="15" t="n">
        <v>0</v>
      </c>
      <c r="Q112" s="15" t="n">
        <v>0</v>
      </c>
      <c r="R112" s="5" t="inlineStr">
        <is>
          <t>86-2022-12-31</t>
        </is>
      </c>
    </row>
    <row r="113">
      <c r="A113" s="5" t="n">
        <v>86</v>
      </c>
      <c r="B113" s="5" t="inlineStr">
        <is>
          <t>Reporte e investigación</t>
        </is>
      </c>
      <c r="C113" s="5" t="inlineStr">
        <is>
          <t>GESTIÓN DE SEGURIDAD Y SALUD EN EL TRABAJO</t>
        </is>
      </c>
      <c r="D113" s="5" t="inlineStr">
        <is>
          <t>Semestral</t>
        </is>
      </c>
      <c r="E113" s="5" t="inlineStr">
        <is>
          <t>Positivo</t>
        </is>
      </c>
      <c r="F113" s="107" t="n">
        <v>45107</v>
      </c>
      <c r="G113" s="5" t="n">
        <v>2023</v>
      </c>
      <c r="H113" s="5" t="inlineStr">
        <is>
          <t>Junio</t>
        </is>
      </c>
      <c r="I113" s="6" t="inlineStr">
        <is>
          <t>2023-1</t>
        </is>
      </c>
      <c r="J113" s="5" t="n">
        <v>100</v>
      </c>
      <c r="K113" s="5" t="n">
        <v>100</v>
      </c>
      <c r="L113" s="74">
        <f>IFERROR(IF(OR(J113=0,K113=""),"",IF(E113="Positivo",MIN(MAX(K113/J113,0),1.3),MIN(MAX(J113/K113,0),1.3))),"") </f>
        <v/>
      </c>
      <c r="M113" s="14">
        <f>IFERROR(IF(OR(J113=0,K113=""),"",IF(E113="Positivo",MAX(K113/J113,0),MAX(J113/K113,0))),"") </f>
        <v/>
      </c>
      <c r="N113" s="5" t="inlineStr">
        <is>
          <t>%</t>
        </is>
      </c>
      <c r="O113" s="5" t="inlineStr">
        <is>
          <t>%</t>
        </is>
      </c>
      <c r="P113" s="5" t="n">
        <v>0</v>
      </c>
      <c r="Q113" s="5" t="n">
        <v>0</v>
      </c>
      <c r="R113" s="5" t="inlineStr">
        <is>
          <t>86-2023-06-30</t>
        </is>
      </c>
    </row>
    <row r="114">
      <c r="A114" s="21" t="n">
        <v>86</v>
      </c>
      <c r="B114" s="5" t="inlineStr">
        <is>
          <t>Reporte e investigación</t>
        </is>
      </c>
      <c r="C114" s="5" t="inlineStr">
        <is>
          <t>GESTIÓN DE SEGURIDAD Y SALUD EN EL TRABAJO</t>
        </is>
      </c>
      <c r="D114" s="5" t="inlineStr">
        <is>
          <t>Semestral</t>
        </is>
      </c>
      <c r="E114" s="5" t="inlineStr">
        <is>
          <t>Positivo</t>
        </is>
      </c>
      <c r="F114" s="107" t="n">
        <v>45291</v>
      </c>
      <c r="G114" s="5" t="n">
        <v>2023</v>
      </c>
      <c r="H114" s="5" t="inlineStr">
        <is>
          <t>Diciembre</t>
        </is>
      </c>
      <c r="I114" s="6" t="inlineStr">
        <is>
          <t>2023-2</t>
        </is>
      </c>
      <c r="J114" s="5" t="n">
        <v>100</v>
      </c>
      <c r="K114" s="5" t="n">
        <v>100</v>
      </c>
      <c r="L114" s="14">
        <f>IFERROR(IF(OR(J114=0,K114=""),"",IF(E114="Positivo",MIN(MAX(K114/J114,0),1.3),MIN(MAX(J114/K114,0),1.3))),"") </f>
        <v/>
      </c>
      <c r="M114" s="14">
        <f>IFERROR(IF(OR(J114=0,K114=""),"",IF(E114="Positivo",MAX(K114/J114,0),MAX(J114/K114,0))),"") </f>
        <v/>
      </c>
      <c r="N114" s="5" t="inlineStr">
        <is>
          <t>%</t>
        </is>
      </c>
      <c r="O114" s="5" t="inlineStr">
        <is>
          <t>%</t>
        </is>
      </c>
      <c r="P114" s="15" t="n">
        <v>0</v>
      </c>
      <c r="Q114" s="15" t="n">
        <v>0</v>
      </c>
      <c r="R114" s="5" t="inlineStr">
        <is>
          <t>86-2023-12-31</t>
        </is>
      </c>
    </row>
    <row r="115">
      <c r="A115" s="21" t="n">
        <v>86</v>
      </c>
      <c r="B115" s="5" t="inlineStr">
        <is>
          <t>Reporte e investigación</t>
        </is>
      </c>
      <c r="C115" s="5" t="inlineStr">
        <is>
          <t>GESTIÓN DE SEGURIDAD Y SALUD EN EL TRABAJO</t>
        </is>
      </c>
      <c r="D115" s="5" t="inlineStr">
        <is>
          <t>Semestral</t>
        </is>
      </c>
      <c r="E115" s="5" t="inlineStr">
        <is>
          <t>Positivo</t>
        </is>
      </c>
      <c r="F115" s="107" t="n">
        <v>45473</v>
      </c>
      <c r="G115" s="5" t="n">
        <v>2024</v>
      </c>
      <c r="H115" s="5" t="inlineStr">
        <is>
          <t>Junio</t>
        </is>
      </c>
      <c r="I115" s="6" t="inlineStr">
        <is>
          <t>2024-1</t>
        </is>
      </c>
      <c r="J115" s="5" t="n">
        <v>100</v>
      </c>
      <c r="K115" s="10" t="n">
        <v>100</v>
      </c>
      <c r="L115" s="14">
        <f>IFERROR(IF(OR(J115=0,K115=""),"",IF(E115="Positivo",MIN(MAX(K115/J115,0),1.3),MIN(MAX(J115/K115,0),1.3))),"") </f>
        <v/>
      </c>
      <c r="M115" s="14">
        <f>IFERROR(IF(OR(J115=0,K115=""),"",IF(E115="Positivo",MAX(K115/J115,0),MAX(J115/K115,0))),"") </f>
        <v/>
      </c>
      <c r="N115" s="5" t="inlineStr">
        <is>
          <t>%</t>
        </is>
      </c>
      <c r="O115" s="5" t="inlineStr">
        <is>
          <t>%</t>
        </is>
      </c>
      <c r="P115" s="15" t="n">
        <v>0</v>
      </c>
      <c r="Q115" s="15" t="n">
        <v>0</v>
      </c>
      <c r="R115" s="5" t="inlineStr">
        <is>
          <t>86-2024-06-30</t>
        </is>
      </c>
    </row>
    <row r="116">
      <c r="A116" s="5" t="n">
        <v>86</v>
      </c>
      <c r="B116" s="5" t="inlineStr">
        <is>
          <t>Reporte e investigación</t>
        </is>
      </c>
      <c r="C116" s="5" t="inlineStr">
        <is>
          <t>GESTIÓN DE SEGURIDAD Y SALUD EN EL TRABAJO</t>
        </is>
      </c>
      <c r="D116" s="5" t="inlineStr">
        <is>
          <t>Semestral</t>
        </is>
      </c>
      <c r="E116" s="5" t="inlineStr">
        <is>
          <t>Positivo</t>
        </is>
      </c>
      <c r="F116" s="107" t="n">
        <v>45657</v>
      </c>
      <c r="G116" s="5" t="n">
        <v>2024</v>
      </c>
      <c r="H116" s="5" t="inlineStr">
        <is>
          <t>Diciembre</t>
        </is>
      </c>
      <c r="I116" s="6" t="inlineStr">
        <is>
          <t>2024-2</t>
        </is>
      </c>
      <c r="J116" s="5" t="n">
        <v>100</v>
      </c>
      <c r="K116" s="5" t="n">
        <v>100</v>
      </c>
      <c r="L116" s="74">
        <f>IFERROR(IF(OR(J116=0,K116=""),"",IF(E116="Positivo",MIN(MAX(K116/J116,0),1.3),MIN(MAX(J116/K116,0),1.3))),"") </f>
        <v/>
      </c>
      <c r="M116" s="14">
        <f>IFERROR(IF(OR(J116=0,K116=""),"",IF(E116="Positivo",MAX(K116/J116,0),MAX(J116/K116,0))),"") </f>
        <v/>
      </c>
      <c r="N116" s="5" t="inlineStr">
        <is>
          <t>%</t>
        </is>
      </c>
      <c r="O116" s="5" t="inlineStr">
        <is>
          <t>%</t>
        </is>
      </c>
      <c r="P116" s="5" t="n">
        <v>0</v>
      </c>
      <c r="Q116" s="5" t="n">
        <v>0</v>
      </c>
      <c r="R116" s="5" t="inlineStr">
        <is>
          <t>86-2024-12-31</t>
        </is>
      </c>
    </row>
    <row r="117">
      <c r="A117" s="5" t="n">
        <v>86</v>
      </c>
      <c r="B117" s="5" t="inlineStr">
        <is>
          <t>Reporte e investigación</t>
        </is>
      </c>
      <c r="C117" s="5" t="inlineStr">
        <is>
          <t>GESTIÓN DE SEGURIDAD Y SALUD EN EL TRABAJO</t>
        </is>
      </c>
      <c r="D117" s="5" t="inlineStr">
        <is>
          <t>Semestral</t>
        </is>
      </c>
      <c r="E117" s="5" t="inlineStr">
        <is>
          <t>Positivo</t>
        </is>
      </c>
      <c r="F117" s="107" t="n">
        <v>45838</v>
      </c>
      <c r="G117" s="5" t="n">
        <v>2025</v>
      </c>
      <c r="H117" s="5" t="inlineStr">
        <is>
          <t>Junio</t>
        </is>
      </c>
      <c r="I117" s="6" t="inlineStr">
        <is>
          <t>2025-1</t>
        </is>
      </c>
      <c r="J117" s="5" t="n">
        <v>100</v>
      </c>
      <c r="K117" s="5" t="n">
        <v>100</v>
      </c>
      <c r="L117" s="14">
        <f>IFERROR(IF(OR(J117=0,K117=""),"",IF(E117="Positivo",MIN(MAX(K117/J117,0),1.3),MIN(MAX(J117/K117,0),1.3))),"") </f>
        <v/>
      </c>
      <c r="M117" s="14">
        <f>IFERROR(IF(OR(J117=0,K117=""),"",IF(E117="Positivo",MAX(K117/J117,0),MAX(J117/K117,0))),"") </f>
        <v/>
      </c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 t="inlineStr">
        <is>
          <t>86-2025-06-30</t>
        </is>
      </c>
    </row>
    <row r="118">
      <c r="A118" s="21" t="n">
        <v>86</v>
      </c>
      <c r="B118" s="5" t="inlineStr">
        <is>
          <t>Reporte e investigación</t>
        </is>
      </c>
      <c r="C118" s="5" t="inlineStr">
        <is>
          <t>GESTIÓN DE SEGURIDAD Y SALUD EN EL TRABAJO</t>
        </is>
      </c>
      <c r="D118" s="5" t="inlineStr">
        <is>
          <t>Trimestral</t>
        </is>
      </c>
      <c r="E118" s="5" t="inlineStr">
        <is>
          <t>Positivo</t>
        </is>
      </c>
      <c r="F118" s="107" t="n">
        <v>46022</v>
      </c>
      <c r="G118" s="5" t="n">
        <v>2025</v>
      </c>
      <c r="H118" s="5" t="inlineStr">
        <is>
          <t>Diciembre</t>
        </is>
      </c>
      <c r="I118" s="6" t="inlineStr">
        <is>
          <t>2025-2</t>
        </is>
      </c>
      <c r="J118" s="5" t="n">
        <v>100</v>
      </c>
      <c r="K118" s="10" t="n">
        <v>100</v>
      </c>
      <c r="L118" s="14">
        <f>IFERROR(IF(OR(J118=0,K118=""),"",IF(E118="Positivo",MIN(MAX(K118/J118,0),1.3),MIN(MAX(J118/K118,0),1.3))),"") </f>
        <v/>
      </c>
      <c r="M118" s="14">
        <f>IFERROR(IF(OR(J118=0,K118=""),"",IF(E118="Positivo",MAX(K118/J118,0),MAX(J118/K118,0))),"") </f>
        <v/>
      </c>
      <c r="N118" s="5" t="inlineStr">
        <is>
          <t>%</t>
        </is>
      </c>
      <c r="O118" s="5" t="inlineStr">
        <is>
          <t>%</t>
        </is>
      </c>
      <c r="P118" s="15" t="n">
        <v>0</v>
      </c>
      <c r="Q118" s="15" t="n">
        <v>0</v>
      </c>
      <c r="R118" s="5" t="inlineStr">
        <is>
          <t>86-2025-12-31</t>
        </is>
      </c>
    </row>
    <row r="119">
      <c r="A119" s="5" t="n">
        <v>87</v>
      </c>
      <c r="B119" s="5" t="inlineStr">
        <is>
          <t>Autoevaluación</t>
        </is>
      </c>
      <c r="C119" s="5" t="inlineStr">
        <is>
          <t>GESTIÓN DE SEGURIDAD Y SALUD EN EL TRABAJO</t>
        </is>
      </c>
      <c r="D119" s="5" t="inlineStr">
        <is>
          <t>Anual</t>
        </is>
      </c>
      <c r="E119" s="5" t="inlineStr">
        <is>
          <t>Positivo</t>
        </is>
      </c>
      <c r="F119" s="107" t="n">
        <v>44926</v>
      </c>
      <c r="G119" s="5" t="n">
        <v>2022</v>
      </c>
      <c r="H119" s="5" t="inlineStr">
        <is>
          <t>Diciembre</t>
        </is>
      </c>
      <c r="I119" s="6" t="inlineStr">
        <is>
          <t>2022-2</t>
        </is>
      </c>
      <c r="J119" s="5" t="n">
        <v>80</v>
      </c>
      <c r="K119" s="5" t="n">
        <v>99</v>
      </c>
      <c r="L119" s="74">
        <f>IFERROR(IF(OR(J119=0,K119=""),"",IF(E119="Positivo",MIN(MAX(K119/J119,0),1.3),MIN(MAX(J119/K119,0),1.3))),"") </f>
        <v/>
      </c>
      <c r="M119" s="14">
        <f>IFERROR(IF(OR(J119=0,K119=""),"",IF(E119="Positivo",MAX(K119/J119,0),MAX(J119/K119,0))),"") </f>
        <v/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87-2022-12-31</t>
        </is>
      </c>
    </row>
    <row r="120">
      <c r="A120" s="21" t="n">
        <v>87</v>
      </c>
      <c r="B120" s="5" t="inlineStr">
        <is>
          <t>Autoevaluación</t>
        </is>
      </c>
      <c r="C120" s="5" t="inlineStr">
        <is>
          <t>GESTIÓN DE SEGURIDAD Y SALUD EN EL TRABAJO</t>
        </is>
      </c>
      <c r="D120" s="5" t="inlineStr">
        <is>
          <t>Anual</t>
        </is>
      </c>
      <c r="E120" s="5" t="inlineStr">
        <is>
          <t>Positivo</t>
        </is>
      </c>
      <c r="F120" s="107" t="n">
        <v>45291</v>
      </c>
      <c r="G120" s="5" t="n">
        <v>2023</v>
      </c>
      <c r="H120" s="5" t="inlineStr">
        <is>
          <t>Diciembre</t>
        </is>
      </c>
      <c r="I120" s="6" t="inlineStr">
        <is>
          <t>2023-2</t>
        </is>
      </c>
      <c r="J120" s="5" t="n">
        <v>90</v>
      </c>
      <c r="K120" s="10" t="n">
        <v>100</v>
      </c>
      <c r="L120" s="14">
        <f>IFERROR(IF(OR(J120=0,K120=""),"",IF(E120="Positivo",MIN(MAX(K120/J120,0),1.3),MIN(MAX(J120/K120,0),1.3))),"") </f>
        <v/>
      </c>
      <c r="M120" s="14">
        <f>IFERROR(IF(OR(J120=0,K120=""),"",IF(E120="Positivo",MAX(K120/J120,0),MAX(J120/K120,0))),"") </f>
        <v/>
      </c>
      <c r="N120" s="5" t="inlineStr">
        <is>
          <t>%</t>
        </is>
      </c>
      <c r="O120" s="5" t="inlineStr">
        <is>
          <t>%</t>
        </is>
      </c>
      <c r="P120" s="15" t="n">
        <v>0</v>
      </c>
      <c r="Q120" s="15" t="n">
        <v>0</v>
      </c>
      <c r="R120" s="5" t="inlineStr">
        <is>
          <t>87-2023-12-31</t>
        </is>
      </c>
    </row>
    <row r="121">
      <c r="A121" s="21" t="n">
        <v>87</v>
      </c>
      <c r="B121" s="5" t="inlineStr">
        <is>
          <t>Autoevaluación</t>
        </is>
      </c>
      <c r="C121" s="5" t="inlineStr">
        <is>
          <t>GESTIÓN DE SEGURIDAD Y SALUD EN EL TRABAJO</t>
        </is>
      </c>
      <c r="D121" s="5" t="inlineStr">
        <is>
          <t>Anual</t>
        </is>
      </c>
      <c r="E121" s="5" t="inlineStr">
        <is>
          <t>Positivo</t>
        </is>
      </c>
      <c r="F121" s="107" t="n">
        <v>45657</v>
      </c>
      <c r="G121" s="5" t="n">
        <v>2024</v>
      </c>
      <c r="H121" s="5" t="inlineStr">
        <is>
          <t>Diciembre</t>
        </is>
      </c>
      <c r="I121" s="6" t="inlineStr">
        <is>
          <t>2024-2</t>
        </is>
      </c>
      <c r="J121" s="5" t="n">
        <v>90</v>
      </c>
      <c r="K121" s="10" t="n">
        <v>100</v>
      </c>
      <c r="L121" s="14">
        <f>IFERROR(IF(OR(J121=0,K121=""),"",IF(E121="Positivo",MIN(MAX(K121/J121,0),1.3),MIN(MAX(J121/K121,0),1.3))),"") </f>
        <v/>
      </c>
      <c r="M121" s="14">
        <f>IFERROR(IF(OR(J121=0,K121=""),"",IF(E121="Positivo",MAX(K121/J121,0),MAX(J121/K121,0))),"") </f>
        <v/>
      </c>
      <c r="N121" s="5" t="inlineStr">
        <is>
          <t>%</t>
        </is>
      </c>
      <c r="O121" s="5" t="inlineStr">
        <is>
          <t>%</t>
        </is>
      </c>
      <c r="P121" s="15" t="n">
        <v>0</v>
      </c>
      <c r="Q121" s="15" t="n">
        <v>0</v>
      </c>
      <c r="R121" s="5" t="inlineStr">
        <is>
          <t>87-2024-12-31</t>
        </is>
      </c>
    </row>
    <row r="122">
      <c r="A122" s="26" t="n">
        <v>87</v>
      </c>
      <c r="B122" s="5" t="inlineStr">
        <is>
          <t>Autoevaluación</t>
        </is>
      </c>
      <c r="C122" s="5" t="inlineStr">
        <is>
          <t>GESTIÓN DE SEGURIDAD Y SALUD EN EL TRABAJO</t>
        </is>
      </c>
      <c r="D122" s="5" t="inlineStr">
        <is>
          <t>Anual</t>
        </is>
      </c>
      <c r="E122" s="5" t="inlineStr">
        <is>
          <t>Positivo</t>
        </is>
      </c>
      <c r="F122" s="107" t="n">
        <v>46022</v>
      </c>
      <c r="G122" s="5" t="n">
        <v>2025</v>
      </c>
      <c r="H122" s="5" t="inlineStr">
        <is>
          <t>Diciembre</t>
        </is>
      </c>
      <c r="I122" s="6" t="inlineStr">
        <is>
          <t>2025-2</t>
        </is>
      </c>
      <c r="J122" s="5" t="n">
        <v>80</v>
      </c>
      <c r="K122" s="10" t="n">
        <v>100</v>
      </c>
      <c r="L122" s="14">
        <f>IFERROR(IF(OR(J122=0,K122=""),"",IF(E122="Positivo",MIN(MAX(K122/J122,0),1.3),MIN(MAX(J122/K122,0),1.3))),"") </f>
        <v/>
      </c>
      <c r="M122" s="14">
        <f>IFERROR(IF(OR(J122=0,K122=""),"",IF(E122="Positivo",MAX(K122/J122,0),MAX(J122/K122,0))),"") </f>
        <v/>
      </c>
      <c r="N122" s="5" t="inlineStr">
        <is>
          <t>%</t>
        </is>
      </c>
      <c r="O122" s="5" t="inlineStr">
        <is>
          <t>%</t>
        </is>
      </c>
      <c r="P122" s="15" t="n">
        <v>0</v>
      </c>
      <c r="Q122" s="15" t="n">
        <v>0</v>
      </c>
      <c r="R122" s="5" t="inlineStr">
        <is>
          <t>87-2025-12-31</t>
        </is>
      </c>
    </row>
    <row r="123">
      <c r="A123" s="5" t="n">
        <v>88</v>
      </c>
      <c r="B123" s="5" t="inlineStr">
        <is>
          <t>Ejecución del plan de trabajo</t>
        </is>
      </c>
      <c r="C123" s="5" t="inlineStr">
        <is>
          <t>GESTIÓN DE SEGURIDAD Y SALUD EN EL TRABAJO</t>
        </is>
      </c>
      <c r="D123" s="5" t="inlineStr">
        <is>
          <t>Anual</t>
        </is>
      </c>
      <c r="E123" s="5" t="inlineStr">
        <is>
          <t>Positivo</t>
        </is>
      </c>
      <c r="F123" s="107" t="n">
        <v>44926</v>
      </c>
      <c r="G123" s="5" t="n">
        <v>2022</v>
      </c>
      <c r="H123" s="5" t="inlineStr">
        <is>
          <t>Diciembre</t>
        </is>
      </c>
      <c r="I123" s="6" t="inlineStr">
        <is>
          <t>2022-2</t>
        </is>
      </c>
      <c r="J123" s="5" t="n">
        <v>100</v>
      </c>
      <c r="K123" s="5" t="n">
        <v>99.344262295082</v>
      </c>
      <c r="L123" s="14">
        <f>IFERROR(IF(OR(J123=0,K123=""),"",IF(E123="Positivo",MIN(MAX(K123/J123,0),1.3),MIN(MAX(J123/K123,0),1.3))),"") </f>
        <v/>
      </c>
      <c r="M123" s="14">
        <f>IFERROR(IF(OR(J123=0,K123=""),"",IF(E123="Positivo",MAX(K123/J123,0),MAX(J123/K123,0))),"") </f>
        <v/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88-2022-12-31</t>
        </is>
      </c>
    </row>
    <row r="124">
      <c r="A124" s="21" t="n">
        <v>88</v>
      </c>
      <c r="B124" s="5" t="inlineStr">
        <is>
          <t>Ejecución del plan de trabajo</t>
        </is>
      </c>
      <c r="C124" s="5" t="inlineStr">
        <is>
          <t>GESTIÓN DE SEGURIDAD Y SALUD EN EL TRABAJO</t>
        </is>
      </c>
      <c r="D124" s="5" t="inlineStr">
        <is>
          <t>Anual</t>
        </is>
      </c>
      <c r="E124" s="5" t="inlineStr">
        <is>
          <t>Positivo</t>
        </is>
      </c>
      <c r="F124" s="106" t="n">
        <v>45291</v>
      </c>
      <c r="G124" s="5" t="n">
        <v>2023</v>
      </c>
      <c r="H124" s="5" t="inlineStr">
        <is>
          <t>Diciembre</t>
        </is>
      </c>
      <c r="I124" s="6" t="inlineStr">
        <is>
          <t>2023-2</t>
        </is>
      </c>
      <c r="J124" s="5" t="n">
        <v>100</v>
      </c>
      <c r="K124" s="10" t="n">
        <v>100</v>
      </c>
      <c r="L124" s="14">
        <f>IFERROR(IF(OR(J124=0,K124=""),"",IF(E124="Positivo",MIN(MAX(K124/J124,0),1.3),MIN(MAX(J124/K124,0),1.3))),"") </f>
        <v/>
      </c>
      <c r="M124" s="14">
        <f>IFERROR(IF(OR(J124=0,K124=""),"",IF(E124="Positivo",MAX(K124/J124,0),MAX(J124/K124,0))),"") </f>
        <v/>
      </c>
      <c r="N124" s="5" t="inlineStr">
        <is>
          <t>%</t>
        </is>
      </c>
      <c r="O124" s="5" t="inlineStr">
        <is>
          <t>%</t>
        </is>
      </c>
      <c r="P124" s="15" t="n">
        <v>0</v>
      </c>
      <c r="Q124" s="15" t="n">
        <v>0</v>
      </c>
      <c r="R124" s="5" t="inlineStr">
        <is>
          <t>88-2023-12-31</t>
        </is>
      </c>
    </row>
    <row r="125">
      <c r="A125" s="21" t="n">
        <v>88</v>
      </c>
      <c r="B125" s="5" t="inlineStr">
        <is>
          <t>Ejecución del plan de trabajo</t>
        </is>
      </c>
      <c r="C125" s="5" t="inlineStr">
        <is>
          <t>GESTIÓN DE SEGURIDAD Y SALUD EN EL TRABAJO</t>
        </is>
      </c>
      <c r="D125" s="5" t="inlineStr">
        <is>
          <t>Anual</t>
        </is>
      </c>
      <c r="E125" s="5" t="inlineStr">
        <is>
          <t>Positivo</t>
        </is>
      </c>
      <c r="F125" s="107" t="n">
        <v>45657</v>
      </c>
      <c r="G125" s="5" t="n">
        <v>2024</v>
      </c>
      <c r="H125" s="5" t="inlineStr">
        <is>
          <t>Diciembre</t>
        </is>
      </c>
      <c r="I125" s="6" t="inlineStr">
        <is>
          <t>2024-2</t>
        </is>
      </c>
      <c r="J125" s="5" t="n">
        <v>100</v>
      </c>
      <c r="K125" s="10" t="n">
        <v>100</v>
      </c>
      <c r="L125" s="14">
        <f>IFERROR(IF(OR(J125=0,K125=""),"",IF(E125="Positivo",MIN(MAX(K125/J125,0),1.3),MIN(MAX(J125/K125,0),1.3))),"") </f>
        <v/>
      </c>
      <c r="M125" s="14">
        <f>IFERROR(IF(OR(J125=0,K125=""),"",IF(E125="Positivo",MAX(K125/J125,0),MAX(J125/K125,0))),"") </f>
        <v/>
      </c>
      <c r="N125" s="5" t="inlineStr">
        <is>
          <t>%</t>
        </is>
      </c>
      <c r="O125" s="5" t="inlineStr">
        <is>
          <t>%</t>
        </is>
      </c>
      <c r="P125" s="15" t="n">
        <v>0</v>
      </c>
      <c r="Q125" s="15" t="n">
        <v>0</v>
      </c>
      <c r="R125" s="5" t="inlineStr">
        <is>
          <t>88-2024-12-31</t>
        </is>
      </c>
    </row>
    <row r="126">
      <c r="A126" s="21" t="n">
        <v>88</v>
      </c>
      <c r="B126" s="5" t="inlineStr">
        <is>
          <t>Ejecución del plan de trabajo</t>
        </is>
      </c>
      <c r="C126" s="5" t="inlineStr">
        <is>
          <t>GESTIÓN DE SEGURIDAD Y SALUD EN EL TRABAJO</t>
        </is>
      </c>
      <c r="D126" s="5" t="inlineStr">
        <is>
          <t>Anual</t>
        </is>
      </c>
      <c r="E126" s="5" t="inlineStr">
        <is>
          <t>Positivo</t>
        </is>
      </c>
      <c r="F126" s="107" t="n">
        <v>46022</v>
      </c>
      <c r="G126" s="5" t="n">
        <v>2025</v>
      </c>
      <c r="H126" s="5" t="inlineStr">
        <is>
          <t>Diciembre</t>
        </is>
      </c>
      <c r="I126" s="6" t="inlineStr">
        <is>
          <t>2025-2</t>
        </is>
      </c>
      <c r="J126" s="5" t="n">
        <v>100</v>
      </c>
      <c r="K126" s="10" t="n">
        <v>100</v>
      </c>
      <c r="L126" s="14">
        <f>IFERROR(IF(OR(J126=0,K126=""),"",IF(E126="Positivo",MIN(MAX(K126/J126,0),1.3),MIN(MAX(J126/K126,0),1.3))),"") </f>
        <v/>
      </c>
      <c r="M126" s="14">
        <f>IFERROR(IF(OR(J126=0,K126=""),"",IF(E126="Positivo",MAX(K126/J126,0),MAX(J126/K126,0))),"") </f>
        <v/>
      </c>
      <c r="N126" s="5" t="inlineStr">
        <is>
          <t>%</t>
        </is>
      </c>
      <c r="O126" s="5" t="inlineStr">
        <is>
          <t>%</t>
        </is>
      </c>
      <c r="P126" s="15" t="n">
        <v>0</v>
      </c>
      <c r="Q126" s="15" t="n">
        <v>0</v>
      </c>
      <c r="R126" s="5" t="inlineStr">
        <is>
          <t>88-2025-12-31</t>
        </is>
      </c>
    </row>
    <row r="127">
      <c r="A127" s="21" t="n">
        <v>89</v>
      </c>
      <c r="B127" s="5" t="inlineStr">
        <is>
          <t>Ejecución plan de capacitación</t>
        </is>
      </c>
      <c r="C127" s="5" t="inlineStr">
        <is>
          <t>GESTIÓN DE SEGURIDAD Y SALUD EN EL TRABAJO</t>
        </is>
      </c>
      <c r="D127" s="5" t="inlineStr">
        <is>
          <t>Anual</t>
        </is>
      </c>
      <c r="E127" s="5" t="inlineStr">
        <is>
          <t>Positivo</t>
        </is>
      </c>
      <c r="F127" s="107" t="n">
        <v>44926</v>
      </c>
      <c r="G127" s="5" t="n">
        <v>2022</v>
      </c>
      <c r="H127" s="5" t="inlineStr">
        <is>
          <t>Diciembre</t>
        </is>
      </c>
      <c r="I127" s="6" t="inlineStr">
        <is>
          <t>2022-2</t>
        </is>
      </c>
      <c r="J127" s="5" t="n">
        <v>100</v>
      </c>
      <c r="K127" s="10" t="n">
        <v>100</v>
      </c>
      <c r="L127" s="14">
        <f>IFERROR(IF(OR(J127=0,K127=""),"",IF(E127="Positivo",MIN(MAX(K127/J127,0),1.3),MIN(MAX(J127/K127,0),1.3))),"") </f>
        <v/>
      </c>
      <c r="M127" s="14">
        <f>IFERROR(IF(OR(J127=0,K127=""),"",IF(E127="Positivo",MAX(K127/J127,0),MAX(J127/K127,0))),"") </f>
        <v/>
      </c>
      <c r="N127" s="5" t="inlineStr">
        <is>
          <t>%</t>
        </is>
      </c>
      <c r="O127" s="5" t="inlineStr">
        <is>
          <t>%</t>
        </is>
      </c>
      <c r="P127" s="15" t="n">
        <v>0</v>
      </c>
      <c r="Q127" s="15" t="n">
        <v>0</v>
      </c>
      <c r="R127" s="5" t="inlineStr">
        <is>
          <t>89-2022-12-31</t>
        </is>
      </c>
    </row>
    <row r="128">
      <c r="A128" s="26" t="n">
        <v>89</v>
      </c>
      <c r="B128" s="5" t="inlineStr">
        <is>
          <t>Ejecución plan de capacitación</t>
        </is>
      </c>
      <c r="C128" s="5" t="inlineStr">
        <is>
          <t>GESTIÓN DE SEGURIDAD Y SALUD EN EL TRABAJO</t>
        </is>
      </c>
      <c r="D128" s="5" t="inlineStr">
        <is>
          <t>Anual</t>
        </is>
      </c>
      <c r="E128" s="5" t="inlineStr">
        <is>
          <t>Positivo</t>
        </is>
      </c>
      <c r="F128" s="107" t="n">
        <v>45291</v>
      </c>
      <c r="G128" s="5" t="n">
        <v>2023</v>
      </c>
      <c r="H128" s="5" t="inlineStr">
        <is>
          <t>Diciembre</t>
        </is>
      </c>
      <c r="I128" s="6" t="inlineStr">
        <is>
          <t>2023-2</t>
        </is>
      </c>
      <c r="J128" s="5" t="n">
        <v>100</v>
      </c>
      <c r="K128" s="10" t="n">
        <v>100</v>
      </c>
      <c r="L128" s="14">
        <f>IFERROR(IF(OR(J128=0,K128=""),"",IF(E128="Positivo",MIN(MAX(K128/J128,0),1.3),MIN(MAX(J128/K128,0),1.3))),"") </f>
        <v/>
      </c>
      <c r="M128" s="14">
        <f>IFERROR(IF(OR(J128=0,K128=""),"",IF(E128="Positivo",MAX(K128/J128,0),MAX(J128/K128,0))),"") </f>
        <v/>
      </c>
      <c r="N128" s="5" t="inlineStr">
        <is>
          <t>%</t>
        </is>
      </c>
      <c r="O128" s="5" t="inlineStr">
        <is>
          <t>%</t>
        </is>
      </c>
      <c r="P128" s="15" t="n">
        <v>0</v>
      </c>
      <c r="Q128" s="15" t="n">
        <v>0</v>
      </c>
      <c r="R128" s="5" t="inlineStr">
        <is>
          <t>89-2023-12-31</t>
        </is>
      </c>
    </row>
    <row r="129">
      <c r="A129" s="21" t="n">
        <v>89</v>
      </c>
      <c r="B129" s="5" t="inlineStr">
        <is>
          <t>Ejecución plan de capacitación</t>
        </is>
      </c>
      <c r="C129" s="5" t="inlineStr">
        <is>
          <t>GESTIÓN DE SEGURIDAD Y SALUD EN EL TRABAJO</t>
        </is>
      </c>
      <c r="D129" s="5" t="inlineStr">
        <is>
          <t>Anual</t>
        </is>
      </c>
      <c r="E129" s="5" t="inlineStr">
        <is>
          <t>Positivo</t>
        </is>
      </c>
      <c r="F129" s="107" t="n">
        <v>45657</v>
      </c>
      <c r="G129" s="5" t="n">
        <v>2024</v>
      </c>
      <c r="H129" s="5" t="inlineStr">
        <is>
          <t>Diciembre</t>
        </is>
      </c>
      <c r="I129" s="6" t="inlineStr">
        <is>
          <t>2024-2</t>
        </is>
      </c>
      <c r="J129" s="5" t="n">
        <v>100</v>
      </c>
      <c r="K129" s="10" t="n">
        <v>100</v>
      </c>
      <c r="L129" s="14">
        <f>IFERROR(IF(OR(J129=0,K129=""),"",IF(E129="Positivo",MIN(MAX(K129/J129,0),1.3),MIN(MAX(J129/K129,0),1.3))),"") </f>
        <v/>
      </c>
      <c r="M129" s="14">
        <f>IFERROR(IF(OR(J129=0,K129=""),"",IF(E129="Positivo",MAX(K129/J129,0),MAX(J129/K129,0))),"") </f>
        <v/>
      </c>
      <c r="N129" s="5" t="inlineStr">
        <is>
          <t>%</t>
        </is>
      </c>
      <c r="O129" s="5" t="inlineStr">
        <is>
          <t>%</t>
        </is>
      </c>
      <c r="P129" s="15" t="n">
        <v>0</v>
      </c>
      <c r="Q129" s="15" t="n">
        <v>0</v>
      </c>
      <c r="R129" s="5" t="inlineStr">
        <is>
          <t>89-2024-12-31</t>
        </is>
      </c>
    </row>
    <row r="130">
      <c r="A130" s="5" t="n">
        <v>89</v>
      </c>
      <c r="B130" s="5" t="inlineStr">
        <is>
          <t>Ejecución plan de capacitación</t>
        </is>
      </c>
      <c r="C130" s="5" t="inlineStr">
        <is>
          <t>GESTIÓN DE SEGURIDAD Y SALUD EN EL TRABAJO</t>
        </is>
      </c>
      <c r="D130" s="5" t="inlineStr">
        <is>
          <t>Anual</t>
        </is>
      </c>
      <c r="E130" s="5" t="inlineStr">
        <is>
          <t>Positivo</t>
        </is>
      </c>
      <c r="F130" s="107" t="n">
        <v>46022</v>
      </c>
      <c r="G130" s="5" t="n">
        <v>2025</v>
      </c>
      <c r="H130" s="5" t="inlineStr">
        <is>
          <t>Diciembre</t>
        </is>
      </c>
      <c r="I130" s="6" t="inlineStr">
        <is>
          <t>2025-2</t>
        </is>
      </c>
      <c r="J130" s="5" t="n">
        <v>100</v>
      </c>
      <c r="K130" s="5" t="n">
        <v>100</v>
      </c>
      <c r="L130" s="74">
        <f>IFERROR(IF(OR(J130=0,K130=""),"",IF(E130="Positivo",MIN(MAX(K130/J130,0),1.3),MIN(MAX(J130/K130,0),1.3))),"") </f>
        <v/>
      </c>
      <c r="M130" s="14">
        <f>IFERROR(IF(OR(J130=0,K130=""),"",IF(E130="Positivo",MAX(K130/J130,0),MAX(J130/K130,0))),"") </f>
        <v/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0</v>
      </c>
      <c r="R130" s="5" t="inlineStr">
        <is>
          <t>89-2025-12-31</t>
        </is>
      </c>
    </row>
    <row r="131">
      <c r="A131" s="21" t="n">
        <v>90</v>
      </c>
      <c r="B131" s="5" t="inlineStr">
        <is>
          <t>Ejecución de Simulacros</t>
        </is>
      </c>
      <c r="C131" s="5" t="inlineStr">
        <is>
          <t>GESTIÓN DE SEGURIDAD Y SALUD EN EL TRABAJO</t>
        </is>
      </c>
      <c r="D131" s="5" t="inlineStr">
        <is>
          <t>Anual</t>
        </is>
      </c>
      <c r="E131" s="5" t="inlineStr">
        <is>
          <t>Positivo</t>
        </is>
      </c>
      <c r="F131" s="107" t="n">
        <v>44926</v>
      </c>
      <c r="G131" s="5" t="n">
        <v>2022</v>
      </c>
      <c r="H131" s="5" t="inlineStr">
        <is>
          <t>Diciembre</t>
        </is>
      </c>
      <c r="I131" s="6" t="inlineStr">
        <is>
          <t>2022-2</t>
        </is>
      </c>
      <c r="J131" s="5" t="n">
        <v>100</v>
      </c>
      <c r="K131" s="10" t="n">
        <v>100</v>
      </c>
      <c r="L131" s="14">
        <f>IFERROR(IF(OR(J131=0,K131=""),"",IF(E131="Positivo",MIN(MAX(K131/J131,0),1.3),MIN(MAX(J131/K131,0),1.3))),"") </f>
        <v/>
      </c>
      <c r="M131" s="14">
        <f>IFERROR(IF(OR(J131=0,K131=""),"",IF(E131="Positivo",MAX(K131/J131,0),MAX(J131/K131,0))),"") </f>
        <v/>
      </c>
      <c r="N131" s="5" t="inlineStr">
        <is>
          <t>%</t>
        </is>
      </c>
      <c r="O131" s="5" t="inlineStr">
        <is>
          <t>%</t>
        </is>
      </c>
      <c r="P131" s="15" t="n">
        <v>0</v>
      </c>
      <c r="Q131" s="15" t="n">
        <v>0</v>
      </c>
      <c r="R131" s="5" t="inlineStr">
        <is>
          <t>90-2022-12-31</t>
        </is>
      </c>
    </row>
    <row r="132">
      <c r="A132" s="21" t="n">
        <v>90</v>
      </c>
      <c r="B132" s="5" t="inlineStr">
        <is>
          <t>Ejecución de Simulacros</t>
        </is>
      </c>
      <c r="C132" s="5" t="inlineStr">
        <is>
          <t>GESTIÓN DE SEGURIDAD Y SALUD EN EL TRABAJO</t>
        </is>
      </c>
      <c r="D132" s="5" t="inlineStr">
        <is>
          <t>Anual</t>
        </is>
      </c>
      <c r="E132" s="5" t="inlineStr">
        <is>
          <t>Positivo</t>
        </is>
      </c>
      <c r="F132" s="107" t="n">
        <v>45291</v>
      </c>
      <c r="G132" s="5" t="n">
        <v>2023</v>
      </c>
      <c r="H132" s="5" t="inlineStr">
        <is>
          <t>Diciembre</t>
        </is>
      </c>
      <c r="I132" s="6" t="inlineStr">
        <is>
          <t>2023-2</t>
        </is>
      </c>
      <c r="J132" s="5" t="n">
        <v>100</v>
      </c>
      <c r="K132" s="10" t="n">
        <v>100</v>
      </c>
      <c r="L132" s="14">
        <f>IFERROR(IF(OR(J132=0,K132=""),"",IF(E132="Positivo",MIN(MAX(K132/J132,0),1.3),MIN(MAX(J132/K132,0),1.3))),"") </f>
        <v/>
      </c>
      <c r="M132" s="14">
        <f>IFERROR(IF(OR(J132=0,K132=""),"",IF(E132="Positivo",MAX(K132/J132,0),MAX(J132/K132,0))),"") </f>
        <v/>
      </c>
      <c r="N132" s="5" t="inlineStr">
        <is>
          <t>%</t>
        </is>
      </c>
      <c r="O132" s="5" t="inlineStr">
        <is>
          <t>%</t>
        </is>
      </c>
      <c r="P132" s="15" t="n">
        <v>0</v>
      </c>
      <c r="Q132" s="15" t="n">
        <v>0</v>
      </c>
      <c r="R132" s="5" t="inlineStr">
        <is>
          <t>90-2023-12-31</t>
        </is>
      </c>
    </row>
    <row r="133">
      <c r="A133" s="5" t="n">
        <v>90</v>
      </c>
      <c r="B133" s="5" t="inlineStr">
        <is>
          <t>Ejecución de Simulacros</t>
        </is>
      </c>
      <c r="C133" s="5" t="inlineStr">
        <is>
          <t>GESTIÓN DE SEGURIDAD Y SALUD EN EL TRABAJO</t>
        </is>
      </c>
      <c r="D133" s="5" t="inlineStr">
        <is>
          <t>Anual</t>
        </is>
      </c>
      <c r="E133" s="5" t="inlineStr">
        <is>
          <t>Positivo</t>
        </is>
      </c>
      <c r="F133" s="107" t="n">
        <v>45657</v>
      </c>
      <c r="G133" s="5" t="n">
        <v>2024</v>
      </c>
      <c r="H133" s="5" t="inlineStr">
        <is>
          <t>Diciembre</t>
        </is>
      </c>
      <c r="I133" s="6" t="inlineStr">
        <is>
          <t>2024-2</t>
        </is>
      </c>
      <c r="J133" s="5" t="n">
        <v>100</v>
      </c>
      <c r="K133" s="5" t="n">
        <v>100</v>
      </c>
      <c r="L133" s="74">
        <f>IFERROR(IF(OR(J133=0,K133=""),"",IF(E133="Positivo",MIN(MAX(K133/J133,0),1.3),MIN(MAX(J133/K133,0),1.3))),"") </f>
        <v/>
      </c>
      <c r="M133" s="14">
        <f>IFERROR(IF(OR(J133=0,K133=""),"",IF(E133="Positivo",MAX(K133/J133,0),MAX(J133/K133,0))),"") </f>
        <v/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90-2024-12-31</t>
        </is>
      </c>
    </row>
    <row r="134">
      <c r="A134" s="5" t="n">
        <v>90</v>
      </c>
      <c r="B134" s="5" t="inlineStr">
        <is>
          <t>Ejecución de Simulacros</t>
        </is>
      </c>
      <c r="C134" s="5" t="inlineStr">
        <is>
          <t>GESTIÓN DE SEGURIDAD Y SALUD EN EL TRABAJO</t>
        </is>
      </c>
      <c r="D134" s="5" t="inlineStr">
        <is>
          <t>Anual</t>
        </is>
      </c>
      <c r="E134" s="5" t="inlineStr">
        <is>
          <t>Positivo</t>
        </is>
      </c>
      <c r="F134" s="107" t="n">
        <v>46022</v>
      </c>
      <c r="G134" s="5" t="n">
        <v>2025</v>
      </c>
      <c r="H134" s="5" t="inlineStr">
        <is>
          <t>Diciembre</t>
        </is>
      </c>
      <c r="I134" s="6" t="inlineStr">
        <is>
          <t>2025-2</t>
        </is>
      </c>
      <c r="J134" s="5" t="n">
        <v>100</v>
      </c>
      <c r="K134" s="5" t="n">
        <v>100</v>
      </c>
      <c r="L134" s="14">
        <f>IFERROR(IF(OR(J134=0,K134=""),"",IF(E134="Positivo",MIN(MAX(K134/J134,0),1.3),MIN(MAX(J134/K134,0),1.3))),"") </f>
        <v/>
      </c>
      <c r="M134" s="14">
        <f>IFERROR(IF(OR(J134=0,K134=""),"",IF(E134="Positivo",MAX(K134/J134,0),MAX(J134/K134,0))),"") </f>
        <v/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90-2025-12-31</t>
        </is>
      </c>
    </row>
    <row r="135">
      <c r="A135" s="21" t="n">
        <v>91</v>
      </c>
      <c r="B135" s="5" t="inlineStr">
        <is>
          <t>Participación en capacitaciones SST</t>
        </is>
      </c>
      <c r="C135" s="5" t="inlineStr">
        <is>
          <t>GESTIÓN DE SEGURIDAD Y SALUD EN EL TRABAJO</t>
        </is>
      </c>
      <c r="D135" s="5" t="inlineStr">
        <is>
          <t>Anual</t>
        </is>
      </c>
      <c r="E135" s="5" t="inlineStr">
        <is>
          <t>Positivo</t>
        </is>
      </c>
      <c r="F135" s="107" t="n">
        <v>44926</v>
      </c>
      <c r="G135" s="5" t="n">
        <v>2022</v>
      </c>
      <c r="H135" s="5" t="inlineStr">
        <is>
          <t>Diciembre</t>
        </is>
      </c>
      <c r="I135" s="6" t="inlineStr">
        <is>
          <t>2022-2</t>
        </is>
      </c>
      <c r="J135" s="5" t="n">
        <v>100</v>
      </c>
      <c r="K135" s="10" t="n">
        <v>100</v>
      </c>
      <c r="L135" s="14">
        <f>IFERROR(IF(OR(J135=0,K135=""),"",IF(E135="Positivo",MIN(MAX(K135/J135,0),1.3),MIN(MAX(J135/K135,0),1.3))),"") </f>
        <v/>
      </c>
      <c r="M135" s="14">
        <f>IFERROR(IF(OR(J135=0,K135=""),"",IF(E135="Positivo",MAX(K135/J135,0),MAX(J135/K135,0))),"") </f>
        <v/>
      </c>
      <c r="N135" s="5" t="inlineStr">
        <is>
          <t>%</t>
        </is>
      </c>
      <c r="O135" s="5" t="inlineStr">
        <is>
          <t>%</t>
        </is>
      </c>
      <c r="P135" s="15" t="n">
        <v>0</v>
      </c>
      <c r="Q135" s="15" t="n">
        <v>0</v>
      </c>
      <c r="R135" s="5" t="inlineStr">
        <is>
          <t>91-2022-12-31</t>
        </is>
      </c>
    </row>
    <row r="136">
      <c r="A136" s="21" t="n">
        <v>91</v>
      </c>
      <c r="B136" s="5" t="inlineStr">
        <is>
          <t>Participación en capacitaciones SST</t>
        </is>
      </c>
      <c r="C136" s="5" t="inlineStr">
        <is>
          <t>GESTIÓN DE SEGURIDAD Y SALUD EN EL TRABAJO</t>
        </is>
      </c>
      <c r="D136" s="5" t="inlineStr">
        <is>
          <t>Anual</t>
        </is>
      </c>
      <c r="E136" s="5" t="inlineStr">
        <is>
          <t>Positivo</t>
        </is>
      </c>
      <c r="F136" s="107" t="n">
        <v>45291</v>
      </c>
      <c r="G136" s="5" t="n">
        <v>2023</v>
      </c>
      <c r="H136" s="5" t="inlineStr">
        <is>
          <t>Diciembre</t>
        </is>
      </c>
      <c r="I136" s="6" t="inlineStr">
        <is>
          <t>2023-2</t>
        </is>
      </c>
      <c r="J136" s="75" t="n">
        <v>100</v>
      </c>
      <c r="K136" s="51" t="n">
        <v>100</v>
      </c>
      <c r="L136" s="14">
        <f>IFERROR(IF(OR(J136=0,K136=""),"",IF(E136="Positivo",MIN(MAX(K136/J136,0),1.3),MIN(MAX(J136/K136,0),1.3))),"") </f>
        <v/>
      </c>
      <c r="M136" s="14">
        <f>IFERROR(IF(OR(J136=0,K136=""),"",IF(E136="Positivo",MAX(K136/J136,0),MAX(J136/K136,0))),"") </f>
        <v/>
      </c>
      <c r="N136" s="9" t="inlineStr">
        <is>
          <t>%</t>
        </is>
      </c>
      <c r="O136" s="9" t="inlineStr">
        <is>
          <t>%</t>
        </is>
      </c>
      <c r="P136" s="15" t="n">
        <v>0</v>
      </c>
      <c r="Q136" s="15" t="n">
        <v>0</v>
      </c>
      <c r="R136" s="5" t="inlineStr">
        <is>
          <t>91-2023-12-31</t>
        </is>
      </c>
    </row>
    <row r="137">
      <c r="A137" s="21" t="n">
        <v>91</v>
      </c>
      <c r="B137" s="5" t="inlineStr">
        <is>
          <t>Participación en capacitaciones SST</t>
        </is>
      </c>
      <c r="C137" s="5" t="inlineStr">
        <is>
          <t>GESTIÓN DE SEGURIDAD Y SALUD EN EL TRABAJO</t>
        </is>
      </c>
      <c r="D137" s="5" t="inlineStr">
        <is>
          <t>Anual</t>
        </is>
      </c>
      <c r="E137" s="5" t="inlineStr">
        <is>
          <t>Positivo</t>
        </is>
      </c>
      <c r="F137" s="106" t="n">
        <v>45657</v>
      </c>
      <c r="G137" s="5" t="n">
        <v>2024</v>
      </c>
      <c r="H137" s="5" t="inlineStr">
        <is>
          <t>Diciembre</t>
        </is>
      </c>
      <c r="I137" s="6" t="inlineStr">
        <is>
          <t>2024-2</t>
        </is>
      </c>
      <c r="J137" s="75" t="n">
        <v>100</v>
      </c>
      <c r="K137" s="51" t="n">
        <v>100</v>
      </c>
      <c r="L137" s="14">
        <f>IFERROR(IF(OR(J137=0,K137=""),"",IF(E137="Positivo",MIN(MAX(K137/J137,0),1.3),MIN(MAX(J137/K137,0),1.3))),"") </f>
        <v/>
      </c>
      <c r="M137" s="14">
        <f>IFERROR(IF(OR(J137=0,K137=""),"",IF(E137="Positivo",MAX(K137/J137,0),MAX(J137/K137,0))),"") </f>
        <v/>
      </c>
      <c r="N137" s="9" t="inlineStr">
        <is>
          <t>%</t>
        </is>
      </c>
      <c r="O137" s="9" t="inlineStr">
        <is>
          <t>%</t>
        </is>
      </c>
      <c r="P137" s="15" t="n">
        <v>0</v>
      </c>
      <c r="Q137" s="15" t="n">
        <v>0</v>
      </c>
      <c r="R137" s="5" t="inlineStr">
        <is>
          <t>91-2024-12-31</t>
        </is>
      </c>
    </row>
    <row r="138">
      <c r="A138" s="21" t="n">
        <v>91</v>
      </c>
      <c r="B138" s="5" t="inlineStr">
        <is>
          <t>Participación en capacitaciones SST</t>
        </is>
      </c>
      <c r="C138" s="5" t="inlineStr">
        <is>
          <t>GESTIÓN DE SEGURIDAD Y SALUD EN EL TRABAJO</t>
        </is>
      </c>
      <c r="D138" s="5" t="inlineStr">
        <is>
          <t>Anual</t>
        </is>
      </c>
      <c r="E138" s="5" t="inlineStr">
        <is>
          <t>Positivo</t>
        </is>
      </c>
      <c r="F138" s="107" t="n">
        <v>46022</v>
      </c>
      <c r="G138" s="5" t="n">
        <v>2025</v>
      </c>
      <c r="H138" s="5" t="inlineStr">
        <is>
          <t>Diciembre</t>
        </is>
      </c>
      <c r="I138" s="6" t="inlineStr">
        <is>
          <t>2025-2</t>
        </is>
      </c>
      <c r="J138" s="75" t="n">
        <v>100</v>
      </c>
      <c r="K138" s="51" t="n">
        <v>100</v>
      </c>
      <c r="L138" s="14">
        <f>IFERROR(IF(OR(J138=0,K138=""),"",IF(E138="Positivo",MIN(MAX(K138/J138,0),1.3),MIN(MAX(J138/K138,0),1.3))),"") </f>
        <v/>
      </c>
      <c r="M138" s="14">
        <f>IFERROR(IF(OR(J138=0,K138=""),"",IF(E138="Positivo",MAX(K138/J138,0),MAX(J138/K138,0))),"") </f>
        <v/>
      </c>
      <c r="N138" s="9" t="inlineStr">
        <is>
          <t>%</t>
        </is>
      </c>
      <c r="O138" s="9" t="inlineStr">
        <is>
          <t>%</t>
        </is>
      </c>
      <c r="P138" s="15" t="n">
        <v>0</v>
      </c>
      <c r="Q138" s="15" t="n">
        <v>0</v>
      </c>
      <c r="R138" s="5" t="inlineStr">
        <is>
          <t>91-2025-12-31</t>
        </is>
      </c>
    </row>
    <row r="139">
      <c r="A139" s="21" t="n">
        <v>92</v>
      </c>
      <c r="B139" s="5" t="inlineStr">
        <is>
          <t>Evaluación condiciones de salud (examen médico)</t>
        </is>
      </c>
      <c r="C139" s="5" t="inlineStr">
        <is>
          <t>GESTIÓN DE SEGURIDAD Y SALUD EN EL TRABAJO</t>
        </is>
      </c>
      <c r="D139" s="5" t="inlineStr">
        <is>
          <t>Anual</t>
        </is>
      </c>
      <c r="E139" s="5" t="inlineStr">
        <is>
          <t>Positivo</t>
        </is>
      </c>
      <c r="F139" s="107" t="n">
        <v>44926</v>
      </c>
      <c r="G139" s="5" t="n">
        <v>2022</v>
      </c>
      <c r="H139" s="5" t="inlineStr">
        <is>
          <t>Diciembre</t>
        </is>
      </c>
      <c r="I139" s="6" t="inlineStr">
        <is>
          <t>2022-2</t>
        </is>
      </c>
      <c r="J139" s="75" t="n">
        <v>100</v>
      </c>
      <c r="K139" s="51" t="n">
        <v>100</v>
      </c>
      <c r="L139" s="14">
        <f>IFERROR(IF(OR(J139=0,K139=""),"",IF(E139="Positivo",MIN(MAX(K139/J139,0),1.3),MIN(MAX(J139/K139,0),1.3))),"") </f>
        <v/>
      </c>
      <c r="M139" s="14">
        <f>IFERROR(IF(OR(J139=0,K139=""),"",IF(E139="Positivo",MAX(K139/J139,0),MAX(J139/K139,0))),"") </f>
        <v/>
      </c>
      <c r="N139" s="9" t="inlineStr">
        <is>
          <t>%</t>
        </is>
      </c>
      <c r="O139" s="9" t="inlineStr">
        <is>
          <t>%</t>
        </is>
      </c>
      <c r="P139" s="15" t="n">
        <v>0</v>
      </c>
      <c r="Q139" s="15" t="n">
        <v>0</v>
      </c>
      <c r="R139" s="5" t="inlineStr">
        <is>
          <t>92-2022-12-31</t>
        </is>
      </c>
    </row>
    <row r="140">
      <c r="A140" s="21" t="n">
        <v>92</v>
      </c>
      <c r="B140" s="5" t="inlineStr">
        <is>
          <t>Evaluación condiciones de salud (examen médico)</t>
        </is>
      </c>
      <c r="C140" s="5" t="inlineStr">
        <is>
          <t>GESTIÓN DE SEGURIDAD Y SALUD EN EL TRABAJO</t>
        </is>
      </c>
      <c r="D140" s="5" t="inlineStr">
        <is>
          <t>Anual</t>
        </is>
      </c>
      <c r="E140" s="5" t="inlineStr">
        <is>
          <t>Positivo</t>
        </is>
      </c>
      <c r="F140" s="107" t="n">
        <v>45291</v>
      </c>
      <c r="G140" s="5" t="n">
        <v>2023</v>
      </c>
      <c r="H140" s="5" t="inlineStr">
        <is>
          <t>Diciembre</t>
        </is>
      </c>
      <c r="I140" s="6" t="inlineStr">
        <is>
          <t>2023-2</t>
        </is>
      </c>
      <c r="J140" s="75" t="n">
        <v>100</v>
      </c>
      <c r="K140" s="51" t="n">
        <v>100</v>
      </c>
      <c r="L140" s="14">
        <f>IFERROR(IF(OR(J140=0,K140=""),"",IF(E140="Positivo",MIN(MAX(K140/J140,0),1.3),MIN(MAX(J140/K140,0),1.3))),"") </f>
        <v/>
      </c>
      <c r="M140" s="14">
        <f>IFERROR(IF(OR(J140=0,K140=""),"",IF(E140="Positivo",MAX(K140/J140,0),MAX(J140/K140,0))),"") </f>
        <v/>
      </c>
      <c r="N140" s="9" t="inlineStr">
        <is>
          <t>%</t>
        </is>
      </c>
      <c r="O140" s="9" t="inlineStr">
        <is>
          <t>%</t>
        </is>
      </c>
      <c r="P140" s="15" t="n">
        <v>0</v>
      </c>
      <c r="Q140" s="15" t="n">
        <v>0</v>
      </c>
      <c r="R140" s="5" t="inlineStr">
        <is>
          <t>92-2023-12-31</t>
        </is>
      </c>
    </row>
    <row r="141">
      <c r="A141" s="21" t="n">
        <v>92</v>
      </c>
      <c r="B141" s="5" t="inlineStr">
        <is>
          <t>Evaluación condiciones de salud (examen médico)</t>
        </is>
      </c>
      <c r="C141" s="5" t="inlineStr">
        <is>
          <t>GESTIÓN DE SEGURIDAD Y SALUD EN EL TRABAJO</t>
        </is>
      </c>
      <c r="D141" s="5" t="inlineStr">
        <is>
          <t>Anual</t>
        </is>
      </c>
      <c r="E141" s="5" t="inlineStr">
        <is>
          <t>Positivo</t>
        </is>
      </c>
      <c r="F141" s="107" t="n">
        <v>45657</v>
      </c>
      <c r="G141" s="5" t="n">
        <v>2024</v>
      </c>
      <c r="H141" s="5" t="inlineStr">
        <is>
          <t>Diciembre</t>
        </is>
      </c>
      <c r="I141" s="6" t="inlineStr">
        <is>
          <t>2024-2</t>
        </is>
      </c>
      <c r="J141" s="75" t="n">
        <v>98</v>
      </c>
      <c r="K141" s="51" t="n">
        <v>100</v>
      </c>
      <c r="L141" s="14">
        <f>IFERROR(IF(OR(J141=0,K141=""),"",IF(E141="Positivo",MIN(MAX(K141/J141,0),1.3),MIN(MAX(J141/K141,0),1.3))),"") </f>
        <v/>
      </c>
      <c r="M141" s="14">
        <f>IFERROR(IF(OR(J141=0,K141=""),"",IF(E141="Positivo",MAX(K141/J141,0),MAX(J141/K141,0))),"") </f>
        <v/>
      </c>
      <c r="N141" s="9" t="inlineStr">
        <is>
          <t>%</t>
        </is>
      </c>
      <c r="O141" s="9" t="inlineStr">
        <is>
          <t>%</t>
        </is>
      </c>
      <c r="P141" s="15" t="n">
        <v>0</v>
      </c>
      <c r="Q141" s="15" t="n">
        <v>0</v>
      </c>
      <c r="R141" s="5" t="inlineStr">
        <is>
          <t>92-2024-12-31</t>
        </is>
      </c>
    </row>
    <row r="142">
      <c r="A142" s="21" t="n">
        <v>92</v>
      </c>
      <c r="B142" s="5" t="inlineStr">
        <is>
          <t>Evaluación condiciones de salud (examen médico)</t>
        </is>
      </c>
      <c r="C142" s="5" t="inlineStr">
        <is>
          <t>GESTIÓN DE SEGURIDAD Y SALUD EN EL TRABAJO</t>
        </is>
      </c>
      <c r="D142" s="5" t="inlineStr">
        <is>
          <t>Anual</t>
        </is>
      </c>
      <c r="E142" s="5" t="inlineStr">
        <is>
          <t>Positivo</t>
        </is>
      </c>
      <c r="F142" s="107" t="n">
        <v>46022</v>
      </c>
      <c r="G142" s="5" t="n">
        <v>2025</v>
      </c>
      <c r="H142" s="5" t="inlineStr">
        <is>
          <t>Diciembre</t>
        </is>
      </c>
      <c r="I142" s="6" t="inlineStr">
        <is>
          <t>2025-2</t>
        </is>
      </c>
      <c r="J142" s="75" t="n">
        <v>98</v>
      </c>
      <c r="K142" s="51" t="n">
        <v>100</v>
      </c>
      <c r="L142" s="14">
        <f>IFERROR(IF(OR(J142=0,K142=""),"",IF(E142="Positivo",MIN(MAX(K142/J142,0),1.3),MIN(MAX(J142/K142,0),1.3))),"") </f>
        <v/>
      </c>
      <c r="M142" s="14">
        <f>IFERROR(IF(OR(J142=0,K142=""),"",IF(E142="Positivo",MAX(K142/J142,0),MAX(J142/K142,0))),"") </f>
        <v/>
      </c>
      <c r="N142" s="9" t="inlineStr">
        <is>
          <t>%</t>
        </is>
      </c>
      <c r="O142" s="9" t="inlineStr">
        <is>
          <t>%</t>
        </is>
      </c>
      <c r="P142" s="15" t="n">
        <v>0</v>
      </c>
      <c r="Q142" s="15" t="n">
        <v>0</v>
      </c>
      <c r="R142" s="5" t="inlineStr">
        <is>
          <t>92-2025-12-31</t>
        </is>
      </c>
    </row>
    <row r="143">
      <c r="A143" s="21" t="n">
        <v>94</v>
      </c>
      <c r="B143" s="5" t="inlineStr">
        <is>
          <t>Cobertura Elementos de Protección Personal</t>
        </is>
      </c>
      <c r="C143" s="5" t="inlineStr">
        <is>
          <t>GESTIÓN DE SEGURIDAD Y SALUD EN EL TRABAJO</t>
        </is>
      </c>
      <c r="D143" s="5" t="inlineStr">
        <is>
          <t>Anual</t>
        </is>
      </c>
      <c r="E143" s="5" t="inlineStr">
        <is>
          <t>Positivo</t>
        </is>
      </c>
      <c r="F143" s="107" t="n">
        <v>44926</v>
      </c>
      <c r="G143" s="5" t="n">
        <v>2022</v>
      </c>
      <c r="H143" s="5" t="inlineStr">
        <is>
          <t>Diciembre</t>
        </is>
      </c>
      <c r="I143" s="6" t="inlineStr">
        <is>
          <t>2022-2</t>
        </is>
      </c>
      <c r="J143" s="75" t="n">
        <v>100</v>
      </c>
      <c r="K143" s="51" t="n">
        <v>100</v>
      </c>
      <c r="L143" s="14">
        <f>IFERROR(IF(OR(J143=0,K143=""),"",IF(E143="Positivo",MIN(MAX(K143/J143,0),1.3),MIN(MAX(J143/K143,0),1.3))),"") </f>
        <v/>
      </c>
      <c r="M143" s="14">
        <f>IFERROR(IF(OR(J143=0,K143=""),"",IF(E143="Positivo",MAX(K143/J143,0),MAX(J143/K143,0))),"") </f>
        <v/>
      </c>
      <c r="N143" s="9" t="inlineStr">
        <is>
          <t>%</t>
        </is>
      </c>
      <c r="O143" s="9" t="inlineStr">
        <is>
          <t>%</t>
        </is>
      </c>
      <c r="P143" s="15" t="n">
        <v>0</v>
      </c>
      <c r="Q143" s="15" t="n">
        <v>0</v>
      </c>
      <c r="R143" s="5" t="inlineStr">
        <is>
          <t>94-2022-12-31</t>
        </is>
      </c>
    </row>
    <row r="144">
      <c r="A144" s="21" t="n">
        <v>94</v>
      </c>
      <c r="B144" s="5" t="inlineStr">
        <is>
          <t>Cobertura Elementos de Protección Personal</t>
        </is>
      </c>
      <c r="C144" s="5" t="inlineStr">
        <is>
          <t>GESTIÓN DE SEGURIDAD Y SALUD EN EL TRABAJO</t>
        </is>
      </c>
      <c r="D144" s="5" t="inlineStr">
        <is>
          <t>Anual</t>
        </is>
      </c>
      <c r="E144" s="5" t="inlineStr">
        <is>
          <t>Positivo</t>
        </is>
      </c>
      <c r="F144" s="107" t="n">
        <v>45291</v>
      </c>
      <c r="G144" s="5" t="n">
        <v>2023</v>
      </c>
      <c r="H144" s="5" t="inlineStr">
        <is>
          <t>Diciembre</t>
        </is>
      </c>
      <c r="I144" s="6" t="inlineStr">
        <is>
          <t>2023-2</t>
        </is>
      </c>
      <c r="J144" s="75" t="n">
        <v>100</v>
      </c>
      <c r="K144" s="51" t="n">
        <v>100</v>
      </c>
      <c r="L144" s="14">
        <f>IFERROR(IF(OR(J144=0,K144=""),"",IF(E144="Positivo",MIN(MAX(K144/J144,0),1.3),MIN(MAX(J144/K144,0),1.3))),"") </f>
        <v/>
      </c>
      <c r="M144" s="14">
        <f>IFERROR(IF(OR(J144=0,K144=""),"",IF(E144="Positivo",MAX(K144/J144,0),MAX(J144/K144,0))),"") </f>
        <v/>
      </c>
      <c r="N144" s="9" t="inlineStr">
        <is>
          <t>%</t>
        </is>
      </c>
      <c r="O144" s="9" t="inlineStr">
        <is>
          <t>%</t>
        </is>
      </c>
      <c r="P144" s="15" t="n">
        <v>0</v>
      </c>
      <c r="Q144" s="15" t="n">
        <v>0</v>
      </c>
      <c r="R144" s="5" t="inlineStr">
        <is>
          <t>94-2023-12-31</t>
        </is>
      </c>
    </row>
    <row r="145">
      <c r="A145" s="21" t="n">
        <v>94</v>
      </c>
      <c r="B145" s="5" t="inlineStr">
        <is>
          <t>Cobertura Elementos de Protección Personal</t>
        </is>
      </c>
      <c r="C145" s="5" t="inlineStr">
        <is>
          <t>GESTIÓN DE SEGURIDAD Y SALUD EN EL TRABAJO</t>
        </is>
      </c>
      <c r="D145" s="5" t="inlineStr">
        <is>
          <t>Anual</t>
        </is>
      </c>
      <c r="E145" s="5" t="inlineStr">
        <is>
          <t>Positivo</t>
        </is>
      </c>
      <c r="F145" s="107" t="n">
        <v>45657</v>
      </c>
      <c r="G145" s="5" t="n">
        <v>2024</v>
      </c>
      <c r="H145" s="5" t="inlineStr">
        <is>
          <t>Diciembre</t>
        </is>
      </c>
      <c r="I145" s="6" t="inlineStr">
        <is>
          <t>2024-2</t>
        </is>
      </c>
      <c r="J145" s="75" t="n">
        <v>100</v>
      </c>
      <c r="K145" s="51" t="n">
        <v>100</v>
      </c>
      <c r="L145" s="14">
        <f>IFERROR(IF(OR(J145=0,K145=""),"",IF(E145="Positivo",MIN(MAX(K145/J145,0),1.3),MIN(MAX(J145/K145,0),1.3))),"") </f>
        <v/>
      </c>
      <c r="M145" s="14">
        <f>IFERROR(IF(OR(J145=0,K145=""),"",IF(E145="Positivo",MAX(K145/J145,0),MAX(J145/K145,0))),"") </f>
        <v/>
      </c>
      <c r="N145" s="9" t="inlineStr">
        <is>
          <t>%</t>
        </is>
      </c>
      <c r="O145" s="9" t="inlineStr">
        <is>
          <t>%</t>
        </is>
      </c>
      <c r="P145" s="15" t="n">
        <v>0</v>
      </c>
      <c r="Q145" s="15" t="n">
        <v>0</v>
      </c>
      <c r="R145" s="5" t="inlineStr">
        <is>
          <t>94-2024-12-31</t>
        </is>
      </c>
    </row>
    <row r="146">
      <c r="A146" s="21" t="n">
        <v>94</v>
      </c>
      <c r="B146" s="5" t="inlineStr">
        <is>
          <t>Cobertura Elementos de Protección Personal</t>
        </is>
      </c>
      <c r="C146" s="5" t="inlineStr">
        <is>
          <t>GESTIÓN DE SEGURIDAD Y SALUD EN EL TRABAJO</t>
        </is>
      </c>
      <c r="D146" s="5" t="inlineStr">
        <is>
          <t>Anual</t>
        </is>
      </c>
      <c r="E146" s="5" t="inlineStr">
        <is>
          <t>Positivo</t>
        </is>
      </c>
      <c r="F146" s="107" t="n">
        <v>46022</v>
      </c>
      <c r="G146" s="5" t="n">
        <v>2025</v>
      </c>
      <c r="H146" s="5" t="inlineStr">
        <is>
          <t>Diciembre</t>
        </is>
      </c>
      <c r="I146" s="6" t="inlineStr">
        <is>
          <t>2025-2</t>
        </is>
      </c>
      <c r="J146" s="75" t="n">
        <v>100</v>
      </c>
      <c r="K146" s="51" t="n">
        <v>100</v>
      </c>
      <c r="L146" s="14">
        <f>IFERROR(IF(OR(J146=0,K146=""),"",IF(E146="Positivo",MIN(MAX(K146/J146,0),1.3),MIN(MAX(J146/K146,0),1.3))),"") </f>
        <v/>
      </c>
      <c r="M146" s="14">
        <f>IFERROR(IF(OR(J146=0,K146=""),"",IF(E146="Positivo",MAX(K146/J146,0),MAX(J146/K146,0))),"") </f>
        <v/>
      </c>
      <c r="N146" s="9" t="inlineStr">
        <is>
          <t>%</t>
        </is>
      </c>
      <c r="O146" s="9" t="inlineStr">
        <is>
          <t>%</t>
        </is>
      </c>
      <c r="P146" s="15" t="n">
        <v>0</v>
      </c>
      <c r="Q146" s="15" t="n">
        <v>0</v>
      </c>
      <c r="R146" s="5" t="inlineStr">
        <is>
          <t>94-2025-12-31</t>
        </is>
      </c>
    </row>
    <row r="147">
      <c r="A147" s="26" t="n">
        <v>95</v>
      </c>
      <c r="B147" s="5" t="inlineStr">
        <is>
          <t>Inspecciones de seguridad</t>
        </is>
      </c>
      <c r="C147" s="5" t="inlineStr">
        <is>
          <t>GESTIÓN DE SEGURIDAD Y SALUD EN EL TRABAJO</t>
        </is>
      </c>
      <c r="D147" s="5" t="inlineStr">
        <is>
          <t>Trimestral</t>
        </is>
      </c>
      <c r="E147" s="5" t="inlineStr">
        <is>
          <t>Positivo</t>
        </is>
      </c>
      <c r="F147" s="107" t="n">
        <v>44742</v>
      </c>
      <c r="G147" s="5" t="n">
        <v>2022</v>
      </c>
      <c r="H147" s="5" t="inlineStr">
        <is>
          <t>Junio</t>
        </is>
      </c>
      <c r="I147" s="6" t="inlineStr">
        <is>
          <t>2022-1</t>
        </is>
      </c>
      <c r="J147" s="75" t="n">
        <v>100</v>
      </c>
      <c r="K147" s="51" t="n">
        <v>100</v>
      </c>
      <c r="L147" s="14">
        <f>IFERROR(IF(OR(J147=0,K147=""),"",IF(E147="Positivo",MIN(MAX(K147/J147,0),1.3),MIN(MAX(J147/K147,0),1.3))),"") </f>
        <v/>
      </c>
      <c r="M147" s="14">
        <f>IFERROR(IF(OR(J147=0,K147=""),"",IF(E147="Positivo",MAX(K147/J147,0),MAX(J147/K147,0))),"") </f>
        <v/>
      </c>
      <c r="N147" s="9" t="inlineStr">
        <is>
          <t>%</t>
        </is>
      </c>
      <c r="O147" s="9" t="inlineStr">
        <is>
          <t>%</t>
        </is>
      </c>
      <c r="P147" s="15" t="n">
        <v>0</v>
      </c>
      <c r="Q147" s="15" t="n">
        <v>0</v>
      </c>
      <c r="R147" s="5" t="inlineStr">
        <is>
          <t>95-2022-06-30</t>
        </is>
      </c>
    </row>
    <row r="148">
      <c r="A148" s="21" t="n">
        <v>95</v>
      </c>
      <c r="B148" s="5" t="inlineStr">
        <is>
          <t>Inspecciones de seguridad</t>
        </is>
      </c>
      <c r="C148" s="5" t="inlineStr">
        <is>
          <t>GESTIÓN DE SEGURIDAD Y SALUD EN EL TRABAJO</t>
        </is>
      </c>
      <c r="D148" s="5" t="inlineStr">
        <is>
          <t>Trimestral</t>
        </is>
      </c>
      <c r="E148" s="5" t="inlineStr">
        <is>
          <t>Positivo</t>
        </is>
      </c>
      <c r="F148" s="107" t="n">
        <v>44926</v>
      </c>
      <c r="G148" s="5" t="n">
        <v>2022</v>
      </c>
      <c r="H148" s="5" t="inlineStr">
        <is>
          <t>Diciembre</t>
        </is>
      </c>
      <c r="I148" s="6" t="inlineStr">
        <is>
          <t>2022-2</t>
        </is>
      </c>
      <c r="J148" s="73" t="n">
        <v>100</v>
      </c>
      <c r="K148" s="9" t="n">
        <v>100</v>
      </c>
      <c r="L148" s="14">
        <f>IFERROR(IF(OR(J148=0,K148=""),"",IF(E148="Positivo",MIN(MAX(K148/J148,0),1.3),MIN(MAX(J148/K148,0),1.3))),"") </f>
        <v/>
      </c>
      <c r="M148" s="14">
        <f>IFERROR(IF(OR(J148=0,K148=""),"",IF(E148="Positivo",MAX(K148/J148,0),MAX(J148/K148,0))),"") </f>
        <v/>
      </c>
      <c r="N148" s="9" t="inlineStr">
        <is>
          <t>%</t>
        </is>
      </c>
      <c r="O148" s="9" t="inlineStr">
        <is>
          <t>%</t>
        </is>
      </c>
      <c r="P148" s="15" t="n">
        <v>0</v>
      </c>
      <c r="Q148" s="15" t="n">
        <v>0</v>
      </c>
      <c r="R148" s="5" t="inlineStr">
        <is>
          <t>95-2022-12-31</t>
        </is>
      </c>
    </row>
    <row r="149">
      <c r="A149" s="21" t="n">
        <v>95</v>
      </c>
      <c r="B149" s="5" t="inlineStr">
        <is>
          <t>Inspecciones de seguridad</t>
        </is>
      </c>
      <c r="C149" s="5" t="inlineStr">
        <is>
          <t>GESTIÓN DE SEGURIDAD Y SALUD EN EL TRABAJO</t>
        </is>
      </c>
      <c r="D149" s="5" t="inlineStr">
        <is>
          <t>Semestral</t>
        </is>
      </c>
      <c r="E149" s="5" t="inlineStr">
        <is>
          <t>Positivo</t>
        </is>
      </c>
      <c r="F149" s="106" t="n">
        <v>45107</v>
      </c>
      <c r="G149" s="5" t="n">
        <v>2023</v>
      </c>
      <c r="H149" s="5" t="inlineStr">
        <is>
          <t>Junio</t>
        </is>
      </c>
      <c r="I149" s="6" t="inlineStr">
        <is>
          <t>2023-1</t>
        </is>
      </c>
      <c r="J149" s="73" t="n">
        <v>100</v>
      </c>
      <c r="K149" s="9" t="n">
        <v>100</v>
      </c>
      <c r="L149" s="14">
        <f>IFERROR(IF(OR(J149=0,K149=""),"",IF(E149="Positivo",MIN(MAX(K149/J149,0),1.3),MIN(MAX(J149/K149,0),1.3))),"") </f>
        <v/>
      </c>
      <c r="M149" s="14">
        <f>IFERROR(IF(OR(J149=0,K149=""),"",IF(E149="Positivo",MAX(K149/J149,0),MAX(J149/K149,0))),"") </f>
        <v/>
      </c>
      <c r="N149" s="9" t="inlineStr">
        <is>
          <t>%</t>
        </is>
      </c>
      <c r="O149" s="9" t="inlineStr">
        <is>
          <t>%</t>
        </is>
      </c>
      <c r="P149" s="15" t="n">
        <v>0</v>
      </c>
      <c r="Q149" s="15" t="n">
        <v>0</v>
      </c>
      <c r="R149" s="5" t="inlineStr">
        <is>
          <t>95-2023-06-30</t>
        </is>
      </c>
    </row>
    <row r="150">
      <c r="A150" s="21" t="n">
        <v>95</v>
      </c>
      <c r="B150" s="5" t="inlineStr">
        <is>
          <t>Inspecciones de seguridad</t>
        </is>
      </c>
      <c r="C150" s="5" t="inlineStr">
        <is>
          <t>GESTIÓN DE SEGURIDAD Y SALUD EN EL TRABAJO</t>
        </is>
      </c>
      <c r="D150" s="5" t="inlineStr">
        <is>
          <t>Semestral</t>
        </is>
      </c>
      <c r="E150" s="5" t="inlineStr">
        <is>
          <t>Positivo</t>
        </is>
      </c>
      <c r="F150" s="107" t="n">
        <v>45291</v>
      </c>
      <c r="G150" s="5" t="n">
        <v>2023</v>
      </c>
      <c r="H150" s="5" t="inlineStr">
        <is>
          <t>Diciembre</t>
        </is>
      </c>
      <c r="I150" s="6" t="inlineStr">
        <is>
          <t>2023-2</t>
        </is>
      </c>
      <c r="J150" s="73" t="n">
        <v>100</v>
      </c>
      <c r="K150" s="9" t="n">
        <v>100</v>
      </c>
      <c r="L150" s="14">
        <f>IFERROR(IF(OR(J150=0,K150=""),"",IF(E150="Positivo",MIN(MAX(K150/J150,0),1.3),MIN(MAX(J150/K150,0),1.3))),"") </f>
        <v/>
      </c>
      <c r="M150" s="14">
        <f>IFERROR(IF(OR(J150=0,K150=""),"",IF(E150="Positivo",MAX(K150/J150,0),MAX(J150/K150,0))),"") </f>
        <v/>
      </c>
      <c r="N150" s="9" t="inlineStr">
        <is>
          <t>%</t>
        </is>
      </c>
      <c r="O150" s="9" t="inlineStr">
        <is>
          <t>%</t>
        </is>
      </c>
      <c r="P150" s="15" t="n">
        <v>0</v>
      </c>
      <c r="Q150" s="15" t="n">
        <v>0</v>
      </c>
      <c r="R150" s="5" t="inlineStr">
        <is>
          <t>95-2023-12-31</t>
        </is>
      </c>
    </row>
    <row r="151">
      <c r="A151" s="21" t="n">
        <v>95</v>
      </c>
      <c r="B151" s="5" t="inlineStr">
        <is>
          <t>Inspecciones de seguridad</t>
        </is>
      </c>
      <c r="C151" s="5" t="inlineStr">
        <is>
          <t>GESTIÓN DE SEGURIDAD Y SALUD EN EL TRABAJO</t>
        </is>
      </c>
      <c r="D151" s="5" t="inlineStr">
        <is>
          <t>Semestral</t>
        </is>
      </c>
      <c r="E151" s="5" t="inlineStr">
        <is>
          <t>Positivo</t>
        </is>
      </c>
      <c r="F151" s="107" t="n">
        <v>45473</v>
      </c>
      <c r="G151" s="5" t="n">
        <v>2024</v>
      </c>
      <c r="H151" s="5" t="inlineStr">
        <is>
          <t>Junio</t>
        </is>
      </c>
      <c r="I151" s="6" t="inlineStr">
        <is>
          <t>2024-1</t>
        </is>
      </c>
      <c r="J151" s="73" t="n">
        <v>100</v>
      </c>
      <c r="K151" s="9" t="n">
        <v>100</v>
      </c>
      <c r="L151" s="14">
        <f>IFERROR(IF(OR(J151=0,K151=""),"",IF(E151="Positivo",MIN(MAX(K151/J151,0),1.3),MIN(MAX(J151/K151,0),1.3))),"") </f>
        <v/>
      </c>
      <c r="M151" s="14">
        <f>IFERROR(IF(OR(J151=0,K151=""),"",IF(E151="Positivo",MAX(K151/J151,0),MAX(J151/K151,0))),"") </f>
        <v/>
      </c>
      <c r="N151" s="9" t="inlineStr">
        <is>
          <t>%</t>
        </is>
      </c>
      <c r="O151" s="9" t="inlineStr">
        <is>
          <t>%</t>
        </is>
      </c>
      <c r="P151" s="15" t="n">
        <v>0</v>
      </c>
      <c r="Q151" s="15" t="n">
        <v>0</v>
      </c>
      <c r="R151" s="5" t="inlineStr">
        <is>
          <t>95-2024-06-30</t>
        </is>
      </c>
    </row>
    <row r="152">
      <c r="A152" s="21" t="n">
        <v>95</v>
      </c>
      <c r="B152" s="5" t="inlineStr">
        <is>
          <t>Inspecciones de seguridad</t>
        </is>
      </c>
      <c r="C152" s="5" t="inlineStr">
        <is>
          <t>GESTIÓN DE SEGURIDAD Y SALUD EN EL TRABAJO</t>
        </is>
      </c>
      <c r="D152" s="5" t="inlineStr">
        <is>
          <t>Semestral</t>
        </is>
      </c>
      <c r="E152" s="5" t="inlineStr">
        <is>
          <t>Positivo</t>
        </is>
      </c>
      <c r="F152" s="107" t="n">
        <v>45657</v>
      </c>
      <c r="G152" s="5" t="n">
        <v>2024</v>
      </c>
      <c r="H152" s="5" t="inlineStr">
        <is>
          <t>Diciembre</t>
        </is>
      </c>
      <c r="I152" s="6" t="inlineStr">
        <is>
          <t>2024-2</t>
        </is>
      </c>
      <c r="J152" s="73" t="n">
        <v>100</v>
      </c>
      <c r="K152" s="9" t="n">
        <v>100</v>
      </c>
      <c r="L152" s="14">
        <f>IFERROR(IF(OR(J152=0,K152=""),"",IF(E152="Positivo",MIN(MAX(K152/J152,0),1.3),MIN(MAX(J152/K152,0),1.3))),"") </f>
        <v/>
      </c>
      <c r="M152" s="14">
        <f>IFERROR(IF(OR(J152=0,K152=""),"",IF(E152="Positivo",MAX(K152/J152,0),MAX(J152/K152,0))),"") </f>
        <v/>
      </c>
      <c r="N152" s="9" t="inlineStr">
        <is>
          <t>%</t>
        </is>
      </c>
      <c r="O152" s="9" t="inlineStr">
        <is>
          <t>%</t>
        </is>
      </c>
      <c r="P152" s="15" t="n">
        <v>0</v>
      </c>
      <c r="Q152" s="15" t="n">
        <v>0</v>
      </c>
      <c r="R152" s="5" t="inlineStr">
        <is>
          <t>95-2024-12-31</t>
        </is>
      </c>
    </row>
    <row r="153">
      <c r="A153" s="21" t="n">
        <v>95</v>
      </c>
      <c r="B153" s="5" t="inlineStr">
        <is>
          <t>Inspecciones de seguridad</t>
        </is>
      </c>
      <c r="C153" s="5" t="inlineStr">
        <is>
          <t>GESTIÓN DE SEGURIDAD Y SALUD EN EL TRABAJO</t>
        </is>
      </c>
      <c r="D153" s="5" t="inlineStr">
        <is>
          <t>Semestral</t>
        </is>
      </c>
      <c r="E153" s="5" t="inlineStr">
        <is>
          <t>Positivo</t>
        </is>
      </c>
      <c r="F153" s="107" t="n">
        <v>45838</v>
      </c>
      <c r="G153" s="5" t="n">
        <v>2025</v>
      </c>
      <c r="H153" s="5" t="inlineStr">
        <is>
          <t>Junio</t>
        </is>
      </c>
      <c r="I153" s="6" t="inlineStr">
        <is>
          <t>2025-1</t>
        </is>
      </c>
      <c r="J153" s="73" t="n">
        <v>100</v>
      </c>
      <c r="K153" s="9" t="n">
        <v>100</v>
      </c>
      <c r="L153" s="14">
        <f>IFERROR(IF(OR(J153=0,K153=""),"",IF(E153="Positivo",MIN(MAX(K153/J153,0),1.3),MIN(MAX(J153/K153,0),1.3))),"") </f>
        <v/>
      </c>
      <c r="M153" s="14">
        <f>IFERROR(IF(OR(J153=0,K153=""),"",IF(E153="Positivo",MAX(K153/J153,0),MAX(J153/K153,0))),"") </f>
        <v/>
      </c>
      <c r="N153" s="9" t="inlineStr">
        <is>
          <t>%</t>
        </is>
      </c>
      <c r="O153" s="9" t="inlineStr">
        <is>
          <t>%</t>
        </is>
      </c>
      <c r="P153" s="15" t="n">
        <v>0</v>
      </c>
      <c r="Q153" s="15" t="n">
        <v>0</v>
      </c>
      <c r="R153" s="5" t="inlineStr">
        <is>
          <t>95-2025-06-30</t>
        </is>
      </c>
    </row>
    <row r="154">
      <c r="A154" s="21" t="n">
        <v>95</v>
      </c>
      <c r="B154" s="5" t="inlineStr">
        <is>
          <t>Inspecciones de seguridad</t>
        </is>
      </c>
      <c r="C154" s="5" t="inlineStr">
        <is>
          <t>GESTIÓN DE SEGURIDAD Y SALUD EN EL TRABAJO</t>
        </is>
      </c>
      <c r="D154" s="5" t="inlineStr">
        <is>
          <t>Trimestral</t>
        </is>
      </c>
      <c r="E154" s="5" t="inlineStr">
        <is>
          <t>Positivo</t>
        </is>
      </c>
      <c r="F154" s="107" t="n">
        <v>46022</v>
      </c>
      <c r="G154" s="5" t="n">
        <v>2025</v>
      </c>
      <c r="H154" s="5" t="inlineStr">
        <is>
          <t>Diciembre</t>
        </is>
      </c>
      <c r="I154" s="6" t="inlineStr">
        <is>
          <t>2025-2</t>
        </is>
      </c>
      <c r="J154" s="73" t="n">
        <v>100</v>
      </c>
      <c r="K154" s="9" t="n">
        <v>100</v>
      </c>
      <c r="L154" s="14">
        <f>IFERROR(IF(OR(J154=0,K154=""),"",IF(E154="Positivo",MIN(MAX(K154/J154,0),1.3),MIN(MAX(J154/K154,0),1.3))),"") </f>
        <v/>
      </c>
      <c r="M154" s="14">
        <f>IFERROR(IF(OR(J154=0,K154=""),"",IF(E154="Positivo",MAX(K154/J154,0),MAX(J154/K154,0))),"") </f>
        <v/>
      </c>
      <c r="N154" s="9" t="inlineStr">
        <is>
          <t>%</t>
        </is>
      </c>
      <c r="O154" s="9" t="inlineStr">
        <is>
          <t>%</t>
        </is>
      </c>
      <c r="P154" s="15" t="n">
        <v>0</v>
      </c>
      <c r="Q154" s="15" t="n">
        <v>0</v>
      </c>
      <c r="R154" s="5" t="inlineStr">
        <is>
          <t>95-2025-12-31</t>
        </is>
      </c>
    </row>
    <row r="155">
      <c r="A155" s="21" t="n">
        <v>96</v>
      </c>
      <c r="B155" s="5" t="inlineStr">
        <is>
          <t>Productos de investigación, innovación y creación</t>
        </is>
      </c>
      <c r="C155" s="5" t="inlineStr">
        <is>
          <t>Investigación, desarrollo tecnológico, innovación y creación</t>
        </is>
      </c>
      <c r="D155" s="5" t="inlineStr">
        <is>
          <t>Semestral</t>
        </is>
      </c>
      <c r="E155" s="5" t="inlineStr">
        <is>
          <t>Positivo</t>
        </is>
      </c>
      <c r="F155" s="107" t="n">
        <v>44926</v>
      </c>
      <c r="G155" s="5" t="n">
        <v>2022</v>
      </c>
      <c r="H155" s="5" t="inlineStr">
        <is>
          <t>Diciembre</t>
        </is>
      </c>
      <c r="I155" s="6" t="inlineStr">
        <is>
          <t>2022-2</t>
        </is>
      </c>
      <c r="J155" s="73" t="n">
        <v>509</v>
      </c>
      <c r="K155" s="9" t="n">
        <v>566</v>
      </c>
      <c r="L155" s="14">
        <f>IFERROR(IF(OR(J155=0,K155=""),"",IF(E155="Positivo",MIN(MAX(K155/J155,0),1.3),MIN(MAX(J155/K155,0),1.3))),"") </f>
        <v/>
      </c>
      <c r="M155" s="14">
        <f>IFERROR(IF(OR(J155=0,K155=""),"",IF(E155="Positivo",MAX(K155/J155,0),MAX(J155/K155,0))),"") </f>
        <v/>
      </c>
      <c r="N155" s="9" t="inlineStr">
        <is>
          <t>%</t>
        </is>
      </c>
      <c r="O155" s="9" t="inlineStr">
        <is>
          <t>%</t>
        </is>
      </c>
      <c r="P155" s="15" t="n">
        <v>0</v>
      </c>
      <c r="Q155" s="15" t="n">
        <v>0</v>
      </c>
      <c r="R155" s="5" t="inlineStr">
        <is>
          <t>96-2022-12-31</t>
        </is>
      </c>
    </row>
    <row r="156">
      <c r="A156" s="21" t="n">
        <v>100</v>
      </c>
      <c r="B156" s="5" t="inlineStr">
        <is>
          <t>Cumplimiento de requisitos legales SST</t>
        </is>
      </c>
      <c r="C156" s="5" t="inlineStr">
        <is>
          <t>GESTIÓN DE SEGURIDAD Y SALUD EN EL TRABAJO</t>
        </is>
      </c>
      <c r="D156" s="5" t="inlineStr">
        <is>
          <t>Anual</t>
        </is>
      </c>
      <c r="E156" s="5" t="inlineStr">
        <is>
          <t>Positivo</t>
        </is>
      </c>
      <c r="F156" s="107" t="n">
        <v>44926</v>
      </c>
      <c r="G156" s="5" t="n">
        <v>2022</v>
      </c>
      <c r="H156" s="5" t="inlineStr">
        <is>
          <t>Diciembre</t>
        </is>
      </c>
      <c r="I156" s="6" t="inlineStr">
        <is>
          <t>2022-2</t>
        </is>
      </c>
      <c r="J156" s="73" t="n">
        <v>100</v>
      </c>
      <c r="K156" s="9" t="n">
        <v>98.3</v>
      </c>
      <c r="L156" s="14">
        <f>IFERROR(IF(OR(J156=0,K156=""),"",IF(E156="Positivo",MIN(MAX(K156/J156,0),1.3),MIN(MAX(J156/K156,0),1.3))),"") </f>
        <v/>
      </c>
      <c r="M156" s="14">
        <f>IFERROR(IF(OR(J156=0,K156=""),"",IF(E156="Positivo",MAX(K156/J156,0),MAX(J156/K156,0))),"") </f>
        <v/>
      </c>
      <c r="N156" s="9" t="inlineStr">
        <is>
          <t>%</t>
        </is>
      </c>
      <c r="O156" s="9" t="inlineStr">
        <is>
          <t>%</t>
        </is>
      </c>
      <c r="P156" s="15" t="n">
        <v>0</v>
      </c>
      <c r="Q156" s="15" t="n">
        <v>0</v>
      </c>
      <c r="R156" s="5" t="inlineStr">
        <is>
          <t>100-2022-12-31</t>
        </is>
      </c>
    </row>
    <row r="157">
      <c r="A157" s="21" t="n">
        <v>100</v>
      </c>
      <c r="B157" s="5" t="inlineStr">
        <is>
          <t>Cumplimiento de requisitos legales SST</t>
        </is>
      </c>
      <c r="C157" s="5" t="inlineStr">
        <is>
          <t>GESTIÓN DE SEGURIDAD Y SALUD EN EL TRABAJO</t>
        </is>
      </c>
      <c r="D157" s="5" t="inlineStr">
        <is>
          <t>Anual</t>
        </is>
      </c>
      <c r="E157" s="5" t="inlineStr">
        <is>
          <t>Positivo</t>
        </is>
      </c>
      <c r="F157" s="107" t="n">
        <v>45291</v>
      </c>
      <c r="G157" s="5" t="n">
        <v>2023</v>
      </c>
      <c r="H157" s="5" t="inlineStr">
        <is>
          <t>Diciembre</t>
        </is>
      </c>
      <c r="I157" s="6" t="inlineStr">
        <is>
          <t>2023-2</t>
        </is>
      </c>
      <c r="J157" s="73" t="n">
        <v>100</v>
      </c>
      <c r="K157" s="9" t="n">
        <v>99</v>
      </c>
      <c r="L157" s="14">
        <f>IFERROR(IF(OR(J157=0,K157=""),"",IF(E157="Positivo",MIN(MAX(K157/J157,0),1.3),MIN(MAX(J157/K157,0),1.3))),"") </f>
        <v/>
      </c>
      <c r="M157" s="14">
        <f>IFERROR(IF(OR(J157=0,K157=""),"",IF(E157="Positivo",MAX(K157/J157,0),MAX(J157/K157,0))),"") </f>
        <v/>
      </c>
      <c r="N157" s="9" t="inlineStr">
        <is>
          <t>%</t>
        </is>
      </c>
      <c r="O157" s="9" t="inlineStr">
        <is>
          <t>%</t>
        </is>
      </c>
      <c r="P157" s="15" t="n">
        <v>0</v>
      </c>
      <c r="Q157" s="15" t="n">
        <v>0</v>
      </c>
      <c r="R157" s="5" t="inlineStr">
        <is>
          <t>100-2023-12-31</t>
        </is>
      </c>
    </row>
    <row r="158">
      <c r="A158" s="21" t="n">
        <v>100</v>
      </c>
      <c r="B158" s="5" t="inlineStr">
        <is>
          <t>Cumplimiento de requisitos legales SST</t>
        </is>
      </c>
      <c r="C158" s="5" t="inlineStr">
        <is>
          <t>GESTIÓN DE SEGURIDAD Y SALUD EN EL TRABAJO</t>
        </is>
      </c>
      <c r="D158" s="5" t="inlineStr">
        <is>
          <t>Anual</t>
        </is>
      </c>
      <c r="E158" s="5" t="inlineStr">
        <is>
          <t>Positivo</t>
        </is>
      </c>
      <c r="F158" s="107" t="n">
        <v>45657</v>
      </c>
      <c r="G158" s="5" t="n">
        <v>2024</v>
      </c>
      <c r="H158" s="5" t="inlineStr">
        <is>
          <t>Diciembre</t>
        </is>
      </c>
      <c r="I158" s="6" t="inlineStr">
        <is>
          <t>2024-2</t>
        </is>
      </c>
      <c r="J158" s="73" t="n">
        <v>100</v>
      </c>
      <c r="K158" s="9" t="n">
        <v>99</v>
      </c>
      <c r="L158" s="14">
        <f>IFERROR(IF(OR(J158=0,K158=""),"",IF(E158="Positivo",MIN(MAX(K158/J158,0),1.3),MIN(MAX(J158/K158,0),1.3))),"") </f>
        <v/>
      </c>
      <c r="M158" s="14">
        <f>IFERROR(IF(OR(J158=0,K158=""),"",IF(E158="Positivo",MAX(K158/J158,0),MAX(J158/K158,0))),"") </f>
        <v/>
      </c>
      <c r="N158" s="9" t="inlineStr">
        <is>
          <t>%</t>
        </is>
      </c>
      <c r="O158" s="9" t="inlineStr">
        <is>
          <t>%</t>
        </is>
      </c>
      <c r="P158" s="15" t="n">
        <v>0</v>
      </c>
      <c r="Q158" s="15" t="n">
        <v>0</v>
      </c>
      <c r="R158" s="5" t="inlineStr">
        <is>
          <t>100-2024-12-31</t>
        </is>
      </c>
    </row>
    <row r="159">
      <c r="A159" s="26" t="n">
        <v>100</v>
      </c>
      <c r="B159" s="5" t="inlineStr">
        <is>
          <t>Cumplimiento de requisitos legales SST</t>
        </is>
      </c>
      <c r="C159" s="5" t="inlineStr">
        <is>
          <t>GESTIÓN DE SEGURIDAD Y SALUD EN EL TRABAJO</t>
        </is>
      </c>
      <c r="D159" s="5" t="inlineStr">
        <is>
          <t>Anual</t>
        </is>
      </c>
      <c r="E159" s="5" t="inlineStr">
        <is>
          <t>Positivo</t>
        </is>
      </c>
      <c r="F159" s="107" t="n">
        <v>46022</v>
      </c>
      <c r="G159" s="5" t="n">
        <v>2025</v>
      </c>
      <c r="H159" s="5" t="inlineStr">
        <is>
          <t>Diciembre</t>
        </is>
      </c>
      <c r="I159" s="6" t="inlineStr">
        <is>
          <t>2025-2</t>
        </is>
      </c>
      <c r="J159" s="73" t="n">
        <v>100</v>
      </c>
      <c r="K159" s="9" t="n">
        <v>100</v>
      </c>
      <c r="L159" s="14">
        <f>IFERROR(IF(OR(J159=0,K159=""),"",IF(E159="Positivo",MIN(MAX(K159/J159,0),1.3),MIN(MAX(J159/K159,0),1.3))),"") </f>
        <v/>
      </c>
      <c r="M159" s="14">
        <f>IFERROR(IF(OR(J159=0,K159=""),"",IF(E159="Positivo",MAX(K159/J159,0),MAX(J159/K159,0))),"") </f>
        <v/>
      </c>
      <c r="N159" s="9" t="inlineStr">
        <is>
          <t>%</t>
        </is>
      </c>
      <c r="O159" s="9" t="inlineStr">
        <is>
          <t>%</t>
        </is>
      </c>
      <c r="P159" s="15" t="n">
        <v>0</v>
      </c>
      <c r="Q159" s="15" t="n">
        <v>0</v>
      </c>
      <c r="R159" s="5" t="inlineStr">
        <is>
          <t>100-2025-12-31</t>
        </is>
      </c>
    </row>
    <row r="160">
      <c r="A160" s="21" t="n">
        <v>104</v>
      </c>
      <c r="B160" s="5" t="inlineStr">
        <is>
          <t>Tasa de accidentalidad</t>
        </is>
      </c>
      <c r="C160" s="5" t="inlineStr">
        <is>
          <t>GESTIÓN DE SEGURIDAD Y SALUD EN EL TRABAJO</t>
        </is>
      </c>
      <c r="D160" s="5" t="inlineStr">
        <is>
          <t>Anual</t>
        </is>
      </c>
      <c r="E160" s="5" t="inlineStr">
        <is>
          <t>Negativo</t>
        </is>
      </c>
      <c r="F160" s="107" t="n">
        <v>44926</v>
      </c>
      <c r="G160" s="5" t="n">
        <v>2022</v>
      </c>
      <c r="H160" s="5" t="inlineStr">
        <is>
          <t>Diciembre</t>
        </is>
      </c>
      <c r="I160" s="6" t="inlineStr">
        <is>
          <t>2022-2</t>
        </is>
      </c>
      <c r="J160" s="73" t="n">
        <v>2.14</v>
      </c>
      <c r="K160" s="9" t="n">
        <v>0.37174721189591</v>
      </c>
      <c r="L160" s="14">
        <f>IFERROR(IF(OR(J160=0,K160=""),"",IF(E160="Positivo",MIN(MAX(K160/J160,0),1.3),MIN(MAX(J160/K160,0),1.3))),"") </f>
        <v/>
      </c>
      <c r="M160" s="14">
        <f>IFERROR(IF(OR(J160=0,K160=""),"",IF(E160="Positivo",MAX(K160/J160,0),MAX(J160/K160,0))),"") </f>
        <v/>
      </c>
      <c r="N160" s="9" t="inlineStr">
        <is>
          <t>DEC</t>
        </is>
      </c>
      <c r="O160" s="9" t="inlineStr">
        <is>
          <t>DEC</t>
        </is>
      </c>
      <c r="P160" s="15" t="n">
        <v>1</v>
      </c>
      <c r="Q160" s="15" t="n">
        <v>2</v>
      </c>
      <c r="R160" s="5" t="inlineStr">
        <is>
          <t>104-2022-12-31</t>
        </is>
      </c>
    </row>
    <row r="161">
      <c r="A161" s="21" t="n">
        <v>104</v>
      </c>
      <c r="B161" s="5" t="inlineStr">
        <is>
          <t>Tasa de accidentalidad</t>
        </is>
      </c>
      <c r="C161" s="5" t="inlineStr">
        <is>
          <t>GESTIÓN DE SEGURIDAD Y SALUD EN EL TRABAJO</t>
        </is>
      </c>
      <c r="D161" s="5" t="inlineStr">
        <is>
          <t>Anual</t>
        </is>
      </c>
      <c r="E161" s="5" t="inlineStr">
        <is>
          <t>Negativo</t>
        </is>
      </c>
      <c r="F161" s="107" t="n">
        <v>45291</v>
      </c>
      <c r="G161" s="5" t="n">
        <v>2023</v>
      </c>
      <c r="H161" s="5" t="inlineStr">
        <is>
          <t>Diciembre</t>
        </is>
      </c>
      <c r="I161" s="6" t="inlineStr">
        <is>
          <t>2023-2</t>
        </is>
      </c>
      <c r="J161" s="73" t="n">
        <v>2.14</v>
      </c>
      <c r="K161" s="9" t="n">
        <v>0.47</v>
      </c>
      <c r="L161" s="14">
        <f>IFERROR(IF(OR(J161=0,K161=""),"",IF(E161="Positivo",MIN(MAX(K161/J161,0),1.3),MIN(MAX(J161/K161,0),1.3))),"") </f>
        <v/>
      </c>
      <c r="M161" s="14">
        <f>IFERROR(IF(OR(J161=0,K161=""),"",IF(E161="Positivo",MAX(K161/J161,0),MAX(J161/K161,0))),"") </f>
        <v/>
      </c>
      <c r="N161" s="9" t="inlineStr">
        <is>
          <t>DEC</t>
        </is>
      </c>
      <c r="O161" s="9" t="inlineStr">
        <is>
          <t>DEC</t>
        </is>
      </c>
      <c r="P161" s="15" t="n">
        <v>2</v>
      </c>
      <c r="Q161" s="15" t="n">
        <v>2</v>
      </c>
      <c r="R161" s="5" t="inlineStr">
        <is>
          <t>104-2023-12-31</t>
        </is>
      </c>
    </row>
    <row r="162">
      <c r="A162" s="21" t="n">
        <v>104</v>
      </c>
      <c r="B162" s="5" t="inlineStr">
        <is>
          <t>Tasa de accidentalidad</t>
        </is>
      </c>
      <c r="C162" s="5" t="inlineStr">
        <is>
          <t>GESTIÓN DE SEGURIDAD Y SALUD EN EL TRABAJO</t>
        </is>
      </c>
      <c r="D162" s="5" t="inlineStr">
        <is>
          <t>Anual</t>
        </is>
      </c>
      <c r="E162" s="5" t="inlineStr">
        <is>
          <t>Negativo</t>
        </is>
      </c>
      <c r="F162" s="107" t="n">
        <v>45657</v>
      </c>
      <c r="G162" s="5" t="n">
        <v>2024</v>
      </c>
      <c r="H162" s="5" t="inlineStr">
        <is>
          <t>Diciembre</t>
        </is>
      </c>
      <c r="I162" s="6" t="inlineStr">
        <is>
          <t>2024-2</t>
        </is>
      </c>
      <c r="J162" s="73" t="n">
        <v>1.2</v>
      </c>
      <c r="K162" s="9" t="n">
        <v>0.11</v>
      </c>
      <c r="L162" s="14">
        <f>IFERROR(IF(OR(J162=0,K162=""),"",IF(E162="Positivo",MIN(MAX(K162/J162,0),1.3),MIN(MAX(J162/K162,0),1.3))),"") </f>
        <v/>
      </c>
      <c r="M162" s="14">
        <f>IFERROR(IF(OR(J162=0,K162=""),"",IF(E162="Positivo",MAX(K162/J162,0),MAX(J162/K162,0))),"") </f>
        <v/>
      </c>
      <c r="N162" s="9" t="inlineStr">
        <is>
          <t>DEC</t>
        </is>
      </c>
      <c r="O162" s="9" t="inlineStr">
        <is>
          <t>DEC</t>
        </is>
      </c>
      <c r="P162" s="15" t="n">
        <v>2</v>
      </c>
      <c r="Q162" s="15" t="n">
        <v>2</v>
      </c>
      <c r="R162" s="5" t="inlineStr">
        <is>
          <t>104-2024-12-31</t>
        </is>
      </c>
    </row>
    <row r="163">
      <c r="A163" s="21" t="n">
        <v>104</v>
      </c>
      <c r="B163" s="5" t="inlineStr">
        <is>
          <t>Tasa de accidentalidad</t>
        </is>
      </c>
      <c r="C163" s="5" t="inlineStr">
        <is>
          <t>GESTIÓN DE SEGURIDAD Y SALUD EN EL TRABAJO</t>
        </is>
      </c>
      <c r="D163" s="5" t="inlineStr">
        <is>
          <t>Anual</t>
        </is>
      </c>
      <c r="E163" s="5" t="inlineStr">
        <is>
          <t>Negativo</t>
        </is>
      </c>
      <c r="F163" s="107" t="n">
        <v>46022</v>
      </c>
      <c r="G163" s="5" t="n">
        <v>2025</v>
      </c>
      <c r="H163" s="5" t="inlineStr">
        <is>
          <t>Diciembre</t>
        </is>
      </c>
      <c r="I163" s="6" t="inlineStr">
        <is>
          <t>2025-2</t>
        </is>
      </c>
      <c r="J163" s="73" t="n">
        <v>2.14</v>
      </c>
      <c r="K163" s="9" t="n">
        <v>0.21</v>
      </c>
      <c r="L163" s="14">
        <f>IFERROR(IF(OR(J163=0,K163=""),"",IF(E163="Positivo",MIN(MAX(K163/J163,0),1.3),MIN(MAX(J163/K163,0),1.3))),"") </f>
        <v/>
      </c>
      <c r="M163" s="14">
        <f>IFERROR(IF(OR(J163=0,K163=""),"",IF(E163="Positivo",MAX(K163/J163,0),MAX(J163/K163,0))),"") </f>
        <v/>
      </c>
      <c r="N163" s="9" t="inlineStr">
        <is>
          <t>DEC</t>
        </is>
      </c>
      <c r="O163" s="9" t="inlineStr">
        <is>
          <t>DEC</t>
        </is>
      </c>
      <c r="P163" s="15" t="n">
        <v>1</v>
      </c>
      <c r="Q163" s="15" t="n">
        <v>2</v>
      </c>
      <c r="R163" s="5" t="inlineStr">
        <is>
          <t>104-2025-12-31</t>
        </is>
      </c>
    </row>
    <row r="164">
      <c r="A164" s="21" t="n">
        <v>106</v>
      </c>
      <c r="B164" s="5" t="inlineStr">
        <is>
          <t>Mortalidad de los accidentes laborales</t>
        </is>
      </c>
      <c r="C164" s="5" t="inlineStr">
        <is>
          <t>GESTIÓN DE SEGURIDAD Y SALUD EN EL TRABAJO</t>
        </is>
      </c>
      <c r="D164" s="5" t="inlineStr">
        <is>
          <t>Anual</t>
        </is>
      </c>
      <c r="E164" s="5" t="inlineStr">
        <is>
          <t>Negativo</t>
        </is>
      </c>
      <c r="F164" s="107" t="n">
        <v>44926</v>
      </c>
      <c r="G164" s="5" t="n">
        <v>2022</v>
      </c>
      <c r="H164" s="5" t="inlineStr">
        <is>
          <t>Diciembre</t>
        </is>
      </c>
      <c r="I164" s="6" t="inlineStr">
        <is>
          <t>2022-2</t>
        </is>
      </c>
      <c r="J164" s="73" t="n">
        <v>0</v>
      </c>
      <c r="K164" s="9" t="n">
        <v>0</v>
      </c>
      <c r="L164" s="14">
        <f>IFERROR(IF(OR(J164=0,K164=""),"",IF(E164="Positivo",MIN(MAX(K164/J164,0),1.3),MIN(MAX(J164/K164,0),1.3))),"") </f>
        <v/>
      </c>
      <c r="M164" s="14">
        <f>IFERROR(IF(OR(J164=0,K164=""),"",IF(E164="Positivo",MAX(K164/J164,0),MAX(J164/K164,0))),"") </f>
        <v/>
      </c>
      <c r="N164" s="9" t="inlineStr">
        <is>
          <t>DEC</t>
        </is>
      </c>
      <c r="O164" s="9" t="inlineStr">
        <is>
          <t>DEC</t>
        </is>
      </c>
      <c r="P164" s="15" t="n">
        <v>0</v>
      </c>
      <c r="Q164" s="15" t="n">
        <v>0</v>
      </c>
      <c r="R164" s="5" t="inlineStr">
        <is>
          <t>106-2022-12-31</t>
        </is>
      </c>
    </row>
    <row r="165">
      <c r="A165" s="21" t="n">
        <v>106</v>
      </c>
      <c r="B165" s="5" t="inlineStr">
        <is>
          <t>Mortalidad de los accidentes laborales</t>
        </is>
      </c>
      <c r="C165" s="5" t="inlineStr">
        <is>
          <t>GESTIÓN DE SEGURIDAD Y SALUD EN EL TRABAJO</t>
        </is>
      </c>
      <c r="D165" s="5" t="inlineStr">
        <is>
          <t>Anual</t>
        </is>
      </c>
      <c r="E165" s="5" t="inlineStr">
        <is>
          <t>Negativo</t>
        </is>
      </c>
      <c r="F165" s="107" t="n">
        <v>45291</v>
      </c>
      <c r="G165" s="5" t="n">
        <v>2023</v>
      </c>
      <c r="H165" s="5" t="inlineStr">
        <is>
          <t>Diciembre</t>
        </is>
      </c>
      <c r="I165" s="6" t="inlineStr">
        <is>
          <t>2023-2</t>
        </is>
      </c>
      <c r="J165" s="73" t="n">
        <v>0</v>
      </c>
      <c r="K165" s="9" t="n">
        <v>0</v>
      </c>
      <c r="L165" s="14">
        <f>IFERROR(IF(OR(J165=0,K165=""),"",IF(E165="Positivo",MIN(MAX(K165/J165,0),1.3),MIN(MAX(J165/K165,0),1.3))),"") </f>
        <v/>
      </c>
      <c r="M165" s="14">
        <f>IFERROR(IF(OR(J165=0,K165=""),"",IF(E165="Positivo",MAX(K165/J165,0),MAX(J165/K165,0))),"") </f>
        <v/>
      </c>
      <c r="N165" s="9" t="inlineStr">
        <is>
          <t>ENT</t>
        </is>
      </c>
      <c r="O165" s="9" t="inlineStr">
        <is>
          <t>ENT</t>
        </is>
      </c>
      <c r="P165" s="15" t="n">
        <v>0</v>
      </c>
      <c r="Q165" s="15" t="n">
        <v>0</v>
      </c>
      <c r="R165" s="5" t="inlineStr">
        <is>
          <t>106-2023-12-31</t>
        </is>
      </c>
    </row>
    <row r="166">
      <c r="A166" s="21" t="n">
        <v>106</v>
      </c>
      <c r="B166" s="5" t="inlineStr">
        <is>
          <t>Mortalidad de los accidentes laborales</t>
        </is>
      </c>
      <c r="C166" s="5" t="inlineStr">
        <is>
          <t>GESTIÓN DE SEGURIDAD Y SALUD EN EL TRABAJO</t>
        </is>
      </c>
      <c r="D166" s="5" t="inlineStr">
        <is>
          <t>Anual</t>
        </is>
      </c>
      <c r="E166" s="5" t="inlineStr">
        <is>
          <t>Negativo</t>
        </is>
      </c>
      <c r="F166" s="107" t="n">
        <v>45657</v>
      </c>
      <c r="G166" s="5" t="n">
        <v>2024</v>
      </c>
      <c r="H166" s="5" t="inlineStr">
        <is>
          <t>Diciembre</t>
        </is>
      </c>
      <c r="I166" s="6" t="inlineStr">
        <is>
          <t>2024-2</t>
        </is>
      </c>
      <c r="J166" s="73" t="n">
        <v>0</v>
      </c>
      <c r="K166" s="9" t="n">
        <v>0</v>
      </c>
      <c r="L166" s="14">
        <f>IFERROR(IF(OR(J166=0,K166=""),"",IF(E166="Positivo",MIN(MAX(K166/J166,0),1.3),MIN(MAX(J166/K166,0),1.3))),"") </f>
        <v/>
      </c>
      <c r="M166" s="14">
        <f>IFERROR(IF(OR(J166=0,K166=""),"",IF(E166="Positivo",MAX(K166/J166,0),MAX(J166/K166,0))),"") </f>
        <v/>
      </c>
      <c r="N166" s="9" t="inlineStr">
        <is>
          <t>ENT</t>
        </is>
      </c>
      <c r="O166" s="9" t="inlineStr">
        <is>
          <t>ENT</t>
        </is>
      </c>
      <c r="P166" s="15" t="n">
        <v>0</v>
      </c>
      <c r="Q166" s="15" t="n">
        <v>0</v>
      </c>
      <c r="R166" s="5" t="inlineStr">
        <is>
          <t>106-2024-12-31</t>
        </is>
      </c>
    </row>
    <row r="167">
      <c r="A167" s="21" t="n">
        <v>106</v>
      </c>
      <c r="B167" s="5" t="inlineStr">
        <is>
          <t>Mortalidad de los accidentes laborales</t>
        </is>
      </c>
      <c r="C167" s="5" t="inlineStr">
        <is>
          <t>GESTIÓN DE SEGURIDAD Y SALUD EN EL TRABAJO</t>
        </is>
      </c>
      <c r="D167" s="5" t="inlineStr">
        <is>
          <t>Anual</t>
        </is>
      </c>
      <c r="E167" s="5" t="inlineStr">
        <is>
          <t>Negativo</t>
        </is>
      </c>
      <c r="F167" s="107" t="n">
        <v>46022</v>
      </c>
      <c r="G167" s="5" t="n">
        <v>2025</v>
      </c>
      <c r="H167" s="5" t="inlineStr">
        <is>
          <t>Diciembre</t>
        </is>
      </c>
      <c r="I167" s="6" t="inlineStr">
        <is>
          <t>2025-2</t>
        </is>
      </c>
      <c r="J167" s="73" t="n">
        <v>0</v>
      </c>
      <c r="K167" s="9" t="n">
        <v>0</v>
      </c>
      <c r="L167" s="14">
        <f>IFERROR(IF(OR(J167=0,K167=""),"",IF(E167="Positivo",MIN(MAX(K167/J167,0),1.3),MIN(MAX(J167/K167,0),1.3))),"") </f>
        <v/>
      </c>
      <c r="M167" s="14">
        <f>IFERROR(IF(OR(J167=0,K167=""),"",IF(E167="Positivo",MAX(K167/J167,0),MAX(J167/K167,0))),"") </f>
        <v/>
      </c>
      <c r="N167" s="9" t="inlineStr">
        <is>
          <t>DEC</t>
        </is>
      </c>
      <c r="O167" s="9" t="inlineStr">
        <is>
          <t>DEC</t>
        </is>
      </c>
      <c r="P167" s="15" t="n">
        <v>0</v>
      </c>
      <c r="Q167" s="15" t="n">
        <v>0</v>
      </c>
      <c r="R167" s="5" t="inlineStr">
        <is>
          <t>106-2025-12-31</t>
        </is>
      </c>
    </row>
    <row r="168">
      <c r="A168" s="21" t="n">
        <v>109</v>
      </c>
      <c r="B168" s="5" t="inlineStr">
        <is>
          <t>Nivel de Satisfacción Servicios Prestados</t>
        </is>
      </c>
      <c r="C168" s="5" t="inlineStr">
        <is>
          <t>Comunicaciones Internas</t>
        </is>
      </c>
      <c r="D168" s="5" t="inlineStr">
        <is>
          <t>Anual</t>
        </is>
      </c>
      <c r="E168" s="5" t="inlineStr">
        <is>
          <t>Positivo</t>
        </is>
      </c>
      <c r="F168" s="107" t="n">
        <v>45230</v>
      </c>
      <c r="G168" s="5" t="n">
        <v>2023</v>
      </c>
      <c r="H168" s="5" t="inlineStr">
        <is>
          <t>Octubre</t>
        </is>
      </c>
      <c r="I168" s="6" t="inlineStr">
        <is>
          <t>2023-2</t>
        </is>
      </c>
      <c r="J168" s="73" t="n">
        <v>80</v>
      </c>
      <c r="K168" s="9" t="n">
        <v>0</v>
      </c>
      <c r="L168" s="14">
        <f>IFERROR(IF(OR(J168=0,K168=""),"",IF(E168="Positivo",MIN(MAX(K168/J168,0),1.3),MIN(MAX(J168/K168,0),1.3))),"") </f>
        <v/>
      </c>
      <c r="M168" s="14">
        <f>IFERROR(IF(OR(J168=0,K168=""),"",IF(E168="Positivo",MAX(K168/J168,0),MAX(J168/K168,0))),"") </f>
        <v/>
      </c>
      <c r="N168" s="9" t="inlineStr">
        <is>
          <t>%</t>
        </is>
      </c>
      <c r="O168" s="9" t="inlineStr">
        <is>
          <t>%</t>
        </is>
      </c>
      <c r="P168" s="15" t="n">
        <v>0</v>
      </c>
      <c r="Q168" s="15" t="n">
        <v>0</v>
      </c>
      <c r="R168" s="5" t="inlineStr">
        <is>
          <t>109-2023-10-31</t>
        </is>
      </c>
    </row>
    <row r="169">
      <c r="A169" s="21" t="n">
        <v>109</v>
      </c>
      <c r="B169" s="5" t="inlineStr">
        <is>
          <t>Nivel de Satisfacción Servicios Prestados</t>
        </is>
      </c>
      <c r="C169" s="5" t="inlineStr">
        <is>
          <t>Comunicaciones Internas</t>
        </is>
      </c>
      <c r="D169" s="5" t="inlineStr">
        <is>
          <t>Anual</t>
        </is>
      </c>
      <c r="E169" s="5" t="inlineStr">
        <is>
          <t>Positivo</t>
        </is>
      </c>
      <c r="F169" s="107" t="n">
        <v>45596</v>
      </c>
      <c r="G169" s="5" t="n">
        <v>2024</v>
      </c>
      <c r="H169" s="5" t="inlineStr">
        <is>
          <t>Octubre</t>
        </is>
      </c>
      <c r="I169" s="6" t="inlineStr">
        <is>
          <t>2024-2</t>
        </is>
      </c>
      <c r="J169" s="73" t="n">
        <v>80</v>
      </c>
      <c r="K169" s="9" t="n">
        <v>85</v>
      </c>
      <c r="L169" s="14">
        <f>IFERROR(IF(OR(J169=0,K169=""),"",IF(E169="Positivo",MIN(MAX(K169/J169,0),1.3),MIN(MAX(J169/K169,0),1.3))),"") </f>
        <v/>
      </c>
      <c r="M169" s="14">
        <f>IFERROR(IF(OR(J169=0,K169=""),"",IF(E169="Positivo",MAX(K169/J169,0),MAX(J169/K169,0))),"") </f>
        <v/>
      </c>
      <c r="N169" s="9" t="inlineStr">
        <is>
          <t>%</t>
        </is>
      </c>
      <c r="O169" s="9" t="inlineStr">
        <is>
          <t>%</t>
        </is>
      </c>
      <c r="P169" s="15" t="n">
        <v>0</v>
      </c>
      <c r="Q169" s="15" t="n">
        <v>0</v>
      </c>
      <c r="R169" s="5" t="inlineStr">
        <is>
          <t>109-2024-10-31</t>
        </is>
      </c>
    </row>
    <row r="170">
      <c r="A170" s="21" t="n">
        <v>109</v>
      </c>
      <c r="B170" s="5" t="inlineStr">
        <is>
          <t>Nivel de Satisfacción Servicios Prestados</t>
        </is>
      </c>
      <c r="C170" s="5" t="inlineStr">
        <is>
          <t>Comunicaciones Internas</t>
        </is>
      </c>
      <c r="D170" s="5" t="inlineStr">
        <is>
          <t>Anual</t>
        </is>
      </c>
      <c r="E170" s="5" t="inlineStr">
        <is>
          <t>Positivo</t>
        </is>
      </c>
      <c r="F170" s="107" t="n">
        <v>45961</v>
      </c>
      <c r="G170" s="5" t="n">
        <v>2025</v>
      </c>
      <c r="H170" s="5" t="inlineStr">
        <is>
          <t>Octubre</t>
        </is>
      </c>
      <c r="I170" s="6" t="inlineStr">
        <is>
          <t>2025-2</t>
        </is>
      </c>
      <c r="J170" s="73" t="n">
        <v>80</v>
      </c>
      <c r="K170" s="9" t="n">
        <v>94</v>
      </c>
      <c r="L170" s="14">
        <f>IFERROR(IF(OR(J170=0,K170=""),"",IF(E170="Positivo",MIN(MAX(K170/J170,0),1.3),MIN(MAX(J170/K170,0),1.3))),"") </f>
        <v/>
      </c>
      <c r="M170" s="14">
        <f>IFERROR(IF(OR(J170=0,K170=""),"",IF(E170="Positivo",MAX(K170/J170,0),MAX(J170/K170,0))),"") </f>
        <v/>
      </c>
      <c r="N170" s="9" t="inlineStr">
        <is>
          <t>%</t>
        </is>
      </c>
      <c r="O170" s="9" t="inlineStr">
        <is>
          <t>%</t>
        </is>
      </c>
      <c r="P170" s="15" t="n">
        <v>0</v>
      </c>
      <c r="Q170" s="15" t="n">
        <v>0</v>
      </c>
      <c r="R170" s="5" t="inlineStr">
        <is>
          <t>109-2025-10-31</t>
        </is>
      </c>
    </row>
    <row r="171">
      <c r="A171" s="26" t="n">
        <v>110</v>
      </c>
      <c r="B171" s="5" t="inlineStr">
        <is>
          <t>Nivel de Satisfacción Servicios Prestados</t>
        </is>
      </c>
      <c r="C171" s="5" t="inlineStr">
        <is>
          <t>Planeación Financiera</t>
        </is>
      </c>
      <c r="D171" s="5" t="inlineStr">
        <is>
          <t>Anual</t>
        </is>
      </c>
      <c r="E171" s="5" t="inlineStr">
        <is>
          <t>Positivo</t>
        </is>
      </c>
      <c r="F171" s="107" t="n">
        <v>44865</v>
      </c>
      <c r="G171" s="5" t="n">
        <v>2022</v>
      </c>
      <c r="H171" s="5" t="inlineStr">
        <is>
          <t>Octubre</t>
        </is>
      </c>
      <c r="I171" s="6" t="inlineStr">
        <is>
          <t>2022-2</t>
        </is>
      </c>
      <c r="J171" s="73" t="n">
        <v>80</v>
      </c>
      <c r="K171" s="9" t="n">
        <v>73.4019151138716</v>
      </c>
      <c r="L171" s="14">
        <f>IFERROR(IF(OR(J171=0,K171=""),"",IF(E171="Positivo",MIN(MAX(K171/J171,0),1.3),MIN(MAX(J171/K171,0),1.3))),"") </f>
        <v/>
      </c>
      <c r="M171" s="14">
        <f>IFERROR(IF(OR(J171=0,K171=""),"",IF(E171="Positivo",MAX(K171/J171,0),MAX(J171/K171,0))),"") </f>
        <v/>
      </c>
      <c r="N171" s="9" t="inlineStr">
        <is>
          <t>%</t>
        </is>
      </c>
      <c r="O171" s="9" t="inlineStr">
        <is>
          <t>%</t>
        </is>
      </c>
      <c r="P171" s="15" t="n">
        <v>0</v>
      </c>
      <c r="Q171" s="15" t="n">
        <v>0</v>
      </c>
      <c r="R171" s="5" t="inlineStr">
        <is>
          <t>110-2022-10-31</t>
        </is>
      </c>
    </row>
    <row r="172">
      <c r="A172" s="21" t="n">
        <v>110</v>
      </c>
      <c r="B172" s="5" t="inlineStr">
        <is>
          <t>Nivel de Satisfacción Servicios Prestados</t>
        </is>
      </c>
      <c r="C172" s="5" t="inlineStr">
        <is>
          <t>Planeación Financiera</t>
        </is>
      </c>
      <c r="D172" s="5" t="inlineStr">
        <is>
          <t>Anual</t>
        </is>
      </c>
      <c r="E172" s="5" t="inlineStr">
        <is>
          <t>Positivo</t>
        </is>
      </c>
      <c r="F172" s="106" t="n">
        <v>45230</v>
      </c>
      <c r="G172" s="5" t="n">
        <v>2023</v>
      </c>
      <c r="H172" s="5" t="inlineStr">
        <is>
          <t>Octubre</t>
        </is>
      </c>
      <c r="I172" s="6" t="inlineStr">
        <is>
          <t>2023-2</t>
        </is>
      </c>
      <c r="J172" s="5" t="n">
        <v>80</v>
      </c>
      <c r="K172" s="94" t="n">
        <v>78</v>
      </c>
      <c r="L172" s="14">
        <f>IFERROR(IF(OR(J172=0,K172=""),"",IF(E172="Positivo",MIN(MAX(K172/J172,0),1.3),MIN(MAX(J172/K172,0),1.3))),"") </f>
        <v/>
      </c>
      <c r="M172" s="14">
        <f>IFERROR(IF(OR(J172=0,K172=""),"",IF(E172="Positivo",MAX(K172/J172,0),MAX(J172/K172,0))),"") </f>
        <v/>
      </c>
      <c r="N172" s="5" t="inlineStr">
        <is>
          <t>%</t>
        </is>
      </c>
      <c r="O172" s="5" t="inlineStr">
        <is>
          <t>%</t>
        </is>
      </c>
      <c r="P172" s="15" t="n">
        <v>0</v>
      </c>
      <c r="Q172" s="15" t="n">
        <v>0</v>
      </c>
      <c r="R172" s="5" t="inlineStr">
        <is>
          <t>110-2023-10-31</t>
        </is>
      </c>
    </row>
    <row r="173">
      <c r="A173" s="21" t="n">
        <v>110</v>
      </c>
      <c r="B173" s="5" t="inlineStr">
        <is>
          <t>Nivel de Satisfacción Servicios Prestados</t>
        </is>
      </c>
      <c r="C173" s="5" t="inlineStr">
        <is>
          <t>Planeación Financiera</t>
        </is>
      </c>
      <c r="D173" s="5" t="inlineStr">
        <is>
          <t>Anual</t>
        </is>
      </c>
      <c r="E173" s="5" t="inlineStr">
        <is>
          <t>Positivo</t>
        </is>
      </c>
      <c r="F173" s="106" t="n">
        <v>45291</v>
      </c>
      <c r="G173" s="5" t="n">
        <v>2023</v>
      </c>
      <c r="H173" s="5" t="inlineStr">
        <is>
          <t>Diciembre</t>
        </is>
      </c>
      <c r="I173" s="6" t="inlineStr">
        <is>
          <t>2023-2</t>
        </is>
      </c>
      <c r="J173" s="5" t="n">
        <v>80</v>
      </c>
      <c r="K173" s="94" t="n">
        <v>78</v>
      </c>
      <c r="L173" s="14">
        <f>IFERROR(IF(OR(J173=0,K173=""),"",IF(E173="Positivo",MIN(MAX(K173/J173,0),1.3),MIN(MAX(J173/K173,0),1.3))),"") </f>
        <v/>
      </c>
      <c r="M173" s="14">
        <f>IFERROR(IF(OR(J173=0,K173=""),"",IF(E173="Positivo",MAX(K173/J173,0),MAX(J173/K173,0))),"") </f>
        <v/>
      </c>
      <c r="N173" s="5" t="inlineStr">
        <is>
          <t>%</t>
        </is>
      </c>
      <c r="O173" s="5" t="inlineStr">
        <is>
          <t>%</t>
        </is>
      </c>
      <c r="P173" s="15" t="n">
        <v>0</v>
      </c>
      <c r="Q173" s="15" t="n">
        <v>0</v>
      </c>
      <c r="R173" s="5" t="inlineStr">
        <is>
          <t>110-2023-12-31</t>
        </is>
      </c>
    </row>
    <row r="174">
      <c r="A174" s="21" t="n">
        <v>111</v>
      </c>
      <c r="B174" s="5" t="inlineStr">
        <is>
          <t>Nivel de Satisfacción Servicios Prestados</t>
        </is>
      </c>
      <c r="C174" s="5" t="inlineStr">
        <is>
          <t>GESTIÓN DE ABASTECIMIENTO</t>
        </is>
      </c>
      <c r="D174" s="5" t="inlineStr">
        <is>
          <t>Semestral</t>
        </is>
      </c>
      <c r="E174" s="5" t="inlineStr">
        <is>
          <t>Positivo</t>
        </is>
      </c>
      <c r="F174" s="107" t="n">
        <v>44834</v>
      </c>
      <c r="G174" s="5" t="n">
        <v>2022</v>
      </c>
      <c r="H174" s="5" t="inlineStr">
        <is>
          <t>Septiembre</t>
        </is>
      </c>
      <c r="I174" s="6" t="inlineStr">
        <is>
          <t>2022-2</t>
        </is>
      </c>
      <c r="J174" s="5" t="n">
        <v>80</v>
      </c>
      <c r="K174" s="94" t="n">
        <v>70</v>
      </c>
      <c r="L174" s="14">
        <f>IFERROR(IF(OR(J174=0,K174=""),"",IF(E174="Positivo",MIN(MAX(K174/J174,0),1.3),MIN(MAX(J174/K174,0),1.3))),"") </f>
        <v/>
      </c>
      <c r="M174" s="14">
        <f>IFERROR(IF(OR(J174=0,K174=""),"",IF(E174="Positivo",MAX(K174/J174,0),MAX(J174/K174,0))),"") </f>
        <v/>
      </c>
      <c r="N174" s="5" t="inlineStr">
        <is>
          <t>%</t>
        </is>
      </c>
      <c r="O174" s="5" t="inlineStr">
        <is>
          <t>%</t>
        </is>
      </c>
      <c r="P174" s="15" t="n">
        <v>0</v>
      </c>
      <c r="Q174" s="15" t="n">
        <v>0</v>
      </c>
      <c r="R174" s="5" t="inlineStr">
        <is>
          <t>111-2022-09-30</t>
        </is>
      </c>
    </row>
    <row r="175">
      <c r="A175" s="21" t="n">
        <v>111</v>
      </c>
      <c r="B175" s="5" t="inlineStr">
        <is>
          <t>Nivel de Satisfacción Servicios Prestados</t>
        </is>
      </c>
      <c r="C175" s="5" t="inlineStr">
        <is>
          <t>GESTIÓN DE ABASTECIMIENTO</t>
        </is>
      </c>
      <c r="D175" s="5" t="inlineStr">
        <is>
          <t>Trimestral</t>
        </is>
      </c>
      <c r="E175" s="5" t="inlineStr">
        <is>
          <t>Positivo</t>
        </is>
      </c>
      <c r="F175" s="107" t="n">
        <v>45016</v>
      </c>
      <c r="G175" s="5" t="n">
        <v>2023</v>
      </c>
      <c r="H175" s="5" t="inlineStr">
        <is>
          <t>Marzo</t>
        </is>
      </c>
      <c r="I175" s="6" t="inlineStr">
        <is>
          <t>2023-1</t>
        </is>
      </c>
      <c r="J175" s="5" t="n">
        <v>80</v>
      </c>
      <c r="K175" s="94" t="n">
        <v>87</v>
      </c>
      <c r="L175" s="14">
        <f>IFERROR(IF(OR(J175=0,K175=""),"",IF(E175="Positivo",MIN(MAX(K175/J175,0),1.3),MIN(MAX(J175/K175,0),1.3))),"") </f>
        <v/>
      </c>
      <c r="M175" s="14">
        <f>IFERROR(IF(OR(J175=0,K175=""),"",IF(E175="Positivo",MAX(K175/J175,0),MAX(J175/K175,0))),"") </f>
        <v/>
      </c>
      <c r="N175" s="5" t="inlineStr">
        <is>
          <t>%</t>
        </is>
      </c>
      <c r="O175" s="5" t="inlineStr">
        <is>
          <t>%</t>
        </is>
      </c>
      <c r="P175" s="15" t="n">
        <v>0</v>
      </c>
      <c r="Q175" s="15" t="n">
        <v>0</v>
      </c>
      <c r="R175" s="5" t="inlineStr">
        <is>
          <t>111-2023-03-31</t>
        </is>
      </c>
    </row>
    <row r="176">
      <c r="A176" s="21" t="n">
        <v>111</v>
      </c>
      <c r="B176" s="5" t="inlineStr">
        <is>
          <t>Nivel de Satisfacción Servicios Prestados</t>
        </is>
      </c>
      <c r="C176" s="5" t="inlineStr">
        <is>
          <t>GESTIÓN DE ABASTECIMIENTO</t>
        </is>
      </c>
      <c r="D176" s="5" t="inlineStr">
        <is>
          <t>Trimestral</t>
        </is>
      </c>
      <c r="E176" s="5" t="inlineStr">
        <is>
          <t>Positivo</t>
        </is>
      </c>
      <c r="F176" s="107" t="n">
        <v>45107</v>
      </c>
      <c r="G176" s="5" t="n">
        <v>2023</v>
      </c>
      <c r="H176" s="5" t="inlineStr">
        <is>
          <t>Junio</t>
        </is>
      </c>
      <c r="I176" s="6" t="inlineStr">
        <is>
          <t>2023-1</t>
        </is>
      </c>
      <c r="J176" s="5" t="n">
        <v>80</v>
      </c>
      <c r="K176" s="94" t="n">
        <v>90</v>
      </c>
      <c r="L176" s="14">
        <f>IFERROR(IF(OR(J176=0,K176=""),"",IF(E176="Positivo",MIN(MAX(K176/J176,0),1.3),MIN(MAX(J176/K176,0),1.3))),"") </f>
        <v/>
      </c>
      <c r="M176" s="14">
        <f>IFERROR(IF(OR(J176=0,K176=""),"",IF(E176="Positivo",MAX(K176/J176,0),MAX(J176/K176,0))),"") </f>
        <v/>
      </c>
      <c r="N176" s="5" t="inlineStr">
        <is>
          <t>%</t>
        </is>
      </c>
      <c r="O176" s="5" t="inlineStr">
        <is>
          <t>%</t>
        </is>
      </c>
      <c r="P176" s="15" t="n">
        <v>0</v>
      </c>
      <c r="Q176" s="15" t="n">
        <v>0</v>
      </c>
      <c r="R176" s="5" t="inlineStr">
        <is>
          <t>111-2023-06-30</t>
        </is>
      </c>
    </row>
    <row r="177">
      <c r="A177" s="26" t="n">
        <v>111</v>
      </c>
      <c r="B177" s="5" t="inlineStr">
        <is>
          <t>Nivel de Satisfacción Servicios Prestados</t>
        </is>
      </c>
      <c r="C177" s="5" t="inlineStr">
        <is>
          <t>GESTIÓN DE ABASTECIMIENTO</t>
        </is>
      </c>
      <c r="D177" s="5" t="inlineStr">
        <is>
          <t>Trimestral</t>
        </is>
      </c>
      <c r="E177" s="5" t="inlineStr">
        <is>
          <t>Positivo</t>
        </is>
      </c>
      <c r="F177" s="107" t="n">
        <v>45199</v>
      </c>
      <c r="G177" s="5" t="n">
        <v>2023</v>
      </c>
      <c r="H177" s="5" t="inlineStr">
        <is>
          <t>Septiembre</t>
        </is>
      </c>
      <c r="I177" s="6" t="inlineStr">
        <is>
          <t>2023-2</t>
        </is>
      </c>
      <c r="J177" s="5" t="n">
        <v>80</v>
      </c>
      <c r="K177" s="94" t="n">
        <v>93</v>
      </c>
      <c r="L177" s="14">
        <f>IFERROR(IF(OR(J177=0,K177=""),"",IF(E177="Positivo",MIN(MAX(K177/J177,0),1.3),MIN(MAX(J177/K177,0),1.3))),"") </f>
        <v/>
      </c>
      <c r="M177" s="14">
        <f>IFERROR(IF(OR(J177=0,K177=""),"",IF(E177="Positivo",MAX(K177/J177,0),MAX(J177/K177,0))),"") </f>
        <v/>
      </c>
      <c r="N177" s="5" t="inlineStr">
        <is>
          <t>%</t>
        </is>
      </c>
      <c r="O177" s="5" t="inlineStr">
        <is>
          <t>%</t>
        </is>
      </c>
      <c r="P177" s="15" t="n">
        <v>0</v>
      </c>
      <c r="Q177" s="15" t="n">
        <v>0</v>
      </c>
      <c r="R177" s="5" t="inlineStr">
        <is>
          <t>111-2023-09-30</t>
        </is>
      </c>
    </row>
    <row r="178">
      <c r="A178" s="21" t="n">
        <v>111</v>
      </c>
      <c r="B178" s="5" t="inlineStr">
        <is>
          <t>Nivel de Satisfacción Servicios Prestados</t>
        </is>
      </c>
      <c r="C178" s="5" t="inlineStr">
        <is>
          <t>GESTIÓN DE ABASTECIMIENTO</t>
        </is>
      </c>
      <c r="D178" s="5" t="inlineStr">
        <is>
          <t>Trimestral</t>
        </is>
      </c>
      <c r="E178" s="5" t="inlineStr">
        <is>
          <t>Positivo</t>
        </is>
      </c>
      <c r="F178" s="107" t="n">
        <v>45291</v>
      </c>
      <c r="G178" s="5" t="n">
        <v>2023</v>
      </c>
      <c r="H178" s="5" t="inlineStr">
        <is>
          <t>Diciembre</t>
        </is>
      </c>
      <c r="I178" s="6" t="inlineStr">
        <is>
          <t>2023-2</t>
        </is>
      </c>
      <c r="J178" s="5" t="n">
        <v>80</v>
      </c>
      <c r="K178" s="10" t="n">
        <v>96</v>
      </c>
      <c r="L178" s="14">
        <f>IFERROR(IF(OR(J178=0,K178=""),"",IF(E178="Positivo",MIN(MAX(K178/J178,0),1.3),MIN(MAX(J178/K178,0),1.3))),"") </f>
        <v/>
      </c>
      <c r="M178" s="14">
        <f>IFERROR(IF(OR(J178=0,K178=""),"",IF(E178="Positivo",MAX(K178/J178,0),MAX(J178/K178,0))),"") </f>
        <v/>
      </c>
      <c r="N178" s="5" t="inlineStr">
        <is>
          <t>%</t>
        </is>
      </c>
      <c r="O178" s="5" t="inlineStr">
        <is>
          <t>%</t>
        </is>
      </c>
      <c r="P178" s="15" t="n">
        <v>0</v>
      </c>
      <c r="Q178" s="15" t="n">
        <v>0</v>
      </c>
      <c r="R178" s="5" t="inlineStr">
        <is>
          <t>111-2023-12-31</t>
        </is>
      </c>
    </row>
    <row r="179">
      <c r="A179" s="21" t="n">
        <v>111</v>
      </c>
      <c r="B179" s="5" t="inlineStr">
        <is>
          <t>Nivel de Satisfacción Servicios Prestados</t>
        </is>
      </c>
      <c r="C179" s="5" t="inlineStr">
        <is>
          <t>GESTIÓN DE ABASTECIMIENTO</t>
        </is>
      </c>
      <c r="D179" s="5" t="inlineStr">
        <is>
          <t>Trimestral</t>
        </is>
      </c>
      <c r="E179" s="5" t="inlineStr">
        <is>
          <t>Positivo</t>
        </is>
      </c>
      <c r="F179" s="107" t="n">
        <v>45382</v>
      </c>
      <c r="G179" s="5" t="n">
        <v>2024</v>
      </c>
      <c r="H179" s="5" t="inlineStr">
        <is>
          <t>Marzo</t>
        </is>
      </c>
      <c r="I179" s="6" t="inlineStr">
        <is>
          <t>2024-1</t>
        </is>
      </c>
      <c r="J179" s="5" t="n">
        <v>80</v>
      </c>
      <c r="K179" s="10" t="n">
        <v>94</v>
      </c>
      <c r="L179" s="14">
        <f>IFERROR(IF(OR(J179=0,K179=""),"",IF(E179="Positivo",MIN(MAX(K179/J179,0),1.3),MIN(MAX(J179/K179,0),1.3))),"") </f>
        <v/>
      </c>
      <c r="M179" s="14">
        <f>IFERROR(IF(OR(J179=0,K179=""),"",IF(E179="Positivo",MAX(K179/J179,0),MAX(J179/K179,0))),"") </f>
        <v/>
      </c>
      <c r="N179" s="5" t="inlineStr">
        <is>
          <t>%</t>
        </is>
      </c>
      <c r="O179" s="5" t="inlineStr">
        <is>
          <t>%</t>
        </is>
      </c>
      <c r="P179" s="15" t="n">
        <v>0</v>
      </c>
      <c r="Q179" s="15" t="n">
        <v>0</v>
      </c>
      <c r="R179" s="5" t="inlineStr">
        <is>
          <t>111-2024-03-31</t>
        </is>
      </c>
    </row>
    <row r="180">
      <c r="A180" s="5" t="n">
        <v>111</v>
      </c>
      <c r="B180" s="5" t="inlineStr">
        <is>
          <t>Nivel de Satisfacción Servicios Prestados</t>
        </is>
      </c>
      <c r="C180" s="5" t="inlineStr">
        <is>
          <t>GESTIÓN DE ABASTECIMIENTO</t>
        </is>
      </c>
      <c r="D180" s="5" t="inlineStr">
        <is>
          <t>Trimestral</t>
        </is>
      </c>
      <c r="E180" s="5" t="inlineStr">
        <is>
          <t>Positivo</t>
        </is>
      </c>
      <c r="F180" s="107" t="n">
        <v>45473</v>
      </c>
      <c r="G180" s="5" t="n">
        <v>2024</v>
      </c>
      <c r="H180" s="5" t="inlineStr">
        <is>
          <t>Junio</t>
        </is>
      </c>
      <c r="I180" s="6" t="inlineStr">
        <is>
          <t>2024-1</t>
        </is>
      </c>
      <c r="J180" s="5" t="n">
        <v>80</v>
      </c>
      <c r="K180" s="5" t="n">
        <v>98</v>
      </c>
      <c r="L180" s="14">
        <f>IFERROR(IF(OR(J180=0,K180=""),"",IF(E180="Positivo",MIN(MAX(K180/J180,0),1.3),MIN(MAX(J180/K180,0),1.3))),"") </f>
        <v/>
      </c>
      <c r="M180" s="14">
        <f>IFERROR(IF(OR(J180=0,K180=""),"",IF(E180="Positivo",MAX(K180/J180,0),MAX(J180/K180,0))),"") </f>
        <v/>
      </c>
      <c r="N180" s="5" t="inlineStr">
        <is>
          <t>%</t>
        </is>
      </c>
      <c r="O180" s="5" t="inlineStr">
        <is>
          <t>%</t>
        </is>
      </c>
      <c r="P180" s="5" t="n">
        <v>0</v>
      </c>
      <c r="Q180" s="5" t="n">
        <v>0</v>
      </c>
      <c r="R180" s="5" t="inlineStr">
        <is>
          <t>111-2024-06-30</t>
        </is>
      </c>
    </row>
    <row r="181">
      <c r="A181" s="21" t="n">
        <v>111</v>
      </c>
      <c r="B181" s="5" t="inlineStr">
        <is>
          <t>Nivel de Satisfacción Servicios Prestados</t>
        </is>
      </c>
      <c r="C181" s="5" t="inlineStr">
        <is>
          <t>GESTIÓN DE ABASTECIMIENTO</t>
        </is>
      </c>
      <c r="D181" s="5" t="inlineStr">
        <is>
          <t>Trimestral</t>
        </is>
      </c>
      <c r="E181" s="5" t="inlineStr">
        <is>
          <t>Positivo</t>
        </is>
      </c>
      <c r="F181" s="107" t="n">
        <v>45565</v>
      </c>
      <c r="G181" s="5" t="n">
        <v>2024</v>
      </c>
      <c r="H181" s="5" t="inlineStr">
        <is>
          <t>Septiembre</t>
        </is>
      </c>
      <c r="I181" s="6" t="inlineStr">
        <is>
          <t>2024-2</t>
        </is>
      </c>
      <c r="J181" s="5" t="n">
        <v>80</v>
      </c>
      <c r="K181" s="10" t="n">
        <v>86.7</v>
      </c>
      <c r="L181" s="14">
        <f>IFERROR(IF(OR(J181=0,K181=""),"",IF(E181="Positivo",MIN(MAX(K181/J181,0),1.3),MIN(MAX(J181/K181,0),1.3))),"") </f>
        <v/>
      </c>
      <c r="M181" s="14">
        <f>IFERROR(IF(OR(J181=0,K181=""),"",IF(E181="Positivo",MAX(K181/J181,0),MAX(J181/K181,0))),"") </f>
        <v/>
      </c>
      <c r="N181" s="5" t="inlineStr">
        <is>
          <t>%</t>
        </is>
      </c>
      <c r="O181" s="5" t="inlineStr">
        <is>
          <t>%</t>
        </is>
      </c>
      <c r="P181" s="15" t="n">
        <v>0</v>
      </c>
      <c r="Q181" s="15" t="n">
        <v>0</v>
      </c>
      <c r="R181" s="5" t="inlineStr">
        <is>
          <t>111-2024-09-30</t>
        </is>
      </c>
    </row>
    <row r="182">
      <c r="A182" s="21" t="n">
        <v>111</v>
      </c>
      <c r="B182" s="5" t="inlineStr">
        <is>
          <t>Nivel de Satisfacción Servicios Prestados</t>
        </is>
      </c>
      <c r="C182" s="5" t="inlineStr">
        <is>
          <t>GESTIÓN DE ABASTECIMIENTO</t>
        </is>
      </c>
      <c r="D182" s="5" t="inlineStr">
        <is>
          <t>Trimestral</t>
        </is>
      </c>
      <c r="E182" s="5" t="inlineStr">
        <is>
          <t>Positivo</t>
        </is>
      </c>
      <c r="F182" s="107" t="n">
        <v>45657</v>
      </c>
      <c r="G182" s="5" t="n">
        <v>2024</v>
      </c>
      <c r="H182" s="5" t="inlineStr">
        <is>
          <t>Diciembre</t>
        </is>
      </c>
      <c r="I182" s="6" t="inlineStr">
        <is>
          <t>2024-2</t>
        </is>
      </c>
      <c r="J182" s="5" t="n">
        <v>80</v>
      </c>
      <c r="K182" s="10" t="n">
        <v>92</v>
      </c>
      <c r="L182" s="14">
        <f>IFERROR(IF(OR(J182=0,K182=""),"",IF(E182="Positivo",MIN(MAX(K182/J182,0),1.3),MIN(MAX(J182/K182,0),1.3))),"") </f>
        <v/>
      </c>
      <c r="M182" s="14">
        <f>IFERROR(IF(OR(J182=0,K182=""),"",IF(E182="Positivo",MAX(K182/J182,0),MAX(J182/K182,0))),"") </f>
        <v/>
      </c>
      <c r="N182" s="5" t="inlineStr">
        <is>
          <t>%</t>
        </is>
      </c>
      <c r="O182" s="5" t="inlineStr">
        <is>
          <t>%</t>
        </is>
      </c>
      <c r="P182" s="15" t="n">
        <v>0</v>
      </c>
      <c r="Q182" s="15" t="n">
        <v>0</v>
      </c>
      <c r="R182" s="5" t="inlineStr">
        <is>
          <t>111-2024-12-31</t>
        </is>
      </c>
    </row>
    <row r="183">
      <c r="A183" s="21" t="n">
        <v>111</v>
      </c>
      <c r="B183" s="5" t="inlineStr">
        <is>
          <t>Nivel de Satisfacción Servicios Prestados</t>
        </is>
      </c>
      <c r="C183" s="5" t="inlineStr">
        <is>
          <t>GESTIÓN DE ABASTECIMIENTO</t>
        </is>
      </c>
      <c r="D183" s="5" t="inlineStr">
        <is>
          <t>Trimestral</t>
        </is>
      </c>
      <c r="E183" s="5" t="inlineStr">
        <is>
          <t>Positivo</t>
        </is>
      </c>
      <c r="F183" s="107" t="n">
        <v>45747</v>
      </c>
      <c r="G183" s="5" t="n">
        <v>2025</v>
      </c>
      <c r="H183" s="5" t="inlineStr">
        <is>
          <t>Marzo</t>
        </is>
      </c>
      <c r="I183" s="6" t="inlineStr">
        <is>
          <t>2025-1</t>
        </is>
      </c>
      <c r="J183" s="5" t="n">
        <v>80</v>
      </c>
      <c r="K183" s="10" t="n">
        <v>92.7</v>
      </c>
      <c r="L183" s="14">
        <f>IFERROR(IF(OR(J183=0,K183=""),"",IF(E183="Positivo",MIN(MAX(K183/J183,0),1.3),MIN(MAX(J183/K183,0),1.3))),"") </f>
        <v/>
      </c>
      <c r="M183" s="14">
        <f>IFERROR(IF(OR(J183=0,K183=""),"",IF(E183="Positivo",MAX(K183/J183,0),MAX(J183/K183,0))),"") </f>
        <v/>
      </c>
      <c r="N183" s="5" t="inlineStr">
        <is>
          <t>%</t>
        </is>
      </c>
      <c r="O183" s="5" t="inlineStr">
        <is>
          <t>%</t>
        </is>
      </c>
      <c r="P183" s="15" t="n">
        <v>0</v>
      </c>
      <c r="Q183" s="15" t="n">
        <v>0</v>
      </c>
      <c r="R183" s="5" t="inlineStr">
        <is>
          <t>111-2025-03-31</t>
        </is>
      </c>
    </row>
    <row r="184">
      <c r="A184" s="21" t="n">
        <v>111</v>
      </c>
      <c r="B184" s="5" t="inlineStr">
        <is>
          <t>Nivel de Satisfacción Servicios Prestados</t>
        </is>
      </c>
      <c r="C184" s="5" t="inlineStr">
        <is>
          <t>GESTIÓN DE ABASTECIMIENTO</t>
        </is>
      </c>
      <c r="D184" s="5" t="inlineStr">
        <is>
          <t>Trimestral</t>
        </is>
      </c>
      <c r="E184" s="5" t="inlineStr">
        <is>
          <t>Positivo</t>
        </is>
      </c>
      <c r="F184" s="107" t="n">
        <v>45838</v>
      </c>
      <c r="G184" s="5" t="n">
        <v>2025</v>
      </c>
      <c r="H184" s="5" t="inlineStr">
        <is>
          <t>Junio</t>
        </is>
      </c>
      <c r="I184" s="6" t="inlineStr">
        <is>
          <t>2025-1</t>
        </is>
      </c>
      <c r="J184" s="5" t="n">
        <v>80</v>
      </c>
      <c r="K184" s="40" t="n">
        <v>100</v>
      </c>
      <c r="L184" s="14">
        <f>IFERROR(IF(OR(J184=0,K184=""),"",IF(E184="Positivo",MIN(MAX(K184/J184,0),1.3),MIN(MAX(J184/K184,0),1.3))),"") </f>
        <v/>
      </c>
      <c r="M184" s="14">
        <f>IFERROR(IF(OR(J184=0,K184=""),"",IF(E184="Positivo",MAX(K184/J184,0),MAX(J184/K184,0))),"") </f>
        <v/>
      </c>
      <c r="N184" s="5" t="inlineStr">
        <is>
          <t>%</t>
        </is>
      </c>
      <c r="O184" s="5" t="inlineStr">
        <is>
          <t>%</t>
        </is>
      </c>
      <c r="P184" s="15" t="n">
        <v>0</v>
      </c>
      <c r="Q184" s="15" t="n">
        <v>0</v>
      </c>
      <c r="R184" s="5" t="inlineStr">
        <is>
          <t>111-2025-06-30</t>
        </is>
      </c>
    </row>
    <row r="185">
      <c r="A185" s="21" t="n">
        <v>111</v>
      </c>
      <c r="B185" s="5" t="inlineStr">
        <is>
          <t>Nivel de Satisfacción Servicios Prestados</t>
        </is>
      </c>
      <c r="C185" s="5" t="inlineStr">
        <is>
          <t>GESTIÓN DE ABASTECIMIENTO</t>
        </is>
      </c>
      <c r="D185" s="5" t="inlineStr">
        <is>
          <t>Semestral</t>
        </is>
      </c>
      <c r="E185" s="5" t="inlineStr">
        <is>
          <t>Positivo</t>
        </is>
      </c>
      <c r="F185" s="106" t="n">
        <v>45930</v>
      </c>
      <c r="G185" s="5" t="n">
        <v>2025</v>
      </c>
      <c r="H185" s="5" t="inlineStr">
        <is>
          <t>Septiembre</t>
        </is>
      </c>
      <c r="I185" s="6" t="inlineStr">
        <is>
          <t>2025-2</t>
        </is>
      </c>
      <c r="J185" s="5" t="n">
        <v>80</v>
      </c>
      <c r="K185" s="40" t="n">
        <v>92.5</v>
      </c>
      <c r="L185" s="14">
        <f>IFERROR(IF(OR(J185=0,K185=""),"",IF(E185="Positivo",MIN(MAX(K185/J185,0),1.3),MIN(MAX(J185/K185,0),1.3))),"") </f>
        <v/>
      </c>
      <c r="M185" s="14">
        <f>IFERROR(IF(OR(J185=0,K185=""),"",IF(E185="Positivo",MAX(K185/J185,0),MAX(J185/K185,0))),"") </f>
        <v/>
      </c>
      <c r="N185" s="5" t="inlineStr">
        <is>
          <t>%</t>
        </is>
      </c>
      <c r="O185" s="5" t="inlineStr">
        <is>
          <t>%</t>
        </is>
      </c>
      <c r="P185" s="15" t="n">
        <v>0</v>
      </c>
      <c r="Q185" s="15" t="n">
        <v>0</v>
      </c>
      <c r="R185" s="5" t="inlineStr">
        <is>
          <t>111-2025-09-30</t>
        </is>
      </c>
    </row>
    <row r="186">
      <c r="A186" s="21" t="n">
        <v>111</v>
      </c>
      <c r="B186" s="5" t="inlineStr">
        <is>
          <t>Nivel de Satisfacción Servicios Prestados</t>
        </is>
      </c>
      <c r="C186" s="5" t="inlineStr">
        <is>
          <t>GESTIÓN DE ABASTECIMIENTO</t>
        </is>
      </c>
      <c r="D186" s="5" t="inlineStr">
        <is>
          <t>Semestral</t>
        </is>
      </c>
      <c r="E186" s="5" t="inlineStr">
        <is>
          <t>Positivo</t>
        </is>
      </c>
      <c r="F186" s="107" t="n">
        <v>46022</v>
      </c>
      <c r="G186" s="5" t="n">
        <v>2025</v>
      </c>
      <c r="H186" s="5" t="inlineStr">
        <is>
          <t>Diciembre</t>
        </is>
      </c>
      <c r="I186" s="6" t="inlineStr">
        <is>
          <t>2025-2</t>
        </is>
      </c>
      <c r="J186" s="5" t="n">
        <v>80</v>
      </c>
      <c r="K186" s="40" t="n">
        <v>96.59999999999999</v>
      </c>
      <c r="L186" s="14">
        <f>IFERROR(IF(OR(J186=0,K186=""),"",IF(E186="Positivo",MIN(MAX(K186/J186,0),1.3),MIN(MAX(J186/K186,0),1.3))),"") </f>
        <v/>
      </c>
      <c r="M186" s="14">
        <f>IFERROR(IF(OR(J186=0,K186=""),"",IF(E186="Positivo",MAX(K186/J186,0),MAX(J186/K186,0))),"") </f>
        <v/>
      </c>
      <c r="N186" s="5" t="inlineStr">
        <is>
          <t>%</t>
        </is>
      </c>
      <c r="O186" s="5" t="inlineStr">
        <is>
          <t>%</t>
        </is>
      </c>
      <c r="P186" s="15" t="n">
        <v>0</v>
      </c>
      <c r="Q186" s="15" t="n">
        <v>0</v>
      </c>
      <c r="R186" s="5" t="inlineStr">
        <is>
          <t>111-2025-12-31</t>
        </is>
      </c>
    </row>
    <row r="187">
      <c r="A187" s="21" t="n">
        <v>112</v>
      </c>
      <c r="B187" s="5" t="inlineStr">
        <is>
          <t>Nivel de Satisfacción Servicios Prestados</t>
        </is>
      </c>
      <c r="C187" s="5" t="inlineStr">
        <is>
          <t>Gestión Infraestructura Física</t>
        </is>
      </c>
      <c r="D187" s="5" t="inlineStr">
        <is>
          <t>Anual</t>
        </is>
      </c>
      <c r="E187" s="5" t="inlineStr">
        <is>
          <t>Positivo</t>
        </is>
      </c>
      <c r="F187" s="107" t="n">
        <v>44865</v>
      </c>
      <c r="G187" s="5" t="n">
        <v>2022</v>
      </c>
      <c r="H187" s="5" t="inlineStr">
        <is>
          <t>Octubre</t>
        </is>
      </c>
      <c r="I187" s="6" t="inlineStr">
        <is>
          <t>2022-2</t>
        </is>
      </c>
      <c r="J187" s="5" t="n">
        <v>80</v>
      </c>
      <c r="K187" s="40" t="n">
        <v>85</v>
      </c>
      <c r="L187" s="14">
        <f>IFERROR(IF(OR(J187=0,K187=""),"",IF(E187="Positivo",MIN(MAX(K187/J187,0),1.3),MIN(MAX(J187/K187,0),1.3))),"") </f>
        <v/>
      </c>
      <c r="M187" s="14">
        <f>IFERROR(IF(OR(J187=0,K187=""),"",IF(E187="Positivo",MAX(K187/J187,0),MAX(J187/K187,0))),"") </f>
        <v/>
      </c>
      <c r="N187" s="5" t="inlineStr">
        <is>
          <t>%</t>
        </is>
      </c>
      <c r="O187" s="5" t="inlineStr">
        <is>
          <t>%</t>
        </is>
      </c>
      <c r="P187" s="15" t="n">
        <v>0</v>
      </c>
      <c r="Q187" s="15" t="n">
        <v>0</v>
      </c>
      <c r="R187" s="5" t="inlineStr">
        <is>
          <t>112-2022-10-31</t>
        </is>
      </c>
    </row>
    <row r="188">
      <c r="A188" s="21" t="n">
        <v>112</v>
      </c>
      <c r="B188" s="5" t="inlineStr">
        <is>
          <t>Nivel de Satisfacción Servicios Prestados</t>
        </is>
      </c>
      <c r="C188" s="5" t="inlineStr">
        <is>
          <t>Gestión Infraestructura Física</t>
        </is>
      </c>
      <c r="D188" s="5" t="inlineStr">
        <is>
          <t>Anual</t>
        </is>
      </c>
      <c r="E188" s="5" t="inlineStr">
        <is>
          <t>Positivo</t>
        </is>
      </c>
      <c r="F188" s="107" t="n">
        <v>45230</v>
      </c>
      <c r="G188" s="5" t="n">
        <v>2023</v>
      </c>
      <c r="H188" s="5" t="inlineStr">
        <is>
          <t>Octubre</t>
        </is>
      </c>
      <c r="I188" s="6" t="inlineStr">
        <is>
          <t>2023-2</t>
        </is>
      </c>
      <c r="J188" s="5" t="n">
        <v>80</v>
      </c>
      <c r="K188" s="40" t="n">
        <v>90</v>
      </c>
      <c r="L188" s="14">
        <f>IFERROR(IF(OR(J188=0,K188=""),"",IF(E188="Positivo",MIN(MAX(K188/J188,0),1.3),MIN(MAX(J188/K188,0),1.3))),"") </f>
        <v/>
      </c>
      <c r="M188" s="14">
        <f>IFERROR(IF(OR(J188=0,K188=""),"",IF(E188="Positivo",MAX(K188/J188,0),MAX(J188/K188,0))),"") </f>
        <v/>
      </c>
      <c r="N188" s="5" t="inlineStr">
        <is>
          <t>%</t>
        </is>
      </c>
      <c r="O188" s="5" t="inlineStr">
        <is>
          <t>%</t>
        </is>
      </c>
      <c r="P188" s="15" t="n">
        <v>0</v>
      </c>
      <c r="Q188" s="15" t="n">
        <v>0</v>
      </c>
      <c r="R188" s="5" t="inlineStr">
        <is>
          <t>112-2023-10-31</t>
        </is>
      </c>
    </row>
    <row r="189">
      <c r="A189" s="21" t="n">
        <v>112</v>
      </c>
      <c r="B189" s="5" t="inlineStr">
        <is>
          <t>Nivel de Satisfacción Servicios Prestados</t>
        </is>
      </c>
      <c r="C189" s="5" t="inlineStr">
        <is>
          <t>Gestión Infraestructura Física</t>
        </is>
      </c>
      <c r="D189" s="5" t="inlineStr">
        <is>
          <t>Anual</t>
        </is>
      </c>
      <c r="E189" s="5" t="inlineStr">
        <is>
          <t>Positivo</t>
        </is>
      </c>
      <c r="F189" s="107" t="n">
        <v>45596</v>
      </c>
      <c r="G189" s="5" t="n">
        <v>2024</v>
      </c>
      <c r="H189" s="5" t="inlineStr">
        <is>
          <t>Octubre</t>
        </is>
      </c>
      <c r="I189" s="6" t="inlineStr">
        <is>
          <t>2024-2</t>
        </is>
      </c>
      <c r="J189" s="5" t="n">
        <v>80</v>
      </c>
      <c r="K189" s="40" t="n">
        <v>90</v>
      </c>
      <c r="L189" s="14">
        <f>IFERROR(IF(OR(J189=0,K189=""),"",IF(E189="Positivo",MIN(MAX(K189/J189,0),1.3),MIN(MAX(J189/K189,0),1.3))),"") </f>
        <v/>
      </c>
      <c r="M189" s="14">
        <f>IFERROR(IF(OR(J189=0,K189=""),"",IF(E189="Positivo",MAX(K189/J189,0),MAX(J189/K189,0))),"") </f>
        <v/>
      </c>
      <c r="N189" s="5" t="inlineStr">
        <is>
          <t>%</t>
        </is>
      </c>
      <c r="O189" s="5" t="inlineStr">
        <is>
          <t>%</t>
        </is>
      </c>
      <c r="P189" s="15" t="n">
        <v>0</v>
      </c>
      <c r="Q189" s="15" t="n">
        <v>0</v>
      </c>
      <c r="R189" s="5" t="inlineStr">
        <is>
          <t>112-2024-10-31</t>
        </is>
      </c>
    </row>
    <row r="190">
      <c r="A190" s="21" t="n">
        <v>112</v>
      </c>
      <c r="B190" s="5" t="inlineStr">
        <is>
          <t>Nivel de Satisfacción Servicios Prestados</t>
        </is>
      </c>
      <c r="C190" s="5" t="inlineStr">
        <is>
          <t>Gestión Infraestructura Física</t>
        </is>
      </c>
      <c r="D190" s="5" t="inlineStr">
        <is>
          <t>Anual</t>
        </is>
      </c>
      <c r="E190" s="5" t="inlineStr">
        <is>
          <t>Positivo</t>
        </is>
      </c>
      <c r="F190" s="107" t="n">
        <v>45961</v>
      </c>
      <c r="G190" s="5" t="n">
        <v>2025</v>
      </c>
      <c r="H190" s="5" t="inlineStr">
        <is>
          <t>Octubre</t>
        </is>
      </c>
      <c r="I190" s="6" t="inlineStr">
        <is>
          <t>2025-2</t>
        </is>
      </c>
      <c r="J190" s="5" t="n">
        <v>80</v>
      </c>
      <c r="K190" s="40" t="n">
        <v>90</v>
      </c>
      <c r="L190" s="14">
        <f>IFERROR(IF(OR(J190=0,K190=""),"",IF(E190="Positivo",MIN(MAX(K190/J190,0),1.3),MIN(MAX(J190/K190,0),1.3))),"") </f>
        <v/>
      </c>
      <c r="M190" s="14">
        <f>IFERROR(IF(OR(J190=0,K190=""),"",IF(E190="Positivo",MAX(K190/J190,0),MAX(J190/K190,0))),"") </f>
        <v/>
      </c>
      <c r="N190" s="5" t="inlineStr">
        <is>
          <t>%</t>
        </is>
      </c>
      <c r="O190" s="5" t="inlineStr">
        <is>
          <t>%</t>
        </is>
      </c>
      <c r="P190" s="15" t="n">
        <v>0</v>
      </c>
      <c r="Q190" s="15" t="n">
        <v>0</v>
      </c>
      <c r="R190" s="5" t="inlineStr">
        <is>
          <t>112-2025-10-31</t>
        </is>
      </c>
    </row>
    <row r="191">
      <c r="A191" s="21" t="n">
        <v>113</v>
      </c>
      <c r="B191" s="5" t="inlineStr">
        <is>
          <t>Nivel de Satisfacción Servicios Prestados</t>
        </is>
      </c>
      <c r="C191" s="5" t="inlineStr">
        <is>
          <t>Gestión y Desarrollo del Talento Humano</t>
        </is>
      </c>
      <c r="D191" s="5" t="inlineStr">
        <is>
          <t>Anual</t>
        </is>
      </c>
      <c r="E191" s="5" t="inlineStr">
        <is>
          <t>Positivo</t>
        </is>
      </c>
      <c r="F191" s="107" t="n">
        <v>44865</v>
      </c>
      <c r="G191" s="5" t="n">
        <v>2022</v>
      </c>
      <c r="H191" s="5" t="inlineStr">
        <is>
          <t>Octubre</t>
        </is>
      </c>
      <c r="I191" s="6" t="inlineStr">
        <is>
          <t>2022-2</t>
        </is>
      </c>
      <c r="J191" s="5" t="n">
        <v>80</v>
      </c>
      <c r="K191" s="40" t="n">
        <v>78</v>
      </c>
      <c r="L191" s="14">
        <f>IFERROR(IF(OR(J191=0,K191=""),"",IF(E191="Positivo",MIN(MAX(K191/J191,0),1.3),MIN(MAX(J191/K191,0),1.3))),"") </f>
        <v/>
      </c>
      <c r="M191" s="14">
        <f>IFERROR(IF(OR(J191=0,K191=""),"",IF(E191="Positivo",MAX(K191/J191,0),MAX(J191/K191,0))),"") </f>
        <v/>
      </c>
      <c r="N191" s="5" t="inlineStr">
        <is>
          <t>%</t>
        </is>
      </c>
      <c r="O191" s="5" t="inlineStr">
        <is>
          <t>%</t>
        </is>
      </c>
      <c r="P191" s="15" t="n">
        <v>0</v>
      </c>
      <c r="Q191" s="15" t="n">
        <v>0</v>
      </c>
      <c r="R191" s="5" t="inlineStr">
        <is>
          <t>113-2022-10-31</t>
        </is>
      </c>
    </row>
    <row r="192">
      <c r="A192" s="21" t="n">
        <v>113</v>
      </c>
      <c r="B192" s="5" t="inlineStr">
        <is>
          <t>Nivel de Satisfacción Servicios Prestados</t>
        </is>
      </c>
      <c r="C192" s="5" t="inlineStr">
        <is>
          <t>Gestión y Desarrollo del Talento Humano</t>
        </is>
      </c>
      <c r="D192" s="5" t="inlineStr">
        <is>
          <t>Anual</t>
        </is>
      </c>
      <c r="E192" s="5" t="inlineStr">
        <is>
          <t>Positivo</t>
        </is>
      </c>
      <c r="F192" s="107" t="n">
        <v>45230</v>
      </c>
      <c r="G192" s="5" t="n">
        <v>2023</v>
      </c>
      <c r="H192" s="5" t="inlineStr">
        <is>
          <t>Octubre</t>
        </is>
      </c>
      <c r="I192" s="6" t="inlineStr">
        <is>
          <t>2023-2</t>
        </is>
      </c>
      <c r="J192" s="5" t="n">
        <v>80</v>
      </c>
      <c r="K192" s="40" t="n">
        <v>88</v>
      </c>
      <c r="L192" s="14">
        <f>IFERROR(IF(OR(J192=0,K192=""),"",IF(E192="Positivo",MIN(MAX(K192/J192,0),1.3),MIN(MAX(J192/K192,0),1.3))),"") </f>
        <v/>
      </c>
      <c r="M192" s="14">
        <f>IFERROR(IF(OR(J192=0,K192=""),"",IF(E192="Positivo",MAX(K192/J192,0),MAX(J192/K192,0))),"") </f>
        <v/>
      </c>
      <c r="N192" s="5" t="inlineStr">
        <is>
          <t>%</t>
        </is>
      </c>
      <c r="O192" s="5" t="inlineStr">
        <is>
          <t>%</t>
        </is>
      </c>
      <c r="P192" s="15" t="n">
        <v>0</v>
      </c>
      <c r="Q192" s="15" t="n">
        <v>0</v>
      </c>
      <c r="R192" s="5" t="inlineStr">
        <is>
          <t>113-2023-10-31</t>
        </is>
      </c>
    </row>
    <row r="193">
      <c r="A193" s="26" t="n">
        <v>113</v>
      </c>
      <c r="B193" s="5" t="inlineStr">
        <is>
          <t>Nivel de Satisfacción Servicios Prestados</t>
        </is>
      </c>
      <c r="C193" s="5" t="inlineStr">
        <is>
          <t>GESTIÓN Y DESARROLLO DEL TALENTO HUMANO</t>
        </is>
      </c>
      <c r="D193" s="5" t="inlineStr">
        <is>
          <t>Anual</t>
        </is>
      </c>
      <c r="E193" s="5" t="inlineStr">
        <is>
          <t>Positivo</t>
        </is>
      </c>
      <c r="F193" s="107" t="n">
        <v>45596</v>
      </c>
      <c r="G193" s="5" t="n">
        <v>2024</v>
      </c>
      <c r="H193" s="5" t="inlineStr">
        <is>
          <t>Octubre</t>
        </is>
      </c>
      <c r="I193" s="6" t="inlineStr">
        <is>
          <t>2024-2</t>
        </is>
      </c>
      <c r="J193" s="5" t="n">
        <v>80</v>
      </c>
      <c r="K193" s="40" t="n">
        <v>88</v>
      </c>
      <c r="L193" s="14">
        <f>IFERROR(IF(OR(J193=0,K193=""),"",IF(E193="Positivo",MIN(MAX(K193/J193,0),1.3),MIN(MAX(J193/K193,0),1.3))),"") </f>
        <v/>
      </c>
      <c r="M193" s="14">
        <f>IFERROR(IF(OR(J193=0,K193=""),"",IF(E193="Positivo",MAX(K193/J193,0),MAX(J193/K193,0))),"") </f>
        <v/>
      </c>
      <c r="N193" s="5" t="inlineStr">
        <is>
          <t>%</t>
        </is>
      </c>
      <c r="O193" s="5" t="inlineStr">
        <is>
          <t>%</t>
        </is>
      </c>
      <c r="P193" s="15" t="n">
        <v>0</v>
      </c>
      <c r="Q193" s="15" t="n">
        <v>0</v>
      </c>
      <c r="R193" s="5" t="inlineStr">
        <is>
          <t>113-2024-10-31</t>
        </is>
      </c>
    </row>
    <row r="194">
      <c r="A194" s="26" t="n">
        <v>113</v>
      </c>
      <c r="B194" s="5" t="inlineStr">
        <is>
          <t>Nivel de Satisfacción Servicios Prestados</t>
        </is>
      </c>
      <c r="C194" s="5" t="inlineStr">
        <is>
          <t>GESTIÓN Y DESARROLLO DEL TALENTO HUMANO</t>
        </is>
      </c>
      <c r="D194" s="5" t="inlineStr">
        <is>
          <t>Anual</t>
        </is>
      </c>
      <c r="E194" s="5" t="inlineStr">
        <is>
          <t>Positivo</t>
        </is>
      </c>
      <c r="F194" s="107" t="n">
        <v>45961</v>
      </c>
      <c r="G194" s="5" t="n">
        <v>2025</v>
      </c>
      <c r="H194" s="5" t="inlineStr">
        <is>
          <t>Octubre</t>
        </is>
      </c>
      <c r="I194" s="6" t="inlineStr">
        <is>
          <t>2025-2</t>
        </is>
      </c>
      <c r="J194" s="5" t="n">
        <v>80</v>
      </c>
      <c r="K194" s="40" t="n">
        <v>94</v>
      </c>
      <c r="L194" s="14">
        <f>IFERROR(IF(OR(J194=0,K194=""),"",IF(E194="Positivo",MIN(MAX(K194/J194,0),1.3),MIN(MAX(J194/K194,0),1.3))),"") </f>
        <v/>
      </c>
      <c r="M194" s="14">
        <f>IFERROR(IF(OR(J194=0,K194=""),"",IF(E194="Positivo",MAX(K194/J194,0),MAX(J194/K194,0))),"") </f>
        <v/>
      </c>
      <c r="N194" s="5" t="inlineStr">
        <is>
          <t>%</t>
        </is>
      </c>
      <c r="O194" s="5" t="inlineStr">
        <is>
          <t>%</t>
        </is>
      </c>
      <c r="P194" s="15" t="n">
        <v>0</v>
      </c>
      <c r="Q194" s="15" t="n">
        <v>0</v>
      </c>
      <c r="R194" s="5" t="inlineStr">
        <is>
          <t>113-2025-10-31</t>
        </is>
      </c>
    </row>
    <row r="195">
      <c r="A195" s="26" t="n">
        <v>114</v>
      </c>
      <c r="B195" s="5" t="inlineStr">
        <is>
          <t>Nivel de Satisfacción Servicios Prestados</t>
        </is>
      </c>
      <c r="C195" s="5" t="inlineStr">
        <is>
          <t>Gestión de la tecnología e innovación digital</t>
        </is>
      </c>
      <c r="D195" s="5" t="inlineStr">
        <is>
          <t>Anual</t>
        </is>
      </c>
      <c r="E195" s="5" t="inlineStr">
        <is>
          <t>Positivo</t>
        </is>
      </c>
      <c r="F195" s="107" t="n">
        <v>44865</v>
      </c>
      <c r="G195" s="5" t="n">
        <v>2022</v>
      </c>
      <c r="H195" s="5" t="inlineStr">
        <is>
          <t>Octubre</t>
        </is>
      </c>
      <c r="I195" s="6" t="inlineStr">
        <is>
          <t>2022-2</t>
        </is>
      </c>
      <c r="J195" s="5" t="n">
        <v>80</v>
      </c>
      <c r="K195" s="40" t="n">
        <v>82</v>
      </c>
      <c r="L195" s="14">
        <f>IFERROR(IF(OR(J195=0,K195=""),"",IF(E195="Positivo",MIN(MAX(K195/J195,0),1.3),MIN(MAX(J195/K195,0),1.3))),"") </f>
        <v/>
      </c>
      <c r="M195" s="14">
        <f>IFERROR(IF(OR(J195=0,K195=""),"",IF(E195="Positivo",MAX(K195/J195,0),MAX(J195/K195,0))),"") </f>
        <v/>
      </c>
      <c r="N195" s="5" t="inlineStr">
        <is>
          <t>%</t>
        </is>
      </c>
      <c r="O195" s="5" t="inlineStr">
        <is>
          <t>%</t>
        </is>
      </c>
      <c r="P195" s="15" t="n">
        <v>0</v>
      </c>
      <c r="Q195" s="15" t="n">
        <v>0</v>
      </c>
      <c r="R195" s="5" t="inlineStr">
        <is>
          <t>114-2022-10-31</t>
        </is>
      </c>
    </row>
    <row r="196">
      <c r="A196" s="21" t="n">
        <v>114</v>
      </c>
      <c r="B196" s="5" t="inlineStr">
        <is>
          <t>Nivel de Satisfacción Servicios Prestados</t>
        </is>
      </c>
      <c r="C196" s="5" t="inlineStr">
        <is>
          <t>Gestión de la tecnología e innovación digital</t>
        </is>
      </c>
      <c r="D196" s="5" t="inlineStr">
        <is>
          <t>Anual</t>
        </is>
      </c>
      <c r="E196" s="5" t="inlineStr">
        <is>
          <t>Positivo</t>
        </is>
      </c>
      <c r="F196" s="107" t="n">
        <v>45230</v>
      </c>
      <c r="G196" s="5" t="n">
        <v>2023</v>
      </c>
      <c r="H196" s="5" t="inlineStr">
        <is>
          <t>Octubre</t>
        </is>
      </c>
      <c r="I196" s="6" t="inlineStr">
        <is>
          <t>2023-2</t>
        </is>
      </c>
      <c r="J196" s="5" t="n">
        <v>80</v>
      </c>
      <c r="K196" s="40" t="n">
        <v>86</v>
      </c>
      <c r="L196" s="14">
        <f>IFERROR(IF(OR(J196=0,K196=""),"",IF(E196="Positivo",MIN(MAX(K196/J196,0),1.3),MIN(MAX(J196/K196,0),1.3))),"") </f>
        <v/>
      </c>
      <c r="M196" s="14">
        <f>IFERROR(IF(OR(J196=0,K196=""),"",IF(E196="Positivo",MAX(K196/J196,0),MAX(J196/K196,0))),"") </f>
        <v/>
      </c>
      <c r="N196" s="5" t="inlineStr">
        <is>
          <t>%</t>
        </is>
      </c>
      <c r="O196" s="5" t="inlineStr">
        <is>
          <t>%</t>
        </is>
      </c>
      <c r="P196" s="15" t="n">
        <v>0</v>
      </c>
      <c r="Q196" s="15" t="n">
        <v>0</v>
      </c>
      <c r="R196" s="5" t="inlineStr">
        <is>
          <t>114-2023-10-31</t>
        </is>
      </c>
    </row>
    <row r="197">
      <c r="A197" s="21" t="n">
        <v>114</v>
      </c>
      <c r="B197" s="5" t="inlineStr">
        <is>
          <t>Nivel de Satisfacción Servicios Prestados</t>
        </is>
      </c>
      <c r="C197" s="5" t="inlineStr">
        <is>
          <t>Gestión de la tecnología e innovación digital</t>
        </is>
      </c>
      <c r="D197" s="5" t="inlineStr">
        <is>
          <t>Anual</t>
        </is>
      </c>
      <c r="E197" s="5" t="inlineStr">
        <is>
          <t>Positivo</t>
        </is>
      </c>
      <c r="F197" s="106" t="n">
        <v>45596</v>
      </c>
      <c r="G197" s="5" t="n">
        <v>2024</v>
      </c>
      <c r="H197" s="5" t="inlineStr">
        <is>
          <t>Octubre</t>
        </is>
      </c>
      <c r="I197" s="6" t="inlineStr">
        <is>
          <t>2024-2</t>
        </is>
      </c>
      <c r="J197" s="5" t="n">
        <v>80</v>
      </c>
      <c r="K197" s="40" t="n">
        <v>81</v>
      </c>
      <c r="L197" s="14">
        <f>IFERROR(IF(OR(J197=0,K197=""),"",IF(E197="Positivo",MIN(MAX(K197/J197,0),1.3),MIN(MAX(J197/K197,0),1.3))),"") </f>
        <v/>
      </c>
      <c r="M197" s="14">
        <f>IFERROR(IF(OR(J197=0,K197=""),"",IF(E197="Positivo",MAX(K197/J197,0),MAX(J197/K197,0))),"") </f>
        <v/>
      </c>
      <c r="N197" s="5" t="inlineStr">
        <is>
          <t>%</t>
        </is>
      </c>
      <c r="O197" s="5" t="inlineStr">
        <is>
          <t>%</t>
        </is>
      </c>
      <c r="P197" s="15" t="n">
        <v>0</v>
      </c>
      <c r="Q197" s="15" t="n">
        <v>0</v>
      </c>
      <c r="R197" s="5" t="inlineStr">
        <is>
          <t>114-2024-10-31</t>
        </is>
      </c>
    </row>
    <row r="198">
      <c r="A198" s="21" t="n">
        <v>114</v>
      </c>
      <c r="B198" s="5" t="inlineStr">
        <is>
          <t>Nivel de Satisfacción Servicios Prestados</t>
        </is>
      </c>
      <c r="C198" s="5" t="inlineStr">
        <is>
          <t>GESTIÓN DE LA TECNOLOGÍA E INNOVACIÓN DIGITAL</t>
        </is>
      </c>
      <c r="D198" s="5" t="inlineStr">
        <is>
          <t>Anual</t>
        </is>
      </c>
      <c r="E198" s="5" t="inlineStr">
        <is>
          <t>Positivo</t>
        </is>
      </c>
      <c r="F198" s="107" t="n">
        <v>45961</v>
      </c>
      <c r="G198" s="5" t="n">
        <v>2025</v>
      </c>
      <c r="H198" s="5" t="inlineStr">
        <is>
          <t>Octubre</t>
        </is>
      </c>
      <c r="I198" s="6" t="inlineStr">
        <is>
          <t>2025-2</t>
        </is>
      </c>
      <c r="J198" s="5" t="n">
        <v>80</v>
      </c>
      <c r="K198" s="40" t="n">
        <v>74</v>
      </c>
      <c r="L198" s="14">
        <f>IFERROR(IF(OR(J198=0,K198=""),"",IF(E198="Positivo",MIN(MAX(K198/J198,0),1.3),MIN(MAX(J198/K198,0),1.3))),"") </f>
        <v/>
      </c>
      <c r="M198" s="14">
        <f>IFERROR(IF(OR(J198=0,K198=""),"",IF(E198="Positivo",MAX(K198/J198,0),MAX(J198/K198,0))),"") </f>
        <v/>
      </c>
      <c r="N198" s="5" t="inlineStr">
        <is>
          <t>%</t>
        </is>
      </c>
      <c r="O198" s="5" t="inlineStr">
        <is>
          <t>%</t>
        </is>
      </c>
      <c r="P198" s="15" t="n">
        <v>0</v>
      </c>
      <c r="Q198" s="15" t="n">
        <v>0</v>
      </c>
      <c r="R198" s="5" t="inlineStr">
        <is>
          <t>114-2025-10-31</t>
        </is>
      </c>
    </row>
    <row r="199">
      <c r="A199" s="21" t="n">
        <v>115</v>
      </c>
      <c r="B199" s="5" t="inlineStr">
        <is>
          <t>Nivel de Satisfacción Servicios Prestados</t>
        </is>
      </c>
      <c r="C199" s="5" t="inlineStr">
        <is>
          <t>GESTIÓN DE SEGURIDAD Y SALUD EN EL TRABAJO</t>
        </is>
      </c>
      <c r="D199" s="5" t="inlineStr">
        <is>
          <t>Anual</t>
        </is>
      </c>
      <c r="E199" s="5" t="inlineStr">
        <is>
          <t>Positivo</t>
        </is>
      </c>
      <c r="F199" s="107" t="n">
        <v>44865</v>
      </c>
      <c r="G199" s="5" t="n">
        <v>2022</v>
      </c>
      <c r="H199" s="5" t="inlineStr">
        <is>
          <t>Octubre</t>
        </is>
      </c>
      <c r="I199" s="6" t="inlineStr">
        <is>
          <t>2022-2</t>
        </is>
      </c>
      <c r="J199" s="5" t="n">
        <v>80</v>
      </c>
      <c r="K199" s="94" t="n">
        <v>90</v>
      </c>
      <c r="L199" s="14">
        <f>IFERROR(IF(OR(J199=0,K199=""),"",IF(E199="Positivo",MIN(MAX(K199/J199,0),1.3),MIN(MAX(J199/K199,0),1.3))),"") </f>
        <v/>
      </c>
      <c r="M199" s="14">
        <f>IFERROR(IF(OR(J199=0,K199=""),"",IF(E199="Positivo",MAX(K199/J199,0),MAX(J199/K199,0))),"") </f>
        <v/>
      </c>
      <c r="N199" s="5" t="inlineStr">
        <is>
          <t>%</t>
        </is>
      </c>
      <c r="O199" s="5" t="inlineStr">
        <is>
          <t>%</t>
        </is>
      </c>
      <c r="P199" s="15" t="n">
        <v>0</v>
      </c>
      <c r="Q199" s="15" t="n">
        <v>0</v>
      </c>
      <c r="R199" s="5" t="inlineStr">
        <is>
          <t>115-2022-10-31</t>
        </is>
      </c>
    </row>
    <row r="200">
      <c r="A200" s="21" t="n">
        <v>115</v>
      </c>
      <c r="B200" s="5" t="inlineStr">
        <is>
          <t>Nivel de Satisfacción Servicios Prestados</t>
        </is>
      </c>
      <c r="C200" s="5" t="inlineStr">
        <is>
          <t>Gestión de seguridad y salud en el trabajo</t>
        </is>
      </c>
      <c r="D200" s="5" t="inlineStr">
        <is>
          <t>Anual</t>
        </is>
      </c>
      <c r="E200" s="5" t="inlineStr">
        <is>
          <t>Positivo</t>
        </is>
      </c>
      <c r="F200" s="107" t="n">
        <v>45230</v>
      </c>
      <c r="G200" s="5" t="n">
        <v>2023</v>
      </c>
      <c r="H200" s="5" t="inlineStr">
        <is>
          <t>Octubre</t>
        </is>
      </c>
      <c r="I200" s="6" t="inlineStr">
        <is>
          <t>2023-2</t>
        </is>
      </c>
      <c r="J200" s="5" t="n">
        <v>80</v>
      </c>
      <c r="K200" s="94" t="n">
        <v>91</v>
      </c>
      <c r="L200" s="14">
        <f>IFERROR(IF(OR(J200=0,K200=""),"",IF(E200="Positivo",MIN(MAX(K200/J200,0),1.3),MIN(MAX(J200/K200,0),1.3))),"") </f>
        <v/>
      </c>
      <c r="M200" s="14">
        <f>IFERROR(IF(OR(J200=0,K200=""),"",IF(E200="Positivo",MAX(K200/J200,0),MAX(J200/K200,0))),"") </f>
        <v/>
      </c>
      <c r="N200" s="5" t="inlineStr">
        <is>
          <t>%</t>
        </is>
      </c>
      <c r="O200" s="5" t="inlineStr">
        <is>
          <t>%</t>
        </is>
      </c>
      <c r="P200" s="15" t="n">
        <v>0</v>
      </c>
      <c r="Q200" s="15" t="n">
        <v>0</v>
      </c>
      <c r="R200" s="5" t="inlineStr">
        <is>
          <t>115-2023-10-31</t>
        </is>
      </c>
    </row>
    <row r="201">
      <c r="A201" s="21" t="n">
        <v>115</v>
      </c>
      <c r="B201" s="5" t="inlineStr">
        <is>
          <t>Nivel de Satisfacción Servicios Prestados</t>
        </is>
      </c>
      <c r="C201" s="5" t="inlineStr">
        <is>
          <t>GESTIÓN DE SEGURIDAD Y SALUD EN EL TRABAJO</t>
        </is>
      </c>
      <c r="D201" s="5" t="inlineStr">
        <is>
          <t>Anual</t>
        </is>
      </c>
      <c r="E201" s="5" t="inlineStr">
        <is>
          <t>Positivo</t>
        </is>
      </c>
      <c r="F201" s="107" t="n">
        <v>45291</v>
      </c>
      <c r="G201" s="5" t="n">
        <v>2023</v>
      </c>
      <c r="H201" s="5" t="inlineStr">
        <is>
          <t>Diciembre</t>
        </is>
      </c>
      <c r="I201" s="6" t="inlineStr">
        <is>
          <t>2023-2</t>
        </is>
      </c>
      <c r="J201" s="5" t="n">
        <v>80</v>
      </c>
      <c r="K201" s="40" t="n">
        <v>90.7894054838542</v>
      </c>
      <c r="L201" s="14">
        <f>IFERROR(IF(OR(J201=0,K201=""),"",IF(E201="Positivo",MIN(MAX(K201/J201,0),1.3),MIN(MAX(J201/K201,0),1.3))),"") </f>
        <v/>
      </c>
      <c r="M201" s="14">
        <f>IFERROR(IF(OR(J201=0,K201=""),"",IF(E201="Positivo",MAX(K201/J201,0),MAX(J201/K201,0))),"") </f>
        <v/>
      </c>
      <c r="N201" s="5" t="inlineStr">
        <is>
          <t>%</t>
        </is>
      </c>
      <c r="O201" s="5" t="inlineStr">
        <is>
          <t>%</t>
        </is>
      </c>
      <c r="P201" s="15" t="n">
        <v>0</v>
      </c>
      <c r="Q201" s="15" t="n">
        <v>0</v>
      </c>
      <c r="R201" s="5" t="inlineStr">
        <is>
          <t>115-2023-12-31</t>
        </is>
      </c>
    </row>
    <row r="202">
      <c r="A202" s="21" t="n">
        <v>115</v>
      </c>
      <c r="B202" s="5" t="inlineStr">
        <is>
          <t>Nivel de Satisfacción Servicios Prestados</t>
        </is>
      </c>
      <c r="C202" s="5" t="inlineStr">
        <is>
          <t>GESTIÓN DE SEGURIDAD Y SALUD EN EL TRABAJO</t>
        </is>
      </c>
      <c r="D202" s="5" t="inlineStr">
        <is>
          <t>Anual</t>
        </is>
      </c>
      <c r="E202" s="5" t="inlineStr">
        <is>
          <t>Positivo</t>
        </is>
      </c>
      <c r="F202" s="107" t="n">
        <v>45596</v>
      </c>
      <c r="G202" s="5" t="n">
        <v>2024</v>
      </c>
      <c r="H202" s="5" t="inlineStr">
        <is>
          <t>Octubre</t>
        </is>
      </c>
      <c r="I202" s="6" t="inlineStr">
        <is>
          <t>2024-2</t>
        </is>
      </c>
      <c r="J202" s="5" t="n">
        <v>80</v>
      </c>
      <c r="K202" s="94" t="n">
        <v>90</v>
      </c>
      <c r="L202" s="14">
        <f>IFERROR(IF(OR(J202=0,K202=""),"",IF(E202="Positivo",MIN(MAX(K202/J202,0),1.3),MIN(MAX(J202/K202,0),1.3))),"") </f>
        <v/>
      </c>
      <c r="M202" s="14">
        <f>IFERROR(IF(OR(J202=0,K202=""),"",IF(E202="Positivo",MAX(K202/J202,0),MAX(J202/K202,0))),"") </f>
        <v/>
      </c>
      <c r="N202" s="5" t="inlineStr">
        <is>
          <t>%</t>
        </is>
      </c>
      <c r="O202" s="5" t="inlineStr">
        <is>
          <t>%</t>
        </is>
      </c>
      <c r="P202" s="15" t="n">
        <v>0</v>
      </c>
      <c r="Q202" s="15" t="n">
        <v>0</v>
      </c>
      <c r="R202" s="5" t="inlineStr">
        <is>
          <t>115-2024-10-31</t>
        </is>
      </c>
    </row>
    <row r="203">
      <c r="A203" s="21" t="n">
        <v>115</v>
      </c>
      <c r="B203" s="5" t="inlineStr">
        <is>
          <t>Nivel de Satisfacción Servicios Prestados</t>
        </is>
      </c>
      <c r="C203" s="5" t="inlineStr">
        <is>
          <t>GESTIÓN DE SEGURIDAD Y SALUD EN EL TRABAJO</t>
        </is>
      </c>
      <c r="D203" s="5" t="inlineStr">
        <is>
          <t>Anual</t>
        </is>
      </c>
      <c r="E203" s="5" t="inlineStr">
        <is>
          <t>Positivo</t>
        </is>
      </c>
      <c r="F203" s="107" t="n">
        <v>45961</v>
      </c>
      <c r="G203" s="5" t="n">
        <v>2025</v>
      </c>
      <c r="H203" s="5" t="inlineStr">
        <is>
          <t>Octubre</t>
        </is>
      </c>
      <c r="I203" s="6" t="inlineStr">
        <is>
          <t>2025-2</t>
        </is>
      </c>
      <c r="J203" s="5" t="n">
        <v>80</v>
      </c>
      <c r="K203" s="94" t="n">
        <v>89</v>
      </c>
      <c r="L203" s="14">
        <f>IFERROR(IF(OR(J203=0,K203=""),"",IF(E203="Positivo",MIN(MAX(K203/J203,0),1.3),MIN(MAX(J203/K203,0),1.3))),"") </f>
        <v/>
      </c>
      <c r="M203" s="14">
        <f>IFERROR(IF(OR(J203=0,K203=""),"",IF(E203="Positivo",MAX(K203/J203,0),MAX(J203/K203,0))),"") </f>
        <v/>
      </c>
      <c r="N203" s="5" t="inlineStr">
        <is>
          <t>%</t>
        </is>
      </c>
      <c r="O203" s="5" t="inlineStr">
        <is>
          <t>%</t>
        </is>
      </c>
      <c r="P203" s="15" t="n">
        <v>0</v>
      </c>
      <c r="Q203" s="15" t="n">
        <v>0</v>
      </c>
      <c r="R203" s="5" t="inlineStr">
        <is>
          <t>115-2025-10-31</t>
        </is>
      </c>
    </row>
    <row r="204">
      <c r="A204" s="21" t="n">
        <v>116</v>
      </c>
      <c r="B204" s="5" t="inlineStr">
        <is>
          <t>Nivel de Satisfacción Servicios Prestados</t>
        </is>
      </c>
      <c r="C204" s="5" t="inlineStr">
        <is>
          <t>AUDITORÍA INTERNA</t>
        </is>
      </c>
      <c r="D204" s="5" t="inlineStr">
        <is>
          <t>Bimestral</t>
        </is>
      </c>
      <c r="E204" s="5" t="inlineStr">
        <is>
          <t>Positivo</t>
        </is>
      </c>
      <c r="F204" s="107" t="n">
        <v>45046</v>
      </c>
      <c r="G204" s="5" t="n">
        <v>2023</v>
      </c>
      <c r="H204" s="5" t="inlineStr">
        <is>
          <t>Abril</t>
        </is>
      </c>
      <c r="I204" s="6" t="inlineStr">
        <is>
          <t>2023-1</t>
        </is>
      </c>
      <c r="J204" s="5" t="n">
        <v>80</v>
      </c>
      <c r="K204" s="40" t="n">
        <v>83</v>
      </c>
      <c r="L204" s="14">
        <f>IFERROR(IF(OR(J204=0,K204=""),"",IF(E204="Positivo",MIN(MAX(K204/J204,0),1.3),MIN(MAX(J204/K204,0),1.3))),"") </f>
        <v/>
      </c>
      <c r="M204" s="14">
        <f>IFERROR(IF(OR(J204=0,K204=""),"",IF(E204="Positivo",MAX(K204/J204,0),MAX(J204/K204,0))),"") </f>
        <v/>
      </c>
      <c r="N204" s="5" t="inlineStr">
        <is>
          <t>%</t>
        </is>
      </c>
      <c r="O204" s="5" t="inlineStr">
        <is>
          <t>%</t>
        </is>
      </c>
      <c r="P204" s="15" t="n">
        <v>0</v>
      </c>
      <c r="Q204" s="15" t="n">
        <v>0</v>
      </c>
      <c r="R204" s="5" t="inlineStr">
        <is>
          <t>116-2023-04-30</t>
        </is>
      </c>
    </row>
    <row r="205">
      <c r="A205" s="26" t="n">
        <v>116</v>
      </c>
      <c r="B205" s="5" t="inlineStr">
        <is>
          <t>Nivel de Satisfacción Servicios Prestados</t>
        </is>
      </c>
      <c r="C205" s="5" t="inlineStr">
        <is>
          <t>AUDITORÍA INTERNA</t>
        </is>
      </c>
      <c r="D205" s="5" t="inlineStr">
        <is>
          <t>Bimestral</t>
        </is>
      </c>
      <c r="E205" s="5" t="inlineStr">
        <is>
          <t>Positivo</t>
        </is>
      </c>
      <c r="F205" s="107" t="n">
        <v>45107</v>
      </c>
      <c r="G205" s="5" t="n">
        <v>2023</v>
      </c>
      <c r="H205" s="5" t="inlineStr">
        <is>
          <t>Junio</t>
        </is>
      </c>
      <c r="I205" s="6" t="inlineStr">
        <is>
          <t>2023-1</t>
        </is>
      </c>
      <c r="J205" s="5" t="n">
        <v>80</v>
      </c>
      <c r="K205" s="94" t="n">
        <v>84</v>
      </c>
      <c r="L205" s="14">
        <f>IFERROR(IF(OR(J205=0,K205=""),"",IF(E205="Positivo",MIN(MAX(K205/J205,0),1.3),MIN(MAX(J205/K205,0),1.3))),"") </f>
        <v/>
      </c>
      <c r="M205" s="14">
        <f>IFERROR(IF(OR(J205=0,K205=""),"",IF(E205="Positivo",MAX(K205/J205,0),MAX(J205/K205,0))),"") </f>
        <v/>
      </c>
      <c r="N205" s="5" t="inlineStr">
        <is>
          <t>%</t>
        </is>
      </c>
      <c r="O205" s="5" t="inlineStr">
        <is>
          <t>%</t>
        </is>
      </c>
      <c r="P205" s="15" t="n">
        <v>0</v>
      </c>
      <c r="Q205" s="15" t="n">
        <v>0</v>
      </c>
      <c r="R205" s="5" t="inlineStr">
        <is>
          <t>116-2023-06-30</t>
        </is>
      </c>
    </row>
    <row r="206">
      <c r="A206" s="26" t="n">
        <v>116</v>
      </c>
      <c r="B206" s="5" t="inlineStr">
        <is>
          <t>Nivel de Satisfacción Servicios Prestados</t>
        </is>
      </c>
      <c r="C206" s="5" t="inlineStr">
        <is>
          <t>AUDITORÍA INTERNA</t>
        </is>
      </c>
      <c r="D206" s="5" t="inlineStr">
        <is>
          <t>Bimestral</t>
        </is>
      </c>
      <c r="E206" s="5" t="inlineStr">
        <is>
          <t>Positivo</t>
        </is>
      </c>
      <c r="F206" s="107" t="n">
        <v>45169</v>
      </c>
      <c r="G206" s="5" t="n">
        <v>2023</v>
      </c>
      <c r="H206" s="5" t="inlineStr">
        <is>
          <t>Agosto</t>
        </is>
      </c>
      <c r="I206" s="6" t="inlineStr">
        <is>
          <t>2023-2</t>
        </is>
      </c>
      <c r="J206" s="5" t="n">
        <v>80</v>
      </c>
      <c r="K206" s="40" t="n">
        <v>84</v>
      </c>
      <c r="L206" s="14">
        <f>IFERROR(IF(OR(J206=0,K206=""),"",IF(E206="Positivo",MIN(MAX(K206/J206,0),1.3),MIN(MAX(J206/K206,0),1.3))),"") </f>
        <v/>
      </c>
      <c r="M206" s="14">
        <f>IFERROR(IF(OR(J206=0,K206=""),"",IF(E206="Positivo",MAX(K206/J206,0),MAX(J206/K206,0))),"") </f>
        <v/>
      </c>
      <c r="N206" s="5" t="inlineStr">
        <is>
          <t>%</t>
        </is>
      </c>
      <c r="O206" s="5" t="inlineStr">
        <is>
          <t>%</t>
        </is>
      </c>
      <c r="P206" s="15" t="n">
        <v>0</v>
      </c>
      <c r="Q206" s="15" t="n">
        <v>0</v>
      </c>
      <c r="R206" s="5" t="inlineStr">
        <is>
          <t>116-2023-08-31</t>
        </is>
      </c>
    </row>
    <row r="207">
      <c r="A207" s="26" t="n">
        <v>116</v>
      </c>
      <c r="B207" s="5" t="inlineStr">
        <is>
          <t>Nivel de Satisfacción Servicios Prestados</t>
        </is>
      </c>
      <c r="C207" s="5" t="inlineStr">
        <is>
          <t>AUDITORÍA INTERNA</t>
        </is>
      </c>
      <c r="D207" s="5" t="inlineStr">
        <is>
          <t>Bimestral</t>
        </is>
      </c>
      <c r="E207" s="5" t="inlineStr">
        <is>
          <t>Positivo</t>
        </is>
      </c>
      <c r="F207" s="107" t="n">
        <v>45230</v>
      </c>
      <c r="G207" s="5" t="n">
        <v>2023</v>
      </c>
      <c r="H207" s="5" t="inlineStr">
        <is>
          <t>Octubre</t>
        </is>
      </c>
      <c r="I207" s="6" t="inlineStr">
        <is>
          <t>2023-2</t>
        </is>
      </c>
      <c r="J207" s="5" t="n">
        <v>80</v>
      </c>
      <c r="K207" s="40" t="n">
        <v>88</v>
      </c>
      <c r="L207" s="14">
        <f>IFERROR(IF(OR(J207=0,K207=""),"",IF(E207="Positivo",MIN(MAX(K207/J207,0),1.3),MIN(MAX(J207/K207,0),1.3))),"") </f>
        <v/>
      </c>
      <c r="M207" s="14">
        <f>IFERROR(IF(OR(J207=0,K207=""),"",IF(E207="Positivo",MAX(K207/J207,0),MAX(J207/K207,0))),"") </f>
        <v/>
      </c>
      <c r="N207" s="5" t="inlineStr">
        <is>
          <t>%</t>
        </is>
      </c>
      <c r="O207" s="5" t="inlineStr">
        <is>
          <t>%</t>
        </is>
      </c>
      <c r="P207" s="15" t="n">
        <v>0</v>
      </c>
      <c r="Q207" s="15" t="n">
        <v>0</v>
      </c>
      <c r="R207" s="5" t="inlineStr">
        <is>
          <t>116-2023-10-31</t>
        </is>
      </c>
    </row>
    <row r="208">
      <c r="A208" s="21" t="n">
        <v>116</v>
      </c>
      <c r="B208" s="5" t="inlineStr">
        <is>
          <t>Nivel de Satisfacción Servicios Prestados</t>
        </is>
      </c>
      <c r="C208" s="5" t="inlineStr">
        <is>
          <t>AUDITORÍA INTERNA</t>
        </is>
      </c>
      <c r="D208" s="5" t="inlineStr">
        <is>
          <t>Bimestral</t>
        </is>
      </c>
      <c r="E208" s="5" t="inlineStr">
        <is>
          <t>Positivo</t>
        </is>
      </c>
      <c r="F208" s="107" t="n">
        <v>45291</v>
      </c>
      <c r="G208" s="5" t="n">
        <v>2023</v>
      </c>
      <c r="H208" s="5" t="inlineStr">
        <is>
          <t>Diciembre</t>
        </is>
      </c>
      <c r="I208" s="6" t="inlineStr">
        <is>
          <t>2023-2</t>
        </is>
      </c>
      <c r="J208" s="5" t="n">
        <v>80</v>
      </c>
      <c r="K208" s="40" t="n">
        <v>88</v>
      </c>
      <c r="L208" s="14">
        <f>IFERROR(IF(OR(J208=0,K208=""),"",IF(E208="Positivo",MIN(MAX(K208/J208,0),1.3),MIN(MAX(J208/K208,0),1.3))),"") </f>
        <v/>
      </c>
      <c r="M208" s="14">
        <f>IFERROR(IF(OR(J208=0,K208=""),"",IF(E208="Positivo",MAX(K208/J208,0),MAX(J208/K208,0))),"") </f>
        <v/>
      </c>
      <c r="N208" s="5" t="inlineStr">
        <is>
          <t>%</t>
        </is>
      </c>
      <c r="O208" s="5" t="inlineStr">
        <is>
          <t>%</t>
        </is>
      </c>
      <c r="P208" s="15" t="n">
        <v>0</v>
      </c>
      <c r="Q208" s="15" t="n">
        <v>0</v>
      </c>
      <c r="R208" s="5" t="inlineStr">
        <is>
          <t>116-2023-12-31</t>
        </is>
      </c>
    </row>
    <row r="209">
      <c r="A209" s="21" t="n">
        <v>116</v>
      </c>
      <c r="B209" s="5" t="inlineStr">
        <is>
          <t>Nivel de Satisfacción Servicios Prestados</t>
        </is>
      </c>
      <c r="C209" s="5" t="inlineStr">
        <is>
          <t>AUDITORÍA INTERNA</t>
        </is>
      </c>
      <c r="D209" s="5" t="inlineStr">
        <is>
          <t>Anual</t>
        </is>
      </c>
      <c r="E209" s="5" t="inlineStr">
        <is>
          <t>Positivo</t>
        </is>
      </c>
      <c r="F209" s="107" t="n">
        <v>45473</v>
      </c>
      <c r="G209" s="5" t="n">
        <v>2024</v>
      </c>
      <c r="H209" s="5" t="inlineStr">
        <is>
          <t>Junio</t>
        </is>
      </c>
      <c r="I209" s="6" t="inlineStr">
        <is>
          <t>2024-1</t>
        </is>
      </c>
      <c r="J209" s="5" t="n">
        <v>80</v>
      </c>
      <c r="K209" s="10" t="n">
        <v>0</v>
      </c>
      <c r="L209" s="14">
        <f>IFERROR(IF(OR(J209=0,K209=""),"",IF(E209="Positivo",MIN(MAX(K209/J209,0),1.3),MIN(MAX(J209/K209,0),1.3))),"") </f>
        <v/>
      </c>
      <c r="M209" s="14">
        <f>IFERROR(IF(OR(J209=0,K209=""),"",IF(E209="Positivo",MAX(K209/J209,0),MAX(J209/K209,0))),"") </f>
        <v/>
      </c>
      <c r="N209" s="5" t="inlineStr">
        <is>
          <t>%</t>
        </is>
      </c>
      <c r="O209" s="5" t="inlineStr">
        <is>
          <t>%</t>
        </is>
      </c>
      <c r="P209" s="15" t="n">
        <v>0</v>
      </c>
      <c r="Q209" s="15" t="n">
        <v>0</v>
      </c>
      <c r="R209" s="5" t="inlineStr">
        <is>
          <t>116-2024-06-30</t>
        </is>
      </c>
    </row>
    <row r="210">
      <c r="A210" s="21" t="n">
        <v>116</v>
      </c>
      <c r="B210" s="5" t="inlineStr">
        <is>
          <t>Nivel de Satisfacción Servicios Prestados</t>
        </is>
      </c>
      <c r="C210" s="5" t="inlineStr">
        <is>
          <t>AUDITORÍA INTERNA</t>
        </is>
      </c>
      <c r="D210" s="5" t="inlineStr">
        <is>
          <t>Bimestral</t>
        </is>
      </c>
      <c r="E210" s="5" t="inlineStr">
        <is>
          <t>Positivo</t>
        </is>
      </c>
      <c r="F210" s="107" t="n">
        <v>45535</v>
      </c>
      <c r="G210" s="5" t="n">
        <v>2024</v>
      </c>
      <c r="H210" s="5" t="inlineStr">
        <is>
          <t>Agosto</t>
        </is>
      </c>
      <c r="I210" s="6" t="inlineStr">
        <is>
          <t>2024-2</t>
        </is>
      </c>
      <c r="J210" s="5" t="n">
        <v>80</v>
      </c>
      <c r="K210" s="40" t="n">
        <v>88</v>
      </c>
      <c r="L210" s="14">
        <f>IFERROR(IF(OR(J210=0,K210=""),"",IF(E210="Positivo",MIN(MAX(K210/J210,0),1.3),MIN(MAX(J210/K210,0),1.3))),"") </f>
        <v/>
      </c>
      <c r="M210" s="14">
        <f>IFERROR(IF(OR(J210=0,K210=""),"",IF(E210="Positivo",MAX(K210/J210,0),MAX(J210/K210,0))),"") </f>
        <v/>
      </c>
      <c r="N210" s="5" t="inlineStr">
        <is>
          <t>%</t>
        </is>
      </c>
      <c r="O210" s="5" t="inlineStr">
        <is>
          <t>%</t>
        </is>
      </c>
      <c r="P210" s="15" t="n">
        <v>0</v>
      </c>
      <c r="Q210" s="15" t="n">
        <v>0</v>
      </c>
      <c r="R210" s="5" t="inlineStr">
        <is>
          <t>116-2024-08-31</t>
        </is>
      </c>
    </row>
    <row r="211">
      <c r="A211" s="21" t="n">
        <v>116</v>
      </c>
      <c r="B211" s="5" t="inlineStr">
        <is>
          <t>Nivel de Satisfacción Servicios Prestados</t>
        </is>
      </c>
      <c r="C211" s="5" t="inlineStr">
        <is>
          <t>AUDITORÍA INTERNA</t>
        </is>
      </c>
      <c r="D211" s="5" t="inlineStr">
        <is>
          <t>Anual</t>
        </is>
      </c>
      <c r="E211" s="5" t="inlineStr">
        <is>
          <t>Positivo</t>
        </is>
      </c>
      <c r="F211" s="107" t="n">
        <v>45596</v>
      </c>
      <c r="G211" s="5" t="n">
        <v>2024</v>
      </c>
      <c r="H211" s="5" t="inlineStr">
        <is>
          <t>Octubre</t>
        </is>
      </c>
      <c r="I211" s="6" t="inlineStr">
        <is>
          <t>2024-2</t>
        </is>
      </c>
      <c r="J211" s="5" t="n">
        <v>80</v>
      </c>
      <c r="K211" s="40" t="n">
        <v>0</v>
      </c>
      <c r="L211" s="14">
        <f>IFERROR(IF(OR(J211=0,K211=""),"",IF(E211="Positivo",MIN(MAX(K211/J211,0),1.3),MIN(MAX(J211/K211,0),1.3))),"") </f>
        <v/>
      </c>
      <c r="M211" s="14">
        <f>IFERROR(IF(OR(J211=0,K211=""),"",IF(E211="Positivo",MAX(K211/J211,0),MAX(J211/K211,0))),"") </f>
        <v/>
      </c>
      <c r="N211" s="5" t="inlineStr">
        <is>
          <t>%</t>
        </is>
      </c>
      <c r="O211" s="5" t="inlineStr">
        <is>
          <t>%</t>
        </is>
      </c>
      <c r="P211" s="15" t="n">
        <v>0</v>
      </c>
      <c r="Q211" s="15" t="n">
        <v>0</v>
      </c>
      <c r="R211" s="5" t="inlineStr">
        <is>
          <t>116-2024-10-31</t>
        </is>
      </c>
    </row>
    <row r="212">
      <c r="A212" s="21" t="n">
        <v>116</v>
      </c>
      <c r="B212" s="5" t="inlineStr">
        <is>
          <t>Nivel de Satisfacción Servicios Prestados</t>
        </is>
      </c>
      <c r="C212" s="5" t="inlineStr">
        <is>
          <t>AUDITORÍA INTERNA</t>
        </is>
      </c>
      <c r="D212" s="5" t="inlineStr">
        <is>
          <t>Anual</t>
        </is>
      </c>
      <c r="E212" s="5" t="inlineStr">
        <is>
          <t>Positivo</t>
        </is>
      </c>
      <c r="F212" s="107" t="n">
        <v>45657</v>
      </c>
      <c r="G212" s="5" t="n">
        <v>2024</v>
      </c>
      <c r="H212" s="5" t="inlineStr">
        <is>
          <t>Diciembre</t>
        </is>
      </c>
      <c r="I212" s="6" t="inlineStr">
        <is>
          <t>2024-2</t>
        </is>
      </c>
      <c r="J212" s="5" t="n">
        <v>80</v>
      </c>
      <c r="K212" s="40" t="n">
        <v>88</v>
      </c>
      <c r="L212" s="14">
        <f>IFERROR(IF(OR(J212=0,K212=""),"",IF(E212="Positivo",MIN(MAX(K212/J212,0),1.3),MIN(MAX(J212/K212,0),1.3))),"") </f>
        <v/>
      </c>
      <c r="M212" s="14">
        <f>IFERROR(IF(OR(J212=0,K212=""),"",IF(E212="Positivo",MAX(K212/J212,0),MAX(J212/K212,0))),"") </f>
        <v/>
      </c>
      <c r="N212" s="5" t="inlineStr">
        <is>
          <t>%</t>
        </is>
      </c>
      <c r="O212" s="5" t="inlineStr">
        <is>
          <t>%</t>
        </is>
      </c>
      <c r="P212" s="15" t="n">
        <v>0</v>
      </c>
      <c r="Q212" s="15" t="n">
        <v>0</v>
      </c>
      <c r="R212" s="5" t="inlineStr">
        <is>
          <t>116-2024-12-31</t>
        </is>
      </c>
    </row>
    <row r="213">
      <c r="A213" s="21" t="n">
        <v>116</v>
      </c>
      <c r="B213" s="5" t="inlineStr">
        <is>
          <t>Nivel de Satisfacción Servicios Prestados</t>
        </is>
      </c>
      <c r="C213" s="5" t="inlineStr">
        <is>
          <t>AUDITORÍA INTERNA</t>
        </is>
      </c>
      <c r="D213" s="5" t="inlineStr">
        <is>
          <t>Anual</t>
        </is>
      </c>
      <c r="E213" s="5" t="inlineStr">
        <is>
          <t>Positivo</t>
        </is>
      </c>
      <c r="F213" s="107" t="n">
        <v>46022</v>
      </c>
      <c r="G213" s="5" t="n">
        <v>2025</v>
      </c>
      <c r="H213" s="5" t="inlineStr">
        <is>
          <t>Diciembre</t>
        </is>
      </c>
      <c r="I213" s="6" t="inlineStr">
        <is>
          <t>2025-2</t>
        </is>
      </c>
      <c r="J213" s="5" t="n">
        <v>80</v>
      </c>
      <c r="K213" s="40" t="n">
        <v>100</v>
      </c>
      <c r="L213" s="14">
        <f>IFERROR(IF(OR(J213=0,K213=""),"",IF(E213="Positivo",MIN(MAX(K213/J213,0),1.3),MIN(MAX(J213/K213,0),1.3))),"") </f>
        <v/>
      </c>
      <c r="M213" s="14">
        <f>IFERROR(IF(OR(J213=0,K213=""),"",IF(E213="Positivo",MAX(K213/J213,0),MAX(J213/K213,0))),"") </f>
        <v/>
      </c>
      <c r="N213" s="5" t="inlineStr">
        <is>
          <t>%</t>
        </is>
      </c>
      <c r="O213" s="5" t="inlineStr">
        <is>
          <t>%</t>
        </is>
      </c>
      <c r="P213" s="15" t="n">
        <v>0</v>
      </c>
      <c r="Q213" s="15" t="n">
        <v>0</v>
      </c>
      <c r="R213" s="5" t="inlineStr">
        <is>
          <t>116-2025-12-31</t>
        </is>
      </c>
    </row>
    <row r="214">
      <c r="A214" s="21" t="n">
        <v>117</v>
      </c>
      <c r="B214" s="5" t="inlineStr">
        <is>
          <t>Nivel de Satisfacción Servicios Prestados</t>
        </is>
      </c>
      <c r="C214" s="5" t="inlineStr">
        <is>
          <t>GESTIÓN AMBIENTAL</t>
        </is>
      </c>
      <c r="D214" s="5" t="inlineStr">
        <is>
          <t>Anual</t>
        </is>
      </c>
      <c r="E214" s="5" t="inlineStr">
        <is>
          <t>Positivo</t>
        </is>
      </c>
      <c r="F214" s="107" t="n">
        <v>44865</v>
      </c>
      <c r="G214" s="5" t="n">
        <v>2022</v>
      </c>
      <c r="H214" s="5" t="inlineStr">
        <is>
          <t>Octubre</t>
        </is>
      </c>
      <c r="I214" s="6" t="inlineStr">
        <is>
          <t>2022-2</t>
        </is>
      </c>
      <c r="J214" s="5" t="n">
        <v>80</v>
      </c>
      <c r="K214" s="40" t="n">
        <v>93</v>
      </c>
      <c r="L214" s="14">
        <f>IFERROR(IF(OR(J214=0,K214=""),"",IF(E214="Positivo",MIN(MAX(K214/J214,0),1.3),MIN(MAX(J214/K214,0),1.3))),"") </f>
        <v/>
      </c>
      <c r="M214" s="14">
        <f>IFERROR(IF(OR(J214=0,K214=""),"",IF(E214="Positivo",MAX(K214/J214,0),MAX(J214/K214,0))),"") </f>
        <v/>
      </c>
      <c r="N214" s="5" t="inlineStr">
        <is>
          <t>%</t>
        </is>
      </c>
      <c r="O214" s="5" t="inlineStr">
        <is>
          <t>%</t>
        </is>
      </c>
      <c r="P214" s="15" t="n">
        <v>0</v>
      </c>
      <c r="Q214" s="15" t="n">
        <v>0</v>
      </c>
      <c r="R214" s="5" t="inlineStr">
        <is>
          <t>117-2022-10-31</t>
        </is>
      </c>
    </row>
    <row r="215">
      <c r="A215" s="21" t="n">
        <v>117</v>
      </c>
      <c r="B215" s="5" t="inlineStr">
        <is>
          <t>Nivel de Satisfacción Servicios Prestados</t>
        </is>
      </c>
      <c r="C215" s="5" t="inlineStr">
        <is>
          <t>GESTIÓN AMBIENTAL</t>
        </is>
      </c>
      <c r="D215" s="5" t="inlineStr">
        <is>
          <t>Anual</t>
        </is>
      </c>
      <c r="E215" s="5" t="inlineStr">
        <is>
          <t>Positivo</t>
        </is>
      </c>
      <c r="F215" s="107" t="n">
        <v>45230</v>
      </c>
      <c r="G215" s="5" t="n">
        <v>2023</v>
      </c>
      <c r="H215" s="5" t="inlineStr">
        <is>
          <t>Octubre</t>
        </is>
      </c>
      <c r="I215" s="6" t="inlineStr">
        <is>
          <t>2023-2</t>
        </is>
      </c>
      <c r="J215" s="5" t="n">
        <v>80</v>
      </c>
      <c r="K215" s="40" t="n">
        <v>90</v>
      </c>
      <c r="L215" s="14">
        <f>IFERROR(IF(OR(J215=0,K215=""),"",IF(E215="Positivo",MIN(MAX(K215/J215,0),1.3),MIN(MAX(J215/K215,0),1.3))),"") </f>
        <v/>
      </c>
      <c r="M215" s="14">
        <f>IFERROR(IF(OR(J215=0,K215=""),"",IF(E215="Positivo",MAX(K215/J215,0),MAX(J215/K215,0))),"") </f>
        <v/>
      </c>
      <c r="N215" s="5" t="inlineStr">
        <is>
          <t>%</t>
        </is>
      </c>
      <c r="O215" s="5" t="inlineStr">
        <is>
          <t>%</t>
        </is>
      </c>
      <c r="P215" s="15" t="n">
        <v>0</v>
      </c>
      <c r="Q215" s="15" t="n">
        <v>0</v>
      </c>
      <c r="R215" s="5" t="inlineStr">
        <is>
          <t>117-2023-10-31</t>
        </is>
      </c>
    </row>
    <row r="216">
      <c r="A216" s="21" t="n">
        <v>117</v>
      </c>
      <c r="B216" s="5" t="inlineStr">
        <is>
          <t>Nivel de Satisfacción Servicios Prestados</t>
        </is>
      </c>
      <c r="C216" s="5" t="inlineStr">
        <is>
          <t>GESTIÓN AMBIENTAL</t>
        </is>
      </c>
      <c r="D216" s="5" t="inlineStr">
        <is>
          <t>Anual</t>
        </is>
      </c>
      <c r="E216" s="5" t="inlineStr">
        <is>
          <t>Positivo</t>
        </is>
      </c>
      <c r="F216" s="107" t="n">
        <v>45596</v>
      </c>
      <c r="G216" s="5" t="n">
        <v>2024</v>
      </c>
      <c r="H216" s="5" t="inlineStr">
        <is>
          <t>Octubre</t>
        </is>
      </c>
      <c r="I216" s="6" t="inlineStr">
        <is>
          <t>2024-2</t>
        </is>
      </c>
      <c r="J216" s="5" t="n">
        <v>80</v>
      </c>
      <c r="K216" s="40" t="n">
        <v>89</v>
      </c>
      <c r="L216" s="14">
        <f>IFERROR(IF(OR(J216=0,K216=""),"",IF(E216="Positivo",MIN(MAX(K216/J216,0),1.3),MIN(MAX(J216/K216,0),1.3))),"") </f>
        <v/>
      </c>
      <c r="M216" s="14">
        <f>IFERROR(IF(OR(J216=0,K216=""),"",IF(E216="Positivo",MAX(K216/J216,0),MAX(J216/K216,0))),"") </f>
        <v/>
      </c>
      <c r="N216" s="5" t="inlineStr">
        <is>
          <t>%</t>
        </is>
      </c>
      <c r="O216" s="5" t="inlineStr">
        <is>
          <t>%</t>
        </is>
      </c>
      <c r="P216" s="15" t="n">
        <v>0</v>
      </c>
      <c r="Q216" s="15" t="n">
        <v>0</v>
      </c>
      <c r="R216" s="5" t="inlineStr">
        <is>
          <t>117-2024-10-31</t>
        </is>
      </c>
    </row>
    <row r="217">
      <c r="A217" s="26" t="n">
        <v>117</v>
      </c>
      <c r="B217" s="5" t="inlineStr">
        <is>
          <t>Nivel de Satisfacción Servicios Prestados</t>
        </is>
      </c>
      <c r="C217" s="5" t="inlineStr">
        <is>
          <t>GESTIÓN AMBIENTAL</t>
        </is>
      </c>
      <c r="D217" s="5" t="inlineStr">
        <is>
          <t>Anual</t>
        </is>
      </c>
      <c r="E217" s="5" t="inlineStr">
        <is>
          <t>Positivo</t>
        </is>
      </c>
      <c r="F217" s="107" t="n">
        <v>45961</v>
      </c>
      <c r="G217" s="5" t="n">
        <v>2025</v>
      </c>
      <c r="H217" s="5" t="inlineStr">
        <is>
          <t>Octubre</t>
        </is>
      </c>
      <c r="I217" s="6" t="inlineStr">
        <is>
          <t>2025-2</t>
        </is>
      </c>
      <c r="J217" s="5" t="n">
        <v>80</v>
      </c>
      <c r="K217" s="40" t="n">
        <v>100</v>
      </c>
      <c r="L217" s="14">
        <f>IFERROR(IF(OR(J217=0,K217=""),"",IF(E217="Positivo",MIN(MAX(K217/J217,0),1.3),MIN(MAX(J217/K217,0),1.3))),"") </f>
        <v/>
      </c>
      <c r="M217" s="14">
        <f>IFERROR(IF(OR(J217=0,K217=""),"",IF(E217="Positivo",MAX(K217/J217,0),MAX(J217/K217,0))),"") </f>
        <v/>
      </c>
      <c r="N217" s="5" t="inlineStr">
        <is>
          <t>%</t>
        </is>
      </c>
      <c r="O217" s="5" t="inlineStr">
        <is>
          <t>%</t>
        </is>
      </c>
      <c r="P217" s="15" t="n">
        <v>0</v>
      </c>
      <c r="Q217" s="15" t="n">
        <v>0</v>
      </c>
      <c r="R217" s="5" t="inlineStr">
        <is>
          <t>117-2025-10-31</t>
        </is>
      </c>
    </row>
    <row r="218">
      <c r="A218" s="26" t="n">
        <v>118</v>
      </c>
      <c r="B218" s="5" t="inlineStr">
        <is>
          <t>Nivel de Satisfacción Servicios Prestados</t>
        </is>
      </c>
      <c r="C218" s="5" t="inlineStr">
        <is>
          <t>Gestión de Calidad</t>
        </is>
      </c>
      <c r="D218" s="5" t="inlineStr">
        <is>
          <t>Anual</t>
        </is>
      </c>
      <c r="E218" s="5" t="inlineStr">
        <is>
          <t>Positivo</t>
        </is>
      </c>
      <c r="F218" s="107" t="n">
        <v>44865</v>
      </c>
      <c r="G218" s="5" t="n">
        <v>2022</v>
      </c>
      <c r="H218" s="5" t="inlineStr">
        <is>
          <t>Octubre</t>
        </is>
      </c>
      <c r="I218" s="6" t="inlineStr">
        <is>
          <t>2022-2</t>
        </is>
      </c>
      <c r="J218" s="5" t="n">
        <v>80</v>
      </c>
      <c r="K218" s="40" t="n">
        <v>88</v>
      </c>
      <c r="L218" s="14">
        <f>IFERROR(IF(OR(J218=0,K218=""),"",IF(E218="Positivo",MIN(MAX(K218/J218,0),1.3),MIN(MAX(J218/K218,0),1.3))),"") </f>
        <v/>
      </c>
      <c r="M218" s="14">
        <f>IFERROR(IF(OR(J218=0,K218=""),"",IF(E218="Positivo",MAX(K218/J218,0),MAX(J218/K218,0))),"") </f>
        <v/>
      </c>
      <c r="N218" s="5" t="inlineStr">
        <is>
          <t>%</t>
        </is>
      </c>
      <c r="O218" s="5" t="inlineStr">
        <is>
          <t>%</t>
        </is>
      </c>
      <c r="P218" s="15" t="n">
        <v>0</v>
      </c>
      <c r="Q218" s="15" t="n">
        <v>0</v>
      </c>
      <c r="R218" s="5" t="inlineStr">
        <is>
          <t>118-2022-10-31</t>
        </is>
      </c>
    </row>
    <row r="219">
      <c r="A219" s="26" t="n">
        <v>118</v>
      </c>
      <c r="B219" s="5" t="inlineStr">
        <is>
          <t>Nivel de Satisfacción del sistema de gestión de calidad</t>
        </is>
      </c>
      <c r="C219" s="5" t="inlineStr">
        <is>
          <t>Gestión de calidad</t>
        </is>
      </c>
      <c r="D219" s="5" t="inlineStr">
        <is>
          <t>Anual</t>
        </is>
      </c>
      <c r="E219" s="5" t="inlineStr">
        <is>
          <t>Positivo</t>
        </is>
      </c>
      <c r="F219" s="107" t="n">
        <v>45230</v>
      </c>
      <c r="G219" s="5" t="n">
        <v>2023</v>
      </c>
      <c r="H219" s="5" t="inlineStr">
        <is>
          <t>Octubre</t>
        </is>
      </c>
      <c r="I219" s="6" t="inlineStr">
        <is>
          <t>2023-2</t>
        </is>
      </c>
      <c r="J219" s="5" t="n">
        <v>80</v>
      </c>
      <c r="K219" s="40" t="n">
        <v>94</v>
      </c>
      <c r="L219" s="14">
        <f>IFERROR(IF(OR(J219=0,K219=""),"",IF(E219="Positivo",MIN(MAX(K219/J219,0),1.3),MIN(MAX(J219/K219,0),1.3))),"") </f>
        <v/>
      </c>
      <c r="M219" s="14">
        <f>IFERROR(IF(OR(J219=0,K219=""),"",IF(E219="Positivo",MAX(K219/J219,0),MAX(J219/K219,0))),"") </f>
        <v/>
      </c>
      <c r="N219" s="5" t="inlineStr">
        <is>
          <t>%</t>
        </is>
      </c>
      <c r="O219" s="5" t="inlineStr">
        <is>
          <t>%</t>
        </is>
      </c>
      <c r="P219" s="15" t="n">
        <v>0</v>
      </c>
      <c r="Q219" s="15" t="n">
        <v>0</v>
      </c>
      <c r="R219" s="5" t="inlineStr">
        <is>
          <t>118-2023-10-31</t>
        </is>
      </c>
    </row>
    <row r="220">
      <c r="A220" s="21" t="n">
        <v>118</v>
      </c>
      <c r="B220" s="5" t="inlineStr">
        <is>
          <t>Nivel de Satisfacción Servicios Prestados</t>
        </is>
      </c>
      <c r="C220" s="5" t="inlineStr">
        <is>
          <t>Gestión de Calidad</t>
        </is>
      </c>
      <c r="D220" s="5" t="inlineStr">
        <is>
          <t>Anual</t>
        </is>
      </c>
      <c r="E220" s="5" t="inlineStr">
        <is>
          <t>Positivo</t>
        </is>
      </c>
      <c r="F220" s="107" t="n">
        <v>45291</v>
      </c>
      <c r="G220" s="5" t="n">
        <v>2023</v>
      </c>
      <c r="H220" s="5" t="inlineStr">
        <is>
          <t>Diciembre</t>
        </is>
      </c>
      <c r="I220" s="6" t="inlineStr">
        <is>
          <t>2023-2</t>
        </is>
      </c>
      <c r="J220" s="5" t="n">
        <v>80</v>
      </c>
      <c r="K220" s="94" t="n">
        <v>94.1385767790262</v>
      </c>
      <c r="L220" s="14">
        <f>IFERROR(IF(OR(J220=0,K220=""),"",IF(E220="Positivo",MIN(MAX(K220/J220,0),1.3),MIN(MAX(J220/K220,0),1.3))),"") </f>
        <v/>
      </c>
      <c r="M220" s="14">
        <f>IFERROR(IF(OR(J220=0,K220=""),"",IF(E220="Positivo",MAX(K220/J220,0),MAX(J220/K220,0))),"") </f>
        <v/>
      </c>
      <c r="N220" s="5" t="inlineStr">
        <is>
          <t>%</t>
        </is>
      </c>
      <c r="O220" s="11" t="inlineStr">
        <is>
          <t>%</t>
        </is>
      </c>
      <c r="P220" s="15" t="n">
        <v>0</v>
      </c>
      <c r="Q220" s="15" t="n">
        <v>0</v>
      </c>
      <c r="R220" s="5" t="inlineStr">
        <is>
          <t>118-2023-12-31</t>
        </is>
      </c>
    </row>
    <row r="221">
      <c r="A221" s="21" t="n">
        <v>118</v>
      </c>
      <c r="B221" s="5" t="inlineStr">
        <is>
          <t>Nivel de Satisfacción del sistema de gestión de calidad</t>
        </is>
      </c>
      <c r="C221" s="5" t="inlineStr">
        <is>
          <t>Gestión de calidad</t>
        </is>
      </c>
      <c r="D221" s="5" t="inlineStr">
        <is>
          <t>Anual</t>
        </is>
      </c>
      <c r="E221" s="5" t="inlineStr">
        <is>
          <t>Positivo</t>
        </is>
      </c>
      <c r="F221" s="106" t="n">
        <v>45596</v>
      </c>
      <c r="G221" s="5" t="n">
        <v>2024</v>
      </c>
      <c r="H221" s="5" t="inlineStr">
        <is>
          <t>Octubre</t>
        </is>
      </c>
      <c r="I221" s="6" t="inlineStr">
        <is>
          <t>2024-2</t>
        </is>
      </c>
      <c r="J221" s="5" t="n">
        <v>80</v>
      </c>
      <c r="K221" s="94" t="n">
        <v>86</v>
      </c>
      <c r="L221" s="14">
        <f>IFERROR(IF(OR(J221=0,K221=""),"",IF(E221="Positivo",MIN(MAX(K221/J221,0),1.3),MIN(MAX(J221/K221,0),1.3))),"") </f>
        <v/>
      </c>
      <c r="M221" s="14">
        <f>IFERROR(IF(OR(J221=0,K221=""),"",IF(E221="Positivo",MAX(K221/J221,0),MAX(J221/K221,0))),"") </f>
        <v/>
      </c>
      <c r="N221" s="5" t="inlineStr">
        <is>
          <t>%</t>
        </is>
      </c>
      <c r="O221" s="11" t="inlineStr">
        <is>
          <t>%</t>
        </is>
      </c>
      <c r="P221" s="15" t="n">
        <v>0</v>
      </c>
      <c r="Q221" s="15" t="n">
        <v>0</v>
      </c>
      <c r="R221" s="5" t="inlineStr">
        <is>
          <t>118-2024-10-31</t>
        </is>
      </c>
    </row>
    <row r="222">
      <c r="A222" s="21" t="n">
        <v>118</v>
      </c>
      <c r="B222" s="5" t="inlineStr">
        <is>
          <t>Nivel de Satisfacción del sistema de gestión de calidad</t>
        </is>
      </c>
      <c r="C222" s="5" t="inlineStr">
        <is>
          <t>Gestión de calidad</t>
        </is>
      </c>
      <c r="D222" s="5" t="inlineStr">
        <is>
          <t>Anual</t>
        </is>
      </c>
      <c r="E222" s="5" t="inlineStr">
        <is>
          <t>Positivo</t>
        </is>
      </c>
      <c r="F222" s="107" t="n">
        <v>45657</v>
      </c>
      <c r="G222" s="5" t="n">
        <v>2024</v>
      </c>
      <c r="H222" s="5" t="inlineStr">
        <is>
          <t>Diciembre</t>
        </is>
      </c>
      <c r="I222" s="6" t="inlineStr">
        <is>
          <t>2024-2</t>
        </is>
      </c>
      <c r="J222" s="5" t="n">
        <v>80</v>
      </c>
      <c r="K222" s="94" t="n">
        <v>86</v>
      </c>
      <c r="L222" s="14">
        <f>IFERROR(IF(OR(J222=0,K222=""),"",IF(E222="Positivo",MIN(MAX(K222/J222,0),1.3),MIN(MAX(J222/K222,0),1.3))),"") </f>
        <v/>
      </c>
      <c r="M222" s="14">
        <f>IFERROR(IF(OR(J222=0,K222=""),"",IF(E222="Positivo",MAX(K222/J222,0),MAX(J222/K222,0))),"") </f>
        <v/>
      </c>
      <c r="N222" s="5" t="inlineStr">
        <is>
          <t>%</t>
        </is>
      </c>
      <c r="O222" s="11" t="inlineStr">
        <is>
          <t>%</t>
        </is>
      </c>
      <c r="P222" s="15" t="n">
        <v>0</v>
      </c>
      <c r="Q222" s="15" t="n">
        <v>0</v>
      </c>
      <c r="R222" s="5" t="inlineStr">
        <is>
          <t>118-2024-12-31</t>
        </is>
      </c>
    </row>
    <row r="223">
      <c r="A223" s="21" t="n">
        <v>118</v>
      </c>
      <c r="B223" s="5" t="inlineStr">
        <is>
          <t>Nivel de Satisfacción del sistema de gestión de calidad</t>
        </is>
      </c>
      <c r="C223" s="5" t="inlineStr">
        <is>
          <t>Gestión de calidad</t>
        </is>
      </c>
      <c r="D223" s="5" t="inlineStr">
        <is>
          <t>Anual</t>
        </is>
      </c>
      <c r="E223" s="5" t="inlineStr">
        <is>
          <t>Positivo</t>
        </is>
      </c>
      <c r="F223" s="107" t="n">
        <v>45961</v>
      </c>
      <c r="G223" s="5" t="n">
        <v>2025</v>
      </c>
      <c r="H223" s="5" t="inlineStr">
        <is>
          <t>Octubre</t>
        </is>
      </c>
      <c r="I223" s="6" t="inlineStr">
        <is>
          <t>2025-2</t>
        </is>
      </c>
      <c r="J223" s="5" t="n">
        <v>80</v>
      </c>
      <c r="K223" s="94" t="n">
        <v>98</v>
      </c>
      <c r="L223" s="14">
        <f>IFERROR(IF(OR(J223=0,K223=""),"",IF(E223="Positivo",MIN(MAX(K223/J223,0),1.3),MIN(MAX(J223/K223,0),1.3))),"") </f>
        <v/>
      </c>
      <c r="M223" s="14">
        <f>IFERROR(IF(OR(J223=0,K223=""),"",IF(E223="Positivo",MAX(K223/J223,0),MAX(J223/K223,0))),"") </f>
        <v/>
      </c>
      <c r="N223" s="5" t="inlineStr">
        <is>
          <t>%</t>
        </is>
      </c>
      <c r="O223" s="5" t="inlineStr">
        <is>
          <t>%</t>
        </is>
      </c>
      <c r="P223" s="15" t="n">
        <v>0</v>
      </c>
      <c r="Q223" s="15" t="n">
        <v>0</v>
      </c>
      <c r="R223" s="5" t="inlineStr">
        <is>
          <t>118-2025-10-31</t>
        </is>
      </c>
    </row>
    <row r="224">
      <c r="A224" s="21" t="n">
        <v>121</v>
      </c>
      <c r="B224" s="5" t="inlineStr">
        <is>
          <t>Ejecución presupuestal de la nómina acumulada</t>
        </is>
      </c>
      <c r="C224" s="5" t="inlineStr">
        <is>
          <t>GESTIÓN Y DESARROLLO DEL TALENTO HUMANO</t>
        </is>
      </c>
      <c r="D224" s="5" t="inlineStr">
        <is>
          <t>Mensual</t>
        </is>
      </c>
      <c r="E224" s="5" t="inlineStr">
        <is>
          <t>Negativo</t>
        </is>
      </c>
      <c r="F224" s="107" t="n">
        <v>44592</v>
      </c>
      <c r="G224" s="5" t="n">
        <v>2022</v>
      </c>
      <c r="H224" s="5" t="inlineStr">
        <is>
          <t>Enero</t>
        </is>
      </c>
      <c r="I224" s="6" t="inlineStr">
        <is>
          <t>2022-1</t>
        </is>
      </c>
      <c r="J224" s="5" t="n">
        <v>100</v>
      </c>
      <c r="K224" s="94" t="n">
        <v>99.930127235874</v>
      </c>
      <c r="L224" s="14">
        <f>IFERROR(IF(OR(J224=0,K224=""),"",IF(E224="Positivo",MIN(MAX(K224/J224,0),1.3),MIN(MAX(J224/K224,0),1.3))),"") </f>
        <v/>
      </c>
      <c r="M224" s="14">
        <f>IFERROR(IF(OR(J224=0,K224=""),"",IF(E224="Positivo",MAX(K224/J224,0),MAX(J224/K224,0))),"") </f>
        <v/>
      </c>
      <c r="N224" s="5" t="inlineStr">
        <is>
          <t>$</t>
        </is>
      </c>
      <c r="O224" s="11" t="inlineStr">
        <is>
          <t>$</t>
        </is>
      </c>
      <c r="P224" s="15" t="n">
        <v>0</v>
      </c>
      <c r="Q224" s="15" t="n">
        <v>0</v>
      </c>
      <c r="R224" s="5" t="inlineStr">
        <is>
          <t>121-2022-01-31</t>
        </is>
      </c>
    </row>
    <row r="225">
      <c r="A225" s="21" t="n">
        <v>121</v>
      </c>
      <c r="B225" s="5" t="inlineStr">
        <is>
          <t>Ejecución presupuestal de la nómina acumulada</t>
        </is>
      </c>
      <c r="C225" s="5" t="inlineStr">
        <is>
          <t>GESTIÓN Y DESARROLLO DEL TALENTO HUMANO</t>
        </is>
      </c>
      <c r="D225" s="5" t="inlineStr">
        <is>
          <t>Mensual</t>
        </is>
      </c>
      <c r="E225" s="5" t="inlineStr">
        <is>
          <t>Negativo</t>
        </is>
      </c>
      <c r="F225" s="107" t="n">
        <v>44620</v>
      </c>
      <c r="G225" s="5" t="n">
        <v>2022</v>
      </c>
      <c r="H225" s="5" t="inlineStr">
        <is>
          <t>Febrero</t>
        </is>
      </c>
      <c r="I225" s="6" t="inlineStr">
        <is>
          <t>2022-1</t>
        </is>
      </c>
      <c r="J225" s="5" t="n">
        <v>100</v>
      </c>
      <c r="K225" s="94" t="n">
        <v>99.836200327347</v>
      </c>
      <c r="L225" s="14">
        <f>IFERROR(IF(OR(J225=0,K225=""),"",IF(E225="Positivo",MIN(MAX(K225/J225,0),1.3),MIN(MAX(J225/K225,0),1.3))),"") </f>
        <v/>
      </c>
      <c r="M225" s="14">
        <f>IFERROR(IF(OR(J225=0,K225=""),"",IF(E225="Positivo",MAX(K225/J225,0),MAX(J225/K225,0))),"") </f>
        <v/>
      </c>
      <c r="N225" s="5" t="inlineStr">
        <is>
          <t>$</t>
        </is>
      </c>
      <c r="O225" s="11" t="inlineStr">
        <is>
          <t>$</t>
        </is>
      </c>
      <c r="P225" s="15" t="n">
        <v>0</v>
      </c>
      <c r="Q225" s="15" t="n">
        <v>0</v>
      </c>
      <c r="R225" s="5" t="inlineStr">
        <is>
          <t>121-2022-02-28</t>
        </is>
      </c>
    </row>
    <row r="226">
      <c r="A226" s="21" t="n">
        <v>121</v>
      </c>
      <c r="B226" s="5" t="inlineStr">
        <is>
          <t>Ejecución presupuestal de la nómina acumulada</t>
        </is>
      </c>
      <c r="C226" s="5" t="inlineStr">
        <is>
          <t>GESTIÓN Y DESARROLLO DEL TALENTO HUMANO</t>
        </is>
      </c>
      <c r="D226" s="5" t="inlineStr">
        <is>
          <t>Mensual</t>
        </is>
      </c>
      <c r="E226" s="5" t="inlineStr">
        <is>
          <t>Negativo</t>
        </is>
      </c>
      <c r="F226" s="107" t="n">
        <v>44651</v>
      </c>
      <c r="G226" s="5" t="n">
        <v>2022</v>
      </c>
      <c r="H226" s="5" t="inlineStr">
        <is>
          <t>Marzo</t>
        </is>
      </c>
      <c r="I226" s="6" t="inlineStr">
        <is>
          <t>2022-1</t>
        </is>
      </c>
      <c r="J226" s="5" t="n">
        <v>100</v>
      </c>
      <c r="K226" s="94" t="n">
        <v>100.01054895053</v>
      </c>
      <c r="L226" s="14">
        <f>IFERROR(IF(OR(J226=0,K226=""),"",IF(E226="Positivo",MIN(MAX(K226/J226,0),1.3),MIN(MAX(J226/K226,0),1.3))),"") </f>
        <v/>
      </c>
      <c r="M226" s="14">
        <f>IFERROR(IF(OR(J226=0,K226=""),"",IF(E226="Positivo",MAX(K226/J226,0),MAX(J226/K226,0))),"") </f>
        <v/>
      </c>
      <c r="N226" s="5" t="inlineStr">
        <is>
          <t>$</t>
        </is>
      </c>
      <c r="O226" s="5" t="inlineStr">
        <is>
          <t>$</t>
        </is>
      </c>
      <c r="P226" s="15" t="n">
        <v>0</v>
      </c>
      <c r="Q226" s="15" t="n">
        <v>0</v>
      </c>
      <c r="R226" s="5" t="inlineStr">
        <is>
          <t>121-2022-03-31</t>
        </is>
      </c>
    </row>
    <row r="227">
      <c r="A227" s="21" t="n">
        <v>121</v>
      </c>
      <c r="B227" s="5" t="inlineStr">
        <is>
          <t>Ejecución presupuestal de la nómina acumulada</t>
        </is>
      </c>
      <c r="C227" s="5" t="inlineStr">
        <is>
          <t>GESTIÓN Y DESARROLLO DEL TALENTO HUMANO</t>
        </is>
      </c>
      <c r="D227" s="5" t="inlineStr">
        <is>
          <t>Mensual</t>
        </is>
      </c>
      <c r="E227" s="5" t="inlineStr">
        <is>
          <t>Negativo</t>
        </is>
      </c>
      <c r="F227" s="107" t="n">
        <v>44681</v>
      </c>
      <c r="G227" s="5" t="n">
        <v>2022</v>
      </c>
      <c r="H227" s="5" t="inlineStr">
        <is>
          <t>Abril</t>
        </is>
      </c>
      <c r="I227" s="6" t="inlineStr">
        <is>
          <t>2022-1</t>
        </is>
      </c>
      <c r="J227" s="5" t="n">
        <v>100</v>
      </c>
      <c r="K227" s="94" t="n">
        <v>99.44290583621201</v>
      </c>
      <c r="L227" s="14">
        <f>IFERROR(IF(OR(J227=0,K227=""),"",IF(E227="Positivo",MIN(MAX(K227/J227,0),1.3),MIN(MAX(J227/K227,0),1.3))),"") </f>
        <v/>
      </c>
      <c r="M227" s="14">
        <f>IFERROR(IF(OR(J227=0,K227=""),"",IF(E227="Positivo",MAX(K227/J227,0),MAX(J227/K227,0))),"") </f>
        <v/>
      </c>
      <c r="N227" s="5" t="inlineStr">
        <is>
          <t>$</t>
        </is>
      </c>
      <c r="O227" s="5" t="inlineStr">
        <is>
          <t>$</t>
        </is>
      </c>
      <c r="P227" s="15" t="n">
        <v>0</v>
      </c>
      <c r="Q227" s="15" t="n">
        <v>0</v>
      </c>
      <c r="R227" s="5" t="inlineStr">
        <is>
          <t>121-2022-04-30</t>
        </is>
      </c>
    </row>
    <row r="228">
      <c r="A228" s="21" t="n">
        <v>121</v>
      </c>
      <c r="B228" s="5" t="inlineStr">
        <is>
          <t>Ejecución presupuestal de la nómina acumulada</t>
        </is>
      </c>
      <c r="C228" s="5" t="inlineStr">
        <is>
          <t>GESTIÓN Y DESARROLLO DEL TALENTO HUMANO</t>
        </is>
      </c>
      <c r="D228" s="5" t="inlineStr">
        <is>
          <t>Mensual</t>
        </is>
      </c>
      <c r="E228" s="5" t="inlineStr">
        <is>
          <t>Negativo</t>
        </is>
      </c>
      <c r="F228" s="107" t="n">
        <v>44712</v>
      </c>
      <c r="G228" s="5" t="n">
        <v>2022</v>
      </c>
      <c r="H228" s="5" t="inlineStr">
        <is>
          <t>Mayo</t>
        </is>
      </c>
      <c r="I228" s="6" t="inlineStr">
        <is>
          <t>2022-1</t>
        </is>
      </c>
      <c r="J228" s="5" t="n">
        <v>100</v>
      </c>
      <c r="K228" s="94" t="n">
        <v>99.527558823104</v>
      </c>
      <c r="L228" s="14">
        <f>IFERROR(IF(OR(J228=0,K228=""),"",IF(E228="Positivo",MIN(MAX(K228/J228,0),1.3),MIN(MAX(J228/K228,0),1.3))),"") </f>
        <v/>
      </c>
      <c r="M228" s="14">
        <f>IFERROR(IF(OR(J228=0,K228=""),"",IF(E228="Positivo",MAX(K228/J228,0),MAX(J228/K228,0))),"") </f>
        <v/>
      </c>
      <c r="N228" s="5" t="inlineStr">
        <is>
          <t>$</t>
        </is>
      </c>
      <c r="O228" s="11" t="inlineStr">
        <is>
          <t>$</t>
        </is>
      </c>
      <c r="P228" s="15" t="n">
        <v>0</v>
      </c>
      <c r="Q228" s="15" t="n">
        <v>0</v>
      </c>
      <c r="R228" s="5" t="inlineStr">
        <is>
          <t>121-2022-05-31</t>
        </is>
      </c>
    </row>
    <row r="229">
      <c r="A229" s="26" t="n">
        <v>121</v>
      </c>
      <c r="B229" s="5" t="inlineStr">
        <is>
          <t>Ejecución presupuestal de la nómina acumulada</t>
        </is>
      </c>
      <c r="C229" s="5" t="inlineStr">
        <is>
          <t>GESTIÓN Y DESARROLLO DEL TALENTO HUMANO</t>
        </is>
      </c>
      <c r="D229" s="5" t="inlineStr">
        <is>
          <t>Mensual</t>
        </is>
      </c>
      <c r="E229" s="5" t="inlineStr">
        <is>
          <t>Negativo</t>
        </is>
      </c>
      <c r="F229" s="107" t="n">
        <v>44742</v>
      </c>
      <c r="G229" s="5" t="n">
        <v>2022</v>
      </c>
      <c r="H229" s="5" t="inlineStr">
        <is>
          <t>Junio</t>
        </is>
      </c>
      <c r="I229" s="6" t="inlineStr">
        <is>
          <t>2022-1</t>
        </is>
      </c>
      <c r="J229" s="5" t="n">
        <v>100</v>
      </c>
      <c r="K229" s="94" t="n">
        <v>100.01207569838</v>
      </c>
      <c r="L229" s="14">
        <f>IFERROR(IF(OR(J229=0,K229=""),"",IF(E229="Positivo",MIN(MAX(K229/J229,0),1.3),MIN(MAX(J229/K229,0),1.3))),"") </f>
        <v/>
      </c>
      <c r="M229" s="14">
        <f>IFERROR(IF(OR(J229=0,K229=""),"",IF(E229="Positivo",MAX(K229/J229,0),MAX(J229/K229,0))),"") </f>
        <v/>
      </c>
      <c r="N229" s="5" t="inlineStr">
        <is>
          <t>$</t>
        </is>
      </c>
      <c r="O229" s="5" t="inlineStr">
        <is>
          <t>$</t>
        </is>
      </c>
      <c r="P229" s="15" t="n">
        <v>0</v>
      </c>
      <c r="Q229" s="15" t="n">
        <v>0</v>
      </c>
      <c r="R229" s="5" t="inlineStr">
        <is>
          <t>121-2022-06-30</t>
        </is>
      </c>
    </row>
    <row r="230">
      <c r="A230" s="21" t="n">
        <v>121</v>
      </c>
      <c r="B230" s="5" t="inlineStr">
        <is>
          <t>Ejecución presupuestal de la nómina acumulada</t>
        </is>
      </c>
      <c r="C230" s="5" t="inlineStr">
        <is>
          <t>GESTIÓN Y DESARROLLO DEL TALENTO HUMANO</t>
        </is>
      </c>
      <c r="D230" s="5" t="inlineStr">
        <is>
          <t>Mensual</t>
        </is>
      </c>
      <c r="E230" s="5" t="inlineStr">
        <is>
          <t>Negativo</t>
        </is>
      </c>
      <c r="F230" s="107" t="n">
        <v>44773</v>
      </c>
      <c r="G230" s="5" t="n">
        <v>2022</v>
      </c>
      <c r="H230" s="5" t="inlineStr">
        <is>
          <t>Julio</t>
        </is>
      </c>
      <c r="I230" s="6" t="inlineStr">
        <is>
          <t>2022-2</t>
        </is>
      </c>
      <c r="J230" s="5" t="n">
        <v>100</v>
      </c>
      <c r="K230" s="94" t="n">
        <v>100.06964761423</v>
      </c>
      <c r="L230" s="14">
        <f>IFERROR(IF(OR(J230=0,K230=""),"",IF(E230="Positivo",MIN(MAX(K230/J230,0),1.3),MIN(MAX(J230/K230,0),1.3))),"") </f>
        <v/>
      </c>
      <c r="M230" s="14">
        <f>IFERROR(IF(OR(J230=0,K230=""),"",IF(E230="Positivo",MAX(K230/J230,0),MAX(J230/K230,0))),"") </f>
        <v/>
      </c>
      <c r="N230" s="5" t="inlineStr">
        <is>
          <t>$</t>
        </is>
      </c>
      <c r="O230" s="5" t="inlineStr">
        <is>
          <t>$</t>
        </is>
      </c>
      <c r="P230" s="15" t="n">
        <v>0</v>
      </c>
      <c r="Q230" s="15" t="n">
        <v>0</v>
      </c>
      <c r="R230" s="5" t="inlineStr">
        <is>
          <t>121-2022-07-31</t>
        </is>
      </c>
    </row>
    <row r="231">
      <c r="A231" s="21" t="n">
        <v>121</v>
      </c>
      <c r="B231" s="5" t="inlineStr">
        <is>
          <t>Ejecución presupuestal de la nómina acumulada</t>
        </is>
      </c>
      <c r="C231" s="5" t="inlineStr">
        <is>
          <t>GESTIÓN Y DESARROLLO DEL TALENTO HUMANO</t>
        </is>
      </c>
      <c r="D231" s="5" t="inlineStr">
        <is>
          <t>Mensual</t>
        </is>
      </c>
      <c r="E231" s="5" t="inlineStr">
        <is>
          <t>Negativo</t>
        </is>
      </c>
      <c r="F231" s="107" t="n">
        <v>44804</v>
      </c>
      <c r="G231" s="5" t="n">
        <v>2022</v>
      </c>
      <c r="H231" s="5" t="inlineStr">
        <is>
          <t>Agosto</t>
        </is>
      </c>
      <c r="I231" s="6" t="inlineStr">
        <is>
          <t>2022-2</t>
        </is>
      </c>
      <c r="J231" s="5" t="n">
        <v>102</v>
      </c>
      <c r="K231" s="94" t="n">
        <v>100.56593556404</v>
      </c>
      <c r="L231" s="14">
        <f>IFERROR(IF(OR(J231=0,K231=""),"",IF(E231="Positivo",MIN(MAX(K231/J231,0),1.3),MIN(MAX(J231/K231,0),1.3))),"") </f>
        <v/>
      </c>
      <c r="M231" s="14">
        <f>IFERROR(IF(OR(J231=0,K231=""),"",IF(E231="Positivo",MAX(K231/J231,0),MAX(J231/K231,0))),"") </f>
        <v/>
      </c>
      <c r="N231" s="5" t="inlineStr">
        <is>
          <t>$</t>
        </is>
      </c>
      <c r="O231" s="5" t="inlineStr">
        <is>
          <t>$</t>
        </is>
      </c>
      <c r="P231" s="15" t="n">
        <v>0</v>
      </c>
      <c r="Q231" s="15" t="n">
        <v>0</v>
      </c>
      <c r="R231" s="5" t="inlineStr">
        <is>
          <t>121-2022-08-31</t>
        </is>
      </c>
    </row>
    <row r="232">
      <c r="A232" s="21" t="n">
        <v>121</v>
      </c>
      <c r="B232" s="5" t="inlineStr">
        <is>
          <t>Ejecución presupuestal de la nómina acumulada</t>
        </is>
      </c>
      <c r="C232" s="5" t="inlineStr">
        <is>
          <t>GESTIÓN Y DESARROLLO DEL TALENTO HUMANO</t>
        </is>
      </c>
      <c r="D232" s="5" t="inlineStr">
        <is>
          <t>Mensual</t>
        </is>
      </c>
      <c r="E232" s="5" t="inlineStr">
        <is>
          <t>Negativo</t>
        </is>
      </c>
      <c r="F232" s="107" t="n">
        <v>44834</v>
      </c>
      <c r="G232" s="5" t="n">
        <v>2022</v>
      </c>
      <c r="H232" s="5" t="inlineStr">
        <is>
          <t>Septiembre</t>
        </is>
      </c>
      <c r="I232" s="6" t="inlineStr">
        <is>
          <t>2022-2</t>
        </is>
      </c>
      <c r="J232" s="5" t="n">
        <v>102</v>
      </c>
      <c r="K232" s="94" t="n">
        <v>100.37732729256</v>
      </c>
      <c r="L232" s="14">
        <f>IFERROR(IF(OR(J232=0,K232=""),"",IF(E232="Positivo",MIN(MAX(K232/J232,0),1.3),MIN(MAX(J232/K232,0),1.3))),"") </f>
        <v/>
      </c>
      <c r="M232" s="14">
        <f>IFERROR(IF(OR(J232=0,K232=""),"",IF(E232="Positivo",MAX(K232/J232,0),MAX(J232/K232,0))),"") </f>
        <v/>
      </c>
      <c r="N232" s="5" t="inlineStr">
        <is>
          <t>$</t>
        </is>
      </c>
      <c r="O232" s="11" t="inlineStr">
        <is>
          <t>$</t>
        </is>
      </c>
      <c r="P232" s="15" t="n">
        <v>0</v>
      </c>
      <c r="Q232" s="15" t="n">
        <v>0</v>
      </c>
      <c r="R232" s="5" t="inlineStr">
        <is>
          <t>121-2022-09-30</t>
        </is>
      </c>
    </row>
    <row r="233">
      <c r="A233" s="21" t="n">
        <v>121</v>
      </c>
      <c r="B233" s="5" t="inlineStr">
        <is>
          <t>Ejecución presupuestal de la nómina acumulada</t>
        </is>
      </c>
      <c r="C233" s="5" t="inlineStr">
        <is>
          <t>GESTIÓN Y DESARROLLO DEL TALENTO HUMANO</t>
        </is>
      </c>
      <c r="D233" s="5" t="inlineStr">
        <is>
          <t>Mensual</t>
        </is>
      </c>
      <c r="E233" s="5" t="inlineStr">
        <is>
          <t>Negativo</t>
        </is>
      </c>
      <c r="F233" s="106" t="n">
        <v>44865</v>
      </c>
      <c r="G233" s="5" t="n">
        <v>2022</v>
      </c>
      <c r="H233" s="5" t="inlineStr">
        <is>
          <t>Octubre</t>
        </is>
      </c>
      <c r="I233" s="6" t="inlineStr">
        <is>
          <t>2022-2</t>
        </is>
      </c>
      <c r="J233" s="5" t="n">
        <v>102</v>
      </c>
      <c r="K233" s="94" t="n">
        <v>101.60380995181</v>
      </c>
      <c r="L233" s="14">
        <f>IFERROR(IF(OR(J233=0,K233=""),"",IF(E233="Positivo",MIN(MAX(K233/J233,0),1.3),MIN(MAX(J233/K233,0),1.3))),"") </f>
        <v/>
      </c>
      <c r="M233" s="14">
        <f>IFERROR(IF(OR(J233=0,K233=""),"",IF(E233="Positivo",MAX(K233/J233,0),MAX(J233/K233,0))),"") </f>
        <v/>
      </c>
      <c r="N233" s="5" t="inlineStr">
        <is>
          <t>$</t>
        </is>
      </c>
      <c r="O233" s="11" t="inlineStr">
        <is>
          <t>$</t>
        </is>
      </c>
      <c r="P233" s="15" t="n">
        <v>0</v>
      </c>
      <c r="Q233" s="15" t="n">
        <v>0</v>
      </c>
      <c r="R233" s="5" t="inlineStr">
        <is>
          <t>121-2022-10-31</t>
        </is>
      </c>
    </row>
    <row r="234">
      <c r="A234" s="21" t="n">
        <v>121</v>
      </c>
      <c r="B234" s="5" t="inlineStr">
        <is>
          <t>Ejecución presupuestal de la nómina acumulada</t>
        </is>
      </c>
      <c r="C234" s="5" t="inlineStr">
        <is>
          <t>GESTIÓN Y DESARROLLO DEL TALENTO HUMANO</t>
        </is>
      </c>
      <c r="D234" s="5" t="inlineStr">
        <is>
          <t>Mensual</t>
        </is>
      </c>
      <c r="E234" s="5" t="inlineStr">
        <is>
          <t>Negativo</t>
        </is>
      </c>
      <c r="F234" s="107" t="n">
        <v>44895</v>
      </c>
      <c r="G234" s="5" t="n">
        <v>2022</v>
      </c>
      <c r="H234" s="5" t="inlineStr">
        <is>
          <t>Noviembre</t>
        </is>
      </c>
      <c r="I234" s="6" t="inlineStr">
        <is>
          <t>2022-2</t>
        </is>
      </c>
      <c r="J234" s="5" t="n">
        <v>102</v>
      </c>
      <c r="K234" s="94" t="n">
        <v>101.72418864889</v>
      </c>
      <c r="L234" s="14">
        <f>IFERROR(IF(OR(J234=0,K234=""),"",IF(E234="Positivo",MIN(MAX(K234/J234,0),1.3),MIN(MAX(J234/K234,0),1.3))),"") </f>
        <v/>
      </c>
      <c r="M234" s="14">
        <f>IFERROR(IF(OR(J234=0,K234=""),"",IF(E234="Positivo",MAX(K234/J234,0),MAX(J234/K234,0))),"") </f>
        <v/>
      </c>
      <c r="N234" s="5" t="inlineStr">
        <is>
          <t>$</t>
        </is>
      </c>
      <c r="O234" s="11" t="inlineStr">
        <is>
          <t>$</t>
        </is>
      </c>
      <c r="P234" s="15" t="n">
        <v>0</v>
      </c>
      <c r="Q234" s="15" t="n">
        <v>0</v>
      </c>
      <c r="R234" s="5" t="inlineStr">
        <is>
          <t>121-2022-11-30</t>
        </is>
      </c>
    </row>
    <row r="235">
      <c r="A235" s="21" t="n">
        <v>121</v>
      </c>
      <c r="B235" s="5" t="inlineStr">
        <is>
          <t>Ejecución presupuestal de la nómina acumulada</t>
        </is>
      </c>
      <c r="C235" s="5" t="inlineStr">
        <is>
          <t>GESTIÓN Y DESARROLLO DEL TALENTO HUMANO</t>
        </is>
      </c>
      <c r="D235" s="5" t="inlineStr">
        <is>
          <t>Mensual</t>
        </is>
      </c>
      <c r="E235" s="5" t="inlineStr">
        <is>
          <t>Negativo</t>
        </is>
      </c>
      <c r="F235" s="107" t="n">
        <v>44926</v>
      </c>
      <c r="G235" s="5" t="n">
        <v>2022</v>
      </c>
      <c r="H235" s="5" t="inlineStr">
        <is>
          <t>Diciembre</t>
        </is>
      </c>
      <c r="I235" s="6" t="inlineStr">
        <is>
          <t>2022-2</t>
        </is>
      </c>
      <c r="J235" s="5" t="n">
        <v>102</v>
      </c>
      <c r="K235" s="94" t="n">
        <v>99.868284606334</v>
      </c>
      <c r="L235" s="14">
        <f>IFERROR(IF(OR(J235=0,K235=""),"",IF(E235="Positivo",MIN(MAX(K235/J235,0),1.3),MIN(MAX(J235/K235,0),1.3))),"") </f>
        <v/>
      </c>
      <c r="M235" s="14">
        <f>IFERROR(IF(OR(J235=0,K235=""),"",IF(E235="Positivo",MAX(K235/J235,0),MAX(J235/K235,0))),"") </f>
        <v/>
      </c>
      <c r="N235" s="5" t="inlineStr">
        <is>
          <t>$</t>
        </is>
      </c>
      <c r="O235" s="5" t="inlineStr">
        <is>
          <t>$</t>
        </is>
      </c>
      <c r="P235" s="15" t="n">
        <v>0</v>
      </c>
      <c r="Q235" s="15" t="n">
        <v>0</v>
      </c>
      <c r="R235" s="5" t="inlineStr">
        <is>
          <t>121-2022-12-31</t>
        </is>
      </c>
    </row>
    <row r="236">
      <c r="A236" s="21" t="n">
        <v>121</v>
      </c>
      <c r="B236" s="5" t="inlineStr">
        <is>
          <t>Ejecución presupuestal de la nómina acumulada</t>
        </is>
      </c>
      <c r="C236" s="5" t="inlineStr">
        <is>
          <t>GESTIÓN Y DESARROLLO DEL TALENTO HUMANO</t>
        </is>
      </c>
      <c r="D236" s="5" t="inlineStr">
        <is>
          <t>Mensual</t>
        </is>
      </c>
      <c r="E236" s="5" t="inlineStr">
        <is>
          <t>Negativo</t>
        </is>
      </c>
      <c r="F236" s="107" t="n">
        <v>44957</v>
      </c>
      <c r="G236" s="5" t="n">
        <v>2023</v>
      </c>
      <c r="H236" s="5" t="inlineStr">
        <is>
          <t>Enero</t>
        </is>
      </c>
      <c r="I236" s="6" t="inlineStr">
        <is>
          <t>2023-1</t>
        </is>
      </c>
      <c r="J236" s="5" t="n">
        <v>102</v>
      </c>
      <c r="K236" s="94" t="n">
        <v>107.04104854011</v>
      </c>
      <c r="L236" s="14">
        <f>IFERROR(IF(OR(J236=0,K236=""),"",IF(E236="Positivo",MIN(MAX(K236/J236,0),1.3),MIN(MAX(J236/K236,0),1.3))),"") </f>
        <v/>
      </c>
      <c r="M236" s="14">
        <f>IFERROR(IF(OR(J236=0,K236=""),"",IF(E236="Positivo",MAX(K236/J236,0),MAX(J236/K236,0))),"") </f>
        <v/>
      </c>
      <c r="N236" s="5" t="inlineStr">
        <is>
          <t>$</t>
        </is>
      </c>
      <c r="O236" s="11" t="inlineStr">
        <is>
          <t>$</t>
        </is>
      </c>
      <c r="P236" s="15" t="n">
        <v>0</v>
      </c>
      <c r="Q236" s="15" t="n">
        <v>0</v>
      </c>
      <c r="R236" s="5" t="inlineStr">
        <is>
          <t>121-2023-01-31</t>
        </is>
      </c>
    </row>
    <row r="237">
      <c r="A237" s="21" t="n">
        <v>121</v>
      </c>
      <c r="B237" s="5" t="inlineStr">
        <is>
          <t>Ejecución presupuestal de la nómina acumulada</t>
        </is>
      </c>
      <c r="C237" s="5" t="inlineStr">
        <is>
          <t>GESTIÓN Y DESARROLLO DEL TALENTO HUMANO</t>
        </is>
      </c>
      <c r="D237" s="5" t="inlineStr">
        <is>
          <t>Mensual</t>
        </is>
      </c>
      <c r="E237" s="5" t="inlineStr">
        <is>
          <t>Negativo</t>
        </is>
      </c>
      <c r="F237" s="107" t="n">
        <v>44985</v>
      </c>
      <c r="G237" s="5" t="n">
        <v>2023</v>
      </c>
      <c r="H237" s="5" t="inlineStr">
        <is>
          <t>Febrero</t>
        </is>
      </c>
      <c r="I237" s="6" t="inlineStr">
        <is>
          <t>2023-1</t>
        </is>
      </c>
      <c r="J237" s="5" t="n">
        <v>102</v>
      </c>
      <c r="K237" s="94" t="n">
        <v>107.49236074846</v>
      </c>
      <c r="L237" s="14">
        <f>IFERROR(IF(OR(J237=0,K237=""),"",IF(E237="Positivo",MIN(MAX(K237/J237,0),1.3),MIN(MAX(J237/K237,0),1.3))),"") </f>
        <v/>
      </c>
      <c r="M237" s="14">
        <f>IFERROR(IF(OR(J237=0,K237=""),"",IF(E237="Positivo",MAX(K237/J237,0),MAX(J237/K237,0))),"") </f>
        <v/>
      </c>
      <c r="N237" s="5" t="inlineStr">
        <is>
          <t>$</t>
        </is>
      </c>
      <c r="O237" s="11" t="inlineStr">
        <is>
          <t>$</t>
        </is>
      </c>
      <c r="P237" s="15" t="n">
        <v>0</v>
      </c>
      <c r="Q237" s="15" t="n">
        <v>0</v>
      </c>
      <c r="R237" s="5" t="inlineStr">
        <is>
          <t>121-2023-02-28</t>
        </is>
      </c>
    </row>
    <row r="238">
      <c r="A238" s="21" t="n">
        <v>121</v>
      </c>
      <c r="B238" s="5" t="inlineStr">
        <is>
          <t>Ejecución presupuestal de la nómina acumulada</t>
        </is>
      </c>
      <c r="C238" s="5" t="inlineStr">
        <is>
          <t>GESTIÓN Y DESARROLLO DEL TALENTO HUMANO</t>
        </is>
      </c>
      <c r="D238" s="5" t="inlineStr">
        <is>
          <t>Mensual</t>
        </is>
      </c>
      <c r="E238" s="5" t="inlineStr">
        <is>
          <t>Negativo</t>
        </is>
      </c>
      <c r="F238" s="107" t="n">
        <v>45016</v>
      </c>
      <c r="G238" s="5" t="n">
        <v>2023</v>
      </c>
      <c r="H238" s="5" t="inlineStr">
        <is>
          <t>Marzo</t>
        </is>
      </c>
      <c r="I238" s="6" t="inlineStr">
        <is>
          <t>2023-1</t>
        </is>
      </c>
      <c r="J238" s="5" t="n">
        <v>102</v>
      </c>
      <c r="K238" s="94" t="n">
        <v>103.0366615056</v>
      </c>
      <c r="L238" s="14">
        <f>IFERROR(IF(OR(J238=0,K238=""),"",IF(E238="Positivo",MIN(MAX(K238/J238,0),1.3),MIN(MAX(J238/K238,0),1.3))),"") </f>
        <v/>
      </c>
      <c r="M238" s="14">
        <f>IFERROR(IF(OR(J238=0,K238=""),"",IF(E238="Positivo",MAX(K238/J238,0),MAX(J238/K238,0))),"") </f>
        <v/>
      </c>
      <c r="N238" s="5" t="inlineStr">
        <is>
          <t>$</t>
        </is>
      </c>
      <c r="O238" s="5" t="inlineStr">
        <is>
          <t>$</t>
        </is>
      </c>
      <c r="P238" s="15" t="n">
        <v>0</v>
      </c>
      <c r="Q238" s="15" t="n">
        <v>0</v>
      </c>
      <c r="R238" s="5" t="inlineStr">
        <is>
          <t>121-2023-03-31</t>
        </is>
      </c>
    </row>
    <row r="239">
      <c r="A239" s="21" t="n">
        <v>121</v>
      </c>
      <c r="B239" s="5" t="inlineStr">
        <is>
          <t>Ejecución presupuestal de la nómina acumulada</t>
        </is>
      </c>
      <c r="C239" s="5" t="inlineStr">
        <is>
          <t>GESTIÓN Y DESARROLLO DEL TALENTO HUMANO</t>
        </is>
      </c>
      <c r="D239" s="5" t="inlineStr">
        <is>
          <t>Mensual</t>
        </is>
      </c>
      <c r="E239" s="5" t="inlineStr">
        <is>
          <t>Negativo</t>
        </is>
      </c>
      <c r="F239" s="107" t="n">
        <v>45046</v>
      </c>
      <c r="G239" s="5" t="n">
        <v>2023</v>
      </c>
      <c r="H239" s="5" t="inlineStr">
        <is>
          <t>Abril</t>
        </is>
      </c>
      <c r="I239" s="6" t="inlineStr">
        <is>
          <t>2023-1</t>
        </is>
      </c>
      <c r="J239" s="5" t="n">
        <v>102</v>
      </c>
      <c r="K239" s="94" t="n">
        <v>98.504433782026</v>
      </c>
      <c r="L239" s="14">
        <f>IFERROR(IF(OR(J239=0,K239=""),"",IF(E239="Positivo",MIN(MAX(K239/J239,0),1.3),MIN(MAX(J239/K239,0),1.3))),"") </f>
        <v/>
      </c>
      <c r="M239" s="14">
        <f>IFERROR(IF(OR(J239=0,K239=""),"",IF(E239="Positivo",MAX(K239/J239,0),MAX(J239/K239,0))),"") </f>
        <v/>
      </c>
      <c r="N239" s="5" t="inlineStr">
        <is>
          <t>$</t>
        </is>
      </c>
      <c r="O239" s="5" t="inlineStr">
        <is>
          <t>$</t>
        </is>
      </c>
      <c r="P239" s="15" t="n">
        <v>0</v>
      </c>
      <c r="Q239" s="15" t="n">
        <v>0</v>
      </c>
      <c r="R239" s="5" t="inlineStr">
        <is>
          <t>121-2023-04-30</t>
        </is>
      </c>
    </row>
    <row r="240">
      <c r="A240" s="21" t="n">
        <v>121</v>
      </c>
      <c r="B240" s="5" t="inlineStr">
        <is>
          <t>Ejecución presupuestal de la nómina acumulada</t>
        </is>
      </c>
      <c r="C240" s="5" t="inlineStr">
        <is>
          <t>GESTIÓN Y DESARROLLO DEL TALENTO HUMANO</t>
        </is>
      </c>
      <c r="D240" s="5" t="inlineStr">
        <is>
          <t>Mensual</t>
        </is>
      </c>
      <c r="E240" s="5" t="inlineStr">
        <is>
          <t>Negativo</t>
        </is>
      </c>
      <c r="F240" s="107" t="n">
        <v>45077</v>
      </c>
      <c r="G240" s="5" t="n">
        <v>2023</v>
      </c>
      <c r="H240" s="5" t="inlineStr">
        <is>
          <t>Mayo</t>
        </is>
      </c>
      <c r="I240" s="6" t="inlineStr">
        <is>
          <t>2023-1</t>
        </is>
      </c>
      <c r="J240" s="5" t="n">
        <v>102</v>
      </c>
      <c r="K240" s="94" t="n">
        <v>101.21742519278</v>
      </c>
      <c r="L240" s="14">
        <f>IFERROR(IF(OR(J240=0,K240=""),"",IF(E240="Positivo",MIN(MAX(K240/J240,0),1.3),MIN(MAX(J240/K240,0),1.3))),"") </f>
        <v/>
      </c>
      <c r="M240" s="14">
        <f>IFERROR(IF(OR(J240=0,K240=""),"",IF(E240="Positivo",MAX(K240/J240,0),MAX(J240/K240,0))),"") </f>
        <v/>
      </c>
      <c r="N240" s="5" t="inlineStr">
        <is>
          <t>$</t>
        </is>
      </c>
      <c r="O240" s="11" t="inlineStr">
        <is>
          <t>$</t>
        </is>
      </c>
      <c r="P240" s="15" t="n">
        <v>0</v>
      </c>
      <c r="Q240" s="15" t="n">
        <v>0</v>
      </c>
      <c r="R240" s="5" t="inlineStr">
        <is>
          <t>121-2023-05-31</t>
        </is>
      </c>
    </row>
    <row r="241">
      <c r="A241" s="26" t="n">
        <v>121</v>
      </c>
      <c r="B241" s="5" t="inlineStr">
        <is>
          <t>Ejecución presupuestal de la nómina acumulada</t>
        </is>
      </c>
      <c r="C241" s="5" t="inlineStr">
        <is>
          <t>GESTIÓN Y DESARROLLO DEL TALENTO HUMANO</t>
        </is>
      </c>
      <c r="D241" s="5" t="inlineStr">
        <is>
          <t>Mensual</t>
        </is>
      </c>
      <c r="E241" s="5" t="inlineStr">
        <is>
          <t>Negativo</t>
        </is>
      </c>
      <c r="F241" s="107" t="n">
        <v>45107</v>
      </c>
      <c r="G241" s="5" t="n">
        <v>2023</v>
      </c>
      <c r="H241" s="5" t="inlineStr">
        <is>
          <t>Junio</t>
        </is>
      </c>
      <c r="I241" s="6" t="inlineStr">
        <is>
          <t>2023-1</t>
        </is>
      </c>
      <c r="J241" s="5" t="n">
        <v>102</v>
      </c>
      <c r="K241" s="94" t="n">
        <v>102.42831146953</v>
      </c>
      <c r="L241" s="14">
        <f>IFERROR(IF(OR(J241=0,K241=""),"",IF(E241="Positivo",MIN(MAX(K241/J241,0),1.3),MIN(MAX(J241/K241,0),1.3))),"") </f>
        <v/>
      </c>
      <c r="M241" s="14">
        <f>IFERROR(IF(OR(J241=0,K241=""),"",IF(E241="Positivo",MAX(K241/J241,0),MAX(J241/K241,0))),"") </f>
        <v/>
      </c>
      <c r="N241" s="5" t="inlineStr">
        <is>
          <t>$</t>
        </is>
      </c>
      <c r="O241" s="5" t="inlineStr">
        <is>
          <t>$</t>
        </is>
      </c>
      <c r="P241" s="15" t="n">
        <v>0</v>
      </c>
      <c r="Q241" s="15" t="n">
        <v>0</v>
      </c>
      <c r="R241" s="5" t="inlineStr">
        <is>
          <t>121-2023-06-30</t>
        </is>
      </c>
    </row>
    <row r="242">
      <c r="A242" s="21" t="n">
        <v>121</v>
      </c>
      <c r="B242" s="5" t="inlineStr">
        <is>
          <t>Ejecución presupuestal de la nómina acumulada</t>
        </is>
      </c>
      <c r="C242" s="5" t="inlineStr">
        <is>
          <t>GESTIÓN Y DESARROLLO DEL TALENTO HUMANO</t>
        </is>
      </c>
      <c r="D242" s="5" t="inlineStr">
        <is>
          <t>Mensual</t>
        </is>
      </c>
      <c r="E242" s="5" t="inlineStr">
        <is>
          <t>Negativo</t>
        </is>
      </c>
      <c r="F242" s="107" t="n">
        <v>45138</v>
      </c>
      <c r="G242" s="5" t="n">
        <v>2023</v>
      </c>
      <c r="H242" s="5" t="inlineStr">
        <is>
          <t>Julio</t>
        </is>
      </c>
      <c r="I242" s="6" t="inlineStr">
        <is>
          <t>2023-2</t>
        </is>
      </c>
      <c r="J242" s="5" t="n">
        <v>102</v>
      </c>
      <c r="K242" s="94" t="n">
        <v>103.81483574784</v>
      </c>
      <c r="L242" s="14">
        <f>IFERROR(IF(OR(J242=0,K242=""),"",IF(E242="Positivo",MIN(MAX(K242/J242,0),1.3),MIN(MAX(J242/K242,0),1.3))),"") </f>
        <v/>
      </c>
      <c r="M242" s="14">
        <f>IFERROR(IF(OR(J242=0,K242=""),"",IF(E242="Positivo",MAX(K242/J242,0),MAX(J242/K242,0))),"") </f>
        <v/>
      </c>
      <c r="N242" s="5" t="inlineStr">
        <is>
          <t>$</t>
        </is>
      </c>
      <c r="O242" s="5" t="inlineStr">
        <is>
          <t>$</t>
        </is>
      </c>
      <c r="P242" s="15" t="n">
        <v>0</v>
      </c>
      <c r="Q242" s="15" t="n">
        <v>0</v>
      </c>
      <c r="R242" s="5" t="inlineStr">
        <is>
          <t>121-2023-07-31</t>
        </is>
      </c>
    </row>
    <row r="243">
      <c r="A243" s="21" t="n">
        <v>121</v>
      </c>
      <c r="B243" s="5" t="inlineStr">
        <is>
          <t>Ejecución presupuestal de la nómina acumulada</t>
        </is>
      </c>
      <c r="C243" s="5" t="inlineStr">
        <is>
          <t>GESTIÓN Y DESARROLLO DEL TALENTO HUMANO</t>
        </is>
      </c>
      <c r="D243" s="5" t="inlineStr">
        <is>
          <t>Mensual</t>
        </is>
      </c>
      <c r="E243" s="5" t="inlineStr">
        <is>
          <t>Negativo</t>
        </is>
      </c>
      <c r="F243" s="107" t="n">
        <v>45169</v>
      </c>
      <c r="G243" s="5" t="n">
        <v>2023</v>
      </c>
      <c r="H243" s="5" t="inlineStr">
        <is>
          <t>Agosto</t>
        </is>
      </c>
      <c r="I243" s="6" t="inlineStr">
        <is>
          <t>2023-2</t>
        </is>
      </c>
      <c r="J243" s="5" t="n">
        <v>102</v>
      </c>
      <c r="K243" s="94" t="n">
        <v>105.15</v>
      </c>
      <c r="L243" s="14">
        <f>IFERROR(IF(OR(J243=0,K243=""),"",IF(E243="Positivo",MIN(MAX(K243/J243,0),1.3),MIN(MAX(J243/K243,0),1.3))),"") </f>
        <v/>
      </c>
      <c r="M243" s="14">
        <f>IFERROR(IF(OR(J243=0,K243=""),"",IF(E243="Positivo",MAX(K243/J243,0),MAX(J243/K243,0))),"") </f>
        <v/>
      </c>
      <c r="N243" s="5" t="inlineStr">
        <is>
          <t>$</t>
        </is>
      </c>
      <c r="O243" s="5" t="inlineStr">
        <is>
          <t>$</t>
        </is>
      </c>
      <c r="P243" s="15" t="n">
        <v>0</v>
      </c>
      <c r="Q243" s="15" t="n">
        <v>0</v>
      </c>
      <c r="R243" s="5" t="inlineStr">
        <is>
          <t>121-2023-08-31</t>
        </is>
      </c>
    </row>
    <row r="244">
      <c r="A244" s="21" t="n">
        <v>121</v>
      </c>
      <c r="B244" s="5" t="inlineStr">
        <is>
          <t>Ejecución presupuestal de la nómina acumulada</t>
        </is>
      </c>
      <c r="C244" s="5" t="inlineStr">
        <is>
          <t>GESTIÓN Y DESARROLLO DEL TALENTO HUMANO</t>
        </is>
      </c>
      <c r="D244" s="5" t="inlineStr">
        <is>
          <t>Mensual</t>
        </is>
      </c>
      <c r="E244" s="5" t="inlineStr">
        <is>
          <t>Negativo</t>
        </is>
      </c>
      <c r="F244" s="107" t="n">
        <v>45199</v>
      </c>
      <c r="G244" s="5" t="n">
        <v>2023</v>
      </c>
      <c r="H244" s="5" t="inlineStr">
        <is>
          <t>Septiembre</t>
        </is>
      </c>
      <c r="I244" s="6" t="inlineStr">
        <is>
          <t>2023-2</t>
        </is>
      </c>
      <c r="J244" s="5" t="n">
        <v>102</v>
      </c>
      <c r="K244" s="94" t="n">
        <v>104.64</v>
      </c>
      <c r="L244" s="14">
        <f>IFERROR(IF(OR(J244=0,K244=""),"",IF(E244="Positivo",MIN(MAX(K244/J244,0),1.3),MIN(MAX(J244/K244,0),1.3))),"") </f>
        <v/>
      </c>
      <c r="M244" s="14">
        <f>IFERROR(IF(OR(J244=0,K244=""),"",IF(E244="Positivo",MAX(K244/J244,0),MAX(J244/K244,0))),"") </f>
        <v/>
      </c>
      <c r="N244" s="5" t="inlineStr">
        <is>
          <t>$</t>
        </is>
      </c>
      <c r="O244" s="5" t="inlineStr">
        <is>
          <t>$</t>
        </is>
      </c>
      <c r="P244" s="15" t="n">
        <v>0</v>
      </c>
      <c r="Q244" s="15" t="n">
        <v>0</v>
      </c>
      <c r="R244" s="5" t="inlineStr">
        <is>
          <t>121-2023-09-30</t>
        </is>
      </c>
    </row>
    <row r="245">
      <c r="A245" s="21" t="n">
        <v>121</v>
      </c>
      <c r="B245" s="5" t="inlineStr">
        <is>
          <t>Ejecución presupuestal de la nómina acumulada</t>
        </is>
      </c>
      <c r="C245" s="5" t="inlineStr">
        <is>
          <t>GESTIÓN Y DESARROLLO DEL TALENTO HUMANO</t>
        </is>
      </c>
      <c r="D245" s="5" t="inlineStr">
        <is>
          <t>Mensual</t>
        </is>
      </c>
      <c r="E245" s="5" t="inlineStr">
        <is>
          <t>Negativo</t>
        </is>
      </c>
      <c r="F245" s="107" t="n">
        <v>45230</v>
      </c>
      <c r="G245" s="5" t="n">
        <v>2023</v>
      </c>
      <c r="H245" s="5" t="inlineStr">
        <is>
          <t>Octubre</t>
        </is>
      </c>
      <c r="I245" s="6" t="inlineStr">
        <is>
          <t>2023-2</t>
        </is>
      </c>
      <c r="J245" s="5" t="n">
        <v>102</v>
      </c>
      <c r="K245" s="10" t="n">
        <v>106.58</v>
      </c>
      <c r="L245" s="14">
        <f>IFERROR(IF(OR(J245=0,K245=""),"",IF(E245="Positivo",MIN(MAX(K245/J245,0),1.3),MIN(MAX(J245/K245,0),1.3))),"") </f>
        <v/>
      </c>
      <c r="M245" s="14">
        <f>IFERROR(IF(OR(J245=0,K245=""),"",IF(E245="Positivo",MAX(K245/J245,0),MAX(J245/K245,0))),"") </f>
        <v/>
      </c>
      <c r="N245" s="5" t="inlineStr">
        <is>
          <t>$</t>
        </is>
      </c>
      <c r="O245" s="5" t="inlineStr">
        <is>
          <t>$</t>
        </is>
      </c>
      <c r="P245" s="15" t="n">
        <v>0</v>
      </c>
      <c r="Q245" s="15" t="n">
        <v>0</v>
      </c>
      <c r="R245" s="5" t="inlineStr">
        <is>
          <t>121-2023-10-31</t>
        </is>
      </c>
    </row>
    <row r="246">
      <c r="A246" s="21" t="n">
        <v>121</v>
      </c>
      <c r="B246" s="5" t="inlineStr">
        <is>
          <t>Ejecución presupuestal de la nómina acumulada</t>
        </is>
      </c>
      <c r="C246" s="5" t="inlineStr">
        <is>
          <t>GESTIÓN Y DESARROLLO DEL TALENTO HUMANO</t>
        </is>
      </c>
      <c r="D246" s="5" t="inlineStr">
        <is>
          <t>Mensual</t>
        </is>
      </c>
      <c r="E246" s="5" t="inlineStr">
        <is>
          <t>Negativo</t>
        </is>
      </c>
      <c r="F246" s="107" t="n">
        <v>45260</v>
      </c>
      <c r="G246" s="5" t="n">
        <v>2023</v>
      </c>
      <c r="H246" s="5" t="inlineStr">
        <is>
          <t>Noviembre</t>
        </is>
      </c>
      <c r="I246" s="6" t="inlineStr">
        <is>
          <t>2023-2</t>
        </is>
      </c>
      <c r="J246" s="5" t="n">
        <v>102</v>
      </c>
      <c r="K246" s="94" t="n">
        <v>110.65</v>
      </c>
      <c r="L246" s="14">
        <f>IFERROR(IF(OR(J246=0,K246=""),"",IF(E246="Positivo",MIN(MAX(K246/J246,0),1.3),MIN(MAX(J246/K246,0),1.3))),"") </f>
        <v/>
      </c>
      <c r="M246" s="14">
        <f>IFERROR(IF(OR(J246=0,K246=""),"",IF(E246="Positivo",MAX(K246/J246,0),MAX(J246/K246,0))),"") </f>
        <v/>
      </c>
      <c r="N246" s="5" t="inlineStr">
        <is>
          <t>$</t>
        </is>
      </c>
      <c r="O246" s="5" t="inlineStr">
        <is>
          <t>$</t>
        </is>
      </c>
      <c r="P246" s="15" t="n">
        <v>0</v>
      </c>
      <c r="Q246" s="15" t="n">
        <v>0</v>
      </c>
      <c r="R246" s="5" t="inlineStr">
        <is>
          <t>121-2023-11-30</t>
        </is>
      </c>
    </row>
    <row r="247">
      <c r="A247" s="21" t="n">
        <v>121</v>
      </c>
      <c r="B247" s="5" t="inlineStr">
        <is>
          <t>Ejecución presupuestal de la nómina acumulada</t>
        </is>
      </c>
      <c r="C247" s="5" t="inlineStr">
        <is>
          <t>GESTIÓN Y DESARROLLO DEL TALENTO HUMANO</t>
        </is>
      </c>
      <c r="D247" s="5" t="inlineStr">
        <is>
          <t>Mensual</t>
        </is>
      </c>
      <c r="E247" s="5" t="inlineStr">
        <is>
          <t>Negativo</t>
        </is>
      </c>
      <c r="F247" s="107" t="n">
        <v>45291</v>
      </c>
      <c r="G247" s="5" t="n">
        <v>2023</v>
      </c>
      <c r="H247" s="5" t="inlineStr">
        <is>
          <t>Diciembre</t>
        </is>
      </c>
      <c r="I247" s="6" t="inlineStr">
        <is>
          <t>2023-2</t>
        </is>
      </c>
      <c r="J247" s="5" t="n">
        <v>102</v>
      </c>
      <c r="K247" s="94" t="n">
        <v>111.3</v>
      </c>
      <c r="L247" s="14">
        <f>IFERROR(IF(OR(J247=0,K247=""),"",IF(E247="Positivo",MIN(MAX(K247/J247,0),1.3),MIN(MAX(J247/K247,0),1.3))),"") </f>
        <v/>
      </c>
      <c r="M247" s="14">
        <f>IFERROR(IF(OR(J247=0,K247=""),"",IF(E247="Positivo",MAX(K247/J247,0),MAX(J247/K247,0))),"") </f>
        <v/>
      </c>
      <c r="N247" s="5" t="inlineStr">
        <is>
          <t>$</t>
        </is>
      </c>
      <c r="O247" s="5" t="inlineStr">
        <is>
          <t>$</t>
        </is>
      </c>
      <c r="P247" s="15" t="n">
        <v>0</v>
      </c>
      <c r="Q247" s="15" t="n">
        <v>0</v>
      </c>
      <c r="R247" s="5" t="inlineStr">
        <is>
          <t>121-2023-12-31</t>
        </is>
      </c>
    </row>
    <row r="248">
      <c r="A248" s="21" t="n">
        <v>121</v>
      </c>
      <c r="B248" s="5" t="inlineStr">
        <is>
          <t>Ejecución presupuestal de la nómina acumulada</t>
        </is>
      </c>
      <c r="C248" s="5" t="inlineStr">
        <is>
          <t>GESTIÓN Y DESARROLLO DEL TALENTO HUMANO</t>
        </is>
      </c>
      <c r="D248" s="5" t="inlineStr">
        <is>
          <t>Mensual</t>
        </is>
      </c>
      <c r="E248" s="5" t="inlineStr">
        <is>
          <t>Negativo</t>
        </is>
      </c>
      <c r="F248" s="107" t="n">
        <v>45322</v>
      </c>
      <c r="G248" s="5" t="n">
        <v>2024</v>
      </c>
      <c r="H248" s="5" t="inlineStr">
        <is>
          <t>Enero</t>
        </is>
      </c>
      <c r="I248" s="6" t="inlineStr">
        <is>
          <t>2024-1</t>
        </is>
      </c>
      <c r="J248" s="5" t="n">
        <v>102</v>
      </c>
      <c r="K248" s="94" t="n">
        <v>98.3</v>
      </c>
      <c r="L248" s="14">
        <f>IFERROR(IF(OR(J248=0,K248=""),"",IF(E248="Positivo",MIN(MAX(K248/J248,0),1.3),MIN(MAX(J248/K248,0),1.3))),"") </f>
        <v/>
      </c>
      <c r="M248" s="14">
        <f>IFERROR(IF(OR(J248=0,K248=""),"",IF(E248="Positivo",MAX(K248/J248,0),MAX(J248/K248,0))),"") </f>
        <v/>
      </c>
      <c r="N248" s="5" t="inlineStr">
        <is>
          <t>$</t>
        </is>
      </c>
      <c r="O248" s="11" t="inlineStr">
        <is>
          <t>$</t>
        </is>
      </c>
      <c r="P248" s="15" t="n">
        <v>0</v>
      </c>
      <c r="Q248" s="15" t="n">
        <v>0</v>
      </c>
      <c r="R248" s="5" t="inlineStr">
        <is>
          <t>121-2024-01-31</t>
        </is>
      </c>
    </row>
    <row r="249">
      <c r="A249" s="21" t="n">
        <v>121</v>
      </c>
      <c r="B249" s="5" t="inlineStr">
        <is>
          <t>Ejecución presupuestal de la nómina acumulada</t>
        </is>
      </c>
      <c r="C249" s="5" t="inlineStr">
        <is>
          <t>GESTIÓN Y DESARROLLO DEL TALENTO HUMANO</t>
        </is>
      </c>
      <c r="D249" s="5" t="inlineStr">
        <is>
          <t>Mensual</t>
        </is>
      </c>
      <c r="E249" s="5" t="inlineStr">
        <is>
          <t>Negativo</t>
        </is>
      </c>
      <c r="F249" s="107" t="n">
        <v>45351</v>
      </c>
      <c r="G249" s="5" t="n">
        <v>2024</v>
      </c>
      <c r="H249" s="5" t="inlineStr">
        <is>
          <t>Febrero</t>
        </is>
      </c>
      <c r="I249" s="6" t="inlineStr">
        <is>
          <t>2024-1</t>
        </is>
      </c>
      <c r="J249" s="5" t="n">
        <v>102</v>
      </c>
      <c r="K249" s="94" t="n">
        <v>100.37</v>
      </c>
      <c r="L249" s="14">
        <f>IFERROR(IF(OR(J249=0,K249=""),"",IF(E249="Positivo",MIN(MAX(K249/J249,0),1.3),MIN(MAX(J249/K249,0),1.3))),"") </f>
        <v/>
      </c>
      <c r="M249" s="14">
        <f>IFERROR(IF(OR(J249=0,K249=""),"",IF(E249="Positivo",MAX(K249/J249,0),MAX(J249/K249,0))),"") </f>
        <v/>
      </c>
      <c r="N249" s="5" t="inlineStr">
        <is>
          <t>$</t>
        </is>
      </c>
      <c r="O249" s="11" t="inlineStr">
        <is>
          <t>$</t>
        </is>
      </c>
      <c r="P249" s="15" t="n">
        <v>0</v>
      </c>
      <c r="Q249" s="15" t="n">
        <v>0</v>
      </c>
      <c r="R249" s="5" t="inlineStr">
        <is>
          <t>121-2024-02-29</t>
        </is>
      </c>
    </row>
    <row r="250">
      <c r="A250" s="21" t="n">
        <v>121</v>
      </c>
      <c r="B250" s="5" t="inlineStr">
        <is>
          <t>Ejecución presupuestal de la nómina acumulada</t>
        </is>
      </c>
      <c r="C250" s="5" t="inlineStr">
        <is>
          <t>GESTIÓN Y DESARROLLO DEL TALENTO HUMANO</t>
        </is>
      </c>
      <c r="D250" s="5" t="inlineStr">
        <is>
          <t>Mensual</t>
        </is>
      </c>
      <c r="E250" s="5" t="inlineStr">
        <is>
          <t>Negativo</t>
        </is>
      </c>
      <c r="F250" s="107" t="n">
        <v>45382</v>
      </c>
      <c r="G250" s="5" t="n">
        <v>2024</v>
      </c>
      <c r="H250" s="5" t="inlineStr">
        <is>
          <t>Marzo</t>
        </is>
      </c>
      <c r="I250" s="6" t="inlineStr">
        <is>
          <t>2024-1</t>
        </is>
      </c>
      <c r="J250" s="5" t="n">
        <v>102</v>
      </c>
      <c r="K250" s="94" t="n">
        <v>101.02</v>
      </c>
      <c r="L250" s="14">
        <f>IFERROR(IF(OR(J250=0,K250=""),"",IF(E250="Positivo",MIN(MAX(K250/J250,0),1.3),MIN(MAX(J250/K250,0),1.3))),"") </f>
        <v/>
      </c>
      <c r="M250" s="14">
        <f>IFERROR(IF(OR(J250=0,K250=""),"",IF(E250="Positivo",MAX(K250/J250,0),MAX(J250/K250,0))),"") </f>
        <v/>
      </c>
      <c r="N250" s="5" t="inlineStr">
        <is>
          <t>$</t>
        </is>
      </c>
      <c r="O250" s="5" t="inlineStr">
        <is>
          <t>$</t>
        </is>
      </c>
      <c r="P250" s="15" t="n">
        <v>0</v>
      </c>
      <c r="Q250" s="15" t="n">
        <v>0</v>
      </c>
      <c r="R250" s="5" t="inlineStr">
        <is>
          <t>121-2024-03-31</t>
        </is>
      </c>
    </row>
    <row r="251">
      <c r="A251" s="21" t="n">
        <v>121</v>
      </c>
      <c r="B251" s="5" t="inlineStr">
        <is>
          <t>Ejecución presupuestal de la nómina acumulada</t>
        </is>
      </c>
      <c r="C251" s="5" t="inlineStr">
        <is>
          <t>GESTIÓN Y DESARROLLO DEL TALENTO HUMANO</t>
        </is>
      </c>
      <c r="D251" s="5" t="inlineStr">
        <is>
          <t>Mensual</t>
        </is>
      </c>
      <c r="E251" s="5" t="inlineStr">
        <is>
          <t>Negativo</t>
        </is>
      </c>
      <c r="F251" s="107" t="n">
        <v>45412</v>
      </c>
      <c r="G251" s="5" t="n">
        <v>2024</v>
      </c>
      <c r="H251" s="5" t="inlineStr">
        <is>
          <t>Abril</t>
        </is>
      </c>
      <c r="I251" s="6" t="inlineStr">
        <is>
          <t>2024-1</t>
        </is>
      </c>
      <c r="J251" s="5" t="n">
        <v>102</v>
      </c>
      <c r="K251" s="94" t="n">
        <v>102.83</v>
      </c>
      <c r="L251" s="14">
        <f>IFERROR(IF(OR(J251=0,K251=""),"",IF(E251="Positivo",MIN(MAX(K251/J251,0),1.3),MIN(MAX(J251/K251,0),1.3))),"") </f>
        <v/>
      </c>
      <c r="M251" s="14">
        <f>IFERROR(IF(OR(J251=0,K251=""),"",IF(E251="Positivo",MAX(K251/J251,0),MAX(J251/K251,0))),"") </f>
        <v/>
      </c>
      <c r="N251" s="5" t="inlineStr">
        <is>
          <t>$</t>
        </is>
      </c>
      <c r="O251" s="5" t="inlineStr">
        <is>
          <t>$</t>
        </is>
      </c>
      <c r="P251" s="15" t="n">
        <v>0</v>
      </c>
      <c r="Q251" s="15" t="n">
        <v>0</v>
      </c>
      <c r="R251" s="5" t="inlineStr">
        <is>
          <t>121-2024-04-30</t>
        </is>
      </c>
    </row>
    <row r="252">
      <c r="A252" s="21" t="n">
        <v>121</v>
      </c>
      <c r="B252" s="5" t="inlineStr">
        <is>
          <t>Ejecución presupuestal de la nómina acumulada</t>
        </is>
      </c>
      <c r="C252" s="5" t="inlineStr">
        <is>
          <t>GESTIÓN Y DESARROLLO DEL TALENTO HUMANO</t>
        </is>
      </c>
      <c r="D252" s="5" t="inlineStr">
        <is>
          <t>Mensual</t>
        </is>
      </c>
      <c r="E252" s="5" t="inlineStr">
        <is>
          <t>Negativo</t>
        </is>
      </c>
      <c r="F252" s="107" t="n">
        <v>45443</v>
      </c>
      <c r="G252" s="5" t="n">
        <v>2024</v>
      </c>
      <c r="H252" s="5" t="inlineStr">
        <is>
          <t>Mayo</t>
        </is>
      </c>
      <c r="I252" s="6" t="inlineStr">
        <is>
          <t>2024-1</t>
        </is>
      </c>
      <c r="J252" s="5" t="n">
        <v>102</v>
      </c>
      <c r="K252" s="94" t="n">
        <v>102.04</v>
      </c>
      <c r="L252" s="14">
        <f>IFERROR(IF(OR(J252=0,K252=""),"",IF(E252="Positivo",MIN(MAX(K252/J252,0),1.3),MIN(MAX(J252/K252,0),1.3))),"") </f>
        <v/>
      </c>
      <c r="M252" s="14">
        <f>IFERROR(IF(OR(J252=0,K252=""),"",IF(E252="Positivo",MAX(K252/J252,0),MAX(J252/K252,0))),"") </f>
        <v/>
      </c>
      <c r="N252" s="5" t="inlineStr">
        <is>
          <t>$</t>
        </is>
      </c>
      <c r="O252" s="11" t="inlineStr">
        <is>
          <t>$</t>
        </is>
      </c>
      <c r="P252" s="15" t="n">
        <v>0</v>
      </c>
      <c r="Q252" s="15" t="n">
        <v>0</v>
      </c>
      <c r="R252" s="5" t="inlineStr">
        <is>
          <t>121-2024-05-31</t>
        </is>
      </c>
    </row>
    <row r="253">
      <c r="A253" s="26" t="n">
        <v>121</v>
      </c>
      <c r="B253" s="5" t="inlineStr">
        <is>
          <t>Ejecución presupuestal de la nómina acumulada</t>
        </is>
      </c>
      <c r="C253" s="5" t="inlineStr">
        <is>
          <t>GESTIÓN Y DESARROLLO DEL TALENTO HUMANO</t>
        </is>
      </c>
      <c r="D253" s="5" t="inlineStr">
        <is>
          <t>Mensual</t>
        </is>
      </c>
      <c r="E253" s="5" t="inlineStr">
        <is>
          <t>Negativo</t>
        </is>
      </c>
      <c r="F253" s="107" t="n">
        <v>45473</v>
      </c>
      <c r="G253" s="5" t="n">
        <v>2024</v>
      </c>
      <c r="H253" s="5" t="inlineStr">
        <is>
          <t>Junio</t>
        </is>
      </c>
      <c r="I253" s="6" t="inlineStr">
        <is>
          <t>2024-1</t>
        </is>
      </c>
      <c r="J253" s="5" t="n">
        <v>102</v>
      </c>
      <c r="K253" s="9" t="n">
        <v>101.89</v>
      </c>
      <c r="L253" s="14">
        <f>IFERROR(IF(OR(J253=0,K253=""),"",IF(E253="Positivo",MIN(MAX(K253/J253,0),1.3),MIN(MAX(J253/K253,0),1.3))),"") </f>
        <v/>
      </c>
      <c r="M253" s="14">
        <f>IFERROR(IF(OR(J253=0,K253=""),"",IF(E253="Positivo",MAX(K253/J253,0),MAX(J253/K253,0))),"") </f>
        <v/>
      </c>
      <c r="N253" s="5" t="inlineStr">
        <is>
          <t>$</t>
        </is>
      </c>
      <c r="O253" s="5" t="inlineStr">
        <is>
          <t>$</t>
        </is>
      </c>
      <c r="P253" s="15" t="n">
        <v>0</v>
      </c>
      <c r="Q253" s="15" t="n">
        <v>0</v>
      </c>
      <c r="R253" s="5" t="inlineStr">
        <is>
          <t>121-2024-06-30</t>
        </is>
      </c>
    </row>
    <row r="254">
      <c r="A254" s="21" t="n">
        <v>121</v>
      </c>
      <c r="B254" s="5" t="inlineStr">
        <is>
          <t>Ejecución presupuestal de la nómina acumulada</t>
        </is>
      </c>
      <c r="C254" s="5" t="inlineStr">
        <is>
          <t>GESTIÓN Y DESARROLLO DEL TALENTO HUMANO</t>
        </is>
      </c>
      <c r="D254" s="5" t="inlineStr">
        <is>
          <t>Mensual</t>
        </is>
      </c>
      <c r="E254" s="5" t="inlineStr">
        <is>
          <t>Negativo</t>
        </is>
      </c>
      <c r="F254" s="107" t="n">
        <v>45504</v>
      </c>
      <c r="G254" s="5" t="n">
        <v>2024</v>
      </c>
      <c r="H254" s="5" t="inlineStr">
        <is>
          <t>Julio</t>
        </is>
      </c>
      <c r="I254" s="6" t="inlineStr">
        <is>
          <t>2024-2</t>
        </is>
      </c>
      <c r="J254" s="5" t="n">
        <v>102</v>
      </c>
      <c r="K254" s="9" t="n">
        <v>101.25</v>
      </c>
      <c r="L254" s="14">
        <f>IFERROR(IF(OR(J254=0,K254=""),"",IF(E254="Positivo",MIN(MAX(K254/J254,0),1.3),MIN(MAX(J254/K254,0),1.3))),"") </f>
        <v/>
      </c>
      <c r="M254" s="14">
        <f>IFERROR(IF(OR(J254=0,K254=""),"",IF(E254="Positivo",MAX(K254/J254,0),MAX(J254/K254,0))),"") </f>
        <v/>
      </c>
      <c r="N254" s="5" t="inlineStr">
        <is>
          <t>$</t>
        </is>
      </c>
      <c r="O254" s="5" t="inlineStr">
        <is>
          <t>$</t>
        </is>
      </c>
      <c r="P254" s="15" t="n">
        <v>0</v>
      </c>
      <c r="Q254" s="15" t="n">
        <v>0</v>
      </c>
      <c r="R254" s="5" t="inlineStr">
        <is>
          <t>121-2024-07-31</t>
        </is>
      </c>
    </row>
    <row r="255">
      <c r="A255" s="21" t="n">
        <v>121</v>
      </c>
      <c r="B255" s="5" t="inlineStr">
        <is>
          <t>Ejecución presupuestal de la nómina acumulada</t>
        </is>
      </c>
      <c r="C255" s="5" t="inlineStr">
        <is>
          <t>GESTIÓN Y DESARROLLO DEL TALENTO HUMANO</t>
        </is>
      </c>
      <c r="D255" s="5" t="inlineStr">
        <is>
          <t>Mensual</t>
        </is>
      </c>
      <c r="E255" s="5" t="inlineStr">
        <is>
          <t>Negativo</t>
        </is>
      </c>
      <c r="F255" s="107" t="n">
        <v>45535</v>
      </c>
      <c r="G255" s="5" t="n">
        <v>2024</v>
      </c>
      <c r="H255" s="5" t="inlineStr">
        <is>
          <t>Agosto</t>
        </is>
      </c>
      <c r="I255" s="6" t="inlineStr">
        <is>
          <t>2024-2</t>
        </is>
      </c>
      <c r="J255" s="5" t="n">
        <v>102</v>
      </c>
      <c r="K255" s="94" t="n">
        <v>99.83</v>
      </c>
      <c r="L255" s="14">
        <f>IFERROR(IF(OR(J255=0,K255=""),"",IF(E255="Positivo",MIN(MAX(K255/J255,0),1.3),MIN(MAX(J255/K255,0),1.3))),"") </f>
        <v/>
      </c>
      <c r="M255" s="14">
        <f>IFERROR(IF(OR(J255=0,K255=""),"",IF(E255="Positivo",MAX(K255/J255,0),MAX(J255/K255,0))),"") </f>
        <v/>
      </c>
      <c r="N255" s="5" t="inlineStr">
        <is>
          <t>$</t>
        </is>
      </c>
      <c r="O255" s="5" t="inlineStr">
        <is>
          <t>$</t>
        </is>
      </c>
      <c r="P255" s="15" t="n">
        <v>0</v>
      </c>
      <c r="Q255" s="15" t="n">
        <v>0</v>
      </c>
      <c r="R255" s="5" t="inlineStr">
        <is>
          <t>121-2024-08-31</t>
        </is>
      </c>
    </row>
    <row r="256">
      <c r="A256" s="26" t="n">
        <v>121</v>
      </c>
      <c r="B256" s="5" t="inlineStr">
        <is>
          <t>Ejecución presupuestal de la nómina acumulada</t>
        </is>
      </c>
      <c r="C256" s="5" t="inlineStr">
        <is>
          <t>GESTIÓN Y DESARROLLO DEL TALENTO HUMANO</t>
        </is>
      </c>
      <c r="D256" s="5" t="inlineStr">
        <is>
          <t>Mensual</t>
        </is>
      </c>
      <c r="E256" s="5" t="inlineStr">
        <is>
          <t>Negativo</t>
        </is>
      </c>
      <c r="F256" s="107" t="n">
        <v>45565</v>
      </c>
      <c r="G256" s="5" t="n">
        <v>2024</v>
      </c>
      <c r="H256" s="5" t="inlineStr">
        <is>
          <t>Septiembre</t>
        </is>
      </c>
      <c r="I256" s="6" t="inlineStr">
        <is>
          <t>2024-2</t>
        </is>
      </c>
      <c r="J256" s="5" t="n">
        <v>102</v>
      </c>
      <c r="K256" s="94" t="n">
        <v>101.89</v>
      </c>
      <c r="L256" s="14">
        <f>IFERROR(IF(OR(J256=0,K256=""),"",IF(E256="Positivo",MIN(MAX(K256/J256,0),1.3),MIN(MAX(J256/K256,0),1.3))),"") </f>
        <v/>
      </c>
      <c r="M256" s="14">
        <f>IFERROR(IF(OR(J256=0,K256=""),"",IF(E256="Positivo",MAX(K256/J256,0),MAX(J256/K256,0))),"") </f>
        <v/>
      </c>
      <c r="N256" s="5" t="inlineStr">
        <is>
          <t>$</t>
        </is>
      </c>
      <c r="O256" s="5" t="inlineStr">
        <is>
          <t>$</t>
        </is>
      </c>
      <c r="P256" s="15" t="n">
        <v>0</v>
      </c>
      <c r="Q256" s="15" t="n">
        <v>0</v>
      </c>
      <c r="R256" s="5" t="inlineStr">
        <is>
          <t>121-2024-09-30</t>
        </is>
      </c>
    </row>
    <row r="257">
      <c r="A257" s="26" t="n">
        <v>121</v>
      </c>
      <c r="B257" s="5" t="inlineStr">
        <is>
          <t>Ejecución presupuestal de la nómina acumulada</t>
        </is>
      </c>
      <c r="C257" s="5" t="inlineStr">
        <is>
          <t>GESTIÓN Y DESARROLLO DEL TALENTO HUMANO</t>
        </is>
      </c>
      <c r="D257" s="5" t="inlineStr">
        <is>
          <t>Mensual</t>
        </is>
      </c>
      <c r="E257" s="5" t="inlineStr">
        <is>
          <t>Negativo</t>
        </is>
      </c>
      <c r="F257" s="107" t="n">
        <v>45596</v>
      </c>
      <c r="G257" s="5" t="n">
        <v>2024</v>
      </c>
      <c r="H257" s="5" t="inlineStr">
        <is>
          <t>Octubre</t>
        </is>
      </c>
      <c r="I257" s="6" t="inlineStr">
        <is>
          <t>2024-2</t>
        </is>
      </c>
      <c r="J257" s="5" t="n">
        <v>102</v>
      </c>
      <c r="K257" s="94" t="n">
        <v>100.89</v>
      </c>
      <c r="L257" s="14">
        <f>IFERROR(IF(OR(J257=0,K257=""),"",IF(E257="Positivo",MIN(MAX(K257/J257,0),1.3),MIN(MAX(J257/K257,0),1.3))),"") </f>
        <v/>
      </c>
      <c r="M257" s="14">
        <f>IFERROR(IF(OR(J257=0,K257=""),"",IF(E257="Positivo",MAX(K257/J257,0),MAX(J257/K257,0))),"") </f>
        <v/>
      </c>
      <c r="N257" s="5" t="inlineStr">
        <is>
          <t>$</t>
        </is>
      </c>
      <c r="O257" s="5" t="inlineStr">
        <is>
          <t>$</t>
        </is>
      </c>
      <c r="P257" s="15" t="n">
        <v>0</v>
      </c>
      <c r="Q257" s="15" t="n">
        <v>0</v>
      </c>
      <c r="R257" s="5" t="inlineStr">
        <is>
          <t>121-2024-10-31</t>
        </is>
      </c>
    </row>
    <row r="258">
      <c r="A258" s="21" t="n">
        <v>121</v>
      </c>
      <c r="B258" s="5" t="inlineStr">
        <is>
          <t>Ejecución presupuestal de la nómina acumulada</t>
        </is>
      </c>
      <c r="C258" s="5" t="inlineStr">
        <is>
          <t>GESTIÓN Y DESARROLLO DEL TALENTO HUMANO</t>
        </is>
      </c>
      <c r="D258" s="5" t="inlineStr">
        <is>
          <t>Mensual</t>
        </is>
      </c>
      <c r="E258" s="5" t="inlineStr">
        <is>
          <t>Negativo</t>
        </is>
      </c>
      <c r="F258" s="107" t="n">
        <v>45626</v>
      </c>
      <c r="G258" s="5" t="n">
        <v>2024</v>
      </c>
      <c r="H258" s="5" t="inlineStr">
        <is>
          <t>Noviembre</t>
        </is>
      </c>
      <c r="I258" s="6" t="inlineStr">
        <is>
          <t>2024-2</t>
        </is>
      </c>
      <c r="J258" s="5" t="n">
        <v>102</v>
      </c>
      <c r="K258" s="10" t="n">
        <v>100.55</v>
      </c>
      <c r="L258" s="14">
        <f>IFERROR(IF(OR(J258=0,K258=""),"",IF(E258="Positivo",MIN(MAX(K258/J258,0),1.3),MIN(MAX(J258/K258,0),1.3))),"") </f>
        <v/>
      </c>
      <c r="M258" s="14">
        <f>IFERROR(IF(OR(J258=0,K258=""),"",IF(E258="Positivo",MAX(K258/J258,0),MAX(J258/K258,0))),"") </f>
        <v/>
      </c>
      <c r="N258" s="5" t="inlineStr">
        <is>
          <t>$</t>
        </is>
      </c>
      <c r="O258" s="5" t="inlineStr">
        <is>
          <t>$</t>
        </is>
      </c>
      <c r="P258" s="15" t="n">
        <v>0</v>
      </c>
      <c r="Q258" s="15" t="n">
        <v>0</v>
      </c>
      <c r="R258" s="5" t="inlineStr">
        <is>
          <t>121-2024-11-30</t>
        </is>
      </c>
    </row>
    <row r="259">
      <c r="A259" s="26" t="n">
        <v>121</v>
      </c>
      <c r="B259" s="5" t="inlineStr">
        <is>
          <t>Ejecución presupuestal de la nómina acumulada</t>
        </is>
      </c>
      <c r="C259" s="5" t="inlineStr">
        <is>
          <t>GESTIÓN Y DESARROLLO DEL TALENTO HUMANO</t>
        </is>
      </c>
      <c r="D259" s="5" t="inlineStr">
        <is>
          <t>Mensual</t>
        </is>
      </c>
      <c r="E259" s="5" t="inlineStr">
        <is>
          <t>Negativo</t>
        </is>
      </c>
      <c r="F259" s="107" t="n">
        <v>45657</v>
      </c>
      <c r="G259" s="5" t="n">
        <v>2024</v>
      </c>
      <c r="H259" s="5" t="inlineStr">
        <is>
          <t>Diciembre</t>
        </is>
      </c>
      <c r="I259" s="6" t="inlineStr">
        <is>
          <t>2024-2</t>
        </is>
      </c>
      <c r="J259" s="5" t="n">
        <v>102</v>
      </c>
      <c r="K259" s="9" t="n">
        <v>100.17</v>
      </c>
      <c r="L259" s="14">
        <f>IFERROR(IF(OR(J259=0,K259=""),"",IF(E259="Positivo",MIN(MAX(K259/J259,0),1.3),MIN(MAX(J259/K259,0),1.3))),"") </f>
        <v/>
      </c>
      <c r="M259" s="14">
        <f>IFERROR(IF(OR(J259=0,K259=""),"",IF(E259="Positivo",MAX(K259/J259,0),MAX(J259/K259,0))),"") </f>
        <v/>
      </c>
      <c r="N259" s="5" t="inlineStr">
        <is>
          <t>$</t>
        </is>
      </c>
      <c r="O259" s="5" t="inlineStr">
        <is>
          <t>$</t>
        </is>
      </c>
      <c r="P259" s="15" t="n">
        <v>0</v>
      </c>
      <c r="Q259" s="15" t="n">
        <v>0</v>
      </c>
      <c r="R259" s="5" t="inlineStr">
        <is>
          <t>121-2024-12-31</t>
        </is>
      </c>
    </row>
    <row r="260">
      <c r="A260" s="26" t="n">
        <v>121</v>
      </c>
      <c r="B260" s="5" t="inlineStr">
        <is>
          <t>Ejecución presupuestal de la nómina acumulada</t>
        </is>
      </c>
      <c r="C260" s="5" t="inlineStr">
        <is>
          <t>GESTIÓN Y DESARROLLO DEL TALENTO HUMANO</t>
        </is>
      </c>
      <c r="D260" s="5" t="inlineStr">
        <is>
          <t>Mensual</t>
        </is>
      </c>
      <c r="E260" s="5" t="inlineStr">
        <is>
          <t>Negativo</t>
        </is>
      </c>
      <c r="F260" s="107" t="n">
        <v>45688</v>
      </c>
      <c r="G260" s="5" t="n">
        <v>2025</v>
      </c>
      <c r="H260" s="5" t="inlineStr">
        <is>
          <t>Enero</t>
        </is>
      </c>
      <c r="I260" s="6" t="inlineStr">
        <is>
          <t>2025-1</t>
        </is>
      </c>
      <c r="J260" s="5" t="n">
        <v>102</v>
      </c>
      <c r="K260" s="9" t="n">
        <v>99.18000000000001</v>
      </c>
      <c r="L260" s="14">
        <f>IFERROR(IF(OR(J260=0,K260=""),"",IF(E260="Positivo",MIN(MAX(K260/J260,0),1.3),MIN(MAX(J260/K260,0),1.3))),"") </f>
        <v/>
      </c>
      <c r="M260" s="14">
        <f>IFERROR(IF(OR(J260=0,K260=""),"",IF(E260="Positivo",MAX(K260/J260,0),MAX(J260/K260,0))),"") </f>
        <v/>
      </c>
      <c r="N260" s="5" t="inlineStr">
        <is>
          <t>$</t>
        </is>
      </c>
      <c r="O260" s="5" t="inlineStr">
        <is>
          <t>$</t>
        </is>
      </c>
      <c r="P260" s="15" t="n">
        <v>0</v>
      </c>
      <c r="Q260" s="15" t="n">
        <v>0</v>
      </c>
      <c r="R260" s="5" t="inlineStr">
        <is>
          <t>121-2025-01-31</t>
        </is>
      </c>
    </row>
    <row r="261">
      <c r="A261" s="21" t="n">
        <v>121</v>
      </c>
      <c r="B261" s="5" t="inlineStr">
        <is>
          <t>Ejecución presupuestal de la nómina acumulada</t>
        </is>
      </c>
      <c r="C261" s="5" t="inlineStr">
        <is>
          <t>GESTIÓN Y DESARROLLO DEL TALENTO HUMANO</t>
        </is>
      </c>
      <c r="D261" s="5" t="inlineStr">
        <is>
          <t>Mensual</t>
        </is>
      </c>
      <c r="E261" s="5" t="inlineStr">
        <is>
          <t>Negativo</t>
        </is>
      </c>
      <c r="F261" s="107" t="n">
        <v>45716</v>
      </c>
      <c r="G261" s="5" t="n">
        <v>2025</v>
      </c>
      <c r="H261" s="5" t="inlineStr">
        <is>
          <t>Febrero</t>
        </is>
      </c>
      <c r="I261" s="6" t="inlineStr">
        <is>
          <t>2025-1</t>
        </is>
      </c>
      <c r="J261" s="5" t="n">
        <v>102</v>
      </c>
      <c r="K261" s="10" t="n">
        <v>107.66</v>
      </c>
      <c r="L261" s="14">
        <f>IFERROR(IF(OR(J261=0,K261=""),"",IF(E261="Positivo",MIN(MAX(K261/J261,0),1.3),MIN(MAX(J261/K261,0),1.3))),"") </f>
        <v/>
      </c>
      <c r="M261" s="14">
        <f>IFERROR(IF(OR(J261=0,K261=""),"",IF(E261="Positivo",MAX(K261/J261,0),MAX(J261/K261,0))),"") </f>
        <v/>
      </c>
      <c r="N261" s="5" t="inlineStr">
        <is>
          <t>$</t>
        </is>
      </c>
      <c r="O261" s="5" t="inlineStr">
        <is>
          <t>$</t>
        </is>
      </c>
      <c r="P261" s="15" t="n">
        <v>0</v>
      </c>
      <c r="Q261" s="15" t="n">
        <v>0</v>
      </c>
      <c r="R261" s="5" t="inlineStr">
        <is>
          <t>121-2025-02-28</t>
        </is>
      </c>
    </row>
    <row r="262">
      <c r="A262" s="21" t="n">
        <v>121</v>
      </c>
      <c r="B262" s="5" t="inlineStr">
        <is>
          <t>Ejecución presupuestal de la nómina acumulada</t>
        </is>
      </c>
      <c r="C262" s="5" t="inlineStr">
        <is>
          <t>GESTIÓN Y DESARROLLO DEL TALENTO HUMANO</t>
        </is>
      </c>
      <c r="D262" s="5" t="inlineStr">
        <is>
          <t>Mensual</t>
        </is>
      </c>
      <c r="E262" s="5" t="inlineStr">
        <is>
          <t>Negativo</t>
        </is>
      </c>
      <c r="F262" s="107" t="n">
        <v>45747</v>
      </c>
      <c r="G262" s="5" t="n">
        <v>2025</v>
      </c>
      <c r="H262" s="5" t="inlineStr">
        <is>
          <t>Marzo</t>
        </is>
      </c>
      <c r="I262" s="6" t="inlineStr">
        <is>
          <t>2025-1</t>
        </is>
      </c>
      <c r="J262" s="5" t="n">
        <v>102</v>
      </c>
      <c r="K262" s="94" t="n">
        <v>106.77</v>
      </c>
      <c r="L262" s="14">
        <f>IFERROR(IF(OR(J262=0,K262=""),"",IF(E262="Positivo",MIN(MAX(K262/J262,0),1.3),MIN(MAX(J262/K262,0),1.3))),"") </f>
        <v/>
      </c>
      <c r="M262" s="14">
        <f>IFERROR(IF(OR(J262=0,K262=""),"",IF(E262="Positivo",MAX(K262/J262,0),MAX(J262/K262,0))),"") </f>
        <v/>
      </c>
      <c r="N262" s="5" t="inlineStr">
        <is>
          <t>$</t>
        </is>
      </c>
      <c r="O262" s="5" t="inlineStr">
        <is>
          <t>$</t>
        </is>
      </c>
      <c r="P262" s="15" t="n">
        <v>0</v>
      </c>
      <c r="Q262" s="15" t="n">
        <v>0</v>
      </c>
      <c r="R262" s="5" t="inlineStr">
        <is>
          <t>121-2025-03-31</t>
        </is>
      </c>
    </row>
    <row r="263">
      <c r="A263" s="21" t="n">
        <v>121</v>
      </c>
      <c r="B263" s="5" t="inlineStr">
        <is>
          <t>Ejecución presupuestal de la nómina acumulada</t>
        </is>
      </c>
      <c r="C263" s="5" t="inlineStr">
        <is>
          <t>GESTIÓN Y DESARROLLO DEL TALENTO HUMANO</t>
        </is>
      </c>
      <c r="D263" s="5" t="inlineStr">
        <is>
          <t>Mensual</t>
        </is>
      </c>
      <c r="E263" s="5" t="inlineStr">
        <is>
          <t>Negativo</t>
        </is>
      </c>
      <c r="F263" s="106" t="n">
        <v>45777</v>
      </c>
      <c r="G263" s="5" t="n">
        <v>2025</v>
      </c>
      <c r="H263" s="5" t="inlineStr">
        <is>
          <t>Abril</t>
        </is>
      </c>
      <c r="I263" s="6" t="inlineStr">
        <is>
          <t>2025-1</t>
        </is>
      </c>
      <c r="J263" s="5" t="n">
        <v>102</v>
      </c>
      <c r="K263" s="94" t="n">
        <v>106</v>
      </c>
      <c r="L263" s="14">
        <f>IFERROR(IF(OR(J263=0,K263=""),"",IF(E263="Positivo",MIN(MAX(K263/J263,0),1.3),MIN(MAX(J263/K263,0),1.3))),"") </f>
        <v/>
      </c>
      <c r="M263" s="14">
        <f>IFERROR(IF(OR(J263=0,K263=""),"",IF(E263="Positivo",MAX(K263/J263,0),MAX(J263/K263,0))),"") </f>
        <v/>
      </c>
      <c r="N263" s="5" t="inlineStr">
        <is>
          <t>$</t>
        </is>
      </c>
      <c r="O263" s="5" t="inlineStr">
        <is>
          <t>$</t>
        </is>
      </c>
      <c r="P263" s="15" t="n">
        <v>0</v>
      </c>
      <c r="Q263" s="15" t="n">
        <v>0</v>
      </c>
      <c r="R263" s="5" t="inlineStr">
        <is>
          <t>121-2025-04-30</t>
        </is>
      </c>
    </row>
    <row r="264">
      <c r="A264" s="21" t="n">
        <v>121</v>
      </c>
      <c r="B264" s="5" t="inlineStr">
        <is>
          <t>Ejecución presupuestal de la nómina acumulada</t>
        </is>
      </c>
      <c r="C264" s="5" t="inlineStr">
        <is>
          <t>GESTIÓN Y DESARROLLO DEL TALENTO HUMANO</t>
        </is>
      </c>
      <c r="D264" s="5" t="inlineStr">
        <is>
          <t>Mensual</t>
        </is>
      </c>
      <c r="E264" s="5" t="inlineStr">
        <is>
          <t>Negativo</t>
        </is>
      </c>
      <c r="F264" s="107" t="n">
        <v>45808</v>
      </c>
      <c r="G264" s="5" t="n">
        <v>2025</v>
      </c>
      <c r="H264" s="5" t="inlineStr">
        <is>
          <t>Mayo</t>
        </is>
      </c>
      <c r="I264" s="6" t="inlineStr">
        <is>
          <t>2025-1</t>
        </is>
      </c>
      <c r="J264" s="5" t="n">
        <v>102</v>
      </c>
      <c r="K264" s="94" t="n">
        <v>114.9</v>
      </c>
      <c r="L264" s="14">
        <f>IFERROR(IF(OR(J264=0,K264=""),"",IF(E264="Positivo",MIN(MAX(K264/J264,0),1.3),MIN(MAX(J264/K264,0),1.3))),"") </f>
        <v/>
      </c>
      <c r="M264" s="14">
        <f>IFERROR(IF(OR(J264=0,K264=""),"",IF(E264="Positivo",MAX(K264/J264,0),MAX(J264/K264,0))),"") </f>
        <v/>
      </c>
      <c r="N264" s="5" t="inlineStr">
        <is>
          <t>$</t>
        </is>
      </c>
      <c r="O264" s="5" t="inlineStr">
        <is>
          <t>$</t>
        </is>
      </c>
      <c r="P264" s="15" t="n">
        <v>0</v>
      </c>
      <c r="Q264" s="15" t="n">
        <v>0</v>
      </c>
      <c r="R264" s="5" t="inlineStr">
        <is>
          <t>121-2025-05-31</t>
        </is>
      </c>
    </row>
    <row r="265">
      <c r="A265" s="21" t="n">
        <v>121</v>
      </c>
      <c r="B265" s="5" t="inlineStr">
        <is>
          <t>Ejecución presupuestal de la nómina acumulada</t>
        </is>
      </c>
      <c r="C265" s="5" t="inlineStr">
        <is>
          <t>GESTIÓN Y DESARROLLO DEL TALENTO HUMANO</t>
        </is>
      </c>
      <c r="D265" s="5" t="inlineStr">
        <is>
          <t>Mensual</t>
        </is>
      </c>
      <c r="E265" s="5" t="inlineStr">
        <is>
          <t>Negativo</t>
        </is>
      </c>
      <c r="F265" s="107" t="n">
        <v>45838</v>
      </c>
      <c r="G265" s="5" t="n">
        <v>2025</v>
      </c>
      <c r="H265" s="5" t="inlineStr">
        <is>
          <t>Junio</t>
        </is>
      </c>
      <c r="I265" s="6" t="inlineStr">
        <is>
          <t>2025-1</t>
        </is>
      </c>
      <c r="J265" s="5" t="n">
        <v>102</v>
      </c>
      <c r="K265" s="94" t="n">
        <v>110.06</v>
      </c>
      <c r="L265" s="14">
        <f>IFERROR(IF(OR(J265=0,K265=""),"",IF(E265="Positivo",MIN(MAX(K265/J265,0),1.3),MIN(MAX(J265/K265,0),1.3))),"") </f>
        <v/>
      </c>
      <c r="M265" s="14">
        <f>IFERROR(IF(OR(J265=0,K265=""),"",IF(E265="Positivo",MAX(K265/J265,0),MAX(J265/K265,0))),"") </f>
        <v/>
      </c>
      <c r="N265" s="5" t="inlineStr">
        <is>
          <t>$</t>
        </is>
      </c>
      <c r="O265" s="5" t="inlineStr">
        <is>
          <t>$</t>
        </is>
      </c>
      <c r="P265" s="15" t="n">
        <v>0</v>
      </c>
      <c r="Q265" s="15" t="n">
        <v>0</v>
      </c>
      <c r="R265" s="5" t="inlineStr">
        <is>
          <t>121-2025-06-30</t>
        </is>
      </c>
    </row>
    <row r="266">
      <c r="A266" s="21" t="n">
        <v>121</v>
      </c>
      <c r="B266" s="5" t="inlineStr">
        <is>
          <t>Ejecución presupuestal de la nómina acumulada</t>
        </is>
      </c>
      <c r="C266" s="5" t="inlineStr">
        <is>
          <t>GESTIÓN Y DESARROLLO DEL TALENTO HUMANO</t>
        </is>
      </c>
      <c r="D266" s="5" t="inlineStr">
        <is>
          <t>Mensual</t>
        </is>
      </c>
      <c r="E266" s="5" t="inlineStr">
        <is>
          <t>Negativo</t>
        </is>
      </c>
      <c r="F266" s="107" t="n">
        <v>45869</v>
      </c>
      <c r="G266" s="5" t="n">
        <v>2025</v>
      </c>
      <c r="H266" s="5" t="inlineStr">
        <is>
          <t>Julio</t>
        </is>
      </c>
      <c r="I266" s="6" t="inlineStr">
        <is>
          <t>2025-2</t>
        </is>
      </c>
      <c r="J266" s="5" t="n">
        <v>102</v>
      </c>
      <c r="K266" s="94" t="n">
        <v>112.24</v>
      </c>
      <c r="L266" s="14">
        <f>IFERROR(IF(OR(J266=0,K266=""),"",IF(E266="Positivo",MIN(MAX(K266/J266,0),1.3),MIN(MAX(J266/K266,0),1.3))),"") </f>
        <v/>
      </c>
      <c r="M266" s="14">
        <f>IFERROR(IF(OR(J266=0,K266=""),"",IF(E266="Positivo",MAX(K266/J266,0),MAX(J266/K266,0))),"") </f>
        <v/>
      </c>
      <c r="N266" s="5" t="inlineStr">
        <is>
          <t>$</t>
        </is>
      </c>
      <c r="O266" s="5" t="inlineStr">
        <is>
          <t>$</t>
        </is>
      </c>
      <c r="P266" s="15" t="n">
        <v>0</v>
      </c>
      <c r="Q266" s="15" t="n">
        <v>0</v>
      </c>
      <c r="R266" s="5" t="inlineStr">
        <is>
          <t>121-2025-07-31</t>
        </is>
      </c>
    </row>
    <row r="267">
      <c r="A267" s="21" t="n">
        <v>121</v>
      </c>
      <c r="B267" s="5" t="inlineStr">
        <is>
          <t>Ejecución presupuestal de la nómina acumulada</t>
        </is>
      </c>
      <c r="C267" s="5" t="inlineStr">
        <is>
          <t>GESTIÓN Y DESARROLLO DEL TALENTO HUMANO</t>
        </is>
      </c>
      <c r="D267" s="5" t="inlineStr">
        <is>
          <t>Mensual</t>
        </is>
      </c>
      <c r="E267" s="5" t="inlineStr">
        <is>
          <t>Negativo</t>
        </is>
      </c>
      <c r="F267" s="107" t="n">
        <v>45900</v>
      </c>
      <c r="G267" s="5" t="n">
        <v>2025</v>
      </c>
      <c r="H267" s="5" t="inlineStr">
        <is>
          <t>Agosto</t>
        </is>
      </c>
      <c r="I267" s="6" t="inlineStr">
        <is>
          <t>2025-2</t>
        </is>
      </c>
      <c r="J267" s="5" t="n">
        <v>102</v>
      </c>
      <c r="K267" s="94" t="n">
        <v>100.68</v>
      </c>
      <c r="L267" s="14">
        <f>IFERROR(IF(OR(J267=0,K267=""),"",IF(E267="Positivo",MIN(MAX(K267/J267,0),1.3),MIN(MAX(J267/K267,0),1.3))),"") </f>
        <v/>
      </c>
      <c r="M267" s="14">
        <f>IFERROR(IF(OR(J267=0,K267=""),"",IF(E267="Positivo",MAX(K267/J267,0),MAX(J267/K267,0))),"") </f>
        <v/>
      </c>
      <c r="N267" s="5" t="inlineStr">
        <is>
          <t>$</t>
        </is>
      </c>
      <c r="O267" s="5" t="inlineStr">
        <is>
          <t>$</t>
        </is>
      </c>
      <c r="P267" s="15" t="n">
        <v>0</v>
      </c>
      <c r="Q267" s="15" t="n">
        <v>0</v>
      </c>
      <c r="R267" s="5" t="inlineStr">
        <is>
          <t>121-2025-08-31</t>
        </is>
      </c>
    </row>
    <row r="268">
      <c r="A268" s="21" t="n">
        <v>121</v>
      </c>
      <c r="B268" s="5" t="inlineStr">
        <is>
          <t>Ejecución presupuestal de la nómina acumulada</t>
        </is>
      </c>
      <c r="C268" s="5" t="inlineStr">
        <is>
          <t>GESTIÓN Y DESARROLLO DEL TALENTO HUMANO</t>
        </is>
      </c>
      <c r="D268" s="5" t="inlineStr">
        <is>
          <t>Mensual</t>
        </is>
      </c>
      <c r="E268" s="5" t="inlineStr">
        <is>
          <t>Negativo</t>
        </is>
      </c>
      <c r="F268" s="107" t="n">
        <v>45930</v>
      </c>
      <c r="G268" s="5" t="n">
        <v>2025</v>
      </c>
      <c r="H268" s="5" t="inlineStr">
        <is>
          <t>Septiembre</t>
        </is>
      </c>
      <c r="I268" s="6" t="inlineStr">
        <is>
          <t>2025-2</t>
        </is>
      </c>
      <c r="J268" s="5" t="n">
        <v>102</v>
      </c>
      <c r="K268" s="94" t="n">
        <v>99.29000000000001</v>
      </c>
      <c r="L268" s="14">
        <f>IFERROR(IF(OR(J268=0,K268=""),"",IF(E268="Positivo",MIN(MAX(K268/J268,0),1.3),MIN(MAX(J268/K268,0),1.3))),"") </f>
        <v/>
      </c>
      <c r="M268" s="14">
        <f>IFERROR(IF(OR(J268=0,K268=""),"",IF(E268="Positivo",MAX(K268/J268,0),MAX(J268/K268,0))),"") </f>
        <v/>
      </c>
      <c r="N268" s="5" t="inlineStr">
        <is>
          <t>$</t>
        </is>
      </c>
      <c r="O268" s="5" t="inlineStr">
        <is>
          <t>$</t>
        </is>
      </c>
      <c r="P268" s="15" t="n">
        <v>0</v>
      </c>
      <c r="Q268" s="15" t="n">
        <v>0</v>
      </c>
      <c r="R268" s="5" t="inlineStr">
        <is>
          <t>121-2025-09-30</t>
        </is>
      </c>
    </row>
    <row r="269">
      <c r="A269" s="21" t="n">
        <v>121</v>
      </c>
      <c r="B269" s="5" t="inlineStr">
        <is>
          <t>Ejecución presupuestal de la nómina acumulada</t>
        </is>
      </c>
      <c r="C269" s="5" t="inlineStr">
        <is>
          <t>GESTIÓN Y DESARROLLO DEL TALENTO HUMANO</t>
        </is>
      </c>
      <c r="D269" s="5" t="inlineStr">
        <is>
          <t>Mensual</t>
        </is>
      </c>
      <c r="E269" s="5" t="inlineStr">
        <is>
          <t>Negativo</t>
        </is>
      </c>
      <c r="F269" s="107" t="n">
        <v>45961</v>
      </c>
      <c r="G269" s="5" t="n">
        <v>2025</v>
      </c>
      <c r="H269" s="5" t="inlineStr">
        <is>
          <t>Octubre</t>
        </is>
      </c>
      <c r="I269" s="6" t="inlineStr">
        <is>
          <t>2025-2</t>
        </is>
      </c>
      <c r="J269" s="5" t="n">
        <v>102</v>
      </c>
      <c r="K269" s="94" t="n">
        <v>107.27</v>
      </c>
      <c r="L269" s="14">
        <f>IFERROR(IF(OR(J269=0,K269=""),"",IF(E269="Positivo",MIN(MAX(K269/J269,0),1.3),MIN(MAX(J269/K269,0),1.3))),"") </f>
        <v/>
      </c>
      <c r="M269" s="14">
        <f>IFERROR(IF(OR(J269=0,K269=""),"",IF(E269="Positivo",MAX(K269/J269,0),MAX(J269/K269,0))),"") </f>
        <v/>
      </c>
      <c r="N269" s="5" t="inlineStr">
        <is>
          <t>$</t>
        </is>
      </c>
      <c r="O269" s="5" t="inlineStr">
        <is>
          <t>$</t>
        </is>
      </c>
      <c r="P269" s="15" t="n">
        <v>0</v>
      </c>
      <c r="Q269" s="15" t="n">
        <v>0</v>
      </c>
      <c r="R269" s="5" t="inlineStr">
        <is>
          <t>121-2025-10-31</t>
        </is>
      </c>
    </row>
    <row r="270">
      <c r="A270" s="21" t="n">
        <v>121</v>
      </c>
      <c r="B270" s="5" t="inlineStr">
        <is>
          <t>Ejecución presupuestal de la nómina acumulada</t>
        </is>
      </c>
      <c r="C270" s="5" t="inlineStr">
        <is>
          <t>GESTIÓN Y DESARROLLO DEL TALENTO HUMANO</t>
        </is>
      </c>
      <c r="D270" s="5" t="inlineStr">
        <is>
          <t>Mensual</t>
        </is>
      </c>
      <c r="E270" s="5" t="inlineStr">
        <is>
          <t>Negativo</t>
        </is>
      </c>
      <c r="F270" s="107" t="n">
        <v>45991</v>
      </c>
      <c r="G270" s="5" t="n">
        <v>2025</v>
      </c>
      <c r="H270" s="5" t="inlineStr">
        <is>
          <t>Noviembre</t>
        </is>
      </c>
      <c r="I270" s="6" t="inlineStr">
        <is>
          <t>2025-2</t>
        </is>
      </c>
      <c r="J270" s="5" t="n">
        <v>102</v>
      </c>
      <c r="K270" s="94" t="n">
        <v>106.53</v>
      </c>
      <c r="L270" s="14">
        <f>IFERROR(IF(OR(J270=0,K270=""),"",IF(E270="Positivo",MIN(MAX(K270/J270,0),1.3),MIN(MAX(J270/K270,0),1.3))),"") </f>
        <v/>
      </c>
      <c r="M270" s="14">
        <f>IFERROR(IF(OR(J270=0,K270=""),"",IF(E270="Positivo",MAX(K270/J270,0),MAX(J270/K270,0))),"") </f>
        <v/>
      </c>
      <c r="N270" s="5" t="inlineStr">
        <is>
          <t>$</t>
        </is>
      </c>
      <c r="O270" s="5" t="inlineStr">
        <is>
          <t>$</t>
        </is>
      </c>
      <c r="P270" s="15" t="n">
        <v>0</v>
      </c>
      <c r="Q270" s="15" t="n">
        <v>0</v>
      </c>
      <c r="R270" s="5" t="inlineStr">
        <is>
          <t>121-2025-11-30</t>
        </is>
      </c>
    </row>
    <row r="271">
      <c r="A271" s="26" t="n">
        <v>121</v>
      </c>
      <c r="B271" s="5" t="inlineStr">
        <is>
          <t>Ejecución presupuestal de la nómina acumulada</t>
        </is>
      </c>
      <c r="C271" s="5" t="inlineStr">
        <is>
          <t>GESTIÓN Y DESARROLLO DEL TALENTO HUMANO</t>
        </is>
      </c>
      <c r="D271" s="5" t="inlineStr">
        <is>
          <t>Mensual</t>
        </is>
      </c>
      <c r="E271" s="5" t="inlineStr">
        <is>
          <t>Negativo</t>
        </is>
      </c>
      <c r="F271" s="107" t="n">
        <v>46022</v>
      </c>
      <c r="G271" s="5" t="n">
        <v>2025</v>
      </c>
      <c r="H271" s="5" t="inlineStr">
        <is>
          <t>Diciembre</t>
        </is>
      </c>
      <c r="I271" s="6" t="inlineStr">
        <is>
          <t>2025-2</t>
        </is>
      </c>
      <c r="J271" s="5" t="n">
        <v>102</v>
      </c>
      <c r="K271" s="94" t="n">
        <v>104.92</v>
      </c>
      <c r="L271" s="14">
        <f>IFERROR(IF(OR(J271=0,K271=""),"",IF(E271="Positivo",MIN(MAX(K271/J271,0),1.3),MIN(MAX(J271/K271,0),1.3))),"") </f>
        <v/>
      </c>
      <c r="M271" s="14">
        <f>IFERROR(IF(OR(J271=0,K271=""),"",IF(E271="Positivo",MAX(K271/J271,0),MAX(J271/K271,0))),"") </f>
        <v/>
      </c>
      <c r="N271" s="5" t="inlineStr">
        <is>
          <t>$</t>
        </is>
      </c>
      <c r="O271" s="5" t="inlineStr">
        <is>
          <t>$</t>
        </is>
      </c>
      <c r="P271" s="15" t="n">
        <v>0</v>
      </c>
      <c r="Q271" s="15" t="n">
        <v>0</v>
      </c>
      <c r="R271" s="5" t="inlineStr">
        <is>
          <t>121-2025-12-31</t>
        </is>
      </c>
    </row>
    <row r="272">
      <c r="A272" s="21" t="n">
        <v>122</v>
      </c>
      <c r="B272" s="5" t="inlineStr">
        <is>
          <t>Eficacia en la solicitud documental- por periodo</t>
        </is>
      </c>
      <c r="C272" s="5" t="inlineStr">
        <is>
          <t>Gestión de calidad</t>
        </is>
      </c>
      <c r="D272" s="5" t="inlineStr">
        <is>
          <t>Mensual</t>
        </is>
      </c>
      <c r="E272" s="5" t="inlineStr">
        <is>
          <t>Positivo</t>
        </is>
      </c>
      <c r="F272" s="107" t="n">
        <v>44620</v>
      </c>
      <c r="G272" s="5" t="n">
        <v>2022</v>
      </c>
      <c r="H272" s="5" t="inlineStr">
        <is>
          <t>Febrero</t>
        </is>
      </c>
      <c r="I272" s="6" t="inlineStr">
        <is>
          <t>2022-1</t>
        </is>
      </c>
      <c r="J272" s="5" t="n">
        <v>80</v>
      </c>
      <c r="K272" s="94" t="n">
        <v>80</v>
      </c>
      <c r="L272" s="14">
        <f>IFERROR(IF(OR(J272=0,K272=""),"",IF(E272="Positivo",MIN(MAX(K272/J272,0),1.3),MIN(MAX(J272/K272,0),1.3))),"") </f>
        <v/>
      </c>
      <c r="M272" s="14">
        <f>IFERROR(IF(OR(J272=0,K272=""),"",IF(E272="Positivo",MAX(K272/J272,0),MAX(J272/K272,0))),"") </f>
        <v/>
      </c>
      <c r="N272" s="5" t="inlineStr">
        <is>
          <t>%</t>
        </is>
      </c>
      <c r="O272" s="5" t="inlineStr">
        <is>
          <t>%</t>
        </is>
      </c>
      <c r="P272" s="15" t="n">
        <v>0</v>
      </c>
      <c r="Q272" s="15" t="n">
        <v>0</v>
      </c>
      <c r="R272" s="5" t="inlineStr">
        <is>
          <t>122-2022-02-28</t>
        </is>
      </c>
    </row>
    <row r="273">
      <c r="A273" s="21" t="n">
        <v>122</v>
      </c>
      <c r="B273" s="5" t="inlineStr">
        <is>
          <t>Eficacia en la solicitud documental- por periodo</t>
        </is>
      </c>
      <c r="C273" s="5" t="inlineStr">
        <is>
          <t>Gestión de calidad</t>
        </is>
      </c>
      <c r="D273" s="5" t="inlineStr">
        <is>
          <t>Mensual</t>
        </is>
      </c>
      <c r="E273" s="5" t="inlineStr">
        <is>
          <t>Positivo</t>
        </is>
      </c>
      <c r="F273" s="107" t="n">
        <v>44681</v>
      </c>
      <c r="G273" s="5" t="n">
        <v>2022</v>
      </c>
      <c r="H273" s="5" t="inlineStr">
        <is>
          <t>Abril</t>
        </is>
      </c>
      <c r="I273" s="6" t="inlineStr">
        <is>
          <t>2022-1</t>
        </is>
      </c>
      <c r="J273" s="5" t="n">
        <v>80</v>
      </c>
      <c r="K273" s="94" t="n">
        <v>100</v>
      </c>
      <c r="L273" s="14">
        <f>IFERROR(IF(OR(J273=0,K273=""),"",IF(E273="Positivo",MIN(MAX(K273/J273,0),1.3),MIN(MAX(J273/K273,0),1.3))),"") </f>
        <v/>
      </c>
      <c r="M273" s="14">
        <f>IFERROR(IF(OR(J273=0,K273=""),"",IF(E273="Positivo",MAX(K273/J273,0),MAX(J273/K273,0))),"") </f>
        <v/>
      </c>
      <c r="N273" s="5" t="inlineStr">
        <is>
          <t>%</t>
        </is>
      </c>
      <c r="O273" s="5" t="inlineStr">
        <is>
          <t>%</t>
        </is>
      </c>
      <c r="P273" s="15" t="n">
        <v>0</v>
      </c>
      <c r="Q273" s="15" t="n">
        <v>0</v>
      </c>
      <c r="R273" s="5" t="inlineStr">
        <is>
          <t>122-2022-04-30</t>
        </is>
      </c>
    </row>
    <row r="274">
      <c r="A274" s="21" t="n">
        <v>122</v>
      </c>
      <c r="B274" s="5" t="inlineStr">
        <is>
          <t>Eficacia en la solicitud documental- por periodo</t>
        </is>
      </c>
      <c r="C274" s="5" t="inlineStr">
        <is>
          <t>Gestión de calidad</t>
        </is>
      </c>
      <c r="D274" s="5" t="inlineStr">
        <is>
          <t>Mensual</t>
        </is>
      </c>
      <c r="E274" s="5" t="inlineStr">
        <is>
          <t>Positivo</t>
        </is>
      </c>
      <c r="F274" s="107" t="n">
        <v>44742</v>
      </c>
      <c r="G274" s="5" t="n">
        <v>2022</v>
      </c>
      <c r="H274" s="5" t="inlineStr">
        <is>
          <t>Junio</t>
        </is>
      </c>
      <c r="I274" s="6" t="inlineStr">
        <is>
          <t>2022-1</t>
        </is>
      </c>
      <c r="J274" s="5" t="n">
        <v>80</v>
      </c>
      <c r="K274" s="94" t="n">
        <v>47.619047619048</v>
      </c>
      <c r="L274" s="14">
        <f>IFERROR(IF(OR(J274=0,K274=""),"",IF(E274="Positivo",MIN(MAX(K274/J274,0),1.3),MIN(MAX(J274/K274,0),1.3))),"") </f>
        <v/>
      </c>
      <c r="M274" s="14">
        <f>IFERROR(IF(OR(J274=0,K274=""),"",IF(E274="Positivo",MAX(K274/J274,0),MAX(J274/K274,0))),"") </f>
        <v/>
      </c>
      <c r="N274" s="5" t="inlineStr">
        <is>
          <t>%</t>
        </is>
      </c>
      <c r="O274" s="5" t="inlineStr">
        <is>
          <t>%</t>
        </is>
      </c>
      <c r="P274" s="15" t="n">
        <v>0</v>
      </c>
      <c r="Q274" s="15" t="n">
        <v>0</v>
      </c>
      <c r="R274" s="5" t="inlineStr">
        <is>
          <t>122-2022-06-30</t>
        </is>
      </c>
    </row>
    <row r="275">
      <c r="A275" s="21" t="n">
        <v>122</v>
      </c>
      <c r="B275" s="5" t="inlineStr">
        <is>
          <t>Eficacia en la solicitud documental- por periodo</t>
        </is>
      </c>
      <c r="C275" s="5" t="inlineStr">
        <is>
          <t>Gestión de calidad</t>
        </is>
      </c>
      <c r="D275" s="5" t="inlineStr">
        <is>
          <t>Mensual</t>
        </is>
      </c>
      <c r="E275" s="5" t="inlineStr">
        <is>
          <t>Positivo</t>
        </is>
      </c>
      <c r="F275" s="107" t="n">
        <v>44773</v>
      </c>
      <c r="G275" s="5" t="n">
        <v>2022</v>
      </c>
      <c r="H275" s="5" t="inlineStr">
        <is>
          <t>Julio</t>
        </is>
      </c>
      <c r="I275" s="6" t="inlineStr">
        <is>
          <t>2022-2</t>
        </is>
      </c>
      <c r="J275" s="5" t="n">
        <v>80</v>
      </c>
      <c r="K275" s="94" t="n"/>
      <c r="L275" s="14" t="n"/>
      <c r="M275" s="14" t="n"/>
      <c r="N275" s="5" t="inlineStr">
        <is>
          <t>%</t>
        </is>
      </c>
      <c r="O275" s="5" t="inlineStr">
        <is>
          <t>No Aplica</t>
        </is>
      </c>
      <c r="P275" s="15" t="n">
        <v>0</v>
      </c>
      <c r="Q275" s="15" t="n">
        <v>0</v>
      </c>
      <c r="R275" s="5" t="inlineStr">
        <is>
          <t>122-2022-07-31</t>
        </is>
      </c>
      <c r="S275" t="inlineStr">
        <is>
          <t>No Aplica</t>
        </is>
      </c>
    </row>
    <row r="276">
      <c r="A276" s="21" t="n">
        <v>122</v>
      </c>
      <c r="B276" s="5" t="inlineStr">
        <is>
          <t>Eficacia en la solicitud documental- por periodo</t>
        </is>
      </c>
      <c r="C276" s="5" t="inlineStr">
        <is>
          <t>Gestión de calidad</t>
        </is>
      </c>
      <c r="D276" s="5" t="inlineStr">
        <is>
          <t>Mensual</t>
        </is>
      </c>
      <c r="E276" s="5" t="inlineStr">
        <is>
          <t>Positivo</t>
        </is>
      </c>
      <c r="F276" s="107" t="n">
        <v>44804</v>
      </c>
      <c r="G276" s="5" t="n">
        <v>2022</v>
      </c>
      <c r="H276" s="5" t="inlineStr">
        <is>
          <t>Agosto</t>
        </is>
      </c>
      <c r="I276" s="6" t="inlineStr">
        <is>
          <t>2022-2</t>
        </is>
      </c>
      <c r="J276" s="5" t="n">
        <v>80</v>
      </c>
      <c r="K276" s="94" t="n">
        <v>98.717948717949</v>
      </c>
      <c r="L276" s="14">
        <f>IFERROR(IF(OR(J276=0,K276=""),"",IF(E276="Positivo",MIN(MAX(K276/J276,0),1.3),MIN(MAX(J276/K276,0),1.3))),"") </f>
        <v/>
      </c>
      <c r="M276" s="14">
        <f>IFERROR(IF(OR(J276=0,K276=""),"",IF(E276="Positivo",MAX(K276/J276,0),MAX(J276/K276,0))),"") </f>
        <v/>
      </c>
      <c r="N276" s="5" t="inlineStr">
        <is>
          <t>%</t>
        </is>
      </c>
      <c r="O276" s="5" t="inlineStr">
        <is>
          <t>%</t>
        </is>
      </c>
      <c r="P276" s="15" t="n">
        <v>0</v>
      </c>
      <c r="Q276" s="15" t="n">
        <v>0</v>
      </c>
      <c r="R276" s="5" t="inlineStr">
        <is>
          <t>122-2022-08-31</t>
        </is>
      </c>
    </row>
    <row r="277">
      <c r="A277" s="21" t="n">
        <v>122</v>
      </c>
      <c r="B277" s="5" t="inlineStr">
        <is>
          <t>Eficacia en la solicitud documental- por periodo</t>
        </is>
      </c>
      <c r="C277" s="5" t="inlineStr">
        <is>
          <t>Gestión de calidad</t>
        </is>
      </c>
      <c r="D277" s="5" t="inlineStr">
        <is>
          <t>Mensual</t>
        </is>
      </c>
      <c r="E277" s="5" t="inlineStr">
        <is>
          <t>Positivo</t>
        </is>
      </c>
      <c r="F277" s="107" t="n">
        <v>44834</v>
      </c>
      <c r="G277" s="5" t="n">
        <v>2022</v>
      </c>
      <c r="H277" s="5" t="inlineStr">
        <is>
          <t>Septiembre</t>
        </is>
      </c>
      <c r="I277" s="6" t="inlineStr">
        <is>
          <t>2022-2</t>
        </is>
      </c>
      <c r="J277" s="5" t="n">
        <v>80</v>
      </c>
      <c r="K277" s="94" t="n"/>
      <c r="L277" s="14" t="n"/>
      <c r="M277" s="14" t="n"/>
      <c r="N277" s="5" t="inlineStr">
        <is>
          <t>%</t>
        </is>
      </c>
      <c r="O277" s="5" t="inlineStr">
        <is>
          <t>No Aplica</t>
        </is>
      </c>
      <c r="P277" s="15" t="n">
        <v>0</v>
      </c>
      <c r="Q277" s="15" t="n">
        <v>0</v>
      </c>
      <c r="R277" s="5" t="inlineStr">
        <is>
          <t>122-2022-09-30</t>
        </is>
      </c>
      <c r="S277" t="inlineStr">
        <is>
          <t>No Aplica</t>
        </is>
      </c>
    </row>
    <row r="278">
      <c r="A278" s="21" t="n">
        <v>122</v>
      </c>
      <c r="B278" s="5" t="inlineStr">
        <is>
          <t>Eficacia en la solicitud documental- por periodo</t>
        </is>
      </c>
      <c r="C278" s="5" t="inlineStr">
        <is>
          <t>Gestión de calidad</t>
        </is>
      </c>
      <c r="D278" s="5" t="inlineStr">
        <is>
          <t>Mensual</t>
        </is>
      </c>
      <c r="E278" s="5" t="inlineStr">
        <is>
          <t>Positivo</t>
        </is>
      </c>
      <c r="F278" s="107" t="n">
        <v>44865</v>
      </c>
      <c r="G278" s="5" t="n">
        <v>2022</v>
      </c>
      <c r="H278" s="5" t="inlineStr">
        <is>
          <t>Octubre</t>
        </is>
      </c>
      <c r="I278" s="6" t="inlineStr">
        <is>
          <t>2022-2</t>
        </is>
      </c>
      <c r="J278" s="5" t="n">
        <v>80</v>
      </c>
      <c r="K278" s="94" t="n">
        <v>100</v>
      </c>
      <c r="L278" s="14">
        <f>IFERROR(IF(OR(J278=0,K278=""),"",IF(E278="Positivo",MIN(MAX(K278/J278,0),1.3),MIN(MAX(J278/K278,0),1.3))),"") </f>
        <v/>
      </c>
      <c r="M278" s="14">
        <f>IFERROR(IF(OR(J278=0,K278=""),"",IF(E278="Positivo",MAX(K278/J278,0),MAX(J278/K278,0))),"") </f>
        <v/>
      </c>
      <c r="N278" s="5" t="inlineStr">
        <is>
          <t>%</t>
        </is>
      </c>
      <c r="O278" s="5" t="inlineStr">
        <is>
          <t>%</t>
        </is>
      </c>
      <c r="P278" s="15" t="n">
        <v>0</v>
      </c>
      <c r="Q278" s="15" t="n">
        <v>0</v>
      </c>
      <c r="R278" s="5" t="inlineStr">
        <is>
          <t>122-2022-10-31</t>
        </is>
      </c>
    </row>
    <row r="279">
      <c r="A279" s="26" t="n">
        <v>122</v>
      </c>
      <c r="B279" s="5" t="inlineStr">
        <is>
          <t>Eficacia en la solicitud documental- por periodo</t>
        </is>
      </c>
      <c r="C279" s="5" t="inlineStr">
        <is>
          <t>Gestión de calidad</t>
        </is>
      </c>
      <c r="D279" s="5" t="inlineStr">
        <is>
          <t>Mensual</t>
        </is>
      </c>
      <c r="E279" s="5" t="inlineStr">
        <is>
          <t>Positivo</t>
        </is>
      </c>
      <c r="F279" s="107" t="n">
        <v>44895</v>
      </c>
      <c r="G279" s="5" t="n">
        <v>2022</v>
      </c>
      <c r="H279" s="5" t="inlineStr">
        <is>
          <t>Noviembre</t>
        </is>
      </c>
      <c r="I279" s="6" t="inlineStr">
        <is>
          <t>2022-2</t>
        </is>
      </c>
      <c r="J279" s="5" t="n">
        <v>80</v>
      </c>
      <c r="K279" s="94" t="n"/>
      <c r="L279" s="14" t="n"/>
      <c r="M279" s="14" t="n"/>
      <c r="N279" s="5" t="inlineStr">
        <is>
          <t>%</t>
        </is>
      </c>
      <c r="O279" s="5" t="inlineStr">
        <is>
          <t>No Aplica</t>
        </is>
      </c>
      <c r="P279" s="15" t="n">
        <v>0</v>
      </c>
      <c r="Q279" s="15" t="n">
        <v>0</v>
      </c>
      <c r="R279" s="5" t="inlineStr">
        <is>
          <t>122-2022-11-30</t>
        </is>
      </c>
      <c r="S279" t="inlineStr">
        <is>
          <t>No Aplica</t>
        </is>
      </c>
    </row>
    <row r="280">
      <c r="A280" s="26" t="n">
        <v>122</v>
      </c>
      <c r="B280" s="5" t="inlineStr">
        <is>
          <t>Eficacia en la solicitud documental- por periodo</t>
        </is>
      </c>
      <c r="C280" s="5" t="inlineStr">
        <is>
          <t>Gestión de calidad</t>
        </is>
      </c>
      <c r="D280" s="5" t="inlineStr">
        <is>
          <t>Mensual</t>
        </is>
      </c>
      <c r="E280" s="5" t="inlineStr">
        <is>
          <t>Positivo</t>
        </is>
      </c>
      <c r="F280" s="107" t="n">
        <v>44926</v>
      </c>
      <c r="G280" s="5" t="n">
        <v>2022</v>
      </c>
      <c r="H280" s="5" t="inlineStr">
        <is>
          <t>Diciembre</t>
        </is>
      </c>
      <c r="I280" s="6" t="inlineStr">
        <is>
          <t>2022-2</t>
        </is>
      </c>
      <c r="J280" s="5" t="n">
        <v>80</v>
      </c>
      <c r="K280" s="94" t="n">
        <v>100</v>
      </c>
      <c r="L280" s="14">
        <f>IFERROR(IF(OR(J280=0,K280=""),"",IF(E280="Positivo",MIN(MAX(K280/J280,0),1.3),MIN(MAX(J280/K280,0),1.3))),"") </f>
        <v/>
      </c>
      <c r="M280" s="14">
        <f>IFERROR(IF(OR(J280=0,K280=""),"",IF(E280="Positivo",MAX(K280/J280,0),MAX(J280/K280,0))),"") </f>
        <v/>
      </c>
      <c r="N280" s="5" t="inlineStr">
        <is>
          <t>%</t>
        </is>
      </c>
      <c r="O280" s="5" t="inlineStr">
        <is>
          <t>%</t>
        </is>
      </c>
      <c r="P280" s="15" t="n">
        <v>0</v>
      </c>
      <c r="Q280" s="15" t="n">
        <v>0</v>
      </c>
      <c r="R280" s="5" t="inlineStr">
        <is>
          <t>122-2022-12-31</t>
        </is>
      </c>
    </row>
    <row r="281">
      <c r="A281" s="26" t="n">
        <v>122</v>
      </c>
      <c r="B281" s="5" t="inlineStr">
        <is>
          <t>Eficacia en la solicitud documental- por periodo</t>
        </is>
      </c>
      <c r="C281" s="5" t="inlineStr">
        <is>
          <t>Gestión de calidad</t>
        </is>
      </c>
      <c r="D281" s="5" t="inlineStr">
        <is>
          <t>Mensual</t>
        </is>
      </c>
      <c r="E281" s="5" t="inlineStr">
        <is>
          <t>Positivo</t>
        </is>
      </c>
      <c r="F281" s="107" t="n">
        <v>44957</v>
      </c>
      <c r="G281" s="5" t="n">
        <v>2023</v>
      </c>
      <c r="H281" s="5" t="inlineStr">
        <is>
          <t>Enero</t>
        </is>
      </c>
      <c r="I281" s="6" t="inlineStr">
        <is>
          <t>2023-1</t>
        </is>
      </c>
      <c r="J281" s="5" t="n">
        <v>80</v>
      </c>
      <c r="K281" s="94" t="n"/>
      <c r="L281" s="14" t="n"/>
      <c r="M281" s="14" t="n"/>
      <c r="N281" s="5" t="inlineStr">
        <is>
          <t>%</t>
        </is>
      </c>
      <c r="O281" s="5" t="inlineStr">
        <is>
          <t>No Aplica</t>
        </is>
      </c>
      <c r="P281" s="15" t="n">
        <v>0</v>
      </c>
      <c r="Q281" s="15" t="n">
        <v>0</v>
      </c>
      <c r="R281" s="5" t="inlineStr">
        <is>
          <t>122-2023-01-31</t>
        </is>
      </c>
      <c r="S281" t="inlineStr">
        <is>
          <t>No Aplica</t>
        </is>
      </c>
    </row>
    <row r="282">
      <c r="A282" s="21" t="n">
        <v>122</v>
      </c>
      <c r="B282" s="5" t="inlineStr">
        <is>
          <t>Eficacia en la solicitud documental- por periodo</t>
        </is>
      </c>
      <c r="C282" s="5" t="inlineStr">
        <is>
          <t>Gestión de calidad</t>
        </is>
      </c>
      <c r="D282" s="5" t="inlineStr">
        <is>
          <t>Bimestral</t>
        </is>
      </c>
      <c r="E282" s="5" t="inlineStr">
        <is>
          <t>Positivo</t>
        </is>
      </c>
      <c r="F282" s="107" t="n">
        <v>44985</v>
      </c>
      <c r="G282" s="5" t="n">
        <v>2023</v>
      </c>
      <c r="H282" s="5" t="inlineStr">
        <is>
          <t>Febrero</t>
        </is>
      </c>
      <c r="I282" s="6" t="inlineStr">
        <is>
          <t>2023-1</t>
        </is>
      </c>
      <c r="J282" s="5" t="n">
        <v>80</v>
      </c>
      <c r="K282" s="94" t="n">
        <v>100</v>
      </c>
      <c r="L282" s="14">
        <f>IFERROR(IF(OR(J282=0,K282=""),"",IF(E282="Positivo",MIN(MAX(K282/J282,0),1.3),MIN(MAX(J282/K282,0),1.3))),"") </f>
        <v/>
      </c>
      <c r="M282" s="14">
        <f>IFERROR(IF(OR(J282=0,K282=""),"",IF(E282="Positivo",MAX(K282/J282,0),MAX(J282/K282,0))),"") </f>
        <v/>
      </c>
      <c r="N282" s="5" t="inlineStr">
        <is>
          <t>%</t>
        </is>
      </c>
      <c r="O282" s="5" t="inlineStr">
        <is>
          <t>%</t>
        </is>
      </c>
      <c r="P282" s="15" t="n">
        <v>0</v>
      </c>
      <c r="Q282" s="15" t="n">
        <v>0</v>
      </c>
      <c r="R282" s="5" t="inlineStr">
        <is>
          <t>122-2023-02-28</t>
        </is>
      </c>
    </row>
    <row r="283">
      <c r="A283" s="21" t="n">
        <v>122</v>
      </c>
      <c r="B283" s="5" t="inlineStr">
        <is>
          <t>Eficacia en la solicitud documental- por periodo</t>
        </is>
      </c>
      <c r="C283" s="5" t="inlineStr">
        <is>
          <t>Gestión de calidad</t>
        </is>
      </c>
      <c r="D283" s="5" t="inlineStr">
        <is>
          <t>Mensual</t>
        </is>
      </c>
      <c r="E283" s="5" t="inlineStr">
        <is>
          <t>Positivo</t>
        </is>
      </c>
      <c r="F283" s="107" t="n">
        <v>45016</v>
      </c>
      <c r="G283" s="5" t="n">
        <v>2023</v>
      </c>
      <c r="H283" s="5" t="inlineStr">
        <is>
          <t>Marzo</t>
        </is>
      </c>
      <c r="I283" s="6" t="inlineStr">
        <is>
          <t>2023-1</t>
        </is>
      </c>
      <c r="J283" s="5" t="n">
        <v>80</v>
      </c>
      <c r="K283" s="10" t="n"/>
      <c r="L283" s="14" t="n"/>
      <c r="M283" s="14" t="n"/>
      <c r="N283" s="5" t="inlineStr">
        <is>
          <t>%</t>
        </is>
      </c>
      <c r="O283" s="5" t="inlineStr">
        <is>
          <t>No Aplica</t>
        </is>
      </c>
      <c r="P283" s="15" t="n">
        <v>0</v>
      </c>
      <c r="Q283" s="15" t="n">
        <v>0</v>
      </c>
      <c r="R283" s="5" t="inlineStr">
        <is>
          <t>122-2023-03-31</t>
        </is>
      </c>
      <c r="S283" t="inlineStr">
        <is>
          <t>No Aplica</t>
        </is>
      </c>
    </row>
    <row r="284">
      <c r="A284" s="21" t="n">
        <v>122</v>
      </c>
      <c r="B284" s="5" t="inlineStr">
        <is>
          <t>Eficacia en la solicitud documental- por periodo</t>
        </is>
      </c>
      <c r="C284" s="5" t="inlineStr">
        <is>
          <t>Gestión de calidad</t>
        </is>
      </c>
      <c r="D284" s="5" t="inlineStr">
        <is>
          <t>Bimestral</t>
        </is>
      </c>
      <c r="E284" s="5" t="inlineStr">
        <is>
          <t>Positivo</t>
        </is>
      </c>
      <c r="F284" s="107" t="n">
        <v>45046</v>
      </c>
      <c r="G284" s="5" t="n">
        <v>2023</v>
      </c>
      <c r="H284" s="5" t="inlineStr">
        <is>
          <t>Abril</t>
        </is>
      </c>
      <c r="I284" s="6" t="inlineStr">
        <is>
          <t>2023-1</t>
        </is>
      </c>
      <c r="J284" s="5" t="n">
        <v>80</v>
      </c>
      <c r="K284" s="94" t="n">
        <v>100</v>
      </c>
      <c r="L284" s="14">
        <f>IFERROR(IF(OR(J284=0,K284=""),"",IF(E284="Positivo",MIN(MAX(K284/J284,0),1.3),MIN(MAX(J284/K284,0),1.3))),"") </f>
        <v/>
      </c>
      <c r="M284" s="14">
        <f>IFERROR(IF(OR(J284=0,K284=""),"",IF(E284="Positivo",MAX(K284/J284,0),MAX(J284/K284,0))),"") </f>
        <v/>
      </c>
      <c r="N284" s="5" t="inlineStr">
        <is>
          <t>%</t>
        </is>
      </c>
      <c r="O284" s="5" t="inlineStr">
        <is>
          <t>%</t>
        </is>
      </c>
      <c r="P284" s="15" t="n">
        <v>0</v>
      </c>
      <c r="Q284" s="15" t="n">
        <v>0</v>
      </c>
      <c r="R284" s="5" t="inlineStr">
        <is>
          <t>122-2023-04-30</t>
        </is>
      </c>
    </row>
    <row r="285">
      <c r="A285" s="21" t="n">
        <v>122</v>
      </c>
      <c r="B285" s="5" t="inlineStr">
        <is>
          <t>Eficacia en la solicitud documental- por periodo</t>
        </is>
      </c>
      <c r="C285" s="5" t="inlineStr">
        <is>
          <t>Gestión de calidad</t>
        </is>
      </c>
      <c r="D285" s="5" t="inlineStr">
        <is>
          <t>Mensual</t>
        </is>
      </c>
      <c r="E285" s="5" t="inlineStr">
        <is>
          <t>Positivo</t>
        </is>
      </c>
      <c r="F285" s="107" t="n">
        <v>45077</v>
      </c>
      <c r="G285" s="5" t="n">
        <v>2023</v>
      </c>
      <c r="H285" s="5" t="inlineStr">
        <is>
          <t>Mayo</t>
        </is>
      </c>
      <c r="I285" s="6" t="inlineStr">
        <is>
          <t>2023-1</t>
        </is>
      </c>
      <c r="J285" s="5" t="n">
        <v>80</v>
      </c>
      <c r="K285" s="94" t="n"/>
      <c r="L285" s="14" t="n"/>
      <c r="M285" s="14" t="n"/>
      <c r="N285" s="5" t="inlineStr">
        <is>
          <t>%</t>
        </is>
      </c>
      <c r="O285" s="5" t="inlineStr">
        <is>
          <t>No Aplica</t>
        </is>
      </c>
      <c r="P285" s="15" t="n">
        <v>0</v>
      </c>
      <c r="Q285" s="15" t="n">
        <v>0</v>
      </c>
      <c r="R285" s="5" t="inlineStr">
        <is>
          <t>122-2023-05-31</t>
        </is>
      </c>
      <c r="S285" t="inlineStr">
        <is>
          <t>No Aplica</t>
        </is>
      </c>
    </row>
    <row r="286">
      <c r="A286" s="21" t="n">
        <v>122</v>
      </c>
      <c r="B286" s="5" t="inlineStr">
        <is>
          <t>Eficacia en la solicitud documental- por periodo</t>
        </is>
      </c>
      <c r="C286" s="5" t="inlineStr">
        <is>
          <t>Gestión de calidad</t>
        </is>
      </c>
      <c r="D286" s="5" t="inlineStr">
        <is>
          <t>Bimestral</t>
        </is>
      </c>
      <c r="E286" s="5" t="inlineStr">
        <is>
          <t>Positivo</t>
        </is>
      </c>
      <c r="F286" s="107" t="n">
        <v>45107</v>
      </c>
      <c r="G286" s="5" t="n">
        <v>2023</v>
      </c>
      <c r="H286" s="5" t="inlineStr">
        <is>
          <t>Junio</t>
        </is>
      </c>
      <c r="I286" s="6" t="inlineStr">
        <is>
          <t>2023-1</t>
        </is>
      </c>
      <c r="J286" s="5" t="n">
        <v>80</v>
      </c>
      <c r="K286" s="94" t="n">
        <v>75</v>
      </c>
      <c r="L286" s="14">
        <f>IFERROR(IF(OR(J286=0,K286=""),"",IF(E286="Positivo",MIN(MAX(K286/J286,0),1.3),MIN(MAX(J286/K286,0),1.3))),"") </f>
        <v/>
      </c>
      <c r="M286" s="14">
        <f>IFERROR(IF(OR(J286=0,K286=""),"",IF(E286="Positivo",MAX(K286/J286,0),MAX(J286/K286,0))),"") </f>
        <v/>
      </c>
      <c r="N286" s="5" t="inlineStr">
        <is>
          <t>%</t>
        </is>
      </c>
      <c r="O286" s="5" t="inlineStr">
        <is>
          <t>%</t>
        </is>
      </c>
      <c r="P286" s="15" t="n">
        <v>0</v>
      </c>
      <c r="Q286" s="15" t="n">
        <v>0</v>
      </c>
      <c r="R286" s="5" t="inlineStr">
        <is>
          <t>122-2023-06-30</t>
        </is>
      </c>
    </row>
    <row r="287">
      <c r="A287" s="21" t="n">
        <v>122</v>
      </c>
      <c r="B287" s="5" t="inlineStr">
        <is>
          <t>Eficacia en la solicitud documental- por periodo</t>
        </is>
      </c>
      <c r="C287" s="5" t="inlineStr">
        <is>
          <t>Gestión de calidad</t>
        </is>
      </c>
      <c r="D287" s="5" t="inlineStr">
        <is>
          <t>Mensual</t>
        </is>
      </c>
      <c r="E287" s="5" t="inlineStr">
        <is>
          <t>Positivo</t>
        </is>
      </c>
      <c r="F287" s="107" t="n">
        <v>45138</v>
      </c>
      <c r="G287" s="5" t="n">
        <v>2023</v>
      </c>
      <c r="H287" s="5" t="inlineStr">
        <is>
          <t>Julio</t>
        </is>
      </c>
      <c r="I287" s="6" t="inlineStr">
        <is>
          <t>2023-2</t>
        </is>
      </c>
      <c r="J287" s="5" t="n">
        <v>80</v>
      </c>
      <c r="K287" s="94" t="n"/>
      <c r="L287" s="14" t="n"/>
      <c r="M287" s="14" t="n"/>
      <c r="N287" s="5" t="inlineStr">
        <is>
          <t>%</t>
        </is>
      </c>
      <c r="O287" s="5" t="inlineStr">
        <is>
          <t>No Aplica</t>
        </is>
      </c>
      <c r="P287" s="15" t="n">
        <v>0</v>
      </c>
      <c r="Q287" s="15" t="n">
        <v>0</v>
      </c>
      <c r="R287" s="5" t="inlineStr">
        <is>
          <t>122-2023-07-31</t>
        </is>
      </c>
      <c r="S287" t="inlineStr">
        <is>
          <t>No Aplica</t>
        </is>
      </c>
    </row>
    <row r="288">
      <c r="A288" s="21" t="n">
        <v>122</v>
      </c>
      <c r="B288" s="5" t="inlineStr">
        <is>
          <t>Eficacia en la solicitud documental- por periodo</t>
        </is>
      </c>
      <c r="C288" s="5" t="inlineStr">
        <is>
          <t>Gestión de calidad</t>
        </is>
      </c>
      <c r="D288" s="5" t="inlineStr">
        <is>
          <t>Bimestral</t>
        </is>
      </c>
      <c r="E288" s="5" t="inlineStr">
        <is>
          <t>Positivo</t>
        </is>
      </c>
      <c r="F288" s="107" t="n">
        <v>45169</v>
      </c>
      <c r="G288" s="5" t="n">
        <v>2023</v>
      </c>
      <c r="H288" s="5" t="inlineStr">
        <is>
          <t>Agosto</t>
        </is>
      </c>
      <c r="I288" s="6" t="inlineStr">
        <is>
          <t>2023-2</t>
        </is>
      </c>
      <c r="J288" s="5" t="n">
        <v>80</v>
      </c>
      <c r="K288" s="94" t="n">
        <v>80</v>
      </c>
      <c r="L288" s="14">
        <f>IFERROR(IF(OR(J288=0,K288=""),"",IF(E288="Positivo",MIN(MAX(K288/J288,0),1.3),MIN(MAX(J288/K288,0),1.3))),"") </f>
        <v/>
      </c>
      <c r="M288" s="14">
        <f>IFERROR(IF(OR(J288=0,K288=""),"",IF(E288="Positivo",MAX(K288/J288,0),MAX(J288/K288,0))),"") </f>
        <v/>
      </c>
      <c r="N288" s="5" t="inlineStr">
        <is>
          <t>%</t>
        </is>
      </c>
      <c r="O288" s="5" t="inlineStr">
        <is>
          <t>%</t>
        </is>
      </c>
      <c r="P288" s="15" t="n">
        <v>0</v>
      </c>
      <c r="Q288" s="15" t="n">
        <v>0</v>
      </c>
      <c r="R288" s="5" t="inlineStr">
        <is>
          <t>122-2023-08-31</t>
        </is>
      </c>
    </row>
    <row r="289">
      <c r="A289" s="21" t="n">
        <v>122</v>
      </c>
      <c r="B289" s="5" t="inlineStr">
        <is>
          <t>Eficacia en la solicitud documental- por periodo</t>
        </is>
      </c>
      <c r="C289" s="5" t="inlineStr">
        <is>
          <t>Gestión de calidad</t>
        </is>
      </c>
      <c r="D289" s="5" t="inlineStr">
        <is>
          <t>Mensual</t>
        </is>
      </c>
      <c r="E289" s="5" t="inlineStr">
        <is>
          <t>Positivo</t>
        </is>
      </c>
      <c r="F289" s="107" t="n">
        <v>45199</v>
      </c>
      <c r="G289" s="5" t="n">
        <v>2023</v>
      </c>
      <c r="H289" s="5" t="inlineStr">
        <is>
          <t>Septiembre</t>
        </is>
      </c>
      <c r="I289" s="6" t="inlineStr">
        <is>
          <t>2023-2</t>
        </is>
      </c>
      <c r="J289" s="5" t="n">
        <v>80</v>
      </c>
      <c r="K289" s="94" t="n"/>
      <c r="L289" s="14" t="n"/>
      <c r="M289" s="14" t="n"/>
      <c r="N289" s="5" t="inlineStr">
        <is>
          <t>%</t>
        </is>
      </c>
      <c r="O289" s="5" t="inlineStr">
        <is>
          <t>No Aplica</t>
        </is>
      </c>
      <c r="P289" s="15" t="n">
        <v>0</v>
      </c>
      <c r="Q289" s="15" t="n">
        <v>0</v>
      </c>
      <c r="R289" s="5" t="inlineStr">
        <is>
          <t>122-2023-09-30</t>
        </is>
      </c>
      <c r="S289" t="inlineStr">
        <is>
          <t>No Aplica</t>
        </is>
      </c>
    </row>
    <row r="290">
      <c r="A290" s="21" t="n">
        <v>122</v>
      </c>
      <c r="B290" s="5" t="inlineStr">
        <is>
          <t>Eficacia en la solicitud documental- por periodo</t>
        </is>
      </c>
      <c r="C290" s="5" t="inlineStr">
        <is>
          <t>Gestión de calidad</t>
        </is>
      </c>
      <c r="D290" s="5" t="inlineStr">
        <is>
          <t>Bimestral</t>
        </is>
      </c>
      <c r="E290" s="5" t="inlineStr">
        <is>
          <t>Positivo</t>
        </is>
      </c>
      <c r="F290" s="107" t="n">
        <v>45230</v>
      </c>
      <c r="G290" s="5" t="n">
        <v>2023</v>
      </c>
      <c r="H290" s="5" t="inlineStr">
        <is>
          <t>Octubre</t>
        </is>
      </c>
      <c r="I290" s="6" t="inlineStr">
        <is>
          <t>2023-2</t>
        </is>
      </c>
      <c r="J290" s="5" t="n">
        <v>80</v>
      </c>
      <c r="K290" s="94" t="n">
        <v>100</v>
      </c>
      <c r="L290" s="14">
        <f>IFERROR(IF(OR(J290=0,K290=""),"",IF(E290="Positivo",MIN(MAX(K290/J290,0),1.3),MIN(MAX(J290/K290,0),1.3))),"") </f>
        <v/>
      </c>
      <c r="M290" s="14">
        <f>IFERROR(IF(OR(J290=0,K290=""),"",IF(E290="Positivo",MAX(K290/J290,0),MAX(J290/K290,0))),"") </f>
        <v/>
      </c>
      <c r="N290" s="5" t="inlineStr">
        <is>
          <t>%</t>
        </is>
      </c>
      <c r="O290" s="5" t="inlineStr">
        <is>
          <t>%</t>
        </is>
      </c>
      <c r="P290" s="15" t="n">
        <v>0</v>
      </c>
      <c r="Q290" s="15" t="n">
        <v>0</v>
      </c>
      <c r="R290" s="5" t="inlineStr">
        <is>
          <t>122-2023-10-31</t>
        </is>
      </c>
    </row>
    <row r="291">
      <c r="A291" s="26" t="n">
        <v>122</v>
      </c>
      <c r="B291" s="5" t="inlineStr">
        <is>
          <t>Eficacia en la solicitud documental- por periodo</t>
        </is>
      </c>
      <c r="C291" s="5" t="inlineStr">
        <is>
          <t>Gestión de calidad</t>
        </is>
      </c>
      <c r="D291" s="5" t="inlineStr">
        <is>
          <t>Mensual</t>
        </is>
      </c>
      <c r="E291" s="5" t="inlineStr">
        <is>
          <t>Positivo</t>
        </is>
      </c>
      <c r="F291" s="107" t="n">
        <v>45260</v>
      </c>
      <c r="G291" s="5" t="n">
        <v>2023</v>
      </c>
      <c r="H291" s="5" t="inlineStr">
        <is>
          <t>Noviembre</t>
        </is>
      </c>
      <c r="I291" s="6" t="inlineStr">
        <is>
          <t>2023-2</t>
        </is>
      </c>
      <c r="J291" s="5" t="n">
        <v>80</v>
      </c>
      <c r="K291" s="94" t="n"/>
      <c r="L291" s="14" t="n"/>
      <c r="M291" s="14" t="n"/>
      <c r="N291" s="5" t="inlineStr">
        <is>
          <t>%</t>
        </is>
      </c>
      <c r="O291" s="5" t="inlineStr">
        <is>
          <t>No Aplica</t>
        </is>
      </c>
      <c r="P291" s="15" t="n">
        <v>0</v>
      </c>
      <c r="Q291" s="15" t="n">
        <v>0</v>
      </c>
      <c r="R291" s="5" t="inlineStr">
        <is>
          <t>122-2023-11-30</t>
        </is>
      </c>
      <c r="S291" t="inlineStr">
        <is>
          <t>No Aplica</t>
        </is>
      </c>
    </row>
    <row r="292">
      <c r="A292" s="26" t="n">
        <v>122</v>
      </c>
      <c r="B292" s="5" t="inlineStr">
        <is>
          <t>Eficacia en la solicitud documental- por periodo</t>
        </is>
      </c>
      <c r="C292" s="5" t="inlineStr">
        <is>
          <t>Gestión de calidad</t>
        </is>
      </c>
      <c r="D292" s="5" t="inlineStr">
        <is>
          <t>Bimestral</t>
        </is>
      </c>
      <c r="E292" s="5" t="inlineStr">
        <is>
          <t>Positivo</t>
        </is>
      </c>
      <c r="F292" s="107" t="n">
        <v>45291</v>
      </c>
      <c r="G292" s="5" t="n">
        <v>2023</v>
      </c>
      <c r="H292" s="5" t="inlineStr">
        <is>
          <t>Diciembre</t>
        </is>
      </c>
      <c r="I292" s="6" t="inlineStr">
        <is>
          <t>2023-2</t>
        </is>
      </c>
      <c r="J292" s="5" t="n">
        <v>80</v>
      </c>
      <c r="K292" s="94" t="n">
        <v>90.91</v>
      </c>
      <c r="L292" s="14">
        <f>IFERROR(IF(OR(J292=0,K292=""),"",IF(E292="Positivo",MIN(MAX(K292/J292,0),1.3),MIN(MAX(J292/K292,0),1.3))),"") </f>
        <v/>
      </c>
      <c r="M292" s="14">
        <f>IFERROR(IF(OR(J292=0,K292=""),"",IF(E292="Positivo",MAX(K292/J292,0),MAX(J292/K292,0))),"") </f>
        <v/>
      </c>
      <c r="N292" s="5" t="inlineStr">
        <is>
          <t>%</t>
        </is>
      </c>
      <c r="O292" s="5" t="inlineStr">
        <is>
          <t>%</t>
        </is>
      </c>
      <c r="P292" s="15" t="n">
        <v>0</v>
      </c>
      <c r="Q292" s="15" t="n">
        <v>0</v>
      </c>
      <c r="R292" s="5" t="inlineStr">
        <is>
          <t>122-2023-12-31</t>
        </is>
      </c>
    </row>
    <row r="293">
      <c r="A293" s="26" t="n">
        <v>122</v>
      </c>
      <c r="B293" s="5" t="inlineStr">
        <is>
          <t>Eficacia en la solicitud documental- por periodo</t>
        </is>
      </c>
      <c r="C293" s="5" t="inlineStr">
        <is>
          <t>Gestión de calidad</t>
        </is>
      </c>
      <c r="D293" s="5" t="inlineStr">
        <is>
          <t>Mensual</t>
        </is>
      </c>
      <c r="E293" s="5" t="inlineStr">
        <is>
          <t>Positivo</t>
        </is>
      </c>
      <c r="F293" s="107" t="n">
        <v>45322</v>
      </c>
      <c r="G293" s="5" t="n">
        <v>2024</v>
      </c>
      <c r="H293" s="5" t="inlineStr">
        <is>
          <t>Enero</t>
        </is>
      </c>
      <c r="I293" s="6" t="inlineStr">
        <is>
          <t>2024-1</t>
        </is>
      </c>
      <c r="J293" s="5" t="n">
        <v>80</v>
      </c>
      <c r="K293" s="94" t="n"/>
      <c r="L293" s="14" t="n"/>
      <c r="M293" s="14" t="n"/>
      <c r="N293" s="5" t="inlineStr">
        <is>
          <t>%</t>
        </is>
      </c>
      <c r="O293" s="5" t="inlineStr">
        <is>
          <t>No Aplica</t>
        </is>
      </c>
      <c r="P293" s="15" t="n">
        <v>0</v>
      </c>
      <c r="Q293" s="15" t="n">
        <v>0</v>
      </c>
      <c r="R293" s="5" t="inlineStr">
        <is>
          <t>122-2024-01-31</t>
        </is>
      </c>
      <c r="S293" t="inlineStr">
        <is>
          <t>No Aplica</t>
        </is>
      </c>
    </row>
    <row r="294">
      <c r="A294" s="5" t="n">
        <v>122</v>
      </c>
      <c r="B294" s="5" t="inlineStr">
        <is>
          <t>Eficacia en la solicitud documental- por periodo</t>
        </is>
      </c>
      <c r="C294" s="5" t="inlineStr">
        <is>
          <t>Gestión de calidad</t>
        </is>
      </c>
      <c r="D294" s="5" t="inlineStr">
        <is>
          <t>Bimestral</t>
        </is>
      </c>
      <c r="E294" s="5" t="inlineStr">
        <is>
          <t>Positivo</t>
        </is>
      </c>
      <c r="F294" s="107" t="n">
        <v>45351</v>
      </c>
      <c r="G294" s="5" t="n">
        <v>2024</v>
      </c>
      <c r="H294" s="5" t="inlineStr">
        <is>
          <t>Febrero</t>
        </is>
      </c>
      <c r="I294" s="6" t="inlineStr">
        <is>
          <t>2024-1</t>
        </is>
      </c>
      <c r="J294" s="5" t="n">
        <v>80</v>
      </c>
      <c r="K294" s="9" t="n">
        <v>96.67</v>
      </c>
      <c r="L294" s="74">
        <f>IFERROR(IF(OR(J294=0,K294=""),"",IF(E294="Positivo",MIN(MAX(K294/J294,0),1.3),MIN(MAX(J294/K294,0),1.3))),"") </f>
        <v/>
      </c>
      <c r="M294" s="14">
        <f>IFERROR(IF(OR(J294=0,K294=""),"",IF(E294="Positivo",MAX(K294/J294,0),MAX(J294/K294,0))),"") </f>
        <v/>
      </c>
      <c r="N294" s="5" t="inlineStr">
        <is>
          <t>%</t>
        </is>
      </c>
      <c r="O294" s="5" t="inlineStr">
        <is>
          <t>%</t>
        </is>
      </c>
      <c r="P294" s="5" t="n">
        <v>0</v>
      </c>
      <c r="Q294" s="5" t="n">
        <v>0</v>
      </c>
      <c r="R294" s="5" t="inlineStr">
        <is>
          <t>122-2024-02-29</t>
        </is>
      </c>
    </row>
    <row r="295">
      <c r="A295" s="5" t="n">
        <v>122</v>
      </c>
      <c r="B295" s="5" t="inlineStr">
        <is>
          <t>Eficacia en la solicitud documental- por periodo</t>
        </is>
      </c>
      <c r="C295" s="5" t="inlineStr">
        <is>
          <t>Gestión de calidad</t>
        </is>
      </c>
      <c r="D295" s="5" t="inlineStr">
        <is>
          <t>Mensual</t>
        </is>
      </c>
      <c r="E295" s="5" t="inlineStr">
        <is>
          <t>Positivo</t>
        </is>
      </c>
      <c r="F295" s="107" t="n">
        <v>45382</v>
      </c>
      <c r="G295" s="5" t="n">
        <v>2024</v>
      </c>
      <c r="H295" s="5" t="inlineStr">
        <is>
          <t>Marzo</t>
        </is>
      </c>
      <c r="I295" s="6" t="inlineStr">
        <is>
          <t>2024-1</t>
        </is>
      </c>
      <c r="J295" s="5" t="n">
        <v>80</v>
      </c>
      <c r="K295" s="5" t="n"/>
      <c r="L295" s="14" t="n"/>
      <c r="M295" s="14" t="n"/>
      <c r="N295" s="5" t="inlineStr">
        <is>
          <t>%</t>
        </is>
      </c>
      <c r="O295" s="5" t="inlineStr">
        <is>
          <t>No Aplica</t>
        </is>
      </c>
      <c r="P295" s="5" t="n">
        <v>0</v>
      </c>
      <c r="Q295" s="5" t="n">
        <v>0</v>
      </c>
      <c r="R295" s="5" t="inlineStr">
        <is>
          <t>122-2024-03-31</t>
        </is>
      </c>
      <c r="S295" t="inlineStr">
        <is>
          <t>No Aplica</t>
        </is>
      </c>
    </row>
    <row r="296">
      <c r="A296" s="21" t="n">
        <v>122</v>
      </c>
      <c r="B296" s="5" t="inlineStr">
        <is>
          <t>Eficacia en la solicitud documental- por periodo</t>
        </is>
      </c>
      <c r="C296" s="5" t="inlineStr">
        <is>
          <t>Gestión de calidad</t>
        </is>
      </c>
      <c r="D296" s="5" t="inlineStr">
        <is>
          <t>Bimestral</t>
        </is>
      </c>
      <c r="E296" s="5" t="inlineStr">
        <is>
          <t>Positivo</t>
        </is>
      </c>
      <c r="F296" s="107" t="n">
        <v>45412</v>
      </c>
      <c r="G296" s="5" t="n">
        <v>2024</v>
      </c>
      <c r="H296" s="5" t="inlineStr">
        <is>
          <t>Abril</t>
        </is>
      </c>
      <c r="I296" s="6" t="inlineStr">
        <is>
          <t>2024-1</t>
        </is>
      </c>
      <c r="J296" s="5" t="n">
        <v>80</v>
      </c>
      <c r="K296" t="n">
        <v>97.67</v>
      </c>
      <c r="L296" s="14">
        <f>IFERROR(IF(OR(J296=0,K296=""),"",IF(E296="Positivo",MIN(MAX(K296/J296,0),1.3),MIN(MAX(J296/K296,0),1.3))),"") </f>
        <v/>
      </c>
      <c r="M296" s="14">
        <f>IFERROR(IF(OR(J296=0,K296=""),"",IF(E296="Positivo",MAX(K296/J296,0),MAX(J296/K296,0))),"") </f>
        <v/>
      </c>
      <c r="N296" s="5" t="inlineStr">
        <is>
          <t>%</t>
        </is>
      </c>
      <c r="O296" s="5" t="inlineStr">
        <is>
          <t>%</t>
        </is>
      </c>
      <c r="P296" s="15" t="n">
        <v>0</v>
      </c>
      <c r="Q296" s="15" t="n">
        <v>0</v>
      </c>
      <c r="R296" s="5" t="inlineStr">
        <is>
          <t>122-2024-04-30</t>
        </is>
      </c>
    </row>
    <row r="297">
      <c r="A297" s="21" t="n">
        <v>122</v>
      </c>
      <c r="B297" s="5" t="inlineStr">
        <is>
          <t>Eficacia en la solicitud documental- por periodo</t>
        </is>
      </c>
      <c r="C297" s="5" t="inlineStr">
        <is>
          <t>Gestión de calidad</t>
        </is>
      </c>
      <c r="D297" s="5" t="inlineStr">
        <is>
          <t>Mensual</t>
        </is>
      </c>
      <c r="E297" s="5" t="inlineStr">
        <is>
          <t>Positivo</t>
        </is>
      </c>
      <c r="F297" s="106" t="n">
        <v>45443</v>
      </c>
      <c r="G297" s="5" t="n">
        <v>2024</v>
      </c>
      <c r="H297" s="5" t="inlineStr">
        <is>
          <t>Mayo</t>
        </is>
      </c>
      <c r="I297" s="6" t="inlineStr">
        <is>
          <t>2024-1</t>
        </is>
      </c>
      <c r="J297" s="5" t="n">
        <v>80</v>
      </c>
      <c r="K297" s="9" t="n"/>
      <c r="L297" s="14" t="n"/>
      <c r="M297" s="14" t="n"/>
      <c r="N297" s="5" t="inlineStr">
        <is>
          <t>%</t>
        </is>
      </c>
      <c r="O297" s="5" t="inlineStr">
        <is>
          <t>No Aplica</t>
        </is>
      </c>
      <c r="P297" s="15" t="n">
        <v>0</v>
      </c>
      <c r="Q297" s="15" t="n">
        <v>0</v>
      </c>
      <c r="R297" s="5" t="inlineStr">
        <is>
          <t>122-2024-05-31</t>
        </is>
      </c>
      <c r="S297" t="inlineStr">
        <is>
          <t>No Aplica</t>
        </is>
      </c>
    </row>
    <row r="298">
      <c r="A298" s="26" t="n">
        <v>122</v>
      </c>
      <c r="B298" s="5" t="inlineStr">
        <is>
          <t>Eficacia en la solicitud documental- por periodo</t>
        </is>
      </c>
      <c r="C298" s="5" t="inlineStr">
        <is>
          <t>Gestión de calidad</t>
        </is>
      </c>
      <c r="D298" s="5" t="inlineStr">
        <is>
          <t>Bimestral</t>
        </is>
      </c>
      <c r="E298" s="5" t="inlineStr">
        <is>
          <t>Positivo</t>
        </is>
      </c>
      <c r="F298" s="107" t="n">
        <v>45473</v>
      </c>
      <c r="G298" s="5" t="n">
        <v>2024</v>
      </c>
      <c r="H298" s="5" t="inlineStr">
        <is>
          <t>Junio</t>
        </is>
      </c>
      <c r="I298" s="6" t="inlineStr">
        <is>
          <t>2024-1</t>
        </is>
      </c>
      <c r="J298" s="5" t="n">
        <v>80</v>
      </c>
      <c r="K298" s="9" t="n">
        <v>95</v>
      </c>
      <c r="L298" s="14">
        <f>IFERROR(IF(OR(J298=0,K298=""),"",IF(E298="Positivo",MIN(MAX(K298/J298,0),1.3),MIN(MAX(J298/K298,0),1.3))),"") </f>
        <v/>
      </c>
      <c r="M298" s="14">
        <f>IFERROR(IF(OR(J298=0,K298=""),"",IF(E298="Positivo",MAX(K298/J298,0),MAX(J298/K298,0))),"") </f>
        <v/>
      </c>
      <c r="N298" s="5" t="inlineStr">
        <is>
          <t>%</t>
        </is>
      </c>
      <c r="O298" s="5" t="inlineStr">
        <is>
          <t>%</t>
        </is>
      </c>
      <c r="P298" s="15" t="n">
        <v>0</v>
      </c>
      <c r="Q298" s="15" t="n">
        <v>0</v>
      </c>
      <c r="R298" s="5" t="inlineStr">
        <is>
          <t>122-2024-06-30</t>
        </is>
      </c>
    </row>
    <row r="299">
      <c r="A299" s="21" t="n">
        <v>122</v>
      </c>
      <c r="B299" s="5" t="inlineStr">
        <is>
          <t>Eficacia en la solicitud documental- por periodo</t>
        </is>
      </c>
      <c r="C299" s="5" t="inlineStr">
        <is>
          <t>Gestión de calidad</t>
        </is>
      </c>
      <c r="D299" s="5" t="inlineStr">
        <is>
          <t>Mensual</t>
        </is>
      </c>
      <c r="E299" s="5" t="inlineStr">
        <is>
          <t>Positivo</t>
        </is>
      </c>
      <c r="F299" s="107" t="n">
        <v>45504</v>
      </c>
      <c r="G299" s="5" t="n">
        <v>2024</v>
      </c>
      <c r="H299" s="5" t="inlineStr">
        <is>
          <t>Julio</t>
        </is>
      </c>
      <c r="I299" s="6" t="inlineStr">
        <is>
          <t>2024-2</t>
        </is>
      </c>
      <c r="J299" s="5" t="n">
        <v>80</v>
      </c>
      <c r="K299" s="9" t="n"/>
      <c r="L299" s="14" t="n"/>
      <c r="M299" s="14" t="n"/>
      <c r="N299" s="5" t="inlineStr">
        <is>
          <t>%</t>
        </is>
      </c>
      <c r="O299" s="5" t="inlineStr">
        <is>
          <t>No Aplica</t>
        </is>
      </c>
      <c r="P299" s="15" t="n">
        <v>0</v>
      </c>
      <c r="Q299" s="15" t="n">
        <v>0</v>
      </c>
      <c r="R299" s="5" t="inlineStr">
        <is>
          <t>122-2024-07-31</t>
        </is>
      </c>
      <c r="S299" t="inlineStr">
        <is>
          <t>No Aplica</t>
        </is>
      </c>
    </row>
    <row r="300">
      <c r="A300" s="21" t="n">
        <v>122</v>
      </c>
      <c r="B300" s="5" t="inlineStr">
        <is>
          <t>Eficacia en la solicitud documental- por periodo</t>
        </is>
      </c>
      <c r="C300" s="5" t="inlineStr">
        <is>
          <t>Gestión de calidad</t>
        </is>
      </c>
      <c r="D300" s="5" t="inlineStr">
        <is>
          <t>Bimestral</t>
        </is>
      </c>
      <c r="E300" s="5" t="inlineStr">
        <is>
          <t>Positivo</t>
        </is>
      </c>
      <c r="F300" s="107" t="n">
        <v>45535</v>
      </c>
      <c r="G300" s="5" t="n">
        <v>2024</v>
      </c>
      <c r="H300" s="5" t="inlineStr">
        <is>
          <t>Agosto</t>
        </is>
      </c>
      <c r="I300" s="6" t="inlineStr">
        <is>
          <t>2024-2</t>
        </is>
      </c>
      <c r="J300" s="5" t="n">
        <v>80</v>
      </c>
      <c r="K300" s="9" t="n">
        <v>79.06999999999999</v>
      </c>
      <c r="L300" s="14">
        <f>IFERROR(IF(OR(J300=0,K300=""),"",IF(E300="Positivo",MIN(MAX(K300/J300,0),1.3),MIN(MAX(J300/K300,0),1.3))),"") </f>
        <v/>
      </c>
      <c r="M300" s="14">
        <f>IFERROR(IF(OR(J300=0,K300=""),"",IF(E300="Positivo",MAX(K300/J300,0),MAX(J300/K300,0))),"") </f>
        <v/>
      </c>
      <c r="N300" s="5" t="inlineStr">
        <is>
          <t>%</t>
        </is>
      </c>
      <c r="O300" s="5" t="inlineStr">
        <is>
          <t>%</t>
        </is>
      </c>
      <c r="P300" s="15" t="n">
        <v>0</v>
      </c>
      <c r="Q300" s="15" t="n">
        <v>0</v>
      </c>
      <c r="R300" s="5" t="inlineStr">
        <is>
          <t>122-2024-08-31</t>
        </is>
      </c>
    </row>
    <row r="301">
      <c r="A301" s="28" t="n">
        <v>122</v>
      </c>
      <c r="B301" s="5" t="inlineStr">
        <is>
          <t>Eficacia en la solicitud documental- por periodo</t>
        </is>
      </c>
      <c r="C301" s="5" t="inlineStr">
        <is>
          <t>Gestión de calidad</t>
        </is>
      </c>
      <c r="D301" s="5" t="inlineStr">
        <is>
          <t>Mensual</t>
        </is>
      </c>
      <c r="E301" s="5" t="inlineStr">
        <is>
          <t>Positivo</t>
        </is>
      </c>
      <c r="F301" s="107" t="n">
        <v>45565</v>
      </c>
      <c r="G301" s="5" t="n">
        <v>2024</v>
      </c>
      <c r="H301" s="5" t="inlineStr">
        <is>
          <t>Septiembre</t>
        </is>
      </c>
      <c r="I301" s="6" t="inlineStr">
        <is>
          <t>2024-2</t>
        </is>
      </c>
      <c r="J301" s="5" t="n">
        <v>80</v>
      </c>
      <c r="K301" s="9" t="n"/>
      <c r="L301" s="14" t="n"/>
      <c r="M301" s="14" t="n"/>
      <c r="N301" s="5" t="inlineStr">
        <is>
          <t>%</t>
        </is>
      </c>
      <c r="O301" s="5" t="inlineStr">
        <is>
          <t>No Aplica</t>
        </is>
      </c>
      <c r="P301" s="15" t="n">
        <v>0</v>
      </c>
      <c r="Q301" s="15" t="n">
        <v>0</v>
      </c>
      <c r="R301" s="5" t="inlineStr">
        <is>
          <t>122-2024-09-30</t>
        </is>
      </c>
      <c r="S301" t="inlineStr">
        <is>
          <t>No Aplica</t>
        </is>
      </c>
    </row>
    <row r="302">
      <c r="A302" s="26" t="n">
        <v>122</v>
      </c>
      <c r="B302" s="5" t="inlineStr">
        <is>
          <t>Eficacia en la solicitud documental- por periodo</t>
        </is>
      </c>
      <c r="C302" s="5" t="inlineStr">
        <is>
          <t>Gestión de calidad</t>
        </is>
      </c>
      <c r="D302" s="5" t="inlineStr">
        <is>
          <t>Bimestral</t>
        </is>
      </c>
      <c r="E302" s="5" t="inlineStr">
        <is>
          <t>Positivo</t>
        </is>
      </c>
      <c r="F302" s="107" t="n">
        <v>45596</v>
      </c>
      <c r="G302" s="5" t="n">
        <v>2024</v>
      </c>
      <c r="H302" s="5" t="inlineStr">
        <is>
          <t>Octubre</t>
        </is>
      </c>
      <c r="I302" s="6" t="inlineStr">
        <is>
          <t>2024-2</t>
        </is>
      </c>
      <c r="J302" s="5" t="n">
        <v>80</v>
      </c>
      <c r="K302" s="9" t="n">
        <v>97.5</v>
      </c>
      <c r="L302" s="14">
        <f>IFERROR(IF(OR(J302=0,K302=""),"",IF(E302="Positivo",MIN(MAX(K302/J302,0),1.3),MIN(MAX(J302/K302,0),1.3))),"") </f>
        <v/>
      </c>
      <c r="M302" s="14">
        <f>IFERROR(IF(OR(J302=0,K302=""),"",IF(E302="Positivo",MAX(K302/J302,0),MAX(J302/K302,0))),"") </f>
        <v/>
      </c>
      <c r="N302" s="5" t="inlineStr">
        <is>
          <t>%</t>
        </is>
      </c>
      <c r="O302" s="5" t="inlineStr">
        <is>
          <t>%</t>
        </is>
      </c>
      <c r="P302" s="15" t="n">
        <v>0</v>
      </c>
      <c r="Q302" s="15" t="n">
        <v>0</v>
      </c>
      <c r="R302" s="5" t="inlineStr">
        <is>
          <t>122-2024-10-31</t>
        </is>
      </c>
    </row>
    <row r="303">
      <c r="A303" s="21" t="n">
        <v>122</v>
      </c>
      <c r="B303" s="5" t="inlineStr">
        <is>
          <t>Eficacia en la solicitud documental- por periodo</t>
        </is>
      </c>
      <c r="C303" s="5" t="inlineStr">
        <is>
          <t>Gestión de calidad</t>
        </is>
      </c>
      <c r="D303" s="5" t="inlineStr">
        <is>
          <t>Mensual</t>
        </is>
      </c>
      <c r="E303" s="5" t="inlineStr">
        <is>
          <t>Positivo</t>
        </is>
      </c>
      <c r="F303" s="107" t="n">
        <v>45626</v>
      </c>
      <c r="G303" s="5" t="n">
        <v>2024</v>
      </c>
      <c r="H303" s="5" t="inlineStr">
        <is>
          <t>Noviembre</t>
        </is>
      </c>
      <c r="I303" s="6" t="inlineStr">
        <is>
          <t>2024-2</t>
        </is>
      </c>
      <c r="J303" s="94" t="n">
        <v>80</v>
      </c>
      <c r="K303" s="94" t="n"/>
      <c r="L303" s="14" t="n"/>
      <c r="M303" s="14" t="n"/>
      <c r="N303" s="9" t="inlineStr">
        <is>
          <t>%</t>
        </is>
      </c>
      <c r="O303" s="9" t="inlineStr">
        <is>
          <t>No Aplica</t>
        </is>
      </c>
      <c r="P303" s="15" t="n">
        <v>0</v>
      </c>
      <c r="Q303" s="15" t="n">
        <v>0</v>
      </c>
      <c r="R303" s="5" t="inlineStr">
        <is>
          <t>122-2024-11-30</t>
        </is>
      </c>
      <c r="S303" t="inlineStr">
        <is>
          <t>No Aplica</t>
        </is>
      </c>
    </row>
    <row r="304">
      <c r="A304" s="21" t="n">
        <v>122</v>
      </c>
      <c r="B304" s="5" t="inlineStr">
        <is>
          <t>Eficacia en la solicitud documental- por periodo</t>
        </is>
      </c>
      <c r="C304" s="5" t="inlineStr">
        <is>
          <t>Gestión de calidad</t>
        </is>
      </c>
      <c r="D304" s="5" t="inlineStr">
        <is>
          <t>Bimestral</t>
        </is>
      </c>
      <c r="E304" s="5" t="inlineStr">
        <is>
          <t>Positivo</t>
        </is>
      </c>
      <c r="F304" s="106" t="n">
        <v>45657</v>
      </c>
      <c r="G304" s="5" t="n">
        <v>2024</v>
      </c>
      <c r="H304" s="5" t="inlineStr">
        <is>
          <t>Diciembre</t>
        </is>
      </c>
      <c r="I304" s="6" t="inlineStr">
        <is>
          <t>2024-2</t>
        </is>
      </c>
      <c r="J304" s="94" t="n">
        <v>80</v>
      </c>
      <c r="K304" s="94" t="n">
        <v>100</v>
      </c>
      <c r="L304" s="14">
        <f>IFERROR(IF(OR(J304=0,K304=""),"",IF(E304="Positivo",MIN(MAX(K304/J304,0),1.3),MIN(MAX(J304/K304,0),1.3))),"") </f>
        <v/>
      </c>
      <c r="M304" s="14">
        <f>IFERROR(IF(OR(J304=0,K304=""),"",IF(E304="Positivo",MAX(K304/J304,0),MAX(J304/K304,0))),"") </f>
        <v/>
      </c>
      <c r="N304" s="9" t="inlineStr">
        <is>
          <t>%</t>
        </is>
      </c>
      <c r="O304" s="9" t="inlineStr">
        <is>
          <t>%</t>
        </is>
      </c>
      <c r="P304" s="15" t="n">
        <v>0</v>
      </c>
      <c r="Q304" s="15" t="n">
        <v>0</v>
      </c>
      <c r="R304" s="5" t="inlineStr">
        <is>
          <t>122-2024-12-31</t>
        </is>
      </c>
    </row>
    <row r="305">
      <c r="A305" s="21" t="n">
        <v>122</v>
      </c>
      <c r="B305" s="5" t="inlineStr">
        <is>
          <t>Eficacia en la solicitud documental- por periodo</t>
        </is>
      </c>
      <c r="C305" s="5" t="inlineStr">
        <is>
          <t>Gestión de calidad</t>
        </is>
      </c>
      <c r="D305" s="5" t="inlineStr">
        <is>
          <t>Mensual</t>
        </is>
      </c>
      <c r="E305" s="5" t="inlineStr">
        <is>
          <t>Positivo</t>
        </is>
      </c>
      <c r="F305" s="107" t="n">
        <v>45688</v>
      </c>
      <c r="G305" s="5" t="n">
        <v>2025</v>
      </c>
      <c r="H305" s="5" t="inlineStr">
        <is>
          <t>Enero</t>
        </is>
      </c>
      <c r="I305" s="6" t="inlineStr">
        <is>
          <t>2025-1</t>
        </is>
      </c>
      <c r="J305" s="94" t="n">
        <v>90</v>
      </c>
      <c r="K305" s="94" t="n"/>
      <c r="L305" s="14" t="n"/>
      <c r="M305" s="14" t="n"/>
      <c r="N305" s="9" t="inlineStr">
        <is>
          <t>%</t>
        </is>
      </c>
      <c r="O305" s="9" t="inlineStr">
        <is>
          <t>No Aplica</t>
        </is>
      </c>
      <c r="P305" s="15" t="n">
        <v>0</v>
      </c>
      <c r="Q305" s="15" t="n">
        <v>0</v>
      </c>
      <c r="R305" s="5" t="inlineStr">
        <is>
          <t>122-2025-01-31</t>
        </is>
      </c>
      <c r="S305" t="inlineStr">
        <is>
          <t>No Aplica</t>
        </is>
      </c>
    </row>
    <row r="306">
      <c r="A306" s="21" t="n">
        <v>122</v>
      </c>
      <c r="B306" s="5" t="inlineStr">
        <is>
          <t>Eficacia en la solicitud documental- por periodo</t>
        </is>
      </c>
      <c r="C306" s="5" t="inlineStr">
        <is>
          <t>Gestión de calidad</t>
        </is>
      </c>
      <c r="D306" s="5" t="inlineStr">
        <is>
          <t>Bimestral</t>
        </is>
      </c>
      <c r="E306" s="5" t="inlineStr">
        <is>
          <t>Positivo</t>
        </is>
      </c>
      <c r="F306" s="107" t="n">
        <v>45716</v>
      </c>
      <c r="G306" s="5" t="n">
        <v>2025</v>
      </c>
      <c r="H306" s="5" t="inlineStr">
        <is>
          <t>Febrero</t>
        </is>
      </c>
      <c r="I306" s="6" t="inlineStr">
        <is>
          <t>2025-1</t>
        </is>
      </c>
      <c r="J306" s="94" t="n">
        <v>90</v>
      </c>
      <c r="K306" s="94" t="n">
        <v>100</v>
      </c>
      <c r="L306" s="14">
        <f>IFERROR(IF(OR(J306=0,K306=""),"",IF(E306="Positivo",MIN(MAX(K306/J306,0),1.3),MIN(MAX(J306/K306,0),1.3))),"") </f>
        <v/>
      </c>
      <c r="M306" s="14">
        <f>IFERROR(IF(OR(J306=0,K306=""),"",IF(E306="Positivo",MAX(K306/J306,0),MAX(J306/K306,0))),"") </f>
        <v/>
      </c>
      <c r="N306" s="9" t="inlineStr">
        <is>
          <t>%</t>
        </is>
      </c>
      <c r="O306" s="9" t="inlineStr">
        <is>
          <t>%</t>
        </is>
      </c>
      <c r="P306" s="15" t="n">
        <v>0</v>
      </c>
      <c r="Q306" s="15" t="n">
        <v>0</v>
      </c>
      <c r="R306" s="5" t="inlineStr">
        <is>
          <t>122-2025-02-28</t>
        </is>
      </c>
    </row>
    <row r="307">
      <c r="A307" s="21" t="n">
        <v>122</v>
      </c>
      <c r="B307" s="5" t="inlineStr">
        <is>
          <t>Eficacia en la solicitud documental- por periodo</t>
        </is>
      </c>
      <c r="C307" s="5" t="inlineStr">
        <is>
          <t>Gestión de calidad</t>
        </is>
      </c>
      <c r="D307" s="5" t="inlineStr">
        <is>
          <t>Mensual</t>
        </is>
      </c>
      <c r="E307" s="5" t="inlineStr">
        <is>
          <t>Positivo</t>
        </is>
      </c>
      <c r="F307" s="107" t="n">
        <v>45747</v>
      </c>
      <c r="G307" s="5" t="n">
        <v>2025</v>
      </c>
      <c r="H307" s="5" t="inlineStr">
        <is>
          <t>Marzo</t>
        </is>
      </c>
      <c r="I307" s="6" t="inlineStr">
        <is>
          <t>2025-1</t>
        </is>
      </c>
      <c r="J307" s="94" t="n">
        <v>90</v>
      </c>
      <c r="K307" s="94" t="n"/>
      <c r="L307" s="14" t="n"/>
      <c r="M307" s="14" t="n"/>
      <c r="N307" s="9" t="inlineStr">
        <is>
          <t>%</t>
        </is>
      </c>
      <c r="O307" s="9" t="inlineStr">
        <is>
          <t>No Aplica</t>
        </is>
      </c>
      <c r="P307" s="15" t="n">
        <v>0</v>
      </c>
      <c r="Q307" s="15" t="n">
        <v>0</v>
      </c>
      <c r="R307" s="5" t="inlineStr">
        <is>
          <t>122-2025-03-31</t>
        </is>
      </c>
      <c r="S307" t="inlineStr">
        <is>
          <t>No Aplica</t>
        </is>
      </c>
    </row>
    <row r="308">
      <c r="A308" s="21" t="n">
        <v>122</v>
      </c>
      <c r="B308" s="5" t="inlineStr">
        <is>
          <t>Eficacia en la solicitud documental- por periodo</t>
        </is>
      </c>
      <c r="C308" s="5" t="inlineStr">
        <is>
          <t>Gestión de calidad</t>
        </is>
      </c>
      <c r="D308" s="5" t="inlineStr">
        <is>
          <t>Bimestral</t>
        </is>
      </c>
      <c r="E308" s="5" t="inlineStr">
        <is>
          <t>Positivo</t>
        </is>
      </c>
      <c r="F308" s="107" t="n">
        <v>45777</v>
      </c>
      <c r="G308" s="5" t="n">
        <v>2025</v>
      </c>
      <c r="H308" s="5" t="inlineStr">
        <is>
          <t>Abril</t>
        </is>
      </c>
      <c r="I308" s="6" t="inlineStr">
        <is>
          <t>2025-1</t>
        </is>
      </c>
      <c r="J308" s="94" t="n">
        <v>90</v>
      </c>
      <c r="K308" s="94" t="n">
        <v>100</v>
      </c>
      <c r="L308" s="14">
        <f>IFERROR(IF(OR(J308=0,K308=""),"",IF(E308="Positivo",MIN(MAX(K308/J308,0),1.3),MIN(MAX(J308/K308,0),1.3))),"") </f>
        <v/>
      </c>
      <c r="M308" s="14">
        <f>IFERROR(IF(OR(J308=0,K308=""),"",IF(E308="Positivo",MAX(K308/J308,0),MAX(J308/K308,0))),"") </f>
        <v/>
      </c>
      <c r="N308" s="9" t="inlineStr">
        <is>
          <t>%</t>
        </is>
      </c>
      <c r="O308" s="9" t="inlineStr">
        <is>
          <t>%</t>
        </is>
      </c>
      <c r="P308" s="15" t="n">
        <v>0</v>
      </c>
      <c r="Q308" s="15" t="n">
        <v>0</v>
      </c>
      <c r="R308" s="5" t="inlineStr">
        <is>
          <t>122-2025-04-30</t>
        </is>
      </c>
    </row>
    <row r="309" customFormat="1" s="2">
      <c r="A309" s="21" t="n">
        <v>122</v>
      </c>
      <c r="B309" s="5" t="inlineStr">
        <is>
          <t>Eficacia en la solicitud documental- por periodo</t>
        </is>
      </c>
      <c r="C309" s="5" t="inlineStr">
        <is>
          <t>Gestión de calidad</t>
        </is>
      </c>
      <c r="D309" s="5" t="inlineStr">
        <is>
          <t>Mensual</t>
        </is>
      </c>
      <c r="E309" s="5" t="inlineStr">
        <is>
          <t>Positivo</t>
        </is>
      </c>
      <c r="F309" s="107" t="n">
        <v>45808</v>
      </c>
      <c r="G309" s="5" t="n">
        <v>2025</v>
      </c>
      <c r="H309" s="5" t="inlineStr">
        <is>
          <t>Mayo</t>
        </is>
      </c>
      <c r="I309" s="6" t="inlineStr">
        <is>
          <t>2025-1</t>
        </is>
      </c>
      <c r="J309" s="94" t="n">
        <v>90</v>
      </c>
      <c r="K309" s="94" t="n"/>
      <c r="L309" s="14" t="n"/>
      <c r="M309" s="14" t="n"/>
      <c r="N309" s="9" t="inlineStr">
        <is>
          <t>%</t>
        </is>
      </c>
      <c r="O309" s="9" t="inlineStr">
        <is>
          <t>No Aplica</t>
        </is>
      </c>
      <c r="P309" s="15" t="n">
        <v>0</v>
      </c>
      <c r="Q309" s="15" t="n">
        <v>0</v>
      </c>
      <c r="R309" s="5" t="inlineStr">
        <is>
          <t>122-2025-05-31</t>
        </is>
      </c>
      <c r="S309" t="inlineStr">
        <is>
          <t>No Aplica</t>
        </is>
      </c>
    </row>
    <row r="310" customFormat="1" s="2">
      <c r="A310" s="21" t="n">
        <v>122</v>
      </c>
      <c r="B310" s="5" t="inlineStr">
        <is>
          <t>Eficacia en la solicitud documental- por periodo</t>
        </is>
      </c>
      <c r="C310" s="5" t="inlineStr">
        <is>
          <t>Gestión de calidad</t>
        </is>
      </c>
      <c r="D310" s="5" t="inlineStr">
        <is>
          <t>Bimestral</t>
        </is>
      </c>
      <c r="E310" s="5" t="inlineStr">
        <is>
          <t>Positivo</t>
        </is>
      </c>
      <c r="F310" s="107" t="n">
        <v>45838</v>
      </c>
      <c r="G310" s="5" t="n">
        <v>2025</v>
      </c>
      <c r="H310" s="5" t="inlineStr">
        <is>
          <t>Junio</t>
        </is>
      </c>
      <c r="I310" s="6" t="inlineStr">
        <is>
          <t>2025-1</t>
        </is>
      </c>
      <c r="J310" s="94" t="n">
        <v>90</v>
      </c>
      <c r="K310" s="94" t="n">
        <v>43.48</v>
      </c>
      <c r="L310" s="14">
        <f>IFERROR(IF(OR(J310=0,K310=""),"",IF(E310="Positivo",MIN(MAX(K310/J310,0),1.3),MIN(MAX(J310/K310,0),1.3))),"") </f>
        <v/>
      </c>
      <c r="M310" s="14">
        <f>IFERROR(IF(OR(J310=0,K310=""),"",IF(E310="Positivo",MAX(K310/J310,0),MAX(J310/K310,0))),"") </f>
        <v/>
      </c>
      <c r="N310" s="9" t="inlineStr">
        <is>
          <t>%</t>
        </is>
      </c>
      <c r="O310" s="9" t="inlineStr">
        <is>
          <t>%</t>
        </is>
      </c>
      <c r="P310" s="15" t="n">
        <v>0</v>
      </c>
      <c r="Q310" s="15" t="n">
        <v>0</v>
      </c>
      <c r="R310" s="5" t="inlineStr">
        <is>
          <t>122-2025-06-30</t>
        </is>
      </c>
    </row>
    <row r="311" customFormat="1" s="2">
      <c r="A311" s="21" t="n">
        <v>122</v>
      </c>
      <c r="B311" s="5" t="inlineStr">
        <is>
          <t>Eficacia en la solicitud documental- por periodo</t>
        </is>
      </c>
      <c r="C311" s="5" t="inlineStr">
        <is>
          <t>Gestión de calidad</t>
        </is>
      </c>
      <c r="D311" s="5" t="inlineStr">
        <is>
          <t>Mensual</t>
        </is>
      </c>
      <c r="E311" s="5" t="inlineStr">
        <is>
          <t>Positivo</t>
        </is>
      </c>
      <c r="F311" s="107" t="n">
        <v>45869</v>
      </c>
      <c r="G311" s="5" t="n">
        <v>2025</v>
      </c>
      <c r="H311" s="5" t="inlineStr">
        <is>
          <t>Julio</t>
        </is>
      </c>
      <c r="I311" s="6" t="inlineStr">
        <is>
          <t>2025-2</t>
        </is>
      </c>
      <c r="J311" s="94" t="n">
        <v>90</v>
      </c>
      <c r="K311" s="94" t="n">
        <v>78.26000000000001</v>
      </c>
      <c r="L311" s="14">
        <f>IFERROR(IF(OR(J311=0,K311=""),"",IF(E311="Positivo",MIN(MAX(K311/J311,0),1.3),MIN(MAX(J311/K311,0),1.3))),"") </f>
        <v/>
      </c>
      <c r="M311" s="14">
        <f>IFERROR(IF(OR(J311=0,K311=""),"",IF(E311="Positivo",MAX(K311/J311,0),MAX(J311/K311,0))),"") </f>
        <v/>
      </c>
      <c r="N311" s="9" t="inlineStr">
        <is>
          <t>%</t>
        </is>
      </c>
      <c r="O311" s="9" t="inlineStr">
        <is>
          <t>%</t>
        </is>
      </c>
      <c r="P311" s="15" t="n">
        <v>0</v>
      </c>
      <c r="Q311" s="15" t="n">
        <v>0</v>
      </c>
      <c r="R311" s="5" t="inlineStr">
        <is>
          <t>122-2025-07-31</t>
        </is>
      </c>
    </row>
    <row r="312" customFormat="1" s="2">
      <c r="A312" s="26" t="n">
        <v>122</v>
      </c>
      <c r="B312" s="5" t="inlineStr">
        <is>
          <t>Eficacia en la solicitud documental- por periodo</t>
        </is>
      </c>
      <c r="C312" s="5" t="inlineStr">
        <is>
          <t>Gestión de calidad</t>
        </is>
      </c>
      <c r="D312" s="5" t="inlineStr">
        <is>
          <t>Mensual</t>
        </is>
      </c>
      <c r="E312" s="5" t="inlineStr">
        <is>
          <t>Positivo</t>
        </is>
      </c>
      <c r="F312" s="107" t="n">
        <v>45900</v>
      </c>
      <c r="G312" s="5" t="n">
        <v>2025</v>
      </c>
      <c r="H312" s="5" t="inlineStr">
        <is>
          <t>Agosto</t>
        </is>
      </c>
      <c r="I312" s="6" t="inlineStr">
        <is>
          <t>2025-2</t>
        </is>
      </c>
      <c r="J312" s="94" t="n">
        <v>90</v>
      </c>
      <c r="K312" s="94" t="n">
        <v>57.89</v>
      </c>
      <c r="L312" s="14">
        <f>IFERROR(IF(OR(J312=0,K312=""),"",IF(E312="Positivo",MIN(MAX(K312/J312,0),1.3),MIN(MAX(J312/K312,0),1.3))),"") </f>
        <v/>
      </c>
      <c r="M312" s="14">
        <f>IFERROR(IF(OR(J312=0,K312=""),"",IF(E312="Positivo",MAX(K312/J312,0),MAX(J312/K312,0))),"") </f>
        <v/>
      </c>
      <c r="N312" s="9" t="inlineStr">
        <is>
          <t>%</t>
        </is>
      </c>
      <c r="O312" s="9" t="inlineStr">
        <is>
          <t>%</t>
        </is>
      </c>
      <c r="P312" s="15" t="n">
        <v>0</v>
      </c>
      <c r="Q312" s="15" t="n">
        <v>0</v>
      </c>
      <c r="R312" s="5" t="inlineStr">
        <is>
          <t>122-2025-08-31</t>
        </is>
      </c>
    </row>
    <row r="313" customFormat="1" s="2">
      <c r="A313" s="26" t="n">
        <v>122</v>
      </c>
      <c r="B313" s="5" t="inlineStr">
        <is>
          <t>Eficacia en la solicitud documental- por periodo</t>
        </is>
      </c>
      <c r="C313" s="5" t="inlineStr">
        <is>
          <t>Gestión de calidad</t>
        </is>
      </c>
      <c r="D313" s="5" t="inlineStr">
        <is>
          <t>Mensual</t>
        </is>
      </c>
      <c r="E313" s="5" t="inlineStr">
        <is>
          <t>Positivo</t>
        </is>
      </c>
      <c r="F313" s="107" t="n">
        <v>45930</v>
      </c>
      <c r="G313" s="5" t="n">
        <v>2025</v>
      </c>
      <c r="H313" s="5" t="inlineStr">
        <is>
          <t>Septiembre</t>
        </is>
      </c>
      <c r="I313" s="6" t="inlineStr">
        <is>
          <t>2025-2</t>
        </is>
      </c>
      <c r="J313" s="94" t="n">
        <v>90</v>
      </c>
      <c r="K313" s="94" t="n">
        <v>81.81999999999999</v>
      </c>
      <c r="L313" s="14">
        <f>IFERROR(IF(OR(J313=0,K313=""),"",IF(E313="Positivo",MIN(MAX(K313/J313,0),1.3),MIN(MAX(J313/K313,0),1.3))),"") </f>
        <v/>
      </c>
      <c r="M313" s="14">
        <f>IFERROR(IF(OR(J313=0,K313=""),"",IF(E313="Positivo",MAX(K313/J313,0),MAX(J313/K313,0))),"") </f>
        <v/>
      </c>
      <c r="N313" s="9" t="inlineStr">
        <is>
          <t>%</t>
        </is>
      </c>
      <c r="O313" s="9" t="inlineStr">
        <is>
          <t>%</t>
        </is>
      </c>
      <c r="P313" s="15" t="n">
        <v>0</v>
      </c>
      <c r="Q313" s="15" t="n">
        <v>0</v>
      </c>
      <c r="R313" s="5" t="inlineStr">
        <is>
          <t>122-2025-09-30</t>
        </is>
      </c>
    </row>
    <row r="314" customFormat="1" s="2">
      <c r="A314" s="21" t="n">
        <v>122</v>
      </c>
      <c r="B314" s="5" t="inlineStr">
        <is>
          <t>Eficacia en la solicitud documental- por periodo</t>
        </is>
      </c>
      <c r="C314" s="5" t="inlineStr">
        <is>
          <t>Gestión de calidad</t>
        </is>
      </c>
      <c r="D314" s="5" t="inlineStr">
        <is>
          <t>Mensual</t>
        </is>
      </c>
      <c r="E314" s="5" t="inlineStr">
        <is>
          <t>Positivo</t>
        </is>
      </c>
      <c r="F314" s="107" t="n">
        <v>45961</v>
      </c>
      <c r="G314" s="5" t="n">
        <v>2025</v>
      </c>
      <c r="H314" s="5" t="inlineStr">
        <is>
          <t>Octubre</t>
        </is>
      </c>
      <c r="I314" s="6" t="inlineStr">
        <is>
          <t>2025-2</t>
        </is>
      </c>
      <c r="J314" s="10" t="n">
        <v>90</v>
      </c>
      <c r="K314" s="10" t="n">
        <v>88.89</v>
      </c>
      <c r="L314" s="14">
        <f>IFERROR(IF(OR(J314=0,K314=""),"",IF(E314="Positivo",MIN(MAX(K314/J314,0),1.3),MIN(MAX(J314/K314,0),1.3))),"") </f>
        <v/>
      </c>
      <c r="M314" s="14">
        <f>IFERROR(IF(OR(J314=0,K314=""),"",IF(E314="Positivo",MAX(K314/J314,0),MAX(J314/K314,0))),"") </f>
        <v/>
      </c>
      <c r="N314" s="9" t="inlineStr">
        <is>
          <t>%</t>
        </is>
      </c>
      <c r="O314" s="9" t="inlineStr">
        <is>
          <t>%</t>
        </is>
      </c>
      <c r="P314" s="15" t="n">
        <v>0</v>
      </c>
      <c r="Q314" s="15" t="n">
        <v>0</v>
      </c>
      <c r="R314" s="5" t="inlineStr">
        <is>
          <t>122-2025-10-31</t>
        </is>
      </c>
    </row>
    <row r="315" customFormat="1" s="2">
      <c r="A315" s="21" t="n">
        <v>122</v>
      </c>
      <c r="B315" s="5" t="inlineStr">
        <is>
          <t>Eficacia en la solicitud documental- por periodo</t>
        </is>
      </c>
      <c r="C315" s="5" t="inlineStr">
        <is>
          <t>Gestión de calidad</t>
        </is>
      </c>
      <c r="D315" s="5" t="inlineStr">
        <is>
          <t>Mensual</t>
        </is>
      </c>
      <c r="E315" s="5" t="inlineStr">
        <is>
          <t>Positivo</t>
        </is>
      </c>
      <c r="F315" s="107" t="n">
        <v>45991</v>
      </c>
      <c r="G315" s="5" t="n">
        <v>2025</v>
      </c>
      <c r="H315" s="5" t="inlineStr">
        <is>
          <t>Noviembre</t>
        </is>
      </c>
      <c r="I315" s="6" t="inlineStr">
        <is>
          <t>2025-2</t>
        </is>
      </c>
      <c r="J315" s="96" t="n">
        <v>90</v>
      </c>
      <c r="K315" s="96" t="n">
        <v>90</v>
      </c>
      <c r="L315" s="14">
        <f>IFERROR(IF(OR(J315=0,K315=""),"",IF(E315="Positivo",MIN(MAX(K315/J315,0),1.3),MIN(MAX(J315/K315,0),1.3))),"") </f>
        <v/>
      </c>
      <c r="M315" s="14">
        <f>IFERROR(IF(OR(J315=0,K315=""),"",IF(E315="Positivo",MAX(K315/J315,0),MAX(J315/K315,0))),"") </f>
        <v/>
      </c>
      <c r="N315" s="9" t="inlineStr">
        <is>
          <t>%</t>
        </is>
      </c>
      <c r="O315" s="9" t="inlineStr">
        <is>
          <t>%</t>
        </is>
      </c>
      <c r="P315" s="15" t="n">
        <v>0</v>
      </c>
      <c r="Q315" s="15" t="n">
        <v>0</v>
      </c>
      <c r="R315" s="5" t="inlineStr">
        <is>
          <t>122-2025-11-30</t>
        </is>
      </c>
    </row>
    <row r="316" customFormat="1" s="2">
      <c r="A316" s="21" t="n">
        <v>122</v>
      </c>
      <c r="B316" s="5" t="inlineStr">
        <is>
          <t>Eficacia en la solicitud documental- por periodo</t>
        </is>
      </c>
      <c r="C316" s="5" t="inlineStr">
        <is>
          <t>Gestión de calidad</t>
        </is>
      </c>
      <c r="D316" s="5" t="inlineStr">
        <is>
          <t>Mensual</t>
        </is>
      </c>
      <c r="E316" s="5" t="inlineStr">
        <is>
          <t>Positivo</t>
        </is>
      </c>
      <c r="F316" s="107" t="n">
        <v>46022</v>
      </c>
      <c r="G316" s="5" t="n">
        <v>2025</v>
      </c>
      <c r="H316" s="5" t="inlineStr">
        <is>
          <t>Diciembre</t>
        </is>
      </c>
      <c r="I316" s="6" t="inlineStr">
        <is>
          <t>2025-2</t>
        </is>
      </c>
      <c r="J316" s="96" t="n">
        <v>90</v>
      </c>
      <c r="K316" s="96" t="n">
        <v>100</v>
      </c>
      <c r="L316" s="14">
        <f>IFERROR(IF(OR(J316=0,K316=""),"",IF(E316="Positivo",MIN(MAX(K316/J316,0),1.3),MIN(MAX(J316/K316,0),1.3))),"") </f>
        <v/>
      </c>
      <c r="M316" s="14">
        <f>IFERROR(IF(OR(J316=0,K316=""),"",IF(E316="Positivo",MAX(K316/J316,0),MAX(J316/K316,0))),"") </f>
        <v/>
      </c>
      <c r="N316" s="9" t="inlineStr">
        <is>
          <t>%</t>
        </is>
      </c>
      <c r="O316" s="9" t="inlineStr">
        <is>
          <t>%</t>
        </is>
      </c>
      <c r="P316" s="15" t="n">
        <v>0</v>
      </c>
      <c r="Q316" s="15" t="n">
        <v>0</v>
      </c>
      <c r="R316" s="5" t="inlineStr">
        <is>
          <t>122-2025-12-31</t>
        </is>
      </c>
    </row>
    <row r="317" customFormat="1" s="2">
      <c r="A317" s="21" t="n">
        <v>124</v>
      </c>
      <c r="B317" s="5" t="inlineStr">
        <is>
          <t>Indice de Frecuencia de accidentalidad</t>
        </is>
      </c>
      <c r="C317" s="5" t="inlineStr">
        <is>
          <t>GESTIÓN DE SEGURIDAD Y SALUD EN EL TRABAJO</t>
        </is>
      </c>
      <c r="D317" s="5" t="inlineStr">
        <is>
          <t>Mensual</t>
        </is>
      </c>
      <c r="E317" s="5" t="inlineStr">
        <is>
          <t>Negativo</t>
        </is>
      </c>
      <c r="F317" s="107" t="n">
        <v>44592</v>
      </c>
      <c r="G317" s="5" t="n">
        <v>2022</v>
      </c>
      <c r="H317" s="5" t="inlineStr">
        <is>
          <t>Enero</t>
        </is>
      </c>
      <c r="I317" s="6" t="inlineStr">
        <is>
          <t>2022-1</t>
        </is>
      </c>
      <c r="J317" s="96" t="n">
        <v>1.6</v>
      </c>
      <c r="K317" s="96" t="n">
        <v>0</v>
      </c>
      <c r="L317" s="14">
        <f>IFERROR(IF(OR(J317=0,K317=""),"",IF(E317="Positivo",MIN(MAX(K317/J317,0),1.3),MIN(MAX(J317/K317,0),1.3))),"") </f>
        <v/>
      </c>
      <c r="M317" s="14">
        <f>IFERROR(IF(OR(J317=0,K317=""),"",IF(E317="Positivo",MAX(K317/J317,0),MAX(J317/K317,0))),"") </f>
        <v/>
      </c>
      <c r="N317" s="9" t="inlineStr">
        <is>
          <t>DEC</t>
        </is>
      </c>
      <c r="O317" s="9" t="inlineStr">
        <is>
          <t>%</t>
        </is>
      </c>
      <c r="P317" s="15" t="n">
        <v>1</v>
      </c>
      <c r="Q317" s="15" t="n">
        <v>2</v>
      </c>
      <c r="R317" s="5" t="inlineStr">
        <is>
          <t>124-2022-01-31</t>
        </is>
      </c>
    </row>
    <row r="318" customFormat="1" s="2">
      <c r="A318" s="21" t="n">
        <v>124</v>
      </c>
      <c r="B318" s="5" t="inlineStr">
        <is>
          <t>Indice de Frecuencia de accidentalidad</t>
        </is>
      </c>
      <c r="C318" s="5" t="inlineStr">
        <is>
          <t>GESTIÓN DE SEGURIDAD Y SALUD EN EL TRABAJO</t>
        </is>
      </c>
      <c r="D318" s="5" t="inlineStr">
        <is>
          <t>Mensual</t>
        </is>
      </c>
      <c r="E318" s="5" t="inlineStr">
        <is>
          <t>Negativo</t>
        </is>
      </c>
      <c r="F318" s="107" t="n">
        <v>44620</v>
      </c>
      <c r="G318" s="5" t="n">
        <v>2022</v>
      </c>
      <c r="H318" s="5" t="inlineStr">
        <is>
          <t>Febrero</t>
        </is>
      </c>
      <c r="I318" s="6" t="inlineStr">
        <is>
          <t>2022-1</t>
        </is>
      </c>
      <c r="J318" s="96" t="n">
        <v>1.6</v>
      </c>
      <c r="K318" s="96" t="n">
        <v>0.06988120195667399</v>
      </c>
      <c r="L318" s="14">
        <f>IFERROR(IF(OR(J318=0,K318=""),"",IF(E318="Positivo",MIN(MAX(K318/J318,0),1.3),MIN(MAX(J318/K318,0),1.3))),"") </f>
        <v/>
      </c>
      <c r="M318" s="14">
        <f>IFERROR(IF(OR(J318=0,K318=""),"",IF(E318="Positivo",MAX(K318/J318,0),MAX(J318/K318,0))),"") </f>
        <v/>
      </c>
      <c r="N318" s="9" t="inlineStr">
        <is>
          <t>DEC</t>
        </is>
      </c>
      <c r="O318" s="9" t="inlineStr">
        <is>
          <t>%</t>
        </is>
      </c>
      <c r="P318" s="15" t="n">
        <v>1</v>
      </c>
      <c r="Q318" s="15" t="n">
        <v>2</v>
      </c>
      <c r="R318" s="5" t="inlineStr">
        <is>
          <t>124-2022-02-28</t>
        </is>
      </c>
    </row>
    <row r="319" customFormat="1" s="2">
      <c r="A319" s="21" t="n">
        <v>124</v>
      </c>
      <c r="B319" s="5" t="inlineStr">
        <is>
          <t>Indice de Frecuencia de accidentalidad</t>
        </is>
      </c>
      <c r="C319" s="5" t="inlineStr">
        <is>
          <t>GESTIÓN DE SEGURIDAD Y SALUD EN EL TRABAJO</t>
        </is>
      </c>
      <c r="D319" s="5" t="inlineStr">
        <is>
          <t>Mensual</t>
        </is>
      </c>
      <c r="E319" s="5" t="inlineStr">
        <is>
          <t>Negativo</t>
        </is>
      </c>
      <c r="F319" s="107" t="n">
        <v>44651</v>
      </c>
      <c r="G319" s="5" t="n">
        <v>2022</v>
      </c>
      <c r="H319" s="5" t="inlineStr">
        <is>
          <t>Marzo</t>
        </is>
      </c>
      <c r="I319" s="6" t="inlineStr">
        <is>
          <t>2022-1</t>
        </is>
      </c>
      <c r="J319" s="96" t="n">
        <v>1.6</v>
      </c>
      <c r="K319" s="96" t="n">
        <v>0</v>
      </c>
      <c r="L319" s="14">
        <f>IFERROR(IF(OR(J319=0,K319=""),"",IF(E319="Positivo",MIN(MAX(K319/J319,0),1.3),MIN(MAX(J319/K319,0),1.3))),"") </f>
        <v/>
      </c>
      <c r="M319" s="14">
        <f>IFERROR(IF(OR(J319=0,K319=""),"",IF(E319="Positivo",MAX(K319/J319,0),MAX(J319/K319,0))),"") </f>
        <v/>
      </c>
      <c r="N319" s="9" t="inlineStr">
        <is>
          <t>DEC</t>
        </is>
      </c>
      <c r="O319" s="9" t="inlineStr">
        <is>
          <t>%</t>
        </is>
      </c>
      <c r="P319" s="15" t="n">
        <v>1</v>
      </c>
      <c r="Q319" s="15" t="n">
        <v>2</v>
      </c>
      <c r="R319" s="5" t="inlineStr">
        <is>
          <t>124-2022-03-31</t>
        </is>
      </c>
    </row>
    <row r="320" customFormat="1" s="2">
      <c r="A320" s="26" t="n">
        <v>124</v>
      </c>
      <c r="B320" s="5" t="inlineStr">
        <is>
          <t>Indice de Frecuencia de accidentalidad</t>
        </is>
      </c>
      <c r="C320" s="5" t="inlineStr">
        <is>
          <t>GESTIÓN DE SEGURIDAD Y SALUD EN EL TRABAJO</t>
        </is>
      </c>
      <c r="D320" s="5" t="inlineStr">
        <is>
          <t>Mensual</t>
        </is>
      </c>
      <c r="E320" s="5" t="inlineStr">
        <is>
          <t>Negativo</t>
        </is>
      </c>
      <c r="F320" s="107" t="n">
        <v>44681</v>
      </c>
      <c r="G320" s="5" t="n">
        <v>2022</v>
      </c>
      <c r="H320" s="5" t="inlineStr">
        <is>
          <t>Abril</t>
        </is>
      </c>
      <c r="I320" s="6" t="inlineStr">
        <is>
          <t>2022-1</t>
        </is>
      </c>
      <c r="J320" s="9" t="n">
        <v>1.6</v>
      </c>
      <c r="K320" s="9" t="n">
        <v>0</v>
      </c>
      <c r="L320" s="14">
        <f>IFERROR(IF(OR(J320=0,K320=""),"",IF(E320="Positivo",MIN(MAX(K320/J320,0),1.3),MIN(MAX(J320/K320,0),1.3))),"") </f>
        <v/>
      </c>
      <c r="M320" s="14">
        <f>IFERROR(IF(OR(J320=0,K320=""),"",IF(E320="Positivo",MAX(K320/J320,0),MAX(J320/K320,0))),"") </f>
        <v/>
      </c>
      <c r="N320" s="9" t="inlineStr">
        <is>
          <t>DEC</t>
        </is>
      </c>
      <c r="O320" s="9" t="inlineStr">
        <is>
          <t>DEC</t>
        </is>
      </c>
      <c r="P320" s="15" t="n">
        <v>1</v>
      </c>
      <c r="Q320" s="15" t="n">
        <v>2</v>
      </c>
      <c r="R320" s="5" t="inlineStr">
        <is>
          <t>124-2022-04-30</t>
        </is>
      </c>
    </row>
    <row r="321">
      <c r="A321" s="26" t="n">
        <v>124</v>
      </c>
      <c r="B321" s="5" t="inlineStr">
        <is>
          <t>Indice de Frecuencia de accidentalidad</t>
        </is>
      </c>
      <c r="C321" s="5" t="inlineStr">
        <is>
          <t>GESTIÓN DE SEGURIDAD Y SALUD EN EL TRABAJO</t>
        </is>
      </c>
      <c r="D321" s="5" t="inlineStr">
        <is>
          <t>Mensual</t>
        </is>
      </c>
      <c r="E321" s="5" t="inlineStr">
        <is>
          <t>Negativo</t>
        </is>
      </c>
      <c r="F321" s="107" t="n">
        <v>44712</v>
      </c>
      <c r="G321" s="5" t="n">
        <v>2022</v>
      </c>
      <c r="H321" s="5" t="inlineStr">
        <is>
          <t>Mayo</t>
        </is>
      </c>
      <c r="I321" s="6" t="inlineStr">
        <is>
          <t>2022-1</t>
        </is>
      </c>
      <c r="J321" s="9" t="n">
        <v>1.6</v>
      </c>
      <c r="K321" s="9" t="n">
        <v>0.053361792956243</v>
      </c>
      <c r="L321" s="14">
        <f>IFERROR(IF(OR(J321=0,K321=""),"",IF(E321="Positivo",MIN(MAX(K321/J321,0),1.3),MIN(MAX(J321/K321,0),1.3))),"") </f>
        <v/>
      </c>
      <c r="M321" s="14">
        <f>IFERROR(IF(OR(J321=0,K321=""),"",IF(E321="Positivo",MAX(K321/J321,0),MAX(J321/K321,0))),"") </f>
        <v/>
      </c>
      <c r="N321" s="9" t="inlineStr">
        <is>
          <t>DEC</t>
        </is>
      </c>
      <c r="O321" s="9" t="inlineStr">
        <is>
          <t>DEC</t>
        </is>
      </c>
      <c r="P321" s="15" t="n">
        <v>1</v>
      </c>
      <c r="Q321" s="15" t="n">
        <v>2</v>
      </c>
      <c r="R321" s="5" t="inlineStr">
        <is>
          <t>124-2022-05-31</t>
        </is>
      </c>
    </row>
    <row r="322">
      <c r="A322" s="26" t="n">
        <v>124</v>
      </c>
      <c r="B322" s="5" t="inlineStr">
        <is>
          <t>Indice de Frecuencia de accidentalidad</t>
        </is>
      </c>
      <c r="C322" s="5" t="inlineStr">
        <is>
          <t>GESTIÓN DE SEGURIDAD Y SALUD EN EL TRABAJO</t>
        </is>
      </c>
      <c r="D322" s="5" t="inlineStr">
        <is>
          <t>Mensual</t>
        </is>
      </c>
      <c r="E322" s="5" t="inlineStr">
        <is>
          <t>Negativo</t>
        </is>
      </c>
      <c r="F322" s="107" t="n">
        <v>44742</v>
      </c>
      <c r="G322" s="5" t="n">
        <v>2022</v>
      </c>
      <c r="H322" s="5" t="inlineStr">
        <is>
          <t>Junio</t>
        </is>
      </c>
      <c r="I322" s="6" t="inlineStr">
        <is>
          <t>2022-1</t>
        </is>
      </c>
      <c r="J322" s="9" t="n">
        <v>1.6</v>
      </c>
      <c r="K322" s="9" t="n">
        <v>0</v>
      </c>
      <c r="L322" s="14">
        <f>IFERROR(IF(OR(J322=0,K322=""),"",IF(E322="Positivo",MIN(MAX(K322/J322,0),1.3),MIN(MAX(J322/K322,0),1.3))),"") </f>
        <v/>
      </c>
      <c r="M322" s="14">
        <f>IFERROR(IF(OR(J322=0,K322=""),"",IF(E322="Positivo",MAX(K322/J322,0),MAX(J322/K322,0))),"") </f>
        <v/>
      </c>
      <c r="N322" s="9" t="inlineStr">
        <is>
          <t>DEC</t>
        </is>
      </c>
      <c r="O322" s="9" t="inlineStr">
        <is>
          <t>DEC</t>
        </is>
      </c>
      <c r="P322" s="15" t="n">
        <v>1</v>
      </c>
      <c r="Q322" s="15" t="n">
        <v>2</v>
      </c>
      <c r="R322" s="5" t="inlineStr">
        <is>
          <t>124-2022-06-30</t>
        </is>
      </c>
    </row>
    <row r="323">
      <c r="A323" s="21" t="n">
        <v>124</v>
      </c>
      <c r="B323" s="5" t="inlineStr">
        <is>
          <t>Indice de Frecuencia de accidentalidad</t>
        </is>
      </c>
      <c r="C323" s="5" t="inlineStr">
        <is>
          <t>GESTIÓN DE SEGURIDAD Y SALUD EN EL TRABAJO</t>
        </is>
      </c>
      <c r="D323" s="5" t="inlineStr">
        <is>
          <t>Mensual</t>
        </is>
      </c>
      <c r="E323" s="5" t="inlineStr">
        <is>
          <t>Negativo</t>
        </is>
      </c>
      <c r="F323" s="106" t="n">
        <v>44773</v>
      </c>
      <c r="G323" s="5" t="n">
        <v>2022</v>
      </c>
      <c r="H323" s="5" t="inlineStr">
        <is>
          <t>Julio</t>
        </is>
      </c>
      <c r="I323" s="6" t="inlineStr">
        <is>
          <t>2022-2</t>
        </is>
      </c>
      <c r="J323" s="5" t="n">
        <v>1.6</v>
      </c>
      <c r="K323" s="5" t="n">
        <v>0</v>
      </c>
      <c r="L323" s="14">
        <f>IFERROR(IF(OR(J323=0,K323=""),"",IF(E323="Positivo",MIN(MAX(K323/J323,0),1.3),MIN(MAX(J323/K323,0),1.3))),"") </f>
        <v/>
      </c>
      <c r="M323" s="14">
        <f>IFERROR(IF(OR(J323=0,K323=""),"",IF(E323="Positivo",MAX(K323/J323,0),MAX(J323/K323,0))),"") </f>
        <v/>
      </c>
      <c r="N323" s="5" t="inlineStr">
        <is>
          <t>DEC</t>
        </is>
      </c>
      <c r="O323" s="5" t="inlineStr">
        <is>
          <t>DEC</t>
        </is>
      </c>
      <c r="P323" s="15" t="n">
        <v>1</v>
      </c>
      <c r="Q323" s="15" t="n">
        <v>2</v>
      </c>
      <c r="R323" s="5" t="inlineStr">
        <is>
          <t>124-2022-07-31</t>
        </is>
      </c>
    </row>
    <row r="324">
      <c r="A324" s="5" t="n">
        <v>124</v>
      </c>
      <c r="B324" s="5" t="inlineStr">
        <is>
          <t>Indice de Frecuencia de accidentalidad</t>
        </is>
      </c>
      <c r="C324" s="5" t="inlineStr">
        <is>
          <t>GESTIÓN DE SEGURIDAD Y SALUD EN EL TRABAJO</t>
        </is>
      </c>
      <c r="D324" s="5" t="inlineStr">
        <is>
          <t>Mensual</t>
        </is>
      </c>
      <c r="E324" s="5" t="inlineStr">
        <is>
          <t>Negativo</t>
        </is>
      </c>
      <c r="F324" s="107" t="n">
        <v>44804</v>
      </c>
      <c r="G324" s="5" t="n">
        <v>2022</v>
      </c>
      <c r="H324" s="5" t="inlineStr">
        <is>
          <t>Agosto</t>
        </is>
      </c>
      <c r="I324" s="6" t="inlineStr">
        <is>
          <t>2022-2</t>
        </is>
      </c>
      <c r="J324" s="5" t="n">
        <v>1.6</v>
      </c>
      <c r="K324" s="5" t="n">
        <v>0.1865671641791</v>
      </c>
      <c r="L324" s="14">
        <f>IFERROR(IF(OR(J324=0,K324=""),"",IF(E324="Positivo",MIN(MAX(K324/J324,0),1.3),MIN(MAX(J324/K324,0),1.3))),"") </f>
        <v/>
      </c>
      <c r="M324" s="14">
        <f>IFERROR(IF(OR(J324=0,K324=""),"",IF(E324="Positivo",MAX(K324/J324,0),MAX(J324/K324,0))),"") </f>
        <v/>
      </c>
      <c r="N324" s="5" t="inlineStr">
        <is>
          <t>DEC</t>
        </is>
      </c>
      <c r="O324" s="5" t="inlineStr">
        <is>
          <t>DEC</t>
        </is>
      </c>
      <c r="P324" s="15" t="n">
        <v>1</v>
      </c>
      <c r="Q324" s="15" t="n">
        <v>2</v>
      </c>
      <c r="R324" s="5" t="inlineStr">
        <is>
          <t>124-2022-08-31</t>
        </is>
      </c>
    </row>
    <row r="325">
      <c r="A325" s="5" t="n">
        <v>124</v>
      </c>
      <c r="B325" s="5" t="inlineStr">
        <is>
          <t>Indice de Frecuencia de accidentalidad</t>
        </is>
      </c>
      <c r="C325" s="5" t="inlineStr">
        <is>
          <t>GESTIÓN DE SEGURIDAD Y SALUD EN EL TRABAJO</t>
        </is>
      </c>
      <c r="D325" s="5" t="inlineStr">
        <is>
          <t>Mensual</t>
        </is>
      </c>
      <c r="E325" s="5" t="inlineStr">
        <is>
          <t>Negativo</t>
        </is>
      </c>
      <c r="F325" s="107" t="n">
        <v>44834</v>
      </c>
      <c r="G325" s="5" t="n">
        <v>2022</v>
      </c>
      <c r="H325" s="5" t="inlineStr">
        <is>
          <t>Septiembre</t>
        </is>
      </c>
      <c r="I325" s="6" t="inlineStr">
        <is>
          <t>2022-2</t>
        </is>
      </c>
      <c r="J325" s="5" t="n">
        <v>1.6</v>
      </c>
      <c r="K325" s="5" t="n">
        <v>0</v>
      </c>
      <c r="L325" s="14">
        <f>IFERROR(IF(OR(J325=0,K325=""),"",IF(E325="Positivo",MIN(MAX(K325/J325,0),1.3),MIN(MAX(J325/K325,0),1.3))),"") </f>
        <v/>
      </c>
      <c r="M325" s="14">
        <f>IFERROR(IF(OR(J325=0,K325=""),"",IF(E325="Positivo",MAX(K325/J325,0),MAX(J325/K325,0))),"") </f>
        <v/>
      </c>
      <c r="N325" s="5" t="inlineStr">
        <is>
          <t>DEC</t>
        </is>
      </c>
      <c r="O325" s="5" t="inlineStr">
        <is>
          <t>DEC</t>
        </is>
      </c>
      <c r="P325" s="5" t="n">
        <v>1</v>
      </c>
      <c r="Q325" s="5" t="n">
        <v>2</v>
      </c>
      <c r="R325" s="5" t="inlineStr">
        <is>
          <t>124-2022-09-30</t>
        </is>
      </c>
    </row>
    <row r="326">
      <c r="A326" s="21" t="n">
        <v>124</v>
      </c>
      <c r="B326" s="5" t="inlineStr">
        <is>
          <t>Indice de Frecuencia de accidentalidad</t>
        </is>
      </c>
      <c r="C326" s="5" t="inlineStr">
        <is>
          <t>GESTIÓN DE SEGURIDAD Y SALUD EN EL TRABAJO</t>
        </is>
      </c>
      <c r="D326" s="5" t="inlineStr">
        <is>
          <t>Mensual</t>
        </is>
      </c>
      <c r="E326" s="5" t="inlineStr">
        <is>
          <t>Negativo</t>
        </is>
      </c>
      <c r="F326" s="107" t="n">
        <v>44865</v>
      </c>
      <c r="G326" s="5" t="n">
        <v>2022</v>
      </c>
      <c r="H326" s="5" t="inlineStr">
        <is>
          <t>Octubre</t>
        </is>
      </c>
      <c r="I326" s="6" t="inlineStr">
        <is>
          <t>2022-2</t>
        </is>
      </c>
      <c r="J326" s="5" t="n">
        <v>1.6</v>
      </c>
      <c r="K326" s="5" t="n">
        <v>0.055187637969095</v>
      </c>
      <c r="L326" s="14">
        <f>IFERROR(IF(OR(J326=0,K326=""),"",IF(E326="Positivo",MIN(MAX(K326/J326,0),1.3),MIN(MAX(J326/K326,0),1.3))),"") </f>
        <v/>
      </c>
      <c r="M326" s="14">
        <f>IFERROR(IF(OR(J326=0,K326=""),"",IF(E326="Positivo",MAX(K326/J326,0),MAX(J326/K326,0))),"") </f>
        <v/>
      </c>
      <c r="N326" s="5" t="inlineStr">
        <is>
          <t>DEC</t>
        </is>
      </c>
      <c r="O326" s="5" t="inlineStr">
        <is>
          <t>DEC</t>
        </is>
      </c>
      <c r="P326" s="15" t="n">
        <v>1</v>
      </c>
      <c r="Q326" s="15" t="n">
        <v>2</v>
      </c>
      <c r="R326" s="5" t="inlineStr">
        <is>
          <t>124-2022-10-31</t>
        </is>
      </c>
    </row>
    <row r="327">
      <c r="A327" s="26" t="n">
        <v>124</v>
      </c>
      <c r="B327" s="5" t="inlineStr">
        <is>
          <t>Indice de Frecuencia de accidentalidad</t>
        </is>
      </c>
      <c r="C327" s="5" t="inlineStr">
        <is>
          <t>GESTIÓN DE SEGURIDAD Y SALUD EN EL TRABAJO</t>
        </is>
      </c>
      <c r="D327" s="5" t="inlineStr">
        <is>
          <t>Mensual</t>
        </is>
      </c>
      <c r="E327" s="5" t="inlineStr">
        <is>
          <t>Negativo</t>
        </is>
      </c>
      <c r="F327" s="107" t="n">
        <v>44895</v>
      </c>
      <c r="G327" s="5" t="n">
        <v>2022</v>
      </c>
      <c r="H327" s="5" t="inlineStr">
        <is>
          <t>Noviembre</t>
        </is>
      </c>
      <c r="I327" s="6" t="inlineStr">
        <is>
          <t>2022-2</t>
        </is>
      </c>
      <c r="J327" s="5" t="n">
        <v>1.6</v>
      </c>
      <c r="K327" s="9" t="n">
        <v>0</v>
      </c>
      <c r="L327" s="14">
        <f>IFERROR(IF(OR(J327=0,K327=""),"",IF(E327="Positivo",MIN(MAX(K327/J327,0),1.3),MIN(MAX(J327/K327,0),1.3))),"") </f>
        <v/>
      </c>
      <c r="M327" s="14">
        <f>IFERROR(IF(OR(J327=0,K327=""),"",IF(E327="Positivo",MAX(K327/J327,0),MAX(J327/K327,0))),"") </f>
        <v/>
      </c>
      <c r="N327" s="5" t="inlineStr">
        <is>
          <t>DEC</t>
        </is>
      </c>
      <c r="O327" s="5" t="inlineStr">
        <is>
          <t>DEC</t>
        </is>
      </c>
      <c r="P327" s="15" t="n">
        <v>1</v>
      </c>
      <c r="Q327" s="15" t="n">
        <v>2</v>
      </c>
      <c r="R327" s="5" t="inlineStr">
        <is>
          <t>124-2022-11-30</t>
        </is>
      </c>
    </row>
    <row r="328">
      <c r="A328" s="21" t="n">
        <v>124</v>
      </c>
      <c r="B328" s="5" t="inlineStr">
        <is>
          <t>Indice de Frecuencia de accidentalidad</t>
        </is>
      </c>
      <c r="C328" s="5" t="inlineStr">
        <is>
          <t>GESTIÓN DE SEGURIDAD Y SALUD EN EL TRABAJO</t>
        </is>
      </c>
      <c r="D328" s="5" t="inlineStr">
        <is>
          <t>Mensual</t>
        </is>
      </c>
      <c r="E328" s="5" t="inlineStr">
        <is>
          <t>Negativo</t>
        </is>
      </c>
      <c r="F328" s="107" t="n">
        <v>44926</v>
      </c>
      <c r="G328" s="5" t="n">
        <v>2022</v>
      </c>
      <c r="H328" s="5" t="inlineStr">
        <is>
          <t>Diciembre</t>
        </is>
      </c>
      <c r="I328" s="6" t="inlineStr">
        <is>
          <t>2022-2</t>
        </is>
      </c>
      <c r="J328" s="5" t="n">
        <v>1.6</v>
      </c>
      <c r="K328" s="10" t="n">
        <v>0</v>
      </c>
      <c r="L328" s="14">
        <f>IFERROR(IF(OR(J328=0,K328=""),"",IF(E328="Positivo",MIN(MAX(K328/J328,0),1.3),MIN(MAX(J328/K328,0),1.3))),"") </f>
        <v/>
      </c>
      <c r="M328" s="14">
        <f>IFERROR(IF(OR(J328=0,K328=""),"",IF(E328="Positivo",MAX(K328/J328,0),MAX(J328/K328,0))),"") </f>
        <v/>
      </c>
      <c r="N328" s="5" t="inlineStr">
        <is>
          <t>DEC</t>
        </is>
      </c>
      <c r="O328" s="5" t="inlineStr">
        <is>
          <t>DEC</t>
        </is>
      </c>
      <c r="P328" s="15" t="n">
        <v>1</v>
      </c>
      <c r="Q328" s="15" t="n">
        <v>2</v>
      </c>
      <c r="R328" s="5" t="inlineStr">
        <is>
          <t>124-2022-12-31</t>
        </is>
      </c>
    </row>
    <row r="329">
      <c r="A329" s="21" t="n">
        <v>124</v>
      </c>
      <c r="B329" s="5" t="inlineStr">
        <is>
          <t>Indice de Frecuencia de accidentalidad</t>
        </is>
      </c>
      <c r="C329" s="5" t="inlineStr">
        <is>
          <t>GESTIÓN DE SEGURIDAD Y SALUD EN EL TRABAJO</t>
        </is>
      </c>
      <c r="D329" s="5" t="inlineStr">
        <is>
          <t>Mensual</t>
        </is>
      </c>
      <c r="E329" s="5" t="inlineStr">
        <is>
          <t>Negativo</t>
        </is>
      </c>
      <c r="F329" s="106" t="n">
        <v>44957</v>
      </c>
      <c r="G329" s="5" t="n">
        <v>2023</v>
      </c>
      <c r="H329" s="5" t="inlineStr">
        <is>
          <t>Enero</t>
        </is>
      </c>
      <c r="I329" s="6" t="inlineStr">
        <is>
          <t>2023-1</t>
        </is>
      </c>
      <c r="J329" s="5" t="n">
        <v>1.6</v>
      </c>
      <c r="K329" s="9" t="n">
        <v>0</v>
      </c>
      <c r="L329" s="14">
        <f>IFERROR(IF(OR(J329=0,K329=""),"",IF(E329="Positivo",MIN(MAX(K329/J329,0),1.3),MIN(MAX(J329/K329,0),1.3))),"") </f>
        <v/>
      </c>
      <c r="M329" s="14">
        <f>IFERROR(IF(OR(J329=0,K329=""),"",IF(E329="Positivo",MAX(K329/J329,0),MAX(J329/K329,0))),"") </f>
        <v/>
      </c>
      <c r="N329" s="5" t="inlineStr">
        <is>
          <t>DEC</t>
        </is>
      </c>
      <c r="O329" s="5" t="inlineStr">
        <is>
          <t>DEC</t>
        </is>
      </c>
      <c r="P329" s="15" t="n">
        <v>1</v>
      </c>
      <c r="Q329" s="15" t="n">
        <v>2</v>
      </c>
      <c r="R329" s="5" t="inlineStr">
        <is>
          <t>124-2023-01-31</t>
        </is>
      </c>
    </row>
    <row r="330">
      <c r="A330" s="21" t="n">
        <v>124</v>
      </c>
      <c r="B330" s="5" t="inlineStr">
        <is>
          <t>Indice de Frecuencia de accidentalidad</t>
        </is>
      </c>
      <c r="C330" s="5" t="inlineStr">
        <is>
          <t>GESTIÓN DE SEGURIDAD Y SALUD EN EL TRABAJO</t>
        </is>
      </c>
      <c r="D330" s="5" t="inlineStr">
        <is>
          <t>Mensual</t>
        </is>
      </c>
      <c r="E330" s="5" t="inlineStr">
        <is>
          <t>Negativo</t>
        </is>
      </c>
      <c r="F330" s="107" t="n">
        <v>44985</v>
      </c>
      <c r="G330" s="5" t="n">
        <v>2023</v>
      </c>
      <c r="H330" s="5" t="inlineStr">
        <is>
          <t>Febrero</t>
        </is>
      </c>
      <c r="I330" s="6" t="inlineStr">
        <is>
          <t>2023-1</t>
        </is>
      </c>
      <c r="J330" s="5" t="n">
        <v>1.6</v>
      </c>
      <c r="K330" s="9" t="n">
        <v>0</v>
      </c>
      <c r="L330" s="14">
        <f>IFERROR(IF(OR(J330=0,K330=""),"",IF(E330="Positivo",MIN(MAX(K330/J330,0),1.3),MIN(MAX(J330/K330,0),1.3))),"") </f>
        <v/>
      </c>
      <c r="M330" s="14">
        <f>IFERROR(IF(OR(J330=0,K330=""),"",IF(E330="Positivo",MAX(K330/J330,0),MAX(J330/K330,0))),"") </f>
        <v/>
      </c>
      <c r="N330" s="5" t="inlineStr">
        <is>
          <t>DEC</t>
        </is>
      </c>
      <c r="O330" s="5" t="inlineStr">
        <is>
          <t>DEC</t>
        </is>
      </c>
      <c r="P330" s="15" t="n">
        <v>1</v>
      </c>
      <c r="Q330" s="15" t="n">
        <v>2</v>
      </c>
      <c r="R330" s="5" t="inlineStr">
        <is>
          <t>124-2023-02-28</t>
        </is>
      </c>
    </row>
    <row r="331">
      <c r="A331" s="5" t="n">
        <v>124</v>
      </c>
      <c r="B331" s="5" t="inlineStr">
        <is>
          <t>Indice de Frecuencia de accidentalidad</t>
        </is>
      </c>
      <c r="C331" s="5" t="inlineStr">
        <is>
          <t>GESTIÓN DE SEGURIDAD Y SALUD EN EL TRABAJO</t>
        </is>
      </c>
      <c r="D331" s="5" t="inlineStr">
        <is>
          <t>Mensual</t>
        </is>
      </c>
      <c r="E331" s="5" t="inlineStr">
        <is>
          <t>Negativo</t>
        </is>
      </c>
      <c r="F331" s="107" t="n">
        <v>45016</v>
      </c>
      <c r="G331" s="5" t="n">
        <v>2023</v>
      </c>
      <c r="H331" s="5" t="inlineStr">
        <is>
          <t>Marzo</t>
        </is>
      </c>
      <c r="I331" s="6" t="inlineStr">
        <is>
          <t>2023-1</t>
        </is>
      </c>
      <c r="J331" s="5" t="n">
        <v>1.6</v>
      </c>
      <c r="K331" s="5" t="n">
        <v>0</v>
      </c>
      <c r="L331" s="14">
        <f>IFERROR(IF(OR(J331=0,K331=""),"",IF(E331="Positivo",MIN(MAX(K331/J331,0),1.3),MIN(MAX(J331/K331,0),1.3))),"") </f>
        <v/>
      </c>
      <c r="M331" s="14">
        <f>IFERROR(IF(OR(J331=0,K331=""),"",IF(E331="Positivo",MAX(K331/J331,0),MAX(J331/K331,0))),"") </f>
        <v/>
      </c>
      <c r="N331" s="5" t="inlineStr">
        <is>
          <t>DEC</t>
        </is>
      </c>
      <c r="O331" s="5" t="inlineStr">
        <is>
          <t>DEC</t>
        </is>
      </c>
      <c r="P331" s="5" t="n">
        <v>1</v>
      </c>
      <c r="Q331" s="15" t="n">
        <v>2</v>
      </c>
      <c r="R331" s="5" t="inlineStr">
        <is>
          <t>124-2023-03-31</t>
        </is>
      </c>
    </row>
    <row r="332">
      <c r="A332" s="21" t="n">
        <v>124</v>
      </c>
      <c r="B332" s="5" t="inlineStr">
        <is>
          <t>Indice de Frecuencia de accidentalidad</t>
        </is>
      </c>
      <c r="C332" s="5" t="inlineStr">
        <is>
          <t>GESTIÓN DE SEGURIDAD Y SALUD EN EL TRABAJO</t>
        </is>
      </c>
      <c r="D332" s="5" t="inlineStr">
        <is>
          <t>Mensual</t>
        </is>
      </c>
      <c r="E332" s="5" t="inlineStr">
        <is>
          <t>Negativo</t>
        </is>
      </c>
      <c r="F332" s="107" t="n">
        <v>45046</v>
      </c>
      <c r="G332" s="5" t="n">
        <v>2023</v>
      </c>
      <c r="H332" s="5" t="inlineStr">
        <is>
          <t>Abril</t>
        </is>
      </c>
      <c r="I332" s="6" t="inlineStr">
        <is>
          <t>2023-1</t>
        </is>
      </c>
      <c r="J332" s="5" t="n">
        <v>1.6</v>
      </c>
      <c r="K332" s="10" t="n">
        <v>0.10435690060005</v>
      </c>
      <c r="L332" s="14">
        <f>IFERROR(IF(OR(J332=0,K332=""),"",IF(E332="Positivo",MIN(MAX(K332/J332,0),1.3),MIN(MAX(J332/K332,0),1.3))),"") </f>
        <v/>
      </c>
      <c r="M332" s="14">
        <f>IFERROR(IF(OR(J332=0,K332=""),"",IF(E332="Positivo",MAX(K332/J332,0),MAX(J332/K332,0))),"") </f>
        <v/>
      </c>
      <c r="N332" s="5" t="inlineStr">
        <is>
          <t>DEC</t>
        </is>
      </c>
      <c r="O332" s="5" t="inlineStr">
        <is>
          <t>DEC</t>
        </is>
      </c>
      <c r="P332" s="15" t="n">
        <v>1</v>
      </c>
      <c r="Q332" s="15" t="n">
        <v>2</v>
      </c>
      <c r="R332" s="5" t="inlineStr">
        <is>
          <t>124-2023-04-30</t>
        </is>
      </c>
    </row>
    <row r="333">
      <c r="A333" s="21" t="n">
        <v>124</v>
      </c>
      <c r="B333" s="5" t="inlineStr">
        <is>
          <t>Indice de Frecuencia de accidentalidad</t>
        </is>
      </c>
      <c r="C333" s="5" t="inlineStr">
        <is>
          <t>GESTIÓN DE SEGURIDAD Y SALUD EN EL TRABAJO</t>
        </is>
      </c>
      <c r="D333" s="5" t="inlineStr">
        <is>
          <t>Mensual</t>
        </is>
      </c>
      <c r="E333" s="5" t="inlineStr">
        <is>
          <t>Negativo</t>
        </is>
      </c>
      <c r="F333" s="106" t="n">
        <v>45077</v>
      </c>
      <c r="G333" s="5" t="n">
        <v>2023</v>
      </c>
      <c r="H333" s="5" t="inlineStr">
        <is>
          <t>Mayo</t>
        </is>
      </c>
      <c r="I333" s="6" t="inlineStr">
        <is>
          <t>2023-1</t>
        </is>
      </c>
      <c r="J333" s="5" t="n">
        <v>1.6</v>
      </c>
      <c r="K333" s="9" t="n">
        <v>0.051072522982635</v>
      </c>
      <c r="L333" s="14">
        <f>IFERROR(IF(OR(J333=0,K333=""),"",IF(E333="Positivo",MIN(MAX(K333/J333,0),1.3),MIN(MAX(J333/K333,0),1.3))),"") </f>
        <v/>
      </c>
      <c r="M333" s="14">
        <f>IFERROR(IF(OR(J333=0,K333=""),"",IF(E333="Positivo",MAX(K333/J333,0),MAX(J333/K333,0))),"") </f>
        <v/>
      </c>
      <c r="N333" s="5" t="inlineStr">
        <is>
          <t>DEC</t>
        </is>
      </c>
      <c r="O333" s="5" t="inlineStr">
        <is>
          <t>DEC</t>
        </is>
      </c>
      <c r="P333" s="15" t="n">
        <v>1</v>
      </c>
      <c r="Q333" s="15" t="n">
        <v>2</v>
      </c>
      <c r="R333" s="5" t="inlineStr">
        <is>
          <t>124-2023-05-31</t>
        </is>
      </c>
    </row>
    <row r="334">
      <c r="A334" s="26" t="n">
        <v>124</v>
      </c>
      <c r="B334" s="5" t="inlineStr">
        <is>
          <t>Indice de Frecuencia de accidentalidad</t>
        </is>
      </c>
      <c r="C334" s="5" t="inlineStr">
        <is>
          <t>GESTIÓN DE SEGURIDAD Y SALUD EN EL TRABAJO</t>
        </is>
      </c>
      <c r="D334" s="5" t="inlineStr">
        <is>
          <t>Mensual</t>
        </is>
      </c>
      <c r="E334" s="5" t="inlineStr">
        <is>
          <t>Negativo</t>
        </is>
      </c>
      <c r="F334" s="107" t="n">
        <v>45107</v>
      </c>
      <c r="G334" s="5" t="n">
        <v>2023</v>
      </c>
      <c r="H334" s="5" t="inlineStr">
        <is>
          <t>Junio</t>
        </is>
      </c>
      <c r="I334" s="6" t="inlineStr">
        <is>
          <t>2023-1</t>
        </is>
      </c>
      <c r="J334" s="5" t="n">
        <v>1.6</v>
      </c>
      <c r="K334" s="9" t="n">
        <v>0</v>
      </c>
      <c r="L334" s="14">
        <f>IFERROR(IF(OR(J334=0,K334=""),"",IF(E334="Positivo",MIN(MAX(K334/J334,0),1.3),MIN(MAX(J334/K334,0),1.3))),"") </f>
        <v/>
      </c>
      <c r="M334" s="14">
        <f>IFERROR(IF(OR(J334=0,K334=""),"",IF(E334="Positivo",MAX(K334/J334,0),MAX(J334/K334,0))),"") </f>
        <v/>
      </c>
      <c r="N334" s="5" t="inlineStr">
        <is>
          <t>DEC</t>
        </is>
      </c>
      <c r="O334" s="5" t="inlineStr">
        <is>
          <t>DEC</t>
        </is>
      </c>
      <c r="P334" s="15" t="n">
        <v>1</v>
      </c>
      <c r="Q334" s="15" t="n">
        <v>2</v>
      </c>
      <c r="R334" s="5" t="inlineStr">
        <is>
          <t>124-2023-06-30</t>
        </is>
      </c>
    </row>
    <row r="335">
      <c r="A335" s="5" t="n">
        <v>124</v>
      </c>
      <c r="B335" s="5" t="inlineStr">
        <is>
          <t>Indice de Frecuencia de accidentalidad</t>
        </is>
      </c>
      <c r="C335" s="5" t="inlineStr">
        <is>
          <t>GESTIÓN DE SEGURIDAD Y SALUD EN EL TRABAJO</t>
        </is>
      </c>
      <c r="D335" s="5" t="inlineStr">
        <is>
          <t>Mensual</t>
        </is>
      </c>
      <c r="E335" s="5" t="inlineStr">
        <is>
          <t>Negativo</t>
        </is>
      </c>
      <c r="F335" s="107" t="n">
        <v>45138</v>
      </c>
      <c r="G335" s="5" t="n">
        <v>2023</v>
      </c>
      <c r="H335" s="5" t="inlineStr">
        <is>
          <t>Julio</t>
        </is>
      </c>
      <c r="I335" s="6" t="inlineStr">
        <is>
          <t>2023-2</t>
        </is>
      </c>
      <c r="J335" s="5" t="n">
        <v>1.6</v>
      </c>
      <c r="K335" s="5" t="n">
        <v>0.075471698113208</v>
      </c>
      <c r="L335" s="14">
        <f>IFERROR(IF(OR(J335=0,K335=""),"",IF(E335="Positivo",MIN(MAX(K335/J335,0),1.3),MIN(MAX(J335/K335,0),1.3))),"") </f>
        <v/>
      </c>
      <c r="M335" s="14">
        <f>IFERROR(IF(OR(J335=0,K335=""),"",IF(E335="Positivo",MAX(K335/J335,0),MAX(J335/K335,0))),"") </f>
        <v/>
      </c>
      <c r="N335" s="5" t="inlineStr">
        <is>
          <t>DEC</t>
        </is>
      </c>
      <c r="O335" s="5" t="inlineStr">
        <is>
          <t>DEC</t>
        </is>
      </c>
      <c r="P335" s="5" t="n">
        <v>1</v>
      </c>
      <c r="Q335" s="5" t="n">
        <v>2</v>
      </c>
      <c r="R335" s="5" t="inlineStr">
        <is>
          <t>124-2023-07-31</t>
        </is>
      </c>
    </row>
    <row r="336">
      <c r="A336" s="21" t="n">
        <v>124</v>
      </c>
      <c r="B336" s="5" t="inlineStr">
        <is>
          <t>Indice de Frecuencia de accidentalidad</t>
        </is>
      </c>
      <c r="C336" s="5" t="inlineStr">
        <is>
          <t>GESTIÓN DE SEGURIDAD Y SALUD EN EL TRABAJO</t>
        </is>
      </c>
      <c r="D336" s="5" t="inlineStr">
        <is>
          <t>Mensual</t>
        </is>
      </c>
      <c r="E336" s="5" t="inlineStr">
        <is>
          <t>Negativo</t>
        </is>
      </c>
      <c r="F336" s="107" t="n">
        <v>45169</v>
      </c>
      <c r="G336" s="5" t="n">
        <v>2023</v>
      </c>
      <c r="H336" s="5" t="inlineStr">
        <is>
          <t>Agosto</t>
        </is>
      </c>
      <c r="I336" s="6" t="inlineStr">
        <is>
          <t>2023-2</t>
        </is>
      </c>
      <c r="J336" s="5" t="n">
        <v>1.6</v>
      </c>
      <c r="K336" s="10" t="n">
        <v>0.06</v>
      </c>
      <c r="L336" s="14">
        <f>IFERROR(IF(OR(J336=0,K336=""),"",IF(E336="Positivo",MIN(MAX(K336/J336,0),1.3),MIN(MAX(J336/K336,0),1.3))),"") </f>
        <v/>
      </c>
      <c r="M336" s="14">
        <f>IFERROR(IF(OR(J336=0,K336=""),"",IF(E336="Positivo",MAX(K336/J336,0),MAX(J336/K336,0))),"") </f>
        <v/>
      </c>
      <c r="N336" s="5" t="inlineStr">
        <is>
          <t>DEC</t>
        </is>
      </c>
      <c r="O336" s="5" t="inlineStr">
        <is>
          <t>DEC</t>
        </is>
      </c>
      <c r="P336" s="15" t="n">
        <v>1</v>
      </c>
      <c r="Q336" s="15" t="n">
        <v>2</v>
      </c>
      <c r="R336" s="5" t="inlineStr">
        <is>
          <t>124-2023-08-31</t>
        </is>
      </c>
    </row>
    <row r="337">
      <c r="A337" s="26" t="n">
        <v>124</v>
      </c>
      <c r="B337" s="5" t="inlineStr">
        <is>
          <t>Indice de Frecuencia de accidentalidad</t>
        </is>
      </c>
      <c r="C337" s="5" t="inlineStr">
        <is>
          <t>GESTIÓN DE SEGURIDAD Y SALUD EN EL TRABAJO</t>
        </is>
      </c>
      <c r="D337" s="5" t="inlineStr">
        <is>
          <t>Mensual</t>
        </is>
      </c>
      <c r="E337" s="5" t="inlineStr">
        <is>
          <t>Negativo</t>
        </is>
      </c>
      <c r="F337" s="107" t="n">
        <v>45199</v>
      </c>
      <c r="G337" s="5" t="n">
        <v>2023</v>
      </c>
      <c r="H337" s="5" t="inlineStr">
        <is>
          <t>Septiembre</t>
        </is>
      </c>
      <c r="I337" s="6" t="inlineStr">
        <is>
          <t>2023-2</t>
        </is>
      </c>
      <c r="J337" s="5" t="n">
        <v>1.6</v>
      </c>
      <c r="K337" s="9" t="n">
        <v>0</v>
      </c>
      <c r="L337" s="14">
        <f>IFERROR(IF(OR(J337=0,K337=""),"",IF(E337="Positivo",MIN(MAX(K337/J337,0),1.3),MIN(MAX(J337/K337,0),1.3))),"") </f>
        <v/>
      </c>
      <c r="M337" s="14">
        <f>IFERROR(IF(OR(J337=0,K337=""),"",IF(E337="Positivo",MAX(K337/J337,0),MAX(J337/K337,0))),"") </f>
        <v/>
      </c>
      <c r="N337" s="5" t="inlineStr">
        <is>
          <t>DEC</t>
        </is>
      </c>
      <c r="O337" s="5" t="inlineStr">
        <is>
          <t>DEC</t>
        </is>
      </c>
      <c r="P337" s="15" t="n">
        <v>1</v>
      </c>
      <c r="Q337" s="15" t="n">
        <v>2</v>
      </c>
      <c r="R337" s="5" t="inlineStr">
        <is>
          <t>124-2023-09-30</t>
        </is>
      </c>
    </row>
    <row r="338">
      <c r="A338" s="21" t="n">
        <v>124</v>
      </c>
      <c r="B338" s="5" t="inlineStr">
        <is>
          <t>Indice de Frecuencia de accidentalidad</t>
        </is>
      </c>
      <c r="C338" s="5" t="inlineStr">
        <is>
          <t>GESTIÓN DE SEGURIDAD Y SALUD EN EL TRABAJO</t>
        </is>
      </c>
      <c r="D338" s="5" t="inlineStr">
        <is>
          <t>Mensual</t>
        </is>
      </c>
      <c r="E338" s="5" t="inlineStr">
        <is>
          <t>Negativo</t>
        </is>
      </c>
      <c r="F338" s="107" t="n">
        <v>45230</v>
      </c>
      <c r="G338" s="5" t="n">
        <v>2023</v>
      </c>
      <c r="H338" s="5" t="inlineStr">
        <is>
          <t>Octubre</t>
        </is>
      </c>
      <c r="I338" s="6" t="inlineStr">
        <is>
          <t>2023-2</t>
        </is>
      </c>
      <c r="J338" s="5" t="n">
        <v>1.6</v>
      </c>
      <c r="K338" s="10" t="n">
        <v>0.05</v>
      </c>
      <c r="L338" s="14">
        <f>IFERROR(IF(OR(J338=0,K338=""),"",IF(E338="Positivo",MIN(MAX(K338/J338,0),1.3),MIN(MAX(J338/K338,0),1.3))),"") </f>
        <v/>
      </c>
      <c r="M338" s="14">
        <f>IFERROR(IF(OR(J338=0,K338=""),"",IF(E338="Positivo",MAX(K338/J338,0),MAX(J338/K338,0))),"") </f>
        <v/>
      </c>
      <c r="N338" s="5" t="inlineStr">
        <is>
          <t>DEC</t>
        </is>
      </c>
      <c r="O338" s="5" t="inlineStr">
        <is>
          <t>DEC</t>
        </is>
      </c>
      <c r="P338" s="15" t="n">
        <v>1</v>
      </c>
      <c r="Q338" s="15" t="n">
        <v>2</v>
      </c>
      <c r="R338" s="5" t="inlineStr">
        <is>
          <t>124-2023-10-31</t>
        </is>
      </c>
    </row>
    <row r="339">
      <c r="A339" s="5" t="n">
        <v>124</v>
      </c>
      <c r="B339" s="5" t="inlineStr">
        <is>
          <t>Indice de Frecuencia de accidentalidad</t>
        </is>
      </c>
      <c r="C339" s="5" t="inlineStr">
        <is>
          <t>GESTIÓN DE SEGURIDAD Y SALUD EN EL TRABAJO</t>
        </is>
      </c>
      <c r="D339" s="5" t="inlineStr">
        <is>
          <t>Mensual</t>
        </is>
      </c>
      <c r="E339" s="5" t="inlineStr">
        <is>
          <t>Negativo</t>
        </is>
      </c>
      <c r="F339" s="107" t="n">
        <v>45260</v>
      </c>
      <c r="G339" s="5" t="n">
        <v>2023</v>
      </c>
      <c r="H339" s="5" t="inlineStr">
        <is>
          <t>Noviembre</t>
        </is>
      </c>
      <c r="I339" s="6" t="inlineStr">
        <is>
          <t>2023-2</t>
        </is>
      </c>
      <c r="J339" s="5" t="n">
        <v>1.6</v>
      </c>
      <c r="K339" s="5" t="n">
        <v>0</v>
      </c>
      <c r="L339" s="14">
        <f>IFERROR(IF(OR(J339=0,K339=""),"",IF(E339="Positivo",MIN(MAX(K339/J339,0),1.3),MIN(MAX(J339/K339,0),1.3))),"") </f>
        <v/>
      </c>
      <c r="M339" s="14">
        <f>IFERROR(IF(OR(J339=0,K339=""),"",IF(E339="Positivo",MAX(K339/J339,0),MAX(J339/K339,0))),"") </f>
        <v/>
      </c>
      <c r="N339" s="5" t="inlineStr">
        <is>
          <t>DEC</t>
        </is>
      </c>
      <c r="O339" s="5" t="inlineStr">
        <is>
          <t>DEC</t>
        </is>
      </c>
      <c r="P339" s="5" t="n">
        <v>1</v>
      </c>
      <c r="Q339" s="5" t="n">
        <v>2</v>
      </c>
      <c r="R339" s="5" t="inlineStr">
        <is>
          <t>124-2023-11-30</t>
        </is>
      </c>
    </row>
    <row r="340">
      <c r="A340" s="31" t="n">
        <v>124</v>
      </c>
      <c r="B340" s="5" t="inlineStr">
        <is>
          <t>Indice de Frecuencia de accidentalidad</t>
        </is>
      </c>
      <c r="C340" s="5" t="inlineStr">
        <is>
          <t>GESTIÓN DE SEGURIDAD Y SALUD EN EL TRABAJO</t>
        </is>
      </c>
      <c r="D340" s="5" t="inlineStr">
        <is>
          <t>Mensual</t>
        </is>
      </c>
      <c r="E340" s="5" t="inlineStr">
        <is>
          <t>Negativo</t>
        </is>
      </c>
      <c r="F340" s="107" t="n">
        <v>45291</v>
      </c>
      <c r="G340" s="5" t="n">
        <v>2023</v>
      </c>
      <c r="H340" s="5" t="inlineStr">
        <is>
          <t>Diciembre</t>
        </is>
      </c>
      <c r="I340" s="6" t="inlineStr">
        <is>
          <t>2023-2</t>
        </is>
      </c>
      <c r="J340" s="5" t="n">
        <v>1.6</v>
      </c>
      <c r="K340" s="96" t="n">
        <v>0</v>
      </c>
      <c r="L340" s="30">
        <f>IFERROR(IF(OR(J340=0,K340=""),"",IF(E340="Positivo",MIN(MAX(K340/J340,0),1.3),MIN(MAX(J340/K340,0),1.3))),"") </f>
        <v/>
      </c>
      <c r="M340" s="14">
        <f>IFERROR(IF(OR(J340=0,K340=""),"",IF(E340="Positivo",MAX(K340/J340,0),MAX(J340/K340,0))),"") </f>
        <v/>
      </c>
      <c r="N340" s="31" t="inlineStr">
        <is>
          <t>DEC</t>
        </is>
      </c>
      <c r="O340" s="5" t="inlineStr">
        <is>
          <t>DEC</t>
        </is>
      </c>
      <c r="P340" s="15" t="n">
        <v>1</v>
      </c>
      <c r="Q340" s="15" t="n">
        <v>2</v>
      </c>
      <c r="R340" s="5" t="inlineStr">
        <is>
          <t>124-2023-12-31</t>
        </is>
      </c>
    </row>
    <row r="341">
      <c r="A341" s="31" t="n">
        <v>124</v>
      </c>
      <c r="B341" s="5" t="inlineStr">
        <is>
          <t>Indice de Frecuencia de accidentalidad</t>
        </is>
      </c>
      <c r="C341" s="5" t="inlineStr">
        <is>
          <t>GESTIÓN DE SEGURIDAD Y SALUD EN EL TRABAJO</t>
        </is>
      </c>
      <c r="D341" s="5" t="inlineStr">
        <is>
          <t>Mensual</t>
        </is>
      </c>
      <c r="E341" s="5" t="inlineStr">
        <is>
          <t>Negativo</t>
        </is>
      </c>
      <c r="F341" s="107" t="n">
        <v>45322</v>
      </c>
      <c r="G341" s="5" t="n">
        <v>2024</v>
      </c>
      <c r="H341" s="5" t="inlineStr">
        <is>
          <t>Enero</t>
        </is>
      </c>
      <c r="I341" s="6" t="inlineStr">
        <is>
          <t>2024-1</t>
        </is>
      </c>
      <c r="J341" s="5" t="n">
        <v>0.2</v>
      </c>
      <c r="K341" s="96" t="n">
        <v>0</v>
      </c>
      <c r="L341" s="14">
        <f>IFERROR(IF(OR(J341=0,K341=""),"",IF(E341="Positivo",MIN(MAX(K341/J341,0),1.3),MIN(MAX(J341/K341,0),1.3))),"") </f>
        <v/>
      </c>
      <c r="M341" s="14">
        <f>IFERROR(IF(OR(J341=0,K341=""),"",IF(E341="Positivo",MAX(K341/J341,0),MAX(J341/K341,0))),"") </f>
        <v/>
      </c>
      <c r="N341" s="31" t="inlineStr">
        <is>
          <t>DEC</t>
        </is>
      </c>
      <c r="O341" s="5" t="inlineStr">
        <is>
          <t>DEC</t>
        </is>
      </c>
      <c r="P341" s="15" t="n">
        <v>1</v>
      </c>
      <c r="Q341" s="15" t="n">
        <v>2</v>
      </c>
      <c r="R341" s="5" t="inlineStr">
        <is>
          <t>124-2024-01-31</t>
        </is>
      </c>
    </row>
    <row r="342">
      <c r="A342" s="31" t="n">
        <v>124</v>
      </c>
      <c r="B342" s="5" t="inlineStr">
        <is>
          <t>Indice de Frecuencia de accidentalidad</t>
        </is>
      </c>
      <c r="C342" s="5" t="inlineStr">
        <is>
          <t>GESTIÓN DE SEGURIDAD Y SALUD EN EL TRABAJO</t>
        </is>
      </c>
      <c r="D342" s="5" t="inlineStr">
        <is>
          <t>Mensual</t>
        </is>
      </c>
      <c r="E342" s="5" t="inlineStr">
        <is>
          <t>Negativo</t>
        </is>
      </c>
      <c r="F342" s="107" t="n">
        <v>45351</v>
      </c>
      <c r="G342" s="5" t="n">
        <v>2024</v>
      </c>
      <c r="H342" s="5" t="inlineStr">
        <is>
          <t>Febrero</t>
        </is>
      </c>
      <c r="I342" s="6" t="inlineStr">
        <is>
          <t>2024-1</t>
        </is>
      </c>
      <c r="J342" s="5" t="n">
        <v>0.2</v>
      </c>
      <c r="K342" s="96" t="n">
        <v>0</v>
      </c>
      <c r="L342" s="30">
        <f>IFERROR(IF(OR(J342=0,K342=""),"",IF(E342="Positivo",MIN(MAX(K342/J342,0),1.3),MIN(MAX(J342/K342,0),1.3))),"") </f>
        <v/>
      </c>
      <c r="M342" s="14">
        <f>IFERROR(IF(OR(J342=0,K342=""),"",IF(E342="Positivo",MAX(K342/J342,0),MAX(J342/K342,0))),"") </f>
        <v/>
      </c>
      <c r="N342" s="31" t="inlineStr">
        <is>
          <t>DEC</t>
        </is>
      </c>
      <c r="O342" s="5" t="inlineStr">
        <is>
          <t>DEC</t>
        </is>
      </c>
      <c r="P342" s="15" t="n">
        <v>1</v>
      </c>
      <c r="Q342" s="15" t="n">
        <v>2</v>
      </c>
      <c r="R342" s="5" t="inlineStr">
        <is>
          <t>124-2024-02-29</t>
        </is>
      </c>
    </row>
    <row r="343">
      <c r="A343" s="21" t="n">
        <v>124</v>
      </c>
      <c r="B343" s="5" t="inlineStr">
        <is>
          <t>Indice de Frecuencia de accidentalidad</t>
        </is>
      </c>
      <c r="C343" s="5" t="inlineStr">
        <is>
          <t>GESTIÓN DE SEGURIDAD Y SALUD EN EL TRABAJO</t>
        </is>
      </c>
      <c r="D343" s="5" t="inlineStr">
        <is>
          <t>Mensual</t>
        </is>
      </c>
      <c r="E343" s="5" t="inlineStr">
        <is>
          <t>Negativo</t>
        </is>
      </c>
      <c r="F343" s="107" t="n">
        <v>45382</v>
      </c>
      <c r="G343" s="5" t="n">
        <v>2024</v>
      </c>
      <c r="H343" s="5" t="inlineStr">
        <is>
          <t>Marzo</t>
        </is>
      </c>
      <c r="I343" s="6" t="inlineStr">
        <is>
          <t>2024-1</t>
        </is>
      </c>
      <c r="J343" s="5" t="n">
        <v>0.2</v>
      </c>
      <c r="K343" s="10" t="n">
        <v>0</v>
      </c>
      <c r="L343" s="14">
        <f>IFERROR(IF(OR(J343=0,K343=""),"",IF(E343="Positivo",MIN(MAX(K343/J343,0),1.3),MIN(MAX(J343/K343,0),1.3))),"") </f>
        <v/>
      </c>
      <c r="M343" s="14">
        <f>IFERROR(IF(OR(J343=0,K343=""),"",IF(E343="Positivo",MAX(K343/J343,0),MAX(J343/K343,0))),"") </f>
        <v/>
      </c>
      <c r="N343" s="5" t="inlineStr">
        <is>
          <t>DEC</t>
        </is>
      </c>
      <c r="O343" s="5" t="inlineStr">
        <is>
          <t>DEC</t>
        </is>
      </c>
      <c r="P343" s="15" t="n">
        <v>1</v>
      </c>
      <c r="Q343" s="15" t="n">
        <v>2</v>
      </c>
      <c r="R343" s="5" t="inlineStr">
        <is>
          <t>124-2024-03-31</t>
        </is>
      </c>
    </row>
    <row r="344">
      <c r="A344" s="5" t="n">
        <v>124</v>
      </c>
      <c r="B344" s="5" t="inlineStr">
        <is>
          <t>Indice de Frecuencia de accidentalidad</t>
        </is>
      </c>
      <c r="C344" s="5" t="inlineStr">
        <is>
          <t>GESTIÓN DE SEGURIDAD Y SALUD EN EL TRABAJO</t>
        </is>
      </c>
      <c r="D344" s="5" t="inlineStr">
        <is>
          <t>Mensual</t>
        </is>
      </c>
      <c r="E344" s="5" t="inlineStr">
        <is>
          <t>Negativo</t>
        </is>
      </c>
      <c r="F344" s="107" t="n">
        <v>45412</v>
      </c>
      <c r="G344" s="5" t="n">
        <v>2024</v>
      </c>
      <c r="H344" s="5" t="inlineStr">
        <is>
          <t>Abril</t>
        </is>
      </c>
      <c r="I344" s="6" t="inlineStr">
        <is>
          <t>2024-1</t>
        </is>
      </c>
      <c r="J344" s="5" t="n">
        <v>0.2</v>
      </c>
      <c r="K344" s="9" t="n">
        <v>0</v>
      </c>
      <c r="L344" s="74">
        <f>IFERROR(IF(OR(J344=0,K344=""),"",IF(E344="Positivo",MIN(MAX(K344/J344,0),1.3),MIN(MAX(J344/K344,0),1.3))),"") </f>
        <v/>
      </c>
      <c r="M344" s="14">
        <f>IFERROR(IF(OR(J344=0,K344=""),"",IF(E344="Positivo",MAX(K344/J344,0),MAX(J344/K344,0))),"") </f>
        <v/>
      </c>
      <c r="N344" s="5" t="inlineStr">
        <is>
          <t>DEC</t>
        </is>
      </c>
      <c r="O344" s="5" t="inlineStr">
        <is>
          <t>DEC</t>
        </is>
      </c>
      <c r="P344" s="5" t="n">
        <v>1</v>
      </c>
      <c r="Q344" s="5" t="n">
        <v>2</v>
      </c>
      <c r="R344" s="5" t="inlineStr">
        <is>
          <t>124-2024-04-30</t>
        </is>
      </c>
    </row>
    <row r="345">
      <c r="A345" s="26" t="n">
        <v>124</v>
      </c>
      <c r="B345" s="5" t="inlineStr">
        <is>
          <t>Indice de Frecuencia de accidentalidad</t>
        </is>
      </c>
      <c r="C345" s="5" t="inlineStr">
        <is>
          <t>GESTIÓN DE SEGURIDAD Y SALUD EN EL TRABAJO</t>
        </is>
      </c>
      <c r="D345" s="5" t="inlineStr">
        <is>
          <t>Mensual</t>
        </is>
      </c>
      <c r="E345" s="5" t="inlineStr">
        <is>
          <t>Negativo</t>
        </is>
      </c>
      <c r="F345" s="107" t="n">
        <v>45443</v>
      </c>
      <c r="G345" s="5" t="n">
        <v>2024</v>
      </c>
      <c r="H345" s="5" t="inlineStr">
        <is>
          <t>Mayo</t>
        </is>
      </c>
      <c r="I345" s="6" t="inlineStr">
        <is>
          <t>2024-1</t>
        </is>
      </c>
      <c r="J345" s="5" t="n">
        <v>0.2</v>
      </c>
      <c r="K345" s="9" t="n">
        <v>0.041823504809703</v>
      </c>
      <c r="L345" s="14">
        <f>IFERROR(IF(OR(J345=0,K345=""),"",IF(E345="Positivo",MIN(MAX(K345/J345,0),1.3),MIN(MAX(J345/K345,0),1.3))),"") </f>
        <v/>
      </c>
      <c r="M345" s="14">
        <f>IFERROR(IF(OR(J345=0,K345=""),"",IF(E345="Positivo",MAX(K345/J345,0),MAX(J345/K345,0))),"") </f>
        <v/>
      </c>
      <c r="N345" s="5" t="inlineStr">
        <is>
          <t>DEC</t>
        </is>
      </c>
      <c r="O345" s="5" t="inlineStr">
        <is>
          <t>DEC</t>
        </is>
      </c>
      <c r="P345" s="15" t="n">
        <v>1</v>
      </c>
      <c r="Q345" s="15" t="n">
        <v>2</v>
      </c>
      <c r="R345" s="5" t="inlineStr">
        <is>
          <t>124-2024-05-31</t>
        </is>
      </c>
    </row>
    <row r="346">
      <c r="A346" s="5" t="n">
        <v>124</v>
      </c>
      <c r="B346" s="5" t="inlineStr">
        <is>
          <t>Indice de Frecuencia de accidentalidad</t>
        </is>
      </c>
      <c r="C346" s="5" t="inlineStr">
        <is>
          <t>GESTIÓN DE SEGURIDAD Y SALUD EN EL TRABAJO</t>
        </is>
      </c>
      <c r="D346" s="5" t="inlineStr">
        <is>
          <t>Mensual</t>
        </is>
      </c>
      <c r="E346" s="5" t="inlineStr">
        <is>
          <t>Negativo</t>
        </is>
      </c>
      <c r="F346" s="107" t="n">
        <v>45473</v>
      </c>
      <c r="G346" s="5" t="n">
        <v>2024</v>
      </c>
      <c r="H346" s="5" t="inlineStr">
        <is>
          <t>Junio</t>
        </is>
      </c>
      <c r="I346" s="6" t="inlineStr">
        <is>
          <t>2024-1</t>
        </is>
      </c>
      <c r="J346" s="5" t="n">
        <v>0.2</v>
      </c>
      <c r="K346" s="5" t="n">
        <v>0</v>
      </c>
      <c r="L346" s="14">
        <f>IFERROR(IF(OR(J346=0,K346=""),"",IF(E346="Positivo",MIN(MAX(K346/J346,0),1.3),MIN(MAX(J346/K346,0),1.3))),"") </f>
        <v/>
      </c>
      <c r="M346" s="14">
        <f>IFERROR(IF(OR(J346=0,K346=""),"",IF(E346="Positivo",MAX(K346/J346,0),MAX(J346/K346,0))),"") </f>
        <v/>
      </c>
      <c r="N346" s="5" t="inlineStr">
        <is>
          <t>DEC</t>
        </is>
      </c>
      <c r="O346" s="5" t="inlineStr">
        <is>
          <t>DEC</t>
        </is>
      </c>
      <c r="P346" s="5" t="n">
        <v>1</v>
      </c>
      <c r="Q346" s="5" t="n">
        <v>2</v>
      </c>
      <c r="R346" s="5" t="inlineStr">
        <is>
          <t>124-2024-06-30</t>
        </is>
      </c>
    </row>
    <row r="347">
      <c r="A347" s="26" t="n">
        <v>124</v>
      </c>
      <c r="B347" s="5" t="inlineStr">
        <is>
          <t>Indice de Frecuencia de accidentalidad</t>
        </is>
      </c>
      <c r="C347" s="5" t="inlineStr">
        <is>
          <t>GESTIÓN DE SEGURIDAD Y SALUD EN EL TRABAJO</t>
        </is>
      </c>
      <c r="D347" s="5" t="inlineStr">
        <is>
          <t>Mensual</t>
        </is>
      </c>
      <c r="E347" s="5" t="inlineStr">
        <is>
          <t>Negativo</t>
        </is>
      </c>
      <c r="F347" s="107" t="n">
        <v>45504</v>
      </c>
      <c r="G347" s="5" t="n">
        <v>2024</v>
      </c>
      <c r="H347" s="5" t="inlineStr">
        <is>
          <t>Julio</t>
        </is>
      </c>
      <c r="I347" s="6" t="inlineStr">
        <is>
          <t>2024-2</t>
        </is>
      </c>
      <c r="J347" s="5" t="n">
        <v>0.2</v>
      </c>
      <c r="K347" s="9" t="n">
        <v>0</v>
      </c>
      <c r="L347" s="14">
        <f>IFERROR(IF(OR(J347=0,K347=""),"",IF(E347="Positivo",MIN(MAX(K347/J347,0),1.3),MIN(MAX(J347/K347,0),1.3))),"") </f>
        <v/>
      </c>
      <c r="M347" s="14">
        <f>IFERROR(IF(OR(J347=0,K347=""),"",IF(E347="Positivo",MAX(K347/J347,0),MAX(J347/K347,0))),"") </f>
        <v/>
      </c>
      <c r="N347" s="5" t="inlineStr">
        <is>
          <t>DEC</t>
        </is>
      </c>
      <c r="O347" s="5" t="inlineStr">
        <is>
          <t>DEC</t>
        </is>
      </c>
      <c r="P347" s="15" t="n">
        <v>1</v>
      </c>
      <c r="Q347" s="15" t="n">
        <v>2</v>
      </c>
      <c r="R347" s="5" t="inlineStr">
        <is>
          <t>124-2024-07-31</t>
        </is>
      </c>
    </row>
    <row r="348">
      <c r="A348" s="26" t="n">
        <v>124</v>
      </c>
      <c r="B348" s="5" t="inlineStr">
        <is>
          <t>Indice de Frecuencia de accidentalidad</t>
        </is>
      </c>
      <c r="C348" s="5" t="inlineStr">
        <is>
          <t>GESTIÓN DE SEGURIDAD Y SALUD EN EL TRABAJO</t>
        </is>
      </c>
      <c r="D348" s="5" t="inlineStr">
        <is>
          <t>Mensual</t>
        </is>
      </c>
      <c r="E348" s="5" t="inlineStr">
        <is>
          <t>Negativo</t>
        </is>
      </c>
      <c r="F348" s="107" t="n">
        <v>45535</v>
      </c>
      <c r="G348" s="5" t="n">
        <v>2024</v>
      </c>
      <c r="H348" s="5" t="inlineStr">
        <is>
          <t>Agosto</t>
        </is>
      </c>
      <c r="I348" s="6" t="inlineStr">
        <is>
          <t>2024-2</t>
        </is>
      </c>
      <c r="J348" s="5" t="n">
        <v>0.2</v>
      </c>
      <c r="K348" s="9" t="n">
        <v>0</v>
      </c>
      <c r="L348" s="14">
        <f>IFERROR(IF(OR(J348=0,K348=""),"",IF(E348="Positivo",MIN(MAX(K348/J348,0),1.3),MIN(MAX(J348/K348,0),1.3))),"") </f>
        <v/>
      </c>
      <c r="M348" s="14">
        <f>IFERROR(IF(OR(J348=0,K348=""),"",IF(E348="Positivo",MAX(K348/J348,0),MAX(J348/K348,0))),"") </f>
        <v/>
      </c>
      <c r="N348" s="5" t="inlineStr">
        <is>
          <t>DEC</t>
        </is>
      </c>
      <c r="O348" s="5" t="inlineStr">
        <is>
          <t>DEC</t>
        </is>
      </c>
      <c r="P348" s="15" t="n">
        <v>1</v>
      </c>
      <c r="Q348" s="15" t="n">
        <v>2</v>
      </c>
      <c r="R348" s="5" t="inlineStr">
        <is>
          <t>124-2024-08-31</t>
        </is>
      </c>
    </row>
    <row r="349">
      <c r="A349" s="21" t="n">
        <v>124</v>
      </c>
      <c r="B349" s="5" t="inlineStr">
        <is>
          <t>Indice de Frecuencia de accidentalidad</t>
        </is>
      </c>
      <c r="C349" s="5" t="inlineStr">
        <is>
          <t>GESTIÓN DE SEGURIDAD Y SALUD EN EL TRABAJO</t>
        </is>
      </c>
      <c r="D349" s="5" t="inlineStr">
        <is>
          <t>Mensual</t>
        </is>
      </c>
      <c r="E349" s="5" t="inlineStr">
        <is>
          <t>Negativo</t>
        </is>
      </c>
      <c r="F349" s="107" t="n">
        <v>45565</v>
      </c>
      <c r="G349" s="5" t="n">
        <v>2024</v>
      </c>
      <c r="H349" s="5" t="inlineStr">
        <is>
          <t>Septiembre</t>
        </is>
      </c>
      <c r="I349" s="6" t="inlineStr">
        <is>
          <t>2024-2</t>
        </is>
      </c>
      <c r="J349" s="5" t="n">
        <v>0.2</v>
      </c>
      <c r="K349" s="10" t="n">
        <v>0</v>
      </c>
      <c r="L349" s="14">
        <f>IFERROR(IF(OR(J349=0,K349=""),"",IF(E349="Positivo",MIN(MAX(K349/J349,0),1.3),MIN(MAX(J349/K349,0),1.3))),"") </f>
        <v/>
      </c>
      <c r="M349" s="14">
        <f>IFERROR(IF(OR(J349=0,K349=""),"",IF(E349="Positivo",MAX(K349/J349,0),MAX(J349/K349,0))),"") </f>
        <v/>
      </c>
      <c r="N349" s="5" t="inlineStr">
        <is>
          <t>DEC</t>
        </is>
      </c>
      <c r="O349" s="5" t="inlineStr">
        <is>
          <t>DEC</t>
        </is>
      </c>
      <c r="P349" s="15" t="n">
        <v>1</v>
      </c>
      <c r="Q349" s="15" t="n">
        <v>2</v>
      </c>
      <c r="R349" s="5" t="inlineStr">
        <is>
          <t>124-2024-09-30</t>
        </is>
      </c>
    </row>
    <row r="350">
      <c r="A350" s="21" t="n">
        <v>124</v>
      </c>
      <c r="B350" s="5" t="inlineStr">
        <is>
          <t>Indice de Frecuencia de accidentalidad</t>
        </is>
      </c>
      <c r="C350" s="5" t="inlineStr">
        <is>
          <t>GESTIÓN DE SEGURIDAD Y SALUD EN EL TRABAJO</t>
        </is>
      </c>
      <c r="D350" s="5" t="inlineStr">
        <is>
          <t>Mensual</t>
        </is>
      </c>
      <c r="E350" s="5" t="inlineStr">
        <is>
          <t>Negativo</t>
        </is>
      </c>
      <c r="F350" s="106" t="n">
        <v>45596</v>
      </c>
      <c r="G350" s="5" t="n">
        <v>2024</v>
      </c>
      <c r="H350" s="5" t="inlineStr">
        <is>
          <t>Octubre</t>
        </is>
      </c>
      <c r="I350" s="6" t="inlineStr">
        <is>
          <t>2024-2</t>
        </is>
      </c>
      <c r="J350" s="5" t="n">
        <v>0.2</v>
      </c>
      <c r="K350" s="9" t="n">
        <v>0</v>
      </c>
      <c r="L350" s="14">
        <f>IFERROR(IF(OR(J350=0,K350=""),"",IF(E350="Positivo",MIN(MAX(K350/J350,0),1.3),MIN(MAX(J350/K350,0),1.3))),"") </f>
        <v/>
      </c>
      <c r="M350" s="14">
        <f>IFERROR(IF(OR(J350=0,K350=""),"",IF(E350="Positivo",MAX(K350/J350,0),MAX(J350/K350,0))),"") </f>
        <v/>
      </c>
      <c r="N350" s="5" t="inlineStr">
        <is>
          <t>DEC</t>
        </is>
      </c>
      <c r="O350" s="5" t="inlineStr">
        <is>
          <t>DEC</t>
        </is>
      </c>
      <c r="P350" s="15" t="n">
        <v>1</v>
      </c>
      <c r="Q350" s="15" t="n">
        <v>2</v>
      </c>
      <c r="R350" s="5" t="inlineStr">
        <is>
          <t>124-2024-10-31</t>
        </is>
      </c>
    </row>
    <row r="351">
      <c r="A351" s="26" t="n">
        <v>124</v>
      </c>
      <c r="B351" s="5" t="inlineStr">
        <is>
          <t>Indice de Frecuencia de accidentalidad</t>
        </is>
      </c>
      <c r="C351" s="5" t="inlineStr">
        <is>
          <t>GESTIÓN DE SEGURIDAD Y SALUD EN EL TRABAJO</t>
        </is>
      </c>
      <c r="D351" s="5" t="inlineStr">
        <is>
          <t>Mensual</t>
        </is>
      </c>
      <c r="E351" s="5" t="inlineStr">
        <is>
          <t>Negativo</t>
        </is>
      </c>
      <c r="F351" s="107" t="n">
        <v>45626</v>
      </c>
      <c r="G351" s="5" t="n">
        <v>2024</v>
      </c>
      <c r="H351" s="5" t="inlineStr">
        <is>
          <t>Noviembre</t>
        </is>
      </c>
      <c r="I351" s="6" t="inlineStr">
        <is>
          <t>2024-2</t>
        </is>
      </c>
      <c r="J351" s="5" t="n">
        <v>0.2</v>
      </c>
      <c r="K351" s="9" t="n">
        <v>0</v>
      </c>
      <c r="L351" s="14">
        <f>IFERROR(IF(OR(J351=0,K351=""),"",IF(E351="Positivo",MIN(MAX(K351/J351,0),1.3),MIN(MAX(J351/K351,0),1.3))),"") </f>
        <v/>
      </c>
      <c r="M351" s="14">
        <f>IFERROR(IF(OR(J351=0,K351=""),"",IF(E351="Positivo",MAX(K351/J351,0),MAX(J351/K351,0))),"") </f>
        <v/>
      </c>
      <c r="N351" s="5" t="inlineStr">
        <is>
          <t>DEC</t>
        </is>
      </c>
      <c r="O351" s="5" t="inlineStr">
        <is>
          <t>DEC</t>
        </is>
      </c>
      <c r="P351" s="15" t="n">
        <v>1</v>
      </c>
      <c r="Q351" s="15" t="n">
        <v>2</v>
      </c>
      <c r="R351" s="5" t="inlineStr">
        <is>
          <t>124-2024-11-30</t>
        </is>
      </c>
    </row>
    <row r="352">
      <c r="A352" s="5" t="n">
        <v>124</v>
      </c>
      <c r="B352" s="5" t="inlineStr">
        <is>
          <t>Indice de Frecuencia de accidentalidad</t>
        </is>
      </c>
      <c r="C352" s="5" t="inlineStr">
        <is>
          <t>GESTIÓN DE SEGURIDAD Y SALUD EN EL TRABAJO</t>
        </is>
      </c>
      <c r="D352" s="5" t="inlineStr">
        <is>
          <t>Mensual</t>
        </is>
      </c>
      <c r="E352" s="5" t="inlineStr">
        <is>
          <t>Negativo</t>
        </is>
      </c>
      <c r="F352" s="107" t="n">
        <v>45657</v>
      </c>
      <c r="G352" s="5" t="n">
        <v>2024</v>
      </c>
      <c r="H352" s="5" t="inlineStr">
        <is>
          <t>Diciembre</t>
        </is>
      </c>
      <c r="I352" s="6" t="inlineStr">
        <is>
          <t>2024-2</t>
        </is>
      </c>
      <c r="J352" s="5" t="n">
        <v>0.2</v>
      </c>
      <c r="K352" s="5" t="n">
        <v>0.1141552511415525</v>
      </c>
      <c r="L352" s="14">
        <f>IFERROR(IF(OR(J352=0,K352=""),"",IF(E352="Positivo",MIN(MAX(K352/J352,0),1.3),MIN(MAX(J352/K352,0),1.3))),"") </f>
        <v/>
      </c>
      <c r="M352" s="14">
        <f>IFERROR(IF(OR(J352=0,K352=""),"",IF(E352="Positivo",MAX(K352/J352,0),MAX(J352/K352,0))),"") </f>
        <v/>
      </c>
      <c r="N352" s="5" t="inlineStr">
        <is>
          <t>DEC</t>
        </is>
      </c>
      <c r="O352" s="5" t="inlineStr">
        <is>
          <t>DEC</t>
        </is>
      </c>
      <c r="P352" s="5" t="n">
        <v>1</v>
      </c>
      <c r="Q352" s="5" t="n">
        <v>2</v>
      </c>
      <c r="R352" s="5" t="inlineStr">
        <is>
          <t>124-2024-12-31</t>
        </is>
      </c>
    </row>
    <row r="353">
      <c r="A353" s="21" t="n">
        <v>124</v>
      </c>
      <c r="B353" s="5" t="inlineStr">
        <is>
          <t>Indice de Frecuencia de accidentalidad</t>
        </is>
      </c>
      <c r="C353" s="5" t="inlineStr">
        <is>
          <t>GESTIÓN DE SEGURIDAD Y SALUD EN EL TRABAJO</t>
        </is>
      </c>
      <c r="D353" s="5" t="inlineStr">
        <is>
          <t>Mensual</t>
        </is>
      </c>
      <c r="E353" s="5" t="inlineStr">
        <is>
          <t>Negativo</t>
        </is>
      </c>
      <c r="F353" s="107" t="n">
        <v>45688</v>
      </c>
      <c r="G353" s="5" t="n">
        <v>2025</v>
      </c>
      <c r="H353" s="5" t="inlineStr">
        <is>
          <t>Enero</t>
        </is>
      </c>
      <c r="I353" s="6" t="inlineStr">
        <is>
          <t>2025-1</t>
        </is>
      </c>
      <c r="J353" s="5" t="n">
        <v>0.2</v>
      </c>
      <c r="K353" s="10" t="n">
        <v>0.0911577028258887</v>
      </c>
      <c r="L353" s="14">
        <f>IFERROR(IF(OR(J353=0,K353=""),"",IF(E353="Positivo",MIN(MAX(K353/J353,0),1.3),MIN(MAX(J353/K353,0),1.3))),"") </f>
        <v/>
      </c>
      <c r="M353" s="14">
        <f>IFERROR(IF(OR(J353=0,K353=""),"",IF(E353="Positivo",MAX(K353/J353,0),MAX(J353/K353,0))),"") </f>
        <v/>
      </c>
      <c r="N353" s="5" t="inlineStr">
        <is>
          <t>DEC</t>
        </is>
      </c>
      <c r="O353" s="5" t="inlineStr">
        <is>
          <t>DEC</t>
        </is>
      </c>
      <c r="P353" s="15" t="n">
        <v>1</v>
      </c>
      <c r="Q353" s="15" t="n">
        <v>2</v>
      </c>
      <c r="R353" s="5" t="inlineStr">
        <is>
          <t>124-2025-01-31</t>
        </is>
      </c>
    </row>
    <row r="354">
      <c r="A354" s="21" t="n">
        <v>124</v>
      </c>
      <c r="B354" s="5" t="inlineStr">
        <is>
          <t>Indice de Frecuencia de accidentalidad</t>
        </is>
      </c>
      <c r="C354" s="5" t="inlineStr">
        <is>
          <t>GESTIÓN DE SEGURIDAD Y SALUD EN EL TRABAJO</t>
        </is>
      </c>
      <c r="D354" s="5" t="inlineStr">
        <is>
          <t>Mensual</t>
        </is>
      </c>
      <c r="E354" s="5" t="inlineStr">
        <is>
          <t>Negativo</t>
        </is>
      </c>
      <c r="F354" s="106" t="n">
        <v>45716</v>
      </c>
      <c r="G354" s="5" t="n">
        <v>2025</v>
      </c>
      <c r="H354" s="5" t="inlineStr">
        <is>
          <t>Febrero</t>
        </is>
      </c>
      <c r="I354" s="6" t="inlineStr">
        <is>
          <t>2025-1</t>
        </is>
      </c>
      <c r="J354" s="5" t="n">
        <v>0.2</v>
      </c>
      <c r="K354" s="9" t="n">
        <v>0</v>
      </c>
      <c r="L354" s="14">
        <f>IFERROR(IF(OR(J354=0,K354=""),"",IF(E354="Positivo",MIN(MAX(K354/J354,0),1.3),MIN(MAX(J354/K354,0),1.3))),"") </f>
        <v/>
      </c>
      <c r="M354" s="14">
        <f>IFERROR(IF(OR(J354=0,K354=""),"",IF(E354="Positivo",MAX(K354/J354,0),MAX(J354/K354,0))),"") </f>
        <v/>
      </c>
      <c r="N354" s="5" t="inlineStr">
        <is>
          <t>DEC</t>
        </is>
      </c>
      <c r="O354" s="5" t="inlineStr">
        <is>
          <t>DEC</t>
        </is>
      </c>
      <c r="P354" s="15" t="n">
        <v>1</v>
      </c>
      <c r="Q354" s="15" t="n">
        <v>2</v>
      </c>
      <c r="R354" s="5" t="inlineStr">
        <is>
          <t>124-2025-02-28</t>
        </is>
      </c>
    </row>
    <row r="355">
      <c r="A355" s="26" t="n">
        <v>124</v>
      </c>
      <c r="B355" s="5" t="inlineStr">
        <is>
          <t>Indice de Frecuencia de accidentalidad</t>
        </is>
      </c>
      <c r="C355" s="5" t="inlineStr">
        <is>
          <t>GESTIÓN DE SEGURIDAD Y SALUD EN EL TRABAJO</t>
        </is>
      </c>
      <c r="D355" s="5" t="inlineStr">
        <is>
          <t>Mensual</t>
        </is>
      </c>
      <c r="E355" s="5" t="inlineStr">
        <is>
          <t>Negativo</t>
        </is>
      </c>
      <c r="F355" s="107" t="n">
        <v>45747</v>
      </c>
      <c r="G355" s="5" t="n">
        <v>2025</v>
      </c>
      <c r="H355" s="5" t="inlineStr">
        <is>
          <t>Marzo</t>
        </is>
      </c>
      <c r="I355" s="6" t="inlineStr">
        <is>
          <t>2025-1</t>
        </is>
      </c>
      <c r="J355" s="5" t="n">
        <v>0.2</v>
      </c>
      <c r="K355" s="9" t="n">
        <v>0.06</v>
      </c>
      <c r="L355" s="14">
        <f>IFERROR(IF(OR(J355=0,K355=""),"",IF(E355="Positivo",MIN(MAX(K355/J355,0),1.3),MIN(MAX(J355/K355,0),1.3))),"") </f>
        <v/>
      </c>
      <c r="M355" s="14">
        <f>IFERROR(IF(OR(J355=0,K355=""),"",IF(E355="Positivo",MAX(K355/J355,0),MAX(J355/K355,0))),"") </f>
        <v/>
      </c>
      <c r="N355" s="5" t="inlineStr">
        <is>
          <t>DEC</t>
        </is>
      </c>
      <c r="O355" s="5" t="inlineStr">
        <is>
          <t>DEC</t>
        </is>
      </c>
      <c r="P355" s="15" t="n">
        <v>1</v>
      </c>
      <c r="Q355" s="15" t="n">
        <v>2</v>
      </c>
      <c r="R355" s="5" t="inlineStr">
        <is>
          <t>124-2025-03-31</t>
        </is>
      </c>
    </row>
    <row r="356">
      <c r="A356" s="5" t="n">
        <v>124</v>
      </c>
      <c r="B356" s="5" t="inlineStr">
        <is>
          <t>Indice de Frecuencia de accidentalidad</t>
        </is>
      </c>
      <c r="C356" s="5" t="inlineStr">
        <is>
          <t>GESTIÓN DE SEGURIDAD Y SALUD EN EL TRABAJO</t>
        </is>
      </c>
      <c r="D356" s="5" t="inlineStr">
        <is>
          <t>Mensual</t>
        </is>
      </c>
      <c r="E356" s="5" t="inlineStr">
        <is>
          <t>Negativo</t>
        </is>
      </c>
      <c r="F356" s="107" t="n">
        <v>45777</v>
      </c>
      <c r="G356" s="5" t="n">
        <v>2025</v>
      </c>
      <c r="H356" s="5" t="inlineStr">
        <is>
          <t>Abril</t>
        </is>
      </c>
      <c r="I356" s="6" t="inlineStr">
        <is>
          <t>2025-1</t>
        </is>
      </c>
      <c r="J356" s="5" t="n">
        <v>0.2</v>
      </c>
      <c r="K356" s="5" t="n">
        <v>0</v>
      </c>
      <c r="L356" s="14">
        <f>IFERROR(IF(OR(J356=0,K356=""),"",IF(E356="Positivo",MIN(MAX(K356/J356,0),1.3),MIN(MAX(J356/K356,0),1.3))),"") </f>
        <v/>
      </c>
      <c r="M356" s="14">
        <f>IFERROR(IF(OR(J356=0,K356=""),"",IF(E356="Positivo",MAX(K356/J356,0),MAX(J356/K356,0))),"") </f>
        <v/>
      </c>
      <c r="N356" s="5" t="inlineStr">
        <is>
          <t>DEC</t>
        </is>
      </c>
      <c r="O356" s="5" t="inlineStr">
        <is>
          <t>DEC</t>
        </is>
      </c>
      <c r="P356" s="5" t="n">
        <v>1</v>
      </c>
      <c r="Q356" s="5" t="n">
        <v>2</v>
      </c>
      <c r="R356" s="5" t="inlineStr">
        <is>
          <t>124-2025-04-30</t>
        </is>
      </c>
    </row>
    <row r="357">
      <c r="A357" s="21" t="n">
        <v>124</v>
      </c>
      <c r="B357" s="5" t="inlineStr">
        <is>
          <t>Indice de Frecuencia de accidentalidad</t>
        </is>
      </c>
      <c r="C357" s="5" t="inlineStr">
        <is>
          <t>GESTIÓN DE SEGURIDAD Y SALUD EN EL TRABAJO</t>
        </is>
      </c>
      <c r="D357" s="5" t="inlineStr">
        <is>
          <t>Mensual</t>
        </is>
      </c>
      <c r="E357" s="5" t="inlineStr">
        <is>
          <t>Negativo</t>
        </is>
      </c>
      <c r="F357" s="107" t="n">
        <v>45808</v>
      </c>
      <c r="G357" s="5" t="n">
        <v>2025</v>
      </c>
      <c r="H357" s="5" t="inlineStr">
        <is>
          <t>Mayo</t>
        </is>
      </c>
      <c r="I357" s="6" t="inlineStr">
        <is>
          <t>2025-1</t>
        </is>
      </c>
      <c r="J357" s="5" t="n">
        <v>0.2</v>
      </c>
      <c r="K357" s="10" t="n">
        <v>0.06</v>
      </c>
      <c r="L357" s="14">
        <f>IFERROR(IF(OR(J357=0,K357=""),"",IF(E357="Positivo",MIN(MAX(K357/J357,0),1.3),MIN(MAX(J357/K357,0),1.3))),"") </f>
        <v/>
      </c>
      <c r="M357" s="14">
        <f>IFERROR(IF(OR(J357=0,K357=""),"",IF(E357="Positivo",MAX(K357/J357,0),MAX(J357/K357,0))),"") </f>
        <v/>
      </c>
      <c r="N357" s="5" t="inlineStr">
        <is>
          <t>DEC</t>
        </is>
      </c>
      <c r="O357" s="5" t="inlineStr">
        <is>
          <t>DEC</t>
        </is>
      </c>
      <c r="P357" s="15" t="n">
        <v>1</v>
      </c>
      <c r="Q357" s="15" t="n">
        <v>2</v>
      </c>
      <c r="R357" s="5" t="inlineStr">
        <is>
          <t>124-2025-05-31</t>
        </is>
      </c>
    </row>
    <row r="358">
      <c r="A358" s="21" t="n">
        <v>124</v>
      </c>
      <c r="B358" s="5" t="inlineStr">
        <is>
          <t>Indice de Frecuencia de accidentalidad</t>
        </is>
      </c>
      <c r="C358" s="5" t="inlineStr">
        <is>
          <t>GESTIÓN DE SEGURIDAD Y SALUD EN EL TRABAJO</t>
        </is>
      </c>
      <c r="D358" s="5" t="inlineStr">
        <is>
          <t>Mensual</t>
        </is>
      </c>
      <c r="E358" s="5" t="inlineStr">
        <is>
          <t>Negativo</t>
        </is>
      </c>
      <c r="F358" s="107" t="n">
        <v>45838</v>
      </c>
      <c r="G358" s="5" t="n">
        <v>2025</v>
      </c>
      <c r="H358" s="5" t="inlineStr">
        <is>
          <t>Junio</t>
        </is>
      </c>
      <c r="I358" s="6" t="inlineStr">
        <is>
          <t>2025-1</t>
        </is>
      </c>
      <c r="J358" s="5" t="n">
        <v>0.2</v>
      </c>
      <c r="K358" s="96" t="n">
        <v>0</v>
      </c>
      <c r="L358" s="14">
        <f>IFERROR(IF(OR(J358=0,K358=""),"",IF(E358="Positivo",MIN(MAX(K358/J358,0),1.3),MIN(MAX(J358/K358,0),1.3))),"") </f>
        <v/>
      </c>
      <c r="M358" s="14">
        <f>IFERROR(IF(OR(J358=0,K358=""),"",IF(E358="Positivo",MAX(K358/J358,0),MAX(J358/K358,0))),"") </f>
        <v/>
      </c>
      <c r="N358" s="5" t="inlineStr">
        <is>
          <t>DEC</t>
        </is>
      </c>
      <c r="O358" s="5" t="inlineStr">
        <is>
          <t>DEC</t>
        </is>
      </c>
      <c r="P358" s="15" t="n">
        <v>1</v>
      </c>
      <c r="Q358" s="15" t="n">
        <v>2</v>
      </c>
      <c r="R358" s="5" t="inlineStr">
        <is>
          <t>124-2025-06-30</t>
        </is>
      </c>
    </row>
    <row r="359">
      <c r="A359" s="21" t="n">
        <v>124</v>
      </c>
      <c r="B359" s="5" t="inlineStr">
        <is>
          <t>Indice de Frecuencia de accidentalidad</t>
        </is>
      </c>
      <c r="C359" s="5" t="inlineStr">
        <is>
          <t>GESTIÓN DE SEGURIDAD Y SALUD EN EL TRABAJO</t>
        </is>
      </c>
      <c r="D359" s="5" t="inlineStr">
        <is>
          <t>Mensual</t>
        </is>
      </c>
      <c r="E359" s="5" t="inlineStr">
        <is>
          <t>Negativo</t>
        </is>
      </c>
      <c r="F359" s="107" t="n">
        <v>45869</v>
      </c>
      <c r="G359" s="5" t="n">
        <v>2025</v>
      </c>
      <c r="H359" s="5" t="inlineStr">
        <is>
          <t>Julio</t>
        </is>
      </c>
      <c r="I359" s="6" t="inlineStr">
        <is>
          <t>2025-2</t>
        </is>
      </c>
      <c r="J359" s="5" t="n">
        <v>0.2</v>
      </c>
      <c r="K359" s="96" t="n">
        <v>0.08</v>
      </c>
      <c r="L359" s="14">
        <f>IFERROR(IF(OR(J359=0,K359=""),"",IF(E359="Positivo",MIN(MAX(K359/J359,0),1.3),MIN(MAX(J359/K359,0),1.3))),"") </f>
        <v/>
      </c>
      <c r="M359" s="14">
        <f>IFERROR(IF(OR(J359=0,K359=""),"",IF(E359="Positivo",MAX(K359/J359,0),MAX(J359/K359,0))),"") </f>
        <v/>
      </c>
      <c r="N359" s="5" t="inlineStr">
        <is>
          <t>DEC</t>
        </is>
      </c>
      <c r="O359" s="5" t="inlineStr">
        <is>
          <t>DEC</t>
        </is>
      </c>
      <c r="P359" s="15" t="n">
        <v>1</v>
      </c>
      <c r="Q359" s="15" t="n">
        <v>2</v>
      </c>
      <c r="R359" s="5" t="inlineStr">
        <is>
          <t>124-2025-07-31</t>
        </is>
      </c>
    </row>
    <row r="360">
      <c r="A360" s="21" t="n">
        <v>124</v>
      </c>
      <c r="B360" s="5" t="inlineStr">
        <is>
          <t>Indice de Frecuencia de accidentalidad</t>
        </is>
      </c>
      <c r="C360" s="5" t="inlineStr">
        <is>
          <t>GESTIÓN DE SEGURIDAD Y SALUD EN EL TRABAJO</t>
        </is>
      </c>
      <c r="D360" s="5" t="inlineStr">
        <is>
          <t>Mensual</t>
        </is>
      </c>
      <c r="E360" s="5" t="inlineStr">
        <is>
          <t>Negativo</t>
        </is>
      </c>
      <c r="F360" s="107" t="n">
        <v>45900</v>
      </c>
      <c r="G360" s="5" t="n">
        <v>2025</v>
      </c>
      <c r="H360" s="5" t="inlineStr">
        <is>
          <t>Agosto</t>
        </is>
      </c>
      <c r="I360" s="6" t="inlineStr">
        <is>
          <t>2025-2</t>
        </is>
      </c>
      <c r="J360" s="5" t="n">
        <v>0.2</v>
      </c>
      <c r="K360" s="96" t="n">
        <v>0</v>
      </c>
      <c r="L360" s="14">
        <f>IFERROR(IF(OR(J360=0,K360=""),"",IF(E360="Positivo",MIN(MAX(K360/J360,0),1.3),MIN(MAX(J360/K360,0),1.3))),"") </f>
        <v/>
      </c>
      <c r="M360" s="14">
        <f>IFERROR(IF(OR(J360=0,K360=""),"",IF(E360="Positivo",MAX(K360/J360,0),MAX(J360/K360,0))),"") </f>
        <v/>
      </c>
      <c r="N360" s="5" t="inlineStr">
        <is>
          <t>DEC</t>
        </is>
      </c>
      <c r="O360" s="5" t="inlineStr">
        <is>
          <t>DEC</t>
        </is>
      </c>
      <c r="P360" s="15" t="n">
        <v>1</v>
      </c>
      <c r="Q360" s="15" t="n">
        <v>2</v>
      </c>
      <c r="R360" s="5" t="inlineStr">
        <is>
          <t>124-2025-08-31</t>
        </is>
      </c>
    </row>
    <row r="361">
      <c r="A361" s="21" t="n">
        <v>124</v>
      </c>
      <c r="B361" s="5" t="inlineStr">
        <is>
          <t>Indice de Frecuencia de accidentalidad</t>
        </is>
      </c>
      <c r="C361" s="5" t="inlineStr">
        <is>
          <t>GESTIÓN DE SEGURIDAD Y SALUD EN EL TRABAJO</t>
        </is>
      </c>
      <c r="D361" s="5" t="inlineStr">
        <is>
          <t>Mensual</t>
        </is>
      </c>
      <c r="E361" s="5" t="inlineStr">
        <is>
          <t>Negativo</t>
        </is>
      </c>
      <c r="F361" s="107" t="n">
        <v>45930</v>
      </c>
      <c r="G361" s="5" t="n">
        <v>2025</v>
      </c>
      <c r="H361" s="5" t="inlineStr">
        <is>
          <t>Septiembre</t>
        </is>
      </c>
      <c r="I361" s="6" t="inlineStr">
        <is>
          <t>2025-2</t>
        </is>
      </c>
      <c r="J361" s="5" t="n">
        <v>0.2</v>
      </c>
      <c r="K361" s="96" t="n">
        <v>0</v>
      </c>
      <c r="L361" s="14">
        <f>IFERROR(IF(OR(J361=0,K361=""),"",IF(E361="Positivo",MIN(MAX(K361/J361,0),1.3),MIN(MAX(J361/K361,0),1.3))),"") </f>
        <v/>
      </c>
      <c r="M361" s="14">
        <f>IFERROR(IF(OR(J361=0,K361=""),"",IF(E361="Positivo",MAX(K361/J361,0),MAX(J361/K361,0))),"") </f>
        <v/>
      </c>
      <c r="N361" s="5" t="inlineStr">
        <is>
          <t>DEC</t>
        </is>
      </c>
      <c r="O361" s="5" t="inlineStr">
        <is>
          <t>DEC</t>
        </is>
      </c>
      <c r="P361" s="15" t="n">
        <v>1</v>
      </c>
      <c r="Q361" s="15" t="n">
        <v>2</v>
      </c>
      <c r="R361" s="5" t="inlineStr">
        <is>
          <t>124-2025-09-30</t>
        </is>
      </c>
    </row>
    <row r="362">
      <c r="A362" s="21" t="n">
        <v>124</v>
      </c>
      <c r="B362" s="5" t="inlineStr">
        <is>
          <t>Indice de Frecuencia de accidentalidad</t>
        </is>
      </c>
      <c r="C362" s="5" t="inlineStr">
        <is>
          <t>GESTIÓN DE SEGURIDAD Y SALUD EN EL TRABAJO</t>
        </is>
      </c>
      <c r="D362" s="5" t="inlineStr">
        <is>
          <t>Mensual</t>
        </is>
      </c>
      <c r="E362" s="5" t="inlineStr">
        <is>
          <t>Negativo</t>
        </is>
      </c>
      <c r="F362" s="107" t="n">
        <v>45961</v>
      </c>
      <c r="G362" s="5" t="n">
        <v>2025</v>
      </c>
      <c r="H362" s="5" t="inlineStr">
        <is>
          <t>Octubre</t>
        </is>
      </c>
      <c r="I362" s="6" t="inlineStr">
        <is>
          <t>2025-2</t>
        </is>
      </c>
      <c r="J362" s="5" t="n">
        <v>0.2</v>
      </c>
      <c r="K362" s="96" t="n">
        <v>0</v>
      </c>
      <c r="L362" s="14">
        <f>IFERROR(IF(OR(J362=0,K362=""),"",IF(E362="Positivo",MIN(MAX(K362/J362,0),1.3),MIN(MAX(J362/K362,0),1.3))),"") </f>
        <v/>
      </c>
      <c r="M362" s="14">
        <f>IFERROR(IF(OR(J362=0,K362=""),"",IF(E362="Positivo",MAX(K362/J362,0),MAX(J362/K362,0))),"") </f>
        <v/>
      </c>
      <c r="N362" s="5" t="inlineStr">
        <is>
          <t>DEC</t>
        </is>
      </c>
      <c r="O362" s="5" t="inlineStr">
        <is>
          <t>DEC</t>
        </is>
      </c>
      <c r="P362" s="15" t="n">
        <v>1</v>
      </c>
      <c r="Q362" s="15" t="n">
        <v>2</v>
      </c>
      <c r="R362" s="5" t="inlineStr">
        <is>
          <t>124-2025-10-31</t>
        </is>
      </c>
    </row>
    <row r="363" customFormat="1" s="22">
      <c r="A363" s="26" t="n">
        <v>124</v>
      </c>
      <c r="B363" s="5" t="inlineStr">
        <is>
          <t>Indice de Frecuencia de accidentalidad</t>
        </is>
      </c>
      <c r="C363" s="5" t="inlineStr">
        <is>
          <t>GESTIÓN DE SEGURIDAD Y SALUD EN EL TRABAJO</t>
        </is>
      </c>
      <c r="D363" s="5" t="inlineStr">
        <is>
          <t>Mensual</t>
        </is>
      </c>
      <c r="E363" s="5" t="inlineStr">
        <is>
          <t>Negativo</t>
        </is>
      </c>
      <c r="F363" s="107" t="n">
        <v>45991</v>
      </c>
      <c r="G363" s="5" t="n">
        <v>2025</v>
      </c>
      <c r="H363" s="5" t="inlineStr">
        <is>
          <t>Noviembre</t>
        </is>
      </c>
      <c r="I363" s="6" t="inlineStr">
        <is>
          <t>2025-2</t>
        </is>
      </c>
      <c r="J363" s="5" t="n">
        <v>0.2</v>
      </c>
      <c r="K363" s="96" t="n">
        <v>0</v>
      </c>
      <c r="L363" s="14">
        <f>IFERROR(IF(OR(J363=0,K363=""),"",IF(E363="Positivo",MIN(MAX(K363/J363,0),1.3),MIN(MAX(J363/K363,0),1.3))),"") </f>
        <v/>
      </c>
      <c r="M363" s="14">
        <f>IFERROR(IF(OR(J363=0,K363=""),"",IF(E363="Positivo",MAX(K363/J363,0),MAX(J363/K363,0))),"") </f>
        <v/>
      </c>
      <c r="N363" s="5" t="inlineStr">
        <is>
          <t>DEC</t>
        </is>
      </c>
      <c r="O363" s="5" t="inlineStr">
        <is>
          <t>DEC</t>
        </is>
      </c>
      <c r="P363" s="15" t="n">
        <v>1</v>
      </c>
      <c r="Q363" s="15" t="n">
        <v>2</v>
      </c>
      <c r="R363" s="5" t="inlineStr">
        <is>
          <t>124-2025-11-30</t>
        </is>
      </c>
    </row>
    <row r="364">
      <c r="A364" s="26" t="n">
        <v>124</v>
      </c>
      <c r="B364" s="5" t="inlineStr">
        <is>
          <t>Indice de Frecuencia de accidentalidad</t>
        </is>
      </c>
      <c r="C364" s="5" t="inlineStr">
        <is>
          <t>GESTIÓN DE SEGURIDAD Y SALUD EN EL TRABAJO</t>
        </is>
      </c>
      <c r="D364" s="5" t="inlineStr">
        <is>
          <t>Mensual</t>
        </is>
      </c>
      <c r="E364" s="5" t="inlineStr">
        <is>
          <t>Negativo</t>
        </is>
      </c>
      <c r="F364" s="107" t="n">
        <v>46022</v>
      </c>
      <c r="G364" s="5" t="n">
        <v>2025</v>
      </c>
      <c r="H364" s="5" t="inlineStr">
        <is>
          <t>Diciembre</t>
        </is>
      </c>
      <c r="I364" s="6" t="inlineStr">
        <is>
          <t>2025-2</t>
        </is>
      </c>
      <c r="J364" s="5" t="n">
        <v>0.2</v>
      </c>
      <c r="K364" s="96" t="n">
        <v>0</v>
      </c>
      <c r="L364" s="14">
        <f>IFERROR(IF(OR(J364=0,K364=""),"",IF(E364="Positivo",MIN(MAX(K364/J364,0),1.3),MIN(MAX(J364/K364,0),1.3))),"") </f>
        <v/>
      </c>
      <c r="M364" s="14">
        <f>IFERROR(IF(OR(J364=0,K364=""),"",IF(E364="Positivo",MAX(K364/J364,0),MAX(J364/K364,0))),"") </f>
        <v/>
      </c>
      <c r="N364" s="5" t="inlineStr">
        <is>
          <t>DEC</t>
        </is>
      </c>
      <c r="O364" s="5" t="inlineStr">
        <is>
          <t>DEC</t>
        </is>
      </c>
      <c r="P364" s="15" t="n">
        <v>1</v>
      </c>
      <c r="Q364" s="15" t="n">
        <v>2</v>
      </c>
      <c r="R364" s="5" t="inlineStr">
        <is>
          <t>124-2025-12-31</t>
        </is>
      </c>
    </row>
    <row r="365">
      <c r="A365" s="21" t="n">
        <v>125</v>
      </c>
      <c r="B365" s="5" t="inlineStr">
        <is>
          <t>Indice de severidad</t>
        </is>
      </c>
      <c r="C365" s="5" t="inlineStr">
        <is>
          <t>GESTIÓN DE SEGURIDAD Y SALUD EN EL TRABAJO</t>
        </is>
      </c>
      <c r="D365" s="5" t="inlineStr">
        <is>
          <t>Mensual</t>
        </is>
      </c>
      <c r="E365" s="5" t="inlineStr">
        <is>
          <t>Negativo</t>
        </is>
      </c>
      <c r="F365" s="107" t="n">
        <v>44592</v>
      </c>
      <c r="G365" s="5" t="n">
        <v>2022</v>
      </c>
      <c r="H365" s="5" t="inlineStr">
        <is>
          <t>Enero</t>
        </is>
      </c>
      <c r="I365" s="6" t="inlineStr">
        <is>
          <t>2022-1</t>
        </is>
      </c>
      <c r="J365" s="5" t="n">
        <v>4.7</v>
      </c>
      <c r="K365" s="9" t="n">
        <v>0</v>
      </c>
      <c r="L365" s="14">
        <f>IFERROR(IF(OR(J365=0,K365=""),"",IF(E365="Positivo",MIN(MAX(K365/J365,0),1.3),MIN(MAX(J365/K365,0),1.3))),"") </f>
        <v/>
      </c>
      <c r="M365" s="14">
        <f>IFERROR(IF(OR(J365=0,K365=""),"",IF(E365="Positivo",MAX(K365/J365,0),MAX(J365/K365,0))),"") </f>
        <v/>
      </c>
      <c r="N365" s="5" t="inlineStr">
        <is>
          <t>DEC</t>
        </is>
      </c>
      <c r="O365" s="5" t="inlineStr">
        <is>
          <t>DEC</t>
        </is>
      </c>
      <c r="P365" s="15" t="n">
        <v>1</v>
      </c>
      <c r="Q365" s="15" t="n">
        <v>2</v>
      </c>
      <c r="R365" s="5" t="inlineStr">
        <is>
          <t>125-2022-01-31</t>
        </is>
      </c>
    </row>
    <row r="366">
      <c r="A366" s="21" t="n">
        <v>125</v>
      </c>
      <c r="B366" s="5" t="inlineStr">
        <is>
          <t>Indice de severidad</t>
        </is>
      </c>
      <c r="C366" s="5" t="inlineStr">
        <is>
          <t>GESTIÓN DE SEGURIDAD Y SALUD EN EL TRABAJO</t>
        </is>
      </c>
      <c r="D366" s="5" t="inlineStr">
        <is>
          <t>Mensual</t>
        </is>
      </c>
      <c r="E366" s="5" t="inlineStr">
        <is>
          <t>Negativo</t>
        </is>
      </c>
      <c r="F366" s="107" t="n">
        <v>44620</v>
      </c>
      <c r="G366" s="5" t="n">
        <v>2022</v>
      </c>
      <c r="H366" s="5" t="inlineStr">
        <is>
          <t>Febrero</t>
        </is>
      </c>
      <c r="I366" s="6" t="inlineStr">
        <is>
          <t>2022-1</t>
        </is>
      </c>
      <c r="J366" s="5" t="n">
        <v>4.7</v>
      </c>
      <c r="K366" s="9" t="n">
        <v>0.20964360587002</v>
      </c>
      <c r="L366" s="14">
        <f>IFERROR(IF(OR(J366=0,K366=""),"",IF(E366="Positivo",MIN(MAX(K366/J366,0),1.3),MIN(MAX(J366/K366,0),1.3))),"") </f>
        <v/>
      </c>
      <c r="M366" s="14">
        <f>IFERROR(IF(OR(J366=0,K366=""),"",IF(E366="Positivo",MAX(K366/J366,0),MAX(J366/K366,0))),"") </f>
        <v/>
      </c>
      <c r="N366" s="5" t="inlineStr">
        <is>
          <t>DEC</t>
        </is>
      </c>
      <c r="O366" s="5" t="inlineStr">
        <is>
          <t>DEC</t>
        </is>
      </c>
      <c r="P366" s="15" t="n">
        <v>1</v>
      </c>
      <c r="Q366" s="15" t="n">
        <v>2</v>
      </c>
      <c r="R366" s="5" t="inlineStr">
        <is>
          <t>125-2022-02-28</t>
        </is>
      </c>
    </row>
    <row r="367">
      <c r="A367" s="21" t="n">
        <v>125</v>
      </c>
      <c r="B367" s="5" t="inlineStr">
        <is>
          <t>Indice de severidad</t>
        </is>
      </c>
      <c r="C367" s="5" t="inlineStr">
        <is>
          <t>GESTIÓN DE SEGURIDAD Y SALUD EN EL TRABAJO</t>
        </is>
      </c>
      <c r="D367" s="5" t="inlineStr">
        <is>
          <t>Mensual</t>
        </is>
      </c>
      <c r="E367" s="5" t="inlineStr">
        <is>
          <t>Negativo</t>
        </is>
      </c>
      <c r="F367" s="107" t="n">
        <v>44651</v>
      </c>
      <c r="G367" s="5" t="n">
        <v>2022</v>
      </c>
      <c r="H367" s="5" t="inlineStr">
        <is>
          <t>Marzo</t>
        </is>
      </c>
      <c r="I367" s="6" t="inlineStr">
        <is>
          <t>2022-1</t>
        </is>
      </c>
      <c r="J367" s="5" t="n">
        <v>4.7</v>
      </c>
      <c r="K367" s="9" t="n">
        <v>0</v>
      </c>
      <c r="L367" s="14">
        <f>IFERROR(IF(OR(J367=0,K367=""),"",IF(E367="Positivo",MIN(MAX(K367/J367,0),1.3),MIN(MAX(J367/K367,0),1.3))),"") </f>
        <v/>
      </c>
      <c r="M367" s="14">
        <f>IFERROR(IF(OR(J367=0,K367=""),"",IF(E367="Positivo",MAX(K367/J367,0),MAX(J367/K367,0))),"") </f>
        <v/>
      </c>
      <c r="N367" s="5" t="inlineStr">
        <is>
          <t>DEC</t>
        </is>
      </c>
      <c r="O367" s="5" t="inlineStr">
        <is>
          <t>DEC</t>
        </is>
      </c>
      <c r="P367" s="15" t="n">
        <v>1</v>
      </c>
      <c r="Q367" s="15" t="n">
        <v>2</v>
      </c>
      <c r="R367" s="5" t="inlineStr">
        <is>
          <t>125-2022-03-31</t>
        </is>
      </c>
    </row>
    <row r="368">
      <c r="A368" s="21" t="n">
        <v>125</v>
      </c>
      <c r="B368" s="5" t="inlineStr">
        <is>
          <t>Indice de severidad</t>
        </is>
      </c>
      <c r="C368" s="5" t="inlineStr">
        <is>
          <t>GESTIÓN DE SEGURIDAD Y SALUD EN EL TRABAJO</t>
        </is>
      </c>
      <c r="D368" s="5" t="inlineStr">
        <is>
          <t>Mensual</t>
        </is>
      </c>
      <c r="E368" s="5" t="inlineStr">
        <is>
          <t>Negativo</t>
        </is>
      </c>
      <c r="F368" s="107" t="n">
        <v>44681</v>
      </c>
      <c r="G368" s="5" t="n">
        <v>2022</v>
      </c>
      <c r="H368" s="5" t="inlineStr">
        <is>
          <t>Abril</t>
        </is>
      </c>
      <c r="I368" s="6" t="inlineStr">
        <is>
          <t>2022-1</t>
        </is>
      </c>
      <c r="J368" s="5" t="n">
        <v>4.7</v>
      </c>
      <c r="K368" s="9" t="n">
        <v>0</v>
      </c>
      <c r="L368" s="14">
        <f>IFERROR(IF(OR(J368=0,K368=""),"",IF(E368="Positivo",MIN(MAX(K368/J368,0),1.3),MIN(MAX(J368/K368,0),1.3))),"") </f>
        <v/>
      </c>
      <c r="M368" s="14">
        <f>IFERROR(IF(OR(J368=0,K368=""),"",IF(E368="Positivo",MAX(K368/J368,0),MAX(J368/K368,0))),"") </f>
        <v/>
      </c>
      <c r="N368" s="5" t="inlineStr">
        <is>
          <t>DEC</t>
        </is>
      </c>
      <c r="O368" s="5" t="inlineStr">
        <is>
          <t>DEC</t>
        </is>
      </c>
      <c r="P368" s="15" t="n">
        <v>1</v>
      </c>
      <c r="Q368" s="15" t="n">
        <v>2</v>
      </c>
      <c r="R368" s="5" t="inlineStr">
        <is>
          <t>125-2022-04-30</t>
        </is>
      </c>
    </row>
    <row r="369">
      <c r="A369" s="21" t="n">
        <v>125</v>
      </c>
      <c r="B369" s="5" t="inlineStr">
        <is>
          <t>Indice de severidad</t>
        </is>
      </c>
      <c r="C369" s="5" t="inlineStr">
        <is>
          <t>GESTIÓN DE SEGURIDAD Y SALUD EN EL TRABAJO</t>
        </is>
      </c>
      <c r="D369" s="5" t="inlineStr">
        <is>
          <t>Mensual</t>
        </is>
      </c>
      <c r="E369" s="5" t="inlineStr">
        <is>
          <t>Negativo</t>
        </is>
      </c>
      <c r="F369" s="107" t="n">
        <v>44712</v>
      </c>
      <c r="G369" s="5" t="n">
        <v>2022</v>
      </c>
      <c r="H369" s="5" t="inlineStr">
        <is>
          <t>Mayo</t>
        </is>
      </c>
      <c r="I369" s="6" t="inlineStr">
        <is>
          <t>2022-1</t>
        </is>
      </c>
      <c r="J369" s="5" t="n">
        <v>4.7</v>
      </c>
      <c r="K369" s="9" t="n">
        <v>0.26680896478122</v>
      </c>
      <c r="L369" s="14">
        <f>IFERROR(IF(OR(J369=0,K369=""),"",IF(E369="Positivo",MIN(MAX(K369/J369,0),1.3),MIN(MAX(J369/K369,0),1.3))),"") </f>
        <v/>
      </c>
      <c r="M369" s="14">
        <f>IFERROR(IF(OR(J369=0,K369=""),"",IF(E369="Positivo",MAX(K369/J369,0),MAX(J369/K369,0))),"") </f>
        <v/>
      </c>
      <c r="N369" s="5" t="inlineStr">
        <is>
          <t>DEC</t>
        </is>
      </c>
      <c r="O369" s="5" t="inlineStr">
        <is>
          <t>DEC</t>
        </is>
      </c>
      <c r="P369" s="15" t="n">
        <v>1</v>
      </c>
      <c r="Q369" s="15" t="n">
        <v>2</v>
      </c>
      <c r="R369" s="5" t="inlineStr">
        <is>
          <t>125-2022-05-31</t>
        </is>
      </c>
    </row>
    <row r="370">
      <c r="A370" s="26" t="n">
        <v>125</v>
      </c>
      <c r="B370" s="5" t="inlineStr">
        <is>
          <t>Indice de severidad</t>
        </is>
      </c>
      <c r="C370" s="5" t="inlineStr">
        <is>
          <t>GESTIÓN DE SEGURIDAD Y SALUD EN EL TRABAJO</t>
        </is>
      </c>
      <c r="D370" s="5" t="inlineStr">
        <is>
          <t>Mensual</t>
        </is>
      </c>
      <c r="E370" s="5" t="inlineStr">
        <is>
          <t>Negativo</t>
        </is>
      </c>
      <c r="F370" s="107" t="n">
        <v>44742</v>
      </c>
      <c r="G370" s="5" t="n">
        <v>2022</v>
      </c>
      <c r="H370" s="5" t="inlineStr">
        <is>
          <t>Junio</t>
        </is>
      </c>
      <c r="I370" s="6" t="inlineStr">
        <is>
          <t>2022-1</t>
        </is>
      </c>
      <c r="J370" s="5" t="n">
        <v>4.7</v>
      </c>
      <c r="K370" s="9" t="n">
        <v>0</v>
      </c>
      <c r="L370" s="14">
        <f>IFERROR(IF(OR(J370=0,K370=""),"",IF(E370="Positivo",MIN(MAX(K370/J370,0),1.3),MIN(MAX(J370/K370,0),1.3))),"") </f>
        <v/>
      </c>
      <c r="M370" s="14">
        <f>IFERROR(IF(OR(J370=0,K370=""),"",IF(E370="Positivo",MAX(K370/J370,0),MAX(J370/K370,0))),"") </f>
        <v/>
      </c>
      <c r="N370" s="5" t="inlineStr">
        <is>
          <t>DEC</t>
        </is>
      </c>
      <c r="O370" s="5" t="inlineStr">
        <is>
          <t>DEC</t>
        </is>
      </c>
      <c r="P370" s="15" t="n">
        <v>1</v>
      </c>
      <c r="Q370" s="15" t="n">
        <v>2</v>
      </c>
      <c r="R370" s="5" t="inlineStr">
        <is>
          <t>125-2022-06-30</t>
        </is>
      </c>
    </row>
    <row r="371">
      <c r="A371" s="26" t="n">
        <v>125</v>
      </c>
      <c r="B371" s="5" t="inlineStr">
        <is>
          <t>Indice de severidad</t>
        </is>
      </c>
      <c r="C371" s="5" t="inlineStr">
        <is>
          <t>GESTIÓN DE SEGURIDAD Y SALUD EN EL TRABAJO</t>
        </is>
      </c>
      <c r="D371" s="5" t="inlineStr">
        <is>
          <t>Mensual</t>
        </is>
      </c>
      <c r="E371" s="5" t="inlineStr">
        <is>
          <t>Negativo</t>
        </is>
      </c>
      <c r="F371" s="107" t="n">
        <v>44773</v>
      </c>
      <c r="G371" s="5" t="n">
        <v>2022</v>
      </c>
      <c r="H371" s="5" t="inlineStr">
        <is>
          <t>Julio</t>
        </is>
      </c>
      <c r="I371" s="6" t="inlineStr">
        <is>
          <t>2022-2</t>
        </is>
      </c>
      <c r="J371" s="5" t="n">
        <v>4.7</v>
      </c>
      <c r="K371" s="9" t="n">
        <v>0</v>
      </c>
      <c r="L371" s="14">
        <f>IFERROR(IF(OR(J371=0,K371=""),"",IF(E371="Positivo",MIN(MAX(K371/J371,0),1.3),MIN(MAX(J371/K371,0),1.3))),"") </f>
        <v/>
      </c>
      <c r="M371" s="14">
        <f>IFERROR(IF(OR(J371=0,K371=""),"",IF(E371="Positivo",MAX(K371/J371,0),MAX(J371/K371,0))),"") </f>
        <v/>
      </c>
      <c r="N371" s="5" t="inlineStr">
        <is>
          <t>DEC</t>
        </is>
      </c>
      <c r="O371" s="5" t="inlineStr">
        <is>
          <t>DEC</t>
        </is>
      </c>
      <c r="P371" s="15" t="n">
        <v>1</v>
      </c>
      <c r="Q371" s="15" t="n">
        <v>2</v>
      </c>
      <c r="R371" s="5" t="inlineStr">
        <is>
          <t>125-2022-07-31</t>
        </is>
      </c>
    </row>
    <row r="372">
      <c r="A372" s="26" t="n">
        <v>125</v>
      </c>
      <c r="B372" s="5" t="inlineStr">
        <is>
          <t>Indice de severidad</t>
        </is>
      </c>
      <c r="C372" s="5" t="inlineStr">
        <is>
          <t>GESTIÓN DE SEGURIDAD Y SALUD EN EL TRABAJO</t>
        </is>
      </c>
      <c r="D372" s="5" t="inlineStr">
        <is>
          <t>Mensual</t>
        </is>
      </c>
      <c r="E372" s="5" t="inlineStr">
        <is>
          <t>Negativo</t>
        </is>
      </c>
      <c r="F372" s="107" t="n">
        <v>44804</v>
      </c>
      <c r="G372" s="5" t="n">
        <v>2022</v>
      </c>
      <c r="H372" s="5" t="inlineStr">
        <is>
          <t>Agosto</t>
        </is>
      </c>
      <c r="I372" s="6" t="inlineStr">
        <is>
          <t>2022-2</t>
        </is>
      </c>
      <c r="J372" s="5" t="n">
        <v>4.7</v>
      </c>
      <c r="K372" s="9" t="n">
        <v>0.31094527363184</v>
      </c>
      <c r="L372" s="14">
        <f>IFERROR(IF(OR(J372=0,K372=""),"",IF(E372="Positivo",MIN(MAX(K372/J372,0),1.3),MIN(MAX(J372/K372,0),1.3))),"") </f>
        <v/>
      </c>
      <c r="M372" s="14">
        <f>IFERROR(IF(OR(J372=0,K372=""),"",IF(E372="Positivo",MAX(K372/J372,0),MAX(J372/K372,0))),"") </f>
        <v/>
      </c>
      <c r="N372" s="5" t="inlineStr">
        <is>
          <t>DEC</t>
        </is>
      </c>
      <c r="O372" s="5" t="inlineStr">
        <is>
          <t>DEC</t>
        </is>
      </c>
      <c r="P372" s="15" t="n">
        <v>1</v>
      </c>
      <c r="Q372" s="15" t="n">
        <v>2</v>
      </c>
      <c r="R372" s="5" t="inlineStr">
        <is>
          <t>125-2022-08-31</t>
        </is>
      </c>
    </row>
    <row r="373">
      <c r="A373" s="21" t="n">
        <v>125</v>
      </c>
      <c r="B373" s="5" t="inlineStr">
        <is>
          <t>Indice de severidad</t>
        </is>
      </c>
      <c r="C373" s="5" t="inlineStr">
        <is>
          <t>GESTIÓN DE SEGURIDAD Y SALUD EN EL TRABAJO</t>
        </is>
      </c>
      <c r="D373" s="5" t="inlineStr">
        <is>
          <t>Mensual</t>
        </is>
      </c>
      <c r="E373" s="5" t="inlineStr">
        <is>
          <t>Negativo</t>
        </is>
      </c>
      <c r="F373" s="106" t="n">
        <v>44834</v>
      </c>
      <c r="G373" s="5" t="n">
        <v>2022</v>
      </c>
      <c r="H373" s="5" t="inlineStr">
        <is>
          <t>Septiembre</t>
        </is>
      </c>
      <c r="I373" s="6" t="inlineStr">
        <is>
          <t>2022-2</t>
        </is>
      </c>
      <c r="J373" s="5" t="n">
        <v>4.7</v>
      </c>
      <c r="K373" s="9" t="n">
        <v>0</v>
      </c>
      <c r="L373" s="14">
        <f>IFERROR(IF(OR(J373=0,K373=""),"",IF(E373="Positivo",MIN(MAX(K373/J373,0),1.3),MIN(MAX(J373/K373,0),1.3))),"") </f>
        <v/>
      </c>
      <c r="M373" s="14">
        <f>IFERROR(IF(OR(J373=0,K373=""),"",IF(E373="Positivo",MAX(K373/J373,0),MAX(J373/K373,0))),"") </f>
        <v/>
      </c>
      <c r="N373" s="5" t="inlineStr">
        <is>
          <t>DEC</t>
        </is>
      </c>
      <c r="O373" s="5" t="inlineStr">
        <is>
          <t>DEC</t>
        </is>
      </c>
      <c r="P373" s="15" t="n">
        <v>1</v>
      </c>
      <c r="Q373" s="15" t="n">
        <v>2</v>
      </c>
      <c r="R373" s="5" t="inlineStr">
        <is>
          <t>125-2022-09-30</t>
        </is>
      </c>
    </row>
    <row r="374">
      <c r="A374" s="26" t="n">
        <v>125</v>
      </c>
      <c r="B374" s="5" t="inlineStr">
        <is>
          <t>Indice de severidad</t>
        </is>
      </c>
      <c r="C374" s="5" t="inlineStr">
        <is>
          <t>GESTIÓN DE SEGURIDAD Y SALUD EN EL TRABAJO</t>
        </is>
      </c>
      <c r="D374" s="5" t="inlineStr">
        <is>
          <t>Mensual</t>
        </is>
      </c>
      <c r="E374" s="5" t="inlineStr">
        <is>
          <t>Negativo</t>
        </is>
      </c>
      <c r="F374" s="107" t="n">
        <v>44865</v>
      </c>
      <c r="G374" s="5" t="n">
        <v>2022</v>
      </c>
      <c r="H374" s="5" t="inlineStr">
        <is>
          <t>Octubre</t>
        </is>
      </c>
      <c r="I374" s="6" t="inlineStr">
        <is>
          <t>2022-2</t>
        </is>
      </c>
      <c r="J374" s="5" t="n">
        <v>4.7</v>
      </c>
      <c r="K374" s="9" t="n">
        <v>0.16556291390728</v>
      </c>
      <c r="L374" s="14">
        <f>IFERROR(IF(OR(J374=0,K374=""),"",IF(E374="Positivo",MIN(MAX(K374/J374,0),1.3),MIN(MAX(J374/K374,0),1.3))),"") </f>
        <v/>
      </c>
      <c r="M374" s="14">
        <f>IFERROR(IF(OR(J374=0,K374=""),"",IF(E374="Positivo",MAX(K374/J374,0),MAX(J374/K374,0))),"") </f>
        <v/>
      </c>
      <c r="N374" s="5" t="inlineStr">
        <is>
          <t>DEC</t>
        </is>
      </c>
      <c r="O374" s="5" t="inlineStr">
        <is>
          <t>DEC</t>
        </is>
      </c>
      <c r="P374" s="15" t="n">
        <v>1</v>
      </c>
      <c r="Q374" s="15" t="n">
        <v>2</v>
      </c>
      <c r="R374" s="5" t="inlineStr">
        <is>
          <t>125-2022-10-31</t>
        </is>
      </c>
    </row>
    <row r="375">
      <c r="A375" s="21" t="n">
        <v>125</v>
      </c>
      <c r="B375" s="5" t="inlineStr">
        <is>
          <t>Indice de severidad</t>
        </is>
      </c>
      <c r="C375" s="5" t="inlineStr">
        <is>
          <t>GESTIÓN DE SEGURIDAD Y SALUD EN EL TRABAJO</t>
        </is>
      </c>
      <c r="D375" s="5" t="inlineStr">
        <is>
          <t>Mensual</t>
        </is>
      </c>
      <c r="E375" s="5" t="inlineStr">
        <is>
          <t>Negativo</t>
        </is>
      </c>
      <c r="F375" s="107" t="n">
        <v>44895</v>
      </c>
      <c r="G375" s="5" t="n">
        <v>2022</v>
      </c>
      <c r="H375" s="5" t="inlineStr">
        <is>
          <t>Noviembre</t>
        </is>
      </c>
      <c r="I375" s="6" t="inlineStr">
        <is>
          <t>2022-2</t>
        </is>
      </c>
      <c r="J375" s="5" t="n">
        <v>4.7</v>
      </c>
      <c r="K375" s="9" t="n">
        <v>0</v>
      </c>
      <c r="L375" s="14">
        <f>IFERROR(IF(OR(J375=0,K375=""),"",IF(E375="Positivo",MIN(MAX(K375/J375,0),1.3),MIN(MAX(J375/K375,0),1.3))),"") </f>
        <v/>
      </c>
      <c r="M375" s="14">
        <f>IFERROR(IF(OR(J375=0,K375=""),"",IF(E375="Positivo",MAX(K375/J375,0),MAX(J375/K375,0))),"") </f>
        <v/>
      </c>
      <c r="N375" s="5" t="inlineStr">
        <is>
          <t>DEC</t>
        </is>
      </c>
      <c r="O375" s="5" t="inlineStr">
        <is>
          <t>DEC</t>
        </is>
      </c>
      <c r="P375" s="15" t="n">
        <v>1</v>
      </c>
      <c r="Q375" s="15" t="n">
        <v>2</v>
      </c>
      <c r="R375" s="5" t="inlineStr">
        <is>
          <t>125-2022-11-30</t>
        </is>
      </c>
    </row>
    <row r="376">
      <c r="A376" s="21" t="n">
        <v>125</v>
      </c>
      <c r="B376" s="5" t="inlineStr">
        <is>
          <t>Indice de severidad</t>
        </is>
      </c>
      <c r="C376" s="5" t="inlineStr">
        <is>
          <t>GESTIÓN DE SEGURIDAD Y SALUD EN EL TRABAJO</t>
        </is>
      </c>
      <c r="D376" s="5" t="inlineStr">
        <is>
          <t>Mensual</t>
        </is>
      </c>
      <c r="E376" s="5" t="inlineStr">
        <is>
          <t>Negativo</t>
        </is>
      </c>
      <c r="F376" s="107" t="n">
        <v>44926</v>
      </c>
      <c r="G376" s="5" t="n">
        <v>2022</v>
      </c>
      <c r="H376" s="5" t="inlineStr">
        <is>
          <t>Diciembre</t>
        </is>
      </c>
      <c r="I376" s="6" t="inlineStr">
        <is>
          <t>2022-2</t>
        </is>
      </c>
      <c r="J376" s="5" t="n">
        <v>4.7</v>
      </c>
      <c r="K376" s="9" t="n">
        <v>0</v>
      </c>
      <c r="L376" s="14">
        <f>IFERROR(IF(OR(J376=0,K376=""),"",IF(E376="Positivo",MIN(MAX(K376/J376,0),1.3),MIN(MAX(J376/K376,0),1.3))),"") </f>
        <v/>
      </c>
      <c r="M376" s="14">
        <f>IFERROR(IF(OR(J376=0,K376=""),"",IF(E376="Positivo",MAX(K376/J376,0),MAX(J376/K376,0))),"") </f>
        <v/>
      </c>
      <c r="N376" s="5" t="inlineStr">
        <is>
          <t>DEC</t>
        </is>
      </c>
      <c r="O376" s="5" t="inlineStr">
        <is>
          <t>DEC</t>
        </is>
      </c>
      <c r="P376" s="15" t="n">
        <v>1</v>
      </c>
      <c r="Q376" s="15" t="n">
        <v>2</v>
      </c>
      <c r="R376" s="5" t="inlineStr">
        <is>
          <t>125-2022-12-31</t>
        </is>
      </c>
    </row>
    <row r="377">
      <c r="A377" s="21" t="n">
        <v>125</v>
      </c>
      <c r="B377" s="5" t="inlineStr">
        <is>
          <t>Indice de severidad</t>
        </is>
      </c>
      <c r="C377" s="5" t="inlineStr">
        <is>
          <t>GESTIÓN DE SEGURIDAD Y SALUD EN EL TRABAJO</t>
        </is>
      </c>
      <c r="D377" s="5" t="inlineStr">
        <is>
          <t>Mensual</t>
        </is>
      </c>
      <c r="E377" s="5" t="inlineStr">
        <is>
          <t>Negativo</t>
        </is>
      </c>
      <c r="F377" s="107" t="n">
        <v>44957</v>
      </c>
      <c r="G377" s="5" t="n">
        <v>2023</v>
      </c>
      <c r="H377" s="5" t="inlineStr">
        <is>
          <t>Enero</t>
        </is>
      </c>
      <c r="I377" s="6" t="inlineStr">
        <is>
          <t>2023-1</t>
        </is>
      </c>
      <c r="J377" s="5" t="n">
        <v>4.7</v>
      </c>
      <c r="K377" s="9" t="n">
        <v>0</v>
      </c>
      <c r="L377" s="14">
        <f>IFERROR(IF(OR(J377=0,K377=""),"",IF(E377="Positivo",MIN(MAX(K377/J377,0),1.3),MIN(MAX(J377/K377,0),1.3))),"") </f>
        <v/>
      </c>
      <c r="M377" s="14">
        <f>IFERROR(IF(OR(J377=0,K377=""),"",IF(E377="Positivo",MAX(K377/J377,0),MAX(J377/K377,0))),"") </f>
        <v/>
      </c>
      <c r="N377" s="5" t="inlineStr">
        <is>
          <t>DEC</t>
        </is>
      </c>
      <c r="O377" s="5" t="inlineStr">
        <is>
          <t>DEC</t>
        </is>
      </c>
      <c r="P377" s="15" t="n">
        <v>1</v>
      </c>
      <c r="Q377" s="15" t="n">
        <v>2</v>
      </c>
      <c r="R377" s="5" t="inlineStr">
        <is>
          <t>125-2023-01-31</t>
        </is>
      </c>
    </row>
    <row r="378">
      <c r="A378" s="21" t="n">
        <v>125</v>
      </c>
      <c r="B378" s="5" t="inlineStr">
        <is>
          <t>Indice de severidad</t>
        </is>
      </c>
      <c r="C378" s="5" t="inlineStr">
        <is>
          <t>GESTIÓN DE SEGURIDAD Y SALUD EN EL TRABAJO</t>
        </is>
      </c>
      <c r="D378" s="5" t="inlineStr">
        <is>
          <t>Mensual</t>
        </is>
      </c>
      <c r="E378" s="5" t="inlineStr">
        <is>
          <t>Negativo</t>
        </is>
      </c>
      <c r="F378" s="107" t="n">
        <v>44985</v>
      </c>
      <c r="G378" s="5" t="n">
        <v>2023</v>
      </c>
      <c r="H378" s="5" t="inlineStr">
        <is>
          <t>Febrero</t>
        </is>
      </c>
      <c r="I378" s="6" t="inlineStr">
        <is>
          <t>2023-1</t>
        </is>
      </c>
      <c r="J378" s="5" t="n">
        <v>4.7</v>
      </c>
      <c r="K378" s="9" t="n">
        <v>0</v>
      </c>
      <c r="L378" s="14">
        <f>IFERROR(IF(OR(J378=0,K378=""),"",IF(E378="Positivo",MIN(MAX(K378/J378,0),1.3),MIN(MAX(J378/K378,0),1.3))),"") </f>
        <v/>
      </c>
      <c r="M378" s="14">
        <f>IFERROR(IF(OR(J378=0,K378=""),"",IF(E378="Positivo",MAX(K378/J378,0),MAX(J378/K378,0))),"") </f>
        <v/>
      </c>
      <c r="N378" s="5" t="inlineStr">
        <is>
          <t>DEC</t>
        </is>
      </c>
      <c r="O378" s="5" t="inlineStr">
        <is>
          <t>DEC</t>
        </is>
      </c>
      <c r="P378" s="15" t="n">
        <v>1</v>
      </c>
      <c r="Q378" s="15" t="n">
        <v>2</v>
      </c>
      <c r="R378" s="5" t="inlineStr">
        <is>
          <t>125-2023-02-28</t>
        </is>
      </c>
    </row>
    <row r="379">
      <c r="A379" s="21" t="n">
        <v>125</v>
      </c>
      <c r="B379" s="5" t="inlineStr">
        <is>
          <t>Indice de severidad</t>
        </is>
      </c>
      <c r="C379" s="5" t="inlineStr">
        <is>
          <t>GESTIÓN DE SEGURIDAD Y SALUD EN EL TRABAJO</t>
        </is>
      </c>
      <c r="D379" s="5" t="inlineStr">
        <is>
          <t>Mensual</t>
        </is>
      </c>
      <c r="E379" s="5" t="inlineStr">
        <is>
          <t>Negativo</t>
        </is>
      </c>
      <c r="F379" s="107" t="n">
        <v>45016</v>
      </c>
      <c r="G379" s="5" t="n">
        <v>2023</v>
      </c>
      <c r="H379" s="5" t="inlineStr">
        <is>
          <t>Marzo</t>
        </is>
      </c>
      <c r="I379" s="6" t="inlineStr">
        <is>
          <t>2023-1</t>
        </is>
      </c>
      <c r="J379" s="5" t="n">
        <v>4.7</v>
      </c>
      <c r="K379" s="9" t="n">
        <v>0</v>
      </c>
      <c r="L379" s="14">
        <f>IFERROR(IF(OR(J379=0,K379=""),"",IF(E379="Positivo",MIN(MAX(K379/J379,0),1.3),MIN(MAX(J379/K379,0),1.3))),"") </f>
        <v/>
      </c>
      <c r="M379" s="14">
        <f>IFERROR(IF(OR(J379=0,K379=""),"",IF(E379="Positivo",MAX(K379/J379,0),MAX(J379/K379,0))),"") </f>
        <v/>
      </c>
      <c r="N379" s="5" t="inlineStr">
        <is>
          <t>DEC</t>
        </is>
      </c>
      <c r="O379" s="5" t="inlineStr">
        <is>
          <t>DEC</t>
        </is>
      </c>
      <c r="P379" s="15" t="n">
        <v>1</v>
      </c>
      <c r="Q379" s="15" t="n">
        <v>2</v>
      </c>
      <c r="R379" s="5" t="inlineStr">
        <is>
          <t>125-2023-03-31</t>
        </is>
      </c>
    </row>
    <row r="380">
      <c r="A380" s="21" t="n">
        <v>125</v>
      </c>
      <c r="B380" s="5" t="inlineStr">
        <is>
          <t>Indice de severidad</t>
        </is>
      </c>
      <c r="C380" s="5" t="inlineStr">
        <is>
          <t>GESTIÓN DE SEGURIDAD Y SALUD EN EL TRABAJO</t>
        </is>
      </c>
      <c r="D380" s="5" t="inlineStr">
        <is>
          <t>Mensual</t>
        </is>
      </c>
      <c r="E380" s="5" t="inlineStr">
        <is>
          <t>Negativo</t>
        </is>
      </c>
      <c r="F380" s="107" t="n">
        <v>45046</v>
      </c>
      <c r="G380" s="5" t="n">
        <v>2023</v>
      </c>
      <c r="H380" s="5" t="inlineStr">
        <is>
          <t>Abril</t>
        </is>
      </c>
      <c r="I380" s="6" t="inlineStr">
        <is>
          <t>2023-1</t>
        </is>
      </c>
      <c r="J380" s="5" t="n">
        <v>4.7</v>
      </c>
      <c r="K380" s="9" t="n">
        <v>0.13044612575007</v>
      </c>
      <c r="L380" s="14">
        <f>IFERROR(IF(OR(J380=0,K380=""),"",IF(E380="Positivo",MIN(MAX(K380/J380,0),1.3),MIN(MAX(J380/K380,0),1.3))),"") </f>
        <v/>
      </c>
      <c r="M380" s="14">
        <f>IFERROR(IF(OR(J380=0,K380=""),"",IF(E380="Positivo",MAX(K380/J380,0),MAX(J380/K380,0))),"") </f>
        <v/>
      </c>
      <c r="N380" s="5" t="inlineStr">
        <is>
          <t>DEC</t>
        </is>
      </c>
      <c r="O380" s="5" t="inlineStr">
        <is>
          <t>DEC</t>
        </is>
      </c>
      <c r="P380" s="15" t="n">
        <v>1</v>
      </c>
      <c r="Q380" s="15" t="n">
        <v>2</v>
      </c>
      <c r="R380" s="5" t="inlineStr">
        <is>
          <t>125-2023-04-30</t>
        </is>
      </c>
    </row>
    <row r="381">
      <c r="A381" s="26" t="n">
        <v>125</v>
      </c>
      <c r="B381" s="5" t="inlineStr">
        <is>
          <t>Indice de severidad</t>
        </is>
      </c>
      <c r="C381" s="5" t="inlineStr">
        <is>
          <t>GESTIÓN DE SEGURIDAD Y SALUD EN EL TRABAJO</t>
        </is>
      </c>
      <c r="D381" s="5" t="inlineStr">
        <is>
          <t>Mensual</t>
        </is>
      </c>
      <c r="E381" s="5" t="inlineStr">
        <is>
          <t>Negativo</t>
        </is>
      </c>
      <c r="F381" s="107" t="n">
        <v>45077</v>
      </c>
      <c r="G381" s="5" t="n">
        <v>2023</v>
      </c>
      <c r="H381" s="5" t="inlineStr">
        <is>
          <t>Mayo</t>
        </is>
      </c>
      <c r="I381" s="6" t="inlineStr">
        <is>
          <t>2023-1</t>
        </is>
      </c>
      <c r="J381" s="5" t="n">
        <v>4.7</v>
      </c>
      <c r="K381" s="9" t="n">
        <v>0</v>
      </c>
      <c r="L381" s="14">
        <f>IFERROR(IF(OR(J381=0,K381=""),"",IF(E381="Positivo",MIN(MAX(K381/J381,0),1.3),MIN(MAX(J381/K381,0),1.3))),"") </f>
        <v/>
      </c>
      <c r="M381" s="14">
        <f>IFERROR(IF(OR(J381=0,K381=""),"",IF(E381="Positivo",MAX(K381/J381,0),MAX(J381/K381,0))),"") </f>
        <v/>
      </c>
      <c r="N381" s="5" t="inlineStr">
        <is>
          <t>DEC</t>
        </is>
      </c>
      <c r="O381" s="5" t="inlineStr">
        <is>
          <t>DEC</t>
        </is>
      </c>
      <c r="P381" s="15" t="n">
        <v>1</v>
      </c>
      <c r="Q381" s="15" t="n">
        <v>2</v>
      </c>
      <c r="R381" s="5" t="inlineStr">
        <is>
          <t>125-2023-05-31</t>
        </is>
      </c>
    </row>
    <row r="382">
      <c r="A382" s="26" t="n">
        <v>125</v>
      </c>
      <c r="B382" s="5" t="inlineStr">
        <is>
          <t>Indice de severidad</t>
        </is>
      </c>
      <c r="C382" s="5" t="inlineStr">
        <is>
          <t>GESTIÓN DE SEGURIDAD Y SALUD EN EL TRABAJO</t>
        </is>
      </c>
      <c r="D382" s="5" t="inlineStr">
        <is>
          <t>Mensual</t>
        </is>
      </c>
      <c r="E382" s="5" t="inlineStr">
        <is>
          <t>Negativo</t>
        </is>
      </c>
      <c r="F382" s="107" t="n">
        <v>45107</v>
      </c>
      <c r="G382" s="5" t="n">
        <v>2023</v>
      </c>
      <c r="H382" s="5" t="inlineStr">
        <is>
          <t>Junio</t>
        </is>
      </c>
      <c r="I382" s="6" t="inlineStr">
        <is>
          <t>2023-1</t>
        </is>
      </c>
      <c r="J382" s="5" t="n">
        <v>4.7</v>
      </c>
      <c r="K382" s="9" t="n">
        <v>0</v>
      </c>
      <c r="L382" s="14">
        <f>IFERROR(IF(OR(J382=0,K382=""),"",IF(E382="Positivo",MIN(MAX(K382/J382,0),1.3),MIN(MAX(J382/K382,0),1.3))),"") </f>
        <v/>
      </c>
      <c r="M382" s="14">
        <f>IFERROR(IF(OR(J382=0,K382=""),"",IF(E382="Positivo",MAX(K382/J382,0),MAX(J382/K382,0))),"") </f>
        <v/>
      </c>
      <c r="N382" s="5" t="inlineStr">
        <is>
          <t>DEC</t>
        </is>
      </c>
      <c r="O382" s="5" t="inlineStr">
        <is>
          <t>DEC</t>
        </is>
      </c>
      <c r="P382" s="15" t="n">
        <v>1</v>
      </c>
      <c r="Q382" s="15" t="n">
        <v>2</v>
      </c>
      <c r="R382" s="5" t="inlineStr">
        <is>
          <t>125-2023-06-30</t>
        </is>
      </c>
    </row>
    <row r="383">
      <c r="A383" s="26" t="n">
        <v>125</v>
      </c>
      <c r="B383" s="5" t="inlineStr">
        <is>
          <t>Indice de severidad</t>
        </is>
      </c>
      <c r="C383" s="5" t="inlineStr">
        <is>
          <t>GESTIÓN DE SEGURIDAD Y SALUD EN EL TRABAJO</t>
        </is>
      </c>
      <c r="D383" s="5" t="inlineStr">
        <is>
          <t>Mensual</t>
        </is>
      </c>
      <c r="E383" s="5" t="inlineStr">
        <is>
          <t>Negativo</t>
        </is>
      </c>
      <c r="F383" s="107" t="n">
        <v>45138</v>
      </c>
      <c r="G383" s="5" t="n">
        <v>2023</v>
      </c>
      <c r="H383" s="5" t="inlineStr">
        <is>
          <t>Julio</t>
        </is>
      </c>
      <c r="I383" s="6" t="inlineStr">
        <is>
          <t>2023-2</t>
        </is>
      </c>
      <c r="J383" s="5" t="n">
        <v>4.7</v>
      </c>
      <c r="K383" s="9" t="n">
        <v>1.0566037735849</v>
      </c>
      <c r="L383" s="14">
        <f>IFERROR(IF(OR(J383=0,K383=""),"",IF(E383="Positivo",MIN(MAX(K383/J383,0),1.3),MIN(MAX(J383/K383,0),1.3))),"") </f>
        <v/>
      </c>
      <c r="M383" s="14">
        <f>IFERROR(IF(OR(J383=0,K383=""),"",IF(E383="Positivo",MAX(K383/J383,0),MAX(J383/K383,0))),"") </f>
        <v/>
      </c>
      <c r="N383" s="5" t="inlineStr">
        <is>
          <t>DEC</t>
        </is>
      </c>
      <c r="O383" s="5" t="inlineStr">
        <is>
          <t>DEC</t>
        </is>
      </c>
      <c r="P383" s="15" t="n">
        <v>1</v>
      </c>
      <c r="Q383" s="15" t="n">
        <v>2</v>
      </c>
      <c r="R383" s="5" t="inlineStr">
        <is>
          <t>125-2023-07-31</t>
        </is>
      </c>
    </row>
    <row r="384">
      <c r="A384" s="21" t="n">
        <v>125</v>
      </c>
      <c r="B384" s="5" t="inlineStr">
        <is>
          <t>Indice de severidad</t>
        </is>
      </c>
      <c r="C384" s="5" t="inlineStr">
        <is>
          <t>GESTIÓN DE SEGURIDAD Y SALUD EN EL TRABAJO</t>
        </is>
      </c>
      <c r="D384" s="5" t="inlineStr">
        <is>
          <t>Mensual</t>
        </is>
      </c>
      <c r="E384" s="5" t="inlineStr">
        <is>
          <t>Negativo</t>
        </is>
      </c>
      <c r="F384" s="107" t="n">
        <v>45169</v>
      </c>
      <c r="G384" s="5" t="n">
        <v>2023</v>
      </c>
      <c r="H384" s="5" t="inlineStr">
        <is>
          <t>Agosto</t>
        </is>
      </c>
      <c r="I384" s="6" t="inlineStr">
        <is>
          <t>2023-2</t>
        </is>
      </c>
      <c r="J384" s="5" t="n">
        <v>4.7</v>
      </c>
      <c r="K384" s="9" t="n">
        <v>0.92</v>
      </c>
      <c r="L384" s="14">
        <f>IFERROR(IF(OR(J384=0,K384=""),"",IF(E384="Positivo",MIN(MAX(K384/J384,0),1.3),MIN(MAX(J384/K384,0),1.3))),"") </f>
        <v/>
      </c>
      <c r="M384" s="14">
        <f>IFERROR(IF(OR(J384=0,K384=""),"",IF(E384="Positivo",MAX(K384/J384,0),MAX(J384/K384,0))),"") </f>
        <v/>
      </c>
      <c r="N384" s="5" t="inlineStr">
        <is>
          <t>DEC</t>
        </is>
      </c>
      <c r="O384" s="5" t="inlineStr">
        <is>
          <t>DEC</t>
        </is>
      </c>
      <c r="P384" s="15" t="n">
        <v>1</v>
      </c>
      <c r="Q384" s="15" t="n">
        <v>2</v>
      </c>
      <c r="R384" s="5" t="inlineStr">
        <is>
          <t>125-2023-08-31</t>
        </is>
      </c>
    </row>
    <row r="385">
      <c r="A385" s="21" t="n">
        <v>125</v>
      </c>
      <c r="B385" s="5" t="inlineStr">
        <is>
          <t>Indice de severidad</t>
        </is>
      </c>
      <c r="C385" s="5" t="inlineStr">
        <is>
          <t>GESTIÓN DE SEGURIDAD Y SALUD EN EL TRABAJO</t>
        </is>
      </c>
      <c r="D385" s="5" t="inlineStr">
        <is>
          <t>Mensual</t>
        </is>
      </c>
      <c r="E385" s="5" t="inlineStr">
        <is>
          <t>Negativo</t>
        </is>
      </c>
      <c r="F385" s="106" t="n">
        <v>45199</v>
      </c>
      <c r="G385" s="5" t="n">
        <v>2023</v>
      </c>
      <c r="H385" s="5" t="inlineStr">
        <is>
          <t>Septiembre</t>
        </is>
      </c>
      <c r="I385" s="6" t="inlineStr">
        <is>
          <t>2023-2</t>
        </is>
      </c>
      <c r="J385" s="5" t="n">
        <v>4.7</v>
      </c>
      <c r="K385" s="9" t="n">
        <v>0</v>
      </c>
      <c r="L385" s="14">
        <f>IFERROR(IF(OR(J385=0,K385=""),"",IF(E385="Positivo",MIN(MAX(K385/J385,0),1.3),MIN(MAX(J385/K385,0),1.3))),"") </f>
        <v/>
      </c>
      <c r="M385" s="14">
        <f>IFERROR(IF(OR(J385=0,K385=""),"",IF(E385="Positivo",MAX(K385/J385,0),MAX(J385/K385,0))),"") </f>
        <v/>
      </c>
      <c r="N385" s="5" t="inlineStr">
        <is>
          <t>DEC</t>
        </is>
      </c>
      <c r="O385" s="5" t="inlineStr">
        <is>
          <t>DEC</t>
        </is>
      </c>
      <c r="P385" s="15" t="n">
        <v>1</v>
      </c>
      <c r="Q385" s="15" t="n">
        <v>2</v>
      </c>
      <c r="R385" s="5" t="inlineStr">
        <is>
          <t>125-2023-09-30</t>
        </is>
      </c>
    </row>
    <row r="386">
      <c r="A386" s="21" t="n">
        <v>125</v>
      </c>
      <c r="B386" s="5" t="inlineStr">
        <is>
          <t>Indice de severidad</t>
        </is>
      </c>
      <c r="C386" s="5" t="inlineStr">
        <is>
          <t>GESTIÓN DE SEGURIDAD Y SALUD EN EL TRABAJO</t>
        </is>
      </c>
      <c r="D386" s="5" t="inlineStr">
        <is>
          <t>Mensual</t>
        </is>
      </c>
      <c r="E386" s="5" t="inlineStr">
        <is>
          <t>Negativo</t>
        </is>
      </c>
      <c r="F386" s="107" t="n">
        <v>45230</v>
      </c>
      <c r="G386" s="5" t="n">
        <v>2023</v>
      </c>
      <c r="H386" s="5" t="inlineStr">
        <is>
          <t>Octubre</t>
        </is>
      </c>
      <c r="I386" s="6" t="inlineStr">
        <is>
          <t>2023-2</t>
        </is>
      </c>
      <c r="J386" s="5" t="n">
        <v>4.7</v>
      </c>
      <c r="K386" s="10" t="n">
        <v>0</v>
      </c>
      <c r="L386" s="14">
        <f>IFERROR(IF(OR(J386=0,K386=""),"",IF(E386="Positivo",MIN(MAX(K386/J386,0),1.3),MIN(MAX(J386/K386,0),1.3))),"") </f>
        <v/>
      </c>
      <c r="M386" s="14">
        <f>IFERROR(IF(OR(J386=0,K386=""),"",IF(E386="Positivo",MAX(K386/J386,0),MAX(J386/K386,0))),"") </f>
        <v/>
      </c>
      <c r="N386" s="5" t="inlineStr">
        <is>
          <t>DEC</t>
        </is>
      </c>
      <c r="O386" s="5" t="inlineStr">
        <is>
          <t>DEC</t>
        </is>
      </c>
      <c r="P386" s="15" t="n">
        <v>1</v>
      </c>
      <c r="Q386" s="15" t="n">
        <v>2</v>
      </c>
      <c r="R386" s="5" t="inlineStr">
        <is>
          <t>125-2023-10-31</t>
        </is>
      </c>
    </row>
    <row r="387">
      <c r="A387" s="21" t="n">
        <v>125</v>
      </c>
      <c r="B387" s="5" t="inlineStr">
        <is>
          <t>Indice de severidad</t>
        </is>
      </c>
      <c r="C387" s="5" t="inlineStr">
        <is>
          <t>GESTIÓN DE SEGURIDAD Y SALUD EN EL TRABAJO</t>
        </is>
      </c>
      <c r="D387" s="5" t="inlineStr">
        <is>
          <t>Mensual</t>
        </is>
      </c>
      <c r="E387" s="5" t="inlineStr">
        <is>
          <t>Negativo</t>
        </is>
      </c>
      <c r="F387" s="107" t="n">
        <v>45260</v>
      </c>
      <c r="G387" s="5" t="n">
        <v>2023</v>
      </c>
      <c r="H387" s="5" t="inlineStr">
        <is>
          <t>Noviembre</t>
        </is>
      </c>
      <c r="I387" s="6" t="inlineStr">
        <is>
          <t>2023-2</t>
        </is>
      </c>
      <c r="J387" s="5" t="n">
        <v>4.7</v>
      </c>
      <c r="K387" s="9" t="n">
        <v>0</v>
      </c>
      <c r="L387" s="14">
        <f>IFERROR(IF(OR(J387=0,K387=""),"",IF(E387="Positivo",MIN(MAX(K387/J387,0),1.3),MIN(MAX(J387/K387,0),1.3))),"") </f>
        <v/>
      </c>
      <c r="M387" s="14">
        <f>IFERROR(IF(OR(J387=0,K387=""),"",IF(E387="Positivo",MAX(K387/J387,0),MAX(J387/K387,0))),"") </f>
        <v/>
      </c>
      <c r="N387" s="5" t="inlineStr">
        <is>
          <t>DEC</t>
        </is>
      </c>
      <c r="O387" s="5" t="inlineStr">
        <is>
          <t>DEC</t>
        </is>
      </c>
      <c r="P387" s="15" t="n">
        <v>1</v>
      </c>
      <c r="Q387" s="15" t="n">
        <v>2</v>
      </c>
      <c r="R387" s="5" t="inlineStr">
        <is>
          <t>125-2023-11-30</t>
        </is>
      </c>
    </row>
    <row r="388">
      <c r="A388" s="21" t="n">
        <v>125</v>
      </c>
      <c r="B388" s="5" t="inlineStr">
        <is>
          <t>Indice de severidad</t>
        </is>
      </c>
      <c r="C388" s="5" t="inlineStr">
        <is>
          <t>GESTIÓN DE SEGURIDAD Y SALUD EN EL TRABAJO</t>
        </is>
      </c>
      <c r="D388" s="5" t="inlineStr">
        <is>
          <t>Mensual</t>
        </is>
      </c>
      <c r="E388" s="5" t="inlineStr">
        <is>
          <t>Negativo</t>
        </is>
      </c>
      <c r="F388" s="107" t="n">
        <v>45291</v>
      </c>
      <c r="G388" s="5" t="n">
        <v>2023</v>
      </c>
      <c r="H388" s="5" t="inlineStr">
        <is>
          <t>Diciembre</t>
        </is>
      </c>
      <c r="I388" s="6" t="inlineStr">
        <is>
          <t>2023-2</t>
        </is>
      </c>
      <c r="J388" s="5" t="n">
        <v>4.7</v>
      </c>
      <c r="K388" s="9" t="n">
        <v>0</v>
      </c>
      <c r="L388" s="14">
        <f>IFERROR(IF(OR(J388=0,K388=""),"",IF(E388="Positivo",MIN(MAX(K388/J388,0),1.3),MIN(MAX(J388/K388,0),1.3))),"") </f>
        <v/>
      </c>
      <c r="M388" s="14">
        <f>IFERROR(IF(OR(J388=0,K388=""),"",IF(E388="Positivo",MAX(K388/J388,0),MAX(J388/K388,0))),"") </f>
        <v/>
      </c>
      <c r="N388" s="5" t="inlineStr">
        <is>
          <t>DEC</t>
        </is>
      </c>
      <c r="O388" s="5" t="inlineStr">
        <is>
          <t>DEC</t>
        </is>
      </c>
      <c r="P388" s="15" t="n">
        <v>1</v>
      </c>
      <c r="Q388" s="15" t="n">
        <v>2</v>
      </c>
      <c r="R388" s="5" t="inlineStr">
        <is>
          <t>125-2023-12-31</t>
        </is>
      </c>
    </row>
    <row r="389">
      <c r="A389" s="21" t="n">
        <v>125</v>
      </c>
      <c r="B389" s="5" t="inlineStr">
        <is>
          <t>Indice de severidad</t>
        </is>
      </c>
      <c r="C389" s="5" t="inlineStr">
        <is>
          <t>GESTIÓN DE SEGURIDAD Y SALUD EN EL TRABAJO</t>
        </is>
      </c>
      <c r="D389" s="5" t="inlineStr">
        <is>
          <t>Mensual</t>
        </is>
      </c>
      <c r="E389" s="5" t="inlineStr">
        <is>
          <t>Negativo</t>
        </is>
      </c>
      <c r="F389" s="107" t="n">
        <v>45322</v>
      </c>
      <c r="G389" s="5" t="n">
        <v>2024</v>
      </c>
      <c r="H389" s="5" t="inlineStr">
        <is>
          <t>Enero</t>
        </is>
      </c>
      <c r="I389" s="6" t="inlineStr">
        <is>
          <t>2024-1</t>
        </is>
      </c>
      <c r="J389" s="5" t="n">
        <v>1.9</v>
      </c>
      <c r="K389" s="9" t="n">
        <v>0</v>
      </c>
      <c r="L389" s="14">
        <f>IFERROR(IF(OR(J389=0,K389=""),"",IF(E389="Positivo",MIN(MAX(K389/J389,0),1.3),MIN(MAX(J389/K389,0),1.3))),"") </f>
        <v/>
      </c>
      <c r="M389" s="14">
        <f>IFERROR(IF(OR(J389=0,K389=""),"",IF(E389="Positivo",MAX(K389/J389,0),MAX(J389/K389,0))),"") </f>
        <v/>
      </c>
      <c r="N389" s="5" t="inlineStr">
        <is>
          <t>DEC</t>
        </is>
      </c>
      <c r="O389" s="5" t="inlineStr">
        <is>
          <t>DEC</t>
        </is>
      </c>
      <c r="P389" s="15" t="n">
        <v>1</v>
      </c>
      <c r="Q389" s="15" t="n">
        <v>2</v>
      </c>
      <c r="R389" s="5" t="inlineStr">
        <is>
          <t>125-2024-01-31</t>
        </is>
      </c>
    </row>
    <row r="390">
      <c r="A390" s="21" t="n">
        <v>125</v>
      </c>
      <c r="B390" s="5" t="inlineStr">
        <is>
          <t>Indice de severidad</t>
        </is>
      </c>
      <c r="C390" s="5" t="inlineStr">
        <is>
          <t>GESTIÓN DE SEGURIDAD Y SALUD EN EL TRABAJO</t>
        </is>
      </c>
      <c r="D390" s="5" t="inlineStr">
        <is>
          <t>Mensual</t>
        </is>
      </c>
      <c r="E390" s="5" t="inlineStr">
        <is>
          <t>Negativo</t>
        </is>
      </c>
      <c r="F390" s="107" t="n">
        <v>45351</v>
      </c>
      <c r="G390" s="5" t="n">
        <v>2024</v>
      </c>
      <c r="H390" s="5" t="inlineStr">
        <is>
          <t>Febrero</t>
        </is>
      </c>
      <c r="I390" s="6" t="inlineStr">
        <is>
          <t>2024-1</t>
        </is>
      </c>
      <c r="J390" s="5" t="n">
        <v>1.9</v>
      </c>
      <c r="K390" s="9" t="n">
        <v>0</v>
      </c>
      <c r="L390" s="14">
        <f>IFERROR(IF(OR(J390=0,K390=""),"",IF(E390="Positivo",MIN(MAX(K390/J390,0),1.3),MIN(MAX(J390/K390,0),1.3))),"") </f>
        <v/>
      </c>
      <c r="M390" s="14">
        <f>IFERROR(IF(OR(J390=0,K390=""),"",IF(E390="Positivo",MAX(K390/J390,0),MAX(J390/K390,0))),"") </f>
        <v/>
      </c>
      <c r="N390" s="5" t="inlineStr">
        <is>
          <t>DEC</t>
        </is>
      </c>
      <c r="O390" s="5" t="inlineStr">
        <is>
          <t>DEC</t>
        </is>
      </c>
      <c r="P390" s="15" t="n">
        <v>1</v>
      </c>
      <c r="Q390" s="15" t="n">
        <v>2</v>
      </c>
      <c r="R390" s="5" t="inlineStr">
        <is>
          <t>125-2024-02-29</t>
        </is>
      </c>
    </row>
    <row r="391">
      <c r="A391" s="21" t="n">
        <v>125</v>
      </c>
      <c r="B391" s="5" t="inlineStr">
        <is>
          <t>Indice de severidad</t>
        </is>
      </c>
      <c r="C391" s="5" t="inlineStr">
        <is>
          <t>GESTIÓN DE SEGURIDAD Y SALUD EN EL TRABAJO</t>
        </is>
      </c>
      <c r="D391" s="5" t="inlineStr">
        <is>
          <t>Mensual</t>
        </is>
      </c>
      <c r="E391" s="5" t="inlineStr">
        <is>
          <t>Negativo</t>
        </is>
      </c>
      <c r="F391" s="107" t="n">
        <v>45382</v>
      </c>
      <c r="G391" s="5" t="n">
        <v>2024</v>
      </c>
      <c r="H391" s="5" t="inlineStr">
        <is>
          <t>Marzo</t>
        </is>
      </c>
      <c r="I391" s="6" t="inlineStr">
        <is>
          <t>2024-1</t>
        </is>
      </c>
      <c r="J391" s="5" t="n">
        <v>1.9</v>
      </c>
      <c r="K391" s="9" t="n">
        <v>0</v>
      </c>
      <c r="L391" s="14">
        <f>IFERROR(IF(OR(J391=0,K391=""),"",IF(E391="Positivo",MIN(MAX(K391/J391,0),1.3),MIN(MAX(J391/K391,0),1.3))),"") </f>
        <v/>
      </c>
      <c r="M391" s="14">
        <f>IFERROR(IF(OR(J391=0,K391=""),"",IF(E391="Positivo",MAX(K391/J391,0),MAX(J391/K391,0))),"") </f>
        <v/>
      </c>
      <c r="N391" s="5" t="inlineStr">
        <is>
          <t>DEC</t>
        </is>
      </c>
      <c r="O391" s="5" t="inlineStr">
        <is>
          <t>DEC</t>
        </is>
      </c>
      <c r="P391" s="15" t="n">
        <v>1</v>
      </c>
      <c r="Q391" s="15" t="n">
        <v>2</v>
      </c>
      <c r="R391" s="5" t="inlineStr">
        <is>
          <t>125-2024-03-31</t>
        </is>
      </c>
    </row>
    <row r="392">
      <c r="A392" s="21" t="n">
        <v>125</v>
      </c>
      <c r="B392" s="5" t="inlineStr">
        <is>
          <t>Indice de severidad</t>
        </is>
      </c>
      <c r="C392" s="5" t="inlineStr">
        <is>
          <t>GESTIÓN DE SEGURIDAD Y SALUD EN EL TRABAJO</t>
        </is>
      </c>
      <c r="D392" s="5" t="inlineStr">
        <is>
          <t>Mensual</t>
        </is>
      </c>
      <c r="E392" s="5" t="inlineStr">
        <is>
          <t>Negativo</t>
        </is>
      </c>
      <c r="F392" s="107" t="n">
        <v>45412</v>
      </c>
      <c r="G392" s="5" t="n">
        <v>2024</v>
      </c>
      <c r="H392" s="5" t="inlineStr">
        <is>
          <t>Abril</t>
        </is>
      </c>
      <c r="I392" s="6" t="inlineStr">
        <is>
          <t>2024-1</t>
        </is>
      </c>
      <c r="J392" s="5" t="n">
        <v>1.9</v>
      </c>
      <c r="K392" s="9" t="n">
        <v>0</v>
      </c>
      <c r="L392" s="14">
        <f>IFERROR(IF(OR(J392=0,K392=""),"",IF(E392="Positivo",MIN(MAX(K392/J392,0),1.3),MIN(MAX(J392/K392,0),1.3))),"") </f>
        <v/>
      </c>
      <c r="M392" s="14">
        <f>IFERROR(IF(OR(J392=0,K392=""),"",IF(E392="Positivo",MAX(K392/J392,0),MAX(J392/K392,0))),"") </f>
        <v/>
      </c>
      <c r="N392" s="5" t="inlineStr">
        <is>
          <t>DEC</t>
        </is>
      </c>
      <c r="O392" s="5" t="inlineStr">
        <is>
          <t>DEC</t>
        </is>
      </c>
      <c r="P392" s="15" t="n">
        <v>1</v>
      </c>
      <c r="Q392" s="15" t="n">
        <v>2</v>
      </c>
      <c r="R392" s="5" t="inlineStr">
        <is>
          <t>125-2024-04-30</t>
        </is>
      </c>
    </row>
    <row r="393">
      <c r="A393" s="21" t="n">
        <v>125</v>
      </c>
      <c r="B393" s="5" t="inlineStr">
        <is>
          <t>Indice de severidad</t>
        </is>
      </c>
      <c r="C393" s="5" t="inlineStr">
        <is>
          <t>GESTIÓN DE SEGURIDAD Y SALUD EN EL TRABAJO</t>
        </is>
      </c>
      <c r="D393" s="5" t="inlineStr">
        <is>
          <t>Mensual</t>
        </is>
      </c>
      <c r="E393" s="5" t="inlineStr">
        <is>
          <t>Negativo</t>
        </is>
      </c>
      <c r="F393" s="107" t="n">
        <v>45443</v>
      </c>
      <c r="G393" s="5" t="n">
        <v>2024</v>
      </c>
      <c r="H393" s="5" t="inlineStr">
        <is>
          <t>Mayo</t>
        </is>
      </c>
      <c r="I393" s="6" t="inlineStr">
        <is>
          <t>2024-1</t>
        </is>
      </c>
      <c r="J393" s="5" t="n">
        <v>1.9</v>
      </c>
      <c r="K393" s="9" t="n">
        <v>0.2091175240485153</v>
      </c>
      <c r="L393" s="14">
        <f>IFERROR(IF(OR(J393=0,K393=""),"",IF(E393="Positivo",MIN(MAX(K393/J393,0),1.3),MIN(MAX(J393/K393,0),1.3))),"") </f>
        <v/>
      </c>
      <c r="M393" s="14">
        <f>IFERROR(IF(OR(J393=0,K393=""),"",IF(E393="Positivo",MAX(K393/J393,0),MAX(J393/K393,0))),"") </f>
        <v/>
      </c>
      <c r="N393" s="5" t="inlineStr">
        <is>
          <t>DEC</t>
        </is>
      </c>
      <c r="O393" s="5" t="inlineStr">
        <is>
          <t>DEC</t>
        </is>
      </c>
      <c r="P393" s="15" t="n">
        <v>1</v>
      </c>
      <c r="Q393" s="15" t="n">
        <v>2</v>
      </c>
      <c r="R393" s="5" t="inlineStr">
        <is>
          <t>125-2024-05-31</t>
        </is>
      </c>
    </row>
    <row r="394">
      <c r="A394" s="5" t="n">
        <v>125</v>
      </c>
      <c r="B394" s="5" t="inlineStr">
        <is>
          <t>Indice de severidad</t>
        </is>
      </c>
      <c r="C394" s="5" t="inlineStr">
        <is>
          <t>GESTIÓN DE SEGURIDAD Y SALUD EN EL TRABAJO</t>
        </is>
      </c>
      <c r="D394" s="5" t="inlineStr">
        <is>
          <t>Mensual</t>
        </is>
      </c>
      <c r="E394" s="5" t="inlineStr">
        <is>
          <t>Negativo</t>
        </is>
      </c>
      <c r="F394" s="106" t="n">
        <v>45473</v>
      </c>
      <c r="G394" s="5" t="n">
        <v>2024</v>
      </c>
      <c r="H394" s="5" t="inlineStr">
        <is>
          <t>Junio</t>
        </is>
      </c>
      <c r="I394" s="6" t="inlineStr">
        <is>
          <t>2024-1</t>
        </is>
      </c>
      <c r="J394" s="5" t="n">
        <v>1.9</v>
      </c>
      <c r="K394" s="9" t="n">
        <v>0</v>
      </c>
      <c r="L394" s="14">
        <f>IFERROR(IF(OR(J394=0,K394=""),"",IF(E394="Positivo",MIN(MAX(K394/J394,0),1.3),MIN(MAX(J394/K394,0),1.3))),"") </f>
        <v/>
      </c>
      <c r="M394" s="14">
        <f>IFERROR(IF(OR(J394=0,K394=""),"",IF(E394="Positivo",MAX(K394/J394,0),MAX(J394/K394,0))),"") </f>
        <v/>
      </c>
      <c r="N394" s="5" t="inlineStr">
        <is>
          <t>DEC</t>
        </is>
      </c>
      <c r="O394" s="5" t="inlineStr">
        <is>
          <t>DEC</t>
        </is>
      </c>
      <c r="P394" s="5" t="n">
        <v>1</v>
      </c>
      <c r="Q394" s="5" t="n">
        <v>2</v>
      </c>
      <c r="R394" s="5" t="inlineStr">
        <is>
          <t>125-2024-06-30</t>
        </is>
      </c>
    </row>
    <row r="395">
      <c r="A395" s="5" t="n">
        <v>125</v>
      </c>
      <c r="B395" s="5" t="inlineStr">
        <is>
          <t>Indice de severidad</t>
        </is>
      </c>
      <c r="C395" s="5" t="inlineStr">
        <is>
          <t>GESTIÓN DE SEGURIDAD Y SALUD EN EL TRABAJO</t>
        </is>
      </c>
      <c r="D395" s="5" t="inlineStr">
        <is>
          <t>Mensual</t>
        </is>
      </c>
      <c r="E395" s="5" t="inlineStr">
        <is>
          <t>Negativo</t>
        </is>
      </c>
      <c r="F395" s="106" t="n">
        <v>45504</v>
      </c>
      <c r="G395" s="5" t="n">
        <v>2024</v>
      </c>
      <c r="H395" s="5" t="inlineStr">
        <is>
          <t>Julio</t>
        </is>
      </c>
      <c r="I395" s="6" t="inlineStr">
        <is>
          <t>2024-2</t>
        </is>
      </c>
      <c r="J395" s="5" t="n">
        <v>1.9</v>
      </c>
      <c r="K395" s="9" t="n">
        <v>0</v>
      </c>
      <c r="L395" s="14">
        <f>IFERROR(IF(OR(J395=0,K395=""),"",IF(E395="Positivo",MIN(MAX(K395/J395,0),1.3),MIN(MAX(J395/K395,0),1.3))),"") </f>
        <v/>
      </c>
      <c r="M395" s="14">
        <f>IFERROR(IF(OR(J395=0,K395=""),"",IF(E395="Positivo",MAX(K395/J395,0),MAX(J395/K395,0))),"") </f>
        <v/>
      </c>
      <c r="N395" s="5" t="inlineStr">
        <is>
          <t>DEC</t>
        </is>
      </c>
      <c r="O395" s="5" t="inlineStr">
        <is>
          <t>DEC</t>
        </is>
      </c>
      <c r="P395" s="5" t="n">
        <v>1</v>
      </c>
      <c r="Q395" s="5" t="n">
        <v>2</v>
      </c>
      <c r="R395" s="5" t="inlineStr">
        <is>
          <t>125-2024-07-31</t>
        </is>
      </c>
    </row>
    <row r="396">
      <c r="A396" s="21" t="n">
        <v>125</v>
      </c>
      <c r="B396" s="5" t="inlineStr">
        <is>
          <t>Indice de severidad</t>
        </is>
      </c>
      <c r="C396" s="5" t="inlineStr">
        <is>
          <t>GESTIÓN DE SEGURIDAD Y SALUD EN EL TRABAJO</t>
        </is>
      </c>
      <c r="D396" s="5" t="inlineStr">
        <is>
          <t>Mensual</t>
        </is>
      </c>
      <c r="E396" s="5" t="inlineStr">
        <is>
          <t>Negativo</t>
        </is>
      </c>
      <c r="F396" s="106" t="n">
        <v>45535</v>
      </c>
      <c r="G396" s="5" t="n">
        <v>2024</v>
      </c>
      <c r="H396" s="5" t="inlineStr">
        <is>
          <t>Agosto</t>
        </is>
      </c>
      <c r="I396" s="6" t="inlineStr">
        <is>
          <t>2024-2</t>
        </is>
      </c>
      <c r="J396" s="5" t="n">
        <v>1.9</v>
      </c>
      <c r="K396" s="9" t="n">
        <v>0</v>
      </c>
      <c r="L396" s="14">
        <f>IFERROR(IF(OR(J396=0,K396=""),"",IF(E396="Positivo",MIN(MAX(K396/J396,0),1.3),MIN(MAX(J396/K396,0),1.3))),"") </f>
        <v/>
      </c>
      <c r="M396" s="14">
        <f>IFERROR(IF(OR(J396=0,K396=""),"",IF(E396="Positivo",MAX(K396/J396,0),MAX(J396/K396,0))),"") </f>
        <v/>
      </c>
      <c r="N396" s="5" t="inlineStr">
        <is>
          <t>DEC</t>
        </is>
      </c>
      <c r="O396" s="5" t="inlineStr">
        <is>
          <t>DEC</t>
        </is>
      </c>
      <c r="P396" s="15" t="n">
        <v>1</v>
      </c>
      <c r="Q396" s="15" t="n">
        <v>2</v>
      </c>
      <c r="R396" s="5" t="inlineStr">
        <is>
          <t>125-2024-08-31</t>
        </is>
      </c>
    </row>
    <row r="397">
      <c r="A397" s="21" t="n">
        <v>125</v>
      </c>
      <c r="B397" s="5" t="inlineStr">
        <is>
          <t>Indice de severidad</t>
        </is>
      </c>
      <c r="C397" s="5" t="inlineStr">
        <is>
          <t>GESTIÓN DE SEGURIDAD Y SALUD EN EL TRABAJO</t>
        </is>
      </c>
      <c r="D397" s="5" t="inlineStr">
        <is>
          <t>Mensual</t>
        </is>
      </c>
      <c r="E397" s="5" t="inlineStr">
        <is>
          <t>Negativo</t>
        </is>
      </c>
      <c r="F397" s="107" t="n">
        <v>45565</v>
      </c>
      <c r="G397" s="5" t="n">
        <v>2024</v>
      </c>
      <c r="H397" s="5" t="inlineStr">
        <is>
          <t>Septiembre</t>
        </is>
      </c>
      <c r="I397" s="6" t="inlineStr">
        <is>
          <t>2024-2</t>
        </is>
      </c>
      <c r="J397" s="5" t="n">
        <v>1.9</v>
      </c>
      <c r="K397" s="9" t="n">
        <v>0</v>
      </c>
      <c r="L397" s="14">
        <f>IFERROR(IF(OR(J397=0,K397=""),"",IF(E397="Positivo",MIN(MAX(K397/J397,0),1.3),MIN(MAX(J397/K397,0),1.3))),"") </f>
        <v/>
      </c>
      <c r="M397" s="14">
        <f>IFERROR(IF(OR(J397=0,K397=""),"",IF(E397="Positivo",MAX(K397/J397,0),MAX(J397/K397,0))),"") </f>
        <v/>
      </c>
      <c r="N397" s="5" t="inlineStr">
        <is>
          <t>DEC</t>
        </is>
      </c>
      <c r="O397" s="5" t="inlineStr">
        <is>
          <t>DEC</t>
        </is>
      </c>
      <c r="P397" s="15" t="n">
        <v>1</v>
      </c>
      <c r="Q397" s="15" t="n">
        <v>2</v>
      </c>
      <c r="R397" s="5" t="inlineStr">
        <is>
          <t>125-2024-09-30</t>
        </is>
      </c>
    </row>
    <row r="398">
      <c r="A398" s="21" t="n">
        <v>125</v>
      </c>
      <c r="B398" s="5" t="inlineStr">
        <is>
          <t>Indice de severidad</t>
        </is>
      </c>
      <c r="C398" s="5" t="inlineStr">
        <is>
          <t>GESTIÓN DE SEGURIDAD Y SALUD EN EL TRABAJO</t>
        </is>
      </c>
      <c r="D398" s="5" t="inlineStr">
        <is>
          <t>Mensual</t>
        </is>
      </c>
      <c r="E398" s="5" t="inlineStr">
        <is>
          <t>Negativo</t>
        </is>
      </c>
      <c r="F398" s="106" t="n">
        <v>45596</v>
      </c>
      <c r="G398" s="5" t="n">
        <v>2024</v>
      </c>
      <c r="H398" s="5" t="inlineStr">
        <is>
          <t>Octubre</t>
        </is>
      </c>
      <c r="I398" s="6" t="inlineStr">
        <is>
          <t>2024-2</t>
        </is>
      </c>
      <c r="J398" s="5" t="n">
        <v>1.9</v>
      </c>
      <c r="K398" s="9" t="n">
        <v>0</v>
      </c>
      <c r="L398" s="14">
        <f>IFERROR(IF(OR(J398=0,K398=""),"",IF(E398="Positivo",MIN(MAX(K398/J398,0),1.3),MIN(MAX(J398/K398,0),1.3))),"") </f>
        <v/>
      </c>
      <c r="M398" s="14">
        <f>IFERROR(IF(OR(J398=0,K398=""),"",IF(E398="Positivo",MAX(K398/J398,0),MAX(J398/K398,0))),"") </f>
        <v/>
      </c>
      <c r="N398" s="5" t="inlineStr">
        <is>
          <t>DEC</t>
        </is>
      </c>
      <c r="O398" s="5" t="inlineStr">
        <is>
          <t>DEC</t>
        </is>
      </c>
      <c r="P398" s="15" t="n">
        <v>1</v>
      </c>
      <c r="Q398" s="15" t="n">
        <v>2</v>
      </c>
      <c r="R398" s="5" t="inlineStr">
        <is>
          <t>125-2024-10-31</t>
        </is>
      </c>
    </row>
    <row r="399">
      <c r="A399" s="21" t="n">
        <v>125</v>
      </c>
      <c r="B399" s="5" t="inlineStr">
        <is>
          <t>Indice de severidad</t>
        </is>
      </c>
      <c r="C399" s="5" t="inlineStr">
        <is>
          <t>GESTIÓN DE SEGURIDAD Y SALUD EN EL TRABAJO</t>
        </is>
      </c>
      <c r="D399" s="5" t="inlineStr">
        <is>
          <t>Mensual</t>
        </is>
      </c>
      <c r="E399" s="5" t="inlineStr">
        <is>
          <t>Negativo</t>
        </is>
      </c>
      <c r="F399" s="107" t="n">
        <v>45626</v>
      </c>
      <c r="G399" s="5" t="n">
        <v>2024</v>
      </c>
      <c r="H399" s="5" t="inlineStr">
        <is>
          <t>Noviembre</t>
        </is>
      </c>
      <c r="I399" s="6" t="inlineStr">
        <is>
          <t>2024-2</t>
        </is>
      </c>
      <c r="J399" s="5" t="n">
        <v>1.9</v>
      </c>
      <c r="K399" s="10" t="n">
        <v>0</v>
      </c>
      <c r="L399" s="14">
        <f>IFERROR(IF(OR(J399=0,K399=""),"",IF(E399="Positivo",MIN(MAX(K399/J399,0),1.3),MIN(MAX(J399/K399,0),1.3))),"") </f>
        <v/>
      </c>
      <c r="M399" s="14">
        <f>IFERROR(IF(OR(J399=0,K399=""),"",IF(E399="Positivo",MAX(K399/J399,0),MAX(J399/K399,0))),"") </f>
        <v/>
      </c>
      <c r="N399" s="5" t="inlineStr">
        <is>
          <t>DEC</t>
        </is>
      </c>
      <c r="O399" s="5" t="inlineStr">
        <is>
          <t>DEC</t>
        </is>
      </c>
      <c r="P399" s="15" t="n">
        <v>1</v>
      </c>
      <c r="Q399" s="15" t="n">
        <v>2</v>
      </c>
      <c r="R399" s="5" t="inlineStr">
        <is>
          <t>125-2024-11-30</t>
        </is>
      </c>
    </row>
    <row r="400">
      <c r="A400" s="5" t="n">
        <v>125</v>
      </c>
      <c r="B400" s="5" t="inlineStr">
        <is>
          <t>Indice de severidad</t>
        </is>
      </c>
      <c r="C400" s="5" t="inlineStr">
        <is>
          <t>GESTIÓN DE SEGURIDAD Y SALUD EN EL TRABAJO</t>
        </is>
      </c>
      <c r="D400" s="5" t="inlineStr">
        <is>
          <t>Mensual</t>
        </is>
      </c>
      <c r="E400" s="5" t="inlineStr">
        <is>
          <t>Negativo</t>
        </is>
      </c>
      <c r="F400" s="106" t="n">
        <v>45657</v>
      </c>
      <c r="G400" s="5" t="n">
        <v>2024</v>
      </c>
      <c r="H400" s="5" t="inlineStr">
        <is>
          <t>Diciembre</t>
        </is>
      </c>
      <c r="I400" s="6" t="inlineStr">
        <is>
          <t>2024-2</t>
        </is>
      </c>
      <c r="J400" s="5" t="n">
        <v>1.9</v>
      </c>
      <c r="K400" s="9" t="n">
        <v>0.91324200913242</v>
      </c>
      <c r="L400" s="14">
        <f>IFERROR(IF(OR(J400=0,K400=""),"",IF(E400="Positivo",MIN(MAX(K400/J400,0),1.3),MIN(MAX(J400/K400,0),1.3))),"") </f>
        <v/>
      </c>
      <c r="M400" s="14">
        <f>IFERROR(IF(OR(J400=0,K400=""),"",IF(E400="Positivo",MAX(K400/J400,0),MAX(J400/K400,0))),"") </f>
        <v/>
      </c>
      <c r="N400" s="5" t="inlineStr">
        <is>
          <t>DEC</t>
        </is>
      </c>
      <c r="O400" s="5" t="inlineStr">
        <is>
          <t>DEC</t>
        </is>
      </c>
      <c r="P400" s="5" t="n">
        <v>1</v>
      </c>
      <c r="Q400" s="5" t="n">
        <v>2</v>
      </c>
      <c r="R400" s="5" t="inlineStr">
        <is>
          <t>125-2024-12-31</t>
        </is>
      </c>
    </row>
    <row r="401">
      <c r="A401" s="5" t="n">
        <v>125</v>
      </c>
      <c r="B401" s="5" t="inlineStr">
        <is>
          <t>Indice de severidad</t>
        </is>
      </c>
      <c r="C401" s="5" t="inlineStr">
        <is>
          <t>GESTIÓN DE SEGURIDAD Y SALUD EN EL TRABAJO</t>
        </is>
      </c>
      <c r="D401" s="5" t="inlineStr">
        <is>
          <t>Mensual</t>
        </is>
      </c>
      <c r="E401" s="5" t="inlineStr">
        <is>
          <t>Negativo</t>
        </is>
      </c>
      <c r="F401" s="106" t="n">
        <v>45688</v>
      </c>
      <c r="G401" s="5" t="n">
        <v>2025</v>
      </c>
      <c r="H401" s="5" t="inlineStr">
        <is>
          <t>Enero</t>
        </is>
      </c>
      <c r="I401" s="6" t="inlineStr">
        <is>
          <t>2025-1</t>
        </is>
      </c>
      <c r="J401" s="5" t="n">
        <v>1.9</v>
      </c>
      <c r="K401" s="9" t="n">
        <v>0.2734731084776664</v>
      </c>
      <c r="L401" s="14">
        <f>IFERROR(IF(OR(J401=0,K401=""),"",IF(E401="Positivo",MIN(MAX(K401/J401,0),1.3),MIN(MAX(J401/K401,0),1.3))),"") </f>
        <v/>
      </c>
      <c r="M401" s="14">
        <f>IFERROR(IF(OR(J401=0,K401=""),"",IF(E401="Positivo",MAX(K401/J401,0),MAX(J401/K401,0))),"") </f>
        <v/>
      </c>
      <c r="N401" s="5" t="inlineStr">
        <is>
          <t>DEC</t>
        </is>
      </c>
      <c r="O401" s="5" t="inlineStr">
        <is>
          <t>DEC</t>
        </is>
      </c>
      <c r="P401" s="5" t="n">
        <v>1</v>
      </c>
      <c r="Q401" s="5" t="n">
        <v>2</v>
      </c>
      <c r="R401" s="5" t="inlineStr">
        <is>
          <t>125-2025-01-31</t>
        </is>
      </c>
    </row>
    <row r="402">
      <c r="A402" s="21" t="n">
        <v>125</v>
      </c>
      <c r="B402" s="5" t="inlineStr">
        <is>
          <t>Indice de severidad</t>
        </is>
      </c>
      <c r="C402" s="5" t="inlineStr">
        <is>
          <t>GESTIÓN DE SEGURIDAD Y SALUD EN EL TRABAJO</t>
        </is>
      </c>
      <c r="D402" s="5" t="inlineStr">
        <is>
          <t>Mensual</t>
        </is>
      </c>
      <c r="E402" s="5" t="inlineStr">
        <is>
          <t>Negativo</t>
        </is>
      </c>
      <c r="F402" s="106" t="n">
        <v>45716</v>
      </c>
      <c r="G402" s="5" t="n">
        <v>2025</v>
      </c>
      <c r="H402" s="5" t="inlineStr">
        <is>
          <t>Febrero</t>
        </is>
      </c>
      <c r="I402" s="6" t="inlineStr">
        <is>
          <t>2025-1</t>
        </is>
      </c>
      <c r="J402" s="5" t="n">
        <v>1.9</v>
      </c>
      <c r="K402" s="9" t="n">
        <v>0</v>
      </c>
      <c r="L402" s="14">
        <f>IFERROR(IF(OR(J402=0,K402=""),"",IF(E402="Positivo",MIN(MAX(K402/J402,0),1.3),MIN(MAX(J402/K402,0),1.3))),"") </f>
        <v/>
      </c>
      <c r="M402" s="14">
        <f>IFERROR(IF(OR(J402=0,K402=""),"",IF(E402="Positivo",MAX(K402/J402,0),MAX(J402/K402,0))),"") </f>
        <v/>
      </c>
      <c r="N402" s="5" t="inlineStr">
        <is>
          <t>DEC</t>
        </is>
      </c>
      <c r="O402" s="5" t="inlineStr">
        <is>
          <t>DEC</t>
        </is>
      </c>
      <c r="P402" s="15" t="n">
        <v>1</v>
      </c>
      <c r="Q402" s="15" t="n">
        <v>2</v>
      </c>
      <c r="R402" s="5" t="inlineStr">
        <is>
          <t>125-2025-02-28</t>
        </is>
      </c>
    </row>
    <row r="403">
      <c r="A403" s="21" t="n">
        <v>125</v>
      </c>
      <c r="B403" s="5" t="inlineStr">
        <is>
          <t>Indice de severidad</t>
        </is>
      </c>
      <c r="C403" s="5" t="inlineStr">
        <is>
          <t>GESTIÓN DE SEGURIDAD Y SALUD EN EL TRABAJO</t>
        </is>
      </c>
      <c r="D403" s="5" t="inlineStr">
        <is>
          <t>Mensual</t>
        </is>
      </c>
      <c r="E403" s="5" t="inlineStr">
        <is>
          <t>Negativo</t>
        </is>
      </c>
      <c r="F403" s="107" t="n">
        <v>45747</v>
      </c>
      <c r="G403" s="5" t="n">
        <v>2025</v>
      </c>
      <c r="H403" s="5" t="inlineStr">
        <is>
          <t>Marzo</t>
        </is>
      </c>
      <c r="I403" s="6" t="inlineStr">
        <is>
          <t>2025-1</t>
        </is>
      </c>
      <c r="J403" s="5" t="n">
        <v>1.9</v>
      </c>
      <c r="K403" s="9" t="n">
        <v>0.45</v>
      </c>
      <c r="L403" s="14">
        <f>IFERROR(IF(OR(J403=0,K403=""),"",IF(E403="Positivo",MIN(MAX(K403/J403,0),1.3),MIN(MAX(J403/K403,0),1.3))),"") </f>
        <v/>
      </c>
      <c r="M403" s="14">
        <f>IFERROR(IF(OR(J403=0,K403=""),"",IF(E403="Positivo",MAX(K403/J403,0),MAX(J403/K403,0))),"") </f>
        <v/>
      </c>
      <c r="N403" s="5" t="inlineStr">
        <is>
          <t>DEC</t>
        </is>
      </c>
      <c r="O403" s="5" t="inlineStr">
        <is>
          <t>DEC</t>
        </is>
      </c>
      <c r="P403" s="15" t="n">
        <v>1</v>
      </c>
      <c r="Q403" s="15" t="n">
        <v>2</v>
      </c>
      <c r="R403" s="5" t="inlineStr">
        <is>
          <t>125-2025-03-31</t>
        </is>
      </c>
    </row>
    <row r="404">
      <c r="A404" s="21" t="n">
        <v>125</v>
      </c>
      <c r="B404" s="5" t="inlineStr">
        <is>
          <t>Indice de severidad</t>
        </is>
      </c>
      <c r="C404" s="5" t="inlineStr">
        <is>
          <t>GESTIÓN DE SEGURIDAD Y SALUD EN EL TRABAJO</t>
        </is>
      </c>
      <c r="D404" s="5" t="inlineStr">
        <is>
          <t>Mensual</t>
        </is>
      </c>
      <c r="E404" s="5" t="inlineStr">
        <is>
          <t>Negativo</t>
        </is>
      </c>
      <c r="F404" s="106" t="n">
        <v>45777</v>
      </c>
      <c r="G404" s="5" t="n">
        <v>2025</v>
      </c>
      <c r="H404" s="5" t="inlineStr">
        <is>
          <t>Abril</t>
        </is>
      </c>
      <c r="I404" s="6" t="inlineStr">
        <is>
          <t>2025-1</t>
        </is>
      </c>
      <c r="J404" s="5" t="n">
        <v>1.9</v>
      </c>
      <c r="K404" s="9" t="n">
        <v>0</v>
      </c>
      <c r="L404" s="14">
        <f>IFERROR(IF(OR(J404=0,K404=""),"",IF(E404="Positivo",MIN(MAX(K404/J404,0),1.3),MIN(MAX(J404/K404,0),1.3))),"") </f>
        <v/>
      </c>
      <c r="M404" s="14">
        <f>IFERROR(IF(OR(J404=0,K404=""),"",IF(E404="Positivo",MAX(K404/J404,0),MAX(J404/K404,0))),"") </f>
        <v/>
      </c>
      <c r="N404" s="5" t="inlineStr">
        <is>
          <t>DEC</t>
        </is>
      </c>
      <c r="O404" s="5" t="inlineStr">
        <is>
          <t>DEC</t>
        </is>
      </c>
      <c r="P404" s="15" t="n">
        <v>1</v>
      </c>
      <c r="Q404" s="15" t="n">
        <v>2</v>
      </c>
      <c r="R404" s="5" t="inlineStr">
        <is>
          <t>125-2025-04-30</t>
        </is>
      </c>
    </row>
    <row r="405">
      <c r="A405" s="5" t="n">
        <v>125</v>
      </c>
      <c r="B405" s="5" t="inlineStr">
        <is>
          <t>Indice de severidad</t>
        </is>
      </c>
      <c r="C405" s="5" t="inlineStr">
        <is>
          <t>GESTIÓN DE SEGURIDAD Y SALUD EN EL TRABAJO</t>
        </is>
      </c>
      <c r="D405" s="5" t="inlineStr">
        <is>
          <t>Mensual</t>
        </is>
      </c>
      <c r="E405" s="5" t="inlineStr">
        <is>
          <t>Negativo</t>
        </is>
      </c>
      <c r="F405" s="106" t="n">
        <v>45808</v>
      </c>
      <c r="G405" s="5" t="n">
        <v>2025</v>
      </c>
      <c r="H405" s="5" t="inlineStr">
        <is>
          <t>Mayo</t>
        </is>
      </c>
      <c r="I405" s="6" t="inlineStr">
        <is>
          <t>2025-1</t>
        </is>
      </c>
      <c r="J405" s="5" t="n">
        <v>1.9</v>
      </c>
      <c r="K405" s="9" t="n">
        <v>0.24</v>
      </c>
      <c r="L405" s="14">
        <f>IFERROR(IF(OR(J405=0,K405=""),"",IF(E405="Positivo",MIN(MAX(K405/J405,0),1.3),MIN(MAX(J405/K405,0),1.3))),"") </f>
        <v/>
      </c>
      <c r="M405" s="14">
        <f>IFERROR(IF(OR(J405=0,K405=""),"",IF(E405="Positivo",MAX(K405/J405,0),MAX(J405/K405,0))),"") </f>
        <v/>
      </c>
      <c r="N405" s="5" t="inlineStr">
        <is>
          <t>DEC</t>
        </is>
      </c>
      <c r="O405" s="5" t="inlineStr">
        <is>
          <t>DEC</t>
        </is>
      </c>
      <c r="P405" s="5" t="n">
        <v>1</v>
      </c>
      <c r="Q405" s="5" t="n">
        <v>2</v>
      </c>
      <c r="R405" s="5" t="inlineStr">
        <is>
          <t>125-2025-05-31</t>
        </is>
      </c>
    </row>
    <row r="406">
      <c r="A406" s="21" t="n">
        <v>125</v>
      </c>
      <c r="B406" s="5" t="inlineStr">
        <is>
          <t>Indice de severidad</t>
        </is>
      </c>
      <c r="C406" s="5" t="inlineStr">
        <is>
          <t>GESTIÓN DE SEGURIDAD Y SALUD EN EL TRABAJO</t>
        </is>
      </c>
      <c r="D406" s="5" t="inlineStr">
        <is>
          <t>Mensual</t>
        </is>
      </c>
      <c r="E406" s="5" t="inlineStr">
        <is>
          <t>Negativo</t>
        </is>
      </c>
      <c r="F406" s="107" t="n">
        <v>45838</v>
      </c>
      <c r="G406" s="5" t="n">
        <v>2025</v>
      </c>
      <c r="H406" s="5" t="inlineStr">
        <is>
          <t>Junio</t>
        </is>
      </c>
      <c r="I406" s="6" t="inlineStr">
        <is>
          <t>2025-1</t>
        </is>
      </c>
      <c r="J406" s="5" t="n">
        <v>1.9</v>
      </c>
      <c r="K406" s="9" t="n">
        <v>0</v>
      </c>
      <c r="L406" s="14">
        <f>IFERROR(IF(OR(J406=0,K406=""),"",IF(E406="Positivo",MIN(MAX(K406/J406,0),1.3),MIN(MAX(J406/K406,0),1.3))),"") </f>
        <v/>
      </c>
      <c r="M406" s="14">
        <f>IFERROR(IF(OR(J406=0,K406=""),"",IF(E406="Positivo",MAX(K406/J406,0),MAX(J406/K406,0))),"") </f>
        <v/>
      </c>
      <c r="N406" s="5" t="inlineStr">
        <is>
          <t>DEC</t>
        </is>
      </c>
      <c r="O406" s="5" t="inlineStr">
        <is>
          <t>DEC</t>
        </is>
      </c>
      <c r="P406" s="15" t="n">
        <v>1</v>
      </c>
      <c r="Q406" s="15" t="n">
        <v>2</v>
      </c>
      <c r="R406" s="5" t="inlineStr">
        <is>
          <t>125-2025-06-30</t>
        </is>
      </c>
    </row>
    <row r="407">
      <c r="A407" s="21" t="n">
        <v>125</v>
      </c>
      <c r="B407" s="5" t="inlineStr">
        <is>
          <t>Indice de severidad</t>
        </is>
      </c>
      <c r="C407" s="5" t="inlineStr">
        <is>
          <t>GESTIÓN DE SEGURIDAD Y SALUD EN EL TRABAJO</t>
        </is>
      </c>
      <c r="D407" s="5" t="inlineStr">
        <is>
          <t>Mensual</t>
        </is>
      </c>
      <c r="E407" s="5" t="inlineStr">
        <is>
          <t>Negativo</t>
        </is>
      </c>
      <c r="F407" s="106" t="n">
        <v>45869</v>
      </c>
      <c r="G407" s="5" t="n">
        <v>2025</v>
      </c>
      <c r="H407" s="5" t="inlineStr">
        <is>
          <t>Julio</t>
        </is>
      </c>
      <c r="I407" s="6" t="inlineStr">
        <is>
          <t>2025-2</t>
        </is>
      </c>
      <c r="J407" s="5" t="n">
        <v>1.9</v>
      </c>
      <c r="K407" s="9" t="n">
        <v>0.25</v>
      </c>
      <c r="L407" s="14">
        <f>IFERROR(IF(OR(J407=0,K407=""),"",IF(E407="Positivo",MIN(MAX(K407/J407,0),1.3),MIN(MAX(J407/K407,0),1.3))),"") </f>
        <v/>
      </c>
      <c r="M407" s="14">
        <f>IFERROR(IF(OR(J407=0,K407=""),"",IF(E407="Positivo",MAX(K407/J407,0),MAX(J407/K407,0))),"") </f>
        <v/>
      </c>
      <c r="N407" s="5" t="inlineStr">
        <is>
          <t>DEC</t>
        </is>
      </c>
      <c r="O407" s="5" t="inlineStr">
        <is>
          <t>DEC</t>
        </is>
      </c>
      <c r="P407" s="15" t="n">
        <v>1</v>
      </c>
      <c r="Q407" s="15" t="n">
        <v>2</v>
      </c>
      <c r="R407" s="5" t="inlineStr">
        <is>
          <t>125-2025-07-31</t>
        </is>
      </c>
    </row>
    <row r="408">
      <c r="A408" s="26" t="n">
        <v>125</v>
      </c>
      <c r="B408" s="5" t="inlineStr">
        <is>
          <t>Indice de severidad</t>
        </is>
      </c>
      <c r="C408" s="5" t="inlineStr">
        <is>
          <t>GESTIÓN DE SEGURIDAD Y SALUD EN EL TRABAJO</t>
        </is>
      </c>
      <c r="D408" s="5" t="inlineStr">
        <is>
          <t>Mensual</t>
        </is>
      </c>
      <c r="E408" s="5" t="inlineStr">
        <is>
          <t>Negativo</t>
        </is>
      </c>
      <c r="F408" s="107" t="n">
        <v>45900</v>
      </c>
      <c r="G408" s="5" t="n">
        <v>2025</v>
      </c>
      <c r="H408" s="5" t="inlineStr">
        <is>
          <t>Agosto</t>
        </is>
      </c>
      <c r="I408" s="6" t="inlineStr">
        <is>
          <t>2025-2</t>
        </is>
      </c>
      <c r="J408" s="5" t="n">
        <v>1.9</v>
      </c>
      <c r="K408" s="9" t="n">
        <v>0</v>
      </c>
      <c r="L408" s="14">
        <f>IFERROR(IF(OR(J408=0,K408=""),"",IF(E408="Positivo",MIN(MAX(K408/J408,0),1.3),MIN(MAX(J408/K408,0),1.3))),"") </f>
        <v/>
      </c>
      <c r="M408" s="14">
        <f>IFERROR(IF(OR(J408=0,K408=""),"",IF(E408="Positivo",MAX(K408/J408,0),MAX(J408/K408,0))),"") </f>
        <v/>
      </c>
      <c r="N408" s="5" t="inlineStr">
        <is>
          <t>DEC</t>
        </is>
      </c>
      <c r="O408" s="5" t="inlineStr">
        <is>
          <t>DEC</t>
        </is>
      </c>
      <c r="P408" s="15" t="n">
        <v>1</v>
      </c>
      <c r="Q408" s="15" t="n">
        <v>2</v>
      </c>
      <c r="R408" s="5" t="inlineStr">
        <is>
          <t>125-2025-08-31</t>
        </is>
      </c>
    </row>
    <row r="409">
      <c r="A409" s="21" t="n">
        <v>125</v>
      </c>
      <c r="B409" s="5" t="inlineStr">
        <is>
          <t>Indice de severidad</t>
        </is>
      </c>
      <c r="C409" s="5" t="inlineStr">
        <is>
          <t>GESTIÓN DE SEGURIDAD Y SALUD EN EL TRABAJO</t>
        </is>
      </c>
      <c r="D409" s="5" t="inlineStr">
        <is>
          <t>Mensual</t>
        </is>
      </c>
      <c r="E409" s="5" t="inlineStr">
        <is>
          <t>Negativo</t>
        </is>
      </c>
      <c r="F409" s="107" t="n">
        <v>45930</v>
      </c>
      <c r="G409" s="5" t="n">
        <v>2025</v>
      </c>
      <c r="H409" s="5" t="inlineStr">
        <is>
          <t>Septiembre</t>
        </is>
      </c>
      <c r="I409" s="6" t="inlineStr">
        <is>
          <t>2025-2</t>
        </is>
      </c>
      <c r="J409" s="5" t="n">
        <v>1.9</v>
      </c>
      <c r="K409" s="9" t="n">
        <v>0</v>
      </c>
      <c r="L409" s="14">
        <f>IFERROR(IF(OR(J409=0,K409=""),"",IF(E409="Positivo",MIN(MAX(K409/J409,0),1.3),MIN(MAX(J409/K409,0),1.3))),"") </f>
        <v/>
      </c>
      <c r="M409" s="14">
        <f>IFERROR(IF(OR(J409=0,K409=""),"",IF(E409="Positivo",MAX(K409/J409,0),MAX(J409/K409,0))),"") </f>
        <v/>
      </c>
      <c r="N409" s="5" t="inlineStr">
        <is>
          <t>DEC</t>
        </is>
      </c>
      <c r="O409" s="5" t="inlineStr">
        <is>
          <t>DEC</t>
        </is>
      </c>
      <c r="P409" s="15" t="n">
        <v>1</v>
      </c>
      <c r="Q409" s="15" t="n">
        <v>2</v>
      </c>
      <c r="R409" s="5" t="inlineStr">
        <is>
          <t>125-2025-09-30</t>
        </is>
      </c>
    </row>
    <row r="410">
      <c r="A410" s="21" t="n">
        <v>125</v>
      </c>
      <c r="B410" s="5" t="inlineStr">
        <is>
          <t>Indice de severidad</t>
        </is>
      </c>
      <c r="C410" s="5" t="inlineStr">
        <is>
          <t>GESTIÓN DE SEGURIDAD Y SALUD EN EL TRABAJO</t>
        </is>
      </c>
      <c r="D410" s="5" t="inlineStr">
        <is>
          <t>Mensual</t>
        </is>
      </c>
      <c r="E410" s="5" t="inlineStr">
        <is>
          <t>Negativo</t>
        </is>
      </c>
      <c r="F410" s="107" t="n">
        <v>45961</v>
      </c>
      <c r="G410" s="5" t="n">
        <v>2025</v>
      </c>
      <c r="H410" s="5" t="inlineStr">
        <is>
          <t>Octubre</t>
        </is>
      </c>
      <c r="I410" s="6" t="inlineStr">
        <is>
          <t>2025-2</t>
        </is>
      </c>
      <c r="J410" s="5" t="n">
        <v>1.9</v>
      </c>
      <c r="K410" s="9" t="n">
        <v>0</v>
      </c>
      <c r="L410" s="14">
        <f>IFERROR(IF(OR(J410=0,K410=""),"",IF(E410="Positivo",MIN(MAX(K410/J410,0),1.3),MIN(MAX(J410/K410,0),1.3))),"") </f>
        <v/>
      </c>
      <c r="M410" s="14">
        <f>IFERROR(IF(OR(J410=0,K410=""),"",IF(E410="Positivo",MAX(K410/J410,0),MAX(J410/K410,0))),"") </f>
        <v/>
      </c>
      <c r="N410" s="5" t="inlineStr">
        <is>
          <t>DEC</t>
        </is>
      </c>
      <c r="O410" s="5" t="inlineStr">
        <is>
          <t>DEC</t>
        </is>
      </c>
      <c r="P410" s="15" t="n">
        <v>1</v>
      </c>
      <c r="Q410" s="15" t="n">
        <v>2</v>
      </c>
      <c r="R410" s="5" t="inlineStr">
        <is>
          <t>125-2025-10-31</t>
        </is>
      </c>
    </row>
    <row r="411">
      <c r="A411" s="28" t="n">
        <v>125</v>
      </c>
      <c r="B411" s="5" t="inlineStr">
        <is>
          <t>Indice de severidad</t>
        </is>
      </c>
      <c r="C411" s="5" t="inlineStr">
        <is>
          <t>GESTIÓN DE SEGURIDAD Y SALUD EN EL TRABAJO</t>
        </is>
      </c>
      <c r="D411" s="5" t="inlineStr">
        <is>
          <t>Mensual</t>
        </is>
      </c>
      <c r="E411" s="5" t="inlineStr">
        <is>
          <t>Negativo</t>
        </is>
      </c>
      <c r="F411" s="107" t="n">
        <v>45991</v>
      </c>
      <c r="G411" s="5" t="n">
        <v>2025</v>
      </c>
      <c r="H411" s="5" t="inlineStr">
        <is>
          <t>Noviembre</t>
        </is>
      </c>
      <c r="I411" s="6" t="inlineStr">
        <is>
          <t>2025-2</t>
        </is>
      </c>
      <c r="J411" s="5" t="n">
        <v>1.9</v>
      </c>
      <c r="K411" s="9" t="n">
        <v>0</v>
      </c>
      <c r="L411" s="14">
        <f>IFERROR(IF(OR(J411=0,K411=""),"",IF(E411="Positivo",MIN(MAX(K411/J411,0),1.3),MIN(MAX(J411/K411,0),1.3))),"") </f>
        <v/>
      </c>
      <c r="M411" s="14">
        <f>IFERROR(IF(OR(J411=0,K411=""),"",IF(E411="Positivo",MAX(K411/J411,0),MAX(J411/K411,0))),"") </f>
        <v/>
      </c>
      <c r="N411" s="5" t="inlineStr">
        <is>
          <t>DEC</t>
        </is>
      </c>
      <c r="O411" s="5" t="inlineStr">
        <is>
          <t>DEC</t>
        </is>
      </c>
      <c r="P411" s="15" t="n">
        <v>1</v>
      </c>
      <c r="Q411" s="15" t="n">
        <v>2</v>
      </c>
      <c r="R411" s="5" t="inlineStr">
        <is>
          <t>125-2025-11-30</t>
        </is>
      </c>
    </row>
    <row r="412">
      <c r="A412" s="26" t="n">
        <v>125</v>
      </c>
      <c r="B412" s="5" t="inlineStr">
        <is>
          <t>Indice de severidad</t>
        </is>
      </c>
      <c r="C412" s="5" t="inlineStr">
        <is>
          <t>GESTIÓN DE SEGURIDAD Y SALUD EN EL TRABAJO</t>
        </is>
      </c>
      <c r="D412" s="5" t="inlineStr">
        <is>
          <t>Mensual</t>
        </is>
      </c>
      <c r="E412" s="5" t="inlineStr">
        <is>
          <t>Negativo</t>
        </is>
      </c>
      <c r="F412" s="107" t="n">
        <v>46022</v>
      </c>
      <c r="G412" s="5" t="n">
        <v>2025</v>
      </c>
      <c r="H412" s="5" t="inlineStr">
        <is>
          <t>Diciembre</t>
        </is>
      </c>
      <c r="I412" s="6" t="inlineStr">
        <is>
          <t>2025-2</t>
        </is>
      </c>
      <c r="J412" s="5" t="n">
        <v>1.9</v>
      </c>
      <c r="K412" s="9" t="n">
        <v>0</v>
      </c>
      <c r="L412" s="14">
        <f>IFERROR(IF(OR(J412=0,K412=""),"",IF(E412="Positivo",MIN(MAX(K412/J412,0),1.3),MIN(MAX(J412/K412,0),1.3))),"") </f>
        <v/>
      </c>
      <c r="M412" s="14">
        <f>IFERROR(IF(OR(J412=0,K412=""),"",IF(E412="Positivo",MAX(K412/J412,0),MAX(J412/K412,0))),"") </f>
        <v/>
      </c>
      <c r="N412" s="5" t="inlineStr">
        <is>
          <t>DEC</t>
        </is>
      </c>
      <c r="O412" s="5" t="inlineStr">
        <is>
          <t>DEC</t>
        </is>
      </c>
      <c r="P412" s="15" t="n">
        <v>1</v>
      </c>
      <c r="Q412" s="15" t="n">
        <v>2</v>
      </c>
      <c r="R412" s="5" t="inlineStr">
        <is>
          <t>125-2025-12-31</t>
        </is>
      </c>
    </row>
    <row r="413">
      <c r="A413" s="21" t="n">
        <v>126</v>
      </c>
      <c r="B413" s="5" t="inlineStr">
        <is>
          <t>Indice de Prevalencia EL Enfermedad laboral</t>
        </is>
      </c>
      <c r="C413" s="5" t="inlineStr">
        <is>
          <t>GESTIÓN DE SEGURIDAD Y SALUD EN EL TRABAJO</t>
        </is>
      </c>
      <c r="D413" s="5" t="inlineStr">
        <is>
          <t>Anual</t>
        </is>
      </c>
      <c r="E413" s="5" t="inlineStr">
        <is>
          <t>Negativo</t>
        </is>
      </c>
      <c r="F413" s="107" t="n">
        <v>44926</v>
      </c>
      <c r="G413" s="5" t="n">
        <v>2022</v>
      </c>
      <c r="H413" s="5" t="inlineStr">
        <is>
          <t>Diciembre</t>
        </is>
      </c>
      <c r="I413" s="6" t="inlineStr">
        <is>
          <t>2022-2</t>
        </is>
      </c>
      <c r="J413" s="5" t="n">
        <v>2</v>
      </c>
      <c r="K413" s="10" t="n">
        <v>0.12391573729864</v>
      </c>
      <c r="L413" s="14">
        <f>IFERROR(IF(OR(J413=0,K413=""),"",IF(E413="Positivo",MIN(MAX(K413/J413,0),1.3),MIN(MAX(J413/K413,0),1.3))),"") </f>
        <v/>
      </c>
      <c r="M413" s="14">
        <f>IFERROR(IF(OR(J413=0,K413=""),"",IF(E413="Positivo",MAX(K413/J413,0),MAX(J413/K413,0))),"") </f>
        <v/>
      </c>
      <c r="N413" s="5" t="inlineStr">
        <is>
          <t>DEC</t>
        </is>
      </c>
      <c r="O413" s="5" t="inlineStr">
        <is>
          <t>DEC</t>
        </is>
      </c>
      <c r="P413" s="15" t="n">
        <v>0</v>
      </c>
      <c r="Q413" s="15" t="n">
        <v>2</v>
      </c>
      <c r="R413" s="5" t="inlineStr">
        <is>
          <t>126-2022-12-31</t>
        </is>
      </c>
    </row>
    <row r="414">
      <c r="A414" s="21" t="n">
        <v>126</v>
      </c>
      <c r="B414" s="5" t="inlineStr">
        <is>
          <t>Indice de Prevalencia EL Enfermedad laboral</t>
        </is>
      </c>
      <c r="C414" s="5" t="inlineStr">
        <is>
          <t>GESTIÓN DE SEGURIDAD Y SALUD EN EL TRABAJO</t>
        </is>
      </c>
      <c r="D414" s="5" t="inlineStr">
        <is>
          <t>Anual</t>
        </is>
      </c>
      <c r="E414" s="5" t="inlineStr">
        <is>
          <t>Negativo</t>
        </is>
      </c>
      <c r="F414" s="107" t="n">
        <v>45291</v>
      </c>
      <c r="G414" s="5" t="n">
        <v>2023</v>
      </c>
      <c r="H414" s="5" t="inlineStr">
        <is>
          <t>Diciembre</t>
        </is>
      </c>
      <c r="I414" s="6" t="inlineStr">
        <is>
          <t>2023-2</t>
        </is>
      </c>
      <c r="J414" s="5" t="n">
        <v>2</v>
      </c>
      <c r="K414" s="10" t="n">
        <v>0.12</v>
      </c>
      <c r="L414" s="14">
        <f>IFERROR(IF(OR(J414=0,K414=""),"",IF(E414="Positivo",MIN(MAX(K414/J414,0),1.3),MIN(MAX(J414/K414,0),1.3))),"") </f>
        <v/>
      </c>
      <c r="M414" s="14">
        <f>IFERROR(IF(OR(J414=0,K414=""),"",IF(E414="Positivo",MAX(K414/J414,0),MAX(J414/K414,0))),"") </f>
        <v/>
      </c>
      <c r="N414" s="5" t="inlineStr">
        <is>
          <t>DEC</t>
        </is>
      </c>
      <c r="O414" s="5" t="inlineStr">
        <is>
          <t>DEC</t>
        </is>
      </c>
      <c r="P414" s="15" t="n">
        <v>0</v>
      </c>
      <c r="Q414" s="15" t="n">
        <v>2</v>
      </c>
      <c r="R414" s="5" t="inlineStr">
        <is>
          <t>126-2023-12-31</t>
        </is>
      </c>
    </row>
    <row r="415">
      <c r="A415" s="21" t="n">
        <v>126</v>
      </c>
      <c r="B415" s="5" t="inlineStr">
        <is>
          <t>Indice de Prevalencia EL Enfermedad laboral</t>
        </is>
      </c>
      <c r="C415" s="5" t="inlineStr">
        <is>
          <t>GESTIÓN DE SEGURIDAD Y SALUD EN EL TRABAJO</t>
        </is>
      </c>
      <c r="D415" s="5" t="inlineStr">
        <is>
          <t>Anual</t>
        </is>
      </c>
      <c r="E415" s="5" t="inlineStr">
        <is>
          <t>Negativo</t>
        </is>
      </c>
      <c r="F415" s="106" t="n">
        <v>45657</v>
      </c>
      <c r="G415" s="5" t="n">
        <v>2024</v>
      </c>
      <c r="H415" s="5" t="inlineStr">
        <is>
          <t>Diciembre</t>
        </is>
      </c>
      <c r="I415" s="6" t="inlineStr">
        <is>
          <t>2024-2</t>
        </is>
      </c>
      <c r="J415" s="5" t="n">
        <v>2</v>
      </c>
      <c r="K415" s="9" t="n">
        <v>0.1</v>
      </c>
      <c r="L415" s="14">
        <f>IFERROR(IF(OR(J415=0,K415=""),"",IF(E415="Positivo",MIN(MAX(K415/J415,0),1.3),MIN(MAX(J415/K415,0),1.3))),"") </f>
        <v/>
      </c>
      <c r="M415" s="14">
        <f>IFERROR(IF(OR(J415=0,K415=""),"",IF(E415="Positivo",MAX(K415/J415,0),MAX(J415/K415,0))),"") </f>
        <v/>
      </c>
      <c r="N415" s="5" t="inlineStr">
        <is>
          <t>DEC</t>
        </is>
      </c>
      <c r="O415" s="5" t="inlineStr">
        <is>
          <t>DEC</t>
        </is>
      </c>
      <c r="P415" s="15" t="n">
        <v>0</v>
      </c>
      <c r="Q415" s="15" t="n">
        <v>1</v>
      </c>
      <c r="R415" s="5" t="inlineStr">
        <is>
          <t>126-2024-12-31</t>
        </is>
      </c>
    </row>
    <row r="416">
      <c r="A416" s="26" t="n">
        <v>126</v>
      </c>
      <c r="B416" s="5" t="inlineStr">
        <is>
          <t>Indice de Prevalencia EL Enfermedad laboral</t>
        </is>
      </c>
      <c r="C416" s="5" t="inlineStr">
        <is>
          <t>GESTIÓN DE SEGURIDAD Y SALUD EN EL TRABAJO</t>
        </is>
      </c>
      <c r="D416" s="5" t="inlineStr">
        <is>
          <t>Anual</t>
        </is>
      </c>
      <c r="E416" s="5" t="inlineStr">
        <is>
          <t>Negativo</t>
        </is>
      </c>
      <c r="F416" s="107" t="n">
        <v>46022</v>
      </c>
      <c r="G416" s="5" t="n">
        <v>2025</v>
      </c>
      <c r="H416" s="5" t="inlineStr">
        <is>
          <t>Diciembre</t>
        </is>
      </c>
      <c r="I416" s="6" t="inlineStr">
        <is>
          <t>2025-2</t>
        </is>
      </c>
      <c r="J416" s="5" t="n">
        <v>2</v>
      </c>
      <c r="K416" s="9" t="n">
        <v>0.16</v>
      </c>
      <c r="L416" s="14">
        <f>IFERROR(IF(OR(J416=0,K416=""),"",IF(E416="Positivo",MIN(MAX(K416/J416,0),1.3),MIN(MAX(J416/K416,0),1.3))),"") </f>
        <v/>
      </c>
      <c r="M416" s="14">
        <f>IFERROR(IF(OR(J416=0,K416=""),"",IF(E416="Positivo",MAX(K416/J416,0),MAX(J416/K416,0))),"") </f>
        <v/>
      </c>
      <c r="N416" s="5" t="inlineStr">
        <is>
          <t>ENT</t>
        </is>
      </c>
      <c r="O416" s="5" t="inlineStr">
        <is>
          <t>DEC</t>
        </is>
      </c>
      <c r="P416" s="15" t="n">
        <v>0</v>
      </c>
      <c r="Q416" s="15" t="n">
        <v>1</v>
      </c>
      <c r="R416" s="5" t="inlineStr">
        <is>
          <t>126-2025-12-31</t>
        </is>
      </c>
    </row>
    <row r="417">
      <c r="A417" s="5" t="n">
        <v>127</v>
      </c>
      <c r="B417" s="5" t="inlineStr">
        <is>
          <t>Indice de Incidencia EL Enfermedad laboral</t>
        </is>
      </c>
      <c r="C417" s="5" t="inlineStr">
        <is>
          <t>GESTIÓN DE SEGURIDAD Y SALUD EN EL TRABAJO</t>
        </is>
      </c>
      <c r="D417" s="5" t="inlineStr">
        <is>
          <t>Anual</t>
        </is>
      </c>
      <c r="E417" s="5" t="inlineStr">
        <is>
          <t>Negativo</t>
        </is>
      </c>
      <c r="F417" s="107" t="n">
        <v>44926</v>
      </c>
      <c r="G417" s="5" t="n">
        <v>2022</v>
      </c>
      <c r="H417" s="5" t="inlineStr">
        <is>
          <t>Diciembre</t>
        </is>
      </c>
      <c r="I417" s="6" t="inlineStr">
        <is>
          <t>2022-2</t>
        </is>
      </c>
      <c r="J417" s="5" t="n">
        <v>0</v>
      </c>
      <c r="K417" s="5" t="n">
        <v>0</v>
      </c>
      <c r="L417" s="14">
        <f>IFERROR(IF(OR(J417=0,K417=""),"",IF(E417="Positivo",MIN(MAX(K417/J417,0),1.3),MIN(MAX(J417/K417,0),1.3))),"") </f>
        <v/>
      </c>
      <c r="M417" s="14">
        <f>IFERROR(IF(OR(J417=0,K417=""),"",IF(E417="Positivo",MAX(K417/J417,0),MAX(J417/K417,0))),"") </f>
        <v/>
      </c>
      <c r="N417" s="5" t="n"/>
      <c r="O417" s="5" t="n"/>
      <c r="P417" s="5" t="n">
        <v>0</v>
      </c>
      <c r="Q417" s="5" t="n">
        <v>0</v>
      </c>
      <c r="R417" s="5" t="inlineStr">
        <is>
          <t>127-2022-12-31</t>
        </is>
      </c>
    </row>
    <row r="418">
      <c r="A418" s="21" t="n">
        <v>127</v>
      </c>
      <c r="B418" s="5" t="inlineStr">
        <is>
          <t>Indice de Incidencia EL Enfermedad laboral</t>
        </is>
      </c>
      <c r="C418" s="5" t="inlineStr">
        <is>
          <t>GESTIÓN DE SEGURIDAD Y SALUD EN EL TRABAJO</t>
        </is>
      </c>
      <c r="D418" s="5" t="inlineStr">
        <is>
          <t>Anual</t>
        </is>
      </c>
      <c r="E418" s="5" t="inlineStr">
        <is>
          <t>Negativo</t>
        </is>
      </c>
      <c r="F418" s="107" t="n">
        <v>45291</v>
      </c>
      <c r="G418" s="5" t="n">
        <v>2023</v>
      </c>
      <c r="H418" s="5" t="inlineStr">
        <is>
          <t>Diciembre</t>
        </is>
      </c>
      <c r="I418" s="6" t="inlineStr">
        <is>
          <t>2023-2</t>
        </is>
      </c>
      <c r="J418" s="5" t="n">
        <v>0</v>
      </c>
      <c r="K418" s="10" t="n">
        <v>0</v>
      </c>
      <c r="L418" s="14">
        <f>IFERROR(IF(OR(J418=0,K418=""),"",IF(E418="Positivo",MIN(MAX(K418/J418,0),1.3),MIN(MAX(J418/K418,0),1.3))),"") </f>
        <v/>
      </c>
      <c r="M418" s="14">
        <f>IFERROR(IF(OR(J418=0,K418=""),"",IF(E418="Positivo",MAX(K418/J418,0),MAX(J418/K418,0))),"") </f>
        <v/>
      </c>
      <c r="N418" s="5" t="n"/>
      <c r="O418" s="5" t="n"/>
      <c r="P418" s="15" t="n">
        <v>0</v>
      </c>
      <c r="Q418" s="15" t="n">
        <v>0</v>
      </c>
      <c r="R418" s="5" t="inlineStr">
        <is>
          <t>127-2023-12-31</t>
        </is>
      </c>
    </row>
    <row r="419">
      <c r="A419" s="26" t="n">
        <v>127</v>
      </c>
      <c r="B419" s="5" t="inlineStr">
        <is>
          <t>Indice de Incidencia EL Enfermedad laboral</t>
        </is>
      </c>
      <c r="C419" s="5" t="inlineStr">
        <is>
          <t>GESTIÓN DE SEGURIDAD Y SALUD EN EL TRABAJO</t>
        </is>
      </c>
      <c r="D419" s="5" t="inlineStr">
        <is>
          <t>Anual</t>
        </is>
      </c>
      <c r="E419" s="5" t="inlineStr">
        <is>
          <t>Negativo</t>
        </is>
      </c>
      <c r="F419" s="107" t="n">
        <v>45657</v>
      </c>
      <c r="G419" s="5" t="n">
        <v>2024</v>
      </c>
      <c r="H419" s="5" t="inlineStr">
        <is>
          <t>Diciembre</t>
        </is>
      </c>
      <c r="I419" s="6" t="inlineStr">
        <is>
          <t>2024-2</t>
        </is>
      </c>
      <c r="J419" s="5" t="n">
        <v>0</v>
      </c>
      <c r="K419" s="9" t="n">
        <v>0</v>
      </c>
      <c r="L419" s="14">
        <f>IFERROR(IF(OR(J419=0,K419=""),"",IF(E419="Positivo",MIN(MAX(K419/J419,0),1.3),MIN(MAX(J419/K419,0),1.3))),"") </f>
        <v/>
      </c>
      <c r="M419" s="14">
        <f>IFERROR(IF(OR(J419=0,K419=""),"",IF(E419="Positivo",MAX(K419/J419,0),MAX(J419/K419,0))),"") </f>
        <v/>
      </c>
      <c r="N419" s="5" t="n"/>
      <c r="O419" s="17" t="n"/>
      <c r="P419" s="15" t="n">
        <v>0</v>
      </c>
      <c r="Q419" s="15" t="n">
        <v>0</v>
      </c>
      <c r="R419" s="5" t="inlineStr">
        <is>
          <t>127-2024-12-31</t>
        </is>
      </c>
    </row>
    <row r="420">
      <c r="A420" s="21" t="n">
        <v>127</v>
      </c>
      <c r="B420" s="5" t="inlineStr">
        <is>
          <t>Indice de Incidencia EL Enfermedad laboral</t>
        </is>
      </c>
      <c r="C420" s="5" t="inlineStr">
        <is>
          <t>GESTIÓN DE SEGURIDAD Y SALUD EN EL TRABAJO</t>
        </is>
      </c>
      <c r="D420" s="5" t="inlineStr">
        <is>
          <t>Anual</t>
        </is>
      </c>
      <c r="E420" s="5" t="inlineStr">
        <is>
          <t>Negativo</t>
        </is>
      </c>
      <c r="F420" s="107" t="n">
        <v>46022</v>
      </c>
      <c r="G420" s="5" t="n">
        <v>2025</v>
      </c>
      <c r="H420" s="5" t="inlineStr">
        <is>
          <t>Diciembre</t>
        </is>
      </c>
      <c r="I420" s="6" t="inlineStr">
        <is>
          <t>2025-2</t>
        </is>
      </c>
      <c r="J420" s="5" t="n">
        <v>0</v>
      </c>
      <c r="K420" s="10" t="n">
        <v>0</v>
      </c>
      <c r="L420" s="14">
        <f>IFERROR(IF(OR(J420=0,K420=""),"",IF(E420="Positivo",MIN(MAX(K420/J420,0),1.3),MIN(MAX(J420/K420,0),1.3))),"") </f>
        <v/>
      </c>
      <c r="M420" s="14">
        <f>IFERROR(IF(OR(J420=0,K420=""),"",IF(E420="Positivo",MAX(K420/J420,0),MAX(J420/K420,0))),"") </f>
        <v/>
      </c>
      <c r="N420" s="5" t="inlineStr">
        <is>
          <t>ENT</t>
        </is>
      </c>
      <c r="O420" s="5" t="inlineStr">
        <is>
          <t>DEC</t>
        </is>
      </c>
      <c r="P420" s="15" t="n">
        <v>0</v>
      </c>
      <c r="Q420" s="15" t="n">
        <v>0</v>
      </c>
      <c r="R420" s="5" t="inlineStr">
        <is>
          <t>127-2025-12-31</t>
        </is>
      </c>
    </row>
    <row r="421">
      <c r="A421" s="21" t="n">
        <v>128</v>
      </c>
      <c r="B421" s="5" t="inlineStr">
        <is>
          <t>Ausentísmo por causa médica</t>
        </is>
      </c>
      <c r="C421" s="5" t="inlineStr">
        <is>
          <t>GESTIÓN DE SEGURIDAD Y SALUD EN EL TRABAJO</t>
        </is>
      </c>
      <c r="D421" s="5" t="inlineStr">
        <is>
          <t>Mensual</t>
        </is>
      </c>
      <c r="E421" s="5" t="inlineStr">
        <is>
          <t>Negativo</t>
        </is>
      </c>
      <c r="F421" s="107" t="n">
        <v>44592</v>
      </c>
      <c r="G421" s="5" t="n">
        <v>2022</v>
      </c>
      <c r="H421" s="5" t="inlineStr">
        <is>
          <t>Enero</t>
        </is>
      </c>
      <c r="I421" s="6" t="inlineStr">
        <is>
          <t>2022-1</t>
        </is>
      </c>
      <c r="J421" s="5" t="n">
        <v>1</v>
      </c>
      <c r="K421" s="9" t="n">
        <v>0.55904961565339</v>
      </c>
      <c r="L421" s="14">
        <f>IFERROR(IF(OR(J421=0,K421=""),"",IF(E421="Positivo",MIN(MAX(K421/J421,0),1.3),MIN(MAX(J421/K421,0),1.3))),"") </f>
        <v/>
      </c>
      <c r="M421" s="14">
        <f>IFERROR(IF(OR(J421=0,K421=""),"",IF(E421="Positivo",MAX(K421/J421,0),MAX(J421/K421,0))),"") </f>
        <v/>
      </c>
      <c r="N421" s="5" t="inlineStr">
        <is>
          <t>DEC</t>
        </is>
      </c>
      <c r="O421" s="5" t="inlineStr">
        <is>
          <t>DEC</t>
        </is>
      </c>
      <c r="P421" s="15" t="n">
        <v>0</v>
      </c>
      <c r="Q421" s="15" t="n">
        <v>2</v>
      </c>
      <c r="R421" s="5" t="inlineStr">
        <is>
          <t>128-2022-01-31</t>
        </is>
      </c>
    </row>
    <row r="422">
      <c r="A422" s="5" t="n">
        <v>128</v>
      </c>
      <c r="B422" s="5" t="inlineStr">
        <is>
          <t>Ausentísmo por causa médica</t>
        </is>
      </c>
      <c r="C422" s="5" t="inlineStr">
        <is>
          <t>GESTIÓN DE SEGURIDAD Y SALUD EN EL TRABAJO</t>
        </is>
      </c>
      <c r="D422" s="5" t="inlineStr">
        <is>
          <t>Mensual</t>
        </is>
      </c>
      <c r="E422" s="5" t="inlineStr">
        <is>
          <t>Negativo</t>
        </is>
      </c>
      <c r="F422" s="106" t="n">
        <v>44620</v>
      </c>
      <c r="G422" s="5" t="n">
        <v>2022</v>
      </c>
      <c r="H422" s="5" t="inlineStr">
        <is>
          <t>Febrero</t>
        </is>
      </c>
      <c r="I422" s="6" t="inlineStr">
        <is>
          <t>2022-1</t>
        </is>
      </c>
      <c r="J422" s="94" t="n">
        <v>1</v>
      </c>
      <c r="K422" s="9" t="n">
        <v>0.93990216631726</v>
      </c>
      <c r="L422" s="14">
        <f>IFERROR(IF(OR(J422=0,K422=""),"",IF(E422="Positivo",MIN(MAX(K422/J422,0),1.3),MIN(MAX(J422/K422,0),1.3))),"") </f>
        <v/>
      </c>
      <c r="M422" s="14">
        <f>IFERROR(IF(OR(J422=0,K422=""),"",IF(E422="Positivo",MAX(K422/J422,0),MAX(J422/K422,0))),"") </f>
        <v/>
      </c>
      <c r="N422" s="5" t="inlineStr">
        <is>
          <t>DEC</t>
        </is>
      </c>
      <c r="O422" s="5" t="inlineStr">
        <is>
          <t>DEC</t>
        </is>
      </c>
      <c r="P422" s="5" t="n">
        <v>0</v>
      </c>
      <c r="Q422" s="5" t="n">
        <v>2</v>
      </c>
      <c r="R422" s="5" t="inlineStr">
        <is>
          <t>128-2022-02-28</t>
        </is>
      </c>
    </row>
    <row r="423">
      <c r="A423" s="5" t="n">
        <v>128</v>
      </c>
      <c r="B423" s="5" t="inlineStr">
        <is>
          <t>Ausentísmo por causa médica</t>
        </is>
      </c>
      <c r="C423" s="5" t="inlineStr">
        <is>
          <t>GESTIÓN DE SEGURIDAD Y SALUD EN EL TRABAJO</t>
        </is>
      </c>
      <c r="D423" s="5" t="inlineStr">
        <is>
          <t>Mensual</t>
        </is>
      </c>
      <c r="E423" s="5" t="inlineStr">
        <is>
          <t>Negativo</t>
        </is>
      </c>
      <c r="F423" s="106" t="n">
        <v>44651</v>
      </c>
      <c r="G423" s="5" t="n">
        <v>2022</v>
      </c>
      <c r="H423" s="5" t="inlineStr">
        <is>
          <t>Marzo</t>
        </is>
      </c>
      <c r="I423" s="6" t="inlineStr">
        <is>
          <t>2022-1</t>
        </is>
      </c>
      <c r="J423" s="94" t="n">
        <v>1</v>
      </c>
      <c r="K423" s="9" t="n">
        <v>0.67280262662145</v>
      </c>
      <c r="L423" s="14">
        <f>IFERROR(IF(OR(J423=0,K423=""),"",IF(E423="Positivo",MIN(MAX(K423/J423,0),1.3),MIN(MAX(J423/K423,0),1.3))),"") </f>
        <v/>
      </c>
      <c r="M423" s="14">
        <f>IFERROR(IF(OR(J423=0,K423=""),"",IF(E423="Positivo",MAX(K423/J423,0),MAX(J423/K423,0))),"") </f>
        <v/>
      </c>
      <c r="N423" s="5" t="inlineStr">
        <is>
          <t>DEC</t>
        </is>
      </c>
      <c r="O423" s="5" t="inlineStr">
        <is>
          <t>DEC</t>
        </is>
      </c>
      <c r="P423" s="5" t="n">
        <v>0</v>
      </c>
      <c r="Q423" s="5" t="n">
        <v>2</v>
      </c>
      <c r="R423" s="5" t="inlineStr">
        <is>
          <t>128-2022-03-31</t>
        </is>
      </c>
    </row>
    <row r="424">
      <c r="A424" s="28" t="n">
        <v>128</v>
      </c>
      <c r="B424" s="5" t="inlineStr">
        <is>
          <t>Ausentísmo por causa médica</t>
        </is>
      </c>
      <c r="C424" s="5" t="inlineStr">
        <is>
          <t>GESTIÓN DE SEGURIDAD Y SALUD EN EL TRABAJO</t>
        </is>
      </c>
      <c r="D424" s="5" t="inlineStr">
        <is>
          <t>Mensual</t>
        </is>
      </c>
      <c r="E424" s="5" t="inlineStr">
        <is>
          <t>Negativo</t>
        </is>
      </c>
      <c r="F424" s="107" t="n">
        <v>44681</v>
      </c>
      <c r="G424" s="5" t="n">
        <v>2022</v>
      </c>
      <c r="H424" s="5" t="inlineStr">
        <is>
          <t>Abril</t>
        </is>
      </c>
      <c r="I424" s="6" t="inlineStr">
        <is>
          <t>2022-1</t>
        </is>
      </c>
      <c r="J424" s="76" t="n">
        <v>1</v>
      </c>
      <c r="K424" s="9" t="n">
        <v>0.77818283791363</v>
      </c>
      <c r="L424" s="14">
        <f>IFERROR(IF(OR(J424=0,K424=""),"",IF(E424="Positivo",MIN(MAX(K424/J424,0),1.3),MIN(MAX(J424/K424,0),1.3))),"") </f>
        <v/>
      </c>
      <c r="M424" s="14">
        <f>IFERROR(IF(OR(J424=0,K424=""),"",IF(E424="Positivo",MAX(K424/J424,0),MAX(J424/K424,0))),"") </f>
        <v/>
      </c>
      <c r="N424" s="5" t="inlineStr">
        <is>
          <t>DEC</t>
        </is>
      </c>
      <c r="O424" s="5" t="inlineStr">
        <is>
          <t>DEC</t>
        </is>
      </c>
      <c r="P424" s="15" t="n">
        <v>0</v>
      </c>
      <c r="Q424" s="15" t="n">
        <v>2</v>
      </c>
      <c r="R424" s="5" t="inlineStr">
        <is>
          <t>128-2022-04-30</t>
        </is>
      </c>
    </row>
    <row r="425">
      <c r="A425" s="26" t="n">
        <v>128</v>
      </c>
      <c r="B425" s="5" t="inlineStr">
        <is>
          <t>Ausentísmo por causa médica</t>
        </is>
      </c>
      <c r="C425" s="5" t="inlineStr">
        <is>
          <t>GESTIÓN DE SEGURIDAD Y SALUD EN EL TRABAJO</t>
        </is>
      </c>
      <c r="D425" s="5" t="inlineStr">
        <is>
          <t>Mensual</t>
        </is>
      </c>
      <c r="E425" s="5" t="inlineStr">
        <is>
          <t>Negativo</t>
        </is>
      </c>
      <c r="F425" s="107" t="n">
        <v>44712</v>
      </c>
      <c r="G425" s="5" t="n">
        <v>2022</v>
      </c>
      <c r="H425" s="5" t="inlineStr">
        <is>
          <t>Mayo</t>
        </is>
      </c>
      <c r="I425" s="6" t="inlineStr">
        <is>
          <t>2022-1</t>
        </is>
      </c>
      <c r="J425" s="76" t="n">
        <v>1</v>
      </c>
      <c r="K425" s="9" t="n">
        <v>0.5412410428419</v>
      </c>
      <c r="L425" s="14">
        <f>IFERROR(IF(OR(J425=0,K425=""),"",IF(E425="Positivo",MIN(MAX(K425/J425,0),1.3),MIN(MAX(J425/K425,0),1.3))),"") </f>
        <v/>
      </c>
      <c r="M425" s="14">
        <f>IFERROR(IF(OR(J425=0,K425=""),"",IF(E425="Positivo",MAX(K425/J425,0),MAX(J425/K425,0))),"") </f>
        <v/>
      </c>
      <c r="N425" s="5" t="inlineStr">
        <is>
          <t>DEC</t>
        </is>
      </c>
      <c r="O425" s="5" t="inlineStr">
        <is>
          <t>DEC</t>
        </is>
      </c>
      <c r="P425" s="15" t="n">
        <v>0</v>
      </c>
      <c r="Q425" s="15" t="n">
        <v>2</v>
      </c>
      <c r="R425" s="5" t="inlineStr">
        <is>
          <t>128-2022-05-31</t>
        </is>
      </c>
    </row>
    <row r="426">
      <c r="A426" s="28" t="n">
        <v>128</v>
      </c>
      <c r="B426" s="5" t="inlineStr">
        <is>
          <t>Ausentísmo por causa médica</t>
        </is>
      </c>
      <c r="C426" s="5" t="inlineStr">
        <is>
          <t>GESTIÓN DE SEGURIDAD Y SALUD EN EL TRABAJO</t>
        </is>
      </c>
      <c r="D426" s="5" t="inlineStr">
        <is>
          <t>Mensual</t>
        </is>
      </c>
      <c r="E426" s="5" t="inlineStr">
        <is>
          <t>Negativo</t>
        </is>
      </c>
      <c r="F426" s="107" t="n">
        <v>44742</v>
      </c>
      <c r="G426" s="5" t="n">
        <v>2022</v>
      </c>
      <c r="H426" s="5" t="inlineStr">
        <is>
          <t>Junio</t>
        </is>
      </c>
      <c r="I426" s="6" t="inlineStr">
        <is>
          <t>2022-1</t>
        </is>
      </c>
      <c r="J426" s="76" t="n">
        <v>1</v>
      </c>
      <c r="K426" s="9" t="n">
        <v>0.8128834355828199</v>
      </c>
      <c r="L426" s="14">
        <f>IFERROR(IF(OR(J426=0,K426=""),"",IF(E426="Positivo",MIN(MAX(K426/J426,0),1.3),MIN(MAX(J426/K426,0),1.3))),"") </f>
        <v/>
      </c>
      <c r="M426" s="14">
        <f>IFERROR(IF(OR(J426=0,K426=""),"",IF(E426="Positivo",MAX(K426/J426,0),MAX(J426/K426,0))),"") </f>
        <v/>
      </c>
      <c r="N426" s="5" t="inlineStr">
        <is>
          <t>DEC</t>
        </is>
      </c>
      <c r="O426" s="5" t="inlineStr">
        <is>
          <t>DEC</t>
        </is>
      </c>
      <c r="P426" s="15" t="n">
        <v>0</v>
      </c>
      <c r="Q426" s="15" t="n">
        <v>2</v>
      </c>
      <c r="R426" s="5" t="inlineStr">
        <is>
          <t>128-2022-06-30</t>
        </is>
      </c>
    </row>
    <row r="427">
      <c r="A427" s="21" t="n">
        <v>128</v>
      </c>
      <c r="B427" s="5" t="inlineStr">
        <is>
          <t>Ausentísmo por causa médica</t>
        </is>
      </c>
      <c r="C427" s="5" t="inlineStr">
        <is>
          <t>GESTIÓN DE SEGURIDAD Y SALUD EN EL TRABAJO</t>
        </is>
      </c>
      <c r="D427" s="5" t="inlineStr">
        <is>
          <t>Mensual</t>
        </is>
      </c>
      <c r="E427" s="5" t="inlineStr">
        <is>
          <t>Negativo</t>
        </is>
      </c>
      <c r="F427" s="107" t="n">
        <v>44773</v>
      </c>
      <c r="G427" s="5" t="n">
        <v>2022</v>
      </c>
      <c r="H427" s="5" t="inlineStr">
        <is>
          <t>Julio</t>
        </is>
      </c>
      <c r="I427" s="6" t="inlineStr">
        <is>
          <t>2022-2</t>
        </is>
      </c>
      <c r="J427" s="73" t="n">
        <v>1</v>
      </c>
      <c r="K427" s="9" t="n">
        <v>1.1950826969832</v>
      </c>
      <c r="L427" s="14">
        <f>IFERROR(IF(OR(J427=0,K427=""),"",IF(E427="Positivo",MIN(MAX(K427/J427,0),1.3),MIN(MAX(J427/K427,0),1.3))),"") </f>
        <v/>
      </c>
      <c r="M427" s="14">
        <f>IFERROR(IF(OR(J427=0,K427=""),"",IF(E427="Positivo",MAX(K427/J427,0),MAX(J427/K427,0))),"") </f>
        <v/>
      </c>
      <c r="N427" s="5" t="inlineStr">
        <is>
          <t>DEC</t>
        </is>
      </c>
      <c r="O427" s="5" t="inlineStr">
        <is>
          <t>DEC</t>
        </is>
      </c>
      <c r="P427" s="15" t="n">
        <v>0</v>
      </c>
      <c r="Q427" s="15" t="n">
        <v>2</v>
      </c>
      <c r="R427" s="5" t="inlineStr">
        <is>
          <t>128-2022-07-31</t>
        </is>
      </c>
    </row>
    <row r="428">
      <c r="A428" s="5" t="n">
        <v>128</v>
      </c>
      <c r="B428" s="5" t="inlineStr">
        <is>
          <t>Ausentísmo por causa médica</t>
        </is>
      </c>
      <c r="C428" s="5" t="inlineStr">
        <is>
          <t>GESTIÓN DE SEGURIDAD Y SALUD EN EL TRABAJO</t>
        </is>
      </c>
      <c r="D428" s="5" t="inlineStr">
        <is>
          <t>Mensual</t>
        </is>
      </c>
      <c r="E428" s="5" t="inlineStr">
        <is>
          <t>Negativo</t>
        </is>
      </c>
      <c r="F428" s="106" t="n">
        <v>44804</v>
      </c>
      <c r="G428" s="5" t="n">
        <v>2022</v>
      </c>
      <c r="H428" s="5" t="inlineStr">
        <is>
          <t>Agosto</t>
        </is>
      </c>
      <c r="I428" s="6" t="inlineStr">
        <is>
          <t>2022-2</t>
        </is>
      </c>
      <c r="J428" s="11" t="n">
        <v>1</v>
      </c>
      <c r="K428" s="9" t="n">
        <v>0.85085933966531</v>
      </c>
      <c r="L428" s="14">
        <f>IFERROR(IF(OR(J428=0,K428=""),"",IF(E428="Positivo",MIN(MAX(K428/J428,0),1.3),MIN(MAX(J428/K428,0),1.3))),"") </f>
        <v/>
      </c>
      <c r="M428" s="14">
        <f>IFERROR(IF(OR(J428=0,K428=""),"",IF(E428="Positivo",MAX(K428/J428,0),MAX(J428/K428,0))),"") </f>
        <v/>
      </c>
      <c r="N428" s="5" t="inlineStr">
        <is>
          <t>DEC</t>
        </is>
      </c>
      <c r="O428" s="5" t="inlineStr">
        <is>
          <t>DEC</t>
        </is>
      </c>
      <c r="P428" s="5" t="n">
        <v>0</v>
      </c>
      <c r="Q428" s="5" t="n">
        <v>2</v>
      </c>
      <c r="R428" s="5" t="inlineStr">
        <is>
          <t>128-2022-08-31</t>
        </is>
      </c>
    </row>
    <row r="429">
      <c r="A429" s="5" t="n">
        <v>128</v>
      </c>
      <c r="B429" s="5" t="inlineStr">
        <is>
          <t>Ausentísmo por causa médica</t>
        </is>
      </c>
      <c r="C429" s="5" t="inlineStr">
        <is>
          <t>GESTIÓN DE SEGURIDAD Y SALUD EN EL TRABAJO</t>
        </is>
      </c>
      <c r="D429" s="5" t="inlineStr">
        <is>
          <t>Mensual</t>
        </is>
      </c>
      <c r="E429" s="5" t="inlineStr">
        <is>
          <t>Negativo</t>
        </is>
      </c>
      <c r="F429" s="106" t="n">
        <v>44834</v>
      </c>
      <c r="G429" s="5" t="n">
        <v>2022</v>
      </c>
      <c r="H429" s="5" t="inlineStr">
        <is>
          <t>Septiembre</t>
        </is>
      </c>
      <c r="I429" s="6" t="inlineStr">
        <is>
          <t>2022-2</t>
        </is>
      </c>
      <c r="J429" s="11" t="n">
        <v>1</v>
      </c>
      <c r="K429" s="9" t="n">
        <v>0.59967748437815</v>
      </c>
      <c r="L429" s="14">
        <f>IFERROR(IF(OR(J429=0,K429=""),"",IF(E429="Positivo",MIN(MAX(K429/J429,0),1.3),MIN(MAX(J429/K429,0),1.3))),"") </f>
        <v/>
      </c>
      <c r="M429" s="14">
        <f>IFERROR(IF(OR(J429=0,K429=""),"",IF(E429="Positivo",MAX(K429/J429,0),MAX(J429/K429,0))),"") </f>
        <v/>
      </c>
      <c r="N429" s="5" t="inlineStr">
        <is>
          <t>DEC</t>
        </is>
      </c>
      <c r="O429" s="5" t="inlineStr">
        <is>
          <t>DEC</t>
        </is>
      </c>
      <c r="P429" s="5" t="n">
        <v>0</v>
      </c>
      <c r="Q429" s="5" t="n">
        <v>2</v>
      </c>
      <c r="R429" s="5" t="inlineStr">
        <is>
          <t>128-2022-09-30</t>
        </is>
      </c>
    </row>
    <row r="430">
      <c r="A430" s="21" t="n">
        <v>128</v>
      </c>
      <c r="B430" s="5" t="inlineStr">
        <is>
          <t>Ausentísmo por causa médica</t>
        </is>
      </c>
      <c r="C430" s="5" t="inlineStr">
        <is>
          <t>GESTIÓN DE SEGURIDAD Y SALUD EN EL TRABAJO</t>
        </is>
      </c>
      <c r="D430" s="5" t="inlineStr">
        <is>
          <t>Mensual</t>
        </is>
      </c>
      <c r="E430" s="5" t="inlineStr">
        <is>
          <t>Negativo</t>
        </is>
      </c>
      <c r="F430" s="106" t="n">
        <v>44865</v>
      </c>
      <c r="G430" s="5" t="n">
        <v>2022</v>
      </c>
      <c r="H430" s="5" t="inlineStr">
        <is>
          <t>Octubre</t>
        </is>
      </c>
      <c r="I430" s="6" t="inlineStr">
        <is>
          <t>2022-2</t>
        </is>
      </c>
      <c r="J430" s="5" t="n">
        <v>1</v>
      </c>
      <c r="K430" s="9" t="n">
        <v>0.75110864745011</v>
      </c>
      <c r="L430" s="14">
        <f>IFERROR(IF(OR(J430=0,K430=""),"",IF(E430="Positivo",MIN(MAX(K430/J430,0),1.3),MIN(MAX(J430/K430,0),1.3))),"") </f>
        <v/>
      </c>
      <c r="M430" s="14">
        <f>IFERROR(IF(OR(J430=0,K430=""),"",IF(E430="Positivo",MAX(K430/J430,0),MAX(J430/K430,0))),"") </f>
        <v/>
      </c>
      <c r="N430" s="5" t="inlineStr">
        <is>
          <t>DEC</t>
        </is>
      </c>
      <c r="O430" s="5" t="inlineStr">
        <is>
          <t>DEC</t>
        </is>
      </c>
      <c r="P430" s="15" t="n">
        <v>0</v>
      </c>
      <c r="Q430" s="15" t="n">
        <v>1</v>
      </c>
      <c r="R430" s="5" t="inlineStr">
        <is>
          <t>128-2022-10-31</t>
        </is>
      </c>
    </row>
    <row r="431">
      <c r="A431" s="26" t="n">
        <v>128</v>
      </c>
      <c r="B431" s="5" t="inlineStr">
        <is>
          <t>Ausentísmo por causa médica</t>
        </is>
      </c>
      <c r="C431" s="5" t="inlineStr">
        <is>
          <t>GESTIÓN DE SEGURIDAD Y SALUD EN EL TRABAJO</t>
        </is>
      </c>
      <c r="D431" s="5" t="inlineStr">
        <is>
          <t>Mensual</t>
        </is>
      </c>
      <c r="E431" s="5" t="inlineStr">
        <is>
          <t>Negativo</t>
        </is>
      </c>
      <c r="F431" s="107" t="n">
        <v>44895</v>
      </c>
      <c r="G431" s="5" t="n">
        <v>2022</v>
      </c>
      <c r="H431" s="5" t="inlineStr">
        <is>
          <t>Noviembre</t>
        </is>
      </c>
      <c r="I431" s="6" t="inlineStr">
        <is>
          <t>2022-2</t>
        </is>
      </c>
      <c r="J431" s="73" t="n">
        <v>1</v>
      </c>
      <c r="K431" s="9" t="n">
        <v>0.917176209005</v>
      </c>
      <c r="L431" s="14">
        <f>IFERROR(IF(OR(J431=0,K431=""),"",IF(E431="Positivo",MIN(MAX(K431/J431,0),1.3),MIN(MAX(J431/K431,0),1.3))),"") </f>
        <v/>
      </c>
      <c r="M431" s="14">
        <f>IFERROR(IF(OR(J431=0,K431=""),"",IF(E431="Positivo",MAX(K431/J431,0),MAX(J431/K431,0))),"") </f>
        <v/>
      </c>
      <c r="N431" s="5" t="inlineStr">
        <is>
          <t>DEC</t>
        </is>
      </c>
      <c r="O431" s="5" t="inlineStr">
        <is>
          <t>DEC</t>
        </is>
      </c>
      <c r="P431" s="15" t="n">
        <v>0</v>
      </c>
      <c r="Q431" s="15" t="n">
        <v>2</v>
      </c>
      <c r="R431" s="5" t="inlineStr">
        <is>
          <t>128-2022-11-30</t>
        </is>
      </c>
    </row>
    <row r="432">
      <c r="A432" s="21" t="n">
        <v>128</v>
      </c>
      <c r="B432" s="5" t="inlineStr">
        <is>
          <t>Ausentísmo por causa médica</t>
        </is>
      </c>
      <c r="C432" s="5" t="inlineStr">
        <is>
          <t>GESTIÓN DE SEGURIDAD Y SALUD EN EL TRABAJO</t>
        </is>
      </c>
      <c r="D432" s="5" t="inlineStr">
        <is>
          <t>Mensual</t>
        </is>
      </c>
      <c r="E432" s="5" t="inlineStr">
        <is>
          <t>Negativo</t>
        </is>
      </c>
      <c r="F432" s="106" t="n">
        <v>44926</v>
      </c>
      <c r="G432" s="5" t="n">
        <v>2022</v>
      </c>
      <c r="H432" s="5" t="inlineStr">
        <is>
          <t>Diciembre</t>
        </is>
      </c>
      <c r="I432" s="6" t="inlineStr">
        <is>
          <t>2022-2</t>
        </is>
      </c>
      <c r="J432" s="5" t="n">
        <v>1</v>
      </c>
      <c r="K432" s="9" t="n">
        <v>0.8000698242755701</v>
      </c>
      <c r="L432" s="14">
        <f>IFERROR(IF(OR(J432=0,K432=""),"",IF(E432="Positivo",MIN(MAX(K432/J432,0),1.3),MIN(MAX(J432/K432,0),1.3))),"") </f>
        <v/>
      </c>
      <c r="M432" s="14">
        <f>IFERROR(IF(OR(J432=0,K432=""),"",IF(E432="Positivo",MAX(K432/J432,0),MAX(J432/K432,0))),"") </f>
        <v/>
      </c>
      <c r="N432" s="5" t="inlineStr">
        <is>
          <t>DEC</t>
        </is>
      </c>
      <c r="O432" s="5" t="inlineStr">
        <is>
          <t>DEC</t>
        </is>
      </c>
      <c r="P432" s="15" t="n">
        <v>0</v>
      </c>
      <c r="Q432" s="15" t="n">
        <v>2</v>
      </c>
      <c r="R432" s="5" t="inlineStr">
        <is>
          <t>128-2022-12-31</t>
        </is>
      </c>
    </row>
    <row r="433">
      <c r="A433" s="21" t="n">
        <v>128</v>
      </c>
      <c r="B433" s="5" t="inlineStr">
        <is>
          <t>Ausentísmo por causa médica</t>
        </is>
      </c>
      <c r="C433" s="5" t="inlineStr">
        <is>
          <t>GESTIÓN DE SEGURIDAD Y SALUD EN EL TRABAJO</t>
        </is>
      </c>
      <c r="D433" s="5" t="inlineStr">
        <is>
          <t>Mensual</t>
        </is>
      </c>
      <c r="E433" s="5" t="inlineStr">
        <is>
          <t>Negativo</t>
        </is>
      </c>
      <c r="F433" s="107" t="n">
        <v>44957</v>
      </c>
      <c r="G433" s="5" t="n">
        <v>2023</v>
      </c>
      <c r="H433" s="5" t="inlineStr">
        <is>
          <t>Enero</t>
        </is>
      </c>
      <c r="I433" s="6" t="inlineStr">
        <is>
          <t>2023-1</t>
        </is>
      </c>
      <c r="J433" s="5" t="n">
        <v>1</v>
      </c>
      <c r="K433" s="10" t="n">
        <v>1.0928581372686</v>
      </c>
      <c r="L433" s="14">
        <f>IFERROR(IF(OR(J433=0,K433=""),"",IF(E433="Positivo",MIN(MAX(K433/J433,0),1.3),MIN(MAX(J433/K433,0),1.3))),"") </f>
        <v/>
      </c>
      <c r="M433" s="14">
        <f>IFERROR(IF(OR(J433=0,K433=""),"",IF(E433="Positivo",MAX(K433/J433,0),MAX(J433/K433,0))),"") </f>
        <v/>
      </c>
      <c r="N433" s="5" t="inlineStr">
        <is>
          <t>DEC</t>
        </is>
      </c>
      <c r="O433" s="5" t="inlineStr">
        <is>
          <t>DEC</t>
        </is>
      </c>
      <c r="P433" s="15" t="n">
        <v>0</v>
      </c>
      <c r="Q433" s="15" t="n">
        <v>2</v>
      </c>
      <c r="R433" s="5" t="inlineStr">
        <is>
          <t>128-2023-01-31</t>
        </is>
      </c>
    </row>
    <row r="434">
      <c r="A434" s="28" t="n">
        <v>128</v>
      </c>
      <c r="B434" s="5" t="inlineStr">
        <is>
          <t>Ausentísmo por causa médica</t>
        </is>
      </c>
      <c r="C434" s="5" t="inlineStr">
        <is>
          <t>GESTIÓN DE SEGURIDAD Y SALUD EN EL TRABAJO</t>
        </is>
      </c>
      <c r="D434" s="5" t="inlineStr">
        <is>
          <t>Mensual</t>
        </is>
      </c>
      <c r="E434" s="5" t="inlineStr">
        <is>
          <t>Negativo</t>
        </is>
      </c>
      <c r="F434" s="107" t="n">
        <v>44985</v>
      </c>
      <c r="G434" s="5" t="n">
        <v>2023</v>
      </c>
      <c r="H434" s="5" t="inlineStr">
        <is>
          <t>Febrero</t>
        </is>
      </c>
      <c r="I434" s="6" t="inlineStr">
        <is>
          <t>2023-1</t>
        </is>
      </c>
      <c r="J434" s="9" t="n">
        <v>1</v>
      </c>
      <c r="K434" s="9" t="n">
        <v>0.9150865622423699</v>
      </c>
      <c r="L434" s="14">
        <f>IFERROR(IF(OR(J434=0,K434=""),"",IF(E434="Positivo",MIN(MAX(K434/J434,0),1.3),MIN(MAX(J434/K434,0),1.3))),"") </f>
        <v/>
      </c>
      <c r="M434" s="14">
        <f>IFERROR(IF(OR(J434=0,K434=""),"",IF(E434="Positivo",MAX(K434/J434,0),MAX(J434/K434,0))),"") </f>
        <v/>
      </c>
      <c r="N434" s="5" t="inlineStr">
        <is>
          <t>DEC</t>
        </is>
      </c>
      <c r="O434" s="5" t="inlineStr">
        <is>
          <t>DEC</t>
        </is>
      </c>
      <c r="P434" s="15" t="n">
        <v>0</v>
      </c>
      <c r="Q434" s="15" t="n">
        <v>2</v>
      </c>
      <c r="R434" s="5" t="inlineStr">
        <is>
          <t>128-2023-02-28</t>
        </is>
      </c>
    </row>
    <row r="435">
      <c r="A435" s="28" t="n">
        <v>128</v>
      </c>
      <c r="B435" s="5" t="inlineStr">
        <is>
          <t>Ausentísmo por causa médica</t>
        </is>
      </c>
      <c r="C435" s="5" t="inlineStr">
        <is>
          <t>GESTIÓN DE SEGURIDAD Y SALUD EN EL TRABAJO</t>
        </is>
      </c>
      <c r="D435" s="5" t="inlineStr">
        <is>
          <t>Mensual</t>
        </is>
      </c>
      <c r="E435" s="5" t="inlineStr">
        <is>
          <t>Negativo</t>
        </is>
      </c>
      <c r="F435" s="107" t="n">
        <v>45016</v>
      </c>
      <c r="G435" s="5" t="n">
        <v>2023</v>
      </c>
      <c r="H435" s="5" t="inlineStr">
        <is>
          <t>Marzo</t>
        </is>
      </c>
      <c r="I435" s="6" t="inlineStr">
        <is>
          <t>2023-1</t>
        </is>
      </c>
      <c r="J435" s="73" t="n">
        <v>1</v>
      </c>
      <c r="K435" s="9" t="n">
        <v>0.76441973592773</v>
      </c>
      <c r="L435" s="14">
        <f>IFERROR(IF(OR(J435=0,K435=""),"",IF(E435="Positivo",MIN(MAX(K435/J435,0),1.3),MIN(MAX(J435/K435,0),1.3))),"") </f>
        <v/>
      </c>
      <c r="M435" s="14">
        <f>IFERROR(IF(OR(J435=0,K435=""),"",IF(E435="Positivo",MAX(K435/J435,0),MAX(J435/K435,0))),"") </f>
        <v/>
      </c>
      <c r="N435" s="5" t="inlineStr">
        <is>
          <t>DEC</t>
        </is>
      </c>
      <c r="O435" s="5" t="inlineStr">
        <is>
          <t>DEC</t>
        </is>
      </c>
      <c r="P435" s="15" t="n">
        <v>0</v>
      </c>
      <c r="Q435" s="15" t="n">
        <v>2</v>
      </c>
      <c r="R435" s="5" t="inlineStr">
        <is>
          <t>128-2023-03-31</t>
        </is>
      </c>
    </row>
    <row r="436">
      <c r="A436" s="26" t="n">
        <v>128</v>
      </c>
      <c r="B436" s="5" t="inlineStr">
        <is>
          <t>Ausentísmo por causa médica</t>
        </is>
      </c>
      <c r="C436" s="5" t="inlineStr">
        <is>
          <t>GESTIÓN DE SEGURIDAD Y SALUD EN EL TRABAJO</t>
        </is>
      </c>
      <c r="D436" s="5" t="inlineStr">
        <is>
          <t>Mensual</t>
        </is>
      </c>
      <c r="E436" s="5" t="inlineStr">
        <is>
          <t>Negativo</t>
        </is>
      </c>
      <c r="F436" s="107" t="n">
        <v>45046</v>
      </c>
      <c r="G436" s="5" t="n">
        <v>2023</v>
      </c>
      <c r="H436" s="5" t="inlineStr">
        <is>
          <t>Abril</t>
        </is>
      </c>
      <c r="I436" s="6" t="inlineStr">
        <is>
          <t>2023-1</t>
        </is>
      </c>
      <c r="J436" s="73" t="n">
        <v>1</v>
      </c>
      <c r="K436" s="9" t="n">
        <v>1.0132293339451</v>
      </c>
      <c r="L436" s="14">
        <f>IFERROR(IF(OR(J436=0,K436=""),"",IF(E436="Positivo",MIN(MAX(K436/J436,0),1.3),MIN(MAX(J436/K436,0),1.3))),"") </f>
        <v/>
      </c>
      <c r="M436" s="14">
        <f>IFERROR(IF(OR(J436=0,K436=""),"",IF(E436="Positivo",MAX(K436/J436,0),MAX(J436/K436,0))),"") </f>
        <v/>
      </c>
      <c r="N436" s="5" t="inlineStr">
        <is>
          <t>DEC</t>
        </is>
      </c>
      <c r="O436" s="5" t="inlineStr">
        <is>
          <t>DEC</t>
        </is>
      </c>
      <c r="P436" s="15" t="n">
        <v>0</v>
      </c>
      <c r="Q436" s="15" t="n">
        <v>2</v>
      </c>
      <c r="R436" s="5" t="inlineStr">
        <is>
          <t>128-2023-04-30</t>
        </is>
      </c>
    </row>
    <row r="437">
      <c r="A437" s="28" t="n">
        <v>128</v>
      </c>
      <c r="B437" s="5" t="inlineStr">
        <is>
          <t>Ausentísmo por causa médica</t>
        </is>
      </c>
      <c r="C437" s="5" t="inlineStr">
        <is>
          <t>GESTIÓN DE SEGURIDAD Y SALUD EN EL TRABAJO</t>
        </is>
      </c>
      <c r="D437" s="5" t="inlineStr">
        <is>
          <t>Mensual</t>
        </is>
      </c>
      <c r="E437" s="5" t="inlineStr">
        <is>
          <t>Negativo</t>
        </is>
      </c>
      <c r="F437" s="107" t="n">
        <v>45077</v>
      </c>
      <c r="G437" s="5" t="n">
        <v>2023</v>
      </c>
      <c r="H437" s="5" t="inlineStr">
        <is>
          <t>Mayo</t>
        </is>
      </c>
      <c r="I437" s="6" t="inlineStr">
        <is>
          <t>2023-1</t>
        </is>
      </c>
      <c r="J437" s="5" t="n">
        <v>1</v>
      </c>
      <c r="K437" s="9" t="n">
        <v>0.75808249721293</v>
      </c>
      <c r="L437" s="14">
        <f>IFERROR(IF(OR(J437=0,K437=""),"",IF(E437="Positivo",MIN(MAX(K437/J437,0),1.3),MIN(MAX(J437/K437,0),1.3))),"") </f>
        <v/>
      </c>
      <c r="M437" s="14">
        <f>IFERROR(IF(OR(J437=0,K437=""),"",IF(E437="Positivo",MAX(K437/J437,0),MAX(J437/K437,0))),"") </f>
        <v/>
      </c>
      <c r="N437" s="5" t="inlineStr">
        <is>
          <t>DEC</t>
        </is>
      </c>
      <c r="O437" s="5" t="inlineStr">
        <is>
          <t>DEC</t>
        </is>
      </c>
      <c r="P437" s="15" t="n">
        <v>0</v>
      </c>
      <c r="Q437" s="15" t="n">
        <v>2</v>
      </c>
      <c r="R437" s="5" t="inlineStr">
        <is>
          <t>128-2023-05-31</t>
        </is>
      </c>
    </row>
    <row r="438">
      <c r="A438" s="21" t="n">
        <v>128</v>
      </c>
      <c r="B438" s="5" t="inlineStr">
        <is>
          <t>Ausentísmo por causa médica</t>
        </is>
      </c>
      <c r="C438" s="5" t="inlineStr">
        <is>
          <t>GESTIÓN DE SEGURIDAD Y SALUD EN EL TRABAJO</t>
        </is>
      </c>
      <c r="D438" s="5" t="inlineStr">
        <is>
          <t>Mensual</t>
        </is>
      </c>
      <c r="E438" s="5" t="inlineStr">
        <is>
          <t>Negativo</t>
        </is>
      </c>
      <c r="F438" s="107" t="n">
        <v>45107</v>
      </c>
      <c r="G438" s="5" t="n">
        <v>2023</v>
      </c>
      <c r="H438" s="5" t="inlineStr">
        <is>
          <t>Junio</t>
        </is>
      </c>
      <c r="I438" s="6" t="inlineStr">
        <is>
          <t>2023-1</t>
        </is>
      </c>
      <c r="J438" s="5" t="n">
        <v>1</v>
      </c>
      <c r="K438" s="10" t="n">
        <v>1.1262282690854</v>
      </c>
      <c r="L438" s="14">
        <f>IFERROR(IF(OR(J438=0,K438=""),"",IF(E438="Positivo",MIN(MAX(K438/J438,0),1.3),MIN(MAX(J438/K438,0),1.3))),"") </f>
        <v/>
      </c>
      <c r="M438" s="14">
        <f>IFERROR(IF(OR(J438=0,K438=""),"",IF(E438="Positivo",MAX(K438/J438,0),MAX(J438/K438,0))),"") </f>
        <v/>
      </c>
      <c r="N438" s="5" t="inlineStr">
        <is>
          <t>DEC</t>
        </is>
      </c>
      <c r="O438" s="5" t="inlineStr">
        <is>
          <t>DEC</t>
        </is>
      </c>
      <c r="P438" s="15" t="n">
        <v>0</v>
      </c>
      <c r="Q438" s="15" t="n">
        <v>2</v>
      </c>
      <c r="R438" s="5" t="inlineStr">
        <is>
          <t>128-2023-06-30</t>
        </is>
      </c>
    </row>
    <row r="439">
      <c r="A439" s="21" t="n">
        <v>128</v>
      </c>
      <c r="B439" s="5" t="inlineStr">
        <is>
          <t>Ausentísmo por causa médica</t>
        </is>
      </c>
      <c r="C439" s="5" t="inlineStr">
        <is>
          <t>GESTIÓN DE SEGURIDAD Y SALUD EN EL TRABAJO</t>
        </is>
      </c>
      <c r="D439" s="5" t="inlineStr">
        <is>
          <t>Mensual</t>
        </is>
      </c>
      <c r="E439" s="5" t="inlineStr">
        <is>
          <t>Negativo</t>
        </is>
      </c>
      <c r="F439" s="106" t="n">
        <v>45138</v>
      </c>
      <c r="G439" s="5" t="n">
        <v>2023</v>
      </c>
      <c r="H439" s="5" t="inlineStr">
        <is>
          <t>Julio</t>
        </is>
      </c>
      <c r="I439" s="6" t="inlineStr">
        <is>
          <t>2023-2</t>
        </is>
      </c>
      <c r="J439" s="5" t="n">
        <v>1</v>
      </c>
      <c r="K439" s="9" t="n">
        <v>1.1748003549246</v>
      </c>
      <c r="L439" s="14">
        <f>IFERROR(IF(OR(J439=0,K439=""),"",IF(E439="Positivo",MIN(MAX(K439/J439,0),1.3),MIN(MAX(J439/K439,0),1.3))),"") </f>
        <v/>
      </c>
      <c r="M439" s="14">
        <f>IFERROR(IF(OR(J439=0,K439=""),"",IF(E439="Positivo",MAX(K439/J439,0),MAX(J439/K439,0))),"") </f>
        <v/>
      </c>
      <c r="N439" s="5" t="inlineStr">
        <is>
          <t>DEC</t>
        </is>
      </c>
      <c r="O439" s="5" t="inlineStr">
        <is>
          <t>DEC</t>
        </is>
      </c>
      <c r="P439" s="15" t="n">
        <v>0</v>
      </c>
      <c r="Q439" s="15" t="n">
        <v>2</v>
      </c>
      <c r="R439" s="5" t="inlineStr">
        <is>
          <t>128-2023-07-31</t>
        </is>
      </c>
    </row>
    <row r="440">
      <c r="A440" s="26" t="n">
        <v>128</v>
      </c>
      <c r="B440" s="5" t="inlineStr">
        <is>
          <t>Ausentísmo por causa médica</t>
        </is>
      </c>
      <c r="C440" s="5" t="inlineStr">
        <is>
          <t>GESTIÓN DE SEGURIDAD Y SALUD EN EL TRABAJO</t>
        </is>
      </c>
      <c r="D440" s="5" t="inlineStr">
        <is>
          <t>Mensual</t>
        </is>
      </c>
      <c r="E440" s="5" t="inlineStr">
        <is>
          <t>Negativo</t>
        </is>
      </c>
      <c r="F440" s="107" t="n">
        <v>45169</v>
      </c>
      <c r="G440" s="5" t="n">
        <v>2023</v>
      </c>
      <c r="H440" s="5" t="inlineStr">
        <is>
          <t>Agosto</t>
        </is>
      </c>
      <c r="I440" s="6" t="inlineStr">
        <is>
          <t>2023-2</t>
        </is>
      </c>
      <c r="J440" s="5" t="n">
        <v>1</v>
      </c>
      <c r="K440" s="9" t="n">
        <v>0.95</v>
      </c>
      <c r="L440" s="14">
        <f>IFERROR(IF(OR(J440=0,K440=""),"",IF(E440="Positivo",MIN(MAX(K440/J440,0),1.3),MIN(MAX(J440/K440,0),1.3))),"") </f>
        <v/>
      </c>
      <c r="M440" s="14">
        <f>IFERROR(IF(OR(J440=0,K440=""),"",IF(E440="Positivo",MAX(K440/J440,0),MAX(J440/K440,0))),"") </f>
        <v/>
      </c>
      <c r="N440" s="5" t="inlineStr">
        <is>
          <t>DEC</t>
        </is>
      </c>
      <c r="O440" s="5" t="inlineStr">
        <is>
          <t>DEC</t>
        </is>
      </c>
      <c r="P440" s="15" t="n">
        <v>0</v>
      </c>
      <c r="Q440" s="15" t="n">
        <v>2</v>
      </c>
      <c r="R440" s="5" t="inlineStr">
        <is>
          <t>128-2023-08-31</t>
        </is>
      </c>
    </row>
    <row r="441">
      <c r="A441" s="21" t="n">
        <v>128</v>
      </c>
      <c r="B441" s="5" t="inlineStr">
        <is>
          <t>Ausentísmo por causa médica</t>
        </is>
      </c>
      <c r="C441" s="5" t="inlineStr">
        <is>
          <t>GESTIÓN DE SEGURIDAD Y SALUD EN EL TRABAJO</t>
        </is>
      </c>
      <c r="D441" s="5" t="inlineStr">
        <is>
          <t>Mensual</t>
        </is>
      </c>
      <c r="E441" s="5" t="inlineStr">
        <is>
          <t>Negativo</t>
        </is>
      </c>
      <c r="F441" s="107" t="n">
        <v>45199</v>
      </c>
      <c r="G441" s="5" t="n">
        <v>2023</v>
      </c>
      <c r="H441" s="5" t="inlineStr">
        <is>
          <t>Septiembre</t>
        </is>
      </c>
      <c r="I441" s="6" t="inlineStr">
        <is>
          <t>2023-2</t>
        </is>
      </c>
      <c r="J441" s="5" t="n">
        <v>1</v>
      </c>
      <c r="K441" s="10" t="n">
        <v>0.51</v>
      </c>
      <c r="L441" s="14">
        <f>IFERROR(IF(OR(J441=0,K441=""),"",IF(E441="Positivo",MIN(MAX(K441/J441,0),1.3),MIN(MAX(J441/K441,0),1.3))),"") </f>
        <v/>
      </c>
      <c r="M441" s="14">
        <f>IFERROR(IF(OR(J441=0,K441=""),"",IF(E441="Positivo",MAX(K441/J441,0),MAX(J441/K441,0))),"") </f>
        <v/>
      </c>
      <c r="N441" s="5" t="inlineStr">
        <is>
          <t>DEC</t>
        </is>
      </c>
      <c r="O441" s="5" t="inlineStr">
        <is>
          <t>DEC</t>
        </is>
      </c>
      <c r="P441" s="15" t="n">
        <v>0</v>
      </c>
      <c r="Q441" s="15" t="n">
        <v>2</v>
      </c>
      <c r="R441" s="5" t="inlineStr">
        <is>
          <t>128-2023-09-30</t>
        </is>
      </c>
    </row>
    <row r="442">
      <c r="A442" s="28" t="n">
        <v>128</v>
      </c>
      <c r="B442" s="5" t="inlineStr">
        <is>
          <t>Ausentísmo por causa médica</t>
        </is>
      </c>
      <c r="C442" s="5" t="inlineStr">
        <is>
          <t>GESTIÓN DE SEGURIDAD Y SALUD EN EL TRABAJO</t>
        </is>
      </c>
      <c r="D442" s="5" t="inlineStr">
        <is>
          <t>Mensual</t>
        </is>
      </c>
      <c r="E442" s="5" t="inlineStr">
        <is>
          <t>Negativo</t>
        </is>
      </c>
      <c r="F442" s="107" t="n">
        <v>45230</v>
      </c>
      <c r="G442" s="5" t="n">
        <v>2023</v>
      </c>
      <c r="H442" s="5" t="inlineStr">
        <is>
          <t>Octubre</t>
        </is>
      </c>
      <c r="I442" s="6" t="inlineStr">
        <is>
          <t>2023-2</t>
        </is>
      </c>
      <c r="J442" s="5" t="n">
        <v>1</v>
      </c>
      <c r="K442" s="9" t="n">
        <v>0.5</v>
      </c>
      <c r="L442" s="14">
        <f>IFERROR(IF(OR(J442=0,K442=""),"",IF(E442="Positivo",MIN(MAX(K442/J442,0),1.3),MIN(MAX(J442/K442,0),1.3))),"") </f>
        <v/>
      </c>
      <c r="M442" s="14">
        <f>IFERROR(IF(OR(J442=0,K442=""),"",IF(E442="Positivo",MAX(K442/J442,0),MAX(J442/K442,0))),"") </f>
        <v/>
      </c>
      <c r="N442" s="5" t="inlineStr">
        <is>
          <t>DEC</t>
        </is>
      </c>
      <c r="O442" s="5" t="inlineStr">
        <is>
          <t>DEC</t>
        </is>
      </c>
      <c r="P442" s="15" t="n">
        <v>0</v>
      </c>
      <c r="Q442" s="15" t="n">
        <v>1</v>
      </c>
      <c r="R442" s="5" t="inlineStr">
        <is>
          <t>128-2023-10-31</t>
        </is>
      </c>
    </row>
    <row r="443">
      <c r="A443" s="26" t="n">
        <v>128</v>
      </c>
      <c r="B443" s="5" t="inlineStr">
        <is>
          <t>Ausentísmo por causa médica</t>
        </is>
      </c>
      <c r="C443" s="5" t="inlineStr">
        <is>
          <t>GESTIÓN DE SEGURIDAD Y SALUD EN EL TRABAJO</t>
        </is>
      </c>
      <c r="D443" s="5" t="inlineStr">
        <is>
          <t>Mensual</t>
        </is>
      </c>
      <c r="E443" s="5" t="inlineStr">
        <is>
          <t>Negativo</t>
        </is>
      </c>
      <c r="F443" s="107" t="n">
        <v>45260</v>
      </c>
      <c r="G443" s="5" t="n">
        <v>2023</v>
      </c>
      <c r="H443" s="5" t="inlineStr">
        <is>
          <t>Noviembre</t>
        </is>
      </c>
      <c r="I443" s="6" t="inlineStr">
        <is>
          <t>2023-2</t>
        </is>
      </c>
      <c r="J443" s="5" t="n">
        <v>1</v>
      </c>
      <c r="K443" s="9" t="n">
        <v>0.72</v>
      </c>
      <c r="L443" s="14">
        <f>IFERROR(IF(OR(J443=0,K443=""),"",IF(E443="Positivo",MIN(MAX(K443/J443,0),1.3),MIN(MAX(J443/K443,0),1.3))),"") </f>
        <v/>
      </c>
      <c r="M443" s="14">
        <f>IFERROR(IF(OR(J443=0,K443=""),"",IF(E443="Positivo",MAX(K443/J443,0),MAX(J443/K443,0))),"") </f>
        <v/>
      </c>
      <c r="N443" s="5" t="inlineStr">
        <is>
          <t>DEC</t>
        </is>
      </c>
      <c r="O443" s="5" t="inlineStr">
        <is>
          <t>DEC</t>
        </is>
      </c>
      <c r="P443" s="15" t="n">
        <v>0</v>
      </c>
      <c r="Q443" s="15" t="n">
        <v>2</v>
      </c>
      <c r="R443" s="5" t="inlineStr">
        <is>
          <t>128-2023-11-30</t>
        </is>
      </c>
    </row>
    <row r="444">
      <c r="A444" s="26" t="n">
        <v>128</v>
      </c>
      <c r="B444" s="5" t="inlineStr">
        <is>
          <t>Ausentísmo por causa médica</t>
        </is>
      </c>
      <c r="C444" s="5" t="inlineStr">
        <is>
          <t>GESTIÓN DE SEGURIDAD Y SALUD EN EL TRABAJO</t>
        </is>
      </c>
      <c r="D444" s="5" t="inlineStr">
        <is>
          <t>Mensual</t>
        </is>
      </c>
      <c r="E444" s="5" t="inlineStr">
        <is>
          <t>Negativo</t>
        </is>
      </c>
      <c r="F444" s="107" t="n">
        <v>45291</v>
      </c>
      <c r="G444" s="5" t="n">
        <v>2023</v>
      </c>
      <c r="H444" s="5" t="inlineStr">
        <is>
          <t>Diciembre</t>
        </is>
      </c>
      <c r="I444" s="6" t="inlineStr">
        <is>
          <t>2023-2</t>
        </is>
      </c>
      <c r="J444" s="5" t="n">
        <v>1</v>
      </c>
      <c r="K444" s="11" t="n">
        <v>0.64</v>
      </c>
      <c r="L444" s="14">
        <f>IFERROR(IF(OR(J444=0,K444=""),"",IF(E444="Positivo",MIN(MAX(K444/J444,0),1.3),MIN(MAX(J444/K444,0),1.3))),"") </f>
        <v/>
      </c>
      <c r="M444" s="14">
        <f>IFERROR(IF(OR(J444=0,K444=""),"",IF(E444="Positivo",MAX(K444/J444,0),MAX(J444/K444,0))),"") </f>
        <v/>
      </c>
      <c r="N444" s="5" t="inlineStr">
        <is>
          <t>DEC</t>
        </is>
      </c>
      <c r="O444" s="5" t="inlineStr">
        <is>
          <t>DEC</t>
        </is>
      </c>
      <c r="P444" s="15" t="n">
        <v>0</v>
      </c>
      <c r="Q444" s="15" t="n">
        <v>2</v>
      </c>
      <c r="R444" s="5" t="inlineStr">
        <is>
          <t>128-2023-12-31</t>
        </is>
      </c>
    </row>
    <row r="445">
      <c r="A445" s="21" t="n">
        <v>128</v>
      </c>
      <c r="B445" s="5" t="inlineStr">
        <is>
          <t>Ausentísmo por causa médica</t>
        </is>
      </c>
      <c r="C445" s="5" t="inlineStr">
        <is>
          <t>GESTIÓN DE SEGURIDAD Y SALUD EN EL TRABAJO</t>
        </is>
      </c>
      <c r="D445" s="5" t="inlineStr">
        <is>
          <t>Mensual</t>
        </is>
      </c>
      <c r="E445" s="5" t="inlineStr">
        <is>
          <t>Negativo</t>
        </is>
      </c>
      <c r="F445" s="107" t="n">
        <v>45322</v>
      </c>
      <c r="G445" s="5" t="n">
        <v>2024</v>
      </c>
      <c r="H445" s="5" t="inlineStr">
        <is>
          <t>Enero</t>
        </is>
      </c>
      <c r="I445" s="6" t="inlineStr">
        <is>
          <t>2024-1</t>
        </is>
      </c>
      <c r="J445" s="5" t="n">
        <v>1</v>
      </c>
      <c r="K445" s="11" t="n">
        <v>0.7046625690693488</v>
      </c>
      <c r="L445" s="14">
        <f>IFERROR(IF(OR(J445=0,K445=""),"",IF(E445="Positivo",MIN(MAX(K445/J445,0),1.3),MIN(MAX(J445/K445,0),1.3))),"") </f>
        <v/>
      </c>
      <c r="M445" s="14">
        <f>IFERROR(IF(OR(J445=0,K445=""),"",IF(E445="Positivo",MAX(K445/J445,0),MAX(J445/K445,0))),"") </f>
        <v/>
      </c>
      <c r="N445" s="5" t="inlineStr">
        <is>
          <t>DEC</t>
        </is>
      </c>
      <c r="O445" s="5" t="inlineStr">
        <is>
          <t>DEC</t>
        </is>
      </c>
      <c r="P445" s="15" t="n">
        <v>0</v>
      </c>
      <c r="Q445" s="15" t="n">
        <v>2</v>
      </c>
      <c r="R445" s="5" t="inlineStr">
        <is>
          <t>128-2024-01-31</t>
        </is>
      </c>
    </row>
    <row r="446">
      <c r="A446" s="21" t="n">
        <v>128</v>
      </c>
      <c r="B446" s="5" t="inlineStr">
        <is>
          <t>Ausentísmo por causa médica</t>
        </is>
      </c>
      <c r="C446" s="5" t="inlineStr">
        <is>
          <t>GESTIÓN DE SEGURIDAD Y SALUD EN EL TRABAJO</t>
        </is>
      </c>
      <c r="D446" s="5" t="inlineStr">
        <is>
          <t>Mensual</t>
        </is>
      </c>
      <c r="E446" s="5" t="inlineStr">
        <is>
          <t>Negativo</t>
        </is>
      </c>
      <c r="F446" s="107" t="n">
        <v>45351</v>
      </c>
      <c r="G446" s="5" t="n">
        <v>2024</v>
      </c>
      <c r="H446" s="5" t="inlineStr">
        <is>
          <t>Febrero</t>
        </is>
      </c>
      <c r="I446" s="6" t="inlineStr">
        <is>
          <t>2024-1</t>
        </is>
      </c>
      <c r="J446" s="5" t="n">
        <v>1</v>
      </c>
      <c r="K446" s="9" t="n">
        <v>0.8976964769647697</v>
      </c>
      <c r="L446" s="14">
        <f>IFERROR(IF(OR(J446=0,K446=""),"",IF(E446="Positivo",MIN(MAX(K446/J446,0),1.3),MIN(MAX(J446/K446,0),1.3))),"") </f>
        <v/>
      </c>
      <c r="M446" s="14">
        <f>IFERROR(IF(OR(J446=0,K446=""),"",IF(E446="Positivo",MAX(K446/J446,0),MAX(J446/K446,0))),"") </f>
        <v/>
      </c>
      <c r="N446" s="5" t="inlineStr">
        <is>
          <t>DEC</t>
        </is>
      </c>
      <c r="O446" s="5" t="inlineStr">
        <is>
          <t>DEC</t>
        </is>
      </c>
      <c r="P446" s="15" t="n">
        <v>0</v>
      </c>
      <c r="Q446" s="15" t="n">
        <v>2</v>
      </c>
      <c r="R446" s="5" t="inlineStr">
        <is>
          <t>128-2024-02-29</t>
        </is>
      </c>
    </row>
    <row r="447">
      <c r="A447" s="21" t="n">
        <v>128</v>
      </c>
      <c r="B447" s="5" t="inlineStr">
        <is>
          <t>Ausentísmo por causa médica</t>
        </is>
      </c>
      <c r="C447" s="5" t="inlineStr">
        <is>
          <t>GESTIÓN DE SEGURIDAD Y SALUD EN EL TRABAJO</t>
        </is>
      </c>
      <c r="D447" s="5" t="inlineStr">
        <is>
          <t>Mensual</t>
        </is>
      </c>
      <c r="E447" s="5" t="inlineStr">
        <is>
          <t>Negativo</t>
        </is>
      </c>
      <c r="F447" s="106" t="n">
        <v>45382</v>
      </c>
      <c r="G447" s="5" t="n">
        <v>2024</v>
      </c>
      <c r="H447" s="5" t="inlineStr">
        <is>
          <t>Marzo</t>
        </is>
      </c>
      <c r="I447" s="6" t="inlineStr">
        <is>
          <t>2024-1</t>
        </is>
      </c>
      <c r="J447" s="5" t="n">
        <v>1</v>
      </c>
      <c r="K447" s="9" t="n">
        <v>1.050740418118467</v>
      </c>
      <c r="L447" s="14">
        <f>IFERROR(IF(OR(J447=0,K447=""),"",IF(E447="Positivo",MIN(MAX(K447/J447,0),1.3),MIN(MAX(J447/K447,0),1.3))),"") </f>
        <v/>
      </c>
      <c r="M447" s="14">
        <f>IFERROR(IF(OR(J447=0,K447=""),"",IF(E447="Positivo",MAX(K447/J447,0),MAX(J447/K447,0))),"") </f>
        <v/>
      </c>
      <c r="N447" s="5" t="inlineStr">
        <is>
          <t>DEC</t>
        </is>
      </c>
      <c r="O447" s="5" t="inlineStr">
        <is>
          <t>DEC</t>
        </is>
      </c>
      <c r="P447" s="15" t="n">
        <v>0</v>
      </c>
      <c r="Q447" s="15" t="n">
        <v>2</v>
      </c>
      <c r="R447" s="5" t="inlineStr">
        <is>
          <t>128-2024-03-31</t>
        </is>
      </c>
    </row>
    <row r="448">
      <c r="A448" s="21" t="n">
        <v>128</v>
      </c>
      <c r="B448" s="5" t="inlineStr">
        <is>
          <t>Ausentísmo por causa médica</t>
        </is>
      </c>
      <c r="C448" s="5" t="inlineStr">
        <is>
          <t>GESTIÓN DE SEGURIDAD Y SALUD EN EL TRABAJO</t>
        </is>
      </c>
      <c r="D448" s="5" t="inlineStr">
        <is>
          <t>Mensual</t>
        </is>
      </c>
      <c r="E448" s="5" t="inlineStr">
        <is>
          <t>Negativo</t>
        </is>
      </c>
      <c r="F448" s="107" t="n">
        <v>45412</v>
      </c>
      <c r="G448" s="5" t="n">
        <v>2024</v>
      </c>
      <c r="H448" s="5" t="inlineStr">
        <is>
          <t>Abril</t>
        </is>
      </c>
      <c r="I448" s="6" t="inlineStr">
        <is>
          <t>2024-1</t>
        </is>
      </c>
      <c r="J448" s="5" t="n">
        <v>1</v>
      </c>
      <c r="K448" s="9" t="n">
        <v>0.4018847006651884</v>
      </c>
      <c r="L448" s="14">
        <f>IFERROR(IF(OR(J448=0,K448=""),"",IF(E448="Positivo",MIN(MAX(K448/J448,0),1.3),MIN(MAX(J448/K448,0),1.3))),"") </f>
        <v/>
      </c>
      <c r="M448" s="14">
        <f>IFERROR(IF(OR(J448=0,K448=""),"",IF(E448="Positivo",MAX(K448/J448,0),MAX(J448/K448,0))),"") </f>
        <v/>
      </c>
      <c r="N448" s="5" t="inlineStr">
        <is>
          <t>DEC</t>
        </is>
      </c>
      <c r="O448" s="5" t="inlineStr">
        <is>
          <t>DEC</t>
        </is>
      </c>
      <c r="P448" s="15" t="n">
        <v>0</v>
      </c>
      <c r="Q448" s="15" t="n">
        <v>2</v>
      </c>
      <c r="R448" s="5" t="inlineStr">
        <is>
          <t>128-2024-04-30</t>
        </is>
      </c>
    </row>
    <row r="449">
      <c r="A449" s="21" t="n">
        <v>128</v>
      </c>
      <c r="B449" s="5" t="inlineStr">
        <is>
          <t>Ausentísmo por causa médica</t>
        </is>
      </c>
      <c r="C449" s="5" t="inlineStr">
        <is>
          <t>GESTIÓN DE SEGURIDAD Y SALUD EN EL TRABAJO</t>
        </is>
      </c>
      <c r="D449" s="5" t="inlineStr">
        <is>
          <t>Mensual</t>
        </is>
      </c>
      <c r="E449" s="5" t="inlineStr">
        <is>
          <t>Negativo</t>
        </is>
      </c>
      <c r="F449" s="107" t="n">
        <v>45443</v>
      </c>
      <c r="G449" s="5" t="n">
        <v>2024</v>
      </c>
      <c r="H449" s="5" t="inlineStr">
        <is>
          <t>Mayo</t>
        </is>
      </c>
      <c r="I449" s="6" t="inlineStr">
        <is>
          <t>2024-1</t>
        </is>
      </c>
      <c r="J449" s="5" t="n">
        <v>1</v>
      </c>
      <c r="K449" s="9" t="n">
        <v>0.5513098361279039</v>
      </c>
      <c r="L449" s="14">
        <f>IFERROR(IF(OR(J449=0,K449=""),"",IF(E449="Positivo",MIN(MAX(K449/J449,0),1.3),MIN(MAX(J449/K449,0),1.3))),"") </f>
        <v/>
      </c>
      <c r="M449" s="14">
        <f>IFERROR(IF(OR(J449=0,K449=""),"",IF(E449="Positivo",MAX(K449/J449,0),MAX(J449/K449,0))),"") </f>
        <v/>
      </c>
      <c r="N449" s="5" t="inlineStr">
        <is>
          <t>DEC</t>
        </is>
      </c>
      <c r="O449" s="5" t="inlineStr">
        <is>
          <t>DEC</t>
        </is>
      </c>
      <c r="P449" s="15" t="n">
        <v>0</v>
      </c>
      <c r="Q449" s="15" t="n">
        <v>2</v>
      </c>
      <c r="R449" s="5" t="inlineStr">
        <is>
          <t>128-2024-05-31</t>
        </is>
      </c>
    </row>
    <row r="450">
      <c r="A450" s="21" t="n">
        <v>128</v>
      </c>
      <c r="B450" s="5" t="inlineStr">
        <is>
          <t>Ausentísmo por causa médica</t>
        </is>
      </c>
      <c r="C450" s="5" t="inlineStr">
        <is>
          <t>GESTIÓN DE SEGURIDAD Y SALUD EN EL TRABAJO</t>
        </is>
      </c>
      <c r="D450" s="5" t="inlineStr">
        <is>
          <t>Mensual</t>
        </is>
      </c>
      <c r="E450" s="5" t="inlineStr">
        <is>
          <t>Negativo</t>
        </is>
      </c>
      <c r="F450" s="107" t="n">
        <v>45473</v>
      </c>
      <c r="G450" s="5" t="n">
        <v>2024</v>
      </c>
      <c r="H450" s="5" t="inlineStr">
        <is>
          <t>Junio</t>
        </is>
      </c>
      <c r="I450" s="6" t="inlineStr">
        <is>
          <t>2024-1</t>
        </is>
      </c>
      <c r="J450" s="5" t="n">
        <v>1</v>
      </c>
      <c r="K450" s="9" t="n">
        <v>0.3576864535768646</v>
      </c>
      <c r="L450" s="14">
        <f>IFERROR(IF(OR(J450=0,K450=""),"",IF(E450="Positivo",MIN(MAX(K450/J450,0),1.3),MIN(MAX(J450/K450,0),1.3))),"") </f>
        <v/>
      </c>
      <c r="M450" s="14">
        <f>IFERROR(IF(OR(J450=0,K450=""),"",IF(E450="Positivo",MAX(K450/J450,0),MAX(J450/K450,0))),"") </f>
        <v/>
      </c>
      <c r="N450" s="5" t="inlineStr">
        <is>
          <t>DEC</t>
        </is>
      </c>
      <c r="O450" s="5" t="inlineStr">
        <is>
          <t>DEC</t>
        </is>
      </c>
      <c r="P450" s="15" t="n">
        <v>0</v>
      </c>
      <c r="Q450" s="15" t="n">
        <v>2</v>
      </c>
      <c r="R450" s="5" t="inlineStr">
        <is>
          <t>128-2024-06-30</t>
        </is>
      </c>
    </row>
    <row r="451">
      <c r="A451" s="21" t="n">
        <v>128</v>
      </c>
      <c r="B451" s="5" t="inlineStr">
        <is>
          <t>Ausentísmo por causa médica</t>
        </is>
      </c>
      <c r="C451" s="5" t="inlineStr">
        <is>
          <t>GESTIÓN DE SEGURIDAD Y SALUD EN EL TRABAJO</t>
        </is>
      </c>
      <c r="D451" s="5" t="inlineStr">
        <is>
          <t>Mensual</t>
        </is>
      </c>
      <c r="E451" s="5" t="inlineStr">
        <is>
          <t>Negativo</t>
        </is>
      </c>
      <c r="F451" s="107" t="n">
        <v>45504</v>
      </c>
      <c r="G451" s="5" t="n">
        <v>2024</v>
      </c>
      <c r="H451" s="5" t="inlineStr">
        <is>
          <t>Julio</t>
        </is>
      </c>
      <c r="I451" s="6" t="inlineStr">
        <is>
          <t>2024-2</t>
        </is>
      </c>
      <c r="J451" s="5" t="n">
        <v>1</v>
      </c>
      <c r="K451" s="9" t="n">
        <v>0.6497473204864774</v>
      </c>
      <c r="L451" s="14">
        <f>IFERROR(IF(OR(J451=0,K451=""),"",IF(E451="Positivo",MIN(MAX(K451/J451,0),1.3),MIN(MAX(J451/K451,0),1.3))),"") </f>
        <v/>
      </c>
      <c r="M451" s="14">
        <f>IFERROR(IF(OR(J451=0,K451=""),"",IF(E451="Positivo",MAX(K451/J451,0),MAX(J451/K451,0))),"") </f>
        <v/>
      </c>
      <c r="N451" s="5" t="inlineStr">
        <is>
          <t>DEC</t>
        </is>
      </c>
      <c r="O451" s="5" t="inlineStr">
        <is>
          <t>DEC</t>
        </is>
      </c>
      <c r="P451" s="15" t="n">
        <v>0</v>
      </c>
      <c r="Q451" s="15" t="n">
        <v>2</v>
      </c>
      <c r="R451" s="5" t="inlineStr">
        <is>
          <t>128-2024-07-31</t>
        </is>
      </c>
    </row>
    <row r="452">
      <c r="A452" s="21" t="n">
        <v>128</v>
      </c>
      <c r="B452" s="5" t="inlineStr">
        <is>
          <t>Ausentísmo por causa médica</t>
        </is>
      </c>
      <c r="C452" s="5" t="inlineStr">
        <is>
          <t>GESTIÓN DE SEGURIDAD Y SALUD EN EL TRABAJO</t>
        </is>
      </c>
      <c r="D452" s="5" t="inlineStr">
        <is>
          <t>Mensual</t>
        </is>
      </c>
      <c r="E452" s="5" t="inlineStr">
        <is>
          <t>Negativo</t>
        </is>
      </c>
      <c r="F452" s="107" t="n">
        <v>45535</v>
      </c>
      <c r="G452" s="5" t="n">
        <v>2024</v>
      </c>
      <c r="H452" s="5" t="inlineStr">
        <is>
          <t>Agosto</t>
        </is>
      </c>
      <c r="I452" s="6" t="inlineStr">
        <is>
          <t>2024-2</t>
        </is>
      </c>
      <c r="J452" s="5" t="n">
        <v>1</v>
      </c>
      <c r="K452" s="9" t="n">
        <v>0.5116883116883117</v>
      </c>
      <c r="L452" s="14">
        <f>IFERROR(IF(OR(J452=0,K452=""),"",IF(E452="Positivo",MIN(MAX(K452/J452,0),1.3),MIN(MAX(J452/K452,0),1.3))),"") </f>
        <v/>
      </c>
      <c r="M452" s="14">
        <f>IFERROR(IF(OR(J452=0,K452=""),"",IF(E452="Positivo",MAX(K452/J452,0),MAX(J452/K452,0))),"") </f>
        <v/>
      </c>
      <c r="N452" s="5" t="inlineStr">
        <is>
          <t>DEC</t>
        </is>
      </c>
      <c r="O452" s="5" t="inlineStr">
        <is>
          <t>DEC</t>
        </is>
      </c>
      <c r="P452" s="15" t="n">
        <v>0</v>
      </c>
      <c r="Q452" s="15" t="n">
        <v>2</v>
      </c>
      <c r="R452" s="5" t="inlineStr">
        <is>
          <t>128-2024-08-31</t>
        </is>
      </c>
    </row>
    <row r="453">
      <c r="A453" s="21" t="n">
        <v>128</v>
      </c>
      <c r="B453" s="5" t="inlineStr">
        <is>
          <t>Ausentísmo por causa médica</t>
        </is>
      </c>
      <c r="C453" s="5" t="inlineStr">
        <is>
          <t>GESTIÓN DE SEGURIDAD Y SALUD EN EL TRABAJO</t>
        </is>
      </c>
      <c r="D453" s="5" t="inlineStr">
        <is>
          <t>Mensual</t>
        </is>
      </c>
      <c r="E453" s="5" t="inlineStr">
        <is>
          <t>Negativo</t>
        </is>
      </c>
      <c r="F453" s="107" t="n">
        <v>45565</v>
      </c>
      <c r="G453" s="5" t="n">
        <v>2024</v>
      </c>
      <c r="H453" s="5" t="inlineStr">
        <is>
          <t>Septiembre</t>
        </is>
      </c>
      <c r="I453" s="6" t="inlineStr">
        <is>
          <t>2024-2</t>
        </is>
      </c>
      <c r="J453" s="5" t="n">
        <v>1</v>
      </c>
      <c r="K453" s="9" t="n">
        <v>0.697433774834437</v>
      </c>
      <c r="L453" s="14">
        <f>IFERROR(IF(OR(J453=0,K453=""),"",IF(E453="Positivo",MIN(MAX(K453/J453,0),1.3),MIN(MAX(J453/K453,0),1.3))),"") </f>
        <v/>
      </c>
      <c r="M453" s="14">
        <f>IFERROR(IF(OR(J453=0,K453=""),"",IF(E453="Positivo",MAX(K453/J453,0),MAX(J453/K453,0))),"") </f>
        <v/>
      </c>
      <c r="N453" s="5" t="inlineStr">
        <is>
          <t>DEC</t>
        </is>
      </c>
      <c r="O453" s="5" t="inlineStr">
        <is>
          <t>DEC</t>
        </is>
      </c>
      <c r="P453" s="15" t="n">
        <v>0</v>
      </c>
      <c r="Q453" s="15" t="n">
        <v>2</v>
      </c>
      <c r="R453" s="5" t="inlineStr">
        <is>
          <t>128-2024-09-30</t>
        </is>
      </c>
    </row>
    <row r="454">
      <c r="A454" s="21" t="n">
        <v>128</v>
      </c>
      <c r="B454" s="5" t="inlineStr">
        <is>
          <t>Ausentísmo por causa médica</t>
        </is>
      </c>
      <c r="C454" s="5" t="inlineStr">
        <is>
          <t>GESTIÓN DE SEGURIDAD Y SALUD EN EL TRABAJO</t>
        </is>
      </c>
      <c r="D454" s="5" t="inlineStr">
        <is>
          <t>Mensual</t>
        </is>
      </c>
      <c r="E454" s="5" t="inlineStr">
        <is>
          <t>Negativo</t>
        </is>
      </c>
      <c r="F454" s="107" t="n">
        <v>45596</v>
      </c>
      <c r="G454" s="5" t="n">
        <v>2024</v>
      </c>
      <c r="H454" s="5" t="inlineStr">
        <is>
          <t>Octubre</t>
        </is>
      </c>
      <c r="I454" s="6" t="inlineStr">
        <is>
          <t>2024-2</t>
        </is>
      </c>
      <c r="J454" s="5" t="n">
        <v>1</v>
      </c>
      <c r="K454" s="9" t="n">
        <v>0.6119240989557992</v>
      </c>
      <c r="L454" s="14">
        <f>IFERROR(IF(OR(J454=0,K454=""),"",IF(E454="Positivo",MIN(MAX(K454/J454,0),1.3),MIN(MAX(J454/K454,0),1.3))),"") </f>
        <v/>
      </c>
      <c r="M454" s="14">
        <f>IFERROR(IF(OR(J454=0,K454=""),"",IF(E454="Positivo",MAX(K454/J454,0),MAX(J454/K454,0))),"") </f>
        <v/>
      </c>
      <c r="N454" s="5" t="inlineStr">
        <is>
          <t>DEC</t>
        </is>
      </c>
      <c r="O454" s="5" t="inlineStr">
        <is>
          <t>DEC</t>
        </is>
      </c>
      <c r="P454" s="15" t="n">
        <v>0</v>
      </c>
      <c r="Q454" s="15" t="n">
        <v>1</v>
      </c>
      <c r="R454" s="5" t="inlineStr">
        <is>
          <t>128-2024-10-31</t>
        </is>
      </c>
    </row>
    <row r="455">
      <c r="A455" s="21" t="n">
        <v>128</v>
      </c>
      <c r="B455" s="5" t="inlineStr">
        <is>
          <t>Ausentísmo por causa médica</t>
        </is>
      </c>
      <c r="C455" s="5" t="inlineStr">
        <is>
          <t>GESTIÓN DE SEGURIDAD Y SALUD EN EL TRABAJO</t>
        </is>
      </c>
      <c r="D455" s="5" t="inlineStr">
        <is>
          <t>Mensual</t>
        </is>
      </c>
      <c r="E455" s="5" t="inlineStr">
        <is>
          <t>Negativo</t>
        </is>
      </c>
      <c r="F455" s="107" t="n">
        <v>45626</v>
      </c>
      <c r="G455" s="5" t="n">
        <v>2024</v>
      </c>
      <c r="H455" s="5" t="inlineStr">
        <is>
          <t>Noviembre</t>
        </is>
      </c>
      <c r="I455" s="6" t="inlineStr">
        <is>
          <t>2024-2</t>
        </is>
      </c>
      <c r="J455" s="5" t="n">
        <v>1</v>
      </c>
      <c r="K455" s="9" t="n">
        <v>0.96</v>
      </c>
      <c r="L455" s="14">
        <f>IFERROR(IF(OR(J455=0,K455=""),"",IF(E455="Positivo",MIN(MAX(K455/J455,0),1.3),MIN(MAX(J455/K455,0),1.3))),"") </f>
        <v/>
      </c>
      <c r="M455" s="14">
        <f>IFERROR(IF(OR(J455=0,K455=""),"",IF(E455="Positivo",MAX(K455/J455,0),MAX(J455/K455,0))),"") </f>
        <v/>
      </c>
      <c r="N455" s="5" t="inlineStr">
        <is>
          <t>DEC</t>
        </is>
      </c>
      <c r="O455" s="5" t="inlineStr">
        <is>
          <t>DEC</t>
        </is>
      </c>
      <c r="P455" s="15" t="n">
        <v>0</v>
      </c>
      <c r="Q455" s="15" t="n">
        <v>2</v>
      </c>
      <c r="R455" s="5" t="inlineStr">
        <is>
          <t>128-2024-11-30</t>
        </is>
      </c>
    </row>
    <row r="456">
      <c r="A456" s="21" t="n">
        <v>128</v>
      </c>
      <c r="B456" s="5" t="inlineStr">
        <is>
          <t>Ausentísmo por causa médica</t>
        </is>
      </c>
      <c r="C456" s="5" t="inlineStr">
        <is>
          <t>GESTIÓN DE SEGURIDAD Y SALUD EN EL TRABAJO</t>
        </is>
      </c>
      <c r="D456" s="5" t="inlineStr">
        <is>
          <t>Mensual</t>
        </is>
      </c>
      <c r="E456" s="5" t="inlineStr">
        <is>
          <t>Negativo</t>
        </is>
      </c>
      <c r="F456" s="107" t="n">
        <v>45657</v>
      </c>
      <c r="G456" s="5" t="n">
        <v>2024</v>
      </c>
      <c r="H456" s="5" t="inlineStr">
        <is>
          <t>Diciembre</t>
        </is>
      </c>
      <c r="I456" s="6" t="inlineStr">
        <is>
          <t>2024-2</t>
        </is>
      </c>
      <c r="J456" s="5" t="n">
        <v>1</v>
      </c>
      <c r="K456" s="9" t="n">
        <v>0.7769423558897243</v>
      </c>
      <c r="L456" s="14">
        <f>IFERROR(IF(OR(J456=0,K456=""),"",IF(E456="Positivo",MIN(MAX(K456/J456,0),1.3),MIN(MAX(J456/K456,0),1.3))),"") </f>
        <v/>
      </c>
      <c r="M456" s="14">
        <f>IFERROR(IF(OR(J456=0,K456=""),"",IF(E456="Positivo",MAX(K456/J456,0),MAX(J456/K456,0))),"") </f>
        <v/>
      </c>
      <c r="N456" s="5" t="inlineStr">
        <is>
          <t>DEC</t>
        </is>
      </c>
      <c r="O456" s="5" t="inlineStr">
        <is>
          <t>DEC</t>
        </is>
      </c>
      <c r="P456" s="15" t="n">
        <v>0</v>
      </c>
      <c r="Q456" s="15" t="n">
        <v>2</v>
      </c>
      <c r="R456" s="5" t="inlineStr">
        <is>
          <t>128-2024-12-31</t>
        </is>
      </c>
    </row>
    <row r="457">
      <c r="A457" s="21" t="n">
        <v>128</v>
      </c>
      <c r="B457" s="5" t="inlineStr">
        <is>
          <t>Ausentísmo por causa médica</t>
        </is>
      </c>
      <c r="C457" s="5" t="inlineStr">
        <is>
          <t>GESTIÓN DE SEGURIDAD Y SALUD EN EL TRABAJO</t>
        </is>
      </c>
      <c r="D457" s="5" t="inlineStr">
        <is>
          <t>Mensual</t>
        </is>
      </c>
      <c r="E457" s="5" t="inlineStr">
        <is>
          <t>Negativo</t>
        </is>
      </c>
      <c r="F457" s="107" t="n">
        <v>45688</v>
      </c>
      <c r="G457" s="5" t="n">
        <v>2025</v>
      </c>
      <c r="H457" s="5" t="inlineStr">
        <is>
          <t>Enero</t>
        </is>
      </c>
      <c r="I457" s="6" t="inlineStr">
        <is>
          <t>2025-1</t>
        </is>
      </c>
      <c r="J457" s="5" t="n">
        <v>1</v>
      </c>
      <c r="K457" s="9" t="n">
        <v>0.86</v>
      </c>
      <c r="L457" s="14">
        <f>IFERROR(IF(OR(J457=0,K457=""),"",IF(E457="Positivo",MIN(MAX(K457/J457,0),1.3),MIN(MAX(J457/K457,0),1.3))),"") </f>
        <v/>
      </c>
      <c r="M457" s="14">
        <f>IFERROR(IF(OR(J457=0,K457=""),"",IF(E457="Positivo",MAX(K457/J457,0),MAX(J457/K457,0))),"") </f>
        <v/>
      </c>
      <c r="N457" s="5" t="inlineStr">
        <is>
          <t>DEC</t>
        </is>
      </c>
      <c r="O457" s="5" t="inlineStr">
        <is>
          <t>DEC</t>
        </is>
      </c>
      <c r="P457" s="15" t="n">
        <v>0</v>
      </c>
      <c r="Q457" s="15" t="n">
        <v>2</v>
      </c>
      <c r="R457" s="5" t="inlineStr">
        <is>
          <t>128-2025-01-31</t>
        </is>
      </c>
    </row>
    <row r="458">
      <c r="A458" s="21" t="n">
        <v>128</v>
      </c>
      <c r="B458" s="5" t="inlineStr">
        <is>
          <t>Ausentísmo por causa médica</t>
        </is>
      </c>
      <c r="C458" s="5" t="inlineStr">
        <is>
          <t>GESTIÓN DE SEGURIDAD Y SALUD EN EL TRABAJO</t>
        </is>
      </c>
      <c r="D458" s="5" t="inlineStr">
        <is>
          <t>Mensual</t>
        </is>
      </c>
      <c r="E458" s="5" t="inlineStr">
        <is>
          <t>Negativo</t>
        </is>
      </c>
      <c r="F458" s="107" t="n">
        <v>45716</v>
      </c>
      <c r="G458" s="5" t="n">
        <v>2025</v>
      </c>
      <c r="H458" s="5" t="inlineStr">
        <is>
          <t>Febrero</t>
        </is>
      </c>
      <c r="I458" s="6" t="inlineStr">
        <is>
          <t>2025-1</t>
        </is>
      </c>
      <c r="J458" s="5" t="n">
        <v>1</v>
      </c>
      <c r="K458" s="9" t="n">
        <v>0.99</v>
      </c>
      <c r="L458" s="14">
        <f>IFERROR(IF(OR(J458=0,K458=""),"",IF(E458="Positivo",MIN(MAX(K458/J458,0),1.3),MIN(MAX(J458/K458,0),1.3))),"") </f>
        <v/>
      </c>
      <c r="M458" s="14">
        <f>IFERROR(IF(OR(J458=0,K458=""),"",IF(E458="Positivo",MAX(K458/J458,0),MAX(J458/K458,0))),"") </f>
        <v/>
      </c>
      <c r="N458" s="5" t="inlineStr">
        <is>
          <t>DEC</t>
        </is>
      </c>
      <c r="O458" s="5" t="inlineStr">
        <is>
          <t>DEC</t>
        </is>
      </c>
      <c r="P458" s="15" t="n">
        <v>0</v>
      </c>
      <c r="Q458" s="15" t="n">
        <v>2</v>
      </c>
      <c r="R458" s="5" t="inlineStr">
        <is>
          <t>128-2025-02-28</t>
        </is>
      </c>
    </row>
    <row r="459">
      <c r="A459" s="21" t="n">
        <v>128</v>
      </c>
      <c r="B459" s="5" t="inlineStr">
        <is>
          <t>Ausentísmo por causa médica</t>
        </is>
      </c>
      <c r="C459" s="5" t="inlineStr">
        <is>
          <t>GESTIÓN DE SEGURIDAD Y SALUD EN EL TRABAJO</t>
        </is>
      </c>
      <c r="D459" s="5" t="inlineStr">
        <is>
          <t>Mensual</t>
        </is>
      </c>
      <c r="E459" s="5" t="inlineStr">
        <is>
          <t>Negativo</t>
        </is>
      </c>
      <c r="F459" s="106" t="n">
        <v>45747</v>
      </c>
      <c r="G459" s="5" t="n">
        <v>2025</v>
      </c>
      <c r="H459" s="5" t="inlineStr">
        <is>
          <t>Marzo</t>
        </is>
      </c>
      <c r="I459" s="6" t="inlineStr">
        <is>
          <t>2025-1</t>
        </is>
      </c>
      <c r="J459" s="5" t="n">
        <v>1</v>
      </c>
      <c r="K459" s="9" t="n">
        <v>0.96</v>
      </c>
      <c r="L459" s="14">
        <f>IFERROR(IF(OR(J459=0,K459=""),"",IF(E459="Positivo",MIN(MAX(K459/J459,0),1.3),MIN(MAX(J459/K459,0),1.3))),"") </f>
        <v/>
      </c>
      <c r="M459" s="14">
        <f>IFERROR(IF(OR(J459=0,K459=""),"",IF(E459="Positivo",MAX(K459/J459,0),MAX(J459/K459,0))),"") </f>
        <v/>
      </c>
      <c r="N459" s="5" t="inlineStr">
        <is>
          <t>DEC</t>
        </is>
      </c>
      <c r="O459" s="5" t="inlineStr">
        <is>
          <t>DEC</t>
        </is>
      </c>
      <c r="P459" s="15" t="n">
        <v>0</v>
      </c>
      <c r="Q459" s="15" t="n">
        <v>2</v>
      </c>
      <c r="R459" s="5" t="inlineStr">
        <is>
          <t>128-2025-03-31</t>
        </is>
      </c>
    </row>
    <row r="460">
      <c r="A460" s="21" t="n">
        <v>128</v>
      </c>
      <c r="B460" s="5" t="inlineStr">
        <is>
          <t>Ausentísmo por causa médica</t>
        </is>
      </c>
      <c r="C460" s="5" t="inlineStr">
        <is>
          <t>GESTIÓN DE SEGURIDAD Y SALUD EN EL TRABAJO</t>
        </is>
      </c>
      <c r="D460" s="5" t="inlineStr">
        <is>
          <t>Mensual</t>
        </is>
      </c>
      <c r="E460" s="5" t="inlineStr">
        <is>
          <t>Negativo</t>
        </is>
      </c>
      <c r="F460" s="107" t="n">
        <v>45777</v>
      </c>
      <c r="G460" s="5" t="n">
        <v>2025</v>
      </c>
      <c r="H460" s="5" t="inlineStr">
        <is>
          <t>Abril</t>
        </is>
      </c>
      <c r="I460" s="6" t="inlineStr">
        <is>
          <t>2025-1</t>
        </is>
      </c>
      <c r="J460" s="5" t="n">
        <v>1</v>
      </c>
      <c r="K460" s="9" t="n">
        <v>0.9399999999999999</v>
      </c>
      <c r="L460" s="14">
        <f>IFERROR(IF(OR(J460=0,K460=""),"",IF(E460="Positivo",MIN(MAX(K460/J460,0),1.3),MIN(MAX(J460/K460,0),1.3))),"") </f>
        <v/>
      </c>
      <c r="M460" s="14">
        <f>IFERROR(IF(OR(J460=0,K460=""),"",IF(E460="Positivo",MAX(K460/J460,0),MAX(J460/K460,0))),"") </f>
        <v/>
      </c>
      <c r="N460" s="5" t="inlineStr">
        <is>
          <t>DEC</t>
        </is>
      </c>
      <c r="O460" s="5" t="inlineStr">
        <is>
          <t>DEC</t>
        </is>
      </c>
      <c r="P460" s="15" t="n">
        <v>0</v>
      </c>
      <c r="Q460" s="15" t="n">
        <v>2</v>
      </c>
      <c r="R460" s="5" t="inlineStr">
        <is>
          <t>128-2025-04-30</t>
        </is>
      </c>
    </row>
    <row r="461">
      <c r="A461" s="21" t="n">
        <v>128</v>
      </c>
      <c r="B461" s="5" t="inlineStr">
        <is>
          <t>Ausentísmo por causa médica</t>
        </is>
      </c>
      <c r="C461" s="5" t="inlineStr">
        <is>
          <t>GESTIÓN DE SEGURIDAD Y SALUD EN EL TRABAJO</t>
        </is>
      </c>
      <c r="D461" s="5" t="inlineStr">
        <is>
          <t>Mensual</t>
        </is>
      </c>
      <c r="E461" s="5" t="inlineStr">
        <is>
          <t>Negativo</t>
        </is>
      </c>
      <c r="F461" s="107" t="n">
        <v>45808</v>
      </c>
      <c r="G461" s="5" t="n">
        <v>2025</v>
      </c>
      <c r="H461" s="5" t="inlineStr">
        <is>
          <t>Mayo</t>
        </is>
      </c>
      <c r="I461" s="6" t="inlineStr">
        <is>
          <t>2025-1</t>
        </is>
      </c>
      <c r="J461" s="5" t="n">
        <v>1</v>
      </c>
      <c r="K461" s="9" t="n">
        <v>0.88</v>
      </c>
      <c r="L461" s="14">
        <f>IFERROR(IF(OR(J461=0,K461=""),"",IF(E461="Positivo",MIN(MAX(K461/J461,0),1.3),MIN(MAX(J461/K461,0),1.3))),"") </f>
        <v/>
      </c>
      <c r="M461" s="14">
        <f>IFERROR(IF(OR(J461=0,K461=""),"",IF(E461="Positivo",MAX(K461/J461,0),MAX(J461/K461,0))),"") </f>
        <v/>
      </c>
      <c r="N461" s="5" t="inlineStr">
        <is>
          <t>DEC</t>
        </is>
      </c>
      <c r="O461" s="5" t="inlineStr">
        <is>
          <t>DEC</t>
        </is>
      </c>
      <c r="P461" s="15" t="n">
        <v>0</v>
      </c>
      <c r="Q461" s="15" t="n">
        <v>2</v>
      </c>
      <c r="R461" s="5" t="inlineStr">
        <is>
          <t>128-2025-05-31</t>
        </is>
      </c>
    </row>
    <row r="462">
      <c r="A462" s="21" t="n">
        <v>128</v>
      </c>
      <c r="B462" s="5" t="inlineStr">
        <is>
          <t>Ausentísmo por causa médica</t>
        </is>
      </c>
      <c r="C462" s="5" t="inlineStr">
        <is>
          <t>GESTIÓN DE SEGURIDAD Y SALUD EN EL TRABAJO</t>
        </is>
      </c>
      <c r="D462" s="5" t="inlineStr">
        <is>
          <t>Mensual</t>
        </is>
      </c>
      <c r="E462" s="5" t="inlineStr">
        <is>
          <t>Negativo</t>
        </is>
      </c>
      <c r="F462" s="107" t="n">
        <v>45838</v>
      </c>
      <c r="G462" s="5" t="n">
        <v>2025</v>
      </c>
      <c r="H462" s="5" t="inlineStr">
        <is>
          <t>Junio</t>
        </is>
      </c>
      <c r="I462" s="6" t="inlineStr">
        <is>
          <t>2025-1</t>
        </is>
      </c>
      <c r="J462" s="5" t="n">
        <v>1</v>
      </c>
      <c r="K462" s="96" t="n">
        <v>0.97</v>
      </c>
      <c r="L462" s="14">
        <f>IFERROR(IF(OR(J462=0,K462=""),"",IF(E462="Positivo",MIN(MAX(K462/J462,0),1.3),MIN(MAX(J462/K462,0),1.3))),"") </f>
        <v/>
      </c>
      <c r="M462" s="14">
        <f>IFERROR(IF(OR(J462=0,K462=""),"",IF(E462="Positivo",MAX(K462/J462,0),MAX(J462/K462,0))),"") </f>
        <v/>
      </c>
      <c r="N462" s="5" t="inlineStr">
        <is>
          <t>DEC</t>
        </is>
      </c>
      <c r="O462" s="5" t="inlineStr">
        <is>
          <t>DEC</t>
        </is>
      </c>
      <c r="P462" s="15" t="n">
        <v>0</v>
      </c>
      <c r="Q462" s="15" t="n">
        <v>2</v>
      </c>
      <c r="R462" s="5" t="inlineStr">
        <is>
          <t>128-2025-06-30</t>
        </is>
      </c>
    </row>
    <row r="463">
      <c r="A463" s="21" t="n">
        <v>128</v>
      </c>
      <c r="B463" s="5" t="inlineStr">
        <is>
          <t>Ausentísmo por causa médica</t>
        </is>
      </c>
      <c r="C463" s="5" t="inlineStr">
        <is>
          <t>GESTIÓN DE SEGURIDAD Y SALUD EN EL TRABAJO</t>
        </is>
      </c>
      <c r="D463" s="5" t="inlineStr">
        <is>
          <t>Mensual</t>
        </is>
      </c>
      <c r="E463" s="5" t="inlineStr">
        <is>
          <t>Negativo</t>
        </is>
      </c>
      <c r="F463" s="107" t="n">
        <v>45869</v>
      </c>
      <c r="G463" s="5" t="n">
        <v>2025</v>
      </c>
      <c r="H463" s="5" t="inlineStr">
        <is>
          <t>Julio</t>
        </is>
      </c>
      <c r="I463" s="6" t="inlineStr">
        <is>
          <t>2025-2</t>
        </is>
      </c>
      <c r="J463" s="5" t="n">
        <v>1</v>
      </c>
      <c r="K463" s="96" t="n">
        <v>0.98</v>
      </c>
      <c r="L463" s="14">
        <f>IFERROR(IF(OR(J463=0,K463=""),"",IF(E463="Positivo",MIN(MAX(K463/J463,0),1.3),MIN(MAX(J463/K463,0),1.3))),"") </f>
        <v/>
      </c>
      <c r="M463" s="14">
        <f>IFERROR(IF(OR(J463=0,K463=""),"",IF(E463="Positivo",MAX(K463/J463,0),MAX(J463/K463,0))),"") </f>
        <v/>
      </c>
      <c r="N463" s="5" t="inlineStr">
        <is>
          <t>DEC</t>
        </is>
      </c>
      <c r="O463" s="5" t="inlineStr">
        <is>
          <t>DEC</t>
        </is>
      </c>
      <c r="P463" s="15" t="n">
        <v>0</v>
      </c>
      <c r="Q463" s="15" t="n">
        <v>2</v>
      </c>
      <c r="R463" s="5" t="inlineStr">
        <is>
          <t>128-2025-07-31</t>
        </is>
      </c>
    </row>
    <row r="464">
      <c r="A464" s="21" t="n">
        <v>128</v>
      </c>
      <c r="B464" s="5" t="inlineStr">
        <is>
          <t>Ausentísmo por causa médica</t>
        </is>
      </c>
      <c r="C464" s="5" t="inlineStr">
        <is>
          <t>GESTIÓN DE SEGURIDAD Y SALUD EN EL TRABAJO</t>
        </is>
      </c>
      <c r="D464" s="5" t="inlineStr">
        <is>
          <t>Mensual</t>
        </is>
      </c>
      <c r="E464" s="5" t="inlineStr">
        <is>
          <t>Negativo</t>
        </is>
      </c>
      <c r="F464" s="107" t="n">
        <v>45900</v>
      </c>
      <c r="G464" s="5" t="n">
        <v>2025</v>
      </c>
      <c r="H464" s="5" t="inlineStr">
        <is>
          <t>Agosto</t>
        </is>
      </c>
      <c r="I464" s="6" t="inlineStr">
        <is>
          <t>2025-2</t>
        </is>
      </c>
      <c r="J464" s="5" t="n">
        <v>1</v>
      </c>
      <c r="K464" s="96" t="n">
        <v>0.97</v>
      </c>
      <c r="L464" s="14">
        <f>IFERROR(IF(OR(J464=0,K464=""),"",IF(E464="Positivo",MIN(MAX(K464/J464,0),1.3),MIN(MAX(J464/K464,0),1.3))),"") </f>
        <v/>
      </c>
      <c r="M464" s="14">
        <f>IFERROR(IF(OR(J464=0,K464=""),"",IF(E464="Positivo",MAX(K464/J464,0),MAX(J464/K464,0))),"") </f>
        <v/>
      </c>
      <c r="N464" s="5" t="inlineStr">
        <is>
          <t>ENT</t>
        </is>
      </c>
      <c r="O464" s="5" t="inlineStr">
        <is>
          <t>DEC</t>
        </is>
      </c>
      <c r="P464" s="15" t="n">
        <v>0</v>
      </c>
      <c r="Q464" s="15" t="n">
        <v>2</v>
      </c>
      <c r="R464" s="5" t="inlineStr">
        <is>
          <t>128-2025-08-31</t>
        </is>
      </c>
    </row>
    <row r="465">
      <c r="A465" s="21" t="n">
        <v>128</v>
      </c>
      <c r="B465" s="5" t="inlineStr">
        <is>
          <t>Ausentísmo por causa médica</t>
        </is>
      </c>
      <c r="C465" s="5" t="inlineStr">
        <is>
          <t>GESTIÓN DE SEGURIDAD Y SALUD EN EL TRABAJO</t>
        </is>
      </c>
      <c r="D465" s="5" t="inlineStr">
        <is>
          <t>Mensual</t>
        </is>
      </c>
      <c r="E465" s="5" t="inlineStr">
        <is>
          <t>Negativo</t>
        </is>
      </c>
      <c r="F465" s="107" t="n">
        <v>45930</v>
      </c>
      <c r="G465" s="5" t="n">
        <v>2025</v>
      </c>
      <c r="H465" s="5" t="inlineStr">
        <is>
          <t>Septiembre</t>
        </is>
      </c>
      <c r="I465" s="6" t="inlineStr">
        <is>
          <t>2025-2</t>
        </is>
      </c>
      <c r="J465" s="5" t="n">
        <v>1</v>
      </c>
      <c r="K465" s="96" t="n">
        <v>0.72</v>
      </c>
      <c r="L465" s="14">
        <f>IFERROR(IF(OR(J465=0,K465=""),"",IF(E465="Positivo",MIN(MAX(K465/J465,0),1.3),MIN(MAX(J465/K465,0),1.3))),"") </f>
        <v/>
      </c>
      <c r="M465" s="14">
        <f>IFERROR(IF(OR(J465=0,K465=""),"",IF(E465="Positivo",MAX(K465/J465,0),MAX(J465/K465,0))),"") </f>
        <v/>
      </c>
      <c r="N465" s="5" t="inlineStr">
        <is>
          <t>ENT</t>
        </is>
      </c>
      <c r="O465" s="5" t="inlineStr">
        <is>
          <t>DEC</t>
        </is>
      </c>
      <c r="P465" s="15" t="n">
        <v>0</v>
      </c>
      <c r="Q465" s="15" t="n">
        <v>2</v>
      </c>
      <c r="R465" s="5" t="inlineStr">
        <is>
          <t>128-2025-09-30</t>
        </is>
      </c>
    </row>
    <row r="466">
      <c r="A466" s="21" t="n">
        <v>128</v>
      </c>
      <c r="B466" s="5" t="inlineStr">
        <is>
          <t>Ausentísmo por causa médica</t>
        </is>
      </c>
      <c r="C466" s="5" t="inlineStr">
        <is>
          <t>GESTIÓN DE SEGURIDAD Y SALUD EN EL TRABAJO</t>
        </is>
      </c>
      <c r="D466" s="5" t="inlineStr">
        <is>
          <t>Mensual</t>
        </is>
      </c>
      <c r="E466" s="5" t="inlineStr">
        <is>
          <t>Negativo</t>
        </is>
      </c>
      <c r="F466" s="107" t="n">
        <v>45961</v>
      </c>
      <c r="G466" s="5" t="n">
        <v>2025</v>
      </c>
      <c r="H466" s="5" t="inlineStr">
        <is>
          <t>Octubre</t>
        </is>
      </c>
      <c r="I466" s="6" t="inlineStr">
        <is>
          <t>2025-2</t>
        </is>
      </c>
      <c r="J466" s="5" t="n">
        <v>1</v>
      </c>
      <c r="K466" s="96" t="n">
        <v>0.6899999999999999</v>
      </c>
      <c r="L466" s="14">
        <f>IFERROR(IF(OR(J466=0,K466=""),"",IF(E466="Positivo",MIN(MAX(K466/J466,0),1.3),MIN(MAX(J466/K466,0),1.3))),"") </f>
        <v/>
      </c>
      <c r="M466" s="14">
        <f>IFERROR(IF(OR(J466=0,K466=""),"",IF(E466="Positivo",MAX(K466/J466,0),MAX(J466/K466,0))),"") </f>
        <v/>
      </c>
      <c r="N466" s="5" t="inlineStr">
        <is>
          <t>ENT</t>
        </is>
      </c>
      <c r="O466" s="5" t="inlineStr">
        <is>
          <t>DEC</t>
        </is>
      </c>
      <c r="P466" s="15" t="n">
        <v>0</v>
      </c>
      <c r="Q466" s="15" t="n">
        <v>2</v>
      </c>
      <c r="R466" s="5" t="inlineStr">
        <is>
          <t>128-2025-10-31</t>
        </is>
      </c>
    </row>
    <row r="467">
      <c r="A467" s="21" t="n">
        <v>128</v>
      </c>
      <c r="B467" s="5" t="inlineStr">
        <is>
          <t>Ausentísmo por causa médica</t>
        </is>
      </c>
      <c r="C467" s="5" t="inlineStr">
        <is>
          <t>GESTIÓN DE SEGURIDAD Y SALUD EN EL TRABAJO</t>
        </is>
      </c>
      <c r="D467" s="5" t="inlineStr">
        <is>
          <t>Mensual</t>
        </is>
      </c>
      <c r="E467" s="5" t="inlineStr">
        <is>
          <t>Negativo</t>
        </is>
      </c>
      <c r="F467" s="107" t="n">
        <v>45991</v>
      </c>
      <c r="G467" s="5" t="n">
        <v>2025</v>
      </c>
      <c r="H467" s="5" t="inlineStr">
        <is>
          <t>Noviembre</t>
        </is>
      </c>
      <c r="I467" s="6" t="inlineStr">
        <is>
          <t>2025-2</t>
        </is>
      </c>
      <c r="J467" s="5" t="n">
        <v>1</v>
      </c>
      <c r="K467" s="96" t="n">
        <v>0.95</v>
      </c>
      <c r="L467" s="14">
        <f>IFERROR(IF(OR(J467=0,K467=""),"",IF(E467="Positivo",MIN(MAX(K467/J467,0),1.3),MIN(MAX(J467/K467,0),1.3))),"") </f>
        <v/>
      </c>
      <c r="M467" s="14">
        <f>IFERROR(IF(OR(J467=0,K467=""),"",IF(E467="Positivo",MAX(K467/J467,0),MAX(J467/K467,0))),"") </f>
        <v/>
      </c>
      <c r="N467" s="5" t="inlineStr">
        <is>
          <t>ENT</t>
        </is>
      </c>
      <c r="O467" s="5" t="inlineStr">
        <is>
          <t>DEC</t>
        </is>
      </c>
      <c r="P467" s="15" t="n">
        <v>0</v>
      </c>
      <c r="Q467" s="15" t="n">
        <v>2</v>
      </c>
      <c r="R467" s="5" t="inlineStr">
        <is>
          <t>128-2025-11-30</t>
        </is>
      </c>
    </row>
    <row r="468">
      <c r="A468" s="21" t="n">
        <v>128</v>
      </c>
      <c r="B468" s="5" t="inlineStr">
        <is>
          <t>Ausentísmo por causa médica</t>
        </is>
      </c>
      <c r="C468" s="5" t="inlineStr">
        <is>
          <t>GESTIÓN DE SEGURIDAD Y SALUD EN EL TRABAJO</t>
        </is>
      </c>
      <c r="D468" s="5" t="inlineStr">
        <is>
          <t>Mensual</t>
        </is>
      </c>
      <c r="E468" s="5" t="inlineStr">
        <is>
          <t>Negativo</t>
        </is>
      </c>
      <c r="F468" s="107" t="n">
        <v>46022</v>
      </c>
      <c r="G468" s="5" t="n">
        <v>2025</v>
      </c>
      <c r="H468" s="5" t="inlineStr">
        <is>
          <t>Diciembre</t>
        </is>
      </c>
      <c r="I468" s="6" t="inlineStr">
        <is>
          <t>2025-2</t>
        </is>
      </c>
      <c r="J468" s="5" t="n">
        <v>1</v>
      </c>
      <c r="K468" s="9" t="n">
        <v>0.97</v>
      </c>
      <c r="L468" s="14">
        <f>IFERROR(IF(OR(J468=0,K468=""),"",IF(E468="Positivo",MIN(MAX(K468/J468,0),1.3),MIN(MAX(J468/K468,0),1.3))),"") </f>
        <v/>
      </c>
      <c r="M468" s="14">
        <f>IFERROR(IF(OR(J468=0,K468=""),"",IF(E468="Positivo",MAX(K468/J468,0),MAX(J468/K468,0))),"") </f>
        <v/>
      </c>
      <c r="N468" s="5" t="inlineStr">
        <is>
          <t>ENT</t>
        </is>
      </c>
      <c r="O468" s="5" t="inlineStr">
        <is>
          <t>DEC</t>
        </is>
      </c>
      <c r="P468" s="15" t="n">
        <v>0</v>
      </c>
      <c r="Q468" s="15" t="n">
        <v>2</v>
      </c>
      <c r="R468" s="5" t="inlineStr">
        <is>
          <t>128-2025-12-31</t>
        </is>
      </c>
    </row>
    <row r="469">
      <c r="A469" s="21" t="n">
        <v>133</v>
      </c>
      <c r="B469" s="5" t="inlineStr">
        <is>
          <t>Nivel de Satisfacción Servicios Prestados</t>
        </is>
      </c>
      <c r="C469" s="5" t="inlineStr">
        <is>
          <t>VISIBILIDAD NACIONAL E INTERNACIONAL</t>
        </is>
      </c>
      <c r="D469" s="5" t="inlineStr">
        <is>
          <t>Anual</t>
        </is>
      </c>
      <c r="E469" s="5" t="inlineStr">
        <is>
          <t>Positivo</t>
        </is>
      </c>
      <c r="F469" s="107" t="n">
        <v>44865</v>
      </c>
      <c r="G469" s="5" t="n">
        <v>2022</v>
      </c>
      <c r="H469" s="5" t="inlineStr">
        <is>
          <t>Octubre</t>
        </is>
      </c>
      <c r="I469" s="6" t="inlineStr">
        <is>
          <t>2022-2</t>
        </is>
      </c>
      <c r="J469" s="5" t="n">
        <v>80</v>
      </c>
      <c r="K469" s="10" t="n">
        <v>90</v>
      </c>
      <c r="L469" s="14">
        <f>IFERROR(IF(OR(J469=0,K469=""),"",IF(E469="Positivo",MIN(MAX(K469/J469,0),1.3),MIN(MAX(J469/K469,0),1.3))),"") </f>
        <v/>
      </c>
      <c r="M469" s="14">
        <f>IFERROR(IF(OR(J469=0,K469=""),"",IF(E469="Positivo",MAX(K469/J469,0),MAX(J469/K469,0))),"") </f>
        <v/>
      </c>
      <c r="N469" s="5" t="inlineStr">
        <is>
          <t>%</t>
        </is>
      </c>
      <c r="O469" s="5" t="inlineStr">
        <is>
          <t>%</t>
        </is>
      </c>
      <c r="P469" s="15" t="n">
        <v>0</v>
      </c>
      <c r="Q469" s="15" t="n">
        <v>0</v>
      </c>
      <c r="R469" s="5" t="inlineStr">
        <is>
          <t>133-2022-10-31</t>
        </is>
      </c>
    </row>
    <row r="470">
      <c r="A470" s="5" t="n">
        <v>133</v>
      </c>
      <c r="B470" s="5" t="inlineStr">
        <is>
          <t>Nivel de Satisfacción Servicios Prestados</t>
        </is>
      </c>
      <c r="C470" s="5" t="inlineStr">
        <is>
          <t>VISIBILIDAD NACIONAL E INTERNACIONAL</t>
        </is>
      </c>
      <c r="D470" s="5" t="inlineStr">
        <is>
          <t>Anual</t>
        </is>
      </c>
      <c r="E470" s="5" t="inlineStr">
        <is>
          <t>Positivo</t>
        </is>
      </c>
      <c r="F470" s="107" t="n">
        <v>45230</v>
      </c>
      <c r="G470" s="5" t="n">
        <v>2023</v>
      </c>
      <c r="H470" s="5" t="inlineStr">
        <is>
          <t>Octubre</t>
        </is>
      </c>
      <c r="I470" s="6" t="inlineStr">
        <is>
          <t>2023-2</t>
        </is>
      </c>
      <c r="J470" s="5" t="n">
        <v>80</v>
      </c>
      <c r="K470" s="5" t="n">
        <v>93</v>
      </c>
      <c r="L470" s="14">
        <f>IFERROR(IF(OR(J470=0,K470=""),"",IF(E470="Positivo",MIN(MAX(K470/J470,0),1.3),MIN(MAX(J470/K470,0),1.3))),"") </f>
        <v/>
      </c>
      <c r="M470" s="14">
        <f>IFERROR(IF(OR(J470=0,K470=""),"",IF(E470="Positivo",MAX(K470/J470,0),MAX(J470/K470,0))),"") </f>
        <v/>
      </c>
      <c r="N470" s="5" t="inlineStr">
        <is>
          <t>%</t>
        </is>
      </c>
      <c r="O470" s="5" t="inlineStr">
        <is>
          <t>%</t>
        </is>
      </c>
      <c r="P470" s="5" t="n">
        <v>0</v>
      </c>
      <c r="Q470" s="5" t="n">
        <v>0</v>
      </c>
      <c r="R470" s="5" t="inlineStr">
        <is>
          <t>133-2023-10-31</t>
        </is>
      </c>
    </row>
    <row r="471">
      <c r="A471" s="21" t="n">
        <v>133</v>
      </c>
      <c r="B471" s="5" t="inlineStr">
        <is>
          <t>Nivel de Satisfacción Servicios Prestados</t>
        </is>
      </c>
      <c r="C471" s="5" t="inlineStr">
        <is>
          <t>VISIBILIDAD NACIONAL E INTERNACIONAL</t>
        </is>
      </c>
      <c r="D471" s="5" t="inlineStr">
        <is>
          <t>Anual</t>
        </is>
      </c>
      <c r="E471" s="5" t="inlineStr">
        <is>
          <t>Positivo</t>
        </is>
      </c>
      <c r="F471" s="107" t="n">
        <v>45291</v>
      </c>
      <c r="G471" s="5" t="n">
        <v>2023</v>
      </c>
      <c r="H471" s="5" t="inlineStr">
        <is>
          <t>Diciembre</t>
        </is>
      </c>
      <c r="I471" s="6" t="inlineStr">
        <is>
          <t>2023-2</t>
        </is>
      </c>
      <c r="J471" s="5" t="n">
        <v>80</v>
      </c>
      <c r="K471" s="10" t="n">
        <v>92.78911564625851</v>
      </c>
      <c r="L471" s="14">
        <f>IFERROR(IF(OR(J471=0,K471=""),"",IF(E471="Positivo",MIN(MAX(K471/J471,0),1.3),MIN(MAX(J471/K471,0),1.3))),"") </f>
        <v/>
      </c>
      <c r="M471" s="14">
        <f>IFERROR(IF(OR(J471=0,K471=""),"",IF(E471="Positivo",MAX(K471/J471,0),MAX(J471/K471,0))),"") </f>
        <v/>
      </c>
      <c r="N471" s="5" t="inlineStr">
        <is>
          <t>%</t>
        </is>
      </c>
      <c r="O471" s="5" t="inlineStr">
        <is>
          <t>%</t>
        </is>
      </c>
      <c r="P471" s="15" t="n">
        <v>0</v>
      </c>
      <c r="Q471" s="15" t="n">
        <v>0</v>
      </c>
      <c r="R471" s="5" t="inlineStr">
        <is>
          <t>133-2023-12-31</t>
        </is>
      </c>
    </row>
    <row r="472">
      <c r="A472" s="21" t="n">
        <v>133</v>
      </c>
      <c r="B472" s="5" t="inlineStr">
        <is>
          <t>Nivel de Satisfacción Servicios Prestados</t>
        </is>
      </c>
      <c r="C472" s="5" t="inlineStr">
        <is>
          <t>VISIBILIDAD NACIONAL E INTERNACIONAL</t>
        </is>
      </c>
      <c r="D472" s="5" t="inlineStr">
        <is>
          <t>Anual</t>
        </is>
      </c>
      <c r="E472" s="5" t="inlineStr">
        <is>
          <t>Positivo</t>
        </is>
      </c>
      <c r="F472" s="107" t="n">
        <v>45596</v>
      </c>
      <c r="G472" s="5" t="n">
        <v>2024</v>
      </c>
      <c r="H472" s="5" t="inlineStr">
        <is>
          <t>Octubre</t>
        </is>
      </c>
      <c r="I472" s="6" t="inlineStr">
        <is>
          <t>2024-2</t>
        </is>
      </c>
      <c r="J472" s="5" t="n">
        <v>80</v>
      </c>
      <c r="K472" s="10" t="n">
        <v>91</v>
      </c>
      <c r="L472" s="14">
        <f>IFERROR(IF(OR(J472=0,K472=""),"",IF(E472="Positivo",MIN(MAX(K472/J472,0),1.3),MIN(MAX(J472/K472,0),1.3))),"") </f>
        <v/>
      </c>
      <c r="M472" s="14">
        <f>IFERROR(IF(OR(J472=0,K472=""),"",IF(E472="Positivo",MAX(K472/J472,0),MAX(J472/K472,0))),"") </f>
        <v/>
      </c>
      <c r="N472" s="5" t="inlineStr">
        <is>
          <t>%</t>
        </is>
      </c>
      <c r="O472" s="5" t="inlineStr">
        <is>
          <t>%</t>
        </is>
      </c>
      <c r="P472" s="15" t="n">
        <v>0</v>
      </c>
      <c r="Q472" s="15" t="n">
        <v>0</v>
      </c>
      <c r="R472" s="5" t="inlineStr">
        <is>
          <t>133-2024-10-31</t>
        </is>
      </c>
    </row>
    <row r="473">
      <c r="A473" s="21" t="n">
        <v>133</v>
      </c>
      <c r="B473" s="5" t="inlineStr">
        <is>
          <t>Nivel de Satisfacción Servicios Prestados</t>
        </is>
      </c>
      <c r="C473" s="5" t="inlineStr">
        <is>
          <t>VISIBILIDAD NACIONAL E INTERNACIONAL</t>
        </is>
      </c>
      <c r="D473" s="5" t="inlineStr">
        <is>
          <t>Anual</t>
        </is>
      </c>
      <c r="E473" s="5" t="inlineStr">
        <is>
          <t>Positivo</t>
        </is>
      </c>
      <c r="F473" s="107" t="n">
        <v>45657</v>
      </c>
      <c r="G473" s="5" t="n">
        <v>2024</v>
      </c>
      <c r="H473" s="5" t="inlineStr">
        <is>
          <t>Diciembre</t>
        </is>
      </c>
      <c r="I473" s="6" t="inlineStr">
        <is>
          <t>2024-2</t>
        </is>
      </c>
      <c r="J473" s="5" t="n">
        <v>80</v>
      </c>
      <c r="K473" s="96" t="n">
        <v>91</v>
      </c>
      <c r="L473" s="14">
        <f>IFERROR(IF(OR(J473=0,K473=""),"",IF(E473="Positivo",MIN(MAX(K473/J473,0),1.3),MIN(MAX(J473/K473,0),1.3))),"") </f>
        <v/>
      </c>
      <c r="M473" s="14">
        <f>IFERROR(IF(OR(J473=0,K473=""),"",IF(E473="Positivo",MAX(K473/J473,0),MAX(J473/K473,0))),"") </f>
        <v/>
      </c>
      <c r="N473" s="5" t="inlineStr">
        <is>
          <t>%</t>
        </is>
      </c>
      <c r="O473" s="5" t="inlineStr">
        <is>
          <t>%</t>
        </is>
      </c>
      <c r="P473" s="15" t="n">
        <v>0</v>
      </c>
      <c r="Q473" s="15" t="n">
        <v>0</v>
      </c>
      <c r="R473" s="5" t="inlineStr">
        <is>
          <t>133-2024-12-31</t>
        </is>
      </c>
    </row>
    <row r="474">
      <c r="A474" s="21" t="n">
        <v>133</v>
      </c>
      <c r="B474" s="5" t="inlineStr">
        <is>
          <t>Nivel de Satisfacción Servicios Prestados</t>
        </is>
      </c>
      <c r="C474" s="5" t="inlineStr">
        <is>
          <t>VISIBILIDAD NACIONAL E INTERNACIONAL</t>
        </is>
      </c>
      <c r="D474" s="5" t="inlineStr">
        <is>
          <t>Anual</t>
        </is>
      </c>
      <c r="E474" s="5" t="inlineStr">
        <is>
          <t>Positivo</t>
        </is>
      </c>
      <c r="F474" s="106" t="n">
        <v>45961</v>
      </c>
      <c r="G474" s="5" t="n">
        <v>2025</v>
      </c>
      <c r="H474" s="5" t="inlineStr">
        <is>
          <t>Octubre</t>
        </is>
      </c>
      <c r="I474" s="6" t="inlineStr">
        <is>
          <t>2025-2</t>
        </is>
      </c>
      <c r="J474" s="5" t="n">
        <v>80</v>
      </c>
      <c r="K474" s="96" t="n">
        <v>96</v>
      </c>
      <c r="L474" s="14">
        <f>IFERROR(IF(OR(J474=0,K474=""),"",IF(E474="Positivo",MIN(MAX(K474/J474,0),1.3),MIN(MAX(J474/K474,0),1.3))),"") </f>
        <v/>
      </c>
      <c r="M474" s="14">
        <f>IFERROR(IF(OR(J474=0,K474=""),"",IF(E474="Positivo",MAX(K474/J474,0),MAX(J474/K474,0))),"") </f>
        <v/>
      </c>
      <c r="N474" s="5" t="inlineStr">
        <is>
          <t>%</t>
        </is>
      </c>
      <c r="O474" s="5" t="inlineStr">
        <is>
          <t>%</t>
        </is>
      </c>
      <c r="P474" s="15" t="n">
        <v>0</v>
      </c>
      <c r="Q474" s="15" t="n">
        <v>0</v>
      </c>
      <c r="R474" s="5" t="inlineStr">
        <is>
          <t>133-2025-10-31</t>
        </is>
      </c>
    </row>
    <row r="475">
      <c r="A475" s="21" t="n">
        <v>136</v>
      </c>
      <c r="B475" s="5" t="inlineStr">
        <is>
          <t>Ejecución de actividades culturales</t>
        </is>
      </c>
      <c r="C475" s="5" t="inlineStr">
        <is>
          <t>Biblioteca Institucional</t>
        </is>
      </c>
      <c r="D475" s="5" t="inlineStr">
        <is>
          <t>Semestral</t>
        </is>
      </c>
      <c r="E475" s="5" t="inlineStr">
        <is>
          <t>Positivo</t>
        </is>
      </c>
      <c r="F475" s="107" t="n">
        <v>45107</v>
      </c>
      <c r="G475" s="5" t="n">
        <v>2023</v>
      </c>
      <c r="H475" s="5" t="inlineStr">
        <is>
          <t>Junio</t>
        </is>
      </c>
      <c r="I475" s="6" t="inlineStr">
        <is>
          <t>2023-1</t>
        </is>
      </c>
      <c r="J475" s="5" t="n">
        <v>90</v>
      </c>
      <c r="K475" s="96" t="n">
        <v>105.56</v>
      </c>
      <c r="L475" s="14">
        <f>IFERROR(IF(OR(J475=0,K475=""),"",IF(E475="Positivo",MIN(MAX(K475/J475,0),1.3),MIN(MAX(J475/K475,0),1.3))),"") </f>
        <v/>
      </c>
      <c r="M475" s="14">
        <f>IFERROR(IF(OR(J475=0,K475=""),"",IF(E475="Positivo",MAX(K475/J475,0),MAX(J475/K475,0))),"") </f>
        <v/>
      </c>
      <c r="N475" s="5" t="inlineStr">
        <is>
          <t>%</t>
        </is>
      </c>
      <c r="O475" s="5" t="inlineStr">
        <is>
          <t>%</t>
        </is>
      </c>
      <c r="P475" s="15" t="n">
        <v>0</v>
      </c>
      <c r="Q475" s="15" t="n">
        <v>0</v>
      </c>
      <c r="R475" s="5" t="inlineStr">
        <is>
          <t>136-2023-06-30</t>
        </is>
      </c>
    </row>
    <row r="476">
      <c r="A476" s="21" t="n">
        <v>136</v>
      </c>
      <c r="B476" s="5" t="inlineStr">
        <is>
          <t>Ejecución de actividades culturales</t>
        </is>
      </c>
      <c r="C476" s="5" t="inlineStr">
        <is>
          <t>Biblioteca Institucional</t>
        </is>
      </c>
      <c r="D476" s="5" t="inlineStr">
        <is>
          <t>Semestral</t>
        </is>
      </c>
      <c r="E476" s="5" t="inlineStr">
        <is>
          <t>Positivo</t>
        </is>
      </c>
      <c r="F476" s="107" t="n">
        <v>45291</v>
      </c>
      <c r="G476" s="5" t="n">
        <v>2023</v>
      </c>
      <c r="H476" s="5" t="inlineStr">
        <is>
          <t>Diciembre</t>
        </is>
      </c>
      <c r="I476" s="6" t="inlineStr">
        <is>
          <t>2023-2</t>
        </is>
      </c>
      <c r="J476" s="5" t="n">
        <v>90</v>
      </c>
      <c r="K476" s="96" t="n">
        <v>94.44</v>
      </c>
      <c r="L476" s="14">
        <f>IFERROR(IF(OR(J476=0,K476=""),"",IF(E476="Positivo",MIN(MAX(K476/J476,0),1.3),MIN(MAX(J476/K476,0),1.3))),"") </f>
        <v/>
      </c>
      <c r="M476" s="14">
        <f>IFERROR(IF(OR(J476=0,K476=""),"",IF(E476="Positivo",MAX(K476/J476,0),MAX(J476/K476,0))),"") </f>
        <v/>
      </c>
      <c r="N476" s="5" t="inlineStr">
        <is>
          <t>%</t>
        </is>
      </c>
      <c r="O476" s="5" t="inlineStr">
        <is>
          <t>%</t>
        </is>
      </c>
      <c r="P476" s="15" t="n">
        <v>0</v>
      </c>
      <c r="Q476" s="15" t="n">
        <v>0</v>
      </c>
      <c r="R476" s="5" t="inlineStr">
        <is>
          <t>136-2023-12-31</t>
        </is>
      </c>
    </row>
    <row r="477">
      <c r="A477" s="21" t="n">
        <v>137</v>
      </c>
      <c r="B477" s="5" t="inlineStr">
        <is>
          <t>Ejecución de Talleres de formación</t>
        </is>
      </c>
      <c r="C477" s="5" t="inlineStr">
        <is>
          <t>Biblioteca Institucional</t>
        </is>
      </c>
      <c r="D477" s="5" t="inlineStr">
        <is>
          <t>Trimestral</t>
        </is>
      </c>
      <c r="E477" s="5" t="inlineStr">
        <is>
          <t>Positivo</t>
        </is>
      </c>
      <c r="F477" s="107" t="n">
        <v>45016</v>
      </c>
      <c r="G477" s="5" t="n">
        <v>2023</v>
      </c>
      <c r="H477" s="5" t="inlineStr">
        <is>
          <t>Marzo</t>
        </is>
      </c>
      <c r="I477" s="6" t="inlineStr">
        <is>
          <t>2023-1</t>
        </is>
      </c>
      <c r="J477" s="5" t="n">
        <v>86</v>
      </c>
      <c r="K477" s="96" t="n">
        <v>87</v>
      </c>
      <c r="L477" s="14">
        <f>IFERROR(IF(OR(J477=0,K477=""),"",IF(E477="Positivo",MIN(MAX(K477/J477,0),1.3),MIN(MAX(J477/K477,0),1.3))),"") </f>
        <v/>
      </c>
      <c r="M477" s="14">
        <f>IFERROR(IF(OR(J477=0,K477=""),"",IF(E477="Positivo",MAX(K477/J477,0),MAX(J477/K477,0))),"") </f>
        <v/>
      </c>
      <c r="N477" s="5" t="inlineStr">
        <is>
          <t>%</t>
        </is>
      </c>
      <c r="O477" s="5" t="inlineStr">
        <is>
          <t>%</t>
        </is>
      </c>
      <c r="P477" s="15" t="n">
        <v>0</v>
      </c>
      <c r="Q477" s="15" t="n">
        <v>0</v>
      </c>
      <c r="R477" s="5" t="inlineStr">
        <is>
          <t>137-2023-03-31</t>
        </is>
      </c>
    </row>
    <row r="478">
      <c r="A478" s="21" t="n">
        <v>137</v>
      </c>
      <c r="B478" s="5" t="inlineStr">
        <is>
          <t>Ejecución de Talleres de formación</t>
        </is>
      </c>
      <c r="C478" s="5" t="inlineStr">
        <is>
          <t>Biblioteca Institucional</t>
        </is>
      </c>
      <c r="D478" s="5" t="inlineStr">
        <is>
          <t>Trimestral</t>
        </is>
      </c>
      <c r="E478" s="5" t="inlineStr">
        <is>
          <t>Positivo</t>
        </is>
      </c>
      <c r="F478" s="107" t="n">
        <v>45107</v>
      </c>
      <c r="G478" s="5" t="n">
        <v>2023</v>
      </c>
      <c r="H478" s="5" t="inlineStr">
        <is>
          <t>Junio</t>
        </is>
      </c>
      <c r="I478" s="6" t="inlineStr">
        <is>
          <t>2023-1</t>
        </is>
      </c>
      <c r="J478" s="5" t="n">
        <v>126</v>
      </c>
      <c r="K478" s="96" t="n">
        <v>126</v>
      </c>
      <c r="L478" s="14">
        <f>IFERROR(IF(OR(J478=0,K478=""),"",IF(E478="Positivo",MIN(MAX(K478/J478,0),1.3),MIN(MAX(J478/K478,0),1.3))),"") </f>
        <v/>
      </c>
      <c r="M478" s="14">
        <f>IFERROR(IF(OR(J478=0,K478=""),"",IF(E478="Positivo",MAX(K478/J478,0),MAX(J478/K478,0))),"") </f>
        <v/>
      </c>
      <c r="N478" s="5" t="inlineStr">
        <is>
          <t>%</t>
        </is>
      </c>
      <c r="O478" s="5" t="inlineStr">
        <is>
          <t>%</t>
        </is>
      </c>
      <c r="P478" s="15" t="n">
        <v>0</v>
      </c>
      <c r="Q478" s="15" t="n">
        <v>0</v>
      </c>
      <c r="R478" s="5" t="inlineStr">
        <is>
          <t>137-2023-06-30</t>
        </is>
      </c>
    </row>
    <row r="479">
      <c r="A479" s="21" t="n">
        <v>137</v>
      </c>
      <c r="B479" s="5" t="inlineStr">
        <is>
          <t>Ejecución de Talleres de formación</t>
        </is>
      </c>
      <c r="C479" s="5" t="inlineStr">
        <is>
          <t>Biblioteca Institucional</t>
        </is>
      </c>
      <c r="D479" s="5" t="inlineStr">
        <is>
          <t>Trimestral</t>
        </is>
      </c>
      <c r="E479" s="5" t="inlineStr">
        <is>
          <t>Positivo</t>
        </is>
      </c>
      <c r="F479" s="107" t="n">
        <v>45199</v>
      </c>
      <c r="G479" s="5" t="n">
        <v>2023</v>
      </c>
      <c r="H479" s="5" t="inlineStr">
        <is>
          <t>Septiembre</t>
        </is>
      </c>
      <c r="I479" s="6" t="inlineStr">
        <is>
          <t>2023-2</t>
        </is>
      </c>
      <c r="J479" s="5" t="n">
        <v>138</v>
      </c>
      <c r="K479" s="96" t="n">
        <v>138</v>
      </c>
      <c r="L479" s="14">
        <f>IFERROR(IF(OR(J479=0,K479=""),"",IF(E479="Positivo",MIN(MAX(K479/J479,0),1.3),MIN(MAX(J479/K479,0),1.3))),"") </f>
        <v/>
      </c>
      <c r="M479" s="14">
        <f>IFERROR(IF(OR(J479=0,K479=""),"",IF(E479="Positivo",MAX(K479/J479,0),MAX(J479/K479,0))),"") </f>
        <v/>
      </c>
      <c r="N479" s="5" t="inlineStr">
        <is>
          <t>%</t>
        </is>
      </c>
      <c r="O479" s="5" t="inlineStr">
        <is>
          <t>%</t>
        </is>
      </c>
      <c r="P479" s="15" t="n">
        <v>0</v>
      </c>
      <c r="Q479" s="15" t="n">
        <v>0</v>
      </c>
      <c r="R479" s="5" t="inlineStr">
        <is>
          <t>137-2023-09-30</t>
        </is>
      </c>
    </row>
    <row r="480">
      <c r="A480" s="21" t="n">
        <v>137</v>
      </c>
      <c r="B480" s="5" t="inlineStr">
        <is>
          <t>Ejecución de Talleres de formación</t>
        </is>
      </c>
      <c r="C480" s="5" t="inlineStr">
        <is>
          <t>Biblioteca Institucional</t>
        </is>
      </c>
      <c r="D480" s="5" t="inlineStr">
        <is>
          <t>Trimestral</t>
        </is>
      </c>
      <c r="E480" s="5" t="inlineStr">
        <is>
          <t>Positivo</t>
        </is>
      </c>
      <c r="F480" s="107" t="n">
        <v>45291</v>
      </c>
      <c r="G480" s="5" t="n">
        <v>2023</v>
      </c>
      <c r="H480" s="5" t="inlineStr">
        <is>
          <t>Diciembre</t>
        </is>
      </c>
      <c r="I480" s="6" t="inlineStr">
        <is>
          <t>2023-2</t>
        </is>
      </c>
      <c r="J480" s="5" t="n">
        <v>97</v>
      </c>
      <c r="K480" s="96" t="n">
        <v>97</v>
      </c>
      <c r="L480" s="14">
        <f>IFERROR(IF(OR(J480=0,K480=""),"",IF(E480="Positivo",MIN(MAX(K480/J480,0),1.3),MIN(MAX(J480/K480,0),1.3))),"") </f>
        <v/>
      </c>
      <c r="M480" s="14">
        <f>IFERROR(IF(OR(J480=0,K480=""),"",IF(E480="Positivo",MAX(K480/J480,0),MAX(J480/K480,0))),"") </f>
        <v/>
      </c>
      <c r="N480" s="5" t="inlineStr">
        <is>
          <t>%</t>
        </is>
      </c>
      <c r="O480" s="5" t="inlineStr">
        <is>
          <t>%</t>
        </is>
      </c>
      <c r="P480" s="15" t="n">
        <v>0</v>
      </c>
      <c r="Q480" s="15" t="n">
        <v>0</v>
      </c>
      <c r="R480" s="5" t="inlineStr">
        <is>
          <t>137-2023-12-31</t>
        </is>
      </c>
    </row>
    <row r="481">
      <c r="A481" s="21" t="n">
        <v>139</v>
      </c>
      <c r="B481" s="5" t="inlineStr">
        <is>
          <t>Ejecución presupuestal del gasto</t>
        </is>
      </c>
      <c r="C481" s="5" t="inlineStr">
        <is>
          <t>Biblioteca Institucional</t>
        </is>
      </c>
      <c r="D481" s="5" t="inlineStr">
        <is>
          <t>Mensual</t>
        </is>
      </c>
      <c r="E481" s="5" t="inlineStr">
        <is>
          <t>Negativo</t>
        </is>
      </c>
      <c r="F481" s="107" t="n">
        <v>44957</v>
      </c>
      <c r="G481" s="5" t="n">
        <v>2023</v>
      </c>
      <c r="H481" s="5" t="inlineStr">
        <is>
          <t>Enero</t>
        </is>
      </c>
      <c r="I481" s="6" t="inlineStr">
        <is>
          <t>2023-1</t>
        </is>
      </c>
      <c r="J481" s="5" t="n">
        <v>58.044</v>
      </c>
      <c r="K481" s="96" t="n">
        <v>60.66</v>
      </c>
      <c r="L481" s="14">
        <f>IFERROR(IF(OR(J481=0,K481=""),"",IF(E481="Positivo",MIN(MAX(K481/J481,0),1.3),MIN(MAX(J481/K481,0),1.3))),"") </f>
        <v/>
      </c>
      <c r="M481" s="14">
        <f>IFERROR(IF(OR(J481=0,K481=""),"",IF(E481="Positivo",MAX(K481/J481,0),MAX(J481/K481,0))),"") </f>
        <v/>
      </c>
      <c r="N481" s="5" t="inlineStr">
        <is>
          <t>$</t>
        </is>
      </c>
      <c r="O481" s="5" t="inlineStr">
        <is>
          <t>$</t>
        </is>
      </c>
      <c r="P481" s="15" t="n">
        <v>2</v>
      </c>
      <c r="Q481" s="15" t="n">
        <v>2</v>
      </c>
      <c r="R481" s="5" t="inlineStr">
        <is>
          <t>139-2023-01-31</t>
        </is>
      </c>
    </row>
    <row r="482">
      <c r="A482" s="26" t="n">
        <v>139</v>
      </c>
      <c r="B482" s="5" t="inlineStr">
        <is>
          <t>Ejecución presupuestal del gasto</t>
        </is>
      </c>
      <c r="C482" s="5" t="inlineStr">
        <is>
          <t>Biblioteca Institucional</t>
        </is>
      </c>
      <c r="D482" s="5" t="inlineStr">
        <is>
          <t>Mensual</t>
        </is>
      </c>
      <c r="E482" s="5" t="inlineStr">
        <is>
          <t>Negativo</t>
        </is>
      </c>
      <c r="F482" s="107" t="n">
        <v>44985</v>
      </c>
      <c r="G482" s="5" t="n">
        <v>2023</v>
      </c>
      <c r="H482" s="5" t="inlineStr">
        <is>
          <t>Febrero</t>
        </is>
      </c>
      <c r="I482" s="6" t="inlineStr">
        <is>
          <t>2023-1</t>
        </is>
      </c>
      <c r="J482" s="5" t="n">
        <v>163.873</v>
      </c>
      <c r="K482" s="96" t="n">
        <v>115.421</v>
      </c>
      <c r="L482" s="14">
        <f>IFERROR(IF(OR(J482=0,K482=""),"",IF(E482="Positivo",MIN(MAX(K482/J482,0),1.3),MIN(MAX(J482/K482,0),1.3))),"") </f>
        <v/>
      </c>
      <c r="M482" s="14">
        <f>IFERROR(IF(OR(J482=0,K482=""),"",IF(E482="Positivo",MAX(K482/J482,0),MAX(J482/K482,0))),"") </f>
        <v/>
      </c>
      <c r="N482" s="5" t="inlineStr">
        <is>
          <t>$</t>
        </is>
      </c>
      <c r="O482" s="5" t="inlineStr">
        <is>
          <t>$</t>
        </is>
      </c>
      <c r="P482" s="15" t="n">
        <v>2</v>
      </c>
      <c r="Q482" s="15" t="n">
        <v>2</v>
      </c>
      <c r="R482" s="5" t="inlineStr">
        <is>
          <t>139-2023-02-28</t>
        </is>
      </c>
    </row>
    <row r="483">
      <c r="A483" s="26" t="n">
        <v>139</v>
      </c>
      <c r="B483" s="5" t="inlineStr">
        <is>
          <t>Ejecución presupuestal del gasto</t>
        </is>
      </c>
      <c r="C483" s="5" t="inlineStr">
        <is>
          <t>Biblioteca Institucional</t>
        </is>
      </c>
      <c r="D483" s="5" t="inlineStr">
        <is>
          <t>Mensual</t>
        </is>
      </c>
      <c r="E483" s="5" t="inlineStr">
        <is>
          <t>Negativo</t>
        </is>
      </c>
      <c r="F483" s="107" t="n">
        <v>45016</v>
      </c>
      <c r="G483" s="5" t="n">
        <v>2023</v>
      </c>
      <c r="H483" s="5" t="inlineStr">
        <is>
          <t>Marzo</t>
        </is>
      </c>
      <c r="I483" s="6" t="inlineStr">
        <is>
          <t>2023-1</t>
        </is>
      </c>
      <c r="J483" s="5" t="n">
        <v>336.818</v>
      </c>
      <c r="K483" s="96" t="n">
        <v>167.493</v>
      </c>
      <c r="L483" s="14">
        <f>IFERROR(IF(OR(J483=0,K483=""),"",IF(E483="Positivo",MIN(MAX(K483/J483,0),1.3),MIN(MAX(J483/K483,0),1.3))),"") </f>
        <v/>
      </c>
      <c r="M483" s="14">
        <f>IFERROR(IF(OR(J483=0,K483=""),"",IF(E483="Positivo",MAX(K483/J483,0),MAX(J483/K483,0))),"") </f>
        <v/>
      </c>
      <c r="N483" s="5" t="inlineStr">
        <is>
          <t>$</t>
        </is>
      </c>
      <c r="O483" s="5" t="inlineStr">
        <is>
          <t>$</t>
        </is>
      </c>
      <c r="P483" s="15" t="n">
        <v>2</v>
      </c>
      <c r="Q483" s="15" t="n">
        <v>2</v>
      </c>
      <c r="R483" s="5" t="inlineStr">
        <is>
          <t>139-2023-03-31</t>
        </is>
      </c>
    </row>
    <row r="484">
      <c r="A484" s="26" t="n">
        <v>139</v>
      </c>
      <c r="B484" s="5" t="inlineStr">
        <is>
          <t>Ejecución presupuestal del gasto</t>
        </is>
      </c>
      <c r="C484" s="5" t="inlineStr">
        <is>
          <t>Biblioteca Institucional</t>
        </is>
      </c>
      <c r="D484" s="5" t="inlineStr">
        <is>
          <t>Mensual</t>
        </is>
      </c>
      <c r="E484" s="5" t="inlineStr">
        <is>
          <t>Negativo</t>
        </is>
      </c>
      <c r="F484" s="107" t="n">
        <v>45046</v>
      </c>
      <c r="G484" s="5" t="n">
        <v>2023</v>
      </c>
      <c r="H484" s="5" t="inlineStr">
        <is>
          <t>Abril</t>
        </is>
      </c>
      <c r="I484" s="6" t="inlineStr">
        <is>
          <t>2023-1</t>
        </is>
      </c>
      <c r="J484" s="5" t="n">
        <v>424.518</v>
      </c>
      <c r="K484" s="96" t="n">
        <v>251.406</v>
      </c>
      <c r="L484" s="14">
        <f>IFERROR(IF(OR(J484=0,K484=""),"",IF(E484="Positivo",MIN(MAX(K484/J484,0),1.3),MIN(MAX(J484/K484,0),1.3))),"") </f>
        <v/>
      </c>
      <c r="M484" s="14">
        <f>IFERROR(IF(OR(J484=0,K484=""),"",IF(E484="Positivo",MAX(K484/J484,0),MAX(J484/K484,0))),"") </f>
        <v/>
      </c>
      <c r="N484" s="5" t="inlineStr">
        <is>
          <t>$</t>
        </is>
      </c>
      <c r="O484" s="5" t="inlineStr">
        <is>
          <t>$</t>
        </is>
      </c>
      <c r="P484" s="15" t="n">
        <v>2</v>
      </c>
      <c r="Q484" s="15" t="n">
        <v>2</v>
      </c>
      <c r="R484" s="5" t="inlineStr">
        <is>
          <t>139-2023-04-30</t>
        </is>
      </c>
    </row>
    <row r="485">
      <c r="A485" s="21" t="n">
        <v>139</v>
      </c>
      <c r="B485" s="5" t="inlineStr">
        <is>
          <t>Ejecución presupuestal del gasto</t>
        </is>
      </c>
      <c r="C485" s="5" t="inlineStr">
        <is>
          <t>Biblioteca Institucional</t>
        </is>
      </c>
      <c r="D485" s="5" t="inlineStr">
        <is>
          <t>Mensual</t>
        </is>
      </c>
      <c r="E485" s="5" t="inlineStr">
        <is>
          <t>Negativo</t>
        </is>
      </c>
      <c r="F485" s="107" t="n">
        <v>45077</v>
      </c>
      <c r="G485" s="5" t="n">
        <v>2023</v>
      </c>
      <c r="H485" s="5" t="inlineStr">
        <is>
          <t>Mayo</t>
        </is>
      </c>
      <c r="I485" s="6" t="inlineStr">
        <is>
          <t>2023-1</t>
        </is>
      </c>
      <c r="J485" s="5" t="n">
        <v>498.739</v>
      </c>
      <c r="K485" s="9" t="n">
        <v>329.68</v>
      </c>
      <c r="L485" s="14">
        <f>IFERROR(IF(OR(J485=0,K485=""),"",IF(E485="Positivo",MIN(MAX(K485/J485,0),1.3),MIN(MAX(J485/K485,0),1.3))),"") </f>
        <v/>
      </c>
      <c r="M485" s="14">
        <f>IFERROR(IF(OR(J485=0,K485=""),"",IF(E485="Positivo",MAX(K485/J485,0),MAX(J485/K485,0))),"") </f>
        <v/>
      </c>
      <c r="N485" s="5" t="inlineStr">
        <is>
          <t>$</t>
        </is>
      </c>
      <c r="O485" s="5" t="inlineStr">
        <is>
          <t>$</t>
        </is>
      </c>
      <c r="P485" s="15" t="n">
        <v>2</v>
      </c>
      <c r="Q485" s="15" t="n">
        <v>2</v>
      </c>
      <c r="R485" s="5" t="inlineStr">
        <is>
          <t>139-2023-05-31</t>
        </is>
      </c>
    </row>
    <row r="486">
      <c r="A486" s="21" t="n">
        <v>139</v>
      </c>
      <c r="B486" s="5" t="inlineStr">
        <is>
          <t>Ejecución presupuestal del gasto</t>
        </is>
      </c>
      <c r="C486" s="5" t="inlineStr">
        <is>
          <t>Biblioteca Institucional</t>
        </is>
      </c>
      <c r="D486" s="5" t="inlineStr">
        <is>
          <t>Mensual</t>
        </is>
      </c>
      <c r="E486" s="5" t="inlineStr">
        <is>
          <t>Negativo</t>
        </is>
      </c>
      <c r="F486" s="107" t="n">
        <v>45107</v>
      </c>
      <c r="G486" s="5" t="n">
        <v>2023</v>
      </c>
      <c r="H486" s="5" t="inlineStr">
        <is>
          <t>Junio</t>
        </is>
      </c>
      <c r="I486" s="6" t="inlineStr">
        <is>
          <t>2023-1</t>
        </is>
      </c>
      <c r="J486" s="5" t="n">
        <v>570.083</v>
      </c>
      <c r="K486" s="10" t="n">
        <v>410.077</v>
      </c>
      <c r="L486" s="14">
        <f>IFERROR(IF(OR(J486=0,K486=""),"",IF(E486="Positivo",MIN(MAX(K486/J486,0),1.3),MIN(MAX(J486/K486,0),1.3))),"") </f>
        <v/>
      </c>
      <c r="M486" s="14">
        <f>IFERROR(IF(OR(J486=0,K486=""),"",IF(E486="Positivo",MAX(K486/J486,0),MAX(J486/K486,0))),"") </f>
        <v/>
      </c>
      <c r="N486" s="5" t="inlineStr">
        <is>
          <t>$</t>
        </is>
      </c>
      <c r="O486" s="5" t="inlineStr">
        <is>
          <t>$</t>
        </is>
      </c>
      <c r="P486" s="15" t="n">
        <v>2</v>
      </c>
      <c r="Q486" s="15" t="n">
        <v>2</v>
      </c>
      <c r="R486" s="5" t="inlineStr">
        <is>
          <t>139-2023-06-30</t>
        </is>
      </c>
    </row>
    <row r="487">
      <c r="A487" s="21" t="n">
        <v>139</v>
      </c>
      <c r="B487" s="5" t="inlineStr">
        <is>
          <t>Ejecución presupuestal del gasto</t>
        </is>
      </c>
      <c r="C487" s="5" t="inlineStr">
        <is>
          <t>Biblioteca Institucional</t>
        </is>
      </c>
      <c r="D487" s="5" t="inlineStr">
        <is>
          <t>Mensual</t>
        </is>
      </c>
      <c r="E487" s="5" t="inlineStr">
        <is>
          <t>Negativo</t>
        </is>
      </c>
      <c r="F487" s="107" t="n">
        <v>45138</v>
      </c>
      <c r="G487" s="5" t="n">
        <v>2023</v>
      </c>
      <c r="H487" s="5" t="inlineStr">
        <is>
          <t>Julio</t>
        </is>
      </c>
      <c r="I487" s="6" t="inlineStr">
        <is>
          <t>2023-2</t>
        </is>
      </c>
      <c r="J487" s="5" t="n">
        <v>657.579</v>
      </c>
      <c r="K487" s="9" t="n">
        <v>491.44</v>
      </c>
      <c r="L487" s="14">
        <f>IFERROR(IF(OR(J487=0,K487=""),"",IF(E487="Positivo",MIN(MAX(K487/J487,0),1.3),MIN(MAX(J487/K487,0),1.3))),"") </f>
        <v/>
      </c>
      <c r="M487" s="14">
        <f>IFERROR(IF(OR(J487=0,K487=""),"",IF(E487="Positivo",MAX(K487/J487,0),MAX(J487/K487,0))),"") </f>
        <v/>
      </c>
      <c r="N487" s="5" t="inlineStr">
        <is>
          <t>$</t>
        </is>
      </c>
      <c r="O487" s="5" t="inlineStr">
        <is>
          <t>$</t>
        </is>
      </c>
      <c r="P487" s="15" t="n">
        <v>2</v>
      </c>
      <c r="Q487" s="15" t="n">
        <v>2</v>
      </c>
      <c r="R487" s="5" t="inlineStr">
        <is>
          <t>139-2023-07-31</t>
        </is>
      </c>
    </row>
    <row r="488">
      <c r="A488" s="21" t="n">
        <v>139</v>
      </c>
      <c r="B488" s="5" t="inlineStr">
        <is>
          <t>Ejecución presupuestal del gasto</t>
        </is>
      </c>
      <c r="C488" s="5" t="inlineStr">
        <is>
          <t>Biblioteca Institucional</t>
        </is>
      </c>
      <c r="D488" s="5" t="inlineStr">
        <is>
          <t>Mensual</t>
        </is>
      </c>
      <c r="E488" s="5" t="inlineStr">
        <is>
          <t>Negativo</t>
        </is>
      </c>
      <c r="F488" s="107" t="n">
        <v>45169</v>
      </c>
      <c r="G488" s="5" t="n">
        <v>2023</v>
      </c>
      <c r="H488" s="5" t="inlineStr">
        <is>
          <t>Agosto</t>
        </is>
      </c>
      <c r="I488" s="6" t="inlineStr">
        <is>
          <t>2023-2</t>
        </is>
      </c>
      <c r="J488" s="5" t="n">
        <v>742.862</v>
      </c>
      <c r="K488" s="9" t="n">
        <v>579.8339999999999</v>
      </c>
      <c r="L488" s="14">
        <f>IFERROR(IF(OR(J488=0,K488=""),"",IF(E488="Positivo",MIN(MAX(K488/J488,0),1.3),MIN(MAX(J488/K488,0),1.3))),"") </f>
        <v/>
      </c>
      <c r="M488" s="14">
        <f>IFERROR(IF(OR(J488=0,K488=""),"",IF(E488="Positivo",MAX(K488/J488,0),MAX(J488/K488,0))),"") </f>
        <v/>
      </c>
      <c r="N488" s="5" t="inlineStr">
        <is>
          <t>$</t>
        </is>
      </c>
      <c r="O488" s="5" t="inlineStr">
        <is>
          <t>$</t>
        </is>
      </c>
      <c r="P488" s="15" t="n">
        <v>2</v>
      </c>
      <c r="Q488" s="15" t="n">
        <v>2</v>
      </c>
      <c r="R488" s="5" t="inlineStr">
        <is>
          <t>139-2023-08-31</t>
        </is>
      </c>
    </row>
    <row r="489">
      <c r="A489" s="21" t="n">
        <v>139</v>
      </c>
      <c r="B489" s="5" t="inlineStr">
        <is>
          <t>Ejecución presupuestal del gasto</t>
        </is>
      </c>
      <c r="C489" s="5" t="inlineStr">
        <is>
          <t>Biblioteca Institucional</t>
        </is>
      </c>
      <c r="D489" s="5" t="inlineStr">
        <is>
          <t>Mensual</t>
        </is>
      </c>
      <c r="E489" s="5" t="inlineStr">
        <is>
          <t>Negativo</t>
        </is>
      </c>
      <c r="F489" s="107" t="n">
        <v>45199</v>
      </c>
      <c r="G489" s="5" t="n">
        <v>2023</v>
      </c>
      <c r="H489" s="5" t="inlineStr">
        <is>
          <t>Septiembre</t>
        </is>
      </c>
      <c r="I489" s="6" t="inlineStr">
        <is>
          <t>2023-2</t>
        </is>
      </c>
      <c r="J489" s="5" t="n">
        <v>767.867</v>
      </c>
      <c r="K489" s="9" t="n">
        <v>654.855</v>
      </c>
      <c r="L489" s="14">
        <f>IFERROR(IF(OR(J489=0,K489=""),"",IF(E489="Positivo",MIN(MAX(K489/J489,0),1.3),MIN(MAX(J489/K489,0),1.3))),"") </f>
        <v/>
      </c>
      <c r="M489" s="14">
        <f>IFERROR(IF(OR(J489=0,K489=""),"",IF(E489="Positivo",MAX(K489/J489,0),MAX(J489/K489,0))),"") </f>
        <v/>
      </c>
      <c r="N489" s="5" t="inlineStr">
        <is>
          <t>$</t>
        </is>
      </c>
      <c r="O489" s="5" t="inlineStr">
        <is>
          <t>$</t>
        </is>
      </c>
      <c r="P489" s="15" t="n">
        <v>2</v>
      </c>
      <c r="Q489" s="15" t="n">
        <v>2</v>
      </c>
      <c r="R489" s="5" t="inlineStr">
        <is>
          <t>139-2023-09-30</t>
        </is>
      </c>
    </row>
    <row r="490">
      <c r="A490" s="21" t="n">
        <v>139</v>
      </c>
      <c r="B490" s="5" t="inlineStr">
        <is>
          <t>Ejecución presupuestal del gasto</t>
        </is>
      </c>
      <c r="C490" s="5" t="inlineStr">
        <is>
          <t>Biblioteca Institucional</t>
        </is>
      </c>
      <c r="D490" s="5" t="inlineStr">
        <is>
          <t>Mensual</t>
        </is>
      </c>
      <c r="E490" s="5" t="inlineStr">
        <is>
          <t>Negativo</t>
        </is>
      </c>
      <c r="F490" s="107" t="n">
        <v>45230</v>
      </c>
      <c r="G490" s="5" t="n">
        <v>2023</v>
      </c>
      <c r="H490" s="5" t="inlineStr">
        <is>
          <t>Octubre</t>
        </is>
      </c>
      <c r="I490" s="6" t="inlineStr">
        <is>
          <t>2023-2</t>
        </is>
      </c>
      <c r="J490" s="5" t="n">
        <v>838.952</v>
      </c>
      <c r="K490" s="9" t="n">
        <v>743.862</v>
      </c>
      <c r="L490" s="14">
        <f>IFERROR(IF(OR(J490=0,K490=""),"",IF(E490="Positivo",MIN(MAX(K490/J490,0),1.3),MIN(MAX(J490/K490,0),1.3))),"") </f>
        <v/>
      </c>
      <c r="M490" s="14">
        <f>IFERROR(IF(OR(J490=0,K490=""),"",IF(E490="Positivo",MAX(K490/J490,0),MAX(J490/K490,0))),"") </f>
        <v/>
      </c>
      <c r="N490" s="5" t="inlineStr">
        <is>
          <t>$</t>
        </is>
      </c>
      <c r="O490" s="5" t="inlineStr">
        <is>
          <t>$</t>
        </is>
      </c>
      <c r="P490" s="15" t="n">
        <v>2</v>
      </c>
      <c r="Q490" s="15" t="n">
        <v>2</v>
      </c>
      <c r="R490" s="5" t="inlineStr">
        <is>
          <t>139-2023-10-31</t>
        </is>
      </c>
    </row>
    <row r="491">
      <c r="A491" s="21" t="n">
        <v>139</v>
      </c>
      <c r="B491" s="5" t="inlineStr">
        <is>
          <t>Ejecución presupuestal del gasto</t>
        </is>
      </c>
      <c r="C491" s="5" t="inlineStr">
        <is>
          <t>Biblioteca Institucional</t>
        </is>
      </c>
      <c r="D491" s="5" t="inlineStr">
        <is>
          <t>Mensual</t>
        </is>
      </c>
      <c r="E491" s="5" t="inlineStr">
        <is>
          <t>Negativo</t>
        </is>
      </c>
      <c r="F491" s="107" t="n">
        <v>45260</v>
      </c>
      <c r="G491" s="5" t="n">
        <v>2023</v>
      </c>
      <c r="H491" s="5" t="inlineStr">
        <is>
          <t>Noviembre</t>
        </is>
      </c>
      <c r="I491" s="6" t="inlineStr">
        <is>
          <t>2023-2</t>
        </is>
      </c>
      <c r="J491" s="5" t="n">
        <v>910.107</v>
      </c>
      <c r="K491" s="9" t="n">
        <v>840.422</v>
      </c>
      <c r="L491" s="14">
        <f>IFERROR(IF(OR(J491=0,K491=""),"",IF(E491="Positivo",MIN(MAX(K491/J491,0),1.3),MIN(MAX(J491/K491,0),1.3))),"") </f>
        <v/>
      </c>
      <c r="M491" s="14">
        <f>IFERROR(IF(OR(J491=0,K491=""),"",IF(E491="Positivo",MAX(K491/J491,0),MAX(J491/K491,0))),"") </f>
        <v/>
      </c>
      <c r="N491" s="5" t="inlineStr">
        <is>
          <t>$</t>
        </is>
      </c>
      <c r="O491" s="5" t="inlineStr">
        <is>
          <t>$</t>
        </is>
      </c>
      <c r="P491" s="15" t="n">
        <v>2</v>
      </c>
      <c r="Q491" s="15" t="n">
        <v>2</v>
      </c>
      <c r="R491" s="5" t="inlineStr">
        <is>
          <t>139-2023-11-30</t>
        </is>
      </c>
    </row>
    <row r="492">
      <c r="A492" s="21" t="n">
        <v>139</v>
      </c>
      <c r="B492" s="5" t="inlineStr">
        <is>
          <t>Ejecución presupuestal del gasto</t>
        </is>
      </c>
      <c r="C492" s="5" t="inlineStr">
        <is>
          <t>Biblioteca Institucional</t>
        </is>
      </c>
      <c r="D492" s="5" t="inlineStr">
        <is>
          <t>Mensual</t>
        </is>
      </c>
      <c r="E492" s="5" t="inlineStr">
        <is>
          <t>Negativo</t>
        </is>
      </c>
      <c r="F492" s="107" t="n">
        <v>45291</v>
      </c>
      <c r="G492" s="5" t="n">
        <v>2023</v>
      </c>
      <c r="H492" s="5" t="inlineStr">
        <is>
          <t>Diciembre</t>
        </is>
      </c>
      <c r="I492" s="6" t="inlineStr">
        <is>
          <t>2023-2</t>
        </is>
      </c>
      <c r="J492" s="5" t="n">
        <v>981.982</v>
      </c>
      <c r="K492" s="9" t="n">
        <v>964.284</v>
      </c>
      <c r="L492" s="14">
        <f>IFERROR(IF(OR(J492=0,K492=""),"",IF(E492="Positivo",MIN(MAX(K492/J492,0),1.3),MIN(MAX(J492/K492,0),1.3))),"") </f>
        <v/>
      </c>
      <c r="M492" s="14">
        <f>IFERROR(IF(OR(J492=0,K492=""),"",IF(E492="Positivo",MAX(K492/J492,0),MAX(J492/K492,0))),"") </f>
        <v/>
      </c>
      <c r="N492" s="5" t="inlineStr">
        <is>
          <t>$</t>
        </is>
      </c>
      <c r="O492" s="5" t="inlineStr">
        <is>
          <t>$</t>
        </is>
      </c>
      <c r="P492" s="15" t="n">
        <v>2</v>
      </c>
      <c r="Q492" s="15" t="n">
        <v>2</v>
      </c>
      <c r="R492" s="5" t="inlineStr">
        <is>
          <t>139-2023-12-31</t>
        </is>
      </c>
    </row>
    <row r="493">
      <c r="A493" s="21" t="n">
        <v>139</v>
      </c>
      <c r="B493" s="5" t="inlineStr">
        <is>
          <t>Ejecución presupuestal del gasto</t>
        </is>
      </c>
      <c r="C493" s="5" t="inlineStr">
        <is>
          <t>Biblioteca Institucional</t>
        </is>
      </c>
      <c r="D493" s="5" t="inlineStr">
        <is>
          <t>Mensual</t>
        </is>
      </c>
      <c r="E493" s="5" t="inlineStr">
        <is>
          <t>Negativo</t>
        </is>
      </c>
      <c r="F493" s="107" t="n">
        <v>45322</v>
      </c>
      <c r="G493" s="5" t="n">
        <v>2024</v>
      </c>
      <c r="H493" s="5" t="inlineStr">
        <is>
          <t>Enero</t>
        </is>
      </c>
      <c r="I493" s="6" t="inlineStr">
        <is>
          <t>2024-1</t>
        </is>
      </c>
      <c r="J493" s="5" t="n">
        <v>79.365133</v>
      </c>
      <c r="K493" s="9" t="n">
        <v>79.446462</v>
      </c>
      <c r="L493" s="14">
        <f>IFERROR(IF(OR(J493=0,K493=""),"",IF(E493="Positivo",MIN(MAX(K493/J493,0),1.3),MIN(MAX(J493/K493,0),1.3))),"") </f>
        <v/>
      </c>
      <c r="M493" s="14">
        <f>IFERROR(IF(OR(J493=0,K493=""),"",IF(E493="Positivo",MAX(K493/J493,0),MAX(J493/K493,0))),"") </f>
        <v/>
      </c>
      <c r="N493" s="5" t="inlineStr">
        <is>
          <t>$</t>
        </is>
      </c>
      <c r="O493" s="5" t="inlineStr">
        <is>
          <t>$</t>
        </is>
      </c>
      <c r="P493" s="15" t="n">
        <v>2</v>
      </c>
      <c r="Q493" s="15" t="n">
        <v>2</v>
      </c>
      <c r="R493" s="5" t="inlineStr">
        <is>
          <t>139-2024-01-31</t>
        </is>
      </c>
    </row>
    <row r="494">
      <c r="A494" s="26" t="n">
        <v>139</v>
      </c>
      <c r="B494" s="5" t="inlineStr">
        <is>
          <t>Ejecución presupuestal del gasto</t>
        </is>
      </c>
      <c r="C494" s="5" t="inlineStr">
        <is>
          <t>Biblioteca Institucional</t>
        </is>
      </c>
      <c r="D494" s="5" t="inlineStr">
        <is>
          <t>Mensual</t>
        </is>
      </c>
      <c r="E494" s="5" t="inlineStr">
        <is>
          <t>Negativo</t>
        </is>
      </c>
      <c r="F494" s="107" t="n">
        <v>45351</v>
      </c>
      <c r="G494" s="5" t="n">
        <v>2024</v>
      </c>
      <c r="H494" s="5" t="inlineStr">
        <is>
          <t>Febrero</t>
        </is>
      </c>
      <c r="I494" s="6" t="inlineStr">
        <is>
          <t>2024-1</t>
        </is>
      </c>
      <c r="J494" s="5" t="n">
        <v>181.948879</v>
      </c>
      <c r="K494" s="9" t="n">
        <v>168.893529</v>
      </c>
      <c r="L494" s="14">
        <f>IFERROR(IF(OR(J494=0,K494=""),"",IF(E494="Positivo",MIN(MAX(K494/J494,0),1.3),MIN(MAX(J494/K494,0),1.3))),"") </f>
        <v/>
      </c>
      <c r="M494" s="14">
        <f>IFERROR(IF(OR(J494=0,K494=""),"",IF(E494="Positivo",MAX(K494/J494,0),MAX(J494/K494,0))),"") </f>
        <v/>
      </c>
      <c r="N494" s="5" t="inlineStr">
        <is>
          <t>$</t>
        </is>
      </c>
      <c r="O494" s="5" t="inlineStr">
        <is>
          <t>$</t>
        </is>
      </c>
      <c r="P494" s="15" t="n">
        <v>2</v>
      </c>
      <c r="Q494" s="15" t="n">
        <v>2</v>
      </c>
      <c r="R494" s="5" t="inlineStr">
        <is>
          <t>139-2024-02-29</t>
        </is>
      </c>
    </row>
    <row r="495">
      <c r="A495" s="26" t="n">
        <v>139</v>
      </c>
      <c r="B495" s="5" t="inlineStr">
        <is>
          <t>Ejecución presupuestal del gasto</t>
        </is>
      </c>
      <c r="C495" s="5" t="inlineStr">
        <is>
          <t>Biblioteca Institucional</t>
        </is>
      </c>
      <c r="D495" s="5" t="inlineStr">
        <is>
          <t>Mensual</t>
        </is>
      </c>
      <c r="E495" s="5" t="inlineStr">
        <is>
          <t>Negativo</t>
        </is>
      </c>
      <c r="F495" s="107" t="n">
        <v>45382</v>
      </c>
      <c r="G495" s="5" t="n">
        <v>2024</v>
      </c>
      <c r="H495" s="5" t="inlineStr">
        <is>
          <t>Marzo</t>
        </is>
      </c>
      <c r="I495" s="6" t="inlineStr">
        <is>
          <t>2024-1</t>
        </is>
      </c>
      <c r="J495" s="5" t="n">
        <v>357.099826</v>
      </c>
      <c r="K495" s="9" t="n">
        <v>224.836963</v>
      </c>
      <c r="L495" s="14">
        <f>IFERROR(IF(OR(J495=0,K495=""),"",IF(E495="Positivo",MIN(MAX(K495/J495,0),1.3),MIN(MAX(J495/K495,0),1.3))),"") </f>
        <v/>
      </c>
      <c r="M495" s="14">
        <f>IFERROR(IF(OR(J495=0,K495=""),"",IF(E495="Positivo",MAX(K495/J495,0),MAX(J495/K495,0))),"") </f>
        <v/>
      </c>
      <c r="N495" s="5" t="inlineStr">
        <is>
          <t>$</t>
        </is>
      </c>
      <c r="O495" s="5" t="inlineStr">
        <is>
          <t>$</t>
        </is>
      </c>
      <c r="P495" s="15" t="n">
        <v>2</v>
      </c>
      <c r="Q495" s="15" t="n">
        <v>2</v>
      </c>
      <c r="R495" s="5" t="inlineStr">
        <is>
          <t>139-2024-03-31</t>
        </is>
      </c>
    </row>
    <row r="496">
      <c r="A496" s="26" t="n">
        <v>139</v>
      </c>
      <c r="B496" s="5" t="inlineStr">
        <is>
          <t>Ejecución presupuestal del gasto</t>
        </is>
      </c>
      <c r="C496" s="5" t="inlineStr">
        <is>
          <t>Biblioteca Institucional</t>
        </is>
      </c>
      <c r="D496" s="5" t="inlineStr">
        <is>
          <t>Mensual</t>
        </is>
      </c>
      <c r="E496" s="5" t="inlineStr">
        <is>
          <t>Negativo</t>
        </is>
      </c>
      <c r="F496" s="107" t="n">
        <v>45412</v>
      </c>
      <c r="G496" s="5" t="n">
        <v>2024</v>
      </c>
      <c r="H496" s="5" t="inlineStr">
        <is>
          <t>Abril</t>
        </is>
      </c>
      <c r="I496" s="6" t="inlineStr">
        <is>
          <t>2024-1</t>
        </is>
      </c>
      <c r="J496" s="5" t="n">
        <v>452.152245</v>
      </c>
      <c r="K496" s="9" t="n">
        <v>311.054847</v>
      </c>
      <c r="L496" s="14">
        <f>IFERROR(IF(OR(J496=0,K496=""),"",IF(E496="Positivo",MIN(MAX(K496/J496,0),1.3),MIN(MAX(J496/K496,0),1.3))),"") </f>
        <v/>
      </c>
      <c r="M496" s="14">
        <f>IFERROR(IF(OR(J496=0,K496=""),"",IF(E496="Positivo",MAX(K496/J496,0),MAX(J496/K496,0))),"") </f>
        <v/>
      </c>
      <c r="N496" s="5" t="inlineStr">
        <is>
          <t>$</t>
        </is>
      </c>
      <c r="O496" s="5" t="inlineStr">
        <is>
          <t>$</t>
        </is>
      </c>
      <c r="P496" s="15" t="n">
        <v>2</v>
      </c>
      <c r="Q496" s="15" t="n">
        <v>2</v>
      </c>
      <c r="R496" s="5" t="inlineStr">
        <is>
          <t>139-2024-04-30</t>
        </is>
      </c>
    </row>
    <row r="497">
      <c r="A497" s="21" t="n">
        <v>139</v>
      </c>
      <c r="B497" s="5" t="inlineStr">
        <is>
          <t>Ejecución presupuestal del gasto</t>
        </is>
      </c>
      <c r="C497" s="5" t="inlineStr">
        <is>
          <t>Biblioteca Institucional</t>
        </is>
      </c>
      <c r="D497" s="5" t="inlineStr">
        <is>
          <t>Mensual</t>
        </is>
      </c>
      <c r="E497" s="5" t="inlineStr">
        <is>
          <t>Negativo</t>
        </is>
      </c>
      <c r="F497" s="106" t="n">
        <v>45443</v>
      </c>
      <c r="G497" s="5" t="n">
        <v>2024</v>
      </c>
      <c r="H497" s="5" t="inlineStr">
        <is>
          <t>Mayo</t>
        </is>
      </c>
      <c r="I497" s="6" t="inlineStr">
        <is>
          <t>2024-1</t>
        </is>
      </c>
      <c r="J497" s="5" t="n">
        <v>539.127899</v>
      </c>
      <c r="K497" s="9" t="n">
        <v>391.4132</v>
      </c>
      <c r="L497" s="14">
        <f>IFERROR(IF(OR(J497=0,K497=""),"",IF(E497="Positivo",MIN(MAX(K497/J497,0),1.3),MIN(MAX(J497/K497,0),1.3))),"") </f>
        <v/>
      </c>
      <c r="M497" s="14">
        <f>IFERROR(IF(OR(J497=0,K497=""),"",IF(E497="Positivo",MAX(K497/J497,0),MAX(J497/K497,0))),"") </f>
        <v/>
      </c>
      <c r="N497" s="5" t="inlineStr">
        <is>
          <t>$</t>
        </is>
      </c>
      <c r="O497" s="5" t="inlineStr">
        <is>
          <t>$</t>
        </is>
      </c>
      <c r="P497" s="15" t="n">
        <v>2</v>
      </c>
      <c r="Q497" s="15" t="n">
        <v>2</v>
      </c>
      <c r="R497" s="5" t="inlineStr">
        <is>
          <t>139-2024-05-31</t>
        </is>
      </c>
    </row>
    <row r="498">
      <c r="A498" s="5" t="n">
        <v>139</v>
      </c>
      <c r="B498" s="5" t="inlineStr">
        <is>
          <t>Ejecución presupuestal del gasto</t>
        </is>
      </c>
      <c r="C498" s="5" t="inlineStr">
        <is>
          <t>Biblioteca Institucional</t>
        </is>
      </c>
      <c r="D498" s="5" t="inlineStr">
        <is>
          <t>Mensual</t>
        </is>
      </c>
      <c r="E498" s="5" t="inlineStr">
        <is>
          <t>Negativo</t>
        </is>
      </c>
      <c r="F498" s="107" t="n">
        <v>45473</v>
      </c>
      <c r="G498" s="5" t="n">
        <v>2024</v>
      </c>
      <c r="H498" s="5" t="inlineStr">
        <is>
          <t>Junio</t>
        </is>
      </c>
      <c r="I498" s="6" t="inlineStr">
        <is>
          <t>2024-1</t>
        </is>
      </c>
      <c r="J498" s="5" t="n">
        <v>624.0215930000001</v>
      </c>
      <c r="K498" s="5" t="n">
        <v>470.811775</v>
      </c>
      <c r="L498" s="14">
        <f>IFERROR(IF(OR(J498=0,K498=""),"",IF(E498="Positivo",MIN(MAX(K498/J498,0),1.3),MIN(MAX(J498/K498,0),1.3))),"") </f>
        <v/>
      </c>
      <c r="M498" s="14">
        <f>IFERROR(IF(OR(J498=0,K498=""),"",IF(E498="Positivo",MAX(K498/J498,0),MAX(J498/K498,0))),"") </f>
        <v/>
      </c>
      <c r="N498" s="5" t="inlineStr">
        <is>
          <t>$</t>
        </is>
      </c>
      <c r="O498" s="5" t="inlineStr">
        <is>
          <t>$</t>
        </is>
      </c>
      <c r="P498" s="5" t="n">
        <v>2</v>
      </c>
      <c r="Q498" s="5" t="n">
        <v>2</v>
      </c>
      <c r="R498" s="5" t="inlineStr">
        <is>
          <t>139-2024-06-30</t>
        </is>
      </c>
    </row>
    <row r="499">
      <c r="A499" s="21" t="n">
        <v>139</v>
      </c>
      <c r="B499" s="5" t="inlineStr">
        <is>
          <t>Ejecución presupuestal del gasto</t>
        </is>
      </c>
      <c r="C499" s="5" t="inlineStr">
        <is>
          <t>Biblioteca Institucional</t>
        </is>
      </c>
      <c r="D499" s="5" t="inlineStr">
        <is>
          <t>Mensual</t>
        </is>
      </c>
      <c r="E499" s="5" t="inlineStr">
        <is>
          <t>Negativo</t>
        </is>
      </c>
      <c r="F499" s="107" t="n">
        <v>45504</v>
      </c>
      <c r="G499" s="5" t="n">
        <v>2024</v>
      </c>
      <c r="H499" s="5" t="inlineStr">
        <is>
          <t>Julio</t>
        </is>
      </c>
      <c r="I499" s="6" t="inlineStr">
        <is>
          <t>2024-2</t>
        </is>
      </c>
      <c r="J499" s="5" t="n">
        <v>720.622196</v>
      </c>
      <c r="K499" s="10" t="n">
        <v>569.495364</v>
      </c>
      <c r="L499" s="14">
        <f>IFERROR(IF(OR(J499=0,K499=""),"",IF(E499="Positivo",MIN(MAX(K499/J499,0),1.3),MIN(MAX(J499/K499,0),1.3))),"") </f>
        <v/>
      </c>
      <c r="M499" s="14">
        <f>IFERROR(IF(OR(J499=0,K499=""),"",IF(E499="Positivo",MAX(K499/J499,0),MAX(J499/K499,0))),"") </f>
        <v/>
      </c>
      <c r="N499" s="5" t="inlineStr">
        <is>
          <t>$</t>
        </is>
      </c>
      <c r="O499" s="5" t="inlineStr">
        <is>
          <t>$</t>
        </is>
      </c>
      <c r="P499" s="15" t="n">
        <v>2</v>
      </c>
      <c r="Q499" s="15" t="n">
        <v>2</v>
      </c>
      <c r="R499" s="5" t="inlineStr">
        <is>
          <t>139-2024-07-31</t>
        </is>
      </c>
    </row>
    <row r="500">
      <c r="A500" s="21" t="n">
        <v>139</v>
      </c>
      <c r="B500" s="5" t="inlineStr">
        <is>
          <t>Ejecución presupuestal del gasto</t>
        </is>
      </c>
      <c r="C500" s="5" t="inlineStr">
        <is>
          <t>Biblioteca Institucional</t>
        </is>
      </c>
      <c r="D500" s="5" t="inlineStr">
        <is>
          <t>Mensual</t>
        </is>
      </c>
      <c r="E500" s="5" t="inlineStr">
        <is>
          <t>Negativo</t>
        </is>
      </c>
      <c r="F500" s="107" t="n">
        <v>45535</v>
      </c>
      <c r="G500" s="5" t="n">
        <v>2024</v>
      </c>
      <c r="H500" s="5" t="inlineStr">
        <is>
          <t>Agosto</t>
        </is>
      </c>
      <c r="I500" s="6" t="inlineStr">
        <is>
          <t>2024-2</t>
        </is>
      </c>
      <c r="J500" s="5" t="n">
        <v>822.013096</v>
      </c>
      <c r="K500" s="10" t="n">
        <v>656.461442</v>
      </c>
      <c r="L500" s="14">
        <f>IFERROR(IF(OR(J500=0,K500=""),"",IF(E500="Positivo",MIN(MAX(K500/J500,0),1.3),MIN(MAX(J500/K500,0),1.3))),"") </f>
        <v/>
      </c>
      <c r="M500" s="14">
        <f>IFERROR(IF(OR(J500=0,K500=""),"",IF(E500="Positivo",MAX(K500/J500,0),MAX(J500/K500,0))),"") </f>
        <v/>
      </c>
      <c r="N500" s="5" t="inlineStr">
        <is>
          <t>$</t>
        </is>
      </c>
      <c r="O500" s="5" t="inlineStr">
        <is>
          <t>$</t>
        </is>
      </c>
      <c r="P500" s="15" t="n">
        <v>2</v>
      </c>
      <c r="Q500" s="15" t="n">
        <v>2</v>
      </c>
      <c r="R500" s="5" t="inlineStr">
        <is>
          <t>139-2024-08-31</t>
        </is>
      </c>
    </row>
    <row r="501">
      <c r="A501" s="21" t="n">
        <v>139</v>
      </c>
      <c r="B501" s="5" t="inlineStr">
        <is>
          <t>Ejecución presupuestal del gasto</t>
        </is>
      </c>
      <c r="C501" s="5" t="inlineStr">
        <is>
          <t>Biblioteca Institucional</t>
        </is>
      </c>
      <c r="D501" s="5" t="inlineStr">
        <is>
          <t>Mensual</t>
        </is>
      </c>
      <c r="E501" s="5" t="inlineStr">
        <is>
          <t>Negativo</t>
        </is>
      </c>
      <c r="F501" s="107" t="n">
        <v>45565</v>
      </c>
      <c r="G501" s="5" t="n">
        <v>2024</v>
      </c>
      <c r="H501" s="5" t="inlineStr">
        <is>
          <t>Septiembre</t>
        </is>
      </c>
      <c r="I501" s="6" t="inlineStr">
        <is>
          <t>2024-2</t>
        </is>
      </c>
      <c r="J501" s="5" t="n">
        <v>927.161132</v>
      </c>
      <c r="K501" s="9" t="n">
        <v>737.626948</v>
      </c>
      <c r="L501" s="14">
        <f>IFERROR(IF(OR(J501=0,K501=""),"",IF(E501="Positivo",MIN(MAX(K501/J501,0),1.3),MIN(MAX(J501/K501,0),1.3))),"") </f>
        <v/>
      </c>
      <c r="M501" s="14">
        <f>IFERROR(IF(OR(J501=0,K501=""),"",IF(E501="Positivo",MAX(K501/J501,0),MAX(J501/K501,0))),"") </f>
        <v/>
      </c>
      <c r="N501" s="5" t="inlineStr">
        <is>
          <t>$</t>
        </is>
      </c>
      <c r="O501" s="5" t="inlineStr">
        <is>
          <t>$</t>
        </is>
      </c>
      <c r="P501" s="15" t="n">
        <v>2</v>
      </c>
      <c r="Q501" s="15" t="n">
        <v>2</v>
      </c>
      <c r="R501" s="5" t="inlineStr">
        <is>
          <t>139-2024-09-30</t>
        </is>
      </c>
    </row>
    <row r="502">
      <c r="A502" s="21" t="n">
        <v>139</v>
      </c>
      <c r="B502" s="5" t="inlineStr">
        <is>
          <t>Ejecución presupuestal del gasto</t>
        </is>
      </c>
      <c r="C502" s="5" t="inlineStr">
        <is>
          <t>Biblioteca Institucional</t>
        </is>
      </c>
      <c r="D502" s="5" t="inlineStr">
        <is>
          <t>Mensual</t>
        </is>
      </c>
      <c r="E502" s="5" t="inlineStr">
        <is>
          <t>Negativo</t>
        </is>
      </c>
      <c r="F502" s="106" t="n">
        <v>45596</v>
      </c>
      <c r="G502" s="5" t="n">
        <v>2024</v>
      </c>
      <c r="H502" s="5" t="inlineStr">
        <is>
          <t>Octubre</t>
        </is>
      </c>
      <c r="I502" s="6" t="inlineStr">
        <is>
          <t>2024-2</t>
        </is>
      </c>
      <c r="J502" s="5" t="n">
        <v>1966.696715</v>
      </c>
      <c r="K502" s="9" t="n">
        <v>1039.535584</v>
      </c>
      <c r="L502" s="14">
        <f>IFERROR(IF(OR(J502=0,K502=""),"",IF(E502="Positivo",MIN(MAX(K502/J502,0),1.3),MIN(MAX(J502/K502,0),1.3))),"") </f>
        <v/>
      </c>
      <c r="M502" s="14">
        <f>IFERROR(IF(OR(J502=0,K502=""),"",IF(E502="Positivo",MAX(K502/J502,0),MAX(J502/K502,0))),"") </f>
        <v/>
      </c>
      <c r="N502" s="5" t="inlineStr">
        <is>
          <t>$</t>
        </is>
      </c>
      <c r="O502" s="5" t="inlineStr">
        <is>
          <t>$</t>
        </is>
      </c>
      <c r="P502" s="15" t="n">
        <v>2</v>
      </c>
      <c r="Q502" s="15" t="n">
        <v>2</v>
      </c>
      <c r="R502" s="5" t="inlineStr">
        <is>
          <t>139-2024-10-31</t>
        </is>
      </c>
    </row>
    <row r="503">
      <c r="A503" s="21" t="n">
        <v>139</v>
      </c>
      <c r="B503" s="5" t="inlineStr">
        <is>
          <t>Ejecución presupuestal del gasto</t>
        </is>
      </c>
      <c r="C503" s="5" t="inlineStr">
        <is>
          <t>Biblioteca Institucional</t>
        </is>
      </c>
      <c r="D503" s="5" t="inlineStr">
        <is>
          <t>Mensual</t>
        </is>
      </c>
      <c r="E503" s="5" t="inlineStr">
        <is>
          <t>Negativo</t>
        </is>
      </c>
      <c r="F503" s="107" t="n">
        <v>45626</v>
      </c>
      <c r="G503" s="5" t="n">
        <v>2024</v>
      </c>
      <c r="H503" s="5" t="inlineStr">
        <is>
          <t>Noviembre</t>
        </is>
      </c>
      <c r="I503" s="6" t="inlineStr">
        <is>
          <t>2024-2</t>
        </is>
      </c>
      <c r="J503" s="5" t="n">
        <v>2267.126486</v>
      </c>
      <c r="K503" s="9" t="n">
        <v>1136.282148</v>
      </c>
      <c r="L503" s="14">
        <f>IFERROR(IF(OR(J503=0,K503=""),"",IF(E503="Positivo",MIN(MAX(K503/J503,0),1.3),MIN(MAX(J503/K503,0),1.3))),"") </f>
        <v/>
      </c>
      <c r="M503" s="14">
        <f>IFERROR(IF(OR(J503=0,K503=""),"",IF(E503="Positivo",MAX(K503/J503,0),MAX(J503/K503,0))),"") </f>
        <v/>
      </c>
      <c r="N503" s="5" t="inlineStr">
        <is>
          <t>$</t>
        </is>
      </c>
      <c r="O503" s="5" t="inlineStr">
        <is>
          <t>$</t>
        </is>
      </c>
      <c r="P503" s="15" t="n">
        <v>2</v>
      </c>
      <c r="Q503" s="15" t="n">
        <v>2</v>
      </c>
      <c r="R503" s="5" t="inlineStr">
        <is>
          <t>139-2024-11-30</t>
        </is>
      </c>
    </row>
    <row r="504">
      <c r="A504" s="21" t="n">
        <v>139</v>
      </c>
      <c r="B504" s="5" t="inlineStr">
        <is>
          <t>Ejecución presupuestal del gasto</t>
        </is>
      </c>
      <c r="C504" s="5" t="inlineStr">
        <is>
          <t>Biblioteca Institucional</t>
        </is>
      </c>
      <c r="D504" s="5" t="inlineStr">
        <is>
          <t>Mensual</t>
        </is>
      </c>
      <c r="E504" s="5" t="inlineStr">
        <is>
          <t>Negativo</t>
        </is>
      </c>
      <c r="F504" s="107" t="n">
        <v>45657</v>
      </c>
      <c r="G504" s="5" t="n">
        <v>2024</v>
      </c>
      <c r="H504" s="5" t="inlineStr">
        <is>
          <t>Diciembre</t>
        </is>
      </c>
      <c r="I504" s="6" t="inlineStr">
        <is>
          <t>2024-2</t>
        </is>
      </c>
      <c r="J504" s="5" t="n">
        <v>1338.614396</v>
      </c>
      <c r="K504" s="9" t="n">
        <v>1214.751881</v>
      </c>
      <c r="L504" s="14">
        <f>IFERROR(IF(OR(J504=0,K504=""),"",IF(E504="Positivo",MIN(MAX(K504/J504,0),1.3),MIN(MAX(J504/K504,0),1.3))),"") </f>
        <v/>
      </c>
      <c r="M504" s="14">
        <f>IFERROR(IF(OR(J504=0,K504=""),"",IF(E504="Positivo",MAX(K504/J504,0),MAX(J504/K504,0))),"") </f>
        <v/>
      </c>
      <c r="N504" s="5" t="inlineStr">
        <is>
          <t>$</t>
        </is>
      </c>
      <c r="O504" s="5" t="inlineStr">
        <is>
          <t>$</t>
        </is>
      </c>
      <c r="P504" s="15" t="n">
        <v>2</v>
      </c>
      <c r="Q504" s="15" t="n">
        <v>2</v>
      </c>
      <c r="R504" s="5" t="inlineStr">
        <is>
          <t>139-2024-12-31</t>
        </is>
      </c>
    </row>
    <row r="505">
      <c r="A505" s="21" t="n">
        <v>143</v>
      </c>
      <c r="B505" s="5" t="inlineStr">
        <is>
          <t>Proyectos de investigación e innovación- Metrica</t>
        </is>
      </c>
      <c r="C505" s="5" t="inlineStr">
        <is>
          <t>Investigación, desarrollo tecnológico, innovación y creación</t>
        </is>
      </c>
      <c r="D505" s="5" t="inlineStr">
        <is>
          <t>Trimestral</t>
        </is>
      </c>
      <c r="E505" s="5" t="inlineStr">
        <is>
          <t>Positivo</t>
        </is>
      </c>
      <c r="F505" s="107" t="n">
        <v>44742</v>
      </c>
      <c r="G505" s="5" t="n">
        <v>2022</v>
      </c>
      <c r="H505" s="5" t="inlineStr">
        <is>
          <t>Junio</t>
        </is>
      </c>
      <c r="I505" s="6" t="inlineStr">
        <is>
          <t>2022-1</t>
        </is>
      </c>
      <c r="J505" s="5" t="n">
        <v>100</v>
      </c>
      <c r="K505" s="9" t="n">
        <v>147</v>
      </c>
      <c r="L505" s="14" t="n"/>
      <c r="M505" s="14" t="n"/>
      <c r="N505" s="5" t="inlineStr">
        <is>
          <t>Metrica</t>
        </is>
      </c>
      <c r="O505" s="5" t="n"/>
      <c r="P505" s="15" t="n">
        <v>0</v>
      </c>
      <c r="Q505" s="15" t="n">
        <v>0</v>
      </c>
      <c r="R505" s="5" t="inlineStr">
        <is>
          <t>143-2022-06-30</t>
        </is>
      </c>
      <c r="S505" t="inlineStr">
        <is>
          <t>Metrica</t>
        </is>
      </c>
    </row>
    <row r="506">
      <c r="A506" s="21" t="n">
        <v>143</v>
      </c>
      <c r="B506" s="5" t="inlineStr">
        <is>
          <t>Proyectos de investigación e innovación- Metrica</t>
        </is>
      </c>
      <c r="C506" s="5" t="inlineStr">
        <is>
          <t>Investigación, desarrollo tecnológico, innovación y creación</t>
        </is>
      </c>
      <c r="D506" s="5" t="inlineStr">
        <is>
          <t>Trimestral</t>
        </is>
      </c>
      <c r="E506" s="5" t="inlineStr">
        <is>
          <t>Positivo</t>
        </is>
      </c>
      <c r="F506" s="107" t="n">
        <v>44926</v>
      </c>
      <c r="G506" s="5" t="n">
        <v>2022</v>
      </c>
      <c r="H506" s="5" t="inlineStr">
        <is>
          <t>Diciembre</t>
        </is>
      </c>
      <c r="I506" s="6" t="inlineStr">
        <is>
          <t>2022-2</t>
        </is>
      </c>
      <c r="J506" s="5" t="n">
        <v>100</v>
      </c>
      <c r="K506" s="9" t="n">
        <v>158</v>
      </c>
      <c r="L506" s="14" t="n"/>
      <c r="M506" s="14" t="n"/>
      <c r="N506" s="5" t="inlineStr">
        <is>
          <t>Metrica</t>
        </is>
      </c>
      <c r="O506" s="5" t="n"/>
      <c r="P506" s="15" t="n">
        <v>0</v>
      </c>
      <c r="Q506" s="15" t="n">
        <v>0</v>
      </c>
      <c r="R506" s="5" t="inlineStr">
        <is>
          <t>143-2022-12-31</t>
        </is>
      </c>
      <c r="S506" t="inlineStr">
        <is>
          <t>Metrica</t>
        </is>
      </c>
    </row>
    <row r="507">
      <c r="A507" s="21" t="n">
        <v>143</v>
      </c>
      <c r="B507" s="5" t="inlineStr">
        <is>
          <t>Proyectos de investigación e innovación</t>
        </is>
      </c>
      <c r="C507" s="5" t="inlineStr">
        <is>
          <t>Investigación, desarrollo tecnológico, innovación y creación</t>
        </is>
      </c>
      <c r="D507" s="5" t="inlineStr">
        <is>
          <t>Semestral</t>
        </is>
      </c>
      <c r="E507" s="5" t="inlineStr">
        <is>
          <t>Positivo</t>
        </is>
      </c>
      <c r="F507" s="107" t="n">
        <v>45107</v>
      </c>
      <c r="G507" s="5" t="n">
        <v>2023</v>
      </c>
      <c r="H507" s="5" t="inlineStr">
        <is>
          <t>Junio</t>
        </is>
      </c>
      <c r="I507" s="6" t="inlineStr">
        <is>
          <t>2023-1</t>
        </is>
      </c>
      <c r="J507" s="5" t="n">
        <v>100</v>
      </c>
      <c r="K507" s="9" t="n">
        <v>146</v>
      </c>
      <c r="L507" s="14">
        <f>IFERROR(IF(OR(J507=0,K507=""),"",IF(E507="Positivo",MIN(MAX(K507/J507,0),1.3),MIN(MAX(J507/K507,0),1.3))),"") </f>
        <v/>
      </c>
      <c r="M507" s="14">
        <f>IFERROR(IF(OR(J507=0,K507=""),"",IF(E507="Positivo",MAX(K507/J507,0),MAX(J507/K507,0))),"") </f>
        <v/>
      </c>
      <c r="N507" s="5" t="n"/>
      <c r="O507" s="5" t="inlineStr">
        <is>
          <t>ENT</t>
        </is>
      </c>
      <c r="P507" s="15" t="n">
        <v>0</v>
      </c>
      <c r="Q507" s="15" t="n">
        <v>0</v>
      </c>
      <c r="R507" s="5" t="inlineStr">
        <is>
          <t>143-2023-06-30</t>
        </is>
      </c>
    </row>
    <row r="508">
      <c r="A508" s="21" t="n">
        <v>143</v>
      </c>
      <c r="B508" s="5" t="inlineStr">
        <is>
          <t>Proyectos de investigación e innovación</t>
        </is>
      </c>
      <c r="C508" s="5" t="inlineStr">
        <is>
          <t>Investigación, desarrollo tecnológico, innovación y creación</t>
        </is>
      </c>
      <c r="D508" s="5" t="inlineStr">
        <is>
          <t>Semestral</t>
        </is>
      </c>
      <c r="E508" s="5" t="inlineStr">
        <is>
          <t>Positivo</t>
        </is>
      </c>
      <c r="F508" s="107" t="n">
        <v>45291</v>
      </c>
      <c r="G508" s="5" t="n">
        <v>2023</v>
      </c>
      <c r="H508" s="5" t="inlineStr">
        <is>
          <t>Diciembre</t>
        </is>
      </c>
      <c r="I508" s="6" t="inlineStr">
        <is>
          <t>2023-2</t>
        </is>
      </c>
      <c r="J508" s="5" t="n">
        <v>100</v>
      </c>
      <c r="K508" s="9" t="n">
        <v>146</v>
      </c>
      <c r="L508" s="14">
        <f>IFERROR(IF(OR(J508=0,K508=""),"",IF(E508="Positivo",MIN(MAX(K508/J508,0),1.3),MIN(MAX(J508/K508,0),1.3))),"") </f>
        <v/>
      </c>
      <c r="M508" s="14">
        <f>IFERROR(IF(OR(J508=0,K508=""),"",IF(E508="Positivo",MAX(K508/J508,0),MAX(J508/K508,0))),"") </f>
        <v/>
      </c>
      <c r="N508" s="5" t="n"/>
      <c r="O508" s="5" t="inlineStr">
        <is>
          <t>ENT</t>
        </is>
      </c>
      <c r="P508" s="15" t="n">
        <v>0</v>
      </c>
      <c r="Q508" s="15" t="n">
        <v>0</v>
      </c>
      <c r="R508" s="5" t="inlineStr">
        <is>
          <t>143-2023-12-31</t>
        </is>
      </c>
    </row>
    <row r="509">
      <c r="A509" s="21" t="n">
        <v>143</v>
      </c>
      <c r="B509" s="5" t="inlineStr">
        <is>
          <t>Proyectos de investigación e innovación</t>
        </is>
      </c>
      <c r="C509" s="5" t="inlineStr">
        <is>
          <t>Investigación, desarrollo tecnológico, innovación y creación</t>
        </is>
      </c>
      <c r="D509" s="5" t="inlineStr">
        <is>
          <t>Semestral</t>
        </is>
      </c>
      <c r="E509" s="5" t="inlineStr">
        <is>
          <t>Positivo</t>
        </is>
      </c>
      <c r="F509" s="107" t="n">
        <v>45473</v>
      </c>
      <c r="G509" s="5" t="n">
        <v>2024</v>
      </c>
      <c r="H509" s="5" t="inlineStr">
        <is>
          <t>Junio</t>
        </is>
      </c>
      <c r="I509" s="6" t="inlineStr">
        <is>
          <t>2024-1</t>
        </is>
      </c>
      <c r="J509" s="5" t="n">
        <v>100</v>
      </c>
      <c r="K509" s="9" t="n">
        <v>112</v>
      </c>
      <c r="L509" s="14">
        <f>IFERROR(IF(OR(J509=0,K509=""),"",IF(E509="Positivo",MIN(MAX(K509/J509,0),1.3),MIN(MAX(J509/K509,0),1.3))),"") </f>
        <v/>
      </c>
      <c r="M509" s="14">
        <f>IFERROR(IF(OR(J509=0,K509=""),"",IF(E509="Positivo",MAX(K509/J509,0),MAX(J509/K509,0))),"") </f>
        <v/>
      </c>
      <c r="N509" s="5" t="n"/>
      <c r="O509" s="5" t="inlineStr">
        <is>
          <t>ENT</t>
        </is>
      </c>
      <c r="P509" s="15" t="n">
        <v>0</v>
      </c>
      <c r="Q509" s="15" t="n">
        <v>0</v>
      </c>
      <c r="R509" s="5" t="inlineStr">
        <is>
          <t>143-2024-06-30</t>
        </is>
      </c>
    </row>
    <row r="510">
      <c r="A510" s="26" t="n">
        <v>143</v>
      </c>
      <c r="B510" s="5" t="inlineStr">
        <is>
          <t>Proyectos de investigación e innovación</t>
        </is>
      </c>
      <c r="C510" s="5" t="inlineStr">
        <is>
          <t>Investigación, desarrollo tecnológico, innovación y creación</t>
        </is>
      </c>
      <c r="D510" s="5" t="inlineStr">
        <is>
          <t>Semestral</t>
        </is>
      </c>
      <c r="E510" s="5" t="inlineStr">
        <is>
          <t>Positivo</t>
        </is>
      </c>
      <c r="F510" s="107" t="n">
        <v>45657</v>
      </c>
      <c r="G510" s="5" t="n">
        <v>2024</v>
      </c>
      <c r="H510" s="5" t="inlineStr">
        <is>
          <t>Diciembre</t>
        </is>
      </c>
      <c r="I510" s="6" t="inlineStr">
        <is>
          <t>2024-2</t>
        </is>
      </c>
      <c r="J510" s="5" t="n">
        <v>100</v>
      </c>
      <c r="K510" s="9" t="n">
        <v>135</v>
      </c>
      <c r="L510" s="14">
        <f>IFERROR(IF(OR(J510=0,K510=""),"",IF(E510="Positivo",MIN(MAX(K510/J510,0),1.3),MIN(MAX(J510/K510,0),1.3))),"") </f>
        <v/>
      </c>
      <c r="M510" s="14">
        <f>IFERROR(IF(OR(J510=0,K510=""),"",IF(E510="Positivo",MAX(K510/J510,0),MAX(J510/K510,0))),"") </f>
        <v/>
      </c>
      <c r="N510" s="5" t="n"/>
      <c r="O510" s="5" t="inlineStr">
        <is>
          <t>ENT</t>
        </is>
      </c>
      <c r="P510" s="15" t="n">
        <v>0</v>
      </c>
      <c r="Q510" s="15" t="n">
        <v>0</v>
      </c>
      <c r="R510" s="5" t="inlineStr">
        <is>
          <t>143-2024-12-31</t>
        </is>
      </c>
    </row>
    <row r="511">
      <c r="A511" s="26" t="n">
        <v>143</v>
      </c>
      <c r="B511" s="5" t="inlineStr">
        <is>
          <t>Proyectos de investigación e innovación</t>
        </is>
      </c>
      <c r="C511" s="5" t="inlineStr">
        <is>
          <t>Investigación, desarrollo tecnológico, innovación y creación</t>
        </is>
      </c>
      <c r="D511" s="5" t="inlineStr">
        <is>
          <t>Semestral</t>
        </is>
      </c>
      <c r="E511" s="5" t="inlineStr">
        <is>
          <t>Positivo</t>
        </is>
      </c>
      <c r="F511" s="107" t="n">
        <v>45838</v>
      </c>
      <c r="G511" s="5" t="n">
        <v>2025</v>
      </c>
      <c r="H511" s="5" t="inlineStr">
        <is>
          <t>Junio</t>
        </is>
      </c>
      <c r="I511" s="6" t="inlineStr">
        <is>
          <t>2025-1</t>
        </is>
      </c>
      <c r="J511" s="5" t="n">
        <v>100</v>
      </c>
      <c r="K511" s="9" t="n">
        <v>159</v>
      </c>
      <c r="L511" s="14">
        <f>IFERROR(IF(OR(J511=0,K511=""),"",IF(E511="Positivo",MIN(MAX(K511/J511,0),1.3),MIN(MAX(J511/K511,0),1.3))),"") </f>
        <v/>
      </c>
      <c r="M511" s="14">
        <f>IFERROR(IF(OR(J511=0,K511=""),"",IF(E511="Positivo",MAX(K511/J511,0),MAX(J511/K511,0))),"") </f>
        <v/>
      </c>
      <c r="N511" s="5" t="n"/>
      <c r="O511" s="5" t="inlineStr">
        <is>
          <t>ENT</t>
        </is>
      </c>
      <c r="P511" s="15" t="n">
        <v>0</v>
      </c>
      <c r="Q511" s="15" t="n">
        <v>0</v>
      </c>
      <c r="R511" s="5" t="inlineStr">
        <is>
          <t>143-2025-06-30</t>
        </is>
      </c>
    </row>
    <row r="512">
      <c r="A512" s="26" t="n">
        <v>143</v>
      </c>
      <c r="B512" s="5" t="inlineStr">
        <is>
          <t>Proyectos de investigación e innovación- Metrica</t>
        </is>
      </c>
      <c r="C512" s="5" t="inlineStr">
        <is>
          <t>Investigación, desarrollo tecnológico, innovación y creación</t>
        </is>
      </c>
      <c r="D512" s="5" t="inlineStr">
        <is>
          <t>Trimestral</t>
        </is>
      </c>
      <c r="E512" s="5" t="inlineStr">
        <is>
          <t>Positivo</t>
        </is>
      </c>
      <c r="F512" s="107" t="n">
        <v>46022</v>
      </c>
      <c r="G512" s="5" t="n">
        <v>2025</v>
      </c>
      <c r="H512" s="5" t="inlineStr">
        <is>
          <t>Diciembre</t>
        </is>
      </c>
      <c r="I512" s="6" t="inlineStr">
        <is>
          <t>2025-2</t>
        </is>
      </c>
      <c r="J512" s="5" t="n">
        <v>100</v>
      </c>
      <c r="K512" s="9" t="n">
        <v>191</v>
      </c>
      <c r="L512" s="14" t="n"/>
      <c r="M512" s="14" t="n"/>
      <c r="N512" s="5" t="inlineStr">
        <is>
          <t>Metrica</t>
        </is>
      </c>
      <c r="O512" s="5" t="n"/>
      <c r="P512" s="15" t="n">
        <v>0</v>
      </c>
      <c r="Q512" s="15" t="n">
        <v>0</v>
      </c>
      <c r="R512" s="5" t="inlineStr">
        <is>
          <t>143-2025-12-31</t>
        </is>
      </c>
      <c r="S512" t="inlineStr">
        <is>
          <t>Metrica</t>
        </is>
      </c>
    </row>
    <row r="513">
      <c r="A513" s="21" t="n">
        <v>144</v>
      </c>
      <c r="B513" s="5" t="inlineStr">
        <is>
          <t>Productos de investigación</t>
        </is>
      </c>
      <c r="C513" s="5" t="inlineStr">
        <is>
          <t>Investigación, desarrollo tecnológico, innovación y creación</t>
        </is>
      </c>
      <c r="D513" s="5" t="inlineStr">
        <is>
          <t>Anual</t>
        </is>
      </c>
      <c r="E513" s="5" t="inlineStr">
        <is>
          <t>Positivo</t>
        </is>
      </c>
      <c r="F513" s="107" t="n">
        <v>44742</v>
      </c>
      <c r="G513" s="5" t="n">
        <v>2022</v>
      </c>
      <c r="H513" s="5" t="inlineStr">
        <is>
          <t>Junio</t>
        </is>
      </c>
      <c r="I513" s="6" t="inlineStr">
        <is>
          <t>2022-1</t>
        </is>
      </c>
      <c r="J513" s="5" t="n">
        <v>3</v>
      </c>
      <c r="K513" s="9" t="n">
        <v>3.2169811320755</v>
      </c>
      <c r="L513" s="14">
        <f>IFERROR(IF(OR(J513=0,K513=""),"",IF(E513="Positivo",MIN(MAX(K513/J513,0),1.3),MIN(MAX(J513/K513,0),1.3))),"") </f>
        <v/>
      </c>
      <c r="M513" s="14">
        <f>IFERROR(IF(OR(J513=0,K513=""),"",IF(E513="Positivo",MAX(K513/J513,0),MAX(J513/K513,0))),"") </f>
        <v/>
      </c>
      <c r="N513" s="5" t="inlineStr">
        <is>
          <t>ENT</t>
        </is>
      </c>
      <c r="O513" s="5" t="inlineStr">
        <is>
          <t>DEC</t>
        </is>
      </c>
      <c r="P513" s="15" t="n">
        <v>2</v>
      </c>
      <c r="Q513" s="15" t="n">
        <v>2</v>
      </c>
      <c r="R513" s="5" t="inlineStr">
        <is>
          <t>144-2022-06-30</t>
        </is>
      </c>
    </row>
    <row r="514">
      <c r="A514" s="21" t="n">
        <v>144</v>
      </c>
      <c r="B514" s="5" t="inlineStr">
        <is>
          <t>Productos de investigación</t>
        </is>
      </c>
      <c r="C514" s="5" t="inlineStr">
        <is>
          <t>Investigación, desarrollo tecnológico, innovación y creación</t>
        </is>
      </c>
      <c r="D514" s="5" t="inlineStr">
        <is>
          <t>Anual</t>
        </is>
      </c>
      <c r="E514" s="5" t="inlineStr">
        <is>
          <t>Positivo</t>
        </is>
      </c>
      <c r="F514" s="107" t="n">
        <v>44926</v>
      </c>
      <c r="G514" s="5" t="n">
        <v>2022</v>
      </c>
      <c r="H514" s="5" t="inlineStr">
        <is>
          <t>Diciembre</t>
        </is>
      </c>
      <c r="I514" s="6" t="inlineStr">
        <is>
          <t>2022-2</t>
        </is>
      </c>
      <c r="J514" s="5" t="n">
        <v>3</v>
      </c>
      <c r="K514" s="5" t="n">
        <v>3.55</v>
      </c>
      <c r="L514" s="14">
        <f>IFERROR(IF(OR(J514=0,K514=""),"",IF(E514="Positivo",MIN(MAX(K514/J514,0),1.3),MIN(MAX(J514/K514,0),1.3))),"") </f>
        <v/>
      </c>
      <c r="M514" s="14">
        <f>IFERROR(IF(OR(J514=0,K514=""),"",IF(E514="Positivo",MAX(K514/J514,0),MAX(J514/K514,0))),"") </f>
        <v/>
      </c>
      <c r="N514" s="5" t="inlineStr">
        <is>
          <t>ENT</t>
        </is>
      </c>
      <c r="O514" s="5" t="inlineStr">
        <is>
          <t>DEC</t>
        </is>
      </c>
      <c r="P514" s="15" t="n">
        <v>2</v>
      </c>
      <c r="Q514" s="15" t="n">
        <v>2</v>
      </c>
      <c r="R514" s="5" t="inlineStr">
        <is>
          <t>144-2022-12-31</t>
        </is>
      </c>
    </row>
    <row r="515">
      <c r="A515" s="21" t="n">
        <v>144</v>
      </c>
      <c r="B515" s="5" t="inlineStr">
        <is>
          <t>Productos de investigación</t>
        </is>
      </c>
      <c r="C515" s="5" t="inlineStr">
        <is>
          <t>Investigación, desarrollo tecnológico, innovación y creación</t>
        </is>
      </c>
      <c r="D515" s="5" t="inlineStr">
        <is>
          <t>Anual</t>
        </is>
      </c>
      <c r="E515" s="5" t="inlineStr">
        <is>
          <t>Positivo</t>
        </is>
      </c>
      <c r="F515" s="107" t="n">
        <v>45291</v>
      </c>
      <c r="G515" s="5" t="n">
        <v>2023</v>
      </c>
      <c r="H515" s="5" t="inlineStr">
        <is>
          <t>Diciembre</t>
        </is>
      </c>
      <c r="I515" s="6" t="inlineStr">
        <is>
          <t>2023-2</t>
        </is>
      </c>
      <c r="J515" s="5" t="n">
        <v>3</v>
      </c>
      <c r="K515" s="5" t="n">
        <v>4.83</v>
      </c>
      <c r="L515" s="14">
        <f>IFERROR(IF(OR(J515=0,K515=""),"",IF(E515="Positivo",MIN(MAX(K515/J515,0),1.3),MIN(MAX(J515/K515,0),1.3))),"") </f>
        <v/>
      </c>
      <c r="M515" s="14">
        <f>IFERROR(IF(OR(J515=0,K515=""),"",IF(E515="Positivo",MAX(K515/J515,0),MAX(J515/K515,0))),"") </f>
        <v/>
      </c>
      <c r="N515" s="5" t="n">
        <v>0</v>
      </c>
      <c r="O515" s="5" t="inlineStr">
        <is>
          <t>ENT</t>
        </is>
      </c>
      <c r="P515" s="15" t="n">
        <v>0</v>
      </c>
      <c r="Q515" s="15" t="n">
        <v>0</v>
      </c>
      <c r="R515" s="5" t="inlineStr">
        <is>
          <t>144-2023-12-31</t>
        </is>
      </c>
    </row>
    <row r="516">
      <c r="A516" s="21" t="n">
        <v>144</v>
      </c>
      <c r="B516" s="5" t="inlineStr">
        <is>
          <t>Productos de investigación</t>
        </is>
      </c>
      <c r="C516" s="5" t="inlineStr">
        <is>
          <t>Investigación, desarrollo tecnológico, innovación y creación</t>
        </is>
      </c>
      <c r="D516" s="5" t="inlineStr">
        <is>
          <t>Anual</t>
        </is>
      </c>
      <c r="E516" s="5" t="inlineStr">
        <is>
          <t>Positivo</t>
        </is>
      </c>
      <c r="F516" s="107" t="n">
        <v>45657</v>
      </c>
      <c r="G516" s="5" t="n">
        <v>2024</v>
      </c>
      <c r="H516" s="5" t="inlineStr">
        <is>
          <t>Diciembre</t>
        </is>
      </c>
      <c r="I516" s="6" t="inlineStr">
        <is>
          <t>2024-2</t>
        </is>
      </c>
      <c r="J516" s="5" t="n">
        <v>3</v>
      </c>
      <c r="K516" s="9" t="n">
        <v>4.6</v>
      </c>
      <c r="L516" s="14">
        <f>IFERROR(IF(OR(J516=0,K516=""),"",IF(E516="Positivo",MIN(MAX(K516/J516,0),1.3),MIN(MAX(J516/K516,0),1.3))),"") </f>
        <v/>
      </c>
      <c r="M516" s="14">
        <f>IFERROR(IF(OR(J516=0,K516=""),"",IF(E516="Positivo",MAX(K516/J516,0),MAX(J516/K516,0))),"") </f>
        <v/>
      </c>
      <c r="N516" s="5" t="n"/>
      <c r="O516" s="5" t="n"/>
      <c r="P516" s="15" t="n">
        <v>0</v>
      </c>
      <c r="Q516" s="15" t="n">
        <v>0</v>
      </c>
      <c r="R516" s="5" t="inlineStr">
        <is>
          <t>144-2024-12-31</t>
        </is>
      </c>
    </row>
    <row r="517">
      <c r="A517" s="21" t="n">
        <v>144</v>
      </c>
      <c r="B517" s="5" t="inlineStr">
        <is>
          <t>Productos de investigación</t>
        </is>
      </c>
      <c r="C517" s="5" t="inlineStr">
        <is>
          <t>Investigación, desarrollo tecnológico, innovación y creación</t>
        </is>
      </c>
      <c r="D517" s="5" t="inlineStr">
        <is>
          <t>Anual</t>
        </is>
      </c>
      <c r="E517" s="5" t="inlineStr">
        <is>
          <t>Positivo</t>
        </is>
      </c>
      <c r="F517" s="107" t="n">
        <v>46022</v>
      </c>
      <c r="G517" s="5" t="n">
        <v>2025</v>
      </c>
      <c r="H517" s="5" t="inlineStr">
        <is>
          <t>Diciembre</t>
        </is>
      </c>
      <c r="I517" s="6" t="inlineStr">
        <is>
          <t>2025-2</t>
        </is>
      </c>
      <c r="J517" s="5" t="n">
        <v>4</v>
      </c>
      <c r="K517" s="5" t="n">
        <v>1.95</v>
      </c>
      <c r="L517" s="14">
        <f>IFERROR(IF(OR(J517=0,K517=""),"",IF(E517="Positivo",MIN(MAX(K517/J517,0),1.3),MIN(MAX(J517/K517,0),1.3))),"") </f>
        <v/>
      </c>
      <c r="M517" s="14">
        <f>IFERROR(IF(OR(J517=0,K517=""),"",IF(E517="Positivo",MAX(K517/J517,0),MAX(J517/K517,0))),"") </f>
        <v/>
      </c>
      <c r="N517" s="5" t="inlineStr">
        <is>
          <t>ENT</t>
        </is>
      </c>
      <c r="O517" s="5" t="inlineStr">
        <is>
          <t>DEC</t>
        </is>
      </c>
      <c r="P517" s="15" t="n">
        <v>2</v>
      </c>
      <c r="Q517" s="15" t="n">
        <v>2</v>
      </c>
      <c r="R517" s="5" t="inlineStr">
        <is>
          <t>144-2025-12-31</t>
        </is>
      </c>
    </row>
    <row r="518">
      <c r="A518" s="21" t="n">
        <v>145</v>
      </c>
      <c r="B518" s="5" t="inlineStr">
        <is>
          <t>Semilleros de Investigación, Innovación y Creación</t>
        </is>
      </c>
      <c r="C518" s="5" t="inlineStr">
        <is>
          <t>Formación para la investigación, creación e innovación</t>
        </is>
      </c>
      <c r="D518" s="5" t="inlineStr">
        <is>
          <t>Trimestral</t>
        </is>
      </c>
      <c r="E518" s="5" t="inlineStr">
        <is>
          <t>Positivo</t>
        </is>
      </c>
      <c r="F518" s="107" t="n">
        <v>44742</v>
      </c>
      <c r="G518" s="5" t="n">
        <v>2022</v>
      </c>
      <c r="H518" s="5" t="inlineStr">
        <is>
          <t>Junio</t>
        </is>
      </c>
      <c r="I518" s="6" t="inlineStr">
        <is>
          <t>2022-1</t>
        </is>
      </c>
      <c r="J518" s="5" t="n">
        <v>1</v>
      </c>
      <c r="K518" s="5" t="n">
        <v>2.1186440677966</v>
      </c>
      <c r="L518" s="14">
        <f>IFERROR(IF(OR(J518=0,K518=""),"",IF(E518="Positivo",MIN(MAX(K518/J518,0),1.3),MIN(MAX(J518/K518,0),1.3))),"") </f>
        <v/>
      </c>
      <c r="M518" s="14">
        <f>IFERROR(IF(OR(J518=0,K518=""),"",IF(E518="Positivo",MAX(K518/J518,0),MAX(J518/K518,0))),"") </f>
        <v/>
      </c>
      <c r="N518" s="5" t="inlineStr">
        <is>
          <t>ENT</t>
        </is>
      </c>
      <c r="O518" s="5" t="inlineStr">
        <is>
          <t>DEC</t>
        </is>
      </c>
      <c r="P518" s="15" t="n">
        <v>0</v>
      </c>
      <c r="Q518" s="15" t="n">
        <v>2</v>
      </c>
      <c r="R518" s="5" t="inlineStr">
        <is>
          <t>145-2022-06-30</t>
        </is>
      </c>
    </row>
    <row r="519">
      <c r="A519" s="21" t="n">
        <v>145</v>
      </c>
      <c r="B519" s="5" t="inlineStr">
        <is>
          <t>Semilleros de Investigación, Innovación y Creación</t>
        </is>
      </c>
      <c r="C519" s="5" t="inlineStr">
        <is>
          <t>Formación para la investigación, creación e innovación</t>
        </is>
      </c>
      <c r="D519" s="5" t="inlineStr">
        <is>
          <t>Trimestral</t>
        </is>
      </c>
      <c r="E519" s="5" t="inlineStr">
        <is>
          <t>Positivo</t>
        </is>
      </c>
      <c r="F519" s="107" t="n">
        <v>44926</v>
      </c>
      <c r="G519" s="5" t="n">
        <v>2022</v>
      </c>
      <c r="H519" s="5" t="inlineStr">
        <is>
          <t>Diciembre</t>
        </is>
      </c>
      <c r="I519" s="6" t="inlineStr">
        <is>
          <t>2022-2</t>
        </is>
      </c>
      <c r="J519" s="5" t="n">
        <v>1</v>
      </c>
      <c r="K519" s="5" t="n">
        <v>2.1186440677966</v>
      </c>
      <c r="L519" s="14">
        <f>IFERROR(IF(OR(J519=0,K519=""),"",IF(E519="Positivo",MIN(MAX(K519/J519,0),1.3),MIN(MAX(J519/K519,0),1.3))),"") </f>
        <v/>
      </c>
      <c r="M519" s="14">
        <f>IFERROR(IF(OR(J519=0,K519=""),"",IF(E519="Positivo",MAX(K519/J519,0),MAX(J519/K519,0))),"") </f>
        <v/>
      </c>
      <c r="N519" s="5" t="inlineStr">
        <is>
          <t>ENT</t>
        </is>
      </c>
      <c r="O519" s="5" t="inlineStr">
        <is>
          <t>DEC</t>
        </is>
      </c>
      <c r="P519" s="15" t="n">
        <v>0</v>
      </c>
      <c r="Q519" s="15" t="n">
        <v>2</v>
      </c>
      <c r="R519" s="5" t="inlineStr">
        <is>
          <t>145-2022-12-31</t>
        </is>
      </c>
    </row>
    <row r="520">
      <c r="A520" s="21" t="n">
        <v>145</v>
      </c>
      <c r="B520" s="5" t="inlineStr">
        <is>
          <t>Semilleros de Investigación, Innovación y Creación</t>
        </is>
      </c>
      <c r="C520" s="5" t="inlineStr">
        <is>
          <t>Formación para la investigación, creación e innovación</t>
        </is>
      </c>
      <c r="D520" s="5" t="inlineStr">
        <is>
          <t>Semestral</t>
        </is>
      </c>
      <c r="E520" s="5" t="inlineStr">
        <is>
          <t>Positivo</t>
        </is>
      </c>
      <c r="F520" s="107" t="n">
        <v>45107</v>
      </c>
      <c r="G520" s="5" t="n">
        <v>2023</v>
      </c>
      <c r="H520" s="5" t="inlineStr">
        <is>
          <t>Junio</t>
        </is>
      </c>
      <c r="I520" s="6" t="inlineStr">
        <is>
          <t>2023-1</t>
        </is>
      </c>
      <c r="J520" s="5" t="n">
        <v>1</v>
      </c>
      <c r="K520" s="5" t="n">
        <v>2</v>
      </c>
      <c r="L520" s="14">
        <f>IFERROR(IF(OR(J520=0,K520=""),"",IF(E520="Positivo",MIN(MAX(K520/J520,0),1.3),MIN(MAX(J520/K520,0),1.3))),"") </f>
        <v/>
      </c>
      <c r="M520" s="14">
        <f>IFERROR(IF(OR(J520=0,K520=""),"",IF(E520="Positivo",MAX(K520/J520,0),MAX(J520/K520,0))),"") </f>
        <v/>
      </c>
      <c r="N520" s="5" t="inlineStr">
        <is>
          <t>ENT</t>
        </is>
      </c>
      <c r="O520" s="5" t="inlineStr">
        <is>
          <t>DEC</t>
        </is>
      </c>
      <c r="P520" s="15" t="n">
        <v>0</v>
      </c>
      <c r="Q520" s="15" t="n">
        <v>0</v>
      </c>
      <c r="R520" s="5" t="inlineStr">
        <is>
          <t>145-2023-06-30</t>
        </is>
      </c>
    </row>
    <row r="521">
      <c r="A521" s="21" t="n">
        <v>145</v>
      </c>
      <c r="B521" s="5" t="inlineStr">
        <is>
          <t>Semilleros de Investigación, Innovación y Creación</t>
        </is>
      </c>
      <c r="C521" s="5" t="inlineStr">
        <is>
          <t>Formación para la investigación, creación e innovación</t>
        </is>
      </c>
      <c r="D521" s="5" t="inlineStr">
        <is>
          <t>Semestral</t>
        </is>
      </c>
      <c r="E521" s="5" t="inlineStr">
        <is>
          <t>Positivo</t>
        </is>
      </c>
      <c r="F521" s="107" t="n">
        <v>45291</v>
      </c>
      <c r="G521" s="5" t="n">
        <v>2023</v>
      </c>
      <c r="H521" s="5" t="inlineStr">
        <is>
          <t>Diciembre</t>
        </is>
      </c>
      <c r="I521" s="6" t="inlineStr">
        <is>
          <t>2023-2</t>
        </is>
      </c>
      <c r="J521" s="5" t="n">
        <v>1</v>
      </c>
      <c r="K521" s="5" t="n">
        <v>2</v>
      </c>
      <c r="L521" s="14">
        <f>IFERROR(IF(OR(J521=0,K521=""),"",IF(E521="Positivo",MIN(MAX(K521/J521,0),1.3),MIN(MAX(J521/K521,0),1.3))),"") </f>
        <v/>
      </c>
      <c r="M521" s="14">
        <f>IFERROR(IF(OR(J521=0,K521=""),"",IF(E521="Positivo",MAX(K521/J521,0),MAX(J521/K521,0))),"") </f>
        <v/>
      </c>
      <c r="N521" s="5" t="inlineStr">
        <is>
          <t>ENT</t>
        </is>
      </c>
      <c r="O521" s="5" t="inlineStr">
        <is>
          <t>DEC</t>
        </is>
      </c>
      <c r="P521" s="15" t="n">
        <v>0</v>
      </c>
      <c r="Q521" s="15" t="n">
        <v>0</v>
      </c>
      <c r="R521" s="5" t="inlineStr">
        <is>
          <t>145-2023-12-31</t>
        </is>
      </c>
    </row>
    <row r="522">
      <c r="A522" s="26" t="n">
        <v>145</v>
      </c>
      <c r="B522" s="5" t="inlineStr">
        <is>
          <t>Semilleros de Investigación, Innovación y Creación</t>
        </is>
      </c>
      <c r="C522" s="5" t="inlineStr">
        <is>
          <t>Formación para la investigación, creación e innovación</t>
        </is>
      </c>
      <c r="D522" s="5" t="inlineStr">
        <is>
          <t>Semestral</t>
        </is>
      </c>
      <c r="E522" s="5" t="inlineStr">
        <is>
          <t>Positivo</t>
        </is>
      </c>
      <c r="F522" s="107" t="n">
        <v>45473</v>
      </c>
      <c r="G522" s="5" t="n">
        <v>2024</v>
      </c>
      <c r="H522" s="5" t="inlineStr">
        <is>
          <t>Junio</t>
        </is>
      </c>
      <c r="I522" s="6" t="inlineStr">
        <is>
          <t>2024-1</t>
        </is>
      </c>
      <c r="J522" s="5" t="n">
        <v>1</v>
      </c>
      <c r="K522" s="5" t="n">
        <v>1.97</v>
      </c>
      <c r="L522" s="14">
        <f>IFERROR(IF(OR(J522=0,K522=""),"",IF(E522="Positivo",MIN(MAX(K522/J522,0),1.3),MIN(MAX(J522/K522,0),1.3))),"") </f>
        <v/>
      </c>
      <c r="M522" s="14">
        <f>IFERROR(IF(OR(J522=0,K522=""),"",IF(E522="Positivo",MAX(K522/J522,0),MAX(J522/K522,0))),"") </f>
        <v/>
      </c>
      <c r="N522" s="5" t="inlineStr">
        <is>
          <t>ENT</t>
        </is>
      </c>
      <c r="O522" s="5" t="inlineStr">
        <is>
          <t>DEC</t>
        </is>
      </c>
      <c r="P522" s="15" t="n">
        <v>0</v>
      </c>
      <c r="Q522" s="15" t="n">
        <v>2</v>
      </c>
      <c r="R522" s="5" t="inlineStr">
        <is>
          <t>145-2024-06-30</t>
        </is>
      </c>
    </row>
    <row r="523">
      <c r="A523" s="26" t="n">
        <v>145</v>
      </c>
      <c r="B523" s="5" t="inlineStr">
        <is>
          <t>Semilleros de Investigación, Innovación y Creación</t>
        </is>
      </c>
      <c r="C523" s="5" t="inlineStr">
        <is>
          <t>Formación para la investigación, creación e innovación</t>
        </is>
      </c>
      <c r="D523" s="5" t="inlineStr">
        <is>
          <t>Semestral</t>
        </is>
      </c>
      <c r="E523" s="5" t="inlineStr">
        <is>
          <t>Positivo</t>
        </is>
      </c>
      <c r="F523" s="107" t="n">
        <v>45657</v>
      </c>
      <c r="G523" s="5" t="n">
        <v>2024</v>
      </c>
      <c r="H523" s="5" t="inlineStr">
        <is>
          <t>Diciembre</t>
        </is>
      </c>
      <c r="I523" s="6" t="inlineStr">
        <is>
          <t>2024-2</t>
        </is>
      </c>
      <c r="J523" s="5" t="n">
        <v>1</v>
      </c>
      <c r="K523" s="5" t="n">
        <v>1.94</v>
      </c>
      <c r="L523" s="14">
        <f>IFERROR(IF(OR(J523=0,K523=""),"",IF(E523="Positivo",MIN(MAX(K523/J523,0),1.3),MIN(MAX(J523/K523,0),1.3))),"") </f>
        <v/>
      </c>
      <c r="M523" s="14">
        <f>IFERROR(IF(OR(J523=0,K523=""),"",IF(E523="Positivo",MAX(K523/J523,0),MAX(J523/K523,0))),"") </f>
        <v/>
      </c>
      <c r="N523" s="5" t="inlineStr">
        <is>
          <t>ENT</t>
        </is>
      </c>
      <c r="O523" s="5" t="inlineStr">
        <is>
          <t>DEC</t>
        </is>
      </c>
      <c r="P523" s="15" t="n">
        <v>0</v>
      </c>
      <c r="Q523" s="15" t="n">
        <v>2</v>
      </c>
      <c r="R523" s="5" t="inlineStr">
        <is>
          <t>145-2024-12-31</t>
        </is>
      </c>
    </row>
    <row r="524">
      <c r="A524" s="26" t="n">
        <v>145</v>
      </c>
      <c r="B524" s="5" t="inlineStr">
        <is>
          <t>Semilleros de Investigación, Innovación y Creación</t>
        </is>
      </c>
      <c r="C524" s="5" t="inlineStr">
        <is>
          <t>Formación para la investigación, creación e innovación</t>
        </is>
      </c>
      <c r="D524" s="5" t="inlineStr">
        <is>
          <t>Semestral</t>
        </is>
      </c>
      <c r="E524" s="5" t="inlineStr">
        <is>
          <t>Positivo</t>
        </is>
      </c>
      <c r="F524" s="107" t="n">
        <v>45838</v>
      </c>
      <c r="G524" s="5" t="n">
        <v>2025</v>
      </c>
      <c r="H524" s="5" t="inlineStr">
        <is>
          <t>Junio</t>
        </is>
      </c>
      <c r="I524" s="6" t="inlineStr">
        <is>
          <t>2025-1</t>
        </is>
      </c>
      <c r="J524" s="5" t="n">
        <v>1</v>
      </c>
      <c r="K524" s="5" t="n">
        <v>1.74</v>
      </c>
      <c r="L524" s="14">
        <f>IFERROR(IF(OR(J524=0,K524=""),"",IF(E524="Positivo",MIN(MAX(K524/J524,0),1.3),MIN(MAX(J524/K524,0),1.3))),"") </f>
        <v/>
      </c>
      <c r="M524" s="14">
        <f>IFERROR(IF(OR(J524=0,K524=""),"",IF(E524="Positivo",MAX(K524/J524,0),MAX(J524/K524,0))),"") </f>
        <v/>
      </c>
      <c r="N524" s="5" t="inlineStr">
        <is>
          <t>ENT</t>
        </is>
      </c>
      <c r="O524" s="5" t="inlineStr">
        <is>
          <t>DEC</t>
        </is>
      </c>
      <c r="P524" s="15" t="n">
        <v>0</v>
      </c>
      <c r="Q524" s="15" t="n">
        <v>2</v>
      </c>
      <c r="R524" s="5" t="inlineStr">
        <is>
          <t>145-2025-06-30</t>
        </is>
      </c>
    </row>
    <row r="525">
      <c r="A525" s="21" t="n">
        <v>145</v>
      </c>
      <c r="B525" s="5" t="inlineStr">
        <is>
          <t>Semilleros de Investigación, Innovación y Creación</t>
        </is>
      </c>
      <c r="C525" s="5" t="inlineStr">
        <is>
          <t>Formación para la investigación, creación e innovación</t>
        </is>
      </c>
      <c r="D525" s="5" t="inlineStr">
        <is>
          <t>Trimestral</t>
        </is>
      </c>
      <c r="E525" s="5" t="inlineStr">
        <is>
          <t>Positivo</t>
        </is>
      </c>
      <c r="F525" s="107" t="n">
        <v>46022</v>
      </c>
      <c r="G525" s="5" t="n">
        <v>2025</v>
      </c>
      <c r="H525" s="5" t="inlineStr">
        <is>
          <t>Diciembre</t>
        </is>
      </c>
      <c r="I525" s="6" t="inlineStr">
        <is>
          <t>2025-2</t>
        </is>
      </c>
      <c r="J525" s="5" t="n">
        <v>1</v>
      </c>
      <c r="K525" s="9" t="n">
        <v>1.62</v>
      </c>
      <c r="L525" s="14">
        <f>IFERROR(IF(OR(J525=0,K525=""),"",IF(E525="Positivo",MIN(MAX(K525/J525,0),1.3),MIN(MAX(J525/K525,0),1.3))),"") </f>
        <v/>
      </c>
      <c r="M525" s="14">
        <f>IFERROR(IF(OR(J525=0,K525=""),"",IF(E525="Positivo",MAX(K525/J525,0),MAX(J525/K525,0))),"") </f>
        <v/>
      </c>
      <c r="N525" s="5" t="inlineStr">
        <is>
          <t>ENT</t>
        </is>
      </c>
      <c r="O525" s="5" t="inlineStr">
        <is>
          <t>DEC</t>
        </is>
      </c>
      <c r="P525" s="15" t="n">
        <v>0</v>
      </c>
      <c r="Q525" s="15" t="n">
        <v>2</v>
      </c>
      <c r="R525" s="5" t="inlineStr">
        <is>
          <t>145-2025-12-31</t>
        </is>
      </c>
    </row>
    <row r="526">
      <c r="A526" s="21" t="n">
        <v>146</v>
      </c>
      <c r="B526" s="5" t="inlineStr">
        <is>
          <t>Docentes vinculados a investigación</t>
        </is>
      </c>
      <c r="C526" s="5" t="inlineStr">
        <is>
          <t>Investigación, desarrollo tecnológico, innovación y creación</t>
        </is>
      </c>
      <c r="D526" s="5" t="inlineStr">
        <is>
          <t>Trimestral</t>
        </is>
      </c>
      <c r="E526" s="5" t="inlineStr">
        <is>
          <t>Positivo</t>
        </is>
      </c>
      <c r="F526" s="106" t="n">
        <v>44742</v>
      </c>
      <c r="G526" s="5" t="n">
        <v>2022</v>
      </c>
      <c r="H526" s="5" t="inlineStr">
        <is>
          <t>Junio</t>
        </is>
      </c>
      <c r="I526" s="6" t="inlineStr">
        <is>
          <t>2022-1</t>
        </is>
      </c>
      <c r="J526" s="5" t="n">
        <v>230</v>
      </c>
      <c r="K526" s="9" t="n">
        <v>100.43</v>
      </c>
      <c r="L526" s="14">
        <f>IFERROR(IF(OR(J526=0,K526=""),"",IF(E526="Positivo",MIN(MAX(K526/J526,0),1.3),MIN(MAX(J526/K526,0),1.3))),"") </f>
        <v/>
      </c>
      <c r="M526" s="14">
        <f>IFERROR(IF(OR(J526=0,K526=""),"",IF(E526="Positivo",MAX(K526/J526,0),MAX(J526/K526,0))),"") </f>
        <v/>
      </c>
      <c r="N526" s="5" t="inlineStr">
        <is>
          <t>ENT</t>
        </is>
      </c>
      <c r="O526" s="5" t="inlineStr">
        <is>
          <t>ENT</t>
        </is>
      </c>
      <c r="P526" s="15" t="n">
        <v>0</v>
      </c>
      <c r="Q526" s="15" t="n">
        <v>0</v>
      </c>
      <c r="R526" s="5" t="inlineStr">
        <is>
          <t>146-2022-06-30</t>
        </is>
      </c>
    </row>
    <row r="527">
      <c r="A527" s="21" t="n">
        <v>146</v>
      </c>
      <c r="B527" s="5" t="inlineStr">
        <is>
          <t>Docentes vinculados a investigación</t>
        </is>
      </c>
      <c r="C527" s="5" t="inlineStr">
        <is>
          <t>Investigación, desarrollo tecnológico, innovación y creación</t>
        </is>
      </c>
      <c r="D527" s="5" t="inlineStr">
        <is>
          <t>Trimestral</t>
        </is>
      </c>
      <c r="E527" s="5" t="inlineStr">
        <is>
          <t>Positivo</t>
        </is>
      </c>
      <c r="F527" s="107" t="n">
        <v>44926</v>
      </c>
      <c r="G527" s="5" t="n">
        <v>2022</v>
      </c>
      <c r="H527" s="5" t="inlineStr">
        <is>
          <t>Diciembre</t>
        </is>
      </c>
      <c r="I527" s="6" t="inlineStr">
        <is>
          <t>2022-2</t>
        </is>
      </c>
      <c r="J527" s="5" t="n">
        <v>230</v>
      </c>
      <c r="K527" s="9" t="n">
        <v>121.74</v>
      </c>
      <c r="L527" s="14">
        <f>IFERROR(IF(OR(J527=0,K527=""),"",IF(E527="Positivo",MIN(MAX(K527/J527,0),1.3),MIN(MAX(J527/K527,0),1.3))),"") </f>
        <v/>
      </c>
      <c r="M527" s="14">
        <f>IFERROR(IF(OR(J527=0,K527=""),"",IF(E527="Positivo",MAX(K527/J527,0),MAX(J527/K527,0))),"") </f>
        <v/>
      </c>
      <c r="N527" s="5" t="inlineStr">
        <is>
          <t>ENT</t>
        </is>
      </c>
      <c r="O527" s="5" t="inlineStr">
        <is>
          <t>ENT</t>
        </is>
      </c>
      <c r="P527" s="15" t="n">
        <v>0</v>
      </c>
      <c r="Q527" s="15" t="n">
        <v>0</v>
      </c>
      <c r="R527" s="5" t="inlineStr">
        <is>
          <t>146-2022-12-31</t>
        </is>
      </c>
    </row>
    <row r="528">
      <c r="A528" s="21" t="n">
        <v>146</v>
      </c>
      <c r="B528" s="5" t="inlineStr">
        <is>
          <t>Docentes vinculados a investigación</t>
        </is>
      </c>
      <c r="C528" s="5" t="inlineStr">
        <is>
          <t>Investigación, desarrollo tecnológico, innovación y creación</t>
        </is>
      </c>
      <c r="D528" s="5" t="inlineStr">
        <is>
          <t>Semestral</t>
        </is>
      </c>
      <c r="E528" s="5" t="inlineStr">
        <is>
          <t>Positivo</t>
        </is>
      </c>
      <c r="F528" s="107" t="n">
        <v>45107</v>
      </c>
      <c r="G528" s="5" t="n">
        <v>2023</v>
      </c>
      <c r="H528" s="5" t="inlineStr">
        <is>
          <t>Junio</t>
        </is>
      </c>
      <c r="I528" s="6" t="inlineStr">
        <is>
          <t>2023-1</t>
        </is>
      </c>
      <c r="J528" s="5" t="n">
        <v>230</v>
      </c>
      <c r="K528" s="9" t="n">
        <v>120.87</v>
      </c>
      <c r="L528" s="14">
        <f>IFERROR(IF(OR(J528=0,K528=""),"",IF(E528="Positivo",MIN(MAX(K528/J528,0),1.3),MIN(MAX(J528/K528,0),1.3))),"") </f>
        <v/>
      </c>
      <c r="M528" s="14">
        <f>IFERROR(IF(OR(J528=0,K528=""),"",IF(E528="Positivo",MAX(K528/J528,0),MAX(J528/K528,0))),"") </f>
        <v/>
      </c>
      <c r="N528" s="5" t="inlineStr">
        <is>
          <t>ENT</t>
        </is>
      </c>
      <c r="O528" s="5" t="inlineStr">
        <is>
          <t>ENT</t>
        </is>
      </c>
      <c r="P528" s="15" t="n">
        <v>0</v>
      </c>
      <c r="Q528" s="15" t="n">
        <v>0</v>
      </c>
      <c r="R528" s="5" t="inlineStr">
        <is>
          <t>146-2023-06-30</t>
        </is>
      </c>
    </row>
    <row r="529">
      <c r="A529" s="21" t="n">
        <v>146</v>
      </c>
      <c r="B529" s="5" t="inlineStr">
        <is>
          <t>Docentes vinculados a investigación</t>
        </is>
      </c>
      <c r="C529" s="5" t="inlineStr">
        <is>
          <t>Investigación, desarrollo tecnológico, innovación y creación</t>
        </is>
      </c>
      <c r="D529" s="5" t="inlineStr">
        <is>
          <t>Semestral</t>
        </is>
      </c>
      <c r="E529" s="5" t="inlineStr">
        <is>
          <t>Positivo</t>
        </is>
      </c>
      <c r="F529" s="107" t="n">
        <v>45291</v>
      </c>
      <c r="G529" s="5" t="n">
        <v>2023</v>
      </c>
      <c r="H529" s="5" t="inlineStr">
        <is>
          <t>Diciembre</t>
        </is>
      </c>
      <c r="I529" s="6" t="inlineStr">
        <is>
          <t>2023-2</t>
        </is>
      </c>
      <c r="J529" s="5" t="n">
        <v>230</v>
      </c>
      <c r="K529" s="9" t="n">
        <v>148.7</v>
      </c>
      <c r="L529" s="14">
        <f>IFERROR(IF(OR(J529=0,K529=""),"",IF(E529="Positivo",MIN(MAX(K529/J529,0),1.3),MIN(MAX(J529/K529,0),1.3))),"") </f>
        <v/>
      </c>
      <c r="M529" s="14">
        <f>IFERROR(IF(OR(J529=0,K529=""),"",IF(E529="Positivo",MAX(K529/J529,0),MAX(J529/K529,0))),"") </f>
        <v/>
      </c>
      <c r="N529" s="5" t="inlineStr">
        <is>
          <t>ENT</t>
        </is>
      </c>
      <c r="O529" s="5" t="inlineStr">
        <is>
          <t>ENT</t>
        </is>
      </c>
      <c r="P529" s="15" t="n">
        <v>0</v>
      </c>
      <c r="Q529" s="15" t="n">
        <v>0</v>
      </c>
      <c r="R529" s="5" t="inlineStr">
        <is>
          <t>146-2023-12-31</t>
        </is>
      </c>
    </row>
    <row r="530">
      <c r="A530" s="21" t="n">
        <v>146</v>
      </c>
      <c r="B530" s="5" t="inlineStr">
        <is>
          <t>Docentes vinculados a investigación</t>
        </is>
      </c>
      <c r="C530" s="5" t="inlineStr">
        <is>
          <t>Investigación, desarrollo tecnológico, innovación y creación</t>
        </is>
      </c>
      <c r="D530" s="5" t="inlineStr">
        <is>
          <t>Semestral</t>
        </is>
      </c>
      <c r="E530" s="5" t="inlineStr">
        <is>
          <t>Positivo</t>
        </is>
      </c>
      <c r="F530" s="107" t="n">
        <v>45473</v>
      </c>
      <c r="G530" s="5" t="n">
        <v>2024</v>
      </c>
      <c r="H530" s="5" t="inlineStr">
        <is>
          <t>Junio</t>
        </is>
      </c>
      <c r="I530" s="6" t="inlineStr">
        <is>
          <t>2024-1</t>
        </is>
      </c>
      <c r="J530" s="5" t="n">
        <v>294</v>
      </c>
      <c r="K530" s="9" t="n">
        <v>113.61</v>
      </c>
      <c r="L530" s="14">
        <f>IFERROR(IF(OR(J530=0,K530=""),"",IF(E530="Positivo",MIN(MAX(K530/J530,0),1.3),MIN(MAX(J530/K530,0),1.3))),"") </f>
        <v/>
      </c>
      <c r="M530" s="14">
        <f>IFERROR(IF(OR(J530=0,K530=""),"",IF(E530="Positivo",MAX(K530/J530,0),MAX(J530/K530,0))),"") </f>
        <v/>
      </c>
      <c r="N530" s="5" t="inlineStr">
        <is>
          <t>ENT</t>
        </is>
      </c>
      <c r="O530" s="5" t="inlineStr">
        <is>
          <t>ENT</t>
        </is>
      </c>
      <c r="P530" s="15" t="n">
        <v>0</v>
      </c>
      <c r="Q530" s="15" t="n">
        <v>0</v>
      </c>
      <c r="R530" s="5" t="inlineStr">
        <is>
          <t>146-2024-06-30</t>
        </is>
      </c>
    </row>
    <row r="531">
      <c r="A531" s="21" t="n">
        <v>146</v>
      </c>
      <c r="B531" s="5" t="inlineStr">
        <is>
          <t>Docentes vinculados a investigación</t>
        </is>
      </c>
      <c r="C531" s="5" t="inlineStr">
        <is>
          <t>Investigación, desarrollo tecnológico, innovación y creación</t>
        </is>
      </c>
      <c r="D531" s="5" t="inlineStr">
        <is>
          <t>Semestral</t>
        </is>
      </c>
      <c r="E531" s="5" t="inlineStr">
        <is>
          <t>Positivo</t>
        </is>
      </c>
      <c r="F531" s="107" t="n">
        <v>45657</v>
      </c>
      <c r="G531" s="5" t="n">
        <v>2024</v>
      </c>
      <c r="H531" s="5" t="inlineStr">
        <is>
          <t>Diciembre</t>
        </is>
      </c>
      <c r="I531" s="6" t="inlineStr">
        <is>
          <t>2024-2</t>
        </is>
      </c>
      <c r="J531" s="5" t="n">
        <v>294</v>
      </c>
      <c r="K531" s="9" t="n">
        <v>116.67</v>
      </c>
      <c r="L531" s="14">
        <f>IFERROR(IF(OR(J531=0,K531=""),"",IF(E531="Positivo",MIN(MAX(K531/J531,0),1.3),MIN(MAX(J531/K531,0),1.3))),"") </f>
        <v/>
      </c>
      <c r="M531" s="14">
        <f>IFERROR(IF(OR(J531=0,K531=""),"",IF(E531="Positivo",MAX(K531/J531,0),MAX(J531/K531,0))),"") </f>
        <v/>
      </c>
      <c r="N531" s="5" t="inlineStr">
        <is>
          <t>ENT</t>
        </is>
      </c>
      <c r="O531" s="5" t="inlineStr">
        <is>
          <t>ENT</t>
        </is>
      </c>
      <c r="P531" s="15" t="n">
        <v>0</v>
      </c>
      <c r="Q531" s="15" t="n">
        <v>0</v>
      </c>
      <c r="R531" s="5" t="inlineStr">
        <is>
          <t>146-2024-12-31</t>
        </is>
      </c>
    </row>
    <row r="532">
      <c r="A532" s="21" t="n">
        <v>146</v>
      </c>
      <c r="B532" s="5" t="inlineStr">
        <is>
          <t>Docentes vinculados a investigación</t>
        </is>
      </c>
      <c r="C532" s="5" t="inlineStr">
        <is>
          <t>Investigación, desarrollo tecnológico, innovación y creación</t>
        </is>
      </c>
      <c r="D532" s="5" t="inlineStr">
        <is>
          <t>Semestral</t>
        </is>
      </c>
      <c r="E532" s="5" t="inlineStr">
        <is>
          <t>Positivo</t>
        </is>
      </c>
      <c r="F532" s="107" t="n">
        <v>45838</v>
      </c>
      <c r="G532" s="5" t="n">
        <v>2025</v>
      </c>
      <c r="H532" s="5" t="inlineStr">
        <is>
          <t>Junio</t>
        </is>
      </c>
      <c r="I532" s="6" t="inlineStr">
        <is>
          <t>2025-1</t>
        </is>
      </c>
      <c r="J532" s="5" t="n">
        <v>100</v>
      </c>
      <c r="K532" s="9" t="n">
        <v>107</v>
      </c>
      <c r="L532" s="14">
        <f>IFERROR(IF(OR(J532=0,K532=""),"",IF(E532="Positivo",MIN(MAX(K532/J532,0),1.3),MIN(MAX(J532/K532,0),1.3))),"") </f>
        <v/>
      </c>
      <c r="M532" s="14">
        <f>IFERROR(IF(OR(J532=0,K532=""),"",IF(E532="Positivo",MAX(K532/J532,0),MAX(J532/K532,0))),"") </f>
        <v/>
      </c>
      <c r="N532" s="5" t="inlineStr">
        <is>
          <t>ENT</t>
        </is>
      </c>
      <c r="O532" s="5" t="inlineStr">
        <is>
          <t>ENT</t>
        </is>
      </c>
      <c r="P532" s="15" t="n">
        <v>0</v>
      </c>
      <c r="Q532" s="15" t="n">
        <v>0</v>
      </c>
      <c r="R532" s="5" t="inlineStr">
        <is>
          <t>146-2025-06-30</t>
        </is>
      </c>
    </row>
    <row r="533">
      <c r="A533" s="21" t="n">
        <v>146</v>
      </c>
      <c r="B533" s="5" t="inlineStr">
        <is>
          <t>Docentes vinculados a investigación</t>
        </is>
      </c>
      <c r="C533" s="5" t="inlineStr">
        <is>
          <t>Investigación, desarrollo tecnológico, innovación y creación</t>
        </is>
      </c>
      <c r="D533" s="5" t="inlineStr">
        <is>
          <t>Trimestral</t>
        </is>
      </c>
      <c r="E533" s="5" t="inlineStr">
        <is>
          <t>Positivo</t>
        </is>
      </c>
      <c r="F533" s="107" t="n">
        <v>46022</v>
      </c>
      <c r="G533" s="5" t="n">
        <v>2025</v>
      </c>
      <c r="H533" s="5" t="inlineStr">
        <is>
          <t>Diciembre</t>
        </is>
      </c>
      <c r="I533" s="6" t="inlineStr">
        <is>
          <t>2025-2</t>
        </is>
      </c>
      <c r="J533" s="5" t="n">
        <v>100</v>
      </c>
      <c r="K533" s="9" t="n">
        <v>133</v>
      </c>
      <c r="L533" s="14">
        <f>IFERROR(IF(OR(J533=0,K533=""),"",IF(E533="Positivo",MIN(MAX(K533/J533,0),1.3),MIN(MAX(J533/K533,0),1.3))),"") </f>
        <v/>
      </c>
      <c r="M533" s="14">
        <f>IFERROR(IF(OR(J533=0,K533=""),"",IF(E533="Positivo",MAX(K533/J533,0),MAX(J533/K533,0))),"") </f>
        <v/>
      </c>
      <c r="N533" s="5" t="inlineStr">
        <is>
          <t>ENT</t>
        </is>
      </c>
      <c r="O533" s="5" t="inlineStr">
        <is>
          <t>ENT</t>
        </is>
      </c>
      <c r="P533" s="15" t="n">
        <v>0</v>
      </c>
      <c r="Q533" s="15" t="n">
        <v>0</v>
      </c>
      <c r="R533" s="5" t="inlineStr">
        <is>
          <t>146-2025-12-31</t>
        </is>
      </c>
    </row>
    <row r="534">
      <c r="A534" s="26" t="n">
        <v>147</v>
      </c>
      <c r="B534" s="5" t="inlineStr">
        <is>
          <t>Grupos de investigación categorizados</t>
        </is>
      </c>
      <c r="C534" s="5" t="inlineStr">
        <is>
          <t>Investigación, desarrollo tecnológico, innovación y creación</t>
        </is>
      </c>
      <c r="D534" s="5" t="inlineStr">
        <is>
          <t>Anual</t>
        </is>
      </c>
      <c r="E534" s="5" t="inlineStr">
        <is>
          <t>Positivo</t>
        </is>
      </c>
      <c r="F534" s="107" t="n">
        <v>44926</v>
      </c>
      <c r="G534" s="5" t="n">
        <v>2022</v>
      </c>
      <c r="H534" s="5" t="inlineStr">
        <is>
          <t>Diciembre</t>
        </is>
      </c>
      <c r="I534" s="6" t="inlineStr">
        <is>
          <t>2022-2</t>
        </is>
      </c>
      <c r="J534" s="5" t="n">
        <v>18</v>
      </c>
      <c r="K534" s="9" t="n">
        <v>11</v>
      </c>
      <c r="L534" s="14">
        <f>IFERROR(IF(OR(J534=0,K534=""),"",IF(E534="Positivo",MIN(MAX(K534/J534,0),1.3),MIN(MAX(J534/K534,0),1.3))),"") </f>
        <v/>
      </c>
      <c r="M534" s="14">
        <f>IFERROR(IF(OR(J534=0,K534=""),"",IF(E534="Positivo",MAX(K534/J534,0),MAX(J534/K534,0))),"") </f>
        <v/>
      </c>
      <c r="N534" s="5" t="inlineStr">
        <is>
          <t>ENT</t>
        </is>
      </c>
      <c r="O534" s="5" t="inlineStr">
        <is>
          <t>ENT</t>
        </is>
      </c>
      <c r="P534" s="15" t="n">
        <v>0</v>
      </c>
      <c r="Q534" s="15" t="n">
        <v>0</v>
      </c>
      <c r="R534" s="5" t="inlineStr">
        <is>
          <t>147-2022-12-31</t>
        </is>
      </c>
    </row>
    <row r="535">
      <c r="A535" s="26" t="n">
        <v>147</v>
      </c>
      <c r="B535" s="5" t="inlineStr">
        <is>
          <t>Grupos de investigación categorizados</t>
        </is>
      </c>
      <c r="C535" s="5" t="inlineStr">
        <is>
          <t>Investigación, desarrollo tecnológico, innovación y creación</t>
        </is>
      </c>
      <c r="D535" s="5" t="inlineStr">
        <is>
          <t>Anual</t>
        </is>
      </c>
      <c r="E535" s="5" t="inlineStr">
        <is>
          <t>Positivo</t>
        </is>
      </c>
      <c r="F535" s="107" t="n">
        <v>45291</v>
      </c>
      <c r="G535" s="5" t="n">
        <v>2023</v>
      </c>
      <c r="H535" s="5" t="inlineStr">
        <is>
          <t>Diciembre</t>
        </is>
      </c>
      <c r="I535" s="6" t="inlineStr">
        <is>
          <t>2023-2</t>
        </is>
      </c>
      <c r="J535" s="5" t="n">
        <v>13</v>
      </c>
      <c r="K535" s="9" t="n">
        <v>12</v>
      </c>
      <c r="L535" s="14">
        <f>IFERROR(IF(OR(J535=0,K535=""),"",IF(E535="Positivo",MIN(MAX(K535/J535,0),1.3),MIN(MAX(J535/K535,0),1.3))),"") </f>
        <v/>
      </c>
      <c r="M535" s="14">
        <f>IFERROR(IF(OR(J535=0,K535=""),"",IF(E535="Positivo",MAX(K535/J535,0),MAX(J535/K535,0))),"") </f>
        <v/>
      </c>
      <c r="N535" s="5" t="inlineStr">
        <is>
          <t>ENT</t>
        </is>
      </c>
      <c r="O535" s="5" t="inlineStr">
        <is>
          <t>ENT</t>
        </is>
      </c>
      <c r="P535" s="15" t="n">
        <v>0</v>
      </c>
      <c r="Q535" s="15" t="n">
        <v>0</v>
      </c>
      <c r="R535" s="5" t="inlineStr">
        <is>
          <t>147-2023-12-31</t>
        </is>
      </c>
    </row>
    <row r="536">
      <c r="A536" s="26" t="n">
        <v>147</v>
      </c>
      <c r="B536" s="5" t="inlineStr">
        <is>
          <t>Grupos de investigación categorizados</t>
        </is>
      </c>
      <c r="C536" s="5" t="inlineStr">
        <is>
          <t>Investigación, desarrollo tecnológico, innovación y creación</t>
        </is>
      </c>
      <c r="D536" s="5" t="inlineStr">
        <is>
          <t>Anual</t>
        </is>
      </c>
      <c r="E536" s="5" t="inlineStr">
        <is>
          <t>Positivo</t>
        </is>
      </c>
      <c r="F536" s="107" t="n">
        <v>45657</v>
      </c>
      <c r="G536" s="5" t="n">
        <v>2024</v>
      </c>
      <c r="H536" s="5" t="inlineStr">
        <is>
          <t>Diciembre</t>
        </is>
      </c>
      <c r="I536" s="6" t="inlineStr">
        <is>
          <t>2024-2</t>
        </is>
      </c>
      <c r="J536" s="5" t="n">
        <v>0</v>
      </c>
      <c r="K536" s="9" t="n">
        <v>12</v>
      </c>
      <c r="L536" s="14">
        <f>IFERROR(IF(OR(J536=0,K536=""),"",IF(E536="Positivo",MIN(MAX(K536/J536,0),1.3),MIN(MAX(J536/K536,0),1.3))),"") </f>
        <v/>
      </c>
      <c r="M536" s="14">
        <f>IFERROR(IF(OR(J536=0,K536=""),"",IF(E536="Positivo",MAX(K536/J536,0),MAX(J536/K536,0))),"") </f>
        <v/>
      </c>
      <c r="N536" s="5" t="n"/>
      <c r="O536" s="5" t="n"/>
      <c r="P536" s="15" t="n">
        <v>0</v>
      </c>
      <c r="Q536" s="15" t="n">
        <v>0</v>
      </c>
      <c r="R536" s="5" t="inlineStr">
        <is>
          <t>147-2024-12-31</t>
        </is>
      </c>
    </row>
    <row r="537">
      <c r="A537" s="21" t="n">
        <v>147</v>
      </c>
      <c r="B537" s="5" t="inlineStr">
        <is>
          <t>Grupos de investigación categorizados</t>
        </is>
      </c>
      <c r="C537" s="5" t="inlineStr">
        <is>
          <t>Investigación, desarrollo tecnológico, innovación y creación</t>
        </is>
      </c>
      <c r="D537" s="5" t="inlineStr">
        <is>
          <t>Anual</t>
        </is>
      </c>
      <c r="E537" s="5" t="inlineStr">
        <is>
          <t>Positivo</t>
        </is>
      </c>
      <c r="F537" s="107" t="n">
        <v>46022</v>
      </c>
      <c r="G537" s="5" t="n">
        <v>2025</v>
      </c>
      <c r="H537" s="5" t="inlineStr">
        <is>
          <t>Diciembre</t>
        </is>
      </c>
      <c r="I537" s="6" t="inlineStr">
        <is>
          <t>2025-2</t>
        </is>
      </c>
      <c r="J537" s="5" t="n">
        <v>16</v>
      </c>
      <c r="K537" s="9" t="n">
        <v>16</v>
      </c>
      <c r="L537" s="14">
        <f>IFERROR(IF(OR(J537=0,K537=""),"",IF(E537="Positivo",MIN(MAX(K537/J537,0),1.3),MIN(MAX(J537/K537,0),1.3))),"") </f>
        <v/>
      </c>
      <c r="M537" s="14">
        <f>IFERROR(IF(OR(J537=0,K537=""),"",IF(E537="Positivo",MAX(K537/J537,0),MAX(J537/K537,0))),"") </f>
        <v/>
      </c>
      <c r="N537" s="5" t="inlineStr">
        <is>
          <t>ENT</t>
        </is>
      </c>
      <c r="O537" s="5" t="inlineStr">
        <is>
          <t>ENT</t>
        </is>
      </c>
      <c r="P537" s="15" t="n">
        <v>0</v>
      </c>
      <c r="Q537" s="15" t="n">
        <v>0</v>
      </c>
      <c r="R537" s="5" t="inlineStr">
        <is>
          <t>147-2025-12-31</t>
        </is>
      </c>
    </row>
    <row r="538">
      <c r="A538" s="21" t="n">
        <v>148</v>
      </c>
      <c r="B538" s="5" t="inlineStr">
        <is>
          <t>Estudiantes vinculados a investigación</t>
        </is>
      </c>
      <c r="C538" s="5" t="inlineStr">
        <is>
          <t>Formación para la investigación, creación e innovación</t>
        </is>
      </c>
      <c r="D538" s="5" t="inlineStr">
        <is>
          <t>Trimestral</t>
        </is>
      </c>
      <c r="E538" s="5" t="inlineStr">
        <is>
          <t>Positivo</t>
        </is>
      </c>
      <c r="F538" s="107" t="n">
        <v>44742</v>
      </c>
      <c r="G538" s="5" t="n">
        <v>2022</v>
      </c>
      <c r="H538" s="5" t="inlineStr">
        <is>
          <t>Junio</t>
        </is>
      </c>
      <c r="I538" s="6" t="inlineStr">
        <is>
          <t>2022-1</t>
        </is>
      </c>
      <c r="J538" s="5" t="n">
        <v>2</v>
      </c>
      <c r="K538" s="9" t="n">
        <v>1.56749025217</v>
      </c>
      <c r="L538" s="14">
        <f>IFERROR(IF(OR(J538=0,K538=""),"",IF(E538="Positivo",MIN(MAX(K538/J538,0),1.3),MIN(MAX(J538/K538,0),1.3))),"") </f>
        <v/>
      </c>
      <c r="M538" s="14">
        <f>IFERROR(IF(OR(J538=0,K538=""),"",IF(E538="Positivo",MAX(K538/J538,0),MAX(J538/K538,0))),"") </f>
        <v/>
      </c>
      <c r="N538" s="5" t="inlineStr">
        <is>
          <t>%</t>
        </is>
      </c>
      <c r="O538" s="5" t="inlineStr">
        <is>
          <t>%</t>
        </is>
      </c>
      <c r="P538" s="15" t="n">
        <v>0</v>
      </c>
      <c r="Q538" s="15" t="n">
        <v>1</v>
      </c>
      <c r="R538" s="5" t="inlineStr">
        <is>
          <t>148-2022-06-30</t>
        </is>
      </c>
    </row>
    <row r="539">
      <c r="A539" s="21" t="n">
        <v>148</v>
      </c>
      <c r="B539" s="5" t="inlineStr">
        <is>
          <t>% Estudiantes vinculados a investigación</t>
        </is>
      </c>
      <c r="C539" s="5" t="inlineStr">
        <is>
          <t>Formación para la investigación, creación e innovación</t>
        </is>
      </c>
      <c r="D539" s="5" t="inlineStr">
        <is>
          <t>Semestral</t>
        </is>
      </c>
      <c r="E539" s="5" t="inlineStr">
        <is>
          <t>Positivo</t>
        </is>
      </c>
      <c r="F539" s="107" t="n">
        <v>44926</v>
      </c>
      <c r="G539" s="5" t="n">
        <v>2022</v>
      </c>
      <c r="H539" s="5" t="inlineStr">
        <is>
          <t>Diciembre</t>
        </is>
      </c>
      <c r="I539" s="6" t="inlineStr">
        <is>
          <t>2022-2</t>
        </is>
      </c>
      <c r="J539" s="5" t="n">
        <v>2</v>
      </c>
      <c r="K539" s="9" t="n">
        <v>3.0897703549061</v>
      </c>
      <c r="L539" s="14">
        <f>IFERROR(IF(OR(J539=0,K539=""),"",IF(E539="Positivo",MIN(MAX(K539/J539,0),1.3),MIN(MAX(J539/K539,0),1.3))),"") </f>
        <v/>
      </c>
      <c r="M539" s="14">
        <f>IFERROR(IF(OR(J539=0,K539=""),"",IF(E539="Positivo",MAX(K539/J539,0),MAX(J539/K539,0))),"") </f>
        <v/>
      </c>
      <c r="N539" s="5" t="inlineStr">
        <is>
          <t>%</t>
        </is>
      </c>
      <c r="O539" s="5" t="inlineStr">
        <is>
          <t>%</t>
        </is>
      </c>
      <c r="P539" s="15" t="n">
        <v>0</v>
      </c>
      <c r="Q539" s="15" t="n">
        <v>1</v>
      </c>
      <c r="R539" s="5" t="inlineStr">
        <is>
          <t>148-2022-12-31</t>
        </is>
      </c>
    </row>
    <row r="540">
      <c r="A540" s="21" t="n">
        <v>148</v>
      </c>
      <c r="B540" s="5" t="inlineStr">
        <is>
          <t>% Estudiantes vinculados a investigación</t>
        </is>
      </c>
      <c r="C540" s="5" t="inlineStr">
        <is>
          <t>Formación para la investigación, creación e innovación</t>
        </is>
      </c>
      <c r="D540" s="5" t="inlineStr">
        <is>
          <t>Semestral</t>
        </is>
      </c>
      <c r="E540" s="5" t="inlineStr">
        <is>
          <t>Positivo</t>
        </is>
      </c>
      <c r="F540" s="107" t="n">
        <v>45107</v>
      </c>
      <c r="G540" s="5" t="n">
        <v>2023</v>
      </c>
      <c r="H540" s="5" t="inlineStr">
        <is>
          <t>Junio</t>
        </is>
      </c>
      <c r="I540" s="6" t="inlineStr">
        <is>
          <t>2023-1</t>
        </is>
      </c>
      <c r="J540" s="5" t="n">
        <v>2.5</v>
      </c>
      <c r="K540" s="9" t="n">
        <v>4.11</v>
      </c>
      <c r="L540" s="14">
        <f>IFERROR(IF(OR(J540=0,K540=""),"",IF(E540="Positivo",MIN(MAX(K540/J540,0),1.3),MIN(MAX(J540/K540,0),1.3))),"") </f>
        <v/>
      </c>
      <c r="M540" s="14">
        <f>IFERROR(IF(OR(J540=0,K540=""),"",IF(E540="Positivo",MAX(K540/J540,0),MAX(J540/K540,0))),"") </f>
        <v/>
      </c>
      <c r="N540" s="5" t="inlineStr">
        <is>
          <t>%</t>
        </is>
      </c>
      <c r="O540" s="5" t="inlineStr">
        <is>
          <t>%</t>
        </is>
      </c>
      <c r="P540" s="15" t="n">
        <v>2</v>
      </c>
      <c r="Q540" s="15" t="n">
        <v>1</v>
      </c>
      <c r="R540" s="5" t="inlineStr">
        <is>
          <t>148-2023-06-30</t>
        </is>
      </c>
    </row>
    <row r="541">
      <c r="A541" s="21" t="n">
        <v>148</v>
      </c>
      <c r="B541" s="5" t="inlineStr">
        <is>
          <t>% Estudiantes vinculados a investigación</t>
        </is>
      </c>
      <c r="C541" s="5" t="inlineStr">
        <is>
          <t>Formación para la investigación, creación e innovación</t>
        </is>
      </c>
      <c r="D541" s="5" t="inlineStr">
        <is>
          <t>Semestral</t>
        </is>
      </c>
      <c r="E541" s="5" t="inlineStr">
        <is>
          <t>Positivo</t>
        </is>
      </c>
      <c r="F541" s="107" t="n">
        <v>45291</v>
      </c>
      <c r="G541" s="5" t="n">
        <v>2023</v>
      </c>
      <c r="H541" s="5" t="inlineStr">
        <is>
          <t>Diciembre</t>
        </is>
      </c>
      <c r="I541" s="6" t="inlineStr">
        <is>
          <t>2023-2</t>
        </is>
      </c>
      <c r="J541" s="5" t="n">
        <v>5</v>
      </c>
      <c r="K541" s="9" t="n">
        <v>5.71</v>
      </c>
      <c r="L541" s="14">
        <f>IFERROR(IF(OR(J541=0,K541=""),"",IF(E541="Positivo",MIN(MAX(K541/J541,0),1.3),MIN(MAX(J541/K541,0),1.3))),"") </f>
        <v/>
      </c>
      <c r="M541" s="14">
        <f>IFERROR(IF(OR(J541=0,K541=""),"",IF(E541="Positivo",MAX(K541/J541,0),MAX(J541/K541,0))),"") </f>
        <v/>
      </c>
      <c r="N541" s="5" t="inlineStr">
        <is>
          <t>%</t>
        </is>
      </c>
      <c r="O541" s="5" t="inlineStr">
        <is>
          <t>%</t>
        </is>
      </c>
      <c r="P541" s="15" t="n">
        <v>0</v>
      </c>
      <c r="Q541" s="15" t="n">
        <v>1</v>
      </c>
      <c r="R541" s="5" t="inlineStr">
        <is>
          <t>148-2023-12-31</t>
        </is>
      </c>
    </row>
    <row r="542">
      <c r="A542" s="21" t="n">
        <v>148</v>
      </c>
      <c r="B542" s="5" t="inlineStr">
        <is>
          <t>% Estudiantes vinculados a investigación</t>
        </is>
      </c>
      <c r="C542" s="5" t="inlineStr">
        <is>
          <t>Formación para la investigación, creación e innovación</t>
        </is>
      </c>
      <c r="D542" s="5" t="inlineStr">
        <is>
          <t>Semestral</t>
        </is>
      </c>
      <c r="E542" s="5" t="inlineStr">
        <is>
          <t>Positivo</t>
        </is>
      </c>
      <c r="F542" s="107" t="n">
        <v>45473</v>
      </c>
      <c r="G542" s="5" t="n">
        <v>2024</v>
      </c>
      <c r="H542" s="5" t="inlineStr">
        <is>
          <t>Junio</t>
        </is>
      </c>
      <c r="I542" s="6" t="inlineStr">
        <is>
          <t>2024-1</t>
        </is>
      </c>
      <c r="J542" s="5" t="n">
        <v>5</v>
      </c>
      <c r="K542" s="9" t="n">
        <v>4.3</v>
      </c>
      <c r="L542" s="14">
        <f>IFERROR(IF(OR(J542=0,K542=""),"",IF(E542="Positivo",MIN(MAX(K542/J542,0),1.3),MIN(MAX(J542/K542,0),1.3))),"") </f>
        <v/>
      </c>
      <c r="M542" s="14">
        <f>IFERROR(IF(OR(J542=0,K542=""),"",IF(E542="Positivo",MAX(K542/J542,0),MAX(J542/K542,0))),"") </f>
        <v/>
      </c>
      <c r="N542" s="5" t="inlineStr">
        <is>
          <t>%</t>
        </is>
      </c>
      <c r="O542" s="5" t="inlineStr">
        <is>
          <t>%</t>
        </is>
      </c>
      <c r="P542" s="15" t="n">
        <v>0</v>
      </c>
      <c r="Q542" s="15" t="n">
        <v>1</v>
      </c>
      <c r="R542" s="5" t="inlineStr">
        <is>
          <t>148-2024-06-30</t>
        </is>
      </c>
    </row>
    <row r="543">
      <c r="A543" s="21" t="n">
        <v>148</v>
      </c>
      <c r="B543" s="5" t="inlineStr">
        <is>
          <t>Estudiantes vinculados a investigación</t>
        </is>
      </c>
      <c r="C543" s="5" t="inlineStr">
        <is>
          <t>Formación para la investigación, creación e innovación</t>
        </is>
      </c>
      <c r="D543" s="5" t="inlineStr">
        <is>
          <t>Semestral</t>
        </is>
      </c>
      <c r="E543" s="5" t="inlineStr">
        <is>
          <t>Positivo</t>
        </is>
      </c>
      <c r="F543" s="107" t="n">
        <v>45657</v>
      </c>
      <c r="G543" s="5" t="n">
        <v>2024</v>
      </c>
      <c r="H543" s="5" t="inlineStr">
        <is>
          <t>Diciembre</t>
        </is>
      </c>
      <c r="I543" s="6" t="inlineStr">
        <is>
          <t>2024-2</t>
        </is>
      </c>
      <c r="J543" s="5" t="n">
        <v>5</v>
      </c>
      <c r="K543" s="9" t="n">
        <v>6.3</v>
      </c>
      <c r="L543" s="14">
        <f>IFERROR(IF(OR(J543=0,K543=""),"",IF(E543="Positivo",MIN(MAX(K543/J543,0),1.3),MIN(MAX(J543/K543,0),1.3))),"") </f>
        <v/>
      </c>
      <c r="M543" s="14">
        <f>IFERROR(IF(OR(J543=0,K543=""),"",IF(E543="Positivo",MAX(K543/J543,0),MAX(J543/K543,0))),"") </f>
        <v/>
      </c>
      <c r="N543" s="5" t="inlineStr">
        <is>
          <t>%</t>
        </is>
      </c>
      <c r="O543" s="5" t="inlineStr">
        <is>
          <t>%</t>
        </is>
      </c>
      <c r="P543" s="15" t="n">
        <v>0</v>
      </c>
      <c r="Q543" s="15" t="n">
        <v>1</v>
      </c>
      <c r="R543" s="5" t="inlineStr">
        <is>
          <t>148-2024-12-31</t>
        </is>
      </c>
    </row>
    <row r="544">
      <c r="A544" s="21" t="n">
        <v>148</v>
      </c>
      <c r="B544" s="5" t="inlineStr">
        <is>
          <t>% Estudiantes vinculados a investigación</t>
        </is>
      </c>
      <c r="C544" s="5" t="inlineStr">
        <is>
          <t>Formación para la investigación, creación e innovación</t>
        </is>
      </c>
      <c r="D544" s="5" t="inlineStr">
        <is>
          <t>Semestral</t>
        </is>
      </c>
      <c r="E544" s="5" t="inlineStr">
        <is>
          <t>Positivo</t>
        </is>
      </c>
      <c r="F544" s="107" t="n">
        <v>45838</v>
      </c>
      <c r="G544" s="5" t="n">
        <v>2025</v>
      </c>
      <c r="H544" s="5" t="inlineStr">
        <is>
          <t>Junio</t>
        </is>
      </c>
      <c r="I544" s="6" t="inlineStr">
        <is>
          <t>2025-1</t>
        </is>
      </c>
      <c r="J544" s="5" t="n">
        <v>4</v>
      </c>
      <c r="K544" s="9" t="n">
        <v>4.08</v>
      </c>
      <c r="L544" s="14">
        <f>IFERROR(IF(OR(J544=0,K544=""),"",IF(E544="Positivo",MIN(MAX(K544/J544,0),1.3),MIN(MAX(J544/K544,0),1.3))),"") </f>
        <v/>
      </c>
      <c r="M544" s="14">
        <f>IFERROR(IF(OR(J544=0,K544=""),"",IF(E544="Positivo",MAX(K544/J544,0),MAX(J544/K544,0))),"") </f>
        <v/>
      </c>
      <c r="N544" s="5" t="inlineStr">
        <is>
          <t>%</t>
        </is>
      </c>
      <c r="O544" s="5" t="inlineStr">
        <is>
          <t>%</t>
        </is>
      </c>
      <c r="P544" s="15" t="n">
        <v>0</v>
      </c>
      <c r="Q544" s="15" t="n">
        <v>1</v>
      </c>
      <c r="R544" s="5" t="inlineStr">
        <is>
          <t>148-2025-06-30</t>
        </is>
      </c>
    </row>
    <row r="545">
      <c r="A545" s="21" t="n">
        <v>148</v>
      </c>
      <c r="B545" s="5" t="inlineStr">
        <is>
          <t>Estudiantes vinculados a investigación</t>
        </is>
      </c>
      <c r="C545" s="5" t="inlineStr">
        <is>
          <t>Formación para la investigación, creación e innovación</t>
        </is>
      </c>
      <c r="D545" s="5" t="inlineStr">
        <is>
          <t>Trimestral</t>
        </is>
      </c>
      <c r="E545" s="5" t="inlineStr">
        <is>
          <t>Positivo</t>
        </is>
      </c>
      <c r="F545" s="107" t="n">
        <v>46022</v>
      </c>
      <c r="G545" s="5" t="n">
        <v>2025</v>
      </c>
      <c r="H545" s="5" t="inlineStr">
        <is>
          <t>Diciembre</t>
        </is>
      </c>
      <c r="I545" s="6" t="inlineStr">
        <is>
          <t>2025-2</t>
        </is>
      </c>
      <c r="J545" s="5" t="n">
        <v>5</v>
      </c>
      <c r="K545" s="9" t="n">
        <v>6.78</v>
      </c>
      <c r="L545" s="14">
        <f>IFERROR(IF(OR(J545=0,K545=""),"",IF(E545="Positivo",MIN(MAX(K545/J545,0),1.3),MIN(MAX(J545/K545,0),1.3))),"") </f>
        <v/>
      </c>
      <c r="M545" s="14">
        <f>IFERROR(IF(OR(J545=0,K545=""),"",IF(E545="Positivo",MAX(K545/J545,0),MAX(J545/K545,0))),"") </f>
        <v/>
      </c>
      <c r="N545" s="5" t="inlineStr">
        <is>
          <t>%</t>
        </is>
      </c>
      <c r="O545" s="5" t="inlineStr">
        <is>
          <t>%</t>
        </is>
      </c>
      <c r="P545" s="15" t="n">
        <v>0</v>
      </c>
      <c r="Q545" s="15" t="n">
        <v>1</v>
      </c>
      <c r="R545" s="5" t="inlineStr">
        <is>
          <t>148-2025-12-31</t>
        </is>
      </c>
    </row>
    <row r="546">
      <c r="A546" s="26" t="n">
        <v>150</v>
      </c>
      <c r="B546" s="5" t="inlineStr">
        <is>
          <t>Nivel de Satisfacción Servicios Prestados</t>
        </is>
      </c>
      <c r="C546" s="5" t="inlineStr">
        <is>
          <t>Investigación, desarrollo tecnológico e innovación</t>
        </is>
      </c>
      <c r="D546" s="5" t="inlineStr">
        <is>
          <t>Anual</t>
        </is>
      </c>
      <c r="E546" s="5" t="inlineStr">
        <is>
          <t>Positivo</t>
        </is>
      </c>
      <c r="F546" s="107" t="n">
        <v>44865</v>
      </c>
      <c r="G546" s="5" t="n">
        <v>2022</v>
      </c>
      <c r="H546" s="5" t="inlineStr">
        <is>
          <t>Octubre</t>
        </is>
      </c>
      <c r="I546" s="6" t="inlineStr">
        <is>
          <t>2022-2</t>
        </is>
      </c>
      <c r="J546" s="5" t="n">
        <v>80</v>
      </c>
      <c r="K546" s="9" t="n">
        <v>80</v>
      </c>
      <c r="L546" s="14">
        <f>IFERROR(IF(OR(J546=0,K546=""),"",IF(E546="Positivo",MIN(MAX(K546/J546,0),1.3),MIN(MAX(J546/K546,0),1.3))),"") </f>
        <v/>
      </c>
      <c r="M546" s="14">
        <f>IFERROR(IF(OR(J546=0,K546=""),"",IF(E546="Positivo",MAX(K546/J546,0),MAX(J546/K546,0))),"") </f>
        <v/>
      </c>
      <c r="N546" s="5" t="inlineStr">
        <is>
          <t>%</t>
        </is>
      </c>
      <c r="O546" s="5" t="inlineStr">
        <is>
          <t>%</t>
        </is>
      </c>
      <c r="P546" s="15" t="n">
        <v>0</v>
      </c>
      <c r="Q546" s="15" t="n">
        <v>0</v>
      </c>
      <c r="R546" s="5" t="inlineStr">
        <is>
          <t>150-2022-10-31</t>
        </is>
      </c>
    </row>
    <row r="547">
      <c r="A547" s="26" t="n">
        <v>150</v>
      </c>
      <c r="B547" s="5" t="inlineStr">
        <is>
          <t>Nivel de Satisfacción Servicios Prestados</t>
        </is>
      </c>
      <c r="C547" s="5" t="inlineStr">
        <is>
          <t>INVESTIGACIÓN, INNOVACIÓN Y CREACIÓN</t>
        </is>
      </c>
      <c r="D547" s="5" t="inlineStr">
        <is>
          <t>Anual</t>
        </is>
      </c>
      <c r="E547" s="5" t="inlineStr">
        <is>
          <t>Positivo</t>
        </is>
      </c>
      <c r="F547" s="107" t="n">
        <v>45230</v>
      </c>
      <c r="G547" s="5" t="n">
        <v>2023</v>
      </c>
      <c r="H547" s="5" t="inlineStr">
        <is>
          <t>Octubre</t>
        </is>
      </c>
      <c r="I547" s="6" t="inlineStr">
        <is>
          <t>2023-2</t>
        </is>
      </c>
      <c r="J547" s="5" t="n">
        <v>80</v>
      </c>
      <c r="K547" s="9" t="n">
        <v>94</v>
      </c>
      <c r="L547" s="14">
        <f>IFERROR(IF(OR(J547=0,K547=""),"",IF(E547="Positivo",MIN(MAX(K547/J547,0),1.3),MIN(MAX(J547/K547,0),1.3))),"") </f>
        <v/>
      </c>
      <c r="M547" s="14">
        <f>IFERROR(IF(OR(J547=0,K547=""),"",IF(E547="Positivo",MAX(K547/J547,0),MAX(J547/K547,0))),"") </f>
        <v/>
      </c>
      <c r="N547" s="5" t="inlineStr">
        <is>
          <t>%</t>
        </is>
      </c>
      <c r="O547" s="5" t="inlineStr">
        <is>
          <t>%</t>
        </is>
      </c>
      <c r="P547" s="15" t="n">
        <v>0</v>
      </c>
      <c r="Q547" s="15" t="n">
        <v>0</v>
      </c>
      <c r="R547" s="5" t="inlineStr">
        <is>
          <t>150-2023-10-31</t>
        </is>
      </c>
    </row>
    <row r="548">
      <c r="A548" s="26" t="n">
        <v>150</v>
      </c>
      <c r="B548" s="5" t="inlineStr">
        <is>
          <t>Nivel de Satisfacción Servicios Prestados</t>
        </is>
      </c>
      <c r="C548" s="5" t="inlineStr">
        <is>
          <t>Investigación, desarrollo tecnológico e innovación</t>
        </is>
      </c>
      <c r="D548" s="5" t="inlineStr">
        <is>
          <t>Anual</t>
        </is>
      </c>
      <c r="E548" s="5" t="inlineStr">
        <is>
          <t>Positivo</t>
        </is>
      </c>
      <c r="F548" s="107" t="n">
        <v>45291</v>
      </c>
      <c r="G548" s="5" t="n">
        <v>2023</v>
      </c>
      <c r="H548" s="5" t="inlineStr">
        <is>
          <t>Diciembre</t>
        </is>
      </c>
      <c r="I548" s="6" t="inlineStr">
        <is>
          <t>2023-2</t>
        </is>
      </c>
      <c r="J548" s="5" t="n">
        <v>80</v>
      </c>
      <c r="K548" s="9" t="n">
        <v>84.34350070811109</v>
      </c>
      <c r="L548" s="14">
        <f>IFERROR(IF(OR(J548=0,K548=""),"",IF(E548="Positivo",MIN(MAX(K548/J548,0),1.3),MIN(MAX(J548/K548,0),1.3))),"") </f>
        <v/>
      </c>
      <c r="M548" s="14">
        <f>IFERROR(IF(OR(J548=0,K548=""),"",IF(E548="Positivo",MAX(K548/J548,0),MAX(J548/K548,0))),"") </f>
        <v/>
      </c>
      <c r="N548" s="5" t="inlineStr">
        <is>
          <t>%</t>
        </is>
      </c>
      <c r="O548" s="5" t="inlineStr">
        <is>
          <t>%</t>
        </is>
      </c>
      <c r="P548" s="15" t="n">
        <v>0</v>
      </c>
      <c r="Q548" s="15" t="n">
        <v>0</v>
      </c>
      <c r="R548" s="5" t="inlineStr">
        <is>
          <t>150-2023-12-31</t>
        </is>
      </c>
    </row>
    <row r="549">
      <c r="A549" s="21" t="n">
        <v>150</v>
      </c>
      <c r="B549" s="5" t="inlineStr">
        <is>
          <t>Nivel de Satisfacción Servicios Prestados- Investigación, desarrollo tecnológico, innovación y creación</t>
        </is>
      </c>
      <c r="C549" s="5" t="inlineStr">
        <is>
          <t>Investigación, desarrollo tecnológico, innovación y creación</t>
        </is>
      </c>
      <c r="D549" s="5" t="inlineStr">
        <is>
          <t>Anual</t>
        </is>
      </c>
      <c r="E549" s="5" t="inlineStr">
        <is>
          <t>Positivo</t>
        </is>
      </c>
      <c r="F549" s="106" t="n">
        <v>45596</v>
      </c>
      <c r="G549" s="5" t="n">
        <v>2024</v>
      </c>
      <c r="H549" s="5" t="inlineStr">
        <is>
          <t>Octubre</t>
        </is>
      </c>
      <c r="I549" s="6" t="inlineStr">
        <is>
          <t>2024-2</t>
        </is>
      </c>
      <c r="J549" s="5" t="n">
        <v>80</v>
      </c>
      <c r="K549" s="9" t="n">
        <v>89</v>
      </c>
      <c r="L549" s="14">
        <f>IFERROR(IF(OR(J549=0,K549=""),"",IF(E549="Positivo",MIN(MAX(K549/J549,0),1.3),MIN(MAX(J549/K549,0),1.3))),"") </f>
        <v/>
      </c>
      <c r="M549" s="14">
        <f>IFERROR(IF(OR(J549=0,K549=""),"",IF(E549="Positivo",MAX(K549/J549,0),MAX(J549/K549,0))),"") </f>
        <v/>
      </c>
      <c r="N549" s="5" t="inlineStr">
        <is>
          <t>%</t>
        </is>
      </c>
      <c r="O549" s="5" t="inlineStr">
        <is>
          <t>%</t>
        </is>
      </c>
      <c r="P549" s="15" t="n">
        <v>0</v>
      </c>
      <c r="Q549" s="15" t="n">
        <v>0</v>
      </c>
      <c r="R549" s="5" t="inlineStr">
        <is>
          <t>150-2024-10-31</t>
        </is>
      </c>
    </row>
    <row r="550">
      <c r="A550" s="26" t="n">
        <v>151</v>
      </c>
      <c r="B550" s="5" t="inlineStr">
        <is>
          <t>Nivel de Satisfacción Servicios Prestados</t>
        </is>
      </c>
      <c r="C550" s="5" t="inlineStr">
        <is>
          <t>Biblioteca Institucional</t>
        </is>
      </c>
      <c r="D550" s="5" t="inlineStr">
        <is>
          <t>Anual</t>
        </is>
      </c>
      <c r="E550" s="5" t="inlineStr">
        <is>
          <t>Positivo</t>
        </is>
      </c>
      <c r="F550" s="107" t="n">
        <v>44865</v>
      </c>
      <c r="G550" s="5" t="n">
        <v>2022</v>
      </c>
      <c r="H550" s="5" t="inlineStr">
        <is>
          <t>Octubre</t>
        </is>
      </c>
      <c r="I550" s="6" t="inlineStr">
        <is>
          <t>2022-2</t>
        </is>
      </c>
      <c r="J550" s="5" t="n">
        <v>80</v>
      </c>
      <c r="K550" s="9" t="n">
        <v>83</v>
      </c>
      <c r="L550" s="14">
        <f>IFERROR(IF(OR(J550=0,K550=""),"",IF(E550="Positivo",MIN(MAX(K550/J550,0),1.3),MIN(MAX(J550/K550,0),1.3))),"") </f>
        <v/>
      </c>
      <c r="M550" s="14">
        <f>IFERROR(IF(OR(J550=0,K550=""),"",IF(E550="Positivo",MAX(K550/J550,0),MAX(J550/K550,0))),"") </f>
        <v/>
      </c>
      <c r="N550" s="5" t="inlineStr">
        <is>
          <t>%</t>
        </is>
      </c>
      <c r="O550" s="5" t="inlineStr">
        <is>
          <t>%</t>
        </is>
      </c>
      <c r="P550" s="15" t="n">
        <v>0</v>
      </c>
      <c r="Q550" s="15" t="n">
        <v>0</v>
      </c>
      <c r="R550" s="5" t="inlineStr">
        <is>
          <t>151-2022-10-31</t>
        </is>
      </c>
    </row>
    <row r="551">
      <c r="A551" s="5" t="n">
        <v>151</v>
      </c>
      <c r="B551" s="5" t="inlineStr">
        <is>
          <t>Nivel de Satisfacción Servicios Prestados</t>
        </is>
      </c>
      <c r="C551" s="5" t="inlineStr">
        <is>
          <t>Biblioteca Institucional</t>
        </is>
      </c>
      <c r="D551" s="5" t="inlineStr">
        <is>
          <t>Anual</t>
        </is>
      </c>
      <c r="E551" s="5" t="inlineStr">
        <is>
          <t>Positivo</t>
        </is>
      </c>
      <c r="F551" s="107" t="n">
        <v>45230</v>
      </c>
      <c r="G551" s="5" t="n">
        <v>2023</v>
      </c>
      <c r="H551" s="5" t="inlineStr">
        <is>
          <t>Octubre</t>
        </is>
      </c>
      <c r="I551" s="6" t="inlineStr">
        <is>
          <t>2023-2</t>
        </is>
      </c>
      <c r="J551" s="5" t="n">
        <v>80</v>
      </c>
      <c r="K551" s="5" t="n">
        <v>90.37</v>
      </c>
      <c r="L551" s="14">
        <f>IFERROR(IF(OR(J551=0,K551=""),"",IF(E551="Positivo",MIN(MAX(K551/J551,0),1.3),MIN(MAX(J551/K551,0),1.3))),"") </f>
        <v/>
      </c>
      <c r="M551" s="14">
        <f>IFERROR(IF(OR(J551=0,K551=""),"",IF(E551="Positivo",MAX(K551/J551,0),MAX(J551/K551,0))),"") </f>
        <v/>
      </c>
      <c r="N551" s="5" t="inlineStr">
        <is>
          <t>%</t>
        </is>
      </c>
      <c r="O551" s="5" t="inlineStr">
        <is>
          <t>%</t>
        </is>
      </c>
      <c r="P551" s="5" t="n">
        <v>0</v>
      </c>
      <c r="Q551" s="5" t="n">
        <v>0</v>
      </c>
      <c r="R551" s="5" t="inlineStr">
        <is>
          <t>151-2023-10-31</t>
        </is>
      </c>
    </row>
    <row r="552">
      <c r="A552" s="21" t="n">
        <v>151</v>
      </c>
      <c r="B552" s="5" t="inlineStr">
        <is>
          <t>Nivel de Satisfacción Servicios Prestados</t>
        </is>
      </c>
      <c r="C552" s="5" t="inlineStr">
        <is>
          <t>Biblioteca Institucional</t>
        </is>
      </c>
      <c r="D552" s="5" t="inlineStr">
        <is>
          <t>Anual</t>
        </is>
      </c>
      <c r="E552" s="5" t="inlineStr">
        <is>
          <t>Positivo</t>
        </is>
      </c>
      <c r="F552" s="107" t="n">
        <v>45596</v>
      </c>
      <c r="G552" s="5" t="n">
        <v>2024</v>
      </c>
      <c r="H552" s="5" t="inlineStr">
        <is>
          <t>Octubre</t>
        </is>
      </c>
      <c r="I552" s="6" t="inlineStr">
        <is>
          <t>2024-2</t>
        </is>
      </c>
      <c r="J552" s="5" t="n">
        <v>80</v>
      </c>
      <c r="K552" s="10" t="n">
        <v>80</v>
      </c>
      <c r="L552" s="14">
        <f>IFERROR(IF(OR(J552=0,K552=""),"",IF(E552="Positivo",MIN(MAX(K552/J552,0),1.3),MIN(MAX(J552/K552,0),1.3))),"") </f>
        <v/>
      </c>
      <c r="M552" s="14">
        <f>IFERROR(IF(OR(J552=0,K552=""),"",IF(E552="Positivo",MAX(K552/J552,0),MAX(J552/K552,0))),"") </f>
        <v/>
      </c>
      <c r="N552" s="5" t="inlineStr">
        <is>
          <t>%</t>
        </is>
      </c>
      <c r="O552" s="5" t="inlineStr">
        <is>
          <t>%</t>
        </is>
      </c>
      <c r="P552" s="15" t="n">
        <v>0</v>
      </c>
      <c r="Q552" s="15" t="n">
        <v>0</v>
      </c>
      <c r="R552" s="5" t="inlineStr">
        <is>
          <t>151-2024-10-31</t>
        </is>
      </c>
    </row>
    <row r="553">
      <c r="A553" s="21" t="n">
        <v>151</v>
      </c>
      <c r="B553" s="5" t="inlineStr">
        <is>
          <t>Nivel de Satisfacción Servicios Prestados</t>
        </is>
      </c>
      <c r="C553" s="5" t="inlineStr">
        <is>
          <t>Biblioteca Institucional</t>
        </is>
      </c>
      <c r="D553" s="5" t="inlineStr">
        <is>
          <t>Anual</t>
        </is>
      </c>
      <c r="E553" s="5" t="inlineStr">
        <is>
          <t>Positivo</t>
        </is>
      </c>
      <c r="F553" s="106" t="n">
        <v>45961</v>
      </c>
      <c r="G553" s="5" t="n">
        <v>2025</v>
      </c>
      <c r="H553" s="5" t="inlineStr">
        <is>
          <t>Octubre</t>
        </is>
      </c>
      <c r="I553" s="6" t="inlineStr">
        <is>
          <t>2025-2</t>
        </is>
      </c>
      <c r="J553" s="5" t="n">
        <v>80</v>
      </c>
      <c r="K553" s="9" t="n">
        <v>95</v>
      </c>
      <c r="L553" s="14">
        <f>IFERROR(IF(OR(J553=0,K553=""),"",IF(E553="Positivo",MIN(MAX(K553/J553,0),1.3),MIN(MAX(J553/K553,0),1.3))),"") </f>
        <v/>
      </c>
      <c r="M553" s="14">
        <f>IFERROR(IF(OR(J553=0,K553=""),"",IF(E553="Positivo",MAX(K553/J553,0),MAX(J553/K553,0))),"") </f>
        <v/>
      </c>
      <c r="N553" s="5" t="inlineStr">
        <is>
          <t>%</t>
        </is>
      </c>
      <c r="O553" s="5" t="inlineStr">
        <is>
          <t>%</t>
        </is>
      </c>
      <c r="P553" s="15" t="n">
        <v>0</v>
      </c>
      <c r="Q553" s="15" t="n">
        <v>0</v>
      </c>
      <c r="R553" s="5" t="inlineStr">
        <is>
          <t>151-2025-10-31</t>
        </is>
      </c>
    </row>
    <row r="554">
      <c r="A554" s="5" t="n">
        <v>157</v>
      </c>
      <c r="B554" s="5" t="inlineStr">
        <is>
          <t>Indexación de bases de datos o SIRES</t>
        </is>
      </c>
      <c r="C554" s="5" t="inlineStr">
        <is>
          <t>Editorial y Publicaciones</t>
        </is>
      </c>
      <c r="D554" s="5" t="inlineStr">
        <is>
          <t>Anual</t>
        </is>
      </c>
      <c r="E554" s="5" t="inlineStr">
        <is>
          <t>Positivo</t>
        </is>
      </c>
      <c r="F554" s="107" t="n">
        <v>45107</v>
      </c>
      <c r="G554" s="5" t="n">
        <v>2023</v>
      </c>
      <c r="H554" s="5" t="inlineStr">
        <is>
          <t>Junio</t>
        </is>
      </c>
      <c r="I554" s="6" t="inlineStr">
        <is>
          <t>2023-1</t>
        </is>
      </c>
      <c r="J554" s="5" t="n">
        <v>3</v>
      </c>
      <c r="K554" s="5" t="n">
        <v>4</v>
      </c>
      <c r="L554" s="14">
        <f>IFERROR(IF(OR(J554=0,K554=""),"",IF(E554="Positivo",MIN(MAX(K554/J554,0),1.3),MIN(MAX(J554/K554,0),1.3))),"") </f>
        <v/>
      </c>
      <c r="M554" s="14">
        <f>IFERROR(IF(OR(J554=0,K554=""),"",IF(E554="Positivo",MAX(K554/J554,0),MAX(J554/K554,0))),"") </f>
        <v/>
      </c>
      <c r="N554" s="5" t="inlineStr">
        <is>
          <t>No Aplica</t>
        </is>
      </c>
      <c r="O554" s="5" t="inlineStr">
        <is>
          <t>No Aplica</t>
        </is>
      </c>
      <c r="P554" s="5" t="n">
        <v>0</v>
      </c>
      <c r="Q554" s="5" t="n">
        <v>0</v>
      </c>
      <c r="R554" s="5" t="inlineStr">
        <is>
          <t>157-2023-06-30</t>
        </is>
      </c>
    </row>
    <row r="555">
      <c r="A555" s="21" t="n">
        <v>157</v>
      </c>
      <c r="B555" s="5" t="inlineStr">
        <is>
          <t>Indexación de bases de datos o SIRES</t>
        </is>
      </c>
      <c r="C555" s="5" t="inlineStr">
        <is>
          <t>Editorial y Publicaciones</t>
        </is>
      </c>
      <c r="D555" s="5" t="inlineStr">
        <is>
          <t>Anual</t>
        </is>
      </c>
      <c r="E555" s="5" t="inlineStr">
        <is>
          <t>Positivo</t>
        </is>
      </c>
      <c r="F555" s="107" t="n">
        <v>45291</v>
      </c>
      <c r="G555" s="5" t="n">
        <v>2023</v>
      </c>
      <c r="H555" s="5" t="inlineStr">
        <is>
          <t>Diciembre</t>
        </is>
      </c>
      <c r="I555" s="6" t="inlineStr">
        <is>
          <t>2023-2</t>
        </is>
      </c>
      <c r="J555" s="5" t="n">
        <v>3</v>
      </c>
      <c r="K555" s="10" t="n">
        <v>7</v>
      </c>
      <c r="L555" s="14">
        <f>IFERROR(IF(OR(J555=0,K555=""),"",IF(E555="Positivo",MIN(MAX(K555/J555,0),1.3),MIN(MAX(J555/K555,0),1.3))),"") </f>
        <v/>
      </c>
      <c r="M555" s="14">
        <f>IFERROR(IF(OR(J555=0,K555=""),"",IF(E555="Positivo",MAX(K555/J555,0),MAX(J555/K555,0))),"") </f>
        <v/>
      </c>
      <c r="N555" s="5" t="inlineStr">
        <is>
          <t>No Aplica</t>
        </is>
      </c>
      <c r="O555" s="5" t="inlineStr">
        <is>
          <t>No Aplica</t>
        </is>
      </c>
      <c r="P555" s="15" t="n">
        <v>0</v>
      </c>
      <c r="Q555" s="15" t="n">
        <v>0</v>
      </c>
      <c r="R555" s="5" t="inlineStr">
        <is>
          <t>157-2023-12-31</t>
        </is>
      </c>
    </row>
    <row r="556">
      <c r="A556" s="21" t="n">
        <v>157</v>
      </c>
      <c r="B556" s="5" t="inlineStr">
        <is>
          <t>Indexación de bases de datos o SIRES</t>
        </is>
      </c>
      <c r="C556" s="5" t="inlineStr">
        <is>
          <t>Editorial y Publicaciones</t>
        </is>
      </c>
      <c r="D556" s="5" t="inlineStr">
        <is>
          <t>Anual</t>
        </is>
      </c>
      <c r="E556" s="5" t="inlineStr">
        <is>
          <t>Positivo</t>
        </is>
      </c>
      <c r="F556" s="107" t="n">
        <v>45657</v>
      </c>
      <c r="G556" s="5" t="n">
        <v>2024</v>
      </c>
      <c r="H556" s="5" t="inlineStr">
        <is>
          <t>Diciembre</t>
        </is>
      </c>
      <c r="I556" s="6" t="inlineStr">
        <is>
          <t>2024-2</t>
        </is>
      </c>
      <c r="J556" s="5" t="n">
        <v>100</v>
      </c>
      <c r="K556" s="10" t="n">
        <v>125</v>
      </c>
      <c r="L556" s="14">
        <f>IFERROR(IF(OR(J556=0,K556=""),"",IF(E556="Positivo",MIN(MAX(K556/J556,0),1.3),MIN(MAX(J556/K556,0),1.3))),"") </f>
        <v/>
      </c>
      <c r="M556" s="14">
        <f>IFERROR(IF(OR(J556=0,K556=""),"",IF(E556="Positivo",MAX(K556/J556,0),MAX(J556/K556,0))),"") </f>
        <v/>
      </c>
      <c r="N556" s="5" t="n"/>
      <c r="O556" s="5" t="n"/>
      <c r="P556" s="15" t="n">
        <v>0</v>
      </c>
      <c r="Q556" s="15" t="n">
        <v>0</v>
      </c>
      <c r="R556" s="5" t="inlineStr">
        <is>
          <t>157-2024-12-31</t>
        </is>
      </c>
    </row>
    <row r="557">
      <c r="A557" s="5" t="n">
        <v>159</v>
      </c>
      <c r="B557" s="5" t="inlineStr">
        <is>
          <t>Nivel de Satisfacción Servicios Prestados</t>
        </is>
      </c>
      <c r="C557" s="5" t="inlineStr">
        <is>
          <t>Editorial y Publicaciones</t>
        </is>
      </c>
      <c r="D557" s="5" t="inlineStr">
        <is>
          <t>Trimestral</t>
        </is>
      </c>
      <c r="E557" s="5" t="inlineStr">
        <is>
          <t>Positivo</t>
        </is>
      </c>
      <c r="F557" s="107" t="n">
        <v>44742</v>
      </c>
      <c r="G557" s="5" t="n">
        <v>2022</v>
      </c>
      <c r="H557" s="5" t="inlineStr">
        <is>
          <t>Junio</t>
        </is>
      </c>
      <c r="I557" s="6" t="inlineStr">
        <is>
          <t>2022-1</t>
        </is>
      </c>
      <c r="J557" s="5" t="n">
        <v>80</v>
      </c>
      <c r="K557" s="5" t="n">
        <v>0</v>
      </c>
      <c r="L557" s="14">
        <f>IFERROR(IF(OR(J557=0,K557=""),"",IF(E557="Positivo",MIN(MAX(K557/J557,0),1.3),MIN(MAX(J557/K557,0),1.3))),"") </f>
        <v/>
      </c>
      <c r="M557" s="14">
        <f>IFERROR(IF(OR(J557=0,K557=""),"",IF(E557="Positivo",MAX(K557/J557,0),MAX(J557/K557,0))),"") </f>
        <v/>
      </c>
      <c r="N557" s="5" t="inlineStr">
        <is>
          <t>%</t>
        </is>
      </c>
      <c r="O557" s="5" t="inlineStr">
        <is>
          <t>%</t>
        </is>
      </c>
      <c r="P557" s="5" t="n">
        <v>0</v>
      </c>
      <c r="Q557" s="5" t="n">
        <v>0</v>
      </c>
      <c r="R557" s="5" t="inlineStr">
        <is>
          <t>159-2022-06-30</t>
        </is>
      </c>
    </row>
    <row r="558">
      <c r="A558" s="21" t="n">
        <v>159</v>
      </c>
      <c r="B558" s="5" t="inlineStr">
        <is>
          <t>Nivel de Satisfacción Servicios Prestados</t>
        </is>
      </c>
      <c r="C558" s="5" t="inlineStr">
        <is>
          <t>Editorial y Publicaciones</t>
        </is>
      </c>
      <c r="D558" s="5" t="inlineStr">
        <is>
          <t>Trimestral</t>
        </is>
      </c>
      <c r="E558" s="5" t="inlineStr">
        <is>
          <t>Positivo</t>
        </is>
      </c>
      <c r="F558" s="107" t="n">
        <v>44926</v>
      </c>
      <c r="G558" s="5" t="n">
        <v>2022</v>
      </c>
      <c r="H558" s="5" t="inlineStr">
        <is>
          <t>Diciembre</t>
        </is>
      </c>
      <c r="I558" s="6" t="inlineStr">
        <is>
          <t>2022-2</t>
        </is>
      </c>
      <c r="J558" s="5" t="n">
        <v>80</v>
      </c>
      <c r="K558" s="10" t="n">
        <v>70</v>
      </c>
      <c r="L558" s="14">
        <f>IFERROR(IF(OR(J558=0,K558=""),"",IF(E558="Positivo",MIN(MAX(K558/J558,0),1.3),MIN(MAX(J558/K558,0),1.3))),"") </f>
        <v/>
      </c>
      <c r="M558" s="14">
        <f>IFERROR(IF(OR(J558=0,K558=""),"",IF(E558="Positivo",MAX(K558/J558,0),MAX(J558/K558,0))),"") </f>
        <v/>
      </c>
      <c r="N558" s="5" t="inlineStr">
        <is>
          <t>%</t>
        </is>
      </c>
      <c r="O558" s="5" t="inlineStr">
        <is>
          <t>%</t>
        </is>
      </c>
      <c r="P558" s="15" t="n">
        <v>0</v>
      </c>
      <c r="Q558" s="15" t="n">
        <v>0</v>
      </c>
      <c r="R558" s="5" t="inlineStr">
        <is>
          <t>159-2022-12-31</t>
        </is>
      </c>
    </row>
    <row r="559">
      <c r="A559" s="21" t="n">
        <v>159</v>
      </c>
      <c r="B559" s="5" t="inlineStr">
        <is>
          <t>Nivel de Satisfacción Servicios Prestados</t>
        </is>
      </c>
      <c r="C559" s="5" t="inlineStr">
        <is>
          <t>Editorial y Publicaciones</t>
        </is>
      </c>
      <c r="D559" s="5" t="inlineStr">
        <is>
          <t>Semestral</t>
        </is>
      </c>
      <c r="E559" s="5" t="inlineStr">
        <is>
          <t>Positivo</t>
        </is>
      </c>
      <c r="F559" s="107" t="n">
        <v>45107</v>
      </c>
      <c r="G559" s="5" t="n">
        <v>2023</v>
      </c>
      <c r="H559" s="5" t="inlineStr">
        <is>
          <t>Junio</t>
        </is>
      </c>
      <c r="I559" s="6" t="inlineStr">
        <is>
          <t>2023-1</t>
        </is>
      </c>
      <c r="J559" s="5" t="n">
        <v>80</v>
      </c>
      <c r="K559" s="10" t="n">
        <v>96</v>
      </c>
      <c r="L559" s="14">
        <f>IFERROR(IF(OR(J559=0,K559=""),"",IF(E559="Positivo",MIN(MAX(K559/J559,0),1.3),MIN(MAX(J559/K559,0),1.3))),"") </f>
        <v/>
      </c>
      <c r="M559" s="14">
        <f>IFERROR(IF(OR(J559=0,K559=""),"",IF(E559="Positivo",MAX(K559/J559,0),MAX(J559/K559,0))),"") </f>
        <v/>
      </c>
      <c r="N559" s="5" t="inlineStr">
        <is>
          <t>%</t>
        </is>
      </c>
      <c r="O559" s="5" t="inlineStr">
        <is>
          <t>%</t>
        </is>
      </c>
      <c r="P559" s="15" t="n">
        <v>0</v>
      </c>
      <c r="Q559" s="15" t="n">
        <v>0</v>
      </c>
      <c r="R559" s="5" t="inlineStr">
        <is>
          <t>159-2023-06-30</t>
        </is>
      </c>
    </row>
    <row r="560">
      <c r="A560" s="5" t="n">
        <v>159</v>
      </c>
      <c r="B560" s="5" t="inlineStr">
        <is>
          <t>Nivel de Satisfacción Servicios Prestados</t>
        </is>
      </c>
      <c r="C560" s="5" t="inlineStr">
        <is>
          <t>Editorial y Publicaciones</t>
        </is>
      </c>
      <c r="D560" s="5" t="inlineStr">
        <is>
          <t>Semestral</t>
        </is>
      </c>
      <c r="E560" s="5" t="inlineStr">
        <is>
          <t>Positivo</t>
        </is>
      </c>
      <c r="F560" s="107" t="n">
        <v>45291</v>
      </c>
      <c r="G560" s="5" t="n">
        <v>2023</v>
      </c>
      <c r="H560" s="5" t="inlineStr">
        <is>
          <t>Diciembre</t>
        </is>
      </c>
      <c r="I560" s="6" t="inlineStr">
        <is>
          <t>2023-2</t>
        </is>
      </c>
      <c r="J560" s="5" t="n">
        <v>80</v>
      </c>
      <c r="K560" s="5" t="n">
        <v>100</v>
      </c>
      <c r="L560" s="14">
        <f>IFERROR(IF(OR(J560=0,K560=""),"",IF(E560="Positivo",MIN(MAX(K560/J560,0),1.3),MIN(MAX(J560/K560,0),1.3))),"") </f>
        <v/>
      </c>
      <c r="M560" s="14">
        <f>IFERROR(IF(OR(J560=0,K560=""),"",IF(E560="Positivo",MAX(K560/J560,0),MAX(J560/K560,0))),"") </f>
        <v/>
      </c>
      <c r="N560" s="5" t="inlineStr">
        <is>
          <t>%</t>
        </is>
      </c>
      <c r="O560" s="5" t="inlineStr">
        <is>
          <t>%</t>
        </is>
      </c>
      <c r="P560" s="5" t="n">
        <v>0</v>
      </c>
      <c r="Q560" s="5" t="n">
        <v>0</v>
      </c>
      <c r="R560" s="5" t="inlineStr">
        <is>
          <t>159-2023-12-31</t>
        </is>
      </c>
    </row>
    <row r="561">
      <c r="A561" s="21" t="n">
        <v>159</v>
      </c>
      <c r="B561" s="5" t="inlineStr">
        <is>
          <t>Nivel de Satisfacción Servicios Prestados</t>
        </is>
      </c>
      <c r="C561" s="5" t="inlineStr">
        <is>
          <t>Editorial y Publicaciones</t>
        </is>
      </c>
      <c r="D561" s="5" t="inlineStr">
        <is>
          <t>Semestral</t>
        </is>
      </c>
      <c r="E561" s="5" t="inlineStr">
        <is>
          <t>Positivo</t>
        </is>
      </c>
      <c r="F561" s="107" t="n">
        <v>45473</v>
      </c>
      <c r="G561" s="5" t="n">
        <v>2024</v>
      </c>
      <c r="H561" s="5" t="inlineStr">
        <is>
          <t>Junio</t>
        </is>
      </c>
      <c r="I561" s="6" t="inlineStr">
        <is>
          <t>2024-1</t>
        </is>
      </c>
      <c r="J561" s="5" t="n">
        <v>80</v>
      </c>
      <c r="K561" s="10" t="n">
        <v>95</v>
      </c>
      <c r="L561" s="14">
        <f>IFERROR(IF(OR(J561=0,K561=""),"",IF(E561="Positivo",MIN(MAX(K561/J561,0),1.3),MIN(MAX(J561/K561,0),1.3))),"") </f>
        <v/>
      </c>
      <c r="M561" s="14">
        <f>IFERROR(IF(OR(J561=0,K561=""),"",IF(E561="Positivo",MAX(K561/J561,0),MAX(J561/K561,0))),"") </f>
        <v/>
      </c>
      <c r="N561" s="5" t="inlineStr">
        <is>
          <t>%</t>
        </is>
      </c>
      <c r="O561" s="5" t="inlineStr">
        <is>
          <t>%</t>
        </is>
      </c>
      <c r="P561" s="15" t="n">
        <v>0</v>
      </c>
      <c r="Q561" s="15" t="n">
        <v>0</v>
      </c>
      <c r="R561" s="5" t="inlineStr">
        <is>
          <t>159-2024-06-30</t>
        </is>
      </c>
    </row>
    <row r="562">
      <c r="A562" s="21" t="n">
        <v>159</v>
      </c>
      <c r="B562" s="5" t="inlineStr">
        <is>
          <t>Nivel de Satisfacción Servicios Prestados</t>
        </is>
      </c>
      <c r="C562" s="5" t="inlineStr">
        <is>
          <t>Editorial y Publicaciones</t>
        </is>
      </c>
      <c r="D562" s="5" t="inlineStr">
        <is>
          <t>Semestral</t>
        </is>
      </c>
      <c r="E562" s="5" t="inlineStr">
        <is>
          <t>Positivo</t>
        </is>
      </c>
      <c r="F562" s="107" t="n">
        <v>45657</v>
      </c>
      <c r="G562" s="5" t="n">
        <v>2024</v>
      </c>
      <c r="H562" s="5" t="inlineStr">
        <is>
          <t>Diciembre</t>
        </is>
      </c>
      <c r="I562" s="6" t="inlineStr">
        <is>
          <t>2024-2</t>
        </is>
      </c>
      <c r="J562" s="5" t="n">
        <v>80</v>
      </c>
      <c r="K562" s="9" t="n">
        <v>97.8</v>
      </c>
      <c r="L562" s="14">
        <f>IFERROR(IF(OR(J562=0,K562=""),"",IF(E562="Positivo",MIN(MAX(K562/J562,0),1.3),MIN(MAX(J562/K562,0),1.3))),"") </f>
        <v/>
      </c>
      <c r="M562" s="14">
        <f>IFERROR(IF(OR(J562=0,K562=""),"",IF(E562="Positivo",MAX(K562/J562,0),MAX(J562/K562,0))),"") </f>
        <v/>
      </c>
      <c r="N562" s="5" t="inlineStr">
        <is>
          <t>%</t>
        </is>
      </c>
      <c r="O562" s="5" t="inlineStr">
        <is>
          <t>%</t>
        </is>
      </c>
      <c r="P562" s="15" t="n">
        <v>0</v>
      </c>
      <c r="Q562" s="15" t="n">
        <v>0</v>
      </c>
      <c r="R562" s="5" t="inlineStr">
        <is>
          <t>159-2024-12-31</t>
        </is>
      </c>
    </row>
    <row r="563">
      <c r="A563" s="21" t="n">
        <v>159</v>
      </c>
      <c r="B563" s="5" t="inlineStr">
        <is>
          <t>Nivel de Satisfacción Servicios Prestados</t>
        </is>
      </c>
      <c r="C563" s="5" t="inlineStr">
        <is>
          <t>Editorial y Publicaciones</t>
        </is>
      </c>
      <c r="D563" s="5" t="inlineStr">
        <is>
          <t>Semestral</t>
        </is>
      </c>
      <c r="E563" s="5" t="inlineStr">
        <is>
          <t>Positivo</t>
        </is>
      </c>
      <c r="F563" s="106" t="n">
        <v>45838</v>
      </c>
      <c r="G563" s="5" t="n">
        <v>2025</v>
      </c>
      <c r="H563" s="5" t="inlineStr">
        <is>
          <t>Junio</t>
        </is>
      </c>
      <c r="I563" s="6" t="inlineStr">
        <is>
          <t>2025-1</t>
        </is>
      </c>
      <c r="J563" s="5" t="n">
        <v>80</v>
      </c>
      <c r="K563" s="9" t="n">
        <v>100</v>
      </c>
      <c r="L563" s="14">
        <f>IFERROR(IF(OR(J563=0,K563=""),"",IF(E563="Positivo",MIN(MAX(K563/J563,0),1.3),MIN(MAX(J563/K563,0),1.3))),"") </f>
        <v/>
      </c>
      <c r="M563" s="14">
        <f>IFERROR(IF(OR(J563=0,K563=""),"",IF(E563="Positivo",MAX(K563/J563,0),MAX(J563/K563,0))),"") </f>
        <v/>
      </c>
      <c r="N563" s="5" t="inlineStr">
        <is>
          <t>%</t>
        </is>
      </c>
      <c r="O563" s="5" t="inlineStr">
        <is>
          <t>%</t>
        </is>
      </c>
      <c r="P563" s="15" t="n">
        <v>0</v>
      </c>
      <c r="Q563" s="15" t="n">
        <v>0</v>
      </c>
      <c r="R563" s="5" t="inlineStr">
        <is>
          <t>159-2025-06-30</t>
        </is>
      </c>
    </row>
    <row r="564">
      <c r="A564" s="21" t="n">
        <v>159</v>
      </c>
      <c r="B564" s="5" t="inlineStr">
        <is>
          <t>Nivel de Satisfacción Servicios Prestados</t>
        </is>
      </c>
      <c r="C564" s="5" t="inlineStr">
        <is>
          <t>Editorial y Publicaciones</t>
        </is>
      </c>
      <c r="D564" s="5" t="inlineStr">
        <is>
          <t>Trimestral</t>
        </is>
      </c>
      <c r="E564" s="5" t="inlineStr">
        <is>
          <t>Positivo</t>
        </is>
      </c>
      <c r="F564" s="107" t="n">
        <v>46022</v>
      </c>
      <c r="G564" s="5" t="n">
        <v>2025</v>
      </c>
      <c r="H564" s="5" t="inlineStr">
        <is>
          <t>Diciembre</t>
        </is>
      </c>
      <c r="I564" s="6" t="inlineStr">
        <is>
          <t>2025-2</t>
        </is>
      </c>
      <c r="J564" s="5" t="n">
        <v>80</v>
      </c>
      <c r="K564" s="9" t="n">
        <v>100</v>
      </c>
      <c r="L564" s="14">
        <f>IFERROR(IF(OR(J564=0,K564=""),"",IF(E564="Positivo",MIN(MAX(K564/J564,0),1.3),MIN(MAX(J564/K564,0),1.3))),"") </f>
        <v/>
      </c>
      <c r="M564" s="14">
        <f>IFERROR(IF(OR(J564=0,K564=""),"",IF(E564="Positivo",MAX(K564/J564,0),MAX(J564/K564,0))),"") </f>
        <v/>
      </c>
      <c r="N564" s="5" t="inlineStr">
        <is>
          <t>%</t>
        </is>
      </c>
      <c r="O564" s="5" t="inlineStr">
        <is>
          <t>%</t>
        </is>
      </c>
      <c r="P564" s="15" t="n">
        <v>0</v>
      </c>
      <c r="Q564" s="15" t="n">
        <v>0</v>
      </c>
      <c r="R564" s="5" t="inlineStr">
        <is>
          <t>159-2025-12-31</t>
        </is>
      </c>
    </row>
    <row r="565">
      <c r="A565" s="21" t="n">
        <v>167</v>
      </c>
      <c r="B565" s="5" t="inlineStr">
        <is>
          <t>Satisfacción actividades plan de bienestar</t>
        </is>
      </c>
      <c r="C565" s="5" t="inlineStr">
        <is>
          <t>GESTIÓN Y DESARROLLO DEL TALENTO HUMANO</t>
        </is>
      </c>
      <c r="D565" s="5" t="inlineStr">
        <is>
          <t>Trimestral</t>
        </is>
      </c>
      <c r="E565" s="5" t="inlineStr">
        <is>
          <t>Positivo</t>
        </is>
      </c>
      <c r="F565" s="107" t="n">
        <v>44651</v>
      </c>
      <c r="G565" s="5" t="n">
        <v>2022</v>
      </c>
      <c r="H565" s="5" t="inlineStr">
        <is>
          <t>Marzo</t>
        </is>
      </c>
      <c r="I565" s="6" t="inlineStr">
        <is>
          <t>2022-1</t>
        </is>
      </c>
      <c r="J565" s="5" t="n">
        <v>80</v>
      </c>
      <c r="K565" s="9" t="n">
        <v>0</v>
      </c>
      <c r="L565" s="14">
        <f>IFERROR(IF(OR(J565=0,K565=""),"",IF(E565="Positivo",MIN(MAX(K565/J565,0),1.3),MIN(MAX(J565/K565,0),1.3))),"") </f>
        <v/>
      </c>
      <c r="M565" s="14">
        <f>IFERROR(IF(OR(J565=0,K565=""),"",IF(E565="Positivo",MAX(K565/J565,0),MAX(J565/K565,0))),"") </f>
        <v/>
      </c>
      <c r="N565" s="5" t="inlineStr">
        <is>
          <t>%</t>
        </is>
      </c>
      <c r="O565" s="5" t="inlineStr">
        <is>
          <t>%</t>
        </is>
      </c>
      <c r="P565" s="15" t="n">
        <v>0</v>
      </c>
      <c r="Q565" s="15" t="n">
        <v>1</v>
      </c>
      <c r="R565" s="5" t="inlineStr">
        <is>
          <t>167-2022-03-31</t>
        </is>
      </c>
    </row>
    <row r="566">
      <c r="A566" s="21" t="n">
        <v>167</v>
      </c>
      <c r="B566" s="5" t="inlineStr">
        <is>
          <t>Satisfacción actividades plan de bienestar</t>
        </is>
      </c>
      <c r="C566" s="5" t="inlineStr">
        <is>
          <t>GESTIÓN Y DESARROLLO DEL TALENTO HUMANO</t>
        </is>
      </c>
      <c r="D566" s="5" t="inlineStr">
        <is>
          <t>Trimestral</t>
        </is>
      </c>
      <c r="E566" s="5" t="inlineStr">
        <is>
          <t>Positivo</t>
        </is>
      </c>
      <c r="F566" s="107" t="n">
        <v>44742</v>
      </c>
      <c r="G566" s="5" t="n">
        <v>2022</v>
      </c>
      <c r="H566" s="5" t="inlineStr">
        <is>
          <t>Junio</t>
        </is>
      </c>
      <c r="I566" s="6" t="inlineStr">
        <is>
          <t>2022-1</t>
        </is>
      </c>
      <c r="J566" s="5" t="n">
        <v>80</v>
      </c>
      <c r="K566" s="9" t="n">
        <v>97.64</v>
      </c>
      <c r="L566" s="14">
        <f>IFERROR(IF(OR(J566=0,K566=""),"",IF(E566="Positivo",MIN(MAX(K566/J566,0),1.3),MIN(MAX(J566/K566,0),1.3))),"") </f>
        <v/>
      </c>
      <c r="M566" s="14">
        <f>IFERROR(IF(OR(J566=0,K566=""),"",IF(E566="Positivo",MAX(K566/J566,0),MAX(J566/K566,0))),"") </f>
        <v/>
      </c>
      <c r="N566" s="5" t="inlineStr">
        <is>
          <t>%</t>
        </is>
      </c>
      <c r="O566" s="5" t="inlineStr">
        <is>
          <t>%</t>
        </is>
      </c>
      <c r="P566" s="15" t="n">
        <v>0</v>
      </c>
      <c r="Q566" s="15" t="n">
        <v>1</v>
      </c>
      <c r="R566" s="5" t="inlineStr">
        <is>
          <t>167-2022-06-30</t>
        </is>
      </c>
    </row>
    <row r="567">
      <c r="A567" s="21" t="n">
        <v>167</v>
      </c>
      <c r="B567" s="5" t="inlineStr">
        <is>
          <t>Satisfacción actividades plan de bienestar</t>
        </is>
      </c>
      <c r="C567" s="5" t="inlineStr">
        <is>
          <t>GESTIÓN Y DESARROLLO DEL TALENTO HUMANO</t>
        </is>
      </c>
      <c r="D567" s="5" t="inlineStr">
        <is>
          <t>Trimestral</t>
        </is>
      </c>
      <c r="E567" s="5" t="inlineStr">
        <is>
          <t>Positivo</t>
        </is>
      </c>
      <c r="F567" s="107" t="n">
        <v>44926</v>
      </c>
      <c r="G567" s="5" t="n">
        <v>2022</v>
      </c>
      <c r="H567" s="5" t="inlineStr">
        <is>
          <t>Diciembre</t>
        </is>
      </c>
      <c r="I567" s="6" t="inlineStr">
        <is>
          <t>2022-2</t>
        </is>
      </c>
      <c r="J567" s="5" t="n">
        <v>80</v>
      </c>
      <c r="K567" s="9" t="n">
        <v>96.55</v>
      </c>
      <c r="L567" s="14">
        <f>IFERROR(IF(OR(J567=0,K567=""),"",IF(E567="Positivo",MIN(MAX(K567/J567,0),1.3),MIN(MAX(J567/K567,0),1.3))),"") </f>
        <v/>
      </c>
      <c r="M567" s="14">
        <f>IFERROR(IF(OR(J567=0,K567=""),"",IF(E567="Positivo",MAX(K567/J567,0),MAX(J567/K567,0))),"") </f>
        <v/>
      </c>
      <c r="N567" s="5" t="inlineStr">
        <is>
          <t>%</t>
        </is>
      </c>
      <c r="O567" s="5" t="inlineStr">
        <is>
          <t>%</t>
        </is>
      </c>
      <c r="P567" s="15" t="n">
        <v>0</v>
      </c>
      <c r="Q567" s="15" t="n">
        <v>1</v>
      </c>
      <c r="R567" s="5" t="inlineStr">
        <is>
          <t>167-2022-12-31</t>
        </is>
      </c>
    </row>
    <row r="568">
      <c r="A568" s="21" t="n">
        <v>167</v>
      </c>
      <c r="B568" s="5" t="inlineStr">
        <is>
          <t>Satisfacción actividades plan de bienestar</t>
        </is>
      </c>
      <c r="C568" s="5" t="inlineStr">
        <is>
          <t>GESTIÓN Y DESARROLLO DEL TALENTO HUMANO</t>
        </is>
      </c>
      <c r="D568" s="5" t="inlineStr">
        <is>
          <t>Semestral</t>
        </is>
      </c>
      <c r="E568" s="5" t="inlineStr">
        <is>
          <t>Positivo</t>
        </is>
      </c>
      <c r="F568" s="107" t="n">
        <v>45107</v>
      </c>
      <c r="G568" s="5" t="n">
        <v>2023</v>
      </c>
      <c r="H568" s="5" t="inlineStr">
        <is>
          <t>Junio</t>
        </is>
      </c>
      <c r="I568" s="6" t="inlineStr">
        <is>
          <t>2023-1</t>
        </is>
      </c>
      <c r="J568" s="5" t="n">
        <v>80</v>
      </c>
      <c r="K568" s="9" t="n">
        <v>97.7</v>
      </c>
      <c r="L568" s="14">
        <f>IFERROR(IF(OR(J568=0,K568=""),"",IF(E568="Positivo",MIN(MAX(K568/J568,0),1.3),MIN(MAX(J568/K568,0),1.3))),"") </f>
        <v/>
      </c>
      <c r="M568" s="14">
        <f>IFERROR(IF(OR(J568=0,K568=""),"",IF(E568="Positivo",MAX(K568/J568,0),MAX(J568/K568,0))),"") </f>
        <v/>
      </c>
      <c r="N568" s="5" t="inlineStr">
        <is>
          <t>%</t>
        </is>
      </c>
      <c r="O568" s="5" t="inlineStr">
        <is>
          <t>%</t>
        </is>
      </c>
      <c r="P568" s="15" t="n">
        <v>0</v>
      </c>
      <c r="Q568" s="15" t="n">
        <v>1</v>
      </c>
      <c r="R568" s="5" t="inlineStr">
        <is>
          <t>167-2023-06-30</t>
        </is>
      </c>
    </row>
    <row r="569">
      <c r="A569" s="21" t="n">
        <v>167</v>
      </c>
      <c r="B569" s="5" t="inlineStr">
        <is>
          <t>Satisfacción actividades plan de bienestar</t>
        </is>
      </c>
      <c r="C569" s="5" t="inlineStr">
        <is>
          <t>GESTIÓN Y DESARROLLO DEL TALENTO HUMANO</t>
        </is>
      </c>
      <c r="D569" s="5" t="inlineStr">
        <is>
          <t>Semestral</t>
        </is>
      </c>
      <c r="E569" s="5" t="inlineStr">
        <is>
          <t>Positivo</t>
        </is>
      </c>
      <c r="F569" s="107" t="n">
        <v>45291</v>
      </c>
      <c r="G569" s="5" t="n">
        <v>2023</v>
      </c>
      <c r="H569" s="5" t="inlineStr">
        <is>
          <t>Diciembre</t>
        </is>
      </c>
      <c r="I569" s="6" t="inlineStr">
        <is>
          <t>2023-2</t>
        </is>
      </c>
      <c r="J569" s="5" t="n">
        <v>80</v>
      </c>
      <c r="K569" s="9" t="n">
        <v>96.15000000000001</v>
      </c>
      <c r="L569" s="14">
        <f>IFERROR(IF(OR(J569=0,K569=""),"",IF(E569="Positivo",MIN(MAX(K569/J569,0),1.3),MIN(MAX(J569/K569,0),1.3))),"") </f>
        <v/>
      </c>
      <c r="M569" s="14">
        <f>IFERROR(IF(OR(J569=0,K569=""),"",IF(E569="Positivo",MAX(K569/J569,0),MAX(J569/K569,0))),"") </f>
        <v/>
      </c>
      <c r="N569" s="5" t="inlineStr">
        <is>
          <t>%</t>
        </is>
      </c>
      <c r="O569" s="5" t="inlineStr">
        <is>
          <t>%</t>
        </is>
      </c>
      <c r="P569" s="15" t="n">
        <v>0</v>
      </c>
      <c r="Q569" s="15" t="n">
        <v>1</v>
      </c>
      <c r="R569" s="5" t="inlineStr">
        <is>
          <t>167-2023-12-31</t>
        </is>
      </c>
    </row>
    <row r="570">
      <c r="A570" s="21" t="n">
        <v>167</v>
      </c>
      <c r="B570" s="5" t="inlineStr">
        <is>
          <t>Satisfacción actividades plan de bienestar</t>
        </is>
      </c>
      <c r="C570" s="5" t="inlineStr">
        <is>
          <t>GESTIÓN Y DESARROLLO DEL TALENTO HUMANO</t>
        </is>
      </c>
      <c r="D570" s="5" t="inlineStr">
        <is>
          <t>Semestral</t>
        </is>
      </c>
      <c r="E570" s="5" t="inlineStr">
        <is>
          <t>Positivo</t>
        </is>
      </c>
      <c r="F570" s="107" t="n">
        <v>45473</v>
      </c>
      <c r="G570" s="5" t="n">
        <v>2024</v>
      </c>
      <c r="H570" s="5" t="inlineStr">
        <is>
          <t>Junio</t>
        </is>
      </c>
      <c r="I570" s="6" t="inlineStr">
        <is>
          <t>2024-1</t>
        </is>
      </c>
      <c r="J570" s="5" t="n">
        <v>85</v>
      </c>
      <c r="K570" s="9" t="n">
        <v>96.86</v>
      </c>
      <c r="L570" s="14">
        <f>IFERROR(IF(OR(J570=0,K570=""),"",IF(E570="Positivo",MIN(MAX(K570/J570,0),1.3),MIN(MAX(J570/K570,0),1.3))),"") </f>
        <v/>
      </c>
      <c r="M570" s="14">
        <f>IFERROR(IF(OR(J570=0,K570=""),"",IF(E570="Positivo",MAX(K570/J570,0),MAX(J570/K570,0))),"") </f>
        <v/>
      </c>
      <c r="N570" s="5" t="inlineStr">
        <is>
          <t>%</t>
        </is>
      </c>
      <c r="O570" s="5" t="inlineStr">
        <is>
          <t>%</t>
        </is>
      </c>
      <c r="P570" s="15" t="n">
        <v>0</v>
      </c>
      <c r="Q570" s="15" t="n">
        <v>1</v>
      </c>
      <c r="R570" s="5" t="inlineStr">
        <is>
          <t>167-2024-06-30</t>
        </is>
      </c>
    </row>
    <row r="571">
      <c r="A571" s="26" t="n">
        <v>167</v>
      </c>
      <c r="B571" s="5" t="inlineStr">
        <is>
          <t>Satisfacción actividades plan de bienestar</t>
        </is>
      </c>
      <c r="C571" s="5" t="inlineStr">
        <is>
          <t>GESTIÓN Y DESARROLLO DEL TALENTO HUMANO</t>
        </is>
      </c>
      <c r="D571" s="5" t="inlineStr">
        <is>
          <t>Semestral</t>
        </is>
      </c>
      <c r="E571" s="5" t="inlineStr">
        <is>
          <t>Positivo</t>
        </is>
      </c>
      <c r="F571" s="107" t="n">
        <v>45657</v>
      </c>
      <c r="G571" s="5" t="n">
        <v>2024</v>
      </c>
      <c r="H571" s="5" t="inlineStr">
        <is>
          <t>Diciembre</t>
        </is>
      </c>
      <c r="I571" s="6" t="inlineStr">
        <is>
          <t>2024-2</t>
        </is>
      </c>
      <c r="J571" s="5" t="n">
        <v>85</v>
      </c>
      <c r="K571" s="9" t="n">
        <v>96.8</v>
      </c>
      <c r="L571" s="14">
        <f>IFERROR(IF(OR(J571=0,K571=""),"",IF(E571="Positivo",MIN(MAX(K571/J571,0),1.3),MIN(MAX(J571/K571,0),1.3))),"") </f>
        <v/>
      </c>
      <c r="M571" s="14">
        <f>IFERROR(IF(OR(J571=0,K571=""),"",IF(E571="Positivo",MAX(K571/J571,0),MAX(J571/K571,0))),"") </f>
        <v/>
      </c>
      <c r="N571" s="5" t="inlineStr">
        <is>
          <t>%</t>
        </is>
      </c>
      <c r="O571" s="5" t="inlineStr">
        <is>
          <t>%</t>
        </is>
      </c>
      <c r="P571" s="15" t="n">
        <v>0</v>
      </c>
      <c r="Q571" s="15" t="n">
        <v>1</v>
      </c>
      <c r="R571" s="5" t="inlineStr">
        <is>
          <t>167-2024-12-31</t>
        </is>
      </c>
    </row>
    <row r="572">
      <c r="A572" s="26" t="n">
        <v>167</v>
      </c>
      <c r="B572" s="5" t="inlineStr">
        <is>
          <t>Satisfacción actividades plan de bienestar</t>
        </is>
      </c>
      <c r="C572" s="5" t="inlineStr">
        <is>
          <t>GESTIÓN Y DESARROLLO DEL TALENTO HUMANO</t>
        </is>
      </c>
      <c r="D572" s="5" t="inlineStr">
        <is>
          <t>Semestral</t>
        </is>
      </c>
      <c r="E572" s="5" t="inlineStr">
        <is>
          <t>Positivo</t>
        </is>
      </c>
      <c r="F572" s="107" t="n">
        <v>45838</v>
      </c>
      <c r="G572" s="5" t="n">
        <v>2025</v>
      </c>
      <c r="H572" s="5" t="inlineStr">
        <is>
          <t>Junio</t>
        </is>
      </c>
      <c r="I572" s="6" t="inlineStr">
        <is>
          <t>2025-1</t>
        </is>
      </c>
      <c r="J572" s="5" t="n">
        <v>90</v>
      </c>
      <c r="K572" s="9" t="n">
        <v>93.63</v>
      </c>
      <c r="L572" s="14">
        <f>IFERROR(IF(OR(J572=0,K572=""),"",IF(E572="Positivo",MIN(MAX(K572/J572,0),1.3),MIN(MAX(J572/K572,0),1.3))),"") </f>
        <v/>
      </c>
      <c r="M572" s="14">
        <f>IFERROR(IF(OR(J572=0,K572=""),"",IF(E572="Positivo",MAX(K572/J572,0),MAX(J572/K572,0))),"") </f>
        <v/>
      </c>
      <c r="N572" s="5" t="inlineStr">
        <is>
          <t>%</t>
        </is>
      </c>
      <c r="O572" s="5" t="inlineStr">
        <is>
          <t>%</t>
        </is>
      </c>
      <c r="P572" s="15" t="n">
        <v>0</v>
      </c>
      <c r="Q572" s="15" t="n">
        <v>1</v>
      </c>
      <c r="R572" s="5" t="inlineStr">
        <is>
          <t>167-2025-06-30</t>
        </is>
      </c>
    </row>
    <row r="573">
      <c r="A573" s="26" t="n">
        <v>167</v>
      </c>
      <c r="B573" s="5" t="inlineStr">
        <is>
          <t>Satisfacción actividades plan de bienestar</t>
        </is>
      </c>
      <c r="C573" s="5" t="inlineStr">
        <is>
          <t>GESTIÓN Y DESARROLLO DEL TALENTO HUMANO</t>
        </is>
      </c>
      <c r="D573" s="5" t="inlineStr">
        <is>
          <t>Trimestral</t>
        </is>
      </c>
      <c r="E573" s="5" t="inlineStr">
        <is>
          <t>Positivo</t>
        </is>
      </c>
      <c r="F573" s="107" t="n">
        <v>46022</v>
      </c>
      <c r="G573" s="5" t="n">
        <v>2025</v>
      </c>
      <c r="H573" s="5" t="inlineStr">
        <is>
          <t>Diciembre</t>
        </is>
      </c>
      <c r="I573" s="6" t="inlineStr">
        <is>
          <t>2025-2</t>
        </is>
      </c>
      <c r="J573" s="5" t="n">
        <v>90</v>
      </c>
      <c r="K573" s="9" t="n">
        <v>94</v>
      </c>
      <c r="L573" s="14">
        <f>IFERROR(IF(OR(J573=0,K573=""),"",IF(E573="Positivo",MIN(MAX(K573/J573,0),1.3),MIN(MAX(J573/K573,0),1.3))),"") </f>
        <v/>
      </c>
      <c r="M573" s="14">
        <f>IFERROR(IF(OR(J573=0,K573=""),"",IF(E573="Positivo",MAX(K573/J573,0),MAX(J573/K573,0))),"") </f>
        <v/>
      </c>
      <c r="N573" s="5" t="inlineStr">
        <is>
          <t>%</t>
        </is>
      </c>
      <c r="O573" s="5" t="inlineStr">
        <is>
          <t>%</t>
        </is>
      </c>
      <c r="P573" s="15" t="n">
        <v>0</v>
      </c>
      <c r="Q573" s="15" t="n">
        <v>1</v>
      </c>
      <c r="R573" s="5" t="inlineStr">
        <is>
          <t>167-2025-12-31</t>
        </is>
      </c>
    </row>
    <row r="574">
      <c r="A574" s="21" t="n">
        <v>172</v>
      </c>
      <c r="B574" s="5" t="inlineStr">
        <is>
          <t>Cumplimiento plan operativo del SGC</t>
        </is>
      </c>
      <c r="C574" s="5" t="inlineStr">
        <is>
          <t>Gestión de calidad</t>
        </is>
      </c>
      <c r="D574" s="5" t="inlineStr">
        <is>
          <t>Mensual</t>
        </is>
      </c>
      <c r="E574" s="5" t="inlineStr">
        <is>
          <t>Positivo</t>
        </is>
      </c>
      <c r="F574" s="107" t="n">
        <v>44592</v>
      </c>
      <c r="G574" s="5" t="n">
        <v>2022</v>
      </c>
      <c r="H574" s="5" t="inlineStr">
        <is>
          <t>Enero</t>
        </is>
      </c>
      <c r="I574" s="6" t="inlineStr">
        <is>
          <t>2022-1</t>
        </is>
      </c>
      <c r="J574" s="5" t="n">
        <v>90</v>
      </c>
      <c r="K574" s="9" t="n">
        <v>0</v>
      </c>
      <c r="L574" s="14">
        <f>IFERROR(IF(OR(J574=0,K574=""),"",IF(E574="Positivo",MIN(MAX(K574/J574,0),1.3),MIN(MAX(J574/K574,0),1.3))),"") </f>
        <v/>
      </c>
      <c r="M574" s="14">
        <f>IFERROR(IF(OR(J574=0,K574=""),"",IF(E574="Positivo",MAX(K574/J574,0),MAX(J574/K574,0))),"") </f>
        <v/>
      </c>
      <c r="N574" s="5" t="inlineStr">
        <is>
          <t>%</t>
        </is>
      </c>
      <c r="O574" s="5" t="inlineStr">
        <is>
          <t>%</t>
        </is>
      </c>
      <c r="P574" s="15" t="n">
        <v>0</v>
      </c>
      <c r="Q574" s="15" t="n">
        <v>0</v>
      </c>
      <c r="R574" s="5" t="inlineStr">
        <is>
          <t>172-2022-01-31</t>
        </is>
      </c>
    </row>
    <row r="575">
      <c r="A575" s="21" t="n">
        <v>172</v>
      </c>
      <c r="B575" s="5" t="inlineStr">
        <is>
          <t>Cumplimiento plan operativo del SGC</t>
        </is>
      </c>
      <c r="C575" s="5" t="inlineStr">
        <is>
          <t>Gestión de calidad</t>
        </is>
      </c>
      <c r="D575" s="5" t="inlineStr">
        <is>
          <t>Mensual</t>
        </is>
      </c>
      <c r="E575" s="5" t="inlineStr">
        <is>
          <t>Positivo</t>
        </is>
      </c>
      <c r="F575" s="107" t="n">
        <v>44620</v>
      </c>
      <c r="G575" s="5" t="n">
        <v>2022</v>
      </c>
      <c r="H575" s="5" t="inlineStr">
        <is>
          <t>Febrero</t>
        </is>
      </c>
      <c r="I575" s="6" t="inlineStr">
        <is>
          <t>2022-1</t>
        </is>
      </c>
      <c r="J575" s="5" t="n">
        <v>90</v>
      </c>
      <c r="K575" s="10" t="n">
        <v>0</v>
      </c>
      <c r="L575" s="14">
        <f>IFERROR(IF(OR(J575=0,K575=""),"",IF(E575="Positivo",MIN(MAX(K575/J575,0),1.3),MIN(MAX(J575/K575,0),1.3))),"") </f>
        <v/>
      </c>
      <c r="M575" s="14">
        <f>IFERROR(IF(OR(J575=0,K575=""),"",IF(E575="Positivo",MAX(K575/J575,0),MAX(J575/K575,0))),"") </f>
        <v/>
      </c>
      <c r="N575" s="5" t="inlineStr">
        <is>
          <t>%</t>
        </is>
      </c>
      <c r="O575" s="5" t="inlineStr">
        <is>
          <t>%</t>
        </is>
      </c>
      <c r="P575" s="15" t="n">
        <v>0</v>
      </c>
      <c r="Q575" s="15" t="n">
        <v>0</v>
      </c>
      <c r="R575" s="5" t="inlineStr">
        <is>
          <t>172-2022-02-28</t>
        </is>
      </c>
    </row>
    <row r="576">
      <c r="A576" s="21" t="n">
        <v>172</v>
      </c>
      <c r="B576" s="5" t="inlineStr">
        <is>
          <t>Cumplimiento plan operativo del SGC</t>
        </is>
      </c>
      <c r="C576" s="5" t="inlineStr">
        <is>
          <t>Gestión de calidad</t>
        </is>
      </c>
      <c r="D576" s="5" t="inlineStr">
        <is>
          <t>Mensual</t>
        </is>
      </c>
      <c r="E576" s="5" t="inlineStr">
        <is>
          <t>Positivo</t>
        </is>
      </c>
      <c r="F576" s="107" t="n">
        <v>44651</v>
      </c>
      <c r="G576" s="5" t="n">
        <v>2022</v>
      </c>
      <c r="H576" s="5" t="inlineStr">
        <is>
          <t>Marzo</t>
        </is>
      </c>
      <c r="I576" s="6" t="inlineStr">
        <is>
          <t>2022-1</t>
        </is>
      </c>
      <c r="J576" s="5" t="n">
        <v>90</v>
      </c>
      <c r="K576" s="9" t="n">
        <v>0</v>
      </c>
      <c r="L576" s="14">
        <f>IFERROR(IF(OR(J576=0,K576=""),"",IF(E576="Positivo",MIN(MAX(K576/J576,0),1.3),MIN(MAX(J576/K576,0),1.3))),"") </f>
        <v/>
      </c>
      <c r="M576" s="14">
        <f>IFERROR(IF(OR(J576=0,K576=""),"",IF(E576="Positivo",MAX(K576/J576,0),MAX(J576/K576,0))),"") </f>
        <v/>
      </c>
      <c r="N576" s="5" t="inlineStr">
        <is>
          <t>%</t>
        </is>
      </c>
      <c r="O576" s="5" t="inlineStr">
        <is>
          <t>%</t>
        </is>
      </c>
      <c r="P576" s="15" t="n">
        <v>0</v>
      </c>
      <c r="Q576" s="15" t="n">
        <v>0</v>
      </c>
      <c r="R576" s="5" t="inlineStr">
        <is>
          <t>172-2022-03-31</t>
        </is>
      </c>
    </row>
    <row r="577">
      <c r="A577" s="21" t="n">
        <v>172</v>
      </c>
      <c r="B577" s="5" t="inlineStr">
        <is>
          <t>Cumplimiento plan operativo del SGC</t>
        </is>
      </c>
      <c r="C577" s="5" t="inlineStr">
        <is>
          <t>Gestión de calidad</t>
        </is>
      </c>
      <c r="D577" s="5" t="inlineStr">
        <is>
          <t>Mensual</t>
        </is>
      </c>
      <c r="E577" s="5" t="inlineStr">
        <is>
          <t>Positivo</t>
        </is>
      </c>
      <c r="F577" s="107" t="n">
        <v>44681</v>
      </c>
      <c r="G577" s="5" t="n">
        <v>2022</v>
      </c>
      <c r="H577" s="5" t="inlineStr">
        <is>
          <t>Abril</t>
        </is>
      </c>
      <c r="I577" s="6" t="inlineStr">
        <is>
          <t>2022-1</t>
        </is>
      </c>
      <c r="J577" s="5" t="n">
        <v>90</v>
      </c>
      <c r="K577" s="9" t="n">
        <v>0</v>
      </c>
      <c r="L577" s="14">
        <f>IFERROR(IF(OR(J577=0,K577=""),"",IF(E577="Positivo",MIN(MAX(K577/J577,0),1.3),MIN(MAX(J577/K577,0),1.3))),"") </f>
        <v/>
      </c>
      <c r="M577" s="14">
        <f>IFERROR(IF(OR(J577=0,K577=""),"",IF(E577="Positivo",MAX(K577/J577,0),MAX(J577/K577,0))),"") </f>
        <v/>
      </c>
      <c r="N577" s="5" t="inlineStr">
        <is>
          <t>%</t>
        </is>
      </c>
      <c r="O577" s="5" t="inlineStr">
        <is>
          <t>%</t>
        </is>
      </c>
      <c r="P577" s="15" t="n">
        <v>0</v>
      </c>
      <c r="Q577" s="15" t="n">
        <v>0</v>
      </c>
      <c r="R577" s="5" t="inlineStr">
        <is>
          <t>172-2022-04-30</t>
        </is>
      </c>
    </row>
    <row r="578">
      <c r="A578" s="21" t="n">
        <v>172</v>
      </c>
      <c r="B578" s="5" t="inlineStr">
        <is>
          <t>Cumplimiento plan operativo del SGC</t>
        </is>
      </c>
      <c r="C578" s="5" t="inlineStr">
        <is>
          <t>Gestión de calidad</t>
        </is>
      </c>
      <c r="D578" s="5" t="inlineStr">
        <is>
          <t>Mensual</t>
        </is>
      </c>
      <c r="E578" s="5" t="inlineStr">
        <is>
          <t>Positivo</t>
        </is>
      </c>
      <c r="F578" s="107" t="n">
        <v>44712</v>
      </c>
      <c r="G578" s="5" t="n">
        <v>2022</v>
      </c>
      <c r="H578" s="5" t="inlineStr">
        <is>
          <t>Mayo</t>
        </is>
      </c>
      <c r="I578" s="6" t="inlineStr">
        <is>
          <t>2022-1</t>
        </is>
      </c>
      <c r="J578" s="5" t="n">
        <v>90</v>
      </c>
      <c r="K578" s="9" t="n">
        <v>0</v>
      </c>
      <c r="L578" s="14">
        <f>IFERROR(IF(OR(J578=0,K578=""),"",IF(E578="Positivo",MIN(MAX(K578/J578,0),1.3),MIN(MAX(J578/K578,0),1.3))),"") </f>
        <v/>
      </c>
      <c r="M578" s="14">
        <f>IFERROR(IF(OR(J578=0,K578=""),"",IF(E578="Positivo",MAX(K578/J578,0),MAX(J578/K578,0))),"") </f>
        <v/>
      </c>
      <c r="N578" s="5" t="inlineStr">
        <is>
          <t>%</t>
        </is>
      </c>
      <c r="O578" s="5" t="inlineStr">
        <is>
          <t>%</t>
        </is>
      </c>
      <c r="P578" s="15" t="n">
        <v>0</v>
      </c>
      <c r="Q578" s="15" t="n">
        <v>0</v>
      </c>
      <c r="R578" s="5" t="inlineStr">
        <is>
          <t>172-2022-05-31</t>
        </is>
      </c>
    </row>
    <row r="579">
      <c r="A579" s="21" t="n">
        <v>172</v>
      </c>
      <c r="B579" s="5" t="inlineStr">
        <is>
          <t>Cumplimiento plan operativo del SGC</t>
        </is>
      </c>
      <c r="C579" s="5" t="inlineStr">
        <is>
          <t>Gestión de calidad</t>
        </is>
      </c>
      <c r="D579" s="5" t="inlineStr">
        <is>
          <t>Mensual</t>
        </is>
      </c>
      <c r="E579" s="5" t="inlineStr">
        <is>
          <t>Positivo</t>
        </is>
      </c>
      <c r="F579" s="107" t="n">
        <v>44742</v>
      </c>
      <c r="G579" s="5" t="n">
        <v>2022</v>
      </c>
      <c r="H579" s="5" t="inlineStr">
        <is>
          <t>Junio</t>
        </is>
      </c>
      <c r="I579" s="6" t="inlineStr">
        <is>
          <t>2022-1</t>
        </is>
      </c>
      <c r="J579" s="5" t="n">
        <v>90</v>
      </c>
      <c r="K579" s="9" t="n">
        <v>95.238095238095</v>
      </c>
      <c r="L579" s="14">
        <f>IFERROR(IF(OR(J579=0,K579=""),"",IF(E579="Positivo",MIN(MAX(K579/J579,0),1.3),MIN(MAX(J579/K579,0),1.3))),"") </f>
        <v/>
      </c>
      <c r="M579" s="14">
        <f>IFERROR(IF(OR(J579=0,K579=""),"",IF(E579="Positivo",MAX(K579/J579,0),MAX(J579/K579,0))),"") </f>
        <v/>
      </c>
      <c r="N579" s="5" t="inlineStr">
        <is>
          <t>%</t>
        </is>
      </c>
      <c r="O579" s="5" t="inlineStr">
        <is>
          <t>%</t>
        </is>
      </c>
      <c r="P579" s="15" t="n">
        <v>0</v>
      </c>
      <c r="Q579" s="15" t="n">
        <v>0</v>
      </c>
      <c r="R579" s="5" t="inlineStr">
        <is>
          <t>172-2022-06-30</t>
        </is>
      </c>
    </row>
    <row r="580">
      <c r="A580" s="21" t="n">
        <v>172</v>
      </c>
      <c r="B580" s="5" t="inlineStr">
        <is>
          <t>Cumplimiento plan operativo del SGC</t>
        </is>
      </c>
      <c r="C580" s="5" t="inlineStr">
        <is>
          <t>Gestión de calidad</t>
        </is>
      </c>
      <c r="D580" s="5" t="inlineStr">
        <is>
          <t>Mensual</t>
        </is>
      </c>
      <c r="E580" s="5" t="inlineStr">
        <is>
          <t>Positivo</t>
        </is>
      </c>
      <c r="F580" s="107" t="n">
        <v>44773</v>
      </c>
      <c r="G580" s="5" t="n">
        <v>2022</v>
      </c>
      <c r="H580" s="5" t="inlineStr">
        <is>
          <t>Julio</t>
        </is>
      </c>
      <c r="I580" s="6" t="inlineStr">
        <is>
          <t>2022-2</t>
        </is>
      </c>
      <c r="J580" s="5" t="n">
        <v>90</v>
      </c>
      <c r="K580" s="9" t="n">
        <v>95.652173913043</v>
      </c>
      <c r="L580" s="14">
        <f>IFERROR(IF(OR(J580=0,K580=""),"",IF(E580="Positivo",MIN(MAX(K580/J580,0),1.3),MIN(MAX(J580/K580,0),1.3))),"") </f>
        <v/>
      </c>
      <c r="M580" s="14">
        <f>IFERROR(IF(OR(J580=0,K580=""),"",IF(E580="Positivo",MAX(K580/J580,0),MAX(J580/K580,0))),"") </f>
        <v/>
      </c>
      <c r="N580" s="5" t="inlineStr">
        <is>
          <t>%</t>
        </is>
      </c>
      <c r="O580" s="5" t="inlineStr">
        <is>
          <t>%</t>
        </is>
      </c>
      <c r="P580" s="15" t="n">
        <v>0</v>
      </c>
      <c r="Q580" s="15" t="n">
        <v>0</v>
      </c>
      <c r="R580" s="5" t="inlineStr">
        <is>
          <t>172-2022-07-31</t>
        </is>
      </c>
    </row>
    <row r="581">
      <c r="A581" s="21" t="n">
        <v>172</v>
      </c>
      <c r="B581" s="5" t="inlineStr">
        <is>
          <t>Cumplimiento plan operativo del SGC</t>
        </is>
      </c>
      <c r="C581" s="5" t="inlineStr">
        <is>
          <t>Gestión de calidad</t>
        </is>
      </c>
      <c r="D581" s="5" t="inlineStr">
        <is>
          <t>Mensual</t>
        </is>
      </c>
      <c r="E581" s="5" t="inlineStr">
        <is>
          <t>Positivo</t>
        </is>
      </c>
      <c r="F581" s="107" t="n">
        <v>44804</v>
      </c>
      <c r="G581" s="5" t="n">
        <v>2022</v>
      </c>
      <c r="H581" s="5" t="inlineStr">
        <is>
          <t>Agosto</t>
        </is>
      </c>
      <c r="I581" s="6" t="inlineStr">
        <is>
          <t>2022-2</t>
        </is>
      </c>
      <c r="J581" s="5" t="n">
        <v>90</v>
      </c>
      <c r="K581" s="9" t="n">
        <v>100</v>
      </c>
      <c r="L581" s="14">
        <f>IFERROR(IF(OR(J581=0,K581=""),"",IF(E581="Positivo",MIN(MAX(K581/J581,0),1.3),MIN(MAX(J581/K581,0),1.3))),"") </f>
        <v/>
      </c>
      <c r="M581" s="14">
        <f>IFERROR(IF(OR(J581=0,K581=""),"",IF(E581="Positivo",MAX(K581/J581,0),MAX(J581/K581,0))),"") </f>
        <v/>
      </c>
      <c r="N581" s="5" t="inlineStr">
        <is>
          <t>%</t>
        </is>
      </c>
      <c r="O581" s="5" t="inlineStr">
        <is>
          <t>%</t>
        </is>
      </c>
      <c r="P581" s="15" t="n">
        <v>0</v>
      </c>
      <c r="Q581" s="15" t="n">
        <v>0</v>
      </c>
      <c r="R581" s="5" t="inlineStr">
        <is>
          <t>172-2022-08-31</t>
        </is>
      </c>
    </row>
    <row r="582">
      <c r="A582" s="21" t="n">
        <v>172</v>
      </c>
      <c r="B582" s="5" t="inlineStr">
        <is>
          <t>Cumplimiento plan operativo del SGC</t>
        </is>
      </c>
      <c r="C582" s="5" t="inlineStr">
        <is>
          <t>Gestión de calidad</t>
        </is>
      </c>
      <c r="D582" s="5" t="inlineStr">
        <is>
          <t>Mensual</t>
        </is>
      </c>
      <c r="E582" s="5" t="inlineStr">
        <is>
          <t>Positivo</t>
        </is>
      </c>
      <c r="F582" s="107" t="n">
        <v>44834</v>
      </c>
      <c r="G582" s="5" t="n">
        <v>2022</v>
      </c>
      <c r="H582" s="5" t="inlineStr">
        <is>
          <t>Septiembre</t>
        </is>
      </c>
      <c r="I582" s="6" t="inlineStr">
        <is>
          <t>2022-2</t>
        </is>
      </c>
      <c r="J582" s="5" t="n">
        <v>90</v>
      </c>
      <c r="K582" s="9" t="n">
        <v>100</v>
      </c>
      <c r="L582" s="14">
        <f>IFERROR(IF(OR(J582=0,K582=""),"",IF(E582="Positivo",MIN(MAX(K582/J582,0),1.3),MIN(MAX(J582/K582,0),1.3))),"") </f>
        <v/>
      </c>
      <c r="M582" s="14">
        <f>IFERROR(IF(OR(J582=0,K582=""),"",IF(E582="Positivo",MAX(K582/J582,0),MAX(J582/K582,0))),"") </f>
        <v/>
      </c>
      <c r="N582" s="5" t="inlineStr">
        <is>
          <t>%</t>
        </is>
      </c>
      <c r="O582" s="5" t="inlineStr">
        <is>
          <t>%</t>
        </is>
      </c>
      <c r="P582" s="15" t="n">
        <v>0</v>
      </c>
      <c r="Q582" s="15" t="n">
        <v>0</v>
      </c>
      <c r="R582" s="5" t="inlineStr">
        <is>
          <t>172-2022-09-30</t>
        </is>
      </c>
    </row>
    <row r="583">
      <c r="A583" s="26" t="n">
        <v>172</v>
      </c>
      <c r="B583" s="5" t="inlineStr">
        <is>
          <t>Cumplimiento plan operativo del SGC</t>
        </is>
      </c>
      <c r="C583" s="5" t="inlineStr">
        <is>
          <t>Gestión de calidad</t>
        </is>
      </c>
      <c r="D583" s="5" t="inlineStr">
        <is>
          <t>Mensual</t>
        </is>
      </c>
      <c r="E583" s="5" t="inlineStr">
        <is>
          <t>Positivo</t>
        </is>
      </c>
      <c r="F583" s="107" t="n">
        <v>44865</v>
      </c>
      <c r="G583" s="5" t="n">
        <v>2022</v>
      </c>
      <c r="H583" s="5" t="inlineStr">
        <is>
          <t>Octubre</t>
        </is>
      </c>
      <c r="I583" s="6" t="inlineStr">
        <is>
          <t>2022-2</t>
        </is>
      </c>
      <c r="J583" s="5" t="n">
        <v>90</v>
      </c>
      <c r="K583" s="9" t="n">
        <v>96.385542168675</v>
      </c>
      <c r="L583" s="14">
        <f>IFERROR(IF(OR(J583=0,K583=""),"",IF(E583="Positivo",MIN(MAX(K583/J583,0),1.3),MIN(MAX(J583/K583,0),1.3))),"") </f>
        <v/>
      </c>
      <c r="M583" s="14">
        <f>IFERROR(IF(OR(J583=0,K583=""),"",IF(E583="Positivo",MAX(K583/J583,0),MAX(J583/K583,0))),"") </f>
        <v/>
      </c>
      <c r="N583" s="5" t="inlineStr">
        <is>
          <t>%</t>
        </is>
      </c>
      <c r="O583" s="5" t="inlineStr">
        <is>
          <t>%</t>
        </is>
      </c>
      <c r="P583" s="15" t="n">
        <v>0</v>
      </c>
      <c r="Q583" s="15" t="n">
        <v>0</v>
      </c>
      <c r="R583" s="5" t="inlineStr">
        <is>
          <t>172-2022-10-31</t>
        </is>
      </c>
    </row>
    <row r="584">
      <c r="A584" s="26" t="n">
        <v>172</v>
      </c>
      <c r="B584" s="5" t="inlineStr">
        <is>
          <t>Cumplimiento plan operativo del SGC</t>
        </is>
      </c>
      <c r="C584" s="5" t="inlineStr">
        <is>
          <t>Gestión de calidad</t>
        </is>
      </c>
      <c r="D584" s="5" t="inlineStr">
        <is>
          <t>Mensual</t>
        </is>
      </c>
      <c r="E584" s="5" t="inlineStr">
        <is>
          <t>Positivo</t>
        </is>
      </c>
      <c r="F584" s="107" t="n">
        <v>44895</v>
      </c>
      <c r="G584" s="5" t="n">
        <v>2022</v>
      </c>
      <c r="H584" s="5" t="inlineStr">
        <is>
          <t>Noviembre</t>
        </is>
      </c>
      <c r="I584" s="6" t="inlineStr">
        <is>
          <t>2022-2</t>
        </is>
      </c>
      <c r="J584" s="5" t="n">
        <v>90</v>
      </c>
      <c r="K584" s="9" t="n">
        <v>100</v>
      </c>
      <c r="L584" s="14">
        <f>IFERROR(IF(OR(J584=0,K584=""),"",IF(E584="Positivo",MIN(MAX(K584/J584,0),1.3),MIN(MAX(J584/K584,0),1.3))),"") </f>
        <v/>
      </c>
      <c r="M584" s="14">
        <f>IFERROR(IF(OR(J584=0,K584=""),"",IF(E584="Positivo",MAX(K584/J584,0),MAX(J584/K584,0))),"") </f>
        <v/>
      </c>
      <c r="N584" s="5" t="inlineStr">
        <is>
          <t>%</t>
        </is>
      </c>
      <c r="O584" s="5" t="inlineStr">
        <is>
          <t>%</t>
        </is>
      </c>
      <c r="P584" s="15" t="n">
        <v>0</v>
      </c>
      <c r="Q584" s="15" t="n">
        <v>0</v>
      </c>
      <c r="R584" s="5" t="inlineStr">
        <is>
          <t>172-2022-11-30</t>
        </is>
      </c>
    </row>
    <row r="585">
      <c r="A585" s="26" t="n">
        <v>172</v>
      </c>
      <c r="B585" s="5" t="inlineStr">
        <is>
          <t>Cumplimiento plan operativo del SGC</t>
        </is>
      </c>
      <c r="C585" s="5" t="inlineStr">
        <is>
          <t>Gestión de calidad</t>
        </is>
      </c>
      <c r="D585" s="5" t="inlineStr">
        <is>
          <t>Mensual</t>
        </is>
      </c>
      <c r="E585" s="5" t="inlineStr">
        <is>
          <t>Positivo</t>
        </is>
      </c>
      <c r="F585" s="107" t="n">
        <v>44926</v>
      </c>
      <c r="G585" s="5" t="n">
        <v>2022</v>
      </c>
      <c r="H585" s="5" t="inlineStr">
        <is>
          <t>Diciembre</t>
        </is>
      </c>
      <c r="I585" s="6" t="inlineStr">
        <is>
          <t>2022-2</t>
        </is>
      </c>
      <c r="J585" s="5" t="n">
        <v>90</v>
      </c>
      <c r="K585" s="9" t="n">
        <v>100</v>
      </c>
      <c r="L585" s="14">
        <f>IFERROR(IF(OR(J585=0,K585=""),"",IF(E585="Positivo",MIN(MAX(K585/J585,0),1.3),MIN(MAX(J585/K585,0),1.3))),"") </f>
        <v/>
      </c>
      <c r="M585" s="14">
        <f>IFERROR(IF(OR(J585=0,K585=""),"",IF(E585="Positivo",MAX(K585/J585,0),MAX(J585/K585,0))),"") </f>
        <v/>
      </c>
      <c r="N585" s="5" t="inlineStr">
        <is>
          <t>%</t>
        </is>
      </c>
      <c r="O585" s="5" t="inlineStr">
        <is>
          <t>%</t>
        </is>
      </c>
      <c r="P585" s="15" t="n">
        <v>0</v>
      </c>
      <c r="Q585" s="15" t="n">
        <v>0</v>
      </c>
      <c r="R585" s="5" t="inlineStr">
        <is>
          <t>172-2022-12-31</t>
        </is>
      </c>
    </row>
    <row r="586">
      <c r="A586" s="5" t="n">
        <v>172</v>
      </c>
      <c r="B586" s="5" t="inlineStr">
        <is>
          <t>Cumplimiento plan operativo del SGC</t>
        </is>
      </c>
      <c r="C586" s="5" t="inlineStr">
        <is>
          <t>Gestión de calidad</t>
        </is>
      </c>
      <c r="D586" s="5" t="inlineStr">
        <is>
          <t>Mensual</t>
        </is>
      </c>
      <c r="E586" s="5" t="inlineStr">
        <is>
          <t>Positivo</t>
        </is>
      </c>
      <c r="F586" s="107" t="n">
        <v>44957</v>
      </c>
      <c r="G586" s="5" t="n">
        <v>2023</v>
      </c>
      <c r="H586" s="5" t="inlineStr">
        <is>
          <t>Enero</t>
        </is>
      </c>
      <c r="I586" s="6" t="inlineStr">
        <is>
          <t>2023-1</t>
        </is>
      </c>
      <c r="J586" s="5" t="n">
        <v>95</v>
      </c>
      <c r="K586" s="5" t="n">
        <v>0</v>
      </c>
      <c r="L586" s="14">
        <f>IFERROR(IF(OR(J586=0,K586=""),"",IF(E586="Positivo",MIN(MAX(K586/J586,0),1.3),MIN(MAX(J586/K586,0),1.3))),"") </f>
        <v/>
      </c>
      <c r="M586" s="14">
        <f>IFERROR(IF(OR(J586=0,K586=""),"",IF(E586="Positivo",MAX(K586/J586,0),MAX(J586/K586,0))),"") </f>
        <v/>
      </c>
      <c r="N586" s="5" t="inlineStr">
        <is>
          <t>%</t>
        </is>
      </c>
      <c r="O586" s="5" t="inlineStr">
        <is>
          <t>%</t>
        </is>
      </c>
      <c r="P586" s="5" t="n">
        <v>0</v>
      </c>
      <c r="Q586" s="5" t="n">
        <v>0</v>
      </c>
      <c r="R586" s="5" t="inlineStr">
        <is>
          <t>172-2023-01-31</t>
        </is>
      </c>
    </row>
    <row r="587">
      <c r="A587" s="5" t="n">
        <v>172</v>
      </c>
      <c r="B587" s="5" t="inlineStr">
        <is>
          <t>Cumplimiento plan operativo del SGC</t>
        </is>
      </c>
      <c r="C587" s="5" t="inlineStr">
        <is>
          <t>Gestión de calidad</t>
        </is>
      </c>
      <c r="D587" s="5" t="inlineStr">
        <is>
          <t>Mensual</t>
        </is>
      </c>
      <c r="E587" s="5" t="inlineStr">
        <is>
          <t>Positivo</t>
        </is>
      </c>
      <c r="F587" s="107" t="n">
        <v>45016</v>
      </c>
      <c r="G587" s="5" t="n">
        <v>2023</v>
      </c>
      <c r="H587" s="5" t="inlineStr">
        <is>
          <t>Marzo</t>
        </is>
      </c>
      <c r="I587" s="6" t="inlineStr">
        <is>
          <t>2023-1</t>
        </is>
      </c>
      <c r="J587" s="5" t="n">
        <v>95</v>
      </c>
      <c r="K587" s="5" t="n">
        <v>100</v>
      </c>
      <c r="L587" s="14">
        <f>IFERROR(IF(OR(J587=0,K587=""),"",IF(E587="Positivo",MIN(MAX(K587/J587,0),1.3),MIN(MAX(J587/K587,0),1.3))),"") </f>
        <v/>
      </c>
      <c r="M587" s="14">
        <f>IFERROR(IF(OR(J587=0,K587=""),"",IF(E587="Positivo",MAX(K587/J587,0),MAX(J587/K587,0))),"") </f>
        <v/>
      </c>
      <c r="N587" s="5" t="inlineStr">
        <is>
          <t>%</t>
        </is>
      </c>
      <c r="O587" s="5" t="inlineStr">
        <is>
          <t>%</t>
        </is>
      </c>
      <c r="P587" s="5" t="n">
        <v>0</v>
      </c>
      <c r="Q587" s="5" t="n">
        <v>0</v>
      </c>
      <c r="R587" s="5" t="inlineStr">
        <is>
          <t>172-2023-03-31</t>
        </is>
      </c>
    </row>
    <row r="588">
      <c r="A588" s="21" t="n">
        <v>172</v>
      </c>
      <c r="B588" s="5" t="inlineStr">
        <is>
          <t>Cumplimiento plan operativo del SGC</t>
        </is>
      </c>
      <c r="C588" s="5" t="inlineStr">
        <is>
          <t>Gestión de calidad</t>
        </is>
      </c>
      <c r="D588" s="5" t="inlineStr">
        <is>
          <t>Mensual</t>
        </is>
      </c>
      <c r="E588" s="5" t="inlineStr">
        <is>
          <t>Positivo</t>
        </is>
      </c>
      <c r="F588" s="107" t="n">
        <v>45046</v>
      </c>
      <c r="G588" s="5" t="n">
        <v>2023</v>
      </c>
      <c r="H588" s="5" t="inlineStr">
        <is>
          <t>Abril</t>
        </is>
      </c>
      <c r="I588" s="6" t="inlineStr">
        <is>
          <t>2023-1</t>
        </is>
      </c>
      <c r="J588" s="5" t="n">
        <v>95</v>
      </c>
      <c r="K588" s="10" t="n">
        <v>85.71428571428601</v>
      </c>
      <c r="L588" s="14">
        <f>IFERROR(IF(OR(J588=0,K588=""),"",IF(E588="Positivo",MIN(MAX(K588/J588,0),1.3),MIN(MAX(J588/K588,0),1.3))),"") </f>
        <v/>
      </c>
      <c r="M588" s="14">
        <f>IFERROR(IF(OR(J588=0,K588=""),"",IF(E588="Positivo",MAX(K588/J588,0),MAX(J588/K588,0))),"") </f>
        <v/>
      </c>
      <c r="N588" s="5" t="inlineStr">
        <is>
          <t>%</t>
        </is>
      </c>
      <c r="O588" s="5" t="inlineStr">
        <is>
          <t>%</t>
        </is>
      </c>
      <c r="P588" s="15" t="n">
        <v>0</v>
      </c>
      <c r="Q588" s="15" t="n">
        <v>0</v>
      </c>
      <c r="R588" s="5" t="inlineStr">
        <is>
          <t>172-2023-04-30</t>
        </is>
      </c>
    </row>
    <row r="589">
      <c r="A589" s="26" t="n">
        <v>172</v>
      </c>
      <c r="B589" s="5" t="inlineStr">
        <is>
          <t>Cumplimiento plan operativo del SGC</t>
        </is>
      </c>
      <c r="C589" s="5" t="inlineStr">
        <is>
          <t>Gestión de calidad</t>
        </is>
      </c>
      <c r="D589" s="5" t="inlineStr">
        <is>
          <t>Mensual</t>
        </is>
      </c>
      <c r="E589" s="5" t="inlineStr">
        <is>
          <t>Positivo</t>
        </is>
      </c>
      <c r="F589" s="107" t="n">
        <v>45077</v>
      </c>
      <c r="G589" s="5" t="n">
        <v>2023</v>
      </c>
      <c r="H589" s="5" t="inlineStr">
        <is>
          <t>Mayo</t>
        </is>
      </c>
      <c r="I589" s="6" t="inlineStr">
        <is>
          <t>2023-1</t>
        </is>
      </c>
      <c r="J589" s="5" t="n">
        <v>95</v>
      </c>
      <c r="K589" s="5" t="n">
        <v>93.333333333333</v>
      </c>
      <c r="L589" s="14">
        <f>IFERROR(IF(OR(J589=0,K589=""),"",IF(E589="Positivo",MIN(MAX(K589/J589,0),1.3),MIN(MAX(J589/K589,0),1.3))),"") </f>
        <v/>
      </c>
      <c r="M589" s="14">
        <f>IFERROR(IF(OR(J589=0,K589=""),"",IF(E589="Positivo",MAX(K589/J589,0),MAX(J589/K589,0))),"") </f>
        <v/>
      </c>
      <c r="N589" s="5" t="inlineStr">
        <is>
          <t>%</t>
        </is>
      </c>
      <c r="O589" s="5" t="inlineStr">
        <is>
          <t>%</t>
        </is>
      </c>
      <c r="P589" s="15" t="n">
        <v>0</v>
      </c>
      <c r="Q589" s="15" t="n">
        <v>0</v>
      </c>
      <c r="R589" s="5" t="inlineStr">
        <is>
          <t>172-2023-05-31</t>
        </is>
      </c>
    </row>
    <row r="590">
      <c r="A590" s="5" t="n">
        <v>172</v>
      </c>
      <c r="B590" s="5" t="inlineStr">
        <is>
          <t>Cumplimiento plan operativo del SGC</t>
        </is>
      </c>
      <c r="C590" s="5" t="inlineStr">
        <is>
          <t>Gestión de calidad</t>
        </is>
      </c>
      <c r="D590" s="5" t="inlineStr">
        <is>
          <t>Mensual</t>
        </is>
      </c>
      <c r="E590" s="5" t="inlineStr">
        <is>
          <t>Positivo</t>
        </is>
      </c>
      <c r="F590" s="107" t="n">
        <v>45107</v>
      </c>
      <c r="G590" s="5" t="n">
        <v>2023</v>
      </c>
      <c r="H590" s="5" t="inlineStr">
        <is>
          <t>Junio</t>
        </is>
      </c>
      <c r="I590" s="6" t="inlineStr">
        <is>
          <t>2023-1</t>
        </is>
      </c>
      <c r="J590" s="5" t="n">
        <v>95</v>
      </c>
      <c r="K590" s="5" t="n">
        <v>91.666666666667</v>
      </c>
      <c r="L590" s="14">
        <f>IFERROR(IF(OR(J590=0,K590=""),"",IF(E590="Positivo",MIN(MAX(K590/J590,0),1.3),MIN(MAX(J590/K590,0),1.3))),"") </f>
        <v/>
      </c>
      <c r="M590" s="14">
        <f>IFERROR(IF(OR(J590=0,K590=""),"",IF(E590="Positivo",MAX(K590/J590,0),MAX(J590/K590,0))),"") </f>
        <v/>
      </c>
      <c r="N590" s="5" t="inlineStr">
        <is>
          <t>%</t>
        </is>
      </c>
      <c r="O590" s="5" t="inlineStr">
        <is>
          <t>%</t>
        </is>
      </c>
      <c r="P590" s="5" t="n">
        <v>0</v>
      </c>
      <c r="Q590" s="5" t="n">
        <v>0</v>
      </c>
      <c r="R590" s="5" t="inlineStr">
        <is>
          <t>172-2023-06-30</t>
        </is>
      </c>
    </row>
    <row r="591">
      <c r="A591" s="21" t="n">
        <v>172</v>
      </c>
      <c r="B591" s="5" t="inlineStr">
        <is>
          <t>Cumplimiento plan operativo del SGC</t>
        </is>
      </c>
      <c r="C591" s="5" t="inlineStr">
        <is>
          <t>Gestión de calidad</t>
        </is>
      </c>
      <c r="D591" s="5" t="inlineStr">
        <is>
          <t>Mensual</t>
        </is>
      </c>
      <c r="E591" s="5" t="inlineStr">
        <is>
          <t>Positivo</t>
        </is>
      </c>
      <c r="F591" s="107" t="n">
        <v>45138</v>
      </c>
      <c r="G591" s="5" t="n">
        <v>2023</v>
      </c>
      <c r="H591" s="5" t="inlineStr">
        <is>
          <t>Julio</t>
        </is>
      </c>
      <c r="I591" s="6" t="inlineStr">
        <is>
          <t>2023-2</t>
        </is>
      </c>
      <c r="J591" s="5" t="n">
        <v>95</v>
      </c>
      <c r="K591" s="5" t="n">
        <v>95</v>
      </c>
      <c r="L591" s="14">
        <f>IFERROR(IF(OR(J591=0,K591=""),"",IF(E591="Positivo",MIN(MAX(K591/J591,0),1.3),MIN(MAX(J591/K591,0),1.3))),"") </f>
        <v/>
      </c>
      <c r="M591" s="14">
        <f>IFERROR(IF(OR(J591=0,K591=""),"",IF(E591="Positivo",MAX(K591/J591,0),MAX(J591/K591,0))),"") </f>
        <v/>
      </c>
      <c r="N591" s="5" t="inlineStr">
        <is>
          <t>%</t>
        </is>
      </c>
      <c r="O591" s="5" t="inlineStr">
        <is>
          <t>%</t>
        </is>
      </c>
      <c r="P591" s="15" t="n">
        <v>0</v>
      </c>
      <c r="Q591" s="15" t="n">
        <v>0</v>
      </c>
      <c r="R591" s="5" t="inlineStr">
        <is>
          <t>172-2023-07-31</t>
        </is>
      </c>
    </row>
    <row r="592">
      <c r="A592" s="21" t="n">
        <v>172</v>
      </c>
      <c r="B592" s="5" t="inlineStr">
        <is>
          <t>Cumplimiento plan operativo del SGC</t>
        </is>
      </c>
      <c r="C592" s="5" t="inlineStr">
        <is>
          <t>Gestión de calidad</t>
        </is>
      </c>
      <c r="D592" s="5" t="inlineStr">
        <is>
          <t>Mensual</t>
        </is>
      </c>
      <c r="E592" s="5" t="inlineStr">
        <is>
          <t>Positivo</t>
        </is>
      </c>
      <c r="F592" s="106" t="n">
        <v>45169</v>
      </c>
      <c r="G592" s="5" t="n">
        <v>2023</v>
      </c>
      <c r="H592" s="5" t="inlineStr">
        <is>
          <t>Agosto</t>
        </is>
      </c>
      <c r="I592" s="6" t="inlineStr">
        <is>
          <t>2023-2</t>
        </is>
      </c>
      <c r="J592" s="5" t="n">
        <v>95</v>
      </c>
      <c r="K592" s="9" t="n">
        <v>91.67</v>
      </c>
      <c r="L592" s="14">
        <f>IFERROR(IF(OR(J592=0,K592=""),"",IF(E592="Positivo",MIN(MAX(K592/J592,0),1.3),MIN(MAX(J592/K592,0),1.3))),"") </f>
        <v/>
      </c>
      <c r="M592" s="14">
        <f>IFERROR(IF(OR(J592=0,K592=""),"",IF(E592="Positivo",MAX(K592/J592,0),MAX(J592/K592,0))),"") </f>
        <v/>
      </c>
      <c r="N592" s="5" t="inlineStr">
        <is>
          <t>%</t>
        </is>
      </c>
      <c r="O592" s="5" t="inlineStr">
        <is>
          <t>%</t>
        </is>
      </c>
      <c r="P592" s="15" t="n">
        <v>0</v>
      </c>
      <c r="Q592" s="15" t="n">
        <v>0</v>
      </c>
      <c r="R592" s="5" t="inlineStr">
        <is>
          <t>172-2023-08-31</t>
        </is>
      </c>
    </row>
    <row r="593">
      <c r="A593" s="5" t="n">
        <v>172</v>
      </c>
      <c r="B593" s="5" t="inlineStr">
        <is>
          <t>Cumplimiento plan operativo del SGC</t>
        </is>
      </c>
      <c r="C593" s="5" t="inlineStr">
        <is>
          <t>Gestión de calidad</t>
        </is>
      </c>
      <c r="D593" s="5" t="inlineStr">
        <is>
          <t>Mensual</t>
        </is>
      </c>
      <c r="E593" s="5" t="inlineStr">
        <is>
          <t>Positivo</t>
        </is>
      </c>
      <c r="F593" s="107" t="n">
        <v>45199</v>
      </c>
      <c r="G593" s="5" t="n">
        <v>2023</v>
      </c>
      <c r="H593" s="5" t="inlineStr">
        <is>
          <t>Septiembre</t>
        </is>
      </c>
      <c r="I593" s="6" t="inlineStr">
        <is>
          <t>2023-2</t>
        </is>
      </c>
      <c r="J593" s="5" t="n">
        <v>95</v>
      </c>
      <c r="K593" s="5" t="n">
        <v>96.67</v>
      </c>
      <c r="L593" s="14">
        <f>IFERROR(IF(OR(J593=0,K593=""),"",IF(E593="Positivo",MIN(MAX(K593/J593,0),1.3),MIN(MAX(J593/K593,0),1.3))),"") </f>
        <v/>
      </c>
      <c r="M593" s="14">
        <f>IFERROR(IF(OR(J593=0,K593=""),"",IF(E593="Positivo",MAX(K593/J593,0),MAX(J593/K593,0))),"") </f>
        <v/>
      </c>
      <c r="N593" s="5" t="inlineStr">
        <is>
          <t>%</t>
        </is>
      </c>
      <c r="O593" s="5" t="inlineStr">
        <is>
          <t>%</t>
        </is>
      </c>
      <c r="P593" s="5" t="n">
        <v>0</v>
      </c>
      <c r="Q593" s="5" t="n">
        <v>0</v>
      </c>
      <c r="R593" s="5" t="inlineStr">
        <is>
          <t>172-2023-09-30</t>
        </is>
      </c>
    </row>
    <row r="594">
      <c r="A594" s="21" t="n">
        <v>172</v>
      </c>
      <c r="B594" s="5" t="inlineStr">
        <is>
          <t>Cumplimiento plan operativo del SGC</t>
        </is>
      </c>
      <c r="C594" s="5" t="inlineStr">
        <is>
          <t>Gestión de calidad</t>
        </is>
      </c>
      <c r="D594" s="5" t="inlineStr">
        <is>
          <t>Mensual</t>
        </is>
      </c>
      <c r="E594" s="5" t="inlineStr">
        <is>
          <t>Positivo</t>
        </is>
      </c>
      <c r="F594" s="107" t="n">
        <v>45230</v>
      </c>
      <c r="G594" s="5" t="n">
        <v>2023</v>
      </c>
      <c r="H594" s="5" t="inlineStr">
        <is>
          <t>Octubre</t>
        </is>
      </c>
      <c r="I594" s="6" t="inlineStr">
        <is>
          <t>2023-2</t>
        </is>
      </c>
      <c r="J594" s="5" t="n">
        <v>95</v>
      </c>
      <c r="K594" s="10" t="n">
        <v>93.18000000000001</v>
      </c>
      <c r="L594" s="14">
        <f>IFERROR(IF(OR(J594=0,K594=""),"",IF(E594="Positivo",MIN(MAX(K594/J594,0),1.3),MIN(MAX(J594/K594,0),1.3))),"") </f>
        <v/>
      </c>
      <c r="M594" s="14">
        <f>IFERROR(IF(OR(J594=0,K594=""),"",IF(E594="Positivo",MAX(K594/J594,0),MAX(J594/K594,0))),"") </f>
        <v/>
      </c>
      <c r="N594" s="5" t="inlineStr">
        <is>
          <t>%</t>
        </is>
      </c>
      <c r="O594" s="5" t="inlineStr">
        <is>
          <t>%</t>
        </is>
      </c>
      <c r="P594" s="15" t="n">
        <v>0</v>
      </c>
      <c r="Q594" s="15" t="n">
        <v>0</v>
      </c>
      <c r="R594" s="5" t="inlineStr">
        <is>
          <t>172-2023-10-31</t>
        </is>
      </c>
    </row>
    <row r="595">
      <c r="A595" s="21" t="n">
        <v>172</v>
      </c>
      <c r="B595" s="5" t="inlineStr">
        <is>
          <t>Cumplimiento plan operativo del SGC</t>
        </is>
      </c>
      <c r="C595" s="5" t="inlineStr">
        <is>
          <t>Gestión de calidad</t>
        </is>
      </c>
      <c r="D595" s="5" t="inlineStr">
        <is>
          <t>Mensual</t>
        </is>
      </c>
      <c r="E595" s="5" t="inlineStr">
        <is>
          <t>Positivo</t>
        </is>
      </c>
      <c r="F595" s="106" t="n">
        <v>45260</v>
      </c>
      <c r="G595" s="5" t="n">
        <v>2023</v>
      </c>
      <c r="H595" s="5" t="inlineStr">
        <is>
          <t>Noviembre</t>
        </is>
      </c>
      <c r="I595" s="6" t="inlineStr">
        <is>
          <t>2023-2</t>
        </is>
      </c>
      <c r="J595" s="5" t="n">
        <v>95</v>
      </c>
      <c r="K595" s="9" t="n">
        <v>97.92</v>
      </c>
      <c r="L595" s="14">
        <f>IFERROR(IF(OR(J595=0,K595=""),"",IF(E595="Positivo",MIN(MAX(K595/J595,0),1.3),MIN(MAX(J595/K595,0),1.3))),"") </f>
        <v/>
      </c>
      <c r="M595" s="14">
        <f>IFERROR(IF(OR(J595=0,K595=""),"",IF(E595="Positivo",MAX(K595/J595,0),MAX(J595/K595,0))),"") </f>
        <v/>
      </c>
      <c r="N595" s="5" t="inlineStr">
        <is>
          <t>%</t>
        </is>
      </c>
      <c r="O595" s="5" t="inlineStr">
        <is>
          <t>%</t>
        </is>
      </c>
      <c r="P595" s="15" t="n">
        <v>0</v>
      </c>
      <c r="Q595" s="15" t="n">
        <v>0</v>
      </c>
      <c r="R595" s="5" t="inlineStr">
        <is>
          <t>172-2023-11-30</t>
        </is>
      </c>
    </row>
    <row r="596">
      <c r="A596" s="5" t="n">
        <v>172</v>
      </c>
      <c r="B596" s="5" t="inlineStr">
        <is>
          <t>Cumplimiento plan operativo del SGC</t>
        </is>
      </c>
      <c r="C596" s="5" t="inlineStr">
        <is>
          <t>Gestión de calidad</t>
        </is>
      </c>
      <c r="D596" s="5" t="inlineStr">
        <is>
          <t>Mensual</t>
        </is>
      </c>
      <c r="E596" s="5" t="inlineStr">
        <is>
          <t>Positivo</t>
        </is>
      </c>
      <c r="F596" s="107" t="n">
        <v>45291</v>
      </c>
      <c r="G596" s="5" t="n">
        <v>2023</v>
      </c>
      <c r="H596" s="5" t="inlineStr">
        <is>
          <t>Diciembre</t>
        </is>
      </c>
      <c r="I596" s="6" t="inlineStr">
        <is>
          <t>2023-2</t>
        </is>
      </c>
      <c r="J596" s="5" t="n">
        <v>95</v>
      </c>
      <c r="K596" s="5" t="n">
        <v>100</v>
      </c>
      <c r="L596" s="14">
        <f>IFERROR(IF(OR(J596=0,K596=""),"",IF(E596="Positivo",MIN(MAX(K596/J596,0),1.3),MIN(MAX(J596/K596,0),1.3))),"") </f>
        <v/>
      </c>
      <c r="M596" s="14">
        <f>IFERROR(IF(OR(J596=0,K596=""),"",IF(E596="Positivo",MAX(K596/J596,0),MAX(J596/K596,0))),"") </f>
        <v/>
      </c>
      <c r="N596" s="5" t="inlineStr">
        <is>
          <t>%</t>
        </is>
      </c>
      <c r="O596" s="5" t="inlineStr">
        <is>
          <t>%</t>
        </is>
      </c>
      <c r="P596" s="5" t="n">
        <v>0</v>
      </c>
      <c r="Q596" s="5" t="n">
        <v>0</v>
      </c>
      <c r="R596" s="5" t="inlineStr">
        <is>
          <t>172-2023-12-31</t>
        </is>
      </c>
    </row>
    <row r="597">
      <c r="A597" s="21" t="n">
        <v>172</v>
      </c>
      <c r="B597" s="5" t="inlineStr">
        <is>
          <t>Cumplimiento plan operativo del SGC</t>
        </is>
      </c>
      <c r="C597" s="5" t="inlineStr">
        <is>
          <t>Gestión de calidad</t>
        </is>
      </c>
      <c r="D597" s="5" t="inlineStr">
        <is>
          <t>Mensual</t>
        </is>
      </c>
      <c r="E597" s="5" t="inlineStr">
        <is>
          <t>Positivo</t>
        </is>
      </c>
      <c r="F597" s="107" t="n">
        <v>45322</v>
      </c>
      <c r="G597" s="5" t="n">
        <v>2024</v>
      </c>
      <c r="H597" s="5" t="inlineStr">
        <is>
          <t>Enero</t>
        </is>
      </c>
      <c r="I597" s="6" t="inlineStr">
        <is>
          <t>2024-1</t>
        </is>
      </c>
      <c r="J597" s="5" t="n">
        <v>95</v>
      </c>
      <c r="K597" s="10" t="n">
        <v>0</v>
      </c>
      <c r="L597" s="14">
        <f>IFERROR(IF(OR(J597=0,K597=""),"",IF(E597="Positivo",MIN(MAX(K597/J597,0),1.3),MIN(MAX(J597/K597,0),1.3))),"") </f>
        <v/>
      </c>
      <c r="M597" s="14">
        <f>IFERROR(IF(OR(J597=0,K597=""),"",IF(E597="Positivo",MAX(K597/J597,0),MAX(J597/K597,0))),"") </f>
        <v/>
      </c>
      <c r="N597" s="5" t="inlineStr">
        <is>
          <t>%</t>
        </is>
      </c>
      <c r="O597" s="5" t="inlineStr">
        <is>
          <t>%</t>
        </is>
      </c>
      <c r="P597" s="15" t="n">
        <v>0</v>
      </c>
      <c r="Q597" s="15" t="n">
        <v>0</v>
      </c>
      <c r="R597" s="5" t="inlineStr">
        <is>
          <t>172-2024-01-31</t>
        </is>
      </c>
    </row>
    <row r="598">
      <c r="A598" s="21" t="n">
        <v>172</v>
      </c>
      <c r="B598" s="5" t="inlineStr">
        <is>
          <t>Cumplimiento plan operativo del SGC</t>
        </is>
      </c>
      <c r="C598" s="5" t="inlineStr">
        <is>
          <t>Gestión de calidad</t>
        </is>
      </c>
      <c r="D598" s="5" t="inlineStr">
        <is>
          <t>Mensual</t>
        </is>
      </c>
      <c r="E598" s="5" t="inlineStr">
        <is>
          <t>Positivo</t>
        </is>
      </c>
      <c r="F598" s="106" t="n">
        <v>45351</v>
      </c>
      <c r="G598" s="5" t="n">
        <v>2024</v>
      </c>
      <c r="H598" s="5" t="inlineStr">
        <is>
          <t>Febrero</t>
        </is>
      </c>
      <c r="I598" s="6" t="inlineStr">
        <is>
          <t>2024-1</t>
        </is>
      </c>
      <c r="J598" s="5" t="n">
        <v>95</v>
      </c>
      <c r="K598" s="9" t="n">
        <v>0</v>
      </c>
      <c r="L598" s="14">
        <f>IFERROR(IF(OR(J598=0,K598=""),"",IF(E598="Positivo",MIN(MAX(K598/J598,0),1.3),MIN(MAX(J598/K598,0),1.3))),"") </f>
        <v/>
      </c>
      <c r="M598" s="14">
        <f>IFERROR(IF(OR(J598=0,K598=""),"",IF(E598="Positivo",MAX(K598/J598,0),MAX(J598/K598,0))),"") </f>
        <v/>
      </c>
      <c r="N598" s="5" t="inlineStr">
        <is>
          <t>%</t>
        </is>
      </c>
      <c r="O598" s="5" t="inlineStr">
        <is>
          <t>%</t>
        </is>
      </c>
      <c r="P598" s="15" t="n">
        <v>0</v>
      </c>
      <c r="Q598" s="15" t="n">
        <v>0</v>
      </c>
      <c r="R598" s="5" t="inlineStr">
        <is>
          <t>172-2024-02-29</t>
        </is>
      </c>
    </row>
    <row r="599">
      <c r="A599" s="5" t="n">
        <v>172</v>
      </c>
      <c r="B599" s="5" t="inlineStr">
        <is>
          <t>Cumplimiento plan operativo del SGC</t>
        </is>
      </c>
      <c r="C599" s="5" t="inlineStr">
        <is>
          <t>Gestión de calidad</t>
        </is>
      </c>
      <c r="D599" s="5" t="inlineStr">
        <is>
          <t>Mensual</t>
        </is>
      </c>
      <c r="E599" s="5" t="inlineStr">
        <is>
          <t>Positivo</t>
        </is>
      </c>
      <c r="F599" s="107" t="n">
        <v>45382</v>
      </c>
      <c r="G599" s="5" t="n">
        <v>2024</v>
      </c>
      <c r="H599" s="5" t="inlineStr">
        <is>
          <t>Marzo</t>
        </is>
      </c>
      <c r="I599" s="6" t="inlineStr">
        <is>
          <t>2024-1</t>
        </is>
      </c>
      <c r="J599" s="5" t="n">
        <v>95</v>
      </c>
      <c r="K599" s="5" t="n">
        <v>0</v>
      </c>
      <c r="L599" s="14">
        <f>IFERROR(IF(OR(J599=0,K599=""),"",IF(E599="Positivo",MIN(MAX(K599/J599,0),1.3),MIN(MAX(J599/K599,0),1.3))),"") </f>
        <v/>
      </c>
      <c r="M599" s="14">
        <f>IFERROR(IF(OR(J599=0,K599=""),"",IF(E599="Positivo",MAX(K599/J599,0),MAX(J599/K599,0))),"") </f>
        <v/>
      </c>
      <c r="N599" s="5" t="inlineStr">
        <is>
          <t>%</t>
        </is>
      </c>
      <c r="O599" s="5" t="inlineStr">
        <is>
          <t>%</t>
        </is>
      </c>
      <c r="P599" s="5" t="n">
        <v>0</v>
      </c>
      <c r="Q599" s="5" t="n">
        <v>0</v>
      </c>
      <c r="R599" s="5" t="inlineStr">
        <is>
          <t>172-2024-03-31</t>
        </is>
      </c>
    </row>
    <row r="600">
      <c r="A600" s="21" t="n">
        <v>172</v>
      </c>
      <c r="B600" s="5" t="inlineStr">
        <is>
          <t>Cumplimiento plan operativo del SGC</t>
        </is>
      </c>
      <c r="C600" s="5" t="inlineStr">
        <is>
          <t>Gestión de calidad</t>
        </is>
      </c>
      <c r="D600" s="5" t="inlineStr">
        <is>
          <t>Mensual</t>
        </is>
      </c>
      <c r="E600" s="5" t="inlineStr">
        <is>
          <t>Positivo</t>
        </is>
      </c>
      <c r="F600" s="107" t="n">
        <v>45412</v>
      </c>
      <c r="G600" s="5" t="n">
        <v>2024</v>
      </c>
      <c r="H600" s="5" t="inlineStr">
        <is>
          <t>Abril</t>
        </is>
      </c>
      <c r="I600" s="6" t="inlineStr">
        <is>
          <t>2024-1</t>
        </is>
      </c>
      <c r="J600" s="5" t="n">
        <v>95</v>
      </c>
      <c r="K600" s="10" t="n">
        <v>90</v>
      </c>
      <c r="L600" s="14">
        <f>IFERROR(IF(OR(J600=0,K600=""),"",IF(E600="Positivo",MIN(MAX(K600/J600,0),1.3),MIN(MAX(J600/K600,0),1.3))),"") </f>
        <v/>
      </c>
      <c r="M600" s="14">
        <f>IFERROR(IF(OR(J600=0,K600=""),"",IF(E600="Positivo",MAX(K600/J600,0),MAX(J600/K600,0))),"") </f>
        <v/>
      </c>
      <c r="N600" s="5" t="inlineStr">
        <is>
          <t>%</t>
        </is>
      </c>
      <c r="O600" s="5" t="inlineStr">
        <is>
          <t>%</t>
        </is>
      </c>
      <c r="P600" s="15" t="n">
        <v>0</v>
      </c>
      <c r="Q600" s="15" t="n">
        <v>0</v>
      </c>
      <c r="R600" s="5" t="inlineStr">
        <is>
          <t>172-2024-04-30</t>
        </is>
      </c>
    </row>
    <row r="601">
      <c r="A601" s="21" t="n">
        <v>172</v>
      </c>
      <c r="B601" s="5" t="inlineStr">
        <is>
          <t>Cumplimiento plan operativo del SGC</t>
        </is>
      </c>
      <c r="C601" s="5" t="inlineStr">
        <is>
          <t>Gestión de calidad</t>
        </is>
      </c>
      <c r="D601" s="5" t="inlineStr">
        <is>
          <t>Mensual</t>
        </is>
      </c>
      <c r="E601" s="5" t="inlineStr">
        <is>
          <t>Positivo</t>
        </is>
      </c>
      <c r="F601" s="107" t="n">
        <v>45443</v>
      </c>
      <c r="G601" s="5" t="n">
        <v>2024</v>
      </c>
      <c r="H601" s="5" t="inlineStr">
        <is>
          <t>Mayo</t>
        </is>
      </c>
      <c r="I601" s="6" t="inlineStr">
        <is>
          <t>2024-1</t>
        </is>
      </c>
      <c r="J601" s="5" t="n">
        <v>95</v>
      </c>
      <c r="K601" s="9" t="n">
        <v>83.33333333333334</v>
      </c>
      <c r="L601" s="14">
        <f>IFERROR(IF(OR(J601=0,K601=""),"",IF(E601="Positivo",MIN(MAX(K601/J601,0),1.3),MIN(MAX(J601/K601,0),1.3))),"") </f>
        <v/>
      </c>
      <c r="M601" s="14">
        <f>IFERROR(IF(OR(J601=0,K601=""),"",IF(E601="Positivo",MAX(K601/J601,0),MAX(J601/K601,0))),"") </f>
        <v/>
      </c>
      <c r="N601" s="5" t="inlineStr">
        <is>
          <t>%</t>
        </is>
      </c>
      <c r="O601" s="5" t="inlineStr">
        <is>
          <t>%</t>
        </is>
      </c>
      <c r="P601" s="15" t="n">
        <v>0</v>
      </c>
      <c r="Q601" s="15" t="n">
        <v>0</v>
      </c>
      <c r="R601" s="5" t="inlineStr">
        <is>
          <t>172-2024-05-31</t>
        </is>
      </c>
    </row>
    <row r="602">
      <c r="A602" s="21" t="n">
        <v>172</v>
      </c>
      <c r="B602" s="5" t="inlineStr">
        <is>
          <t>Cumplimiento plan operativo del SGC</t>
        </is>
      </c>
      <c r="C602" s="5" t="inlineStr">
        <is>
          <t>Gestión de calidad</t>
        </is>
      </c>
      <c r="D602" s="5" t="inlineStr">
        <is>
          <t>Mensual</t>
        </is>
      </c>
      <c r="E602" s="5" t="inlineStr">
        <is>
          <t>Positivo</t>
        </is>
      </c>
      <c r="F602" s="107" t="n">
        <v>45473</v>
      </c>
      <c r="G602" s="5" t="n">
        <v>2024</v>
      </c>
      <c r="H602" s="5" t="inlineStr">
        <is>
          <t>Junio</t>
        </is>
      </c>
      <c r="I602" s="6" t="inlineStr">
        <is>
          <t>2024-1</t>
        </is>
      </c>
      <c r="J602" s="5" t="n">
        <v>95</v>
      </c>
      <c r="K602" s="9" t="n">
        <v>87.5</v>
      </c>
      <c r="L602" s="14">
        <f>IFERROR(IF(OR(J602=0,K602=""),"",IF(E602="Positivo",MIN(MAX(K602/J602,0),1.3),MIN(MAX(J602/K602,0),1.3))),"") </f>
        <v/>
      </c>
      <c r="M602" s="14">
        <f>IFERROR(IF(OR(J602=0,K602=""),"",IF(E602="Positivo",MAX(K602/J602,0),MAX(J602/K602,0))),"") </f>
        <v/>
      </c>
      <c r="N602" s="5" t="inlineStr">
        <is>
          <t>%</t>
        </is>
      </c>
      <c r="O602" s="5" t="inlineStr">
        <is>
          <t>%</t>
        </is>
      </c>
      <c r="P602" s="15" t="n">
        <v>0</v>
      </c>
      <c r="Q602" s="15" t="n">
        <v>0</v>
      </c>
      <c r="R602" s="5" t="inlineStr">
        <is>
          <t>172-2024-06-30</t>
        </is>
      </c>
    </row>
    <row r="603">
      <c r="A603" s="21" t="n">
        <v>172</v>
      </c>
      <c r="B603" s="5" t="inlineStr">
        <is>
          <t>Cumplimiento plan operativo del SGC</t>
        </is>
      </c>
      <c r="C603" s="5" t="inlineStr">
        <is>
          <t>Gestión de calidad</t>
        </is>
      </c>
      <c r="D603" s="5" t="inlineStr">
        <is>
          <t>Mensual</t>
        </is>
      </c>
      <c r="E603" s="5" t="inlineStr">
        <is>
          <t>Positivo</t>
        </is>
      </c>
      <c r="F603" s="107" t="n">
        <v>45504</v>
      </c>
      <c r="G603" s="5" t="n">
        <v>2024</v>
      </c>
      <c r="H603" s="5" t="inlineStr">
        <is>
          <t>Julio</t>
        </is>
      </c>
      <c r="I603" s="6" t="inlineStr">
        <is>
          <t>2024-2</t>
        </is>
      </c>
      <c r="J603" s="5" t="n">
        <v>95</v>
      </c>
      <c r="K603" s="10" t="n">
        <v>90.90909090909091</v>
      </c>
      <c r="L603" s="14">
        <f>IFERROR(IF(OR(J603=0,K603=""),"",IF(E603="Positivo",MIN(MAX(K603/J603,0),1.3),MIN(MAX(J603/K603,0),1.3))),"") </f>
        <v/>
      </c>
      <c r="M603" s="14">
        <f>IFERROR(IF(OR(J603=0,K603=""),"",IF(E603="Positivo",MAX(K603/J603,0),MAX(J603/K603,0))),"") </f>
        <v/>
      </c>
      <c r="N603" s="5" t="inlineStr">
        <is>
          <t>%</t>
        </is>
      </c>
      <c r="O603" s="5" t="inlineStr">
        <is>
          <t>%</t>
        </is>
      </c>
      <c r="P603" s="15" t="n">
        <v>0</v>
      </c>
      <c r="Q603" s="15" t="n">
        <v>0</v>
      </c>
      <c r="R603" s="5" t="inlineStr">
        <is>
          <t>172-2024-07-31</t>
        </is>
      </c>
    </row>
    <row r="604">
      <c r="A604" s="5" t="n">
        <v>172</v>
      </c>
      <c r="B604" s="5" t="inlineStr">
        <is>
          <t>Cumplimiento plan operativo del SGC</t>
        </is>
      </c>
      <c r="C604" s="5" t="inlineStr">
        <is>
          <t>Gestión de calidad</t>
        </is>
      </c>
      <c r="D604" s="5" t="inlineStr">
        <is>
          <t>Mensual</t>
        </is>
      </c>
      <c r="E604" s="5" t="inlineStr">
        <is>
          <t>Positivo</t>
        </is>
      </c>
      <c r="F604" s="107" t="n">
        <v>45535</v>
      </c>
      <c r="G604" s="5" t="n">
        <v>2024</v>
      </c>
      <c r="H604" s="5" t="inlineStr">
        <is>
          <t>Agosto</t>
        </is>
      </c>
      <c r="I604" s="6" t="inlineStr">
        <is>
          <t>2024-2</t>
        </is>
      </c>
      <c r="J604" s="5" t="n">
        <v>95</v>
      </c>
      <c r="K604" s="5" t="n">
        <v>92.85714285714286</v>
      </c>
      <c r="L604" s="14">
        <f>IFERROR(IF(OR(J604=0,K604=""),"",IF(E604="Positivo",MIN(MAX(K604/J604,0),1.3),MIN(MAX(J604/K604,0),1.3))),"") </f>
        <v/>
      </c>
      <c r="M604" s="14">
        <f>IFERROR(IF(OR(J604=0,K604=""),"",IF(E604="Positivo",MAX(K604/J604,0),MAX(J604/K604,0))),"") </f>
        <v/>
      </c>
      <c r="N604" s="5" t="inlineStr">
        <is>
          <t>%</t>
        </is>
      </c>
      <c r="O604" s="5" t="inlineStr">
        <is>
          <t>%</t>
        </is>
      </c>
      <c r="P604" s="5" t="n">
        <v>0</v>
      </c>
      <c r="Q604" s="5" t="n">
        <v>0</v>
      </c>
      <c r="R604" s="5" t="inlineStr">
        <is>
          <t>172-2024-08-31</t>
        </is>
      </c>
    </row>
    <row r="605">
      <c r="A605" s="21" t="n">
        <v>172</v>
      </c>
      <c r="B605" s="5" t="inlineStr">
        <is>
          <t>Cumplimiento plan operativo del SGC</t>
        </is>
      </c>
      <c r="C605" s="5" t="inlineStr">
        <is>
          <t>Gestión de calidad</t>
        </is>
      </c>
      <c r="D605" s="5" t="inlineStr">
        <is>
          <t>Mensual</t>
        </is>
      </c>
      <c r="E605" s="5" t="inlineStr">
        <is>
          <t>Positivo</t>
        </is>
      </c>
      <c r="F605" s="107" t="n">
        <v>45565</v>
      </c>
      <c r="G605" s="5" t="n">
        <v>2024</v>
      </c>
      <c r="H605" s="5" t="inlineStr">
        <is>
          <t>Septiembre</t>
        </is>
      </c>
      <c r="I605" s="6" t="inlineStr">
        <is>
          <t>2024-2</t>
        </is>
      </c>
      <c r="J605" s="5" t="n">
        <v>95</v>
      </c>
      <c r="K605" s="10" t="n">
        <v>93.75</v>
      </c>
      <c r="L605" s="14">
        <f>IFERROR(IF(OR(J605=0,K605=""),"",IF(E605="Positivo",MIN(MAX(K605/J605,0),1.3),MIN(MAX(J605/K605,0),1.3))),"") </f>
        <v/>
      </c>
      <c r="M605" s="14">
        <f>IFERROR(IF(OR(J605=0,K605=""),"",IF(E605="Positivo",MAX(K605/J605,0),MAX(J605/K605,0))),"") </f>
        <v/>
      </c>
      <c r="N605" s="5" t="inlineStr">
        <is>
          <t>%</t>
        </is>
      </c>
      <c r="O605" s="5" t="inlineStr">
        <is>
          <t>%</t>
        </is>
      </c>
      <c r="P605" s="15" t="n">
        <v>0</v>
      </c>
      <c r="Q605" s="15" t="n">
        <v>0</v>
      </c>
      <c r="R605" s="5" t="inlineStr">
        <is>
          <t>172-2024-09-30</t>
        </is>
      </c>
    </row>
    <row r="606">
      <c r="A606" s="21" t="n">
        <v>172</v>
      </c>
      <c r="B606" s="5" t="inlineStr">
        <is>
          <t>Cumplimiento plan operativo del SGC</t>
        </is>
      </c>
      <c r="C606" s="5" t="inlineStr">
        <is>
          <t>Gestión de calidad</t>
        </is>
      </c>
      <c r="D606" s="5" t="inlineStr">
        <is>
          <t>Mensual</t>
        </is>
      </c>
      <c r="E606" s="5" t="inlineStr">
        <is>
          <t>Positivo</t>
        </is>
      </c>
      <c r="F606" s="107" t="n">
        <v>45596</v>
      </c>
      <c r="G606" s="5" t="n">
        <v>2024</v>
      </c>
      <c r="H606" s="5" t="inlineStr">
        <is>
          <t>Octubre</t>
        </is>
      </c>
      <c r="I606" s="6" t="inlineStr">
        <is>
          <t>2024-2</t>
        </is>
      </c>
      <c r="J606" s="5" t="n">
        <v>95</v>
      </c>
      <c r="K606" s="9" t="n">
        <v>94.11764705882352</v>
      </c>
      <c r="L606" s="14">
        <f>IFERROR(IF(OR(J606=0,K606=""),"",IF(E606="Positivo",MIN(MAX(K606/J606,0),1.3),MIN(MAX(J606/K606,0),1.3))),"") </f>
        <v/>
      </c>
      <c r="M606" s="14">
        <f>IFERROR(IF(OR(J606=0,K606=""),"",IF(E606="Positivo",MAX(K606/J606,0),MAX(J606/K606,0))),"") </f>
        <v/>
      </c>
      <c r="N606" s="5" t="inlineStr">
        <is>
          <t>%</t>
        </is>
      </c>
      <c r="O606" s="11" t="inlineStr">
        <is>
          <t>%</t>
        </is>
      </c>
      <c r="P606" s="15" t="n">
        <v>0</v>
      </c>
      <c r="Q606" s="15" t="n">
        <v>0</v>
      </c>
      <c r="R606" s="5" t="inlineStr">
        <is>
          <t>172-2024-10-31</t>
        </is>
      </c>
    </row>
    <row r="607">
      <c r="A607" s="21" t="n">
        <v>172</v>
      </c>
      <c r="B607" s="5" t="inlineStr">
        <is>
          <t>Cumplimiento plan operativo del SGC</t>
        </is>
      </c>
      <c r="C607" s="5" t="inlineStr">
        <is>
          <t>Gestión de calidad</t>
        </is>
      </c>
      <c r="D607" s="5" t="inlineStr">
        <is>
          <t>Mensual</t>
        </is>
      </c>
      <c r="E607" s="5" t="inlineStr">
        <is>
          <t>Positivo</t>
        </is>
      </c>
      <c r="F607" s="107" t="n">
        <v>45626</v>
      </c>
      <c r="G607" s="5" t="n">
        <v>2024</v>
      </c>
      <c r="H607" s="5" t="inlineStr">
        <is>
          <t>Noviembre</t>
        </is>
      </c>
      <c r="I607" s="6" t="inlineStr">
        <is>
          <t>2024-2</t>
        </is>
      </c>
      <c r="J607" s="5" t="n">
        <v>95</v>
      </c>
      <c r="K607" s="9" t="n">
        <v>100</v>
      </c>
      <c r="L607" s="14">
        <f>IFERROR(IF(OR(J607=0,K607=""),"",IF(E607="Positivo",MIN(MAX(K607/J607,0),1.3),MIN(MAX(J607/K607,0),1.3))),"") </f>
        <v/>
      </c>
      <c r="M607" s="14">
        <f>IFERROR(IF(OR(J607=0,K607=""),"",IF(E607="Positivo",MAX(K607/J607,0),MAX(J607/K607,0))),"") </f>
        <v/>
      </c>
      <c r="N607" s="5" t="inlineStr">
        <is>
          <t>%</t>
        </is>
      </c>
      <c r="O607" s="11" t="inlineStr">
        <is>
          <t>%</t>
        </is>
      </c>
      <c r="P607" s="15" t="n">
        <v>0</v>
      </c>
      <c r="Q607" s="15" t="n">
        <v>0</v>
      </c>
      <c r="R607" s="5" t="inlineStr">
        <is>
          <t>172-2024-11-30</t>
        </is>
      </c>
    </row>
    <row r="608">
      <c r="A608" s="21" t="n">
        <v>172</v>
      </c>
      <c r="B608" s="5" t="inlineStr">
        <is>
          <t>Cumplimiento plan operativo del SGC</t>
        </is>
      </c>
      <c r="C608" s="5" t="inlineStr">
        <is>
          <t>Gestión de calidad</t>
        </is>
      </c>
      <c r="D608" s="5" t="inlineStr">
        <is>
          <t>Mensual</t>
        </is>
      </c>
      <c r="E608" s="5" t="inlineStr">
        <is>
          <t>Positivo</t>
        </is>
      </c>
      <c r="F608" s="107" t="n">
        <v>45657</v>
      </c>
      <c r="G608" s="5" t="n">
        <v>2024</v>
      </c>
      <c r="H608" s="5" t="inlineStr">
        <is>
          <t>Diciembre</t>
        </is>
      </c>
      <c r="I608" s="6" t="inlineStr">
        <is>
          <t>2024-2</t>
        </is>
      </c>
      <c r="J608" s="5" t="n">
        <v>95</v>
      </c>
      <c r="K608" s="10" t="n">
        <v>97.36842105263158</v>
      </c>
      <c r="L608" s="14">
        <f>IFERROR(IF(OR(J608=0,K608=""),"",IF(E608="Positivo",MIN(MAX(K608/J608,0),1.3),MIN(MAX(J608/K608,0),1.3))),"") </f>
        <v/>
      </c>
      <c r="M608" s="14">
        <f>IFERROR(IF(OR(J608=0,K608=""),"",IF(E608="Positivo",MAX(K608/J608,0),MAX(J608/K608,0))),"") </f>
        <v/>
      </c>
      <c r="N608" s="5" t="inlineStr">
        <is>
          <t>%</t>
        </is>
      </c>
      <c r="O608" s="5" t="inlineStr">
        <is>
          <t>%</t>
        </is>
      </c>
      <c r="P608" s="15" t="n">
        <v>0</v>
      </c>
      <c r="Q608" s="15" t="n">
        <v>0</v>
      </c>
      <c r="R608" s="5" t="inlineStr">
        <is>
          <t>172-2024-12-31</t>
        </is>
      </c>
    </row>
    <row r="609">
      <c r="A609" s="5" t="n">
        <v>172</v>
      </c>
      <c r="B609" s="5" t="inlineStr">
        <is>
          <t>Cumplimiento plan operativo del SGC</t>
        </is>
      </c>
      <c r="C609" s="5" t="inlineStr">
        <is>
          <t>Gestión de calidad</t>
        </is>
      </c>
      <c r="D609" s="5" t="inlineStr">
        <is>
          <t>Mensual</t>
        </is>
      </c>
      <c r="E609" s="5" t="inlineStr">
        <is>
          <t>Positivo</t>
        </is>
      </c>
      <c r="F609" s="107" t="n">
        <v>45688</v>
      </c>
      <c r="G609" s="5" t="n">
        <v>2025</v>
      </c>
      <c r="H609" s="5" t="inlineStr">
        <is>
          <t>Enero</t>
        </is>
      </c>
      <c r="I609" s="6" t="inlineStr">
        <is>
          <t>2025-1</t>
        </is>
      </c>
      <c r="J609" s="5" t="n">
        <v>95</v>
      </c>
      <c r="K609" s="5" t="n">
        <v>80</v>
      </c>
      <c r="L609" s="14">
        <f>IFERROR(IF(OR(J609=0,K609=""),"",IF(E609="Positivo",MIN(MAX(K609/J609,0),1.3),MIN(MAX(J609/K609,0),1.3))),"") </f>
        <v/>
      </c>
      <c r="M609" s="14">
        <f>IFERROR(IF(OR(J609=0,K609=""),"",IF(E609="Positivo",MAX(K609/J609,0),MAX(J609/K609,0))),"") </f>
        <v/>
      </c>
      <c r="N609" s="5" t="inlineStr">
        <is>
          <t>%</t>
        </is>
      </c>
      <c r="O609" s="5" t="inlineStr">
        <is>
          <t>%</t>
        </is>
      </c>
      <c r="P609" s="5" t="n">
        <v>0</v>
      </c>
      <c r="Q609" s="5" t="n">
        <v>0</v>
      </c>
      <c r="R609" s="5" t="inlineStr">
        <is>
          <t>172-2025-01-31</t>
        </is>
      </c>
    </row>
    <row r="610">
      <c r="A610" s="21" t="n">
        <v>172</v>
      </c>
      <c r="B610" s="5" t="inlineStr">
        <is>
          <t>Cumplimiento plan operativo del SGC</t>
        </is>
      </c>
      <c r="C610" s="5" t="inlineStr">
        <is>
          <t>Gestión de calidad</t>
        </is>
      </c>
      <c r="D610" s="5" t="inlineStr">
        <is>
          <t>Mensual</t>
        </is>
      </c>
      <c r="E610" s="5" t="inlineStr">
        <is>
          <t>Positivo</t>
        </is>
      </c>
      <c r="F610" s="107" t="n">
        <v>45716</v>
      </c>
      <c r="G610" s="5" t="n">
        <v>2025</v>
      </c>
      <c r="H610" s="5" t="inlineStr">
        <is>
          <t>Febrero</t>
        </is>
      </c>
      <c r="I610" s="6" t="inlineStr">
        <is>
          <t>2025-1</t>
        </is>
      </c>
      <c r="J610" s="5" t="n">
        <v>95</v>
      </c>
      <c r="K610" s="10" t="n">
        <v>100</v>
      </c>
      <c r="L610" s="14">
        <f>IFERROR(IF(OR(J610=0,K610=""),"",IF(E610="Positivo",MIN(MAX(K610/J610,0),1.3),MIN(MAX(J610/K610,0),1.3))),"") </f>
        <v/>
      </c>
      <c r="M610" s="14">
        <f>IFERROR(IF(OR(J610=0,K610=""),"",IF(E610="Positivo",MAX(K610/J610,0),MAX(J610/K610,0))),"") </f>
        <v/>
      </c>
      <c r="N610" s="5" t="inlineStr">
        <is>
          <t>%</t>
        </is>
      </c>
      <c r="O610" s="5" t="inlineStr">
        <is>
          <t>%</t>
        </is>
      </c>
      <c r="P610" s="15" t="n">
        <v>0</v>
      </c>
      <c r="Q610" s="15" t="n">
        <v>0</v>
      </c>
      <c r="R610" s="5" t="inlineStr">
        <is>
          <t>172-2025-02-28</t>
        </is>
      </c>
    </row>
    <row r="611">
      <c r="A611" s="21" t="n">
        <v>172</v>
      </c>
      <c r="B611" s="5" t="inlineStr">
        <is>
          <t>Cumplimiento plan operativo del SGC</t>
        </is>
      </c>
      <c r="C611" s="5" t="inlineStr">
        <is>
          <t>Gestión de calidad</t>
        </is>
      </c>
      <c r="D611" s="5" t="inlineStr">
        <is>
          <t>Mensual</t>
        </is>
      </c>
      <c r="E611" s="5" t="inlineStr">
        <is>
          <t>Positivo</t>
        </is>
      </c>
      <c r="F611" s="107" t="n">
        <v>45747</v>
      </c>
      <c r="G611" s="5" t="n">
        <v>2025</v>
      </c>
      <c r="H611" s="5" t="inlineStr">
        <is>
          <t>Marzo</t>
        </is>
      </c>
      <c r="I611" s="6" t="inlineStr">
        <is>
          <t>2025-1</t>
        </is>
      </c>
      <c r="J611" s="5" t="n">
        <v>95</v>
      </c>
      <c r="K611" s="9" t="n">
        <v>83.33</v>
      </c>
      <c r="L611" s="14">
        <f>IFERROR(IF(OR(J611=0,K611=""),"",IF(E611="Positivo",MIN(MAX(K611/J611,0),1.3),MIN(MAX(J611/K611,0),1.3))),"") </f>
        <v/>
      </c>
      <c r="M611" s="14">
        <f>IFERROR(IF(OR(J611=0,K611=""),"",IF(E611="Positivo",MAX(K611/J611,0),MAX(J611/K611,0))),"") </f>
        <v/>
      </c>
      <c r="N611" s="5" t="inlineStr">
        <is>
          <t>%</t>
        </is>
      </c>
      <c r="O611" s="5" t="inlineStr">
        <is>
          <t>%</t>
        </is>
      </c>
      <c r="P611" s="15" t="n">
        <v>0</v>
      </c>
      <c r="Q611" s="15" t="n">
        <v>0</v>
      </c>
      <c r="R611" s="5" t="inlineStr">
        <is>
          <t>172-2025-03-31</t>
        </is>
      </c>
    </row>
    <row r="612">
      <c r="A612" s="21" t="n">
        <v>172</v>
      </c>
      <c r="B612" s="5" t="inlineStr">
        <is>
          <t>Cumplimiento plan operativo del SGC</t>
        </is>
      </c>
      <c r="C612" s="5" t="inlineStr">
        <is>
          <t>Gestión de calidad</t>
        </is>
      </c>
      <c r="D612" s="5" t="inlineStr">
        <is>
          <t>Mensual</t>
        </is>
      </c>
      <c r="E612" s="5" t="inlineStr">
        <is>
          <t>Positivo</t>
        </is>
      </c>
      <c r="F612" s="107" t="n">
        <v>45777</v>
      </c>
      <c r="G612" s="5" t="n">
        <v>2025</v>
      </c>
      <c r="H612" s="5" t="inlineStr">
        <is>
          <t>Abril</t>
        </is>
      </c>
      <c r="I612" s="6" t="inlineStr">
        <is>
          <t>2025-1</t>
        </is>
      </c>
      <c r="J612" s="5" t="n">
        <v>95</v>
      </c>
      <c r="K612" s="9" t="n">
        <v>88.89</v>
      </c>
      <c r="L612" s="14">
        <f>IFERROR(IF(OR(J612=0,K612=""),"",IF(E612="Positivo",MIN(MAX(K612/J612,0),1.3),MIN(MAX(J612/K612,0),1.3))),"") </f>
        <v/>
      </c>
      <c r="M612" s="14">
        <f>IFERROR(IF(OR(J612=0,K612=""),"",IF(E612="Positivo",MAX(K612/J612,0),MAX(J612/K612,0))),"") </f>
        <v/>
      </c>
      <c r="N612" s="5" t="inlineStr">
        <is>
          <t>%</t>
        </is>
      </c>
      <c r="O612" s="5" t="inlineStr">
        <is>
          <t>%</t>
        </is>
      </c>
      <c r="P612" s="15" t="n">
        <v>0</v>
      </c>
      <c r="Q612" s="15" t="n">
        <v>0</v>
      </c>
      <c r="R612" s="5" t="inlineStr">
        <is>
          <t>172-2025-04-30</t>
        </is>
      </c>
    </row>
    <row r="613">
      <c r="A613" s="28" t="n">
        <v>172</v>
      </c>
      <c r="B613" s="5" t="inlineStr">
        <is>
          <t>Cumplimiento plan operativo del SGC</t>
        </is>
      </c>
      <c r="C613" s="5" t="inlineStr">
        <is>
          <t>Gestión de calidad</t>
        </is>
      </c>
      <c r="D613" s="5" t="inlineStr">
        <is>
          <t>Mensual</t>
        </is>
      </c>
      <c r="E613" s="5" t="inlineStr">
        <is>
          <t>Positivo</t>
        </is>
      </c>
      <c r="F613" s="107" t="n">
        <v>45808</v>
      </c>
      <c r="G613" s="5" t="n">
        <v>2025</v>
      </c>
      <c r="H613" s="5" t="inlineStr">
        <is>
          <t>Mayo</t>
        </is>
      </c>
      <c r="I613" s="6" t="inlineStr">
        <is>
          <t>2025-1</t>
        </is>
      </c>
      <c r="J613" s="5" t="n">
        <v>95</v>
      </c>
      <c r="K613" s="9" t="n">
        <v>95.65000000000001</v>
      </c>
      <c r="L613" s="14">
        <f>IFERROR(IF(OR(J613=0,K613=""),"",IF(E613="Positivo",MIN(MAX(K613/J613,0),1.3),MIN(MAX(J613/K613,0),1.3))),"") </f>
        <v/>
      </c>
      <c r="M613" s="14">
        <f>IFERROR(IF(OR(J613=0,K613=""),"",IF(E613="Positivo",MAX(K613/J613,0),MAX(J613/K613,0))),"") </f>
        <v/>
      </c>
      <c r="N613" s="5" t="inlineStr">
        <is>
          <t>%</t>
        </is>
      </c>
      <c r="O613" s="5" t="inlineStr">
        <is>
          <t>%</t>
        </is>
      </c>
      <c r="P613" s="15" t="n">
        <v>0</v>
      </c>
      <c r="Q613" s="15" t="n">
        <v>0</v>
      </c>
      <c r="R613" s="5" t="inlineStr">
        <is>
          <t>172-2025-05-31</t>
        </is>
      </c>
    </row>
    <row r="614">
      <c r="A614" s="21" t="n">
        <v>172</v>
      </c>
      <c r="B614" s="5" t="inlineStr">
        <is>
          <t>Cumplimiento plan operativo del SGC</t>
        </is>
      </c>
      <c r="C614" s="5" t="inlineStr">
        <is>
          <t>Gestión de calidad</t>
        </is>
      </c>
      <c r="D614" s="5" t="inlineStr">
        <is>
          <t>Mensual</t>
        </is>
      </c>
      <c r="E614" s="5" t="inlineStr">
        <is>
          <t>Positivo</t>
        </is>
      </c>
      <c r="F614" s="107" t="n">
        <v>45838</v>
      </c>
      <c r="G614" s="5" t="n">
        <v>2025</v>
      </c>
      <c r="H614" s="5" t="inlineStr">
        <is>
          <t>Junio</t>
        </is>
      </c>
      <c r="I614" s="6" t="inlineStr">
        <is>
          <t>2025-1</t>
        </is>
      </c>
      <c r="J614" s="5" t="n">
        <v>95</v>
      </c>
      <c r="K614" s="10" t="n">
        <v>81.81999999999999</v>
      </c>
      <c r="L614" s="14">
        <f>IFERROR(IF(OR(J614=0,K614=""),"",IF(E614="Positivo",MIN(MAX(K614/J614,0),1.3),MIN(MAX(J614/K614,0),1.3))),"") </f>
        <v/>
      </c>
      <c r="M614" s="14">
        <f>IFERROR(IF(OR(J614=0,K614=""),"",IF(E614="Positivo",MAX(K614/J614,0),MAX(J614/K614,0))),"") </f>
        <v/>
      </c>
      <c r="N614" s="5" t="inlineStr">
        <is>
          <t>%</t>
        </is>
      </c>
      <c r="O614" s="5" t="inlineStr">
        <is>
          <t>%</t>
        </is>
      </c>
      <c r="P614" s="15" t="n">
        <v>0</v>
      </c>
      <c r="Q614" s="15" t="n">
        <v>0</v>
      </c>
      <c r="R614" s="5" t="inlineStr">
        <is>
          <t>172-2025-06-30</t>
        </is>
      </c>
    </row>
    <row r="615">
      <c r="A615" s="21" t="n">
        <v>172</v>
      </c>
      <c r="B615" s="5" t="inlineStr">
        <is>
          <t>Cumplimiento plan operativo del SGC</t>
        </is>
      </c>
      <c r="C615" s="5" t="inlineStr">
        <is>
          <t>Gestión de calidad</t>
        </is>
      </c>
      <c r="D615" s="5" t="inlineStr">
        <is>
          <t>Mensual</t>
        </is>
      </c>
      <c r="E615" s="5" t="inlineStr">
        <is>
          <t>Positivo</t>
        </is>
      </c>
      <c r="F615" s="107" t="n">
        <v>45869</v>
      </c>
      <c r="G615" s="5" t="n">
        <v>2025</v>
      </c>
      <c r="H615" s="5" t="inlineStr">
        <is>
          <t>Julio</t>
        </is>
      </c>
      <c r="I615" s="6" t="inlineStr">
        <is>
          <t>2025-2</t>
        </is>
      </c>
      <c r="J615" s="5" t="n">
        <v>95</v>
      </c>
      <c r="K615" s="10" t="n">
        <v>91.43000000000001</v>
      </c>
      <c r="L615" s="14">
        <f>IFERROR(IF(OR(J615=0,K615=""),"",IF(E615="Positivo",MIN(MAX(K615/J615,0),1.3),MIN(MAX(J615/K615,0),1.3))),"") </f>
        <v/>
      </c>
      <c r="M615" s="14">
        <f>IFERROR(IF(OR(J615=0,K615=""),"",IF(E615="Positivo",MAX(K615/J615,0),MAX(J615/K615,0))),"") </f>
        <v/>
      </c>
      <c r="N615" s="5" t="inlineStr">
        <is>
          <t>%</t>
        </is>
      </c>
      <c r="O615" s="5" t="inlineStr">
        <is>
          <t>%</t>
        </is>
      </c>
      <c r="P615" s="15" t="n">
        <v>0</v>
      </c>
      <c r="Q615" s="15" t="n">
        <v>0</v>
      </c>
      <c r="R615" s="5" t="inlineStr">
        <is>
          <t>172-2025-07-31</t>
        </is>
      </c>
    </row>
    <row r="616">
      <c r="A616" s="21" t="n">
        <v>172</v>
      </c>
      <c r="B616" s="5" t="inlineStr">
        <is>
          <t>Cumplimiento plan operativo del SGC</t>
        </is>
      </c>
      <c r="C616" s="5" t="inlineStr">
        <is>
          <t>Gestión de calidad</t>
        </is>
      </c>
      <c r="D616" s="5" t="inlineStr">
        <is>
          <t>Mensual</t>
        </is>
      </c>
      <c r="E616" s="5" t="inlineStr">
        <is>
          <t>Positivo</t>
        </is>
      </c>
      <c r="F616" s="107" t="n">
        <v>45900</v>
      </c>
      <c r="G616" s="5" t="n">
        <v>2025</v>
      </c>
      <c r="H616" s="5" t="inlineStr">
        <is>
          <t>Agosto</t>
        </is>
      </c>
      <c r="I616" s="6" t="inlineStr">
        <is>
          <t>2025-2</t>
        </is>
      </c>
      <c r="J616" s="5" t="n">
        <v>95</v>
      </c>
      <c r="K616" s="10" t="n">
        <v>86.36</v>
      </c>
      <c r="L616" s="14">
        <f>IFERROR(IF(OR(J616=0,K616=""),"",IF(E616="Positivo",MIN(MAX(K616/J616,0),1.3),MIN(MAX(J616/K616,0),1.3))),"") </f>
        <v/>
      </c>
      <c r="M616" s="14">
        <f>IFERROR(IF(OR(J616=0,K616=""),"",IF(E616="Positivo",MAX(K616/J616,0),MAX(J616/K616,0))),"") </f>
        <v/>
      </c>
      <c r="N616" s="5" t="inlineStr">
        <is>
          <t>%</t>
        </is>
      </c>
      <c r="O616" s="5" t="inlineStr">
        <is>
          <t>%</t>
        </is>
      </c>
      <c r="P616" s="15" t="n">
        <v>0</v>
      </c>
      <c r="Q616" s="15" t="n">
        <v>0</v>
      </c>
      <c r="R616" s="5" t="inlineStr">
        <is>
          <t>172-2025-08-31</t>
        </is>
      </c>
    </row>
    <row r="617">
      <c r="A617" s="21" t="n">
        <v>172</v>
      </c>
      <c r="B617" s="5" t="inlineStr">
        <is>
          <t>Cumplimiento plan operativo del SGC</t>
        </is>
      </c>
      <c r="C617" s="5" t="inlineStr">
        <is>
          <t>Gestión de calidad</t>
        </is>
      </c>
      <c r="D617" s="5" t="inlineStr">
        <is>
          <t>Mensual</t>
        </is>
      </c>
      <c r="E617" s="5" t="inlineStr">
        <is>
          <t>Positivo</t>
        </is>
      </c>
      <c r="F617" s="107" t="n">
        <v>45930</v>
      </c>
      <c r="G617" s="5" t="n">
        <v>2025</v>
      </c>
      <c r="H617" s="5" t="inlineStr">
        <is>
          <t>Septiembre</t>
        </is>
      </c>
      <c r="I617" s="6" t="inlineStr">
        <is>
          <t>2025-2</t>
        </is>
      </c>
      <c r="J617" s="5" t="n">
        <v>95</v>
      </c>
      <c r="K617" s="9" t="n">
        <v>89.8</v>
      </c>
      <c r="L617" s="14">
        <f>IFERROR(IF(OR(J617=0,K617=""),"",IF(E617="Positivo",MIN(MAX(K617/J617,0),1.3),MIN(MAX(J617/K617,0),1.3))),"") </f>
        <v/>
      </c>
      <c r="M617" s="14">
        <f>IFERROR(IF(OR(J617=0,K617=""),"",IF(E617="Positivo",MAX(K617/J617,0),MAX(J617/K617,0))),"") </f>
        <v/>
      </c>
      <c r="N617" s="5" t="inlineStr">
        <is>
          <t>%</t>
        </is>
      </c>
      <c r="O617" s="11" t="inlineStr">
        <is>
          <t>%</t>
        </is>
      </c>
      <c r="P617" s="15" t="n">
        <v>0</v>
      </c>
      <c r="Q617" s="15" t="n">
        <v>0</v>
      </c>
      <c r="R617" s="5" t="inlineStr">
        <is>
          <t>172-2025-09-30</t>
        </is>
      </c>
    </row>
    <row r="618">
      <c r="A618" s="21" t="n">
        <v>172</v>
      </c>
      <c r="B618" s="5" t="inlineStr">
        <is>
          <t>Cumplimiento plan operativo del SGC</t>
        </is>
      </c>
      <c r="C618" s="5" t="inlineStr">
        <is>
          <t>Gestión de calidad</t>
        </is>
      </c>
      <c r="D618" s="5" t="inlineStr">
        <is>
          <t>Mensual</t>
        </is>
      </c>
      <c r="E618" s="5" t="inlineStr">
        <is>
          <t>Positivo</t>
        </is>
      </c>
      <c r="F618" s="106" t="n">
        <v>45961</v>
      </c>
      <c r="G618" s="5" t="n">
        <v>2025</v>
      </c>
      <c r="H618" s="5" t="inlineStr">
        <is>
          <t>Octubre</t>
        </is>
      </c>
      <c r="I618" s="6" t="inlineStr">
        <is>
          <t>2025-2</t>
        </is>
      </c>
      <c r="J618" s="5" t="n">
        <v>95</v>
      </c>
      <c r="K618" s="9" t="n">
        <v>98.20999999999999</v>
      </c>
      <c r="L618" s="14">
        <f>IFERROR(IF(OR(J618=0,K618=""),"",IF(E618="Positivo",MIN(MAX(K618/J618,0),1.3),MIN(MAX(J618/K618,0),1.3))),"") </f>
        <v/>
      </c>
      <c r="M618" s="14">
        <f>IFERROR(IF(OR(J618=0,K618=""),"",IF(E618="Positivo",MAX(K618/J618,0),MAX(J618/K618,0))),"") </f>
        <v/>
      </c>
      <c r="N618" s="5" t="inlineStr">
        <is>
          <t>%</t>
        </is>
      </c>
      <c r="O618" s="11" t="inlineStr">
        <is>
          <t>%</t>
        </is>
      </c>
      <c r="P618" s="15" t="n">
        <v>0</v>
      </c>
      <c r="Q618" s="15" t="n">
        <v>0</v>
      </c>
      <c r="R618" s="5" t="inlineStr">
        <is>
          <t>172-2025-10-31</t>
        </is>
      </c>
    </row>
    <row r="619">
      <c r="A619" s="21" t="n">
        <v>172</v>
      </c>
      <c r="B619" s="5" t="inlineStr">
        <is>
          <t>Cumplimiento plan operativo del SGC</t>
        </is>
      </c>
      <c r="C619" s="5" t="inlineStr">
        <is>
          <t>Gestión de calidad</t>
        </is>
      </c>
      <c r="D619" s="5" t="inlineStr">
        <is>
          <t>Mensual</t>
        </is>
      </c>
      <c r="E619" s="5" t="inlineStr">
        <is>
          <t>Positivo</t>
        </is>
      </c>
      <c r="F619" s="107" t="n">
        <v>45991</v>
      </c>
      <c r="G619" s="5" t="n">
        <v>2025</v>
      </c>
      <c r="H619" s="5" t="inlineStr">
        <is>
          <t>Noviembre</t>
        </is>
      </c>
      <c r="I619" s="6" t="inlineStr">
        <is>
          <t>2025-2</t>
        </is>
      </c>
      <c r="J619" s="5" t="n">
        <v>95</v>
      </c>
      <c r="K619" s="9" t="n">
        <v>96.77</v>
      </c>
      <c r="L619" s="14">
        <f>IFERROR(IF(OR(J619=0,K619=""),"",IF(E619="Positivo",MIN(MAX(K619/J619,0),1.3),MIN(MAX(J619/K619,0),1.3))),"") </f>
        <v/>
      </c>
      <c r="M619" s="14">
        <f>IFERROR(IF(OR(J619=0,K619=""),"",IF(E619="Positivo",MAX(K619/J619,0),MAX(J619/K619,0))),"") </f>
        <v/>
      </c>
      <c r="N619" s="5" t="inlineStr">
        <is>
          <t>%</t>
        </is>
      </c>
      <c r="O619" s="11" t="inlineStr">
        <is>
          <t>%</t>
        </is>
      </c>
      <c r="P619" s="15" t="n">
        <v>0</v>
      </c>
      <c r="Q619" s="15" t="n">
        <v>0</v>
      </c>
      <c r="R619" s="5" t="inlineStr">
        <is>
          <t>172-2025-11-30</t>
        </is>
      </c>
    </row>
    <row r="620">
      <c r="A620" s="21" t="n">
        <v>172</v>
      </c>
      <c r="B620" s="5" t="inlineStr">
        <is>
          <t>Cumplimiento plan operativo del SGC</t>
        </is>
      </c>
      <c r="C620" s="5" t="inlineStr">
        <is>
          <t>Gestión de calidad</t>
        </is>
      </c>
      <c r="D620" s="5" t="inlineStr">
        <is>
          <t>Mensual</t>
        </is>
      </c>
      <c r="E620" s="5" t="inlineStr">
        <is>
          <t>Positivo</t>
        </is>
      </c>
      <c r="F620" s="107" t="n">
        <v>46022</v>
      </c>
      <c r="G620" s="5" t="n">
        <v>2025</v>
      </c>
      <c r="H620" s="5" t="inlineStr">
        <is>
          <t>Diciembre</t>
        </is>
      </c>
      <c r="I620" s="6" t="inlineStr">
        <is>
          <t>2025-2</t>
        </is>
      </c>
      <c r="J620" s="5" t="n">
        <v>95</v>
      </c>
      <c r="K620" s="9" t="n">
        <v>98.44</v>
      </c>
      <c r="L620" s="14">
        <f>IFERROR(IF(OR(J620=0,K620=""),"",IF(E620="Positivo",MIN(MAX(K620/J620,0),1.3),MIN(MAX(J620/K620,0),1.3))),"") </f>
        <v/>
      </c>
      <c r="M620" s="14">
        <f>IFERROR(IF(OR(J620=0,K620=""),"",IF(E620="Positivo",MAX(K620/J620,0),MAX(J620/K620,0))),"") </f>
        <v/>
      </c>
      <c r="N620" s="5" t="inlineStr">
        <is>
          <t>%</t>
        </is>
      </c>
      <c r="O620" s="11" t="inlineStr">
        <is>
          <t>%</t>
        </is>
      </c>
      <c r="P620" s="15" t="n">
        <v>0</v>
      </c>
      <c r="Q620" s="15" t="n">
        <v>0</v>
      </c>
      <c r="R620" s="5" t="inlineStr">
        <is>
          <t>172-2025-12-31</t>
        </is>
      </c>
    </row>
    <row r="621">
      <c r="A621" s="21" t="n">
        <v>174</v>
      </c>
      <c r="B621" s="5" t="inlineStr">
        <is>
          <t>Cumplimiento Plan de Formación SGC</t>
        </is>
      </c>
      <c r="C621" s="5" t="inlineStr">
        <is>
          <t>Gestión de calidad</t>
        </is>
      </c>
      <c r="D621" s="5" t="inlineStr">
        <is>
          <t>Semestral</t>
        </is>
      </c>
      <c r="E621" s="5" t="inlineStr">
        <is>
          <t>Positivo</t>
        </is>
      </c>
      <c r="F621" s="107" t="n">
        <v>45107</v>
      </c>
      <c r="G621" s="5" t="n">
        <v>2023</v>
      </c>
      <c r="H621" s="5" t="inlineStr">
        <is>
          <t>Junio</t>
        </is>
      </c>
      <c r="I621" s="6" t="inlineStr">
        <is>
          <t>2023-1</t>
        </is>
      </c>
      <c r="J621" s="5" t="n">
        <v>95</v>
      </c>
      <c r="K621" s="9" t="n">
        <v>100</v>
      </c>
      <c r="L621" s="14">
        <f>IFERROR(IF(OR(J621=0,K621=""),"",IF(E621="Positivo",MIN(MAX(K621/J621,0),1.3),MIN(MAX(J621/K621,0),1.3))),"") </f>
        <v/>
      </c>
      <c r="M621" s="14">
        <f>IFERROR(IF(OR(J621=0,K621=""),"",IF(E621="Positivo",MAX(K621/J621,0),MAX(J621/K621,0))),"") </f>
        <v/>
      </c>
      <c r="N621" s="5" t="inlineStr">
        <is>
          <t>%</t>
        </is>
      </c>
      <c r="O621" s="11" t="inlineStr">
        <is>
          <t>%</t>
        </is>
      </c>
      <c r="P621" s="15" t="n">
        <v>0</v>
      </c>
      <c r="Q621" s="15" t="n">
        <v>0</v>
      </c>
      <c r="R621" s="5" t="inlineStr">
        <is>
          <t>174-2023-06-30</t>
        </is>
      </c>
    </row>
    <row r="622">
      <c r="A622" s="21" t="n">
        <v>174</v>
      </c>
      <c r="B622" s="5" t="inlineStr">
        <is>
          <t>Cumplimiento Plan de Formación SGC</t>
        </is>
      </c>
      <c r="C622" s="5" t="inlineStr">
        <is>
          <t>Gestión de calidad</t>
        </is>
      </c>
      <c r="D622" s="5" t="inlineStr">
        <is>
          <t>Semestral</t>
        </is>
      </c>
      <c r="E622" s="5" t="inlineStr">
        <is>
          <t>Positivo</t>
        </is>
      </c>
      <c r="F622" s="107" t="n">
        <v>45291</v>
      </c>
      <c r="G622" s="5" t="n">
        <v>2023</v>
      </c>
      <c r="H622" s="5" t="inlineStr">
        <is>
          <t>Diciembre</t>
        </is>
      </c>
      <c r="I622" s="6" t="inlineStr">
        <is>
          <t>2023-2</t>
        </is>
      </c>
      <c r="J622" s="5" t="n">
        <v>95</v>
      </c>
      <c r="K622" s="9" t="n">
        <v>100</v>
      </c>
      <c r="L622" s="14">
        <f>IFERROR(IF(OR(J622=0,K622=""),"",IF(E622="Positivo",MIN(MAX(K622/J622,0),1.3),MIN(MAX(J622/K622,0),1.3))),"") </f>
        <v/>
      </c>
      <c r="M622" s="14">
        <f>IFERROR(IF(OR(J622=0,K622=""),"",IF(E622="Positivo",MAX(K622/J622,0),MAX(J622/K622,0))),"") </f>
        <v/>
      </c>
      <c r="N622" s="5" t="inlineStr">
        <is>
          <t>%</t>
        </is>
      </c>
      <c r="O622" s="11" t="inlineStr">
        <is>
          <t>%</t>
        </is>
      </c>
      <c r="P622" s="15" t="n">
        <v>0</v>
      </c>
      <c r="Q622" s="15" t="n">
        <v>0</v>
      </c>
      <c r="R622" s="5" t="inlineStr">
        <is>
          <t>174-2023-12-31</t>
        </is>
      </c>
    </row>
    <row r="623">
      <c r="A623" s="21" t="n">
        <v>176</v>
      </c>
      <c r="B623" s="5" t="inlineStr">
        <is>
          <t>Cumplimiento Planes de Mejora</t>
        </is>
      </c>
      <c r="C623" s="5" t="inlineStr">
        <is>
          <t>Gestión de calidad</t>
        </is>
      </c>
      <c r="D623" s="5" t="inlineStr">
        <is>
          <t>Mensual</t>
        </is>
      </c>
      <c r="E623" s="5" t="inlineStr">
        <is>
          <t>Positivo</t>
        </is>
      </c>
      <c r="F623" s="107" t="n">
        <v>45046</v>
      </c>
      <c r="G623" s="5" t="n">
        <v>2023</v>
      </c>
      <c r="H623" s="5" t="inlineStr">
        <is>
          <t>Abril</t>
        </is>
      </c>
      <c r="I623" s="6" t="inlineStr">
        <is>
          <t>2023-1</t>
        </is>
      </c>
      <c r="J623" s="5" t="n">
        <v>80</v>
      </c>
      <c r="K623" s="9" t="n">
        <v>70.19</v>
      </c>
      <c r="L623" s="14">
        <f>IFERROR(IF(OR(J623=0,K623=""),"",IF(E623="Positivo",MIN(MAX(K623/J623,0),1.3),MIN(MAX(J623/K623,0),1.3))),"") </f>
        <v/>
      </c>
      <c r="M623" s="14">
        <f>IFERROR(IF(OR(J623=0,K623=""),"",IF(E623="Positivo",MAX(K623/J623,0),MAX(J623/K623,0))),"") </f>
        <v/>
      </c>
      <c r="N623" s="5" t="inlineStr">
        <is>
          <t>%</t>
        </is>
      </c>
      <c r="O623" s="11" t="inlineStr">
        <is>
          <t>%</t>
        </is>
      </c>
      <c r="P623" s="15" t="n">
        <v>0</v>
      </c>
      <c r="Q623" s="15" t="n">
        <v>0</v>
      </c>
      <c r="R623" s="5" t="inlineStr">
        <is>
          <t>176-2023-04-30</t>
        </is>
      </c>
    </row>
    <row r="624">
      <c r="A624" s="26" t="n">
        <v>176</v>
      </c>
      <c r="B624" s="5" t="inlineStr">
        <is>
          <t>Cumplimiento Planes de Mejora</t>
        </is>
      </c>
      <c r="C624" s="5" t="inlineStr">
        <is>
          <t>Gestión de calidad</t>
        </is>
      </c>
      <c r="D624" s="5" t="inlineStr">
        <is>
          <t>Mensual</t>
        </is>
      </c>
      <c r="E624" s="5" t="inlineStr">
        <is>
          <t>Positivo</t>
        </is>
      </c>
      <c r="F624" s="107" t="n">
        <v>45077</v>
      </c>
      <c r="G624" s="5" t="n">
        <v>2023</v>
      </c>
      <c r="H624" s="5" t="inlineStr">
        <is>
          <t>Mayo</t>
        </is>
      </c>
      <c r="I624" s="6" t="inlineStr">
        <is>
          <t>2023-1</t>
        </is>
      </c>
      <c r="J624" s="5" t="n">
        <v>80</v>
      </c>
      <c r="K624" s="9" t="n">
        <v>91.53</v>
      </c>
      <c r="L624" s="14">
        <f>IFERROR(IF(OR(J624=0,K624=""),"",IF(E624="Positivo",MIN(MAX(K624/J624,0),1.3),MIN(MAX(J624/K624,0),1.3))),"") </f>
        <v/>
      </c>
      <c r="M624" s="14">
        <f>IFERROR(IF(OR(J624=0,K624=""),"",IF(E624="Positivo",MAX(K624/J624,0),MAX(J624/K624,0))),"") </f>
        <v/>
      </c>
      <c r="N624" s="5" t="inlineStr">
        <is>
          <t>%</t>
        </is>
      </c>
      <c r="O624" s="11" t="inlineStr">
        <is>
          <t>%</t>
        </is>
      </c>
      <c r="P624" s="15" t="n">
        <v>0</v>
      </c>
      <c r="Q624" s="15" t="n">
        <v>0</v>
      </c>
      <c r="R624" s="5" t="inlineStr">
        <is>
          <t>176-2023-05-31</t>
        </is>
      </c>
    </row>
    <row r="625">
      <c r="A625" s="26" t="n">
        <v>176</v>
      </c>
      <c r="B625" s="5" t="inlineStr">
        <is>
          <t>Cumplimiento Planes de Mejora</t>
        </is>
      </c>
      <c r="C625" s="5" t="inlineStr">
        <is>
          <t>Gestión de calidad</t>
        </is>
      </c>
      <c r="D625" s="5" t="inlineStr">
        <is>
          <t>Mensual</t>
        </is>
      </c>
      <c r="E625" s="5" t="inlineStr">
        <is>
          <t>Positivo</t>
        </is>
      </c>
      <c r="F625" s="107" t="n">
        <v>45107</v>
      </c>
      <c r="G625" s="5" t="n">
        <v>2023</v>
      </c>
      <c r="H625" s="5" t="inlineStr">
        <is>
          <t>Junio</t>
        </is>
      </c>
      <c r="I625" s="6" t="inlineStr">
        <is>
          <t>2023-1</t>
        </is>
      </c>
      <c r="J625" s="5" t="n">
        <v>80</v>
      </c>
      <c r="K625" s="9" t="n">
        <v>88.23999999999999</v>
      </c>
      <c r="L625" s="14">
        <f>IFERROR(IF(OR(J625=0,K625=""),"",IF(E625="Positivo",MIN(MAX(K625/J625,0),1.3),MIN(MAX(J625/K625,0),1.3))),"") </f>
        <v/>
      </c>
      <c r="M625" s="14">
        <f>IFERROR(IF(OR(J625=0,K625=""),"",IF(E625="Positivo",MAX(K625/J625,0),MAX(J625/K625,0))),"") </f>
        <v/>
      </c>
      <c r="N625" s="5" t="inlineStr">
        <is>
          <t>%</t>
        </is>
      </c>
      <c r="O625" s="11" t="inlineStr">
        <is>
          <t>%</t>
        </is>
      </c>
      <c r="P625" s="15" t="n">
        <v>0</v>
      </c>
      <c r="Q625" s="15" t="n">
        <v>0</v>
      </c>
      <c r="R625" s="5" t="inlineStr">
        <is>
          <t>176-2023-06-30</t>
        </is>
      </c>
    </row>
    <row r="626">
      <c r="A626" s="26" t="n">
        <v>176</v>
      </c>
      <c r="B626" s="5" t="inlineStr">
        <is>
          <t>Cumplimiento Planes de Mejora</t>
        </is>
      </c>
      <c r="C626" s="5" t="inlineStr">
        <is>
          <t>Gestión de calidad</t>
        </is>
      </c>
      <c r="D626" s="5" t="inlineStr">
        <is>
          <t>Mensual</t>
        </is>
      </c>
      <c r="E626" s="5" t="inlineStr">
        <is>
          <t>Positivo</t>
        </is>
      </c>
      <c r="F626" s="107" t="n">
        <v>45138</v>
      </c>
      <c r="G626" s="5" t="n">
        <v>2023</v>
      </c>
      <c r="H626" s="5" t="inlineStr">
        <is>
          <t>Julio</t>
        </is>
      </c>
      <c r="I626" s="6" t="inlineStr">
        <is>
          <t>2023-2</t>
        </is>
      </c>
      <c r="J626" s="5" t="n">
        <v>80</v>
      </c>
      <c r="K626" s="9" t="n">
        <v>70.67</v>
      </c>
      <c r="L626" s="14">
        <f>IFERROR(IF(OR(J626=0,K626=""),"",IF(E626="Positivo",MIN(MAX(K626/J626,0),1.3),MIN(MAX(J626/K626,0),1.3))),"") </f>
        <v/>
      </c>
      <c r="M626" s="14">
        <f>IFERROR(IF(OR(J626=0,K626=""),"",IF(E626="Positivo",MAX(K626/J626,0),MAX(J626/K626,0))),"") </f>
        <v/>
      </c>
      <c r="N626" s="5" t="inlineStr">
        <is>
          <t>%</t>
        </is>
      </c>
      <c r="O626" s="11" t="inlineStr">
        <is>
          <t>%</t>
        </is>
      </c>
      <c r="P626" s="15" t="n">
        <v>0</v>
      </c>
      <c r="Q626" s="15" t="n">
        <v>0</v>
      </c>
      <c r="R626" s="5" t="inlineStr">
        <is>
          <t>176-2023-07-31</t>
        </is>
      </c>
    </row>
    <row r="627">
      <c r="A627" s="21" t="n">
        <v>176</v>
      </c>
      <c r="B627" s="5" t="inlineStr">
        <is>
          <t>Cumplimiento Planes de Mejora</t>
        </is>
      </c>
      <c r="C627" s="5" t="inlineStr">
        <is>
          <t>Gestión de calidad</t>
        </is>
      </c>
      <c r="D627" s="5" t="inlineStr">
        <is>
          <t>Mensual</t>
        </is>
      </c>
      <c r="E627" s="5" t="inlineStr">
        <is>
          <t>Positivo</t>
        </is>
      </c>
      <c r="F627" s="107" t="n">
        <v>45169</v>
      </c>
      <c r="G627" s="5" t="n">
        <v>2023</v>
      </c>
      <c r="H627" s="5" t="inlineStr">
        <is>
          <t>Agosto</t>
        </is>
      </c>
      <c r="I627" s="6" t="inlineStr">
        <is>
          <t>2023-2</t>
        </is>
      </c>
      <c r="J627" s="5" t="n">
        <v>80</v>
      </c>
      <c r="K627" s="9" t="n">
        <v>78.13</v>
      </c>
      <c r="L627" s="14">
        <f>IFERROR(IF(OR(J627=0,K627=""),"",IF(E627="Positivo",MIN(MAX(K627/J627,0),1.3),MIN(MAX(J627/K627,0),1.3))),"") </f>
        <v/>
      </c>
      <c r="M627" s="14">
        <f>IFERROR(IF(OR(J627=0,K627=""),"",IF(E627="Positivo",MAX(K627/J627,0),MAX(J627/K627,0))),"") </f>
        <v/>
      </c>
      <c r="N627" s="5" t="inlineStr">
        <is>
          <t>%</t>
        </is>
      </c>
      <c r="O627" s="11" t="inlineStr">
        <is>
          <t>%</t>
        </is>
      </c>
      <c r="P627" s="15" t="n">
        <v>0</v>
      </c>
      <c r="Q627" s="15" t="n">
        <v>0</v>
      </c>
      <c r="R627" s="5" t="inlineStr">
        <is>
          <t>176-2023-08-31</t>
        </is>
      </c>
    </row>
    <row r="628">
      <c r="A628" s="21" t="n">
        <v>176</v>
      </c>
      <c r="B628" s="5" t="inlineStr">
        <is>
          <t>Cumplimiento Planes de Mejora</t>
        </is>
      </c>
      <c r="C628" s="5" t="inlineStr">
        <is>
          <t>Gestión de calidad</t>
        </is>
      </c>
      <c r="D628" s="5" t="inlineStr">
        <is>
          <t>Mensual</t>
        </is>
      </c>
      <c r="E628" s="5" t="inlineStr">
        <is>
          <t>Positivo</t>
        </is>
      </c>
      <c r="F628" s="107" t="n">
        <v>45199</v>
      </c>
      <c r="G628" s="5" t="n">
        <v>2023</v>
      </c>
      <c r="H628" s="5" t="inlineStr">
        <is>
          <t>Septiembre</t>
        </is>
      </c>
      <c r="I628" s="6" t="inlineStr">
        <is>
          <t>2023-2</t>
        </is>
      </c>
      <c r="J628" s="5" t="n">
        <v>80</v>
      </c>
      <c r="K628" s="10" t="n">
        <v>92.73</v>
      </c>
      <c r="L628" s="14">
        <f>IFERROR(IF(OR(J628=0,K628=""),"",IF(E628="Positivo",MIN(MAX(K628/J628,0),1.3),MIN(MAX(J628/K628,0),1.3))),"") </f>
        <v/>
      </c>
      <c r="M628" s="14">
        <f>IFERROR(IF(OR(J628=0,K628=""),"",IF(E628="Positivo",MAX(K628/J628,0),MAX(J628/K628,0))),"") </f>
        <v/>
      </c>
      <c r="N628" s="5" t="inlineStr">
        <is>
          <t>%</t>
        </is>
      </c>
      <c r="O628" s="11" t="inlineStr">
        <is>
          <t>%</t>
        </is>
      </c>
      <c r="P628" s="15" t="n">
        <v>0</v>
      </c>
      <c r="Q628" s="15" t="n">
        <v>0</v>
      </c>
      <c r="R628" s="5" t="inlineStr">
        <is>
          <t>176-2023-09-30</t>
        </is>
      </c>
    </row>
    <row r="629">
      <c r="A629" s="21" t="n">
        <v>176</v>
      </c>
      <c r="B629" s="5" t="inlineStr">
        <is>
          <t>Cumplimiento Planes de Mejora</t>
        </is>
      </c>
      <c r="C629" s="5" t="inlineStr">
        <is>
          <t>Gestión de calidad</t>
        </is>
      </c>
      <c r="D629" s="5" t="inlineStr">
        <is>
          <t>Mensual</t>
        </is>
      </c>
      <c r="E629" s="5" t="inlineStr">
        <is>
          <t>Positivo</t>
        </is>
      </c>
      <c r="F629" s="107" t="n">
        <v>45230</v>
      </c>
      <c r="G629" s="5" t="n">
        <v>2023</v>
      </c>
      <c r="H629" s="5" t="inlineStr">
        <is>
          <t>Octubre</t>
        </is>
      </c>
      <c r="I629" s="6" t="inlineStr">
        <is>
          <t>2023-2</t>
        </is>
      </c>
      <c r="J629" s="5" t="n">
        <v>80</v>
      </c>
      <c r="K629" s="9" t="n">
        <v>70.3</v>
      </c>
      <c r="L629" s="14">
        <f>IFERROR(IF(OR(J629=0,K629=""),"",IF(E629="Positivo",MIN(MAX(K629/J629,0),1.3),MIN(MAX(J629/K629,0),1.3))),"") </f>
        <v/>
      </c>
      <c r="M629" s="14">
        <f>IFERROR(IF(OR(J629=0,K629=""),"",IF(E629="Positivo",MAX(K629/J629,0),MAX(J629/K629,0))),"") </f>
        <v/>
      </c>
      <c r="N629" s="5" t="inlineStr">
        <is>
          <t>%</t>
        </is>
      </c>
      <c r="O629" s="11" t="inlineStr">
        <is>
          <t>%</t>
        </is>
      </c>
      <c r="P629" s="15" t="n">
        <v>1</v>
      </c>
      <c r="Q629" s="15" t="n">
        <v>1</v>
      </c>
      <c r="R629" s="5" t="inlineStr">
        <is>
          <t>176-2023-10-31</t>
        </is>
      </c>
    </row>
    <row r="630">
      <c r="A630" s="21" t="n">
        <v>176</v>
      </c>
      <c r="B630" s="5" t="inlineStr">
        <is>
          <t>Cumplimiento Planes de Mejora</t>
        </is>
      </c>
      <c r="C630" s="5" t="inlineStr">
        <is>
          <t>Gestión de calidad</t>
        </is>
      </c>
      <c r="D630" s="5" t="inlineStr">
        <is>
          <t>Mensual</t>
        </is>
      </c>
      <c r="E630" s="5" t="inlineStr">
        <is>
          <t>Positivo</t>
        </is>
      </c>
      <c r="F630" s="107" t="n">
        <v>45260</v>
      </c>
      <c r="G630" s="5" t="n">
        <v>2023</v>
      </c>
      <c r="H630" s="5" t="inlineStr">
        <is>
          <t>Noviembre</t>
        </is>
      </c>
      <c r="I630" s="6" t="inlineStr">
        <is>
          <t>2023-2</t>
        </is>
      </c>
      <c r="J630" s="5" t="n">
        <v>80</v>
      </c>
      <c r="K630" s="9" t="n">
        <v>87.36</v>
      </c>
      <c r="L630" s="14">
        <f>IFERROR(IF(OR(J630=0,K630=""),"",IF(E630="Positivo",MIN(MAX(K630/J630,0),1.3),MIN(MAX(J630/K630,0),1.3))),"") </f>
        <v/>
      </c>
      <c r="M630" s="14">
        <f>IFERROR(IF(OR(J630=0,K630=""),"",IF(E630="Positivo",MAX(K630/J630,0),MAX(J630/K630,0))),"") </f>
        <v/>
      </c>
      <c r="N630" s="5" t="inlineStr">
        <is>
          <t>%</t>
        </is>
      </c>
      <c r="O630" s="11" t="inlineStr">
        <is>
          <t>%</t>
        </is>
      </c>
      <c r="P630" s="15" t="n">
        <v>0</v>
      </c>
      <c r="Q630" s="15" t="n">
        <v>0</v>
      </c>
      <c r="R630" s="5" t="inlineStr">
        <is>
          <t>176-2023-11-30</t>
        </is>
      </c>
    </row>
    <row r="631">
      <c r="A631" s="21" t="n">
        <v>176</v>
      </c>
      <c r="B631" s="5" t="inlineStr">
        <is>
          <t>Cumplimiento Planes de Mejora</t>
        </is>
      </c>
      <c r="C631" s="5" t="inlineStr">
        <is>
          <t>Gestión de calidad</t>
        </is>
      </c>
      <c r="D631" s="5" t="inlineStr">
        <is>
          <t>Mensual</t>
        </is>
      </c>
      <c r="E631" s="5" t="inlineStr">
        <is>
          <t>Positivo</t>
        </is>
      </c>
      <c r="F631" s="107" t="n">
        <v>45291</v>
      </c>
      <c r="G631" s="5" t="n">
        <v>2023</v>
      </c>
      <c r="H631" s="5" t="inlineStr">
        <is>
          <t>Diciembre</t>
        </is>
      </c>
      <c r="I631" s="6" t="inlineStr">
        <is>
          <t>2023-2</t>
        </is>
      </c>
      <c r="J631" s="5" t="n">
        <v>80</v>
      </c>
      <c r="K631" s="9" t="n">
        <v>83.16</v>
      </c>
      <c r="L631" s="14">
        <f>IFERROR(IF(OR(J631=0,K631=""),"",IF(E631="Positivo",MIN(MAX(K631/J631,0),1.3),MIN(MAX(J631/K631,0),1.3))),"") </f>
        <v/>
      </c>
      <c r="M631" s="14">
        <f>IFERROR(IF(OR(J631=0,K631=""),"",IF(E631="Positivo",MAX(K631/J631,0),MAX(J631/K631,0))),"") </f>
        <v/>
      </c>
      <c r="N631" s="5" t="inlineStr">
        <is>
          <t>%</t>
        </is>
      </c>
      <c r="O631" s="11" t="inlineStr">
        <is>
          <t>%</t>
        </is>
      </c>
      <c r="P631" s="15" t="n">
        <v>0</v>
      </c>
      <c r="Q631" s="15" t="n">
        <v>0</v>
      </c>
      <c r="R631" s="5" t="inlineStr">
        <is>
          <t>176-2023-12-31</t>
        </is>
      </c>
    </row>
    <row r="632">
      <c r="A632" s="21" t="n">
        <v>176</v>
      </c>
      <c r="B632" s="5" t="inlineStr">
        <is>
          <t>Cumplimiento Planes de Mejora</t>
        </is>
      </c>
      <c r="C632" s="5" t="inlineStr">
        <is>
          <t>Gestión de calidad</t>
        </is>
      </c>
      <c r="D632" s="5" t="inlineStr">
        <is>
          <t>Mensual</t>
        </is>
      </c>
      <c r="E632" s="5" t="inlineStr">
        <is>
          <t>Positivo</t>
        </is>
      </c>
      <c r="F632" s="107" t="n">
        <v>45322</v>
      </c>
      <c r="G632" s="5" t="n">
        <v>2024</v>
      </c>
      <c r="H632" s="5" t="inlineStr">
        <is>
          <t>Enero</t>
        </is>
      </c>
      <c r="I632" s="6" t="inlineStr">
        <is>
          <t>2024-1</t>
        </is>
      </c>
      <c r="J632" s="5" t="n">
        <v>85</v>
      </c>
      <c r="K632" s="9" t="n">
        <v>83.33</v>
      </c>
      <c r="L632" s="14">
        <f>IFERROR(IF(OR(J632=0,K632=""),"",IF(E632="Positivo",MIN(MAX(K632/J632,0),1.3),MIN(MAX(J632/K632,0),1.3))),"") </f>
        <v/>
      </c>
      <c r="M632" s="14">
        <f>IFERROR(IF(OR(J632=0,K632=""),"",IF(E632="Positivo",MAX(K632/J632,0),MAX(J632/K632,0))),"") </f>
        <v/>
      </c>
      <c r="N632" s="5" t="inlineStr">
        <is>
          <t>N/A</t>
        </is>
      </c>
      <c r="O632" s="11" t="inlineStr">
        <is>
          <t>N/A</t>
        </is>
      </c>
      <c r="P632" s="15" t="n">
        <v>0</v>
      </c>
      <c r="Q632" s="15" t="n">
        <v>0</v>
      </c>
      <c r="R632" s="5" t="inlineStr">
        <is>
          <t>176-2024-01-31</t>
        </is>
      </c>
    </row>
    <row r="633">
      <c r="A633" s="21" t="n">
        <v>176</v>
      </c>
      <c r="B633" s="5" t="inlineStr">
        <is>
          <t>Cumplimiento Planes de Mejora</t>
        </is>
      </c>
      <c r="C633" s="5" t="inlineStr">
        <is>
          <t>Gestión de calidad</t>
        </is>
      </c>
      <c r="D633" s="5" t="inlineStr">
        <is>
          <t>Mensual</t>
        </is>
      </c>
      <c r="E633" s="5" t="inlineStr">
        <is>
          <t>Positivo</t>
        </is>
      </c>
      <c r="F633" s="107" t="n">
        <v>45350</v>
      </c>
      <c r="G633" s="5" t="n">
        <v>2024</v>
      </c>
      <c r="H633" s="5" t="inlineStr">
        <is>
          <t>Febrero</t>
        </is>
      </c>
      <c r="I633" s="6" t="inlineStr">
        <is>
          <t>2024-1</t>
        </is>
      </c>
      <c r="J633" s="5" t="n">
        <v>85</v>
      </c>
      <c r="K633" s="9" t="n">
        <v>80.42</v>
      </c>
      <c r="L633" s="14">
        <f>IFERROR(IF(OR(J633=0,K633=""),"",IF(E633="Positivo",MIN(MAX(K633/J633,0),1.3),MIN(MAX(J633/K633,0),1.3))),"") </f>
        <v/>
      </c>
      <c r="M633" s="14">
        <f>IFERROR(IF(OR(J633=0,K633=""),"",IF(E633="Positivo",MAX(K633/J633,0),MAX(J633/K633,0))),"") </f>
        <v/>
      </c>
      <c r="N633" s="5" t="inlineStr">
        <is>
          <t>N/A</t>
        </is>
      </c>
      <c r="O633" s="11" t="inlineStr">
        <is>
          <t>N/A</t>
        </is>
      </c>
      <c r="P633" s="15" t="n">
        <v>0</v>
      </c>
      <c r="Q633" s="15" t="n">
        <v>0</v>
      </c>
      <c r="R633" s="5" t="inlineStr">
        <is>
          <t>176-2024-02-28</t>
        </is>
      </c>
    </row>
    <row r="634">
      <c r="A634" s="21" t="n">
        <v>176</v>
      </c>
      <c r="B634" s="5" t="inlineStr">
        <is>
          <t>Cumplimiento Planes de Mejora</t>
        </is>
      </c>
      <c r="C634" s="5" t="inlineStr">
        <is>
          <t>Gestión de calidad</t>
        </is>
      </c>
      <c r="D634" s="5" t="inlineStr">
        <is>
          <t>Mensual</t>
        </is>
      </c>
      <c r="E634" s="5" t="inlineStr">
        <is>
          <t>Positivo</t>
        </is>
      </c>
      <c r="F634" s="107" t="n">
        <v>45351</v>
      </c>
      <c r="G634" s="5" t="n">
        <v>2024</v>
      </c>
      <c r="H634" s="5" t="inlineStr">
        <is>
          <t>Febrero</t>
        </is>
      </c>
      <c r="I634" s="6" t="inlineStr">
        <is>
          <t>2024-1</t>
        </is>
      </c>
      <c r="J634" s="5" t="n">
        <v>85</v>
      </c>
      <c r="K634" s="9" t="n">
        <v>80.42</v>
      </c>
      <c r="L634" s="14">
        <f>IFERROR(IF(OR(J634=0,K634=""),"",IF(E634="Positivo",MIN(MAX(K634/J634,0),1.3),MIN(MAX(J634/K634,0),1.3))),"") </f>
        <v/>
      </c>
      <c r="M634" s="14">
        <f>IFERROR(IF(OR(J634=0,K634=""),"",IF(E634="Positivo",MAX(K634/J634,0),MAX(J634/K634,0))),"") </f>
        <v/>
      </c>
      <c r="N634" s="5" t="inlineStr">
        <is>
          <t>%</t>
        </is>
      </c>
      <c r="O634" s="11" t="inlineStr">
        <is>
          <t>%</t>
        </is>
      </c>
      <c r="P634" s="15" t="n">
        <v>0</v>
      </c>
      <c r="Q634" s="15" t="n">
        <v>0</v>
      </c>
      <c r="R634" s="5" t="inlineStr">
        <is>
          <t>176-2024-02-29</t>
        </is>
      </c>
    </row>
    <row r="635">
      <c r="A635" s="21" t="n">
        <v>176</v>
      </c>
      <c r="B635" s="5" t="inlineStr">
        <is>
          <t>Cumplimiento Planes de Mejora</t>
        </is>
      </c>
      <c r="C635" s="5" t="inlineStr">
        <is>
          <t>Gestión de calidad</t>
        </is>
      </c>
      <c r="D635" s="5" t="inlineStr">
        <is>
          <t>Mensual</t>
        </is>
      </c>
      <c r="E635" s="5" t="inlineStr">
        <is>
          <t>Positivo</t>
        </is>
      </c>
      <c r="F635" s="107" t="n">
        <v>45382</v>
      </c>
      <c r="G635" s="5" t="n">
        <v>2024</v>
      </c>
      <c r="H635" s="5" t="inlineStr">
        <is>
          <t>Marzo</t>
        </is>
      </c>
      <c r="I635" s="6" t="inlineStr">
        <is>
          <t>2024-1</t>
        </is>
      </c>
      <c r="J635" s="5" t="n">
        <v>85</v>
      </c>
      <c r="K635" s="9" t="n">
        <v>84.05</v>
      </c>
      <c r="L635" s="14">
        <f>IFERROR(IF(OR(J635=0,K635=""),"",IF(E635="Positivo",MIN(MAX(K635/J635,0),1.3),MIN(MAX(J635/K635,0),1.3))),"") </f>
        <v/>
      </c>
      <c r="M635" s="14">
        <f>IFERROR(IF(OR(J635=0,K635=""),"",IF(E635="Positivo",MAX(K635/J635,0),MAX(J635/K635,0))),"") </f>
        <v/>
      </c>
      <c r="N635" s="5" t="inlineStr">
        <is>
          <t>N/A</t>
        </is>
      </c>
      <c r="O635" s="11" t="inlineStr">
        <is>
          <t>N/A</t>
        </is>
      </c>
      <c r="P635" s="15" t="n">
        <v>0</v>
      </c>
      <c r="Q635" s="15" t="n">
        <v>0</v>
      </c>
      <c r="R635" s="5" t="inlineStr">
        <is>
          <t>176-2024-03-31</t>
        </is>
      </c>
    </row>
    <row r="636">
      <c r="A636" s="26" t="n">
        <v>176</v>
      </c>
      <c r="B636" s="5" t="inlineStr">
        <is>
          <t>Cumplimiento Planes de Mejora</t>
        </is>
      </c>
      <c r="C636" s="5" t="inlineStr">
        <is>
          <t>Gestión de calidad</t>
        </is>
      </c>
      <c r="D636" s="5" t="inlineStr">
        <is>
          <t>Mensual</t>
        </is>
      </c>
      <c r="E636" s="5" t="inlineStr">
        <is>
          <t>Positivo</t>
        </is>
      </c>
      <c r="F636" s="107" t="n">
        <v>45412</v>
      </c>
      <c r="G636" s="5" t="n">
        <v>2024</v>
      </c>
      <c r="H636" s="5" t="inlineStr">
        <is>
          <t>Abril</t>
        </is>
      </c>
      <c r="I636" s="6" t="inlineStr">
        <is>
          <t>2024-1</t>
        </is>
      </c>
      <c r="J636" s="5" t="n">
        <v>85</v>
      </c>
      <c r="K636" s="9" t="n">
        <v>85.09</v>
      </c>
      <c r="L636" s="14">
        <f>IFERROR(IF(OR(J636=0,K636=""),"",IF(E636="Positivo",MIN(MAX(K636/J636,0),1.3),MIN(MAX(J636/K636,0),1.3))),"") </f>
        <v/>
      </c>
      <c r="M636" s="14">
        <f>IFERROR(IF(OR(J636=0,K636=""),"",IF(E636="Positivo",MAX(K636/J636,0),MAX(J636/K636,0))),"") </f>
        <v/>
      </c>
      <c r="N636" s="5" t="inlineStr">
        <is>
          <t>%</t>
        </is>
      </c>
      <c r="O636" s="11" t="inlineStr">
        <is>
          <t>%</t>
        </is>
      </c>
      <c r="P636" s="15" t="n">
        <v>0</v>
      </c>
      <c r="Q636" s="15" t="n">
        <v>0</v>
      </c>
      <c r="R636" s="5" t="inlineStr">
        <is>
          <t>176-2024-04-30</t>
        </is>
      </c>
    </row>
    <row r="637">
      <c r="A637" s="26" t="n">
        <v>176</v>
      </c>
      <c r="B637" s="5" t="inlineStr">
        <is>
          <t>Cumplimiento Planes de Mejora</t>
        </is>
      </c>
      <c r="C637" s="5" t="inlineStr">
        <is>
          <t>Gestión de calidad</t>
        </is>
      </c>
      <c r="D637" s="5" t="inlineStr">
        <is>
          <t>Mensual</t>
        </is>
      </c>
      <c r="E637" s="5" t="inlineStr">
        <is>
          <t>Positivo</t>
        </is>
      </c>
      <c r="F637" s="107" t="n">
        <v>45443</v>
      </c>
      <c r="G637" s="5" t="n">
        <v>2024</v>
      </c>
      <c r="H637" s="5" t="inlineStr">
        <is>
          <t>Mayo</t>
        </is>
      </c>
      <c r="I637" s="6" t="inlineStr">
        <is>
          <t>2024-1</t>
        </is>
      </c>
      <c r="J637" s="5" t="n">
        <v>85</v>
      </c>
      <c r="K637" s="9" t="n">
        <v>84.08</v>
      </c>
      <c r="L637" s="14">
        <f>IFERROR(IF(OR(J637=0,K637=""),"",IF(E637="Positivo",MIN(MAX(K637/J637,0),1.3),MIN(MAX(J637/K637,0),1.3))),"") </f>
        <v/>
      </c>
      <c r="M637" s="14">
        <f>IFERROR(IF(OR(J637=0,K637=""),"",IF(E637="Positivo",MAX(K637/J637,0),MAX(J637/K637,0))),"") </f>
        <v/>
      </c>
      <c r="N637" s="5" t="inlineStr">
        <is>
          <t>%</t>
        </is>
      </c>
      <c r="O637" s="11" t="inlineStr">
        <is>
          <t>%</t>
        </is>
      </c>
      <c r="P637" s="15" t="n">
        <v>0</v>
      </c>
      <c r="Q637" s="15" t="n">
        <v>0</v>
      </c>
      <c r="R637" s="5" t="inlineStr">
        <is>
          <t>176-2024-05-31</t>
        </is>
      </c>
    </row>
    <row r="638">
      <c r="A638" s="26" t="n">
        <v>176</v>
      </c>
      <c r="B638" s="5" t="inlineStr">
        <is>
          <t>Cumplimiento Planes de Mejora</t>
        </is>
      </c>
      <c r="C638" s="5" t="inlineStr">
        <is>
          <t>Gestión de calidad</t>
        </is>
      </c>
      <c r="D638" s="5" t="inlineStr">
        <is>
          <t>Mensual</t>
        </is>
      </c>
      <c r="E638" s="5" t="inlineStr">
        <is>
          <t>Positivo</t>
        </is>
      </c>
      <c r="F638" s="107" t="n">
        <v>45473</v>
      </c>
      <c r="G638" s="5" t="n">
        <v>2024</v>
      </c>
      <c r="H638" s="5" t="inlineStr">
        <is>
          <t>Junio</t>
        </is>
      </c>
      <c r="I638" s="6" t="inlineStr">
        <is>
          <t>2024-1</t>
        </is>
      </c>
      <c r="J638" s="5" t="n">
        <v>85</v>
      </c>
      <c r="K638" s="9" t="n">
        <v>92.5</v>
      </c>
      <c r="L638" s="14">
        <f>IFERROR(IF(OR(J638=0,K638=""),"",IF(E638="Positivo",MIN(MAX(K638/J638,0),1.3),MIN(MAX(J638/K638,0),1.3))),"") </f>
        <v/>
      </c>
      <c r="M638" s="14">
        <f>IFERROR(IF(OR(J638=0,K638=""),"",IF(E638="Positivo",MAX(K638/J638,0),MAX(J638/K638,0))),"") </f>
        <v/>
      </c>
      <c r="N638" s="5" t="inlineStr">
        <is>
          <t>%</t>
        </is>
      </c>
      <c r="O638" s="11" t="inlineStr">
        <is>
          <t>%</t>
        </is>
      </c>
      <c r="P638" s="15" t="n">
        <v>0</v>
      </c>
      <c r="Q638" s="15" t="n">
        <v>0</v>
      </c>
      <c r="R638" s="5" t="inlineStr">
        <is>
          <t>176-2024-06-30</t>
        </is>
      </c>
    </row>
    <row r="639">
      <c r="A639" s="21" t="n">
        <v>176</v>
      </c>
      <c r="B639" s="5" t="inlineStr">
        <is>
          <t>Cumplimiento Planes de Mejora</t>
        </is>
      </c>
      <c r="C639" s="5" t="inlineStr">
        <is>
          <t>Gestión de calidad</t>
        </is>
      </c>
      <c r="D639" s="5" t="inlineStr">
        <is>
          <t>Mensual</t>
        </is>
      </c>
      <c r="E639" s="5" t="inlineStr">
        <is>
          <t>Positivo</t>
        </is>
      </c>
      <c r="F639" s="107" t="n">
        <v>45504</v>
      </c>
      <c r="G639" s="5" t="n">
        <v>2024</v>
      </c>
      <c r="H639" s="5" t="inlineStr">
        <is>
          <t>Julio</t>
        </is>
      </c>
      <c r="I639" s="6" t="inlineStr">
        <is>
          <t>2024-2</t>
        </is>
      </c>
      <c r="J639" s="5" t="n">
        <v>85</v>
      </c>
      <c r="K639" s="9" t="n">
        <v>94.72</v>
      </c>
      <c r="L639" s="14">
        <f>IFERROR(IF(OR(J639=0,K639=""),"",IF(E639="Positivo",MIN(MAX(K639/J639,0),1.3),MIN(MAX(J639/K639,0),1.3))),"") </f>
        <v/>
      </c>
      <c r="M639" s="14">
        <f>IFERROR(IF(OR(J639=0,K639=""),"",IF(E639="Positivo",MAX(K639/J639,0),MAX(J639/K639,0))),"") </f>
        <v/>
      </c>
      <c r="N639" s="5" t="inlineStr">
        <is>
          <t>%</t>
        </is>
      </c>
      <c r="O639" s="5" t="inlineStr">
        <is>
          <t>%</t>
        </is>
      </c>
      <c r="P639" s="15" t="n">
        <v>0</v>
      </c>
      <c r="Q639" s="15" t="n">
        <v>0</v>
      </c>
      <c r="R639" s="5" t="inlineStr">
        <is>
          <t>176-2024-07-31</t>
        </is>
      </c>
    </row>
    <row r="640">
      <c r="A640" s="21" t="n">
        <v>176</v>
      </c>
      <c r="B640" s="5" t="inlineStr">
        <is>
          <t>Cumplimiento Planes de Mejora</t>
        </is>
      </c>
      <c r="C640" s="5" t="inlineStr">
        <is>
          <t>Gestión de calidad</t>
        </is>
      </c>
      <c r="D640" s="5" t="inlineStr">
        <is>
          <t>Mensual</t>
        </is>
      </c>
      <c r="E640" s="5" t="inlineStr">
        <is>
          <t>Positivo</t>
        </is>
      </c>
      <c r="F640" s="107" t="n">
        <v>45535</v>
      </c>
      <c r="G640" s="5" t="n">
        <v>2024</v>
      </c>
      <c r="H640" s="5" t="inlineStr">
        <is>
          <t>Agosto</t>
        </is>
      </c>
      <c r="I640" s="6" t="inlineStr">
        <is>
          <t>2024-2</t>
        </is>
      </c>
      <c r="J640" s="5" t="n">
        <v>85</v>
      </c>
      <c r="K640" s="9" t="n">
        <v>92.53</v>
      </c>
      <c r="L640" s="14">
        <f>IFERROR(IF(OR(J640=0,K640=""),"",IF(E640="Positivo",MIN(MAX(K640/J640,0),1.3),MIN(MAX(J640/K640,0),1.3))),"") </f>
        <v/>
      </c>
      <c r="M640" s="14">
        <f>IFERROR(IF(OR(J640=0,K640=""),"",IF(E640="Positivo",MAX(K640/J640,0),MAX(J640/K640,0))),"") </f>
        <v/>
      </c>
      <c r="N640" s="5" t="inlineStr">
        <is>
          <t>%</t>
        </is>
      </c>
      <c r="O640" s="5" t="inlineStr">
        <is>
          <t>%</t>
        </is>
      </c>
      <c r="P640" s="15" t="n">
        <v>0</v>
      </c>
      <c r="Q640" s="15" t="n">
        <v>0</v>
      </c>
      <c r="R640" s="5" t="inlineStr">
        <is>
          <t>176-2024-08-31</t>
        </is>
      </c>
    </row>
    <row r="641">
      <c r="A641" s="28" t="n">
        <v>176</v>
      </c>
      <c r="B641" s="5" t="inlineStr">
        <is>
          <t>Cumplimiento Planes de Mejora</t>
        </is>
      </c>
      <c r="C641" s="5" t="inlineStr">
        <is>
          <t>Gestión de calidad</t>
        </is>
      </c>
      <c r="D641" s="5" t="inlineStr">
        <is>
          <t>Mensual</t>
        </is>
      </c>
      <c r="E641" s="5" t="inlineStr">
        <is>
          <t>Positivo</t>
        </is>
      </c>
      <c r="F641" s="107" t="n">
        <v>45565</v>
      </c>
      <c r="G641" s="5" t="n">
        <v>2024</v>
      </c>
      <c r="H641" s="5" t="inlineStr">
        <is>
          <t>Septiembre</t>
        </is>
      </c>
      <c r="I641" s="6" t="inlineStr">
        <is>
          <t>2024-2</t>
        </is>
      </c>
      <c r="J641" s="5" t="n">
        <v>85</v>
      </c>
      <c r="K641" s="9" t="n">
        <v>94.44</v>
      </c>
      <c r="L641" s="14">
        <f>IFERROR(IF(OR(J641=0,K641=""),"",IF(E641="Positivo",MIN(MAX(K641/J641,0),1.3),MIN(MAX(J641/K641,0),1.3))),"") </f>
        <v/>
      </c>
      <c r="M641" s="14">
        <f>IFERROR(IF(OR(J641=0,K641=""),"",IF(E641="Positivo",MAX(K641/J641,0),MAX(J641/K641,0))),"") </f>
        <v/>
      </c>
      <c r="N641" s="5" t="inlineStr">
        <is>
          <t>%</t>
        </is>
      </c>
      <c r="O641" s="5" t="inlineStr">
        <is>
          <t>%</t>
        </is>
      </c>
      <c r="P641" s="15" t="n">
        <v>0</v>
      </c>
      <c r="Q641" s="15" t="n">
        <v>0</v>
      </c>
      <c r="R641" s="5" t="inlineStr">
        <is>
          <t>176-2024-09-30</t>
        </is>
      </c>
    </row>
    <row r="642">
      <c r="A642" s="26" t="n">
        <v>193</v>
      </c>
      <c r="B642" s="5" t="inlineStr">
        <is>
          <t>Mejorar flujo de atención en todos los niveles de servicio al estudiante (ANS)</t>
        </is>
      </c>
      <c r="C642" s="5" t="inlineStr">
        <is>
          <t>Servicio</t>
        </is>
      </c>
      <c r="D642" s="5" t="inlineStr">
        <is>
          <t>Semestral</t>
        </is>
      </c>
      <c r="E642" s="5" t="inlineStr">
        <is>
          <t>Positivo</t>
        </is>
      </c>
      <c r="F642" s="107" t="n">
        <v>44742</v>
      </c>
      <c r="G642" s="5" t="n">
        <v>2022</v>
      </c>
      <c r="H642" s="5" t="inlineStr">
        <is>
          <t>Junio</t>
        </is>
      </c>
      <c r="I642" s="6" t="inlineStr">
        <is>
          <t>2022-1</t>
        </is>
      </c>
      <c r="J642" s="5" t="n">
        <v>76</v>
      </c>
      <c r="K642" s="9" t="n">
        <v>91.8</v>
      </c>
      <c r="L642" s="14">
        <f>IFERROR(IF(OR(J642=0,K642=""),"",IF(E642="Positivo",MIN(MAX(K642/J642,0),1.3),MIN(MAX(J642/K642,0),1.3))),"") </f>
        <v/>
      </c>
      <c r="M642" s="14">
        <f>IFERROR(IF(OR(J642=0,K642=""),"",IF(E642="Positivo",MAX(K642/J642,0),MAX(J642/K642,0))),"") </f>
        <v/>
      </c>
      <c r="N642" s="5" t="inlineStr">
        <is>
          <t>%</t>
        </is>
      </c>
      <c r="O642" s="5" t="inlineStr">
        <is>
          <t>%</t>
        </is>
      </c>
      <c r="P642" s="15" t="n">
        <v>1</v>
      </c>
      <c r="Q642" s="15" t="n">
        <v>1</v>
      </c>
      <c r="R642" s="5" t="inlineStr">
        <is>
          <t>193-2022-06-30</t>
        </is>
      </c>
    </row>
    <row r="643">
      <c r="A643" s="21" t="n">
        <v>193</v>
      </c>
      <c r="B643" s="5" t="inlineStr">
        <is>
          <t>Mejorar flujo de atención en todos los niveles de servicio al estudiante (ANS)</t>
        </is>
      </c>
      <c r="C643" s="5" t="inlineStr">
        <is>
          <t>Servicio</t>
        </is>
      </c>
      <c r="D643" s="5" t="inlineStr">
        <is>
          <t>Semestral</t>
        </is>
      </c>
      <c r="E643" s="5" t="inlineStr">
        <is>
          <t>Positivo</t>
        </is>
      </c>
      <c r="F643" s="107" t="n">
        <v>44926</v>
      </c>
      <c r="G643" s="5" t="n">
        <v>2022</v>
      </c>
      <c r="H643" s="5" t="inlineStr">
        <is>
          <t>Diciembre</t>
        </is>
      </c>
      <c r="I643" s="6" t="inlineStr">
        <is>
          <t>2022-2</t>
        </is>
      </c>
      <c r="J643" s="5" t="n">
        <v>76</v>
      </c>
      <c r="K643" s="10" t="n">
        <v>92.40000000000001</v>
      </c>
      <c r="L643" s="14">
        <f>IFERROR(IF(OR(J643=0,K643=""),"",IF(E643="Positivo",MIN(MAX(K643/J643,0),1.3),MIN(MAX(J643/K643,0),1.3))),"") </f>
        <v/>
      </c>
      <c r="M643" s="14">
        <f>IFERROR(IF(OR(J643=0,K643=""),"",IF(E643="Positivo",MAX(K643/J643,0),MAX(J643/K643,0))),"") </f>
        <v/>
      </c>
      <c r="N643" s="5" t="inlineStr">
        <is>
          <t>%</t>
        </is>
      </c>
      <c r="O643" s="5" t="inlineStr">
        <is>
          <t>%</t>
        </is>
      </c>
      <c r="P643" s="15" t="n">
        <v>1</v>
      </c>
      <c r="Q643" s="15" t="n">
        <v>1</v>
      </c>
      <c r="R643" s="5" t="inlineStr">
        <is>
          <t>193-2022-12-31</t>
        </is>
      </c>
    </row>
    <row r="644">
      <c r="A644" s="5" t="n">
        <v>193</v>
      </c>
      <c r="B644" s="5" t="inlineStr">
        <is>
          <t>Mejorar flujo de atención en todos los niveles de servicio al estudiante (ANS)</t>
        </is>
      </c>
      <c r="C644" s="5" t="inlineStr">
        <is>
          <t>Servicio</t>
        </is>
      </c>
      <c r="D644" s="5" t="inlineStr">
        <is>
          <t>Semestral</t>
        </is>
      </c>
      <c r="E644" s="5" t="inlineStr">
        <is>
          <t>Positivo</t>
        </is>
      </c>
      <c r="F644" s="107" t="n">
        <v>45107</v>
      </c>
      <c r="G644" s="5" t="n">
        <v>2023</v>
      </c>
      <c r="H644" s="5" t="inlineStr">
        <is>
          <t>Junio</t>
        </is>
      </c>
      <c r="I644" s="6" t="inlineStr">
        <is>
          <t>2023-1</t>
        </is>
      </c>
      <c r="J644" s="5" t="n">
        <v>92</v>
      </c>
      <c r="K644" s="5" t="n">
        <v>91.899679829242</v>
      </c>
      <c r="L644" s="14">
        <f>IFERROR(IF(OR(J644=0,K644=""),"",IF(E644="Positivo",MIN(MAX(K644/J644,0),1.3),MIN(MAX(J644/K644,0),1.3))),"") </f>
        <v/>
      </c>
      <c r="M644" s="14">
        <f>IFERROR(IF(OR(J644=0,K644=""),"",IF(E644="Positivo",MAX(K644/J644,0),MAX(J644/K644,0))),"") </f>
        <v/>
      </c>
      <c r="N644" s="5" t="inlineStr">
        <is>
          <t>%</t>
        </is>
      </c>
      <c r="O644" s="5" t="inlineStr">
        <is>
          <t>%</t>
        </is>
      </c>
      <c r="P644" s="5" t="n">
        <v>1</v>
      </c>
      <c r="Q644" s="5" t="n">
        <v>1</v>
      </c>
      <c r="R644" s="5" t="inlineStr">
        <is>
          <t>193-2023-06-30</t>
        </is>
      </c>
    </row>
    <row r="645">
      <c r="A645" s="21" t="n">
        <v>193</v>
      </c>
      <c r="B645" s="5" t="inlineStr">
        <is>
          <t>Mejorar flujo de atención en todos los niveles de servicio al estudiante (ANS)</t>
        </is>
      </c>
      <c r="C645" s="5" t="inlineStr">
        <is>
          <t>Servicio</t>
        </is>
      </c>
      <c r="D645" s="5" t="inlineStr">
        <is>
          <t>Semestral</t>
        </is>
      </c>
      <c r="E645" s="5" t="inlineStr">
        <is>
          <t>Positivo</t>
        </is>
      </c>
      <c r="F645" s="107" t="n">
        <v>45291</v>
      </c>
      <c r="G645" s="5" t="n">
        <v>2023</v>
      </c>
      <c r="H645" s="5" t="inlineStr">
        <is>
          <t>Diciembre</t>
        </is>
      </c>
      <c r="I645" s="6" t="inlineStr">
        <is>
          <t>2023-2</t>
        </is>
      </c>
      <c r="J645" s="5" t="n">
        <v>92</v>
      </c>
      <c r="K645" s="10" t="n">
        <v>91.3</v>
      </c>
      <c r="L645" s="14">
        <f>IFERROR(IF(OR(J645=0,K645=""),"",IF(E645="Positivo",MIN(MAX(K645/J645,0),1.3),MIN(MAX(J645/K645,0),1.3))),"") </f>
        <v/>
      </c>
      <c r="M645" s="14">
        <f>IFERROR(IF(OR(J645=0,K645=""),"",IF(E645="Positivo",MAX(K645/J645,0),MAX(J645/K645,0))),"") </f>
        <v/>
      </c>
      <c r="N645" s="5" t="inlineStr">
        <is>
          <t>%</t>
        </is>
      </c>
      <c r="O645" s="5" t="inlineStr">
        <is>
          <t>%</t>
        </is>
      </c>
      <c r="P645" s="15" t="n">
        <v>1</v>
      </c>
      <c r="Q645" s="15" t="n">
        <v>1</v>
      </c>
      <c r="R645" s="5" t="inlineStr">
        <is>
          <t>193-2023-12-31</t>
        </is>
      </c>
    </row>
    <row r="646">
      <c r="A646" s="21" t="n">
        <v>193</v>
      </c>
      <c r="B646" s="5" t="inlineStr">
        <is>
          <t>Mejorar flujo de atención en todos los niveles de servicio al estudiante (ANS)</t>
        </is>
      </c>
      <c r="C646" s="5" t="inlineStr">
        <is>
          <t>Servicio</t>
        </is>
      </c>
      <c r="D646" s="5" t="inlineStr">
        <is>
          <t>Semestral</t>
        </is>
      </c>
      <c r="E646" s="5" t="inlineStr">
        <is>
          <t>Positivo</t>
        </is>
      </c>
      <c r="F646" s="107" t="n">
        <v>45473</v>
      </c>
      <c r="G646" s="5" t="n">
        <v>2024</v>
      </c>
      <c r="H646" s="5" t="inlineStr">
        <is>
          <t>Junio</t>
        </is>
      </c>
      <c r="I646" s="6" t="inlineStr">
        <is>
          <t>2024-1</t>
        </is>
      </c>
      <c r="J646" s="5" t="n">
        <v>90</v>
      </c>
      <c r="K646" s="10" t="n">
        <v>91.7002307620256</v>
      </c>
      <c r="L646" s="14">
        <f>IFERROR(IF(OR(J646=0,K646=""),"",IF(E646="Positivo",MIN(MAX(K646/J646,0),1.3),MIN(MAX(J646/K646,0),1.3))),"") </f>
        <v/>
      </c>
      <c r="M646" s="14">
        <f>IFERROR(IF(OR(J646=0,K646=""),"",IF(E646="Positivo",MAX(K646/J646,0),MAX(J646/K646,0))),"") </f>
        <v/>
      </c>
      <c r="N646" s="5" t="inlineStr">
        <is>
          <t>%</t>
        </is>
      </c>
      <c r="O646" s="5" t="inlineStr">
        <is>
          <t>%</t>
        </is>
      </c>
      <c r="P646" s="15" t="n">
        <v>1</v>
      </c>
      <c r="Q646" s="15" t="n">
        <v>1</v>
      </c>
      <c r="R646" s="5" t="inlineStr">
        <is>
          <t>193-2024-06-30</t>
        </is>
      </c>
    </row>
    <row r="647">
      <c r="A647" s="21" t="n">
        <v>193</v>
      </c>
      <c r="B647" s="5" t="inlineStr">
        <is>
          <t>Mejorar flujo de atención en todos los niveles de servicio al estudiante (ANS)</t>
        </is>
      </c>
      <c r="C647" s="5" t="inlineStr">
        <is>
          <t>Servicio</t>
        </is>
      </c>
      <c r="D647" s="5" t="inlineStr">
        <is>
          <t>Semestral</t>
        </is>
      </c>
      <c r="E647" s="5" t="inlineStr">
        <is>
          <t>Positivo</t>
        </is>
      </c>
      <c r="F647" s="107" t="n">
        <v>45657</v>
      </c>
      <c r="G647" s="5" t="n">
        <v>2024</v>
      </c>
      <c r="H647" s="5" t="inlineStr">
        <is>
          <t>Diciembre</t>
        </is>
      </c>
      <c r="I647" s="6" t="inlineStr">
        <is>
          <t>2024-2</t>
        </is>
      </c>
      <c r="J647" s="5" t="n">
        <v>90</v>
      </c>
      <c r="K647" s="9" t="n">
        <v>93.5</v>
      </c>
      <c r="L647" s="14">
        <f>IFERROR(IF(OR(J647=0,K647=""),"",IF(E647="Positivo",MIN(MAX(K647/J647,0),1.3),MIN(MAX(J647/K647,0),1.3))),"") </f>
        <v/>
      </c>
      <c r="M647" s="14">
        <f>IFERROR(IF(OR(J647=0,K647=""),"",IF(E647="Positivo",MAX(K647/J647,0),MAX(J647/K647,0))),"") </f>
        <v/>
      </c>
      <c r="N647" s="5" t="inlineStr">
        <is>
          <t>%</t>
        </is>
      </c>
      <c r="O647" s="5" t="inlineStr">
        <is>
          <t>%</t>
        </is>
      </c>
      <c r="P647" s="15" t="n">
        <v>1</v>
      </c>
      <c r="Q647" s="15" t="n">
        <v>1</v>
      </c>
      <c r="R647" s="5" t="inlineStr">
        <is>
          <t>193-2024-12-31</t>
        </is>
      </c>
    </row>
    <row r="648">
      <c r="A648" s="21" t="n">
        <v>193</v>
      </c>
      <c r="B648" s="5" t="inlineStr">
        <is>
          <t>Mejorar flujo de atención en todos los niveles de servicio al estudiante (ANS)</t>
        </is>
      </c>
      <c r="C648" s="5" t="inlineStr">
        <is>
          <t>Servicio</t>
        </is>
      </c>
      <c r="D648" s="5" t="inlineStr">
        <is>
          <t>Semestral</t>
        </is>
      </c>
      <c r="E648" s="5" t="inlineStr">
        <is>
          <t>Positivo</t>
        </is>
      </c>
      <c r="F648" s="106" t="n">
        <v>45838</v>
      </c>
      <c r="G648" s="5" t="n">
        <v>2025</v>
      </c>
      <c r="H648" s="5" t="inlineStr">
        <is>
          <t>Junio</t>
        </is>
      </c>
      <c r="I648" s="6" t="inlineStr">
        <is>
          <t>2025-1</t>
        </is>
      </c>
      <c r="J648" s="5" t="n">
        <v>93</v>
      </c>
      <c r="K648" s="9" t="n">
        <v>96.20999999999999</v>
      </c>
      <c r="L648" s="14">
        <f>IFERROR(IF(OR(J648=0,K648=""),"",IF(E648="Positivo",MIN(MAX(K648/J648,0),1.3),MIN(MAX(J648/K648,0),1.3))),"") </f>
        <v/>
      </c>
      <c r="M648" s="14">
        <f>IFERROR(IF(OR(J648=0,K648=""),"",IF(E648="Positivo",MAX(K648/J648,0),MAX(J648/K648,0))),"") </f>
        <v/>
      </c>
      <c r="N648" s="5" t="inlineStr">
        <is>
          <t>%</t>
        </is>
      </c>
      <c r="O648" s="5" t="inlineStr">
        <is>
          <t>%</t>
        </is>
      </c>
      <c r="P648" s="15" t="n">
        <v>1</v>
      </c>
      <c r="Q648" s="15" t="n">
        <v>1</v>
      </c>
      <c r="R648" s="5" t="inlineStr">
        <is>
          <t>193-2025-06-30</t>
        </is>
      </c>
    </row>
    <row r="649">
      <c r="A649" s="21" t="n">
        <v>193</v>
      </c>
      <c r="B649" s="5" t="inlineStr">
        <is>
          <t>Porcentaje de Cumplimiento del Acuerdo de Nivel de Servicio (ANS)</t>
        </is>
      </c>
      <c r="C649" s="5" t="inlineStr">
        <is>
          <t>Servicio</t>
        </is>
      </c>
      <c r="D649" s="5" t="inlineStr">
        <is>
          <t>Trimestral</t>
        </is>
      </c>
      <c r="E649" s="5" t="inlineStr">
        <is>
          <t>Positivo</t>
        </is>
      </c>
      <c r="F649" s="107" t="n">
        <v>46022</v>
      </c>
      <c r="G649" s="5" t="n">
        <v>2025</v>
      </c>
      <c r="H649" s="5" t="inlineStr">
        <is>
          <t>Diciembre</t>
        </is>
      </c>
      <c r="I649" s="6" t="inlineStr">
        <is>
          <t>2025-2</t>
        </is>
      </c>
      <c r="J649" s="5" t="n">
        <v>94</v>
      </c>
      <c r="K649" s="9" t="n">
        <v>95</v>
      </c>
      <c r="L649" s="14">
        <f>IFERROR(IF(OR(J649=0,K649=""),"",IF(E649="Positivo",MIN(MAX(K649/J649,0),1.3),MIN(MAX(J649/K649,0),1.3))),"") </f>
        <v/>
      </c>
      <c r="M649" s="14">
        <f>IFERROR(IF(OR(J649=0,K649=""),"",IF(E649="Positivo",MAX(K649/J649,0),MAX(J649/K649,0))),"") </f>
        <v/>
      </c>
      <c r="N649" s="5" t="inlineStr">
        <is>
          <t>%</t>
        </is>
      </c>
      <c r="O649" s="5" t="inlineStr">
        <is>
          <t>%</t>
        </is>
      </c>
      <c r="P649" s="15" t="n">
        <v>1</v>
      </c>
      <c r="Q649" s="15" t="n">
        <v>1</v>
      </c>
      <c r="R649" s="5" t="inlineStr">
        <is>
          <t>193-2025-12-31</t>
        </is>
      </c>
    </row>
    <row r="650">
      <c r="A650" s="21" t="n">
        <v>194</v>
      </c>
      <c r="B650" s="5" t="inlineStr">
        <is>
          <t>Índice de satisfacción del estudiante (SSI)</t>
        </is>
      </c>
      <c r="C650" s="5" t="inlineStr">
        <is>
          <t>Servicio</t>
        </is>
      </c>
      <c r="D650" s="5" t="inlineStr">
        <is>
          <t>Semestral</t>
        </is>
      </c>
      <c r="E650" s="5" t="inlineStr">
        <is>
          <t>Positivo</t>
        </is>
      </c>
      <c r="F650" s="107" t="n">
        <v>44742</v>
      </c>
      <c r="G650" s="5" t="n">
        <v>2022</v>
      </c>
      <c r="H650" s="5" t="inlineStr">
        <is>
          <t>Junio</t>
        </is>
      </c>
      <c r="I650" s="6" t="inlineStr">
        <is>
          <t>2022-1</t>
        </is>
      </c>
      <c r="J650" s="5" t="n">
        <v>73</v>
      </c>
      <c r="K650" s="9" t="n">
        <v>83.26000000000001</v>
      </c>
      <c r="L650" s="14">
        <f>IFERROR(IF(OR(J650=0,K650=""),"",IF(E650="Positivo",MIN(MAX(K650/J650,0),1.3),MIN(MAX(J650/K650,0),1.3))),"") </f>
        <v/>
      </c>
      <c r="M650" s="14">
        <f>IFERROR(IF(OR(J650=0,K650=""),"",IF(E650="Positivo",MAX(K650/J650,0),MAX(J650/K650,0))),"") </f>
        <v/>
      </c>
      <c r="N650" s="5" t="inlineStr">
        <is>
          <t>%</t>
        </is>
      </c>
      <c r="O650" s="5" t="inlineStr">
        <is>
          <t>%</t>
        </is>
      </c>
      <c r="P650" s="15" t="n">
        <v>0</v>
      </c>
      <c r="Q650" s="15" t="n">
        <v>0</v>
      </c>
      <c r="R650" s="5" t="inlineStr">
        <is>
          <t>194-2022-06-30</t>
        </is>
      </c>
    </row>
    <row r="651">
      <c r="A651" s="21" t="n">
        <v>194</v>
      </c>
      <c r="B651" s="5" t="inlineStr">
        <is>
          <t>Índice de satisfacción del estudiante (SSI)</t>
        </is>
      </c>
      <c r="C651" s="5" t="inlineStr">
        <is>
          <t>Servicio</t>
        </is>
      </c>
      <c r="D651" s="5" t="inlineStr">
        <is>
          <t>Semestral</t>
        </is>
      </c>
      <c r="E651" s="5" t="inlineStr">
        <is>
          <t>Positivo</t>
        </is>
      </c>
      <c r="F651" s="107" t="n">
        <v>44926</v>
      </c>
      <c r="G651" s="5" t="n">
        <v>2022</v>
      </c>
      <c r="H651" s="5" t="inlineStr">
        <is>
          <t>Diciembre</t>
        </is>
      </c>
      <c r="I651" s="6" t="inlineStr">
        <is>
          <t>2022-2</t>
        </is>
      </c>
      <c r="J651" s="5" t="n">
        <v>73</v>
      </c>
      <c r="K651" s="9" t="n">
        <v>83.11</v>
      </c>
      <c r="L651" s="14">
        <f>IFERROR(IF(OR(J651=0,K651=""),"",IF(E651="Positivo",MIN(MAX(K651/J651,0),1.3),MIN(MAX(J651/K651,0),1.3))),"") </f>
        <v/>
      </c>
      <c r="M651" s="14">
        <f>IFERROR(IF(OR(J651=0,K651=""),"",IF(E651="Positivo",MAX(K651/J651,0),MAX(J651/K651,0))),"") </f>
        <v/>
      </c>
      <c r="N651" s="5" t="inlineStr">
        <is>
          <t>%</t>
        </is>
      </c>
      <c r="O651" s="5" t="inlineStr">
        <is>
          <t>%</t>
        </is>
      </c>
      <c r="P651" s="15" t="n">
        <v>0</v>
      </c>
      <c r="Q651" s="15" t="n">
        <v>0</v>
      </c>
      <c r="R651" s="5" t="inlineStr">
        <is>
          <t>194-2022-12-31</t>
        </is>
      </c>
    </row>
    <row r="652">
      <c r="A652" s="21" t="n">
        <v>194</v>
      </c>
      <c r="B652" s="5" t="inlineStr">
        <is>
          <t>Índice de satisfacción del estudiante (SSI)</t>
        </is>
      </c>
      <c r="C652" s="5" t="inlineStr">
        <is>
          <t>Servicio</t>
        </is>
      </c>
      <c r="D652" s="5" t="inlineStr">
        <is>
          <t>Semestral</t>
        </is>
      </c>
      <c r="E652" s="5" t="inlineStr">
        <is>
          <t>Positivo</t>
        </is>
      </c>
      <c r="F652" s="107" t="n">
        <v>45107</v>
      </c>
      <c r="G652" s="5" t="n">
        <v>2023</v>
      </c>
      <c r="H652" s="5" t="inlineStr">
        <is>
          <t>Junio</t>
        </is>
      </c>
      <c r="I652" s="6" t="inlineStr">
        <is>
          <t>2023-1</t>
        </is>
      </c>
      <c r="J652" s="5" t="n">
        <v>80</v>
      </c>
      <c r="K652" s="9" t="n">
        <v>79.18000000000001</v>
      </c>
      <c r="L652" s="14">
        <f>IFERROR(IF(OR(J652=0,K652=""),"",IF(E652="Positivo",MIN(MAX(K652/J652,0),1.3),MIN(MAX(J652/K652,0),1.3))),"") </f>
        <v/>
      </c>
      <c r="M652" s="14">
        <f>IFERROR(IF(OR(J652=0,K652=""),"",IF(E652="Positivo",MAX(K652/J652,0),MAX(J652/K652,0))),"") </f>
        <v/>
      </c>
      <c r="N652" s="5" t="inlineStr">
        <is>
          <t>%</t>
        </is>
      </c>
      <c r="O652" s="5" t="inlineStr">
        <is>
          <t>%</t>
        </is>
      </c>
      <c r="P652" s="15" t="n">
        <v>0</v>
      </c>
      <c r="Q652" s="15" t="n">
        <v>0</v>
      </c>
      <c r="R652" s="5" t="inlineStr">
        <is>
          <t>194-2023-06-30</t>
        </is>
      </c>
    </row>
    <row r="653">
      <c r="A653" s="21" t="n">
        <v>194</v>
      </c>
      <c r="B653" s="5" t="inlineStr">
        <is>
          <t>Índice de satisfacción del estudiante (SSI)</t>
        </is>
      </c>
      <c r="C653" s="5" t="inlineStr">
        <is>
          <t>Servicio</t>
        </is>
      </c>
      <c r="D653" s="5" t="inlineStr">
        <is>
          <t>Semestral</t>
        </is>
      </c>
      <c r="E653" s="5" t="inlineStr">
        <is>
          <t>Positivo</t>
        </is>
      </c>
      <c r="F653" s="107" t="n">
        <v>45291</v>
      </c>
      <c r="G653" s="5" t="n">
        <v>2023</v>
      </c>
      <c r="H653" s="5" t="inlineStr">
        <is>
          <t>Diciembre</t>
        </is>
      </c>
      <c r="I653" s="6" t="inlineStr">
        <is>
          <t>2023-2</t>
        </is>
      </c>
      <c r="J653" s="5" t="n">
        <v>80</v>
      </c>
      <c r="K653" s="9" t="n">
        <v>81.91</v>
      </c>
      <c r="L653" s="14">
        <f>IFERROR(IF(OR(J653=0,K653=""),"",IF(E653="Positivo",MIN(MAX(K653/J653,0),1.3),MIN(MAX(J653/K653,0),1.3))),"") </f>
        <v/>
      </c>
      <c r="M653" s="14">
        <f>IFERROR(IF(OR(J653=0,K653=""),"",IF(E653="Positivo",MAX(K653/J653,0),MAX(J653/K653,0))),"") </f>
        <v/>
      </c>
      <c r="N653" s="5" t="inlineStr">
        <is>
          <t>%</t>
        </is>
      </c>
      <c r="O653" s="5" t="inlineStr">
        <is>
          <t>%</t>
        </is>
      </c>
      <c r="P653" s="15" t="n">
        <v>0</v>
      </c>
      <c r="Q653" s="15" t="n">
        <v>0</v>
      </c>
      <c r="R653" s="5" t="inlineStr">
        <is>
          <t>194-2023-12-31</t>
        </is>
      </c>
    </row>
    <row r="654">
      <c r="A654" s="21" t="n">
        <v>194</v>
      </c>
      <c r="B654" s="5" t="inlineStr">
        <is>
          <t>Índice de satisfacción del estudiante (SSI)</t>
        </is>
      </c>
      <c r="C654" s="5" t="inlineStr">
        <is>
          <t>Servicio</t>
        </is>
      </c>
      <c r="D654" s="5" t="inlineStr">
        <is>
          <t>Semestral</t>
        </is>
      </c>
      <c r="E654" s="5" t="inlineStr">
        <is>
          <t>Positivo</t>
        </is>
      </c>
      <c r="F654" s="107" t="n">
        <v>45473</v>
      </c>
      <c r="G654" s="5" t="n">
        <v>2024</v>
      </c>
      <c r="H654" s="5" t="inlineStr">
        <is>
          <t>Junio</t>
        </is>
      </c>
      <c r="I654" s="6" t="inlineStr">
        <is>
          <t>2024-1</t>
        </is>
      </c>
      <c r="J654" s="5" t="n">
        <v>81</v>
      </c>
      <c r="K654" s="9" t="n">
        <v>83.01000000000001</v>
      </c>
      <c r="L654" s="14">
        <f>IFERROR(IF(OR(J654=0,K654=""),"",IF(E654="Positivo",MIN(MAX(K654/J654,0),1.3),MIN(MAX(J654/K654,0),1.3))),"") </f>
        <v/>
      </c>
      <c r="M654" s="14">
        <f>IFERROR(IF(OR(J654=0,K654=""),"",IF(E654="Positivo",MAX(K654/J654,0),MAX(J654/K654,0))),"") </f>
        <v/>
      </c>
      <c r="N654" s="5" t="inlineStr">
        <is>
          <t>%</t>
        </is>
      </c>
      <c r="O654" s="5" t="inlineStr">
        <is>
          <t>%</t>
        </is>
      </c>
      <c r="P654" s="15" t="n">
        <v>0</v>
      </c>
      <c r="Q654" s="15" t="n">
        <v>0</v>
      </c>
      <c r="R654" s="5" t="inlineStr">
        <is>
          <t>194-2024-06-30</t>
        </is>
      </c>
    </row>
    <row r="655">
      <c r="A655" s="21" t="n">
        <v>194</v>
      </c>
      <c r="B655" s="5" t="inlineStr">
        <is>
          <t>Índice de satisfacción del estudiante (SSI)</t>
        </is>
      </c>
      <c r="C655" s="5" t="inlineStr">
        <is>
          <t>Servicio</t>
        </is>
      </c>
      <c r="D655" s="5" t="inlineStr">
        <is>
          <t>Semestral</t>
        </is>
      </c>
      <c r="E655" s="5" t="inlineStr">
        <is>
          <t>Positivo</t>
        </is>
      </c>
      <c r="F655" s="107" t="n">
        <v>45657</v>
      </c>
      <c r="G655" s="5" t="n">
        <v>2024</v>
      </c>
      <c r="H655" s="5" t="inlineStr">
        <is>
          <t>Diciembre</t>
        </is>
      </c>
      <c r="I655" s="6" t="inlineStr">
        <is>
          <t>2024-2</t>
        </is>
      </c>
      <c r="J655" s="5" t="n">
        <v>81</v>
      </c>
      <c r="K655" s="9" t="n">
        <v>89</v>
      </c>
      <c r="L655" s="14">
        <f>IFERROR(IF(OR(J655=0,K655=""),"",IF(E655="Positivo",MIN(MAX(K655/J655,0),1.3),MIN(MAX(J655/K655,0),1.3))),"") </f>
        <v/>
      </c>
      <c r="M655" s="14">
        <f>IFERROR(IF(OR(J655=0,K655=""),"",IF(E655="Positivo",MAX(K655/J655,0),MAX(J655/K655,0))),"") </f>
        <v/>
      </c>
      <c r="N655" s="5" t="inlineStr">
        <is>
          <t>%</t>
        </is>
      </c>
      <c r="O655" s="5" t="inlineStr">
        <is>
          <t>%</t>
        </is>
      </c>
      <c r="P655" s="15" t="n">
        <v>0</v>
      </c>
      <c r="Q655" s="15" t="n">
        <v>0</v>
      </c>
      <c r="R655" s="5" t="inlineStr">
        <is>
          <t>194-2024-12-31</t>
        </is>
      </c>
    </row>
    <row r="656">
      <c r="A656" s="26" t="n">
        <v>195</v>
      </c>
      <c r="B656" s="5" t="inlineStr">
        <is>
          <t>NPS- Net Promotor Score</t>
        </is>
      </c>
      <c r="C656" s="5" t="inlineStr">
        <is>
          <t>Servicio</t>
        </is>
      </c>
      <c r="D656" s="5" t="inlineStr">
        <is>
          <t>Semestral</t>
        </is>
      </c>
      <c r="E656" s="5" t="inlineStr">
        <is>
          <t>Positivo</t>
        </is>
      </c>
      <c r="F656" s="107" t="n">
        <v>44742</v>
      </c>
      <c r="G656" s="5" t="n">
        <v>2022</v>
      </c>
      <c r="H656" s="5" t="inlineStr">
        <is>
          <t>Junio</t>
        </is>
      </c>
      <c r="I656" s="6" t="inlineStr">
        <is>
          <t>2022-1</t>
        </is>
      </c>
      <c r="J656" s="5" t="n">
        <v>25</v>
      </c>
      <c r="K656" s="9" t="n">
        <v>46.11</v>
      </c>
      <c r="L656" s="14">
        <f>IFERROR(IF(OR(J656=0,K656=""),"",IF(E656="Positivo",MIN(MAX(K656/J656,0),1.3),MIN(MAX(J656/K656,0),1.3))),"") </f>
        <v/>
      </c>
      <c r="M656" s="14">
        <f>IFERROR(IF(OR(J656=0,K656=""),"",IF(E656="Positivo",MAX(K656/J656,0),MAX(J656/K656,0))),"") </f>
        <v/>
      </c>
      <c r="N656" s="5" t="inlineStr">
        <is>
          <t>%</t>
        </is>
      </c>
      <c r="O656" s="5" t="inlineStr">
        <is>
          <t>%</t>
        </is>
      </c>
      <c r="P656" s="15" t="n">
        <v>1</v>
      </c>
      <c r="Q656" s="15" t="n">
        <v>1</v>
      </c>
      <c r="R656" s="5" t="inlineStr">
        <is>
          <t>195-2022-06-30</t>
        </is>
      </c>
    </row>
    <row r="657">
      <c r="A657" s="26" t="n">
        <v>195</v>
      </c>
      <c r="B657" s="5" t="inlineStr">
        <is>
          <t>NPS- Net Promotor Score</t>
        </is>
      </c>
      <c r="C657" s="5" t="inlineStr">
        <is>
          <t>Servicio</t>
        </is>
      </c>
      <c r="D657" s="5" t="inlineStr">
        <is>
          <t>Semestral</t>
        </is>
      </c>
      <c r="E657" s="5" t="inlineStr">
        <is>
          <t>Positivo</t>
        </is>
      </c>
      <c r="F657" s="107" t="n">
        <v>44926</v>
      </c>
      <c r="G657" s="5" t="n">
        <v>2022</v>
      </c>
      <c r="H657" s="5" t="inlineStr">
        <is>
          <t>Diciembre</t>
        </is>
      </c>
      <c r="I657" s="6" t="inlineStr">
        <is>
          <t>2022-2</t>
        </is>
      </c>
      <c r="J657" s="5" t="n">
        <v>25</v>
      </c>
      <c r="K657" s="9" t="n">
        <v>43.56</v>
      </c>
      <c r="L657" s="14">
        <f>IFERROR(IF(OR(J657=0,K657=""),"",IF(E657="Positivo",MIN(MAX(K657/J657,0),1.3),MIN(MAX(J657/K657,0),1.3))),"") </f>
        <v/>
      </c>
      <c r="M657" s="14">
        <f>IFERROR(IF(OR(J657=0,K657=""),"",IF(E657="Positivo",MAX(K657/J657,0),MAX(J657/K657,0))),"") </f>
        <v/>
      </c>
      <c r="N657" s="5" t="inlineStr">
        <is>
          <t>%</t>
        </is>
      </c>
      <c r="O657" s="5" t="inlineStr">
        <is>
          <t>%</t>
        </is>
      </c>
      <c r="P657" s="15" t="n">
        <v>1</v>
      </c>
      <c r="Q657" s="15" t="n">
        <v>1</v>
      </c>
      <c r="R657" s="5" t="inlineStr">
        <is>
          <t>195-2022-12-31</t>
        </is>
      </c>
    </row>
    <row r="658">
      <c r="A658" s="26" t="n">
        <v>195</v>
      </c>
      <c r="B658" s="5" t="inlineStr">
        <is>
          <t>NPS- Net Promotor Score</t>
        </is>
      </c>
      <c r="C658" s="5" t="inlineStr">
        <is>
          <t>Servicio</t>
        </is>
      </c>
      <c r="D658" s="5" t="inlineStr">
        <is>
          <t>Semestral</t>
        </is>
      </c>
      <c r="E658" s="5" t="inlineStr">
        <is>
          <t>Positivo</t>
        </is>
      </c>
      <c r="F658" s="107" t="n">
        <v>45107</v>
      </c>
      <c r="G658" s="5" t="n">
        <v>2023</v>
      </c>
      <c r="H658" s="5" t="inlineStr">
        <is>
          <t>Junio</t>
        </is>
      </c>
      <c r="I658" s="6" t="inlineStr">
        <is>
          <t>2023-1</t>
        </is>
      </c>
      <c r="J658" s="5" t="n">
        <v>42</v>
      </c>
      <c r="K658" s="9" t="n">
        <v>36.54</v>
      </c>
      <c r="L658" s="14">
        <f>IFERROR(IF(OR(J658=0,K658=""),"",IF(E658="Positivo",MIN(MAX(K658/J658,0),1.3),MIN(MAX(J658/K658,0),1.3))),"") </f>
        <v/>
      </c>
      <c r="M658" s="14">
        <f>IFERROR(IF(OR(J658=0,K658=""),"",IF(E658="Positivo",MAX(K658/J658,0),MAX(J658/K658,0))),"") </f>
        <v/>
      </c>
      <c r="N658" s="5" t="inlineStr">
        <is>
          <t>%</t>
        </is>
      </c>
      <c r="O658" s="5" t="inlineStr">
        <is>
          <t>%</t>
        </is>
      </c>
      <c r="P658" s="15" t="n">
        <v>0</v>
      </c>
      <c r="Q658" s="15" t="n">
        <v>0</v>
      </c>
      <c r="R658" s="5" t="inlineStr">
        <is>
          <t>195-2023-06-30</t>
        </is>
      </c>
    </row>
    <row r="659">
      <c r="A659" s="21" t="n">
        <v>195</v>
      </c>
      <c r="B659" s="5" t="inlineStr">
        <is>
          <t>NPS- Net Promotor Score</t>
        </is>
      </c>
      <c r="C659" s="5" t="inlineStr">
        <is>
          <t>Servicio</t>
        </is>
      </c>
      <c r="D659" s="5" t="inlineStr">
        <is>
          <t>Semestral</t>
        </is>
      </c>
      <c r="E659" s="5" t="inlineStr">
        <is>
          <t>Positivo</t>
        </is>
      </c>
      <c r="F659" s="107" t="n">
        <v>45291</v>
      </c>
      <c r="G659" s="5" t="n">
        <v>2023</v>
      </c>
      <c r="H659" s="5" t="inlineStr">
        <is>
          <t>Diciembre</t>
        </is>
      </c>
      <c r="I659" s="6" t="inlineStr">
        <is>
          <t>2023-2</t>
        </is>
      </c>
      <c r="J659" s="5" t="n">
        <v>42</v>
      </c>
      <c r="K659" s="10" t="n">
        <v>53.34</v>
      </c>
      <c r="L659" s="14">
        <f>IFERROR(IF(OR(J659=0,K659=""),"",IF(E659="Positivo",MIN(MAX(K659/J659,0),1.3),MIN(MAX(J659/K659,0),1.3))),"") </f>
        <v/>
      </c>
      <c r="M659" s="14">
        <f>IFERROR(IF(OR(J659=0,K659=""),"",IF(E659="Positivo",MAX(K659/J659,0),MAX(J659/K659,0))),"") </f>
        <v/>
      </c>
      <c r="N659" s="5" t="inlineStr">
        <is>
          <t>%</t>
        </is>
      </c>
      <c r="O659" s="5" t="inlineStr">
        <is>
          <t>%</t>
        </is>
      </c>
      <c r="P659" s="15" t="n">
        <v>0</v>
      </c>
      <c r="Q659" s="15" t="n">
        <v>0</v>
      </c>
      <c r="R659" s="5" t="inlineStr">
        <is>
          <t>195-2023-12-31</t>
        </is>
      </c>
    </row>
    <row r="660">
      <c r="A660" s="21" t="n">
        <v>196</v>
      </c>
      <c r="B660" s="5" t="inlineStr">
        <is>
          <t>(% de solicitudes procesos Pareto)</t>
        </is>
      </c>
      <c r="C660" s="5" t="inlineStr">
        <is>
          <t>Servicio</t>
        </is>
      </c>
      <c r="D660" s="5" t="inlineStr">
        <is>
          <t>Semestral</t>
        </is>
      </c>
      <c r="E660" s="5" t="inlineStr">
        <is>
          <t>Negativo</t>
        </is>
      </c>
      <c r="F660" s="107" t="n">
        <v>45107</v>
      </c>
      <c r="G660" s="5" t="n">
        <v>2023</v>
      </c>
      <c r="H660" s="5" t="inlineStr">
        <is>
          <t>Junio</t>
        </is>
      </c>
      <c r="I660" s="6" t="inlineStr">
        <is>
          <t>2023-1</t>
        </is>
      </c>
      <c r="J660" s="5" t="n">
        <v>37</v>
      </c>
      <c r="K660" s="10" t="n">
        <v>34.41</v>
      </c>
      <c r="L660" s="14">
        <f>IFERROR(IF(OR(J660=0,K660=""),"",IF(E660="Positivo",MIN(MAX(K660/J660,0),1.3),MIN(MAX(J660/K660,0),1.3))),"") </f>
        <v/>
      </c>
      <c r="M660" s="14">
        <f>IFERROR(IF(OR(J660=0,K660=""),"",IF(E660="Positivo",MAX(K660/J660,0),MAX(J660/K660,0))),"") </f>
        <v/>
      </c>
      <c r="N660" s="5" t="inlineStr">
        <is>
          <t>%</t>
        </is>
      </c>
      <c r="O660" s="5" t="inlineStr">
        <is>
          <t>%</t>
        </is>
      </c>
      <c r="P660" s="15" t="n">
        <v>0</v>
      </c>
      <c r="Q660" s="15" t="n">
        <v>0</v>
      </c>
      <c r="R660" s="5" t="inlineStr">
        <is>
          <t>196-2023-06-30</t>
        </is>
      </c>
    </row>
    <row r="661">
      <c r="A661" s="21" t="n">
        <v>196</v>
      </c>
      <c r="B661" s="5" t="inlineStr">
        <is>
          <t>(% de solicitudes procesos Pareto)</t>
        </is>
      </c>
      <c r="C661" s="5" t="inlineStr">
        <is>
          <t>Servicio</t>
        </is>
      </c>
      <c r="D661" s="5" t="inlineStr">
        <is>
          <t>Semestral</t>
        </is>
      </c>
      <c r="E661" s="5" t="inlineStr">
        <is>
          <t>Negativo</t>
        </is>
      </c>
      <c r="F661" s="107" t="n">
        <v>45291</v>
      </c>
      <c r="G661" s="5" t="n">
        <v>2023</v>
      </c>
      <c r="H661" s="5" t="inlineStr">
        <is>
          <t>Diciembre</t>
        </is>
      </c>
      <c r="I661" s="6" t="inlineStr">
        <is>
          <t>2023-2</t>
        </is>
      </c>
      <c r="J661" s="5" t="n">
        <v>37</v>
      </c>
      <c r="K661" s="10" t="n">
        <v>26.62</v>
      </c>
      <c r="L661" s="14">
        <f>IFERROR(IF(OR(J661=0,K661=""),"",IF(E661="Positivo",MIN(MAX(K661/J661,0),1.3),MIN(MAX(J661/K661,0),1.3))),"") </f>
        <v/>
      </c>
      <c r="M661" s="14">
        <f>IFERROR(IF(OR(J661=0,K661=""),"",IF(E661="Positivo",MAX(K661/J661,0),MAX(J661/K661,0))),"") </f>
        <v/>
      </c>
      <c r="N661" s="5" t="inlineStr">
        <is>
          <t>%</t>
        </is>
      </c>
      <c r="O661" s="5" t="inlineStr">
        <is>
          <t>%</t>
        </is>
      </c>
      <c r="P661" s="15" t="n">
        <v>0</v>
      </c>
      <c r="Q661" s="15" t="n">
        <v>0</v>
      </c>
      <c r="R661" s="5" t="inlineStr">
        <is>
          <t>196-2023-12-31</t>
        </is>
      </c>
    </row>
    <row r="662">
      <c r="A662" s="21" t="n">
        <v>197</v>
      </c>
      <c r="B662" s="5" t="inlineStr">
        <is>
          <t>Cumplimiento cronograma Mantenimiento de Equipos</t>
        </is>
      </c>
      <c r="C662" s="5" t="inlineStr">
        <is>
          <t>Gestión Infraestructura Física</t>
        </is>
      </c>
      <c r="D662" s="5" t="inlineStr">
        <is>
          <t>Semestral</t>
        </is>
      </c>
      <c r="E662" s="5" t="inlineStr">
        <is>
          <t>Positivo</t>
        </is>
      </c>
      <c r="F662" s="107" t="n">
        <v>44742</v>
      </c>
      <c r="G662" s="5" t="n">
        <v>2022</v>
      </c>
      <c r="H662" s="5" t="inlineStr">
        <is>
          <t>Junio</t>
        </is>
      </c>
      <c r="I662" s="6" t="inlineStr">
        <is>
          <t>2022-1</t>
        </is>
      </c>
      <c r="J662" s="5" t="n">
        <v>85</v>
      </c>
      <c r="K662" s="10" t="n"/>
      <c r="L662" s="14" t="n"/>
      <c r="M662" s="14" t="n"/>
      <c r="N662" s="5" t="inlineStr">
        <is>
          <t>%</t>
        </is>
      </c>
      <c r="O662" s="5" t="inlineStr">
        <is>
          <t>No Aplica</t>
        </is>
      </c>
      <c r="P662" s="15" t="n">
        <v>0</v>
      </c>
      <c r="Q662" s="15" t="n">
        <v>0</v>
      </c>
      <c r="R662" s="5" t="inlineStr">
        <is>
          <t>197-2022-06-30</t>
        </is>
      </c>
      <c r="S662" t="inlineStr">
        <is>
          <t>No Aplica</t>
        </is>
      </c>
    </row>
    <row r="663">
      <c r="A663" s="21" t="n">
        <v>197</v>
      </c>
      <c r="B663" s="5" t="inlineStr">
        <is>
          <t>Cumplimiento cronograma Mantenimiento de Equipos</t>
        </is>
      </c>
      <c r="C663" s="5" t="inlineStr">
        <is>
          <t>Gestión Infraestructura Física</t>
        </is>
      </c>
      <c r="D663" s="5" t="inlineStr">
        <is>
          <t>Semestral</t>
        </is>
      </c>
      <c r="E663" s="5" t="inlineStr">
        <is>
          <t>Positivo</t>
        </is>
      </c>
      <c r="F663" s="107" t="n">
        <v>44834</v>
      </c>
      <c r="G663" s="5" t="n">
        <v>2022</v>
      </c>
      <c r="H663" s="5" t="inlineStr">
        <is>
          <t>Septiembre</t>
        </is>
      </c>
      <c r="I663" s="6" t="inlineStr">
        <is>
          <t>2022-2</t>
        </is>
      </c>
      <c r="J663" s="5" t="n">
        <v>90</v>
      </c>
      <c r="K663" s="10" t="n">
        <v>100</v>
      </c>
      <c r="L663" s="14">
        <f>IFERROR(IF(OR(J663=0,K663=""),"",IF(E663="Positivo",MIN(MAX(K663/J663,0),1.3),MIN(MAX(J663/K663,0),1.3))),"") </f>
        <v/>
      </c>
      <c r="M663" s="14">
        <f>IFERROR(IF(OR(J663=0,K663=""),"",IF(E663="Positivo",MAX(K663/J663,0),MAX(J663/K663,0))),"") </f>
        <v/>
      </c>
      <c r="N663" s="5" t="inlineStr">
        <is>
          <t>%</t>
        </is>
      </c>
      <c r="O663" s="5" t="inlineStr">
        <is>
          <t>%</t>
        </is>
      </c>
      <c r="P663" s="15" t="n">
        <v>0</v>
      </c>
      <c r="Q663" s="15" t="n">
        <v>0</v>
      </c>
      <c r="R663" s="5" t="inlineStr">
        <is>
          <t>197-2022-09-30</t>
        </is>
      </c>
    </row>
    <row r="664">
      <c r="A664" s="5" t="n">
        <v>197</v>
      </c>
      <c r="B664" s="5" t="inlineStr">
        <is>
          <t>Cumplimiento cronograma Mantenimiento de Equipos</t>
        </is>
      </c>
      <c r="C664" s="5" t="inlineStr">
        <is>
          <t>Gestión Infraestructura Física</t>
        </is>
      </c>
      <c r="D664" s="5" t="inlineStr">
        <is>
          <t>Semestral</t>
        </is>
      </c>
      <c r="E664" s="5" t="inlineStr">
        <is>
          <t>Positivo</t>
        </is>
      </c>
      <c r="F664" s="107" t="n">
        <v>44926</v>
      </c>
      <c r="G664" s="5" t="n">
        <v>2022</v>
      </c>
      <c r="H664" s="5" t="inlineStr">
        <is>
          <t>Diciembre</t>
        </is>
      </c>
      <c r="I664" s="6" t="inlineStr">
        <is>
          <t>2022-2</t>
        </is>
      </c>
      <c r="J664" s="5" t="n">
        <v>90</v>
      </c>
      <c r="K664" s="5" t="n">
        <v>100</v>
      </c>
      <c r="L664" s="14">
        <f>IFERROR(IF(OR(J664=0,K664=""),"",IF(E664="Positivo",MIN(MAX(K664/J664,0),1.3),MIN(MAX(J664/K664,0),1.3))),"") </f>
        <v/>
      </c>
      <c r="M664" s="14">
        <f>IFERROR(IF(OR(J664=0,K664=""),"",IF(E664="Positivo",MAX(K664/J664,0),MAX(J664/K664,0))),"") </f>
        <v/>
      </c>
      <c r="N664" s="5" t="inlineStr">
        <is>
          <t>%</t>
        </is>
      </c>
      <c r="O664" s="5" t="inlineStr">
        <is>
          <t>%</t>
        </is>
      </c>
      <c r="P664" s="5" t="n">
        <v>0</v>
      </c>
      <c r="Q664" s="5" t="n">
        <v>0</v>
      </c>
      <c r="R664" s="5" t="inlineStr">
        <is>
          <t>197-2022-12-31</t>
        </is>
      </c>
    </row>
    <row r="665">
      <c r="A665" s="21" t="n">
        <v>197</v>
      </c>
      <c r="B665" s="5" t="inlineStr">
        <is>
          <t>Cumplimiento cronograma Mantenimiento de Equipos</t>
        </is>
      </c>
      <c r="C665" s="5" t="inlineStr">
        <is>
          <t>Gestión Infraestructura Física</t>
        </is>
      </c>
      <c r="D665" s="5" t="inlineStr">
        <is>
          <t>Trimestral</t>
        </is>
      </c>
      <c r="E665" s="5" t="inlineStr">
        <is>
          <t>Positivo</t>
        </is>
      </c>
      <c r="F665" s="107" t="n">
        <v>45016</v>
      </c>
      <c r="G665" s="5" t="n">
        <v>2023</v>
      </c>
      <c r="H665" s="5" t="inlineStr">
        <is>
          <t>Marzo</t>
        </is>
      </c>
      <c r="I665" s="6" t="inlineStr">
        <is>
          <t>2023-1</t>
        </is>
      </c>
      <c r="J665" s="5" t="n">
        <v>90</v>
      </c>
      <c r="K665" s="10" t="n">
        <v>100</v>
      </c>
      <c r="L665" s="14">
        <f>IFERROR(IF(OR(J665=0,K665=""),"",IF(E665="Positivo",MIN(MAX(K665/J665,0),1.3),MIN(MAX(J665/K665,0),1.3))),"") </f>
        <v/>
      </c>
      <c r="M665" s="14">
        <f>IFERROR(IF(OR(J665=0,K665=""),"",IF(E665="Positivo",MAX(K665/J665,0),MAX(J665/K665,0))),"") </f>
        <v/>
      </c>
      <c r="N665" s="5" t="inlineStr">
        <is>
          <t>%</t>
        </is>
      </c>
      <c r="O665" s="5" t="inlineStr">
        <is>
          <t>%</t>
        </is>
      </c>
      <c r="P665" s="15" t="n">
        <v>0</v>
      </c>
      <c r="Q665" s="15" t="n">
        <v>0</v>
      </c>
      <c r="R665" s="5" t="inlineStr">
        <is>
          <t>197-2023-03-31</t>
        </is>
      </c>
    </row>
    <row r="666">
      <c r="A666" s="21" t="n">
        <v>197</v>
      </c>
      <c r="B666" s="5" t="inlineStr">
        <is>
          <t>Cumplimiento cronograma Mantenimiento de Equipos</t>
        </is>
      </c>
      <c r="C666" s="5" t="inlineStr">
        <is>
          <t>Gestión Infraestructura Física</t>
        </is>
      </c>
      <c r="D666" s="5" t="inlineStr">
        <is>
          <t>Trimestral</t>
        </is>
      </c>
      <c r="E666" s="5" t="inlineStr">
        <is>
          <t>Positivo</t>
        </is>
      </c>
      <c r="F666" s="107" t="n">
        <v>45107</v>
      </c>
      <c r="G666" s="5" t="n">
        <v>2023</v>
      </c>
      <c r="H666" s="5" t="inlineStr">
        <is>
          <t>Junio</t>
        </is>
      </c>
      <c r="I666" s="6" t="inlineStr">
        <is>
          <t>2023-1</t>
        </is>
      </c>
      <c r="J666" s="5" t="n">
        <v>90</v>
      </c>
      <c r="K666" s="10" t="n">
        <v>100</v>
      </c>
      <c r="L666" s="14">
        <f>IFERROR(IF(OR(J666=0,K666=""),"",IF(E666="Positivo",MIN(MAX(K666/J666,0),1.3),MIN(MAX(J666/K666,0),1.3))),"") </f>
        <v/>
      </c>
      <c r="M666" s="14">
        <f>IFERROR(IF(OR(J666=0,K666=""),"",IF(E666="Positivo",MAX(K666/J666,0),MAX(J666/K666,0))),"") </f>
        <v/>
      </c>
      <c r="N666" s="5" t="inlineStr">
        <is>
          <t>%</t>
        </is>
      </c>
      <c r="O666" s="5" t="inlineStr">
        <is>
          <t>%</t>
        </is>
      </c>
      <c r="P666" s="15" t="n">
        <v>0</v>
      </c>
      <c r="Q666" s="15" t="n">
        <v>0</v>
      </c>
      <c r="R666" s="5" t="inlineStr">
        <is>
          <t>197-2023-06-30</t>
        </is>
      </c>
    </row>
    <row r="667">
      <c r="A667" s="21" t="n">
        <v>197</v>
      </c>
      <c r="B667" s="5" t="inlineStr">
        <is>
          <t>Cumplimiento cronograma Mantenimiento de Equipos</t>
        </is>
      </c>
      <c r="C667" s="5" t="inlineStr">
        <is>
          <t>Gestión Infraestructura Física</t>
        </is>
      </c>
      <c r="D667" s="5" t="inlineStr">
        <is>
          <t>Trimestral</t>
        </is>
      </c>
      <c r="E667" s="5" t="inlineStr">
        <is>
          <t>Positivo</t>
        </is>
      </c>
      <c r="F667" s="107" t="n">
        <v>45199</v>
      </c>
      <c r="G667" s="5" t="n">
        <v>2023</v>
      </c>
      <c r="H667" s="5" t="inlineStr">
        <is>
          <t>Septiembre</t>
        </is>
      </c>
      <c r="I667" s="6" t="inlineStr">
        <is>
          <t>2023-2</t>
        </is>
      </c>
      <c r="J667" s="5" t="n">
        <v>90</v>
      </c>
      <c r="K667" s="10" t="n">
        <v>100</v>
      </c>
      <c r="L667" s="14">
        <f>IFERROR(IF(OR(J667=0,K667=""),"",IF(E667="Positivo",MIN(MAX(K667/J667,0),1.3),MIN(MAX(J667/K667,0),1.3))),"") </f>
        <v/>
      </c>
      <c r="M667" s="14">
        <f>IFERROR(IF(OR(J667=0,K667=""),"",IF(E667="Positivo",MAX(K667/J667,0),MAX(J667/K667,0))),"") </f>
        <v/>
      </c>
      <c r="N667" s="5" t="inlineStr">
        <is>
          <t>%</t>
        </is>
      </c>
      <c r="O667" s="5" t="inlineStr">
        <is>
          <t>%</t>
        </is>
      </c>
      <c r="P667" s="15" t="n">
        <v>0</v>
      </c>
      <c r="Q667" s="15" t="n">
        <v>0</v>
      </c>
      <c r="R667" s="5" t="inlineStr">
        <is>
          <t>197-2023-09-30</t>
        </is>
      </c>
    </row>
    <row r="668">
      <c r="A668" s="21" t="n">
        <v>197</v>
      </c>
      <c r="B668" s="5" t="inlineStr">
        <is>
          <t>Cumplimiento cronograma Mantenimiento de Equipos</t>
        </is>
      </c>
      <c r="C668" s="5" t="inlineStr">
        <is>
          <t>Gestión Infraestructura Física</t>
        </is>
      </c>
      <c r="D668" s="5" t="inlineStr">
        <is>
          <t>Trimestral</t>
        </is>
      </c>
      <c r="E668" s="5" t="inlineStr">
        <is>
          <t>Positivo</t>
        </is>
      </c>
      <c r="F668" s="107" t="n">
        <v>45291</v>
      </c>
      <c r="G668" s="5" t="n">
        <v>2023</v>
      </c>
      <c r="H668" s="5" t="inlineStr">
        <is>
          <t>Diciembre</t>
        </is>
      </c>
      <c r="I668" s="6" t="inlineStr">
        <is>
          <t>2023-2</t>
        </is>
      </c>
      <c r="J668" s="5" t="n">
        <v>90</v>
      </c>
      <c r="K668" s="10" t="n">
        <v>100</v>
      </c>
      <c r="L668" s="14">
        <f>IFERROR(IF(OR(J668=0,K668=""),"",IF(E668="Positivo",MIN(MAX(K668/J668,0),1.3),MIN(MAX(J668/K668,0),1.3))),"") </f>
        <v/>
      </c>
      <c r="M668" s="14">
        <f>IFERROR(IF(OR(J668=0,K668=""),"",IF(E668="Positivo",MAX(K668/J668,0),MAX(J668/K668,0))),"") </f>
        <v/>
      </c>
      <c r="N668" s="5" t="inlineStr">
        <is>
          <t>%</t>
        </is>
      </c>
      <c r="O668" s="5" t="inlineStr">
        <is>
          <t>%</t>
        </is>
      </c>
      <c r="P668" s="15" t="n">
        <v>0</v>
      </c>
      <c r="Q668" s="15" t="n">
        <v>0</v>
      </c>
      <c r="R668" s="5" t="inlineStr">
        <is>
          <t>197-2023-12-31</t>
        </is>
      </c>
    </row>
    <row r="669">
      <c r="A669" s="21" t="n">
        <v>197</v>
      </c>
      <c r="B669" s="5" t="inlineStr">
        <is>
          <t>Cumplimiento cronograma Mantenimiento de Equipos</t>
        </is>
      </c>
      <c r="C669" s="5" t="inlineStr">
        <is>
          <t>Gestión Infraestructura Física</t>
        </is>
      </c>
      <c r="D669" s="5" t="inlineStr">
        <is>
          <t>Trimestral</t>
        </is>
      </c>
      <c r="E669" s="5" t="inlineStr">
        <is>
          <t>Positivo</t>
        </is>
      </c>
      <c r="F669" s="107" t="n">
        <v>45382</v>
      </c>
      <c r="G669" s="5" t="n">
        <v>2024</v>
      </c>
      <c r="H669" s="5" t="inlineStr">
        <is>
          <t>Marzo</t>
        </is>
      </c>
      <c r="I669" s="6" t="inlineStr">
        <is>
          <t>2024-1</t>
        </is>
      </c>
      <c r="J669" s="5" t="n">
        <v>95</v>
      </c>
      <c r="K669" s="10" t="n">
        <v>100</v>
      </c>
      <c r="L669" s="14">
        <f>IFERROR(IF(OR(J669=0,K669=""),"",IF(E669="Positivo",MIN(MAX(K669/J669,0),1.3),MIN(MAX(J669/K669,0),1.3))),"") </f>
        <v/>
      </c>
      <c r="M669" s="14">
        <f>IFERROR(IF(OR(J669=0,K669=""),"",IF(E669="Positivo",MAX(K669/J669,0),MAX(J669/K669,0))),"") </f>
        <v/>
      </c>
      <c r="N669" s="5" t="inlineStr">
        <is>
          <t>%</t>
        </is>
      </c>
      <c r="O669" s="5" t="inlineStr">
        <is>
          <t>%</t>
        </is>
      </c>
      <c r="P669" s="15" t="n">
        <v>0</v>
      </c>
      <c r="Q669" s="15" t="n">
        <v>0</v>
      </c>
      <c r="R669" s="5" t="inlineStr">
        <is>
          <t>197-2024-03-31</t>
        </is>
      </c>
    </row>
    <row r="670">
      <c r="A670" s="21" t="n">
        <v>197</v>
      </c>
      <c r="B670" s="5" t="inlineStr">
        <is>
          <t>Cumplimiento cronograma Mantenimiento de Equipos</t>
        </is>
      </c>
      <c r="C670" s="5" t="inlineStr">
        <is>
          <t>Gestión Infraestructura Física</t>
        </is>
      </c>
      <c r="D670" s="5" t="inlineStr">
        <is>
          <t>Trimestral</t>
        </is>
      </c>
      <c r="E670" s="5" t="inlineStr">
        <is>
          <t>Positivo</t>
        </is>
      </c>
      <c r="F670" s="107" t="n">
        <v>45473</v>
      </c>
      <c r="G670" s="5" t="n">
        <v>2024</v>
      </c>
      <c r="H670" s="5" t="inlineStr">
        <is>
          <t>Junio</t>
        </is>
      </c>
      <c r="I670" s="6" t="inlineStr">
        <is>
          <t>2024-1</t>
        </is>
      </c>
      <c r="J670" s="5" t="n">
        <v>95</v>
      </c>
      <c r="K670" s="10" t="n">
        <v>100</v>
      </c>
      <c r="L670" s="14">
        <f>IFERROR(IF(OR(J670=0,K670=""),"",IF(E670="Positivo",MIN(MAX(K670/J670,0),1.3),MIN(MAX(J670/K670,0),1.3))),"") </f>
        <v/>
      </c>
      <c r="M670" s="14">
        <f>IFERROR(IF(OR(J670=0,K670=""),"",IF(E670="Positivo",MAX(K670/J670,0),MAX(J670/K670,0))),"") </f>
        <v/>
      </c>
      <c r="N670" s="5" t="inlineStr">
        <is>
          <t>%</t>
        </is>
      </c>
      <c r="O670" s="5" t="inlineStr">
        <is>
          <t>%</t>
        </is>
      </c>
      <c r="P670" s="15" t="n">
        <v>0</v>
      </c>
      <c r="Q670" s="15" t="n">
        <v>0</v>
      </c>
      <c r="R670" s="5" t="inlineStr">
        <is>
          <t>197-2024-06-30</t>
        </is>
      </c>
    </row>
    <row r="671">
      <c r="A671" s="21" t="n">
        <v>197</v>
      </c>
      <c r="B671" s="5" t="inlineStr">
        <is>
          <t>Cumplimiento cronograma Mantenimiento de Equipos</t>
        </is>
      </c>
      <c r="C671" s="5" t="inlineStr">
        <is>
          <t>Gestión Infraestructura Física</t>
        </is>
      </c>
      <c r="D671" s="5" t="inlineStr">
        <is>
          <t>Trimestral</t>
        </is>
      </c>
      <c r="E671" s="5" t="inlineStr">
        <is>
          <t>Positivo</t>
        </is>
      </c>
      <c r="F671" s="107" t="n">
        <v>45565</v>
      </c>
      <c r="G671" s="5" t="n">
        <v>2024</v>
      </c>
      <c r="H671" s="5" t="inlineStr">
        <is>
          <t>Septiembre</t>
        </is>
      </c>
      <c r="I671" s="6" t="inlineStr">
        <is>
          <t>2024-2</t>
        </is>
      </c>
      <c r="J671" s="5" t="n">
        <v>95</v>
      </c>
      <c r="K671" s="9" t="n">
        <v>100</v>
      </c>
      <c r="L671" s="14">
        <f>IFERROR(IF(OR(J671=0,K671=""),"",IF(E671="Positivo",MIN(MAX(K671/J671,0),1.3),MIN(MAX(J671/K671,0),1.3))),"") </f>
        <v/>
      </c>
      <c r="M671" s="14">
        <f>IFERROR(IF(OR(J671=0,K671=""),"",IF(E671="Positivo",MAX(K671/J671,0),MAX(J671/K671,0))),"") </f>
        <v/>
      </c>
      <c r="N671" s="5" t="inlineStr">
        <is>
          <t>%</t>
        </is>
      </c>
      <c r="O671" s="11" t="inlineStr">
        <is>
          <t>%</t>
        </is>
      </c>
      <c r="P671" s="15" t="n">
        <v>0</v>
      </c>
      <c r="Q671" s="15" t="n">
        <v>0</v>
      </c>
      <c r="R671" s="5" t="inlineStr">
        <is>
          <t>197-2024-09-30</t>
        </is>
      </c>
    </row>
    <row r="672">
      <c r="A672" s="21" t="n">
        <v>197</v>
      </c>
      <c r="B672" s="5" t="inlineStr">
        <is>
          <t>Cumplimiento cronograma Mantenimiento de Equipos</t>
        </is>
      </c>
      <c r="C672" s="5" t="inlineStr">
        <is>
          <t>Gestión Infraestructura Física</t>
        </is>
      </c>
      <c r="D672" s="5" t="inlineStr">
        <is>
          <t>Trimestral</t>
        </is>
      </c>
      <c r="E672" s="5" t="inlineStr">
        <is>
          <t>Positivo</t>
        </is>
      </c>
      <c r="F672" s="106" t="n">
        <v>45657</v>
      </c>
      <c r="G672" s="5" t="n">
        <v>2024</v>
      </c>
      <c r="H672" s="5" t="inlineStr">
        <is>
          <t>Diciembre</t>
        </is>
      </c>
      <c r="I672" s="6" t="inlineStr">
        <is>
          <t>2024-2</t>
        </is>
      </c>
      <c r="J672" s="5" t="n">
        <v>95</v>
      </c>
      <c r="K672" s="9" t="n">
        <v>100</v>
      </c>
      <c r="L672" s="14">
        <f>IFERROR(IF(OR(J672=0,K672=""),"",IF(E672="Positivo",MIN(MAX(K672/J672,0),1.3),MIN(MAX(J672/K672,0),1.3))),"") </f>
        <v/>
      </c>
      <c r="M672" s="14">
        <f>IFERROR(IF(OR(J672=0,K672=""),"",IF(E672="Positivo",MAX(K672/J672,0),MAX(J672/K672,0))),"") </f>
        <v/>
      </c>
      <c r="N672" s="5" t="inlineStr">
        <is>
          <t>%</t>
        </is>
      </c>
      <c r="O672" s="11" t="inlineStr">
        <is>
          <t>%</t>
        </is>
      </c>
      <c r="P672" s="15" t="n">
        <v>0</v>
      </c>
      <c r="Q672" s="15" t="n">
        <v>0</v>
      </c>
      <c r="R672" s="5" t="inlineStr">
        <is>
          <t>197-2024-12-31</t>
        </is>
      </c>
    </row>
    <row r="673">
      <c r="A673" s="21" t="n">
        <v>197</v>
      </c>
      <c r="B673" s="5" t="inlineStr">
        <is>
          <t>Cumplimiento cronograma Mantenimiento de Equipos</t>
        </is>
      </c>
      <c r="C673" s="5" t="inlineStr">
        <is>
          <t>Gestión Infraestructura Física</t>
        </is>
      </c>
      <c r="D673" s="5" t="inlineStr">
        <is>
          <t>Trimestral</t>
        </is>
      </c>
      <c r="E673" s="5" t="inlineStr">
        <is>
          <t>Positivo</t>
        </is>
      </c>
      <c r="F673" s="107" t="n">
        <v>45747</v>
      </c>
      <c r="G673" s="5" t="n">
        <v>2025</v>
      </c>
      <c r="H673" s="5" t="inlineStr">
        <is>
          <t>Marzo</t>
        </is>
      </c>
      <c r="I673" s="6" t="inlineStr">
        <is>
          <t>2025-1</t>
        </is>
      </c>
      <c r="J673" s="5" t="n">
        <v>97</v>
      </c>
      <c r="K673" s="9" t="n">
        <v>100</v>
      </c>
      <c r="L673" s="14">
        <f>IFERROR(IF(OR(J673=0,K673=""),"",IF(E673="Positivo",MIN(MAX(K673/J673,0),1.3),MIN(MAX(J673/K673,0),1.3))),"") </f>
        <v/>
      </c>
      <c r="M673" s="14">
        <f>IFERROR(IF(OR(J673=0,K673=""),"",IF(E673="Positivo",MAX(K673/J673,0),MAX(J673/K673,0))),"") </f>
        <v/>
      </c>
      <c r="N673" s="5" t="inlineStr">
        <is>
          <t>%</t>
        </is>
      </c>
      <c r="O673" s="11" t="inlineStr">
        <is>
          <t>%</t>
        </is>
      </c>
      <c r="P673" s="15" t="n">
        <v>0</v>
      </c>
      <c r="Q673" s="15" t="n">
        <v>0</v>
      </c>
      <c r="R673" s="5" t="inlineStr">
        <is>
          <t>197-2025-03-31</t>
        </is>
      </c>
    </row>
    <row r="674">
      <c r="A674" s="21" t="n">
        <v>197</v>
      </c>
      <c r="B674" s="5" t="inlineStr">
        <is>
          <t>Cumplimiento cronograma Mantenimiento de Equipos</t>
        </is>
      </c>
      <c r="C674" s="5" t="inlineStr">
        <is>
          <t>Gestión Infraestructura Física</t>
        </is>
      </c>
      <c r="D674" s="5" t="inlineStr">
        <is>
          <t>Trimestral</t>
        </is>
      </c>
      <c r="E674" s="5" t="inlineStr">
        <is>
          <t>Positivo</t>
        </is>
      </c>
      <c r="F674" s="107" t="n">
        <v>45838</v>
      </c>
      <c r="G674" s="5" t="n">
        <v>2025</v>
      </c>
      <c r="H674" s="5" t="inlineStr">
        <is>
          <t>Junio</t>
        </is>
      </c>
      <c r="I674" s="6" t="inlineStr">
        <is>
          <t>2025-1</t>
        </is>
      </c>
      <c r="J674" s="5" t="n">
        <v>97</v>
      </c>
      <c r="K674" s="9" t="n">
        <v>96.43000000000001</v>
      </c>
      <c r="L674" s="14">
        <f>IFERROR(IF(OR(J674=0,K674=""),"",IF(E674="Positivo",MIN(MAX(K674/J674,0),1.3),MIN(MAX(J674/K674,0),1.3))),"") </f>
        <v/>
      </c>
      <c r="M674" s="14">
        <f>IFERROR(IF(OR(J674=0,K674=""),"",IF(E674="Positivo",MAX(K674/J674,0),MAX(J674/K674,0))),"") </f>
        <v/>
      </c>
      <c r="N674" s="5" t="inlineStr">
        <is>
          <t>%</t>
        </is>
      </c>
      <c r="O674" s="11" t="inlineStr">
        <is>
          <t>%</t>
        </is>
      </c>
      <c r="P674" s="15" t="n">
        <v>0</v>
      </c>
      <c r="Q674" s="15" t="n">
        <v>0</v>
      </c>
      <c r="R674" s="5" t="inlineStr">
        <is>
          <t>197-2025-06-30</t>
        </is>
      </c>
    </row>
    <row r="675">
      <c r="A675" s="21" t="n">
        <v>197</v>
      </c>
      <c r="B675" s="5" t="inlineStr">
        <is>
          <t>Cumplimiento cronograma Mantenimiento de Equipos</t>
        </is>
      </c>
      <c r="C675" s="5" t="inlineStr">
        <is>
          <t>Gestión Infraestructura Física</t>
        </is>
      </c>
      <c r="D675" s="5" t="inlineStr">
        <is>
          <t>Semestral</t>
        </is>
      </c>
      <c r="E675" s="5" t="inlineStr">
        <is>
          <t>Positivo</t>
        </is>
      </c>
      <c r="F675" s="107" t="n">
        <v>45930</v>
      </c>
      <c r="G675" s="5" t="n">
        <v>2025</v>
      </c>
      <c r="H675" s="5" t="inlineStr">
        <is>
          <t>Septiembre</t>
        </is>
      </c>
      <c r="I675" s="6" t="inlineStr">
        <is>
          <t>2025-2</t>
        </is>
      </c>
      <c r="J675" s="5" t="n">
        <v>97</v>
      </c>
      <c r="K675" s="9" t="n">
        <v>104</v>
      </c>
      <c r="L675" s="14">
        <f>IFERROR(IF(OR(J675=0,K675=""),"",IF(E675="Positivo",MIN(MAX(K675/J675,0),1.3),MIN(MAX(J675/K675,0),1.3))),"") </f>
        <v/>
      </c>
      <c r="M675" s="14">
        <f>IFERROR(IF(OR(J675=0,K675=""),"",IF(E675="Positivo",MAX(K675/J675,0),MAX(J675/K675,0))),"") </f>
        <v/>
      </c>
      <c r="N675" s="5" t="inlineStr">
        <is>
          <t>%</t>
        </is>
      </c>
      <c r="O675" s="11" t="inlineStr">
        <is>
          <t>%</t>
        </is>
      </c>
      <c r="P675" s="15" t="n">
        <v>0</v>
      </c>
      <c r="Q675" s="15" t="n">
        <v>0</v>
      </c>
      <c r="R675" s="5" t="inlineStr">
        <is>
          <t>197-2025-09-30</t>
        </is>
      </c>
    </row>
    <row r="676">
      <c r="A676" s="21" t="n">
        <v>197</v>
      </c>
      <c r="B676" s="5" t="inlineStr">
        <is>
          <t>Cumplimiento cronograma Mantenimiento de Equipos</t>
        </is>
      </c>
      <c r="C676" s="5" t="inlineStr">
        <is>
          <t>Gestión Infraestructura Física</t>
        </is>
      </c>
      <c r="D676" s="5" t="inlineStr">
        <is>
          <t>Semestral</t>
        </is>
      </c>
      <c r="E676" s="5" t="inlineStr">
        <is>
          <t>Positivo</t>
        </is>
      </c>
      <c r="F676" s="107" t="n">
        <v>46022</v>
      </c>
      <c r="G676" s="5" t="n">
        <v>2025</v>
      </c>
      <c r="H676" s="5" t="inlineStr">
        <is>
          <t>Diciembre</t>
        </is>
      </c>
      <c r="I676" s="6" t="inlineStr">
        <is>
          <t>2025-2</t>
        </is>
      </c>
      <c r="J676" s="5" t="n">
        <v>97</v>
      </c>
      <c r="K676" s="9" t="n">
        <v>100</v>
      </c>
      <c r="L676" s="14">
        <f>IFERROR(IF(OR(J676=0,K676=""),"",IF(E676="Positivo",MIN(MAX(K676/J676,0),1.3),MIN(MAX(J676/K676,0),1.3))),"") </f>
        <v/>
      </c>
      <c r="M676" s="14">
        <f>IFERROR(IF(OR(J676=0,K676=""),"",IF(E676="Positivo",MAX(K676/J676,0),MAX(J676/K676,0))),"") </f>
        <v/>
      </c>
      <c r="N676" s="5" t="inlineStr">
        <is>
          <t>%</t>
        </is>
      </c>
      <c r="O676" s="11" t="inlineStr">
        <is>
          <t>%</t>
        </is>
      </c>
      <c r="P676" s="15" t="n">
        <v>0</v>
      </c>
      <c r="Q676" s="15" t="n">
        <v>0</v>
      </c>
      <c r="R676" s="5" t="inlineStr">
        <is>
          <t>197-2025-12-31</t>
        </is>
      </c>
    </row>
    <row r="677">
      <c r="A677" s="21" t="n">
        <v>199</v>
      </c>
      <c r="B677" s="5" t="inlineStr">
        <is>
          <t>Nivel de cumplimiento de eficacia las capacitaciones</t>
        </is>
      </c>
      <c r="C677" s="5" t="inlineStr">
        <is>
          <t>GESTIÓN Y DESARROLLO DEL TALENTO HUMANO</t>
        </is>
      </c>
      <c r="D677" s="5" t="inlineStr">
        <is>
          <t>Trimestral</t>
        </is>
      </c>
      <c r="E677" s="5" t="inlineStr">
        <is>
          <t>Positivo</t>
        </is>
      </c>
      <c r="F677" s="107" t="n">
        <v>44651</v>
      </c>
      <c r="G677" s="5" t="n">
        <v>2022</v>
      </c>
      <c r="H677" s="5" t="inlineStr">
        <is>
          <t>Marzo</t>
        </is>
      </c>
      <c r="I677" s="6" t="inlineStr">
        <is>
          <t>2022-1</t>
        </is>
      </c>
      <c r="J677" s="5" t="n">
        <v>80</v>
      </c>
      <c r="K677" s="9" t="n"/>
      <c r="L677" s="14" t="n"/>
      <c r="M677" s="14" t="n"/>
      <c r="N677" s="5" t="inlineStr">
        <is>
          <t>%</t>
        </is>
      </c>
      <c r="O677" s="11" t="inlineStr">
        <is>
          <t>No Aplica</t>
        </is>
      </c>
      <c r="P677" s="15" t="n">
        <v>0</v>
      </c>
      <c r="Q677" s="15" t="n">
        <v>0</v>
      </c>
      <c r="R677" s="5" t="inlineStr">
        <is>
          <t>199-2022-03-31</t>
        </is>
      </c>
      <c r="S677" t="inlineStr">
        <is>
          <t>No Aplica</t>
        </is>
      </c>
    </row>
    <row r="678">
      <c r="A678" s="21" t="n">
        <v>199</v>
      </c>
      <c r="B678" s="5" t="inlineStr">
        <is>
          <t>Nivel de cumplimiento de eficacia las capacitaciones</t>
        </is>
      </c>
      <c r="C678" s="5" t="inlineStr">
        <is>
          <t>GESTIÓN Y DESARROLLO DEL TALENTO HUMANO</t>
        </is>
      </c>
      <c r="D678" s="5" t="inlineStr">
        <is>
          <t>Trimestral</t>
        </is>
      </c>
      <c r="E678" s="5" t="inlineStr">
        <is>
          <t>Positivo</t>
        </is>
      </c>
      <c r="F678" s="107" t="n">
        <v>44742</v>
      </c>
      <c r="G678" s="5" t="n">
        <v>2022</v>
      </c>
      <c r="H678" s="5" t="inlineStr">
        <is>
          <t>Junio</t>
        </is>
      </c>
      <c r="I678" s="6" t="inlineStr">
        <is>
          <t>2022-1</t>
        </is>
      </c>
      <c r="J678" s="5" t="n">
        <v>80</v>
      </c>
      <c r="K678" s="9" t="n"/>
      <c r="L678" s="97" t="n"/>
      <c r="M678" s="14" t="n"/>
      <c r="N678" s="5" t="inlineStr">
        <is>
          <t>%</t>
        </is>
      </c>
      <c r="O678" s="11" t="inlineStr">
        <is>
          <t>No Aplica</t>
        </is>
      </c>
      <c r="P678" s="15" t="n">
        <v>0</v>
      </c>
      <c r="Q678" s="15" t="n">
        <v>0</v>
      </c>
      <c r="R678" s="5" t="inlineStr">
        <is>
          <t>199-2022-06-30</t>
        </is>
      </c>
      <c r="S678" t="inlineStr">
        <is>
          <t>No Aplica</t>
        </is>
      </c>
    </row>
    <row r="679">
      <c r="A679" s="21" t="n">
        <v>199</v>
      </c>
      <c r="B679" s="5" t="inlineStr">
        <is>
          <t>Nivel de cumplimiento de eficacia las capacitaciones</t>
        </is>
      </c>
      <c r="C679" s="5" t="inlineStr">
        <is>
          <t>GESTIÓN Y DESARROLLO DEL TALENTO HUMANO</t>
        </is>
      </c>
      <c r="D679" s="5" t="inlineStr">
        <is>
          <t>Trimestral</t>
        </is>
      </c>
      <c r="E679" s="5" t="inlineStr">
        <is>
          <t>Positivo</t>
        </is>
      </c>
      <c r="F679" s="107" t="n">
        <v>44926</v>
      </c>
      <c r="G679" s="5" t="n">
        <v>2022</v>
      </c>
      <c r="H679" s="5" t="inlineStr">
        <is>
          <t>Diciembre</t>
        </is>
      </c>
      <c r="I679" s="6" t="inlineStr">
        <is>
          <t>2022-2</t>
        </is>
      </c>
      <c r="J679" s="5" t="n">
        <v>80</v>
      </c>
      <c r="K679" s="9" t="n"/>
      <c r="L679" s="14" t="n"/>
      <c r="M679" s="14" t="n"/>
      <c r="N679" s="5" t="inlineStr">
        <is>
          <t>%</t>
        </is>
      </c>
      <c r="O679" s="11" t="inlineStr">
        <is>
          <t>No Aplica</t>
        </is>
      </c>
      <c r="P679" s="15" t="n">
        <v>0</v>
      </c>
      <c r="Q679" s="15" t="n">
        <v>0</v>
      </c>
      <c r="R679" s="5" t="inlineStr">
        <is>
          <t>199-2022-12-31</t>
        </is>
      </c>
      <c r="S679" t="inlineStr">
        <is>
          <t>No Aplica</t>
        </is>
      </c>
    </row>
    <row r="680">
      <c r="A680" s="26" t="n">
        <v>199</v>
      </c>
      <c r="B680" s="5" t="inlineStr">
        <is>
          <t>Nivel de cumplimiento de eficacia las capacitaciones</t>
        </is>
      </c>
      <c r="C680" s="5" t="inlineStr">
        <is>
          <t>GESTIÓN Y DESARROLLO DEL TALENTO HUMANO</t>
        </is>
      </c>
      <c r="D680" s="5" t="inlineStr">
        <is>
          <t>Semestral</t>
        </is>
      </c>
      <c r="E680" s="5" t="inlineStr">
        <is>
          <t>Positivo</t>
        </is>
      </c>
      <c r="F680" s="107" t="n">
        <v>45107</v>
      </c>
      <c r="G680" s="5" t="n">
        <v>2023</v>
      </c>
      <c r="H680" s="5" t="inlineStr">
        <is>
          <t>Junio</t>
        </is>
      </c>
      <c r="I680" s="6" t="inlineStr">
        <is>
          <t>2023-1</t>
        </is>
      </c>
      <c r="J680" s="5" t="n">
        <v>95</v>
      </c>
      <c r="K680" s="9" t="n">
        <v>87.666666666667</v>
      </c>
      <c r="L680" s="14">
        <f>IFERROR(IF(OR(J680=0,K680=""),"",IF(E680="Positivo",MIN(MAX(K680/J680,0),1.3),MIN(MAX(J680/K680,0),1.3))),"") </f>
        <v/>
      </c>
      <c r="M680" s="14">
        <f>IFERROR(IF(OR(J680=0,K680=""),"",IF(E680="Positivo",MAX(K680/J680,0),MAX(J680/K680,0))),"") </f>
        <v/>
      </c>
      <c r="N680" s="5" t="inlineStr">
        <is>
          <t>%</t>
        </is>
      </c>
      <c r="O680" s="11" t="inlineStr">
        <is>
          <t>%</t>
        </is>
      </c>
      <c r="P680" s="15" t="n">
        <v>0</v>
      </c>
      <c r="Q680" s="15" t="n">
        <v>0</v>
      </c>
      <c r="R680" s="5" t="inlineStr">
        <is>
          <t>199-2023-06-30</t>
        </is>
      </c>
    </row>
    <row r="681">
      <c r="A681" s="26" t="n">
        <v>199</v>
      </c>
      <c r="B681" s="5" t="inlineStr">
        <is>
          <t>Nivel de cumplimiento de eficacia las capacitaciones</t>
        </is>
      </c>
      <c r="C681" s="5" t="inlineStr">
        <is>
          <t>GESTIÓN Y DESARROLLO DEL TALENTO HUMANO</t>
        </is>
      </c>
      <c r="D681" s="5" t="inlineStr">
        <is>
          <t>Semestral</t>
        </is>
      </c>
      <c r="E681" s="5" t="inlineStr">
        <is>
          <t>Positivo</t>
        </is>
      </c>
      <c r="F681" s="107" t="n">
        <v>45291</v>
      </c>
      <c r="G681" s="5" t="n">
        <v>2023</v>
      </c>
      <c r="H681" s="5" t="inlineStr">
        <is>
          <t>Diciembre</t>
        </is>
      </c>
      <c r="I681" s="6" t="inlineStr">
        <is>
          <t>2023-2</t>
        </is>
      </c>
      <c r="J681" s="5" t="n">
        <v>95</v>
      </c>
      <c r="K681" s="9" t="n">
        <v>87.67</v>
      </c>
      <c r="L681" s="14">
        <f>IFERROR(IF(OR(J681=0,K681=""),"",IF(E681="Positivo",MIN(MAX(K681/J681,0),1.3),MIN(MAX(J681/K681,0),1.3))),"") </f>
        <v/>
      </c>
      <c r="M681" s="14">
        <f>IFERROR(IF(OR(J681=0,K681=""),"",IF(E681="Positivo",MAX(K681/J681,0),MAX(J681/K681,0))),"") </f>
        <v/>
      </c>
      <c r="N681" s="5" t="inlineStr">
        <is>
          <t>%</t>
        </is>
      </c>
      <c r="O681" s="11" t="inlineStr">
        <is>
          <t>%</t>
        </is>
      </c>
      <c r="P681" s="15" t="n">
        <v>0</v>
      </c>
      <c r="Q681" s="15" t="n">
        <v>0</v>
      </c>
      <c r="R681" s="5" t="inlineStr">
        <is>
          <t>199-2023-12-31</t>
        </is>
      </c>
    </row>
    <row r="682">
      <c r="A682" s="26" t="n">
        <v>199</v>
      </c>
      <c r="B682" s="5" t="inlineStr">
        <is>
          <t>Nivel de cumplimiento de eficacia las capacitaciones</t>
        </is>
      </c>
      <c r="C682" s="5" t="inlineStr">
        <is>
          <t>GESTIÓN Y DESARROLLO DEL TALENTO HUMANO</t>
        </is>
      </c>
      <c r="D682" s="5" t="inlineStr">
        <is>
          <t>Semestral</t>
        </is>
      </c>
      <c r="E682" s="5" t="inlineStr">
        <is>
          <t>Positivo</t>
        </is>
      </c>
      <c r="F682" s="107" t="n">
        <v>45473</v>
      </c>
      <c r="G682" s="5" t="n">
        <v>2024</v>
      </c>
      <c r="H682" s="5" t="inlineStr">
        <is>
          <t>Junio</t>
        </is>
      </c>
      <c r="I682" s="6" t="inlineStr">
        <is>
          <t>2024-1</t>
        </is>
      </c>
      <c r="J682" s="5" t="n">
        <v>70</v>
      </c>
      <c r="K682" s="9" t="n">
        <v>92.19</v>
      </c>
      <c r="L682" s="14">
        <f>IFERROR(IF(OR(J682=0,K682=""),"",IF(E682="Positivo",MIN(MAX(K682/J682,0),1.3),MIN(MAX(J682/K682,0),1.3))),"") </f>
        <v/>
      </c>
      <c r="M682" s="14">
        <f>IFERROR(IF(OR(J682=0,K682=""),"",IF(E682="Positivo",MAX(K682/J682,0),MAX(J682/K682,0))),"") </f>
        <v/>
      </c>
      <c r="N682" s="5" t="inlineStr">
        <is>
          <t>%</t>
        </is>
      </c>
      <c r="O682" s="11" t="inlineStr">
        <is>
          <t>%</t>
        </is>
      </c>
      <c r="P682" s="15" t="n">
        <v>0</v>
      </c>
      <c r="Q682" s="15" t="n">
        <v>0</v>
      </c>
      <c r="R682" s="5" t="inlineStr">
        <is>
          <t>199-2024-06-30</t>
        </is>
      </c>
    </row>
    <row r="683">
      <c r="A683" s="21" t="n">
        <v>199</v>
      </c>
      <c r="B683" s="5" t="inlineStr">
        <is>
          <t>Nivel de cumplimiento de eficacia las capacitaciones</t>
        </is>
      </c>
      <c r="C683" s="5" t="inlineStr">
        <is>
          <t>GESTIÓN Y DESARROLLO DEL TALENTO HUMANO</t>
        </is>
      </c>
      <c r="D683" s="5" t="inlineStr">
        <is>
          <t>Semestral</t>
        </is>
      </c>
      <c r="E683" s="5" t="inlineStr">
        <is>
          <t>Positivo</t>
        </is>
      </c>
      <c r="F683" s="107" t="n">
        <v>45657</v>
      </c>
      <c r="G683" s="5" t="n">
        <v>2024</v>
      </c>
      <c r="H683" s="5" t="inlineStr">
        <is>
          <t>Diciembre</t>
        </is>
      </c>
      <c r="I683" s="6" t="inlineStr">
        <is>
          <t>2024-2</t>
        </is>
      </c>
      <c r="J683" s="5" t="n">
        <v>70</v>
      </c>
      <c r="K683" s="9" t="n">
        <v>92.81</v>
      </c>
      <c r="L683" s="14">
        <f>IFERROR(IF(OR(J683=0,K683=""),"",IF(E683="Positivo",MIN(MAX(K683/J683,0),1.3),MIN(MAX(J683/K683,0),1.3))),"") </f>
        <v/>
      </c>
      <c r="M683" s="14">
        <f>IFERROR(IF(OR(J683=0,K683=""),"",IF(E683="Positivo",MAX(K683/J683,0),MAX(J683/K683,0))),"") </f>
        <v/>
      </c>
      <c r="N683" s="5" t="inlineStr">
        <is>
          <t>%</t>
        </is>
      </c>
      <c r="O683" s="5" t="inlineStr">
        <is>
          <t>%</t>
        </is>
      </c>
      <c r="P683" s="15" t="n">
        <v>0</v>
      </c>
      <c r="Q683" s="15" t="n">
        <v>0</v>
      </c>
      <c r="R683" s="5" t="inlineStr">
        <is>
          <t>199-2024-12-31</t>
        </is>
      </c>
    </row>
    <row r="684">
      <c r="A684" s="21" t="n">
        <v>199</v>
      </c>
      <c r="B684" s="5" t="inlineStr">
        <is>
          <t>Nivel de cumplimiento de eficacia las capacitaciones</t>
        </is>
      </c>
      <c r="C684" s="5" t="inlineStr">
        <is>
          <t>GESTIÓN Y DESARROLLO DEL TALENTO HUMANO</t>
        </is>
      </c>
      <c r="D684" s="5" t="inlineStr">
        <is>
          <t>Trimestral</t>
        </is>
      </c>
      <c r="E684" s="5" t="inlineStr">
        <is>
          <t>Positivo</t>
        </is>
      </c>
      <c r="F684" s="106" t="n">
        <v>45838</v>
      </c>
      <c r="G684" s="5" t="n">
        <v>2025</v>
      </c>
      <c r="H684" s="5" t="inlineStr">
        <is>
          <t>Junio</t>
        </is>
      </c>
      <c r="I684" s="6" t="inlineStr">
        <is>
          <t>2025-1</t>
        </is>
      </c>
      <c r="J684" s="5" t="n">
        <v>80</v>
      </c>
      <c r="K684" s="9" t="n">
        <v>92.09999999999999</v>
      </c>
      <c r="L684" s="14">
        <f>IFERROR(IF(OR(J684=0,K684=""),"",IF(E684="Positivo",MIN(MAX(K684/J684,0),1.3),MIN(MAX(J684/K684,0),1.3))),"") </f>
        <v/>
      </c>
      <c r="M684" s="14">
        <f>IFERROR(IF(OR(J684=0,K684=""),"",IF(E684="Positivo",MAX(K684/J684,0),MAX(J684/K684,0))),"") </f>
        <v/>
      </c>
      <c r="N684" s="5" t="inlineStr">
        <is>
          <t>%</t>
        </is>
      </c>
      <c r="O684" s="5" t="inlineStr">
        <is>
          <t>%</t>
        </is>
      </c>
      <c r="P684" s="15" t="n">
        <v>0</v>
      </c>
      <c r="Q684" s="15" t="n">
        <v>0</v>
      </c>
      <c r="R684" s="5" t="inlineStr">
        <is>
          <t>199-2025-06-30</t>
        </is>
      </c>
    </row>
    <row r="685">
      <c r="A685" s="21" t="n">
        <v>199</v>
      </c>
      <c r="B685" s="5" t="inlineStr">
        <is>
          <t>Nivel de cumplimiento de eficacia las capacitaciones</t>
        </is>
      </c>
      <c r="C685" s="5" t="inlineStr">
        <is>
          <t>GESTIÓN Y DESARROLLO DEL TALENTO HUMANO</t>
        </is>
      </c>
      <c r="D685" s="5" t="inlineStr">
        <is>
          <t>Trimestral</t>
        </is>
      </c>
      <c r="E685" s="5" t="inlineStr">
        <is>
          <t>Positivo</t>
        </is>
      </c>
      <c r="F685" s="107" t="n">
        <v>46022</v>
      </c>
      <c r="G685" s="5" t="n">
        <v>2025</v>
      </c>
      <c r="H685" s="5" t="inlineStr">
        <is>
          <t>Diciembre</t>
        </is>
      </c>
      <c r="I685" s="6" t="inlineStr">
        <is>
          <t>2025-2</t>
        </is>
      </c>
      <c r="J685" s="5" t="n">
        <v>80</v>
      </c>
      <c r="K685" s="9" t="n">
        <v>92.89</v>
      </c>
      <c r="L685" s="14">
        <f>IFERROR(IF(OR(J685=0,K685=""),"",IF(E685="Positivo",MIN(MAX(K685/J685,0),1.3),MIN(MAX(J685/K685,0),1.3))),"") </f>
        <v/>
      </c>
      <c r="M685" s="14">
        <f>IFERROR(IF(OR(J685=0,K685=""),"",IF(E685="Positivo",MAX(K685/J685,0),MAX(J685/K685,0))),"") </f>
        <v/>
      </c>
      <c r="N685" s="5" t="inlineStr">
        <is>
          <t>%</t>
        </is>
      </c>
      <c r="O685" s="5" t="inlineStr">
        <is>
          <t>%</t>
        </is>
      </c>
      <c r="P685" s="15" t="n">
        <v>0</v>
      </c>
      <c r="Q685" s="15" t="n">
        <v>0</v>
      </c>
      <c r="R685" s="5" t="inlineStr">
        <is>
          <t>199-2025-12-31</t>
        </is>
      </c>
    </row>
    <row r="686">
      <c r="A686" s="21" t="n">
        <v>200</v>
      </c>
      <c r="B686" s="5" t="inlineStr">
        <is>
          <t>Nivel de efectividad de las capacitaciones</t>
        </is>
      </c>
      <c r="C686" s="5" t="inlineStr">
        <is>
          <t>GESTIÓN Y DESARROLLO DEL TALENTO HUMANO</t>
        </is>
      </c>
      <c r="D686" s="5" t="inlineStr">
        <is>
          <t>Anual</t>
        </is>
      </c>
      <c r="E686" s="5" t="inlineStr">
        <is>
          <t>Positivo</t>
        </is>
      </c>
      <c r="F686" s="107" t="n">
        <v>44926</v>
      </c>
      <c r="G686" s="5" t="n">
        <v>2022</v>
      </c>
      <c r="H686" s="5" t="inlineStr">
        <is>
          <t>Diciembre</t>
        </is>
      </c>
      <c r="I686" s="6" t="inlineStr">
        <is>
          <t>2022-2</t>
        </is>
      </c>
      <c r="J686" s="5" t="n">
        <v>70</v>
      </c>
      <c r="K686" s="9" t="n"/>
      <c r="L686" s="14" t="n"/>
      <c r="M686" s="14" t="n"/>
      <c r="N686" s="5" t="inlineStr">
        <is>
          <t>%</t>
        </is>
      </c>
      <c r="O686" s="5" t="inlineStr">
        <is>
          <t>No Aplica</t>
        </is>
      </c>
      <c r="P686" s="15" t="n">
        <v>0</v>
      </c>
      <c r="Q686" s="15" t="n">
        <v>1</v>
      </c>
      <c r="R686" s="5" t="inlineStr">
        <is>
          <t>200-2022-12-31</t>
        </is>
      </c>
      <c r="S686" t="inlineStr">
        <is>
          <t>No Aplica</t>
        </is>
      </c>
    </row>
    <row r="687">
      <c r="A687" s="21" t="n">
        <v>200</v>
      </c>
      <c r="B687" s="5" t="inlineStr">
        <is>
          <t>Nivel de efectividad de las capacitaciones</t>
        </is>
      </c>
      <c r="C687" s="5" t="inlineStr">
        <is>
          <t>GESTIÓN Y DESARROLLO DEL TALENTO HUMANO</t>
        </is>
      </c>
      <c r="D687" s="5" t="inlineStr">
        <is>
          <t>Anual</t>
        </is>
      </c>
      <c r="E687" s="5" t="inlineStr">
        <is>
          <t>Positivo</t>
        </is>
      </c>
      <c r="F687" s="107" t="n">
        <v>45291</v>
      </c>
      <c r="G687" s="5" t="n">
        <v>2023</v>
      </c>
      <c r="H687" s="5" t="inlineStr">
        <is>
          <t>Diciembre</t>
        </is>
      </c>
      <c r="I687" s="6" t="inlineStr">
        <is>
          <t>2023-2</t>
        </is>
      </c>
      <c r="J687" s="5" t="n">
        <v>70</v>
      </c>
      <c r="K687" s="9" t="n">
        <v>90</v>
      </c>
      <c r="L687" s="14">
        <f>IFERROR(IF(OR(J687=0,K687=""),"",IF(E687="Positivo",MIN(MAX(K687/J687,0),1.3),MIN(MAX(J687/K687,0),1.3))),"") </f>
        <v/>
      </c>
      <c r="M687" s="14">
        <f>IFERROR(IF(OR(J687=0,K687=""),"",IF(E687="Positivo",MAX(K687/J687,0),MAX(J687/K687,0))),"") </f>
        <v/>
      </c>
      <c r="N687" s="5" t="inlineStr">
        <is>
          <t>Linea Base</t>
        </is>
      </c>
      <c r="O687" s="5" t="inlineStr">
        <is>
          <t>%</t>
        </is>
      </c>
      <c r="P687" s="15" t="n">
        <v>0</v>
      </c>
      <c r="Q687" s="15" t="n">
        <v>0</v>
      </c>
      <c r="R687" s="5" t="inlineStr">
        <is>
          <t>200-2023-12-31</t>
        </is>
      </c>
    </row>
    <row r="688">
      <c r="A688" s="21" t="n">
        <v>200</v>
      </c>
      <c r="B688" s="5" t="inlineStr">
        <is>
          <t>Nivel de efectividad de las capacitaciones</t>
        </is>
      </c>
      <c r="C688" s="5" t="inlineStr">
        <is>
          <t>GESTIÓN Y DESARROLLO DEL TALENTO HUMANO</t>
        </is>
      </c>
      <c r="D688" s="5" t="inlineStr">
        <is>
          <t>Anual</t>
        </is>
      </c>
      <c r="E688" s="5" t="inlineStr">
        <is>
          <t>Positivo</t>
        </is>
      </c>
      <c r="F688" s="107" t="n">
        <v>45657</v>
      </c>
      <c r="G688" s="5" t="n">
        <v>2024</v>
      </c>
      <c r="H688" s="5" t="inlineStr">
        <is>
          <t>Diciembre</t>
        </is>
      </c>
      <c r="I688" s="6" t="inlineStr">
        <is>
          <t>2024-2</t>
        </is>
      </c>
      <c r="J688" s="5" t="n">
        <v>80</v>
      </c>
      <c r="K688" s="9" t="n">
        <v>87.40000000000001</v>
      </c>
      <c r="L688" s="14">
        <f>IFERROR(IF(OR(J688=0,K688=""),"",IF(E688="Positivo",MIN(MAX(K688/J688,0),1.3),MIN(MAX(J688/K688,0),1.3))),"") </f>
        <v/>
      </c>
      <c r="M688" s="14">
        <f>IFERROR(IF(OR(J688=0,K688=""),"",IF(E688="Positivo",MAX(K688/J688,0),MAX(J688/K688,0))),"") </f>
        <v/>
      </c>
      <c r="N688" s="5" t="inlineStr">
        <is>
          <t>Linea Base</t>
        </is>
      </c>
      <c r="O688" s="5" t="inlineStr">
        <is>
          <t>%</t>
        </is>
      </c>
      <c r="P688" s="15" t="n">
        <v>0</v>
      </c>
      <c r="Q688" s="15" t="n">
        <v>0</v>
      </c>
      <c r="R688" s="5" t="inlineStr">
        <is>
          <t>200-2024-12-31</t>
        </is>
      </c>
    </row>
    <row r="689">
      <c r="A689" s="21" t="n">
        <v>200</v>
      </c>
      <c r="B689" s="5" t="inlineStr">
        <is>
          <t>Nivel de efectividad de las capacitaciones</t>
        </is>
      </c>
      <c r="C689" s="5" t="inlineStr">
        <is>
          <t>GESTIÓN Y DESARROLLO DEL TALENTO HUMANO</t>
        </is>
      </c>
      <c r="D689" s="5" t="inlineStr">
        <is>
          <t>Anual</t>
        </is>
      </c>
      <c r="E689" s="5" t="inlineStr">
        <is>
          <t>Positivo</t>
        </is>
      </c>
      <c r="F689" s="107" t="n">
        <v>46022</v>
      </c>
      <c r="G689" s="5" t="n">
        <v>2025</v>
      </c>
      <c r="H689" s="5" t="inlineStr">
        <is>
          <t>Diciembre</t>
        </is>
      </c>
      <c r="I689" s="6" t="inlineStr">
        <is>
          <t>2025-2</t>
        </is>
      </c>
      <c r="J689" s="5" t="n">
        <v>87</v>
      </c>
      <c r="K689" s="9" t="n">
        <v>90.84999999999999</v>
      </c>
      <c r="L689" s="14">
        <f>IFERROR(IF(OR(J689=0,K689=""),"",IF(E689="Positivo",MIN(MAX(K689/J689,0),1.3),MIN(MAX(J689/K689,0),1.3))),"") </f>
        <v/>
      </c>
      <c r="M689" s="14">
        <f>IFERROR(IF(OR(J689=0,K689=""),"",IF(E689="Positivo",MAX(K689/J689,0),MAX(J689/K689,0))),"") </f>
        <v/>
      </c>
      <c r="N689" s="5" t="inlineStr">
        <is>
          <t>%</t>
        </is>
      </c>
      <c r="O689" s="5" t="inlineStr">
        <is>
          <t>%</t>
        </is>
      </c>
      <c r="P689" s="15" t="n">
        <v>0</v>
      </c>
      <c r="Q689" s="15" t="n">
        <v>1</v>
      </c>
      <c r="R689" s="5" t="inlineStr">
        <is>
          <t>200-2025-12-31</t>
        </is>
      </c>
    </row>
    <row r="690">
      <c r="A690" s="21" t="n">
        <v>202</v>
      </c>
      <c r="B690" s="5" t="inlineStr">
        <is>
          <t>Great Place to Work</t>
        </is>
      </c>
      <c r="C690" s="5" t="inlineStr">
        <is>
          <t>GESTIÓN Y DESARROLLO DEL TALENTO HUMANO</t>
        </is>
      </c>
      <c r="D690" s="5" t="inlineStr">
        <is>
          <t>Anual</t>
        </is>
      </c>
      <c r="E690" s="5" t="inlineStr">
        <is>
          <t>Positivo</t>
        </is>
      </c>
      <c r="F690" s="107" t="n">
        <v>45291</v>
      </c>
      <c r="G690" s="5" t="n">
        <v>2023</v>
      </c>
      <c r="H690" s="5" t="inlineStr">
        <is>
          <t>Diciembre</t>
        </is>
      </c>
      <c r="I690" s="6" t="inlineStr">
        <is>
          <t>2023-2</t>
        </is>
      </c>
      <c r="J690" s="5" t="n">
        <v>66</v>
      </c>
      <c r="K690" s="9" t="n">
        <v>64.7</v>
      </c>
      <c r="L690" s="14">
        <f>IFERROR(IF(OR(J690=0,K690=""),"",IF(E690="Positivo",MIN(MAX(K690/J690,0),1.3),MIN(MAX(J690/K690,0),1.3))),"") </f>
        <v/>
      </c>
      <c r="M690" s="14">
        <f>IFERROR(IF(OR(J690=0,K690=""),"",IF(E690="Positivo",MAX(K690/J690,0),MAX(J690/K690,0))),"") </f>
        <v/>
      </c>
      <c r="N690" s="5" t="inlineStr">
        <is>
          <t>Linea Base</t>
        </is>
      </c>
      <c r="O690" s="5" t="inlineStr">
        <is>
          <t>%</t>
        </is>
      </c>
      <c r="P690" s="15" t="n">
        <v>1</v>
      </c>
      <c r="Q690" s="15" t="n">
        <v>1</v>
      </c>
      <c r="R690" s="5" t="inlineStr">
        <is>
          <t>202-2023-12-31</t>
        </is>
      </c>
    </row>
    <row r="691">
      <c r="A691" s="21" t="n">
        <v>202</v>
      </c>
      <c r="B691" s="5" t="inlineStr">
        <is>
          <t>Great Place to Work</t>
        </is>
      </c>
      <c r="C691" s="5" t="inlineStr">
        <is>
          <t>GESTIÓN Y DESARROLLO DEL TALENTO HUMANO</t>
        </is>
      </c>
      <c r="D691" s="5" t="inlineStr">
        <is>
          <t>Anual</t>
        </is>
      </c>
      <c r="E691" s="5" t="inlineStr">
        <is>
          <t>Positivo</t>
        </is>
      </c>
      <c r="F691" s="107" t="n">
        <v>45657</v>
      </c>
      <c r="G691" s="5" t="n">
        <v>2024</v>
      </c>
      <c r="H691" s="5" t="inlineStr">
        <is>
          <t>Diciembre</t>
        </is>
      </c>
      <c r="I691" s="6" t="inlineStr">
        <is>
          <t>2024-2</t>
        </is>
      </c>
      <c r="J691" s="5" t="n"/>
      <c r="K691" s="9" t="n">
        <v>0</v>
      </c>
      <c r="L691" s="14" t="n"/>
      <c r="M691" s="14" t="n"/>
      <c r="N691" s="5" t="inlineStr">
        <is>
          <t>DEC</t>
        </is>
      </c>
      <c r="O691" s="5" t="inlineStr">
        <is>
          <t>DEC</t>
        </is>
      </c>
      <c r="P691" s="15" t="n">
        <v>1</v>
      </c>
      <c r="Q691" s="15" t="n">
        <v>0</v>
      </c>
      <c r="R691" s="5" t="inlineStr">
        <is>
          <t>202-2024-12-31</t>
        </is>
      </c>
    </row>
    <row r="692">
      <c r="A692" s="26" t="n">
        <v>202</v>
      </c>
      <c r="B692" s="5" t="inlineStr">
        <is>
          <t>Great Place to Work</t>
        </is>
      </c>
      <c r="C692" s="5" t="inlineStr">
        <is>
          <t>GESTIÓN Y DESARROLLO DEL TALENTO HUMANO</t>
        </is>
      </c>
      <c r="D692" s="5" t="inlineStr">
        <is>
          <t>Anual</t>
        </is>
      </c>
      <c r="E692" s="5" t="inlineStr">
        <is>
          <t>Positivo</t>
        </is>
      </c>
      <c r="F692" s="107" t="n">
        <v>46022</v>
      </c>
      <c r="G692" s="5" t="n">
        <v>2025</v>
      </c>
      <c r="H692" s="5" t="inlineStr">
        <is>
          <t>Diciembre</t>
        </is>
      </c>
      <c r="I692" s="6" t="inlineStr">
        <is>
          <t>2025-2</t>
        </is>
      </c>
      <c r="J692" s="5" t="n">
        <v>68.7</v>
      </c>
      <c r="K692" s="9" t="n">
        <v>81</v>
      </c>
      <c r="L692" s="14">
        <f>IFERROR(IF(OR(J692=0,K692=""),"",IF(E692="Positivo",MIN(MAX(K692/J692,0),1.3),MIN(MAX(J692/K692,0),1.3))),"") </f>
        <v/>
      </c>
      <c r="M692" s="14">
        <f>IFERROR(IF(OR(J692=0,K692=""),"",IF(E692="Positivo",MAX(K692/J692,0),MAX(J692/K692,0))),"") </f>
        <v/>
      </c>
      <c r="N692" s="5" t="inlineStr">
        <is>
          <t>DEC</t>
        </is>
      </c>
      <c r="O692" s="5" t="inlineStr">
        <is>
          <t>DEC</t>
        </is>
      </c>
      <c r="P692" s="15" t="n">
        <v>1</v>
      </c>
      <c r="Q692" s="15" t="n">
        <v>0</v>
      </c>
      <c r="R692" s="5" t="inlineStr">
        <is>
          <t>202-2025-12-31</t>
        </is>
      </c>
    </row>
    <row r="693">
      <c r="A693" s="26" t="n">
        <v>203</v>
      </c>
      <c r="B693" s="5" t="inlineStr">
        <is>
          <t>Cumplimiento de Ingresos</t>
        </is>
      </c>
      <c r="C693" s="5" t="inlineStr">
        <is>
          <t>Planeación Financiera</t>
        </is>
      </c>
      <c r="D693" s="5" t="inlineStr">
        <is>
          <t>Trimestral</t>
        </is>
      </c>
      <c r="E693" s="5" t="inlineStr">
        <is>
          <t>Positivo</t>
        </is>
      </c>
      <c r="F693" s="107" t="n">
        <v>44651</v>
      </c>
      <c r="G693" s="5" t="n">
        <v>2022</v>
      </c>
      <c r="H693" s="5" t="inlineStr">
        <is>
          <t>Marzo</t>
        </is>
      </c>
      <c r="I693" s="6" t="inlineStr">
        <is>
          <t>2022-1</t>
        </is>
      </c>
      <c r="J693" s="5" t="n"/>
      <c r="K693" s="9" t="n"/>
      <c r="L693" s="14" t="n"/>
      <c r="M693" s="14" t="n"/>
      <c r="N693" s="5" t="inlineStr">
        <is>
          <t>$</t>
        </is>
      </c>
      <c r="O693" s="5" t="inlineStr">
        <is>
          <t>No Aplica</t>
        </is>
      </c>
      <c r="P693" s="15" t="n">
        <v>0</v>
      </c>
      <c r="Q693" s="15" t="n">
        <v>0</v>
      </c>
      <c r="R693" s="5" t="inlineStr">
        <is>
          <t>203-2022-03-31</t>
        </is>
      </c>
      <c r="S693" t="inlineStr">
        <is>
          <t>No Aplica</t>
        </is>
      </c>
    </row>
    <row r="694">
      <c r="A694" s="26" t="n">
        <v>203</v>
      </c>
      <c r="B694" s="5" t="inlineStr">
        <is>
          <t>Cumplimiento de Ingresos</t>
        </is>
      </c>
      <c r="C694" s="5" t="inlineStr">
        <is>
          <t>Planeación Financiera</t>
        </is>
      </c>
      <c r="D694" s="5" t="inlineStr">
        <is>
          <t>Semestral</t>
        </is>
      </c>
      <c r="E694" s="5" t="inlineStr">
        <is>
          <t>Positivo</t>
        </is>
      </c>
      <c r="F694" s="107" t="n">
        <v>44742</v>
      </c>
      <c r="G694" s="5" t="n">
        <v>2022</v>
      </c>
      <c r="H694" s="5" t="inlineStr">
        <is>
          <t>Junio</t>
        </is>
      </c>
      <c r="I694" s="6" t="inlineStr">
        <is>
          <t>2022-1</t>
        </is>
      </c>
      <c r="J694" s="5" t="n">
        <v>113672</v>
      </c>
      <c r="K694" s="9" t="n">
        <v>119144</v>
      </c>
      <c r="L694" s="14">
        <f>IFERROR(IF(OR(J694=0,K694=""),"",IF(E694="Positivo",MIN(MAX(K694/J694,0),1.3),MIN(MAX(J694/K694,0),1.3))),"") </f>
        <v/>
      </c>
      <c r="M694" s="14">
        <f>IFERROR(IF(OR(J694=0,K694=""),"",IF(E694="Positivo",MAX(K694/J694,0),MAX(J694/K694,0))),"") </f>
        <v/>
      </c>
      <c r="N694" s="5" t="inlineStr">
        <is>
          <t>$</t>
        </is>
      </c>
      <c r="O694" s="5" t="inlineStr">
        <is>
          <t>$</t>
        </is>
      </c>
      <c r="P694" s="15" t="n">
        <v>0</v>
      </c>
      <c r="Q694" s="15" t="n">
        <v>0</v>
      </c>
      <c r="R694" s="5" t="inlineStr">
        <is>
          <t>203-2022-06-30</t>
        </is>
      </c>
    </row>
    <row r="695">
      <c r="A695" s="21" t="n">
        <v>203</v>
      </c>
      <c r="B695" s="5" t="inlineStr">
        <is>
          <t>Cumplimiento de Ingresos</t>
        </is>
      </c>
      <c r="C695" s="5" t="inlineStr">
        <is>
          <t>Planeación Financiera</t>
        </is>
      </c>
      <c r="D695" s="5" t="inlineStr">
        <is>
          <t>Semestral</t>
        </is>
      </c>
      <c r="E695" s="5" t="inlineStr">
        <is>
          <t>Positivo</t>
        </is>
      </c>
      <c r="F695" s="107" t="n">
        <v>44926</v>
      </c>
      <c r="G695" s="5" t="n">
        <v>2022</v>
      </c>
      <c r="H695" s="5" t="inlineStr">
        <is>
          <t>Diciembre</t>
        </is>
      </c>
      <c r="I695" s="6" t="inlineStr">
        <is>
          <t>2022-2</t>
        </is>
      </c>
      <c r="J695" s="5" t="n">
        <v>224440</v>
      </c>
      <c r="K695" s="10" t="n">
        <v>240882</v>
      </c>
      <c r="L695" s="14">
        <f>IFERROR(IF(OR(J695=0,K695=""),"",IF(E695="Positivo",MIN(MAX(K695/J695,0),1.3),MIN(MAX(J695/K695,0),1.3))),"") </f>
        <v/>
      </c>
      <c r="M695" s="14">
        <f>IFERROR(IF(OR(J695=0,K695=""),"",IF(E695="Positivo",MAX(K695/J695,0),MAX(J695/K695,0))),"") </f>
        <v/>
      </c>
      <c r="N695" s="5" t="inlineStr">
        <is>
          <t>$</t>
        </is>
      </c>
      <c r="O695" s="5" t="inlineStr">
        <is>
          <t>$</t>
        </is>
      </c>
      <c r="P695" s="15" t="n">
        <v>0</v>
      </c>
      <c r="Q695" s="15" t="n">
        <v>0</v>
      </c>
      <c r="R695" s="5" t="inlineStr">
        <is>
          <t>203-2022-12-31</t>
        </is>
      </c>
    </row>
    <row r="696">
      <c r="A696" s="21" t="n">
        <v>203</v>
      </c>
      <c r="B696" s="5" t="inlineStr">
        <is>
          <t>Cumplimiento de Ingresos</t>
        </is>
      </c>
      <c r="C696" s="5" t="inlineStr">
        <is>
          <t>Planeación Financiera</t>
        </is>
      </c>
      <c r="D696" s="5" t="inlineStr">
        <is>
          <t>Semestral</t>
        </is>
      </c>
      <c r="E696" s="5" t="inlineStr">
        <is>
          <t>Positivo</t>
        </is>
      </c>
      <c r="F696" s="106" t="n">
        <v>45107</v>
      </c>
      <c r="G696" s="5" t="n">
        <v>2023</v>
      </c>
      <c r="H696" s="5" t="inlineStr">
        <is>
          <t>Junio</t>
        </is>
      </c>
      <c r="I696" s="6" t="inlineStr">
        <is>
          <t>2023-1</t>
        </is>
      </c>
      <c r="J696" s="5" t="n">
        <v>95</v>
      </c>
      <c r="K696" s="9" t="n">
        <v>104.63235542785</v>
      </c>
      <c r="L696" s="14">
        <f>IFERROR(IF(OR(J696=0,K696=""),"",IF(E696="Positivo",MIN(MAX(K696/J696,0),1.3),MIN(MAX(J696/K696,0),1.3))),"") </f>
        <v/>
      </c>
      <c r="M696" s="14">
        <f>IFERROR(IF(OR(J696=0,K696=""),"",IF(E696="Positivo",MAX(K696/J696,0),MAX(J696/K696,0))),"") </f>
        <v/>
      </c>
      <c r="N696" s="5" t="inlineStr">
        <is>
          <t>$</t>
        </is>
      </c>
      <c r="O696" s="5" t="inlineStr">
        <is>
          <t>$</t>
        </is>
      </c>
      <c r="P696" s="15" t="n">
        <v>0</v>
      </c>
      <c r="Q696" s="15" t="n">
        <v>0</v>
      </c>
      <c r="R696" s="5" t="inlineStr">
        <is>
          <t>203-2023-06-30</t>
        </is>
      </c>
    </row>
    <row r="697">
      <c r="A697" s="26" t="n">
        <v>203</v>
      </c>
      <c r="B697" s="5" t="inlineStr">
        <is>
          <t>Cumplimiento de Ingresos</t>
        </is>
      </c>
      <c r="C697" s="5" t="inlineStr">
        <is>
          <t>Planeación Financiera</t>
        </is>
      </c>
      <c r="D697" s="5" t="inlineStr">
        <is>
          <t>Semestral</t>
        </is>
      </c>
      <c r="E697" s="5" t="inlineStr">
        <is>
          <t>Positivo</t>
        </is>
      </c>
      <c r="F697" s="107" t="n">
        <v>45291</v>
      </c>
      <c r="G697" s="5" t="n">
        <v>2023</v>
      </c>
      <c r="H697" s="5" t="inlineStr">
        <is>
          <t>Diciembre</t>
        </is>
      </c>
      <c r="I697" s="6" t="inlineStr">
        <is>
          <t>2023-2</t>
        </is>
      </c>
      <c r="J697" s="5" t="n">
        <v>95</v>
      </c>
      <c r="K697" s="9" t="n">
        <v>103.36740380481</v>
      </c>
      <c r="L697" s="14">
        <f>IFERROR(IF(OR(J697=0,K697=""),"",IF(E697="Positivo",MIN(MAX(K697/J697,0),1.3),MIN(MAX(J697/K697,0),1.3))),"") </f>
        <v/>
      </c>
      <c r="M697" s="14">
        <f>IFERROR(IF(OR(J697=0,K697=""),"",IF(E697="Positivo",MAX(K697/J697,0),MAX(J697/K697,0))),"") </f>
        <v/>
      </c>
      <c r="N697" s="5" t="inlineStr">
        <is>
          <t>$</t>
        </is>
      </c>
      <c r="O697" s="5" t="inlineStr">
        <is>
          <t>$</t>
        </is>
      </c>
      <c r="P697" s="15" t="n">
        <v>0</v>
      </c>
      <c r="Q697" s="15" t="n">
        <v>0</v>
      </c>
      <c r="R697" s="5" t="inlineStr">
        <is>
          <t>203-2023-12-31</t>
        </is>
      </c>
    </row>
    <row r="698">
      <c r="A698" s="21" t="n">
        <v>203</v>
      </c>
      <c r="B698" s="5" t="inlineStr">
        <is>
          <t>Cumplimiento de Ingresos</t>
        </is>
      </c>
      <c r="C698" s="5" t="inlineStr">
        <is>
          <t>Planeación Financiera</t>
        </is>
      </c>
      <c r="D698" s="5" t="inlineStr">
        <is>
          <t>Semestral</t>
        </is>
      </c>
      <c r="E698" s="5" t="inlineStr">
        <is>
          <t>Positivo</t>
        </is>
      </c>
      <c r="F698" s="106" t="n">
        <v>45473</v>
      </c>
      <c r="G698" s="5" t="n">
        <v>2024</v>
      </c>
      <c r="H698" s="5" t="inlineStr">
        <is>
          <t>Junio</t>
        </is>
      </c>
      <c r="I698" s="6" t="inlineStr">
        <is>
          <t>2024-1</t>
        </is>
      </c>
      <c r="J698" s="5" t="n">
        <v>95</v>
      </c>
      <c r="K698" s="9" t="n">
        <v>102.01</v>
      </c>
      <c r="L698" s="14">
        <f>IFERROR(IF(OR(J698=0,K698=""),"",IF(E698="Positivo",MIN(MAX(K698/J698,0),1.3),MIN(MAX(J698/K698,0),1.3))),"") </f>
        <v/>
      </c>
      <c r="M698" s="14">
        <f>IFERROR(IF(OR(J698=0,K698=""),"",IF(E698="Positivo",MAX(K698/J698,0),MAX(J698/K698,0))),"") </f>
        <v/>
      </c>
      <c r="N698" s="5" t="inlineStr">
        <is>
          <t>$</t>
        </is>
      </c>
      <c r="O698" s="5" t="inlineStr">
        <is>
          <t>$</t>
        </is>
      </c>
      <c r="P698" s="15" t="n">
        <v>0</v>
      </c>
      <c r="Q698" s="15" t="n">
        <v>0</v>
      </c>
      <c r="R698" s="5" t="inlineStr">
        <is>
          <t>203-2024-06-30</t>
        </is>
      </c>
    </row>
    <row r="699">
      <c r="A699" s="21" t="n">
        <v>203</v>
      </c>
      <c r="B699" s="5" t="inlineStr">
        <is>
          <t>Cumplimiento de Ingresos</t>
        </is>
      </c>
      <c r="C699" s="5" t="inlineStr">
        <is>
          <t>Planeación Financiera</t>
        </is>
      </c>
      <c r="D699" s="5" t="inlineStr">
        <is>
          <t>Semestral</t>
        </is>
      </c>
      <c r="E699" s="5" t="inlineStr">
        <is>
          <t>Positivo</t>
        </is>
      </c>
      <c r="F699" s="107" t="n">
        <v>45657</v>
      </c>
      <c r="G699" s="5" t="n">
        <v>2024</v>
      </c>
      <c r="H699" s="5" t="inlineStr">
        <is>
          <t>Diciembre</t>
        </is>
      </c>
      <c r="I699" s="6" t="inlineStr">
        <is>
          <t>2024-2</t>
        </is>
      </c>
      <c r="J699" s="5" t="n">
        <v>95</v>
      </c>
      <c r="K699" s="10" t="n">
        <v>102.84</v>
      </c>
      <c r="L699" s="14">
        <f>IFERROR(IF(OR(J699=0,K699=""),"",IF(E699="Positivo",MIN(MAX(K699/J699,0),1.3),MIN(MAX(J699/K699,0),1.3))),"") </f>
        <v/>
      </c>
      <c r="M699" s="14">
        <f>IFERROR(IF(OR(J699=0,K699=""),"",IF(E699="Positivo",MAX(K699/J699,0),MAX(J699/K699,0))),"") </f>
        <v/>
      </c>
      <c r="N699" s="5" t="inlineStr">
        <is>
          <t>$</t>
        </is>
      </c>
      <c r="O699" s="5" t="inlineStr">
        <is>
          <t>$</t>
        </is>
      </c>
      <c r="P699" s="15" t="n">
        <v>0</v>
      </c>
      <c r="Q699" s="15" t="n">
        <v>0</v>
      </c>
      <c r="R699" s="5" t="inlineStr">
        <is>
          <t>203-2024-12-31</t>
        </is>
      </c>
    </row>
    <row r="700">
      <c r="A700" s="26" t="n">
        <v>203</v>
      </c>
      <c r="B700" s="5" t="inlineStr">
        <is>
          <t>Cumplimiento de Ingresos</t>
        </is>
      </c>
      <c r="C700" s="5" t="inlineStr">
        <is>
          <t>Planeación Financiera</t>
        </is>
      </c>
      <c r="D700" s="5" t="inlineStr">
        <is>
          <t>Semestral</t>
        </is>
      </c>
      <c r="E700" s="5" t="inlineStr">
        <is>
          <t>Positivo</t>
        </is>
      </c>
      <c r="F700" s="107" t="n">
        <v>45838</v>
      </c>
      <c r="G700" s="5" t="n">
        <v>2025</v>
      </c>
      <c r="H700" s="5" t="inlineStr">
        <is>
          <t>Junio</t>
        </is>
      </c>
      <c r="I700" s="6" t="inlineStr">
        <is>
          <t>2025-1</t>
        </is>
      </c>
      <c r="J700" s="5" t="n">
        <v>95</v>
      </c>
      <c r="K700" s="9" t="n">
        <v>111.77</v>
      </c>
      <c r="L700" s="14">
        <f>IFERROR(IF(OR(J700=0,K700=""),"",IF(E700="Positivo",MIN(MAX(K700/J700,0),1.3),MIN(MAX(J700/K700,0),1.3))),"") </f>
        <v/>
      </c>
      <c r="M700" s="14">
        <f>IFERROR(IF(OR(J700=0,K700=""),"",IF(E700="Positivo",MAX(K700/J700,0),MAX(J700/K700,0))),"") </f>
        <v/>
      </c>
      <c r="N700" s="5" t="inlineStr">
        <is>
          <t>$</t>
        </is>
      </c>
      <c r="O700" s="5" t="inlineStr">
        <is>
          <t>$</t>
        </is>
      </c>
      <c r="P700" s="15" t="n">
        <v>0</v>
      </c>
      <c r="Q700" s="15" t="n">
        <v>0</v>
      </c>
      <c r="R700" s="5" t="inlineStr">
        <is>
          <t>203-2025-06-30</t>
        </is>
      </c>
    </row>
    <row r="701">
      <c r="A701" s="5" t="n">
        <v>203</v>
      </c>
      <c r="B701" s="5" t="inlineStr">
        <is>
          <t>Cumplimiento de Ingresos</t>
        </is>
      </c>
      <c r="C701" s="5" t="inlineStr">
        <is>
          <t>Planeación Financiera</t>
        </is>
      </c>
      <c r="D701" s="5" t="inlineStr">
        <is>
          <t>Trimestral</t>
        </is>
      </c>
      <c r="E701" s="5" t="inlineStr">
        <is>
          <t>Positivo</t>
        </is>
      </c>
      <c r="F701" s="107" t="n">
        <v>46022</v>
      </c>
      <c r="G701" s="5" t="n">
        <v>2025</v>
      </c>
      <c r="H701" s="5" t="inlineStr">
        <is>
          <t>Diciembre</t>
        </is>
      </c>
      <c r="I701" s="6" t="inlineStr">
        <is>
          <t>2025-2</t>
        </is>
      </c>
      <c r="J701" s="5" t="n">
        <v>95</v>
      </c>
      <c r="K701" s="5" t="n">
        <v>111.33</v>
      </c>
      <c r="L701" s="14">
        <f>IFERROR(IF(OR(J701=0,K701=""),"",IF(E701="Positivo",MIN(MAX(K701/J701,0),1.3),MIN(MAX(J701/K701,0),1.3))),"") </f>
        <v/>
      </c>
      <c r="M701" s="14">
        <f>IFERROR(IF(OR(J701=0,K701=""),"",IF(E701="Positivo",MAX(K701/J701,0),MAX(J701/K701,0))),"") </f>
        <v/>
      </c>
      <c r="N701" s="5" t="inlineStr">
        <is>
          <t>$</t>
        </is>
      </c>
      <c r="O701" s="5" t="inlineStr">
        <is>
          <t>$</t>
        </is>
      </c>
      <c r="P701" s="5" t="n">
        <v>0</v>
      </c>
      <c r="Q701" s="5" t="n">
        <v>0</v>
      </c>
      <c r="R701" s="5" t="inlineStr">
        <is>
          <t>203-2025-12-31</t>
        </is>
      </c>
    </row>
    <row r="702">
      <c r="A702" s="21" t="n">
        <v>204</v>
      </c>
      <c r="B702" s="5" t="inlineStr">
        <is>
          <t>Caja</t>
        </is>
      </c>
      <c r="C702" s="5" t="inlineStr">
        <is>
          <t>Planeación Financiera</t>
        </is>
      </c>
      <c r="D702" s="5" t="inlineStr">
        <is>
          <t>Semestral</t>
        </is>
      </c>
      <c r="E702" s="5" t="inlineStr">
        <is>
          <t>Positivo</t>
        </is>
      </c>
      <c r="F702" s="107" t="n">
        <v>44742</v>
      </c>
      <c r="G702" s="5" t="n">
        <v>2022</v>
      </c>
      <c r="H702" s="5" t="inlineStr">
        <is>
          <t>Junio</t>
        </is>
      </c>
      <c r="I702" s="6" t="inlineStr">
        <is>
          <t>2022-1</t>
        </is>
      </c>
      <c r="J702" s="5" t="n">
        <v>58804</v>
      </c>
      <c r="K702" s="10" t="n">
        <v>37101</v>
      </c>
      <c r="L702" s="14">
        <f>IFERROR(IF(OR(J702=0,K702=""),"",IF(E702="Positivo",MIN(MAX(K702/J702,0),1.3),MIN(MAX(J702/K702,0),1.3))),"") </f>
        <v/>
      </c>
      <c r="M702" s="14">
        <f>IFERROR(IF(OR(J702=0,K702=""),"",IF(E702="Positivo",MAX(K702/J702,0),MAX(J702/K702,0))),"") </f>
        <v/>
      </c>
      <c r="N702" s="5" t="inlineStr">
        <is>
          <t>$</t>
        </is>
      </c>
      <c r="O702" s="5" t="inlineStr">
        <is>
          <t>$</t>
        </is>
      </c>
      <c r="P702" s="15" t="n">
        <v>0</v>
      </c>
      <c r="Q702" s="15" t="n">
        <v>0</v>
      </c>
      <c r="R702" s="5" t="inlineStr">
        <is>
          <t>204-2022-06-30</t>
        </is>
      </c>
    </row>
    <row r="703">
      <c r="A703" s="21" t="n">
        <v>204</v>
      </c>
      <c r="B703" s="5" t="inlineStr">
        <is>
          <t>Caja</t>
        </is>
      </c>
      <c r="C703" s="5" t="inlineStr">
        <is>
          <t>Planeación Financiera</t>
        </is>
      </c>
      <c r="D703" s="5" t="inlineStr">
        <is>
          <t>Semestral</t>
        </is>
      </c>
      <c r="E703" s="5" t="inlineStr">
        <is>
          <t>Positivo</t>
        </is>
      </c>
      <c r="F703" s="107" t="n">
        <v>44925</v>
      </c>
      <c r="G703" s="5" t="n">
        <v>2022</v>
      </c>
      <c r="H703" s="5" t="inlineStr">
        <is>
          <t>Diciembre</t>
        </is>
      </c>
      <c r="I703" s="6" t="inlineStr">
        <is>
          <t>2022-2</t>
        </is>
      </c>
      <c r="J703" s="5" t="n">
        <v>82987</v>
      </c>
      <c r="K703" s="9" t="n">
        <v>18386</v>
      </c>
      <c r="L703" s="14">
        <f>IFERROR(IF(OR(J703=0,K703=""),"",IF(E703="Positivo",MIN(MAX(K703/J703,0),1.3),MIN(MAX(J703/K703,0),1.3))),"") </f>
        <v/>
      </c>
      <c r="M703" s="14">
        <f>IFERROR(IF(OR(J703=0,K703=""),"",IF(E703="Positivo",MAX(K703/J703,0),MAX(J703/K703,0))),"") </f>
        <v/>
      </c>
      <c r="N703" s="5" t="inlineStr">
        <is>
          <t>$</t>
        </is>
      </c>
      <c r="O703" s="11" t="inlineStr">
        <is>
          <t>$</t>
        </is>
      </c>
      <c r="P703" s="15" t="n">
        <v>0</v>
      </c>
      <c r="Q703" s="15" t="n">
        <v>0</v>
      </c>
      <c r="R703" s="5" t="inlineStr">
        <is>
          <t>204-2022-12-30</t>
        </is>
      </c>
    </row>
    <row r="704">
      <c r="A704" s="21" t="n">
        <v>204</v>
      </c>
      <c r="B704" s="5" t="inlineStr">
        <is>
          <t>Caja</t>
        </is>
      </c>
      <c r="C704" s="5" t="inlineStr">
        <is>
          <t>Planeación Financiera</t>
        </is>
      </c>
      <c r="D704" s="5" t="inlineStr">
        <is>
          <t>Semestral</t>
        </is>
      </c>
      <c r="E704" s="5" t="inlineStr">
        <is>
          <t>Positivo</t>
        </is>
      </c>
      <c r="F704" s="106" t="n">
        <v>45107</v>
      </c>
      <c r="G704" s="5" t="n">
        <v>2023</v>
      </c>
      <c r="H704" s="5" t="inlineStr">
        <is>
          <t>Junio</t>
        </is>
      </c>
      <c r="I704" s="6" t="inlineStr">
        <is>
          <t>2023-1</t>
        </is>
      </c>
      <c r="J704" s="5" t="n">
        <v>95</v>
      </c>
      <c r="K704" s="9" t="n">
        <v>194.75668793403</v>
      </c>
      <c r="L704" s="14">
        <f>IFERROR(IF(OR(J704=0,K704=""),"",IF(E704="Positivo",MIN(MAX(K704/J704,0),1.3),MIN(MAX(J704/K704,0),1.3))),"") </f>
        <v/>
      </c>
      <c r="M704" s="14">
        <f>IFERROR(IF(OR(J704=0,K704=""),"",IF(E704="Positivo",MAX(K704/J704,0),MAX(J704/K704,0))),"") </f>
        <v/>
      </c>
      <c r="N704" s="5" t="inlineStr">
        <is>
          <t>$</t>
        </is>
      </c>
      <c r="O704" s="11" t="inlineStr">
        <is>
          <t>$</t>
        </is>
      </c>
      <c r="P704" s="15" t="n">
        <v>0</v>
      </c>
      <c r="Q704" s="15" t="n">
        <v>0</v>
      </c>
      <c r="R704" s="5" t="inlineStr">
        <is>
          <t>204-2023-06-30</t>
        </is>
      </c>
    </row>
    <row r="705">
      <c r="A705" s="21" t="n">
        <v>204</v>
      </c>
      <c r="B705" s="5" t="inlineStr">
        <is>
          <t>Caja</t>
        </is>
      </c>
      <c r="C705" s="5" t="inlineStr">
        <is>
          <t>Planeación Financiera</t>
        </is>
      </c>
      <c r="D705" s="5" t="inlineStr">
        <is>
          <t>Semestral</t>
        </is>
      </c>
      <c r="E705" s="5" t="inlineStr">
        <is>
          <t>Positivo</t>
        </is>
      </c>
      <c r="F705" s="107" t="n">
        <v>45291</v>
      </c>
      <c r="G705" s="5" t="n">
        <v>2023</v>
      </c>
      <c r="H705" s="5" t="inlineStr">
        <is>
          <t>Diciembre</t>
        </is>
      </c>
      <c r="I705" s="6" t="inlineStr">
        <is>
          <t>2023-2</t>
        </is>
      </c>
      <c r="J705" s="5" t="n">
        <v>95</v>
      </c>
      <c r="K705" s="9" t="n">
        <v>162.37</v>
      </c>
      <c r="L705" s="14">
        <f>IFERROR(IF(OR(J705=0,K705=""),"",IF(E705="Positivo",MIN(MAX(K705/J705,0),1.3),MIN(MAX(J705/K705,0),1.3))),"") </f>
        <v/>
      </c>
      <c r="M705" s="14">
        <f>IFERROR(IF(OR(J705=0,K705=""),"",IF(E705="Positivo",MAX(K705/J705,0),MAX(J705/K705,0))),"") </f>
        <v/>
      </c>
      <c r="N705" s="5" t="inlineStr">
        <is>
          <t>$</t>
        </is>
      </c>
      <c r="O705" s="11" t="inlineStr">
        <is>
          <t>$</t>
        </is>
      </c>
      <c r="P705" s="15" t="n">
        <v>0</v>
      </c>
      <c r="Q705" s="15" t="n">
        <v>0</v>
      </c>
      <c r="R705" s="5" t="inlineStr">
        <is>
          <t>204-2023-12-31</t>
        </is>
      </c>
    </row>
    <row r="706">
      <c r="A706" s="21" t="n">
        <v>204</v>
      </c>
      <c r="B706" s="5" t="inlineStr">
        <is>
          <t>Caja</t>
        </is>
      </c>
      <c r="C706" s="5" t="inlineStr">
        <is>
          <t>Planeación Financiera</t>
        </is>
      </c>
      <c r="D706" s="5" t="inlineStr">
        <is>
          <t>Semestral</t>
        </is>
      </c>
      <c r="E706" s="5" t="inlineStr">
        <is>
          <t>Positivo</t>
        </is>
      </c>
      <c r="F706" s="107" t="n">
        <v>45473</v>
      </c>
      <c r="G706" s="5" t="n">
        <v>2024</v>
      </c>
      <c r="H706" s="5" t="inlineStr">
        <is>
          <t>Junio</t>
        </is>
      </c>
      <c r="I706" s="6" t="inlineStr">
        <is>
          <t>2024-1</t>
        </is>
      </c>
      <c r="J706" s="5" t="n">
        <v>95</v>
      </c>
      <c r="K706" s="9" t="n">
        <v>133.55</v>
      </c>
      <c r="L706" s="14">
        <f>IFERROR(IF(OR(J706=0,K706=""),"",IF(E706="Positivo",MIN(MAX(K706/J706,0),1.3),MIN(MAX(J706/K706,0),1.3))),"") </f>
        <v/>
      </c>
      <c r="M706" s="14">
        <f>IFERROR(IF(OR(J706=0,K706=""),"",IF(E706="Positivo",MAX(K706/J706,0),MAX(J706/K706,0))),"") </f>
        <v/>
      </c>
      <c r="N706" s="5" t="inlineStr">
        <is>
          <t>$</t>
        </is>
      </c>
      <c r="O706" s="11" t="inlineStr">
        <is>
          <t>$</t>
        </is>
      </c>
      <c r="P706" s="15" t="n">
        <v>0</v>
      </c>
      <c r="Q706" s="15" t="n">
        <v>0</v>
      </c>
      <c r="R706" s="5" t="inlineStr">
        <is>
          <t>204-2024-06-30</t>
        </is>
      </c>
    </row>
    <row r="707">
      <c r="A707" s="21" t="n">
        <v>204</v>
      </c>
      <c r="B707" s="5" t="inlineStr">
        <is>
          <t>Caja</t>
        </is>
      </c>
      <c r="C707" s="5" t="inlineStr">
        <is>
          <t>Planeación Financiera</t>
        </is>
      </c>
      <c r="D707" s="5" t="inlineStr">
        <is>
          <t>Semestral</t>
        </is>
      </c>
      <c r="E707" s="5" t="inlineStr">
        <is>
          <t>Positivo</t>
        </is>
      </c>
      <c r="F707" s="107" t="n">
        <v>45657</v>
      </c>
      <c r="G707" s="5" t="n">
        <v>2024</v>
      </c>
      <c r="H707" s="5" t="inlineStr">
        <is>
          <t>Diciembre</t>
        </is>
      </c>
      <c r="I707" s="6" t="inlineStr">
        <is>
          <t>2024-2</t>
        </is>
      </c>
      <c r="J707" s="5" t="n">
        <v>95</v>
      </c>
      <c r="K707" s="9" t="n">
        <v>144.53</v>
      </c>
      <c r="L707" s="14">
        <f>IFERROR(IF(OR(J707=0,K707=""),"",IF(E707="Positivo",MIN(MAX(K707/J707,0),1.3),MIN(MAX(J707/K707,0),1.3))),"") </f>
        <v/>
      </c>
      <c r="M707" s="14">
        <f>IFERROR(IF(OR(J707=0,K707=""),"",IF(E707="Positivo",MAX(K707/J707,0),MAX(J707/K707,0))),"") </f>
        <v/>
      </c>
      <c r="N707" s="5" t="inlineStr">
        <is>
          <t>$</t>
        </is>
      </c>
      <c r="O707" s="11" t="inlineStr">
        <is>
          <t>$</t>
        </is>
      </c>
      <c r="P707" s="15" t="n">
        <v>0</v>
      </c>
      <c r="Q707" s="15" t="n">
        <v>0</v>
      </c>
      <c r="R707" s="5" t="inlineStr">
        <is>
          <t>204-2024-12-31</t>
        </is>
      </c>
    </row>
    <row r="708">
      <c r="A708" s="21" t="n">
        <v>204</v>
      </c>
      <c r="B708" s="5" t="inlineStr">
        <is>
          <t>Caja</t>
        </is>
      </c>
      <c r="C708" s="5" t="inlineStr">
        <is>
          <t>Planeación Financiera</t>
        </is>
      </c>
      <c r="D708" s="5" t="inlineStr">
        <is>
          <t>Semestral</t>
        </is>
      </c>
      <c r="E708" s="5" t="inlineStr">
        <is>
          <t>Positivo</t>
        </is>
      </c>
      <c r="F708" s="107" t="n">
        <v>45838</v>
      </c>
      <c r="G708" s="5" t="n">
        <v>2025</v>
      </c>
      <c r="H708" s="5" t="inlineStr">
        <is>
          <t>Junio</t>
        </is>
      </c>
      <c r="I708" s="6" t="inlineStr">
        <is>
          <t>2025-1</t>
        </is>
      </c>
      <c r="J708" s="5" t="n">
        <v>95</v>
      </c>
      <c r="K708" s="9" t="n">
        <v>86.89</v>
      </c>
      <c r="L708" s="14">
        <f>IFERROR(IF(OR(J708=0,K708=""),"",IF(E708="Positivo",MIN(MAX(K708/J708,0),1.3),MIN(MAX(J708/K708,0),1.3))),"") </f>
        <v/>
      </c>
      <c r="M708" s="14">
        <f>IFERROR(IF(OR(J708=0,K708=""),"",IF(E708="Positivo",MAX(K708/J708,0),MAX(J708/K708,0))),"") </f>
        <v/>
      </c>
      <c r="N708" s="5" t="inlineStr">
        <is>
          <t>$</t>
        </is>
      </c>
      <c r="O708" s="11" t="inlineStr">
        <is>
          <t>$</t>
        </is>
      </c>
      <c r="P708" s="15" t="n">
        <v>0</v>
      </c>
      <c r="Q708" s="15" t="n">
        <v>0</v>
      </c>
      <c r="R708" s="5" t="inlineStr">
        <is>
          <t>204-2025-06-30</t>
        </is>
      </c>
    </row>
    <row r="709">
      <c r="A709" s="21" t="n">
        <v>204</v>
      </c>
      <c r="B709" s="5" t="inlineStr">
        <is>
          <t>Caja</t>
        </is>
      </c>
      <c r="C709" s="5" t="inlineStr">
        <is>
          <t>Planeación Financiera</t>
        </is>
      </c>
      <c r="D709" s="5" t="inlineStr">
        <is>
          <t>Trimestral</t>
        </is>
      </c>
      <c r="E709" s="5" t="inlineStr">
        <is>
          <t>Positivo</t>
        </is>
      </c>
      <c r="F709" s="107" t="n">
        <v>46022</v>
      </c>
      <c r="G709" s="5" t="n">
        <v>2025</v>
      </c>
      <c r="H709" s="5" t="inlineStr">
        <is>
          <t>Diciembre</t>
        </is>
      </c>
      <c r="I709" s="6" t="inlineStr">
        <is>
          <t>2025-2</t>
        </is>
      </c>
      <c r="J709" s="5" t="n">
        <v>95</v>
      </c>
      <c r="K709" s="9" t="n">
        <v>152.24</v>
      </c>
      <c r="L709" s="14">
        <f>IFERROR(IF(OR(J709=0,K709=""),"",IF(E709="Positivo",MIN(MAX(K709/J709,0),1.3),MIN(MAX(J709/K709,0),1.3))),"") </f>
        <v/>
      </c>
      <c r="M709" s="14">
        <f>IFERROR(IF(OR(J709=0,K709=""),"",IF(E709="Positivo",MAX(K709/J709,0),MAX(J709/K709,0))),"") </f>
        <v/>
      </c>
      <c r="N709" s="5" t="inlineStr">
        <is>
          <t>$</t>
        </is>
      </c>
      <c r="O709" s="11" t="inlineStr">
        <is>
          <t>$</t>
        </is>
      </c>
      <c r="P709" s="15" t="n">
        <v>0</v>
      </c>
      <c r="Q709" s="15" t="n">
        <v>0</v>
      </c>
      <c r="R709" s="5" t="inlineStr">
        <is>
          <t>204-2025-12-31</t>
        </is>
      </c>
    </row>
    <row r="710">
      <c r="A710" s="21" t="n">
        <v>205</v>
      </c>
      <c r="B710" s="5" t="inlineStr">
        <is>
          <t>Utilidad Neta</t>
        </is>
      </c>
      <c r="C710" s="5" t="inlineStr">
        <is>
          <t>Planeación Financiera</t>
        </is>
      </c>
      <c r="D710" s="5" t="inlineStr">
        <is>
          <t>Semestral</t>
        </is>
      </c>
      <c r="E710" s="5" t="inlineStr">
        <is>
          <t>Positivo</t>
        </is>
      </c>
      <c r="F710" s="107" t="n">
        <v>44926</v>
      </c>
      <c r="G710" s="5" t="n">
        <v>2022</v>
      </c>
      <c r="H710" s="5" t="inlineStr">
        <is>
          <t>Diciembre</t>
        </is>
      </c>
      <c r="I710" s="6" t="inlineStr">
        <is>
          <t>2022-2</t>
        </is>
      </c>
      <c r="J710" s="5" t="n">
        <v>2605</v>
      </c>
      <c r="K710" s="9" t="n">
        <v>2605</v>
      </c>
      <c r="L710" s="14">
        <f>IFERROR(IF(OR(J710=0,K710=""),"",IF(E710="Positivo",MIN(MAX(K710/J710,0),1.3),MIN(MAX(J710/K710,0),1.3))),"") </f>
        <v/>
      </c>
      <c r="M710" s="14">
        <f>IFERROR(IF(OR(J710=0,K710=""),"",IF(E710="Positivo",MAX(K710/J710,0),MAX(J710/K710,0))),"") </f>
        <v/>
      </c>
      <c r="N710" s="5" t="inlineStr">
        <is>
          <t>$</t>
        </is>
      </c>
      <c r="O710" s="11" t="inlineStr">
        <is>
          <t>$</t>
        </is>
      </c>
      <c r="P710" s="15" t="n">
        <v>0</v>
      </c>
      <c r="Q710" s="15" t="n">
        <v>0</v>
      </c>
      <c r="R710" s="5" t="inlineStr">
        <is>
          <t>205-2022-12-31</t>
        </is>
      </c>
    </row>
    <row r="711">
      <c r="A711" s="21" t="n">
        <v>205</v>
      </c>
      <c r="B711" s="5" t="inlineStr">
        <is>
          <t>Utilidad Neta</t>
        </is>
      </c>
      <c r="C711" s="5" t="inlineStr">
        <is>
          <t>Planeación Financiera</t>
        </is>
      </c>
      <c r="D711" s="5" t="inlineStr">
        <is>
          <t>Semestral</t>
        </is>
      </c>
      <c r="E711" s="5" t="inlineStr">
        <is>
          <t>Positivo</t>
        </is>
      </c>
      <c r="F711" s="107" t="n">
        <v>45107</v>
      </c>
      <c r="G711" s="5" t="n">
        <v>2023</v>
      </c>
      <c r="H711" s="5" t="inlineStr">
        <is>
          <t>Junio</t>
        </is>
      </c>
      <c r="I711" s="6" t="inlineStr">
        <is>
          <t>2023-1</t>
        </is>
      </c>
      <c r="J711" s="5" t="n">
        <v>95</v>
      </c>
      <c r="K711" s="9" t="n">
        <v>165.42728645151</v>
      </c>
      <c r="L711" s="14">
        <f>IFERROR(IF(OR(J711=0,K711=""),"",IF(E711="Positivo",MIN(MAX(K711/J711,0),1.3),MIN(MAX(J711/K711,0),1.3))),"") </f>
        <v/>
      </c>
      <c r="M711" s="14">
        <f>IFERROR(IF(OR(J711=0,K711=""),"",IF(E711="Positivo",MAX(K711/J711,0),MAX(J711/K711,0))),"") </f>
        <v/>
      </c>
      <c r="N711" s="5" t="inlineStr">
        <is>
          <t>$</t>
        </is>
      </c>
      <c r="O711" s="11" t="inlineStr">
        <is>
          <t>$</t>
        </is>
      </c>
      <c r="P711" s="15" t="n">
        <v>0</v>
      </c>
      <c r="Q711" s="15" t="n">
        <v>0</v>
      </c>
      <c r="R711" s="5" t="inlineStr">
        <is>
          <t>205-2023-06-30</t>
        </is>
      </c>
    </row>
    <row r="712">
      <c r="A712" s="26" t="n">
        <v>205</v>
      </c>
      <c r="B712" s="5" t="inlineStr">
        <is>
          <t>Utilidad Neta</t>
        </is>
      </c>
      <c r="C712" s="5" t="inlineStr">
        <is>
          <t>Planeación Financiera</t>
        </is>
      </c>
      <c r="D712" s="5" t="inlineStr">
        <is>
          <t>Semestral</t>
        </is>
      </c>
      <c r="E712" s="5" t="inlineStr">
        <is>
          <t>Positivo</t>
        </is>
      </c>
      <c r="F712" s="107" t="n">
        <v>45291</v>
      </c>
      <c r="G712" s="5" t="n">
        <v>2023</v>
      </c>
      <c r="H712" s="5" t="inlineStr">
        <is>
          <t>Diciembre</t>
        </is>
      </c>
      <c r="I712" s="6" t="inlineStr">
        <is>
          <t>2023-2</t>
        </is>
      </c>
      <c r="J712" s="5" t="n">
        <v>95</v>
      </c>
      <c r="K712" s="9" t="n">
        <v>426.51</v>
      </c>
      <c r="L712" s="14">
        <f>IFERROR(IF(OR(J712=0,K712=""),"",IF(E712="Positivo",MIN(MAX(K712/J712,0),1.3),MIN(MAX(J712/K712,0),1.3))),"") </f>
        <v/>
      </c>
      <c r="M712" s="14">
        <f>IFERROR(IF(OR(J712=0,K712=""),"",IF(E712="Positivo",MAX(K712/J712,0),MAX(J712/K712,0))),"") </f>
        <v/>
      </c>
      <c r="N712" s="5" t="inlineStr">
        <is>
          <t>$</t>
        </is>
      </c>
      <c r="O712" s="5" t="inlineStr">
        <is>
          <t>$</t>
        </is>
      </c>
      <c r="P712" s="15" t="n">
        <v>0</v>
      </c>
      <c r="Q712" s="15" t="n">
        <v>0</v>
      </c>
      <c r="R712" s="5" t="inlineStr">
        <is>
          <t>205-2023-12-31</t>
        </is>
      </c>
    </row>
    <row r="713">
      <c r="A713" s="26" t="n">
        <v>205</v>
      </c>
      <c r="B713" s="5" t="inlineStr">
        <is>
          <t>Utilidad Neta</t>
        </is>
      </c>
      <c r="C713" s="5" t="inlineStr">
        <is>
          <t>Planeación Financiera</t>
        </is>
      </c>
      <c r="D713" s="5" t="inlineStr">
        <is>
          <t>Semestral</t>
        </is>
      </c>
      <c r="E713" s="5" t="inlineStr">
        <is>
          <t>Positivo</t>
        </is>
      </c>
      <c r="F713" s="107" t="n">
        <v>45473</v>
      </c>
      <c r="G713" s="5" t="n">
        <v>2024</v>
      </c>
      <c r="H713" s="5" t="inlineStr">
        <is>
          <t>Junio</t>
        </is>
      </c>
      <c r="I713" s="6" t="inlineStr">
        <is>
          <t>2024-1</t>
        </is>
      </c>
      <c r="J713" s="5" t="n">
        <v>95</v>
      </c>
      <c r="K713" s="9" t="n">
        <v>215.07</v>
      </c>
      <c r="L713" s="14">
        <f>IFERROR(IF(OR(J713=0,K713=""),"",IF(E713="Positivo",MIN(MAX(K713/J713,0),1.3),MIN(MAX(J713/K713,0),1.3))),"") </f>
        <v/>
      </c>
      <c r="M713" s="14">
        <f>IFERROR(IF(OR(J713=0,K713=""),"",IF(E713="Positivo",MAX(K713/J713,0),MAX(J713/K713,0))),"") </f>
        <v/>
      </c>
      <c r="N713" s="5" t="inlineStr">
        <is>
          <t>$</t>
        </is>
      </c>
      <c r="O713" s="5" t="inlineStr">
        <is>
          <t>$</t>
        </is>
      </c>
      <c r="P713" s="15" t="n">
        <v>0</v>
      </c>
      <c r="Q713" s="15" t="n">
        <v>0</v>
      </c>
      <c r="R713" s="5" t="inlineStr">
        <is>
          <t>205-2024-06-30</t>
        </is>
      </c>
    </row>
    <row r="714">
      <c r="A714" s="26" t="n">
        <v>205</v>
      </c>
      <c r="B714" s="5" t="inlineStr">
        <is>
          <t>Utilidad Neta</t>
        </is>
      </c>
      <c r="C714" s="5" t="inlineStr">
        <is>
          <t>Planeación Financiera</t>
        </is>
      </c>
      <c r="D714" s="5" t="inlineStr">
        <is>
          <t>Semestral</t>
        </is>
      </c>
      <c r="E714" s="5" t="inlineStr">
        <is>
          <t>Positivo</t>
        </is>
      </c>
      <c r="F714" s="107" t="n">
        <v>45657</v>
      </c>
      <c r="G714" s="5" t="n">
        <v>2024</v>
      </c>
      <c r="H714" s="5" t="inlineStr">
        <is>
          <t>Diciembre</t>
        </is>
      </c>
      <c r="I714" s="6" t="inlineStr">
        <is>
          <t>2024-2</t>
        </is>
      </c>
      <c r="J714" s="5" t="n">
        <v>95</v>
      </c>
      <c r="K714" s="9" t="n">
        <v>184.72</v>
      </c>
      <c r="L714" s="14">
        <f>IFERROR(IF(OR(J714=0,K714=""),"",IF(E714="Positivo",MIN(MAX(K714/J714,0),1.3),MIN(MAX(J714/K714,0),1.3))),"") </f>
        <v/>
      </c>
      <c r="M714" s="14">
        <f>IFERROR(IF(OR(J714=0,K714=""),"",IF(E714="Positivo",MAX(K714/J714,0),MAX(J714/K714,0))),"") </f>
        <v/>
      </c>
      <c r="N714" s="5" t="inlineStr">
        <is>
          <t>$</t>
        </is>
      </c>
      <c r="O714" s="5" t="inlineStr">
        <is>
          <t>$</t>
        </is>
      </c>
      <c r="P714" s="15" t="n">
        <v>0</v>
      </c>
      <c r="Q714" s="15" t="n">
        <v>0</v>
      </c>
      <c r="R714" s="5" t="inlineStr">
        <is>
          <t>205-2024-12-31</t>
        </is>
      </c>
    </row>
    <row r="715">
      <c r="A715" s="28" t="n">
        <v>205</v>
      </c>
      <c r="B715" s="5" t="inlineStr">
        <is>
          <t>Utilidad Neta</t>
        </is>
      </c>
      <c r="C715" s="5" t="inlineStr">
        <is>
          <t>Planeación Financiera</t>
        </is>
      </c>
      <c r="D715" s="5" t="inlineStr">
        <is>
          <t>Semestral</t>
        </is>
      </c>
      <c r="E715" s="5" t="inlineStr">
        <is>
          <t>Positivo</t>
        </is>
      </c>
      <c r="F715" s="107" t="n">
        <v>45838</v>
      </c>
      <c r="G715" s="5" t="n">
        <v>2025</v>
      </c>
      <c r="H715" s="5" t="inlineStr">
        <is>
          <t>Junio</t>
        </is>
      </c>
      <c r="I715" s="6" t="inlineStr">
        <is>
          <t>2025-1</t>
        </is>
      </c>
      <c r="J715" s="3" t="n">
        <v>95</v>
      </c>
      <c r="K715" s="9" t="n">
        <v>186.31</v>
      </c>
      <c r="L715" s="14">
        <f>IFERROR(IF(OR(J715=0,K715=""),"",IF(E715="Positivo",MIN(MAX(K715/J715,0),1.3),MIN(MAX(J715/K715,0),1.3))),"") </f>
        <v/>
      </c>
      <c r="M715" s="14">
        <f>IFERROR(IF(OR(J715=0,K715=""),"",IF(E715="Positivo",MAX(K715/J715,0),MAX(J715/K715,0))),"") </f>
        <v/>
      </c>
      <c r="N715" s="5" t="inlineStr">
        <is>
          <t>$</t>
        </is>
      </c>
      <c r="O715" s="5" t="inlineStr">
        <is>
          <t>$</t>
        </is>
      </c>
      <c r="P715" s="15" t="n">
        <v>0</v>
      </c>
      <c r="Q715" s="15" t="n">
        <v>0</v>
      </c>
      <c r="R715" s="5" t="inlineStr">
        <is>
          <t>205-2025-06-30</t>
        </is>
      </c>
    </row>
    <row r="716">
      <c r="A716" s="26" t="n">
        <v>205</v>
      </c>
      <c r="B716" s="5" t="inlineStr">
        <is>
          <t>Utilidad Neta</t>
        </is>
      </c>
      <c r="C716" s="5" t="inlineStr">
        <is>
          <t>Planeación Financiera</t>
        </is>
      </c>
      <c r="D716" s="5" t="inlineStr">
        <is>
          <t>Trimestral</t>
        </is>
      </c>
      <c r="E716" s="5" t="inlineStr">
        <is>
          <t>Positivo</t>
        </is>
      </c>
      <c r="F716" s="107" t="n">
        <v>46022</v>
      </c>
      <c r="G716" s="5" t="n">
        <v>2025</v>
      </c>
      <c r="H716" s="5" t="inlineStr">
        <is>
          <t>Diciembre</t>
        </is>
      </c>
      <c r="I716" s="6" t="inlineStr">
        <is>
          <t>2025-2</t>
        </is>
      </c>
      <c r="J716" s="3" t="n">
        <v>95</v>
      </c>
      <c r="K716" s="9" t="n">
        <v>123.05</v>
      </c>
      <c r="L716" s="14">
        <f>IFERROR(IF(OR(J716=0,K716=""),"",IF(E716="Positivo",MIN(MAX(K716/J716,0),1.3),MIN(MAX(J716/K716,0),1.3))),"") </f>
        <v/>
      </c>
      <c r="M716" s="14">
        <f>IFERROR(IF(OR(J716=0,K716=""),"",IF(E716="Positivo",MAX(K716/J716,0),MAX(J716/K716,0))),"") </f>
        <v/>
      </c>
      <c r="N716" s="5" t="inlineStr">
        <is>
          <t>$</t>
        </is>
      </c>
      <c r="O716" s="5" t="inlineStr">
        <is>
          <t>$</t>
        </is>
      </c>
      <c r="P716" s="15" t="n">
        <v>0</v>
      </c>
      <c r="Q716" s="15" t="n">
        <v>0</v>
      </c>
      <c r="R716" s="5" t="inlineStr">
        <is>
          <t>205-2025-12-31</t>
        </is>
      </c>
    </row>
    <row r="717">
      <c r="A717" s="28" t="n">
        <v>206</v>
      </c>
      <c r="B717" s="5" t="inlineStr">
        <is>
          <t>Inversión en CAPEX de la utilidad anterior</t>
        </is>
      </c>
      <c r="C717" s="5" t="inlineStr">
        <is>
          <t>Planeación Financiera</t>
        </is>
      </c>
      <c r="D717" s="5" t="inlineStr">
        <is>
          <t>Semestral</t>
        </is>
      </c>
      <c r="E717" s="5" t="inlineStr">
        <is>
          <t>Positivo</t>
        </is>
      </c>
      <c r="F717" s="107" t="n">
        <v>45107</v>
      </c>
      <c r="G717" s="5" t="n">
        <v>2023</v>
      </c>
      <c r="H717" s="5" t="inlineStr">
        <is>
          <t>Junio</t>
        </is>
      </c>
      <c r="I717" s="6" t="inlineStr">
        <is>
          <t>2023-1</t>
        </is>
      </c>
      <c r="J717" s="5" t="n">
        <v>1</v>
      </c>
      <c r="K717" s="9" t="n">
        <v>1.2336951835584</v>
      </c>
      <c r="L717" s="14">
        <f>IFERROR(IF(OR(J717=0,K717=""),"",IF(E717="Positivo",MIN(MAX(K717/J717,0),1.3),MIN(MAX(J717/K717,0),1.3))),"") </f>
        <v/>
      </c>
      <c r="M717" s="14">
        <f>IFERROR(IF(OR(J717=0,K717=""),"",IF(E717="Positivo",MAX(K717/J717,0),MAX(J717/K717,0))),"") </f>
        <v/>
      </c>
      <c r="N717" s="5" t="inlineStr">
        <is>
          <t>$</t>
        </is>
      </c>
      <c r="O717" s="5" t="inlineStr">
        <is>
          <t>$</t>
        </is>
      </c>
      <c r="P717" s="15" t="n">
        <v>0</v>
      </c>
      <c r="Q717" s="15" t="n">
        <v>0</v>
      </c>
      <c r="R717" s="5" t="inlineStr">
        <is>
          <t>206-2023-06-30</t>
        </is>
      </c>
    </row>
    <row r="718">
      <c r="A718" s="26" t="n">
        <v>206</v>
      </c>
      <c r="B718" s="5" t="inlineStr">
        <is>
          <t>Inversión en CAPEX de la utilidad anterior</t>
        </is>
      </c>
      <c r="C718" s="5" t="inlineStr">
        <is>
          <t>Planeación Financiera</t>
        </is>
      </c>
      <c r="D718" s="5" t="inlineStr">
        <is>
          <t>Semestral</t>
        </is>
      </c>
      <c r="E718" s="5" t="inlineStr">
        <is>
          <t>Positivo</t>
        </is>
      </c>
      <c r="F718" s="107" t="n">
        <v>45291</v>
      </c>
      <c r="G718" s="5" t="n">
        <v>2023</v>
      </c>
      <c r="H718" s="5" t="inlineStr">
        <is>
          <t>Diciembre</t>
        </is>
      </c>
      <c r="I718" s="6" t="inlineStr">
        <is>
          <t>2023-2</t>
        </is>
      </c>
      <c r="J718" s="5" t="n">
        <v>1</v>
      </c>
      <c r="K718" s="9" t="n">
        <v>4.606790289121734</v>
      </c>
      <c r="L718" s="14">
        <f>IFERROR(IF(OR(J718=0,K718=""),"",IF(E718="Positivo",MIN(MAX(K718/J718,0),1.3),MIN(MAX(J718/K718,0),1.3))),"") </f>
        <v/>
      </c>
      <c r="M718" s="14">
        <f>IFERROR(IF(OR(J718=0,K718=""),"",IF(E718="Positivo",MAX(K718/J718,0),MAX(J718/K718,0))),"") </f>
        <v/>
      </c>
      <c r="N718" s="5" t="inlineStr">
        <is>
          <t>$</t>
        </is>
      </c>
      <c r="O718" s="5" t="inlineStr">
        <is>
          <t>$</t>
        </is>
      </c>
      <c r="P718" s="15" t="n">
        <v>0</v>
      </c>
      <c r="Q718" s="15" t="n">
        <v>0</v>
      </c>
      <c r="R718" s="5" t="inlineStr">
        <is>
          <t>206-2023-12-31</t>
        </is>
      </c>
    </row>
    <row r="719">
      <c r="A719" s="21" t="n">
        <v>206</v>
      </c>
      <c r="B719" s="5" t="inlineStr">
        <is>
          <t>Inversión en CAPEX de la utilidad anterior</t>
        </is>
      </c>
      <c r="C719" s="5" t="inlineStr">
        <is>
          <t>Planeación Financiera</t>
        </is>
      </c>
      <c r="D719" s="5" t="inlineStr">
        <is>
          <t>Anual</t>
        </is>
      </c>
      <c r="E719" s="5" t="inlineStr">
        <is>
          <t>Positivo</t>
        </is>
      </c>
      <c r="F719" s="107" t="n">
        <v>45657</v>
      </c>
      <c r="G719" s="5" t="n">
        <v>2024</v>
      </c>
      <c r="H719" s="5" t="inlineStr">
        <is>
          <t>Diciembre</t>
        </is>
      </c>
      <c r="I719" s="6" t="inlineStr">
        <is>
          <t>2024-2</t>
        </is>
      </c>
      <c r="J719" s="5" t="n">
        <v>1</v>
      </c>
      <c r="K719" s="9" t="n">
        <v>1.37</v>
      </c>
      <c r="L719" s="14">
        <f>IFERROR(IF(OR(J719=0,K719=""),"",IF(E719="Positivo",MIN(MAX(K719/J719,0),1.3),MIN(MAX(J719/K719,0),1.3))),"") </f>
        <v/>
      </c>
      <c r="M719" s="14">
        <f>IFERROR(IF(OR(J719=0,K719=""),"",IF(E719="Positivo",MAX(K719/J719,0),MAX(J719/K719,0))),"") </f>
        <v/>
      </c>
      <c r="N719" s="5" t="inlineStr">
        <is>
          <t>$</t>
        </is>
      </c>
      <c r="O719" s="5" t="inlineStr">
        <is>
          <t>$</t>
        </is>
      </c>
      <c r="P719" s="15" t="n">
        <v>0</v>
      </c>
      <c r="Q719" s="15" t="n">
        <v>0</v>
      </c>
      <c r="R719" s="5" t="inlineStr">
        <is>
          <t>206-2024-12-31</t>
        </is>
      </c>
    </row>
    <row r="720">
      <c r="A720" s="28" t="n">
        <v>206</v>
      </c>
      <c r="B720" s="5" t="inlineStr">
        <is>
          <t>Inversión en CAPEX de la utilidad anterior</t>
        </is>
      </c>
      <c r="C720" s="5" t="inlineStr">
        <is>
          <t>Planeación Financiera</t>
        </is>
      </c>
      <c r="D720" s="5" t="inlineStr">
        <is>
          <t>Anual</t>
        </is>
      </c>
      <c r="E720" s="5" t="inlineStr">
        <is>
          <t>Positivo</t>
        </is>
      </c>
      <c r="F720" s="107" t="n">
        <v>46022</v>
      </c>
      <c r="G720" s="5" t="n">
        <v>2025</v>
      </c>
      <c r="H720" s="5" t="inlineStr">
        <is>
          <t>Diciembre</t>
        </is>
      </c>
      <c r="I720" s="6" t="inlineStr">
        <is>
          <t>2025-2</t>
        </is>
      </c>
      <c r="J720" s="5" t="n">
        <v>1</v>
      </c>
      <c r="K720" s="9" t="n">
        <v>2.14</v>
      </c>
      <c r="L720" s="14">
        <f>IFERROR(IF(OR(J720=0,K720=""),"",IF(E720="Positivo",MIN(MAX(K720/J720,0),1.3),MIN(MAX(J720/K720,0),1.3))),"") </f>
        <v/>
      </c>
      <c r="M720" s="14">
        <f>IFERROR(IF(OR(J720=0,K720=""),"",IF(E720="Positivo",MAX(K720/J720,0),MAX(J720/K720,0))),"") </f>
        <v/>
      </c>
      <c r="N720" s="5" t="inlineStr">
        <is>
          <t>%</t>
        </is>
      </c>
      <c r="O720" s="5" t="inlineStr">
        <is>
          <t>%</t>
        </is>
      </c>
      <c r="P720" s="15" t="n">
        <v>0</v>
      </c>
      <c r="Q720" s="15" t="n">
        <v>2</v>
      </c>
      <c r="R720" s="5" t="inlineStr">
        <is>
          <t>206-2025-12-31</t>
        </is>
      </c>
    </row>
    <row r="721">
      <c r="A721" s="26" t="n">
        <v>207</v>
      </c>
      <c r="B721" s="5" t="inlineStr">
        <is>
          <t>Nivel de Cumplimiento Opex</t>
        </is>
      </c>
      <c r="C721" s="5" t="inlineStr">
        <is>
          <t>Planeación Financiera</t>
        </is>
      </c>
      <c r="D721" s="5" t="inlineStr">
        <is>
          <t>Semestral</t>
        </is>
      </c>
      <c r="E721" s="5" t="inlineStr">
        <is>
          <t>Negativo</t>
        </is>
      </c>
      <c r="F721" s="107" t="n">
        <v>45107</v>
      </c>
      <c r="G721" s="5" t="n">
        <v>2023</v>
      </c>
      <c r="H721" s="5" t="inlineStr">
        <is>
          <t>Junio</t>
        </is>
      </c>
      <c r="I721" s="6" t="inlineStr">
        <is>
          <t>2023-1</t>
        </is>
      </c>
      <c r="J721" s="5" t="n">
        <v>100</v>
      </c>
      <c r="K721" s="9" t="n">
        <v>101.19882903781</v>
      </c>
      <c r="L721" s="14">
        <f>IFERROR(IF(OR(J721=0,K721=""),"",IF(E721="Positivo",MIN(MAX(K721/J721,0),1.3),MIN(MAX(J721/K721,0),1.3))),"") </f>
        <v/>
      </c>
      <c r="M721" s="14">
        <f>IFERROR(IF(OR(J721=0,K721=""),"",IF(E721="Positivo",MAX(K721/J721,0),MAX(J721/K721,0))),"") </f>
        <v/>
      </c>
      <c r="N721" s="5" t="inlineStr">
        <is>
          <t>$</t>
        </is>
      </c>
      <c r="O721" s="5" t="inlineStr">
        <is>
          <t>$</t>
        </is>
      </c>
      <c r="P721" s="15" t="n">
        <v>0</v>
      </c>
      <c r="Q721" s="15" t="n">
        <v>0</v>
      </c>
      <c r="R721" s="5" t="inlineStr">
        <is>
          <t>207-2023-06-30</t>
        </is>
      </c>
    </row>
    <row r="722">
      <c r="A722" s="26" t="n">
        <v>207</v>
      </c>
      <c r="B722" s="5" t="inlineStr">
        <is>
          <t>Nivel de Cumplimiento Opex</t>
        </is>
      </c>
      <c r="C722" s="5" t="inlineStr">
        <is>
          <t>Planeación Financiera</t>
        </is>
      </c>
      <c r="D722" s="5" t="inlineStr">
        <is>
          <t>Semestral</t>
        </is>
      </c>
      <c r="E722" s="5" t="inlineStr">
        <is>
          <t>Negativo</t>
        </is>
      </c>
      <c r="F722" s="107" t="n">
        <v>45291</v>
      </c>
      <c r="G722" s="5" t="n">
        <v>2023</v>
      </c>
      <c r="H722" s="5" t="inlineStr">
        <is>
          <t>Diciembre</t>
        </is>
      </c>
      <c r="I722" s="6" t="inlineStr">
        <is>
          <t>2023-2</t>
        </is>
      </c>
      <c r="J722" s="5" t="n">
        <v>100</v>
      </c>
      <c r="K722" s="9" t="n">
        <v>103.6</v>
      </c>
      <c r="L722" s="17">
        <f>IFERROR(IF(OR(J722=0,K722=""),"",IF(E722="Positivo",MIN(MAX(K722/J722,0),1.3),MIN(MAX(J722/K722,0),1.3))),"") </f>
        <v/>
      </c>
      <c r="M722" s="14">
        <f>IFERROR(IF(OR(J722=0,K722=""),"",IF(E722="Positivo",MAX(K722/J722,0),MAX(J722/K722,0))),"") </f>
        <v/>
      </c>
      <c r="N722" s="5" t="inlineStr">
        <is>
          <t>$</t>
        </is>
      </c>
      <c r="O722" s="5" t="inlineStr">
        <is>
          <t>$</t>
        </is>
      </c>
      <c r="P722" s="15" t="n">
        <v>0</v>
      </c>
      <c r="Q722" s="15" t="n">
        <v>0</v>
      </c>
      <c r="R722" s="5" t="inlineStr">
        <is>
          <t>207-2023-12-31</t>
        </is>
      </c>
    </row>
    <row r="723">
      <c r="A723" s="21" t="n">
        <v>207</v>
      </c>
      <c r="B723" s="5" t="inlineStr">
        <is>
          <t>Nivel de Cumplimiento Opex</t>
        </is>
      </c>
      <c r="C723" s="5" t="inlineStr">
        <is>
          <t>Planeación Financiera</t>
        </is>
      </c>
      <c r="D723" s="5" t="inlineStr">
        <is>
          <t>Semestral</t>
        </is>
      </c>
      <c r="E723" s="5" t="inlineStr">
        <is>
          <t>Negativo</t>
        </is>
      </c>
      <c r="F723" s="107" t="n">
        <v>45473</v>
      </c>
      <c r="G723" s="5" t="n">
        <v>2024</v>
      </c>
      <c r="H723" s="5" t="inlineStr">
        <is>
          <t>Junio</t>
        </is>
      </c>
      <c r="I723" s="6" t="inlineStr">
        <is>
          <t>2024-1</t>
        </is>
      </c>
      <c r="J723" s="5" t="n">
        <v>100</v>
      </c>
      <c r="K723" s="10" t="n">
        <v>101.79</v>
      </c>
      <c r="L723" s="14">
        <f>IFERROR(IF(OR(J723=0,K723=""),"",IF(E723="Positivo",MIN(MAX(K723/J723,0),1.3),MIN(MAX(J723/K723,0),1.3))),"") </f>
        <v/>
      </c>
      <c r="M723" s="14">
        <f>IFERROR(IF(OR(J723=0,K723=""),"",IF(E723="Positivo",MAX(K723/J723,0),MAX(J723/K723,0))),"") </f>
        <v/>
      </c>
      <c r="N723" s="5" t="inlineStr">
        <is>
          <t>$</t>
        </is>
      </c>
      <c r="O723" s="5" t="inlineStr">
        <is>
          <t>$</t>
        </is>
      </c>
      <c r="P723" s="15" t="n">
        <v>0</v>
      </c>
      <c r="Q723" s="15" t="n">
        <v>0</v>
      </c>
      <c r="R723" s="5" t="inlineStr">
        <is>
          <t>207-2024-06-30</t>
        </is>
      </c>
    </row>
    <row r="724">
      <c r="A724" s="21" t="n">
        <v>207</v>
      </c>
      <c r="B724" s="5" t="inlineStr">
        <is>
          <t>Nivel de Cumplimiento Opex</t>
        </is>
      </c>
      <c r="C724" s="5" t="inlineStr">
        <is>
          <t>Planeación Financiera</t>
        </is>
      </c>
      <c r="D724" s="5" t="inlineStr">
        <is>
          <t>Semestral</t>
        </is>
      </c>
      <c r="E724" s="5" t="inlineStr">
        <is>
          <t>Negativo</t>
        </is>
      </c>
      <c r="F724" s="107" t="n">
        <v>45657</v>
      </c>
      <c r="G724" s="5" t="n">
        <v>2024</v>
      </c>
      <c r="H724" s="5" t="inlineStr">
        <is>
          <t>Diciembre</t>
        </is>
      </c>
      <c r="I724" s="6" t="inlineStr">
        <is>
          <t>2024-2</t>
        </is>
      </c>
      <c r="J724" s="5" t="n">
        <v>100</v>
      </c>
      <c r="K724" s="10" t="n">
        <v>102.2</v>
      </c>
      <c r="L724" s="14">
        <f>IFERROR(IF(OR(J724=0,K724=""),"",IF(E724="Positivo",MIN(MAX(K724/J724,0),1.3),MIN(MAX(J724/K724,0),1.3))),"") </f>
        <v/>
      </c>
      <c r="M724" s="14">
        <f>IFERROR(IF(OR(J724=0,K724=""),"",IF(E724="Positivo",MAX(K724/J724,0),MAX(J724/K724,0))),"") </f>
        <v/>
      </c>
      <c r="N724" s="5" t="inlineStr">
        <is>
          <t>$</t>
        </is>
      </c>
      <c r="O724" s="5" t="inlineStr">
        <is>
          <t>$</t>
        </is>
      </c>
      <c r="P724" s="15" t="n">
        <v>0</v>
      </c>
      <c r="Q724" s="15" t="n">
        <v>0</v>
      </c>
      <c r="R724" s="5" t="inlineStr">
        <is>
          <t>207-2024-12-31</t>
        </is>
      </c>
    </row>
    <row r="725">
      <c r="A725" s="21" t="n">
        <v>207</v>
      </c>
      <c r="B725" s="5" t="inlineStr">
        <is>
          <t>Nivel de Cumplimiento Opex</t>
        </is>
      </c>
      <c r="C725" s="5" t="inlineStr">
        <is>
          <t>Planeación Financiera</t>
        </is>
      </c>
      <c r="D725" s="5" t="inlineStr">
        <is>
          <t>Semestral</t>
        </is>
      </c>
      <c r="E725" s="5" t="inlineStr">
        <is>
          <t>Negativo</t>
        </is>
      </c>
      <c r="F725" s="106" t="n">
        <v>45838</v>
      </c>
      <c r="G725" s="5" t="n">
        <v>2025</v>
      </c>
      <c r="H725" s="5" t="inlineStr">
        <is>
          <t>Junio</t>
        </is>
      </c>
      <c r="I725" s="6" t="inlineStr">
        <is>
          <t>2025-1</t>
        </is>
      </c>
      <c r="J725" s="5" t="n">
        <v>100</v>
      </c>
      <c r="K725" s="9" t="n">
        <v>110.9</v>
      </c>
      <c r="L725" s="14">
        <f>IFERROR(IF(OR(J725=0,K725=""),"",IF(E725="Positivo",MIN(MAX(K725/J725,0),1.3),MIN(MAX(J725/K725,0),1.3))),"") </f>
        <v/>
      </c>
      <c r="M725" s="14">
        <f>IFERROR(IF(OR(J725=0,K725=""),"",IF(E725="Positivo",MAX(K725/J725,0),MAX(J725/K725,0))),"") </f>
        <v/>
      </c>
      <c r="N725" s="5" t="inlineStr">
        <is>
          <t>$</t>
        </is>
      </c>
      <c r="O725" s="5" t="inlineStr">
        <is>
          <t>$</t>
        </is>
      </c>
      <c r="P725" s="15" t="n">
        <v>0</v>
      </c>
      <c r="Q725" s="15" t="n">
        <v>0</v>
      </c>
      <c r="R725" s="5" t="inlineStr">
        <is>
          <t>207-2025-06-30</t>
        </is>
      </c>
    </row>
    <row r="726">
      <c r="A726" s="26" t="n">
        <v>207</v>
      </c>
      <c r="B726" s="5" t="inlineStr">
        <is>
          <t>Nivel de Cumplimiento Opex</t>
        </is>
      </c>
      <c r="C726" s="5" t="inlineStr">
        <is>
          <t>Planeación Financiera</t>
        </is>
      </c>
      <c r="D726" s="5" t="inlineStr">
        <is>
          <t>Trimestral</t>
        </is>
      </c>
      <c r="E726" s="5" t="inlineStr">
        <is>
          <t>Negativo</t>
        </is>
      </c>
      <c r="F726" s="107" t="n">
        <v>46022</v>
      </c>
      <c r="G726" s="5" t="n">
        <v>2025</v>
      </c>
      <c r="H726" s="5" t="inlineStr">
        <is>
          <t>Diciembre</t>
        </is>
      </c>
      <c r="I726" s="6" t="inlineStr">
        <is>
          <t>2025-2</t>
        </is>
      </c>
      <c r="J726" s="5" t="n">
        <v>100</v>
      </c>
      <c r="K726" s="9" t="n">
        <v>110.62</v>
      </c>
      <c r="L726" s="14">
        <f>IFERROR(IF(OR(J726=0,K726=""),"",IF(E726="Positivo",MIN(MAX(K726/J726,0),1.3),MIN(MAX(J726/K726,0),1.3))),"") </f>
        <v/>
      </c>
      <c r="M726" s="14">
        <f>IFERROR(IF(OR(J726=0,K726=""),"",IF(E726="Positivo",MAX(K726/J726,0),MAX(J726/K726,0))),"") </f>
        <v/>
      </c>
      <c r="N726" s="5" t="inlineStr">
        <is>
          <t>$</t>
        </is>
      </c>
      <c r="O726" s="5" t="inlineStr">
        <is>
          <t>$</t>
        </is>
      </c>
      <c r="P726" s="15" t="n">
        <v>0</v>
      </c>
      <c r="Q726" s="15" t="n">
        <v>0</v>
      </c>
      <c r="R726" s="5" t="inlineStr">
        <is>
          <t>207-2025-12-31</t>
        </is>
      </c>
    </row>
    <row r="727">
      <c r="A727" s="5" t="n">
        <v>208</v>
      </c>
      <c r="B727" s="5" t="inlineStr">
        <is>
          <t>Consumo de Agua m3 Mensual</t>
        </is>
      </c>
      <c r="C727" s="5" t="inlineStr">
        <is>
          <t>GESTIÓN AMBIENTAL</t>
        </is>
      </c>
      <c r="D727" s="5" t="inlineStr">
        <is>
          <t>Mensual</t>
        </is>
      </c>
      <c r="E727" s="5" t="inlineStr">
        <is>
          <t>Negativo</t>
        </is>
      </c>
      <c r="F727" s="107" t="n">
        <v>44592</v>
      </c>
      <c r="G727" s="5" t="n">
        <v>2022</v>
      </c>
      <c r="H727" s="5" t="inlineStr">
        <is>
          <t>Enero</t>
        </is>
      </c>
      <c r="I727" s="6" t="inlineStr">
        <is>
          <t>2022-1</t>
        </is>
      </c>
      <c r="J727" s="5" t="n">
        <v>1700</v>
      </c>
      <c r="K727" s="5" t="n">
        <v>654</v>
      </c>
      <c r="L727" s="14">
        <f>IFERROR(IF(OR(J727=0,K727=""),"",IF(E727="Positivo",MIN(MAX(K727/J727,0),1.0),MIN(MAX(J727/K727,0),1.0))),"") </f>
        <v/>
      </c>
      <c r="M727" s="14">
        <f>IFERROR(IF(OR(J727=0,K727=""),"",IF(E727="Positivo",MAX(K727/J727,0),MAX(J727/K727,0))),"") </f>
        <v/>
      </c>
      <c r="N727" s="5" t="inlineStr">
        <is>
          <t>m3</t>
        </is>
      </c>
      <c r="O727" s="5" t="inlineStr">
        <is>
          <t>m3</t>
        </is>
      </c>
      <c r="P727" s="5" t="n">
        <v>0</v>
      </c>
      <c r="Q727" s="5" t="n">
        <v>0</v>
      </c>
      <c r="R727" s="5" t="inlineStr">
        <is>
          <t>208-2022-01-31</t>
        </is>
      </c>
    </row>
    <row r="728">
      <c r="A728" s="21" t="n">
        <v>208</v>
      </c>
      <c r="B728" s="5" t="inlineStr">
        <is>
          <t>Consumo de Agua m3 Mensual</t>
        </is>
      </c>
      <c r="C728" s="5" t="inlineStr">
        <is>
          <t>GESTIÓN AMBIENTAL</t>
        </is>
      </c>
      <c r="D728" s="5" t="inlineStr">
        <is>
          <t>Mensual</t>
        </is>
      </c>
      <c r="E728" s="5" t="inlineStr">
        <is>
          <t>Negativo</t>
        </is>
      </c>
      <c r="F728" s="107" t="n">
        <v>44620</v>
      </c>
      <c r="G728" s="5" t="n">
        <v>2022</v>
      </c>
      <c r="H728" s="5" t="inlineStr">
        <is>
          <t>Febrero</t>
        </is>
      </c>
      <c r="I728" s="6" t="inlineStr">
        <is>
          <t>2022-1</t>
        </is>
      </c>
      <c r="J728" s="5" t="n">
        <v>1700</v>
      </c>
      <c r="K728" s="10" t="n">
        <v>915.5</v>
      </c>
      <c r="L728" s="14">
        <f>IFERROR(IF(OR(J728=0,K728=""),"",IF(E728="Positivo",MIN(MAX(K728/J728,0),1.0),MIN(MAX(J728/K728,0),1.0))),"") </f>
        <v/>
      </c>
      <c r="M728" s="14">
        <f>IFERROR(IF(OR(J728=0,K728=""),"",IF(E728="Positivo",MAX(K728/J728,0),MAX(J728/K728,0))),"") </f>
        <v/>
      </c>
      <c r="N728" s="5" t="inlineStr">
        <is>
          <t>m3</t>
        </is>
      </c>
      <c r="O728" s="5" t="inlineStr">
        <is>
          <t>m3</t>
        </is>
      </c>
      <c r="P728" s="15" t="n">
        <v>0</v>
      </c>
      <c r="Q728" s="15" t="n">
        <v>0</v>
      </c>
      <c r="R728" s="5" t="inlineStr">
        <is>
          <t>208-2022-02-28</t>
        </is>
      </c>
    </row>
    <row r="729">
      <c r="A729" s="21" t="n">
        <v>208</v>
      </c>
      <c r="B729" s="5" t="inlineStr">
        <is>
          <t>Consumo de Agua m3 Mensual</t>
        </is>
      </c>
      <c r="C729" s="5" t="inlineStr">
        <is>
          <t>GESTIÓN AMBIENTAL</t>
        </is>
      </c>
      <c r="D729" s="5" t="inlineStr">
        <is>
          <t>Mensual</t>
        </is>
      </c>
      <c r="E729" s="5" t="inlineStr">
        <is>
          <t>Negativo</t>
        </is>
      </c>
      <c r="F729" s="106" t="n">
        <v>44651</v>
      </c>
      <c r="G729" s="5" t="n">
        <v>2022</v>
      </c>
      <c r="H729" s="5" t="inlineStr">
        <is>
          <t>Marzo</t>
        </is>
      </c>
      <c r="I729" s="6" t="inlineStr">
        <is>
          <t>2022-1</t>
        </is>
      </c>
      <c r="J729" s="5" t="n">
        <v>1700</v>
      </c>
      <c r="K729" s="9" t="n">
        <v>782.5</v>
      </c>
      <c r="L729" s="14">
        <f>IFERROR(IF(OR(J729=0,K729=""),"",IF(E729="Positivo",MIN(MAX(K729/J729,0),1.0),MIN(MAX(J729/K729,0),1.0))),"") </f>
        <v/>
      </c>
      <c r="M729" s="14">
        <f>IFERROR(IF(OR(J729=0,K729=""),"",IF(E729="Positivo",MAX(K729/J729,0),MAX(J729/K729,0))),"") </f>
        <v/>
      </c>
      <c r="N729" s="5" t="inlineStr">
        <is>
          <t>m3</t>
        </is>
      </c>
      <c r="O729" s="5" t="inlineStr">
        <is>
          <t>m3</t>
        </is>
      </c>
      <c r="P729" s="15" t="n">
        <v>0</v>
      </c>
      <c r="Q729" s="15" t="n">
        <v>0</v>
      </c>
      <c r="R729" s="5" t="inlineStr">
        <is>
          <t>208-2022-03-31</t>
        </is>
      </c>
    </row>
    <row r="730">
      <c r="A730" s="21" t="n">
        <v>208</v>
      </c>
      <c r="B730" s="5" t="inlineStr">
        <is>
          <t>Consumo de Agua m3 Mensual</t>
        </is>
      </c>
      <c r="C730" s="5" t="inlineStr">
        <is>
          <t>GESTIÓN AMBIENTAL</t>
        </is>
      </c>
      <c r="D730" s="5" t="inlineStr">
        <is>
          <t>Mensual</t>
        </is>
      </c>
      <c r="E730" s="5" t="inlineStr">
        <is>
          <t>Negativo</t>
        </is>
      </c>
      <c r="F730" s="107" t="n">
        <v>44681</v>
      </c>
      <c r="G730" s="5" t="n">
        <v>2022</v>
      </c>
      <c r="H730" s="5" t="inlineStr">
        <is>
          <t>Abril</t>
        </is>
      </c>
      <c r="I730" s="6" t="inlineStr">
        <is>
          <t>2022-1</t>
        </is>
      </c>
      <c r="J730" s="5" t="n">
        <v>1700</v>
      </c>
      <c r="K730" s="9" t="n">
        <v>1296</v>
      </c>
      <c r="L730" s="14">
        <f>IFERROR(IF(OR(J730=0,K730=""),"",IF(E730="Positivo",MIN(MAX(K730/J730,0),1.0),MIN(MAX(J730/K730,0),1.0))),"") </f>
        <v/>
      </c>
      <c r="M730" s="14">
        <f>IFERROR(IF(OR(J730=0,K730=""),"",IF(E730="Positivo",MAX(K730/J730,0),MAX(J730/K730,0))),"") </f>
        <v/>
      </c>
      <c r="N730" s="5" t="inlineStr">
        <is>
          <t>m3</t>
        </is>
      </c>
      <c r="O730" s="5" t="inlineStr">
        <is>
          <t>m3</t>
        </is>
      </c>
      <c r="P730" s="15" t="n">
        <v>0</v>
      </c>
      <c r="Q730" s="15" t="n">
        <v>0</v>
      </c>
      <c r="R730" s="5" t="inlineStr">
        <is>
          <t>208-2022-04-30</t>
        </is>
      </c>
    </row>
    <row r="731">
      <c r="A731" s="21" t="n">
        <v>208</v>
      </c>
      <c r="B731" s="5" t="inlineStr">
        <is>
          <t>Consumo de Agua m3 Mensual</t>
        </is>
      </c>
      <c r="C731" s="5" t="inlineStr">
        <is>
          <t>GESTIÓN AMBIENTAL</t>
        </is>
      </c>
      <c r="D731" s="5" t="inlineStr">
        <is>
          <t>Mensual</t>
        </is>
      </c>
      <c r="E731" s="5" t="inlineStr">
        <is>
          <t>Negativo</t>
        </is>
      </c>
      <c r="F731" s="107" t="n">
        <v>44712</v>
      </c>
      <c r="G731" s="5" t="n">
        <v>2022</v>
      </c>
      <c r="H731" s="5" t="inlineStr">
        <is>
          <t>Mayo</t>
        </is>
      </c>
      <c r="I731" s="6" t="inlineStr">
        <is>
          <t>2022-1</t>
        </is>
      </c>
      <c r="J731" s="5" t="n">
        <v>1700</v>
      </c>
      <c r="K731" s="9" t="n">
        <v>1251</v>
      </c>
      <c r="L731" s="14">
        <f>IFERROR(IF(OR(J731=0,K731=""),"",IF(E731="Positivo",MIN(MAX(K731/J731,0),1.0),MIN(MAX(J731/K731,0),1.0))),"") </f>
        <v/>
      </c>
      <c r="M731" s="14">
        <f>IFERROR(IF(OR(J731=0,K731=""),"",IF(E731="Positivo",MAX(K731/J731,0),MAX(J731/K731,0))),"") </f>
        <v/>
      </c>
      <c r="N731" s="5" t="inlineStr">
        <is>
          <t>m3</t>
        </is>
      </c>
      <c r="O731" s="5" t="inlineStr">
        <is>
          <t>m3</t>
        </is>
      </c>
      <c r="P731" s="15" t="n">
        <v>0</v>
      </c>
      <c r="Q731" s="15" t="n">
        <v>0</v>
      </c>
      <c r="R731" s="5" t="inlineStr">
        <is>
          <t>208-2022-05-31</t>
        </is>
      </c>
    </row>
    <row r="732">
      <c r="A732" s="26" t="n">
        <v>208</v>
      </c>
      <c r="B732" s="5" t="inlineStr">
        <is>
          <t>Consumo de Agua m3 Mensual</t>
        </is>
      </c>
      <c r="C732" s="5" t="inlineStr">
        <is>
          <t>GESTIÓN AMBIENTAL</t>
        </is>
      </c>
      <c r="D732" s="5" t="inlineStr">
        <is>
          <t>Mensual</t>
        </is>
      </c>
      <c r="E732" s="5" t="inlineStr">
        <is>
          <t>Negativo</t>
        </is>
      </c>
      <c r="F732" s="107" t="n">
        <v>44742</v>
      </c>
      <c r="G732" s="5" t="n">
        <v>2022</v>
      </c>
      <c r="H732" s="5" t="inlineStr">
        <is>
          <t>Junio</t>
        </is>
      </c>
      <c r="I732" s="6" t="inlineStr">
        <is>
          <t>2022-1</t>
        </is>
      </c>
      <c r="J732" s="5" t="n">
        <v>1700</v>
      </c>
      <c r="K732" s="9" t="n">
        <v>1229.5</v>
      </c>
      <c r="L732" s="14">
        <f>IFERROR(IF(OR(J732=0,K732=""),"",IF(E732="Positivo",MIN(MAX(K732/J732,0),1.0),MIN(MAX(J732/K732,0),1.0))),"") </f>
        <v/>
      </c>
      <c r="M732" s="14">
        <f>IFERROR(IF(OR(J732=0,K732=""),"",IF(E732="Positivo",MAX(K732/J732,0),MAX(J732/K732,0))),"") </f>
        <v/>
      </c>
      <c r="N732" s="5" t="inlineStr">
        <is>
          <t>m3</t>
        </is>
      </c>
      <c r="O732" s="5" t="inlineStr">
        <is>
          <t>m3</t>
        </is>
      </c>
      <c r="P732" s="15" t="n">
        <v>0</v>
      </c>
      <c r="Q732" s="15" t="n">
        <v>0</v>
      </c>
      <c r="R732" s="5" t="inlineStr">
        <is>
          <t>208-2022-06-30</t>
        </is>
      </c>
    </row>
    <row r="733">
      <c r="A733" s="26" t="n">
        <v>208</v>
      </c>
      <c r="B733" s="5" t="inlineStr">
        <is>
          <t>Consumo de Agua m3 Mensual</t>
        </is>
      </c>
      <c r="C733" s="5" t="inlineStr">
        <is>
          <t>GESTIÓN AMBIENTAL</t>
        </is>
      </c>
      <c r="D733" s="5" t="inlineStr">
        <is>
          <t>Mensual</t>
        </is>
      </c>
      <c r="E733" s="5" t="inlineStr">
        <is>
          <t>Negativo</t>
        </is>
      </c>
      <c r="F733" s="107" t="n">
        <v>44773</v>
      </c>
      <c r="G733" s="5" t="n">
        <v>2022</v>
      </c>
      <c r="H733" s="5" t="inlineStr">
        <is>
          <t>Julio</t>
        </is>
      </c>
      <c r="I733" s="6" t="inlineStr">
        <is>
          <t>2022-2</t>
        </is>
      </c>
      <c r="J733" s="5" t="n">
        <v>1700</v>
      </c>
      <c r="K733" s="9" t="n">
        <v>1362.5</v>
      </c>
      <c r="L733" s="14">
        <f>IFERROR(IF(OR(J733=0,K733=""),"",IF(E733="Positivo",MIN(MAX(K733/J733,0),1.0),MIN(MAX(J733/K733,0),1.0))),"") </f>
        <v/>
      </c>
      <c r="M733" s="14">
        <f>IFERROR(IF(OR(J733=0,K733=""),"",IF(E733="Positivo",MAX(K733/J733,0),MAX(J733/K733,0))),"") </f>
        <v/>
      </c>
      <c r="N733" s="5" t="inlineStr">
        <is>
          <t>m3</t>
        </is>
      </c>
      <c r="O733" s="5" t="inlineStr">
        <is>
          <t>m3</t>
        </is>
      </c>
      <c r="P733" s="15" t="n">
        <v>0</v>
      </c>
      <c r="Q733" s="15" t="n">
        <v>0</v>
      </c>
      <c r="R733" s="5" t="inlineStr">
        <is>
          <t>208-2022-07-31</t>
        </is>
      </c>
    </row>
    <row r="734">
      <c r="A734" s="21" t="n">
        <v>208</v>
      </c>
      <c r="B734" s="5" t="inlineStr">
        <is>
          <t>Consumo de Agua m3 Mensual</t>
        </is>
      </c>
      <c r="C734" s="5" t="inlineStr">
        <is>
          <t>GESTIÓN AMBIENTAL</t>
        </is>
      </c>
      <c r="D734" s="5" t="inlineStr">
        <is>
          <t>Mensual</t>
        </is>
      </c>
      <c r="E734" s="5" t="inlineStr">
        <is>
          <t>Negativo</t>
        </is>
      </c>
      <c r="F734" s="107" t="n">
        <v>44804</v>
      </c>
      <c r="G734" s="5" t="n">
        <v>2022</v>
      </c>
      <c r="H734" s="5" t="inlineStr">
        <is>
          <t>Agosto</t>
        </is>
      </c>
      <c r="I734" s="6" t="inlineStr">
        <is>
          <t>2022-2</t>
        </is>
      </c>
      <c r="J734" s="5" t="n">
        <v>1700</v>
      </c>
      <c r="K734" s="9" t="n">
        <v>1328.5</v>
      </c>
      <c r="L734" s="14">
        <f>IFERROR(IF(OR(J734=0,K734=""),"",IF(E734="Positivo",MIN(MAX(K734/J734,0),1.0),MIN(MAX(J734/K734,0),1.0))),"") </f>
        <v/>
      </c>
      <c r="M734" s="14">
        <f>IFERROR(IF(OR(J734=0,K734=""),"",IF(E734="Positivo",MAX(K734/J734,0),MAX(J734/K734,0))),"") </f>
        <v/>
      </c>
      <c r="N734" s="5" t="inlineStr">
        <is>
          <t>m3</t>
        </is>
      </c>
      <c r="O734" s="5" t="inlineStr">
        <is>
          <t>m3</t>
        </is>
      </c>
      <c r="P734" s="15" t="n">
        <v>0</v>
      </c>
      <c r="Q734" s="15" t="n">
        <v>0</v>
      </c>
      <c r="R734" s="5" t="inlineStr">
        <is>
          <t>208-2022-08-31</t>
        </is>
      </c>
    </row>
    <row r="735">
      <c r="A735" s="28" t="n">
        <v>208</v>
      </c>
      <c r="B735" s="5" t="inlineStr">
        <is>
          <t>Consumo de Agua m3 Mensual</t>
        </is>
      </c>
      <c r="C735" s="5" t="inlineStr">
        <is>
          <t>GESTIÓN AMBIENTAL</t>
        </is>
      </c>
      <c r="D735" s="5" t="inlineStr">
        <is>
          <t>Mensual</t>
        </is>
      </c>
      <c r="E735" s="5" t="inlineStr">
        <is>
          <t>Negativo</t>
        </is>
      </c>
      <c r="F735" s="107" t="n">
        <v>44834</v>
      </c>
      <c r="G735" s="5" t="n">
        <v>2022</v>
      </c>
      <c r="H735" s="5" t="inlineStr">
        <is>
          <t>Septiembre</t>
        </is>
      </c>
      <c r="I735" s="6" t="inlineStr">
        <is>
          <t>2022-2</t>
        </is>
      </c>
      <c r="J735" s="5" t="n">
        <v>1700</v>
      </c>
      <c r="K735" s="9" t="n">
        <v>1687.5</v>
      </c>
      <c r="L735" s="14">
        <f>IFERROR(IF(OR(J735=0,K735=""),"",IF(E735="Positivo",MIN(MAX(K735/J735,0),1.0),MIN(MAX(J735/K735,0),1.0))),"") </f>
        <v/>
      </c>
      <c r="M735" s="14">
        <f>IFERROR(IF(OR(J735=0,K735=""),"",IF(E735="Positivo",MAX(K735/J735,0),MAX(J735/K735,0))),"") </f>
        <v/>
      </c>
      <c r="N735" s="5" t="inlineStr">
        <is>
          <t>m3</t>
        </is>
      </c>
      <c r="O735" s="5" t="inlineStr">
        <is>
          <t>m3</t>
        </is>
      </c>
      <c r="P735" s="15" t="n">
        <v>0</v>
      </c>
      <c r="Q735" s="15" t="n">
        <v>0</v>
      </c>
      <c r="R735" s="5" t="inlineStr">
        <is>
          <t>208-2022-09-30</t>
        </is>
      </c>
    </row>
    <row r="736">
      <c r="A736" s="26" t="n">
        <v>208</v>
      </c>
      <c r="B736" s="5" t="inlineStr">
        <is>
          <t>Consumo de Agua m3 Mensual</t>
        </is>
      </c>
      <c r="C736" s="5" t="inlineStr">
        <is>
          <t>GESTIÓN AMBIENTAL</t>
        </is>
      </c>
      <c r="D736" s="5" t="inlineStr">
        <is>
          <t>Mensual</t>
        </is>
      </c>
      <c r="E736" s="5" t="inlineStr">
        <is>
          <t>Negativo</t>
        </is>
      </c>
      <c r="F736" s="107" t="n">
        <v>44865</v>
      </c>
      <c r="G736" s="5" t="n">
        <v>2022</v>
      </c>
      <c r="H736" s="5" t="inlineStr">
        <is>
          <t>Octubre</t>
        </is>
      </c>
      <c r="I736" s="6" t="inlineStr">
        <is>
          <t>2022-2</t>
        </is>
      </c>
      <c r="J736" s="5" t="n">
        <v>1700</v>
      </c>
      <c r="K736" s="9" t="n">
        <v>1687</v>
      </c>
      <c r="L736" s="14">
        <f>IFERROR(IF(OR(J736=0,K736=""),"",IF(E736="Positivo",MIN(MAX(K736/J736,0),1.0),MIN(MAX(J736/K736,0),1.0))),"") </f>
        <v/>
      </c>
      <c r="M736" s="14">
        <f>IFERROR(IF(OR(J736=0,K736=""),"",IF(E736="Positivo",MAX(K736/J736,0),MAX(J736/K736,0))),"") </f>
        <v/>
      </c>
      <c r="N736" s="5" t="inlineStr">
        <is>
          <t>m3</t>
        </is>
      </c>
      <c r="O736" s="5" t="inlineStr">
        <is>
          <t>m3</t>
        </is>
      </c>
      <c r="P736" s="15" t="n">
        <v>0</v>
      </c>
      <c r="Q736" s="15" t="n">
        <v>0</v>
      </c>
      <c r="R736" s="5" t="inlineStr">
        <is>
          <t>208-2022-10-31</t>
        </is>
      </c>
    </row>
    <row r="737">
      <c r="A737" s="26" t="n">
        <v>208</v>
      </c>
      <c r="B737" s="5" t="inlineStr">
        <is>
          <t>Consumo de Agua m3 Mensual</t>
        </is>
      </c>
      <c r="C737" s="5" t="inlineStr">
        <is>
          <t>GESTIÓN AMBIENTAL</t>
        </is>
      </c>
      <c r="D737" s="5" t="inlineStr">
        <is>
          <t>Mensual</t>
        </is>
      </c>
      <c r="E737" s="5" t="inlineStr">
        <is>
          <t>Negativo</t>
        </is>
      </c>
      <c r="F737" s="107" t="n">
        <v>44895</v>
      </c>
      <c r="G737" s="5" t="n">
        <v>2022</v>
      </c>
      <c r="H737" s="5" t="inlineStr">
        <is>
          <t>Noviembre</t>
        </is>
      </c>
      <c r="I737" s="6" t="inlineStr">
        <is>
          <t>2022-2</t>
        </is>
      </c>
      <c r="J737" s="5" t="n">
        <v>1700</v>
      </c>
      <c r="K737" s="5" t="n">
        <v>1494</v>
      </c>
      <c r="L737" s="14">
        <f>IFERROR(IF(OR(J737=0,K737=""),"",IF(E737="Positivo",MIN(MAX(K737/J737,0),1.0),MIN(MAX(J737/K737,0),1.0))),"") </f>
        <v/>
      </c>
      <c r="M737" s="14">
        <f>IFERROR(IF(OR(J737=0,K737=""),"",IF(E737="Positivo",MAX(K737/J737,0),MAX(J737/K737,0))),"") </f>
        <v/>
      </c>
      <c r="N737" s="5" t="inlineStr">
        <is>
          <t>m3</t>
        </is>
      </c>
      <c r="O737" s="5" t="inlineStr">
        <is>
          <t>m3</t>
        </is>
      </c>
      <c r="P737" s="15" t="n">
        <v>0</v>
      </c>
      <c r="Q737" s="15" t="n">
        <v>0</v>
      </c>
      <c r="R737" s="5" t="inlineStr">
        <is>
          <t>208-2022-11-30</t>
        </is>
      </c>
    </row>
    <row r="738">
      <c r="A738" s="26" t="n">
        <v>208</v>
      </c>
      <c r="B738" s="5" t="inlineStr">
        <is>
          <t>Consumo de Agua m3 Mensual</t>
        </is>
      </c>
      <c r="C738" s="5" t="inlineStr">
        <is>
          <t>GESTIÓN AMBIENTAL</t>
        </is>
      </c>
      <c r="D738" s="5" t="inlineStr">
        <is>
          <t>Mensual</t>
        </is>
      </c>
      <c r="E738" s="5" t="inlineStr">
        <is>
          <t>Negativo</t>
        </is>
      </c>
      <c r="F738" s="107" t="n">
        <v>44926</v>
      </c>
      <c r="G738" s="5" t="n">
        <v>2022</v>
      </c>
      <c r="H738" s="5" t="inlineStr">
        <is>
          <t>Diciembre</t>
        </is>
      </c>
      <c r="I738" s="6" t="inlineStr">
        <is>
          <t>2022-2</t>
        </is>
      </c>
      <c r="J738" s="5" t="n">
        <v>1700</v>
      </c>
      <c r="K738" s="5" t="n">
        <v>1010</v>
      </c>
      <c r="L738" s="14">
        <f>IFERROR(IF(OR(J738=0,K738=""),"",IF(E738="Positivo",MIN(MAX(K738/J738,0),1.0),MIN(MAX(J738/K738,0),1.0))),"") </f>
        <v/>
      </c>
      <c r="M738" s="14">
        <f>IFERROR(IF(OR(J738=0,K738=""),"",IF(E738="Positivo",MAX(K738/J738,0),MAX(J738/K738,0))),"") </f>
        <v/>
      </c>
      <c r="N738" s="5" t="inlineStr">
        <is>
          <t>m3</t>
        </is>
      </c>
      <c r="O738" s="5" t="inlineStr">
        <is>
          <t>m3</t>
        </is>
      </c>
      <c r="P738" s="15" t="n">
        <v>0</v>
      </c>
      <c r="Q738" s="15" t="n">
        <v>0</v>
      </c>
      <c r="R738" s="5" t="inlineStr">
        <is>
          <t>208-2022-12-31</t>
        </is>
      </c>
    </row>
    <row r="739">
      <c r="A739" s="21" t="n">
        <v>208</v>
      </c>
      <c r="B739" s="5" t="inlineStr">
        <is>
          <t>Consumo de Agua m3 Mensual</t>
        </is>
      </c>
      <c r="C739" s="5" t="inlineStr">
        <is>
          <t>GESTIÓN AMBIENTAL</t>
        </is>
      </c>
      <c r="D739" s="5" t="inlineStr">
        <is>
          <t>Mensual</t>
        </is>
      </c>
      <c r="E739" s="5" t="inlineStr">
        <is>
          <t>Negativo</t>
        </is>
      </c>
      <c r="F739" s="107" t="n">
        <v>44957</v>
      </c>
      <c r="G739" s="5" t="n">
        <v>2023</v>
      </c>
      <c r="H739" s="5" t="inlineStr">
        <is>
          <t>Enero</t>
        </is>
      </c>
      <c r="I739" s="6" t="inlineStr">
        <is>
          <t>2023-1</t>
        </is>
      </c>
      <c r="J739" s="5" t="n">
        <v>1700</v>
      </c>
      <c r="K739" s="5" t="n">
        <v>1019</v>
      </c>
      <c r="L739" s="14">
        <f>IFERROR(IF(OR(J739=0,K739=""),"",IF(E739="Positivo",MIN(MAX(K739/J739,0),1.0),MIN(MAX(J739/K739,0),1.0))),"") </f>
        <v/>
      </c>
      <c r="M739" s="14">
        <f>IFERROR(IF(OR(J739=0,K739=""),"",IF(E739="Positivo",MAX(K739/J739,0),MAX(J739/K739,0))),"") </f>
        <v/>
      </c>
      <c r="N739" s="5" t="inlineStr">
        <is>
          <t>Linea Base</t>
        </is>
      </c>
      <c r="O739" s="5" t="inlineStr">
        <is>
          <t>m3</t>
        </is>
      </c>
      <c r="P739" s="15" t="n">
        <v>0</v>
      </c>
      <c r="Q739" s="15" t="n">
        <v>0</v>
      </c>
      <c r="R739" s="5" t="inlineStr">
        <is>
          <t>208-2023-01-31</t>
        </is>
      </c>
    </row>
    <row r="740">
      <c r="A740" s="21" t="n">
        <v>208</v>
      </c>
      <c r="B740" s="5" t="inlineStr">
        <is>
          <t>Consumo de Agua m3 Mensual</t>
        </is>
      </c>
      <c r="C740" s="5" t="inlineStr">
        <is>
          <t>GESTIÓN AMBIENTAL</t>
        </is>
      </c>
      <c r="D740" s="5" t="inlineStr">
        <is>
          <t>Mensual</t>
        </is>
      </c>
      <c r="E740" s="5" t="inlineStr">
        <is>
          <t>Negativo</t>
        </is>
      </c>
      <c r="F740" s="107" t="n">
        <v>44985</v>
      </c>
      <c r="G740" s="5" t="n">
        <v>2023</v>
      </c>
      <c r="H740" s="5" t="inlineStr">
        <is>
          <t>Febrero</t>
        </is>
      </c>
      <c r="I740" s="6" t="inlineStr">
        <is>
          <t>2023-1</t>
        </is>
      </c>
      <c r="J740" s="5" t="n">
        <v>1700</v>
      </c>
      <c r="K740" s="5" t="n">
        <v>896</v>
      </c>
      <c r="L740" s="14">
        <f>IFERROR(IF(OR(J740=0,K740=""),"",IF(E740="Positivo",MIN(MAX(K740/J740,0),1.0),MIN(MAX(J740/K740,0),1.0))),"") </f>
        <v/>
      </c>
      <c r="M740" s="14">
        <f>IFERROR(IF(OR(J740=0,K740=""),"",IF(E740="Positivo",MAX(K740/J740,0),MAX(J740/K740,0))),"") </f>
        <v/>
      </c>
      <c r="N740" s="5" t="inlineStr">
        <is>
          <t>Linea Base</t>
        </is>
      </c>
      <c r="O740" s="5" t="inlineStr">
        <is>
          <t>m3</t>
        </is>
      </c>
      <c r="P740" s="15" t="n">
        <v>0</v>
      </c>
      <c r="Q740" s="15" t="n">
        <v>0</v>
      </c>
      <c r="R740" s="5" t="inlineStr">
        <is>
          <t>208-2023-02-28</t>
        </is>
      </c>
    </row>
    <row r="741">
      <c r="A741" s="26" t="n">
        <v>208</v>
      </c>
      <c r="B741" s="5" t="inlineStr">
        <is>
          <t>Consumo de Agua m3 Mensual</t>
        </is>
      </c>
      <c r="C741" s="5" t="inlineStr">
        <is>
          <t>GESTIÓN AMBIENTAL</t>
        </is>
      </c>
      <c r="D741" s="5" t="inlineStr">
        <is>
          <t>Mensual</t>
        </is>
      </c>
      <c r="E741" s="5" t="inlineStr">
        <is>
          <t>Negativo</t>
        </is>
      </c>
      <c r="F741" s="107" t="n">
        <v>45016</v>
      </c>
      <c r="G741" s="5" t="n">
        <v>2023</v>
      </c>
      <c r="H741" s="5" t="inlineStr">
        <is>
          <t>Marzo</t>
        </is>
      </c>
      <c r="I741" s="6" t="inlineStr">
        <is>
          <t>2023-1</t>
        </is>
      </c>
      <c r="J741" s="5" t="n">
        <v>1700</v>
      </c>
      <c r="K741" s="9" t="n">
        <v>961.7</v>
      </c>
      <c r="L741" s="14">
        <f>IFERROR(IF(OR(J741=0,K741=""),"",IF(E741="Positivo",MIN(MAX(K741/J741,0),1.0),MIN(MAX(J741/K741,0),1.0))),"") </f>
        <v/>
      </c>
      <c r="M741" s="14">
        <f>IFERROR(IF(OR(J741=0,K741=""),"",IF(E741="Positivo",MAX(K741/J741,0),MAX(J741/K741,0))),"") </f>
        <v/>
      </c>
      <c r="N741" s="5" t="inlineStr">
        <is>
          <t>Linea Base</t>
        </is>
      </c>
      <c r="O741" s="5" t="inlineStr">
        <is>
          <t>m3</t>
        </is>
      </c>
      <c r="P741" s="15" t="n">
        <v>0</v>
      </c>
      <c r="Q741" s="15" t="n">
        <v>0</v>
      </c>
      <c r="R741" s="5" t="inlineStr">
        <is>
          <t>208-2023-03-31</t>
        </is>
      </c>
    </row>
    <row r="742">
      <c r="A742" s="21" t="n">
        <v>208</v>
      </c>
      <c r="B742" s="5" t="inlineStr">
        <is>
          <t>Consumo de Agua m3 Mensual</t>
        </is>
      </c>
      <c r="C742" s="5" t="inlineStr">
        <is>
          <t>GESTIÓN AMBIENTAL</t>
        </is>
      </c>
      <c r="D742" s="5" t="inlineStr">
        <is>
          <t>Mensual</t>
        </is>
      </c>
      <c r="E742" s="5" t="inlineStr">
        <is>
          <t>Negativo</t>
        </is>
      </c>
      <c r="F742" s="107" t="n">
        <v>45046</v>
      </c>
      <c r="G742" s="5" t="n">
        <v>2023</v>
      </c>
      <c r="H742" s="5" t="inlineStr">
        <is>
          <t>Abril</t>
        </is>
      </c>
      <c r="I742" s="6" t="inlineStr">
        <is>
          <t>2023-1</t>
        </is>
      </c>
      <c r="J742" s="5" t="n">
        <v>1700</v>
      </c>
      <c r="K742" s="10" t="n">
        <v>957.6</v>
      </c>
      <c r="L742" s="14">
        <f>IFERROR(IF(OR(J742=0,K742=""),"",IF(E742="Positivo",MIN(MAX(K742/J742,0),1.0),MIN(MAX(J742/K742,0),1.0))),"") </f>
        <v/>
      </c>
      <c r="M742" s="14">
        <f>IFERROR(IF(OR(J742=0,K742=""),"",IF(E742="Positivo",MAX(K742/J742,0),MAX(J742/K742,0))),"") </f>
        <v/>
      </c>
      <c r="N742" s="5" t="inlineStr">
        <is>
          <t>Linea Base</t>
        </is>
      </c>
      <c r="O742" s="5" t="inlineStr">
        <is>
          <t>m3</t>
        </is>
      </c>
      <c r="P742" s="15" t="n">
        <v>0</v>
      </c>
      <c r="Q742" s="15" t="n">
        <v>0</v>
      </c>
      <c r="R742" s="5" t="inlineStr">
        <is>
          <t>208-2023-04-30</t>
        </is>
      </c>
    </row>
    <row r="743">
      <c r="A743" s="21" t="n">
        <v>208</v>
      </c>
      <c r="B743" s="5" t="inlineStr">
        <is>
          <t>Consumo de Agua m3 Mensual</t>
        </is>
      </c>
      <c r="C743" s="5" t="inlineStr">
        <is>
          <t>GESTIÓN AMBIENTAL</t>
        </is>
      </c>
      <c r="D743" s="5" t="inlineStr">
        <is>
          <t>Mensual</t>
        </is>
      </c>
      <c r="E743" s="5" t="inlineStr">
        <is>
          <t>Negativo</t>
        </is>
      </c>
      <c r="F743" s="106" t="n">
        <v>45077</v>
      </c>
      <c r="G743" s="5" t="n">
        <v>2023</v>
      </c>
      <c r="H743" s="5" t="inlineStr">
        <is>
          <t>Mayo</t>
        </is>
      </c>
      <c r="I743" s="6" t="inlineStr">
        <is>
          <t>2023-1</t>
        </is>
      </c>
      <c r="J743" s="5" t="n">
        <v>1700</v>
      </c>
      <c r="K743" s="9" t="n">
        <v>1268</v>
      </c>
      <c r="L743" s="14">
        <f>IFERROR(IF(OR(J743=0,K743=""),"",IF(E743="Positivo",MIN(MAX(K743/J743,0),1.0),MIN(MAX(J743/K743,0),1.0))),"") </f>
        <v/>
      </c>
      <c r="M743" s="14">
        <f>IFERROR(IF(OR(J743=0,K743=""),"",IF(E743="Positivo",MAX(K743/J743,0),MAX(J743/K743,0))),"") </f>
        <v/>
      </c>
      <c r="N743" s="5" t="inlineStr">
        <is>
          <t>Linea Base</t>
        </is>
      </c>
      <c r="O743" s="5" t="inlineStr">
        <is>
          <t>m3</t>
        </is>
      </c>
      <c r="P743" s="15" t="n">
        <v>0</v>
      </c>
      <c r="Q743" s="15" t="n">
        <v>0</v>
      </c>
      <c r="R743" s="5" t="inlineStr">
        <is>
          <t>208-2023-05-31</t>
        </is>
      </c>
    </row>
    <row r="744">
      <c r="A744" s="26" t="n">
        <v>208</v>
      </c>
      <c r="B744" s="5" t="inlineStr">
        <is>
          <t>Consumo de Agua m3 Mensual</t>
        </is>
      </c>
      <c r="C744" s="5" t="inlineStr">
        <is>
          <t>GESTIÓN AMBIENTAL</t>
        </is>
      </c>
      <c r="D744" s="5" t="inlineStr">
        <is>
          <t>Mensual</t>
        </is>
      </c>
      <c r="E744" s="5" t="inlineStr">
        <is>
          <t>Negativo</t>
        </is>
      </c>
      <c r="F744" s="107" t="n">
        <v>45107</v>
      </c>
      <c r="G744" s="5" t="n">
        <v>2023</v>
      </c>
      <c r="H744" s="5" t="inlineStr">
        <is>
          <t>Junio</t>
        </is>
      </c>
      <c r="I744" s="6" t="inlineStr">
        <is>
          <t>2023-1</t>
        </is>
      </c>
      <c r="J744" s="5" t="n">
        <v>1700</v>
      </c>
      <c r="K744" s="9" t="n">
        <v>1457</v>
      </c>
      <c r="L744" s="14">
        <f>IFERROR(IF(OR(J744=0,K744=""),"",IF(E744="Positivo",MIN(MAX(K744/J744,0),1.0),MIN(MAX(J744/K744,0),1.0))),"") </f>
        <v/>
      </c>
      <c r="M744" s="14">
        <f>IFERROR(IF(OR(J744=0,K744=""),"",IF(E744="Positivo",MAX(K744/J744,0),MAX(J744/K744,0))),"") </f>
        <v/>
      </c>
      <c r="N744" s="5" t="inlineStr">
        <is>
          <t>Linea Base</t>
        </is>
      </c>
      <c r="O744" s="5" t="inlineStr">
        <is>
          <t>m3</t>
        </is>
      </c>
      <c r="P744" s="15" t="n">
        <v>0</v>
      </c>
      <c r="Q744" s="15" t="n">
        <v>0</v>
      </c>
      <c r="R744" s="5" t="inlineStr">
        <is>
          <t>208-2023-06-30</t>
        </is>
      </c>
    </row>
    <row r="745">
      <c r="A745" s="5" t="n">
        <v>208</v>
      </c>
      <c r="B745" s="5" t="inlineStr">
        <is>
          <t>Consumo de Agua m3 Mensual</t>
        </is>
      </c>
      <c r="C745" s="5" t="inlineStr">
        <is>
          <t>GESTIÓN AMBIENTAL</t>
        </is>
      </c>
      <c r="D745" s="5" t="inlineStr">
        <is>
          <t>Mensual</t>
        </is>
      </c>
      <c r="E745" s="5" t="inlineStr">
        <is>
          <t>Negativo</t>
        </is>
      </c>
      <c r="F745" s="107" t="n">
        <v>45138</v>
      </c>
      <c r="G745" s="5" t="n">
        <v>2023</v>
      </c>
      <c r="H745" s="5" t="inlineStr">
        <is>
          <t>Julio</t>
        </is>
      </c>
      <c r="I745" s="6" t="inlineStr">
        <is>
          <t>2023-2</t>
        </is>
      </c>
      <c r="J745" s="5" t="n">
        <v>1700</v>
      </c>
      <c r="K745" s="5" t="n">
        <v>1160</v>
      </c>
      <c r="L745" s="14">
        <f>IFERROR(IF(OR(J745=0,K745=""),"",IF(E745="Positivo",MIN(MAX(K745/J745,0),1.0),MIN(MAX(J745/K745,0),1.0))),"") </f>
        <v/>
      </c>
      <c r="M745" s="14">
        <f>IFERROR(IF(OR(J745=0,K745=""),"",IF(E745="Positivo",MAX(K745/J745,0),MAX(J745/K745,0))),"") </f>
        <v/>
      </c>
      <c r="N745" s="5" t="inlineStr">
        <is>
          <t>Linea Base</t>
        </is>
      </c>
      <c r="O745" s="5" t="inlineStr">
        <is>
          <t>m3</t>
        </is>
      </c>
      <c r="P745" s="5" t="n">
        <v>0</v>
      </c>
      <c r="Q745" s="5" t="n">
        <v>0</v>
      </c>
      <c r="R745" s="5" t="inlineStr">
        <is>
          <t>208-2023-07-31</t>
        </is>
      </c>
    </row>
    <row r="746">
      <c r="A746" s="21" t="n">
        <v>208</v>
      </c>
      <c r="B746" s="5" t="inlineStr">
        <is>
          <t>Consumo de Agua m3 Mensual</t>
        </is>
      </c>
      <c r="C746" s="5" t="inlineStr">
        <is>
          <t>GESTIÓN AMBIENTAL</t>
        </is>
      </c>
      <c r="D746" s="5" t="inlineStr">
        <is>
          <t>Mensual</t>
        </is>
      </c>
      <c r="E746" s="5" t="inlineStr">
        <is>
          <t>Negativo</t>
        </is>
      </c>
      <c r="F746" s="107" t="n">
        <v>45169</v>
      </c>
      <c r="G746" s="5" t="n">
        <v>2023</v>
      </c>
      <c r="H746" s="5" t="inlineStr">
        <is>
          <t>Agosto</t>
        </is>
      </c>
      <c r="I746" s="6" t="inlineStr">
        <is>
          <t>2023-2</t>
        </is>
      </c>
      <c r="J746" s="5" t="n">
        <v>1700</v>
      </c>
      <c r="K746" s="10" t="n">
        <v>1275</v>
      </c>
      <c r="L746" s="14">
        <f>IFERROR(IF(OR(J746=0,K746=""),"",IF(E746="Positivo",MIN(MAX(K746/J746,0),1.0),MIN(MAX(J746/K746,0),1.0))),"") </f>
        <v/>
      </c>
      <c r="M746" s="14">
        <f>IFERROR(IF(OR(J746=0,K746=""),"",IF(E746="Positivo",MAX(K746/J746,0),MAX(J746/K746,0))),"") </f>
        <v/>
      </c>
      <c r="N746" s="5" t="inlineStr">
        <is>
          <t>Linea Base</t>
        </is>
      </c>
      <c r="O746" s="5" t="inlineStr">
        <is>
          <t>m3</t>
        </is>
      </c>
      <c r="P746" s="15" t="n">
        <v>0</v>
      </c>
      <c r="Q746" s="15" t="n">
        <v>0</v>
      </c>
      <c r="R746" s="5" t="inlineStr">
        <is>
          <t>208-2023-08-31</t>
        </is>
      </c>
    </row>
    <row r="747">
      <c r="A747" s="21" t="n">
        <v>208</v>
      </c>
      <c r="B747" s="5" t="inlineStr">
        <is>
          <t>Consumo de Agua m3 Mensual</t>
        </is>
      </c>
      <c r="C747" s="5" t="inlineStr">
        <is>
          <t>GESTIÓN AMBIENTAL</t>
        </is>
      </c>
      <c r="D747" s="5" t="inlineStr">
        <is>
          <t>Mensual</t>
        </is>
      </c>
      <c r="E747" s="5" t="inlineStr">
        <is>
          <t>Negativo</t>
        </is>
      </c>
      <c r="F747" s="106" t="n">
        <v>45199</v>
      </c>
      <c r="G747" s="5" t="n">
        <v>2023</v>
      </c>
      <c r="H747" s="5" t="inlineStr">
        <is>
          <t>Septiembre</t>
        </is>
      </c>
      <c r="I747" s="6" t="inlineStr">
        <is>
          <t>2023-2</t>
        </is>
      </c>
      <c r="J747" s="5" t="n">
        <v>1700</v>
      </c>
      <c r="K747" s="9" t="n">
        <v>1453.5</v>
      </c>
      <c r="L747" s="14">
        <f>IFERROR(IF(OR(J747=0,K747=""),"",IF(E747="Positivo",MIN(MAX(K747/J747,0),1.0),MIN(MAX(J747/K747,0),1.0))),"") </f>
        <v/>
      </c>
      <c r="M747" s="14">
        <f>IFERROR(IF(OR(J747=0,K747=""),"",IF(E747="Positivo",MAX(K747/J747,0),MAX(J747/K747,0))),"") </f>
        <v/>
      </c>
      <c r="N747" s="5" t="inlineStr">
        <is>
          <t>Linea Base</t>
        </is>
      </c>
      <c r="O747" s="5" t="inlineStr">
        <is>
          <t>m3</t>
        </is>
      </c>
      <c r="P747" s="15" t="n">
        <v>0</v>
      </c>
      <c r="Q747" s="15" t="n">
        <v>0</v>
      </c>
      <c r="R747" s="5" t="inlineStr">
        <is>
          <t>208-2023-09-30</t>
        </is>
      </c>
    </row>
    <row r="748">
      <c r="A748" s="26" t="n">
        <v>208</v>
      </c>
      <c r="B748" s="5" t="inlineStr">
        <is>
          <t>Consumo de Agua m3 Mensual</t>
        </is>
      </c>
      <c r="C748" s="5" t="inlineStr">
        <is>
          <t>GESTIÓN AMBIENTAL</t>
        </is>
      </c>
      <c r="D748" s="5" t="inlineStr">
        <is>
          <t>Mensual</t>
        </is>
      </c>
      <c r="E748" s="5" t="inlineStr">
        <is>
          <t>Negativo</t>
        </is>
      </c>
      <c r="F748" s="107" t="n">
        <v>45230</v>
      </c>
      <c r="G748" s="5" t="n">
        <v>2023</v>
      </c>
      <c r="H748" s="5" t="inlineStr">
        <is>
          <t>Octubre</t>
        </is>
      </c>
      <c r="I748" s="6" t="inlineStr">
        <is>
          <t>2023-2</t>
        </is>
      </c>
      <c r="J748" s="5" t="n">
        <v>1700</v>
      </c>
      <c r="K748" s="9" t="n">
        <v>1575.9</v>
      </c>
      <c r="L748" s="14">
        <f>IFERROR(IF(OR(J748=0,K748=""),"",IF(E748="Positivo",MIN(MAX(K748/J748,0),1.0),MIN(MAX(J748/K748,0),1.0))),"") </f>
        <v/>
      </c>
      <c r="M748" s="14">
        <f>IFERROR(IF(OR(J748=0,K748=""),"",IF(E748="Positivo",MAX(K748/J748,0),MAX(J748/K748,0))),"") </f>
        <v/>
      </c>
      <c r="N748" s="5" t="inlineStr">
        <is>
          <t>Linea Base</t>
        </is>
      </c>
      <c r="O748" s="5" t="inlineStr">
        <is>
          <t>m3</t>
        </is>
      </c>
      <c r="P748" s="15" t="n">
        <v>0</v>
      </c>
      <c r="Q748" s="15" t="n">
        <v>0</v>
      </c>
      <c r="R748" s="5" t="inlineStr">
        <is>
          <t>208-2023-10-31</t>
        </is>
      </c>
    </row>
    <row r="749">
      <c r="A749" s="21" t="n">
        <v>208</v>
      </c>
      <c r="B749" s="5" t="inlineStr">
        <is>
          <t>Consumo de Agua m3 Mensual</t>
        </is>
      </c>
      <c r="C749" s="5" t="inlineStr">
        <is>
          <t>GESTIÓN AMBIENTAL</t>
        </is>
      </c>
      <c r="D749" s="5" t="inlineStr">
        <is>
          <t>Mensual</t>
        </is>
      </c>
      <c r="E749" s="5" t="inlineStr">
        <is>
          <t>Negativo</t>
        </is>
      </c>
      <c r="F749" s="107" t="n">
        <v>45260</v>
      </c>
      <c r="G749" s="5" t="n">
        <v>2023</v>
      </c>
      <c r="H749" s="5" t="inlineStr">
        <is>
          <t>Noviembre</t>
        </is>
      </c>
      <c r="I749" s="6" t="inlineStr">
        <is>
          <t>2023-2</t>
        </is>
      </c>
      <c r="J749" s="5" t="n">
        <v>1700</v>
      </c>
      <c r="K749" s="9" t="n">
        <v>1380</v>
      </c>
      <c r="L749" s="14">
        <f>IFERROR(IF(OR(J749=0,K749=""),"",IF(E749="Positivo",MIN(MAX(K749/J749,0),1.0),MIN(MAX(J749/K749,0),1.0))),"") </f>
        <v/>
      </c>
      <c r="M749" s="14">
        <f>IFERROR(IF(OR(J749=0,K749=""),"",IF(E749="Positivo",MAX(K749/J749,0),MAX(J749/K749,0))),"") </f>
        <v/>
      </c>
      <c r="N749" s="5" t="inlineStr">
        <is>
          <t>Linea Base</t>
        </is>
      </c>
      <c r="O749" s="5" t="inlineStr">
        <is>
          <t>m3</t>
        </is>
      </c>
      <c r="P749" s="15" t="n">
        <v>0</v>
      </c>
      <c r="Q749" s="15" t="n">
        <v>0</v>
      </c>
      <c r="R749" s="5" t="inlineStr">
        <is>
          <t>208-2023-11-30</t>
        </is>
      </c>
    </row>
    <row r="750">
      <c r="A750" s="28" t="n">
        <v>208</v>
      </c>
      <c r="B750" s="5" t="inlineStr">
        <is>
          <t>Consumo de Agua m3 Mensual</t>
        </is>
      </c>
      <c r="C750" s="5" t="inlineStr">
        <is>
          <t>GESTIÓN AMBIENTAL</t>
        </is>
      </c>
      <c r="D750" s="5" t="inlineStr">
        <is>
          <t>Mensual</t>
        </is>
      </c>
      <c r="E750" s="5" t="inlineStr">
        <is>
          <t>Negativo</t>
        </is>
      </c>
      <c r="F750" s="107" t="n">
        <v>45291</v>
      </c>
      <c r="G750" s="5" t="n">
        <v>2023</v>
      </c>
      <c r="H750" s="5" t="inlineStr">
        <is>
          <t>Diciembre</t>
        </is>
      </c>
      <c r="I750" s="6" t="inlineStr">
        <is>
          <t>2023-2</t>
        </is>
      </c>
      <c r="J750" s="5" t="n">
        <v>1700</v>
      </c>
      <c r="K750" s="9" t="n">
        <v>1336</v>
      </c>
      <c r="L750" s="14">
        <f>IFERROR(IF(OR(J750=0,K750=""),"",IF(E750="Positivo",MIN(MAX(K750/J750,0),1.0),MIN(MAX(J750/K750,0),1.0))),"") </f>
        <v/>
      </c>
      <c r="M750" s="14">
        <f>IFERROR(IF(OR(J750=0,K750=""),"",IF(E750="Positivo",MAX(K750/J750,0),MAX(J750/K750,0))),"") </f>
        <v/>
      </c>
      <c r="N750" s="5" t="inlineStr">
        <is>
          <t>Linea Base</t>
        </is>
      </c>
      <c r="O750" s="5" t="inlineStr">
        <is>
          <t>m3</t>
        </is>
      </c>
      <c r="P750" s="15" t="n">
        <v>0</v>
      </c>
      <c r="Q750" s="15" t="n">
        <v>0</v>
      </c>
      <c r="R750" s="5" t="inlineStr">
        <is>
          <t>208-2023-12-31</t>
        </is>
      </c>
    </row>
    <row r="751">
      <c r="A751" s="5" t="n">
        <v>208</v>
      </c>
      <c r="B751" s="5" t="inlineStr">
        <is>
          <t>Consumo de Agua m3 Mensual</t>
        </is>
      </c>
      <c r="C751" s="5" t="inlineStr">
        <is>
          <t>GESTIÓN AMBIENTAL</t>
        </is>
      </c>
      <c r="D751" s="5" t="inlineStr">
        <is>
          <t>Mensual</t>
        </is>
      </c>
      <c r="E751" s="5" t="inlineStr">
        <is>
          <t>Negativo</t>
        </is>
      </c>
      <c r="F751" s="107" t="n">
        <v>45322</v>
      </c>
      <c r="G751" s="5" t="n">
        <v>2024</v>
      </c>
      <c r="H751" s="5" t="inlineStr">
        <is>
          <t>Enero</t>
        </is>
      </c>
      <c r="I751" s="6" t="inlineStr">
        <is>
          <t>2024-1</t>
        </is>
      </c>
      <c r="J751" s="5" t="n">
        <v>1700</v>
      </c>
      <c r="K751" s="5" t="n">
        <v>1326</v>
      </c>
      <c r="L751" s="14">
        <f>IFERROR(IF(OR(J751=0,K751=""),"",IF(E751="Positivo",MIN(MAX(K751/J751,0),1.0),MIN(MAX(J751/K751,0),1.0))),"") </f>
        <v/>
      </c>
      <c r="M751" s="14">
        <f>IFERROR(IF(OR(J751=0,K751=""),"",IF(E751="Positivo",MAX(K751/J751,0),MAX(J751/K751,0))),"") </f>
        <v/>
      </c>
      <c r="N751" s="5" t="inlineStr">
        <is>
          <t>m3</t>
        </is>
      </c>
      <c r="O751" s="5" t="inlineStr">
        <is>
          <t>m3</t>
        </is>
      </c>
      <c r="P751" s="5" t="n">
        <v>0</v>
      </c>
      <c r="Q751" s="5" t="n">
        <v>0</v>
      </c>
      <c r="R751" s="5" t="inlineStr">
        <is>
          <t>208-2024-01-31</t>
        </is>
      </c>
    </row>
    <row r="752">
      <c r="A752" s="21" t="n">
        <v>208</v>
      </c>
      <c r="B752" s="5" t="inlineStr">
        <is>
          <t>Consumo de Agua m3 Mensual</t>
        </is>
      </c>
      <c r="C752" s="5" t="inlineStr">
        <is>
          <t>GESTIÓN AMBIENTAL</t>
        </is>
      </c>
      <c r="D752" s="5" t="inlineStr">
        <is>
          <t>Mensual</t>
        </is>
      </c>
      <c r="E752" s="5" t="inlineStr">
        <is>
          <t>Negativo</t>
        </is>
      </c>
      <c r="F752" s="107" t="n">
        <v>45351</v>
      </c>
      <c r="G752" s="5" t="n">
        <v>2024</v>
      </c>
      <c r="H752" s="5" t="inlineStr">
        <is>
          <t>Febrero</t>
        </is>
      </c>
      <c r="I752" s="6" t="inlineStr">
        <is>
          <t>2024-1</t>
        </is>
      </c>
      <c r="J752" s="5" t="n">
        <v>1700</v>
      </c>
      <c r="K752" s="10" t="n">
        <v>1307</v>
      </c>
      <c r="L752" s="14">
        <f>IFERROR(IF(OR(J752=0,K752=""),"",IF(E752="Positivo",MIN(MAX(K752/J752,0),1.0),MIN(MAX(J752/K752,0),1.0))),"") </f>
        <v/>
      </c>
      <c r="M752" s="14">
        <f>IFERROR(IF(OR(J752=0,K752=""),"",IF(E752="Positivo",MAX(K752/J752,0),MAX(J752/K752,0))),"") </f>
        <v/>
      </c>
      <c r="N752" s="5" t="inlineStr">
        <is>
          <t>m3</t>
        </is>
      </c>
      <c r="O752" s="5" t="inlineStr">
        <is>
          <t>m3</t>
        </is>
      </c>
      <c r="P752" s="15" t="n">
        <v>0</v>
      </c>
      <c r="Q752" s="15" t="n">
        <v>0</v>
      </c>
      <c r="R752" s="5" t="inlineStr">
        <is>
          <t>208-2024-02-29</t>
        </is>
      </c>
    </row>
    <row r="753">
      <c r="A753" s="21" t="n">
        <v>208</v>
      </c>
      <c r="B753" s="5" t="inlineStr">
        <is>
          <t>Consumo de Agua m3 Mensual</t>
        </is>
      </c>
      <c r="C753" s="5" t="inlineStr">
        <is>
          <t>GESTIÓN AMBIENTAL</t>
        </is>
      </c>
      <c r="D753" s="5" t="inlineStr">
        <is>
          <t>Mensual</t>
        </is>
      </c>
      <c r="E753" s="5" t="inlineStr">
        <is>
          <t>Negativo</t>
        </is>
      </c>
      <c r="F753" s="107" t="n">
        <v>45382</v>
      </c>
      <c r="G753" s="5" t="n">
        <v>2024</v>
      </c>
      <c r="H753" s="5" t="inlineStr">
        <is>
          <t>Marzo</t>
        </is>
      </c>
      <c r="I753" s="6" t="inlineStr">
        <is>
          <t>2024-1</t>
        </is>
      </c>
      <c r="J753" s="5" t="n">
        <v>1700</v>
      </c>
      <c r="K753" s="10" t="n">
        <v>1474.5</v>
      </c>
      <c r="L753" s="14">
        <f>IFERROR(IF(OR(J753=0,K753=""),"",IF(E753="Positivo",MIN(MAX(K753/J753,0),1.0),MIN(MAX(J753/K753,0),1.0))),"") </f>
        <v/>
      </c>
      <c r="M753" s="14">
        <f>IFERROR(IF(OR(J753=0,K753=""),"",IF(E753="Positivo",MAX(K753/J753,0),MAX(J753/K753,0))),"") </f>
        <v/>
      </c>
      <c r="N753" s="5" t="inlineStr">
        <is>
          <t>m3</t>
        </is>
      </c>
      <c r="O753" s="5" t="inlineStr">
        <is>
          <t>m3</t>
        </is>
      </c>
      <c r="P753" s="15" t="n">
        <v>0</v>
      </c>
      <c r="Q753" s="15" t="n">
        <v>0</v>
      </c>
      <c r="R753" s="5" t="inlineStr">
        <is>
          <t>208-2024-03-31</t>
        </is>
      </c>
    </row>
    <row r="754">
      <c r="A754" s="21" t="n">
        <v>208</v>
      </c>
      <c r="B754" s="5" t="inlineStr">
        <is>
          <t>Consumo de Agua m3 Mensual</t>
        </is>
      </c>
      <c r="C754" s="5" t="inlineStr">
        <is>
          <t>GESTIÓN AMBIENTAL</t>
        </is>
      </c>
      <c r="D754" s="5" t="inlineStr">
        <is>
          <t>Mensual</t>
        </is>
      </c>
      <c r="E754" s="5" t="inlineStr">
        <is>
          <t>Negativo</t>
        </is>
      </c>
      <c r="F754" s="106" t="n">
        <v>45412</v>
      </c>
      <c r="G754" s="5" t="n">
        <v>2024</v>
      </c>
      <c r="H754" s="5" t="inlineStr">
        <is>
          <t>Abril</t>
        </is>
      </c>
      <c r="I754" s="6" t="inlineStr">
        <is>
          <t>2024-1</t>
        </is>
      </c>
      <c r="J754" s="5" t="n">
        <v>1700</v>
      </c>
      <c r="K754" s="9" t="n">
        <v>1526</v>
      </c>
      <c r="L754" s="14">
        <f>IFERROR(IF(OR(J754=0,K754=""),"",IF(E754="Positivo",MIN(MAX(K754/J754,0),1.0),MIN(MAX(J754/K754,0),1.0))),"") </f>
        <v/>
      </c>
      <c r="M754" s="14">
        <f>IFERROR(IF(OR(J754=0,K754=""),"",IF(E754="Positivo",MAX(K754/J754,0),MAX(J754/K754,0))),"") </f>
        <v/>
      </c>
      <c r="N754" s="5" t="inlineStr">
        <is>
          <t>m3</t>
        </is>
      </c>
      <c r="O754" s="5" t="inlineStr">
        <is>
          <t>m3</t>
        </is>
      </c>
      <c r="P754" s="15" t="n">
        <v>0</v>
      </c>
      <c r="Q754" s="15" t="n">
        <v>0</v>
      </c>
      <c r="R754" s="5" t="inlineStr">
        <is>
          <t>208-2024-04-30</t>
        </is>
      </c>
    </row>
    <row r="755">
      <c r="A755" s="26" t="n">
        <v>208</v>
      </c>
      <c r="B755" s="5" t="inlineStr">
        <is>
          <t>Consumo de Agua m3 Mensual</t>
        </is>
      </c>
      <c r="C755" s="5" t="inlineStr">
        <is>
          <t>GESTIÓN AMBIENTAL</t>
        </is>
      </c>
      <c r="D755" s="5" t="inlineStr">
        <is>
          <t>Mensual</t>
        </is>
      </c>
      <c r="E755" s="5" t="inlineStr">
        <is>
          <t>Negativo</t>
        </is>
      </c>
      <c r="F755" s="107" t="n">
        <v>45443</v>
      </c>
      <c r="G755" s="5" t="n">
        <v>2024</v>
      </c>
      <c r="H755" s="5" t="inlineStr">
        <is>
          <t>Mayo</t>
        </is>
      </c>
      <c r="I755" s="6" t="inlineStr">
        <is>
          <t>2024-1</t>
        </is>
      </c>
      <c r="J755" s="5" t="n">
        <v>1700</v>
      </c>
      <c r="K755" s="9" t="n">
        <v>1517.5</v>
      </c>
      <c r="L755" s="14">
        <f>IFERROR(IF(OR(J755=0,K755=""),"",IF(E755="Positivo",MIN(MAX(K755/J755,0),1.0),MIN(MAX(J755/K755,0),1.0))),"") </f>
        <v/>
      </c>
      <c r="M755" s="14">
        <f>IFERROR(IF(OR(J755=0,K755=""),"",IF(E755="Positivo",MAX(K755/J755,0),MAX(J755/K755,0))),"") </f>
        <v/>
      </c>
      <c r="N755" s="5" t="inlineStr">
        <is>
          <t>m3</t>
        </is>
      </c>
      <c r="O755" s="5" t="inlineStr">
        <is>
          <t>m3</t>
        </is>
      </c>
      <c r="P755" s="15" t="n">
        <v>0</v>
      </c>
      <c r="Q755" s="15" t="n">
        <v>0</v>
      </c>
      <c r="R755" s="5" t="inlineStr">
        <is>
          <t>208-2024-05-31</t>
        </is>
      </c>
    </row>
    <row r="756">
      <c r="A756" s="5" t="n">
        <v>208</v>
      </c>
      <c r="B756" s="5" t="inlineStr">
        <is>
          <t>Consumo de Agua m3 Mensual</t>
        </is>
      </c>
      <c r="C756" s="5" t="inlineStr">
        <is>
          <t>GESTIÓN AMBIENTAL</t>
        </is>
      </c>
      <c r="D756" s="5" t="inlineStr">
        <is>
          <t>Mensual</t>
        </is>
      </c>
      <c r="E756" s="5" t="inlineStr">
        <is>
          <t>Negativo</t>
        </is>
      </c>
      <c r="F756" s="107" t="n">
        <v>45473</v>
      </c>
      <c r="G756" s="5" t="n">
        <v>2024</v>
      </c>
      <c r="H756" s="5" t="inlineStr">
        <is>
          <t>Junio</t>
        </is>
      </c>
      <c r="I756" s="6" t="inlineStr">
        <is>
          <t>2024-1</t>
        </is>
      </c>
      <c r="J756" s="5" t="n">
        <v>1700</v>
      </c>
      <c r="K756" s="5" t="n">
        <v>1291</v>
      </c>
      <c r="L756" s="14">
        <f>IFERROR(IF(OR(J756=0,K756=""),"",IF(E756="Positivo",MIN(MAX(K756/J756,0),1.0),MIN(MAX(J756/K756,0),1.0))),"") </f>
        <v/>
      </c>
      <c r="M756" s="14">
        <f>IFERROR(IF(OR(J756=0,K756=""),"",IF(E756="Positivo",MAX(K756/J756,0),MAX(J756/K756,0))),"") </f>
        <v/>
      </c>
      <c r="N756" s="5" t="inlineStr">
        <is>
          <t>m3</t>
        </is>
      </c>
      <c r="O756" s="5" t="inlineStr">
        <is>
          <t>m3</t>
        </is>
      </c>
      <c r="P756" s="5" t="n">
        <v>0</v>
      </c>
      <c r="Q756" s="5" t="n">
        <v>0</v>
      </c>
      <c r="R756" s="5" t="inlineStr">
        <is>
          <t>208-2024-06-30</t>
        </is>
      </c>
    </row>
    <row r="757">
      <c r="A757" s="21" t="n">
        <v>208</v>
      </c>
      <c r="B757" s="5" t="inlineStr">
        <is>
          <t>Consumo de Agua m3 Mensual</t>
        </is>
      </c>
      <c r="C757" s="5" t="inlineStr">
        <is>
          <t>GESTIÓN AMBIENTAL</t>
        </is>
      </c>
      <c r="D757" s="5" t="inlineStr">
        <is>
          <t>Mensual</t>
        </is>
      </c>
      <c r="E757" s="5" t="inlineStr">
        <is>
          <t>Negativo</t>
        </is>
      </c>
      <c r="F757" s="107" t="n">
        <v>45504</v>
      </c>
      <c r="G757" s="5" t="n">
        <v>2024</v>
      </c>
      <c r="H757" s="5" t="inlineStr">
        <is>
          <t>Julio</t>
        </is>
      </c>
      <c r="I757" s="6" t="inlineStr">
        <is>
          <t>2024-2</t>
        </is>
      </c>
      <c r="J757" s="5" t="n">
        <v>1700</v>
      </c>
      <c r="K757" s="10" t="n">
        <v>1086</v>
      </c>
      <c r="L757" s="14">
        <f>IFERROR(IF(OR(J757=0,K757=""),"",IF(E757="Positivo",MIN(MAX(K757/J757,0),1.0),MIN(MAX(J757/K757,0),1.0))),"") </f>
        <v/>
      </c>
      <c r="M757" s="14">
        <f>IFERROR(IF(OR(J757=0,K757=""),"",IF(E757="Positivo",MAX(K757/J757,0),MAX(J757/K757,0))),"") </f>
        <v/>
      </c>
      <c r="N757" s="5" t="inlineStr">
        <is>
          <t>m3</t>
        </is>
      </c>
      <c r="O757" s="5" t="inlineStr">
        <is>
          <t>m3</t>
        </is>
      </c>
      <c r="P757" s="15" t="n">
        <v>0</v>
      </c>
      <c r="Q757" s="15" t="n">
        <v>0</v>
      </c>
      <c r="R757" s="5" t="inlineStr">
        <is>
          <t>208-2024-07-31</t>
        </is>
      </c>
    </row>
    <row r="758">
      <c r="A758" s="21" t="n">
        <v>208</v>
      </c>
      <c r="B758" s="5" t="inlineStr">
        <is>
          <t>Consumo de Agua m3 Mensual</t>
        </is>
      </c>
      <c r="C758" s="5" t="inlineStr">
        <is>
          <t>GESTIÓN AMBIENTAL</t>
        </is>
      </c>
      <c r="D758" s="5" t="inlineStr">
        <is>
          <t>Mensual</t>
        </is>
      </c>
      <c r="E758" s="5" t="inlineStr">
        <is>
          <t>Negativo</t>
        </is>
      </c>
      <c r="F758" s="106" t="n">
        <v>45535</v>
      </c>
      <c r="G758" s="5" t="n">
        <v>2024</v>
      </c>
      <c r="H758" s="5" t="inlineStr">
        <is>
          <t>Agosto</t>
        </is>
      </c>
      <c r="I758" s="6" t="inlineStr">
        <is>
          <t>2024-2</t>
        </is>
      </c>
      <c r="J758" s="5" t="n">
        <v>1700</v>
      </c>
      <c r="K758" s="9" t="n">
        <v>1281.5</v>
      </c>
      <c r="L758" s="14">
        <f>IFERROR(IF(OR(J758=0,K758=""),"",IF(E758="Positivo",MIN(MAX(K758/J758,0),1.0),MIN(MAX(J758/K758,0),1.0))),"") </f>
        <v/>
      </c>
      <c r="M758" s="14">
        <f>IFERROR(IF(OR(J758=0,K758=""),"",IF(E758="Positivo",MAX(K758/J758,0),MAX(J758/K758,0))),"") </f>
        <v/>
      </c>
      <c r="N758" s="5" t="inlineStr">
        <is>
          <t>m3</t>
        </is>
      </c>
      <c r="O758" s="5" t="inlineStr">
        <is>
          <t>m3</t>
        </is>
      </c>
      <c r="P758" s="15" t="n">
        <v>0</v>
      </c>
      <c r="Q758" s="15" t="n">
        <v>0</v>
      </c>
      <c r="R758" s="5" t="inlineStr">
        <is>
          <t>208-2024-08-31</t>
        </is>
      </c>
    </row>
    <row r="759">
      <c r="A759" s="26" t="n">
        <v>208</v>
      </c>
      <c r="B759" s="5" t="inlineStr">
        <is>
          <t>Consumo de Agua m3 Mensual</t>
        </is>
      </c>
      <c r="C759" s="5" t="inlineStr">
        <is>
          <t>GESTIÓN AMBIENTAL</t>
        </is>
      </c>
      <c r="D759" s="5" t="inlineStr">
        <is>
          <t>Mensual</t>
        </is>
      </c>
      <c r="E759" s="5" t="inlineStr">
        <is>
          <t>Negativo</t>
        </is>
      </c>
      <c r="F759" s="107" t="n">
        <v>45565</v>
      </c>
      <c r="G759" s="5" t="n">
        <v>2024</v>
      </c>
      <c r="H759" s="5" t="inlineStr">
        <is>
          <t>Septiembre</t>
        </is>
      </c>
      <c r="I759" s="6" t="inlineStr">
        <is>
          <t>2024-2</t>
        </is>
      </c>
      <c r="J759" s="5" t="n">
        <v>1700</v>
      </c>
      <c r="K759" s="9" t="n">
        <v>1466</v>
      </c>
      <c r="L759" s="14">
        <f>IFERROR(IF(OR(J759=0,K759=""),"",IF(E759="Positivo",MIN(MAX(K759/J759,0),1.0),MIN(MAX(J759/K759,0),1.0))),"") </f>
        <v/>
      </c>
      <c r="M759" s="14">
        <f>IFERROR(IF(OR(J759=0,K759=""),"",IF(E759="Positivo",MAX(K759/J759,0),MAX(J759/K759,0))),"") </f>
        <v/>
      </c>
      <c r="N759" s="5" t="inlineStr">
        <is>
          <t>m3</t>
        </is>
      </c>
      <c r="O759" s="5" t="inlineStr">
        <is>
          <t>m3</t>
        </is>
      </c>
      <c r="P759" s="15" t="n">
        <v>0</v>
      </c>
      <c r="Q759" s="15" t="n">
        <v>0</v>
      </c>
      <c r="R759" s="5" t="inlineStr">
        <is>
          <t>208-2024-09-30</t>
        </is>
      </c>
    </row>
    <row r="760">
      <c r="A760" s="5" t="n">
        <v>208</v>
      </c>
      <c r="B760" s="5" t="inlineStr">
        <is>
          <t>Consumo de Agua m3 Mensual</t>
        </is>
      </c>
      <c r="C760" s="5" t="inlineStr">
        <is>
          <t>GESTIÓN AMBIENTAL</t>
        </is>
      </c>
      <c r="D760" s="5" t="inlineStr">
        <is>
          <t>Mensual</t>
        </is>
      </c>
      <c r="E760" s="5" t="inlineStr">
        <is>
          <t>Negativo</t>
        </is>
      </c>
      <c r="F760" s="107" t="n">
        <v>45596</v>
      </c>
      <c r="G760" s="5" t="n">
        <v>2024</v>
      </c>
      <c r="H760" s="5" t="inlineStr">
        <is>
          <t>Octubre</t>
        </is>
      </c>
      <c r="I760" s="6" t="inlineStr">
        <is>
          <t>2024-2</t>
        </is>
      </c>
      <c r="J760" s="5" t="n">
        <v>1700</v>
      </c>
      <c r="K760" s="5" t="n">
        <v>1345</v>
      </c>
      <c r="L760" s="14">
        <f>IFERROR(IF(OR(J760=0,K760=""),"",IF(E760="Positivo",MIN(MAX(K760/J760,0),1.0),MIN(MAX(J760/K760,0),1.0))),"") </f>
        <v/>
      </c>
      <c r="M760" s="14">
        <f>IFERROR(IF(OR(J760=0,K760=""),"",IF(E760="Positivo",MAX(K760/J760,0),MAX(J760/K760,0))),"") </f>
        <v/>
      </c>
      <c r="N760" s="5" t="inlineStr">
        <is>
          <t>m3</t>
        </is>
      </c>
      <c r="O760" s="5" t="inlineStr">
        <is>
          <t>m3</t>
        </is>
      </c>
      <c r="P760" s="5" t="n">
        <v>0</v>
      </c>
      <c r="Q760" s="5" t="n">
        <v>0</v>
      </c>
      <c r="R760" s="5" t="inlineStr">
        <is>
          <t>208-2024-10-31</t>
        </is>
      </c>
    </row>
    <row r="761">
      <c r="A761" s="21" t="n">
        <v>208</v>
      </c>
      <c r="B761" s="5" t="inlineStr">
        <is>
          <t>Consumo de Agua m3 Mensual</t>
        </is>
      </c>
      <c r="C761" s="5" t="inlineStr">
        <is>
          <t>GESTIÓN AMBIENTAL</t>
        </is>
      </c>
      <c r="D761" s="5" t="inlineStr">
        <is>
          <t>Mensual</t>
        </is>
      </c>
      <c r="E761" s="5" t="inlineStr">
        <is>
          <t>Negativo</t>
        </is>
      </c>
      <c r="F761" s="107" t="n">
        <v>45626</v>
      </c>
      <c r="G761" s="5" t="n">
        <v>2024</v>
      </c>
      <c r="H761" s="5" t="inlineStr">
        <is>
          <t>Noviembre</t>
        </is>
      </c>
      <c r="I761" s="6" t="inlineStr">
        <is>
          <t>2024-2</t>
        </is>
      </c>
      <c r="J761" s="5" t="n">
        <v>1700</v>
      </c>
      <c r="K761" s="10" t="n">
        <v>1115</v>
      </c>
      <c r="L761" s="14">
        <f>IFERROR(IF(OR(J761=0,K761=""),"",IF(E761="Positivo",MIN(MAX(K761/J761,0),1.0),MIN(MAX(J761/K761,0),1.0))),"") </f>
        <v/>
      </c>
      <c r="M761" s="14">
        <f>IFERROR(IF(OR(J761=0,K761=""),"",IF(E761="Positivo",MAX(K761/J761,0),MAX(J761/K761,0))),"") </f>
        <v/>
      </c>
      <c r="N761" s="5" t="inlineStr">
        <is>
          <t>m3</t>
        </is>
      </c>
      <c r="O761" s="5" t="inlineStr">
        <is>
          <t>m3</t>
        </is>
      </c>
      <c r="P761" s="15" t="n">
        <v>0</v>
      </c>
      <c r="Q761" s="15" t="n">
        <v>0</v>
      </c>
      <c r="R761" s="5" t="inlineStr">
        <is>
          <t>208-2024-11-30</t>
        </is>
      </c>
    </row>
    <row r="762">
      <c r="A762" s="26" t="n">
        <v>208</v>
      </c>
      <c r="B762" s="5" t="inlineStr">
        <is>
          <t>Consumo de Agua m3 Mensual</t>
        </is>
      </c>
      <c r="C762" s="5" t="inlineStr">
        <is>
          <t>GESTIÓN AMBIENTAL</t>
        </is>
      </c>
      <c r="D762" s="5" t="inlineStr">
        <is>
          <t>Mensual</t>
        </is>
      </c>
      <c r="E762" s="5" t="inlineStr">
        <is>
          <t>Negativo</t>
        </is>
      </c>
      <c r="F762" s="107" t="n">
        <v>45657</v>
      </c>
      <c r="G762" s="5" t="n">
        <v>2024</v>
      </c>
      <c r="H762" s="5" t="inlineStr">
        <is>
          <t>Diciembre</t>
        </is>
      </c>
      <c r="I762" s="6" t="inlineStr">
        <is>
          <t>2024-2</t>
        </is>
      </c>
      <c r="J762" s="5" t="n">
        <v>1700</v>
      </c>
      <c r="K762" s="9" t="n">
        <v>939</v>
      </c>
      <c r="L762" s="14">
        <f>IFERROR(IF(OR(J762=0,K762=""),"",IF(E762="Positivo",MIN(MAX(K762/J762,0),1.0),MIN(MAX(J762/K762,0),1.0))),"") </f>
        <v/>
      </c>
      <c r="M762" s="14">
        <f>IFERROR(IF(OR(J762=0,K762=""),"",IF(E762="Positivo",MAX(K762/J762,0),MAX(J762/K762,0))),"") </f>
        <v/>
      </c>
      <c r="N762" s="5" t="inlineStr">
        <is>
          <t>m3</t>
        </is>
      </c>
      <c r="O762" s="5" t="inlineStr">
        <is>
          <t>m3</t>
        </is>
      </c>
      <c r="P762" s="15" t="n">
        <v>0</v>
      </c>
      <c r="Q762" s="15" t="n">
        <v>0</v>
      </c>
      <c r="R762" s="5" t="inlineStr">
        <is>
          <t>208-2024-12-31</t>
        </is>
      </c>
    </row>
    <row r="763">
      <c r="A763" s="5" t="n">
        <v>208</v>
      </c>
      <c r="B763" s="5" t="inlineStr">
        <is>
          <t>Consumo de Agua m3 Mensual</t>
        </is>
      </c>
      <c r="C763" s="5" t="inlineStr">
        <is>
          <t>GESTIÓN AMBIENTAL</t>
        </is>
      </c>
      <c r="D763" s="5" t="inlineStr">
        <is>
          <t>Mensual</t>
        </is>
      </c>
      <c r="E763" s="5" t="inlineStr">
        <is>
          <t>Negativo</t>
        </is>
      </c>
      <c r="F763" s="107" t="n">
        <v>45688</v>
      </c>
      <c r="G763" s="5" t="n">
        <v>2025</v>
      </c>
      <c r="H763" s="5" t="inlineStr">
        <is>
          <t>Enero</t>
        </is>
      </c>
      <c r="I763" s="6" t="inlineStr">
        <is>
          <t>2025-1</t>
        </is>
      </c>
      <c r="J763" s="5" t="n">
        <v>1700</v>
      </c>
      <c r="K763" s="5" t="n">
        <v>800</v>
      </c>
      <c r="L763" s="14">
        <f>IFERROR(IF(OR(J763=0,K763=""),"",IF(E763="Positivo",MIN(MAX(K763/J763,0),1.0),MIN(MAX(J763/K763,0),1.0))),"") </f>
        <v/>
      </c>
      <c r="M763" s="14">
        <f>IFERROR(IF(OR(J763=0,K763=""),"",IF(E763="Positivo",MAX(K763/J763,0),MAX(J763/K763,0))),"") </f>
        <v/>
      </c>
      <c r="N763" s="5" t="inlineStr">
        <is>
          <t>m3</t>
        </is>
      </c>
      <c r="O763" s="5" t="inlineStr">
        <is>
          <t>m3</t>
        </is>
      </c>
      <c r="P763" s="5" t="n">
        <v>0</v>
      </c>
      <c r="Q763" s="5" t="n">
        <v>0</v>
      </c>
      <c r="R763" s="5" t="inlineStr">
        <is>
          <t>208-2025-01-31</t>
        </is>
      </c>
    </row>
    <row r="764">
      <c r="A764" s="21" t="n">
        <v>208</v>
      </c>
      <c r="B764" s="5" t="inlineStr">
        <is>
          <t>Consumo de Agua m3 Mensual</t>
        </is>
      </c>
      <c r="C764" s="5" t="inlineStr">
        <is>
          <t>GESTIÓN AMBIENTAL</t>
        </is>
      </c>
      <c r="D764" s="5" t="inlineStr">
        <is>
          <t>Mensual</t>
        </is>
      </c>
      <c r="E764" s="5" t="inlineStr">
        <is>
          <t>Negativo</t>
        </is>
      </c>
      <c r="F764" s="107" t="n">
        <v>45716</v>
      </c>
      <c r="G764" s="5" t="n">
        <v>2025</v>
      </c>
      <c r="H764" s="5" t="inlineStr">
        <is>
          <t>Febrero</t>
        </is>
      </c>
      <c r="I764" s="6" t="inlineStr">
        <is>
          <t>2025-1</t>
        </is>
      </c>
      <c r="J764" s="5" t="n">
        <v>1700</v>
      </c>
      <c r="K764" s="10" t="n">
        <v>1123</v>
      </c>
      <c r="L764" s="14">
        <f>IFERROR(IF(OR(J764=0,K764=""),"",IF(E764="Positivo",MIN(MAX(K764/J764,0),1.0),MIN(MAX(J764/K764,0),1.0))),"") </f>
        <v/>
      </c>
      <c r="M764" s="14">
        <f>IFERROR(IF(OR(J764=0,K764=""),"",IF(E764="Positivo",MAX(K764/J764,0),MAX(J764/K764,0))),"") </f>
        <v/>
      </c>
      <c r="N764" s="5" t="inlineStr">
        <is>
          <t>m3</t>
        </is>
      </c>
      <c r="O764" s="5" t="inlineStr">
        <is>
          <t>m3</t>
        </is>
      </c>
      <c r="P764" s="15" t="n">
        <v>0</v>
      </c>
      <c r="Q764" s="15" t="n">
        <v>0</v>
      </c>
      <c r="R764" s="5" t="inlineStr">
        <is>
          <t>208-2025-02-28</t>
        </is>
      </c>
    </row>
    <row r="765">
      <c r="A765" s="21" t="n">
        <v>208</v>
      </c>
      <c r="B765" s="5" t="inlineStr">
        <is>
          <t>Consumo de Agua m3 Mensual</t>
        </is>
      </c>
      <c r="C765" s="5" t="inlineStr">
        <is>
          <t>GESTIÓN AMBIENTAL</t>
        </is>
      </c>
      <c r="D765" s="5" t="inlineStr">
        <is>
          <t>Mensual</t>
        </is>
      </c>
      <c r="E765" s="5" t="inlineStr">
        <is>
          <t>Negativo</t>
        </is>
      </c>
      <c r="F765" s="107" t="n">
        <v>45747</v>
      </c>
      <c r="G765" s="5" t="n">
        <v>2025</v>
      </c>
      <c r="H765" s="5" t="inlineStr">
        <is>
          <t>Marzo</t>
        </is>
      </c>
      <c r="I765" s="6" t="inlineStr">
        <is>
          <t>2025-1</t>
        </is>
      </c>
      <c r="J765" s="5" t="n">
        <v>1700</v>
      </c>
      <c r="K765" s="9" t="n">
        <v>1309.5</v>
      </c>
      <c r="L765" s="14">
        <f>IFERROR(IF(OR(J765=0,K765=""),"",IF(E765="Positivo",MIN(MAX(K765/J765,0),1.0),MIN(MAX(J765/K765,0),1.0))),"") </f>
        <v/>
      </c>
      <c r="M765" s="14">
        <f>IFERROR(IF(OR(J765=0,K765=""),"",IF(E765="Positivo",MAX(K765/J765,0),MAX(J765/K765,0))),"") </f>
        <v/>
      </c>
      <c r="N765" s="5" t="inlineStr">
        <is>
          <t>m3</t>
        </is>
      </c>
      <c r="O765" s="5" t="inlineStr">
        <is>
          <t>m3</t>
        </is>
      </c>
      <c r="P765" s="15" t="n">
        <v>0</v>
      </c>
      <c r="Q765" s="15" t="n">
        <v>0</v>
      </c>
      <c r="R765" s="5" t="inlineStr">
        <is>
          <t>208-2025-03-31</t>
        </is>
      </c>
    </row>
    <row r="766">
      <c r="A766" s="21" t="n">
        <v>208</v>
      </c>
      <c r="B766" s="5" t="inlineStr">
        <is>
          <t>Consumo de Agua m3 Mensual</t>
        </is>
      </c>
      <c r="C766" s="5" t="inlineStr">
        <is>
          <t>GESTIÓN AMBIENTAL</t>
        </is>
      </c>
      <c r="D766" s="5" t="inlineStr">
        <is>
          <t>Mensual</t>
        </is>
      </c>
      <c r="E766" s="5" t="inlineStr">
        <is>
          <t>Negativo</t>
        </is>
      </c>
      <c r="F766" s="107" t="n">
        <v>45777</v>
      </c>
      <c r="G766" s="5" t="n">
        <v>2025</v>
      </c>
      <c r="H766" s="5" t="inlineStr">
        <is>
          <t>Abril</t>
        </is>
      </c>
      <c r="I766" s="6" t="inlineStr">
        <is>
          <t>2025-1</t>
        </is>
      </c>
      <c r="J766" s="5" t="n">
        <v>1700</v>
      </c>
      <c r="K766" s="9" t="n">
        <v>1271</v>
      </c>
      <c r="L766" s="14">
        <f>IFERROR(IF(OR(J766=0,K766=""),"",IF(E766="Positivo",MIN(MAX(K766/J766,0),1.0),MIN(MAX(J766/K766,0),1.0))),"") </f>
        <v/>
      </c>
      <c r="M766" s="14">
        <f>IFERROR(IF(OR(J766=0,K766=""),"",IF(E766="Positivo",MAX(K766/J766,0),MAX(J766/K766,0))),"") </f>
        <v/>
      </c>
      <c r="N766" s="5" t="inlineStr">
        <is>
          <t>m3</t>
        </is>
      </c>
      <c r="O766" s="5" t="inlineStr">
        <is>
          <t>m3</t>
        </is>
      </c>
      <c r="P766" s="15" t="n">
        <v>0</v>
      </c>
      <c r="Q766" s="15" t="n">
        <v>0</v>
      </c>
      <c r="R766" s="5" t="inlineStr">
        <is>
          <t>208-2025-04-30</t>
        </is>
      </c>
    </row>
    <row r="767">
      <c r="A767" s="28" t="n">
        <v>208</v>
      </c>
      <c r="B767" s="5" t="inlineStr">
        <is>
          <t>Consumo de Agua m3 Mensual</t>
        </is>
      </c>
      <c r="C767" s="5" t="inlineStr">
        <is>
          <t>GESTIÓN AMBIENTAL</t>
        </is>
      </c>
      <c r="D767" s="5" t="inlineStr">
        <is>
          <t>Mensual</t>
        </is>
      </c>
      <c r="E767" s="5" t="inlineStr">
        <is>
          <t>Negativo</t>
        </is>
      </c>
      <c r="F767" s="107" t="n">
        <v>45808</v>
      </c>
      <c r="G767" s="5" t="n">
        <v>2025</v>
      </c>
      <c r="H767" s="5" t="inlineStr">
        <is>
          <t>Mayo</t>
        </is>
      </c>
      <c r="I767" s="6" t="inlineStr">
        <is>
          <t>2025-1</t>
        </is>
      </c>
      <c r="J767" s="5" t="n">
        <v>1700</v>
      </c>
      <c r="K767" s="9" t="n">
        <v>1440.5</v>
      </c>
      <c r="L767" s="14">
        <f>IFERROR(IF(OR(J767=0,K767=""),"",IF(E767="Positivo",MIN(MAX(K767/J767,0),1.0),MIN(MAX(J767/K767,0),1.0))),"") </f>
        <v/>
      </c>
      <c r="M767" s="14">
        <f>IFERROR(IF(OR(J767=0,K767=""),"",IF(E767="Positivo",MAX(K767/J767,0),MAX(J767/K767,0))),"") </f>
        <v/>
      </c>
      <c r="N767" s="5" t="inlineStr">
        <is>
          <t>m3</t>
        </is>
      </c>
      <c r="O767" s="5" t="inlineStr">
        <is>
          <t>m3</t>
        </is>
      </c>
      <c r="P767" s="15" t="n">
        <v>0</v>
      </c>
      <c r="Q767" s="15" t="n">
        <v>0</v>
      </c>
      <c r="R767" s="5" t="inlineStr">
        <is>
          <t>208-2025-05-31</t>
        </is>
      </c>
    </row>
    <row r="768">
      <c r="A768" s="26" t="n">
        <v>208</v>
      </c>
      <c r="B768" s="5" t="inlineStr">
        <is>
          <t>Consumo de Agua m3 Mensual</t>
        </is>
      </c>
      <c r="C768" s="5" t="inlineStr">
        <is>
          <t>GESTIÓN AMBIENTAL</t>
        </is>
      </c>
      <c r="D768" s="5" t="inlineStr">
        <is>
          <t>Mensual</t>
        </is>
      </c>
      <c r="E768" s="5" t="inlineStr">
        <is>
          <t>Negativo</t>
        </is>
      </c>
      <c r="F768" s="107" t="n">
        <v>45838</v>
      </c>
      <c r="G768" s="5" t="n">
        <v>2025</v>
      </c>
      <c r="H768" s="5" t="inlineStr">
        <is>
          <t>Junio</t>
        </is>
      </c>
      <c r="I768" s="6" t="inlineStr">
        <is>
          <t>2025-1</t>
        </is>
      </c>
      <c r="J768" s="5" t="n">
        <v>1700</v>
      </c>
      <c r="K768" s="9" t="n">
        <v>1408.5</v>
      </c>
      <c r="L768" s="14">
        <f>IFERROR(IF(OR(J768=0,K768=""),"",IF(E768="Positivo",MIN(MAX(K768/J768,0),1.0),MIN(MAX(J768/K768,0),1.0))),"") </f>
        <v/>
      </c>
      <c r="M768" s="14">
        <f>IFERROR(IF(OR(J768=0,K768=""),"",IF(E768="Positivo",MAX(K768/J768,0),MAX(J768/K768,0))),"") </f>
        <v/>
      </c>
      <c r="N768" s="5" t="inlineStr">
        <is>
          <t>m3</t>
        </is>
      </c>
      <c r="O768" s="5" t="inlineStr">
        <is>
          <t>m3</t>
        </is>
      </c>
      <c r="P768" s="15" t="n">
        <v>0</v>
      </c>
      <c r="Q768" s="15" t="n">
        <v>0</v>
      </c>
      <c r="R768" s="5" t="inlineStr">
        <is>
          <t>208-2025-06-30</t>
        </is>
      </c>
    </row>
    <row r="769">
      <c r="A769" s="21" t="n">
        <v>208</v>
      </c>
      <c r="B769" s="5" t="inlineStr">
        <is>
          <t>Consumo de Agua m3 Mensual</t>
        </is>
      </c>
      <c r="C769" s="5" t="inlineStr">
        <is>
          <t>GESTIÓN AMBIENTAL</t>
        </is>
      </c>
      <c r="D769" s="5" t="inlineStr">
        <is>
          <t>Mensual</t>
        </is>
      </c>
      <c r="E769" s="5" t="inlineStr">
        <is>
          <t>Negativo</t>
        </is>
      </c>
      <c r="F769" s="107" t="n">
        <v>45869</v>
      </c>
      <c r="G769" s="5" t="n">
        <v>2025</v>
      </c>
      <c r="H769" s="5" t="inlineStr">
        <is>
          <t>Julio</t>
        </is>
      </c>
      <c r="I769" s="6" t="inlineStr">
        <is>
          <t>2025-2</t>
        </is>
      </c>
      <c r="J769" s="5" t="n">
        <v>1700</v>
      </c>
      <c r="K769" s="10" t="n">
        <v>1043.5</v>
      </c>
      <c r="L769" s="14">
        <f>IFERROR(IF(OR(J769=0,K769=""),"",IF(E769="Positivo",MIN(MAX(K769/J769,0),1.0),MIN(MAX(J769/K769,0),1.0))),"") </f>
        <v/>
      </c>
      <c r="M769" s="14">
        <f>IFERROR(IF(OR(J769=0,K769=""),"",IF(E769="Positivo",MAX(K769/J769,0),MAX(J769/K769,0))),"") </f>
        <v/>
      </c>
      <c r="N769" s="5" t="inlineStr">
        <is>
          <t>m3</t>
        </is>
      </c>
      <c r="O769" s="5" t="inlineStr">
        <is>
          <t>m3</t>
        </is>
      </c>
      <c r="P769" s="15" t="n">
        <v>0</v>
      </c>
      <c r="Q769" s="15" t="n">
        <v>0</v>
      </c>
      <c r="R769" s="5" t="inlineStr">
        <is>
          <t>208-2025-07-31</t>
        </is>
      </c>
    </row>
    <row r="770">
      <c r="A770" s="5" t="n">
        <v>208</v>
      </c>
      <c r="B770" s="5" t="inlineStr">
        <is>
          <t>Consumo de Agua m3 Mensual</t>
        </is>
      </c>
      <c r="C770" s="5" t="inlineStr">
        <is>
          <t>GESTIÓN AMBIENTAL</t>
        </is>
      </c>
      <c r="D770" s="5" t="inlineStr">
        <is>
          <t>Mensual</t>
        </is>
      </c>
      <c r="E770" s="5" t="inlineStr">
        <is>
          <t>Negativo</t>
        </is>
      </c>
      <c r="F770" s="107" t="n">
        <v>45900</v>
      </c>
      <c r="G770" s="5" t="n">
        <v>2025</v>
      </c>
      <c r="H770" s="5" t="inlineStr">
        <is>
          <t>Agosto</t>
        </is>
      </c>
      <c r="I770" s="6" t="inlineStr">
        <is>
          <t>2025-2</t>
        </is>
      </c>
      <c r="J770" s="5" t="n">
        <v>1700</v>
      </c>
      <c r="K770" s="5" t="n">
        <v>1261</v>
      </c>
      <c r="L770" s="14">
        <f>IFERROR(IF(OR(J770=0,K770=""),"",IF(E770="Positivo",MIN(MAX(K770/J770,0),1.0),MIN(MAX(J770/K770,0),1.0))),"") </f>
        <v/>
      </c>
      <c r="M770" s="14">
        <f>IFERROR(IF(OR(J770=0,K770=""),"",IF(E770="Positivo",MAX(K770/J770,0),MAX(J770/K770,0))),"") </f>
        <v/>
      </c>
      <c r="N770" s="5" t="inlineStr">
        <is>
          <t>m3</t>
        </is>
      </c>
      <c r="O770" s="5" t="inlineStr">
        <is>
          <t>m3</t>
        </is>
      </c>
      <c r="P770" s="5" t="n">
        <v>0</v>
      </c>
      <c r="Q770" s="5" t="n">
        <v>0</v>
      </c>
      <c r="R770" s="5" t="inlineStr">
        <is>
          <t>208-2025-08-31</t>
        </is>
      </c>
    </row>
    <row r="771">
      <c r="A771" s="21" t="n">
        <v>208</v>
      </c>
      <c r="B771" s="5" t="inlineStr">
        <is>
          <t>Consumo de Agua m3 Mensual</t>
        </is>
      </c>
      <c r="C771" s="5" t="inlineStr">
        <is>
          <t>GESTIÓN AMBIENTAL</t>
        </is>
      </c>
      <c r="D771" s="5" t="inlineStr">
        <is>
          <t>Mensual</t>
        </is>
      </c>
      <c r="E771" s="5" t="inlineStr">
        <is>
          <t>Negativo</t>
        </is>
      </c>
      <c r="F771" s="107" t="n">
        <v>45930</v>
      </c>
      <c r="G771" s="5" t="n">
        <v>2025</v>
      </c>
      <c r="H771" s="5" t="inlineStr">
        <is>
          <t>Septiembre</t>
        </is>
      </c>
      <c r="I771" s="6" t="inlineStr">
        <is>
          <t>2025-2</t>
        </is>
      </c>
      <c r="J771" s="5" t="n">
        <v>1700</v>
      </c>
      <c r="K771" s="10" t="n">
        <v>1352</v>
      </c>
      <c r="L771" s="14">
        <f>IFERROR(IF(OR(J771=0,K771=""),"",IF(E771="Positivo",MIN(MAX(K771/J771,0),1.0),MIN(MAX(J771/K771,0),1.0))),"") </f>
        <v/>
      </c>
      <c r="M771" s="14">
        <f>IFERROR(IF(OR(J771=0,K771=""),"",IF(E771="Positivo",MAX(K771/J771,0),MAX(J771/K771,0))),"") </f>
        <v/>
      </c>
      <c r="N771" s="5" t="inlineStr">
        <is>
          <t>m3</t>
        </is>
      </c>
      <c r="O771" s="5" t="inlineStr">
        <is>
          <t>m3</t>
        </is>
      </c>
      <c r="P771" s="15" t="n">
        <v>0</v>
      </c>
      <c r="Q771" s="15" t="n">
        <v>0</v>
      </c>
      <c r="R771" s="5" t="inlineStr">
        <is>
          <t>208-2025-09-30</t>
        </is>
      </c>
    </row>
    <row r="772">
      <c r="A772" s="21" t="n">
        <v>208</v>
      </c>
      <c r="B772" s="5" t="inlineStr">
        <is>
          <t>Consumo de Agua m3 Mensual</t>
        </is>
      </c>
      <c r="C772" s="5" t="inlineStr">
        <is>
          <t>GESTIÓN AMBIENTAL</t>
        </is>
      </c>
      <c r="D772" s="5" t="inlineStr">
        <is>
          <t>Mensual</t>
        </is>
      </c>
      <c r="E772" s="5" t="inlineStr">
        <is>
          <t>Negativo</t>
        </is>
      </c>
      <c r="F772" s="107" t="n">
        <v>45961</v>
      </c>
      <c r="G772" s="5" t="n">
        <v>2025</v>
      </c>
      <c r="H772" s="5" t="inlineStr">
        <is>
          <t>Octubre</t>
        </is>
      </c>
      <c r="I772" s="6" t="inlineStr">
        <is>
          <t>2025-2</t>
        </is>
      </c>
      <c r="J772" s="5" t="n">
        <v>1700</v>
      </c>
      <c r="K772" s="10" t="n">
        <v>1260.5</v>
      </c>
      <c r="L772" s="14">
        <f>IFERROR(IF(OR(J772=0,K772=""),"",IF(E772="Positivo",MIN(MAX(K772/J772,0),1.0),MIN(MAX(J772/K772,0),1.0))),"") </f>
        <v/>
      </c>
      <c r="M772" s="14">
        <f>IFERROR(IF(OR(J772=0,K772=""),"",IF(E772="Positivo",MAX(K772/J772,0),MAX(J772/K772,0))),"") </f>
        <v/>
      </c>
      <c r="N772" s="5" t="inlineStr">
        <is>
          <t>m3</t>
        </is>
      </c>
      <c r="O772" s="5" t="inlineStr">
        <is>
          <t>m3</t>
        </is>
      </c>
      <c r="P772" s="15" t="n">
        <v>0</v>
      </c>
      <c r="Q772" s="15" t="n">
        <v>0</v>
      </c>
      <c r="R772" s="5" t="inlineStr">
        <is>
          <t>208-2025-10-31</t>
        </is>
      </c>
    </row>
    <row r="773">
      <c r="A773" s="21" t="n">
        <v>208</v>
      </c>
      <c r="B773" s="5" t="inlineStr">
        <is>
          <t>Consumo de Agua m3 Mensual</t>
        </is>
      </c>
      <c r="C773" s="5" t="inlineStr">
        <is>
          <t>GESTIÓN AMBIENTAL</t>
        </is>
      </c>
      <c r="D773" s="5" t="inlineStr">
        <is>
          <t>Mensual</t>
        </is>
      </c>
      <c r="E773" s="5" t="inlineStr">
        <is>
          <t>Negativo</t>
        </is>
      </c>
      <c r="F773" s="106" t="n">
        <v>45991</v>
      </c>
      <c r="G773" s="5" t="n">
        <v>2025</v>
      </c>
      <c r="H773" s="5" t="inlineStr">
        <is>
          <t>Noviembre</t>
        </is>
      </c>
      <c r="I773" s="6" t="inlineStr">
        <is>
          <t>2025-2</t>
        </is>
      </c>
      <c r="J773" s="5" t="n">
        <v>1700</v>
      </c>
      <c r="K773" s="9" t="n">
        <v>1126</v>
      </c>
      <c r="L773" s="14">
        <f>IFERROR(IF(OR(J773=0,K773=""),"",IF(E773="Positivo",MIN(MAX(K773/J773,0),1.0),MIN(MAX(J773/K773,0),1.0))),"") </f>
        <v/>
      </c>
      <c r="M773" s="14">
        <f>IFERROR(IF(OR(J773=0,K773=""),"",IF(E773="Positivo",MAX(K773/J773,0),MAX(J773/K773,0))),"") </f>
        <v/>
      </c>
      <c r="N773" s="5" t="inlineStr">
        <is>
          <t>m3</t>
        </is>
      </c>
      <c r="O773" s="5" t="inlineStr">
        <is>
          <t>m3</t>
        </is>
      </c>
      <c r="P773" s="15" t="n">
        <v>0</v>
      </c>
      <c r="Q773" s="15" t="n">
        <v>0</v>
      </c>
      <c r="R773" s="5" t="inlineStr">
        <is>
          <t>208-2025-11-30</t>
        </is>
      </c>
    </row>
    <row r="774">
      <c r="A774" s="26" t="n">
        <v>208</v>
      </c>
      <c r="B774" s="5" t="inlineStr">
        <is>
          <t>Consumo de Agua m3 Mensual</t>
        </is>
      </c>
      <c r="C774" s="5" t="inlineStr">
        <is>
          <t>GESTIÓN AMBIENTAL</t>
        </is>
      </c>
      <c r="D774" s="5" t="inlineStr">
        <is>
          <t>Mensual</t>
        </is>
      </c>
      <c r="E774" s="5" t="inlineStr">
        <is>
          <t>Negativo</t>
        </is>
      </c>
      <c r="F774" s="107" t="n">
        <v>46022</v>
      </c>
      <c r="G774" s="5" t="n">
        <v>2025</v>
      </c>
      <c r="H774" s="5" t="inlineStr">
        <is>
          <t>Diciembre</t>
        </is>
      </c>
      <c r="I774" s="6" t="inlineStr">
        <is>
          <t>2025-2</t>
        </is>
      </c>
      <c r="J774" s="5" t="n">
        <v>1700</v>
      </c>
      <c r="K774" s="9" t="n">
        <v>1059</v>
      </c>
      <c r="L774" s="14">
        <f>IFERROR(IF(OR(J774=0,K774=""),"",IF(E774="Positivo",MIN(MAX(K774/J774,0),1.0),MIN(MAX(J774/K774,0),1.0))),"") </f>
        <v/>
      </c>
      <c r="M774" s="14">
        <f>IFERROR(IF(OR(J774=0,K774=""),"",IF(E774="Positivo",MAX(K774/J774,0),MAX(J774/K774,0))),"") </f>
        <v/>
      </c>
      <c r="N774" s="5" t="inlineStr">
        <is>
          <t>m3</t>
        </is>
      </c>
      <c r="O774" s="5" t="inlineStr">
        <is>
          <t>m3</t>
        </is>
      </c>
      <c r="P774" s="15" t="n">
        <v>0</v>
      </c>
      <c r="Q774" s="15" t="n">
        <v>0</v>
      </c>
      <c r="R774" s="5" t="inlineStr">
        <is>
          <t>208-2025-12-31</t>
        </is>
      </c>
    </row>
    <row r="775">
      <c r="A775" s="21" t="n">
        <v>213</v>
      </c>
      <c r="B775" s="5" t="inlineStr">
        <is>
          <t>Cumplimiento del Plan Anual del Sistema de Gestión Ambiental</t>
        </is>
      </c>
      <c r="C775" s="5" t="inlineStr">
        <is>
          <t>GESTIÓN AMBIENTAL</t>
        </is>
      </c>
      <c r="D775" s="5" t="inlineStr">
        <is>
          <t>Semestral</t>
        </is>
      </c>
      <c r="E775" s="5" t="inlineStr">
        <is>
          <t>Positivo</t>
        </is>
      </c>
      <c r="F775" s="107" t="n">
        <v>44651</v>
      </c>
      <c r="G775" s="5" t="n">
        <v>2022</v>
      </c>
      <c r="H775" s="5" t="inlineStr">
        <is>
          <t>Marzo</t>
        </is>
      </c>
      <c r="I775" s="6" t="inlineStr">
        <is>
          <t>2022-1</t>
        </is>
      </c>
      <c r="J775" s="5" t="n">
        <v>90</v>
      </c>
      <c r="K775" s="10" t="n">
        <v>0</v>
      </c>
      <c r="L775" s="14">
        <f>IFERROR(IF(OR(J775=0,K775=""),"",IF(E775="Positivo",MIN(MAX(K775/J775,0),1.3),MIN(MAX(J775/K775,0),1.3))),"") </f>
        <v/>
      </c>
      <c r="M775" s="14">
        <f>IFERROR(IF(OR(J775=0,K775=""),"",IF(E775="Positivo",MAX(K775/J775,0),MAX(J775/K775,0))),"") </f>
        <v/>
      </c>
      <c r="N775" s="5" t="inlineStr">
        <is>
          <t>%</t>
        </is>
      </c>
      <c r="O775" s="5" t="inlineStr">
        <is>
          <t>%</t>
        </is>
      </c>
      <c r="P775" s="15" t="n">
        <v>0</v>
      </c>
      <c r="Q775" s="15" t="n">
        <v>0</v>
      </c>
      <c r="R775" s="5" t="inlineStr">
        <is>
          <t>213-2022-03-31</t>
        </is>
      </c>
    </row>
    <row r="776">
      <c r="A776" s="21" t="n">
        <v>213</v>
      </c>
      <c r="B776" s="5" t="inlineStr">
        <is>
          <t>Cumplimiento del Plan Anual del Sistema de Gestión Ambiental</t>
        </is>
      </c>
      <c r="C776" s="5" t="inlineStr">
        <is>
          <t>GESTIÓN AMBIENTAL</t>
        </is>
      </c>
      <c r="D776" s="5" t="inlineStr">
        <is>
          <t>Semestral</t>
        </is>
      </c>
      <c r="E776" s="5" t="inlineStr">
        <is>
          <t>Positivo</t>
        </is>
      </c>
      <c r="F776" s="106" t="n">
        <v>44742</v>
      </c>
      <c r="G776" s="5" t="n">
        <v>2022</v>
      </c>
      <c r="H776" s="5" t="inlineStr">
        <is>
          <t>Junio</t>
        </is>
      </c>
      <c r="I776" s="6" t="inlineStr">
        <is>
          <t>2022-1</t>
        </is>
      </c>
      <c r="J776" s="5" t="n">
        <v>90</v>
      </c>
      <c r="K776" s="9" t="n">
        <v>0</v>
      </c>
      <c r="L776" s="14">
        <f>IFERROR(IF(OR(J776=0,K776=""),"",IF(E776="Positivo",MIN(MAX(K776/J776,0),1.3),MIN(MAX(J776/K776,0),1.3))),"") </f>
        <v/>
      </c>
      <c r="M776" s="14">
        <f>IFERROR(IF(OR(J776=0,K776=""),"",IF(E776="Positivo",MAX(K776/J776,0),MAX(J776/K776,0))),"") </f>
        <v/>
      </c>
      <c r="N776" s="5" t="inlineStr">
        <is>
          <t>%</t>
        </is>
      </c>
      <c r="O776" s="5" t="inlineStr">
        <is>
          <t>%</t>
        </is>
      </c>
      <c r="P776" s="15" t="n">
        <v>0</v>
      </c>
      <c r="Q776" s="15" t="n">
        <v>0</v>
      </c>
      <c r="R776" s="5" t="inlineStr">
        <is>
          <t>213-2022-06-30</t>
        </is>
      </c>
    </row>
    <row r="777">
      <c r="A777" s="26" t="n">
        <v>213</v>
      </c>
      <c r="B777" s="5" t="inlineStr">
        <is>
          <t>Cumplimiento del Plan Anual del Sistema de Gestión Ambiental</t>
        </is>
      </c>
      <c r="C777" s="5" t="inlineStr">
        <is>
          <t>GESTIÓN AMBIENTAL</t>
        </is>
      </c>
      <c r="D777" s="5" t="inlineStr">
        <is>
          <t>Semestral</t>
        </is>
      </c>
      <c r="E777" s="5" t="inlineStr">
        <is>
          <t>Positivo</t>
        </is>
      </c>
      <c r="F777" s="107" t="n">
        <v>44834</v>
      </c>
      <c r="G777" s="5" t="n">
        <v>2022</v>
      </c>
      <c r="H777" s="5" t="inlineStr">
        <is>
          <t>Septiembre</t>
        </is>
      </c>
      <c r="I777" s="6" t="inlineStr">
        <is>
          <t>2022-2</t>
        </is>
      </c>
      <c r="J777" s="5" t="n">
        <v>90</v>
      </c>
      <c r="K777" s="9" t="n">
        <v>0</v>
      </c>
      <c r="L777" s="14">
        <f>IFERROR(IF(OR(J777=0,K777=""),"",IF(E777="Positivo",MIN(MAX(K777/J777,0),1.3),MIN(MAX(J777/K777,0),1.3))),"") </f>
        <v/>
      </c>
      <c r="M777" s="14">
        <f>IFERROR(IF(OR(J777=0,K777=""),"",IF(E777="Positivo",MAX(K777/J777,0),MAX(J777/K777,0))),"") </f>
        <v/>
      </c>
      <c r="N777" s="5" t="inlineStr">
        <is>
          <t>%</t>
        </is>
      </c>
      <c r="O777" s="5" t="inlineStr">
        <is>
          <t>%</t>
        </is>
      </c>
      <c r="P777" s="15" t="n">
        <v>0</v>
      </c>
      <c r="Q777" s="15" t="n">
        <v>0</v>
      </c>
      <c r="R777" s="5" t="inlineStr">
        <is>
          <t>213-2022-09-30</t>
        </is>
      </c>
    </row>
    <row r="778">
      <c r="A778" s="5" t="n">
        <v>213</v>
      </c>
      <c r="B778" s="5" t="inlineStr">
        <is>
          <t>Cumplimiento del Plan Anual del Sistema de Gestión Ambiental</t>
        </is>
      </c>
      <c r="C778" s="5" t="inlineStr">
        <is>
          <t>GESTIÓN AMBIENTAL</t>
        </is>
      </c>
      <c r="D778" s="5" t="inlineStr">
        <is>
          <t>Semestral</t>
        </is>
      </c>
      <c r="E778" s="5" t="inlineStr">
        <is>
          <t>Positivo</t>
        </is>
      </c>
      <c r="F778" s="107" t="n">
        <v>44926</v>
      </c>
      <c r="G778" s="5" t="n">
        <v>2022</v>
      </c>
      <c r="H778" s="5" t="inlineStr">
        <is>
          <t>Diciembre</t>
        </is>
      </c>
      <c r="I778" s="6" t="inlineStr">
        <is>
          <t>2022-2</t>
        </is>
      </c>
      <c r="J778" s="5" t="n">
        <v>90</v>
      </c>
      <c r="K778" s="5" t="n">
        <v>0</v>
      </c>
      <c r="L778" s="14">
        <f>IFERROR(IF(OR(J778=0,K778=""),"",IF(E778="Positivo",MIN(MAX(K778/J778,0),1.3),MIN(MAX(J778/K778,0),1.3))),"") </f>
        <v/>
      </c>
      <c r="M778" s="14">
        <f>IFERROR(IF(OR(J778=0,K778=""),"",IF(E778="Positivo",MAX(K778/J778,0),MAX(J778/K778,0))),"") </f>
        <v/>
      </c>
      <c r="N778" s="5" t="inlineStr">
        <is>
          <t>%</t>
        </is>
      </c>
      <c r="O778" s="5" t="inlineStr">
        <is>
          <t>%</t>
        </is>
      </c>
      <c r="P778" s="5" t="n">
        <v>0</v>
      </c>
      <c r="Q778" s="5" t="n">
        <v>0</v>
      </c>
      <c r="R778" s="5" t="inlineStr">
        <is>
          <t>213-2022-12-31</t>
        </is>
      </c>
    </row>
    <row r="779">
      <c r="A779" s="21" t="n">
        <v>213</v>
      </c>
      <c r="B779" s="5" t="inlineStr">
        <is>
          <t>Cumplimiento del Plan Anual del Sistema de Gestión Ambiental</t>
        </is>
      </c>
      <c r="C779" s="5" t="inlineStr">
        <is>
          <t>GESTIÓN AMBIENTAL</t>
        </is>
      </c>
      <c r="D779" s="5" t="inlineStr">
        <is>
          <t>Trimestral</t>
        </is>
      </c>
      <c r="E779" s="5" t="inlineStr">
        <is>
          <t>Positivo</t>
        </is>
      </c>
      <c r="F779" s="107" t="n">
        <v>45016</v>
      </c>
      <c r="G779" s="5" t="n">
        <v>2023</v>
      </c>
      <c r="H779" s="5" t="inlineStr">
        <is>
          <t>Marzo</t>
        </is>
      </c>
      <c r="I779" s="6" t="inlineStr">
        <is>
          <t>2023-1</t>
        </is>
      </c>
      <c r="J779" s="5" t="n">
        <v>90</v>
      </c>
      <c r="K779" s="10" t="n">
        <v>100</v>
      </c>
      <c r="L779" s="14">
        <f>IFERROR(IF(OR(J779=0,K779=""),"",IF(E779="Positivo",MIN(MAX(K779/J779,0),1.3),MIN(MAX(J779/K779,0),1.3))),"") </f>
        <v/>
      </c>
      <c r="M779" s="14">
        <f>IFERROR(IF(OR(J779=0,K779=""),"",IF(E779="Positivo",MAX(K779/J779,0),MAX(J779/K779,0))),"") </f>
        <v/>
      </c>
      <c r="N779" s="5" t="inlineStr">
        <is>
          <t>m3</t>
        </is>
      </c>
      <c r="O779" s="5" t="inlineStr">
        <is>
          <t>m3</t>
        </is>
      </c>
      <c r="P779" s="15" t="n">
        <v>0</v>
      </c>
      <c r="Q779" s="15" t="n">
        <v>0</v>
      </c>
      <c r="R779" s="5" t="inlineStr">
        <is>
          <t>213-2023-03-31</t>
        </is>
      </c>
    </row>
    <row r="780">
      <c r="A780" s="21" t="n">
        <v>213</v>
      </c>
      <c r="B780" s="5" t="inlineStr">
        <is>
          <t>Cumplimiento del Plan Anual del Sistema de Gestión Ambiental</t>
        </is>
      </c>
      <c r="C780" s="5" t="inlineStr">
        <is>
          <t>GESTIÓN AMBIENTAL</t>
        </is>
      </c>
      <c r="D780" s="20" t="inlineStr">
        <is>
          <t>Trimestral</t>
        </is>
      </c>
      <c r="E780" s="5" t="inlineStr">
        <is>
          <t>Positivo</t>
        </is>
      </c>
      <c r="F780" s="107" t="n">
        <v>45107</v>
      </c>
      <c r="G780" s="5" t="n">
        <v>2023</v>
      </c>
      <c r="H780" s="5" t="inlineStr">
        <is>
          <t>Junio</t>
        </is>
      </c>
      <c r="I780" s="6" t="inlineStr">
        <is>
          <t>2023-1</t>
        </is>
      </c>
      <c r="J780" s="5" t="n">
        <v>90</v>
      </c>
      <c r="K780" s="9" t="n">
        <v>93.33</v>
      </c>
      <c r="L780" s="14">
        <f>IFERROR(IF(OR(J780=0,K780=""),"",IF(E780="Positivo",MIN(MAX(K780/J780,0),1.3),MIN(MAX(J780/K780,0),1.3))),"") </f>
        <v/>
      </c>
      <c r="M780" s="14">
        <f>IFERROR(IF(OR(J780=0,K780=""),"",IF(E780="Positivo",MAX(K780/J780,0),MAX(J780/K780,0))),"") </f>
        <v/>
      </c>
      <c r="N780" s="5" t="inlineStr">
        <is>
          <t>m3</t>
        </is>
      </c>
      <c r="O780" s="5" t="inlineStr">
        <is>
          <t>m3</t>
        </is>
      </c>
      <c r="P780" s="15" t="n">
        <v>0</v>
      </c>
      <c r="Q780" s="15" t="n">
        <v>0</v>
      </c>
      <c r="R780" s="5" t="inlineStr">
        <is>
          <t>213-2023-06-30</t>
        </is>
      </c>
    </row>
    <row r="781">
      <c r="A781" s="26" t="n">
        <v>213</v>
      </c>
      <c r="B781" s="5" t="inlineStr">
        <is>
          <t>Cumplimiento del Plan Anual del Sistema de Gestión Ambiental</t>
        </is>
      </c>
      <c r="C781" s="5" t="inlineStr">
        <is>
          <t>GESTIÓN AMBIENTAL</t>
        </is>
      </c>
      <c r="D781" s="5" t="inlineStr">
        <is>
          <t>Trimestral</t>
        </is>
      </c>
      <c r="E781" s="5" t="inlineStr">
        <is>
          <t>Positivo</t>
        </is>
      </c>
      <c r="F781" s="107" t="n">
        <v>45199</v>
      </c>
      <c r="G781" s="5" t="n">
        <v>2023</v>
      </c>
      <c r="H781" s="5" t="inlineStr">
        <is>
          <t>Septiembre</t>
        </is>
      </c>
      <c r="I781" s="6" t="inlineStr">
        <is>
          <t>2023-2</t>
        </is>
      </c>
      <c r="J781" s="5" t="n">
        <v>90</v>
      </c>
      <c r="K781" s="9" t="n">
        <v>86.40000000000001</v>
      </c>
      <c r="L781" s="14">
        <f>IFERROR(IF(OR(J781=0,K781=""),"",IF(E781="Positivo",MIN(MAX(K781/J781,0),1.3),MIN(MAX(J781/K781,0),1.3))),"") </f>
        <v/>
      </c>
      <c r="M781" s="14">
        <f>IFERROR(IF(OR(J781=0,K781=""),"",IF(E781="Positivo",MAX(K781/J781,0),MAX(J781/K781,0))),"") </f>
        <v/>
      </c>
      <c r="N781" s="5" t="inlineStr">
        <is>
          <t>m3</t>
        </is>
      </c>
      <c r="O781" s="5" t="inlineStr">
        <is>
          <t>m3</t>
        </is>
      </c>
      <c r="P781" s="15" t="n">
        <v>1</v>
      </c>
      <c r="Q781" s="15" t="n">
        <v>1</v>
      </c>
      <c r="R781" s="5" t="inlineStr">
        <is>
          <t>213-2023-09-30</t>
        </is>
      </c>
    </row>
    <row r="782">
      <c r="A782" s="5" t="n">
        <v>213</v>
      </c>
      <c r="B782" s="5" t="inlineStr">
        <is>
          <t>Cumplimiento del Plan Anual del Sistema de Gestión Ambiental</t>
        </is>
      </c>
      <c r="C782" s="5" t="inlineStr">
        <is>
          <t>GESTIÓN AMBIENTAL</t>
        </is>
      </c>
      <c r="D782" s="5" t="inlineStr">
        <is>
          <t>Semestral</t>
        </is>
      </c>
      <c r="E782" s="5" t="inlineStr">
        <is>
          <t>Positivo</t>
        </is>
      </c>
      <c r="F782" s="107" t="n">
        <v>45291</v>
      </c>
      <c r="G782" s="5" t="n">
        <v>2023</v>
      </c>
      <c r="H782" s="5" t="inlineStr">
        <is>
          <t>Diciembre</t>
        </is>
      </c>
      <c r="I782" s="6" t="inlineStr">
        <is>
          <t>2023-2</t>
        </is>
      </c>
      <c r="J782" s="5" t="n">
        <v>90</v>
      </c>
      <c r="K782" s="5" t="n">
        <v>100</v>
      </c>
      <c r="L782" s="14">
        <f>IFERROR(IF(OR(J782=0,K782=""),"",IF(E782="Positivo",MIN(MAX(K782/J782,0),1.3),MIN(MAX(J782/K782,0),1.3))),"") </f>
        <v/>
      </c>
      <c r="M782" s="14">
        <f>IFERROR(IF(OR(J782=0,K782=""),"",IF(E782="Positivo",MAX(K782/J782,0),MAX(J782/K782,0))),"") </f>
        <v/>
      </c>
      <c r="N782" s="5" t="inlineStr">
        <is>
          <t>%</t>
        </is>
      </c>
      <c r="O782" s="5" t="inlineStr">
        <is>
          <t>%</t>
        </is>
      </c>
      <c r="P782" s="5" t="n">
        <v>0</v>
      </c>
      <c r="Q782" s="5" t="n">
        <v>0</v>
      </c>
      <c r="R782" s="5" t="inlineStr">
        <is>
          <t>213-2023-12-31</t>
        </is>
      </c>
    </row>
    <row r="783">
      <c r="A783" s="21" t="n">
        <v>213</v>
      </c>
      <c r="B783" s="5" t="inlineStr">
        <is>
          <t>Cumplimiento del Plan Anual del Sistema de Gestión Ambiental</t>
        </is>
      </c>
      <c r="C783" s="5" t="inlineStr">
        <is>
          <t>GESTIÓN AMBIENTAL</t>
        </is>
      </c>
      <c r="D783" s="5" t="inlineStr">
        <is>
          <t>Trimestral</t>
        </is>
      </c>
      <c r="E783" s="5" t="inlineStr">
        <is>
          <t>Positivo</t>
        </is>
      </c>
      <c r="F783" s="107" t="n">
        <v>45382</v>
      </c>
      <c r="G783" s="5" t="n">
        <v>2024</v>
      </c>
      <c r="H783" s="5" t="inlineStr">
        <is>
          <t>Marzo</t>
        </is>
      </c>
      <c r="I783" s="6" t="inlineStr">
        <is>
          <t>2024-1</t>
        </is>
      </c>
      <c r="J783" s="5" t="n">
        <v>90</v>
      </c>
      <c r="K783" s="10" t="n">
        <v>100</v>
      </c>
      <c r="L783" s="14">
        <f>IFERROR(IF(OR(J783=0,K783=""),"",IF(E783="Positivo",MIN(MAX(K783/J783,0),1.3),MIN(MAX(J783/K783,0),1.3))),"") </f>
        <v/>
      </c>
      <c r="M783" s="14">
        <f>IFERROR(IF(OR(J783=0,K783=""),"",IF(E783="Positivo",MAX(K783/J783,0),MAX(J783/K783,0))),"") </f>
        <v/>
      </c>
      <c r="N783" s="5" t="inlineStr">
        <is>
          <t>%</t>
        </is>
      </c>
      <c r="O783" s="5" t="inlineStr">
        <is>
          <t>%</t>
        </is>
      </c>
      <c r="P783" s="15" t="n">
        <v>0</v>
      </c>
      <c r="Q783" s="15" t="n">
        <v>0</v>
      </c>
      <c r="R783" s="5" t="inlineStr">
        <is>
          <t>213-2024-03-31</t>
        </is>
      </c>
    </row>
    <row r="784">
      <c r="A784" s="21" t="n">
        <v>213</v>
      </c>
      <c r="B784" s="5" t="inlineStr">
        <is>
          <t>Cumplimiento del Plan Anual del Sistema de Gestión Ambiental</t>
        </is>
      </c>
      <c r="C784" s="5" t="inlineStr">
        <is>
          <t>GESTIÓN AMBIENTAL</t>
        </is>
      </c>
      <c r="D784" s="5" t="inlineStr">
        <is>
          <t>Trimestral</t>
        </is>
      </c>
      <c r="E784" s="5" t="inlineStr">
        <is>
          <t>Positivo</t>
        </is>
      </c>
      <c r="F784" s="106" t="n">
        <v>45473</v>
      </c>
      <c r="G784" s="5" t="n">
        <v>2024</v>
      </c>
      <c r="H784" s="5" t="inlineStr">
        <is>
          <t>Junio</t>
        </is>
      </c>
      <c r="I784" s="6" t="inlineStr">
        <is>
          <t>2024-1</t>
        </is>
      </c>
      <c r="J784" s="5" t="n">
        <v>90</v>
      </c>
      <c r="K784" s="9" t="n">
        <v>100</v>
      </c>
      <c r="L784" s="14">
        <f>IFERROR(IF(OR(J784=0,K784=""),"",IF(E784="Positivo",MIN(MAX(K784/J784,0),1.3),MIN(MAX(J784/K784,0),1.3))),"") </f>
        <v/>
      </c>
      <c r="M784" s="14">
        <f>IFERROR(IF(OR(J784=0,K784=""),"",IF(E784="Positivo",MAX(K784/J784,0),MAX(J784/K784,0))),"") </f>
        <v/>
      </c>
      <c r="N784" s="5" t="inlineStr">
        <is>
          <t>%</t>
        </is>
      </c>
      <c r="O784" s="5" t="inlineStr">
        <is>
          <t>%</t>
        </is>
      </c>
      <c r="P784" s="15" t="n">
        <v>0</v>
      </c>
      <c r="Q784" s="15" t="n">
        <v>0</v>
      </c>
      <c r="R784" s="5" t="inlineStr">
        <is>
          <t>213-2024-06-30</t>
        </is>
      </c>
    </row>
    <row r="785">
      <c r="A785" s="26" t="n">
        <v>213</v>
      </c>
      <c r="B785" s="5" t="inlineStr">
        <is>
          <t>Cumplimiento del Plan Anual del Sistema de Gestión Ambiental</t>
        </is>
      </c>
      <c r="C785" s="5" t="inlineStr">
        <is>
          <t>GESTIÓN AMBIENTAL</t>
        </is>
      </c>
      <c r="D785" s="5" t="inlineStr">
        <is>
          <t>Trimestral</t>
        </is>
      </c>
      <c r="E785" s="5" t="inlineStr">
        <is>
          <t>Positivo</t>
        </is>
      </c>
      <c r="F785" s="107" t="n">
        <v>45565</v>
      </c>
      <c r="G785" s="5" t="n">
        <v>2024</v>
      </c>
      <c r="H785" s="5" t="inlineStr">
        <is>
          <t>Septiembre</t>
        </is>
      </c>
      <c r="I785" s="6" t="inlineStr">
        <is>
          <t>2024-2</t>
        </is>
      </c>
      <c r="J785" s="5" t="n">
        <v>90</v>
      </c>
      <c r="K785" s="9" t="n">
        <v>97.79000000000001</v>
      </c>
      <c r="L785" s="14">
        <f>IFERROR(IF(OR(J785=0,K785=""),"",IF(E785="Positivo",MIN(MAX(K785/J785,0),1.3),MIN(MAX(J785/K785,0),1.3))),"") </f>
        <v/>
      </c>
      <c r="M785" s="14">
        <f>IFERROR(IF(OR(J785=0,K785=""),"",IF(E785="Positivo",MAX(K785/J785,0),MAX(J785/K785,0))),"") </f>
        <v/>
      </c>
      <c r="N785" s="5" t="inlineStr">
        <is>
          <t>%</t>
        </is>
      </c>
      <c r="O785" s="5" t="inlineStr">
        <is>
          <t>%</t>
        </is>
      </c>
      <c r="P785" s="15" t="n">
        <v>0</v>
      </c>
      <c r="Q785" s="15" t="n">
        <v>0</v>
      </c>
      <c r="R785" s="5" t="inlineStr">
        <is>
          <t>213-2024-09-30</t>
        </is>
      </c>
    </row>
    <row r="786">
      <c r="A786" s="5" t="n">
        <v>213</v>
      </c>
      <c r="B786" s="5" t="inlineStr">
        <is>
          <t>Cumplimiento del Plan Anual del Sistema de Gestión Ambiental</t>
        </is>
      </c>
      <c r="C786" s="5" t="inlineStr">
        <is>
          <t>GESTIÓN AMBIENTAL</t>
        </is>
      </c>
      <c r="D786" s="5" t="inlineStr">
        <is>
          <t>Trimestral</t>
        </is>
      </c>
      <c r="E786" s="5" t="inlineStr">
        <is>
          <t>Positivo</t>
        </is>
      </c>
      <c r="F786" s="107" t="n">
        <v>45657</v>
      </c>
      <c r="G786" s="5" t="n">
        <v>2024</v>
      </c>
      <c r="H786" s="5" t="inlineStr">
        <is>
          <t>Diciembre</t>
        </is>
      </c>
      <c r="I786" s="6" t="inlineStr">
        <is>
          <t>2024-2</t>
        </is>
      </c>
      <c r="J786" s="5" t="n">
        <v>90</v>
      </c>
      <c r="K786" s="5" t="n">
        <v>100</v>
      </c>
      <c r="L786" s="14">
        <f>IFERROR(IF(OR(J786=0,K786=""),"",IF(E786="Positivo",MIN(MAX(K786/J786,0),1.3),MIN(MAX(J786/K786,0),1.3))),"") </f>
        <v/>
      </c>
      <c r="M786" s="14">
        <f>IFERROR(IF(OR(J786=0,K786=""),"",IF(E786="Positivo",MAX(K786/J786,0),MAX(J786/K786,0))),"") </f>
        <v/>
      </c>
      <c r="N786" s="5" t="inlineStr">
        <is>
          <t>%</t>
        </is>
      </c>
      <c r="O786" s="5" t="inlineStr">
        <is>
          <t>%</t>
        </is>
      </c>
      <c r="P786" s="5" t="n">
        <v>0</v>
      </c>
      <c r="Q786" s="5" t="n">
        <v>0</v>
      </c>
      <c r="R786" s="5" t="inlineStr">
        <is>
          <t>213-2024-12-31</t>
        </is>
      </c>
    </row>
    <row r="787">
      <c r="A787" s="21" t="n">
        <v>213</v>
      </c>
      <c r="B787" s="5" t="inlineStr">
        <is>
          <t>Cumplimiento del Plan Anual del Sistema de Gestión Ambiental</t>
        </is>
      </c>
      <c r="C787" s="5" t="inlineStr">
        <is>
          <t>GESTIÓN AMBIENTAL</t>
        </is>
      </c>
      <c r="D787" s="5" t="inlineStr">
        <is>
          <t>Semestral</t>
        </is>
      </c>
      <c r="E787" s="5" t="inlineStr">
        <is>
          <t>Positivo</t>
        </is>
      </c>
      <c r="F787" s="107" t="n">
        <v>45747</v>
      </c>
      <c r="G787" s="5" t="n">
        <v>2025</v>
      </c>
      <c r="H787" s="5" t="inlineStr">
        <is>
          <t>Marzo</t>
        </is>
      </c>
      <c r="I787" s="6" t="inlineStr">
        <is>
          <t>2025-1</t>
        </is>
      </c>
      <c r="J787" s="5" t="n">
        <v>90</v>
      </c>
      <c r="K787" s="10" t="n">
        <v>100</v>
      </c>
      <c r="L787" s="14">
        <f>IFERROR(IF(OR(J787=0,K787=""),"",IF(E787="Positivo",MIN(MAX(K787/J787,0),1.3),MIN(MAX(J787/K787,0),1.3))),"") </f>
        <v/>
      </c>
      <c r="M787" s="14">
        <f>IFERROR(IF(OR(J787=0,K787=""),"",IF(E787="Positivo",MAX(K787/J787,0),MAX(J787/K787,0))),"") </f>
        <v/>
      </c>
      <c r="N787" s="5" t="inlineStr">
        <is>
          <t>%</t>
        </is>
      </c>
      <c r="O787" s="5" t="inlineStr">
        <is>
          <t>%</t>
        </is>
      </c>
      <c r="P787" s="15" t="n">
        <v>0</v>
      </c>
      <c r="Q787" s="15" t="n">
        <v>0</v>
      </c>
      <c r="R787" s="5" t="inlineStr">
        <is>
          <t>213-2025-03-31</t>
        </is>
      </c>
    </row>
    <row r="788">
      <c r="A788" s="21" t="n">
        <v>213</v>
      </c>
      <c r="B788" s="5" t="inlineStr">
        <is>
          <t>Cumplimiento del Plan Anual del Sistema de Gestión Ambiental</t>
        </is>
      </c>
      <c r="C788" s="5" t="inlineStr">
        <is>
          <t>GESTIÓN AMBIENTAL</t>
        </is>
      </c>
      <c r="D788" s="5" t="inlineStr">
        <is>
          <t>Semestral</t>
        </is>
      </c>
      <c r="E788" s="5" t="inlineStr">
        <is>
          <t>Positivo</t>
        </is>
      </c>
      <c r="F788" s="106" t="n">
        <v>45838</v>
      </c>
      <c r="G788" s="5" t="n">
        <v>2025</v>
      </c>
      <c r="H788" s="5" t="inlineStr">
        <is>
          <t>Junio</t>
        </is>
      </c>
      <c r="I788" s="6" t="inlineStr">
        <is>
          <t>2025-1</t>
        </is>
      </c>
      <c r="J788" s="5" t="n">
        <v>90</v>
      </c>
      <c r="K788" s="9" t="n">
        <v>94.63</v>
      </c>
      <c r="L788" s="14">
        <f>IFERROR(IF(OR(J788=0,K788=""),"",IF(E788="Positivo",MIN(MAX(K788/J788,0),1.3),MIN(MAX(J788/K788,0),1.3))),"") </f>
        <v/>
      </c>
      <c r="M788" s="14">
        <f>IFERROR(IF(OR(J788=0,K788=""),"",IF(E788="Positivo",MAX(K788/J788,0),MAX(J788/K788,0))),"") </f>
        <v/>
      </c>
      <c r="N788" s="5" t="inlineStr">
        <is>
          <t>%</t>
        </is>
      </c>
      <c r="O788" s="5" t="inlineStr">
        <is>
          <t>%</t>
        </is>
      </c>
      <c r="P788" s="15" t="n">
        <v>0</v>
      </c>
      <c r="Q788" s="15" t="n">
        <v>0</v>
      </c>
      <c r="R788" s="5" t="inlineStr">
        <is>
          <t>213-2025-06-30</t>
        </is>
      </c>
    </row>
    <row r="789">
      <c r="A789" s="26" t="n">
        <v>213</v>
      </c>
      <c r="B789" s="5" t="inlineStr">
        <is>
          <t>Cumplimiento del Plan Anual del Sistema de Gestión Ambiental</t>
        </is>
      </c>
      <c r="C789" s="5" t="inlineStr">
        <is>
          <t>GESTIÓN AMBIENTAL</t>
        </is>
      </c>
      <c r="D789" s="5" t="inlineStr">
        <is>
          <t>Semestral</t>
        </is>
      </c>
      <c r="E789" s="5" t="inlineStr">
        <is>
          <t>Positivo</t>
        </is>
      </c>
      <c r="F789" s="107" t="n">
        <v>45930</v>
      </c>
      <c r="G789" s="5" t="n">
        <v>2025</v>
      </c>
      <c r="H789" s="5" t="inlineStr">
        <is>
          <t>Septiembre</t>
        </is>
      </c>
      <c r="I789" s="6" t="inlineStr">
        <is>
          <t>2025-2</t>
        </is>
      </c>
      <c r="J789" s="5" t="n">
        <v>90</v>
      </c>
      <c r="K789" s="9" t="n">
        <v>100</v>
      </c>
      <c r="L789" s="14">
        <f>IFERROR(IF(OR(J789=0,K789=""),"",IF(E789="Positivo",MIN(MAX(K789/J789,0),1.3),MIN(MAX(J789/K789,0),1.3))),"") </f>
        <v/>
      </c>
      <c r="M789" s="14">
        <f>IFERROR(IF(OR(J789=0,K789=""),"",IF(E789="Positivo",MAX(K789/J789,0),MAX(J789/K789,0))),"") </f>
        <v/>
      </c>
      <c r="N789" s="5" t="inlineStr">
        <is>
          <t>%</t>
        </is>
      </c>
      <c r="O789" s="5" t="inlineStr">
        <is>
          <t>%</t>
        </is>
      </c>
      <c r="P789" s="15" t="n">
        <v>0</v>
      </c>
      <c r="Q789" s="15" t="n">
        <v>0</v>
      </c>
      <c r="R789" s="5" t="inlineStr">
        <is>
          <t>213-2025-09-30</t>
        </is>
      </c>
    </row>
    <row r="790">
      <c r="A790" s="5" t="n">
        <v>213</v>
      </c>
      <c r="B790" s="5" t="inlineStr">
        <is>
          <t>Cumplimiento del Plan Anual del Sistema de Gestión Ambiental</t>
        </is>
      </c>
      <c r="C790" s="5" t="inlineStr">
        <is>
          <t>GESTIÓN AMBIENTAL</t>
        </is>
      </c>
      <c r="D790" s="5" t="inlineStr">
        <is>
          <t>Semestral</t>
        </is>
      </c>
      <c r="E790" s="5" t="inlineStr">
        <is>
          <t>Positivo</t>
        </is>
      </c>
      <c r="F790" s="107" t="n">
        <v>46022</v>
      </c>
      <c r="G790" s="5" t="n">
        <v>2025</v>
      </c>
      <c r="H790" s="5" t="inlineStr">
        <is>
          <t>Diciembre</t>
        </is>
      </c>
      <c r="I790" s="6" t="inlineStr">
        <is>
          <t>2025-2</t>
        </is>
      </c>
      <c r="J790" s="5" t="n">
        <v>90</v>
      </c>
      <c r="K790" s="5" t="n">
        <v>100</v>
      </c>
      <c r="L790" s="14">
        <f>IFERROR(IF(OR(J790=0,K790=""),"",IF(E790="Positivo",MIN(MAX(K790/J790,0),1.3),MIN(MAX(J790/K790,0),1.3))),"") </f>
        <v/>
      </c>
      <c r="M790" s="14">
        <f>IFERROR(IF(OR(J790=0,K790=""),"",IF(E790="Positivo",MAX(K790/J790,0),MAX(J790/K790,0))),"") </f>
        <v/>
      </c>
      <c r="N790" s="5" t="inlineStr">
        <is>
          <t>%</t>
        </is>
      </c>
      <c r="O790" s="5" t="inlineStr">
        <is>
          <t>%</t>
        </is>
      </c>
      <c r="P790" s="5" t="n">
        <v>0</v>
      </c>
      <c r="Q790" s="5" t="n">
        <v>0</v>
      </c>
      <c r="R790" s="5" t="inlineStr">
        <is>
          <t>213-2025-12-31</t>
        </is>
      </c>
    </row>
    <row r="791">
      <c r="A791" s="21" t="n">
        <v>214</v>
      </c>
      <c r="B791" s="5" t="inlineStr">
        <is>
          <t>Generación de Residuos Sólidos Mensual</t>
        </is>
      </c>
      <c r="C791" s="5" t="inlineStr">
        <is>
          <t>GESTIÓN AMBIENTAL</t>
        </is>
      </c>
      <c r="D791" s="5" t="inlineStr">
        <is>
          <t>Mensual</t>
        </is>
      </c>
      <c r="E791" s="5" t="inlineStr">
        <is>
          <t>Negativo</t>
        </is>
      </c>
      <c r="F791" s="107" t="n">
        <v>44592</v>
      </c>
      <c r="G791" s="5" t="n">
        <v>2022</v>
      </c>
      <c r="H791" s="5" t="inlineStr">
        <is>
          <t>Enero</t>
        </is>
      </c>
      <c r="I791" s="6" t="inlineStr">
        <is>
          <t>2022-1</t>
        </is>
      </c>
      <c r="J791" s="5" t="n">
        <v>7500</v>
      </c>
      <c r="K791" s="10" t="n">
        <v>777</v>
      </c>
      <c r="L791" s="14">
        <f>IFERROR(IF(OR(J791=0,K791=""),"",IF(E791="Positivo",MIN(MAX(K791/J791,0),1.3),MIN(MAX(J791/K791,0),1.3))),"") </f>
        <v/>
      </c>
      <c r="M791" s="14">
        <f>IFERROR(IF(OR(J791=0,K791=""),"",IF(E791="Positivo",MAX(K791/J791,0),MAX(J791/K791,0))),"") </f>
        <v/>
      </c>
      <c r="N791" s="5" t="inlineStr">
        <is>
          <t>Kg</t>
        </is>
      </c>
      <c r="O791" s="5" t="inlineStr">
        <is>
          <t>Kg</t>
        </is>
      </c>
      <c r="P791" s="15" t="n">
        <v>0</v>
      </c>
      <c r="Q791" s="15" t="n">
        <v>0</v>
      </c>
      <c r="R791" s="5" t="inlineStr">
        <is>
          <t>214-2022-01-31</t>
        </is>
      </c>
    </row>
    <row r="792">
      <c r="A792" s="21" t="n">
        <v>214</v>
      </c>
      <c r="B792" s="5" t="inlineStr">
        <is>
          <t>Generación de Residuos Sólidos Mensual</t>
        </is>
      </c>
      <c r="C792" s="5" t="inlineStr">
        <is>
          <t>GESTIÓN AMBIENTAL</t>
        </is>
      </c>
      <c r="D792" s="5" t="inlineStr">
        <is>
          <t>Mensual</t>
        </is>
      </c>
      <c r="E792" s="5" t="inlineStr">
        <is>
          <t>Negativo</t>
        </is>
      </c>
      <c r="F792" s="106" t="n">
        <v>44620</v>
      </c>
      <c r="G792" s="5" t="n">
        <v>2022</v>
      </c>
      <c r="H792" s="5" t="inlineStr">
        <is>
          <t>Febrero</t>
        </is>
      </c>
      <c r="I792" s="6" t="inlineStr">
        <is>
          <t>2022-1</t>
        </is>
      </c>
      <c r="J792" s="5" t="n">
        <v>7500</v>
      </c>
      <c r="K792" s="9" t="n">
        <v>992</v>
      </c>
      <c r="L792" s="14">
        <f>IFERROR(IF(OR(J792=0,K792=""),"",IF(E792="Positivo",MIN(MAX(K792/J792,0),1.3),MIN(MAX(J792/K792,0),1.3))),"") </f>
        <v/>
      </c>
      <c r="M792" s="14">
        <f>IFERROR(IF(OR(J792=0,K792=""),"",IF(E792="Positivo",MAX(K792/J792,0),MAX(J792/K792,0))),"") </f>
        <v/>
      </c>
      <c r="N792" s="5" t="inlineStr">
        <is>
          <t>Kg</t>
        </is>
      </c>
      <c r="O792" s="5" t="inlineStr">
        <is>
          <t>Kg</t>
        </is>
      </c>
      <c r="P792" s="15" t="n">
        <v>0</v>
      </c>
      <c r="Q792" s="15" t="n">
        <v>0</v>
      </c>
      <c r="R792" s="5" t="inlineStr">
        <is>
          <t>214-2022-02-28</t>
        </is>
      </c>
    </row>
    <row r="793">
      <c r="A793" s="26" t="n">
        <v>214</v>
      </c>
      <c r="B793" s="5" t="inlineStr">
        <is>
          <t>Generación de Residuos Sólidos Mensual</t>
        </is>
      </c>
      <c r="C793" s="5" t="inlineStr">
        <is>
          <t>GESTIÓN AMBIENTAL</t>
        </is>
      </c>
      <c r="D793" s="5" t="inlineStr">
        <is>
          <t>Mensual</t>
        </is>
      </c>
      <c r="E793" s="5" t="inlineStr">
        <is>
          <t>Negativo</t>
        </is>
      </c>
      <c r="F793" s="107" t="n">
        <v>44651</v>
      </c>
      <c r="G793" s="5" t="n">
        <v>2022</v>
      </c>
      <c r="H793" s="5" t="inlineStr">
        <is>
          <t>Marzo</t>
        </is>
      </c>
      <c r="I793" s="6" t="inlineStr">
        <is>
          <t>2022-1</t>
        </is>
      </c>
      <c r="J793" s="5" t="n">
        <v>7500</v>
      </c>
      <c r="K793" s="9" t="n">
        <v>1233</v>
      </c>
      <c r="L793" s="14">
        <f>IFERROR(IF(OR(J793=0,K793=""),"",IF(E793="Positivo",MIN(MAX(K793/J793,0),1.3),MIN(MAX(J793/K793,0),1.3))),"") </f>
        <v/>
      </c>
      <c r="M793" s="14">
        <f>IFERROR(IF(OR(J793=0,K793=""),"",IF(E793="Positivo",MAX(K793/J793,0),MAX(J793/K793,0))),"") </f>
        <v/>
      </c>
      <c r="N793" s="5" t="inlineStr">
        <is>
          <t>Kg</t>
        </is>
      </c>
      <c r="O793" s="5" t="inlineStr">
        <is>
          <t>Kg</t>
        </is>
      </c>
      <c r="P793" s="15" t="n">
        <v>0</v>
      </c>
      <c r="Q793" s="15" t="n">
        <v>0</v>
      </c>
      <c r="R793" s="5" t="inlineStr">
        <is>
          <t>214-2022-03-31</t>
        </is>
      </c>
    </row>
    <row r="794">
      <c r="A794" s="5" t="n">
        <v>214</v>
      </c>
      <c r="B794" s="5" t="inlineStr">
        <is>
          <t>Generación de Residuos Sólidos Mensual</t>
        </is>
      </c>
      <c r="C794" s="5" t="inlineStr">
        <is>
          <t>GESTIÓN AMBIENTAL</t>
        </is>
      </c>
      <c r="D794" s="5" t="inlineStr">
        <is>
          <t>Mensual</t>
        </is>
      </c>
      <c r="E794" s="5" t="inlineStr">
        <is>
          <t>Negativo</t>
        </is>
      </c>
      <c r="F794" s="107" t="n">
        <v>44681</v>
      </c>
      <c r="G794" s="5" t="n">
        <v>2022</v>
      </c>
      <c r="H794" s="5" t="inlineStr">
        <is>
          <t>Abril</t>
        </is>
      </c>
      <c r="I794" s="6" t="inlineStr">
        <is>
          <t>2022-1</t>
        </is>
      </c>
      <c r="J794" s="5" t="n">
        <v>7500</v>
      </c>
      <c r="K794" s="5" t="n">
        <v>1176</v>
      </c>
      <c r="L794" s="14">
        <f>IFERROR(IF(OR(J794=0,K794=""),"",IF(E794="Positivo",MIN(MAX(K794/J794,0),1.3),MIN(MAX(J794/K794,0),1.3))),"") </f>
        <v/>
      </c>
      <c r="M794" s="14">
        <f>IFERROR(IF(OR(J794=0,K794=""),"",IF(E794="Positivo",MAX(K794/J794,0),MAX(J794/K794,0))),"") </f>
        <v/>
      </c>
      <c r="N794" s="5" t="inlineStr">
        <is>
          <t>Kg</t>
        </is>
      </c>
      <c r="O794" s="5" t="inlineStr">
        <is>
          <t>Kg</t>
        </is>
      </c>
      <c r="P794" s="5" t="n">
        <v>0</v>
      </c>
      <c r="Q794" s="5" t="n">
        <v>0</v>
      </c>
      <c r="R794" s="5" t="inlineStr">
        <is>
          <t>214-2022-04-30</t>
        </is>
      </c>
    </row>
    <row r="795">
      <c r="A795" s="21" t="n">
        <v>214</v>
      </c>
      <c r="B795" s="5" t="inlineStr">
        <is>
          <t>Generación de Residuos Sólidos Mensual</t>
        </is>
      </c>
      <c r="C795" s="5" t="inlineStr">
        <is>
          <t>GESTIÓN AMBIENTAL</t>
        </is>
      </c>
      <c r="D795" s="5" t="inlineStr">
        <is>
          <t>Mensual</t>
        </is>
      </c>
      <c r="E795" s="5" t="inlineStr">
        <is>
          <t>Negativo</t>
        </is>
      </c>
      <c r="F795" s="107" t="n">
        <v>44712</v>
      </c>
      <c r="G795" s="5" t="n">
        <v>2022</v>
      </c>
      <c r="H795" s="5" t="inlineStr">
        <is>
          <t>Mayo</t>
        </is>
      </c>
      <c r="I795" s="6" t="inlineStr">
        <is>
          <t>2022-1</t>
        </is>
      </c>
      <c r="J795" s="5" t="n">
        <v>7500</v>
      </c>
      <c r="K795" s="10" t="n">
        <v>811</v>
      </c>
      <c r="L795" s="14">
        <f>IFERROR(IF(OR(J795=0,K795=""),"",IF(E795="Positivo",MIN(MAX(K795/J795,0),1.3),MIN(MAX(J795/K795,0),1.3))),"") </f>
        <v/>
      </c>
      <c r="M795" s="14">
        <f>IFERROR(IF(OR(J795=0,K795=""),"",IF(E795="Positivo",MAX(K795/J795,0),MAX(J795/K795,0))),"") </f>
        <v/>
      </c>
      <c r="N795" s="5" t="inlineStr">
        <is>
          <t>Kg</t>
        </is>
      </c>
      <c r="O795" s="5" t="inlineStr">
        <is>
          <t>Kg</t>
        </is>
      </c>
      <c r="P795" s="15" t="n">
        <v>0</v>
      </c>
      <c r="Q795" s="15" t="n">
        <v>0</v>
      </c>
      <c r="R795" s="5" t="inlineStr">
        <is>
          <t>214-2022-05-31</t>
        </is>
      </c>
    </row>
    <row r="796">
      <c r="A796" s="21" t="n">
        <v>214</v>
      </c>
      <c r="B796" s="5" t="inlineStr">
        <is>
          <t>Generación de Residuos Sólidos Mensual</t>
        </is>
      </c>
      <c r="C796" s="5" t="inlineStr">
        <is>
          <t>GESTIÓN AMBIENTAL</t>
        </is>
      </c>
      <c r="D796" s="5" t="inlineStr">
        <is>
          <t>Mensual</t>
        </is>
      </c>
      <c r="E796" s="5" t="inlineStr">
        <is>
          <t>Negativo</t>
        </is>
      </c>
      <c r="F796" s="106" t="n">
        <v>44742</v>
      </c>
      <c r="G796" s="5" t="n">
        <v>2022</v>
      </c>
      <c r="H796" s="5" t="inlineStr">
        <is>
          <t>Junio</t>
        </is>
      </c>
      <c r="I796" s="6" t="inlineStr">
        <is>
          <t>2022-1</t>
        </is>
      </c>
      <c r="J796" s="5" t="n">
        <v>7500</v>
      </c>
      <c r="K796" s="9" t="n">
        <v>895</v>
      </c>
      <c r="L796" s="14">
        <f>IFERROR(IF(OR(J796=0,K796=""),"",IF(E796="Positivo",MIN(MAX(K796/J796,0),1.3),MIN(MAX(J796/K796,0),1.3))),"") </f>
        <v/>
      </c>
      <c r="M796" s="14">
        <f>IFERROR(IF(OR(J796=0,K796=""),"",IF(E796="Positivo",MAX(K796/J796,0),MAX(J796/K796,0))),"") </f>
        <v/>
      </c>
      <c r="N796" s="5" t="inlineStr">
        <is>
          <t>Kg</t>
        </is>
      </c>
      <c r="O796" s="5" t="inlineStr">
        <is>
          <t>Kg</t>
        </is>
      </c>
      <c r="P796" s="15" t="n">
        <v>0</v>
      </c>
      <c r="Q796" s="15" t="n">
        <v>0</v>
      </c>
      <c r="R796" s="5" t="inlineStr">
        <is>
          <t>214-2022-06-30</t>
        </is>
      </c>
    </row>
    <row r="797">
      <c r="A797" s="26" t="n">
        <v>214</v>
      </c>
      <c r="B797" s="5" t="inlineStr">
        <is>
          <t>Generación de Residuos Sólidos Mensual</t>
        </is>
      </c>
      <c r="C797" s="5" t="inlineStr">
        <is>
          <t>GESTIÓN AMBIENTAL</t>
        </is>
      </c>
      <c r="D797" s="5" t="inlineStr">
        <is>
          <t>Mensual</t>
        </is>
      </c>
      <c r="E797" s="5" t="inlineStr">
        <is>
          <t>Negativo</t>
        </is>
      </c>
      <c r="F797" s="107" t="n">
        <v>44773</v>
      </c>
      <c r="G797" s="5" t="n">
        <v>2022</v>
      </c>
      <c r="H797" s="5" t="inlineStr">
        <is>
          <t>Julio</t>
        </is>
      </c>
      <c r="I797" s="6" t="inlineStr">
        <is>
          <t>2022-2</t>
        </is>
      </c>
      <c r="J797" s="5" t="n">
        <v>7500</v>
      </c>
      <c r="K797" s="9" t="n">
        <v>725</v>
      </c>
      <c r="L797" s="14">
        <f>IFERROR(IF(OR(J797=0,K797=""),"",IF(E797="Positivo",MIN(MAX(K797/J797,0),1.3),MIN(MAX(J797/K797,0),1.3))),"") </f>
        <v/>
      </c>
      <c r="M797" s="14">
        <f>IFERROR(IF(OR(J797=0,K797=""),"",IF(E797="Positivo",MAX(K797/J797,0),MAX(J797/K797,0))),"") </f>
        <v/>
      </c>
      <c r="N797" s="5" t="inlineStr">
        <is>
          <t>Kg</t>
        </is>
      </c>
      <c r="O797" s="5" t="inlineStr">
        <is>
          <t>Kg</t>
        </is>
      </c>
      <c r="P797" s="15" t="n">
        <v>0</v>
      </c>
      <c r="Q797" s="15" t="n">
        <v>0</v>
      </c>
      <c r="R797" s="5" t="inlineStr">
        <is>
          <t>214-2022-07-31</t>
        </is>
      </c>
    </row>
    <row r="798">
      <c r="A798" s="5" t="n">
        <v>214</v>
      </c>
      <c r="B798" s="5" t="inlineStr">
        <is>
          <t>Generación de Residuos Sólidos Mensual</t>
        </is>
      </c>
      <c r="C798" s="5" t="inlineStr">
        <is>
          <t>GESTIÓN AMBIENTAL</t>
        </is>
      </c>
      <c r="D798" s="5" t="inlineStr">
        <is>
          <t>Mensual</t>
        </is>
      </c>
      <c r="E798" s="5" t="inlineStr">
        <is>
          <t>Negativo</t>
        </is>
      </c>
      <c r="F798" s="107" t="n">
        <v>44804</v>
      </c>
      <c r="G798" s="5" t="n">
        <v>2022</v>
      </c>
      <c r="H798" s="5" t="inlineStr">
        <is>
          <t>Agosto</t>
        </is>
      </c>
      <c r="I798" s="6" t="inlineStr">
        <is>
          <t>2022-2</t>
        </is>
      </c>
      <c r="J798" s="5" t="n">
        <v>7500</v>
      </c>
      <c r="K798" s="5" t="n">
        <v>383</v>
      </c>
      <c r="L798" s="14">
        <f>IFERROR(IF(OR(J798=0,K798=""),"",IF(E798="Positivo",MIN(MAX(K798/J798,0),1.3),MIN(MAX(J798/K798,0),1.3))),"") </f>
        <v/>
      </c>
      <c r="M798" s="14">
        <f>IFERROR(IF(OR(J798=0,K798=""),"",IF(E798="Positivo",MAX(K798/J798,0),MAX(J798/K798,0))),"") </f>
        <v/>
      </c>
      <c r="N798" s="5" t="inlineStr">
        <is>
          <t>Kg</t>
        </is>
      </c>
      <c r="O798" s="5" t="inlineStr">
        <is>
          <t>Kg</t>
        </is>
      </c>
      <c r="P798" s="5" t="n">
        <v>0</v>
      </c>
      <c r="Q798" s="5" t="n">
        <v>0</v>
      </c>
      <c r="R798" s="5" t="inlineStr">
        <is>
          <t>214-2022-08-31</t>
        </is>
      </c>
    </row>
    <row r="799">
      <c r="A799" s="26" t="n">
        <v>214</v>
      </c>
      <c r="B799" s="5" t="inlineStr">
        <is>
          <t>Generación de Residuos Sólidos Mensual</t>
        </is>
      </c>
      <c r="C799" s="5" t="inlineStr">
        <is>
          <t>GESTIÓN AMBIENTAL</t>
        </is>
      </c>
      <c r="D799" s="5" t="inlineStr">
        <is>
          <t>Mensual</t>
        </is>
      </c>
      <c r="E799" s="5" t="inlineStr">
        <is>
          <t>Negativo</t>
        </is>
      </c>
      <c r="F799" s="107" t="n">
        <v>44834</v>
      </c>
      <c r="G799" s="5" t="n">
        <v>2022</v>
      </c>
      <c r="H799" s="5" t="inlineStr">
        <is>
          <t>Septiembre</t>
        </is>
      </c>
      <c r="I799" s="6" t="inlineStr">
        <is>
          <t>2022-2</t>
        </is>
      </c>
      <c r="J799" s="5" t="n">
        <v>7500</v>
      </c>
      <c r="K799" s="9" t="n">
        <v>1553</v>
      </c>
      <c r="L799" s="14">
        <f>IFERROR(IF(OR(J799=0,K799=""),"",IF(E799="Positivo",MIN(MAX(K799/J799,0),1.3),MIN(MAX(J799/K799,0),1.3))),"") </f>
        <v/>
      </c>
      <c r="M799" s="14">
        <f>IFERROR(IF(OR(J799=0,K799=""),"",IF(E799="Positivo",MAX(K799/J799,0),MAX(J799/K799,0))),"") </f>
        <v/>
      </c>
      <c r="N799" s="5" t="inlineStr">
        <is>
          <t>Kg</t>
        </is>
      </c>
      <c r="O799" s="5" t="inlineStr">
        <is>
          <t>Kg</t>
        </is>
      </c>
      <c r="P799" s="15" t="n">
        <v>0</v>
      </c>
      <c r="Q799" s="15" t="n">
        <v>0</v>
      </c>
      <c r="R799" s="5" t="inlineStr">
        <is>
          <t>214-2022-09-30</t>
        </is>
      </c>
    </row>
    <row r="800">
      <c r="A800" s="21" t="n">
        <v>214</v>
      </c>
      <c r="B800" s="5" t="inlineStr">
        <is>
          <t>Generación de Residuos Sólidos Mensual</t>
        </is>
      </c>
      <c r="C800" s="5" t="inlineStr">
        <is>
          <t>GESTIÓN AMBIENTAL</t>
        </is>
      </c>
      <c r="D800" s="5" t="inlineStr">
        <is>
          <t>Mensual</t>
        </is>
      </c>
      <c r="E800" s="5" t="inlineStr">
        <is>
          <t>Negativo</t>
        </is>
      </c>
      <c r="F800" s="107" t="n">
        <v>44865</v>
      </c>
      <c r="G800" s="5" t="n">
        <v>2022</v>
      </c>
      <c r="H800" s="5" t="inlineStr">
        <is>
          <t>Octubre</t>
        </is>
      </c>
      <c r="I800" s="6" t="inlineStr">
        <is>
          <t>2022-2</t>
        </is>
      </c>
      <c r="J800" s="5" t="n">
        <v>7500</v>
      </c>
      <c r="K800" s="10" t="n">
        <v>1756</v>
      </c>
      <c r="L800" s="14">
        <f>IFERROR(IF(OR(J800=0,K800=""),"",IF(E800="Positivo",MIN(MAX(K800/J800,0),1.3),MIN(MAX(J800/K800,0),1.3))),"") </f>
        <v/>
      </c>
      <c r="M800" s="14">
        <f>IFERROR(IF(OR(J800=0,K800=""),"",IF(E800="Positivo",MAX(K800/J800,0),MAX(J800/K800,0))),"") </f>
        <v/>
      </c>
      <c r="N800" s="5" t="inlineStr">
        <is>
          <t>Kg</t>
        </is>
      </c>
      <c r="O800" s="5" t="inlineStr">
        <is>
          <t>Kg</t>
        </is>
      </c>
      <c r="P800" s="15" t="n">
        <v>0</v>
      </c>
      <c r="Q800" s="15" t="n">
        <v>0</v>
      </c>
      <c r="R800" s="5" t="inlineStr">
        <is>
          <t>214-2022-10-31</t>
        </is>
      </c>
    </row>
    <row r="801">
      <c r="A801" s="21" t="n">
        <v>214</v>
      </c>
      <c r="B801" s="5" t="inlineStr">
        <is>
          <t>Generación de Residuos Sólidos Mensual</t>
        </is>
      </c>
      <c r="C801" s="5" t="inlineStr">
        <is>
          <t>GESTIÓN AMBIENTAL</t>
        </is>
      </c>
      <c r="D801" s="5" t="inlineStr">
        <is>
          <t>Mensual</t>
        </is>
      </c>
      <c r="E801" s="5" t="inlineStr">
        <is>
          <t>Negativo</t>
        </is>
      </c>
      <c r="F801" s="106" t="n">
        <v>44895</v>
      </c>
      <c r="G801" s="5" t="n">
        <v>2022</v>
      </c>
      <c r="H801" s="5" t="inlineStr">
        <is>
          <t>Noviembre</t>
        </is>
      </c>
      <c r="I801" s="6" t="inlineStr">
        <is>
          <t>2022-2</t>
        </is>
      </c>
      <c r="J801" s="5" t="n">
        <v>7500</v>
      </c>
      <c r="K801" s="9" t="n">
        <v>1786.799987792969</v>
      </c>
      <c r="L801" s="14">
        <f>IFERROR(IF(OR(J801=0,K801=""),"",IF(E801="Positivo",MIN(MAX(K801/J801,0),1.3),MIN(MAX(J801/K801,0),1.3))),"") </f>
        <v/>
      </c>
      <c r="M801" s="14">
        <f>IFERROR(IF(OR(J801=0,K801=""),"",IF(E801="Positivo",MAX(K801/J801,0),MAX(J801/K801,0))),"") </f>
        <v/>
      </c>
      <c r="N801" s="5" t="inlineStr">
        <is>
          <t>Kg</t>
        </is>
      </c>
      <c r="O801" s="5" t="inlineStr">
        <is>
          <t>Kg</t>
        </is>
      </c>
      <c r="P801" s="15" t="n">
        <v>0</v>
      </c>
      <c r="Q801" s="15" t="n">
        <v>0</v>
      </c>
      <c r="R801" s="5" t="inlineStr">
        <is>
          <t>214-2022-11-30</t>
        </is>
      </c>
    </row>
    <row r="802">
      <c r="A802" s="26" t="n">
        <v>214</v>
      </c>
      <c r="B802" s="5" t="inlineStr">
        <is>
          <t>Generación de Residuos Sólidos Mensual</t>
        </is>
      </c>
      <c r="C802" s="5" t="inlineStr">
        <is>
          <t>GESTIÓN AMBIENTAL</t>
        </is>
      </c>
      <c r="D802" s="5" t="inlineStr">
        <is>
          <t>Mensual</t>
        </is>
      </c>
      <c r="E802" s="5" t="inlineStr">
        <is>
          <t>Negativo</t>
        </is>
      </c>
      <c r="F802" s="107" t="n">
        <v>44926</v>
      </c>
      <c r="G802" s="5" t="n">
        <v>2022</v>
      </c>
      <c r="H802" s="5" t="inlineStr">
        <is>
          <t>Diciembre</t>
        </is>
      </c>
      <c r="I802" s="6" t="inlineStr">
        <is>
          <t>2022-2</t>
        </is>
      </c>
      <c r="J802" s="5" t="n">
        <v>7500</v>
      </c>
      <c r="K802" s="9" t="n">
        <v>1138.149993896484</v>
      </c>
      <c r="L802" s="14">
        <f>IFERROR(IF(OR(J802=0,K802=""),"",IF(E802="Positivo",MIN(MAX(K802/J802,0),1.3),MIN(MAX(J802/K802,0),1.3))),"") </f>
        <v/>
      </c>
      <c r="M802" s="14">
        <f>IFERROR(IF(OR(J802=0,K802=""),"",IF(E802="Positivo",MAX(K802/J802,0),MAX(J802/K802,0))),"") </f>
        <v/>
      </c>
      <c r="N802" s="5" t="inlineStr">
        <is>
          <t>Kg</t>
        </is>
      </c>
      <c r="O802" s="5" t="inlineStr">
        <is>
          <t>Kg</t>
        </is>
      </c>
      <c r="P802" s="15" t="n">
        <v>0</v>
      </c>
      <c r="Q802" s="15" t="n">
        <v>0</v>
      </c>
      <c r="R802" s="5" t="inlineStr">
        <is>
          <t>214-2022-12-31</t>
        </is>
      </c>
    </row>
    <row r="803">
      <c r="A803" s="5" t="n">
        <v>214</v>
      </c>
      <c r="B803" s="5" t="inlineStr">
        <is>
          <t>Generación de Residuos Sólidos Mensual</t>
        </is>
      </c>
      <c r="C803" s="5" t="inlineStr">
        <is>
          <t>GESTIÓN AMBIENTAL</t>
        </is>
      </c>
      <c r="D803" s="5" t="inlineStr">
        <is>
          <t>Mensual</t>
        </is>
      </c>
      <c r="E803" s="5" t="inlineStr">
        <is>
          <t>Negativo</t>
        </is>
      </c>
      <c r="F803" s="107" t="n">
        <v>44957</v>
      </c>
      <c r="G803" s="5" t="n">
        <v>2023</v>
      </c>
      <c r="H803" s="5" t="inlineStr">
        <is>
          <t>Enero</t>
        </is>
      </c>
      <c r="I803" s="6" t="inlineStr">
        <is>
          <t>2023-1</t>
        </is>
      </c>
      <c r="J803" s="5" t="n">
        <v>7500</v>
      </c>
      <c r="K803" s="5" t="n">
        <v>1399.55</v>
      </c>
      <c r="L803" s="14">
        <f>IFERROR(IF(OR(J803=0,K803=""),"",IF(E803="Positivo",MIN(MAX(K803/J803,0),1.3),MIN(MAX(J803/K803,0),1.3))),"") </f>
        <v/>
      </c>
      <c r="M803" s="14">
        <f>IFERROR(IF(OR(J803=0,K803=""),"",IF(E803="Positivo",MAX(K803/J803,0),MAX(J803/K803,0))),"") </f>
        <v/>
      </c>
      <c r="N803" s="5" t="inlineStr">
        <is>
          <t>Linea Base</t>
        </is>
      </c>
      <c r="O803" s="5" t="inlineStr">
        <is>
          <t>Kg</t>
        </is>
      </c>
      <c r="P803" s="5" t="n">
        <v>0</v>
      </c>
      <c r="Q803" s="5" t="n">
        <v>0</v>
      </c>
      <c r="R803" s="5" t="inlineStr">
        <is>
          <t>214-2023-01-31</t>
        </is>
      </c>
    </row>
    <row r="804">
      <c r="A804" s="21" t="n">
        <v>214</v>
      </c>
      <c r="B804" s="5" t="inlineStr">
        <is>
          <t>Generación de Residuos Sólidos Mensual</t>
        </is>
      </c>
      <c r="C804" s="5" t="inlineStr">
        <is>
          <t>GESTIÓN AMBIENTAL</t>
        </is>
      </c>
      <c r="D804" s="5" t="inlineStr">
        <is>
          <t>Mensual</t>
        </is>
      </c>
      <c r="E804" s="5" t="inlineStr">
        <is>
          <t>Negativo</t>
        </is>
      </c>
      <c r="F804" s="107" t="n">
        <v>44985</v>
      </c>
      <c r="G804" s="5" t="n">
        <v>2023</v>
      </c>
      <c r="H804" s="5" t="inlineStr">
        <is>
          <t>Febrero</t>
        </is>
      </c>
      <c r="I804" s="6" t="inlineStr">
        <is>
          <t>2023-1</t>
        </is>
      </c>
      <c r="J804" s="5" t="n">
        <v>7500</v>
      </c>
      <c r="K804" s="10" t="n">
        <v>2255.66</v>
      </c>
      <c r="L804" s="14">
        <f>IFERROR(IF(OR(J804=0,K804=""),"",IF(E804="Positivo",MIN(MAX(K804/J804,0),1.3),MIN(MAX(J804/K804,0),1.3))),"") </f>
        <v/>
      </c>
      <c r="M804" s="14">
        <f>IFERROR(IF(OR(J804=0,K804=""),"",IF(E804="Positivo",MAX(K804/J804,0),MAX(J804/K804,0))),"") </f>
        <v/>
      </c>
      <c r="N804" s="5" t="inlineStr">
        <is>
          <t>Linea Base</t>
        </is>
      </c>
      <c r="O804" s="5" t="inlineStr">
        <is>
          <t>Kg</t>
        </is>
      </c>
      <c r="P804" s="15" t="n">
        <v>0</v>
      </c>
      <c r="Q804" s="15" t="n">
        <v>0</v>
      </c>
      <c r="R804" s="5" t="inlineStr">
        <is>
          <t>214-2023-02-28</t>
        </is>
      </c>
    </row>
    <row r="805">
      <c r="A805" s="24" t="n">
        <v>214</v>
      </c>
      <c r="B805" s="16" t="inlineStr">
        <is>
          <t>Generación de Residuos Sólidos Mensual</t>
        </is>
      </c>
      <c r="C805" s="16" t="inlineStr">
        <is>
          <t>GESTIÓN AMBIENTAL</t>
        </is>
      </c>
      <c r="D805" s="16" t="inlineStr">
        <is>
          <t>Mensual</t>
        </is>
      </c>
      <c r="E805" s="16" t="inlineStr">
        <is>
          <t>Negativo</t>
        </is>
      </c>
      <c r="F805" s="109" t="n">
        <v>45016</v>
      </c>
      <c r="G805" s="5" t="n">
        <v>2023</v>
      </c>
      <c r="H805" s="5" t="inlineStr">
        <is>
          <t>Marzo</t>
        </is>
      </c>
      <c r="I805" s="6" t="inlineStr">
        <is>
          <t>2023-1</t>
        </is>
      </c>
      <c r="J805" s="16" t="n">
        <v>7500</v>
      </c>
      <c r="K805" s="9" t="n">
        <v>2757</v>
      </c>
      <c r="L805" s="14">
        <f>IFERROR(IF(OR(J805=0,K805=""),"",IF(E805="Positivo",MIN(MAX(K805/J805,0),1.3),MIN(MAX(J805/K805,0),1.3))),"") </f>
        <v/>
      </c>
      <c r="M805" s="14">
        <f>IFERROR(IF(OR(J805=0,K805=""),"",IF(E805="Positivo",MAX(K805/J805,0),MAX(J805/K805,0))),"") </f>
        <v/>
      </c>
      <c r="N805" s="16" t="inlineStr">
        <is>
          <t>Linea Base</t>
        </is>
      </c>
      <c r="O805" s="16" t="inlineStr">
        <is>
          <t>Kg</t>
        </is>
      </c>
      <c r="P805" s="15" t="n">
        <v>0</v>
      </c>
      <c r="Q805" s="15" t="n">
        <v>0</v>
      </c>
      <c r="R805" s="5" t="inlineStr">
        <is>
          <t>214-2023-03-31</t>
        </is>
      </c>
    </row>
    <row r="806">
      <c r="A806" s="26" t="n">
        <v>214</v>
      </c>
      <c r="B806" s="5" t="inlineStr">
        <is>
          <t>Generación de Residuos Sólidos Mensual</t>
        </is>
      </c>
      <c r="C806" s="5" t="inlineStr">
        <is>
          <t>GESTIÓN AMBIENTAL</t>
        </is>
      </c>
      <c r="D806" s="5" t="inlineStr">
        <is>
          <t>Mensual</t>
        </is>
      </c>
      <c r="E806" s="5" t="inlineStr">
        <is>
          <t>Negativo</t>
        </is>
      </c>
      <c r="F806" s="107" t="n">
        <v>45046</v>
      </c>
      <c r="G806" s="5" t="n">
        <v>2023</v>
      </c>
      <c r="H806" s="5" t="inlineStr">
        <is>
          <t>Abril</t>
        </is>
      </c>
      <c r="I806" s="6" t="inlineStr">
        <is>
          <t>2023-1</t>
        </is>
      </c>
      <c r="J806" s="5" t="n">
        <v>7500</v>
      </c>
      <c r="K806" s="9" t="n">
        <v>2313.5</v>
      </c>
      <c r="L806" s="14">
        <f>IFERROR(IF(OR(J806=0,K806=""),"",IF(E806="Positivo",MIN(MAX(K806/J806,0),1.3),MIN(MAX(J806/K806,0),1.3))),"") </f>
        <v/>
      </c>
      <c r="M806" s="14">
        <f>IFERROR(IF(OR(J806=0,K806=""),"",IF(E806="Positivo",MAX(K806/J806,0),MAX(J806/K806,0))),"") </f>
        <v/>
      </c>
      <c r="N806" s="5" t="inlineStr">
        <is>
          <t>Linea Base</t>
        </is>
      </c>
      <c r="O806" s="5" t="inlineStr">
        <is>
          <t>Kg</t>
        </is>
      </c>
      <c r="P806" s="15" t="n">
        <v>0</v>
      </c>
      <c r="Q806" s="15" t="n">
        <v>0</v>
      </c>
      <c r="R806" s="5" t="inlineStr">
        <is>
          <t>214-2023-04-30</t>
        </is>
      </c>
    </row>
    <row r="807">
      <c r="A807" s="24" t="n">
        <v>214</v>
      </c>
      <c r="B807" s="16" t="inlineStr">
        <is>
          <t>Generación de Residuos Sólidos Mensual</t>
        </is>
      </c>
      <c r="C807" s="16" t="inlineStr">
        <is>
          <t>GESTIÓN AMBIENTAL</t>
        </is>
      </c>
      <c r="D807" s="16" t="inlineStr">
        <is>
          <t>Mensual</t>
        </is>
      </c>
      <c r="E807" s="16" t="inlineStr">
        <is>
          <t>Negativo</t>
        </is>
      </c>
      <c r="F807" s="109" t="n">
        <v>45077</v>
      </c>
      <c r="G807" s="5" t="n">
        <v>2023</v>
      </c>
      <c r="H807" s="5" t="inlineStr">
        <is>
          <t>Mayo</t>
        </is>
      </c>
      <c r="I807" s="6" t="inlineStr">
        <is>
          <t>2023-1</t>
        </is>
      </c>
      <c r="J807" s="16" t="n">
        <v>7500</v>
      </c>
      <c r="K807" s="9" t="n">
        <v>2632.03</v>
      </c>
      <c r="L807" s="14">
        <f>IFERROR(IF(OR(J807=0,K807=""),"",IF(E807="Positivo",MIN(MAX(K807/J807,0),1.3),MIN(MAX(J807/K807,0),1.3))),"") </f>
        <v/>
      </c>
      <c r="M807" s="14">
        <f>IFERROR(IF(OR(J807=0,K807=""),"",IF(E807="Positivo",MAX(K807/J807,0),MAX(J807/K807,0))),"") </f>
        <v/>
      </c>
      <c r="N807" s="16" t="inlineStr">
        <is>
          <t>Linea Base</t>
        </is>
      </c>
      <c r="O807" s="16" t="inlineStr">
        <is>
          <t>Kg</t>
        </is>
      </c>
      <c r="P807" s="15" t="n">
        <v>0</v>
      </c>
      <c r="Q807" s="15" t="n">
        <v>0</v>
      </c>
      <c r="R807" s="5" t="inlineStr">
        <is>
          <t>214-2023-05-31</t>
        </is>
      </c>
    </row>
    <row r="808">
      <c r="A808" s="21" t="n">
        <v>214</v>
      </c>
      <c r="B808" s="5" t="inlineStr">
        <is>
          <t>Generación de Residuos Sólidos Mensual</t>
        </is>
      </c>
      <c r="C808" s="5" t="inlineStr">
        <is>
          <t>GESTIÓN AMBIENTAL</t>
        </is>
      </c>
      <c r="D808" s="5" t="inlineStr">
        <is>
          <t>Mensual</t>
        </is>
      </c>
      <c r="E808" s="5" t="inlineStr">
        <is>
          <t>Negativo</t>
        </is>
      </c>
      <c r="F808" s="107" t="n">
        <v>45107</v>
      </c>
      <c r="G808" s="5" t="n">
        <v>2023</v>
      </c>
      <c r="H808" s="5" t="inlineStr">
        <is>
          <t>Junio</t>
        </is>
      </c>
      <c r="I808" s="6" t="inlineStr">
        <is>
          <t>2023-1</t>
        </is>
      </c>
      <c r="J808" s="5" t="n">
        <v>7500</v>
      </c>
      <c r="K808" s="15" t="n">
        <v>2295.51</v>
      </c>
      <c r="L808" s="14">
        <f>IFERROR(IF(OR(J808=0,K808=""),"",IF(E808="Positivo",MIN(MAX(K808/J808,0),1.3),MIN(MAX(J808/K808,0),1.3))),"") </f>
        <v/>
      </c>
      <c r="M808" s="14">
        <f>IFERROR(IF(OR(J808=0,K808=""),"",IF(E808="Positivo",MAX(K808/J808,0),MAX(J808/K808,0))),"") </f>
        <v/>
      </c>
      <c r="N808" s="16" t="inlineStr">
        <is>
          <t>Linea Base</t>
        </is>
      </c>
      <c r="O808" s="16" t="inlineStr">
        <is>
          <t>Kg</t>
        </is>
      </c>
      <c r="P808" s="15" t="n">
        <v>0</v>
      </c>
      <c r="Q808" s="15" t="n">
        <v>0</v>
      </c>
      <c r="R808" s="5" t="inlineStr">
        <is>
          <t>214-2023-06-30</t>
        </is>
      </c>
    </row>
    <row r="809">
      <c r="A809" s="5" t="n">
        <v>214</v>
      </c>
      <c r="B809" s="5" t="inlineStr">
        <is>
          <t>Generación de Residuos Sólidos Mensual</t>
        </is>
      </c>
      <c r="C809" s="5" t="inlineStr">
        <is>
          <t>GESTIÓN AMBIENTAL</t>
        </is>
      </c>
      <c r="D809" s="5" t="inlineStr">
        <is>
          <t>Mensual</t>
        </is>
      </c>
      <c r="E809" s="5" t="inlineStr">
        <is>
          <t>Negativo</t>
        </is>
      </c>
      <c r="F809" s="107" t="n">
        <v>45138</v>
      </c>
      <c r="G809" s="5" t="n">
        <v>2023</v>
      </c>
      <c r="H809" s="5" t="inlineStr">
        <is>
          <t>Julio</t>
        </is>
      </c>
      <c r="I809" s="6" t="inlineStr">
        <is>
          <t>2023-2</t>
        </is>
      </c>
      <c r="J809" s="5" t="n">
        <v>7500</v>
      </c>
      <c r="K809" s="5" t="n">
        <v>2157.5</v>
      </c>
      <c r="L809" s="14">
        <f>IFERROR(IF(OR(J809=0,K809=""),"",IF(E809="Positivo",MIN(MAX(K809/J809,0),1.3),MIN(MAX(J809/K809,0),1.3))),"") </f>
        <v/>
      </c>
      <c r="M809" s="14">
        <f>IFERROR(IF(OR(J809=0,K809=""),"",IF(E809="Positivo",MAX(K809/J809,0),MAX(J809/K809,0))),"") </f>
        <v/>
      </c>
      <c r="N809" s="5" t="inlineStr">
        <is>
          <t>Linea Base</t>
        </is>
      </c>
      <c r="O809" s="5" t="inlineStr">
        <is>
          <t>Kg</t>
        </is>
      </c>
      <c r="P809" s="5" t="n">
        <v>0</v>
      </c>
      <c r="Q809" s="5" t="n">
        <v>0</v>
      </c>
      <c r="R809" s="5" t="inlineStr">
        <is>
          <t>214-2023-07-31</t>
        </is>
      </c>
    </row>
    <row r="810">
      <c r="A810" s="21" t="n">
        <v>214</v>
      </c>
      <c r="B810" s="5" t="inlineStr">
        <is>
          <t>Generación de Residuos Sólidos Mensual</t>
        </is>
      </c>
      <c r="C810" s="5" t="inlineStr">
        <is>
          <t>GESTIÓN AMBIENTAL</t>
        </is>
      </c>
      <c r="D810" s="5" t="inlineStr">
        <is>
          <t>Mensual</t>
        </is>
      </c>
      <c r="E810" s="5" t="inlineStr">
        <is>
          <t>Negativo</t>
        </is>
      </c>
      <c r="F810" s="107" t="n">
        <v>45169</v>
      </c>
      <c r="G810" s="5" t="n">
        <v>2023</v>
      </c>
      <c r="H810" s="5" t="inlineStr">
        <is>
          <t>Agosto</t>
        </is>
      </c>
      <c r="I810" s="6" t="inlineStr">
        <is>
          <t>2023-2</t>
        </is>
      </c>
      <c r="J810" s="5" t="n">
        <v>7500</v>
      </c>
      <c r="K810" s="10" t="n">
        <v>6540.08</v>
      </c>
      <c r="L810" s="14">
        <f>IFERROR(IF(OR(J810=0,K810=""),"",IF(E810="Positivo",MIN(MAX(K810/J810,0),1.3),MIN(MAX(J810/K810,0),1.3))),"") </f>
        <v/>
      </c>
      <c r="M810" s="14">
        <f>IFERROR(IF(OR(J810=0,K810=""),"",IF(E810="Positivo",MAX(K810/J810,0),MAX(J810/K810,0))),"") </f>
        <v/>
      </c>
      <c r="N810" s="5" t="inlineStr">
        <is>
          <t>Linea Base</t>
        </is>
      </c>
      <c r="O810" s="5" t="inlineStr">
        <is>
          <t>Kg</t>
        </is>
      </c>
      <c r="P810" s="15" t="n">
        <v>0</v>
      </c>
      <c r="Q810" s="15" t="n">
        <v>0</v>
      </c>
      <c r="R810" s="5" t="inlineStr">
        <is>
          <t>214-2023-08-31</t>
        </is>
      </c>
    </row>
    <row r="811">
      <c r="A811" s="21" t="n">
        <v>214</v>
      </c>
      <c r="B811" s="5" t="inlineStr">
        <is>
          <t>Generación de Residuos Sólidos Mensual</t>
        </is>
      </c>
      <c r="C811" s="5" t="inlineStr">
        <is>
          <t>GESTIÓN AMBIENTAL</t>
        </is>
      </c>
      <c r="D811" s="5" t="inlineStr">
        <is>
          <t>Mensual</t>
        </is>
      </c>
      <c r="E811" s="5" t="inlineStr">
        <is>
          <t>Negativo</t>
        </is>
      </c>
      <c r="F811" s="106" t="n">
        <v>45199</v>
      </c>
      <c r="G811" s="5" t="n">
        <v>2023</v>
      </c>
      <c r="H811" s="5" t="inlineStr">
        <is>
          <t>Septiembre</t>
        </is>
      </c>
      <c r="I811" s="6" t="inlineStr">
        <is>
          <t>2023-2</t>
        </is>
      </c>
      <c r="J811" s="5" t="n">
        <v>7500</v>
      </c>
      <c r="K811" s="9" t="n">
        <v>7824.24</v>
      </c>
      <c r="L811" s="14">
        <f>IFERROR(IF(OR(J811=0,K811=""),"",IF(E811="Positivo",MIN(MAX(K811/J811,0),1.3),MIN(MAX(J811/K811,0),1.3))),"") </f>
        <v/>
      </c>
      <c r="M811" s="14">
        <f>IFERROR(IF(OR(J811=0,K811=""),"",IF(E811="Positivo",MAX(K811/J811,0),MAX(J811/K811,0))),"") </f>
        <v/>
      </c>
      <c r="N811" s="5" t="inlineStr">
        <is>
          <t>Linea Base</t>
        </is>
      </c>
      <c r="O811" s="5" t="inlineStr">
        <is>
          <t>Kg</t>
        </is>
      </c>
      <c r="P811" s="15" t="n">
        <v>0</v>
      </c>
      <c r="Q811" s="15" t="n">
        <v>0</v>
      </c>
      <c r="R811" s="5" t="inlineStr">
        <is>
          <t>214-2023-09-30</t>
        </is>
      </c>
    </row>
    <row r="812">
      <c r="A812" s="26" t="n">
        <v>214</v>
      </c>
      <c r="B812" s="5" t="inlineStr">
        <is>
          <t>Generación de Residuos Sólidos Mensual</t>
        </is>
      </c>
      <c r="C812" s="5" t="inlineStr">
        <is>
          <t>GESTIÓN AMBIENTAL</t>
        </is>
      </c>
      <c r="D812" s="5" t="inlineStr">
        <is>
          <t>Mensual</t>
        </is>
      </c>
      <c r="E812" s="5" t="inlineStr">
        <is>
          <t>Negativo</t>
        </is>
      </c>
      <c r="F812" s="107" t="n">
        <v>45230</v>
      </c>
      <c r="G812" s="5" t="n">
        <v>2023</v>
      </c>
      <c r="H812" s="5" t="inlineStr">
        <is>
          <t>Octubre</t>
        </is>
      </c>
      <c r="I812" s="6" t="inlineStr">
        <is>
          <t>2023-2</t>
        </is>
      </c>
      <c r="J812" s="5" t="n">
        <v>7500</v>
      </c>
      <c r="K812" s="9" t="n">
        <v>6165.24</v>
      </c>
      <c r="L812" s="14">
        <f>IFERROR(IF(OR(J812=0,K812=""),"",IF(E812="Positivo",MIN(MAX(K812/J812,0),1.3),MIN(MAX(J812/K812,0),1.3))),"") </f>
        <v/>
      </c>
      <c r="M812" s="14">
        <f>IFERROR(IF(OR(J812=0,K812=""),"",IF(E812="Positivo",MAX(K812/J812,0),MAX(J812/K812,0))),"") </f>
        <v/>
      </c>
      <c r="N812" s="5" t="inlineStr">
        <is>
          <t>Linea Base</t>
        </is>
      </c>
      <c r="O812" s="5" t="inlineStr">
        <is>
          <t>Kg</t>
        </is>
      </c>
      <c r="P812" s="15" t="n">
        <v>0</v>
      </c>
      <c r="Q812" s="15" t="n">
        <v>0</v>
      </c>
      <c r="R812" s="5" t="inlineStr">
        <is>
          <t>214-2023-10-31</t>
        </is>
      </c>
    </row>
    <row r="813">
      <c r="A813" s="21" t="n">
        <v>214</v>
      </c>
      <c r="B813" s="5" t="inlineStr">
        <is>
          <t>Generación de Residuos Sólidos Mensual</t>
        </is>
      </c>
      <c r="C813" s="5" t="inlineStr">
        <is>
          <t>GESTIÓN AMBIENTAL</t>
        </is>
      </c>
      <c r="D813" s="5" t="inlineStr">
        <is>
          <t>Mensual</t>
        </is>
      </c>
      <c r="E813" s="5" t="inlineStr">
        <is>
          <t>Negativo</t>
        </is>
      </c>
      <c r="F813" s="106" t="n">
        <v>45260</v>
      </c>
      <c r="G813" s="5" t="n">
        <v>2023</v>
      </c>
      <c r="H813" s="5" t="inlineStr">
        <is>
          <t>Noviembre</t>
        </is>
      </c>
      <c r="I813" s="6" t="inlineStr">
        <is>
          <t>2023-2</t>
        </is>
      </c>
      <c r="J813" s="5" t="n">
        <v>7500</v>
      </c>
      <c r="K813" s="9" t="n">
        <v>6186.4</v>
      </c>
      <c r="L813" s="14">
        <f>IFERROR(IF(OR(J813=0,K813=""),"",IF(E813="Positivo",MIN(MAX(K813/J813,0),1.3),MIN(MAX(J813/K813,0),1.3))),"") </f>
        <v/>
      </c>
      <c r="M813" s="14">
        <f>IFERROR(IF(OR(J813=0,K813=""),"",IF(E813="Positivo",MAX(K813/J813,0),MAX(J813/K813,0))),"") </f>
        <v/>
      </c>
      <c r="N813" s="5" t="inlineStr">
        <is>
          <t>Linea Base</t>
        </is>
      </c>
      <c r="O813" s="5" t="inlineStr">
        <is>
          <t>Kg</t>
        </is>
      </c>
      <c r="P813" s="15" t="n">
        <v>0</v>
      </c>
      <c r="Q813" s="15" t="n">
        <v>0</v>
      </c>
      <c r="R813" s="5" t="inlineStr">
        <is>
          <t>214-2023-11-30</t>
        </is>
      </c>
    </row>
    <row r="814">
      <c r="A814" s="21" t="n">
        <v>214</v>
      </c>
      <c r="B814" s="5" t="inlineStr">
        <is>
          <t>Generación de Residuos Sólidos Mensual</t>
        </is>
      </c>
      <c r="C814" s="5" t="inlineStr">
        <is>
          <t>GESTIÓN AMBIENTAL</t>
        </is>
      </c>
      <c r="D814" s="5" t="inlineStr">
        <is>
          <t>Mensual</t>
        </is>
      </c>
      <c r="E814" s="5" t="inlineStr">
        <is>
          <t>Negativo</t>
        </is>
      </c>
      <c r="F814" s="107" t="n">
        <v>45291</v>
      </c>
      <c r="G814" s="5" t="n">
        <v>2023</v>
      </c>
      <c r="H814" s="5" t="inlineStr">
        <is>
          <t>Diciembre</t>
        </is>
      </c>
      <c r="I814" s="6" t="inlineStr">
        <is>
          <t>2023-2</t>
        </is>
      </c>
      <c r="J814" s="5" t="n">
        <v>7500</v>
      </c>
      <c r="K814" s="10" t="n">
        <v>2129.59</v>
      </c>
      <c r="L814" s="14">
        <f>IFERROR(IF(OR(J814=0,K814=""),"",IF(E814="Positivo",MIN(MAX(K814/J814,0),1.3),MIN(MAX(J814/K814,0),1.3))),"") </f>
        <v/>
      </c>
      <c r="M814" s="14">
        <f>IFERROR(IF(OR(J814=0,K814=""),"",IF(E814="Positivo",MAX(K814/J814,0),MAX(J814/K814,0))),"") </f>
        <v/>
      </c>
      <c r="N814" s="5" t="inlineStr">
        <is>
          <t>Linea Base</t>
        </is>
      </c>
      <c r="O814" s="5" t="inlineStr">
        <is>
          <t>Kg</t>
        </is>
      </c>
      <c r="P814" s="15" t="n">
        <v>0</v>
      </c>
      <c r="Q814" s="15" t="n">
        <v>0</v>
      </c>
      <c r="R814" s="5" t="inlineStr">
        <is>
          <t>214-2023-12-31</t>
        </is>
      </c>
    </row>
    <row r="815">
      <c r="A815" s="21" t="n">
        <v>214</v>
      </c>
      <c r="B815" s="5" t="inlineStr">
        <is>
          <t>Generación de Residuos Sólidos Mensual</t>
        </is>
      </c>
      <c r="C815" s="5" t="inlineStr">
        <is>
          <t>GESTIÓN AMBIENTAL</t>
        </is>
      </c>
      <c r="D815" s="5" t="inlineStr">
        <is>
          <t>Mensual</t>
        </is>
      </c>
      <c r="E815" s="5" t="inlineStr">
        <is>
          <t>Negativo</t>
        </is>
      </c>
      <c r="F815" s="106" t="n">
        <v>45322</v>
      </c>
      <c r="G815" s="5" t="n">
        <v>2024</v>
      </c>
      <c r="H815" s="5" t="inlineStr">
        <is>
          <t>Enero</t>
        </is>
      </c>
      <c r="I815" s="6" t="inlineStr">
        <is>
          <t>2024-1</t>
        </is>
      </c>
      <c r="J815" s="5" t="n">
        <v>7500</v>
      </c>
      <c r="K815" s="9" t="n">
        <v>3375.7</v>
      </c>
      <c r="L815" s="14">
        <f>IFERROR(IF(OR(J815=0,K815=""),"",IF(E815="Positivo",MIN(MAX(K815/J815,0),1.3),MIN(MAX(J815/K815,0),1.3))),"") </f>
        <v/>
      </c>
      <c r="M815" s="14">
        <f>IFERROR(IF(OR(J815=0,K815=""),"",IF(E815="Positivo",MAX(K815/J815,0),MAX(J815/K815,0))),"") </f>
        <v/>
      </c>
      <c r="N815" s="5" t="inlineStr">
        <is>
          <t>Kg</t>
        </is>
      </c>
      <c r="O815" s="5" t="inlineStr">
        <is>
          <t>Kg</t>
        </is>
      </c>
      <c r="P815" s="15" t="n">
        <v>0</v>
      </c>
      <c r="Q815" s="15" t="n">
        <v>0</v>
      </c>
      <c r="R815" s="5" t="inlineStr">
        <is>
          <t>214-2024-01-31</t>
        </is>
      </c>
    </row>
    <row r="816">
      <c r="A816" s="26" t="n">
        <v>214</v>
      </c>
      <c r="B816" s="5" t="inlineStr">
        <is>
          <t>Generación de Residuos Sólidos Mensual</t>
        </is>
      </c>
      <c r="C816" s="5" t="inlineStr">
        <is>
          <t>GESTIÓN AMBIENTAL</t>
        </is>
      </c>
      <c r="D816" s="5" t="inlineStr">
        <is>
          <t>Mensual</t>
        </is>
      </c>
      <c r="E816" s="5" t="inlineStr">
        <is>
          <t>Negativo</t>
        </is>
      </c>
      <c r="F816" s="107" t="n">
        <v>45351</v>
      </c>
      <c r="G816" s="5" t="n">
        <v>2024</v>
      </c>
      <c r="H816" s="5" t="inlineStr">
        <is>
          <t>Febrero</t>
        </is>
      </c>
      <c r="I816" s="6" t="inlineStr">
        <is>
          <t>2024-1</t>
        </is>
      </c>
      <c r="J816" s="5" t="n">
        <v>7500</v>
      </c>
      <c r="K816" s="9" t="n">
        <v>6138.9</v>
      </c>
      <c r="L816" s="14">
        <f>IFERROR(IF(OR(J816=0,K816=""),"",IF(E816="Positivo",MIN(MAX(K816/J816,0),1.3),MIN(MAX(J816/K816,0),1.3))),"") </f>
        <v/>
      </c>
      <c r="M816" s="14">
        <f>IFERROR(IF(OR(J816=0,K816=""),"",IF(E816="Positivo",MAX(K816/J816,0),MAX(J816/K816,0))),"") </f>
        <v/>
      </c>
      <c r="N816" s="5" t="inlineStr">
        <is>
          <t>Kg</t>
        </is>
      </c>
      <c r="O816" s="5" t="inlineStr">
        <is>
          <t>Kg</t>
        </is>
      </c>
      <c r="P816" s="15" t="n">
        <v>0</v>
      </c>
      <c r="Q816" s="15" t="n">
        <v>0</v>
      </c>
      <c r="R816" s="5" t="inlineStr">
        <is>
          <t>214-2024-02-29</t>
        </is>
      </c>
    </row>
    <row r="817">
      <c r="A817" s="21" t="n">
        <v>214</v>
      </c>
      <c r="B817" s="5" t="inlineStr">
        <is>
          <t>Generación de Residuos Sólidos Mensual</t>
        </is>
      </c>
      <c r="C817" s="5" t="inlineStr">
        <is>
          <t>GESTIÓN AMBIENTAL</t>
        </is>
      </c>
      <c r="D817" s="5" t="inlineStr">
        <is>
          <t>Mensual</t>
        </is>
      </c>
      <c r="E817" s="5" t="inlineStr">
        <is>
          <t>Negativo</t>
        </is>
      </c>
      <c r="F817" s="106" t="n">
        <v>45382</v>
      </c>
      <c r="G817" s="5" t="n">
        <v>2024</v>
      </c>
      <c r="H817" s="5" t="inlineStr">
        <is>
          <t>Marzo</t>
        </is>
      </c>
      <c r="I817" s="6" t="inlineStr">
        <is>
          <t>2024-1</t>
        </is>
      </c>
      <c r="J817" s="5" t="n">
        <v>7500</v>
      </c>
      <c r="K817" s="9" t="n">
        <v>5548.44</v>
      </c>
      <c r="L817" s="14">
        <f>IFERROR(IF(OR(J817=0,K817=""),"",IF(E817="Positivo",MIN(MAX(K817/J817,0),1.3),MIN(MAX(J817/K817,0),1.3))),"") </f>
        <v/>
      </c>
      <c r="M817" s="14">
        <f>IFERROR(IF(OR(J817=0,K817=""),"",IF(E817="Positivo",MAX(K817/J817,0),MAX(J817/K817,0))),"") </f>
        <v/>
      </c>
      <c r="N817" s="5" t="inlineStr">
        <is>
          <t>Kg</t>
        </is>
      </c>
      <c r="O817" s="5" t="inlineStr">
        <is>
          <t>Kg</t>
        </is>
      </c>
      <c r="P817" s="15" t="n">
        <v>0</v>
      </c>
      <c r="Q817" s="15" t="n">
        <v>0</v>
      </c>
      <c r="R817" s="5" t="inlineStr">
        <is>
          <t>214-2024-03-31</t>
        </is>
      </c>
    </row>
    <row r="818">
      <c r="A818" s="21" t="n">
        <v>214</v>
      </c>
      <c r="B818" s="5" t="inlineStr">
        <is>
          <t>Generación de Residuos Sólidos Mensual</t>
        </is>
      </c>
      <c r="C818" s="5" t="inlineStr">
        <is>
          <t>GESTIÓN AMBIENTAL</t>
        </is>
      </c>
      <c r="D818" s="5" t="inlineStr">
        <is>
          <t>Mensual</t>
        </is>
      </c>
      <c r="E818" s="5" t="inlineStr">
        <is>
          <t>Negativo</t>
        </is>
      </c>
      <c r="F818" s="107" t="n">
        <v>45412</v>
      </c>
      <c r="G818" s="5" t="n">
        <v>2024</v>
      </c>
      <c r="H818" s="5" t="inlineStr">
        <is>
          <t>Abril</t>
        </is>
      </c>
      <c r="I818" s="6" t="inlineStr">
        <is>
          <t>2024-1</t>
        </is>
      </c>
      <c r="J818" s="5" t="n">
        <v>7500</v>
      </c>
      <c r="K818" s="10" t="n">
        <v>7543.48</v>
      </c>
      <c r="L818" s="14">
        <f>IFERROR(IF(OR(J818=0,K818=""),"",IF(E818="Positivo",MIN(MAX(K818/J818,0),1.3),MIN(MAX(J818/K818,0),1.3))),"") </f>
        <v/>
      </c>
      <c r="M818" s="14">
        <f>IFERROR(IF(OR(J818=0,K818=""),"",IF(E818="Positivo",MAX(K818/J818,0),MAX(J818/K818,0))),"") </f>
        <v/>
      </c>
      <c r="N818" s="5" t="inlineStr">
        <is>
          <t>Kg</t>
        </is>
      </c>
      <c r="O818" s="5" t="inlineStr">
        <is>
          <t>Kg</t>
        </is>
      </c>
      <c r="P818" s="15" t="n">
        <v>0</v>
      </c>
      <c r="Q818" s="15" t="n">
        <v>0</v>
      </c>
      <c r="R818" s="5" t="inlineStr">
        <is>
          <t>214-2024-04-30</t>
        </is>
      </c>
    </row>
    <row r="819">
      <c r="A819" s="21" t="n">
        <v>214</v>
      </c>
      <c r="B819" s="5" t="inlineStr">
        <is>
          <t>Generación de Residuos Sólidos Mensual</t>
        </is>
      </c>
      <c r="C819" s="5" t="inlineStr">
        <is>
          <t>GESTIÓN AMBIENTAL</t>
        </is>
      </c>
      <c r="D819" s="5" t="inlineStr">
        <is>
          <t>Mensual</t>
        </is>
      </c>
      <c r="E819" s="5" t="inlineStr">
        <is>
          <t>Negativo</t>
        </is>
      </c>
      <c r="F819" s="106" t="n">
        <v>45443</v>
      </c>
      <c r="G819" s="5" t="n">
        <v>2024</v>
      </c>
      <c r="H819" s="5" t="inlineStr">
        <is>
          <t>Mayo</t>
        </is>
      </c>
      <c r="I819" s="6" t="inlineStr">
        <is>
          <t>2024-1</t>
        </is>
      </c>
      <c r="J819" s="5" t="n">
        <v>7500</v>
      </c>
      <c r="K819" s="9" t="n">
        <v>7006.34</v>
      </c>
      <c r="L819" s="14">
        <f>IFERROR(IF(OR(J819=0,K819=""),"",IF(E819="Positivo",MIN(MAX(K819/J819,0),1.3),MIN(MAX(J819/K819,0),1.3))),"") </f>
        <v/>
      </c>
      <c r="M819" s="14">
        <f>IFERROR(IF(OR(J819=0,K819=""),"",IF(E819="Positivo",MAX(K819/J819,0),MAX(J819/K819,0))),"") </f>
        <v/>
      </c>
      <c r="N819" s="5" t="inlineStr">
        <is>
          <t>Kg</t>
        </is>
      </c>
      <c r="O819" s="5" t="inlineStr">
        <is>
          <t>Kg</t>
        </is>
      </c>
      <c r="P819" s="15" t="n">
        <v>0</v>
      </c>
      <c r="Q819" s="15" t="n">
        <v>0</v>
      </c>
      <c r="R819" s="5" t="inlineStr">
        <is>
          <t>214-2024-05-31</t>
        </is>
      </c>
    </row>
    <row r="820">
      <c r="A820" s="26" t="n">
        <v>214</v>
      </c>
      <c r="B820" s="5" t="inlineStr">
        <is>
          <t>Generación de Residuos Sólidos Mensual</t>
        </is>
      </c>
      <c r="C820" s="5" t="inlineStr">
        <is>
          <t>GESTIÓN AMBIENTAL</t>
        </is>
      </c>
      <c r="D820" s="5" t="inlineStr">
        <is>
          <t>Mensual</t>
        </is>
      </c>
      <c r="E820" s="5" t="inlineStr">
        <is>
          <t>Negativo</t>
        </is>
      </c>
      <c r="F820" s="107" t="n">
        <v>45473</v>
      </c>
      <c r="G820" s="5" t="n">
        <v>2024</v>
      </c>
      <c r="H820" s="5" t="inlineStr">
        <is>
          <t>Junio</t>
        </is>
      </c>
      <c r="I820" s="6" t="inlineStr">
        <is>
          <t>2024-1</t>
        </is>
      </c>
      <c r="J820" s="5" t="n">
        <v>7500</v>
      </c>
      <c r="K820" s="9" t="n">
        <v>3200.05</v>
      </c>
      <c r="L820" s="14">
        <f>IFERROR(IF(OR(J820=0,K820=""),"",IF(E820="Positivo",MIN(MAX(K820/J820,0),1.3),MIN(MAX(J820/K820,0),1.3))),"") </f>
        <v/>
      </c>
      <c r="M820" s="14">
        <f>IFERROR(IF(OR(J820=0,K820=""),"",IF(E820="Positivo",MAX(K820/J820,0),MAX(J820/K820,0))),"") </f>
        <v/>
      </c>
      <c r="N820" s="5" t="inlineStr">
        <is>
          <t>Kg</t>
        </is>
      </c>
      <c r="O820" s="5" t="inlineStr">
        <is>
          <t>Kg</t>
        </is>
      </c>
      <c r="P820" s="15" t="n">
        <v>0</v>
      </c>
      <c r="Q820" s="15" t="n">
        <v>0</v>
      </c>
      <c r="R820" s="5" t="inlineStr">
        <is>
          <t>214-2024-06-30</t>
        </is>
      </c>
    </row>
    <row r="821">
      <c r="A821" s="5" t="n">
        <v>214</v>
      </c>
      <c r="B821" s="5" t="inlineStr">
        <is>
          <t>Generación de Residuos Sólidos Mensual</t>
        </is>
      </c>
      <c r="C821" s="5" t="inlineStr">
        <is>
          <t>GESTIÓN AMBIENTAL</t>
        </is>
      </c>
      <c r="D821" s="5" t="inlineStr">
        <is>
          <t>Mensual</t>
        </is>
      </c>
      <c r="E821" s="5" t="inlineStr">
        <is>
          <t>Negativo</t>
        </is>
      </c>
      <c r="F821" s="107" t="n">
        <v>45504</v>
      </c>
      <c r="G821" s="5" t="n">
        <v>2024</v>
      </c>
      <c r="H821" s="5" t="inlineStr">
        <is>
          <t>Julio</t>
        </is>
      </c>
      <c r="I821" s="6" t="inlineStr">
        <is>
          <t>2024-2</t>
        </is>
      </c>
      <c r="J821" s="5" t="n">
        <v>7500</v>
      </c>
      <c r="K821" s="5" t="n">
        <v>2567.429992675781</v>
      </c>
      <c r="L821" s="14">
        <f>IFERROR(IF(OR(J821=0,K821=""),"",IF(E821="Positivo",MIN(MAX(K821/J821,0),1.3),MIN(MAX(J821/K821,0),1.3))),"") </f>
        <v/>
      </c>
      <c r="M821" s="14">
        <f>IFERROR(IF(OR(J821=0,K821=""),"",IF(E821="Positivo",MAX(K821/J821,0),MAX(J821/K821,0))),"") </f>
        <v/>
      </c>
      <c r="N821" s="5" t="inlineStr">
        <is>
          <t>Kg</t>
        </is>
      </c>
      <c r="O821" s="5" t="inlineStr">
        <is>
          <t>Kg</t>
        </is>
      </c>
      <c r="P821" s="5" t="n">
        <v>0</v>
      </c>
      <c r="Q821" s="5" t="n">
        <v>0</v>
      </c>
      <c r="R821" s="5" t="inlineStr">
        <is>
          <t>214-2024-07-31</t>
        </is>
      </c>
    </row>
    <row r="822">
      <c r="A822" s="21" t="n">
        <v>214</v>
      </c>
      <c r="B822" s="5" t="inlineStr">
        <is>
          <t>Generación de Residuos Sólidos Mensual</t>
        </is>
      </c>
      <c r="C822" s="5" t="inlineStr">
        <is>
          <t>GESTIÓN AMBIENTAL</t>
        </is>
      </c>
      <c r="D822" s="5" t="inlineStr">
        <is>
          <t>Mensual</t>
        </is>
      </c>
      <c r="E822" s="5" t="inlineStr">
        <is>
          <t>Negativo</t>
        </is>
      </c>
      <c r="F822" s="107" t="n">
        <v>45535</v>
      </c>
      <c r="G822" s="5" t="n">
        <v>2024</v>
      </c>
      <c r="H822" s="5" t="inlineStr">
        <is>
          <t>Agosto</t>
        </is>
      </c>
      <c r="I822" s="6" t="inlineStr">
        <is>
          <t>2024-2</t>
        </is>
      </c>
      <c r="J822" s="5" t="n">
        <v>7500</v>
      </c>
      <c r="K822" s="10" t="n">
        <v>5591.600022315979</v>
      </c>
      <c r="L822" s="14">
        <f>IFERROR(IF(OR(J822=0,K822=""),"",IF(E822="Positivo",MIN(MAX(K822/J822,0),1.3),MIN(MAX(J822/K822,0),1.3))),"") </f>
        <v/>
      </c>
      <c r="M822" s="14">
        <f>IFERROR(IF(OR(J822=0,K822=""),"",IF(E822="Positivo",MAX(K822/J822,0),MAX(J822/K822,0))),"") </f>
        <v/>
      </c>
      <c r="N822" s="5" t="inlineStr">
        <is>
          <t>Kg</t>
        </is>
      </c>
      <c r="O822" s="5" t="inlineStr">
        <is>
          <t>Kg</t>
        </is>
      </c>
      <c r="P822" s="15" t="n">
        <v>0</v>
      </c>
      <c r="Q822" s="15" t="n">
        <v>0</v>
      </c>
      <c r="R822" s="5" t="inlineStr">
        <is>
          <t>214-2024-08-31</t>
        </is>
      </c>
    </row>
    <row r="823">
      <c r="A823" s="21" t="n">
        <v>214</v>
      </c>
      <c r="B823" s="5" t="inlineStr">
        <is>
          <t>Generación de Residuos Sólidos Mensual</t>
        </is>
      </c>
      <c r="C823" s="5" t="inlineStr">
        <is>
          <t>GESTIÓN AMBIENTAL</t>
        </is>
      </c>
      <c r="D823" s="5" t="inlineStr">
        <is>
          <t>Mensual</t>
        </is>
      </c>
      <c r="E823" s="5" t="inlineStr">
        <is>
          <t>Negativo</t>
        </is>
      </c>
      <c r="F823" s="106" t="n">
        <v>45565</v>
      </c>
      <c r="G823" s="5" t="n">
        <v>2024</v>
      </c>
      <c r="H823" s="5" t="inlineStr">
        <is>
          <t>Septiembre</t>
        </is>
      </c>
      <c r="I823" s="6" t="inlineStr">
        <is>
          <t>2024-2</t>
        </is>
      </c>
      <c r="J823" s="5" t="n">
        <v>7500</v>
      </c>
      <c r="K823" s="9" t="n">
        <v>5132.759970664978</v>
      </c>
      <c r="L823" s="14">
        <f>IFERROR(IF(OR(J823=0,K823=""),"",IF(E823="Positivo",MIN(MAX(K823/J823,0),1.3),MIN(MAX(J823/K823,0),1.3))),"") </f>
        <v/>
      </c>
      <c r="M823" s="14">
        <f>IFERROR(IF(OR(J823=0,K823=""),"",IF(E823="Positivo",MAX(K823/J823,0),MAX(J823/K823,0))),"") </f>
        <v/>
      </c>
      <c r="N823" s="5" t="inlineStr">
        <is>
          <t>Kg</t>
        </is>
      </c>
      <c r="O823" s="5" t="inlineStr">
        <is>
          <t>Kg</t>
        </is>
      </c>
      <c r="P823" s="15" t="n">
        <v>0</v>
      </c>
      <c r="Q823" s="15" t="n">
        <v>0</v>
      </c>
      <c r="R823" s="5" t="inlineStr">
        <is>
          <t>214-2024-09-30</t>
        </is>
      </c>
    </row>
    <row r="824">
      <c r="A824" s="21" t="n">
        <v>214</v>
      </c>
      <c r="B824" s="5" t="inlineStr">
        <is>
          <t>Generación de Residuos Sólidos Mensual</t>
        </is>
      </c>
      <c r="C824" s="5" t="inlineStr">
        <is>
          <t>GESTIÓN AMBIENTAL</t>
        </is>
      </c>
      <c r="D824" s="5" t="inlineStr">
        <is>
          <t>Mensual</t>
        </is>
      </c>
      <c r="E824" s="5" t="inlineStr">
        <is>
          <t>Negativo</t>
        </is>
      </c>
      <c r="F824" s="106" t="n">
        <v>45596</v>
      </c>
      <c r="G824" s="5" t="n">
        <v>2024</v>
      </c>
      <c r="H824" s="5" t="inlineStr">
        <is>
          <t>Octubre</t>
        </is>
      </c>
      <c r="I824" s="6" t="inlineStr">
        <is>
          <t>2024-2</t>
        </is>
      </c>
      <c r="J824" s="5" t="n">
        <v>7500</v>
      </c>
      <c r="K824" s="9" t="n">
        <v>5403.060033798218</v>
      </c>
      <c r="L824" s="14">
        <f>IFERROR(IF(OR(J824=0,K824=""),"",IF(E824="Positivo",MIN(MAX(K824/J824,0),1.3),MIN(MAX(J824/K824,0),1.3))),"") </f>
        <v/>
      </c>
      <c r="M824" s="14">
        <f>IFERROR(IF(OR(J824=0,K824=""),"",IF(E824="Positivo",MAX(K824/J824,0),MAX(J824/K824,0))),"") </f>
        <v/>
      </c>
      <c r="N824" s="5" t="inlineStr">
        <is>
          <t>Kg</t>
        </is>
      </c>
      <c r="O824" s="5" t="inlineStr">
        <is>
          <t>Kg</t>
        </is>
      </c>
      <c r="P824" s="15" t="n">
        <v>0</v>
      </c>
      <c r="Q824" s="15" t="n">
        <v>0</v>
      </c>
      <c r="R824" s="5" t="inlineStr">
        <is>
          <t>214-2024-10-31</t>
        </is>
      </c>
    </row>
    <row r="825">
      <c r="A825" s="21" t="n">
        <v>214</v>
      </c>
      <c r="B825" s="5" t="inlineStr">
        <is>
          <t>Generación de Residuos Sólidos Mensual</t>
        </is>
      </c>
      <c r="C825" s="5" t="inlineStr">
        <is>
          <t>GESTIÓN AMBIENTAL</t>
        </is>
      </c>
      <c r="D825" s="5" t="inlineStr">
        <is>
          <t>Mensual</t>
        </is>
      </c>
      <c r="E825" s="5" t="inlineStr">
        <is>
          <t>Negativo</t>
        </is>
      </c>
      <c r="F825" s="106" t="n">
        <v>45626</v>
      </c>
      <c r="G825" s="5" t="n">
        <v>2024</v>
      </c>
      <c r="H825" s="5" t="inlineStr">
        <is>
          <t>Noviembre</t>
        </is>
      </c>
      <c r="I825" s="6" t="inlineStr">
        <is>
          <t>2024-2</t>
        </is>
      </c>
      <c r="J825" s="5" t="n">
        <v>7500</v>
      </c>
      <c r="K825" s="9" t="n">
        <v>4790.710048675537</v>
      </c>
      <c r="L825" s="14">
        <f>IFERROR(IF(OR(J825=0,K825=""),"",IF(E825="Positivo",MIN(MAX(K825/J825,0),1.3),MIN(MAX(J825/K825,0),1.3))),"") </f>
        <v/>
      </c>
      <c r="M825" s="14">
        <f>IFERROR(IF(OR(J825=0,K825=""),"",IF(E825="Positivo",MAX(K825/J825,0),MAX(J825/K825,0))),"") </f>
        <v/>
      </c>
      <c r="N825" s="5" t="inlineStr">
        <is>
          <t>Kg</t>
        </is>
      </c>
      <c r="O825" s="5" t="inlineStr">
        <is>
          <t>Kg</t>
        </is>
      </c>
      <c r="P825" s="15" t="n">
        <v>0</v>
      </c>
      <c r="Q825" s="15" t="n">
        <v>0</v>
      </c>
      <c r="R825" s="5" t="inlineStr">
        <is>
          <t>214-2024-11-30</t>
        </is>
      </c>
    </row>
    <row r="826">
      <c r="A826" s="26" t="n">
        <v>214</v>
      </c>
      <c r="B826" s="5" t="inlineStr">
        <is>
          <t>Generación de Residuos Sólidos Mensual</t>
        </is>
      </c>
      <c r="C826" s="5" t="inlineStr">
        <is>
          <t>GESTIÓN AMBIENTAL</t>
        </is>
      </c>
      <c r="D826" s="5" t="inlineStr">
        <is>
          <t>Mensual</t>
        </is>
      </c>
      <c r="E826" s="5" t="inlineStr">
        <is>
          <t>Negativo</t>
        </is>
      </c>
      <c r="F826" s="107" t="n">
        <v>45657</v>
      </c>
      <c r="G826" s="5" t="n">
        <v>2024</v>
      </c>
      <c r="H826" s="5" t="inlineStr">
        <is>
          <t>Diciembre</t>
        </is>
      </c>
      <c r="I826" s="6" t="inlineStr">
        <is>
          <t>2024-2</t>
        </is>
      </c>
      <c r="J826" s="5" t="n">
        <v>7500</v>
      </c>
      <c r="K826" s="9" t="n">
        <v>1490.200012207031</v>
      </c>
      <c r="L826" s="14">
        <f>IFERROR(IF(OR(J826=0,K826=""),"",IF(E826="Positivo",MIN(MAX(K826/J826,0),1.3),MIN(MAX(J826/K826,0),1.3))),"") </f>
        <v/>
      </c>
      <c r="M826" s="14">
        <f>IFERROR(IF(OR(J826=0,K826=""),"",IF(E826="Positivo",MAX(K826/J826,0),MAX(J826/K826,0))),"") </f>
        <v/>
      </c>
      <c r="N826" s="5" t="inlineStr">
        <is>
          <t>Kg</t>
        </is>
      </c>
      <c r="O826" s="5" t="inlineStr">
        <is>
          <t>Kg</t>
        </is>
      </c>
      <c r="P826" s="15" t="n">
        <v>0</v>
      </c>
      <c r="Q826" s="15" t="n">
        <v>0</v>
      </c>
      <c r="R826" s="5" t="inlineStr">
        <is>
          <t>214-2024-12-31</t>
        </is>
      </c>
    </row>
    <row r="827">
      <c r="A827" s="21" t="n">
        <v>214</v>
      </c>
      <c r="B827" s="5" t="inlineStr">
        <is>
          <t>Generación de Residuos Sólidos Mensual</t>
        </is>
      </c>
      <c r="C827" s="5" t="inlineStr">
        <is>
          <t>GESTIÓN AMBIENTAL</t>
        </is>
      </c>
      <c r="D827" s="5" t="inlineStr">
        <is>
          <t>Mensual</t>
        </is>
      </c>
      <c r="E827" s="5" t="inlineStr">
        <is>
          <t>Negativo</t>
        </is>
      </c>
      <c r="F827" s="106" t="n">
        <v>45688</v>
      </c>
      <c r="G827" s="5" t="n">
        <v>2025</v>
      </c>
      <c r="H827" s="5" t="inlineStr">
        <is>
          <t>Enero</t>
        </is>
      </c>
      <c r="I827" s="6" t="inlineStr">
        <is>
          <t>2025-1</t>
        </is>
      </c>
      <c r="J827" s="11" t="n">
        <v>7500</v>
      </c>
      <c r="K827" s="9" t="n">
        <v>2054.76</v>
      </c>
      <c r="L827" s="14">
        <f>IFERROR(IF(OR(J827=0,K827=""),"",IF(E827="Positivo",MIN(MAX(K827/J827,0),1.3),MIN(MAX(J827/K827,0),1.3))),"") </f>
        <v/>
      </c>
      <c r="M827" s="14">
        <f>IFERROR(IF(OR(J827=0,K827=""),"",IF(E827="Positivo",MAX(K827/J827,0),MAX(J827/K827,0))),"") </f>
        <v/>
      </c>
      <c r="N827" s="11" t="inlineStr">
        <is>
          <t>Kg</t>
        </is>
      </c>
      <c r="O827" s="11" t="inlineStr">
        <is>
          <t>Kg</t>
        </is>
      </c>
      <c r="P827" s="15" t="n">
        <v>0</v>
      </c>
      <c r="Q827" s="15" t="n">
        <v>0</v>
      </c>
      <c r="R827" s="5" t="inlineStr">
        <is>
          <t>214-2025-01-31</t>
        </is>
      </c>
    </row>
    <row r="828">
      <c r="A828" s="26" t="n">
        <v>214</v>
      </c>
      <c r="B828" s="5" t="inlineStr">
        <is>
          <t>Generación de Residuos Sólidos Mensual</t>
        </is>
      </c>
      <c r="C828" s="5" t="inlineStr">
        <is>
          <t>GESTIÓN AMBIENTAL</t>
        </is>
      </c>
      <c r="D828" s="5" t="inlineStr">
        <is>
          <t>Mensual</t>
        </is>
      </c>
      <c r="E828" s="5" t="inlineStr">
        <is>
          <t>Negativo</t>
        </is>
      </c>
      <c r="F828" s="107" t="n">
        <v>45716</v>
      </c>
      <c r="G828" s="5" t="n">
        <v>2025</v>
      </c>
      <c r="H828" s="5" t="inlineStr">
        <is>
          <t>Febrero</t>
        </is>
      </c>
      <c r="I828" s="6" t="inlineStr">
        <is>
          <t>2025-1</t>
        </is>
      </c>
      <c r="J828" s="11" t="n">
        <v>7500</v>
      </c>
      <c r="K828" s="9" t="n">
        <v>5016.83</v>
      </c>
      <c r="L828" s="14">
        <f>IFERROR(IF(OR(J828=0,K828=""),"",IF(E828="Positivo",MIN(MAX(K828/J828,0),1.3),MIN(MAX(J828/K828,0),1.3))),"") </f>
        <v/>
      </c>
      <c r="M828" s="14">
        <f>IFERROR(IF(OR(J828=0,K828=""),"",IF(E828="Positivo",MAX(K828/J828,0),MAX(J828/K828,0))),"") </f>
        <v/>
      </c>
      <c r="N828" s="11" t="inlineStr">
        <is>
          <t>Kg</t>
        </is>
      </c>
      <c r="O828" s="11" t="inlineStr">
        <is>
          <t>Kg</t>
        </is>
      </c>
      <c r="P828" s="15" t="n">
        <v>0</v>
      </c>
      <c r="Q828" s="15" t="n">
        <v>0</v>
      </c>
      <c r="R828" s="5" t="inlineStr">
        <is>
          <t>214-2025-02-28</t>
        </is>
      </c>
    </row>
    <row r="829">
      <c r="A829" s="5" t="n">
        <v>214</v>
      </c>
      <c r="B829" s="5" t="inlineStr">
        <is>
          <t>Generación de Residuos Sólidos Mensual</t>
        </is>
      </c>
      <c r="C829" s="5" t="inlineStr">
        <is>
          <t>GESTIÓN AMBIENTAL</t>
        </is>
      </c>
      <c r="D829" s="5" t="inlineStr">
        <is>
          <t>Mensual</t>
        </is>
      </c>
      <c r="E829" s="5" t="inlineStr">
        <is>
          <t>Negativo</t>
        </is>
      </c>
      <c r="F829" s="107" t="n">
        <v>45747</v>
      </c>
      <c r="G829" s="5" t="n">
        <v>2025</v>
      </c>
      <c r="H829" s="5" t="inlineStr">
        <is>
          <t>Marzo</t>
        </is>
      </c>
      <c r="I829" s="6" t="inlineStr">
        <is>
          <t>2025-1</t>
        </is>
      </c>
      <c r="J829" s="5" t="n">
        <v>7500</v>
      </c>
      <c r="K829" s="5" t="n">
        <v>6477.26</v>
      </c>
      <c r="L829" s="14">
        <f>IFERROR(IF(OR(J829=0,K829=""),"",IF(E829="Positivo",MIN(MAX(K829/J829,0),1.3),MIN(MAX(J829/K829,0),1.3))),"") </f>
        <v/>
      </c>
      <c r="M829" s="14">
        <f>IFERROR(IF(OR(J829=0,K829=""),"",IF(E829="Positivo",MAX(K829/J829,0),MAX(J829/K829,0))),"") </f>
        <v/>
      </c>
      <c r="N829" s="5" t="inlineStr">
        <is>
          <t>Kg</t>
        </is>
      </c>
      <c r="O829" s="5" t="inlineStr">
        <is>
          <t>Kg</t>
        </is>
      </c>
      <c r="P829" s="5" t="n">
        <v>0</v>
      </c>
      <c r="Q829" s="5" t="n">
        <v>0</v>
      </c>
      <c r="R829" s="5" t="inlineStr">
        <is>
          <t>214-2025-03-31</t>
        </is>
      </c>
    </row>
    <row r="830">
      <c r="A830" s="21" t="n">
        <v>214</v>
      </c>
      <c r="B830" s="5" t="inlineStr">
        <is>
          <t>Generación de Residuos Sólidos Mensual</t>
        </is>
      </c>
      <c r="C830" s="5" t="inlineStr">
        <is>
          <t>GESTIÓN AMBIENTAL</t>
        </is>
      </c>
      <c r="D830" s="5" t="inlineStr">
        <is>
          <t>Mensual</t>
        </is>
      </c>
      <c r="E830" s="5" t="inlineStr">
        <is>
          <t>Negativo</t>
        </is>
      </c>
      <c r="F830" s="107" t="n">
        <v>45777</v>
      </c>
      <c r="G830" s="5" t="n">
        <v>2025</v>
      </c>
      <c r="H830" s="5" t="inlineStr">
        <is>
          <t>Abril</t>
        </is>
      </c>
      <c r="I830" s="6" t="inlineStr">
        <is>
          <t>2025-1</t>
        </is>
      </c>
      <c r="J830" s="5" t="n">
        <v>7500</v>
      </c>
      <c r="K830" s="10" t="n">
        <v>5312.64</v>
      </c>
      <c r="L830" s="14">
        <f>IFERROR(IF(OR(J830=0,K830=""),"",IF(E830="Positivo",MIN(MAX(K830/J830,0),1.3),MIN(MAX(J830/K830,0),1.3))),"") </f>
        <v/>
      </c>
      <c r="M830" s="14">
        <f>IFERROR(IF(OR(J830=0,K830=""),"",IF(E830="Positivo",MAX(K830/J830,0),MAX(J830/K830,0))),"") </f>
        <v/>
      </c>
      <c r="N830" s="5" t="inlineStr">
        <is>
          <t>Kg</t>
        </is>
      </c>
      <c r="O830" s="5" t="inlineStr">
        <is>
          <t>Kg</t>
        </is>
      </c>
      <c r="P830" s="15" t="n">
        <v>0</v>
      </c>
      <c r="Q830" s="15" t="n">
        <v>0</v>
      </c>
      <c r="R830" s="5" t="inlineStr">
        <is>
          <t>214-2025-04-30</t>
        </is>
      </c>
    </row>
    <row r="831">
      <c r="A831" s="21" t="n">
        <v>214</v>
      </c>
      <c r="B831" s="5" t="inlineStr">
        <is>
          <t>Generación de Residuos Sólidos Mensual</t>
        </is>
      </c>
      <c r="C831" s="5" t="inlineStr">
        <is>
          <t>GESTIÓN AMBIENTAL</t>
        </is>
      </c>
      <c r="D831" s="5" t="inlineStr">
        <is>
          <t>Mensual</t>
        </is>
      </c>
      <c r="E831" s="5" t="inlineStr">
        <is>
          <t>Negativo</t>
        </is>
      </c>
      <c r="F831" s="106" t="n">
        <v>45808</v>
      </c>
      <c r="G831" s="5" t="n">
        <v>2025</v>
      </c>
      <c r="H831" s="5" t="inlineStr">
        <is>
          <t>Mayo</t>
        </is>
      </c>
      <c r="I831" s="6" t="inlineStr">
        <is>
          <t>2025-1</t>
        </is>
      </c>
      <c r="J831" s="5" t="n">
        <v>7500</v>
      </c>
      <c r="K831" s="9" t="n">
        <v>5499.51</v>
      </c>
      <c r="L831" s="14">
        <f>IFERROR(IF(OR(J831=0,K831=""),"",IF(E831="Positivo",MIN(MAX(K831/J831,0),1.3),MIN(MAX(J831/K831,0),1.3))),"") </f>
        <v/>
      </c>
      <c r="M831" s="14">
        <f>IFERROR(IF(OR(J831=0,K831=""),"",IF(E831="Positivo",MAX(K831/J831,0),MAX(J831/K831,0))),"") </f>
        <v/>
      </c>
      <c r="N831" s="5" t="inlineStr">
        <is>
          <t>Kg</t>
        </is>
      </c>
      <c r="O831" s="5" t="inlineStr">
        <is>
          <t>Kg</t>
        </is>
      </c>
      <c r="P831" s="15" t="n">
        <v>0</v>
      </c>
      <c r="Q831" s="15" t="n">
        <v>0</v>
      </c>
      <c r="R831" s="5" t="inlineStr">
        <is>
          <t>214-2025-05-31</t>
        </is>
      </c>
    </row>
    <row r="832">
      <c r="A832" s="26" t="n">
        <v>214</v>
      </c>
      <c r="B832" s="5" t="inlineStr">
        <is>
          <t>Generación de Residuos Sólidos Mensual</t>
        </is>
      </c>
      <c r="C832" s="5" t="inlineStr">
        <is>
          <t>GESTIÓN AMBIENTAL</t>
        </is>
      </c>
      <c r="D832" s="5" t="inlineStr">
        <is>
          <t>Mensual</t>
        </is>
      </c>
      <c r="E832" s="5" t="inlineStr">
        <is>
          <t>Negativo</t>
        </is>
      </c>
      <c r="F832" s="107" t="n">
        <v>45838</v>
      </c>
      <c r="G832" s="5" t="n">
        <v>2025</v>
      </c>
      <c r="H832" s="5" t="inlineStr">
        <is>
          <t>Junio</t>
        </is>
      </c>
      <c r="I832" s="6" t="inlineStr">
        <is>
          <t>2025-1</t>
        </is>
      </c>
      <c r="J832" s="5" t="n">
        <v>7500</v>
      </c>
      <c r="K832" s="9" t="n">
        <v>2630.16</v>
      </c>
      <c r="L832" s="14">
        <f>IFERROR(IF(OR(J832=0,K832=""),"",IF(E832="Positivo",MIN(MAX(K832/J832,0),1.3),MIN(MAX(J832/K832,0),1.3))),"") </f>
        <v/>
      </c>
      <c r="M832" s="14">
        <f>IFERROR(IF(OR(J832=0,K832=""),"",IF(E832="Positivo",MAX(K832/J832,0),MAX(J832/K832,0))),"") </f>
        <v/>
      </c>
      <c r="N832" s="5" t="inlineStr">
        <is>
          <t>Kg</t>
        </is>
      </c>
      <c r="O832" s="5" t="inlineStr">
        <is>
          <t>Kg</t>
        </is>
      </c>
      <c r="P832" s="15" t="n">
        <v>0</v>
      </c>
      <c r="Q832" s="15" t="n">
        <v>0</v>
      </c>
      <c r="R832" s="5" t="inlineStr">
        <is>
          <t>214-2025-06-30</t>
        </is>
      </c>
    </row>
    <row r="833">
      <c r="A833" s="5" t="n">
        <v>214</v>
      </c>
      <c r="B833" s="5" t="inlineStr">
        <is>
          <t>Generación de Residuos Sólidos Mensual</t>
        </is>
      </c>
      <c r="C833" s="5" t="inlineStr">
        <is>
          <t>GESTIÓN AMBIENTAL</t>
        </is>
      </c>
      <c r="D833" s="5" t="inlineStr">
        <is>
          <t>Mensual</t>
        </is>
      </c>
      <c r="E833" s="5" t="inlineStr">
        <is>
          <t>Negativo</t>
        </is>
      </c>
      <c r="F833" s="107" t="n">
        <v>45869</v>
      </c>
      <c r="G833" s="5" t="n">
        <v>2025</v>
      </c>
      <c r="H833" s="5" t="inlineStr">
        <is>
          <t>Julio</t>
        </is>
      </c>
      <c r="I833" s="6" t="inlineStr">
        <is>
          <t>2025-2</t>
        </is>
      </c>
      <c r="J833" s="5" t="n">
        <v>7500</v>
      </c>
      <c r="K833" s="5" t="n">
        <v>2456.83</v>
      </c>
      <c r="L833" s="14">
        <f>IFERROR(IF(OR(J833=0,K833=""),"",IF(E833="Positivo",MIN(MAX(K833/J833,0),1.3),MIN(MAX(J833/K833,0),1.3))),"") </f>
        <v/>
      </c>
      <c r="M833" s="14">
        <f>IFERROR(IF(OR(J833=0,K833=""),"",IF(E833="Positivo",MAX(K833/J833,0),MAX(J833/K833,0))),"") </f>
        <v/>
      </c>
      <c r="N833" s="5" t="inlineStr">
        <is>
          <t>Kg</t>
        </is>
      </c>
      <c r="O833" s="5" t="inlineStr">
        <is>
          <t>Kg</t>
        </is>
      </c>
      <c r="P833" s="5" t="n">
        <v>0</v>
      </c>
      <c r="Q833" s="5" t="n">
        <v>0</v>
      </c>
      <c r="R833" s="5" t="inlineStr">
        <is>
          <t>214-2025-07-31</t>
        </is>
      </c>
    </row>
    <row r="834">
      <c r="A834" s="21" t="n">
        <v>214</v>
      </c>
      <c r="B834" s="5" t="inlineStr">
        <is>
          <t>Generación de Residuos Sólidos Mensual</t>
        </is>
      </c>
      <c r="C834" s="5" t="inlineStr">
        <is>
          <t>GESTIÓN AMBIENTAL</t>
        </is>
      </c>
      <c r="D834" s="5" t="inlineStr">
        <is>
          <t>Mensual</t>
        </is>
      </c>
      <c r="E834" s="5" t="inlineStr">
        <is>
          <t>Negativo</t>
        </is>
      </c>
      <c r="F834" s="107" t="n">
        <v>45900</v>
      </c>
      <c r="G834" s="5" t="n">
        <v>2025</v>
      </c>
      <c r="H834" s="5" t="inlineStr">
        <is>
          <t>Agosto</t>
        </is>
      </c>
      <c r="I834" s="6" t="inlineStr">
        <is>
          <t>2025-2</t>
        </is>
      </c>
      <c r="J834" s="5" t="n">
        <v>7500</v>
      </c>
      <c r="K834" s="10" t="n">
        <v>5120.88</v>
      </c>
      <c r="L834" s="14">
        <f>IFERROR(IF(OR(J834=0,K834=""),"",IF(E834="Positivo",MIN(MAX(K834/J834,0),1.3),MIN(MAX(J834/K834,0),1.3))),"") </f>
        <v/>
      </c>
      <c r="M834" s="14">
        <f>IFERROR(IF(OR(J834=0,K834=""),"",IF(E834="Positivo",MAX(K834/J834,0),MAX(J834/K834,0))),"") </f>
        <v/>
      </c>
      <c r="N834" s="5" t="inlineStr">
        <is>
          <t>Kg</t>
        </is>
      </c>
      <c r="O834" s="5" t="inlineStr">
        <is>
          <t>Kg</t>
        </is>
      </c>
      <c r="P834" s="15" t="n">
        <v>0</v>
      </c>
      <c r="Q834" s="15" t="n">
        <v>0</v>
      </c>
      <c r="R834" s="5" t="inlineStr">
        <is>
          <t>214-2025-08-31</t>
        </is>
      </c>
    </row>
    <row r="835">
      <c r="A835" s="21" t="n">
        <v>214</v>
      </c>
      <c r="B835" s="5" t="inlineStr">
        <is>
          <t>Generación de Residuos Sólidos Mensual</t>
        </is>
      </c>
      <c r="C835" s="5" t="inlineStr">
        <is>
          <t>GESTIÓN AMBIENTAL</t>
        </is>
      </c>
      <c r="D835" s="5" t="inlineStr">
        <is>
          <t>Mensual</t>
        </is>
      </c>
      <c r="E835" s="5" t="inlineStr">
        <is>
          <t>Negativo</t>
        </is>
      </c>
      <c r="F835" s="106" t="n">
        <v>45930</v>
      </c>
      <c r="G835" s="5" t="n">
        <v>2025</v>
      </c>
      <c r="H835" s="5" t="inlineStr">
        <is>
          <t>Septiembre</t>
        </is>
      </c>
      <c r="I835" s="6" t="inlineStr">
        <is>
          <t>2025-2</t>
        </is>
      </c>
      <c r="J835" s="5" t="n">
        <v>7500</v>
      </c>
      <c r="K835" s="9" t="n">
        <v>5321.59</v>
      </c>
      <c r="L835" s="14">
        <f>IFERROR(IF(OR(J835=0,K835=""),"",IF(E835="Positivo",MIN(MAX(K835/J835,0),1.3),MIN(MAX(J835/K835,0),1.3))),"") </f>
        <v/>
      </c>
      <c r="M835" s="14">
        <f>IFERROR(IF(OR(J835=0,K835=""),"",IF(E835="Positivo",MAX(K835/J835,0),MAX(J835/K835,0))),"") </f>
        <v/>
      </c>
      <c r="N835" s="5" t="inlineStr">
        <is>
          <t>Kg</t>
        </is>
      </c>
      <c r="O835" s="5" t="inlineStr">
        <is>
          <t>Kg</t>
        </is>
      </c>
      <c r="P835" s="15" t="n">
        <v>0</v>
      </c>
      <c r="Q835" s="15" t="n">
        <v>0</v>
      </c>
      <c r="R835" s="5" t="inlineStr">
        <is>
          <t>214-2025-09-30</t>
        </is>
      </c>
    </row>
    <row r="836">
      <c r="A836" s="26" t="n">
        <v>214</v>
      </c>
      <c r="B836" s="5" t="inlineStr">
        <is>
          <t>Generación de Residuos Sólidos Mensual</t>
        </is>
      </c>
      <c r="C836" s="5" t="inlineStr">
        <is>
          <t>GESTIÓN AMBIENTAL</t>
        </is>
      </c>
      <c r="D836" s="5" t="inlineStr">
        <is>
          <t>Mensual</t>
        </is>
      </c>
      <c r="E836" s="5" t="inlineStr">
        <is>
          <t>Negativo</t>
        </is>
      </c>
      <c r="F836" s="107" t="n">
        <v>45961</v>
      </c>
      <c r="G836" s="5" t="n">
        <v>2025</v>
      </c>
      <c r="H836" s="5" t="inlineStr">
        <is>
          <t>Octubre</t>
        </is>
      </c>
      <c r="I836" s="6" t="inlineStr">
        <is>
          <t>2025-2</t>
        </is>
      </c>
      <c r="J836" s="5" t="n">
        <v>7500</v>
      </c>
      <c r="K836" s="9" t="n">
        <v>3998.57</v>
      </c>
      <c r="L836" s="14">
        <f>IFERROR(IF(OR(J836=0,K836=""),"",IF(E836="Positivo",MIN(MAX(K836/J836,0),1.3),MIN(MAX(J836/K836,0),1.3))),"") </f>
        <v/>
      </c>
      <c r="M836" s="14">
        <f>IFERROR(IF(OR(J836=0,K836=""),"",IF(E836="Positivo",MAX(K836/J836,0),MAX(J836/K836,0))),"") </f>
        <v/>
      </c>
      <c r="N836" s="5" t="inlineStr">
        <is>
          <t>Kg</t>
        </is>
      </c>
      <c r="O836" s="5" t="inlineStr">
        <is>
          <t>Kg</t>
        </is>
      </c>
      <c r="P836" s="15" t="n">
        <v>0</v>
      </c>
      <c r="Q836" s="15" t="n">
        <v>0</v>
      </c>
      <c r="R836" s="5" t="inlineStr">
        <is>
          <t>214-2025-10-31</t>
        </is>
      </c>
    </row>
    <row r="837">
      <c r="A837" s="21" t="n">
        <v>214</v>
      </c>
      <c r="B837" s="5" t="inlineStr">
        <is>
          <t>Generación de Residuos Sólidos Mensual</t>
        </is>
      </c>
      <c r="C837" s="5" t="inlineStr">
        <is>
          <t>GESTIÓN AMBIENTAL</t>
        </is>
      </c>
      <c r="D837" s="5" t="inlineStr">
        <is>
          <t>Mensual</t>
        </is>
      </c>
      <c r="E837" s="5" t="inlineStr">
        <is>
          <t>Negativo</t>
        </is>
      </c>
      <c r="F837" s="106" t="n">
        <v>45991</v>
      </c>
      <c r="G837" s="5" t="n">
        <v>2025</v>
      </c>
      <c r="H837" s="5" t="inlineStr">
        <is>
          <t>Noviembre</t>
        </is>
      </c>
      <c r="I837" s="6" t="inlineStr">
        <is>
          <t>2025-2</t>
        </is>
      </c>
      <c r="J837" s="5" t="n">
        <v>7500</v>
      </c>
      <c r="K837" s="9" t="n">
        <v>5264</v>
      </c>
      <c r="L837" s="14">
        <f>IFERROR(IF(OR(J837=0,K837=""),"",IF(E837="Positivo",MIN(MAX(K837/J837,0),1.3),MIN(MAX(J837/K837,0),1.3))),"") </f>
        <v/>
      </c>
      <c r="M837" s="14">
        <f>IFERROR(IF(OR(J837=0,K837=""),"",IF(E837="Positivo",MAX(K837/J837,0),MAX(J837/K837,0))),"") </f>
        <v/>
      </c>
      <c r="N837" s="5" t="inlineStr">
        <is>
          <t>Kg</t>
        </is>
      </c>
      <c r="O837" s="5" t="inlineStr">
        <is>
          <t>Kg</t>
        </is>
      </c>
      <c r="P837" s="15" t="n">
        <v>0</v>
      </c>
      <c r="Q837" s="15" t="n">
        <v>0</v>
      </c>
      <c r="R837" s="5" t="inlineStr">
        <is>
          <t>214-2025-11-30</t>
        </is>
      </c>
    </row>
    <row r="838">
      <c r="A838" s="26" t="n">
        <v>214</v>
      </c>
      <c r="B838" s="5" t="inlineStr">
        <is>
          <t>Generación de Residuos Sólidos Mensual</t>
        </is>
      </c>
      <c r="C838" s="5" t="inlineStr">
        <is>
          <t>GESTIÓN AMBIENTAL</t>
        </is>
      </c>
      <c r="D838" s="5" t="inlineStr">
        <is>
          <t>Mensual</t>
        </is>
      </c>
      <c r="E838" s="5" t="inlineStr">
        <is>
          <t>Negativo</t>
        </is>
      </c>
      <c r="F838" s="107" t="n">
        <v>46022</v>
      </c>
      <c r="G838" s="5" t="n">
        <v>2025</v>
      </c>
      <c r="H838" s="5" t="inlineStr">
        <is>
          <t>Diciembre</t>
        </is>
      </c>
      <c r="I838" s="6" t="inlineStr">
        <is>
          <t>2025-2</t>
        </is>
      </c>
      <c r="J838" s="5" t="n">
        <v>7500</v>
      </c>
      <c r="K838" s="9" t="n">
        <v>2169.54</v>
      </c>
      <c r="L838" s="14">
        <f>IFERROR(IF(OR(J838=0,K838=""),"",IF(E838="Positivo",MIN(MAX(K838/J838,0),1.3),MIN(MAX(J838/K838,0),1.3))),"") </f>
        <v/>
      </c>
      <c r="M838" s="14">
        <f>IFERROR(IF(OR(J838=0,K838=""),"",IF(E838="Positivo",MAX(K838/J838,0),MAX(J838/K838,0))),"") </f>
        <v/>
      </c>
      <c r="N838" s="5" t="inlineStr">
        <is>
          <t>Kg</t>
        </is>
      </c>
      <c r="O838" s="5" t="inlineStr">
        <is>
          <t>Kg</t>
        </is>
      </c>
      <c r="P838" s="15" t="n">
        <v>0</v>
      </c>
      <c r="Q838" s="15" t="n">
        <v>0</v>
      </c>
      <c r="R838" s="5" t="inlineStr">
        <is>
          <t>214-2025-12-31</t>
        </is>
      </c>
    </row>
    <row r="839">
      <c r="A839" s="21" t="n">
        <v>215</v>
      </c>
      <c r="B839" s="5" t="inlineStr">
        <is>
          <t>Disminución de la Generación de Residuos per Cápita</t>
        </is>
      </c>
      <c r="C839" s="5" t="inlineStr">
        <is>
          <t>GESTIÓN AMBIENTAL</t>
        </is>
      </c>
      <c r="D839" s="5" t="inlineStr">
        <is>
          <t>Trimestral</t>
        </is>
      </c>
      <c r="E839" s="5" t="inlineStr">
        <is>
          <t>Positivo</t>
        </is>
      </c>
      <c r="F839" s="107" t="n">
        <v>44651</v>
      </c>
      <c r="G839" s="5" t="n">
        <v>2022</v>
      </c>
      <c r="H839" s="5" t="inlineStr">
        <is>
          <t>Marzo</t>
        </is>
      </c>
      <c r="I839" s="6" t="inlineStr">
        <is>
          <t>2022-1</t>
        </is>
      </c>
      <c r="J839" s="5" t="n">
        <v>1</v>
      </c>
      <c r="K839" s="10" t="n"/>
      <c r="L839" s="14" t="n"/>
      <c r="M839" s="14" t="n"/>
      <c r="N839" s="5" t="inlineStr">
        <is>
          <t>%</t>
        </is>
      </c>
      <c r="O839" s="5" t="inlineStr">
        <is>
          <t>No Aplica</t>
        </is>
      </c>
      <c r="P839" s="15" t="n">
        <v>2</v>
      </c>
      <c r="Q839" s="15" t="n">
        <v>2</v>
      </c>
      <c r="R839" s="5" t="inlineStr">
        <is>
          <t>215-2022-03-31</t>
        </is>
      </c>
      <c r="S839" t="inlineStr">
        <is>
          <t>No Aplica</t>
        </is>
      </c>
    </row>
    <row r="840">
      <c r="A840" s="21" t="n">
        <v>215</v>
      </c>
      <c r="B840" s="5" t="inlineStr">
        <is>
          <t>Disminución de la Generación de Residuos per Cápita</t>
        </is>
      </c>
      <c r="C840" s="5" t="inlineStr">
        <is>
          <t>GESTIÓN AMBIENTAL</t>
        </is>
      </c>
      <c r="D840" s="5" t="inlineStr">
        <is>
          <t>Trimestral</t>
        </is>
      </c>
      <c r="E840" s="5" t="inlineStr">
        <is>
          <t>Positivo</t>
        </is>
      </c>
      <c r="F840" s="106" t="n">
        <v>44742</v>
      </c>
      <c r="G840" s="5" t="n">
        <v>2022</v>
      </c>
      <c r="H840" s="5" t="inlineStr">
        <is>
          <t>Junio</t>
        </is>
      </c>
      <c r="I840" s="6" t="inlineStr">
        <is>
          <t>2022-1</t>
        </is>
      </c>
      <c r="J840" s="5" t="n">
        <v>1</v>
      </c>
      <c r="K840" s="9" t="n"/>
      <c r="L840" s="8" t="n"/>
      <c r="M840" s="14" t="n"/>
      <c r="N840" s="5" t="inlineStr">
        <is>
          <t>%</t>
        </is>
      </c>
      <c r="O840" s="5" t="inlineStr">
        <is>
          <t>No Aplica</t>
        </is>
      </c>
      <c r="P840" s="15" t="n">
        <v>2</v>
      </c>
      <c r="Q840" s="15" t="n">
        <v>2</v>
      </c>
      <c r="R840" s="5" t="inlineStr">
        <is>
          <t>215-2022-06-30</t>
        </is>
      </c>
      <c r="S840" t="inlineStr">
        <is>
          <t>No Aplica</t>
        </is>
      </c>
    </row>
    <row r="841">
      <c r="A841" s="26" t="n">
        <v>215</v>
      </c>
      <c r="B841" s="5" t="inlineStr">
        <is>
          <t>Disminución de la Generación de Residuos per Cápita</t>
        </is>
      </c>
      <c r="C841" s="5" t="inlineStr">
        <is>
          <t>GESTIÓN AMBIENTAL</t>
        </is>
      </c>
      <c r="D841" s="5" t="inlineStr">
        <is>
          <t>Trimestral</t>
        </is>
      </c>
      <c r="E841" s="5" t="inlineStr">
        <is>
          <t>Positivo</t>
        </is>
      </c>
      <c r="F841" s="107" t="n">
        <v>44926</v>
      </c>
      <c r="G841" s="5" t="n">
        <v>2022</v>
      </c>
      <c r="H841" s="5" t="inlineStr">
        <is>
          <t>Diciembre</t>
        </is>
      </c>
      <c r="I841" s="6" t="inlineStr">
        <is>
          <t>2022-2</t>
        </is>
      </c>
      <c r="J841" s="5" t="n">
        <v>1</v>
      </c>
      <c r="K841" s="9" t="n">
        <v>-23.628691983122</v>
      </c>
      <c r="L841" s="14">
        <f>IFERROR(IF(OR(J841=0,K841=""),"",IF(E841="Positivo",MIN(MAX(K841/J841,0),1.3),MIN(MAX(J841/K841,0),1.3))),"") </f>
        <v/>
      </c>
      <c r="M841" s="14">
        <f>IFERROR(IF(OR(J841=0,K841=""),"",IF(E841="Positivo",MAX(K841/J841,0),MAX(J841/K841,0))),"") </f>
        <v/>
      </c>
      <c r="N841" s="5" t="inlineStr">
        <is>
          <t>%</t>
        </is>
      </c>
      <c r="O841" s="5" t="inlineStr">
        <is>
          <t>%</t>
        </is>
      </c>
      <c r="P841" s="15" t="n">
        <v>2</v>
      </c>
      <c r="Q841" s="15" t="n">
        <v>2</v>
      </c>
      <c r="R841" s="5" t="inlineStr">
        <is>
          <t>215-2022-12-31</t>
        </is>
      </c>
    </row>
    <row r="842">
      <c r="A842" s="5" t="n">
        <v>215</v>
      </c>
      <c r="B842" s="5" t="inlineStr">
        <is>
          <t>Disminución de la Generación de Residuos per Cápita</t>
        </is>
      </c>
      <c r="C842" s="5" t="inlineStr">
        <is>
          <t>GESTIÓN AMBIENTAL</t>
        </is>
      </c>
      <c r="D842" s="5" t="inlineStr">
        <is>
          <t>Semestral</t>
        </is>
      </c>
      <c r="E842" s="5" t="inlineStr">
        <is>
          <t>Positivo</t>
        </is>
      </c>
      <c r="F842" s="107" t="n">
        <v>45107</v>
      </c>
      <c r="G842" s="5" t="n">
        <v>2023</v>
      </c>
      <c r="H842" s="5" t="inlineStr">
        <is>
          <t>Junio</t>
        </is>
      </c>
      <c r="I842" s="6" t="inlineStr">
        <is>
          <t>2023-1</t>
        </is>
      </c>
      <c r="J842" s="5" t="n">
        <v>1</v>
      </c>
      <c r="K842" s="5" t="n">
        <v>-47.67</v>
      </c>
      <c r="L842" s="14">
        <f>IFERROR(IF(OR(J842=0,K842=""),"",IF(E842="Positivo",MIN(MAX(K842/J842,0),1.3),MIN(MAX(J842/K842,0),1.3))),"") </f>
        <v/>
      </c>
      <c r="M842" s="14">
        <f>IFERROR(IF(OR(J842=0,K842=""),"",IF(E842="Positivo",MAX(K842/J842,0),MAX(J842/K842,0))),"") </f>
        <v/>
      </c>
      <c r="N842" s="5" t="inlineStr">
        <is>
          <t>Kg</t>
        </is>
      </c>
      <c r="O842" s="5" t="inlineStr">
        <is>
          <t>Kg</t>
        </is>
      </c>
      <c r="P842" s="5" t="n">
        <v>2</v>
      </c>
      <c r="Q842" s="5" t="n">
        <v>2</v>
      </c>
      <c r="R842" s="5" t="inlineStr">
        <is>
          <t>215-2023-06-30</t>
        </is>
      </c>
    </row>
    <row r="843">
      <c r="A843" s="21" t="n">
        <v>215</v>
      </c>
      <c r="B843" s="5" t="inlineStr">
        <is>
          <t>Disminución de la Generación de Residuos per Cápita</t>
        </is>
      </c>
      <c r="C843" s="5" t="inlineStr">
        <is>
          <t>GESTIÓN AMBIENTAL</t>
        </is>
      </c>
      <c r="D843" s="5" t="inlineStr">
        <is>
          <t>Trimestral</t>
        </is>
      </c>
      <c r="E843" s="5" t="inlineStr">
        <is>
          <t>Positivo</t>
        </is>
      </c>
      <c r="F843" s="107" t="n">
        <v>45291</v>
      </c>
      <c r="G843" s="5" t="n">
        <v>2023</v>
      </c>
      <c r="H843" s="5" t="inlineStr">
        <is>
          <t>Diciembre</t>
        </is>
      </c>
      <c r="I843" s="6" t="inlineStr">
        <is>
          <t>2023-2</t>
        </is>
      </c>
      <c r="J843" s="5" t="n">
        <v>1</v>
      </c>
      <c r="K843" s="10" t="n">
        <v>-124.72</v>
      </c>
      <c r="L843" s="14">
        <f>IFERROR(IF(OR(J843=0,K843=""),"",IF(E843="Positivo",MIN(MAX(K843/J843,0),1.3),MIN(MAX(J843/K843,0),1.3))),"") </f>
        <v/>
      </c>
      <c r="M843" s="14">
        <f>IFERROR(IF(OR(J843=0,K843=""),"",IF(E843="Positivo",MAX(K843/J843,0),MAX(J843/K843,0))),"") </f>
        <v/>
      </c>
      <c r="N843" s="5" t="inlineStr">
        <is>
          <t>%</t>
        </is>
      </c>
      <c r="O843" s="5" t="inlineStr">
        <is>
          <t>%</t>
        </is>
      </c>
      <c r="P843" s="15" t="n">
        <v>2</v>
      </c>
      <c r="Q843" s="15" t="n">
        <v>2</v>
      </c>
      <c r="R843" s="5" t="inlineStr">
        <is>
          <t>215-2023-12-31</t>
        </is>
      </c>
    </row>
    <row r="844">
      <c r="A844" s="21" t="n">
        <v>215</v>
      </c>
      <c r="B844" s="5" t="inlineStr">
        <is>
          <t>Disminución de la Generación de Residuos per Cápita</t>
        </is>
      </c>
      <c r="C844" s="5" t="inlineStr">
        <is>
          <t>GESTIÓN AMBIENTAL</t>
        </is>
      </c>
      <c r="D844" s="5" t="inlineStr">
        <is>
          <t>Semestral</t>
        </is>
      </c>
      <c r="E844" s="5" t="inlineStr">
        <is>
          <t>Positivo</t>
        </is>
      </c>
      <c r="F844" s="106" t="n">
        <v>45473</v>
      </c>
      <c r="G844" s="5" t="n">
        <v>2024</v>
      </c>
      <c r="H844" s="5" t="inlineStr">
        <is>
          <t>Junio</t>
        </is>
      </c>
      <c r="I844" s="6" t="inlineStr">
        <is>
          <t>2024-1</t>
        </is>
      </c>
      <c r="J844" s="5" t="n">
        <v>1</v>
      </c>
      <c r="K844" s="9" t="n">
        <v>8</v>
      </c>
      <c r="L844" s="14">
        <f>IFERROR(IF(OR(J844=0,K844=""),"",IF(E844="Positivo",MIN(MAX(K844/J844,0),1.3),MIN(MAX(J844/K844,0),1.3))),"") </f>
        <v/>
      </c>
      <c r="M844" s="14">
        <f>IFERROR(IF(OR(J844=0,K844=""),"",IF(E844="Positivo",MAX(K844/J844,0),MAX(J844/K844,0))),"") </f>
        <v/>
      </c>
      <c r="N844" s="5" t="inlineStr">
        <is>
          <t>%</t>
        </is>
      </c>
      <c r="O844" s="5" t="inlineStr">
        <is>
          <t>%</t>
        </is>
      </c>
      <c r="P844" s="15" t="n">
        <v>2</v>
      </c>
      <c r="Q844" s="15" t="n">
        <v>2</v>
      </c>
      <c r="R844" s="5" t="inlineStr">
        <is>
          <t>215-2024-06-30</t>
        </is>
      </c>
    </row>
    <row r="845">
      <c r="A845" s="26" t="n">
        <v>215</v>
      </c>
      <c r="B845" s="5" t="inlineStr">
        <is>
          <t>Disminución de la Generación de Residuos per Cápita</t>
        </is>
      </c>
      <c r="C845" s="5" t="inlineStr">
        <is>
          <t>GESTIÓN AMBIENTAL</t>
        </is>
      </c>
      <c r="D845" s="5" t="inlineStr">
        <is>
          <t>Semestral</t>
        </is>
      </c>
      <c r="E845" s="5" t="inlineStr">
        <is>
          <t>Positivo</t>
        </is>
      </c>
      <c r="F845" s="107" t="n">
        <v>45657</v>
      </c>
      <c r="G845" s="5" t="n">
        <v>2024</v>
      </c>
      <c r="H845" s="5" t="inlineStr">
        <is>
          <t>Diciembre</t>
        </is>
      </c>
      <c r="I845" s="6" t="inlineStr">
        <is>
          <t>2024-2</t>
        </is>
      </c>
      <c r="J845" s="5" t="n">
        <v>1</v>
      </c>
      <c r="K845" s="9" t="n">
        <v>-45.65</v>
      </c>
      <c r="L845" s="14">
        <f>IFERROR(IF(OR(J845=0,K845=""),"",IF(E845="Positivo",MIN(MAX(K845/J845,0),1.3),MIN(MAX(J845/K845,0),1.3))),"") </f>
        <v/>
      </c>
      <c r="M845" s="14">
        <f>IFERROR(IF(OR(J845=0,K845=""),"",IF(E845="Positivo",MAX(K845/J845,0),MAX(J845/K845,0))),"") </f>
        <v/>
      </c>
      <c r="N845" s="5" t="inlineStr">
        <is>
          <t>%</t>
        </is>
      </c>
      <c r="O845" s="5" t="inlineStr">
        <is>
          <t>%</t>
        </is>
      </c>
      <c r="P845" s="15" t="n">
        <v>2</v>
      </c>
      <c r="Q845" s="15" t="n">
        <v>2</v>
      </c>
      <c r="R845" s="5" t="inlineStr">
        <is>
          <t>215-2024-12-31</t>
        </is>
      </c>
    </row>
    <row r="846">
      <c r="A846" s="5" t="n">
        <v>215</v>
      </c>
      <c r="B846" s="5" t="inlineStr">
        <is>
          <t>Disminución de la Generación de Residuos per Cápita</t>
        </is>
      </c>
      <c r="C846" s="5" t="inlineStr">
        <is>
          <t>GESTIÓN AMBIENTAL</t>
        </is>
      </c>
      <c r="D846" s="5" t="inlineStr">
        <is>
          <t>Trimestral</t>
        </is>
      </c>
      <c r="E846" s="5" t="inlineStr">
        <is>
          <t>Positivo</t>
        </is>
      </c>
      <c r="F846" s="107" t="n">
        <v>45838</v>
      </c>
      <c r="G846" s="5" t="n">
        <v>2025</v>
      </c>
      <c r="H846" s="5" t="inlineStr">
        <is>
          <t>Junio</t>
        </is>
      </c>
      <c r="I846" s="6" t="inlineStr">
        <is>
          <t>2025-1</t>
        </is>
      </c>
      <c r="J846" s="5" t="n">
        <v>1</v>
      </c>
      <c r="K846" s="5" t="n">
        <v>-114.55</v>
      </c>
      <c r="L846" s="14">
        <f>IFERROR(IF(OR(J846=0,K846=""),"",IF(E846="Positivo",MIN(MAX(K846/J846,0),1.3),MIN(MAX(J846/K846,0),1.3))),"") </f>
        <v/>
      </c>
      <c r="M846" s="14">
        <f>IFERROR(IF(OR(J846=0,K846=""),"",IF(E846="Positivo",MAX(K846/J846,0),MAX(J846/K846,0))),"") </f>
        <v/>
      </c>
      <c r="N846" s="5" t="inlineStr">
        <is>
          <t>%</t>
        </is>
      </c>
      <c r="O846" s="5" t="inlineStr">
        <is>
          <t>%</t>
        </is>
      </c>
      <c r="P846" s="5" t="n">
        <v>2</v>
      </c>
      <c r="Q846" s="5" t="n">
        <v>2</v>
      </c>
      <c r="R846" s="5" t="inlineStr">
        <is>
          <t>215-2025-06-30</t>
        </is>
      </c>
    </row>
    <row r="847">
      <c r="A847" s="21" t="n">
        <v>215</v>
      </c>
      <c r="B847" s="5" t="inlineStr">
        <is>
          <t>Disminución de la Generación de Residuos per Cápita</t>
        </is>
      </c>
      <c r="C847" s="5" t="inlineStr">
        <is>
          <t>GESTIÓN AMBIENTAL</t>
        </is>
      </c>
      <c r="D847" s="5" t="inlineStr">
        <is>
          <t>Trimestral</t>
        </is>
      </c>
      <c r="E847" s="5" t="inlineStr">
        <is>
          <t>Positivo</t>
        </is>
      </c>
      <c r="F847" s="107" t="n">
        <v>46022</v>
      </c>
      <c r="G847" s="5" t="n">
        <v>2025</v>
      </c>
      <c r="H847" s="5" t="inlineStr">
        <is>
          <t>Diciembre</t>
        </is>
      </c>
      <c r="I847" s="6" t="inlineStr">
        <is>
          <t>2025-2</t>
        </is>
      </c>
      <c r="J847" s="5" t="n">
        <v>1</v>
      </c>
      <c r="K847" s="9" t="n">
        <v>-6.43</v>
      </c>
      <c r="L847" s="14">
        <f>IFERROR(IF(OR(J847=0,K847=""),"",IF(E847="Positivo",MIN(MAX(K847/J847,0),1.3),MIN(MAX(J847/K847,0),1.3))),"") </f>
        <v/>
      </c>
      <c r="M847" s="14">
        <f>IFERROR(IF(OR(J847=0,K847=""),"",IF(E847="Positivo",MAX(K847/J847,0),MAX(J847/K847,0))),"") </f>
        <v/>
      </c>
      <c r="N847" s="5" t="inlineStr">
        <is>
          <t>%</t>
        </is>
      </c>
      <c r="O847" s="5" t="inlineStr">
        <is>
          <t>%</t>
        </is>
      </c>
      <c r="P847" s="15" t="n">
        <v>2</v>
      </c>
      <c r="Q847" s="15" t="n">
        <v>2</v>
      </c>
      <c r="R847" s="5" t="inlineStr">
        <is>
          <t>215-2025-12-31</t>
        </is>
      </c>
    </row>
    <row r="848">
      <c r="A848" s="28" t="n">
        <v>216</v>
      </c>
      <c r="B848" s="5" t="inlineStr">
        <is>
          <t>Disposición Ambientalmente Adecuada de Residuos Peligrosos</t>
        </is>
      </c>
      <c r="C848" s="5" t="inlineStr">
        <is>
          <t>GESTIÓN AMBIENTAL</t>
        </is>
      </c>
      <c r="D848" s="5" t="inlineStr">
        <is>
          <t>Anual</t>
        </is>
      </c>
      <c r="E848" s="5" t="inlineStr">
        <is>
          <t>Positivo</t>
        </is>
      </c>
      <c r="F848" s="107" t="n">
        <v>44926</v>
      </c>
      <c r="G848" s="5" t="n">
        <v>2022</v>
      </c>
      <c r="H848" s="5" t="inlineStr">
        <is>
          <t>Diciembre</t>
        </is>
      </c>
      <c r="I848" s="6" t="inlineStr">
        <is>
          <t>2022-2</t>
        </is>
      </c>
      <c r="J848" s="5" t="n">
        <v>100</v>
      </c>
      <c r="K848" s="9" t="n">
        <v>300</v>
      </c>
      <c r="L848" s="14">
        <f>IFERROR(IF(OR(J848=0,K848=""),"",IF(E848="Positivo",MIN(MAX(K848/J848,0),1.3),MIN(MAX(J848/K848,0),1.3))),"") </f>
        <v/>
      </c>
      <c r="M848" s="14">
        <f>IFERROR(IF(OR(J848=0,K848=""),"",IF(E848="Positivo",MAX(K848/J848,0),MAX(J848/K848,0))),"") </f>
        <v/>
      </c>
      <c r="N848" s="5" t="inlineStr">
        <is>
          <t>%</t>
        </is>
      </c>
      <c r="O848" s="5" t="inlineStr">
        <is>
          <t>%</t>
        </is>
      </c>
      <c r="P848" s="15" t="n">
        <v>0</v>
      </c>
      <c r="Q848" s="15" t="n">
        <v>0</v>
      </c>
      <c r="R848" s="5" t="inlineStr">
        <is>
          <t>216-2022-12-31</t>
        </is>
      </c>
    </row>
    <row r="849">
      <c r="A849" s="5" t="n">
        <v>216</v>
      </c>
      <c r="B849" s="5" t="inlineStr">
        <is>
          <t>Disposición Ambientalmente Adecuada de Residuos Peligrosos</t>
        </is>
      </c>
      <c r="C849" s="5" t="inlineStr">
        <is>
          <t>GESTIÓN AMBIENTAL</t>
        </is>
      </c>
      <c r="D849" s="5" t="inlineStr">
        <is>
          <t>Anual</t>
        </is>
      </c>
      <c r="E849" s="5" t="inlineStr">
        <is>
          <t>Positivo</t>
        </is>
      </c>
      <c r="F849" s="107" t="n">
        <v>45291</v>
      </c>
      <c r="G849" s="5" t="n">
        <v>2023</v>
      </c>
      <c r="H849" s="5" t="inlineStr">
        <is>
          <t>Diciembre</t>
        </is>
      </c>
      <c r="I849" s="6" t="inlineStr">
        <is>
          <t>2023-2</t>
        </is>
      </c>
      <c r="J849" s="5" t="n">
        <v>100</v>
      </c>
      <c r="K849" s="5" t="n">
        <v>100</v>
      </c>
      <c r="L849" s="14">
        <f>IFERROR(IF(OR(J849=0,K849=""),"",IF(E849="Positivo",MIN(MAX(K849/J849,0),1.3),MIN(MAX(J849/K849,0),1.3))),"") </f>
        <v/>
      </c>
      <c r="M849" s="14">
        <f>IFERROR(IF(OR(J849=0,K849=""),"",IF(E849="Positivo",MAX(K849/J849,0),MAX(J849/K849,0))),"") </f>
        <v/>
      </c>
      <c r="N849" s="5" t="inlineStr">
        <is>
          <t>%</t>
        </is>
      </c>
      <c r="O849" s="5" t="inlineStr">
        <is>
          <t>%</t>
        </is>
      </c>
      <c r="P849" s="5" t="n">
        <v>0</v>
      </c>
      <c r="Q849" s="5" t="n">
        <v>0</v>
      </c>
      <c r="R849" s="5" t="inlineStr">
        <is>
          <t>216-2023-12-31</t>
        </is>
      </c>
    </row>
    <row r="850">
      <c r="A850" s="21" t="n">
        <v>216</v>
      </c>
      <c r="B850" s="5" t="inlineStr">
        <is>
          <t>Disposición Ambientalmente Adecuada de Residuos Peligrosos</t>
        </is>
      </c>
      <c r="C850" s="5" t="inlineStr">
        <is>
          <t>GESTIÓN AMBIENTAL</t>
        </is>
      </c>
      <c r="D850" s="5" t="inlineStr">
        <is>
          <t>Anual</t>
        </is>
      </c>
      <c r="E850" s="5" t="inlineStr">
        <is>
          <t>Positivo</t>
        </is>
      </c>
      <c r="F850" s="107" t="n">
        <v>45657</v>
      </c>
      <c r="G850" s="5" t="n">
        <v>2024</v>
      </c>
      <c r="H850" s="5" t="inlineStr">
        <is>
          <t>Diciembre</t>
        </is>
      </c>
      <c r="I850" s="6" t="inlineStr">
        <is>
          <t>2024-2</t>
        </is>
      </c>
      <c r="J850" s="5" t="n">
        <v>100</v>
      </c>
      <c r="K850" s="10" t="n">
        <v>100</v>
      </c>
      <c r="L850" s="14">
        <f>IFERROR(IF(OR(J850=0,K850=""),"",IF(E850="Positivo",MIN(MAX(K850/J850,0),1.3),MIN(MAX(J850/K850,0),1.3))),"") </f>
        <v/>
      </c>
      <c r="M850" s="14">
        <f>IFERROR(IF(OR(J850=0,K850=""),"",IF(E850="Positivo",MAX(K850/J850,0),MAX(J850/K850,0))),"") </f>
        <v/>
      </c>
      <c r="N850" s="5" t="n"/>
      <c r="O850" s="5" t="n"/>
      <c r="P850" s="15" t="n">
        <v>0</v>
      </c>
      <c r="Q850" s="15" t="n">
        <v>0</v>
      </c>
      <c r="R850" s="5" t="inlineStr">
        <is>
          <t>216-2024-12-31</t>
        </is>
      </c>
    </row>
    <row r="851">
      <c r="A851" s="21" t="n">
        <v>216</v>
      </c>
      <c r="B851" s="5" t="inlineStr">
        <is>
          <t>Disposición Ambientalmente Adecuada de Residuos Peligrosos</t>
        </is>
      </c>
      <c r="C851" s="5" t="inlineStr">
        <is>
          <t>GESTIÓN AMBIENTAL</t>
        </is>
      </c>
      <c r="D851" s="5" t="inlineStr">
        <is>
          <t>Anual</t>
        </is>
      </c>
      <c r="E851" s="5" t="inlineStr">
        <is>
          <t>Positivo</t>
        </is>
      </c>
      <c r="F851" s="107" t="n">
        <v>46022</v>
      </c>
      <c r="G851" s="5" t="n">
        <v>2025</v>
      </c>
      <c r="H851" s="5" t="inlineStr">
        <is>
          <t>Diciembre</t>
        </is>
      </c>
      <c r="I851" s="6" t="inlineStr">
        <is>
          <t>2025-2</t>
        </is>
      </c>
      <c r="J851" s="5" t="n">
        <v>100</v>
      </c>
      <c r="K851" s="10" t="n">
        <v>100</v>
      </c>
      <c r="L851" s="14">
        <f>IFERROR(IF(OR(J851=0,K851=""),"",IF(E851="Positivo",MIN(MAX(K851/J851,0),1.3),MIN(MAX(J851/K851,0),1.3))),"") </f>
        <v/>
      </c>
      <c r="M851" s="14">
        <f>IFERROR(IF(OR(J851=0,K851=""),"",IF(E851="Positivo",MAX(K851/J851,0),MAX(J851/K851,0))),"") </f>
        <v/>
      </c>
      <c r="N851" s="5" t="inlineStr">
        <is>
          <t>%</t>
        </is>
      </c>
      <c r="O851" s="5" t="inlineStr">
        <is>
          <t>%</t>
        </is>
      </c>
      <c r="P851" s="15" t="n">
        <v>0</v>
      </c>
      <c r="Q851" s="15" t="n">
        <v>0</v>
      </c>
      <c r="R851" s="5" t="inlineStr">
        <is>
          <t>216-2025-12-31</t>
        </is>
      </c>
    </row>
    <row r="852">
      <c r="A852" s="21" t="n">
        <v>217</v>
      </c>
      <c r="B852" s="5" t="inlineStr">
        <is>
          <t>Aprovechamiento de Residuos</t>
        </is>
      </c>
      <c r="C852" s="5" t="inlineStr">
        <is>
          <t>GESTIÓN AMBIENTAL</t>
        </is>
      </c>
      <c r="D852" s="5" t="inlineStr">
        <is>
          <t>Mensual</t>
        </is>
      </c>
      <c r="E852" s="5" t="inlineStr">
        <is>
          <t>Positivo</t>
        </is>
      </c>
      <c r="F852" s="107" t="n">
        <v>44592</v>
      </c>
      <c r="G852" s="5" t="n">
        <v>2022</v>
      </c>
      <c r="H852" s="5" t="inlineStr">
        <is>
          <t>Enero</t>
        </is>
      </c>
      <c r="I852" s="6" t="inlineStr">
        <is>
          <t>2022-1</t>
        </is>
      </c>
      <c r="J852" s="5" t="n">
        <v>20</v>
      </c>
      <c r="K852" s="9" t="n"/>
      <c r="L852" s="14" t="n"/>
      <c r="M852" s="14" t="n"/>
      <c r="N852" s="5" t="inlineStr">
        <is>
          <t>%</t>
        </is>
      </c>
      <c r="O852" s="5" t="inlineStr">
        <is>
          <t>No Aplica</t>
        </is>
      </c>
      <c r="P852" s="15" t="n">
        <v>0</v>
      </c>
      <c r="Q852" s="15" t="n">
        <v>0</v>
      </c>
      <c r="R852" s="5" t="inlineStr">
        <is>
          <t>217-2022-01-31</t>
        </is>
      </c>
      <c r="S852" t="inlineStr">
        <is>
          <t>No Aplica</t>
        </is>
      </c>
    </row>
    <row r="853">
      <c r="A853" s="21" t="n">
        <v>217</v>
      </c>
      <c r="B853" s="5" t="inlineStr">
        <is>
          <t>Aprovechamiento de Residuos</t>
        </is>
      </c>
      <c r="C853" s="5" t="inlineStr">
        <is>
          <t>GESTIÓN AMBIENTAL</t>
        </is>
      </c>
      <c r="D853" s="5" t="inlineStr">
        <is>
          <t>Mensual</t>
        </is>
      </c>
      <c r="E853" s="5" t="inlineStr">
        <is>
          <t>Positivo</t>
        </is>
      </c>
      <c r="F853" s="107" t="n">
        <v>44620</v>
      </c>
      <c r="G853" s="5" t="n">
        <v>2022</v>
      </c>
      <c r="H853" s="5" t="inlineStr">
        <is>
          <t>Febrero</t>
        </is>
      </c>
      <c r="I853" s="6" t="inlineStr">
        <is>
          <t>2022-1</t>
        </is>
      </c>
      <c r="J853" s="5" t="n">
        <v>20</v>
      </c>
      <c r="K853" s="9" t="n"/>
      <c r="L853" s="14" t="n"/>
      <c r="M853" s="14" t="n"/>
      <c r="N853" s="5" t="inlineStr">
        <is>
          <t>%</t>
        </is>
      </c>
      <c r="O853" s="5" t="inlineStr">
        <is>
          <t>No Aplica</t>
        </is>
      </c>
      <c r="P853" s="15" t="n">
        <v>0</v>
      </c>
      <c r="Q853" s="15" t="n">
        <v>0</v>
      </c>
      <c r="R853" s="5" t="inlineStr">
        <is>
          <t>217-2022-02-28</t>
        </is>
      </c>
      <c r="S853" t="inlineStr">
        <is>
          <t>No Aplica</t>
        </is>
      </c>
    </row>
    <row r="854">
      <c r="A854" s="26" t="n">
        <v>217</v>
      </c>
      <c r="B854" s="5" t="inlineStr">
        <is>
          <t>Aprovechamiento de Residuos</t>
        </is>
      </c>
      <c r="C854" s="5" t="inlineStr">
        <is>
          <t>GESTIÓN AMBIENTAL</t>
        </is>
      </c>
      <c r="D854" s="5" t="inlineStr">
        <is>
          <t>Mensual</t>
        </is>
      </c>
      <c r="E854" s="5" t="inlineStr">
        <is>
          <t>Positivo</t>
        </is>
      </c>
      <c r="F854" s="107" t="n">
        <v>44681</v>
      </c>
      <c r="G854" s="5" t="n">
        <v>2022</v>
      </c>
      <c r="H854" s="5" t="inlineStr">
        <is>
          <t>Abril</t>
        </is>
      </c>
      <c r="I854" s="6" t="inlineStr">
        <is>
          <t>2022-1</t>
        </is>
      </c>
      <c r="J854" s="5" t="n">
        <v>20</v>
      </c>
      <c r="K854" s="9" t="n"/>
      <c r="L854" s="14" t="n"/>
      <c r="M854" s="14" t="n"/>
      <c r="N854" s="5" t="inlineStr">
        <is>
          <t>%</t>
        </is>
      </c>
      <c r="O854" s="5" t="inlineStr">
        <is>
          <t>No Aplica</t>
        </is>
      </c>
      <c r="P854" s="15" t="n">
        <v>0</v>
      </c>
      <c r="Q854" s="15" t="n">
        <v>0</v>
      </c>
      <c r="R854" s="5" t="inlineStr">
        <is>
          <t>217-2022-04-30</t>
        </is>
      </c>
      <c r="S854" t="inlineStr">
        <is>
          <t>No Aplica</t>
        </is>
      </c>
    </row>
    <row r="855">
      <c r="A855" s="21" t="n">
        <v>217</v>
      </c>
      <c r="B855" s="5" t="inlineStr">
        <is>
          <t>Aprovechamiento de Residuos</t>
        </is>
      </c>
      <c r="C855" s="5" t="inlineStr">
        <is>
          <t>GESTIÓN AMBIENTAL</t>
        </is>
      </c>
      <c r="D855" s="5" t="inlineStr">
        <is>
          <t>Mensual</t>
        </is>
      </c>
      <c r="E855" s="5" t="inlineStr">
        <is>
          <t>Positivo</t>
        </is>
      </c>
      <c r="F855" s="107" t="n">
        <v>44712</v>
      </c>
      <c r="G855" s="5" t="n">
        <v>2022</v>
      </c>
      <c r="H855" s="5" t="inlineStr">
        <is>
          <t>Mayo</t>
        </is>
      </c>
      <c r="I855" s="6" t="inlineStr">
        <is>
          <t>2022-1</t>
        </is>
      </c>
      <c r="J855" s="5" t="n">
        <v>20</v>
      </c>
      <c r="K855" s="9" t="n"/>
      <c r="L855" s="14" t="n"/>
      <c r="M855" s="14" t="n"/>
      <c r="N855" s="5" t="inlineStr">
        <is>
          <t>%</t>
        </is>
      </c>
      <c r="O855" s="5" t="inlineStr">
        <is>
          <t>No Aplica</t>
        </is>
      </c>
      <c r="P855" s="15" t="n">
        <v>0</v>
      </c>
      <c r="Q855" s="15" t="n">
        <v>0</v>
      </c>
      <c r="R855" s="5" t="inlineStr">
        <is>
          <t>217-2022-05-31</t>
        </is>
      </c>
      <c r="S855" t="inlineStr">
        <is>
          <t>No Aplica</t>
        </is>
      </c>
    </row>
    <row r="856">
      <c r="A856" s="21" t="n">
        <v>217</v>
      </c>
      <c r="B856" s="5" t="inlineStr">
        <is>
          <t>Aprovechamiento de Residuos</t>
        </is>
      </c>
      <c r="C856" s="5" t="inlineStr">
        <is>
          <t>GESTIÓN AMBIENTAL</t>
        </is>
      </c>
      <c r="D856" s="5" t="inlineStr">
        <is>
          <t>Mensual</t>
        </is>
      </c>
      <c r="E856" s="5" t="inlineStr">
        <is>
          <t>Positivo</t>
        </is>
      </c>
      <c r="F856" s="107" t="n">
        <v>44742</v>
      </c>
      <c r="G856" s="5" t="n">
        <v>2022</v>
      </c>
      <c r="H856" s="5" t="inlineStr">
        <is>
          <t>Junio</t>
        </is>
      </c>
      <c r="I856" s="6" t="inlineStr">
        <is>
          <t>2022-1</t>
        </is>
      </c>
      <c r="J856" s="5" t="n">
        <v>20</v>
      </c>
      <c r="K856" s="10" t="n"/>
      <c r="L856" s="14" t="n"/>
      <c r="M856" s="14" t="n"/>
      <c r="N856" s="5" t="inlineStr">
        <is>
          <t>%</t>
        </is>
      </c>
      <c r="O856" s="5" t="inlineStr">
        <is>
          <t>No Aplica</t>
        </is>
      </c>
      <c r="P856" s="15" t="n">
        <v>0</v>
      </c>
      <c r="Q856" s="15" t="n">
        <v>0</v>
      </c>
      <c r="R856" s="5" t="inlineStr">
        <is>
          <t>217-2022-06-30</t>
        </is>
      </c>
      <c r="S856" t="inlineStr">
        <is>
          <t>No Aplica</t>
        </is>
      </c>
    </row>
    <row r="857">
      <c r="A857" s="21" t="n">
        <v>217</v>
      </c>
      <c r="B857" s="5" t="inlineStr">
        <is>
          <t>Aprovechamiento de Residuos</t>
        </is>
      </c>
      <c r="C857" s="5" t="inlineStr">
        <is>
          <t>GESTIÓN AMBIENTAL</t>
        </is>
      </c>
      <c r="D857" s="5" t="inlineStr">
        <is>
          <t>Mensual</t>
        </is>
      </c>
      <c r="E857" s="5" t="inlineStr">
        <is>
          <t>Positivo</t>
        </is>
      </c>
      <c r="F857" s="107" t="n">
        <v>44773</v>
      </c>
      <c r="G857" s="5" t="n">
        <v>2022</v>
      </c>
      <c r="H857" s="5" t="inlineStr">
        <is>
          <t>Julio</t>
        </is>
      </c>
      <c r="I857" s="6" t="inlineStr">
        <is>
          <t>2022-2</t>
        </is>
      </c>
      <c r="J857" s="5" t="n">
        <v>20</v>
      </c>
      <c r="K857" s="10" t="n"/>
      <c r="L857" s="14" t="n"/>
      <c r="M857" s="14" t="n"/>
      <c r="N857" s="5" t="inlineStr">
        <is>
          <t>%</t>
        </is>
      </c>
      <c r="O857" s="5" t="inlineStr">
        <is>
          <t>No Aplica</t>
        </is>
      </c>
      <c r="P857" s="15" t="n">
        <v>0</v>
      </c>
      <c r="Q857" s="15" t="n">
        <v>0</v>
      </c>
      <c r="R857" s="5" t="inlineStr">
        <is>
          <t>217-2022-07-31</t>
        </is>
      </c>
      <c r="S857" t="inlineStr">
        <is>
          <t>No Aplica</t>
        </is>
      </c>
    </row>
    <row r="858">
      <c r="A858" s="5" t="n">
        <v>217</v>
      </c>
      <c r="B858" s="5" t="inlineStr">
        <is>
          <t>Aprovechamiento de Residuos</t>
        </is>
      </c>
      <c r="C858" s="5" t="inlineStr">
        <is>
          <t>GESTIÓN AMBIENTAL</t>
        </is>
      </c>
      <c r="D858" s="5" t="inlineStr">
        <is>
          <t>Mensual</t>
        </is>
      </c>
      <c r="E858" s="5" t="inlineStr">
        <is>
          <t>Positivo</t>
        </is>
      </c>
      <c r="F858" s="107" t="n">
        <v>44804</v>
      </c>
      <c r="G858" s="5" t="n">
        <v>2022</v>
      </c>
      <c r="H858" s="5" t="inlineStr">
        <is>
          <t>Agosto</t>
        </is>
      </c>
      <c r="I858" s="6" t="inlineStr">
        <is>
          <t>2022-2</t>
        </is>
      </c>
      <c r="J858" s="5" t="n">
        <v>20</v>
      </c>
      <c r="K858" s="5" t="n"/>
      <c r="L858" s="14" t="n"/>
      <c r="M858" s="14" t="n"/>
      <c r="N858" s="5" t="inlineStr">
        <is>
          <t>%</t>
        </is>
      </c>
      <c r="O858" s="5" t="inlineStr">
        <is>
          <t>No Aplica</t>
        </is>
      </c>
      <c r="P858" s="5" t="n">
        <v>0</v>
      </c>
      <c r="Q858" s="5" t="n">
        <v>0</v>
      </c>
      <c r="R858" s="5" t="inlineStr">
        <is>
          <t>217-2022-08-31</t>
        </is>
      </c>
      <c r="S858" t="inlineStr">
        <is>
          <t>No Aplica</t>
        </is>
      </c>
    </row>
    <row r="859">
      <c r="A859" s="21" t="n">
        <v>217</v>
      </c>
      <c r="B859" s="5" t="inlineStr">
        <is>
          <t>Aprovechamiento de Residuos</t>
        </is>
      </c>
      <c r="C859" s="5" t="inlineStr">
        <is>
          <t>GESTIÓN AMBIENTAL</t>
        </is>
      </c>
      <c r="D859" s="5" t="inlineStr">
        <is>
          <t>Mensual</t>
        </is>
      </c>
      <c r="E859" s="5" t="inlineStr">
        <is>
          <t>Positivo</t>
        </is>
      </c>
      <c r="F859" s="107" t="n">
        <v>44834</v>
      </c>
      <c r="G859" s="5" t="n">
        <v>2022</v>
      </c>
      <c r="H859" s="5" t="inlineStr">
        <is>
          <t>Septiembre</t>
        </is>
      </c>
      <c r="I859" s="6" t="inlineStr">
        <is>
          <t>2022-2</t>
        </is>
      </c>
      <c r="J859" s="5" t="n">
        <v>20</v>
      </c>
      <c r="K859" s="10" t="n"/>
      <c r="L859" s="14" t="n"/>
      <c r="M859" s="14" t="n"/>
      <c r="N859" s="5" t="inlineStr">
        <is>
          <t>%</t>
        </is>
      </c>
      <c r="O859" s="5" t="inlineStr">
        <is>
          <t>No Aplica</t>
        </is>
      </c>
      <c r="P859" s="15" t="n">
        <v>0</v>
      </c>
      <c r="Q859" s="15" t="n">
        <v>0</v>
      </c>
      <c r="R859" s="5" t="inlineStr">
        <is>
          <t>217-2022-09-30</t>
        </is>
      </c>
      <c r="S859" t="inlineStr">
        <is>
          <t>No Aplica</t>
        </is>
      </c>
    </row>
    <row r="860">
      <c r="A860" s="21" t="n">
        <v>217</v>
      </c>
      <c r="B860" s="5" t="inlineStr">
        <is>
          <t>Aprovechamiento de Residuos</t>
        </is>
      </c>
      <c r="C860" s="5" t="inlineStr">
        <is>
          <t>GESTIÓN AMBIENTAL</t>
        </is>
      </c>
      <c r="D860" s="5" t="inlineStr">
        <is>
          <t>Mensual</t>
        </is>
      </c>
      <c r="E860" s="5" t="inlineStr">
        <is>
          <t>Positivo</t>
        </is>
      </c>
      <c r="F860" s="107" t="n">
        <v>44865</v>
      </c>
      <c r="G860" s="5" t="n">
        <v>2022</v>
      </c>
      <c r="H860" s="5" t="inlineStr">
        <is>
          <t>Octubre</t>
        </is>
      </c>
      <c r="I860" s="6" t="inlineStr">
        <is>
          <t>2022-2</t>
        </is>
      </c>
      <c r="J860" s="5" t="n">
        <v>20</v>
      </c>
      <c r="K860" s="10" t="n"/>
      <c r="L860" s="14" t="n"/>
      <c r="M860" s="14" t="n"/>
      <c r="N860" s="5" t="inlineStr">
        <is>
          <t>%</t>
        </is>
      </c>
      <c r="O860" s="5" t="inlineStr">
        <is>
          <t>No Aplica</t>
        </is>
      </c>
      <c r="P860" s="15" t="n">
        <v>0</v>
      </c>
      <c r="Q860" s="15" t="n">
        <v>0</v>
      </c>
      <c r="R860" s="5" t="inlineStr">
        <is>
          <t>217-2022-10-31</t>
        </is>
      </c>
      <c r="S860" t="inlineStr">
        <is>
          <t>No Aplica</t>
        </is>
      </c>
    </row>
    <row r="861">
      <c r="A861" s="21" t="n">
        <v>217</v>
      </c>
      <c r="B861" s="5" t="inlineStr">
        <is>
          <t>Aprovechamiento de Residuos</t>
        </is>
      </c>
      <c r="C861" s="5" t="inlineStr">
        <is>
          <t>GESTIÓN AMBIENTAL</t>
        </is>
      </c>
      <c r="D861" s="5" t="inlineStr">
        <is>
          <t>Mensual</t>
        </is>
      </c>
      <c r="E861" s="5" t="inlineStr">
        <is>
          <t>Positivo</t>
        </is>
      </c>
      <c r="F861" s="107" t="n">
        <v>44895</v>
      </c>
      <c r="G861" s="5" t="n">
        <v>2022</v>
      </c>
      <c r="H861" s="5" t="inlineStr">
        <is>
          <t>Noviembre</t>
        </is>
      </c>
      <c r="I861" s="6" t="inlineStr">
        <is>
          <t>2022-2</t>
        </is>
      </c>
      <c r="J861" s="5" t="n">
        <v>20</v>
      </c>
      <c r="K861" s="10" t="n"/>
      <c r="L861" s="14" t="n"/>
      <c r="M861" s="14" t="n"/>
      <c r="N861" s="5" t="inlineStr">
        <is>
          <t>%</t>
        </is>
      </c>
      <c r="O861" s="5" t="inlineStr">
        <is>
          <t>No Aplica</t>
        </is>
      </c>
      <c r="P861" s="15" t="n">
        <v>0</v>
      </c>
      <c r="Q861" s="15" t="n">
        <v>0</v>
      </c>
      <c r="R861" s="5" t="inlineStr">
        <is>
          <t>217-2022-11-30</t>
        </is>
      </c>
      <c r="S861" t="inlineStr">
        <is>
          <t>No Aplica</t>
        </is>
      </c>
    </row>
    <row r="862">
      <c r="A862" s="21" t="n">
        <v>217</v>
      </c>
      <c r="B862" s="5" t="inlineStr">
        <is>
          <t>Aprovechamiento de Residuos</t>
        </is>
      </c>
      <c r="C862" s="5" t="inlineStr">
        <is>
          <t>GESTIÓN AMBIENTAL</t>
        </is>
      </c>
      <c r="D862" s="5" t="inlineStr">
        <is>
          <t>Mensual</t>
        </is>
      </c>
      <c r="E862" s="5" t="inlineStr">
        <is>
          <t>Positivo</t>
        </is>
      </c>
      <c r="F862" s="106" t="n">
        <v>44926</v>
      </c>
      <c r="G862" s="5" t="n">
        <v>2022</v>
      </c>
      <c r="H862" s="5" t="inlineStr">
        <is>
          <t>Diciembre</t>
        </is>
      </c>
      <c r="I862" s="6" t="inlineStr">
        <is>
          <t>2022-2</t>
        </is>
      </c>
      <c r="J862" s="5" t="n">
        <v>20</v>
      </c>
      <c r="K862" s="9" t="n"/>
      <c r="L862" s="14" t="n"/>
      <c r="M862" s="14" t="n"/>
      <c r="N862" s="5" t="inlineStr">
        <is>
          <t>%</t>
        </is>
      </c>
      <c r="O862" s="5" t="inlineStr">
        <is>
          <t>No Aplica</t>
        </is>
      </c>
      <c r="P862" s="15" t="n">
        <v>0</v>
      </c>
      <c r="Q862" s="15" t="n">
        <v>0</v>
      </c>
      <c r="R862" s="5" t="inlineStr">
        <is>
          <t>217-2022-12-31</t>
        </is>
      </c>
      <c r="S862" t="inlineStr">
        <is>
          <t>No Aplica</t>
        </is>
      </c>
    </row>
    <row r="863">
      <c r="A863" s="26" t="n">
        <v>217</v>
      </c>
      <c r="B863" s="5" t="inlineStr">
        <is>
          <t>Aprovechamiento de Residuos</t>
        </is>
      </c>
      <c r="C863" s="5" t="inlineStr">
        <is>
          <t>GESTIÓN AMBIENTAL</t>
        </is>
      </c>
      <c r="D863" s="5" t="inlineStr">
        <is>
          <t>Mensual</t>
        </is>
      </c>
      <c r="E863" s="5" t="inlineStr">
        <is>
          <t>Positivo</t>
        </is>
      </c>
      <c r="F863" s="107" t="n">
        <v>44957</v>
      </c>
      <c r="G863" s="5" t="n">
        <v>2023</v>
      </c>
      <c r="H863" s="5" t="inlineStr">
        <is>
          <t>Enero</t>
        </is>
      </c>
      <c r="I863" s="6" t="inlineStr">
        <is>
          <t>2023-1</t>
        </is>
      </c>
      <c r="J863" s="5" t="n">
        <v>20</v>
      </c>
      <c r="K863" s="9" t="n">
        <v>80.26584867075699</v>
      </c>
      <c r="L863" s="14">
        <f>IFERROR(IF(OR(J863=0,K863=""),"",IF(E863="Positivo",MIN(MAX(K863/J863,0),1.3),MIN(MAX(J863/K863,0),1.3))),"") </f>
        <v/>
      </c>
      <c r="M863" s="14">
        <f>IFERROR(IF(OR(J863=0,K863=""),"",IF(E863="Positivo",MAX(K863/J863,0),MAX(J863/K863,0))),"") </f>
        <v/>
      </c>
      <c r="N863" s="5" t="inlineStr">
        <is>
          <t>%</t>
        </is>
      </c>
      <c r="O863" s="5" t="inlineStr">
        <is>
          <t>%</t>
        </is>
      </c>
      <c r="P863" s="15" t="n">
        <v>0</v>
      </c>
      <c r="Q863" s="15" t="n">
        <v>0</v>
      </c>
      <c r="R863" s="5" t="inlineStr">
        <is>
          <t>217-2023-01-31</t>
        </is>
      </c>
    </row>
    <row r="864">
      <c r="A864" s="5" t="n">
        <v>217</v>
      </c>
      <c r="B864" s="5" t="inlineStr">
        <is>
          <t>Aprovechamiento de Residuos</t>
        </is>
      </c>
      <c r="C864" s="5" t="inlineStr">
        <is>
          <t>GESTIÓN AMBIENTAL</t>
        </is>
      </c>
      <c r="D864" s="5" t="inlineStr">
        <is>
          <t>Mensual</t>
        </is>
      </c>
      <c r="E864" s="5" t="inlineStr">
        <is>
          <t>Positivo</t>
        </is>
      </c>
      <c r="F864" s="107" t="n">
        <v>44985</v>
      </c>
      <c r="G864" s="5" t="n">
        <v>2023</v>
      </c>
      <c r="H864" s="5" t="inlineStr">
        <is>
          <t>Febrero</t>
        </is>
      </c>
      <c r="I864" s="6" t="inlineStr">
        <is>
          <t>2023-1</t>
        </is>
      </c>
      <c r="J864" s="5" t="n">
        <v>20</v>
      </c>
      <c r="K864" s="5" t="n">
        <v>57.669322709163</v>
      </c>
      <c r="L864" s="14">
        <f>IFERROR(IF(OR(J864=0,K864=""),"",IF(E864="Positivo",MIN(MAX(K864/J864,0),1.3),MIN(MAX(J864/K864,0),1.3))),"") </f>
        <v/>
      </c>
      <c r="M864" s="14">
        <f>IFERROR(IF(OR(J864=0,K864=""),"",IF(E864="Positivo",MAX(K864/J864,0),MAX(J864/K864,0))),"") </f>
        <v/>
      </c>
      <c r="N864" s="5" t="inlineStr">
        <is>
          <t>%</t>
        </is>
      </c>
      <c r="O864" s="5" t="inlineStr">
        <is>
          <t>%</t>
        </is>
      </c>
      <c r="P864" s="5" t="n">
        <v>0</v>
      </c>
      <c r="Q864" s="5" t="n">
        <v>0</v>
      </c>
      <c r="R864" s="5" t="inlineStr">
        <is>
          <t>217-2023-02-28</t>
        </is>
      </c>
    </row>
    <row r="865">
      <c r="A865" s="21" t="n">
        <v>217</v>
      </c>
      <c r="B865" s="5" t="inlineStr">
        <is>
          <t>Aprovechamiento de Residuos</t>
        </is>
      </c>
      <c r="C865" s="5" t="inlineStr">
        <is>
          <t>GESTIÓN AMBIENTAL</t>
        </is>
      </c>
      <c r="D865" s="5" t="inlineStr">
        <is>
          <t>Mensual</t>
        </is>
      </c>
      <c r="E865" s="5" t="inlineStr">
        <is>
          <t>Positivo</t>
        </is>
      </c>
      <c r="F865" s="107" t="n">
        <v>45016</v>
      </c>
      <c r="G865" s="5" t="n">
        <v>2023</v>
      </c>
      <c r="H865" s="5" t="inlineStr">
        <is>
          <t>Marzo</t>
        </is>
      </c>
      <c r="I865" s="6" t="inlineStr">
        <is>
          <t>2023-1</t>
        </is>
      </c>
      <c r="J865" s="5" t="n">
        <v>20</v>
      </c>
      <c r="K865" s="10" t="n">
        <v>53.684210526316</v>
      </c>
      <c r="L865" s="14">
        <f>IFERROR(IF(OR(J865=0,K865=""),"",IF(E865="Positivo",MIN(MAX(K865/J865,0),1.3),MIN(MAX(J865/K865,0),1.3))),"") </f>
        <v/>
      </c>
      <c r="M865" s="14">
        <f>IFERROR(IF(OR(J865=0,K865=""),"",IF(E865="Positivo",MAX(K865/J865,0),MAX(J865/K865,0))),"") </f>
        <v/>
      </c>
      <c r="N865" s="5" t="inlineStr">
        <is>
          <t>%</t>
        </is>
      </c>
      <c r="O865" s="5" t="inlineStr">
        <is>
          <t>%</t>
        </is>
      </c>
      <c r="P865" s="15" t="n">
        <v>0</v>
      </c>
      <c r="Q865" s="15" t="n">
        <v>0</v>
      </c>
      <c r="R865" s="5" t="inlineStr">
        <is>
          <t>217-2023-03-31</t>
        </is>
      </c>
    </row>
    <row r="866">
      <c r="A866" s="21" t="n">
        <v>217</v>
      </c>
      <c r="B866" s="5" t="inlineStr">
        <is>
          <t>Aprovechamiento de Residuos</t>
        </is>
      </c>
      <c r="C866" s="5" t="inlineStr">
        <is>
          <t>GESTIÓN AMBIENTAL</t>
        </is>
      </c>
      <c r="D866" s="5" t="inlineStr">
        <is>
          <t>Mensual</t>
        </is>
      </c>
      <c r="E866" s="5" t="inlineStr">
        <is>
          <t>Positivo</t>
        </is>
      </c>
      <c r="F866" s="106" t="n">
        <v>45046</v>
      </c>
      <c r="G866" s="5" t="n">
        <v>2023</v>
      </c>
      <c r="H866" s="5" t="inlineStr">
        <is>
          <t>Abril</t>
        </is>
      </c>
      <c r="I866" s="6" t="inlineStr">
        <is>
          <t>2023-1</t>
        </is>
      </c>
      <c r="J866" s="5" t="n">
        <v>20</v>
      </c>
      <c r="K866" s="9" t="n">
        <v>65.302491103203</v>
      </c>
      <c r="L866" s="14">
        <f>IFERROR(IF(OR(J866=0,K866=""),"",IF(E866="Positivo",MIN(MAX(K866/J866,0),1.3),MIN(MAX(J866/K866,0),1.3))),"") </f>
        <v/>
      </c>
      <c r="M866" s="14">
        <f>IFERROR(IF(OR(J866=0,K866=""),"",IF(E866="Positivo",MAX(K866/J866,0),MAX(J866/K866,0))),"") </f>
        <v/>
      </c>
      <c r="N866" s="5" t="inlineStr">
        <is>
          <t>%</t>
        </is>
      </c>
      <c r="O866" s="5" t="inlineStr">
        <is>
          <t>%</t>
        </is>
      </c>
      <c r="P866" s="15" t="n">
        <v>1</v>
      </c>
      <c r="Q866" s="15" t="n">
        <v>1</v>
      </c>
      <c r="R866" s="5" t="inlineStr">
        <is>
          <t>217-2023-04-30</t>
        </is>
      </c>
    </row>
    <row r="867">
      <c r="A867" s="26" t="n">
        <v>217</v>
      </c>
      <c r="B867" s="5" t="inlineStr">
        <is>
          <t>Aprovechamiento de Residuos</t>
        </is>
      </c>
      <c r="C867" s="5" t="inlineStr">
        <is>
          <t>GESTIÓN AMBIENTAL</t>
        </is>
      </c>
      <c r="D867" s="5" t="inlineStr">
        <is>
          <t>Mensual</t>
        </is>
      </c>
      <c r="E867" s="5" t="inlineStr">
        <is>
          <t>Positivo</t>
        </is>
      </c>
      <c r="F867" s="107" t="n">
        <v>45077</v>
      </c>
      <c r="G867" s="5" t="n">
        <v>2023</v>
      </c>
      <c r="H867" s="5" t="inlineStr">
        <is>
          <t>Mayo</t>
        </is>
      </c>
      <c r="I867" s="6" t="inlineStr">
        <is>
          <t>2023-1</t>
        </is>
      </c>
      <c r="J867" s="5" t="n">
        <v>20</v>
      </c>
      <c r="K867" s="9" t="n">
        <v>33.942687747036</v>
      </c>
      <c r="L867" s="14">
        <f>IFERROR(IF(OR(J867=0,K867=""),"",IF(E867="Positivo",MIN(MAX(K867/J867,0),1.3),MIN(MAX(J867/K867,0),1.3))),"") </f>
        <v/>
      </c>
      <c r="M867" s="14">
        <f>IFERROR(IF(OR(J867=0,K867=""),"",IF(E867="Positivo",MAX(K867/J867,0),MAX(J867/K867,0))),"") </f>
        <v/>
      </c>
      <c r="N867" s="5" t="inlineStr">
        <is>
          <t>%</t>
        </is>
      </c>
      <c r="O867" s="5" t="inlineStr">
        <is>
          <t>%</t>
        </is>
      </c>
      <c r="P867" s="15" t="n">
        <v>0</v>
      </c>
      <c r="Q867" s="15" t="n">
        <v>0</v>
      </c>
      <c r="R867" s="5" t="inlineStr">
        <is>
          <t>217-2023-05-31</t>
        </is>
      </c>
    </row>
    <row r="868">
      <c r="A868" s="5" t="n">
        <v>217</v>
      </c>
      <c r="B868" s="5" t="inlineStr">
        <is>
          <t>Aprovechamiento de Residuos</t>
        </is>
      </c>
      <c r="C868" s="5" t="inlineStr">
        <is>
          <t>GESTIÓN AMBIENTAL</t>
        </is>
      </c>
      <c r="D868" s="5" t="inlineStr">
        <is>
          <t>Mensual</t>
        </is>
      </c>
      <c r="E868" s="5" t="inlineStr">
        <is>
          <t>Positivo</t>
        </is>
      </c>
      <c r="F868" s="107" t="n">
        <v>45107</v>
      </c>
      <c r="G868" s="5" t="n">
        <v>2023</v>
      </c>
      <c r="H868" s="5" t="inlineStr">
        <is>
          <t>Junio</t>
        </is>
      </c>
      <c r="I868" s="6" t="inlineStr">
        <is>
          <t>2023-1</t>
        </is>
      </c>
      <c r="J868" s="5" t="n">
        <v>20</v>
      </c>
      <c r="K868" s="5" t="n">
        <v>31.380626400921</v>
      </c>
      <c r="L868" s="14">
        <f>IFERROR(IF(OR(J868=0,K868=""),"",IF(E868="Positivo",MIN(MAX(K868/J868,0),1.3),MIN(MAX(J868/K868,0),1.3))),"") </f>
        <v/>
      </c>
      <c r="M868" s="14">
        <f>IFERROR(IF(OR(J868=0,K868=""),"",IF(E868="Positivo",MAX(K868/J868,0),MAX(J868/K868,0))),"") </f>
        <v/>
      </c>
      <c r="N868" s="5" t="inlineStr">
        <is>
          <t>%</t>
        </is>
      </c>
      <c r="O868" s="5" t="inlineStr">
        <is>
          <t>%</t>
        </is>
      </c>
      <c r="P868" s="5" t="n">
        <v>0</v>
      </c>
      <c r="Q868" s="5" t="n">
        <v>0</v>
      </c>
      <c r="R868" s="5" t="inlineStr">
        <is>
          <t>217-2023-06-30</t>
        </is>
      </c>
    </row>
    <row r="869">
      <c r="A869" s="21" t="n">
        <v>217</v>
      </c>
      <c r="B869" s="5" t="inlineStr">
        <is>
          <t>Aprovechamiento de Residuos</t>
        </is>
      </c>
      <c r="C869" s="5" t="inlineStr">
        <is>
          <t>GESTIÓN AMBIENTAL</t>
        </is>
      </c>
      <c r="D869" s="5" t="inlineStr">
        <is>
          <t>Mensual</t>
        </is>
      </c>
      <c r="E869" s="5" t="inlineStr">
        <is>
          <t>Positivo</t>
        </is>
      </c>
      <c r="F869" s="107" t="n">
        <v>45138</v>
      </c>
      <c r="G869" s="5" t="n">
        <v>2023</v>
      </c>
      <c r="H869" s="5" t="inlineStr">
        <is>
          <t>Julio</t>
        </is>
      </c>
      <c r="I869" s="6" t="inlineStr">
        <is>
          <t>2023-2</t>
        </is>
      </c>
      <c r="J869" s="5" t="n">
        <v>20</v>
      </c>
      <c r="K869" s="10" t="n">
        <v>24.49130938586327</v>
      </c>
      <c r="L869" s="14">
        <f>IFERROR(IF(OR(J869=0,K869=""),"",IF(E869="Positivo",MIN(MAX(K869/J869,0),1.3),MIN(MAX(J869/K869,0),1.3))),"") </f>
        <v/>
      </c>
      <c r="M869" s="14">
        <f>IFERROR(IF(OR(J869=0,K869=""),"",IF(E869="Positivo",MAX(K869/J869,0),MAX(J869/K869,0))),"") </f>
        <v/>
      </c>
      <c r="N869" s="5" t="inlineStr">
        <is>
          <t>%</t>
        </is>
      </c>
      <c r="O869" s="5" t="inlineStr">
        <is>
          <t>%</t>
        </is>
      </c>
      <c r="P869" s="15" t="n">
        <v>0</v>
      </c>
      <c r="Q869" s="15" t="n">
        <v>0</v>
      </c>
      <c r="R869" s="5" t="inlineStr">
        <is>
          <t>217-2023-07-31</t>
        </is>
      </c>
    </row>
    <row r="870">
      <c r="A870" s="21" t="n">
        <v>217</v>
      </c>
      <c r="B870" s="5" t="inlineStr">
        <is>
          <t>Aprovechamiento de Residuos</t>
        </is>
      </c>
      <c r="C870" s="5" t="inlineStr">
        <is>
          <t>GESTIÓN AMBIENTAL</t>
        </is>
      </c>
      <c r="D870" s="5" t="inlineStr">
        <is>
          <t>Mensual</t>
        </is>
      </c>
      <c r="E870" s="5" t="inlineStr">
        <is>
          <t>Positivo</t>
        </is>
      </c>
      <c r="F870" s="106" t="n">
        <v>45169</v>
      </c>
      <c r="G870" s="5" t="n">
        <v>2023</v>
      </c>
      <c r="H870" s="5" t="inlineStr">
        <is>
          <t>Agosto</t>
        </is>
      </c>
      <c r="I870" s="6" t="inlineStr">
        <is>
          <t>2023-2</t>
        </is>
      </c>
      <c r="J870" s="5" t="n">
        <v>20</v>
      </c>
      <c r="K870" s="9" t="n">
        <v>26.432398380448</v>
      </c>
      <c r="L870" s="14">
        <f>IFERROR(IF(OR(J870=0,K870=""),"",IF(E870="Positivo",MIN(MAX(K870/J870,0),1.3),MIN(MAX(J870/K870,0),1.3))),"") </f>
        <v/>
      </c>
      <c r="M870" s="14">
        <f>IFERROR(IF(OR(J870=0,K870=""),"",IF(E870="Positivo",MAX(K870/J870,0),MAX(J870/K870,0))),"") </f>
        <v/>
      </c>
      <c r="N870" s="5" t="inlineStr">
        <is>
          <t>%</t>
        </is>
      </c>
      <c r="O870" s="5" t="inlineStr">
        <is>
          <t>%</t>
        </is>
      </c>
      <c r="P870" s="15" t="n">
        <v>0</v>
      </c>
      <c r="Q870" s="15" t="n">
        <v>0</v>
      </c>
      <c r="R870" s="5" t="inlineStr">
        <is>
          <t>217-2023-08-31</t>
        </is>
      </c>
    </row>
    <row r="871">
      <c r="A871" s="26" t="n">
        <v>217</v>
      </c>
      <c r="B871" s="5" t="inlineStr">
        <is>
          <t>Aprovechamiento de Residuos</t>
        </is>
      </c>
      <c r="C871" s="5" t="inlineStr">
        <is>
          <t>GESTIÓN AMBIENTAL</t>
        </is>
      </c>
      <c r="D871" s="5" t="inlineStr">
        <is>
          <t>Mensual</t>
        </is>
      </c>
      <c r="E871" s="5" t="inlineStr">
        <is>
          <t>Positivo</t>
        </is>
      </c>
      <c r="F871" s="107" t="n">
        <v>45199</v>
      </c>
      <c r="G871" s="5" t="n">
        <v>2023</v>
      </c>
      <c r="H871" s="5" t="inlineStr">
        <is>
          <t>Septiembre</t>
        </is>
      </c>
      <c r="I871" s="6" t="inlineStr">
        <is>
          <t>2023-2</t>
        </is>
      </c>
      <c r="J871" s="5" t="n">
        <v>20</v>
      </c>
      <c r="K871" s="9" t="n">
        <v>24.292455241659</v>
      </c>
      <c r="L871" s="14">
        <f>IFERROR(IF(OR(J871=0,K871=""),"",IF(E871="Positivo",MIN(MAX(K871/J871,0),1.3),MIN(MAX(J871/K871,0),1.3))),"") </f>
        <v/>
      </c>
      <c r="M871" s="14">
        <f>IFERROR(IF(OR(J871=0,K871=""),"",IF(E871="Positivo",MAX(K871/J871,0),MAX(J871/K871,0))),"") </f>
        <v/>
      </c>
      <c r="N871" s="5" t="inlineStr">
        <is>
          <t>%</t>
        </is>
      </c>
      <c r="O871" s="5" t="inlineStr">
        <is>
          <t>%</t>
        </is>
      </c>
      <c r="P871" s="15" t="n">
        <v>0</v>
      </c>
      <c r="Q871" s="15" t="n">
        <v>0</v>
      </c>
      <c r="R871" s="5" t="inlineStr">
        <is>
          <t>217-2023-09-30</t>
        </is>
      </c>
    </row>
    <row r="872">
      <c r="A872" s="5" t="n">
        <v>217</v>
      </c>
      <c r="B872" s="5" t="inlineStr">
        <is>
          <t>Aprovechamiento de Residuos</t>
        </is>
      </c>
      <c r="C872" s="5" t="inlineStr">
        <is>
          <t>GESTIÓN AMBIENTAL</t>
        </is>
      </c>
      <c r="D872" s="5" t="inlineStr">
        <is>
          <t>Mensual</t>
        </is>
      </c>
      <c r="E872" s="5" t="inlineStr">
        <is>
          <t>Positivo</t>
        </is>
      </c>
      <c r="F872" s="107" t="n">
        <v>45230</v>
      </c>
      <c r="G872" s="5" t="n">
        <v>2023</v>
      </c>
      <c r="H872" s="5" t="inlineStr">
        <is>
          <t>Octubre</t>
        </is>
      </c>
      <c r="I872" s="6" t="inlineStr">
        <is>
          <t>2023-2</t>
        </is>
      </c>
      <c r="J872" s="5" t="n">
        <v>20</v>
      </c>
      <c r="K872" s="5" t="n">
        <v>16.28971459343</v>
      </c>
      <c r="L872" s="14">
        <f>IFERROR(IF(OR(J872=0,K872=""),"",IF(E872="Positivo",MIN(MAX(K872/J872,0),1.3),MIN(MAX(J872/K872,0),1.3))),"") </f>
        <v/>
      </c>
      <c r="M872" s="14">
        <f>IFERROR(IF(OR(J872=0,K872=""),"",IF(E872="Positivo",MAX(K872/J872,0),MAX(J872/K872,0))),"") </f>
        <v/>
      </c>
      <c r="N872" s="5" t="inlineStr">
        <is>
          <t>%</t>
        </is>
      </c>
      <c r="O872" s="5" t="inlineStr">
        <is>
          <t>%</t>
        </is>
      </c>
      <c r="P872" s="5" t="n">
        <v>0</v>
      </c>
      <c r="Q872" s="5" t="n">
        <v>0</v>
      </c>
      <c r="R872" s="5" t="inlineStr">
        <is>
          <t>217-2023-10-31</t>
        </is>
      </c>
    </row>
    <row r="873">
      <c r="A873" s="21" t="n">
        <v>217</v>
      </c>
      <c r="B873" s="5" t="inlineStr">
        <is>
          <t>Aprovechamiento de Residuos</t>
        </is>
      </c>
      <c r="C873" s="5" t="inlineStr">
        <is>
          <t>GESTIÓN AMBIENTAL</t>
        </is>
      </c>
      <c r="D873" s="5" t="inlineStr">
        <is>
          <t>Mensual</t>
        </is>
      </c>
      <c r="E873" s="5" t="inlineStr">
        <is>
          <t>Positivo</t>
        </is>
      </c>
      <c r="F873" s="107" t="n">
        <v>45260</v>
      </c>
      <c r="G873" s="5" t="n">
        <v>2023</v>
      </c>
      <c r="H873" s="5" t="inlineStr">
        <is>
          <t>Noviembre</t>
        </is>
      </c>
      <c r="I873" s="6" t="inlineStr">
        <is>
          <t>2023-2</t>
        </is>
      </c>
      <c r="J873" s="5" t="n">
        <v>20</v>
      </c>
      <c r="K873" s="10" t="n">
        <v>12.737618000776</v>
      </c>
      <c r="L873" s="14">
        <f>IFERROR(IF(OR(J873=0,K873=""),"",IF(E873="Positivo",MIN(MAX(K873/J873,0),1.3),MIN(MAX(J873/K873,0),1.3))),"") </f>
        <v/>
      </c>
      <c r="M873" s="14">
        <f>IFERROR(IF(OR(J873=0,K873=""),"",IF(E873="Positivo",MAX(K873/J873,0),MAX(J873/K873,0))),"") </f>
        <v/>
      </c>
      <c r="N873" s="5" t="inlineStr">
        <is>
          <t>%</t>
        </is>
      </c>
      <c r="O873" s="5" t="inlineStr">
        <is>
          <t>%</t>
        </is>
      </c>
      <c r="P873" s="15" t="n">
        <v>0</v>
      </c>
      <c r="Q873" s="15" t="n">
        <v>0</v>
      </c>
      <c r="R873" s="5" t="inlineStr">
        <is>
          <t>217-2023-11-30</t>
        </is>
      </c>
    </row>
    <row r="874">
      <c r="A874" s="21" t="n">
        <v>217</v>
      </c>
      <c r="B874" s="5" t="inlineStr">
        <is>
          <t>Aprovechamiento de Residuos</t>
        </is>
      </c>
      <c r="C874" s="5" t="inlineStr">
        <is>
          <t>GESTIÓN AMBIENTAL</t>
        </is>
      </c>
      <c r="D874" s="5" t="inlineStr">
        <is>
          <t>Mensual</t>
        </is>
      </c>
      <c r="E874" s="5" t="inlineStr">
        <is>
          <t>Positivo</t>
        </is>
      </c>
      <c r="F874" s="106" t="n">
        <v>45291</v>
      </c>
      <c r="G874" s="5" t="n">
        <v>2023</v>
      </c>
      <c r="H874" s="5" t="inlineStr">
        <is>
          <t>Diciembre</t>
        </is>
      </c>
      <c r="I874" s="6" t="inlineStr">
        <is>
          <t>2023-2</t>
        </is>
      </c>
      <c r="J874" s="5" t="n">
        <v>20</v>
      </c>
      <c r="K874" s="9" t="n">
        <v>26.540319967693</v>
      </c>
      <c r="L874" s="14">
        <f>IFERROR(IF(OR(J874=0,K874=""),"",IF(E874="Positivo",MIN(MAX(K874/J874,0),1.3),MIN(MAX(J874/K874,0),1.3))),"") </f>
        <v/>
      </c>
      <c r="M874" s="14">
        <f>IFERROR(IF(OR(J874=0,K874=""),"",IF(E874="Positivo",MAX(K874/J874,0),MAX(J874/K874,0))),"") </f>
        <v/>
      </c>
      <c r="N874" s="5" t="inlineStr">
        <is>
          <t>%</t>
        </is>
      </c>
      <c r="O874" s="5" t="inlineStr">
        <is>
          <t>%</t>
        </is>
      </c>
      <c r="P874" s="15" t="n">
        <v>0</v>
      </c>
      <c r="Q874" s="15" t="n">
        <v>0</v>
      </c>
      <c r="R874" s="5" t="inlineStr">
        <is>
          <t>217-2023-12-31</t>
        </is>
      </c>
    </row>
    <row r="875">
      <c r="A875" s="26" t="n">
        <v>217</v>
      </c>
      <c r="B875" s="5" t="inlineStr">
        <is>
          <t>Aprovechamiento de Residuos</t>
        </is>
      </c>
      <c r="C875" s="5" t="inlineStr">
        <is>
          <t>GESTIÓN AMBIENTAL</t>
        </is>
      </c>
      <c r="D875" s="5" t="inlineStr">
        <is>
          <t>Mensual</t>
        </is>
      </c>
      <c r="E875" s="5" t="inlineStr">
        <is>
          <t>Positivo</t>
        </is>
      </c>
      <c r="F875" s="107" t="n">
        <v>45322</v>
      </c>
      <c r="G875" s="5" t="n">
        <v>2024</v>
      </c>
      <c r="H875" s="5" t="inlineStr">
        <is>
          <t>Enero</t>
        </is>
      </c>
      <c r="I875" s="6" t="inlineStr">
        <is>
          <t>2024-1</t>
        </is>
      </c>
      <c r="J875" s="5" t="n">
        <v>20</v>
      </c>
      <c r="K875" s="9" t="n">
        <v>53.86</v>
      </c>
      <c r="L875" s="14">
        <f>IFERROR(IF(OR(J875=0,K875=""),"",IF(E875="Positivo",MIN(MAX(K875/J875,0),1.3),MIN(MAX(J875/K875,0),1.3))),"") </f>
        <v/>
      </c>
      <c r="M875" s="14">
        <f>IFERROR(IF(OR(J875=0,K875=""),"",IF(E875="Positivo",MAX(K875/J875,0),MAX(J875/K875,0))),"") </f>
        <v/>
      </c>
      <c r="N875" s="5" t="inlineStr">
        <is>
          <t>%</t>
        </is>
      </c>
      <c r="O875" s="5" t="inlineStr">
        <is>
          <t>%</t>
        </is>
      </c>
      <c r="P875" s="15" t="n">
        <v>0</v>
      </c>
      <c r="Q875" s="15" t="n">
        <v>0</v>
      </c>
      <c r="R875" s="5" t="inlineStr">
        <is>
          <t>217-2024-01-31</t>
        </is>
      </c>
    </row>
    <row r="876">
      <c r="A876" s="5" t="n">
        <v>217</v>
      </c>
      <c r="B876" s="5" t="inlineStr">
        <is>
          <t>Aprovechamiento de Residuos</t>
        </is>
      </c>
      <c r="C876" s="5" t="inlineStr">
        <is>
          <t>GESTIÓN AMBIENTAL</t>
        </is>
      </c>
      <c r="D876" s="5" t="inlineStr">
        <is>
          <t>Mensual</t>
        </is>
      </c>
      <c r="E876" s="5" t="inlineStr">
        <is>
          <t>Positivo</t>
        </is>
      </c>
      <c r="F876" s="107" t="n">
        <v>45351</v>
      </c>
      <c r="G876" s="5" t="n">
        <v>2024</v>
      </c>
      <c r="H876" s="5" t="inlineStr">
        <is>
          <t>Febrero</t>
        </is>
      </c>
      <c r="I876" s="6" t="inlineStr">
        <is>
          <t>2024-1</t>
        </is>
      </c>
      <c r="J876" s="5" t="n">
        <v>20</v>
      </c>
      <c r="K876" s="5" t="n">
        <v>18.72</v>
      </c>
      <c r="L876" s="14">
        <f>IFERROR(IF(OR(J876=0,K876=""),"",IF(E876="Positivo",MIN(MAX(K876/J876,0),1.3),MIN(MAX(J876/K876,0),1.3))),"") </f>
        <v/>
      </c>
      <c r="M876" s="14">
        <f>IFERROR(IF(OR(J876=0,K876=""),"",IF(E876="Positivo",MAX(K876/J876,0),MAX(J876/K876,0))),"") </f>
        <v/>
      </c>
      <c r="N876" s="5" t="inlineStr">
        <is>
          <t>%</t>
        </is>
      </c>
      <c r="O876" s="5" t="inlineStr">
        <is>
          <t>%</t>
        </is>
      </c>
      <c r="P876" s="5" t="n">
        <v>0</v>
      </c>
      <c r="Q876" s="5" t="n">
        <v>1</v>
      </c>
      <c r="R876" s="5" t="inlineStr">
        <is>
          <t>217-2024-02-29</t>
        </is>
      </c>
    </row>
    <row r="877">
      <c r="A877" s="21" t="n">
        <v>217</v>
      </c>
      <c r="B877" s="5" t="inlineStr">
        <is>
          <t>Aprovechamiento de Residuos</t>
        </is>
      </c>
      <c r="C877" s="5" t="inlineStr">
        <is>
          <t>GESTIÓN AMBIENTAL</t>
        </is>
      </c>
      <c r="D877" s="5" t="inlineStr">
        <is>
          <t>Mensual</t>
        </is>
      </c>
      <c r="E877" s="5" t="inlineStr">
        <is>
          <t>Positivo</t>
        </is>
      </c>
      <c r="F877" s="107" t="n">
        <v>45382</v>
      </c>
      <c r="G877" s="5" t="n">
        <v>2024</v>
      </c>
      <c r="H877" s="5" t="inlineStr">
        <is>
          <t>Marzo</t>
        </is>
      </c>
      <c r="I877" s="6" t="inlineStr">
        <is>
          <t>2024-1</t>
        </is>
      </c>
      <c r="J877" s="5" t="n">
        <v>20</v>
      </c>
      <c r="K877" s="10" t="n">
        <v>18.39</v>
      </c>
      <c r="L877" s="14">
        <f>IFERROR(IF(OR(J877=0,K877=""),"",IF(E877="Positivo",MIN(MAX(K877/J877,0),1.3),MIN(MAX(J877/K877,0),1.3))),"") </f>
        <v/>
      </c>
      <c r="M877" s="14">
        <f>IFERROR(IF(OR(J877=0,K877=""),"",IF(E877="Positivo",MAX(K877/J877,0),MAX(J877/K877,0))),"") </f>
        <v/>
      </c>
      <c r="N877" s="5" t="inlineStr">
        <is>
          <t>%</t>
        </is>
      </c>
      <c r="O877" s="5" t="inlineStr">
        <is>
          <t>%</t>
        </is>
      </c>
      <c r="P877" s="15" t="n">
        <v>0</v>
      </c>
      <c r="Q877" s="15" t="n">
        <v>1</v>
      </c>
      <c r="R877" s="5" t="inlineStr">
        <is>
          <t>217-2024-03-31</t>
        </is>
      </c>
    </row>
    <row r="878">
      <c r="A878" s="21" t="n">
        <v>217</v>
      </c>
      <c r="B878" s="5" t="inlineStr">
        <is>
          <t>Aprovechamiento de Residuos</t>
        </is>
      </c>
      <c r="C878" s="5" t="inlineStr">
        <is>
          <t>GESTIÓN AMBIENTAL</t>
        </is>
      </c>
      <c r="D878" s="5" t="inlineStr">
        <is>
          <t>Mensual</t>
        </is>
      </c>
      <c r="E878" s="5" t="inlineStr">
        <is>
          <t>Positivo</t>
        </is>
      </c>
      <c r="F878" s="106" t="n">
        <v>45412</v>
      </c>
      <c r="G878" s="5" t="n">
        <v>2024</v>
      </c>
      <c r="H878" s="5" t="inlineStr">
        <is>
          <t>Abril</t>
        </is>
      </c>
      <c r="I878" s="6" t="inlineStr">
        <is>
          <t>2024-1</t>
        </is>
      </c>
      <c r="J878" s="5" t="n">
        <v>20</v>
      </c>
      <c r="K878" s="9" t="n">
        <v>18.6</v>
      </c>
      <c r="L878" s="14">
        <f>IFERROR(IF(OR(J878=0,K878=""),"",IF(E878="Positivo",MIN(MAX(K878/J878,0),1.3),MIN(MAX(J878/K878,0),1.3))),"") </f>
        <v/>
      </c>
      <c r="M878" s="14">
        <f>IFERROR(IF(OR(J878=0,K878=""),"",IF(E878="Positivo",MAX(K878/J878,0),MAX(J878/K878,0))),"") </f>
        <v/>
      </c>
      <c r="N878" s="5" t="inlineStr">
        <is>
          <t>%</t>
        </is>
      </c>
      <c r="O878" s="5" t="inlineStr">
        <is>
          <t>%</t>
        </is>
      </c>
      <c r="P878" s="15" t="n">
        <v>0</v>
      </c>
      <c r="Q878" s="15" t="n">
        <v>1</v>
      </c>
      <c r="R878" s="5" t="inlineStr">
        <is>
          <t>217-2024-04-30</t>
        </is>
      </c>
    </row>
    <row r="879">
      <c r="A879" s="26" t="n">
        <v>217</v>
      </c>
      <c r="B879" s="5" t="inlineStr">
        <is>
          <t>Aprovechamiento de Residuos</t>
        </is>
      </c>
      <c r="C879" s="5" t="inlineStr">
        <is>
          <t>GESTIÓN AMBIENTAL</t>
        </is>
      </c>
      <c r="D879" s="5" t="inlineStr">
        <is>
          <t>Mensual</t>
        </is>
      </c>
      <c r="E879" s="5" t="inlineStr">
        <is>
          <t>Positivo</t>
        </is>
      </c>
      <c r="F879" s="107" t="n">
        <v>45443</v>
      </c>
      <c r="G879" s="5" t="n">
        <v>2024</v>
      </c>
      <c r="H879" s="5" t="inlineStr">
        <is>
          <t>Mayo</t>
        </is>
      </c>
      <c r="I879" s="6" t="inlineStr">
        <is>
          <t>2024-1</t>
        </is>
      </c>
      <c r="J879" s="5" t="n">
        <v>20</v>
      </c>
      <c r="K879" s="9" t="n">
        <v>28.11</v>
      </c>
      <c r="L879" s="14">
        <f>IFERROR(IF(OR(J879=0,K879=""),"",IF(E879="Positivo",MIN(MAX(K879/J879,0),1.3),MIN(MAX(J879/K879,0),1.3))),"") </f>
        <v/>
      </c>
      <c r="M879" s="14">
        <f>IFERROR(IF(OR(J879=0,K879=""),"",IF(E879="Positivo",MAX(K879/J879,0),MAX(J879/K879,0))),"") </f>
        <v/>
      </c>
      <c r="N879" s="5" t="inlineStr">
        <is>
          <t>%</t>
        </is>
      </c>
      <c r="O879" s="5" t="inlineStr">
        <is>
          <t>%</t>
        </is>
      </c>
      <c r="P879" s="15" t="n">
        <v>0</v>
      </c>
      <c r="Q879" s="15" t="n">
        <v>1</v>
      </c>
      <c r="R879" s="5" t="inlineStr">
        <is>
          <t>217-2024-05-31</t>
        </is>
      </c>
    </row>
    <row r="880">
      <c r="A880" s="5" t="n">
        <v>217</v>
      </c>
      <c r="B880" s="5" t="inlineStr">
        <is>
          <t>Aprovechamiento de Residuos</t>
        </is>
      </c>
      <c r="C880" s="5" t="inlineStr">
        <is>
          <t>GESTIÓN AMBIENTAL</t>
        </is>
      </c>
      <c r="D880" s="5" t="inlineStr">
        <is>
          <t>Mensual</t>
        </is>
      </c>
      <c r="E880" s="5" t="inlineStr">
        <is>
          <t>Positivo</t>
        </is>
      </c>
      <c r="F880" s="107" t="n">
        <v>45473</v>
      </c>
      <c r="G880" s="5" t="n">
        <v>2024</v>
      </c>
      <c r="H880" s="5" t="inlineStr">
        <is>
          <t>Junio</t>
        </is>
      </c>
      <c r="I880" s="6" t="inlineStr">
        <is>
          <t>2024-1</t>
        </is>
      </c>
      <c r="J880" s="5" t="n">
        <v>20</v>
      </c>
      <c r="K880" s="5" t="n">
        <v>17.23</v>
      </c>
      <c r="L880" s="14">
        <f>IFERROR(IF(OR(J880=0,K880=""),"",IF(E880="Positivo",MIN(MAX(K880/J880,0),1.3),MIN(MAX(J880/K880,0),1.3))),"") </f>
        <v/>
      </c>
      <c r="M880" s="14">
        <f>IFERROR(IF(OR(J880=0,K880=""),"",IF(E880="Positivo",MAX(K880/J880,0),MAX(J880/K880,0))),"") </f>
        <v/>
      </c>
      <c r="N880" s="5" t="inlineStr">
        <is>
          <t>%</t>
        </is>
      </c>
      <c r="O880" s="5" t="inlineStr">
        <is>
          <t>%</t>
        </is>
      </c>
      <c r="P880" s="5" t="n">
        <v>0</v>
      </c>
      <c r="Q880" s="5" t="n">
        <v>1</v>
      </c>
      <c r="R880" s="5" t="inlineStr">
        <is>
          <t>217-2024-06-30</t>
        </is>
      </c>
    </row>
    <row r="881">
      <c r="A881" s="21" t="n">
        <v>217</v>
      </c>
      <c r="B881" s="5" t="inlineStr">
        <is>
          <t>Aprovechamiento de Residuos</t>
        </is>
      </c>
      <c r="C881" s="5" t="inlineStr">
        <is>
          <t>GESTIÓN AMBIENTAL</t>
        </is>
      </c>
      <c r="D881" s="5" t="inlineStr">
        <is>
          <t>Mensual</t>
        </is>
      </c>
      <c r="E881" s="5" t="inlineStr">
        <is>
          <t>Positivo</t>
        </is>
      </c>
      <c r="F881" s="107" t="n">
        <v>45504</v>
      </c>
      <c r="G881" s="5" t="n">
        <v>2024</v>
      </c>
      <c r="H881" s="5" t="inlineStr">
        <is>
          <t>Julio</t>
        </is>
      </c>
      <c r="I881" s="6" t="inlineStr">
        <is>
          <t>2024-2</t>
        </is>
      </c>
      <c r="J881" s="5" t="n">
        <v>20</v>
      </c>
      <c r="K881" s="9" t="n">
        <v>27.77</v>
      </c>
      <c r="L881" s="14">
        <f>IFERROR(IF(OR(J881=0,K881=""),"",IF(E881="Positivo",MIN(MAX(K881/J881,0),1.3),MIN(MAX(J881/K881,0),1.3))),"") </f>
        <v/>
      </c>
      <c r="M881" s="14">
        <f>IFERROR(IF(OR(J881=0,K881=""),"",IF(E881="Positivo",MAX(K881/J881,0),MAX(J881/K881,0))),"") </f>
        <v/>
      </c>
      <c r="N881" s="5" t="inlineStr">
        <is>
          <t>%</t>
        </is>
      </c>
      <c r="O881" s="5" t="inlineStr">
        <is>
          <t>%</t>
        </is>
      </c>
      <c r="P881" s="15" t="n">
        <v>0</v>
      </c>
      <c r="Q881" s="15" t="n">
        <v>1</v>
      </c>
      <c r="R881" s="5" t="inlineStr">
        <is>
          <t>217-2024-07-31</t>
        </is>
      </c>
    </row>
    <row r="882">
      <c r="A882" s="21" t="n">
        <v>217</v>
      </c>
      <c r="B882" s="5" t="inlineStr">
        <is>
          <t>Aprovechamiento de Residuos</t>
        </is>
      </c>
      <c r="C882" s="5" t="inlineStr">
        <is>
          <t>GESTIÓN AMBIENTAL</t>
        </is>
      </c>
      <c r="D882" s="5" t="inlineStr">
        <is>
          <t>Mensual</t>
        </is>
      </c>
      <c r="E882" s="5" t="inlineStr">
        <is>
          <t>Positivo</t>
        </is>
      </c>
      <c r="F882" s="107" t="n">
        <v>45535</v>
      </c>
      <c r="G882" s="5" t="n">
        <v>2024</v>
      </c>
      <c r="H882" s="5" t="inlineStr">
        <is>
          <t>Agosto</t>
        </is>
      </c>
      <c r="I882" s="6" t="inlineStr">
        <is>
          <t>2024-2</t>
        </is>
      </c>
      <c r="J882" s="5" t="n">
        <v>20</v>
      </c>
      <c r="K882" s="9" t="n">
        <v>23.96</v>
      </c>
      <c r="L882" s="14">
        <f>IFERROR(IF(OR(J882=0,K882=""),"",IF(E882="Positivo",MIN(MAX(K882/J882,0),1.3),MIN(MAX(J882/K882,0),1.3))),"") </f>
        <v/>
      </c>
      <c r="M882" s="14">
        <f>IFERROR(IF(OR(J882=0,K882=""),"",IF(E882="Positivo",MAX(K882/J882,0),MAX(J882/K882,0))),"") </f>
        <v/>
      </c>
      <c r="N882" s="5" t="inlineStr">
        <is>
          <t>%</t>
        </is>
      </c>
      <c r="O882" s="5" t="inlineStr">
        <is>
          <t>%</t>
        </is>
      </c>
      <c r="P882" s="15" t="n">
        <v>0</v>
      </c>
      <c r="Q882" s="15" t="n">
        <v>1</v>
      </c>
      <c r="R882" s="5" t="inlineStr">
        <is>
          <t>217-2024-08-31</t>
        </is>
      </c>
    </row>
    <row r="883">
      <c r="A883" s="26" t="n">
        <v>217</v>
      </c>
      <c r="B883" s="5" t="inlineStr">
        <is>
          <t>Aprovechamiento de Residuos</t>
        </is>
      </c>
      <c r="C883" s="5" t="inlineStr">
        <is>
          <t>GESTIÓN AMBIENTAL</t>
        </is>
      </c>
      <c r="D883" s="5" t="inlineStr">
        <is>
          <t>Mensual</t>
        </is>
      </c>
      <c r="E883" s="5" t="inlineStr">
        <is>
          <t>Positivo</t>
        </is>
      </c>
      <c r="F883" s="107" t="n">
        <v>45565</v>
      </c>
      <c r="G883" s="5" t="n">
        <v>2024</v>
      </c>
      <c r="H883" s="5" t="inlineStr">
        <is>
          <t>Septiembre</t>
        </is>
      </c>
      <c r="I883" s="6" t="inlineStr">
        <is>
          <t>2024-2</t>
        </is>
      </c>
      <c r="J883" s="5" t="n">
        <v>20</v>
      </c>
      <c r="K883" s="9" t="n">
        <v>16.13</v>
      </c>
      <c r="L883" s="14">
        <f>IFERROR(IF(OR(J883=0,K883=""),"",IF(E883="Positivo",MIN(MAX(K883/J883,0),1.3),MIN(MAX(J883/K883,0),1.3))),"") </f>
        <v/>
      </c>
      <c r="M883" s="14">
        <f>IFERROR(IF(OR(J883=0,K883=""),"",IF(E883="Positivo",MAX(K883/J883,0),MAX(J883/K883,0))),"") </f>
        <v/>
      </c>
      <c r="N883" s="5" t="inlineStr">
        <is>
          <t>%</t>
        </is>
      </c>
      <c r="O883" s="5" t="inlineStr">
        <is>
          <t>%</t>
        </is>
      </c>
      <c r="P883" s="15" t="n">
        <v>0</v>
      </c>
      <c r="Q883" s="15" t="n">
        <v>1</v>
      </c>
      <c r="R883" s="5" t="inlineStr">
        <is>
          <t>217-2024-09-30</t>
        </is>
      </c>
    </row>
    <row r="884">
      <c r="A884" s="21" t="n">
        <v>217</v>
      </c>
      <c r="B884" s="5" t="inlineStr">
        <is>
          <t>Aprovechamiento de Residuos</t>
        </is>
      </c>
      <c r="C884" s="5" t="inlineStr">
        <is>
          <t>GESTIÓN AMBIENTAL</t>
        </is>
      </c>
      <c r="D884" s="5" t="inlineStr">
        <is>
          <t>Mensual</t>
        </is>
      </c>
      <c r="E884" s="5" t="inlineStr">
        <is>
          <t>Positivo</t>
        </is>
      </c>
      <c r="F884" s="107" t="n">
        <v>45596</v>
      </c>
      <c r="G884" s="5" t="n">
        <v>2024</v>
      </c>
      <c r="H884" s="5" t="inlineStr">
        <is>
          <t>Octubre</t>
        </is>
      </c>
      <c r="I884" s="6" t="inlineStr">
        <is>
          <t>2024-2</t>
        </is>
      </c>
      <c r="J884" s="5" t="n">
        <v>20</v>
      </c>
      <c r="K884" s="9" t="n">
        <v>34.47</v>
      </c>
      <c r="L884" s="14">
        <f>IFERROR(IF(OR(J884=0,K884=""),"",IF(E884="Positivo",MIN(MAX(K884/J884,0),1.3),MIN(MAX(J884/K884,0),1.3))),"") </f>
        <v/>
      </c>
      <c r="M884" s="14">
        <f>IFERROR(IF(OR(J884=0,K884=""),"",IF(E884="Positivo",MAX(K884/J884,0),MAX(J884/K884,0))),"") </f>
        <v/>
      </c>
      <c r="N884" s="5" t="inlineStr">
        <is>
          <t>%</t>
        </is>
      </c>
      <c r="O884" s="5" t="inlineStr">
        <is>
          <t>%</t>
        </is>
      </c>
      <c r="P884" s="15" t="n">
        <v>0</v>
      </c>
      <c r="Q884" s="15" t="n">
        <v>1</v>
      </c>
      <c r="R884" s="5" t="inlineStr">
        <is>
          <t>217-2024-10-31</t>
        </is>
      </c>
    </row>
    <row r="885">
      <c r="A885" s="21" t="n">
        <v>217</v>
      </c>
      <c r="B885" s="5" t="inlineStr">
        <is>
          <t>Aprovechamiento de Residuos</t>
        </is>
      </c>
      <c r="C885" s="5" t="inlineStr">
        <is>
          <t>GESTIÓN AMBIENTAL</t>
        </is>
      </c>
      <c r="D885" s="5" t="inlineStr">
        <is>
          <t>Mensual</t>
        </is>
      </c>
      <c r="E885" s="5" t="inlineStr">
        <is>
          <t>Positivo</t>
        </is>
      </c>
      <c r="F885" s="107" t="n">
        <v>45626</v>
      </c>
      <c r="G885" s="5" t="n">
        <v>2024</v>
      </c>
      <c r="H885" s="5" t="inlineStr">
        <is>
          <t>Noviembre</t>
        </is>
      </c>
      <c r="I885" s="6" t="inlineStr">
        <is>
          <t>2024-2</t>
        </is>
      </c>
      <c r="J885" s="5" t="n">
        <v>20</v>
      </c>
      <c r="K885" s="9" t="n">
        <v>19.61275051088461</v>
      </c>
      <c r="L885" s="14">
        <f>IFERROR(IF(OR(J885=0,K885=""),"",IF(E885="Positivo",MIN(MAX(K885/J885,0),1.3),MIN(MAX(J885/K885,0),1.3))),"") </f>
        <v/>
      </c>
      <c r="M885" s="14">
        <f>IFERROR(IF(OR(J885=0,K885=""),"",IF(E885="Positivo",MAX(K885/J885,0),MAX(J885/K885,0))),"") </f>
        <v/>
      </c>
      <c r="N885" s="5" t="inlineStr">
        <is>
          <t>%</t>
        </is>
      </c>
      <c r="O885" s="5" t="inlineStr">
        <is>
          <t>%</t>
        </is>
      </c>
      <c r="P885" s="15" t="n">
        <v>0</v>
      </c>
      <c r="Q885" s="15" t="n">
        <v>1</v>
      </c>
      <c r="R885" s="5" t="inlineStr">
        <is>
          <t>217-2024-11-30</t>
        </is>
      </c>
    </row>
    <row r="886">
      <c r="A886" s="5" t="n">
        <v>217</v>
      </c>
      <c r="B886" s="5" t="inlineStr">
        <is>
          <t>Aprovechamiento de Residuos</t>
        </is>
      </c>
      <c r="C886" s="5" t="inlineStr">
        <is>
          <t>GESTIÓN AMBIENTAL</t>
        </is>
      </c>
      <c r="D886" s="5" t="inlineStr">
        <is>
          <t>Mensual</t>
        </is>
      </c>
      <c r="E886" s="5" t="inlineStr">
        <is>
          <t>Positivo</t>
        </is>
      </c>
      <c r="F886" s="107" t="n">
        <v>45657</v>
      </c>
      <c r="G886" s="5" t="n">
        <v>2024</v>
      </c>
      <c r="H886" s="5" t="inlineStr">
        <is>
          <t>Diciembre</t>
        </is>
      </c>
      <c r="I886" s="6" t="inlineStr">
        <is>
          <t>2024-2</t>
        </is>
      </c>
      <c r="J886" s="5" t="n">
        <v>20</v>
      </c>
      <c r="K886" s="9" t="n">
        <v>27.05</v>
      </c>
      <c r="L886" s="14">
        <f>IFERROR(IF(OR(J886=0,K886=""),"",IF(E886="Positivo",MIN(MAX(K886/J886,0),1.3),MIN(MAX(J886/K886,0),1.3))),"") </f>
        <v/>
      </c>
      <c r="M886" s="14">
        <f>IFERROR(IF(OR(J886=0,K886=""),"",IF(E886="Positivo",MAX(K886/J886,0),MAX(J886/K886,0))),"") </f>
        <v/>
      </c>
      <c r="N886" s="5" t="inlineStr">
        <is>
          <t>%</t>
        </is>
      </c>
      <c r="O886" s="5" t="inlineStr">
        <is>
          <t>%</t>
        </is>
      </c>
      <c r="P886" s="15" t="n">
        <v>0</v>
      </c>
      <c r="Q886" s="15" t="n">
        <v>1</v>
      </c>
      <c r="R886" s="5" t="inlineStr">
        <is>
          <t>217-2024-12-31</t>
        </is>
      </c>
    </row>
    <row r="887">
      <c r="A887" s="26" t="n">
        <v>217</v>
      </c>
      <c r="B887" s="5" t="inlineStr">
        <is>
          <t>Aprovechamiento de Residuos</t>
        </is>
      </c>
      <c r="C887" s="5" t="inlineStr">
        <is>
          <t>GESTIÓN AMBIENTAL</t>
        </is>
      </c>
      <c r="D887" s="5" t="inlineStr">
        <is>
          <t>Mensual</t>
        </is>
      </c>
      <c r="E887" s="5" t="inlineStr">
        <is>
          <t>Positivo</t>
        </is>
      </c>
      <c r="F887" s="107" t="n">
        <v>45688</v>
      </c>
      <c r="G887" s="5" t="n">
        <v>2025</v>
      </c>
      <c r="H887" s="5" t="inlineStr">
        <is>
          <t>Enero</t>
        </is>
      </c>
      <c r="I887" s="6" t="inlineStr">
        <is>
          <t>2025-1</t>
        </is>
      </c>
      <c r="J887" s="5" t="n">
        <v>20</v>
      </c>
      <c r="K887" s="9" t="n">
        <v>139.19</v>
      </c>
      <c r="L887" s="14">
        <f>IFERROR(IF(OR(J887=0,K887=""),"",IF(E887="Positivo",MIN(MAX(K887/J887,0),1.3),MIN(MAX(J887/K887,0),1.3))),"") </f>
        <v/>
      </c>
      <c r="M887" s="14">
        <f>IFERROR(IF(OR(J887=0,K887=""),"",IF(E887="Positivo",MAX(K887/J887,0),MAX(J887/K887,0))),"") </f>
        <v/>
      </c>
      <c r="N887" s="5" t="inlineStr">
        <is>
          <t>%</t>
        </is>
      </c>
      <c r="O887" s="5" t="inlineStr">
        <is>
          <t>%</t>
        </is>
      </c>
      <c r="P887" s="15" t="n">
        <v>0</v>
      </c>
      <c r="Q887" s="15" t="n">
        <v>0</v>
      </c>
      <c r="R887" s="5" t="inlineStr">
        <is>
          <t>217-2025-01-31</t>
        </is>
      </c>
    </row>
    <row r="888">
      <c r="A888" s="21" t="n">
        <v>217</v>
      </c>
      <c r="B888" s="5" t="inlineStr">
        <is>
          <t>Aprovechamiento de Residuos</t>
        </is>
      </c>
      <c r="C888" s="5" t="inlineStr">
        <is>
          <t>GESTIÓN AMBIENTAL</t>
        </is>
      </c>
      <c r="D888" s="5" t="inlineStr">
        <is>
          <t>Mensual</t>
        </is>
      </c>
      <c r="E888" s="5" t="inlineStr">
        <is>
          <t>Positivo</t>
        </is>
      </c>
      <c r="F888" s="107" t="n">
        <v>45716</v>
      </c>
      <c r="G888" s="5" t="n">
        <v>2025</v>
      </c>
      <c r="H888" s="5" t="inlineStr">
        <is>
          <t>Febrero</t>
        </is>
      </c>
      <c r="I888" s="6" t="inlineStr">
        <is>
          <t>2025-1</t>
        </is>
      </c>
      <c r="J888" s="5" t="n">
        <v>20</v>
      </c>
      <c r="K888" s="9" t="n">
        <v>42.89</v>
      </c>
      <c r="L888" s="14">
        <f>IFERROR(IF(OR(J888=0,K888=""),"",IF(E888="Positivo",MIN(MAX(K888/J888,0),1.3),MIN(MAX(J888/K888,0),1.3))),"") </f>
        <v/>
      </c>
      <c r="M888" s="14">
        <f>IFERROR(IF(OR(J888=0,K888=""),"",IF(E888="Positivo",MAX(K888/J888,0),MAX(J888/K888,0))),"") </f>
        <v/>
      </c>
      <c r="N888" s="5" t="inlineStr">
        <is>
          <t>%</t>
        </is>
      </c>
      <c r="O888" s="5" t="inlineStr">
        <is>
          <t>%</t>
        </is>
      </c>
      <c r="P888" s="15" t="n">
        <v>0</v>
      </c>
      <c r="Q888" s="15" t="n">
        <v>1</v>
      </c>
      <c r="R888" s="5" t="inlineStr">
        <is>
          <t>217-2025-02-28</t>
        </is>
      </c>
    </row>
    <row r="889">
      <c r="A889" s="21" t="n">
        <v>217</v>
      </c>
      <c r="B889" s="5" t="inlineStr">
        <is>
          <t>Aprovechamiento de Residuos</t>
        </is>
      </c>
      <c r="C889" s="5" t="inlineStr">
        <is>
          <t>GESTIÓN AMBIENTAL</t>
        </is>
      </c>
      <c r="D889" s="5" t="inlineStr">
        <is>
          <t>Mensual</t>
        </is>
      </c>
      <c r="E889" s="5" t="inlineStr">
        <is>
          <t>Positivo</t>
        </is>
      </c>
      <c r="F889" s="107" t="n">
        <v>45747</v>
      </c>
      <c r="G889" s="5" t="n">
        <v>2025</v>
      </c>
      <c r="H889" s="5" t="inlineStr">
        <is>
          <t>Marzo</t>
        </is>
      </c>
      <c r="I889" s="6" t="inlineStr">
        <is>
          <t>2025-1</t>
        </is>
      </c>
      <c r="J889" s="5" t="n">
        <v>20</v>
      </c>
      <c r="K889" s="9" t="n">
        <v>27.57</v>
      </c>
      <c r="L889" s="14">
        <f>IFERROR(IF(OR(J889=0,K889=""),"",IF(E889="Positivo",MIN(MAX(K889/J889,0),1.3),MIN(MAX(J889/K889,0),1.3))),"") </f>
        <v/>
      </c>
      <c r="M889" s="14">
        <f>IFERROR(IF(OR(J889=0,K889=""),"",IF(E889="Positivo",MAX(K889/J889,0),MAX(J889/K889,0))),"") </f>
        <v/>
      </c>
      <c r="N889" s="5" t="inlineStr">
        <is>
          <t>%</t>
        </is>
      </c>
      <c r="O889" s="5" t="inlineStr">
        <is>
          <t>%</t>
        </is>
      </c>
      <c r="P889" s="15" t="n">
        <v>0</v>
      </c>
      <c r="Q889" s="15" t="n">
        <v>1</v>
      </c>
      <c r="R889" s="5" t="inlineStr">
        <is>
          <t>217-2025-03-31</t>
        </is>
      </c>
    </row>
    <row r="890">
      <c r="A890" s="28" t="n">
        <v>217</v>
      </c>
      <c r="B890" s="5" t="inlineStr">
        <is>
          <t>Aprovechamiento de Residuos</t>
        </is>
      </c>
      <c r="C890" s="5" t="inlineStr">
        <is>
          <t>GESTIÓN AMBIENTAL</t>
        </is>
      </c>
      <c r="D890" s="5" t="inlineStr">
        <is>
          <t>Mensual</t>
        </is>
      </c>
      <c r="E890" s="5" t="inlineStr">
        <is>
          <t>Positivo</t>
        </is>
      </c>
      <c r="F890" s="107" t="n">
        <v>45777</v>
      </c>
      <c r="G890" s="5" t="n">
        <v>2025</v>
      </c>
      <c r="H890" s="5" t="inlineStr">
        <is>
          <t>Abril</t>
        </is>
      </c>
      <c r="I890" s="6" t="inlineStr">
        <is>
          <t>2025-1</t>
        </is>
      </c>
      <c r="J890" s="5" t="n">
        <v>20</v>
      </c>
      <c r="K890" s="9" t="n">
        <v>45.35</v>
      </c>
      <c r="L890" s="14">
        <f>IFERROR(IF(OR(J890=0,K890=""),"",IF(E890="Positivo",MIN(MAX(K890/J890,0),1.3),MIN(MAX(J890/K890,0),1.3))),"") </f>
        <v/>
      </c>
      <c r="M890" s="14">
        <f>IFERROR(IF(OR(J890=0,K890=""),"",IF(E890="Positivo",MAX(K890/J890,0),MAX(J890/K890,0))),"") </f>
        <v/>
      </c>
      <c r="N890" s="5" t="inlineStr">
        <is>
          <t>%</t>
        </is>
      </c>
      <c r="O890" s="5" t="inlineStr">
        <is>
          <t>%</t>
        </is>
      </c>
      <c r="P890" s="15" t="n">
        <v>0</v>
      </c>
      <c r="Q890" s="15" t="n">
        <v>1</v>
      </c>
      <c r="R890" s="5" t="inlineStr">
        <is>
          <t>217-2025-04-30</t>
        </is>
      </c>
    </row>
    <row r="891">
      <c r="A891" s="26" t="n">
        <v>217</v>
      </c>
      <c r="B891" s="5" t="inlineStr">
        <is>
          <t>Aprovechamiento de Residuos</t>
        </is>
      </c>
      <c r="C891" s="5" t="inlineStr">
        <is>
          <t>GESTIÓN AMBIENTAL</t>
        </is>
      </c>
      <c r="D891" s="5" t="inlineStr">
        <is>
          <t>Mensual</t>
        </is>
      </c>
      <c r="E891" s="5" t="inlineStr">
        <is>
          <t>Positivo</t>
        </is>
      </c>
      <c r="F891" s="107" t="n">
        <v>45808</v>
      </c>
      <c r="G891" s="5" t="n">
        <v>2025</v>
      </c>
      <c r="H891" s="5" t="inlineStr">
        <is>
          <t>Mayo</t>
        </is>
      </c>
      <c r="I891" s="6" t="inlineStr">
        <is>
          <t>2025-1</t>
        </is>
      </c>
      <c r="J891" s="5" t="n">
        <v>20</v>
      </c>
      <c r="K891" s="9" t="n">
        <v>29.8</v>
      </c>
      <c r="L891" s="14">
        <f>IFERROR(IF(OR(J891=0,K891=""),"",IF(E891="Positivo",MIN(MAX(K891/J891,0),1.3),MIN(MAX(J891/K891,0),1.3))),"") </f>
        <v/>
      </c>
      <c r="M891" s="14">
        <f>IFERROR(IF(OR(J891=0,K891=""),"",IF(E891="Positivo",MAX(K891/J891,0),MAX(J891/K891,0))),"") </f>
        <v/>
      </c>
      <c r="N891" s="5" t="inlineStr">
        <is>
          <t>%</t>
        </is>
      </c>
      <c r="O891" s="5" t="inlineStr">
        <is>
          <t>%</t>
        </is>
      </c>
      <c r="P891" s="15" t="n">
        <v>0</v>
      </c>
      <c r="Q891" s="15" t="n">
        <v>1</v>
      </c>
      <c r="R891" s="5" t="inlineStr">
        <is>
          <t>217-2025-05-31</t>
        </is>
      </c>
    </row>
    <row r="892">
      <c r="A892" s="21" t="n">
        <v>217</v>
      </c>
      <c r="B892" s="5" t="inlineStr">
        <is>
          <t>Aprovechamiento de Residuos</t>
        </is>
      </c>
      <c r="C892" s="5" t="inlineStr">
        <is>
          <t>GESTIÓN AMBIENTAL</t>
        </is>
      </c>
      <c r="D892" s="5" t="inlineStr">
        <is>
          <t>Mensual</t>
        </is>
      </c>
      <c r="E892" s="5" t="inlineStr">
        <is>
          <t>Positivo</t>
        </is>
      </c>
      <c r="F892" s="107" t="n">
        <v>45838</v>
      </c>
      <c r="G892" s="5" t="n">
        <v>2025</v>
      </c>
      <c r="H892" s="5" t="inlineStr">
        <is>
          <t>Junio</t>
        </is>
      </c>
      <c r="I892" s="6" t="inlineStr">
        <is>
          <t>2025-1</t>
        </is>
      </c>
      <c r="J892" s="5" t="n">
        <v>20</v>
      </c>
      <c r="K892" s="10" t="n">
        <v>48.94</v>
      </c>
      <c r="L892" s="14">
        <f>IFERROR(IF(OR(J892=0,K892=""),"",IF(E892="Positivo",MIN(MAX(K892/J892,0),1.3),MIN(MAX(J892/K892,0),1.3))),"") </f>
        <v/>
      </c>
      <c r="M892" s="14">
        <f>IFERROR(IF(OR(J892=0,K892=""),"",IF(E892="Positivo",MAX(K892/J892,0),MAX(J892/K892,0))),"") </f>
        <v/>
      </c>
      <c r="N892" s="5" t="inlineStr">
        <is>
          <t>%</t>
        </is>
      </c>
      <c r="O892" s="5" t="inlineStr">
        <is>
          <t>%</t>
        </is>
      </c>
      <c r="P892" s="15" t="n">
        <v>0</v>
      </c>
      <c r="Q892" s="15" t="n">
        <v>1</v>
      </c>
      <c r="R892" s="5" t="inlineStr">
        <is>
          <t>217-2025-06-30</t>
        </is>
      </c>
    </row>
    <row r="893">
      <c r="A893" s="5" t="n">
        <v>217</v>
      </c>
      <c r="B893" s="5" t="inlineStr">
        <is>
          <t>Aprovechamiento de Residuos</t>
        </is>
      </c>
      <c r="C893" s="5" t="inlineStr">
        <is>
          <t>GESTIÓN AMBIENTAL</t>
        </is>
      </c>
      <c r="D893" s="5" t="inlineStr">
        <is>
          <t>Mensual</t>
        </is>
      </c>
      <c r="E893" s="5" t="inlineStr">
        <is>
          <t>Positivo</t>
        </is>
      </c>
      <c r="F893" s="107" t="n">
        <v>45869</v>
      </c>
      <c r="G893" s="5" t="n">
        <v>2025</v>
      </c>
      <c r="H893" s="5" t="inlineStr">
        <is>
          <t>Julio</t>
        </is>
      </c>
      <c r="I893" s="6" t="inlineStr">
        <is>
          <t>2025-2</t>
        </is>
      </c>
      <c r="J893" s="5" t="n">
        <v>20</v>
      </c>
      <c r="K893" s="5" t="n">
        <v>50.5</v>
      </c>
      <c r="L893" s="14">
        <f>IFERROR(IF(OR(J893=0,K893=""),"",IF(E893="Positivo",MIN(MAX(K893/J893,0),1.3),MIN(MAX(J893/K893,0),1.3))),"") </f>
        <v/>
      </c>
      <c r="M893" s="14">
        <f>IFERROR(IF(OR(J893=0,K893=""),"",IF(E893="Positivo",MAX(K893/J893,0),MAX(J893/K893,0))),"") </f>
        <v/>
      </c>
      <c r="N893" s="5" t="inlineStr">
        <is>
          <t>%</t>
        </is>
      </c>
      <c r="O893" s="5" t="inlineStr">
        <is>
          <t>%</t>
        </is>
      </c>
      <c r="P893" s="5" t="n">
        <v>0</v>
      </c>
      <c r="Q893" s="5" t="n">
        <v>0</v>
      </c>
      <c r="R893" s="5" t="inlineStr">
        <is>
          <t>217-2025-07-31</t>
        </is>
      </c>
    </row>
    <row r="894">
      <c r="A894" s="21" t="n">
        <v>217</v>
      </c>
      <c r="B894" s="5" t="inlineStr">
        <is>
          <t>Aprovechamiento de Residuos</t>
        </is>
      </c>
      <c r="C894" s="5" t="inlineStr">
        <is>
          <t>GESTIÓN AMBIENTAL</t>
        </is>
      </c>
      <c r="D894" s="5" t="inlineStr">
        <is>
          <t>Mensual</t>
        </is>
      </c>
      <c r="E894" s="5" t="inlineStr">
        <is>
          <t>Positivo</t>
        </is>
      </c>
      <c r="F894" s="107" t="n">
        <v>45900</v>
      </c>
      <c r="G894" s="5" t="n">
        <v>2025</v>
      </c>
      <c r="H894" s="5" t="inlineStr">
        <is>
          <t>Agosto</t>
        </is>
      </c>
      <c r="I894" s="6" t="inlineStr">
        <is>
          <t>2025-2</t>
        </is>
      </c>
      <c r="J894" s="5" t="n">
        <v>20</v>
      </c>
      <c r="K894" s="10" t="n">
        <v>27.45</v>
      </c>
      <c r="L894" s="14">
        <f>IFERROR(IF(OR(J894=0,K894=""),"",IF(E894="Positivo",MIN(MAX(K894/J894,0),1.3),MIN(MAX(J894/K894,0),1.3))),"") </f>
        <v/>
      </c>
      <c r="M894" s="14">
        <f>IFERROR(IF(OR(J894=0,K894=""),"",IF(E894="Positivo",MAX(K894/J894,0),MAX(J894/K894,0))),"") </f>
        <v/>
      </c>
      <c r="N894" s="5" t="inlineStr">
        <is>
          <t>%</t>
        </is>
      </c>
      <c r="O894" s="5" t="inlineStr">
        <is>
          <t>%</t>
        </is>
      </c>
      <c r="P894" s="15" t="n">
        <v>0</v>
      </c>
      <c r="Q894" s="15" t="n">
        <v>0</v>
      </c>
      <c r="R894" s="5" t="inlineStr">
        <is>
          <t>217-2025-08-31</t>
        </is>
      </c>
    </row>
    <row r="895">
      <c r="A895" s="21" t="n">
        <v>217</v>
      </c>
      <c r="B895" s="5" t="inlineStr">
        <is>
          <t>Aprovechamiento de Residuos</t>
        </is>
      </c>
      <c r="C895" s="5" t="inlineStr">
        <is>
          <t>GESTIÓN AMBIENTAL</t>
        </is>
      </c>
      <c r="D895" s="5" t="inlineStr">
        <is>
          <t>Mensual</t>
        </is>
      </c>
      <c r="E895" s="5" t="inlineStr">
        <is>
          <t>Positivo</t>
        </is>
      </c>
      <c r="F895" s="107" t="n">
        <v>45930</v>
      </c>
      <c r="G895" s="5" t="n">
        <v>2025</v>
      </c>
      <c r="H895" s="5" t="inlineStr">
        <is>
          <t>Septiembre</t>
        </is>
      </c>
      <c r="I895" s="6" t="inlineStr">
        <is>
          <t>2025-2</t>
        </is>
      </c>
      <c r="J895" s="5" t="n">
        <v>20</v>
      </c>
      <c r="K895" s="10" t="n">
        <v>39.5</v>
      </c>
      <c r="L895" s="14">
        <f>IFERROR(IF(OR(J895=0,K895=""),"",IF(E895="Positivo",MIN(MAX(K895/J895,0),1.3),MIN(MAX(J895/K895,0),1.3))),"") </f>
        <v/>
      </c>
      <c r="M895" s="14">
        <f>IFERROR(IF(OR(J895=0,K895=""),"",IF(E895="Positivo",MAX(K895/J895,0),MAX(J895/K895,0))),"") </f>
        <v/>
      </c>
      <c r="N895" s="5" t="inlineStr">
        <is>
          <t>%</t>
        </is>
      </c>
      <c r="O895" s="5" t="inlineStr">
        <is>
          <t>%</t>
        </is>
      </c>
      <c r="P895" s="15" t="n">
        <v>0</v>
      </c>
      <c r="Q895" s="15" t="n">
        <v>0</v>
      </c>
      <c r="R895" s="5" t="inlineStr">
        <is>
          <t>217-2025-09-30</t>
        </is>
      </c>
    </row>
    <row r="896">
      <c r="A896" s="21" t="n">
        <v>217</v>
      </c>
      <c r="B896" s="5" t="inlineStr">
        <is>
          <t>Aprovechamiento de Residuos</t>
        </is>
      </c>
      <c r="C896" s="5" t="inlineStr">
        <is>
          <t>GESTIÓN AMBIENTAL</t>
        </is>
      </c>
      <c r="D896" s="5" t="inlineStr">
        <is>
          <t>Mensual</t>
        </is>
      </c>
      <c r="E896" s="5" t="inlineStr">
        <is>
          <t>Positivo</t>
        </is>
      </c>
      <c r="F896" s="107" t="n">
        <v>45961</v>
      </c>
      <c r="G896" s="5" t="n">
        <v>2025</v>
      </c>
      <c r="H896" s="5" t="inlineStr">
        <is>
          <t>Octubre</t>
        </is>
      </c>
      <c r="I896" s="6" t="inlineStr">
        <is>
          <t>2025-2</t>
        </is>
      </c>
      <c r="J896" s="5" t="n">
        <v>20</v>
      </c>
      <c r="K896" s="9" t="n">
        <v>148.5</v>
      </c>
      <c r="L896" s="14">
        <f>IFERROR(IF(OR(J896=0,K896=""),"",IF(E896="Positivo",MIN(MAX(K896/J896,0),1.3),MIN(MAX(J896/K896,0),1.3))),"") </f>
        <v/>
      </c>
      <c r="M896" s="14">
        <f>IFERROR(IF(OR(J896=0,K896=""),"",IF(E896="Positivo",MAX(K896/J896,0),MAX(J896/K896,0))),"") </f>
        <v/>
      </c>
      <c r="N896" s="5" t="inlineStr">
        <is>
          <t>%</t>
        </is>
      </c>
      <c r="O896" s="5" t="inlineStr">
        <is>
          <t>%</t>
        </is>
      </c>
      <c r="P896" s="15" t="n">
        <v>0</v>
      </c>
      <c r="Q896" s="15" t="n">
        <v>0</v>
      </c>
      <c r="R896" s="5" t="inlineStr">
        <is>
          <t>217-2025-10-31</t>
        </is>
      </c>
    </row>
    <row r="897">
      <c r="A897" s="21" t="n">
        <v>217</v>
      </c>
      <c r="B897" s="5" t="inlineStr">
        <is>
          <t>Aprovechamiento de Residuos</t>
        </is>
      </c>
      <c r="C897" s="5" t="inlineStr">
        <is>
          <t>GESTIÓN AMBIENTAL</t>
        </is>
      </c>
      <c r="D897" s="5" t="inlineStr">
        <is>
          <t>Mensual</t>
        </is>
      </c>
      <c r="E897" s="5" t="inlineStr">
        <is>
          <t>Positivo</t>
        </is>
      </c>
      <c r="F897" s="107" t="n">
        <v>45991</v>
      </c>
      <c r="G897" s="5" t="n">
        <v>2025</v>
      </c>
      <c r="H897" s="5" t="inlineStr">
        <is>
          <t>Noviembre</t>
        </is>
      </c>
      <c r="I897" s="6" t="inlineStr">
        <is>
          <t>2025-2</t>
        </is>
      </c>
      <c r="J897" s="5" t="n">
        <v>20</v>
      </c>
      <c r="K897" s="9" t="n">
        <v>229.04</v>
      </c>
      <c r="L897" s="14">
        <f>IFERROR(IF(OR(J897=0,K897=""),"",IF(E897="Positivo",MIN(MAX(K897/J897,0),1.3),MIN(MAX(J897/K897,0),1.3))),"") </f>
        <v/>
      </c>
      <c r="M897" s="14">
        <f>IFERROR(IF(OR(J897=0,K897=""),"",IF(E897="Positivo",MAX(K897/J897,0),MAX(J897/K897,0))),"") </f>
        <v/>
      </c>
      <c r="N897" s="5" t="inlineStr">
        <is>
          <t>%</t>
        </is>
      </c>
      <c r="O897" s="5" t="inlineStr">
        <is>
          <t>%</t>
        </is>
      </c>
      <c r="P897" s="15" t="n">
        <v>0</v>
      </c>
      <c r="Q897" s="15" t="n">
        <v>0</v>
      </c>
      <c r="R897" s="5" t="inlineStr">
        <is>
          <t>217-2025-11-30</t>
        </is>
      </c>
    </row>
    <row r="898">
      <c r="A898" s="28" t="n">
        <v>217</v>
      </c>
      <c r="B898" s="5" t="inlineStr">
        <is>
          <t>Aprovechamiento de Residuos</t>
        </is>
      </c>
      <c r="C898" s="5" t="inlineStr">
        <is>
          <t>GESTIÓN AMBIENTAL</t>
        </is>
      </c>
      <c r="D898" s="5" t="inlineStr">
        <is>
          <t>Mensual</t>
        </is>
      </c>
      <c r="E898" s="5" t="inlineStr">
        <is>
          <t>Positivo</t>
        </is>
      </c>
      <c r="F898" s="107" t="n">
        <v>46022</v>
      </c>
      <c r="G898" s="5" t="n">
        <v>2025</v>
      </c>
      <c r="H898" s="5" t="inlineStr">
        <is>
          <t>Diciembre</t>
        </is>
      </c>
      <c r="I898" s="6" t="inlineStr">
        <is>
          <t>2025-2</t>
        </is>
      </c>
      <c r="J898" s="5" t="n">
        <v>20</v>
      </c>
      <c r="K898" s="9" t="n">
        <v>48.34</v>
      </c>
      <c r="L898" s="14">
        <f>IFERROR(IF(OR(J898=0,K898=""),"",IF(E898="Positivo",MIN(MAX(K898/J898,0),1.3),MIN(MAX(J898/K898,0),1.3))),"") </f>
        <v/>
      </c>
      <c r="M898" s="14">
        <f>IFERROR(IF(OR(J898=0,K898=""),"",IF(E898="Positivo",MAX(K898/J898,0),MAX(J898/K898,0))),"") </f>
        <v/>
      </c>
      <c r="N898" s="5" t="inlineStr">
        <is>
          <t>%</t>
        </is>
      </c>
      <c r="O898" s="5" t="inlineStr">
        <is>
          <t>%</t>
        </is>
      </c>
      <c r="P898" s="15" t="n">
        <v>0</v>
      </c>
      <c r="Q898" s="15" t="n">
        <v>0</v>
      </c>
      <c r="R898" s="5" t="inlineStr">
        <is>
          <t>217-2025-12-31</t>
        </is>
      </c>
    </row>
    <row r="899">
      <c r="A899" s="26" t="n">
        <v>218</v>
      </c>
      <c r="B899" s="5" t="inlineStr">
        <is>
          <t>Consumo de Energía Eléctrica kWh Mensual</t>
        </is>
      </c>
      <c r="C899" s="5" t="inlineStr">
        <is>
          <t>GESTIÓN AMBIENTAL</t>
        </is>
      </c>
      <c r="D899" s="5" t="inlineStr">
        <is>
          <t>Mensual</t>
        </is>
      </c>
      <c r="E899" s="5" t="inlineStr">
        <is>
          <t>Negativo</t>
        </is>
      </c>
      <c r="F899" s="107" t="n">
        <v>44592</v>
      </c>
      <c r="G899" s="5" t="n">
        <v>2022</v>
      </c>
      <c r="H899" s="5" t="inlineStr">
        <is>
          <t>Enero</t>
        </is>
      </c>
      <c r="I899" s="6" t="inlineStr">
        <is>
          <t>2022-1</t>
        </is>
      </c>
      <c r="J899" s="5" t="n">
        <v>172000</v>
      </c>
      <c r="K899" s="9" t="n">
        <v>77569</v>
      </c>
      <c r="L899" s="14">
        <f>IFERROR(IF(OR(J899=0,K899=""),"",IF(E899="Positivo",MIN(MAX(K899/J899,0),1.0),MIN(MAX(J899/K899,0),1.0))),"") </f>
        <v/>
      </c>
      <c r="M899" s="14">
        <f>IFERROR(IF(OR(J899=0,K899=""),"",IF(E899="Positivo",MAX(K899/J899,0),MAX(J899/K899,0))),"") </f>
        <v/>
      </c>
      <c r="N899" s="5" t="inlineStr">
        <is>
          <t>kWh</t>
        </is>
      </c>
      <c r="O899" s="5" t="inlineStr">
        <is>
          <t>kWh</t>
        </is>
      </c>
      <c r="P899" s="15" t="n">
        <v>0</v>
      </c>
      <c r="Q899" s="15" t="n">
        <v>0</v>
      </c>
      <c r="R899" s="5" t="inlineStr">
        <is>
          <t>218-2022-01-31</t>
        </is>
      </c>
    </row>
    <row r="900">
      <c r="A900" s="21" t="n">
        <v>218</v>
      </c>
      <c r="B900" s="5" t="inlineStr">
        <is>
          <t>Consumo de Energía Eléctrica kWh Mensual</t>
        </is>
      </c>
      <c r="C900" s="5" t="inlineStr">
        <is>
          <t>GESTIÓN AMBIENTAL</t>
        </is>
      </c>
      <c r="D900" s="5" t="inlineStr">
        <is>
          <t>Mensual</t>
        </is>
      </c>
      <c r="E900" s="5" t="inlineStr">
        <is>
          <t>Negativo</t>
        </is>
      </c>
      <c r="F900" s="107" t="n">
        <v>44620</v>
      </c>
      <c r="G900" s="5" t="n">
        <v>2022</v>
      </c>
      <c r="H900" s="5" t="inlineStr">
        <is>
          <t>Febrero</t>
        </is>
      </c>
      <c r="I900" s="6" t="inlineStr">
        <is>
          <t>2022-1</t>
        </is>
      </c>
      <c r="J900" s="5" t="n">
        <v>172000</v>
      </c>
      <c r="K900" s="10" t="n">
        <v>88546</v>
      </c>
      <c r="L900" s="14">
        <f>IFERROR(IF(OR(J900=0,K900=""),"",IF(E900="Positivo",MIN(MAX(K900/J900,0),1.0),MIN(MAX(J900/K900,0),1.0))),"") </f>
        <v/>
      </c>
      <c r="M900" s="14">
        <f>IFERROR(IF(OR(J900=0,K900=""),"",IF(E900="Positivo",MAX(K900/J900,0),MAX(J900/K900,0))),"") </f>
        <v/>
      </c>
      <c r="N900" s="5" t="inlineStr">
        <is>
          <t>kWh</t>
        </is>
      </c>
      <c r="O900" s="5" t="inlineStr">
        <is>
          <t>kWh</t>
        </is>
      </c>
      <c r="P900" s="15" t="n">
        <v>0</v>
      </c>
      <c r="Q900" s="15" t="n">
        <v>0</v>
      </c>
      <c r="R900" s="5" t="inlineStr">
        <is>
          <t>218-2022-02-28</t>
        </is>
      </c>
    </row>
    <row r="901">
      <c r="A901" s="5" t="n">
        <v>218</v>
      </c>
      <c r="B901" s="5" t="inlineStr">
        <is>
          <t>Consumo de Energía Eléctrica kWh Mensual</t>
        </is>
      </c>
      <c r="C901" s="5" t="inlineStr">
        <is>
          <t>GESTIÓN AMBIENTAL</t>
        </is>
      </c>
      <c r="D901" s="5" t="inlineStr">
        <is>
          <t>Mensual</t>
        </is>
      </c>
      <c r="E901" s="5" t="inlineStr">
        <is>
          <t>Negativo</t>
        </is>
      </c>
      <c r="F901" s="107" t="n">
        <v>44651</v>
      </c>
      <c r="G901" s="5" t="n">
        <v>2022</v>
      </c>
      <c r="H901" s="5" t="inlineStr">
        <is>
          <t>Marzo</t>
        </is>
      </c>
      <c r="I901" s="6" t="inlineStr">
        <is>
          <t>2022-1</t>
        </is>
      </c>
      <c r="J901" s="5" t="n">
        <v>172000</v>
      </c>
      <c r="K901" s="5" t="n">
        <v>110711</v>
      </c>
      <c r="L901" s="14">
        <f>IFERROR(IF(OR(J901=0,K901=""),"",IF(E901="Positivo",MIN(MAX(K901/J901,0),1.0),MIN(MAX(J901/K901,0),1.0))),"") </f>
        <v/>
      </c>
      <c r="M901" s="14">
        <f>IFERROR(IF(OR(J901=0,K901=""),"",IF(E901="Positivo",MAX(K901/J901,0),MAX(J901/K901,0))),"") </f>
        <v/>
      </c>
      <c r="N901" s="5" t="inlineStr">
        <is>
          <t>kWh</t>
        </is>
      </c>
      <c r="O901" s="5" t="inlineStr">
        <is>
          <t>kWh</t>
        </is>
      </c>
      <c r="P901" s="5" t="n">
        <v>0</v>
      </c>
      <c r="Q901" s="5" t="n">
        <v>0</v>
      </c>
      <c r="R901" s="5" t="inlineStr">
        <is>
          <t>218-2022-03-31</t>
        </is>
      </c>
    </row>
    <row r="902">
      <c r="A902" s="21" t="n">
        <v>218</v>
      </c>
      <c r="B902" s="5" t="inlineStr">
        <is>
          <t>Consumo de Energía Eléctrica kWh Mensual</t>
        </is>
      </c>
      <c r="C902" s="5" t="inlineStr">
        <is>
          <t>GESTIÓN AMBIENTAL</t>
        </is>
      </c>
      <c r="D902" s="5" t="inlineStr">
        <is>
          <t>Mensual</t>
        </is>
      </c>
      <c r="E902" s="5" t="inlineStr">
        <is>
          <t>Negativo</t>
        </is>
      </c>
      <c r="F902" s="107" t="n">
        <v>44681</v>
      </c>
      <c r="G902" s="5" t="n">
        <v>2022</v>
      </c>
      <c r="H902" s="5" t="inlineStr">
        <is>
          <t>Abril</t>
        </is>
      </c>
      <c r="I902" s="6" t="inlineStr">
        <is>
          <t>2022-1</t>
        </is>
      </c>
      <c r="J902" s="5" t="n">
        <v>172000</v>
      </c>
      <c r="K902" s="10" t="n">
        <v>105150</v>
      </c>
      <c r="L902" s="14">
        <f>IFERROR(IF(OR(J902=0,K902=""),"",IF(E902="Positivo",MIN(MAX(K902/J902,0),1.0),MIN(MAX(J902/K902,0),1.0))),"") </f>
        <v/>
      </c>
      <c r="M902" s="14">
        <f>IFERROR(IF(OR(J902=0,K902=""),"",IF(E902="Positivo",MAX(K902/J902,0),MAX(J902/K902,0))),"") </f>
        <v/>
      </c>
      <c r="N902" s="5" t="inlineStr">
        <is>
          <t>kWh</t>
        </is>
      </c>
      <c r="O902" s="5" t="inlineStr">
        <is>
          <t>kWh</t>
        </is>
      </c>
      <c r="P902" s="15" t="n">
        <v>0</v>
      </c>
      <c r="Q902" s="15" t="n">
        <v>0</v>
      </c>
      <c r="R902" s="5" t="inlineStr">
        <is>
          <t>218-2022-04-30</t>
        </is>
      </c>
    </row>
    <row r="903">
      <c r="A903" s="21" t="n">
        <v>218</v>
      </c>
      <c r="B903" s="5" t="inlineStr">
        <is>
          <t>Consumo de Energía Eléctrica kWh Mensual</t>
        </is>
      </c>
      <c r="C903" s="5" t="inlineStr">
        <is>
          <t>GESTIÓN AMBIENTAL</t>
        </is>
      </c>
      <c r="D903" s="5" t="inlineStr">
        <is>
          <t>Mensual</t>
        </is>
      </c>
      <c r="E903" s="5" t="inlineStr">
        <is>
          <t>Negativo</t>
        </is>
      </c>
      <c r="F903" s="107" t="n">
        <v>44712</v>
      </c>
      <c r="G903" s="5" t="n">
        <v>2022</v>
      </c>
      <c r="H903" s="5" t="inlineStr">
        <is>
          <t>Mayo</t>
        </is>
      </c>
      <c r="I903" s="6" t="inlineStr">
        <is>
          <t>2022-1</t>
        </is>
      </c>
      <c r="J903" s="5" t="n">
        <v>172000</v>
      </c>
      <c r="K903" s="10" t="n">
        <v>110816</v>
      </c>
      <c r="L903" s="14">
        <f>IFERROR(IF(OR(J903=0,K903=""),"",IF(E903="Positivo",MIN(MAX(K903/J903,0),1.0),MIN(MAX(J903/K903,0),1.0))),"") </f>
        <v/>
      </c>
      <c r="M903" s="14">
        <f>IFERROR(IF(OR(J903=0,K903=""),"",IF(E903="Positivo",MAX(K903/J903,0),MAX(J903/K903,0))),"") </f>
        <v/>
      </c>
      <c r="N903" s="5" t="inlineStr">
        <is>
          <t>kWh</t>
        </is>
      </c>
      <c r="O903" s="5" t="inlineStr">
        <is>
          <t>kWh</t>
        </is>
      </c>
      <c r="P903" s="15" t="n">
        <v>0</v>
      </c>
      <c r="Q903" s="15" t="n">
        <v>0</v>
      </c>
      <c r="R903" s="5" t="inlineStr">
        <is>
          <t>218-2022-05-31</t>
        </is>
      </c>
    </row>
    <row r="904">
      <c r="A904" s="21" t="n">
        <v>218</v>
      </c>
      <c r="B904" s="5" t="inlineStr">
        <is>
          <t>Consumo de Energía Eléctrica kWh Mensual</t>
        </is>
      </c>
      <c r="C904" s="5" t="inlineStr">
        <is>
          <t>GESTIÓN AMBIENTAL</t>
        </is>
      </c>
      <c r="D904" s="5" t="inlineStr">
        <is>
          <t>Mensual</t>
        </is>
      </c>
      <c r="E904" s="5" t="inlineStr">
        <is>
          <t>Negativo</t>
        </is>
      </c>
      <c r="F904" s="106" t="n">
        <v>44742</v>
      </c>
      <c r="G904" s="5" t="n">
        <v>2022</v>
      </c>
      <c r="H904" s="5" t="inlineStr">
        <is>
          <t>Junio</t>
        </is>
      </c>
      <c r="I904" s="6" t="inlineStr">
        <is>
          <t>2022-1</t>
        </is>
      </c>
      <c r="J904" s="5" t="n">
        <v>172000</v>
      </c>
      <c r="K904" s="9" t="n">
        <v>98441</v>
      </c>
      <c r="L904" s="14">
        <f>IFERROR(IF(OR(J904=0,K904=""),"",IF(E904="Positivo",MIN(MAX(K904/J904,0),1.0),MIN(MAX(J904/K904,0),1.0))),"") </f>
        <v/>
      </c>
      <c r="M904" s="14">
        <f>IFERROR(IF(OR(J904=0,K904=""),"",IF(E904="Positivo",MAX(K904/J904,0),MAX(J904/K904,0))),"") </f>
        <v/>
      </c>
      <c r="N904" s="5" t="inlineStr">
        <is>
          <t>kWh</t>
        </is>
      </c>
      <c r="O904" s="5" t="inlineStr">
        <is>
          <t>kWh</t>
        </is>
      </c>
      <c r="P904" s="15" t="n">
        <v>0</v>
      </c>
      <c r="Q904" s="15" t="n">
        <v>0</v>
      </c>
      <c r="R904" s="5" t="inlineStr">
        <is>
          <t>218-2022-06-30</t>
        </is>
      </c>
    </row>
    <row r="905">
      <c r="A905" s="26" t="n">
        <v>218</v>
      </c>
      <c r="B905" s="5" t="inlineStr">
        <is>
          <t>Consumo de Energía Eléctrica kWh Mensual</t>
        </is>
      </c>
      <c r="C905" s="5" t="inlineStr">
        <is>
          <t>GESTIÓN AMBIENTAL</t>
        </is>
      </c>
      <c r="D905" s="5" t="inlineStr">
        <is>
          <t>Mensual</t>
        </is>
      </c>
      <c r="E905" s="5" t="inlineStr">
        <is>
          <t>Negativo</t>
        </is>
      </c>
      <c r="F905" s="107" t="n">
        <v>44773</v>
      </c>
      <c r="G905" s="5" t="n">
        <v>2022</v>
      </c>
      <c r="H905" s="5" t="inlineStr">
        <is>
          <t>Julio</t>
        </is>
      </c>
      <c r="I905" s="6" t="inlineStr">
        <is>
          <t>2022-2</t>
        </is>
      </c>
      <c r="J905" s="5" t="n">
        <v>172000</v>
      </c>
      <c r="K905" s="9" t="n">
        <v>79975</v>
      </c>
      <c r="L905" s="14">
        <f>IFERROR(IF(OR(J905=0,K905=""),"",IF(E905="Positivo",MIN(MAX(K905/J905,0),1.0),MIN(MAX(J905/K905,0),1.0))),"") </f>
        <v/>
      </c>
      <c r="M905" s="14">
        <f>IFERROR(IF(OR(J905=0,K905=""),"",IF(E905="Positivo",MAX(K905/J905,0),MAX(J905/K905,0))),"") </f>
        <v/>
      </c>
      <c r="N905" s="5" t="inlineStr">
        <is>
          <t>kWh</t>
        </is>
      </c>
      <c r="O905" s="5" t="inlineStr">
        <is>
          <t>kWh</t>
        </is>
      </c>
      <c r="P905" s="15" t="n">
        <v>0</v>
      </c>
      <c r="Q905" s="15" t="n">
        <v>0</v>
      </c>
      <c r="R905" s="5" t="inlineStr">
        <is>
          <t>218-2022-07-31</t>
        </is>
      </c>
    </row>
    <row r="906">
      <c r="A906" s="5" t="n">
        <v>218</v>
      </c>
      <c r="B906" s="5" t="inlineStr">
        <is>
          <t>Consumo de Energía Eléctrica kWh Mensual</t>
        </is>
      </c>
      <c r="C906" s="5" t="inlineStr">
        <is>
          <t>GESTIÓN AMBIENTAL</t>
        </is>
      </c>
      <c r="D906" s="5" t="inlineStr">
        <is>
          <t>Mensual</t>
        </is>
      </c>
      <c r="E906" s="5" t="inlineStr">
        <is>
          <t>Negativo</t>
        </is>
      </c>
      <c r="F906" s="107" t="n">
        <v>44804</v>
      </c>
      <c r="G906" s="5" t="n">
        <v>2022</v>
      </c>
      <c r="H906" s="5" t="inlineStr">
        <is>
          <t>Agosto</t>
        </is>
      </c>
      <c r="I906" s="6" t="inlineStr">
        <is>
          <t>2022-2</t>
        </is>
      </c>
      <c r="J906" s="5" t="n">
        <v>172000</v>
      </c>
      <c r="K906" s="5" t="n">
        <v>173574</v>
      </c>
      <c r="L906" s="14">
        <f>IFERROR(IF(OR(J906=0,K906=""),"",IF(E906="Positivo",MIN(MAX(K906/J906,0),1.0),MIN(MAX(J906/K906,0),1.0))),"") </f>
        <v/>
      </c>
      <c r="M906" s="14">
        <f>IFERROR(IF(OR(J906=0,K906=""),"",IF(E906="Positivo",MAX(K906/J906,0),MAX(J906/K906,0))),"") </f>
        <v/>
      </c>
      <c r="N906" s="5" t="inlineStr">
        <is>
          <t>kWh</t>
        </is>
      </c>
      <c r="O906" s="5" t="inlineStr">
        <is>
          <t>kWh</t>
        </is>
      </c>
      <c r="P906" s="5" t="n">
        <v>0</v>
      </c>
      <c r="Q906" s="5" t="n">
        <v>0</v>
      </c>
      <c r="R906" s="5" t="inlineStr">
        <is>
          <t>218-2022-08-31</t>
        </is>
      </c>
    </row>
    <row r="907">
      <c r="A907" s="21" t="n">
        <v>218</v>
      </c>
      <c r="B907" s="5" t="inlineStr">
        <is>
          <t>Consumo de Energía Eléctrica kWh Mensual</t>
        </is>
      </c>
      <c r="C907" s="5" t="inlineStr">
        <is>
          <t>GESTIÓN AMBIENTAL</t>
        </is>
      </c>
      <c r="D907" s="5" t="inlineStr">
        <is>
          <t>Mensual</t>
        </is>
      </c>
      <c r="E907" s="5" t="inlineStr">
        <is>
          <t>Negativo</t>
        </is>
      </c>
      <c r="F907" s="107" t="n">
        <v>44834</v>
      </c>
      <c r="G907" s="5" t="n">
        <v>2022</v>
      </c>
      <c r="H907" s="5" t="inlineStr">
        <is>
          <t>Septiembre</t>
        </is>
      </c>
      <c r="I907" s="6" t="inlineStr">
        <is>
          <t>2022-2</t>
        </is>
      </c>
      <c r="J907" s="5" t="n">
        <v>172000</v>
      </c>
      <c r="K907" s="10" t="n">
        <v>157375</v>
      </c>
      <c r="L907" s="14">
        <f>IFERROR(IF(OR(J907=0,K907=""),"",IF(E907="Positivo",MIN(MAX(K907/J907,0),1.0),MIN(MAX(J907/K907,0),1.0))),"") </f>
        <v/>
      </c>
      <c r="M907" s="14">
        <f>IFERROR(IF(OR(J907=0,K907=""),"",IF(E907="Positivo",MAX(K907/J907,0),MAX(J907/K907,0))),"") </f>
        <v/>
      </c>
      <c r="N907" s="5" t="inlineStr">
        <is>
          <t>kWh</t>
        </is>
      </c>
      <c r="O907" s="5" t="inlineStr">
        <is>
          <t>kWh</t>
        </is>
      </c>
      <c r="P907" s="15" t="n">
        <v>0</v>
      </c>
      <c r="Q907" s="15" t="n">
        <v>0</v>
      </c>
      <c r="R907" s="5" t="inlineStr">
        <is>
          <t>218-2022-09-30</t>
        </is>
      </c>
    </row>
    <row r="908">
      <c r="A908" s="21" t="n">
        <v>218</v>
      </c>
      <c r="B908" s="5" t="inlineStr">
        <is>
          <t>Consumo de Energía Eléctrica kWh Mensual</t>
        </is>
      </c>
      <c r="C908" s="5" t="inlineStr">
        <is>
          <t>GESTIÓN AMBIENTAL</t>
        </is>
      </c>
      <c r="D908" s="5" t="inlineStr">
        <is>
          <t>Mensual</t>
        </is>
      </c>
      <c r="E908" s="5" t="inlineStr">
        <is>
          <t>Negativo</t>
        </is>
      </c>
      <c r="F908" s="106" t="n">
        <v>44865</v>
      </c>
      <c r="G908" s="5" t="n">
        <v>2022</v>
      </c>
      <c r="H908" s="5" t="inlineStr">
        <is>
          <t>Octubre</t>
        </is>
      </c>
      <c r="I908" s="6" t="inlineStr">
        <is>
          <t>2022-2</t>
        </is>
      </c>
      <c r="J908" s="5" t="n">
        <v>172000</v>
      </c>
      <c r="K908" s="9" t="n">
        <v>149257</v>
      </c>
      <c r="L908" s="14">
        <f>IFERROR(IF(OR(J908=0,K908=""),"",IF(E908="Positivo",MIN(MAX(K908/J908,0),1.0),MIN(MAX(J908/K908,0),1.0))),"") </f>
        <v/>
      </c>
      <c r="M908" s="14">
        <f>IFERROR(IF(OR(J908=0,K908=""),"",IF(E908="Positivo",MAX(K908/J908,0),MAX(J908/K908,0))),"") </f>
        <v/>
      </c>
      <c r="N908" s="5" t="inlineStr">
        <is>
          <t>kWh</t>
        </is>
      </c>
      <c r="O908" s="5" t="inlineStr">
        <is>
          <t>kWh</t>
        </is>
      </c>
      <c r="P908" s="15" t="n">
        <v>0</v>
      </c>
      <c r="Q908" s="15" t="n">
        <v>0</v>
      </c>
      <c r="R908" s="5" t="inlineStr">
        <is>
          <t>218-2022-10-31</t>
        </is>
      </c>
    </row>
    <row r="909">
      <c r="A909" s="26" t="n">
        <v>218</v>
      </c>
      <c r="B909" s="5" t="inlineStr">
        <is>
          <t>Consumo de Energía Eléctrica kWh Mensual</t>
        </is>
      </c>
      <c r="C909" s="5" t="inlineStr">
        <is>
          <t>GESTIÓN AMBIENTAL</t>
        </is>
      </c>
      <c r="D909" s="5" t="inlineStr">
        <is>
          <t>Mensual</t>
        </is>
      </c>
      <c r="E909" s="5" t="inlineStr">
        <is>
          <t>Negativo</t>
        </is>
      </c>
      <c r="F909" s="107" t="n">
        <v>44895</v>
      </c>
      <c r="G909" s="5" t="n">
        <v>2022</v>
      </c>
      <c r="H909" s="5" t="inlineStr">
        <is>
          <t>Noviembre</t>
        </is>
      </c>
      <c r="I909" s="6" t="inlineStr">
        <is>
          <t>2022-2</t>
        </is>
      </c>
      <c r="J909" s="5" t="n">
        <v>172000</v>
      </c>
      <c r="K909" s="9" t="n">
        <v>144214</v>
      </c>
      <c r="L909" s="14">
        <f>IFERROR(IF(OR(J909=0,K909=""),"",IF(E909="Positivo",MIN(MAX(K909/J909,0),1.0),MIN(MAX(J909/K909,0),1.0))),"") </f>
        <v/>
      </c>
      <c r="M909" s="14">
        <f>IFERROR(IF(OR(J909=0,K909=""),"",IF(E909="Positivo",MAX(K909/J909,0),MAX(J909/K909,0))),"") </f>
        <v/>
      </c>
      <c r="N909" s="5" t="inlineStr">
        <is>
          <t>kWh</t>
        </is>
      </c>
      <c r="O909" s="5" t="inlineStr">
        <is>
          <t>kWh</t>
        </is>
      </c>
      <c r="P909" s="15" t="n">
        <v>0</v>
      </c>
      <c r="Q909" s="15" t="n">
        <v>0</v>
      </c>
      <c r="R909" s="5" t="inlineStr">
        <is>
          <t>218-2022-11-30</t>
        </is>
      </c>
    </row>
    <row r="910">
      <c r="A910" s="5" t="n">
        <v>218</v>
      </c>
      <c r="B910" s="5" t="inlineStr">
        <is>
          <t>Consumo de Energía Eléctrica kWh Mensual</t>
        </is>
      </c>
      <c r="C910" s="5" t="inlineStr">
        <is>
          <t>GESTIÓN AMBIENTAL</t>
        </is>
      </c>
      <c r="D910" s="5" t="inlineStr">
        <is>
          <t>Mensual</t>
        </is>
      </c>
      <c r="E910" s="5" t="inlineStr">
        <is>
          <t>Negativo</t>
        </is>
      </c>
      <c r="F910" s="107" t="n">
        <v>44926</v>
      </c>
      <c r="G910" s="5" t="n">
        <v>2022</v>
      </c>
      <c r="H910" s="5" t="inlineStr">
        <is>
          <t>Diciembre</t>
        </is>
      </c>
      <c r="I910" s="6" t="inlineStr">
        <is>
          <t>2022-2</t>
        </is>
      </c>
      <c r="J910" s="5" t="n">
        <v>172000</v>
      </c>
      <c r="K910" s="5" t="n">
        <v>125564</v>
      </c>
      <c r="L910" s="14">
        <f>IFERROR(IF(OR(J910=0,K910=""),"",IF(E910="Positivo",MIN(MAX(K910/J910,0),1.0),MIN(MAX(J910/K910,0),1.0))),"") </f>
        <v/>
      </c>
      <c r="M910" s="14">
        <f>IFERROR(IF(OR(J910=0,K910=""),"",IF(E910="Positivo",MAX(K910/J910,0),MAX(J910/K910,0))),"") </f>
        <v/>
      </c>
      <c r="N910" s="5" t="inlineStr">
        <is>
          <t>kWh</t>
        </is>
      </c>
      <c r="O910" s="5" t="inlineStr">
        <is>
          <t>kWh</t>
        </is>
      </c>
      <c r="P910" s="5" t="n">
        <v>0</v>
      </c>
      <c r="Q910" s="5" t="n">
        <v>0</v>
      </c>
      <c r="R910" s="5" t="inlineStr">
        <is>
          <t>218-2022-12-31</t>
        </is>
      </c>
    </row>
    <row r="911">
      <c r="A911" s="21" t="n">
        <v>218</v>
      </c>
      <c r="B911" s="5" t="inlineStr">
        <is>
          <t>Consumo de Energía Eléctrica kWh Mensual</t>
        </is>
      </c>
      <c r="C911" s="5" t="inlineStr">
        <is>
          <t>GESTIÓN AMBIENTAL</t>
        </is>
      </c>
      <c r="D911" s="5" t="inlineStr">
        <is>
          <t>Mensual</t>
        </is>
      </c>
      <c r="E911" s="5" t="inlineStr">
        <is>
          <t>Negativo</t>
        </is>
      </c>
      <c r="F911" s="107" t="n">
        <v>44957</v>
      </c>
      <c r="G911" s="5" t="n">
        <v>2023</v>
      </c>
      <c r="H911" s="5" t="inlineStr">
        <is>
          <t>Enero</t>
        </is>
      </c>
      <c r="I911" s="6" t="inlineStr">
        <is>
          <t>2023-1</t>
        </is>
      </c>
      <c r="J911" s="5" t="n">
        <v>172000</v>
      </c>
      <c r="K911" s="10" t="n">
        <v>120858</v>
      </c>
      <c r="L911" s="14">
        <f>IFERROR(IF(OR(J911=0,K911=""),"",IF(E911="Positivo",MIN(MAX(K911/J911,0),1.0),MIN(MAX(J911/K911,0),1.0))),"") </f>
        <v/>
      </c>
      <c r="M911" s="14">
        <f>IFERROR(IF(OR(J911=0,K911=""),"",IF(E911="Positivo",MAX(K911/J911,0),MAX(J911/K911,0))),"") </f>
        <v/>
      </c>
      <c r="N911" s="5" t="inlineStr">
        <is>
          <t>kWh</t>
        </is>
      </c>
      <c r="O911" s="5" t="inlineStr">
        <is>
          <t>kWh</t>
        </is>
      </c>
      <c r="P911" s="15" t="n">
        <v>0</v>
      </c>
      <c r="Q911" s="15" t="n">
        <v>1</v>
      </c>
      <c r="R911" s="5" t="inlineStr">
        <is>
          <t>218-2023-01-31</t>
        </is>
      </c>
    </row>
    <row r="912">
      <c r="A912" s="21" t="n">
        <v>218</v>
      </c>
      <c r="B912" s="5" t="inlineStr">
        <is>
          <t>Consumo de Energía Eléctrica kWh Mensual</t>
        </is>
      </c>
      <c r="C912" s="5" t="inlineStr">
        <is>
          <t>GESTIÓN AMBIENTAL</t>
        </is>
      </c>
      <c r="D912" s="5" t="inlineStr">
        <is>
          <t>Mensual</t>
        </is>
      </c>
      <c r="E912" s="5" t="inlineStr">
        <is>
          <t>Negativo</t>
        </is>
      </c>
      <c r="F912" s="106" t="n">
        <v>44985</v>
      </c>
      <c r="G912" s="5" t="n">
        <v>2023</v>
      </c>
      <c r="H912" s="5" t="inlineStr">
        <is>
          <t>Febrero</t>
        </is>
      </c>
      <c r="I912" s="6" t="inlineStr">
        <is>
          <t>2023-1</t>
        </is>
      </c>
      <c r="J912" s="5" t="n">
        <v>172000</v>
      </c>
      <c r="K912" s="9" t="n">
        <v>111868</v>
      </c>
      <c r="L912" s="14">
        <f>IFERROR(IF(OR(J912=0,K912=""),"",IF(E912="Positivo",MIN(MAX(K912/J912,0),1.0),MIN(MAX(J912/K912,0),1.0))),"") </f>
        <v/>
      </c>
      <c r="M912" s="14">
        <f>IFERROR(IF(OR(J912=0,K912=""),"",IF(E912="Positivo",MAX(K912/J912,0),MAX(J912/K912,0))),"") </f>
        <v/>
      </c>
      <c r="N912" s="5" t="inlineStr">
        <is>
          <t>kWh</t>
        </is>
      </c>
      <c r="O912" s="5" t="inlineStr">
        <is>
          <t>kWh</t>
        </is>
      </c>
      <c r="P912" s="15" t="n">
        <v>0</v>
      </c>
      <c r="Q912" s="15" t="n">
        <v>1</v>
      </c>
      <c r="R912" s="5" t="inlineStr">
        <is>
          <t>218-2023-02-28</t>
        </is>
      </c>
    </row>
    <row r="913">
      <c r="A913" s="26" t="n">
        <v>218</v>
      </c>
      <c r="B913" s="5" t="inlineStr">
        <is>
          <t>Consumo de Energía Eléctrica kWh Mensual</t>
        </is>
      </c>
      <c r="C913" s="5" t="inlineStr">
        <is>
          <t>GESTIÓN AMBIENTAL</t>
        </is>
      </c>
      <c r="D913" s="5" t="inlineStr">
        <is>
          <t>Mensual</t>
        </is>
      </c>
      <c r="E913" s="5" t="inlineStr">
        <is>
          <t>Negativo</t>
        </is>
      </c>
      <c r="F913" s="107" t="n">
        <v>45016</v>
      </c>
      <c r="G913" s="5" t="n">
        <v>2023</v>
      </c>
      <c r="H913" s="5" t="inlineStr">
        <is>
          <t>Marzo</t>
        </is>
      </c>
      <c r="I913" s="6" t="inlineStr">
        <is>
          <t>2023-1</t>
        </is>
      </c>
      <c r="J913" s="5" t="n">
        <v>172000</v>
      </c>
      <c r="K913" s="9" t="n">
        <v>151441.41</v>
      </c>
      <c r="L913" s="14">
        <f>IFERROR(IF(OR(J913=0,K913=""),"",IF(E913="Positivo",MIN(MAX(K913/J913,0),1.0),MIN(MAX(J913/K913,0),1.0))),"") </f>
        <v/>
      </c>
      <c r="M913" s="14">
        <f>IFERROR(IF(OR(J913=0,K913=""),"",IF(E913="Positivo",MAX(K913/J913,0),MAX(J913/K913,0))),"") </f>
        <v/>
      </c>
      <c r="N913" s="5" t="inlineStr">
        <is>
          <t>kWh</t>
        </is>
      </c>
      <c r="O913" s="5" t="inlineStr">
        <is>
          <t>kWh</t>
        </is>
      </c>
      <c r="P913" s="15" t="n">
        <v>0</v>
      </c>
      <c r="Q913" s="15" t="n">
        <v>1</v>
      </c>
      <c r="R913" s="5" t="inlineStr">
        <is>
          <t>218-2023-03-31</t>
        </is>
      </c>
    </row>
    <row r="914">
      <c r="A914" s="5" t="n">
        <v>218</v>
      </c>
      <c r="B914" s="5" t="inlineStr">
        <is>
          <t>Consumo de Energía Eléctrica kWh Mensual</t>
        </is>
      </c>
      <c r="C914" s="5" t="inlineStr">
        <is>
          <t>GESTIÓN AMBIENTAL</t>
        </is>
      </c>
      <c r="D914" s="5" t="inlineStr">
        <is>
          <t>Mensual</t>
        </is>
      </c>
      <c r="E914" s="5" t="inlineStr">
        <is>
          <t>Negativo</t>
        </is>
      </c>
      <c r="F914" s="107" t="n">
        <v>45046</v>
      </c>
      <c r="G914" s="5" t="n">
        <v>2023</v>
      </c>
      <c r="H914" s="5" t="inlineStr">
        <is>
          <t>Abril</t>
        </is>
      </c>
      <c r="I914" s="6" t="inlineStr">
        <is>
          <t>2023-1</t>
        </is>
      </c>
      <c r="J914" s="5" t="n">
        <v>172000</v>
      </c>
      <c r="K914" s="5" t="n">
        <v>137079</v>
      </c>
      <c r="L914" s="14">
        <f>IFERROR(IF(OR(J914=0,K914=""),"",IF(E914="Positivo",MIN(MAX(K914/J914,0),1.0),MIN(MAX(J914/K914,0),1.0))),"") </f>
        <v/>
      </c>
      <c r="M914" s="14">
        <f>IFERROR(IF(OR(J914=0,K914=""),"",IF(E914="Positivo",MAX(K914/J914,0),MAX(J914/K914,0))),"") </f>
        <v/>
      </c>
      <c r="N914" s="5" t="inlineStr">
        <is>
          <t>kWh</t>
        </is>
      </c>
      <c r="O914" s="5" t="inlineStr">
        <is>
          <t>kWh</t>
        </is>
      </c>
      <c r="P914" s="5" t="n">
        <v>0</v>
      </c>
      <c r="Q914" s="5" t="n">
        <v>1</v>
      </c>
      <c r="R914" s="5" t="inlineStr">
        <is>
          <t>218-2023-04-30</t>
        </is>
      </c>
    </row>
    <row r="915">
      <c r="A915" s="21" t="n">
        <v>218</v>
      </c>
      <c r="B915" s="5" t="inlineStr">
        <is>
          <t>Consumo de Energía Eléctrica kWh Mensual</t>
        </is>
      </c>
      <c r="C915" s="5" t="inlineStr">
        <is>
          <t>GESTIÓN AMBIENTAL</t>
        </is>
      </c>
      <c r="D915" s="5" t="inlineStr">
        <is>
          <t>Mensual</t>
        </is>
      </c>
      <c r="E915" s="5" t="inlineStr">
        <is>
          <t>Negativo</t>
        </is>
      </c>
      <c r="F915" s="107" t="n">
        <v>45077</v>
      </c>
      <c r="G915" s="5" t="n">
        <v>2023</v>
      </c>
      <c r="H915" s="5" t="inlineStr">
        <is>
          <t>Mayo</t>
        </is>
      </c>
      <c r="I915" s="6" t="inlineStr">
        <is>
          <t>2023-1</t>
        </is>
      </c>
      <c r="J915" s="5" t="n">
        <v>172000</v>
      </c>
      <c r="K915" s="10" t="n">
        <v>147309</v>
      </c>
      <c r="L915" s="14">
        <f>IFERROR(IF(OR(J915=0,K915=""),"",IF(E915="Positivo",MIN(MAX(K915/J915,0),1.0),MIN(MAX(J915/K915,0),1.0))),"") </f>
        <v/>
      </c>
      <c r="M915" s="14">
        <f>IFERROR(IF(OR(J915=0,K915=""),"",IF(E915="Positivo",MAX(K915/J915,0),MAX(J915/K915,0))),"") </f>
        <v/>
      </c>
      <c r="N915" s="5" t="inlineStr">
        <is>
          <t>kWh</t>
        </is>
      </c>
      <c r="O915" s="5" t="inlineStr">
        <is>
          <t>kWh</t>
        </is>
      </c>
      <c r="P915" s="15" t="n">
        <v>0</v>
      </c>
      <c r="Q915" s="15" t="n">
        <v>1</v>
      </c>
      <c r="R915" s="5" t="inlineStr">
        <is>
          <t>218-2023-05-31</t>
        </is>
      </c>
    </row>
    <row r="916">
      <c r="A916" s="21" t="n">
        <v>218</v>
      </c>
      <c r="B916" s="5" t="inlineStr">
        <is>
          <t>Consumo de Energía Eléctrica kWh Mensual</t>
        </is>
      </c>
      <c r="C916" s="5" t="inlineStr">
        <is>
          <t>GESTIÓN AMBIENTAL</t>
        </is>
      </c>
      <c r="D916" s="5" t="inlineStr">
        <is>
          <t>Mensual</t>
        </is>
      </c>
      <c r="E916" s="5" t="inlineStr">
        <is>
          <t>Negativo</t>
        </is>
      </c>
      <c r="F916" s="107" t="n">
        <v>45107</v>
      </c>
      <c r="G916" s="5" t="n">
        <v>2023</v>
      </c>
      <c r="H916" s="5" t="inlineStr">
        <is>
          <t>Junio</t>
        </is>
      </c>
      <c r="I916" s="6" t="inlineStr">
        <is>
          <t>2023-1</t>
        </is>
      </c>
      <c r="J916" s="5" t="n">
        <v>172000</v>
      </c>
      <c r="K916" s="9" t="n">
        <v>140491</v>
      </c>
      <c r="L916" s="14">
        <f>IFERROR(IF(OR(J916=0,K916=""),"",IF(E916="Positivo",MIN(MAX(K916/J916,0),1.0),MIN(MAX(J916/K916,0),1.0))),"") </f>
        <v/>
      </c>
      <c r="M916" s="14">
        <f>IFERROR(IF(OR(J916=0,K916=""),"",IF(E916="Positivo",MAX(K916/J916,0),MAX(J916/K916,0))),"") </f>
        <v/>
      </c>
      <c r="N916" s="5" t="inlineStr">
        <is>
          <t>kWh</t>
        </is>
      </c>
      <c r="O916" s="5" t="inlineStr">
        <is>
          <t>kWh</t>
        </is>
      </c>
      <c r="P916" s="15" t="n">
        <v>0</v>
      </c>
      <c r="Q916" s="15" t="n">
        <v>1</v>
      </c>
      <c r="R916" s="5" t="inlineStr">
        <is>
          <t>218-2023-06-30</t>
        </is>
      </c>
    </row>
    <row r="917">
      <c r="A917" s="21" t="n">
        <v>218</v>
      </c>
      <c r="B917" s="5" t="inlineStr">
        <is>
          <t>Consumo de Energía Eléctrica kWh Mensual</t>
        </is>
      </c>
      <c r="C917" s="5" t="inlineStr">
        <is>
          <t>GESTIÓN AMBIENTAL</t>
        </is>
      </c>
      <c r="D917" s="5" t="inlineStr">
        <is>
          <t>Mensual</t>
        </is>
      </c>
      <c r="E917" s="5" t="inlineStr">
        <is>
          <t>Negativo</t>
        </is>
      </c>
      <c r="F917" s="107" t="n">
        <v>45138</v>
      </c>
      <c r="G917" s="5" t="n">
        <v>2023</v>
      </c>
      <c r="H917" s="5" t="inlineStr">
        <is>
          <t>Julio</t>
        </is>
      </c>
      <c r="I917" s="6" t="inlineStr">
        <is>
          <t>2023-2</t>
        </is>
      </c>
      <c r="J917" s="5" t="n">
        <v>172000</v>
      </c>
      <c r="K917" s="10" t="n">
        <v>125486</v>
      </c>
      <c r="L917" s="14">
        <f>IFERROR(IF(OR(J917=0,K917=""),"",IF(E917="Positivo",MIN(MAX(K917/J917,0),1.0),MIN(MAX(J917/K917,0),1.0))),"") </f>
        <v/>
      </c>
      <c r="M917" s="14">
        <f>IFERROR(IF(OR(J917=0,K917=""),"",IF(E917="Positivo",MAX(K917/J917,0),MAX(J917/K917,0))),"") </f>
        <v/>
      </c>
      <c r="N917" s="5" t="inlineStr">
        <is>
          <t>kWh</t>
        </is>
      </c>
      <c r="O917" s="5" t="inlineStr">
        <is>
          <t>kWh</t>
        </is>
      </c>
      <c r="P917" s="15" t="n">
        <v>0</v>
      </c>
      <c r="Q917" s="15" t="n">
        <v>1</v>
      </c>
      <c r="R917" s="5" t="inlineStr">
        <is>
          <t>218-2023-07-31</t>
        </is>
      </c>
    </row>
    <row r="918">
      <c r="A918" s="21" t="n">
        <v>218</v>
      </c>
      <c r="B918" s="5" t="inlineStr">
        <is>
          <t>Consumo de Energía Eléctrica kWh Mensual</t>
        </is>
      </c>
      <c r="C918" s="5" t="inlineStr">
        <is>
          <t>GESTIÓN AMBIENTAL</t>
        </is>
      </c>
      <c r="D918" s="5" t="inlineStr">
        <is>
          <t>Mensual</t>
        </is>
      </c>
      <c r="E918" s="5" t="inlineStr">
        <is>
          <t>Negativo</t>
        </is>
      </c>
      <c r="F918" s="107" t="n">
        <v>45169</v>
      </c>
      <c r="G918" s="5" t="n">
        <v>2023</v>
      </c>
      <c r="H918" s="5" t="inlineStr">
        <is>
          <t>Agosto</t>
        </is>
      </c>
      <c r="I918" s="6" t="inlineStr">
        <is>
          <t>2023-2</t>
        </is>
      </c>
      <c r="J918" s="5" t="n">
        <v>172000</v>
      </c>
      <c r="K918" s="9" t="n">
        <v>143021.71</v>
      </c>
      <c r="L918" s="14">
        <f>IFERROR(IF(OR(J918=0,K918=""),"",IF(E918="Positivo",MIN(MAX(K918/J918,0),1.0),MIN(MAX(J918/K918,0),1.0))),"") </f>
        <v/>
      </c>
      <c r="M918" s="14">
        <f>IFERROR(IF(OR(J918=0,K918=""),"",IF(E918="Positivo",MAX(K918/J918,0),MAX(J918/K918,0))),"") </f>
        <v/>
      </c>
      <c r="N918" s="5" t="inlineStr">
        <is>
          <t>kWh</t>
        </is>
      </c>
      <c r="O918" s="5" t="inlineStr">
        <is>
          <t>kWh</t>
        </is>
      </c>
      <c r="P918" s="15" t="n">
        <v>0</v>
      </c>
      <c r="Q918" s="15" t="n">
        <v>1</v>
      </c>
      <c r="R918" s="5" t="inlineStr">
        <is>
          <t>218-2023-08-31</t>
        </is>
      </c>
    </row>
    <row r="919">
      <c r="A919" s="28" t="n">
        <v>218</v>
      </c>
      <c r="B919" s="5" t="inlineStr">
        <is>
          <t>Consumo de Energía Eléctrica kWh Mensual</t>
        </is>
      </c>
      <c r="C919" s="5" t="inlineStr">
        <is>
          <t>GESTIÓN AMBIENTAL</t>
        </is>
      </c>
      <c r="D919" s="5" t="inlineStr">
        <is>
          <t>Mensual</t>
        </is>
      </c>
      <c r="E919" s="5" t="inlineStr">
        <is>
          <t>Negativo</t>
        </is>
      </c>
      <c r="F919" s="107" t="n">
        <v>45199</v>
      </c>
      <c r="G919" s="5" t="n">
        <v>2023</v>
      </c>
      <c r="H919" s="5" t="inlineStr">
        <is>
          <t>Septiembre</t>
        </is>
      </c>
      <c r="I919" s="6" t="inlineStr">
        <is>
          <t>2023-2</t>
        </is>
      </c>
      <c r="J919" s="5" t="n">
        <v>172000</v>
      </c>
      <c r="K919" s="9" t="n">
        <v>146746.83</v>
      </c>
      <c r="L919" s="14">
        <f>IFERROR(IF(OR(J919=0,K919=""),"",IF(E919="Positivo",MIN(MAX(K919/J919,0),1.0),MIN(MAX(J919/K919,0),1.0))),"") </f>
        <v/>
      </c>
      <c r="M919" s="14">
        <f>IFERROR(IF(OR(J919=0,K919=""),"",IF(E919="Positivo",MAX(K919/J919,0),MAX(J919/K919,0))),"") </f>
        <v/>
      </c>
      <c r="N919" s="5" t="inlineStr">
        <is>
          <t>kWh</t>
        </is>
      </c>
      <c r="O919" s="5" t="inlineStr">
        <is>
          <t>kWh</t>
        </is>
      </c>
      <c r="P919" s="15" t="n">
        <v>0</v>
      </c>
      <c r="Q919" s="15" t="n">
        <v>1</v>
      </c>
      <c r="R919" s="5" t="inlineStr">
        <is>
          <t>218-2023-09-30</t>
        </is>
      </c>
    </row>
    <row r="920">
      <c r="A920" s="26" t="n">
        <v>218</v>
      </c>
      <c r="B920" s="5" t="inlineStr">
        <is>
          <t>Consumo de Energía Eléctrica kWh Mensual</t>
        </is>
      </c>
      <c r="C920" s="5" t="inlineStr">
        <is>
          <t>GESTIÓN AMBIENTAL</t>
        </is>
      </c>
      <c r="D920" s="5" t="inlineStr">
        <is>
          <t>Mensual</t>
        </is>
      </c>
      <c r="E920" s="5" t="inlineStr">
        <is>
          <t>Negativo</t>
        </is>
      </c>
      <c r="F920" s="107" t="n">
        <v>45230</v>
      </c>
      <c r="G920" s="5" t="n">
        <v>2023</v>
      </c>
      <c r="H920" s="5" t="inlineStr">
        <is>
          <t>Octubre</t>
        </is>
      </c>
      <c r="I920" s="6" t="inlineStr">
        <is>
          <t>2023-2</t>
        </is>
      </c>
      <c r="J920" s="5" t="n">
        <v>172000</v>
      </c>
      <c r="K920" s="9" t="n">
        <v>141458.28</v>
      </c>
      <c r="L920" s="14">
        <f>IFERROR(IF(OR(J920=0,K920=""),"",IF(E920="Positivo",MIN(MAX(K920/J920,0),1.0),MIN(MAX(J920/K920,0),1.0))),"") </f>
        <v/>
      </c>
      <c r="M920" s="14">
        <f>IFERROR(IF(OR(J920=0,K920=""),"",IF(E920="Positivo",MAX(K920/J920,0),MAX(J920/K920,0))),"") </f>
        <v/>
      </c>
      <c r="N920" s="5" t="inlineStr">
        <is>
          <t>kWh</t>
        </is>
      </c>
      <c r="O920" s="5" t="inlineStr">
        <is>
          <t>kWh</t>
        </is>
      </c>
      <c r="P920" s="15" t="n">
        <v>0</v>
      </c>
      <c r="Q920" s="15" t="n">
        <v>1</v>
      </c>
      <c r="R920" s="5" t="inlineStr">
        <is>
          <t>218-2023-10-31</t>
        </is>
      </c>
    </row>
    <row r="921">
      <c r="A921" s="21" t="n">
        <v>218</v>
      </c>
      <c r="B921" s="5" t="inlineStr">
        <is>
          <t>Consumo de Energía Eléctrica kWh Mensual</t>
        </is>
      </c>
      <c r="C921" s="5" t="inlineStr">
        <is>
          <t>GESTIÓN AMBIENTAL</t>
        </is>
      </c>
      <c r="D921" s="5" t="inlineStr">
        <is>
          <t>Mensual</t>
        </is>
      </c>
      <c r="E921" s="5" t="inlineStr">
        <is>
          <t>Negativo</t>
        </is>
      </c>
      <c r="F921" s="107" t="n">
        <v>45260</v>
      </c>
      <c r="G921" s="5" t="n">
        <v>2023</v>
      </c>
      <c r="H921" s="5" t="inlineStr">
        <is>
          <t>Noviembre</t>
        </is>
      </c>
      <c r="I921" s="6" t="inlineStr">
        <is>
          <t>2023-2</t>
        </is>
      </c>
      <c r="J921" s="5" t="n">
        <v>172000</v>
      </c>
      <c r="K921" s="10" t="n">
        <v>129770</v>
      </c>
      <c r="L921" s="14">
        <f>IFERROR(IF(OR(J921=0,K921=""),"",IF(E921="Positivo",MIN(MAX(K921/J921,0),1.0),MIN(MAX(J921/K921,0),1.0))),"") </f>
        <v/>
      </c>
      <c r="M921" s="14">
        <f>IFERROR(IF(OR(J921=0,K921=""),"",IF(E921="Positivo",MAX(K921/J921,0),MAX(J921/K921,0))),"") </f>
        <v/>
      </c>
      <c r="N921" s="5" t="inlineStr">
        <is>
          <t>kWh</t>
        </is>
      </c>
      <c r="O921" s="5" t="inlineStr">
        <is>
          <t>kWh</t>
        </is>
      </c>
      <c r="P921" s="15" t="n">
        <v>0</v>
      </c>
      <c r="Q921" s="15" t="n">
        <v>1</v>
      </c>
      <c r="R921" s="5" t="inlineStr">
        <is>
          <t>218-2023-11-30</t>
        </is>
      </c>
    </row>
    <row r="922">
      <c r="A922" s="5" t="n">
        <v>218</v>
      </c>
      <c r="B922" s="5" t="inlineStr">
        <is>
          <t>Consumo de Energía Eléctrica kWh Mensual</t>
        </is>
      </c>
      <c r="C922" s="5" t="inlineStr">
        <is>
          <t>GESTIÓN AMBIENTAL</t>
        </is>
      </c>
      <c r="D922" s="5" t="inlineStr">
        <is>
          <t>Mensual</t>
        </is>
      </c>
      <c r="E922" s="5" t="inlineStr">
        <is>
          <t>Negativo</t>
        </is>
      </c>
      <c r="F922" s="107" t="n">
        <v>45291</v>
      </c>
      <c r="G922" s="5" t="n">
        <v>2023</v>
      </c>
      <c r="H922" s="5" t="inlineStr">
        <is>
          <t>Diciembre</t>
        </is>
      </c>
      <c r="I922" s="6" t="inlineStr">
        <is>
          <t>2023-2</t>
        </is>
      </c>
      <c r="J922" s="5" t="n">
        <v>172000</v>
      </c>
      <c r="K922" s="5" t="n">
        <v>109170</v>
      </c>
      <c r="L922" s="14">
        <f>IFERROR(IF(OR(J922=0,K922=""),"",IF(E922="Positivo",MIN(MAX(K922/J922,0),1.0),MIN(MAX(J922/K922,0),1.0))),"") </f>
        <v/>
      </c>
      <c r="M922" s="14">
        <f>IFERROR(IF(OR(J922=0,K922=""),"",IF(E922="Positivo",MAX(K922/J922,0),MAX(J922/K922,0))),"") </f>
        <v/>
      </c>
      <c r="N922" s="5" t="inlineStr">
        <is>
          <t>kWh</t>
        </is>
      </c>
      <c r="O922" s="5" t="inlineStr">
        <is>
          <t>kWh</t>
        </is>
      </c>
      <c r="P922" s="5" t="n">
        <v>0</v>
      </c>
      <c r="Q922" s="5" t="n">
        <v>1</v>
      </c>
      <c r="R922" s="5" t="inlineStr">
        <is>
          <t>218-2023-12-31</t>
        </is>
      </c>
    </row>
    <row r="923">
      <c r="A923" s="21" t="n">
        <v>218</v>
      </c>
      <c r="B923" s="5" t="inlineStr">
        <is>
          <t>Consumo de Energía Eléctrica kWh Mensual</t>
        </is>
      </c>
      <c r="C923" s="5" t="inlineStr">
        <is>
          <t>GESTIÓN AMBIENTAL</t>
        </is>
      </c>
      <c r="D923" s="5" t="inlineStr">
        <is>
          <t>Mensual</t>
        </is>
      </c>
      <c r="E923" s="5" t="inlineStr">
        <is>
          <t>Negativo</t>
        </is>
      </c>
      <c r="F923" s="107" t="n">
        <v>45322</v>
      </c>
      <c r="G923" s="5" t="n">
        <v>2024</v>
      </c>
      <c r="H923" s="5" t="inlineStr">
        <is>
          <t>Enero</t>
        </is>
      </c>
      <c r="I923" s="6" t="inlineStr">
        <is>
          <t>2024-1</t>
        </is>
      </c>
      <c r="J923" s="5" t="n">
        <v>172000</v>
      </c>
      <c r="K923" s="10" t="n">
        <v>122939.06</v>
      </c>
      <c r="L923" s="14">
        <f>IFERROR(IF(OR(J923=0,K923=""),"",IF(E923="Positivo",MIN(MAX(K923/J923,0),1.0),MIN(MAX(J923/K923,0),1.0))),"") </f>
        <v/>
      </c>
      <c r="M923" s="14">
        <f>IFERROR(IF(OR(J923=0,K923=""),"",IF(E923="Positivo",MAX(K923/J923,0),MAX(J923/K923,0))),"") </f>
        <v/>
      </c>
      <c r="N923" s="5" t="inlineStr">
        <is>
          <t>kWh</t>
        </is>
      </c>
      <c r="O923" s="5" t="inlineStr">
        <is>
          <t>kWh</t>
        </is>
      </c>
      <c r="P923" s="15" t="n">
        <v>0</v>
      </c>
      <c r="Q923" s="15" t="n">
        <v>1</v>
      </c>
      <c r="R923" s="5" t="inlineStr">
        <is>
          <t>218-2024-01-31</t>
        </is>
      </c>
    </row>
    <row r="924">
      <c r="A924" s="21" t="n">
        <v>218</v>
      </c>
      <c r="B924" s="5" t="inlineStr">
        <is>
          <t>Consumo de Energía Eléctrica kWh Mensual</t>
        </is>
      </c>
      <c r="C924" s="5" t="inlineStr">
        <is>
          <t>GESTIÓN AMBIENTAL</t>
        </is>
      </c>
      <c r="D924" s="5" t="inlineStr">
        <is>
          <t>Mensual</t>
        </is>
      </c>
      <c r="E924" s="5" t="inlineStr">
        <is>
          <t>Negativo</t>
        </is>
      </c>
      <c r="F924" s="107" t="n">
        <v>45351</v>
      </c>
      <c r="G924" s="5" t="n">
        <v>2024</v>
      </c>
      <c r="H924" s="5" t="inlineStr">
        <is>
          <t>Febrero</t>
        </is>
      </c>
      <c r="I924" s="6" t="inlineStr">
        <is>
          <t>2024-1</t>
        </is>
      </c>
      <c r="J924" s="5" t="n">
        <v>172000</v>
      </c>
      <c r="K924" s="10" t="n">
        <v>135675.99</v>
      </c>
      <c r="L924" s="14">
        <f>IFERROR(IF(OR(J924=0,K924=""),"",IF(E924="Positivo",MIN(MAX(K924/J924,0),1.0),MIN(MAX(J924/K924,0),1.0))),"") </f>
        <v/>
      </c>
      <c r="M924" s="14">
        <f>IFERROR(IF(OR(J924=0,K924=""),"",IF(E924="Positivo",MAX(K924/J924,0),MAX(J924/K924,0))),"") </f>
        <v/>
      </c>
      <c r="N924" s="5" t="inlineStr">
        <is>
          <t>kWh</t>
        </is>
      </c>
      <c r="O924" s="5" t="inlineStr">
        <is>
          <t>kWh</t>
        </is>
      </c>
      <c r="P924" s="15" t="n">
        <v>0</v>
      </c>
      <c r="Q924" s="15" t="n">
        <v>1</v>
      </c>
      <c r="R924" s="5" t="inlineStr">
        <is>
          <t>218-2024-02-29</t>
        </is>
      </c>
    </row>
    <row r="925">
      <c r="A925" s="21" t="n">
        <v>218</v>
      </c>
      <c r="B925" s="5" t="inlineStr">
        <is>
          <t>Consumo de Energía Eléctrica kWh Mensual</t>
        </is>
      </c>
      <c r="C925" s="5" t="inlineStr">
        <is>
          <t>GESTIÓN AMBIENTAL</t>
        </is>
      </c>
      <c r="D925" s="5" t="inlineStr">
        <is>
          <t>Mensual</t>
        </is>
      </c>
      <c r="E925" s="5" t="inlineStr">
        <is>
          <t>Negativo</t>
        </is>
      </c>
      <c r="F925" s="106" t="n">
        <v>45382</v>
      </c>
      <c r="G925" s="5" t="n">
        <v>2024</v>
      </c>
      <c r="H925" s="5" t="inlineStr">
        <is>
          <t>Marzo</t>
        </is>
      </c>
      <c r="I925" s="6" t="inlineStr">
        <is>
          <t>2024-1</t>
        </is>
      </c>
      <c r="J925" s="5" t="n">
        <v>172000</v>
      </c>
      <c r="K925" s="9" t="n">
        <v>153748.73</v>
      </c>
      <c r="L925" s="14">
        <f>IFERROR(IF(OR(J925=0,K925=""),"",IF(E925="Positivo",MIN(MAX(K925/J925,0),1.0),MIN(MAX(J925/K925,0),1.0))),"") </f>
        <v/>
      </c>
      <c r="M925" s="14">
        <f>IFERROR(IF(OR(J925=0,K925=""),"",IF(E925="Positivo",MAX(K925/J925,0),MAX(J925/K925,0))),"") </f>
        <v/>
      </c>
      <c r="N925" s="5" t="inlineStr">
        <is>
          <t>kWh</t>
        </is>
      </c>
      <c r="O925" s="5" t="inlineStr">
        <is>
          <t>kWh</t>
        </is>
      </c>
      <c r="P925" s="15" t="n">
        <v>0</v>
      </c>
      <c r="Q925" s="15" t="n">
        <v>1</v>
      </c>
      <c r="R925" s="5" t="inlineStr">
        <is>
          <t>218-2024-03-31</t>
        </is>
      </c>
    </row>
    <row r="926">
      <c r="A926" s="26" t="n">
        <v>218</v>
      </c>
      <c r="B926" s="5" t="inlineStr">
        <is>
          <t>Consumo de Energía Eléctrica kWh Mensual</t>
        </is>
      </c>
      <c r="C926" s="5" t="inlineStr">
        <is>
          <t>GESTIÓN AMBIENTAL</t>
        </is>
      </c>
      <c r="D926" s="5" t="inlineStr">
        <is>
          <t>Mensual</t>
        </is>
      </c>
      <c r="E926" s="5" t="inlineStr">
        <is>
          <t>Negativo</t>
        </is>
      </c>
      <c r="F926" s="107" t="n">
        <v>45412</v>
      </c>
      <c r="G926" s="5" t="n">
        <v>2024</v>
      </c>
      <c r="H926" s="5" t="inlineStr">
        <is>
          <t>Abril</t>
        </is>
      </c>
      <c r="I926" s="6" t="inlineStr">
        <is>
          <t>2024-1</t>
        </is>
      </c>
      <c r="J926" s="5" t="n">
        <v>172000</v>
      </c>
      <c r="K926" s="9" t="n">
        <v>164779.39</v>
      </c>
      <c r="L926" s="14">
        <f>IFERROR(IF(OR(J926=0,K926=""),"",IF(E926="Positivo",MIN(MAX(K926/J926,0),1.0),MIN(MAX(J926/K926,0),1.0))),"") </f>
        <v/>
      </c>
      <c r="M926" s="14">
        <f>IFERROR(IF(OR(J926=0,K926=""),"",IF(E926="Positivo",MAX(K926/J926,0),MAX(J926/K926,0))),"") </f>
        <v/>
      </c>
      <c r="N926" s="5" t="inlineStr">
        <is>
          <t>kWh</t>
        </is>
      </c>
      <c r="O926" s="5" t="inlineStr">
        <is>
          <t>kWh</t>
        </is>
      </c>
      <c r="P926" s="15" t="n">
        <v>0</v>
      </c>
      <c r="Q926" s="15" t="n">
        <v>1</v>
      </c>
      <c r="R926" s="5" t="inlineStr">
        <is>
          <t>218-2024-04-30</t>
        </is>
      </c>
    </row>
    <row r="927">
      <c r="A927" s="5" t="n">
        <v>218</v>
      </c>
      <c r="B927" s="5" t="inlineStr">
        <is>
          <t>Consumo de Energía Eléctrica kWh Mensual</t>
        </is>
      </c>
      <c r="C927" s="5" t="inlineStr">
        <is>
          <t>GESTIÓN AMBIENTAL</t>
        </is>
      </c>
      <c r="D927" s="5" t="inlineStr">
        <is>
          <t>Mensual</t>
        </is>
      </c>
      <c r="E927" s="5" t="inlineStr">
        <is>
          <t>Negativo</t>
        </is>
      </c>
      <c r="F927" s="107" t="n">
        <v>45443</v>
      </c>
      <c r="G927" s="5" t="n">
        <v>2024</v>
      </c>
      <c r="H927" s="5" t="inlineStr">
        <is>
          <t>Mayo</t>
        </is>
      </c>
      <c r="I927" s="6" t="inlineStr">
        <is>
          <t>2024-1</t>
        </is>
      </c>
      <c r="J927" s="5" t="n">
        <v>172000</v>
      </c>
      <c r="K927" s="5" t="n">
        <v>157279.15</v>
      </c>
      <c r="L927" s="14">
        <f>IFERROR(IF(OR(J927=0,K927=""),"",IF(E927="Positivo",MIN(MAX(K927/J927,0),1.0),MIN(MAX(J927/K927,0),1.0))),"") </f>
        <v/>
      </c>
      <c r="M927" s="14">
        <f>IFERROR(IF(OR(J927=0,K927=""),"",IF(E927="Positivo",MAX(K927/J927,0),MAX(J927/K927,0))),"") </f>
        <v/>
      </c>
      <c r="N927" s="5" t="inlineStr">
        <is>
          <t>kWh</t>
        </is>
      </c>
      <c r="O927" s="5" t="inlineStr">
        <is>
          <t>kWh</t>
        </is>
      </c>
      <c r="P927" s="5" t="n">
        <v>0</v>
      </c>
      <c r="Q927" s="5" t="n">
        <v>1</v>
      </c>
      <c r="R927" s="5" t="inlineStr">
        <is>
          <t>218-2024-05-31</t>
        </is>
      </c>
    </row>
    <row r="928">
      <c r="A928" s="21" t="n">
        <v>218</v>
      </c>
      <c r="B928" s="5" t="inlineStr">
        <is>
          <t>Consumo de Energía Eléctrica kWh Mensual</t>
        </is>
      </c>
      <c r="C928" s="5" t="inlineStr">
        <is>
          <t>GESTIÓN AMBIENTAL</t>
        </is>
      </c>
      <c r="D928" s="5" t="inlineStr">
        <is>
          <t>Mensual</t>
        </is>
      </c>
      <c r="E928" s="5" t="inlineStr">
        <is>
          <t>Negativo</t>
        </is>
      </c>
      <c r="F928" s="107" t="n">
        <v>45473</v>
      </c>
      <c r="G928" s="5" t="n">
        <v>2024</v>
      </c>
      <c r="H928" s="5" t="inlineStr">
        <is>
          <t>Junio</t>
        </is>
      </c>
      <c r="I928" s="6" t="inlineStr">
        <is>
          <t>2024-1</t>
        </is>
      </c>
      <c r="J928" s="5" t="n">
        <v>172000</v>
      </c>
      <c r="K928" s="10" t="n">
        <v>140488.65</v>
      </c>
      <c r="L928" s="14">
        <f>IFERROR(IF(OR(J928=0,K928=""),"",IF(E928="Positivo",MIN(MAX(K928/J928,0),1.0),MIN(MAX(J928/K928,0),1.0))),"") </f>
        <v/>
      </c>
      <c r="M928" s="14">
        <f>IFERROR(IF(OR(J928=0,K928=""),"",IF(E928="Positivo",MAX(K928/J928,0),MAX(J928/K928,0))),"") </f>
        <v/>
      </c>
      <c r="N928" s="5" t="inlineStr">
        <is>
          <t>kWh</t>
        </is>
      </c>
      <c r="O928" s="5" t="inlineStr">
        <is>
          <t>kWh</t>
        </is>
      </c>
      <c r="P928" s="15" t="n">
        <v>0</v>
      </c>
      <c r="Q928" s="15" t="n">
        <v>1</v>
      </c>
      <c r="R928" s="5" t="inlineStr">
        <is>
          <t>218-2024-06-30</t>
        </is>
      </c>
    </row>
    <row r="929">
      <c r="A929" s="21" t="n">
        <v>218</v>
      </c>
      <c r="B929" s="5" t="inlineStr">
        <is>
          <t>Consumo de Energía Eléctrica kWh Mensual</t>
        </is>
      </c>
      <c r="C929" s="5" t="inlineStr">
        <is>
          <t>GESTIÓN AMBIENTAL</t>
        </is>
      </c>
      <c r="D929" s="5" t="inlineStr">
        <is>
          <t>Mensual</t>
        </is>
      </c>
      <c r="E929" s="5" t="inlineStr">
        <is>
          <t>Negativo</t>
        </is>
      </c>
      <c r="F929" s="106" t="n">
        <v>45504</v>
      </c>
      <c r="G929" s="5" t="n">
        <v>2024</v>
      </c>
      <c r="H929" s="5" t="inlineStr">
        <is>
          <t>Julio</t>
        </is>
      </c>
      <c r="I929" s="6" t="inlineStr">
        <is>
          <t>2024-2</t>
        </is>
      </c>
      <c r="J929" s="5" t="n">
        <v>172000</v>
      </c>
      <c r="K929" s="9" t="n">
        <v>131127</v>
      </c>
      <c r="L929" s="14">
        <f>IFERROR(IF(OR(J929=0,K929=""),"",IF(E929="Positivo",MIN(MAX(K929/J929,0),1.0),MIN(MAX(J929/K929,0),1.0))),"") </f>
        <v/>
      </c>
      <c r="M929" s="14">
        <f>IFERROR(IF(OR(J929=0,K929=""),"",IF(E929="Positivo",MAX(K929/J929,0),MAX(J929/K929,0))),"") </f>
        <v/>
      </c>
      <c r="N929" s="5" t="inlineStr">
        <is>
          <t>kWh</t>
        </is>
      </c>
      <c r="O929" s="5" t="inlineStr">
        <is>
          <t>kWh</t>
        </is>
      </c>
      <c r="P929" s="15" t="n">
        <v>0</v>
      </c>
      <c r="Q929" s="15" t="n">
        <v>1</v>
      </c>
      <c r="R929" s="5" t="inlineStr">
        <is>
          <t>218-2024-07-31</t>
        </is>
      </c>
    </row>
    <row r="930">
      <c r="A930" s="26" t="n">
        <v>218</v>
      </c>
      <c r="B930" s="5" t="inlineStr">
        <is>
          <t>Consumo de Energía Eléctrica kWh Mensual</t>
        </is>
      </c>
      <c r="C930" s="5" t="inlineStr">
        <is>
          <t>GESTIÓN AMBIENTAL</t>
        </is>
      </c>
      <c r="D930" s="5" t="inlineStr">
        <is>
          <t>Mensual</t>
        </is>
      </c>
      <c r="E930" s="5" t="inlineStr">
        <is>
          <t>Negativo</t>
        </is>
      </c>
      <c r="F930" s="107" t="n">
        <v>45535</v>
      </c>
      <c r="G930" s="5" t="n">
        <v>2024</v>
      </c>
      <c r="H930" s="5" t="inlineStr">
        <is>
          <t>Agosto</t>
        </is>
      </c>
      <c r="I930" s="6" t="inlineStr">
        <is>
          <t>2024-2</t>
        </is>
      </c>
      <c r="J930" s="5" t="n">
        <v>172000</v>
      </c>
      <c r="K930" s="9" t="n">
        <v>141809.93</v>
      </c>
      <c r="L930" s="14">
        <f>IFERROR(IF(OR(J930=0,K930=""),"",IF(E930="Positivo",MIN(MAX(K930/J930,0),1.0),MIN(MAX(J930/K930,0),1.0))),"") </f>
        <v/>
      </c>
      <c r="M930" s="14">
        <f>IFERROR(IF(OR(J930=0,K930=""),"",IF(E930="Positivo",MAX(K930/J930,0),MAX(J930/K930,0))),"") </f>
        <v/>
      </c>
      <c r="N930" s="5" t="inlineStr">
        <is>
          <t>kWh</t>
        </is>
      </c>
      <c r="O930" s="5" t="inlineStr">
        <is>
          <t>kWh</t>
        </is>
      </c>
      <c r="P930" s="15" t="n">
        <v>0</v>
      </c>
      <c r="Q930" s="15" t="n">
        <v>1</v>
      </c>
      <c r="R930" s="5" t="inlineStr">
        <is>
          <t>218-2024-08-31</t>
        </is>
      </c>
    </row>
    <row r="931">
      <c r="A931" s="5" t="n">
        <v>218</v>
      </c>
      <c r="B931" s="5" t="inlineStr">
        <is>
          <t>Consumo de Energía Eléctrica kWh Mensual</t>
        </is>
      </c>
      <c r="C931" s="5" t="inlineStr">
        <is>
          <t>GESTIÓN AMBIENTAL</t>
        </is>
      </c>
      <c r="D931" s="5" t="inlineStr">
        <is>
          <t>Mensual</t>
        </is>
      </c>
      <c r="E931" s="5" t="inlineStr">
        <is>
          <t>Negativo</t>
        </is>
      </c>
      <c r="F931" s="107" t="n">
        <v>45565</v>
      </c>
      <c r="G931" s="5" t="n">
        <v>2024</v>
      </c>
      <c r="H931" s="5" t="inlineStr">
        <is>
          <t>Septiembre</t>
        </is>
      </c>
      <c r="I931" s="6" t="inlineStr">
        <is>
          <t>2024-2</t>
        </is>
      </c>
      <c r="J931" s="5" t="n">
        <v>172000</v>
      </c>
      <c r="K931" s="5" t="n">
        <v>145856.52</v>
      </c>
      <c r="L931" s="14">
        <f>IFERROR(IF(OR(J931=0,K931=""),"",IF(E931="Positivo",MIN(MAX(K931/J931,0),1.0),MIN(MAX(J931/K931,0),1.0))),"") </f>
        <v/>
      </c>
      <c r="M931" s="14">
        <f>IFERROR(IF(OR(J931=0,K931=""),"",IF(E931="Positivo",MAX(K931/J931,0),MAX(J931/K931,0))),"") </f>
        <v/>
      </c>
      <c r="N931" s="5" t="inlineStr">
        <is>
          <t>kWh</t>
        </is>
      </c>
      <c r="O931" s="5" t="inlineStr">
        <is>
          <t>kWh</t>
        </is>
      </c>
      <c r="P931" s="5" t="n">
        <v>0</v>
      </c>
      <c r="Q931" s="5" t="n">
        <v>1</v>
      </c>
      <c r="R931" s="5" t="inlineStr">
        <is>
          <t>218-2024-09-30</t>
        </is>
      </c>
    </row>
    <row r="932">
      <c r="A932" s="21" t="n">
        <v>218</v>
      </c>
      <c r="B932" s="5" t="inlineStr">
        <is>
          <t>Consumo de Energía Eléctrica kWh Mensual</t>
        </is>
      </c>
      <c r="C932" s="5" t="inlineStr">
        <is>
          <t>GESTIÓN AMBIENTAL</t>
        </is>
      </c>
      <c r="D932" s="5" t="inlineStr">
        <is>
          <t>Mensual</t>
        </is>
      </c>
      <c r="E932" s="5" t="inlineStr">
        <is>
          <t>Negativo</t>
        </is>
      </c>
      <c r="F932" s="106" t="n">
        <v>45596</v>
      </c>
      <c r="G932" s="5" t="n">
        <v>2024</v>
      </c>
      <c r="H932" s="5" t="inlineStr">
        <is>
          <t>Octubre</t>
        </is>
      </c>
      <c r="I932" s="6" t="inlineStr">
        <is>
          <t>2024-2</t>
        </is>
      </c>
      <c r="J932" s="5" t="n">
        <v>172000</v>
      </c>
      <c r="K932" s="9" t="n">
        <v>156418.49</v>
      </c>
      <c r="L932" s="14">
        <f>IFERROR(IF(OR(J932=0,K932=""),"",IF(E932="Positivo",MIN(MAX(K932/J932,0),1.0),MIN(MAX(J932/K932,0),1.0))),"") </f>
        <v/>
      </c>
      <c r="M932" s="14">
        <f>IFERROR(IF(OR(J932=0,K932=""),"",IF(E932="Positivo",MAX(K932/J932,0),MAX(J932/K932,0))),"") </f>
        <v/>
      </c>
      <c r="N932" s="5" t="inlineStr">
        <is>
          <t>kWh</t>
        </is>
      </c>
      <c r="O932" s="5" t="inlineStr">
        <is>
          <t>kWh</t>
        </is>
      </c>
      <c r="P932" s="15" t="n">
        <v>0</v>
      </c>
      <c r="Q932" s="15" t="n">
        <v>1</v>
      </c>
      <c r="R932" s="5" t="inlineStr">
        <is>
          <t>218-2024-10-31</t>
        </is>
      </c>
    </row>
    <row r="933">
      <c r="A933" s="26" t="n">
        <v>218</v>
      </c>
      <c r="B933" s="5" t="inlineStr">
        <is>
          <t>Consumo de Energía Eléctrica kWh Mensual</t>
        </is>
      </c>
      <c r="C933" s="5" t="inlineStr">
        <is>
          <t>GESTIÓN AMBIENTAL</t>
        </is>
      </c>
      <c r="D933" s="5" t="inlineStr">
        <is>
          <t>Mensual</t>
        </is>
      </c>
      <c r="E933" s="5" t="inlineStr">
        <is>
          <t>Negativo</t>
        </is>
      </c>
      <c r="F933" s="107" t="n">
        <v>45626</v>
      </c>
      <c r="G933" s="5" t="n">
        <v>2024</v>
      </c>
      <c r="H933" s="5" t="inlineStr">
        <is>
          <t>Noviembre</t>
        </is>
      </c>
      <c r="I933" s="6" t="inlineStr">
        <is>
          <t>2024-2</t>
        </is>
      </c>
      <c r="J933" s="5" t="n">
        <v>172000</v>
      </c>
      <c r="K933" s="9" t="n">
        <v>147205.36</v>
      </c>
      <c r="L933" s="14">
        <f>IFERROR(IF(OR(J933=0,K933=""),"",IF(E933="Positivo",MIN(MAX(K933/J933,0),1.0),MIN(MAX(J933/K933,0),1.0))),"") </f>
        <v/>
      </c>
      <c r="M933" s="14">
        <f>IFERROR(IF(OR(J933=0,K933=""),"",IF(E933="Positivo",MAX(K933/J933,0),MAX(J933/K933,0))),"") </f>
        <v/>
      </c>
      <c r="N933" s="5" t="inlineStr">
        <is>
          <t>kWh</t>
        </is>
      </c>
      <c r="O933" s="5" t="inlineStr">
        <is>
          <t>kWh</t>
        </is>
      </c>
      <c r="P933" s="15" t="n">
        <v>0</v>
      </c>
      <c r="Q933" s="15" t="n">
        <v>1</v>
      </c>
      <c r="R933" s="5" t="inlineStr">
        <is>
          <t>218-2024-11-30</t>
        </is>
      </c>
    </row>
    <row r="934">
      <c r="A934" s="5" t="n">
        <v>218</v>
      </c>
      <c r="B934" s="5" t="inlineStr">
        <is>
          <t>Consumo de Energía Eléctrica kWh Mensual</t>
        </is>
      </c>
      <c r="C934" s="5" t="inlineStr">
        <is>
          <t>GESTIÓN AMBIENTAL</t>
        </is>
      </c>
      <c r="D934" s="5" t="inlineStr">
        <is>
          <t>Mensual</t>
        </is>
      </c>
      <c r="E934" s="5" t="inlineStr">
        <is>
          <t>Negativo</t>
        </is>
      </c>
      <c r="F934" s="107" t="n">
        <v>45657</v>
      </c>
      <c r="G934" s="5" t="n">
        <v>2024</v>
      </c>
      <c r="H934" s="5" t="inlineStr">
        <is>
          <t>Diciembre</t>
        </is>
      </c>
      <c r="I934" s="6" t="inlineStr">
        <is>
          <t>2024-2</t>
        </is>
      </c>
      <c r="J934" s="5" t="n">
        <v>172000</v>
      </c>
      <c r="K934" s="5" t="n">
        <v>126974.55</v>
      </c>
      <c r="L934" s="14">
        <f>IFERROR(IF(OR(J934=0,K934=""),"",IF(E934="Positivo",MIN(MAX(K934/J934,0),1.0),MIN(MAX(J934/K934,0),1.0))),"") </f>
        <v/>
      </c>
      <c r="M934" s="14">
        <f>IFERROR(IF(OR(J934=0,K934=""),"",IF(E934="Positivo",MAX(K934/J934,0),MAX(J934/K934,0))),"") </f>
        <v/>
      </c>
      <c r="N934" s="5" t="inlineStr">
        <is>
          <t>kWh</t>
        </is>
      </c>
      <c r="O934" s="5" t="inlineStr">
        <is>
          <t>kWh</t>
        </is>
      </c>
      <c r="P934" s="5" t="n">
        <v>0</v>
      </c>
      <c r="Q934" s="5" t="n">
        <v>1</v>
      </c>
      <c r="R934" s="5" t="inlineStr">
        <is>
          <t>218-2024-12-31</t>
        </is>
      </c>
    </row>
    <row r="935">
      <c r="A935" s="21" t="n">
        <v>218</v>
      </c>
      <c r="B935" s="5" t="inlineStr">
        <is>
          <t>Consumo de Energía Eléctrica kWh Mensual</t>
        </is>
      </c>
      <c r="C935" s="5" t="inlineStr">
        <is>
          <t>GESTIÓN AMBIENTAL</t>
        </is>
      </c>
      <c r="D935" s="5" t="inlineStr">
        <is>
          <t>Mensual</t>
        </is>
      </c>
      <c r="E935" s="5" t="inlineStr">
        <is>
          <t>Negativo</t>
        </is>
      </c>
      <c r="F935" s="107" t="n">
        <v>45688</v>
      </c>
      <c r="G935" s="5" t="n">
        <v>2025</v>
      </c>
      <c r="H935" s="5" t="inlineStr">
        <is>
          <t>Enero</t>
        </is>
      </c>
      <c r="I935" s="6" t="inlineStr">
        <is>
          <t>2025-1</t>
        </is>
      </c>
      <c r="J935" s="5" t="n">
        <v>172000</v>
      </c>
      <c r="K935" s="10" t="n">
        <v>113367.97</v>
      </c>
      <c r="L935" s="14">
        <f>IFERROR(IF(OR(J935=0,K935=""),"",IF(E935="Positivo",MIN(MAX(K935/J935,0),1.0),MIN(MAX(J935/K935,0),1.0))),"") </f>
        <v/>
      </c>
      <c r="M935" s="14">
        <f>IFERROR(IF(OR(J935=0,K935=""),"",IF(E935="Positivo",MAX(K935/J935,0),MAX(J935/K935,0))),"") </f>
        <v/>
      </c>
      <c r="N935" s="5" t="inlineStr">
        <is>
          <t>kWh</t>
        </is>
      </c>
      <c r="O935" s="5" t="inlineStr">
        <is>
          <t>kWh</t>
        </is>
      </c>
      <c r="P935" s="15" t="n">
        <v>0</v>
      </c>
      <c r="Q935" s="15" t="n">
        <v>1</v>
      </c>
      <c r="R935" s="5" t="inlineStr">
        <is>
          <t>218-2025-01-31</t>
        </is>
      </c>
    </row>
    <row r="936">
      <c r="A936" s="21" t="n">
        <v>218</v>
      </c>
      <c r="B936" s="5" t="inlineStr">
        <is>
          <t>Consumo de Energía Eléctrica kWh Mensual</t>
        </is>
      </c>
      <c r="C936" s="5" t="inlineStr">
        <is>
          <t>GESTIÓN AMBIENTAL</t>
        </is>
      </c>
      <c r="D936" s="5" t="inlineStr">
        <is>
          <t>Mensual</t>
        </is>
      </c>
      <c r="E936" s="5" t="inlineStr">
        <is>
          <t>Negativo</t>
        </is>
      </c>
      <c r="F936" s="106" t="n">
        <v>45716</v>
      </c>
      <c r="G936" s="5" t="n">
        <v>2025</v>
      </c>
      <c r="H936" s="5" t="inlineStr">
        <is>
          <t>Febrero</t>
        </is>
      </c>
      <c r="I936" s="6" t="inlineStr">
        <is>
          <t>2025-1</t>
        </is>
      </c>
      <c r="J936" s="5" t="n">
        <v>172000</v>
      </c>
      <c r="K936" s="9" t="n">
        <v>134763.39</v>
      </c>
      <c r="L936" s="14">
        <f>IFERROR(IF(OR(J936=0,K936=""),"",IF(E936="Positivo",MIN(MAX(K936/J936,0),1.0),MIN(MAX(J936/K936,0),1.0))),"") </f>
        <v/>
      </c>
      <c r="M936" s="14">
        <f>IFERROR(IF(OR(J936=0,K936=""),"",IF(E936="Positivo",MAX(K936/J936,0),MAX(J936/K936,0))),"") </f>
        <v/>
      </c>
      <c r="N936" s="5" t="inlineStr">
        <is>
          <t>kWh</t>
        </is>
      </c>
      <c r="O936" s="5" t="inlineStr">
        <is>
          <t>kWh</t>
        </is>
      </c>
      <c r="P936" s="15" t="n">
        <v>0</v>
      </c>
      <c r="Q936" s="15" t="n">
        <v>1</v>
      </c>
      <c r="R936" s="5" t="inlineStr">
        <is>
          <t>218-2025-02-28</t>
        </is>
      </c>
    </row>
    <row r="937">
      <c r="A937" s="26" t="n">
        <v>218</v>
      </c>
      <c r="B937" s="5" t="inlineStr">
        <is>
          <t>Consumo de Energía Eléctrica kWh Mensual</t>
        </is>
      </c>
      <c r="C937" s="5" t="inlineStr">
        <is>
          <t>GESTIÓN AMBIENTAL</t>
        </is>
      </c>
      <c r="D937" s="5" t="inlineStr">
        <is>
          <t>Mensual</t>
        </is>
      </c>
      <c r="E937" s="5" t="inlineStr">
        <is>
          <t>Negativo</t>
        </is>
      </c>
      <c r="F937" s="107" t="n">
        <v>45747</v>
      </c>
      <c r="G937" s="5" t="n">
        <v>2025</v>
      </c>
      <c r="H937" s="5" t="inlineStr">
        <is>
          <t>Marzo</t>
        </is>
      </c>
      <c r="I937" s="6" t="inlineStr">
        <is>
          <t>2025-1</t>
        </is>
      </c>
      <c r="J937" s="5" t="n">
        <v>172000</v>
      </c>
      <c r="K937" s="9" t="n">
        <v>156103.54</v>
      </c>
      <c r="L937" s="14">
        <f>IFERROR(IF(OR(J937=0,K937=""),"",IF(E937="Positivo",MIN(MAX(K937/J937,0),1.0),MIN(MAX(J937/K937,0),1.0))),"") </f>
        <v/>
      </c>
      <c r="M937" s="14">
        <f>IFERROR(IF(OR(J937=0,K937=""),"",IF(E937="Positivo",MAX(K937/J937,0),MAX(J937/K937,0))),"") </f>
        <v/>
      </c>
      <c r="N937" s="5" t="inlineStr">
        <is>
          <t>kWh</t>
        </is>
      </c>
      <c r="O937" s="5" t="inlineStr">
        <is>
          <t>kWh</t>
        </is>
      </c>
      <c r="P937" s="15" t="n">
        <v>0</v>
      </c>
      <c r="Q937" s="15" t="n">
        <v>1</v>
      </c>
      <c r="R937" s="5" t="inlineStr">
        <is>
          <t>218-2025-03-31</t>
        </is>
      </c>
    </row>
    <row r="938">
      <c r="A938" s="5" t="n">
        <v>218</v>
      </c>
      <c r="B938" s="5" t="inlineStr">
        <is>
          <t>Consumo de Energía Eléctrica kWh Mensual</t>
        </is>
      </c>
      <c r="C938" s="5" t="inlineStr">
        <is>
          <t>GESTIÓN AMBIENTAL</t>
        </is>
      </c>
      <c r="D938" s="5" t="inlineStr">
        <is>
          <t>Mensual</t>
        </is>
      </c>
      <c r="E938" s="5" t="inlineStr">
        <is>
          <t>Negativo</t>
        </is>
      </c>
      <c r="F938" s="107" t="n">
        <v>45777</v>
      </c>
      <c r="G938" s="5" t="n">
        <v>2025</v>
      </c>
      <c r="H938" s="5" t="inlineStr">
        <is>
          <t>Abril</t>
        </is>
      </c>
      <c r="I938" s="6" t="inlineStr">
        <is>
          <t>2025-1</t>
        </is>
      </c>
      <c r="J938" s="5" t="n">
        <v>172000</v>
      </c>
      <c r="K938" s="5" t="n">
        <v>139469.85</v>
      </c>
      <c r="L938" s="14">
        <f>IFERROR(IF(OR(J938=0,K938=""),"",IF(E938="Positivo",MIN(MAX(K938/J938,0),1.0),MIN(MAX(J938/K938,0),1.0))),"") </f>
        <v/>
      </c>
      <c r="M938" s="14">
        <f>IFERROR(IF(OR(J938=0,K938=""),"",IF(E938="Positivo",MAX(K938/J938,0),MAX(J938/K938,0))),"") </f>
        <v/>
      </c>
      <c r="N938" s="5" t="inlineStr">
        <is>
          <t>kWh</t>
        </is>
      </c>
      <c r="O938" s="5" t="inlineStr">
        <is>
          <t>kWh</t>
        </is>
      </c>
      <c r="P938" s="5" t="n">
        <v>0</v>
      </c>
      <c r="Q938" s="5" t="n">
        <v>1</v>
      </c>
      <c r="R938" s="5" t="inlineStr">
        <is>
          <t>218-2025-04-30</t>
        </is>
      </c>
    </row>
    <row r="939">
      <c r="A939" s="21" t="n">
        <v>218</v>
      </c>
      <c r="B939" s="5" t="inlineStr">
        <is>
          <t>Consumo de Energía Eléctrica kWh Mensual</t>
        </is>
      </c>
      <c r="C939" s="5" t="inlineStr">
        <is>
          <t>GESTIÓN AMBIENTAL</t>
        </is>
      </c>
      <c r="D939" s="5" t="inlineStr">
        <is>
          <t>Mensual</t>
        </is>
      </c>
      <c r="E939" s="5" t="inlineStr">
        <is>
          <t>Negativo</t>
        </is>
      </c>
      <c r="F939" s="107" t="n">
        <v>45808</v>
      </c>
      <c r="G939" s="5" t="n">
        <v>2025</v>
      </c>
      <c r="H939" s="5" t="inlineStr">
        <is>
          <t>Mayo</t>
        </is>
      </c>
      <c r="I939" s="6" t="inlineStr">
        <is>
          <t>2025-1</t>
        </is>
      </c>
      <c r="J939" s="5" t="n">
        <v>172000</v>
      </c>
      <c r="K939" s="10" t="n">
        <v>146327.63</v>
      </c>
      <c r="L939" s="14">
        <f>IFERROR(IF(OR(J939=0,K939=""),"",IF(E939="Positivo",MIN(MAX(K939/J939,0),1.0),MIN(MAX(J939/K939,0),1.0))),"") </f>
        <v/>
      </c>
      <c r="M939" s="14">
        <f>IFERROR(IF(OR(J939=0,K939=""),"",IF(E939="Positivo",MAX(K939/J939,0),MAX(J939/K939,0))),"") </f>
        <v/>
      </c>
      <c r="N939" s="5" t="inlineStr">
        <is>
          <t>kWh</t>
        </is>
      </c>
      <c r="O939" s="5" t="inlineStr">
        <is>
          <t>kWh</t>
        </is>
      </c>
      <c r="P939" s="15" t="n">
        <v>0</v>
      </c>
      <c r="Q939" s="15" t="n">
        <v>0</v>
      </c>
      <c r="R939" s="5" t="inlineStr">
        <is>
          <t>218-2025-05-31</t>
        </is>
      </c>
    </row>
    <row r="940">
      <c r="A940" s="21" t="n">
        <v>218</v>
      </c>
      <c r="B940" s="5" t="inlineStr">
        <is>
          <t>Consumo de Energía Eléctrica kWh Mensual</t>
        </is>
      </c>
      <c r="C940" s="5" t="inlineStr">
        <is>
          <t>GESTIÓN AMBIENTAL</t>
        </is>
      </c>
      <c r="D940" s="5" t="inlineStr">
        <is>
          <t>Mensual</t>
        </is>
      </c>
      <c r="E940" s="5" t="inlineStr">
        <is>
          <t>Negativo</t>
        </is>
      </c>
      <c r="F940" s="106" t="n">
        <v>45838</v>
      </c>
      <c r="G940" s="5" t="n">
        <v>2025</v>
      </c>
      <c r="H940" s="5" t="inlineStr">
        <is>
          <t>Junio</t>
        </is>
      </c>
      <c r="I940" s="6" t="inlineStr">
        <is>
          <t>2025-1</t>
        </is>
      </c>
      <c r="J940" s="5" t="n">
        <v>172000</v>
      </c>
      <c r="K940" s="9" t="n">
        <v>130528.88</v>
      </c>
      <c r="L940" s="14">
        <f>IFERROR(IF(OR(J940=0,K940=""),"",IF(E940="Positivo",MIN(MAX(K940/J940,0),1.0),MIN(MAX(J940/K940,0),1.0))),"") </f>
        <v/>
      </c>
      <c r="M940" s="14">
        <f>IFERROR(IF(OR(J940=0,K940=""),"",IF(E940="Positivo",MAX(K940/J940,0),MAX(J940/K940,0))),"") </f>
        <v/>
      </c>
      <c r="N940" s="5" t="inlineStr">
        <is>
          <t>kWh</t>
        </is>
      </c>
      <c r="O940" s="5" t="inlineStr">
        <is>
          <t>kWh</t>
        </is>
      </c>
      <c r="P940" s="15" t="n">
        <v>0</v>
      </c>
      <c r="Q940" s="15" t="n">
        <v>0</v>
      </c>
      <c r="R940" s="5" t="inlineStr">
        <is>
          <t>218-2025-06-30</t>
        </is>
      </c>
    </row>
    <row r="941">
      <c r="A941" s="26" t="n">
        <v>218</v>
      </c>
      <c r="B941" s="5" t="inlineStr">
        <is>
          <t>Consumo de Energía Eléctrica kWh Mensual</t>
        </is>
      </c>
      <c r="C941" s="5" t="inlineStr">
        <is>
          <t>GESTIÓN AMBIENTAL</t>
        </is>
      </c>
      <c r="D941" s="5" t="inlineStr">
        <is>
          <t>Mensual</t>
        </is>
      </c>
      <c r="E941" s="5" t="inlineStr">
        <is>
          <t>Negativo</t>
        </is>
      </c>
      <c r="F941" s="107" t="n">
        <v>45869</v>
      </c>
      <c r="G941" s="5" t="n">
        <v>2025</v>
      </c>
      <c r="H941" s="5" t="inlineStr">
        <is>
          <t>Julio</t>
        </is>
      </c>
      <c r="I941" s="6" t="inlineStr">
        <is>
          <t>2025-2</t>
        </is>
      </c>
      <c r="J941" s="5" t="n">
        <v>172000</v>
      </c>
      <c r="K941" s="9" t="n">
        <v>126471.65</v>
      </c>
      <c r="L941" s="14">
        <f>IFERROR(IF(OR(J941=0,K941=""),"",IF(E941="Positivo",MIN(MAX(K941/J941,0),1.0),MIN(MAX(J941/K941,0),1.0))),"") </f>
        <v/>
      </c>
      <c r="M941" s="14">
        <f>IFERROR(IF(OR(J941=0,K941=""),"",IF(E941="Positivo",MAX(K941/J941,0),MAX(J941/K941,0))),"") </f>
        <v/>
      </c>
      <c r="N941" s="5" t="inlineStr">
        <is>
          <t>kWh</t>
        </is>
      </c>
      <c r="O941" s="5" t="inlineStr">
        <is>
          <t>kWh</t>
        </is>
      </c>
      <c r="P941" s="15" t="n">
        <v>0</v>
      </c>
      <c r="Q941" s="15" t="n">
        <v>0</v>
      </c>
      <c r="R941" s="5" t="inlineStr">
        <is>
          <t>218-2025-07-31</t>
        </is>
      </c>
    </row>
    <row r="942">
      <c r="A942" s="5" t="n">
        <v>218</v>
      </c>
      <c r="B942" s="5" t="inlineStr">
        <is>
          <t>Consumo de Energía Eléctrica kWh Mensual</t>
        </is>
      </c>
      <c r="C942" s="5" t="inlineStr">
        <is>
          <t>GESTIÓN AMBIENTAL</t>
        </is>
      </c>
      <c r="D942" s="5" t="inlineStr">
        <is>
          <t>Mensual</t>
        </is>
      </c>
      <c r="E942" s="5" t="inlineStr">
        <is>
          <t>Negativo</t>
        </is>
      </c>
      <c r="F942" s="107" t="n">
        <v>45900</v>
      </c>
      <c r="G942" s="5" t="n">
        <v>2025</v>
      </c>
      <c r="H942" s="5" t="inlineStr">
        <is>
          <t>Agosto</t>
        </is>
      </c>
      <c r="I942" s="6" t="inlineStr">
        <is>
          <t>2025-2</t>
        </is>
      </c>
      <c r="J942" s="5" t="n">
        <v>172000</v>
      </c>
      <c r="K942" s="5" t="n">
        <v>142618.62</v>
      </c>
      <c r="L942" s="14">
        <f>IFERROR(IF(OR(J942=0,K942=""),"",IF(E942="Positivo",MIN(MAX(K942/J942,0),1.0),MIN(MAX(J942/K942,0),1.0))),"") </f>
        <v/>
      </c>
      <c r="M942" s="14">
        <f>IFERROR(IF(OR(J942=0,K942=""),"",IF(E942="Positivo",MAX(K942/J942,0),MAX(J942/K942,0))),"") </f>
        <v/>
      </c>
      <c r="N942" s="5" t="inlineStr">
        <is>
          <t>kWh</t>
        </is>
      </c>
      <c r="O942" s="5" t="inlineStr">
        <is>
          <t>kWh</t>
        </is>
      </c>
      <c r="P942" s="5" t="n">
        <v>0</v>
      </c>
      <c r="Q942" s="5" t="n">
        <v>0</v>
      </c>
      <c r="R942" s="5" t="inlineStr">
        <is>
          <t>218-2025-08-31</t>
        </is>
      </c>
    </row>
    <row r="943">
      <c r="A943" s="21" t="n">
        <v>218</v>
      </c>
      <c r="B943" s="5" t="inlineStr">
        <is>
          <t>Consumo de Energía Eléctrica kWh Mensual</t>
        </is>
      </c>
      <c r="C943" s="5" t="inlineStr">
        <is>
          <t>GESTIÓN AMBIENTAL</t>
        </is>
      </c>
      <c r="D943" s="5" t="inlineStr">
        <is>
          <t>Mensual</t>
        </is>
      </c>
      <c r="E943" s="5" t="inlineStr">
        <is>
          <t>Negativo</t>
        </is>
      </c>
      <c r="F943" s="107" t="n">
        <v>45930</v>
      </c>
      <c r="G943" s="5" t="n">
        <v>2025</v>
      </c>
      <c r="H943" s="5" t="inlineStr">
        <is>
          <t>Septiembre</t>
        </is>
      </c>
      <c r="I943" s="6" t="inlineStr">
        <is>
          <t>2025-2</t>
        </is>
      </c>
      <c r="J943" s="5" t="n">
        <v>172000</v>
      </c>
      <c r="K943" s="10" t="n">
        <v>154601.59</v>
      </c>
      <c r="L943" s="14">
        <f>IFERROR(IF(OR(J943=0,K943=""),"",IF(E943="Positivo",MIN(MAX(K943/J943,0),1.0),MIN(MAX(J943/K943,0),1.0))),"") </f>
        <v/>
      </c>
      <c r="M943" s="14">
        <f>IFERROR(IF(OR(J943=0,K943=""),"",IF(E943="Positivo",MAX(K943/J943,0),MAX(J943/K943,0))),"") </f>
        <v/>
      </c>
      <c r="N943" s="5" t="inlineStr">
        <is>
          <t>kWh</t>
        </is>
      </c>
      <c r="O943" s="5" t="inlineStr">
        <is>
          <t>kWh</t>
        </is>
      </c>
      <c r="P943" s="15" t="n">
        <v>0</v>
      </c>
      <c r="Q943" s="15" t="n">
        <v>0</v>
      </c>
      <c r="R943" s="5" t="inlineStr">
        <is>
          <t>218-2025-09-30</t>
        </is>
      </c>
    </row>
    <row r="944">
      <c r="A944" s="21" t="n">
        <v>218</v>
      </c>
      <c r="B944" s="5" t="inlineStr">
        <is>
          <t>Consumo de Energía Eléctrica kWh Mensual</t>
        </is>
      </c>
      <c r="C944" s="5" t="inlineStr">
        <is>
          <t>GESTIÓN AMBIENTAL</t>
        </is>
      </c>
      <c r="D944" s="5" t="inlineStr">
        <is>
          <t>Mensual</t>
        </is>
      </c>
      <c r="E944" s="5" t="inlineStr">
        <is>
          <t>Negativo</t>
        </is>
      </c>
      <c r="F944" s="106" t="n">
        <v>45961</v>
      </c>
      <c r="G944" s="5" t="n">
        <v>2025</v>
      </c>
      <c r="H944" s="5" t="inlineStr">
        <is>
          <t>Octubre</t>
        </is>
      </c>
      <c r="I944" s="6" t="inlineStr">
        <is>
          <t>2025-2</t>
        </is>
      </c>
      <c r="J944" s="5" t="n">
        <v>172000</v>
      </c>
      <c r="K944" s="9" t="n">
        <v>150485.75</v>
      </c>
      <c r="L944" s="14">
        <f>IFERROR(IF(OR(J944=0,K944=""),"",IF(E944="Positivo",MIN(MAX(K944/J944,0),1.0),MIN(MAX(J944/K944,0),1.0))),"") </f>
        <v/>
      </c>
      <c r="M944" s="14">
        <f>IFERROR(IF(OR(J944=0,K944=""),"",IF(E944="Positivo",MAX(K944/J944,0),MAX(J944/K944,0))),"") </f>
        <v/>
      </c>
      <c r="N944" s="5" t="inlineStr">
        <is>
          <t>kWh</t>
        </is>
      </c>
      <c r="O944" s="5" t="inlineStr">
        <is>
          <t>kWh</t>
        </is>
      </c>
      <c r="P944" s="15" t="n">
        <v>0</v>
      </c>
      <c r="Q944" s="15" t="n">
        <v>0</v>
      </c>
      <c r="R944" s="5" t="inlineStr">
        <is>
          <t>218-2025-10-31</t>
        </is>
      </c>
    </row>
    <row r="945">
      <c r="A945" s="26" t="n">
        <v>218</v>
      </c>
      <c r="B945" s="5" t="inlineStr">
        <is>
          <t>Consumo de Energía Eléctrica kWh Mensual</t>
        </is>
      </c>
      <c r="C945" s="5" t="inlineStr">
        <is>
          <t>GESTIÓN AMBIENTAL</t>
        </is>
      </c>
      <c r="D945" s="5" t="inlineStr">
        <is>
          <t>Mensual</t>
        </is>
      </c>
      <c r="E945" s="5" t="inlineStr">
        <is>
          <t>Negativo</t>
        </is>
      </c>
      <c r="F945" s="107" t="n">
        <v>45991</v>
      </c>
      <c r="G945" s="5" t="n">
        <v>2025</v>
      </c>
      <c r="H945" s="5" t="inlineStr">
        <is>
          <t>Noviembre</t>
        </is>
      </c>
      <c r="I945" s="6" t="inlineStr">
        <is>
          <t>2025-2</t>
        </is>
      </c>
      <c r="J945" s="5" t="n">
        <v>172000</v>
      </c>
      <c r="K945" s="9" t="n">
        <v>143419.75</v>
      </c>
      <c r="L945" s="14">
        <f>IFERROR(IF(OR(J945=0,K945=""),"",IF(E945="Positivo",MIN(MAX(K945/J945,0),1.0),MIN(MAX(J945/K945,0),1.0))),"") </f>
        <v/>
      </c>
      <c r="M945" s="14">
        <f>IFERROR(IF(OR(J945=0,K945=""),"",IF(E945="Positivo",MAX(K945/J945,0),MAX(J945/K945,0))),"") </f>
        <v/>
      </c>
      <c r="N945" s="5" t="inlineStr">
        <is>
          <t>kWh</t>
        </is>
      </c>
      <c r="O945" s="5" t="inlineStr">
        <is>
          <t>kWh</t>
        </is>
      </c>
      <c r="P945" s="15" t="n">
        <v>0</v>
      </c>
      <c r="Q945" s="15" t="n">
        <v>0</v>
      </c>
      <c r="R945" s="5" t="inlineStr">
        <is>
          <t>218-2025-11-30</t>
        </is>
      </c>
    </row>
    <row r="946">
      <c r="A946" s="5" t="n">
        <v>218</v>
      </c>
      <c r="B946" s="5" t="inlineStr">
        <is>
          <t>Consumo de Energía Eléctrica kWh Mensual</t>
        </is>
      </c>
      <c r="C946" s="5" t="inlineStr">
        <is>
          <t>GESTIÓN AMBIENTAL</t>
        </is>
      </c>
      <c r="D946" s="5" t="inlineStr">
        <is>
          <t>Mensual</t>
        </is>
      </c>
      <c r="E946" s="5" t="inlineStr">
        <is>
          <t>Negativo</t>
        </is>
      </c>
      <c r="F946" s="107" t="n">
        <v>46022</v>
      </c>
      <c r="G946" s="5" t="n">
        <v>2025</v>
      </c>
      <c r="H946" s="5" t="inlineStr">
        <is>
          <t>Diciembre</t>
        </is>
      </c>
      <c r="I946" s="6" t="inlineStr">
        <is>
          <t>2025-2</t>
        </is>
      </c>
      <c r="J946" s="5" t="n">
        <v>172000</v>
      </c>
      <c r="K946" s="5" t="n">
        <v>123820.04</v>
      </c>
      <c r="L946" s="14">
        <f>IFERROR(IF(OR(J946=0,K946=""),"",IF(E946="Positivo",MIN(MAX(K946/J946,0),1.0),MIN(MAX(J946/K946,0),1.0))),"") </f>
        <v/>
      </c>
      <c r="M946" s="14">
        <f>IFERROR(IF(OR(J946=0,K946=""),"",IF(E946="Positivo",MAX(K946/J946,0),MAX(J946/K946,0))),"") </f>
        <v/>
      </c>
      <c r="N946" s="5" t="inlineStr">
        <is>
          <t>kWh</t>
        </is>
      </c>
      <c r="O946" s="5" t="inlineStr">
        <is>
          <t>kWh</t>
        </is>
      </c>
      <c r="P946" s="5" t="n">
        <v>0</v>
      </c>
      <c r="Q946" s="5" t="n">
        <v>0</v>
      </c>
      <c r="R946" s="5" t="inlineStr">
        <is>
          <t>218-2025-12-31</t>
        </is>
      </c>
    </row>
    <row r="947">
      <c r="A947" s="21" t="n">
        <v>219</v>
      </c>
      <c r="B947" s="5" t="inlineStr">
        <is>
          <t>Disminución del Consumo de Energía Eléctrica per Cápita</t>
        </is>
      </c>
      <c r="C947" s="5" t="inlineStr">
        <is>
          <t>GESTIÓN AMBIENTAL</t>
        </is>
      </c>
      <c r="D947" s="5" t="inlineStr">
        <is>
          <t>Trimestral</t>
        </is>
      </c>
      <c r="E947" s="5" t="inlineStr">
        <is>
          <t>Positivo</t>
        </is>
      </c>
      <c r="F947" s="106" t="n">
        <v>44742</v>
      </c>
      <c r="G947" s="5" t="n">
        <v>2022</v>
      </c>
      <c r="H947" s="5" t="inlineStr">
        <is>
          <t>Junio</t>
        </is>
      </c>
      <c r="I947" s="6" t="inlineStr">
        <is>
          <t>2022-1</t>
        </is>
      </c>
      <c r="J947" s="5" t="n">
        <v>1</v>
      </c>
      <c r="K947" s="9" t="n">
        <v>16.685183396325</v>
      </c>
      <c r="L947" s="14">
        <f>IFERROR(IF(OR(J947=0,K947=""),"",IF(E947="Positivo",MIN(MAX(K947/J947,0),1.3),MIN(MAX(J947/K947,0),1.3))),"") </f>
        <v/>
      </c>
      <c r="M947" s="14">
        <f>IFERROR(IF(OR(J947=0,K947=""),"",IF(E947="Positivo",MAX(K947/J947,0),MAX(J947/K947,0))),"") </f>
        <v/>
      </c>
      <c r="N947" s="5" t="inlineStr">
        <is>
          <t>%</t>
        </is>
      </c>
      <c r="O947" s="5" t="inlineStr">
        <is>
          <t>%</t>
        </is>
      </c>
      <c r="P947" s="15" t="n">
        <v>0</v>
      </c>
      <c r="Q947" s="15" t="n">
        <v>0</v>
      </c>
      <c r="R947" s="5" t="inlineStr">
        <is>
          <t>219-2022-06-30</t>
        </is>
      </c>
    </row>
    <row r="948">
      <c r="A948" s="26" t="n">
        <v>219</v>
      </c>
      <c r="B948" s="5" t="inlineStr">
        <is>
          <t>Disminución del Consumo de Energía Eléctrica per Cápita</t>
        </is>
      </c>
      <c r="C948" s="5" t="inlineStr">
        <is>
          <t>GESTIÓN AMBIENTAL</t>
        </is>
      </c>
      <c r="D948" s="5" t="inlineStr">
        <is>
          <t>Trimestral</t>
        </is>
      </c>
      <c r="E948" s="5" t="inlineStr">
        <is>
          <t>Positivo</t>
        </is>
      </c>
      <c r="F948" s="107" t="n">
        <v>44926</v>
      </c>
      <c r="G948" s="5" t="n">
        <v>2022</v>
      </c>
      <c r="H948" s="5" t="inlineStr">
        <is>
          <t>Diciembre</t>
        </is>
      </c>
      <c r="I948" s="6" t="inlineStr">
        <is>
          <t>2022-2</t>
        </is>
      </c>
      <c r="J948" s="5" t="n">
        <v>1</v>
      </c>
      <c r="K948" s="9" t="n">
        <v>-68.789622683372</v>
      </c>
      <c r="L948" s="14">
        <f>IFERROR(IF(OR(J948=0,K948=""),"",IF(E948="Positivo",MIN(MAX(K948/J948,0),1.3),MIN(MAX(J948/K948,0),1.3))),"") </f>
        <v/>
      </c>
      <c r="M948" s="14">
        <f>IFERROR(IF(OR(J948=0,K948=""),"",IF(E948="Positivo",MAX(K948/J948,0),MAX(J948/K948,0))),"") </f>
        <v/>
      </c>
      <c r="N948" s="5" t="inlineStr">
        <is>
          <t>%</t>
        </is>
      </c>
      <c r="O948" s="5" t="inlineStr">
        <is>
          <t>%</t>
        </is>
      </c>
      <c r="P948" s="15" t="n">
        <v>0</v>
      </c>
      <c r="Q948" s="15" t="n">
        <v>0</v>
      </c>
      <c r="R948" s="5" t="inlineStr">
        <is>
          <t>219-2022-12-31</t>
        </is>
      </c>
    </row>
    <row r="949">
      <c r="A949" s="5" t="n">
        <v>219</v>
      </c>
      <c r="B949" s="5" t="inlineStr">
        <is>
          <t>Disminución del Consumo de Energía Eléctrica per Cápita</t>
        </is>
      </c>
      <c r="C949" s="5" t="inlineStr">
        <is>
          <t>GESTIÓN AMBIENTAL</t>
        </is>
      </c>
      <c r="D949" s="5" t="inlineStr">
        <is>
          <t>Semestral</t>
        </is>
      </c>
      <c r="E949" s="5" t="inlineStr">
        <is>
          <t>Positivo</t>
        </is>
      </c>
      <c r="F949" s="107" t="n">
        <v>45107</v>
      </c>
      <c r="G949" s="5" t="n">
        <v>2023</v>
      </c>
      <c r="H949" s="5" t="inlineStr">
        <is>
          <t>Junio</t>
        </is>
      </c>
      <c r="I949" s="6" t="inlineStr">
        <is>
          <t>2023-1</t>
        </is>
      </c>
      <c r="J949" s="5" t="n">
        <v>1</v>
      </c>
      <c r="K949" s="5" t="n">
        <v>21.14703682627429</v>
      </c>
      <c r="L949" s="14">
        <f>IFERROR(IF(OR(J949=0,K949=""),"",IF(E949="Positivo",MIN(MAX(K949/J949,0),1.3),MIN(MAX(J949/K949,0),1.3))),"") </f>
        <v/>
      </c>
      <c r="M949" s="14">
        <f>IFERROR(IF(OR(J949=0,K949=""),"",IF(E949="Positivo",MAX(K949/J949,0),MAX(J949/K949,0))),"") </f>
        <v/>
      </c>
      <c r="N949" s="5" t="inlineStr">
        <is>
          <t>kWh</t>
        </is>
      </c>
      <c r="O949" s="5" t="inlineStr">
        <is>
          <t>kWh</t>
        </is>
      </c>
      <c r="P949" s="5" t="n">
        <v>0</v>
      </c>
      <c r="Q949" s="5" t="n">
        <v>0</v>
      </c>
      <c r="R949" s="5" t="inlineStr">
        <is>
          <t>219-2023-06-30</t>
        </is>
      </c>
    </row>
    <row r="950">
      <c r="A950" s="21" t="n">
        <v>219</v>
      </c>
      <c r="B950" s="5" t="inlineStr">
        <is>
          <t>Disminución del Consumo de Energía Eléctrica per Cápita</t>
        </is>
      </c>
      <c r="C950" s="5" t="inlineStr">
        <is>
          <t>GESTIÓN AMBIENTAL</t>
        </is>
      </c>
      <c r="D950" s="5" t="inlineStr">
        <is>
          <t>Semestral</t>
        </is>
      </c>
      <c r="E950" s="5" t="inlineStr">
        <is>
          <t>Positivo</t>
        </is>
      </c>
      <c r="F950" s="107" t="n">
        <v>45291</v>
      </c>
      <c r="G950" s="5" t="n">
        <v>2023</v>
      </c>
      <c r="H950" s="5" t="inlineStr">
        <is>
          <t>Diciembre</t>
        </is>
      </c>
      <c r="I950" s="6" t="inlineStr">
        <is>
          <t>2023-2</t>
        </is>
      </c>
      <c r="J950" s="5" t="n">
        <v>1</v>
      </c>
      <c r="K950" s="10" t="n">
        <v>-5.89</v>
      </c>
      <c r="L950" s="14">
        <f>IFERROR(IF(OR(J950=0,K950=""),"",IF(E950="Positivo",MIN(MAX(K950/J950,0),1.3),MIN(MAX(J950/K950,0),1.3))),"") </f>
        <v/>
      </c>
      <c r="M950" s="14">
        <f>IFERROR(IF(OR(J950=0,K950=""),"",IF(E950="Positivo",MAX(K950/J950,0),MAX(J950/K950,0))),"") </f>
        <v/>
      </c>
      <c r="N950" s="5" t="inlineStr">
        <is>
          <t>kWh</t>
        </is>
      </c>
      <c r="O950" s="5" t="inlineStr">
        <is>
          <t>kWh</t>
        </is>
      </c>
      <c r="P950" s="15" t="n">
        <v>0</v>
      </c>
      <c r="Q950" s="15" t="n">
        <v>0</v>
      </c>
      <c r="R950" s="5" t="inlineStr">
        <is>
          <t>219-2023-12-31</t>
        </is>
      </c>
    </row>
    <row r="951">
      <c r="A951" s="21" t="n">
        <v>219</v>
      </c>
      <c r="B951" s="5" t="inlineStr">
        <is>
          <t>Disminución del Consumo de Energía Eléctrica per Cápita</t>
        </is>
      </c>
      <c r="C951" s="5" t="inlineStr">
        <is>
          <t>GESTIÓN AMBIENTAL</t>
        </is>
      </c>
      <c r="D951" s="5" t="inlineStr">
        <is>
          <t>Semestral</t>
        </is>
      </c>
      <c r="E951" s="5" t="inlineStr">
        <is>
          <t>Positivo</t>
        </is>
      </c>
      <c r="F951" s="106" t="n">
        <v>45473</v>
      </c>
      <c r="G951" s="5" t="n">
        <v>2024</v>
      </c>
      <c r="H951" s="5" t="inlineStr">
        <is>
          <t>Junio</t>
        </is>
      </c>
      <c r="I951" s="6" t="inlineStr">
        <is>
          <t>2024-1</t>
        </is>
      </c>
      <c r="J951" s="5" t="n">
        <v>1</v>
      </c>
      <c r="K951" s="9" t="n">
        <v>11.94</v>
      </c>
      <c r="L951" s="14">
        <f>IFERROR(IF(OR(J951=0,K951=""),"",IF(E951="Positivo",MIN(MAX(K951/J951,0),1.3),MIN(MAX(J951/K951,0),1.3))),"") </f>
        <v/>
      </c>
      <c r="M951" s="14">
        <f>IFERROR(IF(OR(J951=0,K951=""),"",IF(E951="Positivo",MAX(K951/J951,0),MAX(J951/K951,0))),"") </f>
        <v/>
      </c>
      <c r="N951" s="5" t="inlineStr">
        <is>
          <t>%</t>
        </is>
      </c>
      <c r="O951" s="5" t="inlineStr">
        <is>
          <t>%</t>
        </is>
      </c>
      <c r="P951" s="15" t="n">
        <v>0</v>
      </c>
      <c r="Q951" s="15" t="n">
        <v>0</v>
      </c>
      <c r="R951" s="5" t="inlineStr">
        <is>
          <t>219-2024-06-30</t>
        </is>
      </c>
    </row>
    <row r="952">
      <c r="A952" s="26" t="n">
        <v>219</v>
      </c>
      <c r="B952" s="5" t="inlineStr">
        <is>
          <t>Disminución del Consumo de Energía Eléctrica per Cápita</t>
        </is>
      </c>
      <c r="C952" s="5" t="inlineStr">
        <is>
          <t>GESTIÓN AMBIENTAL</t>
        </is>
      </c>
      <c r="D952" s="5" t="inlineStr">
        <is>
          <t>Semestral</t>
        </is>
      </c>
      <c r="E952" s="5" t="inlineStr">
        <is>
          <t>Positivo</t>
        </is>
      </c>
      <c r="F952" s="107" t="n">
        <v>45657</v>
      </c>
      <c r="G952" s="5" t="n">
        <v>2024</v>
      </c>
      <c r="H952" s="5" t="inlineStr">
        <is>
          <t>Diciembre</t>
        </is>
      </c>
      <c r="I952" s="6" t="inlineStr">
        <is>
          <t>2024-2</t>
        </is>
      </c>
      <c r="J952" s="5" t="n">
        <v>1</v>
      </c>
      <c r="K952" s="9" t="n">
        <v>-12.53</v>
      </c>
      <c r="L952" s="14">
        <f>IFERROR(IF(OR(J952=0,K952=""),"",IF(E952="Positivo",MIN(MAX(K952/J952,0),1.3),MIN(MAX(J952/K952,0),1.3))),"") </f>
        <v/>
      </c>
      <c r="M952" s="14">
        <f>IFERROR(IF(OR(J952=0,K952=""),"",IF(E952="Positivo",MAX(K952/J952,0),MAX(J952/K952,0))),"") </f>
        <v/>
      </c>
      <c r="N952" s="5" t="inlineStr">
        <is>
          <t>%</t>
        </is>
      </c>
      <c r="O952" s="5" t="inlineStr">
        <is>
          <t>%</t>
        </is>
      </c>
      <c r="P952" s="15" t="n">
        <v>0</v>
      </c>
      <c r="Q952" s="15" t="n">
        <v>0</v>
      </c>
      <c r="R952" s="5" t="inlineStr">
        <is>
          <t>219-2024-12-31</t>
        </is>
      </c>
    </row>
    <row r="953">
      <c r="A953" s="5" t="n">
        <v>219</v>
      </c>
      <c r="B953" s="5" t="inlineStr">
        <is>
          <t>Disminución del Consumo de Energía Eléctrica per Cápita</t>
        </is>
      </c>
      <c r="C953" s="5" t="inlineStr">
        <is>
          <t>GESTIÓN AMBIENTAL</t>
        </is>
      </c>
      <c r="D953" s="5" t="inlineStr">
        <is>
          <t>Trimestral</t>
        </is>
      </c>
      <c r="E953" s="5" t="inlineStr">
        <is>
          <t>Positivo</t>
        </is>
      </c>
      <c r="F953" s="107" t="n">
        <v>45838</v>
      </c>
      <c r="G953" s="5" t="n">
        <v>2025</v>
      </c>
      <c r="H953" s="5" t="inlineStr">
        <is>
          <t>Junio</t>
        </is>
      </c>
      <c r="I953" s="6" t="inlineStr">
        <is>
          <t>2025-1</t>
        </is>
      </c>
      <c r="J953" s="5" t="n">
        <v>1</v>
      </c>
      <c r="K953" s="5" t="n">
        <v>18.43</v>
      </c>
      <c r="L953" s="14">
        <f>IFERROR(IF(OR(J953=0,K953=""),"",IF(E953="Positivo",MIN(MAX(K953/J953,0),1.3),MIN(MAX(J953/K953,0),1.3))),"") </f>
        <v/>
      </c>
      <c r="M953" s="14">
        <f>IFERROR(IF(OR(J953=0,K953=""),"",IF(E953="Positivo",MAX(K953/J953,0),MAX(J953/K953,0))),"") </f>
        <v/>
      </c>
      <c r="N953" s="5" t="inlineStr">
        <is>
          <t>%</t>
        </is>
      </c>
      <c r="O953" s="5" t="inlineStr">
        <is>
          <t>%</t>
        </is>
      </c>
      <c r="P953" s="5" t="n">
        <v>0</v>
      </c>
      <c r="Q953" s="5" t="n">
        <v>0</v>
      </c>
      <c r="R953" s="5" t="inlineStr">
        <is>
          <t>219-2025-06-30</t>
        </is>
      </c>
    </row>
    <row r="954">
      <c r="A954" s="21" t="n">
        <v>219</v>
      </c>
      <c r="B954" s="5" t="inlineStr">
        <is>
          <t>Disminución del Consumo de Energía Eléctrica per Cápita</t>
        </is>
      </c>
      <c r="C954" s="5" t="inlineStr">
        <is>
          <t>GESTIÓN AMBIENTAL</t>
        </is>
      </c>
      <c r="D954" s="5" t="inlineStr">
        <is>
          <t>Trimestral</t>
        </is>
      </c>
      <c r="E954" s="5" t="inlineStr">
        <is>
          <t>Positivo</t>
        </is>
      </c>
      <c r="F954" s="107" t="n">
        <v>46022</v>
      </c>
      <c r="G954" s="5" t="n">
        <v>2025</v>
      </c>
      <c r="H954" s="5" t="inlineStr">
        <is>
          <t>Diciembre</t>
        </is>
      </c>
      <c r="I954" s="6" t="inlineStr">
        <is>
          <t>2025-2</t>
        </is>
      </c>
      <c r="J954" s="5" t="n">
        <v>1</v>
      </c>
      <c r="K954" s="10" t="n">
        <v>-18.28</v>
      </c>
      <c r="L954" s="14">
        <f>IFERROR(IF(OR(J954=0,K954=""),"",IF(E954="Positivo",MIN(MAX(K954/J954,0),1.3),MIN(MAX(J954/K954,0),1.3))),"") </f>
        <v/>
      </c>
      <c r="M954" s="14">
        <f>IFERROR(IF(OR(J954=0,K954=""),"",IF(E954="Positivo",MAX(K954/J954,0),MAX(J954/K954,0))),"") </f>
        <v/>
      </c>
      <c r="N954" s="5" t="inlineStr">
        <is>
          <t>%</t>
        </is>
      </c>
      <c r="O954" s="5" t="inlineStr">
        <is>
          <t>%</t>
        </is>
      </c>
      <c r="P954" s="15" t="n">
        <v>0</v>
      </c>
      <c r="Q954" s="15" t="n">
        <v>0</v>
      </c>
      <c r="R954" s="5" t="inlineStr">
        <is>
          <t>219-2025-12-31</t>
        </is>
      </c>
    </row>
    <row r="955">
      <c r="A955" s="21" t="n">
        <v>220</v>
      </c>
      <c r="B955" s="5" t="inlineStr">
        <is>
          <t>Disminución del Consumo de Agua per Cápita</t>
        </is>
      </c>
      <c r="C955" s="5" t="inlineStr">
        <is>
          <t>GESTIÓN AMBIENTAL</t>
        </is>
      </c>
      <c r="D955" s="5" t="inlineStr">
        <is>
          <t>Trimestral</t>
        </is>
      </c>
      <c r="E955" s="5" t="inlineStr">
        <is>
          <t>Positivo</t>
        </is>
      </c>
      <c r="F955" s="106" t="n">
        <v>44742</v>
      </c>
      <c r="G955" s="5" t="n">
        <v>2022</v>
      </c>
      <c r="H955" s="5" t="inlineStr">
        <is>
          <t>Junio</t>
        </is>
      </c>
      <c r="I955" s="6" t="inlineStr">
        <is>
          <t>2022-1</t>
        </is>
      </c>
      <c r="J955" s="5" t="n">
        <v>1</v>
      </c>
      <c r="K955" s="9" t="n">
        <v>-88.60356590106301</v>
      </c>
      <c r="L955" s="14">
        <f>IFERROR(IF(OR(J955=0,K955=""),"",IF(E955="Positivo",MIN(MAX(K955/J955,0),1.3),MIN(MAX(J955/K955,0),1.3))),"") </f>
        <v/>
      </c>
      <c r="M955" s="14">
        <f>IFERROR(IF(OR(J955=0,K955=""),"",IF(E955="Positivo",MAX(K955/J955,0),MAX(J955/K955,0))),"") </f>
        <v/>
      </c>
      <c r="N955" s="5" t="inlineStr">
        <is>
          <t>%</t>
        </is>
      </c>
      <c r="O955" s="5" t="inlineStr">
        <is>
          <t>%</t>
        </is>
      </c>
      <c r="P955" s="15" t="n">
        <v>0</v>
      </c>
      <c r="Q955" s="15" t="n">
        <v>0</v>
      </c>
      <c r="R955" s="5" t="inlineStr">
        <is>
          <t>220-2022-06-30</t>
        </is>
      </c>
    </row>
    <row r="956">
      <c r="A956" s="21" t="n">
        <v>220</v>
      </c>
      <c r="B956" s="5" t="inlineStr">
        <is>
          <t>Disminución del Consumo de Agua per Cápita</t>
        </is>
      </c>
      <c r="C956" s="5" t="inlineStr">
        <is>
          <t>GESTIÓN AMBIENTAL</t>
        </is>
      </c>
      <c r="D956" s="5" t="inlineStr">
        <is>
          <t>Trimestral</t>
        </is>
      </c>
      <c r="E956" s="5" t="inlineStr">
        <is>
          <t>Positivo</t>
        </is>
      </c>
      <c r="F956" s="106" t="n">
        <v>44926</v>
      </c>
      <c r="G956" s="5" t="n">
        <v>2022</v>
      </c>
      <c r="H956" s="5" t="inlineStr">
        <is>
          <t>Diciembre</t>
        </is>
      </c>
      <c r="I956" s="6" t="inlineStr">
        <is>
          <t>2022-2</t>
        </is>
      </c>
      <c r="J956" s="5" t="n">
        <v>1</v>
      </c>
      <c r="K956" s="9" t="n">
        <v>-85.889409840455</v>
      </c>
      <c r="L956" s="14">
        <f>IFERROR(IF(OR(J956=0,K956=""),"",IF(E956="Positivo",MIN(MAX(K956/J956,0),1.3),MIN(MAX(J956/K956,0),1.3))),"") </f>
        <v/>
      </c>
      <c r="M956" s="14">
        <f>IFERROR(IF(OR(J956=0,K956=""),"",IF(E956="Positivo",MAX(K956/J956,0),MAX(J956/K956,0))),"") </f>
        <v/>
      </c>
      <c r="N956" s="5" t="inlineStr">
        <is>
          <t>%</t>
        </is>
      </c>
      <c r="O956" s="5" t="inlineStr">
        <is>
          <t>%</t>
        </is>
      </c>
      <c r="P956" s="15" t="n">
        <v>0</v>
      </c>
      <c r="Q956" s="15" t="n">
        <v>0</v>
      </c>
      <c r="R956" s="5" t="inlineStr">
        <is>
          <t>220-2022-12-31</t>
        </is>
      </c>
    </row>
    <row r="957">
      <c r="A957" s="26" t="n">
        <v>220</v>
      </c>
      <c r="B957" s="5" t="inlineStr">
        <is>
          <t>Disminución del Consumo de Agua per Cápita</t>
        </is>
      </c>
      <c r="C957" s="5" t="inlineStr">
        <is>
          <t>GESTIÓN AMBIENTAL</t>
        </is>
      </c>
      <c r="D957" s="5" t="inlineStr">
        <is>
          <t>Semestral</t>
        </is>
      </c>
      <c r="E957" s="5" t="inlineStr">
        <is>
          <t>Positivo</t>
        </is>
      </c>
      <c r="F957" s="107" t="n">
        <v>45107</v>
      </c>
      <c r="G957" s="5" t="n">
        <v>2023</v>
      </c>
      <c r="H957" s="5" t="inlineStr">
        <is>
          <t>Junio</t>
        </is>
      </c>
      <c r="I957" s="6" t="inlineStr">
        <is>
          <t>2023-1</t>
        </is>
      </c>
      <c r="J957" s="5" t="n">
        <v>1</v>
      </c>
      <c r="K957" s="9" t="n">
        <v>40.67840779343521</v>
      </c>
      <c r="L957" s="14">
        <f>IFERROR(IF(OR(J957=0,K957=""),"",IF(E957="Positivo",MIN(MAX(K957/J957,0),1.3),MIN(MAX(J957/K957,0),1.3))),"") </f>
        <v/>
      </c>
      <c r="M957" s="14">
        <f>IFERROR(IF(OR(J957=0,K957=""),"",IF(E957="Positivo",MAX(K957/J957,0),MAX(J957/K957,0))),"") </f>
        <v/>
      </c>
      <c r="N957" s="5" t="inlineStr">
        <is>
          <t>%</t>
        </is>
      </c>
      <c r="O957" s="5" t="inlineStr">
        <is>
          <t>%</t>
        </is>
      </c>
      <c r="P957" s="15" t="n">
        <v>0</v>
      </c>
      <c r="Q957" s="15" t="n">
        <v>0</v>
      </c>
      <c r="R957" s="5" t="inlineStr">
        <is>
          <t>220-2023-06-30</t>
        </is>
      </c>
    </row>
    <row r="958">
      <c r="A958" s="26" t="n">
        <v>220</v>
      </c>
      <c r="B958" s="5" t="inlineStr">
        <is>
          <t>Disminución del Consumo de Agua per Cápita</t>
        </is>
      </c>
      <c r="C958" s="5" t="inlineStr">
        <is>
          <t>GESTIÓN AMBIENTAL</t>
        </is>
      </c>
      <c r="D958" s="5" t="inlineStr">
        <is>
          <t>Trimestral</t>
        </is>
      </c>
      <c r="E958" s="5" t="inlineStr">
        <is>
          <t>Positivo</t>
        </is>
      </c>
      <c r="F958" s="107" t="n">
        <v>45291</v>
      </c>
      <c r="G958" s="5" t="n">
        <v>2023</v>
      </c>
      <c r="H958" s="5" t="inlineStr">
        <is>
          <t>Diciembre</t>
        </is>
      </c>
      <c r="I958" s="6" t="inlineStr">
        <is>
          <t>2023-2</t>
        </is>
      </c>
      <c r="J958" s="5" t="n">
        <v>1</v>
      </c>
      <c r="K958" s="9" t="n">
        <v>-38.58</v>
      </c>
      <c r="L958" s="14">
        <f>IFERROR(IF(OR(J958=0,K958=""),"",IF(E958="Positivo",MIN(MAX(K958/J958,0),1.3),MIN(MAX(J958/K958,0),1.3))),"") </f>
        <v/>
      </c>
      <c r="M958" s="14">
        <f>IFERROR(IF(OR(J958=0,K958=""),"",IF(E958="Positivo",MAX(K958/J958,0),MAX(J958/K958,0))),"") </f>
        <v/>
      </c>
      <c r="N958" s="5" t="inlineStr">
        <is>
          <t>%</t>
        </is>
      </c>
      <c r="O958" s="5" t="inlineStr">
        <is>
          <t>%</t>
        </is>
      </c>
      <c r="P958" s="15" t="n">
        <v>0</v>
      </c>
      <c r="Q958" s="15" t="n">
        <v>0</v>
      </c>
      <c r="R958" s="5" t="inlineStr">
        <is>
          <t>220-2023-12-31</t>
        </is>
      </c>
    </row>
    <row r="959">
      <c r="A959" s="21" t="n">
        <v>220</v>
      </c>
      <c r="B959" s="5" t="inlineStr">
        <is>
          <t>Disminución del Consumo de Agua per Cápita</t>
        </is>
      </c>
      <c r="C959" s="5" t="inlineStr">
        <is>
          <t>GESTIÓN AMBIENTAL</t>
        </is>
      </c>
      <c r="D959" s="5" t="inlineStr">
        <is>
          <t>Semestral</t>
        </is>
      </c>
      <c r="E959" s="5" t="inlineStr">
        <is>
          <t>Positivo</t>
        </is>
      </c>
      <c r="F959" s="107" t="n">
        <v>45473</v>
      </c>
      <c r="G959" s="5" t="n">
        <v>2024</v>
      </c>
      <c r="H959" s="5" t="inlineStr">
        <is>
          <t>Junio</t>
        </is>
      </c>
      <c r="I959" s="6" t="inlineStr">
        <is>
          <t>2024-1</t>
        </is>
      </c>
      <c r="J959" s="5" t="n">
        <v>1</v>
      </c>
      <c r="K959" s="10" t="n">
        <v>3.58</v>
      </c>
      <c r="L959" s="14">
        <f>IFERROR(IF(OR(J959=0,K959=""),"",IF(E959="Positivo",MIN(MAX(K959/J959,0),1.3),MIN(MAX(J959/K959,0),1.3))),"") </f>
        <v/>
      </c>
      <c r="M959" s="14">
        <f>IFERROR(IF(OR(J959=0,K959=""),"",IF(E959="Positivo",MAX(K959/J959,0),MAX(J959/K959,0))),"") </f>
        <v/>
      </c>
      <c r="N959" s="5" t="inlineStr">
        <is>
          <t>%</t>
        </is>
      </c>
      <c r="O959" s="5" t="inlineStr">
        <is>
          <t>%</t>
        </is>
      </c>
      <c r="P959" s="15" t="n">
        <v>0</v>
      </c>
      <c r="Q959" s="15" t="n">
        <v>0</v>
      </c>
      <c r="R959" s="5" t="inlineStr">
        <is>
          <t>220-2024-06-30</t>
        </is>
      </c>
    </row>
    <row r="960">
      <c r="A960" s="21" t="n">
        <v>220</v>
      </c>
      <c r="B960" s="5" t="inlineStr">
        <is>
          <t>Disminución del Consumo de Agua per Cápita</t>
        </is>
      </c>
      <c r="C960" s="5" t="inlineStr">
        <is>
          <t>GESTIÓN AMBIENTAL</t>
        </is>
      </c>
      <c r="D960" s="5" t="inlineStr">
        <is>
          <t>Semestral</t>
        </is>
      </c>
      <c r="E960" s="5" t="inlineStr">
        <is>
          <t>Positivo</t>
        </is>
      </c>
      <c r="F960" s="106" t="n">
        <v>45657</v>
      </c>
      <c r="G960" s="5" t="n">
        <v>2024</v>
      </c>
      <c r="H960" s="5" t="inlineStr">
        <is>
          <t>Diciembre</t>
        </is>
      </c>
      <c r="I960" s="6" t="inlineStr">
        <is>
          <t>2024-2</t>
        </is>
      </c>
      <c r="J960" s="5" t="n">
        <v>1</v>
      </c>
      <c r="K960" s="9" t="n">
        <v>13.05</v>
      </c>
      <c r="L960" s="14">
        <f>IFERROR(IF(OR(J960=0,K960=""),"",IF(E960="Positivo",MIN(MAX(K960/J960,0),1.3),MIN(MAX(J960/K960,0),1.3))),"") </f>
        <v/>
      </c>
      <c r="M960" s="14">
        <f>IFERROR(IF(OR(J960=0,K960=""),"",IF(E960="Positivo",MAX(K960/J960,0),MAX(J960/K960,0))),"") </f>
        <v/>
      </c>
      <c r="N960" s="5" t="inlineStr">
        <is>
          <t>%</t>
        </is>
      </c>
      <c r="O960" s="5" t="inlineStr">
        <is>
          <t>%</t>
        </is>
      </c>
      <c r="P960" s="15" t="n">
        <v>0</v>
      </c>
      <c r="Q960" s="15" t="n">
        <v>0</v>
      </c>
      <c r="R960" s="5" t="inlineStr">
        <is>
          <t>220-2024-12-31</t>
        </is>
      </c>
    </row>
    <row r="961">
      <c r="A961" s="26" t="n">
        <v>220</v>
      </c>
      <c r="B961" s="5" t="inlineStr">
        <is>
          <t>Disminución del Consumo de Agua per Cápita</t>
        </is>
      </c>
      <c r="C961" s="5" t="inlineStr">
        <is>
          <t>GESTIÓN AMBIENTAL</t>
        </is>
      </c>
      <c r="D961" s="5" t="inlineStr">
        <is>
          <t>Trimestral</t>
        </is>
      </c>
      <c r="E961" s="5" t="inlineStr">
        <is>
          <t>Positivo</t>
        </is>
      </c>
      <c r="F961" s="107" t="n">
        <v>45838</v>
      </c>
      <c r="G961" s="5" t="n">
        <v>2025</v>
      </c>
      <c r="H961" s="5" t="inlineStr">
        <is>
          <t>Junio</t>
        </is>
      </c>
      <c r="I961" s="6" t="inlineStr">
        <is>
          <t>2025-1</t>
        </is>
      </c>
      <c r="J961" s="5" t="n">
        <v>1</v>
      </c>
      <c r="K961" s="9" t="n">
        <v>33.98</v>
      </c>
      <c r="L961" s="14">
        <f>IFERROR(IF(OR(J961=0,K961=""),"",IF(E961="Positivo",MIN(MAX(K961/J961,0),1.3),MIN(MAX(J961/K961,0),1.3))),"") </f>
        <v/>
      </c>
      <c r="M961" s="14">
        <f>IFERROR(IF(OR(J961=0,K961=""),"",IF(E961="Positivo",MAX(K961/J961,0),MAX(J961/K961,0))),"") </f>
        <v/>
      </c>
      <c r="N961" s="5" t="inlineStr">
        <is>
          <t>%</t>
        </is>
      </c>
      <c r="O961" s="5" t="inlineStr">
        <is>
          <t>%</t>
        </is>
      </c>
      <c r="P961" s="15" t="n">
        <v>0</v>
      </c>
      <c r="Q961" s="15" t="n">
        <v>0</v>
      </c>
      <c r="R961" s="5" t="inlineStr">
        <is>
          <t>220-2025-06-30</t>
        </is>
      </c>
    </row>
    <row r="962">
      <c r="A962" s="21" t="n">
        <v>220</v>
      </c>
      <c r="B962" s="5" t="inlineStr">
        <is>
          <t>Disminución del Consumo de Agua per Cápita</t>
        </is>
      </c>
      <c r="C962" s="5" t="inlineStr">
        <is>
          <t>GESTIÓN AMBIENTAL</t>
        </is>
      </c>
      <c r="D962" s="5" t="inlineStr">
        <is>
          <t>Trimestral</t>
        </is>
      </c>
      <c r="E962" s="5" t="inlineStr">
        <is>
          <t>Positivo</t>
        </is>
      </c>
      <c r="F962" s="107" t="n">
        <v>46022</v>
      </c>
      <c r="G962" s="5" t="n">
        <v>2025</v>
      </c>
      <c r="H962" s="5" t="inlineStr">
        <is>
          <t>Diciembre</t>
        </is>
      </c>
      <c r="I962" s="6" t="inlineStr">
        <is>
          <t>2025-2</t>
        </is>
      </c>
      <c r="J962" s="5" t="n">
        <v>1</v>
      </c>
      <c r="K962" s="10" t="n">
        <v>-10.18</v>
      </c>
      <c r="L962" s="14">
        <f>IFERROR(IF(OR(J962=0,K962=""),"",IF(E962="Positivo",MIN(MAX(K962/J962,0),1.3),MIN(MAX(J962/K962,0),1.3))),"") </f>
        <v/>
      </c>
      <c r="M962" s="14">
        <f>IFERROR(IF(OR(J962=0,K962=""),"",IF(E962="Positivo",MAX(K962/J962,0),MAX(J962/K962,0))),"") </f>
        <v/>
      </c>
      <c r="N962" s="5" t="inlineStr">
        <is>
          <t>%</t>
        </is>
      </c>
      <c r="O962" s="5" t="inlineStr">
        <is>
          <t>%</t>
        </is>
      </c>
      <c r="P962" s="15" t="n">
        <v>0</v>
      </c>
      <c r="Q962" s="15" t="n">
        <v>0</v>
      </c>
      <c r="R962" s="5" t="inlineStr">
        <is>
          <t>220-2025-12-31</t>
        </is>
      </c>
    </row>
    <row r="963">
      <c r="A963" s="21" t="n">
        <v>221</v>
      </c>
      <c r="B963" s="5" t="inlineStr">
        <is>
          <t>Riesgo de la Calidad del Agua Potable</t>
        </is>
      </c>
      <c r="C963" s="5" t="inlineStr">
        <is>
          <t>GESTIÓN AMBIENTAL</t>
        </is>
      </c>
      <c r="D963" s="5" t="inlineStr">
        <is>
          <t>Anual</t>
        </is>
      </c>
      <c r="E963" s="5" t="inlineStr">
        <is>
          <t>Positivo</t>
        </is>
      </c>
      <c r="F963" s="106" t="n">
        <v>44926</v>
      </c>
      <c r="G963" s="5" t="n">
        <v>2022</v>
      </c>
      <c r="H963" s="5" t="inlineStr">
        <is>
          <t>Diciembre</t>
        </is>
      </c>
      <c r="I963" s="6" t="inlineStr">
        <is>
          <t>2022-2</t>
        </is>
      </c>
      <c r="J963" s="5" t="n">
        <v>100</v>
      </c>
      <c r="K963" s="9" t="n">
        <v>200</v>
      </c>
      <c r="L963" s="14">
        <f>IFERROR(IF(OR(J963=0,K963=""),"",IF(E963="Positivo",MIN(MAX(K963/J963,0),1.3),MIN(MAX(J963/K963,0),1.3))),"") </f>
        <v/>
      </c>
      <c r="M963" s="14">
        <f>IFERROR(IF(OR(J963=0,K963=""),"",IF(E963="Positivo",MAX(K963/J963,0),MAX(J963/K963,0))),"") </f>
        <v/>
      </c>
      <c r="N963" s="5" t="inlineStr">
        <is>
          <t>%</t>
        </is>
      </c>
      <c r="O963" s="5" t="inlineStr">
        <is>
          <t>%</t>
        </is>
      </c>
      <c r="P963" s="15" t="n">
        <v>0</v>
      </c>
      <c r="Q963" s="15" t="n">
        <v>0</v>
      </c>
      <c r="R963" s="5" t="inlineStr">
        <is>
          <t>221-2022-12-31</t>
        </is>
      </c>
    </row>
    <row r="964">
      <c r="A964" s="26" t="n">
        <v>221</v>
      </c>
      <c r="B964" s="5" t="inlineStr">
        <is>
          <t>Riesgo de la Calidad del Agua Potable</t>
        </is>
      </c>
      <c r="C964" s="5" t="inlineStr">
        <is>
          <t>GESTIÓN AMBIENTAL</t>
        </is>
      </c>
      <c r="D964" s="5" t="inlineStr">
        <is>
          <t>Anual</t>
        </is>
      </c>
      <c r="E964" s="5" t="inlineStr">
        <is>
          <t>Positivo</t>
        </is>
      </c>
      <c r="F964" s="107" t="n">
        <v>45291</v>
      </c>
      <c r="G964" s="5" t="n">
        <v>2023</v>
      </c>
      <c r="H964" s="5" t="inlineStr">
        <is>
          <t>Diciembre</t>
        </is>
      </c>
      <c r="I964" s="6" t="inlineStr">
        <is>
          <t>2023-2</t>
        </is>
      </c>
      <c r="J964" s="5" t="n">
        <v>100</v>
      </c>
      <c r="K964" s="9" t="n">
        <v>100</v>
      </c>
      <c r="L964" s="14">
        <f>IFERROR(IF(OR(J964=0,K964=""),"",IF(E964="Positivo",MIN(MAX(K964/J964,0),1.3),MIN(MAX(J964/K964,0),1.3))),"") </f>
        <v/>
      </c>
      <c r="M964" s="14">
        <f>IFERROR(IF(OR(J964=0,K964=""),"",IF(E964="Positivo",MAX(K964/J964,0),MAX(J964/K964,0))),"") </f>
        <v/>
      </c>
      <c r="N964" s="5" t="inlineStr">
        <is>
          <t>%</t>
        </is>
      </c>
      <c r="O964" s="5" t="inlineStr">
        <is>
          <t>%</t>
        </is>
      </c>
      <c r="P964" s="15" t="n">
        <v>0</v>
      </c>
      <c r="Q964" s="15" t="n">
        <v>0</v>
      </c>
      <c r="R964" s="5" t="inlineStr">
        <is>
          <t>221-2023-12-31</t>
        </is>
      </c>
    </row>
    <row r="965">
      <c r="A965" s="5" t="n">
        <v>221</v>
      </c>
      <c r="B965" s="5" t="inlineStr">
        <is>
          <t>Riesgo de la Calidad del Agua Potable</t>
        </is>
      </c>
      <c r="C965" s="5" t="inlineStr">
        <is>
          <t>GESTIÓN AMBIENTAL</t>
        </is>
      </c>
      <c r="D965" s="5" t="inlineStr">
        <is>
          <t>Anual</t>
        </is>
      </c>
      <c r="E965" s="5" t="inlineStr">
        <is>
          <t>Positivo</t>
        </is>
      </c>
      <c r="F965" s="107" t="n">
        <v>45657</v>
      </c>
      <c r="G965" s="5" t="n">
        <v>2024</v>
      </c>
      <c r="H965" s="5" t="inlineStr">
        <is>
          <t>Diciembre</t>
        </is>
      </c>
      <c r="I965" s="6" t="inlineStr">
        <is>
          <t>2024-2</t>
        </is>
      </c>
      <c r="J965" s="5" t="n">
        <v>100</v>
      </c>
      <c r="K965" s="5" t="n">
        <v>33.33</v>
      </c>
      <c r="L965" s="14">
        <f>IFERROR(IF(OR(J965=0,K965=""),"",IF(E965="Positivo",MIN(MAX(K965/J965,0),1.3),MIN(MAX(J965/K965,0),1.3))),"") </f>
        <v/>
      </c>
      <c r="M965" s="14">
        <f>IFERROR(IF(OR(J965=0,K965=""),"",IF(E965="Positivo",MAX(K965/J965,0),MAX(J965/K965,0))),"") </f>
        <v/>
      </c>
      <c r="N965" s="5" t="n"/>
      <c r="O965" s="5" t="n"/>
      <c r="P965" s="5" t="n">
        <v>0</v>
      </c>
      <c r="Q965" s="5" t="n">
        <v>0</v>
      </c>
      <c r="R965" s="5" t="inlineStr">
        <is>
          <t>221-2024-12-31</t>
        </is>
      </c>
    </row>
    <row r="966">
      <c r="A966" s="21" t="n">
        <v>221</v>
      </c>
      <c r="B966" s="5" t="inlineStr">
        <is>
          <t>Riesgo de la Calidad del Agua Potable</t>
        </is>
      </c>
      <c r="C966" s="5" t="inlineStr">
        <is>
          <t>GESTIÓN AMBIENTAL</t>
        </is>
      </c>
      <c r="D966" s="5" t="inlineStr">
        <is>
          <t>Anual</t>
        </is>
      </c>
      <c r="E966" s="5" t="inlineStr">
        <is>
          <t>Positivo</t>
        </is>
      </c>
      <c r="F966" s="107" t="n">
        <v>46022</v>
      </c>
      <c r="G966" s="5" t="n">
        <v>2025</v>
      </c>
      <c r="H966" s="5" t="inlineStr">
        <is>
          <t>Diciembre</t>
        </is>
      </c>
      <c r="I966" s="6" t="inlineStr">
        <is>
          <t>2025-2</t>
        </is>
      </c>
      <c r="J966" s="5" t="n">
        <v>100</v>
      </c>
      <c r="K966" s="10" t="n">
        <v>27.5</v>
      </c>
      <c r="L966" s="14">
        <f>IFERROR(IF(OR(J966=0,K966=""),"",IF(E966="Positivo",MIN(MAX(K966/J966,0),1.3),MIN(MAX(J966/K966,0),1.3))),"") </f>
        <v/>
      </c>
      <c r="M966" s="14">
        <f>IFERROR(IF(OR(J966=0,K966=""),"",IF(E966="Positivo",MAX(K966/J966,0),MAX(J966/K966,0))),"") </f>
        <v/>
      </c>
      <c r="N966" s="5" t="inlineStr">
        <is>
          <t>%</t>
        </is>
      </c>
      <c r="O966" s="5" t="inlineStr">
        <is>
          <t>%</t>
        </is>
      </c>
      <c r="P966" s="15" t="n">
        <v>0</v>
      </c>
      <c r="Q966" s="15" t="n">
        <v>0</v>
      </c>
      <c r="R966" s="5" t="inlineStr">
        <is>
          <t>221-2025-12-31</t>
        </is>
      </c>
    </row>
    <row r="967">
      <c r="A967" s="21" t="n">
        <v>222</v>
      </c>
      <c r="B967" s="5" t="inlineStr">
        <is>
          <t>Calidad de las Aguas Residuales Domesticas</t>
        </is>
      </c>
      <c r="C967" s="5" t="inlineStr">
        <is>
          <t>GESTIÓN AMBIENTAL</t>
        </is>
      </c>
      <c r="D967" s="5" t="inlineStr">
        <is>
          <t>Anual</t>
        </is>
      </c>
      <c r="E967" s="5" t="inlineStr">
        <is>
          <t>Positivo</t>
        </is>
      </c>
      <c r="F967" s="106" t="n">
        <v>44926</v>
      </c>
      <c r="G967" s="5" t="n">
        <v>2022</v>
      </c>
      <c r="H967" s="5" t="inlineStr">
        <is>
          <t>Diciembre</t>
        </is>
      </c>
      <c r="I967" s="6" t="inlineStr">
        <is>
          <t>2022-2</t>
        </is>
      </c>
      <c r="J967" s="5" t="n">
        <v>90</v>
      </c>
      <c r="K967" s="9" t="n">
        <v>93.75</v>
      </c>
      <c r="L967" s="14">
        <f>IFERROR(IF(OR(J967=0,K967=""),"",IF(E967="Positivo",MIN(MAX(K967/J967,0),1.3),MIN(MAX(J967/K967,0),1.3))),"") </f>
        <v/>
      </c>
      <c r="M967" s="14">
        <f>IFERROR(IF(OR(J967=0,K967=""),"",IF(E967="Positivo",MAX(K967/J967,0),MAX(J967/K967,0))),"") </f>
        <v/>
      </c>
      <c r="N967" s="5" t="inlineStr">
        <is>
          <t>%</t>
        </is>
      </c>
      <c r="O967" s="5" t="inlineStr">
        <is>
          <t>%</t>
        </is>
      </c>
      <c r="P967" s="15" t="n">
        <v>0</v>
      </c>
      <c r="Q967" s="15" t="n">
        <v>0</v>
      </c>
      <c r="R967" s="5" t="inlineStr">
        <is>
          <t>222-2022-12-31</t>
        </is>
      </c>
    </row>
    <row r="968">
      <c r="A968" s="26" t="n">
        <v>222</v>
      </c>
      <c r="B968" s="5" t="inlineStr">
        <is>
          <t>Calidad de las Aguas Residuales Domesticas</t>
        </is>
      </c>
      <c r="C968" s="5" t="inlineStr">
        <is>
          <t>GESTIÓN AMBIENTAL</t>
        </is>
      </c>
      <c r="D968" s="5" t="inlineStr">
        <is>
          <t>Anual</t>
        </is>
      </c>
      <c r="E968" s="5" t="inlineStr">
        <is>
          <t>Positivo</t>
        </is>
      </c>
      <c r="F968" s="107" t="n">
        <v>45291</v>
      </c>
      <c r="G968" s="5" t="n">
        <v>2023</v>
      </c>
      <c r="H968" s="5" t="inlineStr">
        <is>
          <t>Diciembre</t>
        </is>
      </c>
      <c r="I968" s="6" t="inlineStr">
        <is>
          <t>2023-2</t>
        </is>
      </c>
      <c r="J968" s="5" t="n">
        <v>90</v>
      </c>
      <c r="K968" s="9" t="n">
        <v>68.75</v>
      </c>
      <c r="L968" s="14">
        <f>IFERROR(IF(OR(J968=0,K968=""),"",IF(E968="Positivo",MIN(MAX(K968/J968,0),1.3),MIN(MAX(J968/K968,0),1.3))),"") </f>
        <v/>
      </c>
      <c r="M968" s="14">
        <f>IFERROR(IF(OR(J968=0,K968=""),"",IF(E968="Positivo",MAX(K968/J968,0),MAX(J968/K968,0))),"") </f>
        <v/>
      </c>
      <c r="N968" s="5" t="inlineStr">
        <is>
          <t>%</t>
        </is>
      </c>
      <c r="O968" s="5" t="inlineStr">
        <is>
          <t>%</t>
        </is>
      </c>
      <c r="P968" s="15" t="n">
        <v>0</v>
      </c>
      <c r="Q968" s="15" t="n">
        <v>0</v>
      </c>
      <c r="R968" s="5" t="inlineStr">
        <is>
          <t>222-2023-12-31</t>
        </is>
      </c>
    </row>
    <row r="969">
      <c r="A969" s="5" t="n">
        <v>222</v>
      </c>
      <c r="B969" s="5" t="inlineStr">
        <is>
          <t>Calidad de las Aguas Residuales Domesticas</t>
        </is>
      </c>
      <c r="C969" s="5" t="inlineStr">
        <is>
          <t>GESTIÓN AMBIENTAL</t>
        </is>
      </c>
      <c r="D969" s="5" t="inlineStr">
        <is>
          <t>Anual</t>
        </is>
      </c>
      <c r="E969" s="5" t="inlineStr">
        <is>
          <t>Positivo</t>
        </is>
      </c>
      <c r="F969" s="107" t="n">
        <v>45657</v>
      </c>
      <c r="G969" s="5" t="n">
        <v>2024</v>
      </c>
      <c r="H969" s="5" t="inlineStr">
        <is>
          <t>Diciembre</t>
        </is>
      </c>
      <c r="I969" s="6" t="inlineStr">
        <is>
          <t>2024-2</t>
        </is>
      </c>
      <c r="J969" s="5" t="n">
        <v>90</v>
      </c>
      <c r="K969" s="5" t="n">
        <v>68.75</v>
      </c>
      <c r="L969" s="14">
        <f>IFERROR(IF(OR(J969=0,K969=""),"",IF(E969="Positivo",MIN(MAX(K969/J969,0),1.3),MIN(MAX(J969/K969,0),1.3))),"") </f>
        <v/>
      </c>
      <c r="M969" s="14">
        <f>IFERROR(IF(OR(J969=0,K969=""),"",IF(E969="Positivo",MAX(K969/J969,0),MAX(J969/K969,0))),"") </f>
        <v/>
      </c>
      <c r="N969" s="5" t="inlineStr">
        <is>
          <t>%</t>
        </is>
      </c>
      <c r="O969" s="5" t="inlineStr">
        <is>
          <t>%</t>
        </is>
      </c>
      <c r="P969" s="5" t="n">
        <v>0</v>
      </c>
      <c r="Q969" s="5" t="n">
        <v>0</v>
      </c>
      <c r="R969" s="5" t="inlineStr">
        <is>
          <t>222-2024-12-31</t>
        </is>
      </c>
    </row>
    <row r="970">
      <c r="A970" s="21" t="n">
        <v>222</v>
      </c>
      <c r="B970" s="5" t="inlineStr">
        <is>
          <t>Calidad de las Aguas Residuales Domesticas</t>
        </is>
      </c>
      <c r="C970" s="5" t="inlineStr">
        <is>
          <t>GESTIÓN AMBIENTAL</t>
        </is>
      </c>
      <c r="D970" s="5" t="inlineStr">
        <is>
          <t>Anual</t>
        </is>
      </c>
      <c r="E970" s="5" t="inlineStr">
        <is>
          <t>Positivo</t>
        </is>
      </c>
      <c r="F970" s="107" t="n">
        <v>46022</v>
      </c>
      <c r="G970" s="5" t="n">
        <v>2025</v>
      </c>
      <c r="H970" s="5" t="inlineStr">
        <is>
          <t>Diciembre</t>
        </is>
      </c>
      <c r="I970" s="6" t="inlineStr">
        <is>
          <t>2025-2</t>
        </is>
      </c>
      <c r="J970" s="5" t="n">
        <v>90</v>
      </c>
      <c r="K970" s="10" t="n">
        <v>68.75</v>
      </c>
      <c r="L970" s="14">
        <f>IFERROR(IF(OR(J970=0,K970=""),"",IF(E970="Positivo",MIN(MAX(K970/J970,0),1.3),MIN(MAX(J970/K970,0),1.3))),"") </f>
        <v/>
      </c>
      <c r="M970" s="14">
        <f>IFERROR(IF(OR(J970=0,K970=""),"",IF(E970="Positivo",MAX(K970/J970,0),MAX(J970/K970,0))),"") </f>
        <v/>
      </c>
      <c r="N970" s="5" t="inlineStr">
        <is>
          <t>%</t>
        </is>
      </c>
      <c r="O970" s="5" t="inlineStr">
        <is>
          <t>%</t>
        </is>
      </c>
      <c r="P970" s="15" t="n">
        <v>0</v>
      </c>
      <c r="Q970" s="15" t="n">
        <v>0</v>
      </c>
      <c r="R970" s="5" t="inlineStr">
        <is>
          <t>222-2025-12-31</t>
        </is>
      </c>
    </row>
    <row r="971">
      <c r="A971" s="21" t="n">
        <v>223</v>
      </c>
      <c r="B971" s="5" t="inlineStr">
        <is>
          <t>Registro de Publicidad Exterior Visual</t>
        </is>
      </c>
      <c r="C971" s="5" t="inlineStr">
        <is>
          <t>GESTIÓN AMBIENTAL</t>
        </is>
      </c>
      <c r="D971" s="5" t="inlineStr">
        <is>
          <t>Anual</t>
        </is>
      </c>
      <c r="E971" s="5" t="inlineStr">
        <is>
          <t>Positivo</t>
        </is>
      </c>
      <c r="F971" s="106" t="n">
        <v>44926</v>
      </c>
      <c r="G971" s="5" t="n">
        <v>2022</v>
      </c>
      <c r="H971" s="5" t="inlineStr">
        <is>
          <t>Diciembre</t>
        </is>
      </c>
      <c r="I971" s="6" t="inlineStr">
        <is>
          <t>2022-2</t>
        </is>
      </c>
      <c r="J971" s="5" t="n">
        <v>100</v>
      </c>
      <c r="K971" s="9" t="n">
        <v>0</v>
      </c>
      <c r="L971" s="14">
        <f>IFERROR(IF(OR(J971=0,K971=""),"",IF(E971="Positivo",MIN(MAX(K971/J971,0),1.3),MIN(MAX(J971/K971,0),1.3))),"") </f>
        <v/>
      </c>
      <c r="M971" s="14">
        <f>IFERROR(IF(OR(J971=0,K971=""),"",IF(E971="Positivo",MAX(K971/J971,0),MAX(J971/K971,0))),"") </f>
        <v/>
      </c>
      <c r="N971" s="5" t="inlineStr">
        <is>
          <t>%</t>
        </is>
      </c>
      <c r="O971" s="5" t="inlineStr">
        <is>
          <t>%</t>
        </is>
      </c>
      <c r="P971" s="15" t="n">
        <v>0</v>
      </c>
      <c r="Q971" s="15" t="n">
        <v>0</v>
      </c>
      <c r="R971" s="5" t="inlineStr">
        <is>
          <t>223-2022-12-31</t>
        </is>
      </c>
    </row>
    <row r="972">
      <c r="A972" s="26" t="n">
        <v>223</v>
      </c>
      <c r="B972" s="5" t="inlineStr">
        <is>
          <t>Registro de Publicidad Exterior Visual</t>
        </is>
      </c>
      <c r="C972" s="5" t="inlineStr">
        <is>
          <t>GESTIÓN AMBIENTAL</t>
        </is>
      </c>
      <c r="D972" s="5" t="inlineStr">
        <is>
          <t>Anual</t>
        </is>
      </c>
      <c r="E972" s="5" t="inlineStr">
        <is>
          <t>Positivo</t>
        </is>
      </c>
      <c r="F972" s="107" t="n">
        <v>45291</v>
      </c>
      <c r="G972" s="5" t="n">
        <v>2023</v>
      </c>
      <c r="H972" s="5" t="inlineStr">
        <is>
          <t>Diciembre</t>
        </is>
      </c>
      <c r="I972" s="6" t="inlineStr">
        <is>
          <t>2023-2</t>
        </is>
      </c>
      <c r="J972" s="5" t="n">
        <v>100</v>
      </c>
      <c r="K972" s="9" t="n">
        <v>100</v>
      </c>
      <c r="L972" s="14">
        <f>IFERROR(IF(OR(J972=0,K972=""),"",IF(E972="Positivo",MIN(MAX(K972/J972,0),1.3),MIN(MAX(J972/K972,0),1.3))),"") </f>
        <v/>
      </c>
      <c r="M972" s="14">
        <f>IFERROR(IF(OR(J972=0,K972=""),"",IF(E972="Positivo",MAX(K972/J972,0),MAX(J972/K972,0))),"") </f>
        <v/>
      </c>
      <c r="N972" s="5" t="inlineStr">
        <is>
          <t>%</t>
        </is>
      </c>
      <c r="O972" s="5" t="inlineStr">
        <is>
          <t>%</t>
        </is>
      </c>
      <c r="P972" s="15" t="n">
        <v>0</v>
      </c>
      <c r="Q972" s="15" t="n">
        <v>0</v>
      </c>
      <c r="R972" s="5" t="inlineStr">
        <is>
          <t>223-2023-12-31</t>
        </is>
      </c>
    </row>
    <row r="973">
      <c r="A973" s="5" t="n">
        <v>223</v>
      </c>
      <c r="B973" s="5" t="inlineStr">
        <is>
          <t>Registro de Publicidad Exterior Visual</t>
        </is>
      </c>
      <c r="C973" s="5" t="inlineStr">
        <is>
          <t>GESTIÓN AMBIENTAL</t>
        </is>
      </c>
      <c r="D973" s="5" t="inlineStr">
        <is>
          <t>Anual</t>
        </is>
      </c>
      <c r="E973" s="5" t="inlineStr">
        <is>
          <t>Positivo</t>
        </is>
      </c>
      <c r="F973" s="107" t="n">
        <v>45657</v>
      </c>
      <c r="G973" s="5" t="n">
        <v>2024</v>
      </c>
      <c r="H973" s="5" t="inlineStr">
        <is>
          <t>Diciembre</t>
        </is>
      </c>
      <c r="I973" s="6" t="inlineStr">
        <is>
          <t>2024-2</t>
        </is>
      </c>
      <c r="J973" s="5" t="n">
        <v>100</v>
      </c>
      <c r="K973" s="5" t="n">
        <v>94.12</v>
      </c>
      <c r="L973" s="14">
        <f>IFERROR(IF(OR(J973=0,K973=""),"",IF(E973="Positivo",MIN(MAX(K973/J973,0),1.3),MIN(MAX(J973/K973,0),1.3))),"") </f>
        <v/>
      </c>
      <c r="M973" s="14">
        <f>IFERROR(IF(OR(J973=0,K973=""),"",IF(E973="Positivo",MAX(K973/J973,0),MAX(J973/K973,0))),"") </f>
        <v/>
      </c>
      <c r="N973" s="5" t="n"/>
      <c r="O973" s="5" t="n"/>
      <c r="P973" s="5" t="n">
        <v>0</v>
      </c>
      <c r="Q973" s="5" t="n">
        <v>0</v>
      </c>
      <c r="R973" s="5" t="inlineStr">
        <is>
          <t>223-2024-12-31</t>
        </is>
      </c>
    </row>
    <row r="974">
      <c r="A974" s="21" t="n">
        <v>223</v>
      </c>
      <c r="B974" s="5" t="inlineStr">
        <is>
          <t>Registro de Publicidad Exterior Visual</t>
        </is>
      </c>
      <c r="C974" s="5" t="inlineStr">
        <is>
          <t>GESTIÓN AMBIENTAL</t>
        </is>
      </c>
      <c r="D974" s="5" t="inlineStr">
        <is>
          <t>Anual</t>
        </is>
      </c>
      <c r="E974" s="5" t="inlineStr">
        <is>
          <t>Positivo</t>
        </is>
      </c>
      <c r="F974" s="107" t="n">
        <v>46022</v>
      </c>
      <c r="G974" s="5" t="n">
        <v>2025</v>
      </c>
      <c r="H974" s="5" t="inlineStr">
        <is>
          <t>Diciembre</t>
        </is>
      </c>
      <c r="I974" s="6" t="inlineStr">
        <is>
          <t>2025-2</t>
        </is>
      </c>
      <c r="J974" s="5" t="n">
        <v>100</v>
      </c>
      <c r="K974" s="10" t="n">
        <v>91.67</v>
      </c>
      <c r="L974" s="14">
        <f>IFERROR(IF(OR(J974=0,K974=""),"",IF(E974="Positivo",MIN(MAX(K974/J974,0),1.3),MIN(MAX(J974/K974,0),1.3))),"") </f>
        <v/>
      </c>
      <c r="M974" s="14">
        <f>IFERROR(IF(OR(J974=0,K974=""),"",IF(E974="Positivo",MAX(K974/J974,0),MAX(J974/K974,0))),"") </f>
        <v/>
      </c>
      <c r="N974" s="5" t="inlineStr">
        <is>
          <t>%</t>
        </is>
      </c>
      <c r="O974" s="5" t="inlineStr">
        <is>
          <t>%</t>
        </is>
      </c>
      <c r="P974" s="15" t="n">
        <v>0</v>
      </c>
      <c r="Q974" s="15" t="n">
        <v>0</v>
      </c>
      <c r="R974" s="5" t="inlineStr">
        <is>
          <t>223-2025-12-31</t>
        </is>
      </c>
    </row>
    <row r="975">
      <c r="A975" s="28" t="n">
        <v>224</v>
      </c>
      <c r="B975" s="5" t="inlineStr">
        <is>
          <t>Cumplimiento Nivel de Emisión de Ruido</t>
        </is>
      </c>
      <c r="C975" s="5" t="inlineStr">
        <is>
          <t>GESTIÓN AMBIENTAL</t>
        </is>
      </c>
      <c r="D975" s="5" t="inlineStr">
        <is>
          <t>Anual</t>
        </is>
      </c>
      <c r="E975" s="5" t="inlineStr">
        <is>
          <t>Positivo</t>
        </is>
      </c>
      <c r="F975" s="107" t="n">
        <v>44926</v>
      </c>
      <c r="G975" s="5" t="n">
        <v>2022</v>
      </c>
      <c r="H975" s="5" t="inlineStr">
        <is>
          <t>Diciembre</t>
        </is>
      </c>
      <c r="I975" s="6" t="inlineStr">
        <is>
          <t>2022-2</t>
        </is>
      </c>
      <c r="J975" s="5" t="n">
        <v>100</v>
      </c>
      <c r="K975" s="9" t="n">
        <v>71.42857142857143</v>
      </c>
      <c r="L975" s="14">
        <f>IFERROR(IF(OR(J975=0,K975=""),"",IF(E975="Positivo",MIN(MAX(K975/J975,0),1.3),MIN(MAX(J975/K975,0),1.3))),"") </f>
        <v/>
      </c>
      <c r="M975" s="14">
        <f>IFERROR(IF(OR(J975=0,K975=""),"",IF(E975="Positivo",MAX(K975/J975,0),MAX(J975/K975,0))),"") </f>
        <v/>
      </c>
      <c r="N975" s="5" t="inlineStr">
        <is>
          <t>%</t>
        </is>
      </c>
      <c r="O975" s="5" t="inlineStr">
        <is>
          <t>%</t>
        </is>
      </c>
      <c r="P975" s="15" t="n">
        <v>0</v>
      </c>
      <c r="Q975" s="15" t="n">
        <v>0</v>
      </c>
      <c r="R975" s="5" t="inlineStr">
        <is>
          <t>224-2022-12-31</t>
        </is>
      </c>
    </row>
    <row r="976">
      <c r="A976" s="26" t="n">
        <v>224</v>
      </c>
      <c r="B976" s="5" t="inlineStr">
        <is>
          <t>Cumplimiento Nivel de Emisión de Ruido</t>
        </is>
      </c>
      <c r="C976" s="5" t="inlineStr">
        <is>
          <t>GESTIÓN AMBIENTAL</t>
        </is>
      </c>
      <c r="D976" s="5" t="inlineStr">
        <is>
          <t>Anual</t>
        </is>
      </c>
      <c r="E976" s="5" t="inlineStr">
        <is>
          <t>Positivo</t>
        </is>
      </c>
      <c r="F976" s="107" t="n">
        <v>45291</v>
      </c>
      <c r="G976" s="5" t="n">
        <v>2023</v>
      </c>
      <c r="H976" s="5" t="inlineStr">
        <is>
          <t>Diciembre</t>
        </is>
      </c>
      <c r="I976" s="6" t="inlineStr">
        <is>
          <t>2023-2</t>
        </is>
      </c>
      <c r="J976" s="5" t="n">
        <v>100</v>
      </c>
      <c r="K976" s="9" t="n">
        <v>40</v>
      </c>
      <c r="L976" s="14">
        <f>IFERROR(IF(OR(J976=0,K976=""),"",IF(E976="Positivo",MIN(MAX(K976/J976,0),1.3),MIN(MAX(J976/K976,0),1.3))),"") </f>
        <v/>
      </c>
      <c r="M976" s="14">
        <f>IFERROR(IF(OR(J976=0,K976=""),"",IF(E976="Positivo",MAX(K976/J976,0),MAX(J976/K976,0))),"") </f>
        <v/>
      </c>
      <c r="N976" s="5" t="inlineStr">
        <is>
          <t>%</t>
        </is>
      </c>
      <c r="O976" s="5" t="inlineStr">
        <is>
          <t>%</t>
        </is>
      </c>
      <c r="P976" s="15" t="n">
        <v>0</v>
      </c>
      <c r="Q976" s="15" t="n">
        <v>0</v>
      </c>
      <c r="R976" s="5" t="inlineStr">
        <is>
          <t>224-2023-12-31</t>
        </is>
      </c>
    </row>
    <row r="977">
      <c r="A977" s="26" t="n">
        <v>224</v>
      </c>
      <c r="B977" s="5" t="inlineStr">
        <is>
          <t>Cumplimiento Nivel de Emisión de Ruido</t>
        </is>
      </c>
      <c r="C977" s="5" t="inlineStr">
        <is>
          <t>GESTIÓN AMBIENTAL</t>
        </is>
      </c>
      <c r="D977" s="5" t="inlineStr">
        <is>
          <t>Anual</t>
        </is>
      </c>
      <c r="E977" s="5" t="inlineStr">
        <is>
          <t>Positivo</t>
        </is>
      </c>
      <c r="F977" s="107" t="n">
        <v>45657</v>
      </c>
      <c r="G977" s="5" t="n">
        <v>2024</v>
      </c>
      <c r="H977" s="5" t="inlineStr">
        <is>
          <t>Diciembre</t>
        </is>
      </c>
      <c r="I977" s="6" t="inlineStr">
        <is>
          <t>2024-2</t>
        </is>
      </c>
      <c r="J977" s="5" t="n">
        <v>100</v>
      </c>
      <c r="K977" s="9" t="n">
        <v>100</v>
      </c>
      <c r="L977" s="14">
        <f>IFERROR(IF(OR(J977=0,K977=""),"",IF(E977="Positivo",MIN(MAX(K977/J977,0),1.3),MIN(MAX(J977/K977,0),1.3))),"") </f>
        <v/>
      </c>
      <c r="M977" s="14">
        <f>IFERROR(IF(OR(J977=0,K977=""),"",IF(E977="Positivo",MAX(K977/J977,0),MAX(J977/K977,0))),"") </f>
        <v/>
      </c>
      <c r="N977" s="5" t="inlineStr">
        <is>
          <t>%</t>
        </is>
      </c>
      <c r="O977" s="5" t="inlineStr">
        <is>
          <t>%</t>
        </is>
      </c>
      <c r="P977" s="15" t="n">
        <v>0</v>
      </c>
      <c r="Q977" s="15" t="n">
        <v>0</v>
      </c>
      <c r="R977" s="5" t="inlineStr">
        <is>
          <t>224-2024-12-31</t>
        </is>
      </c>
    </row>
    <row r="978">
      <c r="A978" s="26" t="n">
        <v>224</v>
      </c>
      <c r="B978" s="5" t="inlineStr">
        <is>
          <t>Cumplimiento Nivel de Emisión de Ruido</t>
        </is>
      </c>
      <c r="C978" s="5" t="inlineStr">
        <is>
          <t>GESTIÓN AMBIENTAL</t>
        </is>
      </c>
      <c r="D978" s="5" t="inlineStr">
        <is>
          <t>Anual</t>
        </is>
      </c>
      <c r="E978" s="5" t="inlineStr">
        <is>
          <t>Positivo</t>
        </is>
      </c>
      <c r="F978" s="107" t="n">
        <v>46022</v>
      </c>
      <c r="G978" s="5" t="n">
        <v>2025</v>
      </c>
      <c r="H978" s="5" t="inlineStr">
        <is>
          <t>Diciembre</t>
        </is>
      </c>
      <c r="I978" s="6" t="inlineStr">
        <is>
          <t>2025-2</t>
        </is>
      </c>
      <c r="J978" s="5" t="n">
        <v>100</v>
      </c>
      <c r="K978" s="5" t="n">
        <v>100</v>
      </c>
      <c r="L978" s="14">
        <f>IFERROR(IF(OR(J978=0,K978=""),"",IF(E978="Positivo",MIN(MAX(K978/J978,0),1.3),MIN(MAX(J978/K978,0),1.3))),"") </f>
        <v/>
      </c>
      <c r="M978" s="14">
        <f>IFERROR(IF(OR(J978=0,K978=""),"",IF(E978="Positivo",MAX(K978/J978,0),MAX(J978/K978,0))),"") </f>
        <v/>
      </c>
      <c r="N978" s="5" t="inlineStr">
        <is>
          <t>%</t>
        </is>
      </c>
      <c r="O978" s="5" t="inlineStr">
        <is>
          <t>%</t>
        </is>
      </c>
      <c r="P978" s="15" t="n">
        <v>0</v>
      </c>
      <c r="Q978" s="15" t="n">
        <v>0</v>
      </c>
      <c r="R978" s="5" t="inlineStr">
        <is>
          <t>224-2025-12-31</t>
        </is>
      </c>
    </row>
    <row r="979">
      <c r="A979" s="21" t="n">
        <v>225</v>
      </c>
      <c r="B979" s="5" t="inlineStr">
        <is>
          <t>Acciones para el Cuidado y Mantenimiento de las Especies de Flora y el Suelo de las Áreas Naturales</t>
        </is>
      </c>
      <c r="C979" s="5" t="inlineStr">
        <is>
          <t>GESTIÓN AMBIENTAL</t>
        </is>
      </c>
      <c r="D979" s="5" t="inlineStr">
        <is>
          <t>Mensual</t>
        </is>
      </c>
      <c r="E979" s="5" t="inlineStr">
        <is>
          <t>Positivo</t>
        </is>
      </c>
      <c r="F979" s="106" t="n">
        <v>44592</v>
      </c>
      <c r="G979" s="5" t="n">
        <v>2022</v>
      </c>
      <c r="H979" s="5" t="inlineStr">
        <is>
          <t>Enero</t>
        </is>
      </c>
      <c r="I979" s="6" t="inlineStr">
        <is>
          <t>2022-1</t>
        </is>
      </c>
      <c r="J979" s="5" t="n">
        <v>1</v>
      </c>
      <c r="K979" s="9" t="n">
        <v>0</v>
      </c>
      <c r="L979" s="14">
        <f>IFERROR(IF(OR(J979=0,K979=""),"",IF(E979="Positivo",MIN(MAX(K979/J979,0),1.3),MIN(MAX(J979/K979,0),1.3))),"") </f>
        <v/>
      </c>
      <c r="M979" s="14">
        <f>IFERROR(IF(OR(J979=0,K979=""),"",IF(E979="Positivo",MAX(K979/J979,0),MAX(J979/K979,0))),"") </f>
        <v/>
      </c>
      <c r="N979" s="5" t="inlineStr">
        <is>
          <t>%</t>
        </is>
      </c>
      <c r="O979" s="5" t="inlineStr">
        <is>
          <t>%</t>
        </is>
      </c>
      <c r="P979" s="15" t="n">
        <v>0</v>
      </c>
      <c r="Q979" s="15" t="n">
        <v>0</v>
      </c>
      <c r="R979" s="5" t="inlineStr">
        <is>
          <t>225-2022-01-31</t>
        </is>
      </c>
    </row>
    <row r="980">
      <c r="A980" s="26" t="n">
        <v>225</v>
      </c>
      <c r="B980" s="5" t="inlineStr">
        <is>
          <t>Acciones para el Cuidado y Mantenimiento de las Especies de Flora y el Suelo de las Áreas Naturales</t>
        </is>
      </c>
      <c r="C980" s="5" t="inlineStr">
        <is>
          <t>GESTIÓN AMBIENTAL</t>
        </is>
      </c>
      <c r="D980" s="5" t="inlineStr">
        <is>
          <t>Mensual</t>
        </is>
      </c>
      <c r="E980" s="5" t="inlineStr">
        <is>
          <t>Positivo</t>
        </is>
      </c>
      <c r="F980" s="107" t="n">
        <v>44620</v>
      </c>
      <c r="G980" s="5" t="n">
        <v>2022</v>
      </c>
      <c r="H980" s="5" t="inlineStr">
        <is>
          <t>Febrero</t>
        </is>
      </c>
      <c r="I980" s="6" t="inlineStr">
        <is>
          <t>2022-1</t>
        </is>
      </c>
      <c r="J980" s="5" t="n">
        <v>1</v>
      </c>
      <c r="K980" s="9" t="n">
        <v>0</v>
      </c>
      <c r="L980" s="14">
        <f>IFERROR(IF(OR(J980=0,K980=""),"",IF(E980="Positivo",MIN(MAX(K980/J980,0),1.3),MIN(MAX(J980/K980,0),1.3))),"") </f>
        <v/>
      </c>
      <c r="M980" s="14">
        <f>IFERROR(IF(OR(J980=0,K980=""),"",IF(E980="Positivo",MAX(K980/J980,0),MAX(J980/K980,0))),"") </f>
        <v/>
      </c>
      <c r="N980" s="5" t="inlineStr">
        <is>
          <t>%</t>
        </is>
      </c>
      <c r="O980" s="5" t="inlineStr">
        <is>
          <t>%</t>
        </is>
      </c>
      <c r="P980" s="15" t="n">
        <v>0</v>
      </c>
      <c r="Q980" s="15" t="n">
        <v>0</v>
      </c>
      <c r="R980" s="5" t="inlineStr">
        <is>
          <t>225-2022-02-28</t>
        </is>
      </c>
    </row>
    <row r="981">
      <c r="A981" s="5" t="n">
        <v>225</v>
      </c>
      <c r="B981" s="5" t="inlineStr">
        <is>
          <t>Acciones para el Cuidado y Mantenimiento de las Especies de Flora y el Suelo de las Áreas Naturales</t>
        </is>
      </c>
      <c r="C981" s="5" t="inlineStr">
        <is>
          <t>GESTIÓN AMBIENTAL</t>
        </is>
      </c>
      <c r="D981" s="5" t="inlineStr">
        <is>
          <t>Mensual</t>
        </is>
      </c>
      <c r="E981" s="5" t="inlineStr">
        <is>
          <t>Positivo</t>
        </is>
      </c>
      <c r="F981" s="107" t="n">
        <v>44651</v>
      </c>
      <c r="G981" s="5" t="n">
        <v>2022</v>
      </c>
      <c r="H981" s="5" t="inlineStr">
        <is>
          <t>Marzo</t>
        </is>
      </c>
      <c r="I981" s="6" t="inlineStr">
        <is>
          <t>2022-1</t>
        </is>
      </c>
      <c r="J981" s="5" t="n">
        <v>1</v>
      </c>
      <c r="K981" s="5" t="n">
        <v>0</v>
      </c>
      <c r="L981" s="14">
        <f>IFERROR(IF(OR(J981=0,K981=""),"",IF(E981="Positivo",MIN(MAX(K981/J981,0),1.3),MIN(MAX(J981/K981,0),1.3))),"") </f>
        <v/>
      </c>
      <c r="M981" s="14">
        <f>IFERROR(IF(OR(J981=0,K981=""),"",IF(E981="Positivo",MAX(K981/J981,0),MAX(J981/K981,0))),"") </f>
        <v/>
      </c>
      <c r="N981" s="5" t="inlineStr">
        <is>
          <t>%</t>
        </is>
      </c>
      <c r="O981" s="5" t="inlineStr">
        <is>
          <t>%</t>
        </is>
      </c>
      <c r="P981" s="5" t="n">
        <v>0</v>
      </c>
      <c r="Q981" s="5" t="n">
        <v>0</v>
      </c>
      <c r="R981" s="5" t="inlineStr">
        <is>
          <t>225-2022-03-31</t>
        </is>
      </c>
    </row>
    <row r="982">
      <c r="A982" s="21" t="n">
        <v>225</v>
      </c>
      <c r="B982" s="5" t="inlineStr">
        <is>
          <t>Acciones para el Cuidado y Mantenimiento de las Especies de Flora y el Suelo de las Áreas Naturales</t>
        </is>
      </c>
      <c r="C982" s="5" t="inlineStr">
        <is>
          <t>GESTIÓN AMBIENTAL</t>
        </is>
      </c>
      <c r="D982" s="5" t="inlineStr">
        <is>
          <t>Mensual</t>
        </is>
      </c>
      <c r="E982" s="5" t="inlineStr">
        <is>
          <t>Positivo</t>
        </is>
      </c>
      <c r="F982" s="107" t="n">
        <v>44681</v>
      </c>
      <c r="G982" s="5" t="n">
        <v>2022</v>
      </c>
      <c r="H982" s="5" t="inlineStr">
        <is>
          <t>Abril</t>
        </is>
      </c>
      <c r="I982" s="6" t="inlineStr">
        <is>
          <t>2022-1</t>
        </is>
      </c>
      <c r="J982" s="5" t="n">
        <v>1</v>
      </c>
      <c r="K982" s="10" t="n">
        <v>0</v>
      </c>
      <c r="L982" s="14">
        <f>IFERROR(IF(OR(J982=0,K982=""),"",IF(E982="Positivo",MIN(MAX(K982/J982,0),1.3),MIN(MAX(J982/K982,0),1.3))),"") </f>
        <v/>
      </c>
      <c r="M982" s="14">
        <f>IFERROR(IF(OR(J982=0,K982=""),"",IF(E982="Positivo",MAX(K982/J982,0),MAX(J982/K982,0))),"") </f>
        <v/>
      </c>
      <c r="N982" s="5" t="inlineStr">
        <is>
          <t>%</t>
        </is>
      </c>
      <c r="O982" s="5" t="inlineStr">
        <is>
          <t>%</t>
        </is>
      </c>
      <c r="P982" s="15" t="n">
        <v>0</v>
      </c>
      <c r="Q982" s="15" t="n">
        <v>0</v>
      </c>
      <c r="R982" s="5" t="inlineStr">
        <is>
          <t>225-2022-04-30</t>
        </is>
      </c>
    </row>
    <row r="983">
      <c r="A983" s="28" t="n">
        <v>225</v>
      </c>
      <c r="B983" s="5" t="inlineStr">
        <is>
          <t>Acciones para el Cuidado y Mantenimiento de las Especies de Flora y el Suelo de las Áreas Naturales</t>
        </is>
      </c>
      <c r="C983" s="5" t="inlineStr">
        <is>
          <t>GESTIÓN AMBIENTAL</t>
        </is>
      </c>
      <c r="D983" s="5" t="inlineStr">
        <is>
          <t>Mensual</t>
        </is>
      </c>
      <c r="E983" s="5" t="inlineStr">
        <is>
          <t>Positivo</t>
        </is>
      </c>
      <c r="F983" s="107" t="n">
        <v>44712</v>
      </c>
      <c r="G983" s="5" t="n">
        <v>2022</v>
      </c>
      <c r="H983" s="5" t="inlineStr">
        <is>
          <t>Mayo</t>
        </is>
      </c>
      <c r="I983" s="6" t="inlineStr">
        <is>
          <t>2022-1</t>
        </is>
      </c>
      <c r="J983" s="5" t="n">
        <v>1</v>
      </c>
      <c r="K983" s="9" t="n">
        <v>0</v>
      </c>
      <c r="L983" s="14">
        <f>IFERROR(IF(OR(J983=0,K983=""),"",IF(E983="Positivo",MIN(MAX(K983/J983,0),1.3),MIN(MAX(J983/K983,0),1.3))),"") </f>
        <v/>
      </c>
      <c r="M983" s="14">
        <f>IFERROR(IF(OR(J983=0,K983=""),"",IF(E983="Positivo",MAX(K983/J983,0),MAX(J983/K983,0))),"") </f>
        <v/>
      </c>
      <c r="N983" s="5" t="inlineStr">
        <is>
          <t>%</t>
        </is>
      </c>
      <c r="O983" s="5" t="inlineStr">
        <is>
          <t>%</t>
        </is>
      </c>
      <c r="P983" s="15" t="n">
        <v>0</v>
      </c>
      <c r="Q983" s="15" t="n">
        <v>0</v>
      </c>
      <c r="R983" s="5" t="inlineStr">
        <is>
          <t>225-2022-05-31</t>
        </is>
      </c>
    </row>
    <row r="984">
      <c r="A984" s="26" t="n">
        <v>225</v>
      </c>
      <c r="B984" s="5" t="inlineStr">
        <is>
          <t>Acciones para el Cuidado y Mantenimiento de las Especies de Flora y el Suelo de las Áreas Naturales</t>
        </is>
      </c>
      <c r="C984" s="5" t="inlineStr">
        <is>
          <t>GESTIÓN AMBIENTAL</t>
        </is>
      </c>
      <c r="D984" s="5" t="inlineStr">
        <is>
          <t>Mensual</t>
        </is>
      </c>
      <c r="E984" s="5" t="inlineStr">
        <is>
          <t>Positivo</t>
        </is>
      </c>
      <c r="F984" s="107" t="n">
        <v>44742</v>
      </c>
      <c r="G984" s="5" t="n">
        <v>2022</v>
      </c>
      <c r="H984" s="5" t="inlineStr">
        <is>
          <t>Junio</t>
        </is>
      </c>
      <c r="I984" s="6" t="inlineStr">
        <is>
          <t>2022-1</t>
        </is>
      </c>
      <c r="J984" s="5" t="n">
        <v>1</v>
      </c>
      <c r="K984" s="9" t="n">
        <v>0</v>
      </c>
      <c r="L984" s="14">
        <f>IFERROR(IF(OR(J984=0,K984=""),"",IF(E984="Positivo",MIN(MAX(K984/J984,0),1.3),MIN(MAX(J984/K984,0),1.3))),"") </f>
        <v/>
      </c>
      <c r="M984" s="14">
        <f>IFERROR(IF(OR(J984=0,K984=""),"",IF(E984="Positivo",MAX(K984/J984,0),MAX(J984/K984,0))),"") </f>
        <v/>
      </c>
      <c r="N984" s="5" t="inlineStr">
        <is>
          <t>%</t>
        </is>
      </c>
      <c r="O984" s="5" t="inlineStr">
        <is>
          <t>%</t>
        </is>
      </c>
      <c r="P984" s="15" t="n">
        <v>0</v>
      </c>
      <c r="Q984" s="15" t="n">
        <v>0</v>
      </c>
      <c r="R984" s="5" t="inlineStr">
        <is>
          <t>225-2022-06-30</t>
        </is>
      </c>
    </row>
    <row r="985">
      <c r="A985" s="28" t="n">
        <v>225</v>
      </c>
      <c r="B985" s="5" t="inlineStr">
        <is>
          <t>Acciones para el Cuidado y Mantenimiento de las Especies de Flora y el Suelo de las Áreas Naturales</t>
        </is>
      </c>
      <c r="C985" s="5" t="inlineStr">
        <is>
          <t>GESTIÓN AMBIENTAL</t>
        </is>
      </c>
      <c r="D985" s="5" t="inlineStr">
        <is>
          <t>Mensual</t>
        </is>
      </c>
      <c r="E985" s="5" t="inlineStr">
        <is>
          <t>Positivo</t>
        </is>
      </c>
      <c r="F985" s="107" t="n">
        <v>44773</v>
      </c>
      <c r="G985" s="5" t="n">
        <v>2022</v>
      </c>
      <c r="H985" s="5" t="inlineStr">
        <is>
          <t>Julio</t>
        </is>
      </c>
      <c r="I985" s="6" t="inlineStr">
        <is>
          <t>2022-2</t>
        </is>
      </c>
      <c r="J985" s="5" t="n">
        <v>1</v>
      </c>
      <c r="K985" s="9" t="n">
        <v>0</v>
      </c>
      <c r="L985" s="14">
        <f>IFERROR(IF(OR(J985=0,K985=""),"",IF(E985="Positivo",MIN(MAX(K985/J985,0),1.3),MIN(MAX(J985/K985,0),1.3))),"") </f>
        <v/>
      </c>
      <c r="M985" s="14">
        <f>IFERROR(IF(OR(J985=0,K985=""),"",IF(E985="Positivo",MAX(K985/J985,0),MAX(J985/K985,0))),"") </f>
        <v/>
      </c>
      <c r="N985" s="5" t="inlineStr">
        <is>
          <t>%</t>
        </is>
      </c>
      <c r="O985" s="5" t="inlineStr">
        <is>
          <t>%</t>
        </is>
      </c>
      <c r="P985" s="15" t="n">
        <v>0</v>
      </c>
      <c r="Q985" s="15" t="n">
        <v>0</v>
      </c>
      <c r="R985" s="5" t="inlineStr">
        <is>
          <t>225-2022-07-31</t>
        </is>
      </c>
    </row>
    <row r="986">
      <c r="A986" s="28" t="n">
        <v>225</v>
      </c>
      <c r="B986" s="5" t="inlineStr">
        <is>
          <t>Acciones para el Cuidado y Mantenimiento de las Especies de Flora y el Suelo de las Áreas Naturales</t>
        </is>
      </c>
      <c r="C986" s="5" t="inlineStr">
        <is>
          <t>GESTIÓN AMBIENTAL</t>
        </is>
      </c>
      <c r="D986" s="5" t="inlineStr">
        <is>
          <t>Mensual</t>
        </is>
      </c>
      <c r="E986" s="5" t="inlineStr">
        <is>
          <t>Positivo</t>
        </is>
      </c>
      <c r="F986" s="107" t="n">
        <v>44804</v>
      </c>
      <c r="G986" s="5" t="n">
        <v>2022</v>
      </c>
      <c r="H986" s="5" t="inlineStr">
        <is>
          <t>Agosto</t>
        </is>
      </c>
      <c r="I986" s="6" t="inlineStr">
        <is>
          <t>2022-2</t>
        </is>
      </c>
      <c r="J986" s="5" t="n">
        <v>1</v>
      </c>
      <c r="K986" s="9" t="n">
        <v>0</v>
      </c>
      <c r="L986" s="14">
        <f>IFERROR(IF(OR(J986=0,K986=""),"",IF(E986="Positivo",MIN(MAX(K986/J986,0),1.3),MIN(MAX(J986/K986,0),1.3))),"") </f>
        <v/>
      </c>
      <c r="M986" s="14">
        <f>IFERROR(IF(OR(J986=0,K986=""),"",IF(E986="Positivo",MAX(K986/J986,0),MAX(J986/K986,0))),"") </f>
        <v/>
      </c>
      <c r="N986" s="5" t="inlineStr">
        <is>
          <t>%</t>
        </is>
      </c>
      <c r="O986" s="5" t="inlineStr">
        <is>
          <t>%</t>
        </is>
      </c>
      <c r="P986" s="15" t="n">
        <v>0</v>
      </c>
      <c r="Q986" s="15" t="n">
        <v>0</v>
      </c>
      <c r="R986" s="5" t="inlineStr">
        <is>
          <t>225-2022-08-31</t>
        </is>
      </c>
    </row>
    <row r="987">
      <c r="A987" s="26" t="n">
        <v>225</v>
      </c>
      <c r="B987" s="5" t="inlineStr">
        <is>
          <t>Acciones para el Cuidado y Mantenimiento de las Especies de Flora y el Suelo de las Áreas Naturales</t>
        </is>
      </c>
      <c r="C987" s="5" t="inlineStr">
        <is>
          <t>GESTIÓN AMBIENTAL</t>
        </is>
      </c>
      <c r="D987" s="5" t="inlineStr">
        <is>
          <t>Mensual</t>
        </is>
      </c>
      <c r="E987" s="5" t="inlineStr">
        <is>
          <t>Positivo</t>
        </is>
      </c>
      <c r="F987" s="107" t="n">
        <v>44834</v>
      </c>
      <c r="G987" s="5" t="n">
        <v>2022</v>
      </c>
      <c r="H987" s="5" t="inlineStr">
        <is>
          <t>Septiembre</t>
        </is>
      </c>
      <c r="I987" s="6" t="inlineStr">
        <is>
          <t>2022-2</t>
        </is>
      </c>
      <c r="J987" s="5" t="n">
        <v>1</v>
      </c>
      <c r="K987" s="9" t="n">
        <v>0</v>
      </c>
      <c r="L987" s="14">
        <f>IFERROR(IF(OR(J987=0,K987=""),"",IF(E987="Positivo",MIN(MAX(K987/J987,0),1.3),MIN(MAX(J987/K987,0),1.3))),"") </f>
        <v/>
      </c>
      <c r="M987" s="14">
        <f>IFERROR(IF(OR(J987=0,K987=""),"",IF(E987="Positivo",MAX(K987/J987,0),MAX(J987/K987,0))),"") </f>
        <v/>
      </c>
      <c r="N987" s="5" t="inlineStr">
        <is>
          <t>%</t>
        </is>
      </c>
      <c r="O987" s="5" t="inlineStr">
        <is>
          <t>%</t>
        </is>
      </c>
      <c r="P987" s="15" t="n">
        <v>0</v>
      </c>
      <c r="Q987" s="15" t="n">
        <v>0</v>
      </c>
      <c r="R987" s="5" t="inlineStr">
        <is>
          <t>225-2022-09-30</t>
        </is>
      </c>
    </row>
    <row r="988">
      <c r="A988" s="21" t="n">
        <v>225</v>
      </c>
      <c r="B988" s="5" t="inlineStr">
        <is>
          <t>Acciones para el Cuidado y Mantenimiento de las Especies de Flora y el Suelo de las Áreas Naturales</t>
        </is>
      </c>
      <c r="C988" s="5" t="inlineStr">
        <is>
          <t>GESTIÓN AMBIENTAL</t>
        </is>
      </c>
      <c r="D988" s="5" t="inlineStr">
        <is>
          <t>Mensual</t>
        </is>
      </c>
      <c r="E988" s="5" t="inlineStr">
        <is>
          <t>Positivo</t>
        </is>
      </c>
      <c r="F988" s="106" t="n">
        <v>44865</v>
      </c>
      <c r="G988" s="5" t="n">
        <v>2022</v>
      </c>
      <c r="H988" s="5" t="inlineStr">
        <is>
          <t>Octubre</t>
        </is>
      </c>
      <c r="I988" s="6" t="inlineStr">
        <is>
          <t>2022-2</t>
        </is>
      </c>
      <c r="J988" s="5" t="n">
        <v>1</v>
      </c>
      <c r="K988" s="9" t="n">
        <v>0</v>
      </c>
      <c r="L988" s="14">
        <f>IFERROR(IF(OR(J988=0,K988=""),"",IF(E988="Positivo",MIN(MAX(K988/J988,0),1.3),MIN(MAX(J988/K988,0),1.3))),"") </f>
        <v/>
      </c>
      <c r="M988" s="14">
        <f>IFERROR(IF(OR(J988=0,K988=""),"",IF(E988="Positivo",MAX(K988/J988,0),MAX(J988/K988,0))),"") </f>
        <v/>
      </c>
      <c r="N988" s="5" t="inlineStr">
        <is>
          <t>%</t>
        </is>
      </c>
      <c r="O988" s="5" t="inlineStr">
        <is>
          <t>%</t>
        </is>
      </c>
      <c r="P988" s="15" t="n">
        <v>0</v>
      </c>
      <c r="Q988" s="15" t="n">
        <v>0</v>
      </c>
      <c r="R988" s="5" t="inlineStr">
        <is>
          <t>225-2022-10-31</t>
        </is>
      </c>
    </row>
    <row r="989">
      <c r="A989" s="26" t="n">
        <v>225</v>
      </c>
      <c r="B989" s="5" t="inlineStr">
        <is>
          <t>Acciones para el Cuidado y Mantenimiento de las Especies de Flora y el Suelo de las Áreas Naturales</t>
        </is>
      </c>
      <c r="C989" s="5" t="inlineStr">
        <is>
          <t>GESTIÓN AMBIENTAL</t>
        </is>
      </c>
      <c r="D989" s="5" t="inlineStr">
        <is>
          <t>Mensual</t>
        </is>
      </c>
      <c r="E989" s="5" t="inlineStr">
        <is>
          <t>Positivo</t>
        </is>
      </c>
      <c r="F989" s="107" t="n">
        <v>44895</v>
      </c>
      <c r="G989" s="5" t="n">
        <v>2022</v>
      </c>
      <c r="H989" s="5" t="inlineStr">
        <is>
          <t>Noviembre</t>
        </is>
      </c>
      <c r="I989" s="6" t="inlineStr">
        <is>
          <t>2022-2</t>
        </is>
      </c>
      <c r="J989" s="5" t="n">
        <v>1</v>
      </c>
      <c r="K989" s="9" t="n">
        <v>0</v>
      </c>
      <c r="L989" s="14">
        <f>IFERROR(IF(OR(J989=0,K989=""),"",IF(E989="Positivo",MIN(MAX(K989/J989,0),1.3),MIN(MAX(J989/K989,0),1.3))),"") </f>
        <v/>
      </c>
      <c r="M989" s="14">
        <f>IFERROR(IF(OR(J989=0,K989=""),"",IF(E989="Positivo",MAX(K989/J989,0),MAX(J989/K989,0))),"") </f>
        <v/>
      </c>
      <c r="N989" s="5" t="inlineStr">
        <is>
          <t>%</t>
        </is>
      </c>
      <c r="O989" s="5" t="inlineStr">
        <is>
          <t>%</t>
        </is>
      </c>
      <c r="P989" s="15" t="n">
        <v>0</v>
      </c>
      <c r="Q989" s="15" t="n">
        <v>0</v>
      </c>
      <c r="R989" s="5" t="inlineStr">
        <is>
          <t>225-2022-11-30</t>
        </is>
      </c>
    </row>
    <row r="990">
      <c r="A990" s="21" t="n">
        <v>225</v>
      </c>
      <c r="B990" s="5" t="inlineStr">
        <is>
          <t>Acciones para el Cuidado y Mantenimiento de las Especies de Flora y el Suelo de las Áreas Naturales</t>
        </is>
      </c>
      <c r="C990" s="5" t="inlineStr">
        <is>
          <t>GESTIÓN AMBIENTAL</t>
        </is>
      </c>
      <c r="D990" s="5" t="inlineStr">
        <is>
          <t>Mensual</t>
        </is>
      </c>
      <c r="E990" s="5" t="inlineStr">
        <is>
          <t>Positivo</t>
        </is>
      </c>
      <c r="F990" s="106" t="n">
        <v>44926</v>
      </c>
      <c r="G990" s="5" t="n">
        <v>2022</v>
      </c>
      <c r="H990" s="5" t="inlineStr">
        <is>
          <t>Diciembre</t>
        </is>
      </c>
      <c r="I990" s="6" t="inlineStr">
        <is>
          <t>2022-2</t>
        </is>
      </c>
      <c r="J990" s="5" t="n">
        <v>1</v>
      </c>
      <c r="K990" s="9" t="n">
        <v>0</v>
      </c>
      <c r="L990" s="14">
        <f>IFERROR(IF(OR(J990=0,K990=""),"",IF(E990="Positivo",MIN(MAX(K990/J990,0),1.3),MIN(MAX(J990/K990,0),1.3))),"") </f>
        <v/>
      </c>
      <c r="M990" s="14">
        <f>IFERROR(IF(OR(J990=0,K990=""),"",IF(E990="Positivo",MAX(K990/J990,0),MAX(J990/K990,0))),"") </f>
        <v/>
      </c>
      <c r="N990" s="5" t="inlineStr">
        <is>
          <t>%</t>
        </is>
      </c>
      <c r="O990" s="5" t="inlineStr">
        <is>
          <t>%</t>
        </is>
      </c>
      <c r="P990" s="15" t="n">
        <v>0</v>
      </c>
      <c r="Q990" s="15" t="n">
        <v>0</v>
      </c>
      <c r="R990" s="5" t="inlineStr">
        <is>
          <t>225-2022-12-31</t>
        </is>
      </c>
    </row>
    <row r="991">
      <c r="A991" s="21" t="n">
        <v>225</v>
      </c>
      <c r="B991" s="5" t="inlineStr">
        <is>
          <t>Acciones para el Cuidado y Mantenimiento de las Especies de Flora y el Suelo de las Áreas Naturales</t>
        </is>
      </c>
      <c r="C991" s="5" t="inlineStr">
        <is>
          <t>GESTIÓN AMBIENTAL</t>
        </is>
      </c>
      <c r="D991" s="5" t="inlineStr">
        <is>
          <t>Mensual</t>
        </is>
      </c>
      <c r="E991" s="5" t="inlineStr">
        <is>
          <t>Positivo</t>
        </is>
      </c>
      <c r="F991" s="107" t="n">
        <v>44957</v>
      </c>
      <c r="G991" s="5" t="n">
        <v>2023</v>
      </c>
      <c r="H991" s="5" t="inlineStr">
        <is>
          <t>Enero</t>
        </is>
      </c>
      <c r="I991" s="6" t="inlineStr">
        <is>
          <t>2023-1</t>
        </is>
      </c>
      <c r="J991" s="5" t="n">
        <v>1</v>
      </c>
      <c r="K991" s="10" t="n">
        <v>25</v>
      </c>
      <c r="L991" s="14">
        <f>IFERROR(IF(OR(J991=0,K991=""),"",IF(E991="Positivo",MIN(MAX(K991/J991,0),1.3),MIN(MAX(J991/K991,0),1.3))),"") </f>
        <v/>
      </c>
      <c r="M991" s="14">
        <f>IFERROR(IF(OR(J991=0,K991=""),"",IF(E991="Positivo",MAX(K991/J991,0),MAX(J991/K991,0))),"") </f>
        <v/>
      </c>
      <c r="N991" s="5" t="inlineStr">
        <is>
          <t>ENT</t>
        </is>
      </c>
      <c r="O991" s="5" t="inlineStr">
        <is>
          <t>ENT</t>
        </is>
      </c>
      <c r="P991" s="15" t="n">
        <v>0</v>
      </c>
      <c r="Q991" s="15" t="n">
        <v>0</v>
      </c>
      <c r="R991" s="5" t="inlineStr">
        <is>
          <t>225-2023-01-31</t>
        </is>
      </c>
    </row>
    <row r="992">
      <c r="A992" s="26" t="n">
        <v>225</v>
      </c>
      <c r="B992" s="5" t="inlineStr">
        <is>
          <t>Acciones para el Cuidado y Mantenimiento de las Especies de Flora y el Suelo de las Áreas Naturales</t>
        </is>
      </c>
      <c r="C992" s="5" t="inlineStr">
        <is>
          <t>GESTIÓN AMBIENTAL</t>
        </is>
      </c>
      <c r="D992" s="5" t="inlineStr">
        <is>
          <t>Mensual</t>
        </is>
      </c>
      <c r="E992" s="5" t="inlineStr">
        <is>
          <t>Positivo</t>
        </is>
      </c>
      <c r="F992" s="107" t="n">
        <v>44985</v>
      </c>
      <c r="G992" s="5" t="n">
        <v>2023</v>
      </c>
      <c r="H992" s="5" t="inlineStr">
        <is>
          <t>Febrero</t>
        </is>
      </c>
      <c r="I992" s="6" t="inlineStr">
        <is>
          <t>2023-1</t>
        </is>
      </c>
      <c r="J992" s="5" t="n">
        <v>1</v>
      </c>
      <c r="K992" s="9" t="n">
        <v>20</v>
      </c>
      <c r="L992" s="14">
        <f>IFERROR(IF(OR(J992=0,K992=""),"",IF(E992="Positivo",MIN(MAX(K992/J992,0),1.3),MIN(MAX(J992/K992,0),1.3))),"") </f>
        <v/>
      </c>
      <c r="M992" s="14">
        <f>IFERROR(IF(OR(J992=0,K992=""),"",IF(E992="Positivo",MAX(K992/J992,0),MAX(J992/K992,0))),"") </f>
        <v/>
      </c>
      <c r="N992" s="5" t="inlineStr">
        <is>
          <t>ENT</t>
        </is>
      </c>
      <c r="O992" s="5" t="inlineStr">
        <is>
          <t>ENT</t>
        </is>
      </c>
      <c r="P992" s="15" t="n">
        <v>0</v>
      </c>
      <c r="Q992" s="15" t="n">
        <v>0</v>
      </c>
      <c r="R992" s="5" t="inlineStr">
        <is>
          <t>225-2023-02-28</t>
        </is>
      </c>
    </row>
    <row r="993">
      <c r="A993" s="21" t="n">
        <v>225</v>
      </c>
      <c r="B993" s="5" t="inlineStr">
        <is>
          <t>Acciones para el Cuidado y Mantenimiento de las Especies de Flora y el Suelo de las Áreas Naturales</t>
        </is>
      </c>
      <c r="C993" s="5" t="inlineStr">
        <is>
          <t>GESTIÓN AMBIENTAL</t>
        </is>
      </c>
      <c r="D993" s="5" t="inlineStr">
        <is>
          <t>Mensual</t>
        </is>
      </c>
      <c r="E993" s="5" t="inlineStr">
        <is>
          <t>Positivo</t>
        </is>
      </c>
      <c r="F993" s="107" t="n">
        <v>45016</v>
      </c>
      <c r="G993" s="5" t="n">
        <v>2023</v>
      </c>
      <c r="H993" s="5" t="inlineStr">
        <is>
          <t>Marzo</t>
        </is>
      </c>
      <c r="I993" s="6" t="inlineStr">
        <is>
          <t>2023-1</t>
        </is>
      </c>
      <c r="J993" s="5" t="n">
        <v>1</v>
      </c>
      <c r="K993" s="10" t="n">
        <v>19</v>
      </c>
      <c r="L993" s="14">
        <f>IFERROR(IF(OR(J993=0,K993=""),"",IF(E993="Positivo",MIN(MAX(K993/J993,0),1.3),MIN(MAX(J993/K993,0),1.3))),"") </f>
        <v/>
      </c>
      <c r="M993" s="14">
        <f>IFERROR(IF(OR(J993=0,K993=""),"",IF(E993="Positivo",MAX(K993/J993,0),MAX(J993/K993,0))),"") </f>
        <v/>
      </c>
      <c r="N993" s="5" t="inlineStr">
        <is>
          <t>ENT</t>
        </is>
      </c>
      <c r="O993" s="5" t="inlineStr">
        <is>
          <t>ENT</t>
        </is>
      </c>
      <c r="P993" s="15" t="n">
        <v>0</v>
      </c>
      <c r="Q993" s="15" t="n">
        <v>0</v>
      </c>
      <c r="R993" s="5" t="inlineStr">
        <is>
          <t>225-2023-03-31</t>
        </is>
      </c>
    </row>
    <row r="994">
      <c r="A994" s="26" t="n">
        <v>225</v>
      </c>
      <c r="B994" s="5" t="inlineStr">
        <is>
          <t>Acciones para el Cuidado y Mantenimiento de las Especies de Flora y el Suelo de las Áreas Naturales</t>
        </is>
      </c>
      <c r="C994" s="5" t="inlineStr">
        <is>
          <t>GESTIÓN AMBIENTAL</t>
        </is>
      </c>
      <c r="D994" s="5" t="inlineStr">
        <is>
          <t>Mensual</t>
        </is>
      </c>
      <c r="E994" s="5" t="inlineStr">
        <is>
          <t>Positivo</t>
        </is>
      </c>
      <c r="F994" s="107" t="n">
        <v>45046</v>
      </c>
      <c r="G994" s="5" t="n">
        <v>2023</v>
      </c>
      <c r="H994" s="5" t="inlineStr">
        <is>
          <t>Abril</t>
        </is>
      </c>
      <c r="I994" s="6" t="inlineStr">
        <is>
          <t>2023-1</t>
        </is>
      </c>
      <c r="J994" s="5" t="n">
        <v>1</v>
      </c>
      <c r="K994" s="9" t="n">
        <v>20</v>
      </c>
      <c r="L994" s="14">
        <f>IFERROR(IF(OR(J994=0,K994=""),"",IF(E994="Positivo",MIN(MAX(K994/J994,0),1.3),MIN(MAX(J994/K994,0),1.3))),"") </f>
        <v/>
      </c>
      <c r="M994" s="14">
        <f>IFERROR(IF(OR(J994=0,K994=""),"",IF(E994="Positivo",MAX(K994/J994,0),MAX(J994/K994,0))),"") </f>
        <v/>
      </c>
      <c r="N994" s="5" t="inlineStr">
        <is>
          <t>ENT</t>
        </is>
      </c>
      <c r="O994" s="5" t="inlineStr">
        <is>
          <t>ENT</t>
        </is>
      </c>
      <c r="P994" s="15" t="n">
        <v>0</v>
      </c>
      <c r="Q994" s="15" t="n">
        <v>0</v>
      </c>
      <c r="R994" s="5" t="inlineStr">
        <is>
          <t>225-2023-04-30</t>
        </is>
      </c>
    </row>
    <row r="995">
      <c r="A995" s="21" t="n">
        <v>225</v>
      </c>
      <c r="B995" s="5" t="inlineStr">
        <is>
          <t>Acciones para el Cuidado y Mantenimiento de las Especies de Flora y el Suelo de las Áreas Naturales</t>
        </is>
      </c>
      <c r="C995" s="5" t="inlineStr">
        <is>
          <t>GESTIÓN AMBIENTAL</t>
        </is>
      </c>
      <c r="D995" s="5" t="inlineStr">
        <is>
          <t>Mensual</t>
        </is>
      </c>
      <c r="E995" s="5" t="inlineStr">
        <is>
          <t>Positivo</t>
        </is>
      </c>
      <c r="F995" s="107" t="n">
        <v>45077</v>
      </c>
      <c r="G995" s="5" t="n">
        <v>2023</v>
      </c>
      <c r="H995" s="5" t="inlineStr">
        <is>
          <t>Mayo</t>
        </is>
      </c>
      <c r="I995" s="6" t="inlineStr">
        <is>
          <t>2023-1</t>
        </is>
      </c>
      <c r="J995" s="5" t="n">
        <v>1</v>
      </c>
      <c r="K995" s="10" t="n">
        <v>23</v>
      </c>
      <c r="L995" s="14">
        <f>IFERROR(IF(OR(J995=0,K995=""),"",IF(E995="Positivo",MIN(MAX(K995/J995,0),1.3),MIN(MAX(J995/K995,0),1.3))),"") </f>
        <v/>
      </c>
      <c r="M995" s="14">
        <f>IFERROR(IF(OR(J995=0,K995=""),"",IF(E995="Positivo",MAX(K995/J995,0),MAX(J995/K995,0))),"") </f>
        <v/>
      </c>
      <c r="N995" s="5" t="inlineStr">
        <is>
          <t>ENT</t>
        </is>
      </c>
      <c r="O995" s="5" t="inlineStr">
        <is>
          <t>ENT</t>
        </is>
      </c>
      <c r="P995" s="15" t="n">
        <v>0</v>
      </c>
      <c r="Q995" s="15" t="n">
        <v>0</v>
      </c>
      <c r="R995" s="5" t="inlineStr">
        <is>
          <t>225-2023-05-31</t>
        </is>
      </c>
    </row>
    <row r="996">
      <c r="A996" s="26" t="n">
        <v>225</v>
      </c>
      <c r="B996" s="5" t="inlineStr">
        <is>
          <t>Acciones para el Cuidado y Mantenimiento de las Especies de Flora y el Suelo de las Áreas Naturales</t>
        </is>
      </c>
      <c r="C996" s="5" t="inlineStr">
        <is>
          <t>GESTIÓN AMBIENTAL</t>
        </is>
      </c>
      <c r="D996" s="5" t="inlineStr">
        <is>
          <t>Mensual</t>
        </is>
      </c>
      <c r="E996" s="5" t="inlineStr">
        <is>
          <t>Positivo</t>
        </is>
      </c>
      <c r="F996" s="107" t="n">
        <v>45107</v>
      </c>
      <c r="G996" s="5" t="n">
        <v>2023</v>
      </c>
      <c r="H996" s="5" t="inlineStr">
        <is>
          <t>Junio</t>
        </is>
      </c>
      <c r="I996" s="6" t="inlineStr">
        <is>
          <t>2023-1</t>
        </is>
      </c>
      <c r="J996" s="5" t="n">
        <v>1</v>
      </c>
      <c r="K996" s="9" t="n">
        <v>19</v>
      </c>
      <c r="L996" s="74">
        <f>IFERROR(IF(OR(J996=0,K996=""),"",IF(E996="Positivo",MIN(MAX(K996/J996,0),1.3),MIN(MAX(J996/K996,0),1.3))),"") </f>
        <v/>
      </c>
      <c r="M996" s="14">
        <f>IFERROR(IF(OR(J996=0,K996=""),"",IF(E996="Positivo",MAX(K996/J996,0),MAX(J996/K996,0))),"") </f>
        <v/>
      </c>
      <c r="N996" s="5" t="inlineStr">
        <is>
          <t>ENT</t>
        </is>
      </c>
      <c r="O996" s="5" t="inlineStr">
        <is>
          <t>ENT</t>
        </is>
      </c>
      <c r="P996" s="15" t="n">
        <v>0</v>
      </c>
      <c r="Q996" s="15" t="n">
        <v>0</v>
      </c>
      <c r="R996" s="5" t="inlineStr">
        <is>
          <t>225-2023-06-30</t>
        </is>
      </c>
    </row>
    <row r="997">
      <c r="A997" s="21" t="n">
        <v>225</v>
      </c>
      <c r="B997" s="5" t="inlineStr">
        <is>
          <t>Acciones para el Cuidado y Mantenimiento de las Especies de Flora y el Suelo de las Áreas Naturales</t>
        </is>
      </c>
      <c r="C997" s="5" t="inlineStr">
        <is>
          <t>GESTIÓN AMBIENTAL</t>
        </is>
      </c>
      <c r="D997" s="5" t="inlineStr">
        <is>
          <t>Mensual</t>
        </is>
      </c>
      <c r="E997" s="5" t="inlineStr">
        <is>
          <t>Positivo</t>
        </is>
      </c>
      <c r="F997" s="107" t="n">
        <v>45138</v>
      </c>
      <c r="G997" s="5" t="n">
        <v>2023</v>
      </c>
      <c r="H997" s="5" t="inlineStr">
        <is>
          <t>Julio</t>
        </is>
      </c>
      <c r="I997" s="6" t="inlineStr">
        <is>
          <t>2023-2</t>
        </is>
      </c>
      <c r="J997" s="5" t="n">
        <v>1</v>
      </c>
      <c r="K997" s="10" t="n">
        <v>20</v>
      </c>
      <c r="L997" s="14">
        <f>IFERROR(IF(OR(J997=0,K997=""),"",IF(E997="Positivo",MIN(MAX(K997/J997,0),1.3),MIN(MAX(J997/K997,0),1.3))),"") </f>
        <v/>
      </c>
      <c r="M997" s="14">
        <f>IFERROR(IF(OR(J997=0,K997=""),"",IF(E997="Positivo",MAX(K997/J997,0),MAX(J997/K997,0))),"") </f>
        <v/>
      </c>
      <c r="N997" s="5" t="inlineStr">
        <is>
          <t>ENT</t>
        </is>
      </c>
      <c r="O997" s="5" t="inlineStr">
        <is>
          <t>ENT</t>
        </is>
      </c>
      <c r="P997" s="15" t="n">
        <v>0</v>
      </c>
      <c r="Q997" s="15" t="n">
        <v>0</v>
      </c>
      <c r="R997" s="5" t="inlineStr">
        <is>
          <t>225-2023-07-31</t>
        </is>
      </c>
    </row>
    <row r="998">
      <c r="A998" s="21" t="n">
        <v>225</v>
      </c>
      <c r="B998" s="5" t="inlineStr">
        <is>
          <t>Acciones para el Cuidado y Mantenimiento de las Especies de Flora y el Suelo de las Áreas Naturales</t>
        </is>
      </c>
      <c r="C998" s="5" t="inlineStr">
        <is>
          <t>GESTIÓN AMBIENTAL</t>
        </is>
      </c>
      <c r="D998" s="5" t="inlineStr">
        <is>
          <t>Mensual</t>
        </is>
      </c>
      <c r="E998" s="5" t="inlineStr">
        <is>
          <t>Positivo</t>
        </is>
      </c>
      <c r="F998" s="106" t="n">
        <v>45169</v>
      </c>
      <c r="G998" s="5" t="n">
        <v>2023</v>
      </c>
      <c r="H998" s="5" t="inlineStr">
        <is>
          <t>Agosto</t>
        </is>
      </c>
      <c r="I998" s="6" t="inlineStr">
        <is>
          <t>2023-2</t>
        </is>
      </c>
      <c r="J998" s="5" t="n">
        <v>1</v>
      </c>
      <c r="K998" s="94" t="n">
        <v>23</v>
      </c>
      <c r="L998" s="14">
        <f>IFERROR(IF(OR(J998=0,K998=""),"",IF(E998="Positivo",MIN(MAX(K998/J998,0),1.3),MIN(MAX(J998/K998,0),1.3))),"") </f>
        <v/>
      </c>
      <c r="M998" s="14">
        <f>IFERROR(IF(OR(J998=0,K998=""),"",IF(E998="Positivo",MAX(K998/J998,0),MAX(J998/K998,0))),"") </f>
        <v/>
      </c>
      <c r="N998" s="5" t="inlineStr">
        <is>
          <t>ENT</t>
        </is>
      </c>
      <c r="O998" s="5" t="inlineStr">
        <is>
          <t>ENT</t>
        </is>
      </c>
      <c r="P998" s="15" t="n">
        <v>0</v>
      </c>
      <c r="Q998" s="15" t="n">
        <v>0</v>
      </c>
      <c r="R998" s="5" t="inlineStr">
        <is>
          <t>225-2023-08-31</t>
        </is>
      </c>
    </row>
    <row r="999">
      <c r="A999" s="26" t="n">
        <v>225</v>
      </c>
      <c r="B999" s="5" t="inlineStr">
        <is>
          <t>Acciones para el Cuidado y Mantenimiento de las Especies de Flora y el Suelo de las Áreas Naturales</t>
        </is>
      </c>
      <c r="C999" s="5" t="inlineStr">
        <is>
          <t>GESTIÓN AMBIENTAL</t>
        </is>
      </c>
      <c r="D999" s="5" t="inlineStr">
        <is>
          <t>Mensual</t>
        </is>
      </c>
      <c r="E999" s="5" t="inlineStr">
        <is>
          <t>Positivo</t>
        </is>
      </c>
      <c r="F999" s="107" t="n">
        <v>45199</v>
      </c>
      <c r="G999" s="5" t="n">
        <v>2023</v>
      </c>
      <c r="H999" s="5" t="inlineStr">
        <is>
          <t>Septiembre</t>
        </is>
      </c>
      <c r="I999" s="6" t="inlineStr">
        <is>
          <t>2023-2</t>
        </is>
      </c>
      <c r="J999" s="5" t="n">
        <v>1</v>
      </c>
      <c r="K999" s="94" t="n">
        <v>21</v>
      </c>
      <c r="L999" s="14">
        <f>IFERROR(IF(OR(J999=0,K999=""),"",IF(E999="Positivo",MIN(MAX(K999/J999,0),1.3),MIN(MAX(J999/K999,0),1.3))),"") </f>
        <v/>
      </c>
      <c r="M999" s="14">
        <f>IFERROR(IF(OR(J999=0,K999=""),"",IF(E999="Positivo",MAX(K999/J999,0),MAX(J999/K999,0))),"") </f>
        <v/>
      </c>
      <c r="N999" s="5" t="inlineStr">
        <is>
          <t>ENT</t>
        </is>
      </c>
      <c r="O999" s="5" t="inlineStr">
        <is>
          <t>ENT</t>
        </is>
      </c>
      <c r="P999" s="15" t="n">
        <v>0</v>
      </c>
      <c r="Q999" s="15" t="n">
        <v>0</v>
      </c>
      <c r="R999" s="5" t="inlineStr">
        <is>
          <t>225-2023-09-30</t>
        </is>
      </c>
    </row>
    <row r="1000">
      <c r="A1000" s="21" t="n">
        <v>225</v>
      </c>
      <c r="B1000" s="5" t="inlineStr">
        <is>
          <t>Acciones para el Cuidado y Mantenimiento de las Especies de Flora y el Suelo de las Áreas Naturales</t>
        </is>
      </c>
      <c r="C1000" s="5" t="inlineStr">
        <is>
          <t>GESTIÓN AMBIENTAL</t>
        </is>
      </c>
      <c r="D1000" s="5" t="inlineStr">
        <is>
          <t>Mensual</t>
        </is>
      </c>
      <c r="E1000" s="5" t="inlineStr">
        <is>
          <t>Positivo</t>
        </is>
      </c>
      <c r="F1000" s="106" t="n">
        <v>45230</v>
      </c>
      <c r="G1000" s="5" t="n">
        <v>2023</v>
      </c>
      <c r="H1000" s="5" t="inlineStr">
        <is>
          <t>Octubre</t>
        </is>
      </c>
      <c r="I1000" s="6" t="inlineStr">
        <is>
          <t>2023-2</t>
        </is>
      </c>
      <c r="J1000" s="5" t="n">
        <v>1</v>
      </c>
      <c r="K1000" s="94" t="n">
        <v>19</v>
      </c>
      <c r="L1000" s="14">
        <f>IFERROR(IF(OR(J1000=0,K1000=""),"",IF(E1000="Positivo",MIN(MAX(K1000/J1000,0),1.3),MIN(MAX(J1000/K1000,0),1.3))),"") </f>
        <v/>
      </c>
      <c r="M1000" s="14">
        <f>IFERROR(IF(OR(J1000=0,K1000=""),"",IF(E1000="Positivo",MAX(K1000/J1000,0),MAX(J1000/K1000,0))),"") </f>
        <v/>
      </c>
      <c r="N1000" s="5" t="inlineStr">
        <is>
          <t>ENT</t>
        </is>
      </c>
      <c r="O1000" s="5" t="inlineStr">
        <is>
          <t>ENT</t>
        </is>
      </c>
      <c r="P1000" s="15" t="n">
        <v>0</v>
      </c>
      <c r="Q1000" s="15" t="n">
        <v>0</v>
      </c>
      <c r="R1000" s="5" t="inlineStr">
        <is>
          <t>225-2023-10-31</t>
        </is>
      </c>
    </row>
    <row r="1001">
      <c r="A1001" s="21" t="n">
        <v>225</v>
      </c>
      <c r="B1001" s="5" t="inlineStr">
        <is>
          <t>Acciones para el Cuidado y Mantenimiento de las Especies de Flora y el Suelo de las Áreas Naturales</t>
        </is>
      </c>
      <c r="C1001" s="5" t="inlineStr">
        <is>
          <t>GESTIÓN AMBIENTAL</t>
        </is>
      </c>
      <c r="D1001" s="5" t="inlineStr">
        <is>
          <t>Mensual</t>
        </is>
      </c>
      <c r="E1001" s="5" t="inlineStr">
        <is>
          <t>Positivo</t>
        </is>
      </c>
      <c r="F1001" s="107" t="n">
        <v>45260</v>
      </c>
      <c r="G1001" s="5" t="n">
        <v>2023</v>
      </c>
      <c r="H1001" s="5" t="inlineStr">
        <is>
          <t>Noviembre</t>
        </is>
      </c>
      <c r="I1001" s="6" t="inlineStr">
        <is>
          <t>2023-2</t>
        </is>
      </c>
      <c r="J1001" s="5" t="n">
        <v>1</v>
      </c>
      <c r="K1001" s="10" t="n">
        <v>18</v>
      </c>
      <c r="L1001" s="14">
        <f>IFERROR(IF(OR(J1001=0,K1001=""),"",IF(E1001="Positivo",MIN(MAX(K1001/J1001,0),1.3),MIN(MAX(J1001/K1001,0),1.3))),"") </f>
        <v/>
      </c>
      <c r="M1001" s="14">
        <f>IFERROR(IF(OR(J1001=0,K1001=""),"",IF(E1001="Positivo",MAX(K1001/J1001,0),MAX(J1001/K1001,0))),"") </f>
        <v/>
      </c>
      <c r="N1001" s="5" t="inlineStr">
        <is>
          <t>ENT</t>
        </is>
      </c>
      <c r="O1001" s="5" t="inlineStr">
        <is>
          <t>ENT</t>
        </is>
      </c>
      <c r="P1001" s="15" t="n">
        <v>0</v>
      </c>
      <c r="Q1001" s="15" t="n">
        <v>0</v>
      </c>
      <c r="R1001" s="5" t="inlineStr">
        <is>
          <t>225-2023-11-30</t>
        </is>
      </c>
    </row>
    <row r="1002">
      <c r="A1002" s="26" t="n">
        <v>225</v>
      </c>
      <c r="B1002" s="5" t="inlineStr">
        <is>
          <t>Acciones para el Cuidado y Mantenimiento de las Especies de Flora y el Suelo de las Áreas Naturales</t>
        </is>
      </c>
      <c r="C1002" s="5" t="inlineStr">
        <is>
          <t>GESTIÓN AMBIENTAL</t>
        </is>
      </c>
      <c r="D1002" s="5" t="inlineStr">
        <is>
          <t>Mensual</t>
        </is>
      </c>
      <c r="E1002" s="5" t="inlineStr">
        <is>
          <t>Positivo</t>
        </is>
      </c>
      <c r="F1002" s="107" t="n">
        <v>45291</v>
      </c>
      <c r="G1002" s="5" t="n">
        <v>2023</v>
      </c>
      <c r="H1002" s="5" t="inlineStr">
        <is>
          <t>Diciembre</t>
        </is>
      </c>
      <c r="I1002" s="6" t="inlineStr">
        <is>
          <t>2023-2</t>
        </is>
      </c>
      <c r="J1002" s="5" t="n">
        <v>1</v>
      </c>
      <c r="K1002" s="9" t="n">
        <v>18</v>
      </c>
      <c r="L1002" s="14">
        <f>IFERROR(IF(OR(J1002=0,K1002=""),"",IF(E1002="Positivo",MIN(MAX(K1002/J1002,0),1.3),MIN(MAX(J1002/K1002,0),1.3))),"") </f>
        <v/>
      </c>
      <c r="M1002" s="14">
        <f>IFERROR(IF(OR(J1002=0,K1002=""),"",IF(E1002="Positivo",MAX(K1002/J1002,0),MAX(J1002/K1002,0))),"") </f>
        <v/>
      </c>
      <c r="N1002" s="5" t="inlineStr">
        <is>
          <t>ENT</t>
        </is>
      </c>
      <c r="O1002" s="5" t="inlineStr">
        <is>
          <t>ENT</t>
        </is>
      </c>
      <c r="P1002" s="15" t="n">
        <v>0</v>
      </c>
      <c r="Q1002" s="15" t="n">
        <v>0</v>
      </c>
      <c r="R1002" s="5" t="inlineStr">
        <is>
          <t>225-2023-12-31</t>
        </is>
      </c>
    </row>
    <row r="1003">
      <c r="A1003" s="21" t="n">
        <v>225</v>
      </c>
      <c r="B1003" s="5" t="inlineStr">
        <is>
          <t>Acciones para el Cuidado y Mantenimiento de las Especies de Flora y el Suelo de las Áreas Naturales</t>
        </is>
      </c>
      <c r="C1003" s="5" t="inlineStr">
        <is>
          <t>GESTIÓN AMBIENTAL</t>
        </is>
      </c>
      <c r="D1003" s="5" t="inlineStr">
        <is>
          <t>Mensual</t>
        </is>
      </c>
      <c r="E1003" s="5" t="inlineStr">
        <is>
          <t>Positivo</t>
        </is>
      </c>
      <c r="F1003" s="107" t="n">
        <v>45322</v>
      </c>
      <c r="G1003" s="5" t="n">
        <v>2024</v>
      </c>
      <c r="H1003" s="5" t="inlineStr">
        <is>
          <t>Enero</t>
        </is>
      </c>
      <c r="I1003" s="6" t="inlineStr">
        <is>
          <t>2024-1</t>
        </is>
      </c>
      <c r="J1003" s="5" t="n">
        <v>1</v>
      </c>
      <c r="K1003" s="10" t="n">
        <v>20</v>
      </c>
      <c r="L1003" s="14">
        <f>IFERROR(IF(OR(J1003=0,K1003=""),"",IF(E1003="Positivo",MIN(MAX(K1003/J1003,0),1.3),MIN(MAX(J1003/K1003,0),1.3))),"") </f>
        <v/>
      </c>
      <c r="M1003" s="14">
        <f>IFERROR(IF(OR(J1003=0,K1003=""),"",IF(E1003="Positivo",MAX(K1003/J1003,0),MAX(J1003/K1003,0))),"") </f>
        <v/>
      </c>
      <c r="N1003" s="5" t="inlineStr">
        <is>
          <t>ENT</t>
        </is>
      </c>
      <c r="O1003" s="5" t="inlineStr">
        <is>
          <t>ENT</t>
        </is>
      </c>
      <c r="P1003" s="15" t="n">
        <v>0</v>
      </c>
      <c r="Q1003" s="15" t="n">
        <v>0</v>
      </c>
      <c r="R1003" s="5" t="inlineStr">
        <is>
          <t>225-2024-01-31</t>
        </is>
      </c>
    </row>
    <row r="1004">
      <c r="A1004" s="26" t="n">
        <v>225</v>
      </c>
      <c r="B1004" s="5" t="inlineStr">
        <is>
          <t>Acciones para el Cuidado y Mantenimiento de las Especies de Flora y el Suelo de las Áreas Naturales</t>
        </is>
      </c>
      <c r="C1004" s="5" t="inlineStr">
        <is>
          <t>GESTIÓN AMBIENTAL</t>
        </is>
      </c>
      <c r="D1004" s="5" t="inlineStr">
        <is>
          <t>Mensual</t>
        </is>
      </c>
      <c r="E1004" s="5" t="inlineStr">
        <is>
          <t>Positivo</t>
        </is>
      </c>
      <c r="F1004" s="107" t="n">
        <v>45351</v>
      </c>
      <c r="G1004" s="5" t="n">
        <v>2024</v>
      </c>
      <c r="H1004" s="5" t="inlineStr">
        <is>
          <t>Febrero</t>
        </is>
      </c>
      <c r="I1004" s="6" t="inlineStr">
        <is>
          <t>2024-1</t>
        </is>
      </c>
      <c r="J1004" s="5" t="n">
        <v>1</v>
      </c>
      <c r="K1004" s="9" t="n">
        <v>19</v>
      </c>
      <c r="L1004" s="14">
        <f>IFERROR(IF(OR(J1004=0,K1004=""),"",IF(E1004="Positivo",MIN(MAX(K1004/J1004,0),1.3),MIN(MAX(J1004/K1004,0),1.3))),"") </f>
        <v/>
      </c>
      <c r="M1004" s="14">
        <f>IFERROR(IF(OR(J1004=0,K1004=""),"",IF(E1004="Positivo",MAX(K1004/J1004,0),MAX(J1004/K1004,0))),"") </f>
        <v/>
      </c>
      <c r="N1004" s="5" t="inlineStr">
        <is>
          <t>ENT</t>
        </is>
      </c>
      <c r="O1004" s="5" t="inlineStr">
        <is>
          <t>ENT</t>
        </is>
      </c>
      <c r="P1004" s="15" t="n">
        <v>0</v>
      </c>
      <c r="Q1004" s="15" t="n">
        <v>0</v>
      </c>
      <c r="R1004" s="5" t="inlineStr">
        <is>
          <t>225-2024-02-29</t>
        </is>
      </c>
    </row>
    <row r="1005">
      <c r="A1005" s="21" t="n">
        <v>225</v>
      </c>
      <c r="B1005" s="5" t="inlineStr">
        <is>
          <t>Acciones para el Cuidado y Mantenimiento de las Especies de Flora y el Suelo de las Áreas Naturales</t>
        </is>
      </c>
      <c r="C1005" s="5" t="inlineStr">
        <is>
          <t>GESTIÓN AMBIENTAL</t>
        </is>
      </c>
      <c r="D1005" s="5" t="inlineStr">
        <is>
          <t>Mensual</t>
        </is>
      </c>
      <c r="E1005" s="5" t="inlineStr">
        <is>
          <t>Positivo</t>
        </is>
      </c>
      <c r="F1005" s="107" t="n">
        <v>45382</v>
      </c>
      <c r="G1005" s="5" t="n">
        <v>2024</v>
      </c>
      <c r="H1005" s="5" t="inlineStr">
        <is>
          <t>Marzo</t>
        </is>
      </c>
      <c r="I1005" s="6" t="inlineStr">
        <is>
          <t>2024-1</t>
        </is>
      </c>
      <c r="J1005" s="5" t="n">
        <v>1</v>
      </c>
      <c r="K1005" s="10" t="n">
        <v>23</v>
      </c>
      <c r="L1005" s="14">
        <f>IFERROR(IF(OR(J1005=0,K1005=""),"",IF(E1005="Positivo",MIN(MAX(K1005/J1005,0),1.3),MIN(MAX(J1005/K1005,0),1.3))),"") </f>
        <v/>
      </c>
      <c r="M1005" s="14">
        <f>IFERROR(IF(OR(J1005=0,K1005=""),"",IF(E1005="Positivo",MAX(K1005/J1005,0),MAX(J1005/K1005,0))),"") </f>
        <v/>
      </c>
      <c r="N1005" s="5" t="inlineStr">
        <is>
          <t>ENT</t>
        </is>
      </c>
      <c r="O1005" s="5" t="inlineStr">
        <is>
          <t>ENT</t>
        </is>
      </c>
      <c r="P1005" s="15" t="n">
        <v>0</v>
      </c>
      <c r="Q1005" s="15" t="n">
        <v>0</v>
      </c>
      <c r="R1005" s="5" t="inlineStr">
        <is>
          <t>225-2024-03-31</t>
        </is>
      </c>
    </row>
    <row r="1006">
      <c r="A1006" s="21" t="n">
        <v>225</v>
      </c>
      <c r="B1006" s="5" t="inlineStr">
        <is>
          <t>Acciones para el Cuidado y Mantenimiento de las Especies de Flora y el Suelo de las Áreas Naturales</t>
        </is>
      </c>
      <c r="C1006" s="5" t="inlineStr">
        <is>
          <t>GESTIÓN AMBIENTAL</t>
        </is>
      </c>
      <c r="D1006" s="5" t="inlineStr">
        <is>
          <t>Mensual</t>
        </is>
      </c>
      <c r="E1006" s="5" t="inlineStr">
        <is>
          <t>Positivo</t>
        </is>
      </c>
      <c r="F1006" s="107" t="n">
        <v>45412</v>
      </c>
      <c r="G1006" s="5" t="n">
        <v>2024</v>
      </c>
      <c r="H1006" s="5" t="inlineStr">
        <is>
          <t>Abril</t>
        </is>
      </c>
      <c r="I1006" s="6" t="inlineStr">
        <is>
          <t>2024-1</t>
        </is>
      </c>
      <c r="J1006" s="5" t="n">
        <v>1</v>
      </c>
      <c r="K1006" s="10" t="n">
        <v>20</v>
      </c>
      <c r="L1006" s="14">
        <f>IFERROR(IF(OR(J1006=0,K1006=""),"",IF(E1006="Positivo",MIN(MAX(K1006/J1006,0),1.3),MIN(MAX(J1006/K1006,0),1.3))),"") </f>
        <v/>
      </c>
      <c r="M1006" s="14">
        <f>IFERROR(IF(OR(J1006=0,K1006=""),"",IF(E1006="Positivo",MAX(K1006/J1006,0),MAX(J1006/K1006,0))),"") </f>
        <v/>
      </c>
      <c r="N1006" s="5" t="inlineStr">
        <is>
          <t>ENT</t>
        </is>
      </c>
      <c r="O1006" s="5" t="inlineStr">
        <is>
          <t>ENT</t>
        </is>
      </c>
      <c r="P1006" s="15" t="n">
        <v>0</v>
      </c>
      <c r="Q1006" s="15" t="n">
        <v>0</v>
      </c>
      <c r="R1006" s="5" t="inlineStr">
        <is>
          <t>225-2024-04-30</t>
        </is>
      </c>
    </row>
    <row r="1007">
      <c r="A1007" s="26" t="n">
        <v>225</v>
      </c>
      <c r="B1007" s="5" t="inlineStr">
        <is>
          <t>Acciones para el Cuidado y Mantenimiento de las Especies de Flora y el Suelo de las Áreas Naturales</t>
        </is>
      </c>
      <c r="C1007" s="5" t="inlineStr">
        <is>
          <t>GESTIÓN AMBIENTAL</t>
        </is>
      </c>
      <c r="D1007" s="5" t="inlineStr">
        <is>
          <t>Mensual</t>
        </is>
      </c>
      <c r="E1007" s="5" t="inlineStr">
        <is>
          <t>Positivo</t>
        </is>
      </c>
      <c r="F1007" s="107" t="n">
        <v>45443</v>
      </c>
      <c r="G1007" s="5" t="n">
        <v>2024</v>
      </c>
      <c r="H1007" s="5" t="inlineStr">
        <is>
          <t>Mayo</t>
        </is>
      </c>
      <c r="I1007" s="6" t="inlineStr">
        <is>
          <t>2024-1</t>
        </is>
      </c>
      <c r="J1007" s="5" t="n">
        <v>1</v>
      </c>
      <c r="K1007" s="9" t="n">
        <v>20</v>
      </c>
      <c r="L1007" s="14">
        <f>IFERROR(IF(OR(J1007=0,K1007=""),"",IF(E1007="Positivo",MIN(MAX(K1007/J1007,0),1.3),MIN(MAX(J1007/K1007,0),1.3))),"") </f>
        <v/>
      </c>
      <c r="M1007" s="14">
        <f>IFERROR(IF(OR(J1007=0,K1007=""),"",IF(E1007="Positivo",MAX(K1007/J1007,0),MAX(J1007/K1007,0))),"") </f>
        <v/>
      </c>
      <c r="N1007" s="5" t="inlineStr">
        <is>
          <t>ENT</t>
        </is>
      </c>
      <c r="O1007" s="5" t="inlineStr">
        <is>
          <t>ENT</t>
        </is>
      </c>
      <c r="P1007" s="15" t="n">
        <v>0</v>
      </c>
      <c r="Q1007" s="15" t="n">
        <v>0</v>
      </c>
      <c r="R1007" s="5" t="inlineStr">
        <is>
          <t>225-2024-05-31</t>
        </is>
      </c>
    </row>
    <row r="1008">
      <c r="A1008" s="5" t="n">
        <v>225</v>
      </c>
      <c r="B1008" s="5" t="inlineStr">
        <is>
          <t>Acciones para el Cuidado y Mantenimiento de las Especies de Flora y el Suelo de las Áreas Naturales</t>
        </is>
      </c>
      <c r="C1008" s="5" t="inlineStr">
        <is>
          <t>GESTIÓN AMBIENTAL</t>
        </is>
      </c>
      <c r="D1008" s="5" t="inlineStr">
        <is>
          <t>Mensual</t>
        </is>
      </c>
      <c r="E1008" s="5" t="inlineStr">
        <is>
          <t>Positivo</t>
        </is>
      </c>
      <c r="F1008" s="107" t="n">
        <v>45473</v>
      </c>
      <c r="G1008" s="5" t="n">
        <v>2024</v>
      </c>
      <c r="H1008" s="5" t="inlineStr">
        <is>
          <t>Junio</t>
        </is>
      </c>
      <c r="I1008" s="6" t="inlineStr">
        <is>
          <t>2024-1</t>
        </is>
      </c>
      <c r="J1008" s="5" t="n">
        <v>1</v>
      </c>
      <c r="K1008" s="5" t="n">
        <v>21</v>
      </c>
      <c r="L1008" s="14">
        <f>IFERROR(IF(OR(J1008=0,K1008=""),"",IF(E1008="Positivo",MIN(MAX(K1008/J1008,0),1.3),MIN(MAX(J1008/K1008,0),1.3))),"") </f>
        <v/>
      </c>
      <c r="M1008" s="14">
        <f>IFERROR(IF(OR(J1008=0,K1008=""),"",IF(E1008="Positivo",MAX(K1008/J1008,0),MAX(J1008/K1008,0))),"") </f>
        <v/>
      </c>
      <c r="N1008" s="5" t="inlineStr">
        <is>
          <t>ENT</t>
        </is>
      </c>
      <c r="O1008" s="5" t="inlineStr">
        <is>
          <t>ENT</t>
        </is>
      </c>
      <c r="P1008" s="5" t="n">
        <v>0</v>
      </c>
      <c r="Q1008" s="5" t="n">
        <v>0</v>
      </c>
      <c r="R1008" s="5" t="inlineStr">
        <is>
          <t>225-2024-06-30</t>
        </is>
      </c>
    </row>
    <row r="1009">
      <c r="A1009" s="21" t="n">
        <v>225</v>
      </c>
      <c r="B1009" s="5" t="inlineStr">
        <is>
          <t>Acciones para el Cuidado y Mantenimiento de las Especies de Flora y el Suelo de las Áreas Naturales</t>
        </is>
      </c>
      <c r="C1009" s="5" t="inlineStr">
        <is>
          <t>GESTIÓN AMBIENTAL</t>
        </is>
      </c>
      <c r="D1009" s="5" t="inlineStr">
        <is>
          <t>Mensual</t>
        </is>
      </c>
      <c r="E1009" s="5" t="inlineStr">
        <is>
          <t>Positivo</t>
        </is>
      </c>
      <c r="F1009" s="106" t="n">
        <v>45504</v>
      </c>
      <c r="G1009" s="5" t="n">
        <v>2024</v>
      </c>
      <c r="H1009" s="5" t="inlineStr">
        <is>
          <t>Julio</t>
        </is>
      </c>
      <c r="I1009" s="6" t="inlineStr">
        <is>
          <t>2024-2</t>
        </is>
      </c>
      <c r="J1009" s="5" t="n">
        <v>1</v>
      </c>
      <c r="K1009" s="9" t="n">
        <v>20</v>
      </c>
      <c r="L1009" s="14">
        <f>IFERROR(IF(OR(J1009=0,K1009=""),"",IF(E1009="Positivo",MIN(MAX(K1009/J1009,0),1.3),MIN(MAX(J1009/K1009,0),1.3))),"") </f>
        <v/>
      </c>
      <c r="M1009" s="14">
        <f>IFERROR(IF(OR(J1009=0,K1009=""),"",IF(E1009="Positivo",MAX(K1009/J1009,0),MAX(J1009/K1009,0))),"") </f>
        <v/>
      </c>
      <c r="N1009" s="5" t="inlineStr">
        <is>
          <t>ENT</t>
        </is>
      </c>
      <c r="O1009" s="5" t="inlineStr">
        <is>
          <t>ENT</t>
        </is>
      </c>
      <c r="P1009" s="15" t="n">
        <v>0</v>
      </c>
      <c r="Q1009" s="15" t="n">
        <v>0</v>
      </c>
      <c r="R1009" s="5" t="inlineStr">
        <is>
          <t>225-2024-07-31</t>
        </is>
      </c>
    </row>
    <row r="1010">
      <c r="A1010" s="5" t="n">
        <v>225</v>
      </c>
      <c r="B1010" s="5" t="inlineStr">
        <is>
          <t>Acciones para el Cuidado y Mantenimiento de las Especies de Flora y el Suelo de las Áreas Naturales</t>
        </is>
      </c>
      <c r="C1010" s="5" t="inlineStr">
        <is>
          <t>GESTIÓN AMBIENTAL</t>
        </is>
      </c>
      <c r="D1010" s="5" t="inlineStr">
        <is>
          <t>Mensual</t>
        </is>
      </c>
      <c r="E1010" s="5" t="inlineStr">
        <is>
          <t>Positivo</t>
        </is>
      </c>
      <c r="F1010" s="107" t="n">
        <v>45535</v>
      </c>
      <c r="G1010" s="5" t="n">
        <v>2024</v>
      </c>
      <c r="H1010" s="5" t="inlineStr">
        <is>
          <t>Agosto</t>
        </is>
      </c>
      <c r="I1010" s="6" t="inlineStr">
        <is>
          <t>2024-2</t>
        </is>
      </c>
      <c r="J1010" s="5" t="n">
        <v>1</v>
      </c>
      <c r="K1010" s="5" t="n">
        <v>21</v>
      </c>
      <c r="L1010" s="14">
        <f>IFERROR(IF(OR(J1010=0,K1010=""),"",IF(E1010="Positivo",MIN(MAX(K1010/J1010,0),1.3),MIN(MAX(J1010/K1010,0),1.3))),"") </f>
        <v/>
      </c>
      <c r="M1010" s="14">
        <f>IFERROR(IF(OR(J1010=0,K1010=""),"",IF(E1010="Positivo",MAX(K1010/J1010,0),MAX(J1010/K1010,0))),"") </f>
        <v/>
      </c>
      <c r="N1010" s="5" t="inlineStr">
        <is>
          <t>ENT</t>
        </is>
      </c>
      <c r="O1010" s="5" t="inlineStr">
        <is>
          <t>ENT</t>
        </is>
      </c>
      <c r="P1010" s="5" t="n">
        <v>0</v>
      </c>
      <c r="Q1010" s="5" t="n">
        <v>0</v>
      </c>
      <c r="R1010" s="5" t="inlineStr">
        <is>
          <t>225-2024-08-31</t>
        </is>
      </c>
    </row>
    <row r="1011">
      <c r="A1011" s="21" t="n">
        <v>225</v>
      </c>
      <c r="B1011" s="5" t="inlineStr">
        <is>
          <t>Acciones para el Cuidado y Mantenimiento de las Especies de Flora y el Suelo de las Áreas Naturales</t>
        </is>
      </c>
      <c r="C1011" s="5" t="inlineStr">
        <is>
          <t>GESTIÓN AMBIENTAL</t>
        </is>
      </c>
      <c r="D1011" s="5" t="inlineStr">
        <is>
          <t>Mensual</t>
        </is>
      </c>
      <c r="E1011" s="5" t="inlineStr">
        <is>
          <t>Positivo</t>
        </is>
      </c>
      <c r="F1011" s="107" t="n">
        <v>45565</v>
      </c>
      <c r="G1011" s="5" t="n">
        <v>2024</v>
      </c>
      <c r="H1011" s="5" t="inlineStr">
        <is>
          <t>Septiembre</t>
        </is>
      </c>
      <c r="I1011" s="6" t="inlineStr">
        <is>
          <t>2024-2</t>
        </is>
      </c>
      <c r="J1011" s="5" t="n">
        <v>1</v>
      </c>
      <c r="K1011" s="10" t="n">
        <v>22</v>
      </c>
      <c r="L1011" s="14">
        <f>IFERROR(IF(OR(J1011=0,K1011=""),"",IF(E1011="Positivo",MIN(MAX(K1011/J1011,0),1.3),MIN(MAX(J1011/K1011,0),1.3))),"") </f>
        <v/>
      </c>
      <c r="M1011" s="14">
        <f>IFERROR(IF(OR(J1011=0,K1011=""),"",IF(E1011="Positivo",MAX(K1011/J1011,0),MAX(J1011/K1011,0))),"") </f>
        <v/>
      </c>
      <c r="N1011" s="5" t="inlineStr">
        <is>
          <t>ENT</t>
        </is>
      </c>
      <c r="O1011" s="5" t="inlineStr">
        <is>
          <t>ENT</t>
        </is>
      </c>
      <c r="P1011" s="15" t="n">
        <v>0</v>
      </c>
      <c r="Q1011" s="15" t="n">
        <v>0</v>
      </c>
      <c r="R1011" s="5" t="inlineStr">
        <is>
          <t>225-2024-09-30</t>
        </is>
      </c>
    </row>
    <row r="1012">
      <c r="A1012" s="21" t="n">
        <v>225</v>
      </c>
      <c r="B1012" s="5" t="inlineStr">
        <is>
          <t>Acciones para el Cuidado y Mantenimiento de las Especies de Flora y el Suelo de las Áreas Naturales</t>
        </is>
      </c>
      <c r="C1012" s="5" t="inlineStr">
        <is>
          <t>GESTIÓN AMBIENTAL</t>
        </is>
      </c>
      <c r="D1012" s="5" t="inlineStr">
        <is>
          <t>Mensual</t>
        </is>
      </c>
      <c r="E1012" s="5" t="inlineStr">
        <is>
          <t>Positivo</t>
        </is>
      </c>
      <c r="F1012" s="107" t="n">
        <v>45596</v>
      </c>
      <c r="G1012" s="5" t="n">
        <v>2024</v>
      </c>
      <c r="H1012" s="5" t="inlineStr">
        <is>
          <t>Octubre</t>
        </is>
      </c>
      <c r="I1012" s="6" t="inlineStr">
        <is>
          <t>2024-2</t>
        </is>
      </c>
      <c r="J1012" s="5" t="n">
        <v>1</v>
      </c>
      <c r="K1012" s="9" t="n">
        <v>20</v>
      </c>
      <c r="L1012" s="14">
        <f>IFERROR(IF(OR(J1012=0,K1012=""),"",IF(E1012="Positivo",MIN(MAX(K1012/J1012,0),1.3),MIN(MAX(J1012/K1012,0),1.3))),"") </f>
        <v/>
      </c>
      <c r="M1012" s="14">
        <f>IFERROR(IF(OR(J1012=0,K1012=""),"",IF(E1012="Positivo",MAX(K1012/J1012,0),MAX(J1012/K1012,0))),"") </f>
        <v/>
      </c>
      <c r="N1012" s="5" t="inlineStr">
        <is>
          <t>ENT</t>
        </is>
      </c>
      <c r="O1012" s="5" t="inlineStr">
        <is>
          <t>ENT</t>
        </is>
      </c>
      <c r="P1012" s="15" t="n">
        <v>0</v>
      </c>
      <c r="Q1012" s="15" t="n">
        <v>0</v>
      </c>
      <c r="R1012" s="5" t="inlineStr">
        <is>
          <t>225-2024-10-31</t>
        </is>
      </c>
    </row>
    <row r="1013">
      <c r="A1013" s="21" t="n">
        <v>225</v>
      </c>
      <c r="B1013" s="5" t="inlineStr">
        <is>
          <t>Acciones para el Cuidado y Mantenimiento de las Especies de Flora y el Suelo de las Áreas Naturales</t>
        </is>
      </c>
      <c r="C1013" s="5" t="inlineStr">
        <is>
          <t>GESTIÓN AMBIENTAL</t>
        </is>
      </c>
      <c r="D1013" s="5" t="inlineStr">
        <is>
          <t>Mensual</t>
        </is>
      </c>
      <c r="E1013" s="5" t="inlineStr">
        <is>
          <t>Positivo</t>
        </is>
      </c>
      <c r="F1013" s="107" t="n">
        <v>45626</v>
      </c>
      <c r="G1013" s="5" t="n">
        <v>2024</v>
      </c>
      <c r="H1013" s="5" t="inlineStr">
        <is>
          <t>Noviembre</t>
        </is>
      </c>
      <c r="I1013" s="6" t="inlineStr">
        <is>
          <t>2024-2</t>
        </is>
      </c>
      <c r="J1013" s="5" t="n">
        <v>1</v>
      </c>
      <c r="K1013" s="9" t="n">
        <v>22</v>
      </c>
      <c r="L1013" s="14">
        <f>IFERROR(IF(OR(J1013=0,K1013=""),"",IF(E1013="Positivo",MIN(MAX(K1013/J1013,0),1.3),MIN(MAX(J1013/K1013,0),1.3))),"") </f>
        <v/>
      </c>
      <c r="M1013" s="14">
        <f>IFERROR(IF(OR(J1013=0,K1013=""),"",IF(E1013="Positivo",MAX(K1013/J1013,0),MAX(J1013/K1013,0))),"") </f>
        <v/>
      </c>
      <c r="N1013" s="5" t="inlineStr">
        <is>
          <t>ENT</t>
        </is>
      </c>
      <c r="O1013" s="5" t="inlineStr">
        <is>
          <t>ENT</t>
        </is>
      </c>
      <c r="P1013" s="15" t="n">
        <v>0</v>
      </c>
      <c r="Q1013" s="15" t="n">
        <v>0</v>
      </c>
      <c r="R1013" s="5" t="inlineStr">
        <is>
          <t>225-2024-11-30</t>
        </is>
      </c>
    </row>
    <row r="1014">
      <c r="A1014" s="28" t="n">
        <v>225</v>
      </c>
      <c r="B1014" s="5" t="inlineStr">
        <is>
          <t>Acciones para el Cuidado y Mantenimiento de las Especies de Flora y el Suelo de las Áreas Naturales</t>
        </is>
      </c>
      <c r="C1014" s="5" t="inlineStr">
        <is>
          <t>GESTIÓN AMBIENTAL</t>
        </is>
      </c>
      <c r="D1014" s="5" t="inlineStr">
        <is>
          <t>Mensual</t>
        </is>
      </c>
      <c r="E1014" s="5" t="inlineStr">
        <is>
          <t>Positivo</t>
        </is>
      </c>
      <c r="F1014" s="107" t="n">
        <v>45657</v>
      </c>
      <c r="G1014" s="5" t="n">
        <v>2024</v>
      </c>
      <c r="H1014" s="5" t="inlineStr">
        <is>
          <t>Diciembre</t>
        </is>
      </c>
      <c r="I1014" s="6" t="inlineStr">
        <is>
          <t>2024-2</t>
        </is>
      </c>
      <c r="J1014" s="5" t="n">
        <v>1</v>
      </c>
      <c r="K1014" s="9" t="n">
        <v>18</v>
      </c>
      <c r="L1014" s="14">
        <f>IFERROR(IF(OR(J1014=0,K1014=""),"",IF(E1014="Positivo",MIN(MAX(K1014/J1014,0),1.3),MIN(MAX(J1014/K1014,0),1.3))),"") </f>
        <v/>
      </c>
      <c r="M1014" s="14">
        <f>IFERROR(IF(OR(J1014=0,K1014=""),"",IF(E1014="Positivo",MAX(K1014/J1014,0),MAX(J1014/K1014,0))),"") </f>
        <v/>
      </c>
      <c r="N1014" s="5" t="inlineStr">
        <is>
          <t>ENT</t>
        </is>
      </c>
      <c r="O1014" s="5" t="inlineStr">
        <is>
          <t>ENT</t>
        </is>
      </c>
      <c r="P1014" s="15" t="n">
        <v>0</v>
      </c>
      <c r="Q1014" s="15" t="n">
        <v>0</v>
      </c>
      <c r="R1014" s="5" t="inlineStr">
        <is>
          <t>225-2024-12-31</t>
        </is>
      </c>
    </row>
    <row r="1015">
      <c r="A1015" s="26" t="n">
        <v>225</v>
      </c>
      <c r="B1015" s="5" t="inlineStr">
        <is>
          <t>Acciones para el Cuidado y Mantenimiento de las Especies de Flora y el Suelo de las Áreas Naturales</t>
        </is>
      </c>
      <c r="C1015" s="5" t="inlineStr">
        <is>
          <t>GESTIÓN AMBIENTAL</t>
        </is>
      </c>
      <c r="D1015" s="5" t="inlineStr">
        <is>
          <t>Mensual</t>
        </is>
      </c>
      <c r="E1015" s="5" t="inlineStr">
        <is>
          <t>Positivo</t>
        </is>
      </c>
      <c r="F1015" s="107" t="n">
        <v>45688</v>
      </c>
      <c r="G1015" s="5" t="n">
        <v>2025</v>
      </c>
      <c r="H1015" s="5" t="inlineStr">
        <is>
          <t>Enero</t>
        </is>
      </c>
      <c r="I1015" s="6" t="inlineStr">
        <is>
          <t>2025-1</t>
        </is>
      </c>
      <c r="J1015" s="5" t="n">
        <v>1</v>
      </c>
      <c r="K1015" s="9" t="n">
        <v>22</v>
      </c>
      <c r="L1015" s="14">
        <f>IFERROR(IF(OR(J1015=0,K1015=""),"",IF(E1015="Positivo",MIN(MAX(K1015/J1015,0),1.3),MIN(MAX(J1015/K1015,0),1.3))),"") </f>
        <v/>
      </c>
      <c r="M1015" s="14">
        <f>IFERROR(IF(OR(J1015=0,K1015=""),"",IF(E1015="Positivo",MAX(K1015/J1015,0),MAX(J1015/K1015,0))),"") </f>
        <v/>
      </c>
      <c r="N1015" s="5" t="inlineStr">
        <is>
          <t>%</t>
        </is>
      </c>
      <c r="O1015" s="5" t="inlineStr">
        <is>
          <t>%</t>
        </is>
      </c>
      <c r="P1015" s="15" t="n">
        <v>0</v>
      </c>
      <c r="Q1015" s="15" t="n">
        <v>0</v>
      </c>
      <c r="R1015" s="5" t="inlineStr">
        <is>
          <t>225-2025-01-31</t>
        </is>
      </c>
    </row>
    <row r="1016">
      <c r="A1016" s="21" t="n">
        <v>225</v>
      </c>
      <c r="B1016" s="5" t="inlineStr">
        <is>
          <t>Acciones para el Cuidado y Mantenimiento de las Especies de Flora y el Suelo de las Áreas Naturales</t>
        </is>
      </c>
      <c r="C1016" s="5" t="inlineStr">
        <is>
          <t>GESTIÓN AMBIENTAL</t>
        </is>
      </c>
      <c r="D1016" s="5" t="inlineStr">
        <is>
          <t>Mensual</t>
        </is>
      </c>
      <c r="E1016" s="5" t="inlineStr">
        <is>
          <t>Positivo</t>
        </is>
      </c>
      <c r="F1016" s="107" t="n">
        <v>45716</v>
      </c>
      <c r="G1016" s="5" t="n">
        <v>2025</v>
      </c>
      <c r="H1016" s="5" t="inlineStr">
        <is>
          <t>Febrero</t>
        </is>
      </c>
      <c r="I1016" s="6" t="inlineStr">
        <is>
          <t>2025-1</t>
        </is>
      </c>
      <c r="J1016" s="5" t="n">
        <v>1</v>
      </c>
      <c r="K1016" s="10" t="n">
        <v>20</v>
      </c>
      <c r="L1016" s="14">
        <f>IFERROR(IF(OR(J1016=0,K1016=""),"",IF(E1016="Positivo",MIN(MAX(K1016/J1016,0),1.3),MIN(MAX(J1016/K1016,0),1.3))),"") </f>
        <v/>
      </c>
      <c r="M1016" s="14">
        <f>IFERROR(IF(OR(J1016=0,K1016=""),"",IF(E1016="Positivo",MAX(K1016/J1016,0),MAX(J1016/K1016,0))),"") </f>
        <v/>
      </c>
      <c r="N1016" s="5" t="inlineStr">
        <is>
          <t>%</t>
        </is>
      </c>
      <c r="O1016" s="5" t="inlineStr">
        <is>
          <t>%</t>
        </is>
      </c>
      <c r="P1016" s="15" t="n">
        <v>0</v>
      </c>
      <c r="Q1016" s="15" t="n">
        <v>0</v>
      </c>
      <c r="R1016" s="5" t="inlineStr">
        <is>
          <t>225-2025-02-28</t>
        </is>
      </c>
    </row>
    <row r="1017">
      <c r="A1017" s="5" t="n">
        <v>225</v>
      </c>
      <c r="B1017" s="5" t="inlineStr">
        <is>
          <t>Acciones para el Cuidado y Mantenimiento de las Especies de Flora y el Suelo de las Áreas Naturales</t>
        </is>
      </c>
      <c r="C1017" s="5" t="inlineStr">
        <is>
          <t>GESTIÓN AMBIENTAL</t>
        </is>
      </c>
      <c r="D1017" s="5" t="inlineStr">
        <is>
          <t>Mensual</t>
        </is>
      </c>
      <c r="E1017" s="5" t="inlineStr">
        <is>
          <t>Positivo</t>
        </is>
      </c>
      <c r="F1017" s="107" t="n">
        <v>45747</v>
      </c>
      <c r="G1017" s="5" t="n">
        <v>2025</v>
      </c>
      <c r="H1017" s="5" t="inlineStr">
        <is>
          <t>Marzo</t>
        </is>
      </c>
      <c r="I1017" s="6" t="inlineStr">
        <is>
          <t>2025-1</t>
        </is>
      </c>
      <c r="J1017" s="5" t="n">
        <v>1</v>
      </c>
      <c r="K1017" s="5" t="n">
        <v>21</v>
      </c>
      <c r="L1017" s="14">
        <f>IFERROR(IF(OR(J1017=0,K1017=""),"",IF(E1017="Positivo",MIN(MAX(K1017/J1017,0),1.3),MIN(MAX(J1017/K1017,0),1.3))),"") </f>
        <v/>
      </c>
      <c r="M1017" s="14">
        <f>IFERROR(IF(OR(J1017=0,K1017=""),"",IF(E1017="Positivo",MAX(K1017/J1017,0),MAX(J1017/K1017,0))),"") </f>
        <v/>
      </c>
      <c r="N1017" s="5" t="inlineStr">
        <is>
          <t>%</t>
        </is>
      </c>
      <c r="O1017" s="5" t="inlineStr">
        <is>
          <t>%</t>
        </is>
      </c>
      <c r="P1017" s="5" t="n">
        <v>0</v>
      </c>
      <c r="Q1017" s="5" t="n">
        <v>0</v>
      </c>
      <c r="R1017" s="5" t="inlineStr">
        <is>
          <t>225-2025-03-31</t>
        </is>
      </c>
    </row>
    <row r="1018">
      <c r="A1018" s="21" t="n">
        <v>225</v>
      </c>
      <c r="B1018" s="5" t="inlineStr">
        <is>
          <t>Acciones para el Cuidado y Mantenimiento de las Especies de Flora y el Suelo de las Áreas Naturales</t>
        </is>
      </c>
      <c r="C1018" s="5" t="inlineStr">
        <is>
          <t>GESTIÓN AMBIENTAL</t>
        </is>
      </c>
      <c r="D1018" s="5" t="inlineStr">
        <is>
          <t>Mensual</t>
        </is>
      </c>
      <c r="E1018" s="5" t="inlineStr">
        <is>
          <t>Positivo</t>
        </is>
      </c>
      <c r="F1018" s="107" t="n">
        <v>45777</v>
      </c>
      <c r="G1018" s="5" t="n">
        <v>2025</v>
      </c>
      <c r="H1018" s="5" t="inlineStr">
        <is>
          <t>Abril</t>
        </is>
      </c>
      <c r="I1018" s="6" t="inlineStr">
        <is>
          <t>2025-1</t>
        </is>
      </c>
      <c r="J1018" s="5" t="n">
        <v>1</v>
      </c>
      <c r="K1018" s="10" t="n">
        <v>26</v>
      </c>
      <c r="L1018" s="14">
        <f>IFERROR(IF(OR(J1018=0,K1018=""),"",IF(E1018="Positivo",MIN(MAX(K1018/J1018,0),1.3),MIN(MAX(J1018/K1018,0),1.3))),"") </f>
        <v/>
      </c>
      <c r="M1018" s="14">
        <f>IFERROR(IF(OR(J1018=0,K1018=""),"",IF(E1018="Positivo",MAX(K1018/J1018,0),MAX(J1018/K1018,0))),"") </f>
        <v/>
      </c>
      <c r="N1018" s="5" t="inlineStr">
        <is>
          <t>%</t>
        </is>
      </c>
      <c r="O1018" s="5" t="inlineStr">
        <is>
          <t>%</t>
        </is>
      </c>
      <c r="P1018" s="15" t="n">
        <v>0</v>
      </c>
      <c r="Q1018" s="15" t="n">
        <v>0</v>
      </c>
      <c r="R1018" s="5" t="inlineStr">
        <is>
          <t>225-2025-04-30</t>
        </is>
      </c>
    </row>
    <row r="1019">
      <c r="A1019" s="21" t="n">
        <v>225</v>
      </c>
      <c r="B1019" s="5" t="inlineStr">
        <is>
          <t>Acciones para el Cuidado y Mantenimiento de las Especies de Flora y el Suelo de las Áreas Naturales</t>
        </is>
      </c>
      <c r="C1019" s="5" t="inlineStr">
        <is>
          <t>GESTIÓN AMBIENTAL</t>
        </is>
      </c>
      <c r="D1019" s="5" t="inlineStr">
        <is>
          <t>Mensual</t>
        </is>
      </c>
      <c r="E1019" s="5" t="inlineStr">
        <is>
          <t>Positivo</t>
        </is>
      </c>
      <c r="F1019" s="107" t="n">
        <v>45808</v>
      </c>
      <c r="G1019" s="5" t="n">
        <v>2025</v>
      </c>
      <c r="H1019" s="5" t="inlineStr">
        <is>
          <t>Mayo</t>
        </is>
      </c>
      <c r="I1019" s="6" t="inlineStr">
        <is>
          <t>2025-1</t>
        </is>
      </c>
      <c r="J1019" s="5" t="n">
        <v>1</v>
      </c>
      <c r="K1019" s="10" t="n">
        <v>28</v>
      </c>
      <c r="L1019" s="14">
        <f>IFERROR(IF(OR(J1019=0,K1019=""),"",IF(E1019="Positivo",MIN(MAX(K1019/J1019,0),1.3),MIN(MAX(J1019/K1019,0),1.3))),"") </f>
        <v/>
      </c>
      <c r="M1019" s="14">
        <f>IFERROR(IF(OR(J1019=0,K1019=""),"",IF(E1019="Positivo",MAX(K1019/J1019,0),MAX(J1019/K1019,0))),"") </f>
        <v/>
      </c>
      <c r="N1019" s="5" t="inlineStr">
        <is>
          <t>%</t>
        </is>
      </c>
      <c r="O1019" s="5" t="inlineStr">
        <is>
          <t>%</t>
        </is>
      </c>
      <c r="P1019" s="15" t="n">
        <v>0</v>
      </c>
      <c r="Q1019" s="15" t="n">
        <v>0</v>
      </c>
      <c r="R1019" s="5" t="inlineStr">
        <is>
          <t>225-2025-05-31</t>
        </is>
      </c>
    </row>
    <row r="1020">
      <c r="A1020" s="21" t="n">
        <v>225</v>
      </c>
      <c r="B1020" s="5" t="inlineStr">
        <is>
          <t>Acciones para el Cuidado y Mantenimiento de las Especies de Flora y el Suelo de las Áreas Naturales</t>
        </is>
      </c>
      <c r="C1020" s="5" t="inlineStr">
        <is>
          <t>GESTIÓN AMBIENTAL</t>
        </is>
      </c>
      <c r="D1020" s="5" t="inlineStr">
        <is>
          <t>Mensual</t>
        </is>
      </c>
      <c r="E1020" s="5" t="inlineStr">
        <is>
          <t>Positivo</t>
        </is>
      </c>
      <c r="F1020" s="106" t="n">
        <v>45838</v>
      </c>
      <c r="G1020" s="5" t="n">
        <v>2025</v>
      </c>
      <c r="H1020" s="5" t="inlineStr">
        <is>
          <t>Junio</t>
        </is>
      </c>
      <c r="I1020" s="6" t="inlineStr">
        <is>
          <t>2025-1</t>
        </is>
      </c>
      <c r="J1020" s="73" t="n">
        <v>1</v>
      </c>
      <c r="K1020" s="9" t="n">
        <v>26</v>
      </c>
      <c r="L1020" s="14">
        <f>IFERROR(IF(OR(J1020=0,K1020=""),"",IF(E1020="Positivo",MIN(MAX(K1020/J1020,0),1.3),MIN(MAX(J1020/K1020,0),1.3))),"") </f>
        <v/>
      </c>
      <c r="M1020" s="14">
        <f>IFERROR(IF(OR(J1020=0,K1020=""),"",IF(E1020="Positivo",MAX(K1020/J1020,0),MAX(J1020/K1020,0))),"") </f>
        <v/>
      </c>
      <c r="N1020" s="5" t="inlineStr">
        <is>
          <t>%</t>
        </is>
      </c>
      <c r="O1020" s="5" t="inlineStr">
        <is>
          <t>%</t>
        </is>
      </c>
      <c r="P1020" s="15" t="n">
        <v>0</v>
      </c>
      <c r="Q1020" s="15" t="n">
        <v>0</v>
      </c>
      <c r="R1020" s="5" t="inlineStr">
        <is>
          <t>225-2025-06-30</t>
        </is>
      </c>
    </row>
    <row r="1021">
      <c r="A1021" s="26" t="n">
        <v>225</v>
      </c>
      <c r="B1021" s="5" t="inlineStr">
        <is>
          <t>Acciones para el Cuidado y Mantenimiento de las Especies de Flora y el Suelo de las Áreas Naturales</t>
        </is>
      </c>
      <c r="C1021" s="5" t="inlineStr">
        <is>
          <t>GESTIÓN AMBIENTAL</t>
        </is>
      </c>
      <c r="D1021" s="5" t="inlineStr">
        <is>
          <t>Mensual</t>
        </is>
      </c>
      <c r="E1021" s="5" t="inlineStr">
        <is>
          <t>Positivo</t>
        </is>
      </c>
      <c r="F1021" s="107" t="n">
        <v>45869</v>
      </c>
      <c r="G1021" s="5" t="n">
        <v>2025</v>
      </c>
      <c r="H1021" s="5" t="inlineStr">
        <is>
          <t>Julio</t>
        </is>
      </c>
      <c r="I1021" s="6" t="inlineStr">
        <is>
          <t>2025-2</t>
        </is>
      </c>
      <c r="J1021" s="73" t="n">
        <v>1</v>
      </c>
      <c r="K1021" s="9" t="n">
        <v>18</v>
      </c>
      <c r="L1021" s="14">
        <f>IFERROR(IF(OR(J1021=0,K1021=""),"",IF(E1021="Positivo",MIN(MAX(K1021/J1021,0),1.3),MIN(MAX(J1021/K1021,0),1.3))),"") </f>
        <v/>
      </c>
      <c r="M1021" s="14">
        <f>IFERROR(IF(OR(J1021=0,K1021=""),"",IF(E1021="Positivo",MAX(K1021/J1021,0),MAX(J1021/K1021,0))),"") </f>
        <v/>
      </c>
      <c r="N1021" s="5" t="inlineStr">
        <is>
          <t>%</t>
        </is>
      </c>
      <c r="O1021" s="5" t="inlineStr">
        <is>
          <t>%</t>
        </is>
      </c>
      <c r="P1021" s="15" t="n">
        <v>0</v>
      </c>
      <c r="Q1021" s="15" t="n">
        <v>0</v>
      </c>
      <c r="R1021" s="5" t="inlineStr">
        <is>
          <t>225-2025-07-31</t>
        </is>
      </c>
    </row>
    <row r="1022">
      <c r="A1022" s="5" t="n">
        <v>225</v>
      </c>
      <c r="B1022" s="5" t="inlineStr">
        <is>
          <t>Acciones para el Cuidado y Mantenimiento de las Especies de Flora y el Suelo de las Áreas Naturales</t>
        </is>
      </c>
      <c r="C1022" s="5" t="inlineStr">
        <is>
          <t>GESTIÓN AMBIENTAL</t>
        </is>
      </c>
      <c r="D1022" s="5" t="inlineStr">
        <is>
          <t>Mensual</t>
        </is>
      </c>
      <c r="E1022" s="5" t="inlineStr">
        <is>
          <t>Positivo</t>
        </is>
      </c>
      <c r="F1022" s="107" t="n">
        <v>45900</v>
      </c>
      <c r="G1022" s="5" t="n">
        <v>2025</v>
      </c>
      <c r="H1022" s="5" t="inlineStr">
        <is>
          <t>Agosto</t>
        </is>
      </c>
      <c r="I1022" s="6" t="inlineStr">
        <is>
          <t>2025-2</t>
        </is>
      </c>
      <c r="J1022" s="73" t="n">
        <v>1</v>
      </c>
      <c r="K1022" s="9" t="n">
        <v>17</v>
      </c>
      <c r="L1022" s="14">
        <f>IFERROR(IF(OR(J1022=0,K1022=""),"",IF(E1022="Positivo",MIN(MAX(K1022/J1022,0),1.3),MIN(MAX(J1022/K1022,0),1.3))),"") </f>
        <v/>
      </c>
      <c r="M1022" s="14">
        <f>IFERROR(IF(OR(J1022=0,K1022=""),"",IF(E1022="Positivo",MAX(K1022/J1022,0),MAX(J1022/K1022,0))),"") </f>
        <v/>
      </c>
      <c r="N1022" s="5" t="inlineStr">
        <is>
          <t>%</t>
        </is>
      </c>
      <c r="O1022" s="5" t="inlineStr">
        <is>
          <t>%</t>
        </is>
      </c>
      <c r="P1022" s="5" t="n">
        <v>0</v>
      </c>
      <c r="Q1022" s="5" t="n">
        <v>0</v>
      </c>
      <c r="R1022" s="5" t="inlineStr">
        <is>
          <t>225-2025-08-31</t>
        </is>
      </c>
    </row>
    <row r="1023">
      <c r="A1023" s="21" t="n">
        <v>225</v>
      </c>
      <c r="B1023" s="5" t="inlineStr">
        <is>
          <t>Acciones para el Cuidado y Mantenimiento de las Especies de Flora y el Suelo de las Áreas Naturales</t>
        </is>
      </c>
      <c r="C1023" s="5" t="inlineStr">
        <is>
          <t>GESTIÓN AMBIENTAL</t>
        </is>
      </c>
      <c r="D1023" s="5" t="inlineStr">
        <is>
          <t>Mensual</t>
        </is>
      </c>
      <c r="E1023" s="5" t="inlineStr">
        <is>
          <t>Positivo</t>
        </is>
      </c>
      <c r="F1023" s="107" t="n">
        <v>45930</v>
      </c>
      <c r="G1023" s="5" t="n">
        <v>2025</v>
      </c>
      <c r="H1023" s="5" t="inlineStr">
        <is>
          <t>Septiembre</t>
        </is>
      </c>
      <c r="I1023" s="6" t="inlineStr">
        <is>
          <t>2025-2</t>
        </is>
      </c>
      <c r="J1023" s="73" t="n">
        <v>1</v>
      </c>
      <c r="K1023" s="9" t="n">
        <v>19</v>
      </c>
      <c r="L1023" s="14">
        <f>IFERROR(IF(OR(J1023=0,K1023=""),"",IF(E1023="Positivo",MIN(MAX(K1023/J1023,0),1.3),MIN(MAX(J1023/K1023,0),1.3))),"") </f>
        <v/>
      </c>
      <c r="M1023" s="14">
        <f>IFERROR(IF(OR(J1023=0,K1023=""),"",IF(E1023="Positivo",MAX(K1023/J1023,0),MAX(J1023/K1023,0))),"") </f>
        <v/>
      </c>
      <c r="N1023" s="5" t="inlineStr">
        <is>
          <t>%</t>
        </is>
      </c>
      <c r="O1023" s="5" t="inlineStr">
        <is>
          <t>%</t>
        </is>
      </c>
      <c r="P1023" s="15" t="n">
        <v>0</v>
      </c>
      <c r="Q1023" s="15" t="n">
        <v>0</v>
      </c>
      <c r="R1023" s="5" t="inlineStr">
        <is>
          <t>225-2025-09-30</t>
        </is>
      </c>
    </row>
    <row r="1024">
      <c r="A1024" s="21" t="n">
        <v>225</v>
      </c>
      <c r="B1024" s="5" t="inlineStr">
        <is>
          <t>Acciones para el Cuidado y Mantenimiento de las Especies de Flora y el Suelo de las Áreas Naturales</t>
        </is>
      </c>
      <c r="C1024" s="5" t="inlineStr">
        <is>
          <t>GESTIÓN AMBIENTAL</t>
        </is>
      </c>
      <c r="D1024" s="5" t="inlineStr">
        <is>
          <t>Mensual</t>
        </is>
      </c>
      <c r="E1024" s="5" t="inlineStr">
        <is>
          <t>Positivo</t>
        </is>
      </c>
      <c r="F1024" s="106" t="n">
        <v>45961</v>
      </c>
      <c r="G1024" s="5" t="n">
        <v>2025</v>
      </c>
      <c r="H1024" s="5" t="inlineStr">
        <is>
          <t>Octubre</t>
        </is>
      </c>
      <c r="I1024" s="6" t="inlineStr">
        <is>
          <t>2025-2</t>
        </is>
      </c>
      <c r="J1024" s="5" t="n">
        <v>1</v>
      </c>
      <c r="K1024" s="9" t="n">
        <v>11</v>
      </c>
      <c r="L1024" s="14">
        <f>IFERROR(IF(OR(J1024=0,K1024=""),"",IF(E1024="Positivo",MIN(MAX(K1024/J1024,0),1.3),MIN(MAX(J1024/K1024,0),1.3))),"") </f>
        <v/>
      </c>
      <c r="M1024" s="14">
        <f>IFERROR(IF(OR(J1024=0,K1024=""),"",IF(E1024="Positivo",MAX(K1024/J1024,0),MAX(J1024/K1024,0))),"") </f>
        <v/>
      </c>
      <c r="N1024" s="5" t="inlineStr">
        <is>
          <t>%</t>
        </is>
      </c>
      <c r="O1024" s="5" t="inlineStr">
        <is>
          <t>%</t>
        </is>
      </c>
      <c r="P1024" s="15" t="n">
        <v>0</v>
      </c>
      <c r="Q1024" s="15" t="n">
        <v>0</v>
      </c>
      <c r="R1024" s="5" t="inlineStr">
        <is>
          <t>225-2025-10-31</t>
        </is>
      </c>
    </row>
    <row r="1025">
      <c r="A1025" s="26" t="n">
        <v>225</v>
      </c>
      <c r="B1025" s="5" t="inlineStr">
        <is>
          <t>Acciones para el Cuidado y Mantenimiento de las Especies de Flora y el Suelo de las Áreas Naturales</t>
        </is>
      </c>
      <c r="C1025" s="5" t="inlineStr">
        <is>
          <t>GESTIÓN AMBIENTAL</t>
        </is>
      </c>
      <c r="D1025" s="5" t="inlineStr">
        <is>
          <t>Mensual</t>
        </is>
      </c>
      <c r="E1025" s="5" t="inlineStr">
        <is>
          <t>Positivo</t>
        </is>
      </c>
      <c r="F1025" s="107" t="n">
        <v>45991</v>
      </c>
      <c r="G1025" s="5" t="n">
        <v>2025</v>
      </c>
      <c r="H1025" s="5" t="inlineStr">
        <is>
          <t>Noviembre</t>
        </is>
      </c>
      <c r="I1025" s="6" t="inlineStr">
        <is>
          <t>2025-2</t>
        </is>
      </c>
      <c r="J1025" s="5" t="n">
        <v>1</v>
      </c>
      <c r="K1025" s="9" t="n">
        <v>25</v>
      </c>
      <c r="L1025" s="14">
        <f>IFERROR(IF(OR(J1025=0,K1025=""),"",IF(E1025="Positivo",MIN(MAX(K1025/J1025,0),1.3),MIN(MAX(J1025/K1025,0),1.3))),"") </f>
        <v/>
      </c>
      <c r="M1025" s="14">
        <f>IFERROR(IF(OR(J1025=0,K1025=""),"",IF(E1025="Positivo",MAX(K1025/J1025,0),MAX(J1025/K1025,0))),"") </f>
        <v/>
      </c>
      <c r="N1025" s="5" t="inlineStr">
        <is>
          <t>%</t>
        </is>
      </c>
      <c r="O1025" s="5" t="inlineStr">
        <is>
          <t>%</t>
        </is>
      </c>
      <c r="P1025" s="15" t="n">
        <v>0</v>
      </c>
      <c r="Q1025" s="15" t="n">
        <v>0</v>
      </c>
      <c r="R1025" s="5" t="inlineStr">
        <is>
          <t>225-2025-11-30</t>
        </is>
      </c>
    </row>
    <row r="1026">
      <c r="A1026" s="5" t="n">
        <v>225</v>
      </c>
      <c r="B1026" s="5" t="inlineStr">
        <is>
          <t>Acciones para el Cuidado y Mantenimiento de las Especies de Flora y el Suelo de las Áreas Naturales</t>
        </is>
      </c>
      <c r="C1026" s="5" t="inlineStr">
        <is>
          <t>GESTIÓN AMBIENTAL</t>
        </is>
      </c>
      <c r="D1026" s="5" t="inlineStr">
        <is>
          <t>Mensual</t>
        </is>
      </c>
      <c r="E1026" s="5" t="inlineStr">
        <is>
          <t>Positivo</t>
        </is>
      </c>
      <c r="F1026" s="107" t="n">
        <v>46022</v>
      </c>
      <c r="G1026" s="5" t="n">
        <v>2025</v>
      </c>
      <c r="H1026" s="5" t="inlineStr">
        <is>
          <t>Diciembre</t>
        </is>
      </c>
      <c r="I1026" s="6" t="inlineStr">
        <is>
          <t>2025-2</t>
        </is>
      </c>
      <c r="J1026" s="5" t="n">
        <v>1</v>
      </c>
      <c r="K1026" s="5" t="n">
        <v>0</v>
      </c>
      <c r="L1026" s="14">
        <f>IFERROR(IF(OR(J1026=0,K1026=""),"",IF(E1026="Positivo",MIN(MAX(K1026/J1026,0),1.3),MIN(MAX(J1026/K1026,0),1.3))),"") </f>
        <v/>
      </c>
      <c r="M1026" s="14">
        <f>IFERROR(IF(OR(J1026=0,K1026=""),"",IF(E1026="Positivo",MAX(K1026/J1026,0),MAX(J1026/K1026,0))),"") </f>
        <v/>
      </c>
      <c r="N1026" s="5" t="inlineStr">
        <is>
          <t>%</t>
        </is>
      </c>
      <c r="O1026" s="5" t="inlineStr">
        <is>
          <t>%</t>
        </is>
      </c>
      <c r="P1026" s="5" t="n">
        <v>0</v>
      </c>
      <c r="Q1026" s="5" t="n">
        <v>0</v>
      </c>
      <c r="R1026" s="5" t="inlineStr">
        <is>
          <t>225-2025-12-31</t>
        </is>
      </c>
    </row>
    <row r="1027">
      <c r="A1027" s="26" t="n">
        <v>226</v>
      </c>
      <c r="B1027" s="5" t="inlineStr">
        <is>
          <t>Generación de Gases de Efecto Invernadero</t>
        </is>
      </c>
      <c r="C1027" s="5" t="inlineStr">
        <is>
          <t>GESTIÓN AMBIENTAL</t>
        </is>
      </c>
      <c r="D1027" s="5" t="inlineStr">
        <is>
          <t>Anual</t>
        </is>
      </c>
      <c r="E1027" s="5" t="inlineStr">
        <is>
          <t>Positivo</t>
        </is>
      </c>
      <c r="F1027" s="107" t="n">
        <v>44926</v>
      </c>
      <c r="G1027" s="5" t="n">
        <v>2022</v>
      </c>
      <c r="H1027" s="5" t="inlineStr">
        <is>
          <t>Diciembre</t>
        </is>
      </c>
      <c r="I1027" s="6" t="inlineStr">
        <is>
          <t>2022-2</t>
        </is>
      </c>
      <c r="J1027" s="5" t="n">
        <v>2</v>
      </c>
      <c r="K1027" s="9" t="n">
        <v>476.4899959564209</v>
      </c>
      <c r="L1027" s="14">
        <f>IFERROR(IF(OR(J1027=0,K1027=""),"",IF(E1027="Positivo",MIN(MAX(K1027/J1027,0),1.3),MIN(MAX(J1027/K1027,0),1.3))),"") </f>
        <v/>
      </c>
      <c r="M1027" s="14">
        <f>IFERROR(IF(OR(J1027=0,K1027=""),"",IF(E1027="Positivo",MAX(K1027/J1027,0),MAX(J1027/K1027,0))),"") </f>
        <v/>
      </c>
      <c r="N1027" s="5" t="inlineStr">
        <is>
          <t>ENT</t>
        </is>
      </c>
      <c r="O1027" s="17" t="inlineStr">
        <is>
          <t>ENT</t>
        </is>
      </c>
      <c r="P1027" s="15" t="n">
        <v>0</v>
      </c>
      <c r="Q1027" s="15" t="n">
        <v>0</v>
      </c>
      <c r="R1027" s="5" t="inlineStr">
        <is>
          <t>226-2022-12-31</t>
        </is>
      </c>
    </row>
    <row r="1028">
      <c r="A1028" s="26" t="n">
        <v>226</v>
      </c>
      <c r="B1028" s="5" t="inlineStr">
        <is>
          <t>Generación de Gases de Efecto Invernadero</t>
        </is>
      </c>
      <c r="C1028" s="5" t="inlineStr">
        <is>
          <t>GESTIÓN AMBIENTAL</t>
        </is>
      </c>
      <c r="D1028" s="5" t="inlineStr">
        <is>
          <t>Anual</t>
        </is>
      </c>
      <c r="E1028" s="5" t="inlineStr">
        <is>
          <t>Positivo</t>
        </is>
      </c>
      <c r="F1028" s="107" t="n">
        <v>45291</v>
      </c>
      <c r="G1028" s="5" t="n">
        <v>2023</v>
      </c>
      <c r="H1028" s="5" t="inlineStr">
        <is>
          <t>Diciembre</t>
        </is>
      </c>
      <c r="I1028" s="6" t="inlineStr">
        <is>
          <t>2023-2</t>
        </is>
      </c>
      <c r="J1028" s="5" t="n">
        <v>2</v>
      </c>
      <c r="K1028" s="9" t="n">
        <v>622.6900000000001</v>
      </c>
      <c r="L1028" s="14">
        <f>IFERROR(IF(OR(J1028=0,K1028=""),"",IF(E1028="Positivo",MIN(MAX(K1028/J1028,0),1.3),MIN(MAX(J1028/K1028,0),1.3))),"") </f>
        <v/>
      </c>
      <c r="M1028" s="14">
        <f>IFERROR(IF(OR(J1028=0,K1028=""),"",IF(E1028="Positivo",MAX(K1028/J1028,0),MAX(J1028/K1028,0))),"") </f>
        <v/>
      </c>
      <c r="N1028" s="5" t="inlineStr">
        <is>
          <t>%</t>
        </is>
      </c>
      <c r="O1028" s="17" t="inlineStr">
        <is>
          <t>%</t>
        </is>
      </c>
      <c r="P1028" s="15" t="n">
        <v>0</v>
      </c>
      <c r="Q1028" s="15" t="n">
        <v>0</v>
      </c>
      <c r="R1028" s="5" t="inlineStr">
        <is>
          <t>226-2023-12-31</t>
        </is>
      </c>
    </row>
    <row r="1029">
      <c r="A1029" s="21" t="n">
        <v>226</v>
      </c>
      <c r="B1029" s="5" t="inlineStr">
        <is>
          <t>Generación de Gases de Efecto Invernadero</t>
        </is>
      </c>
      <c r="C1029" s="5" t="inlineStr">
        <is>
          <t>GESTIÓN AMBIENTAL</t>
        </is>
      </c>
      <c r="D1029" s="5" t="inlineStr">
        <is>
          <t>Anual</t>
        </is>
      </c>
      <c r="E1029" s="5" t="inlineStr">
        <is>
          <t>Positivo</t>
        </is>
      </c>
      <c r="F1029" s="107" t="n">
        <v>45657</v>
      </c>
      <c r="G1029" s="5" t="n">
        <v>2024</v>
      </c>
      <c r="H1029" s="5" t="inlineStr">
        <is>
          <t>Diciembre</t>
        </is>
      </c>
      <c r="I1029" s="6" t="inlineStr">
        <is>
          <t>2024-2</t>
        </is>
      </c>
      <c r="J1029" s="5" t="n">
        <v>2</v>
      </c>
      <c r="K1029" s="10" t="n">
        <v>3531.11</v>
      </c>
      <c r="L1029" s="14">
        <f>IFERROR(IF(OR(J1029=0,K1029=""),"",IF(E1029="Positivo",MIN(MAX(K1029/J1029,0),1.3),MIN(MAX(J1029/K1029,0),1.3))),"") </f>
        <v/>
      </c>
      <c r="M1029" s="14">
        <f>IFERROR(IF(OR(J1029=0,K1029=""),"",IF(E1029="Positivo",MAX(K1029/J1029,0),MAX(J1029/K1029,0))),"") </f>
        <v/>
      </c>
      <c r="N1029" s="5" t="inlineStr">
        <is>
          <t>%</t>
        </is>
      </c>
      <c r="O1029" s="5" t="inlineStr">
        <is>
          <t>%</t>
        </is>
      </c>
      <c r="P1029" s="15" t="n">
        <v>0</v>
      </c>
      <c r="Q1029" s="15" t="n">
        <v>0</v>
      </c>
      <c r="R1029" s="5" t="inlineStr">
        <is>
          <t>226-2024-12-31</t>
        </is>
      </c>
    </row>
    <row r="1030">
      <c r="A1030" s="21" t="n">
        <v>226</v>
      </c>
      <c r="B1030" s="5" t="inlineStr">
        <is>
          <t>Generación de Gases de Efecto Invernadero</t>
        </is>
      </c>
      <c r="C1030" s="5" t="inlineStr">
        <is>
          <t>GESTIÓN AMBIENTAL</t>
        </is>
      </c>
      <c r="D1030" s="5" t="inlineStr">
        <is>
          <t>Anual</t>
        </is>
      </c>
      <c r="E1030" s="5" t="inlineStr">
        <is>
          <t>Positivo</t>
        </is>
      </c>
      <c r="F1030" s="107" t="n">
        <v>46022</v>
      </c>
      <c r="G1030" s="5" t="n">
        <v>2025</v>
      </c>
      <c r="H1030" s="5" t="inlineStr">
        <is>
          <t>Diciembre</t>
        </is>
      </c>
      <c r="I1030" s="6" t="inlineStr">
        <is>
          <t>2025-2</t>
        </is>
      </c>
      <c r="J1030" s="5" t="n">
        <v>2</v>
      </c>
      <c r="K1030" s="9" t="n"/>
      <c r="L1030" s="14" t="n"/>
      <c r="M1030" s="14" t="n"/>
      <c r="N1030" s="5" t="inlineStr">
        <is>
          <t>%</t>
        </is>
      </c>
      <c r="O1030" s="5" t="inlineStr">
        <is>
          <t>No Aplica</t>
        </is>
      </c>
      <c r="P1030" s="15" t="n">
        <v>0</v>
      </c>
      <c r="Q1030" s="15" t="n">
        <v>0</v>
      </c>
      <c r="R1030" s="5" t="inlineStr">
        <is>
          <t>226-2025-12-31</t>
        </is>
      </c>
      <c r="S1030" t="inlineStr">
        <is>
          <t>No Aplica</t>
        </is>
      </c>
    </row>
    <row r="1031">
      <c r="A1031" s="21" t="n">
        <v>227</v>
      </c>
      <c r="B1031" s="5" t="inlineStr">
        <is>
          <t>Generación de  Gases de Efecto Invernadero per Cápita</t>
        </is>
      </c>
      <c r="C1031" s="5" t="inlineStr">
        <is>
          <t>GESTIÓN AMBIENTAL</t>
        </is>
      </c>
      <c r="D1031" s="5" t="inlineStr">
        <is>
          <t>Anual</t>
        </is>
      </c>
      <c r="E1031" s="5" t="inlineStr">
        <is>
          <t>Negativo</t>
        </is>
      </c>
      <c r="F1031" s="107" t="n">
        <v>44926</v>
      </c>
      <c r="G1031" s="5" t="n">
        <v>2022</v>
      </c>
      <c r="H1031" s="5" t="inlineStr">
        <is>
          <t>Diciembre</t>
        </is>
      </c>
      <c r="I1031" s="6" t="inlineStr">
        <is>
          <t>2022-2</t>
        </is>
      </c>
      <c r="J1031" s="5" t="n">
        <v>0.3</v>
      </c>
      <c r="K1031" s="9" t="n">
        <v>0.01</v>
      </c>
      <c r="L1031" s="14">
        <f>IFERROR(IF(OR(J1031=0,K1031=""),"",IF(E1031="Positivo",MIN(MAX(K1031/J1031,0),1.3),MIN(MAX(J1031/K1031,0),1.3))),"") </f>
        <v/>
      </c>
      <c r="M1031" s="14">
        <f>IFERROR(IF(OR(J1031=0,K1031=""),"",IF(E1031="Positivo",MAX(K1031/J1031,0),MAX(J1031/K1031,0))),"") </f>
        <v/>
      </c>
      <c r="N1031" s="5" t="inlineStr">
        <is>
          <t>ENT</t>
        </is>
      </c>
      <c r="O1031" s="5" t="inlineStr">
        <is>
          <t>ENT</t>
        </is>
      </c>
      <c r="P1031" s="15" t="n">
        <v>0</v>
      </c>
      <c r="Q1031" s="15" t="n">
        <v>0</v>
      </c>
      <c r="R1031" s="5" t="inlineStr">
        <is>
          <t>227-2022-12-31</t>
        </is>
      </c>
    </row>
    <row r="1032">
      <c r="A1032" s="28" t="n">
        <v>227</v>
      </c>
      <c r="B1032" s="5" t="inlineStr">
        <is>
          <t>Generación de  Gases de Efecto Invernadero per Cápita</t>
        </is>
      </c>
      <c r="C1032" s="5" t="inlineStr">
        <is>
          <t>GESTIÓN AMBIENTAL</t>
        </is>
      </c>
      <c r="D1032" s="5" t="inlineStr">
        <is>
          <t>Anual</t>
        </is>
      </c>
      <c r="E1032" s="5" t="inlineStr">
        <is>
          <t>Negativo</t>
        </is>
      </c>
      <c r="F1032" s="107" t="n">
        <v>45291</v>
      </c>
      <c r="G1032" s="5" t="n">
        <v>2023</v>
      </c>
      <c r="H1032" s="5" t="inlineStr">
        <is>
          <t>Diciembre</t>
        </is>
      </c>
      <c r="I1032" s="6" t="inlineStr">
        <is>
          <t>2023-2</t>
        </is>
      </c>
      <c r="J1032" s="5" t="n">
        <v>0.3</v>
      </c>
      <c r="K1032" s="9" t="n">
        <v>0.01</v>
      </c>
      <c r="L1032" s="14">
        <f>IFERROR(IF(OR(J1032=0,K1032=""),"",IF(E1032="Positivo",MIN(MAX(K1032/J1032,0),1.3),MIN(MAX(J1032/K1032,0),1.3))),"") </f>
        <v/>
      </c>
      <c r="M1032" s="14">
        <f>IFERROR(IF(OR(J1032=0,K1032=""),"",IF(E1032="Positivo",MAX(K1032/J1032,0),MAX(J1032/K1032,0))),"") </f>
        <v/>
      </c>
      <c r="N1032" s="5" t="inlineStr">
        <is>
          <t>%</t>
        </is>
      </c>
      <c r="O1032" s="5" t="inlineStr">
        <is>
          <t>%</t>
        </is>
      </c>
      <c r="P1032" s="15" t="n">
        <v>0</v>
      </c>
      <c r="Q1032" s="15" t="n">
        <v>0</v>
      </c>
      <c r="R1032" s="5" t="inlineStr">
        <is>
          <t>227-2023-12-31</t>
        </is>
      </c>
    </row>
    <row r="1033">
      <c r="A1033" s="26" t="n">
        <v>227</v>
      </c>
      <c r="B1033" s="5" t="inlineStr">
        <is>
          <t>Generación de  Gases de Efecto Invernadero per Cápita</t>
        </is>
      </c>
      <c r="C1033" s="5" t="inlineStr">
        <is>
          <t>GESTIÓN AMBIENTAL</t>
        </is>
      </c>
      <c r="D1033" s="5" t="inlineStr">
        <is>
          <t>Anual</t>
        </is>
      </c>
      <c r="E1033" s="5" t="inlineStr">
        <is>
          <t>Negativo</t>
        </is>
      </c>
      <c r="F1033" s="107" t="n">
        <v>45657</v>
      </c>
      <c r="G1033" s="5" t="n">
        <v>2024</v>
      </c>
      <c r="H1033" s="5" t="inlineStr">
        <is>
          <t>Diciembre</t>
        </is>
      </c>
      <c r="I1033" s="6" t="inlineStr">
        <is>
          <t>2024-2</t>
        </is>
      </c>
      <c r="J1033" s="5" t="n">
        <v>0.3</v>
      </c>
      <c r="K1033" s="9" t="n">
        <v>3531.11</v>
      </c>
      <c r="L1033" s="14">
        <f>IFERROR(IF(OR(J1033=0,K1033=""),"",IF(E1033="Positivo",MIN(MAX(K1033/J1033,0),1.3),MIN(MAX(J1033/K1033,0),1.3))),"") </f>
        <v/>
      </c>
      <c r="M1033" s="14">
        <f>IFERROR(IF(OR(J1033=0,K1033=""),"",IF(E1033="Positivo",MAX(K1033/J1033,0),MAX(J1033/K1033,0))),"") </f>
        <v/>
      </c>
      <c r="N1033" s="5" t="n"/>
      <c r="O1033" s="5" t="n"/>
      <c r="P1033" s="15" t="n">
        <v>0</v>
      </c>
      <c r="Q1033" s="15" t="n">
        <v>0</v>
      </c>
      <c r="R1033" s="5" t="inlineStr">
        <is>
          <t>227-2024-12-31</t>
        </is>
      </c>
    </row>
    <row r="1034">
      <c r="A1034" s="21" t="n">
        <v>227</v>
      </c>
      <c r="B1034" s="5" t="inlineStr">
        <is>
          <t>Generación de  Gases de Efecto Invernadero per Cápita</t>
        </is>
      </c>
      <c r="C1034" s="5" t="inlineStr">
        <is>
          <t>GESTIÓN AMBIENTAL</t>
        </is>
      </c>
      <c r="D1034" s="5" t="inlineStr">
        <is>
          <t>Anual</t>
        </is>
      </c>
      <c r="E1034" s="5" t="inlineStr">
        <is>
          <t>Negativo</t>
        </is>
      </c>
      <c r="F1034" s="107" t="n">
        <v>46022</v>
      </c>
      <c r="G1034" s="5" t="n">
        <v>2025</v>
      </c>
      <c r="H1034" s="5" t="inlineStr">
        <is>
          <t>Diciembre</t>
        </is>
      </c>
      <c r="I1034" s="6" t="inlineStr">
        <is>
          <t>2025-2</t>
        </is>
      </c>
      <c r="J1034" s="5" t="n">
        <v>0.3</v>
      </c>
      <c r="K1034" s="10" t="n"/>
      <c r="L1034" s="14" t="n"/>
      <c r="M1034" s="14" t="n"/>
      <c r="N1034" s="5" t="inlineStr">
        <is>
          <t>%</t>
        </is>
      </c>
      <c r="O1034" s="5" t="inlineStr">
        <is>
          <t>No Aplica</t>
        </is>
      </c>
      <c r="P1034" s="15" t="n">
        <v>0</v>
      </c>
      <c r="Q1034" s="15" t="n">
        <v>0</v>
      </c>
      <c r="R1034" s="5" t="inlineStr">
        <is>
          <t>227-2025-12-31</t>
        </is>
      </c>
      <c r="S1034" t="inlineStr">
        <is>
          <t>No Aplica</t>
        </is>
      </c>
    </row>
    <row r="1035">
      <c r="A1035" s="5" t="n">
        <v>228</v>
      </c>
      <c r="B1035" s="5" t="inlineStr">
        <is>
          <t>Compensación de Gases de Efecto Invernadero</t>
        </is>
      </c>
      <c r="C1035" s="5" t="inlineStr">
        <is>
          <t>GESTIÓN AMBIENTAL</t>
        </is>
      </c>
      <c r="D1035" s="5" t="inlineStr">
        <is>
          <t>Anual</t>
        </is>
      </c>
      <c r="E1035" s="5" t="inlineStr">
        <is>
          <t>Positivo</t>
        </is>
      </c>
      <c r="F1035" s="107" t="n">
        <v>44926</v>
      </c>
      <c r="G1035" s="5" t="n">
        <v>2022</v>
      </c>
      <c r="H1035" s="5" t="inlineStr">
        <is>
          <t>Diciembre</t>
        </is>
      </c>
      <c r="I1035" s="6" t="inlineStr">
        <is>
          <t>2022-2</t>
        </is>
      </c>
      <c r="J1035" s="5" t="n">
        <v>100</v>
      </c>
      <c r="K1035" s="5" t="n">
        <v>100.1070326764465</v>
      </c>
      <c r="L1035" s="14">
        <f>IFERROR(IF(OR(J1035=0,K1035=""),"",IF(E1035="Positivo",MIN(MAX(K1035/J1035,0),1.3),MIN(MAX(J1035/K1035,0),1.3))),"") </f>
        <v/>
      </c>
      <c r="M1035" s="14">
        <f>IFERROR(IF(OR(J1035=0,K1035=""),"",IF(E1035="Positivo",MAX(K1035/J1035,0),MAX(J1035/K1035,0))),"") </f>
        <v/>
      </c>
      <c r="N1035" s="5" t="inlineStr">
        <is>
          <t>tCO2e</t>
        </is>
      </c>
      <c r="O1035" s="5" t="inlineStr">
        <is>
          <t>tCO2e</t>
        </is>
      </c>
      <c r="P1035" s="5" t="n">
        <v>0</v>
      </c>
      <c r="Q1035" s="5" t="n">
        <v>0</v>
      </c>
      <c r="R1035" s="5" t="inlineStr">
        <is>
          <t>228-2022-12-31</t>
        </is>
      </c>
    </row>
    <row r="1036">
      <c r="A1036" s="21" t="n">
        <v>228</v>
      </c>
      <c r="B1036" s="5" t="inlineStr">
        <is>
          <t>Compensación de Gases de Efecto Invernadero</t>
        </is>
      </c>
      <c r="C1036" s="5" t="inlineStr">
        <is>
          <t>GESTIÓN AMBIENTAL</t>
        </is>
      </c>
      <c r="D1036" s="5" t="inlineStr">
        <is>
          <t>Anual</t>
        </is>
      </c>
      <c r="E1036" s="5" t="inlineStr">
        <is>
          <t>Positivo</t>
        </is>
      </c>
      <c r="F1036" s="107" t="n">
        <v>45291</v>
      </c>
      <c r="G1036" s="5" t="n">
        <v>2023</v>
      </c>
      <c r="H1036" s="5" t="inlineStr">
        <is>
          <t>Diciembre</t>
        </is>
      </c>
      <c r="I1036" s="6" t="inlineStr">
        <is>
          <t>2023-2</t>
        </is>
      </c>
      <c r="J1036" s="5" t="n">
        <v>100</v>
      </c>
      <c r="K1036" s="10" t="n">
        <v>100</v>
      </c>
      <c r="L1036" s="14">
        <f>IFERROR(IF(OR(J1036=0,K1036=""),"",IF(E1036="Positivo",MIN(MAX(K1036/J1036,0),1.3),MIN(MAX(J1036/K1036,0),1.3))),"") </f>
        <v/>
      </c>
      <c r="M1036" s="14">
        <f>IFERROR(IF(OR(J1036=0,K1036=""),"",IF(E1036="Positivo",MAX(K1036/J1036,0),MAX(J1036/K1036,0))),"") </f>
        <v/>
      </c>
      <c r="N1036" s="5" t="inlineStr">
        <is>
          <t>tCO2e</t>
        </is>
      </c>
      <c r="O1036" s="5" t="inlineStr">
        <is>
          <t>tCO2e</t>
        </is>
      </c>
      <c r="P1036" s="15" t="n">
        <v>1</v>
      </c>
      <c r="Q1036" s="15" t="n">
        <v>1</v>
      </c>
      <c r="R1036" s="5" t="inlineStr">
        <is>
          <t>228-2023-12-31</t>
        </is>
      </c>
    </row>
    <row r="1037">
      <c r="A1037" s="21" t="n">
        <v>228</v>
      </c>
      <c r="B1037" s="5" t="inlineStr">
        <is>
          <t>Compensación de Gases de Efecto Invernadero</t>
        </is>
      </c>
      <c r="C1037" s="5" t="inlineStr">
        <is>
          <t>GESTIÓN AMBIENTAL</t>
        </is>
      </c>
      <c r="D1037" s="5" t="inlineStr">
        <is>
          <t>Anual</t>
        </is>
      </c>
      <c r="E1037" s="5" t="inlineStr">
        <is>
          <t>Positivo</t>
        </is>
      </c>
      <c r="F1037" s="107" t="n">
        <v>45657</v>
      </c>
      <c r="G1037" s="5" t="n">
        <v>2024</v>
      </c>
      <c r="H1037" s="5" t="inlineStr">
        <is>
          <t>Diciembre</t>
        </is>
      </c>
      <c r="I1037" s="6" t="inlineStr">
        <is>
          <t>2024-2</t>
        </is>
      </c>
      <c r="J1037" s="5" t="n">
        <v>100</v>
      </c>
      <c r="K1037" s="10" t="n">
        <v>3531.11</v>
      </c>
      <c r="L1037" s="14">
        <f>IFERROR(IF(OR(J1037=0,K1037=""),"",IF(E1037="Positivo",MIN(MAX(K1037/J1037,0),1.3),MIN(MAX(J1037/K1037,0),1.3))),"") </f>
        <v/>
      </c>
      <c r="M1037" s="14">
        <f>IFERROR(IF(OR(J1037=0,K1037=""),"",IF(E1037="Positivo",MAX(K1037/J1037,0),MAX(J1037/K1037,0))),"") </f>
        <v/>
      </c>
      <c r="N1037" s="5" t="inlineStr">
        <is>
          <t>tCO2e</t>
        </is>
      </c>
      <c r="O1037" s="5" t="inlineStr">
        <is>
          <t>tCO2e</t>
        </is>
      </c>
      <c r="P1037" s="15" t="n">
        <v>1</v>
      </c>
      <c r="Q1037" s="15" t="n">
        <v>1</v>
      </c>
      <c r="R1037" s="5" t="inlineStr">
        <is>
          <t>228-2024-12-31</t>
        </is>
      </c>
    </row>
    <row r="1038">
      <c r="A1038" s="21" t="n">
        <v>230</v>
      </c>
      <c r="B1038" s="5" t="inlineStr">
        <is>
          <t>Ejecución de Eventos de Formación en Materia Ambiental</t>
        </is>
      </c>
      <c r="C1038" s="5" t="inlineStr">
        <is>
          <t>GESTIÓN AMBIENTAL</t>
        </is>
      </c>
      <c r="D1038" s="5" t="inlineStr">
        <is>
          <t>Semestral</t>
        </is>
      </c>
      <c r="E1038" s="5" t="inlineStr">
        <is>
          <t>Positivo</t>
        </is>
      </c>
      <c r="F1038" s="107" t="n">
        <v>45107</v>
      </c>
      <c r="G1038" s="5" t="n">
        <v>2023</v>
      </c>
      <c r="H1038" s="5" t="inlineStr">
        <is>
          <t>Junio</t>
        </is>
      </c>
      <c r="I1038" s="6" t="inlineStr">
        <is>
          <t>2023-1</t>
        </is>
      </c>
      <c r="J1038" s="5" t="n">
        <v>90</v>
      </c>
      <c r="K1038" s="9" t="n">
        <v>100</v>
      </c>
      <c r="L1038" s="14">
        <f>IFERROR(IF(OR(J1038=0,K1038=""),"",IF(E1038="Positivo",MIN(MAX(K1038/J1038,0),1.3),MIN(MAX(J1038/K1038,0),1.3))),"") </f>
        <v/>
      </c>
      <c r="M1038" s="14">
        <f>IFERROR(IF(OR(J1038=0,K1038=""),"",IF(E1038="Positivo",MAX(K1038/J1038,0),MAX(J1038/K1038,0))),"") </f>
        <v/>
      </c>
      <c r="N1038" s="5" t="inlineStr">
        <is>
          <t>%</t>
        </is>
      </c>
      <c r="O1038" s="5" t="inlineStr">
        <is>
          <t>%</t>
        </is>
      </c>
      <c r="P1038" s="15" t="n">
        <v>0</v>
      </c>
      <c r="Q1038" s="15" t="n">
        <v>0</v>
      </c>
      <c r="R1038" s="5" t="inlineStr">
        <is>
          <t>230-2023-06-30</t>
        </is>
      </c>
    </row>
    <row r="1039">
      <c r="A1039" s="21" t="n">
        <v>230</v>
      </c>
      <c r="B1039" s="5" t="inlineStr">
        <is>
          <t>Ejecución de Eventos de Formación en Materia Ambiental</t>
        </is>
      </c>
      <c r="C1039" s="5" t="inlineStr">
        <is>
          <t>GESTIÓN AMBIENTAL</t>
        </is>
      </c>
      <c r="D1039" s="5" t="inlineStr">
        <is>
          <t>Trimestral</t>
        </is>
      </c>
      <c r="E1039" s="5" t="inlineStr">
        <is>
          <t>Positivo</t>
        </is>
      </c>
      <c r="F1039" s="107" t="n">
        <v>45291</v>
      </c>
      <c r="G1039" s="5" t="n">
        <v>2023</v>
      </c>
      <c r="H1039" s="5" t="inlineStr">
        <is>
          <t>Diciembre</t>
        </is>
      </c>
      <c r="I1039" s="6" t="inlineStr">
        <is>
          <t>2023-2</t>
        </is>
      </c>
      <c r="J1039" s="5" t="n">
        <v>90</v>
      </c>
      <c r="K1039" s="9" t="n">
        <v>100</v>
      </c>
      <c r="L1039" s="14">
        <f>IFERROR(IF(OR(J1039=0,K1039=""),"",IF(E1039="Positivo",MIN(MAX(K1039/J1039,0),1.3),MIN(MAX(J1039/K1039,0),1.3))),"") </f>
        <v/>
      </c>
      <c r="M1039" s="14">
        <f>IFERROR(IF(OR(J1039=0,K1039=""),"",IF(E1039="Positivo",MAX(K1039/J1039,0),MAX(J1039/K1039,0))),"") </f>
        <v/>
      </c>
      <c r="N1039" s="5" t="inlineStr">
        <is>
          <t>%</t>
        </is>
      </c>
      <c r="O1039" s="5" t="inlineStr">
        <is>
          <t>%</t>
        </is>
      </c>
      <c r="P1039" s="15" t="n">
        <v>0</v>
      </c>
      <c r="Q1039" s="15" t="n">
        <v>0</v>
      </c>
      <c r="R1039" s="5" t="inlineStr">
        <is>
          <t>230-2023-12-31</t>
        </is>
      </c>
    </row>
    <row r="1040">
      <c r="A1040" s="28" t="n">
        <v>230</v>
      </c>
      <c r="B1040" s="5" t="inlineStr">
        <is>
          <t>Ejecución de Eventos de Formación en Materia Ambiental</t>
        </is>
      </c>
      <c r="C1040" s="5" t="inlineStr">
        <is>
          <t>GESTIÓN AMBIENTAL</t>
        </is>
      </c>
      <c r="D1040" s="5" t="inlineStr">
        <is>
          <t>Semestral</t>
        </is>
      </c>
      <c r="E1040" s="5" t="inlineStr">
        <is>
          <t>Positivo</t>
        </is>
      </c>
      <c r="F1040" s="107" t="n">
        <v>45473</v>
      </c>
      <c r="G1040" s="5" t="n">
        <v>2024</v>
      </c>
      <c r="H1040" s="5" t="inlineStr">
        <is>
          <t>Junio</t>
        </is>
      </c>
      <c r="I1040" s="6" t="inlineStr">
        <is>
          <t>2024-1</t>
        </is>
      </c>
      <c r="J1040" s="5" t="n">
        <v>90</v>
      </c>
      <c r="K1040" s="9" t="n">
        <v>100</v>
      </c>
      <c r="L1040" s="14">
        <f>IFERROR(IF(OR(J1040=0,K1040=""),"",IF(E1040="Positivo",MIN(MAX(K1040/J1040,0),1.3),MIN(MAX(J1040/K1040,0),1.3))),"") </f>
        <v/>
      </c>
      <c r="M1040" s="14">
        <f>IFERROR(IF(OR(J1040=0,K1040=""),"",IF(E1040="Positivo",MAX(K1040/J1040,0),MAX(J1040/K1040,0))),"") </f>
        <v/>
      </c>
      <c r="N1040" s="5" t="inlineStr">
        <is>
          <t>%</t>
        </is>
      </c>
      <c r="O1040" s="5" t="inlineStr">
        <is>
          <t>%</t>
        </is>
      </c>
      <c r="P1040" s="15" t="n">
        <v>0</v>
      </c>
      <c r="Q1040" s="15" t="n">
        <v>0</v>
      </c>
      <c r="R1040" s="5" t="inlineStr">
        <is>
          <t>230-2024-06-30</t>
        </is>
      </c>
    </row>
    <row r="1041">
      <c r="A1041" s="26" t="n">
        <v>230</v>
      </c>
      <c r="B1041" s="5" t="inlineStr">
        <is>
          <t>Ejecución de Eventos de Formación en Materia Ambiental</t>
        </is>
      </c>
      <c r="C1041" s="5" t="inlineStr">
        <is>
          <t>GESTIÓN AMBIENTAL</t>
        </is>
      </c>
      <c r="D1041" s="5" t="inlineStr">
        <is>
          <t>Semestral</t>
        </is>
      </c>
      <c r="E1041" s="5" t="inlineStr">
        <is>
          <t>Positivo</t>
        </is>
      </c>
      <c r="F1041" s="107" t="n">
        <v>45657</v>
      </c>
      <c r="G1041" s="5" t="n">
        <v>2024</v>
      </c>
      <c r="H1041" s="5" t="inlineStr">
        <is>
          <t>Diciembre</t>
        </is>
      </c>
      <c r="I1041" s="6" t="inlineStr">
        <is>
          <t>2024-2</t>
        </is>
      </c>
      <c r="J1041" s="5" t="n">
        <v>90</v>
      </c>
      <c r="K1041" s="9" t="n">
        <v>100</v>
      </c>
      <c r="L1041" s="14">
        <f>IFERROR(IF(OR(J1041=0,K1041=""),"",IF(E1041="Positivo",MIN(MAX(K1041/J1041,0),1.3),MIN(MAX(J1041/K1041,0),1.3))),"") </f>
        <v/>
      </c>
      <c r="M1041" s="14">
        <f>IFERROR(IF(OR(J1041=0,K1041=""),"",IF(E1041="Positivo",MAX(K1041/J1041,0),MAX(J1041/K1041,0))),"") </f>
        <v/>
      </c>
      <c r="N1041" s="5" t="inlineStr">
        <is>
          <t>%</t>
        </is>
      </c>
      <c r="O1041" s="5" t="inlineStr">
        <is>
          <t>%</t>
        </is>
      </c>
      <c r="P1041" s="15" t="n">
        <v>0</v>
      </c>
      <c r="Q1041" s="15" t="n">
        <v>0</v>
      </c>
      <c r="R1041" s="5" t="inlineStr">
        <is>
          <t>230-2024-12-31</t>
        </is>
      </c>
    </row>
    <row r="1042">
      <c r="A1042" s="21" t="n">
        <v>230</v>
      </c>
      <c r="B1042" s="5" t="inlineStr">
        <is>
          <t>Ejecución de Eventos de Formación en Materia Ambiental</t>
        </is>
      </c>
      <c r="C1042" s="5" t="inlineStr">
        <is>
          <t>GESTIÓN AMBIENTAL</t>
        </is>
      </c>
      <c r="D1042" s="5" t="inlineStr">
        <is>
          <t>Trimestral</t>
        </is>
      </c>
      <c r="E1042" s="5" t="inlineStr">
        <is>
          <t>Positivo</t>
        </is>
      </c>
      <c r="F1042" s="107" t="n">
        <v>45838</v>
      </c>
      <c r="G1042" s="5" t="n">
        <v>2025</v>
      </c>
      <c r="H1042" s="5" t="inlineStr">
        <is>
          <t>Junio</t>
        </is>
      </c>
      <c r="I1042" s="6" t="inlineStr">
        <is>
          <t>2025-1</t>
        </is>
      </c>
      <c r="J1042" s="5" t="n">
        <v>90</v>
      </c>
      <c r="K1042" s="10" t="n">
        <v>96.77</v>
      </c>
      <c r="L1042" s="14">
        <f>IFERROR(IF(OR(J1042=0,K1042=""),"",IF(E1042="Positivo",MIN(MAX(K1042/J1042,0),1.3),MIN(MAX(J1042/K1042,0),1.3))),"") </f>
        <v/>
      </c>
      <c r="M1042" s="14">
        <f>IFERROR(IF(OR(J1042=0,K1042=""),"",IF(E1042="Positivo",MAX(K1042/J1042,0),MAX(J1042/K1042,0))),"") </f>
        <v/>
      </c>
      <c r="N1042" s="5" t="inlineStr">
        <is>
          <t>%</t>
        </is>
      </c>
      <c r="O1042" s="5" t="inlineStr">
        <is>
          <t>%</t>
        </is>
      </c>
      <c r="P1042" s="15" t="n">
        <v>0</v>
      </c>
      <c r="Q1042" s="15" t="n">
        <v>0</v>
      </c>
      <c r="R1042" s="5" t="inlineStr">
        <is>
          <t>230-2025-06-30</t>
        </is>
      </c>
    </row>
    <row r="1043">
      <c r="A1043" s="5" t="n">
        <v>230</v>
      </c>
      <c r="B1043" s="5" t="inlineStr">
        <is>
          <t>Ejecución de Eventos de Formación en Materia Ambiental</t>
        </is>
      </c>
      <c r="C1043" s="5" t="inlineStr">
        <is>
          <t>GESTIÓN AMBIENTAL</t>
        </is>
      </c>
      <c r="D1043" s="5" t="inlineStr">
        <is>
          <t>Trimestral</t>
        </is>
      </c>
      <c r="E1043" s="5" t="inlineStr">
        <is>
          <t>Positivo</t>
        </is>
      </c>
      <c r="F1043" s="107" t="n">
        <v>46022</v>
      </c>
      <c r="G1043" s="5" t="n">
        <v>2025</v>
      </c>
      <c r="H1043" s="5" t="inlineStr">
        <is>
          <t>Diciembre</t>
        </is>
      </c>
      <c r="I1043" s="6" t="inlineStr">
        <is>
          <t>2025-2</t>
        </is>
      </c>
      <c r="J1043" s="5" t="n">
        <v>90</v>
      </c>
      <c r="K1043" s="5" t="n">
        <v>96.72</v>
      </c>
      <c r="L1043" s="14">
        <f>IFERROR(IF(OR(J1043=0,K1043=""),"",IF(E1043="Positivo",MIN(MAX(K1043/J1043,0),1.3),MIN(MAX(J1043/K1043,0),1.3))),"") </f>
        <v/>
      </c>
      <c r="M1043" s="14">
        <f>IFERROR(IF(OR(J1043=0,K1043=""),"",IF(E1043="Positivo",MAX(K1043/J1043,0),MAX(J1043/K1043,0))),"") </f>
        <v/>
      </c>
      <c r="N1043" s="5" t="inlineStr">
        <is>
          <t>%</t>
        </is>
      </c>
      <c r="O1043" s="5" t="inlineStr">
        <is>
          <t>%</t>
        </is>
      </c>
      <c r="P1043" s="5" t="n">
        <v>0</v>
      </c>
      <c r="Q1043" s="5" t="n">
        <v>0</v>
      </c>
      <c r="R1043" s="5" t="inlineStr">
        <is>
          <t>230-2025-12-31</t>
        </is>
      </c>
    </row>
    <row r="1044">
      <c r="A1044" s="21" t="n">
        <v>231</v>
      </c>
      <c r="B1044" s="5" t="inlineStr">
        <is>
          <t>Asistencia Eventos de Formación en Materia Ambiental</t>
        </is>
      </c>
      <c r="C1044" s="5" t="inlineStr">
        <is>
          <t>GESTIÓN AMBIENTAL</t>
        </is>
      </c>
      <c r="D1044" s="5" t="inlineStr">
        <is>
          <t>Semestral</t>
        </is>
      </c>
      <c r="E1044" s="5" t="inlineStr">
        <is>
          <t>Positivo</t>
        </is>
      </c>
      <c r="F1044" s="107" t="n">
        <v>45107</v>
      </c>
      <c r="G1044" s="5" t="n">
        <v>2023</v>
      </c>
      <c r="H1044" s="5" t="inlineStr">
        <is>
          <t>Junio</t>
        </is>
      </c>
      <c r="I1044" s="6" t="inlineStr">
        <is>
          <t>2023-1</t>
        </is>
      </c>
      <c r="J1044" s="5" t="n">
        <v>35</v>
      </c>
      <c r="K1044" s="10" t="n">
        <v>40.58</v>
      </c>
      <c r="L1044" s="14">
        <f>IFERROR(IF(OR(J1044=0,K1044=""),"",IF(E1044="Positivo",MIN(MAX(K1044/J1044,0),1.3),MIN(MAX(J1044/K1044,0),1.3))),"") </f>
        <v/>
      </c>
      <c r="M1044" s="14">
        <f>IFERROR(IF(OR(J1044=0,K1044=""),"",IF(E1044="Positivo",MAX(K1044/J1044,0),MAX(J1044/K1044,0))),"") </f>
        <v/>
      </c>
      <c r="N1044" s="5" t="inlineStr">
        <is>
          <t>%</t>
        </is>
      </c>
      <c r="O1044" s="5" t="inlineStr">
        <is>
          <t>%</t>
        </is>
      </c>
      <c r="P1044" s="15" t="n">
        <v>0</v>
      </c>
      <c r="Q1044" s="15" t="n">
        <v>0</v>
      </c>
      <c r="R1044" s="5" t="inlineStr">
        <is>
          <t>231-2023-06-30</t>
        </is>
      </c>
    </row>
    <row r="1045">
      <c r="A1045" s="21" t="n">
        <v>231</v>
      </c>
      <c r="B1045" s="5" t="inlineStr">
        <is>
          <t>Asistencia Eventos de Formación en Materia Ambiental</t>
        </is>
      </c>
      <c r="C1045" s="5" t="inlineStr">
        <is>
          <t>GESTIÓN AMBIENTAL</t>
        </is>
      </c>
      <c r="D1045" s="5" t="inlineStr">
        <is>
          <t>Trimestral</t>
        </is>
      </c>
      <c r="E1045" s="5" t="inlineStr">
        <is>
          <t>Positivo</t>
        </is>
      </c>
      <c r="F1045" s="107" t="n">
        <v>45291</v>
      </c>
      <c r="G1045" s="5" t="n">
        <v>2023</v>
      </c>
      <c r="H1045" s="5" t="inlineStr">
        <is>
          <t>Diciembre</t>
        </is>
      </c>
      <c r="I1045" s="6" t="inlineStr">
        <is>
          <t>2023-2</t>
        </is>
      </c>
      <c r="J1045" s="5" t="n">
        <v>35</v>
      </c>
      <c r="K1045" s="10" t="n">
        <v>96.44</v>
      </c>
      <c r="L1045" s="14">
        <f>IFERROR(IF(OR(J1045=0,K1045=""),"",IF(E1045="Positivo",MIN(MAX(K1045/J1045,0),1.3),MIN(MAX(J1045/K1045,0),1.3))),"") </f>
        <v/>
      </c>
      <c r="M1045" s="14">
        <f>IFERROR(IF(OR(J1045=0,K1045=""),"",IF(E1045="Positivo",MAX(K1045/J1045,0),MAX(J1045/K1045,0))),"") </f>
        <v/>
      </c>
      <c r="N1045" s="5" t="inlineStr">
        <is>
          <t>%</t>
        </is>
      </c>
      <c r="O1045" s="5" t="inlineStr">
        <is>
          <t>%</t>
        </is>
      </c>
      <c r="P1045" s="15" t="n">
        <v>0</v>
      </c>
      <c r="Q1045" s="15" t="n">
        <v>0</v>
      </c>
      <c r="R1045" s="5" t="inlineStr">
        <is>
          <t>231-2023-12-31</t>
        </is>
      </c>
    </row>
    <row r="1046">
      <c r="A1046" s="21" t="n">
        <v>231</v>
      </c>
      <c r="B1046" s="5" t="inlineStr">
        <is>
          <t>Asistencia Eventos de Formación en Materia Ambiental</t>
        </is>
      </c>
      <c r="C1046" s="5" t="inlineStr">
        <is>
          <t>GESTIÓN AMBIENTAL</t>
        </is>
      </c>
      <c r="D1046" s="5" t="inlineStr">
        <is>
          <t>Semestral</t>
        </is>
      </c>
      <c r="E1046" s="5" t="inlineStr">
        <is>
          <t>Positivo</t>
        </is>
      </c>
      <c r="F1046" s="107" t="n">
        <v>45473</v>
      </c>
      <c r="G1046" s="5" t="n">
        <v>2024</v>
      </c>
      <c r="H1046" s="5" t="inlineStr">
        <is>
          <t>Junio</t>
        </is>
      </c>
      <c r="I1046" s="6" t="inlineStr">
        <is>
          <t>2024-1</t>
        </is>
      </c>
      <c r="J1046" s="5" t="n">
        <v>35</v>
      </c>
      <c r="K1046" s="96" t="n">
        <v>96.75</v>
      </c>
      <c r="L1046" s="14">
        <f>IFERROR(IF(OR(J1046=0,K1046=""),"",IF(E1046="Positivo",MIN(MAX(K1046/J1046,0),1.3),MIN(MAX(J1046/K1046,0),1.3))),"") </f>
        <v/>
      </c>
      <c r="M1046" s="14">
        <f>IFERROR(IF(OR(J1046=0,K1046=""),"",IF(E1046="Positivo",MAX(K1046/J1046,0),MAX(J1046/K1046,0))),"") </f>
        <v/>
      </c>
      <c r="N1046" s="5" t="inlineStr">
        <is>
          <t>%</t>
        </is>
      </c>
      <c r="O1046" s="5" t="inlineStr">
        <is>
          <t>%</t>
        </is>
      </c>
      <c r="P1046" s="15" t="n">
        <v>0</v>
      </c>
      <c r="Q1046" s="15" t="n">
        <v>0</v>
      </c>
      <c r="R1046" s="5" t="inlineStr">
        <is>
          <t>231-2024-06-30</t>
        </is>
      </c>
    </row>
    <row r="1047">
      <c r="A1047" s="21" t="n">
        <v>231</v>
      </c>
      <c r="B1047" s="5" t="inlineStr">
        <is>
          <t>Asistencia Eventos de Formación en Materia Ambiental</t>
        </is>
      </c>
      <c r="C1047" s="5" t="inlineStr">
        <is>
          <t>GESTIÓN AMBIENTAL</t>
        </is>
      </c>
      <c r="D1047" s="5" t="inlineStr">
        <is>
          <t>Semestral</t>
        </is>
      </c>
      <c r="E1047" s="5" t="inlineStr">
        <is>
          <t>Positivo</t>
        </is>
      </c>
      <c r="F1047" s="107" t="n">
        <v>45657</v>
      </c>
      <c r="G1047" s="5" t="n">
        <v>2024</v>
      </c>
      <c r="H1047" s="5" t="inlineStr">
        <is>
          <t>Diciembre</t>
        </is>
      </c>
      <c r="I1047" s="6" t="inlineStr">
        <is>
          <t>2024-2</t>
        </is>
      </c>
      <c r="J1047" s="5" t="n">
        <v>35</v>
      </c>
      <c r="K1047" s="96" t="n">
        <v>104.19</v>
      </c>
      <c r="L1047" s="14">
        <f>IFERROR(IF(OR(J1047=0,K1047=""),"",IF(E1047="Positivo",MIN(MAX(K1047/J1047,0),1.3),MIN(MAX(J1047/K1047,0),1.3))),"") </f>
        <v/>
      </c>
      <c r="M1047" s="14">
        <f>IFERROR(IF(OR(J1047=0,K1047=""),"",IF(E1047="Positivo",MAX(K1047/J1047,0),MAX(J1047/K1047,0))),"") </f>
        <v/>
      </c>
      <c r="N1047" s="5" t="inlineStr">
        <is>
          <t>%</t>
        </is>
      </c>
      <c r="O1047" s="5" t="inlineStr">
        <is>
          <t>%</t>
        </is>
      </c>
      <c r="P1047" s="15" t="n">
        <v>0</v>
      </c>
      <c r="Q1047" s="15" t="n">
        <v>0</v>
      </c>
      <c r="R1047" s="5" t="inlineStr">
        <is>
          <t>231-2024-12-31</t>
        </is>
      </c>
    </row>
    <row r="1048">
      <c r="A1048" s="28" t="n">
        <v>231</v>
      </c>
      <c r="B1048" s="5" t="inlineStr">
        <is>
          <t>Asistencia Eventos de Formación en Materia Ambiental</t>
        </is>
      </c>
      <c r="C1048" s="5" t="inlineStr">
        <is>
          <t>GESTIÓN AMBIENTAL</t>
        </is>
      </c>
      <c r="D1048" s="5" t="inlineStr">
        <is>
          <t>Trimestral</t>
        </is>
      </c>
      <c r="E1048" s="5" t="inlineStr">
        <is>
          <t>Positivo</t>
        </is>
      </c>
      <c r="F1048" s="107" t="n">
        <v>45838</v>
      </c>
      <c r="G1048" s="5" t="n">
        <v>2025</v>
      </c>
      <c r="H1048" s="5" t="inlineStr">
        <is>
          <t>Junio</t>
        </is>
      </c>
      <c r="I1048" s="6" t="inlineStr">
        <is>
          <t>2025-1</t>
        </is>
      </c>
      <c r="J1048" s="5" t="n">
        <v>35</v>
      </c>
      <c r="K1048" s="96" t="n">
        <v>570.89</v>
      </c>
      <c r="L1048" s="14">
        <f>IFERROR(IF(OR(J1048=0,K1048=""),"",IF(E1048="Positivo",MIN(MAX(K1048/J1048,0),1.3),MIN(MAX(J1048/K1048,0),1.3))),"") </f>
        <v/>
      </c>
      <c r="M1048" s="14">
        <f>IFERROR(IF(OR(J1048=0,K1048=""),"",IF(E1048="Positivo",MAX(K1048/J1048,0),MAX(J1048/K1048,0))),"") </f>
        <v/>
      </c>
      <c r="N1048" s="5" t="inlineStr">
        <is>
          <t>%</t>
        </is>
      </c>
      <c r="O1048" s="5" t="inlineStr">
        <is>
          <t>%</t>
        </is>
      </c>
      <c r="P1048" s="15" t="n">
        <v>0</v>
      </c>
      <c r="Q1048" s="15" t="n">
        <v>0</v>
      </c>
      <c r="R1048" s="5" t="inlineStr">
        <is>
          <t>231-2025-06-30</t>
        </is>
      </c>
    </row>
    <row r="1049">
      <c r="A1049" s="26" t="n">
        <v>231</v>
      </c>
      <c r="B1049" s="5" t="inlineStr">
        <is>
          <t>Asistencia Eventos de Formación en Materia Ambiental</t>
        </is>
      </c>
      <c r="C1049" s="5" t="inlineStr">
        <is>
          <t>GESTIÓN AMBIENTAL</t>
        </is>
      </c>
      <c r="D1049" s="5" t="inlineStr">
        <is>
          <t>Trimestral</t>
        </is>
      </c>
      <c r="E1049" s="5" t="inlineStr">
        <is>
          <t>Positivo</t>
        </is>
      </c>
      <c r="F1049" s="107" t="n">
        <v>46022</v>
      </c>
      <c r="G1049" s="5" t="n">
        <v>2025</v>
      </c>
      <c r="H1049" s="5" t="inlineStr">
        <is>
          <t>Diciembre</t>
        </is>
      </c>
      <c r="I1049" s="6" t="inlineStr">
        <is>
          <t>2025-2</t>
        </is>
      </c>
      <c r="J1049" s="5" t="n">
        <v>35</v>
      </c>
      <c r="K1049" s="96" t="n">
        <v>7277.98</v>
      </c>
      <c r="L1049" s="14">
        <f>IFERROR(IF(OR(J1049=0,K1049=""),"",IF(E1049="Positivo",MIN(MAX(K1049/J1049,0),1.3),MIN(MAX(J1049/K1049,0),1.3))),"") </f>
        <v/>
      </c>
      <c r="M1049" s="14">
        <f>IFERROR(IF(OR(J1049=0,K1049=""),"",IF(E1049="Positivo",MAX(K1049/J1049,0),MAX(J1049/K1049,0))),"") </f>
        <v/>
      </c>
      <c r="N1049" s="5" t="inlineStr">
        <is>
          <t>%</t>
        </is>
      </c>
      <c r="O1049" s="5" t="inlineStr">
        <is>
          <t>%</t>
        </is>
      </c>
      <c r="P1049" s="15" t="n">
        <v>0</v>
      </c>
      <c r="Q1049" s="15" t="n">
        <v>0</v>
      </c>
      <c r="R1049" s="5" t="inlineStr">
        <is>
          <t>231-2025-12-31</t>
        </is>
      </c>
    </row>
    <row r="1050">
      <c r="A1050" s="21" t="n">
        <v>232</v>
      </c>
      <c r="B1050" s="5" t="inlineStr">
        <is>
          <t>Ejecución de las Comunicaciones en Materia Ambiental</t>
        </is>
      </c>
      <c r="C1050" s="5" t="inlineStr">
        <is>
          <t>GESTIÓN AMBIENTAL</t>
        </is>
      </c>
      <c r="D1050" s="5" t="inlineStr">
        <is>
          <t>Semestral</t>
        </is>
      </c>
      <c r="E1050" s="5" t="inlineStr">
        <is>
          <t>Positivo</t>
        </is>
      </c>
      <c r="F1050" s="107" t="n">
        <v>45107</v>
      </c>
      <c r="G1050" s="5" t="n">
        <v>2023</v>
      </c>
      <c r="H1050" s="5" t="inlineStr">
        <is>
          <t>Junio</t>
        </is>
      </c>
      <c r="I1050" s="6" t="inlineStr">
        <is>
          <t>2023-1</t>
        </is>
      </c>
      <c r="J1050" s="5" t="n">
        <v>90</v>
      </c>
      <c r="K1050" s="10" t="n">
        <v>100</v>
      </c>
      <c r="L1050" s="14">
        <f>IFERROR(IF(OR(J1050=0,K1050=""),"",IF(E1050="Positivo",MIN(MAX(K1050/J1050,0),1.3),MIN(MAX(J1050/K1050,0),1.3))),"") </f>
        <v/>
      </c>
      <c r="M1050" s="14">
        <f>IFERROR(IF(OR(J1050=0,K1050=""),"",IF(E1050="Positivo",MAX(K1050/J1050,0),MAX(J1050/K1050,0))),"") </f>
        <v/>
      </c>
      <c r="N1050" s="5" t="inlineStr">
        <is>
          <t>%</t>
        </is>
      </c>
      <c r="O1050" s="5" t="inlineStr">
        <is>
          <t>%</t>
        </is>
      </c>
      <c r="P1050" s="15" t="n">
        <v>0</v>
      </c>
      <c r="Q1050" s="15" t="n">
        <v>0</v>
      </c>
      <c r="R1050" s="5" t="inlineStr">
        <is>
          <t>232-2023-06-30</t>
        </is>
      </c>
    </row>
    <row r="1051">
      <c r="A1051" s="5" t="n">
        <v>232</v>
      </c>
      <c r="B1051" s="5" t="inlineStr">
        <is>
          <t>Ejecución de las Comunicaciones en Materia Ambiental</t>
        </is>
      </c>
      <c r="C1051" s="5" t="inlineStr">
        <is>
          <t>GESTIÓN AMBIENTAL</t>
        </is>
      </c>
      <c r="D1051" s="5" t="inlineStr">
        <is>
          <t>Trimestral</t>
        </is>
      </c>
      <c r="E1051" s="5" t="inlineStr">
        <is>
          <t>Positivo</t>
        </is>
      </c>
      <c r="F1051" s="107" t="n">
        <v>45291</v>
      </c>
      <c r="G1051" s="5" t="n">
        <v>2023</v>
      </c>
      <c r="H1051" s="5" t="inlineStr">
        <is>
          <t>Diciembre</t>
        </is>
      </c>
      <c r="I1051" s="6" t="inlineStr">
        <is>
          <t>2023-2</t>
        </is>
      </c>
      <c r="J1051" s="5" t="n">
        <v>90</v>
      </c>
      <c r="K1051" s="5" t="n">
        <v>91.3</v>
      </c>
      <c r="L1051" s="14">
        <f>IFERROR(IF(OR(J1051=0,K1051=""),"",IF(E1051="Positivo",MIN(MAX(K1051/J1051,0),1.3),MIN(MAX(J1051/K1051,0),1.3))),"") </f>
        <v/>
      </c>
      <c r="M1051" s="14">
        <f>IFERROR(IF(OR(J1051=0,K1051=""),"",IF(E1051="Positivo",MAX(K1051/J1051,0),MAX(J1051/K1051,0))),"") </f>
        <v/>
      </c>
      <c r="N1051" s="5" t="inlineStr">
        <is>
          <t>%</t>
        </is>
      </c>
      <c r="O1051" s="5" t="inlineStr">
        <is>
          <t>%</t>
        </is>
      </c>
      <c r="P1051" s="15" t="n">
        <v>0</v>
      </c>
      <c r="Q1051" s="5" t="n">
        <v>0</v>
      </c>
      <c r="R1051" s="5" t="inlineStr">
        <is>
          <t>232-2023-12-31</t>
        </is>
      </c>
    </row>
    <row r="1052">
      <c r="A1052" s="21" t="n">
        <v>232</v>
      </c>
      <c r="B1052" s="5" t="inlineStr">
        <is>
          <t>Ejecución de las Comunicaciones en Materia Ambiental</t>
        </is>
      </c>
      <c r="C1052" s="5" t="inlineStr">
        <is>
          <t>GESTIÓN AMBIENTAL</t>
        </is>
      </c>
      <c r="D1052" s="5" t="inlineStr">
        <is>
          <t>Semestral</t>
        </is>
      </c>
      <c r="E1052" s="5" t="inlineStr">
        <is>
          <t>Positivo</t>
        </is>
      </c>
      <c r="F1052" s="107" t="n">
        <v>45473</v>
      </c>
      <c r="G1052" s="5" t="n">
        <v>2024</v>
      </c>
      <c r="H1052" s="5" t="inlineStr">
        <is>
          <t>Junio</t>
        </is>
      </c>
      <c r="I1052" s="6" t="inlineStr">
        <is>
          <t>2024-1</t>
        </is>
      </c>
      <c r="J1052" s="5" t="n">
        <v>90</v>
      </c>
      <c r="K1052" s="10" t="n">
        <v>95.45</v>
      </c>
      <c r="L1052" s="14">
        <f>IFERROR(IF(OR(J1052=0,K1052=""),"",IF(E1052="Positivo",MIN(MAX(K1052/J1052,0),1.3),MIN(MAX(J1052/K1052,0),1.3))),"") </f>
        <v/>
      </c>
      <c r="M1052" s="14">
        <f>IFERROR(IF(OR(J1052=0,K1052=""),"",IF(E1052="Positivo",MAX(K1052/J1052,0),MAX(J1052/K1052,0))),"") </f>
        <v/>
      </c>
      <c r="N1052" s="5" t="inlineStr">
        <is>
          <t>%</t>
        </is>
      </c>
      <c r="O1052" s="5" t="inlineStr">
        <is>
          <t>%</t>
        </is>
      </c>
      <c r="P1052" s="15" t="n">
        <v>0</v>
      </c>
      <c r="Q1052" s="15" t="n">
        <v>0</v>
      </c>
      <c r="R1052" s="5" t="inlineStr">
        <is>
          <t>232-2024-06-30</t>
        </is>
      </c>
    </row>
    <row r="1053">
      <c r="A1053" s="21" t="n">
        <v>232</v>
      </c>
      <c r="B1053" s="5" t="inlineStr">
        <is>
          <t>Ejecución de las Comunicaciones en Materia Ambiental</t>
        </is>
      </c>
      <c r="C1053" s="5" t="inlineStr">
        <is>
          <t>GESTIÓN AMBIENTAL</t>
        </is>
      </c>
      <c r="D1053" s="5" t="inlineStr">
        <is>
          <t>Semestral</t>
        </is>
      </c>
      <c r="E1053" s="5" t="inlineStr">
        <is>
          <t>Positivo</t>
        </is>
      </c>
      <c r="F1053" s="107" t="n">
        <v>45657</v>
      </c>
      <c r="G1053" s="5" t="n">
        <v>2024</v>
      </c>
      <c r="H1053" s="5" t="inlineStr">
        <is>
          <t>Diciembre</t>
        </is>
      </c>
      <c r="I1053" s="6" t="inlineStr">
        <is>
          <t>2024-2</t>
        </is>
      </c>
      <c r="J1053" s="5" t="n">
        <v>90</v>
      </c>
      <c r="K1053" s="10" t="n">
        <v>100</v>
      </c>
      <c r="L1053" s="14">
        <f>IFERROR(IF(OR(J1053=0,K1053=""),"",IF(E1053="Positivo",MIN(MAX(K1053/J1053,0),1.3),MIN(MAX(J1053/K1053,0),1.3))),"") </f>
        <v/>
      </c>
      <c r="M1053" s="14">
        <f>IFERROR(IF(OR(J1053=0,K1053=""),"",IF(E1053="Positivo",MAX(K1053/J1053,0),MAX(J1053/K1053,0))),"") </f>
        <v/>
      </c>
      <c r="N1053" s="5" t="inlineStr">
        <is>
          <t>%</t>
        </is>
      </c>
      <c r="O1053" s="5" t="inlineStr">
        <is>
          <t>%</t>
        </is>
      </c>
      <c r="P1053" s="15" t="n">
        <v>0</v>
      </c>
      <c r="Q1053" s="15" t="n">
        <v>0</v>
      </c>
      <c r="R1053" s="5" t="inlineStr">
        <is>
          <t>232-2024-12-31</t>
        </is>
      </c>
    </row>
    <row r="1054">
      <c r="A1054" s="21" t="n">
        <v>232</v>
      </c>
      <c r="B1054" s="5" t="inlineStr">
        <is>
          <t>Ejecución de las Comunicaciones en Materia Ambiental</t>
        </is>
      </c>
      <c r="C1054" s="5" t="inlineStr">
        <is>
          <t>GESTIÓN AMBIENTAL</t>
        </is>
      </c>
      <c r="D1054" s="5" t="inlineStr">
        <is>
          <t>Trimestral</t>
        </is>
      </c>
      <c r="E1054" s="5" t="inlineStr">
        <is>
          <t>Positivo</t>
        </is>
      </c>
      <c r="F1054" s="107" t="n">
        <v>45838</v>
      </c>
      <c r="G1054" s="5" t="n">
        <v>2025</v>
      </c>
      <c r="H1054" s="5" t="inlineStr">
        <is>
          <t>Junio</t>
        </is>
      </c>
      <c r="I1054" s="6" t="inlineStr">
        <is>
          <t>2025-1</t>
        </is>
      </c>
      <c r="J1054" s="5" t="n">
        <v>90</v>
      </c>
      <c r="K1054" s="94" t="n">
        <v>85.70999999999999</v>
      </c>
      <c r="L1054" s="14">
        <f>IFERROR(IF(OR(J1054=0,K1054=""),"",IF(E1054="Positivo",MIN(MAX(K1054/J1054,0),1.3),MIN(MAX(J1054/K1054,0),1.3))),"") </f>
        <v/>
      </c>
      <c r="M1054" s="14">
        <f>IFERROR(IF(OR(J1054=0,K1054=""),"",IF(E1054="Positivo",MAX(K1054/J1054,0),MAX(J1054/K1054,0))),"") </f>
        <v/>
      </c>
      <c r="N1054" s="5" t="inlineStr">
        <is>
          <t>%</t>
        </is>
      </c>
      <c r="O1054" s="5" t="inlineStr">
        <is>
          <t>%</t>
        </is>
      </c>
      <c r="P1054" s="15" t="n">
        <v>0</v>
      </c>
      <c r="Q1054" s="15" t="n">
        <v>0</v>
      </c>
      <c r="R1054" s="5" t="inlineStr">
        <is>
          <t>232-2025-06-30</t>
        </is>
      </c>
    </row>
    <row r="1055">
      <c r="A1055" s="21" t="n">
        <v>232</v>
      </c>
      <c r="B1055" s="5" t="inlineStr">
        <is>
          <t>Ejecución de las Comunicaciones en Materia Ambiental</t>
        </is>
      </c>
      <c r="C1055" s="5" t="inlineStr">
        <is>
          <t>GESTIÓN AMBIENTAL</t>
        </is>
      </c>
      <c r="D1055" s="5" t="inlineStr">
        <is>
          <t>Trimestral</t>
        </is>
      </c>
      <c r="E1055" s="5" t="inlineStr">
        <is>
          <t>Positivo</t>
        </is>
      </c>
      <c r="F1055" s="107" t="n">
        <v>46022</v>
      </c>
      <c r="G1055" s="5" t="n">
        <v>2025</v>
      </c>
      <c r="H1055" s="5" t="inlineStr">
        <is>
          <t>Diciembre</t>
        </is>
      </c>
      <c r="I1055" s="6" t="inlineStr">
        <is>
          <t>2025-2</t>
        </is>
      </c>
      <c r="J1055" s="5" t="n">
        <v>90</v>
      </c>
      <c r="K1055" s="94" t="n">
        <v>80.84999999999999</v>
      </c>
      <c r="L1055" s="14">
        <f>IFERROR(IF(OR(J1055=0,K1055=""),"",IF(E1055="Positivo",MIN(MAX(K1055/J1055,0),1.3),MIN(MAX(J1055/K1055,0),1.3))),"") </f>
        <v/>
      </c>
      <c r="M1055" s="14">
        <f>IFERROR(IF(OR(J1055=0,K1055=""),"",IF(E1055="Positivo",MAX(K1055/J1055,0),MAX(J1055/K1055,0))),"") </f>
        <v/>
      </c>
      <c r="N1055" s="5" t="inlineStr">
        <is>
          <t>%</t>
        </is>
      </c>
      <c r="O1055" s="5" t="inlineStr">
        <is>
          <t>%</t>
        </is>
      </c>
      <c r="P1055" s="15" t="n">
        <v>0</v>
      </c>
      <c r="Q1055" s="15" t="n">
        <v>0</v>
      </c>
      <c r="R1055" s="5" t="inlineStr">
        <is>
          <t>232-2025-12-31</t>
        </is>
      </c>
    </row>
    <row r="1056">
      <c r="A1056" s="28" t="n">
        <v>233</v>
      </c>
      <c r="B1056" s="5" t="inlineStr">
        <is>
          <t>Impacto de las Comunicaciones Correo Electrónico</t>
        </is>
      </c>
      <c r="C1056" s="5" t="inlineStr">
        <is>
          <t>GESTIÓN AMBIENTAL</t>
        </is>
      </c>
      <c r="D1056" s="5" t="inlineStr">
        <is>
          <t>Trimestral</t>
        </is>
      </c>
      <c r="E1056" s="5" t="inlineStr">
        <is>
          <t>Positivo</t>
        </is>
      </c>
      <c r="F1056" s="107" t="n">
        <v>45016</v>
      </c>
      <c r="G1056" s="5" t="n">
        <v>2023</v>
      </c>
      <c r="H1056" s="5" t="inlineStr">
        <is>
          <t>Marzo</t>
        </is>
      </c>
      <c r="I1056" s="6" t="inlineStr">
        <is>
          <t>2023-1</t>
        </is>
      </c>
      <c r="J1056" s="5" t="n">
        <v>20</v>
      </c>
      <c r="K1056" s="94" t="n">
        <v>64.36781609195403</v>
      </c>
      <c r="L1056" s="14">
        <f>IFERROR(IF(OR(J1056=0,K1056=""),"",IF(E1056="Positivo",MIN(MAX(K1056/J1056,0),1.3),MIN(MAX(J1056/K1056,0),1.3))),"") </f>
        <v/>
      </c>
      <c r="M1056" s="14">
        <f>IFERROR(IF(OR(J1056=0,K1056=""),"",IF(E1056="Positivo",MAX(K1056/J1056,0),MAX(J1056/K1056,0))),"") </f>
        <v/>
      </c>
      <c r="N1056" s="5" t="inlineStr">
        <is>
          <t>%</t>
        </is>
      </c>
      <c r="O1056" s="5" t="inlineStr">
        <is>
          <t>%</t>
        </is>
      </c>
      <c r="P1056" s="15" t="n">
        <v>0</v>
      </c>
      <c r="Q1056" s="15" t="n">
        <v>0</v>
      </c>
      <c r="R1056" s="5" t="inlineStr">
        <is>
          <t>233-2023-03-31</t>
        </is>
      </c>
    </row>
    <row r="1057">
      <c r="A1057" s="26" t="n">
        <v>233</v>
      </c>
      <c r="B1057" s="5" t="inlineStr">
        <is>
          <t>Impacto de las Comunicaciones Correo Electrónico</t>
        </is>
      </c>
      <c r="C1057" s="5" t="inlineStr">
        <is>
          <t>GESTIÓN AMBIENTAL</t>
        </is>
      </c>
      <c r="D1057" s="5" t="inlineStr">
        <is>
          <t>Trimestral</t>
        </is>
      </c>
      <c r="E1057" s="5" t="inlineStr">
        <is>
          <t>Positivo</t>
        </is>
      </c>
      <c r="F1057" s="107" t="n">
        <v>45107</v>
      </c>
      <c r="G1057" s="5" t="n">
        <v>2023</v>
      </c>
      <c r="H1057" s="5" t="inlineStr">
        <is>
          <t>Junio</t>
        </is>
      </c>
      <c r="I1057" s="6" t="inlineStr">
        <is>
          <t>2023-1</t>
        </is>
      </c>
      <c r="J1057" s="5" t="n">
        <v>20</v>
      </c>
      <c r="K1057" s="94" t="n">
        <v>27.60583259715072</v>
      </c>
      <c r="L1057" s="14">
        <f>IFERROR(IF(OR(J1057=0,K1057=""),"",IF(E1057="Positivo",MIN(MAX(K1057/J1057,0),1.3),MIN(MAX(J1057/K1057,0),1.3))),"") </f>
        <v/>
      </c>
      <c r="M1057" s="14">
        <f>IFERROR(IF(OR(J1057=0,K1057=""),"",IF(E1057="Positivo",MAX(K1057/J1057,0),MAX(J1057/K1057,0))),"") </f>
        <v/>
      </c>
      <c r="N1057" s="5" t="inlineStr">
        <is>
          <t>%</t>
        </is>
      </c>
      <c r="O1057" s="5" t="inlineStr">
        <is>
          <t>%</t>
        </is>
      </c>
      <c r="P1057" s="15" t="n">
        <v>1</v>
      </c>
      <c r="Q1057" s="15" t="n">
        <v>1</v>
      </c>
      <c r="R1057" s="5" t="inlineStr">
        <is>
          <t>233-2023-06-30</t>
        </is>
      </c>
    </row>
    <row r="1058">
      <c r="A1058" s="21" t="n">
        <v>233</v>
      </c>
      <c r="B1058" s="5" t="inlineStr">
        <is>
          <t>Impacto de las Comunicaciones Correo Electrónico</t>
        </is>
      </c>
      <c r="C1058" s="5" t="inlineStr">
        <is>
          <t>GESTIÓN AMBIENTAL</t>
        </is>
      </c>
      <c r="D1058" s="5" t="inlineStr">
        <is>
          <t>Semestral</t>
        </is>
      </c>
      <c r="E1058" s="5" t="inlineStr">
        <is>
          <t>Positivo</t>
        </is>
      </c>
      <c r="F1058" s="107" t="n">
        <v>45199</v>
      </c>
      <c r="G1058" s="5" t="n">
        <v>2023</v>
      </c>
      <c r="H1058" s="5" t="inlineStr">
        <is>
          <t>Septiembre</t>
        </is>
      </c>
      <c r="I1058" s="6" t="inlineStr">
        <is>
          <t>2023-2</t>
        </is>
      </c>
      <c r="J1058" s="5" t="n">
        <v>20</v>
      </c>
      <c r="K1058" s="10" t="n">
        <v>27.41037918985376</v>
      </c>
      <c r="L1058" s="14">
        <f>IFERROR(IF(OR(J1058=0,K1058=""),"",IF(E1058="Positivo",MIN(MAX(K1058/J1058,0),1.3),MIN(MAX(J1058/K1058,0),1.3))),"") </f>
        <v/>
      </c>
      <c r="M1058" s="14">
        <f>IFERROR(IF(OR(J1058=0,K1058=""),"",IF(E1058="Positivo",MAX(K1058/J1058,0),MAX(J1058/K1058,0))),"") </f>
        <v/>
      </c>
      <c r="N1058" s="5" t="inlineStr">
        <is>
          <t>%</t>
        </is>
      </c>
      <c r="O1058" s="5" t="inlineStr">
        <is>
          <t>%</t>
        </is>
      </c>
      <c r="P1058" s="15" t="n">
        <v>0</v>
      </c>
      <c r="Q1058" s="15" t="n">
        <v>0</v>
      </c>
      <c r="R1058" s="5" t="inlineStr">
        <is>
          <t>233-2023-09-30</t>
        </is>
      </c>
    </row>
    <row r="1059">
      <c r="A1059" s="5" t="n">
        <v>233</v>
      </c>
      <c r="B1059" s="5" t="inlineStr">
        <is>
          <t>Impacto de las Comunicaciones Correo Electrónico</t>
        </is>
      </c>
      <c r="C1059" s="5" t="inlineStr">
        <is>
          <t>GESTIÓN AMBIENTAL</t>
        </is>
      </c>
      <c r="D1059" s="5" t="inlineStr">
        <is>
          <t>Semestral</t>
        </is>
      </c>
      <c r="E1059" s="5" t="inlineStr">
        <is>
          <t>Positivo</t>
        </is>
      </c>
      <c r="F1059" s="107" t="n">
        <v>45291</v>
      </c>
      <c r="G1059" s="5" t="n">
        <v>2023</v>
      </c>
      <c r="H1059" s="5" t="inlineStr">
        <is>
          <t>Diciembre</t>
        </is>
      </c>
      <c r="I1059" s="6" t="inlineStr">
        <is>
          <t>2023-2</t>
        </is>
      </c>
      <c r="J1059" s="5" t="n">
        <v>20</v>
      </c>
      <c r="K1059" s="5" t="n">
        <v>9.628275441803778</v>
      </c>
      <c r="L1059" s="14">
        <f>IFERROR(IF(OR(J1059=0,K1059=""),"",IF(E1059="Positivo",MIN(MAX(K1059/J1059,0),1.3),MIN(MAX(J1059/K1059,0),1.3))),"") </f>
        <v/>
      </c>
      <c r="M1059" s="14">
        <f>IFERROR(IF(OR(J1059=0,K1059=""),"",IF(E1059="Positivo",MAX(K1059/J1059,0),MAX(J1059/K1059,0))),"") </f>
        <v/>
      </c>
      <c r="N1059" s="5" t="inlineStr">
        <is>
          <t>%</t>
        </is>
      </c>
      <c r="O1059" s="5" t="inlineStr">
        <is>
          <t>%</t>
        </is>
      </c>
      <c r="P1059" s="15" t="n">
        <v>0</v>
      </c>
      <c r="Q1059" s="5" t="n">
        <v>0</v>
      </c>
      <c r="R1059" s="5" t="inlineStr">
        <is>
          <t>233-2023-12-31</t>
        </is>
      </c>
    </row>
    <row r="1060">
      <c r="A1060" s="21" t="n">
        <v>233</v>
      </c>
      <c r="B1060" s="5" t="inlineStr">
        <is>
          <t>Impacto de las Comunicaciones Correo Electrónico</t>
        </is>
      </c>
      <c r="C1060" s="5" t="inlineStr">
        <is>
          <t>GESTIÓN AMBIENTAL</t>
        </is>
      </c>
      <c r="D1060" s="5" t="inlineStr">
        <is>
          <t>Trimestral</t>
        </is>
      </c>
      <c r="E1060" s="5" t="inlineStr">
        <is>
          <t>Positivo</t>
        </is>
      </c>
      <c r="F1060" s="107" t="n">
        <v>45382</v>
      </c>
      <c r="G1060" s="5" t="n">
        <v>2024</v>
      </c>
      <c r="H1060" s="5" t="inlineStr">
        <is>
          <t>Marzo</t>
        </is>
      </c>
      <c r="I1060" s="6" t="inlineStr">
        <is>
          <t>2024-1</t>
        </is>
      </c>
      <c r="J1060" s="5" t="n">
        <v>20</v>
      </c>
      <c r="K1060" s="10" t="n">
        <v>48.35069444444444</v>
      </c>
      <c r="L1060" s="14">
        <f>IFERROR(IF(OR(J1060=0,K1060=""),"",IF(E1060="Positivo",MIN(MAX(K1060/J1060,0),1.3),MIN(MAX(J1060/K1060,0),1.3))),"") </f>
        <v/>
      </c>
      <c r="M1060" s="14">
        <f>IFERROR(IF(OR(J1060=0,K1060=""),"",IF(E1060="Positivo",MAX(K1060/J1060,0),MAX(J1060/K1060,0))),"") </f>
        <v/>
      </c>
      <c r="N1060" s="5" t="n"/>
      <c r="O1060" s="5" t="n"/>
      <c r="P1060" s="15" t="n">
        <v>0</v>
      </c>
      <c r="Q1060" s="15" t="n">
        <v>0</v>
      </c>
      <c r="R1060" s="5" t="inlineStr">
        <is>
          <t>233-2024-03-31</t>
        </is>
      </c>
    </row>
    <row r="1061">
      <c r="A1061" s="21" t="n">
        <v>233</v>
      </c>
      <c r="B1061" s="5" t="inlineStr">
        <is>
          <t>Impacto de las Comunicaciones Correo Electrónico</t>
        </is>
      </c>
      <c r="C1061" s="5" t="inlineStr">
        <is>
          <t>GESTIÓN AMBIENTAL</t>
        </is>
      </c>
      <c r="D1061" s="5" t="inlineStr">
        <is>
          <t>Trimestral</t>
        </is>
      </c>
      <c r="E1061" s="5" t="inlineStr">
        <is>
          <t>Positivo</t>
        </is>
      </c>
      <c r="F1061" s="107" t="n">
        <v>45473</v>
      </c>
      <c r="G1061" s="5" t="n">
        <v>2024</v>
      </c>
      <c r="H1061" s="5" t="inlineStr">
        <is>
          <t>Junio</t>
        </is>
      </c>
      <c r="I1061" s="6" t="inlineStr">
        <is>
          <t>2024-1</t>
        </is>
      </c>
      <c r="J1061" s="5" t="n">
        <v>20</v>
      </c>
      <c r="K1061" s="10" t="n">
        <v>18.56653706346807</v>
      </c>
      <c r="L1061" s="14">
        <f>IFERROR(IF(OR(J1061=0,K1061=""),"",IF(E1061="Positivo",MIN(MAX(K1061/J1061,0),1.3),MIN(MAX(J1061/K1061,0),1.3))),"") </f>
        <v/>
      </c>
      <c r="M1061" s="14">
        <f>IFERROR(IF(OR(J1061=0,K1061=""),"",IF(E1061="Positivo",MAX(K1061/J1061,0),MAX(J1061/K1061,0))),"") </f>
        <v/>
      </c>
      <c r="N1061" s="5" t="n"/>
      <c r="O1061" s="5" t="n"/>
      <c r="P1061" s="15" t="n">
        <v>0</v>
      </c>
      <c r="Q1061" s="15" t="n">
        <v>0</v>
      </c>
      <c r="R1061" s="5" t="inlineStr">
        <is>
          <t>233-2024-06-30</t>
        </is>
      </c>
    </row>
    <row r="1062">
      <c r="A1062" s="28" t="n">
        <v>233</v>
      </c>
      <c r="B1062" s="5" t="inlineStr">
        <is>
          <t>Impacto de las Comunicaciones Correo Electrónico</t>
        </is>
      </c>
      <c r="C1062" s="5" t="inlineStr">
        <is>
          <t>GESTIÓN AMBIENTAL</t>
        </is>
      </c>
      <c r="D1062" s="5" t="inlineStr">
        <is>
          <t>Trimestral</t>
        </is>
      </c>
      <c r="E1062" s="5" t="inlineStr">
        <is>
          <t>Positivo</t>
        </is>
      </c>
      <c r="F1062" s="107" t="n">
        <v>45657</v>
      </c>
      <c r="G1062" s="5" t="n">
        <v>2024</v>
      </c>
      <c r="H1062" s="5" t="inlineStr">
        <is>
          <t>Diciembre</t>
        </is>
      </c>
      <c r="I1062" s="6" t="inlineStr">
        <is>
          <t>2024-2</t>
        </is>
      </c>
      <c r="J1062" s="5" t="n">
        <v>20</v>
      </c>
      <c r="K1062" s="9" t="n">
        <v>31.82123655913979</v>
      </c>
      <c r="L1062" s="14">
        <f>IFERROR(IF(OR(J1062=0,K1062=""),"",IF(E1062="Positivo",MIN(MAX(K1062/J1062,0),1.3),MIN(MAX(J1062/K1062,0),1.3))),"") </f>
        <v/>
      </c>
      <c r="M1062" s="14">
        <f>IFERROR(IF(OR(J1062=0,K1062=""),"",IF(E1062="Positivo",MAX(K1062/J1062,0),MAX(J1062/K1062,0))),"") </f>
        <v/>
      </c>
      <c r="N1062" s="5" t="n"/>
      <c r="O1062" s="5" t="n"/>
      <c r="P1062" s="15" t="n">
        <v>0</v>
      </c>
      <c r="Q1062" s="15" t="n">
        <v>0</v>
      </c>
      <c r="R1062" s="5" t="inlineStr">
        <is>
          <t>233-2024-12-31</t>
        </is>
      </c>
    </row>
    <row r="1063">
      <c r="A1063" s="26" t="n">
        <v>233</v>
      </c>
      <c r="B1063" s="5" t="inlineStr">
        <is>
          <t>Impacto de las Comunicaciones Correo Electrónico</t>
        </is>
      </c>
      <c r="C1063" s="5" t="inlineStr">
        <is>
          <t>GESTIÓN AMBIENTAL</t>
        </is>
      </c>
      <c r="D1063" s="5" t="inlineStr">
        <is>
          <t>Semestral</t>
        </is>
      </c>
      <c r="E1063" s="5" t="inlineStr">
        <is>
          <t>Positivo</t>
        </is>
      </c>
      <c r="F1063" s="107" t="n">
        <v>45747</v>
      </c>
      <c r="G1063" s="5" t="n">
        <v>2025</v>
      </c>
      <c r="H1063" s="5" t="inlineStr">
        <is>
          <t>Marzo</t>
        </is>
      </c>
      <c r="I1063" s="6" t="inlineStr">
        <is>
          <t>2025-1</t>
        </is>
      </c>
      <c r="J1063" s="5" t="n">
        <v>20</v>
      </c>
      <c r="K1063" s="9" t="n">
        <v>32.86</v>
      </c>
      <c r="L1063" s="14">
        <f>IFERROR(IF(OR(J1063=0,K1063=""),"",IF(E1063="Positivo",MIN(MAX(K1063/J1063,0),1.3),MIN(MAX(J1063/K1063,0),1.3))),"") </f>
        <v/>
      </c>
      <c r="M1063" s="14">
        <f>IFERROR(IF(OR(J1063=0,K1063=""),"",IF(E1063="Positivo",MAX(K1063/J1063,0),MAX(J1063/K1063,0))),"") </f>
        <v/>
      </c>
      <c r="N1063" s="5" t="inlineStr">
        <is>
          <t>%</t>
        </is>
      </c>
      <c r="O1063" s="5" t="inlineStr">
        <is>
          <t>%</t>
        </is>
      </c>
      <c r="P1063" s="15" t="n">
        <v>0</v>
      </c>
      <c r="Q1063" s="15" t="n">
        <v>0</v>
      </c>
      <c r="R1063" s="5" t="inlineStr">
        <is>
          <t>233-2025-03-31</t>
        </is>
      </c>
    </row>
    <row r="1064">
      <c r="A1064" s="21" t="n">
        <v>233</v>
      </c>
      <c r="B1064" s="5" t="inlineStr">
        <is>
          <t>Impacto de las Comunicaciones Correo Electrónico</t>
        </is>
      </c>
      <c r="C1064" s="5" t="inlineStr">
        <is>
          <t>GESTIÓN AMBIENTAL</t>
        </is>
      </c>
      <c r="D1064" s="5" t="inlineStr">
        <is>
          <t>Semestral</t>
        </is>
      </c>
      <c r="E1064" s="5" t="inlineStr">
        <is>
          <t>Positivo</t>
        </is>
      </c>
      <c r="F1064" s="106" t="n">
        <v>45838</v>
      </c>
      <c r="G1064" s="5" t="n">
        <v>2025</v>
      </c>
      <c r="H1064" s="5" t="inlineStr">
        <is>
          <t>Junio</t>
        </is>
      </c>
      <c r="I1064" s="6" t="inlineStr">
        <is>
          <t>2025-1</t>
        </is>
      </c>
      <c r="J1064" s="5" t="n">
        <v>20</v>
      </c>
      <c r="K1064" s="9" t="n">
        <v>11.77</v>
      </c>
      <c r="L1064" s="14">
        <f>IFERROR(IF(OR(J1064=0,K1064=""),"",IF(E1064="Positivo",MIN(MAX(K1064/J1064,0),1.3),MIN(MAX(J1064/K1064,0),1.3))),"") </f>
        <v/>
      </c>
      <c r="M1064" s="14">
        <f>IFERROR(IF(OR(J1064=0,K1064=""),"",IF(E1064="Positivo",MAX(K1064/J1064,0),MAX(J1064/K1064,0))),"") </f>
        <v/>
      </c>
      <c r="N1064" s="5" t="inlineStr">
        <is>
          <t>%</t>
        </is>
      </c>
      <c r="O1064" s="5" t="inlineStr">
        <is>
          <t>%</t>
        </is>
      </c>
      <c r="P1064" s="15" t="n">
        <v>0</v>
      </c>
      <c r="Q1064" s="15" t="n">
        <v>0</v>
      </c>
      <c r="R1064" s="5" t="inlineStr">
        <is>
          <t>233-2025-06-30</t>
        </is>
      </c>
    </row>
    <row r="1065">
      <c r="A1065" s="26" t="n">
        <v>233</v>
      </c>
      <c r="B1065" s="5" t="inlineStr">
        <is>
          <t>Impacto de las Comunicaciones Correo Electrónico</t>
        </is>
      </c>
      <c r="C1065" s="5" t="inlineStr">
        <is>
          <t>GESTIÓN AMBIENTAL</t>
        </is>
      </c>
      <c r="D1065" s="5" t="inlineStr">
        <is>
          <t>Semestral</t>
        </is>
      </c>
      <c r="E1065" s="5" t="inlineStr">
        <is>
          <t>Positivo</t>
        </is>
      </c>
      <c r="F1065" s="107" t="n">
        <v>46022</v>
      </c>
      <c r="G1065" s="5" t="n">
        <v>2025</v>
      </c>
      <c r="H1065" s="5" t="inlineStr">
        <is>
          <t>Diciembre</t>
        </is>
      </c>
      <c r="I1065" s="6" t="inlineStr">
        <is>
          <t>2025-2</t>
        </is>
      </c>
      <c r="J1065" s="5" t="n">
        <v>20</v>
      </c>
      <c r="K1065" s="9" t="n"/>
      <c r="L1065" s="8" t="n"/>
      <c r="M1065" s="14" t="n"/>
      <c r="N1065" s="5" t="inlineStr">
        <is>
          <t>%</t>
        </is>
      </c>
      <c r="O1065" s="5" t="inlineStr">
        <is>
          <t>No Aplica</t>
        </is>
      </c>
      <c r="P1065" s="15" t="n">
        <v>0</v>
      </c>
      <c r="Q1065" s="15" t="n">
        <v>0</v>
      </c>
      <c r="R1065" s="5" t="inlineStr">
        <is>
          <t>233-2025-12-31</t>
        </is>
      </c>
      <c r="S1065" t="inlineStr">
        <is>
          <t>No Aplica</t>
        </is>
      </c>
    </row>
    <row r="1066">
      <c r="A1066" s="26" t="n">
        <v>234</v>
      </c>
      <c r="B1066" s="5" t="inlineStr">
        <is>
          <t>Impacto de las Comunicaciones en Materia Ambiental a Través de Redes Sociales - Instagram</t>
        </is>
      </c>
      <c r="C1066" s="5" t="inlineStr">
        <is>
          <t>GESTIÓN AMBIENTAL</t>
        </is>
      </c>
      <c r="D1066" s="5" t="inlineStr">
        <is>
          <t>Trimestral</t>
        </is>
      </c>
      <c r="E1066" s="5" t="inlineStr">
        <is>
          <t>Positivo</t>
        </is>
      </c>
      <c r="F1066" s="107" t="n">
        <v>45016</v>
      </c>
      <c r="G1066" s="5" t="n">
        <v>2023</v>
      </c>
      <c r="H1066" s="5" t="inlineStr">
        <is>
          <t>Marzo</t>
        </is>
      </c>
      <c r="I1066" s="6" t="inlineStr">
        <is>
          <t>2023-1</t>
        </is>
      </c>
      <c r="J1066" s="11" t="n">
        <v>4000</v>
      </c>
      <c r="K1066" s="9" t="n">
        <v>3692.25</v>
      </c>
      <c r="L1066" s="14">
        <f>IFERROR(IF(OR(J1066=0,K1066=""),"",IF(E1066="Positivo",MIN(MAX(K1066/J1066,0),1.3),MIN(MAX(J1066/K1066,0),1.3))),"") </f>
        <v/>
      </c>
      <c r="M1066" s="14">
        <f>IFERROR(IF(OR(J1066=0,K1066=""),"",IF(E1066="Positivo",MAX(K1066/J1066,0),MAX(J1066/K1066,0))),"") </f>
        <v/>
      </c>
      <c r="N1066" s="5" t="n"/>
      <c r="O1066" s="5" t="n"/>
      <c r="P1066" s="15" t="n">
        <v>0</v>
      </c>
      <c r="Q1066" s="15" t="n">
        <v>0</v>
      </c>
      <c r="R1066" s="5" t="inlineStr">
        <is>
          <t>234-2023-03-31</t>
        </is>
      </c>
    </row>
    <row r="1067">
      <c r="A1067" s="21" t="n">
        <v>234</v>
      </c>
      <c r="B1067" s="5" t="inlineStr">
        <is>
          <t>Impacto de las Comunicaciones en Materia Ambiental a Través de Redes Sociales - Instagram</t>
        </is>
      </c>
      <c r="C1067" s="5" t="inlineStr">
        <is>
          <t>GESTIÓN AMBIENTAL</t>
        </is>
      </c>
      <c r="D1067" s="5" t="inlineStr">
        <is>
          <t>Trimestral</t>
        </is>
      </c>
      <c r="E1067" s="5" t="inlineStr">
        <is>
          <t>Positivo</t>
        </is>
      </c>
      <c r="F1067" s="107" t="n">
        <v>45107</v>
      </c>
      <c r="G1067" s="5" t="n">
        <v>2023</v>
      </c>
      <c r="H1067" s="5" t="inlineStr">
        <is>
          <t>Junio</t>
        </is>
      </c>
      <c r="I1067" s="6" t="inlineStr">
        <is>
          <t>2023-1</t>
        </is>
      </c>
      <c r="J1067" s="5" t="n">
        <v>4000</v>
      </c>
      <c r="K1067" s="10" t="n">
        <v>6843.5</v>
      </c>
      <c r="L1067" s="14">
        <f>IFERROR(IF(OR(J1067=0,K1067=""),"",IF(E1067="Positivo",MIN(MAX(K1067/J1067,0),1.3),MIN(MAX(J1067/K1067,0),1.3))),"") </f>
        <v/>
      </c>
      <c r="M1067" s="14">
        <f>IFERROR(IF(OR(J1067=0,K1067=""),"",IF(E1067="Positivo",MAX(K1067/J1067,0),MAX(J1067/K1067,0))),"") </f>
        <v/>
      </c>
      <c r="N1067" s="5" t="n"/>
      <c r="O1067" s="5" t="n"/>
      <c r="P1067" s="15" t="n">
        <v>0</v>
      </c>
      <c r="Q1067" s="15" t="n">
        <v>0</v>
      </c>
      <c r="R1067" s="5" t="inlineStr">
        <is>
          <t>234-2023-06-30</t>
        </is>
      </c>
    </row>
    <row r="1068">
      <c r="A1068" s="21" t="n">
        <v>234</v>
      </c>
      <c r="B1068" s="5" t="inlineStr">
        <is>
          <t>Impacto de las Comunicaciones en Materia Ambiental a Través de Redes Sociales - Instagram</t>
        </is>
      </c>
      <c r="C1068" s="5" t="inlineStr">
        <is>
          <t>GESTIÓN AMBIENTAL</t>
        </is>
      </c>
      <c r="D1068" s="5" t="inlineStr">
        <is>
          <t>Semestral</t>
        </is>
      </c>
      <c r="E1068" s="5" t="inlineStr">
        <is>
          <t>Positivo</t>
        </is>
      </c>
      <c r="F1068" s="106" t="n">
        <v>45199</v>
      </c>
      <c r="G1068" s="5" t="n">
        <v>2023</v>
      </c>
      <c r="H1068" s="5" t="inlineStr">
        <is>
          <t>Septiembre</t>
        </is>
      </c>
      <c r="I1068" s="6" t="inlineStr">
        <is>
          <t>2023-2</t>
        </is>
      </c>
      <c r="J1068" s="11" t="n">
        <v>4000</v>
      </c>
      <c r="K1068" s="9" t="n">
        <v>10713.75</v>
      </c>
      <c r="L1068" s="14">
        <f>IFERROR(IF(OR(J1068=0,K1068=""),"",IF(E1068="Positivo",MIN(MAX(K1068/J1068,0),1.3),MIN(MAX(J1068/K1068,0),1.3))),"") </f>
        <v/>
      </c>
      <c r="M1068" s="14">
        <f>IFERROR(IF(OR(J1068=0,K1068=""),"",IF(E1068="Positivo",MAX(K1068/J1068,0),MAX(J1068/K1068,0))),"") </f>
        <v/>
      </c>
      <c r="N1068" s="11" t="inlineStr">
        <is>
          <t>ENT</t>
        </is>
      </c>
      <c r="O1068" s="11" t="inlineStr">
        <is>
          <t>ENT</t>
        </is>
      </c>
      <c r="P1068" s="15" t="n">
        <v>0</v>
      </c>
      <c r="Q1068" s="15" t="n">
        <v>0</v>
      </c>
      <c r="R1068" s="5" t="inlineStr">
        <is>
          <t>234-2023-09-30</t>
        </is>
      </c>
    </row>
    <row r="1069">
      <c r="A1069" s="26" t="n">
        <v>234</v>
      </c>
      <c r="B1069" s="5" t="inlineStr">
        <is>
          <t>Impacto de las Comunicaciones en Materia Ambiental a Través de Redes Sociales - Instagram</t>
        </is>
      </c>
      <c r="C1069" s="5" t="inlineStr">
        <is>
          <t>GESTIÓN AMBIENTAL</t>
        </is>
      </c>
      <c r="D1069" s="5" t="inlineStr">
        <is>
          <t>Semestral</t>
        </is>
      </c>
      <c r="E1069" s="5" t="inlineStr">
        <is>
          <t>Positivo</t>
        </is>
      </c>
      <c r="F1069" s="107" t="n">
        <v>45291</v>
      </c>
      <c r="G1069" s="5" t="n">
        <v>2023</v>
      </c>
      <c r="H1069" s="5" t="inlineStr">
        <is>
          <t>Diciembre</t>
        </is>
      </c>
      <c r="I1069" s="6" t="inlineStr">
        <is>
          <t>2023-2</t>
        </is>
      </c>
      <c r="J1069" s="5" t="n">
        <v>4000</v>
      </c>
      <c r="K1069" s="9" t="n">
        <v>5893.5</v>
      </c>
      <c r="L1069" s="14">
        <f>IFERROR(IF(OR(J1069=0,K1069=""),"",IF(E1069="Positivo",MIN(MAX(K1069/J1069,0),1.3),MIN(MAX(J1069/K1069,0),1.3))),"") </f>
        <v/>
      </c>
      <c r="M1069" s="14">
        <f>IFERROR(IF(OR(J1069=0,K1069=""),"",IF(E1069="Positivo",MAX(K1069/J1069,0),MAX(J1069/K1069,0))),"") </f>
        <v/>
      </c>
      <c r="N1069" s="11" t="inlineStr">
        <is>
          <t>ENT</t>
        </is>
      </c>
      <c r="O1069" s="11" t="inlineStr">
        <is>
          <t>ENT</t>
        </is>
      </c>
      <c r="P1069" s="15" t="n">
        <v>0</v>
      </c>
      <c r="Q1069" s="15" t="n">
        <v>0</v>
      </c>
      <c r="R1069" s="5" t="inlineStr">
        <is>
          <t>234-2023-12-31</t>
        </is>
      </c>
    </row>
    <row r="1070">
      <c r="A1070" s="5" t="n">
        <v>234</v>
      </c>
      <c r="B1070" s="5" t="inlineStr">
        <is>
          <t>Impacto de las Comunicaciones en Materia Ambiental a Través de Redes Sociales - Instagram</t>
        </is>
      </c>
      <c r="C1070" s="5" t="inlineStr">
        <is>
          <t>GESTIÓN AMBIENTAL</t>
        </is>
      </c>
      <c r="D1070" s="5" t="inlineStr">
        <is>
          <t>Trimestral</t>
        </is>
      </c>
      <c r="E1070" s="5" t="inlineStr">
        <is>
          <t>Positivo</t>
        </is>
      </c>
      <c r="F1070" s="107" t="n">
        <v>45382</v>
      </c>
      <c r="G1070" s="5" t="n">
        <v>2024</v>
      </c>
      <c r="H1070" s="5" t="inlineStr">
        <is>
          <t>Marzo</t>
        </is>
      </c>
      <c r="I1070" s="6" t="inlineStr">
        <is>
          <t>2024-1</t>
        </is>
      </c>
      <c r="J1070" s="5" t="n">
        <v>4000</v>
      </c>
      <c r="K1070" s="5" t="n">
        <v>3234.25</v>
      </c>
      <c r="L1070" s="14">
        <f>IFERROR(IF(OR(J1070=0,K1070=""),"",IF(E1070="Positivo",MIN(MAX(K1070/J1070,0),1.3),MIN(MAX(J1070/K1070,0),1.3))),"") </f>
        <v/>
      </c>
      <c r="M1070" s="14">
        <f>IFERROR(IF(OR(J1070=0,K1070=""),"",IF(E1070="Positivo",MAX(K1070/J1070,0),MAX(J1070/K1070,0))),"") </f>
        <v/>
      </c>
      <c r="N1070" s="11" t="n"/>
      <c r="O1070" s="11" t="n"/>
      <c r="P1070" s="5" t="n">
        <v>0</v>
      </c>
      <c r="Q1070" s="5" t="n">
        <v>0</v>
      </c>
      <c r="R1070" s="5" t="inlineStr">
        <is>
          <t>234-2024-03-31</t>
        </is>
      </c>
    </row>
    <row r="1071">
      <c r="A1071" s="21" t="n">
        <v>234</v>
      </c>
      <c r="B1071" s="5" t="inlineStr">
        <is>
          <t>Impacto de las Comunicaciones en Materia Ambiental a Través de Redes Sociales - Instagram</t>
        </is>
      </c>
      <c r="C1071" s="5" t="inlineStr">
        <is>
          <t>GESTIÓN AMBIENTAL</t>
        </is>
      </c>
      <c r="D1071" s="5" t="inlineStr">
        <is>
          <t>Trimestral</t>
        </is>
      </c>
      <c r="E1071" s="5" t="inlineStr">
        <is>
          <t>Positivo</t>
        </is>
      </c>
      <c r="F1071" s="107" t="n">
        <v>45473</v>
      </c>
      <c r="G1071" s="5" t="n">
        <v>2024</v>
      </c>
      <c r="H1071" s="5" t="inlineStr">
        <is>
          <t>Junio</t>
        </is>
      </c>
      <c r="I1071" s="6" t="inlineStr">
        <is>
          <t>2024-1</t>
        </is>
      </c>
      <c r="J1071" s="5" t="n">
        <v>4000</v>
      </c>
      <c r="K1071" s="10" t="n">
        <v>5453.333333333333</v>
      </c>
      <c r="L1071" s="14">
        <f>IFERROR(IF(OR(J1071=0,K1071=""),"",IF(E1071="Positivo",MIN(MAX(K1071/J1071,0),1.3),MIN(MAX(J1071/K1071,0),1.3))),"") </f>
        <v/>
      </c>
      <c r="M1071" s="14">
        <f>IFERROR(IF(OR(J1071=0,K1071=""),"",IF(E1071="Positivo",MAX(K1071/J1071,0),MAX(J1071/K1071,0))),"") </f>
        <v/>
      </c>
      <c r="N1071" s="11" t="n"/>
      <c r="O1071" s="11" t="n"/>
      <c r="P1071" s="15" t="n">
        <v>0</v>
      </c>
      <c r="Q1071" s="15" t="n">
        <v>0</v>
      </c>
      <c r="R1071" s="5" t="inlineStr">
        <is>
          <t>234-2024-06-30</t>
        </is>
      </c>
    </row>
    <row r="1072">
      <c r="A1072" s="21" t="n">
        <v>234</v>
      </c>
      <c r="B1072" s="5" t="inlineStr">
        <is>
          <t>Impacto de las Comunicaciones en Materia Ambiental a Través de Redes Sociales - Instagram</t>
        </is>
      </c>
      <c r="C1072" s="5" t="inlineStr">
        <is>
          <t>GESTIÓN AMBIENTAL</t>
        </is>
      </c>
      <c r="D1072" s="5" t="inlineStr">
        <is>
          <t>Trimestral</t>
        </is>
      </c>
      <c r="E1072" s="5" t="inlineStr">
        <is>
          <t>Positivo</t>
        </is>
      </c>
      <c r="F1072" s="106" t="n">
        <v>45657</v>
      </c>
      <c r="G1072" s="5" t="n">
        <v>2024</v>
      </c>
      <c r="H1072" s="5" t="inlineStr">
        <is>
          <t>Diciembre</t>
        </is>
      </c>
      <c r="I1072" s="6" t="inlineStr">
        <is>
          <t>2024-2</t>
        </is>
      </c>
      <c r="J1072" s="5" t="n">
        <v>4000</v>
      </c>
      <c r="K1072" s="9" t="n">
        <v>4218</v>
      </c>
      <c r="L1072" s="14">
        <f>IFERROR(IF(OR(J1072=0,K1072=""),"",IF(E1072="Positivo",MIN(MAX(K1072/J1072,0),1.3),MIN(MAX(J1072/K1072,0),1.3))),"") </f>
        <v/>
      </c>
      <c r="M1072" s="14">
        <f>IFERROR(IF(OR(J1072=0,K1072=""),"",IF(E1072="Positivo",MAX(K1072/J1072,0),MAX(J1072/K1072,0))),"") </f>
        <v/>
      </c>
      <c r="N1072" s="5" t="n"/>
      <c r="O1072" s="17" t="n"/>
      <c r="P1072" s="15" t="n">
        <v>0</v>
      </c>
      <c r="Q1072" s="15" t="n">
        <v>0</v>
      </c>
      <c r="R1072" s="5" t="inlineStr">
        <is>
          <t>234-2024-12-31</t>
        </is>
      </c>
    </row>
    <row r="1073">
      <c r="A1073" s="26" t="n">
        <v>234</v>
      </c>
      <c r="B1073" s="5" t="inlineStr">
        <is>
          <t>Impacto de las Comunicaciones en Materia Ambiental a Través de Redes Sociales - Instagram</t>
        </is>
      </c>
      <c r="C1073" s="5" t="inlineStr">
        <is>
          <t>GESTIÓN AMBIENTAL</t>
        </is>
      </c>
      <c r="D1073" s="5" t="inlineStr">
        <is>
          <t>Semestral</t>
        </is>
      </c>
      <c r="E1073" s="5" t="inlineStr">
        <is>
          <t>Positivo</t>
        </is>
      </c>
      <c r="F1073" s="107" t="n">
        <v>45747</v>
      </c>
      <c r="G1073" s="5" t="n">
        <v>2025</v>
      </c>
      <c r="H1073" s="5" t="inlineStr">
        <is>
          <t>Marzo</t>
        </is>
      </c>
      <c r="I1073" s="6" t="inlineStr">
        <is>
          <t>2025-1</t>
        </is>
      </c>
      <c r="J1073" s="5" t="n">
        <v>4000</v>
      </c>
      <c r="K1073" s="9" t="n">
        <v>7112</v>
      </c>
      <c r="L1073" s="14">
        <f>IFERROR(IF(OR(J1073=0,K1073=""),"",IF(E1073="Positivo",MIN(MAX(K1073/J1073,0),1.3),MIN(MAX(J1073/K1073,0),1.3))),"") </f>
        <v/>
      </c>
      <c r="M1073" s="14">
        <f>IFERROR(IF(OR(J1073=0,K1073=""),"",IF(E1073="Positivo",MAX(K1073/J1073,0),MAX(J1073/K1073,0))),"") </f>
        <v/>
      </c>
      <c r="N1073" s="5" t="inlineStr">
        <is>
          <t>ENT</t>
        </is>
      </c>
      <c r="O1073" s="17" t="inlineStr">
        <is>
          <t>ENT</t>
        </is>
      </c>
      <c r="P1073" s="15" t="n">
        <v>0</v>
      </c>
      <c r="Q1073" s="15" t="n">
        <v>0</v>
      </c>
      <c r="R1073" s="5" t="inlineStr">
        <is>
          <t>234-2025-03-31</t>
        </is>
      </c>
    </row>
    <row r="1074">
      <c r="A1074" s="5" t="n">
        <v>234</v>
      </c>
      <c r="B1074" s="5" t="inlineStr">
        <is>
          <t>Impacto de las Comunicaciones en Materia Ambiental a Través de Redes Sociales - Instagram</t>
        </is>
      </c>
      <c r="C1074" s="5" t="inlineStr">
        <is>
          <t>GESTIÓN AMBIENTAL</t>
        </is>
      </c>
      <c r="D1074" s="5" t="inlineStr">
        <is>
          <t>Semestral</t>
        </is>
      </c>
      <c r="E1074" s="5" t="inlineStr">
        <is>
          <t>Positivo</t>
        </is>
      </c>
      <c r="F1074" s="107" t="n">
        <v>45838</v>
      </c>
      <c r="G1074" s="5" t="n">
        <v>2025</v>
      </c>
      <c r="H1074" s="5" t="inlineStr">
        <is>
          <t>Junio</t>
        </is>
      </c>
      <c r="I1074" s="6" t="inlineStr">
        <is>
          <t>2025-1</t>
        </is>
      </c>
      <c r="J1074" s="5" t="n">
        <v>4000</v>
      </c>
      <c r="K1074" s="5" t="n">
        <v>14042.5</v>
      </c>
      <c r="L1074" s="14">
        <f>IFERROR(IF(OR(J1074=0,K1074=""),"",IF(E1074="Positivo",MIN(MAX(K1074/J1074,0),1.3),MIN(MAX(J1074/K1074,0),1.3))),"") </f>
        <v/>
      </c>
      <c r="M1074" s="14">
        <f>IFERROR(IF(OR(J1074=0,K1074=""),"",IF(E1074="Positivo",MAX(K1074/J1074,0),MAX(J1074/K1074,0))),"") </f>
        <v/>
      </c>
      <c r="N1074" s="5" t="inlineStr">
        <is>
          <t>ENT</t>
        </is>
      </c>
      <c r="O1074" s="17" t="inlineStr">
        <is>
          <t>ENT</t>
        </is>
      </c>
      <c r="P1074" s="5" t="n">
        <v>0</v>
      </c>
      <c r="Q1074" s="5" t="n">
        <v>0</v>
      </c>
      <c r="R1074" s="5" t="inlineStr">
        <is>
          <t>234-2025-06-30</t>
        </is>
      </c>
    </row>
    <row r="1075">
      <c r="A1075" s="21" t="n">
        <v>234</v>
      </c>
      <c r="B1075" s="5" t="inlineStr">
        <is>
          <t>Impacto de las Comunicaciones en Materia Ambiental a Través de Redes Sociales - Instagram</t>
        </is>
      </c>
      <c r="C1075" s="5" t="inlineStr">
        <is>
          <t>GESTIÓN AMBIENTAL</t>
        </is>
      </c>
      <c r="D1075" s="5" t="inlineStr">
        <is>
          <t>Semestral</t>
        </is>
      </c>
      <c r="E1075" s="5" t="inlineStr">
        <is>
          <t>Positivo</t>
        </is>
      </c>
      <c r="F1075" s="107" t="n">
        <v>46022</v>
      </c>
      <c r="G1075" s="5" t="n">
        <v>2025</v>
      </c>
      <c r="H1075" s="5" t="inlineStr">
        <is>
          <t>Diciembre</t>
        </is>
      </c>
      <c r="I1075" s="6" t="inlineStr">
        <is>
          <t>2025-2</t>
        </is>
      </c>
      <c r="J1075" s="5" t="n">
        <v>4000</v>
      </c>
      <c r="K1075" s="10" t="n"/>
      <c r="L1075" s="14" t="n"/>
      <c r="M1075" s="14" t="n"/>
      <c r="N1075" s="5" t="inlineStr">
        <is>
          <t>ENT</t>
        </is>
      </c>
      <c r="O1075" s="17" t="inlineStr">
        <is>
          <t>No Aplica</t>
        </is>
      </c>
      <c r="P1075" s="15" t="n">
        <v>0</v>
      </c>
      <c r="Q1075" s="15" t="n">
        <v>0</v>
      </c>
      <c r="R1075" s="5" t="inlineStr">
        <is>
          <t>234-2025-12-31</t>
        </is>
      </c>
      <c r="S1075" t="inlineStr">
        <is>
          <t>No Aplica</t>
        </is>
      </c>
    </row>
    <row r="1076">
      <c r="A1076" s="21" t="n">
        <v>235</v>
      </c>
      <c r="B1076" s="5" t="inlineStr">
        <is>
          <t>Cumplimiento de Requisitos Legales Ambientales Aplicables</t>
        </is>
      </c>
      <c r="C1076" s="5" t="inlineStr">
        <is>
          <t>GESTIÓN AMBIENTAL</t>
        </is>
      </c>
      <c r="D1076" s="5" t="inlineStr">
        <is>
          <t>Anual</t>
        </is>
      </c>
      <c r="E1076" s="5" t="inlineStr">
        <is>
          <t>Positivo</t>
        </is>
      </c>
      <c r="F1076" s="106" t="n">
        <v>45291</v>
      </c>
      <c r="G1076" s="5" t="n">
        <v>2023</v>
      </c>
      <c r="H1076" s="5" t="inlineStr">
        <is>
          <t>Diciembre</t>
        </is>
      </c>
      <c r="I1076" s="6" t="inlineStr">
        <is>
          <t>2023-2</t>
        </is>
      </c>
      <c r="J1076" s="5" t="n">
        <v>100</v>
      </c>
      <c r="K1076" s="9" t="n">
        <v>81.65289256198299</v>
      </c>
      <c r="L1076" s="14">
        <f>IFERROR(IF(OR(J1076=0,K1076=""),"",IF(E1076="Positivo",MIN(MAX(K1076/J1076,0),1.3),MIN(MAX(J1076/K1076,0),1.3))),"") </f>
        <v/>
      </c>
      <c r="M1076" s="14">
        <f>IFERROR(IF(OR(J1076=0,K1076=""),"",IF(E1076="Positivo",MAX(K1076/J1076,0),MAX(J1076/K1076,0))),"") </f>
        <v/>
      </c>
      <c r="N1076" s="5" t="inlineStr">
        <is>
          <t>%</t>
        </is>
      </c>
      <c r="O1076" s="5" t="inlineStr">
        <is>
          <t>%</t>
        </is>
      </c>
      <c r="P1076" s="15" t="n">
        <v>0</v>
      </c>
      <c r="Q1076" s="15" t="n">
        <v>0</v>
      </c>
      <c r="R1076" s="5" t="inlineStr">
        <is>
          <t>235-2023-12-31</t>
        </is>
      </c>
    </row>
    <row r="1077">
      <c r="A1077" s="26" t="n">
        <v>235</v>
      </c>
      <c r="B1077" s="5" t="inlineStr">
        <is>
          <t>Cumplimiento de Requisitos Legales Ambientales Aplicables</t>
        </is>
      </c>
      <c r="C1077" s="5" t="inlineStr">
        <is>
          <t>GESTIÓN AMBIENTAL</t>
        </is>
      </c>
      <c r="D1077" s="5" t="inlineStr">
        <is>
          <t>Anual</t>
        </is>
      </c>
      <c r="E1077" s="5" t="inlineStr">
        <is>
          <t>Positivo</t>
        </is>
      </c>
      <c r="F1077" s="107" t="n">
        <v>45657</v>
      </c>
      <c r="G1077" s="5" t="n">
        <v>2024</v>
      </c>
      <c r="H1077" s="5" t="inlineStr">
        <is>
          <t>Diciembre</t>
        </is>
      </c>
      <c r="I1077" s="6" t="inlineStr">
        <is>
          <t>2024-2</t>
        </is>
      </c>
      <c r="J1077" s="5" t="n">
        <v>100</v>
      </c>
      <c r="K1077" s="9" t="n">
        <v>92.012779552716</v>
      </c>
      <c r="L1077" s="14">
        <f>IFERROR(IF(OR(J1077=0,K1077=""),"",IF(E1077="Positivo",MIN(MAX(K1077/J1077,0),1.3),MIN(MAX(J1077/K1077,0),1.3))),"") </f>
        <v/>
      </c>
      <c r="M1077" s="14">
        <f>IFERROR(IF(OR(J1077=0,K1077=""),"",IF(E1077="Positivo",MAX(K1077/J1077,0),MAX(J1077/K1077,0))),"") </f>
        <v/>
      </c>
      <c r="N1077" s="5" t="n"/>
      <c r="O1077" s="5" t="n"/>
      <c r="P1077" s="15" t="n">
        <v>0</v>
      </c>
      <c r="Q1077" s="15" t="n">
        <v>0</v>
      </c>
      <c r="R1077" s="5" t="inlineStr">
        <is>
          <t>235-2024-12-31</t>
        </is>
      </c>
    </row>
    <row r="1078">
      <c r="A1078" s="5" t="n">
        <v>236</v>
      </c>
      <c r="B1078" s="5" t="inlineStr">
        <is>
          <t>Actos Administrativos o Decisiones Judiciales Ambientales</t>
        </is>
      </c>
      <c r="C1078" s="5" t="inlineStr">
        <is>
          <t>GESTIÓN AMBIENTAL</t>
        </is>
      </c>
      <c r="D1078" s="5" t="inlineStr">
        <is>
          <t>Anual</t>
        </is>
      </c>
      <c r="E1078" s="5" t="inlineStr">
        <is>
          <t>Negativo</t>
        </is>
      </c>
      <c r="F1078" s="107" t="n">
        <v>45291</v>
      </c>
      <c r="G1078" s="5" t="n">
        <v>2023</v>
      </c>
      <c r="H1078" s="5" t="inlineStr">
        <is>
          <t>Diciembre</t>
        </is>
      </c>
      <c r="I1078" s="6" t="inlineStr">
        <is>
          <t>2023-2</t>
        </is>
      </c>
      <c r="J1078" s="5" t="n">
        <v>0</v>
      </c>
      <c r="K1078" s="5" t="n">
        <v>0</v>
      </c>
      <c r="L1078" s="14">
        <f>IFERROR(IF(OR(J1078=0,K1078=""),"",IF(E1078="Positivo",MIN(MAX(K1078/J1078,0),1.3),MIN(MAX(J1078/K1078,0),1.3))),"") </f>
        <v/>
      </c>
      <c r="M1078" s="14">
        <f>IFERROR(IF(OR(J1078=0,K1078=""),"",IF(E1078="Positivo",MAX(K1078/J1078,0),MAX(J1078/K1078,0))),"") </f>
        <v/>
      </c>
      <c r="N1078" s="5" t="inlineStr">
        <is>
          <t>%</t>
        </is>
      </c>
      <c r="O1078" s="5" t="inlineStr">
        <is>
          <t>%</t>
        </is>
      </c>
      <c r="P1078" s="5" t="n">
        <v>0</v>
      </c>
      <c r="Q1078" s="5" t="n">
        <v>0</v>
      </c>
      <c r="R1078" s="5" t="inlineStr">
        <is>
          <t>236-2023-12-31</t>
        </is>
      </c>
    </row>
    <row r="1079">
      <c r="A1079" s="21" t="n">
        <v>236</v>
      </c>
      <c r="B1079" s="5" t="inlineStr">
        <is>
          <t>Actos Administrativos o Decisiones Judiciales Ambientales</t>
        </is>
      </c>
      <c r="C1079" s="5" t="inlineStr">
        <is>
          <t>GESTIÓN AMBIENTAL</t>
        </is>
      </c>
      <c r="D1079" s="5" t="inlineStr">
        <is>
          <t>Anual</t>
        </is>
      </c>
      <c r="E1079" s="5" t="inlineStr">
        <is>
          <t>Negativo</t>
        </is>
      </c>
      <c r="F1079" s="107" t="n">
        <v>45657</v>
      </c>
      <c r="G1079" s="5" t="n">
        <v>2024</v>
      </c>
      <c r="H1079" s="5" t="inlineStr">
        <is>
          <t>Diciembre</t>
        </is>
      </c>
      <c r="I1079" s="6" t="inlineStr">
        <is>
          <t>2024-2</t>
        </is>
      </c>
      <c r="J1079" s="5" t="n">
        <v>0</v>
      </c>
      <c r="K1079" s="10" t="n">
        <v>0</v>
      </c>
      <c r="L1079" s="14">
        <f>IFERROR(IF(OR(J1079=0,K1079=""),"",IF(E1079="Positivo",MIN(MAX(K1079/J1079,0),1.3),MIN(MAX(J1079/K1079,0),1.3))),"") </f>
        <v/>
      </c>
      <c r="M1079" s="14">
        <f>IFERROR(IF(OR(J1079=0,K1079=""),"",IF(E1079="Positivo",MAX(K1079/J1079,0),MAX(J1079/K1079,0))),"") </f>
        <v/>
      </c>
      <c r="N1079" s="5" t="n"/>
      <c r="O1079" s="5" t="n"/>
      <c r="P1079" s="15" t="n">
        <v>0</v>
      </c>
      <c r="Q1079" s="15" t="n">
        <v>0</v>
      </c>
      <c r="R1079" s="5" t="inlineStr">
        <is>
          <t>236-2024-12-31</t>
        </is>
      </c>
    </row>
    <row r="1080">
      <c r="A1080" s="21" t="n">
        <v>236</v>
      </c>
      <c r="B1080" s="5" t="inlineStr">
        <is>
          <t>Actos Administrativos o Decisiones Judiciales Ambientales</t>
        </is>
      </c>
      <c r="C1080" s="5" t="inlineStr">
        <is>
          <t>GESTIÓN AMBIENTAL</t>
        </is>
      </c>
      <c r="D1080" s="5" t="inlineStr">
        <is>
          <t>Anual</t>
        </is>
      </c>
      <c r="E1080" s="5" t="inlineStr">
        <is>
          <t>Negativo</t>
        </is>
      </c>
      <c r="F1080" s="107" t="n">
        <v>46022</v>
      </c>
      <c r="G1080" s="5" t="n">
        <v>2025</v>
      </c>
      <c r="H1080" s="5" t="inlineStr">
        <is>
          <t>Diciembre</t>
        </is>
      </c>
      <c r="I1080" s="6" t="inlineStr">
        <is>
          <t>2025-2</t>
        </is>
      </c>
      <c r="J1080" s="5" t="n">
        <v>0</v>
      </c>
      <c r="K1080" s="10" t="n">
        <v>0</v>
      </c>
      <c r="L1080" s="14">
        <f>IFERROR(IF(OR(J1080=0,K1080=""),"",IF(E1080="Positivo",MIN(MAX(K1080/J1080,0),1.3),MIN(MAX(J1080/K1080,0),1.3))),"") </f>
        <v/>
      </c>
      <c r="M1080" s="14">
        <f>IFERROR(IF(OR(J1080=0,K1080=""),"",IF(E1080="Positivo",MAX(K1080/J1080,0),MAX(J1080/K1080,0))),"") </f>
        <v/>
      </c>
      <c r="N1080" s="5" t="inlineStr">
        <is>
          <t>%</t>
        </is>
      </c>
      <c r="O1080" s="5" t="inlineStr">
        <is>
          <t>%</t>
        </is>
      </c>
      <c r="P1080" s="15" t="n">
        <v>0</v>
      </c>
      <c r="Q1080" s="15" t="n">
        <v>0</v>
      </c>
      <c r="R1080" s="5" t="inlineStr">
        <is>
          <t>236-2025-12-31</t>
        </is>
      </c>
    </row>
    <row r="1081">
      <c r="A1081" s="21" t="n">
        <v>238</v>
      </c>
      <c r="B1081" s="5" t="inlineStr">
        <is>
          <t>Cumplimiento de la Protección del Medio Ambiente</t>
        </is>
      </c>
      <c r="C1081" s="5" t="inlineStr">
        <is>
          <t>GESTIÓN AMBIENTAL</t>
        </is>
      </c>
      <c r="D1081" s="5" t="inlineStr">
        <is>
          <t>Semestral</t>
        </is>
      </c>
      <c r="E1081" s="5" t="inlineStr">
        <is>
          <t>Positivo</t>
        </is>
      </c>
      <c r="F1081" s="106" t="n">
        <v>44742</v>
      </c>
      <c r="G1081" s="5" t="n">
        <v>2022</v>
      </c>
      <c r="H1081" s="5" t="inlineStr">
        <is>
          <t>Junio</t>
        </is>
      </c>
      <c r="I1081" s="6" t="inlineStr">
        <is>
          <t>2022-1</t>
        </is>
      </c>
      <c r="J1081" s="5" t="n">
        <v>90</v>
      </c>
      <c r="K1081" s="9" t="n"/>
      <c r="L1081" s="14" t="n"/>
      <c r="M1081" s="14" t="n"/>
      <c r="N1081" s="5" t="inlineStr">
        <is>
          <t>Sin Reporte</t>
        </is>
      </c>
      <c r="O1081" s="5" t="inlineStr">
        <is>
          <t>No Aplica</t>
        </is>
      </c>
      <c r="P1081" s="15" t="n">
        <v>0</v>
      </c>
      <c r="Q1081" s="15" t="n">
        <v>0</v>
      </c>
      <c r="R1081" s="5" t="inlineStr">
        <is>
          <t>238-2022-06-30</t>
        </is>
      </c>
      <c r="S1081" t="inlineStr">
        <is>
          <t>No Aplica</t>
        </is>
      </c>
    </row>
    <row r="1082">
      <c r="A1082" s="26" t="n">
        <v>238</v>
      </c>
      <c r="B1082" s="5" t="inlineStr">
        <is>
          <t>Cumplimiento de la Protección del Medio Ambiente</t>
        </is>
      </c>
      <c r="C1082" s="5" t="inlineStr">
        <is>
          <t>GESTIÓN AMBIENTAL</t>
        </is>
      </c>
      <c r="D1082" s="5" t="inlineStr">
        <is>
          <t>Semestral</t>
        </is>
      </c>
      <c r="E1082" s="5" t="inlineStr">
        <is>
          <t>Positivo</t>
        </is>
      </c>
      <c r="F1082" s="107" t="n">
        <v>44926</v>
      </c>
      <c r="G1082" s="5" t="n">
        <v>2022</v>
      </c>
      <c r="H1082" s="5" t="inlineStr">
        <is>
          <t>Diciembre</t>
        </is>
      </c>
      <c r="I1082" s="6" t="inlineStr">
        <is>
          <t>2022-2</t>
        </is>
      </c>
      <c r="J1082" s="5" t="n">
        <v>90</v>
      </c>
      <c r="K1082" s="9" t="n"/>
      <c r="L1082" s="14" t="n"/>
      <c r="M1082" s="14" t="n"/>
      <c r="N1082" s="5" t="inlineStr">
        <is>
          <t>Sin Reporte</t>
        </is>
      </c>
      <c r="O1082" s="5" t="inlineStr">
        <is>
          <t>No Aplica</t>
        </is>
      </c>
      <c r="P1082" s="15" t="n">
        <v>0</v>
      </c>
      <c r="Q1082" s="15" t="n">
        <v>0</v>
      </c>
      <c r="R1082" s="5" t="inlineStr">
        <is>
          <t>238-2022-12-31</t>
        </is>
      </c>
      <c r="S1082" t="inlineStr">
        <is>
          <t>No Aplica</t>
        </is>
      </c>
    </row>
    <row r="1083">
      <c r="A1083" s="26" t="n">
        <v>238</v>
      </c>
      <c r="B1083" s="5" t="inlineStr">
        <is>
          <t>Cumplimiento de la Protección del Medio Ambiente</t>
        </is>
      </c>
      <c r="C1083" s="5" t="inlineStr">
        <is>
          <t>GESTIÓN AMBIENTAL</t>
        </is>
      </c>
      <c r="D1083" s="5" t="inlineStr">
        <is>
          <t>Trimestral</t>
        </is>
      </c>
      <c r="E1083" s="5" t="inlineStr">
        <is>
          <t>Positivo</t>
        </is>
      </c>
      <c r="F1083" s="107" t="n">
        <v>45016</v>
      </c>
      <c r="G1083" s="5" t="n">
        <v>2023</v>
      </c>
      <c r="H1083" s="5" t="inlineStr">
        <is>
          <t>Marzo</t>
        </is>
      </c>
      <c r="I1083" s="6" t="inlineStr">
        <is>
          <t>2023-1</t>
        </is>
      </c>
      <c r="J1083" s="5" t="n">
        <v>90</v>
      </c>
      <c r="K1083" s="9" t="n">
        <v>94.44444444444444</v>
      </c>
      <c r="L1083" s="14">
        <f>IFERROR(IF(OR(J1083=0,K1083=""),"",IF(E1083="Positivo",MIN(MAX(K1083/J1083,0),1.3),MIN(MAX(J1083/K1083,0),1.3))),"") </f>
        <v/>
      </c>
      <c r="M1083" s="14">
        <f>IFERROR(IF(OR(J1083=0,K1083=""),"",IF(E1083="Positivo",MAX(K1083/J1083,0),MAX(J1083/K1083,0))),"") </f>
        <v/>
      </c>
      <c r="N1083" s="5" t="n"/>
      <c r="O1083" s="5" t="n"/>
      <c r="P1083" s="15" t="n">
        <v>0</v>
      </c>
      <c r="Q1083" s="15" t="n">
        <v>0</v>
      </c>
      <c r="R1083" s="5" t="inlineStr">
        <is>
          <t>238-2023-03-31</t>
        </is>
      </c>
    </row>
    <row r="1084">
      <c r="A1084" s="26" t="n">
        <v>238</v>
      </c>
      <c r="B1084" s="5" t="inlineStr">
        <is>
          <t>Cumplimiento de la Protección del Medio Ambiente</t>
        </is>
      </c>
      <c r="C1084" s="5" t="inlineStr">
        <is>
          <t>GESTIÓN AMBIENTAL</t>
        </is>
      </c>
      <c r="D1084" s="5" t="inlineStr">
        <is>
          <t>Trimestral</t>
        </is>
      </c>
      <c r="E1084" s="5" t="inlineStr">
        <is>
          <t>Positivo</t>
        </is>
      </c>
      <c r="F1084" s="107" t="n">
        <v>45107</v>
      </c>
      <c r="G1084" s="5" t="n">
        <v>2023</v>
      </c>
      <c r="H1084" s="5" t="inlineStr">
        <is>
          <t>Junio</t>
        </is>
      </c>
      <c r="I1084" s="6" t="inlineStr">
        <is>
          <t>2023-1</t>
        </is>
      </c>
      <c r="J1084" s="5" t="n">
        <v>90</v>
      </c>
      <c r="K1084" s="9" t="n">
        <v>96.42857142857144</v>
      </c>
      <c r="L1084" s="14">
        <f>IFERROR(IF(OR(J1084=0,K1084=""),"",IF(E1084="Positivo",MIN(MAX(K1084/J1084,0),1.3),MIN(MAX(J1084/K1084,0),1.3))),"") </f>
        <v/>
      </c>
      <c r="M1084" s="14">
        <f>IFERROR(IF(OR(J1084=0,K1084=""),"",IF(E1084="Positivo",MAX(K1084/J1084,0),MAX(J1084/K1084,0))),"") </f>
        <v/>
      </c>
      <c r="N1084" s="5" t="n"/>
      <c r="O1084" s="5" t="n"/>
      <c r="P1084" s="15" t="n">
        <v>0</v>
      </c>
      <c r="Q1084" s="15" t="n">
        <v>0</v>
      </c>
      <c r="R1084" s="5" t="inlineStr">
        <is>
          <t>238-2023-06-30</t>
        </is>
      </c>
    </row>
    <row r="1085">
      <c r="A1085" s="5" t="n">
        <v>238</v>
      </c>
      <c r="B1085" s="5" t="inlineStr">
        <is>
          <t>Cumplimiento de la Protección del Medio Ambiente</t>
        </is>
      </c>
      <c r="C1085" s="5" t="inlineStr">
        <is>
          <t>GESTIÓN AMBIENTAL</t>
        </is>
      </c>
      <c r="D1085" s="5" t="inlineStr">
        <is>
          <t>Trimestral</t>
        </is>
      </c>
      <c r="E1085" s="5" t="inlineStr">
        <is>
          <t>Positivo</t>
        </is>
      </c>
      <c r="F1085" s="107" t="n">
        <v>45199</v>
      </c>
      <c r="G1085" s="5" t="n">
        <v>2023</v>
      </c>
      <c r="H1085" s="5" t="inlineStr">
        <is>
          <t>Septiembre</t>
        </is>
      </c>
      <c r="I1085" s="6" t="inlineStr">
        <is>
          <t>2023-2</t>
        </is>
      </c>
      <c r="J1085" s="5" t="n">
        <v>90</v>
      </c>
      <c r="K1085" s="5" t="n">
        <v>84.21052631578947</v>
      </c>
      <c r="L1085" s="14">
        <f>IFERROR(IF(OR(J1085=0,K1085=""),"",IF(E1085="Positivo",MIN(MAX(K1085/J1085,0),1.3),MIN(MAX(J1085/K1085,0),1.3))),"") </f>
        <v/>
      </c>
      <c r="M1085" s="14">
        <f>IFERROR(IF(OR(J1085=0,K1085=""),"",IF(E1085="Positivo",MAX(K1085/J1085,0),MAX(J1085/K1085,0))),"") </f>
        <v/>
      </c>
      <c r="N1085" s="5" t="n"/>
      <c r="O1085" s="5" t="n"/>
      <c r="P1085" s="15" t="n">
        <v>0</v>
      </c>
      <c r="Q1085" s="5" t="n">
        <v>0</v>
      </c>
      <c r="R1085" s="5" t="inlineStr">
        <is>
          <t>238-2023-09-30</t>
        </is>
      </c>
    </row>
    <row r="1086">
      <c r="A1086" s="21" t="n">
        <v>238</v>
      </c>
      <c r="B1086" s="5" t="inlineStr">
        <is>
          <t>Cumplimiento de la Protección del Medio Ambiente</t>
        </is>
      </c>
      <c r="C1086" s="5" t="inlineStr">
        <is>
          <t>GESTIÓN AMBIENTAL</t>
        </is>
      </c>
      <c r="D1086" s="5" t="inlineStr">
        <is>
          <t>Semestral</t>
        </is>
      </c>
      <c r="E1086" s="5" t="inlineStr">
        <is>
          <t>Positivo</t>
        </is>
      </c>
      <c r="F1086" s="107" t="n">
        <v>45291</v>
      </c>
      <c r="G1086" s="5" t="n">
        <v>2023</v>
      </c>
      <c r="H1086" s="5" t="inlineStr">
        <is>
          <t>Diciembre</t>
        </is>
      </c>
      <c r="I1086" s="6" t="inlineStr">
        <is>
          <t>2023-2</t>
        </is>
      </c>
      <c r="J1086" s="5" t="n">
        <v>90</v>
      </c>
      <c r="K1086" s="10" t="n">
        <v>75</v>
      </c>
      <c r="L1086" s="14">
        <f>IFERROR(IF(OR(J1086=0,K1086=""),"",IF(E1086="Positivo",MIN(MAX(K1086/J1086,0),1.3),MIN(MAX(J1086/K1086,0),1.3))),"") </f>
        <v/>
      </c>
      <c r="M1086" s="14">
        <f>IFERROR(IF(OR(J1086=0,K1086=""),"",IF(E1086="Positivo",MAX(K1086/J1086,0),MAX(J1086/K1086,0))),"") </f>
        <v/>
      </c>
      <c r="N1086" s="5" t="inlineStr">
        <is>
          <t>Sin Reporte</t>
        </is>
      </c>
      <c r="O1086" s="5" t="inlineStr">
        <is>
          <t>Sin Reporte</t>
        </is>
      </c>
      <c r="P1086" s="15" t="n">
        <v>0</v>
      </c>
      <c r="Q1086" s="15" t="n">
        <v>0</v>
      </c>
      <c r="R1086" s="5" t="inlineStr">
        <is>
          <t>238-2023-12-31</t>
        </is>
      </c>
    </row>
    <row r="1087">
      <c r="A1087" s="26" t="n">
        <v>238</v>
      </c>
      <c r="B1087" s="5" t="inlineStr">
        <is>
          <t>Cumplimiento de la Protección del Medio Ambiente</t>
        </is>
      </c>
      <c r="C1087" s="5" t="inlineStr">
        <is>
          <t>GESTIÓN AMBIENTAL</t>
        </is>
      </c>
      <c r="D1087" s="5" t="inlineStr">
        <is>
          <t>Trimestral</t>
        </is>
      </c>
      <c r="E1087" s="5" t="inlineStr">
        <is>
          <t>Positivo</t>
        </is>
      </c>
      <c r="F1087" s="107" t="n">
        <v>45382</v>
      </c>
      <c r="G1087" s="5" t="n">
        <v>2024</v>
      </c>
      <c r="H1087" s="5" t="inlineStr">
        <is>
          <t>Marzo</t>
        </is>
      </c>
      <c r="I1087" s="6" t="inlineStr">
        <is>
          <t>2024-1</t>
        </is>
      </c>
      <c r="J1087" s="5" t="n">
        <v>90</v>
      </c>
      <c r="K1087" s="9" t="n">
        <v>76.19047619047619</v>
      </c>
      <c r="L1087" s="14">
        <f>IFERROR(IF(OR(J1087=0,K1087=""),"",IF(E1087="Positivo",MIN(MAX(K1087/J1087,0),1.3),MIN(MAX(J1087/K1087,0),1.3))),"") </f>
        <v/>
      </c>
      <c r="M1087" s="14">
        <f>IFERROR(IF(OR(J1087=0,K1087=""),"",IF(E1087="Positivo",MAX(K1087/J1087,0),MAX(J1087/K1087,0))),"") </f>
        <v/>
      </c>
      <c r="N1087" s="5" t="inlineStr">
        <is>
          <t>Sin Reporte</t>
        </is>
      </c>
      <c r="O1087" s="5" t="inlineStr">
        <is>
          <t>Sin Reporte</t>
        </is>
      </c>
      <c r="P1087" s="15" t="n">
        <v>0</v>
      </c>
      <c r="Q1087" s="15" t="n">
        <v>0</v>
      </c>
      <c r="R1087" s="5" t="inlineStr">
        <is>
          <t>238-2024-03-31</t>
        </is>
      </c>
    </row>
    <row r="1088">
      <c r="A1088" s="5" t="n">
        <v>238</v>
      </c>
      <c r="B1088" s="5" t="inlineStr">
        <is>
          <t>Cumplimiento de la Protección del Medio Ambiente</t>
        </is>
      </c>
      <c r="C1088" s="5" t="inlineStr">
        <is>
          <t>GESTIÓN AMBIENTAL</t>
        </is>
      </c>
      <c r="D1088" s="5" t="inlineStr">
        <is>
          <t>Semestral</t>
        </is>
      </c>
      <c r="E1088" s="5" t="inlineStr">
        <is>
          <t>Positivo</t>
        </is>
      </c>
      <c r="F1088" s="107" t="n">
        <v>45473</v>
      </c>
      <c r="G1088" s="5" t="n">
        <v>2024</v>
      </c>
      <c r="H1088" s="5" t="inlineStr">
        <is>
          <t>Junio</t>
        </is>
      </c>
      <c r="I1088" s="6" t="inlineStr">
        <is>
          <t>2024-1</t>
        </is>
      </c>
      <c r="J1088" s="5" t="n">
        <v>90</v>
      </c>
      <c r="K1088" s="5" t="n">
        <v>78.125</v>
      </c>
      <c r="L1088" s="14">
        <f>IFERROR(IF(OR(J1088=0,K1088=""),"",IF(E1088="Positivo",MIN(MAX(K1088/J1088,0),1.3),MIN(MAX(J1088/K1088,0),1.3))),"") </f>
        <v/>
      </c>
      <c r="M1088" s="14">
        <f>IFERROR(IF(OR(J1088=0,K1088=""),"",IF(E1088="Positivo",MAX(K1088/J1088,0),MAX(J1088/K1088,0))),"") </f>
        <v/>
      </c>
      <c r="N1088" s="5" t="inlineStr">
        <is>
          <t>Sin Reporte</t>
        </is>
      </c>
      <c r="O1088" s="5" t="inlineStr">
        <is>
          <t>Sin Reporte</t>
        </is>
      </c>
      <c r="P1088" s="15" t="n">
        <v>0</v>
      </c>
      <c r="Q1088" s="5" t="n">
        <v>0</v>
      </c>
      <c r="R1088" s="5" t="inlineStr">
        <is>
          <t>238-2024-06-30</t>
        </is>
      </c>
    </row>
    <row r="1089">
      <c r="A1089" s="21" t="n">
        <v>238</v>
      </c>
      <c r="B1089" s="5" t="inlineStr">
        <is>
          <t>Cumplimiento de la Protección del Medio Ambiente</t>
        </is>
      </c>
      <c r="C1089" s="5" t="inlineStr">
        <is>
          <t>GESTIÓN AMBIENTAL</t>
        </is>
      </c>
      <c r="D1089" s="5" t="inlineStr">
        <is>
          <t>Trimestral</t>
        </is>
      </c>
      <c r="E1089" s="5" t="inlineStr">
        <is>
          <t>Positivo</t>
        </is>
      </c>
      <c r="F1089" s="107" t="n">
        <v>45565</v>
      </c>
      <c r="G1089" s="5" t="n">
        <v>2024</v>
      </c>
      <c r="H1089" s="5" t="inlineStr">
        <is>
          <t>Septiembre</t>
        </is>
      </c>
      <c r="I1089" s="6" t="inlineStr">
        <is>
          <t>2024-2</t>
        </is>
      </c>
      <c r="J1089" s="5" t="n">
        <v>90</v>
      </c>
      <c r="K1089" s="10" t="n">
        <v>84.21052631578947</v>
      </c>
      <c r="L1089" s="14">
        <f>IFERROR(IF(OR(J1089=0,K1089=""),"",IF(E1089="Positivo",MIN(MAX(K1089/J1089,0),1.3),MIN(MAX(J1089/K1089,0),1.3))),"") </f>
        <v/>
      </c>
      <c r="M1089" s="14">
        <f>IFERROR(IF(OR(J1089=0,K1089=""),"",IF(E1089="Positivo",MAX(K1089/J1089,0),MAX(J1089/K1089,0))),"") </f>
        <v/>
      </c>
      <c r="N1089" s="5" t="inlineStr">
        <is>
          <t>Sin Reporte</t>
        </is>
      </c>
      <c r="O1089" s="5" t="inlineStr">
        <is>
          <t>Sin Reporte</t>
        </is>
      </c>
      <c r="P1089" s="15" t="n">
        <v>0</v>
      </c>
      <c r="Q1089" s="15" t="n">
        <v>0</v>
      </c>
      <c r="R1089" s="5" t="inlineStr">
        <is>
          <t>238-2024-09-30</t>
        </is>
      </c>
    </row>
    <row r="1090">
      <c r="A1090" s="28" t="n">
        <v>238</v>
      </c>
      <c r="B1090" s="5" t="inlineStr">
        <is>
          <t>Cumplimiento de la Protección del Medio Ambiente</t>
        </is>
      </c>
      <c r="C1090" s="5" t="inlineStr">
        <is>
          <t>GESTIÓN AMBIENTAL</t>
        </is>
      </c>
      <c r="D1090" s="5" t="inlineStr">
        <is>
          <t>Trimestral</t>
        </is>
      </c>
      <c r="E1090" s="5" t="inlineStr">
        <is>
          <t>Positivo</t>
        </is>
      </c>
      <c r="F1090" s="107" t="n">
        <v>45657</v>
      </c>
      <c r="G1090" s="5" t="n">
        <v>2024</v>
      </c>
      <c r="H1090" s="5" t="inlineStr">
        <is>
          <t>Diciembre</t>
        </is>
      </c>
      <c r="I1090" s="6" t="inlineStr">
        <is>
          <t>2024-2</t>
        </is>
      </c>
      <c r="J1090" s="5" t="n">
        <v>90</v>
      </c>
      <c r="K1090" s="9" t="n">
        <v>80</v>
      </c>
      <c r="L1090" s="14">
        <f>IFERROR(IF(OR(J1090=0,K1090=""),"",IF(E1090="Positivo",MIN(MAX(K1090/J1090,0),1.3),MIN(MAX(J1090/K1090,0),1.3))),"") </f>
        <v/>
      </c>
      <c r="M1090" s="14">
        <f>IFERROR(IF(OR(J1090=0,K1090=""),"",IF(E1090="Positivo",MAX(K1090/J1090,0),MAX(J1090/K1090,0))),"") </f>
        <v/>
      </c>
      <c r="N1090" s="5" t="inlineStr">
        <is>
          <t>Sin Reporte</t>
        </is>
      </c>
      <c r="O1090" s="5" t="inlineStr">
        <is>
          <t>Sin Reporte</t>
        </is>
      </c>
      <c r="P1090" s="15" t="n">
        <v>0</v>
      </c>
      <c r="Q1090" s="15" t="n">
        <v>0</v>
      </c>
      <c r="R1090" s="5" t="inlineStr">
        <is>
          <t>238-2024-12-31</t>
        </is>
      </c>
    </row>
    <row r="1091">
      <c r="A1091" s="26" t="n">
        <v>238</v>
      </c>
      <c r="B1091" s="5" t="inlineStr">
        <is>
          <t>Cumplimiento de la Protección del Medio Ambiente</t>
        </is>
      </c>
      <c r="C1091" s="5" t="inlineStr">
        <is>
          <t>GESTIÓN AMBIENTAL</t>
        </is>
      </c>
      <c r="D1091" s="5" t="inlineStr">
        <is>
          <t>Semestral</t>
        </is>
      </c>
      <c r="E1091" s="5" t="inlineStr">
        <is>
          <t>Positivo</t>
        </is>
      </c>
      <c r="F1091" s="107" t="n">
        <v>45747</v>
      </c>
      <c r="G1091" s="5" t="n">
        <v>2025</v>
      </c>
      <c r="H1091" s="5" t="inlineStr">
        <is>
          <t>Marzo</t>
        </is>
      </c>
      <c r="I1091" s="6" t="inlineStr">
        <is>
          <t>2025-1</t>
        </is>
      </c>
      <c r="J1091" s="5" t="n">
        <v>90</v>
      </c>
      <c r="K1091" s="9" t="n">
        <v>95.12</v>
      </c>
      <c r="L1091" s="14">
        <f>IFERROR(IF(OR(J1091=0,K1091=""),"",IF(E1091="Positivo",MIN(MAX(K1091/J1091,0),1.3),MIN(MAX(J1091/K1091,0),1.3))),"") </f>
        <v/>
      </c>
      <c r="M1091" s="14">
        <f>IFERROR(IF(OR(J1091=0,K1091=""),"",IF(E1091="Positivo",MAX(K1091/J1091,0),MAX(J1091/K1091,0))),"") </f>
        <v/>
      </c>
      <c r="N1091" s="5" t="inlineStr">
        <is>
          <t>Sin Reporte</t>
        </is>
      </c>
      <c r="O1091" s="5" t="inlineStr">
        <is>
          <t>Sin Reporte</t>
        </is>
      </c>
      <c r="P1091" s="15" t="n">
        <v>0</v>
      </c>
      <c r="Q1091" s="15" t="n">
        <v>0</v>
      </c>
      <c r="R1091" s="5" t="inlineStr">
        <is>
          <t>238-2025-03-31</t>
        </is>
      </c>
    </row>
    <row r="1092">
      <c r="A1092" s="28" t="n">
        <v>238</v>
      </c>
      <c r="B1092" s="5" t="inlineStr">
        <is>
          <t>Cumplimiento de la Protección del Medio Ambiente</t>
        </is>
      </c>
      <c r="C1092" s="5" t="inlineStr">
        <is>
          <t>GESTIÓN AMBIENTAL</t>
        </is>
      </c>
      <c r="D1092" s="5" t="inlineStr">
        <is>
          <t>Semestral</t>
        </is>
      </c>
      <c r="E1092" s="5" t="inlineStr">
        <is>
          <t>Positivo</t>
        </is>
      </c>
      <c r="F1092" s="107" t="n">
        <v>45838</v>
      </c>
      <c r="G1092" s="5" t="n">
        <v>2025</v>
      </c>
      <c r="H1092" s="5" t="inlineStr">
        <is>
          <t>Junio</t>
        </is>
      </c>
      <c r="I1092" s="6" t="inlineStr">
        <is>
          <t>2025-1</t>
        </is>
      </c>
      <c r="J1092" s="5" t="n">
        <v>90</v>
      </c>
      <c r="K1092" s="9" t="n">
        <v>90.48</v>
      </c>
      <c r="L1092" s="14">
        <f>IFERROR(IF(OR(J1092=0,K1092=""),"",IF(E1092="Positivo",MIN(MAX(K1092/J1092,0),1.3),MIN(MAX(J1092/K1092,0),1.3))),"") </f>
        <v/>
      </c>
      <c r="M1092" s="14">
        <f>IFERROR(IF(OR(J1092=0,K1092=""),"",IF(E1092="Positivo",MAX(K1092/J1092,0),MAX(J1092/K1092,0))),"") </f>
        <v/>
      </c>
      <c r="N1092" s="5" t="inlineStr">
        <is>
          <t>Sin Reporte</t>
        </is>
      </c>
      <c r="O1092" s="5" t="inlineStr">
        <is>
          <t>Sin Reporte</t>
        </is>
      </c>
      <c r="P1092" s="15" t="n">
        <v>0</v>
      </c>
      <c r="Q1092" s="15" t="n">
        <v>0</v>
      </c>
      <c r="R1092" s="5" t="inlineStr">
        <is>
          <t>238-2025-06-30</t>
        </is>
      </c>
    </row>
    <row r="1093">
      <c r="A1093" s="21" t="n">
        <v>238</v>
      </c>
      <c r="B1093" s="5" t="inlineStr">
        <is>
          <t>Cumplimiento de la Protección del Medio Ambiente</t>
        </is>
      </c>
      <c r="C1093" s="5" t="inlineStr">
        <is>
          <t>GESTIÓN AMBIENTAL</t>
        </is>
      </c>
      <c r="D1093" s="5" t="inlineStr">
        <is>
          <t>Semestral</t>
        </is>
      </c>
      <c r="E1093" s="5" t="inlineStr">
        <is>
          <t>Positivo</t>
        </is>
      </c>
      <c r="F1093" s="107" t="n">
        <v>46022</v>
      </c>
      <c r="G1093" s="5" t="n">
        <v>2025</v>
      </c>
      <c r="H1093" s="5" t="inlineStr">
        <is>
          <t>Diciembre</t>
        </is>
      </c>
      <c r="I1093" s="6" t="inlineStr">
        <is>
          <t>2025-2</t>
        </is>
      </c>
      <c r="J1093" s="5" t="n">
        <v>90</v>
      </c>
      <c r="K1093" s="10" t="n">
        <v>68</v>
      </c>
      <c r="L1093" s="14">
        <f>IFERROR(IF(OR(J1093=0,K1093=""),"",IF(E1093="Positivo",MIN(MAX(K1093/J1093,0),1.3),MIN(MAX(J1093/K1093,0),1.3))),"") </f>
        <v/>
      </c>
      <c r="M1093" s="14">
        <f>IFERROR(IF(OR(J1093=0,K1093=""),"",IF(E1093="Positivo",MAX(K1093/J1093,0),MAX(J1093/K1093,0))),"") </f>
        <v/>
      </c>
      <c r="N1093" s="5" t="inlineStr">
        <is>
          <t>Sin Reporte</t>
        </is>
      </c>
      <c r="O1093" s="5" t="inlineStr">
        <is>
          <t>Sin Reporte</t>
        </is>
      </c>
      <c r="P1093" s="15" t="n">
        <v>0</v>
      </c>
      <c r="Q1093" s="15" t="n">
        <v>0</v>
      </c>
      <c r="R1093" s="5" t="inlineStr">
        <is>
          <t>238-2025-12-31</t>
        </is>
      </c>
    </row>
    <row r="1094">
      <c r="A1094" s="26" t="n">
        <v>239</v>
      </c>
      <c r="B1094" s="5" t="inlineStr">
        <is>
          <t>Portafolio de Proyectos - Metrica</t>
        </is>
      </c>
      <c r="C1094" s="5" t="inlineStr">
        <is>
          <t>Gestión de Proyectos</t>
        </is>
      </c>
      <c r="D1094" s="5" t="inlineStr">
        <is>
          <t>Mensual</t>
        </is>
      </c>
      <c r="E1094" s="5" t="inlineStr">
        <is>
          <t>Positivo</t>
        </is>
      </c>
      <c r="F1094" s="107" t="n">
        <v>44592</v>
      </c>
      <c r="G1094" s="5" t="n">
        <v>2022</v>
      </c>
      <c r="H1094" s="5" t="inlineStr">
        <is>
          <t>Enero</t>
        </is>
      </c>
      <c r="I1094" s="6" t="inlineStr">
        <is>
          <t>2022-1</t>
        </is>
      </c>
      <c r="J1094" s="5" t="n"/>
      <c r="K1094" s="9" t="n">
        <v>0</v>
      </c>
      <c r="L1094" s="8" t="n"/>
      <c r="M1094" s="14" t="n"/>
      <c r="N1094" s="5" t="inlineStr">
        <is>
          <t>Metrica</t>
        </is>
      </c>
      <c r="O1094" s="5" t="inlineStr">
        <is>
          <t>ENT</t>
        </is>
      </c>
      <c r="P1094" s="15" t="n">
        <v>0</v>
      </c>
      <c r="Q1094" s="15" t="n">
        <v>0</v>
      </c>
      <c r="R1094" s="5" t="inlineStr">
        <is>
          <t>239-2022-01-31</t>
        </is>
      </c>
      <c r="S1094" t="inlineStr">
        <is>
          <t>Metrica</t>
        </is>
      </c>
    </row>
    <row r="1095">
      <c r="A1095" s="26" t="n">
        <v>239</v>
      </c>
      <c r="B1095" s="5" t="inlineStr">
        <is>
          <t>Portafolio de Proyectos - Metrica</t>
        </is>
      </c>
      <c r="C1095" s="5" t="inlineStr">
        <is>
          <t>Gestión de Proyectos</t>
        </is>
      </c>
      <c r="D1095" s="5" t="inlineStr">
        <is>
          <t>Mensual</t>
        </is>
      </c>
      <c r="E1095" s="5" t="inlineStr">
        <is>
          <t>Positivo</t>
        </is>
      </c>
      <c r="F1095" s="107" t="n">
        <v>44620</v>
      </c>
      <c r="G1095" s="5" t="n">
        <v>2022</v>
      </c>
      <c r="H1095" s="5" t="inlineStr">
        <is>
          <t>Febrero</t>
        </is>
      </c>
      <c r="I1095" s="6" t="inlineStr">
        <is>
          <t>2022-1</t>
        </is>
      </c>
      <c r="J1095" s="5" t="n"/>
      <c r="K1095" s="9" t="n">
        <v>0</v>
      </c>
      <c r="L1095" s="8" t="n"/>
      <c r="M1095" s="14" t="n"/>
      <c r="N1095" s="5" t="inlineStr">
        <is>
          <t>Metrica</t>
        </is>
      </c>
      <c r="O1095" s="5" t="inlineStr">
        <is>
          <t>ENT</t>
        </is>
      </c>
      <c r="P1095" s="15" t="n">
        <v>0</v>
      </c>
      <c r="Q1095" s="15" t="n">
        <v>0</v>
      </c>
      <c r="R1095" s="5" t="inlineStr">
        <is>
          <t>239-2022-02-28</t>
        </is>
      </c>
      <c r="S1095" t="inlineStr">
        <is>
          <t>Metrica</t>
        </is>
      </c>
    </row>
    <row r="1096">
      <c r="A1096" s="21" t="n">
        <v>239</v>
      </c>
      <c r="B1096" s="5" t="inlineStr">
        <is>
          <t>Portafolio de Proyectos - Metrica</t>
        </is>
      </c>
      <c r="C1096" s="5" t="inlineStr">
        <is>
          <t>Gestión de Proyectos</t>
        </is>
      </c>
      <c r="D1096" s="5" t="inlineStr">
        <is>
          <t>Mensual</t>
        </is>
      </c>
      <c r="E1096" s="5" t="inlineStr">
        <is>
          <t>Positivo</t>
        </is>
      </c>
      <c r="F1096" s="107" t="n">
        <v>44651</v>
      </c>
      <c r="G1096" s="5" t="n">
        <v>2022</v>
      </c>
      <c r="H1096" s="5" t="inlineStr">
        <is>
          <t>Marzo</t>
        </is>
      </c>
      <c r="I1096" s="6" t="inlineStr">
        <is>
          <t>2022-1</t>
        </is>
      </c>
      <c r="J1096" s="5" t="n"/>
      <c r="K1096" s="10" t="n">
        <v>0</v>
      </c>
      <c r="L1096" s="14" t="n"/>
      <c r="M1096" s="14" t="n"/>
      <c r="N1096" s="5" t="inlineStr">
        <is>
          <t>Metrica</t>
        </is>
      </c>
      <c r="O1096" s="5" t="inlineStr">
        <is>
          <t>ENT</t>
        </is>
      </c>
      <c r="P1096" s="15" t="n">
        <v>0</v>
      </c>
      <c r="Q1096" s="15" t="n">
        <v>0</v>
      </c>
      <c r="R1096" s="5" t="inlineStr">
        <is>
          <t>239-2022-03-31</t>
        </is>
      </c>
      <c r="S1096" t="inlineStr">
        <is>
          <t>Metrica</t>
        </is>
      </c>
    </row>
    <row r="1097">
      <c r="A1097" s="26" t="n">
        <v>239</v>
      </c>
      <c r="B1097" s="5" t="inlineStr">
        <is>
          <t>Portafolio de Proyectos - Metrica</t>
        </is>
      </c>
      <c r="C1097" s="5" t="inlineStr">
        <is>
          <t>Gestión de Proyectos</t>
        </is>
      </c>
      <c r="D1097" s="5" t="inlineStr">
        <is>
          <t>Mensual</t>
        </is>
      </c>
      <c r="E1097" s="5" t="inlineStr">
        <is>
          <t>Positivo</t>
        </is>
      </c>
      <c r="F1097" s="107" t="n">
        <v>44681</v>
      </c>
      <c r="G1097" s="5" t="n">
        <v>2022</v>
      </c>
      <c r="H1097" s="5" t="inlineStr">
        <is>
          <t>Abril</t>
        </is>
      </c>
      <c r="I1097" s="6" t="inlineStr">
        <is>
          <t>2022-1</t>
        </is>
      </c>
      <c r="J1097" s="5" t="n"/>
      <c r="K1097" s="9" t="n">
        <v>0</v>
      </c>
      <c r="L1097" s="8" t="n"/>
      <c r="M1097" s="14" t="n"/>
      <c r="N1097" s="5" t="inlineStr">
        <is>
          <t>Metrica</t>
        </is>
      </c>
      <c r="O1097" s="5" t="inlineStr">
        <is>
          <t>ENT</t>
        </is>
      </c>
      <c r="P1097" s="15" t="n">
        <v>0</v>
      </c>
      <c r="Q1097" s="15" t="n">
        <v>0</v>
      </c>
      <c r="R1097" s="5" t="inlineStr">
        <is>
          <t>239-2022-04-30</t>
        </is>
      </c>
      <c r="S1097" t="inlineStr">
        <is>
          <t>Metrica</t>
        </is>
      </c>
    </row>
    <row r="1098">
      <c r="A1098" s="21" t="n">
        <v>239</v>
      </c>
      <c r="B1098" s="5" t="inlineStr">
        <is>
          <t>Portafolio de Proyectos - Metrica</t>
        </is>
      </c>
      <c r="C1098" s="5" t="inlineStr">
        <is>
          <t>Gestión de Proyectos</t>
        </is>
      </c>
      <c r="D1098" s="5" t="inlineStr">
        <is>
          <t>Mensual</t>
        </is>
      </c>
      <c r="E1098" s="5" t="inlineStr">
        <is>
          <t>Positivo</t>
        </is>
      </c>
      <c r="F1098" s="107" t="n">
        <v>44712</v>
      </c>
      <c r="G1098" s="5" t="n">
        <v>2022</v>
      </c>
      <c r="H1098" s="5" t="inlineStr">
        <is>
          <t>Mayo</t>
        </is>
      </c>
      <c r="I1098" s="6" t="inlineStr">
        <is>
          <t>2022-1</t>
        </is>
      </c>
      <c r="J1098" s="5" t="n"/>
      <c r="K1098" s="10" t="n">
        <v>0</v>
      </c>
      <c r="L1098" s="14" t="n"/>
      <c r="M1098" s="14" t="n"/>
      <c r="N1098" s="5" t="inlineStr">
        <is>
          <t>Metrica</t>
        </is>
      </c>
      <c r="O1098" s="5" t="inlineStr">
        <is>
          <t>ENT</t>
        </is>
      </c>
      <c r="P1098" s="15" t="n">
        <v>0</v>
      </c>
      <c r="Q1098" s="15" t="n">
        <v>0</v>
      </c>
      <c r="R1098" s="5" t="inlineStr">
        <is>
          <t>239-2022-05-31</t>
        </is>
      </c>
      <c r="S1098" t="inlineStr">
        <is>
          <t>Metrica</t>
        </is>
      </c>
    </row>
    <row r="1099">
      <c r="A1099" s="28" t="n">
        <v>239</v>
      </c>
      <c r="B1099" s="5" t="inlineStr">
        <is>
          <t>Portafolio de Proyectos - Metrica</t>
        </is>
      </c>
      <c r="C1099" s="5" t="inlineStr">
        <is>
          <t>Gestión de Proyectos</t>
        </is>
      </c>
      <c r="D1099" s="5" t="inlineStr">
        <is>
          <t>Mensual</t>
        </is>
      </c>
      <c r="E1099" s="5" t="inlineStr">
        <is>
          <t>Positivo</t>
        </is>
      </c>
      <c r="F1099" s="107" t="n">
        <v>44742</v>
      </c>
      <c r="G1099" s="5" t="n">
        <v>2022</v>
      </c>
      <c r="H1099" s="5" t="inlineStr">
        <is>
          <t>Junio</t>
        </is>
      </c>
      <c r="I1099" s="6" t="inlineStr">
        <is>
          <t>2022-1</t>
        </is>
      </c>
      <c r="J1099" s="5" t="n"/>
      <c r="K1099" s="9" t="n">
        <v>0</v>
      </c>
      <c r="L1099" s="8" t="n"/>
      <c r="M1099" s="14" t="n"/>
      <c r="N1099" s="5" t="inlineStr">
        <is>
          <t>Metrica</t>
        </is>
      </c>
      <c r="O1099" s="5" t="inlineStr">
        <is>
          <t>ENT</t>
        </is>
      </c>
      <c r="P1099" s="15" t="n">
        <v>0</v>
      </c>
      <c r="Q1099" s="15" t="n">
        <v>0</v>
      </c>
      <c r="R1099" s="5" t="inlineStr">
        <is>
          <t>239-2022-06-30</t>
        </is>
      </c>
      <c r="S1099" t="inlineStr">
        <is>
          <t>Metrica</t>
        </is>
      </c>
    </row>
    <row r="1100">
      <c r="A1100" s="26" t="n">
        <v>239</v>
      </c>
      <c r="B1100" s="5" t="inlineStr">
        <is>
          <t>Portafolio de Proyectos - Metrica</t>
        </is>
      </c>
      <c r="C1100" s="5" t="inlineStr">
        <is>
          <t>Gestión de Proyectos</t>
        </is>
      </c>
      <c r="D1100" s="5" t="inlineStr">
        <is>
          <t>Mensual</t>
        </is>
      </c>
      <c r="E1100" s="5" t="inlineStr">
        <is>
          <t>Positivo</t>
        </is>
      </c>
      <c r="F1100" s="107" t="n">
        <v>44773</v>
      </c>
      <c r="G1100" s="5" t="n">
        <v>2022</v>
      </c>
      <c r="H1100" s="5" t="inlineStr">
        <is>
          <t>Julio</t>
        </is>
      </c>
      <c r="I1100" s="6" t="inlineStr">
        <is>
          <t>2022-2</t>
        </is>
      </c>
      <c r="J1100" s="5" t="n"/>
      <c r="K1100" s="9" t="n">
        <v>0</v>
      </c>
      <c r="L1100" s="8" t="n"/>
      <c r="M1100" s="14" t="n"/>
      <c r="N1100" s="5" t="inlineStr">
        <is>
          <t>Metrica</t>
        </is>
      </c>
      <c r="O1100" s="5" t="inlineStr">
        <is>
          <t>ENT</t>
        </is>
      </c>
      <c r="P1100" s="15" t="n">
        <v>0</v>
      </c>
      <c r="Q1100" s="15" t="n">
        <v>0</v>
      </c>
      <c r="R1100" s="5" t="inlineStr">
        <is>
          <t>239-2022-07-31</t>
        </is>
      </c>
      <c r="S1100" t="inlineStr">
        <is>
          <t>Metrica</t>
        </is>
      </c>
    </row>
    <row r="1101">
      <c r="A1101" s="21" t="n">
        <v>239</v>
      </c>
      <c r="B1101" s="5" t="inlineStr">
        <is>
          <t>Portafolio de Proyectos - Metrica</t>
        </is>
      </c>
      <c r="C1101" s="5" t="inlineStr">
        <is>
          <t>Gestión de Proyectos</t>
        </is>
      </c>
      <c r="D1101" s="5" t="inlineStr">
        <is>
          <t>Mensual</t>
        </is>
      </c>
      <c r="E1101" s="5" t="inlineStr">
        <is>
          <t>Positivo</t>
        </is>
      </c>
      <c r="F1101" s="107" t="n">
        <v>44804</v>
      </c>
      <c r="G1101" s="5" t="n">
        <v>2022</v>
      </c>
      <c r="H1101" s="5" t="inlineStr">
        <is>
          <t>Agosto</t>
        </is>
      </c>
      <c r="I1101" s="6" t="inlineStr">
        <is>
          <t>2022-2</t>
        </is>
      </c>
      <c r="J1101" s="5" t="n"/>
      <c r="K1101" s="10" t="n">
        <v>0</v>
      </c>
      <c r="L1101" s="14" t="n"/>
      <c r="M1101" s="14" t="n"/>
      <c r="N1101" s="5" t="inlineStr">
        <is>
          <t>Metrica</t>
        </is>
      </c>
      <c r="O1101" s="5" t="inlineStr">
        <is>
          <t>ENT</t>
        </is>
      </c>
      <c r="P1101" s="15" t="n">
        <v>0</v>
      </c>
      <c r="Q1101" s="15" t="n">
        <v>0</v>
      </c>
      <c r="R1101" s="5" t="inlineStr">
        <is>
          <t>239-2022-08-31</t>
        </is>
      </c>
      <c r="S1101" t="inlineStr">
        <is>
          <t>Metrica</t>
        </is>
      </c>
    </row>
    <row r="1102">
      <c r="A1102" s="5" t="n">
        <v>239</v>
      </c>
      <c r="B1102" s="5" t="inlineStr">
        <is>
          <t>Portafolio de Proyectos - Metrica</t>
        </is>
      </c>
      <c r="C1102" s="5" t="inlineStr">
        <is>
          <t>Gestión de Proyectos</t>
        </is>
      </c>
      <c r="D1102" s="5" t="inlineStr">
        <is>
          <t>Mensual</t>
        </is>
      </c>
      <c r="E1102" s="5" t="inlineStr">
        <is>
          <t>Positivo</t>
        </is>
      </c>
      <c r="F1102" s="107" t="n">
        <v>44834</v>
      </c>
      <c r="G1102" s="5" t="n">
        <v>2022</v>
      </c>
      <c r="H1102" s="5" t="inlineStr">
        <is>
          <t>Septiembre</t>
        </is>
      </c>
      <c r="I1102" s="6" t="inlineStr">
        <is>
          <t>2022-2</t>
        </is>
      </c>
      <c r="J1102" s="5" t="n"/>
      <c r="K1102" s="5" t="n">
        <v>0</v>
      </c>
      <c r="L1102" s="14" t="n"/>
      <c r="M1102" s="14" t="n"/>
      <c r="N1102" s="5" t="inlineStr">
        <is>
          <t>Metrica</t>
        </is>
      </c>
      <c r="O1102" s="5" t="inlineStr">
        <is>
          <t>ENT</t>
        </is>
      </c>
      <c r="P1102" s="5" t="n">
        <v>0</v>
      </c>
      <c r="Q1102" s="5" t="n">
        <v>0</v>
      </c>
      <c r="R1102" s="5" t="inlineStr">
        <is>
          <t>239-2022-09-30</t>
        </is>
      </c>
      <c r="S1102" t="inlineStr">
        <is>
          <t>Metrica</t>
        </is>
      </c>
    </row>
    <row r="1103">
      <c r="A1103" s="21" t="n">
        <v>239</v>
      </c>
      <c r="B1103" s="5" t="inlineStr">
        <is>
          <t>Portafolio de Proyectos - Metrica</t>
        </is>
      </c>
      <c r="C1103" s="5" t="inlineStr">
        <is>
          <t>Gestión de Proyectos</t>
        </is>
      </c>
      <c r="D1103" s="5" t="inlineStr">
        <is>
          <t>Mensual</t>
        </is>
      </c>
      <c r="E1103" s="5" t="inlineStr">
        <is>
          <t>Positivo</t>
        </is>
      </c>
      <c r="F1103" s="107" t="n">
        <v>44865</v>
      </c>
      <c r="G1103" s="5" t="n">
        <v>2022</v>
      </c>
      <c r="H1103" s="5" t="inlineStr">
        <is>
          <t>Octubre</t>
        </is>
      </c>
      <c r="I1103" s="6" t="inlineStr">
        <is>
          <t>2022-2</t>
        </is>
      </c>
      <c r="J1103" s="5" t="n"/>
      <c r="K1103" s="10" t="n">
        <v>0</v>
      </c>
      <c r="L1103" s="14" t="n"/>
      <c r="M1103" s="14" t="n"/>
      <c r="N1103" s="5" t="inlineStr">
        <is>
          <t>Metrica</t>
        </is>
      </c>
      <c r="O1103" s="5" t="inlineStr">
        <is>
          <t>ENT</t>
        </is>
      </c>
      <c r="P1103" s="15" t="n">
        <v>0</v>
      </c>
      <c r="Q1103" s="15" t="n">
        <v>0</v>
      </c>
      <c r="R1103" s="5" t="inlineStr">
        <is>
          <t>239-2022-10-31</t>
        </is>
      </c>
      <c r="S1103" t="inlineStr">
        <is>
          <t>Metrica</t>
        </is>
      </c>
    </row>
    <row r="1104">
      <c r="A1104" s="21" t="n">
        <v>239</v>
      </c>
      <c r="B1104" s="5" t="inlineStr">
        <is>
          <t>Portafolio de Proyectos - Metrica</t>
        </is>
      </c>
      <c r="C1104" s="5" t="inlineStr">
        <is>
          <t>Gestión de Proyectos</t>
        </is>
      </c>
      <c r="D1104" s="5" t="inlineStr">
        <is>
          <t>Mensual</t>
        </is>
      </c>
      <c r="E1104" s="5" t="inlineStr">
        <is>
          <t>Positivo</t>
        </is>
      </c>
      <c r="F1104" s="107" t="n">
        <v>44895</v>
      </c>
      <c r="G1104" s="5" t="n">
        <v>2022</v>
      </c>
      <c r="H1104" s="5" t="inlineStr">
        <is>
          <t>Noviembre</t>
        </is>
      </c>
      <c r="I1104" s="6" t="inlineStr">
        <is>
          <t>2022-2</t>
        </is>
      </c>
      <c r="J1104" s="5" t="n"/>
      <c r="K1104" s="10" t="n">
        <v>0</v>
      </c>
      <c r="L1104" s="14" t="n"/>
      <c r="M1104" s="14" t="n"/>
      <c r="N1104" s="5" t="inlineStr">
        <is>
          <t>Metrica</t>
        </is>
      </c>
      <c r="O1104" s="5" t="inlineStr">
        <is>
          <t>ENT</t>
        </is>
      </c>
      <c r="P1104" s="15" t="n">
        <v>0</v>
      </c>
      <c r="Q1104" s="15" t="n">
        <v>0</v>
      </c>
      <c r="R1104" s="5" t="inlineStr">
        <is>
          <t>239-2022-11-30</t>
        </is>
      </c>
      <c r="S1104" t="inlineStr">
        <is>
          <t>Metrica</t>
        </is>
      </c>
    </row>
    <row r="1105">
      <c r="A1105" s="28" t="n">
        <v>239</v>
      </c>
      <c r="B1105" s="5" t="inlineStr">
        <is>
          <t>Portafolio de Proyectos - Metrica</t>
        </is>
      </c>
      <c r="C1105" s="5" t="inlineStr">
        <is>
          <t>Gestión de Proyectos</t>
        </is>
      </c>
      <c r="D1105" s="5" t="inlineStr">
        <is>
          <t>Mensual</t>
        </is>
      </c>
      <c r="E1105" s="5" t="inlineStr">
        <is>
          <t>Positivo</t>
        </is>
      </c>
      <c r="F1105" s="107" t="n">
        <v>44926</v>
      </c>
      <c r="G1105" s="5" t="n">
        <v>2022</v>
      </c>
      <c r="H1105" s="5" t="inlineStr">
        <is>
          <t>Diciembre</t>
        </is>
      </c>
      <c r="I1105" s="6" t="inlineStr">
        <is>
          <t>2022-2</t>
        </is>
      </c>
      <c r="J1105" s="5" t="n"/>
      <c r="K1105" s="9" t="n">
        <v>0</v>
      </c>
      <c r="L1105" s="14" t="n"/>
      <c r="M1105" s="14" t="n"/>
      <c r="N1105" s="5" t="inlineStr">
        <is>
          <t>Metrica</t>
        </is>
      </c>
      <c r="O1105" s="5" t="inlineStr">
        <is>
          <t>ENT</t>
        </is>
      </c>
      <c r="P1105" s="15" t="n">
        <v>0</v>
      </c>
      <c r="Q1105" s="15" t="n">
        <v>0</v>
      </c>
      <c r="R1105" s="5" t="inlineStr">
        <is>
          <t>239-2022-12-31</t>
        </is>
      </c>
      <c r="S1105" t="inlineStr">
        <is>
          <t>Metrica</t>
        </is>
      </c>
    </row>
    <row r="1106">
      <c r="A1106" s="26" t="n">
        <v>239</v>
      </c>
      <c r="B1106" s="5" t="inlineStr">
        <is>
          <t>Portafolio de Proyectos</t>
        </is>
      </c>
      <c r="C1106" s="5" t="inlineStr">
        <is>
          <t>Gestión de Proyectos</t>
        </is>
      </c>
      <c r="D1106" s="5" t="inlineStr">
        <is>
          <t>Mensual</t>
        </is>
      </c>
      <c r="E1106" s="5" t="inlineStr">
        <is>
          <t>Positivo</t>
        </is>
      </c>
      <c r="F1106" s="107" t="n">
        <v>44957</v>
      </c>
      <c r="G1106" s="5" t="n">
        <v>2023</v>
      </c>
      <c r="H1106" s="5" t="inlineStr">
        <is>
          <t>Enero</t>
        </is>
      </c>
      <c r="I1106" s="6" t="inlineStr">
        <is>
          <t>2023-1</t>
        </is>
      </c>
      <c r="J1106" s="5" t="n"/>
      <c r="K1106" s="9" t="n">
        <v>12</v>
      </c>
      <c r="L1106" s="14" t="n"/>
      <c r="M1106" s="14" t="n"/>
      <c r="N1106" s="5" t="inlineStr">
        <is>
          <t>Metrica</t>
        </is>
      </c>
      <c r="O1106" s="5" t="inlineStr">
        <is>
          <t>ENT</t>
        </is>
      </c>
      <c r="P1106" s="15" t="n">
        <v>0</v>
      </c>
      <c r="Q1106" s="15" t="n">
        <v>0</v>
      </c>
      <c r="R1106" s="5" t="inlineStr">
        <is>
          <t>239-2023-01-31</t>
        </is>
      </c>
    </row>
    <row r="1107">
      <c r="A1107" s="28" t="n">
        <v>239</v>
      </c>
      <c r="B1107" s="5" t="inlineStr">
        <is>
          <t>Portafolio de Proyectos</t>
        </is>
      </c>
      <c r="C1107" s="5" t="inlineStr">
        <is>
          <t>Gestión de Proyectos</t>
        </is>
      </c>
      <c r="D1107" s="5" t="inlineStr">
        <is>
          <t>Mensual</t>
        </is>
      </c>
      <c r="E1107" s="5" t="inlineStr">
        <is>
          <t>Positivo</t>
        </is>
      </c>
      <c r="F1107" s="107" t="n">
        <v>44985</v>
      </c>
      <c r="G1107" s="5" t="n">
        <v>2023</v>
      </c>
      <c r="H1107" s="5" t="inlineStr">
        <is>
          <t>Febrero</t>
        </is>
      </c>
      <c r="I1107" s="6" t="inlineStr">
        <is>
          <t>2023-1</t>
        </is>
      </c>
      <c r="J1107" s="5" t="n"/>
      <c r="K1107" s="9" t="n">
        <v>18</v>
      </c>
      <c r="L1107" s="14" t="n"/>
      <c r="M1107" s="14" t="n"/>
      <c r="N1107" s="5" t="inlineStr">
        <is>
          <t>Metrica</t>
        </is>
      </c>
      <c r="O1107" s="5" t="inlineStr">
        <is>
          <t>ENT</t>
        </is>
      </c>
      <c r="P1107" s="15" t="n">
        <v>0</v>
      </c>
      <c r="Q1107" s="15" t="n">
        <v>0</v>
      </c>
      <c r="R1107" s="5" t="inlineStr">
        <is>
          <t>239-2023-02-28</t>
        </is>
      </c>
    </row>
    <row r="1108">
      <c r="A1108" s="21" t="n">
        <v>239</v>
      </c>
      <c r="B1108" s="5" t="inlineStr">
        <is>
          <t>Portafolio de Proyectos</t>
        </is>
      </c>
      <c r="C1108" s="5" t="inlineStr">
        <is>
          <t>Gestión de Proyectos</t>
        </is>
      </c>
      <c r="D1108" s="5" t="inlineStr">
        <is>
          <t>Mensual</t>
        </is>
      </c>
      <c r="E1108" s="5" t="inlineStr">
        <is>
          <t>Positivo</t>
        </is>
      </c>
      <c r="F1108" s="107" t="n">
        <v>45016</v>
      </c>
      <c r="G1108" s="5" t="n">
        <v>2023</v>
      </c>
      <c r="H1108" s="5" t="inlineStr">
        <is>
          <t>Marzo</t>
        </is>
      </c>
      <c r="I1108" s="6" t="inlineStr">
        <is>
          <t>2023-1</t>
        </is>
      </c>
      <c r="J1108" s="5" t="n"/>
      <c r="K1108" s="10" t="n">
        <v>18</v>
      </c>
      <c r="L1108" s="14" t="n"/>
      <c r="M1108" s="14" t="n"/>
      <c r="N1108" s="5" t="inlineStr">
        <is>
          <t>Metrica</t>
        </is>
      </c>
      <c r="O1108" s="5" t="inlineStr">
        <is>
          <t>ENT</t>
        </is>
      </c>
      <c r="P1108" s="15" t="n">
        <v>0</v>
      </c>
      <c r="Q1108" s="15" t="n">
        <v>0</v>
      </c>
      <c r="R1108" s="5" t="inlineStr">
        <is>
          <t>239-2023-03-31</t>
        </is>
      </c>
    </row>
    <row r="1109">
      <c r="A1109" s="21" t="n">
        <v>239</v>
      </c>
      <c r="B1109" s="5" t="inlineStr">
        <is>
          <t>Portafolio de Proyectos</t>
        </is>
      </c>
      <c r="C1109" s="5" t="inlineStr">
        <is>
          <t>Gestión de Proyectos</t>
        </is>
      </c>
      <c r="D1109" s="5" t="inlineStr">
        <is>
          <t>Mensual</t>
        </is>
      </c>
      <c r="E1109" s="5" t="inlineStr">
        <is>
          <t>Positivo</t>
        </is>
      </c>
      <c r="F1109" s="106" t="n">
        <v>45046</v>
      </c>
      <c r="G1109" s="5" t="n">
        <v>2023</v>
      </c>
      <c r="H1109" s="5" t="inlineStr">
        <is>
          <t>Abril</t>
        </is>
      </c>
      <c r="I1109" s="6" t="inlineStr">
        <is>
          <t>2023-1</t>
        </is>
      </c>
      <c r="J1109" s="5" t="n"/>
      <c r="K1109" s="9" t="n">
        <v>18</v>
      </c>
      <c r="L1109" s="8" t="n"/>
      <c r="M1109" s="14" t="n"/>
      <c r="N1109" s="5" t="inlineStr">
        <is>
          <t>Metrica</t>
        </is>
      </c>
      <c r="O1109" s="5" t="inlineStr">
        <is>
          <t>ENT</t>
        </is>
      </c>
      <c r="P1109" s="15" t="n">
        <v>0</v>
      </c>
      <c r="Q1109" s="15" t="n">
        <v>0</v>
      </c>
      <c r="R1109" s="5" t="inlineStr">
        <is>
          <t>239-2023-04-30</t>
        </is>
      </c>
    </row>
    <row r="1110">
      <c r="A1110" s="21" t="n">
        <v>239</v>
      </c>
      <c r="B1110" s="5" t="inlineStr">
        <is>
          <t>Portafolio de Proyectos</t>
        </is>
      </c>
      <c r="C1110" s="5" t="inlineStr">
        <is>
          <t>Gestión de Proyectos</t>
        </is>
      </c>
      <c r="D1110" s="5" t="inlineStr">
        <is>
          <t>Mensual</t>
        </is>
      </c>
      <c r="E1110" s="5" t="inlineStr">
        <is>
          <t>Positivo</t>
        </is>
      </c>
      <c r="F1110" s="106" t="n">
        <v>45077</v>
      </c>
      <c r="G1110" s="5" t="n">
        <v>2023</v>
      </c>
      <c r="H1110" s="5" t="inlineStr">
        <is>
          <t>Mayo</t>
        </is>
      </c>
      <c r="I1110" s="6" t="inlineStr">
        <is>
          <t>2023-1</t>
        </is>
      </c>
      <c r="J1110" s="5" t="n"/>
      <c r="K1110" s="9" t="n">
        <v>19</v>
      </c>
      <c r="L1110" s="8" t="n"/>
      <c r="M1110" s="14" t="n"/>
      <c r="N1110" s="5" t="inlineStr">
        <is>
          <t>Metrica</t>
        </is>
      </c>
      <c r="O1110" s="5" t="inlineStr">
        <is>
          <t>ENT</t>
        </is>
      </c>
      <c r="P1110" s="15" t="n">
        <v>0</v>
      </c>
      <c r="Q1110" s="15" t="n">
        <v>0</v>
      </c>
      <c r="R1110" s="5" t="inlineStr">
        <is>
          <t>239-2023-05-31</t>
        </is>
      </c>
    </row>
    <row r="1111">
      <c r="A1111" s="26" t="n">
        <v>239</v>
      </c>
      <c r="B1111" s="5" t="inlineStr">
        <is>
          <t>Portafolio de Proyectos</t>
        </is>
      </c>
      <c r="C1111" s="5" t="inlineStr">
        <is>
          <t>Gestión de Proyectos</t>
        </is>
      </c>
      <c r="D1111" s="5" t="inlineStr">
        <is>
          <t>Mensual</t>
        </is>
      </c>
      <c r="E1111" s="5" t="inlineStr">
        <is>
          <t>Positivo</t>
        </is>
      </c>
      <c r="F1111" s="107" t="n">
        <v>45107</v>
      </c>
      <c r="G1111" s="5" t="n">
        <v>2023</v>
      </c>
      <c r="H1111" s="5" t="inlineStr">
        <is>
          <t>Junio</t>
        </is>
      </c>
      <c r="I1111" s="6" t="inlineStr">
        <is>
          <t>2023-1</t>
        </is>
      </c>
      <c r="J1111" s="5" t="n"/>
      <c r="K1111" s="9" t="n">
        <v>19</v>
      </c>
      <c r="L1111" s="8" t="n"/>
      <c r="M1111" s="14" t="n"/>
      <c r="N1111" s="5" t="inlineStr">
        <is>
          <t>Metrica</t>
        </is>
      </c>
      <c r="O1111" s="5" t="inlineStr">
        <is>
          <t>ENT</t>
        </is>
      </c>
      <c r="P1111" s="15" t="n">
        <v>0</v>
      </c>
      <c r="Q1111" s="15" t="n">
        <v>0</v>
      </c>
      <c r="R1111" s="5" t="inlineStr">
        <is>
          <t>239-2023-06-30</t>
        </is>
      </c>
    </row>
    <row r="1112">
      <c r="A1112" s="5" t="n">
        <v>239</v>
      </c>
      <c r="B1112" s="5" t="inlineStr">
        <is>
          <t>Portafolio de Proyectos</t>
        </is>
      </c>
      <c r="C1112" s="5" t="inlineStr">
        <is>
          <t>Gestión de Proyectos</t>
        </is>
      </c>
      <c r="D1112" s="5" t="inlineStr">
        <is>
          <t>Mensual</t>
        </is>
      </c>
      <c r="E1112" s="5" t="inlineStr">
        <is>
          <t>Positivo</t>
        </is>
      </c>
      <c r="F1112" s="107" t="n">
        <v>45138</v>
      </c>
      <c r="G1112" s="5" t="n">
        <v>2023</v>
      </c>
      <c r="H1112" s="5" t="inlineStr">
        <is>
          <t>Julio</t>
        </is>
      </c>
      <c r="I1112" s="6" t="inlineStr">
        <is>
          <t>2023-2</t>
        </is>
      </c>
      <c r="J1112" s="5" t="n"/>
      <c r="K1112" s="11" t="n">
        <v>18</v>
      </c>
      <c r="L1112" s="8" t="n"/>
      <c r="M1112" s="14" t="n"/>
      <c r="N1112" s="5" t="inlineStr">
        <is>
          <t>Metrica</t>
        </is>
      </c>
      <c r="O1112" s="5" t="inlineStr">
        <is>
          <t>ENT</t>
        </is>
      </c>
      <c r="P1112" s="5" t="n">
        <v>0</v>
      </c>
      <c r="Q1112" s="5" t="n">
        <v>0</v>
      </c>
      <c r="R1112" s="5" t="inlineStr">
        <is>
          <t>239-2023-07-31</t>
        </is>
      </c>
    </row>
    <row r="1113">
      <c r="A1113" s="21" t="n">
        <v>239</v>
      </c>
      <c r="B1113" s="5" t="inlineStr">
        <is>
          <t>Portafolio de Proyectos</t>
        </is>
      </c>
      <c r="C1113" s="5" t="inlineStr">
        <is>
          <t>Gestión de Proyectos</t>
        </is>
      </c>
      <c r="D1113" s="5" t="inlineStr">
        <is>
          <t>Mensual</t>
        </is>
      </c>
      <c r="E1113" s="5" t="inlineStr">
        <is>
          <t>Positivo</t>
        </is>
      </c>
      <c r="F1113" s="107" t="n">
        <v>45169</v>
      </c>
      <c r="G1113" s="5" t="n">
        <v>2023</v>
      </c>
      <c r="H1113" s="5" t="inlineStr">
        <is>
          <t>Agosto</t>
        </is>
      </c>
      <c r="I1113" s="6" t="inlineStr">
        <is>
          <t>2023-2</t>
        </is>
      </c>
      <c r="J1113" s="5" t="n"/>
      <c r="K1113" s="10" t="n">
        <v>0</v>
      </c>
      <c r="L1113" s="8" t="n"/>
      <c r="M1113" s="14" t="n"/>
      <c r="N1113" s="5" t="inlineStr">
        <is>
          <t>Metrica</t>
        </is>
      </c>
      <c r="O1113" s="5" t="inlineStr">
        <is>
          <t>ENT</t>
        </is>
      </c>
      <c r="P1113" s="15" t="n">
        <v>0</v>
      </c>
      <c r="Q1113" s="15" t="n">
        <v>0</v>
      </c>
      <c r="R1113" s="5" t="inlineStr">
        <is>
          <t>239-2023-08-31</t>
        </is>
      </c>
    </row>
    <row r="1114">
      <c r="A1114" s="28" t="n">
        <v>239</v>
      </c>
      <c r="B1114" s="5" t="inlineStr">
        <is>
          <t>Portafolio de Proyectos</t>
        </is>
      </c>
      <c r="C1114" s="5" t="inlineStr">
        <is>
          <t>Gestión de Proyectos</t>
        </is>
      </c>
      <c r="D1114" s="5" t="inlineStr">
        <is>
          <t>Mensual</t>
        </is>
      </c>
      <c r="E1114" s="5" t="inlineStr">
        <is>
          <t>Positivo</t>
        </is>
      </c>
      <c r="F1114" s="107" t="n">
        <v>45199</v>
      </c>
      <c r="G1114" s="5" t="n">
        <v>2023</v>
      </c>
      <c r="H1114" s="5" t="inlineStr">
        <is>
          <t>Septiembre</t>
        </is>
      </c>
      <c r="I1114" s="6" t="inlineStr">
        <is>
          <t>2023-2</t>
        </is>
      </c>
      <c r="J1114" s="5" t="n"/>
      <c r="K1114" s="9" t="n">
        <v>0</v>
      </c>
      <c r="L1114" s="8" t="n"/>
      <c r="M1114" s="14" t="n"/>
      <c r="N1114" s="5" t="inlineStr">
        <is>
          <t>Metrica</t>
        </is>
      </c>
      <c r="O1114" s="5" t="inlineStr">
        <is>
          <t>ENT</t>
        </is>
      </c>
      <c r="P1114" s="15" t="n">
        <v>0</v>
      </c>
      <c r="Q1114" s="15" t="n">
        <v>0</v>
      </c>
      <c r="R1114" s="5" t="inlineStr">
        <is>
          <t>239-2023-09-30</t>
        </is>
      </c>
    </row>
    <row r="1115">
      <c r="A1115" s="26" t="n">
        <v>239</v>
      </c>
      <c r="B1115" s="5" t="inlineStr">
        <is>
          <t>Portafolio de Proyectos</t>
        </is>
      </c>
      <c r="C1115" s="5" t="inlineStr">
        <is>
          <t>Gestión de Proyectos</t>
        </is>
      </c>
      <c r="D1115" s="5" t="inlineStr">
        <is>
          <t>Mensual</t>
        </is>
      </c>
      <c r="E1115" s="5" t="inlineStr">
        <is>
          <t>Positivo</t>
        </is>
      </c>
      <c r="F1115" s="107" t="n">
        <v>45230</v>
      </c>
      <c r="G1115" s="5" t="n">
        <v>2023</v>
      </c>
      <c r="H1115" s="5" t="inlineStr">
        <is>
          <t>Octubre</t>
        </is>
      </c>
      <c r="I1115" s="6" t="inlineStr">
        <is>
          <t>2023-2</t>
        </is>
      </c>
      <c r="J1115" s="5" t="n"/>
      <c r="K1115" s="9" t="n">
        <v>0</v>
      </c>
      <c r="L1115" s="8" t="n"/>
      <c r="M1115" s="14" t="n"/>
      <c r="N1115" s="5" t="inlineStr">
        <is>
          <t>Metrica</t>
        </is>
      </c>
      <c r="O1115" s="5" t="inlineStr">
        <is>
          <t>ENT</t>
        </is>
      </c>
      <c r="P1115" s="15" t="n">
        <v>0</v>
      </c>
      <c r="Q1115" s="15" t="n">
        <v>0</v>
      </c>
      <c r="R1115" s="5" t="inlineStr">
        <is>
          <t>239-2023-10-31</t>
        </is>
      </c>
    </row>
    <row r="1116">
      <c r="A1116" s="21" t="n">
        <v>239</v>
      </c>
      <c r="B1116" s="5" t="inlineStr">
        <is>
          <t>Portafolio de Proyectos</t>
        </is>
      </c>
      <c r="C1116" s="5" t="inlineStr">
        <is>
          <t>Gestión de Proyectos</t>
        </is>
      </c>
      <c r="D1116" s="5" t="inlineStr">
        <is>
          <t>Mensual</t>
        </is>
      </c>
      <c r="E1116" s="5" t="inlineStr">
        <is>
          <t>Positivo</t>
        </is>
      </c>
      <c r="F1116" s="107" t="n">
        <v>45260</v>
      </c>
      <c r="G1116" s="5" t="n">
        <v>2023</v>
      </c>
      <c r="H1116" s="5" t="inlineStr">
        <is>
          <t>Noviembre</t>
        </is>
      </c>
      <c r="I1116" s="6" t="inlineStr">
        <is>
          <t>2023-2</t>
        </is>
      </c>
      <c r="J1116" s="5" t="n"/>
      <c r="K1116" s="10" t="n">
        <v>0</v>
      </c>
      <c r="L1116" s="14" t="n"/>
      <c r="M1116" s="14" t="n"/>
      <c r="N1116" s="5" t="inlineStr">
        <is>
          <t>Metrica</t>
        </is>
      </c>
      <c r="O1116" s="5" t="inlineStr">
        <is>
          <t>ENT</t>
        </is>
      </c>
      <c r="P1116" s="15" t="n">
        <v>0</v>
      </c>
      <c r="Q1116" s="15" t="n">
        <v>0</v>
      </c>
      <c r="R1116" s="5" t="inlineStr">
        <is>
          <t>239-2023-11-30</t>
        </is>
      </c>
    </row>
    <row r="1117">
      <c r="A1117" s="5" t="n">
        <v>239</v>
      </c>
      <c r="B1117" s="5" t="inlineStr">
        <is>
          <t>Portafolio de Proyectos</t>
        </is>
      </c>
      <c r="C1117" s="5" t="inlineStr">
        <is>
          <t>Gestión de Proyectos</t>
        </is>
      </c>
      <c r="D1117" s="5" t="inlineStr">
        <is>
          <t>Mensual</t>
        </is>
      </c>
      <c r="E1117" s="5" t="inlineStr">
        <is>
          <t>Positivo</t>
        </is>
      </c>
      <c r="F1117" s="107" t="n">
        <v>45291</v>
      </c>
      <c r="G1117" s="5" t="n">
        <v>2023</v>
      </c>
      <c r="H1117" s="5" t="inlineStr">
        <is>
          <t>Diciembre</t>
        </is>
      </c>
      <c r="I1117" s="6" t="inlineStr">
        <is>
          <t>2023-2</t>
        </is>
      </c>
      <c r="J1117" s="5" t="n"/>
      <c r="K1117" s="5" t="n">
        <v>0</v>
      </c>
      <c r="L1117" s="14" t="n"/>
      <c r="M1117" s="14" t="n"/>
      <c r="N1117" s="5" t="inlineStr">
        <is>
          <t>Metrica</t>
        </is>
      </c>
      <c r="O1117" s="5" t="inlineStr">
        <is>
          <t>ENT</t>
        </is>
      </c>
      <c r="P1117" s="5" t="n">
        <v>0</v>
      </c>
      <c r="Q1117" s="5" t="n">
        <v>0</v>
      </c>
      <c r="R1117" s="5" t="inlineStr">
        <is>
          <t>239-2023-12-31</t>
        </is>
      </c>
    </row>
    <row r="1118">
      <c r="A1118" s="21" t="n">
        <v>239</v>
      </c>
      <c r="B1118" s="5" t="inlineStr">
        <is>
          <t>Portafolio de Proyectos</t>
        </is>
      </c>
      <c r="C1118" s="5" t="inlineStr">
        <is>
          <t>Gestión de Proyectos</t>
        </is>
      </c>
      <c r="D1118" s="5" t="inlineStr">
        <is>
          <t>Mensual</t>
        </is>
      </c>
      <c r="E1118" s="5" t="inlineStr">
        <is>
          <t>Positivo</t>
        </is>
      </c>
      <c r="F1118" s="107" t="n">
        <v>45322</v>
      </c>
      <c r="G1118" s="5" t="n">
        <v>2024</v>
      </c>
      <c r="H1118" s="5" t="inlineStr">
        <is>
          <t>Enero</t>
        </is>
      </c>
      <c r="I1118" s="6" t="inlineStr">
        <is>
          <t>2024-1</t>
        </is>
      </c>
      <c r="J1118" s="5" t="n"/>
      <c r="K1118" s="10" t="n">
        <v>0</v>
      </c>
      <c r="L1118" s="14" t="n"/>
      <c r="M1118" s="14" t="n"/>
      <c r="N1118" s="5" t="inlineStr">
        <is>
          <t>Metrica</t>
        </is>
      </c>
      <c r="O1118" s="5" t="inlineStr">
        <is>
          <t>ENT</t>
        </is>
      </c>
      <c r="P1118" s="15" t="n">
        <v>0</v>
      </c>
      <c r="Q1118" s="15" t="n">
        <v>0</v>
      </c>
      <c r="R1118" s="5" t="inlineStr">
        <is>
          <t>239-2024-01-31</t>
        </is>
      </c>
    </row>
    <row r="1119">
      <c r="A1119" s="21" t="n">
        <v>239</v>
      </c>
      <c r="B1119" s="5" t="inlineStr">
        <is>
          <t>Portafolio de Proyectos</t>
        </is>
      </c>
      <c r="C1119" s="5" t="inlineStr">
        <is>
          <t>Gestión de Proyectos</t>
        </is>
      </c>
      <c r="D1119" s="5" t="inlineStr">
        <is>
          <t>Mensual</t>
        </is>
      </c>
      <c r="E1119" s="5" t="inlineStr">
        <is>
          <t>Positivo</t>
        </is>
      </c>
      <c r="F1119" s="107" t="n">
        <v>45351</v>
      </c>
      <c r="G1119" s="5" t="n">
        <v>2024</v>
      </c>
      <c r="H1119" s="5" t="inlineStr">
        <is>
          <t>Febrero</t>
        </is>
      </c>
      <c r="I1119" s="6" t="inlineStr">
        <is>
          <t>2024-1</t>
        </is>
      </c>
      <c r="J1119" s="5" t="n"/>
      <c r="K1119" s="10" t="n">
        <v>29</v>
      </c>
      <c r="L1119" s="14" t="n"/>
      <c r="M1119" s="14" t="n"/>
      <c r="N1119" s="5" t="inlineStr">
        <is>
          <t>Metrica</t>
        </is>
      </c>
      <c r="O1119" s="5" t="inlineStr">
        <is>
          <t>ENT</t>
        </is>
      </c>
      <c r="P1119" s="15" t="n">
        <v>0</v>
      </c>
      <c r="Q1119" s="15" t="n">
        <v>0</v>
      </c>
      <c r="R1119" s="5" t="inlineStr">
        <is>
          <t>239-2024-02-29</t>
        </is>
      </c>
    </row>
    <row r="1120">
      <c r="A1120" s="21" t="n">
        <v>239</v>
      </c>
      <c r="B1120" s="5" t="inlineStr">
        <is>
          <t>Portafolio de Proyectos</t>
        </is>
      </c>
      <c r="C1120" s="5" t="inlineStr">
        <is>
          <t>Gestión de Proyectos</t>
        </is>
      </c>
      <c r="D1120" s="5" t="inlineStr">
        <is>
          <t>Mensual</t>
        </is>
      </c>
      <c r="E1120" s="5" t="inlineStr">
        <is>
          <t>Positivo</t>
        </is>
      </c>
      <c r="F1120" s="107" t="n">
        <v>45382</v>
      </c>
      <c r="G1120" s="5" t="n">
        <v>2024</v>
      </c>
      <c r="H1120" s="5" t="inlineStr">
        <is>
          <t>Marzo</t>
        </is>
      </c>
      <c r="I1120" s="6" t="inlineStr">
        <is>
          <t>2024-1</t>
        </is>
      </c>
      <c r="J1120" s="5" t="n"/>
      <c r="K1120" s="9" t="n">
        <v>0</v>
      </c>
      <c r="L1120" s="14" t="n"/>
      <c r="M1120" s="14" t="n"/>
      <c r="N1120" s="5" t="inlineStr">
        <is>
          <t>Metrica</t>
        </is>
      </c>
      <c r="O1120" s="5" t="inlineStr">
        <is>
          <t>ENT</t>
        </is>
      </c>
      <c r="P1120" s="15" t="n">
        <v>0</v>
      </c>
      <c r="Q1120" s="15" t="n">
        <v>0</v>
      </c>
      <c r="R1120" s="5" t="inlineStr">
        <is>
          <t>239-2024-03-31</t>
        </is>
      </c>
    </row>
    <row r="1121">
      <c r="A1121" s="28" t="n">
        <v>239</v>
      </c>
      <c r="B1121" s="5" t="inlineStr">
        <is>
          <t>Portafolio de Proyectos</t>
        </is>
      </c>
      <c r="C1121" s="5" t="inlineStr">
        <is>
          <t>Gestión de Proyectos</t>
        </is>
      </c>
      <c r="D1121" s="5" t="inlineStr">
        <is>
          <t>Mensual</t>
        </is>
      </c>
      <c r="E1121" s="5" t="inlineStr">
        <is>
          <t>Positivo</t>
        </is>
      </c>
      <c r="F1121" s="107" t="n">
        <v>45412</v>
      </c>
      <c r="G1121" s="5" t="n">
        <v>2024</v>
      </c>
      <c r="H1121" s="5" t="inlineStr">
        <is>
          <t>Abril</t>
        </is>
      </c>
      <c r="I1121" s="6" t="inlineStr">
        <is>
          <t>2024-1</t>
        </is>
      </c>
      <c r="J1121" s="5" t="n"/>
      <c r="K1121" s="9" t="n">
        <v>28</v>
      </c>
      <c r="L1121" s="14" t="n"/>
      <c r="M1121" s="14" t="n"/>
      <c r="N1121" s="5" t="inlineStr">
        <is>
          <t>Metrica</t>
        </is>
      </c>
      <c r="O1121" s="5" t="inlineStr">
        <is>
          <t>ENT</t>
        </is>
      </c>
      <c r="P1121" s="15" t="n">
        <v>0</v>
      </c>
      <c r="Q1121" s="15" t="n">
        <v>0</v>
      </c>
      <c r="R1121" s="5" t="inlineStr">
        <is>
          <t>239-2024-04-30</t>
        </is>
      </c>
    </row>
    <row r="1122">
      <c r="A1122" s="26" t="n">
        <v>239</v>
      </c>
      <c r="B1122" s="5" t="inlineStr">
        <is>
          <t>Portafolio de Proyectos</t>
        </is>
      </c>
      <c r="C1122" s="5" t="inlineStr">
        <is>
          <t>Gestión de Proyectos</t>
        </is>
      </c>
      <c r="D1122" s="5" t="inlineStr">
        <is>
          <t>Mensual</t>
        </is>
      </c>
      <c r="E1122" s="5" t="inlineStr">
        <is>
          <t>Positivo</t>
        </is>
      </c>
      <c r="F1122" s="107" t="n">
        <v>45443</v>
      </c>
      <c r="G1122" s="5" t="n">
        <v>2024</v>
      </c>
      <c r="H1122" s="5" t="inlineStr">
        <is>
          <t>Mayo</t>
        </is>
      </c>
      <c r="I1122" s="6" t="inlineStr">
        <is>
          <t>2024-1</t>
        </is>
      </c>
      <c r="J1122" s="5" t="n"/>
      <c r="K1122" s="9" t="n">
        <v>29</v>
      </c>
      <c r="L1122" s="8" t="n"/>
      <c r="M1122" s="14" t="n"/>
      <c r="N1122" s="5" t="inlineStr">
        <is>
          <t>Metrica</t>
        </is>
      </c>
      <c r="O1122" s="5" t="inlineStr">
        <is>
          <t>ENT</t>
        </is>
      </c>
      <c r="P1122" s="15" t="n">
        <v>0</v>
      </c>
      <c r="Q1122" s="15" t="n">
        <v>0</v>
      </c>
      <c r="R1122" s="5" t="inlineStr">
        <is>
          <t>239-2024-05-31</t>
        </is>
      </c>
    </row>
    <row r="1123">
      <c r="A1123" s="21" t="n">
        <v>239</v>
      </c>
      <c r="B1123" s="5" t="inlineStr">
        <is>
          <t>Portafolio de Proyectos</t>
        </is>
      </c>
      <c r="C1123" s="5" t="inlineStr">
        <is>
          <t>Gestión de Proyectos</t>
        </is>
      </c>
      <c r="D1123" s="5" t="inlineStr">
        <is>
          <t>Mensual</t>
        </is>
      </c>
      <c r="E1123" s="5" t="inlineStr">
        <is>
          <t>Positivo</t>
        </is>
      </c>
      <c r="F1123" s="107" t="n">
        <v>45473</v>
      </c>
      <c r="G1123" s="5" t="n">
        <v>2024</v>
      </c>
      <c r="H1123" s="5" t="inlineStr">
        <is>
          <t>Junio</t>
        </is>
      </c>
      <c r="I1123" s="6" t="inlineStr">
        <is>
          <t>2024-1</t>
        </is>
      </c>
      <c r="J1123" s="5" t="n"/>
      <c r="K1123" s="10" t="n">
        <v>29</v>
      </c>
      <c r="L1123" s="14" t="n"/>
      <c r="M1123" s="14" t="n"/>
      <c r="N1123" s="5" t="inlineStr">
        <is>
          <t>Metrica</t>
        </is>
      </c>
      <c r="O1123" s="5" t="inlineStr">
        <is>
          <t>ENT</t>
        </is>
      </c>
      <c r="P1123" s="15" t="n">
        <v>0</v>
      </c>
      <c r="Q1123" s="15" t="n">
        <v>0</v>
      </c>
      <c r="R1123" s="5" t="inlineStr">
        <is>
          <t>239-2024-06-30</t>
        </is>
      </c>
    </row>
    <row r="1124">
      <c r="A1124" s="5" t="n">
        <v>239</v>
      </c>
      <c r="B1124" s="5" t="inlineStr">
        <is>
          <t>Portafolio de Proyectos</t>
        </is>
      </c>
      <c r="C1124" s="5" t="inlineStr">
        <is>
          <t>Gestión de Proyectos</t>
        </is>
      </c>
      <c r="D1124" s="5" t="inlineStr">
        <is>
          <t>Mensual</t>
        </is>
      </c>
      <c r="E1124" s="5" t="inlineStr">
        <is>
          <t>Positivo</t>
        </is>
      </c>
      <c r="F1124" s="107" t="n">
        <v>45504</v>
      </c>
      <c r="G1124" s="5" t="n">
        <v>2024</v>
      </c>
      <c r="H1124" s="5" t="inlineStr">
        <is>
          <t>Julio</t>
        </is>
      </c>
      <c r="I1124" s="6" t="inlineStr">
        <is>
          <t>2024-2</t>
        </is>
      </c>
      <c r="J1124" s="5" t="n"/>
      <c r="K1124" s="5" t="n">
        <v>0</v>
      </c>
      <c r="L1124" s="14" t="n"/>
      <c r="M1124" s="14" t="n"/>
      <c r="N1124" s="5" t="inlineStr">
        <is>
          <t>Metrica</t>
        </is>
      </c>
      <c r="O1124" s="5" t="inlineStr">
        <is>
          <t>ENT</t>
        </is>
      </c>
      <c r="P1124" s="5" t="n">
        <v>0</v>
      </c>
      <c r="Q1124" s="5" t="n">
        <v>0</v>
      </c>
      <c r="R1124" s="5" t="inlineStr">
        <is>
          <t>239-2024-07-31</t>
        </is>
      </c>
    </row>
    <row r="1125">
      <c r="A1125" s="26" t="n">
        <v>239</v>
      </c>
      <c r="B1125" s="5" t="inlineStr">
        <is>
          <t>Portafolio de Proyectos</t>
        </is>
      </c>
      <c r="C1125" s="5" t="inlineStr">
        <is>
          <t>Gestión de Proyectos</t>
        </is>
      </c>
      <c r="D1125" s="5" t="inlineStr">
        <is>
          <t>Mensual</t>
        </is>
      </c>
      <c r="E1125" s="5" t="inlineStr">
        <is>
          <t>Positivo</t>
        </is>
      </c>
      <c r="F1125" s="107" t="n">
        <v>45535</v>
      </c>
      <c r="G1125" s="5" t="n">
        <v>2024</v>
      </c>
      <c r="H1125" s="5" t="inlineStr">
        <is>
          <t>Agosto</t>
        </is>
      </c>
      <c r="I1125" s="6" t="inlineStr">
        <is>
          <t>2024-2</t>
        </is>
      </c>
      <c r="J1125" s="5" t="n"/>
      <c r="K1125" s="9" t="n">
        <v>0</v>
      </c>
      <c r="L1125" s="14" t="n"/>
      <c r="M1125" s="14" t="n"/>
      <c r="N1125" s="5" t="inlineStr">
        <is>
          <t>Metrica</t>
        </is>
      </c>
      <c r="O1125" s="5" t="inlineStr">
        <is>
          <t>ENT</t>
        </is>
      </c>
      <c r="P1125" s="15" t="n">
        <v>0</v>
      </c>
      <c r="Q1125" s="15" t="n">
        <v>0</v>
      </c>
      <c r="R1125" s="5" t="inlineStr">
        <is>
          <t>239-2024-08-31</t>
        </is>
      </c>
    </row>
    <row r="1126">
      <c r="A1126" s="26" t="n">
        <v>239</v>
      </c>
      <c r="B1126" s="5" t="inlineStr">
        <is>
          <t>Portafolio de Proyectos</t>
        </is>
      </c>
      <c r="C1126" s="5" t="inlineStr">
        <is>
          <t>Gestión de Proyectos</t>
        </is>
      </c>
      <c r="D1126" s="5" t="inlineStr">
        <is>
          <t>Mensual</t>
        </is>
      </c>
      <c r="E1126" s="5" t="inlineStr">
        <is>
          <t>Positivo</t>
        </is>
      </c>
      <c r="F1126" s="107" t="n">
        <v>45565</v>
      </c>
      <c r="G1126" s="5" t="n">
        <v>2024</v>
      </c>
      <c r="H1126" s="5" t="inlineStr">
        <is>
          <t>Septiembre</t>
        </is>
      </c>
      <c r="I1126" s="6" t="inlineStr">
        <is>
          <t>2024-2</t>
        </is>
      </c>
      <c r="J1126" s="5" t="n"/>
      <c r="K1126" s="9" t="n">
        <v>0</v>
      </c>
      <c r="L1126" s="14" t="n"/>
      <c r="M1126" s="14" t="n"/>
      <c r="N1126" s="5" t="inlineStr">
        <is>
          <t>Metrica</t>
        </is>
      </c>
      <c r="O1126" s="5" t="inlineStr">
        <is>
          <t>ENT</t>
        </is>
      </c>
      <c r="P1126" s="15" t="n">
        <v>0</v>
      </c>
      <c r="Q1126" s="15" t="n">
        <v>0</v>
      </c>
      <c r="R1126" s="5" t="inlineStr">
        <is>
          <t>239-2024-09-30</t>
        </is>
      </c>
    </row>
    <row r="1127">
      <c r="A1127" s="5" t="n">
        <v>239</v>
      </c>
      <c r="B1127" s="5" t="inlineStr">
        <is>
          <t>Portafolio de Proyectos</t>
        </is>
      </c>
      <c r="C1127" s="5" t="inlineStr">
        <is>
          <t>Gestión de Proyectos</t>
        </is>
      </c>
      <c r="D1127" s="5" t="inlineStr">
        <is>
          <t>Mensual</t>
        </is>
      </c>
      <c r="E1127" s="5" t="inlineStr">
        <is>
          <t>Positivo</t>
        </is>
      </c>
      <c r="F1127" s="107" t="n">
        <v>45596</v>
      </c>
      <c r="G1127" s="5" t="n">
        <v>2024</v>
      </c>
      <c r="H1127" s="5" t="inlineStr">
        <is>
          <t>Octubre</t>
        </is>
      </c>
      <c r="I1127" s="6" t="inlineStr">
        <is>
          <t>2024-2</t>
        </is>
      </c>
      <c r="J1127" s="5" t="n"/>
      <c r="K1127" s="5" t="n">
        <v>0</v>
      </c>
      <c r="L1127" s="14" t="n"/>
      <c r="M1127" s="14" t="n"/>
      <c r="N1127" s="5" t="inlineStr">
        <is>
          <t>Metrica</t>
        </is>
      </c>
      <c r="O1127" s="5" t="inlineStr">
        <is>
          <t>ENT</t>
        </is>
      </c>
      <c r="P1127" s="15" t="n">
        <v>0</v>
      </c>
      <c r="Q1127" s="5" t="n">
        <v>0</v>
      </c>
      <c r="R1127" s="5" t="inlineStr">
        <is>
          <t>239-2024-10-31</t>
        </is>
      </c>
    </row>
    <row r="1128">
      <c r="A1128" s="21" t="n">
        <v>239</v>
      </c>
      <c r="B1128" s="5" t="inlineStr">
        <is>
          <t>Portafolio de Proyectos</t>
        </is>
      </c>
      <c r="C1128" s="5" t="inlineStr">
        <is>
          <t>Gestión de Proyectos</t>
        </is>
      </c>
      <c r="D1128" s="5" t="inlineStr">
        <is>
          <t>Mensual</t>
        </is>
      </c>
      <c r="E1128" s="5" t="inlineStr">
        <is>
          <t>Positivo</t>
        </is>
      </c>
      <c r="F1128" s="107" t="n">
        <v>45626</v>
      </c>
      <c r="G1128" s="5" t="n">
        <v>2024</v>
      </c>
      <c r="H1128" s="5" t="inlineStr">
        <is>
          <t>Noviembre</t>
        </is>
      </c>
      <c r="I1128" s="6" t="inlineStr">
        <is>
          <t>2024-2</t>
        </is>
      </c>
      <c r="J1128" s="5" t="n"/>
      <c r="K1128" s="10" t="n">
        <v>0</v>
      </c>
      <c r="L1128" s="14" t="n"/>
      <c r="M1128" s="14" t="n"/>
      <c r="N1128" s="5" t="inlineStr">
        <is>
          <t>Metrica</t>
        </is>
      </c>
      <c r="O1128" s="5" t="inlineStr">
        <is>
          <t>ENT</t>
        </is>
      </c>
      <c r="P1128" s="15" t="n">
        <v>0</v>
      </c>
      <c r="Q1128" s="15" t="n">
        <v>0</v>
      </c>
      <c r="R1128" s="5" t="inlineStr">
        <is>
          <t>239-2024-11-30</t>
        </is>
      </c>
    </row>
    <row r="1129">
      <c r="A1129" s="28" t="n">
        <v>239</v>
      </c>
      <c r="B1129" s="5" t="inlineStr">
        <is>
          <t>Portafolio de Proyectos</t>
        </is>
      </c>
      <c r="C1129" s="5" t="inlineStr">
        <is>
          <t>Gestión de Proyectos</t>
        </is>
      </c>
      <c r="D1129" s="5" t="inlineStr">
        <is>
          <t>Mensual</t>
        </is>
      </c>
      <c r="E1129" s="5" t="inlineStr">
        <is>
          <t>Positivo</t>
        </is>
      </c>
      <c r="F1129" s="107" t="n">
        <v>45657</v>
      </c>
      <c r="G1129" s="5" t="n">
        <v>2024</v>
      </c>
      <c r="H1129" s="5" t="inlineStr">
        <is>
          <t>Diciembre</t>
        </is>
      </c>
      <c r="I1129" s="6" t="inlineStr">
        <is>
          <t>2024-2</t>
        </is>
      </c>
      <c r="J1129" s="5" t="n"/>
      <c r="K1129" s="9" t="n">
        <v>0</v>
      </c>
      <c r="L1129" s="14" t="n"/>
      <c r="M1129" s="14" t="n"/>
      <c r="N1129" s="5" t="inlineStr">
        <is>
          <t>Metrica</t>
        </is>
      </c>
      <c r="O1129" s="5" t="inlineStr">
        <is>
          <t>ENT</t>
        </is>
      </c>
      <c r="P1129" s="15" t="n">
        <v>0</v>
      </c>
      <c r="Q1129" s="15" t="n">
        <v>0</v>
      </c>
      <c r="R1129" s="5" t="inlineStr">
        <is>
          <t>239-2024-12-31</t>
        </is>
      </c>
    </row>
    <row r="1130">
      <c r="A1130" s="26" t="n">
        <v>239</v>
      </c>
      <c r="B1130" s="5" t="inlineStr">
        <is>
          <t>Portafolio de Proyectos</t>
        </is>
      </c>
      <c r="C1130" s="5" t="inlineStr">
        <is>
          <t>Gestión de Proyectos</t>
        </is>
      </c>
      <c r="D1130" s="5" t="inlineStr">
        <is>
          <t>Mensual</t>
        </is>
      </c>
      <c r="E1130" s="5" t="inlineStr">
        <is>
          <t>Positivo</t>
        </is>
      </c>
      <c r="F1130" s="107" t="n">
        <v>45688</v>
      </c>
      <c r="G1130" s="5" t="n">
        <v>2025</v>
      </c>
      <c r="H1130" s="5" t="inlineStr">
        <is>
          <t>Enero</t>
        </is>
      </c>
      <c r="I1130" s="6" t="inlineStr">
        <is>
          <t>2025-1</t>
        </is>
      </c>
      <c r="J1130" s="5" t="n"/>
      <c r="K1130" s="9" t="n">
        <v>33</v>
      </c>
      <c r="L1130" s="14" t="n"/>
      <c r="M1130" s="14" t="n"/>
      <c r="N1130" s="5" t="inlineStr">
        <is>
          <t>Metrica</t>
        </is>
      </c>
      <c r="O1130" s="5" t="inlineStr">
        <is>
          <t>ENT</t>
        </is>
      </c>
      <c r="P1130" s="15" t="n">
        <v>0</v>
      </c>
      <c r="Q1130" s="15" t="n">
        <v>0</v>
      </c>
      <c r="R1130" s="5" t="inlineStr">
        <is>
          <t>239-2025-01-31</t>
        </is>
      </c>
    </row>
    <row r="1131">
      <c r="A1131" s="28" t="n">
        <v>239</v>
      </c>
      <c r="B1131" s="5" t="inlineStr">
        <is>
          <t>Portafolio de Proyectos</t>
        </is>
      </c>
      <c r="C1131" s="5" t="inlineStr">
        <is>
          <t>Gestión de Proyectos</t>
        </is>
      </c>
      <c r="D1131" s="5" t="inlineStr">
        <is>
          <t>Mensual</t>
        </is>
      </c>
      <c r="E1131" s="5" t="inlineStr">
        <is>
          <t>Positivo</t>
        </is>
      </c>
      <c r="F1131" s="107" t="n">
        <v>45716</v>
      </c>
      <c r="G1131" s="5" t="n">
        <v>2025</v>
      </c>
      <c r="H1131" s="5" t="inlineStr">
        <is>
          <t>Febrero</t>
        </is>
      </c>
      <c r="I1131" s="6" t="inlineStr">
        <is>
          <t>2025-1</t>
        </is>
      </c>
      <c r="J1131" s="5" t="n"/>
      <c r="K1131" s="9" t="n">
        <v>0</v>
      </c>
      <c r="L1131" s="14" t="n"/>
      <c r="M1131" s="14" t="n"/>
      <c r="N1131" s="5" t="inlineStr">
        <is>
          <t>Metrica</t>
        </is>
      </c>
      <c r="O1131" s="5" t="inlineStr">
        <is>
          <t>ENT</t>
        </is>
      </c>
      <c r="P1131" s="15" t="n">
        <v>0</v>
      </c>
      <c r="Q1131" s="15" t="n">
        <v>0</v>
      </c>
      <c r="R1131" s="5" t="inlineStr">
        <is>
          <t>239-2025-02-28</t>
        </is>
      </c>
    </row>
    <row r="1132">
      <c r="A1132" s="21" t="n">
        <v>239</v>
      </c>
      <c r="B1132" s="5" t="inlineStr">
        <is>
          <t>Portafolio de Proyectos</t>
        </is>
      </c>
      <c r="C1132" s="5" t="inlineStr">
        <is>
          <t>Gestión de Proyectos</t>
        </is>
      </c>
      <c r="D1132" s="5" t="inlineStr">
        <is>
          <t>Mensual</t>
        </is>
      </c>
      <c r="E1132" s="5" t="inlineStr">
        <is>
          <t>Positivo</t>
        </is>
      </c>
      <c r="F1132" s="107" t="n">
        <v>45747</v>
      </c>
      <c r="G1132" s="5" t="n">
        <v>2025</v>
      </c>
      <c r="H1132" s="5" t="inlineStr">
        <is>
          <t>Marzo</t>
        </is>
      </c>
      <c r="I1132" s="6" t="inlineStr">
        <is>
          <t>2025-1</t>
        </is>
      </c>
      <c r="J1132" s="73" t="n"/>
      <c r="K1132" s="9" t="n">
        <v>42</v>
      </c>
      <c r="L1132" s="14" t="n"/>
      <c r="M1132" s="14" t="n"/>
      <c r="N1132" s="5" t="inlineStr">
        <is>
          <t>Metrica</t>
        </is>
      </c>
      <c r="O1132" s="5" t="inlineStr">
        <is>
          <t>ENT</t>
        </is>
      </c>
      <c r="P1132" s="15" t="n">
        <v>0</v>
      </c>
      <c r="Q1132" s="15" t="n">
        <v>0</v>
      </c>
      <c r="R1132" s="5" t="inlineStr">
        <is>
          <t>239-2025-03-31</t>
        </is>
      </c>
    </row>
    <row r="1133">
      <c r="A1133" s="28" t="n">
        <v>239</v>
      </c>
      <c r="B1133" s="5" t="inlineStr">
        <is>
          <t>Portafolio de Proyectos</t>
        </is>
      </c>
      <c r="C1133" s="5" t="inlineStr">
        <is>
          <t>Gestión de Proyectos</t>
        </is>
      </c>
      <c r="D1133" s="5" t="inlineStr">
        <is>
          <t>Mensual</t>
        </is>
      </c>
      <c r="E1133" s="5" t="inlineStr">
        <is>
          <t>Positivo</t>
        </is>
      </c>
      <c r="F1133" s="107" t="n">
        <v>45777</v>
      </c>
      <c r="G1133" s="5" t="n">
        <v>2025</v>
      </c>
      <c r="H1133" s="5" t="inlineStr">
        <is>
          <t>Abril</t>
        </is>
      </c>
      <c r="I1133" s="6" t="inlineStr">
        <is>
          <t>2025-1</t>
        </is>
      </c>
      <c r="J1133" s="5" t="n"/>
      <c r="K1133" s="9" t="n">
        <v>40</v>
      </c>
      <c r="L1133" s="14" t="n"/>
      <c r="M1133" s="14" t="n"/>
      <c r="N1133" s="5" t="inlineStr">
        <is>
          <t>Metrica</t>
        </is>
      </c>
      <c r="O1133" s="5" t="inlineStr">
        <is>
          <t>ENT</t>
        </is>
      </c>
      <c r="P1133" s="15" t="n">
        <v>0</v>
      </c>
      <c r="Q1133" s="15" t="n">
        <v>0</v>
      </c>
      <c r="R1133" s="5" t="inlineStr">
        <is>
          <t>239-2025-04-30</t>
        </is>
      </c>
    </row>
    <row r="1134">
      <c r="A1134" s="26" t="n">
        <v>239</v>
      </c>
      <c r="B1134" s="5" t="inlineStr">
        <is>
          <t>Portafolio de Proyectos</t>
        </is>
      </c>
      <c r="C1134" s="5" t="inlineStr">
        <is>
          <t>Gestión de Proyectos</t>
        </is>
      </c>
      <c r="D1134" s="5" t="inlineStr">
        <is>
          <t>Mensual</t>
        </is>
      </c>
      <c r="E1134" s="5" t="inlineStr">
        <is>
          <t>Positivo</t>
        </is>
      </c>
      <c r="F1134" s="107" t="n">
        <v>45808</v>
      </c>
      <c r="G1134" s="5" t="n">
        <v>2025</v>
      </c>
      <c r="H1134" s="5" t="inlineStr">
        <is>
          <t>Mayo</t>
        </is>
      </c>
      <c r="I1134" s="6" t="inlineStr">
        <is>
          <t>2025-1</t>
        </is>
      </c>
      <c r="J1134" s="5" t="n"/>
      <c r="K1134" s="9" t="n">
        <v>42</v>
      </c>
      <c r="L1134" s="14" t="n"/>
      <c r="M1134" s="14" t="n"/>
      <c r="N1134" s="5" t="inlineStr">
        <is>
          <t>Metrica</t>
        </is>
      </c>
      <c r="O1134" s="5" t="inlineStr">
        <is>
          <t>ENT</t>
        </is>
      </c>
      <c r="P1134" s="15" t="n">
        <v>0</v>
      </c>
      <c r="Q1134" s="15" t="n">
        <v>0</v>
      </c>
      <c r="R1134" s="5" t="inlineStr">
        <is>
          <t>239-2025-05-31</t>
        </is>
      </c>
    </row>
    <row r="1135">
      <c r="A1135" s="28" t="n">
        <v>239</v>
      </c>
      <c r="B1135" s="5" t="inlineStr">
        <is>
          <t>Portafolio de Proyectos</t>
        </is>
      </c>
      <c r="C1135" s="5" t="inlineStr">
        <is>
          <t>Gestión de Proyectos</t>
        </is>
      </c>
      <c r="D1135" s="5" t="inlineStr">
        <is>
          <t>Mensual</t>
        </is>
      </c>
      <c r="E1135" s="5" t="inlineStr">
        <is>
          <t>Positivo</t>
        </is>
      </c>
      <c r="F1135" s="107" t="n">
        <v>45838</v>
      </c>
      <c r="G1135" s="5" t="n">
        <v>2025</v>
      </c>
      <c r="H1135" s="5" t="inlineStr">
        <is>
          <t>Junio</t>
        </is>
      </c>
      <c r="I1135" s="6" t="inlineStr">
        <is>
          <t>2025-1</t>
        </is>
      </c>
      <c r="J1135" s="5" t="n"/>
      <c r="K1135" s="9" t="n">
        <v>41</v>
      </c>
      <c r="L1135" s="14" t="n"/>
      <c r="M1135" s="14" t="n"/>
      <c r="N1135" s="5" t="inlineStr">
        <is>
          <t>Metrica</t>
        </is>
      </c>
      <c r="O1135" s="5" t="inlineStr">
        <is>
          <t>ENT</t>
        </is>
      </c>
      <c r="P1135" s="15" t="n">
        <v>0</v>
      </c>
      <c r="Q1135" s="15" t="n">
        <v>0</v>
      </c>
      <c r="R1135" s="5" t="inlineStr">
        <is>
          <t>239-2025-06-30</t>
        </is>
      </c>
    </row>
    <row r="1136">
      <c r="A1136" s="21" t="n">
        <v>239</v>
      </c>
      <c r="B1136" s="5" t="inlineStr">
        <is>
          <t>Portafolio de Proyectos</t>
        </is>
      </c>
      <c r="C1136" s="5" t="inlineStr">
        <is>
          <t>Gestión de Proyectos</t>
        </is>
      </c>
      <c r="D1136" s="5" t="inlineStr">
        <is>
          <t>Mensual</t>
        </is>
      </c>
      <c r="E1136" s="5" t="inlineStr">
        <is>
          <t>Positivo</t>
        </is>
      </c>
      <c r="F1136" s="107" t="n">
        <v>45869</v>
      </c>
      <c r="G1136" s="5" t="n">
        <v>2025</v>
      </c>
      <c r="H1136" s="5" t="inlineStr">
        <is>
          <t>Julio</t>
        </is>
      </c>
      <c r="I1136" s="6" t="inlineStr">
        <is>
          <t>2025-2</t>
        </is>
      </c>
      <c r="J1136" s="5" t="n"/>
      <c r="K1136" s="10" t="n">
        <v>42</v>
      </c>
      <c r="L1136" s="14" t="n"/>
      <c r="M1136" s="14" t="n"/>
      <c r="N1136" s="5" t="inlineStr">
        <is>
          <t>Metrica</t>
        </is>
      </c>
      <c r="O1136" s="5" t="inlineStr">
        <is>
          <t>ENT</t>
        </is>
      </c>
      <c r="P1136" s="15" t="n">
        <v>0</v>
      </c>
      <c r="Q1136" s="15" t="n">
        <v>0</v>
      </c>
      <c r="R1136" s="5" t="inlineStr">
        <is>
          <t>239-2025-07-31</t>
        </is>
      </c>
    </row>
    <row r="1137">
      <c r="A1137" s="21" t="n">
        <v>239</v>
      </c>
      <c r="B1137" s="5" t="inlineStr">
        <is>
          <t>Portafolio de Proyectos</t>
        </is>
      </c>
      <c r="C1137" s="5" t="inlineStr">
        <is>
          <t>Gestión de Proyectos</t>
        </is>
      </c>
      <c r="D1137" s="5" t="inlineStr">
        <is>
          <t>Mensual</t>
        </is>
      </c>
      <c r="E1137" s="5" t="inlineStr">
        <is>
          <t>Positivo</t>
        </is>
      </c>
      <c r="F1137" s="107" t="n">
        <v>45900</v>
      </c>
      <c r="G1137" s="5" t="n">
        <v>2025</v>
      </c>
      <c r="H1137" s="5" t="inlineStr">
        <is>
          <t>Agosto</t>
        </is>
      </c>
      <c r="I1137" s="6" t="inlineStr">
        <is>
          <t>2025-2</t>
        </is>
      </c>
      <c r="J1137" s="5" t="n"/>
      <c r="K1137" s="9" t="n">
        <v>41</v>
      </c>
      <c r="L1137" s="14" t="n"/>
      <c r="M1137" s="14" t="n"/>
      <c r="N1137" s="5" t="inlineStr">
        <is>
          <t>Metrica</t>
        </is>
      </c>
      <c r="O1137" s="5" t="inlineStr">
        <is>
          <t>ENT</t>
        </is>
      </c>
      <c r="P1137" s="15" t="n">
        <v>0</v>
      </c>
      <c r="Q1137" s="15" t="n">
        <v>0</v>
      </c>
      <c r="R1137" s="5" t="inlineStr">
        <is>
          <t>239-2025-08-31</t>
        </is>
      </c>
    </row>
    <row r="1138">
      <c r="A1138" s="21" t="n">
        <v>239</v>
      </c>
      <c r="B1138" s="5" t="inlineStr">
        <is>
          <t>Portafolio de Proyectos - Metrica</t>
        </is>
      </c>
      <c r="C1138" s="5" t="inlineStr">
        <is>
          <t>Gestión de Proyectos</t>
        </is>
      </c>
      <c r="D1138" s="5" t="inlineStr">
        <is>
          <t>Mensual</t>
        </is>
      </c>
      <c r="E1138" s="5" t="inlineStr">
        <is>
          <t>Positivo</t>
        </is>
      </c>
      <c r="F1138" s="106" t="n">
        <v>45930</v>
      </c>
      <c r="G1138" s="5" t="n">
        <v>2025</v>
      </c>
      <c r="H1138" s="5" t="inlineStr">
        <is>
          <t>Septiembre</t>
        </is>
      </c>
      <c r="I1138" s="6" t="inlineStr">
        <is>
          <t>2025-2</t>
        </is>
      </c>
      <c r="J1138" s="5" t="n"/>
      <c r="K1138" s="9" t="n">
        <v>43</v>
      </c>
      <c r="L1138" s="14" t="n"/>
      <c r="M1138" s="14" t="n"/>
      <c r="N1138" s="5" t="inlineStr">
        <is>
          <t>Metrica</t>
        </is>
      </c>
      <c r="O1138" s="5" t="inlineStr">
        <is>
          <t>ENT</t>
        </is>
      </c>
      <c r="P1138" s="15" t="n">
        <v>0</v>
      </c>
      <c r="Q1138" s="15" t="n">
        <v>0</v>
      </c>
      <c r="R1138" s="5" t="inlineStr">
        <is>
          <t>239-2025-09-30</t>
        </is>
      </c>
      <c r="S1138" t="inlineStr">
        <is>
          <t>Metrica</t>
        </is>
      </c>
    </row>
    <row r="1139">
      <c r="A1139" s="21" t="n">
        <v>239</v>
      </c>
      <c r="B1139" s="5" t="inlineStr">
        <is>
          <t>Portafolio de Proyectos - Metrica</t>
        </is>
      </c>
      <c r="C1139" s="5" t="inlineStr">
        <is>
          <t>Gestión de Proyectos</t>
        </is>
      </c>
      <c r="D1139" s="5" t="inlineStr">
        <is>
          <t>Mensual</t>
        </is>
      </c>
      <c r="E1139" s="5" t="inlineStr">
        <is>
          <t>Positivo</t>
        </is>
      </c>
      <c r="F1139" s="107" t="n">
        <v>45961</v>
      </c>
      <c r="G1139" s="5" t="n">
        <v>2025</v>
      </c>
      <c r="H1139" s="5" t="inlineStr">
        <is>
          <t>Octubre</t>
        </is>
      </c>
      <c r="I1139" s="6" t="inlineStr">
        <is>
          <t>2025-2</t>
        </is>
      </c>
      <c r="J1139" s="5" t="n"/>
      <c r="K1139" s="9" t="n">
        <v>43</v>
      </c>
      <c r="L1139" s="14" t="n"/>
      <c r="M1139" s="14" t="n"/>
      <c r="N1139" s="5" t="inlineStr">
        <is>
          <t>Metrica</t>
        </is>
      </c>
      <c r="O1139" s="5" t="inlineStr">
        <is>
          <t>ENT</t>
        </is>
      </c>
      <c r="P1139" s="15" t="n">
        <v>0</v>
      </c>
      <c r="Q1139" s="15" t="n">
        <v>0</v>
      </c>
      <c r="R1139" s="5" t="inlineStr">
        <is>
          <t>239-2025-10-31</t>
        </is>
      </c>
      <c r="S1139" t="inlineStr">
        <is>
          <t>Metrica</t>
        </is>
      </c>
    </row>
    <row r="1140">
      <c r="A1140" s="21" t="n">
        <v>239</v>
      </c>
      <c r="B1140" s="5" t="inlineStr">
        <is>
          <t>Portafolio de Proyectos - Metrica</t>
        </is>
      </c>
      <c r="C1140" s="5" t="inlineStr">
        <is>
          <t>Gestión de Proyectos</t>
        </is>
      </c>
      <c r="D1140" s="5" t="inlineStr">
        <is>
          <t>Mensual</t>
        </is>
      </c>
      <c r="E1140" s="5" t="inlineStr">
        <is>
          <t>Positivo</t>
        </is>
      </c>
      <c r="F1140" s="107" t="n">
        <v>45991</v>
      </c>
      <c r="G1140" s="5" t="n">
        <v>2025</v>
      </c>
      <c r="H1140" s="5" t="inlineStr">
        <is>
          <t>Noviembre</t>
        </is>
      </c>
      <c r="I1140" s="6" t="inlineStr">
        <is>
          <t>2025-2</t>
        </is>
      </c>
      <c r="J1140" s="5" t="n"/>
      <c r="K1140" s="9" t="n">
        <v>43</v>
      </c>
      <c r="L1140" s="14" t="n"/>
      <c r="M1140" s="14" t="n"/>
      <c r="N1140" s="5" t="inlineStr">
        <is>
          <t>Metrica</t>
        </is>
      </c>
      <c r="O1140" s="5" t="inlineStr">
        <is>
          <t>ENT</t>
        </is>
      </c>
      <c r="P1140" s="15" t="n">
        <v>0</v>
      </c>
      <c r="Q1140" s="15" t="n">
        <v>0</v>
      </c>
      <c r="R1140" s="5" t="inlineStr">
        <is>
          <t>239-2025-11-30</t>
        </is>
      </c>
      <c r="S1140" t="inlineStr">
        <is>
          <t>Metrica</t>
        </is>
      </c>
    </row>
    <row r="1141">
      <c r="A1141" s="21" t="n">
        <v>239</v>
      </c>
      <c r="B1141" s="5" t="inlineStr">
        <is>
          <t>Portafolio de Proyectos - Metrica</t>
        </is>
      </c>
      <c r="C1141" s="5" t="inlineStr">
        <is>
          <t>Gestión de Proyectos</t>
        </is>
      </c>
      <c r="D1141" s="5" t="inlineStr">
        <is>
          <t>Mensual</t>
        </is>
      </c>
      <c r="E1141" s="5" t="inlineStr">
        <is>
          <t>Positivo</t>
        </is>
      </c>
      <c r="F1141" s="107" t="n">
        <v>46022</v>
      </c>
      <c r="G1141" s="5" t="n">
        <v>2025</v>
      </c>
      <c r="H1141" s="5" t="inlineStr">
        <is>
          <t>Diciembre</t>
        </is>
      </c>
      <c r="I1141" s="6" t="inlineStr">
        <is>
          <t>2025-2</t>
        </is>
      </c>
      <c r="J1141" s="5" t="n"/>
      <c r="K1141" s="9" t="n">
        <v>44</v>
      </c>
      <c r="L1141" s="14" t="n"/>
      <c r="M1141" s="14" t="n"/>
      <c r="N1141" s="5" t="inlineStr">
        <is>
          <t>Metrica</t>
        </is>
      </c>
      <c r="O1141" s="5" t="inlineStr">
        <is>
          <t>ENT</t>
        </is>
      </c>
      <c r="P1141" s="15" t="n">
        <v>0</v>
      </c>
      <c r="Q1141" s="15" t="n">
        <v>0</v>
      </c>
      <c r="R1141" s="5" t="inlineStr">
        <is>
          <t>239-2025-12-31</t>
        </is>
      </c>
      <c r="S1141" t="inlineStr">
        <is>
          <t>Metrica</t>
        </is>
      </c>
    </row>
    <row r="1142">
      <c r="A1142" s="21" t="n">
        <v>240</v>
      </c>
      <c r="B1142" s="5" t="inlineStr">
        <is>
          <t>Cumplimiento de Gestión De Proyectos Cerrados</t>
        </is>
      </c>
      <c r="C1142" s="5" t="inlineStr">
        <is>
          <t>Gestión de Proyectos</t>
        </is>
      </c>
      <c r="D1142" s="5" t="inlineStr">
        <is>
          <t>Trimestral</t>
        </is>
      </c>
      <c r="E1142" s="5" t="inlineStr">
        <is>
          <t>Positivo</t>
        </is>
      </c>
      <c r="F1142" s="107" t="n">
        <v>45016</v>
      </c>
      <c r="G1142" s="5" t="n">
        <v>2023</v>
      </c>
      <c r="H1142" s="5" t="inlineStr">
        <is>
          <t>Marzo</t>
        </is>
      </c>
      <c r="I1142" s="6" t="inlineStr">
        <is>
          <t>2023-1</t>
        </is>
      </c>
      <c r="J1142" s="5" t="n">
        <v>100</v>
      </c>
      <c r="K1142" s="9" t="n">
        <v>40</v>
      </c>
      <c r="L1142" s="14">
        <f>IFERROR(IF(OR(J1142=0,K1142=""),"",IF(E1142="Positivo",MIN(MAX(K1142/J1142,0),1.3),MIN(MAX(J1142/K1142,0),1.3))),"") </f>
        <v/>
      </c>
      <c r="M1142" s="14">
        <f>IFERROR(IF(OR(J1142=0,K1142=""),"",IF(E1142="Positivo",MAX(K1142/J1142,0),MAX(J1142/K1142,0))),"") </f>
        <v/>
      </c>
      <c r="N1142" s="5" t="inlineStr">
        <is>
          <t>%</t>
        </is>
      </c>
      <c r="O1142" s="5" t="inlineStr">
        <is>
          <t>%</t>
        </is>
      </c>
      <c r="P1142" s="15" t="n">
        <v>0</v>
      </c>
      <c r="Q1142" s="15" t="n">
        <v>0</v>
      </c>
      <c r="R1142" s="5" t="inlineStr">
        <is>
          <t>240-2023-03-31</t>
        </is>
      </c>
    </row>
    <row r="1143">
      <c r="A1143" s="21" t="n">
        <v>240</v>
      </c>
      <c r="B1143" s="5" t="inlineStr">
        <is>
          <t>Cumplimiento de Gestión De Proyectos Cerrados</t>
        </is>
      </c>
      <c r="C1143" s="5" t="inlineStr">
        <is>
          <t>Gestión de Proyectos</t>
        </is>
      </c>
      <c r="D1143" s="5" t="inlineStr">
        <is>
          <t>Trimestral</t>
        </is>
      </c>
      <c r="E1143" s="5" t="inlineStr">
        <is>
          <t>Positivo</t>
        </is>
      </c>
      <c r="F1143" s="107" t="n">
        <v>45107</v>
      </c>
      <c r="G1143" s="5" t="n">
        <v>2023</v>
      </c>
      <c r="H1143" s="5" t="inlineStr">
        <is>
          <t>Junio</t>
        </is>
      </c>
      <c r="I1143" s="6" t="inlineStr">
        <is>
          <t>2023-1</t>
        </is>
      </c>
      <c r="J1143" s="5" t="n">
        <v>100</v>
      </c>
      <c r="K1143" s="9" t="n">
        <v>60</v>
      </c>
      <c r="L1143" s="14">
        <f>IFERROR(IF(OR(J1143=0,K1143=""),"",IF(E1143="Positivo",MIN(MAX(K1143/J1143,0),1.3),MIN(MAX(J1143/K1143,0),1.3))),"") </f>
        <v/>
      </c>
      <c r="M1143" s="14">
        <f>IFERROR(IF(OR(J1143=0,K1143=""),"",IF(E1143="Positivo",MAX(K1143/J1143,0),MAX(J1143/K1143,0))),"") </f>
        <v/>
      </c>
      <c r="N1143" s="5" t="inlineStr">
        <is>
          <t>%</t>
        </is>
      </c>
      <c r="O1143" s="5" t="inlineStr">
        <is>
          <t>%</t>
        </is>
      </c>
      <c r="P1143" s="15" t="n">
        <v>0</v>
      </c>
      <c r="Q1143" s="15" t="n">
        <v>0</v>
      </c>
      <c r="R1143" s="5" t="inlineStr">
        <is>
          <t>240-2023-06-30</t>
        </is>
      </c>
    </row>
    <row r="1144">
      <c r="A1144" s="26" t="n">
        <v>240</v>
      </c>
      <c r="B1144" s="5" t="inlineStr">
        <is>
          <t>Cumplimiento de Gestión De Proyectos Cerrados</t>
        </is>
      </c>
      <c r="C1144" s="5" t="inlineStr">
        <is>
          <t>Gestión de Proyectos</t>
        </is>
      </c>
      <c r="D1144" s="5" t="inlineStr">
        <is>
          <t>Trimestral</t>
        </is>
      </c>
      <c r="E1144" s="5" t="inlineStr">
        <is>
          <t>Positivo</t>
        </is>
      </c>
      <c r="F1144" s="107" t="n">
        <v>45199</v>
      </c>
      <c r="G1144" s="5" t="n">
        <v>2023</v>
      </c>
      <c r="H1144" s="5" t="inlineStr">
        <is>
          <t>Septiembre</t>
        </is>
      </c>
      <c r="I1144" s="6" t="inlineStr">
        <is>
          <t>2023-2</t>
        </is>
      </c>
      <c r="J1144" s="5" t="n">
        <v>100</v>
      </c>
      <c r="K1144" s="9" t="n">
        <v>80</v>
      </c>
      <c r="L1144" s="14">
        <f>IFERROR(IF(OR(J1144=0,K1144=""),"",IF(E1144="Positivo",MIN(MAX(K1144/J1144,0),1.3),MIN(MAX(J1144/K1144,0),1.3))),"") </f>
        <v/>
      </c>
      <c r="M1144" s="14">
        <f>IFERROR(IF(OR(J1144=0,K1144=""),"",IF(E1144="Positivo",MAX(K1144/J1144,0),MAX(J1144/K1144,0))),"") </f>
        <v/>
      </c>
      <c r="N1144" s="5" t="inlineStr">
        <is>
          <t>%</t>
        </is>
      </c>
      <c r="O1144" s="5" t="inlineStr">
        <is>
          <t>%</t>
        </is>
      </c>
      <c r="P1144" s="15" t="n">
        <v>0</v>
      </c>
      <c r="Q1144" s="15" t="n">
        <v>0</v>
      </c>
      <c r="R1144" s="5" t="inlineStr">
        <is>
          <t>240-2023-09-30</t>
        </is>
      </c>
    </row>
    <row r="1145">
      <c r="A1145" s="26" t="n">
        <v>240</v>
      </c>
      <c r="B1145" s="5" t="inlineStr">
        <is>
          <t>Cumplimiento de Gestión De Proyectos Cerrados</t>
        </is>
      </c>
      <c r="C1145" s="5" t="inlineStr">
        <is>
          <t>Gestión de Proyectos</t>
        </is>
      </c>
      <c r="D1145" s="5" t="inlineStr">
        <is>
          <t>Trimestral</t>
        </is>
      </c>
      <c r="E1145" s="5" t="inlineStr">
        <is>
          <t>Positivo</t>
        </is>
      </c>
      <c r="F1145" s="107" t="n">
        <v>45291</v>
      </c>
      <c r="G1145" s="5" t="n">
        <v>2023</v>
      </c>
      <c r="H1145" s="5" t="inlineStr">
        <is>
          <t>Diciembre</t>
        </is>
      </c>
      <c r="I1145" s="6" t="inlineStr">
        <is>
          <t>2023-2</t>
        </is>
      </c>
      <c r="J1145" s="5" t="n">
        <v>100</v>
      </c>
      <c r="K1145" s="9" t="n">
        <v>80</v>
      </c>
      <c r="L1145" s="14">
        <f>IFERROR(IF(OR(J1145=0,K1145=""),"",IF(E1145="Positivo",MIN(MAX(K1145/J1145,0),1.3),MIN(MAX(J1145/K1145,0),1.3))),"") </f>
        <v/>
      </c>
      <c r="M1145" s="14">
        <f>IFERROR(IF(OR(J1145=0,K1145=""),"",IF(E1145="Positivo",MAX(K1145/J1145,0),MAX(J1145/K1145,0))),"") </f>
        <v/>
      </c>
      <c r="N1145" s="5" t="inlineStr">
        <is>
          <t>%</t>
        </is>
      </c>
      <c r="O1145" s="5" t="inlineStr">
        <is>
          <t>%</t>
        </is>
      </c>
      <c r="P1145" s="15" t="n">
        <v>0</v>
      </c>
      <c r="Q1145" s="15" t="n">
        <v>0</v>
      </c>
      <c r="R1145" s="5" t="inlineStr">
        <is>
          <t>240-2023-12-31</t>
        </is>
      </c>
    </row>
    <row r="1146">
      <c r="A1146" s="26" t="n">
        <v>240</v>
      </c>
      <c r="B1146" s="5" t="inlineStr">
        <is>
          <t>Cumplimiento de Gestión De Proyectos Cerrados</t>
        </is>
      </c>
      <c r="C1146" s="5" t="inlineStr">
        <is>
          <t>Gestión de Proyectos</t>
        </is>
      </c>
      <c r="D1146" s="5" t="inlineStr">
        <is>
          <t>Trimestral</t>
        </is>
      </c>
      <c r="E1146" s="5" t="inlineStr">
        <is>
          <t>Positivo</t>
        </is>
      </c>
      <c r="F1146" s="107" t="n">
        <v>45382</v>
      </c>
      <c r="G1146" s="5" t="n">
        <v>2024</v>
      </c>
      <c r="H1146" s="5" t="inlineStr">
        <is>
          <t>Marzo</t>
        </is>
      </c>
      <c r="I1146" s="6" t="inlineStr">
        <is>
          <t>2024-1</t>
        </is>
      </c>
      <c r="J1146" s="5" t="n">
        <v>100</v>
      </c>
      <c r="K1146" s="9" t="n">
        <v>91.66666666666666</v>
      </c>
      <c r="L1146" s="14">
        <f>IFERROR(IF(OR(J1146=0,K1146=""),"",IF(E1146="Positivo",MIN(MAX(K1146/J1146,0),1.3),MIN(MAX(J1146/K1146,0),1.3))),"") </f>
        <v/>
      </c>
      <c r="M1146" s="14">
        <f>IFERROR(IF(OR(J1146=0,K1146=""),"",IF(E1146="Positivo",MAX(K1146/J1146,0),MAX(J1146/K1146,0))),"") </f>
        <v/>
      </c>
      <c r="N1146" s="5" t="inlineStr">
        <is>
          <t>%</t>
        </is>
      </c>
      <c r="O1146" s="5" t="inlineStr">
        <is>
          <t>%</t>
        </is>
      </c>
      <c r="P1146" s="15" t="n">
        <v>0</v>
      </c>
      <c r="Q1146" s="15" t="n">
        <v>0</v>
      </c>
      <c r="R1146" s="5" t="inlineStr">
        <is>
          <t>240-2024-03-31</t>
        </is>
      </c>
    </row>
    <row r="1147">
      <c r="A1147" s="21" t="n">
        <v>240</v>
      </c>
      <c r="B1147" s="5" t="inlineStr">
        <is>
          <t>Cumplimiento de Gestión De Proyectos Cerrados</t>
        </is>
      </c>
      <c r="C1147" s="5" t="inlineStr">
        <is>
          <t>Gestión de Proyectos</t>
        </is>
      </c>
      <c r="D1147" s="5" t="inlineStr">
        <is>
          <t>Trimestral</t>
        </is>
      </c>
      <c r="E1147" s="5" t="inlineStr">
        <is>
          <t>Positivo</t>
        </is>
      </c>
      <c r="F1147" s="107" t="n">
        <v>45473</v>
      </c>
      <c r="G1147" s="5" t="n">
        <v>2024</v>
      </c>
      <c r="H1147" s="5" t="inlineStr">
        <is>
          <t>Junio</t>
        </is>
      </c>
      <c r="I1147" s="6" t="inlineStr">
        <is>
          <t>2024-1</t>
        </is>
      </c>
      <c r="J1147" s="5" t="n">
        <v>100</v>
      </c>
      <c r="K1147" s="10" t="n">
        <v>100</v>
      </c>
      <c r="L1147" s="14">
        <f>IFERROR(IF(OR(J1147=0,K1147=""),"",IF(E1147="Positivo",MIN(MAX(K1147/J1147,0),1.3),MIN(MAX(J1147/K1147,0),1.3))),"") </f>
        <v/>
      </c>
      <c r="M1147" s="14">
        <f>IFERROR(IF(OR(J1147=0,K1147=""),"",IF(E1147="Positivo",MAX(K1147/J1147,0),MAX(J1147/K1147,0))),"") </f>
        <v/>
      </c>
      <c r="N1147" s="5" t="inlineStr">
        <is>
          <t>%</t>
        </is>
      </c>
      <c r="O1147" s="5" t="inlineStr">
        <is>
          <t>%</t>
        </is>
      </c>
      <c r="P1147" s="15" t="n">
        <v>0</v>
      </c>
      <c r="Q1147" s="15" t="n">
        <v>0</v>
      </c>
      <c r="R1147" s="5" t="inlineStr">
        <is>
          <t>240-2024-06-30</t>
        </is>
      </c>
    </row>
    <row r="1148">
      <c r="A1148" s="21" t="n">
        <v>240</v>
      </c>
      <c r="B1148" s="5" t="inlineStr">
        <is>
          <t>Cumplimiento de Gestión De Proyectos Cerrados</t>
        </is>
      </c>
      <c r="C1148" s="5" t="inlineStr">
        <is>
          <t>Gestión de Proyectos</t>
        </is>
      </c>
      <c r="D1148" s="5" t="inlineStr">
        <is>
          <t>Trimestral</t>
        </is>
      </c>
      <c r="E1148" s="5" t="inlineStr">
        <is>
          <t>Positivo</t>
        </is>
      </c>
      <c r="F1148" s="107" t="n">
        <v>45565</v>
      </c>
      <c r="G1148" s="5" t="n">
        <v>2024</v>
      </c>
      <c r="H1148" s="5" t="inlineStr">
        <is>
          <t>Septiembre</t>
        </is>
      </c>
      <c r="I1148" s="6" t="inlineStr">
        <is>
          <t>2024-2</t>
        </is>
      </c>
      <c r="J1148" s="5" t="n">
        <v>100</v>
      </c>
      <c r="K1148" s="10" t="n">
        <v>100</v>
      </c>
      <c r="L1148" s="14">
        <f>IFERROR(IF(OR(J1148=0,K1148=""),"",IF(E1148="Positivo",MIN(MAX(K1148/J1148,0),1.3),MIN(MAX(J1148/K1148,0),1.3))),"") </f>
        <v/>
      </c>
      <c r="M1148" s="14">
        <f>IFERROR(IF(OR(J1148=0,K1148=""),"",IF(E1148="Positivo",MAX(K1148/J1148,0),MAX(J1148/K1148,0))),"") </f>
        <v/>
      </c>
      <c r="N1148" s="5" t="inlineStr">
        <is>
          <t>%</t>
        </is>
      </c>
      <c r="O1148" s="5" t="inlineStr">
        <is>
          <t>%</t>
        </is>
      </c>
      <c r="P1148" s="15" t="n">
        <v>0</v>
      </c>
      <c r="Q1148" s="15" t="n">
        <v>0</v>
      </c>
      <c r="R1148" s="5" t="inlineStr">
        <is>
          <t>240-2024-09-30</t>
        </is>
      </c>
    </row>
    <row r="1149">
      <c r="A1149" s="21" t="n">
        <v>240</v>
      </c>
      <c r="B1149" s="5" t="inlineStr">
        <is>
          <t>Cumplimiento de Gestión De Proyectos Cerrados</t>
        </is>
      </c>
      <c r="C1149" s="5" t="inlineStr">
        <is>
          <t>Gestión de Proyectos</t>
        </is>
      </c>
      <c r="D1149" s="5" t="inlineStr">
        <is>
          <t>Trimestral</t>
        </is>
      </c>
      <c r="E1149" s="5" t="inlineStr">
        <is>
          <t>Positivo</t>
        </is>
      </c>
      <c r="F1149" s="107" t="n">
        <v>45657</v>
      </c>
      <c r="G1149" s="5" t="n">
        <v>2024</v>
      </c>
      <c r="H1149" s="5" t="inlineStr">
        <is>
          <t>Diciembre</t>
        </is>
      </c>
      <c r="I1149" s="6" t="inlineStr">
        <is>
          <t>2024-2</t>
        </is>
      </c>
      <c r="J1149" s="5" t="n">
        <v>100</v>
      </c>
      <c r="K1149" s="10" t="n">
        <v>100</v>
      </c>
      <c r="L1149" s="14">
        <f>IFERROR(IF(OR(J1149=0,K1149=""),"",IF(E1149="Positivo",MIN(MAX(K1149/J1149,0),1.3),MIN(MAX(J1149/K1149,0),1.3))),"") </f>
        <v/>
      </c>
      <c r="M1149" s="14">
        <f>IFERROR(IF(OR(J1149=0,K1149=""),"",IF(E1149="Positivo",MAX(K1149/J1149,0),MAX(J1149/K1149,0))),"") </f>
        <v/>
      </c>
      <c r="N1149" s="5" t="inlineStr">
        <is>
          <t>%</t>
        </is>
      </c>
      <c r="O1149" s="5" t="inlineStr">
        <is>
          <t>%</t>
        </is>
      </c>
      <c r="P1149" s="15" t="n">
        <v>0</v>
      </c>
      <c r="Q1149" s="15" t="n">
        <v>0</v>
      </c>
      <c r="R1149" s="5" t="inlineStr">
        <is>
          <t>240-2024-12-31</t>
        </is>
      </c>
    </row>
    <row r="1150">
      <c r="A1150" s="21" t="n">
        <v>240</v>
      </c>
      <c r="B1150" s="5" t="inlineStr">
        <is>
          <t>Cumplimiento de Gestión De Proyectos Cerrados</t>
        </is>
      </c>
      <c r="C1150" s="5" t="inlineStr">
        <is>
          <t>Gestión de Proyectos</t>
        </is>
      </c>
      <c r="D1150" s="5" t="inlineStr">
        <is>
          <t>Trimestral</t>
        </is>
      </c>
      <c r="E1150" s="5" t="inlineStr">
        <is>
          <t>Positivo</t>
        </is>
      </c>
      <c r="F1150" s="107" t="n">
        <v>45747</v>
      </c>
      <c r="G1150" s="5" t="n">
        <v>2025</v>
      </c>
      <c r="H1150" s="5" t="inlineStr">
        <is>
          <t>Marzo</t>
        </is>
      </c>
      <c r="I1150" s="6" t="inlineStr">
        <is>
          <t>2025-1</t>
        </is>
      </c>
      <c r="J1150" s="5" t="n">
        <v>100</v>
      </c>
      <c r="K1150" s="10" t="n">
        <v>100</v>
      </c>
      <c r="L1150" s="14">
        <f>IFERROR(IF(OR(J1150=0,K1150=""),"",IF(E1150="Positivo",MIN(MAX(K1150/J1150,0),1.3),MIN(MAX(J1150/K1150,0),1.3))),"") </f>
        <v/>
      </c>
      <c r="M1150" s="14">
        <f>IFERROR(IF(OR(J1150=0,K1150=""),"",IF(E1150="Positivo",MAX(K1150/J1150,0),MAX(J1150/K1150,0))),"") </f>
        <v/>
      </c>
      <c r="N1150" s="5" t="inlineStr">
        <is>
          <t>%</t>
        </is>
      </c>
      <c r="O1150" s="5" t="inlineStr">
        <is>
          <t>%</t>
        </is>
      </c>
      <c r="P1150" s="15" t="n">
        <v>0</v>
      </c>
      <c r="Q1150" s="15" t="n">
        <v>0</v>
      </c>
      <c r="R1150" s="5" t="inlineStr">
        <is>
          <t>240-2025-03-31</t>
        </is>
      </c>
    </row>
    <row r="1151">
      <c r="A1151" s="21" t="n">
        <v>240</v>
      </c>
      <c r="B1151" s="5" t="inlineStr">
        <is>
          <t>Cumplimiento de Gestión De Proyectos Cerrados</t>
        </is>
      </c>
      <c r="C1151" s="5" t="inlineStr">
        <is>
          <t>Gestión de Proyectos</t>
        </is>
      </c>
      <c r="D1151" s="5" t="inlineStr">
        <is>
          <t>Trimestral</t>
        </is>
      </c>
      <c r="E1151" s="5" t="inlineStr">
        <is>
          <t>Positivo</t>
        </is>
      </c>
      <c r="F1151" s="107" t="n">
        <v>45838</v>
      </c>
      <c r="G1151" s="5" t="n">
        <v>2025</v>
      </c>
      <c r="H1151" s="5" t="inlineStr">
        <is>
          <t>Junio</t>
        </is>
      </c>
      <c r="I1151" s="6" t="inlineStr">
        <is>
          <t>2025-1</t>
        </is>
      </c>
      <c r="J1151" s="5" t="n">
        <v>100</v>
      </c>
      <c r="K1151" s="10" t="n">
        <v>100</v>
      </c>
      <c r="L1151" s="14">
        <f>IFERROR(IF(OR(J1151=0,K1151=""),"",IF(E1151="Positivo",MIN(MAX(K1151/J1151,0),1.3),MIN(MAX(J1151/K1151,0),1.3))),"") </f>
        <v/>
      </c>
      <c r="M1151" s="14">
        <f>IFERROR(IF(OR(J1151=0,K1151=""),"",IF(E1151="Positivo",MAX(K1151/J1151,0),MAX(J1151/K1151,0))),"") </f>
        <v/>
      </c>
      <c r="N1151" s="5" t="inlineStr">
        <is>
          <t>%</t>
        </is>
      </c>
      <c r="O1151" s="5" t="inlineStr">
        <is>
          <t>%</t>
        </is>
      </c>
      <c r="P1151" s="15" t="n">
        <v>0</v>
      </c>
      <c r="Q1151" s="15" t="n">
        <v>0</v>
      </c>
      <c r="R1151" s="5" t="inlineStr">
        <is>
          <t>240-2025-06-30</t>
        </is>
      </c>
    </row>
    <row r="1152">
      <c r="A1152" s="5" t="n">
        <v>240</v>
      </c>
      <c r="B1152" s="5" t="inlineStr">
        <is>
          <t>Cumplimiento de Gestión De Proyectos Cerrados</t>
        </is>
      </c>
      <c r="C1152" s="5" t="inlineStr">
        <is>
          <t>Gestión de Proyectos</t>
        </is>
      </c>
      <c r="D1152" s="5" t="inlineStr">
        <is>
          <t>Semestral</t>
        </is>
      </c>
      <c r="E1152" s="5" t="inlineStr">
        <is>
          <t>Positivo</t>
        </is>
      </c>
      <c r="F1152" s="107" t="n">
        <v>45930</v>
      </c>
      <c r="G1152" s="5" t="n">
        <v>2025</v>
      </c>
      <c r="H1152" s="5" t="inlineStr">
        <is>
          <t>Septiembre</t>
        </is>
      </c>
      <c r="I1152" s="6" t="inlineStr">
        <is>
          <t>2025-2</t>
        </is>
      </c>
      <c r="J1152" s="5" t="n">
        <v>100</v>
      </c>
      <c r="K1152" s="5" t="n">
        <v>100</v>
      </c>
      <c r="L1152" s="14">
        <f>IFERROR(IF(OR(J1152=0,K1152=""),"",IF(E1152="Positivo",MIN(MAX(K1152/J1152,0),1.3),MIN(MAX(J1152/K1152,0),1.3))),"") </f>
        <v/>
      </c>
      <c r="M1152" s="14">
        <f>IFERROR(IF(OR(J1152=0,K1152=""),"",IF(E1152="Positivo",MAX(K1152/J1152,0),MAX(J1152/K1152,0))),"") </f>
        <v/>
      </c>
      <c r="N1152" s="5" t="inlineStr">
        <is>
          <t>%</t>
        </is>
      </c>
      <c r="O1152" s="5" t="inlineStr">
        <is>
          <t>%</t>
        </is>
      </c>
      <c r="P1152" s="5" t="n">
        <v>0</v>
      </c>
      <c r="Q1152" s="5" t="n">
        <v>0</v>
      </c>
      <c r="R1152" s="5" t="inlineStr">
        <is>
          <t>240-2025-09-30</t>
        </is>
      </c>
    </row>
    <row r="1153">
      <c r="A1153" s="21" t="n">
        <v>240</v>
      </c>
      <c r="B1153" s="5" t="inlineStr">
        <is>
          <t>Cumplimiento de Gestión De Proyectos Cerrados</t>
        </is>
      </c>
      <c r="C1153" s="5" t="inlineStr">
        <is>
          <t>Gestión de Proyectos</t>
        </is>
      </c>
      <c r="D1153" s="5" t="inlineStr">
        <is>
          <t>Semestral</t>
        </is>
      </c>
      <c r="E1153" s="5" t="inlineStr">
        <is>
          <t>Positivo</t>
        </is>
      </c>
      <c r="F1153" s="107" t="n">
        <v>46022</v>
      </c>
      <c r="G1153" s="5" t="n">
        <v>2025</v>
      </c>
      <c r="H1153" s="5" t="inlineStr">
        <is>
          <t>Diciembre</t>
        </is>
      </c>
      <c r="I1153" s="6" t="inlineStr">
        <is>
          <t>2025-2</t>
        </is>
      </c>
      <c r="J1153" s="5" t="n">
        <v>100</v>
      </c>
      <c r="K1153" s="10" t="n">
        <v>100</v>
      </c>
      <c r="L1153" s="14">
        <f>IFERROR(IF(OR(J1153=0,K1153=""),"",IF(E1153="Positivo",MIN(MAX(K1153/J1153,0),1.3),MIN(MAX(J1153/K1153,0),1.3))),"") </f>
        <v/>
      </c>
      <c r="M1153" s="14">
        <f>IFERROR(IF(OR(J1153=0,K1153=""),"",IF(E1153="Positivo",MAX(K1153/J1153,0),MAX(J1153/K1153,0))),"") </f>
        <v/>
      </c>
      <c r="N1153" s="5" t="inlineStr">
        <is>
          <t>%</t>
        </is>
      </c>
      <c r="O1153" s="5" t="inlineStr">
        <is>
          <t>%</t>
        </is>
      </c>
      <c r="P1153" s="15" t="n">
        <v>0</v>
      </c>
      <c r="Q1153" s="15" t="n">
        <v>0</v>
      </c>
      <c r="R1153" s="5" t="inlineStr">
        <is>
          <t>240-2025-12-31</t>
        </is>
      </c>
    </row>
    <row r="1154">
      <c r="A1154" s="21" t="n">
        <v>241</v>
      </c>
      <c r="B1154" s="5" t="inlineStr">
        <is>
          <t>Cumplimiento de gestión de proyectos fase inicio</t>
        </is>
      </c>
      <c r="C1154" s="5" t="inlineStr">
        <is>
          <t>Gestión de Proyectos</t>
        </is>
      </c>
      <c r="D1154" s="5" t="inlineStr">
        <is>
          <t>Mensual</t>
        </is>
      </c>
      <c r="E1154" s="5" t="inlineStr">
        <is>
          <t>Positivo</t>
        </is>
      </c>
      <c r="F1154" s="107" t="n">
        <v>44957</v>
      </c>
      <c r="G1154" s="5" t="n">
        <v>2023</v>
      </c>
      <c r="H1154" s="5" t="inlineStr">
        <is>
          <t>Enero</t>
        </is>
      </c>
      <c r="I1154" s="6" t="inlineStr">
        <is>
          <t>2023-1</t>
        </is>
      </c>
      <c r="J1154" s="5" t="n">
        <v>80</v>
      </c>
      <c r="K1154" s="10" t="n">
        <v>100</v>
      </c>
      <c r="L1154" s="14">
        <f>IFERROR(IF(OR(J1154=0,K1154=""),"",IF(E1154="Positivo",MIN(MAX(K1154/J1154,0),1.3),MIN(MAX(J1154/K1154,0),1.3))),"") </f>
        <v/>
      </c>
      <c r="M1154" s="14">
        <f>IFERROR(IF(OR(J1154=0,K1154=""),"",IF(E1154="Positivo",MAX(K1154/J1154,0),MAX(J1154/K1154,0))),"") </f>
        <v/>
      </c>
      <c r="N1154" s="5" t="inlineStr">
        <is>
          <t>%</t>
        </is>
      </c>
      <c r="O1154" s="5" t="inlineStr">
        <is>
          <t>%</t>
        </is>
      </c>
      <c r="P1154" s="15" t="n">
        <v>0</v>
      </c>
      <c r="Q1154" s="15" t="n">
        <v>0</v>
      </c>
      <c r="R1154" s="5" t="inlineStr">
        <is>
          <t>241-2023-01-31</t>
        </is>
      </c>
    </row>
    <row r="1155">
      <c r="A1155" s="21" t="n">
        <v>241</v>
      </c>
      <c r="B1155" s="5" t="inlineStr">
        <is>
          <t>Cumplimiento de gestión de proyectos fase inicio</t>
        </is>
      </c>
      <c r="C1155" s="5" t="inlineStr">
        <is>
          <t>Gestión de Proyectos</t>
        </is>
      </c>
      <c r="D1155" s="5" t="inlineStr">
        <is>
          <t>Mensual</t>
        </is>
      </c>
      <c r="E1155" s="5" t="inlineStr">
        <is>
          <t>Positivo</t>
        </is>
      </c>
      <c r="F1155" s="107" t="n">
        <v>44985</v>
      </c>
      <c r="G1155" s="5" t="n">
        <v>2023</v>
      </c>
      <c r="H1155" s="5" t="inlineStr">
        <is>
          <t>Febrero</t>
        </is>
      </c>
      <c r="I1155" s="6" t="inlineStr">
        <is>
          <t>2023-1</t>
        </is>
      </c>
      <c r="J1155" s="5" t="n">
        <v>80</v>
      </c>
      <c r="K1155" s="10" t="n">
        <v>100</v>
      </c>
      <c r="L1155" s="14">
        <f>IFERROR(IF(OR(J1155=0,K1155=""),"",IF(E1155="Positivo",MIN(MAX(K1155/J1155,0),1.3),MIN(MAX(J1155/K1155,0),1.3))),"") </f>
        <v/>
      </c>
      <c r="M1155" s="14">
        <f>IFERROR(IF(OR(J1155=0,K1155=""),"",IF(E1155="Positivo",MAX(K1155/J1155,0),MAX(J1155/K1155,0))),"") </f>
        <v/>
      </c>
      <c r="N1155" s="5" t="inlineStr">
        <is>
          <t>%</t>
        </is>
      </c>
      <c r="O1155" s="5" t="inlineStr">
        <is>
          <t>%</t>
        </is>
      </c>
      <c r="P1155" s="15" t="n">
        <v>0</v>
      </c>
      <c r="Q1155" s="15" t="n">
        <v>0</v>
      </c>
      <c r="R1155" s="5" t="inlineStr">
        <is>
          <t>241-2023-02-28</t>
        </is>
      </c>
    </row>
    <row r="1156">
      <c r="A1156" s="21" t="n">
        <v>241</v>
      </c>
      <c r="B1156" s="5" t="inlineStr">
        <is>
          <t>Cumplimiento de gestión de proyectos fase inicio</t>
        </is>
      </c>
      <c r="C1156" s="5" t="inlineStr">
        <is>
          <t>Gestión de Proyectos</t>
        </is>
      </c>
      <c r="D1156" s="5" t="inlineStr">
        <is>
          <t>Mensual</t>
        </is>
      </c>
      <c r="E1156" s="5" t="inlineStr">
        <is>
          <t>Positivo</t>
        </is>
      </c>
      <c r="F1156" s="107" t="n">
        <v>45016</v>
      </c>
      <c r="G1156" s="5" t="n">
        <v>2023</v>
      </c>
      <c r="H1156" s="5" t="inlineStr">
        <is>
          <t>Marzo</t>
        </is>
      </c>
      <c r="I1156" s="6" t="inlineStr">
        <is>
          <t>2023-1</t>
        </is>
      </c>
      <c r="J1156" s="5" t="n">
        <v>80</v>
      </c>
      <c r="K1156" s="10" t="n">
        <v>100</v>
      </c>
      <c r="L1156" s="14">
        <f>IFERROR(IF(OR(J1156=0,K1156=""),"",IF(E1156="Positivo",MIN(MAX(K1156/J1156,0),1.3),MIN(MAX(J1156/K1156,0),1.3))),"") </f>
        <v/>
      </c>
      <c r="M1156" s="14">
        <f>IFERROR(IF(OR(J1156=0,K1156=""),"",IF(E1156="Positivo",MAX(K1156/J1156,0),MAX(J1156/K1156,0))),"") </f>
        <v/>
      </c>
      <c r="N1156" s="5" t="inlineStr">
        <is>
          <t>%</t>
        </is>
      </c>
      <c r="O1156" s="5" t="inlineStr">
        <is>
          <t>%</t>
        </is>
      </c>
      <c r="P1156" s="15" t="n">
        <v>0</v>
      </c>
      <c r="Q1156" s="15" t="n">
        <v>0</v>
      </c>
      <c r="R1156" s="5" t="inlineStr">
        <is>
          <t>241-2023-03-31</t>
        </is>
      </c>
    </row>
    <row r="1157">
      <c r="A1157" s="21" t="n">
        <v>241</v>
      </c>
      <c r="B1157" s="5" t="inlineStr">
        <is>
          <t>Cumplimiento de gestión de proyectos fase inicio</t>
        </is>
      </c>
      <c r="C1157" s="5" t="inlineStr">
        <is>
          <t>Gestión de Proyectos</t>
        </is>
      </c>
      <c r="D1157" s="5" t="inlineStr">
        <is>
          <t>Mensual</t>
        </is>
      </c>
      <c r="E1157" s="5" t="inlineStr">
        <is>
          <t>Positivo</t>
        </is>
      </c>
      <c r="F1157" s="107" t="n">
        <v>45046</v>
      </c>
      <c r="G1157" s="5" t="n">
        <v>2023</v>
      </c>
      <c r="H1157" s="5" t="inlineStr">
        <is>
          <t>Abril</t>
        </is>
      </c>
      <c r="I1157" s="6" t="inlineStr">
        <is>
          <t>2023-1</t>
        </is>
      </c>
      <c r="J1157" s="5" t="n">
        <v>80</v>
      </c>
      <c r="K1157" s="10" t="n">
        <v>81.818181818182</v>
      </c>
      <c r="L1157" s="14">
        <f>IFERROR(IF(OR(J1157=0,K1157=""),"",IF(E1157="Positivo",MIN(MAX(K1157/J1157,0),1.3),MIN(MAX(J1157/K1157,0),1.3))),"") </f>
        <v/>
      </c>
      <c r="M1157" s="14">
        <f>IFERROR(IF(OR(J1157=0,K1157=""),"",IF(E1157="Positivo",MAX(K1157/J1157,0),MAX(J1157/K1157,0))),"") </f>
        <v/>
      </c>
      <c r="N1157" s="5" t="inlineStr">
        <is>
          <t>%</t>
        </is>
      </c>
      <c r="O1157" s="5" t="inlineStr">
        <is>
          <t>%</t>
        </is>
      </c>
      <c r="P1157" s="15" t="n">
        <v>0</v>
      </c>
      <c r="Q1157" s="15" t="n">
        <v>0</v>
      </c>
      <c r="R1157" s="5" t="inlineStr">
        <is>
          <t>241-2023-04-30</t>
        </is>
      </c>
    </row>
    <row r="1158">
      <c r="A1158" s="21" t="n">
        <v>241</v>
      </c>
      <c r="B1158" s="5" t="inlineStr">
        <is>
          <t>Cumplimiento de gestión de proyectos fase inicio</t>
        </is>
      </c>
      <c r="C1158" s="5" t="inlineStr">
        <is>
          <t>Gestión de Proyectos</t>
        </is>
      </c>
      <c r="D1158" s="5" t="inlineStr">
        <is>
          <t>Mensual</t>
        </is>
      </c>
      <c r="E1158" s="5" t="inlineStr">
        <is>
          <t>Positivo</t>
        </is>
      </c>
      <c r="F1158" s="107" t="n">
        <v>45077</v>
      </c>
      <c r="G1158" s="5" t="n">
        <v>2023</v>
      </c>
      <c r="H1158" s="5" t="inlineStr">
        <is>
          <t>Mayo</t>
        </is>
      </c>
      <c r="I1158" s="6" t="inlineStr">
        <is>
          <t>2023-1</t>
        </is>
      </c>
      <c r="J1158" s="5" t="n">
        <v>80</v>
      </c>
      <c r="K1158" s="10" t="n">
        <v>83.333333333333</v>
      </c>
      <c r="L1158" s="14">
        <f>IFERROR(IF(OR(J1158=0,K1158=""),"",IF(E1158="Positivo",MIN(MAX(K1158/J1158,0),1.3),MIN(MAX(J1158/K1158,0),1.3))),"") </f>
        <v/>
      </c>
      <c r="M1158" s="14">
        <f>IFERROR(IF(OR(J1158=0,K1158=""),"",IF(E1158="Positivo",MAX(K1158/J1158,0),MAX(J1158/K1158,0))),"") </f>
        <v/>
      </c>
      <c r="N1158" s="5" t="inlineStr">
        <is>
          <t>%</t>
        </is>
      </c>
      <c r="O1158" s="5" t="inlineStr">
        <is>
          <t>%</t>
        </is>
      </c>
      <c r="P1158" s="15" t="n">
        <v>0</v>
      </c>
      <c r="Q1158" s="15" t="n">
        <v>0</v>
      </c>
      <c r="R1158" s="5" t="inlineStr">
        <is>
          <t>241-2023-05-31</t>
        </is>
      </c>
    </row>
    <row r="1159">
      <c r="A1159" s="28" t="n">
        <v>241</v>
      </c>
      <c r="B1159" s="5" t="inlineStr">
        <is>
          <t>Cumplimiento de gestión de proyectos fase inicio</t>
        </is>
      </c>
      <c r="C1159" s="5" t="inlineStr">
        <is>
          <t>Gestión de Proyectos</t>
        </is>
      </c>
      <c r="D1159" s="5" t="inlineStr">
        <is>
          <t>Mensual</t>
        </is>
      </c>
      <c r="E1159" s="5" t="inlineStr">
        <is>
          <t>Positivo</t>
        </is>
      </c>
      <c r="F1159" s="107" t="n">
        <v>45107</v>
      </c>
      <c r="G1159" s="5" t="n">
        <v>2023</v>
      </c>
      <c r="H1159" s="5" t="inlineStr">
        <is>
          <t>Junio</t>
        </is>
      </c>
      <c r="I1159" s="6" t="inlineStr">
        <is>
          <t>2023-1</t>
        </is>
      </c>
      <c r="J1159" s="73" t="n">
        <v>80</v>
      </c>
      <c r="K1159" s="9" t="n">
        <v>100</v>
      </c>
      <c r="L1159" s="14">
        <f>IFERROR(IF(OR(J1159=0,K1159=""),"",IF(E1159="Positivo",MIN(MAX(K1159/J1159,0),1.3),MIN(MAX(J1159/K1159,0),1.3))),"") </f>
        <v/>
      </c>
      <c r="M1159" s="14">
        <f>IFERROR(IF(OR(J1159=0,K1159=""),"",IF(E1159="Positivo",MAX(K1159/J1159,0),MAX(J1159/K1159,0))),"") </f>
        <v/>
      </c>
      <c r="N1159" s="5" t="inlineStr">
        <is>
          <t>%</t>
        </is>
      </c>
      <c r="O1159" s="5" t="inlineStr">
        <is>
          <t>%</t>
        </is>
      </c>
      <c r="P1159" s="15" t="n">
        <v>0</v>
      </c>
      <c r="Q1159" s="15" t="n">
        <v>0</v>
      </c>
      <c r="R1159" s="5" t="inlineStr">
        <is>
          <t>241-2023-06-30</t>
        </is>
      </c>
    </row>
    <row r="1160">
      <c r="A1160" s="26" t="n">
        <v>241</v>
      </c>
      <c r="B1160" s="5" t="inlineStr">
        <is>
          <t>Cumplimiento de gestión de proyectos fase inicio</t>
        </is>
      </c>
      <c r="C1160" s="5" t="inlineStr">
        <is>
          <t>Gestión de Proyectos</t>
        </is>
      </c>
      <c r="D1160" s="5" t="inlineStr">
        <is>
          <t>Mensual</t>
        </is>
      </c>
      <c r="E1160" s="5" t="inlineStr">
        <is>
          <t>Positivo</t>
        </is>
      </c>
      <c r="F1160" s="107" t="n">
        <v>45138</v>
      </c>
      <c r="G1160" s="5" t="n">
        <v>2023</v>
      </c>
      <c r="H1160" s="5" t="inlineStr">
        <is>
          <t>Julio</t>
        </is>
      </c>
      <c r="I1160" s="6" t="inlineStr">
        <is>
          <t>2023-2</t>
        </is>
      </c>
      <c r="J1160" s="73" t="n">
        <v>80</v>
      </c>
      <c r="K1160" s="9" t="n">
        <v>100</v>
      </c>
      <c r="L1160" s="14">
        <f>IFERROR(IF(OR(J1160=0,K1160=""),"",IF(E1160="Positivo",MIN(MAX(K1160/J1160,0),1.3),MIN(MAX(J1160/K1160,0),1.3))),"") </f>
        <v/>
      </c>
      <c r="M1160" s="14">
        <f>IFERROR(IF(OR(J1160=0,K1160=""),"",IF(E1160="Positivo",MAX(K1160/J1160,0),MAX(J1160/K1160,0))),"") </f>
        <v/>
      </c>
      <c r="N1160" s="5" t="inlineStr">
        <is>
          <t>%</t>
        </is>
      </c>
      <c r="O1160" s="5" t="inlineStr">
        <is>
          <t>%</t>
        </is>
      </c>
      <c r="P1160" s="15" t="n">
        <v>0</v>
      </c>
      <c r="Q1160" s="15" t="n">
        <v>0</v>
      </c>
      <c r="R1160" s="5" t="inlineStr">
        <is>
          <t>241-2023-07-31</t>
        </is>
      </c>
    </row>
    <row r="1161">
      <c r="A1161" s="28" t="n">
        <v>241</v>
      </c>
      <c r="B1161" s="5" t="inlineStr">
        <is>
          <t>Cumplimiento de gestión de proyectos fase inicio</t>
        </is>
      </c>
      <c r="C1161" s="5" t="inlineStr">
        <is>
          <t>Gestión de Proyectos</t>
        </is>
      </c>
      <c r="D1161" s="5" t="inlineStr">
        <is>
          <t>Mensual</t>
        </is>
      </c>
      <c r="E1161" s="5" t="inlineStr">
        <is>
          <t>Positivo</t>
        </is>
      </c>
      <c r="F1161" s="107" t="n">
        <v>45169</v>
      </c>
      <c r="G1161" s="5" t="n">
        <v>2023</v>
      </c>
      <c r="H1161" s="5" t="inlineStr">
        <is>
          <t>Agosto</t>
        </is>
      </c>
      <c r="I1161" s="6" t="inlineStr">
        <is>
          <t>2023-2</t>
        </is>
      </c>
      <c r="J1161" s="73" t="n">
        <v>80</v>
      </c>
      <c r="K1161" s="9" t="n">
        <v>91.67</v>
      </c>
      <c r="L1161" s="14">
        <f>IFERROR(IF(OR(J1161=0,K1161=""),"",IF(E1161="Positivo",MIN(MAX(K1161/J1161,0),1.3),MIN(MAX(J1161/K1161,0),1.3))),"") </f>
        <v/>
      </c>
      <c r="M1161" s="14">
        <f>IFERROR(IF(OR(J1161=0,K1161=""),"",IF(E1161="Positivo",MAX(K1161/J1161,0),MAX(J1161/K1161,0))),"") </f>
        <v/>
      </c>
      <c r="N1161" s="5" t="inlineStr">
        <is>
          <t>%</t>
        </is>
      </c>
      <c r="O1161" s="5" t="inlineStr">
        <is>
          <t>%</t>
        </is>
      </c>
      <c r="P1161" s="15" t="n">
        <v>0</v>
      </c>
      <c r="Q1161" s="15" t="n">
        <v>0</v>
      </c>
      <c r="R1161" s="5" t="inlineStr">
        <is>
          <t>241-2023-08-31</t>
        </is>
      </c>
    </row>
    <row r="1162">
      <c r="A1162" s="21" t="n">
        <v>241</v>
      </c>
      <c r="B1162" s="5" t="inlineStr">
        <is>
          <t>Cumplimiento de gestión de proyectos fase inicio</t>
        </is>
      </c>
      <c r="C1162" s="5" t="inlineStr">
        <is>
          <t>Gestión de Proyectos</t>
        </is>
      </c>
      <c r="D1162" s="5" t="inlineStr">
        <is>
          <t>Mensual</t>
        </is>
      </c>
      <c r="E1162" s="5" t="inlineStr">
        <is>
          <t>Positivo</t>
        </is>
      </c>
      <c r="F1162" s="107" t="n">
        <v>45199</v>
      </c>
      <c r="G1162" s="5" t="n">
        <v>2023</v>
      </c>
      <c r="H1162" s="5" t="inlineStr">
        <is>
          <t>Septiembre</t>
        </is>
      </c>
      <c r="I1162" s="6" t="inlineStr">
        <is>
          <t>2023-2</t>
        </is>
      </c>
      <c r="J1162" s="73" t="n">
        <v>80</v>
      </c>
      <c r="K1162" s="9" t="n">
        <v>91.67</v>
      </c>
      <c r="L1162" s="14">
        <f>IFERROR(IF(OR(J1162=0,K1162=""),"",IF(E1162="Positivo",MIN(MAX(K1162/J1162,0),1.3),MIN(MAX(J1162/K1162,0),1.3))),"") </f>
        <v/>
      </c>
      <c r="M1162" s="14">
        <f>IFERROR(IF(OR(J1162=0,K1162=""),"",IF(E1162="Positivo",MAX(K1162/J1162,0),MAX(J1162/K1162,0))),"") </f>
        <v/>
      </c>
      <c r="N1162" s="5" t="inlineStr">
        <is>
          <t>%</t>
        </is>
      </c>
      <c r="O1162" s="5" t="inlineStr">
        <is>
          <t>%</t>
        </is>
      </c>
      <c r="P1162" s="15" t="n">
        <v>0</v>
      </c>
      <c r="Q1162" s="15" t="n">
        <v>0</v>
      </c>
      <c r="R1162" s="5" t="inlineStr">
        <is>
          <t>241-2023-09-30</t>
        </is>
      </c>
    </row>
    <row r="1163">
      <c r="A1163" s="21" t="n">
        <v>241</v>
      </c>
      <c r="B1163" s="5" t="inlineStr">
        <is>
          <t>Cumplimiento de gestión de proyectos fase inicio</t>
        </is>
      </c>
      <c r="C1163" s="5" t="inlineStr">
        <is>
          <t>Gestión de Proyectos</t>
        </is>
      </c>
      <c r="D1163" s="5" t="inlineStr">
        <is>
          <t>Mensual</t>
        </is>
      </c>
      <c r="E1163" s="5" t="inlineStr">
        <is>
          <t>Positivo</t>
        </is>
      </c>
      <c r="F1163" s="106" t="n">
        <v>45230</v>
      </c>
      <c r="G1163" s="5" t="n">
        <v>2023</v>
      </c>
      <c r="H1163" s="5" t="inlineStr">
        <is>
          <t>Octubre</t>
        </is>
      </c>
      <c r="I1163" s="6" t="inlineStr">
        <is>
          <t>2023-2</t>
        </is>
      </c>
      <c r="J1163" s="94" t="n">
        <v>80</v>
      </c>
      <c r="K1163" s="9" t="n">
        <v>88.89</v>
      </c>
      <c r="L1163" s="14">
        <f>IFERROR(IF(OR(J1163=0,K1163=""),"",IF(E1163="Positivo",MIN(MAX(K1163/J1163,0),1.3),MIN(MAX(J1163/K1163,0),1.3))),"") </f>
        <v/>
      </c>
      <c r="M1163" s="14">
        <f>IFERROR(IF(OR(J1163=0,K1163=""),"",IF(E1163="Positivo",MAX(K1163/J1163,0),MAX(J1163/K1163,0))),"") </f>
        <v/>
      </c>
      <c r="N1163" s="5" t="inlineStr">
        <is>
          <t>%</t>
        </is>
      </c>
      <c r="O1163" s="5" t="inlineStr">
        <is>
          <t>%</t>
        </is>
      </c>
      <c r="P1163" s="15" t="n">
        <v>0</v>
      </c>
      <c r="Q1163" s="15" t="n">
        <v>0</v>
      </c>
      <c r="R1163" s="5" t="inlineStr">
        <is>
          <t>241-2023-10-31</t>
        </is>
      </c>
    </row>
    <row r="1164">
      <c r="A1164" s="26" t="n">
        <v>241</v>
      </c>
      <c r="B1164" s="5" t="inlineStr">
        <is>
          <t>Cumplimiento de gestión de proyectos fase inicio</t>
        </is>
      </c>
      <c r="C1164" s="5" t="inlineStr">
        <is>
          <t>Gestión de Proyectos</t>
        </is>
      </c>
      <c r="D1164" s="5" t="inlineStr">
        <is>
          <t>Mensual</t>
        </is>
      </c>
      <c r="E1164" s="5" t="inlineStr">
        <is>
          <t>Positivo</t>
        </is>
      </c>
      <c r="F1164" s="107" t="n">
        <v>45260</v>
      </c>
      <c r="G1164" s="5" t="n">
        <v>2023</v>
      </c>
      <c r="H1164" s="5" t="inlineStr">
        <is>
          <t>Noviembre</t>
        </is>
      </c>
      <c r="I1164" s="6" t="inlineStr">
        <is>
          <t>2023-2</t>
        </is>
      </c>
      <c r="J1164" s="94" t="n">
        <v>80</v>
      </c>
      <c r="K1164" s="9" t="n">
        <v>87.5</v>
      </c>
      <c r="L1164" s="14">
        <f>IFERROR(IF(OR(J1164=0,K1164=""),"",IF(E1164="Positivo",MIN(MAX(K1164/J1164,0),1.3),MIN(MAX(J1164/K1164,0),1.3))),"") </f>
        <v/>
      </c>
      <c r="M1164" s="14">
        <f>IFERROR(IF(OR(J1164=0,K1164=""),"",IF(E1164="Positivo",MAX(K1164/J1164,0),MAX(J1164/K1164,0))),"") </f>
        <v/>
      </c>
      <c r="N1164" s="5" t="inlineStr">
        <is>
          <t>%</t>
        </is>
      </c>
      <c r="O1164" s="5" t="inlineStr">
        <is>
          <t>%</t>
        </is>
      </c>
      <c r="P1164" s="15" t="n">
        <v>0</v>
      </c>
      <c r="Q1164" s="15" t="n">
        <v>0</v>
      </c>
      <c r="R1164" s="5" t="inlineStr">
        <is>
          <t>241-2023-11-30</t>
        </is>
      </c>
    </row>
    <row r="1165">
      <c r="A1165" s="26" t="n">
        <v>241</v>
      </c>
      <c r="B1165" s="5" t="inlineStr">
        <is>
          <t>Cumplimiento de gestión de proyectos fase inicio</t>
        </is>
      </c>
      <c r="C1165" s="5" t="inlineStr">
        <is>
          <t>Gestión de Proyectos</t>
        </is>
      </c>
      <c r="D1165" s="5" t="inlineStr">
        <is>
          <t>Mensual</t>
        </is>
      </c>
      <c r="E1165" s="5" t="inlineStr">
        <is>
          <t>Positivo</t>
        </is>
      </c>
      <c r="F1165" s="107" t="n">
        <v>45291</v>
      </c>
      <c r="G1165" s="5" t="n">
        <v>2023</v>
      </c>
      <c r="H1165" s="5" t="inlineStr">
        <is>
          <t>Diciembre</t>
        </is>
      </c>
      <c r="I1165" s="6" t="inlineStr">
        <is>
          <t>2023-2</t>
        </is>
      </c>
      <c r="J1165" s="94" t="n">
        <v>80</v>
      </c>
      <c r="K1165" s="9" t="n">
        <v>85.70999999999999</v>
      </c>
      <c r="L1165" s="14">
        <f>IFERROR(IF(OR(J1165=0,K1165=""),"",IF(E1165="Positivo",MIN(MAX(K1165/J1165,0),1.3),MIN(MAX(J1165/K1165,0),1.3))),"") </f>
        <v/>
      </c>
      <c r="M1165" s="14">
        <f>IFERROR(IF(OR(J1165=0,K1165=""),"",IF(E1165="Positivo",MAX(K1165/J1165,0),MAX(J1165/K1165,0))),"") </f>
        <v/>
      </c>
      <c r="N1165" s="5" t="inlineStr">
        <is>
          <t>%</t>
        </is>
      </c>
      <c r="O1165" s="5" t="inlineStr">
        <is>
          <t>%</t>
        </is>
      </c>
      <c r="P1165" s="15" t="n">
        <v>0</v>
      </c>
      <c r="Q1165" s="15" t="n">
        <v>0</v>
      </c>
      <c r="R1165" s="5" t="inlineStr">
        <is>
          <t>241-2023-12-31</t>
        </is>
      </c>
    </row>
    <row r="1166">
      <c r="A1166" s="21" t="n">
        <v>241</v>
      </c>
      <c r="B1166" s="5" t="inlineStr">
        <is>
          <t>Cumplimiento de gestión de proyectos fase inicio</t>
        </is>
      </c>
      <c r="C1166" s="5" t="inlineStr">
        <is>
          <t>Gestión de Proyectos</t>
        </is>
      </c>
      <c r="D1166" s="5" t="inlineStr">
        <is>
          <t>Mensual</t>
        </is>
      </c>
      <c r="E1166" s="5" t="inlineStr">
        <is>
          <t>Positivo</t>
        </is>
      </c>
      <c r="F1166" s="107" t="n">
        <v>45322</v>
      </c>
      <c r="G1166" s="5" t="n">
        <v>2024</v>
      </c>
      <c r="H1166" s="5" t="inlineStr">
        <is>
          <t>Enero</t>
        </is>
      </c>
      <c r="I1166" s="6" t="inlineStr">
        <is>
          <t>2024-1</t>
        </is>
      </c>
      <c r="J1166" s="5" t="n">
        <v>80</v>
      </c>
      <c r="K1166" s="10" t="n">
        <v>88.88888888888889</v>
      </c>
      <c r="L1166" s="14">
        <f>IFERROR(IF(OR(J1166=0,K1166=""),"",IF(E1166="Positivo",MIN(MAX(K1166/J1166,0),1.3),MIN(MAX(J1166/K1166,0),1.3))),"") </f>
        <v/>
      </c>
      <c r="M1166" s="14">
        <f>IFERROR(IF(OR(J1166=0,K1166=""),"",IF(E1166="Positivo",MAX(K1166/J1166,0),MAX(J1166/K1166,0))),"") </f>
        <v/>
      </c>
      <c r="N1166" s="5" t="inlineStr">
        <is>
          <t>%</t>
        </is>
      </c>
      <c r="O1166" s="5" t="inlineStr">
        <is>
          <t>%</t>
        </is>
      </c>
      <c r="P1166" s="15" t="n">
        <v>0</v>
      </c>
      <c r="Q1166" s="15" t="n">
        <v>0</v>
      </c>
      <c r="R1166" s="5" t="inlineStr">
        <is>
          <t>241-2024-01-31</t>
        </is>
      </c>
    </row>
    <row r="1167">
      <c r="A1167" s="28" t="n">
        <v>241</v>
      </c>
      <c r="B1167" s="5" t="inlineStr">
        <is>
          <t>Cumplimiento de gestión de proyectos fase inicio</t>
        </is>
      </c>
      <c r="C1167" s="5" t="inlineStr">
        <is>
          <t>Gestión de Proyectos</t>
        </is>
      </c>
      <c r="D1167" s="5" t="inlineStr">
        <is>
          <t>Mensual</t>
        </is>
      </c>
      <c r="E1167" s="5" t="inlineStr">
        <is>
          <t>Positivo</t>
        </is>
      </c>
      <c r="F1167" s="107" t="n">
        <v>45351</v>
      </c>
      <c r="G1167" s="5" t="n">
        <v>2024</v>
      </c>
      <c r="H1167" s="5" t="inlineStr">
        <is>
          <t>Febrero</t>
        </is>
      </c>
      <c r="I1167" s="6" t="inlineStr">
        <is>
          <t>2024-1</t>
        </is>
      </c>
      <c r="J1167" s="5" t="n">
        <v>80</v>
      </c>
      <c r="K1167" s="9" t="n">
        <v>90.90909090909091</v>
      </c>
      <c r="L1167" s="14">
        <f>IFERROR(IF(OR(J1167=0,K1167=""),"",IF(E1167="Positivo",MIN(MAX(K1167/J1167,0),1.3),MIN(MAX(J1167/K1167,0),1.3))),"") </f>
        <v/>
      </c>
      <c r="M1167" s="14">
        <f>IFERROR(IF(OR(J1167=0,K1167=""),"",IF(E1167="Positivo",MAX(K1167/J1167,0),MAX(J1167/K1167,0))),"") </f>
        <v/>
      </c>
      <c r="N1167" s="5" t="inlineStr">
        <is>
          <t>%</t>
        </is>
      </c>
      <c r="O1167" s="5" t="inlineStr">
        <is>
          <t>%</t>
        </is>
      </c>
      <c r="P1167" s="15" t="n">
        <v>0</v>
      </c>
      <c r="Q1167" s="15" t="n">
        <v>0</v>
      </c>
      <c r="R1167" s="5" t="inlineStr">
        <is>
          <t>241-2024-02-29</t>
        </is>
      </c>
    </row>
    <row r="1168">
      <c r="A1168" s="26" t="n">
        <v>241</v>
      </c>
      <c r="B1168" s="5" t="inlineStr">
        <is>
          <t>Cumplimiento de gestión de proyectos fase inicio</t>
        </is>
      </c>
      <c r="C1168" s="5" t="inlineStr">
        <is>
          <t>Gestión de Proyectos</t>
        </is>
      </c>
      <c r="D1168" s="5" t="inlineStr">
        <is>
          <t>Mensual</t>
        </is>
      </c>
      <c r="E1168" s="5" t="inlineStr">
        <is>
          <t>Positivo</t>
        </is>
      </c>
      <c r="F1168" s="107" t="n">
        <v>45382</v>
      </c>
      <c r="G1168" s="5" t="n">
        <v>2024</v>
      </c>
      <c r="H1168" s="5" t="inlineStr">
        <is>
          <t>Marzo</t>
        </is>
      </c>
      <c r="I1168" s="6" t="inlineStr">
        <is>
          <t>2024-1</t>
        </is>
      </c>
      <c r="J1168" s="5" t="n">
        <v>80</v>
      </c>
      <c r="K1168" s="9" t="n">
        <v>80</v>
      </c>
      <c r="L1168" s="14">
        <f>IFERROR(IF(OR(J1168=0,K1168=""),"",IF(E1168="Positivo",MIN(MAX(K1168/J1168,0),1.3),MIN(MAX(J1168/K1168,0),1.3))),"") </f>
        <v/>
      </c>
      <c r="M1168" s="14">
        <f>IFERROR(IF(OR(J1168=0,K1168=""),"",IF(E1168="Positivo",MAX(K1168/J1168,0),MAX(J1168/K1168,0))),"") </f>
        <v/>
      </c>
      <c r="N1168" s="5" t="inlineStr">
        <is>
          <t>%</t>
        </is>
      </c>
      <c r="O1168" s="5" t="inlineStr">
        <is>
          <t>%</t>
        </is>
      </c>
      <c r="P1168" s="15" t="n">
        <v>0</v>
      </c>
      <c r="Q1168" s="15" t="n">
        <v>0</v>
      </c>
      <c r="R1168" s="5" t="inlineStr">
        <is>
          <t>241-2024-03-31</t>
        </is>
      </c>
    </row>
    <row r="1169">
      <c r="A1169" s="28" t="n">
        <v>241</v>
      </c>
      <c r="B1169" s="5" t="inlineStr">
        <is>
          <t>Cumplimiento de gestión de proyectos fase inicio</t>
        </is>
      </c>
      <c r="C1169" s="5" t="inlineStr">
        <is>
          <t>Gestión de Proyectos</t>
        </is>
      </c>
      <c r="D1169" s="5" t="inlineStr">
        <is>
          <t>Mensual</t>
        </is>
      </c>
      <c r="E1169" s="5" t="inlineStr">
        <is>
          <t>Positivo</t>
        </is>
      </c>
      <c r="F1169" s="106" t="n">
        <v>45412</v>
      </c>
      <c r="G1169" s="5" t="n">
        <v>2024</v>
      </c>
      <c r="H1169" s="5" t="inlineStr">
        <is>
          <t>Abril</t>
        </is>
      </c>
      <c r="I1169" s="6" t="inlineStr">
        <is>
          <t>2024-1</t>
        </is>
      </c>
      <c r="J1169" s="5" t="n">
        <v>80</v>
      </c>
      <c r="K1169" s="9" t="n">
        <v>100</v>
      </c>
      <c r="L1169" s="14">
        <f>IFERROR(IF(OR(J1169=0,K1169=""),"",IF(E1169="Positivo",MIN(MAX(K1169/J1169,0),1.3),MIN(MAX(J1169/K1169,0),1.3))),"") </f>
        <v/>
      </c>
      <c r="M1169" s="14">
        <f>IFERROR(IF(OR(J1169=0,K1169=""),"",IF(E1169="Positivo",MAX(K1169/J1169,0),MAX(J1169/K1169,0))),"") </f>
        <v/>
      </c>
      <c r="N1169" s="5" t="inlineStr">
        <is>
          <t>%</t>
        </is>
      </c>
      <c r="O1169" s="5" t="inlineStr">
        <is>
          <t>%</t>
        </is>
      </c>
      <c r="P1169" s="15" t="n">
        <v>0</v>
      </c>
      <c r="Q1169" s="15" t="n">
        <v>0</v>
      </c>
      <c r="R1169" s="5" t="inlineStr">
        <is>
          <t>241-2024-04-30</t>
        </is>
      </c>
    </row>
    <row r="1170">
      <c r="A1170" s="21" t="n">
        <v>241</v>
      </c>
      <c r="B1170" s="5" t="inlineStr">
        <is>
          <t>Cumplimiento de gestión de proyectos fase inicio</t>
        </is>
      </c>
      <c r="C1170" s="5" t="inlineStr">
        <is>
          <t>Gestión de Proyectos</t>
        </is>
      </c>
      <c r="D1170" s="5" t="inlineStr">
        <is>
          <t>Mensual</t>
        </is>
      </c>
      <c r="E1170" s="5" t="inlineStr">
        <is>
          <t>Positivo</t>
        </is>
      </c>
      <c r="F1170" s="107" t="n">
        <v>45443</v>
      </c>
      <c r="G1170" s="5" t="n">
        <v>2024</v>
      </c>
      <c r="H1170" s="5" t="inlineStr">
        <is>
          <t>Mayo</t>
        </is>
      </c>
      <c r="I1170" s="6" t="inlineStr">
        <is>
          <t>2024-1</t>
        </is>
      </c>
      <c r="J1170" s="5" t="n">
        <v>80</v>
      </c>
      <c r="K1170" s="5" t="n">
        <v>85.71428571428571</v>
      </c>
      <c r="L1170" s="14">
        <f>IFERROR(IF(OR(J1170=0,K1170=""),"",IF(E1170="Positivo",MIN(MAX(K1170/J1170,0),1.3),MIN(MAX(J1170/K1170,0),1.3))),"") </f>
        <v/>
      </c>
      <c r="M1170" s="14">
        <f>IFERROR(IF(OR(J1170=0,K1170=""),"",IF(E1170="Positivo",MAX(K1170/J1170,0),MAX(J1170/K1170,0))),"") </f>
        <v/>
      </c>
      <c r="N1170" s="5" t="inlineStr">
        <is>
          <t>%</t>
        </is>
      </c>
      <c r="O1170" s="5" t="inlineStr">
        <is>
          <t>%</t>
        </is>
      </c>
      <c r="P1170" s="15" t="n">
        <v>0</v>
      </c>
      <c r="Q1170" s="15" t="n">
        <v>0</v>
      </c>
      <c r="R1170" s="5" t="inlineStr">
        <is>
          <t>241-2024-05-31</t>
        </is>
      </c>
    </row>
    <row r="1171">
      <c r="A1171" s="5" t="n">
        <v>241</v>
      </c>
      <c r="B1171" s="5" t="inlineStr">
        <is>
          <t>Cumplimiento de gestión de proyectos fase inicio</t>
        </is>
      </c>
      <c r="C1171" s="5" t="inlineStr">
        <is>
          <t>Gestión de Proyectos</t>
        </is>
      </c>
      <c r="D1171" s="5" t="inlineStr">
        <is>
          <t>Mensual</t>
        </is>
      </c>
      <c r="E1171" s="5" t="inlineStr">
        <is>
          <t>Positivo</t>
        </is>
      </c>
      <c r="F1171" s="107" t="n">
        <v>45473</v>
      </c>
      <c r="G1171" s="5" t="n">
        <v>2024</v>
      </c>
      <c r="H1171" s="5" t="inlineStr">
        <is>
          <t>Junio</t>
        </is>
      </c>
      <c r="I1171" s="6" t="inlineStr">
        <is>
          <t>2024-1</t>
        </is>
      </c>
      <c r="J1171" s="5" t="n">
        <v>80</v>
      </c>
      <c r="K1171" s="9" t="n">
        <v>85.71428571428571</v>
      </c>
      <c r="L1171" s="14">
        <f>IFERROR(IF(OR(J1171=0,K1171=""),"",IF(E1171="Positivo",MIN(MAX(K1171/J1171,0),1.3),MIN(MAX(J1171/K1171,0),1.3))),"") </f>
        <v/>
      </c>
      <c r="M1171" s="14">
        <f>IFERROR(IF(OR(J1171=0,K1171=""),"",IF(E1171="Positivo",MAX(K1171/J1171,0),MAX(J1171/K1171,0))),"") </f>
        <v/>
      </c>
      <c r="N1171" s="5" t="inlineStr">
        <is>
          <t>%</t>
        </is>
      </c>
      <c r="O1171" s="5" t="inlineStr">
        <is>
          <t>%</t>
        </is>
      </c>
      <c r="P1171" s="15" t="n">
        <v>0</v>
      </c>
      <c r="Q1171" s="15" t="n">
        <v>0</v>
      </c>
      <c r="R1171" s="5" t="inlineStr">
        <is>
          <t>241-2024-06-30</t>
        </is>
      </c>
    </row>
    <row r="1172">
      <c r="A1172" s="5" t="n">
        <v>241</v>
      </c>
      <c r="B1172" s="5" t="inlineStr">
        <is>
          <t>Cumplimiento de gestión de proyectos fase inicio</t>
        </is>
      </c>
      <c r="C1172" s="5" t="inlineStr">
        <is>
          <t>Gestión de Proyectos</t>
        </is>
      </c>
      <c r="D1172" s="5" t="inlineStr">
        <is>
          <t>Mensual</t>
        </is>
      </c>
      <c r="E1172" s="5" t="inlineStr">
        <is>
          <t>Positivo</t>
        </is>
      </c>
      <c r="F1172" s="106" t="n">
        <v>45504</v>
      </c>
      <c r="G1172" s="5" t="n">
        <v>2024</v>
      </c>
      <c r="H1172" s="5" t="inlineStr">
        <is>
          <t>Julio</t>
        </is>
      </c>
      <c r="I1172" s="6" t="inlineStr">
        <is>
          <t>2024-2</t>
        </is>
      </c>
      <c r="J1172" s="5" t="n">
        <v>80</v>
      </c>
      <c r="K1172" s="9" t="n">
        <v>85.71428571428571</v>
      </c>
      <c r="L1172" s="14">
        <f>IFERROR(IF(OR(J1172=0,K1172=""),"",IF(E1172="Positivo",MIN(MAX(K1172/J1172,0),1.3),MIN(MAX(J1172/K1172,0),1.3))),"") </f>
        <v/>
      </c>
      <c r="M1172" s="14">
        <f>IFERROR(IF(OR(J1172=0,K1172=""),"",IF(E1172="Positivo",MAX(K1172/J1172,0),MAX(J1172/K1172,0))),"") </f>
        <v/>
      </c>
      <c r="N1172" s="5" t="inlineStr">
        <is>
          <t>%</t>
        </is>
      </c>
      <c r="O1172" s="5" t="inlineStr">
        <is>
          <t>%</t>
        </is>
      </c>
      <c r="P1172" s="15" t="n">
        <v>0</v>
      </c>
      <c r="Q1172" s="15" t="n">
        <v>0</v>
      </c>
      <c r="R1172" s="5" t="inlineStr">
        <is>
          <t>241-2024-07-31</t>
        </is>
      </c>
    </row>
    <row r="1173">
      <c r="A1173" s="21" t="n">
        <v>241</v>
      </c>
      <c r="B1173" s="5" t="inlineStr">
        <is>
          <t>Cumplimiento de gestión de proyectos fase inicio</t>
        </is>
      </c>
      <c r="C1173" s="5" t="inlineStr">
        <is>
          <t>Gestión de Proyectos</t>
        </is>
      </c>
      <c r="D1173" s="5" t="inlineStr">
        <is>
          <t>Mensual</t>
        </is>
      </c>
      <c r="E1173" s="5" t="inlineStr">
        <is>
          <t>Positivo</t>
        </is>
      </c>
      <c r="F1173" s="107" t="n">
        <v>45535</v>
      </c>
      <c r="G1173" s="5" t="n">
        <v>2024</v>
      </c>
      <c r="H1173" s="5" t="inlineStr">
        <is>
          <t>Agosto</t>
        </is>
      </c>
      <c r="I1173" s="6" t="inlineStr">
        <is>
          <t>2024-2</t>
        </is>
      </c>
      <c r="J1173" s="5" t="n">
        <v>80</v>
      </c>
      <c r="K1173" s="15" t="n">
        <v>80</v>
      </c>
      <c r="L1173" s="14">
        <f>IFERROR(IF(OR(J1173=0,K1173=""),"",IF(E1173="Positivo",MIN(MAX(K1173/J1173,0),1.3),MIN(MAX(J1173/K1173,0),1.3))),"") </f>
        <v/>
      </c>
      <c r="M1173" s="14">
        <f>IFERROR(IF(OR(J1173=0,K1173=""),"",IF(E1173="Positivo",MAX(K1173/J1173,0),MAX(J1173/K1173,0))),"") </f>
        <v/>
      </c>
      <c r="N1173" s="5" t="inlineStr">
        <is>
          <t>%</t>
        </is>
      </c>
      <c r="O1173" s="5" t="inlineStr">
        <is>
          <t>%</t>
        </is>
      </c>
      <c r="P1173" s="15" t="n">
        <v>0</v>
      </c>
      <c r="Q1173" s="15" t="n">
        <v>0</v>
      </c>
      <c r="R1173" s="5" t="inlineStr">
        <is>
          <t>241-2024-08-31</t>
        </is>
      </c>
    </row>
    <row r="1174">
      <c r="A1174" s="28" t="n">
        <v>241</v>
      </c>
      <c r="B1174" s="5" t="inlineStr">
        <is>
          <t>Cumplimiento de gestión de proyectos fase inicio</t>
        </is>
      </c>
      <c r="C1174" s="5" t="inlineStr">
        <is>
          <t>Gestión de Proyectos</t>
        </is>
      </c>
      <c r="D1174" s="5" t="inlineStr">
        <is>
          <t>Mensual</t>
        </is>
      </c>
      <c r="E1174" s="5" t="inlineStr">
        <is>
          <t>Positivo</t>
        </is>
      </c>
      <c r="F1174" s="107" t="n">
        <v>45565</v>
      </c>
      <c r="G1174" s="5" t="n">
        <v>2024</v>
      </c>
      <c r="H1174" s="5" t="inlineStr">
        <is>
          <t>Septiembre</t>
        </is>
      </c>
      <c r="I1174" s="6" t="inlineStr">
        <is>
          <t>2024-2</t>
        </is>
      </c>
      <c r="J1174" s="3" t="n">
        <v>80</v>
      </c>
      <c r="K1174" s="9" t="n">
        <v>84.61538461538461</v>
      </c>
      <c r="L1174" s="14">
        <f>IFERROR(IF(OR(J1174=0,K1174=""),"",IF(E1174="Positivo",MIN(MAX(K1174/J1174,0),1.3),MIN(MAX(J1174/K1174,0),1.3))),"") </f>
        <v/>
      </c>
      <c r="M1174" s="14">
        <f>IFERROR(IF(OR(J1174=0,K1174=""),"",IF(E1174="Positivo",MAX(K1174/J1174,0),MAX(J1174/K1174,0))),"") </f>
        <v/>
      </c>
      <c r="N1174" s="5" t="inlineStr">
        <is>
          <t>%</t>
        </is>
      </c>
      <c r="O1174" s="5" t="inlineStr">
        <is>
          <t>%</t>
        </is>
      </c>
      <c r="P1174" s="15" t="n">
        <v>0</v>
      </c>
      <c r="Q1174" s="15" t="n">
        <v>0</v>
      </c>
      <c r="R1174" s="5" t="inlineStr">
        <is>
          <t>241-2024-09-30</t>
        </is>
      </c>
    </row>
    <row r="1175">
      <c r="A1175" s="26" t="n">
        <v>241</v>
      </c>
      <c r="B1175" s="5" t="inlineStr">
        <is>
          <t>Cumplimiento de gestión de proyectos fase inicio</t>
        </is>
      </c>
      <c r="C1175" s="5" t="inlineStr">
        <is>
          <t>Gestión de Proyectos</t>
        </is>
      </c>
      <c r="D1175" s="5" t="inlineStr">
        <is>
          <t>Mensual</t>
        </is>
      </c>
      <c r="E1175" s="5" t="inlineStr">
        <is>
          <t>Positivo</t>
        </is>
      </c>
      <c r="F1175" s="107" t="n">
        <v>45596</v>
      </c>
      <c r="G1175" s="5" t="n">
        <v>2024</v>
      </c>
      <c r="H1175" s="5" t="inlineStr">
        <is>
          <t>Octubre</t>
        </is>
      </c>
      <c r="I1175" s="6" t="inlineStr">
        <is>
          <t>2024-2</t>
        </is>
      </c>
      <c r="J1175" s="3" t="n">
        <v>80</v>
      </c>
      <c r="K1175" s="9" t="n">
        <v>85.71428571428571</v>
      </c>
      <c r="L1175" s="14">
        <f>IFERROR(IF(OR(J1175=0,K1175=""),"",IF(E1175="Positivo",MIN(MAX(K1175/J1175,0),1.3),MIN(MAX(J1175/K1175,0),1.3))),"") </f>
        <v/>
      </c>
      <c r="M1175" s="14">
        <f>IFERROR(IF(OR(J1175=0,K1175=""),"",IF(E1175="Positivo",MAX(K1175/J1175,0),MAX(J1175/K1175,0))),"") </f>
        <v/>
      </c>
      <c r="N1175" s="5" t="inlineStr">
        <is>
          <t>%</t>
        </is>
      </c>
      <c r="O1175" s="5" t="inlineStr">
        <is>
          <t>%</t>
        </is>
      </c>
      <c r="P1175" s="15" t="n">
        <v>0</v>
      </c>
      <c r="Q1175" s="15" t="n">
        <v>0</v>
      </c>
      <c r="R1175" s="5" t="inlineStr">
        <is>
          <t>241-2024-10-31</t>
        </is>
      </c>
    </row>
    <row r="1176">
      <c r="A1176" s="28" t="n">
        <v>241</v>
      </c>
      <c r="B1176" s="5" t="inlineStr">
        <is>
          <t>Cumplimiento de gestión de proyectos fase inicio</t>
        </is>
      </c>
      <c r="C1176" s="5" t="inlineStr">
        <is>
          <t>Gestión de Proyectos</t>
        </is>
      </c>
      <c r="D1176" s="5" t="inlineStr">
        <is>
          <t>Mensual</t>
        </is>
      </c>
      <c r="E1176" s="5" t="inlineStr">
        <is>
          <t>Positivo</t>
        </is>
      </c>
      <c r="F1176" s="106" t="n">
        <v>45626</v>
      </c>
      <c r="G1176" s="5" t="n">
        <v>2024</v>
      </c>
      <c r="H1176" s="5" t="inlineStr">
        <is>
          <t>Noviembre</t>
        </is>
      </c>
      <c r="I1176" s="6" t="inlineStr">
        <is>
          <t>2024-2</t>
        </is>
      </c>
      <c r="J1176" s="3" t="n">
        <v>80</v>
      </c>
      <c r="K1176" s="9" t="n">
        <v>100</v>
      </c>
      <c r="L1176" s="14">
        <f>IFERROR(IF(OR(J1176=0,K1176=""),"",IF(E1176="Positivo",MIN(MAX(K1176/J1176,0),1.3),MIN(MAX(J1176/K1176,0),1.3))),"") </f>
        <v/>
      </c>
      <c r="M1176" s="14">
        <f>IFERROR(IF(OR(J1176=0,K1176=""),"",IF(E1176="Positivo",MAX(K1176/J1176,0),MAX(J1176/K1176,0))),"") </f>
        <v/>
      </c>
      <c r="N1176" s="5" t="inlineStr">
        <is>
          <t>%</t>
        </is>
      </c>
      <c r="O1176" s="5" t="inlineStr">
        <is>
          <t>%</t>
        </is>
      </c>
      <c r="P1176" s="15" t="n">
        <v>0</v>
      </c>
      <c r="Q1176" s="15" t="n">
        <v>0</v>
      </c>
      <c r="R1176" s="5" t="inlineStr">
        <is>
          <t>241-2024-11-30</t>
        </is>
      </c>
    </row>
    <row r="1177">
      <c r="A1177" s="21" t="n">
        <v>241</v>
      </c>
      <c r="B1177" s="5" t="inlineStr">
        <is>
          <t>Cumplimiento de gestión de proyectos fase inicio</t>
        </is>
      </c>
      <c r="C1177" s="5" t="inlineStr">
        <is>
          <t>Gestión de Proyectos</t>
        </is>
      </c>
      <c r="D1177" s="5" t="inlineStr">
        <is>
          <t>Mensual</t>
        </is>
      </c>
      <c r="E1177" s="5" t="inlineStr">
        <is>
          <t>Positivo</t>
        </is>
      </c>
      <c r="F1177" s="107" t="n">
        <v>45657</v>
      </c>
      <c r="G1177" s="5" t="n">
        <v>2024</v>
      </c>
      <c r="H1177" s="5" t="inlineStr">
        <is>
          <t>Diciembre</t>
        </is>
      </c>
      <c r="I1177" s="6" t="inlineStr">
        <is>
          <t>2024-2</t>
        </is>
      </c>
      <c r="J1177" s="3" t="n">
        <v>80</v>
      </c>
      <c r="K1177" s="10" t="n">
        <v>100</v>
      </c>
      <c r="L1177" s="14">
        <f>IFERROR(IF(OR(J1177=0,K1177=""),"",IF(E1177="Positivo",MIN(MAX(K1177/J1177,0),1.3),MIN(MAX(J1177/K1177,0),1.3))),"") </f>
        <v/>
      </c>
      <c r="M1177" s="14">
        <f>IFERROR(IF(OR(J1177=0,K1177=""),"",IF(E1177="Positivo",MAX(K1177/J1177,0),MAX(J1177/K1177,0))),"") </f>
        <v/>
      </c>
      <c r="N1177" s="5" t="inlineStr">
        <is>
          <t>%</t>
        </is>
      </c>
      <c r="O1177" s="5" t="inlineStr">
        <is>
          <t>%</t>
        </is>
      </c>
      <c r="P1177" s="15" t="n">
        <v>0</v>
      </c>
      <c r="Q1177" s="15" t="n">
        <v>0</v>
      </c>
      <c r="R1177" s="5" t="inlineStr">
        <is>
          <t>241-2024-12-31</t>
        </is>
      </c>
    </row>
    <row r="1178">
      <c r="A1178" s="28" t="n">
        <v>241</v>
      </c>
      <c r="B1178" s="5" t="inlineStr">
        <is>
          <t>Cumplimiento de gestión de proyectos fase inicio</t>
        </is>
      </c>
      <c r="C1178" s="5" t="inlineStr">
        <is>
          <t>Gestión de Proyectos</t>
        </is>
      </c>
      <c r="D1178" s="5" t="inlineStr">
        <is>
          <t>Mensual</t>
        </is>
      </c>
      <c r="E1178" s="5" t="inlineStr">
        <is>
          <t>Positivo</t>
        </is>
      </c>
      <c r="F1178" s="107" t="n">
        <v>45688</v>
      </c>
      <c r="G1178" s="5" t="n">
        <v>2025</v>
      </c>
      <c r="H1178" s="5" t="inlineStr">
        <is>
          <t>Enero</t>
        </is>
      </c>
      <c r="I1178" s="6" t="inlineStr">
        <is>
          <t>2025-1</t>
        </is>
      </c>
      <c r="J1178" s="5" t="n">
        <v>80</v>
      </c>
      <c r="K1178" s="9" t="n">
        <v>100</v>
      </c>
      <c r="L1178" s="14">
        <f>IFERROR(IF(OR(J1178=0,K1178=""),"",IF(E1178="Positivo",MIN(MAX(K1178/J1178,0),1.3),MIN(MAX(J1178/K1178,0),1.3))),"") </f>
        <v/>
      </c>
      <c r="M1178" s="14">
        <f>IFERROR(IF(OR(J1178=0,K1178=""),"",IF(E1178="Positivo",MAX(K1178/J1178,0),MAX(J1178/K1178,0))),"") </f>
        <v/>
      </c>
      <c r="N1178" s="5" t="inlineStr">
        <is>
          <t>%</t>
        </is>
      </c>
      <c r="O1178" s="5" t="inlineStr">
        <is>
          <t>%</t>
        </is>
      </c>
      <c r="P1178" s="15" t="n">
        <v>0</v>
      </c>
      <c r="Q1178" s="15" t="n">
        <v>0</v>
      </c>
      <c r="R1178" s="5" t="inlineStr">
        <is>
          <t>241-2025-01-31</t>
        </is>
      </c>
    </row>
    <row r="1179">
      <c r="A1179" s="26" t="n">
        <v>241</v>
      </c>
      <c r="B1179" s="5" t="inlineStr">
        <is>
          <t>Cumplimiento de gestión de proyectos fase inicio</t>
        </is>
      </c>
      <c r="C1179" s="5" t="inlineStr">
        <is>
          <t>Gestión de Proyectos</t>
        </is>
      </c>
      <c r="D1179" s="5" t="inlineStr">
        <is>
          <t>Mensual</t>
        </is>
      </c>
      <c r="E1179" s="5" t="inlineStr">
        <is>
          <t>Positivo</t>
        </is>
      </c>
      <c r="F1179" s="107" t="n">
        <v>45716</v>
      </c>
      <c r="G1179" s="5" t="n">
        <v>2025</v>
      </c>
      <c r="H1179" s="5" t="inlineStr">
        <is>
          <t>Febrero</t>
        </is>
      </c>
      <c r="I1179" s="6" t="inlineStr">
        <is>
          <t>2025-1</t>
        </is>
      </c>
      <c r="J1179" s="5" t="n">
        <v>80</v>
      </c>
      <c r="K1179" s="9" t="n">
        <v>100</v>
      </c>
      <c r="L1179" s="14">
        <f>IFERROR(IF(OR(J1179=0,K1179=""),"",IF(E1179="Positivo",MIN(MAX(K1179/J1179,0),1.3),MIN(MAX(J1179/K1179,0),1.3))),"") </f>
        <v/>
      </c>
      <c r="M1179" s="14">
        <f>IFERROR(IF(OR(J1179=0,K1179=""),"",IF(E1179="Positivo",MAX(K1179/J1179,0),MAX(J1179/K1179,0))),"") </f>
        <v/>
      </c>
      <c r="N1179" s="5" t="inlineStr">
        <is>
          <t>%</t>
        </is>
      </c>
      <c r="O1179" s="5" t="inlineStr">
        <is>
          <t>%</t>
        </is>
      </c>
      <c r="P1179" s="15" t="n">
        <v>0</v>
      </c>
      <c r="Q1179" s="15" t="n">
        <v>0</v>
      </c>
      <c r="R1179" s="5" t="inlineStr">
        <is>
          <t>241-2025-02-28</t>
        </is>
      </c>
    </row>
    <row r="1180">
      <c r="A1180" s="28" t="n">
        <v>241</v>
      </c>
      <c r="B1180" s="5" t="inlineStr">
        <is>
          <t>Cumplimiento de gestión de proyectos fase inicio</t>
        </is>
      </c>
      <c r="C1180" s="5" t="inlineStr">
        <is>
          <t>Gestión de Proyectos</t>
        </is>
      </c>
      <c r="D1180" s="5" t="inlineStr">
        <is>
          <t>Mensual</t>
        </is>
      </c>
      <c r="E1180" s="5" t="inlineStr">
        <is>
          <t>Positivo</t>
        </is>
      </c>
      <c r="F1180" s="106" t="n">
        <v>45747</v>
      </c>
      <c r="G1180" s="5" t="n">
        <v>2025</v>
      </c>
      <c r="H1180" s="5" t="inlineStr">
        <is>
          <t>Marzo</t>
        </is>
      </c>
      <c r="I1180" s="6" t="inlineStr">
        <is>
          <t>2025-1</t>
        </is>
      </c>
      <c r="J1180" s="5" t="n">
        <v>80</v>
      </c>
      <c r="K1180" s="9" t="n">
        <v>100</v>
      </c>
      <c r="L1180" s="14">
        <f>IFERROR(IF(OR(J1180=0,K1180=""),"",IF(E1180="Positivo",MIN(MAX(K1180/J1180,0),1.3),MIN(MAX(J1180/K1180,0),1.3))),"") </f>
        <v/>
      </c>
      <c r="M1180" s="14">
        <f>IFERROR(IF(OR(J1180=0,K1180=""),"",IF(E1180="Positivo",MAX(K1180/J1180,0),MAX(J1180/K1180,0))),"") </f>
        <v/>
      </c>
      <c r="N1180" s="5" t="inlineStr">
        <is>
          <t>%</t>
        </is>
      </c>
      <c r="O1180" s="5" t="inlineStr">
        <is>
          <t>%</t>
        </is>
      </c>
      <c r="P1180" s="15" t="n">
        <v>0</v>
      </c>
      <c r="Q1180" s="15" t="n">
        <v>0</v>
      </c>
      <c r="R1180" s="5" t="inlineStr">
        <is>
          <t>241-2025-03-31</t>
        </is>
      </c>
    </row>
    <row r="1181">
      <c r="A1181" s="21" t="n">
        <v>241</v>
      </c>
      <c r="B1181" s="5" t="inlineStr">
        <is>
          <t>Cumplimiento de gestión de proyectos fase inicio</t>
        </is>
      </c>
      <c r="C1181" s="5" t="inlineStr">
        <is>
          <t>Gestión de Proyectos</t>
        </is>
      </c>
      <c r="D1181" s="5" t="inlineStr">
        <is>
          <t>Mensual</t>
        </is>
      </c>
      <c r="E1181" s="5" t="inlineStr">
        <is>
          <t>Positivo</t>
        </is>
      </c>
      <c r="F1181" s="107" t="n">
        <v>45777</v>
      </c>
      <c r="G1181" s="5" t="n">
        <v>2025</v>
      </c>
      <c r="H1181" s="5" t="inlineStr">
        <is>
          <t>Abril</t>
        </is>
      </c>
      <c r="I1181" s="6" t="inlineStr">
        <is>
          <t>2025-1</t>
        </is>
      </c>
      <c r="J1181" s="5" t="n">
        <v>80</v>
      </c>
      <c r="K1181" s="10" t="n">
        <v>100</v>
      </c>
      <c r="L1181" s="14">
        <f>IFERROR(IF(OR(J1181=0,K1181=""),"",IF(E1181="Positivo",MIN(MAX(K1181/J1181,0),1.3),MIN(MAX(J1181/K1181,0),1.3))),"") </f>
        <v/>
      </c>
      <c r="M1181" s="14">
        <f>IFERROR(IF(OR(J1181=0,K1181=""),"",IF(E1181="Positivo",MAX(K1181/J1181,0),MAX(J1181/K1181,0))),"") </f>
        <v/>
      </c>
      <c r="N1181" s="5" t="inlineStr">
        <is>
          <t>%</t>
        </is>
      </c>
      <c r="O1181" s="5" t="inlineStr">
        <is>
          <t>%</t>
        </is>
      </c>
      <c r="P1181" s="15" t="n">
        <v>0</v>
      </c>
      <c r="Q1181" s="15" t="n">
        <v>0</v>
      </c>
      <c r="R1181" s="5" t="inlineStr">
        <is>
          <t>241-2025-04-30</t>
        </is>
      </c>
    </row>
    <row r="1182">
      <c r="A1182" s="28" t="n">
        <v>241</v>
      </c>
      <c r="B1182" s="5" t="inlineStr">
        <is>
          <t>Cumplimiento de gestión de proyectos fase inicio</t>
        </is>
      </c>
      <c r="C1182" s="5" t="inlineStr">
        <is>
          <t>Gestión de Proyectos</t>
        </is>
      </c>
      <c r="D1182" s="5" t="inlineStr">
        <is>
          <t>Mensual</t>
        </is>
      </c>
      <c r="E1182" s="5" t="inlineStr">
        <is>
          <t>Positivo</t>
        </is>
      </c>
      <c r="F1182" s="107" t="n">
        <v>45808</v>
      </c>
      <c r="G1182" s="5" t="n">
        <v>2025</v>
      </c>
      <c r="H1182" s="5" t="inlineStr">
        <is>
          <t>Mayo</t>
        </is>
      </c>
      <c r="I1182" s="6" t="inlineStr">
        <is>
          <t>2025-1</t>
        </is>
      </c>
      <c r="J1182" s="5" t="n">
        <v>80</v>
      </c>
      <c r="K1182" s="9" t="n">
        <v>100</v>
      </c>
      <c r="L1182" s="14">
        <f>IFERROR(IF(OR(J1182=0,K1182=""),"",IF(E1182="Positivo",MIN(MAX(K1182/J1182,0),1.3),MIN(MAX(J1182/K1182,0),1.3))),"") </f>
        <v/>
      </c>
      <c r="M1182" s="14">
        <f>IFERROR(IF(OR(J1182=0,K1182=""),"",IF(E1182="Positivo",MAX(K1182/J1182,0),MAX(J1182/K1182,0))),"") </f>
        <v/>
      </c>
      <c r="N1182" s="5" t="inlineStr">
        <is>
          <t>%</t>
        </is>
      </c>
      <c r="O1182" s="5" t="inlineStr">
        <is>
          <t>%</t>
        </is>
      </c>
      <c r="P1182" s="15" t="n">
        <v>0</v>
      </c>
      <c r="Q1182" s="15" t="n">
        <v>0</v>
      </c>
      <c r="R1182" s="5" t="inlineStr">
        <is>
          <t>241-2025-05-31</t>
        </is>
      </c>
    </row>
    <row r="1183">
      <c r="A1183" s="26" t="n">
        <v>241</v>
      </c>
      <c r="B1183" s="5" t="inlineStr">
        <is>
          <t>Cumplimiento de gestión de proyectos fase inicio</t>
        </is>
      </c>
      <c r="C1183" s="5" t="inlineStr">
        <is>
          <t>Gestión de Proyectos</t>
        </is>
      </c>
      <c r="D1183" s="5" t="inlineStr">
        <is>
          <t>Mensual</t>
        </is>
      </c>
      <c r="E1183" s="5" t="inlineStr">
        <is>
          <t>Positivo</t>
        </is>
      </c>
      <c r="F1183" s="107" t="n">
        <v>45838</v>
      </c>
      <c r="G1183" s="5" t="n">
        <v>2025</v>
      </c>
      <c r="H1183" s="5" t="inlineStr">
        <is>
          <t>Junio</t>
        </is>
      </c>
      <c r="I1183" s="6" t="inlineStr">
        <is>
          <t>2025-1</t>
        </is>
      </c>
      <c r="J1183" s="5" t="n">
        <v>80</v>
      </c>
      <c r="K1183" s="9" t="n">
        <v>100</v>
      </c>
      <c r="L1183" s="14">
        <f>IFERROR(IF(OR(J1183=0,K1183=""),"",IF(E1183="Positivo",MIN(MAX(K1183/J1183,0),1.3),MIN(MAX(J1183/K1183,0),1.3))),"") </f>
        <v/>
      </c>
      <c r="M1183" s="14">
        <f>IFERROR(IF(OR(J1183=0,K1183=""),"",IF(E1183="Positivo",MAX(K1183/J1183,0),MAX(J1183/K1183,0))),"") </f>
        <v/>
      </c>
      <c r="N1183" s="5" t="inlineStr">
        <is>
          <t>%</t>
        </is>
      </c>
      <c r="O1183" s="5" t="inlineStr">
        <is>
          <t>%</t>
        </is>
      </c>
      <c r="P1183" s="15" t="n">
        <v>0</v>
      </c>
      <c r="Q1183" s="15" t="n">
        <v>0</v>
      </c>
      <c r="R1183" s="5" t="inlineStr">
        <is>
          <t>241-2025-06-30</t>
        </is>
      </c>
    </row>
    <row r="1184">
      <c r="A1184" s="28" t="n">
        <v>241</v>
      </c>
      <c r="B1184" s="5" t="inlineStr">
        <is>
          <t>Cumplimiento de gestión de proyectos fase inicio</t>
        </is>
      </c>
      <c r="C1184" s="5" t="inlineStr">
        <is>
          <t>Gestión de Proyectos</t>
        </is>
      </c>
      <c r="D1184" s="5" t="inlineStr">
        <is>
          <t>Mensual</t>
        </is>
      </c>
      <c r="E1184" s="5" t="inlineStr">
        <is>
          <t>Positivo</t>
        </is>
      </c>
      <c r="F1184" s="107" t="n">
        <v>45869</v>
      </c>
      <c r="G1184" s="5" t="n">
        <v>2025</v>
      </c>
      <c r="H1184" s="5" t="inlineStr">
        <is>
          <t>Julio</t>
        </is>
      </c>
      <c r="I1184" s="6" t="inlineStr">
        <is>
          <t>2025-2</t>
        </is>
      </c>
      <c r="J1184" s="5" t="n">
        <v>80</v>
      </c>
      <c r="K1184" s="9" t="n">
        <v>100</v>
      </c>
      <c r="L1184" s="14">
        <f>IFERROR(IF(OR(J1184=0,K1184=""),"",IF(E1184="Positivo",MIN(MAX(K1184/J1184,0),1.3),MIN(MAX(J1184/K1184,0),1.3))),"") </f>
        <v/>
      </c>
      <c r="M1184" s="14">
        <f>IFERROR(IF(OR(J1184=0,K1184=""),"",IF(E1184="Positivo",MAX(K1184/J1184,0),MAX(J1184/K1184,0))),"") </f>
        <v/>
      </c>
      <c r="N1184" s="5" t="inlineStr">
        <is>
          <t>%</t>
        </is>
      </c>
      <c r="O1184" s="5" t="inlineStr">
        <is>
          <t>%</t>
        </is>
      </c>
      <c r="P1184" s="15" t="n">
        <v>0</v>
      </c>
      <c r="Q1184" s="15" t="n">
        <v>0</v>
      </c>
      <c r="R1184" s="5" t="inlineStr">
        <is>
          <t>241-2025-07-31</t>
        </is>
      </c>
    </row>
    <row r="1185">
      <c r="A1185" s="21" t="n">
        <v>241</v>
      </c>
      <c r="B1185" s="5" t="inlineStr">
        <is>
          <t>Cumplimiento de gestión de proyectos fase inicio</t>
        </is>
      </c>
      <c r="C1185" s="5" t="inlineStr">
        <is>
          <t>Gestión de Proyectos</t>
        </is>
      </c>
      <c r="D1185" s="5" t="inlineStr">
        <is>
          <t>Mensual</t>
        </is>
      </c>
      <c r="E1185" s="5" t="inlineStr">
        <is>
          <t>Positivo</t>
        </is>
      </c>
      <c r="F1185" s="107" t="n">
        <v>45900</v>
      </c>
      <c r="G1185" s="5" t="n">
        <v>2025</v>
      </c>
      <c r="H1185" s="5" t="inlineStr">
        <is>
          <t>Agosto</t>
        </is>
      </c>
      <c r="I1185" s="6" t="inlineStr">
        <is>
          <t>2025-2</t>
        </is>
      </c>
      <c r="J1185" s="5" t="n">
        <v>80</v>
      </c>
      <c r="K1185" s="94" t="n">
        <v>100</v>
      </c>
      <c r="L1185" s="14">
        <f>IFERROR(IF(OR(J1185=0,K1185=""),"",IF(E1185="Positivo",MIN(MAX(K1185/J1185,0),1.3),MIN(MAX(J1185/K1185,0),1.3))),"") </f>
        <v/>
      </c>
      <c r="M1185" s="14">
        <f>IFERROR(IF(OR(J1185=0,K1185=""),"",IF(E1185="Positivo",MAX(K1185/J1185,0),MAX(J1185/K1185,0))),"") </f>
        <v/>
      </c>
      <c r="N1185" s="5" t="inlineStr">
        <is>
          <t>%</t>
        </is>
      </c>
      <c r="O1185" s="5" t="inlineStr">
        <is>
          <t>%</t>
        </is>
      </c>
      <c r="P1185" s="15" t="n">
        <v>0</v>
      </c>
      <c r="Q1185" s="15" t="n">
        <v>0</v>
      </c>
      <c r="R1185" s="5" t="inlineStr">
        <is>
          <t>241-2025-08-31</t>
        </is>
      </c>
    </row>
    <row r="1186">
      <c r="A1186" s="21" t="n">
        <v>241</v>
      </c>
      <c r="B1186" s="5" t="inlineStr">
        <is>
          <t>Cumplimiento de gestión de proyectos fase inicio</t>
        </is>
      </c>
      <c r="C1186" s="5" t="inlineStr">
        <is>
          <t>Gestión de Proyectos</t>
        </is>
      </c>
      <c r="D1186" s="5" t="inlineStr">
        <is>
          <t>Mensual</t>
        </is>
      </c>
      <c r="E1186" s="5" t="inlineStr">
        <is>
          <t>Positivo</t>
        </is>
      </c>
      <c r="F1186" s="107" t="n">
        <v>45930</v>
      </c>
      <c r="G1186" s="5" t="n">
        <v>2025</v>
      </c>
      <c r="H1186" s="5" t="inlineStr">
        <is>
          <t>Septiembre</t>
        </is>
      </c>
      <c r="I1186" s="6" t="inlineStr">
        <is>
          <t>2025-2</t>
        </is>
      </c>
      <c r="J1186" s="73" t="n">
        <v>80</v>
      </c>
      <c r="K1186" s="9" t="n">
        <v>100</v>
      </c>
      <c r="L1186" s="14">
        <f>IFERROR(IF(OR(J1186=0,K1186=""),"",IF(E1186="Positivo",MIN(MAX(K1186/J1186,0),1.3),MIN(MAX(J1186/K1186,0),1.3))),"") </f>
        <v/>
      </c>
      <c r="M1186" s="14">
        <f>IFERROR(IF(OR(J1186=0,K1186=""),"",IF(E1186="Positivo",MAX(K1186/J1186,0),MAX(J1186/K1186,0))),"") </f>
        <v/>
      </c>
      <c r="N1186" s="5" t="inlineStr">
        <is>
          <t>%</t>
        </is>
      </c>
      <c r="O1186" s="5" t="inlineStr">
        <is>
          <t>%</t>
        </is>
      </c>
      <c r="P1186" s="15" t="n">
        <v>0</v>
      </c>
      <c r="Q1186" s="15" t="n">
        <v>0</v>
      </c>
      <c r="R1186" s="5" t="inlineStr">
        <is>
          <t>241-2025-09-30</t>
        </is>
      </c>
    </row>
    <row r="1187">
      <c r="A1187" s="21" t="n">
        <v>241</v>
      </c>
      <c r="B1187" s="5" t="inlineStr">
        <is>
          <t>Cumplimiento de gestión de proyectos fase inicio</t>
        </is>
      </c>
      <c r="C1187" s="5" t="inlineStr">
        <is>
          <t>Gestión de Proyectos</t>
        </is>
      </c>
      <c r="D1187" s="5" t="inlineStr">
        <is>
          <t>Mensual</t>
        </is>
      </c>
      <c r="E1187" s="5" t="inlineStr">
        <is>
          <t>Positivo</t>
        </is>
      </c>
      <c r="F1187" s="107" t="n">
        <v>45961</v>
      </c>
      <c r="G1187" s="5" t="n">
        <v>2025</v>
      </c>
      <c r="H1187" s="5" t="inlineStr">
        <is>
          <t>Octubre</t>
        </is>
      </c>
      <c r="I1187" s="6" t="inlineStr">
        <is>
          <t>2025-2</t>
        </is>
      </c>
      <c r="J1187" s="73" t="n">
        <v>80</v>
      </c>
      <c r="K1187" s="9" t="n">
        <v>100</v>
      </c>
      <c r="L1187" s="14">
        <f>IFERROR(IF(OR(J1187=0,K1187=""),"",IF(E1187="Positivo",MIN(MAX(K1187/J1187,0),1.3),MIN(MAX(J1187/K1187,0),1.3))),"") </f>
        <v/>
      </c>
      <c r="M1187" s="14">
        <f>IFERROR(IF(OR(J1187=0,K1187=""),"",IF(E1187="Positivo",MAX(K1187/J1187,0),MAX(J1187/K1187,0))),"") </f>
        <v/>
      </c>
      <c r="N1187" s="5" t="inlineStr">
        <is>
          <t>%</t>
        </is>
      </c>
      <c r="O1187" s="5" t="inlineStr">
        <is>
          <t>%</t>
        </is>
      </c>
      <c r="P1187" s="15" t="n">
        <v>0</v>
      </c>
      <c r="Q1187" s="15" t="n">
        <v>0</v>
      </c>
      <c r="R1187" s="5" t="inlineStr">
        <is>
          <t>241-2025-10-31</t>
        </is>
      </c>
    </row>
    <row r="1188">
      <c r="A1188" s="21" t="n">
        <v>241</v>
      </c>
      <c r="B1188" s="5" t="inlineStr">
        <is>
          <t>Cumplimiento de gestión de proyectos fase inicio</t>
        </is>
      </c>
      <c r="C1188" s="5" t="inlineStr">
        <is>
          <t>Gestión de Proyectos</t>
        </is>
      </c>
      <c r="D1188" s="5" t="inlineStr">
        <is>
          <t>Mensual</t>
        </is>
      </c>
      <c r="E1188" s="5" t="inlineStr">
        <is>
          <t>Positivo</t>
        </is>
      </c>
      <c r="F1188" s="107" t="n">
        <v>45991</v>
      </c>
      <c r="G1188" s="5" t="n">
        <v>2025</v>
      </c>
      <c r="H1188" s="5" t="inlineStr">
        <is>
          <t>Noviembre</t>
        </is>
      </c>
      <c r="I1188" s="6" t="inlineStr">
        <is>
          <t>2025-2</t>
        </is>
      </c>
      <c r="J1188" s="73" t="n">
        <v>80</v>
      </c>
      <c r="K1188" s="9" t="n">
        <v>100</v>
      </c>
      <c r="L1188" s="14">
        <f>IFERROR(IF(OR(J1188=0,K1188=""),"",IF(E1188="Positivo",MIN(MAX(K1188/J1188,0),1.3),MIN(MAX(J1188/K1188,0),1.3))),"") </f>
        <v/>
      </c>
      <c r="M1188" s="14">
        <f>IFERROR(IF(OR(J1188=0,K1188=""),"",IF(E1188="Positivo",MAX(K1188/J1188,0),MAX(J1188/K1188,0))),"") </f>
        <v/>
      </c>
      <c r="N1188" s="5" t="inlineStr">
        <is>
          <t>%</t>
        </is>
      </c>
      <c r="O1188" s="5" t="inlineStr">
        <is>
          <t>%</t>
        </is>
      </c>
      <c r="P1188" s="15" t="n">
        <v>0</v>
      </c>
      <c r="Q1188" s="15" t="n">
        <v>0</v>
      </c>
      <c r="R1188" s="5" t="inlineStr">
        <is>
          <t>241-2025-11-30</t>
        </is>
      </c>
    </row>
    <row r="1189">
      <c r="A1189" s="21" t="n">
        <v>241</v>
      </c>
      <c r="B1189" s="5" t="inlineStr">
        <is>
          <t>Cumplimiento de gestión de proyectos fase inicio</t>
        </is>
      </c>
      <c r="C1189" s="5" t="inlineStr">
        <is>
          <t>Gestión de Proyectos</t>
        </is>
      </c>
      <c r="D1189" s="5" t="inlineStr">
        <is>
          <t>Mensual</t>
        </is>
      </c>
      <c r="E1189" s="5" t="inlineStr">
        <is>
          <t>Positivo</t>
        </is>
      </c>
      <c r="F1189" s="106" t="n">
        <v>46022</v>
      </c>
      <c r="G1189" s="5" t="n">
        <v>2025</v>
      </c>
      <c r="H1189" s="5" t="inlineStr">
        <is>
          <t>Diciembre</t>
        </is>
      </c>
      <c r="I1189" s="6" t="inlineStr">
        <is>
          <t>2025-2</t>
        </is>
      </c>
      <c r="J1189" s="5" t="n">
        <v>80</v>
      </c>
      <c r="K1189" s="9" t="n">
        <v>91.67</v>
      </c>
      <c r="L1189" s="14">
        <f>IFERROR(IF(OR(J1189=0,K1189=""),"",IF(E1189="Positivo",MIN(MAX(K1189/J1189,0),1.3),MIN(MAX(J1189/K1189,0),1.3))),"") </f>
        <v/>
      </c>
      <c r="M1189" s="14">
        <f>IFERROR(IF(OR(J1189=0,K1189=""),"",IF(E1189="Positivo",MAX(K1189/J1189,0),MAX(J1189/K1189,0))),"") </f>
        <v/>
      </c>
      <c r="N1189" s="5" t="inlineStr">
        <is>
          <t>%</t>
        </is>
      </c>
      <c r="O1189" s="5" t="inlineStr">
        <is>
          <t>%</t>
        </is>
      </c>
      <c r="P1189" s="15" t="n">
        <v>0</v>
      </c>
      <c r="Q1189" s="15" t="n">
        <v>0</v>
      </c>
      <c r="R1189" s="5" t="inlineStr">
        <is>
          <t>241-2025-12-31</t>
        </is>
      </c>
    </row>
    <row r="1190">
      <c r="A1190" s="21" t="n">
        <v>242</v>
      </c>
      <c r="B1190" s="5" t="inlineStr">
        <is>
          <t>Cumplimiento a cronograma de proyectos 2023</t>
        </is>
      </c>
      <c r="C1190" s="5" t="inlineStr">
        <is>
          <t>Gestión de Proyectos</t>
        </is>
      </c>
      <c r="D1190" s="5" t="inlineStr">
        <is>
          <t>Mensual</t>
        </is>
      </c>
      <c r="E1190" s="5" t="inlineStr">
        <is>
          <t>Positivo</t>
        </is>
      </c>
      <c r="F1190" s="106" t="n">
        <v>44957</v>
      </c>
      <c r="G1190" s="5" t="n">
        <v>2023</v>
      </c>
      <c r="H1190" s="5" t="inlineStr">
        <is>
          <t>Enero</t>
        </is>
      </c>
      <c r="I1190" s="6" t="inlineStr">
        <is>
          <t>2023-1</t>
        </is>
      </c>
      <c r="J1190" s="5" t="n">
        <v>95</v>
      </c>
      <c r="K1190" s="9" t="n">
        <v>100.966183574879</v>
      </c>
      <c r="L1190" s="14">
        <f>IFERROR(IF(OR(J1190=0,K1190=""),"",IF(E1190="Positivo",MIN(MAX(K1190/J1190,0),1.3),MIN(MAX(J1190/K1190,0),1.3))),"") </f>
        <v/>
      </c>
      <c r="M1190" s="14">
        <f>IFERROR(IF(OR(J1190=0,K1190=""),"",IF(E1190="Positivo",MAX(K1190/J1190,0),MAX(J1190/K1190,0))),"") </f>
        <v/>
      </c>
      <c r="N1190" s="5" t="inlineStr">
        <is>
          <t>%</t>
        </is>
      </c>
      <c r="O1190" s="5" t="inlineStr">
        <is>
          <t>%</t>
        </is>
      </c>
      <c r="P1190" s="15" t="n">
        <v>0</v>
      </c>
      <c r="Q1190" s="15" t="n">
        <v>0</v>
      </c>
      <c r="R1190" s="5" t="inlineStr">
        <is>
          <t>242-2023-01-31</t>
        </is>
      </c>
    </row>
    <row r="1191">
      <c r="A1191" s="26" t="n">
        <v>242</v>
      </c>
      <c r="B1191" s="5" t="inlineStr">
        <is>
          <t>Cumplimiento a cronograma de proyectos 2023</t>
        </is>
      </c>
      <c r="C1191" s="5" t="inlineStr">
        <is>
          <t>Gestión de Proyectos</t>
        </is>
      </c>
      <c r="D1191" s="5" t="inlineStr">
        <is>
          <t>Mensual</t>
        </is>
      </c>
      <c r="E1191" s="5" t="inlineStr">
        <is>
          <t>Positivo</t>
        </is>
      </c>
      <c r="F1191" s="107" t="n">
        <v>44985</v>
      </c>
      <c r="G1191" s="5" t="n">
        <v>2023</v>
      </c>
      <c r="H1191" s="5" t="inlineStr">
        <is>
          <t>Febrero</t>
        </is>
      </c>
      <c r="I1191" s="6" t="inlineStr">
        <is>
          <t>2023-1</t>
        </is>
      </c>
      <c r="J1191" s="5" t="n">
        <v>95</v>
      </c>
      <c r="K1191" s="9" t="n">
        <v>88.27586206896549</v>
      </c>
      <c r="L1191" s="14">
        <f>IFERROR(IF(OR(J1191=0,K1191=""),"",IF(E1191="Positivo",MIN(MAX(K1191/J1191,0),1.3),MIN(MAX(J1191/K1191,0),1.3))),"") </f>
        <v/>
      </c>
      <c r="M1191" s="14">
        <f>IFERROR(IF(OR(J1191=0,K1191=""),"",IF(E1191="Positivo",MAX(K1191/J1191,0),MAX(J1191/K1191,0))),"") </f>
        <v/>
      </c>
      <c r="N1191" s="5" t="inlineStr">
        <is>
          <t>%</t>
        </is>
      </c>
      <c r="O1191" s="5" t="inlineStr">
        <is>
          <t>%</t>
        </is>
      </c>
      <c r="P1191" s="15" t="n">
        <v>0</v>
      </c>
      <c r="Q1191" s="15" t="n">
        <v>0</v>
      </c>
      <c r="R1191" s="5" t="inlineStr">
        <is>
          <t>242-2023-02-28</t>
        </is>
      </c>
    </row>
    <row r="1192">
      <c r="A1192" s="21" t="n">
        <v>242</v>
      </c>
      <c r="B1192" s="5" t="inlineStr">
        <is>
          <t>Cumplimiento a cronograma de proyectos 2023</t>
        </is>
      </c>
      <c r="C1192" s="5" t="inlineStr">
        <is>
          <t>Gestión de Proyectos</t>
        </is>
      </c>
      <c r="D1192" s="5" t="inlineStr">
        <is>
          <t>Mensual</t>
        </is>
      </c>
      <c r="E1192" s="5" t="inlineStr">
        <is>
          <t>Positivo</t>
        </is>
      </c>
      <c r="F1192" s="106" t="n">
        <v>45016</v>
      </c>
      <c r="G1192" s="5" t="n">
        <v>2023</v>
      </c>
      <c r="H1192" s="5" t="inlineStr">
        <is>
          <t>Marzo</t>
        </is>
      </c>
      <c r="I1192" s="6" t="inlineStr">
        <is>
          <t>2023-1</t>
        </is>
      </c>
      <c r="J1192" s="5" t="n">
        <v>95</v>
      </c>
      <c r="K1192" s="9" t="n">
        <v>112.671232876712</v>
      </c>
      <c r="L1192" s="14">
        <f>IFERROR(IF(OR(J1192=0,K1192=""),"",IF(E1192="Positivo",MIN(MAX(K1192/J1192,0),1.3),MIN(MAX(J1192/K1192,0),1.3))),"") </f>
        <v/>
      </c>
      <c r="M1192" s="14">
        <f>IFERROR(IF(OR(J1192=0,K1192=""),"",IF(E1192="Positivo",MAX(K1192/J1192,0),MAX(J1192/K1192,0))),"") </f>
        <v/>
      </c>
      <c r="N1192" s="5" t="inlineStr">
        <is>
          <t>%</t>
        </is>
      </c>
      <c r="O1192" s="5" t="inlineStr">
        <is>
          <t>%</t>
        </is>
      </c>
      <c r="P1192" s="15" t="n">
        <v>0</v>
      </c>
      <c r="Q1192" s="15" t="n">
        <v>0</v>
      </c>
      <c r="R1192" s="5" t="inlineStr">
        <is>
          <t>242-2023-03-31</t>
        </is>
      </c>
    </row>
    <row r="1193">
      <c r="A1193" s="26" t="n">
        <v>242</v>
      </c>
      <c r="B1193" s="5" t="inlineStr">
        <is>
          <t>Cumplimiento a cronograma de proyectos 2023</t>
        </is>
      </c>
      <c r="C1193" s="5" t="inlineStr">
        <is>
          <t>Gestión de Proyectos</t>
        </is>
      </c>
      <c r="D1193" s="5" t="inlineStr">
        <is>
          <t>Mensual</t>
        </is>
      </c>
      <c r="E1193" s="5" t="inlineStr">
        <is>
          <t>Positivo</t>
        </is>
      </c>
      <c r="F1193" s="107" t="n">
        <v>45046</v>
      </c>
      <c r="G1193" s="5" t="n">
        <v>2023</v>
      </c>
      <c r="H1193" s="5" t="inlineStr">
        <is>
          <t>Abril</t>
        </is>
      </c>
      <c r="I1193" s="6" t="inlineStr">
        <is>
          <t>2023-1</t>
        </is>
      </c>
      <c r="J1193" s="5" t="n">
        <v>95</v>
      </c>
      <c r="K1193" s="9" t="n">
        <v>94.90445859872609</v>
      </c>
      <c r="L1193" s="14">
        <f>IFERROR(IF(OR(J1193=0,K1193=""),"",IF(E1193="Positivo",MIN(MAX(K1193/J1193,0),1.3),MIN(MAX(J1193/K1193,0),1.3))),"") </f>
        <v/>
      </c>
      <c r="M1193" s="14">
        <f>IFERROR(IF(OR(J1193=0,K1193=""),"",IF(E1193="Positivo",MAX(K1193/J1193,0),MAX(J1193/K1193,0))),"") </f>
        <v/>
      </c>
      <c r="N1193" s="5" t="inlineStr">
        <is>
          <t>%</t>
        </is>
      </c>
      <c r="O1193" s="5" t="inlineStr">
        <is>
          <t>%</t>
        </is>
      </c>
      <c r="P1193" s="15" t="n">
        <v>0</v>
      </c>
      <c r="Q1193" s="15" t="n">
        <v>0</v>
      </c>
      <c r="R1193" s="5" t="inlineStr">
        <is>
          <t>242-2023-04-30</t>
        </is>
      </c>
    </row>
    <row r="1194">
      <c r="A1194" s="5" t="n">
        <v>242</v>
      </c>
      <c r="B1194" s="5" t="inlineStr">
        <is>
          <t>Cumplimiento a cronograma de proyectos 2023</t>
        </is>
      </c>
      <c r="C1194" s="5" t="inlineStr">
        <is>
          <t>Gestión de Proyectos</t>
        </is>
      </c>
      <c r="D1194" s="5" t="inlineStr">
        <is>
          <t>Mensual</t>
        </is>
      </c>
      <c r="E1194" s="5" t="inlineStr">
        <is>
          <t>Positivo</t>
        </is>
      </c>
      <c r="F1194" s="107" t="n">
        <v>45077</v>
      </c>
      <c r="G1194" s="5" t="n">
        <v>2023</v>
      </c>
      <c r="H1194" s="5" t="inlineStr">
        <is>
          <t>Mayo</t>
        </is>
      </c>
      <c r="I1194" s="6" t="inlineStr">
        <is>
          <t>2023-1</t>
        </is>
      </c>
      <c r="J1194" s="5" t="n">
        <v>95</v>
      </c>
      <c r="K1194" s="5" t="n">
        <v>94.39102564102561</v>
      </c>
      <c r="L1194" s="14">
        <f>IFERROR(IF(OR(J1194=0,K1194=""),"",IF(E1194="Positivo",MIN(MAX(K1194/J1194,0),1.3),MIN(MAX(J1194/K1194,0),1.3))),"") </f>
        <v/>
      </c>
      <c r="M1194" s="14">
        <f>IFERROR(IF(OR(J1194=0,K1194=""),"",IF(E1194="Positivo",MAX(K1194/J1194,0),MAX(J1194/K1194,0))),"") </f>
        <v/>
      </c>
      <c r="N1194" s="5" t="inlineStr">
        <is>
          <t>%</t>
        </is>
      </c>
      <c r="O1194" s="5" t="inlineStr">
        <is>
          <t>%</t>
        </is>
      </c>
      <c r="P1194" s="5" t="n">
        <v>0</v>
      </c>
      <c r="Q1194" s="5" t="n">
        <v>0</v>
      </c>
      <c r="R1194" s="5" t="inlineStr">
        <is>
          <t>242-2023-05-31</t>
        </is>
      </c>
    </row>
    <row r="1195">
      <c r="A1195" s="21" t="n">
        <v>242</v>
      </c>
      <c r="B1195" s="5" t="inlineStr">
        <is>
          <t>Cumplimiento a cronograma de proyectos 2023</t>
        </is>
      </c>
      <c r="C1195" s="5" t="inlineStr">
        <is>
          <t>Gestión de Proyectos</t>
        </is>
      </c>
      <c r="D1195" s="5" t="inlineStr">
        <is>
          <t>Mensual</t>
        </is>
      </c>
      <c r="E1195" s="5" t="inlineStr">
        <is>
          <t>Positivo</t>
        </is>
      </c>
      <c r="F1195" s="107" t="n">
        <v>45107</v>
      </c>
      <c r="G1195" s="5" t="n">
        <v>2023</v>
      </c>
      <c r="H1195" s="5" t="inlineStr">
        <is>
          <t>Junio</t>
        </is>
      </c>
      <c r="I1195" s="6" t="inlineStr">
        <is>
          <t>2023-1</t>
        </is>
      </c>
      <c r="J1195" s="5" t="n">
        <v>95</v>
      </c>
      <c r="K1195" s="10" t="n">
        <v>94.85488126649081</v>
      </c>
      <c r="L1195" s="14">
        <f>IFERROR(IF(OR(J1195=0,K1195=""),"",IF(E1195="Positivo",MIN(MAX(K1195/J1195,0),1.3),MIN(MAX(J1195/K1195,0),1.3))),"") </f>
        <v/>
      </c>
      <c r="M1195" s="14">
        <f>IFERROR(IF(OR(J1195=0,K1195=""),"",IF(E1195="Positivo",MAX(K1195/J1195,0),MAX(J1195/K1195,0))),"") </f>
        <v/>
      </c>
      <c r="N1195" s="5" t="inlineStr">
        <is>
          <t>%</t>
        </is>
      </c>
      <c r="O1195" s="5" t="inlineStr">
        <is>
          <t>%</t>
        </is>
      </c>
      <c r="P1195" s="15" t="n">
        <v>0</v>
      </c>
      <c r="Q1195" s="15" t="n">
        <v>0</v>
      </c>
      <c r="R1195" s="5" t="inlineStr">
        <is>
          <t>242-2023-06-30</t>
        </is>
      </c>
    </row>
    <row r="1196">
      <c r="A1196" s="21" t="n">
        <v>242</v>
      </c>
      <c r="B1196" s="5" t="inlineStr">
        <is>
          <t>Cumplimiento a cronograma de proyectos 2023</t>
        </is>
      </c>
      <c r="C1196" s="5" t="inlineStr">
        <is>
          <t>Gestión de Proyectos</t>
        </is>
      </c>
      <c r="D1196" s="5" t="inlineStr">
        <is>
          <t>Mensual</t>
        </is>
      </c>
      <c r="E1196" s="5" t="inlineStr">
        <is>
          <t>Positivo</t>
        </is>
      </c>
      <c r="F1196" s="107" t="n">
        <v>45138</v>
      </c>
      <c r="G1196" s="5" t="n">
        <v>2023</v>
      </c>
      <c r="H1196" s="5" t="inlineStr">
        <is>
          <t>Julio</t>
        </is>
      </c>
      <c r="I1196" s="6" t="inlineStr">
        <is>
          <t>2023-2</t>
        </is>
      </c>
      <c r="J1196" s="5" t="n">
        <v>95</v>
      </c>
      <c r="K1196" s="9" t="n">
        <v>91.89</v>
      </c>
      <c r="L1196" s="14">
        <f>IFERROR(IF(OR(J1196=0,K1196=""),"",IF(E1196="Positivo",MIN(MAX(K1196/J1196,0),1.3),MIN(MAX(J1196/K1196,0),1.3))),"") </f>
        <v/>
      </c>
      <c r="M1196" s="14">
        <f>IFERROR(IF(OR(J1196=0,K1196=""),"",IF(E1196="Positivo",MAX(K1196/J1196,0),MAX(J1196/K1196,0))),"") </f>
        <v/>
      </c>
      <c r="N1196" s="5" t="inlineStr">
        <is>
          <t>%</t>
        </is>
      </c>
      <c r="O1196" s="5" t="inlineStr">
        <is>
          <t>%</t>
        </is>
      </c>
      <c r="P1196" s="15" t="n">
        <v>0</v>
      </c>
      <c r="Q1196" s="15" t="n">
        <v>0</v>
      </c>
      <c r="R1196" s="5" t="inlineStr">
        <is>
          <t>242-2023-07-31</t>
        </is>
      </c>
    </row>
    <row r="1197">
      <c r="A1197" s="21" t="n">
        <v>242</v>
      </c>
      <c r="B1197" s="5" t="inlineStr">
        <is>
          <t>Cumplimiento a cronograma de proyectos 2023</t>
        </is>
      </c>
      <c r="C1197" s="5" t="inlineStr">
        <is>
          <t>Gestión de Proyectos</t>
        </is>
      </c>
      <c r="D1197" s="5" t="inlineStr">
        <is>
          <t>Mensual</t>
        </is>
      </c>
      <c r="E1197" s="5" t="inlineStr">
        <is>
          <t>Positivo</t>
        </is>
      </c>
      <c r="F1197" s="107" t="n">
        <v>45169</v>
      </c>
      <c r="G1197" s="5" t="n">
        <v>2023</v>
      </c>
      <c r="H1197" s="5" t="inlineStr">
        <is>
          <t>Agosto</t>
        </is>
      </c>
      <c r="I1197" s="6" t="inlineStr">
        <is>
          <t>2023-2</t>
        </is>
      </c>
      <c r="J1197" s="5" t="n">
        <v>95</v>
      </c>
      <c r="K1197" s="9" t="n">
        <v>95.48999999999999</v>
      </c>
      <c r="L1197" s="14">
        <f>IFERROR(IF(OR(J1197=0,K1197=""),"",IF(E1197="Positivo",MIN(MAX(K1197/J1197,0),1.3),MIN(MAX(J1197/K1197,0),1.3))),"") </f>
        <v/>
      </c>
      <c r="M1197" s="14">
        <f>IFERROR(IF(OR(J1197=0,K1197=""),"",IF(E1197="Positivo",MAX(K1197/J1197,0),MAX(J1197/K1197,0))),"") </f>
        <v/>
      </c>
      <c r="N1197" s="5" t="inlineStr">
        <is>
          <t>%</t>
        </is>
      </c>
      <c r="O1197" s="5" t="inlineStr">
        <is>
          <t>%</t>
        </is>
      </c>
      <c r="P1197" s="15" t="n">
        <v>0</v>
      </c>
      <c r="Q1197" s="15" t="n">
        <v>0</v>
      </c>
      <c r="R1197" s="5" t="inlineStr">
        <is>
          <t>242-2023-08-31</t>
        </is>
      </c>
    </row>
    <row r="1198">
      <c r="A1198" s="21" t="n">
        <v>242</v>
      </c>
      <c r="B1198" s="5" t="inlineStr">
        <is>
          <t>Cumplimiento a cronograma de proyectos 2023</t>
        </is>
      </c>
      <c r="C1198" s="5" t="inlineStr">
        <is>
          <t>Gestión de Proyectos</t>
        </is>
      </c>
      <c r="D1198" s="5" t="inlineStr">
        <is>
          <t>Mensual</t>
        </is>
      </c>
      <c r="E1198" s="5" t="inlineStr">
        <is>
          <t>Positivo</t>
        </is>
      </c>
      <c r="F1198" s="107" t="n">
        <v>45199</v>
      </c>
      <c r="G1198" s="5" t="n">
        <v>2023</v>
      </c>
      <c r="H1198" s="5" t="inlineStr">
        <is>
          <t>Septiembre</t>
        </is>
      </c>
      <c r="I1198" s="6" t="inlineStr">
        <is>
          <t>2023-2</t>
        </is>
      </c>
      <c r="J1198" s="5" t="n">
        <v>95</v>
      </c>
      <c r="K1198" s="9" t="n">
        <v>97.20999999999999</v>
      </c>
      <c r="L1198" s="14">
        <f>IFERROR(IF(OR(J1198=0,K1198=""),"",IF(E1198="Positivo",MIN(MAX(K1198/J1198,0),1.3),MIN(MAX(J1198/K1198,0),1.3))),"") </f>
        <v/>
      </c>
      <c r="M1198" s="14">
        <f>IFERROR(IF(OR(J1198=0,K1198=""),"",IF(E1198="Positivo",MAX(K1198/J1198,0),MAX(J1198/K1198,0))),"") </f>
        <v/>
      </c>
      <c r="N1198" s="5" t="inlineStr">
        <is>
          <t>%</t>
        </is>
      </c>
      <c r="O1198" s="5" t="inlineStr">
        <is>
          <t>%</t>
        </is>
      </c>
      <c r="P1198" s="15" t="n">
        <v>0</v>
      </c>
      <c r="Q1198" s="15" t="n">
        <v>0</v>
      </c>
      <c r="R1198" s="5" t="inlineStr">
        <is>
          <t>242-2023-09-30</t>
        </is>
      </c>
    </row>
    <row r="1199">
      <c r="A1199" s="21" t="n">
        <v>242</v>
      </c>
      <c r="B1199" s="5" t="inlineStr">
        <is>
          <t>Cumplimiento a cronograma de proyectos 2023</t>
        </is>
      </c>
      <c r="C1199" s="5" t="inlineStr">
        <is>
          <t>Gestión de Proyectos</t>
        </is>
      </c>
      <c r="D1199" s="5" t="inlineStr">
        <is>
          <t>Mensual</t>
        </is>
      </c>
      <c r="E1199" s="5" t="inlineStr">
        <is>
          <t>Positivo</t>
        </is>
      </c>
      <c r="F1199" s="107" t="n">
        <v>45230</v>
      </c>
      <c r="G1199" s="5" t="n">
        <v>2023</v>
      </c>
      <c r="H1199" s="5" t="inlineStr">
        <is>
          <t>Octubre</t>
        </is>
      </c>
      <c r="I1199" s="6" t="inlineStr">
        <is>
          <t>2023-2</t>
        </is>
      </c>
      <c r="J1199" s="5" t="n">
        <v>95</v>
      </c>
      <c r="K1199" s="10" t="n">
        <v>94.14</v>
      </c>
      <c r="L1199" s="14">
        <f>IFERROR(IF(OR(J1199=0,K1199=""),"",IF(E1199="Positivo",MIN(MAX(K1199/J1199,0),1.3),MIN(MAX(J1199/K1199,0),1.3))),"") </f>
        <v/>
      </c>
      <c r="M1199" s="14">
        <f>IFERROR(IF(OR(J1199=0,K1199=""),"",IF(E1199="Positivo",MAX(K1199/J1199,0),MAX(J1199/K1199,0))),"") </f>
        <v/>
      </c>
      <c r="N1199" s="5" t="inlineStr">
        <is>
          <t>%</t>
        </is>
      </c>
      <c r="O1199" s="5" t="inlineStr">
        <is>
          <t>%</t>
        </is>
      </c>
      <c r="P1199" s="15" t="n">
        <v>0</v>
      </c>
      <c r="Q1199" s="15" t="n">
        <v>0</v>
      </c>
      <c r="R1199" s="5" t="inlineStr">
        <is>
          <t>242-2023-10-31</t>
        </is>
      </c>
    </row>
    <row r="1200">
      <c r="A1200" s="5" t="n">
        <v>242</v>
      </c>
      <c r="B1200" s="5" t="inlineStr">
        <is>
          <t>Cumplimiento a cronograma de proyectos 2023</t>
        </is>
      </c>
      <c r="C1200" s="5" t="inlineStr">
        <is>
          <t>Gestión de Proyectos</t>
        </is>
      </c>
      <c r="D1200" s="5" t="inlineStr">
        <is>
          <t>Mensual</t>
        </is>
      </c>
      <c r="E1200" s="5" t="inlineStr">
        <is>
          <t>Positivo</t>
        </is>
      </c>
      <c r="F1200" s="107" t="n">
        <v>45260</v>
      </c>
      <c r="G1200" s="5" t="n">
        <v>2023</v>
      </c>
      <c r="H1200" s="5" t="inlineStr">
        <is>
          <t>Noviembre</t>
        </is>
      </c>
      <c r="I1200" s="6" t="inlineStr">
        <is>
          <t>2023-2</t>
        </is>
      </c>
      <c r="J1200" s="5" t="n">
        <v>95</v>
      </c>
      <c r="K1200" s="5" t="n">
        <v>92.75</v>
      </c>
      <c r="L1200" s="14">
        <f>IFERROR(IF(OR(J1200=0,K1200=""),"",IF(E1200="Positivo",MIN(MAX(K1200/J1200,0),1.3),MIN(MAX(J1200/K1200,0),1.3))),"") </f>
        <v/>
      </c>
      <c r="M1200" s="14">
        <f>IFERROR(IF(OR(J1200=0,K1200=""),"",IF(E1200="Positivo",MAX(K1200/J1200,0),MAX(J1200/K1200,0))),"") </f>
        <v/>
      </c>
      <c r="N1200" s="5" t="inlineStr">
        <is>
          <t>%</t>
        </is>
      </c>
      <c r="O1200" s="5" t="inlineStr">
        <is>
          <t>%</t>
        </is>
      </c>
      <c r="P1200" s="5" t="n">
        <v>0</v>
      </c>
      <c r="Q1200" s="5" t="n">
        <v>0</v>
      </c>
      <c r="R1200" s="5" t="inlineStr">
        <is>
          <t>242-2023-11-30</t>
        </is>
      </c>
    </row>
    <row r="1201">
      <c r="A1201" s="21" t="n">
        <v>242</v>
      </c>
      <c r="B1201" s="5" t="inlineStr">
        <is>
          <t>Cumplimiento a cronograma de proyectos 2023</t>
        </is>
      </c>
      <c r="C1201" s="5" t="inlineStr">
        <is>
          <t>Gestión de Proyectos</t>
        </is>
      </c>
      <c r="D1201" s="5" t="inlineStr">
        <is>
          <t>Mensual</t>
        </is>
      </c>
      <c r="E1201" s="5" t="inlineStr">
        <is>
          <t>Positivo</t>
        </is>
      </c>
      <c r="F1201" s="107" t="n">
        <v>45291</v>
      </c>
      <c r="G1201" s="5" t="n">
        <v>2023</v>
      </c>
      <c r="H1201" s="5" t="inlineStr">
        <is>
          <t>Diciembre</t>
        </is>
      </c>
      <c r="I1201" s="6" t="inlineStr">
        <is>
          <t>2023-2</t>
        </is>
      </c>
      <c r="J1201" s="5" t="n">
        <v>95</v>
      </c>
      <c r="K1201" s="10" t="n">
        <v>95.36</v>
      </c>
      <c r="L1201" s="14">
        <f>IFERROR(IF(OR(J1201=0,K1201=""),"",IF(E1201="Positivo",MIN(MAX(K1201/J1201,0),1.3),MIN(MAX(J1201/K1201,0),1.3))),"") </f>
        <v/>
      </c>
      <c r="M1201" s="14">
        <f>IFERROR(IF(OR(J1201=0,K1201=""),"",IF(E1201="Positivo",MAX(K1201/J1201,0),MAX(J1201/K1201,0))),"") </f>
        <v/>
      </c>
      <c r="N1201" s="5" t="inlineStr">
        <is>
          <t>%</t>
        </is>
      </c>
      <c r="O1201" s="5" t="inlineStr">
        <is>
          <t>%</t>
        </is>
      </c>
      <c r="P1201" s="15" t="n">
        <v>0</v>
      </c>
      <c r="Q1201" s="15" t="n">
        <v>0</v>
      </c>
      <c r="R1201" s="5" t="inlineStr">
        <is>
          <t>242-2023-12-31</t>
        </is>
      </c>
    </row>
    <row r="1202">
      <c r="A1202" s="21" t="n">
        <v>243</v>
      </c>
      <c r="B1202" s="5" t="inlineStr">
        <is>
          <t>Cumplimiento de gestión de proyectos control de cambios</t>
        </is>
      </c>
      <c r="C1202" s="5" t="inlineStr">
        <is>
          <t>Gestión de Proyectos</t>
        </is>
      </c>
      <c r="D1202" s="5" t="inlineStr">
        <is>
          <t>Mensual</t>
        </is>
      </c>
      <c r="E1202" s="5" t="inlineStr">
        <is>
          <t>Negativo</t>
        </is>
      </c>
      <c r="F1202" s="107" t="n">
        <v>44957</v>
      </c>
      <c r="G1202" s="5" t="n">
        <v>2023</v>
      </c>
      <c r="H1202" s="5" t="inlineStr">
        <is>
          <t>Enero</t>
        </is>
      </c>
      <c r="I1202" s="6" t="inlineStr">
        <is>
          <t>2023-1</t>
        </is>
      </c>
      <c r="J1202" s="5" t="n">
        <v>0</v>
      </c>
      <c r="K1202" s="10" t="n">
        <v>0</v>
      </c>
      <c r="L1202" s="14">
        <f>IFERROR(IF(OR(J1202=0,K1202=""),"",IF(E1202="Positivo",MIN(MAX(K1202/J1202,0),1.3),MIN(MAX(J1202/K1202,0),1.3))),"") </f>
        <v/>
      </c>
      <c r="M1202" s="14">
        <f>IFERROR(IF(OR(J1202=0,K1202=""),"",IF(E1202="Positivo",MAX(K1202/J1202,0),MAX(J1202/K1202,0))),"") </f>
        <v/>
      </c>
      <c r="N1202" s="5" t="inlineStr">
        <is>
          <t>%</t>
        </is>
      </c>
      <c r="O1202" s="5" t="inlineStr">
        <is>
          <t>%</t>
        </is>
      </c>
      <c r="P1202" s="15" t="n">
        <v>0</v>
      </c>
      <c r="Q1202" s="15" t="n">
        <v>0</v>
      </c>
      <c r="R1202" s="5" t="inlineStr">
        <is>
          <t>243-2023-01-31</t>
        </is>
      </c>
    </row>
    <row r="1203">
      <c r="A1203" s="21" t="n">
        <v>243</v>
      </c>
      <c r="B1203" s="5" t="inlineStr">
        <is>
          <t>Cumplimiento de gestión de proyectos control de cambios</t>
        </is>
      </c>
      <c r="C1203" s="5" t="inlineStr">
        <is>
          <t>Gestión de Proyectos</t>
        </is>
      </c>
      <c r="D1203" s="5" t="inlineStr">
        <is>
          <t>Mensual</t>
        </is>
      </c>
      <c r="E1203" s="5" t="inlineStr">
        <is>
          <t>Negativo</t>
        </is>
      </c>
      <c r="F1203" s="106" t="n">
        <v>44985</v>
      </c>
      <c r="G1203" s="5" t="n">
        <v>2023</v>
      </c>
      <c r="H1203" s="5" t="inlineStr">
        <is>
          <t>Febrero</t>
        </is>
      </c>
      <c r="I1203" s="6" t="inlineStr">
        <is>
          <t>2023-1</t>
        </is>
      </c>
      <c r="J1203" s="5" t="n">
        <v>0</v>
      </c>
      <c r="K1203" s="9" t="n">
        <v>0</v>
      </c>
      <c r="L1203" s="14">
        <f>IFERROR(IF(OR(J1203=0,K1203=""),"",IF(E1203="Positivo",MIN(MAX(K1203/J1203,0),1.3),MIN(MAX(J1203/K1203,0),1.3))),"") </f>
        <v/>
      </c>
      <c r="M1203" s="14">
        <f>IFERROR(IF(OR(J1203=0,K1203=""),"",IF(E1203="Positivo",MAX(K1203/J1203,0),MAX(J1203/K1203,0))),"") </f>
        <v/>
      </c>
      <c r="N1203" s="5" t="inlineStr">
        <is>
          <t>%</t>
        </is>
      </c>
      <c r="O1203" s="5" t="inlineStr">
        <is>
          <t>%</t>
        </is>
      </c>
      <c r="P1203" s="15" t="n">
        <v>0</v>
      </c>
      <c r="Q1203" s="15" t="n">
        <v>0</v>
      </c>
      <c r="R1203" s="5" t="inlineStr">
        <is>
          <t>243-2023-02-28</t>
        </is>
      </c>
    </row>
    <row r="1204">
      <c r="A1204" s="26" t="n">
        <v>243</v>
      </c>
      <c r="B1204" s="5" t="inlineStr">
        <is>
          <t>Cumplimiento de gestión de proyectos control de cambios</t>
        </is>
      </c>
      <c r="C1204" s="5" t="inlineStr">
        <is>
          <t>Gestión de Proyectos</t>
        </is>
      </c>
      <c r="D1204" s="5" t="inlineStr">
        <is>
          <t>Mensual</t>
        </is>
      </c>
      <c r="E1204" s="5" t="inlineStr">
        <is>
          <t>Negativo</t>
        </is>
      </c>
      <c r="F1204" s="107" t="n">
        <v>45016</v>
      </c>
      <c r="G1204" s="5" t="n">
        <v>2023</v>
      </c>
      <c r="H1204" s="5" t="inlineStr">
        <is>
          <t>Marzo</t>
        </is>
      </c>
      <c r="I1204" s="6" t="inlineStr">
        <is>
          <t>2023-1</t>
        </is>
      </c>
      <c r="J1204" s="5" t="n">
        <v>0</v>
      </c>
      <c r="K1204" s="9" t="n">
        <v>0</v>
      </c>
      <c r="L1204" s="14">
        <f>IFERROR(IF(OR(J1204=0,K1204=""),"",IF(E1204="Positivo",MIN(MAX(K1204/J1204,0),1.3),MIN(MAX(J1204/K1204,0),1.3))),"") </f>
        <v/>
      </c>
      <c r="M1204" s="14">
        <f>IFERROR(IF(OR(J1204=0,K1204=""),"",IF(E1204="Positivo",MAX(K1204/J1204,0),MAX(J1204/K1204,0))),"") </f>
        <v/>
      </c>
      <c r="N1204" s="5" t="inlineStr">
        <is>
          <t>%</t>
        </is>
      </c>
      <c r="O1204" s="5" t="inlineStr">
        <is>
          <t>%</t>
        </is>
      </c>
      <c r="P1204" s="15" t="n">
        <v>0</v>
      </c>
      <c r="Q1204" s="15" t="n">
        <v>0</v>
      </c>
      <c r="R1204" s="5" t="inlineStr">
        <is>
          <t>243-2023-03-31</t>
        </is>
      </c>
    </row>
    <row r="1205">
      <c r="A1205" s="5" t="n">
        <v>243</v>
      </c>
      <c r="B1205" s="5" t="inlineStr">
        <is>
          <t>Cumplimiento de gestión de proyectos control de cambios</t>
        </is>
      </c>
      <c r="C1205" s="5" t="inlineStr">
        <is>
          <t>Gestión de Proyectos</t>
        </is>
      </c>
      <c r="D1205" s="5" t="inlineStr">
        <is>
          <t>Mensual</t>
        </is>
      </c>
      <c r="E1205" s="5" t="inlineStr">
        <is>
          <t>Negativo</t>
        </is>
      </c>
      <c r="F1205" s="107" t="n">
        <v>45046</v>
      </c>
      <c r="G1205" s="5" t="n">
        <v>2023</v>
      </c>
      <c r="H1205" s="5" t="inlineStr">
        <is>
          <t>Abril</t>
        </is>
      </c>
      <c r="I1205" s="6" t="inlineStr">
        <is>
          <t>2023-1</t>
        </is>
      </c>
      <c r="J1205" s="5" t="n">
        <v>0</v>
      </c>
      <c r="K1205" s="5" t="n">
        <v>0</v>
      </c>
      <c r="L1205" s="14">
        <f>IFERROR(IF(OR(J1205=0,K1205=""),"",IF(E1205="Positivo",MIN(MAX(K1205/J1205,0),1.3),MIN(MAX(J1205/K1205,0),1.3))),"") </f>
        <v/>
      </c>
      <c r="M1205" s="14">
        <f>IFERROR(IF(OR(J1205=0,K1205=""),"",IF(E1205="Positivo",MAX(K1205/J1205,0),MAX(J1205/K1205,0))),"") </f>
        <v/>
      </c>
      <c r="N1205" s="5" t="inlineStr">
        <is>
          <t>%</t>
        </is>
      </c>
      <c r="O1205" s="5" t="inlineStr">
        <is>
          <t>%</t>
        </is>
      </c>
      <c r="P1205" s="5" t="n">
        <v>0</v>
      </c>
      <c r="Q1205" s="5" t="n">
        <v>0</v>
      </c>
      <c r="R1205" s="5" t="inlineStr">
        <is>
          <t>243-2023-04-30</t>
        </is>
      </c>
    </row>
    <row r="1206">
      <c r="A1206" s="21" t="n">
        <v>243</v>
      </c>
      <c r="B1206" s="5" t="inlineStr">
        <is>
          <t>Cumplimiento de gestión de proyectos control de cambios</t>
        </is>
      </c>
      <c r="C1206" s="5" t="inlineStr">
        <is>
          <t>Gestión de Proyectos</t>
        </is>
      </c>
      <c r="D1206" s="5" t="inlineStr">
        <is>
          <t>Mensual</t>
        </is>
      </c>
      <c r="E1206" s="5" t="inlineStr">
        <is>
          <t>Negativo</t>
        </is>
      </c>
      <c r="F1206" s="107" t="n">
        <v>45077</v>
      </c>
      <c r="G1206" s="5" t="n">
        <v>2023</v>
      </c>
      <c r="H1206" s="5" t="inlineStr">
        <is>
          <t>Mayo</t>
        </is>
      </c>
      <c r="I1206" s="6" t="inlineStr">
        <is>
          <t>2023-1</t>
        </is>
      </c>
      <c r="J1206" s="5" t="n">
        <v>0</v>
      </c>
      <c r="K1206" s="10" t="n">
        <v>0</v>
      </c>
      <c r="L1206" s="14">
        <f>IFERROR(IF(OR(J1206=0,K1206=""),"",IF(E1206="Positivo",MIN(MAX(K1206/J1206,0),1.3),MIN(MAX(J1206/K1206,0),1.3))),"") </f>
        <v/>
      </c>
      <c r="M1206" s="14">
        <f>IFERROR(IF(OR(J1206=0,K1206=""),"",IF(E1206="Positivo",MAX(K1206/J1206,0),MAX(J1206/K1206,0))),"") </f>
        <v/>
      </c>
      <c r="N1206" s="5" t="inlineStr">
        <is>
          <t>%</t>
        </is>
      </c>
      <c r="O1206" s="5" t="inlineStr">
        <is>
          <t>%</t>
        </is>
      </c>
      <c r="P1206" s="15" t="n">
        <v>0</v>
      </c>
      <c r="Q1206" s="15" t="n">
        <v>0</v>
      </c>
      <c r="R1206" s="5" t="inlineStr">
        <is>
          <t>243-2023-05-31</t>
        </is>
      </c>
    </row>
    <row r="1207">
      <c r="A1207" s="21" t="n">
        <v>243</v>
      </c>
      <c r="B1207" s="5" t="inlineStr">
        <is>
          <t>Cumplimiento de gestión de proyectos control de cambios</t>
        </is>
      </c>
      <c r="C1207" s="5" t="inlineStr">
        <is>
          <t>Gestión de Proyectos</t>
        </is>
      </c>
      <c r="D1207" s="5" t="inlineStr">
        <is>
          <t>Mensual</t>
        </is>
      </c>
      <c r="E1207" s="5" t="inlineStr">
        <is>
          <t>Negativo</t>
        </is>
      </c>
      <c r="F1207" s="106" t="n">
        <v>45107</v>
      </c>
      <c r="G1207" s="5" t="n">
        <v>2023</v>
      </c>
      <c r="H1207" s="5" t="inlineStr">
        <is>
          <t>Junio</t>
        </is>
      </c>
      <c r="I1207" s="6" t="inlineStr">
        <is>
          <t>2023-1</t>
        </is>
      </c>
      <c r="J1207" s="5" t="n">
        <v>0</v>
      </c>
      <c r="K1207" s="9" t="n">
        <v>8.33333333333333</v>
      </c>
      <c r="L1207" s="14">
        <f>IFERROR(IF(OR(J1207=0,K1207=""),"",IF(E1207="Positivo",MIN(MAX(K1207/J1207,0),1.3),MIN(MAX(J1207/K1207,0),1.3))),"") </f>
        <v/>
      </c>
      <c r="M1207" s="14">
        <f>IFERROR(IF(OR(J1207=0,K1207=""),"",IF(E1207="Positivo",MAX(K1207/J1207,0),MAX(J1207/K1207,0))),"") </f>
        <v/>
      </c>
      <c r="N1207" s="11" t="inlineStr">
        <is>
          <t>%</t>
        </is>
      </c>
      <c r="O1207" s="11" t="inlineStr">
        <is>
          <t>%</t>
        </is>
      </c>
      <c r="P1207" s="15" t="n">
        <v>0</v>
      </c>
      <c r="Q1207" s="15" t="n">
        <v>0</v>
      </c>
      <c r="R1207" s="5" t="inlineStr">
        <is>
          <t>243-2023-06-30</t>
        </is>
      </c>
    </row>
    <row r="1208">
      <c r="A1208" s="26" t="n">
        <v>243</v>
      </c>
      <c r="B1208" s="5" t="inlineStr">
        <is>
          <t>Cumplimiento de gestión de proyectos control de cambios</t>
        </is>
      </c>
      <c r="C1208" s="5" t="inlineStr">
        <is>
          <t>Gestión de Proyectos</t>
        </is>
      </c>
      <c r="D1208" s="5" t="inlineStr">
        <is>
          <t>Mensual</t>
        </is>
      </c>
      <c r="E1208" s="5" t="inlineStr">
        <is>
          <t>Negativo</t>
        </is>
      </c>
      <c r="F1208" s="107" t="n">
        <v>45138</v>
      </c>
      <c r="G1208" s="5" t="n">
        <v>2023</v>
      </c>
      <c r="H1208" s="5" t="inlineStr">
        <is>
          <t>Julio</t>
        </is>
      </c>
      <c r="I1208" s="6" t="inlineStr">
        <is>
          <t>2023-2</t>
        </is>
      </c>
      <c r="J1208" s="5" t="n">
        <v>0</v>
      </c>
      <c r="K1208" s="9" t="n">
        <v>16.666666666667</v>
      </c>
      <c r="L1208" s="14">
        <f>IFERROR(IF(OR(J1208=0,K1208=""),"",IF(E1208="Positivo",MIN(MAX(K1208/J1208,0),1.3),MIN(MAX(J1208/K1208,0),1.3))),"") </f>
        <v/>
      </c>
      <c r="M1208" s="14">
        <f>IFERROR(IF(OR(J1208=0,K1208=""),"",IF(E1208="Positivo",MAX(K1208/J1208,0),MAX(J1208/K1208,0))),"") </f>
        <v/>
      </c>
      <c r="N1208" s="5" t="inlineStr">
        <is>
          <t>%</t>
        </is>
      </c>
      <c r="O1208" s="5" t="inlineStr">
        <is>
          <t>%</t>
        </is>
      </c>
      <c r="P1208" s="15" t="n">
        <v>0</v>
      </c>
      <c r="Q1208" s="15" t="n">
        <v>0</v>
      </c>
      <c r="R1208" s="5" t="inlineStr">
        <is>
          <t>243-2023-07-31</t>
        </is>
      </c>
    </row>
    <row r="1209">
      <c r="A1209" s="5" t="n">
        <v>243</v>
      </c>
      <c r="B1209" s="5" t="inlineStr">
        <is>
          <t>Cumplimiento de gestión de proyectos control de cambios</t>
        </is>
      </c>
      <c r="C1209" s="5" t="inlineStr">
        <is>
          <t>Gestión de Proyectos</t>
        </is>
      </c>
      <c r="D1209" s="5" t="inlineStr">
        <is>
          <t>Mensual</t>
        </is>
      </c>
      <c r="E1209" s="5" t="inlineStr">
        <is>
          <t>Negativo</t>
        </is>
      </c>
      <c r="F1209" s="107" t="n">
        <v>45169</v>
      </c>
      <c r="G1209" s="5" t="n">
        <v>2023</v>
      </c>
      <c r="H1209" s="5" t="inlineStr">
        <is>
          <t>Agosto</t>
        </is>
      </c>
      <c r="I1209" s="6" t="inlineStr">
        <is>
          <t>2023-2</t>
        </is>
      </c>
      <c r="J1209" s="5" t="n">
        <v>0</v>
      </c>
      <c r="K1209" s="23" t="n">
        <v>9.09</v>
      </c>
      <c r="L1209" s="14">
        <f>IFERROR(IF(OR(J1209=0,K1209=""),"",IF(E1209="Positivo",MIN(MAX(K1209/J1209,0),1.3),MIN(MAX(J1209/K1209,0),1.3))),"") </f>
        <v/>
      </c>
      <c r="M1209" s="14">
        <f>IFERROR(IF(OR(J1209=0,K1209=""),"",IF(E1209="Positivo",MAX(K1209/J1209,0),MAX(J1209/K1209,0))),"") </f>
        <v/>
      </c>
      <c r="N1209" s="5" t="inlineStr">
        <is>
          <t>%</t>
        </is>
      </c>
      <c r="O1209" s="5" t="inlineStr">
        <is>
          <t>%</t>
        </is>
      </c>
      <c r="P1209" s="5" t="n">
        <v>1</v>
      </c>
      <c r="Q1209" s="5" t="n">
        <v>1</v>
      </c>
      <c r="R1209" s="5" t="inlineStr">
        <is>
          <t>243-2023-08-31</t>
        </is>
      </c>
    </row>
    <row r="1210">
      <c r="A1210" s="21" t="n">
        <v>243</v>
      </c>
      <c r="B1210" s="5" t="inlineStr">
        <is>
          <t>Cumplimiento de gestión de proyectos control de cambios</t>
        </is>
      </c>
      <c r="C1210" s="5" t="inlineStr">
        <is>
          <t>Gestión de Proyectos</t>
        </is>
      </c>
      <c r="D1210" s="5" t="inlineStr">
        <is>
          <t>Mensual</t>
        </is>
      </c>
      <c r="E1210" s="5" t="inlineStr">
        <is>
          <t>Negativo</t>
        </is>
      </c>
      <c r="F1210" s="107" t="n">
        <v>45199</v>
      </c>
      <c r="G1210" s="5" t="n">
        <v>2023</v>
      </c>
      <c r="H1210" s="5" t="inlineStr">
        <is>
          <t>Septiembre</t>
        </is>
      </c>
      <c r="I1210" s="6" t="inlineStr">
        <is>
          <t>2023-2</t>
        </is>
      </c>
      <c r="J1210" s="5" t="n">
        <v>0</v>
      </c>
      <c r="K1210" s="10" t="n">
        <v>0</v>
      </c>
      <c r="L1210" s="14">
        <f>IFERROR(IF(OR(J1210=0,K1210=""),"",IF(E1210="Positivo",MIN(MAX(K1210/J1210,0),1.3),MIN(MAX(J1210/K1210,0),1.3))),"") </f>
        <v/>
      </c>
      <c r="M1210" s="14">
        <f>IFERROR(IF(OR(J1210=0,K1210=""),"",IF(E1210="Positivo",MAX(K1210/J1210,0),MAX(J1210/K1210,0))),"") </f>
        <v/>
      </c>
      <c r="N1210" s="5" t="inlineStr">
        <is>
          <t>%</t>
        </is>
      </c>
      <c r="O1210" s="5" t="inlineStr">
        <is>
          <t>%</t>
        </is>
      </c>
      <c r="P1210" s="15" t="n">
        <v>0</v>
      </c>
      <c r="Q1210" s="15" t="n">
        <v>0</v>
      </c>
      <c r="R1210" s="5" t="inlineStr">
        <is>
          <t>243-2023-09-30</t>
        </is>
      </c>
    </row>
    <row r="1211">
      <c r="A1211" s="26" t="n">
        <v>243</v>
      </c>
      <c r="B1211" s="5" t="inlineStr">
        <is>
          <t>Cumplimiento de gestión de proyectos control de cambios</t>
        </is>
      </c>
      <c r="C1211" s="5" t="inlineStr">
        <is>
          <t>Gestión de Proyectos</t>
        </is>
      </c>
      <c r="D1211" s="5" t="inlineStr">
        <is>
          <t>Mensual</t>
        </is>
      </c>
      <c r="E1211" s="5" t="inlineStr">
        <is>
          <t>Negativo</t>
        </is>
      </c>
      <c r="F1211" s="107" t="n">
        <v>45230</v>
      </c>
      <c r="G1211" s="5" t="n">
        <v>2023</v>
      </c>
      <c r="H1211" s="5" t="inlineStr">
        <is>
          <t>Octubre</t>
        </is>
      </c>
      <c r="I1211" s="6" t="inlineStr">
        <is>
          <t>2023-2</t>
        </is>
      </c>
      <c r="J1211" s="5" t="n">
        <v>0</v>
      </c>
      <c r="K1211" s="9" t="n">
        <v>11.11</v>
      </c>
      <c r="L1211" s="14">
        <f>IFERROR(IF(OR(J1211=0,K1211=""),"",IF(E1211="Positivo",MIN(MAX(K1211/J1211,0),1.3),MIN(MAX(J1211/K1211,0),1.3))),"") </f>
        <v/>
      </c>
      <c r="M1211" s="14">
        <f>IFERROR(IF(OR(J1211=0,K1211=""),"",IF(E1211="Positivo",MAX(K1211/J1211,0),MAX(J1211/K1211,0))),"") </f>
        <v/>
      </c>
      <c r="N1211" s="5" t="inlineStr">
        <is>
          <t>%</t>
        </is>
      </c>
      <c r="O1211" s="5" t="inlineStr">
        <is>
          <t>%</t>
        </is>
      </c>
      <c r="P1211" s="15" t="n">
        <v>0</v>
      </c>
      <c r="Q1211" s="15" t="n">
        <v>0</v>
      </c>
      <c r="R1211" s="5" t="inlineStr">
        <is>
          <t>243-2023-10-31</t>
        </is>
      </c>
    </row>
    <row r="1212">
      <c r="A1212" s="21" t="n">
        <v>243</v>
      </c>
      <c r="B1212" s="5" t="inlineStr">
        <is>
          <t>Cumplimiento de gestión de proyectos control de cambios</t>
        </is>
      </c>
      <c r="C1212" s="5" t="inlineStr">
        <is>
          <t>Gestión de Proyectos</t>
        </is>
      </c>
      <c r="D1212" s="5" t="inlineStr">
        <is>
          <t>Mensual</t>
        </is>
      </c>
      <c r="E1212" s="5" t="inlineStr">
        <is>
          <t>Negativo</t>
        </is>
      </c>
      <c r="F1212" s="107" t="n">
        <v>45260</v>
      </c>
      <c r="G1212" s="5" t="n">
        <v>2023</v>
      </c>
      <c r="H1212" s="5" t="inlineStr">
        <is>
          <t>Noviembre</t>
        </is>
      </c>
      <c r="I1212" s="6" t="inlineStr">
        <is>
          <t>2023-2</t>
        </is>
      </c>
      <c r="J1212" s="5" t="n">
        <v>0</v>
      </c>
      <c r="K1212" s="10" t="n">
        <v>0</v>
      </c>
      <c r="L1212" s="14">
        <f>IFERROR(IF(OR(J1212=0,K1212=""),"",IF(E1212="Positivo",MIN(MAX(K1212/J1212,0),1.3),MIN(MAX(J1212/K1212,0),1.3))),"") </f>
        <v/>
      </c>
      <c r="M1212" s="14">
        <f>IFERROR(IF(OR(J1212=0,K1212=""),"",IF(E1212="Positivo",MAX(K1212/J1212,0),MAX(J1212/K1212,0))),"") </f>
        <v/>
      </c>
      <c r="N1212" s="5" t="inlineStr">
        <is>
          <t>%</t>
        </is>
      </c>
      <c r="O1212" s="5" t="inlineStr">
        <is>
          <t>%</t>
        </is>
      </c>
      <c r="P1212" s="15" t="n">
        <v>0</v>
      </c>
      <c r="Q1212" s="15" t="n">
        <v>0</v>
      </c>
      <c r="R1212" s="5" t="inlineStr">
        <is>
          <t>243-2023-11-30</t>
        </is>
      </c>
    </row>
    <row r="1213">
      <c r="A1213" s="21" t="n">
        <v>243</v>
      </c>
      <c r="B1213" s="5" t="inlineStr">
        <is>
          <t>Cumplimiento de gestión de proyectos control de cambios</t>
        </is>
      </c>
      <c r="C1213" s="5" t="inlineStr">
        <is>
          <t>Gestión de Proyectos</t>
        </is>
      </c>
      <c r="D1213" s="5" t="inlineStr">
        <is>
          <t>Mensual</t>
        </is>
      </c>
      <c r="E1213" s="5" t="inlineStr">
        <is>
          <t>Negativo</t>
        </is>
      </c>
      <c r="F1213" s="106" t="n">
        <v>45291</v>
      </c>
      <c r="G1213" s="5" t="n">
        <v>2023</v>
      </c>
      <c r="H1213" s="5" t="inlineStr">
        <is>
          <t>Diciembre</t>
        </is>
      </c>
      <c r="I1213" s="6" t="inlineStr">
        <is>
          <t>2023-2</t>
        </is>
      </c>
      <c r="J1213" s="5" t="n">
        <v>0</v>
      </c>
      <c r="K1213" s="9" t="n">
        <v>14.29</v>
      </c>
      <c r="L1213" s="14">
        <f>IFERROR(IF(OR(J1213=0,K1213=""),"",IF(E1213="Positivo",MIN(MAX(K1213/J1213,0),1.3),MIN(MAX(J1213/K1213,0),1.3))),"") </f>
        <v/>
      </c>
      <c r="M1213" s="14">
        <f>IFERROR(IF(OR(J1213=0,K1213=""),"",IF(E1213="Positivo",MAX(K1213/J1213,0),MAX(J1213/K1213,0))),"") </f>
        <v/>
      </c>
      <c r="N1213" s="5" t="inlineStr">
        <is>
          <t>%</t>
        </is>
      </c>
      <c r="O1213" s="5" t="inlineStr">
        <is>
          <t>%</t>
        </is>
      </c>
      <c r="P1213" s="15" t="n">
        <v>0</v>
      </c>
      <c r="Q1213" s="15" t="n">
        <v>0</v>
      </c>
      <c r="R1213" s="5" t="inlineStr">
        <is>
          <t>243-2023-12-31</t>
        </is>
      </c>
    </row>
    <row r="1214">
      <c r="A1214" s="26" t="n">
        <v>244</v>
      </c>
      <c r="B1214" s="5" t="inlineStr">
        <is>
          <t>GreenMetric - Nacional</t>
        </is>
      </c>
      <c r="C1214" s="5" t="inlineStr">
        <is>
          <t>GESTIÓN AMBIENTAL</t>
        </is>
      </c>
      <c r="D1214" s="5" t="inlineStr">
        <is>
          <t>Anual</t>
        </is>
      </c>
      <c r="E1214" s="5" t="inlineStr">
        <is>
          <t>Negativo</t>
        </is>
      </c>
      <c r="F1214" s="107" t="n">
        <v>45291</v>
      </c>
      <c r="G1214" s="5" t="n">
        <v>2023</v>
      </c>
      <c r="H1214" s="5" t="inlineStr">
        <is>
          <t>Diciembre</t>
        </is>
      </c>
      <c r="I1214" s="6" t="inlineStr">
        <is>
          <t>2023-2</t>
        </is>
      </c>
      <c r="J1214" s="5" t="n">
        <v>25</v>
      </c>
      <c r="K1214" s="9" t="n">
        <v>24</v>
      </c>
      <c r="L1214" s="14">
        <f>IFERROR(IF(OR(J1214=0,K1214=""),"",IF(E1214="Positivo",MIN(MAX(K1214/J1214,0),1.3),MIN(MAX(J1214/K1214,0),1.3))),"") </f>
        <v/>
      </c>
      <c r="M1214" s="14">
        <f>IFERROR(IF(OR(J1214=0,K1214=""),"",IF(E1214="Positivo",MAX(K1214/J1214,0),MAX(J1214/K1214,0))),"") </f>
        <v/>
      </c>
      <c r="N1214" s="5" t="inlineStr">
        <is>
          <t>ENT</t>
        </is>
      </c>
      <c r="O1214" s="5" t="inlineStr">
        <is>
          <t>ENT</t>
        </is>
      </c>
      <c r="P1214" s="15" t="n">
        <v>0</v>
      </c>
      <c r="Q1214" s="15" t="n">
        <v>0</v>
      </c>
      <c r="R1214" s="5" t="inlineStr">
        <is>
          <t>244-2023-12-31</t>
        </is>
      </c>
    </row>
    <row r="1215">
      <c r="A1215" s="5" t="n">
        <v>244</v>
      </c>
      <c r="B1215" s="5" t="inlineStr">
        <is>
          <t>GreenMetric - Nacional</t>
        </is>
      </c>
      <c r="C1215" s="5" t="inlineStr">
        <is>
          <t>GESTIÓN AMBIENTAL</t>
        </is>
      </c>
      <c r="D1215" s="5" t="inlineStr">
        <is>
          <t>Anual</t>
        </is>
      </c>
      <c r="E1215" s="5" t="inlineStr">
        <is>
          <t>Negativo</t>
        </is>
      </c>
      <c r="F1215" s="107" t="n">
        <v>45657</v>
      </c>
      <c r="G1215" s="5" t="n">
        <v>2024</v>
      </c>
      <c r="H1215" s="5" t="inlineStr">
        <is>
          <t>Diciembre</t>
        </is>
      </c>
      <c r="I1215" s="6" t="inlineStr">
        <is>
          <t>2024-2</t>
        </is>
      </c>
      <c r="J1215" s="5" t="n">
        <v>25</v>
      </c>
      <c r="K1215" s="5" t="n">
        <v>25</v>
      </c>
      <c r="L1215" s="14">
        <f>IFERROR(IF(OR(J1215=0,K1215=""),"",IF(E1215="Positivo",MIN(MAX(K1215/J1215,0),1.3),MIN(MAX(J1215/K1215,0),1.3))),"") </f>
        <v/>
      </c>
      <c r="M1215" s="14">
        <f>IFERROR(IF(OR(J1215=0,K1215=""),"",IF(E1215="Positivo",MAX(K1215/J1215,0),MAX(J1215/K1215,0))),"") </f>
        <v/>
      </c>
      <c r="N1215" s="5" t="n"/>
      <c r="O1215" s="5" t="n"/>
      <c r="P1215" s="5" t="n">
        <v>0</v>
      </c>
      <c r="Q1215" s="5" t="n">
        <v>0</v>
      </c>
      <c r="R1215" s="5" t="inlineStr">
        <is>
          <t>244-2024-12-31</t>
        </is>
      </c>
    </row>
    <row r="1216">
      <c r="A1216" s="21" t="n">
        <v>244</v>
      </c>
      <c r="B1216" s="5" t="inlineStr">
        <is>
          <t>GreenMetric - Nacional</t>
        </is>
      </c>
      <c r="C1216" s="5" t="inlineStr">
        <is>
          <t>GESTIÓN AMBIENTAL</t>
        </is>
      </c>
      <c r="D1216" s="5" t="inlineStr">
        <is>
          <t>Anual</t>
        </is>
      </c>
      <c r="E1216" s="5" t="inlineStr">
        <is>
          <t>Negativo</t>
        </is>
      </c>
      <c r="F1216" s="107" t="n">
        <v>46022</v>
      </c>
      <c r="G1216" s="5" t="n">
        <v>2025</v>
      </c>
      <c r="H1216" s="5" t="inlineStr">
        <is>
          <t>Diciembre</t>
        </is>
      </c>
      <c r="I1216" s="6" t="inlineStr">
        <is>
          <t>2025-2</t>
        </is>
      </c>
      <c r="J1216" s="5" t="n">
        <v>25</v>
      </c>
      <c r="K1216" s="10" t="n">
        <v>13</v>
      </c>
      <c r="L1216" s="14">
        <f>IFERROR(IF(OR(J1216=0,K1216=""),"",IF(E1216="Positivo",MIN(MAX(K1216/J1216,0),1.3),MIN(MAX(J1216/K1216,0),1.3))),"") </f>
        <v/>
      </c>
      <c r="M1216" s="14">
        <f>IFERROR(IF(OR(J1216=0,K1216=""),"",IF(E1216="Positivo",MAX(K1216/J1216,0),MAX(J1216/K1216,0))),"") </f>
        <v/>
      </c>
      <c r="N1216" s="5" t="inlineStr">
        <is>
          <t>ENT</t>
        </is>
      </c>
      <c r="O1216" s="5" t="inlineStr">
        <is>
          <t>ENT</t>
        </is>
      </c>
      <c r="P1216" s="15" t="n">
        <v>0</v>
      </c>
      <c r="Q1216" s="15" t="n">
        <v>0</v>
      </c>
      <c r="R1216" s="5" t="inlineStr">
        <is>
          <t>244-2025-12-31</t>
        </is>
      </c>
    </row>
    <row r="1217">
      <c r="A1217" s="21" t="n">
        <v>245</v>
      </c>
      <c r="B1217" s="5" t="inlineStr">
        <is>
          <t>Permanencia Intersemestral</t>
        </is>
      </c>
      <c r="C1217" s="5" t="inlineStr">
        <is>
          <t>Permanencia</t>
        </is>
      </c>
      <c r="D1217" s="5" t="inlineStr">
        <is>
          <t>Semestral</t>
        </is>
      </c>
      <c r="E1217" s="5" t="inlineStr">
        <is>
          <t>Positivo</t>
        </is>
      </c>
      <c r="F1217" s="106" t="n">
        <v>45107</v>
      </c>
      <c r="G1217" s="5" t="n">
        <v>2023</v>
      </c>
      <c r="H1217" s="5" t="inlineStr">
        <is>
          <t>Junio</t>
        </is>
      </c>
      <c r="I1217" s="6" t="inlineStr">
        <is>
          <t>2023-1</t>
        </is>
      </c>
      <c r="J1217" s="5" t="n">
        <v>87</v>
      </c>
      <c r="K1217" s="9" t="n">
        <v>97.84</v>
      </c>
      <c r="L1217" s="14">
        <f>IFERROR(IF(OR(J1217=0,K1217=""),"",IF(E1217="Positivo",MIN(MAX(K1217/J1217,0),1.3),MIN(MAX(J1217/K1217,0),1.3))),"") </f>
        <v/>
      </c>
      <c r="M1217" s="14">
        <f>IFERROR(IF(OR(J1217=0,K1217=""),"",IF(E1217="Positivo",MAX(K1217/J1217,0),MAX(J1217/K1217,0))),"") </f>
        <v/>
      </c>
      <c r="N1217" s="5" t="inlineStr">
        <is>
          <t>%</t>
        </is>
      </c>
      <c r="O1217" s="5" t="inlineStr">
        <is>
          <t>%</t>
        </is>
      </c>
      <c r="P1217" s="15" t="n">
        <v>0</v>
      </c>
      <c r="Q1217" s="15" t="n">
        <v>0</v>
      </c>
      <c r="R1217" s="5" t="inlineStr">
        <is>
          <t>245-2023-06-30</t>
        </is>
      </c>
    </row>
    <row r="1218">
      <c r="A1218" s="26" t="n">
        <v>245</v>
      </c>
      <c r="B1218" s="5" t="inlineStr">
        <is>
          <t>Permanencia Intersemestral</t>
        </is>
      </c>
      <c r="C1218" s="5" t="inlineStr">
        <is>
          <t>Permanencia</t>
        </is>
      </c>
      <c r="D1218" s="5" t="inlineStr">
        <is>
          <t>Semestral</t>
        </is>
      </c>
      <c r="E1218" s="5" t="inlineStr">
        <is>
          <t>Positivo</t>
        </is>
      </c>
      <c r="F1218" s="107" t="n">
        <v>45291</v>
      </c>
      <c r="G1218" s="5" t="n">
        <v>2023</v>
      </c>
      <c r="H1218" s="5" t="inlineStr">
        <is>
          <t>Diciembre</t>
        </is>
      </c>
      <c r="I1218" s="6" t="inlineStr">
        <is>
          <t>2023-2</t>
        </is>
      </c>
      <c r="J1218" s="5" t="n">
        <v>87</v>
      </c>
      <c r="K1218" s="9" t="n">
        <v>98.14</v>
      </c>
      <c r="L1218" s="14">
        <f>IFERROR(IF(OR(J1218=0,K1218=""),"",IF(E1218="Positivo",MIN(MAX(K1218/J1218,0),1.3),MIN(MAX(J1218/K1218,0),1.3))),"") </f>
        <v/>
      </c>
      <c r="M1218" s="14">
        <f>IFERROR(IF(OR(J1218=0,K1218=""),"",IF(E1218="Positivo",MAX(K1218/J1218,0),MAX(J1218/K1218,0))),"") </f>
        <v/>
      </c>
      <c r="N1218" s="5" t="inlineStr">
        <is>
          <t>%</t>
        </is>
      </c>
      <c r="O1218" s="5" t="inlineStr">
        <is>
          <t>%</t>
        </is>
      </c>
      <c r="P1218" s="15" t="n">
        <v>0</v>
      </c>
      <c r="Q1218" s="15" t="n">
        <v>0</v>
      </c>
      <c r="R1218" s="5" t="inlineStr">
        <is>
          <t>245-2023-12-31</t>
        </is>
      </c>
    </row>
    <row r="1219">
      <c r="A1219" s="5" t="n">
        <v>245</v>
      </c>
      <c r="B1219" s="5" t="inlineStr">
        <is>
          <t>Permanencia Intersemestral</t>
        </is>
      </c>
      <c r="C1219" s="5" t="inlineStr">
        <is>
          <t>Permanencia</t>
        </is>
      </c>
      <c r="D1219" s="5" t="inlineStr">
        <is>
          <t>Semestral</t>
        </is>
      </c>
      <c r="E1219" s="5" t="inlineStr">
        <is>
          <t>Positivo</t>
        </is>
      </c>
      <c r="F1219" s="107" t="n">
        <v>45473</v>
      </c>
      <c r="G1219" s="5" t="n">
        <v>2024</v>
      </c>
      <c r="H1219" s="5" t="inlineStr">
        <is>
          <t>Junio</t>
        </is>
      </c>
      <c r="I1219" s="6" t="inlineStr">
        <is>
          <t>2024-1</t>
        </is>
      </c>
      <c r="J1219" s="5" t="n">
        <v>100</v>
      </c>
      <c r="K1219" s="5" t="n">
        <v>100.15</v>
      </c>
      <c r="L1219" s="14">
        <f>IFERROR(IF(OR(J1219=0,K1219=""),"",IF(E1219="Positivo",MIN(MAX(K1219/J1219,0),1.3),MIN(MAX(J1219/K1219,0),1.3))),"") </f>
        <v/>
      </c>
      <c r="M1219" s="14">
        <f>IFERROR(IF(OR(J1219=0,K1219=""),"",IF(E1219="Positivo",MAX(K1219/J1219,0),MAX(J1219/K1219,0))),"") </f>
        <v/>
      </c>
      <c r="N1219" s="5" t="inlineStr">
        <is>
          <t>%</t>
        </is>
      </c>
      <c r="O1219" s="5" t="inlineStr">
        <is>
          <t>%</t>
        </is>
      </c>
      <c r="P1219" s="5" t="n">
        <v>0</v>
      </c>
      <c r="Q1219" s="5" t="n">
        <v>0</v>
      </c>
      <c r="R1219" s="5" t="inlineStr">
        <is>
          <t>245-2024-06-30</t>
        </is>
      </c>
    </row>
    <row r="1220">
      <c r="A1220" s="21" t="n">
        <v>245</v>
      </c>
      <c r="B1220" s="5" t="inlineStr">
        <is>
          <t>Permanencia Intersemestral</t>
        </is>
      </c>
      <c r="C1220" s="5" t="inlineStr">
        <is>
          <t>Permanencia</t>
        </is>
      </c>
      <c r="D1220" s="5" t="inlineStr">
        <is>
          <t>Semestral</t>
        </is>
      </c>
      <c r="E1220" s="5" t="inlineStr">
        <is>
          <t>Positivo</t>
        </is>
      </c>
      <c r="F1220" s="107" t="n">
        <v>45657</v>
      </c>
      <c r="G1220" s="5" t="n">
        <v>2024</v>
      </c>
      <c r="H1220" s="5" t="inlineStr">
        <is>
          <t>Diciembre</t>
        </is>
      </c>
      <c r="I1220" s="6" t="inlineStr">
        <is>
          <t>2024-2</t>
        </is>
      </c>
      <c r="J1220" s="5" t="n">
        <v>100</v>
      </c>
      <c r="K1220" s="10" t="n">
        <v>100.22</v>
      </c>
      <c r="L1220" s="14">
        <f>IFERROR(IF(OR(J1220=0,K1220=""),"",IF(E1220="Positivo",MIN(MAX(K1220/J1220,0),1.3),MIN(MAX(J1220/K1220,0),1.3))),"") </f>
        <v/>
      </c>
      <c r="M1220" s="14">
        <f>IFERROR(IF(OR(J1220=0,K1220=""),"",IF(E1220="Positivo",MAX(K1220/J1220,0),MAX(J1220/K1220,0))),"") </f>
        <v/>
      </c>
      <c r="N1220" s="5" t="inlineStr">
        <is>
          <t>%</t>
        </is>
      </c>
      <c r="O1220" s="5" t="inlineStr">
        <is>
          <t>%</t>
        </is>
      </c>
      <c r="P1220" s="15" t="n">
        <v>0</v>
      </c>
      <c r="Q1220" s="15" t="n">
        <v>0</v>
      </c>
      <c r="R1220" s="5" t="inlineStr">
        <is>
          <t>245-2024-12-31</t>
        </is>
      </c>
    </row>
    <row r="1221">
      <c r="A1221" s="26" t="n">
        <v>245</v>
      </c>
      <c r="B1221" s="5" t="inlineStr">
        <is>
          <t>Permanencia Intersemestral</t>
        </is>
      </c>
      <c r="C1221" s="5" t="inlineStr">
        <is>
          <t>Permanencia</t>
        </is>
      </c>
      <c r="D1221" s="5" t="inlineStr">
        <is>
          <t>Semestral</t>
        </is>
      </c>
      <c r="E1221" s="5" t="inlineStr">
        <is>
          <t>Positivo</t>
        </is>
      </c>
      <c r="F1221" s="107" t="n">
        <v>45838</v>
      </c>
      <c r="G1221" s="5" t="n">
        <v>2025</v>
      </c>
      <c r="H1221" s="5" t="inlineStr">
        <is>
          <t>Junio</t>
        </is>
      </c>
      <c r="I1221" s="6" t="inlineStr">
        <is>
          <t>2025-1</t>
        </is>
      </c>
      <c r="J1221" s="5" t="n">
        <v>100</v>
      </c>
      <c r="K1221" s="9" t="n">
        <v>100.93</v>
      </c>
      <c r="L1221" s="14">
        <f>IFERROR(IF(OR(J1221=0,K1221=""),"",IF(E1221="Positivo",MIN(MAX(K1221/J1221,0),1.3),MIN(MAX(J1221/K1221,0),1.3))),"") </f>
        <v/>
      </c>
      <c r="M1221" s="14">
        <f>IFERROR(IF(OR(J1221=0,K1221=""),"",IF(E1221="Positivo",MAX(K1221/J1221,0),MAX(J1221/K1221,0))),"") </f>
        <v/>
      </c>
      <c r="N1221" s="5" t="inlineStr">
        <is>
          <t>%</t>
        </is>
      </c>
      <c r="O1221" s="5" t="inlineStr">
        <is>
          <t>%</t>
        </is>
      </c>
      <c r="P1221" s="15" t="n">
        <v>0</v>
      </c>
      <c r="Q1221" s="15" t="n">
        <v>0</v>
      </c>
      <c r="R1221" s="5" t="inlineStr">
        <is>
          <t>245-2025-06-30</t>
        </is>
      </c>
    </row>
    <row r="1222">
      <c r="A1222" s="5" t="n">
        <v>245</v>
      </c>
      <c r="B1222" s="5" t="inlineStr">
        <is>
          <t>Tasa de Permanencia Intersemestral</t>
        </is>
      </c>
      <c r="C1222" s="5" t="inlineStr">
        <is>
          <t>Permanencia</t>
        </is>
      </c>
      <c r="D1222" s="5" t="inlineStr">
        <is>
          <t>Trimestral</t>
        </is>
      </c>
      <c r="E1222" s="5" t="inlineStr">
        <is>
          <t>Positivo</t>
        </is>
      </c>
      <c r="F1222" s="107" t="n">
        <v>46022</v>
      </c>
      <c r="G1222" s="5" t="n">
        <v>2025</v>
      </c>
      <c r="H1222" s="5" t="inlineStr">
        <is>
          <t>Diciembre</t>
        </is>
      </c>
      <c r="I1222" s="6" t="inlineStr">
        <is>
          <t>2025-2</t>
        </is>
      </c>
      <c r="J1222" s="5" t="n">
        <v>100</v>
      </c>
      <c r="K1222" s="5" t="n">
        <v>100.12</v>
      </c>
      <c r="L1222" s="14">
        <f>IFERROR(IF(OR(J1222=0,K1222=""),"",IF(E1222="Positivo",MIN(MAX(K1222/J1222,0),1.3),MIN(MAX(J1222/K1222,0),1.3))),"") </f>
        <v/>
      </c>
      <c r="M1222" s="14">
        <f>IFERROR(IF(OR(J1222=0,K1222=""),"",IF(E1222="Positivo",MAX(K1222/J1222,0),MAX(J1222/K1222,0))),"") </f>
        <v/>
      </c>
      <c r="N1222" s="5" t="inlineStr">
        <is>
          <t>%</t>
        </is>
      </c>
      <c r="O1222" s="5" t="inlineStr">
        <is>
          <t>%</t>
        </is>
      </c>
      <c r="P1222" s="5" t="n">
        <v>1</v>
      </c>
      <c r="Q1222" s="5" t="n">
        <v>1</v>
      </c>
      <c r="R1222" s="5" t="inlineStr">
        <is>
          <t>245-2025-12-31</t>
        </is>
      </c>
    </row>
    <row r="1223">
      <c r="A1223" s="21" t="n">
        <v>246</v>
      </c>
      <c r="B1223" s="5" t="inlineStr">
        <is>
          <t>Satisfacción del proceso de grados</t>
        </is>
      </c>
      <c r="C1223" s="5" t="inlineStr">
        <is>
          <t>Registro y Control</t>
        </is>
      </c>
      <c r="D1223" s="5" t="inlineStr">
        <is>
          <t>Semestral</t>
        </is>
      </c>
      <c r="E1223" s="5" t="inlineStr">
        <is>
          <t>Positivo</t>
        </is>
      </c>
      <c r="F1223" s="106" t="n">
        <v>45291</v>
      </c>
      <c r="G1223" s="5" t="n">
        <v>2023</v>
      </c>
      <c r="H1223" s="5" t="inlineStr">
        <is>
          <t>Diciembre</t>
        </is>
      </c>
      <c r="I1223" s="6" t="inlineStr">
        <is>
          <t>2023-2</t>
        </is>
      </c>
      <c r="J1223" s="5" t="n">
        <v>85</v>
      </c>
      <c r="K1223" s="9" t="n">
        <v>61.4</v>
      </c>
      <c r="L1223" s="14">
        <f>IFERROR(IF(OR(J1223=0,K1223=""),"",IF(E1223="Positivo",MIN(MAX(K1223/J1223,0),1.3),MIN(MAX(J1223/K1223,0),1.3))),"") </f>
        <v/>
      </c>
      <c r="M1223" s="14">
        <f>IFERROR(IF(OR(J1223=0,K1223=""),"",IF(E1223="Positivo",MAX(K1223/J1223,0),MAX(J1223/K1223,0))),"") </f>
        <v/>
      </c>
      <c r="N1223" s="5" t="inlineStr">
        <is>
          <t>%</t>
        </is>
      </c>
      <c r="O1223" s="5" t="inlineStr">
        <is>
          <t>%</t>
        </is>
      </c>
      <c r="P1223" s="15" t="n">
        <v>0</v>
      </c>
      <c r="Q1223" s="15" t="n">
        <v>0</v>
      </c>
      <c r="R1223" s="5" t="inlineStr">
        <is>
          <t>246-2023-12-31</t>
        </is>
      </c>
    </row>
    <row r="1224">
      <c r="A1224" s="26" t="n">
        <v>246</v>
      </c>
      <c r="B1224" s="5" t="inlineStr">
        <is>
          <t>Satisfacción del proceso de grados presencial</t>
        </is>
      </c>
      <c r="C1224" s="5" t="inlineStr">
        <is>
          <t>Registro y Control</t>
        </is>
      </c>
      <c r="D1224" s="5" t="inlineStr">
        <is>
          <t>Semestral</t>
        </is>
      </c>
      <c r="E1224" s="5" t="inlineStr">
        <is>
          <t>Positivo</t>
        </is>
      </c>
      <c r="F1224" s="107" t="n">
        <v>45473</v>
      </c>
      <c r="G1224" s="5" t="n">
        <v>2024</v>
      </c>
      <c r="H1224" s="5" t="inlineStr">
        <is>
          <t>Junio</t>
        </is>
      </c>
      <c r="I1224" s="6" t="inlineStr">
        <is>
          <t>2024-1</t>
        </is>
      </c>
      <c r="J1224" s="5" t="n">
        <v>67.5</v>
      </c>
      <c r="K1224" s="9" t="n">
        <v>92.5</v>
      </c>
      <c r="L1224" s="14">
        <f>IFERROR(IF(OR(J1224=0,K1224=""),"",IF(E1224="Positivo",MIN(MAX(K1224/J1224,0),1.3),MIN(MAX(J1224/K1224,0),1.3))),"") </f>
        <v/>
      </c>
      <c r="M1224" s="14">
        <f>IFERROR(IF(OR(J1224=0,K1224=""),"",IF(E1224="Positivo",MAX(K1224/J1224,0),MAX(J1224/K1224,0))),"") </f>
        <v/>
      </c>
      <c r="N1224" s="5" t="inlineStr">
        <is>
          <t>%</t>
        </is>
      </c>
      <c r="O1224" s="5" t="inlineStr">
        <is>
          <t>%</t>
        </is>
      </c>
      <c r="P1224" s="15" t="n">
        <v>0</v>
      </c>
      <c r="Q1224" s="15" t="n">
        <v>0</v>
      </c>
      <c r="R1224" s="5" t="inlineStr">
        <is>
          <t>246-2024-06-30</t>
        </is>
      </c>
    </row>
    <row r="1225">
      <c r="A1225" s="5" t="n">
        <v>246</v>
      </c>
      <c r="B1225" s="5" t="inlineStr">
        <is>
          <t>Satisfacción del proceso de grados presencial</t>
        </is>
      </c>
      <c r="C1225" s="5" t="inlineStr">
        <is>
          <t>Registro y Control</t>
        </is>
      </c>
      <c r="D1225" s="5" t="inlineStr">
        <is>
          <t>Semestral</t>
        </is>
      </c>
      <c r="E1225" s="5" t="inlineStr">
        <is>
          <t>Positivo</t>
        </is>
      </c>
      <c r="F1225" s="107" t="n">
        <v>45657</v>
      </c>
      <c r="G1225" s="5" t="n">
        <v>2024</v>
      </c>
      <c r="H1225" s="5" t="inlineStr">
        <is>
          <t>Diciembre</t>
        </is>
      </c>
      <c r="I1225" s="6" t="inlineStr">
        <is>
          <t>2024-2</t>
        </is>
      </c>
      <c r="J1225" s="5" t="n">
        <v>67.5</v>
      </c>
      <c r="K1225" s="5" t="n">
        <v>94.40000000000001</v>
      </c>
      <c r="L1225" s="14">
        <f>IFERROR(IF(OR(J1225=0,K1225=""),"",IF(E1225="Positivo",MIN(MAX(K1225/J1225,0),1.3),MIN(MAX(J1225/K1225,0),1.3))),"") </f>
        <v/>
      </c>
      <c r="M1225" s="14">
        <f>IFERROR(IF(OR(J1225=0,K1225=""),"",IF(E1225="Positivo",MAX(K1225/J1225,0),MAX(J1225/K1225,0))),"") </f>
        <v/>
      </c>
      <c r="N1225" s="5" t="inlineStr">
        <is>
          <t>%</t>
        </is>
      </c>
      <c r="O1225" s="5" t="inlineStr">
        <is>
          <t>%</t>
        </is>
      </c>
      <c r="P1225" s="5" t="n">
        <v>0</v>
      </c>
      <c r="Q1225" s="5" t="n">
        <v>0</v>
      </c>
      <c r="R1225" s="5" t="inlineStr">
        <is>
          <t>246-2024-12-31</t>
        </is>
      </c>
    </row>
    <row r="1226">
      <c r="A1226" s="21" t="n">
        <v>246</v>
      </c>
      <c r="B1226" s="5" t="inlineStr">
        <is>
          <t>Satisfacción del proceso de grados presencial</t>
        </is>
      </c>
      <c r="C1226" s="5" t="inlineStr">
        <is>
          <t>Registro y Control</t>
        </is>
      </c>
      <c r="D1226" s="5" t="inlineStr">
        <is>
          <t>Semestral</t>
        </is>
      </c>
      <c r="E1226" s="5" t="inlineStr">
        <is>
          <t>Positivo</t>
        </is>
      </c>
      <c r="F1226" s="107" t="n">
        <v>45838</v>
      </c>
      <c r="G1226" s="5" t="n">
        <v>2025</v>
      </c>
      <c r="H1226" s="5" t="inlineStr">
        <is>
          <t>Junio</t>
        </is>
      </c>
      <c r="I1226" s="6" t="inlineStr">
        <is>
          <t>2025-1</t>
        </is>
      </c>
      <c r="J1226" s="5" t="n">
        <v>90</v>
      </c>
      <c r="K1226" s="10" t="n">
        <v>90.09999999999999</v>
      </c>
      <c r="L1226" s="14">
        <f>IFERROR(IF(OR(J1226=0,K1226=""),"",IF(E1226="Positivo",MIN(MAX(K1226/J1226,0),1.3),MIN(MAX(J1226/K1226,0),1.3))),"") </f>
        <v/>
      </c>
      <c r="M1226" s="14">
        <f>IFERROR(IF(OR(J1226=0,K1226=""),"",IF(E1226="Positivo",MAX(K1226/J1226,0),MAX(J1226/K1226,0))),"") </f>
        <v/>
      </c>
      <c r="N1226" s="5" t="inlineStr">
        <is>
          <t>%</t>
        </is>
      </c>
      <c r="O1226" s="5" t="inlineStr">
        <is>
          <t>%</t>
        </is>
      </c>
      <c r="P1226" s="15" t="n">
        <v>0</v>
      </c>
      <c r="Q1226" s="15" t="n">
        <v>0</v>
      </c>
      <c r="R1226" s="5" t="inlineStr">
        <is>
          <t>246-2025-06-30</t>
        </is>
      </c>
    </row>
    <row r="1227">
      <c r="A1227" s="21" t="n">
        <v>246</v>
      </c>
      <c r="B1227" s="5" t="inlineStr">
        <is>
          <t>Satisfacción del proceso de grados presencial</t>
        </is>
      </c>
      <c r="C1227" s="5" t="inlineStr">
        <is>
          <t>Registro y Control</t>
        </is>
      </c>
      <c r="D1227" s="5" t="inlineStr">
        <is>
          <t>Trimestral</t>
        </is>
      </c>
      <c r="E1227" s="5" t="inlineStr">
        <is>
          <t>Positivo</t>
        </is>
      </c>
      <c r="F1227" s="106" t="n">
        <v>46022</v>
      </c>
      <c r="G1227" s="5" t="n">
        <v>2025</v>
      </c>
      <c r="H1227" s="5" t="inlineStr">
        <is>
          <t>Diciembre</t>
        </is>
      </c>
      <c r="I1227" s="6" t="inlineStr">
        <is>
          <t>2025-2</t>
        </is>
      </c>
      <c r="J1227" s="5" t="n">
        <v>90</v>
      </c>
      <c r="K1227" s="9" t="n">
        <v>92.7</v>
      </c>
      <c r="L1227" s="14">
        <f>IFERROR(IF(OR(J1227=0,K1227=""),"",IF(E1227="Positivo",MIN(MAX(K1227/J1227,0),1.3),MIN(MAX(J1227/K1227,0),1.3))),"") </f>
        <v/>
      </c>
      <c r="M1227" s="14">
        <f>IFERROR(IF(OR(J1227=0,K1227=""),"",IF(E1227="Positivo",MAX(K1227/J1227,0),MAX(J1227/K1227,0))),"") </f>
        <v/>
      </c>
      <c r="N1227" s="11" t="inlineStr">
        <is>
          <t>%</t>
        </is>
      </c>
      <c r="O1227" s="5" t="inlineStr">
        <is>
          <t>%</t>
        </is>
      </c>
      <c r="P1227" s="15" t="n">
        <v>0</v>
      </c>
      <c r="Q1227" s="15" t="n">
        <v>0</v>
      </c>
      <c r="R1227" s="5" t="inlineStr">
        <is>
          <t>246-2025-12-31</t>
        </is>
      </c>
    </row>
    <row r="1228">
      <c r="A1228" s="26" t="n">
        <v>247</v>
      </c>
      <c r="B1228" s="5" t="inlineStr">
        <is>
          <t>Solicitud de certificados</t>
        </is>
      </c>
      <c r="C1228" s="5" t="inlineStr">
        <is>
          <t>Registro y Control</t>
        </is>
      </c>
      <c r="D1228" s="5" t="inlineStr">
        <is>
          <t>Mensual</t>
        </is>
      </c>
      <c r="E1228" s="5" t="inlineStr">
        <is>
          <t>Positivo</t>
        </is>
      </c>
      <c r="F1228" s="107" t="n">
        <v>44957</v>
      </c>
      <c r="G1228" s="5" t="n">
        <v>2023</v>
      </c>
      <c r="H1228" s="5" t="inlineStr">
        <is>
          <t>Enero</t>
        </is>
      </c>
      <c r="I1228" s="6" t="inlineStr">
        <is>
          <t>2023-1</t>
        </is>
      </c>
      <c r="J1228" s="5" t="n"/>
      <c r="K1228" s="9" t="n">
        <v>75.64023765621801</v>
      </c>
      <c r="L1228" s="14" t="n"/>
      <c r="M1228" s="14" t="n"/>
      <c r="N1228" s="5" t="inlineStr">
        <is>
          <t>Linea Base</t>
        </is>
      </c>
      <c r="O1228" s="5" t="inlineStr">
        <is>
          <t>%</t>
        </is>
      </c>
      <c r="P1228" s="15" t="n">
        <v>0</v>
      </c>
      <c r="Q1228" s="15" t="n">
        <v>0</v>
      </c>
      <c r="R1228" s="5" t="inlineStr">
        <is>
          <t>247-2023-01-31</t>
        </is>
      </c>
    </row>
    <row r="1229">
      <c r="A1229" s="5" t="n">
        <v>247</v>
      </c>
      <c r="B1229" s="5" t="inlineStr">
        <is>
          <t>Solicitud de certificados</t>
        </is>
      </c>
      <c r="C1229" s="5" t="inlineStr">
        <is>
          <t>Registro y Control</t>
        </is>
      </c>
      <c r="D1229" s="5" t="inlineStr">
        <is>
          <t>Mensual</t>
        </is>
      </c>
      <c r="E1229" s="5" t="inlineStr">
        <is>
          <t>Positivo</t>
        </is>
      </c>
      <c r="F1229" s="107" t="n">
        <v>44985</v>
      </c>
      <c r="G1229" s="5" t="n">
        <v>2023</v>
      </c>
      <c r="H1229" s="5" t="inlineStr">
        <is>
          <t>Febrero</t>
        </is>
      </c>
      <c r="I1229" s="6" t="inlineStr">
        <is>
          <t>2023-1</t>
        </is>
      </c>
      <c r="J1229" s="5" t="n"/>
      <c r="K1229" s="5" t="n">
        <v>71.28712871287129</v>
      </c>
      <c r="L1229" s="14" t="n"/>
      <c r="M1229" s="14" t="n"/>
      <c r="N1229" s="5" t="inlineStr">
        <is>
          <t>Linea Base</t>
        </is>
      </c>
      <c r="O1229" s="5" t="inlineStr">
        <is>
          <t>%</t>
        </is>
      </c>
      <c r="P1229" s="5" t="n">
        <v>0</v>
      </c>
      <c r="Q1229" s="5" t="n">
        <v>0</v>
      </c>
      <c r="R1229" s="5" t="inlineStr">
        <is>
          <t>247-2023-02-28</t>
        </is>
      </c>
    </row>
    <row r="1230">
      <c r="A1230" s="21" t="n">
        <v>247</v>
      </c>
      <c r="B1230" s="5" t="inlineStr">
        <is>
          <t>Solicitud de certificados</t>
        </is>
      </c>
      <c r="C1230" s="5" t="inlineStr">
        <is>
          <t>Registro y Control</t>
        </is>
      </c>
      <c r="D1230" s="5" t="inlineStr">
        <is>
          <t>Mensual</t>
        </is>
      </c>
      <c r="E1230" s="5" t="inlineStr">
        <is>
          <t>Positivo</t>
        </is>
      </c>
      <c r="F1230" s="107" t="n">
        <v>45016</v>
      </c>
      <c r="G1230" s="5" t="n">
        <v>2023</v>
      </c>
      <c r="H1230" s="5" t="inlineStr">
        <is>
          <t>Marzo</t>
        </is>
      </c>
      <c r="I1230" s="6" t="inlineStr">
        <is>
          <t>2023-1</t>
        </is>
      </c>
      <c r="J1230" s="5" t="n"/>
      <c r="K1230" s="10" t="n">
        <v>71.01731601731601</v>
      </c>
      <c r="L1230" s="14" t="n"/>
      <c r="M1230" s="14" t="n"/>
      <c r="N1230" s="5" t="inlineStr">
        <is>
          <t>Linea Base</t>
        </is>
      </c>
      <c r="O1230" s="5" t="inlineStr">
        <is>
          <t>%</t>
        </is>
      </c>
      <c r="P1230" s="15" t="n">
        <v>0</v>
      </c>
      <c r="Q1230" s="15" t="n">
        <v>0</v>
      </c>
      <c r="R1230" s="5" t="inlineStr">
        <is>
          <t>247-2023-03-31</t>
        </is>
      </c>
    </row>
    <row r="1231">
      <c r="A1231" s="21" t="n">
        <v>247</v>
      </c>
      <c r="B1231" s="5" t="inlineStr">
        <is>
          <t>Solicitud de certificados</t>
        </is>
      </c>
      <c r="C1231" s="5" t="inlineStr">
        <is>
          <t>Registro y Control</t>
        </is>
      </c>
      <c r="D1231" s="5" t="inlineStr">
        <is>
          <t>Mensual</t>
        </is>
      </c>
      <c r="E1231" s="5" t="inlineStr">
        <is>
          <t>Positivo</t>
        </is>
      </c>
      <c r="F1231" s="106" t="n">
        <v>45046</v>
      </c>
      <c r="G1231" s="5" t="n">
        <v>2023</v>
      </c>
      <c r="H1231" s="5" t="inlineStr">
        <is>
          <t>Abril</t>
        </is>
      </c>
      <c r="I1231" s="6" t="inlineStr">
        <is>
          <t>2023-1</t>
        </is>
      </c>
      <c r="J1231" s="5" t="n"/>
      <c r="K1231" s="9" t="n">
        <v>74.075723830735</v>
      </c>
      <c r="L1231" s="14" t="n"/>
      <c r="M1231" s="14" t="n"/>
      <c r="N1231" s="5" t="inlineStr">
        <is>
          <t>Linea Base</t>
        </is>
      </c>
      <c r="O1231" s="5" t="inlineStr">
        <is>
          <t>%</t>
        </is>
      </c>
      <c r="P1231" s="15" t="n">
        <v>0</v>
      </c>
      <c r="Q1231" s="15" t="n">
        <v>0</v>
      </c>
      <c r="R1231" s="5" t="inlineStr">
        <is>
          <t>247-2023-04-30</t>
        </is>
      </c>
    </row>
    <row r="1232">
      <c r="A1232" s="5" t="n">
        <v>247</v>
      </c>
      <c r="B1232" s="5" t="inlineStr">
        <is>
          <t>Solicitud de certificados</t>
        </is>
      </c>
      <c r="C1232" s="5" t="inlineStr">
        <is>
          <t>Registro y Control</t>
        </is>
      </c>
      <c r="D1232" s="5" t="inlineStr">
        <is>
          <t>Mensual</t>
        </is>
      </c>
      <c r="E1232" s="5" t="inlineStr">
        <is>
          <t>Positivo</t>
        </is>
      </c>
      <c r="F1232" s="107" t="n">
        <v>45077</v>
      </c>
      <c r="G1232" s="5" t="n">
        <v>2023</v>
      </c>
      <c r="H1232" s="5" t="inlineStr">
        <is>
          <t>Mayo</t>
        </is>
      </c>
      <c r="I1232" s="6" t="inlineStr">
        <is>
          <t>2023-1</t>
        </is>
      </c>
      <c r="J1232" s="5" t="n"/>
      <c r="K1232" s="9" t="n">
        <v>70.167903162827</v>
      </c>
      <c r="L1232" s="14" t="n"/>
      <c r="M1232" s="14" t="n"/>
      <c r="N1232" s="5" t="inlineStr">
        <is>
          <t>Linea Base</t>
        </is>
      </c>
      <c r="O1232" s="5" t="inlineStr">
        <is>
          <t>%</t>
        </is>
      </c>
      <c r="P1232" s="15" t="n">
        <v>0</v>
      </c>
      <c r="Q1232" s="15" t="n">
        <v>0</v>
      </c>
      <c r="R1232" s="5" t="inlineStr">
        <is>
          <t>247-2023-05-31</t>
        </is>
      </c>
    </row>
    <row r="1233">
      <c r="A1233" s="5" t="n">
        <v>247</v>
      </c>
      <c r="B1233" s="5" t="inlineStr">
        <is>
          <t>Solicitud de certificados</t>
        </is>
      </c>
      <c r="C1233" s="5" t="inlineStr">
        <is>
          <t>Registro y Control</t>
        </is>
      </c>
      <c r="D1233" s="5" t="inlineStr">
        <is>
          <t>Mensual</t>
        </is>
      </c>
      <c r="E1233" s="5" t="inlineStr">
        <is>
          <t>Positivo</t>
        </is>
      </c>
      <c r="F1233" s="107" t="n">
        <v>45107</v>
      </c>
      <c r="G1233" s="5" t="n">
        <v>2023</v>
      </c>
      <c r="H1233" s="5" t="inlineStr">
        <is>
          <t>Junio</t>
        </is>
      </c>
      <c r="I1233" s="6" t="inlineStr">
        <is>
          <t>2023-1</t>
        </is>
      </c>
      <c r="J1233" s="5" t="n"/>
      <c r="K1233" s="5" t="n">
        <v>61.0823853843502</v>
      </c>
      <c r="L1233" s="14" t="n"/>
      <c r="M1233" s="14" t="n"/>
      <c r="N1233" s="5" t="inlineStr">
        <is>
          <t>Linea Base</t>
        </is>
      </c>
      <c r="O1233" s="5" t="inlineStr">
        <is>
          <t>%</t>
        </is>
      </c>
      <c r="P1233" s="5" t="n">
        <v>0</v>
      </c>
      <c r="Q1233" s="5" t="n">
        <v>0</v>
      </c>
      <c r="R1233" s="5" t="inlineStr">
        <is>
          <t>247-2023-06-30</t>
        </is>
      </c>
    </row>
    <row r="1234">
      <c r="A1234" s="21" t="n">
        <v>247</v>
      </c>
      <c r="B1234" s="5" t="inlineStr">
        <is>
          <t>Solicitud de certificados</t>
        </is>
      </c>
      <c r="C1234" s="5" t="inlineStr">
        <is>
          <t>Registro y Control</t>
        </is>
      </c>
      <c r="D1234" s="5" t="inlineStr">
        <is>
          <t>Mensual</t>
        </is>
      </c>
      <c r="E1234" s="5" t="inlineStr">
        <is>
          <t>Positivo</t>
        </is>
      </c>
      <c r="F1234" s="107" t="n">
        <v>45138</v>
      </c>
      <c r="G1234" s="5" t="n">
        <v>2023</v>
      </c>
      <c r="H1234" s="5" t="inlineStr">
        <is>
          <t>Julio</t>
        </is>
      </c>
      <c r="I1234" s="6" t="inlineStr">
        <is>
          <t>2023-2</t>
        </is>
      </c>
      <c r="J1234" s="5" t="n"/>
      <c r="K1234" s="10" t="n">
        <v>75.552362134004</v>
      </c>
      <c r="L1234" s="14" t="n"/>
      <c r="M1234" s="14" t="n"/>
      <c r="N1234" s="5" t="inlineStr">
        <is>
          <t>Linea Base</t>
        </is>
      </c>
      <c r="O1234" s="5" t="inlineStr">
        <is>
          <t>%</t>
        </is>
      </c>
      <c r="P1234" s="15" t="n">
        <v>0</v>
      </c>
      <c r="Q1234" s="15" t="n">
        <v>0</v>
      </c>
      <c r="R1234" s="5" t="inlineStr">
        <is>
          <t>247-2023-07-31</t>
        </is>
      </c>
    </row>
    <row r="1235">
      <c r="A1235" s="58" t="n">
        <v>247</v>
      </c>
      <c r="B1235" s="85" t="inlineStr">
        <is>
          <t>Solicitud de certificados</t>
        </is>
      </c>
      <c r="C1235" s="85" t="inlineStr">
        <is>
          <t>Registro y Control</t>
        </is>
      </c>
      <c r="D1235" s="85" t="inlineStr">
        <is>
          <t>Mensual</t>
        </is>
      </c>
      <c r="E1235" s="85" t="inlineStr">
        <is>
          <t>Positivo</t>
        </is>
      </c>
      <c r="F1235" s="110" t="n">
        <v>45169</v>
      </c>
      <c r="G1235" s="85" t="n">
        <v>2023</v>
      </c>
      <c r="H1235" s="85" t="inlineStr">
        <is>
          <t>Agosto</t>
        </is>
      </c>
      <c r="I1235" s="56" t="inlineStr">
        <is>
          <t>2023-2</t>
        </is>
      </c>
      <c r="J1235" s="85" t="n"/>
      <c r="K1235" s="59" t="n">
        <v>70.64</v>
      </c>
      <c r="L1235" s="14" t="n"/>
      <c r="M1235" s="55" t="n"/>
      <c r="N1235" s="85" t="inlineStr">
        <is>
          <t>Linea Base</t>
        </is>
      </c>
      <c r="O1235" s="85" t="inlineStr">
        <is>
          <t>%</t>
        </is>
      </c>
      <c r="P1235" s="57" t="n">
        <v>0</v>
      </c>
      <c r="Q1235" s="57" t="n">
        <v>0</v>
      </c>
      <c r="R1235" s="85" t="inlineStr">
        <is>
          <t>247-2023-08-31</t>
        </is>
      </c>
    </row>
    <row r="1236">
      <c r="A1236" s="5" t="n">
        <v>247</v>
      </c>
      <c r="B1236" s="5" t="inlineStr">
        <is>
          <t>Solicitud de certificados</t>
        </is>
      </c>
      <c r="C1236" s="5" t="inlineStr">
        <is>
          <t>Registro y Control</t>
        </is>
      </c>
      <c r="D1236" s="5" t="inlineStr">
        <is>
          <t>Mensual</t>
        </is>
      </c>
      <c r="E1236" s="5" t="inlineStr">
        <is>
          <t>Positivo</t>
        </is>
      </c>
      <c r="F1236" s="107" t="n">
        <v>45199</v>
      </c>
      <c r="G1236" s="5" t="n">
        <v>2023</v>
      </c>
      <c r="H1236" s="5" t="inlineStr">
        <is>
          <t>Septiembre</t>
        </is>
      </c>
      <c r="I1236" s="6" t="inlineStr">
        <is>
          <t>2023-2</t>
        </is>
      </c>
      <c r="J1236" s="5" t="n"/>
      <c r="K1236" s="9" t="n">
        <v>67.14</v>
      </c>
      <c r="L1236" s="14" t="n"/>
      <c r="M1236" s="55" t="n"/>
      <c r="N1236" s="5" t="inlineStr">
        <is>
          <t>Linea Base</t>
        </is>
      </c>
      <c r="O1236" s="5" t="inlineStr">
        <is>
          <t>%</t>
        </is>
      </c>
      <c r="P1236" s="15" t="n">
        <v>0</v>
      </c>
      <c r="Q1236" s="15" t="n">
        <v>0</v>
      </c>
      <c r="R1236" s="5" t="inlineStr">
        <is>
          <t>247-2023-09-30</t>
        </is>
      </c>
    </row>
    <row r="1237">
      <c r="A1237" s="5" t="n">
        <v>247</v>
      </c>
      <c r="B1237" s="5" t="inlineStr">
        <is>
          <t>Solicitud de certificados</t>
        </is>
      </c>
      <c r="C1237" s="5" t="inlineStr">
        <is>
          <t>Registro y Control</t>
        </is>
      </c>
      <c r="D1237" s="5" t="inlineStr">
        <is>
          <t>Mensual</t>
        </is>
      </c>
      <c r="E1237" s="5" t="inlineStr">
        <is>
          <t>Positivo</t>
        </is>
      </c>
      <c r="F1237" s="107" t="n">
        <v>45230</v>
      </c>
      <c r="G1237" s="5" t="n">
        <v>2023</v>
      </c>
      <c r="H1237" s="5" t="inlineStr">
        <is>
          <t>Octubre</t>
        </is>
      </c>
      <c r="I1237" s="6" t="inlineStr">
        <is>
          <t>2023-2</t>
        </is>
      </c>
      <c r="J1237" s="5" t="n"/>
      <c r="K1237" s="5" t="n">
        <v>65.84999999999999</v>
      </c>
      <c r="L1237" s="14" t="n"/>
      <c r="M1237" s="55" t="n"/>
      <c r="N1237" s="5" t="inlineStr">
        <is>
          <t>Linea Base</t>
        </is>
      </c>
      <c r="O1237" s="5" t="inlineStr">
        <is>
          <t>%</t>
        </is>
      </c>
      <c r="P1237" s="5" t="n">
        <v>0</v>
      </c>
      <c r="Q1237" s="5" t="n">
        <v>0</v>
      </c>
      <c r="R1237" s="5" t="inlineStr">
        <is>
          <t>247-2023-10-31</t>
        </is>
      </c>
    </row>
    <row r="1238">
      <c r="A1238" s="21" t="n">
        <v>247</v>
      </c>
      <c r="B1238" s="5" t="inlineStr">
        <is>
          <t>Solicitud de certificados</t>
        </is>
      </c>
      <c r="C1238" s="5" t="inlineStr">
        <is>
          <t>Registro y Control</t>
        </is>
      </c>
      <c r="D1238" s="5" t="inlineStr">
        <is>
          <t>Mensual</t>
        </is>
      </c>
      <c r="E1238" s="5" t="inlineStr">
        <is>
          <t>Positivo</t>
        </is>
      </c>
      <c r="F1238" s="107" t="n">
        <v>45260</v>
      </c>
      <c r="G1238" s="5" t="n">
        <v>2023</v>
      </c>
      <c r="H1238" s="5" t="inlineStr">
        <is>
          <t>Noviembre</t>
        </is>
      </c>
      <c r="I1238" s="6" t="inlineStr">
        <is>
          <t>2023-2</t>
        </is>
      </c>
      <c r="J1238" s="5" t="n"/>
      <c r="K1238" s="10" t="n">
        <v>65.47</v>
      </c>
      <c r="L1238" s="14" t="n"/>
      <c r="M1238" s="55" t="n"/>
      <c r="N1238" s="5" t="inlineStr">
        <is>
          <t>Linea Base</t>
        </is>
      </c>
      <c r="O1238" s="5" t="inlineStr">
        <is>
          <t>%</t>
        </is>
      </c>
      <c r="P1238" s="15" t="n">
        <v>0</v>
      </c>
      <c r="Q1238" s="15" t="n">
        <v>0</v>
      </c>
      <c r="R1238" s="5" t="inlineStr">
        <is>
          <t>247-2023-11-30</t>
        </is>
      </c>
    </row>
    <row r="1239">
      <c r="A1239" s="21" t="n">
        <v>247</v>
      </c>
      <c r="B1239" s="5" t="inlineStr">
        <is>
          <t>Solicitud de certificados</t>
        </is>
      </c>
      <c r="C1239" s="5" t="inlineStr">
        <is>
          <t>Registro y Control</t>
        </is>
      </c>
      <c r="D1239" s="5" t="inlineStr">
        <is>
          <t>Mensual</t>
        </is>
      </c>
      <c r="E1239" s="5" t="inlineStr">
        <is>
          <t>Positivo</t>
        </is>
      </c>
      <c r="F1239" s="106" t="n">
        <v>45291</v>
      </c>
      <c r="G1239" s="5" t="n">
        <v>2023</v>
      </c>
      <c r="H1239" s="5" t="inlineStr">
        <is>
          <t>Diciembre</t>
        </is>
      </c>
      <c r="I1239" s="6" t="inlineStr">
        <is>
          <t>2023-2</t>
        </is>
      </c>
      <c r="J1239" s="5" t="n"/>
      <c r="K1239" s="9" t="n">
        <v>69.86</v>
      </c>
      <c r="L1239" s="14" t="n"/>
      <c r="M1239" s="14" t="n"/>
      <c r="N1239" s="5" t="inlineStr">
        <is>
          <t>Linea Base</t>
        </is>
      </c>
      <c r="O1239" s="5" t="inlineStr">
        <is>
          <t>%</t>
        </is>
      </c>
      <c r="P1239" s="15" t="n">
        <v>0</v>
      </c>
      <c r="Q1239" s="15" t="n">
        <v>0</v>
      </c>
      <c r="R1239" s="5" t="inlineStr">
        <is>
          <t>247-2023-12-31</t>
        </is>
      </c>
    </row>
    <row r="1240">
      <c r="A1240" s="26" t="n">
        <v>248</v>
      </c>
      <c r="B1240" s="5" t="inlineStr">
        <is>
          <t>Programas con reforzamiento curricular</t>
        </is>
      </c>
      <c r="C1240" s="5" t="inlineStr">
        <is>
          <t>Gestión, Evaluación e Innovación Curricular</t>
        </is>
      </c>
      <c r="D1240" s="5" t="inlineStr">
        <is>
          <t>Semestral</t>
        </is>
      </c>
      <c r="E1240" s="5" t="inlineStr">
        <is>
          <t>Positivo</t>
        </is>
      </c>
      <c r="F1240" s="107" t="n">
        <v>45107</v>
      </c>
      <c r="G1240" s="5" t="n">
        <v>2023</v>
      </c>
      <c r="H1240" s="5" t="inlineStr">
        <is>
          <t>Junio</t>
        </is>
      </c>
      <c r="I1240" s="6" t="inlineStr">
        <is>
          <t>2023-1</t>
        </is>
      </c>
      <c r="J1240" s="5" t="n">
        <v>27</v>
      </c>
      <c r="K1240" s="9" t="n">
        <v>27</v>
      </c>
      <c r="L1240" s="14">
        <f>IFERROR(IF(OR(J1240=0,K1240=""),"",IF(E1240="Positivo",MIN(MAX(K1240/J1240,0),1.3),MIN(MAX(J1240/K1240,0),1.3))),"") </f>
        <v/>
      </c>
      <c r="M1240" s="14">
        <f>IFERROR(IF(OR(J1240=0,K1240=""),"",IF(E1240="Positivo",MAX(K1240/J1240,0),MAX(J1240/K1240,0))),"") </f>
        <v/>
      </c>
      <c r="N1240" s="5" t="inlineStr">
        <is>
          <t>Linea Base</t>
        </is>
      </c>
      <c r="O1240" s="5" t="inlineStr">
        <is>
          <t>%</t>
        </is>
      </c>
      <c r="P1240" s="15" t="n">
        <v>0</v>
      </c>
      <c r="Q1240" s="15" t="n">
        <v>0</v>
      </c>
      <c r="R1240" s="5" t="inlineStr">
        <is>
          <t>248-2023-06-30</t>
        </is>
      </c>
    </row>
    <row r="1241">
      <c r="A1241" s="5" t="n">
        <v>248</v>
      </c>
      <c r="B1241" s="5" t="inlineStr">
        <is>
          <t>Programas con reforzamiento curricular</t>
        </is>
      </c>
      <c r="C1241" s="5" t="inlineStr">
        <is>
          <t>Gestión, Evaluación e Innovación Curricular</t>
        </is>
      </c>
      <c r="D1241" s="5" t="inlineStr">
        <is>
          <t>Semestral</t>
        </is>
      </c>
      <c r="E1241" s="5" t="inlineStr">
        <is>
          <t>Positivo</t>
        </is>
      </c>
      <c r="F1241" s="107" t="n">
        <v>45291</v>
      </c>
      <c r="G1241" s="5" t="n">
        <v>2023</v>
      </c>
      <c r="H1241" s="5" t="inlineStr">
        <is>
          <t>Diciembre</t>
        </is>
      </c>
      <c r="I1241" s="6" t="inlineStr">
        <is>
          <t>2023-2</t>
        </is>
      </c>
      <c r="J1241" s="5" t="n">
        <v>17</v>
      </c>
      <c r="K1241" s="5" t="n">
        <v>17</v>
      </c>
      <c r="L1241" s="14">
        <f>IFERROR(IF(OR(J1241=0,K1241=""),"",IF(E1241="Positivo",MIN(MAX(K1241/J1241,0),1.3),MIN(MAX(J1241/K1241,0),1.3))),"") </f>
        <v/>
      </c>
      <c r="M1241" s="14">
        <f>IFERROR(IF(OR(J1241=0,K1241=""),"",IF(E1241="Positivo",MAX(K1241/J1241,0),MAX(J1241/K1241,0))),"") </f>
        <v/>
      </c>
      <c r="N1241" s="5" t="inlineStr">
        <is>
          <t>Linea Base</t>
        </is>
      </c>
      <c r="O1241" s="5" t="inlineStr">
        <is>
          <t>%</t>
        </is>
      </c>
      <c r="P1241" s="5" t="n">
        <v>0</v>
      </c>
      <c r="Q1241" s="5" t="n">
        <v>0</v>
      </c>
      <c r="R1241" s="5" t="inlineStr">
        <is>
          <t>248-2023-12-31</t>
        </is>
      </c>
    </row>
    <row r="1242">
      <c r="A1242" s="21" t="n">
        <v>249</v>
      </c>
      <c r="B1242" s="5" t="inlineStr">
        <is>
          <t>Programas con matriz de resultado de aprendizaje</t>
        </is>
      </c>
      <c r="C1242" s="5" t="inlineStr">
        <is>
          <t>Gestión, Evaluación e Innovación Curricular</t>
        </is>
      </c>
      <c r="D1242" s="5" t="inlineStr">
        <is>
          <t>Semestral</t>
        </is>
      </c>
      <c r="E1242" s="5" t="inlineStr">
        <is>
          <t>Positivo</t>
        </is>
      </c>
      <c r="F1242" s="107" t="n">
        <v>45107</v>
      </c>
      <c r="G1242" s="5" t="n">
        <v>2023</v>
      </c>
      <c r="H1242" s="5" t="inlineStr">
        <is>
          <t>Junio</t>
        </is>
      </c>
      <c r="I1242" s="6" t="inlineStr">
        <is>
          <t>2023-1</t>
        </is>
      </c>
      <c r="J1242" s="5" t="n">
        <v>72</v>
      </c>
      <c r="K1242" s="10" t="n">
        <v>72</v>
      </c>
      <c r="L1242" s="14">
        <f>IFERROR(IF(OR(J1242=0,K1242=""),"",IF(E1242="Positivo",MIN(MAX(K1242/J1242,0),1.3),MIN(MAX(J1242/K1242,0),1.3))),"") </f>
        <v/>
      </c>
      <c r="M1242" s="14">
        <f>IFERROR(IF(OR(J1242=0,K1242=""),"",IF(E1242="Positivo",MAX(K1242/J1242,0),MAX(J1242/K1242,0))),"") </f>
        <v/>
      </c>
      <c r="N1242" s="5" t="inlineStr">
        <is>
          <t>Linea Base</t>
        </is>
      </c>
      <c r="O1242" s="5" t="inlineStr">
        <is>
          <t>%</t>
        </is>
      </c>
      <c r="P1242" s="15" t="n">
        <v>0</v>
      </c>
      <c r="Q1242" s="15" t="n">
        <v>0</v>
      </c>
      <c r="R1242" s="5" t="inlineStr">
        <is>
          <t>249-2023-06-30</t>
        </is>
      </c>
    </row>
    <row r="1243">
      <c r="A1243" s="26" t="n">
        <v>249</v>
      </c>
      <c r="B1243" s="5" t="inlineStr">
        <is>
          <t>Programas con matriz de resultado de aprendizaje</t>
        </is>
      </c>
      <c r="C1243" s="5" t="inlineStr">
        <is>
          <t>Gestión, Evaluación e Innovación Curricular</t>
        </is>
      </c>
      <c r="D1243" s="5" t="inlineStr">
        <is>
          <t>Semestral</t>
        </is>
      </c>
      <c r="E1243" s="5" t="inlineStr">
        <is>
          <t>Positivo</t>
        </is>
      </c>
      <c r="F1243" s="107" t="n">
        <v>45291</v>
      </c>
      <c r="G1243" s="5" t="n">
        <v>2023</v>
      </c>
      <c r="H1243" s="5" t="inlineStr">
        <is>
          <t>Diciembre</t>
        </is>
      </c>
      <c r="I1243" s="6" t="inlineStr">
        <is>
          <t>2023-2</t>
        </is>
      </c>
      <c r="J1243" s="5" t="n">
        <v>26</v>
      </c>
      <c r="K1243" s="9" t="n">
        <v>26</v>
      </c>
      <c r="L1243" s="14">
        <f>IFERROR(IF(OR(J1243=0,K1243=""),"",IF(E1243="Positivo",MIN(MAX(K1243/J1243,0),1.3),MIN(MAX(J1243/K1243,0),1.3))),"") </f>
        <v/>
      </c>
      <c r="M1243" s="14">
        <f>IFERROR(IF(OR(J1243=0,K1243=""),"",IF(E1243="Positivo",MAX(K1243/J1243,0),MAX(J1243/K1243,0))),"") </f>
        <v/>
      </c>
      <c r="N1243" s="5" t="inlineStr">
        <is>
          <t>Linea Base</t>
        </is>
      </c>
      <c r="O1243" s="5" t="inlineStr">
        <is>
          <t>%</t>
        </is>
      </c>
      <c r="P1243" s="15" t="n">
        <v>0</v>
      </c>
      <c r="Q1243" s="15" t="n">
        <v>0</v>
      </c>
      <c r="R1243" s="5" t="inlineStr">
        <is>
          <t>249-2023-12-31</t>
        </is>
      </c>
    </row>
    <row r="1244">
      <c r="A1244" s="21" t="n">
        <v>251</v>
      </c>
      <c r="B1244" s="5" t="inlineStr">
        <is>
          <t>Subprocesos Con CMI Estructurado</t>
        </is>
      </c>
      <c r="C1244" s="5" t="inlineStr">
        <is>
          <t>Desempeño Institucional</t>
        </is>
      </c>
      <c r="D1244" s="5" t="inlineStr">
        <is>
          <t>Trimestral</t>
        </is>
      </c>
      <c r="E1244" s="5" t="inlineStr">
        <is>
          <t>Positivo</t>
        </is>
      </c>
      <c r="F1244" s="107" t="n">
        <v>45107</v>
      </c>
      <c r="G1244" s="5" t="n">
        <v>2023</v>
      </c>
      <c r="H1244" s="5" t="inlineStr">
        <is>
          <t>Junio</t>
        </is>
      </c>
      <c r="I1244" s="6" t="inlineStr">
        <is>
          <t>2023-1</t>
        </is>
      </c>
      <c r="J1244" s="5" t="n">
        <v>100</v>
      </c>
      <c r="K1244" s="10" t="n">
        <v>93.87755102040816</v>
      </c>
      <c r="L1244" s="14">
        <f>IFERROR(IF(OR(J1244=0,K1244=""),"",IF(E1244="Positivo",MIN(MAX(K1244/J1244,0),1.3),MIN(MAX(J1244/K1244,0),1.3))),"") </f>
        <v/>
      </c>
      <c r="M1244" s="14">
        <f>IFERROR(IF(OR(J1244=0,K1244=""),"",IF(E1244="Positivo",MAX(K1244/J1244,0),MAX(J1244/K1244,0))),"") </f>
        <v/>
      </c>
      <c r="N1244" s="5" t="inlineStr">
        <is>
          <t>%</t>
        </is>
      </c>
      <c r="O1244" s="5" t="inlineStr">
        <is>
          <t>%</t>
        </is>
      </c>
      <c r="P1244" s="15" t="n">
        <v>0</v>
      </c>
      <c r="Q1244" s="15" t="n">
        <v>0</v>
      </c>
      <c r="R1244" s="5" t="inlineStr">
        <is>
          <t>251-2023-06-30</t>
        </is>
      </c>
    </row>
    <row r="1245">
      <c r="A1245" s="21" t="n">
        <v>251</v>
      </c>
      <c r="B1245" s="5" t="inlineStr">
        <is>
          <t>Subprocesos Con CMI Estructurado</t>
        </is>
      </c>
      <c r="C1245" s="5" t="inlineStr">
        <is>
          <t>Desempeño Institucional</t>
        </is>
      </c>
      <c r="D1245" s="5" t="inlineStr">
        <is>
          <t>Trimestral</t>
        </is>
      </c>
      <c r="E1245" s="5" t="inlineStr">
        <is>
          <t>Positivo</t>
        </is>
      </c>
      <c r="F1245" s="106" t="n">
        <v>45199</v>
      </c>
      <c r="G1245" s="5" t="n">
        <v>2023</v>
      </c>
      <c r="H1245" s="5" t="inlineStr">
        <is>
          <t>Septiembre</t>
        </is>
      </c>
      <c r="I1245" s="6" t="inlineStr">
        <is>
          <t>2023-2</t>
        </is>
      </c>
      <c r="J1245" s="5" t="n">
        <v>100</v>
      </c>
      <c r="K1245" s="9" t="n">
        <v>100</v>
      </c>
      <c r="L1245" s="14">
        <f>IFERROR(IF(OR(J1245=0,K1245=""),"",IF(E1245="Positivo",MIN(MAX(K1245/J1245,0),1.3),MIN(MAX(J1245/K1245,0),1.3))),"") </f>
        <v/>
      </c>
      <c r="M1245" s="14">
        <f>IFERROR(IF(OR(J1245=0,K1245=""),"",IF(E1245="Positivo",MAX(K1245/J1245,0),MAX(J1245/K1245,0))),"") </f>
        <v/>
      </c>
      <c r="N1245" s="5" t="inlineStr">
        <is>
          <t>%</t>
        </is>
      </c>
      <c r="O1245" s="5" t="inlineStr">
        <is>
          <t>%</t>
        </is>
      </c>
      <c r="P1245" s="15" t="n">
        <v>0</v>
      </c>
      <c r="Q1245" s="15" t="n">
        <v>0</v>
      </c>
      <c r="R1245" s="5" t="inlineStr">
        <is>
          <t>251-2023-09-30</t>
        </is>
      </c>
    </row>
    <row r="1246">
      <c r="A1246" s="26" t="n">
        <v>251</v>
      </c>
      <c r="B1246" s="5" t="inlineStr">
        <is>
          <t>Subprocesos Con CMI Estructurado</t>
        </is>
      </c>
      <c r="C1246" s="5" t="inlineStr">
        <is>
          <t>Desempeño Institucional</t>
        </is>
      </c>
      <c r="D1246" s="5" t="inlineStr">
        <is>
          <t>Trimestral</t>
        </is>
      </c>
      <c r="E1246" s="5" t="inlineStr">
        <is>
          <t>Positivo</t>
        </is>
      </c>
      <c r="F1246" s="107" t="n">
        <v>45291</v>
      </c>
      <c r="G1246" s="5" t="n">
        <v>2023</v>
      </c>
      <c r="H1246" s="5" t="inlineStr">
        <is>
          <t>Diciembre</t>
        </is>
      </c>
      <c r="I1246" s="6" t="inlineStr">
        <is>
          <t>2023-2</t>
        </is>
      </c>
      <c r="J1246" s="5" t="n">
        <v>100</v>
      </c>
      <c r="K1246" s="9" t="n">
        <v>100</v>
      </c>
      <c r="L1246" s="14">
        <f>IFERROR(IF(OR(J1246=0,K1246=""),"",IF(E1246="Positivo",MIN(MAX(K1246/J1246,0),1.3),MIN(MAX(J1246/K1246,0),1.3))),"") </f>
        <v/>
      </c>
      <c r="M1246" s="14">
        <f>IFERROR(IF(OR(J1246=0,K1246=""),"",IF(E1246="Positivo",MAX(K1246/J1246,0),MAX(J1246/K1246,0))),"") </f>
        <v/>
      </c>
      <c r="N1246" s="5" t="inlineStr">
        <is>
          <t>%</t>
        </is>
      </c>
      <c r="O1246" s="5" t="inlineStr">
        <is>
          <t>%</t>
        </is>
      </c>
      <c r="P1246" s="15" t="n">
        <v>0</v>
      </c>
      <c r="Q1246" s="15" t="n">
        <v>0</v>
      </c>
      <c r="R1246" s="5" t="inlineStr">
        <is>
          <t>251-2023-12-31</t>
        </is>
      </c>
    </row>
    <row r="1247">
      <c r="A1247" s="5" t="n">
        <v>251</v>
      </c>
      <c r="B1247" s="5" t="inlineStr">
        <is>
          <t>Subprocesos Con indicadores definidos</t>
        </is>
      </c>
      <c r="C1247" s="5" t="inlineStr">
        <is>
          <t>Desempeño Institucional</t>
        </is>
      </c>
      <c r="D1247" s="5" t="inlineStr">
        <is>
          <t>Semestral</t>
        </is>
      </c>
      <c r="E1247" s="5" t="inlineStr">
        <is>
          <t>Positivo</t>
        </is>
      </c>
      <c r="F1247" s="107" t="n">
        <v>45382</v>
      </c>
      <c r="G1247" s="5" t="n">
        <v>2024</v>
      </c>
      <c r="H1247" s="5" t="inlineStr">
        <is>
          <t>Marzo</t>
        </is>
      </c>
      <c r="I1247" s="6" t="inlineStr">
        <is>
          <t>2024-1</t>
        </is>
      </c>
      <c r="J1247" s="5" t="n">
        <v>100</v>
      </c>
      <c r="K1247" s="5" t="n">
        <v>0</v>
      </c>
      <c r="L1247" s="14">
        <f>IFERROR(IF(OR(J1247=0,K1247=""),"",IF(E1247="Positivo",MIN(MAX(K1247/J1247,0),1.3),MIN(MAX(J1247/K1247,0),1.3))),"") </f>
        <v/>
      </c>
      <c r="M1247" s="14">
        <f>IFERROR(IF(OR(J1247=0,K1247=""),"",IF(E1247="Positivo",MAX(K1247/J1247,0),MAX(J1247/K1247,0))),"") </f>
        <v/>
      </c>
      <c r="N1247" s="5" t="inlineStr">
        <is>
          <t>%</t>
        </is>
      </c>
      <c r="O1247" s="5" t="inlineStr">
        <is>
          <t>%</t>
        </is>
      </c>
      <c r="P1247" s="5" t="n">
        <v>0</v>
      </c>
      <c r="Q1247" s="5" t="n">
        <v>0</v>
      </c>
      <c r="R1247" s="5" t="inlineStr">
        <is>
          <t>251-2024-03-31</t>
        </is>
      </c>
    </row>
    <row r="1248">
      <c r="A1248" s="21" t="n">
        <v>251</v>
      </c>
      <c r="B1248" s="5" t="inlineStr">
        <is>
          <t>Subprocesos Con CMI Estructurado</t>
        </is>
      </c>
      <c r="C1248" s="5" t="inlineStr">
        <is>
          <t>Desempeño Institucional</t>
        </is>
      </c>
      <c r="D1248" s="5" t="inlineStr">
        <is>
          <t>Trimestral</t>
        </is>
      </c>
      <c r="E1248" s="5" t="inlineStr">
        <is>
          <t>Positivo</t>
        </is>
      </c>
      <c r="F1248" s="107" t="n">
        <v>45473</v>
      </c>
      <c r="G1248" s="5" t="n">
        <v>2024</v>
      </c>
      <c r="H1248" s="5" t="inlineStr">
        <is>
          <t>Junio</t>
        </is>
      </c>
      <c r="I1248" s="6" t="inlineStr">
        <is>
          <t>2024-1</t>
        </is>
      </c>
      <c r="J1248" s="5" t="n">
        <v>100</v>
      </c>
      <c r="K1248" s="10" t="n">
        <v>92.45283018867924</v>
      </c>
      <c r="L1248" s="14">
        <f>IFERROR(IF(OR(J1248=0,K1248=""),"",IF(E1248="Positivo",MIN(MAX(K1248/J1248,0),1.3),MIN(MAX(J1248/K1248,0),1.3))),"") </f>
        <v/>
      </c>
      <c r="M1248" s="14">
        <f>IFERROR(IF(OR(J1248=0,K1248=""),"",IF(E1248="Positivo",MAX(K1248/J1248,0),MAX(J1248/K1248,0))),"") </f>
        <v/>
      </c>
      <c r="N1248" s="5" t="inlineStr">
        <is>
          <t>%</t>
        </is>
      </c>
      <c r="O1248" s="5" t="inlineStr">
        <is>
          <t>%</t>
        </is>
      </c>
      <c r="P1248" s="15" t="n">
        <v>0</v>
      </c>
      <c r="Q1248" s="15" t="n">
        <v>0</v>
      </c>
      <c r="R1248" s="5" t="inlineStr">
        <is>
          <t>251-2024-06-30</t>
        </is>
      </c>
    </row>
    <row r="1249">
      <c r="A1249" s="21" t="n">
        <v>251</v>
      </c>
      <c r="B1249" s="5" t="inlineStr">
        <is>
          <t>Subprocesos Con CMI Estructurado</t>
        </is>
      </c>
      <c r="C1249" s="5" t="inlineStr">
        <is>
          <t>Desempeño Institucional</t>
        </is>
      </c>
      <c r="D1249" s="5" t="inlineStr">
        <is>
          <t>Trimestral</t>
        </is>
      </c>
      <c r="E1249" s="5" t="inlineStr">
        <is>
          <t>Positivo</t>
        </is>
      </c>
      <c r="F1249" s="106" t="n">
        <v>45565</v>
      </c>
      <c r="G1249" s="5" t="n">
        <v>2024</v>
      </c>
      <c r="H1249" s="5" t="inlineStr">
        <is>
          <t>Septiembre</t>
        </is>
      </c>
      <c r="I1249" s="6" t="inlineStr">
        <is>
          <t>2024-2</t>
        </is>
      </c>
      <c r="J1249" s="23" t="n">
        <v>100</v>
      </c>
      <c r="K1249" s="9" t="n">
        <v>96.22641509433964</v>
      </c>
      <c r="L1249" s="14">
        <f>IFERROR(IF(OR(J1249=0,K1249=""),"",IF(E1249="Positivo",MIN(MAX(K1249/J1249,0),1.3),MIN(MAX(J1249/K1249,0),1.3))),"") </f>
        <v/>
      </c>
      <c r="M1249" s="14">
        <f>IFERROR(IF(OR(J1249=0,K1249=""),"",IF(E1249="Positivo",MAX(K1249/J1249,0),MAX(J1249/K1249,0))),"") </f>
        <v/>
      </c>
      <c r="N1249" s="11" t="inlineStr">
        <is>
          <t>%</t>
        </is>
      </c>
      <c r="O1249" s="5" t="inlineStr">
        <is>
          <t>%</t>
        </is>
      </c>
      <c r="P1249" s="15" t="n">
        <v>0</v>
      </c>
      <c r="Q1249" s="15" t="n">
        <v>0</v>
      </c>
      <c r="R1249" s="5" t="inlineStr">
        <is>
          <t>251-2024-09-30</t>
        </is>
      </c>
    </row>
    <row r="1250">
      <c r="A1250" s="26" t="n">
        <v>251</v>
      </c>
      <c r="B1250" s="5" t="inlineStr">
        <is>
          <t>Subprocesos Con CMI Estructurado</t>
        </is>
      </c>
      <c r="C1250" s="5" t="inlineStr">
        <is>
          <t>Desempeño Institucional</t>
        </is>
      </c>
      <c r="D1250" s="5" t="inlineStr">
        <is>
          <t>Trimestral</t>
        </is>
      </c>
      <c r="E1250" s="5" t="inlineStr">
        <is>
          <t>Positivo</t>
        </is>
      </c>
      <c r="F1250" s="107" t="n">
        <v>45657</v>
      </c>
      <c r="G1250" s="5" t="n">
        <v>2024</v>
      </c>
      <c r="H1250" s="5" t="inlineStr">
        <is>
          <t>Diciembre</t>
        </is>
      </c>
      <c r="I1250" s="6" t="inlineStr">
        <is>
          <t>2024-2</t>
        </is>
      </c>
      <c r="J1250" s="5" t="n">
        <v>100</v>
      </c>
      <c r="K1250" s="9" t="n">
        <v>96.22641509433964</v>
      </c>
      <c r="L1250" s="14">
        <f>IFERROR(IF(OR(J1250=0,K1250=""),"",IF(E1250="Positivo",MIN(MAX(K1250/J1250,0),1.3),MIN(MAX(J1250/K1250,0),1.3))),"") </f>
        <v/>
      </c>
      <c r="M1250" s="14">
        <f>IFERROR(IF(OR(J1250=0,K1250=""),"",IF(E1250="Positivo",MAX(K1250/J1250,0),MAX(J1250/K1250,0))),"") </f>
        <v/>
      </c>
      <c r="N1250" s="5" t="inlineStr">
        <is>
          <t>%</t>
        </is>
      </c>
      <c r="O1250" s="5" t="inlineStr">
        <is>
          <t>%</t>
        </is>
      </c>
      <c r="P1250" s="15" t="n">
        <v>0</v>
      </c>
      <c r="Q1250" s="15" t="n">
        <v>0</v>
      </c>
      <c r="R1250" s="5" t="inlineStr">
        <is>
          <t>251-2024-12-31</t>
        </is>
      </c>
    </row>
    <row r="1251">
      <c r="A1251" s="5" t="n">
        <v>251</v>
      </c>
      <c r="B1251" s="5" t="inlineStr">
        <is>
          <t>Subprocesos Con indicadores definidos</t>
        </is>
      </c>
      <c r="C1251" s="5" t="inlineStr">
        <is>
          <t>Desempeño Institucional</t>
        </is>
      </c>
      <c r="D1251" s="5" t="inlineStr">
        <is>
          <t>Semestral</t>
        </is>
      </c>
      <c r="E1251" s="5" t="inlineStr">
        <is>
          <t>Positivo</t>
        </is>
      </c>
      <c r="F1251" s="111" t="n">
        <v>45747</v>
      </c>
      <c r="G1251" s="5" t="n">
        <v>2025</v>
      </c>
      <c r="H1251" s="5" t="inlineStr">
        <is>
          <t>Marzo</t>
        </is>
      </c>
      <c r="I1251" s="6" t="inlineStr">
        <is>
          <t>2025-1</t>
        </is>
      </c>
      <c r="J1251" s="5" t="n">
        <v>100</v>
      </c>
      <c r="K1251" s="5" t="n">
        <v>0</v>
      </c>
      <c r="L1251" s="14">
        <f>IFERROR(IF(OR(J1251=0,K1251=""),"",IF(E1251="Positivo",MIN(MAX(K1251/J1251,0),1.3),MIN(MAX(J1251/K1251,0),1.3))),"") </f>
        <v/>
      </c>
      <c r="M1251" s="14">
        <f>IFERROR(IF(OR(J1251=0,K1251=""),"",IF(E1251="Positivo",MAX(K1251/J1251,0),MAX(J1251/K1251,0))),"") </f>
        <v/>
      </c>
      <c r="N1251" s="5" t="inlineStr">
        <is>
          <t>%</t>
        </is>
      </c>
      <c r="O1251" s="5" t="inlineStr">
        <is>
          <t>%</t>
        </is>
      </c>
      <c r="P1251" s="5" t="n">
        <v>0</v>
      </c>
      <c r="Q1251" s="5" t="n">
        <v>0</v>
      </c>
      <c r="R1251" s="5" t="inlineStr">
        <is>
          <t>251-2025-03-31</t>
        </is>
      </c>
    </row>
    <row r="1252">
      <c r="A1252" s="21" t="n">
        <v>251</v>
      </c>
      <c r="B1252" s="5" t="inlineStr">
        <is>
          <t>Subprocesos Con CMI Estructurado</t>
        </is>
      </c>
      <c r="C1252" s="5" t="inlineStr">
        <is>
          <t>Desempeño Institucional</t>
        </is>
      </c>
      <c r="D1252" s="5" t="inlineStr">
        <is>
          <t>Trimestral</t>
        </is>
      </c>
      <c r="E1252" s="5" t="inlineStr">
        <is>
          <t>Positivo</t>
        </is>
      </c>
      <c r="F1252" s="111" t="n">
        <v>45838</v>
      </c>
      <c r="G1252" s="5" t="n">
        <v>2025</v>
      </c>
      <c r="H1252" s="5" t="inlineStr">
        <is>
          <t>Junio</t>
        </is>
      </c>
      <c r="I1252" s="6" t="inlineStr">
        <is>
          <t>2025-1</t>
        </is>
      </c>
      <c r="J1252" s="5" t="n">
        <v>100</v>
      </c>
      <c r="K1252" s="10" t="n">
        <v>82.34999999999999</v>
      </c>
      <c r="L1252" s="14">
        <f>IFERROR(IF(OR(J1252=0,K1252=""),"",IF(E1252="Positivo",MIN(MAX(K1252/J1252,0),1.3),MIN(MAX(J1252/K1252,0),1.3))),"") </f>
        <v/>
      </c>
      <c r="M1252" s="14">
        <f>IFERROR(IF(OR(J1252=0,K1252=""),"",IF(E1252="Positivo",MAX(K1252/J1252,0),MAX(J1252/K1252,0))),"") </f>
        <v/>
      </c>
      <c r="N1252" s="5" t="inlineStr">
        <is>
          <t>%</t>
        </is>
      </c>
      <c r="O1252" s="5" t="inlineStr">
        <is>
          <t>%</t>
        </is>
      </c>
      <c r="P1252" s="15" t="n">
        <v>0</v>
      </c>
      <c r="Q1252" s="15" t="n">
        <v>0</v>
      </c>
      <c r="R1252" s="5" t="inlineStr">
        <is>
          <t>251-2025-06-30</t>
        </is>
      </c>
    </row>
    <row r="1253">
      <c r="A1253" s="21" t="n">
        <v>251</v>
      </c>
      <c r="B1253" s="5" t="inlineStr">
        <is>
          <t>Subprocesos Con indicadores definidos</t>
        </is>
      </c>
      <c r="C1253" s="5" t="inlineStr">
        <is>
          <t>Desempeño Institucional</t>
        </is>
      </c>
      <c r="D1253" s="5" t="inlineStr">
        <is>
          <t>Semestral</t>
        </is>
      </c>
      <c r="E1253" s="5" t="inlineStr">
        <is>
          <t>Positivo</t>
        </is>
      </c>
      <c r="F1253" s="112" t="n">
        <v>45930</v>
      </c>
      <c r="G1253" s="5" t="n">
        <v>2025</v>
      </c>
      <c r="H1253" s="5" t="inlineStr">
        <is>
          <t>Septiembre</t>
        </is>
      </c>
      <c r="I1253" s="6" t="inlineStr">
        <is>
          <t>2025-2</t>
        </is>
      </c>
      <c r="J1253" s="5" t="n">
        <v>100</v>
      </c>
      <c r="K1253" s="9" t="n">
        <v>96.08</v>
      </c>
      <c r="L1253" s="14">
        <f>IFERROR(IF(OR(J1253=0,K1253=""),"",IF(E1253="Positivo",MIN(MAX(K1253/J1253,0),1.3),MIN(MAX(J1253/K1253,0),1.3))),"") </f>
        <v/>
      </c>
      <c r="M1253" s="14">
        <f>IFERROR(IF(OR(J1253=0,K1253=""),"",IF(E1253="Positivo",MAX(K1253/J1253,0),MAX(J1253/K1253,0))),"") </f>
        <v/>
      </c>
      <c r="N1253" s="5" t="inlineStr">
        <is>
          <t>%</t>
        </is>
      </c>
      <c r="O1253" s="5" t="inlineStr">
        <is>
          <t>%</t>
        </is>
      </c>
      <c r="P1253" s="15" t="n">
        <v>0</v>
      </c>
      <c r="Q1253" s="15" t="n">
        <v>0</v>
      </c>
      <c r="R1253" s="5" t="inlineStr">
        <is>
          <t>251-2025-09-30</t>
        </is>
      </c>
    </row>
    <row r="1254">
      <c r="A1254" s="26" t="n">
        <v>251</v>
      </c>
      <c r="B1254" s="5" t="inlineStr">
        <is>
          <t>Subprocesos Con indicadores definidos</t>
        </is>
      </c>
      <c r="C1254" s="5" t="inlineStr">
        <is>
          <t>Desempeño Institucional</t>
        </is>
      </c>
      <c r="D1254" s="5" t="inlineStr">
        <is>
          <t>Semestral</t>
        </is>
      </c>
      <c r="E1254" s="5" t="inlineStr">
        <is>
          <t>Positivo</t>
        </is>
      </c>
      <c r="F1254" s="111" t="n">
        <v>46022</v>
      </c>
      <c r="G1254" s="5" t="n">
        <v>2025</v>
      </c>
      <c r="H1254" s="5" t="inlineStr">
        <is>
          <t>Diciembre</t>
        </is>
      </c>
      <c r="I1254" s="6" t="inlineStr">
        <is>
          <t>2025-2</t>
        </is>
      </c>
      <c r="J1254" s="5" t="n">
        <v>100</v>
      </c>
      <c r="K1254" s="9" t="n">
        <v>100</v>
      </c>
      <c r="L1254" s="14">
        <f>IFERROR(IF(OR(J1254=0,K1254=""),"",IF(E1254="Positivo",MIN(MAX(K1254/J1254,0),1.3),MIN(MAX(J1254/K1254,0),1.3))),"") </f>
        <v/>
      </c>
      <c r="M1254" s="14">
        <f>IFERROR(IF(OR(J1254=0,K1254=""),"",IF(E1254="Positivo",MAX(K1254/J1254,0),MAX(J1254/K1254,0))),"") </f>
        <v/>
      </c>
      <c r="N1254" s="5" t="inlineStr">
        <is>
          <t>%</t>
        </is>
      </c>
      <c r="O1254" s="5" t="inlineStr">
        <is>
          <t>%</t>
        </is>
      </c>
      <c r="P1254" s="15" t="n">
        <v>0</v>
      </c>
      <c r="Q1254" s="15" t="n">
        <v>0</v>
      </c>
      <c r="R1254" s="5" t="inlineStr">
        <is>
          <t>251-2025-12-31</t>
        </is>
      </c>
    </row>
    <row r="1255">
      <c r="A1255" s="5" t="n">
        <v>252</v>
      </c>
      <c r="B1255" s="5" t="inlineStr">
        <is>
          <t>Permanencia intersemestral ingresantes</t>
        </is>
      </c>
      <c r="C1255" s="5" t="inlineStr">
        <is>
          <t>Permanencia</t>
        </is>
      </c>
      <c r="D1255" s="5" t="inlineStr">
        <is>
          <t>Semestral</t>
        </is>
      </c>
      <c r="E1255" s="5" t="inlineStr">
        <is>
          <t>Positivo</t>
        </is>
      </c>
      <c r="F1255" s="111" t="n">
        <v>45107</v>
      </c>
      <c r="G1255" s="5" t="n">
        <v>2023</v>
      </c>
      <c r="H1255" s="5" t="inlineStr">
        <is>
          <t>Junio</t>
        </is>
      </c>
      <c r="I1255" s="6" t="inlineStr">
        <is>
          <t>2023-1</t>
        </is>
      </c>
      <c r="J1255" s="5" t="n">
        <v>68</v>
      </c>
      <c r="K1255" s="5" t="n">
        <v>98.81</v>
      </c>
      <c r="L1255" s="14">
        <f>IFERROR(IF(OR(J1255=0,K1255=""),"",IF(E1255="Positivo",MIN(MAX(K1255/J1255,0),1.3),MIN(MAX(J1255/K1255,0),1.3))),"") </f>
        <v/>
      </c>
      <c r="M1255" s="14">
        <f>IFERROR(IF(OR(J1255=0,K1255=""),"",IF(E1255="Positivo",MAX(K1255/J1255,0),MAX(J1255/K1255,0))),"") </f>
        <v/>
      </c>
      <c r="N1255" s="5" t="inlineStr">
        <is>
          <t>%</t>
        </is>
      </c>
      <c r="O1255" s="5" t="inlineStr">
        <is>
          <t>%</t>
        </is>
      </c>
      <c r="P1255" s="5" t="n">
        <v>0</v>
      </c>
      <c r="Q1255" s="5" t="n">
        <v>0</v>
      </c>
      <c r="R1255" s="5" t="inlineStr">
        <is>
          <t>252-2023-06-30</t>
        </is>
      </c>
    </row>
    <row r="1256">
      <c r="A1256" s="21" t="n">
        <v>252</v>
      </c>
      <c r="B1256" s="5" t="inlineStr">
        <is>
          <t>Permanencia intersemestral ingresantes</t>
        </is>
      </c>
      <c r="C1256" s="5" t="inlineStr">
        <is>
          <t>Permanencia</t>
        </is>
      </c>
      <c r="D1256" s="5" t="inlineStr">
        <is>
          <t>Semestral</t>
        </is>
      </c>
      <c r="E1256" s="5" t="inlineStr">
        <is>
          <t>Positivo</t>
        </is>
      </c>
      <c r="F1256" s="111" t="n">
        <v>45291</v>
      </c>
      <c r="G1256" s="5" t="n">
        <v>2023</v>
      </c>
      <c r="H1256" s="5" t="inlineStr">
        <is>
          <t>Diciembre</t>
        </is>
      </c>
      <c r="I1256" s="6" t="inlineStr">
        <is>
          <t>2023-2</t>
        </is>
      </c>
      <c r="J1256" s="5" t="n">
        <v>68</v>
      </c>
      <c r="K1256" s="10" t="n">
        <v>109.91</v>
      </c>
      <c r="L1256" s="14">
        <f>IFERROR(IF(OR(J1256=0,K1256=""),"",IF(E1256="Positivo",MIN(MAX(K1256/J1256,0),1.3),MIN(MAX(J1256/K1256,0),1.3))),"") </f>
        <v/>
      </c>
      <c r="M1256" s="14">
        <f>IFERROR(IF(OR(J1256=0,K1256=""),"",IF(E1256="Positivo",MAX(K1256/J1256,0),MAX(J1256/K1256,0))),"") </f>
        <v/>
      </c>
      <c r="N1256" s="5" t="inlineStr">
        <is>
          <t>%</t>
        </is>
      </c>
      <c r="O1256" s="5" t="inlineStr">
        <is>
          <t>%</t>
        </is>
      </c>
      <c r="P1256" s="15" t="n">
        <v>0</v>
      </c>
      <c r="Q1256" s="15" t="n">
        <v>0</v>
      </c>
      <c r="R1256" s="5" t="inlineStr">
        <is>
          <t>252-2023-12-31</t>
        </is>
      </c>
    </row>
    <row r="1257">
      <c r="A1257" s="26" t="n">
        <v>252</v>
      </c>
      <c r="B1257" s="5" t="inlineStr">
        <is>
          <t>Permanencia intersemestral ingresantes</t>
        </is>
      </c>
      <c r="C1257" s="5" t="inlineStr">
        <is>
          <t>Permanencia</t>
        </is>
      </c>
      <c r="D1257" s="5" t="inlineStr">
        <is>
          <t>Semestral</t>
        </is>
      </c>
      <c r="E1257" s="5" t="inlineStr">
        <is>
          <t>Positivo</t>
        </is>
      </c>
      <c r="F1257" s="111" t="n">
        <v>45473</v>
      </c>
      <c r="G1257" s="5" t="n">
        <v>2024</v>
      </c>
      <c r="H1257" s="5" t="inlineStr">
        <is>
          <t>Junio</t>
        </is>
      </c>
      <c r="I1257" s="6" t="inlineStr">
        <is>
          <t>2024-1</t>
        </is>
      </c>
      <c r="J1257" s="5" t="n">
        <v>68.5</v>
      </c>
      <c r="K1257" s="9" t="n">
        <v>104.47</v>
      </c>
      <c r="L1257" s="14">
        <f>IFERROR(IF(OR(J1257=0,K1257=""),"",IF(E1257="Positivo",MIN(MAX(K1257/J1257,0),1.3),MIN(MAX(J1257/K1257,0),1.3))),"") </f>
        <v/>
      </c>
      <c r="M1257" s="14">
        <f>IFERROR(IF(OR(J1257=0,K1257=""),"",IF(E1257="Positivo",MAX(K1257/J1257,0),MAX(J1257/K1257,0))),"") </f>
        <v/>
      </c>
      <c r="N1257" s="5" t="inlineStr">
        <is>
          <t>%</t>
        </is>
      </c>
      <c r="O1257" s="5" t="inlineStr">
        <is>
          <t>%</t>
        </is>
      </c>
      <c r="P1257" s="15" t="n">
        <v>2</v>
      </c>
      <c r="Q1257" s="15" t="n">
        <v>2</v>
      </c>
      <c r="R1257" s="5" t="inlineStr">
        <is>
          <t>252-2024-06-30</t>
        </is>
      </c>
    </row>
    <row r="1258">
      <c r="A1258" s="5" t="n">
        <v>252</v>
      </c>
      <c r="B1258" s="5" t="inlineStr">
        <is>
          <t>Permanencia intersemestral ingresantes</t>
        </is>
      </c>
      <c r="C1258" s="5" t="inlineStr">
        <is>
          <t>Permanencia</t>
        </is>
      </c>
      <c r="D1258" s="5" t="inlineStr">
        <is>
          <t>Semestral</t>
        </is>
      </c>
      <c r="E1258" s="5" t="inlineStr">
        <is>
          <t>Positivo</t>
        </is>
      </c>
      <c r="F1258" s="111" t="n">
        <v>45657</v>
      </c>
      <c r="G1258" s="5" t="n">
        <v>2024</v>
      </c>
      <c r="H1258" s="5" t="inlineStr">
        <is>
          <t>Diciembre</t>
        </is>
      </c>
      <c r="I1258" s="6" t="inlineStr">
        <is>
          <t>2024-2</t>
        </is>
      </c>
      <c r="J1258" s="5" t="n">
        <v>72.90000000000001</v>
      </c>
      <c r="K1258" s="5" t="n">
        <v>99.48999999999999</v>
      </c>
      <c r="L1258" s="14">
        <f>IFERROR(IF(OR(J1258=0,K1258=""),"",IF(E1258="Positivo",MIN(MAX(K1258/J1258,0),1.3),MIN(MAX(J1258/K1258,0),1.3))),"") </f>
        <v/>
      </c>
      <c r="M1258" s="14">
        <f>IFERROR(IF(OR(J1258=0,K1258=""),"",IF(E1258="Positivo",MAX(K1258/J1258,0),MAX(J1258/K1258,0))),"") </f>
        <v/>
      </c>
      <c r="N1258" s="5" t="inlineStr">
        <is>
          <t>%</t>
        </is>
      </c>
      <c r="O1258" s="5" t="inlineStr">
        <is>
          <t>%</t>
        </is>
      </c>
      <c r="P1258" s="5" t="n">
        <v>2</v>
      </c>
      <c r="Q1258" s="5" t="n">
        <v>2</v>
      </c>
      <c r="R1258" s="5" t="inlineStr">
        <is>
          <t>252-2024-12-31</t>
        </is>
      </c>
    </row>
    <row r="1259">
      <c r="A1259" s="26" t="n">
        <v>252</v>
      </c>
      <c r="B1259" s="5" t="inlineStr">
        <is>
          <t>Permanencia intersemestral ingresantes</t>
        </is>
      </c>
      <c r="C1259" s="5" t="inlineStr">
        <is>
          <t>Permanencia</t>
        </is>
      </c>
      <c r="D1259" s="5" t="inlineStr">
        <is>
          <t>Semestral</t>
        </is>
      </c>
      <c r="E1259" s="5" t="inlineStr">
        <is>
          <t>Positivo</t>
        </is>
      </c>
      <c r="F1259" s="111" t="n">
        <v>45838</v>
      </c>
      <c r="G1259" s="5" t="n">
        <v>2025</v>
      </c>
      <c r="H1259" s="5" t="inlineStr">
        <is>
          <t>Junio</t>
        </is>
      </c>
      <c r="I1259" s="6" t="inlineStr">
        <is>
          <t>2025-1</t>
        </is>
      </c>
      <c r="J1259" s="5" t="n">
        <v>100</v>
      </c>
      <c r="K1259" s="9" t="n">
        <v>99.58</v>
      </c>
      <c r="L1259" s="14">
        <f>IFERROR(IF(OR(J1259=0,K1259=""),"",IF(E1259="Positivo",MIN(MAX(K1259/J1259,0),1.3),MIN(MAX(J1259/K1259,0),1.3))),"") </f>
        <v/>
      </c>
      <c r="M1259" s="14">
        <f>IFERROR(IF(OR(J1259=0,K1259=""),"",IF(E1259="Positivo",MAX(K1259/J1259,0),MAX(J1259/K1259,0))),"") </f>
        <v/>
      </c>
      <c r="N1259" s="5" t="inlineStr">
        <is>
          <t>%</t>
        </is>
      </c>
      <c r="O1259" s="5" t="inlineStr">
        <is>
          <t>%</t>
        </is>
      </c>
      <c r="P1259" s="15" t="n">
        <v>2</v>
      </c>
      <c r="Q1259" s="15" t="n">
        <v>2</v>
      </c>
      <c r="R1259" s="5" t="inlineStr">
        <is>
          <t>252-2025-06-30</t>
        </is>
      </c>
    </row>
    <row r="1260">
      <c r="A1260" s="26" t="n">
        <v>252</v>
      </c>
      <c r="B1260" s="5" t="inlineStr">
        <is>
          <t>Tasa de Permanencia Intersemestral de Estudiantes Ingresantes</t>
        </is>
      </c>
      <c r="C1260" s="5" t="inlineStr">
        <is>
          <t>Permanencia</t>
        </is>
      </c>
      <c r="D1260" s="5" t="inlineStr">
        <is>
          <t>Trimestral</t>
        </is>
      </c>
      <c r="E1260" s="5" t="inlineStr">
        <is>
          <t>Positivo</t>
        </is>
      </c>
      <c r="F1260" s="107" t="n">
        <v>46022</v>
      </c>
      <c r="G1260" s="5" t="n">
        <v>2025</v>
      </c>
      <c r="H1260" s="5" t="inlineStr">
        <is>
          <t>Diciembre</t>
        </is>
      </c>
      <c r="I1260" s="6" t="inlineStr">
        <is>
          <t>2025-2</t>
        </is>
      </c>
      <c r="J1260" s="5" t="n">
        <v>100</v>
      </c>
      <c r="K1260" s="9" t="n">
        <v>104.31</v>
      </c>
      <c r="L1260" s="14">
        <f>IFERROR(IF(OR(J1260=0,K1260=""),"",IF(E1260="Positivo",MIN(MAX(K1260/J1260,0),1.3),MIN(MAX(J1260/K1260,0),1.3))),"") </f>
        <v/>
      </c>
      <c r="M1260" s="14">
        <f>IFERROR(IF(OR(J1260=0,K1260=""),"",IF(E1260="Positivo",MAX(K1260/J1260,0),MAX(J1260/K1260,0))),"") </f>
        <v/>
      </c>
      <c r="N1260" s="5" t="inlineStr">
        <is>
          <t>%</t>
        </is>
      </c>
      <c r="O1260" s="5" t="inlineStr">
        <is>
          <t>%</t>
        </is>
      </c>
      <c r="P1260" s="15" t="n">
        <v>1</v>
      </c>
      <c r="Q1260" s="15" t="n">
        <v>1</v>
      </c>
      <c r="R1260" s="5" t="inlineStr">
        <is>
          <t>252-2025-12-31</t>
        </is>
      </c>
    </row>
    <row r="1261">
      <c r="A1261" s="21" t="n">
        <v>253</v>
      </c>
      <c r="B1261" s="5" t="inlineStr">
        <is>
          <t>Oportunidad en la entrega de informes de auditoria</t>
        </is>
      </c>
      <c r="C1261" s="5" t="inlineStr">
        <is>
          <t>AUDITORÍA INTERNA</t>
        </is>
      </c>
      <c r="D1261" s="5" t="inlineStr">
        <is>
          <t>Bimestral</t>
        </is>
      </c>
      <c r="E1261" s="5" t="inlineStr">
        <is>
          <t>Negativo</t>
        </is>
      </c>
      <c r="F1261" s="107" t="n">
        <v>45046</v>
      </c>
      <c r="G1261" s="5" t="n">
        <v>2023</v>
      </c>
      <c r="H1261" s="5" t="inlineStr">
        <is>
          <t>Abril</t>
        </is>
      </c>
      <c r="I1261" s="6" t="inlineStr">
        <is>
          <t>2023-1</t>
        </is>
      </c>
      <c r="J1261" s="5" t="n">
        <v>8</v>
      </c>
      <c r="K1261" s="10" t="n">
        <v>8</v>
      </c>
      <c r="L1261" s="14">
        <f>IFERROR(IF(OR(J1261=0,K1261=""),"",IF(E1261="Positivo",MIN(MAX(K1261/J1261,0),1.3),MIN(MAX(J1261/K1261,0),1.3))),"") </f>
        <v/>
      </c>
      <c r="M1261" s="14">
        <f>IFERROR(IF(OR(J1261=0,K1261=""),"",IF(E1261="Positivo",MAX(K1261/J1261,0),MAX(J1261/K1261,0))),"") </f>
        <v/>
      </c>
      <c r="N1261" s="5" t="inlineStr">
        <is>
          <t>N/A</t>
        </is>
      </c>
      <c r="O1261" s="5" t="inlineStr">
        <is>
          <t>N/A</t>
        </is>
      </c>
      <c r="P1261" s="15" t="n">
        <v>0</v>
      </c>
      <c r="Q1261" s="15" t="n">
        <v>0</v>
      </c>
      <c r="R1261" s="5" t="inlineStr">
        <is>
          <t>253-2023-04-30</t>
        </is>
      </c>
    </row>
    <row r="1262">
      <c r="A1262" s="28" t="n">
        <v>253</v>
      </c>
      <c r="B1262" s="5" t="inlineStr">
        <is>
          <t>Oportunidad en la entrega de informes de auditoria</t>
        </is>
      </c>
      <c r="C1262" s="5" t="inlineStr">
        <is>
          <t>AUDITORÍA INTERNA</t>
        </is>
      </c>
      <c r="D1262" s="5" t="inlineStr">
        <is>
          <t>Bimestral</t>
        </is>
      </c>
      <c r="E1262" s="5" t="inlineStr">
        <is>
          <t>Negativo</t>
        </is>
      </c>
      <c r="F1262" s="107" t="n">
        <v>45107</v>
      </c>
      <c r="G1262" s="5" t="n">
        <v>2023</v>
      </c>
      <c r="H1262" s="5" t="inlineStr">
        <is>
          <t>Junio</t>
        </is>
      </c>
      <c r="I1262" s="6" t="inlineStr">
        <is>
          <t>2023-1</t>
        </is>
      </c>
      <c r="J1262" s="5" t="n">
        <v>8</v>
      </c>
      <c r="K1262" s="9" t="n">
        <v>4.5</v>
      </c>
      <c r="L1262" s="14">
        <f>IFERROR(IF(OR(J1262=0,K1262=""),"",IF(E1262="Positivo",MIN(MAX(K1262/J1262,0),1.3),MIN(MAX(J1262/K1262,0),1.3))),"") </f>
        <v/>
      </c>
      <c r="M1262" s="14">
        <f>IFERROR(IF(OR(J1262=0,K1262=""),"",IF(E1262="Positivo",MAX(K1262/J1262,0),MAX(J1262/K1262,0))),"") </f>
        <v/>
      </c>
      <c r="N1262" s="5" t="inlineStr">
        <is>
          <t>N/A</t>
        </is>
      </c>
      <c r="O1262" s="5" t="inlineStr">
        <is>
          <t>N/A</t>
        </is>
      </c>
      <c r="P1262" s="15" t="n">
        <v>1</v>
      </c>
      <c r="Q1262" s="15" t="n">
        <v>1</v>
      </c>
      <c r="R1262" s="5" t="inlineStr">
        <is>
          <t>253-2023-06-30</t>
        </is>
      </c>
    </row>
    <row r="1263">
      <c r="A1263" s="26" t="n">
        <v>253</v>
      </c>
      <c r="B1263" s="5" t="inlineStr">
        <is>
          <t>Oportunidad en la entrega de informes de auditoria</t>
        </is>
      </c>
      <c r="C1263" s="5" t="inlineStr">
        <is>
          <t>AUDITORÍA INTERNA</t>
        </is>
      </c>
      <c r="D1263" s="5" t="inlineStr">
        <is>
          <t>Bimestral</t>
        </is>
      </c>
      <c r="E1263" s="5" t="inlineStr">
        <is>
          <t>Negativo</t>
        </is>
      </c>
      <c r="F1263" s="107" t="n">
        <v>45169</v>
      </c>
      <c r="G1263" s="5" t="n">
        <v>2023</v>
      </c>
      <c r="H1263" s="5" t="inlineStr">
        <is>
          <t>Agosto</t>
        </is>
      </c>
      <c r="I1263" s="6" t="inlineStr">
        <is>
          <t>2023-2</t>
        </is>
      </c>
      <c r="J1263" s="5" t="n">
        <v>8</v>
      </c>
      <c r="K1263" s="9" t="n">
        <v>4.5</v>
      </c>
      <c r="L1263" s="14">
        <f>IFERROR(IF(OR(J1263=0,K1263=""),"",IF(E1263="Positivo",MIN(MAX(K1263/J1263,0),1.3),MIN(MAX(J1263/K1263,0),1.3))),"") </f>
        <v/>
      </c>
      <c r="M1263" s="14">
        <f>IFERROR(IF(OR(J1263=0,K1263=""),"",IF(E1263="Positivo",MAX(K1263/J1263,0),MAX(J1263/K1263,0))),"") </f>
        <v/>
      </c>
      <c r="N1263" s="5" t="inlineStr">
        <is>
          <t>N/A</t>
        </is>
      </c>
      <c r="O1263" s="5" t="inlineStr">
        <is>
          <t>N/A</t>
        </is>
      </c>
      <c r="P1263" s="15" t="n">
        <v>1</v>
      </c>
      <c r="Q1263" s="15" t="n">
        <v>1</v>
      </c>
      <c r="R1263" s="5" t="inlineStr">
        <is>
          <t>253-2023-08-31</t>
        </is>
      </c>
    </row>
    <row r="1264">
      <c r="A1264" s="21" t="n">
        <v>253</v>
      </c>
      <c r="B1264" s="5" t="inlineStr">
        <is>
          <t>Oportunidad en la entrega de informes de auditoria</t>
        </is>
      </c>
      <c r="C1264" s="5" t="inlineStr">
        <is>
          <t>AUDITORÍA INTERNA</t>
        </is>
      </c>
      <c r="D1264" s="5" t="inlineStr">
        <is>
          <t>Bimestral</t>
        </is>
      </c>
      <c r="E1264" s="5" t="inlineStr">
        <is>
          <t>Negativo</t>
        </is>
      </c>
      <c r="F1264" s="107" t="n">
        <v>45230</v>
      </c>
      <c r="G1264" s="5" t="n">
        <v>2023</v>
      </c>
      <c r="H1264" s="5" t="inlineStr">
        <is>
          <t>Octubre</t>
        </is>
      </c>
      <c r="I1264" s="6" t="inlineStr">
        <is>
          <t>2023-2</t>
        </is>
      </c>
      <c r="J1264" s="5" t="n">
        <v>8</v>
      </c>
      <c r="K1264" s="10" t="n">
        <v>5.8</v>
      </c>
      <c r="L1264" s="14">
        <f>IFERROR(IF(OR(J1264=0,K1264=""),"",IF(E1264="Positivo",MIN(MAX(K1264/J1264,0),1.3),MIN(MAX(J1264/K1264,0),1.3))),"") </f>
        <v/>
      </c>
      <c r="M1264" s="14">
        <f>IFERROR(IF(OR(J1264=0,K1264=""),"",IF(E1264="Positivo",MAX(K1264/J1264,0),MAX(J1264/K1264,0))),"") </f>
        <v/>
      </c>
      <c r="N1264" s="5" t="inlineStr">
        <is>
          <t>N/A</t>
        </is>
      </c>
      <c r="O1264" s="5" t="inlineStr">
        <is>
          <t>N/A</t>
        </is>
      </c>
      <c r="P1264" s="15" t="n">
        <v>1</v>
      </c>
      <c r="Q1264" s="15" t="n">
        <v>1</v>
      </c>
      <c r="R1264" s="5" t="inlineStr">
        <is>
          <t>253-2023-10-31</t>
        </is>
      </c>
    </row>
    <row r="1265">
      <c r="A1265" s="5" t="n">
        <v>253</v>
      </c>
      <c r="B1265" s="5" t="inlineStr">
        <is>
          <t>Oportunidad en la entrega de informes de auditoria</t>
        </is>
      </c>
      <c r="C1265" s="5" t="inlineStr">
        <is>
          <t>AUDITORÍA INTERNA</t>
        </is>
      </c>
      <c r="D1265" s="5" t="inlineStr">
        <is>
          <t>Bimestral</t>
        </is>
      </c>
      <c r="E1265" s="5" t="inlineStr">
        <is>
          <t>Negativo</t>
        </is>
      </c>
      <c r="F1265" s="107" t="n">
        <v>45291</v>
      </c>
      <c r="G1265" s="5" t="n">
        <v>2023</v>
      </c>
      <c r="H1265" s="5" t="inlineStr">
        <is>
          <t>Diciembre</t>
        </is>
      </c>
      <c r="I1265" s="6" t="inlineStr">
        <is>
          <t>2023-2</t>
        </is>
      </c>
      <c r="J1265" s="5" t="n">
        <v>8</v>
      </c>
      <c r="K1265" s="5" t="n">
        <v>5</v>
      </c>
      <c r="L1265" s="14">
        <f>IFERROR(IF(OR(J1265=0,K1265=""),"",IF(E1265="Positivo",MIN(MAX(K1265/J1265,0),1.3),MIN(MAX(J1265/K1265,0),1.3))),"") </f>
        <v/>
      </c>
      <c r="M1265" s="14">
        <f>IFERROR(IF(OR(J1265=0,K1265=""),"",IF(E1265="Positivo",MAX(K1265/J1265,0),MAX(J1265/K1265,0))),"") </f>
        <v/>
      </c>
      <c r="N1265" s="5" t="inlineStr">
        <is>
          <t>N/A</t>
        </is>
      </c>
      <c r="O1265" s="5" t="inlineStr">
        <is>
          <t>N/A</t>
        </is>
      </c>
      <c r="P1265" s="5" t="n">
        <v>0</v>
      </c>
      <c r="Q1265" s="5" t="n">
        <v>0</v>
      </c>
      <c r="R1265" s="5" t="inlineStr">
        <is>
          <t>253-2023-12-31</t>
        </is>
      </c>
    </row>
    <row r="1266">
      <c r="A1266" s="21" t="n">
        <v>254</v>
      </c>
      <c r="B1266" s="5" t="inlineStr">
        <is>
          <t>Áreas con reportes de plan de retos</t>
        </is>
      </c>
      <c r="C1266" s="5" t="inlineStr">
        <is>
          <t>Planeación Estratégica</t>
        </is>
      </c>
      <c r="D1266" s="5" t="inlineStr">
        <is>
          <t>Semestral</t>
        </is>
      </c>
      <c r="E1266" s="5" t="inlineStr">
        <is>
          <t>Positivo</t>
        </is>
      </c>
      <c r="F1266" s="107" t="n">
        <v>45016</v>
      </c>
      <c r="G1266" s="5" t="n">
        <v>2023</v>
      </c>
      <c r="H1266" s="5" t="inlineStr">
        <is>
          <t>Marzo</t>
        </is>
      </c>
      <c r="I1266" s="6" t="inlineStr">
        <is>
          <t>2023-1</t>
        </is>
      </c>
      <c r="J1266" s="5" t="n">
        <v>55</v>
      </c>
      <c r="K1266" s="10" t="n">
        <v>100</v>
      </c>
      <c r="L1266" s="14">
        <f>IFERROR(IF(OR(J1266=0,K1266=""),"",IF(E1266="Positivo",MIN(MAX(K1266/J1266,0),1.3),MIN(MAX(J1266/K1266,0),1.3))),"") </f>
        <v/>
      </c>
      <c r="M1266" s="14">
        <f>IFERROR(IF(OR(J1266=0,K1266=""),"",IF(E1266="Positivo",MAX(K1266/J1266,0),MAX(J1266/K1266,0))),"") </f>
        <v/>
      </c>
      <c r="N1266" s="5" t="inlineStr">
        <is>
          <t>ENT</t>
        </is>
      </c>
      <c r="O1266" s="5" t="inlineStr">
        <is>
          <t>ENT</t>
        </is>
      </c>
      <c r="P1266" s="15" t="n">
        <v>0</v>
      </c>
      <c r="Q1266" s="15" t="n">
        <v>0</v>
      </c>
      <c r="R1266" s="5" t="inlineStr">
        <is>
          <t>254-2023-03-31</t>
        </is>
      </c>
    </row>
    <row r="1267">
      <c r="A1267" s="21" t="n">
        <v>254</v>
      </c>
      <c r="B1267" s="5" t="inlineStr">
        <is>
          <t>Áreas con reportes de plan de retos</t>
        </is>
      </c>
      <c r="C1267" s="5" t="inlineStr">
        <is>
          <t>Planeación Estratégica</t>
        </is>
      </c>
      <c r="D1267" s="5" t="inlineStr">
        <is>
          <t>Trianual</t>
        </is>
      </c>
      <c r="E1267" s="5" t="inlineStr">
        <is>
          <t>Positivo</t>
        </is>
      </c>
      <c r="F1267" s="107" t="n">
        <v>45107</v>
      </c>
      <c r="G1267" s="5" t="n">
        <v>2023</v>
      </c>
      <c r="H1267" s="5" t="inlineStr">
        <is>
          <t>Junio</t>
        </is>
      </c>
      <c r="I1267" s="6" t="inlineStr">
        <is>
          <t>2023-1</t>
        </is>
      </c>
      <c r="J1267" s="5" t="n">
        <v>100</v>
      </c>
      <c r="K1267" s="10" t="n">
        <v>100</v>
      </c>
      <c r="L1267" s="14">
        <f>IFERROR(IF(OR(J1267=0,K1267=""),"",IF(E1267="Positivo",MIN(MAX(K1267/J1267,0),1.3),MIN(MAX(J1267/K1267,0),1.3))),"") </f>
        <v/>
      </c>
      <c r="M1267" s="14">
        <f>IFERROR(IF(OR(J1267=0,K1267=""),"",IF(E1267="Positivo",MAX(K1267/J1267,0),MAX(J1267/K1267,0))),"") </f>
        <v/>
      </c>
      <c r="N1267" s="5" t="inlineStr">
        <is>
          <t>%</t>
        </is>
      </c>
      <c r="O1267" s="5" t="inlineStr">
        <is>
          <t>%</t>
        </is>
      </c>
      <c r="P1267" s="15" t="n">
        <v>0</v>
      </c>
      <c r="Q1267" s="15" t="n">
        <v>0</v>
      </c>
      <c r="R1267" s="5" t="inlineStr">
        <is>
          <t>254-2023-06-30</t>
        </is>
      </c>
    </row>
    <row r="1268">
      <c r="A1268" s="28" t="n">
        <v>254</v>
      </c>
      <c r="B1268" s="5" t="inlineStr">
        <is>
          <t>Áreas con reportes de plan de retos</t>
        </is>
      </c>
      <c r="C1268" s="5" t="inlineStr">
        <is>
          <t>Planeación Estratégica</t>
        </is>
      </c>
      <c r="D1268" s="5" t="inlineStr">
        <is>
          <t>Trimestral</t>
        </is>
      </c>
      <c r="E1268" s="5" t="inlineStr">
        <is>
          <t>Positivo</t>
        </is>
      </c>
      <c r="F1268" s="107" t="n">
        <v>45199</v>
      </c>
      <c r="G1268" s="5" t="n">
        <v>2023</v>
      </c>
      <c r="H1268" s="5" t="inlineStr">
        <is>
          <t>Septiembre</t>
        </is>
      </c>
      <c r="I1268" s="6" t="inlineStr">
        <is>
          <t>2023-2</t>
        </is>
      </c>
      <c r="J1268" s="5" t="n">
        <v>100</v>
      </c>
      <c r="K1268" s="9" t="n">
        <v>98.181818181818</v>
      </c>
      <c r="L1268" s="14">
        <f>IFERROR(IF(OR(J1268=0,K1268=""),"",IF(E1268="Positivo",MIN(MAX(K1268/J1268,0),1.3),MIN(MAX(J1268/K1268,0),1.3))),"") </f>
        <v/>
      </c>
      <c r="M1268" s="14">
        <f>IFERROR(IF(OR(J1268=0,K1268=""),"",IF(E1268="Positivo",MAX(K1268/J1268,0),MAX(J1268/K1268,0))),"") </f>
        <v/>
      </c>
      <c r="N1268" s="5" t="inlineStr">
        <is>
          <t>%</t>
        </is>
      </c>
      <c r="O1268" s="5" t="inlineStr">
        <is>
          <t>%</t>
        </is>
      </c>
      <c r="P1268" s="15" t="n">
        <v>0</v>
      </c>
      <c r="Q1268" s="15" t="n">
        <v>0</v>
      </c>
      <c r="R1268" s="5" t="inlineStr">
        <is>
          <t>254-2023-09-30</t>
        </is>
      </c>
    </row>
    <row r="1269">
      <c r="A1269" s="26" t="n">
        <v>254</v>
      </c>
      <c r="B1269" s="5" t="inlineStr">
        <is>
          <t>Áreas con reportes de plan de retos</t>
        </is>
      </c>
      <c r="C1269" s="5" t="inlineStr">
        <is>
          <t>Planeación Estratégica</t>
        </is>
      </c>
      <c r="D1269" s="5" t="inlineStr">
        <is>
          <t>Trimestral</t>
        </is>
      </c>
      <c r="E1269" s="5" t="inlineStr">
        <is>
          <t>Positivo</t>
        </is>
      </c>
      <c r="F1269" s="107" t="n">
        <v>45291</v>
      </c>
      <c r="G1269" s="5" t="n">
        <v>2023</v>
      </c>
      <c r="H1269" s="5" t="inlineStr">
        <is>
          <t>Diciembre</t>
        </is>
      </c>
      <c r="I1269" s="6" t="inlineStr">
        <is>
          <t>2023-2</t>
        </is>
      </c>
      <c r="J1269" s="5" t="n">
        <v>100</v>
      </c>
      <c r="K1269" s="9" t="n">
        <v>100</v>
      </c>
      <c r="L1269" s="14">
        <f>IFERROR(IF(OR(J1269=0,K1269=""),"",IF(E1269="Positivo",MIN(MAX(K1269/J1269,0),1.3),MIN(MAX(J1269/K1269,0),1.3))),"") </f>
        <v/>
      </c>
      <c r="M1269" s="14">
        <f>IFERROR(IF(OR(J1269=0,K1269=""),"",IF(E1269="Positivo",MAX(K1269/J1269,0),MAX(J1269/K1269,0))),"") </f>
        <v/>
      </c>
      <c r="N1269" s="5" t="inlineStr">
        <is>
          <t>%</t>
        </is>
      </c>
      <c r="O1269" s="5" t="inlineStr">
        <is>
          <t>%</t>
        </is>
      </c>
      <c r="P1269" s="15" t="n">
        <v>0</v>
      </c>
      <c r="Q1269" s="15" t="n">
        <v>0</v>
      </c>
      <c r="R1269" s="5" t="inlineStr">
        <is>
          <t>254-2023-12-31</t>
        </is>
      </c>
    </row>
    <row r="1270">
      <c r="A1270" s="26" t="n">
        <v>254</v>
      </c>
      <c r="B1270" s="5" t="inlineStr">
        <is>
          <t>Áreas con reportes de plan de retos</t>
        </is>
      </c>
      <c r="C1270" s="5" t="inlineStr">
        <is>
          <t>Planeación Estratégica</t>
        </is>
      </c>
      <c r="D1270" s="5" t="inlineStr">
        <is>
          <t>Trimestral</t>
        </is>
      </c>
      <c r="E1270" s="5" t="inlineStr">
        <is>
          <t>Positivo</t>
        </is>
      </c>
      <c r="F1270" s="107" t="n">
        <v>45382</v>
      </c>
      <c r="G1270" s="5" t="n">
        <v>2024</v>
      </c>
      <c r="H1270" s="5" t="inlineStr">
        <is>
          <t>Marzo</t>
        </is>
      </c>
      <c r="I1270" s="6" t="inlineStr">
        <is>
          <t>2024-1</t>
        </is>
      </c>
      <c r="J1270" s="5" t="n">
        <v>100</v>
      </c>
      <c r="K1270" s="9" t="n">
        <v>100</v>
      </c>
      <c r="L1270" s="14">
        <f>IFERROR(IF(OR(J1270=0,K1270=""),"",IF(E1270="Positivo",MIN(MAX(K1270/J1270,0),1.3),MIN(MAX(J1270/K1270,0),1.3))),"") </f>
        <v/>
      </c>
      <c r="M1270" s="14">
        <f>IFERROR(IF(OR(J1270=0,K1270=""),"",IF(E1270="Positivo",MAX(K1270/J1270,0),MAX(J1270/K1270,0))),"") </f>
        <v/>
      </c>
      <c r="N1270" s="5" t="inlineStr">
        <is>
          <t>%</t>
        </is>
      </c>
      <c r="O1270" s="5" t="inlineStr">
        <is>
          <t>%</t>
        </is>
      </c>
      <c r="P1270" s="15" t="n">
        <v>0</v>
      </c>
      <c r="Q1270" s="15" t="n">
        <v>0</v>
      </c>
      <c r="R1270" s="5" t="inlineStr">
        <is>
          <t>254-2024-03-31</t>
        </is>
      </c>
    </row>
    <row r="1271">
      <c r="A1271" s="21" t="n">
        <v>254</v>
      </c>
      <c r="B1271" s="5" t="inlineStr">
        <is>
          <t>Áreas con reportes de plan de retos</t>
        </is>
      </c>
      <c r="C1271" s="5" t="inlineStr">
        <is>
          <t>Planeación Estratégica</t>
        </is>
      </c>
      <c r="D1271" s="5" t="inlineStr">
        <is>
          <t>Trimestral</t>
        </is>
      </c>
      <c r="E1271" s="5" t="inlineStr">
        <is>
          <t>Positivo</t>
        </is>
      </c>
      <c r="F1271" s="107" t="n">
        <v>45473</v>
      </c>
      <c r="G1271" s="5" t="n">
        <v>2024</v>
      </c>
      <c r="H1271" s="5" t="inlineStr">
        <is>
          <t>Junio</t>
        </is>
      </c>
      <c r="I1271" s="6" t="inlineStr">
        <is>
          <t>2024-1</t>
        </is>
      </c>
      <c r="J1271" s="5" t="n">
        <v>100</v>
      </c>
      <c r="K1271" s="10" t="n">
        <v>100</v>
      </c>
      <c r="L1271" s="14">
        <f>IFERROR(IF(OR(J1271=0,K1271=""),"",IF(E1271="Positivo",MIN(MAX(K1271/J1271,0),1.3),MIN(MAX(J1271/K1271,0),1.3))),"") </f>
        <v/>
      </c>
      <c r="M1271" s="14">
        <f>IFERROR(IF(OR(J1271=0,K1271=""),"",IF(E1271="Positivo",MAX(K1271/J1271,0),MAX(J1271/K1271,0))),"") </f>
        <v/>
      </c>
      <c r="N1271" s="5" t="inlineStr">
        <is>
          <t>%</t>
        </is>
      </c>
      <c r="O1271" s="5" t="inlineStr">
        <is>
          <t>%</t>
        </is>
      </c>
      <c r="P1271" s="15" t="n">
        <v>0</v>
      </c>
      <c r="Q1271" s="15" t="n">
        <v>0</v>
      </c>
      <c r="R1271" s="5" t="inlineStr">
        <is>
          <t>254-2024-06-30</t>
        </is>
      </c>
    </row>
    <row r="1272">
      <c r="A1272" s="26" t="n">
        <v>254</v>
      </c>
      <c r="B1272" s="5" t="inlineStr">
        <is>
          <t>Áreas con reportes de plan de retos</t>
        </is>
      </c>
      <c r="C1272" s="5" t="inlineStr">
        <is>
          <t>Planeación Estratégica</t>
        </is>
      </c>
      <c r="D1272" s="5" t="inlineStr">
        <is>
          <t>Trimestral</t>
        </is>
      </c>
      <c r="E1272" s="5" t="inlineStr">
        <is>
          <t>Positivo</t>
        </is>
      </c>
      <c r="F1272" s="107" t="n">
        <v>45565</v>
      </c>
      <c r="G1272" s="5" t="n">
        <v>2024</v>
      </c>
      <c r="H1272" s="5" t="inlineStr">
        <is>
          <t>Septiembre</t>
        </is>
      </c>
      <c r="I1272" s="6" t="inlineStr">
        <is>
          <t>2024-2</t>
        </is>
      </c>
      <c r="J1272" s="5" t="n">
        <v>100</v>
      </c>
      <c r="K1272" s="9" t="n">
        <v>100</v>
      </c>
      <c r="L1272" s="14">
        <f>IFERROR(IF(OR(J1272=0,K1272=""),"",IF(E1272="Positivo",MIN(MAX(K1272/J1272,0),1.3),MIN(MAX(J1272/K1272,0),1.3))),"") </f>
        <v/>
      </c>
      <c r="M1272" s="14">
        <f>IFERROR(IF(OR(J1272=0,K1272=""),"",IF(E1272="Positivo",MAX(K1272/J1272,0),MAX(J1272/K1272,0))),"") </f>
        <v/>
      </c>
      <c r="N1272" s="5" t="inlineStr">
        <is>
          <t>%</t>
        </is>
      </c>
      <c r="O1272" s="5" t="inlineStr">
        <is>
          <t>%</t>
        </is>
      </c>
      <c r="P1272" s="15" t="n">
        <v>0</v>
      </c>
      <c r="Q1272" s="15" t="n">
        <v>0</v>
      </c>
      <c r="R1272" s="5" t="inlineStr">
        <is>
          <t>254-2024-09-30</t>
        </is>
      </c>
    </row>
    <row r="1273">
      <c r="A1273" s="21" t="n">
        <v>254</v>
      </c>
      <c r="B1273" s="5" t="inlineStr">
        <is>
          <t>Áreas con reportes de plan de retos</t>
        </is>
      </c>
      <c r="C1273" s="5" t="inlineStr">
        <is>
          <t>Planeación Estratégica</t>
        </is>
      </c>
      <c r="D1273" s="5" t="inlineStr">
        <is>
          <t>Trimestral</t>
        </is>
      </c>
      <c r="E1273" s="5" t="inlineStr">
        <is>
          <t>Positivo</t>
        </is>
      </c>
      <c r="F1273" s="107" t="n">
        <v>45657</v>
      </c>
      <c r="G1273" s="5" t="n">
        <v>2024</v>
      </c>
      <c r="H1273" s="5" t="inlineStr">
        <is>
          <t>Diciembre</t>
        </is>
      </c>
      <c r="I1273" s="6" t="inlineStr">
        <is>
          <t>2024-2</t>
        </is>
      </c>
      <c r="J1273" s="5" t="n">
        <v>100</v>
      </c>
      <c r="K1273" s="10" t="n">
        <v>100</v>
      </c>
      <c r="L1273" s="14">
        <f>IFERROR(IF(OR(J1273=0,K1273=""),"",IF(E1273="Positivo",MIN(MAX(K1273/J1273,0),1.3),MIN(MAX(J1273/K1273,0),1.3))),"") </f>
        <v/>
      </c>
      <c r="M1273" s="14">
        <f>IFERROR(IF(OR(J1273=0,K1273=""),"",IF(E1273="Positivo",MAX(K1273/J1273,0),MAX(J1273/K1273,0))),"") </f>
        <v/>
      </c>
      <c r="N1273" s="5" t="inlineStr">
        <is>
          <t>%</t>
        </is>
      </c>
      <c r="O1273" s="5" t="inlineStr">
        <is>
          <t>%</t>
        </is>
      </c>
      <c r="P1273" s="15" t="n">
        <v>0</v>
      </c>
      <c r="Q1273" s="15" t="n">
        <v>0</v>
      </c>
      <c r="R1273" s="5" t="inlineStr">
        <is>
          <t>254-2024-12-31</t>
        </is>
      </c>
    </row>
    <row r="1274">
      <c r="A1274" s="21" t="n">
        <v>254</v>
      </c>
      <c r="B1274" s="5" t="inlineStr">
        <is>
          <t>Áreas con reportes de plan de retos</t>
        </is>
      </c>
      <c r="C1274" s="5" t="inlineStr">
        <is>
          <t>Planeación Estratégica</t>
        </is>
      </c>
      <c r="D1274" s="5" t="inlineStr">
        <is>
          <t>Trimestral</t>
        </is>
      </c>
      <c r="E1274" s="5" t="inlineStr">
        <is>
          <t>Positivo</t>
        </is>
      </c>
      <c r="F1274" s="107" t="n">
        <v>45747</v>
      </c>
      <c r="G1274" s="5" t="n">
        <v>2025</v>
      </c>
      <c r="H1274" s="5" t="inlineStr">
        <is>
          <t>Marzo</t>
        </is>
      </c>
      <c r="I1274" s="6" t="inlineStr">
        <is>
          <t>2025-1</t>
        </is>
      </c>
      <c r="J1274" s="5" t="n">
        <v>100</v>
      </c>
      <c r="K1274" s="9" t="n">
        <v>100</v>
      </c>
      <c r="L1274" s="14">
        <f>IFERROR(IF(OR(J1274=0,K1274=""),"",IF(E1274="Positivo",MIN(MAX(K1274/J1274,0),1.3),MIN(MAX(J1274/K1274,0),1.3))),"") </f>
        <v/>
      </c>
      <c r="M1274" s="14">
        <f>IFERROR(IF(OR(J1274=0,K1274=""),"",IF(E1274="Positivo",MAX(K1274/J1274,0),MAX(J1274/K1274,0))),"") </f>
        <v/>
      </c>
      <c r="N1274" s="5" t="inlineStr">
        <is>
          <t>%</t>
        </is>
      </c>
      <c r="O1274" s="5" t="inlineStr">
        <is>
          <t>%</t>
        </is>
      </c>
      <c r="P1274" s="15" t="n">
        <v>0</v>
      </c>
      <c r="Q1274" s="15" t="n">
        <v>0</v>
      </c>
      <c r="R1274" s="5" t="inlineStr">
        <is>
          <t>254-2025-03-31</t>
        </is>
      </c>
    </row>
    <row r="1275">
      <c r="A1275" s="21" t="n">
        <v>254</v>
      </c>
      <c r="B1275" s="5" t="inlineStr">
        <is>
          <t>Áreas con reportes de plan de retos</t>
        </is>
      </c>
      <c r="C1275" s="5" t="inlineStr">
        <is>
          <t>Planeación Estratégica</t>
        </is>
      </c>
      <c r="D1275" s="5" t="inlineStr">
        <is>
          <t>Trimestral</t>
        </is>
      </c>
      <c r="E1275" s="5" t="inlineStr">
        <is>
          <t>Positivo</t>
        </is>
      </c>
      <c r="F1275" s="107" t="n">
        <v>45838</v>
      </c>
      <c r="G1275" s="5" t="n">
        <v>2025</v>
      </c>
      <c r="H1275" s="5" t="inlineStr">
        <is>
          <t>Junio</t>
        </is>
      </c>
      <c r="I1275" s="6" t="inlineStr">
        <is>
          <t>2025-1</t>
        </is>
      </c>
      <c r="J1275" s="5" t="n">
        <v>100</v>
      </c>
      <c r="K1275" s="9" t="n">
        <v>100</v>
      </c>
      <c r="L1275" s="14">
        <f>IFERROR(IF(OR(J1275=0,K1275=""),"",IF(E1275="Positivo",MIN(MAX(K1275/J1275,0),1.3),MIN(MAX(J1275/K1275,0),1.3))),"") </f>
        <v/>
      </c>
      <c r="M1275" s="14">
        <f>IFERROR(IF(OR(J1275=0,K1275=""),"",IF(E1275="Positivo",MAX(K1275/J1275,0),MAX(J1275/K1275,0))),"") </f>
        <v/>
      </c>
      <c r="N1275" s="5" t="inlineStr">
        <is>
          <t>%</t>
        </is>
      </c>
      <c r="O1275" s="5" t="inlineStr">
        <is>
          <t>%</t>
        </is>
      </c>
      <c r="P1275" s="15" t="n">
        <v>0</v>
      </c>
      <c r="Q1275" s="15" t="n">
        <v>0</v>
      </c>
      <c r="R1275" s="5" t="inlineStr">
        <is>
          <t>254-2025-06-30</t>
        </is>
      </c>
    </row>
    <row r="1276">
      <c r="A1276" s="21" t="n">
        <v>254</v>
      </c>
      <c r="B1276" s="5" t="inlineStr">
        <is>
          <t>Áreas con reportes de plan de retos</t>
        </is>
      </c>
      <c r="C1276" s="5" t="inlineStr">
        <is>
          <t>Planeación Estratégica</t>
        </is>
      </c>
      <c r="D1276" s="5" t="inlineStr">
        <is>
          <t>Semestral</t>
        </is>
      </c>
      <c r="E1276" s="5" t="inlineStr">
        <is>
          <t>Positivo</t>
        </is>
      </c>
      <c r="F1276" s="107" t="n">
        <v>45930</v>
      </c>
      <c r="G1276" s="5" t="n">
        <v>2025</v>
      </c>
      <c r="H1276" s="5" t="inlineStr">
        <is>
          <t>Septiembre</t>
        </is>
      </c>
      <c r="I1276" s="6" t="inlineStr">
        <is>
          <t>2025-2</t>
        </is>
      </c>
      <c r="J1276" s="5" t="n">
        <v>100</v>
      </c>
      <c r="K1276" s="9" t="n">
        <v>100</v>
      </c>
      <c r="L1276" s="14">
        <f>IFERROR(IF(OR(J1276=0,K1276=""),"",IF(E1276="Positivo",MIN(MAX(K1276/J1276,0),1.3),MIN(MAX(J1276/K1276,0),1.3))),"") </f>
        <v/>
      </c>
      <c r="M1276" s="14">
        <f>IFERROR(IF(OR(J1276=0,K1276=""),"",IF(E1276="Positivo",MAX(K1276/J1276,0),MAX(J1276/K1276,0))),"") </f>
        <v/>
      </c>
      <c r="N1276" s="5" t="inlineStr">
        <is>
          <t>ENT</t>
        </is>
      </c>
      <c r="O1276" s="5" t="inlineStr">
        <is>
          <t>ENT</t>
        </is>
      </c>
      <c r="P1276" s="15" t="n">
        <v>0</v>
      </c>
      <c r="Q1276" s="15" t="n">
        <v>0</v>
      </c>
      <c r="R1276" s="5" t="inlineStr">
        <is>
          <t>254-2025-09-30</t>
        </is>
      </c>
    </row>
    <row r="1277">
      <c r="A1277" s="21" t="n">
        <v>254</v>
      </c>
      <c r="B1277" s="5" t="inlineStr">
        <is>
          <t>Áreas con reportes de plan de retos</t>
        </is>
      </c>
      <c r="C1277" s="5" t="inlineStr">
        <is>
          <t>Planeación Estratégica</t>
        </is>
      </c>
      <c r="D1277" s="5" t="inlineStr">
        <is>
          <t>Semestral</t>
        </is>
      </c>
      <c r="E1277" s="5" t="inlineStr">
        <is>
          <t>Positivo</t>
        </is>
      </c>
      <c r="F1277" s="107" t="n">
        <v>46022</v>
      </c>
      <c r="G1277" s="5" t="n">
        <v>2025</v>
      </c>
      <c r="H1277" s="5" t="inlineStr">
        <is>
          <t>Diciembre</t>
        </is>
      </c>
      <c r="I1277" s="6" t="inlineStr">
        <is>
          <t>2025-2</t>
        </is>
      </c>
      <c r="J1277" s="5" t="n">
        <v>100</v>
      </c>
      <c r="K1277" s="10" t="n">
        <v>100</v>
      </c>
      <c r="L1277" s="14">
        <f>IFERROR(IF(OR(J1277=0,K1277=""),"",IF(E1277="Positivo",MIN(MAX(K1277/J1277,0),1.3),MIN(MAX(J1277/K1277,0),1.3))),"") </f>
        <v/>
      </c>
      <c r="M1277" s="14">
        <f>IFERROR(IF(OR(J1277=0,K1277=""),"",IF(E1277="Positivo",MAX(K1277/J1277,0),MAX(J1277/K1277,0))),"") </f>
        <v/>
      </c>
      <c r="N1277" s="5" t="inlineStr">
        <is>
          <t>ENT</t>
        </is>
      </c>
      <c r="O1277" s="5" t="inlineStr">
        <is>
          <t>ENT</t>
        </is>
      </c>
      <c r="P1277" s="15" t="n">
        <v>0</v>
      </c>
      <c r="Q1277" s="15" t="n">
        <v>0</v>
      </c>
      <c r="R1277" s="5" t="inlineStr">
        <is>
          <t>254-2025-12-31</t>
        </is>
      </c>
    </row>
    <row r="1278">
      <c r="A1278" s="5" t="n">
        <v>255</v>
      </c>
      <c r="B1278" s="5" t="inlineStr">
        <is>
          <t>Informe anual de variación de índice H</t>
        </is>
      </c>
      <c r="C1278" s="5" t="inlineStr">
        <is>
          <t>Editorial y Publicaciones</t>
        </is>
      </c>
      <c r="D1278" s="5" t="inlineStr">
        <is>
          <t>Anual</t>
        </is>
      </c>
      <c r="E1278" s="5" t="inlineStr">
        <is>
          <t>Positivo</t>
        </is>
      </c>
      <c r="F1278" s="107" t="n">
        <v>45291</v>
      </c>
      <c r="G1278" s="5" t="n">
        <v>2023</v>
      </c>
      <c r="H1278" s="5" t="inlineStr">
        <is>
          <t>Diciembre</t>
        </is>
      </c>
      <c r="I1278" s="6" t="inlineStr">
        <is>
          <t>2023-2</t>
        </is>
      </c>
      <c r="J1278" s="5" t="n">
        <v>100</v>
      </c>
      <c r="K1278" s="5" t="n">
        <v>18</v>
      </c>
      <c r="L1278" s="14">
        <f>IFERROR(IF(OR(J1278=0,K1278=""),"",IF(E1278="Positivo",MIN(MAX(K1278/J1278,0),1.3),MIN(MAX(J1278/K1278,0),1.3))),"") </f>
        <v/>
      </c>
      <c r="M1278" s="14">
        <f>IFERROR(IF(OR(J1278=0,K1278=""),"",IF(E1278="Positivo",MAX(K1278/J1278,0),MAX(J1278/K1278,0))),"") </f>
        <v/>
      </c>
      <c r="N1278" s="5" t="inlineStr">
        <is>
          <t>%</t>
        </is>
      </c>
      <c r="O1278" s="5" t="inlineStr">
        <is>
          <t>%</t>
        </is>
      </c>
      <c r="P1278" s="5" t="n">
        <v>0</v>
      </c>
      <c r="Q1278" s="5" t="n">
        <v>0</v>
      </c>
      <c r="R1278" s="5" t="inlineStr">
        <is>
          <t>255-2023-12-31</t>
        </is>
      </c>
    </row>
    <row r="1279">
      <c r="A1279" s="21" t="n">
        <v>255</v>
      </c>
      <c r="B1279" s="5" t="inlineStr">
        <is>
          <t>Informe anual de variación de índice H</t>
        </is>
      </c>
      <c r="C1279" s="5" t="inlineStr">
        <is>
          <t>Editorial y Publicaciones</t>
        </is>
      </c>
      <c r="D1279" s="5" t="inlineStr">
        <is>
          <t>Anual</t>
        </is>
      </c>
      <c r="E1279" s="5" t="inlineStr">
        <is>
          <t>Positivo</t>
        </is>
      </c>
      <c r="F1279" s="107" t="n">
        <v>45657</v>
      </c>
      <c r="G1279" s="5" t="n">
        <v>2024</v>
      </c>
      <c r="H1279" s="5" t="inlineStr">
        <is>
          <t>Diciembre</t>
        </is>
      </c>
      <c r="I1279" s="6" t="inlineStr">
        <is>
          <t>2024-2</t>
        </is>
      </c>
      <c r="J1279" s="5" t="n">
        <v>100</v>
      </c>
      <c r="K1279" s="10" t="n">
        <v>15</v>
      </c>
      <c r="L1279" s="14">
        <f>IFERROR(IF(OR(J1279=0,K1279=""),"",IF(E1279="Positivo",MIN(MAX(K1279/J1279,0),1.3),MIN(MAX(J1279/K1279,0),1.3))),"") </f>
        <v/>
      </c>
      <c r="M1279" s="14">
        <f>IFERROR(IF(OR(J1279=0,K1279=""),"",IF(E1279="Positivo",MAX(K1279/J1279,0),MAX(J1279/K1279,0))),"") </f>
        <v/>
      </c>
      <c r="N1279" s="5" t="n"/>
      <c r="O1279" s="5" t="n"/>
      <c r="P1279" s="15" t="n">
        <v>0</v>
      </c>
      <c r="Q1279" s="15" t="n">
        <v>0</v>
      </c>
      <c r="R1279" s="5" t="inlineStr">
        <is>
          <t>255-2024-12-31</t>
        </is>
      </c>
    </row>
    <row r="1280">
      <c r="A1280" s="21" t="n">
        <v>255</v>
      </c>
      <c r="B1280" s="5" t="inlineStr">
        <is>
          <t>Informe anual de índice H</t>
        </is>
      </c>
      <c r="C1280" s="5" t="inlineStr">
        <is>
          <t>Editorial y Publicaciones</t>
        </is>
      </c>
      <c r="D1280" s="5" t="inlineStr">
        <is>
          <t>Anual</t>
        </is>
      </c>
      <c r="E1280" s="5" t="inlineStr">
        <is>
          <t>Positivo</t>
        </is>
      </c>
      <c r="F1280" s="107" t="n">
        <v>46022</v>
      </c>
      <c r="G1280" s="5" t="n">
        <v>2025</v>
      </c>
      <c r="H1280" s="5" t="inlineStr">
        <is>
          <t>Diciembre</t>
        </is>
      </c>
      <c r="I1280" s="6" t="inlineStr">
        <is>
          <t>2025-2</t>
        </is>
      </c>
      <c r="J1280" s="5" t="n">
        <v>100</v>
      </c>
      <c r="K1280" s="10" t="n"/>
      <c r="L1280" s="14" t="n"/>
      <c r="M1280" s="14" t="n"/>
      <c r="N1280" s="5" t="inlineStr">
        <is>
          <t>ENT</t>
        </is>
      </c>
      <c r="O1280" s="5" t="inlineStr">
        <is>
          <t>No Aplica</t>
        </is>
      </c>
      <c r="P1280" s="15" t="n">
        <v>0</v>
      </c>
      <c r="Q1280" s="15" t="n">
        <v>0</v>
      </c>
      <c r="R1280" s="5" t="inlineStr">
        <is>
          <t>255-2025-12-31</t>
        </is>
      </c>
      <c r="S1280" t="inlineStr">
        <is>
          <t>No Aplica</t>
        </is>
      </c>
    </row>
    <row r="1281">
      <c r="A1281" s="21" t="n">
        <v>256</v>
      </c>
      <c r="B1281" s="5" t="inlineStr">
        <is>
          <t>Publicaciones editadas por la editorial</t>
        </is>
      </c>
      <c r="C1281" s="5" t="inlineStr">
        <is>
          <t>Editorial y Publicaciones</t>
        </is>
      </c>
      <c r="D1281" s="5" t="inlineStr">
        <is>
          <t>Semestral</t>
        </is>
      </c>
      <c r="E1281" s="5" t="inlineStr">
        <is>
          <t>Positivo</t>
        </is>
      </c>
      <c r="F1281" s="107" t="n">
        <v>45107</v>
      </c>
      <c r="G1281" s="5" t="n">
        <v>2023</v>
      </c>
      <c r="H1281" s="5" t="inlineStr">
        <is>
          <t>Junio</t>
        </is>
      </c>
      <c r="I1281" s="6" t="inlineStr">
        <is>
          <t>2023-1</t>
        </is>
      </c>
      <c r="J1281" s="5" t="n">
        <v>100</v>
      </c>
      <c r="K1281" s="9" t="n">
        <v>123.52941176471</v>
      </c>
      <c r="L1281" s="14">
        <f>IFERROR(IF(OR(J1281=0,K1281=""),"",IF(E1281="Positivo",MIN(MAX(K1281/J1281,0),1.3),MIN(MAX(J1281/K1281,0),1.3))),"") </f>
        <v/>
      </c>
      <c r="M1281" s="14">
        <f>IFERROR(IF(OR(J1281=0,K1281=""),"",IF(E1281="Positivo",MAX(K1281/J1281,0),MAX(J1281/K1281,0))),"") </f>
        <v/>
      </c>
      <c r="N1281" s="5" t="inlineStr">
        <is>
          <t>ENT</t>
        </is>
      </c>
      <c r="O1281" s="5" t="inlineStr">
        <is>
          <t>ENT</t>
        </is>
      </c>
      <c r="P1281" s="15" t="n">
        <v>0</v>
      </c>
      <c r="Q1281" s="15" t="n">
        <v>0</v>
      </c>
      <c r="R1281" s="5" t="inlineStr">
        <is>
          <t>256-2023-06-30</t>
        </is>
      </c>
    </row>
    <row r="1282">
      <c r="A1282" s="21" t="n">
        <v>256</v>
      </c>
      <c r="B1282" s="5" t="inlineStr">
        <is>
          <t>Publicaciones editadas por la editorial</t>
        </is>
      </c>
      <c r="C1282" s="5" t="inlineStr">
        <is>
          <t>Editorial y Publicaciones</t>
        </is>
      </c>
      <c r="D1282" s="5" t="inlineStr">
        <is>
          <t>Semestral</t>
        </is>
      </c>
      <c r="E1282" s="5" t="inlineStr">
        <is>
          <t>Positivo</t>
        </is>
      </c>
      <c r="F1282" s="107" t="n">
        <v>45291</v>
      </c>
      <c r="G1282" s="5" t="n">
        <v>2023</v>
      </c>
      <c r="H1282" s="5" t="inlineStr">
        <is>
          <t>Diciembre</t>
        </is>
      </c>
      <c r="I1282" s="6" t="inlineStr">
        <is>
          <t>2023-2</t>
        </is>
      </c>
      <c r="J1282" s="5" t="n">
        <v>100</v>
      </c>
      <c r="K1282" s="9" t="n">
        <v>123.53</v>
      </c>
      <c r="L1282" s="14">
        <f>IFERROR(IF(OR(J1282=0,K1282=""),"",IF(E1282="Positivo",MIN(MAX(K1282/J1282,0),1.3),MIN(MAX(J1282/K1282,0),1.3))),"") </f>
        <v/>
      </c>
      <c r="M1282" s="14">
        <f>IFERROR(IF(OR(J1282=0,K1282=""),"",IF(E1282="Positivo",MAX(K1282/J1282,0),MAX(J1282/K1282,0))),"") </f>
        <v/>
      </c>
      <c r="N1282" s="5" t="inlineStr">
        <is>
          <t>ENT</t>
        </is>
      </c>
      <c r="O1282" s="5" t="inlineStr">
        <is>
          <t>ENT</t>
        </is>
      </c>
      <c r="P1282" s="15" t="n">
        <v>0</v>
      </c>
      <c r="Q1282" s="15" t="n">
        <v>0</v>
      </c>
      <c r="R1282" s="5" t="inlineStr">
        <is>
          <t>256-2023-12-31</t>
        </is>
      </c>
    </row>
    <row r="1283">
      <c r="A1283" s="21" t="n">
        <v>256</v>
      </c>
      <c r="B1283" s="5" t="inlineStr">
        <is>
          <t>Publicaciones editadas por la editorial</t>
        </is>
      </c>
      <c r="C1283" s="5" t="inlineStr">
        <is>
          <t>Editorial y Publicaciones</t>
        </is>
      </c>
      <c r="D1283" s="5" t="inlineStr">
        <is>
          <t>Semestral</t>
        </is>
      </c>
      <c r="E1283" s="5" t="inlineStr">
        <is>
          <t>Positivo</t>
        </is>
      </c>
      <c r="F1283" s="107" t="n">
        <v>45473</v>
      </c>
      <c r="G1283" s="5" t="n">
        <v>2024</v>
      </c>
      <c r="H1283" s="5" t="inlineStr">
        <is>
          <t>Junio</t>
        </is>
      </c>
      <c r="I1283" s="6" t="inlineStr">
        <is>
          <t>2024-1</t>
        </is>
      </c>
      <c r="J1283" s="5" t="n">
        <v>100</v>
      </c>
      <c r="K1283" s="9" t="n">
        <v>117.65</v>
      </c>
      <c r="L1283" s="14">
        <f>IFERROR(IF(OR(J1283=0,K1283=""),"",IF(E1283="Positivo",MIN(MAX(K1283/J1283,0),1.3),MIN(MAX(J1283/K1283,0),1.3))),"") </f>
        <v/>
      </c>
      <c r="M1283" s="14">
        <f>IFERROR(IF(OR(J1283=0,K1283=""),"",IF(E1283="Positivo",MAX(K1283/J1283,0),MAX(J1283/K1283,0))),"") </f>
        <v/>
      </c>
      <c r="N1283" s="5" t="inlineStr">
        <is>
          <t>ENT</t>
        </is>
      </c>
      <c r="O1283" s="5" t="inlineStr">
        <is>
          <t>ENT</t>
        </is>
      </c>
      <c r="P1283" s="15" t="n">
        <v>0</v>
      </c>
      <c r="Q1283" s="15" t="n">
        <v>0</v>
      </c>
      <c r="R1283" s="5" t="inlineStr">
        <is>
          <t>256-2024-06-30</t>
        </is>
      </c>
    </row>
    <row r="1284">
      <c r="A1284" s="21" t="n">
        <v>256</v>
      </c>
      <c r="B1284" s="5" t="inlineStr">
        <is>
          <t>Publicaciones editadas por la editorial</t>
        </is>
      </c>
      <c r="C1284" s="5" t="inlineStr">
        <is>
          <t>Editorial y Publicaciones</t>
        </is>
      </c>
      <c r="D1284" s="5" t="inlineStr">
        <is>
          <t>Semestral</t>
        </is>
      </c>
      <c r="E1284" s="5" t="inlineStr">
        <is>
          <t>Positivo</t>
        </is>
      </c>
      <c r="F1284" s="107" t="n">
        <v>45657</v>
      </c>
      <c r="G1284" s="5" t="n">
        <v>2024</v>
      </c>
      <c r="H1284" s="5" t="inlineStr">
        <is>
          <t>Diciembre</t>
        </is>
      </c>
      <c r="I1284" s="6" t="inlineStr">
        <is>
          <t>2024-2</t>
        </is>
      </c>
      <c r="J1284" s="5" t="n">
        <v>100</v>
      </c>
      <c r="K1284" s="10" t="n">
        <v>152.94</v>
      </c>
      <c r="L1284" s="14">
        <f>IFERROR(IF(OR(J1284=0,K1284=""),"",IF(E1284="Positivo",MIN(MAX(K1284/J1284,0),1.3),MIN(MAX(J1284/K1284,0),1.3))),"") </f>
        <v/>
      </c>
      <c r="M1284" s="14">
        <f>IFERROR(IF(OR(J1284=0,K1284=""),"",IF(E1284="Positivo",MAX(K1284/J1284,0),MAX(J1284/K1284,0))),"") </f>
        <v/>
      </c>
      <c r="N1284" s="5" t="inlineStr">
        <is>
          <t>ENT</t>
        </is>
      </c>
      <c r="O1284" s="5" t="inlineStr">
        <is>
          <t>ENT</t>
        </is>
      </c>
      <c r="P1284" s="15" t="n">
        <v>0</v>
      </c>
      <c r="Q1284" s="15" t="n">
        <v>0</v>
      </c>
      <c r="R1284" s="5" t="inlineStr">
        <is>
          <t>256-2024-12-31</t>
        </is>
      </c>
    </row>
    <row r="1285">
      <c r="A1285" s="5" t="n">
        <v>256</v>
      </c>
      <c r="B1285" s="5" t="inlineStr">
        <is>
          <t>Publicaciones editadas por la editorial</t>
        </is>
      </c>
      <c r="C1285" s="5" t="inlineStr">
        <is>
          <t>Editorial y Publicaciones</t>
        </is>
      </c>
      <c r="D1285" s="5" t="inlineStr">
        <is>
          <t>Semestral</t>
        </is>
      </c>
      <c r="E1285" s="5" t="inlineStr">
        <is>
          <t>Positivo</t>
        </is>
      </c>
      <c r="F1285" s="107" t="n">
        <v>45838</v>
      </c>
      <c r="G1285" s="5" t="n">
        <v>2025</v>
      </c>
      <c r="H1285" s="5" t="inlineStr">
        <is>
          <t>Junio</t>
        </is>
      </c>
      <c r="I1285" s="6" t="inlineStr">
        <is>
          <t>2025-1</t>
        </is>
      </c>
      <c r="J1285" s="5" t="n">
        <v>100</v>
      </c>
      <c r="K1285" s="5" t="n">
        <v>100</v>
      </c>
      <c r="L1285" s="14">
        <f>IFERROR(IF(OR(J1285=0,K1285=""),"",IF(E1285="Positivo",MIN(MAX(K1285/J1285,0),1.3),MIN(MAX(J1285/K1285,0),1.3))),"") </f>
        <v/>
      </c>
      <c r="M1285" s="14">
        <f>IFERROR(IF(OR(J1285=0,K1285=""),"",IF(E1285="Positivo",MAX(K1285/J1285,0),MAX(J1285/K1285,0))),"") </f>
        <v/>
      </c>
      <c r="N1285" s="5" t="inlineStr">
        <is>
          <t>ENT</t>
        </is>
      </c>
      <c r="O1285" s="5" t="inlineStr">
        <is>
          <t>ENT</t>
        </is>
      </c>
      <c r="P1285" s="5" t="n">
        <v>0</v>
      </c>
      <c r="Q1285" s="5" t="n">
        <v>0</v>
      </c>
      <c r="R1285" s="5" t="inlineStr">
        <is>
          <t>256-2025-06-30</t>
        </is>
      </c>
    </row>
    <row r="1286">
      <c r="A1286" s="21" t="n">
        <v>256</v>
      </c>
      <c r="B1286" s="5" t="inlineStr">
        <is>
          <t>Publicaciones editadas por la editorial</t>
        </is>
      </c>
      <c r="C1286" s="5" t="inlineStr">
        <is>
          <t>Editorial y Publicaciones</t>
        </is>
      </c>
      <c r="D1286" s="5" t="inlineStr">
        <is>
          <t>Trimestral</t>
        </is>
      </c>
      <c r="E1286" s="5" t="inlineStr">
        <is>
          <t>Positivo</t>
        </is>
      </c>
      <c r="F1286" s="107" t="n">
        <v>46022</v>
      </c>
      <c r="G1286" s="5" t="n">
        <v>2025</v>
      </c>
      <c r="H1286" s="5" t="inlineStr">
        <is>
          <t>Diciembre</t>
        </is>
      </c>
      <c r="I1286" s="6" t="inlineStr">
        <is>
          <t>2025-2</t>
        </is>
      </c>
      <c r="J1286" s="5" t="n">
        <v>100</v>
      </c>
      <c r="K1286" s="10" t="n">
        <v>170.59</v>
      </c>
      <c r="L1286" s="14">
        <f>IFERROR(IF(OR(J1286=0,K1286=""),"",IF(E1286="Positivo",MIN(MAX(K1286/J1286,0),1.3),MIN(MAX(J1286/K1286,0),1.3))),"") </f>
        <v/>
      </c>
      <c r="M1286" s="14">
        <f>IFERROR(IF(OR(J1286=0,K1286=""),"",IF(E1286="Positivo",MAX(K1286/J1286,0),MAX(J1286/K1286,0))),"") </f>
        <v/>
      </c>
      <c r="N1286" s="5" t="inlineStr">
        <is>
          <t>ENT</t>
        </is>
      </c>
      <c r="O1286" s="5" t="inlineStr">
        <is>
          <t>ENT</t>
        </is>
      </c>
      <c r="P1286" s="15" t="n">
        <v>0</v>
      </c>
      <c r="Q1286" s="15" t="n">
        <v>0</v>
      </c>
      <c r="R1286" s="5" t="inlineStr">
        <is>
          <t>256-2025-12-31</t>
        </is>
      </c>
    </row>
    <row r="1287">
      <c r="A1287" s="21" t="n">
        <v>257</v>
      </c>
      <c r="B1287" s="5" t="inlineStr">
        <is>
          <t>N de publicaciones aprobadas en convocatorias</t>
        </is>
      </c>
      <c r="C1287" s="5" t="inlineStr">
        <is>
          <t>Editorial y Publicaciones</t>
        </is>
      </c>
      <c r="D1287" s="5" t="inlineStr">
        <is>
          <t>Semestral</t>
        </is>
      </c>
      <c r="E1287" s="5" t="inlineStr">
        <is>
          <t>Positivo</t>
        </is>
      </c>
      <c r="F1287" s="107" t="n">
        <v>45107</v>
      </c>
      <c r="G1287" s="5" t="n">
        <v>2023</v>
      </c>
      <c r="H1287" s="5" t="inlineStr">
        <is>
          <t>Junio</t>
        </is>
      </c>
      <c r="I1287" s="6" t="inlineStr">
        <is>
          <t>2023-1</t>
        </is>
      </c>
      <c r="J1287" s="5" t="n">
        <v>18</v>
      </c>
      <c r="K1287" s="10" t="n">
        <v>15</v>
      </c>
      <c r="L1287" s="14">
        <f>IFERROR(IF(OR(J1287=0,K1287=""),"",IF(E1287="Positivo",MIN(MAX(K1287/J1287,0),1.3),MIN(MAX(J1287/K1287,0),1.3))),"") </f>
        <v/>
      </c>
      <c r="M1287" s="14">
        <f>IFERROR(IF(OR(J1287=0,K1287=""),"",IF(E1287="Positivo",MAX(K1287/J1287,0),MAX(J1287/K1287,0))),"") </f>
        <v/>
      </c>
      <c r="N1287" s="5" t="inlineStr">
        <is>
          <t>ENT</t>
        </is>
      </c>
      <c r="O1287" s="5" t="inlineStr">
        <is>
          <t>ENT</t>
        </is>
      </c>
      <c r="P1287" s="15" t="n">
        <v>0</v>
      </c>
      <c r="Q1287" s="15" t="n">
        <v>0</v>
      </c>
      <c r="R1287" s="5" t="inlineStr">
        <is>
          <t>257-2023-06-30</t>
        </is>
      </c>
    </row>
    <row r="1288">
      <c r="A1288" s="21" t="n">
        <v>257</v>
      </c>
      <c r="B1288" s="5" t="inlineStr">
        <is>
          <t>N de publicaciones aprobadas en convocatorias</t>
        </is>
      </c>
      <c r="C1288" s="5" t="inlineStr">
        <is>
          <t>Editorial y Publicaciones</t>
        </is>
      </c>
      <c r="D1288" s="5" t="inlineStr">
        <is>
          <t>Semestral</t>
        </is>
      </c>
      <c r="E1288" s="5" t="inlineStr">
        <is>
          <t>Positivo</t>
        </is>
      </c>
      <c r="F1288" s="107" t="n">
        <v>45291</v>
      </c>
      <c r="G1288" s="5" t="n">
        <v>2023</v>
      </c>
      <c r="H1288" s="5" t="inlineStr">
        <is>
          <t>Diciembre</t>
        </is>
      </c>
      <c r="I1288" s="6" t="inlineStr">
        <is>
          <t>2023-2</t>
        </is>
      </c>
      <c r="J1288" s="5" t="n">
        <v>24</v>
      </c>
      <c r="K1288" s="9" t="n">
        <v>24</v>
      </c>
      <c r="L1288" s="14">
        <f>IFERROR(IF(OR(J1288=0,K1288=""),"",IF(E1288="Positivo",MIN(MAX(K1288/J1288,0),1.3),MIN(MAX(J1288/K1288,0),1.3))),"") </f>
        <v/>
      </c>
      <c r="M1288" s="14">
        <f>IFERROR(IF(OR(J1288=0,K1288=""),"",IF(E1288="Positivo",MAX(K1288/J1288,0),MAX(J1288/K1288,0))),"") </f>
        <v/>
      </c>
      <c r="N1288" s="5" t="inlineStr">
        <is>
          <t>ENT</t>
        </is>
      </c>
      <c r="O1288" s="5" t="inlineStr">
        <is>
          <t>ENT</t>
        </is>
      </c>
      <c r="P1288" s="15" t="n">
        <v>0</v>
      </c>
      <c r="Q1288" s="15" t="n">
        <v>0</v>
      </c>
      <c r="R1288" s="5" t="inlineStr">
        <is>
          <t>257-2023-12-31</t>
        </is>
      </c>
    </row>
    <row r="1289">
      <c r="A1289" s="21" t="n">
        <v>259</v>
      </c>
      <c r="B1289" s="5" t="inlineStr">
        <is>
          <t>Subprocesos con indicadores reportados oportunamente</t>
        </is>
      </c>
      <c r="C1289" s="5" t="inlineStr">
        <is>
          <t>Desempeño Institucional</t>
        </is>
      </c>
      <c r="D1289" s="5" t="inlineStr">
        <is>
          <t>Trimestral</t>
        </is>
      </c>
      <c r="E1289" s="5" t="inlineStr">
        <is>
          <t>Positivo</t>
        </is>
      </c>
      <c r="F1289" s="107" t="n">
        <v>45107</v>
      </c>
      <c r="G1289" s="5" t="n">
        <v>2023</v>
      </c>
      <c r="H1289" s="5" t="inlineStr">
        <is>
          <t>Junio</t>
        </is>
      </c>
      <c r="I1289" s="6" t="inlineStr">
        <is>
          <t>2023-1</t>
        </is>
      </c>
      <c r="J1289" s="5" t="n">
        <v>100</v>
      </c>
      <c r="K1289" s="9" t="n">
        <v>60.526315789474</v>
      </c>
      <c r="L1289" s="14">
        <f>IFERROR(IF(OR(J1289=0,K1289=""),"",IF(E1289="Positivo",MIN(MAX(K1289/J1289,0),1.3),MIN(MAX(J1289/K1289,0),1.3))),"") </f>
        <v/>
      </c>
      <c r="M1289" s="14">
        <f>IFERROR(IF(OR(J1289=0,K1289=""),"",IF(E1289="Positivo",MAX(K1289/J1289,0),MAX(J1289/K1289,0))),"") </f>
        <v/>
      </c>
      <c r="N1289" s="5" t="inlineStr">
        <is>
          <t>%</t>
        </is>
      </c>
      <c r="O1289" s="5" t="inlineStr">
        <is>
          <t>%</t>
        </is>
      </c>
      <c r="P1289" s="15" t="n">
        <v>0</v>
      </c>
      <c r="Q1289" s="15" t="n">
        <v>0</v>
      </c>
      <c r="R1289" s="5" t="inlineStr">
        <is>
          <t>259-2023-06-30</t>
        </is>
      </c>
    </row>
    <row r="1290">
      <c r="A1290" s="21" t="n">
        <v>259</v>
      </c>
      <c r="B1290" s="5" t="inlineStr">
        <is>
          <t>Subprocesos con indicadores reportados oportunamente</t>
        </is>
      </c>
      <c r="C1290" s="5" t="inlineStr">
        <is>
          <t>Desempeño Institucional</t>
        </is>
      </c>
      <c r="D1290" s="5" t="inlineStr">
        <is>
          <t>Trimestral</t>
        </is>
      </c>
      <c r="E1290" s="5" t="inlineStr">
        <is>
          <t>Positivo</t>
        </is>
      </c>
      <c r="F1290" s="107" t="n">
        <v>45199</v>
      </c>
      <c r="G1290" s="5" t="n">
        <v>2023</v>
      </c>
      <c r="H1290" s="5" t="inlineStr">
        <is>
          <t>Septiembre</t>
        </is>
      </c>
      <c r="I1290" s="6" t="inlineStr">
        <is>
          <t>2023-2</t>
        </is>
      </c>
      <c r="J1290" s="5" t="n">
        <v>100</v>
      </c>
      <c r="K1290" s="9" t="n">
        <v>68.75</v>
      </c>
      <c r="L1290" s="14">
        <f>IFERROR(IF(OR(J1290=0,K1290=""),"",IF(E1290="Positivo",MIN(MAX(K1290/J1290,0),1.3),MIN(MAX(J1290/K1290,0),1.3))),"") </f>
        <v/>
      </c>
      <c r="M1290" s="14">
        <f>IFERROR(IF(OR(J1290=0,K1290=""),"",IF(E1290="Positivo",MAX(K1290/J1290,0),MAX(J1290/K1290,0))),"") </f>
        <v/>
      </c>
      <c r="N1290" s="5" t="inlineStr">
        <is>
          <t>%</t>
        </is>
      </c>
      <c r="O1290" s="5" t="inlineStr">
        <is>
          <t>%</t>
        </is>
      </c>
      <c r="P1290" s="15" t="n">
        <v>0</v>
      </c>
      <c r="Q1290" s="15" t="n">
        <v>0</v>
      </c>
      <c r="R1290" s="5" t="inlineStr">
        <is>
          <t>259-2023-09-30</t>
        </is>
      </c>
    </row>
    <row r="1291">
      <c r="A1291" s="21" t="n">
        <v>259</v>
      </c>
      <c r="B1291" s="5" t="inlineStr">
        <is>
          <t>Subprocesos con indicadores reportados oportunamente</t>
        </is>
      </c>
      <c r="C1291" s="5" t="inlineStr">
        <is>
          <t>Desempeño Institucional</t>
        </is>
      </c>
      <c r="D1291" s="5" t="inlineStr">
        <is>
          <t>Trimestral</t>
        </is>
      </c>
      <c r="E1291" s="5" t="inlineStr">
        <is>
          <t>Positivo</t>
        </is>
      </c>
      <c r="F1291" s="107" t="n">
        <v>45473</v>
      </c>
      <c r="G1291" s="5" t="n">
        <v>2024</v>
      </c>
      <c r="H1291" s="5" t="inlineStr">
        <is>
          <t>Junio</t>
        </is>
      </c>
      <c r="I1291" s="6" t="inlineStr">
        <is>
          <t>2024-1</t>
        </is>
      </c>
      <c r="J1291" s="5" t="n">
        <v>90</v>
      </c>
      <c r="K1291" s="10" t="n">
        <v>34.69</v>
      </c>
      <c r="L1291" s="14">
        <f>IFERROR(IF(OR(J1291=0,K1291=""),"",IF(E1291="Positivo",MIN(MAX(K1291/J1291,0),1.3),MIN(MAX(J1291/K1291,0),1.3))),"") </f>
        <v/>
      </c>
      <c r="M1291" s="14">
        <f>IFERROR(IF(OR(J1291=0,K1291=""),"",IF(E1291="Positivo",MAX(K1291/J1291,0),MAX(J1291/K1291,0))),"") </f>
        <v/>
      </c>
      <c r="N1291" s="5" t="inlineStr">
        <is>
          <t>%</t>
        </is>
      </c>
      <c r="O1291" s="5" t="inlineStr">
        <is>
          <t>%</t>
        </is>
      </c>
      <c r="P1291" s="15" t="n">
        <v>0</v>
      </c>
      <c r="Q1291" s="15" t="n">
        <v>0</v>
      </c>
      <c r="R1291" s="5" t="inlineStr">
        <is>
          <t>259-2024-06-30</t>
        </is>
      </c>
    </row>
    <row r="1292">
      <c r="A1292" s="5" t="n">
        <v>259</v>
      </c>
      <c r="B1292" s="5" t="inlineStr">
        <is>
          <t>Subprocesos con indicadores reportados oportunamente</t>
        </is>
      </c>
      <c r="C1292" s="5" t="inlineStr">
        <is>
          <t>Desempeño Institucional</t>
        </is>
      </c>
      <c r="D1292" s="5" t="inlineStr">
        <is>
          <t>Trimestral</t>
        </is>
      </c>
      <c r="E1292" s="5" t="inlineStr">
        <is>
          <t>Positivo</t>
        </is>
      </c>
      <c r="F1292" s="107" t="n">
        <v>45565</v>
      </c>
      <c r="G1292" s="5" t="n">
        <v>2024</v>
      </c>
      <c r="H1292" s="5" t="inlineStr">
        <is>
          <t>Septiembre</t>
        </is>
      </c>
      <c r="I1292" s="6" t="inlineStr">
        <is>
          <t>2024-2</t>
        </is>
      </c>
      <c r="J1292" s="5" t="n">
        <v>90</v>
      </c>
      <c r="K1292" s="5" t="n">
        <v>83.33</v>
      </c>
      <c r="L1292" s="14">
        <f>IFERROR(IF(OR(J1292=0,K1292=""),"",IF(E1292="Positivo",MIN(MAX(K1292/J1292,0),1.3),MIN(MAX(J1292/K1292,0),1.3))),"") </f>
        <v/>
      </c>
      <c r="M1292" s="14">
        <f>IFERROR(IF(OR(J1292=0,K1292=""),"",IF(E1292="Positivo",MAX(K1292/J1292,0),MAX(J1292/K1292,0))),"") </f>
        <v/>
      </c>
      <c r="N1292" s="5" t="inlineStr">
        <is>
          <t>%</t>
        </is>
      </c>
      <c r="O1292" s="5" t="inlineStr">
        <is>
          <t>%</t>
        </is>
      </c>
      <c r="P1292" s="5" t="n">
        <v>0</v>
      </c>
      <c r="Q1292" s="5" t="n">
        <v>0</v>
      </c>
      <c r="R1292" s="5" t="inlineStr">
        <is>
          <t>259-2024-09-30</t>
        </is>
      </c>
    </row>
    <row r="1293">
      <c r="A1293" s="21" t="n">
        <v>259</v>
      </c>
      <c r="B1293" s="5" t="inlineStr">
        <is>
          <t>Subprocesos con indicadores reportados oportunamente</t>
        </is>
      </c>
      <c r="C1293" s="5" t="inlineStr">
        <is>
          <t>Desempeño Institucional</t>
        </is>
      </c>
      <c r="D1293" s="5" t="inlineStr">
        <is>
          <t>Trimestral</t>
        </is>
      </c>
      <c r="E1293" s="5" t="inlineStr">
        <is>
          <t>Positivo</t>
        </is>
      </c>
      <c r="F1293" s="107" t="n">
        <v>45657</v>
      </c>
      <c r="G1293" s="5" t="n">
        <v>2024</v>
      </c>
      <c r="H1293" s="5" t="inlineStr">
        <is>
          <t>Diciembre</t>
        </is>
      </c>
      <c r="I1293" s="6" t="inlineStr">
        <is>
          <t>2024-2</t>
        </is>
      </c>
      <c r="J1293" s="5" t="n">
        <v>90</v>
      </c>
      <c r="K1293" s="10" t="n">
        <v>78.43000000000001</v>
      </c>
      <c r="L1293" s="14">
        <f>IFERROR(IF(OR(J1293=0,K1293=""),"",IF(E1293="Positivo",MIN(MAX(K1293/J1293,0),1.3),MIN(MAX(J1293/K1293,0),1.3))),"") </f>
        <v/>
      </c>
      <c r="M1293" s="14">
        <f>IFERROR(IF(OR(J1293=0,K1293=""),"",IF(E1293="Positivo",MAX(K1293/J1293,0),MAX(J1293/K1293,0))),"") </f>
        <v/>
      </c>
      <c r="N1293" s="5" t="inlineStr">
        <is>
          <t>%</t>
        </is>
      </c>
      <c r="O1293" s="5" t="inlineStr">
        <is>
          <t>%</t>
        </is>
      </c>
      <c r="P1293" s="15" t="n">
        <v>0</v>
      </c>
      <c r="Q1293" s="15" t="n">
        <v>0</v>
      </c>
      <c r="R1293" s="5" t="inlineStr">
        <is>
          <t>259-2024-12-31</t>
        </is>
      </c>
    </row>
    <row r="1294">
      <c r="A1294" s="21" t="n">
        <v>260</v>
      </c>
      <c r="B1294" s="5" t="inlineStr">
        <is>
          <t>CES- Costumer Effort Score del proceso de Rematrícula</t>
        </is>
      </c>
      <c r="C1294" s="5" t="inlineStr">
        <is>
          <t>Rematrícula</t>
        </is>
      </c>
      <c r="D1294" s="5" t="inlineStr">
        <is>
          <t>Semestral</t>
        </is>
      </c>
      <c r="E1294" s="5" t="inlineStr">
        <is>
          <t>Negativo</t>
        </is>
      </c>
      <c r="F1294" s="107" t="n">
        <v>45107</v>
      </c>
      <c r="G1294" s="5" t="n">
        <v>2023</v>
      </c>
      <c r="H1294" s="5" t="inlineStr">
        <is>
          <t>Junio</t>
        </is>
      </c>
      <c r="I1294" s="6" t="inlineStr">
        <is>
          <t>2023-1</t>
        </is>
      </c>
      <c r="J1294" s="5" t="n">
        <v>3</v>
      </c>
      <c r="K1294" s="10" t="n">
        <v>2.8</v>
      </c>
      <c r="L1294" s="14">
        <f>IFERROR(IF(OR(J1294=0,K1294=""),"",IF(E1294="Positivo",MIN(MAX(K1294/J1294,0),1.3),MIN(MAX(J1294/K1294,0),1.3))),"") </f>
        <v/>
      </c>
      <c r="M1294" s="14">
        <f>IFERROR(IF(OR(J1294=0,K1294=""),"",IF(E1294="Positivo",MAX(K1294/J1294,0),MAX(J1294/K1294,0))),"") </f>
        <v/>
      </c>
      <c r="N1294" s="5" t="inlineStr">
        <is>
          <t>DEC</t>
        </is>
      </c>
      <c r="O1294" s="5" t="inlineStr">
        <is>
          <t>DEC</t>
        </is>
      </c>
      <c r="P1294" s="15" t="n">
        <v>0</v>
      </c>
      <c r="Q1294" s="15" t="n">
        <v>1</v>
      </c>
      <c r="R1294" s="5" t="inlineStr">
        <is>
          <t>260-2023-06-30</t>
        </is>
      </c>
    </row>
    <row r="1295">
      <c r="A1295" s="21" t="n">
        <v>260</v>
      </c>
      <c r="B1295" s="5" t="inlineStr">
        <is>
          <t>CES- Costumer Effort Score del proceso de Rematrícula</t>
        </is>
      </c>
      <c r="C1295" s="5" t="inlineStr">
        <is>
          <t>Rematrícula</t>
        </is>
      </c>
      <c r="D1295" s="5" t="inlineStr">
        <is>
          <t>Semestral</t>
        </is>
      </c>
      <c r="E1295" s="5" t="inlineStr">
        <is>
          <t>Negativo</t>
        </is>
      </c>
      <c r="F1295" s="107" t="n">
        <v>45291</v>
      </c>
      <c r="G1295" s="5" t="n">
        <v>2023</v>
      </c>
      <c r="H1295" s="5" t="inlineStr">
        <is>
          <t>Diciembre</t>
        </is>
      </c>
      <c r="I1295" s="6" t="inlineStr">
        <is>
          <t>2023-2</t>
        </is>
      </c>
      <c r="J1295" s="5" t="n">
        <v>3</v>
      </c>
      <c r="K1295" s="9" t="n">
        <v>2.9</v>
      </c>
      <c r="L1295" s="14">
        <f>IFERROR(IF(OR(J1295=0,K1295=""),"",IF(E1295="Positivo",MIN(MAX(K1295/J1295,0),1.3),MIN(MAX(J1295/K1295,0),1.3))),"") </f>
        <v/>
      </c>
      <c r="M1295" s="14">
        <f>IFERROR(IF(OR(J1295=0,K1295=""),"",IF(E1295="Positivo",MAX(K1295/J1295,0),MAX(J1295/K1295,0))),"") </f>
        <v/>
      </c>
      <c r="N1295" s="5" t="inlineStr">
        <is>
          <t>DEC</t>
        </is>
      </c>
      <c r="O1295" s="5" t="inlineStr">
        <is>
          <t>DEC</t>
        </is>
      </c>
      <c r="P1295" s="15" t="n">
        <v>0</v>
      </c>
      <c r="Q1295" s="15" t="n">
        <v>1</v>
      </c>
      <c r="R1295" s="5" t="inlineStr">
        <is>
          <t>260-2023-12-31</t>
        </is>
      </c>
    </row>
    <row r="1296">
      <c r="A1296" s="21" t="n">
        <v>260</v>
      </c>
      <c r="B1296" s="5" t="inlineStr">
        <is>
          <t>CES- Costumer Effort Score del proceso de Rematrícula</t>
        </is>
      </c>
      <c r="C1296" s="5" t="inlineStr">
        <is>
          <t>Rematrícula</t>
        </is>
      </c>
      <c r="D1296" s="5" t="inlineStr">
        <is>
          <t>Semestral</t>
        </is>
      </c>
      <c r="E1296" s="5" t="inlineStr">
        <is>
          <t>Negativo</t>
        </is>
      </c>
      <c r="F1296" s="107" t="n">
        <v>45473</v>
      </c>
      <c r="G1296" s="5" t="n">
        <v>2024</v>
      </c>
      <c r="H1296" s="5" t="inlineStr">
        <is>
          <t>Junio</t>
        </is>
      </c>
      <c r="I1296" s="6" t="inlineStr">
        <is>
          <t>2024-1</t>
        </is>
      </c>
      <c r="J1296" s="5" t="n">
        <v>2.8</v>
      </c>
      <c r="K1296" s="9" t="n">
        <v>2.51</v>
      </c>
      <c r="L1296" s="14">
        <f>IFERROR(IF(OR(J1296=0,K1296=""),"",IF(E1296="Positivo",MIN(MAX(K1296/J1296,0),1.3),MIN(MAX(J1296/K1296,0),1.3))),"") </f>
        <v/>
      </c>
      <c r="M1296" s="14">
        <f>IFERROR(IF(OR(J1296=0,K1296=""),"",IF(E1296="Positivo",MAX(K1296/J1296,0),MAX(J1296/K1296,0))),"") </f>
        <v/>
      </c>
      <c r="N1296" s="5" t="inlineStr">
        <is>
          <t>DEC</t>
        </is>
      </c>
      <c r="O1296" s="5" t="inlineStr">
        <is>
          <t>DEC</t>
        </is>
      </c>
      <c r="P1296" s="15" t="n">
        <v>1</v>
      </c>
      <c r="Q1296" s="15" t="n">
        <v>1</v>
      </c>
      <c r="R1296" s="5" t="inlineStr">
        <is>
          <t>260-2024-06-30</t>
        </is>
      </c>
    </row>
    <row r="1297">
      <c r="A1297" s="21" t="n">
        <v>260</v>
      </c>
      <c r="B1297" s="5" t="inlineStr">
        <is>
          <t>CES- Costumer Effort Score del proceso de Rematrícula</t>
        </is>
      </c>
      <c r="C1297" s="5" t="inlineStr">
        <is>
          <t>Rematrícula</t>
        </is>
      </c>
      <c r="D1297" s="5" t="inlineStr">
        <is>
          <t>Semestral</t>
        </is>
      </c>
      <c r="E1297" s="5" t="inlineStr">
        <is>
          <t>Negativo</t>
        </is>
      </c>
      <c r="F1297" s="107" t="n">
        <v>45657</v>
      </c>
      <c r="G1297" s="5" t="n">
        <v>2024</v>
      </c>
      <c r="H1297" s="5" t="inlineStr">
        <is>
          <t>Diciembre</t>
        </is>
      </c>
      <c r="I1297" s="6" t="inlineStr">
        <is>
          <t>2024-2</t>
        </is>
      </c>
      <c r="J1297" s="5" t="n">
        <v>2.8</v>
      </c>
      <c r="K1297" s="9" t="n">
        <v>2.1</v>
      </c>
      <c r="L1297" s="14">
        <f>IFERROR(IF(OR(J1297=0,K1297=""),"",IF(E1297="Positivo",MIN(MAX(K1297/J1297,0),1.3),MIN(MAX(J1297/K1297,0),1.3))),"") </f>
        <v/>
      </c>
      <c r="M1297" s="14">
        <f>IFERROR(IF(OR(J1297=0,K1297=""),"",IF(E1297="Positivo",MAX(K1297/J1297,0),MAX(J1297/K1297,0))),"") </f>
        <v/>
      </c>
      <c r="N1297" s="5" t="inlineStr">
        <is>
          <t>DEC</t>
        </is>
      </c>
      <c r="O1297" s="5" t="inlineStr">
        <is>
          <t>DEC</t>
        </is>
      </c>
      <c r="P1297" s="15" t="n">
        <v>1</v>
      </c>
      <c r="Q1297" s="15" t="n">
        <v>1</v>
      </c>
      <c r="R1297" s="5" t="inlineStr">
        <is>
          <t>260-2024-12-31</t>
        </is>
      </c>
    </row>
    <row r="1298">
      <c r="A1298" s="21" t="n">
        <v>260</v>
      </c>
      <c r="B1298" s="5" t="inlineStr">
        <is>
          <t>CES- Costumer Effort Score del proceso de Rematrícula</t>
        </is>
      </c>
      <c r="C1298" s="5" t="inlineStr">
        <is>
          <t>Rematrícula</t>
        </is>
      </c>
      <c r="D1298" s="5" t="inlineStr">
        <is>
          <t>Semestral</t>
        </is>
      </c>
      <c r="E1298" s="5" t="inlineStr">
        <is>
          <t>Negativo</t>
        </is>
      </c>
      <c r="F1298" s="107" t="n">
        <v>45838</v>
      </c>
      <c r="G1298" s="5" t="n">
        <v>2025</v>
      </c>
      <c r="H1298" s="5" t="inlineStr">
        <is>
          <t>Junio</t>
        </is>
      </c>
      <c r="I1298" s="6" t="inlineStr">
        <is>
          <t>2025-1</t>
        </is>
      </c>
      <c r="J1298" s="5" t="n">
        <v>2.2</v>
      </c>
      <c r="K1298" s="10" t="n">
        <v>1.9</v>
      </c>
      <c r="L1298" s="14">
        <f>IFERROR(IF(OR(J1298=0,K1298=""),"",IF(E1298="Positivo",MIN(MAX(K1298/J1298,0),1.3),MIN(MAX(J1298/K1298,0),1.3))),"") </f>
        <v/>
      </c>
      <c r="M1298" s="14">
        <f>IFERROR(IF(OR(J1298=0,K1298=""),"",IF(E1298="Positivo",MAX(K1298/J1298,0),MAX(J1298/K1298,0))),"") </f>
        <v/>
      </c>
      <c r="N1298" s="5" t="inlineStr">
        <is>
          <t>DEC</t>
        </is>
      </c>
      <c r="O1298" s="5" t="inlineStr">
        <is>
          <t>DEC</t>
        </is>
      </c>
      <c r="P1298" s="15" t="n">
        <v>1</v>
      </c>
      <c r="Q1298" s="15" t="n">
        <v>1</v>
      </c>
      <c r="R1298" s="5" t="inlineStr">
        <is>
          <t>260-2025-06-30</t>
        </is>
      </c>
    </row>
    <row r="1299">
      <c r="A1299" s="5" t="n">
        <v>260</v>
      </c>
      <c r="B1299" s="5" t="inlineStr">
        <is>
          <t>CES- Costumer Effort Score del proceso de Rematrícula</t>
        </is>
      </c>
      <c r="C1299" s="5" t="inlineStr">
        <is>
          <t>Rematrícula</t>
        </is>
      </c>
      <c r="D1299" s="5" t="inlineStr">
        <is>
          <t>Trimestral</t>
        </is>
      </c>
      <c r="E1299" s="5" t="inlineStr">
        <is>
          <t>Negativo</t>
        </is>
      </c>
      <c r="F1299" s="107" t="n">
        <v>46022</v>
      </c>
      <c r="G1299" s="5" t="n">
        <v>2025</v>
      </c>
      <c r="H1299" s="5" t="inlineStr">
        <is>
          <t>Diciembre</t>
        </is>
      </c>
      <c r="I1299" s="6" t="inlineStr">
        <is>
          <t>2025-2</t>
        </is>
      </c>
      <c r="J1299" s="5" t="n">
        <v>2.1</v>
      </c>
      <c r="K1299" s="5" t="n">
        <v>1.9</v>
      </c>
      <c r="L1299" s="14">
        <f>IFERROR(IF(OR(J1299=0,K1299=""),"",IF(E1299="Positivo",MIN(MAX(K1299/J1299,0),1.3),MIN(MAX(J1299/K1299,0),1.3))),"") </f>
        <v/>
      </c>
      <c r="M1299" s="14">
        <f>IFERROR(IF(OR(J1299=0,K1299=""),"",IF(E1299="Positivo",MAX(K1299/J1299,0),MAX(J1299/K1299,0))),"") </f>
        <v/>
      </c>
      <c r="N1299" s="5" t="inlineStr">
        <is>
          <t>DEC</t>
        </is>
      </c>
      <c r="O1299" s="5" t="inlineStr">
        <is>
          <t>DEC</t>
        </is>
      </c>
      <c r="P1299" s="5" t="n">
        <v>1</v>
      </c>
      <c r="Q1299" s="5" t="n">
        <v>1</v>
      </c>
      <c r="R1299" s="5" t="inlineStr">
        <is>
          <t>260-2025-12-31</t>
        </is>
      </c>
    </row>
    <row r="1300">
      <c r="A1300" s="21" t="n">
        <v>261</v>
      </c>
      <c r="B1300" s="5" t="inlineStr">
        <is>
          <t>CES- Costumer Effort Score del proceso de Saber Pro</t>
        </is>
      </c>
      <c r="C1300" s="5" t="inlineStr">
        <is>
          <t>Servicio</t>
        </is>
      </c>
      <c r="D1300" s="5" t="inlineStr">
        <is>
          <t>Semestral</t>
        </is>
      </c>
      <c r="E1300" s="5" t="inlineStr">
        <is>
          <t>Negativo</t>
        </is>
      </c>
      <c r="F1300" s="107" t="n">
        <v>45107</v>
      </c>
      <c r="G1300" s="5" t="n">
        <v>2023</v>
      </c>
      <c r="H1300" s="5" t="inlineStr">
        <is>
          <t>Junio</t>
        </is>
      </c>
      <c r="I1300" s="6" t="inlineStr">
        <is>
          <t>2023-1</t>
        </is>
      </c>
      <c r="J1300" s="5" t="n">
        <v>3</v>
      </c>
      <c r="K1300" s="10" t="n">
        <v>1.98</v>
      </c>
      <c r="L1300" s="14">
        <f>IFERROR(IF(OR(J1300=0,K1300=""),"",IF(E1300="Positivo",MIN(MAX(K1300/J1300,0),1.3),MIN(MAX(J1300/K1300,0),1.3))),"") </f>
        <v/>
      </c>
      <c r="M1300" s="14">
        <f>IFERROR(IF(OR(J1300=0,K1300=""),"",IF(E1300="Positivo",MAX(K1300/J1300,0),MAX(J1300/K1300,0))),"") </f>
        <v/>
      </c>
      <c r="N1300" s="5" t="inlineStr">
        <is>
          <t>DEC</t>
        </is>
      </c>
      <c r="O1300" s="5" t="inlineStr">
        <is>
          <t>DEC</t>
        </is>
      </c>
      <c r="P1300" s="15" t="n">
        <v>2</v>
      </c>
      <c r="Q1300" s="15" t="n">
        <v>2</v>
      </c>
      <c r="R1300" s="5" t="inlineStr">
        <is>
          <t>261-2023-06-30</t>
        </is>
      </c>
    </row>
    <row r="1301">
      <c r="A1301" s="21" t="n">
        <v>261</v>
      </c>
      <c r="B1301" s="5" t="inlineStr">
        <is>
          <t>CES- Costumer Effort Score del proceso de Saber Pro</t>
        </is>
      </c>
      <c r="C1301" s="5" t="inlineStr">
        <is>
          <t>Servicio</t>
        </is>
      </c>
      <c r="D1301" s="5" t="inlineStr">
        <is>
          <t>Semestral</t>
        </is>
      </c>
      <c r="E1301" s="5" t="inlineStr">
        <is>
          <t>Negativo</t>
        </is>
      </c>
      <c r="F1301" s="107" t="n">
        <v>45291</v>
      </c>
      <c r="G1301" s="5" t="n">
        <v>2023</v>
      </c>
      <c r="H1301" s="5" t="inlineStr">
        <is>
          <t>Diciembre</t>
        </is>
      </c>
      <c r="I1301" s="6" t="inlineStr">
        <is>
          <t>2023-2</t>
        </is>
      </c>
      <c r="J1301" s="5" t="n">
        <v>3</v>
      </c>
      <c r="K1301" s="10" t="n">
        <v>2.06</v>
      </c>
      <c r="L1301" s="14">
        <f>IFERROR(IF(OR(J1301=0,K1301=""),"",IF(E1301="Positivo",MIN(MAX(K1301/J1301,0),1.3),MIN(MAX(J1301/K1301,0),1.3))),"") </f>
        <v/>
      </c>
      <c r="M1301" s="14">
        <f>IFERROR(IF(OR(J1301=0,K1301=""),"",IF(E1301="Positivo",MAX(K1301/J1301,0),MAX(J1301/K1301,0))),"") </f>
        <v/>
      </c>
      <c r="N1301" s="5" t="inlineStr">
        <is>
          <t>DEC</t>
        </is>
      </c>
      <c r="O1301" s="5" t="inlineStr">
        <is>
          <t>DEC</t>
        </is>
      </c>
      <c r="P1301" s="15" t="n">
        <v>0</v>
      </c>
      <c r="Q1301" s="15" t="n">
        <v>0</v>
      </c>
      <c r="R1301" s="5" t="inlineStr">
        <is>
          <t>261-2023-12-31</t>
        </is>
      </c>
    </row>
    <row r="1302">
      <c r="A1302" s="21" t="n">
        <v>261</v>
      </c>
      <c r="B1302" s="5" t="inlineStr">
        <is>
          <t>CES- Costumer Effort Score del proceso de Saber Pro</t>
        </is>
      </c>
      <c r="C1302" s="5" t="inlineStr">
        <is>
          <t>Servicio</t>
        </is>
      </c>
      <c r="D1302" s="5" t="inlineStr">
        <is>
          <t>Semestral</t>
        </is>
      </c>
      <c r="E1302" s="5" t="inlineStr">
        <is>
          <t>Negativo</t>
        </is>
      </c>
      <c r="F1302" s="107" t="n">
        <v>45473</v>
      </c>
      <c r="G1302" s="5" t="n">
        <v>2024</v>
      </c>
      <c r="H1302" s="5" t="inlineStr">
        <is>
          <t>Junio</t>
        </is>
      </c>
      <c r="I1302" s="6" t="inlineStr">
        <is>
          <t>2024-1</t>
        </is>
      </c>
      <c r="J1302" s="5" t="n">
        <v>3</v>
      </c>
      <c r="K1302" s="9" t="n">
        <v>2.2</v>
      </c>
      <c r="L1302" s="14">
        <f>IFERROR(IF(OR(J1302=0,K1302=""),"",IF(E1302="Positivo",MIN(MAX(K1302/J1302,0),1.3),MIN(MAX(J1302/K1302,0),1.3))),"") </f>
        <v/>
      </c>
      <c r="M1302" s="14">
        <f>IFERROR(IF(OR(J1302=0,K1302=""),"",IF(E1302="Positivo",MAX(K1302/J1302,0),MAX(J1302/K1302,0))),"") </f>
        <v/>
      </c>
      <c r="N1302" s="5" t="inlineStr">
        <is>
          <t>DEC</t>
        </is>
      </c>
      <c r="O1302" s="5" t="inlineStr">
        <is>
          <t>DEC</t>
        </is>
      </c>
      <c r="P1302" s="15" t="n">
        <v>1</v>
      </c>
      <c r="Q1302" s="15" t="n">
        <v>1</v>
      </c>
      <c r="R1302" s="5" t="inlineStr">
        <is>
          <t>261-2024-06-30</t>
        </is>
      </c>
    </row>
    <row r="1303">
      <c r="A1303" s="21" t="n">
        <v>261</v>
      </c>
      <c r="B1303" s="5" t="inlineStr">
        <is>
          <t>CES- Costumer Effort Score del proceso de Saber Pro</t>
        </is>
      </c>
      <c r="C1303" s="5" t="inlineStr">
        <is>
          <t>Servicio</t>
        </is>
      </c>
      <c r="D1303" s="5" t="inlineStr">
        <is>
          <t>Semestral</t>
        </is>
      </c>
      <c r="E1303" s="5" t="inlineStr">
        <is>
          <t>Negativo</t>
        </is>
      </c>
      <c r="F1303" s="107" t="n">
        <v>45657</v>
      </c>
      <c r="G1303" s="5" t="n">
        <v>2024</v>
      </c>
      <c r="H1303" s="5" t="inlineStr">
        <is>
          <t>Diciembre</t>
        </is>
      </c>
      <c r="I1303" s="6" t="inlineStr">
        <is>
          <t>2024-2</t>
        </is>
      </c>
      <c r="J1303" s="5" t="n">
        <v>3</v>
      </c>
      <c r="K1303" s="9" t="n">
        <v>2.2</v>
      </c>
      <c r="L1303" s="14">
        <f>IFERROR(IF(OR(J1303=0,K1303=""),"",IF(E1303="Positivo",MIN(MAX(K1303/J1303,0),1.3),MIN(MAX(J1303/K1303,0),1.3))),"") </f>
        <v/>
      </c>
      <c r="M1303" s="14">
        <f>IFERROR(IF(OR(J1303=0,K1303=""),"",IF(E1303="Positivo",MAX(K1303/J1303,0),MAX(J1303/K1303,0))),"") </f>
        <v/>
      </c>
      <c r="N1303" s="5" t="inlineStr">
        <is>
          <t>DEC</t>
        </is>
      </c>
      <c r="O1303" s="5" t="inlineStr">
        <is>
          <t>DEC</t>
        </is>
      </c>
      <c r="P1303" s="15" t="n">
        <v>1</v>
      </c>
      <c r="Q1303" s="15" t="n">
        <v>1</v>
      </c>
      <c r="R1303" s="5" t="inlineStr">
        <is>
          <t>261-2024-12-31</t>
        </is>
      </c>
    </row>
    <row r="1304">
      <c r="A1304" s="21" t="n">
        <v>261</v>
      </c>
      <c r="B1304" s="5" t="inlineStr">
        <is>
          <t>CES- Costumer Effort Score del proceso de Saber Pro</t>
        </is>
      </c>
      <c r="C1304" s="5" t="inlineStr">
        <is>
          <t>Servicio</t>
        </is>
      </c>
      <c r="D1304" s="5" t="inlineStr">
        <is>
          <t>Semestral</t>
        </is>
      </c>
      <c r="E1304" s="5" t="inlineStr">
        <is>
          <t>Negativo</t>
        </is>
      </c>
      <c r="F1304" s="107" t="n">
        <v>45838</v>
      </c>
      <c r="G1304" s="5" t="n">
        <v>2025</v>
      </c>
      <c r="H1304" s="5" t="inlineStr">
        <is>
          <t>Junio</t>
        </is>
      </c>
      <c r="I1304" s="6" t="inlineStr">
        <is>
          <t>2025-1</t>
        </is>
      </c>
      <c r="J1304" s="5" t="n">
        <v>3</v>
      </c>
      <c r="K1304" s="9" t="n">
        <v>2.3</v>
      </c>
      <c r="L1304" s="14">
        <f>IFERROR(IF(OR(J1304=0,K1304=""),"",IF(E1304="Positivo",MIN(MAX(K1304/J1304,0),1.3),MIN(MAX(J1304/K1304,0),1.3))),"") </f>
        <v/>
      </c>
      <c r="M1304" s="14">
        <f>IFERROR(IF(OR(J1304=0,K1304=""),"",IF(E1304="Positivo",MAX(K1304/J1304,0),MAX(J1304/K1304,0))),"") </f>
        <v/>
      </c>
      <c r="N1304" s="5" t="inlineStr">
        <is>
          <t>DEC</t>
        </is>
      </c>
      <c r="O1304" s="5" t="inlineStr">
        <is>
          <t>DEC</t>
        </is>
      </c>
      <c r="P1304" s="15" t="n">
        <v>1</v>
      </c>
      <c r="Q1304" s="15" t="n">
        <v>1</v>
      </c>
      <c r="R1304" s="5" t="inlineStr">
        <is>
          <t>261-2025-06-30</t>
        </is>
      </c>
    </row>
    <row r="1305">
      <c r="A1305" s="21" t="n">
        <v>261</v>
      </c>
      <c r="B1305" s="5" t="inlineStr">
        <is>
          <t>CES- Costumer Effort Score del proceso de Saber Pro</t>
        </is>
      </c>
      <c r="C1305" s="5" t="inlineStr">
        <is>
          <t>Servicio</t>
        </is>
      </c>
      <c r="D1305" s="5" t="inlineStr">
        <is>
          <t>Trimestral</t>
        </is>
      </c>
      <c r="E1305" s="5" t="inlineStr">
        <is>
          <t>Negativo</t>
        </is>
      </c>
      <c r="F1305" s="107" t="n">
        <v>46022</v>
      </c>
      <c r="G1305" s="5" t="n">
        <v>2025</v>
      </c>
      <c r="H1305" s="5" t="inlineStr">
        <is>
          <t>Diciembre</t>
        </is>
      </c>
      <c r="I1305" s="6" t="inlineStr">
        <is>
          <t>2025-2</t>
        </is>
      </c>
      <c r="J1305" s="5" t="n">
        <v>3</v>
      </c>
      <c r="K1305" s="10" t="n">
        <v>2.1</v>
      </c>
      <c r="L1305" s="14">
        <f>IFERROR(IF(OR(J1305=0,K1305=""),"",IF(E1305="Positivo",MIN(MAX(K1305/J1305,0),1.3),MIN(MAX(J1305/K1305,0),1.3))),"") </f>
        <v/>
      </c>
      <c r="M1305" s="14">
        <f>IFERROR(IF(OR(J1305=0,K1305=""),"",IF(E1305="Positivo",MAX(K1305/J1305,0),MAX(J1305/K1305,0))),"") </f>
        <v/>
      </c>
      <c r="N1305" s="5" t="inlineStr">
        <is>
          <t>ENT</t>
        </is>
      </c>
      <c r="O1305" s="5" t="inlineStr">
        <is>
          <t>DEC</t>
        </is>
      </c>
      <c r="P1305" s="15" t="n">
        <v>1</v>
      </c>
      <c r="Q1305" s="15" t="n">
        <v>1</v>
      </c>
      <c r="R1305" s="5" t="inlineStr">
        <is>
          <t>261-2025-12-31</t>
        </is>
      </c>
    </row>
    <row r="1306">
      <c r="A1306" s="5" t="n">
        <v>262</v>
      </c>
      <c r="B1306" s="5" t="inlineStr">
        <is>
          <t>Evitar erogación de dinero por multas asociadas en contra del POLI por los procesos en curso</t>
        </is>
      </c>
      <c r="C1306" s="5" t="inlineStr">
        <is>
          <t>GESTIÓN JURÍDICA Y NORMATIVA</t>
        </is>
      </c>
      <c r="D1306" s="5" t="inlineStr">
        <is>
          <t>Semestral</t>
        </is>
      </c>
      <c r="E1306" s="5" t="inlineStr">
        <is>
          <t>Negativo</t>
        </is>
      </c>
      <c r="F1306" s="107" t="n">
        <v>45107</v>
      </c>
      <c r="G1306" s="5" t="n">
        <v>2023</v>
      </c>
      <c r="H1306" s="5" t="inlineStr">
        <is>
          <t>Junio</t>
        </is>
      </c>
      <c r="I1306" s="6" t="inlineStr">
        <is>
          <t>2023-1</t>
        </is>
      </c>
      <c r="J1306" s="5" t="n">
        <v>20</v>
      </c>
      <c r="K1306" s="5" t="n">
        <v>0</v>
      </c>
      <c r="L1306" s="14">
        <f>IFERROR(IF(OR(J1306=0,K1306=""),"",IF(E1306="Positivo",MIN(MAX(K1306/J1306,0),1.3),MIN(MAX(J1306/K1306,0),1.3))),"") </f>
        <v/>
      </c>
      <c r="M1306" s="14">
        <f>IFERROR(IF(OR(J1306=0,K1306=""),"",IF(E1306="Positivo",MAX(K1306/J1306,0),MAX(J1306/K1306,0))),"") </f>
        <v/>
      </c>
      <c r="N1306" s="5" t="inlineStr">
        <is>
          <t>%</t>
        </is>
      </c>
      <c r="O1306" s="5" t="inlineStr">
        <is>
          <t>%</t>
        </is>
      </c>
      <c r="P1306" s="5" t="n">
        <v>0</v>
      </c>
      <c r="Q1306" s="5" t="n">
        <v>0</v>
      </c>
      <c r="R1306" s="5" t="inlineStr">
        <is>
          <t>262-2023-06-30</t>
        </is>
      </c>
    </row>
    <row r="1307">
      <c r="A1307" s="21" t="n">
        <v>262</v>
      </c>
      <c r="B1307" s="5" t="inlineStr">
        <is>
          <t>Evitar erogación de dinero por multas asociadas en contra del POLI por los procesos en curso</t>
        </is>
      </c>
      <c r="C1307" s="5" t="inlineStr">
        <is>
          <t>GESTIÓN JURÍDICA Y NORMATIVA</t>
        </is>
      </c>
      <c r="D1307" s="5" t="inlineStr">
        <is>
          <t>Semestral</t>
        </is>
      </c>
      <c r="E1307" s="5" t="inlineStr">
        <is>
          <t>Negativo</t>
        </is>
      </c>
      <c r="F1307" s="107" t="n">
        <v>45291</v>
      </c>
      <c r="G1307" s="5" t="n">
        <v>2023</v>
      </c>
      <c r="H1307" s="5" t="inlineStr">
        <is>
          <t>Diciembre</t>
        </is>
      </c>
      <c r="I1307" s="6" t="inlineStr">
        <is>
          <t>2023-2</t>
        </is>
      </c>
      <c r="J1307" s="5" t="n">
        <v>20</v>
      </c>
      <c r="K1307" s="10" t="n">
        <v>11.11</v>
      </c>
      <c r="L1307" s="14">
        <f>IFERROR(IF(OR(J1307=0,K1307=""),"",IF(E1307="Positivo",MIN(MAX(K1307/J1307,0),1.3),MIN(MAX(J1307/K1307,0),1.3))),"") </f>
        <v/>
      </c>
      <c r="M1307" s="14">
        <f>IFERROR(IF(OR(J1307=0,K1307=""),"",IF(E1307="Positivo",MAX(K1307/J1307,0),MAX(J1307/K1307,0))),"") </f>
        <v/>
      </c>
      <c r="N1307" s="5" t="inlineStr">
        <is>
          <t>%</t>
        </is>
      </c>
      <c r="O1307" s="5" t="inlineStr">
        <is>
          <t>%</t>
        </is>
      </c>
      <c r="P1307" s="15" t="n">
        <v>0</v>
      </c>
      <c r="Q1307" s="15" t="n">
        <v>0</v>
      </c>
      <c r="R1307" s="5" t="inlineStr">
        <is>
          <t>262-2023-12-31</t>
        </is>
      </c>
    </row>
    <row r="1308">
      <c r="A1308" s="21" t="n">
        <v>262</v>
      </c>
      <c r="B1308" s="5" t="inlineStr">
        <is>
          <t>Reducción de número de sentencias condenatorias en contra del Poli</t>
        </is>
      </c>
      <c r="C1308" s="5" t="inlineStr">
        <is>
          <t>GESTIÓN JURÍDICA Y NORMATIVA</t>
        </is>
      </c>
      <c r="D1308" s="5" t="inlineStr">
        <is>
          <t>Semestral</t>
        </is>
      </c>
      <c r="E1308" s="5" t="inlineStr">
        <is>
          <t>Negativo</t>
        </is>
      </c>
      <c r="F1308" s="107" t="n">
        <v>45473</v>
      </c>
      <c r="G1308" s="5" t="n">
        <v>2024</v>
      </c>
      <c r="H1308" s="5" t="inlineStr">
        <is>
          <t>Junio</t>
        </is>
      </c>
      <c r="I1308" s="6" t="inlineStr">
        <is>
          <t>2024-1</t>
        </is>
      </c>
      <c r="J1308" s="5" t="n">
        <v>20</v>
      </c>
      <c r="K1308" s="10" t="n">
        <v>0</v>
      </c>
      <c r="L1308" s="14">
        <f>IFERROR(IF(OR(J1308=0,K1308=""),"",IF(E1308="Positivo",MIN(MAX(K1308/J1308,0),1.3),MIN(MAX(J1308/K1308,0),1.3))),"") </f>
        <v/>
      </c>
      <c r="M1308" s="14">
        <f>IFERROR(IF(OR(J1308=0,K1308=""),"",IF(E1308="Positivo",MAX(K1308/J1308,0),MAX(J1308/K1308,0))),"") </f>
        <v/>
      </c>
      <c r="N1308" s="5" t="inlineStr">
        <is>
          <t>%</t>
        </is>
      </c>
      <c r="O1308" s="5" t="inlineStr">
        <is>
          <t>%</t>
        </is>
      </c>
      <c r="P1308" s="15" t="n">
        <v>0</v>
      </c>
      <c r="Q1308" s="15" t="n">
        <v>0</v>
      </c>
      <c r="R1308" s="5" t="inlineStr">
        <is>
          <t>262-2024-06-30</t>
        </is>
      </c>
    </row>
    <row r="1309">
      <c r="A1309" s="21" t="n">
        <v>262</v>
      </c>
      <c r="B1309" s="5" t="inlineStr">
        <is>
          <t>Reducción de número de sentencias condenatorias en contra del Poli</t>
        </is>
      </c>
      <c r="C1309" s="5" t="inlineStr">
        <is>
          <t>GESTIÓN JURÍDICA Y NORMATIVA</t>
        </is>
      </c>
      <c r="D1309" s="5" t="inlineStr">
        <is>
          <t>Semestral</t>
        </is>
      </c>
      <c r="E1309" s="5" t="inlineStr">
        <is>
          <t>Negativo</t>
        </is>
      </c>
      <c r="F1309" s="107" t="n">
        <v>45657</v>
      </c>
      <c r="G1309" s="5" t="n">
        <v>2024</v>
      </c>
      <c r="H1309" s="5" t="inlineStr">
        <is>
          <t>Diciembre</t>
        </is>
      </c>
      <c r="I1309" s="6" t="inlineStr">
        <is>
          <t>2024-2</t>
        </is>
      </c>
      <c r="J1309" s="5" t="n">
        <v>20</v>
      </c>
      <c r="K1309" s="9" t="n">
        <v>0</v>
      </c>
      <c r="L1309" s="14">
        <f>IFERROR(IF(OR(J1309=0,K1309=""),"",IF(E1309="Positivo",MIN(MAX(K1309/J1309,0),1.3),MIN(MAX(J1309/K1309,0),1.3))),"") </f>
        <v/>
      </c>
      <c r="M1309" s="14">
        <f>IFERROR(IF(OR(J1309=0,K1309=""),"",IF(E1309="Positivo",MAX(K1309/J1309,0),MAX(J1309/K1309,0))),"") </f>
        <v/>
      </c>
      <c r="N1309" s="5" t="inlineStr">
        <is>
          <t>%</t>
        </is>
      </c>
      <c r="O1309" s="5" t="inlineStr">
        <is>
          <t>%</t>
        </is>
      </c>
      <c r="P1309" s="15" t="n">
        <v>0</v>
      </c>
      <c r="Q1309" s="15" t="n">
        <v>0</v>
      </c>
      <c r="R1309" s="5" t="inlineStr">
        <is>
          <t>262-2024-12-31</t>
        </is>
      </c>
    </row>
    <row r="1310">
      <c r="A1310" s="21" t="n">
        <v>262</v>
      </c>
      <c r="B1310" s="5" t="inlineStr">
        <is>
          <t>Reducción de número de sentencias condenatorias en contra del Poli</t>
        </is>
      </c>
      <c r="C1310" s="5" t="inlineStr">
        <is>
          <t>GESTIÓN JURÍDICA Y NORMATIVA</t>
        </is>
      </c>
      <c r="D1310" s="5" t="inlineStr">
        <is>
          <t>Semestral</t>
        </is>
      </c>
      <c r="E1310" s="5" t="inlineStr">
        <is>
          <t>Negativo</t>
        </is>
      </c>
      <c r="F1310" s="107" t="n">
        <v>45838</v>
      </c>
      <c r="G1310" s="5" t="n">
        <v>2025</v>
      </c>
      <c r="H1310" s="5" t="inlineStr">
        <is>
          <t>Junio</t>
        </is>
      </c>
      <c r="I1310" s="6" t="inlineStr">
        <is>
          <t>2025-1</t>
        </is>
      </c>
      <c r="J1310" s="5" t="n">
        <v>10</v>
      </c>
      <c r="K1310" s="9" t="n">
        <v>0</v>
      </c>
      <c r="L1310" s="14">
        <f>IFERROR(IF(OR(J1310=0,K1310=""),"",IF(E1310="Positivo",MIN(MAX(K1310/J1310,0),1.3),MIN(MAX(J1310/K1310,0),1.3))),"") </f>
        <v/>
      </c>
      <c r="M1310" s="14">
        <f>IFERROR(IF(OR(J1310=0,K1310=""),"",IF(E1310="Positivo",MAX(K1310/J1310,0),MAX(J1310/K1310,0))),"") </f>
        <v/>
      </c>
      <c r="N1310" s="5" t="inlineStr">
        <is>
          <t>%</t>
        </is>
      </c>
      <c r="O1310" s="5" t="inlineStr">
        <is>
          <t>%</t>
        </is>
      </c>
      <c r="P1310" s="15" t="n">
        <v>0</v>
      </c>
      <c r="Q1310" s="15" t="n">
        <v>0</v>
      </c>
      <c r="R1310" s="5" t="inlineStr">
        <is>
          <t>262-2025-06-30</t>
        </is>
      </c>
    </row>
    <row r="1311">
      <c r="A1311" s="21" t="n">
        <v>262</v>
      </c>
      <c r="B1311" s="5" t="inlineStr">
        <is>
          <t>Reducción de número de sentencias condenatorias en contra del Poli</t>
        </is>
      </c>
      <c r="C1311" s="5" t="inlineStr">
        <is>
          <t>GESTIÓN JURÍDICA Y NORMATIVA</t>
        </is>
      </c>
      <c r="D1311" s="5" t="inlineStr">
        <is>
          <t>Trimestral</t>
        </is>
      </c>
      <c r="E1311" s="5" t="inlineStr">
        <is>
          <t>Negativo</t>
        </is>
      </c>
      <c r="F1311" s="107" t="n">
        <v>46022</v>
      </c>
      <c r="G1311" s="5" t="n">
        <v>2025</v>
      </c>
      <c r="H1311" s="5" t="inlineStr">
        <is>
          <t>Diciembre</t>
        </is>
      </c>
      <c r="I1311" s="6" t="inlineStr">
        <is>
          <t>2025-2</t>
        </is>
      </c>
      <c r="J1311" s="5" t="n"/>
      <c r="K1311" s="9" t="n">
        <v>0</v>
      </c>
      <c r="L1311" s="14" t="n"/>
      <c r="M1311" s="14" t="n"/>
      <c r="N1311" s="5" t="inlineStr">
        <is>
          <t>%</t>
        </is>
      </c>
      <c r="O1311" s="5" t="inlineStr">
        <is>
          <t>%</t>
        </is>
      </c>
      <c r="P1311" s="15" t="n">
        <v>0</v>
      </c>
      <c r="Q1311" s="15" t="n">
        <v>0</v>
      </c>
      <c r="R1311" s="5" t="inlineStr">
        <is>
          <t>262-2025-12-31</t>
        </is>
      </c>
    </row>
    <row r="1312">
      <c r="A1312" s="21" t="n">
        <v>263</v>
      </c>
      <c r="B1312" s="5" t="inlineStr">
        <is>
          <t>Oportunidad de respuesta de PQRS</t>
        </is>
      </c>
      <c r="C1312" s="5" t="inlineStr">
        <is>
          <t>GESTIÓN JURÍDICA Y NORMATIVA</t>
        </is>
      </c>
      <c r="D1312" s="5" t="inlineStr">
        <is>
          <t>Trimestral</t>
        </is>
      </c>
      <c r="E1312" s="5" t="inlineStr">
        <is>
          <t>Positivo</t>
        </is>
      </c>
      <c r="F1312" s="107" t="n">
        <v>45016</v>
      </c>
      <c r="G1312" s="5" t="n">
        <v>2023</v>
      </c>
      <c r="H1312" s="5" t="inlineStr">
        <is>
          <t>Marzo</t>
        </is>
      </c>
      <c r="I1312" s="6" t="inlineStr">
        <is>
          <t>2023-1</t>
        </is>
      </c>
      <c r="J1312" s="5" t="n">
        <v>100</v>
      </c>
      <c r="K1312" s="9" t="n">
        <v>100</v>
      </c>
      <c r="L1312" s="14">
        <f>IFERROR(IF(OR(J1312=0,K1312=""),"",IF(E1312="Positivo",MIN(MAX(K1312/J1312,0),1.3),MIN(MAX(J1312/K1312,0),1.3))),"") </f>
        <v/>
      </c>
      <c r="M1312" s="14">
        <f>IFERROR(IF(OR(J1312=0,K1312=""),"",IF(E1312="Positivo",MAX(K1312/J1312,0),MAX(J1312/K1312,0))),"") </f>
        <v/>
      </c>
      <c r="N1312" s="5" t="inlineStr">
        <is>
          <t>%</t>
        </is>
      </c>
      <c r="O1312" s="5" t="inlineStr">
        <is>
          <t>%</t>
        </is>
      </c>
      <c r="P1312" s="15" t="n">
        <v>0</v>
      </c>
      <c r="Q1312" s="15" t="n">
        <v>0</v>
      </c>
      <c r="R1312" s="5" t="inlineStr">
        <is>
          <t>263-2023-03-31</t>
        </is>
      </c>
    </row>
    <row r="1313">
      <c r="A1313" s="21" t="n">
        <v>263</v>
      </c>
      <c r="B1313" s="5" t="inlineStr">
        <is>
          <t>Oportunidad de respuesta de PQRS</t>
        </is>
      </c>
      <c r="C1313" s="5" t="inlineStr">
        <is>
          <t>GESTIÓN JURÍDICA Y NORMATIVA</t>
        </is>
      </c>
      <c r="D1313" s="5" t="inlineStr">
        <is>
          <t>Trimestral</t>
        </is>
      </c>
      <c r="E1313" s="5" t="inlineStr">
        <is>
          <t>Positivo</t>
        </is>
      </c>
      <c r="F1313" s="107" t="n">
        <v>45107</v>
      </c>
      <c r="G1313" s="5" t="n">
        <v>2023</v>
      </c>
      <c r="H1313" s="5" t="inlineStr">
        <is>
          <t>Junio</t>
        </is>
      </c>
      <c r="I1313" s="6" t="inlineStr">
        <is>
          <t>2023-1</t>
        </is>
      </c>
      <c r="J1313" s="5" t="n">
        <v>100</v>
      </c>
      <c r="K1313" s="9" t="n">
        <v>100</v>
      </c>
      <c r="L1313" s="14">
        <f>IFERROR(IF(OR(J1313=0,K1313=""),"",IF(E1313="Positivo",MIN(MAX(K1313/J1313,0),1.3),MIN(MAX(J1313/K1313,0),1.3))),"") </f>
        <v/>
      </c>
      <c r="M1313" s="14">
        <f>IFERROR(IF(OR(J1313=0,K1313=""),"",IF(E1313="Positivo",MAX(K1313/J1313,0),MAX(J1313/K1313,0))),"") </f>
        <v/>
      </c>
      <c r="N1313" s="5" t="inlineStr">
        <is>
          <t>%</t>
        </is>
      </c>
      <c r="O1313" s="5" t="inlineStr">
        <is>
          <t>%</t>
        </is>
      </c>
      <c r="P1313" s="15" t="n">
        <v>0</v>
      </c>
      <c r="Q1313" s="15" t="n">
        <v>0</v>
      </c>
      <c r="R1313" s="5" t="inlineStr">
        <is>
          <t>263-2023-06-30</t>
        </is>
      </c>
    </row>
    <row r="1314">
      <c r="A1314" s="21" t="n">
        <v>263</v>
      </c>
      <c r="B1314" s="5" t="inlineStr">
        <is>
          <t>Oportunidad de respuesta de PQRS</t>
        </is>
      </c>
      <c r="C1314" s="5" t="inlineStr">
        <is>
          <t>GESTIÓN JURÍDICA Y NORMATIVA</t>
        </is>
      </c>
      <c r="D1314" s="5" t="inlineStr">
        <is>
          <t>Trimestral</t>
        </is>
      </c>
      <c r="E1314" s="5" t="inlineStr">
        <is>
          <t>Positivo</t>
        </is>
      </c>
      <c r="F1314" s="107" t="n">
        <v>45199</v>
      </c>
      <c r="G1314" s="5" t="n">
        <v>2023</v>
      </c>
      <c r="H1314" s="5" t="inlineStr">
        <is>
          <t>Septiembre</t>
        </is>
      </c>
      <c r="I1314" s="6" t="inlineStr">
        <is>
          <t>2023-2</t>
        </is>
      </c>
      <c r="J1314" s="5" t="n">
        <v>100</v>
      </c>
      <c r="K1314" s="9" t="n">
        <v>100</v>
      </c>
      <c r="L1314" s="14">
        <f>IFERROR(IF(OR(J1314=0,K1314=""),"",IF(E1314="Positivo",MIN(MAX(K1314/J1314,0),1.3),MIN(MAX(J1314/K1314,0),1.3))),"") </f>
        <v/>
      </c>
      <c r="M1314" s="14">
        <f>IFERROR(IF(OR(J1314=0,K1314=""),"",IF(E1314="Positivo",MAX(K1314/J1314,0),MAX(J1314/K1314,0))),"") </f>
        <v/>
      </c>
      <c r="N1314" s="5" t="inlineStr">
        <is>
          <t>%</t>
        </is>
      </c>
      <c r="O1314" s="5" t="inlineStr">
        <is>
          <t>%</t>
        </is>
      </c>
      <c r="P1314" s="15" t="n">
        <v>0</v>
      </c>
      <c r="Q1314" s="15" t="n">
        <v>0</v>
      </c>
      <c r="R1314" s="5" t="inlineStr">
        <is>
          <t>263-2023-09-30</t>
        </is>
      </c>
    </row>
    <row r="1315">
      <c r="A1315" s="5" t="n">
        <v>263</v>
      </c>
      <c r="B1315" s="5" t="inlineStr">
        <is>
          <t>Oportunidad de respuesta de PQRS</t>
        </is>
      </c>
      <c r="C1315" s="5" t="inlineStr">
        <is>
          <t>GESTIÓN JURÍDICA Y NORMATIVA</t>
        </is>
      </c>
      <c r="D1315" s="5" t="inlineStr">
        <is>
          <t>Trimestral</t>
        </is>
      </c>
      <c r="E1315" s="5" t="inlineStr">
        <is>
          <t>Positivo</t>
        </is>
      </c>
      <c r="F1315" s="107" t="n">
        <v>45291</v>
      </c>
      <c r="G1315" s="5" t="n">
        <v>2023</v>
      </c>
      <c r="H1315" s="5" t="inlineStr">
        <is>
          <t>Diciembre</t>
        </is>
      </c>
      <c r="I1315" s="6" t="inlineStr">
        <is>
          <t>2023-2</t>
        </is>
      </c>
      <c r="J1315" s="5" t="n">
        <v>100</v>
      </c>
      <c r="K1315" s="5" t="n">
        <v>100</v>
      </c>
      <c r="L1315" s="14">
        <f>IFERROR(IF(OR(J1315=0,K1315=""),"",IF(E1315="Positivo",MIN(MAX(K1315/J1315,0),1.3),MIN(MAX(J1315/K1315,0),1.3))),"") </f>
        <v/>
      </c>
      <c r="M1315" s="14">
        <f>IFERROR(IF(OR(J1315=0,K1315=""),"",IF(E1315="Positivo",MAX(K1315/J1315,0),MAX(J1315/K1315,0))),"") </f>
        <v/>
      </c>
      <c r="N1315" s="5" t="inlineStr">
        <is>
          <t>%</t>
        </is>
      </c>
      <c r="O1315" s="5" t="inlineStr">
        <is>
          <t>%</t>
        </is>
      </c>
      <c r="P1315" s="5" t="n">
        <v>0</v>
      </c>
      <c r="Q1315" s="5" t="n">
        <v>0</v>
      </c>
      <c r="R1315" s="5" t="inlineStr">
        <is>
          <t>263-2023-12-31</t>
        </is>
      </c>
    </row>
    <row r="1316">
      <c r="A1316" s="21" t="n">
        <v>263</v>
      </c>
      <c r="B1316" s="5" t="inlineStr">
        <is>
          <t>Oportunidad de respuesta de PQRS</t>
        </is>
      </c>
      <c r="C1316" s="5" t="inlineStr">
        <is>
          <t>GESTIÓN JURÍDICA Y NORMATIVA</t>
        </is>
      </c>
      <c r="D1316" s="5" t="inlineStr">
        <is>
          <t>Trimestral</t>
        </is>
      </c>
      <c r="E1316" s="5" t="inlineStr">
        <is>
          <t>Positivo</t>
        </is>
      </c>
      <c r="F1316" s="107" t="n">
        <v>45382</v>
      </c>
      <c r="G1316" s="5" t="n">
        <v>2024</v>
      </c>
      <c r="H1316" s="5" t="inlineStr">
        <is>
          <t>Marzo</t>
        </is>
      </c>
      <c r="I1316" s="6" t="inlineStr">
        <is>
          <t>2024-1</t>
        </is>
      </c>
      <c r="J1316" s="5" t="n">
        <v>100</v>
      </c>
      <c r="K1316" s="10" t="n">
        <v>100</v>
      </c>
      <c r="L1316" s="14">
        <f>IFERROR(IF(OR(J1316=0,K1316=""),"",IF(E1316="Positivo",MIN(MAX(K1316/J1316,0),1.3),MIN(MAX(J1316/K1316,0),1.3))),"") </f>
        <v/>
      </c>
      <c r="M1316" s="14">
        <f>IFERROR(IF(OR(J1316=0,K1316=""),"",IF(E1316="Positivo",MAX(K1316/J1316,0),MAX(J1316/K1316,0))),"") </f>
        <v/>
      </c>
      <c r="N1316" s="5" t="inlineStr">
        <is>
          <t>%</t>
        </is>
      </c>
      <c r="O1316" s="5" t="inlineStr">
        <is>
          <t>%</t>
        </is>
      </c>
      <c r="P1316" s="15" t="n">
        <v>0</v>
      </c>
      <c r="Q1316" s="15" t="n">
        <v>0</v>
      </c>
      <c r="R1316" s="5" t="inlineStr">
        <is>
          <t>263-2024-03-31</t>
        </is>
      </c>
    </row>
    <row r="1317">
      <c r="A1317" s="21" t="n">
        <v>263</v>
      </c>
      <c r="B1317" s="5" t="inlineStr">
        <is>
          <t>Oportunidad de respuesta de PQRS</t>
        </is>
      </c>
      <c r="C1317" s="5" t="inlineStr">
        <is>
          <t>GESTIÓN JURÍDICA Y NORMATIVA</t>
        </is>
      </c>
      <c r="D1317" s="5" t="inlineStr">
        <is>
          <t>Trimestral</t>
        </is>
      </c>
      <c r="E1317" s="5" t="inlineStr">
        <is>
          <t>Positivo</t>
        </is>
      </c>
      <c r="F1317" s="107" t="n">
        <v>45473</v>
      </c>
      <c r="G1317" s="5" t="n">
        <v>2024</v>
      </c>
      <c r="H1317" s="5" t="inlineStr">
        <is>
          <t>Junio</t>
        </is>
      </c>
      <c r="I1317" s="6" t="inlineStr">
        <is>
          <t>2024-1</t>
        </is>
      </c>
      <c r="J1317" s="5" t="n">
        <v>100</v>
      </c>
      <c r="K1317" s="10" t="n">
        <v>100</v>
      </c>
      <c r="L1317" s="14">
        <f>IFERROR(IF(OR(J1317=0,K1317=""),"",IF(E1317="Positivo",MIN(MAX(K1317/J1317,0),1.3),MIN(MAX(J1317/K1317,0),1.3))),"") </f>
        <v/>
      </c>
      <c r="M1317" s="14">
        <f>IFERROR(IF(OR(J1317=0,K1317=""),"",IF(E1317="Positivo",MAX(K1317/J1317,0),MAX(J1317/K1317,0))),"") </f>
        <v/>
      </c>
      <c r="N1317" s="5" t="inlineStr">
        <is>
          <t>%</t>
        </is>
      </c>
      <c r="O1317" s="5" t="inlineStr">
        <is>
          <t>%</t>
        </is>
      </c>
      <c r="P1317" s="15" t="n">
        <v>0</v>
      </c>
      <c r="Q1317" s="15" t="n">
        <v>0</v>
      </c>
      <c r="R1317" s="5" t="inlineStr">
        <is>
          <t>263-2024-06-30</t>
        </is>
      </c>
    </row>
    <row r="1318">
      <c r="A1318" s="21" t="n">
        <v>263</v>
      </c>
      <c r="B1318" s="5" t="inlineStr">
        <is>
          <t>Oportunidad de respuesta de PQRS</t>
        </is>
      </c>
      <c r="C1318" s="5" t="inlineStr">
        <is>
          <t>GESTIÓN JURÍDICA Y NORMATIVA</t>
        </is>
      </c>
      <c r="D1318" s="5" t="inlineStr">
        <is>
          <t>Trimestral</t>
        </is>
      </c>
      <c r="E1318" s="5" t="inlineStr">
        <is>
          <t>Positivo</t>
        </is>
      </c>
      <c r="F1318" s="106" t="n">
        <v>45565</v>
      </c>
      <c r="G1318" s="5" t="n">
        <v>2024</v>
      </c>
      <c r="H1318" s="5" t="inlineStr">
        <is>
          <t>Septiembre</t>
        </is>
      </c>
      <c r="I1318" s="6" t="inlineStr">
        <is>
          <t>2024-2</t>
        </is>
      </c>
      <c r="J1318" s="5" t="n">
        <v>100</v>
      </c>
      <c r="K1318" s="9" t="n">
        <v>100</v>
      </c>
      <c r="L1318" s="14">
        <f>IFERROR(IF(OR(J1318=0,K1318=""),"",IF(E1318="Positivo",MIN(MAX(K1318/J1318,0),1.3),MIN(MAX(J1318/K1318,0),1.3))),"") </f>
        <v/>
      </c>
      <c r="M1318" s="14">
        <f>IFERROR(IF(OR(J1318=0,K1318=""),"",IF(E1318="Positivo",MAX(K1318/J1318,0),MAX(J1318/K1318,0))),"") </f>
        <v/>
      </c>
      <c r="N1318" s="5" t="inlineStr">
        <is>
          <t>%</t>
        </is>
      </c>
      <c r="O1318" s="5" t="inlineStr">
        <is>
          <t>%</t>
        </is>
      </c>
      <c r="P1318" s="15" t="n">
        <v>0</v>
      </c>
      <c r="Q1318" s="15" t="n">
        <v>0</v>
      </c>
      <c r="R1318" s="5" t="inlineStr">
        <is>
          <t>263-2024-09-30</t>
        </is>
      </c>
    </row>
    <row r="1319">
      <c r="A1319" s="26" t="n">
        <v>263</v>
      </c>
      <c r="B1319" s="5" t="inlineStr">
        <is>
          <t>Oportunidad de respuesta de PQRS</t>
        </is>
      </c>
      <c r="C1319" s="5" t="inlineStr">
        <is>
          <t>GESTIÓN JURÍDICA Y NORMATIVA</t>
        </is>
      </c>
      <c r="D1319" s="5" t="inlineStr">
        <is>
          <t>Trimestral</t>
        </is>
      </c>
      <c r="E1319" s="5" t="inlineStr">
        <is>
          <t>Positivo</t>
        </is>
      </c>
      <c r="F1319" s="107" t="n">
        <v>45657</v>
      </c>
      <c r="G1319" s="5" t="n">
        <v>2024</v>
      </c>
      <c r="H1319" s="5" t="inlineStr">
        <is>
          <t>Diciembre</t>
        </is>
      </c>
      <c r="I1319" s="6" t="inlineStr">
        <is>
          <t>2024-2</t>
        </is>
      </c>
      <c r="J1319" s="5" t="n">
        <v>100</v>
      </c>
      <c r="K1319" s="9" t="n">
        <v>100</v>
      </c>
      <c r="L1319" s="14">
        <f>IFERROR(IF(OR(J1319=0,K1319=""),"",IF(E1319="Positivo",MIN(MAX(K1319/J1319,0),1.3),MIN(MAX(J1319/K1319,0),1.3))),"") </f>
        <v/>
      </c>
      <c r="M1319" s="14">
        <f>IFERROR(IF(OR(J1319=0,K1319=""),"",IF(E1319="Positivo",MAX(K1319/J1319,0),MAX(J1319/K1319,0))),"") </f>
        <v/>
      </c>
      <c r="N1319" s="5" t="inlineStr">
        <is>
          <t>%</t>
        </is>
      </c>
      <c r="O1319" s="5" t="inlineStr">
        <is>
          <t>%</t>
        </is>
      </c>
      <c r="P1319" s="15" t="n">
        <v>0</v>
      </c>
      <c r="Q1319" s="15" t="n">
        <v>0</v>
      </c>
      <c r="R1319" s="5" t="inlineStr">
        <is>
          <t>263-2024-12-31</t>
        </is>
      </c>
    </row>
    <row r="1320">
      <c r="A1320" s="21" t="n">
        <v>263</v>
      </c>
      <c r="B1320" s="5" t="inlineStr">
        <is>
          <t>Oportunidad de respuesta de PQRS</t>
        </is>
      </c>
      <c r="C1320" s="5" t="inlineStr">
        <is>
          <t>GESTIÓN JURÍDICA Y NORMATIVA</t>
        </is>
      </c>
      <c r="D1320" s="5" t="inlineStr">
        <is>
          <t>Trimestral</t>
        </is>
      </c>
      <c r="E1320" s="5" t="inlineStr">
        <is>
          <t>Positivo</t>
        </is>
      </c>
      <c r="F1320" s="106" t="n">
        <v>45747</v>
      </c>
      <c r="G1320" s="5" t="n">
        <v>2025</v>
      </c>
      <c r="H1320" s="5" t="inlineStr">
        <is>
          <t>Marzo</t>
        </is>
      </c>
      <c r="I1320" s="6" t="inlineStr">
        <is>
          <t>2025-1</t>
        </is>
      </c>
      <c r="J1320" s="5" t="n">
        <v>100</v>
      </c>
      <c r="K1320" s="9" t="n">
        <v>100</v>
      </c>
      <c r="L1320" s="14">
        <f>IFERROR(IF(OR(J1320=0,K1320=""),"",IF(E1320="Positivo",MIN(MAX(K1320/J1320,0),1.3),MIN(MAX(J1320/K1320,0),1.3))),"") </f>
        <v/>
      </c>
      <c r="M1320" s="14">
        <f>IFERROR(IF(OR(J1320=0,K1320=""),"",IF(E1320="Positivo",MAX(K1320/J1320,0),MAX(J1320/K1320,0))),"") </f>
        <v/>
      </c>
      <c r="N1320" s="5" t="inlineStr">
        <is>
          <t>%</t>
        </is>
      </c>
      <c r="O1320" s="5" t="inlineStr">
        <is>
          <t>%</t>
        </is>
      </c>
      <c r="P1320" s="15" t="n">
        <v>0</v>
      </c>
      <c r="Q1320" s="15" t="n">
        <v>0</v>
      </c>
      <c r="R1320" s="5" t="inlineStr">
        <is>
          <t>263-2025-03-31</t>
        </is>
      </c>
    </row>
    <row r="1321">
      <c r="A1321" s="21" t="n">
        <v>263</v>
      </c>
      <c r="B1321" s="5" t="inlineStr">
        <is>
          <t>Oportunidad de respuesta de PQRS</t>
        </is>
      </c>
      <c r="C1321" s="5" t="inlineStr">
        <is>
          <t>GESTIÓN JURÍDICA Y NORMATIVA</t>
        </is>
      </c>
      <c r="D1321" s="5" t="inlineStr">
        <is>
          <t>Trimestral</t>
        </is>
      </c>
      <c r="E1321" s="5" t="inlineStr">
        <is>
          <t>Positivo</t>
        </is>
      </c>
      <c r="F1321" s="107" t="n">
        <v>45838</v>
      </c>
      <c r="G1321" s="5" t="n">
        <v>2025</v>
      </c>
      <c r="H1321" s="5" t="inlineStr">
        <is>
          <t>Junio</t>
        </is>
      </c>
      <c r="I1321" s="6" t="inlineStr">
        <is>
          <t>2025-1</t>
        </is>
      </c>
      <c r="J1321" s="5" t="n">
        <v>100</v>
      </c>
      <c r="K1321" s="10" t="n">
        <v>100</v>
      </c>
      <c r="L1321" s="14">
        <f>IFERROR(IF(OR(J1321=0,K1321=""),"",IF(E1321="Positivo",MIN(MAX(K1321/J1321,0),1.3),MIN(MAX(J1321/K1321,0),1.3))),"") </f>
        <v/>
      </c>
      <c r="M1321" s="14">
        <f>IFERROR(IF(OR(J1321=0,K1321=""),"",IF(E1321="Positivo",MAX(K1321/J1321,0),MAX(J1321/K1321,0))),"") </f>
        <v/>
      </c>
      <c r="N1321" s="5" t="inlineStr">
        <is>
          <t>%</t>
        </is>
      </c>
      <c r="O1321" s="5" t="inlineStr">
        <is>
          <t>%</t>
        </is>
      </c>
      <c r="P1321" s="15" t="n">
        <v>0</v>
      </c>
      <c r="Q1321" s="15" t="n">
        <v>0</v>
      </c>
      <c r="R1321" s="5" t="inlineStr">
        <is>
          <t>263-2025-06-30</t>
        </is>
      </c>
    </row>
    <row r="1322">
      <c r="A1322" s="21" t="n">
        <v>263</v>
      </c>
      <c r="B1322" s="5" t="inlineStr">
        <is>
          <t>Oportunidad de respuesta de PQRS</t>
        </is>
      </c>
      <c r="C1322" s="5" t="inlineStr">
        <is>
          <t>GESTIÓN JURÍDICA Y NORMATIVA</t>
        </is>
      </c>
      <c r="D1322" s="5" t="inlineStr">
        <is>
          <t>Semestral</t>
        </is>
      </c>
      <c r="E1322" s="5" t="inlineStr">
        <is>
          <t>Positivo</t>
        </is>
      </c>
      <c r="F1322" s="106" t="n">
        <v>45930</v>
      </c>
      <c r="G1322" s="5" t="n">
        <v>2025</v>
      </c>
      <c r="H1322" s="5" t="inlineStr">
        <is>
          <t>Septiembre</t>
        </is>
      </c>
      <c r="I1322" s="6" t="inlineStr">
        <is>
          <t>2025-2</t>
        </is>
      </c>
      <c r="J1322" s="11" t="n">
        <v>100</v>
      </c>
      <c r="K1322" s="9" t="n">
        <v>100</v>
      </c>
      <c r="L1322" s="14">
        <f>IFERROR(IF(OR(J1322=0,K1322=""),"",IF(E1322="Positivo",MIN(MAX(K1322/J1322,0),1.3),MIN(MAX(J1322/K1322,0),1.3))),"") </f>
        <v/>
      </c>
      <c r="M1322" s="14">
        <f>IFERROR(IF(OR(J1322=0,K1322=""),"",IF(E1322="Positivo",MAX(K1322/J1322,0),MAX(J1322/K1322,0))),"") </f>
        <v/>
      </c>
      <c r="N1322" s="11" t="inlineStr">
        <is>
          <t>%</t>
        </is>
      </c>
      <c r="O1322" s="11" t="inlineStr">
        <is>
          <t>%</t>
        </is>
      </c>
      <c r="P1322" s="15" t="n">
        <v>0</v>
      </c>
      <c r="Q1322" s="15" t="n">
        <v>0</v>
      </c>
      <c r="R1322" s="5" t="inlineStr">
        <is>
          <t>263-2025-09-30</t>
        </is>
      </c>
    </row>
    <row r="1323">
      <c r="A1323" s="26" t="n">
        <v>263</v>
      </c>
      <c r="B1323" s="5" t="inlineStr">
        <is>
          <t>Oportunidad de respuesta de PQRS</t>
        </is>
      </c>
      <c r="C1323" s="5" t="inlineStr">
        <is>
          <t>GESTIÓN JURÍDICA Y NORMATIVA</t>
        </is>
      </c>
      <c r="D1323" s="5" t="inlineStr">
        <is>
          <t>Semestral</t>
        </is>
      </c>
      <c r="E1323" s="5" t="inlineStr">
        <is>
          <t>Positivo</t>
        </is>
      </c>
      <c r="F1323" s="107" t="n">
        <v>46022</v>
      </c>
      <c r="G1323" s="5" t="n">
        <v>2025</v>
      </c>
      <c r="H1323" s="5" t="inlineStr">
        <is>
          <t>Diciembre</t>
        </is>
      </c>
      <c r="I1323" s="6" t="inlineStr">
        <is>
          <t>2025-2</t>
        </is>
      </c>
      <c r="J1323" s="5" t="n">
        <v>100</v>
      </c>
      <c r="K1323" s="9" t="n">
        <v>100</v>
      </c>
      <c r="L1323" s="14">
        <f>IFERROR(IF(OR(J1323=0,K1323=""),"",IF(E1323="Positivo",MIN(MAX(K1323/J1323,0),1.3),MIN(MAX(J1323/K1323,0),1.3))),"") </f>
        <v/>
      </c>
      <c r="M1323" s="14">
        <f>IFERROR(IF(OR(J1323=0,K1323=""),"",IF(E1323="Positivo",MAX(K1323/J1323,0),MAX(J1323/K1323,0))),"") </f>
        <v/>
      </c>
      <c r="N1323" s="11" t="inlineStr">
        <is>
          <t>%</t>
        </is>
      </c>
      <c r="O1323" s="11" t="inlineStr">
        <is>
          <t>%</t>
        </is>
      </c>
      <c r="P1323" s="15" t="n">
        <v>0</v>
      </c>
      <c r="Q1323" s="15" t="n">
        <v>0</v>
      </c>
      <c r="R1323" s="5" t="inlineStr">
        <is>
          <t>263-2025-12-31</t>
        </is>
      </c>
    </row>
    <row r="1324">
      <c r="A1324" s="26" t="n">
        <v>264</v>
      </c>
      <c r="B1324" s="5" t="inlineStr">
        <is>
          <t>Emisión De Conceptos Jurídicos (Educación)</t>
        </is>
      </c>
      <c r="C1324" s="5" t="inlineStr">
        <is>
          <t>GESTIÓN JURÍDICA Y NORMATIVA</t>
        </is>
      </c>
      <c r="D1324" s="5" t="inlineStr">
        <is>
          <t>Semestral</t>
        </is>
      </c>
      <c r="E1324" s="5" t="inlineStr">
        <is>
          <t>Positivo</t>
        </is>
      </c>
      <c r="F1324" s="107" t="n">
        <v>45107</v>
      </c>
      <c r="G1324" s="5" t="n">
        <v>2023</v>
      </c>
      <c r="H1324" s="5" t="inlineStr">
        <is>
          <t>Junio</t>
        </is>
      </c>
      <c r="I1324" s="6" t="inlineStr">
        <is>
          <t>2023-1</t>
        </is>
      </c>
      <c r="J1324" s="5" t="n">
        <v>100</v>
      </c>
      <c r="K1324" s="9" t="n">
        <v>100</v>
      </c>
      <c r="L1324" s="14">
        <f>IFERROR(IF(OR(J1324=0,K1324=""),"",IF(E1324="Positivo",MIN(MAX(K1324/J1324,0),1.3),MIN(MAX(J1324/K1324,0),1.3))),"") </f>
        <v/>
      </c>
      <c r="M1324" s="14">
        <f>IFERROR(IF(OR(J1324=0,K1324=""),"",IF(E1324="Positivo",MAX(K1324/J1324,0),MAX(J1324/K1324,0))),"") </f>
        <v/>
      </c>
      <c r="N1324" s="11" t="inlineStr">
        <is>
          <t>%</t>
        </is>
      </c>
      <c r="O1324" s="11" t="inlineStr">
        <is>
          <t>%</t>
        </is>
      </c>
      <c r="P1324" s="15" t="n">
        <v>0</v>
      </c>
      <c r="Q1324" s="15" t="n">
        <v>0</v>
      </c>
      <c r="R1324" s="5" t="inlineStr">
        <is>
          <t>264-2023-06-30</t>
        </is>
      </c>
    </row>
    <row r="1325">
      <c r="A1325" s="21" t="n">
        <v>264</v>
      </c>
      <c r="B1325" s="5" t="inlineStr">
        <is>
          <t>Emisión De Conceptos Jurídicos (Educación)</t>
        </is>
      </c>
      <c r="C1325" s="5" t="inlineStr">
        <is>
          <t>GESTIÓN JURÍDICA Y NORMATIVA</t>
        </is>
      </c>
      <c r="D1325" s="5" t="inlineStr">
        <is>
          <t>Semestral</t>
        </is>
      </c>
      <c r="E1325" s="5" t="inlineStr">
        <is>
          <t>Positivo</t>
        </is>
      </c>
      <c r="F1325" s="107" t="n">
        <v>45291</v>
      </c>
      <c r="G1325" s="5" t="n">
        <v>2023</v>
      </c>
      <c r="H1325" s="5" t="inlineStr">
        <is>
          <t>Diciembre</t>
        </is>
      </c>
      <c r="I1325" s="6" t="inlineStr">
        <is>
          <t>2023-2</t>
        </is>
      </c>
      <c r="J1325" s="5" t="n">
        <v>100</v>
      </c>
      <c r="K1325" s="10" t="n">
        <v>100</v>
      </c>
      <c r="L1325" s="14">
        <f>IFERROR(IF(OR(J1325=0,K1325=""),"",IF(E1325="Positivo",MIN(MAX(K1325/J1325,0),1.3),MIN(MAX(J1325/K1325,0),1.3))),"") </f>
        <v/>
      </c>
      <c r="M1325" s="14">
        <f>IFERROR(IF(OR(J1325=0,K1325=""),"",IF(E1325="Positivo",MAX(K1325/J1325,0),MAX(J1325/K1325,0))),"") </f>
        <v/>
      </c>
      <c r="N1325" s="5" t="inlineStr">
        <is>
          <t>%</t>
        </is>
      </c>
      <c r="O1325" s="5" t="inlineStr">
        <is>
          <t>%</t>
        </is>
      </c>
      <c r="P1325" s="15" t="n">
        <v>0</v>
      </c>
      <c r="Q1325" s="15" t="n">
        <v>0</v>
      </c>
      <c r="R1325" s="5" t="inlineStr">
        <is>
          <t>264-2023-12-31</t>
        </is>
      </c>
    </row>
    <row r="1326">
      <c r="A1326" s="26" t="n">
        <v>264</v>
      </c>
      <c r="B1326" s="5" t="inlineStr">
        <is>
          <t>Eficiencia Emisión De Conceptos Jurídicos (Educación)</t>
        </is>
      </c>
      <c r="C1326" s="5" t="inlineStr">
        <is>
          <t>GESTIÓN JURÍDICA Y NORMATIVA</t>
        </is>
      </c>
      <c r="D1326" s="5" t="inlineStr">
        <is>
          <t>Semestral</t>
        </is>
      </c>
      <c r="E1326" s="5" t="inlineStr">
        <is>
          <t>Positivo</t>
        </is>
      </c>
      <c r="F1326" s="107" t="n">
        <v>45473</v>
      </c>
      <c r="G1326" s="5" t="n">
        <v>2024</v>
      </c>
      <c r="H1326" s="5" t="inlineStr">
        <is>
          <t>Junio</t>
        </is>
      </c>
      <c r="I1326" s="6" t="inlineStr">
        <is>
          <t>2024-1</t>
        </is>
      </c>
      <c r="J1326" s="5" t="n">
        <v>100</v>
      </c>
      <c r="K1326" s="9" t="n">
        <v>100</v>
      </c>
      <c r="L1326" s="14">
        <f>IFERROR(IF(OR(J1326=0,K1326=""),"",IF(E1326="Positivo",MIN(MAX(K1326/J1326,0),1.3),MIN(MAX(J1326/K1326,0),1.3))),"") </f>
        <v/>
      </c>
      <c r="M1326" s="14">
        <f>IFERROR(IF(OR(J1326=0,K1326=""),"",IF(E1326="Positivo",MAX(K1326/J1326,0),MAX(J1326/K1326,0))),"") </f>
        <v/>
      </c>
      <c r="N1326" s="5" t="inlineStr">
        <is>
          <t>%</t>
        </is>
      </c>
      <c r="O1326" s="5" t="inlineStr">
        <is>
          <t>%</t>
        </is>
      </c>
      <c r="P1326" s="15" t="n">
        <v>0</v>
      </c>
      <c r="Q1326" s="15" t="n">
        <v>0</v>
      </c>
      <c r="R1326" s="5" t="inlineStr">
        <is>
          <t>264-2024-06-30</t>
        </is>
      </c>
    </row>
    <row r="1327">
      <c r="A1327" s="21" t="n">
        <v>264</v>
      </c>
      <c r="B1327" s="5" t="inlineStr">
        <is>
          <t>Eficiencia Emisión De Conceptos Jurídicos (Educación)</t>
        </is>
      </c>
      <c r="C1327" s="5" t="inlineStr">
        <is>
          <t>GESTIÓN JURÍDICA Y NORMATIVA</t>
        </is>
      </c>
      <c r="D1327" s="5" t="inlineStr">
        <is>
          <t>Semestral</t>
        </is>
      </c>
      <c r="E1327" s="5" t="inlineStr">
        <is>
          <t>Positivo</t>
        </is>
      </c>
      <c r="F1327" s="107" t="n">
        <v>45657</v>
      </c>
      <c r="G1327" s="5" t="n">
        <v>2024</v>
      </c>
      <c r="H1327" s="5" t="inlineStr">
        <is>
          <t>Diciembre</t>
        </is>
      </c>
      <c r="I1327" s="6" t="inlineStr">
        <is>
          <t>2024-2</t>
        </is>
      </c>
      <c r="J1327" s="5" t="n">
        <v>100</v>
      </c>
      <c r="K1327" s="10" t="n">
        <v>100</v>
      </c>
      <c r="L1327" s="14">
        <f>IFERROR(IF(OR(J1327=0,K1327=""),"",IF(E1327="Positivo",MIN(MAX(K1327/J1327,0),1.3),MIN(MAX(J1327/K1327,0),1.3))),"") </f>
        <v/>
      </c>
      <c r="M1327" s="14">
        <f>IFERROR(IF(OR(J1327=0,K1327=""),"",IF(E1327="Positivo",MAX(K1327/J1327,0),MAX(J1327/K1327,0))),"") </f>
        <v/>
      </c>
      <c r="N1327" s="5" t="inlineStr">
        <is>
          <t>%</t>
        </is>
      </c>
      <c r="O1327" s="5" t="inlineStr">
        <is>
          <t>%</t>
        </is>
      </c>
      <c r="P1327" s="15" t="n">
        <v>0</v>
      </c>
      <c r="Q1327" s="15" t="n">
        <v>0</v>
      </c>
      <c r="R1327" s="5" t="inlineStr">
        <is>
          <t>264-2024-12-31</t>
        </is>
      </c>
    </row>
    <row r="1328">
      <c r="A1328" s="26" t="n">
        <v>265</v>
      </c>
      <c r="B1328" s="5" t="inlineStr">
        <is>
          <t>Emisión De Conceptos Jurídicos (Jurídicos)</t>
        </is>
      </c>
      <c r="C1328" s="5" t="inlineStr">
        <is>
          <t>GESTIÓN JURÍDICA Y NORMATIVA</t>
        </is>
      </c>
      <c r="D1328" s="5" t="inlineStr">
        <is>
          <t>Semestral</t>
        </is>
      </c>
      <c r="E1328" s="5" t="inlineStr">
        <is>
          <t>Positivo</t>
        </is>
      </c>
      <c r="F1328" s="107" t="n">
        <v>45107</v>
      </c>
      <c r="G1328" s="5" t="n">
        <v>2023</v>
      </c>
      <c r="H1328" s="5" t="inlineStr">
        <is>
          <t>Junio</t>
        </is>
      </c>
      <c r="I1328" s="6" t="inlineStr">
        <is>
          <t>2023-1</t>
        </is>
      </c>
      <c r="J1328" s="5" t="n">
        <v>100</v>
      </c>
      <c r="K1328" s="9" t="n">
        <v>80</v>
      </c>
      <c r="L1328" s="14">
        <f>IFERROR(IF(OR(J1328=0,K1328=""),"",IF(E1328="Positivo",MIN(MAX(K1328/J1328,0),1.3),MIN(MAX(J1328/K1328,0),1.3))),"") </f>
        <v/>
      </c>
      <c r="M1328" s="14">
        <f>IFERROR(IF(OR(J1328=0,K1328=""),"",IF(E1328="Positivo",MAX(K1328/J1328,0),MAX(J1328/K1328,0))),"") </f>
        <v/>
      </c>
      <c r="N1328" s="5" t="inlineStr">
        <is>
          <t>%</t>
        </is>
      </c>
      <c r="O1328" s="5" t="inlineStr">
        <is>
          <t>%</t>
        </is>
      </c>
      <c r="P1328" s="15" t="n">
        <v>0</v>
      </c>
      <c r="Q1328" s="15" t="n">
        <v>0</v>
      </c>
      <c r="R1328" s="5" t="inlineStr">
        <is>
          <t>265-2023-06-30</t>
        </is>
      </c>
    </row>
    <row r="1329">
      <c r="A1329" s="21" t="n">
        <v>265</v>
      </c>
      <c r="B1329" s="5" t="inlineStr">
        <is>
          <t>Emisión De Conceptos Jurídicos (Jurídicos)</t>
        </is>
      </c>
      <c r="C1329" s="5" t="inlineStr">
        <is>
          <t>GESTIÓN JURÍDICA Y NORMATIVA</t>
        </is>
      </c>
      <c r="D1329" s="5" t="inlineStr">
        <is>
          <t>Semestral</t>
        </is>
      </c>
      <c r="E1329" s="5" t="inlineStr">
        <is>
          <t>Positivo</t>
        </is>
      </c>
      <c r="F1329" s="107" t="n">
        <v>45291</v>
      </c>
      <c r="G1329" s="5" t="n">
        <v>2023</v>
      </c>
      <c r="H1329" s="5" t="inlineStr">
        <is>
          <t>Diciembre</t>
        </is>
      </c>
      <c r="I1329" s="6" t="inlineStr">
        <is>
          <t>2023-2</t>
        </is>
      </c>
      <c r="J1329" s="5" t="n">
        <v>100</v>
      </c>
      <c r="K1329" s="10" t="n">
        <v>97.13</v>
      </c>
      <c r="L1329" s="14">
        <f>IFERROR(IF(OR(J1329=0,K1329=""),"",IF(E1329="Positivo",MIN(MAX(K1329/J1329,0),1.3),MIN(MAX(J1329/K1329,0),1.3))),"") </f>
        <v/>
      </c>
      <c r="M1329" s="14">
        <f>IFERROR(IF(OR(J1329=0,K1329=""),"",IF(E1329="Positivo",MAX(K1329/J1329,0),MAX(J1329/K1329,0))),"") </f>
        <v/>
      </c>
      <c r="N1329" s="5" t="inlineStr">
        <is>
          <t>%</t>
        </is>
      </c>
      <c r="O1329" s="5" t="inlineStr">
        <is>
          <t>%</t>
        </is>
      </c>
      <c r="P1329" s="15" t="n">
        <v>0</v>
      </c>
      <c r="Q1329" s="15" t="n">
        <v>0</v>
      </c>
      <c r="R1329" s="5" t="inlineStr">
        <is>
          <t>265-2023-12-31</t>
        </is>
      </c>
    </row>
    <row r="1330">
      <c r="A1330" s="26" t="n">
        <v>265</v>
      </c>
      <c r="B1330" s="5" t="inlineStr">
        <is>
          <t>Eficiencia Emisión De Conceptos Jurídicos (Jurídicos)</t>
        </is>
      </c>
      <c r="C1330" s="5" t="inlineStr">
        <is>
          <t>GESTIÓN JURÍDICA Y NORMATIVA</t>
        </is>
      </c>
      <c r="D1330" s="5" t="inlineStr">
        <is>
          <t>Semestral</t>
        </is>
      </c>
      <c r="E1330" s="5" t="inlineStr">
        <is>
          <t>Positivo</t>
        </is>
      </c>
      <c r="F1330" s="107" t="n">
        <v>45473</v>
      </c>
      <c r="G1330" s="5" t="n">
        <v>2024</v>
      </c>
      <c r="H1330" s="5" t="inlineStr">
        <is>
          <t>Junio</t>
        </is>
      </c>
      <c r="I1330" s="6" t="inlineStr">
        <is>
          <t>2024-1</t>
        </is>
      </c>
      <c r="J1330" s="5" t="n">
        <v>95</v>
      </c>
      <c r="K1330" s="9" t="n">
        <v>100</v>
      </c>
      <c r="L1330" s="14">
        <f>IFERROR(IF(OR(J1330=0,K1330=""),"",IF(E1330="Positivo",MIN(MAX(K1330/J1330,0),1.3),MIN(MAX(J1330/K1330,0),1.3))),"") </f>
        <v/>
      </c>
      <c r="M1330" s="14">
        <f>IFERROR(IF(OR(J1330=0,K1330=""),"",IF(E1330="Positivo",MAX(K1330/J1330,0),MAX(J1330/K1330,0))),"") </f>
        <v/>
      </c>
      <c r="N1330" s="5" t="inlineStr">
        <is>
          <t>%</t>
        </is>
      </c>
      <c r="O1330" s="5" t="inlineStr">
        <is>
          <t>%</t>
        </is>
      </c>
      <c r="P1330" s="15" t="n">
        <v>0</v>
      </c>
      <c r="Q1330" s="15" t="n">
        <v>0</v>
      </c>
      <c r="R1330" s="5" t="inlineStr">
        <is>
          <t>265-2024-06-30</t>
        </is>
      </c>
    </row>
    <row r="1331">
      <c r="A1331" s="5" t="n">
        <v>265</v>
      </c>
      <c r="B1331" s="5" t="inlineStr">
        <is>
          <t>Eficiencia Emisión De Conceptos Jurídicos (Jurídicos)</t>
        </is>
      </c>
      <c r="C1331" s="5" t="inlineStr">
        <is>
          <t>GESTIÓN JURÍDICA Y NORMATIVA</t>
        </is>
      </c>
      <c r="D1331" s="5" t="inlineStr">
        <is>
          <t>Semestral</t>
        </is>
      </c>
      <c r="E1331" s="5" t="inlineStr">
        <is>
          <t>Positivo</t>
        </is>
      </c>
      <c r="F1331" s="107" t="n">
        <v>45657</v>
      </c>
      <c r="G1331" s="5" t="n">
        <v>2024</v>
      </c>
      <c r="H1331" s="5" t="inlineStr">
        <is>
          <t>Diciembre</t>
        </is>
      </c>
      <c r="I1331" s="6" t="inlineStr">
        <is>
          <t>2024-2</t>
        </is>
      </c>
      <c r="J1331" s="5" t="n">
        <v>95</v>
      </c>
      <c r="K1331" s="5" t="n">
        <v>100</v>
      </c>
      <c r="L1331" s="14">
        <f>IFERROR(IF(OR(J1331=0,K1331=""),"",IF(E1331="Positivo",MIN(MAX(K1331/J1331,0),1.3),MIN(MAX(J1331/K1331,0),1.3))),"") </f>
        <v/>
      </c>
      <c r="M1331" s="14">
        <f>IFERROR(IF(OR(J1331=0,K1331=""),"",IF(E1331="Positivo",MAX(K1331/J1331,0),MAX(J1331/K1331,0))),"") </f>
        <v/>
      </c>
      <c r="N1331" s="5" t="inlineStr">
        <is>
          <t>%</t>
        </is>
      </c>
      <c r="O1331" s="5" t="inlineStr">
        <is>
          <t>%</t>
        </is>
      </c>
      <c r="P1331" s="5" t="n">
        <v>0</v>
      </c>
      <c r="Q1331" s="5" t="n">
        <v>0</v>
      </c>
      <c r="R1331" s="5" t="inlineStr">
        <is>
          <t>265-2024-12-31</t>
        </is>
      </c>
    </row>
    <row r="1332">
      <c r="A1332" s="21" t="n">
        <v>265</v>
      </c>
      <c r="B1332" s="5" t="inlineStr">
        <is>
          <t>Eficiencia Emisión De Conceptos Jurídicos (Jurídicos)</t>
        </is>
      </c>
      <c r="C1332" s="5" t="inlineStr">
        <is>
          <t>GESTIÓN JURÍDICA Y NORMATIVA</t>
        </is>
      </c>
      <c r="D1332" s="5" t="inlineStr">
        <is>
          <t>Semestral</t>
        </is>
      </c>
      <c r="E1332" s="5" t="inlineStr">
        <is>
          <t>Positivo</t>
        </is>
      </c>
      <c r="F1332" s="107" t="n">
        <v>45838</v>
      </c>
      <c r="G1332" s="5" t="n">
        <v>2025</v>
      </c>
      <c r="H1332" s="5" t="inlineStr">
        <is>
          <t>Junio</t>
        </is>
      </c>
      <c r="I1332" s="6" t="inlineStr">
        <is>
          <t>2025-1</t>
        </is>
      </c>
      <c r="J1332" s="5" t="n">
        <v>95</v>
      </c>
      <c r="K1332" s="10" t="n">
        <v>100</v>
      </c>
      <c r="L1332" s="14">
        <f>IFERROR(IF(OR(J1332=0,K1332=""),"",IF(E1332="Positivo",MIN(MAX(K1332/J1332,0),1.3),MIN(MAX(J1332/K1332,0),1.3))),"") </f>
        <v/>
      </c>
      <c r="M1332" s="14">
        <f>IFERROR(IF(OR(J1332=0,K1332=""),"",IF(E1332="Positivo",MAX(K1332/J1332,0),MAX(J1332/K1332,0))),"") </f>
        <v/>
      </c>
      <c r="N1332" s="5" t="inlineStr">
        <is>
          <t>%</t>
        </is>
      </c>
      <c r="O1332" s="5" t="inlineStr">
        <is>
          <t>%</t>
        </is>
      </c>
      <c r="P1332" s="15" t="n">
        <v>0</v>
      </c>
      <c r="Q1332" s="15" t="n">
        <v>0</v>
      </c>
      <c r="R1332" s="5" t="inlineStr">
        <is>
          <t>265-2025-06-30</t>
        </is>
      </c>
    </row>
    <row r="1333">
      <c r="A1333" s="21" t="n">
        <v>265</v>
      </c>
      <c r="B1333" s="5" t="inlineStr">
        <is>
          <t>Eficiencia Emisión De Conceptos Jurídicos (Jurídicos)</t>
        </is>
      </c>
      <c r="C1333" s="5" t="inlineStr">
        <is>
          <t>GESTIÓN JURÍDICA Y NORMATIVA</t>
        </is>
      </c>
      <c r="D1333" s="5" t="inlineStr">
        <is>
          <t>Semestral</t>
        </is>
      </c>
      <c r="E1333" s="5" t="inlineStr">
        <is>
          <t>Positivo</t>
        </is>
      </c>
      <c r="F1333" s="106" t="n">
        <v>45930</v>
      </c>
      <c r="G1333" s="5" t="n">
        <v>2025</v>
      </c>
      <c r="H1333" s="5" t="inlineStr">
        <is>
          <t>Septiembre</t>
        </is>
      </c>
      <c r="I1333" s="6" t="inlineStr">
        <is>
          <t>2025-2</t>
        </is>
      </c>
      <c r="J1333" s="5" t="n">
        <v>95</v>
      </c>
      <c r="K1333" s="9" t="n">
        <v>100</v>
      </c>
      <c r="L1333" s="14">
        <f>IFERROR(IF(OR(J1333=0,K1333=""),"",IF(E1333="Positivo",MIN(MAX(K1333/J1333,0),1.3),MIN(MAX(J1333/K1333,0),1.3))),"") </f>
        <v/>
      </c>
      <c r="M1333" s="14">
        <f>IFERROR(IF(OR(J1333=0,K1333=""),"",IF(E1333="Positivo",MAX(K1333/J1333,0),MAX(J1333/K1333,0))),"") </f>
        <v/>
      </c>
      <c r="N1333" s="5" t="inlineStr">
        <is>
          <t>%</t>
        </is>
      </c>
      <c r="O1333" s="5" t="inlineStr">
        <is>
          <t>%</t>
        </is>
      </c>
      <c r="P1333" s="15" t="n">
        <v>0</v>
      </c>
      <c r="Q1333" s="15" t="n">
        <v>0</v>
      </c>
      <c r="R1333" s="5" t="inlineStr">
        <is>
          <t>265-2025-09-30</t>
        </is>
      </c>
    </row>
    <row r="1334">
      <c r="A1334" s="26" t="n">
        <v>265</v>
      </c>
      <c r="B1334" s="5" t="inlineStr">
        <is>
          <t>Eficiencia Emisión De Conceptos Jurídicos (Jurídicos)</t>
        </is>
      </c>
      <c r="C1334" s="5" t="inlineStr">
        <is>
          <t>GESTIÓN JURÍDICA Y NORMATIVA</t>
        </is>
      </c>
      <c r="D1334" s="5" t="inlineStr">
        <is>
          <t>Semestral</t>
        </is>
      </c>
      <c r="E1334" s="5" t="inlineStr">
        <is>
          <t>Positivo</t>
        </is>
      </c>
      <c r="F1334" s="107" t="n">
        <v>46022</v>
      </c>
      <c r="G1334" s="5" t="n">
        <v>2025</v>
      </c>
      <c r="H1334" s="5" t="inlineStr">
        <is>
          <t>Diciembre</t>
        </is>
      </c>
      <c r="I1334" s="6" t="inlineStr">
        <is>
          <t>2025-2</t>
        </is>
      </c>
      <c r="J1334" s="5" t="n">
        <v>95</v>
      </c>
      <c r="K1334" s="9" t="n">
        <v>100</v>
      </c>
      <c r="L1334" s="14">
        <f>IFERROR(IF(OR(J1334=0,K1334=""),"",IF(E1334="Positivo",MIN(MAX(K1334/J1334,0),1.3),MIN(MAX(J1334/K1334,0),1.3))),"") </f>
        <v/>
      </c>
      <c r="M1334" s="14">
        <f>IFERROR(IF(OR(J1334=0,K1334=""),"",IF(E1334="Positivo",MAX(K1334/J1334,0),MAX(J1334/K1334,0))),"") </f>
        <v/>
      </c>
      <c r="N1334" s="5" t="inlineStr">
        <is>
          <t>%</t>
        </is>
      </c>
      <c r="O1334" s="5" t="inlineStr">
        <is>
          <t>%</t>
        </is>
      </c>
      <c r="P1334" s="15" t="n">
        <v>0</v>
      </c>
      <c r="Q1334" s="15" t="n">
        <v>0</v>
      </c>
      <c r="R1334" s="5" t="inlineStr">
        <is>
          <t>265-2025-12-31</t>
        </is>
      </c>
    </row>
    <row r="1335">
      <c r="A1335" s="5" t="n">
        <v>266</v>
      </c>
      <c r="B1335" s="5" t="inlineStr">
        <is>
          <t>Oportunidad en la elaboración de contratos</t>
        </is>
      </c>
      <c r="C1335" s="5" t="inlineStr">
        <is>
          <t>GESTIÓN JURÍDICA Y NORMATIVA</t>
        </is>
      </c>
      <c r="D1335" s="5" t="inlineStr">
        <is>
          <t>Semestral</t>
        </is>
      </c>
      <c r="E1335" s="5" t="inlineStr">
        <is>
          <t>Positivo</t>
        </is>
      </c>
      <c r="F1335" s="107" t="n">
        <v>45107</v>
      </c>
      <c r="G1335" s="5" t="n">
        <v>2023</v>
      </c>
      <c r="H1335" s="5" t="inlineStr">
        <is>
          <t>Junio</t>
        </is>
      </c>
      <c r="I1335" s="6" t="inlineStr">
        <is>
          <t>2023-1</t>
        </is>
      </c>
      <c r="J1335" s="5" t="n">
        <v>95</v>
      </c>
      <c r="K1335" s="5" t="n">
        <v>89.907038512616</v>
      </c>
      <c r="L1335" s="14">
        <f>IFERROR(IF(OR(J1335=0,K1335=""),"",IF(E1335="Positivo",MIN(MAX(K1335/J1335,0),1.3),MIN(MAX(J1335/K1335,0),1.3))),"") </f>
        <v/>
      </c>
      <c r="M1335" s="14">
        <f>IFERROR(IF(OR(J1335=0,K1335=""),"",IF(E1335="Positivo",MAX(K1335/J1335,0),MAX(J1335/K1335,0))),"") </f>
        <v/>
      </c>
      <c r="N1335" s="5" t="inlineStr">
        <is>
          <t>%</t>
        </is>
      </c>
      <c r="O1335" s="5" t="inlineStr">
        <is>
          <t>%</t>
        </is>
      </c>
      <c r="P1335" s="5" t="n">
        <v>0</v>
      </c>
      <c r="Q1335" s="5" t="n">
        <v>0</v>
      </c>
      <c r="R1335" s="5" t="inlineStr">
        <is>
          <t>266-2023-06-30</t>
        </is>
      </c>
    </row>
    <row r="1336">
      <c r="A1336" s="21" t="n">
        <v>266</v>
      </c>
      <c r="B1336" s="5" t="inlineStr">
        <is>
          <t>Oportunidad en la elaboración de contratos</t>
        </is>
      </c>
      <c r="C1336" s="5" t="inlineStr">
        <is>
          <t>GESTIÓN JURÍDICA Y NORMATIVA</t>
        </is>
      </c>
      <c r="D1336" s="5" t="inlineStr">
        <is>
          <t>Semestral</t>
        </is>
      </c>
      <c r="E1336" s="5" t="inlineStr">
        <is>
          <t>Positivo</t>
        </is>
      </c>
      <c r="F1336" s="107" t="n">
        <v>45291</v>
      </c>
      <c r="G1336" s="5" t="n">
        <v>2023</v>
      </c>
      <c r="H1336" s="5" t="inlineStr">
        <is>
          <t>Diciembre</t>
        </is>
      </c>
      <c r="I1336" s="6" t="inlineStr">
        <is>
          <t>2023-2</t>
        </is>
      </c>
      <c r="J1336" s="5" t="n">
        <v>95</v>
      </c>
      <c r="K1336" s="10" t="n">
        <v>97.06999999999999</v>
      </c>
      <c r="L1336" s="14">
        <f>IFERROR(IF(OR(J1336=0,K1336=""),"",IF(E1336="Positivo",MIN(MAX(K1336/J1336,0),1.3),MIN(MAX(J1336/K1336,0),1.3))),"") </f>
        <v/>
      </c>
      <c r="M1336" s="14">
        <f>IFERROR(IF(OR(J1336=0,K1336=""),"",IF(E1336="Positivo",MAX(K1336/J1336,0),MAX(J1336/K1336,0))),"") </f>
        <v/>
      </c>
      <c r="N1336" s="5" t="inlineStr">
        <is>
          <t>%</t>
        </is>
      </c>
      <c r="O1336" s="5" t="inlineStr">
        <is>
          <t>%</t>
        </is>
      </c>
      <c r="P1336" s="15" t="n">
        <v>0</v>
      </c>
      <c r="Q1336" s="15" t="n">
        <v>0</v>
      </c>
      <c r="R1336" s="5" t="inlineStr">
        <is>
          <t>266-2023-12-31</t>
        </is>
      </c>
    </row>
    <row r="1337">
      <c r="A1337" s="21" t="n">
        <v>266</v>
      </c>
      <c r="B1337" s="5" t="inlineStr">
        <is>
          <t>Oportunidad en la elaboración de contratos</t>
        </is>
      </c>
      <c r="C1337" s="5" t="inlineStr">
        <is>
          <t>GESTIÓN JURÍDICA Y NORMATIVA</t>
        </is>
      </c>
      <c r="D1337" s="5" t="inlineStr">
        <is>
          <t>Semestral</t>
        </is>
      </c>
      <c r="E1337" s="5" t="inlineStr">
        <is>
          <t>Positivo</t>
        </is>
      </c>
      <c r="F1337" s="106" t="n">
        <v>45473</v>
      </c>
      <c r="G1337" s="5" t="n">
        <v>2024</v>
      </c>
      <c r="H1337" s="5" t="inlineStr">
        <is>
          <t>Junio</t>
        </is>
      </c>
      <c r="I1337" s="6" t="inlineStr">
        <is>
          <t>2024-1</t>
        </is>
      </c>
      <c r="J1337" s="5" t="n">
        <v>95</v>
      </c>
      <c r="K1337" s="94" t="n">
        <v>95.02</v>
      </c>
      <c r="L1337" s="14">
        <f>IFERROR(IF(OR(J1337=0,K1337=""),"",IF(E1337="Positivo",MIN(MAX(K1337/J1337,0),1.3),MIN(MAX(J1337/K1337,0),1.3))),"") </f>
        <v/>
      </c>
      <c r="M1337" s="14">
        <f>IFERROR(IF(OR(J1337=0,K1337=""),"",IF(E1337="Positivo",MAX(K1337/J1337,0),MAX(J1337/K1337,0))),"") </f>
        <v/>
      </c>
      <c r="N1337" s="5" t="inlineStr">
        <is>
          <t>%</t>
        </is>
      </c>
      <c r="O1337" s="5" t="inlineStr">
        <is>
          <t>%</t>
        </is>
      </c>
      <c r="P1337" s="15" t="n">
        <v>0</v>
      </c>
      <c r="Q1337" s="15" t="n">
        <v>0</v>
      </c>
      <c r="R1337" s="5" t="inlineStr">
        <is>
          <t>266-2024-06-30</t>
        </is>
      </c>
    </row>
    <row r="1338">
      <c r="A1338" s="26" t="n">
        <v>266</v>
      </c>
      <c r="B1338" s="5" t="inlineStr">
        <is>
          <t>Oportunidad en la elaboración de contratos</t>
        </is>
      </c>
      <c r="C1338" s="5" t="inlineStr">
        <is>
          <t>GESTIÓN JURÍDICA Y NORMATIVA</t>
        </is>
      </c>
      <c r="D1338" s="5" t="inlineStr">
        <is>
          <t>Semestral</t>
        </is>
      </c>
      <c r="E1338" s="5" t="inlineStr">
        <is>
          <t>Positivo</t>
        </is>
      </c>
      <c r="F1338" s="107" t="n">
        <v>45657</v>
      </c>
      <c r="G1338" s="5" t="n">
        <v>2024</v>
      </c>
      <c r="H1338" s="5" t="inlineStr">
        <is>
          <t>Diciembre</t>
        </is>
      </c>
      <c r="I1338" s="6" t="inlineStr">
        <is>
          <t>2024-2</t>
        </is>
      </c>
      <c r="J1338" s="5" t="n">
        <v>95</v>
      </c>
      <c r="K1338" s="9" t="n">
        <v>81.93000000000001</v>
      </c>
      <c r="L1338" s="14">
        <f>IFERROR(IF(OR(J1338=0,K1338=""),"",IF(E1338="Positivo",MIN(MAX(K1338/J1338,0),1.3),MIN(MAX(J1338/K1338,0),1.3))),"") </f>
        <v/>
      </c>
      <c r="M1338" s="14">
        <f>IFERROR(IF(OR(J1338=0,K1338=""),"",IF(E1338="Positivo",MAX(K1338/J1338,0),MAX(J1338/K1338,0))),"") </f>
        <v/>
      </c>
      <c r="N1338" s="5" t="inlineStr">
        <is>
          <t>%</t>
        </is>
      </c>
      <c r="O1338" s="5" t="inlineStr">
        <is>
          <t>%</t>
        </is>
      </c>
      <c r="P1338" s="15" t="n">
        <v>0</v>
      </c>
      <c r="Q1338" s="15" t="n">
        <v>0</v>
      </c>
      <c r="R1338" s="5" t="inlineStr">
        <is>
          <t>266-2024-12-31</t>
        </is>
      </c>
    </row>
    <row r="1339">
      <c r="A1339" s="5" t="n">
        <v>266</v>
      </c>
      <c r="B1339" s="5" t="inlineStr">
        <is>
          <t>Oportunidad en la elaboración de contratos</t>
        </is>
      </c>
      <c r="C1339" s="5" t="inlineStr">
        <is>
          <t>GESTIÓN JURÍDICA Y NORMATIVA</t>
        </is>
      </c>
      <c r="D1339" s="5" t="inlineStr">
        <is>
          <t>Semestral</t>
        </is>
      </c>
      <c r="E1339" s="5" t="inlineStr">
        <is>
          <t>Positivo</t>
        </is>
      </c>
      <c r="F1339" s="107" t="n">
        <v>45838</v>
      </c>
      <c r="G1339" s="5" t="n">
        <v>2025</v>
      </c>
      <c r="H1339" s="5" t="inlineStr">
        <is>
          <t>Junio</t>
        </is>
      </c>
      <c r="I1339" s="6" t="inlineStr">
        <is>
          <t>2025-1</t>
        </is>
      </c>
      <c r="J1339" s="5" t="n">
        <v>95</v>
      </c>
      <c r="K1339" s="5" t="n">
        <v>53.15</v>
      </c>
      <c r="L1339" s="14">
        <f>IFERROR(IF(OR(J1339=0,K1339=""),"",IF(E1339="Positivo",MIN(MAX(K1339/J1339,0),1.3),MIN(MAX(J1339/K1339,0),1.3))),"") </f>
        <v/>
      </c>
      <c r="M1339" s="14">
        <f>IFERROR(IF(OR(J1339=0,K1339=""),"",IF(E1339="Positivo",MAX(K1339/J1339,0),MAX(J1339/K1339,0))),"") </f>
        <v/>
      </c>
      <c r="N1339" s="5" t="inlineStr">
        <is>
          <t>%</t>
        </is>
      </c>
      <c r="O1339" s="5" t="inlineStr">
        <is>
          <t>%</t>
        </is>
      </c>
      <c r="P1339" s="5" t="n">
        <v>0</v>
      </c>
      <c r="Q1339" s="5" t="n">
        <v>0</v>
      </c>
      <c r="R1339" s="5" t="inlineStr">
        <is>
          <t>266-2025-06-30</t>
        </is>
      </c>
    </row>
    <row r="1340">
      <c r="A1340" s="21" t="n">
        <v>266</v>
      </c>
      <c r="B1340" s="5" t="inlineStr">
        <is>
          <t>Oportunidad en la elaboración de contratos</t>
        </is>
      </c>
      <c r="C1340" s="5" t="inlineStr">
        <is>
          <t>GESTIÓN JURÍDICA Y NORMATIVA</t>
        </is>
      </c>
      <c r="D1340" s="5" t="inlineStr">
        <is>
          <t>Semestral</t>
        </is>
      </c>
      <c r="E1340" s="5" t="inlineStr">
        <is>
          <t>Positivo</t>
        </is>
      </c>
      <c r="F1340" s="107" t="n">
        <v>45930</v>
      </c>
      <c r="G1340" s="5" t="n">
        <v>2025</v>
      </c>
      <c r="H1340" s="5" t="inlineStr">
        <is>
          <t>Septiembre</t>
        </is>
      </c>
      <c r="I1340" s="6" t="inlineStr">
        <is>
          <t>2025-2</t>
        </is>
      </c>
      <c r="J1340" s="5" t="n">
        <v>95</v>
      </c>
      <c r="K1340" s="10" t="n">
        <v>80</v>
      </c>
      <c r="L1340" s="14">
        <f>IFERROR(IF(OR(J1340=0,K1340=""),"",IF(E1340="Positivo",MIN(MAX(K1340/J1340,0),1.3),MIN(MAX(J1340/K1340,0),1.3))),"") </f>
        <v/>
      </c>
      <c r="M1340" s="14">
        <f>IFERROR(IF(OR(J1340=0,K1340=""),"",IF(E1340="Positivo",MAX(K1340/J1340,0),MAX(J1340/K1340,0))),"") </f>
        <v/>
      </c>
      <c r="N1340" s="5" t="inlineStr">
        <is>
          <t>%</t>
        </is>
      </c>
      <c r="O1340" s="5" t="inlineStr">
        <is>
          <t>%</t>
        </is>
      </c>
      <c r="P1340" s="15" t="n">
        <v>0</v>
      </c>
      <c r="Q1340" s="15" t="n">
        <v>0</v>
      </c>
      <c r="R1340" s="5" t="inlineStr">
        <is>
          <t>266-2025-09-30</t>
        </is>
      </c>
    </row>
    <row r="1341">
      <c r="A1341" s="21" t="n">
        <v>266</v>
      </c>
      <c r="B1341" s="5" t="inlineStr">
        <is>
          <t>Oportunidad en la elaboración de contratos</t>
        </is>
      </c>
      <c r="C1341" s="5" t="inlineStr">
        <is>
          <t>GESTIÓN JURÍDICA Y NORMATIVA</t>
        </is>
      </c>
      <c r="D1341" s="5" t="inlineStr">
        <is>
          <t>Semestral</t>
        </is>
      </c>
      <c r="E1341" s="5" t="inlineStr">
        <is>
          <t>Positivo</t>
        </is>
      </c>
      <c r="F1341" s="106" t="n">
        <v>46022</v>
      </c>
      <c r="G1341" s="5" t="n">
        <v>2025</v>
      </c>
      <c r="H1341" s="5" t="inlineStr">
        <is>
          <t>Diciembre</t>
        </is>
      </c>
      <c r="I1341" s="6" t="inlineStr">
        <is>
          <t>2025-2</t>
        </is>
      </c>
      <c r="J1341" s="5" t="n">
        <v>95</v>
      </c>
      <c r="K1341" s="9" t="n">
        <v>96.2</v>
      </c>
      <c r="L1341" s="14">
        <f>IFERROR(IF(OR(J1341=0,K1341=""),"",IF(E1341="Positivo",MIN(MAX(K1341/J1341,0),1.3),MIN(MAX(J1341/K1341,0),1.3))),"") </f>
        <v/>
      </c>
      <c r="M1341" s="14">
        <f>IFERROR(IF(OR(J1341=0,K1341=""),"",IF(E1341="Positivo",MAX(K1341/J1341,0),MAX(J1341/K1341,0))),"") </f>
        <v/>
      </c>
      <c r="N1341" s="5" t="inlineStr">
        <is>
          <t>%</t>
        </is>
      </c>
      <c r="O1341" s="5" t="inlineStr">
        <is>
          <t>%</t>
        </is>
      </c>
      <c r="P1341" s="15" t="n">
        <v>0</v>
      </c>
      <c r="Q1341" s="15" t="n">
        <v>0</v>
      </c>
      <c r="R1341" s="5" t="inlineStr">
        <is>
          <t>266-2025-12-31</t>
        </is>
      </c>
    </row>
    <row r="1342">
      <c r="A1342" s="26" t="n">
        <v>268</v>
      </c>
      <c r="B1342" s="5" t="inlineStr">
        <is>
          <t>Cantidad de usuarios</t>
        </is>
      </c>
      <c r="C1342" s="5" t="inlineStr">
        <is>
          <t>Centro de Medios Audiovisuales</t>
        </is>
      </c>
      <c r="D1342" s="5" t="inlineStr">
        <is>
          <t>Semestral</t>
        </is>
      </c>
      <c r="E1342" s="5" t="inlineStr">
        <is>
          <t>Positivo</t>
        </is>
      </c>
      <c r="F1342" s="107" t="n">
        <v>45107</v>
      </c>
      <c r="G1342" s="5" t="n">
        <v>2023</v>
      </c>
      <c r="H1342" s="5" t="inlineStr">
        <is>
          <t>Junio</t>
        </is>
      </c>
      <c r="I1342" s="6" t="inlineStr">
        <is>
          <t>2023-1</t>
        </is>
      </c>
      <c r="J1342" s="5" t="n">
        <v>0</v>
      </c>
      <c r="K1342" s="9" t="n">
        <v>661</v>
      </c>
      <c r="L1342" s="14">
        <f>IFERROR(IF(OR(J1342=0,K1342=""),"",IF(E1342="Positivo",MIN(MAX(K1342/J1342,0),1.3),MIN(MAX(J1342/K1342,0),1.3))),"") </f>
        <v/>
      </c>
      <c r="M1342" s="14">
        <f>IFERROR(IF(OR(J1342=0,K1342=""),"",IF(E1342="Positivo",MAX(K1342/J1342,0),MAX(J1342/K1342,0))),"") </f>
        <v/>
      </c>
      <c r="N1342" s="5" t="n"/>
      <c r="O1342" s="5" t="inlineStr">
        <is>
          <t>ENT</t>
        </is>
      </c>
      <c r="P1342" s="15" t="n">
        <v>0</v>
      </c>
      <c r="Q1342" s="15" t="n">
        <v>0</v>
      </c>
      <c r="R1342" s="5" t="inlineStr">
        <is>
          <t>268-2023-06-30</t>
        </is>
      </c>
    </row>
    <row r="1343">
      <c r="A1343" s="5" t="n">
        <v>268</v>
      </c>
      <c r="B1343" s="5" t="inlineStr">
        <is>
          <t>Cantidad de usuarios</t>
        </is>
      </c>
      <c r="C1343" s="5" t="inlineStr">
        <is>
          <t>Centro de Medios Audiovisuales</t>
        </is>
      </c>
      <c r="D1343" s="5" t="inlineStr">
        <is>
          <t>Semestral</t>
        </is>
      </c>
      <c r="E1343" s="5" t="inlineStr">
        <is>
          <t>Positivo</t>
        </is>
      </c>
      <c r="F1343" s="107" t="n">
        <v>45291</v>
      </c>
      <c r="G1343" s="5" t="n">
        <v>2023</v>
      </c>
      <c r="H1343" s="5" t="inlineStr">
        <is>
          <t>Diciembre</t>
        </is>
      </c>
      <c r="I1343" s="6" t="inlineStr">
        <is>
          <t>2023-2</t>
        </is>
      </c>
      <c r="J1343" s="5" t="n">
        <v>0</v>
      </c>
      <c r="K1343" s="5" t="n">
        <v>727</v>
      </c>
      <c r="L1343" s="14">
        <f>IFERROR(IF(OR(J1343=0,K1343=""),"",IF(E1343="Positivo",MIN(MAX(K1343/J1343,0),1.3),MIN(MAX(J1343/K1343,0),1.3))),"") </f>
        <v/>
      </c>
      <c r="M1343" s="14">
        <f>IFERROR(IF(OR(J1343=0,K1343=""),"",IF(E1343="Positivo",MAX(K1343/J1343,0),MAX(J1343/K1343,0))),"") </f>
        <v/>
      </c>
      <c r="N1343" s="5" t="n"/>
      <c r="O1343" s="5" t="inlineStr">
        <is>
          <t>ENT</t>
        </is>
      </c>
      <c r="P1343" s="5" t="n">
        <v>0</v>
      </c>
      <c r="Q1343" s="5" t="n">
        <v>0</v>
      </c>
      <c r="R1343" s="5" t="inlineStr">
        <is>
          <t>268-2023-12-31</t>
        </is>
      </c>
    </row>
    <row r="1344">
      <c r="A1344" s="21" t="n">
        <v>268</v>
      </c>
      <c r="B1344" s="5" t="inlineStr">
        <is>
          <t>Cantidad de usuarios</t>
        </is>
      </c>
      <c r="C1344" s="5" t="inlineStr">
        <is>
          <t>Centro de Medios Audiovisuales</t>
        </is>
      </c>
      <c r="D1344" s="5" t="inlineStr">
        <is>
          <t>Semestral</t>
        </is>
      </c>
      <c r="E1344" s="5" t="inlineStr">
        <is>
          <t>Positivo</t>
        </is>
      </c>
      <c r="F1344" s="107" t="n">
        <v>45473</v>
      </c>
      <c r="G1344" s="5" t="n">
        <v>2024</v>
      </c>
      <c r="H1344" s="5" t="inlineStr">
        <is>
          <t>Junio</t>
        </is>
      </c>
      <c r="I1344" s="6" t="inlineStr">
        <is>
          <t>2024-1</t>
        </is>
      </c>
      <c r="J1344" s="5" t="n">
        <v>0</v>
      </c>
      <c r="K1344" s="10" t="n">
        <v>743</v>
      </c>
      <c r="L1344" s="14">
        <f>IFERROR(IF(OR(J1344=0,K1344=""),"",IF(E1344="Positivo",MIN(MAX(K1344/J1344,0),1.3),MIN(MAX(J1344/K1344,0),1.3))),"") </f>
        <v/>
      </c>
      <c r="M1344" s="14">
        <f>IFERROR(IF(OR(J1344=0,K1344=""),"",IF(E1344="Positivo",MAX(K1344/J1344,0),MAX(J1344/K1344,0))),"") </f>
        <v/>
      </c>
      <c r="N1344" s="5" t="n"/>
      <c r="O1344" s="5" t="inlineStr">
        <is>
          <t>ENT</t>
        </is>
      </c>
      <c r="P1344" s="15" t="n">
        <v>0</v>
      </c>
      <c r="Q1344" s="15" t="n">
        <v>0</v>
      </c>
      <c r="R1344" s="5" t="inlineStr">
        <is>
          <t>268-2024-06-30</t>
        </is>
      </c>
    </row>
    <row r="1345">
      <c r="A1345" s="21" t="n">
        <v>268</v>
      </c>
      <c r="B1345" s="5" t="inlineStr">
        <is>
          <t>Cantidad de usuarios</t>
        </is>
      </c>
      <c r="C1345" s="5" t="inlineStr">
        <is>
          <t>Centro de Medios Audiovisuales</t>
        </is>
      </c>
      <c r="D1345" s="5" t="inlineStr">
        <is>
          <t>Semestral</t>
        </is>
      </c>
      <c r="E1345" s="5" t="inlineStr">
        <is>
          <t>Positivo</t>
        </is>
      </c>
      <c r="F1345" s="106" t="n">
        <v>45657</v>
      </c>
      <c r="G1345" s="5" t="n">
        <v>2024</v>
      </c>
      <c r="H1345" s="5" t="inlineStr">
        <is>
          <t>Diciembre</t>
        </is>
      </c>
      <c r="I1345" s="6" t="inlineStr">
        <is>
          <t>2024-2</t>
        </is>
      </c>
      <c r="J1345" s="5" t="n">
        <v>0</v>
      </c>
      <c r="K1345" s="94" t="n">
        <v>732</v>
      </c>
      <c r="L1345" s="14">
        <f>IFERROR(IF(OR(J1345=0,K1345=""),"",IF(E1345="Positivo",MIN(MAX(K1345/J1345,0),1.3),MIN(MAX(J1345/K1345,0),1.3))),"") </f>
        <v/>
      </c>
      <c r="M1345" s="14">
        <f>IFERROR(IF(OR(J1345=0,K1345=""),"",IF(E1345="Positivo",MAX(K1345/J1345,0),MAX(J1345/K1345,0))),"") </f>
        <v/>
      </c>
      <c r="N1345" s="5" t="n"/>
      <c r="O1345" s="5" t="inlineStr">
        <is>
          <t>ENT</t>
        </is>
      </c>
      <c r="P1345" s="15" t="n">
        <v>0</v>
      </c>
      <c r="Q1345" s="15" t="n">
        <v>0</v>
      </c>
      <c r="R1345" s="5" t="inlineStr">
        <is>
          <t>268-2024-12-31</t>
        </is>
      </c>
    </row>
    <row r="1346">
      <c r="A1346" s="26" t="n">
        <v>268</v>
      </c>
      <c r="B1346" s="5" t="inlineStr">
        <is>
          <t>Cantidad de usuarios - (Metrica)</t>
        </is>
      </c>
      <c r="C1346" s="5" t="inlineStr">
        <is>
          <t>Centro de Medios Audiovisuales</t>
        </is>
      </c>
      <c r="D1346" s="5" t="inlineStr">
        <is>
          <t>Trimestral</t>
        </is>
      </c>
      <c r="E1346" s="5" t="inlineStr">
        <is>
          <t>Positivo</t>
        </is>
      </c>
      <c r="F1346" s="107" t="n">
        <v>45838</v>
      </c>
      <c r="G1346" s="5" t="n">
        <v>2025</v>
      </c>
      <c r="H1346" s="5" t="inlineStr">
        <is>
          <t>Junio</t>
        </is>
      </c>
      <c r="I1346" s="6" t="inlineStr">
        <is>
          <t>2025-1</t>
        </is>
      </c>
      <c r="J1346" s="5" t="n"/>
      <c r="K1346" s="94" t="n">
        <v>765</v>
      </c>
      <c r="L1346" s="14" t="n"/>
      <c r="M1346" s="14" t="n"/>
      <c r="N1346" s="5" t="inlineStr">
        <is>
          <t>%</t>
        </is>
      </c>
      <c r="O1346" s="5" t="inlineStr">
        <is>
          <t>ENT</t>
        </is>
      </c>
      <c r="P1346" s="15" t="n">
        <v>0</v>
      </c>
      <c r="Q1346" s="15" t="n">
        <v>0</v>
      </c>
      <c r="R1346" s="5" t="inlineStr">
        <is>
          <t>268-2025-06-30</t>
        </is>
      </c>
      <c r="S1346" t="inlineStr">
        <is>
          <t>Metrica</t>
        </is>
      </c>
    </row>
    <row r="1347">
      <c r="A1347" s="5" t="n">
        <v>268</v>
      </c>
      <c r="B1347" s="5" t="inlineStr">
        <is>
          <t>Cantidad de usuarios - (Metrica)</t>
        </is>
      </c>
      <c r="C1347" s="5" t="inlineStr">
        <is>
          <t>Centro de Medios Audiovisuales</t>
        </is>
      </c>
      <c r="D1347" s="5" t="inlineStr">
        <is>
          <t>Trimestral</t>
        </is>
      </c>
      <c r="E1347" s="5" t="inlineStr">
        <is>
          <t>Positivo</t>
        </is>
      </c>
      <c r="F1347" s="107" t="n">
        <v>46022</v>
      </c>
      <c r="G1347" s="5" t="n">
        <v>2025</v>
      </c>
      <c r="H1347" s="5" t="inlineStr">
        <is>
          <t>Diciembre</t>
        </is>
      </c>
      <c r="I1347" s="6" t="inlineStr">
        <is>
          <t>2025-2</t>
        </is>
      </c>
      <c r="J1347" s="5" t="n"/>
      <c r="K1347" s="5" t="n">
        <v>877</v>
      </c>
      <c r="L1347" s="14" t="n"/>
      <c r="M1347" s="14" t="n"/>
      <c r="N1347" s="5" t="inlineStr">
        <is>
          <t>%</t>
        </is>
      </c>
      <c r="O1347" s="5" t="inlineStr">
        <is>
          <t>ENT</t>
        </is>
      </c>
      <c r="P1347" s="5" t="n">
        <v>0</v>
      </c>
      <c r="Q1347" s="5" t="n">
        <v>0</v>
      </c>
      <c r="R1347" s="5" t="inlineStr">
        <is>
          <t>268-2025-12-31</t>
        </is>
      </c>
      <c r="S1347" t="inlineStr">
        <is>
          <t>Metrica</t>
        </is>
      </c>
    </row>
    <row r="1348">
      <c r="A1348" s="21" t="n">
        <v>269</v>
      </c>
      <c r="B1348" s="5" t="inlineStr">
        <is>
          <t>N de personas promedio por evento</t>
        </is>
      </c>
      <c r="C1348" s="5" t="inlineStr">
        <is>
          <t>Centro de Medios Audiovisuales</t>
        </is>
      </c>
      <c r="D1348" s="5" t="inlineStr">
        <is>
          <t>Semestral</t>
        </is>
      </c>
      <c r="E1348" s="5" t="inlineStr">
        <is>
          <t>Positivo</t>
        </is>
      </c>
      <c r="F1348" s="107" t="n">
        <v>45107</v>
      </c>
      <c r="G1348" s="5" t="n">
        <v>2023</v>
      </c>
      <c r="H1348" s="5" t="inlineStr">
        <is>
          <t>Junio</t>
        </is>
      </c>
      <c r="I1348" s="6" t="inlineStr">
        <is>
          <t>2023-1</t>
        </is>
      </c>
      <c r="J1348" s="5" t="n"/>
      <c r="K1348" s="10" t="n">
        <v>0.4</v>
      </c>
      <c r="L1348" s="14" t="n"/>
      <c r="M1348" s="14" t="n"/>
      <c r="N1348" s="5" t="n"/>
      <c r="O1348" s="5" t="inlineStr">
        <is>
          <t>DEC</t>
        </is>
      </c>
      <c r="P1348" s="15" t="n">
        <v>2</v>
      </c>
      <c r="Q1348" s="15" t="n">
        <v>2</v>
      </c>
      <c r="R1348" s="5" t="inlineStr">
        <is>
          <t>269-2023-06-30</t>
        </is>
      </c>
    </row>
    <row r="1349">
      <c r="A1349" s="21" t="n">
        <v>269</v>
      </c>
      <c r="B1349" s="5" t="inlineStr">
        <is>
          <t>N de personas promedio por evento</t>
        </is>
      </c>
      <c r="C1349" s="5" t="inlineStr">
        <is>
          <t>Centro de Medios Audiovisuales</t>
        </is>
      </c>
      <c r="D1349" s="5" t="inlineStr">
        <is>
          <t>Semestral</t>
        </is>
      </c>
      <c r="E1349" s="5" t="inlineStr">
        <is>
          <t>Positivo</t>
        </is>
      </c>
      <c r="F1349" s="106" t="n">
        <v>45291</v>
      </c>
      <c r="G1349" s="5" t="n">
        <v>2023</v>
      </c>
      <c r="H1349" s="5" t="inlineStr">
        <is>
          <t>Diciembre</t>
        </is>
      </c>
      <c r="I1349" s="6" t="inlineStr">
        <is>
          <t>2023-2</t>
        </is>
      </c>
      <c r="J1349" s="9" t="n"/>
      <c r="K1349" s="9" t="n">
        <v>1.276978417266187</v>
      </c>
      <c r="L1349" s="14" t="n"/>
      <c r="M1349" s="14" t="n"/>
      <c r="N1349" s="5" t="n"/>
      <c r="O1349" s="5" t="inlineStr">
        <is>
          <t>DEC</t>
        </is>
      </c>
      <c r="P1349" s="15" t="n">
        <v>0</v>
      </c>
      <c r="Q1349" s="15" t="n">
        <v>0</v>
      </c>
      <c r="R1349" s="5" t="inlineStr">
        <is>
          <t>269-2023-12-31</t>
        </is>
      </c>
    </row>
    <row r="1350">
      <c r="A1350" s="26" t="n">
        <v>269</v>
      </c>
      <c r="B1350" s="5" t="inlineStr">
        <is>
          <t>N de personas promedio por evento</t>
        </is>
      </c>
      <c r="C1350" s="5" t="inlineStr">
        <is>
          <t>Centro de Medios Audiovisuales</t>
        </is>
      </c>
      <c r="D1350" s="5" t="inlineStr">
        <is>
          <t>Semestral</t>
        </is>
      </c>
      <c r="E1350" s="5" t="inlineStr">
        <is>
          <t>Positivo</t>
        </is>
      </c>
      <c r="F1350" s="107" t="n">
        <v>45473</v>
      </c>
      <c r="G1350" s="5" t="n">
        <v>2024</v>
      </c>
      <c r="H1350" s="5" t="inlineStr">
        <is>
          <t>Junio</t>
        </is>
      </c>
      <c r="I1350" s="6" t="inlineStr">
        <is>
          <t>2024-1</t>
        </is>
      </c>
      <c r="J1350" s="9" t="n"/>
      <c r="K1350" s="9" t="n">
        <v>3</v>
      </c>
      <c r="L1350" s="14" t="n"/>
      <c r="M1350" s="14" t="n"/>
      <c r="N1350" s="5" t="n"/>
      <c r="O1350" s="5" t="inlineStr">
        <is>
          <t>DEC</t>
        </is>
      </c>
      <c r="P1350" s="15" t="n">
        <v>2</v>
      </c>
      <c r="Q1350" s="15" t="n">
        <v>2</v>
      </c>
      <c r="R1350" s="5" t="inlineStr">
        <is>
          <t>269-2024-06-30</t>
        </is>
      </c>
    </row>
    <row r="1351">
      <c r="A1351" s="26" t="n">
        <v>269</v>
      </c>
      <c r="B1351" s="5" t="inlineStr">
        <is>
          <t>N de personas promedio por evento</t>
        </is>
      </c>
      <c r="C1351" s="5" t="inlineStr">
        <is>
          <t>Centro de Medios Audiovisuales</t>
        </is>
      </c>
      <c r="D1351" s="5" t="inlineStr">
        <is>
          <t>Semestral</t>
        </is>
      </c>
      <c r="E1351" s="5" t="inlineStr">
        <is>
          <t>Positivo</t>
        </is>
      </c>
      <c r="F1351" s="107" t="n">
        <v>45657</v>
      </c>
      <c r="G1351" s="5" t="n">
        <v>2024</v>
      </c>
      <c r="H1351" s="5" t="inlineStr">
        <is>
          <t>Diciembre</t>
        </is>
      </c>
      <c r="I1351" s="6" t="inlineStr">
        <is>
          <t>2024-2</t>
        </is>
      </c>
      <c r="J1351" s="9" t="n"/>
      <c r="K1351" s="94" t="n">
        <v>1.28</v>
      </c>
      <c r="L1351" s="14" t="n"/>
      <c r="M1351" s="14" t="n"/>
      <c r="N1351" s="5" t="n"/>
      <c r="O1351" s="5" t="inlineStr">
        <is>
          <t>DEC</t>
        </is>
      </c>
      <c r="P1351" s="15" t="n">
        <v>2</v>
      </c>
      <c r="Q1351" s="15" t="n">
        <v>2</v>
      </c>
      <c r="R1351" s="5" t="inlineStr">
        <is>
          <t>269-2024-12-31</t>
        </is>
      </c>
    </row>
    <row r="1352">
      <c r="A1352" s="21" t="n">
        <v>269</v>
      </c>
      <c r="B1352" s="5" t="inlineStr">
        <is>
          <t>N de personas promedio por evento - (Metrica)</t>
        </is>
      </c>
      <c r="C1352" s="5" t="inlineStr">
        <is>
          <t>Centro de Medios Audiovisuales</t>
        </is>
      </c>
      <c r="D1352" s="5" t="inlineStr">
        <is>
          <t>Trimestral</t>
        </is>
      </c>
      <c r="E1352" s="5" t="inlineStr">
        <is>
          <t>Positivo</t>
        </is>
      </c>
      <c r="F1352" s="107" t="n">
        <v>45838</v>
      </c>
      <c r="G1352" s="5" t="n">
        <v>2025</v>
      </c>
      <c r="H1352" s="5" t="inlineStr">
        <is>
          <t>Junio</t>
        </is>
      </c>
      <c r="I1352" s="6" t="inlineStr">
        <is>
          <t>2025-1</t>
        </is>
      </c>
      <c r="J1352" s="5" t="n">
        <v>368</v>
      </c>
      <c r="K1352" s="10" t="n">
        <v>1.83</v>
      </c>
      <c r="L1352" s="14" t="n"/>
      <c r="M1352" s="14" t="n"/>
      <c r="N1352" s="5" t="inlineStr">
        <is>
          <t>DEC</t>
        </is>
      </c>
      <c r="O1352" s="5" t="inlineStr">
        <is>
          <t>DEC</t>
        </is>
      </c>
      <c r="P1352" s="15" t="n">
        <v>2</v>
      </c>
      <c r="Q1352" s="15" t="n">
        <v>2</v>
      </c>
      <c r="R1352" s="5" t="inlineStr">
        <is>
          <t>269-2025-06-30</t>
        </is>
      </c>
      <c r="S1352" t="inlineStr">
        <is>
          <t>Metrica</t>
        </is>
      </c>
    </row>
    <row r="1353">
      <c r="A1353" s="21" t="n">
        <v>269</v>
      </c>
      <c r="B1353" s="5" t="inlineStr">
        <is>
          <t>N de personas promedio por evento - (Metrica)</t>
        </is>
      </c>
      <c r="C1353" s="5" t="inlineStr">
        <is>
          <t>Centro de Medios Audiovisuales</t>
        </is>
      </c>
      <c r="D1353" s="5" t="inlineStr">
        <is>
          <t>Trimestral</t>
        </is>
      </c>
      <c r="E1353" s="5" t="inlineStr">
        <is>
          <t>Positivo</t>
        </is>
      </c>
      <c r="F1353" s="107" t="n">
        <v>46022</v>
      </c>
      <c r="G1353" s="5" t="n">
        <v>2025</v>
      </c>
      <c r="H1353" s="5" t="inlineStr">
        <is>
          <t>Diciembre</t>
        </is>
      </c>
      <c r="I1353" s="6" t="inlineStr">
        <is>
          <t>2025-2</t>
        </is>
      </c>
      <c r="J1353" s="5" t="n">
        <v>545</v>
      </c>
      <c r="K1353" s="9" t="n">
        <v>1.65</v>
      </c>
      <c r="L1353" s="14" t="n"/>
      <c r="M1353" s="14" t="n"/>
      <c r="N1353" s="5" t="inlineStr">
        <is>
          <t>DEC</t>
        </is>
      </c>
      <c r="O1353" s="5" t="inlineStr">
        <is>
          <t>DEC</t>
        </is>
      </c>
      <c r="P1353" s="15" t="n">
        <v>2</v>
      </c>
      <c r="Q1353" s="15" t="n">
        <v>2</v>
      </c>
      <c r="R1353" s="5" t="inlineStr">
        <is>
          <t>269-2025-12-31</t>
        </is>
      </c>
      <c r="S1353" t="inlineStr">
        <is>
          <t>Metrica</t>
        </is>
      </c>
    </row>
    <row r="1354">
      <c r="A1354" s="26" t="n">
        <v>270</v>
      </c>
      <c r="B1354" s="5" t="inlineStr">
        <is>
          <t>N de horas promedio por evento</t>
        </is>
      </c>
      <c r="C1354" s="5" t="inlineStr">
        <is>
          <t>Centro de Medios Audiovisuales</t>
        </is>
      </c>
      <c r="D1354" s="5" t="inlineStr">
        <is>
          <t>Semestral</t>
        </is>
      </c>
      <c r="E1354" s="5" t="inlineStr">
        <is>
          <t>Positivo</t>
        </is>
      </c>
      <c r="F1354" s="107" t="n">
        <v>45107</v>
      </c>
      <c r="G1354" s="5" t="n">
        <v>2023</v>
      </c>
      <c r="H1354" s="5" t="inlineStr">
        <is>
          <t>Junio</t>
        </is>
      </c>
      <c r="I1354" s="6" t="inlineStr">
        <is>
          <t>2023-1</t>
        </is>
      </c>
      <c r="J1354" s="5" t="n">
        <v>0</v>
      </c>
      <c r="K1354" s="9" t="n">
        <v>6.55</v>
      </c>
      <c r="L1354" s="14">
        <f>IFERROR(IF(OR(J1354=0,K1354=""),"",IF(E1354="Positivo",MIN(MAX(K1354/J1354,0),1.3),MIN(MAX(J1354/K1354,0),1.3))),"") </f>
        <v/>
      </c>
      <c r="M1354" s="14">
        <f>IFERROR(IF(OR(J1354=0,K1354=""),"",IF(E1354="Positivo",MAX(K1354/J1354,0),MAX(J1354/K1354,0))),"") </f>
        <v/>
      </c>
      <c r="N1354" s="5" t="inlineStr">
        <is>
          <t>DEC</t>
        </is>
      </c>
      <c r="O1354" s="5" t="inlineStr">
        <is>
          <t>DEC</t>
        </is>
      </c>
      <c r="P1354" s="15" t="n">
        <v>0</v>
      </c>
      <c r="Q1354" s="15" t="n">
        <v>0</v>
      </c>
      <c r="R1354" s="5" t="inlineStr">
        <is>
          <t>270-2023-06-30</t>
        </is>
      </c>
    </row>
    <row r="1355">
      <c r="A1355" s="21" t="n">
        <v>270</v>
      </c>
      <c r="B1355" s="5" t="inlineStr">
        <is>
          <t>N de horas promedio por evento</t>
        </is>
      </c>
      <c r="C1355" s="5" t="inlineStr">
        <is>
          <t>Centro de Medios Audiovisuales</t>
        </is>
      </c>
      <c r="D1355" s="5" t="inlineStr">
        <is>
          <t>Semestral</t>
        </is>
      </c>
      <c r="E1355" s="5" t="inlineStr">
        <is>
          <t>Positivo</t>
        </is>
      </c>
      <c r="F1355" s="107" t="n">
        <v>45291</v>
      </c>
      <c r="G1355" s="5" t="n">
        <v>2023</v>
      </c>
      <c r="H1355" s="5" t="inlineStr">
        <is>
          <t>Diciembre</t>
        </is>
      </c>
      <c r="I1355" s="6" t="inlineStr">
        <is>
          <t>2023-2</t>
        </is>
      </c>
      <c r="J1355" s="5" t="n">
        <v>0</v>
      </c>
      <c r="K1355" s="10" t="n">
        <v>3.83</v>
      </c>
      <c r="L1355" s="14">
        <f>IFERROR(IF(OR(J1355=0,K1355=""),"",IF(E1355="Positivo",MIN(MAX(K1355/J1355,0),1.3),MIN(MAX(J1355/K1355,0),1.3))),"") </f>
        <v/>
      </c>
      <c r="M1355" s="14">
        <f>IFERROR(IF(OR(J1355=0,K1355=""),"",IF(E1355="Positivo",MAX(K1355/J1355,0),MAX(J1355/K1355,0))),"") </f>
        <v/>
      </c>
      <c r="N1355" s="5" t="inlineStr">
        <is>
          <t>DEC</t>
        </is>
      </c>
      <c r="O1355" s="5" t="inlineStr">
        <is>
          <t>DEC</t>
        </is>
      </c>
      <c r="P1355" s="15" t="n">
        <v>0</v>
      </c>
      <c r="Q1355" s="15" t="n">
        <v>0</v>
      </c>
      <c r="R1355" s="5" t="inlineStr">
        <is>
          <t>270-2023-12-31</t>
        </is>
      </c>
    </row>
    <row r="1356">
      <c r="A1356" s="5" t="n">
        <v>270</v>
      </c>
      <c r="B1356" s="5" t="inlineStr">
        <is>
          <t>N de horas promedio por evento</t>
        </is>
      </c>
      <c r="C1356" s="5" t="inlineStr">
        <is>
          <t>Centro de Medios Audiovisuales</t>
        </is>
      </c>
      <c r="D1356" s="5" t="inlineStr">
        <is>
          <t>Semestral</t>
        </is>
      </c>
      <c r="E1356" s="5" t="inlineStr">
        <is>
          <t>Positivo</t>
        </is>
      </c>
      <c r="F1356" s="107" t="n">
        <v>45473</v>
      </c>
      <c r="G1356" s="5" t="n">
        <v>2024</v>
      </c>
      <c r="H1356" s="5" t="inlineStr">
        <is>
          <t>Junio</t>
        </is>
      </c>
      <c r="I1356" s="6" t="inlineStr">
        <is>
          <t>2024-1</t>
        </is>
      </c>
      <c r="J1356" s="5" t="n">
        <v>0</v>
      </c>
      <c r="K1356" s="5" t="n">
        <v>4.88</v>
      </c>
      <c r="L1356" s="14">
        <f>IFERROR(IF(OR(J1356=0,K1356=""),"",IF(E1356="Positivo",MIN(MAX(K1356/J1356,0),1.3),MIN(MAX(J1356/K1356,0),1.3))),"") </f>
        <v/>
      </c>
      <c r="M1356" s="14">
        <f>IFERROR(IF(OR(J1356=0,K1356=""),"",IF(E1356="Positivo",MAX(K1356/J1356,0),MAX(J1356/K1356,0))),"") </f>
        <v/>
      </c>
      <c r="N1356" s="5" t="n">
        <v>0</v>
      </c>
      <c r="O1356" s="5" t="inlineStr">
        <is>
          <t>ENT</t>
        </is>
      </c>
      <c r="P1356" s="5" t="n">
        <v>1</v>
      </c>
      <c r="Q1356" s="5" t="n">
        <v>1</v>
      </c>
      <c r="R1356" s="5" t="inlineStr">
        <is>
          <t>270-2024-06-30</t>
        </is>
      </c>
    </row>
    <row r="1357">
      <c r="A1357" s="21" t="n">
        <v>270</v>
      </c>
      <c r="B1357" s="5" t="inlineStr">
        <is>
          <t>N de horas promedio por evento</t>
        </is>
      </c>
      <c r="C1357" s="5" t="inlineStr">
        <is>
          <t>Centro de Medios Audiovisuales</t>
        </is>
      </c>
      <c r="D1357" s="5" t="inlineStr">
        <is>
          <t>Semestral</t>
        </is>
      </c>
      <c r="E1357" s="5" t="inlineStr">
        <is>
          <t>Positivo</t>
        </is>
      </c>
      <c r="F1357" s="107" t="n">
        <v>45657</v>
      </c>
      <c r="G1357" s="5" t="n">
        <v>2024</v>
      </c>
      <c r="H1357" s="5" t="inlineStr">
        <is>
          <t>Diciembre</t>
        </is>
      </c>
      <c r="I1357" s="6" t="inlineStr">
        <is>
          <t>2024-2</t>
        </is>
      </c>
      <c r="J1357" s="5" t="n">
        <v>0</v>
      </c>
      <c r="K1357" s="10" t="n">
        <v>4.57</v>
      </c>
      <c r="L1357" s="14">
        <f>IFERROR(IF(OR(J1357=0,K1357=""),"",IF(E1357="Positivo",MIN(MAX(K1357/J1357,0),1.3),MIN(MAX(J1357/K1357,0),1.3))),"") </f>
        <v/>
      </c>
      <c r="M1357" s="14">
        <f>IFERROR(IF(OR(J1357=0,K1357=""),"",IF(E1357="Positivo",MAX(K1357/J1357,0),MAX(J1357/K1357,0))),"") </f>
        <v/>
      </c>
      <c r="N1357" s="5" t="n">
        <v>0</v>
      </c>
      <c r="O1357" s="5" t="inlineStr">
        <is>
          <t>ENT</t>
        </is>
      </c>
      <c r="P1357" s="15" t="n">
        <v>1</v>
      </c>
      <c r="Q1357" s="15" t="n">
        <v>1</v>
      </c>
      <c r="R1357" s="5" t="inlineStr">
        <is>
          <t>270-2024-12-31</t>
        </is>
      </c>
    </row>
    <row r="1358">
      <c r="A1358" s="21" t="n">
        <v>270</v>
      </c>
      <c r="B1358" s="5" t="inlineStr">
        <is>
          <t>N de horas promedio por evento - (Metrica)</t>
        </is>
      </c>
      <c r="C1358" s="5" t="inlineStr">
        <is>
          <t>Centro de Medios Audiovisuales</t>
        </is>
      </c>
      <c r="D1358" s="5" t="inlineStr">
        <is>
          <t>Trimestral</t>
        </is>
      </c>
      <c r="E1358" s="5" t="inlineStr">
        <is>
          <t>Positivo</t>
        </is>
      </c>
      <c r="F1358" s="107" t="n">
        <v>45838</v>
      </c>
      <c r="G1358" s="5" t="n">
        <v>2025</v>
      </c>
      <c r="H1358" s="5" t="inlineStr">
        <is>
          <t>Junio</t>
        </is>
      </c>
      <c r="I1358" s="6" t="inlineStr">
        <is>
          <t>2025-1</t>
        </is>
      </c>
      <c r="J1358" s="5" t="n">
        <v>368</v>
      </c>
      <c r="K1358" s="10" t="n">
        <v>4.17</v>
      </c>
      <c r="L1358" s="14" t="n"/>
      <c r="M1358" s="14" t="n"/>
      <c r="N1358" s="5" t="inlineStr">
        <is>
          <t>DEC</t>
        </is>
      </c>
      <c r="O1358" s="5" t="inlineStr">
        <is>
          <t>ENT</t>
        </is>
      </c>
      <c r="P1358" s="15" t="n">
        <v>0</v>
      </c>
      <c r="Q1358" s="15" t="n">
        <v>0</v>
      </c>
      <c r="R1358" s="5" t="inlineStr">
        <is>
          <t>270-2025-06-30</t>
        </is>
      </c>
      <c r="S1358" t="inlineStr">
        <is>
          <t>Metrica</t>
        </is>
      </c>
    </row>
    <row r="1359">
      <c r="A1359" s="28" t="n">
        <v>270</v>
      </c>
      <c r="B1359" s="5" t="inlineStr">
        <is>
          <t>N de horas promedio por evento - (Metrica)</t>
        </is>
      </c>
      <c r="C1359" s="5" t="inlineStr">
        <is>
          <t>Centro de Medios Audiovisuales</t>
        </is>
      </c>
      <c r="D1359" s="5" t="inlineStr">
        <is>
          <t>Trimestral</t>
        </is>
      </c>
      <c r="E1359" s="5" t="inlineStr">
        <is>
          <t>Positivo</t>
        </is>
      </c>
      <c r="F1359" s="107" t="n">
        <v>46022</v>
      </c>
      <c r="G1359" s="5" t="n">
        <v>2025</v>
      </c>
      <c r="H1359" s="5" t="inlineStr">
        <is>
          <t>Diciembre</t>
        </is>
      </c>
      <c r="I1359" s="6" t="inlineStr">
        <is>
          <t>2025-2</t>
        </is>
      </c>
      <c r="J1359" s="5" t="n">
        <v>545</v>
      </c>
      <c r="K1359" s="9" t="n">
        <v>4.3</v>
      </c>
      <c r="L1359" s="14" t="n"/>
      <c r="M1359" s="14" t="n"/>
      <c r="N1359" s="5" t="inlineStr">
        <is>
          <t>DEC</t>
        </is>
      </c>
      <c r="O1359" s="5" t="inlineStr">
        <is>
          <t>ENT</t>
        </is>
      </c>
      <c r="P1359" s="15" t="n">
        <v>0</v>
      </c>
      <c r="Q1359" s="15" t="n">
        <v>0</v>
      </c>
      <c r="R1359" s="5" t="inlineStr">
        <is>
          <t>270-2025-12-31</t>
        </is>
      </c>
      <c r="S1359" t="inlineStr">
        <is>
          <t>Metrica</t>
        </is>
      </c>
    </row>
    <row r="1360">
      <c r="A1360" s="26" t="n">
        <v>271</v>
      </c>
      <c r="B1360" s="5" t="inlineStr">
        <is>
          <t>N de horas por solicitud</t>
        </is>
      </c>
      <c r="C1360" s="5" t="inlineStr">
        <is>
          <t>Centro de Medios Audiovisuales</t>
        </is>
      </c>
      <c r="D1360" s="5" t="inlineStr">
        <is>
          <t>Semestral</t>
        </is>
      </c>
      <c r="E1360" s="5" t="inlineStr">
        <is>
          <t>Positivo</t>
        </is>
      </c>
      <c r="F1360" s="107" t="n">
        <v>45107</v>
      </c>
      <c r="G1360" s="5" t="n">
        <v>2023</v>
      </c>
      <c r="H1360" s="5" t="inlineStr">
        <is>
          <t>Junio</t>
        </is>
      </c>
      <c r="I1360" s="6" t="inlineStr">
        <is>
          <t>2023-1</t>
        </is>
      </c>
      <c r="J1360" s="5" t="n">
        <v>0</v>
      </c>
      <c r="K1360" s="9" t="n">
        <v>63.29113924050633</v>
      </c>
      <c r="L1360" s="14">
        <f>IFERROR(IF(OR(J1360=0,K1360=""),"",IF(E1360="Positivo",MIN(MAX(K1360/J1360,0),1.3),MIN(MAX(J1360/K1360,0),1.3))),"") </f>
        <v/>
      </c>
      <c r="M1360" s="14">
        <f>IFERROR(IF(OR(J1360=0,K1360=""),"",IF(E1360="Positivo",MAX(K1360/J1360,0),MAX(J1360/K1360,0))),"") </f>
        <v/>
      </c>
      <c r="N1360" s="5" t="n">
        <v>0</v>
      </c>
      <c r="O1360" s="5" t="inlineStr">
        <is>
          <t>ENT</t>
        </is>
      </c>
      <c r="P1360" s="15" t="n">
        <v>0</v>
      </c>
      <c r="Q1360" s="15" t="n">
        <v>0</v>
      </c>
      <c r="R1360" s="5" t="inlineStr">
        <is>
          <t>271-2023-06-30</t>
        </is>
      </c>
    </row>
    <row r="1361">
      <c r="A1361" s="21" t="n">
        <v>271</v>
      </c>
      <c r="B1361" s="5" t="inlineStr">
        <is>
          <t>N de horas por solicitud</t>
        </is>
      </c>
      <c r="C1361" s="5" t="inlineStr">
        <is>
          <t>Centro de Medios Audiovisuales</t>
        </is>
      </c>
      <c r="D1361" s="5" t="inlineStr">
        <is>
          <t>Semestral</t>
        </is>
      </c>
      <c r="E1361" s="5" t="inlineStr">
        <is>
          <t>Positivo</t>
        </is>
      </c>
      <c r="F1361" s="107" t="n">
        <v>45291</v>
      </c>
      <c r="G1361" s="5" t="n">
        <v>2023</v>
      </c>
      <c r="H1361" s="5" t="inlineStr">
        <is>
          <t>Diciembre</t>
        </is>
      </c>
      <c r="I1361" s="6" t="inlineStr">
        <is>
          <t>2023-2</t>
        </is>
      </c>
      <c r="J1361" s="5" t="n">
        <v>0</v>
      </c>
      <c r="K1361" s="10" t="n">
        <v>16.17233646643447</v>
      </c>
      <c r="L1361" s="14">
        <f>IFERROR(IF(OR(J1361=0,K1361=""),"",IF(E1361="Positivo",MIN(MAX(K1361/J1361,0),1.3),MIN(MAX(J1361/K1361,0),1.3))),"") </f>
        <v/>
      </c>
      <c r="M1361" s="14">
        <f>IFERROR(IF(OR(J1361=0,K1361=""),"",IF(E1361="Positivo",MAX(K1361/J1361,0),MAX(J1361/K1361,0))),"") </f>
        <v/>
      </c>
      <c r="N1361" s="5" t="n">
        <v>0</v>
      </c>
      <c r="O1361" s="5" t="inlineStr">
        <is>
          <t>ENT</t>
        </is>
      </c>
      <c r="P1361" s="15" t="n">
        <v>0</v>
      </c>
      <c r="Q1361" s="15" t="n">
        <v>0</v>
      </c>
      <c r="R1361" s="5" t="inlineStr">
        <is>
          <t>271-2023-12-31</t>
        </is>
      </c>
    </row>
    <row r="1362">
      <c r="A1362" s="5" t="n">
        <v>271</v>
      </c>
      <c r="B1362" s="5" t="inlineStr">
        <is>
          <t>N de horas por solicitud</t>
        </is>
      </c>
      <c r="C1362" s="5" t="inlineStr">
        <is>
          <t>Centro de Medios Audiovisuales</t>
        </is>
      </c>
      <c r="D1362" s="5" t="inlineStr">
        <is>
          <t>Semestral</t>
        </is>
      </c>
      <c r="E1362" s="5" t="inlineStr">
        <is>
          <t>Positivo</t>
        </is>
      </c>
      <c r="F1362" s="107" t="n">
        <v>45473</v>
      </c>
      <c r="G1362" s="5" t="n">
        <v>2024</v>
      </c>
      <c r="H1362" s="5" t="inlineStr">
        <is>
          <t>Junio</t>
        </is>
      </c>
      <c r="I1362" s="6" t="inlineStr">
        <is>
          <t>2024-1</t>
        </is>
      </c>
      <c r="J1362" s="5" t="n">
        <v>0</v>
      </c>
      <c r="K1362" s="5" t="n">
        <v>19.39471652327377</v>
      </c>
      <c r="L1362" s="14">
        <f>IFERROR(IF(OR(J1362=0,K1362=""),"",IF(E1362="Positivo",MIN(MAX(K1362/J1362,0),1.3),MIN(MAX(J1362/K1362,0),1.3))),"") </f>
        <v/>
      </c>
      <c r="M1362" s="14">
        <f>IFERROR(IF(OR(J1362=0,K1362=""),"",IF(E1362="Positivo",MAX(K1362/J1362,0),MAX(J1362/K1362,0))),"") </f>
        <v/>
      </c>
      <c r="N1362" s="5" t="n">
        <v>0</v>
      </c>
      <c r="O1362" s="5" t="inlineStr">
        <is>
          <t>ENT</t>
        </is>
      </c>
      <c r="P1362" s="5" t="n">
        <v>1</v>
      </c>
      <c r="Q1362" s="5" t="n">
        <v>1</v>
      </c>
      <c r="R1362" s="5" t="inlineStr">
        <is>
          <t>271-2024-06-30</t>
        </is>
      </c>
    </row>
    <row r="1363">
      <c r="A1363" s="21" t="n">
        <v>271</v>
      </c>
      <c r="B1363" s="5" t="inlineStr">
        <is>
          <t>N de horas por solicitud - (Metrica)</t>
        </is>
      </c>
      <c r="C1363" s="5" t="inlineStr">
        <is>
          <t>Centro de Medios Audiovisuales</t>
        </is>
      </c>
      <c r="D1363" s="5" t="inlineStr">
        <is>
          <t>Trimestral</t>
        </is>
      </c>
      <c r="E1363" s="5" t="inlineStr">
        <is>
          <t>Positivo</t>
        </is>
      </c>
      <c r="F1363" s="107" t="n">
        <v>45657</v>
      </c>
      <c r="G1363" s="5" t="n">
        <v>2024</v>
      </c>
      <c r="H1363" s="5" t="inlineStr">
        <is>
          <t>Diciembre</t>
        </is>
      </c>
      <c r="I1363" s="6" t="inlineStr">
        <is>
          <t>2024-2</t>
        </is>
      </c>
      <c r="J1363" s="5" t="n">
        <v>18811</v>
      </c>
      <c r="K1363" s="10" t="n">
        <v>16.86</v>
      </c>
      <c r="L1363" s="14" t="n"/>
      <c r="M1363" s="14" t="n"/>
      <c r="N1363" s="5" t="n">
        <v>0</v>
      </c>
      <c r="O1363" s="5" t="inlineStr">
        <is>
          <t>ENT</t>
        </is>
      </c>
      <c r="P1363" s="15" t="n">
        <v>0</v>
      </c>
      <c r="Q1363" s="15" t="n">
        <v>0</v>
      </c>
      <c r="R1363" s="5" t="inlineStr">
        <is>
          <t>271-2024-12-31</t>
        </is>
      </c>
      <c r="S1363" t="inlineStr">
        <is>
          <t>Metrica</t>
        </is>
      </c>
    </row>
    <row r="1364">
      <c r="A1364" s="21" t="n">
        <v>271</v>
      </c>
      <c r="B1364" s="5" t="inlineStr">
        <is>
          <t>N de horas por solicitud - (Metrica)</t>
        </is>
      </c>
      <c r="C1364" s="5" t="inlineStr">
        <is>
          <t>Centro de Medios Audiovisuales</t>
        </is>
      </c>
      <c r="D1364" s="5" t="inlineStr">
        <is>
          <t>Trimestral</t>
        </is>
      </c>
      <c r="E1364" s="5" t="inlineStr">
        <is>
          <t>Positivo</t>
        </is>
      </c>
      <c r="F1364" s="107" t="n">
        <v>45838</v>
      </c>
      <c r="G1364" s="5" t="n">
        <v>2025</v>
      </c>
      <c r="H1364" s="5" t="inlineStr">
        <is>
          <t>Junio</t>
        </is>
      </c>
      <c r="I1364" s="6" t="inlineStr">
        <is>
          <t>2025-1</t>
        </is>
      </c>
      <c r="J1364" s="5" t="n">
        <v>21346</v>
      </c>
      <c r="K1364" s="10" t="n">
        <v>23.85</v>
      </c>
      <c r="L1364" s="14" t="n"/>
      <c r="M1364" s="14" t="n"/>
      <c r="N1364" s="5" t="n">
        <v>0</v>
      </c>
      <c r="O1364" s="5" t="inlineStr">
        <is>
          <t>ENT</t>
        </is>
      </c>
      <c r="P1364" s="15" t="n">
        <v>0</v>
      </c>
      <c r="Q1364" s="15" t="n">
        <v>0</v>
      </c>
      <c r="R1364" s="5" t="inlineStr">
        <is>
          <t>271-2025-06-30</t>
        </is>
      </c>
      <c r="S1364" t="inlineStr">
        <is>
          <t>Metrica</t>
        </is>
      </c>
    </row>
    <row r="1365">
      <c r="A1365" s="21" t="n">
        <v>271</v>
      </c>
      <c r="B1365" s="5" t="inlineStr">
        <is>
          <t>N de horas por solicitud - (Metrica)</t>
        </is>
      </c>
      <c r="C1365" s="5" t="inlineStr">
        <is>
          <t>Centro de Medios Audiovisuales</t>
        </is>
      </c>
      <c r="D1365" s="5" t="inlineStr">
        <is>
          <t>Trimestral</t>
        </is>
      </c>
      <c r="E1365" s="5" t="inlineStr">
        <is>
          <t>Positivo</t>
        </is>
      </c>
      <c r="F1365" s="107" t="n">
        <v>46022</v>
      </c>
      <c r="G1365" s="5" t="n">
        <v>2025</v>
      </c>
      <c r="H1365" s="5" t="inlineStr">
        <is>
          <t>Diciembre</t>
        </is>
      </c>
      <c r="I1365" s="6" t="inlineStr">
        <is>
          <t>2025-2</t>
        </is>
      </c>
      <c r="J1365" s="5" t="n">
        <v>30907</v>
      </c>
      <c r="K1365" s="94" t="n">
        <v>19.93</v>
      </c>
      <c r="L1365" s="14" t="n"/>
      <c r="M1365" s="14" t="n"/>
      <c r="N1365" s="5" t="n">
        <v>0</v>
      </c>
      <c r="O1365" s="5" t="inlineStr">
        <is>
          <t>ENT</t>
        </is>
      </c>
      <c r="P1365" s="15" t="n">
        <v>0</v>
      </c>
      <c r="Q1365" s="15" t="n">
        <v>0</v>
      </c>
      <c r="R1365" s="5" t="inlineStr">
        <is>
          <t>271-2025-12-31</t>
        </is>
      </c>
      <c r="S1365" t="inlineStr">
        <is>
          <t>Metrica</t>
        </is>
      </c>
    </row>
    <row r="1366">
      <c r="A1366" s="26" t="n">
        <v>272</v>
      </c>
      <c r="B1366" s="5" t="inlineStr">
        <is>
          <t>Proporción de accidentes de trabajo mortales</t>
        </is>
      </c>
      <c r="C1366" s="5" t="inlineStr">
        <is>
          <t>GESTIÓN DE SEGURIDAD Y SALUD EN EL TRABAJO</t>
        </is>
      </c>
      <c r="D1366" s="5" t="inlineStr">
        <is>
          <t>Anual</t>
        </is>
      </c>
      <c r="E1366" s="5" t="inlineStr">
        <is>
          <t>Negativo</t>
        </is>
      </c>
      <c r="F1366" s="107" t="n">
        <v>45291</v>
      </c>
      <c r="G1366" s="5" t="n">
        <v>2023</v>
      </c>
      <c r="H1366" s="5" t="inlineStr">
        <is>
          <t>Diciembre</t>
        </is>
      </c>
      <c r="I1366" s="6" t="inlineStr">
        <is>
          <t>2023-2</t>
        </is>
      </c>
      <c r="J1366" s="5" t="n">
        <v>0</v>
      </c>
      <c r="K1366" s="94" t="n">
        <v>0</v>
      </c>
      <c r="L1366" s="14">
        <f>IFERROR(IF(OR(J1366=0,K1366=""),"",IF(E1366="Positivo",MIN(MAX(K1366/J1366,0),1.3),MIN(MAX(J1366/K1366,0),1.3))),"") </f>
        <v/>
      </c>
      <c r="M1366" s="14">
        <f>IFERROR(IF(OR(J1366=0,K1366=""),"",IF(E1366="Positivo",MAX(K1366/J1366,0),MAX(J1366/K1366,0))),"") </f>
        <v/>
      </c>
      <c r="N1366" s="5" t="n">
        <v>0</v>
      </c>
      <c r="O1366" s="5" t="inlineStr">
        <is>
          <t>ENT</t>
        </is>
      </c>
      <c r="P1366" s="15" t="n">
        <v>0</v>
      </c>
      <c r="Q1366" s="15" t="n">
        <v>0</v>
      </c>
      <c r="R1366" s="5" t="inlineStr">
        <is>
          <t>272-2023-12-31</t>
        </is>
      </c>
    </row>
    <row r="1367">
      <c r="A1367" s="5" t="n">
        <v>272</v>
      </c>
      <c r="B1367" s="5" t="inlineStr">
        <is>
          <t>Proporción de accidentes de trabajo mortales</t>
        </is>
      </c>
      <c r="C1367" s="5" t="inlineStr">
        <is>
          <t>GESTIÓN DE SEGURIDAD Y SALUD EN EL TRABAJO</t>
        </is>
      </c>
      <c r="D1367" s="5" t="inlineStr">
        <is>
          <t>Anual</t>
        </is>
      </c>
      <c r="E1367" s="5" t="inlineStr">
        <is>
          <t>Negativo</t>
        </is>
      </c>
      <c r="F1367" s="107" t="n">
        <v>45657</v>
      </c>
      <c r="G1367" s="5" t="n">
        <v>2024</v>
      </c>
      <c r="H1367" s="5" t="inlineStr">
        <is>
          <t>Diciembre</t>
        </is>
      </c>
      <c r="I1367" s="6" t="inlineStr">
        <is>
          <t>2024-2</t>
        </is>
      </c>
      <c r="J1367" s="5" t="n">
        <v>0</v>
      </c>
      <c r="K1367" s="5" t="n">
        <v>0</v>
      </c>
      <c r="L1367" s="14">
        <f>IFERROR(IF(OR(J1367=0,K1367=""),"",IF(E1367="Positivo",MIN(MAX(K1367/J1367,0),1.3),MIN(MAX(J1367/K1367,0),1.3))),"") </f>
        <v/>
      </c>
      <c r="M1367" s="14">
        <f>IFERROR(IF(OR(J1367=0,K1367=""),"",IF(E1367="Positivo",MAX(K1367/J1367,0),MAX(J1367/K1367,0))),"") </f>
        <v/>
      </c>
      <c r="N1367" s="5" t="n"/>
      <c r="O1367" s="5" t="n"/>
      <c r="P1367" s="5" t="n">
        <v>0</v>
      </c>
      <c r="Q1367" s="5" t="n">
        <v>0</v>
      </c>
      <c r="R1367" s="5" t="inlineStr">
        <is>
          <t>272-2024-12-31</t>
        </is>
      </c>
    </row>
    <row r="1368">
      <c r="A1368" s="21" t="n">
        <v>272</v>
      </c>
      <c r="B1368" s="5" t="inlineStr">
        <is>
          <t>Proporción de accidentes de trabajo mortales</t>
        </is>
      </c>
      <c r="C1368" s="5" t="inlineStr">
        <is>
          <t>GESTIÓN DE SEGURIDAD Y SALUD EN EL TRABAJO</t>
        </is>
      </c>
      <c r="D1368" s="5" t="inlineStr">
        <is>
          <t>Anual</t>
        </is>
      </c>
      <c r="E1368" s="5" t="inlineStr">
        <is>
          <t>Negativo</t>
        </is>
      </c>
      <c r="F1368" s="107" t="n">
        <v>46022</v>
      </c>
      <c r="G1368" s="5" t="n">
        <v>2025</v>
      </c>
      <c r="H1368" s="5" t="inlineStr">
        <is>
          <t>Diciembre</t>
        </is>
      </c>
      <c r="I1368" s="6" t="inlineStr">
        <is>
          <t>2025-2</t>
        </is>
      </c>
      <c r="J1368" s="5" t="n">
        <v>0</v>
      </c>
      <c r="K1368" s="10" t="n">
        <v>0</v>
      </c>
      <c r="L1368" s="14">
        <f>IFERROR(IF(OR(J1368=0,K1368=""),"",IF(E1368="Positivo",MIN(MAX(K1368/J1368,0),1.3),MIN(MAX(J1368/K1368,0),1.3))),"") </f>
        <v/>
      </c>
      <c r="M1368" s="14">
        <f>IFERROR(IF(OR(J1368=0,K1368=""),"",IF(E1368="Positivo",MAX(K1368/J1368,0),MAX(J1368/K1368,0))),"") </f>
        <v/>
      </c>
      <c r="N1368" s="5" t="n">
        <v>0</v>
      </c>
      <c r="O1368" s="5" t="inlineStr">
        <is>
          <t>ENT</t>
        </is>
      </c>
      <c r="P1368" s="15" t="n">
        <v>0</v>
      </c>
      <c r="Q1368" s="15" t="n">
        <v>0</v>
      </c>
      <c r="R1368" s="5" t="inlineStr">
        <is>
          <t>272-2025-12-31</t>
        </is>
      </c>
    </row>
    <row r="1369">
      <c r="A1369" s="26" t="n">
        <v>273</v>
      </c>
      <c r="B1369" s="5" t="inlineStr">
        <is>
          <t>Número de programas con condiciones iniciales elaboradas y analizadas institucionalmente</t>
        </is>
      </c>
      <c r="C1369" s="5" t="inlineStr">
        <is>
          <t>Autoevaluación de programas académicos</t>
        </is>
      </c>
      <c r="D1369" s="5" t="inlineStr">
        <is>
          <t>Semestral</t>
        </is>
      </c>
      <c r="E1369" s="5" t="inlineStr">
        <is>
          <t>Positivo</t>
        </is>
      </c>
      <c r="F1369" s="107" t="n">
        <v>45107</v>
      </c>
      <c r="G1369" s="5" t="n">
        <v>2023</v>
      </c>
      <c r="H1369" s="5" t="inlineStr">
        <is>
          <t>Junio</t>
        </is>
      </c>
      <c r="I1369" s="6" t="inlineStr">
        <is>
          <t>2023-1</t>
        </is>
      </c>
      <c r="J1369" s="5" t="n">
        <v>100</v>
      </c>
      <c r="K1369" s="9" t="n">
        <v>100</v>
      </c>
      <c r="L1369" s="14">
        <f>IFERROR(IF(OR(J1369=0,K1369=""),"",IF(E1369="Positivo",MIN(MAX(K1369/J1369,0),1.3),MIN(MAX(J1369/K1369,0),1.3))),"") </f>
        <v/>
      </c>
      <c r="M1369" s="14">
        <f>IFERROR(IF(OR(J1369=0,K1369=""),"",IF(E1369="Positivo",MAX(K1369/J1369,0),MAX(J1369/K1369,0))),"") </f>
        <v/>
      </c>
      <c r="N1369" s="5" t="inlineStr">
        <is>
          <t>ENT</t>
        </is>
      </c>
      <c r="O1369" s="5" t="inlineStr">
        <is>
          <t>ENT</t>
        </is>
      </c>
      <c r="P1369" s="15" t="n">
        <v>0</v>
      </c>
      <c r="Q1369" s="15" t="n">
        <v>0</v>
      </c>
      <c r="R1369" s="5" t="inlineStr">
        <is>
          <t>273-2023-06-30</t>
        </is>
      </c>
    </row>
    <row r="1370">
      <c r="A1370" s="26" t="n">
        <v>273</v>
      </c>
      <c r="B1370" s="5" t="inlineStr">
        <is>
          <t>Número de programas con condiciones iniciales elaboradas y analizadas institucionalmente</t>
        </is>
      </c>
      <c r="C1370" s="5" t="inlineStr">
        <is>
          <t>Autoevaluación de programas académicos</t>
        </is>
      </c>
      <c r="D1370" s="5" t="inlineStr">
        <is>
          <t>Semestral</t>
        </is>
      </c>
      <c r="E1370" s="5" t="inlineStr">
        <is>
          <t>Positivo</t>
        </is>
      </c>
      <c r="F1370" s="107" t="n">
        <v>45291</v>
      </c>
      <c r="G1370" s="5" t="n">
        <v>2023</v>
      </c>
      <c r="H1370" s="5" t="inlineStr">
        <is>
          <t>Diciembre</t>
        </is>
      </c>
      <c r="I1370" s="6" t="inlineStr">
        <is>
          <t>2023-2</t>
        </is>
      </c>
      <c r="J1370" s="5" t="n">
        <v>100</v>
      </c>
      <c r="K1370" s="9" t="n">
        <v>100</v>
      </c>
      <c r="L1370" s="14">
        <f>IFERROR(IF(OR(J1370=0,K1370=""),"",IF(E1370="Positivo",MIN(MAX(K1370/J1370,0),1.3),MIN(MAX(J1370/K1370,0),1.3))),"") </f>
        <v/>
      </c>
      <c r="M1370" s="14">
        <f>IFERROR(IF(OR(J1370=0,K1370=""),"",IF(E1370="Positivo",MAX(K1370/J1370,0),MAX(J1370/K1370,0))),"") </f>
        <v/>
      </c>
      <c r="N1370" s="5" t="inlineStr">
        <is>
          <t>ENT</t>
        </is>
      </c>
      <c r="O1370" s="5" t="inlineStr">
        <is>
          <t>ENT</t>
        </is>
      </c>
      <c r="P1370" s="15" t="n">
        <v>0</v>
      </c>
      <c r="Q1370" s="15" t="n">
        <v>0</v>
      </c>
      <c r="R1370" s="5" t="inlineStr">
        <is>
          <t>273-2023-12-31</t>
        </is>
      </c>
    </row>
    <row r="1371">
      <c r="A1371" s="26" t="n">
        <v>273</v>
      </c>
      <c r="B1371" s="5" t="inlineStr">
        <is>
          <t>Número de programas con condiciones iniciales elaboradas y analizadas institucionalmente</t>
        </is>
      </c>
      <c r="C1371" s="5" t="inlineStr">
        <is>
          <t>Autoevaluación de programas académicos</t>
        </is>
      </c>
      <c r="D1371" s="5" t="inlineStr">
        <is>
          <t>Semestral</t>
        </is>
      </c>
      <c r="E1371" s="5" t="inlineStr">
        <is>
          <t>Positivo</t>
        </is>
      </c>
      <c r="F1371" s="107" t="n">
        <v>45473</v>
      </c>
      <c r="G1371" s="5" t="n">
        <v>2024</v>
      </c>
      <c r="H1371" s="5" t="inlineStr">
        <is>
          <t>Junio</t>
        </is>
      </c>
      <c r="I1371" s="6" t="inlineStr">
        <is>
          <t>2024-1</t>
        </is>
      </c>
      <c r="J1371" s="5" t="n">
        <v>100</v>
      </c>
      <c r="K1371" s="9" t="n">
        <v>100</v>
      </c>
      <c r="L1371" s="14">
        <f>IFERROR(IF(OR(J1371=0,K1371=""),"",IF(E1371="Positivo",MIN(MAX(K1371/J1371,0),1.3),MIN(MAX(J1371/K1371,0),1.3))),"") </f>
        <v/>
      </c>
      <c r="M1371" s="14">
        <f>IFERROR(IF(OR(J1371=0,K1371=""),"",IF(E1371="Positivo",MAX(K1371/J1371,0),MAX(J1371/K1371,0))),"") </f>
        <v/>
      </c>
      <c r="N1371" s="5" t="inlineStr">
        <is>
          <t>ENT</t>
        </is>
      </c>
      <c r="O1371" s="5" t="inlineStr">
        <is>
          <t>ENT</t>
        </is>
      </c>
      <c r="P1371" s="15" t="n">
        <v>0</v>
      </c>
      <c r="Q1371" s="15" t="n">
        <v>0</v>
      </c>
      <c r="R1371" s="5" t="inlineStr">
        <is>
          <t>273-2024-06-30</t>
        </is>
      </c>
    </row>
    <row r="1372">
      <c r="A1372" s="26" t="n">
        <v>273</v>
      </c>
      <c r="B1372" s="5" t="inlineStr">
        <is>
          <t>Número de programas con condiciones iniciales elaboradas y analizadas institucionalmente</t>
        </is>
      </c>
      <c r="C1372" s="5" t="inlineStr">
        <is>
          <t>Autoevaluación de programas académicos</t>
        </is>
      </c>
      <c r="D1372" s="5" t="inlineStr">
        <is>
          <t>Semestral</t>
        </is>
      </c>
      <c r="E1372" s="5" t="inlineStr">
        <is>
          <t>Positivo</t>
        </is>
      </c>
      <c r="F1372" s="107" t="n">
        <v>45657</v>
      </c>
      <c r="G1372" s="5" t="n">
        <v>2024</v>
      </c>
      <c r="H1372" s="5" t="inlineStr">
        <is>
          <t>Diciembre</t>
        </is>
      </c>
      <c r="I1372" s="6" t="inlineStr">
        <is>
          <t>2024-2</t>
        </is>
      </c>
      <c r="J1372" s="5" t="n">
        <v>100</v>
      </c>
      <c r="K1372" s="9" t="n">
        <v>100</v>
      </c>
      <c r="L1372" s="14">
        <f>IFERROR(IF(OR(J1372=0,K1372=""),"",IF(E1372="Positivo",MIN(MAX(K1372/J1372,0),1.3),MIN(MAX(J1372/K1372,0),1.3))),"") </f>
        <v/>
      </c>
      <c r="M1372" s="14">
        <f>IFERROR(IF(OR(J1372=0,K1372=""),"",IF(E1372="Positivo",MAX(K1372/J1372,0),MAX(J1372/K1372,0))),"") </f>
        <v/>
      </c>
      <c r="N1372" s="5" t="inlineStr">
        <is>
          <t>ENT</t>
        </is>
      </c>
      <c r="O1372" s="5" t="inlineStr">
        <is>
          <t>ENT</t>
        </is>
      </c>
      <c r="P1372" s="15" t="n">
        <v>0</v>
      </c>
      <c r="Q1372" s="15" t="n">
        <v>0</v>
      </c>
      <c r="R1372" s="5" t="inlineStr">
        <is>
          <t>273-2024-12-31</t>
        </is>
      </c>
    </row>
    <row r="1373">
      <c r="A1373" s="21" t="n">
        <v>273</v>
      </c>
      <c r="B1373" s="5" t="inlineStr">
        <is>
          <t>Número de programas con condiciones iniciales elaboradas y analizadas institucionalmente</t>
        </is>
      </c>
      <c r="C1373" s="5" t="inlineStr">
        <is>
          <t>Autoevaluación de programas académicos</t>
        </is>
      </c>
      <c r="D1373" s="5" t="inlineStr">
        <is>
          <t>Semestral</t>
        </is>
      </c>
      <c r="E1373" s="5" t="inlineStr">
        <is>
          <t>Positivo</t>
        </is>
      </c>
      <c r="F1373" s="107" t="n">
        <v>45838</v>
      </c>
      <c r="G1373" s="5" t="n">
        <v>2025</v>
      </c>
      <c r="H1373" s="5" t="inlineStr">
        <is>
          <t>Junio</t>
        </is>
      </c>
      <c r="I1373" s="6" t="inlineStr">
        <is>
          <t>2025-1</t>
        </is>
      </c>
      <c r="J1373" s="5" t="n">
        <v>100</v>
      </c>
      <c r="K1373" s="10" t="n">
        <v>150</v>
      </c>
      <c r="L1373" s="14">
        <f>IFERROR(IF(OR(J1373=0,K1373=""),"",IF(E1373="Positivo",MIN(MAX(K1373/J1373,0),1.3),MIN(MAX(J1373/K1373,0),1.3))),"") </f>
        <v/>
      </c>
      <c r="M1373" s="14">
        <f>IFERROR(IF(OR(J1373=0,K1373=""),"",IF(E1373="Positivo",MAX(K1373/J1373,0),MAX(J1373/K1373,0))),"") </f>
        <v/>
      </c>
      <c r="N1373" s="5" t="inlineStr">
        <is>
          <t>ENT</t>
        </is>
      </c>
      <c r="O1373" s="5" t="inlineStr">
        <is>
          <t>ENT</t>
        </is>
      </c>
      <c r="P1373" s="15" t="n">
        <v>0</v>
      </c>
      <c r="Q1373" s="15" t="n">
        <v>0</v>
      </c>
      <c r="R1373" s="5" t="inlineStr">
        <is>
          <t>273-2025-06-30</t>
        </is>
      </c>
    </row>
    <row r="1374">
      <c r="A1374" s="21" t="n">
        <v>273</v>
      </c>
      <c r="B1374" s="5" t="inlineStr">
        <is>
          <t>Número de programas con condiciones iniciales elaboradas y analizadas institucionalmente</t>
        </is>
      </c>
      <c r="C1374" s="5" t="inlineStr">
        <is>
          <t>Autoevaluación de programas académicos</t>
        </is>
      </c>
      <c r="D1374" s="5" t="inlineStr">
        <is>
          <t>Trimestral</t>
        </is>
      </c>
      <c r="E1374" s="5" t="inlineStr">
        <is>
          <t>Positivo</t>
        </is>
      </c>
      <c r="F1374" s="107" t="n">
        <v>46022</v>
      </c>
      <c r="G1374" s="5" t="n">
        <v>2025</v>
      </c>
      <c r="H1374" s="5" t="inlineStr">
        <is>
          <t>Diciembre</t>
        </is>
      </c>
      <c r="I1374" s="6" t="inlineStr">
        <is>
          <t>2025-2</t>
        </is>
      </c>
      <c r="J1374" s="5" t="n">
        <v>100</v>
      </c>
      <c r="K1374" s="10" t="n">
        <v>100</v>
      </c>
      <c r="L1374" s="14">
        <f>IFERROR(IF(OR(J1374=0,K1374=""),"",IF(E1374="Positivo",MIN(MAX(K1374/J1374,0),1.3),MIN(MAX(J1374/K1374,0),1.3))),"") </f>
        <v/>
      </c>
      <c r="M1374" s="14">
        <f>IFERROR(IF(OR(J1374=0,K1374=""),"",IF(E1374="Positivo",MAX(K1374/J1374,0),MAX(J1374/K1374,0))),"") </f>
        <v/>
      </c>
      <c r="N1374" s="5" t="inlineStr">
        <is>
          <t>ENT</t>
        </is>
      </c>
      <c r="O1374" s="5" t="inlineStr">
        <is>
          <t>ENT</t>
        </is>
      </c>
      <c r="P1374" s="15" t="n">
        <v>0</v>
      </c>
      <c r="Q1374" s="15" t="n">
        <v>0</v>
      </c>
      <c r="R1374" s="5" t="inlineStr">
        <is>
          <t>273-2025-12-31</t>
        </is>
      </c>
    </row>
    <row r="1375">
      <c r="A1375" s="21" t="n">
        <v>274</v>
      </c>
      <c r="B1375" s="5" t="inlineStr">
        <is>
          <t>Cumplimiento total estudiantes antiguos</t>
        </is>
      </c>
      <c r="C1375" s="5" t="inlineStr">
        <is>
          <t>Rematrícula</t>
        </is>
      </c>
      <c r="D1375" s="5" t="inlineStr">
        <is>
          <t>Semestral</t>
        </is>
      </c>
      <c r="E1375" s="5" t="inlineStr">
        <is>
          <t>Positivo</t>
        </is>
      </c>
      <c r="F1375" s="107" t="n">
        <v>45107</v>
      </c>
      <c r="G1375" s="5" t="n">
        <v>2023</v>
      </c>
      <c r="H1375" s="5" t="inlineStr">
        <is>
          <t>Junio</t>
        </is>
      </c>
      <c r="I1375" s="6" t="inlineStr">
        <is>
          <t>2023-1</t>
        </is>
      </c>
      <c r="J1375" s="5" t="n">
        <v>100</v>
      </c>
      <c r="K1375" s="10" t="n">
        <v>97.85502035108701</v>
      </c>
      <c r="L1375" s="14">
        <f>IFERROR(IF(OR(J1375=0,K1375=""),"",IF(E1375="Positivo",MIN(MAX(K1375/J1375,0),1.3),MIN(MAX(J1375/K1375,0),1.3))),"") </f>
        <v/>
      </c>
      <c r="M1375" s="14">
        <f>IFERROR(IF(OR(J1375=0,K1375=""),"",IF(E1375="Positivo",MAX(K1375/J1375,0),MAX(J1375/K1375,0))),"") </f>
        <v/>
      </c>
      <c r="N1375" s="5" t="inlineStr">
        <is>
          <t>ENT</t>
        </is>
      </c>
      <c r="O1375" s="5" t="inlineStr">
        <is>
          <t>ENT</t>
        </is>
      </c>
      <c r="P1375" s="15" t="n">
        <v>0</v>
      </c>
      <c r="Q1375" s="15" t="n">
        <v>0</v>
      </c>
      <c r="R1375" s="5" t="inlineStr">
        <is>
          <t>274-2023-06-30</t>
        </is>
      </c>
    </row>
    <row r="1376">
      <c r="A1376" s="21" t="n">
        <v>274</v>
      </c>
      <c r="B1376" s="5" t="inlineStr">
        <is>
          <t>Cumplimiento total estudiantes antiguos</t>
        </is>
      </c>
      <c r="C1376" s="5" t="inlineStr">
        <is>
          <t>Rematrícula</t>
        </is>
      </c>
      <c r="D1376" s="5" t="inlineStr">
        <is>
          <t>Semestral</t>
        </is>
      </c>
      <c r="E1376" s="5" t="inlineStr">
        <is>
          <t>Positivo</t>
        </is>
      </c>
      <c r="F1376" s="107" t="n">
        <v>45291</v>
      </c>
      <c r="G1376" s="5" t="n">
        <v>2023</v>
      </c>
      <c r="H1376" s="5" t="inlineStr">
        <is>
          <t>Diciembre</t>
        </is>
      </c>
      <c r="I1376" s="6" t="inlineStr">
        <is>
          <t>2023-2</t>
        </is>
      </c>
      <c r="J1376" s="5" t="n">
        <v>100</v>
      </c>
      <c r="K1376" s="10" t="n">
        <v>97.50550081316401</v>
      </c>
      <c r="L1376" s="14">
        <f>IFERROR(IF(OR(J1376=0,K1376=""),"",IF(E1376="Positivo",MIN(MAX(K1376/J1376,0),1.3),MIN(MAX(J1376/K1376,0),1.3))),"") </f>
        <v/>
      </c>
      <c r="M1376" s="14">
        <f>IFERROR(IF(OR(J1376=0,K1376=""),"",IF(E1376="Positivo",MAX(K1376/J1376,0),MAX(J1376/K1376,0))),"") </f>
        <v/>
      </c>
      <c r="N1376" s="5" t="inlineStr">
        <is>
          <t>ENT</t>
        </is>
      </c>
      <c r="O1376" s="5" t="inlineStr">
        <is>
          <t>ENT</t>
        </is>
      </c>
      <c r="P1376" s="15" t="n">
        <v>0</v>
      </c>
      <c r="Q1376" s="15" t="n">
        <v>0</v>
      </c>
      <c r="R1376" s="5" t="inlineStr">
        <is>
          <t>274-2023-12-31</t>
        </is>
      </c>
    </row>
    <row r="1377">
      <c r="A1377" s="21" t="n">
        <v>274</v>
      </c>
      <c r="B1377" s="5" t="inlineStr">
        <is>
          <t>Cumplimiento total estudiantes antiguos</t>
        </is>
      </c>
      <c r="C1377" s="5" t="inlineStr">
        <is>
          <t>Rematrícula</t>
        </is>
      </c>
      <c r="D1377" s="5" t="inlineStr">
        <is>
          <t>Semestral</t>
        </is>
      </c>
      <c r="E1377" s="5" t="inlineStr">
        <is>
          <t>Positivo</t>
        </is>
      </c>
      <c r="F1377" s="107" t="n">
        <v>45473</v>
      </c>
      <c r="G1377" s="5" t="n">
        <v>2024</v>
      </c>
      <c r="H1377" s="5" t="inlineStr">
        <is>
          <t>Junio</t>
        </is>
      </c>
      <c r="I1377" s="6" t="inlineStr">
        <is>
          <t>2024-1</t>
        </is>
      </c>
      <c r="J1377" s="5" t="n">
        <v>100</v>
      </c>
      <c r="K1377" s="10" t="n">
        <v>102.33930181631</v>
      </c>
      <c r="L1377" s="14">
        <f>IFERROR(IF(OR(J1377=0,K1377=""),"",IF(E1377="Positivo",MIN(MAX(K1377/J1377,0),1.3),MIN(MAX(J1377/K1377,0),1.3))),"") </f>
        <v/>
      </c>
      <c r="M1377" s="14">
        <f>IFERROR(IF(OR(J1377=0,K1377=""),"",IF(E1377="Positivo",MAX(K1377/J1377,0),MAX(J1377/K1377,0))),"") </f>
        <v/>
      </c>
      <c r="N1377" s="5" t="inlineStr">
        <is>
          <t>ENT</t>
        </is>
      </c>
      <c r="O1377" s="5" t="inlineStr">
        <is>
          <t>ENT</t>
        </is>
      </c>
      <c r="P1377" s="15" t="n">
        <v>0</v>
      </c>
      <c r="Q1377" s="15" t="n">
        <v>0</v>
      </c>
      <c r="R1377" s="5" t="inlineStr">
        <is>
          <t>274-2024-06-30</t>
        </is>
      </c>
    </row>
    <row r="1378">
      <c r="A1378" s="5" t="n">
        <v>274</v>
      </c>
      <c r="B1378" s="5" t="inlineStr">
        <is>
          <t>Cumplimiento total estudiantes antiguos</t>
        </is>
      </c>
      <c r="C1378" s="5" t="inlineStr">
        <is>
          <t>Rematrícula</t>
        </is>
      </c>
      <c r="D1378" s="5" t="inlineStr">
        <is>
          <t>Semestral</t>
        </is>
      </c>
      <c r="E1378" s="5" t="inlineStr">
        <is>
          <t>Positivo</t>
        </is>
      </c>
      <c r="F1378" s="107" t="n">
        <v>45657</v>
      </c>
      <c r="G1378" s="5" t="n">
        <v>2024</v>
      </c>
      <c r="H1378" s="5" t="inlineStr">
        <is>
          <t>Diciembre</t>
        </is>
      </c>
      <c r="I1378" s="6" t="inlineStr">
        <is>
          <t>2024-2</t>
        </is>
      </c>
      <c r="J1378" s="5" t="n">
        <v>100</v>
      </c>
      <c r="K1378" s="5" t="n">
        <v>101.6087500306545</v>
      </c>
      <c r="L1378" s="14">
        <f>IFERROR(IF(OR(J1378=0,K1378=""),"",IF(E1378="Positivo",MIN(MAX(K1378/J1378,0),1.3),MIN(MAX(J1378/K1378,0),1.3))),"") </f>
        <v/>
      </c>
      <c r="M1378" s="14">
        <f>IFERROR(IF(OR(J1378=0,K1378=""),"",IF(E1378="Positivo",MAX(K1378/J1378,0),MAX(J1378/K1378,0))),"") </f>
        <v/>
      </c>
      <c r="N1378" s="5" t="inlineStr">
        <is>
          <t>ENT</t>
        </is>
      </c>
      <c r="O1378" s="5" t="inlineStr">
        <is>
          <t>ENT</t>
        </is>
      </c>
      <c r="P1378" s="15" t="n">
        <v>0</v>
      </c>
      <c r="Q1378" s="15" t="n">
        <v>0</v>
      </c>
      <c r="R1378" s="5" t="inlineStr">
        <is>
          <t>274-2024-12-31</t>
        </is>
      </c>
    </row>
    <row r="1379">
      <c r="A1379" s="21" t="n">
        <v>274</v>
      </c>
      <c r="B1379" s="5" t="inlineStr">
        <is>
          <t>Cumplimiento total estudiantes antiguos</t>
        </is>
      </c>
      <c r="C1379" s="5" t="inlineStr">
        <is>
          <t>Rematrícula</t>
        </is>
      </c>
      <c r="D1379" s="5" t="inlineStr">
        <is>
          <t>Semestral</t>
        </is>
      </c>
      <c r="E1379" s="5" t="inlineStr">
        <is>
          <t>Positivo</t>
        </is>
      </c>
      <c r="F1379" s="107" t="n">
        <v>45838</v>
      </c>
      <c r="G1379" s="5" t="n">
        <v>2025</v>
      </c>
      <c r="H1379" s="5" t="inlineStr">
        <is>
          <t>Junio</t>
        </is>
      </c>
      <c r="I1379" s="6" t="inlineStr">
        <is>
          <t>2025-1</t>
        </is>
      </c>
      <c r="J1379" s="5" t="n">
        <v>100</v>
      </c>
      <c r="K1379" s="10" t="n">
        <v>105.8</v>
      </c>
      <c r="L1379" s="14">
        <f>IFERROR(IF(OR(J1379=0,K1379=""),"",IF(E1379="Positivo",MIN(MAX(K1379/J1379,0),1.3),MIN(MAX(J1379/K1379,0),1.3))),"") </f>
        <v/>
      </c>
      <c r="M1379" s="14">
        <f>IFERROR(IF(OR(J1379=0,K1379=""),"",IF(E1379="Positivo",MAX(K1379/J1379,0),MAX(J1379/K1379,0))),"") </f>
        <v/>
      </c>
      <c r="N1379" s="5" t="inlineStr">
        <is>
          <t>ENT</t>
        </is>
      </c>
      <c r="O1379" s="5" t="inlineStr">
        <is>
          <t>ENT</t>
        </is>
      </c>
      <c r="P1379" s="15" t="n">
        <v>0</v>
      </c>
      <c r="Q1379" s="15" t="n">
        <v>0</v>
      </c>
      <c r="R1379" s="5" t="inlineStr">
        <is>
          <t>274-2025-06-30</t>
        </is>
      </c>
    </row>
    <row r="1380">
      <c r="A1380" s="21" t="n">
        <v>274</v>
      </c>
      <c r="B1380" s="5" t="inlineStr">
        <is>
          <t>Cumplimiento total estudiantes antiguos</t>
        </is>
      </c>
      <c r="C1380" s="5" t="inlineStr">
        <is>
          <t>Rematrícula</t>
        </is>
      </c>
      <c r="D1380" s="5" t="inlineStr">
        <is>
          <t>Trimestral</t>
        </is>
      </c>
      <c r="E1380" s="5" t="inlineStr">
        <is>
          <t>Positivo</t>
        </is>
      </c>
      <c r="F1380" s="107" t="n">
        <v>46022</v>
      </c>
      <c r="G1380" s="5" t="n">
        <v>2025</v>
      </c>
      <c r="H1380" s="5" t="inlineStr">
        <is>
          <t>Diciembre</t>
        </is>
      </c>
      <c r="I1380" s="6" t="inlineStr">
        <is>
          <t>2025-2</t>
        </is>
      </c>
      <c r="J1380" s="5" t="n">
        <v>100</v>
      </c>
      <c r="K1380" s="10" t="n">
        <v>102.03</v>
      </c>
      <c r="L1380" s="14">
        <f>IFERROR(IF(OR(J1380=0,K1380=""),"",IF(E1380="Positivo",MIN(MAX(K1380/J1380,0),1.3),MIN(MAX(J1380/K1380,0),1.3))),"") </f>
        <v/>
      </c>
      <c r="M1380" s="14">
        <f>IFERROR(IF(OR(J1380=0,K1380=""),"",IF(E1380="Positivo",MAX(K1380/J1380,0),MAX(J1380/K1380,0))),"") </f>
        <v/>
      </c>
      <c r="N1380" s="5" t="inlineStr">
        <is>
          <t>ENT</t>
        </is>
      </c>
      <c r="O1380" s="5" t="inlineStr">
        <is>
          <t>ENT</t>
        </is>
      </c>
      <c r="P1380" s="15" t="n">
        <v>0</v>
      </c>
      <c r="Q1380" s="15" t="n">
        <v>0</v>
      </c>
      <c r="R1380" s="5" t="inlineStr">
        <is>
          <t>274-2025-12-31</t>
        </is>
      </c>
    </row>
    <row r="1381">
      <c r="A1381" s="21" t="n">
        <v>275</v>
      </c>
      <c r="B1381" s="5" t="inlineStr">
        <is>
          <t>Satisfacción Institucional por grupo de interes</t>
        </is>
      </c>
      <c r="C1381" s="5" t="inlineStr">
        <is>
          <t>EXPERIENCIA INSTITUCIONAL</t>
        </is>
      </c>
      <c r="D1381" s="5" t="inlineStr">
        <is>
          <t>Trimestral</t>
        </is>
      </c>
      <c r="E1381" s="5" t="inlineStr">
        <is>
          <t>Positivo</t>
        </is>
      </c>
      <c r="F1381" s="107" t="n">
        <v>45016</v>
      </c>
      <c r="G1381" s="5" t="n">
        <v>2023</v>
      </c>
      <c r="H1381" s="5" t="inlineStr">
        <is>
          <t>Marzo</t>
        </is>
      </c>
      <c r="I1381" s="6" t="inlineStr">
        <is>
          <t>2023-1</t>
        </is>
      </c>
      <c r="J1381" s="5" t="n">
        <v>80</v>
      </c>
      <c r="K1381" s="10" t="n"/>
      <c r="L1381" s="14" t="n"/>
      <c r="M1381" s="8" t="n"/>
      <c r="N1381" s="5" t="inlineStr">
        <is>
          <t>%</t>
        </is>
      </c>
      <c r="O1381" s="5" t="inlineStr">
        <is>
          <t>No Aplica</t>
        </is>
      </c>
      <c r="P1381" s="15" t="n">
        <v>0</v>
      </c>
      <c r="Q1381" s="15" t="n">
        <v>0</v>
      </c>
      <c r="R1381" s="5" t="inlineStr">
        <is>
          <t>275-2023-03-31</t>
        </is>
      </c>
      <c r="S1381" t="inlineStr">
        <is>
          <t>No Aplica</t>
        </is>
      </c>
    </row>
    <row r="1382">
      <c r="A1382" s="21" t="n">
        <v>275</v>
      </c>
      <c r="B1382" s="5" t="inlineStr">
        <is>
          <t>Satisfacción Institucional por grupo de interes</t>
        </is>
      </c>
      <c r="C1382" s="5" t="inlineStr">
        <is>
          <t>EXPERIENCIA INSTITUCIONAL</t>
        </is>
      </c>
      <c r="D1382" s="5" t="inlineStr">
        <is>
          <t>Trimestral</t>
        </is>
      </c>
      <c r="E1382" s="5" t="inlineStr">
        <is>
          <t>Positivo</t>
        </is>
      </c>
      <c r="F1382" s="107" t="n">
        <v>45107</v>
      </c>
      <c r="G1382" s="5" t="n">
        <v>2023</v>
      </c>
      <c r="H1382" s="5" t="inlineStr">
        <is>
          <t>Junio</t>
        </is>
      </c>
      <c r="I1382" s="6" t="inlineStr">
        <is>
          <t>2023-1</t>
        </is>
      </c>
      <c r="J1382" s="5" t="n">
        <v>80</v>
      </c>
      <c r="K1382" s="10" t="n"/>
      <c r="L1382" s="14" t="n"/>
      <c r="M1382" s="14" t="n"/>
      <c r="N1382" s="5" t="inlineStr">
        <is>
          <t>%</t>
        </is>
      </c>
      <c r="O1382" s="5" t="inlineStr">
        <is>
          <t>No Aplica</t>
        </is>
      </c>
      <c r="P1382" s="15" t="n">
        <v>0</v>
      </c>
      <c r="Q1382" s="15" t="n">
        <v>0</v>
      </c>
      <c r="R1382" s="5" t="inlineStr">
        <is>
          <t>275-2023-06-30</t>
        </is>
      </c>
      <c r="S1382" t="inlineStr">
        <is>
          <t>No Aplica</t>
        </is>
      </c>
    </row>
    <row r="1383">
      <c r="A1383" s="21" t="n">
        <v>275</v>
      </c>
      <c r="B1383" s="5" t="inlineStr">
        <is>
          <t>Satisfacción Institucional por grupo de interes</t>
        </is>
      </c>
      <c r="C1383" s="5" t="inlineStr">
        <is>
          <t>EXPERIENCIA INSTITUCIONAL</t>
        </is>
      </c>
      <c r="D1383" s="5" t="inlineStr">
        <is>
          <t>Trimestral</t>
        </is>
      </c>
      <c r="E1383" s="5" t="inlineStr">
        <is>
          <t>Positivo</t>
        </is>
      </c>
      <c r="F1383" s="107" t="n">
        <v>45199</v>
      </c>
      <c r="G1383" s="5" t="n">
        <v>2023</v>
      </c>
      <c r="H1383" s="5" t="inlineStr">
        <is>
          <t>Septiembre</t>
        </is>
      </c>
      <c r="I1383" s="6" t="inlineStr">
        <is>
          <t>2023-2</t>
        </is>
      </c>
      <c r="J1383" s="5" t="n">
        <v>80</v>
      </c>
      <c r="K1383" s="10" t="n"/>
      <c r="L1383" s="14" t="n"/>
      <c r="M1383" s="14" t="n"/>
      <c r="N1383" s="5" t="inlineStr">
        <is>
          <t>%</t>
        </is>
      </c>
      <c r="O1383" s="5" t="inlineStr">
        <is>
          <t>No Aplica</t>
        </is>
      </c>
      <c r="P1383" s="15" t="n">
        <v>0</v>
      </c>
      <c r="Q1383" s="15" t="n">
        <v>0</v>
      </c>
      <c r="R1383" s="5" t="inlineStr">
        <is>
          <t>275-2023-09-30</t>
        </is>
      </c>
      <c r="S1383" t="inlineStr">
        <is>
          <t>No Aplica</t>
        </is>
      </c>
    </row>
    <row r="1384">
      <c r="A1384" s="21" t="n">
        <v>275</v>
      </c>
      <c r="B1384" s="5" t="inlineStr">
        <is>
          <t>Satisfacción Institucional por grupo de interes</t>
        </is>
      </c>
      <c r="C1384" s="5" t="inlineStr">
        <is>
          <t>EXPERIENCIA INSTITUCIONAL</t>
        </is>
      </c>
      <c r="D1384" s="5" t="inlineStr">
        <is>
          <t>Trimestral</t>
        </is>
      </c>
      <c r="E1384" s="5" t="inlineStr">
        <is>
          <t>Positivo</t>
        </is>
      </c>
      <c r="F1384" s="107" t="n">
        <v>45291</v>
      </c>
      <c r="G1384" s="5" t="n">
        <v>2023</v>
      </c>
      <c r="H1384" s="5" t="inlineStr">
        <is>
          <t>Diciembre</t>
        </is>
      </c>
      <c r="I1384" s="6" t="inlineStr">
        <is>
          <t>2023-2</t>
        </is>
      </c>
      <c r="J1384" s="5" t="n">
        <v>80</v>
      </c>
      <c r="K1384" s="10" t="n">
        <v>0</v>
      </c>
      <c r="L1384" s="14">
        <f>IFERROR(IF(OR(J1384=0,K1384=""),"",IF(E1384="Positivo",MIN(MAX(K1384/J1384,0),1.3),MIN(MAX(J1384/K1384,0),1.3))),"") </f>
        <v/>
      </c>
      <c r="M1384" s="14">
        <f>IFERROR(IF(OR(J1384=0,K1384=""),"",IF(E1384="Positivo",MAX(K1384/J1384,0),MAX(J1384/K1384,0))),"") </f>
        <v/>
      </c>
      <c r="N1384" s="5" t="inlineStr">
        <is>
          <t>%</t>
        </is>
      </c>
      <c r="O1384" s="5" t="inlineStr">
        <is>
          <t>%</t>
        </is>
      </c>
      <c r="P1384" s="15" t="n">
        <v>0</v>
      </c>
      <c r="Q1384" s="15" t="n">
        <v>0</v>
      </c>
      <c r="R1384" s="5" t="inlineStr">
        <is>
          <t>275-2023-12-31</t>
        </is>
      </c>
    </row>
    <row r="1385">
      <c r="A1385" s="5" t="n">
        <v>275</v>
      </c>
      <c r="B1385" s="5" t="inlineStr">
        <is>
          <t>Satisfacción Institucional por grupo de interes</t>
        </is>
      </c>
      <c r="C1385" s="5" t="inlineStr">
        <is>
          <t>EXPERIENCIA INSTITUCIONAL</t>
        </is>
      </c>
      <c r="D1385" s="5" t="inlineStr">
        <is>
          <t>Semestral</t>
        </is>
      </c>
      <c r="E1385" s="5" t="inlineStr">
        <is>
          <t>Positivo</t>
        </is>
      </c>
      <c r="F1385" s="107" t="n">
        <v>45473</v>
      </c>
      <c r="G1385" s="5" t="n">
        <v>2024</v>
      </c>
      <c r="H1385" s="5" t="inlineStr">
        <is>
          <t>Junio</t>
        </is>
      </c>
      <c r="I1385" s="6" t="inlineStr">
        <is>
          <t>2024-1</t>
        </is>
      </c>
      <c r="J1385" s="5" t="n">
        <v>80</v>
      </c>
      <c r="K1385" s="5" t="n">
        <v>103.75</v>
      </c>
      <c r="L1385" s="14">
        <f>IFERROR(IF(OR(J1385=0,K1385=""),"",IF(E1385="Positivo",MIN(MAX(K1385/J1385,0),1.3),MIN(MAX(J1385/K1385,0),1.3))),"") </f>
        <v/>
      </c>
      <c r="M1385" s="14">
        <f>IFERROR(IF(OR(J1385=0,K1385=""),"",IF(E1385="Positivo",MAX(K1385/J1385,0),MAX(J1385/K1385,0))),"") </f>
        <v/>
      </c>
      <c r="N1385" s="5" t="inlineStr">
        <is>
          <t>%</t>
        </is>
      </c>
      <c r="O1385" s="5" t="inlineStr">
        <is>
          <t>%</t>
        </is>
      </c>
      <c r="P1385" s="5" t="n">
        <v>0</v>
      </c>
      <c r="Q1385" s="5" t="n">
        <v>0</v>
      </c>
      <c r="R1385" s="5" t="inlineStr">
        <is>
          <t>275-2024-06-30</t>
        </is>
      </c>
    </row>
    <row r="1386">
      <c r="A1386" s="21" t="n">
        <v>275</v>
      </c>
      <c r="B1386" s="5" t="inlineStr">
        <is>
          <t>Satisfacción Institucional por grupo de interes</t>
        </is>
      </c>
      <c r="C1386" s="5" t="inlineStr">
        <is>
          <t>EXPERIENCIA INSTITUCIONAL</t>
        </is>
      </c>
      <c r="D1386" s="5" t="inlineStr">
        <is>
          <t>Semestral</t>
        </is>
      </c>
      <c r="E1386" s="5" t="inlineStr">
        <is>
          <t>Positivo</t>
        </is>
      </c>
      <c r="F1386" s="107" t="n">
        <v>45657</v>
      </c>
      <c r="G1386" s="5" t="n">
        <v>2024</v>
      </c>
      <c r="H1386" s="5" t="inlineStr">
        <is>
          <t>Diciembre</t>
        </is>
      </c>
      <c r="I1386" s="6" t="inlineStr">
        <is>
          <t>2024-2</t>
        </is>
      </c>
      <c r="J1386" s="5" t="n">
        <v>80</v>
      </c>
      <c r="K1386" s="10" t="n">
        <v>109.58</v>
      </c>
      <c r="L1386" s="14">
        <f>IFERROR(IF(OR(J1386=0,K1386=""),"",IF(E1386="Positivo",MIN(MAX(K1386/J1386,0),1.3),MIN(MAX(J1386/K1386,0),1.3))),"") </f>
        <v/>
      </c>
      <c r="M1386" s="14">
        <f>IFERROR(IF(OR(J1386=0,K1386=""),"",IF(E1386="Positivo",MAX(K1386/J1386,0),MAX(J1386/K1386,0))),"") </f>
        <v/>
      </c>
      <c r="N1386" s="5" t="inlineStr">
        <is>
          <t>%</t>
        </is>
      </c>
      <c r="O1386" s="5" t="inlineStr">
        <is>
          <t>%</t>
        </is>
      </c>
      <c r="P1386" s="15" t="n">
        <v>0</v>
      </c>
      <c r="Q1386" s="15" t="n">
        <v>0</v>
      </c>
      <c r="R1386" s="5" t="inlineStr">
        <is>
          <t>275-2024-12-31</t>
        </is>
      </c>
    </row>
    <row r="1387">
      <c r="A1387" s="26" t="n">
        <v>275</v>
      </c>
      <c r="B1387" s="5" t="inlineStr">
        <is>
          <t>Satisfacción Institucional por grupo de interes</t>
        </is>
      </c>
      <c r="C1387" s="5" t="inlineStr">
        <is>
          <t>EXPERIENCIA INSTITUCIONAL</t>
        </is>
      </c>
      <c r="D1387" s="5" t="inlineStr">
        <is>
          <t>Semestral</t>
        </is>
      </c>
      <c r="E1387" s="5" t="inlineStr">
        <is>
          <t>Positivo</t>
        </is>
      </c>
      <c r="F1387" s="107" t="n">
        <v>45838</v>
      </c>
      <c r="G1387" s="5" t="n">
        <v>2025</v>
      </c>
      <c r="H1387" s="5" t="inlineStr">
        <is>
          <t>Junio</t>
        </is>
      </c>
      <c r="I1387" s="6" t="inlineStr">
        <is>
          <t>2025-1</t>
        </is>
      </c>
      <c r="J1387" s="5" t="n">
        <v>80</v>
      </c>
      <c r="K1387" s="94" t="n">
        <v>90</v>
      </c>
      <c r="L1387" s="14">
        <f>IFERROR(IF(OR(J1387=0,K1387=""),"",IF(E1387="Positivo",MIN(MAX(K1387/J1387,0),1.3),MIN(MAX(J1387/K1387,0),1.3))),"") </f>
        <v/>
      </c>
      <c r="M1387" s="14">
        <f>IFERROR(IF(OR(J1387=0,K1387=""),"",IF(E1387="Positivo",MAX(K1387/J1387,0),MAX(J1387/K1387,0))),"") </f>
        <v/>
      </c>
      <c r="N1387" s="5" t="inlineStr">
        <is>
          <t>%</t>
        </is>
      </c>
      <c r="O1387" s="5" t="inlineStr">
        <is>
          <t>%</t>
        </is>
      </c>
      <c r="P1387" s="15" t="n">
        <v>0</v>
      </c>
      <c r="Q1387" s="15" t="n">
        <v>0</v>
      </c>
      <c r="R1387" s="5" t="inlineStr">
        <is>
          <t>275-2025-06-30</t>
        </is>
      </c>
    </row>
    <row r="1388">
      <c r="A1388" s="26" t="n">
        <v>275</v>
      </c>
      <c r="B1388" s="5" t="inlineStr">
        <is>
          <t>Satisfacción Institucional por grupo de interes</t>
        </is>
      </c>
      <c r="C1388" s="5" t="inlineStr">
        <is>
          <t>EXPERIENCIA INSTITUCIONAL</t>
        </is>
      </c>
      <c r="D1388" s="5" t="inlineStr">
        <is>
          <t>Trimestral</t>
        </is>
      </c>
      <c r="E1388" s="5" t="inlineStr">
        <is>
          <t>Positivo</t>
        </is>
      </c>
      <c r="F1388" s="107" t="n">
        <v>46022</v>
      </c>
      <c r="G1388" s="5" t="n">
        <v>2025</v>
      </c>
      <c r="H1388" s="5" t="inlineStr">
        <is>
          <t>Diciembre</t>
        </is>
      </c>
      <c r="I1388" s="6" t="inlineStr">
        <is>
          <t>2025-2</t>
        </is>
      </c>
      <c r="J1388" s="5" t="n">
        <v>80</v>
      </c>
      <c r="K1388" s="94" t="n">
        <v>91.67</v>
      </c>
      <c r="L1388" s="14">
        <f>IFERROR(IF(OR(J1388=0,K1388=""),"",IF(E1388="Positivo",MIN(MAX(K1388/J1388,0),1.3),MIN(MAX(J1388/K1388,0),1.3))),"") </f>
        <v/>
      </c>
      <c r="M1388" s="14">
        <f>IFERROR(IF(OR(J1388=0,K1388=""),"",IF(E1388="Positivo",MAX(K1388/J1388,0),MAX(J1388/K1388,0))),"") </f>
        <v/>
      </c>
      <c r="N1388" s="5" t="inlineStr">
        <is>
          <t>%</t>
        </is>
      </c>
      <c r="O1388" s="5" t="inlineStr">
        <is>
          <t>%</t>
        </is>
      </c>
      <c r="P1388" s="15" t="n">
        <v>0</v>
      </c>
      <c r="Q1388" s="15" t="n">
        <v>0</v>
      </c>
      <c r="R1388" s="5" t="inlineStr">
        <is>
          <t>275-2025-12-31</t>
        </is>
      </c>
    </row>
    <row r="1389">
      <c r="A1389" s="26" t="n">
        <v>276</v>
      </c>
      <c r="B1389" s="5" t="inlineStr">
        <is>
          <t>Relación Estudiante-Docente Tiempo completo</t>
        </is>
      </c>
      <c r="C1389" s="5" t="inlineStr">
        <is>
          <t>Gestión Docente</t>
        </is>
      </c>
      <c r="D1389" s="5" t="inlineStr">
        <is>
          <t>Semestral</t>
        </is>
      </c>
      <c r="E1389" s="5" t="inlineStr">
        <is>
          <t>Negativo</t>
        </is>
      </c>
      <c r="F1389" s="107" t="n">
        <v>45107</v>
      </c>
      <c r="G1389" s="5" t="n">
        <v>2023</v>
      </c>
      <c r="H1389" s="5" t="inlineStr">
        <is>
          <t>Junio</t>
        </is>
      </c>
      <c r="I1389" s="6" t="inlineStr">
        <is>
          <t>2023-1</t>
        </is>
      </c>
      <c r="J1389" s="5" t="n">
        <v>85</v>
      </c>
      <c r="K1389" s="94" t="n">
        <v>89.98999999999999</v>
      </c>
      <c r="L1389" s="14">
        <f>IFERROR(IF(OR(J1389=0,K1389=""),"",IF(E1389="Positivo",MIN(MAX(K1389/J1389,0),1.3),MIN(MAX(J1389/K1389,0),1.3))),"") </f>
        <v/>
      </c>
      <c r="M1389" s="14">
        <f>IFERROR(IF(OR(J1389=0,K1389=""),"",IF(E1389="Positivo",MAX(K1389/J1389,0),MAX(J1389/K1389,0))),"") </f>
        <v/>
      </c>
      <c r="N1389" s="5" t="n"/>
      <c r="O1389" s="5" t="n"/>
      <c r="P1389" s="15" t="n">
        <v>0</v>
      </c>
      <c r="Q1389" s="15" t="n">
        <v>0</v>
      </c>
      <c r="R1389" s="5" t="inlineStr">
        <is>
          <t>276-2023-06-30</t>
        </is>
      </c>
    </row>
    <row r="1390">
      <c r="A1390" s="26" t="n">
        <v>276</v>
      </c>
      <c r="B1390" s="5" t="inlineStr">
        <is>
          <t>Relación Estudiante-Docente Tiempo completo</t>
        </is>
      </c>
      <c r="C1390" s="5" t="inlineStr">
        <is>
          <t>Gestión Docente</t>
        </is>
      </c>
      <c r="D1390" s="5" t="inlineStr">
        <is>
          <t>Semestral</t>
        </is>
      </c>
      <c r="E1390" s="5" t="inlineStr">
        <is>
          <t>Negativo</t>
        </is>
      </c>
      <c r="F1390" s="107" t="n">
        <v>45291</v>
      </c>
      <c r="G1390" s="5" t="n">
        <v>2023</v>
      </c>
      <c r="H1390" s="5" t="inlineStr">
        <is>
          <t>Diciembre</t>
        </is>
      </c>
      <c r="I1390" s="6" t="inlineStr">
        <is>
          <t>2023-2</t>
        </is>
      </c>
      <c r="J1390" s="5" t="n">
        <v>85</v>
      </c>
      <c r="K1390" s="94" t="n">
        <v>84.5</v>
      </c>
      <c r="L1390" s="14">
        <f>IFERROR(IF(OR(J1390=0,K1390=""),"",IF(E1390="Positivo",MIN(MAX(K1390/J1390,0),1.3),MIN(MAX(J1390/K1390,0),1.3))),"") </f>
        <v/>
      </c>
      <c r="M1390" s="14">
        <f>IFERROR(IF(OR(J1390=0,K1390=""),"",IF(E1390="Positivo",MAX(K1390/J1390,0),MAX(J1390/K1390,0))),"") </f>
        <v/>
      </c>
      <c r="N1390" s="5" t="n"/>
      <c r="O1390" s="5" t="n"/>
      <c r="P1390" s="15" t="n">
        <v>1</v>
      </c>
      <c r="Q1390" s="15" t="n">
        <v>1</v>
      </c>
      <c r="R1390" s="5" t="inlineStr">
        <is>
          <t>276-2023-12-31</t>
        </is>
      </c>
    </row>
    <row r="1391">
      <c r="A1391" s="26" t="n">
        <v>276</v>
      </c>
      <c r="B1391" s="5" t="inlineStr">
        <is>
          <t>Relación Estudiante-Docente Tiempo completo</t>
        </is>
      </c>
      <c r="C1391" s="5" t="inlineStr">
        <is>
          <t>Gestión Docente</t>
        </is>
      </c>
      <c r="D1391" s="5" t="inlineStr">
        <is>
          <t>Semestral</t>
        </is>
      </c>
      <c r="E1391" s="5" t="inlineStr">
        <is>
          <t>Negativo</t>
        </is>
      </c>
      <c r="F1391" s="107" t="n">
        <v>45473</v>
      </c>
      <c r="G1391" s="5" t="n">
        <v>2024</v>
      </c>
      <c r="H1391" s="5" t="inlineStr">
        <is>
          <t>Junio</t>
        </is>
      </c>
      <c r="I1391" s="6" t="inlineStr">
        <is>
          <t>2024-1</t>
        </is>
      </c>
      <c r="J1391" s="5" t="n">
        <v>75</v>
      </c>
      <c r="K1391" s="94" t="n">
        <v>83.65000000000001</v>
      </c>
      <c r="L1391" s="14">
        <f>IFERROR(IF(OR(J1391=0,K1391=""),"",IF(E1391="Positivo",MIN(MAX(K1391/J1391,0),1.3),MIN(MAX(J1391/K1391,0),1.3))),"") </f>
        <v/>
      </c>
      <c r="M1391" s="14">
        <f>IFERROR(IF(OR(J1391=0,K1391=""),"",IF(E1391="Positivo",MAX(K1391/J1391,0),MAX(J1391/K1391,0))),"") </f>
        <v/>
      </c>
      <c r="N1391" s="5" t="inlineStr">
        <is>
          <t>DEC</t>
        </is>
      </c>
      <c r="O1391" s="5" t="inlineStr">
        <is>
          <t>DEC</t>
        </is>
      </c>
      <c r="P1391" s="15" t="n">
        <v>0</v>
      </c>
      <c r="Q1391" s="15" t="n">
        <v>0</v>
      </c>
      <c r="R1391" s="5" t="inlineStr">
        <is>
          <t>276-2024-06-30</t>
        </is>
      </c>
    </row>
    <row r="1392">
      <c r="A1392" s="26" t="n">
        <v>276</v>
      </c>
      <c r="B1392" s="5" t="inlineStr">
        <is>
          <t>Relación Estudiante-Docente Tiempo completo</t>
        </is>
      </c>
      <c r="C1392" s="5" t="inlineStr">
        <is>
          <t>Gestión Docente</t>
        </is>
      </c>
      <c r="D1392" s="5" t="inlineStr">
        <is>
          <t>Semestral</t>
        </is>
      </c>
      <c r="E1392" s="5" t="inlineStr">
        <is>
          <t>Negativo</t>
        </is>
      </c>
      <c r="F1392" s="107" t="n">
        <v>45657</v>
      </c>
      <c r="G1392" s="5" t="n">
        <v>2024</v>
      </c>
      <c r="H1392" s="5" t="inlineStr">
        <is>
          <t>Diciembre</t>
        </is>
      </c>
      <c r="I1392" s="6" t="inlineStr">
        <is>
          <t>2024-2</t>
        </is>
      </c>
      <c r="J1392" s="5" t="n">
        <v>75</v>
      </c>
      <c r="K1392" s="94" t="n">
        <v>82.68000000000001</v>
      </c>
      <c r="L1392" s="14">
        <f>IFERROR(IF(OR(J1392=0,K1392=""),"",IF(E1392="Positivo",MIN(MAX(K1392/J1392,0),1.3),MIN(MAX(J1392/K1392,0),1.3))),"") </f>
        <v/>
      </c>
      <c r="M1392" s="14">
        <f>IFERROR(IF(OR(J1392=0,K1392=""),"",IF(E1392="Positivo",MAX(K1392/J1392,0),MAX(J1392/K1392,0))),"") </f>
        <v/>
      </c>
      <c r="N1392" s="5" t="inlineStr">
        <is>
          <t>DEC</t>
        </is>
      </c>
      <c r="O1392" s="5" t="inlineStr">
        <is>
          <t>DEC</t>
        </is>
      </c>
      <c r="P1392" s="15" t="n">
        <v>0</v>
      </c>
      <c r="Q1392" s="15" t="n">
        <v>0</v>
      </c>
      <c r="R1392" s="5" t="inlineStr">
        <is>
          <t>276-2024-12-31</t>
        </is>
      </c>
    </row>
    <row r="1393">
      <c r="A1393" s="21" t="n">
        <v>276</v>
      </c>
      <c r="B1393" s="5" t="inlineStr">
        <is>
          <t>Relación Estudiante-Docente Tiempo completo</t>
        </is>
      </c>
      <c r="C1393" s="5" t="inlineStr">
        <is>
          <t>Gestión Docente</t>
        </is>
      </c>
      <c r="D1393" s="5" t="inlineStr">
        <is>
          <t>Semestral</t>
        </is>
      </c>
      <c r="E1393" s="5" t="inlineStr">
        <is>
          <t>Negativo</t>
        </is>
      </c>
      <c r="F1393" s="107" t="n">
        <v>45838</v>
      </c>
      <c r="G1393" s="5" t="n">
        <v>2025</v>
      </c>
      <c r="H1393" s="5" t="inlineStr">
        <is>
          <t>Junio</t>
        </is>
      </c>
      <c r="I1393" s="6" t="inlineStr">
        <is>
          <t>2025-1</t>
        </is>
      </c>
      <c r="J1393" s="5" t="n">
        <v>81</v>
      </c>
      <c r="K1393" s="10" t="n">
        <v>84.18000000000001</v>
      </c>
      <c r="L1393" s="14">
        <f>IFERROR(IF(OR(J1393=0,K1393=""),"",IF(E1393="Positivo",MIN(MAX(K1393/J1393,0),1.3),MIN(MAX(J1393/K1393,0),1.3))),"") </f>
        <v/>
      </c>
      <c r="M1393" s="14">
        <f>IFERROR(IF(OR(J1393=0,K1393=""),"",IF(E1393="Positivo",MAX(K1393/J1393,0),MAX(J1393/K1393,0))),"") </f>
        <v/>
      </c>
      <c r="N1393" s="5" t="inlineStr">
        <is>
          <t>ENT</t>
        </is>
      </c>
      <c r="O1393" s="5" t="inlineStr">
        <is>
          <t>DEC</t>
        </is>
      </c>
      <c r="P1393" s="15" t="n">
        <v>0</v>
      </c>
      <c r="Q1393" s="15" t="n">
        <v>1</v>
      </c>
      <c r="R1393" s="5" t="inlineStr">
        <is>
          <t>276-2025-06-30</t>
        </is>
      </c>
    </row>
    <row r="1394">
      <c r="A1394" s="21" t="n">
        <v>276</v>
      </c>
      <c r="B1394" s="5" t="inlineStr">
        <is>
          <t>Relación Estudiante-Docente Tiempo completo</t>
        </is>
      </c>
      <c r="C1394" s="5" t="inlineStr">
        <is>
          <t>Gestión Docente</t>
        </is>
      </c>
      <c r="D1394" s="5" t="inlineStr">
        <is>
          <t>Trimestral</t>
        </is>
      </c>
      <c r="E1394" s="5" t="inlineStr">
        <is>
          <t>Negativo</t>
        </is>
      </c>
      <c r="F1394" s="107" t="n">
        <v>46022</v>
      </c>
      <c r="G1394" s="5" t="n">
        <v>2025</v>
      </c>
      <c r="H1394" s="5" t="inlineStr">
        <is>
          <t>Diciembre</t>
        </is>
      </c>
      <c r="I1394" s="6" t="inlineStr">
        <is>
          <t>2025-2</t>
        </is>
      </c>
      <c r="J1394" s="5" t="n">
        <v>81</v>
      </c>
      <c r="K1394" s="10" t="n">
        <v>82.81</v>
      </c>
      <c r="L1394" s="14">
        <f>IFERROR(IF(OR(J1394=0,K1394=""),"",IF(E1394="Positivo",MIN(MAX(K1394/J1394,0),1.3),MIN(MAX(J1394/K1394,0),1.3))),"") </f>
        <v/>
      </c>
      <c r="M1394" s="14">
        <f>IFERROR(IF(OR(J1394=0,K1394=""),"",IF(E1394="Positivo",MAX(K1394/J1394,0),MAX(J1394/K1394,0))),"") </f>
        <v/>
      </c>
      <c r="N1394" s="5" t="inlineStr">
        <is>
          <t>ENT</t>
        </is>
      </c>
      <c r="O1394" s="5" t="inlineStr">
        <is>
          <t>DEC</t>
        </is>
      </c>
      <c r="P1394" s="15" t="n">
        <v>0</v>
      </c>
      <c r="Q1394" s="15" t="n">
        <v>1</v>
      </c>
      <c r="R1394" s="5" t="inlineStr">
        <is>
          <t>276-2025-12-31</t>
        </is>
      </c>
    </row>
    <row r="1395">
      <c r="A1395" s="21" t="n">
        <v>277</v>
      </c>
      <c r="B1395" s="5" t="inlineStr">
        <is>
          <t>Relación estudiante docente Tiempo Completo Equivalente</t>
        </is>
      </c>
      <c r="C1395" s="5" t="inlineStr">
        <is>
          <t>Gestión Docente</t>
        </is>
      </c>
      <c r="D1395" s="5" t="inlineStr">
        <is>
          <t>Semestral</t>
        </is>
      </c>
      <c r="E1395" s="5" t="inlineStr">
        <is>
          <t>Negativo</t>
        </is>
      </c>
      <c r="F1395" s="107" t="n">
        <v>45107</v>
      </c>
      <c r="G1395" s="5" t="n">
        <v>2023</v>
      </c>
      <c r="H1395" s="5" t="inlineStr">
        <is>
          <t>Junio</t>
        </is>
      </c>
      <c r="I1395" s="6" t="inlineStr">
        <is>
          <t>2023-1</t>
        </is>
      </c>
      <c r="J1395" s="5" t="n">
        <v>85</v>
      </c>
      <c r="K1395" s="10" t="n">
        <v>76.48</v>
      </c>
      <c r="L1395" s="14">
        <f>IFERROR(IF(OR(J1395=0,K1395=""),"",IF(E1395="Positivo",MIN(MAX(K1395/J1395,0),1.3),MIN(MAX(J1395/K1395,0),1.3))),"") </f>
        <v/>
      </c>
      <c r="M1395" s="14">
        <f>IFERROR(IF(OR(J1395=0,K1395=""),"",IF(E1395="Positivo",MAX(K1395/J1395,0),MAX(J1395/K1395,0))),"") </f>
        <v/>
      </c>
      <c r="N1395" s="5" t="inlineStr">
        <is>
          <t>DEC</t>
        </is>
      </c>
      <c r="O1395" s="5" t="inlineStr">
        <is>
          <t>DEC</t>
        </is>
      </c>
      <c r="P1395" s="15" t="n">
        <v>0</v>
      </c>
      <c r="Q1395" s="15" t="n">
        <v>0</v>
      </c>
      <c r="R1395" s="5" t="inlineStr">
        <is>
          <t>277-2023-06-30</t>
        </is>
      </c>
    </row>
    <row r="1396">
      <c r="A1396" s="21" t="n">
        <v>277</v>
      </c>
      <c r="B1396" s="5" t="inlineStr">
        <is>
          <t>Relación estudiante docente Tiempo Completo Equivalente</t>
        </is>
      </c>
      <c r="C1396" s="5" t="inlineStr">
        <is>
          <t>Gestión Docente</t>
        </is>
      </c>
      <c r="D1396" s="5" t="inlineStr">
        <is>
          <t>Semestral</t>
        </is>
      </c>
      <c r="E1396" s="5" t="inlineStr">
        <is>
          <t>Negativo</t>
        </is>
      </c>
      <c r="F1396" s="107" t="n">
        <v>45291</v>
      </c>
      <c r="G1396" s="5" t="n">
        <v>2023</v>
      </c>
      <c r="H1396" s="5" t="inlineStr">
        <is>
          <t>Diciembre</t>
        </is>
      </c>
      <c r="I1396" s="6" t="inlineStr">
        <is>
          <t>2023-2</t>
        </is>
      </c>
      <c r="J1396" s="5" t="n">
        <v>85</v>
      </c>
      <c r="K1396" s="10" t="n">
        <v>73.29000000000001</v>
      </c>
      <c r="L1396" s="14">
        <f>IFERROR(IF(OR(J1396=0,K1396=""),"",IF(E1396="Positivo",MIN(MAX(K1396/J1396,0),1.3),MIN(MAX(J1396/K1396,0),1.3))),"") </f>
        <v/>
      </c>
      <c r="M1396" s="14">
        <f>IFERROR(IF(OR(J1396=0,K1396=""),"",IF(E1396="Positivo",MAX(K1396/J1396,0),MAX(J1396/K1396,0))),"") </f>
        <v/>
      </c>
      <c r="N1396" s="5" t="inlineStr">
        <is>
          <t>DEC</t>
        </is>
      </c>
      <c r="O1396" s="5" t="inlineStr">
        <is>
          <t>DEC</t>
        </is>
      </c>
      <c r="P1396" s="15" t="n">
        <v>0</v>
      </c>
      <c r="Q1396" s="15" t="n">
        <v>0</v>
      </c>
      <c r="R1396" s="5" t="inlineStr">
        <is>
          <t>277-2023-12-31</t>
        </is>
      </c>
    </row>
    <row r="1397">
      <c r="A1397" s="21" t="n">
        <v>277</v>
      </c>
      <c r="B1397" s="5" t="inlineStr">
        <is>
          <t>Relación estudiante docente Tiempo Completo Equivalente</t>
        </is>
      </c>
      <c r="C1397" s="5" t="inlineStr">
        <is>
          <t>Gestión Docente</t>
        </is>
      </c>
      <c r="D1397" s="5" t="inlineStr">
        <is>
          <t>Semestral</t>
        </is>
      </c>
      <c r="E1397" s="5" t="inlineStr">
        <is>
          <t>Negativo</t>
        </is>
      </c>
      <c r="F1397" s="107" t="n">
        <v>45473</v>
      </c>
      <c r="G1397" s="5" t="n">
        <v>2024</v>
      </c>
      <c r="H1397" s="5" t="inlineStr">
        <is>
          <t>Junio</t>
        </is>
      </c>
      <c r="I1397" s="6" t="inlineStr">
        <is>
          <t>2024-1</t>
        </is>
      </c>
      <c r="J1397" s="5" t="n">
        <v>73</v>
      </c>
      <c r="K1397" s="10" t="n">
        <v>71.18000000000001</v>
      </c>
      <c r="L1397" s="14">
        <f>IFERROR(IF(OR(J1397=0,K1397=""),"",IF(E1397="Positivo",MIN(MAX(K1397/J1397,0),1.3),MIN(MAX(J1397/K1397,0),1.3))),"") </f>
        <v/>
      </c>
      <c r="M1397" s="14">
        <f>IFERROR(IF(OR(J1397=0,K1397=""),"",IF(E1397="Positivo",MAX(K1397/J1397,0),MAX(J1397/K1397,0))),"") </f>
        <v/>
      </c>
      <c r="N1397" s="5" t="inlineStr">
        <is>
          <t>DEC</t>
        </is>
      </c>
      <c r="O1397" s="5" t="inlineStr">
        <is>
          <t>DEC</t>
        </is>
      </c>
      <c r="P1397" s="15" t="n">
        <v>0</v>
      </c>
      <c r="Q1397" s="15" t="n">
        <v>0</v>
      </c>
      <c r="R1397" s="5" t="inlineStr">
        <is>
          <t>277-2024-06-30</t>
        </is>
      </c>
    </row>
    <row r="1398">
      <c r="A1398" s="5" t="n">
        <v>277</v>
      </c>
      <c r="B1398" s="5" t="inlineStr">
        <is>
          <t>Relación estudiante docente Tiempo Completo Equivalente</t>
        </is>
      </c>
      <c r="C1398" s="5" t="inlineStr">
        <is>
          <t>Gestión Docente</t>
        </is>
      </c>
      <c r="D1398" s="5" t="inlineStr">
        <is>
          <t>Semestral</t>
        </is>
      </c>
      <c r="E1398" s="5" t="inlineStr">
        <is>
          <t>Negativo</t>
        </is>
      </c>
      <c r="F1398" s="107" t="n">
        <v>45657</v>
      </c>
      <c r="G1398" s="5" t="n">
        <v>2024</v>
      </c>
      <c r="H1398" s="5" t="inlineStr">
        <is>
          <t>Diciembre</t>
        </is>
      </c>
      <c r="I1398" s="6" t="inlineStr">
        <is>
          <t>2024-2</t>
        </is>
      </c>
      <c r="J1398" s="5" t="n">
        <v>73</v>
      </c>
      <c r="K1398" s="5" t="n">
        <v>71.23999999999999</v>
      </c>
      <c r="L1398" s="14">
        <f>IFERROR(IF(OR(J1398=0,K1398=""),"",IF(E1398="Positivo",MIN(MAX(K1398/J1398,0),1.3),MIN(MAX(J1398/K1398,0),1.3))),"") </f>
        <v/>
      </c>
      <c r="M1398" s="14">
        <f>IFERROR(IF(OR(J1398=0,K1398=""),"",IF(E1398="Positivo",MAX(K1398/J1398,0),MAX(J1398/K1398,0))),"") </f>
        <v/>
      </c>
      <c r="N1398" s="5" t="inlineStr">
        <is>
          <t>DEC</t>
        </is>
      </c>
      <c r="O1398" s="5" t="inlineStr">
        <is>
          <t>DEC</t>
        </is>
      </c>
      <c r="P1398" s="15" t="n">
        <v>0</v>
      </c>
      <c r="Q1398" s="15" t="n">
        <v>0</v>
      </c>
      <c r="R1398" s="5" t="inlineStr">
        <is>
          <t>277-2024-12-31</t>
        </is>
      </c>
    </row>
    <row r="1399">
      <c r="A1399" s="21" t="n">
        <v>277</v>
      </c>
      <c r="B1399" s="5" t="inlineStr">
        <is>
          <t>Relación estudiante docente Tiempo Completo Equivalente</t>
        </is>
      </c>
      <c r="C1399" s="5" t="inlineStr">
        <is>
          <t>Gestión Docente</t>
        </is>
      </c>
      <c r="D1399" s="5" t="inlineStr">
        <is>
          <t>Semestral</t>
        </is>
      </c>
      <c r="E1399" s="5" t="inlineStr">
        <is>
          <t>Negativo</t>
        </is>
      </c>
      <c r="F1399" s="107" t="n">
        <v>45838</v>
      </c>
      <c r="G1399" s="5" t="n">
        <v>2025</v>
      </c>
      <c r="H1399" s="5" t="inlineStr">
        <is>
          <t>Junio</t>
        </is>
      </c>
      <c r="I1399" s="6" t="inlineStr">
        <is>
          <t>2025-1</t>
        </is>
      </c>
      <c r="J1399" s="5" t="n">
        <v>71</v>
      </c>
      <c r="K1399" s="10" t="n">
        <v>69.39</v>
      </c>
      <c r="L1399" s="14">
        <f>IFERROR(IF(OR(J1399=0,K1399=""),"",IF(E1399="Positivo",MIN(MAX(K1399/J1399,0),1.3),MIN(MAX(J1399/K1399,0),1.3))),"") </f>
        <v/>
      </c>
      <c r="M1399" s="14">
        <f>IFERROR(IF(OR(J1399=0,K1399=""),"",IF(E1399="Positivo",MAX(K1399/J1399,0),MAX(J1399/K1399,0))),"") </f>
        <v/>
      </c>
      <c r="N1399" s="5" t="inlineStr">
        <is>
          <t>DEC</t>
        </is>
      </c>
      <c r="O1399" s="5" t="inlineStr">
        <is>
          <t>DEC</t>
        </is>
      </c>
      <c r="P1399" s="15" t="n">
        <v>0</v>
      </c>
      <c r="Q1399" s="15" t="n">
        <v>0</v>
      </c>
      <c r="R1399" s="5" t="inlineStr">
        <is>
          <t>277-2025-06-30</t>
        </is>
      </c>
    </row>
    <row r="1400">
      <c r="A1400" s="21" t="n">
        <v>277</v>
      </c>
      <c r="B1400" s="5" t="inlineStr">
        <is>
          <t>Relación estudiante docente TCE (Tiempo Completo Equivalente)</t>
        </is>
      </c>
      <c r="C1400" s="5" t="inlineStr">
        <is>
          <t>Gestión Docente</t>
        </is>
      </c>
      <c r="D1400" s="5" t="inlineStr">
        <is>
          <t>Trimestral</t>
        </is>
      </c>
      <c r="E1400" s="5" t="inlineStr">
        <is>
          <t>Negativo</t>
        </is>
      </c>
      <c r="F1400" s="107" t="n">
        <v>46022</v>
      </c>
      <c r="G1400" s="5" t="n">
        <v>2025</v>
      </c>
      <c r="H1400" s="5" t="inlineStr">
        <is>
          <t>Diciembre</t>
        </is>
      </c>
      <c r="I1400" s="6" t="inlineStr">
        <is>
          <t>2025-2</t>
        </is>
      </c>
      <c r="J1400" s="5" t="n">
        <v>71</v>
      </c>
      <c r="K1400" s="10" t="n">
        <v>68.40000000000001</v>
      </c>
      <c r="L1400" s="14">
        <f>IFERROR(IF(OR(J1400=0,K1400=""),"",IF(E1400="Positivo",MIN(MAX(K1400/J1400,0),1.3),MIN(MAX(J1400/K1400,0),1.3))),"") </f>
        <v/>
      </c>
      <c r="M1400" s="14">
        <f>IFERROR(IF(OR(J1400=0,K1400=""),"",IF(E1400="Positivo",MAX(K1400/J1400,0),MAX(J1400/K1400,0))),"") </f>
        <v/>
      </c>
      <c r="N1400" s="5" t="inlineStr">
        <is>
          <t>ENT</t>
        </is>
      </c>
      <c r="O1400" s="5" t="inlineStr">
        <is>
          <t>DEC</t>
        </is>
      </c>
      <c r="P1400" s="15" t="n">
        <v>1</v>
      </c>
      <c r="Q1400" s="15" t="n">
        <v>1</v>
      </c>
      <c r="R1400" s="5" t="inlineStr">
        <is>
          <t>277-2025-12-31</t>
        </is>
      </c>
    </row>
    <row r="1401">
      <c r="A1401" s="21" t="n">
        <v>278</v>
      </c>
      <c r="B1401" s="5" t="inlineStr">
        <is>
          <t>Docentes contratados</t>
        </is>
      </c>
      <c r="C1401" s="5" t="inlineStr">
        <is>
          <t>Gestión Docente</t>
        </is>
      </c>
      <c r="D1401" s="5" t="inlineStr">
        <is>
          <t>Semestral</t>
        </is>
      </c>
      <c r="E1401" s="5" t="inlineStr">
        <is>
          <t>Positivo</t>
        </is>
      </c>
      <c r="F1401" s="107" t="n">
        <v>45107</v>
      </c>
      <c r="G1401" s="5" t="n">
        <v>2023</v>
      </c>
      <c r="H1401" s="5" t="inlineStr">
        <is>
          <t>Junio</t>
        </is>
      </c>
      <c r="I1401" s="6" t="inlineStr">
        <is>
          <t>2023-1</t>
        </is>
      </c>
      <c r="J1401" s="5" t="n"/>
      <c r="K1401" s="10" t="n">
        <v>1015</v>
      </c>
      <c r="L1401" s="14" t="n"/>
      <c r="M1401" s="14" t="n"/>
      <c r="N1401" s="5" t="inlineStr">
        <is>
          <t>DEC</t>
        </is>
      </c>
      <c r="O1401" s="5" t="inlineStr">
        <is>
          <t>DEC</t>
        </is>
      </c>
      <c r="P1401" s="15" t="n">
        <v>0</v>
      </c>
      <c r="Q1401" s="15" t="n">
        <v>0</v>
      </c>
      <c r="R1401" s="5" t="inlineStr">
        <is>
          <t>278-2023-06-30</t>
        </is>
      </c>
    </row>
    <row r="1402">
      <c r="A1402" s="21" t="n">
        <v>278</v>
      </c>
      <c r="B1402" s="5" t="inlineStr">
        <is>
          <t>Docentes contratados</t>
        </is>
      </c>
      <c r="C1402" s="5" t="inlineStr">
        <is>
          <t>Gestión Docente</t>
        </is>
      </c>
      <c r="D1402" s="5" t="inlineStr">
        <is>
          <t>Semestral</t>
        </is>
      </c>
      <c r="E1402" s="5" t="inlineStr">
        <is>
          <t>Positivo</t>
        </is>
      </c>
      <c r="F1402" s="107" t="n">
        <v>45291</v>
      </c>
      <c r="G1402" s="5" t="n">
        <v>2023</v>
      </c>
      <c r="H1402" s="5" t="inlineStr">
        <is>
          <t>Diciembre</t>
        </is>
      </c>
      <c r="I1402" s="6" t="inlineStr">
        <is>
          <t>2023-2</t>
        </is>
      </c>
      <c r="J1402" s="5" t="n">
        <v>0</v>
      </c>
      <c r="K1402" s="10" t="n">
        <v>1017</v>
      </c>
      <c r="L1402" s="14">
        <f>IFERROR(IF(OR(J1402=0,K1402=""),"",IF(E1402="Positivo",MIN(MAX(K1402/J1402,0),1.3),MIN(MAX(J1402/K1402,0),1.3))),"") </f>
        <v/>
      </c>
      <c r="M1402" s="14">
        <f>IFERROR(IF(OR(J1402=0,K1402=""),"",IF(E1402="Positivo",MAX(K1402/J1402,0),MAX(J1402/K1402,0))),"") </f>
        <v/>
      </c>
      <c r="N1402" s="5" t="inlineStr">
        <is>
          <t>DEC</t>
        </is>
      </c>
      <c r="O1402" s="5" t="inlineStr">
        <is>
          <t>DEC</t>
        </is>
      </c>
      <c r="P1402" s="15" t="n">
        <v>0</v>
      </c>
      <c r="Q1402" s="15" t="n">
        <v>0</v>
      </c>
      <c r="R1402" s="5" t="inlineStr">
        <is>
          <t>278-2023-12-31</t>
        </is>
      </c>
    </row>
    <row r="1403">
      <c r="A1403" s="21" t="n">
        <v>278</v>
      </c>
      <c r="B1403" s="5" t="inlineStr">
        <is>
          <t>Docentes contratados</t>
        </is>
      </c>
      <c r="C1403" s="5" t="inlineStr">
        <is>
          <t>Gestión Docente</t>
        </is>
      </c>
      <c r="D1403" s="5" t="inlineStr">
        <is>
          <t>Semestral</t>
        </is>
      </c>
      <c r="E1403" s="5" t="inlineStr">
        <is>
          <t>Positivo</t>
        </is>
      </c>
      <c r="F1403" s="107" t="n">
        <v>45473</v>
      </c>
      <c r="G1403" s="5" t="n">
        <v>2024</v>
      </c>
      <c r="H1403" s="5" t="inlineStr">
        <is>
          <t>Junio</t>
        </is>
      </c>
      <c r="I1403" s="6" t="inlineStr">
        <is>
          <t>2024-1</t>
        </is>
      </c>
      <c r="J1403" s="5" t="n">
        <v>0</v>
      </c>
      <c r="K1403" s="10" t="n">
        <v>1080</v>
      </c>
      <c r="L1403" s="14">
        <f>IFERROR(IF(OR(J1403=0,K1403=""),"",IF(E1403="Positivo",MIN(MAX(K1403/J1403,0),1.3),MIN(MAX(J1403/K1403,0),1.3))),"") </f>
        <v/>
      </c>
      <c r="M1403" s="14">
        <f>IFERROR(IF(OR(J1403=0,K1403=""),"",IF(E1403="Positivo",MAX(K1403/J1403,0),MAX(J1403/K1403,0))),"") </f>
        <v/>
      </c>
      <c r="N1403" s="5" t="n">
        <v>0</v>
      </c>
      <c r="O1403" s="5" t="inlineStr">
        <is>
          <t>ENT</t>
        </is>
      </c>
      <c r="P1403" s="15" t="n">
        <v>0</v>
      </c>
      <c r="Q1403" s="15" t="n">
        <v>0</v>
      </c>
      <c r="R1403" s="5" t="inlineStr">
        <is>
          <t>278-2024-06-30</t>
        </is>
      </c>
    </row>
    <row r="1404">
      <c r="A1404" s="21" t="n">
        <v>278</v>
      </c>
      <c r="B1404" s="5" t="inlineStr">
        <is>
          <t>Docentes contratados</t>
        </is>
      </c>
      <c r="C1404" s="5" t="inlineStr">
        <is>
          <t>Gestión Docente</t>
        </is>
      </c>
      <c r="D1404" s="5" t="inlineStr">
        <is>
          <t>Semestral</t>
        </is>
      </c>
      <c r="E1404" s="5" t="inlineStr">
        <is>
          <t>Positivo</t>
        </is>
      </c>
      <c r="F1404" s="107" t="n">
        <v>45657</v>
      </c>
      <c r="G1404" s="5" t="n">
        <v>2024</v>
      </c>
      <c r="H1404" s="5" t="inlineStr">
        <is>
          <t>Diciembre</t>
        </is>
      </c>
      <c r="I1404" s="6" t="inlineStr">
        <is>
          <t>2024-2</t>
        </is>
      </c>
      <c r="J1404" s="5" t="n">
        <v>0</v>
      </c>
      <c r="K1404" s="10" t="n">
        <v>1018</v>
      </c>
      <c r="L1404" s="14">
        <f>IFERROR(IF(OR(J1404=0,K1404=""),"",IF(E1404="Positivo",MIN(MAX(K1404/J1404,0),1.3),MIN(MAX(J1404/K1404,0),1.3))),"") </f>
        <v/>
      </c>
      <c r="M1404" s="14">
        <f>IFERROR(IF(OR(J1404=0,K1404=""),"",IF(E1404="Positivo",MAX(K1404/J1404,0),MAX(J1404/K1404,0))),"") </f>
        <v/>
      </c>
      <c r="N1404" s="5" t="n">
        <v>0</v>
      </c>
      <c r="O1404" s="5" t="inlineStr">
        <is>
          <t>ENT</t>
        </is>
      </c>
      <c r="P1404" s="15" t="n">
        <v>0</v>
      </c>
      <c r="Q1404" s="15" t="n">
        <v>0</v>
      </c>
      <c r="R1404" s="5" t="inlineStr">
        <is>
          <t>278-2024-12-31</t>
        </is>
      </c>
    </row>
    <row r="1405">
      <c r="A1405" s="21" t="n">
        <v>278</v>
      </c>
      <c r="B1405" s="5" t="inlineStr">
        <is>
          <t>Docentes contratados - Metrica</t>
        </is>
      </c>
      <c r="C1405" s="5" t="inlineStr">
        <is>
          <t>Gestión Docente</t>
        </is>
      </c>
      <c r="D1405" s="5" t="inlineStr">
        <is>
          <t>Trimestral</t>
        </is>
      </c>
      <c r="E1405" s="5" t="inlineStr">
        <is>
          <t>Positivo</t>
        </is>
      </c>
      <c r="F1405" s="107" t="n">
        <v>45838</v>
      </c>
      <c r="G1405" s="5" t="n">
        <v>2025</v>
      </c>
      <c r="H1405" s="5" t="inlineStr">
        <is>
          <t>Junio</t>
        </is>
      </c>
      <c r="I1405" s="6" t="inlineStr">
        <is>
          <t>2025-1</t>
        </is>
      </c>
      <c r="J1405" s="5" t="n"/>
      <c r="K1405" s="9" t="n">
        <v>1099</v>
      </c>
      <c r="L1405" s="14" t="n"/>
      <c r="M1405" s="14" t="n"/>
      <c r="N1405" s="5" t="inlineStr">
        <is>
          <t>Metrica</t>
        </is>
      </c>
      <c r="O1405" s="5" t="inlineStr">
        <is>
          <t>Metrica</t>
        </is>
      </c>
      <c r="P1405" s="15" t="n">
        <v>0</v>
      </c>
      <c r="Q1405" s="15" t="n">
        <v>0</v>
      </c>
      <c r="R1405" s="5" t="inlineStr">
        <is>
          <t>278-2025-06-30</t>
        </is>
      </c>
      <c r="S1405" t="inlineStr">
        <is>
          <t>Metrica</t>
        </is>
      </c>
    </row>
    <row r="1406">
      <c r="A1406" s="5" t="n">
        <v>278</v>
      </c>
      <c r="B1406" s="5" t="inlineStr">
        <is>
          <t>Docentes contratados - Metrica</t>
        </is>
      </c>
      <c r="C1406" s="5" t="inlineStr">
        <is>
          <t>Gestión Docente</t>
        </is>
      </c>
      <c r="D1406" s="5" t="inlineStr">
        <is>
          <t>Trimestral</t>
        </is>
      </c>
      <c r="E1406" s="5" t="inlineStr">
        <is>
          <t>Positivo</t>
        </is>
      </c>
      <c r="F1406" s="107" t="n">
        <v>46022</v>
      </c>
      <c r="G1406" s="5" t="n">
        <v>2025</v>
      </c>
      <c r="H1406" s="5" t="inlineStr">
        <is>
          <t>Diciembre</t>
        </is>
      </c>
      <c r="I1406" s="6" t="inlineStr">
        <is>
          <t>2025-2</t>
        </is>
      </c>
      <c r="J1406" s="5" t="n"/>
      <c r="K1406" s="5" t="n">
        <v>1071</v>
      </c>
      <c r="L1406" s="14" t="n"/>
      <c r="M1406" s="14" t="n"/>
      <c r="N1406" s="5" t="inlineStr">
        <is>
          <t>Metrica</t>
        </is>
      </c>
      <c r="O1406" s="5" t="inlineStr">
        <is>
          <t>Metrica</t>
        </is>
      </c>
      <c r="P1406" s="5" t="n">
        <v>0</v>
      </c>
      <c r="Q1406" s="5" t="n">
        <v>0</v>
      </c>
      <c r="R1406" s="5" t="inlineStr">
        <is>
          <t>278-2025-12-31</t>
        </is>
      </c>
      <c r="S1406" t="inlineStr">
        <is>
          <t>Metrica</t>
        </is>
      </c>
    </row>
    <row r="1407">
      <c r="A1407" s="21" t="n">
        <v>279</v>
      </c>
      <c r="B1407" s="5" t="inlineStr">
        <is>
          <t>Docentes tiempo completo</t>
        </is>
      </c>
      <c r="C1407" s="5" t="inlineStr">
        <is>
          <t>Gestión Docente</t>
        </is>
      </c>
      <c r="D1407" s="5" t="inlineStr">
        <is>
          <t>Semestral</t>
        </is>
      </c>
      <c r="E1407" s="5" t="inlineStr">
        <is>
          <t>Positivo</t>
        </is>
      </c>
      <c r="F1407" s="107" t="n">
        <v>45107</v>
      </c>
      <c r="G1407" s="5" t="n">
        <v>2023</v>
      </c>
      <c r="H1407" s="5" t="inlineStr">
        <is>
          <t>Junio</t>
        </is>
      </c>
      <c r="I1407" s="6" t="inlineStr">
        <is>
          <t>2023-1</t>
        </is>
      </c>
      <c r="J1407" s="5" t="n"/>
      <c r="K1407" s="10" t="n">
        <v>572</v>
      </c>
      <c r="L1407" s="14" t="n"/>
      <c r="M1407" s="14" t="n"/>
      <c r="N1407" s="5" t="n"/>
      <c r="O1407" s="5" t="n"/>
      <c r="P1407" s="15" t="n">
        <v>0</v>
      </c>
      <c r="Q1407" s="15" t="n">
        <v>0</v>
      </c>
      <c r="R1407" s="5" t="inlineStr">
        <is>
          <t>279-2023-06-30</t>
        </is>
      </c>
    </row>
    <row r="1408">
      <c r="A1408" s="26" t="n">
        <v>280</v>
      </c>
      <c r="B1408" s="5" t="inlineStr">
        <is>
          <t>Docentes medio tiempo</t>
        </is>
      </c>
      <c r="C1408" s="5" t="inlineStr">
        <is>
          <t>Gestión Docente</t>
        </is>
      </c>
      <c r="D1408" s="5" t="inlineStr">
        <is>
          <t>Semestral</t>
        </is>
      </c>
      <c r="E1408" s="5" t="inlineStr">
        <is>
          <t>Positivo</t>
        </is>
      </c>
      <c r="F1408" s="107" t="n">
        <v>45107</v>
      </c>
      <c r="G1408" s="5" t="n">
        <v>2023</v>
      </c>
      <c r="H1408" s="5" t="inlineStr">
        <is>
          <t>Junio</t>
        </is>
      </c>
      <c r="I1408" s="6" t="inlineStr">
        <is>
          <t>2023-1</t>
        </is>
      </c>
      <c r="J1408" s="5" t="n"/>
      <c r="K1408" s="9" t="n">
        <v>203</v>
      </c>
      <c r="L1408" s="14" t="n"/>
      <c r="M1408" s="14" t="n"/>
      <c r="N1408" s="5" t="n"/>
      <c r="O1408" s="5" t="n"/>
      <c r="P1408" s="15" t="n">
        <v>0</v>
      </c>
      <c r="Q1408" s="15" t="n">
        <v>0</v>
      </c>
      <c r="R1408" s="5" t="inlineStr">
        <is>
          <t>280-2023-06-30</t>
        </is>
      </c>
    </row>
    <row r="1409">
      <c r="A1409" s="26" t="n">
        <v>280</v>
      </c>
      <c r="B1409" s="5" t="inlineStr">
        <is>
          <t>Docentes medio tiempo</t>
        </is>
      </c>
      <c r="C1409" s="5" t="inlineStr">
        <is>
          <t>Gestión Docente</t>
        </is>
      </c>
      <c r="D1409" s="5" t="inlineStr">
        <is>
          <t>Semestral</t>
        </is>
      </c>
      <c r="E1409" s="5" t="inlineStr">
        <is>
          <t>Positivo</t>
        </is>
      </c>
      <c r="F1409" s="107" t="n">
        <v>45291</v>
      </c>
      <c r="G1409" s="5" t="n">
        <v>2023</v>
      </c>
      <c r="H1409" s="5" t="inlineStr">
        <is>
          <t>Diciembre</t>
        </is>
      </c>
      <c r="I1409" s="6" t="inlineStr">
        <is>
          <t>2023-2</t>
        </is>
      </c>
      <c r="J1409" s="5" t="n">
        <v>0</v>
      </c>
      <c r="K1409" s="9" t="n">
        <v>186</v>
      </c>
      <c r="L1409" s="14">
        <f>IFERROR(IF(OR(J1409=0,K1409=""),"",IF(E1409="Positivo",MIN(MAX(K1409/J1409,0),1.3),MIN(MAX(J1409/K1409,0),1.3))),"") </f>
        <v/>
      </c>
      <c r="M1409" s="14">
        <f>IFERROR(IF(OR(J1409=0,K1409=""),"",IF(E1409="Positivo",MAX(K1409/J1409,0),MAX(J1409/K1409,0))),"") </f>
        <v/>
      </c>
      <c r="N1409" s="5" t="n"/>
      <c r="O1409" s="5" t="n"/>
      <c r="P1409" s="15" t="n">
        <v>0</v>
      </c>
      <c r="Q1409" s="15" t="n">
        <v>0</v>
      </c>
      <c r="R1409" s="5" t="inlineStr">
        <is>
          <t>280-2023-12-31</t>
        </is>
      </c>
    </row>
    <row r="1410">
      <c r="A1410" s="5" t="n">
        <v>281</v>
      </c>
      <c r="B1410" s="5" t="inlineStr">
        <is>
          <t>Docentes cátedra</t>
        </is>
      </c>
      <c r="C1410" s="5" t="inlineStr">
        <is>
          <t>Gestión Docente</t>
        </is>
      </c>
      <c r="D1410" s="5" t="inlineStr">
        <is>
          <t>Semestral</t>
        </is>
      </c>
      <c r="E1410" s="5" t="inlineStr">
        <is>
          <t>Positivo</t>
        </is>
      </c>
      <c r="F1410" s="107" t="n">
        <v>45107</v>
      </c>
      <c r="G1410" s="5" t="n">
        <v>2023</v>
      </c>
      <c r="H1410" s="5" t="inlineStr">
        <is>
          <t>Junio</t>
        </is>
      </c>
      <c r="I1410" s="6" t="inlineStr">
        <is>
          <t>2023-1</t>
        </is>
      </c>
      <c r="J1410" s="5" t="n"/>
      <c r="K1410" s="5" t="n">
        <v>240</v>
      </c>
      <c r="L1410" s="14" t="n"/>
      <c r="M1410" s="14" t="n"/>
      <c r="N1410" s="5" t="n"/>
      <c r="O1410" s="5" t="n"/>
      <c r="P1410" s="15" t="n">
        <v>0</v>
      </c>
      <c r="Q1410" s="5" t="n">
        <v>0</v>
      </c>
      <c r="R1410" s="5" t="inlineStr">
        <is>
          <t>281-2023-06-30</t>
        </is>
      </c>
    </row>
    <row r="1411">
      <c r="A1411" s="21" t="n">
        <v>281</v>
      </c>
      <c r="B1411" s="5" t="inlineStr">
        <is>
          <t>Docentes cátedra</t>
        </is>
      </c>
      <c r="C1411" s="5" t="inlineStr">
        <is>
          <t>Gestión Docente</t>
        </is>
      </c>
      <c r="D1411" s="5" t="inlineStr">
        <is>
          <t>Semestral</t>
        </is>
      </c>
      <c r="E1411" s="5" t="inlineStr">
        <is>
          <t>Positivo</t>
        </is>
      </c>
      <c r="F1411" s="107" t="n">
        <v>45291</v>
      </c>
      <c r="G1411" s="5" t="n">
        <v>2023</v>
      </c>
      <c r="H1411" s="5" t="inlineStr">
        <is>
          <t>Diciembre</t>
        </is>
      </c>
      <c r="I1411" s="6" t="inlineStr">
        <is>
          <t>2023-2</t>
        </is>
      </c>
      <c r="J1411" s="5" t="n"/>
      <c r="K1411" s="10" t="n">
        <v>223</v>
      </c>
      <c r="L1411" s="14" t="n"/>
      <c r="M1411" s="14" t="n"/>
      <c r="N1411" s="5" t="n"/>
      <c r="O1411" s="5" t="n"/>
      <c r="P1411" s="15" t="n">
        <v>0</v>
      </c>
      <c r="Q1411" s="15" t="n">
        <v>0</v>
      </c>
      <c r="R1411" s="5" t="inlineStr">
        <is>
          <t>281-2023-12-31</t>
        </is>
      </c>
    </row>
    <row r="1412">
      <c r="A1412" s="26" t="n">
        <v>282</v>
      </c>
      <c r="B1412" s="5" t="inlineStr">
        <is>
          <t>Docentes evaluados</t>
        </is>
      </c>
      <c r="C1412" s="5" t="inlineStr">
        <is>
          <t>Gestión Docente</t>
        </is>
      </c>
      <c r="D1412" s="5" t="inlineStr">
        <is>
          <t>Semestral</t>
        </is>
      </c>
      <c r="E1412" s="5" t="inlineStr">
        <is>
          <t>Positivo</t>
        </is>
      </c>
      <c r="F1412" s="107" t="n">
        <v>45107</v>
      </c>
      <c r="G1412" s="5" t="n">
        <v>2023</v>
      </c>
      <c r="H1412" s="5" t="inlineStr">
        <is>
          <t>Junio</t>
        </is>
      </c>
      <c r="I1412" s="6" t="inlineStr">
        <is>
          <t>2023-1</t>
        </is>
      </c>
      <c r="J1412" s="5" t="n">
        <v>96</v>
      </c>
      <c r="K1412" s="9" t="n">
        <v>97.02</v>
      </c>
      <c r="L1412" s="14">
        <f>IFERROR(IF(OR(J1412=0,K1412=""),"",IF(E1412="Positivo",MIN(MAX(K1412/J1412,0),1.3),MIN(MAX(J1412/K1412,0),1.3))),"") </f>
        <v/>
      </c>
      <c r="M1412" s="14">
        <f>IFERROR(IF(OR(J1412=0,K1412=""),"",IF(E1412="Positivo",MAX(K1412/J1412,0),MAX(J1412/K1412,0))),"") </f>
        <v/>
      </c>
      <c r="N1412" s="5" t="inlineStr">
        <is>
          <t>%</t>
        </is>
      </c>
      <c r="O1412" s="5" t="inlineStr">
        <is>
          <t>%</t>
        </is>
      </c>
      <c r="P1412" s="15" t="n">
        <v>0</v>
      </c>
      <c r="Q1412" s="15" t="n">
        <v>0</v>
      </c>
      <c r="R1412" s="5" t="inlineStr">
        <is>
          <t>282-2023-06-30</t>
        </is>
      </c>
    </row>
    <row r="1413">
      <c r="A1413" s="5" t="n">
        <v>282</v>
      </c>
      <c r="B1413" s="5" t="inlineStr">
        <is>
          <t>Docentes evaluados</t>
        </is>
      </c>
      <c r="C1413" s="5" t="inlineStr">
        <is>
          <t>Gestión Docente</t>
        </is>
      </c>
      <c r="D1413" s="5" t="inlineStr">
        <is>
          <t>Semestral</t>
        </is>
      </c>
      <c r="E1413" s="5" t="inlineStr">
        <is>
          <t>Positivo</t>
        </is>
      </c>
      <c r="F1413" s="107" t="n">
        <v>45291</v>
      </c>
      <c r="G1413" s="5" t="n">
        <v>2023</v>
      </c>
      <c r="H1413" s="5" t="inlineStr">
        <is>
          <t>Diciembre</t>
        </is>
      </c>
      <c r="I1413" s="6" t="inlineStr">
        <is>
          <t>2023-2</t>
        </is>
      </c>
      <c r="J1413" s="5" t="n">
        <v>96</v>
      </c>
      <c r="K1413" s="5" t="n">
        <v>97.34</v>
      </c>
      <c r="L1413" s="14">
        <f>IFERROR(IF(OR(J1413=0,K1413=""),"",IF(E1413="Positivo",MIN(MAX(K1413/J1413,0),1.3),MIN(MAX(J1413/K1413,0),1.3))),"") </f>
        <v/>
      </c>
      <c r="M1413" s="14">
        <f>IFERROR(IF(OR(J1413=0,K1413=""),"",IF(E1413="Positivo",MAX(K1413/J1413,0),MAX(J1413/K1413,0))),"") </f>
        <v/>
      </c>
      <c r="N1413" s="5" t="inlineStr">
        <is>
          <t>%</t>
        </is>
      </c>
      <c r="O1413" s="5" t="inlineStr">
        <is>
          <t>%</t>
        </is>
      </c>
      <c r="P1413" s="15" t="n">
        <v>0</v>
      </c>
      <c r="Q1413" s="5" t="n">
        <v>0</v>
      </c>
      <c r="R1413" s="5" t="inlineStr">
        <is>
          <t>282-2023-12-31</t>
        </is>
      </c>
    </row>
    <row r="1414">
      <c r="A1414" s="21" t="n">
        <v>282</v>
      </c>
      <c r="B1414" s="5" t="inlineStr">
        <is>
          <t>Docentes evaluados</t>
        </is>
      </c>
      <c r="C1414" s="5" t="inlineStr">
        <is>
          <t>Gestión Docente</t>
        </is>
      </c>
      <c r="D1414" s="5" t="inlineStr">
        <is>
          <t>Semestral</t>
        </is>
      </c>
      <c r="E1414" s="5" t="inlineStr">
        <is>
          <t>Positivo</t>
        </is>
      </c>
      <c r="F1414" s="107" t="n">
        <v>45473</v>
      </c>
      <c r="G1414" s="5" t="n">
        <v>2024</v>
      </c>
      <c r="H1414" s="5" t="inlineStr">
        <is>
          <t>Junio</t>
        </is>
      </c>
      <c r="I1414" s="6" t="inlineStr">
        <is>
          <t>2024-1</t>
        </is>
      </c>
      <c r="J1414" s="5" t="n">
        <v>97</v>
      </c>
      <c r="K1414" s="10" t="n">
        <v>97.02</v>
      </c>
      <c r="L1414" s="14">
        <f>IFERROR(IF(OR(J1414=0,K1414=""),"",IF(E1414="Positivo",MIN(MAX(K1414/J1414,0),1.3),MIN(MAX(J1414/K1414,0),1.3))),"") </f>
        <v/>
      </c>
      <c r="M1414" s="14">
        <f>IFERROR(IF(OR(J1414=0,K1414=""),"",IF(E1414="Positivo",MAX(K1414/J1414,0),MAX(J1414/K1414,0))),"") </f>
        <v/>
      </c>
      <c r="N1414" s="5" t="inlineStr">
        <is>
          <t>%</t>
        </is>
      </c>
      <c r="O1414" s="5" t="inlineStr">
        <is>
          <t>%</t>
        </is>
      </c>
      <c r="P1414" s="15" t="n">
        <v>0</v>
      </c>
      <c r="Q1414" s="15" t="n">
        <v>0</v>
      </c>
      <c r="R1414" s="5" t="inlineStr">
        <is>
          <t>282-2024-06-30</t>
        </is>
      </c>
    </row>
    <row r="1415">
      <c r="A1415" s="21" t="n">
        <v>282</v>
      </c>
      <c r="B1415" s="5" t="inlineStr">
        <is>
          <t>Docentes evaluados</t>
        </is>
      </c>
      <c r="C1415" s="5" t="inlineStr">
        <is>
          <t>Gestión Docente</t>
        </is>
      </c>
      <c r="D1415" s="5" t="inlineStr">
        <is>
          <t>Semestral</t>
        </is>
      </c>
      <c r="E1415" s="5" t="inlineStr">
        <is>
          <t>Positivo</t>
        </is>
      </c>
      <c r="F1415" s="107" t="n">
        <v>45657</v>
      </c>
      <c r="G1415" s="5" t="n">
        <v>2024</v>
      </c>
      <c r="H1415" s="5" t="inlineStr">
        <is>
          <t>Diciembre</t>
        </is>
      </c>
      <c r="I1415" s="6" t="inlineStr">
        <is>
          <t>2024-2</t>
        </is>
      </c>
      <c r="J1415" s="5" t="n">
        <v>97</v>
      </c>
      <c r="K1415" s="10" t="n">
        <v>96.84</v>
      </c>
      <c r="L1415" s="14">
        <f>IFERROR(IF(OR(J1415=0,K1415=""),"",IF(E1415="Positivo",MIN(MAX(K1415/J1415,0),1.3),MIN(MAX(J1415/K1415,0),1.3))),"") </f>
        <v/>
      </c>
      <c r="M1415" s="14">
        <f>IFERROR(IF(OR(J1415=0,K1415=""),"",IF(E1415="Positivo",MAX(K1415/J1415,0),MAX(J1415/K1415,0))),"") </f>
        <v/>
      </c>
      <c r="N1415" s="5" t="inlineStr">
        <is>
          <t>%</t>
        </is>
      </c>
      <c r="O1415" s="11" t="inlineStr">
        <is>
          <t>%</t>
        </is>
      </c>
      <c r="P1415" s="15" t="n">
        <v>0</v>
      </c>
      <c r="Q1415" s="15" t="n">
        <v>0</v>
      </c>
      <c r="R1415" s="5" t="inlineStr">
        <is>
          <t>282-2024-12-31</t>
        </is>
      </c>
    </row>
    <row r="1416">
      <c r="A1416" s="21" t="n">
        <v>282</v>
      </c>
      <c r="B1416" s="5" t="inlineStr">
        <is>
          <t>Docentes evaluados</t>
        </is>
      </c>
      <c r="C1416" s="5" t="inlineStr">
        <is>
          <t>Gestión Docente</t>
        </is>
      </c>
      <c r="D1416" s="5" t="inlineStr">
        <is>
          <t>Semestral</t>
        </is>
      </c>
      <c r="E1416" s="5" t="inlineStr">
        <is>
          <t>Positivo</t>
        </is>
      </c>
      <c r="F1416" s="107" t="n">
        <v>45838</v>
      </c>
      <c r="G1416" s="5" t="n">
        <v>2025</v>
      </c>
      <c r="H1416" s="5" t="inlineStr">
        <is>
          <t>Junio</t>
        </is>
      </c>
      <c r="I1416" s="6" t="inlineStr">
        <is>
          <t>2025-1</t>
        </is>
      </c>
      <c r="J1416" s="5" t="n">
        <v>97</v>
      </c>
      <c r="K1416" s="10" t="n">
        <v>97.41</v>
      </c>
      <c r="L1416" s="14">
        <f>IFERROR(IF(OR(J1416=0,K1416=""),"",IF(E1416="Positivo",MIN(MAX(K1416/J1416,0),1.3),MIN(MAX(J1416/K1416,0),1.3))),"") </f>
        <v/>
      </c>
      <c r="M1416" s="14">
        <f>IFERROR(IF(OR(J1416=0,K1416=""),"",IF(E1416="Positivo",MAX(K1416/J1416,0),MAX(J1416/K1416,0))),"") </f>
        <v/>
      </c>
      <c r="N1416" s="5" t="inlineStr">
        <is>
          <t>%</t>
        </is>
      </c>
      <c r="O1416" s="11" t="inlineStr">
        <is>
          <t>%</t>
        </is>
      </c>
      <c r="P1416" s="15" t="n">
        <v>0</v>
      </c>
      <c r="Q1416" s="15" t="n">
        <v>0</v>
      </c>
      <c r="R1416" s="5" t="inlineStr">
        <is>
          <t>282-2025-06-30</t>
        </is>
      </c>
    </row>
    <row r="1417">
      <c r="A1417" s="21" t="n">
        <v>282</v>
      </c>
      <c r="B1417" s="5" t="inlineStr">
        <is>
          <t>Docentes evaluados</t>
        </is>
      </c>
      <c r="C1417" s="5" t="inlineStr">
        <is>
          <t>Gestión Docente</t>
        </is>
      </c>
      <c r="D1417" s="5" t="inlineStr">
        <is>
          <t>Trimestral</t>
        </is>
      </c>
      <c r="E1417" s="5" t="inlineStr">
        <is>
          <t>Positivo</t>
        </is>
      </c>
      <c r="F1417" s="107" t="n">
        <v>46022</v>
      </c>
      <c r="G1417" s="5" t="n">
        <v>2025</v>
      </c>
      <c r="H1417" s="5" t="inlineStr">
        <is>
          <t>Diciembre</t>
        </is>
      </c>
      <c r="I1417" s="6" t="inlineStr">
        <is>
          <t>2025-2</t>
        </is>
      </c>
      <c r="J1417" s="5" t="n">
        <v>97</v>
      </c>
      <c r="K1417" s="10" t="n">
        <v>97.56</v>
      </c>
      <c r="L1417" s="14">
        <f>IFERROR(IF(OR(J1417=0,K1417=""),"",IF(E1417="Positivo",MIN(MAX(K1417/J1417,0),1.3),MIN(MAX(J1417/K1417,0),1.3))),"") </f>
        <v/>
      </c>
      <c r="M1417" s="14">
        <f>IFERROR(IF(OR(J1417=0,K1417=""),"",IF(E1417="Positivo",MAX(K1417/J1417,0),MAX(J1417/K1417,0))),"") </f>
        <v/>
      </c>
      <c r="N1417" s="5" t="inlineStr">
        <is>
          <t>%</t>
        </is>
      </c>
      <c r="O1417" s="11" t="inlineStr">
        <is>
          <t>%</t>
        </is>
      </c>
      <c r="P1417" s="15" t="n">
        <v>0</v>
      </c>
      <c r="Q1417" s="15" t="n">
        <v>0</v>
      </c>
      <c r="R1417" s="5" t="inlineStr">
        <is>
          <t>282-2025-12-31</t>
        </is>
      </c>
    </row>
    <row r="1418">
      <c r="A1418" s="21" t="n">
        <v>283</v>
      </c>
      <c r="B1418" s="5" t="inlineStr">
        <is>
          <t>Resultado evaluación docente</t>
        </is>
      </c>
      <c r="C1418" s="5" t="inlineStr">
        <is>
          <t>Gestión Docente</t>
        </is>
      </c>
      <c r="D1418" s="5" t="inlineStr">
        <is>
          <t>Semestral</t>
        </is>
      </c>
      <c r="E1418" s="5" t="inlineStr">
        <is>
          <t>Positivo</t>
        </is>
      </c>
      <c r="F1418" s="107" t="n">
        <v>45107</v>
      </c>
      <c r="G1418" s="5" t="n">
        <v>2023</v>
      </c>
      <c r="H1418" s="5" t="inlineStr">
        <is>
          <t>Junio</t>
        </is>
      </c>
      <c r="I1418" s="6" t="inlineStr">
        <is>
          <t>2023-1</t>
        </is>
      </c>
      <c r="J1418" s="5" t="n">
        <v>4.5</v>
      </c>
      <c r="K1418" s="10" t="n">
        <v>4.6</v>
      </c>
      <c r="L1418" s="14">
        <f>IFERROR(IF(OR(J1418=0,K1418=""),"",IF(E1418="Positivo",MIN(MAX(K1418/J1418,0),1.3),MIN(MAX(J1418/K1418,0),1.3))),"") </f>
        <v/>
      </c>
      <c r="M1418" s="14">
        <f>IFERROR(IF(OR(J1418=0,K1418=""),"",IF(E1418="Positivo",MAX(K1418/J1418,0),MAX(J1418/K1418,0))),"") </f>
        <v/>
      </c>
      <c r="N1418" s="5" t="inlineStr">
        <is>
          <t>%</t>
        </is>
      </c>
      <c r="O1418" s="11" t="inlineStr">
        <is>
          <t>%</t>
        </is>
      </c>
      <c r="P1418" s="15" t="n">
        <v>2</v>
      </c>
      <c r="Q1418" s="15" t="n">
        <v>2</v>
      </c>
      <c r="R1418" s="5" t="inlineStr">
        <is>
          <t>283-2023-06-30</t>
        </is>
      </c>
    </row>
    <row r="1419">
      <c r="A1419" s="21" t="n">
        <v>283</v>
      </c>
      <c r="B1419" s="5" t="inlineStr">
        <is>
          <t>Resultado evaluación docente</t>
        </is>
      </c>
      <c r="C1419" s="5" t="inlineStr">
        <is>
          <t>Gestión Docente</t>
        </is>
      </c>
      <c r="D1419" s="5" t="inlineStr">
        <is>
          <t>Semestral</t>
        </is>
      </c>
      <c r="E1419" s="5" t="inlineStr">
        <is>
          <t>Positivo</t>
        </is>
      </c>
      <c r="F1419" s="107" t="n">
        <v>45291</v>
      </c>
      <c r="G1419" s="5" t="n">
        <v>2023</v>
      </c>
      <c r="H1419" s="5" t="inlineStr">
        <is>
          <t>Diciembre</t>
        </is>
      </c>
      <c r="I1419" s="6" t="inlineStr">
        <is>
          <t>2023-2</t>
        </is>
      </c>
      <c r="J1419" s="5" t="n">
        <v>4.5</v>
      </c>
      <c r="K1419" s="10" t="n">
        <v>4.55</v>
      </c>
      <c r="L1419" s="14">
        <f>IFERROR(IF(OR(J1419=0,K1419=""),"",IF(E1419="Positivo",MIN(MAX(K1419/J1419,0),1.3),MIN(MAX(J1419/K1419,0),1.3))),"") </f>
        <v/>
      </c>
      <c r="M1419" s="14">
        <f>IFERROR(IF(OR(J1419=0,K1419=""),"",IF(E1419="Positivo",MAX(K1419/J1419,0),MAX(J1419/K1419,0))),"") </f>
        <v/>
      </c>
      <c r="N1419" s="5" t="inlineStr">
        <is>
          <t>%</t>
        </is>
      </c>
      <c r="O1419" s="11" t="inlineStr">
        <is>
          <t>%</t>
        </is>
      </c>
      <c r="P1419" s="15" t="n">
        <v>0</v>
      </c>
      <c r="Q1419" s="15" t="n">
        <v>0</v>
      </c>
      <c r="R1419" s="5" t="inlineStr">
        <is>
          <t>283-2023-12-31</t>
        </is>
      </c>
    </row>
    <row r="1420">
      <c r="A1420" s="5" t="n">
        <v>283</v>
      </c>
      <c r="B1420" s="5" t="inlineStr">
        <is>
          <t>Resultado evaluación docente</t>
        </is>
      </c>
      <c r="C1420" s="5" t="inlineStr">
        <is>
          <t>Gestión Docente</t>
        </is>
      </c>
      <c r="D1420" s="5" t="inlineStr">
        <is>
          <t>Semestral</t>
        </is>
      </c>
      <c r="E1420" s="5" t="inlineStr">
        <is>
          <t>Positivo</t>
        </is>
      </c>
      <c r="F1420" s="107" t="n">
        <v>45473</v>
      </c>
      <c r="G1420" s="5" t="n">
        <v>2024</v>
      </c>
      <c r="H1420" s="5" t="inlineStr">
        <is>
          <t>Junio</t>
        </is>
      </c>
      <c r="I1420" s="6" t="inlineStr">
        <is>
          <t>2024-1</t>
        </is>
      </c>
      <c r="J1420" s="5" t="n">
        <v>4.5</v>
      </c>
      <c r="K1420" s="5" t="n">
        <v>4.57</v>
      </c>
      <c r="L1420" s="14">
        <f>IFERROR(IF(OR(J1420=0,K1420=""),"",IF(E1420="Positivo",MIN(MAX(K1420/J1420,0),1.3),MIN(MAX(J1420/K1420,0),1.3))),"") </f>
        <v/>
      </c>
      <c r="M1420" s="14">
        <f>IFERROR(IF(OR(J1420=0,K1420=""),"",IF(E1420="Positivo",MAX(K1420/J1420,0),MAX(J1420/K1420,0))),"") </f>
        <v/>
      </c>
      <c r="N1420" s="5" t="inlineStr">
        <is>
          <t>DEC</t>
        </is>
      </c>
      <c r="O1420" s="11" t="inlineStr">
        <is>
          <t>DEC</t>
        </is>
      </c>
      <c r="P1420" s="5" t="n">
        <v>2</v>
      </c>
      <c r="Q1420" s="5" t="n">
        <v>2</v>
      </c>
      <c r="R1420" s="5" t="inlineStr">
        <is>
          <t>283-2024-06-30</t>
        </is>
      </c>
    </row>
    <row r="1421">
      <c r="A1421" s="21" t="n">
        <v>283</v>
      </c>
      <c r="B1421" s="5" t="inlineStr">
        <is>
          <t>Resultado evaluación docente</t>
        </is>
      </c>
      <c r="C1421" s="5" t="inlineStr">
        <is>
          <t>Gestión Docente</t>
        </is>
      </c>
      <c r="D1421" s="5" t="inlineStr">
        <is>
          <t>Semestral</t>
        </is>
      </c>
      <c r="E1421" s="5" t="inlineStr">
        <is>
          <t>Positivo</t>
        </is>
      </c>
      <c r="F1421" s="107" t="n">
        <v>45657</v>
      </c>
      <c r="G1421" s="5" t="n">
        <v>2024</v>
      </c>
      <c r="H1421" s="5" t="inlineStr">
        <is>
          <t>Diciembre</t>
        </is>
      </c>
      <c r="I1421" s="6" t="inlineStr">
        <is>
          <t>2024-2</t>
        </is>
      </c>
      <c r="J1421" s="5" t="n">
        <v>4.5</v>
      </c>
      <c r="K1421" s="10" t="n">
        <v>4.64</v>
      </c>
      <c r="L1421" s="14">
        <f>IFERROR(IF(OR(J1421=0,K1421=""),"",IF(E1421="Positivo",MIN(MAX(K1421/J1421,0),1.3),MIN(MAX(J1421/K1421,0),1.3))),"") </f>
        <v/>
      </c>
      <c r="M1421" s="14">
        <f>IFERROR(IF(OR(J1421=0,K1421=""),"",IF(E1421="Positivo",MAX(K1421/J1421,0),MAX(J1421/K1421,0))),"") </f>
        <v/>
      </c>
      <c r="N1421" s="5" t="inlineStr">
        <is>
          <t>DEC</t>
        </is>
      </c>
      <c r="O1421" s="11" t="inlineStr">
        <is>
          <t>DEC</t>
        </is>
      </c>
      <c r="P1421" s="15" t="n">
        <v>2</v>
      </c>
      <c r="Q1421" s="15" t="n">
        <v>2</v>
      </c>
      <c r="R1421" s="5" t="inlineStr">
        <is>
          <t>283-2024-12-31</t>
        </is>
      </c>
    </row>
    <row r="1422">
      <c r="A1422" s="21" t="n">
        <v>283</v>
      </c>
      <c r="B1422" s="5" t="inlineStr">
        <is>
          <t>Resultado evaluación docente</t>
        </is>
      </c>
      <c r="C1422" s="5" t="inlineStr">
        <is>
          <t>Gestión Docente</t>
        </is>
      </c>
      <c r="D1422" s="5" t="inlineStr">
        <is>
          <t>Semestral</t>
        </is>
      </c>
      <c r="E1422" s="5" t="inlineStr">
        <is>
          <t>Positivo</t>
        </is>
      </c>
      <c r="F1422" s="107" t="n">
        <v>45838</v>
      </c>
      <c r="G1422" s="5" t="n">
        <v>2025</v>
      </c>
      <c r="H1422" s="5" t="inlineStr">
        <is>
          <t>Junio</t>
        </is>
      </c>
      <c r="I1422" s="6" t="inlineStr">
        <is>
          <t>2025-1</t>
        </is>
      </c>
      <c r="J1422" s="5" t="n">
        <v>4.6</v>
      </c>
      <c r="K1422" s="10" t="n">
        <v>4.66</v>
      </c>
      <c r="L1422" s="14">
        <f>IFERROR(IF(OR(J1422=0,K1422=""),"",IF(E1422="Positivo",MIN(MAX(K1422/J1422,0),1.3),MIN(MAX(J1422/K1422,0),1.3))),"") </f>
        <v/>
      </c>
      <c r="M1422" s="14">
        <f>IFERROR(IF(OR(J1422=0,K1422=""),"",IF(E1422="Positivo",MAX(K1422/J1422,0),MAX(J1422/K1422,0))),"") </f>
        <v/>
      </c>
      <c r="N1422" s="5" t="inlineStr">
        <is>
          <t>DEC</t>
        </is>
      </c>
      <c r="O1422" s="11" t="inlineStr">
        <is>
          <t>DEC</t>
        </is>
      </c>
      <c r="P1422" s="15" t="n">
        <v>1</v>
      </c>
      <c r="Q1422" s="15" t="n">
        <v>2</v>
      </c>
      <c r="R1422" s="5" t="inlineStr">
        <is>
          <t>283-2025-06-30</t>
        </is>
      </c>
    </row>
    <row r="1423">
      <c r="A1423" s="21" t="n">
        <v>283</v>
      </c>
      <c r="B1423" s="5" t="inlineStr">
        <is>
          <t>Resultado evaluación docente</t>
        </is>
      </c>
      <c r="C1423" s="5" t="inlineStr">
        <is>
          <t>Gestión Docente</t>
        </is>
      </c>
      <c r="D1423" s="5" t="inlineStr">
        <is>
          <t>Trimestral</t>
        </is>
      </c>
      <c r="E1423" s="5" t="inlineStr">
        <is>
          <t>Positivo</t>
        </is>
      </c>
      <c r="F1423" s="107" t="n">
        <v>46022</v>
      </c>
      <c r="G1423" s="5" t="n">
        <v>2025</v>
      </c>
      <c r="H1423" s="5" t="inlineStr">
        <is>
          <t>Diciembre</t>
        </is>
      </c>
      <c r="I1423" s="6" t="inlineStr">
        <is>
          <t>2025-2</t>
        </is>
      </c>
      <c r="J1423" s="5" t="n">
        <v>4.6</v>
      </c>
      <c r="K1423" s="10" t="n">
        <v>4.67</v>
      </c>
      <c r="L1423" s="14">
        <f>IFERROR(IF(OR(J1423=0,K1423=""),"",IF(E1423="Positivo",MIN(MAX(K1423/J1423,0),1.3),MIN(MAX(J1423/K1423,0),1.3))),"") </f>
        <v/>
      </c>
      <c r="M1423" s="14">
        <f>IFERROR(IF(OR(J1423=0,K1423=""),"",IF(E1423="Positivo",MAX(K1423/J1423,0),MAX(J1423/K1423,0))),"") </f>
        <v/>
      </c>
      <c r="N1423" s="5" t="inlineStr">
        <is>
          <t>DEC</t>
        </is>
      </c>
      <c r="O1423" s="11" t="inlineStr">
        <is>
          <t>DEC</t>
        </is>
      </c>
      <c r="P1423" s="15" t="n">
        <v>1</v>
      </c>
      <c r="Q1423" s="15" t="n">
        <v>2</v>
      </c>
      <c r="R1423" s="5" t="inlineStr">
        <is>
          <t>283-2025-12-31</t>
        </is>
      </c>
    </row>
    <row r="1424">
      <c r="A1424" s="21" t="n">
        <v>284</v>
      </c>
      <c r="B1424" s="5" t="inlineStr">
        <is>
          <t>Número Horas semanales docentes</t>
        </is>
      </c>
      <c r="C1424" s="5" t="inlineStr">
        <is>
          <t>Gestión Docente</t>
        </is>
      </c>
      <c r="D1424" s="5" t="inlineStr">
        <is>
          <t>Semestral</t>
        </is>
      </c>
      <c r="E1424" s="5" t="inlineStr">
        <is>
          <t>Positivo</t>
        </is>
      </c>
      <c r="F1424" s="107" t="n">
        <v>45107</v>
      </c>
      <c r="G1424" s="5" t="n">
        <v>2023</v>
      </c>
      <c r="H1424" s="5" t="inlineStr">
        <is>
          <t>Junio</t>
        </is>
      </c>
      <c r="I1424" s="6" t="inlineStr">
        <is>
          <t>2023-1</t>
        </is>
      </c>
      <c r="J1424" s="5" t="n"/>
      <c r="K1424" s="10" t="n">
        <v>15047</v>
      </c>
      <c r="L1424" s="14" t="n"/>
      <c r="M1424" s="14" t="n"/>
      <c r="N1424" s="5" t="inlineStr">
        <is>
          <t>DEC</t>
        </is>
      </c>
      <c r="O1424" s="11" t="inlineStr">
        <is>
          <t>DEC</t>
        </is>
      </c>
      <c r="P1424" s="15" t="n">
        <v>0</v>
      </c>
      <c r="Q1424" s="15" t="n">
        <v>0</v>
      </c>
      <c r="R1424" s="5" t="inlineStr">
        <is>
          <t>284-2023-06-30</t>
        </is>
      </c>
    </row>
    <row r="1425">
      <c r="A1425" s="21" t="n">
        <v>284</v>
      </c>
      <c r="B1425" s="5" t="inlineStr">
        <is>
          <t>Número Horas semanales docentes</t>
        </is>
      </c>
      <c r="C1425" s="5" t="inlineStr">
        <is>
          <t>Gestión Docente</t>
        </is>
      </c>
      <c r="D1425" s="5" t="inlineStr">
        <is>
          <t>Semestral</t>
        </is>
      </c>
      <c r="E1425" s="5" t="inlineStr">
        <is>
          <t>Positivo</t>
        </is>
      </c>
      <c r="F1425" s="107" t="n">
        <v>45291</v>
      </c>
      <c r="G1425" s="5" t="n">
        <v>2023</v>
      </c>
      <c r="H1425" s="5" t="inlineStr">
        <is>
          <t>Diciembre</t>
        </is>
      </c>
      <c r="I1425" s="6" t="inlineStr">
        <is>
          <t>2023-2</t>
        </is>
      </c>
      <c r="J1425" s="5" t="n"/>
      <c r="K1425" s="10" t="n">
        <v>16281</v>
      </c>
      <c r="L1425" s="14" t="n"/>
      <c r="M1425" s="14" t="n"/>
      <c r="N1425" s="5" t="inlineStr">
        <is>
          <t>DEC</t>
        </is>
      </c>
      <c r="O1425" s="11" t="inlineStr">
        <is>
          <t>DEC</t>
        </is>
      </c>
      <c r="P1425" s="15" t="n">
        <v>0</v>
      </c>
      <c r="Q1425" s="15" t="n">
        <v>0</v>
      </c>
      <c r="R1425" s="5" t="inlineStr">
        <is>
          <t>284-2023-12-31</t>
        </is>
      </c>
    </row>
    <row r="1426">
      <c r="A1426" s="21" t="n">
        <v>285</v>
      </c>
      <c r="B1426" s="5" t="inlineStr">
        <is>
          <t>Docentes con plan de trabajo asignado</t>
        </is>
      </c>
      <c r="C1426" s="5" t="inlineStr">
        <is>
          <t>Gestión Docente</t>
        </is>
      </c>
      <c r="D1426" s="5" t="inlineStr">
        <is>
          <t>Semestral</t>
        </is>
      </c>
      <c r="E1426" s="5" t="inlineStr">
        <is>
          <t>Positivo</t>
        </is>
      </c>
      <c r="F1426" s="107" t="n">
        <v>45107</v>
      </c>
      <c r="G1426" s="5" t="n">
        <v>2023</v>
      </c>
      <c r="H1426" s="5" t="inlineStr">
        <is>
          <t>Junio</t>
        </is>
      </c>
      <c r="I1426" s="6" t="inlineStr">
        <is>
          <t>2023-1</t>
        </is>
      </c>
      <c r="J1426" s="5" t="n">
        <v>100</v>
      </c>
      <c r="K1426" s="10" t="n">
        <v>100</v>
      </c>
      <c r="L1426" s="14">
        <f>IFERROR(IF(OR(J1426=0,K1426=""),"",IF(E1426="Positivo",MIN(MAX(K1426/J1426,0),1.3),MIN(MAX(J1426/K1426,0),1.3))),"") </f>
        <v/>
      </c>
      <c r="M1426" s="14">
        <f>IFERROR(IF(OR(J1426=0,K1426=""),"",IF(E1426="Positivo",MAX(K1426/J1426,0),MAX(J1426/K1426,0))),"") </f>
        <v/>
      </c>
      <c r="N1426" s="5" t="inlineStr">
        <is>
          <t>%</t>
        </is>
      </c>
      <c r="O1426" s="11" t="inlineStr">
        <is>
          <t>%</t>
        </is>
      </c>
      <c r="P1426" s="15" t="n">
        <v>0</v>
      </c>
      <c r="Q1426" s="15" t="n">
        <v>0</v>
      </c>
      <c r="R1426" s="5" t="inlineStr">
        <is>
          <t>285-2023-06-30</t>
        </is>
      </c>
    </row>
    <row r="1427">
      <c r="A1427" s="5" t="n">
        <v>285</v>
      </c>
      <c r="B1427" s="5" t="inlineStr">
        <is>
          <t>Docentes con plan de trabajo asignado</t>
        </is>
      </c>
      <c r="C1427" s="5" t="inlineStr">
        <is>
          <t>Gestión Docente</t>
        </is>
      </c>
      <c r="D1427" s="5" t="inlineStr">
        <is>
          <t>Semestral</t>
        </is>
      </c>
      <c r="E1427" s="5" t="inlineStr">
        <is>
          <t>Positivo</t>
        </is>
      </c>
      <c r="F1427" s="107" t="n">
        <v>45291</v>
      </c>
      <c r="G1427" s="5" t="n">
        <v>2023</v>
      </c>
      <c r="H1427" s="5" t="inlineStr">
        <is>
          <t>Diciembre</t>
        </is>
      </c>
      <c r="I1427" s="6" t="inlineStr">
        <is>
          <t>2023-2</t>
        </is>
      </c>
      <c r="J1427" s="5" t="n">
        <v>100</v>
      </c>
      <c r="K1427" s="5" t="n">
        <v>100</v>
      </c>
      <c r="L1427" s="14">
        <f>IFERROR(IF(OR(J1427=0,K1427=""),"",IF(E1427="Positivo",MIN(MAX(K1427/J1427,0),1.3),MIN(MAX(J1427/K1427,0),1.3))),"") </f>
        <v/>
      </c>
      <c r="M1427" s="14">
        <f>IFERROR(IF(OR(J1427=0,K1427=""),"",IF(E1427="Positivo",MAX(K1427/J1427,0),MAX(J1427/K1427,0))),"") </f>
        <v/>
      </c>
      <c r="N1427" s="5" t="inlineStr">
        <is>
          <t>%</t>
        </is>
      </c>
      <c r="O1427" s="5" t="inlineStr">
        <is>
          <t>%</t>
        </is>
      </c>
      <c r="P1427" s="5" t="n">
        <v>0</v>
      </c>
      <c r="Q1427" s="5" t="n">
        <v>0</v>
      </c>
      <c r="R1427" s="5" t="inlineStr">
        <is>
          <t>285-2023-12-31</t>
        </is>
      </c>
    </row>
    <row r="1428">
      <c r="A1428" s="21" t="n">
        <v>285</v>
      </c>
      <c r="B1428" s="5" t="inlineStr">
        <is>
          <t>Docentes con plan de trabajo asignado</t>
        </is>
      </c>
      <c r="C1428" s="5" t="inlineStr">
        <is>
          <t>Gestión Docente</t>
        </is>
      </c>
      <c r="D1428" s="5" t="inlineStr">
        <is>
          <t>Semestral</t>
        </is>
      </c>
      <c r="E1428" s="5" t="inlineStr">
        <is>
          <t>Positivo</t>
        </is>
      </c>
      <c r="F1428" s="107" t="n">
        <v>45473</v>
      </c>
      <c r="G1428" s="5" t="n">
        <v>2024</v>
      </c>
      <c r="H1428" s="5" t="inlineStr">
        <is>
          <t>Junio</t>
        </is>
      </c>
      <c r="I1428" s="6" t="inlineStr">
        <is>
          <t>2024-1</t>
        </is>
      </c>
      <c r="J1428" s="5" t="n">
        <v>100</v>
      </c>
      <c r="K1428" s="10" t="n">
        <v>100</v>
      </c>
      <c r="L1428" s="14">
        <f>IFERROR(IF(OR(J1428=0,K1428=""),"",IF(E1428="Positivo",MIN(MAX(K1428/J1428,0),1.3),MIN(MAX(J1428/K1428,0),1.3))),"") </f>
        <v/>
      </c>
      <c r="M1428" s="14">
        <f>IFERROR(IF(OR(J1428=0,K1428=""),"",IF(E1428="Positivo",MAX(K1428/J1428,0),MAX(J1428/K1428,0))),"") </f>
        <v/>
      </c>
      <c r="N1428" s="5" t="inlineStr">
        <is>
          <t>%</t>
        </is>
      </c>
      <c r="O1428" s="5" t="inlineStr">
        <is>
          <t>%</t>
        </is>
      </c>
      <c r="P1428" s="15" t="n">
        <v>0</v>
      </c>
      <c r="Q1428" s="15" t="n">
        <v>0</v>
      </c>
      <c r="R1428" s="5" t="inlineStr">
        <is>
          <t>285-2024-06-30</t>
        </is>
      </c>
    </row>
    <row r="1429">
      <c r="A1429" s="5" t="n">
        <v>285</v>
      </c>
      <c r="B1429" s="5" t="inlineStr">
        <is>
          <t>Docentes con plan de trabajo asignado</t>
        </is>
      </c>
      <c r="C1429" s="5" t="inlineStr">
        <is>
          <t>Gestión Docente</t>
        </is>
      </c>
      <c r="D1429" s="5" t="inlineStr">
        <is>
          <t>Semestral</t>
        </is>
      </c>
      <c r="E1429" s="5" t="inlineStr">
        <is>
          <t>Positivo</t>
        </is>
      </c>
      <c r="F1429" s="107" t="n">
        <v>45657</v>
      </c>
      <c r="G1429" s="5" t="n">
        <v>2024</v>
      </c>
      <c r="H1429" s="5" t="inlineStr">
        <is>
          <t>Diciembre</t>
        </is>
      </c>
      <c r="I1429" s="6" t="inlineStr">
        <is>
          <t>2024-2</t>
        </is>
      </c>
      <c r="J1429" s="5" t="n">
        <v>100</v>
      </c>
      <c r="K1429" s="5" t="n">
        <v>100</v>
      </c>
      <c r="L1429" s="14">
        <f>IFERROR(IF(OR(J1429=0,K1429=""),"",IF(E1429="Positivo",MIN(MAX(K1429/J1429,0),1.3),MIN(MAX(J1429/K1429,0),1.3))),"") </f>
        <v/>
      </c>
      <c r="M1429" s="14">
        <f>IFERROR(IF(OR(J1429=0,K1429=""),"",IF(E1429="Positivo",MAX(K1429/J1429,0),MAX(J1429/K1429,0))),"") </f>
        <v/>
      </c>
      <c r="N1429" s="5" t="inlineStr">
        <is>
          <t>%</t>
        </is>
      </c>
      <c r="O1429" s="5" t="inlineStr">
        <is>
          <t>%</t>
        </is>
      </c>
      <c r="P1429" s="5" t="n">
        <v>0</v>
      </c>
      <c r="Q1429" s="5" t="n">
        <v>0</v>
      </c>
      <c r="R1429" s="5" t="inlineStr">
        <is>
          <t>285-2024-12-31</t>
        </is>
      </c>
    </row>
    <row r="1430">
      <c r="A1430" s="21" t="n">
        <v>285</v>
      </c>
      <c r="B1430" s="5" t="inlineStr">
        <is>
          <t>Docentes con plan de trabajo asignado</t>
        </is>
      </c>
      <c r="C1430" s="5" t="inlineStr">
        <is>
          <t>Gestión Docente</t>
        </is>
      </c>
      <c r="D1430" s="5" t="inlineStr">
        <is>
          <t>Semestral</t>
        </is>
      </c>
      <c r="E1430" s="5" t="inlineStr">
        <is>
          <t>Positivo</t>
        </is>
      </c>
      <c r="F1430" s="107" t="n">
        <v>45838</v>
      </c>
      <c r="G1430" s="5" t="n">
        <v>2025</v>
      </c>
      <c r="H1430" s="5" t="inlineStr">
        <is>
          <t>Junio</t>
        </is>
      </c>
      <c r="I1430" s="6" t="inlineStr">
        <is>
          <t>2025-1</t>
        </is>
      </c>
      <c r="J1430" s="5" t="n">
        <v>100</v>
      </c>
      <c r="K1430" s="10" t="n">
        <v>100</v>
      </c>
      <c r="L1430" s="14">
        <f>IFERROR(IF(OR(J1430=0,K1430=""),"",IF(E1430="Positivo",MIN(MAX(K1430/J1430,0),1.3),MIN(MAX(J1430/K1430,0),1.3))),"") </f>
        <v/>
      </c>
      <c r="M1430" s="14">
        <f>IFERROR(IF(OR(J1430=0,K1430=""),"",IF(E1430="Positivo",MAX(K1430/J1430,0),MAX(J1430/K1430,0))),"") </f>
        <v/>
      </c>
      <c r="N1430" s="5" t="inlineStr">
        <is>
          <t>%</t>
        </is>
      </c>
      <c r="O1430" s="5" t="inlineStr">
        <is>
          <t>%</t>
        </is>
      </c>
      <c r="P1430" s="15" t="n">
        <v>0</v>
      </c>
      <c r="Q1430" s="15" t="n">
        <v>0</v>
      </c>
      <c r="R1430" s="5" t="inlineStr">
        <is>
          <t>285-2025-06-30</t>
        </is>
      </c>
    </row>
    <row r="1431">
      <c r="A1431" s="21" t="n">
        <v>285</v>
      </c>
      <c r="B1431" s="5" t="inlineStr">
        <is>
          <t>Docentes con plan de trabajo asignado</t>
        </is>
      </c>
      <c r="C1431" s="5" t="inlineStr">
        <is>
          <t>Gestión Docente</t>
        </is>
      </c>
      <c r="D1431" s="5" t="inlineStr">
        <is>
          <t>Trimestral</t>
        </is>
      </c>
      <c r="E1431" s="5" t="inlineStr">
        <is>
          <t>Positivo</t>
        </is>
      </c>
      <c r="F1431" s="107" t="n">
        <v>46022</v>
      </c>
      <c r="G1431" s="5" t="n">
        <v>2025</v>
      </c>
      <c r="H1431" s="5" t="inlineStr">
        <is>
          <t>Diciembre</t>
        </is>
      </c>
      <c r="I1431" s="6" t="inlineStr">
        <is>
          <t>2025-2</t>
        </is>
      </c>
      <c r="J1431" s="5" t="n">
        <v>100</v>
      </c>
      <c r="K1431" s="10" t="n">
        <v>100</v>
      </c>
      <c r="L1431" s="14">
        <f>IFERROR(IF(OR(J1431=0,K1431=""),"",IF(E1431="Positivo",MIN(MAX(K1431/J1431,0),1.3),MIN(MAX(J1431/K1431,0),1.3))),"") </f>
        <v/>
      </c>
      <c r="M1431" s="14">
        <f>IFERROR(IF(OR(J1431=0,K1431=""),"",IF(E1431="Positivo",MAX(K1431/J1431,0),MAX(J1431/K1431,0))),"") </f>
        <v/>
      </c>
      <c r="N1431" s="5" t="inlineStr">
        <is>
          <t>%</t>
        </is>
      </c>
      <c r="O1431" s="5" t="inlineStr">
        <is>
          <t>%</t>
        </is>
      </c>
      <c r="P1431" s="15" t="n">
        <v>0</v>
      </c>
      <c r="Q1431" s="15" t="n">
        <v>0</v>
      </c>
      <c r="R1431" s="5" t="inlineStr">
        <is>
          <t>285-2025-12-31</t>
        </is>
      </c>
    </row>
    <row r="1432">
      <c r="A1432" s="5" t="n">
        <v>286</v>
      </c>
      <c r="B1432" s="5" t="inlineStr">
        <is>
          <t>Total docentes por nivel de estudios</t>
        </is>
      </c>
      <c r="C1432" s="5" t="inlineStr">
        <is>
          <t>Gestión Docente</t>
        </is>
      </c>
      <c r="D1432" s="5" t="inlineStr">
        <is>
          <t>Semestral</t>
        </is>
      </c>
      <c r="E1432" s="5" t="inlineStr">
        <is>
          <t>Positivo</t>
        </is>
      </c>
      <c r="F1432" s="107" t="n">
        <v>45107</v>
      </c>
      <c r="G1432" s="5" t="n">
        <v>2023</v>
      </c>
      <c r="H1432" s="5" t="inlineStr">
        <is>
          <t>Junio</t>
        </is>
      </c>
      <c r="I1432" s="6" t="inlineStr">
        <is>
          <t>2023-1</t>
        </is>
      </c>
      <c r="J1432" s="5" t="n"/>
      <c r="K1432" s="5" t="n">
        <v>1015</v>
      </c>
      <c r="L1432" s="14" t="n"/>
      <c r="M1432" s="14" t="n"/>
      <c r="N1432" s="5" t="inlineStr">
        <is>
          <t>%</t>
        </is>
      </c>
      <c r="O1432" s="5" t="inlineStr">
        <is>
          <t>%</t>
        </is>
      </c>
      <c r="P1432" s="5" t="n">
        <v>0</v>
      </c>
      <c r="Q1432" s="5" t="n">
        <v>0</v>
      </c>
      <c r="R1432" s="5" t="inlineStr">
        <is>
          <t>286-2023-06-30</t>
        </is>
      </c>
    </row>
    <row r="1433">
      <c r="A1433" s="21" t="n">
        <v>286</v>
      </c>
      <c r="B1433" s="5" t="inlineStr">
        <is>
          <t>Total docentes por nivel de estudios</t>
        </is>
      </c>
      <c r="C1433" s="5" t="inlineStr">
        <is>
          <t>Gestión Docente</t>
        </is>
      </c>
      <c r="D1433" s="5" t="inlineStr">
        <is>
          <t>Semestral</t>
        </is>
      </c>
      <c r="E1433" s="5" t="inlineStr">
        <is>
          <t>Positivo</t>
        </is>
      </c>
      <c r="F1433" s="107" t="n">
        <v>45291</v>
      </c>
      <c r="G1433" s="5" t="n">
        <v>2023</v>
      </c>
      <c r="H1433" s="5" t="inlineStr">
        <is>
          <t>Diciembre</t>
        </is>
      </c>
      <c r="I1433" s="6" t="inlineStr">
        <is>
          <t>2023-2</t>
        </is>
      </c>
      <c r="J1433" s="5" t="n"/>
      <c r="K1433" s="10" t="n">
        <v>1017</v>
      </c>
      <c r="L1433" s="14" t="n"/>
      <c r="M1433" s="14" t="n"/>
      <c r="N1433" s="5" t="inlineStr">
        <is>
          <t>%</t>
        </is>
      </c>
      <c r="O1433" s="5" t="inlineStr">
        <is>
          <t>%</t>
        </is>
      </c>
      <c r="P1433" s="15" t="n">
        <v>0</v>
      </c>
      <c r="Q1433" s="15" t="n">
        <v>0</v>
      </c>
      <c r="R1433" s="5" t="inlineStr">
        <is>
          <t>286-2023-12-31</t>
        </is>
      </c>
    </row>
    <row r="1434">
      <c r="A1434" s="5" t="n">
        <v>286</v>
      </c>
      <c r="B1434" s="5" t="inlineStr">
        <is>
          <t>Total docentes por nivel de estudios</t>
        </is>
      </c>
      <c r="C1434" s="5" t="inlineStr">
        <is>
          <t>Gestión Docente</t>
        </is>
      </c>
      <c r="D1434" s="5" t="inlineStr">
        <is>
          <t>Semestral</t>
        </is>
      </c>
      <c r="E1434" s="5" t="inlineStr">
        <is>
          <t>Positivo</t>
        </is>
      </c>
      <c r="F1434" s="107" t="n">
        <v>45473</v>
      </c>
      <c r="G1434" s="5" t="n">
        <v>2024</v>
      </c>
      <c r="H1434" s="5" t="inlineStr">
        <is>
          <t>Junio</t>
        </is>
      </c>
      <c r="I1434" s="6" t="inlineStr">
        <is>
          <t>2024-1</t>
        </is>
      </c>
      <c r="J1434" s="5" t="n">
        <v>0</v>
      </c>
      <c r="K1434" s="5" t="n">
        <v>1080</v>
      </c>
      <c r="L1434" s="14">
        <f>IFERROR(IF(OR(J1434=0,K1434=""),"",IF(E1434="Positivo",MIN(MAX(K1434/J1434,0),1.3),MIN(MAX(J1434/K1434,0),1.3))),"") </f>
        <v/>
      </c>
      <c r="M1434" s="14">
        <f>IFERROR(IF(OR(J1434=0,K1434=""),"",IF(E1434="Positivo",MAX(K1434/J1434,0),MAX(J1434/K1434,0))),"") </f>
        <v/>
      </c>
      <c r="N1434" s="5" t="n">
        <v>0</v>
      </c>
      <c r="O1434" s="5" t="inlineStr">
        <is>
          <t>ENT</t>
        </is>
      </c>
      <c r="P1434" s="5" t="n">
        <v>0</v>
      </c>
      <c r="Q1434" s="5" t="n">
        <v>0</v>
      </c>
      <c r="R1434" s="5" t="inlineStr">
        <is>
          <t>286-2024-06-30</t>
        </is>
      </c>
    </row>
    <row r="1435">
      <c r="A1435" s="21" t="n">
        <v>286</v>
      </c>
      <c r="B1435" s="5" t="inlineStr">
        <is>
          <t>Total docentes por nivel de estudios</t>
        </is>
      </c>
      <c r="C1435" s="5" t="inlineStr">
        <is>
          <t>Gestión Docente</t>
        </is>
      </c>
      <c r="D1435" s="5" t="inlineStr">
        <is>
          <t>Semestral</t>
        </is>
      </c>
      <c r="E1435" s="5" t="inlineStr">
        <is>
          <t>Positivo</t>
        </is>
      </c>
      <c r="F1435" s="107" t="n">
        <v>45657</v>
      </c>
      <c r="G1435" s="5" t="n">
        <v>2024</v>
      </c>
      <c r="H1435" s="5" t="inlineStr">
        <is>
          <t>Diciembre</t>
        </is>
      </c>
      <c r="I1435" s="6" t="inlineStr">
        <is>
          <t>2024-2</t>
        </is>
      </c>
      <c r="J1435" s="5" t="n">
        <v>0</v>
      </c>
      <c r="K1435" s="10" t="n">
        <v>1018</v>
      </c>
      <c r="L1435" s="14">
        <f>IFERROR(IF(OR(J1435=0,K1435=""),"",IF(E1435="Positivo",MIN(MAX(K1435/J1435,0),1.3),MIN(MAX(J1435/K1435,0),1.3))),"") </f>
        <v/>
      </c>
      <c r="M1435" s="14">
        <f>IFERROR(IF(OR(J1435=0,K1435=""),"",IF(E1435="Positivo",MAX(K1435/J1435,0),MAX(J1435/K1435,0))),"") </f>
        <v/>
      </c>
      <c r="N1435" s="5" t="n">
        <v>0</v>
      </c>
      <c r="O1435" s="5" t="inlineStr">
        <is>
          <t>ENT</t>
        </is>
      </c>
      <c r="P1435" s="15" t="n">
        <v>0</v>
      </c>
      <c r="Q1435" s="15" t="n">
        <v>0</v>
      </c>
      <c r="R1435" s="5" t="inlineStr">
        <is>
          <t>286-2024-12-31</t>
        </is>
      </c>
    </row>
    <row r="1436">
      <c r="A1436" s="5" t="n">
        <v>286</v>
      </c>
      <c r="B1436" s="5" t="inlineStr">
        <is>
          <t>Total docentes por nivel de estudios - Metrica</t>
        </is>
      </c>
      <c r="C1436" s="5" t="inlineStr">
        <is>
          <t>Gestión Docente</t>
        </is>
      </c>
      <c r="D1436" s="5" t="inlineStr">
        <is>
          <t>Trimestral</t>
        </is>
      </c>
      <c r="E1436" s="5" t="inlineStr">
        <is>
          <t>Positivo</t>
        </is>
      </c>
      <c r="F1436" s="107" t="n">
        <v>45838</v>
      </c>
      <c r="G1436" s="5" t="n">
        <v>2025</v>
      </c>
      <c r="H1436" s="5" t="inlineStr">
        <is>
          <t>Junio</t>
        </is>
      </c>
      <c r="I1436" s="6" t="inlineStr">
        <is>
          <t>2025-1</t>
        </is>
      </c>
      <c r="J1436" s="5" t="n"/>
      <c r="K1436" s="5" t="n">
        <v>1099</v>
      </c>
      <c r="L1436" s="14" t="n"/>
      <c r="M1436" s="14" t="n"/>
      <c r="N1436" s="5" t="inlineStr">
        <is>
          <t>Metrica</t>
        </is>
      </c>
      <c r="O1436" s="5" t="inlineStr">
        <is>
          <t>Metrica</t>
        </is>
      </c>
      <c r="P1436" s="5" t="n">
        <v>0</v>
      </c>
      <c r="Q1436" s="5" t="n">
        <v>0</v>
      </c>
      <c r="R1436" s="5" t="inlineStr">
        <is>
          <t>286-2025-06-30</t>
        </is>
      </c>
      <c r="S1436" t="inlineStr">
        <is>
          <t>Metrica</t>
        </is>
      </c>
    </row>
    <row r="1437">
      <c r="A1437" s="21" t="n">
        <v>286</v>
      </c>
      <c r="B1437" s="5" t="inlineStr">
        <is>
          <t>Total docentes por nivel de estudios - Metrica</t>
        </is>
      </c>
      <c r="C1437" s="5" t="inlineStr">
        <is>
          <t>Gestión Docente</t>
        </is>
      </c>
      <c r="D1437" s="5" t="inlineStr">
        <is>
          <t>Trimestral</t>
        </is>
      </c>
      <c r="E1437" s="5" t="inlineStr">
        <is>
          <t>Positivo</t>
        </is>
      </c>
      <c r="F1437" s="107" t="n">
        <v>46022</v>
      </c>
      <c r="G1437" s="5" t="n">
        <v>2025</v>
      </c>
      <c r="H1437" s="5" t="inlineStr">
        <is>
          <t>Diciembre</t>
        </is>
      </c>
      <c r="I1437" s="6" t="inlineStr">
        <is>
          <t>2025-2</t>
        </is>
      </c>
      <c r="J1437" s="5" t="n"/>
      <c r="K1437" s="10" t="n">
        <v>1071</v>
      </c>
      <c r="L1437" s="14" t="n"/>
      <c r="M1437" s="14" t="n"/>
      <c r="N1437" s="5" t="inlineStr">
        <is>
          <t>Metrica</t>
        </is>
      </c>
      <c r="O1437" s="5" t="inlineStr">
        <is>
          <t>Metrica</t>
        </is>
      </c>
      <c r="P1437" s="15" t="n">
        <v>0</v>
      </c>
      <c r="Q1437" s="15" t="n">
        <v>0</v>
      </c>
      <c r="R1437" s="5" t="inlineStr">
        <is>
          <t>286-2025-12-31</t>
        </is>
      </c>
      <c r="S1437" t="inlineStr">
        <is>
          <t>Metrica</t>
        </is>
      </c>
    </row>
    <row r="1438">
      <c r="A1438" s="21" t="n">
        <v>288</v>
      </c>
      <c r="B1438" s="5" t="inlineStr">
        <is>
          <t>Número docentes escalafonados presentados en convocatoria</t>
        </is>
      </c>
      <c r="C1438" s="5" t="inlineStr">
        <is>
          <t>Gestión Docente</t>
        </is>
      </c>
      <c r="D1438" s="5" t="inlineStr">
        <is>
          <t>Semestral</t>
        </is>
      </c>
      <c r="E1438" s="5" t="inlineStr">
        <is>
          <t>Positivo</t>
        </is>
      </c>
      <c r="F1438" s="107" t="n">
        <v>45107</v>
      </c>
      <c r="G1438" s="5" t="n">
        <v>2023</v>
      </c>
      <c r="H1438" s="5" t="inlineStr">
        <is>
          <t>Junio</t>
        </is>
      </c>
      <c r="I1438" s="6" t="inlineStr">
        <is>
          <t>2023-1</t>
        </is>
      </c>
      <c r="J1438" s="5" t="n">
        <v>85</v>
      </c>
      <c r="K1438" s="10" t="n">
        <v>112.5</v>
      </c>
      <c r="L1438" s="14">
        <f>IFERROR(IF(OR(J1438=0,K1438=""),"",IF(E1438="Positivo",MIN(MAX(K1438/J1438,0),1.3),MIN(MAX(J1438/K1438,0),1.3))),"") </f>
        <v/>
      </c>
      <c r="M1438" s="14">
        <f>IFERROR(IF(OR(J1438=0,K1438=""),"",IF(E1438="Positivo",MAX(K1438/J1438,0),MAX(J1438/K1438,0))),"") </f>
        <v/>
      </c>
      <c r="N1438" s="5" t="n">
        <v>0</v>
      </c>
      <c r="O1438" s="5" t="inlineStr">
        <is>
          <t>ENT</t>
        </is>
      </c>
      <c r="P1438" s="15" t="n">
        <v>0</v>
      </c>
      <c r="Q1438" s="15" t="n">
        <v>0</v>
      </c>
      <c r="R1438" s="5" t="inlineStr">
        <is>
          <t>288-2023-06-30</t>
        </is>
      </c>
    </row>
    <row r="1439">
      <c r="A1439" s="21" t="n">
        <v>288</v>
      </c>
      <c r="B1439" s="5" t="inlineStr">
        <is>
          <t>Número docentes escalafonados presentados en convocatoria</t>
        </is>
      </c>
      <c r="C1439" s="5" t="inlineStr">
        <is>
          <t>Gestión Docente</t>
        </is>
      </c>
      <c r="D1439" s="5" t="inlineStr">
        <is>
          <t>Semestral</t>
        </is>
      </c>
      <c r="E1439" s="5" t="inlineStr">
        <is>
          <t>Positivo</t>
        </is>
      </c>
      <c r="F1439" s="107" t="n">
        <v>45291</v>
      </c>
      <c r="G1439" s="5" t="n">
        <v>2023</v>
      </c>
      <c r="H1439" s="5" t="inlineStr">
        <is>
          <t>Diciembre</t>
        </is>
      </c>
      <c r="I1439" s="6" t="inlineStr">
        <is>
          <t>2023-2</t>
        </is>
      </c>
      <c r="J1439" s="5" t="n">
        <v>85</v>
      </c>
      <c r="K1439" s="10" t="n">
        <v>112.5</v>
      </c>
      <c r="L1439" s="14">
        <f>IFERROR(IF(OR(J1439=0,K1439=""),"",IF(E1439="Positivo",MIN(MAX(K1439/J1439,0),1.3),MIN(MAX(J1439/K1439,0),1.3))),"") </f>
        <v/>
      </c>
      <c r="M1439" s="14">
        <f>IFERROR(IF(OR(J1439=0,K1439=""),"",IF(E1439="Positivo",MAX(K1439/J1439,0),MAX(J1439/K1439,0))),"") </f>
        <v/>
      </c>
      <c r="N1439" s="5" t="n">
        <v>0</v>
      </c>
      <c r="O1439" s="5" t="inlineStr">
        <is>
          <t>ENT</t>
        </is>
      </c>
      <c r="P1439" s="15" t="n">
        <v>0</v>
      </c>
      <c r="Q1439" s="15" t="n">
        <v>0</v>
      </c>
      <c r="R1439" s="5" t="inlineStr">
        <is>
          <t>288-2023-12-31</t>
        </is>
      </c>
    </row>
    <row r="1440">
      <c r="A1440" s="21" t="n">
        <v>288</v>
      </c>
      <c r="B1440" s="5" t="inlineStr">
        <is>
          <t>Número docentes escalafonados presentados en convocatoria</t>
        </is>
      </c>
      <c r="C1440" s="5" t="inlineStr">
        <is>
          <t>Gestión Docente</t>
        </is>
      </c>
      <c r="D1440" s="5" t="inlineStr">
        <is>
          <t>Semestral</t>
        </is>
      </c>
      <c r="E1440" s="5" t="inlineStr">
        <is>
          <t>Positivo</t>
        </is>
      </c>
      <c r="F1440" s="107" t="n">
        <v>45473</v>
      </c>
      <c r="G1440" s="5" t="n">
        <v>2024</v>
      </c>
      <c r="H1440" s="5" t="inlineStr">
        <is>
          <t>Junio</t>
        </is>
      </c>
      <c r="I1440" s="6" t="inlineStr">
        <is>
          <t>2024-1</t>
        </is>
      </c>
      <c r="J1440" s="5" t="n">
        <v>85</v>
      </c>
      <c r="K1440" s="10" t="n">
        <v>185.71428571429</v>
      </c>
      <c r="L1440" s="14">
        <f>IFERROR(IF(OR(J1440=0,K1440=""),"",IF(E1440="Positivo",MIN(MAX(K1440/J1440,0),1.3),MIN(MAX(J1440/K1440,0),1.3))),"") </f>
        <v/>
      </c>
      <c r="M1440" s="14">
        <f>IFERROR(IF(OR(J1440=0,K1440=""),"",IF(E1440="Positivo",MAX(K1440/J1440,0),MAX(J1440/K1440,0))),"") </f>
        <v/>
      </c>
      <c r="N1440" s="5" t="inlineStr">
        <is>
          <t>ENT</t>
        </is>
      </c>
      <c r="O1440" s="5" t="inlineStr">
        <is>
          <t>ENT</t>
        </is>
      </c>
      <c r="P1440" s="15" t="n">
        <v>0</v>
      </c>
      <c r="Q1440" s="15" t="n">
        <v>0</v>
      </c>
      <c r="R1440" s="5" t="inlineStr">
        <is>
          <t>288-2024-06-30</t>
        </is>
      </c>
    </row>
    <row r="1441">
      <c r="A1441" s="5" t="n">
        <v>288</v>
      </c>
      <c r="B1441" s="5" t="inlineStr">
        <is>
          <t>Número docentes escalafonados presentados en convocatoria</t>
        </is>
      </c>
      <c r="C1441" s="5" t="inlineStr">
        <is>
          <t>Gestión Docente</t>
        </is>
      </c>
      <c r="D1441" s="5" t="inlineStr">
        <is>
          <t>Anual</t>
        </is>
      </c>
      <c r="E1441" s="5" t="inlineStr">
        <is>
          <t>Positivo</t>
        </is>
      </c>
      <c r="F1441" s="107" t="n">
        <v>45657</v>
      </c>
      <c r="G1441" s="5" t="n">
        <v>2024</v>
      </c>
      <c r="H1441" s="5" t="inlineStr">
        <is>
          <t>Diciembre</t>
        </is>
      </c>
      <c r="I1441" s="6" t="inlineStr">
        <is>
          <t>2024-2</t>
        </is>
      </c>
      <c r="J1441" s="5" t="n">
        <v>85</v>
      </c>
      <c r="K1441" s="5" t="n">
        <v>0</v>
      </c>
      <c r="L1441" s="14">
        <f>IFERROR(IF(OR(J1441=0,K1441=""),"",IF(E1441="Positivo",MIN(MAX(K1441/J1441,0),1.3),MIN(MAX(J1441/K1441,0),1.3))),"") </f>
        <v/>
      </c>
      <c r="M1441" s="14">
        <f>IFERROR(IF(OR(J1441=0,K1441=""),"",IF(E1441="Positivo",MAX(K1441/J1441,0),MAX(J1441/K1441,0))),"") </f>
        <v/>
      </c>
      <c r="N1441" s="5" t="inlineStr">
        <is>
          <t>ENT</t>
        </is>
      </c>
      <c r="O1441" s="5" t="inlineStr">
        <is>
          <t>ENT</t>
        </is>
      </c>
      <c r="P1441" s="5" t="n">
        <v>0</v>
      </c>
      <c r="Q1441" s="5" t="n">
        <v>0</v>
      </c>
      <c r="R1441" s="5" t="inlineStr">
        <is>
          <t>288-2024-12-31</t>
        </is>
      </c>
    </row>
    <row r="1442">
      <c r="A1442" s="21" t="n">
        <v>288</v>
      </c>
      <c r="B1442" s="5" t="inlineStr">
        <is>
          <t>Número docentes escalafonados presentados en convocatoria</t>
        </is>
      </c>
      <c r="C1442" s="5" t="inlineStr">
        <is>
          <t>Gestión Docente</t>
        </is>
      </c>
      <c r="D1442" s="5" t="inlineStr">
        <is>
          <t>Anual</t>
        </is>
      </c>
      <c r="E1442" s="5" t="inlineStr">
        <is>
          <t>Positivo</t>
        </is>
      </c>
      <c r="F1442" s="107" t="n">
        <v>45838</v>
      </c>
      <c r="G1442" s="5" t="n">
        <v>2025</v>
      </c>
      <c r="H1442" s="5" t="inlineStr">
        <is>
          <t>Junio</t>
        </is>
      </c>
      <c r="I1442" s="6" t="inlineStr">
        <is>
          <t>2025-1</t>
        </is>
      </c>
      <c r="J1442" s="5" t="n">
        <v>100</v>
      </c>
      <c r="K1442" s="10" t="n">
        <v>100</v>
      </c>
      <c r="L1442" s="14">
        <f>IFERROR(IF(OR(J1442=0,K1442=""),"",IF(E1442="Positivo",MIN(MAX(K1442/J1442,0),1.3),MIN(MAX(J1442/K1442,0),1.3))),"") </f>
        <v/>
      </c>
      <c r="M1442" s="14">
        <f>IFERROR(IF(OR(J1442=0,K1442=""),"",IF(E1442="Positivo",MAX(K1442/J1442,0),MAX(J1442/K1442,0))),"") </f>
        <v/>
      </c>
      <c r="N1442" s="5" t="inlineStr">
        <is>
          <t>ENT</t>
        </is>
      </c>
      <c r="O1442" s="5" t="inlineStr">
        <is>
          <t>ENT</t>
        </is>
      </c>
      <c r="P1442" s="15" t="n">
        <v>0</v>
      </c>
      <c r="Q1442" s="15" t="n">
        <v>0</v>
      </c>
      <c r="R1442" s="5" t="inlineStr">
        <is>
          <t>288-2025-06-30</t>
        </is>
      </c>
    </row>
    <row r="1443">
      <c r="A1443" s="21" t="n">
        <v>289</v>
      </c>
      <c r="B1443" s="5" t="inlineStr">
        <is>
          <t>Cumplimiento plan de comunicaciones SGC</t>
        </is>
      </c>
      <c r="C1443" s="5" t="inlineStr">
        <is>
          <t>Gestión de calidad</t>
        </is>
      </c>
      <c r="D1443" s="5" t="inlineStr">
        <is>
          <t>Trimestral</t>
        </is>
      </c>
      <c r="E1443" s="5" t="inlineStr">
        <is>
          <t>Positivo</t>
        </is>
      </c>
      <c r="F1443" s="107" t="n">
        <v>45107</v>
      </c>
      <c r="G1443" s="5" t="n">
        <v>2023</v>
      </c>
      <c r="H1443" s="5" t="inlineStr">
        <is>
          <t>Junio</t>
        </is>
      </c>
      <c r="I1443" s="6" t="inlineStr">
        <is>
          <t>2023-1</t>
        </is>
      </c>
      <c r="J1443" s="5" t="n">
        <v>95</v>
      </c>
      <c r="K1443" s="10" t="n">
        <v>85.71428571428601</v>
      </c>
      <c r="L1443" s="14">
        <f>IFERROR(IF(OR(J1443=0,K1443=""),"",IF(E1443="Positivo",MIN(MAX(K1443/J1443,0),1.3),MIN(MAX(J1443/K1443,0),1.3))),"") </f>
        <v/>
      </c>
      <c r="M1443" s="14">
        <f>IFERROR(IF(OR(J1443=0,K1443=""),"",IF(E1443="Positivo",MAX(K1443/J1443,0),MAX(J1443/K1443,0))),"") </f>
        <v/>
      </c>
      <c r="N1443" s="5" t="inlineStr">
        <is>
          <t>%</t>
        </is>
      </c>
      <c r="O1443" s="5" t="inlineStr">
        <is>
          <t>%</t>
        </is>
      </c>
      <c r="P1443" s="15" t="n">
        <v>1</v>
      </c>
      <c r="Q1443" s="15" t="n">
        <v>1</v>
      </c>
      <c r="R1443" s="5" t="inlineStr">
        <is>
          <t>289-2023-06-30</t>
        </is>
      </c>
    </row>
    <row r="1444">
      <c r="A1444" s="21" t="n">
        <v>289</v>
      </c>
      <c r="B1444" s="5" t="inlineStr">
        <is>
          <t>Cumplimiento plan de comunicaciones SGC</t>
        </is>
      </c>
      <c r="C1444" s="5" t="inlineStr">
        <is>
          <t>Gestión de calidad</t>
        </is>
      </c>
      <c r="D1444" s="5" t="inlineStr">
        <is>
          <t>Trimestral</t>
        </is>
      </c>
      <c r="E1444" s="5" t="inlineStr">
        <is>
          <t>Positivo</t>
        </is>
      </c>
      <c r="F1444" s="107" t="n">
        <v>45199</v>
      </c>
      <c r="G1444" s="5" t="n">
        <v>2023</v>
      </c>
      <c r="H1444" s="5" t="inlineStr">
        <is>
          <t>Septiembre</t>
        </is>
      </c>
      <c r="I1444" s="6" t="inlineStr">
        <is>
          <t>2023-2</t>
        </is>
      </c>
      <c r="J1444" s="5" t="n">
        <v>95</v>
      </c>
      <c r="K1444" s="10" t="n">
        <v>87.5</v>
      </c>
      <c r="L1444" s="14">
        <f>IFERROR(IF(OR(J1444=0,K1444=""),"",IF(E1444="Positivo",MIN(MAX(K1444/J1444,0),1.3),MIN(MAX(J1444/K1444,0),1.3))),"") </f>
        <v/>
      </c>
      <c r="M1444" s="14">
        <f>IFERROR(IF(OR(J1444=0,K1444=""),"",IF(E1444="Positivo",MAX(K1444/J1444,0),MAX(J1444/K1444,0))),"") </f>
        <v/>
      </c>
      <c r="N1444" s="5" t="inlineStr">
        <is>
          <t>%</t>
        </is>
      </c>
      <c r="O1444" s="5" t="inlineStr">
        <is>
          <t>%</t>
        </is>
      </c>
      <c r="P1444" s="15" t="n">
        <v>1</v>
      </c>
      <c r="Q1444" s="15" t="n">
        <v>1</v>
      </c>
      <c r="R1444" s="5" t="inlineStr">
        <is>
          <t>289-2023-09-30</t>
        </is>
      </c>
    </row>
    <row r="1445">
      <c r="A1445" s="5" t="n">
        <v>289</v>
      </c>
      <c r="B1445" s="5" t="inlineStr">
        <is>
          <t>Cumplimiento plan de comunicaciones SGC</t>
        </is>
      </c>
      <c r="C1445" s="5" t="inlineStr">
        <is>
          <t>Gestión de calidad</t>
        </is>
      </c>
      <c r="D1445" s="5" t="inlineStr">
        <is>
          <t>Trimestral</t>
        </is>
      </c>
      <c r="E1445" s="5" t="inlineStr">
        <is>
          <t>Positivo</t>
        </is>
      </c>
      <c r="F1445" s="107" t="n">
        <v>45473</v>
      </c>
      <c r="G1445" s="5" t="n">
        <v>2024</v>
      </c>
      <c r="H1445" s="5" t="inlineStr">
        <is>
          <t>Junio</t>
        </is>
      </c>
      <c r="I1445" s="6" t="inlineStr">
        <is>
          <t>2024-1</t>
        </is>
      </c>
      <c r="J1445" s="5" t="n">
        <v>95</v>
      </c>
      <c r="K1445" s="5" t="n">
        <v>100</v>
      </c>
      <c r="L1445" s="14">
        <f>IFERROR(IF(OR(J1445=0,K1445=""),"",IF(E1445="Positivo",MIN(MAX(K1445/J1445,0),1.3),MIN(MAX(J1445/K1445,0),1.3))),"") </f>
        <v/>
      </c>
      <c r="M1445" s="14">
        <f>IFERROR(IF(OR(J1445=0,K1445=""),"",IF(E1445="Positivo",MAX(K1445/J1445,0),MAX(J1445/K1445,0))),"") </f>
        <v/>
      </c>
      <c r="N1445" s="5" t="inlineStr">
        <is>
          <t>%</t>
        </is>
      </c>
      <c r="O1445" s="5" t="inlineStr">
        <is>
          <t>%</t>
        </is>
      </c>
      <c r="P1445" s="5" t="n">
        <v>0</v>
      </c>
      <c r="Q1445" s="5" t="n">
        <v>0</v>
      </c>
      <c r="R1445" s="5" t="inlineStr">
        <is>
          <t>289-2024-06-30</t>
        </is>
      </c>
    </row>
    <row r="1446">
      <c r="A1446" s="21" t="n">
        <v>289</v>
      </c>
      <c r="B1446" s="5" t="inlineStr">
        <is>
          <t>Cumplimiento plan de comunicaciones SGC</t>
        </is>
      </c>
      <c r="C1446" s="5" t="inlineStr">
        <is>
          <t>Gestión de calidad</t>
        </is>
      </c>
      <c r="D1446" s="5" t="inlineStr">
        <is>
          <t>Trimestral</t>
        </is>
      </c>
      <c r="E1446" s="5" t="inlineStr">
        <is>
          <t>Positivo</t>
        </is>
      </c>
      <c r="F1446" s="107" t="n">
        <v>45565</v>
      </c>
      <c r="G1446" s="5" t="n">
        <v>2024</v>
      </c>
      <c r="H1446" s="5" t="inlineStr">
        <is>
          <t>Septiembre</t>
        </is>
      </c>
      <c r="I1446" s="6" t="inlineStr">
        <is>
          <t>2024-2</t>
        </is>
      </c>
      <c r="J1446" s="5" t="n">
        <v>95</v>
      </c>
      <c r="K1446" s="10" t="n">
        <v>80</v>
      </c>
      <c r="L1446" s="14">
        <f>IFERROR(IF(OR(J1446=0,K1446=""),"",IF(E1446="Positivo",MIN(MAX(K1446/J1446,0),1.3),MIN(MAX(J1446/K1446,0),1.3))),"") </f>
        <v/>
      </c>
      <c r="M1446" s="14">
        <f>IFERROR(IF(OR(J1446=0,K1446=""),"",IF(E1446="Positivo",MAX(K1446/J1446,0),MAX(J1446/K1446,0))),"") </f>
        <v/>
      </c>
      <c r="N1446" s="5" t="inlineStr">
        <is>
          <t>%</t>
        </is>
      </c>
      <c r="O1446" s="5" t="inlineStr">
        <is>
          <t>%</t>
        </is>
      </c>
      <c r="P1446" s="15" t="n">
        <v>0</v>
      </c>
      <c r="Q1446" s="15" t="n">
        <v>0</v>
      </c>
      <c r="R1446" s="5" t="inlineStr">
        <is>
          <t>289-2024-09-30</t>
        </is>
      </c>
    </row>
    <row r="1447">
      <c r="A1447" s="21" t="n">
        <v>289</v>
      </c>
      <c r="B1447" s="5" t="inlineStr">
        <is>
          <t>Cumplimiento plan de comunicaciones SGC</t>
        </is>
      </c>
      <c r="C1447" s="5" t="inlineStr">
        <is>
          <t>Gestión de calidad</t>
        </is>
      </c>
      <c r="D1447" s="5" t="inlineStr">
        <is>
          <t>Trimestral</t>
        </is>
      </c>
      <c r="E1447" s="5" t="inlineStr">
        <is>
          <t>Positivo</t>
        </is>
      </c>
      <c r="F1447" s="107" t="n">
        <v>45657</v>
      </c>
      <c r="G1447" s="5" t="n">
        <v>2024</v>
      </c>
      <c r="H1447" s="5" t="inlineStr">
        <is>
          <t>Diciembre</t>
        </is>
      </c>
      <c r="I1447" s="6" t="inlineStr">
        <is>
          <t>2024-2</t>
        </is>
      </c>
      <c r="J1447" s="5" t="n">
        <v>95</v>
      </c>
      <c r="K1447" s="10" t="n">
        <v>100</v>
      </c>
      <c r="L1447" s="14">
        <f>IFERROR(IF(OR(J1447=0,K1447=""),"",IF(E1447="Positivo",MIN(MAX(K1447/J1447,0),1.3),MIN(MAX(J1447/K1447,0),1.3))),"") </f>
        <v/>
      </c>
      <c r="M1447" s="14">
        <f>IFERROR(IF(OR(J1447=0,K1447=""),"",IF(E1447="Positivo",MAX(K1447/J1447,0),MAX(J1447/K1447,0))),"") </f>
        <v/>
      </c>
      <c r="N1447" s="5" t="inlineStr">
        <is>
          <t>%</t>
        </is>
      </c>
      <c r="O1447" s="5" t="inlineStr">
        <is>
          <t>%</t>
        </is>
      </c>
      <c r="P1447" s="15" t="n">
        <v>0</v>
      </c>
      <c r="Q1447" s="15" t="n">
        <v>0</v>
      </c>
      <c r="R1447" s="5" t="inlineStr">
        <is>
          <t>289-2024-12-31</t>
        </is>
      </c>
    </row>
    <row r="1448">
      <c r="A1448" s="21" t="n">
        <v>290</v>
      </c>
      <c r="B1448" s="5" t="inlineStr">
        <is>
          <t>Cierre eficaz de las oportunidades de mejora</t>
        </is>
      </c>
      <c r="C1448" s="5" t="inlineStr">
        <is>
          <t>Planificación POLISIGS</t>
        </is>
      </c>
      <c r="D1448" s="5" t="inlineStr">
        <is>
          <t>Bimestral</t>
        </is>
      </c>
      <c r="E1448" s="5" t="inlineStr">
        <is>
          <t>Positivo</t>
        </is>
      </c>
      <c r="F1448" s="107" t="n">
        <v>45107</v>
      </c>
      <c r="G1448" s="5" t="n">
        <v>2023</v>
      </c>
      <c r="H1448" s="5" t="inlineStr">
        <is>
          <t>Junio</t>
        </is>
      </c>
      <c r="I1448" s="6" t="inlineStr">
        <is>
          <t>2023-1</t>
        </is>
      </c>
      <c r="J1448" s="5" t="n">
        <v>90</v>
      </c>
      <c r="K1448" s="10" t="n">
        <v>100</v>
      </c>
      <c r="L1448" s="14">
        <f>IFERROR(IF(OR(J1448=0,K1448=""),"",IF(E1448="Positivo",MIN(MAX(K1448/J1448,0),1.3),MIN(MAX(J1448/K1448,0),1.3))),"") </f>
        <v/>
      </c>
      <c r="M1448" s="14">
        <f>IFERROR(IF(OR(J1448=0,K1448=""),"",IF(E1448="Positivo",MAX(K1448/J1448,0),MAX(J1448/K1448,0))),"") </f>
        <v/>
      </c>
      <c r="N1448" s="5" t="inlineStr">
        <is>
          <t>%</t>
        </is>
      </c>
      <c r="O1448" s="5" t="inlineStr">
        <is>
          <t>%</t>
        </is>
      </c>
      <c r="P1448" s="15" t="n">
        <v>0</v>
      </c>
      <c r="Q1448" s="15" t="n">
        <v>0</v>
      </c>
      <c r="R1448" s="5" t="inlineStr">
        <is>
          <t>290-2023-06-30</t>
        </is>
      </c>
    </row>
    <row r="1449">
      <c r="A1449" s="21" t="n">
        <v>290</v>
      </c>
      <c r="B1449" s="5" t="inlineStr">
        <is>
          <t>Cierre eficaz de las oportunidades de mejora</t>
        </is>
      </c>
      <c r="C1449" s="5" t="inlineStr">
        <is>
          <t>Planificación POLISIGS</t>
        </is>
      </c>
      <c r="D1449" s="5" t="inlineStr">
        <is>
          <t>Bimestral</t>
        </is>
      </c>
      <c r="E1449" s="5" t="inlineStr">
        <is>
          <t>Positivo</t>
        </is>
      </c>
      <c r="F1449" s="107" t="n">
        <v>45168</v>
      </c>
      <c r="G1449" s="5" t="n">
        <v>2023</v>
      </c>
      <c r="H1449" s="5" t="inlineStr">
        <is>
          <t>Agosto</t>
        </is>
      </c>
      <c r="I1449" s="6" t="inlineStr">
        <is>
          <t>2023-2</t>
        </is>
      </c>
      <c r="J1449" s="5" t="n">
        <v>90</v>
      </c>
      <c r="K1449" s="10" t="n">
        <v>81.81999999999999</v>
      </c>
      <c r="L1449" s="14">
        <f>IFERROR(IF(OR(J1449=0,K1449=""),"",IF(E1449="Positivo",MIN(MAX(K1449/J1449,0),1.3),MIN(MAX(J1449/K1449,0),1.3))),"") </f>
        <v/>
      </c>
      <c r="M1449" s="14">
        <f>IFERROR(IF(OR(J1449=0,K1449=""),"",IF(E1449="Positivo",MAX(K1449/J1449,0),MAX(J1449/K1449,0))),"") </f>
        <v/>
      </c>
      <c r="N1449" s="5" t="inlineStr">
        <is>
          <t>%</t>
        </is>
      </c>
      <c r="O1449" s="5" t="inlineStr">
        <is>
          <t>%</t>
        </is>
      </c>
      <c r="P1449" s="15" t="n">
        <v>0</v>
      </c>
      <c r="Q1449" s="15" t="n">
        <v>0</v>
      </c>
      <c r="R1449" s="5" t="inlineStr">
        <is>
          <t>290-2023-08-30</t>
        </is>
      </c>
    </row>
    <row r="1450">
      <c r="A1450" s="21" t="n">
        <v>290</v>
      </c>
      <c r="B1450" s="5" t="inlineStr">
        <is>
          <t>Cierre eficaz de las oportunidades de mejora</t>
        </is>
      </c>
      <c r="C1450" s="5" t="inlineStr">
        <is>
          <t>Planificación POLISIGS</t>
        </is>
      </c>
      <c r="D1450" s="5" t="inlineStr">
        <is>
          <t>Bimestral</t>
        </is>
      </c>
      <c r="E1450" s="5" t="inlineStr">
        <is>
          <t>Positivo</t>
        </is>
      </c>
      <c r="F1450" s="107" t="n">
        <v>45230</v>
      </c>
      <c r="G1450" s="5" t="n">
        <v>2023</v>
      </c>
      <c r="H1450" s="5" t="inlineStr">
        <is>
          <t>Octubre</t>
        </is>
      </c>
      <c r="I1450" s="6" t="inlineStr">
        <is>
          <t>2023-2</t>
        </is>
      </c>
      <c r="J1450" s="5" t="n">
        <v>90</v>
      </c>
      <c r="K1450" s="10" t="n">
        <v>90.91</v>
      </c>
      <c r="L1450" s="14">
        <f>IFERROR(IF(OR(J1450=0,K1450=""),"",IF(E1450="Positivo",MIN(MAX(K1450/J1450,0),1.3),MIN(MAX(J1450/K1450,0),1.3))),"") </f>
        <v/>
      </c>
      <c r="M1450" s="14">
        <f>IFERROR(IF(OR(J1450=0,K1450=""),"",IF(E1450="Positivo",MAX(K1450/J1450,0),MAX(J1450/K1450,0))),"") </f>
        <v/>
      </c>
      <c r="N1450" s="5" t="inlineStr">
        <is>
          <t>%</t>
        </is>
      </c>
      <c r="O1450" s="5" t="inlineStr">
        <is>
          <t>%</t>
        </is>
      </c>
      <c r="P1450" s="15" t="n">
        <v>0</v>
      </c>
      <c r="Q1450" s="15" t="n">
        <v>0</v>
      </c>
      <c r="R1450" s="5" t="inlineStr">
        <is>
          <t>290-2023-10-31</t>
        </is>
      </c>
    </row>
    <row r="1451">
      <c r="A1451" s="21" t="n">
        <v>290</v>
      </c>
      <c r="B1451" s="5" t="inlineStr">
        <is>
          <t>Cierre eficaz de las oportunidades de mejora</t>
        </is>
      </c>
      <c r="C1451" s="5" t="inlineStr">
        <is>
          <t>Planificación POLISIGS</t>
        </is>
      </c>
      <c r="D1451" s="5" t="inlineStr">
        <is>
          <t>Bimestral</t>
        </is>
      </c>
      <c r="E1451" s="5" t="inlineStr">
        <is>
          <t>Positivo</t>
        </is>
      </c>
      <c r="F1451" s="107" t="n">
        <v>45291</v>
      </c>
      <c r="G1451" s="5" t="n">
        <v>2023</v>
      </c>
      <c r="H1451" s="5" t="inlineStr">
        <is>
          <t>Diciembre</t>
        </is>
      </c>
      <c r="I1451" s="6" t="inlineStr">
        <is>
          <t>2023-2</t>
        </is>
      </c>
      <c r="J1451" s="5" t="n">
        <v>90</v>
      </c>
      <c r="K1451" s="10" t="n">
        <v>80</v>
      </c>
      <c r="L1451" s="14">
        <f>IFERROR(IF(OR(J1451=0,K1451=""),"",IF(E1451="Positivo",MIN(MAX(K1451/J1451,0),1.3),MIN(MAX(J1451/K1451,0),1.3))),"") </f>
        <v/>
      </c>
      <c r="M1451" s="14">
        <f>IFERROR(IF(OR(J1451=0,K1451=""),"",IF(E1451="Positivo",MAX(K1451/J1451,0),MAX(J1451/K1451,0))),"") </f>
        <v/>
      </c>
      <c r="N1451" s="5" t="inlineStr">
        <is>
          <t>%</t>
        </is>
      </c>
      <c r="O1451" s="5" t="inlineStr">
        <is>
          <t>%</t>
        </is>
      </c>
      <c r="P1451" s="15" t="n">
        <v>0</v>
      </c>
      <c r="Q1451" s="15" t="n">
        <v>0</v>
      </c>
      <c r="R1451" s="5" t="inlineStr">
        <is>
          <t>290-2023-12-31</t>
        </is>
      </c>
    </row>
    <row r="1452">
      <c r="A1452" s="5" t="n">
        <v>290</v>
      </c>
      <c r="B1452" s="5" t="inlineStr">
        <is>
          <t>Cierre eficaz de las oportunidades de mejora</t>
        </is>
      </c>
      <c r="C1452" s="5" t="inlineStr">
        <is>
          <t>Planificación POLISIGS</t>
        </is>
      </c>
      <c r="D1452" s="5" t="inlineStr">
        <is>
          <t>Bimestral</t>
        </is>
      </c>
      <c r="E1452" s="5" t="inlineStr">
        <is>
          <t>Positivo</t>
        </is>
      </c>
      <c r="F1452" s="107" t="n">
        <v>45351</v>
      </c>
      <c r="G1452" s="5" t="n">
        <v>2024</v>
      </c>
      <c r="H1452" s="5" t="inlineStr">
        <is>
          <t>Febrero</t>
        </is>
      </c>
      <c r="I1452" s="6" t="inlineStr">
        <is>
          <t>2024-1</t>
        </is>
      </c>
      <c r="J1452" s="5" t="n">
        <v>90</v>
      </c>
      <c r="K1452" s="5" t="n">
        <v>91.666666666667</v>
      </c>
      <c r="L1452" s="14">
        <f>IFERROR(IF(OR(J1452=0,K1452=""),"",IF(E1452="Positivo",MIN(MAX(K1452/J1452,0),1.3),MIN(MAX(J1452/K1452,0),1.3))),"") </f>
        <v/>
      </c>
      <c r="M1452" s="14">
        <f>IFERROR(IF(OR(J1452=0,K1452=""),"",IF(E1452="Positivo",MAX(K1452/J1452,0),MAX(J1452/K1452,0))),"") </f>
        <v/>
      </c>
      <c r="N1452" s="5" t="n"/>
      <c r="O1452" s="5" t="n"/>
      <c r="P1452" s="5" t="n">
        <v>0</v>
      </c>
      <c r="Q1452" s="5" t="n">
        <v>0</v>
      </c>
      <c r="R1452" s="5" t="inlineStr">
        <is>
          <t>290-2024-02-29</t>
        </is>
      </c>
    </row>
    <row r="1453">
      <c r="A1453" s="21" t="n">
        <v>290</v>
      </c>
      <c r="B1453" s="5" t="inlineStr">
        <is>
          <t>Cierre eficaz de las oportunidades de mejora</t>
        </is>
      </c>
      <c r="C1453" s="5" t="inlineStr">
        <is>
          <t>Planificación POLISIGS</t>
        </is>
      </c>
      <c r="D1453" s="5" t="inlineStr">
        <is>
          <t>Bimestral</t>
        </is>
      </c>
      <c r="E1453" s="5" t="inlineStr">
        <is>
          <t>Positivo</t>
        </is>
      </c>
      <c r="F1453" s="107" t="n">
        <v>45412</v>
      </c>
      <c r="G1453" s="5" t="n">
        <v>2024</v>
      </c>
      <c r="H1453" s="5" t="inlineStr">
        <is>
          <t>Abril</t>
        </is>
      </c>
      <c r="I1453" s="6" t="inlineStr">
        <is>
          <t>2024-1</t>
        </is>
      </c>
      <c r="J1453" s="5" t="n">
        <v>90</v>
      </c>
      <c r="K1453" s="10" t="n">
        <v>100</v>
      </c>
      <c r="L1453" s="14">
        <f>IFERROR(IF(OR(J1453=0,K1453=""),"",IF(E1453="Positivo",MIN(MAX(K1453/J1453,0),1.3),MIN(MAX(J1453/K1453,0),1.3))),"") </f>
        <v/>
      </c>
      <c r="M1453" s="14">
        <f>IFERROR(IF(OR(J1453=0,K1453=""),"",IF(E1453="Positivo",MAX(K1453/J1453,0),MAX(J1453/K1453,0))),"") </f>
        <v/>
      </c>
      <c r="N1453" s="5" t="n"/>
      <c r="O1453" s="5" t="n"/>
      <c r="P1453" s="15" t="n">
        <v>0</v>
      </c>
      <c r="Q1453" s="15" t="n">
        <v>0</v>
      </c>
      <c r="R1453" s="5" t="inlineStr">
        <is>
          <t>290-2024-04-30</t>
        </is>
      </c>
    </row>
    <row r="1454">
      <c r="A1454" s="5" t="n">
        <v>290</v>
      </c>
      <c r="B1454" s="5" t="inlineStr">
        <is>
          <t>Cierre eficaz de las oportunidades de mejora</t>
        </is>
      </c>
      <c r="C1454" s="5" t="inlineStr">
        <is>
          <t>Planificación POLISIGS</t>
        </is>
      </c>
      <c r="D1454" s="5" t="inlineStr">
        <is>
          <t>Bimestral</t>
        </is>
      </c>
      <c r="E1454" s="5" t="inlineStr">
        <is>
          <t>Positivo</t>
        </is>
      </c>
      <c r="F1454" s="107" t="n">
        <v>45473</v>
      </c>
      <c r="G1454" s="5" t="n">
        <v>2024</v>
      </c>
      <c r="H1454" s="5" t="inlineStr">
        <is>
          <t>Junio</t>
        </is>
      </c>
      <c r="I1454" s="6" t="inlineStr">
        <is>
          <t>2024-1</t>
        </is>
      </c>
      <c r="J1454" s="5" t="n">
        <v>90</v>
      </c>
      <c r="K1454" s="5" t="n">
        <v>100</v>
      </c>
      <c r="L1454" s="14">
        <f>IFERROR(IF(OR(J1454=0,K1454=""),"",IF(E1454="Positivo",MIN(MAX(K1454/J1454,0),1.3),MIN(MAX(J1454/K1454,0),1.3))),"") </f>
        <v/>
      </c>
      <c r="M1454" s="14">
        <f>IFERROR(IF(OR(J1454=0,K1454=""),"",IF(E1454="Positivo",MAX(K1454/J1454,0),MAX(J1454/K1454,0))),"") </f>
        <v/>
      </c>
      <c r="N1454" s="5" t="n"/>
      <c r="O1454" s="5" t="n"/>
      <c r="P1454" s="5" t="n">
        <v>0</v>
      </c>
      <c r="Q1454" s="5" t="n">
        <v>0</v>
      </c>
      <c r="R1454" s="5" t="inlineStr">
        <is>
          <t>290-2024-06-30</t>
        </is>
      </c>
    </row>
    <row r="1455">
      <c r="A1455" s="21" t="n">
        <v>290</v>
      </c>
      <c r="B1455" s="5" t="inlineStr">
        <is>
          <t>Cierre eficaz de las oportunidades de mejora</t>
        </is>
      </c>
      <c r="C1455" s="5" t="inlineStr">
        <is>
          <t>Planificación POLISIGS</t>
        </is>
      </c>
      <c r="D1455" s="5" t="inlineStr">
        <is>
          <t>Bimestral</t>
        </is>
      </c>
      <c r="E1455" s="5" t="inlineStr">
        <is>
          <t>Positivo</t>
        </is>
      </c>
      <c r="F1455" s="107" t="n">
        <v>45535</v>
      </c>
      <c r="G1455" s="5" t="n">
        <v>2024</v>
      </c>
      <c r="H1455" s="5" t="inlineStr">
        <is>
          <t>Agosto</t>
        </is>
      </c>
      <c r="I1455" s="6" t="inlineStr">
        <is>
          <t>2024-2</t>
        </is>
      </c>
      <c r="J1455" s="5" t="n">
        <v>90</v>
      </c>
      <c r="K1455" s="10" t="n">
        <v>100</v>
      </c>
      <c r="L1455" s="14">
        <f>IFERROR(IF(OR(J1455=0,K1455=""),"",IF(E1455="Positivo",MIN(MAX(K1455/J1455,0),1.3),MIN(MAX(J1455/K1455,0),1.3))),"") </f>
        <v/>
      </c>
      <c r="M1455" s="14">
        <f>IFERROR(IF(OR(J1455=0,K1455=""),"",IF(E1455="Positivo",MAX(K1455/J1455,0),MAX(J1455/K1455,0))),"") </f>
        <v/>
      </c>
      <c r="N1455" s="5" t="n"/>
      <c r="O1455" s="5" t="n"/>
      <c r="P1455" s="15" t="n">
        <v>0</v>
      </c>
      <c r="Q1455" s="15" t="n">
        <v>0</v>
      </c>
      <c r="R1455" s="5" t="inlineStr">
        <is>
          <t>290-2024-08-31</t>
        </is>
      </c>
    </row>
    <row r="1456">
      <c r="A1456" s="5" t="n">
        <v>290</v>
      </c>
      <c r="B1456" s="5" t="inlineStr">
        <is>
          <t>Cierre eficaz de las oportunidades de mejora</t>
        </is>
      </c>
      <c r="C1456" s="5" t="inlineStr">
        <is>
          <t>Planificación POLISIGS</t>
        </is>
      </c>
      <c r="D1456" s="5" t="inlineStr">
        <is>
          <t>Bimestral</t>
        </is>
      </c>
      <c r="E1456" s="5" t="inlineStr">
        <is>
          <t>Positivo</t>
        </is>
      </c>
      <c r="F1456" s="107" t="n">
        <v>45596</v>
      </c>
      <c r="G1456" s="5" t="n">
        <v>2024</v>
      </c>
      <c r="H1456" s="5" t="inlineStr">
        <is>
          <t>Octubre</t>
        </is>
      </c>
      <c r="I1456" s="6" t="inlineStr">
        <is>
          <t>2024-2</t>
        </is>
      </c>
      <c r="J1456" s="5" t="n">
        <v>90</v>
      </c>
      <c r="K1456" s="5" t="n">
        <v>100</v>
      </c>
      <c r="L1456" s="14">
        <f>IFERROR(IF(OR(J1456=0,K1456=""),"",IF(E1456="Positivo",MIN(MAX(K1456/J1456,0),1.3),MIN(MAX(J1456/K1456,0),1.3))),"") </f>
        <v/>
      </c>
      <c r="M1456" s="14">
        <f>IFERROR(IF(OR(J1456=0,K1456=""),"",IF(E1456="Positivo",MAX(K1456/J1456,0),MAX(J1456/K1456,0))),"") </f>
        <v/>
      </c>
      <c r="N1456" s="5" t="n"/>
      <c r="O1456" s="5" t="n"/>
      <c r="P1456" s="5" t="n">
        <v>0</v>
      </c>
      <c r="Q1456" s="5" t="n">
        <v>0</v>
      </c>
      <c r="R1456" s="5" t="inlineStr">
        <is>
          <t>290-2024-10-31</t>
        </is>
      </c>
    </row>
    <row r="1457">
      <c r="A1457" s="21" t="n">
        <v>290</v>
      </c>
      <c r="B1457" s="5" t="inlineStr">
        <is>
          <t>Cierre eficaz de las oportunidades de mejora</t>
        </is>
      </c>
      <c r="C1457" s="5" t="inlineStr">
        <is>
          <t>Planificación POLISIGS</t>
        </is>
      </c>
      <c r="D1457" s="5" t="inlineStr">
        <is>
          <t>Bimestral</t>
        </is>
      </c>
      <c r="E1457" s="5" t="inlineStr">
        <is>
          <t>Positivo</t>
        </is>
      </c>
      <c r="F1457" s="107" t="n">
        <v>45657</v>
      </c>
      <c r="G1457" s="5" t="n">
        <v>2024</v>
      </c>
      <c r="H1457" s="5" t="inlineStr">
        <is>
          <t>Diciembre</t>
        </is>
      </c>
      <c r="I1457" s="6" t="inlineStr">
        <is>
          <t>2024-2</t>
        </is>
      </c>
      <c r="J1457" s="5" t="n">
        <v>90</v>
      </c>
      <c r="K1457" s="10" t="n">
        <v>100</v>
      </c>
      <c r="L1457" s="14">
        <f>IFERROR(IF(OR(J1457=0,K1457=""),"",IF(E1457="Positivo",MIN(MAX(K1457/J1457,0),1.3),MIN(MAX(J1457/K1457,0),1.3))),"") </f>
        <v/>
      </c>
      <c r="M1457" s="14">
        <f>IFERROR(IF(OR(J1457=0,K1457=""),"",IF(E1457="Positivo",MAX(K1457/J1457,0),MAX(J1457/K1457,0))),"") </f>
        <v/>
      </c>
      <c r="N1457" s="5" t="n"/>
      <c r="O1457" s="5" t="n"/>
      <c r="P1457" s="15" t="n">
        <v>0</v>
      </c>
      <c r="Q1457" s="15" t="n">
        <v>0</v>
      </c>
      <c r="R1457" s="5" t="inlineStr">
        <is>
          <t>290-2024-12-31</t>
        </is>
      </c>
    </row>
    <row r="1458">
      <c r="A1458" s="21" t="n">
        <v>290</v>
      </c>
      <c r="B1458" s="5" t="inlineStr">
        <is>
          <t>Cierre eficaz de las oportunidades de mejora</t>
        </is>
      </c>
      <c r="C1458" s="5" t="inlineStr">
        <is>
          <t>Planificación POLISIGS</t>
        </is>
      </c>
      <c r="D1458" s="5" t="inlineStr">
        <is>
          <t>Bimestral</t>
        </is>
      </c>
      <c r="E1458" s="5" t="inlineStr">
        <is>
          <t>Positivo</t>
        </is>
      </c>
      <c r="F1458" s="107" t="n">
        <v>45716</v>
      </c>
      <c r="G1458" s="5" t="n">
        <v>2025</v>
      </c>
      <c r="H1458" s="5" t="inlineStr">
        <is>
          <t>Febrero</t>
        </is>
      </c>
      <c r="I1458" s="6" t="inlineStr">
        <is>
          <t>2025-1</t>
        </is>
      </c>
      <c r="J1458" s="5" t="n">
        <v>90</v>
      </c>
      <c r="K1458" s="10" t="n">
        <v>80</v>
      </c>
      <c r="L1458" s="14">
        <f>IFERROR(IF(OR(J1458=0,K1458=""),"",IF(E1458="Positivo",MIN(MAX(K1458/J1458,0),1.3),MIN(MAX(J1458/K1458,0),1.3))),"") </f>
        <v/>
      </c>
      <c r="M1458" s="14">
        <f>IFERROR(IF(OR(J1458=0,K1458=""),"",IF(E1458="Positivo",MAX(K1458/J1458,0),MAX(J1458/K1458,0))),"") </f>
        <v/>
      </c>
      <c r="N1458" s="5" t="inlineStr">
        <is>
          <t>%</t>
        </is>
      </c>
      <c r="O1458" s="5" t="inlineStr">
        <is>
          <t>%</t>
        </is>
      </c>
      <c r="P1458" s="15" t="n">
        <v>0</v>
      </c>
      <c r="Q1458" s="15" t="n">
        <v>0</v>
      </c>
      <c r="R1458" s="5" t="inlineStr">
        <is>
          <t>290-2025-02-28</t>
        </is>
      </c>
    </row>
    <row r="1459">
      <c r="A1459" s="5" t="n">
        <v>290</v>
      </c>
      <c r="B1459" s="5" t="inlineStr">
        <is>
          <t>Cierre eficaz de las oportunidades de mejora</t>
        </is>
      </c>
      <c r="C1459" s="5" t="inlineStr">
        <is>
          <t>Planificación POLISIGS</t>
        </is>
      </c>
      <c r="D1459" s="5" t="inlineStr">
        <is>
          <t>Bimestral</t>
        </is>
      </c>
      <c r="E1459" s="5" t="inlineStr">
        <is>
          <t>Positivo</t>
        </is>
      </c>
      <c r="F1459" s="107" t="n">
        <v>45777</v>
      </c>
      <c r="G1459" s="5" t="n">
        <v>2025</v>
      </c>
      <c r="H1459" s="5" t="inlineStr">
        <is>
          <t>Abril</t>
        </is>
      </c>
      <c r="I1459" s="6" t="inlineStr">
        <is>
          <t>2025-1</t>
        </is>
      </c>
      <c r="J1459" s="5" t="n">
        <v>90</v>
      </c>
      <c r="K1459" s="5" t="n">
        <v>100</v>
      </c>
      <c r="L1459" s="14">
        <f>IFERROR(IF(OR(J1459=0,K1459=""),"",IF(E1459="Positivo",MIN(MAX(K1459/J1459,0),1.3),MIN(MAX(J1459/K1459,0),1.3))),"") </f>
        <v/>
      </c>
      <c r="M1459" s="14">
        <f>IFERROR(IF(OR(J1459=0,K1459=""),"",IF(E1459="Positivo",MAX(K1459/J1459,0),MAX(J1459/K1459,0))),"") </f>
        <v/>
      </c>
      <c r="N1459" s="5" t="inlineStr">
        <is>
          <t>%</t>
        </is>
      </c>
      <c r="O1459" s="5" t="inlineStr">
        <is>
          <t>%</t>
        </is>
      </c>
      <c r="P1459" s="5" t="n">
        <v>0</v>
      </c>
      <c r="Q1459" s="5" t="n">
        <v>0</v>
      </c>
      <c r="R1459" s="5" t="inlineStr">
        <is>
          <t>290-2025-04-30</t>
        </is>
      </c>
    </row>
    <row r="1460">
      <c r="A1460" s="21" t="n">
        <v>290</v>
      </c>
      <c r="B1460" s="5" t="inlineStr">
        <is>
          <t>Cierre eficaz de las oportunidades de mejora</t>
        </is>
      </c>
      <c r="C1460" s="5" t="inlineStr">
        <is>
          <t>Planificación POLISIGS</t>
        </is>
      </c>
      <c r="D1460" s="5" t="inlineStr">
        <is>
          <t>Bimestral</t>
        </is>
      </c>
      <c r="E1460" s="5" t="inlineStr">
        <is>
          <t>Positivo</t>
        </is>
      </c>
      <c r="F1460" s="107" t="n">
        <v>45838</v>
      </c>
      <c r="G1460" s="5" t="n">
        <v>2025</v>
      </c>
      <c r="H1460" s="5" t="inlineStr">
        <is>
          <t>Junio</t>
        </is>
      </c>
      <c r="I1460" s="6" t="inlineStr">
        <is>
          <t>2025-1</t>
        </is>
      </c>
      <c r="J1460" s="5" t="n">
        <v>90</v>
      </c>
      <c r="K1460" s="10" t="n">
        <v>100</v>
      </c>
      <c r="L1460" s="14">
        <f>IFERROR(IF(OR(J1460=0,K1460=""),"",IF(E1460="Positivo",MIN(MAX(K1460/J1460,0),1.3),MIN(MAX(J1460/K1460,0),1.3))),"") </f>
        <v/>
      </c>
      <c r="M1460" s="14">
        <f>IFERROR(IF(OR(J1460=0,K1460=""),"",IF(E1460="Positivo",MAX(K1460/J1460,0),MAX(J1460/K1460,0))),"") </f>
        <v/>
      </c>
      <c r="N1460" s="5" t="inlineStr">
        <is>
          <t>%</t>
        </is>
      </c>
      <c r="O1460" s="5" t="inlineStr">
        <is>
          <t>%</t>
        </is>
      </c>
      <c r="P1460" s="15" t="n">
        <v>0</v>
      </c>
      <c r="Q1460" s="15" t="n">
        <v>0</v>
      </c>
      <c r="R1460" s="5" t="inlineStr">
        <is>
          <t>290-2025-06-30</t>
        </is>
      </c>
    </row>
    <row r="1461">
      <c r="A1461" s="5" t="n">
        <v>291</v>
      </c>
      <c r="B1461" s="5" t="inlineStr">
        <is>
          <t>Cumplimiento del cronograma de actividades deportivas</t>
        </is>
      </c>
      <c r="C1461" s="5" t="inlineStr">
        <is>
          <t>Cultura y Deporte</t>
        </is>
      </c>
      <c r="D1461" s="5" t="inlineStr">
        <is>
          <t>Semestral</t>
        </is>
      </c>
      <c r="E1461" s="5" t="inlineStr">
        <is>
          <t>Positivo</t>
        </is>
      </c>
      <c r="F1461" s="107" t="n">
        <v>45107</v>
      </c>
      <c r="G1461" s="5" t="n">
        <v>2023</v>
      </c>
      <c r="H1461" s="5" t="inlineStr">
        <is>
          <t>Junio</t>
        </is>
      </c>
      <c r="I1461" s="6" t="inlineStr">
        <is>
          <t>2023-1</t>
        </is>
      </c>
      <c r="J1461" s="5" t="n">
        <v>100</v>
      </c>
      <c r="K1461" s="5" t="n">
        <v>100</v>
      </c>
      <c r="L1461" s="14">
        <f>IFERROR(IF(OR(J1461=0,K1461=""),"",IF(E1461="Positivo",MIN(MAX(K1461/J1461,0),1.3),MIN(MAX(J1461/K1461,0),1.3))),"") </f>
        <v/>
      </c>
      <c r="M1461" s="14">
        <f>IFERROR(IF(OR(J1461=0,K1461=""),"",IF(E1461="Positivo",MAX(K1461/J1461,0),MAX(J1461/K1461,0))),"") </f>
        <v/>
      </c>
      <c r="N1461" s="5" t="inlineStr">
        <is>
          <t>%</t>
        </is>
      </c>
      <c r="O1461" s="5" t="inlineStr">
        <is>
          <t>%</t>
        </is>
      </c>
      <c r="P1461" s="5" t="n">
        <v>0</v>
      </c>
      <c r="Q1461" s="5" t="n">
        <v>0</v>
      </c>
      <c r="R1461" s="5" t="inlineStr">
        <is>
          <t>291-2023-06-30</t>
        </is>
      </c>
    </row>
    <row r="1462">
      <c r="A1462" s="21" t="n">
        <v>291</v>
      </c>
      <c r="B1462" s="5" t="inlineStr">
        <is>
          <t>Cumplimiento del cronograma de actividades deportivas</t>
        </is>
      </c>
      <c r="C1462" s="5" t="inlineStr">
        <is>
          <t>Cultura y Deporte</t>
        </is>
      </c>
      <c r="D1462" s="5" t="inlineStr">
        <is>
          <t>Semestral</t>
        </is>
      </c>
      <c r="E1462" s="5" t="inlineStr">
        <is>
          <t>Positivo</t>
        </is>
      </c>
      <c r="F1462" s="107" t="n">
        <v>45291</v>
      </c>
      <c r="G1462" s="5" t="n">
        <v>2023</v>
      </c>
      <c r="H1462" s="5" t="inlineStr">
        <is>
          <t>Diciembre</t>
        </is>
      </c>
      <c r="I1462" s="6" t="inlineStr">
        <is>
          <t>2023-2</t>
        </is>
      </c>
      <c r="J1462" s="5" t="n">
        <v>100</v>
      </c>
      <c r="K1462" s="10" t="n">
        <v>100</v>
      </c>
      <c r="L1462" s="14">
        <f>IFERROR(IF(OR(J1462=0,K1462=""),"",IF(E1462="Positivo",MIN(MAX(K1462/J1462,0),1.3),MIN(MAX(J1462/K1462,0),1.3))),"") </f>
        <v/>
      </c>
      <c r="M1462" s="14">
        <f>IFERROR(IF(OR(J1462=0,K1462=""),"",IF(E1462="Positivo",MAX(K1462/J1462,0),MAX(J1462/K1462,0))),"") </f>
        <v/>
      </c>
      <c r="N1462" s="5" t="inlineStr">
        <is>
          <t>%</t>
        </is>
      </c>
      <c r="O1462" s="5" t="inlineStr">
        <is>
          <t>%</t>
        </is>
      </c>
      <c r="P1462" s="15" t="n">
        <v>0</v>
      </c>
      <c r="Q1462" s="15" t="n">
        <v>0</v>
      </c>
      <c r="R1462" s="5" t="inlineStr">
        <is>
          <t>291-2023-12-31</t>
        </is>
      </c>
    </row>
    <row r="1463">
      <c r="A1463" s="5" t="n">
        <v>291</v>
      </c>
      <c r="B1463" s="5" t="inlineStr">
        <is>
          <t>Cumplimiento del cronograma de actividades deportivas</t>
        </is>
      </c>
      <c r="C1463" s="5" t="inlineStr">
        <is>
          <t>Cultura y Deporte</t>
        </is>
      </c>
      <c r="D1463" s="5" t="inlineStr">
        <is>
          <t>Semestral</t>
        </is>
      </c>
      <c r="E1463" s="5" t="inlineStr">
        <is>
          <t>Positivo</t>
        </is>
      </c>
      <c r="F1463" s="107" t="n">
        <v>45473</v>
      </c>
      <c r="G1463" s="5" t="n">
        <v>2024</v>
      </c>
      <c r="H1463" s="5" t="inlineStr">
        <is>
          <t>Junio</t>
        </is>
      </c>
      <c r="I1463" s="6" t="inlineStr">
        <is>
          <t>2024-1</t>
        </is>
      </c>
      <c r="J1463" s="5" t="n">
        <v>100</v>
      </c>
      <c r="K1463" s="5" t="n">
        <v>100</v>
      </c>
      <c r="L1463" s="14">
        <f>IFERROR(IF(OR(J1463=0,K1463=""),"",IF(E1463="Positivo",MIN(MAX(K1463/J1463,0),1.3),MIN(MAX(J1463/K1463,0),1.3))),"") </f>
        <v/>
      </c>
      <c r="M1463" s="14">
        <f>IFERROR(IF(OR(J1463=0,K1463=""),"",IF(E1463="Positivo",MAX(K1463/J1463,0),MAX(J1463/K1463,0))),"") </f>
        <v/>
      </c>
      <c r="N1463" s="5" t="inlineStr">
        <is>
          <t>%</t>
        </is>
      </c>
      <c r="O1463" s="5" t="inlineStr">
        <is>
          <t>%</t>
        </is>
      </c>
      <c r="P1463" s="5" t="n">
        <v>0</v>
      </c>
      <c r="Q1463" s="5" t="n">
        <v>0</v>
      </c>
      <c r="R1463" s="5" t="inlineStr">
        <is>
          <t>291-2024-06-30</t>
        </is>
      </c>
    </row>
    <row r="1464">
      <c r="A1464" s="21" t="n">
        <v>291</v>
      </c>
      <c r="B1464" s="5" t="inlineStr">
        <is>
          <t>Cumplimiento del cronograma de actividades deportivas</t>
        </is>
      </c>
      <c r="C1464" s="5" t="inlineStr">
        <is>
          <t>Cultura y Deporte</t>
        </is>
      </c>
      <c r="D1464" s="5" t="inlineStr">
        <is>
          <t>Semestral</t>
        </is>
      </c>
      <c r="E1464" s="5" t="inlineStr">
        <is>
          <t>Positivo</t>
        </is>
      </c>
      <c r="F1464" s="107" t="n">
        <v>45657</v>
      </c>
      <c r="G1464" s="5" t="n">
        <v>2024</v>
      </c>
      <c r="H1464" s="5" t="inlineStr">
        <is>
          <t>Diciembre</t>
        </is>
      </c>
      <c r="I1464" s="6" t="inlineStr">
        <is>
          <t>2024-2</t>
        </is>
      </c>
      <c r="J1464" s="5" t="n">
        <v>100</v>
      </c>
      <c r="K1464" s="10" t="n">
        <v>100</v>
      </c>
      <c r="L1464" s="14">
        <f>IFERROR(IF(OR(J1464=0,K1464=""),"",IF(E1464="Positivo",MIN(MAX(K1464/J1464,0),1.3),MIN(MAX(J1464/K1464,0),1.3))),"") </f>
        <v/>
      </c>
      <c r="M1464" s="14">
        <f>IFERROR(IF(OR(J1464=0,K1464=""),"",IF(E1464="Positivo",MAX(K1464/J1464,0),MAX(J1464/K1464,0))),"") </f>
        <v/>
      </c>
      <c r="N1464" s="5" t="inlineStr">
        <is>
          <t>%</t>
        </is>
      </c>
      <c r="O1464" s="5" t="inlineStr">
        <is>
          <t>%</t>
        </is>
      </c>
      <c r="P1464" s="15" t="n">
        <v>0</v>
      </c>
      <c r="Q1464" s="15" t="n">
        <v>0</v>
      </c>
      <c r="R1464" s="5" t="inlineStr">
        <is>
          <t>291-2024-12-31</t>
        </is>
      </c>
    </row>
    <row r="1465">
      <c r="A1465" s="5" t="n">
        <v>292</v>
      </c>
      <c r="B1465" s="5" t="inlineStr">
        <is>
          <t>Participación en Actividades deportivas</t>
        </is>
      </c>
      <c r="C1465" s="5" t="inlineStr">
        <is>
          <t>Cultura y Deporte</t>
        </is>
      </c>
      <c r="D1465" s="5" t="inlineStr">
        <is>
          <t>Semestral</t>
        </is>
      </c>
      <c r="E1465" s="5" t="inlineStr">
        <is>
          <t>Positivo</t>
        </is>
      </c>
      <c r="F1465" s="107" t="n">
        <v>45107</v>
      </c>
      <c r="G1465" s="5" t="n">
        <v>2023</v>
      </c>
      <c r="H1465" s="5" t="inlineStr">
        <is>
          <t>Junio</t>
        </is>
      </c>
      <c r="I1465" s="6" t="inlineStr">
        <is>
          <t>2023-1</t>
        </is>
      </c>
      <c r="J1465" s="5" t="n">
        <v>3</v>
      </c>
      <c r="K1465" s="5" t="n">
        <v>10.990099009901</v>
      </c>
      <c r="L1465" s="14">
        <f>IFERROR(IF(OR(J1465=0,K1465=""),"",IF(E1465="Positivo",MIN(MAX(K1465/J1465,0),1.3),MIN(MAX(J1465/K1465,0),1.3))),"") </f>
        <v/>
      </c>
      <c r="M1465" s="14">
        <f>IFERROR(IF(OR(J1465=0,K1465=""),"",IF(E1465="Positivo",MAX(K1465/J1465,0),MAX(J1465/K1465,0))),"") </f>
        <v/>
      </c>
      <c r="N1465" s="5" t="inlineStr">
        <is>
          <t>%</t>
        </is>
      </c>
      <c r="O1465" s="5" t="inlineStr">
        <is>
          <t>%</t>
        </is>
      </c>
      <c r="P1465" s="5" t="n">
        <v>0</v>
      </c>
      <c r="Q1465" s="5" t="n">
        <v>0</v>
      </c>
      <c r="R1465" s="5" t="inlineStr">
        <is>
          <t>292-2023-06-30</t>
        </is>
      </c>
    </row>
    <row r="1466">
      <c r="A1466" s="21" t="n">
        <v>292</v>
      </c>
      <c r="B1466" s="5" t="inlineStr">
        <is>
          <t>Participación en Actividades deportivas</t>
        </is>
      </c>
      <c r="C1466" s="5" t="inlineStr">
        <is>
          <t>Cultura y Deporte</t>
        </is>
      </c>
      <c r="D1466" s="5" t="inlineStr">
        <is>
          <t>Semestral</t>
        </is>
      </c>
      <c r="E1466" s="5" t="inlineStr">
        <is>
          <t>Positivo</t>
        </is>
      </c>
      <c r="F1466" s="107" t="n">
        <v>45291</v>
      </c>
      <c r="G1466" s="5" t="n">
        <v>2023</v>
      </c>
      <c r="H1466" s="5" t="inlineStr">
        <is>
          <t>Diciembre</t>
        </is>
      </c>
      <c r="I1466" s="6" t="inlineStr">
        <is>
          <t>2023-2</t>
        </is>
      </c>
      <c r="J1466" s="5" t="n">
        <v>3</v>
      </c>
      <c r="K1466" s="10" t="n">
        <v>27.659574468085</v>
      </c>
      <c r="L1466" s="14">
        <f>IFERROR(IF(OR(J1466=0,K1466=""),"",IF(E1466="Positivo",MIN(MAX(K1466/J1466,0),1.3),MIN(MAX(J1466/K1466,0),1.3))),"") </f>
        <v/>
      </c>
      <c r="M1466" s="14">
        <f>IFERROR(IF(OR(J1466=0,K1466=""),"",IF(E1466="Positivo",MAX(K1466/J1466,0),MAX(J1466/K1466,0))),"") </f>
        <v/>
      </c>
      <c r="N1466" s="5" t="inlineStr">
        <is>
          <t>%</t>
        </is>
      </c>
      <c r="O1466" s="5" t="inlineStr">
        <is>
          <t>%</t>
        </is>
      </c>
      <c r="P1466" s="15" t="n">
        <v>0</v>
      </c>
      <c r="Q1466" s="15" t="n">
        <v>0</v>
      </c>
      <c r="R1466" s="5" t="inlineStr">
        <is>
          <t>292-2023-12-31</t>
        </is>
      </c>
    </row>
    <row r="1467">
      <c r="A1467" s="5" t="n">
        <v>292</v>
      </c>
      <c r="B1467" s="5" t="inlineStr">
        <is>
          <t>Participación en Actividades deportivas</t>
        </is>
      </c>
      <c r="C1467" s="5" t="inlineStr">
        <is>
          <t>Cultura y Deporte</t>
        </is>
      </c>
      <c r="D1467" s="5" t="inlineStr">
        <is>
          <t>Semestral</t>
        </is>
      </c>
      <c r="E1467" s="5" t="inlineStr">
        <is>
          <t>Positivo</t>
        </is>
      </c>
      <c r="F1467" s="107" t="n">
        <v>45473</v>
      </c>
      <c r="G1467" s="5" t="n">
        <v>2024</v>
      </c>
      <c r="H1467" s="5" t="inlineStr">
        <is>
          <t>Junio</t>
        </is>
      </c>
      <c r="I1467" s="6" t="inlineStr">
        <is>
          <t>2024-1</t>
        </is>
      </c>
      <c r="J1467" s="5" t="n">
        <v>3</v>
      </c>
      <c r="K1467" s="5" t="n">
        <v>23.31390507910074</v>
      </c>
      <c r="L1467" s="14">
        <f>IFERROR(IF(OR(J1467=0,K1467=""),"",IF(E1467="Positivo",MIN(MAX(K1467/J1467,0),1.3),MIN(MAX(J1467/K1467,0),1.3))),"") </f>
        <v/>
      </c>
      <c r="M1467" s="14">
        <f>IFERROR(IF(OR(J1467=0,K1467=""),"",IF(E1467="Positivo",MAX(K1467/J1467,0),MAX(J1467/K1467,0))),"") </f>
        <v/>
      </c>
      <c r="N1467" s="5" t="inlineStr">
        <is>
          <t>%</t>
        </is>
      </c>
      <c r="O1467" s="5" t="inlineStr">
        <is>
          <t>%</t>
        </is>
      </c>
      <c r="P1467" s="5" t="n">
        <v>0</v>
      </c>
      <c r="Q1467" s="5" t="n">
        <v>0</v>
      </c>
      <c r="R1467" s="5" t="inlineStr">
        <is>
          <t>292-2024-06-30</t>
        </is>
      </c>
    </row>
    <row r="1468">
      <c r="A1468" s="21" t="n">
        <v>292</v>
      </c>
      <c r="B1468" s="5" t="inlineStr">
        <is>
          <t>Participación en Actividades deportivas</t>
        </is>
      </c>
      <c r="C1468" s="5" t="inlineStr">
        <is>
          <t>Cultura y Deporte</t>
        </is>
      </c>
      <c r="D1468" s="5" t="inlineStr">
        <is>
          <t>Semestral</t>
        </is>
      </c>
      <c r="E1468" s="5" t="inlineStr">
        <is>
          <t>Positivo</t>
        </is>
      </c>
      <c r="F1468" s="107" t="n">
        <v>45657</v>
      </c>
      <c r="G1468" s="5" t="n">
        <v>2024</v>
      </c>
      <c r="H1468" s="5" t="inlineStr">
        <is>
          <t>Diciembre</t>
        </is>
      </c>
      <c r="I1468" s="6" t="inlineStr">
        <is>
          <t>2024-2</t>
        </is>
      </c>
      <c r="J1468" s="5" t="n">
        <v>3</v>
      </c>
      <c r="K1468" s="10" t="n">
        <v>14.26386233269599</v>
      </c>
      <c r="L1468" s="14">
        <f>IFERROR(IF(OR(J1468=0,K1468=""),"",IF(E1468="Positivo",MIN(MAX(K1468/J1468,0),1.3),MIN(MAX(J1468/K1468,0),1.3))),"") </f>
        <v/>
      </c>
      <c r="M1468" s="14">
        <f>IFERROR(IF(OR(J1468=0,K1468=""),"",IF(E1468="Positivo",MAX(K1468/J1468,0),MAX(J1468/K1468,0))),"") </f>
        <v/>
      </c>
      <c r="N1468" s="5" t="inlineStr">
        <is>
          <t>%</t>
        </is>
      </c>
      <c r="O1468" s="5" t="inlineStr">
        <is>
          <t>%</t>
        </is>
      </c>
      <c r="P1468" s="15" t="n">
        <v>0</v>
      </c>
      <c r="Q1468" s="15" t="n">
        <v>0</v>
      </c>
      <c r="R1468" s="5" t="inlineStr">
        <is>
          <t>292-2024-12-31</t>
        </is>
      </c>
    </row>
    <row r="1469">
      <c r="A1469" s="5" t="n">
        <v>292</v>
      </c>
      <c r="B1469" s="5" t="inlineStr">
        <is>
          <t>Participación en Actividades deportivas</t>
        </is>
      </c>
      <c r="C1469" s="5" t="inlineStr">
        <is>
          <t>Cultura y Deporte</t>
        </is>
      </c>
      <c r="D1469" s="5" t="inlineStr">
        <is>
          <t>Semestral</t>
        </is>
      </c>
      <c r="E1469" s="5" t="inlineStr">
        <is>
          <t>Positivo</t>
        </is>
      </c>
      <c r="F1469" s="107" t="n">
        <v>45838</v>
      </c>
      <c r="G1469" s="5" t="n">
        <v>2025</v>
      </c>
      <c r="H1469" s="5" t="inlineStr">
        <is>
          <t>Junio</t>
        </is>
      </c>
      <c r="I1469" s="6" t="inlineStr">
        <is>
          <t>2025-1</t>
        </is>
      </c>
      <c r="J1469" s="5" t="n">
        <v>8</v>
      </c>
      <c r="K1469" s="5" t="n">
        <v>9.789999999999999</v>
      </c>
      <c r="L1469" s="14">
        <f>IFERROR(IF(OR(J1469=0,K1469=""),"",IF(E1469="Positivo",MIN(MAX(K1469/J1469,0),1.3),MIN(MAX(J1469/K1469,0),1.3))),"") </f>
        <v/>
      </c>
      <c r="M1469" s="14">
        <f>IFERROR(IF(OR(J1469=0,K1469=""),"",IF(E1469="Positivo",MAX(K1469/J1469,0),MAX(J1469/K1469,0))),"") </f>
        <v/>
      </c>
      <c r="N1469" s="5" t="inlineStr">
        <is>
          <t>%</t>
        </is>
      </c>
      <c r="O1469" s="5" t="inlineStr">
        <is>
          <t>%</t>
        </is>
      </c>
      <c r="P1469" s="5" t="n">
        <v>0</v>
      </c>
      <c r="Q1469" s="5" t="n">
        <v>0</v>
      </c>
      <c r="R1469" s="5" t="inlineStr">
        <is>
          <t>292-2025-06-30</t>
        </is>
      </c>
    </row>
    <row r="1470">
      <c r="A1470" s="21" t="n">
        <v>292</v>
      </c>
      <c r="B1470" s="5" t="inlineStr">
        <is>
          <t>Participación en Actividades deportivas</t>
        </is>
      </c>
      <c r="C1470" s="5" t="inlineStr">
        <is>
          <t>Cultura y Deporte</t>
        </is>
      </c>
      <c r="D1470" s="5" t="inlineStr">
        <is>
          <t>Trimestral</t>
        </is>
      </c>
      <c r="E1470" s="5" t="inlineStr">
        <is>
          <t>Positivo</t>
        </is>
      </c>
      <c r="F1470" s="107" t="n">
        <v>46022</v>
      </c>
      <c r="G1470" s="5" t="n">
        <v>2025</v>
      </c>
      <c r="H1470" s="5" t="inlineStr">
        <is>
          <t>Diciembre</t>
        </is>
      </c>
      <c r="I1470" s="6" t="inlineStr">
        <is>
          <t>2025-2</t>
        </is>
      </c>
      <c r="J1470" s="5" t="n">
        <v>8</v>
      </c>
      <c r="K1470" s="10" t="n">
        <v>11.21</v>
      </c>
      <c r="L1470" s="14">
        <f>IFERROR(IF(OR(J1470=0,K1470=""),"",IF(E1470="Positivo",MIN(MAX(K1470/J1470,0),1.3),MIN(MAX(J1470/K1470,0),1.3))),"") </f>
        <v/>
      </c>
      <c r="M1470" s="14">
        <f>IFERROR(IF(OR(J1470=0,K1470=""),"",IF(E1470="Positivo",MAX(K1470/J1470,0),MAX(J1470/K1470,0))),"") </f>
        <v/>
      </c>
      <c r="N1470" s="5" t="inlineStr">
        <is>
          <t>%</t>
        </is>
      </c>
      <c r="O1470" s="5" t="inlineStr">
        <is>
          <t>%</t>
        </is>
      </c>
      <c r="P1470" s="15" t="n">
        <v>0</v>
      </c>
      <c r="Q1470" s="15" t="n">
        <v>0</v>
      </c>
      <c r="R1470" s="5" t="inlineStr">
        <is>
          <t>292-2025-12-31</t>
        </is>
      </c>
    </row>
    <row r="1471">
      <c r="A1471" s="21" t="n">
        <v>293</v>
      </c>
      <c r="B1471" s="5" t="inlineStr">
        <is>
          <t>Cumplimiento del cronograma de actividades culturales</t>
        </is>
      </c>
      <c r="C1471" s="5" t="inlineStr">
        <is>
          <t>Cultura y Deporte</t>
        </is>
      </c>
      <c r="D1471" s="5" t="inlineStr">
        <is>
          <t>Semestral</t>
        </is>
      </c>
      <c r="E1471" s="5" t="inlineStr">
        <is>
          <t>Positivo</t>
        </is>
      </c>
      <c r="F1471" s="107" t="n">
        <v>45107</v>
      </c>
      <c r="G1471" s="5" t="n">
        <v>2023</v>
      </c>
      <c r="H1471" s="5" t="inlineStr">
        <is>
          <t>Junio</t>
        </is>
      </c>
      <c r="I1471" s="6" t="inlineStr">
        <is>
          <t>2023-1</t>
        </is>
      </c>
      <c r="J1471" s="5" t="n">
        <v>100</v>
      </c>
      <c r="K1471" s="10" t="n">
        <v>100</v>
      </c>
      <c r="L1471" s="14">
        <f>IFERROR(IF(OR(J1471=0,K1471=""),"",IF(E1471="Positivo",MIN(MAX(K1471/J1471,0),1.3),MIN(MAX(J1471/K1471,0),1.3))),"") </f>
        <v/>
      </c>
      <c r="M1471" s="14">
        <f>IFERROR(IF(OR(J1471=0,K1471=""),"",IF(E1471="Positivo",MAX(K1471/J1471,0),MAX(J1471/K1471,0))),"") </f>
        <v/>
      </c>
      <c r="N1471" s="5" t="inlineStr">
        <is>
          <t>%</t>
        </is>
      </c>
      <c r="O1471" s="5" t="inlineStr">
        <is>
          <t>%</t>
        </is>
      </c>
      <c r="P1471" s="15" t="n">
        <v>0</v>
      </c>
      <c r="Q1471" s="15" t="n">
        <v>0</v>
      </c>
      <c r="R1471" s="5" t="inlineStr">
        <is>
          <t>293-2023-06-30</t>
        </is>
      </c>
    </row>
    <row r="1472">
      <c r="A1472" s="5" t="n">
        <v>293</v>
      </c>
      <c r="B1472" s="5" t="inlineStr">
        <is>
          <t>Cumplimiento del cronograma de actividades culturales</t>
        </is>
      </c>
      <c r="C1472" s="5" t="inlineStr">
        <is>
          <t>Cultura y Deporte</t>
        </is>
      </c>
      <c r="D1472" s="5" t="inlineStr">
        <is>
          <t>Semestral</t>
        </is>
      </c>
      <c r="E1472" s="5" t="inlineStr">
        <is>
          <t>Positivo</t>
        </is>
      </c>
      <c r="F1472" s="107" t="n">
        <v>45291</v>
      </c>
      <c r="G1472" s="5" t="n">
        <v>2023</v>
      </c>
      <c r="H1472" s="5" t="inlineStr">
        <is>
          <t>Diciembre</t>
        </is>
      </c>
      <c r="I1472" s="6" t="inlineStr">
        <is>
          <t>2023-2</t>
        </is>
      </c>
      <c r="J1472" s="5" t="n">
        <v>100</v>
      </c>
      <c r="K1472" s="5" t="n">
        <v>100</v>
      </c>
      <c r="L1472" s="14">
        <f>IFERROR(IF(OR(J1472=0,K1472=""),"",IF(E1472="Positivo",MIN(MAX(K1472/J1472,0),1.3),MIN(MAX(J1472/K1472,0),1.3))),"") </f>
        <v/>
      </c>
      <c r="M1472" s="14">
        <f>IFERROR(IF(OR(J1472=0,K1472=""),"",IF(E1472="Positivo",MAX(K1472/J1472,0),MAX(J1472/K1472,0))),"") </f>
        <v/>
      </c>
      <c r="N1472" s="5" t="inlineStr">
        <is>
          <t>%</t>
        </is>
      </c>
      <c r="O1472" s="5" t="inlineStr">
        <is>
          <t>%</t>
        </is>
      </c>
      <c r="P1472" s="5" t="n">
        <v>0</v>
      </c>
      <c r="Q1472" s="5" t="n">
        <v>0</v>
      </c>
      <c r="R1472" s="5" t="inlineStr">
        <is>
          <t>293-2023-12-31</t>
        </is>
      </c>
    </row>
    <row r="1473">
      <c r="A1473" s="21" t="n">
        <v>293</v>
      </c>
      <c r="B1473" s="5" t="inlineStr">
        <is>
          <t>Cumplimiento del cronograma de actividades culturales</t>
        </is>
      </c>
      <c r="C1473" s="5" t="inlineStr">
        <is>
          <t>Cultura y Deporte</t>
        </is>
      </c>
      <c r="D1473" s="5" t="inlineStr">
        <is>
          <t>Semestral</t>
        </is>
      </c>
      <c r="E1473" s="5" t="inlineStr">
        <is>
          <t>Positivo</t>
        </is>
      </c>
      <c r="F1473" s="107" t="n">
        <v>45473</v>
      </c>
      <c r="G1473" s="5" t="n">
        <v>2024</v>
      </c>
      <c r="H1473" s="5" t="inlineStr">
        <is>
          <t>Junio</t>
        </is>
      </c>
      <c r="I1473" s="6" t="inlineStr">
        <is>
          <t>2024-1</t>
        </is>
      </c>
      <c r="J1473" s="5" t="n">
        <v>100</v>
      </c>
      <c r="K1473" s="10" t="n">
        <v>100</v>
      </c>
      <c r="L1473" s="14">
        <f>IFERROR(IF(OR(J1473=0,K1473=""),"",IF(E1473="Positivo",MIN(MAX(K1473/J1473,0),1.3),MIN(MAX(J1473/K1473,0),1.3))),"") </f>
        <v/>
      </c>
      <c r="M1473" s="14">
        <f>IFERROR(IF(OR(J1473=0,K1473=""),"",IF(E1473="Positivo",MAX(K1473/J1473,0),MAX(J1473/K1473,0))),"") </f>
        <v/>
      </c>
      <c r="N1473" s="5" t="inlineStr">
        <is>
          <t>%</t>
        </is>
      </c>
      <c r="O1473" s="5" t="inlineStr">
        <is>
          <t>%</t>
        </is>
      </c>
      <c r="P1473" s="15" t="n">
        <v>0</v>
      </c>
      <c r="Q1473" s="15" t="n">
        <v>0</v>
      </c>
      <c r="R1473" s="5" t="inlineStr">
        <is>
          <t>293-2024-06-30</t>
        </is>
      </c>
    </row>
    <row r="1474">
      <c r="A1474" s="21" t="n">
        <v>293</v>
      </c>
      <c r="B1474" s="5" t="inlineStr">
        <is>
          <t>Cumplimiento del cronograma de actividades culturales</t>
        </is>
      </c>
      <c r="C1474" s="5" t="inlineStr">
        <is>
          <t>Cultura y Deporte</t>
        </is>
      </c>
      <c r="D1474" s="5" t="inlineStr">
        <is>
          <t>Semestral</t>
        </is>
      </c>
      <c r="E1474" s="5" t="inlineStr">
        <is>
          <t>Positivo</t>
        </is>
      </c>
      <c r="F1474" s="107" t="n">
        <v>45657</v>
      </c>
      <c r="G1474" s="5" t="n">
        <v>2024</v>
      </c>
      <c r="H1474" s="5" t="inlineStr">
        <is>
          <t>Diciembre</t>
        </is>
      </c>
      <c r="I1474" s="6" t="inlineStr">
        <is>
          <t>2024-2</t>
        </is>
      </c>
      <c r="J1474" s="5" t="n">
        <v>100</v>
      </c>
      <c r="K1474" s="10" t="n">
        <v>100</v>
      </c>
      <c r="L1474" s="14">
        <f>IFERROR(IF(OR(J1474=0,K1474=""),"",IF(E1474="Positivo",MIN(MAX(K1474/J1474,0),1.3),MIN(MAX(J1474/K1474,0),1.3))),"") </f>
        <v/>
      </c>
      <c r="M1474" s="14">
        <f>IFERROR(IF(OR(J1474=0,K1474=""),"",IF(E1474="Positivo",MAX(K1474/J1474,0),MAX(J1474/K1474,0))),"") </f>
        <v/>
      </c>
      <c r="N1474" s="5" t="inlineStr">
        <is>
          <t>%</t>
        </is>
      </c>
      <c r="O1474" s="5" t="inlineStr">
        <is>
          <t>%</t>
        </is>
      </c>
      <c r="P1474" s="15" t="n">
        <v>0</v>
      </c>
      <c r="Q1474" s="15" t="n">
        <v>0</v>
      </c>
      <c r="R1474" s="5" t="inlineStr">
        <is>
          <t>293-2024-12-31</t>
        </is>
      </c>
    </row>
    <row r="1475">
      <c r="A1475" s="21" t="n">
        <v>294</v>
      </c>
      <c r="B1475" s="5" t="inlineStr">
        <is>
          <t>Participación en actividades culturales presenciales</t>
        </is>
      </c>
      <c r="C1475" s="5" t="inlineStr">
        <is>
          <t>Cultura y Deporte</t>
        </is>
      </c>
      <c r="D1475" s="5" t="inlineStr">
        <is>
          <t>Semestral</t>
        </is>
      </c>
      <c r="E1475" s="5" t="inlineStr">
        <is>
          <t>Positivo</t>
        </is>
      </c>
      <c r="F1475" s="107" t="n">
        <v>45107</v>
      </c>
      <c r="G1475" s="5" t="n">
        <v>2023</v>
      </c>
      <c r="H1475" s="5" t="inlineStr">
        <is>
          <t>Junio</t>
        </is>
      </c>
      <c r="I1475" s="6" t="inlineStr">
        <is>
          <t>2023-1</t>
        </is>
      </c>
      <c r="J1475" s="5" t="n">
        <v>3</v>
      </c>
      <c r="K1475" s="10" t="n">
        <v>30.15873015873</v>
      </c>
      <c r="L1475" s="14">
        <f>IFERROR(IF(OR(J1475=0,K1475=""),"",IF(E1475="Positivo",MIN(MAX(K1475/J1475,0),1.3),MIN(MAX(J1475/K1475,0),1.3))),"") </f>
        <v/>
      </c>
      <c r="M1475" s="14">
        <f>IFERROR(IF(OR(J1475=0,K1475=""),"",IF(E1475="Positivo",MAX(K1475/J1475,0),MAX(J1475/K1475,0))),"") </f>
        <v/>
      </c>
      <c r="N1475" s="5" t="inlineStr">
        <is>
          <t>%</t>
        </is>
      </c>
      <c r="O1475" s="5" t="inlineStr">
        <is>
          <t>%</t>
        </is>
      </c>
      <c r="P1475" s="15" t="n">
        <v>0</v>
      </c>
      <c r="Q1475" s="15" t="n">
        <v>0</v>
      </c>
      <c r="R1475" s="5" t="inlineStr">
        <is>
          <t>294-2023-06-30</t>
        </is>
      </c>
    </row>
    <row r="1476">
      <c r="A1476" s="5" t="n">
        <v>294</v>
      </c>
      <c r="B1476" s="5" t="inlineStr">
        <is>
          <t>Participación en actividades culturales presenciales</t>
        </is>
      </c>
      <c r="C1476" s="5" t="inlineStr">
        <is>
          <t>Cultura y Deporte</t>
        </is>
      </c>
      <c r="D1476" s="5" t="inlineStr">
        <is>
          <t>Semestral</t>
        </is>
      </c>
      <c r="E1476" s="5" t="inlineStr">
        <is>
          <t>Positivo</t>
        </is>
      </c>
      <c r="F1476" s="107" t="n">
        <v>45291</v>
      </c>
      <c r="G1476" s="5" t="n">
        <v>2023</v>
      </c>
      <c r="H1476" s="5" t="inlineStr">
        <is>
          <t>Diciembre</t>
        </is>
      </c>
      <c r="I1476" s="6" t="inlineStr">
        <is>
          <t>2023-2</t>
        </is>
      </c>
      <c r="J1476" s="5" t="n">
        <v>3</v>
      </c>
      <c r="K1476" s="5" t="n">
        <v>41.986754966887</v>
      </c>
      <c r="L1476" s="14">
        <f>IFERROR(IF(OR(J1476=0,K1476=""),"",IF(E1476="Positivo",MIN(MAX(K1476/J1476,0),1.3),MIN(MAX(J1476/K1476,0),1.3))),"") </f>
        <v/>
      </c>
      <c r="M1476" s="14">
        <f>IFERROR(IF(OR(J1476=0,K1476=""),"",IF(E1476="Positivo",MAX(K1476/J1476,0),MAX(J1476/K1476,0))),"") </f>
        <v/>
      </c>
      <c r="N1476" s="5" t="inlineStr">
        <is>
          <t>%</t>
        </is>
      </c>
      <c r="O1476" s="5" t="inlineStr">
        <is>
          <t>%</t>
        </is>
      </c>
      <c r="P1476" s="5" t="n">
        <v>0</v>
      </c>
      <c r="Q1476" s="5" t="n">
        <v>0</v>
      </c>
      <c r="R1476" s="5" t="inlineStr">
        <is>
          <t>294-2023-12-31</t>
        </is>
      </c>
    </row>
    <row r="1477">
      <c r="A1477" s="21" t="n">
        <v>294</v>
      </c>
      <c r="B1477" s="5" t="inlineStr">
        <is>
          <t>Participación en actividades culturales presenciales</t>
        </is>
      </c>
      <c r="C1477" s="5" t="inlineStr">
        <is>
          <t>Cultura y Deporte</t>
        </is>
      </c>
      <c r="D1477" s="5" t="inlineStr">
        <is>
          <t>Semestral</t>
        </is>
      </c>
      <c r="E1477" s="5" t="inlineStr">
        <is>
          <t>Positivo</t>
        </is>
      </c>
      <c r="F1477" s="107" t="n">
        <v>45473</v>
      </c>
      <c r="G1477" s="5" t="n">
        <v>2024</v>
      </c>
      <c r="H1477" s="5" t="inlineStr">
        <is>
          <t>Junio</t>
        </is>
      </c>
      <c r="I1477" s="6" t="inlineStr">
        <is>
          <t>2024-1</t>
        </is>
      </c>
      <c r="J1477" s="5" t="n">
        <v>3</v>
      </c>
      <c r="K1477" s="10" t="n">
        <v>26.27669452181987</v>
      </c>
      <c r="L1477" s="14">
        <f>IFERROR(IF(OR(J1477=0,K1477=""),"",IF(E1477="Positivo",MIN(MAX(K1477/J1477,0),1.3),MIN(MAX(J1477/K1477,0),1.3))),"") </f>
        <v/>
      </c>
      <c r="M1477" s="14">
        <f>IFERROR(IF(OR(J1477=0,K1477=""),"",IF(E1477="Positivo",MAX(K1477/J1477,0),MAX(J1477/K1477,0))),"") </f>
        <v/>
      </c>
      <c r="N1477" s="5" t="inlineStr">
        <is>
          <t>%</t>
        </is>
      </c>
      <c r="O1477" s="5" t="inlineStr">
        <is>
          <t>%</t>
        </is>
      </c>
      <c r="P1477" s="15" t="n">
        <v>0</v>
      </c>
      <c r="Q1477" s="15" t="n">
        <v>0</v>
      </c>
      <c r="R1477" s="5" t="inlineStr">
        <is>
          <t>294-2024-06-30</t>
        </is>
      </c>
    </row>
    <row r="1478">
      <c r="A1478" s="21" t="n">
        <v>294</v>
      </c>
      <c r="B1478" s="5" t="inlineStr">
        <is>
          <t>Participación en actividades culturales</t>
        </is>
      </c>
      <c r="C1478" s="5" t="inlineStr">
        <is>
          <t>Cultura y Deporte</t>
        </is>
      </c>
      <c r="D1478" s="5" t="inlineStr">
        <is>
          <t>Semestral</t>
        </is>
      </c>
      <c r="E1478" s="5" t="inlineStr">
        <is>
          <t>Positivo</t>
        </is>
      </c>
      <c r="F1478" s="107" t="n">
        <v>45657</v>
      </c>
      <c r="G1478" s="5" t="n">
        <v>2024</v>
      </c>
      <c r="H1478" s="5" t="inlineStr">
        <is>
          <t>Diciembre</t>
        </is>
      </c>
      <c r="I1478" s="6" t="inlineStr">
        <is>
          <t>2024-2</t>
        </is>
      </c>
      <c r="J1478" s="5" t="n">
        <v>3</v>
      </c>
      <c r="K1478" s="10" t="n">
        <v>5.5</v>
      </c>
      <c r="L1478" s="14">
        <f>IFERROR(IF(OR(J1478=0,K1478=""),"",IF(E1478="Positivo",MIN(MAX(K1478/J1478,0),1.3),MIN(MAX(J1478/K1478,0),1.3))),"") </f>
        <v/>
      </c>
      <c r="M1478" s="14">
        <f>IFERROR(IF(OR(J1478=0,K1478=""),"",IF(E1478="Positivo",MAX(K1478/J1478,0),MAX(J1478/K1478,0))),"") </f>
        <v/>
      </c>
      <c r="N1478" s="5" t="inlineStr">
        <is>
          <t>%</t>
        </is>
      </c>
      <c r="O1478" s="5" t="inlineStr">
        <is>
          <t>%</t>
        </is>
      </c>
      <c r="P1478" s="15" t="n">
        <v>0</v>
      </c>
      <c r="Q1478" s="15" t="n">
        <v>0</v>
      </c>
      <c r="R1478" s="5" t="inlineStr">
        <is>
          <t>294-2024-12-31</t>
        </is>
      </c>
    </row>
    <row r="1479">
      <c r="A1479" s="21" t="n">
        <v>294</v>
      </c>
      <c r="B1479" s="5" t="inlineStr">
        <is>
          <t>Participación en actividades culturales</t>
        </is>
      </c>
      <c r="C1479" s="5" t="inlineStr">
        <is>
          <t>Cultura y Deporte</t>
        </is>
      </c>
      <c r="D1479" s="5" t="inlineStr">
        <is>
          <t>Semestral</t>
        </is>
      </c>
      <c r="E1479" s="5" t="inlineStr">
        <is>
          <t>Positivo</t>
        </is>
      </c>
      <c r="F1479" s="107" t="n">
        <v>45838</v>
      </c>
      <c r="G1479" s="5" t="n">
        <v>2025</v>
      </c>
      <c r="H1479" s="5" t="inlineStr">
        <is>
          <t>Junio</t>
        </is>
      </c>
      <c r="I1479" s="6" t="inlineStr">
        <is>
          <t>2025-1</t>
        </is>
      </c>
      <c r="J1479" s="5" t="n">
        <v>8</v>
      </c>
      <c r="K1479" s="10" t="n">
        <v>-9.19</v>
      </c>
      <c r="L1479" s="14">
        <f>IFERROR(IF(OR(J1479=0,K1479=""),"",IF(E1479="Positivo",MIN(MAX(K1479/J1479,0),1.3),MIN(MAX(J1479/K1479,0),1.3))),"") </f>
        <v/>
      </c>
      <c r="M1479" s="14">
        <f>IFERROR(IF(OR(J1479=0,K1479=""),"",IF(E1479="Positivo",MAX(K1479/J1479,0),MAX(J1479/K1479,0))),"") </f>
        <v/>
      </c>
      <c r="N1479" s="5" t="inlineStr">
        <is>
          <t>%</t>
        </is>
      </c>
      <c r="O1479" s="5" t="inlineStr">
        <is>
          <t>%</t>
        </is>
      </c>
      <c r="P1479" s="15" t="n">
        <v>0</v>
      </c>
      <c r="Q1479" s="15" t="n">
        <v>0</v>
      </c>
      <c r="R1479" s="5" t="inlineStr">
        <is>
          <t>294-2025-06-30</t>
        </is>
      </c>
    </row>
    <row r="1480">
      <c r="A1480" s="5" t="n">
        <v>294</v>
      </c>
      <c r="B1480" s="5" t="inlineStr">
        <is>
          <t>Participación en actividades culturales</t>
        </is>
      </c>
      <c r="C1480" s="5" t="inlineStr">
        <is>
          <t>Cultura y Deporte</t>
        </is>
      </c>
      <c r="D1480" s="5" t="inlineStr">
        <is>
          <t>Trimestral</t>
        </is>
      </c>
      <c r="E1480" s="5" t="inlineStr">
        <is>
          <t>Positivo</t>
        </is>
      </c>
      <c r="F1480" s="107" t="n">
        <v>46022</v>
      </c>
      <c r="G1480" s="5" t="n">
        <v>2025</v>
      </c>
      <c r="H1480" s="5" t="inlineStr">
        <is>
          <t>Diciembre</t>
        </is>
      </c>
      <c r="I1480" s="6" t="inlineStr">
        <is>
          <t>2025-2</t>
        </is>
      </c>
      <c r="J1480" s="5" t="n">
        <v>8</v>
      </c>
      <c r="K1480" s="5" t="n">
        <v>54.02</v>
      </c>
      <c r="L1480" s="14">
        <f>IFERROR(IF(OR(J1480=0,K1480=""),"",IF(E1480="Positivo",MIN(MAX(K1480/J1480,0),1.3),MIN(MAX(J1480/K1480,0),1.3))),"") </f>
        <v/>
      </c>
      <c r="M1480" s="14">
        <f>IFERROR(IF(OR(J1480=0,K1480=""),"",IF(E1480="Positivo",MAX(K1480/J1480,0),MAX(J1480/K1480,0))),"") </f>
        <v/>
      </c>
      <c r="N1480" s="5" t="inlineStr">
        <is>
          <t>%</t>
        </is>
      </c>
      <c r="O1480" s="5" t="inlineStr">
        <is>
          <t>%</t>
        </is>
      </c>
      <c r="P1480" s="5" t="n">
        <v>0</v>
      </c>
      <c r="Q1480" s="5" t="n">
        <v>0</v>
      </c>
      <c r="R1480" s="5" t="inlineStr">
        <is>
          <t>294-2025-12-31</t>
        </is>
      </c>
    </row>
    <row r="1481">
      <c r="A1481" s="21" t="n">
        <v>295</v>
      </c>
      <c r="B1481" s="5" t="inlineStr">
        <is>
          <t>Cumplimiento Del Cierre De Oportunidades De Mejora De Auditoria</t>
        </is>
      </c>
      <c r="C1481" s="5" t="inlineStr">
        <is>
          <t>AUDITORÍA INTERNA</t>
        </is>
      </c>
      <c r="D1481" s="5" t="inlineStr">
        <is>
          <t>Semestral</t>
        </is>
      </c>
      <c r="E1481" s="5" t="inlineStr">
        <is>
          <t>Positivo</t>
        </is>
      </c>
      <c r="F1481" s="107" t="n">
        <v>45107</v>
      </c>
      <c r="G1481" s="5" t="n">
        <v>2023</v>
      </c>
      <c r="H1481" s="5" t="inlineStr">
        <is>
          <t>Junio</t>
        </is>
      </c>
      <c r="I1481" s="6" t="inlineStr">
        <is>
          <t>2023-1</t>
        </is>
      </c>
      <c r="J1481" s="5" t="n">
        <v>11</v>
      </c>
      <c r="K1481" s="10" t="n">
        <v>5</v>
      </c>
      <c r="L1481" s="14">
        <f>IFERROR(IF(OR(J1481=0,K1481=""),"",IF(E1481="Positivo",MIN(MAX(K1481/J1481,0),1.3),MIN(MAX(J1481/K1481,0),1.3))),"") </f>
        <v/>
      </c>
      <c r="M1481" s="14">
        <f>IFERROR(IF(OR(J1481=0,K1481=""),"",IF(E1481="Positivo",MAX(K1481/J1481,0),MAX(J1481/K1481,0))),"") </f>
        <v/>
      </c>
      <c r="N1481" s="5" t="inlineStr">
        <is>
          <t>%</t>
        </is>
      </c>
      <c r="O1481" s="5" t="inlineStr">
        <is>
          <t>%</t>
        </is>
      </c>
      <c r="P1481" s="15" t="n">
        <v>0</v>
      </c>
      <c r="Q1481" s="15" t="n">
        <v>0</v>
      </c>
      <c r="R1481" s="5" t="inlineStr">
        <is>
          <t>295-2023-06-30</t>
        </is>
      </c>
    </row>
    <row r="1482">
      <c r="A1482" s="21" t="n">
        <v>295</v>
      </c>
      <c r="B1482" s="5" t="inlineStr">
        <is>
          <t>Cumplimiento Del Cierre De Oportunidades De Mejora De Auditoria</t>
        </is>
      </c>
      <c r="C1482" s="5" t="inlineStr">
        <is>
          <t>AUDITORÍA INTERNA</t>
        </is>
      </c>
      <c r="D1482" s="5" t="inlineStr">
        <is>
          <t>Semestral</t>
        </is>
      </c>
      <c r="E1482" s="5" t="inlineStr">
        <is>
          <t>Positivo</t>
        </is>
      </c>
      <c r="F1482" s="107" t="n">
        <v>45291</v>
      </c>
      <c r="G1482" s="5" t="n">
        <v>2023</v>
      </c>
      <c r="H1482" s="5" t="inlineStr">
        <is>
          <t>Diciembre</t>
        </is>
      </c>
      <c r="I1482" s="6" t="inlineStr">
        <is>
          <t>2023-2</t>
        </is>
      </c>
      <c r="J1482" s="5" t="n">
        <v>21</v>
      </c>
      <c r="K1482" s="10" t="n">
        <v>9</v>
      </c>
      <c r="L1482" s="14">
        <f>IFERROR(IF(OR(J1482=0,K1482=""),"",IF(E1482="Positivo",MIN(MAX(K1482/J1482,0),1.3),MIN(MAX(J1482/K1482,0),1.3))),"") </f>
        <v/>
      </c>
      <c r="M1482" s="14">
        <f>IFERROR(IF(OR(J1482=0,K1482=""),"",IF(E1482="Positivo",MAX(K1482/J1482,0),MAX(J1482/K1482,0))),"") </f>
        <v/>
      </c>
      <c r="N1482" s="5" t="inlineStr">
        <is>
          <t>%</t>
        </is>
      </c>
      <c r="O1482" s="5" t="inlineStr">
        <is>
          <t>%</t>
        </is>
      </c>
      <c r="P1482" s="15" t="n">
        <v>0</v>
      </c>
      <c r="Q1482" s="15" t="n">
        <v>0</v>
      </c>
      <c r="R1482" s="5" t="inlineStr">
        <is>
          <t>295-2023-12-31</t>
        </is>
      </c>
    </row>
    <row r="1483">
      <c r="A1483" s="5" t="n">
        <v>295</v>
      </c>
      <c r="B1483" s="5" t="inlineStr">
        <is>
          <t>Cumplimiento Del Cierre De Oportunidades De Mejora De Auditoria</t>
        </is>
      </c>
      <c r="C1483" s="5" t="inlineStr">
        <is>
          <t>AUDITORÍA INTERNA</t>
        </is>
      </c>
      <c r="D1483" s="5" t="inlineStr">
        <is>
          <t>Semestral</t>
        </is>
      </c>
      <c r="E1483" s="5" t="inlineStr">
        <is>
          <t>Positivo</t>
        </is>
      </c>
      <c r="F1483" s="107" t="n">
        <v>45473</v>
      </c>
      <c r="G1483" s="5" t="n">
        <v>2024</v>
      </c>
      <c r="H1483" s="5" t="inlineStr">
        <is>
          <t>Junio</t>
        </is>
      </c>
      <c r="I1483" s="6" t="inlineStr">
        <is>
          <t>2024-1</t>
        </is>
      </c>
      <c r="J1483" s="5" t="n">
        <v>60</v>
      </c>
      <c r="K1483" s="5" t="n">
        <v>52.38</v>
      </c>
      <c r="L1483" s="14">
        <f>IFERROR(IF(OR(J1483=0,K1483=""),"",IF(E1483="Positivo",MIN(MAX(K1483/J1483,0),1.3),MIN(MAX(J1483/K1483,0),1.3))),"") </f>
        <v/>
      </c>
      <c r="M1483" s="14">
        <f>IFERROR(IF(OR(J1483=0,K1483=""),"",IF(E1483="Positivo",MAX(K1483/J1483,0),MAX(J1483/K1483,0))),"") </f>
        <v/>
      </c>
      <c r="N1483" s="5" t="inlineStr">
        <is>
          <t>ENT</t>
        </is>
      </c>
      <c r="O1483" s="5" t="inlineStr">
        <is>
          <t>ENT</t>
        </is>
      </c>
      <c r="P1483" s="5" t="n">
        <v>0</v>
      </c>
      <c r="Q1483" s="5" t="n">
        <v>0</v>
      </c>
      <c r="R1483" s="5" t="inlineStr">
        <is>
          <t>295-2024-06-30</t>
        </is>
      </c>
    </row>
    <row r="1484">
      <c r="A1484" s="21" t="n">
        <v>296</v>
      </c>
      <c r="B1484" s="5" t="inlineStr">
        <is>
          <t>Gestión de riesgos por subprocesos</t>
        </is>
      </c>
      <c r="C1484" s="5" t="inlineStr">
        <is>
          <t>GESTIÓN DE RIESGOS</t>
        </is>
      </c>
      <c r="D1484" s="5" t="inlineStr">
        <is>
          <t>Bimestral</t>
        </is>
      </c>
      <c r="E1484" s="5" t="inlineStr">
        <is>
          <t>Positivo</t>
        </is>
      </c>
      <c r="F1484" s="107" t="n">
        <v>45169</v>
      </c>
      <c r="G1484" s="5" t="n">
        <v>2023</v>
      </c>
      <c r="H1484" s="5" t="inlineStr">
        <is>
          <t>Agosto</t>
        </is>
      </c>
      <c r="I1484" s="6" t="inlineStr">
        <is>
          <t>2023-2</t>
        </is>
      </c>
      <c r="J1484" s="5" t="n">
        <v>70</v>
      </c>
      <c r="K1484" s="10" t="n">
        <v>70.91</v>
      </c>
      <c r="L1484" s="14">
        <f>IFERROR(IF(OR(J1484=0,K1484=""),"",IF(E1484="Positivo",MIN(MAX(K1484/J1484,0),1.3),MIN(MAX(J1484/K1484,0),1.3))),"") </f>
        <v/>
      </c>
      <c r="M1484" s="14">
        <f>IFERROR(IF(OR(J1484=0,K1484=""),"",IF(E1484="Positivo",MAX(K1484/J1484,0),MAX(J1484/K1484,0))),"") </f>
        <v/>
      </c>
      <c r="N1484" s="5" t="inlineStr">
        <is>
          <t>ENT</t>
        </is>
      </c>
      <c r="O1484" s="5" t="inlineStr">
        <is>
          <t>ENT</t>
        </is>
      </c>
      <c r="P1484" s="15" t="n">
        <v>0</v>
      </c>
      <c r="Q1484" s="15" t="n">
        <v>0</v>
      </c>
      <c r="R1484" s="5" t="inlineStr">
        <is>
          <t>296-2023-08-31</t>
        </is>
      </c>
    </row>
    <row r="1485">
      <c r="A1485" s="21" t="n">
        <v>296</v>
      </c>
      <c r="B1485" s="20" t="inlineStr">
        <is>
          <t>Gestión de riesgos por subprocesos</t>
        </is>
      </c>
      <c r="C1485" s="5" t="inlineStr">
        <is>
          <t>GESTIÓN DE RIESGOS</t>
        </is>
      </c>
      <c r="D1485" s="5" t="inlineStr">
        <is>
          <t>Bimestral</t>
        </is>
      </c>
      <c r="E1485" s="5" t="inlineStr">
        <is>
          <t>Positivo</t>
        </is>
      </c>
      <c r="F1485" s="107" t="n">
        <v>45230</v>
      </c>
      <c r="G1485" s="5" t="n">
        <v>2023</v>
      </c>
      <c r="H1485" s="5" t="inlineStr">
        <is>
          <t>Octubre</t>
        </is>
      </c>
      <c r="I1485" s="6" t="inlineStr">
        <is>
          <t>2023-2</t>
        </is>
      </c>
      <c r="J1485" s="5" t="n">
        <v>80</v>
      </c>
      <c r="K1485" s="52" t="n">
        <v>80</v>
      </c>
      <c r="L1485" s="14">
        <f>IFERROR(IF(OR(J1485=0,K1485=""),"",IF(E1485="Positivo",MIN(MAX(K1485/J1485,0),1.3),MIN(MAX(J1485/K1485,0),1.3))),"") </f>
        <v/>
      </c>
      <c r="M1485" s="14">
        <f>IFERROR(IF(OR(J1485=0,K1485=""),"",IF(E1485="Positivo",MAX(K1485/J1485,0),MAX(J1485/K1485,0))),"") </f>
        <v/>
      </c>
      <c r="N1485" s="5" t="inlineStr">
        <is>
          <t>ENT</t>
        </is>
      </c>
      <c r="O1485" s="5" t="inlineStr">
        <is>
          <t>ENT</t>
        </is>
      </c>
      <c r="P1485" s="15" t="n">
        <v>0</v>
      </c>
      <c r="Q1485" s="15" t="n">
        <v>0</v>
      </c>
      <c r="R1485" s="5" t="inlineStr">
        <is>
          <t>296-2023-10-31</t>
        </is>
      </c>
    </row>
    <row r="1486">
      <c r="A1486" s="21" t="n">
        <v>296</v>
      </c>
      <c r="B1486" s="5" t="inlineStr">
        <is>
          <t>Gestión de riesgos por subprocesos</t>
        </is>
      </c>
      <c r="C1486" s="5" t="inlineStr">
        <is>
          <t>GESTIÓN DE RIESGOS</t>
        </is>
      </c>
      <c r="D1486" s="5" t="inlineStr">
        <is>
          <t>Bimestral</t>
        </is>
      </c>
      <c r="E1486" s="5" t="inlineStr">
        <is>
          <t>Positivo</t>
        </is>
      </c>
      <c r="F1486" s="107" t="n">
        <v>45291</v>
      </c>
      <c r="G1486" s="5" t="n">
        <v>2023</v>
      </c>
      <c r="H1486" s="5" t="inlineStr">
        <is>
          <t>Diciembre</t>
        </is>
      </c>
      <c r="I1486" s="6" t="inlineStr">
        <is>
          <t>2023-2</t>
        </is>
      </c>
      <c r="J1486" s="5" t="n">
        <v>100</v>
      </c>
      <c r="K1486" s="15" t="n">
        <v>85.45</v>
      </c>
      <c r="L1486" s="14">
        <f>IFERROR(IF(OR(J1486=0,K1486=""),"",IF(E1486="Positivo",MIN(MAX(K1486/J1486,0),1.3),MIN(MAX(J1486/K1486,0),1.3))),"") </f>
        <v/>
      </c>
      <c r="M1486" s="14">
        <f>IFERROR(IF(OR(J1486=0,K1486=""),"",IF(E1486="Positivo",MAX(K1486/J1486,0),MAX(J1486/K1486,0))),"") </f>
        <v/>
      </c>
      <c r="N1486" s="5" t="inlineStr">
        <is>
          <t>ENT</t>
        </is>
      </c>
      <c r="O1486" s="5" t="inlineStr">
        <is>
          <t>ENT</t>
        </is>
      </c>
      <c r="P1486" s="15" t="n">
        <v>0</v>
      </c>
      <c r="Q1486" s="15" t="n">
        <v>0</v>
      </c>
      <c r="R1486" s="5" t="inlineStr">
        <is>
          <t>296-2023-12-31</t>
        </is>
      </c>
    </row>
    <row r="1487">
      <c r="A1487" s="21" t="n">
        <v>297</v>
      </c>
      <c r="B1487" s="20" t="inlineStr">
        <is>
          <t>N de riesgos operacionales intervenidos</t>
        </is>
      </c>
      <c r="C1487" s="5" t="inlineStr">
        <is>
          <t>GESTIÓN DE RIESGOS</t>
        </is>
      </c>
      <c r="D1487" s="5" t="inlineStr">
        <is>
          <t>Bimestral</t>
        </is>
      </c>
      <c r="E1487" s="5" t="inlineStr">
        <is>
          <t>Negativo</t>
        </is>
      </c>
      <c r="F1487" s="107" t="n">
        <v>45169</v>
      </c>
      <c r="G1487" s="5" t="n">
        <v>2023</v>
      </c>
      <c r="H1487" s="5" t="inlineStr">
        <is>
          <t>Agosto</t>
        </is>
      </c>
      <c r="I1487" s="6" t="inlineStr">
        <is>
          <t>2023-2</t>
        </is>
      </c>
      <c r="J1487" s="5" t="n">
        <v>20</v>
      </c>
      <c r="K1487" s="5" t="n">
        <v>0</v>
      </c>
      <c r="L1487" s="14">
        <f>IFERROR(IF(OR(J1487=0,K1487=""),"",IF(E1487="Positivo",MIN(MAX(K1487/J1487,0),1.3),MIN(MAX(J1487/K1487,0),1.3))),"") </f>
        <v/>
      </c>
      <c r="M1487" s="14">
        <f>IFERROR(IF(OR(J1487=0,K1487=""),"",IF(E1487="Positivo",MAX(K1487/J1487,0),MAX(J1487/K1487,0))),"") </f>
        <v/>
      </c>
      <c r="N1487" s="5" t="inlineStr">
        <is>
          <t>ENT</t>
        </is>
      </c>
      <c r="O1487" s="5" t="inlineStr">
        <is>
          <t>ENT</t>
        </is>
      </c>
      <c r="P1487" s="5" t="n">
        <v>0</v>
      </c>
      <c r="Q1487" s="5" t="n">
        <v>0</v>
      </c>
      <c r="R1487" s="5" t="inlineStr">
        <is>
          <t>297-2023-08-31</t>
        </is>
      </c>
    </row>
    <row r="1488">
      <c r="A1488" s="21" t="n">
        <v>297</v>
      </c>
      <c r="B1488" s="5" t="inlineStr">
        <is>
          <t>N de riesgos operacionales intervenidos</t>
        </is>
      </c>
      <c r="C1488" s="5" t="inlineStr">
        <is>
          <t>GESTIÓN DE RIESGOS</t>
        </is>
      </c>
      <c r="D1488" s="5" t="inlineStr">
        <is>
          <t>Bimestral</t>
        </is>
      </c>
      <c r="E1488" s="5" t="inlineStr">
        <is>
          <t>Negativo</t>
        </is>
      </c>
      <c r="F1488" s="107" t="n">
        <v>45230</v>
      </c>
      <c r="G1488" s="5" t="n">
        <v>2023</v>
      </c>
      <c r="H1488" s="5" t="inlineStr">
        <is>
          <t>Octubre</t>
        </is>
      </c>
      <c r="I1488" s="6" t="inlineStr">
        <is>
          <t>2023-2</t>
        </is>
      </c>
      <c r="J1488" s="5" t="n">
        <v>20</v>
      </c>
      <c r="K1488" s="10" t="n">
        <v>1.19</v>
      </c>
      <c r="L1488" s="14">
        <f>IFERROR(IF(OR(J1488=0,K1488=""),"",IF(E1488="Positivo",MIN(MAX(K1488/J1488,0),1.3),MIN(MAX(J1488/K1488,0),1.3))),"") </f>
        <v/>
      </c>
      <c r="M1488" s="14">
        <f>IFERROR(IF(OR(J1488=0,K1488=""),"",IF(E1488="Positivo",MAX(K1488/J1488,0),MAX(J1488/K1488,0))),"") </f>
        <v/>
      </c>
      <c r="N1488" s="5" t="inlineStr">
        <is>
          <t>ENT</t>
        </is>
      </c>
      <c r="O1488" s="5" t="inlineStr">
        <is>
          <t>DEC</t>
        </is>
      </c>
      <c r="P1488" s="15" t="n">
        <v>2</v>
      </c>
      <c r="Q1488" s="15" t="n">
        <v>2</v>
      </c>
      <c r="R1488" s="5" t="inlineStr">
        <is>
          <t>297-2023-10-31</t>
        </is>
      </c>
    </row>
    <row r="1489">
      <c r="A1489" s="21" t="n">
        <v>297</v>
      </c>
      <c r="B1489" s="5" t="inlineStr">
        <is>
          <t>N de riesgos operacionales intervenidos</t>
        </is>
      </c>
      <c r="C1489" s="5" t="inlineStr">
        <is>
          <t>GESTIÓN DE RIESGOS</t>
        </is>
      </c>
      <c r="D1489" s="5" t="inlineStr">
        <is>
          <t>Bimestral</t>
        </is>
      </c>
      <c r="E1489" s="5" t="inlineStr">
        <is>
          <t>Negativo</t>
        </is>
      </c>
      <c r="F1489" s="107" t="n">
        <v>45291</v>
      </c>
      <c r="G1489" s="5" t="n">
        <v>2023</v>
      </c>
      <c r="H1489" s="5" t="inlineStr">
        <is>
          <t>Diciembre</t>
        </is>
      </c>
      <c r="I1489" s="6" t="inlineStr">
        <is>
          <t>2023-2</t>
        </is>
      </c>
      <c r="J1489" s="5" t="n">
        <v>20</v>
      </c>
      <c r="K1489" s="10" t="n">
        <v>0.93</v>
      </c>
      <c r="L1489" s="14">
        <f>IFERROR(IF(OR(J1489=0,K1489=""),"",IF(E1489="Positivo",MIN(MAX(K1489/J1489,0),1.3),MIN(MAX(J1489/K1489,0),1.3))),"") </f>
        <v/>
      </c>
      <c r="M1489" s="14">
        <f>IFERROR(IF(OR(J1489=0,K1489=""),"",IF(E1489="Positivo",MAX(K1489/J1489,0),MAX(J1489/K1489,0))),"") </f>
        <v/>
      </c>
      <c r="N1489" s="5" t="inlineStr">
        <is>
          <t>ENT</t>
        </is>
      </c>
      <c r="O1489" s="5" t="inlineStr">
        <is>
          <t>DEC</t>
        </is>
      </c>
      <c r="P1489" s="15" t="n">
        <v>0</v>
      </c>
      <c r="Q1489" s="15" t="n">
        <v>0</v>
      </c>
      <c r="R1489" s="5" t="inlineStr">
        <is>
          <t>297-2023-12-31</t>
        </is>
      </c>
    </row>
    <row r="1490">
      <c r="A1490" s="21" t="n">
        <v>298</v>
      </c>
      <c r="B1490" s="5" t="inlineStr">
        <is>
          <t>N de riesgos materializados</t>
        </is>
      </c>
      <c r="C1490" s="5" t="inlineStr">
        <is>
          <t>GESTIÓN DE RIESGOS</t>
        </is>
      </c>
      <c r="D1490" s="5" t="inlineStr">
        <is>
          <t>Semestral</t>
        </is>
      </c>
      <c r="E1490" s="5" t="inlineStr">
        <is>
          <t>Negativo</t>
        </is>
      </c>
      <c r="F1490" s="107" t="n">
        <v>45291</v>
      </c>
      <c r="G1490" s="5" t="n">
        <v>2023</v>
      </c>
      <c r="H1490" s="5" t="inlineStr">
        <is>
          <t>Diciembre</t>
        </is>
      </c>
      <c r="I1490" s="6" t="inlineStr">
        <is>
          <t>2023-2</t>
        </is>
      </c>
      <c r="J1490" s="5" t="n"/>
      <c r="K1490" s="10" t="n">
        <v>1</v>
      </c>
      <c r="L1490" s="14" t="n"/>
      <c r="M1490" s="14" t="n"/>
      <c r="N1490" s="5" t="inlineStr">
        <is>
          <t>Linea Base</t>
        </is>
      </c>
      <c r="O1490" s="5" t="inlineStr">
        <is>
          <t>DEC</t>
        </is>
      </c>
      <c r="P1490" s="15" t="n">
        <v>0</v>
      </c>
      <c r="Q1490" s="15" t="n">
        <v>0</v>
      </c>
      <c r="R1490" s="5" t="inlineStr">
        <is>
          <t>298-2023-12-31</t>
        </is>
      </c>
    </row>
    <row r="1491">
      <c r="A1491" s="21" t="n">
        <v>300</v>
      </c>
      <c r="B1491" s="5" t="inlineStr">
        <is>
          <t>Cumplimiento de Inspecciones de control</t>
        </is>
      </c>
      <c r="C1491" s="5" t="inlineStr">
        <is>
          <t>Administración de Servicios Generales</t>
        </is>
      </c>
      <c r="D1491" s="5" t="inlineStr">
        <is>
          <t>Trimestral</t>
        </is>
      </c>
      <c r="E1491" s="5" t="inlineStr">
        <is>
          <t>Positivo</t>
        </is>
      </c>
      <c r="F1491" s="107" t="n">
        <v>45016</v>
      </c>
      <c r="G1491" s="5" t="n">
        <v>2023</v>
      </c>
      <c r="H1491" s="5" t="inlineStr">
        <is>
          <t>Marzo</t>
        </is>
      </c>
      <c r="I1491" s="6" t="inlineStr">
        <is>
          <t>2023-1</t>
        </is>
      </c>
      <c r="J1491" s="5" t="n">
        <v>100</v>
      </c>
      <c r="K1491" s="10" t="n">
        <v>100</v>
      </c>
      <c r="L1491" s="14">
        <f>IFERROR(IF(OR(J1491=0,K1491=""),"",IF(E1491="Positivo",MIN(MAX(K1491/J1491,0),1.3),MIN(MAX(J1491/K1491,0),1.3))),"") </f>
        <v/>
      </c>
      <c r="M1491" s="14">
        <f>IFERROR(IF(OR(J1491=0,K1491=""),"",IF(E1491="Positivo",MAX(K1491/J1491,0),MAX(J1491/K1491,0))),"") </f>
        <v/>
      </c>
      <c r="N1491" s="5" t="inlineStr">
        <is>
          <t>%</t>
        </is>
      </c>
      <c r="O1491" s="5" t="inlineStr">
        <is>
          <t>%</t>
        </is>
      </c>
      <c r="P1491" s="15" t="n">
        <v>0</v>
      </c>
      <c r="Q1491" s="15" t="n">
        <v>0</v>
      </c>
      <c r="R1491" s="5" t="inlineStr">
        <is>
          <t>300-2023-03-31</t>
        </is>
      </c>
    </row>
    <row r="1492">
      <c r="A1492" s="21" t="n">
        <v>300</v>
      </c>
      <c r="B1492" s="5" t="inlineStr">
        <is>
          <t>Cumplimiento de Inspecciones de control</t>
        </is>
      </c>
      <c r="C1492" s="5" t="inlineStr">
        <is>
          <t>Administración de Servicios Generales</t>
        </is>
      </c>
      <c r="D1492" s="5" t="inlineStr">
        <is>
          <t>Trimestral</t>
        </is>
      </c>
      <c r="E1492" s="5" t="inlineStr">
        <is>
          <t>Positivo</t>
        </is>
      </c>
      <c r="F1492" s="107" t="n">
        <v>45107</v>
      </c>
      <c r="G1492" s="5" t="n">
        <v>2023</v>
      </c>
      <c r="H1492" s="5" t="inlineStr">
        <is>
          <t>Junio</t>
        </is>
      </c>
      <c r="I1492" s="6" t="inlineStr">
        <is>
          <t>2023-1</t>
        </is>
      </c>
      <c r="J1492" s="5" t="n">
        <v>100</v>
      </c>
      <c r="K1492" s="10" t="n">
        <v>100</v>
      </c>
      <c r="L1492" s="14">
        <f>IFERROR(IF(OR(J1492=0,K1492=""),"",IF(E1492="Positivo",MIN(MAX(K1492/J1492,0),1.3),MIN(MAX(J1492/K1492,0),1.3))),"") </f>
        <v/>
      </c>
      <c r="M1492" s="14">
        <f>IFERROR(IF(OR(J1492=0,K1492=""),"",IF(E1492="Positivo",MAX(K1492/J1492,0),MAX(J1492/K1492,0))),"") </f>
        <v/>
      </c>
      <c r="N1492" s="5" t="inlineStr">
        <is>
          <t>%</t>
        </is>
      </c>
      <c r="O1492" s="5" t="inlineStr">
        <is>
          <t>%</t>
        </is>
      </c>
      <c r="P1492" s="15" t="n">
        <v>0</v>
      </c>
      <c r="Q1492" s="15" t="n">
        <v>0</v>
      </c>
      <c r="R1492" s="5" t="inlineStr">
        <is>
          <t>300-2023-06-30</t>
        </is>
      </c>
    </row>
    <row r="1493">
      <c r="A1493" s="21" t="n">
        <v>300</v>
      </c>
      <c r="B1493" s="5" t="inlineStr">
        <is>
          <t>Cumplimiento de Inspecciones de control</t>
        </is>
      </c>
      <c r="C1493" s="5" t="inlineStr">
        <is>
          <t>Administración de Servicios Generales</t>
        </is>
      </c>
      <c r="D1493" s="5" t="inlineStr">
        <is>
          <t>Trimestral</t>
        </is>
      </c>
      <c r="E1493" s="5" t="inlineStr">
        <is>
          <t>Positivo</t>
        </is>
      </c>
      <c r="F1493" s="107" t="n">
        <v>45199</v>
      </c>
      <c r="G1493" s="5" t="n">
        <v>2023</v>
      </c>
      <c r="H1493" s="5" t="inlineStr">
        <is>
          <t>Septiembre</t>
        </is>
      </c>
      <c r="I1493" s="6" t="inlineStr">
        <is>
          <t>2023-2</t>
        </is>
      </c>
      <c r="J1493" s="5" t="n">
        <v>100</v>
      </c>
      <c r="K1493" s="10" t="n">
        <v>100</v>
      </c>
      <c r="L1493" s="14">
        <f>IFERROR(IF(OR(J1493=0,K1493=""),"",IF(E1493="Positivo",MIN(MAX(K1493/J1493,0),1.3),MIN(MAX(J1493/K1493,0),1.3))),"") </f>
        <v/>
      </c>
      <c r="M1493" s="14">
        <f>IFERROR(IF(OR(J1493=0,K1493=""),"",IF(E1493="Positivo",MAX(K1493/J1493,0),MAX(J1493/K1493,0))),"") </f>
        <v/>
      </c>
      <c r="N1493" s="5" t="inlineStr">
        <is>
          <t>%</t>
        </is>
      </c>
      <c r="O1493" s="5" t="inlineStr">
        <is>
          <t>%</t>
        </is>
      </c>
      <c r="P1493" s="15" t="n">
        <v>0</v>
      </c>
      <c r="Q1493" s="15" t="n">
        <v>0</v>
      </c>
      <c r="R1493" s="5" t="inlineStr">
        <is>
          <t>300-2023-09-30</t>
        </is>
      </c>
    </row>
    <row r="1494">
      <c r="A1494" s="21" t="n">
        <v>300</v>
      </c>
      <c r="B1494" s="5" t="inlineStr">
        <is>
          <t>Cumplimiento de Inspecciones de control</t>
        </is>
      </c>
      <c r="C1494" s="5" t="inlineStr">
        <is>
          <t>Administración de Servicios Generales</t>
        </is>
      </c>
      <c r="D1494" s="5" t="inlineStr">
        <is>
          <t>Trimestral</t>
        </is>
      </c>
      <c r="E1494" s="5" t="inlineStr">
        <is>
          <t>Positivo</t>
        </is>
      </c>
      <c r="F1494" s="107" t="n">
        <v>45291</v>
      </c>
      <c r="G1494" s="5" t="n">
        <v>2023</v>
      </c>
      <c r="H1494" s="5" t="inlineStr">
        <is>
          <t>Diciembre</t>
        </is>
      </c>
      <c r="I1494" s="6" t="inlineStr">
        <is>
          <t>2023-2</t>
        </is>
      </c>
      <c r="J1494" s="5" t="n">
        <v>100</v>
      </c>
      <c r="K1494" s="10" t="n">
        <v>100</v>
      </c>
      <c r="L1494" s="14">
        <f>IFERROR(IF(OR(J1494=0,K1494=""),"",IF(E1494="Positivo",MIN(MAX(K1494/J1494,0),1.3),MIN(MAX(J1494/K1494,0),1.3))),"") </f>
        <v/>
      </c>
      <c r="M1494" s="14">
        <f>IFERROR(IF(OR(J1494=0,K1494=""),"",IF(E1494="Positivo",MAX(K1494/J1494,0),MAX(J1494/K1494,0))),"") </f>
        <v/>
      </c>
      <c r="N1494" s="5" t="inlineStr">
        <is>
          <t>%</t>
        </is>
      </c>
      <c r="O1494" s="5" t="inlineStr">
        <is>
          <t>%</t>
        </is>
      </c>
      <c r="P1494" s="15" t="n">
        <v>0</v>
      </c>
      <c r="Q1494" s="15" t="n">
        <v>0</v>
      </c>
      <c r="R1494" s="5" t="inlineStr">
        <is>
          <t>300-2023-12-31</t>
        </is>
      </c>
    </row>
    <row r="1495">
      <c r="A1495" s="21" t="n">
        <v>300</v>
      </c>
      <c r="B1495" s="5" t="inlineStr">
        <is>
          <t>Cumplimiento de Inspecciones de control</t>
        </is>
      </c>
      <c r="C1495" s="5" t="inlineStr">
        <is>
          <t>Administración de Servicios Generales</t>
        </is>
      </c>
      <c r="D1495" s="5" t="inlineStr">
        <is>
          <t>Trimestral</t>
        </is>
      </c>
      <c r="E1495" s="5" t="inlineStr">
        <is>
          <t>Positivo</t>
        </is>
      </c>
      <c r="F1495" s="107" t="n">
        <v>45382</v>
      </c>
      <c r="G1495" s="5" t="n">
        <v>2024</v>
      </c>
      <c r="H1495" s="5" t="inlineStr">
        <is>
          <t>Marzo</t>
        </is>
      </c>
      <c r="I1495" s="6" t="inlineStr">
        <is>
          <t>2024-1</t>
        </is>
      </c>
      <c r="J1495" s="5" t="n">
        <v>100</v>
      </c>
      <c r="K1495" s="10" t="n">
        <v>100</v>
      </c>
      <c r="L1495" s="14">
        <f>IFERROR(IF(OR(J1495=0,K1495=""),"",IF(E1495="Positivo",MIN(MAX(K1495/J1495,0),1.3),MIN(MAX(J1495/K1495,0),1.3))),"") </f>
        <v/>
      </c>
      <c r="M1495" s="14">
        <f>IFERROR(IF(OR(J1495=0,K1495=""),"",IF(E1495="Positivo",MAX(K1495/J1495,0),MAX(J1495/K1495,0))),"") </f>
        <v/>
      </c>
      <c r="N1495" s="5" t="inlineStr">
        <is>
          <t>%</t>
        </is>
      </c>
      <c r="O1495" s="5" t="inlineStr">
        <is>
          <t>%</t>
        </is>
      </c>
      <c r="P1495" s="15" t="n">
        <v>0</v>
      </c>
      <c r="Q1495" s="15" t="n">
        <v>0</v>
      </c>
      <c r="R1495" s="5" t="inlineStr">
        <is>
          <t>300-2024-03-31</t>
        </is>
      </c>
    </row>
    <row r="1496">
      <c r="A1496" s="21" t="n">
        <v>300</v>
      </c>
      <c r="B1496" s="5" t="inlineStr">
        <is>
          <t>Cumplimiento de Inspecciones de control</t>
        </is>
      </c>
      <c r="C1496" s="5" t="inlineStr">
        <is>
          <t>Administración de Servicios Generales</t>
        </is>
      </c>
      <c r="D1496" s="5" t="inlineStr">
        <is>
          <t>Trimestral</t>
        </is>
      </c>
      <c r="E1496" s="5" t="inlineStr">
        <is>
          <t>Positivo</t>
        </is>
      </c>
      <c r="F1496" s="107" t="n">
        <v>45473</v>
      </c>
      <c r="G1496" s="5" t="n">
        <v>2024</v>
      </c>
      <c r="H1496" s="5" t="inlineStr">
        <is>
          <t>Junio</t>
        </is>
      </c>
      <c r="I1496" s="6" t="inlineStr">
        <is>
          <t>2024-1</t>
        </is>
      </c>
      <c r="J1496" s="5" t="n">
        <v>100</v>
      </c>
      <c r="K1496" s="10" t="n">
        <v>100</v>
      </c>
      <c r="L1496" s="14">
        <f>IFERROR(IF(OR(J1496=0,K1496=""),"",IF(E1496="Positivo",MIN(MAX(K1496/J1496,0),1.3),MIN(MAX(J1496/K1496,0),1.3))),"") </f>
        <v/>
      </c>
      <c r="M1496" s="14">
        <f>IFERROR(IF(OR(J1496=0,K1496=""),"",IF(E1496="Positivo",MAX(K1496/J1496,0),MAX(J1496/K1496,0))),"") </f>
        <v/>
      </c>
      <c r="N1496" s="5" t="inlineStr">
        <is>
          <t>%</t>
        </is>
      </c>
      <c r="O1496" s="5" t="inlineStr">
        <is>
          <t>%</t>
        </is>
      </c>
      <c r="P1496" s="15" t="n">
        <v>0</v>
      </c>
      <c r="Q1496" s="15" t="n">
        <v>0</v>
      </c>
      <c r="R1496" s="5" t="inlineStr">
        <is>
          <t>300-2024-06-30</t>
        </is>
      </c>
    </row>
    <row r="1497">
      <c r="A1497" s="21" t="n">
        <v>300</v>
      </c>
      <c r="B1497" s="5" t="inlineStr">
        <is>
          <t>Cumplimiento de Inspecciones de control</t>
        </is>
      </c>
      <c r="C1497" s="5" t="inlineStr">
        <is>
          <t>Administración de Servicios Generales</t>
        </is>
      </c>
      <c r="D1497" s="5" t="inlineStr">
        <is>
          <t>Trimestral</t>
        </is>
      </c>
      <c r="E1497" s="5" t="inlineStr">
        <is>
          <t>Positivo</t>
        </is>
      </c>
      <c r="F1497" s="107" t="n">
        <v>45565</v>
      </c>
      <c r="G1497" s="5" t="n">
        <v>2024</v>
      </c>
      <c r="H1497" s="5" t="inlineStr">
        <is>
          <t>Septiembre</t>
        </is>
      </c>
      <c r="I1497" s="6" t="inlineStr">
        <is>
          <t>2024-2</t>
        </is>
      </c>
      <c r="J1497" s="5" t="n">
        <v>100</v>
      </c>
      <c r="K1497" s="10" t="n">
        <v>100</v>
      </c>
      <c r="L1497" s="14">
        <f>IFERROR(IF(OR(J1497=0,K1497=""),"",IF(E1497="Positivo",MIN(MAX(K1497/J1497,0),1.3),MIN(MAX(J1497/K1497,0),1.3))),"") </f>
        <v/>
      </c>
      <c r="M1497" s="14">
        <f>IFERROR(IF(OR(J1497=0,K1497=""),"",IF(E1497="Positivo",MAX(K1497/J1497,0),MAX(J1497/K1497,0))),"") </f>
        <v/>
      </c>
      <c r="N1497" s="5" t="inlineStr">
        <is>
          <t>%</t>
        </is>
      </c>
      <c r="O1497" s="5" t="inlineStr">
        <is>
          <t>%</t>
        </is>
      </c>
      <c r="P1497" s="15" t="n">
        <v>0</v>
      </c>
      <c r="Q1497" s="15" t="n">
        <v>0</v>
      </c>
      <c r="R1497" s="5" t="inlineStr">
        <is>
          <t>300-2024-09-30</t>
        </is>
      </c>
    </row>
    <row r="1498">
      <c r="A1498" s="21" t="n">
        <v>300</v>
      </c>
      <c r="B1498" s="5" t="inlineStr">
        <is>
          <t>Cumplimiento de Inspecciones de control</t>
        </is>
      </c>
      <c r="C1498" s="5" t="inlineStr">
        <is>
          <t>Administración de Servicios Generales</t>
        </is>
      </c>
      <c r="D1498" s="5" t="inlineStr">
        <is>
          <t>Trimestral</t>
        </is>
      </c>
      <c r="E1498" s="5" t="inlineStr">
        <is>
          <t>Positivo</t>
        </is>
      </c>
      <c r="F1498" s="107" t="n">
        <v>45657</v>
      </c>
      <c r="G1498" s="5" t="n">
        <v>2024</v>
      </c>
      <c r="H1498" s="5" t="inlineStr">
        <is>
          <t>Diciembre</t>
        </is>
      </c>
      <c r="I1498" s="6" t="inlineStr">
        <is>
          <t>2024-2</t>
        </is>
      </c>
      <c r="J1498" s="5" t="n">
        <v>100</v>
      </c>
      <c r="K1498" s="10" t="n">
        <v>100</v>
      </c>
      <c r="L1498" s="14">
        <f>IFERROR(IF(OR(J1498=0,K1498=""),"",IF(E1498="Positivo",MIN(MAX(K1498/J1498,0),1.3),MIN(MAX(J1498/K1498,0),1.3))),"") </f>
        <v/>
      </c>
      <c r="M1498" s="14">
        <f>IFERROR(IF(OR(J1498=0,K1498=""),"",IF(E1498="Positivo",MAX(K1498/J1498,0),MAX(J1498/K1498,0))),"") </f>
        <v/>
      </c>
      <c r="N1498" s="5" t="inlineStr">
        <is>
          <t>%</t>
        </is>
      </c>
      <c r="O1498" s="5" t="inlineStr">
        <is>
          <t>%</t>
        </is>
      </c>
      <c r="P1498" s="15" t="n">
        <v>0</v>
      </c>
      <c r="Q1498" s="15" t="n">
        <v>0</v>
      </c>
      <c r="R1498" s="5" t="inlineStr">
        <is>
          <t>300-2024-12-31</t>
        </is>
      </c>
    </row>
    <row r="1499">
      <c r="A1499" s="21" t="n">
        <v>300</v>
      </c>
      <c r="B1499" s="5" t="inlineStr">
        <is>
          <t>Cumplimiento de Inspecciones de control</t>
        </is>
      </c>
      <c r="C1499" s="5" t="inlineStr">
        <is>
          <t>Administración de Servicios Generales</t>
        </is>
      </c>
      <c r="D1499" s="5" t="inlineStr">
        <is>
          <t>Trimestral</t>
        </is>
      </c>
      <c r="E1499" s="5" t="inlineStr">
        <is>
          <t>Positivo</t>
        </is>
      </c>
      <c r="F1499" s="107" t="n">
        <v>45747</v>
      </c>
      <c r="G1499" s="5" t="n">
        <v>2025</v>
      </c>
      <c r="H1499" s="5" t="inlineStr">
        <is>
          <t>Marzo</t>
        </is>
      </c>
      <c r="I1499" s="6" t="inlineStr">
        <is>
          <t>2025-1</t>
        </is>
      </c>
      <c r="J1499" s="5" t="n">
        <v>100</v>
      </c>
      <c r="K1499" s="10" t="n">
        <v>100</v>
      </c>
      <c r="L1499" s="14">
        <f>IFERROR(IF(OR(J1499=0,K1499=""),"",IF(E1499="Positivo",MIN(MAX(K1499/J1499,0),1.3),MIN(MAX(J1499/K1499,0),1.3))),"") </f>
        <v/>
      </c>
      <c r="M1499" s="14">
        <f>IFERROR(IF(OR(J1499=0,K1499=""),"",IF(E1499="Positivo",MAX(K1499/J1499,0),MAX(J1499/K1499,0))),"") </f>
        <v/>
      </c>
      <c r="N1499" s="5" t="inlineStr">
        <is>
          <t>%</t>
        </is>
      </c>
      <c r="O1499" s="5" t="inlineStr">
        <is>
          <t>%</t>
        </is>
      </c>
      <c r="P1499" s="15" t="n">
        <v>0</v>
      </c>
      <c r="Q1499" s="15" t="n">
        <v>0</v>
      </c>
      <c r="R1499" s="5" t="inlineStr">
        <is>
          <t>300-2025-03-31</t>
        </is>
      </c>
    </row>
    <row r="1500">
      <c r="A1500" s="21" t="n">
        <v>300</v>
      </c>
      <c r="B1500" s="5" t="inlineStr">
        <is>
          <t>Cumplimiento de Inspecciones de control</t>
        </is>
      </c>
      <c r="C1500" s="5" t="inlineStr">
        <is>
          <t>Administración de Servicios Generales</t>
        </is>
      </c>
      <c r="D1500" s="5" t="inlineStr">
        <is>
          <t>Trimestral</t>
        </is>
      </c>
      <c r="E1500" s="5" t="inlineStr">
        <is>
          <t>Positivo</t>
        </is>
      </c>
      <c r="F1500" s="107" t="n">
        <v>45838</v>
      </c>
      <c r="G1500" s="5" t="n">
        <v>2025</v>
      </c>
      <c r="H1500" s="5" t="inlineStr">
        <is>
          <t>Junio</t>
        </is>
      </c>
      <c r="I1500" s="6" t="inlineStr">
        <is>
          <t>2025-1</t>
        </is>
      </c>
      <c r="J1500" s="5" t="n">
        <v>100</v>
      </c>
      <c r="K1500" s="10" t="n">
        <v>100</v>
      </c>
      <c r="L1500" s="14">
        <f>IFERROR(IF(OR(J1500=0,K1500=""),"",IF(E1500="Positivo",MIN(MAX(K1500/J1500,0),1.3),MIN(MAX(J1500/K1500,0),1.3))),"") </f>
        <v/>
      </c>
      <c r="M1500" s="14">
        <f>IFERROR(IF(OR(J1500=0,K1500=""),"",IF(E1500="Positivo",MAX(K1500/J1500,0),MAX(J1500/K1500,0))),"") </f>
        <v/>
      </c>
      <c r="N1500" s="5" t="inlineStr">
        <is>
          <t>%</t>
        </is>
      </c>
      <c r="O1500" s="5" t="inlineStr">
        <is>
          <t>%</t>
        </is>
      </c>
      <c r="P1500" s="15" t="n">
        <v>0</v>
      </c>
      <c r="Q1500" s="15" t="n">
        <v>0</v>
      </c>
      <c r="R1500" s="5" t="inlineStr">
        <is>
          <t>300-2025-06-30</t>
        </is>
      </c>
    </row>
    <row r="1501">
      <c r="A1501" s="5" t="n">
        <v>300</v>
      </c>
      <c r="B1501" s="5" t="inlineStr">
        <is>
          <t>Cumplimiento de Inspecciones de control</t>
        </is>
      </c>
      <c r="C1501" s="5" t="inlineStr">
        <is>
          <t>Administración de Servicios Generales</t>
        </is>
      </c>
      <c r="D1501" s="5" t="inlineStr">
        <is>
          <t>Semestral</t>
        </is>
      </c>
      <c r="E1501" s="5" t="inlineStr">
        <is>
          <t>Positivo</t>
        </is>
      </c>
      <c r="F1501" s="107" t="n">
        <v>45930</v>
      </c>
      <c r="G1501" s="5" t="n">
        <v>2025</v>
      </c>
      <c r="H1501" s="5" t="inlineStr">
        <is>
          <t>Septiembre</t>
        </is>
      </c>
      <c r="I1501" s="6" t="inlineStr">
        <is>
          <t>2025-2</t>
        </is>
      </c>
      <c r="J1501" s="5" t="n">
        <v>100</v>
      </c>
      <c r="K1501" s="5" t="n">
        <v>100</v>
      </c>
      <c r="L1501" s="14">
        <f>IFERROR(IF(OR(J1501=0,K1501=""),"",IF(E1501="Positivo",MIN(MAX(K1501/J1501,0),1.3),MIN(MAX(J1501/K1501,0),1.3))),"") </f>
        <v/>
      </c>
      <c r="M1501" s="14">
        <f>IFERROR(IF(OR(J1501=0,K1501=""),"",IF(E1501="Positivo",MAX(K1501/J1501,0),MAX(J1501/K1501,0))),"") </f>
        <v/>
      </c>
      <c r="N1501" s="5" t="inlineStr">
        <is>
          <t>%</t>
        </is>
      </c>
      <c r="O1501" s="5" t="inlineStr">
        <is>
          <t>%</t>
        </is>
      </c>
      <c r="P1501" s="5" t="n">
        <v>0</v>
      </c>
      <c r="Q1501" s="5" t="n">
        <v>0</v>
      </c>
      <c r="R1501" s="5" t="inlineStr">
        <is>
          <t>300-2025-09-30</t>
        </is>
      </c>
    </row>
    <row r="1502">
      <c r="A1502" s="21" t="n">
        <v>300</v>
      </c>
      <c r="B1502" s="5" t="inlineStr">
        <is>
          <t>Cumplimiento de Inspecciones de control</t>
        </is>
      </c>
      <c r="C1502" s="5" t="inlineStr">
        <is>
          <t>Administración de Servicios Generales</t>
        </is>
      </c>
      <c r="D1502" s="5" t="inlineStr">
        <is>
          <t>Semestral</t>
        </is>
      </c>
      <c r="E1502" s="5" t="inlineStr">
        <is>
          <t>Positivo</t>
        </is>
      </c>
      <c r="F1502" s="107" t="n">
        <v>46022</v>
      </c>
      <c r="G1502" s="5" t="n">
        <v>2025</v>
      </c>
      <c r="H1502" s="5" t="inlineStr">
        <is>
          <t>Diciembre</t>
        </is>
      </c>
      <c r="I1502" s="6" t="inlineStr">
        <is>
          <t>2025-2</t>
        </is>
      </c>
      <c r="J1502" s="5" t="n">
        <v>100</v>
      </c>
      <c r="K1502" s="10" t="n">
        <v>100</v>
      </c>
      <c r="L1502" s="14">
        <f>IFERROR(IF(OR(J1502=0,K1502=""),"",IF(E1502="Positivo",MIN(MAX(K1502/J1502,0),1.3),MIN(MAX(J1502/K1502,0),1.3))),"") </f>
        <v/>
      </c>
      <c r="M1502" s="14">
        <f>IFERROR(IF(OR(J1502=0,K1502=""),"",IF(E1502="Positivo",MAX(K1502/J1502,0),MAX(J1502/K1502,0))),"") </f>
        <v/>
      </c>
      <c r="N1502" s="5" t="inlineStr">
        <is>
          <t>%</t>
        </is>
      </c>
      <c r="O1502" s="5" t="inlineStr">
        <is>
          <t>%</t>
        </is>
      </c>
      <c r="P1502" s="15" t="n">
        <v>0</v>
      </c>
      <c r="Q1502" s="15" t="n">
        <v>0</v>
      </c>
      <c r="R1502" s="5" t="inlineStr">
        <is>
          <t>300-2025-12-31</t>
        </is>
      </c>
    </row>
    <row r="1503">
      <c r="A1503" s="21" t="n">
        <v>301</v>
      </c>
      <c r="B1503" s="5" t="inlineStr">
        <is>
          <t>Cumplimiento plan de trabajo</t>
        </is>
      </c>
      <c r="C1503" s="5" t="inlineStr">
        <is>
          <t>Administración de Servicios Generales</t>
        </is>
      </c>
      <c r="D1503" s="5" t="inlineStr">
        <is>
          <t>Trimestral</t>
        </is>
      </c>
      <c r="E1503" s="5" t="inlineStr">
        <is>
          <t>Positivo</t>
        </is>
      </c>
      <c r="F1503" s="107" t="n">
        <v>45016</v>
      </c>
      <c r="G1503" s="5" t="n">
        <v>2023</v>
      </c>
      <c r="H1503" s="5" t="inlineStr">
        <is>
          <t>Marzo</t>
        </is>
      </c>
      <c r="I1503" s="6" t="inlineStr">
        <is>
          <t>2023-1</t>
        </is>
      </c>
      <c r="J1503" s="5" t="n">
        <v>100</v>
      </c>
      <c r="K1503" s="10" t="n">
        <v>100</v>
      </c>
      <c r="L1503" s="14">
        <f>IFERROR(IF(OR(J1503=0,K1503=""),"",IF(E1503="Positivo",MIN(MAX(K1503/J1503,0),1.3),MIN(MAX(J1503/K1503,0),1.3))),"") </f>
        <v/>
      </c>
      <c r="M1503" s="14">
        <f>IFERROR(IF(OR(J1503=0,K1503=""),"",IF(E1503="Positivo",MAX(K1503/J1503,0),MAX(J1503/K1503,0))),"") </f>
        <v/>
      </c>
      <c r="N1503" s="5" t="inlineStr">
        <is>
          <t>%</t>
        </is>
      </c>
      <c r="O1503" s="5" t="inlineStr">
        <is>
          <t>%</t>
        </is>
      </c>
      <c r="P1503" s="15" t="n">
        <v>0</v>
      </c>
      <c r="Q1503" s="15" t="n">
        <v>0</v>
      </c>
      <c r="R1503" s="5" t="inlineStr">
        <is>
          <t>301-2023-03-31</t>
        </is>
      </c>
    </row>
    <row r="1504">
      <c r="A1504" s="21" t="n">
        <v>301</v>
      </c>
      <c r="B1504" s="5" t="inlineStr">
        <is>
          <t>Cumplimiento plan de trabajo</t>
        </is>
      </c>
      <c r="C1504" s="5" t="inlineStr">
        <is>
          <t>Administración de Servicios Generales</t>
        </is>
      </c>
      <c r="D1504" s="5" t="inlineStr">
        <is>
          <t>Trimestral</t>
        </is>
      </c>
      <c r="E1504" s="5" t="inlineStr">
        <is>
          <t>Positivo</t>
        </is>
      </c>
      <c r="F1504" s="107" t="n">
        <v>45107</v>
      </c>
      <c r="G1504" s="5" t="n">
        <v>2023</v>
      </c>
      <c r="H1504" s="5" t="inlineStr">
        <is>
          <t>Junio</t>
        </is>
      </c>
      <c r="I1504" s="6" t="inlineStr">
        <is>
          <t>2023-1</t>
        </is>
      </c>
      <c r="J1504" s="5" t="n">
        <v>100</v>
      </c>
      <c r="K1504" s="10" t="n">
        <v>100</v>
      </c>
      <c r="L1504" s="14">
        <f>IFERROR(IF(OR(J1504=0,K1504=""),"",IF(E1504="Positivo",MIN(MAX(K1504/J1504,0),1.3),MIN(MAX(J1504/K1504,0),1.3))),"") </f>
        <v/>
      </c>
      <c r="M1504" s="14">
        <f>IFERROR(IF(OR(J1504=0,K1504=""),"",IF(E1504="Positivo",MAX(K1504/J1504,0),MAX(J1504/K1504,0))),"") </f>
        <v/>
      </c>
      <c r="N1504" s="5" t="inlineStr">
        <is>
          <t>%</t>
        </is>
      </c>
      <c r="O1504" s="5" t="inlineStr">
        <is>
          <t>%</t>
        </is>
      </c>
      <c r="P1504" s="15" t="n">
        <v>0</v>
      </c>
      <c r="Q1504" s="15" t="n">
        <v>0</v>
      </c>
      <c r="R1504" s="5" t="inlineStr">
        <is>
          <t>301-2023-06-30</t>
        </is>
      </c>
    </row>
    <row r="1505">
      <c r="A1505" s="21" t="n">
        <v>301</v>
      </c>
      <c r="B1505" s="5" t="inlineStr">
        <is>
          <t>Cumplimiento plan de trabajo</t>
        </is>
      </c>
      <c r="C1505" s="5" t="inlineStr">
        <is>
          <t>Administración de Servicios Generales</t>
        </is>
      </c>
      <c r="D1505" s="5" t="inlineStr">
        <is>
          <t>Trimestral</t>
        </is>
      </c>
      <c r="E1505" s="5" t="inlineStr">
        <is>
          <t>Positivo</t>
        </is>
      </c>
      <c r="F1505" s="107" t="n">
        <v>45199</v>
      </c>
      <c r="G1505" s="5" t="n">
        <v>2023</v>
      </c>
      <c r="H1505" s="5" t="inlineStr">
        <is>
          <t>Septiembre</t>
        </is>
      </c>
      <c r="I1505" s="6" t="inlineStr">
        <is>
          <t>2023-2</t>
        </is>
      </c>
      <c r="J1505" s="5" t="n">
        <v>100</v>
      </c>
      <c r="K1505" s="10" t="n">
        <v>100</v>
      </c>
      <c r="L1505" s="14">
        <f>IFERROR(IF(OR(J1505=0,K1505=""),"",IF(E1505="Positivo",MIN(MAX(K1505/J1505,0),1.3),MIN(MAX(J1505/K1505,0),1.3))),"") </f>
        <v/>
      </c>
      <c r="M1505" s="14">
        <f>IFERROR(IF(OR(J1505=0,K1505=""),"",IF(E1505="Positivo",MAX(K1505/J1505,0),MAX(J1505/K1505,0))),"") </f>
        <v/>
      </c>
      <c r="N1505" s="5" t="inlineStr">
        <is>
          <t>%</t>
        </is>
      </c>
      <c r="O1505" s="5" t="inlineStr">
        <is>
          <t>%</t>
        </is>
      </c>
      <c r="P1505" s="15" t="n">
        <v>0</v>
      </c>
      <c r="Q1505" s="15" t="n">
        <v>0</v>
      </c>
      <c r="R1505" s="5" t="inlineStr">
        <is>
          <t>301-2023-09-30</t>
        </is>
      </c>
    </row>
    <row r="1506">
      <c r="A1506" s="21" t="n">
        <v>301</v>
      </c>
      <c r="B1506" s="5" t="inlineStr">
        <is>
          <t>Cumplimiento plan de trabajo</t>
        </is>
      </c>
      <c r="C1506" s="5" t="inlineStr">
        <is>
          <t>Administración de Servicios Generales</t>
        </is>
      </c>
      <c r="D1506" s="5" t="inlineStr">
        <is>
          <t>Trimestral</t>
        </is>
      </c>
      <c r="E1506" s="5" t="inlineStr">
        <is>
          <t>Positivo</t>
        </is>
      </c>
      <c r="F1506" s="107" t="n">
        <v>45291</v>
      </c>
      <c r="G1506" s="5" t="n">
        <v>2023</v>
      </c>
      <c r="H1506" s="5" t="inlineStr">
        <is>
          <t>Diciembre</t>
        </is>
      </c>
      <c r="I1506" s="6" t="inlineStr">
        <is>
          <t>2023-2</t>
        </is>
      </c>
      <c r="J1506" s="5" t="n">
        <v>100</v>
      </c>
      <c r="K1506" s="10" t="n">
        <v>100</v>
      </c>
      <c r="L1506" s="14">
        <f>IFERROR(IF(OR(J1506=0,K1506=""),"",IF(E1506="Positivo",MIN(MAX(K1506/J1506,0),1.3),MIN(MAX(J1506/K1506,0),1.3))),"") </f>
        <v/>
      </c>
      <c r="M1506" s="14">
        <f>IFERROR(IF(OR(J1506=0,K1506=""),"",IF(E1506="Positivo",MAX(K1506/J1506,0),MAX(J1506/K1506,0))),"") </f>
        <v/>
      </c>
      <c r="N1506" s="5" t="inlineStr">
        <is>
          <t>%</t>
        </is>
      </c>
      <c r="O1506" s="5" t="inlineStr">
        <is>
          <t>%</t>
        </is>
      </c>
      <c r="P1506" s="15" t="n">
        <v>0</v>
      </c>
      <c r="Q1506" s="15" t="n">
        <v>0</v>
      </c>
      <c r="R1506" s="5" t="inlineStr">
        <is>
          <t>301-2023-12-31</t>
        </is>
      </c>
    </row>
    <row r="1507">
      <c r="A1507" s="21" t="n">
        <v>301</v>
      </c>
      <c r="B1507" s="5" t="inlineStr">
        <is>
          <t>Cumplimiento plan de trabajo</t>
        </is>
      </c>
      <c r="C1507" s="5" t="inlineStr">
        <is>
          <t>Administración de Servicios Generales</t>
        </is>
      </c>
      <c r="D1507" s="5" t="inlineStr">
        <is>
          <t>Trimestral</t>
        </is>
      </c>
      <c r="E1507" s="5" t="inlineStr">
        <is>
          <t>Positivo</t>
        </is>
      </c>
      <c r="F1507" s="107" t="n">
        <v>45382</v>
      </c>
      <c r="G1507" s="5" t="n">
        <v>2024</v>
      </c>
      <c r="H1507" s="5" t="inlineStr">
        <is>
          <t>Marzo</t>
        </is>
      </c>
      <c r="I1507" s="6" t="inlineStr">
        <is>
          <t>2024-1</t>
        </is>
      </c>
      <c r="J1507" s="5" t="n">
        <v>100</v>
      </c>
      <c r="K1507" s="10" t="n">
        <v>100</v>
      </c>
      <c r="L1507" s="14">
        <f>IFERROR(IF(OR(J1507=0,K1507=""),"",IF(E1507="Positivo",MIN(MAX(K1507/J1507,0),1.3),MIN(MAX(J1507/K1507,0),1.3))),"") </f>
        <v/>
      </c>
      <c r="M1507" s="14">
        <f>IFERROR(IF(OR(J1507=0,K1507=""),"",IF(E1507="Positivo",MAX(K1507/J1507,0),MAX(J1507/K1507,0))),"") </f>
        <v/>
      </c>
      <c r="N1507" s="5" t="inlineStr">
        <is>
          <t>%</t>
        </is>
      </c>
      <c r="O1507" s="5" t="inlineStr">
        <is>
          <t>%</t>
        </is>
      </c>
      <c r="P1507" s="15" t="n">
        <v>0</v>
      </c>
      <c r="Q1507" s="15" t="n">
        <v>0</v>
      </c>
      <c r="R1507" s="5" t="inlineStr">
        <is>
          <t>301-2024-03-31</t>
        </is>
      </c>
    </row>
    <row r="1508">
      <c r="A1508" s="21" t="n">
        <v>301</v>
      </c>
      <c r="B1508" s="5" t="inlineStr">
        <is>
          <t>Cumplimiento plan de trabajo</t>
        </is>
      </c>
      <c r="C1508" s="5" t="inlineStr">
        <is>
          <t>Administración de Servicios Generales</t>
        </is>
      </c>
      <c r="D1508" s="5" t="inlineStr">
        <is>
          <t>Trimestral</t>
        </is>
      </c>
      <c r="E1508" s="5" t="inlineStr">
        <is>
          <t>Positivo</t>
        </is>
      </c>
      <c r="F1508" s="107" t="n">
        <v>45473</v>
      </c>
      <c r="G1508" s="5" t="n">
        <v>2024</v>
      </c>
      <c r="H1508" s="5" t="inlineStr">
        <is>
          <t>Junio</t>
        </is>
      </c>
      <c r="I1508" s="6" t="inlineStr">
        <is>
          <t>2024-1</t>
        </is>
      </c>
      <c r="J1508" s="5" t="n">
        <v>100</v>
      </c>
      <c r="K1508" s="10" t="n">
        <v>100</v>
      </c>
      <c r="L1508" s="14">
        <f>IFERROR(IF(OR(J1508=0,K1508=""),"",IF(E1508="Positivo",MIN(MAX(K1508/J1508,0),1.3),MIN(MAX(J1508/K1508,0),1.3))),"") </f>
        <v/>
      </c>
      <c r="M1508" s="14">
        <f>IFERROR(IF(OR(J1508=0,K1508=""),"",IF(E1508="Positivo",MAX(K1508/J1508,0),MAX(J1508/K1508,0))),"") </f>
        <v/>
      </c>
      <c r="N1508" s="5" t="inlineStr">
        <is>
          <t>%</t>
        </is>
      </c>
      <c r="O1508" s="5" t="inlineStr">
        <is>
          <t>%</t>
        </is>
      </c>
      <c r="P1508" s="15" t="n">
        <v>0</v>
      </c>
      <c r="Q1508" s="15" t="n">
        <v>0</v>
      </c>
      <c r="R1508" s="5" t="inlineStr">
        <is>
          <t>301-2024-06-30</t>
        </is>
      </c>
    </row>
    <row r="1509">
      <c r="A1509" s="21" t="n">
        <v>301</v>
      </c>
      <c r="B1509" s="5" t="inlineStr">
        <is>
          <t>Cumplimiento plan de trabajo</t>
        </is>
      </c>
      <c r="C1509" s="5" t="inlineStr">
        <is>
          <t>Administración de Servicios Generales</t>
        </is>
      </c>
      <c r="D1509" s="5" t="inlineStr">
        <is>
          <t>Trimestral</t>
        </is>
      </c>
      <c r="E1509" s="5" t="inlineStr">
        <is>
          <t>Positivo</t>
        </is>
      </c>
      <c r="F1509" s="107" t="n">
        <v>45565</v>
      </c>
      <c r="G1509" s="5" t="n">
        <v>2024</v>
      </c>
      <c r="H1509" s="5" t="inlineStr">
        <is>
          <t>Septiembre</t>
        </is>
      </c>
      <c r="I1509" s="6" t="inlineStr">
        <is>
          <t>2024-2</t>
        </is>
      </c>
      <c r="J1509" s="5" t="n">
        <v>100</v>
      </c>
      <c r="K1509" s="10" t="n">
        <v>100</v>
      </c>
      <c r="L1509" s="14">
        <f>IFERROR(IF(OR(J1509=0,K1509=""),"",IF(E1509="Positivo",MIN(MAX(K1509/J1509,0),1.3),MIN(MAX(J1509/K1509,0),1.3))),"") </f>
        <v/>
      </c>
      <c r="M1509" s="14">
        <f>IFERROR(IF(OR(J1509=0,K1509=""),"",IF(E1509="Positivo",MAX(K1509/J1509,0),MAX(J1509/K1509,0))),"") </f>
        <v/>
      </c>
      <c r="N1509" s="5" t="inlineStr">
        <is>
          <t>%</t>
        </is>
      </c>
      <c r="O1509" s="5" t="inlineStr">
        <is>
          <t>%</t>
        </is>
      </c>
      <c r="P1509" s="15" t="n">
        <v>0</v>
      </c>
      <c r="Q1509" s="15" t="n">
        <v>0</v>
      </c>
      <c r="R1509" s="5" t="inlineStr">
        <is>
          <t>301-2024-09-30</t>
        </is>
      </c>
    </row>
    <row r="1510">
      <c r="A1510" s="21" t="n">
        <v>301</v>
      </c>
      <c r="B1510" s="5" t="inlineStr">
        <is>
          <t>Cumplimiento plan de trabajo</t>
        </is>
      </c>
      <c r="C1510" s="5" t="inlineStr">
        <is>
          <t>Administración de Servicios Generales</t>
        </is>
      </c>
      <c r="D1510" s="5" t="inlineStr">
        <is>
          <t>Trimestral</t>
        </is>
      </c>
      <c r="E1510" s="5" t="inlineStr">
        <is>
          <t>Positivo</t>
        </is>
      </c>
      <c r="F1510" s="107" t="n">
        <v>45657</v>
      </c>
      <c r="G1510" s="5" t="n">
        <v>2024</v>
      </c>
      <c r="H1510" s="5" t="inlineStr">
        <is>
          <t>Diciembre</t>
        </is>
      </c>
      <c r="I1510" s="6" t="inlineStr">
        <is>
          <t>2024-2</t>
        </is>
      </c>
      <c r="J1510" s="5" t="n">
        <v>100</v>
      </c>
      <c r="K1510" s="10" t="n">
        <v>100</v>
      </c>
      <c r="L1510" s="14">
        <f>IFERROR(IF(OR(J1510=0,K1510=""),"",IF(E1510="Positivo",MIN(MAX(K1510/J1510,0),1.3),MIN(MAX(J1510/K1510,0),1.3))),"") </f>
        <v/>
      </c>
      <c r="M1510" s="14">
        <f>IFERROR(IF(OR(J1510=0,K1510=""),"",IF(E1510="Positivo",MAX(K1510/J1510,0),MAX(J1510/K1510,0))),"") </f>
        <v/>
      </c>
      <c r="N1510" s="5" t="inlineStr">
        <is>
          <t>%</t>
        </is>
      </c>
      <c r="O1510" s="5" t="inlineStr">
        <is>
          <t>%</t>
        </is>
      </c>
      <c r="P1510" s="15" t="n">
        <v>0</v>
      </c>
      <c r="Q1510" s="15" t="n">
        <v>0</v>
      </c>
      <c r="R1510" s="5" t="inlineStr">
        <is>
          <t>301-2024-12-31</t>
        </is>
      </c>
    </row>
    <row r="1511">
      <c r="A1511" s="21" t="n">
        <v>301</v>
      </c>
      <c r="B1511" s="5" t="inlineStr">
        <is>
          <t>Cumplimiento plan de trabajo</t>
        </is>
      </c>
      <c r="C1511" s="5" t="inlineStr">
        <is>
          <t>Administración de Servicios Generales</t>
        </is>
      </c>
      <c r="D1511" s="5" t="inlineStr">
        <is>
          <t>Trimestral</t>
        </is>
      </c>
      <c r="E1511" s="5" t="inlineStr">
        <is>
          <t>Positivo</t>
        </is>
      </c>
      <c r="F1511" s="107" t="n">
        <v>45747</v>
      </c>
      <c r="G1511" s="5" t="n">
        <v>2025</v>
      </c>
      <c r="H1511" s="5" t="inlineStr">
        <is>
          <t>Marzo</t>
        </is>
      </c>
      <c r="I1511" s="6" t="inlineStr">
        <is>
          <t>2025-1</t>
        </is>
      </c>
      <c r="J1511" s="5" t="n">
        <v>100</v>
      </c>
      <c r="K1511" s="10" t="n">
        <v>100</v>
      </c>
      <c r="L1511" s="14">
        <f>IFERROR(IF(OR(J1511=0,K1511=""),"",IF(E1511="Positivo",MIN(MAX(K1511/J1511,0),1.3),MIN(MAX(J1511/K1511,0),1.3))),"") </f>
        <v/>
      </c>
      <c r="M1511" s="14">
        <f>IFERROR(IF(OR(J1511=0,K1511=""),"",IF(E1511="Positivo",MAX(K1511/J1511,0),MAX(J1511/K1511,0))),"") </f>
        <v/>
      </c>
      <c r="N1511" s="5" t="inlineStr">
        <is>
          <t>%</t>
        </is>
      </c>
      <c r="O1511" s="5" t="inlineStr">
        <is>
          <t>%</t>
        </is>
      </c>
      <c r="P1511" s="15" t="n">
        <v>0</v>
      </c>
      <c r="Q1511" s="15" t="n">
        <v>0</v>
      </c>
      <c r="R1511" s="5" t="inlineStr">
        <is>
          <t>301-2025-03-31</t>
        </is>
      </c>
    </row>
    <row r="1512">
      <c r="A1512" s="21" t="n">
        <v>301</v>
      </c>
      <c r="B1512" s="5" t="inlineStr">
        <is>
          <t>Cumplimiento plan de trabajo</t>
        </is>
      </c>
      <c r="C1512" s="5" t="inlineStr">
        <is>
          <t>Administración de Servicios Generales</t>
        </is>
      </c>
      <c r="D1512" s="5" t="inlineStr">
        <is>
          <t>Trimestral</t>
        </is>
      </c>
      <c r="E1512" s="5" t="inlineStr">
        <is>
          <t>Positivo</t>
        </is>
      </c>
      <c r="F1512" s="107" t="n">
        <v>45838</v>
      </c>
      <c r="G1512" s="5" t="n">
        <v>2025</v>
      </c>
      <c r="H1512" s="5" t="inlineStr">
        <is>
          <t>Junio</t>
        </is>
      </c>
      <c r="I1512" s="6" t="inlineStr">
        <is>
          <t>2025-1</t>
        </is>
      </c>
      <c r="J1512" s="5" t="n">
        <v>100</v>
      </c>
      <c r="K1512" s="10" t="n">
        <v>100</v>
      </c>
      <c r="L1512" s="14">
        <f>IFERROR(IF(OR(J1512=0,K1512=""),"",IF(E1512="Positivo",MIN(MAX(K1512/J1512,0),1.3),MIN(MAX(J1512/K1512,0),1.3))),"") </f>
        <v/>
      </c>
      <c r="M1512" s="14">
        <f>IFERROR(IF(OR(J1512=0,K1512=""),"",IF(E1512="Positivo",MAX(K1512/J1512,0),MAX(J1512/K1512,0))),"") </f>
        <v/>
      </c>
      <c r="N1512" s="5" t="inlineStr">
        <is>
          <t>%</t>
        </is>
      </c>
      <c r="O1512" s="5" t="inlineStr">
        <is>
          <t>%</t>
        </is>
      </c>
      <c r="P1512" s="15" t="n">
        <v>0</v>
      </c>
      <c r="Q1512" s="15" t="n">
        <v>0</v>
      </c>
      <c r="R1512" s="5" t="inlineStr">
        <is>
          <t>301-2025-06-30</t>
        </is>
      </c>
    </row>
    <row r="1513">
      <c r="A1513" s="21" t="n">
        <v>301</v>
      </c>
      <c r="B1513" s="5" t="inlineStr">
        <is>
          <t>Cumplimiento plan de trabajo</t>
        </is>
      </c>
      <c r="C1513" s="5" t="inlineStr">
        <is>
          <t>Administración de Servicios Generales</t>
        </is>
      </c>
      <c r="D1513" s="5" t="inlineStr">
        <is>
          <t>Semestral</t>
        </is>
      </c>
      <c r="E1513" s="5" t="inlineStr">
        <is>
          <t>Positivo</t>
        </is>
      </c>
      <c r="F1513" s="107" t="n">
        <v>45930</v>
      </c>
      <c r="G1513" s="5" t="n">
        <v>2025</v>
      </c>
      <c r="H1513" s="5" t="inlineStr">
        <is>
          <t>Septiembre</t>
        </is>
      </c>
      <c r="I1513" s="6" t="inlineStr">
        <is>
          <t>2025-2</t>
        </is>
      </c>
      <c r="J1513" s="5" t="n">
        <v>100</v>
      </c>
      <c r="K1513" s="10" t="n">
        <v>100</v>
      </c>
      <c r="L1513" s="14">
        <f>IFERROR(IF(OR(J1513=0,K1513=""),"",IF(E1513="Positivo",MIN(MAX(K1513/J1513,0),1.3),MIN(MAX(J1513/K1513,0),1.3))),"") </f>
        <v/>
      </c>
      <c r="M1513" s="14">
        <f>IFERROR(IF(OR(J1513=0,K1513=""),"",IF(E1513="Positivo",MAX(K1513/J1513,0),MAX(J1513/K1513,0))),"") </f>
        <v/>
      </c>
      <c r="N1513" s="5" t="inlineStr">
        <is>
          <t>%</t>
        </is>
      </c>
      <c r="O1513" s="5" t="inlineStr">
        <is>
          <t>%</t>
        </is>
      </c>
      <c r="P1513" s="15" t="n">
        <v>0</v>
      </c>
      <c r="Q1513" s="15" t="n">
        <v>0</v>
      </c>
      <c r="R1513" s="5" t="inlineStr">
        <is>
          <t>301-2025-09-30</t>
        </is>
      </c>
    </row>
    <row r="1514">
      <c r="A1514" s="21" t="n">
        <v>301</v>
      </c>
      <c r="B1514" s="5" t="inlineStr">
        <is>
          <t>Cumplimiento plan de trabajo</t>
        </is>
      </c>
      <c r="C1514" s="5" t="inlineStr">
        <is>
          <t>Administración de Servicios Generales</t>
        </is>
      </c>
      <c r="D1514" s="5" t="inlineStr">
        <is>
          <t>Semestral</t>
        </is>
      </c>
      <c r="E1514" s="5" t="inlineStr">
        <is>
          <t>Positivo</t>
        </is>
      </c>
      <c r="F1514" s="107" t="n">
        <v>46022</v>
      </c>
      <c r="G1514" s="5" t="n">
        <v>2025</v>
      </c>
      <c r="H1514" s="5" t="inlineStr">
        <is>
          <t>Diciembre</t>
        </is>
      </c>
      <c r="I1514" s="6" t="inlineStr">
        <is>
          <t>2025-2</t>
        </is>
      </c>
      <c r="J1514" s="5" t="n">
        <v>100</v>
      </c>
      <c r="K1514" s="10" t="n">
        <v>100</v>
      </c>
      <c r="L1514" s="14">
        <f>IFERROR(IF(OR(J1514=0,K1514=""),"",IF(E1514="Positivo",MIN(MAX(K1514/J1514,0),1.3),MIN(MAX(J1514/K1514,0),1.3))),"") </f>
        <v/>
      </c>
      <c r="M1514" s="14">
        <f>IFERROR(IF(OR(J1514=0,K1514=""),"",IF(E1514="Positivo",MAX(K1514/J1514,0),MAX(J1514/K1514,0))),"") </f>
        <v/>
      </c>
      <c r="N1514" s="5" t="inlineStr">
        <is>
          <t>%</t>
        </is>
      </c>
      <c r="O1514" s="5" t="inlineStr">
        <is>
          <t>%</t>
        </is>
      </c>
      <c r="P1514" s="15" t="n">
        <v>0</v>
      </c>
      <c r="Q1514" s="15" t="n">
        <v>0</v>
      </c>
      <c r="R1514" s="5" t="inlineStr">
        <is>
          <t>301-2025-12-31</t>
        </is>
      </c>
    </row>
    <row r="1515">
      <c r="A1515" s="21" t="n">
        <v>302</v>
      </c>
      <c r="B1515" s="5" t="inlineStr">
        <is>
          <t>N de solicitudes radicadas</t>
        </is>
      </c>
      <c r="C1515" s="5" t="inlineStr">
        <is>
          <t>Centro de Medios Audiovisuales</t>
        </is>
      </c>
      <c r="D1515" s="5" t="inlineStr">
        <is>
          <t>Semestral</t>
        </is>
      </c>
      <c r="E1515" s="5" t="inlineStr">
        <is>
          <t>Positivo</t>
        </is>
      </c>
      <c r="F1515" s="107" t="n">
        <v>45107</v>
      </c>
      <c r="G1515" s="5" t="n">
        <v>2023</v>
      </c>
      <c r="H1515" s="5" t="inlineStr">
        <is>
          <t>Junio</t>
        </is>
      </c>
      <c r="I1515" s="6" t="inlineStr">
        <is>
          <t>2023-1</t>
        </is>
      </c>
      <c r="J1515" s="5" t="n">
        <v>0</v>
      </c>
      <c r="K1515" s="10" t="n">
        <v>0</v>
      </c>
      <c r="L1515" s="14">
        <f>IFERROR(IF(OR(J1515=0,K1515=""),"",IF(E1515="Positivo",MIN(MAX(K1515/J1515,0),1.3),MIN(MAX(J1515/K1515,0),1.3))),"") </f>
        <v/>
      </c>
      <c r="M1515" s="14">
        <f>IFERROR(IF(OR(J1515=0,K1515=""),"",IF(E1515="Positivo",MAX(K1515/J1515,0),MAX(J1515/K1515,0))),"") </f>
        <v/>
      </c>
      <c r="N1515" s="5" t="inlineStr">
        <is>
          <t>%</t>
        </is>
      </c>
      <c r="O1515" s="5" t="inlineStr">
        <is>
          <t>%</t>
        </is>
      </c>
      <c r="P1515" s="15" t="n">
        <v>0</v>
      </c>
      <c r="Q1515" s="15" t="n">
        <v>0</v>
      </c>
      <c r="R1515" s="5" t="inlineStr">
        <is>
          <t>302-2023-06-30</t>
        </is>
      </c>
    </row>
    <row r="1516">
      <c r="A1516" s="21" t="n">
        <v>302</v>
      </c>
      <c r="B1516" s="5" t="inlineStr">
        <is>
          <t>N de solicitudes radicadas</t>
        </is>
      </c>
      <c r="C1516" s="5" t="inlineStr">
        <is>
          <t>Centro de Medios Audiovisuales</t>
        </is>
      </c>
      <c r="D1516" s="5" t="inlineStr">
        <is>
          <t>Semestral</t>
        </is>
      </c>
      <c r="E1516" s="5" t="inlineStr">
        <is>
          <t>Positivo</t>
        </is>
      </c>
      <c r="F1516" s="107" t="n">
        <v>45291</v>
      </c>
      <c r="G1516" s="5" t="n">
        <v>2023</v>
      </c>
      <c r="H1516" s="5" t="inlineStr">
        <is>
          <t>Diciembre</t>
        </is>
      </c>
      <c r="I1516" s="6" t="inlineStr">
        <is>
          <t>2023-2</t>
        </is>
      </c>
      <c r="J1516" s="5" t="n">
        <v>0</v>
      </c>
      <c r="K1516" s="10" t="n">
        <v>0</v>
      </c>
      <c r="L1516" s="14">
        <f>IFERROR(IF(OR(J1516=0,K1516=""),"",IF(E1516="Positivo",MIN(MAX(K1516/J1516,0),1.3),MIN(MAX(J1516/K1516,0),1.3))),"") </f>
        <v/>
      </c>
      <c r="M1516" s="14">
        <f>IFERROR(IF(OR(J1516=0,K1516=""),"",IF(E1516="Positivo",MAX(K1516/J1516,0),MAX(J1516/K1516,0))),"") </f>
        <v/>
      </c>
      <c r="N1516" s="5" t="inlineStr">
        <is>
          <t>%</t>
        </is>
      </c>
      <c r="O1516" s="5" t="inlineStr">
        <is>
          <t>%</t>
        </is>
      </c>
      <c r="P1516" s="15" t="n">
        <v>0</v>
      </c>
      <c r="Q1516" s="15" t="n">
        <v>0</v>
      </c>
      <c r="R1516" s="5" t="inlineStr">
        <is>
          <t>302-2023-12-31</t>
        </is>
      </c>
    </row>
    <row r="1517">
      <c r="A1517" s="21" t="n">
        <v>302</v>
      </c>
      <c r="B1517" s="5" t="inlineStr">
        <is>
          <t>N de solicitudes radicadas</t>
        </is>
      </c>
      <c r="C1517" s="5" t="inlineStr">
        <is>
          <t>Centro de Medios Audiovisuales</t>
        </is>
      </c>
      <c r="D1517" s="5" t="inlineStr">
        <is>
          <t>Semestral</t>
        </is>
      </c>
      <c r="E1517" s="5" t="inlineStr">
        <is>
          <t>Positivo</t>
        </is>
      </c>
      <c r="F1517" s="107" t="n">
        <v>45473</v>
      </c>
      <c r="G1517" s="5" t="n">
        <v>2024</v>
      </c>
      <c r="H1517" s="5" t="inlineStr">
        <is>
          <t>Junio</t>
        </is>
      </c>
      <c r="I1517" s="6" t="inlineStr">
        <is>
          <t>2024-1</t>
        </is>
      </c>
      <c r="J1517" s="5" t="n">
        <v>0</v>
      </c>
      <c r="K1517" s="10" t="n">
        <v>17878</v>
      </c>
      <c r="L1517" s="14">
        <f>IFERROR(IF(OR(J1517=0,K1517=""),"",IF(E1517="Positivo",MIN(MAX(K1517/J1517,0),1.3),MIN(MAX(J1517/K1517,0),1.3))),"") </f>
        <v/>
      </c>
      <c r="M1517" s="14">
        <f>IFERROR(IF(OR(J1517=0,K1517=""),"",IF(E1517="Positivo",MAX(K1517/J1517,0),MAX(J1517/K1517,0))),"") </f>
        <v/>
      </c>
      <c r="N1517" s="5" t="n">
        <v>0</v>
      </c>
      <c r="O1517" s="5" t="inlineStr">
        <is>
          <t>ENT</t>
        </is>
      </c>
      <c r="P1517" s="15" t="n">
        <v>0</v>
      </c>
      <c r="Q1517" s="15" t="n">
        <v>0</v>
      </c>
      <c r="R1517" s="5" t="inlineStr">
        <is>
          <t>302-2024-06-30</t>
        </is>
      </c>
    </row>
    <row r="1518">
      <c r="A1518" s="21" t="n">
        <v>302</v>
      </c>
      <c r="B1518" s="5" t="inlineStr">
        <is>
          <t>N de solicitudes radicadas</t>
        </is>
      </c>
      <c r="C1518" s="5" t="inlineStr">
        <is>
          <t>Centro de Medios Audiovisuales</t>
        </is>
      </c>
      <c r="D1518" s="5" t="inlineStr">
        <is>
          <t>Semestral</t>
        </is>
      </c>
      <c r="E1518" s="5" t="inlineStr">
        <is>
          <t>Positivo</t>
        </is>
      </c>
      <c r="F1518" s="107" t="n">
        <v>45657</v>
      </c>
      <c r="G1518" s="5" t="n">
        <v>2024</v>
      </c>
      <c r="H1518" s="5" t="inlineStr">
        <is>
          <t>Diciembre</t>
        </is>
      </c>
      <c r="I1518" s="6" t="inlineStr">
        <is>
          <t>2024-2</t>
        </is>
      </c>
      <c r="J1518" s="5" t="n">
        <v>0</v>
      </c>
      <c r="K1518" s="10" t="n">
        <v>19142</v>
      </c>
      <c r="L1518" s="14">
        <f>IFERROR(IF(OR(J1518=0,K1518=""),"",IF(E1518="Positivo",MIN(MAX(K1518/J1518,0),1.3),MIN(MAX(J1518/K1518,0),1.3))),"") </f>
        <v/>
      </c>
      <c r="M1518" s="14">
        <f>IFERROR(IF(OR(J1518=0,K1518=""),"",IF(E1518="Positivo",MAX(K1518/J1518,0),MAX(J1518/K1518,0))),"") </f>
        <v/>
      </c>
      <c r="N1518" s="5" t="n">
        <v>0</v>
      </c>
      <c r="O1518" s="5" t="inlineStr">
        <is>
          <t>ENT</t>
        </is>
      </c>
      <c r="P1518" s="15" t="n">
        <v>0</v>
      </c>
      <c r="Q1518" s="15" t="n">
        <v>0</v>
      </c>
      <c r="R1518" s="5" t="inlineStr">
        <is>
          <t>302-2024-12-31</t>
        </is>
      </c>
    </row>
    <row r="1519">
      <c r="A1519" s="21" t="n">
        <v>302</v>
      </c>
      <c r="B1519" s="5" t="inlineStr">
        <is>
          <t>N de solicitudes radicadas - (Metrica)</t>
        </is>
      </c>
      <c r="C1519" s="5" t="inlineStr">
        <is>
          <t>Centro de Medios Audiovisuales</t>
        </is>
      </c>
      <c r="D1519" s="5" t="inlineStr">
        <is>
          <t>Trimestral</t>
        </is>
      </c>
      <c r="E1519" s="5" t="inlineStr">
        <is>
          <t>Positivo</t>
        </is>
      </c>
      <c r="F1519" s="107" t="n">
        <v>45838</v>
      </c>
      <c r="G1519" s="5" t="n">
        <v>2025</v>
      </c>
      <c r="H1519" s="5" t="inlineStr">
        <is>
          <t>Junio</t>
        </is>
      </c>
      <c r="I1519" s="6" t="inlineStr">
        <is>
          <t>2025-1</t>
        </is>
      </c>
      <c r="J1519" s="5" t="n"/>
      <c r="K1519" s="10" t="n">
        <v>21712</v>
      </c>
      <c r="L1519" s="14" t="n"/>
      <c r="M1519" s="14" t="n"/>
      <c r="N1519" s="5" t="inlineStr">
        <is>
          <t>%</t>
        </is>
      </c>
      <c r="O1519" s="5" t="inlineStr">
        <is>
          <t>ENT</t>
        </is>
      </c>
      <c r="P1519" s="15" t="n">
        <v>0</v>
      </c>
      <c r="Q1519" s="15" t="n">
        <v>0</v>
      </c>
      <c r="R1519" s="5" t="inlineStr">
        <is>
          <t>302-2025-06-30</t>
        </is>
      </c>
      <c r="S1519" t="inlineStr">
        <is>
          <t>Metrica</t>
        </is>
      </c>
    </row>
    <row r="1520">
      <c r="A1520" s="21" t="n">
        <v>302</v>
      </c>
      <c r="B1520" s="5" t="inlineStr">
        <is>
          <t>N de solicitudes radicadas - (Metrica)</t>
        </is>
      </c>
      <c r="C1520" s="5" t="inlineStr">
        <is>
          <t>Centro de Medios Audiovisuales</t>
        </is>
      </c>
      <c r="D1520" s="5" t="inlineStr">
        <is>
          <t>Trimestral</t>
        </is>
      </c>
      <c r="E1520" s="5" t="inlineStr">
        <is>
          <t>Positivo</t>
        </is>
      </c>
      <c r="F1520" s="107" t="n">
        <v>46022</v>
      </c>
      <c r="G1520" s="5" t="n">
        <v>2025</v>
      </c>
      <c r="H1520" s="5" t="inlineStr">
        <is>
          <t>Diciembre</t>
        </is>
      </c>
      <c r="I1520" s="6" t="inlineStr">
        <is>
          <t>2025-2</t>
        </is>
      </c>
      <c r="J1520" s="5" t="n"/>
      <c r="K1520" s="10" t="n">
        <v>31371</v>
      </c>
      <c r="L1520" s="14" t="n"/>
      <c r="M1520" s="14" t="n"/>
      <c r="N1520" s="5" t="inlineStr">
        <is>
          <t>%</t>
        </is>
      </c>
      <c r="O1520" s="5" t="inlineStr">
        <is>
          <t>ENT</t>
        </is>
      </c>
      <c r="P1520" s="15" t="n">
        <v>0</v>
      </c>
      <c r="Q1520" s="15" t="n">
        <v>0</v>
      </c>
      <c r="R1520" s="5" t="inlineStr">
        <is>
          <t>302-2025-12-31</t>
        </is>
      </c>
      <c r="S1520" t="inlineStr">
        <is>
          <t>Metrica</t>
        </is>
      </c>
    </row>
    <row r="1521">
      <c r="A1521" s="21" t="n">
        <v>303</v>
      </c>
      <c r="B1521" s="5" t="inlineStr">
        <is>
          <t>Cumplimiento del cronograma de actividades de salud</t>
        </is>
      </c>
      <c r="C1521" s="5" t="inlineStr">
        <is>
          <t>Servicio de Salud</t>
        </is>
      </c>
      <c r="D1521" s="5" t="inlineStr">
        <is>
          <t>Semestral</t>
        </is>
      </c>
      <c r="E1521" s="5" t="inlineStr">
        <is>
          <t>Positivo</t>
        </is>
      </c>
      <c r="F1521" s="107" t="n">
        <v>45107</v>
      </c>
      <c r="G1521" s="5" t="n">
        <v>2023</v>
      </c>
      <c r="H1521" s="5" t="inlineStr">
        <is>
          <t>Junio</t>
        </is>
      </c>
      <c r="I1521" s="6" t="inlineStr">
        <is>
          <t>2023-1</t>
        </is>
      </c>
      <c r="J1521" s="5" t="n">
        <v>100</v>
      </c>
      <c r="K1521" s="10" t="n">
        <v>75.75757575757601</v>
      </c>
      <c r="L1521" s="14">
        <f>IFERROR(IF(OR(J1521=0,K1521=""),"",IF(E1521="Positivo",MIN(MAX(K1521/J1521,0),1.3),MIN(MAX(J1521/K1521,0),1.3))),"") </f>
        <v/>
      </c>
      <c r="M1521" s="14">
        <f>IFERROR(IF(OR(J1521=0,K1521=""),"",IF(E1521="Positivo",MAX(K1521/J1521,0),MAX(J1521/K1521,0))),"") </f>
        <v/>
      </c>
      <c r="N1521" s="5" t="inlineStr">
        <is>
          <t>%</t>
        </is>
      </c>
      <c r="O1521" s="5" t="inlineStr">
        <is>
          <t>%</t>
        </is>
      </c>
      <c r="P1521" s="15" t="n">
        <v>0</v>
      </c>
      <c r="Q1521" s="15" t="n">
        <v>0</v>
      </c>
      <c r="R1521" s="5" t="inlineStr">
        <is>
          <t>303-2023-06-30</t>
        </is>
      </c>
    </row>
    <row r="1522">
      <c r="A1522" s="21" t="n">
        <v>303</v>
      </c>
      <c r="B1522" s="5" t="inlineStr">
        <is>
          <t>Cumplimiento del cronograma de actividades de salud</t>
        </is>
      </c>
      <c r="C1522" s="5" t="inlineStr">
        <is>
          <t>Servicio de Salud</t>
        </is>
      </c>
      <c r="D1522" s="5" t="inlineStr">
        <is>
          <t>Semestral</t>
        </is>
      </c>
      <c r="E1522" s="5" t="inlineStr">
        <is>
          <t>Positivo</t>
        </is>
      </c>
      <c r="F1522" s="107" t="n">
        <v>45291</v>
      </c>
      <c r="G1522" s="5" t="n">
        <v>2023</v>
      </c>
      <c r="H1522" s="5" t="inlineStr">
        <is>
          <t>Diciembre</t>
        </is>
      </c>
      <c r="I1522" s="6" t="inlineStr">
        <is>
          <t>2023-2</t>
        </is>
      </c>
      <c r="J1522" s="5" t="n">
        <v>100</v>
      </c>
      <c r="K1522" s="10" t="n">
        <v>79.54545454545455</v>
      </c>
      <c r="L1522" s="14">
        <f>IFERROR(IF(OR(J1522=0,K1522=""),"",IF(E1522="Positivo",MIN(MAX(K1522/J1522,0),1.3),MIN(MAX(J1522/K1522,0),1.3))),"") </f>
        <v/>
      </c>
      <c r="M1522" s="14">
        <f>IFERROR(IF(OR(J1522=0,K1522=""),"",IF(E1522="Positivo",MAX(K1522/J1522,0),MAX(J1522/K1522,0))),"") </f>
        <v/>
      </c>
      <c r="N1522" s="5" t="inlineStr">
        <is>
          <t>%</t>
        </is>
      </c>
      <c r="O1522" s="5" t="inlineStr">
        <is>
          <t>%</t>
        </is>
      </c>
      <c r="P1522" s="15" t="n">
        <v>0</v>
      </c>
      <c r="Q1522" s="15" t="n">
        <v>0</v>
      </c>
      <c r="R1522" s="5" t="inlineStr">
        <is>
          <t>303-2023-12-31</t>
        </is>
      </c>
    </row>
    <row r="1523">
      <c r="A1523" s="21" t="n">
        <v>303</v>
      </c>
      <c r="B1523" s="5" t="inlineStr">
        <is>
          <t>Cumplimiento del cronograma de actividades de salud</t>
        </is>
      </c>
      <c r="C1523" s="5" t="inlineStr">
        <is>
          <t>Servicio de Salud</t>
        </is>
      </c>
      <c r="D1523" s="5" t="inlineStr">
        <is>
          <t>Semestral</t>
        </is>
      </c>
      <c r="E1523" s="5" t="inlineStr">
        <is>
          <t>Positivo</t>
        </is>
      </c>
      <c r="F1523" s="107" t="n">
        <v>45473</v>
      </c>
      <c r="G1523" s="5" t="n">
        <v>2024</v>
      </c>
      <c r="H1523" s="5" t="inlineStr">
        <is>
          <t>Junio</t>
        </is>
      </c>
      <c r="I1523" s="6" t="inlineStr">
        <is>
          <t>2024-1</t>
        </is>
      </c>
      <c r="J1523" s="5" t="n">
        <v>95</v>
      </c>
      <c r="K1523" s="10" t="n">
        <v>100</v>
      </c>
      <c r="L1523" s="14">
        <f>IFERROR(IF(OR(J1523=0,K1523=""),"",IF(E1523="Positivo",MIN(MAX(K1523/J1523,0),1.3),MIN(MAX(J1523/K1523,0),1.3))),"") </f>
        <v/>
      </c>
      <c r="M1523" s="14">
        <f>IFERROR(IF(OR(J1523=0,K1523=""),"",IF(E1523="Positivo",MAX(K1523/J1523,0),MAX(J1523/K1523,0))),"") </f>
        <v/>
      </c>
      <c r="N1523" s="5" t="inlineStr">
        <is>
          <t>%</t>
        </is>
      </c>
      <c r="O1523" s="5" t="inlineStr">
        <is>
          <t>%</t>
        </is>
      </c>
      <c r="P1523" s="15" t="n">
        <v>0</v>
      </c>
      <c r="Q1523" s="15" t="n">
        <v>0</v>
      </c>
      <c r="R1523" s="5" t="inlineStr">
        <is>
          <t>303-2024-06-30</t>
        </is>
      </c>
    </row>
    <row r="1524">
      <c r="A1524" s="21" t="n">
        <v>303</v>
      </c>
      <c r="B1524" s="5" t="inlineStr">
        <is>
          <t>Cumplimiento del cronograma de actividades de salud</t>
        </is>
      </c>
      <c r="C1524" s="5" t="inlineStr">
        <is>
          <t>Servicio de Salud</t>
        </is>
      </c>
      <c r="D1524" s="5" t="inlineStr">
        <is>
          <t>Semestral</t>
        </is>
      </c>
      <c r="E1524" s="5" t="inlineStr">
        <is>
          <t>Positivo</t>
        </is>
      </c>
      <c r="F1524" s="107" t="n">
        <v>45657</v>
      </c>
      <c r="G1524" s="5" t="n">
        <v>2024</v>
      </c>
      <c r="H1524" s="5" t="inlineStr">
        <is>
          <t>Diciembre</t>
        </is>
      </c>
      <c r="I1524" s="6" t="inlineStr">
        <is>
          <t>2024-2</t>
        </is>
      </c>
      <c r="J1524" s="5" t="n">
        <v>95</v>
      </c>
      <c r="K1524" s="10" t="n">
        <v>95.65217391304348</v>
      </c>
      <c r="L1524" s="14">
        <f>IFERROR(IF(OR(J1524=0,K1524=""),"",IF(E1524="Positivo",MIN(MAX(K1524/J1524,0),1.3),MIN(MAX(J1524/K1524,0),1.3))),"") </f>
        <v/>
      </c>
      <c r="M1524" s="14">
        <f>IFERROR(IF(OR(J1524=0,K1524=""),"",IF(E1524="Positivo",MAX(K1524/J1524,0),MAX(J1524/K1524,0))),"") </f>
        <v/>
      </c>
      <c r="N1524" s="5" t="inlineStr">
        <is>
          <t>%</t>
        </is>
      </c>
      <c r="O1524" s="5" t="inlineStr">
        <is>
          <t>%</t>
        </is>
      </c>
      <c r="P1524" s="15" t="n">
        <v>0</v>
      </c>
      <c r="Q1524" s="15" t="n">
        <v>0</v>
      </c>
      <c r="R1524" s="5" t="inlineStr">
        <is>
          <t>303-2024-12-31</t>
        </is>
      </c>
    </row>
    <row r="1525">
      <c r="A1525" s="21" t="n">
        <v>303</v>
      </c>
      <c r="B1525" s="5" t="inlineStr">
        <is>
          <t>Cumplimiento del cronograma de actividades de salud</t>
        </is>
      </c>
      <c r="C1525" s="5" t="inlineStr">
        <is>
          <t>Servicio de Salud</t>
        </is>
      </c>
      <c r="D1525" s="5" t="inlineStr">
        <is>
          <t>Semestral</t>
        </is>
      </c>
      <c r="E1525" s="5" t="inlineStr">
        <is>
          <t>Positivo</t>
        </is>
      </c>
      <c r="F1525" s="107" t="n">
        <v>45838</v>
      </c>
      <c r="G1525" s="5" t="n">
        <v>2025</v>
      </c>
      <c r="H1525" s="5" t="inlineStr">
        <is>
          <t>Junio</t>
        </is>
      </c>
      <c r="I1525" s="6" t="inlineStr">
        <is>
          <t>2025-1</t>
        </is>
      </c>
      <c r="J1525" s="5" t="n">
        <v>95</v>
      </c>
      <c r="K1525" s="10" t="n">
        <v>90.31999999999999</v>
      </c>
      <c r="L1525" s="14">
        <f>IFERROR(IF(OR(J1525=0,K1525=""),"",IF(E1525="Positivo",MIN(MAX(K1525/J1525,0),1.3),MIN(MAX(J1525/K1525,0),1.3))),"") </f>
        <v/>
      </c>
      <c r="M1525" s="14">
        <f>IFERROR(IF(OR(J1525=0,K1525=""),"",IF(E1525="Positivo",MAX(K1525/J1525,0),MAX(J1525/K1525,0))),"") </f>
        <v/>
      </c>
      <c r="N1525" s="5" t="inlineStr">
        <is>
          <t>%</t>
        </is>
      </c>
      <c r="O1525" s="5" t="inlineStr">
        <is>
          <t>%</t>
        </is>
      </c>
      <c r="P1525" s="15" t="n">
        <v>0</v>
      </c>
      <c r="Q1525" s="15" t="n">
        <v>0</v>
      </c>
      <c r="R1525" s="5" t="inlineStr">
        <is>
          <t>303-2025-06-30</t>
        </is>
      </c>
    </row>
    <row r="1526">
      <c r="A1526" s="21" t="n">
        <v>303</v>
      </c>
      <c r="B1526" s="5" t="inlineStr">
        <is>
          <t>Cumplimiento del cronograma de actividades de salud</t>
        </is>
      </c>
      <c r="C1526" s="5" t="inlineStr">
        <is>
          <t>Servicio de Salud</t>
        </is>
      </c>
      <c r="D1526" s="5" t="inlineStr">
        <is>
          <t>Trimestral</t>
        </is>
      </c>
      <c r="E1526" s="5" t="inlineStr">
        <is>
          <t>Positivo</t>
        </is>
      </c>
      <c r="F1526" s="107" t="n">
        <v>46022</v>
      </c>
      <c r="G1526" s="5" t="n">
        <v>2025</v>
      </c>
      <c r="H1526" s="5" t="inlineStr">
        <is>
          <t>Diciembre</t>
        </is>
      </c>
      <c r="I1526" s="6" t="inlineStr">
        <is>
          <t>2025-2</t>
        </is>
      </c>
      <c r="J1526" s="5" t="n">
        <v>95</v>
      </c>
      <c r="K1526" s="10" t="n">
        <v>100</v>
      </c>
      <c r="L1526" s="14">
        <f>IFERROR(IF(OR(J1526=0,K1526=""),"",IF(E1526="Positivo",MIN(MAX(K1526/J1526,0),1.3),MIN(MAX(J1526/K1526,0),1.3))),"") </f>
        <v/>
      </c>
      <c r="M1526" s="14">
        <f>IFERROR(IF(OR(J1526=0,K1526=""),"",IF(E1526="Positivo",MAX(K1526/J1526,0),MAX(J1526/K1526,0))),"") </f>
        <v/>
      </c>
      <c r="N1526" s="5" t="inlineStr">
        <is>
          <t>%</t>
        </is>
      </c>
      <c r="O1526" s="5" t="inlineStr">
        <is>
          <t>%</t>
        </is>
      </c>
      <c r="P1526" s="15" t="n">
        <v>0</v>
      </c>
      <c r="Q1526" s="15" t="n">
        <v>0</v>
      </c>
      <c r="R1526" s="5" t="inlineStr">
        <is>
          <t>303-2025-12-31</t>
        </is>
      </c>
    </row>
    <row r="1527">
      <c r="A1527" s="21" t="n">
        <v>304</v>
      </c>
      <c r="B1527" s="5" t="inlineStr">
        <is>
          <t>Impacto de Campañas de promoción y prevención</t>
        </is>
      </c>
      <c r="C1527" s="5" t="inlineStr">
        <is>
          <t>Servicio de Salud</t>
        </is>
      </c>
      <c r="D1527" s="5" t="inlineStr">
        <is>
          <t>Semestral</t>
        </is>
      </c>
      <c r="E1527" s="5" t="inlineStr">
        <is>
          <t>Positivo</t>
        </is>
      </c>
      <c r="F1527" s="107" t="n">
        <v>45107</v>
      </c>
      <c r="G1527" s="5" t="n">
        <v>2023</v>
      </c>
      <c r="H1527" s="5" t="inlineStr">
        <is>
          <t>Junio</t>
        </is>
      </c>
      <c r="I1527" s="6" t="inlineStr">
        <is>
          <t>2023-1</t>
        </is>
      </c>
      <c r="J1527" s="5" t="n">
        <v>100</v>
      </c>
      <c r="K1527" s="10" t="n">
        <v>189.86</v>
      </c>
      <c r="L1527" s="14">
        <f>IFERROR(IF(OR(J1527=0,K1527=""),"",IF(E1527="Positivo",MIN(MAX(K1527/J1527,0),1.3),MIN(MAX(J1527/K1527,0),1.3))),"") </f>
        <v/>
      </c>
      <c r="M1527" s="14">
        <f>IFERROR(IF(OR(J1527=0,K1527=""),"",IF(E1527="Positivo",MAX(K1527/J1527,0),MAX(J1527/K1527,0))),"") </f>
        <v/>
      </c>
      <c r="N1527" s="5" t="inlineStr">
        <is>
          <t>ENT</t>
        </is>
      </c>
      <c r="O1527" s="5" t="inlineStr">
        <is>
          <t>ENT</t>
        </is>
      </c>
      <c r="P1527" s="15" t="n">
        <v>0</v>
      </c>
      <c r="Q1527" s="15" t="n">
        <v>0</v>
      </c>
      <c r="R1527" s="5" t="inlineStr">
        <is>
          <t>304-2023-06-30</t>
        </is>
      </c>
    </row>
    <row r="1528">
      <c r="A1528" s="21" t="n">
        <v>304</v>
      </c>
      <c r="B1528" s="5" t="inlineStr">
        <is>
          <t>Impacto de Campañas de promoción y prevención</t>
        </is>
      </c>
      <c r="C1528" s="5" t="inlineStr">
        <is>
          <t>Servicio de Salud</t>
        </is>
      </c>
      <c r="D1528" s="5" t="inlineStr">
        <is>
          <t>Semestral</t>
        </is>
      </c>
      <c r="E1528" s="5" t="inlineStr">
        <is>
          <t>Positivo</t>
        </is>
      </c>
      <c r="F1528" s="107" t="n">
        <v>45291</v>
      </c>
      <c r="G1528" s="5" t="n">
        <v>2023</v>
      </c>
      <c r="H1528" s="5" t="inlineStr">
        <is>
          <t>Diciembre</t>
        </is>
      </c>
      <c r="I1528" s="6" t="inlineStr">
        <is>
          <t>2023-2</t>
        </is>
      </c>
      <c r="J1528" s="5" t="n">
        <v>100</v>
      </c>
      <c r="K1528" s="10" t="n">
        <v>176.33</v>
      </c>
      <c r="L1528" s="14">
        <f>IFERROR(IF(OR(J1528=0,K1528=""),"",IF(E1528="Positivo",MIN(MAX(K1528/J1528,0),1.3),MIN(MAX(J1528/K1528,0),1.3))),"") </f>
        <v/>
      </c>
      <c r="M1528" s="14">
        <f>IFERROR(IF(OR(J1528=0,K1528=""),"",IF(E1528="Positivo",MAX(K1528/J1528,0),MAX(J1528/K1528,0))),"") </f>
        <v/>
      </c>
      <c r="N1528" s="5" t="inlineStr">
        <is>
          <t>ENT</t>
        </is>
      </c>
      <c r="O1528" s="5" t="inlineStr">
        <is>
          <t>ENT</t>
        </is>
      </c>
      <c r="P1528" s="15" t="n">
        <v>0</v>
      </c>
      <c r="Q1528" s="15" t="n">
        <v>0</v>
      </c>
      <c r="R1528" s="5" t="inlineStr">
        <is>
          <t>304-2023-12-31</t>
        </is>
      </c>
    </row>
    <row r="1529">
      <c r="A1529" s="21" t="n">
        <v>304</v>
      </c>
      <c r="B1529" s="5" t="inlineStr">
        <is>
          <t>Impacto de Campañas de promoción y prevención</t>
        </is>
      </c>
      <c r="C1529" s="5" t="inlineStr">
        <is>
          <t>Servicio de Salud</t>
        </is>
      </c>
      <c r="D1529" s="5" t="inlineStr">
        <is>
          <t>Semestral</t>
        </is>
      </c>
      <c r="E1529" s="5" t="inlineStr">
        <is>
          <t>Positivo</t>
        </is>
      </c>
      <c r="F1529" s="107" t="n">
        <v>45473</v>
      </c>
      <c r="G1529" s="5" t="n">
        <v>2024</v>
      </c>
      <c r="H1529" s="5" t="inlineStr">
        <is>
          <t>Junio</t>
        </is>
      </c>
      <c r="I1529" s="6" t="inlineStr">
        <is>
          <t>2024-1</t>
        </is>
      </c>
      <c r="J1529" s="5" t="n">
        <v>100</v>
      </c>
      <c r="K1529" s="10" t="n">
        <v>100.12</v>
      </c>
      <c r="L1529" s="14">
        <f>IFERROR(IF(OR(J1529=0,K1529=""),"",IF(E1529="Positivo",MIN(MAX(K1529/J1529,0),1.3),MIN(MAX(J1529/K1529,0),1.3))),"") </f>
        <v/>
      </c>
      <c r="M1529" s="14">
        <f>IFERROR(IF(OR(J1529=0,K1529=""),"",IF(E1529="Positivo",MAX(K1529/J1529,0),MAX(J1529/K1529,0))),"") </f>
        <v/>
      </c>
      <c r="N1529" s="5" t="inlineStr">
        <is>
          <t>ENT</t>
        </is>
      </c>
      <c r="O1529" s="5" t="inlineStr">
        <is>
          <t>ENT</t>
        </is>
      </c>
      <c r="P1529" s="15" t="n">
        <v>0</v>
      </c>
      <c r="Q1529" s="15" t="n">
        <v>0</v>
      </c>
      <c r="R1529" s="5" t="inlineStr">
        <is>
          <t>304-2024-06-30</t>
        </is>
      </c>
    </row>
    <row r="1530">
      <c r="A1530" s="21" t="n">
        <v>304</v>
      </c>
      <c r="B1530" s="5" t="inlineStr">
        <is>
          <t>Impacto de Campañas de promoción y prevención</t>
        </is>
      </c>
      <c r="C1530" s="5" t="inlineStr">
        <is>
          <t>Servicio de Salud</t>
        </is>
      </c>
      <c r="D1530" s="5" t="inlineStr">
        <is>
          <t>Semestral</t>
        </is>
      </c>
      <c r="E1530" s="5" t="inlineStr">
        <is>
          <t>Positivo</t>
        </is>
      </c>
      <c r="F1530" s="107" t="n">
        <v>45657</v>
      </c>
      <c r="G1530" s="5" t="n">
        <v>2024</v>
      </c>
      <c r="H1530" s="5" t="inlineStr">
        <is>
          <t>Diciembre</t>
        </is>
      </c>
      <c r="I1530" s="6" t="inlineStr">
        <is>
          <t>2024-2</t>
        </is>
      </c>
      <c r="J1530" s="5" t="n">
        <v>100</v>
      </c>
      <c r="K1530" s="10" t="n">
        <v>83.56</v>
      </c>
      <c r="L1530" s="14">
        <f>IFERROR(IF(OR(J1530=0,K1530=""),"",IF(E1530="Positivo",MIN(MAX(K1530/J1530,0),1.3),MIN(MAX(J1530/K1530,0),1.3))),"") </f>
        <v/>
      </c>
      <c r="M1530" s="14">
        <f>IFERROR(IF(OR(J1530=0,K1530=""),"",IF(E1530="Positivo",MAX(K1530/J1530,0),MAX(J1530/K1530,0))),"") </f>
        <v/>
      </c>
      <c r="N1530" s="5" t="inlineStr">
        <is>
          <t>ENT</t>
        </is>
      </c>
      <c r="O1530" s="5" t="inlineStr">
        <is>
          <t>ENT</t>
        </is>
      </c>
      <c r="P1530" s="15" t="n">
        <v>0</v>
      </c>
      <c r="Q1530" s="15" t="n">
        <v>0</v>
      </c>
      <c r="R1530" s="5" t="inlineStr">
        <is>
          <t>304-2024-12-31</t>
        </is>
      </c>
    </row>
    <row r="1531">
      <c r="A1531" s="21" t="n">
        <v>304</v>
      </c>
      <c r="B1531" s="5" t="inlineStr">
        <is>
          <t>Impacto de Campañas de promoción y prevención</t>
        </is>
      </c>
      <c r="C1531" s="5" t="inlineStr">
        <is>
          <t>Servicio de Salud</t>
        </is>
      </c>
      <c r="D1531" s="5" t="inlineStr">
        <is>
          <t>Semestral</t>
        </is>
      </c>
      <c r="E1531" s="5" t="inlineStr">
        <is>
          <t>Positivo</t>
        </is>
      </c>
      <c r="F1531" s="107" t="n">
        <v>45838</v>
      </c>
      <c r="G1531" s="5" t="n">
        <v>2025</v>
      </c>
      <c r="H1531" s="5" t="inlineStr">
        <is>
          <t>Junio</t>
        </is>
      </c>
      <c r="I1531" s="6" t="inlineStr">
        <is>
          <t>2025-1</t>
        </is>
      </c>
      <c r="J1531" s="5" t="n">
        <v>100</v>
      </c>
      <c r="K1531" s="10" t="n">
        <v>98.47</v>
      </c>
      <c r="L1531" s="14">
        <f>IFERROR(IF(OR(J1531=0,K1531=""),"",IF(E1531="Positivo",MIN(MAX(K1531/J1531,0),1.3),MIN(MAX(J1531/K1531,0),1.3))),"") </f>
        <v/>
      </c>
      <c r="M1531" s="14">
        <f>IFERROR(IF(OR(J1531=0,K1531=""),"",IF(E1531="Positivo",MAX(K1531/J1531,0),MAX(J1531/K1531,0))),"") </f>
        <v/>
      </c>
      <c r="N1531" s="5" t="inlineStr">
        <is>
          <t>ENT</t>
        </is>
      </c>
      <c r="O1531" s="5" t="inlineStr">
        <is>
          <t>ENT</t>
        </is>
      </c>
      <c r="P1531" s="15" t="n">
        <v>0</v>
      </c>
      <c r="Q1531" s="15" t="n">
        <v>0</v>
      </c>
      <c r="R1531" s="5" t="inlineStr">
        <is>
          <t>304-2025-06-30</t>
        </is>
      </c>
    </row>
    <row r="1532">
      <c r="A1532" s="21" t="n">
        <v>304</v>
      </c>
      <c r="B1532" s="5" t="inlineStr">
        <is>
          <t>Impacto de Campañas de promoción y prevención</t>
        </is>
      </c>
      <c r="C1532" s="5" t="inlineStr">
        <is>
          <t>Servicio de Salud</t>
        </is>
      </c>
      <c r="D1532" s="5" t="inlineStr">
        <is>
          <t>Trimestral</t>
        </is>
      </c>
      <c r="E1532" s="5" t="inlineStr">
        <is>
          <t>Positivo</t>
        </is>
      </c>
      <c r="F1532" s="107" t="n">
        <v>46022</v>
      </c>
      <c r="G1532" s="5" t="n">
        <v>2025</v>
      </c>
      <c r="H1532" s="5" t="inlineStr">
        <is>
          <t>Diciembre</t>
        </is>
      </c>
      <c r="I1532" s="6" t="inlineStr">
        <is>
          <t>2025-2</t>
        </is>
      </c>
      <c r="J1532" s="5" t="n">
        <v>100</v>
      </c>
      <c r="K1532" s="10" t="n">
        <v>116.09</v>
      </c>
      <c r="L1532" s="14">
        <f>IFERROR(IF(OR(J1532=0,K1532=""),"",IF(E1532="Positivo",MIN(MAX(K1532/J1532,0),1.3),MIN(MAX(J1532/K1532,0),1.3))),"") </f>
        <v/>
      </c>
      <c r="M1532" s="14">
        <f>IFERROR(IF(OR(J1532=0,K1532=""),"",IF(E1532="Positivo",MAX(K1532/J1532,0),MAX(J1532/K1532,0))),"") </f>
        <v/>
      </c>
      <c r="N1532" s="5" t="inlineStr">
        <is>
          <t>ENT</t>
        </is>
      </c>
      <c r="O1532" s="5" t="inlineStr">
        <is>
          <t>ENT</t>
        </is>
      </c>
      <c r="P1532" s="15" t="n">
        <v>0</v>
      </c>
      <c r="Q1532" s="15" t="n">
        <v>0</v>
      </c>
      <c r="R1532" s="5" t="inlineStr">
        <is>
          <t>304-2025-12-31</t>
        </is>
      </c>
    </row>
    <row r="1533">
      <c r="A1533" s="21" t="n">
        <v>305</v>
      </c>
      <c r="B1533" s="5" t="inlineStr">
        <is>
          <t>Cumplimiento del plan anual de mantenimiento de equipos médicos</t>
        </is>
      </c>
      <c r="C1533" s="5" t="inlineStr">
        <is>
          <t>Servicio de Salud</t>
        </is>
      </c>
      <c r="D1533" s="5" t="inlineStr">
        <is>
          <t>Anual</t>
        </is>
      </c>
      <c r="E1533" s="5" t="inlineStr">
        <is>
          <t>Positivo</t>
        </is>
      </c>
      <c r="F1533" s="107" t="n">
        <v>45291</v>
      </c>
      <c r="G1533" s="5" t="n">
        <v>2023</v>
      </c>
      <c r="H1533" s="5" t="inlineStr">
        <is>
          <t>Diciembre</t>
        </is>
      </c>
      <c r="I1533" s="6" t="inlineStr">
        <is>
          <t>2023-2</t>
        </is>
      </c>
      <c r="J1533" s="5" t="n">
        <v>100</v>
      </c>
      <c r="K1533" s="10" t="n">
        <v>100</v>
      </c>
      <c r="L1533" s="14">
        <f>IFERROR(IF(OR(J1533=0,K1533=""),"",IF(E1533="Positivo",MIN(MAX(K1533/J1533,0),1.3),MIN(MAX(J1533/K1533,0),1.3))),"") </f>
        <v/>
      </c>
      <c r="M1533" s="14">
        <f>IFERROR(IF(OR(J1533=0,K1533=""),"",IF(E1533="Positivo",MAX(K1533/J1533,0),MAX(J1533/K1533,0))),"") </f>
        <v/>
      </c>
      <c r="N1533" s="5" t="inlineStr">
        <is>
          <t>%</t>
        </is>
      </c>
      <c r="O1533" s="5" t="inlineStr">
        <is>
          <t>%</t>
        </is>
      </c>
      <c r="P1533" s="15" t="n">
        <v>0</v>
      </c>
      <c r="Q1533" s="15" t="n">
        <v>0</v>
      </c>
      <c r="R1533" s="5" t="inlineStr">
        <is>
          <t>305-2023-12-31</t>
        </is>
      </c>
    </row>
    <row r="1534">
      <c r="A1534" s="21" t="n">
        <v>305</v>
      </c>
      <c r="B1534" s="5" t="inlineStr">
        <is>
          <t>Cumplimiento del plan anual de mantenimiento de equipos médicos</t>
        </is>
      </c>
      <c r="C1534" s="5" t="inlineStr">
        <is>
          <t>Servicio de Salud</t>
        </is>
      </c>
      <c r="D1534" s="5" t="inlineStr">
        <is>
          <t>Anual</t>
        </is>
      </c>
      <c r="E1534" s="5" t="inlineStr">
        <is>
          <t>Positivo</t>
        </is>
      </c>
      <c r="F1534" s="107" t="n">
        <v>45657</v>
      </c>
      <c r="G1534" s="5" t="n">
        <v>2024</v>
      </c>
      <c r="H1534" s="5" t="inlineStr">
        <is>
          <t>Diciembre</t>
        </is>
      </c>
      <c r="I1534" s="6" t="inlineStr">
        <is>
          <t>2024-2</t>
        </is>
      </c>
      <c r="J1534" s="5" t="n">
        <v>100</v>
      </c>
      <c r="K1534" s="10" t="n">
        <v>100</v>
      </c>
      <c r="L1534" s="14">
        <f>IFERROR(IF(OR(J1534=0,K1534=""),"",IF(E1534="Positivo",MIN(MAX(K1534/J1534,0),1.3),MIN(MAX(J1534/K1534,0),1.3))),"") </f>
        <v/>
      </c>
      <c r="M1534" s="14">
        <f>IFERROR(IF(OR(J1534=0,K1534=""),"",IF(E1534="Positivo",MAX(K1534/J1534,0),MAX(J1534/K1534,0))),"") </f>
        <v/>
      </c>
      <c r="N1534" s="5" t="inlineStr">
        <is>
          <t>%</t>
        </is>
      </c>
      <c r="O1534" s="5" t="inlineStr">
        <is>
          <t>%</t>
        </is>
      </c>
      <c r="P1534" s="15" t="n">
        <v>0</v>
      </c>
      <c r="Q1534" s="15" t="n">
        <v>0</v>
      </c>
      <c r="R1534" s="5" t="inlineStr">
        <is>
          <t>305-2024-12-31</t>
        </is>
      </c>
    </row>
    <row r="1535">
      <c r="A1535" s="21" t="n">
        <v>306</v>
      </c>
      <c r="B1535" s="5" t="inlineStr">
        <is>
          <t>Seguimiento KPI Plan de Desarrollo Institucional</t>
        </is>
      </c>
      <c r="C1535" s="5" t="inlineStr">
        <is>
          <t>Desempeño Institucional</t>
        </is>
      </c>
      <c r="D1535" s="5" t="inlineStr">
        <is>
          <t>Semestral</t>
        </is>
      </c>
      <c r="E1535" s="5" t="inlineStr">
        <is>
          <t>Positivo</t>
        </is>
      </c>
      <c r="F1535" s="107" t="n">
        <v>45016</v>
      </c>
      <c r="G1535" s="5" t="n">
        <v>2023</v>
      </c>
      <c r="H1535" s="5" t="inlineStr">
        <is>
          <t>Marzo</t>
        </is>
      </c>
      <c r="I1535" s="6" t="inlineStr">
        <is>
          <t>2023-1</t>
        </is>
      </c>
      <c r="J1535" s="5" t="n">
        <v>100</v>
      </c>
      <c r="K1535" s="10" t="n">
        <v>0</v>
      </c>
      <c r="L1535" s="14">
        <f>IFERROR(IF(OR(J1535=0,K1535=""),"",IF(E1535="Positivo",MIN(MAX(K1535/J1535,0),1.3),MIN(MAX(J1535/K1535,0),1.3))),"") </f>
        <v/>
      </c>
      <c r="M1535" s="14">
        <f>IFERROR(IF(OR(J1535=0,K1535=""),"",IF(E1535="Positivo",MAX(K1535/J1535,0),MAX(J1535/K1535,0))),"") </f>
        <v/>
      </c>
      <c r="N1535" s="5" t="inlineStr">
        <is>
          <t>%</t>
        </is>
      </c>
      <c r="O1535" s="5" t="inlineStr">
        <is>
          <t>%</t>
        </is>
      </c>
      <c r="P1535" s="15" t="n">
        <v>0</v>
      </c>
      <c r="Q1535" s="15" t="n">
        <v>0</v>
      </c>
      <c r="R1535" s="5" t="inlineStr">
        <is>
          <t>306-2023-03-31</t>
        </is>
      </c>
    </row>
    <row r="1536">
      <c r="A1536" s="21" t="n">
        <v>306</v>
      </c>
      <c r="B1536" s="5" t="inlineStr">
        <is>
          <t>Seguimiento KPI Plan de Desarrollo Institucional</t>
        </is>
      </c>
      <c r="C1536" s="5" t="inlineStr">
        <is>
          <t>Desempeño Institucional</t>
        </is>
      </c>
      <c r="D1536" s="5" t="inlineStr">
        <is>
          <t>Trimestral</t>
        </is>
      </c>
      <c r="E1536" s="5" t="inlineStr">
        <is>
          <t>Positivo</t>
        </is>
      </c>
      <c r="F1536" s="107" t="n">
        <v>45107</v>
      </c>
      <c r="G1536" s="5" t="n">
        <v>2023</v>
      </c>
      <c r="H1536" s="5" t="inlineStr">
        <is>
          <t>Junio</t>
        </is>
      </c>
      <c r="I1536" s="6" t="inlineStr">
        <is>
          <t>2023-1</t>
        </is>
      </c>
      <c r="J1536" s="5" t="n">
        <v>100</v>
      </c>
      <c r="K1536" s="9" t="n">
        <v>723</v>
      </c>
      <c r="L1536" s="14">
        <f>IFERROR(IF(OR(J1536=0,K1536=""),"",IF(E1536="Positivo",MIN(MAX(K1536/J1536,0),1.3),MIN(MAX(J1536/K1536,0),1.3))),"") </f>
        <v/>
      </c>
      <c r="M1536" s="14">
        <f>IFERROR(IF(OR(J1536=0,K1536=""),"",IF(E1536="Positivo",MAX(K1536/J1536,0),MAX(J1536/K1536,0))),"") </f>
        <v/>
      </c>
      <c r="N1536" s="5" t="inlineStr">
        <is>
          <t>%</t>
        </is>
      </c>
      <c r="O1536" s="5" t="inlineStr">
        <is>
          <t>%</t>
        </is>
      </c>
      <c r="P1536" s="15" t="n">
        <v>0</v>
      </c>
      <c r="Q1536" s="15" t="n">
        <v>0</v>
      </c>
      <c r="R1536" s="5" t="inlineStr">
        <is>
          <t>306-2023-06-30</t>
        </is>
      </c>
    </row>
    <row r="1537">
      <c r="A1537" s="21" t="n">
        <v>306</v>
      </c>
      <c r="B1537" s="5" t="inlineStr">
        <is>
          <t>Seguimiento KPI Plan de Desarrollo Institucional</t>
        </is>
      </c>
      <c r="C1537" s="5" t="inlineStr">
        <is>
          <t>Desempeño Institucional</t>
        </is>
      </c>
      <c r="D1537" s="5" t="inlineStr">
        <is>
          <t>Trimestral</t>
        </is>
      </c>
      <c r="E1537" s="5" t="inlineStr">
        <is>
          <t>Positivo</t>
        </is>
      </c>
      <c r="F1537" s="107" t="n">
        <v>45199</v>
      </c>
      <c r="G1537" s="5" t="n">
        <v>2023</v>
      </c>
      <c r="H1537" s="5" t="inlineStr">
        <is>
          <t>Septiembre</t>
        </is>
      </c>
      <c r="I1537" s="6" t="inlineStr">
        <is>
          <t>2023-2</t>
        </is>
      </c>
      <c r="J1537" s="5" t="n">
        <v>100</v>
      </c>
      <c r="K1537" s="102" t="n">
        <v>98</v>
      </c>
      <c r="L1537" s="14">
        <f>IFERROR(IF(OR(J1537=0,K1537=""),"",IF(E1537="Positivo",MIN(MAX(K1537/J1537,0),1.3),MIN(MAX(J1537/K1537,0),1.3))),"") </f>
        <v/>
      </c>
      <c r="M1537" s="14">
        <f>IFERROR(IF(OR(J1537=0,K1537=""),"",IF(E1537="Positivo",MAX(K1537/J1537,0),MAX(J1537/K1537,0))),"") </f>
        <v/>
      </c>
      <c r="N1537" s="5" t="inlineStr">
        <is>
          <t>%</t>
        </is>
      </c>
      <c r="O1537" s="5" t="inlineStr">
        <is>
          <t>%</t>
        </is>
      </c>
      <c r="P1537" s="15" t="n">
        <v>0</v>
      </c>
      <c r="Q1537" s="15" t="n">
        <v>0</v>
      </c>
      <c r="R1537" s="5" t="inlineStr">
        <is>
          <t>306-2023-09-30</t>
        </is>
      </c>
    </row>
    <row r="1538">
      <c r="A1538" s="21" t="n">
        <v>306</v>
      </c>
      <c r="B1538" s="5" t="inlineStr">
        <is>
          <t>Seguimiento KPI Plan de Desarrollo Institucional</t>
        </is>
      </c>
      <c r="C1538" s="5" t="inlineStr">
        <is>
          <t>Desempeño Institucional</t>
        </is>
      </c>
      <c r="D1538" s="5" t="inlineStr">
        <is>
          <t>Trimestral</t>
        </is>
      </c>
      <c r="E1538" s="5" t="inlineStr">
        <is>
          <t>Positivo</t>
        </is>
      </c>
      <c r="F1538" s="107" t="n">
        <v>45291</v>
      </c>
      <c r="G1538" s="5" t="n">
        <v>2023</v>
      </c>
      <c r="H1538" s="5" t="inlineStr">
        <is>
          <t>Diciembre</t>
        </is>
      </c>
      <c r="I1538" s="6" t="inlineStr">
        <is>
          <t>2023-2</t>
        </is>
      </c>
      <c r="J1538" s="5" t="n">
        <v>100</v>
      </c>
      <c r="K1538" s="103" t="n">
        <v>626</v>
      </c>
      <c r="L1538" s="14">
        <f>IFERROR(IF(OR(J1538=0,K1538=""),"",IF(E1538="Positivo",MIN(MAX(K1538/J1538,0),1.3),MIN(MAX(J1538/K1538,0),1.3))),"") </f>
        <v/>
      </c>
      <c r="M1538" s="14">
        <f>IFERROR(IF(OR(J1538=0,K1538=""),"",IF(E1538="Positivo",MAX(K1538/J1538,0),MAX(J1538/K1538,0))),"") </f>
        <v/>
      </c>
      <c r="N1538" s="5" t="inlineStr">
        <is>
          <t>%</t>
        </is>
      </c>
      <c r="O1538" s="5" t="inlineStr">
        <is>
          <t>%</t>
        </is>
      </c>
      <c r="P1538" s="15" t="n">
        <v>0</v>
      </c>
      <c r="Q1538" s="15" t="n">
        <v>0</v>
      </c>
      <c r="R1538" s="5" t="inlineStr">
        <is>
          <t>306-2023-12-31</t>
        </is>
      </c>
    </row>
    <row r="1539">
      <c r="A1539" s="21" t="n">
        <v>306</v>
      </c>
      <c r="B1539" s="5" t="inlineStr">
        <is>
          <t>Seguimiento KPI Plan de Desarrollo Institucional</t>
        </is>
      </c>
      <c r="C1539" s="5" t="inlineStr">
        <is>
          <t>Desempeño Institucional</t>
        </is>
      </c>
      <c r="D1539" s="5" t="inlineStr">
        <is>
          <t>Trimestral</t>
        </is>
      </c>
      <c r="E1539" s="5" t="inlineStr">
        <is>
          <t>Positivo</t>
        </is>
      </c>
      <c r="F1539" s="107" t="n">
        <v>45382</v>
      </c>
      <c r="G1539" s="5" t="n">
        <v>2024</v>
      </c>
      <c r="H1539" s="5" t="inlineStr">
        <is>
          <t>Marzo</t>
        </is>
      </c>
      <c r="I1539" s="6" t="inlineStr">
        <is>
          <t>2024-1</t>
        </is>
      </c>
      <c r="J1539" s="5" t="n">
        <v>100</v>
      </c>
      <c r="K1539" s="102" t="n">
        <v>0</v>
      </c>
      <c r="L1539" s="14">
        <f>IFERROR(IF(OR(J1539=0,K1539=""),"",IF(E1539="Positivo",MIN(MAX(K1539/J1539,0),1.3),MIN(MAX(J1539/K1539,0),1.3))),"") </f>
        <v/>
      </c>
      <c r="M1539" s="14">
        <f>IFERROR(IF(OR(J1539=0,K1539=""),"",IF(E1539="Positivo",MAX(K1539/J1539,0),MAX(J1539/K1539,0))),"") </f>
        <v/>
      </c>
      <c r="N1539" s="5" t="inlineStr">
        <is>
          <t>%</t>
        </is>
      </c>
      <c r="O1539" s="5" t="inlineStr">
        <is>
          <t>%</t>
        </is>
      </c>
      <c r="P1539" s="15" t="n">
        <v>0</v>
      </c>
      <c r="Q1539" s="15" t="n">
        <v>0</v>
      </c>
      <c r="R1539" s="5" t="inlineStr">
        <is>
          <t>306-2024-03-31</t>
        </is>
      </c>
    </row>
    <row r="1540">
      <c r="A1540" s="21" t="n">
        <v>306</v>
      </c>
      <c r="B1540" s="5" t="inlineStr">
        <is>
          <t>Seguimiento KPI Plan de Desarrollo Institucional</t>
        </is>
      </c>
      <c r="C1540" s="5" t="inlineStr">
        <is>
          <t>Desempeño Institucional</t>
        </is>
      </c>
      <c r="D1540" s="5" t="inlineStr">
        <is>
          <t>Trimestral</t>
        </is>
      </c>
      <c r="E1540" s="5" t="inlineStr">
        <is>
          <t>Positivo</t>
        </is>
      </c>
      <c r="F1540" s="107" t="n">
        <v>45473</v>
      </c>
      <c r="G1540" s="5" t="n">
        <v>2024</v>
      </c>
      <c r="H1540" s="5" t="inlineStr">
        <is>
          <t>Junio</t>
        </is>
      </c>
      <c r="I1540" s="6" t="inlineStr">
        <is>
          <t>2024-1</t>
        </is>
      </c>
      <c r="J1540" s="5" t="n">
        <v>100</v>
      </c>
      <c r="K1540" s="102" t="n">
        <v>601</v>
      </c>
      <c r="L1540" s="14">
        <f>IFERROR(IF(OR(J1540=0,K1540=""),"",IF(E1540="Positivo",MIN(MAX(K1540/J1540,0),1.3),MIN(MAX(J1540/K1540,0),1.3))),"") </f>
        <v/>
      </c>
      <c r="M1540" s="14">
        <f>IFERROR(IF(OR(J1540=0,K1540=""),"",IF(E1540="Positivo",MAX(K1540/J1540,0),MAX(J1540/K1540,0))),"") </f>
        <v/>
      </c>
      <c r="N1540" s="5" t="inlineStr">
        <is>
          <t>%</t>
        </is>
      </c>
      <c r="O1540" s="5" t="inlineStr">
        <is>
          <t>%</t>
        </is>
      </c>
      <c r="P1540" s="15" t="n">
        <v>0</v>
      </c>
      <c r="Q1540" s="15" t="n">
        <v>0</v>
      </c>
      <c r="R1540" s="5" t="inlineStr">
        <is>
          <t>306-2024-06-30</t>
        </is>
      </c>
    </row>
    <row r="1541">
      <c r="A1541" s="21" t="n">
        <v>306</v>
      </c>
      <c r="B1541" s="5" t="inlineStr">
        <is>
          <t>Seguimiento KPI Plan de Desarrollo Institucional</t>
        </is>
      </c>
      <c r="C1541" s="5" t="inlineStr">
        <is>
          <t>Desempeño Institucional</t>
        </is>
      </c>
      <c r="D1541" s="5" t="inlineStr">
        <is>
          <t>Trimestral</t>
        </is>
      </c>
      <c r="E1541" s="5" t="inlineStr">
        <is>
          <t>Positivo</t>
        </is>
      </c>
      <c r="F1541" s="107" t="n">
        <v>45565</v>
      </c>
      <c r="G1541" s="5" t="n">
        <v>2024</v>
      </c>
      <c r="H1541" s="5" t="inlineStr">
        <is>
          <t>Septiembre</t>
        </is>
      </c>
      <c r="I1541" s="6" t="inlineStr">
        <is>
          <t>2024-2</t>
        </is>
      </c>
      <c r="J1541" s="5" t="n">
        <v>100</v>
      </c>
      <c r="K1541" s="102" t="n">
        <v>0</v>
      </c>
      <c r="L1541" s="14">
        <f>IFERROR(IF(OR(J1541=0,K1541=""),"",IF(E1541="Positivo",MIN(MAX(K1541/J1541,0),1.3),MIN(MAX(J1541/K1541,0),1.3))),"") </f>
        <v/>
      </c>
      <c r="M1541" s="14">
        <f>IFERROR(IF(OR(J1541=0,K1541=""),"",IF(E1541="Positivo",MAX(K1541/J1541,0),MAX(J1541/K1541,0))),"") </f>
        <v/>
      </c>
      <c r="N1541" s="5" t="inlineStr">
        <is>
          <t>%</t>
        </is>
      </c>
      <c r="O1541" s="5" t="inlineStr">
        <is>
          <t>%</t>
        </is>
      </c>
      <c r="P1541" s="15" t="n">
        <v>0</v>
      </c>
      <c r="Q1541" s="15" t="n">
        <v>0</v>
      </c>
      <c r="R1541" s="5" t="inlineStr">
        <is>
          <t>306-2024-09-30</t>
        </is>
      </c>
    </row>
    <row r="1542">
      <c r="A1542" s="21" t="n">
        <v>306</v>
      </c>
      <c r="B1542" s="5" t="inlineStr">
        <is>
          <t>Seguimiento KPI Plan de Desarrollo Institucional</t>
        </is>
      </c>
      <c r="C1542" s="5" t="inlineStr">
        <is>
          <t>Desempeño Institucional</t>
        </is>
      </c>
      <c r="D1542" s="5" t="inlineStr">
        <is>
          <t>Trimestral</t>
        </is>
      </c>
      <c r="E1542" s="5" t="inlineStr">
        <is>
          <t>Positivo</t>
        </is>
      </c>
      <c r="F1542" s="107" t="n">
        <v>45657</v>
      </c>
      <c r="G1542" s="5" t="n">
        <v>2024</v>
      </c>
      <c r="H1542" s="5" t="inlineStr">
        <is>
          <t>Diciembre</t>
        </is>
      </c>
      <c r="I1542" s="6" t="inlineStr">
        <is>
          <t>2024-2</t>
        </is>
      </c>
      <c r="J1542" s="5" t="n">
        <v>100</v>
      </c>
      <c r="K1542" s="102" t="n">
        <v>101</v>
      </c>
      <c r="L1542" s="14">
        <f>IFERROR(IF(OR(J1542=0,K1542=""),"",IF(E1542="Positivo",MIN(MAX(K1542/J1542,0),1.3),MIN(MAX(J1542/K1542,0),1.3))),"") </f>
        <v/>
      </c>
      <c r="M1542" s="14">
        <f>IFERROR(IF(OR(J1542=0,K1542=""),"",IF(E1542="Positivo",MAX(K1542/J1542,0),MAX(J1542/K1542,0))),"") </f>
        <v/>
      </c>
      <c r="N1542" s="5" t="inlineStr">
        <is>
          <t>%</t>
        </is>
      </c>
      <c r="O1542" s="5" t="inlineStr">
        <is>
          <t>%</t>
        </is>
      </c>
      <c r="P1542" s="15" t="n">
        <v>0</v>
      </c>
      <c r="Q1542" s="15" t="n">
        <v>0</v>
      </c>
      <c r="R1542" s="5" t="inlineStr">
        <is>
          <t>306-2024-12-31</t>
        </is>
      </c>
    </row>
    <row r="1543">
      <c r="A1543" s="21" t="n">
        <v>306</v>
      </c>
      <c r="B1543" s="5" t="inlineStr">
        <is>
          <t>Seguimiento KPI Plan de Desarrollo Institucional</t>
        </is>
      </c>
      <c r="C1543" s="5" t="inlineStr">
        <is>
          <t>Desempeño Institucional</t>
        </is>
      </c>
      <c r="D1543" s="5" t="inlineStr">
        <is>
          <t>Semestral</t>
        </is>
      </c>
      <c r="E1543" s="5" t="inlineStr">
        <is>
          <t>Positivo</t>
        </is>
      </c>
      <c r="F1543" s="107" t="n">
        <v>45838</v>
      </c>
      <c r="G1543" s="5" t="n">
        <v>2025</v>
      </c>
      <c r="H1543" s="5" t="inlineStr">
        <is>
          <t>Junio</t>
        </is>
      </c>
      <c r="I1543" s="6" t="inlineStr">
        <is>
          <t>2025-1</t>
        </is>
      </c>
      <c r="J1543" s="5" t="n">
        <v>100</v>
      </c>
      <c r="K1543" s="10" t="n">
        <v>108.67</v>
      </c>
      <c r="L1543" s="14">
        <f>IFERROR(IF(OR(J1543=0,K1543=""),"",IF(E1543="Positivo",MIN(MAX(K1543/J1543,0),1.3),MIN(MAX(J1543/K1543,0),1.3))),"") </f>
        <v/>
      </c>
      <c r="M1543" s="14">
        <f>IFERROR(IF(OR(J1543=0,K1543=""),"",IF(E1543="Positivo",MAX(K1543/J1543,0),MAX(J1543/K1543,0))),"") </f>
        <v/>
      </c>
      <c r="N1543" s="5" t="inlineStr">
        <is>
          <t>%</t>
        </is>
      </c>
      <c r="O1543" s="5" t="inlineStr">
        <is>
          <t>%</t>
        </is>
      </c>
      <c r="P1543" s="15" t="n">
        <v>0</v>
      </c>
      <c r="Q1543" s="15" t="n">
        <v>0</v>
      </c>
      <c r="R1543" s="5" t="inlineStr">
        <is>
          <t>306-2025-06-30</t>
        </is>
      </c>
    </row>
    <row r="1544">
      <c r="A1544" s="21" t="n">
        <v>306</v>
      </c>
      <c r="B1544" s="5" t="inlineStr">
        <is>
          <t>Seguimiento KPI Plan de Desarrollo Institucional</t>
        </is>
      </c>
      <c r="C1544" s="5" t="inlineStr">
        <is>
          <t>Desempeño Institucional</t>
        </is>
      </c>
      <c r="D1544" s="5" t="inlineStr">
        <is>
          <t>Semestral</t>
        </is>
      </c>
      <c r="E1544" s="5" t="inlineStr">
        <is>
          <t>Positivo</t>
        </is>
      </c>
      <c r="F1544" s="107" t="n">
        <v>45930</v>
      </c>
      <c r="G1544" s="5" t="n">
        <v>2025</v>
      </c>
      <c r="H1544" s="5" t="inlineStr">
        <is>
          <t>Septiembre</t>
        </is>
      </c>
      <c r="I1544" s="6" t="inlineStr">
        <is>
          <t>2025-2</t>
        </is>
      </c>
      <c r="J1544" s="5" t="n">
        <v>100</v>
      </c>
      <c r="K1544" s="10" t="n">
        <v>105.83</v>
      </c>
      <c r="L1544" s="14">
        <f>IFERROR(IF(OR(J1544=0,K1544=""),"",IF(E1544="Positivo",MIN(MAX(K1544/J1544,0),1.3),MIN(MAX(J1544/K1544,0),1.3))),"") </f>
        <v/>
      </c>
      <c r="M1544" s="14">
        <f>IFERROR(IF(OR(J1544=0,K1544=""),"",IF(E1544="Positivo",MAX(K1544/J1544,0),MAX(J1544/K1544,0))),"") </f>
        <v/>
      </c>
      <c r="N1544" s="5" t="inlineStr">
        <is>
          <t>%</t>
        </is>
      </c>
      <c r="O1544" s="5" t="inlineStr">
        <is>
          <t>%</t>
        </is>
      </c>
      <c r="P1544" s="15" t="n">
        <v>0</v>
      </c>
      <c r="Q1544" s="15" t="n">
        <v>0</v>
      </c>
      <c r="R1544" s="5" t="inlineStr">
        <is>
          <t>306-2025-09-30</t>
        </is>
      </c>
    </row>
    <row r="1545">
      <c r="A1545" s="21" t="n">
        <v>306</v>
      </c>
      <c r="B1545" s="5" t="inlineStr">
        <is>
          <t>Seguimiento KPI Plan de Desarrollo Institucional</t>
        </is>
      </c>
      <c r="C1545" s="5" t="inlineStr">
        <is>
          <t>Desempeño Institucional</t>
        </is>
      </c>
      <c r="D1545" s="5" t="inlineStr">
        <is>
          <t>Semestral</t>
        </is>
      </c>
      <c r="E1545" s="5" t="inlineStr">
        <is>
          <t>Positivo</t>
        </is>
      </c>
      <c r="F1545" s="107" t="n">
        <v>46022</v>
      </c>
      <c r="G1545" s="5" t="n">
        <v>2025</v>
      </c>
      <c r="H1545" s="5" t="inlineStr">
        <is>
          <t>Diciembre</t>
        </is>
      </c>
      <c r="I1545" s="6" t="inlineStr">
        <is>
          <t>2025-2</t>
        </is>
      </c>
      <c r="J1545" s="5" t="n">
        <v>100</v>
      </c>
      <c r="K1545" s="10" t="n">
        <v>107.62</v>
      </c>
      <c r="L1545" s="14">
        <f>IFERROR(IF(OR(J1545=0,K1545=""),"",IF(E1545="Positivo",MIN(MAX(K1545/J1545,0),1.3),MIN(MAX(J1545/K1545,0),1.3))),"") </f>
        <v/>
      </c>
      <c r="M1545" s="14">
        <f>IFERROR(IF(OR(J1545=0,K1545=""),"",IF(E1545="Positivo",MAX(K1545/J1545,0),MAX(J1545/K1545,0))),"") </f>
        <v/>
      </c>
      <c r="N1545" s="5" t="inlineStr">
        <is>
          <t>%</t>
        </is>
      </c>
      <c r="O1545" s="5" t="inlineStr">
        <is>
          <t>%</t>
        </is>
      </c>
      <c r="P1545" s="15" t="n">
        <v>0</v>
      </c>
      <c r="Q1545" s="15" t="n">
        <v>0</v>
      </c>
      <c r="R1545" s="5" t="inlineStr">
        <is>
          <t>306-2025-12-31</t>
        </is>
      </c>
    </row>
    <row r="1546">
      <c r="A1546" s="21" t="n">
        <v>307</v>
      </c>
      <c r="B1546" s="5" t="inlineStr">
        <is>
          <t>Organización de escenarios de visibilidad nacional e internacional</t>
        </is>
      </c>
      <c r="C1546" s="5" t="inlineStr">
        <is>
          <t>VISIBILIDAD NACIONAL E INTERNACIONAL</t>
        </is>
      </c>
      <c r="D1546" s="5" t="inlineStr">
        <is>
          <t>Semestral</t>
        </is>
      </c>
      <c r="E1546" s="5" t="inlineStr">
        <is>
          <t>Positivo</t>
        </is>
      </c>
      <c r="F1546" s="107" t="n">
        <v>45107</v>
      </c>
      <c r="G1546" s="5" t="n">
        <v>2023</v>
      </c>
      <c r="H1546" s="5" t="inlineStr">
        <is>
          <t>Junio</t>
        </is>
      </c>
      <c r="I1546" s="6" t="inlineStr">
        <is>
          <t>2023-1</t>
        </is>
      </c>
      <c r="J1546" s="5" t="n">
        <v>20</v>
      </c>
      <c r="K1546" s="9" t="n">
        <v>25</v>
      </c>
      <c r="L1546" s="14">
        <f>IFERROR(IF(OR(J1546=0,K1546=""),"",IF(E1546="Positivo",MIN(MAX(K1546/J1546,0),1.3),MIN(MAX(J1546/K1546,0),1.3))),"") </f>
        <v/>
      </c>
      <c r="M1546" s="14">
        <f>IFERROR(IF(OR(J1546=0,K1546=""),"",IF(E1546="Positivo",MAX(K1546/J1546,0),MAX(J1546/K1546,0))),"") </f>
        <v/>
      </c>
      <c r="N1546" s="5" t="inlineStr">
        <is>
          <t>%</t>
        </is>
      </c>
      <c r="O1546" s="5" t="inlineStr">
        <is>
          <t>%</t>
        </is>
      </c>
      <c r="P1546" s="15" t="n">
        <v>0</v>
      </c>
      <c r="Q1546" s="15" t="n">
        <v>0</v>
      </c>
      <c r="R1546" s="5" t="inlineStr">
        <is>
          <t>307-2023-06-30</t>
        </is>
      </c>
    </row>
    <row r="1547">
      <c r="A1547" s="21" t="n">
        <v>307</v>
      </c>
      <c r="B1547" s="5" t="inlineStr">
        <is>
          <t>Organización de escenarios de visibilidad nacional e internacional</t>
        </is>
      </c>
      <c r="C1547" s="5" t="inlineStr">
        <is>
          <t>VISIBILIDAD NACIONAL E INTERNACIONAL</t>
        </is>
      </c>
      <c r="D1547" s="5" t="inlineStr">
        <is>
          <t>Semestral</t>
        </is>
      </c>
      <c r="E1547" s="5" t="inlineStr">
        <is>
          <t>Positivo</t>
        </is>
      </c>
      <c r="F1547" s="107" t="n">
        <v>45291</v>
      </c>
      <c r="G1547" s="5" t="n">
        <v>2023</v>
      </c>
      <c r="H1547" s="5" t="inlineStr">
        <is>
          <t>Diciembre</t>
        </is>
      </c>
      <c r="I1547" s="6" t="inlineStr">
        <is>
          <t>2023-2</t>
        </is>
      </c>
      <c r="J1547" s="5" t="n">
        <v>26</v>
      </c>
      <c r="K1547" s="9" t="n">
        <v>82</v>
      </c>
      <c r="L1547" s="14">
        <f>IFERROR(IF(OR(J1547=0,K1547=""),"",IF(E1547="Positivo",MIN(MAX(K1547/J1547,0),1.3),MIN(MAX(J1547/K1547,0),1.3))),"") </f>
        <v/>
      </c>
      <c r="M1547" s="14">
        <f>IFERROR(IF(OR(J1547=0,K1547=""),"",IF(E1547="Positivo",MAX(K1547/J1547,0),MAX(J1547/K1547,0))),"") </f>
        <v/>
      </c>
      <c r="N1547" s="5" t="inlineStr">
        <is>
          <t>%</t>
        </is>
      </c>
      <c r="O1547" s="5" t="inlineStr">
        <is>
          <t>%</t>
        </is>
      </c>
      <c r="P1547" s="15" t="n">
        <v>0</v>
      </c>
      <c r="Q1547" s="15" t="n">
        <v>0</v>
      </c>
      <c r="R1547" s="5" t="inlineStr">
        <is>
          <t>307-2023-12-31</t>
        </is>
      </c>
    </row>
    <row r="1548">
      <c r="A1548" s="21" t="n">
        <v>307</v>
      </c>
      <c r="B1548" s="5" t="inlineStr">
        <is>
          <t>Organización de escenarios de visibilidad nacional e internacional</t>
        </is>
      </c>
      <c r="C1548" s="5" t="inlineStr">
        <is>
          <t>VISIBILIDAD NACIONAL E INTERNACIONAL</t>
        </is>
      </c>
      <c r="D1548" s="5" t="inlineStr">
        <is>
          <t>Semestral</t>
        </is>
      </c>
      <c r="E1548" s="5" t="inlineStr">
        <is>
          <t>Positivo</t>
        </is>
      </c>
      <c r="F1548" s="107" t="n">
        <v>45473</v>
      </c>
      <c r="G1548" s="5" t="n">
        <v>2024</v>
      </c>
      <c r="H1548" s="5" t="inlineStr">
        <is>
          <t>Junio</t>
        </is>
      </c>
      <c r="I1548" s="6" t="inlineStr">
        <is>
          <t>2024-1</t>
        </is>
      </c>
      <c r="J1548" s="5" t="n">
        <v>100</v>
      </c>
      <c r="K1548" s="9" t="n">
        <v>112</v>
      </c>
      <c r="L1548" s="14">
        <f>IFERROR(IF(OR(J1548=0,K1548=""),"",IF(E1548="Positivo",MIN(MAX(K1548/J1548,0),1.3),MIN(MAX(J1548/K1548,0),1.3))),"") </f>
        <v/>
      </c>
      <c r="M1548" s="14">
        <f>IFERROR(IF(OR(J1548=0,K1548=""),"",IF(E1548="Positivo",MAX(K1548/J1548,0),MAX(J1548/K1548,0))),"") </f>
        <v/>
      </c>
      <c r="N1548" s="5" t="inlineStr">
        <is>
          <t>ENT</t>
        </is>
      </c>
      <c r="O1548" s="5" t="inlineStr">
        <is>
          <t>ENT</t>
        </is>
      </c>
      <c r="P1548" s="15" t="n">
        <v>0</v>
      </c>
      <c r="Q1548" s="15" t="n">
        <v>0</v>
      </c>
      <c r="R1548" s="5" t="inlineStr">
        <is>
          <t>307-2024-06-30</t>
        </is>
      </c>
    </row>
    <row r="1549">
      <c r="A1549" s="21" t="n">
        <v>307</v>
      </c>
      <c r="B1549" s="5" t="inlineStr">
        <is>
          <t>Organización de escenarios de visibilidad nacional e internacional</t>
        </is>
      </c>
      <c r="C1549" s="5" t="inlineStr">
        <is>
          <t>VISIBILIDAD NACIONAL E INTERNACIONAL</t>
        </is>
      </c>
      <c r="D1549" s="5" t="inlineStr">
        <is>
          <t>Semestral</t>
        </is>
      </c>
      <c r="E1549" s="5" t="inlineStr">
        <is>
          <t>Positivo</t>
        </is>
      </c>
      <c r="F1549" s="107" t="n">
        <v>45657</v>
      </c>
      <c r="G1549" s="5" t="n">
        <v>2024</v>
      </c>
      <c r="H1549" s="5" t="inlineStr">
        <is>
          <t>Diciembre</t>
        </is>
      </c>
      <c r="I1549" s="6" t="inlineStr">
        <is>
          <t>2024-2</t>
        </is>
      </c>
      <c r="J1549" s="5" t="n">
        <v>100</v>
      </c>
      <c r="K1549" s="9" t="n">
        <v>413.33</v>
      </c>
      <c r="L1549" s="14">
        <f>IFERROR(IF(OR(J1549=0,K1549=""),"",IF(E1549="Positivo",MIN(MAX(K1549/J1549,0),1.3),MIN(MAX(J1549/K1549,0),1.3))),"") </f>
        <v/>
      </c>
      <c r="M1549" s="14">
        <f>IFERROR(IF(OR(J1549=0,K1549=""),"",IF(E1549="Positivo",MAX(K1549/J1549,0),MAX(J1549/K1549,0))),"") </f>
        <v/>
      </c>
      <c r="N1549" s="5" t="inlineStr">
        <is>
          <t>ENT</t>
        </is>
      </c>
      <c r="O1549" s="5" t="inlineStr">
        <is>
          <t>ENT</t>
        </is>
      </c>
      <c r="P1549" s="15" t="n">
        <v>0</v>
      </c>
      <c r="Q1549" s="15" t="n">
        <v>0</v>
      </c>
      <c r="R1549" s="5" t="inlineStr">
        <is>
          <t>307-2024-12-31</t>
        </is>
      </c>
    </row>
    <row r="1550">
      <c r="A1550" s="21" t="n">
        <v>308</v>
      </c>
      <c r="B1550" s="5" t="inlineStr">
        <is>
          <t>Movilidad Física Entrantes Profesores</t>
        </is>
      </c>
      <c r="C1550" s="5" t="inlineStr">
        <is>
          <t>VISIBILIDAD NACIONAL E INTERNACIONAL</t>
        </is>
      </c>
      <c r="D1550" s="5" t="inlineStr">
        <is>
          <t>Semestral</t>
        </is>
      </c>
      <c r="E1550" s="5" t="inlineStr">
        <is>
          <t>Positivo</t>
        </is>
      </c>
      <c r="F1550" s="107" t="n">
        <v>45107</v>
      </c>
      <c r="G1550" s="5" t="n">
        <v>2023</v>
      </c>
      <c r="H1550" s="5" t="inlineStr">
        <is>
          <t>Junio</t>
        </is>
      </c>
      <c r="I1550" s="6" t="inlineStr">
        <is>
          <t>2023-1</t>
        </is>
      </c>
      <c r="J1550" s="5" t="n">
        <v>12</v>
      </c>
      <c r="K1550" s="9" t="n">
        <v>27</v>
      </c>
      <c r="L1550" s="14">
        <f>IFERROR(IF(OR(J1550=0,K1550=""),"",IF(E1550="Positivo",MIN(MAX(K1550/J1550,0),1.3),MIN(MAX(J1550/K1550,0),1.3))),"") </f>
        <v/>
      </c>
      <c r="M1550" s="14">
        <f>IFERROR(IF(OR(J1550=0,K1550=""),"",IF(E1550="Positivo",MAX(K1550/J1550,0),MAX(J1550/K1550,0))),"") </f>
        <v/>
      </c>
      <c r="N1550" s="5" t="inlineStr">
        <is>
          <t>ENT</t>
        </is>
      </c>
      <c r="O1550" s="5" t="inlineStr">
        <is>
          <t>ENT</t>
        </is>
      </c>
      <c r="P1550" s="15" t="n">
        <v>0</v>
      </c>
      <c r="Q1550" s="15" t="n">
        <v>0</v>
      </c>
      <c r="R1550" s="5" t="inlineStr">
        <is>
          <t>308-2023-06-30</t>
        </is>
      </c>
    </row>
    <row r="1551">
      <c r="A1551" s="21" t="n">
        <v>308</v>
      </c>
      <c r="B1551" s="5" t="inlineStr">
        <is>
          <t>Movilidad Física Entrantes Profesores</t>
        </is>
      </c>
      <c r="C1551" s="5" t="inlineStr">
        <is>
          <t>VISIBILIDAD NACIONAL E INTERNACIONAL</t>
        </is>
      </c>
      <c r="D1551" s="5" t="inlineStr">
        <is>
          <t>Semestral</t>
        </is>
      </c>
      <c r="E1551" s="5" t="inlineStr">
        <is>
          <t>Positivo</t>
        </is>
      </c>
      <c r="F1551" s="107" t="n">
        <v>45291</v>
      </c>
      <c r="G1551" s="5" t="n">
        <v>2023</v>
      </c>
      <c r="H1551" s="5" t="inlineStr">
        <is>
          <t>Diciembre</t>
        </is>
      </c>
      <c r="I1551" s="6" t="inlineStr">
        <is>
          <t>2023-2</t>
        </is>
      </c>
      <c r="J1551" s="5" t="n">
        <v>20</v>
      </c>
      <c r="K1551" s="10" t="n">
        <v>54</v>
      </c>
      <c r="L1551" s="14">
        <f>IFERROR(IF(OR(J1551=0,K1551=""),"",IF(E1551="Positivo",MIN(MAX(K1551/J1551,0),1.3),MIN(MAX(J1551/K1551,0),1.3))),"") </f>
        <v/>
      </c>
      <c r="M1551" s="14">
        <f>IFERROR(IF(OR(J1551=0,K1551=""),"",IF(E1551="Positivo",MAX(K1551/J1551,0),MAX(J1551/K1551,0))),"") </f>
        <v/>
      </c>
      <c r="N1551" s="5" t="inlineStr">
        <is>
          <t>ENT</t>
        </is>
      </c>
      <c r="O1551" s="5" t="inlineStr">
        <is>
          <t>ENT</t>
        </is>
      </c>
      <c r="P1551" s="15" t="n">
        <v>0</v>
      </c>
      <c r="Q1551" s="15" t="n">
        <v>0</v>
      </c>
      <c r="R1551" s="5" t="inlineStr">
        <is>
          <t>308-2023-12-31</t>
        </is>
      </c>
    </row>
    <row r="1552">
      <c r="A1552" s="21" t="n">
        <v>308</v>
      </c>
      <c r="B1552" s="5" t="inlineStr">
        <is>
          <t>Movilidad Física Entrantes Profesores</t>
        </is>
      </c>
      <c r="C1552" s="5" t="inlineStr">
        <is>
          <t>VISIBILIDAD NACIONAL E INTERNACIONAL</t>
        </is>
      </c>
      <c r="D1552" s="5" t="inlineStr">
        <is>
          <t>Semestral</t>
        </is>
      </c>
      <c r="E1552" s="5" t="inlineStr">
        <is>
          <t>Positivo</t>
        </is>
      </c>
      <c r="F1552" s="107" t="n">
        <v>45473</v>
      </c>
      <c r="G1552" s="5" t="n">
        <v>2024</v>
      </c>
      <c r="H1552" s="5" t="inlineStr">
        <is>
          <t>Junio</t>
        </is>
      </c>
      <c r="I1552" s="6" t="inlineStr">
        <is>
          <t>2024-1</t>
        </is>
      </c>
      <c r="J1552" s="5" t="n">
        <v>100</v>
      </c>
      <c r="K1552" s="9" t="n">
        <v>100</v>
      </c>
      <c r="L1552" s="14">
        <f>IFERROR(IF(OR(J1552=0,K1552=""),"",IF(E1552="Positivo",MIN(MAX(K1552/J1552,0),1.3),MIN(MAX(J1552/K1552,0),1.3))),"") </f>
        <v/>
      </c>
      <c r="M1552" s="14">
        <f>IFERROR(IF(OR(J1552=0,K1552=""),"",IF(E1552="Positivo",MAX(K1552/J1552,0),MAX(J1552/K1552,0))),"") </f>
        <v/>
      </c>
      <c r="N1552" s="5" t="inlineStr">
        <is>
          <t>ENT</t>
        </is>
      </c>
      <c r="O1552" s="5" t="inlineStr">
        <is>
          <t>ENT</t>
        </is>
      </c>
      <c r="P1552" s="15" t="n">
        <v>0</v>
      </c>
      <c r="Q1552" s="15" t="n">
        <v>0</v>
      </c>
      <c r="R1552" s="5" t="inlineStr">
        <is>
          <t>308-2024-06-30</t>
        </is>
      </c>
    </row>
    <row r="1553">
      <c r="A1553" s="21" t="n">
        <v>308</v>
      </c>
      <c r="B1553" s="5" t="inlineStr">
        <is>
          <t>Movilidad Física Entrantes Profesores</t>
        </is>
      </c>
      <c r="C1553" s="5" t="inlineStr">
        <is>
          <t>VISIBILIDAD NACIONAL E INTERNACIONAL</t>
        </is>
      </c>
      <c r="D1553" s="5" t="inlineStr">
        <is>
          <t>Semestral</t>
        </is>
      </c>
      <c r="E1553" s="5" t="inlineStr">
        <is>
          <t>Positivo</t>
        </is>
      </c>
      <c r="F1553" s="107" t="n">
        <v>45657</v>
      </c>
      <c r="G1553" s="5" t="n">
        <v>2024</v>
      </c>
      <c r="H1553" s="5" t="inlineStr">
        <is>
          <t>Diciembre</t>
        </is>
      </c>
      <c r="I1553" s="6" t="inlineStr">
        <is>
          <t>2024-2</t>
        </is>
      </c>
      <c r="J1553" s="5" t="n">
        <v>100</v>
      </c>
      <c r="K1553" s="9" t="n">
        <v>100</v>
      </c>
      <c r="L1553" s="14">
        <f>IFERROR(IF(OR(J1553=0,K1553=""),"",IF(E1553="Positivo",MIN(MAX(K1553/J1553,0),1.3),MIN(MAX(J1553/K1553,0),1.3))),"") </f>
        <v/>
      </c>
      <c r="M1553" s="14">
        <f>IFERROR(IF(OR(J1553=0,K1553=""),"",IF(E1553="Positivo",MAX(K1553/J1553,0),MAX(J1553/K1553,0))),"") </f>
        <v/>
      </c>
      <c r="N1553" s="5" t="inlineStr">
        <is>
          <t>ENT</t>
        </is>
      </c>
      <c r="O1553" s="5" t="inlineStr">
        <is>
          <t>ENT</t>
        </is>
      </c>
      <c r="P1553" s="15" t="n">
        <v>0</v>
      </c>
      <c r="Q1553" s="15" t="n">
        <v>0</v>
      </c>
      <c r="R1553" s="5" t="inlineStr">
        <is>
          <t>308-2024-12-31</t>
        </is>
      </c>
    </row>
    <row r="1554">
      <c r="A1554" s="21" t="n">
        <v>309</v>
      </c>
      <c r="B1554" s="5" t="inlineStr">
        <is>
          <t>Movilidad Física Profesores Salientes</t>
        </is>
      </c>
      <c r="C1554" s="5" t="inlineStr">
        <is>
          <t>VISIBILIDAD NACIONAL E INTERNACIONAL</t>
        </is>
      </c>
      <c r="D1554" s="5" t="inlineStr">
        <is>
          <t>Semestral</t>
        </is>
      </c>
      <c r="E1554" s="5" t="inlineStr">
        <is>
          <t>Positivo</t>
        </is>
      </c>
      <c r="F1554" s="107" t="n">
        <v>45107</v>
      </c>
      <c r="G1554" s="5" t="n">
        <v>2023</v>
      </c>
      <c r="H1554" s="5" t="inlineStr">
        <is>
          <t>Junio</t>
        </is>
      </c>
      <c r="I1554" s="6" t="inlineStr">
        <is>
          <t>2023-1</t>
        </is>
      </c>
      <c r="J1554" s="5" t="n">
        <v>19</v>
      </c>
      <c r="K1554" s="9" t="n">
        <v>27</v>
      </c>
      <c r="L1554" s="14">
        <f>IFERROR(IF(OR(J1554=0,K1554=""),"",IF(E1554="Positivo",MIN(MAX(K1554/J1554,0),1.3),MIN(MAX(J1554/K1554,0),1.3))),"") </f>
        <v/>
      </c>
      <c r="M1554" s="14">
        <f>IFERROR(IF(OR(J1554=0,K1554=""),"",IF(E1554="Positivo",MAX(K1554/J1554,0),MAX(J1554/K1554,0))),"") </f>
        <v/>
      </c>
      <c r="N1554" s="5" t="inlineStr">
        <is>
          <t>ENT</t>
        </is>
      </c>
      <c r="O1554" s="5" t="inlineStr">
        <is>
          <t>ENT</t>
        </is>
      </c>
      <c r="P1554" s="15" t="n">
        <v>0</v>
      </c>
      <c r="Q1554" s="15" t="n">
        <v>0</v>
      </c>
      <c r="R1554" s="5" t="inlineStr">
        <is>
          <t>309-2023-06-30</t>
        </is>
      </c>
    </row>
    <row r="1555">
      <c r="A1555" s="21" t="n">
        <v>309</v>
      </c>
      <c r="B1555" s="5" t="inlineStr">
        <is>
          <t>Movilidad Física Profesores Salientes</t>
        </is>
      </c>
      <c r="C1555" s="5" t="inlineStr">
        <is>
          <t>VISIBILIDAD NACIONAL E INTERNACIONAL</t>
        </is>
      </c>
      <c r="D1555" s="5" t="inlineStr">
        <is>
          <t>Semestral</t>
        </is>
      </c>
      <c r="E1555" s="5" t="inlineStr">
        <is>
          <t>Positivo</t>
        </is>
      </c>
      <c r="F1555" s="107" t="n">
        <v>45291</v>
      </c>
      <c r="G1555" s="5" t="n">
        <v>2023</v>
      </c>
      <c r="H1555" s="5" t="inlineStr">
        <is>
          <t>Diciembre</t>
        </is>
      </c>
      <c r="I1555" s="6" t="inlineStr">
        <is>
          <t>2023-2</t>
        </is>
      </c>
      <c r="J1555" s="5" t="n">
        <v>45</v>
      </c>
      <c r="K1555" s="9" t="n">
        <v>76</v>
      </c>
      <c r="L1555" s="14">
        <f>IFERROR(IF(OR(J1555=0,K1555=""),"",IF(E1555="Positivo",MIN(MAX(K1555/J1555,0),1.3),MIN(MAX(J1555/K1555,0),1.3))),"") </f>
        <v/>
      </c>
      <c r="M1555" s="14">
        <f>IFERROR(IF(OR(J1555=0,K1555=""),"",IF(E1555="Positivo",MAX(K1555/J1555,0),MAX(J1555/K1555,0))),"") </f>
        <v/>
      </c>
      <c r="N1555" s="5" t="inlineStr">
        <is>
          <t>ENT</t>
        </is>
      </c>
      <c r="O1555" s="5" t="inlineStr">
        <is>
          <t>ENT</t>
        </is>
      </c>
      <c r="P1555" s="15" t="n">
        <v>0</v>
      </c>
      <c r="Q1555" s="15" t="n">
        <v>0</v>
      </c>
      <c r="R1555" s="5" t="inlineStr">
        <is>
          <t>309-2023-12-31</t>
        </is>
      </c>
    </row>
    <row r="1556">
      <c r="A1556" s="21" t="n">
        <v>309</v>
      </c>
      <c r="B1556" s="5" t="inlineStr">
        <is>
          <t>Movilidad Física Profesores Salientes</t>
        </is>
      </c>
      <c r="C1556" s="5" t="inlineStr">
        <is>
          <t>VISIBILIDAD NACIONAL E INTERNACIONAL</t>
        </is>
      </c>
      <c r="D1556" s="5" t="inlineStr">
        <is>
          <t>Semestral</t>
        </is>
      </c>
      <c r="E1556" s="5" t="inlineStr">
        <is>
          <t>Positivo</t>
        </is>
      </c>
      <c r="F1556" s="107" t="n">
        <v>45473</v>
      </c>
      <c r="G1556" s="5" t="n">
        <v>2024</v>
      </c>
      <c r="H1556" s="5" t="inlineStr">
        <is>
          <t>Junio</t>
        </is>
      </c>
      <c r="I1556" s="6" t="inlineStr">
        <is>
          <t>2024-1</t>
        </is>
      </c>
      <c r="J1556" s="5" t="n">
        <v>100</v>
      </c>
      <c r="K1556" s="9" t="n">
        <v>216</v>
      </c>
      <c r="L1556" s="14">
        <f>IFERROR(IF(OR(J1556=0,K1556=""),"",IF(E1556="Positivo",MIN(MAX(K1556/J1556,0),1.3),MIN(MAX(J1556/K1556,0),1.3))),"") </f>
        <v/>
      </c>
      <c r="M1556" s="14">
        <f>IFERROR(IF(OR(J1556=0,K1556=""),"",IF(E1556="Positivo",MAX(K1556/J1556,0),MAX(J1556/K1556,0))),"") </f>
        <v/>
      </c>
      <c r="N1556" s="5" t="inlineStr">
        <is>
          <t>ENT</t>
        </is>
      </c>
      <c r="O1556" s="5" t="inlineStr">
        <is>
          <t>ENT</t>
        </is>
      </c>
      <c r="P1556" s="15" t="n">
        <v>0</v>
      </c>
      <c r="Q1556" s="15" t="n">
        <v>0</v>
      </c>
      <c r="R1556" s="5" t="inlineStr">
        <is>
          <t>309-2024-06-30</t>
        </is>
      </c>
    </row>
    <row r="1557">
      <c r="A1557" s="21" t="n">
        <v>309</v>
      </c>
      <c r="B1557" s="5" t="inlineStr">
        <is>
          <t>Movilidad Física Salientes Profesores</t>
        </is>
      </c>
      <c r="C1557" s="5" t="inlineStr">
        <is>
          <t>VISIBILIDAD NACIONAL E INTERNACIONAL</t>
        </is>
      </c>
      <c r="D1557" s="5" t="inlineStr">
        <is>
          <t>Semestral</t>
        </is>
      </c>
      <c r="E1557" s="5" t="inlineStr">
        <is>
          <t>Positivo</t>
        </is>
      </c>
      <c r="F1557" s="107" t="n">
        <v>45657</v>
      </c>
      <c r="G1557" s="5" t="n">
        <v>2024</v>
      </c>
      <c r="H1557" s="5" t="inlineStr">
        <is>
          <t>Diciembre</t>
        </is>
      </c>
      <c r="I1557" s="6" t="inlineStr">
        <is>
          <t>2024-2</t>
        </is>
      </c>
      <c r="J1557" s="5" t="n">
        <v>100</v>
      </c>
      <c r="K1557" s="10" t="n">
        <v>154.67</v>
      </c>
      <c r="L1557" s="14">
        <f>IFERROR(IF(OR(J1557=0,K1557=""),"",IF(E1557="Positivo",MIN(MAX(K1557/J1557,0),1.3),MIN(MAX(J1557/K1557,0),1.3))),"") </f>
        <v/>
      </c>
      <c r="M1557" s="14">
        <f>IFERROR(IF(OR(J1557=0,K1557=""),"",IF(E1557="Positivo",MAX(K1557/J1557,0),MAX(J1557/K1557,0))),"") </f>
        <v/>
      </c>
      <c r="N1557" s="5" t="inlineStr">
        <is>
          <t>ENT</t>
        </is>
      </c>
      <c r="O1557" s="5" t="inlineStr">
        <is>
          <t>ENT</t>
        </is>
      </c>
      <c r="P1557" s="15" t="n">
        <v>0</v>
      </c>
      <c r="Q1557" s="15" t="n">
        <v>0</v>
      </c>
      <c r="R1557" s="5" t="inlineStr">
        <is>
          <t>309-2024-12-31</t>
        </is>
      </c>
    </row>
    <row r="1558">
      <c r="A1558" s="21" t="n">
        <v>310</v>
      </c>
      <c r="B1558" s="5" t="inlineStr">
        <is>
          <t>Movilidad Física Entrante Estudiantes</t>
        </is>
      </c>
      <c r="C1558" s="5" t="inlineStr">
        <is>
          <t>VISIBILIDAD NACIONAL E INTERNACIONAL</t>
        </is>
      </c>
      <c r="D1558" s="5" t="inlineStr">
        <is>
          <t>Semestral</t>
        </is>
      </c>
      <c r="E1558" s="5" t="inlineStr">
        <is>
          <t>Positivo</t>
        </is>
      </c>
      <c r="F1558" s="107" t="n">
        <v>45107</v>
      </c>
      <c r="G1558" s="5" t="n">
        <v>2023</v>
      </c>
      <c r="H1558" s="5" t="inlineStr">
        <is>
          <t>Junio</t>
        </is>
      </c>
      <c r="I1558" s="6" t="inlineStr">
        <is>
          <t>2023-1</t>
        </is>
      </c>
      <c r="J1558" s="5" t="n">
        <v>14</v>
      </c>
      <c r="K1558" s="9" t="n">
        <v>48</v>
      </c>
      <c r="L1558" s="14">
        <f>IFERROR(IF(OR(J1558=0,K1558=""),"",IF(E1558="Positivo",MIN(MAX(K1558/J1558,0),1.3),MIN(MAX(J1558/K1558,0),1.3))),"") </f>
        <v/>
      </c>
      <c r="M1558" s="14">
        <f>IFERROR(IF(OR(J1558=0,K1558=""),"",IF(E1558="Positivo",MAX(K1558/J1558,0),MAX(J1558/K1558,0))),"") </f>
        <v/>
      </c>
      <c r="N1558" s="5" t="inlineStr">
        <is>
          <t>ENT</t>
        </is>
      </c>
      <c r="O1558" s="5" t="inlineStr">
        <is>
          <t>ENT</t>
        </is>
      </c>
      <c r="P1558" s="15" t="n">
        <v>0</v>
      </c>
      <c r="Q1558" s="15" t="n">
        <v>0</v>
      </c>
      <c r="R1558" s="5" t="inlineStr">
        <is>
          <t>310-2023-06-30</t>
        </is>
      </c>
    </row>
    <row r="1559">
      <c r="A1559" s="21" t="n">
        <v>310</v>
      </c>
      <c r="B1559" s="5" t="inlineStr">
        <is>
          <t>Movilidad Física Entrante Estudiantes</t>
        </is>
      </c>
      <c r="C1559" s="5" t="inlineStr">
        <is>
          <t>VISIBILIDAD NACIONAL E INTERNACIONAL</t>
        </is>
      </c>
      <c r="D1559" s="5" t="inlineStr">
        <is>
          <t>Semestral</t>
        </is>
      </c>
      <c r="E1559" s="5" t="inlineStr">
        <is>
          <t>Positivo</t>
        </is>
      </c>
      <c r="F1559" s="107" t="n">
        <v>45291</v>
      </c>
      <c r="G1559" s="5" t="n">
        <v>2023</v>
      </c>
      <c r="H1559" s="5" t="inlineStr">
        <is>
          <t>Diciembre</t>
        </is>
      </c>
      <c r="I1559" s="6" t="inlineStr">
        <is>
          <t>2023-2</t>
        </is>
      </c>
      <c r="J1559" s="5" t="n">
        <v>70</v>
      </c>
      <c r="K1559" s="9" t="n">
        <v>118</v>
      </c>
      <c r="L1559" s="14">
        <f>IFERROR(IF(OR(J1559=0,K1559=""),"",IF(E1559="Positivo",MIN(MAX(K1559/J1559,0),1.3),MIN(MAX(J1559/K1559,0),1.3))),"") </f>
        <v/>
      </c>
      <c r="M1559" s="14">
        <f>IFERROR(IF(OR(J1559=0,K1559=""),"",IF(E1559="Positivo",MAX(K1559/J1559,0),MAX(J1559/K1559,0))),"") </f>
        <v/>
      </c>
      <c r="N1559" s="5" t="inlineStr">
        <is>
          <t>ENT</t>
        </is>
      </c>
      <c r="O1559" s="5" t="inlineStr">
        <is>
          <t>ENT</t>
        </is>
      </c>
      <c r="P1559" s="15" t="n">
        <v>0</v>
      </c>
      <c r="Q1559" s="15" t="n">
        <v>0</v>
      </c>
      <c r="R1559" s="5" t="inlineStr">
        <is>
          <t>310-2023-12-31</t>
        </is>
      </c>
    </row>
    <row r="1560">
      <c r="A1560" s="21" t="n">
        <v>310</v>
      </c>
      <c r="B1560" s="5" t="inlineStr">
        <is>
          <t>Movilidad Física Entrante Estudiantes</t>
        </is>
      </c>
      <c r="C1560" s="5" t="inlineStr">
        <is>
          <t>VISIBILIDAD NACIONAL E INTERNACIONAL</t>
        </is>
      </c>
      <c r="D1560" s="5" t="inlineStr">
        <is>
          <t>Semestral</t>
        </is>
      </c>
      <c r="E1560" s="5" t="inlineStr">
        <is>
          <t>Positivo</t>
        </is>
      </c>
      <c r="F1560" s="107" t="n">
        <v>45473</v>
      </c>
      <c r="G1560" s="5" t="n">
        <v>2024</v>
      </c>
      <c r="H1560" s="5" t="inlineStr">
        <is>
          <t>Junio</t>
        </is>
      </c>
      <c r="I1560" s="6" t="inlineStr">
        <is>
          <t>2024-1</t>
        </is>
      </c>
      <c r="J1560" s="5" t="n">
        <v>100</v>
      </c>
      <c r="K1560" s="9" t="n">
        <v>95.56</v>
      </c>
      <c r="L1560" s="14">
        <f>IFERROR(IF(OR(J1560=0,K1560=""),"",IF(E1560="Positivo",MIN(MAX(K1560/J1560,0),1.3),MIN(MAX(J1560/K1560,0),1.3))),"") </f>
        <v/>
      </c>
      <c r="M1560" s="14">
        <f>IFERROR(IF(OR(J1560=0,K1560=""),"",IF(E1560="Positivo",MAX(K1560/J1560,0),MAX(J1560/K1560,0))),"") </f>
        <v/>
      </c>
      <c r="N1560" s="5" t="inlineStr">
        <is>
          <t>ENT</t>
        </is>
      </c>
      <c r="O1560" s="5" t="inlineStr">
        <is>
          <t>ENT</t>
        </is>
      </c>
      <c r="P1560" s="15" t="n">
        <v>0</v>
      </c>
      <c r="Q1560" s="15" t="n">
        <v>0</v>
      </c>
      <c r="R1560" s="5" t="inlineStr">
        <is>
          <t>310-2024-06-30</t>
        </is>
      </c>
    </row>
    <row r="1561">
      <c r="A1561" s="21" t="n">
        <v>310</v>
      </c>
      <c r="B1561" s="5" t="inlineStr">
        <is>
          <t>Movilidad Física Entrante Estudiantes</t>
        </is>
      </c>
      <c r="C1561" s="5" t="inlineStr">
        <is>
          <t>VISIBILIDAD NACIONAL E INTERNACIONAL</t>
        </is>
      </c>
      <c r="D1561" s="5" t="inlineStr">
        <is>
          <t>Semestral</t>
        </is>
      </c>
      <c r="E1561" s="5" t="inlineStr">
        <is>
          <t>Positivo</t>
        </is>
      </c>
      <c r="F1561" s="107" t="n">
        <v>45657</v>
      </c>
      <c r="G1561" s="5" t="n">
        <v>2024</v>
      </c>
      <c r="H1561" s="5" t="inlineStr">
        <is>
          <t>Diciembre</t>
        </is>
      </c>
      <c r="I1561" s="6" t="inlineStr">
        <is>
          <t>2024-2</t>
        </is>
      </c>
      <c r="J1561" s="5" t="n">
        <v>100</v>
      </c>
      <c r="K1561" s="9" t="n">
        <v>79.13</v>
      </c>
      <c r="L1561" s="14">
        <f>IFERROR(IF(OR(J1561=0,K1561=""),"",IF(E1561="Positivo",MIN(MAX(K1561/J1561,0),1.3),MIN(MAX(J1561/K1561,0),1.3))),"") </f>
        <v/>
      </c>
      <c r="M1561" s="14">
        <f>IFERROR(IF(OR(J1561=0,K1561=""),"",IF(E1561="Positivo",MAX(K1561/J1561,0),MAX(J1561/K1561,0))),"") </f>
        <v/>
      </c>
      <c r="N1561" s="5" t="inlineStr">
        <is>
          <t>ENT</t>
        </is>
      </c>
      <c r="O1561" s="5" t="inlineStr">
        <is>
          <t>ENT</t>
        </is>
      </c>
      <c r="P1561" s="15" t="n">
        <v>0</v>
      </c>
      <c r="Q1561" s="15" t="n">
        <v>0</v>
      </c>
      <c r="R1561" s="5" t="inlineStr">
        <is>
          <t>310-2024-12-31</t>
        </is>
      </c>
    </row>
    <row r="1562">
      <c r="A1562" s="21" t="n">
        <v>311</v>
      </c>
      <c r="B1562" s="5" t="inlineStr">
        <is>
          <t>Movilidad Física Saliente Estudiantes</t>
        </is>
      </c>
      <c r="C1562" s="5" t="inlineStr">
        <is>
          <t>VISIBILIDAD NACIONAL E INTERNACIONAL</t>
        </is>
      </c>
      <c r="D1562" s="5" t="inlineStr">
        <is>
          <t>Semestral</t>
        </is>
      </c>
      <c r="E1562" s="5" t="inlineStr">
        <is>
          <t>Positivo</t>
        </is>
      </c>
      <c r="F1562" s="111" t="n">
        <v>45107</v>
      </c>
      <c r="G1562" s="5" t="n">
        <v>2023</v>
      </c>
      <c r="H1562" s="5" t="inlineStr">
        <is>
          <t>Junio</t>
        </is>
      </c>
      <c r="I1562" s="6" t="inlineStr">
        <is>
          <t>2023-1</t>
        </is>
      </c>
      <c r="J1562" s="5" t="n">
        <v>22</v>
      </c>
      <c r="K1562" s="94" t="n">
        <v>85</v>
      </c>
      <c r="L1562" s="14">
        <f>IFERROR(IF(OR(J1562=0,K1562=""),"",IF(E1562="Positivo",MIN(MAX(K1562/J1562,0),1.3),MIN(MAX(J1562/K1562,0),1.3))),"") </f>
        <v/>
      </c>
      <c r="M1562" s="14">
        <f>IFERROR(IF(OR(J1562=0,K1562=""),"",IF(E1562="Positivo",MAX(K1562/J1562,0),MAX(J1562/K1562,0))),"") </f>
        <v/>
      </c>
      <c r="N1562" s="5" t="inlineStr">
        <is>
          <t>ENT</t>
        </is>
      </c>
      <c r="O1562" s="5" t="inlineStr">
        <is>
          <t>ENT</t>
        </is>
      </c>
      <c r="P1562" s="15" t="n">
        <v>0</v>
      </c>
      <c r="Q1562" s="15" t="n">
        <v>0</v>
      </c>
      <c r="R1562" s="5" t="inlineStr">
        <is>
          <t>311-2023-06-30</t>
        </is>
      </c>
    </row>
    <row r="1563">
      <c r="A1563" s="21" t="n">
        <v>311</v>
      </c>
      <c r="B1563" s="5" t="inlineStr">
        <is>
          <t>Movilidad Física Saliente Estudiantes</t>
        </is>
      </c>
      <c r="C1563" s="5" t="inlineStr">
        <is>
          <t>VISIBILIDAD NACIONAL E INTERNACIONAL</t>
        </is>
      </c>
      <c r="D1563" s="5" t="inlineStr">
        <is>
          <t>Semestral</t>
        </is>
      </c>
      <c r="E1563" s="5" t="inlineStr">
        <is>
          <t>Positivo</t>
        </is>
      </c>
      <c r="F1563" s="111" t="n">
        <v>45291</v>
      </c>
      <c r="G1563" s="5" t="n">
        <v>2023</v>
      </c>
      <c r="H1563" s="5" t="inlineStr">
        <is>
          <t>Diciembre</t>
        </is>
      </c>
      <c r="I1563" s="6" t="inlineStr">
        <is>
          <t>2023-2</t>
        </is>
      </c>
      <c r="J1563" s="5" t="n">
        <v>245</v>
      </c>
      <c r="K1563" s="94" t="n">
        <v>247</v>
      </c>
      <c r="L1563" s="14">
        <f>IFERROR(IF(OR(J1563=0,K1563=""),"",IF(E1563="Positivo",MIN(MAX(K1563/J1563,0),1.3),MIN(MAX(J1563/K1563,0),1.3))),"") </f>
        <v/>
      </c>
      <c r="M1563" s="14">
        <f>IFERROR(IF(OR(J1563=0,K1563=""),"",IF(E1563="Positivo",MAX(K1563/J1563,0),MAX(J1563/K1563,0))),"") </f>
        <v/>
      </c>
      <c r="N1563" s="5" t="inlineStr">
        <is>
          <t>ENT</t>
        </is>
      </c>
      <c r="O1563" s="5" t="inlineStr">
        <is>
          <t>ENT</t>
        </is>
      </c>
      <c r="P1563" s="15" t="n">
        <v>0</v>
      </c>
      <c r="Q1563" s="15" t="n">
        <v>0</v>
      </c>
      <c r="R1563" s="5" t="inlineStr">
        <is>
          <t>311-2023-12-31</t>
        </is>
      </c>
    </row>
    <row r="1564">
      <c r="A1564" s="21" t="n">
        <v>311</v>
      </c>
      <c r="B1564" s="5" t="inlineStr">
        <is>
          <t>Movilidad Física Saliente Estudiantes</t>
        </is>
      </c>
      <c r="C1564" s="5" t="inlineStr">
        <is>
          <t>VISIBILIDAD NACIONAL E INTERNACIONAL</t>
        </is>
      </c>
      <c r="D1564" s="5" t="inlineStr">
        <is>
          <t>Semestral</t>
        </is>
      </c>
      <c r="E1564" s="5" t="inlineStr">
        <is>
          <t>Positivo</t>
        </is>
      </c>
      <c r="F1564" s="111" t="n">
        <v>45473</v>
      </c>
      <c r="G1564" s="5" t="n">
        <v>2024</v>
      </c>
      <c r="H1564" s="5" t="inlineStr">
        <is>
          <t>Junio</t>
        </is>
      </c>
      <c r="I1564" s="6" t="inlineStr">
        <is>
          <t>2024-1</t>
        </is>
      </c>
      <c r="J1564" s="5" t="n">
        <v>100</v>
      </c>
      <c r="K1564" s="94" t="n">
        <v>117.65</v>
      </c>
      <c r="L1564" s="14">
        <f>IFERROR(IF(OR(J1564=0,K1564=""),"",IF(E1564="Positivo",MIN(MAX(K1564/J1564,0),1.3),MIN(MAX(J1564/K1564,0),1.3))),"") </f>
        <v/>
      </c>
      <c r="M1564" s="14">
        <f>IFERROR(IF(OR(J1564=0,K1564=""),"",IF(E1564="Positivo",MAX(K1564/J1564,0),MAX(J1564/K1564,0))),"") </f>
        <v/>
      </c>
      <c r="N1564" s="5" t="inlineStr">
        <is>
          <t>ENT</t>
        </is>
      </c>
      <c r="O1564" s="5" t="inlineStr">
        <is>
          <t>ENT</t>
        </is>
      </c>
      <c r="P1564" s="15" t="n">
        <v>0</v>
      </c>
      <c r="Q1564" s="15" t="n">
        <v>0</v>
      </c>
      <c r="R1564" s="5" t="inlineStr">
        <is>
          <t>311-2024-06-30</t>
        </is>
      </c>
    </row>
    <row r="1565">
      <c r="A1565" s="21" t="n">
        <v>311</v>
      </c>
      <c r="B1565" s="5" t="inlineStr">
        <is>
          <t>Movilidad Física Saliente Estudiantes</t>
        </is>
      </c>
      <c r="C1565" s="5" t="inlineStr">
        <is>
          <t>VISIBILIDAD NACIONAL E INTERNACIONAL</t>
        </is>
      </c>
      <c r="D1565" s="5" t="inlineStr">
        <is>
          <t>Semestral</t>
        </is>
      </c>
      <c r="E1565" s="5" t="inlineStr">
        <is>
          <t>Positivo</t>
        </is>
      </c>
      <c r="F1565" s="111" t="n">
        <v>45657</v>
      </c>
      <c r="G1565" s="5" t="n">
        <v>2024</v>
      </c>
      <c r="H1565" s="5" t="inlineStr">
        <is>
          <t>Diciembre</t>
        </is>
      </c>
      <c r="I1565" s="6" t="inlineStr">
        <is>
          <t>2024-2</t>
        </is>
      </c>
      <c r="J1565" s="5" t="n">
        <v>100</v>
      </c>
      <c r="K1565" s="94" t="n">
        <v>67.76000000000001</v>
      </c>
      <c r="L1565" s="14">
        <f>IFERROR(IF(OR(J1565=0,K1565=""),"",IF(E1565="Positivo",MIN(MAX(K1565/J1565,0),1.3),MIN(MAX(J1565/K1565,0),1.3))),"") </f>
        <v/>
      </c>
      <c r="M1565" s="14">
        <f>IFERROR(IF(OR(J1565=0,K1565=""),"",IF(E1565="Positivo",MAX(K1565/J1565,0),MAX(J1565/K1565,0))),"") </f>
        <v/>
      </c>
      <c r="N1565" s="5" t="inlineStr">
        <is>
          <t>ENT</t>
        </is>
      </c>
      <c r="O1565" s="5" t="inlineStr">
        <is>
          <t>ENT</t>
        </is>
      </c>
      <c r="P1565" s="15" t="n">
        <v>0</v>
      </c>
      <c r="Q1565" s="15" t="n">
        <v>0</v>
      </c>
      <c r="R1565" s="5" t="inlineStr">
        <is>
          <t>311-2024-12-31</t>
        </is>
      </c>
    </row>
    <row r="1566">
      <c r="A1566" s="21" t="n">
        <v>312</v>
      </c>
      <c r="B1566" s="5" t="inlineStr">
        <is>
          <t>Clases espejo</t>
        </is>
      </c>
      <c r="C1566" s="5" t="inlineStr">
        <is>
          <t>VISIBILIDAD NACIONAL E INTERNACIONAL</t>
        </is>
      </c>
      <c r="D1566" s="5" t="inlineStr">
        <is>
          <t>Semestral</t>
        </is>
      </c>
      <c r="E1566" s="5" t="inlineStr">
        <is>
          <t>Positivo</t>
        </is>
      </c>
      <c r="F1566" s="111" t="n">
        <v>45107</v>
      </c>
      <c r="G1566" s="5" t="n">
        <v>2023</v>
      </c>
      <c r="H1566" s="5" t="inlineStr">
        <is>
          <t>Junio</t>
        </is>
      </c>
      <c r="I1566" s="6" t="inlineStr">
        <is>
          <t>2023-1</t>
        </is>
      </c>
      <c r="J1566" s="5" t="n">
        <v>113</v>
      </c>
      <c r="K1566" s="94" t="n">
        <v>125</v>
      </c>
      <c r="L1566" s="14">
        <f>IFERROR(IF(OR(J1566=0,K1566=""),"",IF(E1566="Positivo",MIN(MAX(K1566/J1566,0),1.3),MIN(MAX(J1566/K1566,0),1.3))),"") </f>
        <v/>
      </c>
      <c r="M1566" s="14">
        <f>IFERROR(IF(OR(J1566=0,K1566=""),"",IF(E1566="Positivo",MAX(K1566/J1566,0),MAX(J1566/K1566,0))),"") </f>
        <v/>
      </c>
      <c r="N1566" s="5" t="inlineStr">
        <is>
          <t>ENT</t>
        </is>
      </c>
      <c r="O1566" s="5" t="inlineStr">
        <is>
          <t>ENT</t>
        </is>
      </c>
      <c r="P1566" s="15" t="n">
        <v>0</v>
      </c>
      <c r="Q1566" s="15" t="n">
        <v>0</v>
      </c>
      <c r="R1566" s="5" t="inlineStr">
        <is>
          <t>312-2023-06-30</t>
        </is>
      </c>
    </row>
    <row r="1567">
      <c r="A1567" s="21" t="n">
        <v>312</v>
      </c>
      <c r="B1567" s="5" t="inlineStr">
        <is>
          <t>Clases espejo</t>
        </is>
      </c>
      <c r="C1567" s="5" t="inlineStr">
        <is>
          <t>VISIBILIDAD NACIONAL E INTERNACIONAL</t>
        </is>
      </c>
      <c r="D1567" s="5" t="inlineStr">
        <is>
          <t>Semestral</t>
        </is>
      </c>
      <c r="E1567" s="5" t="inlineStr">
        <is>
          <t>Positivo</t>
        </is>
      </c>
      <c r="F1567" s="111" t="n">
        <v>45291</v>
      </c>
      <c r="G1567" s="5" t="n">
        <v>2023</v>
      </c>
      <c r="H1567" s="5" t="inlineStr">
        <is>
          <t>Diciembre</t>
        </is>
      </c>
      <c r="I1567" s="6" t="inlineStr">
        <is>
          <t>2023-2</t>
        </is>
      </c>
      <c r="J1567" s="5" t="n">
        <v>108</v>
      </c>
      <c r="K1567" s="5" t="n">
        <v>118</v>
      </c>
      <c r="L1567" s="14">
        <f>IFERROR(IF(OR(J1567=0,K1567=""),"",IF(E1567="Positivo",MIN(MAX(K1567/J1567,0),1.3),MIN(MAX(J1567/K1567,0),1.3))),"") </f>
        <v/>
      </c>
      <c r="M1567" s="14">
        <f>IFERROR(IF(OR(J1567=0,K1567=""),"",IF(E1567="Positivo",MAX(K1567/J1567,0),MAX(J1567/K1567,0))),"") </f>
        <v/>
      </c>
      <c r="N1567" s="5" t="inlineStr">
        <is>
          <t>ENT</t>
        </is>
      </c>
      <c r="O1567" s="5" t="inlineStr">
        <is>
          <t>ENT</t>
        </is>
      </c>
      <c r="P1567" s="15" t="n">
        <v>0</v>
      </c>
      <c r="Q1567" s="15" t="n">
        <v>0</v>
      </c>
      <c r="R1567" s="5" t="inlineStr">
        <is>
          <t>312-2023-12-31</t>
        </is>
      </c>
    </row>
    <row r="1568">
      <c r="A1568" s="21" t="n">
        <v>312</v>
      </c>
      <c r="B1568" s="5" t="inlineStr">
        <is>
          <t>Clases espejo</t>
        </is>
      </c>
      <c r="C1568" s="5" t="inlineStr">
        <is>
          <t>VISIBILIDAD NACIONAL E INTERNACIONAL</t>
        </is>
      </c>
      <c r="D1568" s="5" t="inlineStr">
        <is>
          <t>Semestral</t>
        </is>
      </c>
      <c r="E1568" s="5" t="inlineStr">
        <is>
          <t>Positivo</t>
        </is>
      </c>
      <c r="F1568" s="111" t="n">
        <v>45473</v>
      </c>
      <c r="G1568" s="5" t="n">
        <v>2024</v>
      </c>
      <c r="H1568" s="5" t="inlineStr">
        <is>
          <t>Junio</t>
        </is>
      </c>
      <c r="I1568" s="6" t="inlineStr">
        <is>
          <t>2024-1</t>
        </is>
      </c>
      <c r="J1568" s="5" t="n">
        <v>100</v>
      </c>
      <c r="K1568" s="9" t="n">
        <v>126</v>
      </c>
      <c r="L1568" s="14">
        <f>IFERROR(IF(OR(J1568=0,K1568=""),"",IF(E1568="Positivo",MIN(MAX(K1568/J1568,0),1.3),MIN(MAX(J1568/K1568,0),1.3))),"") </f>
        <v/>
      </c>
      <c r="M1568" s="14">
        <f>IFERROR(IF(OR(J1568=0,K1568=""),"",IF(E1568="Positivo",MAX(K1568/J1568,0),MAX(J1568/K1568,0))),"") </f>
        <v/>
      </c>
      <c r="N1568" s="5" t="inlineStr">
        <is>
          <t>ENT</t>
        </is>
      </c>
      <c r="O1568" s="5" t="inlineStr">
        <is>
          <t>ENT</t>
        </is>
      </c>
      <c r="P1568" s="15" t="n">
        <v>0</v>
      </c>
      <c r="Q1568" s="15" t="n">
        <v>0</v>
      </c>
      <c r="R1568" s="5" t="inlineStr">
        <is>
          <t>312-2024-06-30</t>
        </is>
      </c>
    </row>
    <row r="1569">
      <c r="A1569" s="21" t="n">
        <v>312</v>
      </c>
      <c r="B1569" s="5" t="inlineStr">
        <is>
          <t>Clases espejo</t>
        </is>
      </c>
      <c r="C1569" s="5" t="inlineStr">
        <is>
          <t>VISIBILIDAD NACIONAL E INTERNACIONAL</t>
        </is>
      </c>
      <c r="D1569" s="5" t="inlineStr">
        <is>
          <t>Semestral</t>
        </is>
      </c>
      <c r="E1569" s="5" t="inlineStr">
        <is>
          <t>Positivo</t>
        </is>
      </c>
      <c r="F1569" s="111" t="n">
        <v>45657</v>
      </c>
      <c r="G1569" s="5" t="n">
        <v>2024</v>
      </c>
      <c r="H1569" s="5" t="inlineStr">
        <is>
          <t>Diciembre</t>
        </is>
      </c>
      <c r="I1569" s="6" t="inlineStr">
        <is>
          <t>2024-2</t>
        </is>
      </c>
      <c r="J1569" s="5" t="n">
        <v>100</v>
      </c>
      <c r="K1569" s="9" t="n">
        <v>137</v>
      </c>
      <c r="L1569" s="14">
        <f>IFERROR(IF(OR(J1569=0,K1569=""),"",IF(E1569="Positivo",MIN(MAX(K1569/J1569,0),1.3),MIN(MAX(J1569/K1569,0),1.3))),"") </f>
        <v/>
      </c>
      <c r="M1569" s="14">
        <f>IFERROR(IF(OR(J1569=0,K1569=""),"",IF(E1569="Positivo",MAX(K1569/J1569,0),MAX(J1569/K1569,0))),"") </f>
        <v/>
      </c>
      <c r="N1569" s="5" t="inlineStr">
        <is>
          <t>ENT</t>
        </is>
      </c>
      <c r="O1569" s="5" t="inlineStr">
        <is>
          <t>ENT</t>
        </is>
      </c>
      <c r="P1569" s="15" t="n">
        <v>0</v>
      </c>
      <c r="Q1569" s="15" t="n">
        <v>0</v>
      </c>
      <c r="R1569" s="5" t="inlineStr">
        <is>
          <t>312-2024-12-31</t>
        </is>
      </c>
    </row>
    <row r="1570">
      <c r="A1570" s="21" t="n">
        <v>313</v>
      </c>
      <c r="B1570" s="5" t="inlineStr">
        <is>
          <t>Seminarios y cursos internacionales virtuales impartidos y certificados por entidades externas</t>
        </is>
      </c>
      <c r="C1570" s="5" t="inlineStr">
        <is>
          <t>VISIBILIDAD NACIONAL E INTERNACIONAL</t>
        </is>
      </c>
      <c r="D1570" s="5" t="inlineStr">
        <is>
          <t>Semestral</t>
        </is>
      </c>
      <c r="E1570" s="5" t="inlineStr">
        <is>
          <t>Positivo</t>
        </is>
      </c>
      <c r="F1570" s="111" t="n">
        <v>45107</v>
      </c>
      <c r="G1570" s="5" t="n">
        <v>2023</v>
      </c>
      <c r="H1570" s="5" t="inlineStr">
        <is>
          <t>Junio</t>
        </is>
      </c>
      <c r="I1570" s="6" t="inlineStr">
        <is>
          <t>2023-1</t>
        </is>
      </c>
      <c r="J1570" s="5" t="n">
        <v>13</v>
      </c>
      <c r="K1570" s="9" t="n">
        <v>13</v>
      </c>
      <c r="L1570" s="14">
        <f>IFERROR(IF(OR(J1570=0,K1570=""),"",IF(E1570="Positivo",MIN(MAX(K1570/J1570,0),1.3),MIN(MAX(J1570/K1570,0),1.3))),"") </f>
        <v/>
      </c>
      <c r="M1570" s="14">
        <f>IFERROR(IF(OR(J1570=0,K1570=""),"",IF(E1570="Positivo",MAX(K1570/J1570,0),MAX(J1570/K1570,0))),"") </f>
        <v/>
      </c>
      <c r="N1570" s="5" t="inlineStr">
        <is>
          <t>ENT</t>
        </is>
      </c>
      <c r="O1570" s="5" t="inlineStr">
        <is>
          <t>ENT</t>
        </is>
      </c>
      <c r="P1570" s="15" t="n">
        <v>0</v>
      </c>
      <c r="Q1570" s="15" t="n">
        <v>0</v>
      </c>
      <c r="R1570" s="5" t="inlineStr">
        <is>
          <t>313-2023-06-30</t>
        </is>
      </c>
    </row>
    <row r="1571">
      <c r="A1571" s="21" t="n">
        <v>313</v>
      </c>
      <c r="B1571" s="5" t="inlineStr">
        <is>
          <t>Seminarios y cursos internacionales virtuales impartidos y certificados por entidades externas</t>
        </is>
      </c>
      <c r="C1571" s="5" t="inlineStr">
        <is>
          <t>VISIBILIDAD NACIONAL E INTERNACIONAL</t>
        </is>
      </c>
      <c r="D1571" s="5" t="inlineStr">
        <is>
          <t>Semestral</t>
        </is>
      </c>
      <c r="E1571" s="5" t="inlineStr">
        <is>
          <t>Positivo</t>
        </is>
      </c>
      <c r="F1571" s="111" t="n">
        <v>45291</v>
      </c>
      <c r="G1571" s="5" t="n">
        <v>2023</v>
      </c>
      <c r="H1571" s="5" t="inlineStr">
        <is>
          <t>Diciembre</t>
        </is>
      </c>
      <c r="I1571" s="6" t="inlineStr">
        <is>
          <t>2023-2</t>
        </is>
      </c>
      <c r="J1571" s="5" t="n">
        <v>15</v>
      </c>
      <c r="K1571" s="9" t="n">
        <v>12</v>
      </c>
      <c r="L1571" s="14">
        <f>IFERROR(IF(OR(J1571=0,K1571=""),"",IF(E1571="Positivo",MIN(MAX(K1571/J1571,0),1.3),MIN(MAX(J1571/K1571,0),1.3))),"") </f>
        <v/>
      </c>
      <c r="M1571" s="14">
        <f>IFERROR(IF(OR(J1571=0,K1571=""),"",IF(E1571="Positivo",MAX(K1571/J1571,0),MAX(J1571/K1571,0))),"") </f>
        <v/>
      </c>
      <c r="N1571" s="5" t="inlineStr">
        <is>
          <t>ENT</t>
        </is>
      </c>
      <c r="O1571" s="5" t="inlineStr">
        <is>
          <t>ENT</t>
        </is>
      </c>
      <c r="P1571" s="15" t="n">
        <v>0</v>
      </c>
      <c r="Q1571" s="15" t="n">
        <v>0</v>
      </c>
      <c r="R1571" s="5" t="inlineStr">
        <is>
          <t>313-2023-12-31</t>
        </is>
      </c>
    </row>
    <row r="1572">
      <c r="A1572" s="21" t="n">
        <v>313</v>
      </c>
      <c r="B1572" s="5" t="inlineStr">
        <is>
          <t>Seminarios y cursos internacionales virtuales impartidos y certificados por entidades externas</t>
        </is>
      </c>
      <c r="C1572" s="5" t="inlineStr">
        <is>
          <t>VISIBILIDAD NACIONAL E INTERNACIONAL</t>
        </is>
      </c>
      <c r="D1572" s="5" t="inlineStr">
        <is>
          <t>Semestral</t>
        </is>
      </c>
      <c r="E1572" s="5" t="inlineStr">
        <is>
          <t>Positivo</t>
        </is>
      </c>
      <c r="F1572" s="107" t="n">
        <v>45473</v>
      </c>
      <c r="G1572" s="5" t="n">
        <v>2024</v>
      </c>
      <c r="H1572" s="5" t="inlineStr">
        <is>
          <t>Junio</t>
        </is>
      </c>
      <c r="I1572" s="6" t="inlineStr">
        <is>
          <t>2024-1</t>
        </is>
      </c>
      <c r="J1572" s="5" t="n">
        <v>100</v>
      </c>
      <c r="K1572" s="5" t="n">
        <v>100</v>
      </c>
      <c r="L1572" s="14">
        <f>IFERROR(IF(OR(J1572=0,K1572=""),"",IF(E1572="Positivo",MIN(MAX(K1572/J1572,0),1.3),MIN(MAX(J1572/K1572,0),1.3))),"") </f>
        <v/>
      </c>
      <c r="M1572" s="14">
        <f>IFERROR(IF(OR(J1572=0,K1572=""),"",IF(E1572="Positivo",MAX(K1572/J1572,0),MAX(J1572/K1572,0))),"") </f>
        <v/>
      </c>
      <c r="N1572" s="5" t="inlineStr">
        <is>
          <t>ENT</t>
        </is>
      </c>
      <c r="O1572" s="5" t="inlineStr">
        <is>
          <t>ENT</t>
        </is>
      </c>
      <c r="P1572" s="15" t="n">
        <v>0</v>
      </c>
      <c r="Q1572" s="15" t="n">
        <v>0</v>
      </c>
      <c r="R1572" s="5" t="inlineStr">
        <is>
          <t>313-2024-06-30</t>
        </is>
      </c>
    </row>
    <row r="1573">
      <c r="A1573" s="21" t="n">
        <v>313</v>
      </c>
      <c r="B1573" s="5" t="inlineStr">
        <is>
          <t>Seminarios y cursos internacionales virtuales impartidos y certificados por entidades externas</t>
        </is>
      </c>
      <c r="C1573" s="5" t="inlineStr">
        <is>
          <t>VISIBILIDAD NACIONAL E INTERNACIONAL</t>
        </is>
      </c>
      <c r="D1573" s="5" t="inlineStr">
        <is>
          <t>Semestral</t>
        </is>
      </c>
      <c r="E1573" s="5" t="inlineStr">
        <is>
          <t>Positivo</t>
        </is>
      </c>
      <c r="F1573" s="107" t="n">
        <v>45657</v>
      </c>
      <c r="G1573" s="5" t="n">
        <v>2024</v>
      </c>
      <c r="H1573" s="5" t="inlineStr">
        <is>
          <t>Diciembre</t>
        </is>
      </c>
      <c r="I1573" s="6" t="inlineStr">
        <is>
          <t>2024-2</t>
        </is>
      </c>
      <c r="J1573" s="5" t="n">
        <v>100</v>
      </c>
      <c r="K1573" s="5" t="n">
        <v>100</v>
      </c>
      <c r="L1573" s="14">
        <f>IFERROR(IF(OR(J1573=0,K1573=""),"",IF(E1573="Positivo",MIN(MAX(K1573/J1573,0),1.3),MIN(MAX(J1573/K1573,0),1.3))),"") </f>
        <v/>
      </c>
      <c r="M1573" s="14">
        <f>IFERROR(IF(OR(J1573=0,K1573=""),"",IF(E1573="Positivo",MAX(K1573/J1573,0),MAX(J1573/K1573,0))),"") </f>
        <v/>
      </c>
      <c r="N1573" s="5" t="inlineStr">
        <is>
          <t>ENT</t>
        </is>
      </c>
      <c r="O1573" s="5" t="inlineStr">
        <is>
          <t>ENT</t>
        </is>
      </c>
      <c r="P1573" s="15" t="n">
        <v>0</v>
      </c>
      <c r="Q1573" s="15" t="n">
        <v>0</v>
      </c>
      <c r="R1573" s="5" t="inlineStr">
        <is>
          <t>313-2024-12-31</t>
        </is>
      </c>
    </row>
    <row r="1574">
      <c r="A1574" s="21" t="n">
        <v>314</v>
      </c>
      <c r="B1574" s="5" t="inlineStr">
        <is>
          <t>N de asignaturas COIL - (Collaborative Online International Learning)</t>
        </is>
      </c>
      <c r="C1574" s="5" t="inlineStr">
        <is>
          <t>VISIBILIDAD NACIONAL E INTERNACIONAL</t>
        </is>
      </c>
      <c r="D1574" s="5" t="inlineStr">
        <is>
          <t>Semestral</t>
        </is>
      </c>
      <c r="E1574" s="5" t="inlineStr">
        <is>
          <t>Positivo</t>
        </is>
      </c>
      <c r="F1574" s="107" t="n">
        <v>45107</v>
      </c>
      <c r="G1574" s="5" t="n">
        <v>2023</v>
      </c>
      <c r="H1574" s="5" t="inlineStr">
        <is>
          <t>Junio</t>
        </is>
      </c>
      <c r="I1574" s="6" t="inlineStr">
        <is>
          <t>2023-1</t>
        </is>
      </c>
      <c r="J1574" s="5" t="n">
        <v>9</v>
      </c>
      <c r="K1574" s="5" t="n">
        <v>13</v>
      </c>
      <c r="L1574" s="14">
        <f>IFERROR(IF(OR(J1574=0,K1574=""),"",IF(E1574="Positivo",MIN(MAX(K1574/J1574,0),1.3),MIN(MAX(J1574/K1574,0),1.3))),"") </f>
        <v/>
      </c>
      <c r="M1574" s="14">
        <f>IFERROR(IF(OR(J1574=0,K1574=""),"",IF(E1574="Positivo",MAX(K1574/J1574,0),MAX(J1574/K1574,0))),"") </f>
        <v/>
      </c>
      <c r="N1574" s="5" t="inlineStr">
        <is>
          <t>ENT</t>
        </is>
      </c>
      <c r="O1574" s="5" t="inlineStr">
        <is>
          <t>ENT</t>
        </is>
      </c>
      <c r="P1574" s="15" t="n">
        <v>0</v>
      </c>
      <c r="Q1574" s="15" t="n">
        <v>0</v>
      </c>
      <c r="R1574" s="5" t="inlineStr">
        <is>
          <t>314-2023-06-30</t>
        </is>
      </c>
    </row>
    <row r="1575">
      <c r="A1575" s="21" t="n">
        <v>314</v>
      </c>
      <c r="B1575" s="5" t="inlineStr">
        <is>
          <t>N de asignaturas COIL - (Collaborative Online International Learning)</t>
        </is>
      </c>
      <c r="C1575" s="5" t="inlineStr">
        <is>
          <t>VISIBILIDAD NACIONAL E INTERNACIONAL</t>
        </is>
      </c>
      <c r="D1575" s="5" t="inlineStr">
        <is>
          <t>Semestral</t>
        </is>
      </c>
      <c r="E1575" s="5" t="inlineStr">
        <is>
          <t>Positivo</t>
        </is>
      </c>
      <c r="F1575" s="107" t="n">
        <v>45291</v>
      </c>
      <c r="G1575" s="5" t="n">
        <v>2023</v>
      </c>
      <c r="H1575" s="5" t="inlineStr">
        <is>
          <t>Diciembre</t>
        </is>
      </c>
      <c r="I1575" s="6" t="inlineStr">
        <is>
          <t>2023-2</t>
        </is>
      </c>
      <c r="J1575" s="5" t="n">
        <v>14</v>
      </c>
      <c r="K1575" s="5" t="n">
        <v>16</v>
      </c>
      <c r="L1575" s="14">
        <f>IFERROR(IF(OR(J1575=0,K1575=""),"",IF(E1575="Positivo",MIN(MAX(K1575/J1575,0),1.3),MIN(MAX(J1575/K1575,0),1.3))),"") </f>
        <v/>
      </c>
      <c r="M1575" s="14">
        <f>IFERROR(IF(OR(J1575=0,K1575=""),"",IF(E1575="Positivo",MAX(K1575/J1575,0),MAX(J1575/K1575,0))),"") </f>
        <v/>
      </c>
      <c r="N1575" s="5" t="inlineStr">
        <is>
          <t>ENT</t>
        </is>
      </c>
      <c r="O1575" s="5" t="inlineStr">
        <is>
          <t>ENT</t>
        </is>
      </c>
      <c r="P1575" s="15" t="n">
        <v>0</v>
      </c>
      <c r="Q1575" s="15" t="n">
        <v>0</v>
      </c>
      <c r="R1575" s="5" t="inlineStr">
        <is>
          <t>314-2023-12-31</t>
        </is>
      </c>
    </row>
    <row r="1576">
      <c r="A1576" s="21" t="n">
        <v>314</v>
      </c>
      <c r="B1576" s="5" t="inlineStr">
        <is>
          <t>N de asignaturas COIL - (Collaborative Online International Learning)</t>
        </is>
      </c>
      <c r="C1576" s="5" t="inlineStr">
        <is>
          <t>VISIBILIDAD NACIONAL E INTERNACIONAL</t>
        </is>
      </c>
      <c r="D1576" s="5" t="inlineStr">
        <is>
          <t>Semestral</t>
        </is>
      </c>
      <c r="E1576" s="5" t="inlineStr">
        <is>
          <t>Positivo</t>
        </is>
      </c>
      <c r="F1576" s="107" t="n">
        <v>45473</v>
      </c>
      <c r="G1576" s="5" t="n">
        <v>2024</v>
      </c>
      <c r="H1576" s="5" t="inlineStr">
        <is>
          <t>Junio</t>
        </is>
      </c>
      <c r="I1576" s="6" t="inlineStr">
        <is>
          <t>2024-1</t>
        </is>
      </c>
      <c r="J1576" s="5" t="n">
        <v>100</v>
      </c>
      <c r="K1576" s="5" t="n">
        <v>140</v>
      </c>
      <c r="L1576" s="14">
        <f>IFERROR(IF(OR(J1576=0,K1576=""),"",IF(E1576="Positivo",MIN(MAX(K1576/J1576,0),1.3),MIN(MAX(J1576/K1576,0),1.3))),"") </f>
        <v/>
      </c>
      <c r="M1576" s="14">
        <f>IFERROR(IF(OR(J1576=0,K1576=""),"",IF(E1576="Positivo",MAX(K1576/J1576,0),MAX(J1576/K1576,0))),"") </f>
        <v/>
      </c>
      <c r="N1576" s="5" t="inlineStr">
        <is>
          <t>ENT</t>
        </is>
      </c>
      <c r="O1576" s="5" t="inlineStr">
        <is>
          <t>ENT</t>
        </is>
      </c>
      <c r="P1576" s="15" t="n">
        <v>0</v>
      </c>
      <c r="Q1576" s="15" t="n">
        <v>0</v>
      </c>
      <c r="R1576" s="5" t="inlineStr">
        <is>
          <t>314-2024-06-30</t>
        </is>
      </c>
    </row>
    <row r="1577">
      <c r="A1577" s="21" t="n">
        <v>314</v>
      </c>
      <c r="B1577" s="5" t="inlineStr">
        <is>
          <t>N de asignaturas COIL - (Collaborative Online International Learning)</t>
        </is>
      </c>
      <c r="C1577" s="5" t="inlineStr">
        <is>
          <t>VISIBILIDAD NACIONAL E INTERNACIONAL</t>
        </is>
      </c>
      <c r="D1577" s="5" t="inlineStr">
        <is>
          <t>Semestral</t>
        </is>
      </c>
      <c r="E1577" s="5" t="inlineStr">
        <is>
          <t>Positivo</t>
        </is>
      </c>
      <c r="F1577" s="107" t="n">
        <v>45657</v>
      </c>
      <c r="G1577" s="5" t="n">
        <v>2024</v>
      </c>
      <c r="H1577" s="5" t="inlineStr">
        <is>
          <t>Diciembre</t>
        </is>
      </c>
      <c r="I1577" s="6" t="inlineStr">
        <is>
          <t>2024-2</t>
        </is>
      </c>
      <c r="J1577" s="5" t="n">
        <v>100</v>
      </c>
      <c r="K1577" s="5" t="n">
        <v>145</v>
      </c>
      <c r="L1577" s="14">
        <f>IFERROR(IF(OR(J1577=0,K1577=""),"",IF(E1577="Positivo",MIN(MAX(K1577/J1577,0),1.3),MIN(MAX(J1577/K1577,0),1.3))),"") </f>
        <v/>
      </c>
      <c r="M1577" s="14">
        <f>IFERROR(IF(OR(J1577=0,K1577=""),"",IF(E1577="Positivo",MAX(K1577/J1577,0),MAX(J1577/K1577,0))),"") </f>
        <v/>
      </c>
      <c r="N1577" s="5" t="inlineStr">
        <is>
          <t>ENT</t>
        </is>
      </c>
      <c r="O1577" s="5" t="inlineStr">
        <is>
          <t>ENT</t>
        </is>
      </c>
      <c r="P1577" s="15" t="n">
        <v>0</v>
      </c>
      <c r="Q1577" s="15" t="n">
        <v>0</v>
      </c>
      <c r="R1577" s="5" t="inlineStr">
        <is>
          <t>314-2024-12-31</t>
        </is>
      </c>
    </row>
    <row r="1578">
      <c r="A1578" s="21" t="n">
        <v>315</v>
      </c>
      <c r="B1578" s="5" t="inlineStr">
        <is>
          <t>Convenios con doble titulación</t>
        </is>
      </c>
      <c r="C1578" s="5" t="inlineStr">
        <is>
          <t>VISIBILIDAD NACIONAL E INTERNACIONAL</t>
        </is>
      </c>
      <c r="D1578" s="5" t="inlineStr">
        <is>
          <t>Semestral</t>
        </is>
      </c>
      <c r="E1578" s="5" t="inlineStr">
        <is>
          <t>Positivo</t>
        </is>
      </c>
      <c r="F1578" s="107" t="n">
        <v>45107</v>
      </c>
      <c r="G1578" s="5" t="n">
        <v>2023</v>
      </c>
      <c r="H1578" s="5" t="inlineStr">
        <is>
          <t>Junio</t>
        </is>
      </c>
      <c r="I1578" s="6" t="inlineStr">
        <is>
          <t>2023-1</t>
        </is>
      </c>
      <c r="J1578" s="5" t="n">
        <v>5</v>
      </c>
      <c r="K1578" s="10" t="n">
        <v>7</v>
      </c>
      <c r="L1578" s="14">
        <f>IFERROR(IF(OR(J1578=0,K1578=""),"",IF(E1578="Positivo",MIN(MAX(K1578/J1578,0),1.3),MIN(MAX(J1578/K1578,0),1.3))),"") </f>
        <v/>
      </c>
      <c r="M1578" s="14">
        <f>IFERROR(IF(OR(J1578=0,K1578=""),"",IF(E1578="Positivo",MAX(K1578/J1578,0),MAX(J1578/K1578,0))),"") </f>
        <v/>
      </c>
      <c r="N1578" s="5" t="inlineStr">
        <is>
          <t>ENT</t>
        </is>
      </c>
      <c r="O1578" s="5" t="inlineStr">
        <is>
          <t>ENT</t>
        </is>
      </c>
      <c r="P1578" s="15" t="n">
        <v>0</v>
      </c>
      <c r="Q1578" s="15" t="n">
        <v>0</v>
      </c>
      <c r="R1578" s="5" t="inlineStr">
        <is>
          <t>315-2023-06-30</t>
        </is>
      </c>
    </row>
    <row r="1579">
      <c r="A1579" s="21" t="n">
        <v>316</v>
      </c>
      <c r="B1579" s="5" t="inlineStr">
        <is>
          <t>Asignaturas con sesiones en segundo idioma</t>
        </is>
      </c>
      <c r="C1579" s="5" t="inlineStr">
        <is>
          <t>VISIBILIDAD NACIONAL E INTERNACIONAL</t>
        </is>
      </c>
      <c r="D1579" s="5" t="inlineStr">
        <is>
          <t>Semestral</t>
        </is>
      </c>
      <c r="E1579" s="5" t="inlineStr">
        <is>
          <t>Positivo</t>
        </is>
      </c>
      <c r="F1579" s="107" t="n">
        <v>45107</v>
      </c>
      <c r="G1579" s="5" t="n">
        <v>2023</v>
      </c>
      <c r="H1579" s="5" t="inlineStr">
        <is>
          <t>Junio</t>
        </is>
      </c>
      <c r="I1579" s="6" t="inlineStr">
        <is>
          <t>2023-1</t>
        </is>
      </c>
      <c r="J1579" s="5" t="n">
        <v>9</v>
      </c>
      <c r="K1579" s="10" t="n">
        <v>11</v>
      </c>
      <c r="L1579" s="14">
        <f>IFERROR(IF(OR(J1579=0,K1579=""),"",IF(E1579="Positivo",MIN(MAX(K1579/J1579,0),1.3),MIN(MAX(J1579/K1579,0),1.3))),"") </f>
        <v/>
      </c>
      <c r="M1579" s="14">
        <f>IFERROR(IF(OR(J1579=0,K1579=""),"",IF(E1579="Positivo",MAX(K1579/J1579,0),MAX(J1579/K1579,0))),"") </f>
        <v/>
      </c>
      <c r="N1579" s="5" t="inlineStr">
        <is>
          <t>ENT</t>
        </is>
      </c>
      <c r="O1579" s="5" t="inlineStr">
        <is>
          <t>ENT</t>
        </is>
      </c>
      <c r="P1579" s="15" t="n">
        <v>0</v>
      </c>
      <c r="Q1579" s="15" t="n">
        <v>0</v>
      </c>
      <c r="R1579" s="5" t="inlineStr">
        <is>
          <t>316-2023-06-30</t>
        </is>
      </c>
    </row>
    <row r="1580">
      <c r="A1580" s="21" t="n">
        <v>316</v>
      </c>
      <c r="B1580" s="5" t="inlineStr">
        <is>
          <t>Asignaturas con sesiones en segundo idioma</t>
        </is>
      </c>
      <c r="C1580" s="5" t="inlineStr">
        <is>
          <t>VISIBILIDAD NACIONAL E INTERNACIONAL</t>
        </is>
      </c>
      <c r="D1580" s="5" t="inlineStr">
        <is>
          <t>Semestral</t>
        </is>
      </c>
      <c r="E1580" s="5" t="inlineStr">
        <is>
          <t>Positivo</t>
        </is>
      </c>
      <c r="F1580" s="107" t="n">
        <v>45291</v>
      </c>
      <c r="G1580" s="5" t="n">
        <v>2023</v>
      </c>
      <c r="H1580" s="5" t="inlineStr">
        <is>
          <t>Diciembre</t>
        </is>
      </c>
      <c r="I1580" s="6" t="inlineStr">
        <is>
          <t>2023-2</t>
        </is>
      </c>
      <c r="J1580" s="5" t="n">
        <v>12</v>
      </c>
      <c r="K1580" s="5" t="n">
        <v>11</v>
      </c>
      <c r="L1580" s="14">
        <f>IFERROR(IF(OR(J1580=0,K1580=""),"",IF(E1580="Positivo",MIN(MAX(K1580/J1580,0),1.3),MIN(MAX(J1580/K1580,0),1.3))),"") </f>
        <v/>
      </c>
      <c r="M1580" s="14">
        <f>IFERROR(IF(OR(J1580=0,K1580=""),"",IF(E1580="Positivo",MAX(K1580/J1580,0),MAX(J1580/K1580,0))),"") </f>
        <v/>
      </c>
      <c r="N1580" s="5" t="inlineStr">
        <is>
          <t>ENT</t>
        </is>
      </c>
      <c r="O1580" s="5" t="inlineStr">
        <is>
          <t>ENT</t>
        </is>
      </c>
      <c r="P1580" s="15" t="n">
        <v>0</v>
      </c>
      <c r="Q1580" s="15" t="n">
        <v>0</v>
      </c>
      <c r="R1580" s="5" t="inlineStr">
        <is>
          <t>316-2023-12-31</t>
        </is>
      </c>
    </row>
    <row r="1581">
      <c r="A1581" s="5" t="n">
        <v>317</v>
      </c>
      <c r="B1581" s="5" t="inlineStr">
        <is>
          <t>Plan De Internacionalización A 7 Años</t>
        </is>
      </c>
      <c r="C1581" s="5" t="inlineStr">
        <is>
          <t>VISIBILIDAD NACIONAL E INTERNACIONAL</t>
        </is>
      </c>
      <c r="D1581" s="5" t="inlineStr">
        <is>
          <t>Anual</t>
        </is>
      </c>
      <c r="E1581" s="5" t="inlineStr">
        <is>
          <t>Positivo</t>
        </is>
      </c>
      <c r="F1581" s="107" t="n">
        <v>45291</v>
      </c>
      <c r="G1581" s="5" t="n">
        <v>2023</v>
      </c>
      <c r="H1581" s="5" t="inlineStr">
        <is>
          <t>Diciembre</t>
        </is>
      </c>
      <c r="I1581" s="6" t="inlineStr">
        <is>
          <t>2023-2</t>
        </is>
      </c>
      <c r="J1581" s="5" t="n">
        <v>12</v>
      </c>
      <c r="K1581" s="5" t="n">
        <v>12</v>
      </c>
      <c r="L1581" s="14">
        <f>IFERROR(IF(OR(J1581=0,K1581=""),"",IF(E1581="Positivo",MIN(MAX(K1581/J1581,0),1.3),MIN(MAX(J1581/K1581,0),1.3))),"") </f>
        <v/>
      </c>
      <c r="M1581" s="14">
        <f>IFERROR(IF(OR(J1581=0,K1581=""),"",IF(E1581="Positivo",MAX(K1581/J1581,0),MAX(J1581/K1581,0))),"") </f>
        <v/>
      </c>
      <c r="N1581" s="5" t="inlineStr">
        <is>
          <t>ENT</t>
        </is>
      </c>
      <c r="O1581" s="5" t="inlineStr">
        <is>
          <t>ENT</t>
        </is>
      </c>
      <c r="P1581" s="5" t="n">
        <v>0</v>
      </c>
      <c r="Q1581" s="5" t="n">
        <v>0</v>
      </c>
      <c r="R1581" s="5" t="inlineStr">
        <is>
          <t>317-2023-12-31</t>
        </is>
      </c>
    </row>
    <row r="1582">
      <c r="A1582" s="21" t="n">
        <v>317</v>
      </c>
      <c r="B1582" s="5" t="inlineStr">
        <is>
          <t>Plan De Internacionalización A 7 Años</t>
        </is>
      </c>
      <c r="C1582" s="5" t="inlineStr">
        <is>
          <t>VISIBILIDAD NACIONAL E INTERNACIONAL</t>
        </is>
      </c>
      <c r="D1582" s="5" t="inlineStr">
        <is>
          <t>Anual</t>
        </is>
      </c>
      <c r="E1582" s="5" t="inlineStr">
        <is>
          <t>Positivo</t>
        </is>
      </c>
      <c r="F1582" s="107" t="n">
        <v>45657</v>
      </c>
      <c r="G1582" s="5" t="n">
        <v>2024</v>
      </c>
      <c r="H1582" s="5" t="inlineStr">
        <is>
          <t>Diciembre</t>
        </is>
      </c>
      <c r="I1582" s="6" t="inlineStr">
        <is>
          <t>2024-2</t>
        </is>
      </c>
      <c r="J1582" s="5" t="n">
        <v>100</v>
      </c>
      <c r="K1582" s="10" t="n">
        <v>100</v>
      </c>
      <c r="L1582" s="14">
        <f>IFERROR(IF(OR(J1582=0,K1582=""),"",IF(E1582="Positivo",MIN(MAX(K1582/J1582,0),1.3),MIN(MAX(J1582/K1582,0),1.3))),"") </f>
        <v/>
      </c>
      <c r="M1582" s="14">
        <f>IFERROR(IF(OR(J1582=0,K1582=""),"",IF(E1582="Positivo",MAX(K1582/J1582,0),MAX(J1582/K1582,0))),"") </f>
        <v/>
      </c>
      <c r="N1582" s="5" t="n"/>
      <c r="O1582" s="5" t="n"/>
      <c r="P1582" s="15" t="n">
        <v>0</v>
      </c>
      <c r="Q1582" s="15" t="n">
        <v>0</v>
      </c>
      <c r="R1582" s="5" t="inlineStr">
        <is>
          <t>317-2024-12-31</t>
        </is>
      </c>
    </row>
    <row r="1583">
      <c r="A1583" s="21" t="n">
        <v>318</v>
      </c>
      <c r="B1583" s="5" t="inlineStr">
        <is>
          <t>Convenios, alianzas activas con actividades desde 2018</t>
        </is>
      </c>
      <c r="C1583" s="5" t="inlineStr">
        <is>
          <t>VISIBILIDAD NACIONAL E INTERNACIONAL</t>
        </is>
      </c>
      <c r="D1583" s="5" t="inlineStr">
        <is>
          <t>Semestral</t>
        </is>
      </c>
      <c r="E1583" s="5" t="inlineStr">
        <is>
          <t>Positivo</t>
        </is>
      </c>
      <c r="F1583" s="107" t="n">
        <v>45107</v>
      </c>
      <c r="G1583" s="5" t="n">
        <v>2023</v>
      </c>
      <c r="H1583" s="5" t="inlineStr">
        <is>
          <t>Junio</t>
        </is>
      </c>
      <c r="I1583" s="6" t="inlineStr">
        <is>
          <t>2023-1</t>
        </is>
      </c>
      <c r="J1583" s="5" t="n">
        <v>80</v>
      </c>
      <c r="K1583" s="10" t="n">
        <v>85.981308411215</v>
      </c>
      <c r="L1583" s="14">
        <f>IFERROR(IF(OR(J1583=0,K1583=""),"",IF(E1583="Positivo",MIN(MAX(K1583/J1583,0),1.3),MIN(MAX(J1583/K1583,0),1.3))),"") </f>
        <v/>
      </c>
      <c r="M1583" s="14">
        <f>IFERROR(IF(OR(J1583=0,K1583=""),"",IF(E1583="Positivo",MAX(K1583/J1583,0),MAX(J1583/K1583,0))),"") </f>
        <v/>
      </c>
      <c r="N1583" s="5" t="inlineStr">
        <is>
          <t>%</t>
        </is>
      </c>
      <c r="O1583" s="5" t="inlineStr">
        <is>
          <t>%</t>
        </is>
      </c>
      <c r="P1583" s="15" t="n">
        <v>0</v>
      </c>
      <c r="Q1583" s="15" t="n">
        <v>0</v>
      </c>
      <c r="R1583" s="5" t="inlineStr">
        <is>
          <t>318-2023-06-30</t>
        </is>
      </c>
    </row>
    <row r="1584">
      <c r="A1584" s="26" t="n">
        <v>318</v>
      </c>
      <c r="B1584" s="5" t="inlineStr">
        <is>
          <t>Convenios, alianzas activas con actividades desde 2018</t>
        </is>
      </c>
      <c r="C1584" s="5" t="inlineStr">
        <is>
          <t>VISIBILIDAD NACIONAL E INTERNACIONAL</t>
        </is>
      </c>
      <c r="D1584" s="5" t="inlineStr">
        <is>
          <t>Semestral</t>
        </is>
      </c>
      <c r="E1584" s="5" t="inlineStr">
        <is>
          <t>Positivo</t>
        </is>
      </c>
      <c r="F1584" s="107" t="n">
        <v>45291</v>
      </c>
      <c r="G1584" s="5" t="n">
        <v>2023</v>
      </c>
      <c r="H1584" s="5" t="inlineStr">
        <is>
          <t>Diciembre</t>
        </is>
      </c>
      <c r="I1584" s="6" t="inlineStr">
        <is>
          <t>2023-2</t>
        </is>
      </c>
      <c r="J1584" s="5" t="n">
        <v>80</v>
      </c>
      <c r="K1584" s="9" t="n">
        <v>90.90909090909091</v>
      </c>
      <c r="L1584" s="14">
        <f>IFERROR(IF(OR(J1584=0,K1584=""),"",IF(E1584="Positivo",MIN(MAX(K1584/J1584,0),1.3),MIN(MAX(J1584/K1584,0),1.3))),"") </f>
        <v/>
      </c>
      <c r="M1584" s="14">
        <f>IFERROR(IF(OR(J1584=0,K1584=""),"",IF(E1584="Positivo",MAX(K1584/J1584,0),MAX(J1584/K1584,0))),"") </f>
        <v/>
      </c>
      <c r="N1584" s="5" t="inlineStr">
        <is>
          <t>%</t>
        </is>
      </c>
      <c r="O1584" s="5" t="inlineStr">
        <is>
          <t>%</t>
        </is>
      </c>
      <c r="P1584" s="15" t="n">
        <v>0</v>
      </c>
      <c r="Q1584" s="15" t="n">
        <v>0</v>
      </c>
      <c r="R1584" s="5" t="inlineStr">
        <is>
          <t>318-2023-12-31</t>
        </is>
      </c>
    </row>
    <row r="1585">
      <c r="A1585" s="21" t="n">
        <v>318</v>
      </c>
      <c r="B1585" s="5" t="inlineStr">
        <is>
          <t>Convenios, alianzas activas con actividades en los últimos 5 años</t>
        </is>
      </c>
      <c r="C1585" s="5" t="inlineStr">
        <is>
          <t>VISIBILIDAD NACIONAL E INTERNACIONAL</t>
        </is>
      </c>
      <c r="D1585" s="5" t="inlineStr">
        <is>
          <t>Anual</t>
        </is>
      </c>
      <c r="E1585" s="5" t="inlineStr">
        <is>
          <t>Positivo</t>
        </is>
      </c>
      <c r="F1585" s="107" t="n">
        <v>45657</v>
      </c>
      <c r="G1585" s="5" t="n">
        <v>2024</v>
      </c>
      <c r="H1585" s="5" t="inlineStr">
        <is>
          <t>Diciembre</t>
        </is>
      </c>
      <c r="I1585" s="6" t="inlineStr">
        <is>
          <t>2024-2</t>
        </is>
      </c>
      <c r="J1585" s="5" t="n">
        <v>80</v>
      </c>
      <c r="K1585" s="10" t="n">
        <v>90.28</v>
      </c>
      <c r="L1585" s="14">
        <f>IFERROR(IF(OR(J1585=0,K1585=""),"",IF(E1585="Positivo",MIN(MAX(K1585/J1585,0),1.3),MIN(MAX(J1585/K1585,0),1.3))),"") </f>
        <v/>
      </c>
      <c r="M1585" s="14">
        <f>IFERROR(IF(OR(J1585=0,K1585=""),"",IF(E1585="Positivo",MAX(K1585/J1585,0),MAX(J1585/K1585,0))),"") </f>
        <v/>
      </c>
      <c r="N1585" s="5" t="inlineStr">
        <is>
          <t>%</t>
        </is>
      </c>
      <c r="O1585" s="5" t="inlineStr">
        <is>
          <t>%</t>
        </is>
      </c>
      <c r="P1585" s="15" t="n">
        <v>0</v>
      </c>
      <c r="Q1585" s="15" t="n">
        <v>0</v>
      </c>
      <c r="R1585" s="5" t="inlineStr">
        <is>
          <t>318-2024-12-31</t>
        </is>
      </c>
    </row>
    <row r="1586">
      <c r="A1586" s="28" t="n">
        <v>318</v>
      </c>
      <c r="B1586" s="5" t="inlineStr">
        <is>
          <t>Convenios, alianzas activas con actividades en los últimos 5 años</t>
        </is>
      </c>
      <c r="C1586" s="5" t="inlineStr">
        <is>
          <t>VISIBILIDAD NACIONAL E INTERNACIONAL</t>
        </is>
      </c>
      <c r="D1586" s="5" t="inlineStr">
        <is>
          <t>Anual</t>
        </is>
      </c>
      <c r="E1586" s="5" t="inlineStr">
        <is>
          <t>Positivo</t>
        </is>
      </c>
      <c r="F1586" s="107" t="n">
        <v>46022</v>
      </c>
      <c r="G1586" s="5" t="n">
        <v>2025</v>
      </c>
      <c r="H1586" s="5" t="inlineStr">
        <is>
          <t>Diciembre</t>
        </is>
      </c>
      <c r="I1586" s="6" t="inlineStr">
        <is>
          <t>2025-2</t>
        </is>
      </c>
      <c r="J1586" s="5" t="n">
        <v>85</v>
      </c>
      <c r="K1586" s="9" t="n">
        <v>86.16</v>
      </c>
      <c r="L1586" s="14">
        <f>IFERROR(IF(OR(J1586=0,K1586=""),"",IF(E1586="Positivo",MIN(MAX(K1586/J1586,0),1.3),MIN(MAX(J1586/K1586,0),1.3))),"") </f>
        <v/>
      </c>
      <c r="M1586" s="14">
        <f>IFERROR(IF(OR(J1586=0,K1586=""),"",IF(E1586="Positivo",MAX(K1586/J1586,0),MAX(J1586/K1586,0))),"") </f>
        <v/>
      </c>
      <c r="N1586" s="5" t="inlineStr">
        <is>
          <t>%</t>
        </is>
      </c>
      <c r="O1586" s="5" t="inlineStr">
        <is>
          <t>%</t>
        </is>
      </c>
      <c r="P1586" s="15" t="n">
        <v>0</v>
      </c>
      <c r="Q1586" s="15" t="n">
        <v>0</v>
      </c>
      <c r="R1586" s="5" t="inlineStr">
        <is>
          <t>318-2025-12-31</t>
        </is>
      </c>
    </row>
    <row r="1587">
      <c r="A1587" s="21" t="n">
        <v>319</v>
      </c>
      <c r="B1587" s="5" t="inlineStr">
        <is>
          <t>Nivel de cumplimiento de la gestión de internacionalización descrito en el plan de trabajo de la ORNI</t>
        </is>
      </c>
      <c r="C1587" s="5" t="inlineStr">
        <is>
          <t>VISIBILIDAD NACIONAL E INTERNACIONAL</t>
        </is>
      </c>
      <c r="D1587" s="5" t="inlineStr">
        <is>
          <t>Semestral</t>
        </is>
      </c>
      <c r="E1587" s="5" t="inlineStr">
        <is>
          <t>Positivo</t>
        </is>
      </c>
      <c r="F1587" s="107" t="n">
        <v>45107</v>
      </c>
      <c r="G1587" s="5" t="n">
        <v>2023</v>
      </c>
      <c r="H1587" s="5" t="inlineStr">
        <is>
          <t>Junio</t>
        </is>
      </c>
      <c r="I1587" s="6" t="inlineStr">
        <is>
          <t>2023-1</t>
        </is>
      </c>
      <c r="J1587" s="5" t="n">
        <v>100</v>
      </c>
      <c r="K1587" s="52" t="n">
        <v>80</v>
      </c>
      <c r="L1587" s="14">
        <f>IFERROR(IF(OR(J1587=0,K1587=""),"",IF(E1587="Positivo",MIN(MAX(K1587/J1587,0),1.3),MIN(MAX(J1587/K1587,0),1.3))),"") </f>
        <v/>
      </c>
      <c r="M1587" s="14">
        <f>IFERROR(IF(OR(J1587=0,K1587=""),"",IF(E1587="Positivo",MAX(K1587/J1587,0),MAX(J1587/K1587,0))),"") </f>
        <v/>
      </c>
      <c r="N1587" s="5" t="inlineStr">
        <is>
          <t>%</t>
        </is>
      </c>
      <c r="O1587" s="5" t="inlineStr">
        <is>
          <t>%</t>
        </is>
      </c>
      <c r="P1587" s="15" t="n">
        <v>0</v>
      </c>
      <c r="Q1587" s="15" t="n">
        <v>0</v>
      </c>
      <c r="R1587" s="5" t="inlineStr">
        <is>
          <t>319-2023-06-30</t>
        </is>
      </c>
    </row>
    <row r="1588">
      <c r="A1588" s="21" t="n">
        <v>319</v>
      </c>
      <c r="B1588" s="5" t="inlineStr">
        <is>
          <t>Nivel de cumplimiento de la gestión de internacionalización descrito en el plan de trabajo de la ORNI</t>
        </is>
      </c>
      <c r="C1588" s="5" t="inlineStr">
        <is>
          <t>VISIBILIDAD NACIONAL E INTERNACIONAL</t>
        </is>
      </c>
      <c r="D1588" s="5" t="inlineStr">
        <is>
          <t>Semestral</t>
        </is>
      </c>
      <c r="E1588" s="5" t="inlineStr">
        <is>
          <t>Positivo</t>
        </is>
      </c>
      <c r="F1588" s="107" t="n">
        <v>45291</v>
      </c>
      <c r="G1588" s="5" t="n">
        <v>2023</v>
      </c>
      <c r="H1588" s="5" t="inlineStr">
        <is>
          <t>Diciembre</t>
        </is>
      </c>
      <c r="I1588" s="6" t="inlineStr">
        <is>
          <t>2023-2</t>
        </is>
      </c>
      <c r="J1588" s="5" t="n">
        <v>100</v>
      </c>
      <c r="K1588" s="10" t="n">
        <v>100</v>
      </c>
      <c r="L1588" s="14">
        <f>IFERROR(IF(OR(J1588=0,K1588=""),"",IF(E1588="Positivo",MIN(MAX(K1588/J1588,0),1.3),MIN(MAX(J1588/K1588,0),1.3))),"") </f>
        <v/>
      </c>
      <c r="M1588" s="14">
        <f>IFERROR(IF(OR(J1588=0,K1588=""),"",IF(E1588="Positivo",MAX(K1588/J1588,0),MAX(J1588/K1588,0))),"") </f>
        <v/>
      </c>
      <c r="N1588" s="5" t="inlineStr">
        <is>
          <t>%</t>
        </is>
      </c>
      <c r="O1588" s="5" t="inlineStr">
        <is>
          <t>%</t>
        </is>
      </c>
      <c r="P1588" s="15" t="n">
        <v>0</v>
      </c>
      <c r="Q1588" s="15" t="n">
        <v>0</v>
      </c>
      <c r="R1588" s="5" t="inlineStr">
        <is>
          <t>319-2023-12-31</t>
        </is>
      </c>
    </row>
    <row r="1589">
      <c r="A1589" s="21" t="n">
        <v>319</v>
      </c>
      <c r="B1589" s="5" t="inlineStr">
        <is>
          <t>Nivel de cumplimiento de la gestión de internacionalización descrito en el plan de trabajo de la ORNI</t>
        </is>
      </c>
      <c r="C1589" s="5" t="inlineStr">
        <is>
          <t>VISIBILIDAD NACIONAL E INTERNACIONAL</t>
        </is>
      </c>
      <c r="D1589" s="5" t="inlineStr">
        <is>
          <t>Semestral</t>
        </is>
      </c>
      <c r="E1589" s="5" t="inlineStr">
        <is>
          <t>Positivo</t>
        </is>
      </c>
      <c r="F1589" s="107" t="n">
        <v>45473</v>
      </c>
      <c r="G1589" s="5" t="n">
        <v>2024</v>
      </c>
      <c r="H1589" s="5" t="inlineStr">
        <is>
          <t>Junio</t>
        </is>
      </c>
      <c r="I1589" s="6" t="inlineStr">
        <is>
          <t>2024-1</t>
        </is>
      </c>
      <c r="J1589" s="5" t="n">
        <v>100</v>
      </c>
      <c r="K1589" s="10" t="n">
        <v>100</v>
      </c>
      <c r="L1589" s="14">
        <f>IFERROR(IF(OR(J1589=0,K1589=""),"",IF(E1589="Positivo",MIN(MAX(K1589/J1589,0),1.3),MIN(MAX(J1589/K1589,0),1.3))),"") </f>
        <v/>
      </c>
      <c r="M1589" s="14">
        <f>IFERROR(IF(OR(J1589=0,K1589=""),"",IF(E1589="Positivo",MAX(K1589/J1589,0),MAX(J1589/K1589,0))),"") </f>
        <v/>
      </c>
      <c r="N1589" s="5" t="inlineStr">
        <is>
          <t>%</t>
        </is>
      </c>
      <c r="O1589" s="5" t="inlineStr">
        <is>
          <t>%</t>
        </is>
      </c>
      <c r="P1589" s="15" t="n">
        <v>0</v>
      </c>
      <c r="Q1589" s="15" t="n">
        <v>0</v>
      </c>
      <c r="R1589" s="5" t="inlineStr">
        <is>
          <t>319-2024-06-30</t>
        </is>
      </c>
    </row>
    <row r="1590">
      <c r="A1590" s="21" t="n">
        <v>319</v>
      </c>
      <c r="B1590" s="5" t="inlineStr">
        <is>
          <t>Nivel de cumplimiento de la gestión de internacionalización descrito en el plan de trabajo de la ORNI</t>
        </is>
      </c>
      <c r="C1590" s="5" t="inlineStr">
        <is>
          <t>VISIBILIDAD NACIONAL E INTERNACIONAL</t>
        </is>
      </c>
      <c r="D1590" s="5" t="inlineStr">
        <is>
          <t>Semestral</t>
        </is>
      </c>
      <c r="E1590" s="5" t="inlineStr">
        <is>
          <t>Positivo</t>
        </is>
      </c>
      <c r="F1590" s="107" t="n">
        <v>45657</v>
      </c>
      <c r="G1590" s="5" t="n">
        <v>2024</v>
      </c>
      <c r="H1590" s="5" t="inlineStr">
        <is>
          <t>Diciembre</t>
        </is>
      </c>
      <c r="I1590" s="6" t="inlineStr">
        <is>
          <t>2024-2</t>
        </is>
      </c>
      <c r="J1590" s="5" t="n">
        <v>100</v>
      </c>
      <c r="K1590" s="10" t="n">
        <v>100</v>
      </c>
      <c r="L1590" s="14">
        <f>IFERROR(IF(OR(J1590=0,K1590=""),"",IF(E1590="Positivo",MIN(MAX(K1590/J1590,0),1.3),MIN(MAX(J1590/K1590,0),1.3))),"") </f>
        <v/>
      </c>
      <c r="M1590" s="14">
        <f>IFERROR(IF(OR(J1590=0,K1590=""),"",IF(E1590="Positivo",MAX(K1590/J1590,0),MAX(J1590/K1590,0))),"") </f>
        <v/>
      </c>
      <c r="N1590" s="5" t="inlineStr">
        <is>
          <t>%</t>
        </is>
      </c>
      <c r="O1590" s="5" t="inlineStr">
        <is>
          <t>%</t>
        </is>
      </c>
      <c r="P1590" s="15" t="n">
        <v>0</v>
      </c>
      <c r="Q1590" s="15" t="n">
        <v>0</v>
      </c>
      <c r="R1590" s="5" t="inlineStr">
        <is>
          <t>319-2024-12-31</t>
        </is>
      </c>
    </row>
    <row r="1591">
      <c r="A1591" s="21" t="n">
        <v>320</v>
      </c>
      <c r="B1591" s="5" t="inlineStr">
        <is>
          <t>Participación docentes eventos académicos internacionales virtuales</t>
        </is>
      </c>
      <c r="C1591" s="5" t="inlineStr">
        <is>
          <t>VISIBILIDAD NACIONAL E INTERNACIONAL</t>
        </is>
      </c>
      <c r="D1591" s="5" t="inlineStr">
        <is>
          <t>Semestral</t>
        </is>
      </c>
      <c r="E1591" s="5" t="inlineStr">
        <is>
          <t>Positivo</t>
        </is>
      </c>
      <c r="F1591" s="107" t="n">
        <v>45107</v>
      </c>
      <c r="G1591" s="5" t="n">
        <v>2023</v>
      </c>
      <c r="H1591" s="5" t="inlineStr">
        <is>
          <t>Junio</t>
        </is>
      </c>
      <c r="I1591" s="6" t="inlineStr">
        <is>
          <t>2023-1</t>
        </is>
      </c>
      <c r="J1591" s="5" t="n">
        <v>26</v>
      </c>
      <c r="K1591" s="10" t="n">
        <v>12</v>
      </c>
      <c r="L1591" s="14">
        <f>IFERROR(IF(OR(J1591=0,K1591=""),"",IF(E1591="Positivo",MIN(MAX(K1591/J1591,0),1.3),MIN(MAX(J1591/K1591,0),1.3))),"") </f>
        <v/>
      </c>
      <c r="M1591" s="14">
        <f>IFERROR(IF(OR(J1591=0,K1591=""),"",IF(E1591="Positivo",MAX(K1591/J1591,0),MAX(J1591/K1591,0))),"") </f>
        <v/>
      </c>
      <c r="N1591" s="5" t="inlineStr">
        <is>
          <t>%</t>
        </is>
      </c>
      <c r="O1591" s="5" t="inlineStr">
        <is>
          <t>%</t>
        </is>
      </c>
      <c r="P1591" s="15" t="n">
        <v>0</v>
      </c>
      <c r="Q1591" s="15" t="n">
        <v>0</v>
      </c>
      <c r="R1591" s="5" t="inlineStr">
        <is>
          <t>320-2023-06-30</t>
        </is>
      </c>
    </row>
    <row r="1592">
      <c r="A1592" s="5" t="n">
        <v>320</v>
      </c>
      <c r="B1592" s="5" t="inlineStr">
        <is>
          <t>Participación docentes eventos académicos internacionales virtuales</t>
        </is>
      </c>
      <c r="C1592" s="5" t="inlineStr">
        <is>
          <t>VISIBILIDAD NACIONAL E INTERNACIONAL</t>
        </is>
      </c>
      <c r="D1592" s="5" t="inlineStr">
        <is>
          <t>Semestral</t>
        </is>
      </c>
      <c r="E1592" s="5" t="inlineStr">
        <is>
          <t>Positivo</t>
        </is>
      </c>
      <c r="F1592" s="107" t="n">
        <v>45291</v>
      </c>
      <c r="G1592" s="5" t="n">
        <v>2023</v>
      </c>
      <c r="H1592" s="5" t="inlineStr">
        <is>
          <t>Diciembre</t>
        </is>
      </c>
      <c r="I1592" s="6" t="inlineStr">
        <is>
          <t>2023-2</t>
        </is>
      </c>
      <c r="J1592" s="5" t="n">
        <v>15</v>
      </c>
      <c r="K1592" s="5" t="n">
        <v>17</v>
      </c>
      <c r="L1592" s="14">
        <f>IFERROR(IF(OR(J1592=0,K1592=""),"",IF(E1592="Positivo",MIN(MAX(K1592/J1592,0),1.3),MIN(MAX(J1592/K1592,0),1.3))),"") </f>
        <v/>
      </c>
      <c r="M1592" s="14">
        <f>IFERROR(IF(OR(J1592=0,K1592=""),"",IF(E1592="Positivo",MAX(K1592/J1592,0),MAX(J1592/K1592,0))),"") </f>
        <v/>
      </c>
      <c r="N1592" s="5" t="inlineStr">
        <is>
          <t>%</t>
        </is>
      </c>
      <c r="O1592" s="5" t="inlineStr">
        <is>
          <t>%</t>
        </is>
      </c>
      <c r="P1592" s="5" t="n">
        <v>0</v>
      </c>
      <c r="Q1592" s="5" t="n">
        <v>0</v>
      </c>
      <c r="R1592" s="5" t="inlineStr">
        <is>
          <t>320-2023-12-31</t>
        </is>
      </c>
    </row>
    <row r="1593">
      <c r="A1593" s="21" t="n">
        <v>320</v>
      </c>
      <c r="B1593" s="5" t="inlineStr">
        <is>
          <t>Participación docentes Poli en eventos académicos internacionales virtuales</t>
        </is>
      </c>
      <c r="C1593" s="5" t="inlineStr">
        <is>
          <t>VISIBILIDAD NACIONAL E INTERNACIONAL</t>
        </is>
      </c>
      <c r="D1593" s="5" t="inlineStr">
        <is>
          <t>Semestral</t>
        </is>
      </c>
      <c r="E1593" s="5" t="inlineStr">
        <is>
          <t>Positivo</t>
        </is>
      </c>
      <c r="F1593" s="107" t="n">
        <v>45473</v>
      </c>
      <c r="G1593" s="5" t="n">
        <v>2024</v>
      </c>
      <c r="H1593" s="5" t="inlineStr">
        <is>
          <t>Junio</t>
        </is>
      </c>
      <c r="I1593" s="6" t="inlineStr">
        <is>
          <t>2024-1</t>
        </is>
      </c>
      <c r="J1593" s="5" t="n">
        <v>100</v>
      </c>
      <c r="K1593" s="102" t="n">
        <v>140</v>
      </c>
      <c r="L1593" s="14">
        <f>IFERROR(IF(OR(J1593=0,K1593=""),"",IF(E1593="Positivo",MIN(MAX(K1593/J1593,0),1.3),MIN(MAX(J1593/K1593,0),1.3))),"") </f>
        <v/>
      </c>
      <c r="M1593" s="14">
        <f>IFERROR(IF(OR(J1593=0,K1593=""),"",IF(E1593="Positivo",MAX(K1593/J1593,0),MAX(J1593/K1593,0))),"") </f>
        <v/>
      </c>
      <c r="N1593" s="5" t="inlineStr">
        <is>
          <t>ENT</t>
        </is>
      </c>
      <c r="O1593" s="5" t="inlineStr">
        <is>
          <t>ENT</t>
        </is>
      </c>
      <c r="P1593" s="15" t="n">
        <v>0</v>
      </c>
      <c r="Q1593" s="15" t="n">
        <v>0</v>
      </c>
      <c r="R1593" s="5" t="inlineStr">
        <is>
          <t>320-2024-06-30</t>
        </is>
      </c>
    </row>
    <row r="1594">
      <c r="A1594" s="21" t="n">
        <v>320</v>
      </c>
      <c r="B1594" s="5" t="inlineStr">
        <is>
          <t>Participación docentes Poli en eventos académicos internacionales virtuales</t>
        </is>
      </c>
      <c r="C1594" s="5" t="inlineStr">
        <is>
          <t>VISIBILIDAD NACIONAL E INTERNACIONAL</t>
        </is>
      </c>
      <c r="D1594" s="5" t="inlineStr">
        <is>
          <t>Semestral</t>
        </is>
      </c>
      <c r="E1594" s="5" t="inlineStr">
        <is>
          <t>Positivo</t>
        </is>
      </c>
      <c r="F1594" s="107" t="n">
        <v>45657</v>
      </c>
      <c r="G1594" s="5" t="n">
        <v>2024</v>
      </c>
      <c r="H1594" s="5" t="inlineStr">
        <is>
          <t>Diciembre</t>
        </is>
      </c>
      <c r="I1594" s="6" t="inlineStr">
        <is>
          <t>2024-2</t>
        </is>
      </c>
      <c r="J1594" s="5" t="n">
        <v>100</v>
      </c>
      <c r="K1594" s="10" t="n">
        <v>115</v>
      </c>
      <c r="L1594" s="14">
        <f>IFERROR(IF(OR(J1594=0,K1594=""),"",IF(E1594="Positivo",MIN(MAX(K1594/J1594,0),1.3),MIN(MAX(J1594/K1594,0),1.3))),"") </f>
        <v/>
      </c>
      <c r="M1594" s="14">
        <f>IFERROR(IF(OR(J1594=0,K1594=""),"",IF(E1594="Positivo",MAX(K1594/J1594,0),MAX(J1594/K1594,0))),"") </f>
        <v/>
      </c>
      <c r="N1594" s="5" t="inlineStr">
        <is>
          <t>ENT</t>
        </is>
      </c>
      <c r="O1594" s="5" t="inlineStr">
        <is>
          <t>ENT</t>
        </is>
      </c>
      <c r="P1594" s="15" t="n">
        <v>0</v>
      </c>
      <c r="Q1594" s="15" t="n">
        <v>0</v>
      </c>
      <c r="R1594" s="5" t="inlineStr">
        <is>
          <t>320-2024-12-31</t>
        </is>
      </c>
    </row>
    <row r="1595">
      <c r="A1595" s="5" t="n">
        <v>321</v>
      </c>
      <c r="B1595" s="5" t="inlineStr">
        <is>
          <t>Participación estudiantes eventos académicos internacionales virtuales</t>
        </is>
      </c>
      <c r="C1595" s="5" t="inlineStr">
        <is>
          <t>VISIBILIDAD NACIONAL E INTERNACIONAL</t>
        </is>
      </c>
      <c r="D1595" s="5" t="inlineStr">
        <is>
          <t>Semestral</t>
        </is>
      </c>
      <c r="E1595" s="5" t="inlineStr">
        <is>
          <t>Positivo</t>
        </is>
      </c>
      <c r="F1595" s="107" t="n">
        <v>45107</v>
      </c>
      <c r="G1595" s="5" t="n">
        <v>2023</v>
      </c>
      <c r="H1595" s="5" t="inlineStr">
        <is>
          <t>Junio</t>
        </is>
      </c>
      <c r="I1595" s="6" t="inlineStr">
        <is>
          <t>2023-1</t>
        </is>
      </c>
      <c r="J1595" s="5" t="n">
        <v>180</v>
      </c>
      <c r="K1595" s="5" t="n">
        <v>236</v>
      </c>
      <c r="L1595" s="14">
        <f>IFERROR(IF(OR(J1595=0,K1595=""),"",IF(E1595="Positivo",MIN(MAX(K1595/J1595,0),1.3),MIN(MAX(J1595/K1595,0),1.3))),"") </f>
        <v/>
      </c>
      <c r="M1595" s="14">
        <f>IFERROR(IF(OR(J1595=0,K1595=""),"",IF(E1595="Positivo",MAX(K1595/J1595,0),MAX(J1595/K1595,0))),"") </f>
        <v/>
      </c>
      <c r="N1595" s="5" t="inlineStr">
        <is>
          <t>ENT</t>
        </is>
      </c>
      <c r="O1595" s="5" t="inlineStr">
        <is>
          <t>ENT</t>
        </is>
      </c>
      <c r="P1595" s="5" t="n">
        <v>0</v>
      </c>
      <c r="Q1595" s="5" t="n">
        <v>0</v>
      </c>
      <c r="R1595" s="5" t="inlineStr">
        <is>
          <t>321-2023-06-30</t>
        </is>
      </c>
    </row>
    <row r="1596">
      <c r="A1596" s="21" t="n">
        <v>321</v>
      </c>
      <c r="B1596" s="5" t="inlineStr">
        <is>
          <t>Participación estudiantes eventos académicos internacionales virtuales</t>
        </is>
      </c>
      <c r="C1596" s="5" t="inlineStr">
        <is>
          <t>VISIBILIDAD NACIONAL E INTERNACIONAL</t>
        </is>
      </c>
      <c r="D1596" s="5" t="inlineStr">
        <is>
          <t>Semestral</t>
        </is>
      </c>
      <c r="E1596" s="5" t="inlineStr">
        <is>
          <t>Positivo</t>
        </is>
      </c>
      <c r="F1596" s="107" t="n">
        <v>45291</v>
      </c>
      <c r="G1596" s="5" t="n">
        <v>2023</v>
      </c>
      <c r="H1596" s="5" t="inlineStr">
        <is>
          <t>Diciembre</t>
        </is>
      </c>
      <c r="I1596" s="6" t="inlineStr">
        <is>
          <t>2023-2</t>
        </is>
      </c>
      <c r="J1596" s="5" t="n">
        <v>180</v>
      </c>
      <c r="K1596" s="10" t="n">
        <v>231</v>
      </c>
      <c r="L1596" s="14">
        <f>IFERROR(IF(OR(J1596=0,K1596=""),"",IF(E1596="Positivo",MIN(MAX(K1596/J1596,0),1.3),MIN(MAX(J1596/K1596,0),1.3))),"") </f>
        <v/>
      </c>
      <c r="M1596" s="14">
        <f>IFERROR(IF(OR(J1596=0,K1596=""),"",IF(E1596="Positivo",MAX(K1596/J1596,0),MAX(J1596/K1596,0))),"") </f>
        <v/>
      </c>
      <c r="N1596" s="5" t="inlineStr">
        <is>
          <t>ENT</t>
        </is>
      </c>
      <c r="O1596" s="5" t="inlineStr">
        <is>
          <t>ENT</t>
        </is>
      </c>
      <c r="P1596" s="15" t="n">
        <v>0</v>
      </c>
      <c r="Q1596" s="15" t="n">
        <v>0</v>
      </c>
      <c r="R1596" s="5" t="inlineStr">
        <is>
          <t>321-2023-12-31</t>
        </is>
      </c>
    </row>
    <row r="1597">
      <c r="A1597" s="5" t="n">
        <v>321</v>
      </c>
      <c r="B1597" s="5" t="inlineStr">
        <is>
          <t>Participación estudiantes Poli en eventos académicos internacionales virtuales</t>
        </is>
      </c>
      <c r="C1597" s="5" t="inlineStr">
        <is>
          <t>VISIBILIDAD NACIONAL E INTERNACIONAL</t>
        </is>
      </c>
      <c r="D1597" s="5" t="inlineStr">
        <is>
          <t>Semestral</t>
        </is>
      </c>
      <c r="E1597" s="5" t="inlineStr">
        <is>
          <t>Positivo</t>
        </is>
      </c>
      <c r="F1597" s="107" t="n">
        <v>45473</v>
      </c>
      <c r="G1597" s="5" t="n">
        <v>2024</v>
      </c>
      <c r="H1597" s="5" t="inlineStr">
        <is>
          <t>Junio</t>
        </is>
      </c>
      <c r="I1597" s="6" t="inlineStr">
        <is>
          <t>2024-1</t>
        </is>
      </c>
      <c r="J1597" s="5" t="n">
        <v>100</v>
      </c>
      <c r="K1597" s="5" t="n">
        <v>106.52</v>
      </c>
      <c r="L1597" s="14">
        <f>IFERROR(IF(OR(J1597=0,K1597=""),"",IF(E1597="Positivo",MIN(MAX(K1597/J1597,0),1.3),MIN(MAX(J1597/K1597,0),1.3))),"") </f>
        <v/>
      </c>
      <c r="M1597" s="14">
        <f>IFERROR(IF(OR(J1597=0,K1597=""),"",IF(E1597="Positivo",MAX(K1597/J1597,0),MAX(J1597/K1597,0))),"") </f>
        <v/>
      </c>
      <c r="N1597" s="5" t="inlineStr">
        <is>
          <t>ENT</t>
        </is>
      </c>
      <c r="O1597" s="5" t="inlineStr">
        <is>
          <t>ENT</t>
        </is>
      </c>
      <c r="P1597" s="5" t="n">
        <v>0</v>
      </c>
      <c r="Q1597" s="5" t="n">
        <v>0</v>
      </c>
      <c r="R1597" s="5" t="inlineStr">
        <is>
          <t>321-2024-06-30</t>
        </is>
      </c>
    </row>
    <row r="1598">
      <c r="A1598" s="21" t="n">
        <v>321</v>
      </c>
      <c r="B1598" s="5" t="inlineStr">
        <is>
          <t>Participación estudiantes Poli en eventos académicos internacionales virtuales</t>
        </is>
      </c>
      <c r="C1598" s="5" t="inlineStr">
        <is>
          <t>VISIBILIDAD NACIONAL E INTERNACIONAL</t>
        </is>
      </c>
      <c r="D1598" s="5" t="inlineStr">
        <is>
          <t>Semestral</t>
        </is>
      </c>
      <c r="E1598" s="5" t="inlineStr">
        <is>
          <t>Positivo</t>
        </is>
      </c>
      <c r="F1598" s="107" t="n">
        <v>45657</v>
      </c>
      <c r="G1598" s="5" t="n">
        <v>2024</v>
      </c>
      <c r="H1598" s="5" t="inlineStr">
        <is>
          <t>Diciembre</t>
        </is>
      </c>
      <c r="I1598" s="6" t="inlineStr">
        <is>
          <t>2024-2</t>
        </is>
      </c>
      <c r="J1598" s="5" t="n">
        <v>100</v>
      </c>
      <c r="K1598" s="10" t="n">
        <v>502.17</v>
      </c>
      <c r="L1598" s="14">
        <f>IFERROR(IF(OR(J1598=0,K1598=""),"",IF(E1598="Positivo",MIN(MAX(K1598/J1598,0),1.3),MIN(MAX(J1598/K1598,0),1.3))),"") </f>
        <v/>
      </c>
      <c r="M1598" s="14">
        <f>IFERROR(IF(OR(J1598=0,K1598=""),"",IF(E1598="Positivo",MAX(K1598/J1598,0),MAX(J1598/K1598,0))),"") </f>
        <v/>
      </c>
      <c r="N1598" s="5" t="inlineStr">
        <is>
          <t>ENT</t>
        </is>
      </c>
      <c r="O1598" s="5" t="inlineStr">
        <is>
          <t>ENT</t>
        </is>
      </c>
      <c r="P1598" s="15" t="n">
        <v>0</v>
      </c>
      <c r="Q1598" s="15" t="n">
        <v>0</v>
      </c>
      <c r="R1598" s="5" t="inlineStr">
        <is>
          <t>321-2024-12-31</t>
        </is>
      </c>
    </row>
    <row r="1599">
      <c r="A1599" s="21" t="n">
        <v>323</v>
      </c>
      <c r="B1599" s="5" t="inlineStr">
        <is>
          <t>Número de renovaciones de registro calificado</t>
        </is>
      </c>
      <c r="C1599" s="5" t="inlineStr">
        <is>
          <t>Creación, modificación y cierre de programas académicos</t>
        </is>
      </c>
      <c r="D1599" s="5" t="inlineStr">
        <is>
          <t>Semestral</t>
        </is>
      </c>
      <c r="E1599" s="5" t="inlineStr">
        <is>
          <t>Positivo</t>
        </is>
      </c>
      <c r="F1599" s="107" t="n">
        <v>45107</v>
      </c>
      <c r="G1599" s="5" t="n">
        <v>2023</v>
      </c>
      <c r="H1599" s="5" t="inlineStr">
        <is>
          <t>Junio</t>
        </is>
      </c>
      <c r="I1599" s="6" t="inlineStr">
        <is>
          <t>2023-1</t>
        </is>
      </c>
      <c r="J1599" s="5" t="n">
        <v>100</v>
      </c>
      <c r="K1599" s="10" t="n">
        <v>100</v>
      </c>
      <c r="L1599" s="14">
        <f>IFERROR(IF(OR(J1599=0,K1599=""),"",IF(E1599="Positivo",MIN(MAX(K1599/J1599,0),1.3),MIN(MAX(J1599/K1599,0),1.3))),"") </f>
        <v/>
      </c>
      <c r="M1599" s="14">
        <f>IFERROR(IF(OR(J1599=0,K1599=""),"",IF(E1599="Positivo",MAX(K1599/J1599,0),MAX(J1599/K1599,0))),"") </f>
        <v/>
      </c>
      <c r="N1599" s="5" t="inlineStr">
        <is>
          <t>ENT</t>
        </is>
      </c>
      <c r="O1599" s="5" t="inlineStr">
        <is>
          <t>ENT</t>
        </is>
      </c>
      <c r="P1599" s="15" t="n">
        <v>0</v>
      </c>
      <c r="Q1599" s="15" t="n">
        <v>0</v>
      </c>
      <c r="R1599" s="5" t="inlineStr">
        <is>
          <t>323-2023-06-30</t>
        </is>
      </c>
    </row>
    <row r="1600">
      <c r="A1600" s="21" t="n">
        <v>323</v>
      </c>
      <c r="B1600" s="5" t="inlineStr">
        <is>
          <t>Número de renovaciones de registro calificado</t>
        </is>
      </c>
      <c r="C1600" s="5" t="inlineStr">
        <is>
          <t>Creación, modificación y cierre de programas académicos</t>
        </is>
      </c>
      <c r="D1600" s="5" t="inlineStr">
        <is>
          <t>Semestral</t>
        </is>
      </c>
      <c r="E1600" s="5" t="inlineStr">
        <is>
          <t>Positivo</t>
        </is>
      </c>
      <c r="F1600" s="107" t="n">
        <v>45291</v>
      </c>
      <c r="G1600" s="5" t="n">
        <v>2023</v>
      </c>
      <c r="H1600" s="5" t="inlineStr">
        <is>
          <t>Diciembre</t>
        </is>
      </c>
      <c r="I1600" s="6" t="inlineStr">
        <is>
          <t>2023-2</t>
        </is>
      </c>
      <c r="J1600" s="5" t="n">
        <v>100</v>
      </c>
      <c r="K1600" s="10" t="n">
        <v>100</v>
      </c>
      <c r="L1600" s="14">
        <f>IFERROR(IF(OR(J1600=0,K1600=""),"",IF(E1600="Positivo",MIN(MAX(K1600/J1600,0),1.3),MIN(MAX(J1600/K1600,0),1.3))),"") </f>
        <v/>
      </c>
      <c r="M1600" s="14">
        <f>IFERROR(IF(OR(J1600=0,K1600=""),"",IF(E1600="Positivo",MAX(K1600/J1600,0),MAX(J1600/K1600,0))),"") </f>
        <v/>
      </c>
      <c r="N1600" s="5" t="inlineStr">
        <is>
          <t>ENT</t>
        </is>
      </c>
      <c r="O1600" s="5" t="inlineStr">
        <is>
          <t>ENT</t>
        </is>
      </c>
      <c r="P1600" s="15" t="n">
        <v>0</v>
      </c>
      <c r="Q1600" s="15" t="n">
        <v>0</v>
      </c>
      <c r="R1600" s="5" t="inlineStr">
        <is>
          <t>323-2023-12-31</t>
        </is>
      </c>
    </row>
    <row r="1601">
      <c r="A1601" s="21" t="n">
        <v>323</v>
      </c>
      <c r="B1601" s="5" t="inlineStr">
        <is>
          <t>Número de renovaciones de registro calificado</t>
        </is>
      </c>
      <c r="C1601" s="5" t="inlineStr">
        <is>
          <t>Creación, modificación y cierre de programas académicos</t>
        </is>
      </c>
      <c r="D1601" s="5" t="inlineStr">
        <is>
          <t>Semestral</t>
        </is>
      </c>
      <c r="E1601" s="5" t="inlineStr">
        <is>
          <t>Positivo</t>
        </is>
      </c>
      <c r="F1601" s="107" t="n">
        <v>45473</v>
      </c>
      <c r="G1601" s="5" t="n">
        <v>2024</v>
      </c>
      <c r="H1601" s="5" t="inlineStr">
        <is>
          <t>Junio</t>
        </is>
      </c>
      <c r="I1601" s="6" t="inlineStr">
        <is>
          <t>2024-1</t>
        </is>
      </c>
      <c r="J1601" s="5" t="n">
        <v>100</v>
      </c>
      <c r="K1601" s="10" t="n">
        <v>100</v>
      </c>
      <c r="L1601" s="14">
        <f>IFERROR(IF(OR(J1601=0,K1601=""),"",IF(E1601="Positivo",MIN(MAX(K1601/J1601,0),1.3),MIN(MAX(J1601/K1601,0),1.3))),"") </f>
        <v/>
      </c>
      <c r="M1601" s="14">
        <f>IFERROR(IF(OR(J1601=0,K1601=""),"",IF(E1601="Positivo",MAX(K1601/J1601,0),MAX(J1601/K1601,0))),"") </f>
        <v/>
      </c>
      <c r="N1601" s="5" t="inlineStr">
        <is>
          <t>ENT</t>
        </is>
      </c>
      <c r="O1601" s="5" t="inlineStr">
        <is>
          <t>ENT</t>
        </is>
      </c>
      <c r="P1601" s="15" t="n">
        <v>0</v>
      </c>
      <c r="Q1601" s="15" t="n">
        <v>0</v>
      </c>
      <c r="R1601" s="5" t="inlineStr">
        <is>
          <t>323-2024-06-30</t>
        </is>
      </c>
    </row>
    <row r="1602">
      <c r="A1602" s="21" t="n">
        <v>323</v>
      </c>
      <c r="B1602" s="5" t="inlineStr">
        <is>
          <t>Número de renovaciones de registro calificado</t>
        </is>
      </c>
      <c r="C1602" s="5" t="inlineStr">
        <is>
          <t>Creación, modificación y cierre de programas académicos</t>
        </is>
      </c>
      <c r="D1602" s="5" t="inlineStr">
        <is>
          <t>Semestral</t>
        </is>
      </c>
      <c r="E1602" s="5" t="inlineStr">
        <is>
          <t>Positivo</t>
        </is>
      </c>
      <c r="F1602" s="107" t="n">
        <v>45657</v>
      </c>
      <c r="G1602" s="5" t="n">
        <v>2024</v>
      </c>
      <c r="H1602" s="5" t="inlineStr">
        <is>
          <t>Diciembre</t>
        </is>
      </c>
      <c r="I1602" s="6" t="inlineStr">
        <is>
          <t>2024-2</t>
        </is>
      </c>
      <c r="J1602" s="5" t="n">
        <v>100</v>
      </c>
      <c r="K1602" s="10" t="n">
        <v>0</v>
      </c>
      <c r="L1602" s="14">
        <f>IFERROR(IF(OR(J1602=0,K1602=""),"",IF(E1602="Positivo",MIN(MAX(K1602/J1602,0),1.3),MIN(MAX(J1602/K1602,0),1.3))),"") </f>
        <v/>
      </c>
      <c r="M1602" s="14">
        <f>IFERROR(IF(OR(J1602=0,K1602=""),"",IF(E1602="Positivo",MAX(K1602/J1602,0),MAX(J1602/K1602,0))),"") </f>
        <v/>
      </c>
      <c r="N1602" s="5" t="inlineStr">
        <is>
          <t>ENT</t>
        </is>
      </c>
      <c r="O1602" s="5" t="inlineStr">
        <is>
          <t>ENT</t>
        </is>
      </c>
      <c r="P1602" s="15" t="n">
        <v>0</v>
      </c>
      <c r="Q1602" s="15" t="n">
        <v>0</v>
      </c>
      <c r="R1602" s="5" t="inlineStr">
        <is>
          <t>323-2024-12-31</t>
        </is>
      </c>
    </row>
    <row r="1603">
      <c r="A1603" s="21" t="n">
        <v>323</v>
      </c>
      <c r="B1603" s="5" t="inlineStr">
        <is>
          <t>Número de renovaciones de registro calificado</t>
        </is>
      </c>
      <c r="C1603" s="5" t="inlineStr">
        <is>
          <t>Creación, modificación y cierre de programas académicos</t>
        </is>
      </c>
      <c r="D1603" s="5" t="inlineStr">
        <is>
          <t>Semestral</t>
        </is>
      </c>
      <c r="E1603" s="5" t="inlineStr">
        <is>
          <t>Positivo</t>
        </is>
      </c>
      <c r="F1603" s="107" t="n">
        <v>45838</v>
      </c>
      <c r="G1603" s="5" t="n">
        <v>2025</v>
      </c>
      <c r="H1603" s="5" t="inlineStr">
        <is>
          <t>Junio</t>
        </is>
      </c>
      <c r="I1603" s="6" t="inlineStr">
        <is>
          <t>2025-1</t>
        </is>
      </c>
      <c r="J1603" s="5" t="n">
        <v>100</v>
      </c>
      <c r="K1603" s="10" t="n">
        <v>100</v>
      </c>
      <c r="L1603" s="14">
        <f>IFERROR(IF(OR(J1603=0,K1603=""),"",IF(E1603="Positivo",MIN(MAX(K1603/J1603,0),1.3),MIN(MAX(J1603/K1603,0),1.3))),"") </f>
        <v/>
      </c>
      <c r="M1603" s="14">
        <f>IFERROR(IF(OR(J1603=0,K1603=""),"",IF(E1603="Positivo",MAX(K1603/J1603,0),MAX(J1603/K1603,0))),"") </f>
        <v/>
      </c>
      <c r="N1603" s="5" t="inlineStr">
        <is>
          <t>ENT</t>
        </is>
      </c>
      <c r="O1603" s="5" t="inlineStr">
        <is>
          <t>ENT</t>
        </is>
      </c>
      <c r="P1603" s="15" t="n">
        <v>0</v>
      </c>
      <c r="Q1603" s="15" t="n">
        <v>0</v>
      </c>
      <c r="R1603" s="5" t="inlineStr">
        <is>
          <t>323-2025-06-30</t>
        </is>
      </c>
    </row>
    <row r="1604">
      <c r="A1604" s="21" t="n">
        <v>323</v>
      </c>
      <c r="B1604" s="5" t="inlineStr">
        <is>
          <t>Número de renovaciones de registro calificado</t>
        </is>
      </c>
      <c r="C1604" s="5" t="inlineStr">
        <is>
          <t>Creación, modificación y cierre de programas académicos</t>
        </is>
      </c>
      <c r="D1604" s="5" t="inlineStr">
        <is>
          <t>Trimestral</t>
        </is>
      </c>
      <c r="E1604" s="5" t="inlineStr">
        <is>
          <t>Positivo</t>
        </is>
      </c>
      <c r="F1604" s="107" t="n">
        <v>46022</v>
      </c>
      <c r="G1604" s="5" t="n">
        <v>2025</v>
      </c>
      <c r="H1604" s="5" t="inlineStr">
        <is>
          <t>Diciembre</t>
        </is>
      </c>
      <c r="I1604" s="6" t="inlineStr">
        <is>
          <t>2025-2</t>
        </is>
      </c>
      <c r="J1604" s="5" t="n">
        <v>100</v>
      </c>
      <c r="K1604" s="10" t="n">
        <v>100</v>
      </c>
      <c r="L1604" s="14">
        <f>IFERROR(IF(OR(J1604=0,K1604=""),"",IF(E1604="Positivo",MIN(MAX(K1604/J1604,0),1.3),MIN(MAX(J1604/K1604,0),1.3))),"") </f>
        <v/>
      </c>
      <c r="M1604" s="14">
        <f>IFERROR(IF(OR(J1604=0,K1604=""),"",IF(E1604="Positivo",MAX(K1604/J1604,0),MAX(J1604/K1604,0))),"") </f>
        <v/>
      </c>
      <c r="N1604" s="5" t="inlineStr">
        <is>
          <t>ENT</t>
        </is>
      </c>
      <c r="O1604" s="5" t="inlineStr">
        <is>
          <t>ENT</t>
        </is>
      </c>
      <c r="P1604" s="15" t="n">
        <v>0</v>
      </c>
      <c r="Q1604" s="15" t="n">
        <v>0</v>
      </c>
      <c r="R1604" s="5" t="inlineStr">
        <is>
          <t>323-2025-12-31</t>
        </is>
      </c>
    </row>
    <row r="1605">
      <c r="A1605" s="21" t="n">
        <v>324</v>
      </c>
      <c r="B1605" s="5" t="inlineStr">
        <is>
          <t>Número de programas nuevos radicados en el Ministerio de Educación</t>
        </is>
      </c>
      <c r="C1605" s="5" t="inlineStr">
        <is>
          <t>Creación, modificación y cierre de programas académicos</t>
        </is>
      </c>
      <c r="D1605" s="5" t="inlineStr">
        <is>
          <t>Semestral</t>
        </is>
      </c>
      <c r="E1605" s="5" t="inlineStr">
        <is>
          <t>Positivo</t>
        </is>
      </c>
      <c r="F1605" s="107" t="n">
        <v>45107</v>
      </c>
      <c r="G1605" s="5" t="n">
        <v>2023</v>
      </c>
      <c r="H1605" s="5" t="inlineStr">
        <is>
          <t>Junio</t>
        </is>
      </c>
      <c r="I1605" s="6" t="inlineStr">
        <is>
          <t>2023-1</t>
        </is>
      </c>
      <c r="J1605" s="5" t="n">
        <v>100</v>
      </c>
      <c r="K1605" s="10" t="n">
        <v>0</v>
      </c>
      <c r="L1605" s="14">
        <f>IFERROR(IF(OR(J1605=0,K1605=""),"",IF(E1605="Positivo",MIN(MAX(K1605/J1605,0),1.3),MIN(MAX(J1605/K1605,0),1.3))),"") </f>
        <v/>
      </c>
      <c r="M1605" s="14">
        <f>IFERROR(IF(OR(J1605=0,K1605=""),"",IF(E1605="Positivo",MAX(K1605/J1605,0),MAX(J1605/K1605,0))),"") </f>
        <v/>
      </c>
      <c r="N1605" s="5" t="inlineStr">
        <is>
          <t>ENT</t>
        </is>
      </c>
      <c r="O1605" s="5" t="inlineStr">
        <is>
          <t>ENT</t>
        </is>
      </c>
      <c r="P1605" s="15" t="n">
        <v>0</v>
      </c>
      <c r="Q1605" s="15" t="n">
        <v>0</v>
      </c>
      <c r="R1605" s="5" t="inlineStr">
        <is>
          <t>324-2023-06-30</t>
        </is>
      </c>
    </row>
    <row r="1606">
      <c r="A1606" s="5" t="n">
        <v>324</v>
      </c>
      <c r="B1606" s="5" t="inlineStr">
        <is>
          <t>Número de programas nuevos radicados en el Ministerio de Educación</t>
        </is>
      </c>
      <c r="C1606" s="5" t="inlineStr">
        <is>
          <t>Creación, modificación y cierre de programas académicos</t>
        </is>
      </c>
      <c r="D1606" s="5" t="inlineStr">
        <is>
          <t>Semestral</t>
        </is>
      </c>
      <c r="E1606" s="5" t="inlineStr">
        <is>
          <t>Positivo</t>
        </is>
      </c>
      <c r="F1606" s="107" t="n">
        <v>45291</v>
      </c>
      <c r="G1606" s="5" t="n">
        <v>2023</v>
      </c>
      <c r="H1606" s="5" t="inlineStr">
        <is>
          <t>Diciembre</t>
        </is>
      </c>
      <c r="I1606" s="6" t="inlineStr">
        <is>
          <t>2023-2</t>
        </is>
      </c>
      <c r="J1606" s="5" t="n">
        <v>100</v>
      </c>
      <c r="K1606" s="5" t="n">
        <v>100</v>
      </c>
      <c r="L1606" s="14">
        <f>IFERROR(IF(OR(J1606=0,K1606=""),"",IF(E1606="Positivo",MIN(MAX(K1606/J1606,0),1.3),MIN(MAX(J1606/K1606,0),1.3))),"") </f>
        <v/>
      </c>
      <c r="M1606" s="14">
        <f>IFERROR(IF(OR(J1606=0,K1606=""),"",IF(E1606="Positivo",MAX(K1606/J1606,0),MAX(J1606/K1606,0))),"") </f>
        <v/>
      </c>
      <c r="N1606" s="5" t="inlineStr">
        <is>
          <t>ENT</t>
        </is>
      </c>
      <c r="O1606" s="5" t="inlineStr">
        <is>
          <t>ENT</t>
        </is>
      </c>
      <c r="P1606" s="5" t="n">
        <v>0</v>
      </c>
      <c r="Q1606" s="5" t="n">
        <v>0</v>
      </c>
      <c r="R1606" s="5" t="inlineStr">
        <is>
          <t>324-2023-12-31</t>
        </is>
      </c>
    </row>
    <row r="1607">
      <c r="A1607" s="5" t="n">
        <v>324</v>
      </c>
      <c r="B1607" s="5" t="inlineStr">
        <is>
          <t>Número de programas nuevos radicados en el Ministerio de Educación</t>
        </is>
      </c>
      <c r="C1607" s="5" t="inlineStr">
        <is>
          <t>Creación, modificación y cierre de programas académicos</t>
        </is>
      </c>
      <c r="D1607" s="5" t="inlineStr">
        <is>
          <t>Semestral</t>
        </is>
      </c>
      <c r="E1607" s="5" t="inlineStr">
        <is>
          <t>Positivo</t>
        </is>
      </c>
      <c r="F1607" s="107" t="n">
        <v>45473</v>
      </c>
      <c r="G1607" s="5" t="n">
        <v>2024</v>
      </c>
      <c r="H1607" s="5" t="inlineStr">
        <is>
          <t>Junio</t>
        </is>
      </c>
      <c r="I1607" s="6" t="inlineStr">
        <is>
          <t>2024-1</t>
        </is>
      </c>
      <c r="J1607" s="5" t="n">
        <v>100</v>
      </c>
      <c r="K1607" s="5" t="n">
        <v>0</v>
      </c>
      <c r="L1607" s="14">
        <f>IFERROR(IF(OR(J1607=0,K1607=""),"",IF(E1607="Positivo",MIN(MAX(K1607/J1607,0),1.3),MIN(MAX(J1607/K1607,0),1.3))),"") </f>
        <v/>
      </c>
      <c r="M1607" s="14">
        <f>IFERROR(IF(OR(J1607=0,K1607=""),"",IF(E1607="Positivo",MAX(K1607/J1607,0),MAX(J1607/K1607,0))),"") </f>
        <v/>
      </c>
      <c r="N1607" s="5" t="inlineStr">
        <is>
          <t>ENT</t>
        </is>
      </c>
      <c r="O1607" s="5" t="inlineStr">
        <is>
          <t>ENT</t>
        </is>
      </c>
      <c r="P1607" s="5" t="n">
        <v>0</v>
      </c>
      <c r="Q1607" s="5" t="n">
        <v>0</v>
      </c>
      <c r="R1607" s="5" t="inlineStr">
        <is>
          <t>324-2024-06-30</t>
        </is>
      </c>
    </row>
    <row r="1608">
      <c r="A1608" s="21" t="n">
        <v>324</v>
      </c>
      <c r="B1608" s="5" t="inlineStr">
        <is>
          <t>Número de programas nuevos radicados en el Ministerio de Educación</t>
        </is>
      </c>
      <c r="C1608" s="5" t="inlineStr">
        <is>
          <t>Creación, modificación y cierre de programas académicos</t>
        </is>
      </c>
      <c r="D1608" s="5" t="inlineStr">
        <is>
          <t>Semestral</t>
        </is>
      </c>
      <c r="E1608" s="5" t="inlineStr">
        <is>
          <t>Positivo</t>
        </is>
      </c>
      <c r="F1608" s="107" t="n">
        <v>45657</v>
      </c>
      <c r="G1608" s="5" t="n">
        <v>2024</v>
      </c>
      <c r="H1608" s="5" t="inlineStr">
        <is>
          <t>Diciembre</t>
        </is>
      </c>
      <c r="I1608" s="6" t="inlineStr">
        <is>
          <t>2024-2</t>
        </is>
      </c>
      <c r="J1608" s="5" t="n">
        <v>100</v>
      </c>
      <c r="K1608" s="10" t="n">
        <v>100</v>
      </c>
      <c r="L1608" s="14">
        <f>IFERROR(IF(OR(J1608=0,K1608=""),"",IF(E1608="Positivo",MIN(MAX(K1608/J1608,0),1.3),MIN(MAX(J1608/K1608,0),1.3))),"") </f>
        <v/>
      </c>
      <c r="M1608" s="14">
        <f>IFERROR(IF(OR(J1608=0,K1608=""),"",IF(E1608="Positivo",MAX(K1608/J1608,0),MAX(J1608/K1608,0))),"") </f>
        <v/>
      </c>
      <c r="N1608" s="5" t="inlineStr">
        <is>
          <t>ENT</t>
        </is>
      </c>
      <c r="O1608" s="5" t="inlineStr">
        <is>
          <t>ENT</t>
        </is>
      </c>
      <c r="P1608" s="15" t="n">
        <v>0</v>
      </c>
      <c r="Q1608" s="15" t="n">
        <v>0</v>
      </c>
      <c r="R1608" s="5" t="inlineStr">
        <is>
          <t>324-2024-12-31</t>
        </is>
      </c>
    </row>
    <row r="1609">
      <c r="A1609" s="5" t="n">
        <v>324</v>
      </c>
      <c r="B1609" s="5" t="inlineStr">
        <is>
          <t>Número de programas nuevos radicados en el Ministerio de Educación</t>
        </is>
      </c>
      <c r="C1609" s="5" t="inlineStr">
        <is>
          <t>Creación, modificación y cierre de programas académicos</t>
        </is>
      </c>
      <c r="D1609" s="5" t="inlineStr">
        <is>
          <t>Semestral</t>
        </is>
      </c>
      <c r="E1609" s="5" t="inlineStr">
        <is>
          <t>Positivo</t>
        </is>
      </c>
      <c r="F1609" s="107" t="n">
        <v>45838</v>
      </c>
      <c r="G1609" s="5" t="n">
        <v>2025</v>
      </c>
      <c r="H1609" s="5" t="inlineStr">
        <is>
          <t>Junio</t>
        </is>
      </c>
      <c r="I1609" s="6" t="inlineStr">
        <is>
          <t>2025-1</t>
        </is>
      </c>
      <c r="J1609" s="5" t="n">
        <v>100</v>
      </c>
      <c r="K1609" s="5" t="n">
        <v>100</v>
      </c>
      <c r="L1609" s="14">
        <f>IFERROR(IF(OR(J1609=0,K1609=""),"",IF(E1609="Positivo",MIN(MAX(K1609/J1609,0),1.3),MIN(MAX(J1609/K1609,0),1.3))),"") </f>
        <v/>
      </c>
      <c r="M1609" s="14">
        <f>IFERROR(IF(OR(J1609=0,K1609=""),"",IF(E1609="Positivo",MAX(K1609/J1609,0),MAX(J1609/K1609,0))),"") </f>
        <v/>
      </c>
      <c r="N1609" s="5" t="inlineStr">
        <is>
          <t>ENT</t>
        </is>
      </c>
      <c r="O1609" s="5" t="inlineStr">
        <is>
          <t>ENT</t>
        </is>
      </c>
      <c r="P1609" s="5" t="n">
        <v>0</v>
      </c>
      <c r="Q1609" s="5" t="n">
        <v>0</v>
      </c>
      <c r="R1609" s="5" t="inlineStr">
        <is>
          <t>324-2025-06-30</t>
        </is>
      </c>
    </row>
    <row r="1610">
      <c r="A1610" s="21" t="n">
        <v>324</v>
      </c>
      <c r="B1610" s="5" t="inlineStr">
        <is>
          <t>Número de programas nuevos radicados en el Ministerio de Educación</t>
        </is>
      </c>
      <c r="C1610" s="5" t="inlineStr">
        <is>
          <t>Creación, modificación y cierre de programas académicos</t>
        </is>
      </c>
      <c r="D1610" s="5" t="inlineStr">
        <is>
          <t>Trimestral</t>
        </is>
      </c>
      <c r="E1610" s="5" t="inlineStr">
        <is>
          <t>Positivo</t>
        </is>
      </c>
      <c r="F1610" s="107" t="n">
        <v>46022</v>
      </c>
      <c r="G1610" s="5" t="n">
        <v>2025</v>
      </c>
      <c r="H1610" s="5" t="inlineStr">
        <is>
          <t>Diciembre</t>
        </is>
      </c>
      <c r="I1610" s="6" t="inlineStr">
        <is>
          <t>2025-2</t>
        </is>
      </c>
      <c r="J1610" s="73" t="n">
        <v>100</v>
      </c>
      <c r="K1610" s="9" t="n">
        <v>200</v>
      </c>
      <c r="L1610" s="14">
        <f>IFERROR(IF(OR(J1610=0,K1610=""),"",IF(E1610="Positivo",MIN(MAX(K1610/J1610,0),1.3),MIN(MAX(J1610/K1610,0),1.3))),"") </f>
        <v/>
      </c>
      <c r="M1610" s="14">
        <f>IFERROR(IF(OR(J1610=0,K1610=""),"",IF(E1610="Positivo",MAX(K1610/J1610,0),MAX(J1610/K1610,0))),"") </f>
        <v/>
      </c>
      <c r="N1610" s="9" t="inlineStr">
        <is>
          <t>ENT</t>
        </is>
      </c>
      <c r="O1610" s="9" t="inlineStr">
        <is>
          <t>ENT</t>
        </is>
      </c>
      <c r="P1610" s="15" t="n">
        <v>0</v>
      </c>
      <c r="Q1610" s="15" t="n">
        <v>0</v>
      </c>
      <c r="R1610" s="5" t="inlineStr">
        <is>
          <t>324-2025-12-31</t>
        </is>
      </c>
    </row>
    <row r="1611">
      <c r="A1611" s="21" t="n">
        <v>325</v>
      </c>
      <c r="B1611" s="5" t="inlineStr">
        <is>
          <t>Número de programas nuevos con registro calificado aprobado</t>
        </is>
      </c>
      <c r="C1611" s="5" t="inlineStr">
        <is>
          <t>Creación, modificación y cierre de programas académicos</t>
        </is>
      </c>
      <c r="D1611" s="5" t="inlineStr">
        <is>
          <t>Semestral</t>
        </is>
      </c>
      <c r="E1611" s="5" t="inlineStr">
        <is>
          <t>Positivo</t>
        </is>
      </c>
      <c r="F1611" s="107" t="n">
        <v>45107</v>
      </c>
      <c r="G1611" s="5" t="n">
        <v>2023</v>
      </c>
      <c r="H1611" s="5" t="inlineStr">
        <is>
          <t>Junio</t>
        </is>
      </c>
      <c r="I1611" s="6" t="inlineStr">
        <is>
          <t>2023-1</t>
        </is>
      </c>
      <c r="J1611" s="73" t="n">
        <v>100</v>
      </c>
      <c r="K1611" s="9" t="n">
        <v>100</v>
      </c>
      <c r="L1611" s="14">
        <f>IFERROR(IF(OR(J1611=0,K1611=""),"",IF(E1611="Positivo",MIN(MAX(K1611/J1611,0),1.3),MIN(MAX(J1611/K1611,0),1.3))),"") </f>
        <v/>
      </c>
      <c r="M1611" s="14">
        <f>IFERROR(IF(OR(J1611=0,K1611=""),"",IF(E1611="Positivo",MAX(K1611/J1611,0),MAX(J1611/K1611,0))),"") </f>
        <v/>
      </c>
      <c r="N1611" s="9" t="inlineStr">
        <is>
          <t>ENT</t>
        </is>
      </c>
      <c r="O1611" s="9" t="inlineStr">
        <is>
          <t>ENT</t>
        </is>
      </c>
      <c r="P1611" s="15" t="n">
        <v>0</v>
      </c>
      <c r="Q1611" s="15" t="n">
        <v>0</v>
      </c>
      <c r="R1611" s="5" t="inlineStr">
        <is>
          <t>325-2023-06-30</t>
        </is>
      </c>
    </row>
    <row r="1612">
      <c r="A1612" s="21" t="n">
        <v>325</v>
      </c>
      <c r="B1612" s="5" t="inlineStr">
        <is>
          <t>Número de programas nuevos con registro calificado aprobado</t>
        </is>
      </c>
      <c r="C1612" s="5" t="inlineStr">
        <is>
          <t>Creación, modificación y cierre de programas académicos</t>
        </is>
      </c>
      <c r="D1612" s="5" t="inlineStr">
        <is>
          <t>Semestral</t>
        </is>
      </c>
      <c r="E1612" s="5" t="inlineStr">
        <is>
          <t>Positivo</t>
        </is>
      </c>
      <c r="F1612" s="107" t="n">
        <v>45291</v>
      </c>
      <c r="G1612" s="5" t="n">
        <v>2023</v>
      </c>
      <c r="H1612" s="5" t="inlineStr">
        <is>
          <t>Diciembre</t>
        </is>
      </c>
      <c r="I1612" s="6" t="inlineStr">
        <is>
          <t>2023-2</t>
        </is>
      </c>
      <c r="J1612" s="73" t="n">
        <v>100</v>
      </c>
      <c r="K1612" s="9" t="n">
        <v>0</v>
      </c>
      <c r="L1612" s="14">
        <f>IFERROR(IF(OR(J1612=0,K1612=""),"",IF(E1612="Positivo",MIN(MAX(K1612/J1612,0),1.3),MIN(MAX(J1612/K1612,0),1.3))),"") </f>
        <v/>
      </c>
      <c r="M1612" s="14">
        <f>IFERROR(IF(OR(J1612=0,K1612=""),"",IF(E1612="Positivo",MAX(K1612/J1612,0),MAX(J1612/K1612,0))),"") </f>
        <v/>
      </c>
      <c r="N1612" s="9" t="n"/>
      <c r="O1612" s="9" t="n"/>
      <c r="P1612" s="15" t="n">
        <v>0</v>
      </c>
      <c r="Q1612" s="15" t="n">
        <v>0</v>
      </c>
      <c r="R1612" s="5" t="inlineStr">
        <is>
          <t>325-2023-12-31</t>
        </is>
      </c>
    </row>
    <row r="1613">
      <c r="A1613" s="21" t="n">
        <v>325</v>
      </c>
      <c r="B1613" s="5" t="inlineStr">
        <is>
          <t>Número de programas nuevos con registro calificado aprobado</t>
        </is>
      </c>
      <c r="C1613" s="5" t="inlineStr">
        <is>
          <t>Creación, modificación y cierre de programas académicos</t>
        </is>
      </c>
      <c r="D1613" s="5" t="inlineStr">
        <is>
          <t>Semestral</t>
        </is>
      </c>
      <c r="E1613" s="5" t="inlineStr">
        <is>
          <t>Positivo</t>
        </is>
      </c>
      <c r="F1613" s="107" t="n">
        <v>45473</v>
      </c>
      <c r="G1613" s="5" t="n">
        <v>2024</v>
      </c>
      <c r="H1613" s="5" t="inlineStr">
        <is>
          <t>Junio</t>
        </is>
      </c>
      <c r="I1613" s="6" t="inlineStr">
        <is>
          <t>2024-1</t>
        </is>
      </c>
      <c r="J1613" s="73" t="n">
        <v>100</v>
      </c>
      <c r="K1613" s="9" t="n">
        <v>100</v>
      </c>
      <c r="L1613" s="14">
        <f>IFERROR(IF(OR(J1613=0,K1613=""),"",IF(E1613="Positivo",MIN(MAX(K1613/J1613,0),1.3),MIN(MAX(J1613/K1613,0),1.3))),"") </f>
        <v/>
      </c>
      <c r="M1613" s="14">
        <f>IFERROR(IF(OR(J1613=0,K1613=""),"",IF(E1613="Positivo",MAX(K1613/J1613,0),MAX(J1613/K1613,0))),"") </f>
        <v/>
      </c>
      <c r="N1613" s="9" t="inlineStr">
        <is>
          <t>ENT</t>
        </is>
      </c>
      <c r="O1613" s="9" t="inlineStr">
        <is>
          <t>ENT</t>
        </is>
      </c>
      <c r="P1613" s="15" t="n">
        <v>0</v>
      </c>
      <c r="Q1613" s="15" t="n">
        <v>0</v>
      </c>
      <c r="R1613" s="5" t="inlineStr">
        <is>
          <t>325-2024-06-30</t>
        </is>
      </c>
    </row>
    <row r="1614">
      <c r="A1614" s="21" t="n">
        <v>325</v>
      </c>
      <c r="B1614" s="5" t="inlineStr">
        <is>
          <t>Número de programas nuevos con registro calificado aprobado</t>
        </is>
      </c>
      <c r="C1614" s="5" t="inlineStr">
        <is>
          <t>Creación, modificación y cierre de programas académicos</t>
        </is>
      </c>
      <c r="D1614" s="5" t="inlineStr">
        <is>
          <t>Semestral</t>
        </is>
      </c>
      <c r="E1614" s="5" t="inlineStr">
        <is>
          <t>Positivo</t>
        </is>
      </c>
      <c r="F1614" s="107" t="n">
        <v>45657</v>
      </c>
      <c r="G1614" s="5" t="n">
        <v>2024</v>
      </c>
      <c r="H1614" s="5" t="inlineStr">
        <is>
          <t>Diciembre</t>
        </is>
      </c>
      <c r="I1614" s="6" t="inlineStr">
        <is>
          <t>2024-2</t>
        </is>
      </c>
      <c r="J1614" s="73" t="n">
        <v>100</v>
      </c>
      <c r="K1614" s="9" t="n">
        <v>100</v>
      </c>
      <c r="L1614" s="14">
        <f>IFERROR(IF(OR(J1614=0,K1614=""),"",IF(E1614="Positivo",MIN(MAX(K1614/J1614,0),1.3),MIN(MAX(J1614/K1614,0),1.3))),"") </f>
        <v/>
      </c>
      <c r="M1614" s="14">
        <f>IFERROR(IF(OR(J1614=0,K1614=""),"",IF(E1614="Positivo",MAX(K1614/J1614,0),MAX(J1614/K1614,0))),"") </f>
        <v/>
      </c>
      <c r="N1614" s="9" t="inlineStr">
        <is>
          <t>ENT</t>
        </is>
      </c>
      <c r="O1614" s="9" t="inlineStr">
        <is>
          <t>ENT</t>
        </is>
      </c>
      <c r="P1614" s="15" t="n">
        <v>0</v>
      </c>
      <c r="Q1614" s="15" t="n">
        <v>0</v>
      </c>
      <c r="R1614" s="5" t="inlineStr">
        <is>
          <t>325-2024-12-31</t>
        </is>
      </c>
    </row>
    <row r="1615">
      <c r="A1615" s="21" t="n">
        <v>325</v>
      </c>
      <c r="B1615" s="5" t="inlineStr">
        <is>
          <t>Número de programas nuevos con registro calificado aprobado</t>
        </is>
      </c>
      <c r="C1615" s="5" t="inlineStr">
        <is>
          <t>Creación, modificación y cierre de programas académicos</t>
        </is>
      </c>
      <c r="D1615" s="5" t="inlineStr">
        <is>
          <t>Semestral</t>
        </is>
      </c>
      <c r="E1615" s="5" t="inlineStr">
        <is>
          <t>Positivo</t>
        </is>
      </c>
      <c r="F1615" s="107" t="n">
        <v>45838</v>
      </c>
      <c r="G1615" s="5" t="n">
        <v>2025</v>
      </c>
      <c r="H1615" s="5" t="inlineStr">
        <is>
          <t>Junio</t>
        </is>
      </c>
      <c r="I1615" s="6" t="inlineStr">
        <is>
          <t>2025-1</t>
        </is>
      </c>
      <c r="J1615" s="73" t="n">
        <v>8</v>
      </c>
      <c r="K1615" s="9" t="n">
        <v>100</v>
      </c>
      <c r="L1615" s="14">
        <f>IFERROR(IF(OR(J1615=0,K1615=""),"",IF(E1615="Positivo",MIN(MAX(K1615/J1615,0),1.3),MIN(MAX(J1615/K1615,0),1.3))),"") </f>
        <v/>
      </c>
      <c r="M1615" s="14">
        <f>IFERROR(IF(OR(J1615=0,K1615=""),"",IF(E1615="Positivo",MAX(K1615/J1615,0),MAX(J1615/K1615,0))),"") </f>
        <v/>
      </c>
      <c r="N1615" s="9" t="inlineStr">
        <is>
          <t>ENT</t>
        </is>
      </c>
      <c r="O1615" s="9" t="inlineStr">
        <is>
          <t>ENT</t>
        </is>
      </c>
      <c r="P1615" s="15" t="n">
        <v>0</v>
      </c>
      <c r="Q1615" s="15" t="n">
        <v>0</v>
      </c>
      <c r="R1615" s="5" t="inlineStr">
        <is>
          <t>325-2025-06-30</t>
        </is>
      </c>
    </row>
    <row r="1616">
      <c r="A1616" s="21" t="n">
        <v>325</v>
      </c>
      <c r="B1616" s="5" t="inlineStr">
        <is>
          <t>Número de programas nuevos con registro calificado aprobado - Metrica</t>
        </is>
      </c>
      <c r="C1616" s="5" t="inlineStr">
        <is>
          <t>Creación, modificación y cierre de programas académicos</t>
        </is>
      </c>
      <c r="D1616" s="5" t="inlineStr">
        <is>
          <t>Trimestral</t>
        </is>
      </c>
      <c r="E1616" s="5" t="inlineStr">
        <is>
          <t>Positivo</t>
        </is>
      </c>
      <c r="F1616" s="107" t="n">
        <v>46022</v>
      </c>
      <c r="G1616" s="5" t="n">
        <v>2025</v>
      </c>
      <c r="H1616" s="5" t="inlineStr">
        <is>
          <t>Diciembre</t>
        </is>
      </c>
      <c r="I1616" s="6" t="inlineStr">
        <is>
          <t>2025-2</t>
        </is>
      </c>
      <c r="J1616" s="73" t="n">
        <v>4</v>
      </c>
      <c r="K1616" s="9" t="n">
        <v>100</v>
      </c>
      <c r="L1616" s="14" t="n"/>
      <c r="M1616" s="14" t="n"/>
      <c r="N1616" s="9" t="inlineStr">
        <is>
          <t>ENT</t>
        </is>
      </c>
      <c r="O1616" s="9" t="inlineStr">
        <is>
          <t>ENT</t>
        </is>
      </c>
      <c r="P1616" s="15" t="n">
        <v>0</v>
      </c>
      <c r="Q1616" s="15" t="n">
        <v>0</v>
      </c>
      <c r="R1616" s="5" t="inlineStr">
        <is>
          <t>325-2025-12-31</t>
        </is>
      </c>
      <c r="S1616" t="inlineStr">
        <is>
          <t>Metrica</t>
        </is>
      </c>
    </row>
    <row r="1617">
      <c r="A1617" s="21" t="n">
        <v>326</v>
      </c>
      <c r="B1617" s="5" t="inlineStr">
        <is>
          <t>Número de informes de autoevaluación con fines de acreditación en alta calidad radicados</t>
        </is>
      </c>
      <c r="C1617" s="5" t="inlineStr">
        <is>
          <t>Autoevaluación de programas académicos</t>
        </is>
      </c>
      <c r="D1617" s="5" t="inlineStr">
        <is>
          <t>Anual</t>
        </is>
      </c>
      <c r="E1617" s="5" t="inlineStr">
        <is>
          <t>Positivo</t>
        </is>
      </c>
      <c r="F1617" s="107" t="n">
        <v>45291</v>
      </c>
      <c r="G1617" s="5" t="n">
        <v>2023</v>
      </c>
      <c r="H1617" s="5" t="inlineStr">
        <is>
          <t>Diciembre</t>
        </is>
      </c>
      <c r="I1617" s="6" t="inlineStr">
        <is>
          <t>2023-2</t>
        </is>
      </c>
      <c r="J1617" s="5" t="n">
        <v>100</v>
      </c>
      <c r="K1617" s="10" t="n">
        <v>100</v>
      </c>
      <c r="L1617" s="14">
        <f>IFERROR(IF(OR(J1617=0,K1617=""),"",IF(E1617="Positivo",MIN(MAX(K1617/J1617,0),1.3),MIN(MAX(J1617/K1617,0),1.3))),"") </f>
        <v/>
      </c>
      <c r="M1617" s="14">
        <f>IFERROR(IF(OR(J1617=0,K1617=""),"",IF(E1617="Positivo",MAX(K1617/J1617,0),MAX(J1617/K1617,0))),"") </f>
        <v/>
      </c>
      <c r="N1617" s="5" t="inlineStr">
        <is>
          <t>DEC</t>
        </is>
      </c>
      <c r="O1617" s="5" t="inlineStr">
        <is>
          <t>DEC</t>
        </is>
      </c>
      <c r="P1617" s="15" t="n">
        <v>0</v>
      </c>
      <c r="Q1617" s="15" t="n">
        <v>0</v>
      </c>
      <c r="R1617" s="5" t="inlineStr">
        <is>
          <t>326-2023-12-31</t>
        </is>
      </c>
    </row>
    <row r="1618">
      <c r="A1618" s="21" t="n">
        <v>326</v>
      </c>
      <c r="B1618" s="5" t="inlineStr">
        <is>
          <t>Número de informes de autoevaluación con fines de acreditación en alta calidad radicados- Metrica</t>
        </is>
      </c>
      <c r="C1618" s="5" t="inlineStr">
        <is>
          <t>Autoevaluación de programas académicos</t>
        </is>
      </c>
      <c r="D1618" s="5" t="inlineStr">
        <is>
          <t>Anual</t>
        </is>
      </c>
      <c r="E1618" s="5" t="inlineStr">
        <is>
          <t>Positivo</t>
        </is>
      </c>
      <c r="F1618" s="107" t="n">
        <v>45657</v>
      </c>
      <c r="G1618" s="5" t="n">
        <v>2024</v>
      </c>
      <c r="H1618" s="5" t="inlineStr">
        <is>
          <t>Diciembre</t>
        </is>
      </c>
      <c r="I1618" s="6" t="inlineStr">
        <is>
          <t>2024-2</t>
        </is>
      </c>
      <c r="J1618" s="5" t="n">
        <v>0</v>
      </c>
      <c r="K1618" s="10" t="n">
        <v>0</v>
      </c>
      <c r="L1618" s="14" t="n"/>
      <c r="M1618" s="14" t="n"/>
      <c r="N1618" s="5" t="inlineStr">
        <is>
          <t>ENT</t>
        </is>
      </c>
      <c r="O1618" s="5" t="inlineStr">
        <is>
          <t>ENT</t>
        </is>
      </c>
      <c r="P1618" s="15" t="n">
        <v>0</v>
      </c>
      <c r="Q1618" s="15" t="n">
        <v>0</v>
      </c>
      <c r="R1618" s="5" t="inlineStr">
        <is>
          <t>326-2024-12-31</t>
        </is>
      </c>
      <c r="S1618" t="inlineStr">
        <is>
          <t>Metrica</t>
        </is>
      </c>
    </row>
    <row r="1619">
      <c r="A1619" s="5" t="n">
        <v>326</v>
      </c>
      <c r="B1619" s="5" t="inlineStr">
        <is>
          <t>Número de informes de autoevaluación con fines de acreditación en alta calidad radicados- Metrica</t>
        </is>
      </c>
      <c r="C1619" s="5" t="inlineStr">
        <is>
          <t>Autoevaluación de programas académicos</t>
        </is>
      </c>
      <c r="D1619" s="5" t="inlineStr">
        <is>
          <t>Anual</t>
        </is>
      </c>
      <c r="E1619" s="5" t="inlineStr">
        <is>
          <t>Positivo</t>
        </is>
      </c>
      <c r="F1619" s="107" t="n">
        <v>46022</v>
      </c>
      <c r="G1619" s="5" t="n">
        <v>2025</v>
      </c>
      <c r="H1619" s="5" t="inlineStr">
        <is>
          <t>Diciembre</t>
        </is>
      </c>
      <c r="I1619" s="6" t="inlineStr">
        <is>
          <t>2025-2</t>
        </is>
      </c>
      <c r="J1619" s="5" t="n">
        <v>3</v>
      </c>
      <c r="K1619" s="5" t="n">
        <v>100</v>
      </c>
      <c r="L1619" s="14" t="n"/>
      <c r="M1619" s="14" t="n"/>
      <c r="N1619" s="5" t="inlineStr">
        <is>
          <t>ENT</t>
        </is>
      </c>
      <c r="O1619" s="5" t="inlineStr">
        <is>
          <t>ENT</t>
        </is>
      </c>
      <c r="P1619" s="5" t="n">
        <v>0</v>
      </c>
      <c r="Q1619" s="5" t="n">
        <v>0</v>
      </c>
      <c r="R1619" s="5" t="inlineStr">
        <is>
          <t>326-2025-12-31</t>
        </is>
      </c>
      <c r="S1619" t="inlineStr">
        <is>
          <t>Metrica</t>
        </is>
      </c>
    </row>
    <row r="1620">
      <c r="A1620" s="5" t="n">
        <v>327</v>
      </c>
      <c r="B1620" s="5" t="inlineStr">
        <is>
          <t>Número de programas con obtención de acreditación por primera vez</t>
        </is>
      </c>
      <c r="C1620" s="5" t="inlineStr">
        <is>
          <t>Autoevaluación de programas académicos</t>
        </is>
      </c>
      <c r="D1620" s="5" t="inlineStr">
        <is>
          <t>Semestral</t>
        </is>
      </c>
      <c r="E1620" s="5" t="inlineStr">
        <is>
          <t>Positivo</t>
        </is>
      </c>
      <c r="F1620" s="107" t="n">
        <v>45107</v>
      </c>
      <c r="G1620" s="5" t="n">
        <v>2023</v>
      </c>
      <c r="H1620" s="5" t="inlineStr">
        <is>
          <t>Junio</t>
        </is>
      </c>
      <c r="I1620" s="6" t="inlineStr">
        <is>
          <t>2023-1</t>
        </is>
      </c>
      <c r="J1620" s="5" t="n">
        <v>100</v>
      </c>
      <c r="K1620" s="5" t="n">
        <v>0</v>
      </c>
      <c r="L1620" s="14">
        <f>IFERROR(IF(OR(J1620=0,K1620=""),"",IF(E1620="Positivo",MIN(MAX(K1620/J1620,0),1.3),MIN(MAX(J1620/K1620,0),1.3))),"") </f>
        <v/>
      </c>
      <c r="M1620" s="14">
        <f>IFERROR(IF(OR(J1620=0,K1620=""),"",IF(E1620="Positivo",MAX(K1620/J1620,0),MAX(J1620/K1620,0))),"") </f>
        <v/>
      </c>
      <c r="N1620" s="5" t="n"/>
      <c r="O1620" s="5" t="n"/>
      <c r="P1620" s="5" t="n">
        <v>0</v>
      </c>
      <c r="Q1620" s="5" t="n">
        <v>0</v>
      </c>
      <c r="R1620" s="5" t="inlineStr">
        <is>
          <t>327-2023-06-30</t>
        </is>
      </c>
    </row>
    <row r="1621">
      <c r="A1621" s="5" t="n">
        <v>327</v>
      </c>
      <c r="B1621" s="5" t="inlineStr">
        <is>
          <t>Número de programas con obtención de acreditación por primera vez</t>
        </is>
      </c>
      <c r="C1621" s="5" t="inlineStr">
        <is>
          <t>Autoevaluación de programas académicos</t>
        </is>
      </c>
      <c r="D1621" s="5" t="inlineStr">
        <is>
          <t>Semestral</t>
        </is>
      </c>
      <c r="E1621" s="5" t="inlineStr">
        <is>
          <t>Positivo</t>
        </is>
      </c>
      <c r="F1621" s="107" t="n">
        <v>45291</v>
      </c>
      <c r="G1621" s="5" t="n">
        <v>2023</v>
      </c>
      <c r="H1621" s="5" t="inlineStr">
        <is>
          <t>Diciembre</t>
        </is>
      </c>
      <c r="I1621" s="6" t="inlineStr">
        <is>
          <t>2023-2</t>
        </is>
      </c>
      <c r="J1621" s="5" t="n">
        <v>100</v>
      </c>
      <c r="K1621" s="5" t="n">
        <v>100</v>
      </c>
      <c r="L1621" s="14">
        <f>IFERROR(IF(OR(J1621=0,K1621=""),"",IF(E1621="Positivo",MIN(MAX(K1621/J1621,0),1.3),MIN(MAX(J1621/K1621,0),1.3))),"") </f>
        <v/>
      </c>
      <c r="M1621" s="14">
        <f>IFERROR(IF(OR(J1621=0,K1621=""),"",IF(E1621="Positivo",MAX(K1621/J1621,0),MAX(J1621/K1621,0))),"") </f>
        <v/>
      </c>
      <c r="N1621" s="5" t="n"/>
      <c r="O1621" s="5" t="n"/>
      <c r="P1621" s="5" t="n">
        <v>0</v>
      </c>
      <c r="Q1621" s="5" t="n">
        <v>0</v>
      </c>
      <c r="R1621" s="5" t="inlineStr">
        <is>
          <t>327-2023-12-31</t>
        </is>
      </c>
    </row>
    <row r="1622">
      <c r="A1622" s="21" t="n">
        <v>327</v>
      </c>
      <c r="B1622" s="5" t="inlineStr">
        <is>
          <t>Número de programas con obtención de acreditación por primera vez</t>
        </is>
      </c>
      <c r="C1622" s="5" t="inlineStr">
        <is>
          <t>Autoevaluación de programas académicos</t>
        </is>
      </c>
      <c r="D1622" s="5" t="inlineStr">
        <is>
          <t>Semestral</t>
        </is>
      </c>
      <c r="E1622" s="5" t="inlineStr">
        <is>
          <t>Positivo</t>
        </is>
      </c>
      <c r="F1622" s="107" t="n">
        <v>45473</v>
      </c>
      <c r="G1622" s="5" t="n">
        <v>2024</v>
      </c>
      <c r="H1622" s="5" t="inlineStr">
        <is>
          <t>Junio</t>
        </is>
      </c>
      <c r="I1622" s="6" t="inlineStr">
        <is>
          <t>2024-1</t>
        </is>
      </c>
      <c r="J1622" s="5" t="n">
        <v>100</v>
      </c>
      <c r="K1622" s="94" t="n">
        <v>0</v>
      </c>
      <c r="L1622" s="14">
        <f>IFERROR(IF(OR(J1622=0,K1622=""),"",IF(E1622="Positivo",MIN(MAX(K1622/J1622,0),1.3),MIN(MAX(J1622/K1622,0),1.3))),"") </f>
        <v/>
      </c>
      <c r="M1622" s="14">
        <f>IFERROR(IF(OR(J1622=0,K1622=""),"",IF(E1622="Positivo",MAX(K1622/J1622,0),MAX(J1622/K1622,0))),"") </f>
        <v/>
      </c>
      <c r="N1622" s="5" t="n"/>
      <c r="O1622" s="5" t="n"/>
      <c r="P1622" s="15" t="n">
        <v>0</v>
      </c>
      <c r="Q1622" s="15" t="n">
        <v>0</v>
      </c>
      <c r="R1622" s="5" t="inlineStr">
        <is>
          <t>327-2024-06-30</t>
        </is>
      </c>
    </row>
    <row r="1623">
      <c r="A1623" s="21" t="n">
        <v>327</v>
      </c>
      <c r="B1623" s="5" t="inlineStr">
        <is>
          <t>Número de programas con obtención de acreditación por primera vez</t>
        </is>
      </c>
      <c r="C1623" s="5" t="inlineStr">
        <is>
          <t>Autoevaluación de programas académicos</t>
        </is>
      </c>
      <c r="D1623" s="5" t="inlineStr">
        <is>
          <t>Semestral</t>
        </is>
      </c>
      <c r="E1623" s="5" t="inlineStr">
        <is>
          <t>Positivo</t>
        </is>
      </c>
      <c r="F1623" s="107" t="n">
        <v>45657</v>
      </c>
      <c r="G1623" s="5" t="n">
        <v>2024</v>
      </c>
      <c r="H1623" s="5" t="inlineStr">
        <is>
          <t>Diciembre</t>
        </is>
      </c>
      <c r="I1623" s="6" t="inlineStr">
        <is>
          <t>2024-2</t>
        </is>
      </c>
      <c r="J1623" s="5" t="n">
        <v>100</v>
      </c>
      <c r="K1623" s="10" t="n">
        <v>0</v>
      </c>
      <c r="L1623" s="14">
        <f>IFERROR(IF(OR(J1623=0,K1623=""),"",IF(E1623="Positivo",MIN(MAX(K1623/J1623,0),1.3),MIN(MAX(J1623/K1623,0),1.3))),"") </f>
        <v/>
      </c>
      <c r="M1623" s="14">
        <f>IFERROR(IF(OR(J1623=0,K1623=""),"",IF(E1623="Positivo",MAX(K1623/J1623,0),MAX(J1623/K1623,0))),"") </f>
        <v/>
      </c>
      <c r="N1623" s="5" t="n"/>
      <c r="O1623" s="5" t="n"/>
      <c r="P1623" s="15" t="n">
        <v>0</v>
      </c>
      <c r="Q1623" s="15" t="n">
        <v>0</v>
      </c>
      <c r="R1623" s="5" t="inlineStr">
        <is>
          <t>327-2024-12-31</t>
        </is>
      </c>
    </row>
    <row r="1624">
      <c r="A1624" s="21" t="n">
        <v>327</v>
      </c>
      <c r="B1624" s="5" t="inlineStr">
        <is>
          <t>Número de programas con obtención de acreditación por primera vez</t>
        </is>
      </c>
      <c r="C1624" s="5" t="inlineStr">
        <is>
          <t>Autoevaluación de programas académicos</t>
        </is>
      </c>
      <c r="D1624" s="5" t="inlineStr">
        <is>
          <t>Semestral</t>
        </is>
      </c>
      <c r="E1624" s="5" t="inlineStr">
        <is>
          <t>Positivo</t>
        </is>
      </c>
      <c r="F1624" s="107" t="n">
        <v>45838</v>
      </c>
      <c r="G1624" s="5" t="n">
        <v>2025</v>
      </c>
      <c r="H1624" s="5" t="inlineStr">
        <is>
          <t>Junio</t>
        </is>
      </c>
      <c r="I1624" s="6" t="inlineStr">
        <is>
          <t>2025-1</t>
        </is>
      </c>
      <c r="J1624" s="5" t="n">
        <v>100</v>
      </c>
      <c r="K1624" s="94" t="n">
        <v>100</v>
      </c>
      <c r="L1624" s="14">
        <f>IFERROR(IF(OR(J1624=0,K1624=""),"",IF(E1624="Positivo",MIN(MAX(K1624/J1624,0),1.3),MIN(MAX(J1624/K1624,0),1.3))),"") </f>
        <v/>
      </c>
      <c r="M1624" s="14">
        <f>IFERROR(IF(OR(J1624=0,K1624=""),"",IF(E1624="Positivo",MAX(K1624/J1624,0),MAX(J1624/K1624,0))),"") </f>
        <v/>
      </c>
      <c r="N1624" s="5" t="inlineStr">
        <is>
          <t>ENT</t>
        </is>
      </c>
      <c r="O1624" s="5" t="inlineStr">
        <is>
          <t>ENT</t>
        </is>
      </c>
      <c r="P1624" s="15" t="n">
        <v>0</v>
      </c>
      <c r="Q1624" s="15" t="n">
        <v>0</v>
      </c>
      <c r="R1624" s="5" t="inlineStr">
        <is>
          <t>327-2025-06-30</t>
        </is>
      </c>
    </row>
    <row r="1625">
      <c r="A1625" s="21" t="n">
        <v>327</v>
      </c>
      <c r="B1625" s="5" t="inlineStr">
        <is>
          <t>Número de programas con obtención de acreditación por primera vez- Metrica</t>
        </is>
      </c>
      <c r="C1625" s="5" t="inlineStr">
        <is>
          <t>Autoevaluación de programas académicos</t>
        </is>
      </c>
      <c r="D1625" s="5" t="inlineStr">
        <is>
          <t>Trimestral</t>
        </is>
      </c>
      <c r="E1625" s="5" t="inlineStr">
        <is>
          <t>Positivo</t>
        </is>
      </c>
      <c r="F1625" s="107" t="n">
        <v>46022</v>
      </c>
      <c r="G1625" s="5" t="n">
        <v>2025</v>
      </c>
      <c r="H1625" s="5" t="inlineStr">
        <is>
          <t>Diciembre</t>
        </is>
      </c>
      <c r="I1625" s="6" t="inlineStr">
        <is>
          <t>2025-2</t>
        </is>
      </c>
      <c r="J1625" s="5" t="n">
        <v>100</v>
      </c>
      <c r="K1625" s="94" t="n">
        <v>100</v>
      </c>
      <c r="L1625" s="14" t="n"/>
      <c r="M1625" s="14" t="n"/>
      <c r="N1625" s="5" t="inlineStr">
        <is>
          <t>ENT</t>
        </is>
      </c>
      <c r="O1625" s="5" t="inlineStr">
        <is>
          <t>ENT</t>
        </is>
      </c>
      <c r="P1625" s="15" t="n">
        <v>0</v>
      </c>
      <c r="Q1625" s="15" t="n">
        <v>0</v>
      </c>
      <c r="R1625" s="5" t="inlineStr">
        <is>
          <t>327-2025-12-31</t>
        </is>
      </c>
      <c r="S1625" t="inlineStr">
        <is>
          <t>Metrica</t>
        </is>
      </c>
    </row>
    <row r="1626">
      <c r="A1626" s="21" t="n">
        <v>328</v>
      </c>
      <c r="B1626" s="5" t="inlineStr">
        <is>
          <t>Nivel de encuestas obtenidas en el encuentro institucional de graduados</t>
        </is>
      </c>
      <c r="C1626" s="5" t="inlineStr">
        <is>
          <t>Gestión de Graduados</t>
        </is>
      </c>
      <c r="D1626" s="5" t="inlineStr">
        <is>
          <t>Anual</t>
        </is>
      </c>
      <c r="E1626" s="5" t="inlineStr">
        <is>
          <t>Positivo</t>
        </is>
      </c>
      <c r="F1626" s="107" t="n">
        <v>45291</v>
      </c>
      <c r="G1626" s="5" t="n">
        <v>2023</v>
      </c>
      <c r="H1626" s="5" t="inlineStr">
        <is>
          <t>Diciembre</t>
        </is>
      </c>
      <c r="I1626" s="6" t="inlineStr">
        <is>
          <t>2023-2</t>
        </is>
      </c>
      <c r="J1626" s="5" t="n">
        <v>800</v>
      </c>
      <c r="K1626" s="94" t="n">
        <v>1035</v>
      </c>
      <c r="L1626" s="14">
        <f>IFERROR(IF(OR(J1626=0,K1626=""),"",IF(E1626="Positivo",MIN(MAX(K1626/J1626,0),1.3),MIN(MAX(J1626/K1626,0),1.3))),"") </f>
        <v/>
      </c>
      <c r="M1626" s="14">
        <f>IFERROR(IF(OR(J1626=0,K1626=""),"",IF(E1626="Positivo",MAX(K1626/J1626,0),MAX(J1626/K1626,0))),"") </f>
        <v/>
      </c>
      <c r="N1626" s="5" t="n"/>
      <c r="O1626" s="11" t="n"/>
      <c r="P1626" s="15" t="n">
        <v>0</v>
      </c>
      <c r="Q1626" s="15" t="n">
        <v>0</v>
      </c>
      <c r="R1626" s="5" t="inlineStr">
        <is>
          <t>328-2023-12-31</t>
        </is>
      </c>
    </row>
    <row r="1627">
      <c r="A1627" s="21" t="n">
        <v>328</v>
      </c>
      <c r="B1627" s="5" t="inlineStr">
        <is>
          <t>Nivel de encuestas obtenidas en el encuentro institucional de graduados</t>
        </is>
      </c>
      <c r="C1627" s="5" t="inlineStr">
        <is>
          <t>Gestión de Graduados</t>
        </is>
      </c>
      <c r="D1627" s="5" t="inlineStr">
        <is>
          <t>Anual</t>
        </is>
      </c>
      <c r="E1627" s="5" t="inlineStr">
        <is>
          <t>Positivo</t>
        </is>
      </c>
      <c r="F1627" s="107" t="n">
        <v>45657</v>
      </c>
      <c r="G1627" s="5" t="n">
        <v>2024</v>
      </c>
      <c r="H1627" s="5" t="inlineStr">
        <is>
          <t>Diciembre</t>
        </is>
      </c>
      <c r="I1627" s="6" t="inlineStr">
        <is>
          <t>2024-2</t>
        </is>
      </c>
      <c r="J1627" s="5" t="n">
        <v>100</v>
      </c>
      <c r="K1627" s="94" t="n">
        <v>157</v>
      </c>
      <c r="L1627" s="14">
        <f>IFERROR(IF(OR(J1627=0,K1627=""),"",IF(E1627="Positivo",MIN(MAX(K1627/J1627,0),1.3),MIN(MAX(J1627/K1627,0),1.3))),"") </f>
        <v/>
      </c>
      <c r="M1627" s="14">
        <f>IFERROR(IF(OR(J1627=0,K1627=""),"",IF(E1627="Positivo",MAX(K1627/J1627,0),MAX(J1627/K1627,0))),"") </f>
        <v/>
      </c>
      <c r="N1627" s="5" t="n"/>
      <c r="O1627" s="11" t="n"/>
      <c r="P1627" s="15" t="n">
        <v>0</v>
      </c>
      <c r="Q1627" s="15" t="n">
        <v>0</v>
      </c>
      <c r="R1627" s="5" t="inlineStr">
        <is>
          <t>328-2024-12-31</t>
        </is>
      </c>
    </row>
    <row r="1628">
      <c r="A1628" s="21" t="n">
        <v>329</v>
      </c>
      <c r="B1628" s="5" t="inlineStr">
        <is>
          <t>Participación en actividades diseñadas para graduados</t>
        </is>
      </c>
      <c r="C1628" s="5" t="inlineStr">
        <is>
          <t>Gestión de Graduados</t>
        </is>
      </c>
      <c r="D1628" s="5" t="inlineStr">
        <is>
          <t>Anual</t>
        </is>
      </c>
      <c r="E1628" s="5" t="inlineStr">
        <is>
          <t>Positivo</t>
        </is>
      </c>
      <c r="F1628" s="107" t="n">
        <v>45291</v>
      </c>
      <c r="G1628" s="5" t="n">
        <v>2023</v>
      </c>
      <c r="H1628" s="5" t="inlineStr">
        <is>
          <t>Diciembre</t>
        </is>
      </c>
      <c r="I1628" s="6" t="inlineStr">
        <is>
          <t>2023-2</t>
        </is>
      </c>
      <c r="J1628" s="5" t="n">
        <v>3000</v>
      </c>
      <c r="K1628" s="94" t="n">
        <v>3315</v>
      </c>
      <c r="L1628" s="14">
        <f>IFERROR(IF(OR(J1628=0,K1628=""),"",IF(E1628="Positivo",MIN(MAX(K1628/J1628,0),1.3),MIN(MAX(J1628/K1628,0),1.3))),"") </f>
        <v/>
      </c>
      <c r="M1628" s="14">
        <f>IFERROR(IF(OR(J1628=0,K1628=""),"",IF(E1628="Positivo",MAX(K1628/J1628,0),MAX(J1628/K1628,0))),"") </f>
        <v/>
      </c>
      <c r="N1628" s="5" t="n"/>
      <c r="O1628" s="5" t="n"/>
      <c r="P1628" s="15" t="n">
        <v>0</v>
      </c>
      <c r="Q1628" s="15" t="n">
        <v>0</v>
      </c>
      <c r="R1628" s="5" t="inlineStr">
        <is>
          <t>329-2023-12-31</t>
        </is>
      </c>
    </row>
    <row r="1629">
      <c r="A1629" s="21" t="n">
        <v>329</v>
      </c>
      <c r="B1629" s="5" t="inlineStr">
        <is>
          <t>Participación en actividades diseñadas para graduados</t>
        </is>
      </c>
      <c r="C1629" s="5" t="inlineStr">
        <is>
          <t>Gestión de Graduados</t>
        </is>
      </c>
      <c r="D1629" s="5" t="inlineStr">
        <is>
          <t>Anual</t>
        </is>
      </c>
      <c r="E1629" s="5" t="inlineStr">
        <is>
          <t>Positivo</t>
        </is>
      </c>
      <c r="F1629" s="107" t="n">
        <v>45657</v>
      </c>
      <c r="G1629" s="5" t="n">
        <v>2024</v>
      </c>
      <c r="H1629" s="5" t="inlineStr">
        <is>
          <t>Diciembre</t>
        </is>
      </c>
      <c r="I1629" s="6" t="inlineStr">
        <is>
          <t>2024-2</t>
        </is>
      </c>
      <c r="J1629" s="5" t="n">
        <v>100</v>
      </c>
      <c r="K1629" s="94" t="n">
        <v>106.63</v>
      </c>
      <c r="L1629" s="14">
        <f>IFERROR(IF(OR(J1629=0,K1629=""),"",IF(E1629="Positivo",MIN(MAX(K1629/J1629,0),1.3),MIN(MAX(J1629/K1629,0),1.3))),"") </f>
        <v/>
      </c>
      <c r="M1629" s="14">
        <f>IFERROR(IF(OR(J1629=0,K1629=""),"",IF(E1629="Positivo",MAX(K1629/J1629,0),MAX(J1629/K1629,0))),"") </f>
        <v/>
      </c>
      <c r="N1629" s="5" t="n"/>
      <c r="O1629" s="5" t="n"/>
      <c r="P1629" s="15" t="n">
        <v>0</v>
      </c>
      <c r="Q1629" s="15" t="n">
        <v>0</v>
      </c>
      <c r="R1629" s="5" t="inlineStr">
        <is>
          <t>329-2024-12-31</t>
        </is>
      </c>
    </row>
    <row r="1630">
      <c r="A1630" s="21" t="n">
        <v>331</v>
      </c>
      <c r="B1630" s="5" t="inlineStr">
        <is>
          <t>Nivel de empleabilidad del graduado</t>
        </is>
      </c>
      <c r="C1630" s="5" t="inlineStr">
        <is>
          <t>Gestión de Graduados</t>
        </is>
      </c>
      <c r="D1630" s="5" t="inlineStr">
        <is>
          <t>Anual</t>
        </is>
      </c>
      <c r="E1630" s="5" t="inlineStr">
        <is>
          <t>Positivo</t>
        </is>
      </c>
      <c r="F1630" s="107" t="n">
        <v>45291</v>
      </c>
      <c r="G1630" s="5" t="n">
        <v>2023</v>
      </c>
      <c r="H1630" s="5" t="inlineStr">
        <is>
          <t>Diciembre</t>
        </is>
      </c>
      <c r="I1630" s="6" t="inlineStr">
        <is>
          <t>2023-2</t>
        </is>
      </c>
      <c r="J1630" s="5" t="n"/>
      <c r="K1630" s="10" t="n">
        <v>81</v>
      </c>
      <c r="L1630" s="8" t="n"/>
      <c r="M1630" s="8" t="n"/>
      <c r="N1630" s="5" t="inlineStr">
        <is>
          <t>Linea Base</t>
        </is>
      </c>
      <c r="O1630" s="5" t="inlineStr">
        <is>
          <t>%</t>
        </is>
      </c>
      <c r="P1630" s="15" t="n">
        <v>0</v>
      </c>
      <c r="Q1630" s="15" t="n">
        <v>0</v>
      </c>
      <c r="R1630" s="5" t="inlineStr">
        <is>
          <t>331-2023-12-31</t>
        </is>
      </c>
    </row>
    <row r="1631">
      <c r="A1631" s="21" t="n">
        <v>331</v>
      </c>
      <c r="B1631" s="5" t="inlineStr">
        <is>
          <t>Nivel de empleabilidad del graduado</t>
        </is>
      </c>
      <c r="C1631" s="5" t="inlineStr">
        <is>
          <t>Gestión de Graduados</t>
        </is>
      </c>
      <c r="D1631" s="5" t="inlineStr">
        <is>
          <t>Anual</t>
        </is>
      </c>
      <c r="E1631" s="5" t="inlineStr">
        <is>
          <t>Positivo</t>
        </is>
      </c>
      <c r="F1631" s="107" t="n">
        <v>45657</v>
      </c>
      <c r="G1631" s="5" t="n">
        <v>2024</v>
      </c>
      <c r="H1631" s="5" t="inlineStr">
        <is>
          <t>Diciembre</t>
        </is>
      </c>
      <c r="I1631" s="6" t="inlineStr">
        <is>
          <t>2024-2</t>
        </is>
      </c>
      <c r="J1631" s="5" t="n">
        <v>0</v>
      </c>
      <c r="K1631" s="94" t="n">
        <v>82</v>
      </c>
      <c r="L1631" s="14">
        <f>IFERROR(IF(OR(J1631=0,K1631=""),"",IF(E1631="Positivo",MIN(MAX(K1631/J1631,0),1.3),MIN(MAX(J1631/K1631,0),1.3))),"") </f>
        <v/>
      </c>
      <c r="M1631" s="14">
        <f>IFERROR(IF(OR(J1631=0,K1631=""),"",IF(E1631="Positivo",MAX(K1631/J1631,0),MAX(J1631/K1631,0))),"") </f>
        <v/>
      </c>
      <c r="N1631" s="5" t="inlineStr">
        <is>
          <t>Linea Base</t>
        </is>
      </c>
      <c r="O1631" s="5" t="inlineStr">
        <is>
          <t>%</t>
        </is>
      </c>
      <c r="P1631" s="15" t="n">
        <v>0</v>
      </c>
      <c r="Q1631" s="15" t="n">
        <v>0</v>
      </c>
      <c r="R1631" s="5" t="inlineStr">
        <is>
          <t>331-2024-12-31</t>
        </is>
      </c>
    </row>
    <row r="1632">
      <c r="A1632" s="21" t="n">
        <v>332</v>
      </c>
      <c r="B1632" s="5" t="inlineStr">
        <is>
          <t>Índice de rotación</t>
        </is>
      </c>
      <c r="C1632" s="5" t="inlineStr">
        <is>
          <t>GESTIÓN Y DESARROLLO DEL TALENTO HUMANO</t>
        </is>
      </c>
      <c r="D1632" s="5" t="inlineStr">
        <is>
          <t>Semestral</t>
        </is>
      </c>
      <c r="E1632" s="5" t="inlineStr">
        <is>
          <t>Negativo</t>
        </is>
      </c>
      <c r="F1632" s="107" t="n">
        <v>45107</v>
      </c>
      <c r="G1632" s="5" t="n">
        <v>2023</v>
      </c>
      <c r="H1632" s="5" t="inlineStr">
        <is>
          <t>Junio</t>
        </is>
      </c>
      <c r="I1632" s="6" t="inlineStr">
        <is>
          <t>2023-1</t>
        </is>
      </c>
      <c r="J1632" s="5" t="n">
        <v>1.8</v>
      </c>
      <c r="K1632" s="94" t="n">
        <v>1.57</v>
      </c>
      <c r="L1632" s="14">
        <f>IFERROR(IF(OR(J1632=0,K1632=""),"",IF(E1632="Positivo",MIN(MAX(K1632/J1632,0),1.3),MIN(MAX(J1632/K1632,0),1.3))),"") </f>
        <v/>
      </c>
      <c r="M1632" s="14">
        <f>IFERROR(IF(OR(J1632=0,K1632=""),"",IF(E1632="Positivo",MAX(K1632/J1632,0),MAX(J1632/K1632,0))),"") </f>
        <v/>
      </c>
      <c r="N1632" s="5" t="inlineStr">
        <is>
          <t>%</t>
        </is>
      </c>
      <c r="O1632" s="5" t="inlineStr">
        <is>
          <t>%</t>
        </is>
      </c>
      <c r="P1632" s="15" t="n">
        <v>2</v>
      </c>
      <c r="Q1632" s="15" t="n">
        <v>2</v>
      </c>
      <c r="R1632" s="5" t="inlineStr">
        <is>
          <t>332-2023-06-30</t>
        </is>
      </c>
    </row>
    <row r="1633">
      <c r="A1633" s="21" t="n">
        <v>332</v>
      </c>
      <c r="B1633" s="5" t="inlineStr">
        <is>
          <t>Índice de rotación</t>
        </is>
      </c>
      <c r="C1633" s="5" t="inlineStr">
        <is>
          <t>GESTIÓN Y DESARROLLO DEL TALENTO HUMANO</t>
        </is>
      </c>
      <c r="D1633" s="5" t="inlineStr">
        <is>
          <t>Semestral</t>
        </is>
      </c>
      <c r="E1633" s="5" t="inlineStr">
        <is>
          <t>Negativo</t>
        </is>
      </c>
      <c r="F1633" s="107" t="n">
        <v>45291</v>
      </c>
      <c r="G1633" s="5" t="n">
        <v>2023</v>
      </c>
      <c r="H1633" s="5" t="inlineStr">
        <is>
          <t>Diciembre</t>
        </is>
      </c>
      <c r="I1633" s="6" t="inlineStr">
        <is>
          <t>2023-2</t>
        </is>
      </c>
      <c r="J1633" s="5" t="n">
        <v>1.8</v>
      </c>
      <c r="K1633" s="94" t="n">
        <v>1.3</v>
      </c>
      <c r="L1633" s="14">
        <f>IFERROR(IF(OR(J1633=0,K1633=""),"",IF(E1633="Positivo",MIN(MAX(K1633/J1633,0),1.3),MIN(MAX(J1633/K1633,0),1.3))),"") </f>
        <v/>
      </c>
      <c r="M1633" s="14">
        <f>IFERROR(IF(OR(J1633=0,K1633=""),"",IF(E1633="Positivo",MAX(K1633/J1633,0),MAX(J1633/K1633,0))),"") </f>
        <v/>
      </c>
      <c r="N1633" s="5" t="inlineStr">
        <is>
          <t>%</t>
        </is>
      </c>
      <c r="O1633" s="5" t="inlineStr">
        <is>
          <t>%</t>
        </is>
      </c>
      <c r="P1633" s="15" t="n">
        <v>1</v>
      </c>
      <c r="Q1633" s="15" t="n">
        <v>1</v>
      </c>
      <c r="R1633" s="5" t="inlineStr">
        <is>
          <t>332-2023-12-31</t>
        </is>
      </c>
    </row>
    <row r="1634">
      <c r="A1634" s="21" t="n">
        <v>332</v>
      </c>
      <c r="B1634" s="5" t="inlineStr">
        <is>
          <t>Índice de rotación</t>
        </is>
      </c>
      <c r="C1634" s="5" t="inlineStr">
        <is>
          <t>GESTIÓN Y DESARROLLO DEL TALENTO HUMANO</t>
        </is>
      </c>
      <c r="D1634" s="5" t="inlineStr">
        <is>
          <t>Semestral</t>
        </is>
      </c>
      <c r="E1634" s="5" t="inlineStr">
        <is>
          <t>Negativo</t>
        </is>
      </c>
      <c r="F1634" s="107" t="n">
        <v>45473</v>
      </c>
      <c r="G1634" s="5" t="n">
        <v>2024</v>
      </c>
      <c r="H1634" s="5" t="inlineStr">
        <is>
          <t>Junio</t>
        </is>
      </c>
      <c r="I1634" s="6" t="inlineStr">
        <is>
          <t>2024-1</t>
        </is>
      </c>
      <c r="J1634" s="5" t="n">
        <v>1.5</v>
      </c>
      <c r="K1634" s="94" t="n">
        <v>1.48</v>
      </c>
      <c r="L1634" s="14">
        <f>IFERROR(IF(OR(J1634=0,K1634=""),"",IF(E1634="Positivo",MIN(MAX(K1634/J1634,0),1.3),MIN(MAX(J1634/K1634,0),1.3))),"") </f>
        <v/>
      </c>
      <c r="M1634" s="14">
        <f>IFERROR(IF(OR(J1634=0,K1634=""),"",IF(E1634="Positivo",MAX(K1634/J1634,0),MAX(J1634/K1634,0))),"") </f>
        <v/>
      </c>
      <c r="N1634" s="5" t="inlineStr">
        <is>
          <t>%</t>
        </is>
      </c>
      <c r="O1634" s="5" t="inlineStr">
        <is>
          <t>%</t>
        </is>
      </c>
      <c r="P1634" s="15" t="n">
        <v>2</v>
      </c>
      <c r="Q1634" s="15" t="n">
        <v>2</v>
      </c>
      <c r="R1634" s="5" t="inlineStr">
        <is>
          <t>332-2024-06-30</t>
        </is>
      </c>
    </row>
    <row r="1635">
      <c r="A1635" s="21" t="n">
        <v>332</v>
      </c>
      <c r="B1635" s="5" t="inlineStr">
        <is>
          <t>Índice de rotación</t>
        </is>
      </c>
      <c r="C1635" s="5" t="inlineStr">
        <is>
          <t>GESTIÓN Y DESARROLLO DEL TALENTO HUMANO</t>
        </is>
      </c>
      <c r="D1635" s="5" t="inlineStr">
        <is>
          <t>Semestral</t>
        </is>
      </c>
      <c r="E1635" s="5" t="inlineStr">
        <is>
          <t>Negativo</t>
        </is>
      </c>
      <c r="F1635" s="107" t="n">
        <v>45657</v>
      </c>
      <c r="G1635" s="5" t="n">
        <v>2024</v>
      </c>
      <c r="H1635" s="5" t="inlineStr">
        <is>
          <t>Diciembre</t>
        </is>
      </c>
      <c r="I1635" s="6" t="inlineStr">
        <is>
          <t>2024-2</t>
        </is>
      </c>
      <c r="J1635" s="5" t="n">
        <v>1.8</v>
      </c>
      <c r="K1635" s="94" t="n">
        <v>0.82</v>
      </c>
      <c r="L1635" s="14">
        <f>IFERROR(IF(OR(J1635=0,K1635=""),"",IF(E1635="Positivo",MIN(MAX(K1635/J1635,0),1.3),MIN(MAX(J1635/K1635,0),1.3))),"") </f>
        <v/>
      </c>
      <c r="M1635" s="14">
        <f>IFERROR(IF(OR(J1635=0,K1635=""),"",IF(E1635="Positivo",MAX(K1635/J1635,0),MAX(J1635/K1635,0))),"") </f>
        <v/>
      </c>
      <c r="N1635" s="5" t="inlineStr">
        <is>
          <t>%</t>
        </is>
      </c>
      <c r="O1635" s="5" t="inlineStr">
        <is>
          <t>%</t>
        </is>
      </c>
      <c r="P1635" s="15" t="n">
        <v>2</v>
      </c>
      <c r="Q1635" s="15" t="n">
        <v>2</v>
      </c>
      <c r="R1635" s="5" t="inlineStr">
        <is>
          <t>332-2024-12-31</t>
        </is>
      </c>
    </row>
    <row r="1636">
      <c r="A1636" s="5" t="n">
        <v>332</v>
      </c>
      <c r="B1636" s="5" t="inlineStr">
        <is>
          <t>Índice de rotación</t>
        </is>
      </c>
      <c r="C1636" s="5" t="inlineStr">
        <is>
          <t>GESTIÓN Y DESARROLLO DEL TALENTO HUMANO</t>
        </is>
      </c>
      <c r="D1636" s="5" t="inlineStr">
        <is>
          <t>Semestral</t>
        </is>
      </c>
      <c r="E1636" s="5" t="inlineStr">
        <is>
          <t>Negativo</t>
        </is>
      </c>
      <c r="F1636" s="107" t="n">
        <v>45838</v>
      </c>
      <c r="G1636" s="5" t="n">
        <v>2025</v>
      </c>
      <c r="H1636" s="5" t="inlineStr">
        <is>
          <t>Junio</t>
        </is>
      </c>
      <c r="I1636" s="6" t="inlineStr">
        <is>
          <t>2025-1</t>
        </is>
      </c>
      <c r="J1636" s="5" t="n">
        <v>1.18</v>
      </c>
      <c r="K1636" s="5" t="n">
        <v>0.85</v>
      </c>
      <c r="L1636" s="14">
        <f>IFERROR(IF(OR(J1636=0,K1636=""),"",IF(E1636="Positivo",MIN(MAX(K1636/J1636,0),1.3),MIN(MAX(J1636/K1636,0),1.3))),"") </f>
        <v/>
      </c>
      <c r="M1636" s="14">
        <f>IFERROR(IF(OR(J1636=0,K1636=""),"",IF(E1636="Positivo",MAX(K1636/J1636,0),MAX(J1636/K1636,0))),"") </f>
        <v/>
      </c>
      <c r="N1636" s="5" t="inlineStr">
        <is>
          <t>%</t>
        </is>
      </c>
      <c r="O1636" s="5" t="inlineStr">
        <is>
          <t>%</t>
        </is>
      </c>
      <c r="P1636" s="5" t="n">
        <v>2</v>
      </c>
      <c r="Q1636" s="5" t="n">
        <v>2</v>
      </c>
      <c r="R1636" s="5" t="inlineStr">
        <is>
          <t>332-2025-06-30</t>
        </is>
      </c>
    </row>
    <row r="1637">
      <c r="A1637" s="5" t="n">
        <v>332</v>
      </c>
      <c r="B1637" s="5" t="inlineStr">
        <is>
          <t>Índice de rotación</t>
        </is>
      </c>
      <c r="C1637" s="5" t="inlineStr">
        <is>
          <t>GESTIÓN Y DESARROLLO DEL TALENTO HUMANO</t>
        </is>
      </c>
      <c r="D1637" s="5" t="inlineStr">
        <is>
          <t>Trimestral</t>
        </is>
      </c>
      <c r="E1637" s="5" t="inlineStr">
        <is>
          <t>Negativo</t>
        </is>
      </c>
      <c r="F1637" s="107" t="n">
        <v>46022</v>
      </c>
      <c r="G1637" s="5" t="n">
        <v>2025</v>
      </c>
      <c r="H1637" s="5" t="inlineStr">
        <is>
          <t>Diciembre</t>
        </is>
      </c>
      <c r="I1637" s="6" t="inlineStr">
        <is>
          <t>2025-2</t>
        </is>
      </c>
      <c r="J1637" s="5" t="n">
        <v>1.18</v>
      </c>
      <c r="K1637" s="5" t="n">
        <v>0.93</v>
      </c>
      <c r="L1637" s="14">
        <f>IFERROR(IF(OR(J1637=0,K1637=""),"",IF(E1637="Positivo",MIN(MAX(K1637/J1637,0),1.3),MIN(MAX(J1637/K1637,0),1.3))),"") </f>
        <v/>
      </c>
      <c r="M1637" s="14">
        <f>IFERROR(IF(OR(J1637=0,K1637=""),"",IF(E1637="Positivo",MAX(K1637/J1637,0),MAX(J1637/K1637,0))),"") </f>
        <v/>
      </c>
      <c r="N1637" s="5" t="inlineStr">
        <is>
          <t>DEC</t>
        </is>
      </c>
      <c r="O1637" s="5" t="inlineStr">
        <is>
          <t>DEC</t>
        </is>
      </c>
      <c r="P1637" s="5" t="n">
        <v>2</v>
      </c>
      <c r="Q1637" s="5" t="n">
        <v>2</v>
      </c>
      <c r="R1637" s="5" t="inlineStr">
        <is>
          <t>332-2025-12-31</t>
        </is>
      </c>
    </row>
    <row r="1638">
      <c r="A1638" s="5" t="n">
        <v>334</v>
      </c>
      <c r="B1638" s="5" t="inlineStr">
        <is>
          <t>Resultado de la evaluación 360 (evaluación por competencias)</t>
        </is>
      </c>
      <c r="C1638" s="5" t="inlineStr">
        <is>
          <t>GESTIÓN Y DESARROLLO DEL TALENTO HUMANO</t>
        </is>
      </c>
      <c r="D1638" s="5" t="inlineStr">
        <is>
          <t>Anual</t>
        </is>
      </c>
      <c r="E1638" s="5" t="inlineStr">
        <is>
          <t>Positivo</t>
        </is>
      </c>
      <c r="F1638" s="107" t="n">
        <v>45291</v>
      </c>
      <c r="G1638" s="5" t="n">
        <v>2023</v>
      </c>
      <c r="H1638" s="5" t="inlineStr">
        <is>
          <t>Diciembre</t>
        </is>
      </c>
      <c r="I1638" s="6" t="inlineStr">
        <is>
          <t>2023-2</t>
        </is>
      </c>
      <c r="J1638" s="5" t="n">
        <v>88</v>
      </c>
      <c r="K1638" s="5" t="n">
        <v>88.39</v>
      </c>
      <c r="L1638" s="14">
        <f>IFERROR(IF(OR(J1638=0,K1638=""),"",IF(E1638="Positivo",MIN(MAX(K1638/J1638,0),1.3),MIN(MAX(J1638/K1638,0),1.3))),"") </f>
        <v/>
      </c>
      <c r="M1638" s="14">
        <f>IFERROR(IF(OR(J1638=0,K1638=""),"",IF(E1638="Positivo",MAX(K1638/J1638,0),MAX(J1638/K1638,0))),"") </f>
        <v/>
      </c>
      <c r="N1638" s="5" t="inlineStr">
        <is>
          <t>ENT</t>
        </is>
      </c>
      <c r="O1638" s="5" t="inlineStr">
        <is>
          <t>ENT</t>
        </is>
      </c>
      <c r="P1638" s="5" t="n">
        <v>0</v>
      </c>
      <c r="Q1638" s="5" t="n">
        <v>0</v>
      </c>
      <c r="R1638" s="5" t="inlineStr">
        <is>
          <t>334-2023-12-31</t>
        </is>
      </c>
    </row>
    <row r="1639">
      <c r="A1639" s="31" t="n">
        <v>334</v>
      </c>
      <c r="B1639" s="5" t="inlineStr">
        <is>
          <t>Resultado de la evaluación 360 (evaluación por competencias)</t>
        </is>
      </c>
      <c r="C1639" s="5" t="inlineStr">
        <is>
          <t>GESTIÓN Y DESARROLLO DEL TALENTO HUMANO</t>
        </is>
      </c>
      <c r="D1639" s="5" t="inlineStr">
        <is>
          <t>Anual</t>
        </is>
      </c>
      <c r="E1639" s="5" t="inlineStr">
        <is>
          <t>Positivo</t>
        </is>
      </c>
      <c r="F1639" s="107" t="n">
        <v>45657</v>
      </c>
      <c r="G1639" s="5" t="n">
        <v>2024</v>
      </c>
      <c r="H1639" s="5" t="inlineStr">
        <is>
          <t>Diciembre</t>
        </is>
      </c>
      <c r="I1639" s="6" t="inlineStr">
        <is>
          <t>2024-2</t>
        </is>
      </c>
      <c r="J1639" s="5" t="n">
        <v>88</v>
      </c>
      <c r="K1639" s="96" t="n">
        <v>88.84</v>
      </c>
      <c r="L1639" s="30">
        <f>IFERROR(IF(OR(J1639=0,K1639=""),"",IF(E1639="Positivo",MIN(MAX(K1639/J1639,0),1.3),MIN(MAX(J1639/K1639,0),1.3))),"") </f>
        <v/>
      </c>
      <c r="M1639" s="14">
        <f>IFERROR(IF(OR(J1639=0,K1639=""),"",IF(E1639="Positivo",MAX(K1639/J1639,0),MAX(J1639/K1639,0))),"") </f>
        <v/>
      </c>
      <c r="N1639" s="31" t="inlineStr">
        <is>
          <t>ENT</t>
        </is>
      </c>
      <c r="O1639" s="5" t="inlineStr">
        <is>
          <t>ENT</t>
        </is>
      </c>
      <c r="P1639" s="15" t="n">
        <v>0</v>
      </c>
      <c r="Q1639" s="15" t="n">
        <v>0</v>
      </c>
      <c r="R1639" s="5" t="inlineStr">
        <is>
          <t>334-2024-12-31</t>
        </is>
      </c>
    </row>
    <row r="1640">
      <c r="A1640" s="5" t="n">
        <v>334</v>
      </c>
      <c r="B1640" s="5" t="inlineStr">
        <is>
          <t>Resultado de la evaluación 360 (evaluación por competencias)</t>
        </is>
      </c>
      <c r="C1640" s="5" t="inlineStr">
        <is>
          <t>GESTIÓN Y DESARROLLO DEL TALENTO HUMANO</t>
        </is>
      </c>
      <c r="D1640" s="5" t="inlineStr">
        <is>
          <t>Anual</t>
        </is>
      </c>
      <c r="E1640" s="5" t="inlineStr">
        <is>
          <t>Positivo</t>
        </is>
      </c>
      <c r="F1640" s="107" t="n">
        <v>46022</v>
      </c>
      <c r="G1640" s="5" t="n">
        <v>2025</v>
      </c>
      <c r="H1640" s="5" t="inlineStr">
        <is>
          <t>Diciembre</t>
        </is>
      </c>
      <c r="I1640" s="6" t="inlineStr">
        <is>
          <t>2025-2</t>
        </is>
      </c>
      <c r="J1640" s="5" t="n">
        <v>89</v>
      </c>
      <c r="K1640" s="5" t="n">
        <v>90.09999999999999</v>
      </c>
      <c r="L1640" s="14">
        <f>IFERROR(IF(OR(J1640=0,K1640=""),"",IF(E1640="Positivo",MIN(MAX(K1640/J1640,0),1.3),MIN(MAX(J1640/K1640,0),1.3))),"") </f>
        <v/>
      </c>
      <c r="M1640" s="14">
        <f>IFERROR(IF(OR(J1640=0,K1640=""),"",IF(E1640="Positivo",MAX(K1640/J1640,0),MAX(J1640/K1640,0))),"") </f>
        <v/>
      </c>
      <c r="N1640" s="5" t="inlineStr">
        <is>
          <t>ENT</t>
        </is>
      </c>
      <c r="O1640" s="5" t="inlineStr">
        <is>
          <t>DEC</t>
        </is>
      </c>
      <c r="P1640" s="5" t="n">
        <v>0</v>
      </c>
      <c r="Q1640" s="5" t="n">
        <v>1</v>
      </c>
      <c r="R1640" s="5" t="inlineStr">
        <is>
          <t>334-2025-12-31</t>
        </is>
      </c>
    </row>
    <row r="1641">
      <c r="A1641" s="21" t="n">
        <v>335</v>
      </c>
      <c r="B1641" s="5" t="inlineStr">
        <is>
          <t>Cumplimiento de diagnóstico necesidades de capacitación por área</t>
        </is>
      </c>
      <c r="C1641" s="5" t="inlineStr">
        <is>
          <t>GESTIÓN Y DESARROLLO DEL TALENTO HUMANO</t>
        </is>
      </c>
      <c r="D1641" s="5" t="inlineStr">
        <is>
          <t>Anual</t>
        </is>
      </c>
      <c r="E1641" s="5" t="inlineStr">
        <is>
          <t>Positivo</t>
        </is>
      </c>
      <c r="F1641" s="107" t="n">
        <v>45291</v>
      </c>
      <c r="G1641" s="5" t="n">
        <v>2023</v>
      </c>
      <c r="H1641" s="5" t="inlineStr">
        <is>
          <t>Diciembre</t>
        </is>
      </c>
      <c r="I1641" s="6" t="inlineStr">
        <is>
          <t>2023-2</t>
        </is>
      </c>
      <c r="J1641" s="5" t="n">
        <v>80</v>
      </c>
      <c r="K1641" s="10" t="n">
        <v>93.84999999999999</v>
      </c>
      <c r="L1641" s="14">
        <f>IFERROR(IF(OR(J1641=0,K1641=""),"",IF(E1641="Positivo",MIN(MAX(K1641/J1641,0),1.3),MIN(MAX(J1641/K1641,0),1.3))),"") </f>
        <v/>
      </c>
      <c r="M1641" s="14">
        <f>IFERROR(IF(OR(J1641=0,K1641=""),"",IF(E1641="Positivo",MAX(K1641/J1641,0),MAX(J1641/K1641,0))),"") </f>
        <v/>
      </c>
      <c r="N1641" s="5" t="inlineStr">
        <is>
          <t>%</t>
        </is>
      </c>
      <c r="O1641" s="5" t="inlineStr">
        <is>
          <t>%</t>
        </is>
      </c>
      <c r="P1641" s="15" t="n">
        <v>0</v>
      </c>
      <c r="Q1641" s="15" t="n">
        <v>0</v>
      </c>
      <c r="R1641" s="5" t="inlineStr">
        <is>
          <t>335-2023-12-31</t>
        </is>
      </c>
    </row>
    <row r="1642">
      <c r="A1642" s="21" t="n">
        <v>335</v>
      </c>
      <c r="B1642" s="5" t="inlineStr">
        <is>
          <t>Cumplimiento de diagnóstico necesidades de capacitación por área</t>
        </is>
      </c>
      <c r="C1642" s="5" t="inlineStr">
        <is>
          <t>GESTIÓN Y DESARROLLO DEL TALENTO HUMANO</t>
        </is>
      </c>
      <c r="D1642" s="5" t="inlineStr">
        <is>
          <t>Anual</t>
        </is>
      </c>
      <c r="E1642" s="5" t="inlineStr">
        <is>
          <t>Positivo</t>
        </is>
      </c>
      <c r="F1642" s="107" t="n">
        <v>45657</v>
      </c>
      <c r="G1642" s="5" t="n">
        <v>2024</v>
      </c>
      <c r="H1642" s="5" t="inlineStr">
        <is>
          <t>Diciembre</t>
        </is>
      </c>
      <c r="I1642" s="6" t="inlineStr">
        <is>
          <t>2024-2</t>
        </is>
      </c>
      <c r="J1642" s="5" t="n">
        <v>82</v>
      </c>
      <c r="K1642" s="96" t="n">
        <v>80.95</v>
      </c>
      <c r="L1642" s="14">
        <f>IFERROR(IF(OR(J1642=0,K1642=""),"",IF(E1642="Positivo",MIN(MAX(K1642/J1642,0),1.3),MIN(MAX(J1642/K1642,0),1.3))),"") </f>
        <v/>
      </c>
      <c r="M1642" s="14">
        <f>IFERROR(IF(OR(J1642=0,K1642=""),"",IF(E1642="Positivo",MAX(K1642/J1642,0),MAX(J1642/K1642,0))),"") </f>
        <v/>
      </c>
      <c r="N1642" s="5" t="inlineStr">
        <is>
          <t>%</t>
        </is>
      </c>
      <c r="O1642" s="5" t="inlineStr">
        <is>
          <t>%</t>
        </is>
      </c>
      <c r="P1642" s="15" t="n">
        <v>0</v>
      </c>
      <c r="Q1642" s="15" t="n">
        <v>0</v>
      </c>
      <c r="R1642" s="5" t="inlineStr">
        <is>
          <t>335-2024-12-31</t>
        </is>
      </c>
    </row>
    <row r="1643">
      <c r="A1643" s="21" t="n">
        <v>336</v>
      </c>
      <c r="B1643" s="5" t="inlineStr">
        <is>
          <t>Materiales bibliográficos en formato físico con estado de perdida</t>
        </is>
      </c>
      <c r="C1643" s="5" t="inlineStr">
        <is>
          <t>Biblioteca Institucional</t>
        </is>
      </c>
      <c r="D1643" s="5" t="inlineStr">
        <is>
          <t>Anual</t>
        </is>
      </c>
      <c r="E1643" s="5" t="inlineStr">
        <is>
          <t>Negativo</t>
        </is>
      </c>
      <c r="F1643" s="107" t="n">
        <v>45291</v>
      </c>
      <c r="G1643" s="5" t="n">
        <v>2023</v>
      </c>
      <c r="H1643" s="5" t="inlineStr">
        <is>
          <t>Diciembre</t>
        </is>
      </c>
      <c r="I1643" s="6" t="inlineStr">
        <is>
          <t>2023-2</t>
        </is>
      </c>
      <c r="J1643" s="5" t="n">
        <v>2</v>
      </c>
      <c r="K1643" s="96" t="n">
        <v>1.742198218602321</v>
      </c>
      <c r="L1643" s="14">
        <f>IFERROR(IF(OR(J1643=0,K1643=""),"",IF(E1643="Positivo",MIN(MAX(K1643/J1643,0),1.3),MIN(MAX(J1643/K1643,0),1.3))),"") </f>
        <v/>
      </c>
      <c r="M1643" s="14">
        <f>IFERROR(IF(OR(J1643=0,K1643=""),"",IF(E1643="Positivo",MAX(K1643/J1643,0),MAX(J1643/K1643,0))),"") </f>
        <v/>
      </c>
      <c r="N1643" s="5" t="inlineStr">
        <is>
          <t>%</t>
        </is>
      </c>
      <c r="O1643" s="5" t="inlineStr">
        <is>
          <t>%</t>
        </is>
      </c>
      <c r="P1643" s="15" t="n">
        <v>0</v>
      </c>
      <c r="Q1643" s="15" t="n">
        <v>0</v>
      </c>
      <c r="R1643" s="5" t="inlineStr">
        <is>
          <t>336-2023-12-31</t>
        </is>
      </c>
    </row>
    <row r="1644">
      <c r="A1644" s="21" t="n">
        <v>336</v>
      </c>
      <c r="B1644" s="5" t="inlineStr">
        <is>
          <t>Materiales bibliográficos en formato físico con estado de perdida</t>
        </is>
      </c>
      <c r="C1644" s="5" t="inlineStr">
        <is>
          <t>Biblioteca Institucional</t>
        </is>
      </c>
      <c r="D1644" s="5" t="inlineStr">
        <is>
          <t>Anual</t>
        </is>
      </c>
      <c r="E1644" s="5" t="inlineStr">
        <is>
          <t>Negativo</t>
        </is>
      </c>
      <c r="F1644" s="107" t="n">
        <v>45657</v>
      </c>
      <c r="G1644" s="5" t="n">
        <v>2024</v>
      </c>
      <c r="H1644" s="5" t="inlineStr">
        <is>
          <t>Diciembre</t>
        </is>
      </c>
      <c r="I1644" s="6" t="inlineStr">
        <is>
          <t>2024-2</t>
        </is>
      </c>
      <c r="J1644" s="5" t="n">
        <v>2</v>
      </c>
      <c r="K1644" s="96" t="n">
        <v>0.79</v>
      </c>
      <c r="L1644" s="14">
        <f>IFERROR(IF(OR(J1644=0,K1644=""),"",IF(E1644="Positivo",MIN(MAX(K1644/J1644,0),1.3),MIN(MAX(J1644/K1644,0),1.3))),"") </f>
        <v/>
      </c>
      <c r="M1644" s="14">
        <f>IFERROR(IF(OR(J1644=0,K1644=""),"",IF(E1644="Positivo",MAX(K1644/J1644,0),MAX(J1644/K1644,0))),"") </f>
        <v/>
      </c>
      <c r="N1644" s="5" t="n"/>
      <c r="O1644" s="5" t="n"/>
      <c r="P1644" s="15" t="n">
        <v>0</v>
      </c>
      <c r="Q1644" s="15" t="n">
        <v>0</v>
      </c>
      <c r="R1644" s="5" t="inlineStr">
        <is>
          <t>336-2024-12-31</t>
        </is>
      </c>
    </row>
    <row r="1645">
      <c r="A1645" s="21" t="n">
        <v>336</v>
      </c>
      <c r="B1645" s="5" t="inlineStr">
        <is>
          <t>Materiales bibliográficos en formato físico con estado de perdida</t>
        </is>
      </c>
      <c r="C1645" s="5" t="inlineStr">
        <is>
          <t>Biblioteca Institucional</t>
        </is>
      </c>
      <c r="D1645" s="5" t="inlineStr">
        <is>
          <t>Anual</t>
        </is>
      </c>
      <c r="E1645" s="5" t="inlineStr">
        <is>
          <t>Negativo</t>
        </is>
      </c>
      <c r="F1645" s="107" t="n">
        <v>46022</v>
      </c>
      <c r="G1645" s="5" t="n">
        <v>2025</v>
      </c>
      <c r="H1645" s="5" t="inlineStr">
        <is>
          <t>Diciembre</t>
        </is>
      </c>
      <c r="I1645" s="6" t="inlineStr">
        <is>
          <t>2025-2</t>
        </is>
      </c>
      <c r="J1645" s="5" t="n">
        <v>2</v>
      </c>
      <c r="K1645" s="96" t="n">
        <v>0.36</v>
      </c>
      <c r="L1645" s="14">
        <f>IFERROR(IF(OR(J1645=0,K1645=""),"",IF(E1645="Positivo",MIN(MAX(K1645/J1645,0),1.3),MIN(MAX(J1645/K1645,0),1.3))),"") </f>
        <v/>
      </c>
      <c r="M1645" s="14">
        <f>IFERROR(IF(OR(J1645=0,K1645=""),"",IF(E1645="Positivo",MAX(K1645/J1645,0),MAX(J1645/K1645,0))),"") </f>
        <v/>
      </c>
      <c r="N1645" s="5" t="inlineStr">
        <is>
          <t>%</t>
        </is>
      </c>
      <c r="O1645" s="5" t="inlineStr">
        <is>
          <t>%</t>
        </is>
      </c>
      <c r="P1645" s="15" t="n">
        <v>0</v>
      </c>
      <c r="Q1645" s="15" t="n">
        <v>0</v>
      </c>
      <c r="R1645" s="5" t="inlineStr">
        <is>
          <t>336-2025-12-31</t>
        </is>
      </c>
    </row>
    <row r="1646">
      <c r="A1646" s="26" t="n">
        <v>337</v>
      </c>
      <c r="B1646" s="5" t="inlineStr">
        <is>
          <t>Número de programas con renovación de acreditación en alta calidad - Metrica</t>
        </is>
      </c>
      <c r="C1646" s="5" t="inlineStr">
        <is>
          <t>Autoevaluación de programas académicos</t>
        </is>
      </c>
      <c r="D1646" s="5" t="inlineStr">
        <is>
          <t>Trimestral</t>
        </is>
      </c>
      <c r="E1646" s="5" t="inlineStr">
        <is>
          <t>Positivo</t>
        </is>
      </c>
      <c r="F1646" s="107" t="n">
        <v>45107</v>
      </c>
      <c r="G1646" s="5" t="n">
        <v>2023</v>
      </c>
      <c r="H1646" s="5" t="inlineStr">
        <is>
          <t>Junio</t>
        </is>
      </c>
      <c r="I1646" s="6" t="inlineStr">
        <is>
          <t>2023-1</t>
        </is>
      </c>
      <c r="J1646" s="5" t="n">
        <v>100</v>
      </c>
      <c r="K1646" s="96" t="n">
        <v>0</v>
      </c>
      <c r="L1646" s="14" t="n"/>
      <c r="M1646" s="14" t="n"/>
      <c r="N1646" s="5" t="n"/>
      <c r="O1646" s="5" t="n"/>
      <c r="P1646" s="15" t="n">
        <v>0</v>
      </c>
      <c r="Q1646" s="15" t="n">
        <v>0</v>
      </c>
      <c r="R1646" s="5" t="inlineStr">
        <is>
          <t>337-2023-06-30</t>
        </is>
      </c>
      <c r="S1646" t="inlineStr">
        <is>
          <t>Metrica</t>
        </is>
      </c>
    </row>
    <row r="1647">
      <c r="A1647" s="26" t="n">
        <v>337</v>
      </c>
      <c r="B1647" s="5" t="inlineStr">
        <is>
          <t>Número de programas con renovación de acreditación en alta calidad</t>
        </is>
      </c>
      <c r="C1647" s="5" t="inlineStr">
        <is>
          <t>Autoevaluación de programas académicos</t>
        </is>
      </c>
      <c r="D1647" s="5" t="inlineStr">
        <is>
          <t>Semestral</t>
        </is>
      </c>
      <c r="E1647" s="5" t="inlineStr">
        <is>
          <t>Positivo</t>
        </is>
      </c>
      <c r="F1647" s="107" t="n">
        <v>45291</v>
      </c>
      <c r="G1647" s="5" t="n">
        <v>2023</v>
      </c>
      <c r="H1647" s="5" t="inlineStr">
        <is>
          <t>Diciembre</t>
        </is>
      </c>
      <c r="I1647" s="6" t="inlineStr">
        <is>
          <t>2023-2</t>
        </is>
      </c>
      <c r="J1647" s="5" t="n">
        <v>100</v>
      </c>
      <c r="K1647" s="96" t="n">
        <v>100</v>
      </c>
      <c r="L1647" s="14">
        <f>IFERROR(IF(OR(J1647=0,K1647=""),"",IF(E1647="Positivo",MIN(MAX(K1647/J1647,0),1.3),MIN(MAX(J1647/K1647,0),1.3))),"") </f>
        <v/>
      </c>
      <c r="M1647" s="14">
        <f>IFERROR(IF(OR(J1647=0,K1647=""),"",IF(E1647="Positivo",MAX(K1647/J1647,0),MAX(J1647/K1647,0))),"") </f>
        <v/>
      </c>
      <c r="N1647" s="5" t="n"/>
      <c r="O1647" s="5" t="n"/>
      <c r="P1647" s="15" t="n">
        <v>0</v>
      </c>
      <c r="Q1647" s="15" t="n">
        <v>0</v>
      </c>
      <c r="R1647" s="5" t="inlineStr">
        <is>
          <t>337-2023-12-31</t>
        </is>
      </c>
    </row>
    <row r="1648">
      <c r="A1648" s="26" t="n">
        <v>337</v>
      </c>
      <c r="B1648" s="5" t="inlineStr">
        <is>
          <t>Número de programas con renovación de acreditación en alta calidad</t>
        </is>
      </c>
      <c r="C1648" s="5" t="inlineStr">
        <is>
          <t>Autoevaluación de programas académicos</t>
        </is>
      </c>
      <c r="D1648" s="5" t="inlineStr">
        <is>
          <t>Semestral</t>
        </is>
      </c>
      <c r="E1648" s="5" t="inlineStr">
        <is>
          <t>Positivo</t>
        </is>
      </c>
      <c r="F1648" s="107" t="n">
        <v>45473</v>
      </c>
      <c r="G1648" s="5" t="n">
        <v>2024</v>
      </c>
      <c r="H1648" s="5" t="inlineStr">
        <is>
          <t>Junio</t>
        </is>
      </c>
      <c r="I1648" s="6" t="inlineStr">
        <is>
          <t>2024-1</t>
        </is>
      </c>
      <c r="J1648" s="5" t="n">
        <v>100</v>
      </c>
      <c r="K1648" s="96" t="n">
        <v>100</v>
      </c>
      <c r="L1648" s="14">
        <f>IFERROR(IF(OR(J1648=0,K1648=""),"",IF(E1648="Positivo",MIN(MAX(K1648/J1648,0),1.3),MIN(MAX(J1648/K1648,0),1.3))),"") </f>
        <v/>
      </c>
      <c r="M1648" s="14">
        <f>IFERROR(IF(OR(J1648=0,K1648=""),"",IF(E1648="Positivo",MAX(K1648/J1648,0),MAX(J1648/K1648,0))),"") </f>
        <v/>
      </c>
      <c r="N1648" s="5" t="inlineStr">
        <is>
          <t>ENT</t>
        </is>
      </c>
      <c r="O1648" s="5" t="inlineStr">
        <is>
          <t>ENT</t>
        </is>
      </c>
      <c r="P1648" s="15" t="n">
        <v>0</v>
      </c>
      <c r="Q1648" s="15" t="n">
        <v>0</v>
      </c>
      <c r="R1648" s="5" t="inlineStr">
        <is>
          <t>337-2024-06-30</t>
        </is>
      </c>
    </row>
    <row r="1649">
      <c r="A1649" s="21" t="n">
        <v>337</v>
      </c>
      <c r="B1649" s="5" t="inlineStr">
        <is>
          <t>Número de programas con renovación de acreditación en alta calidad - Metrica</t>
        </is>
      </c>
      <c r="C1649" s="5" t="inlineStr">
        <is>
          <t>Autoevaluación de programas académicos</t>
        </is>
      </c>
      <c r="D1649" s="5" t="inlineStr">
        <is>
          <t>Trimestral</t>
        </is>
      </c>
      <c r="E1649" s="5" t="inlineStr">
        <is>
          <t>Positivo</t>
        </is>
      </c>
      <c r="F1649" s="107" t="n">
        <v>45657</v>
      </c>
      <c r="G1649" s="5" t="n">
        <v>2024</v>
      </c>
      <c r="H1649" s="5" t="inlineStr">
        <is>
          <t>Diciembre</t>
        </is>
      </c>
      <c r="I1649" s="6" t="inlineStr">
        <is>
          <t>2024-2</t>
        </is>
      </c>
      <c r="J1649" s="5" t="n">
        <v>100</v>
      </c>
      <c r="K1649" s="10" t="n">
        <v>0</v>
      </c>
      <c r="L1649" s="14" t="n"/>
      <c r="M1649" s="14" t="n"/>
      <c r="N1649" s="5" t="n"/>
      <c r="O1649" s="5" t="n"/>
      <c r="P1649" s="15" t="n">
        <v>0</v>
      </c>
      <c r="Q1649" s="15" t="n">
        <v>0</v>
      </c>
      <c r="R1649" s="5" t="inlineStr">
        <is>
          <t>337-2024-12-31</t>
        </is>
      </c>
      <c r="S1649" t="inlineStr">
        <is>
          <t>Metrica</t>
        </is>
      </c>
    </row>
    <row r="1650">
      <c r="A1650" s="21" t="n">
        <v>337</v>
      </c>
      <c r="B1650" s="5" t="inlineStr">
        <is>
          <t>Número de programas con renovación de acreditación en alta calidad - Metrica</t>
        </is>
      </c>
      <c r="C1650" s="5" t="inlineStr">
        <is>
          <t>Autoevaluación de programas académicos</t>
        </is>
      </c>
      <c r="D1650" s="5" t="inlineStr">
        <is>
          <t>Trimestral</t>
        </is>
      </c>
      <c r="E1650" s="5" t="inlineStr">
        <is>
          <t>Positivo</t>
        </is>
      </c>
      <c r="F1650" s="107" t="n">
        <v>45838</v>
      </c>
      <c r="G1650" s="5" t="n">
        <v>2025</v>
      </c>
      <c r="H1650" s="5" t="inlineStr">
        <is>
          <t>Junio</t>
        </is>
      </c>
      <c r="I1650" s="6" t="inlineStr">
        <is>
          <t>2025-1</t>
        </is>
      </c>
      <c r="J1650" s="5" t="n">
        <v>100</v>
      </c>
      <c r="K1650" s="10" t="n">
        <v>0</v>
      </c>
      <c r="L1650" s="14" t="n"/>
      <c r="M1650" s="14" t="n"/>
      <c r="N1650" s="5" t="n"/>
      <c r="O1650" s="5" t="n"/>
      <c r="P1650" s="15" t="n">
        <v>0</v>
      </c>
      <c r="Q1650" s="15" t="n">
        <v>0</v>
      </c>
      <c r="R1650" s="5" t="inlineStr">
        <is>
          <t>337-2025-06-30</t>
        </is>
      </c>
      <c r="S1650" t="inlineStr">
        <is>
          <t>Metrica</t>
        </is>
      </c>
    </row>
    <row r="1651">
      <c r="A1651" s="28" t="n">
        <v>337</v>
      </c>
      <c r="B1651" s="5" t="inlineStr">
        <is>
          <t>Número de programas con renovación de acreditación en alta calidad - Metrica</t>
        </is>
      </c>
      <c r="C1651" s="5" t="inlineStr">
        <is>
          <t>Autoevaluación de programas académicos</t>
        </is>
      </c>
      <c r="D1651" s="5" t="inlineStr">
        <is>
          <t>Trimestral</t>
        </is>
      </c>
      <c r="E1651" s="5" t="inlineStr">
        <is>
          <t>Positivo</t>
        </is>
      </c>
      <c r="F1651" s="107" t="n">
        <v>46022</v>
      </c>
      <c r="G1651" s="5" t="n">
        <v>2025</v>
      </c>
      <c r="H1651" s="5" t="inlineStr">
        <is>
          <t>Diciembre</t>
        </is>
      </c>
      <c r="I1651" s="6" t="inlineStr">
        <is>
          <t>2025-2</t>
        </is>
      </c>
      <c r="J1651" s="76" t="n">
        <v>100</v>
      </c>
      <c r="K1651" s="9" t="n">
        <v>0</v>
      </c>
      <c r="L1651" s="14" t="n"/>
      <c r="M1651" s="14" t="n"/>
      <c r="N1651" s="5" t="n"/>
      <c r="O1651" s="5" t="n"/>
      <c r="P1651" s="15" t="n">
        <v>0</v>
      </c>
      <c r="Q1651" s="15" t="n">
        <v>0</v>
      </c>
      <c r="R1651" s="5" t="inlineStr">
        <is>
          <t>337-2025-12-31</t>
        </is>
      </c>
      <c r="S1651" t="inlineStr">
        <is>
          <t>Metrica</t>
        </is>
      </c>
    </row>
    <row r="1652">
      <c r="A1652" s="21" t="n">
        <v>338</v>
      </c>
      <c r="B1652" s="5" t="inlineStr">
        <is>
          <t>Número de programas con condiciones iniciales aprobadas (indicador externo)</t>
        </is>
      </c>
      <c r="C1652" s="5" t="inlineStr">
        <is>
          <t>Autoevaluación de programas académicos</t>
        </is>
      </c>
      <c r="D1652" s="5" t="inlineStr">
        <is>
          <t>Semestral</t>
        </is>
      </c>
      <c r="E1652" s="5" t="inlineStr">
        <is>
          <t>Positivo</t>
        </is>
      </c>
      <c r="F1652" s="106" t="n">
        <v>45107</v>
      </c>
      <c r="G1652" s="5" t="n">
        <v>2023</v>
      </c>
      <c r="H1652" s="5" t="inlineStr">
        <is>
          <t>Junio</t>
        </is>
      </c>
      <c r="I1652" s="6" t="inlineStr">
        <is>
          <t>2023-1</t>
        </is>
      </c>
      <c r="J1652" s="5" t="n">
        <v>100</v>
      </c>
      <c r="K1652" s="9" t="n">
        <v>100</v>
      </c>
      <c r="L1652" s="14">
        <f>IFERROR(IF(OR(J1652=0,K1652=""),"",IF(E1652="Positivo",MIN(MAX(K1652/J1652,0),1.3),MIN(MAX(J1652/K1652,0),1.3))),"") </f>
        <v/>
      </c>
      <c r="M1652" s="14">
        <f>IFERROR(IF(OR(J1652=0,K1652=""),"",IF(E1652="Positivo",MAX(K1652/J1652,0),MAX(J1652/K1652,0))),"") </f>
        <v/>
      </c>
      <c r="N1652" s="5" t="inlineStr">
        <is>
          <t>ENT</t>
        </is>
      </c>
      <c r="O1652" s="5" t="inlineStr">
        <is>
          <t>ENT</t>
        </is>
      </c>
      <c r="P1652" s="15" t="n">
        <v>0</v>
      </c>
      <c r="Q1652" s="15" t="n">
        <v>0</v>
      </c>
      <c r="R1652" s="5" t="inlineStr">
        <is>
          <t>338-2023-06-30</t>
        </is>
      </c>
    </row>
    <row r="1653">
      <c r="A1653" s="21" t="n">
        <v>338</v>
      </c>
      <c r="B1653" s="5" t="inlineStr">
        <is>
          <t>Número de programas con condiciones iniciales aprobadas (indicador externo)- Metrica</t>
        </is>
      </c>
      <c r="C1653" s="5" t="inlineStr">
        <is>
          <t>Autoevaluación de programas académicos</t>
        </is>
      </c>
      <c r="D1653" s="5" t="inlineStr">
        <is>
          <t>Trimestral</t>
        </is>
      </c>
      <c r="E1653" s="5" t="inlineStr">
        <is>
          <t>Positivo</t>
        </is>
      </c>
      <c r="F1653" s="107" t="n">
        <v>45291</v>
      </c>
      <c r="G1653" s="5" t="n">
        <v>2023</v>
      </c>
      <c r="H1653" s="5" t="inlineStr">
        <is>
          <t>Diciembre</t>
        </is>
      </c>
      <c r="I1653" s="6" t="inlineStr">
        <is>
          <t>2023-2</t>
        </is>
      </c>
      <c r="J1653" s="5" t="n">
        <v>100</v>
      </c>
      <c r="K1653" s="10" t="n"/>
      <c r="L1653" s="14" t="n"/>
      <c r="M1653" s="14" t="n"/>
      <c r="N1653" s="5" t="inlineStr">
        <is>
          <t>ENT</t>
        </is>
      </c>
      <c r="O1653" s="5" t="inlineStr">
        <is>
          <t>No Aplica</t>
        </is>
      </c>
      <c r="P1653" s="15" t="n">
        <v>0</v>
      </c>
      <c r="Q1653" s="15" t="n">
        <v>0</v>
      </c>
      <c r="R1653" s="5" t="inlineStr">
        <is>
          <t>338-2023-12-31</t>
        </is>
      </c>
      <c r="S1653" t="inlineStr">
        <is>
          <t>Metrica</t>
        </is>
      </c>
    </row>
    <row r="1654">
      <c r="A1654" s="21" t="n">
        <v>338</v>
      </c>
      <c r="B1654" s="5" t="inlineStr">
        <is>
          <t>Número de programas con condiciones iniciales aprobadas</t>
        </is>
      </c>
      <c r="C1654" s="5" t="inlineStr">
        <is>
          <t>Autoevaluación de programas académicos</t>
        </is>
      </c>
      <c r="D1654" s="5" t="inlineStr">
        <is>
          <t>Semestral</t>
        </is>
      </c>
      <c r="E1654" s="5" t="inlineStr">
        <is>
          <t>Positivo</t>
        </is>
      </c>
      <c r="F1654" s="107" t="n">
        <v>45473</v>
      </c>
      <c r="G1654" s="5" t="n">
        <v>2024</v>
      </c>
      <c r="H1654" s="5" t="inlineStr">
        <is>
          <t>Junio</t>
        </is>
      </c>
      <c r="I1654" s="6" t="inlineStr">
        <is>
          <t>2024-1</t>
        </is>
      </c>
      <c r="J1654" s="5" t="n">
        <v>100</v>
      </c>
      <c r="K1654" s="11" t="n">
        <v>100</v>
      </c>
      <c r="L1654" s="14">
        <f>IFERROR(IF(OR(J1654=0,K1654=""),"",IF(E1654="Positivo",MIN(MAX(K1654/J1654,0),1.3),MIN(MAX(J1654/K1654,0),1.3))),"") </f>
        <v/>
      </c>
      <c r="M1654" s="14">
        <f>IFERROR(IF(OR(J1654=0,K1654=""),"",IF(E1654="Positivo",MAX(K1654/J1654,0),MAX(J1654/K1654,0))),"") </f>
        <v/>
      </c>
      <c r="N1654" s="5" t="inlineStr">
        <is>
          <t>ENT</t>
        </is>
      </c>
      <c r="O1654" s="5" t="inlineStr">
        <is>
          <t>ENT</t>
        </is>
      </c>
      <c r="P1654" s="15" t="n">
        <v>0</v>
      </c>
      <c r="Q1654" s="15" t="n">
        <v>0</v>
      </c>
      <c r="R1654" s="5" t="inlineStr">
        <is>
          <t>338-2024-06-30</t>
        </is>
      </c>
    </row>
    <row r="1655">
      <c r="A1655" s="21" t="n">
        <v>338</v>
      </c>
      <c r="B1655" s="5" t="inlineStr">
        <is>
          <t>Número de programas con condiciones iniciales aprobadas (indicador externo)- Metrica</t>
        </is>
      </c>
      <c r="C1655" s="5" t="inlineStr">
        <is>
          <t>Autoevaluación de programas académicos</t>
        </is>
      </c>
      <c r="D1655" s="5" t="inlineStr">
        <is>
          <t>Trimestral</t>
        </is>
      </c>
      <c r="E1655" s="5" t="inlineStr">
        <is>
          <t>Positivo</t>
        </is>
      </c>
      <c r="F1655" s="107" t="n">
        <v>45657</v>
      </c>
      <c r="G1655" s="5" t="n">
        <v>2024</v>
      </c>
      <c r="H1655" s="5" t="inlineStr">
        <is>
          <t>Diciembre</t>
        </is>
      </c>
      <c r="I1655" s="6" t="inlineStr">
        <is>
          <t>2024-2</t>
        </is>
      </c>
      <c r="J1655" s="5" t="n">
        <v>100</v>
      </c>
      <c r="K1655" s="9" t="n">
        <v>0</v>
      </c>
      <c r="L1655" s="14" t="n"/>
      <c r="M1655" s="14" t="n"/>
      <c r="N1655" s="5" t="inlineStr">
        <is>
          <t>ENT</t>
        </is>
      </c>
      <c r="O1655" s="11" t="inlineStr">
        <is>
          <t>ENT</t>
        </is>
      </c>
      <c r="P1655" s="15" t="n">
        <v>0</v>
      </c>
      <c r="Q1655" s="15" t="n">
        <v>0</v>
      </c>
      <c r="R1655" s="5" t="inlineStr">
        <is>
          <t>338-2024-12-31</t>
        </is>
      </c>
      <c r="S1655" t="inlineStr">
        <is>
          <t>Metrica</t>
        </is>
      </c>
    </row>
    <row r="1656">
      <c r="A1656" s="21" t="n">
        <v>338</v>
      </c>
      <c r="B1656" s="5" t="inlineStr">
        <is>
          <t>Número de programas con condiciones iniciales aprobadas</t>
        </is>
      </c>
      <c r="C1656" s="5" t="inlineStr">
        <is>
          <t>Autoevaluación de programas académicos</t>
        </is>
      </c>
      <c r="D1656" s="5" t="inlineStr">
        <is>
          <t>Semestral</t>
        </is>
      </c>
      <c r="E1656" s="5" t="inlineStr">
        <is>
          <t>Positivo</t>
        </is>
      </c>
      <c r="F1656" s="106" t="n">
        <v>45838</v>
      </c>
      <c r="G1656" s="5" t="n">
        <v>2025</v>
      </c>
      <c r="H1656" s="5" t="inlineStr">
        <is>
          <t>Junio</t>
        </is>
      </c>
      <c r="I1656" s="6" t="inlineStr">
        <is>
          <t>2025-1</t>
        </is>
      </c>
      <c r="J1656" s="5" t="n">
        <v>100</v>
      </c>
      <c r="K1656" s="9" t="n">
        <v>100</v>
      </c>
      <c r="L1656" s="14">
        <f>IFERROR(IF(OR(J1656=0,K1656=""),"",IF(E1656="Positivo",MIN(MAX(K1656/J1656,0),1.3),MIN(MAX(J1656/K1656,0),1.3))),"") </f>
        <v/>
      </c>
      <c r="M1656" s="14">
        <f>IFERROR(IF(OR(J1656=0,K1656=""),"",IF(E1656="Positivo",MAX(K1656/J1656,0),MAX(J1656/K1656,0))),"") </f>
        <v/>
      </c>
      <c r="N1656" s="5" t="inlineStr">
        <is>
          <t>ENT</t>
        </is>
      </c>
      <c r="O1656" s="11" t="inlineStr">
        <is>
          <t>ENT</t>
        </is>
      </c>
      <c r="P1656" s="15" t="n">
        <v>0</v>
      </c>
      <c r="Q1656" s="15" t="n">
        <v>0</v>
      </c>
      <c r="R1656" s="5" t="inlineStr">
        <is>
          <t>338-2025-06-30</t>
        </is>
      </c>
    </row>
    <row r="1657">
      <c r="A1657" s="21" t="n">
        <v>338</v>
      </c>
      <c r="B1657" s="5" t="inlineStr">
        <is>
          <t>Número de programas con condiciones iniciales aprobadas (indicador externo)- Metrica</t>
        </is>
      </c>
      <c r="C1657" s="5" t="inlineStr">
        <is>
          <t>Autoevaluación de programas académicos</t>
        </is>
      </c>
      <c r="D1657" s="5" t="inlineStr">
        <is>
          <t>Trimestral</t>
        </is>
      </c>
      <c r="E1657" s="5" t="inlineStr">
        <is>
          <t>Positivo</t>
        </is>
      </c>
      <c r="F1657" s="107" t="n">
        <v>46022</v>
      </c>
      <c r="G1657" s="5" t="n">
        <v>2025</v>
      </c>
      <c r="H1657" s="5" t="inlineStr">
        <is>
          <t>Diciembre</t>
        </is>
      </c>
      <c r="I1657" s="6" t="inlineStr">
        <is>
          <t>2025-2</t>
        </is>
      </c>
      <c r="J1657" s="5" t="n">
        <v>100</v>
      </c>
      <c r="K1657" s="9" t="n">
        <v>100</v>
      </c>
      <c r="L1657" s="14" t="n"/>
      <c r="M1657" s="14" t="n"/>
      <c r="N1657" s="5" t="inlineStr">
        <is>
          <t>ENT</t>
        </is>
      </c>
      <c r="O1657" s="11" t="inlineStr">
        <is>
          <t>ENT</t>
        </is>
      </c>
      <c r="P1657" s="15" t="n">
        <v>0</v>
      </c>
      <c r="Q1657" s="15" t="n">
        <v>0</v>
      </c>
      <c r="R1657" s="5" t="inlineStr">
        <is>
          <t>338-2025-12-31</t>
        </is>
      </c>
      <c r="S1657" t="inlineStr">
        <is>
          <t>Metrica</t>
        </is>
      </c>
    </row>
    <row r="1658">
      <c r="A1658" s="21" t="n">
        <v>339</v>
      </c>
      <c r="B1658" s="5" t="inlineStr">
        <is>
          <t>Programas acreditables acreditados Sede Bogotá</t>
        </is>
      </c>
      <c r="C1658" s="5" t="inlineStr">
        <is>
          <t>Autoevaluación institucional</t>
        </is>
      </c>
      <c r="D1658" s="5" t="inlineStr">
        <is>
          <t>Anual</t>
        </is>
      </c>
      <c r="E1658" s="5" t="inlineStr">
        <is>
          <t>Positivo</t>
        </is>
      </c>
      <c r="F1658" s="107" t="n">
        <v>45291</v>
      </c>
      <c r="G1658" s="5" t="n">
        <v>2023</v>
      </c>
      <c r="H1658" s="5" t="inlineStr">
        <is>
          <t>Diciembre</t>
        </is>
      </c>
      <c r="I1658" s="6" t="inlineStr">
        <is>
          <t>2023-2</t>
        </is>
      </c>
      <c r="J1658" s="5" t="n">
        <v>30</v>
      </c>
      <c r="K1658" s="9" t="n">
        <v>28.57142857142857</v>
      </c>
      <c r="L1658" s="14">
        <f>IFERROR(IF(OR(J1658=0,K1658=""),"",IF(E1658="Positivo",MIN(MAX(K1658/J1658,0),1.3),MIN(MAX(J1658/K1658,0),1.3))),"") </f>
        <v/>
      </c>
      <c r="M1658" s="14">
        <f>IFERROR(IF(OR(J1658=0,K1658=""),"",IF(E1658="Positivo",MAX(K1658/J1658,0),MAX(J1658/K1658,0))),"") </f>
        <v/>
      </c>
      <c r="N1658" s="5" t="inlineStr">
        <is>
          <t>%</t>
        </is>
      </c>
      <c r="O1658" s="11" t="inlineStr">
        <is>
          <t>%</t>
        </is>
      </c>
      <c r="P1658" s="15" t="n">
        <v>2</v>
      </c>
      <c r="Q1658" s="15" t="n">
        <v>2</v>
      </c>
      <c r="R1658" s="5" t="inlineStr">
        <is>
          <t>339-2023-12-31</t>
        </is>
      </c>
    </row>
    <row r="1659">
      <c r="A1659" s="21" t="n">
        <v>339</v>
      </c>
      <c r="B1659" s="5" t="inlineStr">
        <is>
          <t>Programas acreditables acreditados Sede Bogotá</t>
        </is>
      </c>
      <c r="C1659" s="5" t="inlineStr">
        <is>
          <t>Autoevaluación institucional</t>
        </is>
      </c>
      <c r="D1659" s="5" t="inlineStr">
        <is>
          <t>Anual</t>
        </is>
      </c>
      <c r="E1659" s="5" t="inlineStr">
        <is>
          <t>Positivo</t>
        </is>
      </c>
      <c r="F1659" s="107" t="n">
        <v>45657</v>
      </c>
      <c r="G1659" s="5" t="n">
        <v>2024</v>
      </c>
      <c r="H1659" s="5" t="inlineStr">
        <is>
          <t>Diciembre</t>
        </is>
      </c>
      <c r="I1659" s="6" t="inlineStr">
        <is>
          <t>2024-2</t>
        </is>
      </c>
      <c r="J1659" s="5" t="n">
        <v>30</v>
      </c>
      <c r="K1659" s="9" t="n">
        <v>30.3</v>
      </c>
      <c r="L1659" s="14">
        <f>IFERROR(IF(OR(J1659=0,K1659=""),"",IF(E1659="Positivo",MIN(MAX(K1659/J1659,0),1.3),MIN(MAX(J1659/K1659,0),1.3))),"") </f>
        <v/>
      </c>
      <c r="M1659" s="14">
        <f>IFERROR(IF(OR(J1659=0,K1659=""),"",IF(E1659="Positivo",MAX(K1659/J1659,0),MAX(J1659/K1659,0))),"") </f>
        <v/>
      </c>
      <c r="N1659" s="5" t="inlineStr">
        <is>
          <t>%</t>
        </is>
      </c>
      <c r="O1659" s="11" t="inlineStr">
        <is>
          <t>%</t>
        </is>
      </c>
      <c r="P1659" s="15" t="n">
        <v>2</v>
      </c>
      <c r="Q1659" s="15" t="n">
        <v>2</v>
      </c>
      <c r="R1659" s="5" t="inlineStr">
        <is>
          <t>339-2024-12-31</t>
        </is>
      </c>
    </row>
    <row r="1660">
      <c r="A1660" s="21" t="n">
        <v>339</v>
      </c>
      <c r="B1660" s="5" t="inlineStr">
        <is>
          <t>Programas acreditables acreditados Sede Bogotá</t>
        </is>
      </c>
      <c r="C1660" s="5" t="inlineStr">
        <is>
          <t>Autoevaluación institucional</t>
        </is>
      </c>
      <c r="D1660" s="5" t="inlineStr">
        <is>
          <t>Anual</t>
        </is>
      </c>
      <c r="E1660" s="5" t="inlineStr">
        <is>
          <t>Positivo</t>
        </is>
      </c>
      <c r="F1660" s="107" t="n">
        <v>46022</v>
      </c>
      <c r="G1660" s="5" t="n">
        <v>2025</v>
      </c>
      <c r="H1660" s="5" t="inlineStr">
        <is>
          <t>Diciembre</t>
        </is>
      </c>
      <c r="I1660" s="6" t="inlineStr">
        <is>
          <t>2025-2</t>
        </is>
      </c>
      <c r="J1660" s="5" t="n">
        <v>30</v>
      </c>
      <c r="K1660" s="9" t="n">
        <v>35.29</v>
      </c>
      <c r="L1660" s="14">
        <f>IFERROR(IF(OR(J1660=0,K1660=""),"",IF(E1660="Positivo",MIN(MAX(K1660/J1660,0),1.3),MIN(MAX(J1660/K1660,0),1.3))),"") </f>
        <v/>
      </c>
      <c r="M1660" s="14">
        <f>IFERROR(IF(OR(J1660=0,K1660=""),"",IF(E1660="Positivo",MAX(K1660/J1660,0),MAX(J1660/K1660,0))),"") </f>
        <v/>
      </c>
      <c r="N1660" s="5" t="inlineStr">
        <is>
          <t>%</t>
        </is>
      </c>
      <c r="O1660" s="11" t="inlineStr">
        <is>
          <t>%</t>
        </is>
      </c>
      <c r="P1660" s="15" t="n">
        <v>0</v>
      </c>
      <c r="Q1660" s="15" t="n">
        <v>1</v>
      </c>
      <c r="R1660" s="5" t="inlineStr">
        <is>
          <t>339-2025-12-31</t>
        </is>
      </c>
    </row>
    <row r="1661">
      <c r="A1661" s="21" t="n">
        <v>340</v>
      </c>
      <c r="B1661" s="5" t="inlineStr">
        <is>
          <t>Cumplimiento cronograma revisiones locativas</t>
        </is>
      </c>
      <c r="C1661" s="5" t="inlineStr">
        <is>
          <t>Gestión Infraestructura Física</t>
        </is>
      </c>
      <c r="D1661" s="5" t="inlineStr">
        <is>
          <t>Trimestral</t>
        </is>
      </c>
      <c r="E1661" s="5" t="inlineStr">
        <is>
          <t>Positivo</t>
        </is>
      </c>
      <c r="F1661" s="107" t="n">
        <v>45016</v>
      </c>
      <c r="G1661" s="5" t="n">
        <v>2023</v>
      </c>
      <c r="H1661" s="5" t="inlineStr">
        <is>
          <t>Marzo</t>
        </is>
      </c>
      <c r="I1661" s="6" t="inlineStr">
        <is>
          <t>2023-1</t>
        </is>
      </c>
      <c r="J1661" s="5" t="n">
        <v>90</v>
      </c>
      <c r="K1661" s="9" t="n">
        <v>100</v>
      </c>
      <c r="L1661" s="14">
        <f>IFERROR(IF(OR(J1661=0,K1661=""),"",IF(E1661="Positivo",MIN(MAX(K1661/J1661,0),1.3),MIN(MAX(J1661/K1661,0),1.3))),"") </f>
        <v/>
      </c>
      <c r="M1661" s="14">
        <f>IFERROR(IF(OR(J1661=0,K1661=""),"",IF(E1661="Positivo",MAX(K1661/J1661,0),MAX(J1661/K1661,0))),"") </f>
        <v/>
      </c>
      <c r="N1661" s="5" t="inlineStr">
        <is>
          <t>%</t>
        </is>
      </c>
      <c r="O1661" s="11" t="inlineStr">
        <is>
          <t>%</t>
        </is>
      </c>
      <c r="P1661" s="15" t="n">
        <v>0</v>
      </c>
      <c r="Q1661" s="15" t="n">
        <v>0</v>
      </c>
      <c r="R1661" s="5" t="inlineStr">
        <is>
          <t>340-2023-03-31</t>
        </is>
      </c>
    </row>
    <row r="1662">
      <c r="A1662" s="21" t="n">
        <v>340</v>
      </c>
      <c r="B1662" s="5" t="inlineStr">
        <is>
          <t>Cumplimiento cronograma revisiones locativas</t>
        </is>
      </c>
      <c r="C1662" s="5" t="inlineStr">
        <is>
          <t>Gestión Infraestructura Física</t>
        </is>
      </c>
      <c r="D1662" s="5" t="inlineStr">
        <is>
          <t>Trimestral</t>
        </is>
      </c>
      <c r="E1662" s="5" t="inlineStr">
        <is>
          <t>Positivo</t>
        </is>
      </c>
      <c r="F1662" s="107" t="n">
        <v>45107</v>
      </c>
      <c r="G1662" s="5" t="n">
        <v>2023</v>
      </c>
      <c r="H1662" s="5" t="inlineStr">
        <is>
          <t>Junio</t>
        </is>
      </c>
      <c r="I1662" s="6" t="inlineStr">
        <is>
          <t>2023-1</t>
        </is>
      </c>
      <c r="J1662" s="5" t="n">
        <v>90</v>
      </c>
      <c r="K1662" s="9" t="n">
        <v>100</v>
      </c>
      <c r="L1662" s="14">
        <f>IFERROR(IF(OR(J1662=0,K1662=""),"",IF(E1662="Positivo",MIN(MAX(K1662/J1662,0),1.3),MIN(MAX(J1662/K1662,0),1.3))),"") </f>
        <v/>
      </c>
      <c r="M1662" s="14">
        <f>IFERROR(IF(OR(J1662=0,K1662=""),"",IF(E1662="Positivo",MAX(K1662/J1662,0),MAX(J1662/K1662,0))),"") </f>
        <v/>
      </c>
      <c r="N1662" s="5" t="inlineStr">
        <is>
          <t>%</t>
        </is>
      </c>
      <c r="O1662" s="11" t="inlineStr">
        <is>
          <t>%</t>
        </is>
      </c>
      <c r="P1662" s="15" t="n">
        <v>0</v>
      </c>
      <c r="Q1662" s="15" t="n">
        <v>0</v>
      </c>
      <c r="R1662" s="5" t="inlineStr">
        <is>
          <t>340-2023-06-30</t>
        </is>
      </c>
    </row>
    <row r="1663">
      <c r="A1663" s="21" t="n">
        <v>340</v>
      </c>
      <c r="B1663" s="5" t="inlineStr">
        <is>
          <t>Cumplimiento cronograma revisiones locativas</t>
        </is>
      </c>
      <c r="C1663" s="5" t="inlineStr">
        <is>
          <t>Gestión Infraestructura Física</t>
        </is>
      </c>
      <c r="D1663" s="5" t="inlineStr">
        <is>
          <t>Trimestral</t>
        </is>
      </c>
      <c r="E1663" s="5" t="inlineStr">
        <is>
          <t>Positivo</t>
        </is>
      </c>
      <c r="F1663" s="107" t="n">
        <v>45199</v>
      </c>
      <c r="G1663" s="5" t="n">
        <v>2023</v>
      </c>
      <c r="H1663" s="5" t="inlineStr">
        <is>
          <t>Septiembre</t>
        </is>
      </c>
      <c r="I1663" s="6" t="inlineStr">
        <is>
          <t>2023-2</t>
        </is>
      </c>
      <c r="J1663" s="5" t="n">
        <v>90</v>
      </c>
      <c r="K1663" s="10" t="n">
        <v>100</v>
      </c>
      <c r="L1663" s="14">
        <f>IFERROR(IF(OR(J1663=0,K1663=""),"",IF(E1663="Positivo",MIN(MAX(K1663/J1663,0),1.3),MIN(MAX(J1663/K1663,0),1.3))),"") </f>
        <v/>
      </c>
      <c r="M1663" s="14">
        <f>IFERROR(IF(OR(J1663=0,K1663=""),"",IF(E1663="Positivo",MAX(K1663/J1663,0),MAX(J1663/K1663,0))),"") </f>
        <v/>
      </c>
      <c r="N1663" s="5" t="inlineStr">
        <is>
          <t>%</t>
        </is>
      </c>
      <c r="O1663" s="5" t="inlineStr">
        <is>
          <t>%</t>
        </is>
      </c>
      <c r="P1663" s="15" t="n">
        <v>0</v>
      </c>
      <c r="Q1663" s="15" t="n">
        <v>0</v>
      </c>
      <c r="R1663" s="5" t="inlineStr">
        <is>
          <t>340-2023-09-30</t>
        </is>
      </c>
    </row>
    <row r="1664">
      <c r="A1664" s="21" t="n">
        <v>340</v>
      </c>
      <c r="B1664" s="5" t="inlineStr">
        <is>
          <t>Cumplimiento cronograma revisiones locativas</t>
        </is>
      </c>
      <c r="C1664" s="5" t="inlineStr">
        <is>
          <t>Gestión Infraestructura Física</t>
        </is>
      </c>
      <c r="D1664" s="5" t="inlineStr">
        <is>
          <t>Trimestral</t>
        </is>
      </c>
      <c r="E1664" s="5" t="inlineStr">
        <is>
          <t>Positivo</t>
        </is>
      </c>
      <c r="F1664" s="107" t="n">
        <v>45291</v>
      </c>
      <c r="G1664" s="5" t="n">
        <v>2023</v>
      </c>
      <c r="H1664" s="5" t="inlineStr">
        <is>
          <t>Diciembre</t>
        </is>
      </c>
      <c r="I1664" s="6" t="inlineStr">
        <is>
          <t>2023-2</t>
        </is>
      </c>
      <c r="J1664" s="5" t="n">
        <v>90</v>
      </c>
      <c r="K1664" s="10" t="n">
        <v>100</v>
      </c>
      <c r="L1664" s="14">
        <f>IFERROR(IF(OR(J1664=0,K1664=""),"",IF(E1664="Positivo",MIN(MAX(K1664/J1664,0),1.3),MIN(MAX(J1664/K1664,0),1.3))),"") </f>
        <v/>
      </c>
      <c r="M1664" s="14">
        <f>IFERROR(IF(OR(J1664=0,K1664=""),"",IF(E1664="Positivo",MAX(K1664/J1664,0),MAX(J1664/K1664,0))),"") </f>
        <v/>
      </c>
      <c r="N1664" s="5" t="inlineStr">
        <is>
          <t>%</t>
        </is>
      </c>
      <c r="O1664" s="5" t="inlineStr">
        <is>
          <t>%</t>
        </is>
      </c>
      <c r="P1664" s="15" t="n">
        <v>0</v>
      </c>
      <c r="Q1664" s="15" t="n">
        <v>0</v>
      </c>
      <c r="R1664" s="5" t="inlineStr">
        <is>
          <t>340-2023-12-31</t>
        </is>
      </c>
    </row>
    <row r="1665">
      <c r="A1665" s="21" t="n">
        <v>340</v>
      </c>
      <c r="B1665" s="5" t="inlineStr">
        <is>
          <t>Cumplimiento cronograma revisiones locativas</t>
        </is>
      </c>
      <c r="C1665" s="5" t="inlineStr">
        <is>
          <t>Gestión Infraestructura Física</t>
        </is>
      </c>
      <c r="D1665" s="5" t="inlineStr">
        <is>
          <t>Trimestral</t>
        </is>
      </c>
      <c r="E1665" s="5" t="inlineStr">
        <is>
          <t>Positivo</t>
        </is>
      </c>
      <c r="F1665" s="107" t="n">
        <v>45382</v>
      </c>
      <c r="G1665" s="5" t="n">
        <v>2024</v>
      </c>
      <c r="H1665" s="5" t="inlineStr">
        <is>
          <t>Marzo</t>
        </is>
      </c>
      <c r="I1665" s="6" t="inlineStr">
        <is>
          <t>2024-1</t>
        </is>
      </c>
      <c r="J1665" s="5" t="n">
        <v>95</v>
      </c>
      <c r="K1665" s="10" t="n">
        <v>100</v>
      </c>
      <c r="L1665" s="14">
        <f>IFERROR(IF(OR(J1665=0,K1665=""),"",IF(E1665="Positivo",MIN(MAX(K1665/J1665,0),1.3),MIN(MAX(J1665/K1665,0),1.3))),"") </f>
        <v/>
      </c>
      <c r="M1665" s="14">
        <f>IFERROR(IF(OR(J1665=0,K1665=""),"",IF(E1665="Positivo",MAX(K1665/J1665,0),MAX(J1665/K1665,0))),"") </f>
        <v/>
      </c>
      <c r="N1665" s="5" t="inlineStr">
        <is>
          <t>%</t>
        </is>
      </c>
      <c r="O1665" s="5" t="inlineStr">
        <is>
          <t>%</t>
        </is>
      </c>
      <c r="P1665" s="15" t="n">
        <v>0</v>
      </c>
      <c r="Q1665" s="15" t="n">
        <v>0</v>
      </c>
      <c r="R1665" s="5" t="inlineStr">
        <is>
          <t>340-2024-03-31</t>
        </is>
      </c>
    </row>
    <row r="1666">
      <c r="A1666" s="21" t="n">
        <v>340</v>
      </c>
      <c r="B1666" s="5" t="inlineStr">
        <is>
          <t>Cumplimiento cronograma revisiones locativas</t>
        </is>
      </c>
      <c r="C1666" s="5" t="inlineStr">
        <is>
          <t>Gestión Infraestructura Física</t>
        </is>
      </c>
      <c r="D1666" s="5" t="inlineStr">
        <is>
          <t>Trimestral</t>
        </is>
      </c>
      <c r="E1666" s="5" t="inlineStr">
        <is>
          <t>Positivo</t>
        </is>
      </c>
      <c r="F1666" s="107" t="n">
        <v>45473</v>
      </c>
      <c r="G1666" s="5" t="n">
        <v>2024</v>
      </c>
      <c r="H1666" s="5" t="inlineStr">
        <is>
          <t>Junio</t>
        </is>
      </c>
      <c r="I1666" s="6" t="inlineStr">
        <is>
          <t>2024-1</t>
        </is>
      </c>
      <c r="J1666" s="5" t="n">
        <v>95</v>
      </c>
      <c r="K1666" s="10" t="n">
        <v>100</v>
      </c>
      <c r="L1666" s="14">
        <f>IFERROR(IF(OR(J1666=0,K1666=""),"",IF(E1666="Positivo",MIN(MAX(K1666/J1666,0),1.3),MIN(MAX(J1666/K1666,0),1.3))),"") </f>
        <v/>
      </c>
      <c r="M1666" s="14">
        <f>IFERROR(IF(OR(J1666=0,K1666=""),"",IF(E1666="Positivo",MAX(K1666/J1666,0),MAX(J1666/K1666,0))),"") </f>
        <v/>
      </c>
      <c r="N1666" s="5" t="inlineStr">
        <is>
          <t>%</t>
        </is>
      </c>
      <c r="O1666" s="5" t="inlineStr">
        <is>
          <t>%</t>
        </is>
      </c>
      <c r="P1666" s="15" t="n">
        <v>0</v>
      </c>
      <c r="Q1666" s="15" t="n">
        <v>0</v>
      </c>
      <c r="R1666" s="5" t="inlineStr">
        <is>
          <t>340-2024-06-30</t>
        </is>
      </c>
    </row>
    <row r="1667">
      <c r="A1667" s="21" t="n">
        <v>340</v>
      </c>
      <c r="B1667" s="5" t="inlineStr">
        <is>
          <t>Cumplimiento cronograma revisiones locativas</t>
        </is>
      </c>
      <c r="C1667" s="5" t="inlineStr">
        <is>
          <t>Gestión Infraestructura Física</t>
        </is>
      </c>
      <c r="D1667" s="5" t="inlineStr">
        <is>
          <t>Trimestral</t>
        </is>
      </c>
      <c r="E1667" s="5" t="inlineStr">
        <is>
          <t>Positivo</t>
        </is>
      </c>
      <c r="F1667" s="107" t="n">
        <v>45565</v>
      </c>
      <c r="G1667" s="5" t="n">
        <v>2024</v>
      </c>
      <c r="H1667" s="5" t="inlineStr">
        <is>
          <t>Septiembre</t>
        </is>
      </c>
      <c r="I1667" s="6" t="inlineStr">
        <is>
          <t>2024-2</t>
        </is>
      </c>
      <c r="J1667" s="5" t="n">
        <v>95</v>
      </c>
      <c r="K1667" s="10" t="n">
        <v>100</v>
      </c>
      <c r="L1667" s="14">
        <f>IFERROR(IF(OR(J1667=0,K1667=""),"",IF(E1667="Positivo",MIN(MAX(K1667/J1667,0),1.3),MIN(MAX(J1667/K1667,0),1.3))),"") </f>
        <v/>
      </c>
      <c r="M1667" s="14">
        <f>IFERROR(IF(OR(J1667=0,K1667=""),"",IF(E1667="Positivo",MAX(K1667/J1667,0),MAX(J1667/K1667,0))),"") </f>
        <v/>
      </c>
      <c r="N1667" s="5" t="inlineStr">
        <is>
          <t>%</t>
        </is>
      </c>
      <c r="O1667" s="5" t="inlineStr">
        <is>
          <t>%</t>
        </is>
      </c>
      <c r="P1667" s="15" t="n">
        <v>0</v>
      </c>
      <c r="Q1667" s="15" t="n">
        <v>0</v>
      </c>
      <c r="R1667" s="5" t="inlineStr">
        <is>
          <t>340-2024-09-30</t>
        </is>
      </c>
    </row>
    <row r="1668">
      <c r="A1668" s="21" t="n">
        <v>340</v>
      </c>
      <c r="B1668" s="5" t="inlineStr">
        <is>
          <t>Cumplimiento cronograma revisiones locativas</t>
        </is>
      </c>
      <c r="C1668" s="5" t="inlineStr">
        <is>
          <t>Gestión Infraestructura Física</t>
        </is>
      </c>
      <c r="D1668" s="5" t="inlineStr">
        <is>
          <t>Trimestral</t>
        </is>
      </c>
      <c r="E1668" s="5" t="inlineStr">
        <is>
          <t>Positivo</t>
        </is>
      </c>
      <c r="F1668" s="107" t="n">
        <v>45657</v>
      </c>
      <c r="G1668" s="5" t="n">
        <v>2024</v>
      </c>
      <c r="H1668" s="5" t="inlineStr">
        <is>
          <t>Diciembre</t>
        </is>
      </c>
      <c r="I1668" s="6" t="inlineStr">
        <is>
          <t>2024-2</t>
        </is>
      </c>
      <c r="J1668" s="5" t="n">
        <v>95</v>
      </c>
      <c r="K1668" s="10" t="n">
        <v>100</v>
      </c>
      <c r="L1668" s="14">
        <f>IFERROR(IF(OR(J1668=0,K1668=""),"",IF(E1668="Positivo",MIN(MAX(K1668/J1668,0),1.3),MIN(MAX(J1668/K1668,0),1.3))),"") </f>
        <v/>
      </c>
      <c r="M1668" s="14">
        <f>IFERROR(IF(OR(J1668=0,K1668=""),"",IF(E1668="Positivo",MAX(K1668/J1668,0),MAX(J1668/K1668,0))),"") </f>
        <v/>
      </c>
      <c r="N1668" s="5" t="inlineStr">
        <is>
          <t>%</t>
        </is>
      </c>
      <c r="O1668" s="5" t="inlineStr">
        <is>
          <t>%</t>
        </is>
      </c>
      <c r="P1668" s="15" t="n">
        <v>0</v>
      </c>
      <c r="Q1668" s="15" t="n">
        <v>0</v>
      </c>
      <c r="R1668" s="5" t="inlineStr">
        <is>
          <t>340-2024-12-31</t>
        </is>
      </c>
    </row>
    <row r="1669">
      <c r="A1669" s="21" t="n">
        <v>341</v>
      </c>
      <c r="B1669" s="5" t="inlineStr">
        <is>
          <t>Monto total de ahorro en gestión de abastecimiento</t>
        </is>
      </c>
      <c r="C1669" s="5" t="inlineStr">
        <is>
          <t>GESTIÓN DE ABASTECIMIENTO</t>
        </is>
      </c>
      <c r="D1669" s="5" t="inlineStr">
        <is>
          <t>Semestral</t>
        </is>
      </c>
      <c r="E1669" s="5" t="inlineStr">
        <is>
          <t>Positivo</t>
        </is>
      </c>
      <c r="F1669" s="106" t="n">
        <v>45107</v>
      </c>
      <c r="G1669" s="5" t="n">
        <v>2023</v>
      </c>
      <c r="H1669" s="5" t="inlineStr">
        <is>
          <t>Junio</t>
        </is>
      </c>
      <c r="I1669" s="6" t="inlineStr">
        <is>
          <t>2023-1</t>
        </is>
      </c>
      <c r="J1669" s="5" t="n">
        <v>100</v>
      </c>
      <c r="K1669" s="5" t="n">
        <v>123.86966666667</v>
      </c>
      <c r="L1669" s="14">
        <f>IFERROR(IF(OR(J1669=0,K1669=""),"",IF(E1669="Positivo",MIN(MAX(K1669/J1669,0),1.3),MIN(MAX(J1669/K1669,0),1.3))),"") </f>
        <v/>
      </c>
      <c r="M1669" s="14">
        <f>IFERROR(IF(OR(J1669=0,K1669=""),"",IF(E1669="Positivo",MAX(K1669/J1669,0),MAX(J1669/K1669,0))),"") </f>
        <v/>
      </c>
      <c r="N1669" s="5" t="inlineStr">
        <is>
          <t>$</t>
        </is>
      </c>
      <c r="O1669" s="5" t="inlineStr">
        <is>
          <t>$</t>
        </is>
      </c>
      <c r="P1669" s="15" t="n">
        <v>0</v>
      </c>
      <c r="Q1669" s="15" t="n">
        <v>0</v>
      </c>
      <c r="R1669" s="5" t="inlineStr">
        <is>
          <t>341-2023-06-30</t>
        </is>
      </c>
    </row>
    <row r="1670">
      <c r="A1670" s="5" t="n">
        <v>341</v>
      </c>
      <c r="B1670" s="5" t="inlineStr">
        <is>
          <t>Monto total de ahorro en gestión de abastecimiento</t>
        </is>
      </c>
      <c r="C1670" s="5" t="inlineStr">
        <is>
          <t>GESTIÓN DE ABASTECIMIENTO</t>
        </is>
      </c>
      <c r="D1670" s="5" t="inlineStr">
        <is>
          <t>Semestral</t>
        </is>
      </c>
      <c r="E1670" s="5" t="inlineStr">
        <is>
          <t>Positivo</t>
        </is>
      </c>
      <c r="F1670" s="107" t="n">
        <v>45291</v>
      </c>
      <c r="G1670" s="5" t="n">
        <v>2023</v>
      </c>
      <c r="H1670" s="5" t="inlineStr">
        <is>
          <t>Diciembre</t>
        </is>
      </c>
      <c r="I1670" s="6" t="inlineStr">
        <is>
          <t>2023-2</t>
        </is>
      </c>
      <c r="J1670" s="5" t="n">
        <v>100</v>
      </c>
      <c r="K1670" s="5" t="n">
        <v>130.57</v>
      </c>
      <c r="L1670" s="14">
        <f>IFERROR(IF(OR(J1670=0,K1670=""),"",IF(E1670="Positivo",MIN(MAX(K1670/J1670,0),1.3),MIN(MAX(J1670/K1670,0),1.3))),"") </f>
        <v/>
      </c>
      <c r="M1670" s="14">
        <f>IFERROR(IF(OR(J1670=0,K1670=""),"",IF(E1670="Positivo",MAX(K1670/J1670,0),MAX(J1670/K1670,0))),"") </f>
        <v/>
      </c>
      <c r="N1670" s="5" t="inlineStr">
        <is>
          <t>$</t>
        </is>
      </c>
      <c r="O1670" s="5" t="inlineStr">
        <is>
          <t>$</t>
        </is>
      </c>
      <c r="P1670" s="5" t="n">
        <v>0</v>
      </c>
      <c r="Q1670" s="5" t="n">
        <v>0</v>
      </c>
      <c r="R1670" s="5" t="inlineStr">
        <is>
          <t>341-2023-12-31</t>
        </is>
      </c>
    </row>
    <row r="1671">
      <c r="A1671" s="26" t="n">
        <v>341</v>
      </c>
      <c r="B1671" s="5" t="inlineStr">
        <is>
          <t>Reducción de costos en gestión de abastecimiento</t>
        </is>
      </c>
      <c r="C1671" s="5" t="inlineStr">
        <is>
          <t>GESTIÓN DE ABASTECIMIENTO</t>
        </is>
      </c>
      <c r="D1671" s="5" t="inlineStr">
        <is>
          <t>Semestral</t>
        </is>
      </c>
      <c r="E1671" s="5" t="inlineStr">
        <is>
          <t>Positivo</t>
        </is>
      </c>
      <c r="F1671" s="107" t="n">
        <v>45473</v>
      </c>
      <c r="G1671" s="5" t="n">
        <v>2024</v>
      </c>
      <c r="H1671" s="5" t="inlineStr">
        <is>
          <t>Junio</t>
        </is>
      </c>
      <c r="I1671" s="6" t="inlineStr">
        <is>
          <t>2024-1</t>
        </is>
      </c>
      <c r="J1671" s="5" t="n">
        <v>100</v>
      </c>
      <c r="K1671" s="9" t="n">
        <v>125</v>
      </c>
      <c r="L1671" s="14">
        <f>IFERROR(IF(OR(J1671=0,K1671=""),"",IF(E1671="Positivo",MIN(MAX(K1671/J1671,0),1.3),MIN(MAX(J1671/K1671,0),1.3))),"") </f>
        <v/>
      </c>
      <c r="M1671" s="14">
        <f>IFERROR(IF(OR(J1671=0,K1671=""),"",IF(E1671="Positivo",MAX(K1671/J1671,0),MAX(J1671/K1671,0))),"") </f>
        <v/>
      </c>
      <c r="N1671" s="5" t="inlineStr">
        <is>
          <t>$</t>
        </is>
      </c>
      <c r="O1671" s="5" t="inlineStr">
        <is>
          <t>$</t>
        </is>
      </c>
      <c r="P1671" s="15" t="n">
        <v>0</v>
      </c>
      <c r="Q1671" s="15" t="n">
        <v>0</v>
      </c>
      <c r="R1671" s="5" t="inlineStr">
        <is>
          <t>341-2024-06-30</t>
        </is>
      </c>
    </row>
    <row r="1672">
      <c r="A1672" s="21" t="n">
        <v>341</v>
      </c>
      <c r="B1672" s="5" t="inlineStr">
        <is>
          <t>Reducción de costos en gestión de abastecimiento</t>
        </is>
      </c>
      <c r="C1672" s="5" t="inlineStr">
        <is>
          <t>GESTIÓN DE ABASTECIMIENTO</t>
        </is>
      </c>
      <c r="D1672" s="5" t="inlineStr">
        <is>
          <t>Semestral</t>
        </is>
      </c>
      <c r="E1672" s="5" t="inlineStr">
        <is>
          <t>Positivo</t>
        </is>
      </c>
      <c r="F1672" s="107" t="n">
        <v>45657</v>
      </c>
      <c r="G1672" s="5" t="n">
        <v>2024</v>
      </c>
      <c r="H1672" s="5" t="inlineStr">
        <is>
          <t>Diciembre</t>
        </is>
      </c>
      <c r="I1672" s="6" t="inlineStr">
        <is>
          <t>2024-2</t>
        </is>
      </c>
      <c r="J1672" s="5" t="n">
        <v>100</v>
      </c>
      <c r="K1672" s="10" t="n">
        <v>102.44</v>
      </c>
      <c r="L1672" s="14">
        <f>IFERROR(IF(OR(J1672=0,K1672=""),"",IF(E1672="Positivo",MIN(MAX(K1672/J1672,0),1.3),MIN(MAX(J1672/K1672,0),1.3))),"") </f>
        <v/>
      </c>
      <c r="M1672" s="14">
        <f>IFERROR(IF(OR(J1672=0,K1672=""),"",IF(E1672="Positivo",MAX(K1672/J1672,0),MAX(J1672/K1672,0))),"") </f>
        <v/>
      </c>
      <c r="N1672" s="5" t="inlineStr">
        <is>
          <t>$</t>
        </is>
      </c>
      <c r="O1672" s="5" t="inlineStr">
        <is>
          <t>$</t>
        </is>
      </c>
      <c r="P1672" s="15" t="n">
        <v>0</v>
      </c>
      <c r="Q1672" s="15" t="n">
        <v>0</v>
      </c>
      <c r="R1672" s="5" t="inlineStr">
        <is>
          <t>341-2024-12-31</t>
        </is>
      </c>
    </row>
    <row r="1673">
      <c r="A1673" s="26" t="n">
        <v>341</v>
      </c>
      <c r="B1673" s="5" t="inlineStr">
        <is>
          <t>Reducción de costos en gestión de abastecimiento</t>
        </is>
      </c>
      <c r="C1673" s="5" t="inlineStr">
        <is>
          <t>GESTIÓN DE ABASTECIMIENTO</t>
        </is>
      </c>
      <c r="D1673" s="5" t="inlineStr">
        <is>
          <t>Semestral</t>
        </is>
      </c>
      <c r="E1673" s="5" t="inlineStr">
        <is>
          <t>Positivo</t>
        </is>
      </c>
      <c r="F1673" s="107" t="n">
        <v>45838</v>
      </c>
      <c r="G1673" s="5" t="n">
        <v>2025</v>
      </c>
      <c r="H1673" s="5" t="inlineStr">
        <is>
          <t>Junio</t>
        </is>
      </c>
      <c r="I1673" s="6" t="inlineStr">
        <is>
          <t>2025-1</t>
        </is>
      </c>
      <c r="J1673" s="5" t="n">
        <v>100</v>
      </c>
      <c r="K1673" s="5" t="n">
        <v>102.25</v>
      </c>
      <c r="L1673" s="14">
        <f>IFERROR(IF(OR(J1673=0,K1673=""),"",IF(E1673="Positivo",MIN(MAX(K1673/J1673,0),1.3),MIN(MAX(J1673/K1673,0),1.3))),"") </f>
        <v/>
      </c>
      <c r="M1673" s="14">
        <f>IFERROR(IF(OR(J1673=0,K1673=""),"",IF(E1673="Positivo",MAX(K1673/J1673,0),MAX(J1673/K1673,0))),"") </f>
        <v/>
      </c>
      <c r="N1673" s="5" t="inlineStr">
        <is>
          <t>$</t>
        </is>
      </c>
      <c r="O1673" s="5" t="inlineStr">
        <is>
          <t>$</t>
        </is>
      </c>
      <c r="P1673" s="15" t="n">
        <v>0</v>
      </c>
      <c r="Q1673" s="15" t="n">
        <v>0</v>
      </c>
      <c r="R1673" s="5" t="inlineStr">
        <is>
          <t>341-2025-06-30</t>
        </is>
      </c>
    </row>
    <row r="1674">
      <c r="A1674" s="26" t="n">
        <v>341</v>
      </c>
      <c r="B1674" s="5" t="inlineStr">
        <is>
          <t>Eficiencia en la reducción de costos en la gestión del abastecimiento</t>
        </is>
      </c>
      <c r="C1674" s="5" t="inlineStr">
        <is>
          <t>GESTIÓN DE ABASTECIMIENTO</t>
        </is>
      </c>
      <c r="D1674" s="5" t="inlineStr">
        <is>
          <t>Trimestral</t>
        </is>
      </c>
      <c r="E1674" s="5" t="inlineStr">
        <is>
          <t>Positivo</t>
        </is>
      </c>
      <c r="F1674" s="107" t="n">
        <v>46022</v>
      </c>
      <c r="G1674" s="5" t="n">
        <v>2025</v>
      </c>
      <c r="H1674" s="5" t="inlineStr">
        <is>
          <t>Diciembre</t>
        </is>
      </c>
      <c r="I1674" s="6" t="inlineStr">
        <is>
          <t>2025-2</t>
        </is>
      </c>
      <c r="J1674" s="5" t="n">
        <v>100</v>
      </c>
      <c r="K1674" s="5" t="n">
        <v>102.65</v>
      </c>
      <c r="L1674" s="14">
        <f>IFERROR(IF(OR(J1674=0,K1674=""),"",IF(E1674="Positivo",MIN(MAX(K1674/J1674,0),1.3),MIN(MAX(J1674/K1674,0),1.3))),"") </f>
        <v/>
      </c>
      <c r="M1674" s="14">
        <f>IFERROR(IF(OR(J1674=0,K1674=""),"",IF(E1674="Positivo",MAX(K1674/J1674,0),MAX(J1674/K1674,0))),"") </f>
        <v/>
      </c>
      <c r="N1674" s="5" t="inlineStr">
        <is>
          <t>$</t>
        </is>
      </c>
      <c r="O1674" s="5" t="inlineStr">
        <is>
          <t>$</t>
        </is>
      </c>
      <c r="P1674" s="15" t="n">
        <v>0</v>
      </c>
      <c r="Q1674" s="15" t="n">
        <v>0</v>
      </c>
      <c r="R1674" s="5" t="inlineStr">
        <is>
          <t>341-2025-12-31</t>
        </is>
      </c>
    </row>
    <row r="1675">
      <c r="A1675" s="5" t="n">
        <v>344</v>
      </c>
      <c r="B1675" s="5" t="inlineStr">
        <is>
          <t>Cumplimiento del plan de Inducción institucional</t>
        </is>
      </c>
      <c r="C1675" s="5" t="inlineStr">
        <is>
          <t>GESTIÓN Y DESARROLLO DEL TALENTO HUMANO</t>
        </is>
      </c>
      <c r="D1675" s="5" t="inlineStr">
        <is>
          <t>Semestral</t>
        </is>
      </c>
      <c r="E1675" s="5" t="inlineStr">
        <is>
          <t>Positivo</t>
        </is>
      </c>
      <c r="F1675" s="107" t="n">
        <v>45107</v>
      </c>
      <c r="G1675" s="5" t="n">
        <v>2023</v>
      </c>
      <c r="H1675" s="5" t="inlineStr">
        <is>
          <t>Junio</t>
        </is>
      </c>
      <c r="I1675" s="6" t="inlineStr">
        <is>
          <t>2023-1</t>
        </is>
      </c>
      <c r="J1675" s="5" t="n">
        <v>90</v>
      </c>
      <c r="K1675" s="5" t="n">
        <v>97.74436090225601</v>
      </c>
      <c r="L1675" s="14">
        <f>IFERROR(IF(OR(J1675=0,K1675=""),"",IF(E1675="Positivo",MIN(MAX(K1675/J1675,0),1.3),MIN(MAX(J1675/K1675,0),1.3))),"") </f>
        <v/>
      </c>
      <c r="M1675" s="14">
        <f>IFERROR(IF(OR(J1675=0,K1675=""),"",IF(E1675="Positivo",MAX(K1675/J1675,0),MAX(J1675/K1675,0))),"") </f>
        <v/>
      </c>
      <c r="N1675" s="5" t="inlineStr">
        <is>
          <t>%</t>
        </is>
      </c>
      <c r="O1675" s="5" t="inlineStr">
        <is>
          <t>%</t>
        </is>
      </c>
      <c r="P1675" s="5" t="n">
        <v>0</v>
      </c>
      <c r="Q1675" s="5" t="n">
        <v>0</v>
      </c>
      <c r="R1675" s="5" t="inlineStr">
        <is>
          <t>344-2023-06-30</t>
        </is>
      </c>
    </row>
    <row r="1676">
      <c r="A1676" s="5" t="n">
        <v>344</v>
      </c>
      <c r="B1676" s="5" t="inlineStr">
        <is>
          <t>Cumplimiento del plan de Inducción institucional</t>
        </is>
      </c>
      <c r="C1676" s="5" t="inlineStr">
        <is>
          <t>GESTIÓN Y DESARROLLO DEL TALENTO HUMANO</t>
        </is>
      </c>
      <c r="D1676" s="5" t="inlineStr">
        <is>
          <t>Semestral</t>
        </is>
      </c>
      <c r="E1676" s="5" t="inlineStr">
        <is>
          <t>Positivo</t>
        </is>
      </c>
      <c r="F1676" s="107" t="n">
        <v>45291</v>
      </c>
      <c r="G1676" s="5" t="n">
        <v>2023</v>
      </c>
      <c r="H1676" s="5" t="inlineStr">
        <is>
          <t>Diciembre</t>
        </is>
      </c>
      <c r="I1676" s="6" t="inlineStr">
        <is>
          <t>2023-2</t>
        </is>
      </c>
      <c r="J1676" s="5" t="n">
        <v>90</v>
      </c>
      <c r="K1676" s="5" t="n">
        <v>97.76000000000001</v>
      </c>
      <c r="L1676" s="14">
        <f>IFERROR(IF(OR(J1676=0,K1676=""),"",IF(E1676="Positivo",MIN(MAX(K1676/J1676,0),1.3),MIN(MAX(J1676/K1676,0),1.3))),"") </f>
        <v/>
      </c>
      <c r="M1676" s="14">
        <f>IFERROR(IF(OR(J1676=0,K1676=""),"",IF(E1676="Positivo",MAX(K1676/J1676,0),MAX(J1676/K1676,0))),"") </f>
        <v/>
      </c>
      <c r="N1676" s="5" t="inlineStr">
        <is>
          <t>%</t>
        </is>
      </c>
      <c r="O1676" s="5" t="inlineStr">
        <is>
          <t>%</t>
        </is>
      </c>
      <c r="P1676" s="5" t="n">
        <v>0</v>
      </c>
      <c r="Q1676" s="5" t="n">
        <v>0</v>
      </c>
      <c r="R1676" s="5" t="inlineStr">
        <is>
          <t>344-2023-12-31</t>
        </is>
      </c>
    </row>
    <row r="1677">
      <c r="A1677" s="5" t="n">
        <v>344</v>
      </c>
      <c r="B1677" s="5" t="inlineStr">
        <is>
          <t>Cumplimiento del plan de Inducción institucional</t>
        </is>
      </c>
      <c r="C1677" s="5" t="inlineStr">
        <is>
          <t>GESTIÓN Y DESARROLLO DEL TALENTO HUMANO</t>
        </is>
      </c>
      <c r="D1677" s="5" t="inlineStr">
        <is>
          <t>Semestral</t>
        </is>
      </c>
      <c r="E1677" s="5" t="inlineStr">
        <is>
          <t>Positivo</t>
        </is>
      </c>
      <c r="F1677" s="107" t="n">
        <v>45473</v>
      </c>
      <c r="G1677" s="5" t="n">
        <v>2024</v>
      </c>
      <c r="H1677" s="5" t="inlineStr">
        <is>
          <t>Junio</t>
        </is>
      </c>
      <c r="I1677" s="6" t="inlineStr">
        <is>
          <t>2024-1</t>
        </is>
      </c>
      <c r="J1677" s="5" t="n">
        <v>93</v>
      </c>
      <c r="K1677" s="5" t="n">
        <v>97.34</v>
      </c>
      <c r="L1677" s="14">
        <f>IFERROR(IF(OR(J1677=0,K1677=""),"",IF(E1677="Positivo",MIN(MAX(K1677/J1677,0),1.3),MIN(MAX(J1677/K1677,0),1.3))),"") </f>
        <v/>
      </c>
      <c r="M1677" s="14">
        <f>IFERROR(IF(OR(J1677=0,K1677=""),"",IF(E1677="Positivo",MAX(K1677/J1677,0),MAX(J1677/K1677,0))),"") </f>
        <v/>
      </c>
      <c r="N1677" s="5" t="inlineStr">
        <is>
          <t>%</t>
        </is>
      </c>
      <c r="O1677" s="5" t="inlineStr">
        <is>
          <t>%</t>
        </is>
      </c>
      <c r="P1677" s="5" t="n">
        <v>0</v>
      </c>
      <c r="Q1677" s="5" t="n">
        <v>0</v>
      </c>
      <c r="R1677" s="5" t="inlineStr">
        <is>
          <t>344-2024-06-30</t>
        </is>
      </c>
    </row>
    <row r="1678">
      <c r="A1678" s="5" t="n">
        <v>344</v>
      </c>
      <c r="B1678" s="5" t="inlineStr">
        <is>
          <t>Cumplimiento del plan de Inducción institucional</t>
        </is>
      </c>
      <c r="C1678" s="5" t="inlineStr">
        <is>
          <t>GESTIÓN Y DESARROLLO DEL TALENTO HUMANO</t>
        </is>
      </c>
      <c r="D1678" s="5" t="inlineStr">
        <is>
          <t>Semestral</t>
        </is>
      </c>
      <c r="E1678" s="5" t="inlineStr">
        <is>
          <t>Positivo</t>
        </is>
      </c>
      <c r="F1678" s="107" t="n">
        <v>45657</v>
      </c>
      <c r="G1678" s="5" t="n">
        <v>2024</v>
      </c>
      <c r="H1678" s="5" t="inlineStr">
        <is>
          <t>Diciembre</t>
        </is>
      </c>
      <c r="I1678" s="6" t="inlineStr">
        <is>
          <t>2024-2</t>
        </is>
      </c>
      <c r="J1678" s="5" t="n">
        <v>93</v>
      </c>
      <c r="K1678" s="5" t="n">
        <v>99.19</v>
      </c>
      <c r="L1678" s="14">
        <f>IFERROR(IF(OR(J1678=0,K1678=""),"",IF(E1678="Positivo",MIN(MAX(K1678/J1678,0),1.3),MIN(MAX(J1678/K1678,0),1.3))),"") </f>
        <v/>
      </c>
      <c r="M1678" s="14">
        <f>IFERROR(IF(OR(J1678=0,K1678=""),"",IF(E1678="Positivo",MAX(K1678/J1678,0),MAX(J1678/K1678,0))),"") </f>
        <v/>
      </c>
      <c r="N1678" s="5" t="inlineStr">
        <is>
          <t>%</t>
        </is>
      </c>
      <c r="O1678" s="5" t="inlineStr">
        <is>
          <t>%</t>
        </is>
      </c>
      <c r="P1678" s="5" t="n">
        <v>0</v>
      </c>
      <c r="Q1678" s="5" t="n">
        <v>0</v>
      </c>
      <c r="R1678" s="5" t="inlineStr">
        <is>
          <t>344-2024-12-31</t>
        </is>
      </c>
    </row>
    <row r="1679">
      <c r="A1679" s="21" t="n">
        <v>344</v>
      </c>
      <c r="B1679" s="5" t="inlineStr">
        <is>
          <t>Cumplimiento del plan de Inducción institucional</t>
        </is>
      </c>
      <c r="C1679" s="5" t="inlineStr">
        <is>
          <t>GESTIÓN Y DESARROLLO DEL TALENTO HUMANO</t>
        </is>
      </c>
      <c r="D1679" s="5" t="inlineStr">
        <is>
          <t>Semestral</t>
        </is>
      </c>
      <c r="E1679" s="5" t="inlineStr">
        <is>
          <t>Positivo</t>
        </is>
      </c>
      <c r="F1679" s="107" t="n">
        <v>45838</v>
      </c>
      <c r="G1679" s="5" t="n">
        <v>2025</v>
      </c>
      <c r="H1679" s="5" t="inlineStr">
        <is>
          <t>Junio</t>
        </is>
      </c>
      <c r="I1679" s="6" t="inlineStr">
        <is>
          <t>2025-1</t>
        </is>
      </c>
      <c r="J1679" s="5" t="n">
        <v>93</v>
      </c>
      <c r="K1679" s="10" t="n">
        <v>99.43000000000001</v>
      </c>
      <c r="L1679" s="14">
        <f>IFERROR(IF(OR(J1679=0,K1679=""),"",IF(E1679="Positivo",MIN(MAX(K1679/J1679,0),1.3),MIN(MAX(J1679/K1679,0),1.3))),"") </f>
        <v/>
      </c>
      <c r="M1679" s="14">
        <f>IFERROR(IF(OR(J1679=0,K1679=""),"",IF(E1679="Positivo",MAX(K1679/J1679,0),MAX(J1679/K1679,0))),"") </f>
        <v/>
      </c>
      <c r="N1679" s="5" t="inlineStr">
        <is>
          <t>%</t>
        </is>
      </c>
      <c r="O1679" s="5" t="inlineStr">
        <is>
          <t>%</t>
        </is>
      </c>
      <c r="P1679" s="15" t="n">
        <v>0</v>
      </c>
      <c r="Q1679" s="15" t="n">
        <v>0</v>
      </c>
      <c r="R1679" s="5" t="inlineStr">
        <is>
          <t>344-2025-06-30</t>
        </is>
      </c>
    </row>
    <row r="1680">
      <c r="A1680" s="5" t="n">
        <v>344</v>
      </c>
      <c r="B1680" s="5" t="inlineStr">
        <is>
          <t>Cumplimiento del plan de Inducción institucional</t>
        </is>
      </c>
      <c r="C1680" s="5" t="inlineStr">
        <is>
          <t>GESTIÓN Y DESARROLLO DEL TALENTO HUMANO</t>
        </is>
      </c>
      <c r="D1680" s="5" t="inlineStr">
        <is>
          <t>Trimestral</t>
        </is>
      </c>
      <c r="E1680" s="5" t="inlineStr">
        <is>
          <t>Positivo</t>
        </is>
      </c>
      <c r="F1680" s="107" t="n">
        <v>46022</v>
      </c>
      <c r="G1680" s="5" t="n">
        <v>2025</v>
      </c>
      <c r="H1680" s="5" t="inlineStr">
        <is>
          <t>Diciembre</t>
        </is>
      </c>
      <c r="I1680" s="6" t="inlineStr">
        <is>
          <t>2025-2</t>
        </is>
      </c>
      <c r="J1680" s="5" t="n">
        <v>93</v>
      </c>
      <c r="K1680" s="5" t="n">
        <v>100</v>
      </c>
      <c r="L1680" s="14">
        <f>IFERROR(IF(OR(J1680=0,K1680=""),"",IF(E1680="Positivo",MIN(MAX(K1680/J1680,0),1.3),MIN(MAX(J1680/K1680,0),1.3))),"") </f>
        <v/>
      </c>
      <c r="M1680" s="14">
        <f>IFERROR(IF(OR(J1680=0,K1680=""),"",IF(E1680="Positivo",MAX(K1680/J1680,0),MAX(J1680/K1680,0))),"") </f>
        <v/>
      </c>
      <c r="N1680" s="5" t="inlineStr">
        <is>
          <t>%</t>
        </is>
      </c>
      <c r="O1680" s="5" t="inlineStr">
        <is>
          <t>%</t>
        </is>
      </c>
      <c r="P1680" s="5" t="n">
        <v>0</v>
      </c>
      <c r="Q1680" s="5" t="n">
        <v>0</v>
      </c>
      <c r="R1680" s="5" t="inlineStr">
        <is>
          <t>344-2025-12-31</t>
        </is>
      </c>
    </row>
    <row r="1681">
      <c r="A1681" s="5" t="n">
        <v>345</v>
      </c>
      <c r="B1681" s="5" t="inlineStr">
        <is>
          <t>% de profesores impactados plan de desarrollo docente</t>
        </is>
      </c>
      <c r="C1681" s="5" t="inlineStr">
        <is>
          <t>GESTIÓN Y DESARROLLO DEL TALENTO HUMANO</t>
        </is>
      </c>
      <c r="D1681" s="5" t="inlineStr">
        <is>
          <t>Anual</t>
        </is>
      </c>
      <c r="E1681" s="5" t="inlineStr">
        <is>
          <t>Positivo</t>
        </is>
      </c>
      <c r="F1681" s="107" t="n">
        <v>45291</v>
      </c>
      <c r="G1681" s="5" t="n">
        <v>2023</v>
      </c>
      <c r="H1681" s="5" t="inlineStr">
        <is>
          <t>Diciembre</t>
        </is>
      </c>
      <c r="I1681" s="6" t="inlineStr">
        <is>
          <t>2023-2</t>
        </is>
      </c>
      <c r="J1681" s="5" t="n"/>
      <c r="K1681" s="5" t="n">
        <v>94.84999999999999</v>
      </c>
      <c r="L1681" s="14" t="n"/>
      <c r="M1681" s="14" t="n"/>
      <c r="N1681" s="5" t="inlineStr">
        <is>
          <t>Linea Base</t>
        </is>
      </c>
      <c r="O1681" s="5" t="inlineStr">
        <is>
          <t>%</t>
        </is>
      </c>
      <c r="P1681" s="5" t="n">
        <v>0</v>
      </c>
      <c r="Q1681" s="5" t="n">
        <v>0</v>
      </c>
      <c r="R1681" s="5" t="inlineStr">
        <is>
          <t>345-2023-12-31</t>
        </is>
      </c>
    </row>
    <row r="1682">
      <c r="A1682" s="5" t="n">
        <v>346</v>
      </c>
      <c r="B1682" s="5" t="inlineStr">
        <is>
          <t>% de profesores impactados en actividades de Bienestar</t>
        </is>
      </c>
      <c r="C1682" s="5" t="inlineStr">
        <is>
          <t>GESTIÓN Y DESARROLLO DEL TALENTO HUMANO</t>
        </is>
      </c>
      <c r="D1682" s="5" t="inlineStr">
        <is>
          <t>Anual</t>
        </is>
      </c>
      <c r="E1682" s="5" t="inlineStr">
        <is>
          <t>Positivo</t>
        </is>
      </c>
      <c r="F1682" s="107" t="n">
        <v>45291</v>
      </c>
      <c r="G1682" s="5" t="n">
        <v>2023</v>
      </c>
      <c r="H1682" s="5" t="inlineStr">
        <is>
          <t>Diciembre</t>
        </is>
      </c>
      <c r="I1682" s="6" t="inlineStr">
        <is>
          <t>2023-2</t>
        </is>
      </c>
      <c r="J1682" s="5" t="n"/>
      <c r="K1682" s="5" t="n">
        <v>83.91608391608392</v>
      </c>
      <c r="L1682" s="14" t="n"/>
      <c r="M1682" s="14" t="n"/>
      <c r="N1682" s="5" t="inlineStr">
        <is>
          <t>Linea Base</t>
        </is>
      </c>
      <c r="O1682" s="5" t="inlineStr">
        <is>
          <t>%</t>
        </is>
      </c>
      <c r="P1682" s="5" t="n">
        <v>0</v>
      </c>
      <c r="Q1682" s="5" t="n">
        <v>0</v>
      </c>
      <c r="R1682" s="5" t="inlineStr">
        <is>
          <t>346-2023-12-31</t>
        </is>
      </c>
    </row>
    <row r="1683">
      <c r="A1683" s="24" t="n">
        <v>346</v>
      </c>
      <c r="B1683" s="16" t="inlineStr">
        <is>
          <t>% de profesores impactados en actividades de Bienestar</t>
        </is>
      </c>
      <c r="C1683" s="16" t="inlineStr">
        <is>
          <t>GESTIÓN Y DESARROLLO DEL TALENTO HUMANO</t>
        </is>
      </c>
      <c r="D1683" s="16" t="inlineStr">
        <is>
          <t>Anual</t>
        </is>
      </c>
      <c r="E1683" s="16" t="inlineStr">
        <is>
          <t>Positivo</t>
        </is>
      </c>
      <c r="F1683" s="109" t="n">
        <v>45657</v>
      </c>
      <c r="G1683" s="5" t="n">
        <v>2024</v>
      </c>
      <c r="H1683" s="5" t="inlineStr">
        <is>
          <t>Diciembre</t>
        </is>
      </c>
      <c r="I1683" s="6" t="inlineStr">
        <is>
          <t>2024-2</t>
        </is>
      </c>
      <c r="J1683" s="5" t="n">
        <v>85</v>
      </c>
      <c r="K1683" s="5" t="n">
        <v>91.88</v>
      </c>
      <c r="L1683" s="14">
        <f>IFERROR(IF(OR(J1683=0,K1683=""),"",IF(E1683="Positivo",MIN(MAX(K1683/J1683,0),1.3),MIN(MAX(J1683/K1683,0),1.3))),"") </f>
        <v/>
      </c>
      <c r="M1683" s="14">
        <f>IFERROR(IF(OR(J1683=0,K1683=""),"",IF(E1683="Positivo",MAX(K1683/J1683,0),MAX(J1683/K1683,0))),"") </f>
        <v/>
      </c>
      <c r="N1683" s="16" t="inlineStr">
        <is>
          <t>Linea Base</t>
        </is>
      </c>
      <c r="O1683" s="16" t="inlineStr">
        <is>
          <t>%</t>
        </is>
      </c>
      <c r="P1683" s="15" t="n">
        <v>0</v>
      </c>
      <c r="Q1683" s="15" t="n">
        <v>0</v>
      </c>
      <c r="R1683" s="5" t="inlineStr">
        <is>
          <t>346-2024-12-31</t>
        </is>
      </c>
    </row>
    <row r="1684">
      <c r="A1684" s="5" t="n">
        <v>346</v>
      </c>
      <c r="B1684" s="5" t="inlineStr">
        <is>
          <t>% de profesores impactados en actividades de Bienestar</t>
        </is>
      </c>
      <c r="C1684" s="5" t="inlineStr">
        <is>
          <t>GESTIÓN Y DESARROLLO DEL TALENTO HUMANO</t>
        </is>
      </c>
      <c r="D1684" s="5" t="inlineStr">
        <is>
          <t>Anual</t>
        </is>
      </c>
      <c r="E1684" s="5" t="inlineStr">
        <is>
          <t>Positivo</t>
        </is>
      </c>
      <c r="F1684" s="107" t="n">
        <v>46022</v>
      </c>
      <c r="G1684" s="5" t="n">
        <v>2025</v>
      </c>
      <c r="H1684" s="5" t="inlineStr">
        <is>
          <t>Diciembre</t>
        </is>
      </c>
      <c r="I1684" s="6" t="inlineStr">
        <is>
          <t>2025-2</t>
        </is>
      </c>
      <c r="J1684" s="5" t="n">
        <v>85</v>
      </c>
      <c r="K1684" s="5" t="n">
        <v>97.28</v>
      </c>
      <c r="L1684" s="14">
        <f>IFERROR(IF(OR(J1684=0,K1684=""),"",IF(E1684="Positivo",MIN(MAX(K1684/J1684,0),1.3),MIN(MAX(J1684/K1684,0),1.3))),"") </f>
        <v/>
      </c>
      <c r="M1684" s="14">
        <f>IFERROR(IF(OR(J1684=0,K1684=""),"",IF(E1684="Positivo",MAX(K1684/J1684,0),MAX(J1684/K1684,0))),"") </f>
        <v/>
      </c>
      <c r="N1684" s="5" t="inlineStr">
        <is>
          <t>Linea Base</t>
        </is>
      </c>
      <c r="O1684" s="5" t="inlineStr">
        <is>
          <t>%</t>
        </is>
      </c>
      <c r="P1684" s="5" t="n">
        <v>0</v>
      </c>
      <c r="Q1684" s="5" t="n">
        <v>0</v>
      </c>
      <c r="R1684" s="5" t="inlineStr">
        <is>
          <t>346-2025-12-31</t>
        </is>
      </c>
    </row>
    <row r="1685">
      <c r="A1685" s="21" t="n">
        <v>347</v>
      </c>
      <c r="B1685" s="5" t="inlineStr">
        <is>
          <t>Legalizaciones y anticipos</t>
        </is>
      </c>
      <c r="C1685" s="5" t="inlineStr">
        <is>
          <t>Contabilidad</t>
        </is>
      </c>
      <c r="D1685" s="5" t="inlineStr">
        <is>
          <t>Trimestral</t>
        </is>
      </c>
      <c r="E1685" s="5" t="inlineStr">
        <is>
          <t>Negativo</t>
        </is>
      </c>
      <c r="F1685" s="106" t="n">
        <v>45016</v>
      </c>
      <c r="G1685" s="5" t="n">
        <v>2023</v>
      </c>
      <c r="H1685" s="5" t="inlineStr">
        <is>
          <t>Marzo</t>
        </is>
      </c>
      <c r="I1685" s="6" t="inlineStr">
        <is>
          <t>2023-1</t>
        </is>
      </c>
      <c r="J1685" s="5" t="n">
        <v>0</v>
      </c>
      <c r="K1685" s="5" t="n">
        <v>5</v>
      </c>
      <c r="L1685" s="14">
        <f>IFERROR(IF(OR(J1685=0,K1685=""),"",IF(E1685="Positivo",MIN(MAX(K1685/J1685,0),1.3),MIN(MAX(J1685/K1685,0),1.3))),"") </f>
        <v/>
      </c>
      <c r="M1685" s="14">
        <f>IFERROR(IF(OR(J1685=0,K1685=""),"",IF(E1685="Positivo",MAX(K1685/J1685,0),MAX(J1685/K1685,0))),"") </f>
        <v/>
      </c>
      <c r="N1685" s="5" t="inlineStr">
        <is>
          <t>ENT</t>
        </is>
      </c>
      <c r="O1685" s="5" t="inlineStr">
        <is>
          <t>ENT</t>
        </is>
      </c>
      <c r="P1685" s="15" t="n">
        <v>0</v>
      </c>
      <c r="Q1685" s="15" t="n">
        <v>0</v>
      </c>
      <c r="R1685" s="5" t="inlineStr">
        <is>
          <t>347-2023-03-31</t>
        </is>
      </c>
    </row>
    <row r="1686">
      <c r="A1686" s="5" t="n">
        <v>347</v>
      </c>
      <c r="B1686" s="5" t="inlineStr">
        <is>
          <t>Legalizaciones y anticipos</t>
        </is>
      </c>
      <c r="C1686" s="5" t="inlineStr">
        <is>
          <t>Contabilidad</t>
        </is>
      </c>
      <c r="D1686" s="5" t="inlineStr">
        <is>
          <t>Trimestral</t>
        </is>
      </c>
      <c r="E1686" s="5" t="inlineStr">
        <is>
          <t>Negativo</t>
        </is>
      </c>
      <c r="F1686" s="107" t="n">
        <v>45107</v>
      </c>
      <c r="G1686" s="5" t="n">
        <v>2023</v>
      </c>
      <c r="H1686" s="5" t="inlineStr">
        <is>
          <t>Junio</t>
        </is>
      </c>
      <c r="I1686" s="6" t="inlineStr">
        <is>
          <t>2023-1</t>
        </is>
      </c>
      <c r="J1686" s="5" t="n">
        <v>0</v>
      </c>
      <c r="K1686" s="5" t="n">
        <v>8</v>
      </c>
      <c r="L1686" s="14">
        <f>IFERROR(IF(OR(J1686=0,K1686=""),"",IF(E1686="Positivo",MIN(MAX(K1686/J1686,0),1.3),MIN(MAX(J1686/K1686,0),1.3))),"") </f>
        <v/>
      </c>
      <c r="M1686" s="14">
        <f>IFERROR(IF(OR(J1686=0,K1686=""),"",IF(E1686="Positivo",MAX(K1686/J1686,0),MAX(J1686/K1686,0))),"") </f>
        <v/>
      </c>
      <c r="N1686" s="5" t="inlineStr">
        <is>
          <t>ENT</t>
        </is>
      </c>
      <c r="O1686" s="5" t="inlineStr">
        <is>
          <t>ENT</t>
        </is>
      </c>
      <c r="P1686" s="5" t="n">
        <v>0</v>
      </c>
      <c r="Q1686" s="5" t="n">
        <v>0</v>
      </c>
      <c r="R1686" s="5" t="inlineStr">
        <is>
          <t>347-2023-06-30</t>
        </is>
      </c>
    </row>
    <row r="1687">
      <c r="A1687" s="5" t="n">
        <v>347</v>
      </c>
      <c r="B1687" s="5" t="inlineStr">
        <is>
          <t>Legalizaciones y anticipos</t>
        </is>
      </c>
      <c r="C1687" s="5" t="inlineStr">
        <is>
          <t>Contabilidad</t>
        </is>
      </c>
      <c r="D1687" s="5" t="inlineStr">
        <is>
          <t>Trimestral</t>
        </is>
      </c>
      <c r="E1687" s="5" t="inlineStr">
        <is>
          <t>Negativo</t>
        </is>
      </c>
      <c r="F1687" s="107" t="n">
        <v>45199</v>
      </c>
      <c r="G1687" s="5" t="n">
        <v>2023</v>
      </c>
      <c r="H1687" s="5" t="inlineStr">
        <is>
          <t>Septiembre</t>
        </is>
      </c>
      <c r="I1687" s="6" t="inlineStr">
        <is>
          <t>2023-2</t>
        </is>
      </c>
      <c r="J1687" s="5" t="n">
        <v>0</v>
      </c>
      <c r="K1687" s="5" t="n">
        <v>12</v>
      </c>
      <c r="L1687" s="14">
        <f>IFERROR(IF(OR(J1687=0,K1687=""),"",IF(E1687="Positivo",MIN(MAX(K1687/J1687,0),1.3),MIN(MAX(J1687/K1687,0),1.3))),"") </f>
        <v/>
      </c>
      <c r="M1687" s="14">
        <f>IFERROR(IF(OR(J1687=0,K1687=""),"",IF(E1687="Positivo",MAX(K1687/J1687,0),MAX(J1687/K1687,0))),"") </f>
        <v/>
      </c>
      <c r="N1687" s="5" t="inlineStr">
        <is>
          <t>ENT</t>
        </is>
      </c>
      <c r="O1687" s="5" t="inlineStr">
        <is>
          <t>ENT</t>
        </is>
      </c>
      <c r="P1687" s="5" t="n">
        <v>0</v>
      </c>
      <c r="Q1687" s="5" t="n">
        <v>0</v>
      </c>
      <c r="R1687" s="5" t="inlineStr">
        <is>
          <t>347-2023-09-30</t>
        </is>
      </c>
    </row>
    <row r="1688">
      <c r="A1688" s="5" t="n">
        <v>347</v>
      </c>
      <c r="B1688" s="5" t="inlineStr">
        <is>
          <t>Legalizaciones y anticipos</t>
        </is>
      </c>
      <c r="C1688" s="5" t="inlineStr">
        <is>
          <t>Contabilidad</t>
        </is>
      </c>
      <c r="D1688" s="5" t="inlineStr">
        <is>
          <t>Trimestral</t>
        </is>
      </c>
      <c r="E1688" s="5" t="inlineStr">
        <is>
          <t>Negativo</t>
        </is>
      </c>
      <c r="F1688" s="107" t="n">
        <v>45291</v>
      </c>
      <c r="G1688" s="5" t="n">
        <v>2023</v>
      </c>
      <c r="H1688" s="5" t="inlineStr">
        <is>
          <t>Diciembre</t>
        </is>
      </c>
      <c r="I1688" s="6" t="inlineStr">
        <is>
          <t>2023-2</t>
        </is>
      </c>
      <c r="J1688" s="5" t="n">
        <v>0</v>
      </c>
      <c r="K1688" s="5" t="n">
        <v>2</v>
      </c>
      <c r="L1688" s="14">
        <f>IFERROR(IF(OR(J1688=0,K1688=""),"",IF(E1688="Positivo",MIN(MAX(K1688/J1688,0),1.3),MIN(MAX(J1688/K1688,0),1.3))),"") </f>
        <v/>
      </c>
      <c r="M1688" s="14">
        <f>IFERROR(IF(OR(J1688=0,K1688=""),"",IF(E1688="Positivo",MAX(K1688/J1688,0),MAX(J1688/K1688,0))),"") </f>
        <v/>
      </c>
      <c r="N1688" s="5" t="inlineStr">
        <is>
          <t>ENT</t>
        </is>
      </c>
      <c r="O1688" s="5" t="inlineStr">
        <is>
          <t>ENT</t>
        </is>
      </c>
      <c r="P1688" s="5" t="n">
        <v>0</v>
      </c>
      <c r="Q1688" s="5" t="n">
        <v>0</v>
      </c>
      <c r="R1688" s="5" t="inlineStr">
        <is>
          <t>347-2023-12-31</t>
        </is>
      </c>
    </row>
    <row r="1689">
      <c r="A1689" s="21" t="n">
        <v>347</v>
      </c>
      <c r="B1689" s="5" t="inlineStr">
        <is>
          <t>Legalizaciones y anticipos</t>
        </is>
      </c>
      <c r="C1689" s="5" t="inlineStr">
        <is>
          <t>Contabilidad</t>
        </is>
      </c>
      <c r="D1689" s="5" t="inlineStr">
        <is>
          <t>Trimestral</t>
        </is>
      </c>
      <c r="E1689" s="5" t="inlineStr">
        <is>
          <t>Negativo</t>
        </is>
      </c>
      <c r="F1689" s="107" t="n">
        <v>45382</v>
      </c>
      <c r="G1689" s="5" t="n">
        <v>2024</v>
      </c>
      <c r="H1689" s="5" t="inlineStr">
        <is>
          <t>Marzo</t>
        </is>
      </c>
      <c r="I1689" s="6" t="inlineStr">
        <is>
          <t>2024-1</t>
        </is>
      </c>
      <c r="J1689" s="5" t="n">
        <v>5</v>
      </c>
      <c r="K1689" s="10" t="n">
        <v>0</v>
      </c>
      <c r="L1689" s="14">
        <f>IFERROR(IF(OR(J1689=0,K1689=""),"",IF(E1689="Positivo",MIN(MAX(K1689/J1689,0),1.3),MIN(MAX(J1689/K1689,0),1.3))),"") </f>
        <v/>
      </c>
      <c r="M1689" s="14">
        <f>IFERROR(IF(OR(J1689=0,K1689=""),"",IF(E1689="Positivo",MAX(K1689/J1689,0),MAX(J1689/K1689,0))),"") </f>
        <v/>
      </c>
      <c r="N1689" s="5" t="inlineStr">
        <is>
          <t>ENT</t>
        </is>
      </c>
      <c r="O1689" s="5" t="inlineStr">
        <is>
          <t>ENT</t>
        </is>
      </c>
      <c r="P1689" s="15" t="n">
        <v>0</v>
      </c>
      <c r="Q1689" s="15" t="n">
        <v>0</v>
      </c>
      <c r="R1689" s="5" t="inlineStr">
        <is>
          <t>347-2024-03-31</t>
        </is>
      </c>
    </row>
    <row r="1690">
      <c r="A1690" s="21" t="n">
        <v>347</v>
      </c>
      <c r="B1690" s="5" t="inlineStr">
        <is>
          <t>Legalizaciones y anticipos</t>
        </is>
      </c>
      <c r="C1690" s="5" t="inlineStr">
        <is>
          <t>Contabilidad</t>
        </is>
      </c>
      <c r="D1690" s="5" t="inlineStr">
        <is>
          <t>Trimestral</t>
        </is>
      </c>
      <c r="E1690" s="5" t="inlineStr">
        <is>
          <t>Negativo</t>
        </is>
      </c>
      <c r="F1690" s="107" t="n">
        <v>45473</v>
      </c>
      <c r="G1690" s="5" t="n">
        <v>2024</v>
      </c>
      <c r="H1690" s="5" t="inlineStr">
        <is>
          <t>Junio</t>
        </is>
      </c>
      <c r="I1690" s="6" t="inlineStr">
        <is>
          <t>2024-1</t>
        </is>
      </c>
      <c r="J1690" s="5" t="n">
        <v>5</v>
      </c>
      <c r="K1690" s="10" t="n">
        <v>3</v>
      </c>
      <c r="L1690" s="14">
        <f>IFERROR(IF(OR(J1690=0,K1690=""),"",IF(E1690="Positivo",MIN(MAX(K1690/J1690,0),1.3),MIN(MAX(J1690/K1690,0),1.3))),"") </f>
        <v/>
      </c>
      <c r="M1690" s="14">
        <f>IFERROR(IF(OR(J1690=0,K1690=""),"",IF(E1690="Positivo",MAX(K1690/J1690,0),MAX(J1690/K1690,0))),"") </f>
        <v/>
      </c>
      <c r="N1690" s="5" t="inlineStr">
        <is>
          <t>ENT</t>
        </is>
      </c>
      <c r="O1690" s="5" t="inlineStr">
        <is>
          <t>ENT</t>
        </is>
      </c>
      <c r="P1690" s="15" t="n">
        <v>0</v>
      </c>
      <c r="Q1690" s="15" t="n">
        <v>0</v>
      </c>
      <c r="R1690" s="5" t="inlineStr">
        <is>
          <t>347-2024-06-30</t>
        </is>
      </c>
    </row>
    <row r="1691">
      <c r="A1691" s="5" t="n">
        <v>347</v>
      </c>
      <c r="B1691" s="5" t="inlineStr">
        <is>
          <t>Legalizaciones y anticipos</t>
        </is>
      </c>
      <c r="C1691" s="5" t="inlineStr">
        <is>
          <t>Contabilidad</t>
        </is>
      </c>
      <c r="D1691" s="5" t="inlineStr">
        <is>
          <t>Trimestral</t>
        </is>
      </c>
      <c r="E1691" s="5" t="inlineStr">
        <is>
          <t>Negativo</t>
        </is>
      </c>
      <c r="F1691" s="107" t="n">
        <v>45565</v>
      </c>
      <c r="G1691" s="5" t="n">
        <v>2024</v>
      </c>
      <c r="H1691" s="5" t="inlineStr">
        <is>
          <t>Septiembre</t>
        </is>
      </c>
      <c r="I1691" s="6" t="inlineStr">
        <is>
          <t>2024-2</t>
        </is>
      </c>
      <c r="J1691" s="5" t="n">
        <v>5</v>
      </c>
      <c r="K1691" s="5" t="n">
        <v>0</v>
      </c>
      <c r="L1691" s="14">
        <f>IFERROR(IF(OR(J1691=0,K1691=""),"",IF(E1691="Positivo",MIN(MAX(K1691/J1691,0),1.3),MIN(MAX(J1691/K1691,0),1.3))),"") </f>
        <v/>
      </c>
      <c r="M1691" s="14">
        <f>IFERROR(IF(OR(J1691=0,K1691=""),"",IF(E1691="Positivo",MAX(K1691/J1691,0),MAX(J1691/K1691,0))),"") </f>
        <v/>
      </c>
      <c r="N1691" s="5" t="inlineStr">
        <is>
          <t>ENT</t>
        </is>
      </c>
      <c r="O1691" s="5" t="inlineStr">
        <is>
          <t>ENT</t>
        </is>
      </c>
      <c r="P1691" s="5" t="n">
        <v>0</v>
      </c>
      <c r="Q1691" s="5" t="n">
        <v>0</v>
      </c>
      <c r="R1691" s="5" t="inlineStr">
        <is>
          <t>347-2024-09-30</t>
        </is>
      </c>
    </row>
    <row r="1692">
      <c r="A1692" s="21" t="n">
        <v>347</v>
      </c>
      <c r="B1692" s="5" t="inlineStr">
        <is>
          <t>Legalizaciones y anticipos</t>
        </is>
      </c>
      <c r="C1692" s="5" t="inlineStr">
        <is>
          <t>Contabilidad</t>
        </is>
      </c>
      <c r="D1692" s="5" t="inlineStr">
        <is>
          <t>Trimestral</t>
        </is>
      </c>
      <c r="E1692" s="5" t="inlineStr">
        <is>
          <t>Negativo</t>
        </is>
      </c>
      <c r="F1692" s="107" t="n">
        <v>45657</v>
      </c>
      <c r="G1692" s="5" t="n">
        <v>2024</v>
      </c>
      <c r="H1692" s="5" t="inlineStr">
        <is>
          <t>Diciembre</t>
        </is>
      </c>
      <c r="I1692" s="6" t="inlineStr">
        <is>
          <t>2024-2</t>
        </is>
      </c>
      <c r="J1692" s="5" t="n">
        <v>5</v>
      </c>
      <c r="K1692" s="10" t="n">
        <v>0</v>
      </c>
      <c r="L1692" s="14">
        <f>IFERROR(IF(OR(J1692=0,K1692=""),"",IF(E1692="Positivo",MIN(MAX(K1692/J1692,0),1.3),MIN(MAX(J1692/K1692,0),1.3))),"") </f>
        <v/>
      </c>
      <c r="M1692" s="14">
        <f>IFERROR(IF(OR(J1692=0,K1692=""),"",IF(E1692="Positivo",MAX(K1692/J1692,0),MAX(J1692/K1692,0))),"") </f>
        <v/>
      </c>
      <c r="N1692" s="5" t="inlineStr">
        <is>
          <t>ENT</t>
        </is>
      </c>
      <c r="O1692" s="5" t="inlineStr">
        <is>
          <t>ENT</t>
        </is>
      </c>
      <c r="P1692" s="15" t="n">
        <v>0</v>
      </c>
      <c r="Q1692" s="15" t="n">
        <v>0</v>
      </c>
      <c r="R1692" s="5" t="inlineStr">
        <is>
          <t>347-2024-12-31</t>
        </is>
      </c>
    </row>
    <row r="1693">
      <c r="A1693" s="5" t="n">
        <v>347</v>
      </c>
      <c r="B1693" s="5" t="inlineStr">
        <is>
          <t>Legalizaciones y anticipos</t>
        </is>
      </c>
      <c r="C1693" s="5" t="inlineStr">
        <is>
          <t>Contabilidad</t>
        </is>
      </c>
      <c r="D1693" s="5" t="inlineStr">
        <is>
          <t>Trimestral</t>
        </is>
      </c>
      <c r="E1693" s="5" t="inlineStr">
        <is>
          <t>Negativo</t>
        </is>
      </c>
      <c r="F1693" s="107" t="n">
        <v>45747</v>
      </c>
      <c r="G1693" s="5" t="n">
        <v>2025</v>
      </c>
      <c r="H1693" s="5" t="inlineStr">
        <is>
          <t>Marzo</t>
        </is>
      </c>
      <c r="I1693" s="6" t="inlineStr">
        <is>
          <t>2025-1</t>
        </is>
      </c>
      <c r="J1693" s="5" t="n">
        <v>5</v>
      </c>
      <c r="K1693" s="5" t="n">
        <v>1</v>
      </c>
      <c r="L1693" s="14">
        <f>IFERROR(IF(OR(J1693=0,K1693=""),"",IF(E1693="Positivo",MIN(MAX(K1693/J1693,0),1.3),MIN(MAX(J1693/K1693,0),1.3))),"") </f>
        <v/>
      </c>
      <c r="M1693" s="14">
        <f>IFERROR(IF(OR(J1693=0,K1693=""),"",IF(E1693="Positivo",MAX(K1693/J1693,0),MAX(J1693/K1693,0))),"") </f>
        <v/>
      </c>
      <c r="N1693" s="5" t="inlineStr">
        <is>
          <t>ENT</t>
        </is>
      </c>
      <c r="O1693" s="5" t="inlineStr">
        <is>
          <t>ENT</t>
        </is>
      </c>
      <c r="P1693" s="5" t="n">
        <v>0</v>
      </c>
      <c r="Q1693" s="5" t="n">
        <v>0</v>
      </c>
      <c r="R1693" s="5" t="inlineStr">
        <is>
          <t>347-2025-03-31</t>
        </is>
      </c>
    </row>
    <row r="1694">
      <c r="A1694" s="5" t="n">
        <v>347</v>
      </c>
      <c r="B1694" s="5" t="inlineStr">
        <is>
          <t>Legalizaciones y anticipos</t>
        </is>
      </c>
      <c r="C1694" s="5" t="inlineStr">
        <is>
          <t>Contabilidad</t>
        </is>
      </c>
      <c r="D1694" s="5" t="inlineStr">
        <is>
          <t>Trimestral</t>
        </is>
      </c>
      <c r="E1694" s="5" t="inlineStr">
        <is>
          <t>Negativo</t>
        </is>
      </c>
      <c r="F1694" s="107" t="n">
        <v>45838</v>
      </c>
      <c r="G1694" s="5" t="n">
        <v>2025</v>
      </c>
      <c r="H1694" s="5" t="inlineStr">
        <is>
          <t>Junio</t>
        </is>
      </c>
      <c r="I1694" s="6" t="inlineStr">
        <is>
          <t>2025-1</t>
        </is>
      </c>
      <c r="J1694" s="5" t="n">
        <v>5</v>
      </c>
      <c r="K1694" s="5" t="n">
        <v>1</v>
      </c>
      <c r="L1694" s="14">
        <f>IFERROR(IF(OR(J1694=0,K1694=""),"",IF(E1694="Positivo",MIN(MAX(K1694/J1694,0),1.3),MIN(MAX(J1694/K1694,0),1.3))),"") </f>
        <v/>
      </c>
      <c r="M1694" s="14">
        <f>IFERROR(IF(OR(J1694=0,K1694=""),"",IF(E1694="Positivo",MAX(K1694/J1694,0),MAX(J1694/K1694,0))),"") </f>
        <v/>
      </c>
      <c r="N1694" s="5" t="inlineStr">
        <is>
          <t>ENT</t>
        </is>
      </c>
      <c r="O1694" s="5" t="inlineStr">
        <is>
          <t>ENT</t>
        </is>
      </c>
      <c r="P1694" s="5" t="n">
        <v>0</v>
      </c>
      <c r="Q1694" s="5" t="n">
        <v>0</v>
      </c>
      <c r="R1694" s="5" t="inlineStr">
        <is>
          <t>347-2025-06-30</t>
        </is>
      </c>
    </row>
    <row r="1695">
      <c r="A1695" s="5" t="n">
        <v>347</v>
      </c>
      <c r="B1695" s="5" t="inlineStr">
        <is>
          <t>Legalizaciones y anticipos</t>
        </is>
      </c>
      <c r="C1695" s="5" t="inlineStr">
        <is>
          <t>Contabilidad</t>
        </is>
      </c>
      <c r="D1695" s="5" t="inlineStr">
        <is>
          <t>Semestral</t>
        </is>
      </c>
      <c r="E1695" s="5" t="inlineStr">
        <is>
          <t>Negativo</t>
        </is>
      </c>
      <c r="F1695" s="107" t="n">
        <v>45930</v>
      </c>
      <c r="G1695" s="5" t="n">
        <v>2025</v>
      </c>
      <c r="H1695" s="5" t="inlineStr">
        <is>
          <t>Septiembre</t>
        </is>
      </c>
      <c r="I1695" s="6" t="inlineStr">
        <is>
          <t>2025-2</t>
        </is>
      </c>
      <c r="J1695" s="5" t="n">
        <v>5</v>
      </c>
      <c r="K1695" s="5" t="n">
        <v>6</v>
      </c>
      <c r="L1695" s="14">
        <f>IFERROR(IF(OR(J1695=0,K1695=""),"",IF(E1695="Positivo",MIN(MAX(K1695/J1695,0),1.3),MIN(MAX(J1695/K1695,0),1.3))),"") </f>
        <v/>
      </c>
      <c r="M1695" s="14">
        <f>IFERROR(IF(OR(J1695=0,K1695=""),"",IF(E1695="Positivo",MAX(K1695/J1695,0),MAX(J1695/K1695,0))),"") </f>
        <v/>
      </c>
      <c r="N1695" s="5" t="inlineStr">
        <is>
          <t>ENT</t>
        </is>
      </c>
      <c r="O1695" s="5" t="inlineStr">
        <is>
          <t>ENT</t>
        </is>
      </c>
      <c r="P1695" s="5" t="n">
        <v>0</v>
      </c>
      <c r="Q1695" s="5" t="n">
        <v>0</v>
      </c>
      <c r="R1695" s="5" t="inlineStr">
        <is>
          <t>347-2025-09-30</t>
        </is>
      </c>
    </row>
    <row r="1696">
      <c r="A1696" s="21" t="n">
        <v>347</v>
      </c>
      <c r="B1696" s="5" t="inlineStr">
        <is>
          <t>Legalizaciones y anticipos</t>
        </is>
      </c>
      <c r="C1696" s="5" t="inlineStr">
        <is>
          <t>Contabilidad</t>
        </is>
      </c>
      <c r="D1696" s="5" t="inlineStr">
        <is>
          <t>Semestral</t>
        </is>
      </c>
      <c r="E1696" s="5" t="inlineStr">
        <is>
          <t>Negativo</t>
        </is>
      </c>
      <c r="F1696" s="106" t="n">
        <v>46022</v>
      </c>
      <c r="G1696" s="5" t="n">
        <v>2025</v>
      </c>
      <c r="H1696" s="5" t="inlineStr">
        <is>
          <t>Diciembre</t>
        </is>
      </c>
      <c r="I1696" s="6" t="inlineStr">
        <is>
          <t>2025-2</t>
        </is>
      </c>
      <c r="J1696" s="5" t="n">
        <v>5</v>
      </c>
      <c r="K1696" s="9" t="n">
        <v>1</v>
      </c>
      <c r="L1696" s="14">
        <f>IFERROR(IF(OR(J1696=0,K1696=""),"",IF(E1696="Positivo",MIN(MAX(K1696/J1696,0),1.3),MIN(MAX(J1696/K1696,0),1.3))),"") </f>
        <v/>
      </c>
      <c r="M1696" s="14">
        <f>IFERROR(IF(OR(J1696=0,K1696=""),"",IF(E1696="Positivo",MAX(K1696/J1696,0),MAX(J1696/K1696,0))),"") </f>
        <v/>
      </c>
      <c r="N1696" s="5" t="inlineStr">
        <is>
          <t>ENT</t>
        </is>
      </c>
      <c r="O1696" s="5" t="inlineStr">
        <is>
          <t>ENT</t>
        </is>
      </c>
      <c r="P1696" s="15" t="n">
        <v>0</v>
      </c>
      <c r="Q1696" s="15" t="n">
        <v>0</v>
      </c>
      <c r="R1696" s="5" t="inlineStr">
        <is>
          <t>347-2025-12-31</t>
        </is>
      </c>
    </row>
    <row r="1697">
      <c r="A1697" s="21" t="n">
        <v>348</v>
      </c>
      <c r="B1697" s="5" t="inlineStr">
        <is>
          <t>Cuentas por pagar</t>
        </is>
      </c>
      <c r="C1697" s="5" t="inlineStr">
        <is>
          <t>Contabilidad</t>
        </is>
      </c>
      <c r="D1697" s="5" t="inlineStr">
        <is>
          <t>Trimestral</t>
        </is>
      </c>
      <c r="E1697" s="5" t="inlineStr">
        <is>
          <t>Positivo</t>
        </is>
      </c>
      <c r="F1697" s="106" t="n">
        <v>45016</v>
      </c>
      <c r="G1697" s="5" t="n">
        <v>2023</v>
      </c>
      <c r="H1697" s="5" t="inlineStr">
        <is>
          <t>Marzo</t>
        </is>
      </c>
      <c r="I1697" s="6" t="inlineStr">
        <is>
          <t>2023-1</t>
        </is>
      </c>
      <c r="J1697" s="5" t="n">
        <v>99</v>
      </c>
      <c r="K1697" s="94" t="n">
        <v>99.936143039591</v>
      </c>
      <c r="L1697" s="14">
        <f>IFERROR(IF(OR(J1697=0,K1697=""),"",IF(E1697="Positivo",MIN(MAX(K1697/J1697,0),1.3),MIN(MAX(J1697/K1697,0),1.3))),"") </f>
        <v/>
      </c>
      <c r="M1697" s="14">
        <f>IFERROR(IF(OR(J1697=0,K1697=""),"",IF(E1697="Positivo",MAX(K1697/J1697,0),MAX(J1697/K1697,0))),"") </f>
        <v/>
      </c>
      <c r="N1697" s="5" t="inlineStr">
        <is>
          <t>%</t>
        </is>
      </c>
      <c r="O1697" s="5" t="inlineStr">
        <is>
          <t>%</t>
        </is>
      </c>
      <c r="P1697" s="15" t="n">
        <v>0</v>
      </c>
      <c r="Q1697" s="15" t="n">
        <v>0</v>
      </c>
      <c r="R1697" s="5" t="inlineStr">
        <is>
          <t>348-2023-03-31</t>
        </is>
      </c>
    </row>
    <row r="1698">
      <c r="A1698" s="5" t="n">
        <v>348</v>
      </c>
      <c r="B1698" s="5" t="inlineStr">
        <is>
          <t>Cuentas por pagar</t>
        </is>
      </c>
      <c r="C1698" s="5" t="inlineStr">
        <is>
          <t>Contabilidad</t>
        </is>
      </c>
      <c r="D1698" s="5" t="inlineStr">
        <is>
          <t>Trimestral</t>
        </is>
      </c>
      <c r="E1698" s="5" t="inlineStr">
        <is>
          <t>Positivo</t>
        </is>
      </c>
      <c r="F1698" s="107" t="n">
        <v>45107</v>
      </c>
      <c r="G1698" s="5" t="n">
        <v>2023</v>
      </c>
      <c r="H1698" s="5" t="inlineStr">
        <is>
          <t>Junio</t>
        </is>
      </c>
      <c r="I1698" s="6" t="inlineStr">
        <is>
          <t>2023-1</t>
        </is>
      </c>
      <c r="J1698" s="5" t="n">
        <v>99</v>
      </c>
      <c r="K1698" s="5" t="n">
        <v>99.69924812030099</v>
      </c>
      <c r="L1698" s="14">
        <f>IFERROR(IF(OR(J1698=0,K1698=""),"",IF(E1698="Positivo",MIN(MAX(K1698/J1698,0),1.3),MIN(MAX(J1698/K1698,0),1.3))),"") </f>
        <v/>
      </c>
      <c r="M1698" s="14">
        <f>IFERROR(IF(OR(J1698=0,K1698=""),"",IF(E1698="Positivo",MAX(K1698/J1698,0),MAX(J1698/K1698,0))),"") </f>
        <v/>
      </c>
      <c r="N1698" s="5" t="inlineStr">
        <is>
          <t>%</t>
        </is>
      </c>
      <c r="O1698" s="5" t="inlineStr">
        <is>
          <t>%</t>
        </is>
      </c>
      <c r="P1698" s="5" t="n">
        <v>0</v>
      </c>
      <c r="Q1698" s="5" t="n">
        <v>0</v>
      </c>
      <c r="R1698" s="5" t="inlineStr">
        <is>
          <t>348-2023-06-30</t>
        </is>
      </c>
    </row>
    <row r="1699">
      <c r="A1699" s="5" t="n">
        <v>348</v>
      </c>
      <c r="B1699" s="5" t="inlineStr">
        <is>
          <t>Cuentas por pagar</t>
        </is>
      </c>
      <c r="C1699" s="5" t="inlineStr">
        <is>
          <t>Contabilidad</t>
        </is>
      </c>
      <c r="D1699" s="5" t="inlineStr">
        <is>
          <t>Trimestral</t>
        </is>
      </c>
      <c r="E1699" s="5" t="inlineStr">
        <is>
          <t>Positivo</t>
        </is>
      </c>
      <c r="F1699" s="107" t="n">
        <v>45199</v>
      </c>
      <c r="G1699" s="5" t="n">
        <v>2023</v>
      </c>
      <c r="H1699" s="5" t="inlineStr">
        <is>
          <t>Septiembre</t>
        </is>
      </c>
      <c r="I1699" s="6" t="inlineStr">
        <is>
          <t>2023-2</t>
        </is>
      </c>
      <c r="J1699" s="73" t="n">
        <v>99</v>
      </c>
      <c r="K1699" s="9" t="n">
        <v>100</v>
      </c>
      <c r="L1699" s="14">
        <f>IFERROR(IF(OR(J1699=0,K1699=""),"",IF(E1699="Positivo",MIN(MAX(K1699/J1699,0),1.3),MIN(MAX(J1699/K1699,0),1.3))),"") </f>
        <v/>
      </c>
      <c r="M1699" s="14">
        <f>IFERROR(IF(OR(J1699=0,K1699=""),"",IF(E1699="Positivo",MAX(K1699/J1699,0),MAX(J1699/K1699,0))),"") </f>
        <v/>
      </c>
      <c r="N1699" s="5" t="inlineStr">
        <is>
          <t>%</t>
        </is>
      </c>
      <c r="O1699" s="5" t="inlineStr">
        <is>
          <t>%</t>
        </is>
      </c>
      <c r="P1699" s="5" t="n">
        <v>0</v>
      </c>
      <c r="Q1699" s="5" t="n">
        <v>0</v>
      </c>
      <c r="R1699" s="5" t="inlineStr">
        <is>
          <t>348-2023-09-30</t>
        </is>
      </c>
    </row>
    <row r="1700">
      <c r="A1700" s="5" t="n">
        <v>348</v>
      </c>
      <c r="B1700" s="5" t="inlineStr">
        <is>
          <t>Cuentas por pagar</t>
        </is>
      </c>
      <c r="C1700" s="5" t="inlineStr">
        <is>
          <t>Contabilidad</t>
        </is>
      </c>
      <c r="D1700" s="5" t="inlineStr">
        <is>
          <t>Trimestral</t>
        </is>
      </c>
      <c r="E1700" s="5" t="inlineStr">
        <is>
          <t>Positivo</t>
        </is>
      </c>
      <c r="F1700" s="107" t="n">
        <v>45291</v>
      </c>
      <c r="G1700" s="5" t="n">
        <v>2023</v>
      </c>
      <c r="H1700" s="5" t="inlineStr">
        <is>
          <t>Diciembre</t>
        </is>
      </c>
      <c r="I1700" s="6" t="inlineStr">
        <is>
          <t>2023-2</t>
        </is>
      </c>
      <c r="J1700" s="5" t="n">
        <v>99</v>
      </c>
      <c r="K1700" s="5" t="n">
        <v>100</v>
      </c>
      <c r="L1700" s="14">
        <f>IFERROR(IF(OR(J1700=0,K1700=""),"",IF(E1700="Positivo",MIN(MAX(K1700/J1700,0),1.3),MIN(MAX(J1700/K1700,0),1.3))),"") </f>
        <v/>
      </c>
      <c r="M1700" s="14">
        <f>IFERROR(IF(OR(J1700=0,K1700=""),"",IF(E1700="Positivo",MAX(K1700/J1700,0),MAX(J1700/K1700,0))),"") </f>
        <v/>
      </c>
      <c r="N1700" s="5" t="inlineStr">
        <is>
          <t>%</t>
        </is>
      </c>
      <c r="O1700" s="5" t="inlineStr">
        <is>
          <t>%</t>
        </is>
      </c>
      <c r="P1700" s="5" t="n">
        <v>0</v>
      </c>
      <c r="Q1700" s="5" t="n">
        <v>0</v>
      </c>
      <c r="R1700" s="5" t="inlineStr">
        <is>
          <t>348-2023-12-31</t>
        </is>
      </c>
    </row>
    <row r="1701">
      <c r="A1701" s="21" t="n">
        <v>348</v>
      </c>
      <c r="B1701" s="5" t="inlineStr">
        <is>
          <t>Cuentas por pagar</t>
        </is>
      </c>
      <c r="C1701" s="5" t="inlineStr">
        <is>
          <t>Contabilidad</t>
        </is>
      </c>
      <c r="D1701" s="5" t="inlineStr">
        <is>
          <t>Trimestral</t>
        </is>
      </c>
      <c r="E1701" s="5" t="inlineStr">
        <is>
          <t>Positivo</t>
        </is>
      </c>
      <c r="F1701" s="107" t="n">
        <v>45382</v>
      </c>
      <c r="G1701" s="5" t="n">
        <v>2024</v>
      </c>
      <c r="H1701" s="5" t="inlineStr">
        <is>
          <t>Marzo</t>
        </is>
      </c>
      <c r="I1701" s="6" t="inlineStr">
        <is>
          <t>2024-1</t>
        </is>
      </c>
      <c r="J1701" s="5" t="n">
        <v>99</v>
      </c>
      <c r="K1701" s="10" t="n">
        <v>99.95</v>
      </c>
      <c r="L1701" s="14">
        <f>IFERROR(IF(OR(J1701=0,K1701=""),"",IF(E1701="Positivo",MIN(MAX(K1701/J1701,0),1.3),MIN(MAX(J1701/K1701,0),1.3))),"") </f>
        <v/>
      </c>
      <c r="M1701" s="14">
        <f>IFERROR(IF(OR(J1701=0,K1701=""),"",IF(E1701="Positivo",MAX(K1701/J1701,0),MAX(J1701/K1701,0))),"") </f>
        <v/>
      </c>
      <c r="N1701" s="5" t="inlineStr">
        <is>
          <t>%</t>
        </is>
      </c>
      <c r="O1701" s="5" t="inlineStr">
        <is>
          <t>%</t>
        </is>
      </c>
      <c r="P1701" s="15" t="n">
        <v>0</v>
      </c>
      <c r="Q1701" s="15" t="n">
        <v>0</v>
      </c>
      <c r="R1701" s="5" t="inlineStr">
        <is>
          <t>348-2024-03-31</t>
        </is>
      </c>
    </row>
    <row r="1702">
      <c r="A1702" s="5" t="n">
        <v>348</v>
      </c>
      <c r="B1702" s="5" t="inlineStr">
        <is>
          <t>Cuentas por pagar</t>
        </is>
      </c>
      <c r="C1702" s="5" t="inlineStr">
        <is>
          <t>Contabilidad</t>
        </is>
      </c>
      <c r="D1702" s="5" t="inlineStr">
        <is>
          <t>Trimestral</t>
        </is>
      </c>
      <c r="E1702" s="5" t="inlineStr">
        <is>
          <t>Positivo</t>
        </is>
      </c>
      <c r="F1702" s="107" t="n">
        <v>45473</v>
      </c>
      <c r="G1702" s="5" t="n">
        <v>2024</v>
      </c>
      <c r="H1702" s="5" t="inlineStr">
        <is>
          <t>Junio</t>
        </is>
      </c>
      <c r="I1702" s="6" t="inlineStr">
        <is>
          <t>2024-1</t>
        </is>
      </c>
      <c r="J1702" s="5" t="n">
        <v>99</v>
      </c>
      <c r="K1702" s="5" t="n">
        <v>99.90000000000001</v>
      </c>
      <c r="L1702" s="14">
        <f>IFERROR(IF(OR(J1702=0,K1702=""),"",IF(E1702="Positivo",MIN(MAX(K1702/J1702,0),1.3),MIN(MAX(J1702/K1702,0),1.3))),"") </f>
        <v/>
      </c>
      <c r="M1702" s="14">
        <f>IFERROR(IF(OR(J1702=0,K1702=""),"",IF(E1702="Positivo",MAX(K1702/J1702,0),MAX(J1702/K1702,0))),"") </f>
        <v/>
      </c>
      <c r="N1702" s="5" t="inlineStr">
        <is>
          <t>%</t>
        </is>
      </c>
      <c r="O1702" s="5" t="inlineStr">
        <is>
          <t>%</t>
        </is>
      </c>
      <c r="P1702" s="5" t="n">
        <v>1</v>
      </c>
      <c r="Q1702" s="5" t="n">
        <v>1</v>
      </c>
      <c r="R1702" s="5" t="inlineStr">
        <is>
          <t>348-2024-06-30</t>
        </is>
      </c>
    </row>
    <row r="1703">
      <c r="A1703" s="21" t="n">
        <v>348</v>
      </c>
      <c r="B1703" s="5" t="inlineStr">
        <is>
          <t>Cuentas por pagar</t>
        </is>
      </c>
      <c r="C1703" s="5" t="inlineStr">
        <is>
          <t>Contabilidad</t>
        </is>
      </c>
      <c r="D1703" s="5" t="inlineStr">
        <is>
          <t>Trimestral</t>
        </is>
      </c>
      <c r="E1703" s="5" t="inlineStr">
        <is>
          <t>Positivo</t>
        </is>
      </c>
      <c r="F1703" s="107" t="n">
        <v>45565</v>
      </c>
      <c r="G1703" s="5" t="n">
        <v>2024</v>
      </c>
      <c r="H1703" s="5" t="inlineStr">
        <is>
          <t>Septiembre</t>
        </is>
      </c>
      <c r="I1703" s="6" t="inlineStr">
        <is>
          <t>2024-2</t>
        </is>
      </c>
      <c r="J1703" s="5" t="n">
        <v>99</v>
      </c>
      <c r="K1703" s="10" t="n">
        <v>100</v>
      </c>
      <c r="L1703" s="14">
        <f>IFERROR(IF(OR(J1703=0,K1703=""),"",IF(E1703="Positivo",MIN(MAX(K1703/J1703,0),1.3),MIN(MAX(J1703/K1703,0),1.3))),"") </f>
        <v/>
      </c>
      <c r="M1703" s="14">
        <f>IFERROR(IF(OR(J1703=0,K1703=""),"",IF(E1703="Positivo",MAX(K1703/J1703,0),MAX(J1703/K1703,0))),"") </f>
        <v/>
      </c>
      <c r="N1703" s="5" t="inlineStr">
        <is>
          <t>%</t>
        </is>
      </c>
      <c r="O1703" s="5" t="inlineStr">
        <is>
          <t>%</t>
        </is>
      </c>
      <c r="P1703" s="15" t="n">
        <v>1</v>
      </c>
      <c r="Q1703" s="15" t="n">
        <v>1</v>
      </c>
      <c r="R1703" s="5" t="inlineStr">
        <is>
          <t>348-2024-09-30</t>
        </is>
      </c>
    </row>
    <row r="1704">
      <c r="A1704" s="5" t="n">
        <v>348</v>
      </c>
      <c r="B1704" s="5" t="inlineStr">
        <is>
          <t>Cuentas por pagar</t>
        </is>
      </c>
      <c r="C1704" s="5" t="inlineStr">
        <is>
          <t>Contabilidad</t>
        </is>
      </c>
      <c r="D1704" s="5" t="inlineStr">
        <is>
          <t>Trimestral</t>
        </is>
      </c>
      <c r="E1704" s="5" t="inlineStr">
        <is>
          <t>Positivo</t>
        </is>
      </c>
      <c r="F1704" s="107" t="n">
        <v>45657</v>
      </c>
      <c r="G1704" s="5" t="n">
        <v>2024</v>
      </c>
      <c r="H1704" s="5" t="inlineStr">
        <is>
          <t>Diciembre</t>
        </is>
      </c>
      <c r="I1704" s="6" t="inlineStr">
        <is>
          <t>2024-2</t>
        </is>
      </c>
      <c r="J1704" s="5" t="n">
        <v>99</v>
      </c>
      <c r="K1704" s="5" t="n">
        <v>100</v>
      </c>
      <c r="L1704" s="14">
        <f>IFERROR(IF(OR(J1704=0,K1704=""),"",IF(E1704="Positivo",MIN(MAX(K1704/J1704,0),1.3),MIN(MAX(J1704/K1704,0),1.3))),"") </f>
        <v/>
      </c>
      <c r="M1704" s="14">
        <f>IFERROR(IF(OR(J1704=0,K1704=""),"",IF(E1704="Positivo",MAX(K1704/J1704,0),MAX(J1704/K1704,0))),"") </f>
        <v/>
      </c>
      <c r="N1704" s="5" t="inlineStr">
        <is>
          <t>%</t>
        </is>
      </c>
      <c r="O1704" s="5" t="inlineStr">
        <is>
          <t>%</t>
        </is>
      </c>
      <c r="P1704" s="5" t="n">
        <v>1</v>
      </c>
      <c r="Q1704" s="5" t="n">
        <v>1</v>
      </c>
      <c r="R1704" s="5" t="inlineStr">
        <is>
          <t>348-2024-12-31</t>
        </is>
      </c>
    </row>
    <row r="1705">
      <c r="A1705" s="21" t="n">
        <v>348</v>
      </c>
      <c r="B1705" s="5" t="inlineStr">
        <is>
          <t>Cuentas por pagar</t>
        </is>
      </c>
      <c r="C1705" s="5" t="inlineStr">
        <is>
          <t>Contabilidad</t>
        </is>
      </c>
      <c r="D1705" s="5" t="inlineStr">
        <is>
          <t>Trimestral</t>
        </is>
      </c>
      <c r="E1705" s="5" t="inlineStr">
        <is>
          <t>Positivo</t>
        </is>
      </c>
      <c r="F1705" s="107" t="n">
        <v>45747</v>
      </c>
      <c r="G1705" s="5" t="n">
        <v>2025</v>
      </c>
      <c r="H1705" s="5" t="inlineStr">
        <is>
          <t>Marzo</t>
        </is>
      </c>
      <c r="I1705" s="6" t="inlineStr">
        <is>
          <t>2025-1</t>
        </is>
      </c>
      <c r="J1705" s="5" t="n">
        <v>99</v>
      </c>
      <c r="K1705" s="10" t="n">
        <v>100</v>
      </c>
      <c r="L1705" s="14">
        <f>IFERROR(IF(OR(J1705=0,K1705=""),"",IF(E1705="Positivo",MIN(MAX(K1705/J1705,0),1.3),MIN(MAX(J1705/K1705,0),1.3))),"") </f>
        <v/>
      </c>
      <c r="M1705" s="14">
        <f>IFERROR(IF(OR(J1705=0,K1705=""),"",IF(E1705="Positivo",MAX(K1705/J1705,0),MAX(J1705/K1705,0))),"") </f>
        <v/>
      </c>
      <c r="N1705" s="5" t="inlineStr">
        <is>
          <t>%</t>
        </is>
      </c>
      <c r="O1705" s="5" t="inlineStr">
        <is>
          <t>%</t>
        </is>
      </c>
      <c r="P1705" s="15" t="n">
        <v>0</v>
      </c>
      <c r="Q1705" s="15" t="n">
        <v>0</v>
      </c>
      <c r="R1705" s="5" t="inlineStr">
        <is>
          <t>348-2025-03-31</t>
        </is>
      </c>
    </row>
    <row r="1706">
      <c r="A1706" s="5" t="n">
        <v>348</v>
      </c>
      <c r="B1706" s="5" t="inlineStr">
        <is>
          <t>Cuentas por pagar</t>
        </is>
      </c>
      <c r="C1706" s="5" t="inlineStr">
        <is>
          <t>Contabilidad</t>
        </is>
      </c>
      <c r="D1706" s="5" t="inlineStr">
        <is>
          <t>Trimestral</t>
        </is>
      </c>
      <c r="E1706" s="5" t="inlineStr">
        <is>
          <t>Positivo</t>
        </is>
      </c>
      <c r="F1706" s="107" t="n">
        <v>45838</v>
      </c>
      <c r="G1706" s="5" t="n">
        <v>2025</v>
      </c>
      <c r="H1706" s="5" t="inlineStr">
        <is>
          <t>Junio</t>
        </is>
      </c>
      <c r="I1706" s="6" t="inlineStr">
        <is>
          <t>2025-1</t>
        </is>
      </c>
      <c r="J1706" s="5" t="n">
        <v>99</v>
      </c>
      <c r="K1706" s="5" t="n">
        <v>100</v>
      </c>
      <c r="L1706" s="14">
        <f>IFERROR(IF(OR(J1706=0,K1706=""),"",IF(E1706="Positivo",MIN(MAX(K1706/J1706,0),1.3),MIN(MAX(J1706/K1706,0),1.3))),"") </f>
        <v/>
      </c>
      <c r="M1706" s="14">
        <f>IFERROR(IF(OR(J1706=0,K1706=""),"",IF(E1706="Positivo",MAX(K1706/J1706,0),MAX(J1706/K1706,0))),"") </f>
        <v/>
      </c>
      <c r="N1706" s="5" t="inlineStr">
        <is>
          <t>%</t>
        </is>
      </c>
      <c r="O1706" s="5" t="inlineStr">
        <is>
          <t>%</t>
        </is>
      </c>
      <c r="P1706" s="15" t="n">
        <v>1</v>
      </c>
      <c r="Q1706" s="5" t="n">
        <v>1</v>
      </c>
      <c r="R1706" s="5" t="inlineStr">
        <is>
          <t>348-2025-06-30</t>
        </is>
      </c>
    </row>
    <row r="1707">
      <c r="A1707" s="21" t="n">
        <v>348</v>
      </c>
      <c r="B1707" s="5" t="inlineStr">
        <is>
          <t>Cuentas por pagar</t>
        </is>
      </c>
      <c r="C1707" s="5" t="inlineStr">
        <is>
          <t>Contabilidad</t>
        </is>
      </c>
      <c r="D1707" s="5" t="inlineStr">
        <is>
          <t>Semestral</t>
        </is>
      </c>
      <c r="E1707" s="5" t="inlineStr">
        <is>
          <t>Positivo</t>
        </is>
      </c>
      <c r="F1707" s="107" t="n">
        <v>45930</v>
      </c>
      <c r="G1707" s="5" t="n">
        <v>2025</v>
      </c>
      <c r="H1707" s="5" t="inlineStr">
        <is>
          <t>Septiembre</t>
        </is>
      </c>
      <c r="I1707" s="6" t="inlineStr">
        <is>
          <t>2025-2</t>
        </is>
      </c>
      <c r="J1707" s="5" t="n">
        <v>99</v>
      </c>
      <c r="K1707" s="103" t="n">
        <v>100</v>
      </c>
      <c r="L1707" s="14">
        <f>IFERROR(IF(OR(J1707=0,K1707=""),"",IF(E1707="Positivo",MIN(MAX(K1707/J1707,0),1.3),MIN(MAX(J1707/K1707,0),1.3))),"") </f>
        <v/>
      </c>
      <c r="M1707" s="14">
        <f>IFERROR(IF(OR(J1707=0,K1707=""),"",IF(E1707="Positivo",MAX(K1707/J1707,0),MAX(J1707/K1707,0))),"") </f>
        <v/>
      </c>
      <c r="N1707" s="5" t="inlineStr">
        <is>
          <t>%</t>
        </is>
      </c>
      <c r="O1707" s="5" t="inlineStr">
        <is>
          <t>%</t>
        </is>
      </c>
      <c r="P1707" s="15" t="n">
        <v>0</v>
      </c>
      <c r="Q1707" s="15" t="n">
        <v>0</v>
      </c>
      <c r="R1707" s="5" t="inlineStr">
        <is>
          <t>348-2025-09-30</t>
        </is>
      </c>
    </row>
    <row r="1708">
      <c r="A1708" s="5" t="n">
        <v>348</v>
      </c>
      <c r="B1708" s="5" t="inlineStr">
        <is>
          <t>Cuentas por pagar</t>
        </is>
      </c>
      <c r="C1708" s="5" t="inlineStr">
        <is>
          <t>Contabilidad</t>
        </is>
      </c>
      <c r="D1708" s="5" t="inlineStr">
        <is>
          <t>Semestral</t>
        </is>
      </c>
      <c r="E1708" s="5" t="inlineStr">
        <is>
          <t>Positivo</t>
        </is>
      </c>
      <c r="F1708" s="107" t="n">
        <v>46022</v>
      </c>
      <c r="G1708" s="5" t="n">
        <v>2025</v>
      </c>
      <c r="H1708" s="5" t="inlineStr">
        <is>
          <t>Diciembre</t>
        </is>
      </c>
      <c r="I1708" s="6" t="inlineStr">
        <is>
          <t>2025-2</t>
        </is>
      </c>
      <c r="J1708" s="5" t="n">
        <v>99</v>
      </c>
      <c r="K1708" s="103" t="n">
        <v>100</v>
      </c>
      <c r="L1708" s="14">
        <f>IFERROR(IF(OR(J1708=0,K1708=""),"",IF(E1708="Positivo",MIN(MAX(K1708/J1708,0),1.3),MIN(MAX(J1708/K1708,0),1.3))),"") </f>
        <v/>
      </c>
      <c r="M1708" s="14">
        <f>IFERROR(IF(OR(J1708=0,K1708=""),"",IF(E1708="Positivo",MAX(K1708/J1708,0),MAX(J1708/K1708,0))),"") </f>
        <v/>
      </c>
      <c r="N1708" s="5" t="inlineStr">
        <is>
          <t>%</t>
        </is>
      </c>
      <c r="O1708" s="5" t="inlineStr">
        <is>
          <t>%</t>
        </is>
      </c>
      <c r="P1708" s="15" t="n">
        <v>0</v>
      </c>
      <c r="Q1708" s="5" t="n">
        <v>0</v>
      </c>
      <c r="R1708" s="5" t="inlineStr">
        <is>
          <t>348-2025-12-31</t>
        </is>
      </c>
    </row>
    <row r="1709">
      <c r="A1709" s="21" t="n">
        <v>351</v>
      </c>
      <c r="B1709" s="5" t="inlineStr">
        <is>
          <t>Partidas conciliatorias de bancos</t>
        </is>
      </c>
      <c r="C1709" s="5" t="inlineStr">
        <is>
          <t>Contabilidad</t>
        </is>
      </c>
      <c r="D1709" s="5" t="inlineStr">
        <is>
          <t>Trimestral</t>
        </is>
      </c>
      <c r="E1709" s="5" t="inlineStr">
        <is>
          <t>Negativo</t>
        </is>
      </c>
      <c r="F1709" s="107" t="n">
        <v>45016</v>
      </c>
      <c r="G1709" s="5" t="n">
        <v>2023</v>
      </c>
      <c r="H1709" s="5" t="inlineStr">
        <is>
          <t>Marzo</t>
        </is>
      </c>
      <c r="I1709" s="6" t="inlineStr">
        <is>
          <t>2023-1</t>
        </is>
      </c>
      <c r="J1709" s="5" t="n">
        <v>0</v>
      </c>
      <c r="K1709" s="10" t="n">
        <v>11.41868512110727</v>
      </c>
      <c r="L1709" s="14">
        <f>IFERROR(IF(OR(J1709=0,K1709=""),"",IF(E1709="Positivo",MIN(MAX(K1709/J1709,0),1.3),MIN(MAX(J1709/K1709,0),1.3))),"") </f>
        <v/>
      </c>
      <c r="M1709" s="14">
        <f>IFERROR(IF(OR(J1709=0,K1709=""),"",IF(E1709="Positivo",MAX(K1709/J1709,0),MAX(J1709/K1709,0))),"") </f>
        <v/>
      </c>
      <c r="N1709" s="11" t="inlineStr">
        <is>
          <t>ENT</t>
        </is>
      </c>
      <c r="O1709" s="11" t="inlineStr">
        <is>
          <t>DEC</t>
        </is>
      </c>
      <c r="P1709" s="15" t="n">
        <v>0</v>
      </c>
      <c r="Q1709" s="15" t="n">
        <v>0</v>
      </c>
      <c r="R1709" s="5" t="inlineStr">
        <is>
          <t>351-2023-03-31</t>
        </is>
      </c>
    </row>
    <row r="1710">
      <c r="A1710" s="5" t="n">
        <v>351</v>
      </c>
      <c r="B1710" s="5" t="inlineStr">
        <is>
          <t>Partidas conciliatorias de bancos</t>
        </is>
      </c>
      <c r="C1710" s="5" t="inlineStr">
        <is>
          <t>Contabilidad</t>
        </is>
      </c>
      <c r="D1710" s="5" t="inlineStr">
        <is>
          <t>Trimestral</t>
        </is>
      </c>
      <c r="E1710" s="5" t="inlineStr">
        <is>
          <t>Negativo</t>
        </is>
      </c>
      <c r="F1710" s="107" t="n">
        <v>45107</v>
      </c>
      <c r="G1710" s="5" t="n">
        <v>2023</v>
      </c>
      <c r="H1710" s="5" t="inlineStr">
        <is>
          <t>Junio</t>
        </is>
      </c>
      <c r="I1710" s="6" t="inlineStr">
        <is>
          <t>2023-1</t>
        </is>
      </c>
      <c r="J1710" s="5" t="n">
        <v>0</v>
      </c>
      <c r="K1710" s="5" t="n">
        <v>8.233398961875784</v>
      </c>
      <c r="L1710" s="14">
        <f>IFERROR(IF(OR(J1710=0,K1710=""),"",IF(E1710="Positivo",MIN(MAX(K1710/J1710,0),1.3),MIN(MAX(J1710/K1710,0),1.3))),"") </f>
        <v/>
      </c>
      <c r="M1710" s="14">
        <f>IFERROR(IF(OR(J1710=0,K1710=""),"",IF(E1710="Positivo",MAX(K1710/J1710,0),MAX(J1710/K1710,0))),"") </f>
        <v/>
      </c>
      <c r="N1710" s="5" t="inlineStr">
        <is>
          <t>ENT</t>
        </is>
      </c>
      <c r="O1710" s="17" t="inlineStr">
        <is>
          <t>DEC</t>
        </is>
      </c>
      <c r="P1710" s="5" t="n">
        <v>0</v>
      </c>
      <c r="Q1710" s="5" t="n">
        <v>0</v>
      </c>
      <c r="R1710" s="5" t="inlineStr">
        <is>
          <t>351-2023-06-30</t>
        </is>
      </c>
    </row>
    <row r="1711">
      <c r="A1711" s="21" t="n">
        <v>351</v>
      </c>
      <c r="B1711" s="5" t="inlineStr">
        <is>
          <t>Partidas conciliatorias de bancos</t>
        </is>
      </c>
      <c r="C1711" s="5" t="inlineStr">
        <is>
          <t>Contabilidad</t>
        </is>
      </c>
      <c r="D1711" s="5" t="inlineStr">
        <is>
          <t>Trimestral</t>
        </is>
      </c>
      <c r="E1711" s="5" t="inlineStr">
        <is>
          <t>Negativo</t>
        </is>
      </c>
      <c r="F1711" s="107" t="n">
        <v>45199</v>
      </c>
      <c r="G1711" s="5" t="n">
        <v>2023</v>
      </c>
      <c r="H1711" s="5" t="inlineStr">
        <is>
          <t>Septiembre</t>
        </is>
      </c>
      <c r="I1711" s="6" t="inlineStr">
        <is>
          <t>2023-2</t>
        </is>
      </c>
      <c r="J1711" s="5" t="n">
        <v>0</v>
      </c>
      <c r="K1711" s="10" t="n">
        <v>10.29796131730267</v>
      </c>
      <c r="L1711" s="14">
        <f>IFERROR(IF(OR(J1711=0,K1711=""),"",IF(E1711="Positivo",MIN(MAX(K1711/J1711,0),1.3),MIN(MAX(J1711/K1711,0),1.3))),"") </f>
        <v/>
      </c>
      <c r="M1711" s="14">
        <f>IFERROR(IF(OR(J1711=0,K1711=""),"",IF(E1711="Positivo",MAX(K1711/J1711,0),MAX(J1711/K1711,0))),"") </f>
        <v/>
      </c>
      <c r="N1711" s="5" t="inlineStr">
        <is>
          <t>ENT</t>
        </is>
      </c>
      <c r="O1711" s="5" t="inlineStr">
        <is>
          <t>DEC</t>
        </is>
      </c>
      <c r="P1711" s="15" t="n">
        <v>0</v>
      </c>
      <c r="Q1711" s="15" t="n">
        <v>0</v>
      </c>
      <c r="R1711" s="5" t="inlineStr">
        <is>
          <t>351-2023-09-30</t>
        </is>
      </c>
    </row>
    <row r="1712">
      <c r="A1712" s="21" t="n">
        <v>351</v>
      </c>
      <c r="B1712" s="5" t="inlineStr">
        <is>
          <t>Partidas conciliatorias de bancos</t>
        </is>
      </c>
      <c r="C1712" s="5" t="inlineStr">
        <is>
          <t>Contabilidad</t>
        </is>
      </c>
      <c r="D1712" s="5" t="inlineStr">
        <is>
          <t>Trimestral</t>
        </is>
      </c>
      <c r="E1712" s="5" t="inlineStr">
        <is>
          <t>Negativo</t>
        </is>
      </c>
      <c r="F1712" s="107" t="n">
        <v>45291</v>
      </c>
      <c r="G1712" s="5" t="n">
        <v>2023</v>
      </c>
      <c r="H1712" s="5" t="inlineStr">
        <is>
          <t>Diciembre</t>
        </is>
      </c>
      <c r="I1712" s="6" t="inlineStr">
        <is>
          <t>2023-2</t>
        </is>
      </c>
      <c r="J1712" s="5" t="n">
        <v>0</v>
      </c>
      <c r="K1712" s="10" t="n">
        <v>3.544282881692003</v>
      </c>
      <c r="L1712" s="14">
        <f>IFERROR(IF(OR(J1712=0,K1712=""),"",IF(E1712="Positivo",MIN(MAX(K1712/J1712,0),1.3),MIN(MAX(J1712/K1712,0),1.3))),"") </f>
        <v/>
      </c>
      <c r="M1712" s="14">
        <f>IFERROR(IF(OR(J1712=0,K1712=""),"",IF(E1712="Positivo",MAX(K1712/J1712,0),MAX(J1712/K1712,0))),"") </f>
        <v/>
      </c>
      <c r="N1712" s="5" t="inlineStr">
        <is>
          <t>ENT</t>
        </is>
      </c>
      <c r="O1712" s="5" t="inlineStr">
        <is>
          <t>DEC</t>
        </is>
      </c>
      <c r="P1712" s="15" t="n">
        <v>0</v>
      </c>
      <c r="Q1712" s="15" t="n">
        <v>0</v>
      </c>
      <c r="R1712" s="5" t="inlineStr">
        <is>
          <t>351-2023-12-31</t>
        </is>
      </c>
    </row>
    <row r="1713">
      <c r="A1713" s="21" t="n">
        <v>351</v>
      </c>
      <c r="B1713" s="5" t="inlineStr">
        <is>
          <t>Partidas conciliatorias de bancos</t>
        </is>
      </c>
      <c r="C1713" s="5" t="inlineStr">
        <is>
          <t>Contabilidad</t>
        </is>
      </c>
      <c r="D1713" s="5" t="inlineStr">
        <is>
          <t>Trimestral</t>
        </is>
      </c>
      <c r="E1713" s="5" t="inlineStr">
        <is>
          <t>Negativo</t>
        </is>
      </c>
      <c r="F1713" s="107" t="n">
        <v>45382</v>
      </c>
      <c r="G1713" s="5" t="n">
        <v>2024</v>
      </c>
      <c r="H1713" s="5" t="inlineStr">
        <is>
          <t>Marzo</t>
        </is>
      </c>
      <c r="I1713" s="6" t="inlineStr">
        <is>
          <t>2024-1</t>
        </is>
      </c>
      <c r="J1713" s="5" t="n">
        <v>0</v>
      </c>
      <c r="K1713" s="5" t="n">
        <v>4.999240813847555</v>
      </c>
      <c r="L1713" s="14">
        <f>IFERROR(IF(OR(J1713=0,K1713=""),"",IF(E1713="Positivo",MIN(MAX(K1713/J1713,0),1.3),MIN(MAX(J1713/K1713,0),1.3))),"") </f>
        <v/>
      </c>
      <c r="M1713" s="14">
        <f>IFERROR(IF(OR(J1713=0,K1713=""),"",IF(E1713="Positivo",MAX(K1713/J1713,0),MAX(J1713/K1713,0))),"") </f>
        <v/>
      </c>
      <c r="N1713" s="5" t="inlineStr">
        <is>
          <t>ENT</t>
        </is>
      </c>
      <c r="O1713" s="5" t="inlineStr">
        <is>
          <t>DEC</t>
        </is>
      </c>
      <c r="P1713" s="15" t="n">
        <v>0</v>
      </c>
      <c r="Q1713" s="15" t="n">
        <v>0</v>
      </c>
      <c r="R1713" s="5" t="inlineStr">
        <is>
          <t>351-2024-03-31</t>
        </is>
      </c>
    </row>
    <row r="1714">
      <c r="A1714" s="21" t="n">
        <v>351</v>
      </c>
      <c r="B1714" s="5" t="inlineStr">
        <is>
          <t>Partidas conciliatorias de bancos</t>
        </is>
      </c>
      <c r="C1714" s="5" t="inlineStr">
        <is>
          <t>Contabilidad</t>
        </is>
      </c>
      <c r="D1714" s="5" t="inlineStr">
        <is>
          <t>Trimestral</t>
        </is>
      </c>
      <c r="E1714" s="5" t="inlineStr">
        <is>
          <t>Negativo</t>
        </is>
      </c>
      <c r="F1714" s="107" t="n">
        <v>45473</v>
      </c>
      <c r="G1714" s="5" t="n">
        <v>2024</v>
      </c>
      <c r="H1714" s="5" t="inlineStr">
        <is>
          <t>Junio</t>
        </is>
      </c>
      <c r="I1714" s="6" t="inlineStr">
        <is>
          <t>2024-1</t>
        </is>
      </c>
      <c r="J1714" s="5" t="n">
        <v>0</v>
      </c>
      <c r="K1714" s="10" t="n">
        <v>12.52996115381436</v>
      </c>
      <c r="L1714" s="14">
        <f>IFERROR(IF(OR(J1714=0,K1714=""),"",IF(E1714="Positivo",MIN(MAX(K1714/J1714,0),1.3),MIN(MAX(J1714/K1714,0),1.3))),"") </f>
        <v/>
      </c>
      <c r="M1714" s="14">
        <f>IFERROR(IF(OR(J1714=0,K1714=""),"",IF(E1714="Positivo",MAX(K1714/J1714,0),MAX(J1714/K1714,0))),"") </f>
        <v/>
      </c>
      <c r="N1714" s="5" t="inlineStr">
        <is>
          <t>ENT</t>
        </is>
      </c>
      <c r="O1714" s="5" t="inlineStr">
        <is>
          <t>DEC</t>
        </is>
      </c>
      <c r="P1714" s="15" t="n">
        <v>0</v>
      </c>
      <c r="Q1714" s="15" t="n">
        <v>1</v>
      </c>
      <c r="R1714" s="5" t="inlineStr">
        <is>
          <t>351-2024-06-30</t>
        </is>
      </c>
    </row>
    <row r="1715">
      <c r="A1715" s="5" t="n">
        <v>351</v>
      </c>
      <c r="B1715" s="5" t="inlineStr">
        <is>
          <t>Partidas conciliatorias de bancos</t>
        </is>
      </c>
      <c r="C1715" s="5" t="inlineStr">
        <is>
          <t>Contabilidad</t>
        </is>
      </c>
      <c r="D1715" s="5" t="inlineStr">
        <is>
          <t>Trimestral</t>
        </is>
      </c>
      <c r="E1715" s="5" t="inlineStr">
        <is>
          <t>Negativo</t>
        </is>
      </c>
      <c r="F1715" s="107" t="n">
        <v>45565</v>
      </c>
      <c r="G1715" s="5" t="n">
        <v>2024</v>
      </c>
      <c r="H1715" s="5" t="inlineStr">
        <is>
          <t>Septiembre</t>
        </is>
      </c>
      <c r="I1715" s="6" t="inlineStr">
        <is>
          <t>2024-2</t>
        </is>
      </c>
      <c r="J1715" s="5" t="n">
        <v>0</v>
      </c>
      <c r="K1715" s="5" t="n">
        <v>3.179572169536261</v>
      </c>
      <c r="L1715" s="14">
        <f>IFERROR(IF(OR(J1715=0,K1715=""),"",IF(E1715="Positivo",MIN(MAX(K1715/J1715,0),1.3),MIN(MAX(J1715/K1715,0),1.3))),"") </f>
        <v/>
      </c>
      <c r="M1715" s="14">
        <f>IFERROR(IF(OR(J1715=0,K1715=""),"",IF(E1715="Positivo",MAX(K1715/J1715,0),MAX(J1715/K1715,0))),"") </f>
        <v/>
      </c>
      <c r="N1715" s="5" t="inlineStr">
        <is>
          <t>ENT</t>
        </is>
      </c>
      <c r="O1715" s="5" t="inlineStr">
        <is>
          <t>DEC</t>
        </is>
      </c>
      <c r="P1715" s="5" t="n">
        <v>0</v>
      </c>
      <c r="Q1715" s="5" t="n">
        <v>1</v>
      </c>
      <c r="R1715" s="5" t="inlineStr">
        <is>
          <t>351-2024-09-30</t>
        </is>
      </c>
    </row>
    <row r="1716">
      <c r="A1716" s="21" t="n">
        <v>351</v>
      </c>
      <c r="B1716" s="5" t="inlineStr">
        <is>
          <t>Partidas conciliatorias de bancos</t>
        </is>
      </c>
      <c r="C1716" s="5" t="inlineStr">
        <is>
          <t>Contabilidad</t>
        </is>
      </c>
      <c r="D1716" s="5" t="inlineStr">
        <is>
          <t>Trimestral</t>
        </is>
      </c>
      <c r="E1716" s="5" t="inlineStr">
        <is>
          <t>Negativo</t>
        </is>
      </c>
      <c r="F1716" s="107" t="n">
        <v>45657</v>
      </c>
      <c r="G1716" s="5" t="n">
        <v>2024</v>
      </c>
      <c r="H1716" s="5" t="inlineStr">
        <is>
          <t>Diciembre</t>
        </is>
      </c>
      <c r="I1716" s="6" t="inlineStr">
        <is>
          <t>2024-2</t>
        </is>
      </c>
      <c r="J1716" s="5" t="n">
        <v>0</v>
      </c>
      <c r="K1716" s="10" t="n">
        <v>1.497983483771846</v>
      </c>
      <c r="L1716" s="14">
        <f>IFERROR(IF(OR(J1716=0,K1716=""),"",IF(E1716="Positivo",MIN(MAX(K1716/J1716,0),1.3),MIN(MAX(J1716/K1716,0),1.3))),"") </f>
        <v/>
      </c>
      <c r="M1716" s="14">
        <f>IFERROR(IF(OR(J1716=0,K1716=""),"",IF(E1716="Positivo",MAX(K1716/J1716,0),MAX(J1716/K1716,0))),"") </f>
        <v/>
      </c>
      <c r="N1716" s="5" t="inlineStr">
        <is>
          <t>ENT</t>
        </is>
      </c>
      <c r="O1716" s="5" t="inlineStr">
        <is>
          <t>DEC</t>
        </is>
      </c>
      <c r="P1716" s="15" t="n">
        <v>0</v>
      </c>
      <c r="Q1716" s="15" t="n">
        <v>1</v>
      </c>
      <c r="R1716" s="5" t="inlineStr">
        <is>
          <t>351-2024-12-31</t>
        </is>
      </c>
    </row>
    <row r="1717">
      <c r="A1717" s="21" t="n">
        <v>351</v>
      </c>
      <c r="B1717" s="5" t="inlineStr">
        <is>
          <t>Partidas conciliatorias de bancos</t>
        </is>
      </c>
      <c r="C1717" s="5" t="inlineStr">
        <is>
          <t>Contabilidad</t>
        </is>
      </c>
      <c r="D1717" s="5" t="inlineStr">
        <is>
          <t>Trimestral</t>
        </is>
      </c>
      <c r="E1717" s="5" t="inlineStr">
        <is>
          <t>Negativo</t>
        </is>
      </c>
      <c r="F1717" s="107" t="n">
        <v>45747</v>
      </c>
      <c r="G1717" s="5" t="n">
        <v>2025</v>
      </c>
      <c r="H1717" s="5" t="inlineStr">
        <is>
          <t>Marzo</t>
        </is>
      </c>
      <c r="I1717" s="6" t="inlineStr">
        <is>
          <t>2025-1</t>
        </is>
      </c>
      <c r="J1717" s="5" t="n">
        <v>0</v>
      </c>
      <c r="K1717" s="10" t="n">
        <v>0.47</v>
      </c>
      <c r="L1717" s="14">
        <f>IFERROR(IF(OR(J1717=0,K1717=""),"",IF(E1717="Positivo",MIN(MAX(K1717/J1717,0),1.3),MIN(MAX(J1717/K1717,0),1.3))),"") </f>
        <v/>
      </c>
      <c r="M1717" s="14">
        <f>IFERROR(IF(OR(J1717=0,K1717=""),"",IF(E1717="Positivo",MAX(K1717/J1717,0),MAX(J1717/K1717,0))),"") </f>
        <v/>
      </c>
      <c r="N1717" s="5" t="inlineStr">
        <is>
          <t>ENT</t>
        </is>
      </c>
      <c r="O1717" s="5" t="inlineStr">
        <is>
          <t>DEC</t>
        </is>
      </c>
      <c r="P1717" s="15" t="n">
        <v>0</v>
      </c>
      <c r="Q1717" s="15" t="n">
        <v>0</v>
      </c>
      <c r="R1717" s="5" t="inlineStr">
        <is>
          <t>351-2025-03-31</t>
        </is>
      </c>
    </row>
    <row r="1718">
      <c r="A1718" s="5" t="n">
        <v>351</v>
      </c>
      <c r="B1718" s="5" t="inlineStr">
        <is>
          <t>Partidas conciliatorias de bancos</t>
        </is>
      </c>
      <c r="C1718" s="5" t="inlineStr">
        <is>
          <t>Contabilidad</t>
        </is>
      </c>
      <c r="D1718" s="5" t="inlineStr">
        <is>
          <t>Trimestral</t>
        </is>
      </c>
      <c r="E1718" s="5" t="inlineStr">
        <is>
          <t>Negativo</t>
        </is>
      </c>
      <c r="F1718" s="107" t="n">
        <v>45838</v>
      </c>
      <c r="G1718" s="5" t="n">
        <v>2025</v>
      </c>
      <c r="H1718" s="5" t="inlineStr">
        <is>
          <t>Junio</t>
        </is>
      </c>
      <c r="I1718" s="6" t="inlineStr">
        <is>
          <t>2025-1</t>
        </is>
      </c>
      <c r="J1718" s="5" t="n">
        <v>0</v>
      </c>
      <c r="K1718" s="5" t="n">
        <v>0.65</v>
      </c>
      <c r="L1718" s="14">
        <f>IFERROR(IF(OR(J1718=0,K1718=""),"",IF(E1718="Positivo",MIN(MAX(K1718/J1718,0),1.3),MIN(MAX(J1718/K1718,0),1.3))),"") </f>
        <v/>
      </c>
      <c r="M1718" s="14">
        <f>IFERROR(IF(OR(J1718=0,K1718=""),"",IF(E1718="Positivo",MAX(K1718/J1718,0),MAX(J1718/K1718,0))),"") </f>
        <v/>
      </c>
      <c r="N1718" s="5" t="inlineStr">
        <is>
          <t>ENT</t>
        </is>
      </c>
      <c r="O1718" s="5" t="inlineStr">
        <is>
          <t>DEC</t>
        </is>
      </c>
      <c r="P1718" s="5" t="n">
        <v>0</v>
      </c>
      <c r="Q1718" s="5" t="n">
        <v>1</v>
      </c>
      <c r="R1718" s="5" t="inlineStr">
        <is>
          <t>351-2025-06-30</t>
        </is>
      </c>
    </row>
    <row r="1719">
      <c r="A1719" s="5" t="n">
        <v>351</v>
      </c>
      <c r="B1719" s="5" t="inlineStr">
        <is>
          <t>Partidas conciliatorias de bancos</t>
        </is>
      </c>
      <c r="C1719" s="5" t="inlineStr">
        <is>
          <t>Contabilidad</t>
        </is>
      </c>
      <c r="D1719" s="5" t="inlineStr">
        <is>
          <t>Semestral</t>
        </is>
      </c>
      <c r="E1719" s="5" t="inlineStr">
        <is>
          <t>Negativo</t>
        </is>
      </c>
      <c r="F1719" s="107" t="n">
        <v>45930</v>
      </c>
      <c r="G1719" s="5" t="n">
        <v>2025</v>
      </c>
      <c r="H1719" s="5" t="inlineStr">
        <is>
          <t>Septiembre</t>
        </is>
      </c>
      <c r="I1719" s="6" t="inlineStr">
        <is>
          <t>2025-2</t>
        </is>
      </c>
      <c r="J1719" s="5" t="n">
        <v>0</v>
      </c>
      <c r="K1719" s="5" t="n">
        <v>0.26</v>
      </c>
      <c r="L1719" s="14">
        <f>IFERROR(IF(OR(J1719=0,K1719=""),"",IF(E1719="Positivo",MIN(MAX(K1719/J1719,0),1.3),MIN(MAX(J1719/K1719,0),1.3))),"") </f>
        <v/>
      </c>
      <c r="M1719" s="14">
        <f>IFERROR(IF(OR(J1719=0,K1719=""),"",IF(E1719="Positivo",MAX(K1719/J1719,0),MAX(J1719/K1719,0))),"") </f>
        <v/>
      </c>
      <c r="N1719" s="5" t="inlineStr">
        <is>
          <t>ENT</t>
        </is>
      </c>
      <c r="O1719" s="5" t="inlineStr">
        <is>
          <t>DEC</t>
        </is>
      </c>
      <c r="P1719" s="15" t="n">
        <v>0</v>
      </c>
      <c r="Q1719" s="5" t="n">
        <v>1</v>
      </c>
      <c r="R1719" s="5" t="inlineStr">
        <is>
          <t>351-2025-09-30</t>
        </is>
      </c>
    </row>
    <row r="1720">
      <c r="A1720" s="21" t="n">
        <v>352</v>
      </c>
      <c r="B1720" s="5" t="inlineStr">
        <is>
          <t>Nivel de facturas generadas con error</t>
        </is>
      </c>
      <c r="C1720" s="5" t="inlineStr">
        <is>
          <t>Contabilidad</t>
        </is>
      </c>
      <c r="D1720" s="5" t="inlineStr">
        <is>
          <t>Trimestral</t>
        </is>
      </c>
      <c r="E1720" s="5" t="inlineStr">
        <is>
          <t>Negativo</t>
        </is>
      </c>
      <c r="F1720" s="107" t="n">
        <v>45016</v>
      </c>
      <c r="G1720" s="5" t="n">
        <v>2023</v>
      </c>
      <c r="H1720" s="5" t="inlineStr">
        <is>
          <t>Marzo</t>
        </is>
      </c>
      <c r="I1720" s="6" t="inlineStr">
        <is>
          <t>2023-1</t>
        </is>
      </c>
      <c r="J1720" s="73" t="n">
        <v>0</v>
      </c>
      <c r="K1720" s="9" t="n">
        <v>0.0103859685564802</v>
      </c>
      <c r="L1720" s="14">
        <f>IFERROR(IF(OR(J1720=0,K1720=""),"",IF(E1720="Positivo",MIN(MAX(K1720/J1720,0),1.3),MIN(MAX(J1720/K1720,0),1.3))),"") </f>
        <v/>
      </c>
      <c r="M1720" s="14">
        <f>IFERROR(IF(OR(J1720=0,K1720=""),"",IF(E1720="Positivo",MAX(K1720/J1720,0),MAX(J1720/K1720,0))),"") </f>
        <v/>
      </c>
      <c r="N1720" s="5" t="inlineStr">
        <is>
          <t>%</t>
        </is>
      </c>
      <c r="O1720" s="5" t="inlineStr">
        <is>
          <t>%</t>
        </is>
      </c>
      <c r="P1720" s="15" t="n">
        <v>0</v>
      </c>
      <c r="Q1720" s="15" t="n">
        <v>2</v>
      </c>
      <c r="R1720" s="5" t="inlineStr">
        <is>
          <t>352-2023-03-31</t>
        </is>
      </c>
    </row>
    <row r="1721">
      <c r="A1721" s="21" t="n">
        <v>352</v>
      </c>
      <c r="B1721" s="5" t="inlineStr">
        <is>
          <t>Nivel de facturas generadas con error</t>
        </is>
      </c>
      <c r="C1721" s="5" t="inlineStr">
        <is>
          <t>Contabilidad</t>
        </is>
      </c>
      <c r="D1721" s="5" t="inlineStr">
        <is>
          <t>Trimestral</t>
        </is>
      </c>
      <c r="E1721" s="5" t="inlineStr">
        <is>
          <t>Negativo</t>
        </is>
      </c>
      <c r="F1721" s="107" t="n">
        <v>45107</v>
      </c>
      <c r="G1721" s="5" t="n">
        <v>2023</v>
      </c>
      <c r="H1721" s="5" t="inlineStr">
        <is>
          <t>Junio</t>
        </is>
      </c>
      <c r="I1721" s="6" t="inlineStr">
        <is>
          <t>2023-1</t>
        </is>
      </c>
      <c r="J1721" s="5" t="n">
        <v>0</v>
      </c>
      <c r="K1721" s="5" t="n">
        <v>0.0277008310249307</v>
      </c>
      <c r="L1721" s="14">
        <f>IFERROR(IF(OR(J1721=0,K1721=""),"",IF(E1721="Positivo",MIN(MAX(K1721/J1721,0),1.3),MIN(MAX(J1721/K1721,0),1.3))),"") </f>
        <v/>
      </c>
      <c r="M1721" s="14">
        <f>IFERROR(IF(OR(J1721=0,K1721=""),"",IF(E1721="Positivo",MAX(K1721/J1721,0),MAX(J1721/K1721,0))),"") </f>
        <v/>
      </c>
      <c r="N1721" s="5" t="inlineStr">
        <is>
          <t>%</t>
        </is>
      </c>
      <c r="O1721" s="5" t="inlineStr">
        <is>
          <t>%</t>
        </is>
      </c>
      <c r="P1721" s="15" t="n">
        <v>0</v>
      </c>
      <c r="Q1721" s="15" t="n">
        <v>2</v>
      </c>
      <c r="R1721" s="5" t="inlineStr">
        <is>
          <t>352-2023-06-30</t>
        </is>
      </c>
    </row>
    <row r="1722">
      <c r="A1722" s="21" t="n">
        <v>352</v>
      </c>
      <c r="B1722" s="5" t="inlineStr">
        <is>
          <t>Nivel de facturas generadas con error</t>
        </is>
      </c>
      <c r="C1722" s="5" t="inlineStr">
        <is>
          <t>Contabilidad</t>
        </is>
      </c>
      <c r="D1722" s="5" t="inlineStr">
        <is>
          <t>Trimestral</t>
        </is>
      </c>
      <c r="E1722" s="5" t="inlineStr">
        <is>
          <t>Negativo</t>
        </is>
      </c>
      <c r="F1722" s="107" t="n">
        <v>45199</v>
      </c>
      <c r="G1722" s="5" t="n">
        <v>2023</v>
      </c>
      <c r="H1722" s="5" t="inlineStr">
        <is>
          <t>Septiembre</t>
        </is>
      </c>
      <c r="I1722" s="6" t="inlineStr">
        <is>
          <t>2023-2</t>
        </is>
      </c>
      <c r="J1722" s="5" t="n">
        <v>0</v>
      </c>
      <c r="K1722" s="5" t="n">
        <v>0.0251173450966232</v>
      </c>
      <c r="L1722" s="14">
        <f>IFERROR(IF(OR(J1722=0,K1722=""),"",IF(E1722="Positivo",MIN(MAX(K1722/J1722,0),1.3),MIN(MAX(J1722/K1722,0),1.3))),"") </f>
        <v/>
      </c>
      <c r="M1722" s="14">
        <f>IFERROR(IF(OR(J1722=0,K1722=""),"",IF(E1722="Positivo",MAX(K1722/J1722,0),MAX(J1722/K1722,0))),"") </f>
        <v/>
      </c>
      <c r="N1722" s="5" t="inlineStr">
        <is>
          <t>%</t>
        </is>
      </c>
      <c r="O1722" s="5" t="inlineStr">
        <is>
          <t>%</t>
        </is>
      </c>
      <c r="P1722" s="15" t="n">
        <v>0</v>
      </c>
      <c r="Q1722" s="15" t="n">
        <v>2</v>
      </c>
      <c r="R1722" s="5" t="inlineStr">
        <is>
          <t>352-2023-09-30</t>
        </is>
      </c>
    </row>
    <row r="1723">
      <c r="A1723" s="5" t="n">
        <v>352</v>
      </c>
      <c r="B1723" s="5" t="inlineStr">
        <is>
          <t>Nivel de facturas generadas con error</t>
        </is>
      </c>
      <c r="C1723" s="5" t="inlineStr">
        <is>
          <t>Contabilidad</t>
        </is>
      </c>
      <c r="D1723" s="5" t="inlineStr">
        <is>
          <t>Trimestral</t>
        </is>
      </c>
      <c r="E1723" s="5" t="inlineStr">
        <is>
          <t>Negativo</t>
        </is>
      </c>
      <c r="F1723" s="106" t="n">
        <v>45291</v>
      </c>
      <c r="G1723" s="5" t="n">
        <v>2023</v>
      </c>
      <c r="H1723" s="5" t="inlineStr">
        <is>
          <t>Diciembre</t>
        </is>
      </c>
      <c r="I1723" s="6" t="inlineStr">
        <is>
          <t>2023-2</t>
        </is>
      </c>
      <c r="J1723" s="5" t="n">
        <v>0</v>
      </c>
      <c r="K1723" s="9" t="n">
        <v>0.2832748164698372</v>
      </c>
      <c r="L1723" s="14">
        <f>IFERROR(IF(OR(J1723=0,K1723=""),"",IF(E1723="Positivo",MIN(MAX(K1723/J1723,0),1.3),MIN(MAX(J1723/K1723,0),1.3))),"") </f>
        <v/>
      </c>
      <c r="M1723" s="14">
        <f>IFERROR(IF(OR(J1723=0,K1723=""),"",IF(E1723="Positivo",MAX(K1723/J1723,0),MAX(J1723/K1723,0))),"") </f>
        <v/>
      </c>
      <c r="N1723" s="5" t="inlineStr">
        <is>
          <t>%</t>
        </is>
      </c>
      <c r="O1723" s="5" t="inlineStr">
        <is>
          <t>%</t>
        </is>
      </c>
      <c r="P1723" s="15" t="n">
        <v>0</v>
      </c>
      <c r="Q1723" s="15" t="n">
        <v>2</v>
      </c>
      <c r="R1723" s="5" t="inlineStr">
        <is>
          <t>352-2023-12-31</t>
        </is>
      </c>
    </row>
    <row r="1724">
      <c r="A1724" s="28" t="n">
        <v>352</v>
      </c>
      <c r="B1724" s="5" t="inlineStr">
        <is>
          <t>Nivel de facturas generadas con error</t>
        </is>
      </c>
      <c r="C1724" s="5" t="inlineStr">
        <is>
          <t>Contabilidad</t>
        </is>
      </c>
      <c r="D1724" s="5" t="inlineStr">
        <is>
          <t>Trimestral</t>
        </is>
      </c>
      <c r="E1724" s="5" t="inlineStr">
        <is>
          <t>Negativo</t>
        </is>
      </c>
      <c r="F1724" s="106" t="n">
        <v>45382</v>
      </c>
      <c r="G1724" s="5" t="n">
        <v>2024</v>
      </c>
      <c r="H1724" s="5" t="inlineStr">
        <is>
          <t>Marzo</t>
        </is>
      </c>
      <c r="I1724" s="6" t="inlineStr">
        <is>
          <t>2024-1</t>
        </is>
      </c>
      <c r="J1724" s="3" t="n">
        <v>0</v>
      </c>
      <c r="K1724" s="9" t="n">
        <v>0.0244043805863152</v>
      </c>
      <c r="L1724" s="14">
        <f>IFERROR(IF(OR(J1724=0,K1724=""),"",IF(E1724="Positivo",MIN(MAX(K1724/J1724,0),1.3),MIN(MAX(J1724/K1724,0),1.3))),"") </f>
        <v/>
      </c>
      <c r="M1724" s="14">
        <f>IFERROR(IF(OR(J1724=0,K1724=""),"",IF(E1724="Positivo",MAX(K1724/J1724,0),MAX(J1724/K1724,0))),"") </f>
        <v/>
      </c>
      <c r="N1724" s="5" t="inlineStr">
        <is>
          <t>%</t>
        </is>
      </c>
      <c r="O1724" s="5" t="inlineStr">
        <is>
          <t>%</t>
        </is>
      </c>
      <c r="P1724" s="15" t="n">
        <v>0</v>
      </c>
      <c r="Q1724" s="15" t="n">
        <v>2</v>
      </c>
      <c r="R1724" s="5" t="inlineStr">
        <is>
          <t>352-2024-03-31</t>
        </is>
      </c>
    </row>
    <row r="1725">
      <c r="A1725" s="21" t="n">
        <v>352</v>
      </c>
      <c r="B1725" s="5" t="inlineStr">
        <is>
          <t>Nivel de facturas generadas con error</t>
        </is>
      </c>
      <c r="C1725" s="5" t="inlineStr">
        <is>
          <t>Contabilidad</t>
        </is>
      </c>
      <c r="D1725" s="5" t="inlineStr">
        <is>
          <t>Trimestral</t>
        </is>
      </c>
      <c r="E1725" s="5" t="inlineStr">
        <is>
          <t>Negativo</t>
        </is>
      </c>
      <c r="F1725" s="107" t="n">
        <v>45473</v>
      </c>
      <c r="G1725" s="5" t="n">
        <v>2024</v>
      </c>
      <c r="H1725" s="5" t="inlineStr">
        <is>
          <t>Junio</t>
        </is>
      </c>
      <c r="I1725" s="6" t="inlineStr">
        <is>
          <t>2024-1</t>
        </is>
      </c>
      <c r="J1725" s="5" t="n">
        <v>0</v>
      </c>
      <c r="K1725" s="10" t="n">
        <v>0.1487989796641394</v>
      </c>
      <c r="L1725" s="14">
        <f>IFERROR(IF(OR(J1725=0,K1725=""),"",IF(E1725="Positivo",MIN(MAX(K1725/J1725,0),1.3),MIN(MAX(J1725/K1725,0),1.3))),"") </f>
        <v/>
      </c>
      <c r="M1725" s="14">
        <f>IFERROR(IF(OR(J1725=0,K1725=""),"",IF(E1725="Positivo",MAX(K1725/J1725,0),MAX(J1725/K1725,0))),"") </f>
        <v/>
      </c>
      <c r="N1725" s="5" t="inlineStr">
        <is>
          <t>%</t>
        </is>
      </c>
      <c r="O1725" s="5" t="inlineStr">
        <is>
          <t>%</t>
        </is>
      </c>
      <c r="P1725" s="15" t="n">
        <v>0</v>
      </c>
      <c r="Q1725" s="15" t="n">
        <v>2</v>
      </c>
      <c r="R1725" s="5" t="inlineStr">
        <is>
          <t>352-2024-06-30</t>
        </is>
      </c>
    </row>
    <row r="1726">
      <c r="A1726" s="28" t="n">
        <v>352</v>
      </c>
      <c r="B1726" s="5" t="inlineStr">
        <is>
          <t>Nivel de facturas generadas con error</t>
        </is>
      </c>
      <c r="C1726" s="5" t="inlineStr">
        <is>
          <t>Contabilidad</t>
        </is>
      </c>
      <c r="D1726" s="5" t="inlineStr">
        <is>
          <t>Trimestral</t>
        </is>
      </c>
      <c r="E1726" s="5" t="inlineStr">
        <is>
          <t>Negativo</t>
        </is>
      </c>
      <c r="F1726" s="107" t="n">
        <v>45565</v>
      </c>
      <c r="G1726" s="5" t="n">
        <v>2024</v>
      </c>
      <c r="H1726" s="5" t="inlineStr">
        <is>
          <t>Septiembre</t>
        </is>
      </c>
      <c r="I1726" s="6" t="inlineStr">
        <is>
          <t>2024-2</t>
        </is>
      </c>
      <c r="J1726" s="5" t="n">
        <v>0</v>
      </c>
      <c r="K1726" s="5" t="n">
        <v>0.0009651857499975</v>
      </c>
      <c r="L1726" s="14">
        <f>IFERROR(IF(OR(J1726=0,K1726=""),"",IF(E1726="Positivo",MIN(MAX(K1726/J1726,0),1.3),MIN(MAX(J1726/K1726,0),1.3))),"") </f>
        <v/>
      </c>
      <c r="M1726" s="14">
        <f>IFERROR(IF(OR(J1726=0,K1726=""),"",IF(E1726="Positivo",MAX(K1726/J1726,0),MAX(J1726/K1726,0))),"") </f>
        <v/>
      </c>
      <c r="N1726" s="5" t="inlineStr">
        <is>
          <t>%</t>
        </is>
      </c>
      <c r="O1726" s="5" t="inlineStr">
        <is>
          <t>%</t>
        </is>
      </c>
      <c r="P1726" s="15" t="n">
        <v>0</v>
      </c>
      <c r="Q1726" s="15" t="n">
        <v>2</v>
      </c>
      <c r="R1726" s="5" t="inlineStr">
        <is>
          <t>352-2024-09-30</t>
        </is>
      </c>
    </row>
    <row r="1727">
      <c r="A1727" s="21" t="n">
        <v>352</v>
      </c>
      <c r="B1727" s="5" t="inlineStr">
        <is>
          <t>Nivel de facturas generadas con error</t>
        </is>
      </c>
      <c r="C1727" s="5" t="inlineStr">
        <is>
          <t>Contabilidad</t>
        </is>
      </c>
      <c r="D1727" s="5" t="inlineStr">
        <is>
          <t>Trimestral</t>
        </is>
      </c>
      <c r="E1727" s="5" t="inlineStr">
        <is>
          <t>Negativo</t>
        </is>
      </c>
      <c r="F1727" s="107" t="n">
        <v>45657</v>
      </c>
      <c r="G1727" s="5" t="n">
        <v>2024</v>
      </c>
      <c r="H1727" s="5" t="inlineStr">
        <is>
          <t>Diciembre</t>
        </is>
      </c>
      <c r="I1727" s="6" t="inlineStr">
        <is>
          <t>2024-2</t>
        </is>
      </c>
      <c r="J1727" s="73" t="n">
        <v>0</v>
      </c>
      <c r="K1727" s="9" t="n">
        <v>0</v>
      </c>
      <c r="L1727" s="14">
        <f>IFERROR(IF(OR(J1727=0,K1727=""),"",IF(E1727="Positivo",MIN(MAX(K1727/J1727,0),1.3),MIN(MAX(J1727/K1727,0),1.3))),"") </f>
        <v/>
      </c>
      <c r="M1727" s="14">
        <f>IFERROR(IF(OR(J1727=0,K1727=""),"",IF(E1727="Positivo",MAX(K1727/J1727,0),MAX(J1727/K1727,0))),"") </f>
        <v/>
      </c>
      <c r="N1727" s="5" t="inlineStr">
        <is>
          <t>%</t>
        </is>
      </c>
      <c r="O1727" s="5" t="inlineStr">
        <is>
          <t>%</t>
        </is>
      </c>
      <c r="P1727" s="15" t="n">
        <v>0</v>
      </c>
      <c r="Q1727" s="15" t="n">
        <v>2</v>
      </c>
      <c r="R1727" s="5" t="inlineStr">
        <is>
          <t>352-2024-12-31</t>
        </is>
      </c>
    </row>
    <row r="1728">
      <c r="A1728" s="21" t="n">
        <v>352</v>
      </c>
      <c r="B1728" s="5" t="inlineStr">
        <is>
          <t>Nivel de facturas generadas con error</t>
        </is>
      </c>
      <c r="C1728" s="5" t="inlineStr">
        <is>
          <t>Contabilidad</t>
        </is>
      </c>
      <c r="D1728" s="5" t="inlineStr">
        <is>
          <t>Trimestral</t>
        </is>
      </c>
      <c r="E1728" s="5" t="inlineStr">
        <is>
          <t>Negativo</t>
        </is>
      </c>
      <c r="F1728" s="107" t="n">
        <v>45747</v>
      </c>
      <c r="G1728" s="5" t="n">
        <v>2025</v>
      </c>
      <c r="H1728" s="5" t="inlineStr">
        <is>
          <t>Marzo</t>
        </is>
      </c>
      <c r="I1728" s="6" t="inlineStr">
        <is>
          <t>2025-1</t>
        </is>
      </c>
      <c r="J1728" s="5" t="n">
        <v>0</v>
      </c>
      <c r="K1728" s="10" t="n">
        <v>0</v>
      </c>
      <c r="L1728" s="14">
        <f>IFERROR(IF(OR(J1728=0,K1728=""),"",IF(E1728="Positivo",MIN(MAX(K1728/J1728,0),1.3),MIN(MAX(J1728/K1728,0),1.3))),"") </f>
        <v/>
      </c>
      <c r="M1728" s="14">
        <f>IFERROR(IF(OR(J1728=0,K1728=""),"",IF(E1728="Positivo",MAX(K1728/J1728,0),MAX(J1728/K1728,0))),"") </f>
        <v/>
      </c>
      <c r="N1728" s="5" t="inlineStr">
        <is>
          <t>%</t>
        </is>
      </c>
      <c r="O1728" s="5" t="inlineStr">
        <is>
          <t>%</t>
        </is>
      </c>
      <c r="P1728" s="15" t="n">
        <v>0</v>
      </c>
      <c r="Q1728" s="15" t="n">
        <v>2</v>
      </c>
      <c r="R1728" s="5" t="inlineStr">
        <is>
          <t>352-2025-03-31</t>
        </is>
      </c>
    </row>
    <row r="1729">
      <c r="A1729" s="21" t="n">
        <v>352</v>
      </c>
      <c r="B1729" s="5" t="inlineStr">
        <is>
          <t>Nivel de facturas generadas con error</t>
        </is>
      </c>
      <c r="C1729" s="5" t="inlineStr">
        <is>
          <t>Contabilidad</t>
        </is>
      </c>
      <c r="D1729" s="5" t="inlineStr">
        <is>
          <t>Trimestral</t>
        </is>
      </c>
      <c r="E1729" s="5" t="inlineStr">
        <is>
          <t>Negativo</t>
        </is>
      </c>
      <c r="F1729" s="107" t="n">
        <v>45838</v>
      </c>
      <c r="G1729" s="5" t="n">
        <v>2025</v>
      </c>
      <c r="H1729" s="5" t="inlineStr">
        <is>
          <t>Junio</t>
        </is>
      </c>
      <c r="I1729" s="6" t="inlineStr">
        <is>
          <t>2025-1</t>
        </is>
      </c>
      <c r="J1729" s="5" t="n">
        <v>0</v>
      </c>
      <c r="K1729" s="10" t="n">
        <v>0.01</v>
      </c>
      <c r="L1729" s="14">
        <f>IFERROR(IF(OR(J1729=0,K1729=""),"",IF(E1729="Positivo",MIN(MAX(K1729/J1729,0),1.3),MIN(MAX(J1729/K1729,0),1.3))),"") </f>
        <v/>
      </c>
      <c r="M1729" s="14">
        <f>IFERROR(IF(OR(J1729=0,K1729=""),"",IF(E1729="Positivo",MAX(K1729/J1729,0),MAX(J1729/K1729,0))),"") </f>
        <v/>
      </c>
      <c r="N1729" s="5" t="inlineStr">
        <is>
          <t>%</t>
        </is>
      </c>
      <c r="O1729" s="5" t="inlineStr">
        <is>
          <t>%</t>
        </is>
      </c>
      <c r="P1729" s="15" t="n">
        <v>0</v>
      </c>
      <c r="Q1729" s="15" t="n">
        <v>2</v>
      </c>
      <c r="R1729" s="5" t="inlineStr">
        <is>
          <t>352-2025-06-30</t>
        </is>
      </c>
    </row>
    <row r="1730">
      <c r="A1730" s="5" t="n">
        <v>352</v>
      </c>
      <c r="B1730" s="5" t="inlineStr">
        <is>
          <t>Nivel de facturas generadas con error</t>
        </is>
      </c>
      <c r="C1730" s="5" t="inlineStr">
        <is>
          <t>Contabilidad</t>
        </is>
      </c>
      <c r="D1730" s="5" t="inlineStr">
        <is>
          <t>Semestral</t>
        </is>
      </c>
      <c r="E1730" s="5" t="inlineStr">
        <is>
          <t>Negativo</t>
        </is>
      </c>
      <c r="F1730" s="107" t="n">
        <v>45930</v>
      </c>
      <c r="G1730" s="5" t="n">
        <v>2025</v>
      </c>
      <c r="H1730" s="5" t="inlineStr">
        <is>
          <t>Septiembre</t>
        </is>
      </c>
      <c r="I1730" s="6" t="inlineStr">
        <is>
          <t>2025-2</t>
        </is>
      </c>
      <c r="J1730" s="5" t="n">
        <v>0</v>
      </c>
      <c r="K1730" s="5" t="n">
        <v>0.01</v>
      </c>
      <c r="L1730" s="14">
        <f>IFERROR(IF(OR(J1730=0,K1730=""),"",IF(E1730="Positivo",MIN(MAX(K1730/J1730,0),1.3),MIN(MAX(J1730/K1730,0),1.3))),"") </f>
        <v/>
      </c>
      <c r="M1730" s="14">
        <f>IFERROR(IF(OR(J1730=0,K1730=""),"",IF(E1730="Positivo",MAX(K1730/J1730,0),MAX(J1730/K1730,0))),"") </f>
        <v/>
      </c>
      <c r="N1730" s="5" t="inlineStr">
        <is>
          <t>%</t>
        </is>
      </c>
      <c r="O1730" s="5" t="inlineStr">
        <is>
          <t>%</t>
        </is>
      </c>
      <c r="P1730" s="5" t="n">
        <v>0</v>
      </c>
      <c r="Q1730" s="5" t="n">
        <v>2</v>
      </c>
      <c r="R1730" s="5" t="inlineStr">
        <is>
          <t>352-2025-09-30</t>
        </is>
      </c>
    </row>
    <row r="1731">
      <c r="A1731" s="5" t="n">
        <v>353</v>
      </c>
      <c r="B1731" s="5" t="inlineStr">
        <is>
          <t>Cobertura de tableros BI en procesos</t>
        </is>
      </c>
      <c r="C1731" s="5" t="inlineStr">
        <is>
          <t>DATOS Y ANALÍTICA</t>
        </is>
      </c>
      <c r="D1731" s="5" t="inlineStr">
        <is>
          <t>Semestral</t>
        </is>
      </c>
      <c r="E1731" s="5" t="inlineStr">
        <is>
          <t>Positivo</t>
        </is>
      </c>
      <c r="F1731" s="107" t="n">
        <v>45107</v>
      </c>
      <c r="G1731" s="5" t="n">
        <v>2023</v>
      </c>
      <c r="H1731" s="5" t="inlineStr">
        <is>
          <t>Junio</t>
        </is>
      </c>
      <c r="I1731" s="6" t="inlineStr">
        <is>
          <t>2023-1</t>
        </is>
      </c>
      <c r="J1731" s="5" t="n">
        <v>35</v>
      </c>
      <c r="K1731" s="5" t="n">
        <v>40.384615384615</v>
      </c>
      <c r="L1731" s="14">
        <f>IFERROR(IF(OR(J1731=0,K1731=""),"",IF(E1731="Positivo",MIN(MAX(K1731/J1731,0),1.3),MIN(MAX(J1731/K1731,0),1.3))),"") </f>
        <v/>
      </c>
      <c r="M1731" s="14">
        <f>IFERROR(IF(OR(J1731=0,K1731=""),"",IF(E1731="Positivo",MAX(K1731/J1731,0),MAX(J1731/K1731,0))),"") </f>
        <v/>
      </c>
      <c r="N1731" s="5" t="inlineStr">
        <is>
          <t>DEC</t>
        </is>
      </c>
      <c r="O1731" s="5" t="inlineStr">
        <is>
          <t>DEC</t>
        </is>
      </c>
      <c r="P1731" s="5" t="n">
        <v>0</v>
      </c>
      <c r="Q1731" s="5" t="n">
        <v>0</v>
      </c>
      <c r="R1731" s="5" t="inlineStr">
        <is>
          <t>353-2023-06-30</t>
        </is>
      </c>
    </row>
    <row r="1732">
      <c r="A1732" s="5" t="n">
        <v>353</v>
      </c>
      <c r="B1732" s="5" t="inlineStr">
        <is>
          <t>Cobertura de tableros BI en procesos</t>
        </is>
      </c>
      <c r="C1732" s="5" t="inlineStr">
        <is>
          <t>DATOS Y ANALÍTICA</t>
        </is>
      </c>
      <c r="D1732" s="5" t="inlineStr">
        <is>
          <t>Semestral</t>
        </is>
      </c>
      <c r="E1732" s="5" t="inlineStr">
        <is>
          <t>Positivo</t>
        </is>
      </c>
      <c r="F1732" s="107" t="n">
        <v>45291</v>
      </c>
      <c r="G1732" s="5" t="n">
        <v>2023</v>
      </c>
      <c r="H1732" s="5" t="inlineStr">
        <is>
          <t>Diciembre</t>
        </is>
      </c>
      <c r="I1732" s="6" t="inlineStr">
        <is>
          <t>2023-2</t>
        </is>
      </c>
      <c r="J1732" s="5" t="n">
        <v>35</v>
      </c>
      <c r="K1732" s="5" t="n">
        <v>40.3846153846154</v>
      </c>
      <c r="L1732" s="14">
        <f>IFERROR(IF(OR(J1732=0,K1732=""),"",IF(E1732="Positivo",MIN(MAX(K1732/J1732,0),1.3),MIN(MAX(J1732/K1732,0),1.3))),"") </f>
        <v/>
      </c>
      <c r="M1732" s="14">
        <f>IFERROR(IF(OR(J1732=0,K1732=""),"",IF(E1732="Positivo",MAX(K1732/J1732,0),MAX(J1732/K1732,0))),"") </f>
        <v/>
      </c>
      <c r="N1732" s="5" t="inlineStr">
        <is>
          <t>DEC</t>
        </is>
      </c>
      <c r="O1732" s="5" t="inlineStr">
        <is>
          <t>DEC</t>
        </is>
      </c>
      <c r="P1732" s="5" t="n">
        <v>0</v>
      </c>
      <c r="Q1732" s="5" t="n">
        <v>0</v>
      </c>
      <c r="R1732" s="5" t="inlineStr">
        <is>
          <t>353-2023-12-31</t>
        </is>
      </c>
    </row>
    <row r="1733">
      <c r="A1733" s="5" t="n">
        <v>354</v>
      </c>
      <c r="B1733" s="5" t="inlineStr">
        <is>
          <t>Plan de formación en analitica</t>
        </is>
      </c>
      <c r="C1733" s="5" t="inlineStr">
        <is>
          <t>DATOS Y ANALÍTICA</t>
        </is>
      </c>
      <c r="D1733" s="5" t="inlineStr">
        <is>
          <t>Semestral</t>
        </is>
      </c>
      <c r="E1733" s="5" t="inlineStr">
        <is>
          <t>Positivo</t>
        </is>
      </c>
      <c r="F1733" s="107" t="n">
        <v>45107</v>
      </c>
      <c r="G1733" s="5" t="n">
        <v>2023</v>
      </c>
      <c r="H1733" s="5" t="inlineStr">
        <is>
          <t>Junio</t>
        </is>
      </c>
      <c r="I1733" s="6" t="inlineStr">
        <is>
          <t>2023-1</t>
        </is>
      </c>
      <c r="J1733" s="5" t="n">
        <v>10</v>
      </c>
      <c r="K1733" s="5" t="n">
        <v>5.07</v>
      </c>
      <c r="L1733" s="14">
        <f>IFERROR(IF(OR(J1733=0,K1733=""),"",IF(E1733="Positivo",MIN(MAX(K1733/J1733,0),1.3),MIN(MAX(J1733/K1733,0),1.3))),"") </f>
        <v/>
      </c>
      <c r="M1733" s="14">
        <f>IFERROR(IF(OR(J1733=0,K1733=""),"",IF(E1733="Positivo",MAX(K1733/J1733,0),MAX(J1733/K1733,0))),"") </f>
        <v/>
      </c>
      <c r="N1733" s="5" t="inlineStr">
        <is>
          <t>DEC</t>
        </is>
      </c>
      <c r="O1733" s="5" t="inlineStr">
        <is>
          <t>DEC</t>
        </is>
      </c>
      <c r="P1733" s="5" t="n">
        <v>2</v>
      </c>
      <c r="Q1733" s="5" t="n">
        <v>2</v>
      </c>
      <c r="R1733" s="5" t="inlineStr">
        <is>
          <t>354-2023-06-30</t>
        </is>
      </c>
    </row>
    <row r="1734">
      <c r="A1734" s="5" t="n">
        <v>354</v>
      </c>
      <c r="B1734" s="5" t="inlineStr">
        <is>
          <t>Plan de formación en analitica</t>
        </is>
      </c>
      <c r="C1734" s="5" t="inlineStr">
        <is>
          <t>DATOS Y ANALÍTICA</t>
        </is>
      </c>
      <c r="D1734" s="5" t="inlineStr">
        <is>
          <t>Semestral</t>
        </is>
      </c>
      <c r="E1734" s="5" t="inlineStr">
        <is>
          <t>Positivo</t>
        </is>
      </c>
      <c r="F1734" s="107" t="n">
        <v>45291</v>
      </c>
      <c r="G1734" s="5" t="n">
        <v>2023</v>
      </c>
      <c r="H1734" s="5" t="inlineStr">
        <is>
          <t>Diciembre</t>
        </is>
      </c>
      <c r="I1734" s="6" t="inlineStr">
        <is>
          <t>2023-2</t>
        </is>
      </c>
      <c r="J1734" s="5" t="n">
        <v>10</v>
      </c>
      <c r="K1734" s="5" t="n">
        <v>31.77</v>
      </c>
      <c r="L1734" s="14">
        <f>IFERROR(IF(OR(J1734=0,K1734=""),"",IF(E1734="Positivo",MIN(MAX(K1734/J1734,0),1.3),MIN(MAX(J1734/K1734,0),1.3))),"") </f>
        <v/>
      </c>
      <c r="M1734" s="14">
        <f>IFERROR(IF(OR(J1734=0,K1734=""),"",IF(E1734="Positivo",MAX(K1734/J1734,0),MAX(J1734/K1734,0))),"") </f>
        <v/>
      </c>
      <c r="N1734" s="5" t="inlineStr">
        <is>
          <t>DEC</t>
        </is>
      </c>
      <c r="O1734" s="5" t="inlineStr">
        <is>
          <t>DEC</t>
        </is>
      </c>
      <c r="P1734" s="5" t="n">
        <v>0</v>
      </c>
      <c r="Q1734" s="5" t="n">
        <v>0</v>
      </c>
      <c r="R1734" s="5" t="inlineStr">
        <is>
          <t>354-2023-12-31</t>
        </is>
      </c>
    </row>
    <row r="1735">
      <c r="A1735" s="21" t="n">
        <v>355</v>
      </c>
      <c r="B1735" s="5" t="inlineStr">
        <is>
          <t>Indice de liquidez</t>
        </is>
      </c>
      <c r="C1735" s="5" t="inlineStr">
        <is>
          <t>Tesorería</t>
        </is>
      </c>
      <c r="D1735" s="5" t="inlineStr">
        <is>
          <t>Anual</t>
        </is>
      </c>
      <c r="E1735" s="5" t="inlineStr">
        <is>
          <t>Positivo</t>
        </is>
      </c>
      <c r="F1735" s="107" t="n">
        <v>45107</v>
      </c>
      <c r="G1735" s="5" t="n">
        <v>2023</v>
      </c>
      <c r="H1735" s="5" t="inlineStr">
        <is>
          <t>Junio</t>
        </is>
      </c>
      <c r="I1735" s="6" t="inlineStr">
        <is>
          <t>2023-1</t>
        </is>
      </c>
      <c r="J1735" s="5" t="n">
        <v>1</v>
      </c>
      <c r="K1735" s="10" t="n">
        <v>0.31754780991781</v>
      </c>
      <c r="L1735" s="14">
        <f>IFERROR(IF(OR(J1735=0,K1735=""),"",IF(E1735="Positivo",MIN(MAX(K1735/J1735,0),1.3),MIN(MAX(J1735/K1735,0),1.3))),"") </f>
        <v/>
      </c>
      <c r="M1735" s="55">
        <f>IFERROR(IF(OR(J1735=0,K1735=""),"",IF(E1735="Positivo",MAX(K1735/J1735,0),MAX(J1735/K1735,0))),"") </f>
        <v/>
      </c>
      <c r="N1735" s="5" t="inlineStr">
        <is>
          <t>ENT</t>
        </is>
      </c>
      <c r="O1735" s="5" t="inlineStr">
        <is>
          <t>DEC</t>
        </is>
      </c>
      <c r="P1735" s="15" t="n">
        <v>1</v>
      </c>
      <c r="Q1735" s="15" t="n">
        <v>1</v>
      </c>
      <c r="R1735" s="5" t="inlineStr">
        <is>
          <t>355-2023-06-30</t>
        </is>
      </c>
    </row>
    <row r="1736">
      <c r="A1736" s="5" t="n">
        <v>355</v>
      </c>
      <c r="B1736" s="5" t="inlineStr">
        <is>
          <t>Indice de liquidez</t>
        </is>
      </c>
      <c r="C1736" s="5" t="inlineStr">
        <is>
          <t>Tesorería</t>
        </is>
      </c>
      <c r="D1736" s="5" t="inlineStr">
        <is>
          <t>Anual</t>
        </is>
      </c>
      <c r="E1736" s="5" t="inlineStr">
        <is>
          <t>Positivo</t>
        </is>
      </c>
      <c r="F1736" s="107" t="n">
        <v>45291</v>
      </c>
      <c r="G1736" s="5" t="n">
        <v>2023</v>
      </c>
      <c r="H1736" s="5" t="inlineStr">
        <is>
          <t>Diciembre</t>
        </is>
      </c>
      <c r="I1736" s="6" t="inlineStr">
        <is>
          <t>2023-2</t>
        </is>
      </c>
      <c r="J1736" s="5" t="n">
        <v>1</v>
      </c>
      <c r="K1736" s="5" t="n">
        <v>1.64916004403234</v>
      </c>
      <c r="L1736" s="14">
        <f>IFERROR(IF(OR(J1736=0,K1736=""),"",IF(E1736="Positivo",MIN(MAX(K1736/J1736,0),1.3),MIN(MAX(J1736/K1736,0),1.3))),"") </f>
        <v/>
      </c>
      <c r="M1736" s="14">
        <f>IFERROR(IF(OR(J1736=0,K1736=""),"",IF(E1736="Positivo",MAX(K1736/J1736,0),MAX(J1736/K1736,0))),"") </f>
        <v/>
      </c>
      <c r="N1736" s="5" t="inlineStr">
        <is>
          <t>DEC</t>
        </is>
      </c>
      <c r="O1736" s="5" t="inlineStr">
        <is>
          <t>DEC</t>
        </is>
      </c>
      <c r="P1736" s="5" t="n">
        <v>0</v>
      </c>
      <c r="Q1736" s="5" t="n">
        <v>0</v>
      </c>
      <c r="R1736" s="5" t="inlineStr">
        <is>
          <t>355-2023-12-31</t>
        </is>
      </c>
    </row>
    <row r="1737">
      <c r="A1737" s="5" t="n">
        <v>355</v>
      </c>
      <c r="B1737" s="5" t="inlineStr">
        <is>
          <t>Indice de liquidez</t>
        </is>
      </c>
      <c r="C1737" s="5" t="inlineStr">
        <is>
          <t>Tesorería</t>
        </is>
      </c>
      <c r="D1737" s="5" t="inlineStr">
        <is>
          <t>Anual</t>
        </is>
      </c>
      <c r="E1737" s="5" t="inlineStr">
        <is>
          <t>Positivo</t>
        </is>
      </c>
      <c r="F1737" s="107" t="n">
        <v>45657</v>
      </c>
      <c r="G1737" s="5" t="n">
        <v>2024</v>
      </c>
      <c r="H1737" s="5" t="inlineStr">
        <is>
          <t>Diciembre</t>
        </is>
      </c>
      <c r="I1737" s="6" t="inlineStr">
        <is>
          <t>2024-2</t>
        </is>
      </c>
      <c r="J1737" s="5" t="n">
        <v>1.7</v>
      </c>
      <c r="K1737" s="5" t="n">
        <v>1.69</v>
      </c>
      <c r="L1737" s="14">
        <f>IFERROR(IF(OR(J1737=0,K1737=""),"",IF(E1737="Positivo",MIN(MAX(K1737/J1737,0),1.3),MIN(MAX(J1737/K1737,0),1.3))),"") </f>
        <v/>
      </c>
      <c r="M1737" s="14">
        <f>IFERROR(IF(OR(J1737=0,K1737=""),"",IF(E1737="Positivo",MAX(K1737/J1737,0),MAX(J1737/K1737,0))),"") </f>
        <v/>
      </c>
      <c r="N1737" s="5" t="n"/>
      <c r="O1737" s="5" t="n"/>
      <c r="P1737" s="5" t="n">
        <v>0</v>
      </c>
      <c r="Q1737" s="5" t="n">
        <v>0</v>
      </c>
      <c r="R1737" s="5" t="inlineStr">
        <is>
          <t>355-2024-12-31</t>
        </is>
      </c>
    </row>
    <row r="1738">
      <c r="A1738" s="21" t="n">
        <v>355</v>
      </c>
      <c r="B1738" s="5" t="inlineStr">
        <is>
          <t>Indice de liquidez</t>
        </is>
      </c>
      <c r="C1738" s="5" t="inlineStr">
        <is>
          <t>Tesorería</t>
        </is>
      </c>
      <c r="D1738" s="5" t="inlineStr">
        <is>
          <t>Anual</t>
        </is>
      </c>
      <c r="E1738" s="5" t="inlineStr">
        <is>
          <t>Positivo</t>
        </is>
      </c>
      <c r="F1738" s="107" t="n">
        <v>46022</v>
      </c>
      <c r="G1738" s="5" t="n">
        <v>2025</v>
      </c>
      <c r="H1738" s="5" t="inlineStr">
        <is>
          <t>Diciembre</t>
        </is>
      </c>
      <c r="I1738" s="6" t="inlineStr">
        <is>
          <t>2025-2</t>
        </is>
      </c>
      <c r="J1738" s="5" t="n">
        <v>1.4</v>
      </c>
      <c r="K1738" s="104" t="n">
        <v>1.56</v>
      </c>
      <c r="L1738" s="14">
        <f>IFERROR(IF(OR(J1738=0,K1738=""),"",IF(E1738="Positivo",MIN(MAX(K1738/J1738,0),1.3),MIN(MAX(J1738/K1738,0),1.3))),"") </f>
        <v/>
      </c>
      <c r="M1738" s="14">
        <f>IFERROR(IF(OR(J1738=0,K1738=""),"",IF(E1738="Positivo",MAX(K1738/J1738,0),MAX(J1738/K1738,0))),"") </f>
        <v/>
      </c>
      <c r="N1738" s="5" t="inlineStr">
        <is>
          <t>ENT</t>
        </is>
      </c>
      <c r="O1738" s="5" t="inlineStr">
        <is>
          <t>DEC</t>
        </is>
      </c>
      <c r="P1738" s="15" t="n">
        <v>1</v>
      </c>
      <c r="Q1738" s="15" t="n">
        <v>1</v>
      </c>
      <c r="R1738" s="5" t="inlineStr">
        <is>
          <t>355-2025-12-31</t>
        </is>
      </c>
    </row>
    <row r="1739">
      <c r="A1739" s="21" t="n">
        <v>356</v>
      </c>
      <c r="B1739" s="5" t="inlineStr">
        <is>
          <t>Indice de Endeudamiento</t>
        </is>
      </c>
      <c r="C1739" s="5" t="inlineStr">
        <is>
          <t>Tesorería</t>
        </is>
      </c>
      <c r="D1739" s="5" t="inlineStr">
        <is>
          <t>Semestral</t>
        </is>
      </c>
      <c r="E1739" s="5" t="inlineStr">
        <is>
          <t>Negativo</t>
        </is>
      </c>
      <c r="F1739" s="107" t="n">
        <v>45107</v>
      </c>
      <c r="G1739" s="5" t="n">
        <v>2023</v>
      </c>
      <c r="H1739" s="5" t="inlineStr">
        <is>
          <t>Junio</t>
        </is>
      </c>
      <c r="I1739" s="6" t="inlineStr">
        <is>
          <t>2023-1</t>
        </is>
      </c>
      <c r="J1739" s="5" t="n">
        <v>60</v>
      </c>
      <c r="K1739" s="104" t="n">
        <v>49.213961407602</v>
      </c>
      <c r="L1739" s="14">
        <f>IFERROR(IF(OR(J1739=0,K1739=""),"",IF(E1739="Positivo",MIN(MAX(K1739/J1739,0),1.3),MIN(MAX(J1739/K1739,0),1.3))),"") </f>
        <v/>
      </c>
      <c r="M1739" s="14">
        <f>IFERROR(IF(OR(J1739=0,K1739=""),"",IF(E1739="Positivo",MAX(K1739/J1739,0),MAX(J1739/K1739,0))),"") </f>
        <v/>
      </c>
      <c r="N1739" s="5" t="inlineStr">
        <is>
          <t>%</t>
        </is>
      </c>
      <c r="O1739" s="5" t="inlineStr">
        <is>
          <t>%</t>
        </is>
      </c>
      <c r="P1739" s="15" t="n">
        <v>0</v>
      </c>
      <c r="Q1739" s="15" t="n">
        <v>0</v>
      </c>
      <c r="R1739" s="5" t="inlineStr">
        <is>
          <t>356-2023-06-30</t>
        </is>
      </c>
    </row>
    <row r="1740">
      <c r="A1740" s="21" t="n">
        <v>356</v>
      </c>
      <c r="B1740" s="5" t="inlineStr">
        <is>
          <t>Indice de Endeudamiento</t>
        </is>
      </c>
      <c r="C1740" s="5" t="inlineStr">
        <is>
          <t>Tesorería</t>
        </is>
      </c>
      <c r="D1740" s="5" t="inlineStr">
        <is>
          <t>Semestral</t>
        </is>
      </c>
      <c r="E1740" s="5" t="inlineStr">
        <is>
          <t>Negativo</t>
        </is>
      </c>
      <c r="F1740" s="107" t="n">
        <v>45291</v>
      </c>
      <c r="G1740" s="5" t="n">
        <v>2023</v>
      </c>
      <c r="H1740" s="5" t="inlineStr">
        <is>
          <t>Diciembre</t>
        </is>
      </c>
      <c r="I1740" s="6" t="inlineStr">
        <is>
          <t>2023-2</t>
        </is>
      </c>
      <c r="J1740" s="5" t="n">
        <v>60</v>
      </c>
      <c r="K1740" s="104" t="n">
        <v>61.54</v>
      </c>
      <c r="L1740" s="14">
        <f>IFERROR(IF(OR(J1740=0,K1740=""),"",IF(E1740="Positivo",MIN(MAX(K1740/J1740,0),1.3),MIN(MAX(J1740/K1740,0),1.3))),"") </f>
        <v/>
      </c>
      <c r="M1740" s="14">
        <f>IFERROR(IF(OR(J1740=0,K1740=""),"",IF(E1740="Positivo",MAX(K1740/J1740,0),MAX(J1740/K1740,0))),"") </f>
        <v/>
      </c>
      <c r="N1740" s="5" t="inlineStr">
        <is>
          <t>%</t>
        </is>
      </c>
      <c r="O1740" s="5" t="inlineStr">
        <is>
          <t>%</t>
        </is>
      </c>
      <c r="P1740" s="15" t="n">
        <v>0</v>
      </c>
      <c r="Q1740" s="15" t="n">
        <v>0</v>
      </c>
      <c r="R1740" s="5" t="inlineStr">
        <is>
          <t>356-2023-12-31</t>
        </is>
      </c>
    </row>
    <row r="1741">
      <c r="A1741" s="21" t="n">
        <v>356</v>
      </c>
      <c r="B1741" s="5" t="inlineStr">
        <is>
          <t>Indice de Endeudamiento</t>
        </is>
      </c>
      <c r="C1741" s="5" t="inlineStr">
        <is>
          <t>Tesorería</t>
        </is>
      </c>
      <c r="D1741" s="5" t="inlineStr">
        <is>
          <t>Semestral</t>
        </is>
      </c>
      <c r="E1741" s="5" t="inlineStr">
        <is>
          <t>Negativo</t>
        </is>
      </c>
      <c r="F1741" s="107" t="n">
        <v>45473</v>
      </c>
      <c r="G1741" s="5" t="n">
        <v>2024</v>
      </c>
      <c r="H1741" s="5" t="inlineStr">
        <is>
          <t>Junio</t>
        </is>
      </c>
      <c r="I1741" s="6" t="inlineStr">
        <is>
          <t>2024-1</t>
        </is>
      </c>
      <c r="J1741" s="5" t="n">
        <v>60</v>
      </c>
      <c r="K1741" s="104" t="n">
        <v>54.08</v>
      </c>
      <c r="L1741" s="14">
        <f>IFERROR(IF(OR(J1741=0,K1741=""),"",IF(E1741="Positivo",MIN(MAX(K1741/J1741,0),1.3),MIN(MAX(J1741/K1741,0),1.3))),"") </f>
        <v/>
      </c>
      <c r="M1741" s="14">
        <f>IFERROR(IF(OR(J1741=0,K1741=""),"",IF(E1741="Positivo",MAX(K1741/J1741,0),MAX(J1741/K1741,0))),"") </f>
        <v/>
      </c>
      <c r="N1741" s="5" t="inlineStr">
        <is>
          <t>%</t>
        </is>
      </c>
      <c r="O1741" s="5" t="inlineStr">
        <is>
          <t>%</t>
        </is>
      </c>
      <c r="P1741" s="15" t="n">
        <v>1</v>
      </c>
      <c r="Q1741" s="15" t="n">
        <v>1</v>
      </c>
      <c r="R1741" s="5" t="inlineStr">
        <is>
          <t>356-2024-06-30</t>
        </is>
      </c>
    </row>
    <row r="1742">
      <c r="A1742" s="21" t="n">
        <v>356</v>
      </c>
      <c r="B1742" s="5" t="inlineStr">
        <is>
          <t>Indice de Endeudamiento</t>
        </is>
      </c>
      <c r="C1742" s="5" t="inlineStr">
        <is>
          <t>Tesorería</t>
        </is>
      </c>
      <c r="D1742" s="5" t="inlineStr">
        <is>
          <t>Semestral</t>
        </is>
      </c>
      <c r="E1742" s="5" t="inlineStr">
        <is>
          <t>Negativo</t>
        </is>
      </c>
      <c r="F1742" s="107" t="n">
        <v>45657</v>
      </c>
      <c r="G1742" s="5" t="n">
        <v>2024</v>
      </c>
      <c r="H1742" s="5" t="inlineStr">
        <is>
          <t>Diciembre</t>
        </is>
      </c>
      <c r="I1742" s="6" t="inlineStr">
        <is>
          <t>2024-2</t>
        </is>
      </c>
      <c r="J1742" s="5" t="n">
        <v>60</v>
      </c>
      <c r="K1742" s="104" t="n">
        <v>65.55</v>
      </c>
      <c r="L1742" s="14">
        <f>IFERROR(IF(OR(J1742=0,K1742=""),"",IF(E1742="Positivo",MIN(MAX(K1742/J1742,0),1.3),MIN(MAX(J1742/K1742,0),1.3))),"") </f>
        <v/>
      </c>
      <c r="M1742" s="14">
        <f>IFERROR(IF(OR(J1742=0,K1742=""),"",IF(E1742="Positivo",MAX(K1742/J1742,0),MAX(J1742/K1742,0))),"") </f>
        <v/>
      </c>
      <c r="N1742" s="5" t="inlineStr">
        <is>
          <t>%</t>
        </is>
      </c>
      <c r="O1742" s="5" t="inlineStr">
        <is>
          <t>%</t>
        </is>
      </c>
      <c r="P1742" s="15" t="n">
        <v>1</v>
      </c>
      <c r="Q1742" s="15" t="n">
        <v>1</v>
      </c>
      <c r="R1742" s="5" t="inlineStr">
        <is>
          <t>356-2024-12-31</t>
        </is>
      </c>
    </row>
    <row r="1743">
      <c r="A1743" s="21" t="n">
        <v>356</v>
      </c>
      <c r="B1743" s="5" t="inlineStr">
        <is>
          <t>Indice de Endeudamiento</t>
        </is>
      </c>
      <c r="C1743" s="5" t="inlineStr">
        <is>
          <t>Tesorería</t>
        </is>
      </c>
      <c r="D1743" s="5" t="inlineStr">
        <is>
          <t>Semestral</t>
        </is>
      </c>
      <c r="E1743" s="5" t="inlineStr">
        <is>
          <t>Negativo</t>
        </is>
      </c>
      <c r="F1743" s="107" t="n">
        <v>45838</v>
      </c>
      <c r="G1743" s="5" t="n">
        <v>2025</v>
      </c>
      <c r="H1743" s="5" t="inlineStr">
        <is>
          <t>Junio</t>
        </is>
      </c>
      <c r="I1743" s="6" t="inlineStr">
        <is>
          <t>2025-1</t>
        </is>
      </c>
      <c r="J1743" s="5" t="n">
        <v>60</v>
      </c>
      <c r="K1743" s="104" t="n">
        <v>49.14</v>
      </c>
      <c r="L1743" s="14">
        <f>IFERROR(IF(OR(J1743=0,K1743=""),"",IF(E1743="Positivo",MIN(MAX(K1743/J1743,0),1.3),MIN(MAX(J1743/K1743,0),1.3))),"") </f>
        <v/>
      </c>
      <c r="M1743" s="14">
        <f>IFERROR(IF(OR(J1743=0,K1743=""),"",IF(E1743="Positivo",MAX(K1743/J1743,0),MAX(J1743/K1743,0))),"") </f>
        <v/>
      </c>
      <c r="N1743" s="5" t="inlineStr">
        <is>
          <t>%</t>
        </is>
      </c>
      <c r="O1743" s="5" t="inlineStr">
        <is>
          <t>%</t>
        </is>
      </c>
      <c r="P1743" s="15" t="n">
        <v>1</v>
      </c>
      <c r="Q1743" s="15" t="n">
        <v>1</v>
      </c>
      <c r="R1743" s="5" t="inlineStr">
        <is>
          <t>356-2025-06-30</t>
        </is>
      </c>
    </row>
    <row r="1744">
      <c r="A1744" s="21" t="n">
        <v>356</v>
      </c>
      <c r="B1744" s="5" t="inlineStr">
        <is>
          <t>Indice de Endeudamiento</t>
        </is>
      </c>
      <c r="C1744" s="5" t="inlineStr">
        <is>
          <t>Tesorería</t>
        </is>
      </c>
      <c r="D1744" s="5" t="inlineStr">
        <is>
          <t>Trimestral</t>
        </is>
      </c>
      <c r="E1744" s="5" t="inlineStr">
        <is>
          <t>Negativo</t>
        </is>
      </c>
      <c r="F1744" s="107" t="n">
        <v>46022</v>
      </c>
      <c r="G1744" s="5" t="n">
        <v>2025</v>
      </c>
      <c r="H1744" s="5" t="inlineStr">
        <is>
          <t>Diciembre</t>
        </is>
      </c>
      <c r="I1744" s="6" t="inlineStr">
        <is>
          <t>2025-2</t>
        </is>
      </c>
      <c r="J1744" s="5" t="n">
        <v>60</v>
      </c>
      <c r="K1744" s="104" t="n">
        <v>64.77</v>
      </c>
      <c r="L1744" s="14">
        <f>IFERROR(IF(OR(J1744=0,K1744=""),"",IF(E1744="Positivo",MIN(MAX(K1744/J1744,0),1.3),MIN(MAX(J1744/K1744,0),1.3))),"") </f>
        <v/>
      </c>
      <c r="M1744" s="14">
        <f>IFERROR(IF(OR(J1744=0,K1744=""),"",IF(E1744="Positivo",MAX(K1744/J1744,0),MAX(J1744/K1744,0))),"") </f>
        <v/>
      </c>
      <c r="N1744" s="5" t="inlineStr">
        <is>
          <t>%</t>
        </is>
      </c>
      <c r="O1744" s="5" t="inlineStr">
        <is>
          <t>%</t>
        </is>
      </c>
      <c r="P1744" s="15" t="n">
        <v>0</v>
      </c>
      <c r="Q1744" s="15" t="n">
        <v>1</v>
      </c>
      <c r="R1744" s="5" t="inlineStr">
        <is>
          <t>356-2025-12-31</t>
        </is>
      </c>
    </row>
    <row r="1745">
      <c r="A1745" s="21" t="n">
        <v>357</v>
      </c>
      <c r="B1745" s="5" t="inlineStr">
        <is>
          <t>Cartera</t>
        </is>
      </c>
      <c r="C1745" s="5" t="inlineStr">
        <is>
          <t>Tesorería</t>
        </is>
      </c>
      <c r="D1745" s="5" t="inlineStr">
        <is>
          <t>Semestral</t>
        </is>
      </c>
      <c r="E1745" s="5" t="inlineStr">
        <is>
          <t>Positivo</t>
        </is>
      </c>
      <c r="F1745" s="107" t="n">
        <v>45107</v>
      </c>
      <c r="G1745" s="5" t="n">
        <v>2023</v>
      </c>
      <c r="H1745" s="5" t="inlineStr">
        <is>
          <t>Junio</t>
        </is>
      </c>
      <c r="I1745" s="6" t="inlineStr">
        <is>
          <t>2023-1</t>
        </is>
      </c>
      <c r="J1745" s="5" t="n"/>
      <c r="K1745" s="10" t="n">
        <v>3.0055354363176</v>
      </c>
      <c r="L1745" s="14" t="n"/>
      <c r="M1745" s="14" t="n"/>
      <c r="N1745" s="5" t="inlineStr">
        <is>
          <t>Metrica</t>
        </is>
      </c>
      <c r="O1745" s="5" t="inlineStr">
        <is>
          <t>DEC</t>
        </is>
      </c>
      <c r="P1745" s="15" t="n">
        <v>2</v>
      </c>
      <c r="Q1745" s="15" t="n">
        <v>2</v>
      </c>
      <c r="R1745" s="5" t="inlineStr">
        <is>
          <t>357-2023-06-30</t>
        </is>
      </c>
    </row>
    <row r="1746">
      <c r="A1746" s="21" t="n">
        <v>357</v>
      </c>
      <c r="B1746" s="5" t="inlineStr">
        <is>
          <t>Cartera</t>
        </is>
      </c>
      <c r="C1746" s="5" t="inlineStr">
        <is>
          <t>Tesorería</t>
        </is>
      </c>
      <c r="D1746" s="5" t="inlineStr">
        <is>
          <t>Semestral</t>
        </is>
      </c>
      <c r="E1746" s="5" t="inlineStr">
        <is>
          <t>Positivo</t>
        </is>
      </c>
      <c r="F1746" s="107" t="n">
        <v>45291</v>
      </c>
      <c r="G1746" s="5" t="n">
        <v>2023</v>
      </c>
      <c r="H1746" s="5" t="inlineStr">
        <is>
          <t>Diciembre</t>
        </is>
      </c>
      <c r="I1746" s="6" t="inlineStr">
        <is>
          <t>2023-2</t>
        </is>
      </c>
      <c r="J1746" s="5" t="n"/>
      <c r="K1746" s="10" t="n">
        <v>4.45</v>
      </c>
      <c r="L1746" s="14" t="n"/>
      <c r="M1746" s="14" t="n"/>
      <c r="N1746" s="5" t="inlineStr">
        <is>
          <t>Metrica</t>
        </is>
      </c>
      <c r="O1746" s="5" t="inlineStr">
        <is>
          <t>DEC</t>
        </is>
      </c>
      <c r="P1746" s="15" t="n">
        <v>0</v>
      </c>
      <c r="Q1746" s="15" t="n">
        <v>0</v>
      </c>
      <c r="R1746" s="5" t="inlineStr">
        <is>
          <t>357-2023-12-31</t>
        </is>
      </c>
    </row>
    <row r="1747">
      <c r="A1747" s="21" t="n">
        <v>357</v>
      </c>
      <c r="B1747" s="5" t="inlineStr">
        <is>
          <t>Cartera</t>
        </is>
      </c>
      <c r="C1747" s="5" t="inlineStr">
        <is>
          <t>Tesorería</t>
        </is>
      </c>
      <c r="D1747" s="5" t="inlineStr">
        <is>
          <t>Semestral</t>
        </is>
      </c>
      <c r="E1747" s="5" t="inlineStr">
        <is>
          <t>Positivo</t>
        </is>
      </c>
      <c r="F1747" s="107" t="n">
        <v>45473</v>
      </c>
      <c r="G1747" s="5" t="n">
        <v>2024</v>
      </c>
      <c r="H1747" s="5" t="inlineStr">
        <is>
          <t>Junio</t>
        </is>
      </c>
      <c r="I1747" s="6" t="inlineStr">
        <is>
          <t>2024-1</t>
        </is>
      </c>
      <c r="J1747" s="5" t="n"/>
      <c r="K1747" s="10" t="n">
        <v>3.87</v>
      </c>
      <c r="L1747" s="14" t="n"/>
      <c r="M1747" s="14" t="n"/>
      <c r="N1747" s="5" t="inlineStr">
        <is>
          <t>Metrica</t>
        </is>
      </c>
      <c r="O1747" s="5" t="inlineStr">
        <is>
          <t>DEC</t>
        </is>
      </c>
      <c r="P1747" s="15" t="n">
        <v>2</v>
      </c>
      <c r="Q1747" s="15" t="n">
        <v>2</v>
      </c>
      <c r="R1747" s="5" t="inlineStr">
        <is>
          <t>357-2024-06-30</t>
        </is>
      </c>
    </row>
    <row r="1748">
      <c r="A1748" s="21" t="n">
        <v>357</v>
      </c>
      <c r="B1748" s="5" t="inlineStr">
        <is>
          <t>Cartera</t>
        </is>
      </c>
      <c r="C1748" s="5" t="inlineStr">
        <is>
          <t>Tesorería</t>
        </is>
      </c>
      <c r="D1748" s="5" t="inlineStr">
        <is>
          <t>Semestral</t>
        </is>
      </c>
      <c r="E1748" s="5" t="inlineStr">
        <is>
          <t>Positivo</t>
        </is>
      </c>
      <c r="F1748" s="107" t="n">
        <v>45657</v>
      </c>
      <c r="G1748" s="5" t="n">
        <v>2024</v>
      </c>
      <c r="H1748" s="5" t="inlineStr">
        <is>
          <t>Diciembre</t>
        </is>
      </c>
      <c r="I1748" s="6" t="inlineStr">
        <is>
          <t>2024-2</t>
        </is>
      </c>
      <c r="J1748" s="5" t="n"/>
      <c r="K1748" s="10" t="n">
        <v>0.51</v>
      </c>
      <c r="L1748" s="14" t="n"/>
      <c r="M1748" s="14" t="n"/>
      <c r="N1748" s="5" t="inlineStr">
        <is>
          <t>Metrica</t>
        </is>
      </c>
      <c r="O1748" s="5" t="inlineStr">
        <is>
          <t>DEC</t>
        </is>
      </c>
      <c r="P1748" s="15" t="n">
        <v>2</v>
      </c>
      <c r="Q1748" s="15" t="n">
        <v>2</v>
      </c>
      <c r="R1748" s="5" t="inlineStr">
        <is>
          <t>357-2024-12-31</t>
        </is>
      </c>
    </row>
    <row r="1749">
      <c r="A1749" s="21" t="n">
        <v>357</v>
      </c>
      <c r="B1749" s="5" t="inlineStr">
        <is>
          <t>Cartera</t>
        </is>
      </c>
      <c r="C1749" s="5" t="inlineStr">
        <is>
          <t>Tesorería</t>
        </is>
      </c>
      <c r="D1749" s="5" t="inlineStr">
        <is>
          <t>Semestral</t>
        </is>
      </c>
      <c r="E1749" s="5" t="inlineStr">
        <is>
          <t>Positivo</t>
        </is>
      </c>
      <c r="F1749" s="107" t="n">
        <v>45838</v>
      </c>
      <c r="G1749" s="5" t="n">
        <v>2025</v>
      </c>
      <c r="H1749" s="5" t="inlineStr">
        <is>
          <t>Junio</t>
        </is>
      </c>
      <c r="I1749" s="6" t="inlineStr">
        <is>
          <t>2025-1</t>
        </is>
      </c>
      <c r="J1749" s="5" t="n"/>
      <c r="K1749" s="10" t="n">
        <v>0.85</v>
      </c>
      <c r="L1749" s="14" t="n"/>
      <c r="M1749" s="14" t="n"/>
      <c r="N1749" s="5" t="inlineStr">
        <is>
          <t>Metrica</t>
        </is>
      </c>
      <c r="O1749" s="5" t="inlineStr">
        <is>
          <t>DEC</t>
        </is>
      </c>
      <c r="P1749" s="15" t="n">
        <v>2</v>
      </c>
      <c r="Q1749" s="15" t="n">
        <v>2</v>
      </c>
      <c r="R1749" s="5" t="inlineStr">
        <is>
          <t>357-2025-06-30</t>
        </is>
      </c>
    </row>
    <row r="1750">
      <c r="A1750" s="21" t="n">
        <v>357</v>
      </c>
      <c r="B1750" s="5" t="inlineStr">
        <is>
          <t>Cartera - Metrica</t>
        </is>
      </c>
      <c r="C1750" s="5" t="inlineStr">
        <is>
          <t>Tesorería</t>
        </is>
      </c>
      <c r="D1750" s="5" t="inlineStr">
        <is>
          <t>Trimestral</t>
        </is>
      </c>
      <c r="E1750" s="5" t="inlineStr">
        <is>
          <t>Positivo</t>
        </is>
      </c>
      <c r="F1750" s="107" t="n">
        <v>46022</v>
      </c>
      <c r="G1750" s="5" t="n">
        <v>2025</v>
      </c>
      <c r="H1750" s="5" t="inlineStr">
        <is>
          <t>Diciembre</t>
        </is>
      </c>
      <c r="I1750" s="6" t="inlineStr">
        <is>
          <t>2025-2</t>
        </is>
      </c>
      <c r="J1750" s="5" t="n">
        <v>10049277970</v>
      </c>
      <c r="K1750" s="10" t="n">
        <v>0.44</v>
      </c>
      <c r="L1750" s="14" t="n"/>
      <c r="M1750" s="14" t="n"/>
      <c r="N1750" s="5" t="inlineStr">
        <is>
          <t>Metrica</t>
        </is>
      </c>
      <c r="O1750" s="5" t="n"/>
      <c r="P1750" s="15" t="n">
        <v>0</v>
      </c>
      <c r="Q1750" s="15" t="n">
        <v>2</v>
      </c>
      <c r="R1750" s="5" t="inlineStr">
        <is>
          <t>357-2025-12-31</t>
        </is>
      </c>
      <c r="S1750" t="inlineStr">
        <is>
          <t>Metrica</t>
        </is>
      </c>
    </row>
    <row r="1751">
      <c r="A1751" s="21" t="n">
        <v>358</v>
      </c>
      <c r="B1751" s="5" t="inlineStr">
        <is>
          <t>Acompañamiento a estudiantes en practicas</t>
        </is>
      </c>
      <c r="C1751" s="5" t="inlineStr">
        <is>
          <t>Prácticas</t>
        </is>
      </c>
      <c r="D1751" s="5" t="inlineStr">
        <is>
          <t>Semestral</t>
        </is>
      </c>
      <c r="E1751" s="5" t="inlineStr">
        <is>
          <t>Positivo</t>
        </is>
      </c>
      <c r="F1751" s="107" t="n">
        <v>45107</v>
      </c>
      <c r="G1751" s="5" t="n">
        <v>2023</v>
      </c>
      <c r="H1751" s="5" t="inlineStr">
        <is>
          <t>Junio</t>
        </is>
      </c>
      <c r="I1751" s="6" t="inlineStr">
        <is>
          <t>2023-1</t>
        </is>
      </c>
      <c r="J1751" s="5" t="n">
        <v>87</v>
      </c>
      <c r="K1751" s="10" t="n">
        <v>86.98453608247399</v>
      </c>
      <c r="L1751" s="14">
        <f>IFERROR(IF(OR(J1751=0,K1751=""),"",IF(E1751="Positivo",MIN(MAX(K1751/J1751,0),1.3),MIN(MAX(J1751/K1751,0),1.3))),"") </f>
        <v/>
      </c>
      <c r="M1751" s="14">
        <f>IFERROR(IF(OR(J1751=0,K1751=""),"",IF(E1751="Positivo",MAX(K1751/J1751,0),MAX(J1751/K1751,0))),"") </f>
        <v/>
      </c>
      <c r="N1751" s="5" t="inlineStr">
        <is>
          <t>%</t>
        </is>
      </c>
      <c r="O1751" s="5" t="inlineStr">
        <is>
          <t>%</t>
        </is>
      </c>
      <c r="P1751" s="15" t="n">
        <v>0</v>
      </c>
      <c r="Q1751" s="15" t="n">
        <v>0</v>
      </c>
      <c r="R1751" s="5" t="inlineStr">
        <is>
          <t>358-2023-06-30</t>
        </is>
      </c>
    </row>
    <row r="1752">
      <c r="A1752" s="21" t="n">
        <v>358</v>
      </c>
      <c r="B1752" s="5" t="inlineStr">
        <is>
          <t>Acompañamiento a estudiantes en practicas</t>
        </is>
      </c>
      <c r="C1752" s="5" t="inlineStr">
        <is>
          <t>Prácticas</t>
        </is>
      </c>
      <c r="D1752" s="5" t="inlineStr">
        <is>
          <t>Semestral</t>
        </is>
      </c>
      <c r="E1752" s="5" t="inlineStr">
        <is>
          <t>Positivo</t>
        </is>
      </c>
      <c r="F1752" s="107" t="n">
        <v>45291</v>
      </c>
      <c r="G1752" s="5" t="n">
        <v>2023</v>
      </c>
      <c r="H1752" s="5" t="inlineStr">
        <is>
          <t>Diciembre</t>
        </is>
      </c>
      <c r="I1752" s="6" t="inlineStr">
        <is>
          <t>2023-2</t>
        </is>
      </c>
      <c r="J1752" s="5" t="n">
        <v>87</v>
      </c>
      <c r="K1752" s="10" t="n">
        <v>95</v>
      </c>
      <c r="L1752" s="14">
        <f>IFERROR(IF(OR(J1752=0,K1752=""),"",IF(E1752="Positivo",MIN(MAX(K1752/J1752,0),1.3),MIN(MAX(J1752/K1752,0),1.3))),"") </f>
        <v/>
      </c>
      <c r="M1752" s="14">
        <f>IFERROR(IF(OR(J1752=0,K1752=""),"",IF(E1752="Positivo",MAX(K1752/J1752,0),MAX(J1752/K1752,0))),"") </f>
        <v/>
      </c>
      <c r="N1752" s="5" t="inlineStr">
        <is>
          <t>%</t>
        </is>
      </c>
      <c r="O1752" s="5" t="inlineStr">
        <is>
          <t>%</t>
        </is>
      </c>
      <c r="P1752" s="15" t="n">
        <v>0</v>
      </c>
      <c r="Q1752" s="15" t="n">
        <v>0</v>
      </c>
      <c r="R1752" s="5" t="inlineStr">
        <is>
          <t>358-2023-12-31</t>
        </is>
      </c>
    </row>
    <row r="1753">
      <c r="A1753" s="21" t="n">
        <v>358</v>
      </c>
      <c r="B1753" s="5" t="inlineStr">
        <is>
          <t>Acompañamiento a estudiantes en practicas</t>
        </is>
      </c>
      <c r="C1753" s="5" t="inlineStr">
        <is>
          <t>Prácticas</t>
        </is>
      </c>
      <c r="D1753" s="5" t="inlineStr">
        <is>
          <t>Semestral</t>
        </is>
      </c>
      <c r="E1753" s="5" t="inlineStr">
        <is>
          <t>Positivo</t>
        </is>
      </c>
      <c r="F1753" s="107" t="n">
        <v>45473</v>
      </c>
      <c r="G1753" s="5" t="n">
        <v>2024</v>
      </c>
      <c r="H1753" s="5" t="inlineStr">
        <is>
          <t>Junio</t>
        </is>
      </c>
      <c r="I1753" s="6" t="inlineStr">
        <is>
          <t>2024-1</t>
        </is>
      </c>
      <c r="J1753" s="5" t="n">
        <v>87</v>
      </c>
      <c r="K1753" s="10" t="n">
        <v>97.98999999999999</v>
      </c>
      <c r="L1753" s="14">
        <f>IFERROR(IF(OR(J1753=0,K1753=""),"",IF(E1753="Positivo",MIN(MAX(K1753/J1753,0),1.3),MIN(MAX(J1753/K1753,0),1.3))),"") </f>
        <v/>
      </c>
      <c r="M1753" s="14">
        <f>IFERROR(IF(OR(J1753=0,K1753=""),"",IF(E1753="Positivo",MAX(K1753/J1753,0),MAX(J1753/K1753,0))),"") </f>
        <v/>
      </c>
      <c r="N1753" s="5" t="inlineStr">
        <is>
          <t>%</t>
        </is>
      </c>
      <c r="O1753" s="5" t="inlineStr">
        <is>
          <t>%</t>
        </is>
      </c>
      <c r="P1753" s="15" t="n">
        <v>0</v>
      </c>
      <c r="Q1753" s="15" t="n">
        <v>0</v>
      </c>
      <c r="R1753" s="5" t="inlineStr">
        <is>
          <t>358-2024-06-30</t>
        </is>
      </c>
    </row>
    <row r="1754">
      <c r="A1754" s="21" t="n">
        <v>358</v>
      </c>
      <c r="B1754" s="5" t="inlineStr">
        <is>
          <t>Acompañamiento a estudiantes en practicas</t>
        </is>
      </c>
      <c r="C1754" s="5" t="inlineStr">
        <is>
          <t>Prácticas</t>
        </is>
      </c>
      <c r="D1754" s="5" t="inlineStr">
        <is>
          <t>Semestral</t>
        </is>
      </c>
      <c r="E1754" s="5" t="inlineStr">
        <is>
          <t>Positivo</t>
        </is>
      </c>
      <c r="F1754" s="107" t="n">
        <v>45657</v>
      </c>
      <c r="G1754" s="5" t="n">
        <v>2024</v>
      </c>
      <c r="H1754" s="5" t="inlineStr">
        <is>
          <t>Diciembre</t>
        </is>
      </c>
      <c r="I1754" s="6" t="inlineStr">
        <is>
          <t>2024-2</t>
        </is>
      </c>
      <c r="J1754" s="5" t="n">
        <v>87</v>
      </c>
      <c r="K1754" s="10" t="n">
        <v>100</v>
      </c>
      <c r="L1754" s="14">
        <f>IFERROR(IF(OR(J1754=0,K1754=""),"",IF(E1754="Positivo",MIN(MAX(K1754/J1754,0),1.3),MIN(MAX(J1754/K1754,0),1.3))),"") </f>
        <v/>
      </c>
      <c r="M1754" s="14">
        <f>IFERROR(IF(OR(J1754=0,K1754=""),"",IF(E1754="Positivo",MAX(K1754/J1754,0),MAX(J1754/K1754,0))),"") </f>
        <v/>
      </c>
      <c r="N1754" s="5" t="inlineStr">
        <is>
          <t>%</t>
        </is>
      </c>
      <c r="O1754" s="5" t="inlineStr">
        <is>
          <t>%</t>
        </is>
      </c>
      <c r="P1754" s="15" t="n">
        <v>0</v>
      </c>
      <c r="Q1754" s="15" t="n">
        <v>0</v>
      </c>
      <c r="R1754" s="5" t="inlineStr">
        <is>
          <t>358-2024-12-31</t>
        </is>
      </c>
    </row>
    <row r="1755">
      <c r="A1755" s="21" t="n">
        <v>358</v>
      </c>
      <c r="B1755" s="5" t="inlineStr">
        <is>
          <t>Nivel de acompañamiento a estudiantes en práctica</t>
        </is>
      </c>
      <c r="C1755" s="5" t="inlineStr">
        <is>
          <t>Prácticas</t>
        </is>
      </c>
      <c r="D1755" s="5" t="inlineStr">
        <is>
          <t>Trimestral</t>
        </is>
      </c>
      <c r="E1755" s="5" t="inlineStr">
        <is>
          <t>Positivo</t>
        </is>
      </c>
      <c r="F1755" s="107" t="n">
        <v>45838</v>
      </c>
      <c r="G1755" s="5" t="n">
        <v>2025</v>
      </c>
      <c r="H1755" s="5" t="inlineStr">
        <is>
          <t>Junio</t>
        </is>
      </c>
      <c r="I1755" s="6" t="inlineStr">
        <is>
          <t>2025-1</t>
        </is>
      </c>
      <c r="J1755" s="5" t="n">
        <v>100</v>
      </c>
      <c r="K1755" s="10" t="n">
        <v>100</v>
      </c>
      <c r="L1755" s="14">
        <f>IFERROR(IF(OR(J1755=0,K1755=""),"",IF(E1755="Positivo",MIN(MAX(K1755/J1755,0),1.3),MIN(MAX(J1755/K1755,0),1.3))),"") </f>
        <v/>
      </c>
      <c r="M1755" s="14">
        <f>IFERROR(IF(OR(J1755=0,K1755=""),"",IF(E1755="Positivo",MAX(K1755/J1755,0),MAX(J1755/K1755,0))),"") </f>
        <v/>
      </c>
      <c r="N1755" s="5" t="inlineStr">
        <is>
          <t>%</t>
        </is>
      </c>
      <c r="O1755" s="5" t="inlineStr">
        <is>
          <t>%</t>
        </is>
      </c>
      <c r="P1755" s="15" t="n">
        <v>0</v>
      </c>
      <c r="Q1755" s="15" t="n">
        <v>0</v>
      </c>
      <c r="R1755" s="5" t="inlineStr">
        <is>
          <t>358-2025-06-30</t>
        </is>
      </c>
    </row>
    <row r="1756">
      <c r="A1756" s="21" t="n">
        <v>358</v>
      </c>
      <c r="B1756" s="5" t="inlineStr">
        <is>
          <t>Acompañamiento a estudiantes en practicas</t>
        </is>
      </c>
      <c r="C1756" s="5" t="inlineStr">
        <is>
          <t>Prácticas</t>
        </is>
      </c>
      <c r="D1756" s="5" t="inlineStr">
        <is>
          <t>Semestral</t>
        </is>
      </c>
      <c r="E1756" s="5" t="inlineStr">
        <is>
          <t>Positivo</t>
        </is>
      </c>
      <c r="F1756" s="107" t="n">
        <v>46022</v>
      </c>
      <c r="G1756" s="5" t="n">
        <v>2025</v>
      </c>
      <c r="H1756" s="5" t="inlineStr">
        <is>
          <t>Diciembre</t>
        </is>
      </c>
      <c r="I1756" s="6" t="inlineStr">
        <is>
          <t>2025-2</t>
        </is>
      </c>
      <c r="J1756" s="5" t="n">
        <v>100</v>
      </c>
      <c r="K1756" s="10" t="n">
        <v>100</v>
      </c>
      <c r="L1756" s="14">
        <f>IFERROR(IF(OR(J1756=0,K1756=""),"",IF(E1756="Positivo",MIN(MAX(K1756/J1756,0),1.3),MIN(MAX(J1756/K1756,0),1.3))),"") </f>
        <v/>
      </c>
      <c r="M1756" s="14">
        <f>IFERROR(IF(OR(J1756=0,K1756=""),"",IF(E1756="Positivo",MAX(K1756/J1756,0),MAX(J1756/K1756,0))),"") </f>
        <v/>
      </c>
      <c r="N1756" s="5" t="inlineStr">
        <is>
          <t>%</t>
        </is>
      </c>
      <c r="O1756" s="5" t="inlineStr">
        <is>
          <t>%</t>
        </is>
      </c>
      <c r="P1756" s="15" t="n">
        <v>0</v>
      </c>
      <c r="Q1756" s="15" t="n">
        <v>0</v>
      </c>
      <c r="R1756" s="5" t="inlineStr">
        <is>
          <t>358-2025-12-31</t>
        </is>
      </c>
    </row>
    <row r="1757">
      <c r="A1757" s="21" t="n">
        <v>359</v>
      </c>
      <c r="B1757" s="5" t="inlineStr">
        <is>
          <t>Satisfacción Institucional CSAT</t>
        </is>
      </c>
      <c r="C1757" s="5" t="inlineStr">
        <is>
          <t>EXPERIENCIA INSTITUCIONAL</t>
        </is>
      </c>
      <c r="D1757" s="5" t="inlineStr">
        <is>
          <t>Trimestral</t>
        </is>
      </c>
      <c r="E1757" s="5" t="inlineStr">
        <is>
          <t>Positivo</t>
        </is>
      </c>
      <c r="F1757" s="107" t="n">
        <v>45473</v>
      </c>
      <c r="G1757" s="5" t="n">
        <v>2024</v>
      </c>
      <c r="H1757" s="5" t="inlineStr">
        <is>
          <t>Junio</t>
        </is>
      </c>
      <c r="I1757" s="6" t="inlineStr">
        <is>
          <t>2024-1</t>
        </is>
      </c>
      <c r="J1757" s="5" t="n">
        <v>80</v>
      </c>
      <c r="K1757" s="10" t="n">
        <v>0</v>
      </c>
      <c r="L1757" s="14">
        <f>IFERROR(IF(OR(J1757=0,K1757=""),"",IF(E1757="Positivo",MIN(MAX(K1757/J1757,0),1.3),MIN(MAX(J1757/K1757,0),1.3))),"") </f>
        <v/>
      </c>
      <c r="M1757" s="14">
        <f>IFERROR(IF(OR(J1757=0,K1757=""),"",IF(E1757="Positivo",MAX(K1757/J1757,0),MAX(J1757/K1757,0))),"") </f>
        <v/>
      </c>
      <c r="N1757" s="5" t="inlineStr">
        <is>
          <t>%</t>
        </is>
      </c>
      <c r="O1757" s="5" t="inlineStr">
        <is>
          <t>%</t>
        </is>
      </c>
      <c r="P1757" s="15" t="n">
        <v>0</v>
      </c>
      <c r="Q1757" s="15" t="n">
        <v>0</v>
      </c>
      <c r="R1757" s="5" t="inlineStr">
        <is>
          <t>359-2024-06-30</t>
        </is>
      </c>
    </row>
    <row r="1758">
      <c r="A1758" s="21" t="n">
        <v>359</v>
      </c>
      <c r="B1758" s="5" t="inlineStr">
        <is>
          <t>Satisfacción Institucional</t>
        </is>
      </c>
      <c r="C1758" s="5" t="inlineStr">
        <is>
          <t>EXPERIENCIA INSTITUCIONAL</t>
        </is>
      </c>
      <c r="D1758" s="5" t="inlineStr">
        <is>
          <t>Semestral</t>
        </is>
      </c>
      <c r="E1758" s="5" t="inlineStr">
        <is>
          <t>Positivo</t>
        </is>
      </c>
      <c r="F1758" s="107" t="n">
        <v>45657</v>
      </c>
      <c r="G1758" s="5" t="n">
        <v>2024</v>
      </c>
      <c r="H1758" s="5" t="inlineStr">
        <is>
          <t>Diciembre</t>
        </is>
      </c>
      <c r="I1758" s="6" t="inlineStr">
        <is>
          <t>2024-2</t>
        </is>
      </c>
      <c r="J1758" s="5" t="n">
        <v>80</v>
      </c>
      <c r="K1758" s="10" t="n">
        <v>86</v>
      </c>
      <c r="L1758" s="14">
        <f>IFERROR(IF(OR(J1758=0,K1758=""),"",IF(E1758="Positivo",MIN(MAX(K1758/J1758,0),1.3),MIN(MAX(J1758/K1758,0),1.3))),"") </f>
        <v/>
      </c>
      <c r="M1758" s="14">
        <f>IFERROR(IF(OR(J1758=0,K1758=""),"",IF(E1758="Positivo",MAX(K1758/J1758,0),MAX(J1758/K1758,0))),"") </f>
        <v/>
      </c>
      <c r="N1758" s="5" t="inlineStr">
        <is>
          <t>%</t>
        </is>
      </c>
      <c r="O1758" s="5" t="inlineStr">
        <is>
          <t>%</t>
        </is>
      </c>
      <c r="P1758" s="15" t="n">
        <v>0</v>
      </c>
      <c r="Q1758" s="15" t="n">
        <v>0</v>
      </c>
      <c r="R1758" s="5" t="inlineStr">
        <is>
          <t>359-2024-12-31</t>
        </is>
      </c>
    </row>
    <row r="1759">
      <c r="A1759" s="21" t="n">
        <v>359</v>
      </c>
      <c r="B1759" s="5" t="inlineStr">
        <is>
          <t>Satisfacción Institucional</t>
        </is>
      </c>
      <c r="C1759" s="5" t="inlineStr">
        <is>
          <t>EXPERIENCIA INSTITUCIONAL</t>
        </is>
      </c>
      <c r="D1759" s="5" t="inlineStr">
        <is>
          <t>Semestral</t>
        </is>
      </c>
      <c r="E1759" s="5" t="inlineStr">
        <is>
          <t>Positivo</t>
        </is>
      </c>
      <c r="F1759" s="107" t="n">
        <v>45838</v>
      </c>
      <c r="G1759" s="5" t="n">
        <v>2025</v>
      </c>
      <c r="H1759" s="5" t="inlineStr">
        <is>
          <t>Junio</t>
        </is>
      </c>
      <c r="I1759" s="6" t="inlineStr">
        <is>
          <t>2025-1</t>
        </is>
      </c>
      <c r="J1759" s="5" t="n">
        <v>80</v>
      </c>
      <c r="K1759" s="10" t="n">
        <v>90</v>
      </c>
      <c r="L1759" s="14">
        <f>IFERROR(IF(OR(J1759=0,K1759=""),"",IF(E1759="Positivo",MIN(MAX(K1759/J1759,0),1.3),MIN(MAX(J1759/K1759,0),1.3))),"") </f>
        <v/>
      </c>
      <c r="M1759" s="14">
        <f>IFERROR(IF(OR(J1759=0,K1759=""),"",IF(E1759="Positivo",MAX(K1759/J1759,0),MAX(J1759/K1759,0))),"") </f>
        <v/>
      </c>
      <c r="N1759" s="5" t="inlineStr">
        <is>
          <t>%</t>
        </is>
      </c>
      <c r="O1759" s="5" t="inlineStr">
        <is>
          <t>%</t>
        </is>
      </c>
      <c r="P1759" s="15" t="n">
        <v>0</v>
      </c>
      <c r="Q1759" s="15" t="n">
        <v>0</v>
      </c>
      <c r="R1759" s="5" t="inlineStr">
        <is>
          <t>359-2025-06-30</t>
        </is>
      </c>
    </row>
    <row r="1760">
      <c r="A1760" s="21" t="n">
        <v>359</v>
      </c>
      <c r="B1760" s="5" t="inlineStr">
        <is>
          <t>Satisfacción Institucional CSAT</t>
        </is>
      </c>
      <c r="C1760" s="5" t="inlineStr">
        <is>
          <t>EXPERIENCIA INSTITUCIONAL</t>
        </is>
      </c>
      <c r="D1760" s="5" t="inlineStr">
        <is>
          <t>Trimestral</t>
        </is>
      </c>
      <c r="E1760" s="5" t="inlineStr">
        <is>
          <t>Positivo</t>
        </is>
      </c>
      <c r="F1760" s="107" t="n">
        <v>46022</v>
      </c>
      <c r="G1760" s="5" t="n">
        <v>2025</v>
      </c>
      <c r="H1760" s="5" t="inlineStr">
        <is>
          <t>Diciembre</t>
        </is>
      </c>
      <c r="I1760" s="6" t="inlineStr">
        <is>
          <t>2025-2</t>
        </is>
      </c>
      <c r="J1760" s="5" t="n">
        <v>85</v>
      </c>
      <c r="K1760" s="10" t="n">
        <v>89.90000000000001</v>
      </c>
      <c r="L1760" s="14">
        <f>IFERROR(IF(OR(J1760=0,K1760=""),"",IF(E1760="Positivo",MIN(MAX(K1760/J1760,0),1.3),MIN(MAX(J1760/K1760,0),1.3))),"") </f>
        <v/>
      </c>
      <c r="M1760" s="14">
        <f>IFERROR(IF(OR(J1760=0,K1760=""),"",IF(E1760="Positivo",MAX(K1760/J1760,0),MAX(J1760/K1760,0))),"") </f>
        <v/>
      </c>
      <c r="N1760" s="5" t="inlineStr">
        <is>
          <t>%</t>
        </is>
      </c>
      <c r="O1760" s="5" t="inlineStr">
        <is>
          <t>%</t>
        </is>
      </c>
      <c r="P1760" s="15" t="n">
        <v>0</v>
      </c>
      <c r="Q1760" s="15" t="n">
        <v>0</v>
      </c>
      <c r="R1760" s="5" t="inlineStr">
        <is>
          <t>359-2025-12-31</t>
        </is>
      </c>
    </row>
    <row r="1761">
      <c r="A1761" s="21" t="n">
        <v>360</v>
      </c>
      <c r="B1761" s="5" t="inlineStr">
        <is>
          <t>Cumplimiento de cronogramas</t>
        </is>
      </c>
      <c r="C1761" s="5" t="inlineStr">
        <is>
          <t>Experiencia institucional</t>
        </is>
      </c>
      <c r="D1761" s="5" t="inlineStr">
        <is>
          <t>Semestral</t>
        </is>
      </c>
      <c r="E1761" s="5" t="inlineStr">
        <is>
          <t>Positivo</t>
        </is>
      </c>
      <c r="F1761" s="107" t="n">
        <v>45107</v>
      </c>
      <c r="G1761" s="5" t="n">
        <v>2023</v>
      </c>
      <c r="H1761" s="5" t="inlineStr">
        <is>
          <t>Junio</t>
        </is>
      </c>
      <c r="I1761" s="6" t="inlineStr">
        <is>
          <t>2023-1</t>
        </is>
      </c>
      <c r="J1761" s="5" t="n">
        <v>0</v>
      </c>
      <c r="K1761" s="10" t="n">
        <v>0</v>
      </c>
      <c r="L1761" s="14">
        <f>IFERROR(IF(OR(J1761=0,K1761=""),"",IF(E1761="Positivo",MIN(MAX(K1761/J1761,0),1.3),MIN(MAX(J1761/K1761,0),1.3))),"") </f>
        <v/>
      </c>
      <c r="M1761" s="14">
        <f>IFERROR(IF(OR(J1761=0,K1761=""),"",IF(E1761="Positivo",MAX(K1761/J1761,0),MAX(J1761/K1761,0))),"") </f>
        <v/>
      </c>
      <c r="N1761" s="5" t="n"/>
      <c r="O1761" s="5" t="n"/>
      <c r="P1761" s="15" t="n">
        <v>0</v>
      </c>
      <c r="Q1761" s="15" t="n">
        <v>0</v>
      </c>
      <c r="R1761" s="5" t="inlineStr">
        <is>
          <t>360-2023-06-30</t>
        </is>
      </c>
    </row>
    <row r="1762">
      <c r="A1762" s="21" t="n">
        <v>360</v>
      </c>
      <c r="B1762" s="5" t="inlineStr">
        <is>
          <t>Cumplimiento de cronogramas</t>
        </is>
      </c>
      <c r="C1762" s="5" t="inlineStr">
        <is>
          <t>EXPERIENCIA INSTITUCIONAL</t>
        </is>
      </c>
      <c r="D1762" s="5" t="inlineStr">
        <is>
          <t>Semestral</t>
        </is>
      </c>
      <c r="E1762" s="5" t="inlineStr">
        <is>
          <t>Positivo</t>
        </is>
      </c>
      <c r="F1762" s="107" t="n">
        <v>45291</v>
      </c>
      <c r="G1762" s="5" t="n">
        <v>2023</v>
      </c>
      <c r="H1762" s="5" t="inlineStr">
        <is>
          <t>Diciembre</t>
        </is>
      </c>
      <c r="I1762" s="6" t="inlineStr">
        <is>
          <t>2023-2</t>
        </is>
      </c>
      <c r="J1762" s="5" t="n">
        <v>0</v>
      </c>
      <c r="K1762" s="10" t="n">
        <v>0</v>
      </c>
      <c r="L1762" s="14">
        <f>IFERROR(IF(OR(J1762=0,K1762=""),"",IF(E1762="Positivo",MIN(MAX(K1762/J1762,0),1.3),MIN(MAX(J1762/K1762,0),1.3))),"") </f>
        <v/>
      </c>
      <c r="M1762" s="14">
        <f>IFERROR(IF(OR(J1762=0,K1762=""),"",IF(E1762="Positivo",MAX(K1762/J1762,0),MAX(J1762/K1762,0))),"") </f>
        <v/>
      </c>
      <c r="N1762" s="5" t="n"/>
      <c r="O1762" s="5" t="n"/>
      <c r="P1762" s="15" t="n">
        <v>0</v>
      </c>
      <c r="Q1762" s="15" t="n">
        <v>0</v>
      </c>
      <c r="R1762" s="5" t="inlineStr">
        <is>
          <t>360-2023-12-31</t>
        </is>
      </c>
    </row>
    <row r="1763">
      <c r="A1763" s="21" t="n">
        <v>361</v>
      </c>
      <c r="B1763" s="5" t="inlineStr">
        <is>
          <t>% Inclusión</t>
        </is>
      </c>
      <c r="C1763" s="5" t="inlineStr">
        <is>
          <t>Gestión de la Responsabilidad Social</t>
        </is>
      </c>
      <c r="D1763" s="5" t="inlineStr">
        <is>
          <t>Anual</t>
        </is>
      </c>
      <c r="E1763" s="5" t="inlineStr">
        <is>
          <t>Positivo</t>
        </is>
      </c>
      <c r="F1763" s="107" t="n">
        <v>45291</v>
      </c>
      <c r="G1763" s="5" t="n">
        <v>2023</v>
      </c>
      <c r="H1763" s="5" t="inlineStr">
        <is>
          <t>Diciembre</t>
        </is>
      </c>
      <c r="I1763" s="6" t="inlineStr">
        <is>
          <t>2023-2</t>
        </is>
      </c>
      <c r="J1763" s="5" t="n">
        <v>4.5</v>
      </c>
      <c r="K1763" s="10" t="n">
        <v>4.56</v>
      </c>
      <c r="L1763" s="14">
        <f>IFERROR(IF(OR(J1763=0,K1763=""),"",IF(E1763="Positivo",MIN(MAX(K1763/J1763,0),1.3),MIN(MAX(J1763/K1763,0),1.3))),"") </f>
        <v/>
      </c>
      <c r="M1763" s="14">
        <f>IFERROR(IF(OR(J1763=0,K1763=""),"",IF(E1763="Positivo",MAX(K1763/J1763,0),MAX(J1763/K1763,0))),"") </f>
        <v/>
      </c>
      <c r="N1763" s="5" t="n"/>
      <c r="O1763" s="5" t="n"/>
      <c r="P1763" s="15" t="n">
        <v>2</v>
      </c>
      <c r="Q1763" s="15" t="n">
        <v>2</v>
      </c>
      <c r="R1763" s="5" t="inlineStr">
        <is>
          <t>361-2023-12-31</t>
        </is>
      </c>
    </row>
    <row r="1764">
      <c r="A1764" s="21" t="n">
        <v>361</v>
      </c>
      <c r="B1764" s="5" t="inlineStr">
        <is>
          <t>Índice de Inclusión</t>
        </is>
      </c>
      <c r="C1764" s="5" t="inlineStr">
        <is>
          <t>Gestión de la Responsabilidad Social</t>
        </is>
      </c>
      <c r="D1764" s="5" t="inlineStr">
        <is>
          <t>Anual</t>
        </is>
      </c>
      <c r="E1764" s="5" t="inlineStr">
        <is>
          <t>Positivo</t>
        </is>
      </c>
      <c r="F1764" s="107" t="n">
        <v>45657</v>
      </c>
      <c r="G1764" s="5" t="n">
        <v>2024</v>
      </c>
      <c r="H1764" s="5" t="inlineStr">
        <is>
          <t>Diciembre</t>
        </is>
      </c>
      <c r="I1764" s="6" t="inlineStr">
        <is>
          <t>2024-2</t>
        </is>
      </c>
      <c r="J1764" s="5" t="n"/>
      <c r="K1764" s="10" t="n"/>
      <c r="L1764" s="14" t="n"/>
      <c r="M1764" s="14" t="n"/>
      <c r="N1764" s="5" t="inlineStr">
        <is>
          <t>DEC</t>
        </is>
      </c>
      <c r="O1764" s="5" t="inlineStr">
        <is>
          <t>No Aplica</t>
        </is>
      </c>
      <c r="P1764" s="15" t="n">
        <v>1</v>
      </c>
      <c r="Q1764" s="15" t="n">
        <v>2</v>
      </c>
      <c r="R1764" s="5" t="inlineStr">
        <is>
          <t>361-2024-12-31</t>
        </is>
      </c>
      <c r="S1764" t="inlineStr">
        <is>
          <t>No Aplica</t>
        </is>
      </c>
    </row>
    <row r="1765">
      <c r="A1765" s="21" t="n">
        <v>361</v>
      </c>
      <c r="B1765" s="5" t="inlineStr">
        <is>
          <t>Índice de Inclusión</t>
        </is>
      </c>
      <c r="C1765" s="5" t="inlineStr">
        <is>
          <t>Gestión de la Responsabilidad Social</t>
        </is>
      </c>
      <c r="D1765" s="5" t="inlineStr">
        <is>
          <t>Anual</t>
        </is>
      </c>
      <c r="E1765" s="5" t="inlineStr">
        <is>
          <t>Positivo</t>
        </is>
      </c>
      <c r="F1765" s="107" t="n">
        <v>46022</v>
      </c>
      <c r="G1765" s="5" t="n">
        <v>2025</v>
      </c>
      <c r="H1765" s="5" t="inlineStr">
        <is>
          <t>Diciembre</t>
        </is>
      </c>
      <c r="I1765" s="6" t="inlineStr">
        <is>
          <t>2025-2</t>
        </is>
      </c>
      <c r="J1765" s="5" t="n">
        <v>4.6</v>
      </c>
      <c r="K1765" s="10" t="n">
        <v>4.78</v>
      </c>
      <c r="L1765" s="14">
        <f>IFERROR(IF(OR(J1765=0,K1765=""),"",IF(E1765="Positivo",MIN(MAX(K1765/J1765,0),1.3),MIN(MAX(J1765/K1765,0),1.3))),"") </f>
        <v/>
      </c>
      <c r="M1765" s="14">
        <f>IFERROR(IF(OR(J1765=0,K1765=""),"",IF(E1765="Positivo",MAX(K1765/J1765,0),MAX(J1765/K1765,0))),"") </f>
        <v/>
      </c>
      <c r="N1765" s="5" t="inlineStr">
        <is>
          <t>DEC</t>
        </is>
      </c>
      <c r="O1765" s="5" t="inlineStr">
        <is>
          <t>DEC</t>
        </is>
      </c>
      <c r="P1765" s="15" t="n">
        <v>1</v>
      </c>
      <c r="Q1765" s="15" t="n">
        <v>2</v>
      </c>
      <c r="R1765" s="5" t="inlineStr">
        <is>
          <t>361-2025-12-31</t>
        </is>
      </c>
    </row>
    <row r="1766">
      <c r="A1766" s="21" t="n">
        <v>362</v>
      </c>
      <c r="B1766" s="5" t="inlineStr">
        <is>
          <t>Aseguramiento de matricula académica presencial</t>
        </is>
      </c>
      <c r="C1766" s="5" t="inlineStr">
        <is>
          <t>Operaciones Académicas</t>
        </is>
      </c>
      <c r="D1766" s="5" t="inlineStr">
        <is>
          <t>Trimestral</t>
        </is>
      </c>
      <c r="E1766" s="5" t="inlineStr">
        <is>
          <t>Positivo</t>
        </is>
      </c>
      <c r="F1766" s="107" t="n">
        <v>45016</v>
      </c>
      <c r="G1766" s="5" t="n">
        <v>2023</v>
      </c>
      <c r="H1766" s="5" t="inlineStr">
        <is>
          <t>Marzo</t>
        </is>
      </c>
      <c r="I1766" s="6" t="inlineStr">
        <is>
          <t>2023-1</t>
        </is>
      </c>
      <c r="J1766" s="5" t="n"/>
      <c r="K1766" s="10" t="n"/>
      <c r="L1766" s="14" t="n"/>
      <c r="M1766" s="14" t="n"/>
      <c r="N1766" s="5" t="inlineStr">
        <is>
          <t>%</t>
        </is>
      </c>
      <c r="O1766" s="5" t="inlineStr">
        <is>
          <t>No Aplica</t>
        </is>
      </c>
      <c r="P1766" s="15" t="n">
        <v>0</v>
      </c>
      <c r="Q1766" s="15" t="n">
        <v>0</v>
      </c>
      <c r="R1766" s="5" t="inlineStr">
        <is>
          <t>362-2023-03-31</t>
        </is>
      </c>
      <c r="S1766" t="inlineStr">
        <is>
          <t>No Aplica</t>
        </is>
      </c>
    </row>
    <row r="1767">
      <c r="A1767" s="21" t="n">
        <v>362</v>
      </c>
      <c r="B1767" s="5" t="inlineStr">
        <is>
          <t>Aseguramiento de matricula académica presencial</t>
        </is>
      </c>
      <c r="C1767" s="5" t="inlineStr">
        <is>
          <t>Operaciones Académicas</t>
        </is>
      </c>
      <c r="D1767" s="5" t="inlineStr">
        <is>
          <t>Trimestral</t>
        </is>
      </c>
      <c r="E1767" s="5" t="inlineStr">
        <is>
          <t>Positivo</t>
        </is>
      </c>
      <c r="F1767" s="107" t="n">
        <v>45107</v>
      </c>
      <c r="G1767" s="5" t="n">
        <v>2023</v>
      </c>
      <c r="H1767" s="5" t="inlineStr">
        <is>
          <t>Junio</t>
        </is>
      </c>
      <c r="I1767" s="6" t="inlineStr">
        <is>
          <t>2023-1</t>
        </is>
      </c>
      <c r="J1767" s="5" t="n"/>
      <c r="K1767" s="10" t="n"/>
      <c r="L1767" s="14" t="n"/>
      <c r="M1767" s="14" t="n"/>
      <c r="N1767" s="5" t="inlineStr">
        <is>
          <t>%</t>
        </is>
      </c>
      <c r="O1767" s="5" t="inlineStr">
        <is>
          <t>No Aplica</t>
        </is>
      </c>
      <c r="P1767" s="15" t="n">
        <v>0</v>
      </c>
      <c r="Q1767" s="15" t="n">
        <v>0</v>
      </c>
      <c r="R1767" s="5" t="inlineStr">
        <is>
          <t>362-2023-06-30</t>
        </is>
      </c>
      <c r="S1767" t="inlineStr">
        <is>
          <t>No Aplica</t>
        </is>
      </c>
    </row>
    <row r="1768">
      <c r="A1768" s="21" t="n">
        <v>362</v>
      </c>
      <c r="B1768" s="5" t="inlineStr">
        <is>
          <t>Aseguramiento de matricula académica presencial</t>
        </is>
      </c>
      <c r="C1768" s="5" t="inlineStr">
        <is>
          <t>Operaciones Académicas</t>
        </is>
      </c>
      <c r="D1768" s="5" t="inlineStr">
        <is>
          <t>Semestral</t>
        </is>
      </c>
      <c r="E1768" s="5" t="inlineStr">
        <is>
          <t>Positivo</t>
        </is>
      </c>
      <c r="F1768" s="107" t="n">
        <v>45291</v>
      </c>
      <c r="G1768" s="5" t="n">
        <v>2023</v>
      </c>
      <c r="H1768" s="5" t="inlineStr">
        <is>
          <t>Diciembre</t>
        </is>
      </c>
      <c r="I1768" s="6" t="inlineStr">
        <is>
          <t>2023-2</t>
        </is>
      </c>
      <c r="J1768" s="5" t="n">
        <v>100</v>
      </c>
      <c r="K1768" s="10" t="n">
        <v>99.156641448592</v>
      </c>
      <c r="L1768" s="14">
        <f>IFERROR(IF(OR(J1768=0,K1768=""),"",IF(E1768="Positivo",MIN(MAX(K1768/J1768,0),1.3),MIN(MAX(J1768/K1768,0),1.3))),"") </f>
        <v/>
      </c>
      <c r="M1768" s="14">
        <f>IFERROR(IF(OR(J1768=0,K1768=""),"",IF(E1768="Positivo",MAX(K1768/J1768,0),MAX(J1768/K1768,0))),"") </f>
        <v/>
      </c>
      <c r="N1768" s="5" t="inlineStr">
        <is>
          <t>%</t>
        </is>
      </c>
      <c r="O1768" s="5" t="inlineStr">
        <is>
          <t>%</t>
        </is>
      </c>
      <c r="P1768" s="15" t="n">
        <v>0</v>
      </c>
      <c r="Q1768" s="15" t="n">
        <v>0</v>
      </c>
      <c r="R1768" s="5" t="inlineStr">
        <is>
          <t>362-2023-12-31</t>
        </is>
      </c>
    </row>
    <row r="1769">
      <c r="A1769" s="21" t="n">
        <v>362</v>
      </c>
      <c r="B1769" s="5" t="inlineStr">
        <is>
          <t>Aseguramiento de matricula académica presencial</t>
        </is>
      </c>
      <c r="C1769" s="5" t="inlineStr">
        <is>
          <t>Operaciones Académicas</t>
        </is>
      </c>
      <c r="D1769" s="5" t="inlineStr">
        <is>
          <t>Semestral</t>
        </is>
      </c>
      <c r="E1769" s="5" t="inlineStr">
        <is>
          <t>Positivo</t>
        </is>
      </c>
      <c r="F1769" s="107" t="n">
        <v>45473</v>
      </c>
      <c r="G1769" s="5" t="n">
        <v>2024</v>
      </c>
      <c r="H1769" s="5" t="inlineStr">
        <is>
          <t>Junio</t>
        </is>
      </c>
      <c r="I1769" s="6" t="inlineStr">
        <is>
          <t>2024-1</t>
        </is>
      </c>
      <c r="J1769" s="5" t="n">
        <v>98</v>
      </c>
      <c r="K1769" s="10" t="n">
        <v>99.58432304038006</v>
      </c>
      <c r="L1769" s="14">
        <f>IFERROR(IF(OR(J1769=0,K1769=""),"",IF(E1769="Positivo",MIN(MAX(K1769/J1769,0),1.3),MIN(MAX(J1769/K1769,0),1.3))),"") </f>
        <v/>
      </c>
      <c r="M1769" s="14">
        <f>IFERROR(IF(OR(J1769=0,K1769=""),"",IF(E1769="Positivo",MAX(K1769/J1769,0),MAX(J1769/K1769,0))),"") </f>
        <v/>
      </c>
      <c r="N1769" s="5" t="inlineStr">
        <is>
          <t>%</t>
        </is>
      </c>
      <c r="O1769" s="5" t="inlineStr">
        <is>
          <t>%</t>
        </is>
      </c>
      <c r="P1769" s="15" t="n">
        <v>0</v>
      </c>
      <c r="Q1769" s="15" t="n">
        <v>0</v>
      </c>
      <c r="R1769" s="5" t="inlineStr">
        <is>
          <t>362-2024-06-30</t>
        </is>
      </c>
    </row>
    <row r="1770">
      <c r="A1770" s="21" t="n">
        <v>362</v>
      </c>
      <c r="B1770" s="5" t="inlineStr">
        <is>
          <t>Aseguramiento de matricula académica presencial</t>
        </is>
      </c>
      <c r="C1770" s="5" t="inlineStr">
        <is>
          <t>Operaciones Académicas</t>
        </is>
      </c>
      <c r="D1770" s="5" t="inlineStr">
        <is>
          <t>Semestral</t>
        </is>
      </c>
      <c r="E1770" s="5" t="inlineStr">
        <is>
          <t>Positivo</t>
        </is>
      </c>
      <c r="F1770" s="107" t="n">
        <v>45657</v>
      </c>
      <c r="G1770" s="5" t="n">
        <v>2024</v>
      </c>
      <c r="H1770" s="5" t="inlineStr">
        <is>
          <t>Diciembre</t>
        </is>
      </c>
      <c r="I1770" s="6" t="inlineStr">
        <is>
          <t>2024-2</t>
        </is>
      </c>
      <c r="J1770" s="5" t="n">
        <v>98</v>
      </c>
      <c r="K1770" s="10" t="n">
        <v>99.48999999999999</v>
      </c>
      <c r="L1770" s="14">
        <f>IFERROR(IF(OR(J1770=0,K1770=""),"",IF(E1770="Positivo",MIN(MAX(K1770/J1770,0),1.3),MIN(MAX(J1770/K1770,0),1.3))),"") </f>
        <v/>
      </c>
      <c r="M1770" s="14">
        <f>IFERROR(IF(OR(J1770=0,K1770=""),"",IF(E1770="Positivo",MAX(K1770/J1770,0),MAX(J1770/K1770,0))),"") </f>
        <v/>
      </c>
      <c r="N1770" s="5" t="inlineStr">
        <is>
          <t>%</t>
        </is>
      </c>
      <c r="O1770" s="5" t="inlineStr">
        <is>
          <t>%</t>
        </is>
      </c>
      <c r="P1770" s="15" t="n">
        <v>0</v>
      </c>
      <c r="Q1770" s="15" t="n">
        <v>0</v>
      </c>
      <c r="R1770" s="5" t="inlineStr">
        <is>
          <t>362-2024-12-31</t>
        </is>
      </c>
    </row>
    <row r="1771">
      <c r="A1771" s="21" t="n">
        <v>362</v>
      </c>
      <c r="B1771" s="5" t="inlineStr">
        <is>
          <t>Aseguramiento de matricula académica presencial</t>
        </is>
      </c>
      <c r="C1771" s="5" t="inlineStr">
        <is>
          <t>Operaciones Académicas</t>
        </is>
      </c>
      <c r="D1771" s="5" t="inlineStr">
        <is>
          <t>Semestral</t>
        </is>
      </c>
      <c r="E1771" s="5" t="inlineStr">
        <is>
          <t>Positivo</t>
        </is>
      </c>
      <c r="F1771" s="107" t="n">
        <v>45838</v>
      </c>
      <c r="G1771" s="5" t="n">
        <v>2025</v>
      </c>
      <c r="H1771" s="5" t="inlineStr">
        <is>
          <t>Junio</t>
        </is>
      </c>
      <c r="I1771" s="6" t="inlineStr">
        <is>
          <t>2025-1</t>
        </is>
      </c>
      <c r="J1771" s="5" t="n">
        <v>98</v>
      </c>
      <c r="K1771" s="10" t="n">
        <v>99.63</v>
      </c>
      <c r="L1771" s="14">
        <f>IFERROR(IF(OR(J1771=0,K1771=""),"",IF(E1771="Positivo",MIN(MAX(K1771/J1771,0),1.3),MIN(MAX(J1771/K1771,0),1.3))),"") </f>
        <v/>
      </c>
      <c r="M1771" s="14">
        <f>IFERROR(IF(OR(J1771=0,K1771=""),"",IF(E1771="Positivo",MAX(K1771/J1771,0),MAX(J1771/K1771,0))),"") </f>
        <v/>
      </c>
      <c r="N1771" s="5" t="inlineStr">
        <is>
          <t>%</t>
        </is>
      </c>
      <c r="O1771" s="5" t="inlineStr">
        <is>
          <t>%</t>
        </is>
      </c>
      <c r="P1771" s="15" t="n">
        <v>0</v>
      </c>
      <c r="Q1771" s="15" t="n">
        <v>0</v>
      </c>
      <c r="R1771" s="5" t="inlineStr">
        <is>
          <t>362-2025-06-30</t>
        </is>
      </c>
    </row>
    <row r="1772">
      <c r="A1772" s="21" t="n">
        <v>362</v>
      </c>
      <c r="B1772" s="5" t="inlineStr">
        <is>
          <t>Aseguramiento de matricula académica presencial</t>
        </is>
      </c>
      <c r="C1772" s="5" t="inlineStr">
        <is>
          <t>Operaciones Académicas</t>
        </is>
      </c>
      <c r="D1772" s="5" t="inlineStr">
        <is>
          <t>Trimestral</t>
        </is>
      </c>
      <c r="E1772" s="5" t="inlineStr">
        <is>
          <t>Positivo</t>
        </is>
      </c>
      <c r="F1772" s="107" t="n">
        <v>46022</v>
      </c>
      <c r="G1772" s="5" t="n">
        <v>2025</v>
      </c>
      <c r="H1772" s="5" t="inlineStr">
        <is>
          <t>Diciembre</t>
        </is>
      </c>
      <c r="I1772" s="6" t="inlineStr">
        <is>
          <t>2025-2</t>
        </is>
      </c>
      <c r="J1772" s="5" t="n">
        <v>98</v>
      </c>
      <c r="K1772" s="10" t="n">
        <v>99.7</v>
      </c>
      <c r="L1772" s="14">
        <f>IFERROR(IF(OR(J1772=0,K1772=""),"",IF(E1772="Positivo",MIN(MAX(K1772/J1772,0),1.3),MIN(MAX(J1772/K1772,0),1.3))),"") </f>
        <v/>
      </c>
      <c r="M1772" s="14">
        <f>IFERROR(IF(OR(J1772=0,K1772=""),"",IF(E1772="Positivo",MAX(K1772/J1772,0),MAX(J1772/K1772,0))),"") </f>
        <v/>
      </c>
      <c r="N1772" s="5" t="inlineStr">
        <is>
          <t>%</t>
        </is>
      </c>
      <c r="O1772" s="5" t="inlineStr">
        <is>
          <t>%</t>
        </is>
      </c>
      <c r="P1772" s="15" t="n">
        <v>0</v>
      </c>
      <c r="Q1772" s="15" t="n">
        <v>0</v>
      </c>
      <c r="R1772" s="5" t="inlineStr">
        <is>
          <t>362-2025-12-31</t>
        </is>
      </c>
    </row>
    <row r="1773">
      <c r="A1773" s="21" t="n">
        <v>363</v>
      </c>
      <c r="B1773" s="5" t="inlineStr">
        <is>
          <t>Seguimiento a la parametrización de aulas master y secciones de asignaturas</t>
        </is>
      </c>
      <c r="C1773" s="5" t="inlineStr">
        <is>
          <t>Operaciones Académicas</t>
        </is>
      </c>
      <c r="D1773" s="5" t="inlineStr">
        <is>
          <t>Semestral</t>
        </is>
      </c>
      <c r="E1773" s="5" t="inlineStr">
        <is>
          <t>Positivo</t>
        </is>
      </c>
      <c r="F1773" s="107" t="n">
        <v>45291</v>
      </c>
      <c r="G1773" s="5" t="n">
        <v>2023</v>
      </c>
      <c r="H1773" s="5" t="inlineStr">
        <is>
          <t>Diciembre</t>
        </is>
      </c>
      <c r="I1773" s="6" t="inlineStr">
        <is>
          <t>2023-2</t>
        </is>
      </c>
      <c r="J1773" s="5" t="n">
        <v>100</v>
      </c>
      <c r="K1773" s="10" t="n">
        <v>100</v>
      </c>
      <c r="L1773" s="14">
        <f>IFERROR(IF(OR(J1773=0,K1773=""),"",IF(E1773="Positivo",MIN(MAX(K1773/J1773,0),1.3),MIN(MAX(J1773/K1773,0),1.3))),"") </f>
        <v/>
      </c>
      <c r="M1773" s="14">
        <f>IFERROR(IF(OR(J1773=0,K1773=""),"",IF(E1773="Positivo",MAX(K1773/J1773,0),MAX(J1773/K1773,0))),"") </f>
        <v/>
      </c>
      <c r="N1773" s="5" t="inlineStr">
        <is>
          <t>%</t>
        </is>
      </c>
      <c r="O1773" s="5" t="inlineStr">
        <is>
          <t>%</t>
        </is>
      </c>
      <c r="P1773" s="15" t="n">
        <v>0</v>
      </c>
      <c r="Q1773" s="15" t="n">
        <v>0</v>
      </c>
      <c r="R1773" s="5" t="inlineStr">
        <is>
          <t>363-2023-12-31</t>
        </is>
      </c>
    </row>
    <row r="1774">
      <c r="A1774" s="21" t="n">
        <v>363</v>
      </c>
      <c r="B1774" s="5" t="inlineStr">
        <is>
          <t>Seguimiento a la parametrización de aulas master y secciones de asignaturas</t>
        </is>
      </c>
      <c r="C1774" s="5" t="inlineStr">
        <is>
          <t>Operaciones Académicas</t>
        </is>
      </c>
      <c r="D1774" s="5" t="inlineStr">
        <is>
          <t>Semestral</t>
        </is>
      </c>
      <c r="E1774" s="5" t="inlineStr">
        <is>
          <t>Positivo</t>
        </is>
      </c>
      <c r="F1774" s="107" t="n">
        <v>45473</v>
      </c>
      <c r="G1774" s="5" t="n">
        <v>2024</v>
      </c>
      <c r="H1774" s="5" t="inlineStr">
        <is>
          <t>Junio</t>
        </is>
      </c>
      <c r="I1774" s="6" t="inlineStr">
        <is>
          <t>2024-1</t>
        </is>
      </c>
      <c r="J1774" s="5" t="n">
        <v>100</v>
      </c>
      <c r="K1774" s="10" t="n">
        <v>100</v>
      </c>
      <c r="L1774" s="14">
        <f>IFERROR(IF(OR(J1774=0,K1774=""),"",IF(E1774="Positivo",MIN(MAX(K1774/J1774,0),1.3),MIN(MAX(J1774/K1774,0),1.3))),"") </f>
        <v/>
      </c>
      <c r="M1774" s="14">
        <f>IFERROR(IF(OR(J1774=0,K1774=""),"",IF(E1774="Positivo",MAX(K1774/J1774,0),MAX(J1774/K1774,0))),"") </f>
        <v/>
      </c>
      <c r="N1774" s="5" t="inlineStr">
        <is>
          <t>%</t>
        </is>
      </c>
      <c r="O1774" s="5" t="inlineStr">
        <is>
          <t>%</t>
        </is>
      </c>
      <c r="P1774" s="15" t="n">
        <v>0</v>
      </c>
      <c r="Q1774" s="15" t="n">
        <v>0</v>
      </c>
      <c r="R1774" s="5" t="inlineStr">
        <is>
          <t>363-2024-06-30</t>
        </is>
      </c>
    </row>
    <row r="1775">
      <c r="A1775" s="21" t="n">
        <v>363</v>
      </c>
      <c r="B1775" s="5" t="inlineStr">
        <is>
          <t>Seguimiento a la parametrización de aulas master y secciones de asignaturas</t>
        </is>
      </c>
      <c r="C1775" s="5" t="inlineStr">
        <is>
          <t>Operaciones Académicas</t>
        </is>
      </c>
      <c r="D1775" s="5" t="inlineStr">
        <is>
          <t>Semestral</t>
        </is>
      </c>
      <c r="E1775" s="5" t="inlineStr">
        <is>
          <t>Positivo</t>
        </is>
      </c>
      <c r="F1775" s="107" t="n">
        <v>45657</v>
      </c>
      <c r="G1775" s="5" t="n">
        <v>2024</v>
      </c>
      <c r="H1775" s="5" t="inlineStr">
        <is>
          <t>Diciembre</t>
        </is>
      </c>
      <c r="I1775" s="6" t="inlineStr">
        <is>
          <t>2024-2</t>
        </is>
      </c>
      <c r="J1775" s="5" t="n">
        <v>100</v>
      </c>
      <c r="K1775" s="10" t="n">
        <v>100</v>
      </c>
      <c r="L1775" s="14">
        <f>IFERROR(IF(OR(J1775=0,K1775=""),"",IF(E1775="Positivo",MIN(MAX(K1775/J1775,0),1.3),MIN(MAX(J1775/K1775,0),1.3))),"") </f>
        <v/>
      </c>
      <c r="M1775" s="14">
        <f>IFERROR(IF(OR(J1775=0,K1775=""),"",IF(E1775="Positivo",MAX(K1775/J1775,0),MAX(J1775/K1775,0))),"") </f>
        <v/>
      </c>
      <c r="N1775" s="5" t="inlineStr">
        <is>
          <t>%</t>
        </is>
      </c>
      <c r="O1775" s="5" t="inlineStr">
        <is>
          <t>%</t>
        </is>
      </c>
      <c r="P1775" s="15" t="n">
        <v>0</v>
      </c>
      <c r="Q1775" s="15" t="n">
        <v>0</v>
      </c>
      <c r="R1775" s="5" t="inlineStr">
        <is>
          <t>363-2024-12-31</t>
        </is>
      </c>
    </row>
    <row r="1776">
      <c r="A1776" s="21" t="n">
        <v>363</v>
      </c>
      <c r="B1776" s="5" t="inlineStr">
        <is>
          <t>Seguimiento a la parametrización de aulas master y secciones de asignaturas</t>
        </is>
      </c>
      <c r="C1776" s="5" t="inlineStr">
        <is>
          <t>Operaciones Académicas</t>
        </is>
      </c>
      <c r="D1776" s="5" t="inlineStr">
        <is>
          <t>Trimestral</t>
        </is>
      </c>
      <c r="E1776" s="5" t="inlineStr">
        <is>
          <t>Positivo</t>
        </is>
      </c>
      <c r="F1776" s="107" t="n">
        <v>45838</v>
      </c>
      <c r="G1776" s="5" t="n">
        <v>2025</v>
      </c>
      <c r="H1776" s="5" t="inlineStr">
        <is>
          <t>Junio</t>
        </is>
      </c>
      <c r="I1776" s="6" t="inlineStr">
        <is>
          <t>2025-1</t>
        </is>
      </c>
      <c r="J1776" s="5" t="n">
        <v>100</v>
      </c>
      <c r="K1776" s="10" t="n">
        <v>100</v>
      </c>
      <c r="L1776" s="14">
        <f>IFERROR(IF(OR(J1776=0,K1776=""),"",IF(E1776="Positivo",MIN(MAX(K1776/J1776,0),1.3),MIN(MAX(J1776/K1776,0),1.3))),"") </f>
        <v/>
      </c>
      <c r="M1776" s="14">
        <f>IFERROR(IF(OR(J1776=0,K1776=""),"",IF(E1776="Positivo",MAX(K1776/J1776,0),MAX(J1776/K1776,0))),"") </f>
        <v/>
      </c>
      <c r="N1776" s="5" t="inlineStr">
        <is>
          <t>%</t>
        </is>
      </c>
      <c r="O1776" s="5" t="inlineStr">
        <is>
          <t>%</t>
        </is>
      </c>
      <c r="P1776" s="15" t="n">
        <v>0</v>
      </c>
      <c r="Q1776" s="15" t="n">
        <v>0</v>
      </c>
      <c r="R1776" s="5" t="inlineStr">
        <is>
          <t>363-2025-06-30</t>
        </is>
      </c>
    </row>
    <row r="1777">
      <c r="A1777" s="21" t="n">
        <v>363</v>
      </c>
      <c r="B1777" s="5" t="inlineStr">
        <is>
          <t>Seguimiento a la parametrización de aulas master y secciones de asignaturas</t>
        </is>
      </c>
      <c r="C1777" s="5" t="inlineStr">
        <is>
          <t>Operaciones Académicas</t>
        </is>
      </c>
      <c r="D1777" s="5" t="inlineStr">
        <is>
          <t>Trimestral</t>
        </is>
      </c>
      <c r="E1777" s="5" t="inlineStr">
        <is>
          <t>Positivo</t>
        </is>
      </c>
      <c r="F1777" s="107" t="n">
        <v>46022</v>
      </c>
      <c r="G1777" s="5" t="n">
        <v>2025</v>
      </c>
      <c r="H1777" s="5" t="inlineStr">
        <is>
          <t>Diciembre</t>
        </is>
      </c>
      <c r="I1777" s="6" t="inlineStr">
        <is>
          <t>2025-2</t>
        </is>
      </c>
      <c r="J1777" s="5" t="n">
        <v>100</v>
      </c>
      <c r="K1777" s="10" t="n">
        <v>100</v>
      </c>
      <c r="L1777" s="14">
        <f>IFERROR(IF(OR(J1777=0,K1777=""),"",IF(E1777="Positivo",MIN(MAX(K1777/J1777,0),1.3),MIN(MAX(J1777/K1777,0),1.3))),"") </f>
        <v/>
      </c>
      <c r="M1777" s="14">
        <f>IFERROR(IF(OR(J1777=0,K1777=""),"",IF(E1777="Positivo",MAX(K1777/J1777,0),MAX(J1777/K1777,0))),"") </f>
        <v/>
      </c>
      <c r="N1777" s="5" t="inlineStr">
        <is>
          <t>%</t>
        </is>
      </c>
      <c r="O1777" s="5" t="inlineStr">
        <is>
          <t>%</t>
        </is>
      </c>
      <c r="P1777" s="15" t="n">
        <v>0</v>
      </c>
      <c r="Q1777" s="15" t="n">
        <v>0</v>
      </c>
      <c r="R1777" s="5" t="inlineStr">
        <is>
          <t>363-2025-12-31</t>
        </is>
      </c>
    </row>
    <row r="1778">
      <c r="A1778" s="21" t="n">
        <v>364</v>
      </c>
      <c r="B1778" s="5" t="inlineStr">
        <is>
          <t>Impacto de actividades de Responsabilidad y proyección</t>
        </is>
      </c>
      <c r="C1778" s="5" t="inlineStr">
        <is>
          <t>Gestión de la Responsabilidad Social</t>
        </is>
      </c>
      <c r="D1778" s="5" t="inlineStr">
        <is>
          <t>Semestral</t>
        </is>
      </c>
      <c r="E1778" s="5" t="inlineStr">
        <is>
          <t>Negativo</t>
        </is>
      </c>
      <c r="F1778" s="107" t="n">
        <v>45107</v>
      </c>
      <c r="G1778" s="5" t="n">
        <v>2023</v>
      </c>
      <c r="H1778" s="5" t="inlineStr">
        <is>
          <t>Junio</t>
        </is>
      </c>
      <c r="I1778" s="6" t="inlineStr">
        <is>
          <t>2023-1</t>
        </is>
      </c>
      <c r="J1778" s="5" t="n">
        <v>0</v>
      </c>
      <c r="K1778" s="10" t="n">
        <v>30244</v>
      </c>
      <c r="L1778" s="14">
        <f>IFERROR(IF(OR(J1778=0,K1778=""),"",IF(E1778="Positivo",MIN(MAX(K1778/J1778,0),1.3),MIN(MAX(J1778/K1778,0),1.3))),"") </f>
        <v/>
      </c>
      <c r="M1778" s="14">
        <f>IFERROR(IF(OR(J1778=0,K1778=""),"",IF(E1778="Positivo",MAX(K1778/J1778,0),MAX(J1778/K1778,0))),"") </f>
        <v/>
      </c>
      <c r="N1778" s="5" t="n"/>
      <c r="O1778" s="5" t="n"/>
      <c r="P1778" s="15" t="n">
        <v>0</v>
      </c>
      <c r="Q1778" s="15" t="n">
        <v>0</v>
      </c>
      <c r="R1778" s="5" t="inlineStr">
        <is>
          <t>364-2023-06-30</t>
        </is>
      </c>
    </row>
    <row r="1779">
      <c r="A1779" s="21" t="n">
        <v>364</v>
      </c>
      <c r="B1779" s="5" t="inlineStr">
        <is>
          <t>Impacto de actividades de Responsabilidad y proyección</t>
        </is>
      </c>
      <c r="C1779" s="5" t="inlineStr">
        <is>
          <t>Gestión de la Responsabilidad Social</t>
        </is>
      </c>
      <c r="D1779" s="5" t="inlineStr">
        <is>
          <t>Semestral</t>
        </is>
      </c>
      <c r="E1779" s="5" t="inlineStr">
        <is>
          <t>Negativo</t>
        </is>
      </c>
      <c r="F1779" s="107" t="n">
        <v>45291</v>
      </c>
      <c r="G1779" s="5" t="n">
        <v>2023</v>
      </c>
      <c r="H1779" s="5" t="inlineStr">
        <is>
          <t>Diciembre</t>
        </is>
      </c>
      <c r="I1779" s="6" t="inlineStr">
        <is>
          <t>2023-2</t>
        </is>
      </c>
      <c r="J1779" s="5" t="n">
        <v>0</v>
      </c>
      <c r="K1779" s="10" t="n">
        <v>78450</v>
      </c>
      <c r="L1779" s="14">
        <f>IFERROR(IF(OR(J1779=0,K1779=""),"",IF(E1779="Positivo",MIN(MAX(K1779/J1779,0),1.3),MIN(MAX(J1779/K1779,0),1.3))),"") </f>
        <v/>
      </c>
      <c r="M1779" s="14">
        <f>IFERROR(IF(OR(J1779=0,K1779=""),"",IF(E1779="Positivo",MAX(K1779/J1779,0),MAX(J1779/K1779,0))),"") </f>
        <v/>
      </c>
      <c r="N1779" s="5" t="n"/>
      <c r="O1779" s="5" t="n"/>
      <c r="P1779" s="15" t="n">
        <v>0</v>
      </c>
      <c r="Q1779" s="15" t="n">
        <v>0</v>
      </c>
      <c r="R1779" s="5" t="inlineStr">
        <is>
          <t>364-2023-12-31</t>
        </is>
      </c>
    </row>
    <row r="1780">
      <c r="A1780" s="21" t="n">
        <v>364</v>
      </c>
      <c r="B1780" s="5" t="inlineStr">
        <is>
          <t>Impacto de actividades de Responsabilidad y proyección</t>
        </is>
      </c>
      <c r="C1780" s="5" t="inlineStr">
        <is>
          <t>Gestión de la Responsabilidad Social</t>
        </is>
      </c>
      <c r="D1780" s="5" t="inlineStr">
        <is>
          <t>Semestral</t>
        </is>
      </c>
      <c r="E1780" s="5" t="inlineStr">
        <is>
          <t>Negativo</t>
        </is>
      </c>
      <c r="F1780" s="107" t="n">
        <v>45473</v>
      </c>
      <c r="G1780" s="5" t="n">
        <v>2024</v>
      </c>
      <c r="H1780" s="5" t="inlineStr">
        <is>
          <t>Junio</t>
        </is>
      </c>
      <c r="I1780" s="6" t="inlineStr">
        <is>
          <t>2024-1</t>
        </is>
      </c>
      <c r="J1780" s="5" t="n">
        <v>100</v>
      </c>
      <c r="K1780" s="10" t="n">
        <v>132.73</v>
      </c>
      <c r="L1780" s="14">
        <f>IFERROR(IF(OR(J1780=0,K1780=""),"",IF(E1780="Positivo",MIN(MAX(K1780/J1780,0),1.3),MIN(MAX(J1780/K1780,0),1.3))),"") </f>
        <v/>
      </c>
      <c r="M1780" s="14">
        <f>IFERROR(IF(OR(J1780=0,K1780=""),"",IF(E1780="Positivo",MAX(K1780/J1780,0),MAX(J1780/K1780,0))),"") </f>
        <v/>
      </c>
      <c r="N1780" s="5" t="n"/>
      <c r="O1780" s="5" t="n"/>
      <c r="P1780" s="15" t="n">
        <v>0</v>
      </c>
      <c r="Q1780" s="15" t="n">
        <v>0</v>
      </c>
      <c r="R1780" s="5" t="inlineStr">
        <is>
          <t>364-2024-06-30</t>
        </is>
      </c>
    </row>
    <row r="1781">
      <c r="A1781" s="21" t="n">
        <v>364</v>
      </c>
      <c r="B1781" s="5" t="inlineStr">
        <is>
          <t>Impacto de actividades de Responsabilidad y proyección</t>
        </is>
      </c>
      <c r="C1781" s="5" t="inlineStr">
        <is>
          <t>Gestión de la Responsabilidad Social</t>
        </is>
      </c>
      <c r="D1781" s="5" t="inlineStr">
        <is>
          <t>Semestral</t>
        </is>
      </c>
      <c r="E1781" s="5" t="inlineStr">
        <is>
          <t>Positivo</t>
        </is>
      </c>
      <c r="F1781" s="107" t="n">
        <v>45657</v>
      </c>
      <c r="G1781" s="5" t="n">
        <v>2024</v>
      </c>
      <c r="H1781" s="5" t="inlineStr">
        <is>
          <t>Diciembre</t>
        </is>
      </c>
      <c r="I1781" s="6" t="inlineStr">
        <is>
          <t>2024-2</t>
        </is>
      </c>
      <c r="J1781" s="5" t="n">
        <v>100</v>
      </c>
      <c r="K1781" s="10" t="n">
        <v>98.09</v>
      </c>
      <c r="L1781" s="14">
        <f>IFERROR(IF(OR(J1781=0,K1781=""),"",IF(E1781="Positivo",MIN(MAX(K1781/J1781,0),1.3),MIN(MAX(J1781/K1781,0),1.3))),"") </f>
        <v/>
      </c>
      <c r="M1781" s="14">
        <f>IFERROR(IF(OR(J1781=0,K1781=""),"",IF(E1781="Positivo",MAX(K1781/J1781,0),MAX(J1781/K1781,0))),"") </f>
        <v/>
      </c>
      <c r="N1781" s="5" t="n"/>
      <c r="O1781" s="5" t="n"/>
      <c r="P1781" s="15" t="n">
        <v>0</v>
      </c>
      <c r="Q1781" s="15" t="n">
        <v>0</v>
      </c>
      <c r="R1781" s="5" t="inlineStr">
        <is>
          <t>364-2024-12-31</t>
        </is>
      </c>
    </row>
    <row r="1782">
      <c r="A1782" s="21" t="n">
        <v>364</v>
      </c>
      <c r="B1782" s="5" t="inlineStr">
        <is>
          <t>Impacto de actividades de Responsabilidad y proyección</t>
        </is>
      </c>
      <c r="C1782" s="5" t="inlineStr">
        <is>
          <t>Gestión de la Responsabilidad Social</t>
        </is>
      </c>
      <c r="D1782" s="5" t="inlineStr">
        <is>
          <t>Trimestral</t>
        </is>
      </c>
      <c r="E1782" s="5" t="inlineStr">
        <is>
          <t>Positivo</t>
        </is>
      </c>
      <c r="F1782" s="107" t="n">
        <v>45838</v>
      </c>
      <c r="G1782" s="5" t="n">
        <v>2025</v>
      </c>
      <c r="H1782" s="5" t="inlineStr">
        <is>
          <t>Junio</t>
        </is>
      </c>
      <c r="I1782" s="6" t="inlineStr">
        <is>
          <t>2025-1</t>
        </is>
      </c>
      <c r="J1782" s="5" t="n">
        <v>100</v>
      </c>
      <c r="K1782" s="10" t="n">
        <v>93.89</v>
      </c>
      <c r="L1782" s="14">
        <f>IFERROR(IF(OR(J1782=0,K1782=""),"",IF(E1782="Positivo",MIN(MAX(K1782/J1782,0),1.3),MIN(MAX(J1782/K1782,0),1.3))),"") </f>
        <v/>
      </c>
      <c r="M1782" s="14">
        <f>IFERROR(IF(OR(J1782=0,K1782=""),"",IF(E1782="Positivo",MAX(K1782/J1782,0),MAX(J1782/K1782,0))),"") </f>
        <v/>
      </c>
      <c r="N1782" s="5" t="inlineStr">
        <is>
          <t>ENT</t>
        </is>
      </c>
      <c r="O1782" s="5" t="inlineStr">
        <is>
          <t>ENT</t>
        </is>
      </c>
      <c r="P1782" s="15" t="n">
        <v>0</v>
      </c>
      <c r="Q1782" s="15" t="n">
        <v>0</v>
      </c>
      <c r="R1782" s="5" t="inlineStr">
        <is>
          <t>364-2025-06-30</t>
        </is>
      </c>
    </row>
    <row r="1783">
      <c r="A1783" s="21" t="n">
        <v>364</v>
      </c>
      <c r="B1783" s="5" t="inlineStr">
        <is>
          <t>Impacto de actividades de Responsabilidad y proyección</t>
        </is>
      </c>
      <c r="C1783" s="5" t="inlineStr">
        <is>
          <t>Gestión de la Responsabilidad Social</t>
        </is>
      </c>
      <c r="D1783" s="5" t="inlineStr">
        <is>
          <t>Trimestral</t>
        </is>
      </c>
      <c r="E1783" s="5" t="inlineStr">
        <is>
          <t>Positivo</t>
        </is>
      </c>
      <c r="F1783" s="107" t="n">
        <v>46022</v>
      </c>
      <c r="G1783" s="5" t="n">
        <v>2025</v>
      </c>
      <c r="H1783" s="5" t="inlineStr">
        <is>
          <t>Diciembre</t>
        </is>
      </c>
      <c r="I1783" s="6" t="inlineStr">
        <is>
          <t>2025-2</t>
        </is>
      </c>
      <c r="J1783" s="5" t="n">
        <v>100</v>
      </c>
      <c r="K1783" s="10" t="n">
        <v>78.11</v>
      </c>
      <c r="L1783" s="14">
        <f>IFERROR(IF(OR(J1783=0,K1783=""),"",IF(E1783="Positivo",MIN(MAX(K1783/J1783,0),1.3),MIN(MAX(J1783/K1783,0),1.3))),"") </f>
        <v/>
      </c>
      <c r="M1783" s="14">
        <f>IFERROR(IF(OR(J1783=0,K1783=""),"",IF(E1783="Positivo",MAX(K1783/J1783,0),MAX(J1783/K1783,0))),"") </f>
        <v/>
      </c>
      <c r="N1783" s="5" t="inlineStr">
        <is>
          <t>ENT</t>
        </is>
      </c>
      <c r="O1783" s="5" t="inlineStr">
        <is>
          <t>ENT</t>
        </is>
      </c>
      <c r="P1783" s="15" t="n">
        <v>0</v>
      </c>
      <c r="Q1783" s="15" t="n">
        <v>0</v>
      </c>
      <c r="R1783" s="5" t="inlineStr">
        <is>
          <t>364-2025-12-31</t>
        </is>
      </c>
    </row>
    <row r="1784">
      <c r="A1784" s="21" t="n">
        <v>365</v>
      </c>
      <c r="B1784" s="5" t="inlineStr">
        <is>
          <t>Seguimiento de asignación docente a NRC Pregrado-Posgrado Presencial</t>
        </is>
      </c>
      <c r="C1784" s="5" t="inlineStr">
        <is>
          <t>Operaciones Académicas</t>
        </is>
      </c>
      <c r="D1784" s="5" t="inlineStr">
        <is>
          <t>Semestral</t>
        </is>
      </c>
      <c r="E1784" s="5" t="inlineStr">
        <is>
          <t>Positivo</t>
        </is>
      </c>
      <c r="F1784" s="107" t="n">
        <v>45291</v>
      </c>
      <c r="G1784" s="5" t="n">
        <v>2023</v>
      </c>
      <c r="H1784" s="5" t="inlineStr">
        <is>
          <t>Diciembre</t>
        </is>
      </c>
      <c r="I1784" s="6" t="inlineStr">
        <is>
          <t>2023-2</t>
        </is>
      </c>
      <c r="J1784" s="5" t="n">
        <v>100</v>
      </c>
      <c r="K1784" s="10" t="n">
        <v>100</v>
      </c>
      <c r="L1784" s="14">
        <f>IFERROR(IF(OR(J1784=0,K1784=""),"",IF(E1784="Positivo",MIN(MAX(K1784/J1784,0),1.3),MIN(MAX(J1784/K1784,0),1.3))),"") </f>
        <v/>
      </c>
      <c r="M1784" s="14">
        <f>IFERROR(IF(OR(J1784=0,K1784=""),"",IF(E1784="Positivo",MAX(K1784/J1784,0),MAX(J1784/K1784,0))),"") </f>
        <v/>
      </c>
      <c r="N1784" s="5" t="inlineStr">
        <is>
          <t>%</t>
        </is>
      </c>
      <c r="O1784" s="5" t="inlineStr">
        <is>
          <t>%</t>
        </is>
      </c>
      <c r="P1784" s="15" t="n">
        <v>0</v>
      </c>
      <c r="Q1784" s="15" t="n">
        <v>0</v>
      </c>
      <c r="R1784" s="5" t="inlineStr">
        <is>
          <t>365-2023-12-31</t>
        </is>
      </c>
    </row>
    <row r="1785">
      <c r="A1785" s="21" t="n">
        <v>366</v>
      </c>
      <c r="B1785" s="5" t="inlineStr">
        <is>
          <t>Normalización de cobros pecuniarios</t>
        </is>
      </c>
      <c r="C1785" s="5" t="inlineStr">
        <is>
          <t>Operaciones Académicas</t>
        </is>
      </c>
      <c r="D1785" s="5" t="inlineStr">
        <is>
          <t>Anual</t>
        </is>
      </c>
      <c r="E1785" s="5" t="inlineStr">
        <is>
          <t>Positivo</t>
        </is>
      </c>
      <c r="F1785" s="107" t="n">
        <v>45291</v>
      </c>
      <c r="G1785" s="5" t="n">
        <v>2023</v>
      </c>
      <c r="H1785" s="5" t="inlineStr">
        <is>
          <t>Diciembre</t>
        </is>
      </c>
      <c r="I1785" s="6" t="inlineStr">
        <is>
          <t>2023-2</t>
        </is>
      </c>
      <c r="J1785" s="5" t="n">
        <v>100</v>
      </c>
      <c r="K1785" s="10" t="n">
        <v>100</v>
      </c>
      <c r="L1785" s="14">
        <f>IFERROR(IF(OR(J1785=0,K1785=""),"",IF(E1785="Positivo",MIN(MAX(K1785/J1785,0),1.3),MIN(MAX(J1785/K1785,0),1.3))),"") </f>
        <v/>
      </c>
      <c r="M1785" s="14">
        <f>IFERROR(IF(OR(J1785=0,K1785=""),"",IF(E1785="Positivo",MAX(K1785/J1785,0),MAX(J1785/K1785,0))),"") </f>
        <v/>
      </c>
      <c r="N1785" s="5" t="inlineStr">
        <is>
          <t>%</t>
        </is>
      </c>
      <c r="O1785" s="5" t="inlineStr">
        <is>
          <t>%</t>
        </is>
      </c>
      <c r="P1785" s="15" t="n">
        <v>0</v>
      </c>
      <c r="Q1785" s="15" t="n">
        <v>0</v>
      </c>
      <c r="R1785" s="5" t="inlineStr">
        <is>
          <t>366-2023-12-31</t>
        </is>
      </c>
    </row>
    <row r="1786">
      <c r="A1786" s="21" t="n">
        <v>366</v>
      </c>
      <c r="B1786" s="5" t="inlineStr">
        <is>
          <t>Normalización de cobros pecuniarios</t>
        </is>
      </c>
      <c r="C1786" s="5" t="inlineStr">
        <is>
          <t>Operaciones Académicas</t>
        </is>
      </c>
      <c r="D1786" s="5" t="inlineStr">
        <is>
          <t>Anual</t>
        </is>
      </c>
      <c r="E1786" s="5" t="inlineStr">
        <is>
          <t>Positivo</t>
        </is>
      </c>
      <c r="F1786" s="107" t="n">
        <v>45657</v>
      </c>
      <c r="G1786" s="5" t="n">
        <v>2024</v>
      </c>
      <c r="H1786" s="5" t="inlineStr">
        <is>
          <t>Diciembre</t>
        </is>
      </c>
      <c r="I1786" s="6" t="inlineStr">
        <is>
          <t>2024-2</t>
        </is>
      </c>
      <c r="J1786" s="5" t="n">
        <v>100</v>
      </c>
      <c r="K1786" s="10" t="n">
        <v>100</v>
      </c>
      <c r="L1786" s="14">
        <f>IFERROR(IF(OR(J1786=0,K1786=""),"",IF(E1786="Positivo",MIN(MAX(K1786/J1786,0),1.3),MIN(MAX(J1786/K1786,0),1.3))),"") </f>
        <v/>
      </c>
      <c r="M1786" s="14">
        <f>IFERROR(IF(OR(J1786=0,K1786=""),"",IF(E1786="Positivo",MAX(K1786/J1786,0),MAX(J1786/K1786,0))),"") </f>
        <v/>
      </c>
      <c r="N1786" s="5" t="inlineStr">
        <is>
          <t>%</t>
        </is>
      </c>
      <c r="O1786" s="5" t="inlineStr">
        <is>
          <t>%</t>
        </is>
      </c>
      <c r="P1786" s="15" t="n">
        <v>0</v>
      </c>
      <c r="Q1786" s="15" t="n">
        <v>0</v>
      </c>
      <c r="R1786" s="5" t="inlineStr">
        <is>
          <t>366-2024-12-31</t>
        </is>
      </c>
    </row>
    <row r="1787">
      <c r="A1787" s="21" t="n">
        <v>366</v>
      </c>
      <c r="B1787" s="5" t="inlineStr">
        <is>
          <t>Normalización de cobros pecuniarios</t>
        </is>
      </c>
      <c r="C1787" s="5" t="inlineStr">
        <is>
          <t>Operaciones Académicas</t>
        </is>
      </c>
      <c r="D1787" s="5" t="inlineStr">
        <is>
          <t>Anual</t>
        </is>
      </c>
      <c r="E1787" s="5" t="inlineStr">
        <is>
          <t>Positivo</t>
        </is>
      </c>
      <c r="F1787" s="107" t="n">
        <v>46022</v>
      </c>
      <c r="G1787" s="5" t="n">
        <v>2025</v>
      </c>
      <c r="H1787" s="5" t="inlineStr">
        <is>
          <t>Diciembre</t>
        </is>
      </c>
      <c r="I1787" s="6" t="inlineStr">
        <is>
          <t>2025-2</t>
        </is>
      </c>
      <c r="J1787" s="5" t="n">
        <v>100</v>
      </c>
      <c r="K1787" s="10" t="n">
        <v>100</v>
      </c>
      <c r="L1787" s="14">
        <f>IFERROR(IF(OR(J1787=0,K1787=""),"",IF(E1787="Positivo",MIN(MAX(K1787/J1787,0),1.3),MIN(MAX(J1787/K1787,0),1.3))),"") </f>
        <v/>
      </c>
      <c r="M1787" s="14">
        <f>IFERROR(IF(OR(J1787=0,K1787=""),"",IF(E1787="Positivo",MAX(K1787/J1787,0),MAX(J1787/K1787,0))),"") </f>
        <v/>
      </c>
      <c r="N1787" s="5" t="inlineStr">
        <is>
          <t>ENT</t>
        </is>
      </c>
      <c r="O1787" s="5" t="inlineStr">
        <is>
          <t>ENT</t>
        </is>
      </c>
      <c r="P1787" s="15" t="n">
        <v>0</v>
      </c>
      <c r="Q1787" s="15" t="n">
        <v>0</v>
      </c>
      <c r="R1787" s="5" t="inlineStr">
        <is>
          <t>366-2025-12-31</t>
        </is>
      </c>
    </row>
    <row r="1788">
      <c r="A1788" t="n">
        <v>367</v>
      </c>
      <c r="B1788" t="inlineStr">
        <is>
          <t>% Estudiantes con Becas</t>
        </is>
      </c>
      <c r="C1788" t="inlineStr">
        <is>
          <t>Gestión de la Responsabilidad Social</t>
        </is>
      </c>
      <c r="D1788" t="inlineStr">
        <is>
          <t>Anual</t>
        </is>
      </c>
      <c r="E1788" t="inlineStr">
        <is>
          <t>Positivo</t>
        </is>
      </c>
      <c r="F1788" s="111" t="n">
        <v>45291</v>
      </c>
      <c r="G1788" t="n">
        <v>2023</v>
      </c>
      <c r="H1788" t="inlineStr">
        <is>
          <t>Diciembre</t>
        </is>
      </c>
      <c r="I1788" t="inlineStr">
        <is>
          <t>2023-2</t>
        </is>
      </c>
      <c r="J1788" t="n">
        <v>5</v>
      </c>
      <c r="K1788" t="n">
        <v>6.249756705204562</v>
      </c>
      <c r="L1788" s="39">
        <f>IFERROR(IF(OR(J1788=0,K1788=""),"",IF(E1788="Positivo",MIN(MAX(K1788/J1788,0),1.3),MIN(MAX(J1788/K1788,0),1.3))),"") </f>
        <v/>
      </c>
      <c r="M1788" s="39">
        <f>IFERROR(IF(OR(J1788=0,K1788=""),"",IF(E1788="Positivo",MAX(K1788/J1788,0),MAX(J1788/K1788,0))),"") </f>
        <v/>
      </c>
      <c r="N1788" t="inlineStr">
        <is>
          <t>%</t>
        </is>
      </c>
      <c r="O1788" t="inlineStr">
        <is>
          <t>%</t>
        </is>
      </c>
      <c r="P1788" t="n">
        <v>2</v>
      </c>
      <c r="Q1788" t="n">
        <v>2</v>
      </c>
      <c r="R1788" t="inlineStr">
        <is>
          <t>367-2023-12-31</t>
        </is>
      </c>
    </row>
    <row r="1789">
      <c r="A1789" t="n">
        <v>367</v>
      </c>
      <c r="B1789" t="inlineStr">
        <is>
          <t>Estudiantes con Becas</t>
        </is>
      </c>
      <c r="C1789" t="inlineStr">
        <is>
          <t>Gestión de la Responsabilidad Social</t>
        </is>
      </c>
      <c r="D1789" t="inlineStr">
        <is>
          <t>Anual</t>
        </is>
      </c>
      <c r="E1789" t="inlineStr">
        <is>
          <t>Positivo</t>
        </is>
      </c>
      <c r="F1789" s="111" t="n">
        <v>45657</v>
      </c>
      <c r="G1789" t="n">
        <v>2024</v>
      </c>
      <c r="H1789" t="inlineStr">
        <is>
          <t>Diciembre</t>
        </is>
      </c>
      <c r="I1789" t="inlineStr">
        <is>
          <t>2024-2</t>
        </is>
      </c>
      <c r="J1789" t="n">
        <v>5</v>
      </c>
      <c r="K1789" t="n">
        <v>4.96</v>
      </c>
      <c r="L1789" s="39">
        <f>IFERROR(IF(OR(J1789=0,K1789=""),"",IF(E1789="Positivo",MIN(MAX(K1789/J1789,0),1.3),MIN(MAX(J1789/K1789,0),1.3))),"") </f>
        <v/>
      </c>
      <c r="M1789" s="39">
        <f>IFERROR(IF(OR(J1789=0,K1789=""),"",IF(E1789="Positivo",MAX(K1789/J1789,0),MAX(J1789/K1789,0))),"") </f>
        <v/>
      </c>
      <c r="N1789" t="inlineStr">
        <is>
          <t>%</t>
        </is>
      </c>
      <c r="O1789" t="inlineStr">
        <is>
          <t>%</t>
        </is>
      </c>
      <c r="P1789" t="n">
        <v>2</v>
      </c>
      <c r="Q1789" t="n">
        <v>2</v>
      </c>
      <c r="R1789" t="inlineStr">
        <is>
          <t>367-2024-12-31</t>
        </is>
      </c>
    </row>
    <row r="1790">
      <c r="A1790" t="n">
        <v>367</v>
      </c>
      <c r="B1790" t="inlineStr">
        <is>
          <t>Estudiantes con Becas</t>
        </is>
      </c>
      <c r="C1790" t="inlineStr">
        <is>
          <t>Gestión de la Responsabilidad Social</t>
        </is>
      </c>
      <c r="D1790" t="inlineStr">
        <is>
          <t>Anual</t>
        </is>
      </c>
      <c r="E1790" t="inlineStr">
        <is>
          <t>Positivo</t>
        </is>
      </c>
      <c r="F1790" s="111" t="n">
        <v>46022</v>
      </c>
      <c r="G1790" t="n">
        <v>2025</v>
      </c>
      <c r="H1790" t="inlineStr">
        <is>
          <t>Diciembre</t>
        </is>
      </c>
      <c r="I1790" t="inlineStr">
        <is>
          <t>2025-2</t>
        </is>
      </c>
      <c r="J1790" t="n">
        <v>5</v>
      </c>
      <c r="K1790" t="n">
        <v>3.82</v>
      </c>
      <c r="L1790" s="39">
        <f>IFERROR(IF(OR(J1790=0,K1790=""),"",IF(E1790="Positivo",MIN(MAX(K1790/J1790,0),1.3),MIN(MAX(J1790/K1790,0),1.3))),"") </f>
        <v/>
      </c>
      <c r="M1790" s="39">
        <f>IFERROR(IF(OR(J1790=0,K1790=""),"",IF(E1790="Positivo",MAX(K1790/J1790,0),MAX(J1790/K1790,0))),"") </f>
        <v/>
      </c>
      <c r="N1790" t="inlineStr">
        <is>
          <t>%</t>
        </is>
      </c>
      <c r="O1790" t="inlineStr">
        <is>
          <t>%</t>
        </is>
      </c>
      <c r="P1790" t="n">
        <v>0</v>
      </c>
      <c r="Q1790" t="n">
        <v>2</v>
      </c>
      <c r="R1790" t="inlineStr">
        <is>
          <t>367-2025-12-31</t>
        </is>
      </c>
    </row>
    <row r="1791">
      <c r="A1791" t="n">
        <v>368</v>
      </c>
      <c r="B1791" t="inlineStr">
        <is>
          <t>Satisfacción de los estudiantes de Educación para toda la vida</t>
        </is>
      </c>
      <c r="C1791" t="inlineStr">
        <is>
          <t>Operación de Educación no Formal</t>
        </is>
      </c>
      <c r="D1791" t="inlineStr">
        <is>
          <t>Trimestral</t>
        </is>
      </c>
      <c r="E1791" t="inlineStr">
        <is>
          <t>Positivo</t>
        </is>
      </c>
      <c r="F1791" s="111" t="n">
        <v>45199</v>
      </c>
      <c r="G1791" t="n">
        <v>2023</v>
      </c>
      <c r="H1791" t="inlineStr">
        <is>
          <t>Septiembre</t>
        </is>
      </c>
      <c r="I1791" t="inlineStr">
        <is>
          <t>2023-2</t>
        </is>
      </c>
      <c r="J1791" t="n">
        <v>90</v>
      </c>
      <c r="K1791" t="n">
        <v>95</v>
      </c>
      <c r="L1791" s="39">
        <f>IFERROR(IF(OR(J1791=0,K1791=""),"",IF(E1791="Positivo",MIN(MAX(K1791/J1791,0),1.3),MIN(MAX(J1791/K1791,0),1.3))),"") </f>
        <v/>
      </c>
      <c r="M1791" s="39">
        <f>IFERROR(IF(OR(J1791=0,K1791=""),"",IF(E1791="Positivo",MAX(K1791/J1791,0),MAX(J1791/K1791,0))),"") </f>
        <v/>
      </c>
      <c r="N1791" t="inlineStr">
        <is>
          <t>%</t>
        </is>
      </c>
      <c r="O1791" t="inlineStr">
        <is>
          <t>%</t>
        </is>
      </c>
      <c r="P1791" t="n">
        <v>0</v>
      </c>
      <c r="Q1791" t="n">
        <v>0</v>
      </c>
      <c r="R1791" t="inlineStr">
        <is>
          <t>368-2023-09-30</t>
        </is>
      </c>
    </row>
    <row r="1792">
      <c r="A1792" t="n">
        <v>368</v>
      </c>
      <c r="B1792" t="inlineStr">
        <is>
          <t>Satisfacción de los estudiantes de Educación para toda la vida</t>
        </is>
      </c>
      <c r="C1792" t="inlineStr">
        <is>
          <t>Operación de Educación no Formal</t>
        </is>
      </c>
      <c r="D1792" t="inlineStr">
        <is>
          <t>Trimestral</t>
        </is>
      </c>
      <c r="E1792" t="inlineStr">
        <is>
          <t>Positivo</t>
        </is>
      </c>
      <c r="F1792" s="111" t="n">
        <v>45291</v>
      </c>
      <c r="G1792" t="n">
        <v>2023</v>
      </c>
      <c r="H1792" t="inlineStr">
        <is>
          <t>Diciembre</t>
        </is>
      </c>
      <c r="I1792" t="inlineStr">
        <is>
          <t>2023-2</t>
        </is>
      </c>
      <c r="J1792" t="n">
        <v>90</v>
      </c>
      <c r="K1792" t="n">
        <v>94</v>
      </c>
      <c r="L1792" s="39">
        <f>IFERROR(IF(OR(J1792=0,K1792=""),"",IF(E1792="Positivo",MIN(MAX(K1792/J1792,0),1.3),MIN(MAX(J1792/K1792,0),1.3))),"") </f>
        <v/>
      </c>
      <c r="M1792" s="39">
        <f>IFERROR(IF(OR(J1792=0,K1792=""),"",IF(E1792="Positivo",MAX(K1792/J1792,0),MAX(J1792/K1792,0))),"") </f>
        <v/>
      </c>
      <c r="N1792" t="inlineStr">
        <is>
          <t>%</t>
        </is>
      </c>
      <c r="O1792" t="inlineStr">
        <is>
          <t>%</t>
        </is>
      </c>
      <c r="P1792" t="n">
        <v>0</v>
      </c>
      <c r="Q1792" t="n">
        <v>0</v>
      </c>
      <c r="R1792" t="inlineStr">
        <is>
          <t>368-2023-12-31</t>
        </is>
      </c>
    </row>
    <row r="1793">
      <c r="A1793" t="n">
        <v>368</v>
      </c>
      <c r="B1793" t="inlineStr">
        <is>
          <t>Satisfacción de los estudiantes de Educación para toda la vida</t>
        </is>
      </c>
      <c r="C1793" t="inlineStr">
        <is>
          <t>Operación de Educación no Formal</t>
        </is>
      </c>
      <c r="D1793" t="inlineStr">
        <is>
          <t>Trimestral</t>
        </is>
      </c>
      <c r="E1793" t="inlineStr">
        <is>
          <t>Positivo</t>
        </is>
      </c>
      <c r="F1793" s="111" t="n">
        <v>45382</v>
      </c>
      <c r="G1793" t="n">
        <v>2024</v>
      </c>
      <c r="H1793" t="inlineStr">
        <is>
          <t>Marzo</t>
        </is>
      </c>
      <c r="I1793" t="inlineStr">
        <is>
          <t>2024-1</t>
        </is>
      </c>
      <c r="J1793" t="n">
        <v>90</v>
      </c>
      <c r="K1793" t="n">
        <v>94</v>
      </c>
      <c r="L1793" s="39">
        <f>IFERROR(IF(OR(J1793=0,K1793=""),"",IF(E1793="Positivo",MIN(MAX(K1793/J1793,0),1.3),MIN(MAX(J1793/K1793,0),1.3))),"") </f>
        <v/>
      </c>
      <c r="M1793" s="39">
        <f>IFERROR(IF(OR(J1793=0,K1793=""),"",IF(E1793="Positivo",MAX(K1793/J1793,0),MAX(J1793/K1793,0))),"") </f>
        <v/>
      </c>
      <c r="N1793" t="inlineStr">
        <is>
          <t>%</t>
        </is>
      </c>
      <c r="O1793" t="inlineStr">
        <is>
          <t>%</t>
        </is>
      </c>
      <c r="P1793" t="n">
        <v>0</v>
      </c>
      <c r="Q1793" t="n">
        <v>0</v>
      </c>
      <c r="R1793" t="inlineStr">
        <is>
          <t>368-2024-03-31</t>
        </is>
      </c>
    </row>
    <row r="1794">
      <c r="A1794" t="n">
        <v>368</v>
      </c>
      <c r="B1794" t="inlineStr">
        <is>
          <t>Satisfacción de los estudiantes de Educación para toda la vida</t>
        </is>
      </c>
      <c r="C1794" t="inlineStr">
        <is>
          <t>Operación de Educación no Formal</t>
        </is>
      </c>
      <c r="D1794" t="inlineStr">
        <is>
          <t>Trimestral</t>
        </is>
      </c>
      <c r="E1794" t="inlineStr">
        <is>
          <t>Positivo</t>
        </is>
      </c>
      <c r="F1794" s="111" t="n">
        <v>45473</v>
      </c>
      <c r="G1794" t="n">
        <v>2024</v>
      </c>
      <c r="H1794" t="inlineStr">
        <is>
          <t>Junio</t>
        </is>
      </c>
      <c r="I1794" t="inlineStr">
        <is>
          <t>2024-1</t>
        </is>
      </c>
      <c r="J1794" t="n">
        <v>90</v>
      </c>
      <c r="K1794" t="n">
        <v>95</v>
      </c>
      <c r="L1794" s="39">
        <f>IFERROR(IF(OR(J1794=0,K1794=""),"",IF(E1794="Positivo",MIN(MAX(K1794/J1794,0),1.3),MIN(MAX(J1794/K1794,0),1.3))),"") </f>
        <v/>
      </c>
      <c r="M1794" s="39">
        <f>IFERROR(IF(OR(J1794=0,K1794=""),"",IF(E1794="Positivo",MAX(K1794/J1794,0),MAX(J1794/K1794,0))),"") </f>
        <v/>
      </c>
      <c r="N1794" t="inlineStr">
        <is>
          <t>%</t>
        </is>
      </c>
      <c r="O1794" t="inlineStr">
        <is>
          <t>%</t>
        </is>
      </c>
      <c r="P1794" t="n">
        <v>0</v>
      </c>
      <c r="Q1794" t="n">
        <v>0</v>
      </c>
      <c r="R1794" t="inlineStr">
        <is>
          <t>368-2024-06-30</t>
        </is>
      </c>
    </row>
    <row r="1795">
      <c r="A1795" t="n">
        <v>368</v>
      </c>
      <c r="B1795" t="inlineStr">
        <is>
          <t>Satisfacción de los estudiantes de Educación para toda la vida</t>
        </is>
      </c>
      <c r="C1795" t="inlineStr">
        <is>
          <t>Operación de Educación no Formal</t>
        </is>
      </c>
      <c r="D1795" t="inlineStr">
        <is>
          <t>Trimestral</t>
        </is>
      </c>
      <c r="E1795" t="inlineStr">
        <is>
          <t>Positivo</t>
        </is>
      </c>
      <c r="F1795" s="111" t="n">
        <v>45565</v>
      </c>
      <c r="G1795" t="n">
        <v>2024</v>
      </c>
      <c r="H1795" t="inlineStr">
        <is>
          <t>Septiembre</t>
        </is>
      </c>
      <c r="I1795" t="inlineStr">
        <is>
          <t>2024-2</t>
        </is>
      </c>
      <c r="J1795" t="n">
        <v>90</v>
      </c>
      <c r="K1795" t="n">
        <v>94</v>
      </c>
      <c r="L1795" s="39">
        <f>IFERROR(IF(OR(J1795=0,K1795=""),"",IF(E1795="Positivo",MIN(MAX(K1795/J1795,0),1.3),MIN(MAX(J1795/K1795,0),1.3))),"") </f>
        <v/>
      </c>
      <c r="M1795" s="39">
        <f>IFERROR(IF(OR(J1795=0,K1795=""),"",IF(E1795="Positivo",MAX(K1795/J1795,0),MAX(J1795/K1795,0))),"") </f>
        <v/>
      </c>
      <c r="N1795" t="inlineStr">
        <is>
          <t>%</t>
        </is>
      </c>
      <c r="O1795" t="inlineStr">
        <is>
          <t>%</t>
        </is>
      </c>
      <c r="P1795" t="n">
        <v>0</v>
      </c>
      <c r="Q1795" t="n">
        <v>0</v>
      </c>
      <c r="R1795" t="inlineStr">
        <is>
          <t>368-2024-09-30</t>
        </is>
      </c>
    </row>
    <row r="1796">
      <c r="A1796" t="n">
        <v>368</v>
      </c>
      <c r="B1796" t="inlineStr">
        <is>
          <t>Satisfacción de los estudiantes de Educación para toda la vida</t>
        </is>
      </c>
      <c r="C1796" t="inlineStr">
        <is>
          <t>Operación de Educación no Formal</t>
        </is>
      </c>
      <c r="D1796" t="inlineStr">
        <is>
          <t>Trimestral</t>
        </is>
      </c>
      <c r="E1796" t="inlineStr">
        <is>
          <t>Positivo</t>
        </is>
      </c>
      <c r="F1796" s="111" t="n">
        <v>45657</v>
      </c>
      <c r="G1796" t="n">
        <v>2024</v>
      </c>
      <c r="H1796" t="inlineStr">
        <is>
          <t>Diciembre</t>
        </is>
      </c>
      <c r="I1796" t="inlineStr">
        <is>
          <t>2024-2</t>
        </is>
      </c>
      <c r="J1796" t="n">
        <v>90</v>
      </c>
      <c r="K1796" t="n">
        <v>94</v>
      </c>
      <c r="L1796" s="39">
        <f>IFERROR(IF(OR(J1796=0,K1796=""),"",IF(E1796="Positivo",MIN(MAX(K1796/J1796,0),1.3),MIN(MAX(J1796/K1796,0),1.3))),"") </f>
        <v/>
      </c>
      <c r="M1796" s="39">
        <f>IFERROR(IF(OR(J1796=0,K1796=""),"",IF(E1796="Positivo",MAX(K1796/J1796,0),MAX(J1796/K1796,0))),"") </f>
        <v/>
      </c>
      <c r="N1796" t="inlineStr">
        <is>
          <t>%</t>
        </is>
      </c>
      <c r="O1796" t="inlineStr">
        <is>
          <t>%</t>
        </is>
      </c>
      <c r="P1796" t="n">
        <v>0</v>
      </c>
      <c r="Q1796" t="n">
        <v>0</v>
      </c>
      <c r="R1796" t="inlineStr">
        <is>
          <t>368-2024-12-31</t>
        </is>
      </c>
    </row>
    <row r="1797">
      <c r="A1797" t="n">
        <v>368</v>
      </c>
      <c r="B1797" t="inlineStr">
        <is>
          <t>Satisfacción de los estudiantes de Educación para toda la vida</t>
        </is>
      </c>
      <c r="C1797" t="inlineStr">
        <is>
          <t>Operación de Educación no Formal</t>
        </is>
      </c>
      <c r="D1797" t="inlineStr">
        <is>
          <t>Trimestral</t>
        </is>
      </c>
      <c r="E1797" t="inlineStr">
        <is>
          <t>Positivo</t>
        </is>
      </c>
      <c r="F1797" s="111" t="n">
        <v>45747</v>
      </c>
      <c r="G1797" t="n">
        <v>2025</v>
      </c>
      <c r="H1797" t="inlineStr">
        <is>
          <t>Marzo</t>
        </is>
      </c>
      <c r="I1797" t="inlineStr">
        <is>
          <t>2025-1</t>
        </is>
      </c>
      <c r="J1797" t="n">
        <v>93</v>
      </c>
      <c r="K1797" t="n">
        <v>94</v>
      </c>
      <c r="L1797" s="39">
        <f>IFERROR(IF(OR(J1797=0,K1797=""),"",IF(E1797="Positivo",MIN(MAX(K1797/J1797,0),1.3),MIN(MAX(J1797/K1797,0),1.3))),"") </f>
        <v/>
      </c>
      <c r="M1797" s="39">
        <f>IFERROR(IF(OR(J1797=0,K1797=""),"",IF(E1797="Positivo",MAX(K1797/J1797,0),MAX(J1797/K1797,0))),"") </f>
        <v/>
      </c>
      <c r="N1797" t="inlineStr">
        <is>
          <t>%</t>
        </is>
      </c>
      <c r="O1797" t="inlineStr">
        <is>
          <t>%</t>
        </is>
      </c>
      <c r="P1797" t="n">
        <v>0</v>
      </c>
      <c r="Q1797" t="n">
        <v>0</v>
      </c>
      <c r="R1797" t="inlineStr">
        <is>
          <t>368-2025-03-31</t>
        </is>
      </c>
    </row>
    <row r="1798">
      <c r="A1798" t="n">
        <v>368</v>
      </c>
      <c r="B1798" t="inlineStr">
        <is>
          <t>Satisfacción de los estudiantes de Educación para toda la vida</t>
        </is>
      </c>
      <c r="C1798" t="inlineStr">
        <is>
          <t>Operación de Educación no Formal</t>
        </is>
      </c>
      <c r="D1798" t="inlineStr">
        <is>
          <t>Trimestral</t>
        </is>
      </c>
      <c r="E1798" t="inlineStr">
        <is>
          <t>Positivo</t>
        </is>
      </c>
      <c r="F1798" s="111" t="n">
        <v>45838</v>
      </c>
      <c r="G1798" t="n">
        <v>2025</v>
      </c>
      <c r="H1798" t="inlineStr">
        <is>
          <t>Junio</t>
        </is>
      </c>
      <c r="I1798" t="inlineStr">
        <is>
          <t>2025-1</t>
        </is>
      </c>
      <c r="J1798" t="n">
        <v>93</v>
      </c>
      <c r="K1798" t="n">
        <v>96</v>
      </c>
      <c r="L1798" s="39">
        <f>IFERROR(IF(OR(J1798=0,K1798=""),"",IF(E1798="Positivo",MIN(MAX(K1798/J1798,0),1.3),MIN(MAX(J1798/K1798,0),1.3))),"") </f>
        <v/>
      </c>
      <c r="M1798" s="39">
        <f>IFERROR(IF(OR(J1798=0,K1798=""),"",IF(E1798="Positivo",MAX(K1798/J1798,0),MAX(J1798/K1798,0))),"") </f>
        <v/>
      </c>
      <c r="N1798" t="inlineStr">
        <is>
          <t>%</t>
        </is>
      </c>
      <c r="O1798" t="inlineStr">
        <is>
          <t>%</t>
        </is>
      </c>
      <c r="P1798" t="n">
        <v>0</v>
      </c>
      <c r="Q1798" t="n">
        <v>0</v>
      </c>
      <c r="R1798" t="inlineStr">
        <is>
          <t>368-2025-06-30</t>
        </is>
      </c>
    </row>
    <row r="1799">
      <c r="A1799" t="n">
        <v>368</v>
      </c>
      <c r="B1799" t="inlineStr">
        <is>
          <t>Satisfacción de los estudiantes de Educación para toda la vida</t>
        </is>
      </c>
      <c r="C1799" t="inlineStr">
        <is>
          <t>Operación de nuevos negocios y CI</t>
        </is>
      </c>
      <c r="D1799" t="inlineStr">
        <is>
          <t>Semestral</t>
        </is>
      </c>
      <c r="E1799" t="inlineStr">
        <is>
          <t>Positivo</t>
        </is>
      </c>
      <c r="F1799" s="111" t="n">
        <v>45930</v>
      </c>
      <c r="G1799" t="n">
        <v>2025</v>
      </c>
      <c r="H1799" t="inlineStr">
        <is>
          <t>Septiembre</t>
        </is>
      </c>
      <c r="I1799" t="inlineStr">
        <is>
          <t>2025-2</t>
        </is>
      </c>
      <c r="J1799" t="n">
        <v>93</v>
      </c>
      <c r="K1799" t="n">
        <v>95</v>
      </c>
      <c r="L1799" s="39">
        <f>IFERROR(IF(OR(J1799=0,K1799=""),"",IF(E1799="Positivo",MIN(MAX(K1799/J1799,0),1.3),MIN(MAX(J1799/K1799,0),1.3))),"") </f>
        <v/>
      </c>
      <c r="M1799" s="39">
        <f>IFERROR(IF(OR(J1799=0,K1799=""),"",IF(E1799="Positivo",MAX(K1799/J1799,0),MAX(J1799/K1799,0))),"") </f>
        <v/>
      </c>
      <c r="N1799" t="inlineStr">
        <is>
          <t>%</t>
        </is>
      </c>
      <c r="O1799" t="inlineStr">
        <is>
          <t>%</t>
        </is>
      </c>
      <c r="P1799" t="n">
        <v>0</v>
      </c>
      <c r="Q1799" t="n">
        <v>0</v>
      </c>
      <c r="R1799" t="inlineStr">
        <is>
          <t>368-2025-09-30</t>
        </is>
      </c>
    </row>
    <row r="1800">
      <c r="A1800" t="n">
        <v>368</v>
      </c>
      <c r="B1800" t="inlineStr">
        <is>
          <t>Satisfacción de los estudiantes de Educación para toda la vida</t>
        </is>
      </c>
      <c r="C1800" t="inlineStr">
        <is>
          <t>Operación de nuevos negocios y CI</t>
        </is>
      </c>
      <c r="D1800" t="inlineStr">
        <is>
          <t>Semestral</t>
        </is>
      </c>
      <c r="E1800" t="inlineStr">
        <is>
          <t>Positivo</t>
        </is>
      </c>
      <c r="F1800" s="111" t="n">
        <v>46022</v>
      </c>
      <c r="G1800" t="n">
        <v>2025</v>
      </c>
      <c r="H1800" t="inlineStr">
        <is>
          <t>Diciembre</t>
        </is>
      </c>
      <c r="I1800" t="inlineStr">
        <is>
          <t>2025-2</t>
        </is>
      </c>
      <c r="J1800" t="n">
        <v>93</v>
      </c>
      <c r="K1800" t="n">
        <v>95</v>
      </c>
      <c r="L1800" s="39">
        <f>IFERROR(IF(OR(J1800=0,K1800=""),"",IF(E1800="Positivo",MIN(MAX(K1800/J1800,0),1.3),MIN(MAX(J1800/K1800,0),1.3))),"") </f>
        <v/>
      </c>
      <c r="M1800" s="39">
        <f>IFERROR(IF(OR(J1800=0,K1800=""),"",IF(E1800="Positivo",MAX(K1800/J1800,0),MAX(J1800/K1800,0))),"") </f>
        <v/>
      </c>
      <c r="N1800" t="inlineStr">
        <is>
          <t>%</t>
        </is>
      </c>
      <c r="O1800" t="inlineStr">
        <is>
          <t>%</t>
        </is>
      </c>
      <c r="P1800" t="n">
        <v>0</v>
      </c>
      <c r="Q1800" t="n">
        <v>0</v>
      </c>
      <c r="R1800" t="inlineStr">
        <is>
          <t>368-2025-12-31</t>
        </is>
      </c>
    </row>
    <row r="1801">
      <c r="A1801" t="n">
        <v>369</v>
      </c>
      <c r="B1801" t="inlineStr">
        <is>
          <t>Participación de POLI- voluntariados (Estudiantes- Colaboradores)</t>
        </is>
      </c>
      <c r="C1801" t="inlineStr">
        <is>
          <t>Gestión de la Responsabilidad Social</t>
        </is>
      </c>
      <c r="D1801" t="inlineStr">
        <is>
          <t>Semestral</t>
        </is>
      </c>
      <c r="E1801" t="inlineStr">
        <is>
          <t>Positivo</t>
        </is>
      </c>
      <c r="F1801" s="111" t="n">
        <v>45107</v>
      </c>
      <c r="G1801" t="n">
        <v>2023</v>
      </c>
      <c r="H1801" t="inlineStr">
        <is>
          <t>Junio</t>
        </is>
      </c>
      <c r="I1801" t="inlineStr">
        <is>
          <t>2023-1</t>
        </is>
      </c>
      <c r="J1801" t="n">
        <v>0</v>
      </c>
      <c r="K1801" t="n">
        <v>78</v>
      </c>
      <c r="L1801" s="39">
        <f>IFERROR(IF(OR(J1801=0,K1801=""),"",IF(E1801="Positivo",MIN(MAX(K1801/J1801,0),1.3),MIN(MAX(J1801/K1801,0),1.3))),"") </f>
        <v/>
      </c>
      <c r="M1801" s="39">
        <f>IFERROR(IF(OR(J1801=0,K1801=""),"",IF(E1801="Positivo",MAX(K1801/J1801,0),MAX(J1801/K1801,0))),"") </f>
        <v/>
      </c>
      <c r="N1801" t="inlineStr">
        <is>
          <t>Linea Base</t>
        </is>
      </c>
      <c r="O1801" t="inlineStr">
        <is>
          <t>%</t>
        </is>
      </c>
      <c r="P1801" t="n">
        <v>0</v>
      </c>
      <c r="Q1801" t="n">
        <v>0</v>
      </c>
      <c r="R1801" t="inlineStr">
        <is>
          <t>369-2023-06-30</t>
        </is>
      </c>
    </row>
    <row r="1802">
      <c r="A1802" t="n">
        <v>369</v>
      </c>
      <c r="B1802" t="inlineStr">
        <is>
          <t>Participación de POLI- voluntariados (Estudiantes- Colaboradores)</t>
        </is>
      </c>
      <c r="C1802" t="inlineStr">
        <is>
          <t>Gestión de la Responsabilidad Social</t>
        </is>
      </c>
      <c r="D1802" t="inlineStr">
        <is>
          <t>Semestral</t>
        </is>
      </c>
      <c r="E1802" t="inlineStr">
        <is>
          <t>Positivo</t>
        </is>
      </c>
      <c r="F1802" s="111" t="n">
        <v>45291</v>
      </c>
      <c r="G1802" t="n">
        <v>2023</v>
      </c>
      <c r="H1802" t="inlineStr">
        <is>
          <t>Diciembre</t>
        </is>
      </c>
      <c r="I1802" t="inlineStr">
        <is>
          <t>2023-2</t>
        </is>
      </c>
      <c r="J1802" t="n">
        <v>0</v>
      </c>
      <c r="K1802" t="n">
        <v>96</v>
      </c>
      <c r="L1802" s="39">
        <f>IFERROR(IF(OR(J1802=0,K1802=""),"",IF(E1802="Positivo",MIN(MAX(K1802/J1802,0),1.3),MIN(MAX(J1802/K1802,0),1.3))),"") </f>
        <v/>
      </c>
      <c r="M1802" s="39">
        <f>IFERROR(IF(OR(J1802=0,K1802=""),"",IF(E1802="Positivo",MAX(K1802/J1802,0),MAX(J1802/K1802,0))),"") </f>
        <v/>
      </c>
      <c r="N1802" t="inlineStr">
        <is>
          <t>Linea Base</t>
        </is>
      </c>
      <c r="O1802" t="inlineStr">
        <is>
          <t>%</t>
        </is>
      </c>
      <c r="P1802" t="n">
        <v>0</v>
      </c>
      <c r="Q1802" t="n">
        <v>0</v>
      </c>
      <c r="R1802" t="inlineStr">
        <is>
          <t>369-2023-12-31</t>
        </is>
      </c>
    </row>
    <row r="1803">
      <c r="A1803" t="n">
        <v>369</v>
      </c>
      <c r="B1803" t="inlineStr">
        <is>
          <t>Participación de POLI- voluntariados (Estudiantes- Colaboradores)</t>
        </is>
      </c>
      <c r="C1803" t="inlineStr">
        <is>
          <t>Gestión de la Responsabilidad Social</t>
        </is>
      </c>
      <c r="D1803" t="inlineStr">
        <is>
          <t>Semestral</t>
        </is>
      </c>
      <c r="E1803" t="inlineStr">
        <is>
          <t>Positivo</t>
        </is>
      </c>
      <c r="F1803" s="111" t="n">
        <v>45473</v>
      </c>
      <c r="G1803" t="n">
        <v>2024</v>
      </c>
      <c r="H1803" t="inlineStr">
        <is>
          <t>Junio</t>
        </is>
      </c>
      <c r="I1803" t="inlineStr">
        <is>
          <t>2024-1</t>
        </is>
      </c>
      <c r="J1803" t="n">
        <v>100</v>
      </c>
      <c r="K1803" t="n">
        <v>76.25</v>
      </c>
      <c r="L1803" s="39">
        <f>IFERROR(IF(OR(J1803=0,K1803=""),"",IF(E1803="Positivo",MIN(MAX(K1803/J1803,0),1.3),MIN(MAX(J1803/K1803,0),1.3))),"") </f>
        <v/>
      </c>
      <c r="M1803" s="39">
        <f>IFERROR(IF(OR(J1803=0,K1803=""),"",IF(E1803="Positivo",MAX(K1803/J1803,0),MAX(J1803/K1803,0))),"") </f>
        <v/>
      </c>
      <c r="N1803" t="inlineStr">
        <is>
          <t>Linea Base</t>
        </is>
      </c>
      <c r="O1803" t="inlineStr">
        <is>
          <t>%</t>
        </is>
      </c>
      <c r="P1803" t="n">
        <v>0</v>
      </c>
      <c r="Q1803" t="n">
        <v>0</v>
      </c>
      <c r="R1803" t="inlineStr">
        <is>
          <t>369-2024-06-30</t>
        </is>
      </c>
    </row>
    <row r="1804">
      <c r="A1804" t="n">
        <v>369</v>
      </c>
      <c r="B1804" t="inlineStr">
        <is>
          <t>Participación de POLI- voluntariados (Estudiantes- Colaboradores)</t>
        </is>
      </c>
      <c r="C1804" t="inlineStr">
        <is>
          <t>Gestión de la Responsabilidad Social</t>
        </is>
      </c>
      <c r="D1804" t="inlineStr">
        <is>
          <t>Semestral</t>
        </is>
      </c>
      <c r="E1804" t="inlineStr">
        <is>
          <t>Positivo</t>
        </is>
      </c>
      <c r="F1804" s="111" t="n">
        <v>45657</v>
      </c>
      <c r="G1804" t="n">
        <v>2024</v>
      </c>
      <c r="H1804" t="inlineStr">
        <is>
          <t>Diciembre</t>
        </is>
      </c>
      <c r="I1804" t="inlineStr">
        <is>
          <t>2024-2</t>
        </is>
      </c>
      <c r="J1804" t="n">
        <v>100</v>
      </c>
      <c r="K1804" t="n">
        <v>71.3</v>
      </c>
      <c r="L1804" s="39">
        <f>IFERROR(IF(OR(J1804=0,K1804=""),"",IF(E1804="Positivo",MIN(MAX(K1804/J1804,0),1.3),MIN(MAX(J1804/K1804,0),1.3))),"") </f>
        <v/>
      </c>
      <c r="M1804" s="39">
        <f>IFERROR(IF(OR(J1804=0,K1804=""),"",IF(E1804="Positivo",MAX(K1804/J1804,0),MAX(J1804/K1804,0))),"") </f>
        <v/>
      </c>
      <c r="P1804" t="n">
        <v>0</v>
      </c>
      <c r="Q1804" t="n">
        <v>0</v>
      </c>
      <c r="R1804" t="inlineStr">
        <is>
          <t>369-2024-12-31</t>
        </is>
      </c>
    </row>
    <row r="1805">
      <c r="A1805" t="n">
        <v>369</v>
      </c>
      <c r="B1805" t="inlineStr">
        <is>
          <t>Participación de POLI- voluntariados (Estudiantes- Colaboradores)</t>
        </is>
      </c>
      <c r="C1805" t="inlineStr">
        <is>
          <t>Gestión de la Responsabilidad Social</t>
        </is>
      </c>
      <c r="D1805" t="inlineStr">
        <is>
          <t>Trimestral</t>
        </is>
      </c>
      <c r="E1805" t="inlineStr">
        <is>
          <t>Positivo</t>
        </is>
      </c>
      <c r="F1805" s="111" t="n">
        <v>45838</v>
      </c>
      <c r="G1805" t="n">
        <v>2025</v>
      </c>
      <c r="H1805" t="inlineStr">
        <is>
          <t>Junio</t>
        </is>
      </c>
      <c r="I1805" t="inlineStr">
        <is>
          <t>2025-1</t>
        </is>
      </c>
      <c r="J1805" t="n">
        <v>100</v>
      </c>
      <c r="K1805" t="n">
        <v>88.89</v>
      </c>
      <c r="L1805" s="39">
        <f>IFERROR(IF(OR(J1805=0,K1805=""),"",IF(E1805="Positivo",MIN(MAX(K1805/J1805,0),1.3),MIN(MAX(J1805/K1805,0),1.3))),"") </f>
        <v/>
      </c>
      <c r="M1805" s="39">
        <f>IFERROR(IF(OR(J1805=0,K1805=""),"",IF(E1805="Positivo",MAX(K1805/J1805,0),MAX(J1805/K1805,0))),"") </f>
        <v/>
      </c>
      <c r="N1805" t="inlineStr">
        <is>
          <t>ENT</t>
        </is>
      </c>
      <c r="O1805" t="inlineStr">
        <is>
          <t>ENT</t>
        </is>
      </c>
      <c r="P1805" t="n">
        <v>0</v>
      </c>
      <c r="Q1805" t="n">
        <v>0</v>
      </c>
      <c r="R1805" t="inlineStr">
        <is>
          <t>369-2025-06-30</t>
        </is>
      </c>
    </row>
    <row r="1806">
      <c r="A1806" t="n">
        <v>369</v>
      </c>
      <c r="B1806" t="inlineStr">
        <is>
          <t>Participación de POLI- voluntariados (Estudiantes- Colaboradores)</t>
        </is>
      </c>
      <c r="C1806" t="inlineStr">
        <is>
          <t>Gestión de la Responsabilidad Social</t>
        </is>
      </c>
      <c r="D1806" t="inlineStr">
        <is>
          <t>Trimestral</t>
        </is>
      </c>
      <c r="E1806" t="inlineStr">
        <is>
          <t>Positivo</t>
        </is>
      </c>
      <c r="F1806" s="111" t="n">
        <v>46022</v>
      </c>
      <c r="G1806" t="n">
        <v>2025</v>
      </c>
      <c r="H1806" t="inlineStr">
        <is>
          <t>Diciembre</t>
        </is>
      </c>
      <c r="I1806" t="inlineStr">
        <is>
          <t>2025-2</t>
        </is>
      </c>
      <c r="J1806" t="n">
        <v>100</v>
      </c>
      <c r="K1806" t="n">
        <v>108.26</v>
      </c>
      <c r="L1806" s="39">
        <f>IFERROR(IF(OR(J1806=0,K1806=""),"",IF(E1806="Positivo",MIN(MAX(K1806/J1806,0),1.3),MIN(MAX(J1806/K1806,0),1.3))),"") </f>
        <v/>
      </c>
      <c r="M1806" s="39">
        <f>IFERROR(IF(OR(J1806=0,K1806=""),"",IF(E1806="Positivo",MAX(K1806/J1806,0),MAX(J1806/K1806,0))),"") </f>
        <v/>
      </c>
      <c r="N1806" t="inlineStr">
        <is>
          <t>ENT</t>
        </is>
      </c>
      <c r="O1806" t="inlineStr">
        <is>
          <t>ENT</t>
        </is>
      </c>
      <c r="P1806" t="n">
        <v>0</v>
      </c>
      <c r="Q1806" t="n">
        <v>0</v>
      </c>
      <c r="R1806" t="inlineStr">
        <is>
          <t>369-2025-12-31</t>
        </is>
      </c>
    </row>
    <row r="1807">
      <c r="A1807" t="n">
        <v>370</v>
      </c>
      <c r="B1807" t="inlineStr">
        <is>
          <t>Oportunidades de mejora - Huella Verde</t>
        </is>
      </c>
      <c r="C1807" t="inlineStr">
        <is>
          <t>Gestión de la Responsabilidad Social</t>
        </is>
      </c>
      <c r="D1807" t="inlineStr">
        <is>
          <t>Semestral</t>
        </is>
      </c>
      <c r="E1807" t="inlineStr">
        <is>
          <t>Positivo</t>
        </is>
      </c>
      <c r="F1807" s="111" t="n">
        <v>45107</v>
      </c>
      <c r="G1807" t="n">
        <v>2023</v>
      </c>
      <c r="H1807" t="inlineStr">
        <is>
          <t>Junio</t>
        </is>
      </c>
      <c r="I1807" t="inlineStr">
        <is>
          <t>2023-1</t>
        </is>
      </c>
      <c r="J1807" t="n">
        <v>0</v>
      </c>
      <c r="K1807" t="n">
        <v>0</v>
      </c>
      <c r="L1807" s="39">
        <f>IFERROR(IF(OR(J1807=0,K1807=""),"",IF(E1807="Positivo",MIN(MAX(K1807/J1807,0),1.3),MIN(MAX(J1807/K1807,0),1.3))),"") </f>
        <v/>
      </c>
      <c r="M1807" s="39">
        <f>IFERROR(IF(OR(J1807=0,K1807=""),"",IF(E1807="Positivo",MAX(K1807/J1807,0),MAX(J1807/K1807,0))),"") </f>
        <v/>
      </c>
      <c r="P1807" t="n">
        <v>0</v>
      </c>
      <c r="Q1807" t="n">
        <v>0</v>
      </c>
      <c r="R1807" t="inlineStr">
        <is>
          <t>370-2023-06-30</t>
        </is>
      </c>
    </row>
    <row r="1808">
      <c r="A1808" t="n">
        <v>371</v>
      </c>
      <c r="B1808" t="inlineStr">
        <is>
          <t>Recaudación de fondos</t>
        </is>
      </c>
      <c r="C1808" t="inlineStr">
        <is>
          <t>Gestión de la Responsabilidad Social</t>
        </is>
      </c>
      <c r="D1808" t="inlineStr">
        <is>
          <t>Semestral</t>
        </is>
      </c>
      <c r="E1808" t="inlineStr">
        <is>
          <t>Positivo</t>
        </is>
      </c>
      <c r="F1808" s="111" t="n">
        <v>45107</v>
      </c>
      <c r="G1808" t="n">
        <v>2023</v>
      </c>
      <c r="H1808" t="inlineStr">
        <is>
          <t>Junio</t>
        </is>
      </c>
      <c r="I1808" t="inlineStr">
        <is>
          <t>2023-1</t>
        </is>
      </c>
      <c r="J1808" t="n">
        <v>100</v>
      </c>
      <c r="K1808" t="n">
        <v>157.50274243636</v>
      </c>
      <c r="L1808" s="39">
        <f>IFERROR(IF(OR(J1808=0,K1808=""),"",IF(E1808="Positivo",MIN(MAX(K1808/J1808,0),1.3),MIN(MAX(J1808/K1808,0),1.3))),"") </f>
        <v/>
      </c>
      <c r="M1808" s="39">
        <f>IFERROR(IF(OR(J1808=0,K1808=""),"",IF(E1808="Positivo",MAX(K1808/J1808,0),MAX(J1808/K1808,0))),"") </f>
        <v/>
      </c>
      <c r="N1808" t="inlineStr">
        <is>
          <t>$</t>
        </is>
      </c>
      <c r="O1808" t="inlineStr">
        <is>
          <t>$</t>
        </is>
      </c>
      <c r="P1808" t="n">
        <v>0</v>
      </c>
      <c r="Q1808" t="n">
        <v>0</v>
      </c>
      <c r="R1808" t="inlineStr">
        <is>
          <t>371-2023-06-30</t>
        </is>
      </c>
    </row>
    <row r="1809">
      <c r="A1809" t="n">
        <v>371</v>
      </c>
      <c r="B1809" t="inlineStr">
        <is>
          <t>Recaudación de fondos</t>
        </is>
      </c>
      <c r="C1809" t="inlineStr">
        <is>
          <t>Gestión de la Responsabilidad Social</t>
        </is>
      </c>
      <c r="D1809" t="inlineStr">
        <is>
          <t>Semestral</t>
        </is>
      </c>
      <c r="E1809" t="inlineStr">
        <is>
          <t>Positivo</t>
        </is>
      </c>
      <c r="F1809" s="111" t="n">
        <v>45291</v>
      </c>
      <c r="G1809" t="n">
        <v>2023</v>
      </c>
      <c r="H1809" t="inlineStr">
        <is>
          <t>Diciembre</t>
        </is>
      </c>
      <c r="I1809" t="inlineStr">
        <is>
          <t>2023-2</t>
        </is>
      </c>
      <c r="J1809" t="n">
        <v>100</v>
      </c>
      <c r="K1809" t="n">
        <v>173.07</v>
      </c>
      <c r="L1809" s="39">
        <f>IFERROR(IF(OR(J1809=0,K1809=""),"",IF(E1809="Positivo",MIN(MAX(K1809/J1809,0),1.3),MIN(MAX(J1809/K1809,0),1.3))),"") </f>
        <v/>
      </c>
      <c r="M1809" s="39">
        <f>IFERROR(IF(OR(J1809=0,K1809=""),"",IF(E1809="Positivo",MAX(K1809/J1809,0),MAX(J1809/K1809,0))),"") </f>
        <v/>
      </c>
      <c r="N1809" t="inlineStr">
        <is>
          <t>$</t>
        </is>
      </c>
      <c r="O1809" t="inlineStr">
        <is>
          <t>$</t>
        </is>
      </c>
      <c r="P1809" t="n">
        <v>0</v>
      </c>
      <c r="Q1809" t="n">
        <v>0</v>
      </c>
      <c r="R1809" t="inlineStr">
        <is>
          <t>371-2023-12-31</t>
        </is>
      </c>
    </row>
    <row r="1810">
      <c r="A1810" t="n">
        <v>371</v>
      </c>
      <c r="B1810" t="inlineStr">
        <is>
          <t>Recaudación de fondos</t>
        </is>
      </c>
      <c r="C1810" t="inlineStr">
        <is>
          <t>Gestión de la Responsabilidad Social</t>
        </is>
      </c>
      <c r="D1810" t="inlineStr">
        <is>
          <t>Semestral</t>
        </is>
      </c>
      <c r="E1810" t="inlineStr">
        <is>
          <t>Positivo</t>
        </is>
      </c>
      <c r="F1810" s="111" t="n">
        <v>45473</v>
      </c>
      <c r="G1810" t="n">
        <v>2024</v>
      </c>
      <c r="H1810" t="inlineStr">
        <is>
          <t>Junio</t>
        </is>
      </c>
      <c r="I1810" t="inlineStr">
        <is>
          <t>2024-1</t>
        </is>
      </c>
      <c r="J1810" t="n">
        <v>100</v>
      </c>
      <c r="K1810" t="n">
        <v>149.72</v>
      </c>
      <c r="L1810" s="39">
        <f>IFERROR(IF(OR(J1810=0,K1810=""),"",IF(E1810="Positivo",MIN(MAX(K1810/J1810,0),1.3),MIN(MAX(J1810/K1810,0),1.3))),"") </f>
        <v/>
      </c>
      <c r="M1810" s="39">
        <f>IFERROR(IF(OR(J1810=0,K1810=""),"",IF(E1810="Positivo",MAX(K1810/J1810,0),MAX(J1810/K1810,0))),"") </f>
        <v/>
      </c>
      <c r="N1810" t="inlineStr">
        <is>
          <t>$</t>
        </is>
      </c>
      <c r="O1810" t="inlineStr">
        <is>
          <t>$</t>
        </is>
      </c>
      <c r="P1810" t="n">
        <v>0</v>
      </c>
      <c r="Q1810" t="n">
        <v>0</v>
      </c>
      <c r="R1810" t="inlineStr">
        <is>
          <t>371-2024-06-30</t>
        </is>
      </c>
    </row>
    <row r="1811">
      <c r="A1811" t="n">
        <v>371</v>
      </c>
      <c r="B1811" t="inlineStr">
        <is>
          <t>Recaudación de fondos</t>
        </is>
      </c>
      <c r="C1811" t="inlineStr">
        <is>
          <t>Gestión de la Responsabilidad Social</t>
        </is>
      </c>
      <c r="D1811" t="inlineStr">
        <is>
          <t>Semestral</t>
        </is>
      </c>
      <c r="E1811" t="inlineStr">
        <is>
          <t>Positivo</t>
        </is>
      </c>
      <c r="F1811" s="111" t="n">
        <v>45657</v>
      </c>
      <c r="G1811" t="n">
        <v>2024</v>
      </c>
      <c r="H1811" t="inlineStr">
        <is>
          <t>Diciembre</t>
        </is>
      </c>
      <c r="I1811" t="inlineStr">
        <is>
          <t>2024-2</t>
        </is>
      </c>
      <c r="J1811" t="n">
        <v>100</v>
      </c>
      <c r="K1811" t="n">
        <v>96.98999999999999</v>
      </c>
      <c r="L1811" s="39">
        <f>IFERROR(IF(OR(J1811=0,K1811=""),"",IF(E1811="Positivo",MIN(MAX(K1811/J1811,0),1.3),MIN(MAX(J1811/K1811,0),1.3))),"") </f>
        <v/>
      </c>
      <c r="M1811" s="39">
        <f>IFERROR(IF(OR(J1811=0,K1811=""),"",IF(E1811="Positivo",MAX(K1811/J1811,0),MAX(J1811/K1811,0))),"") </f>
        <v/>
      </c>
      <c r="N1811" t="inlineStr">
        <is>
          <t>$</t>
        </is>
      </c>
      <c r="O1811" t="inlineStr">
        <is>
          <t>$</t>
        </is>
      </c>
      <c r="P1811" t="n">
        <v>0</v>
      </c>
      <c r="Q1811" t="n">
        <v>0</v>
      </c>
      <c r="R1811" t="inlineStr">
        <is>
          <t>371-2024-12-31</t>
        </is>
      </c>
    </row>
    <row r="1812">
      <c r="A1812" t="n">
        <v>371</v>
      </c>
      <c r="B1812" t="inlineStr">
        <is>
          <t>Recaudación de fondos</t>
        </is>
      </c>
      <c r="C1812" t="inlineStr">
        <is>
          <t>Gestión de la Responsabilidad Social</t>
        </is>
      </c>
      <c r="D1812" t="inlineStr">
        <is>
          <t>Semestral</t>
        </is>
      </c>
      <c r="E1812" t="inlineStr">
        <is>
          <t>Positivo</t>
        </is>
      </c>
      <c r="F1812" s="111" t="n">
        <v>45838</v>
      </c>
      <c r="G1812" t="n">
        <v>2025</v>
      </c>
      <c r="H1812" t="inlineStr">
        <is>
          <t>Junio</t>
        </is>
      </c>
      <c r="I1812" t="inlineStr">
        <is>
          <t>2025-1</t>
        </is>
      </c>
      <c r="J1812" t="n">
        <v>100</v>
      </c>
      <c r="K1812" t="n">
        <v>73.69</v>
      </c>
      <c r="L1812" s="39">
        <f>IFERROR(IF(OR(J1812=0,K1812=""),"",IF(E1812="Positivo",MIN(MAX(K1812/J1812,0),1.3),MIN(MAX(J1812/K1812,0),1.3))),"") </f>
        <v/>
      </c>
      <c r="M1812" s="39">
        <f>IFERROR(IF(OR(J1812=0,K1812=""),"",IF(E1812="Positivo",MAX(K1812/J1812,0),MAX(J1812/K1812,0))),"") </f>
        <v/>
      </c>
      <c r="N1812" t="inlineStr">
        <is>
          <t>$</t>
        </is>
      </c>
      <c r="O1812" t="inlineStr">
        <is>
          <t>$</t>
        </is>
      </c>
      <c r="P1812" t="n">
        <v>0</v>
      </c>
      <c r="Q1812" t="n">
        <v>0</v>
      </c>
      <c r="R1812" t="inlineStr">
        <is>
          <t>371-2025-06-30</t>
        </is>
      </c>
    </row>
    <row r="1813">
      <c r="A1813" t="n">
        <v>371</v>
      </c>
      <c r="B1813" t="inlineStr">
        <is>
          <t>Recaudación de fondos</t>
        </is>
      </c>
      <c r="C1813" t="inlineStr">
        <is>
          <t>Gestión de la Responsabilidad Social</t>
        </is>
      </c>
      <c r="D1813" t="inlineStr">
        <is>
          <t>Trimestral</t>
        </is>
      </c>
      <c r="E1813" t="inlineStr">
        <is>
          <t>Positivo</t>
        </is>
      </c>
      <c r="F1813" s="111" t="n">
        <v>46022</v>
      </c>
      <c r="G1813" t="n">
        <v>2025</v>
      </c>
      <c r="H1813" t="inlineStr">
        <is>
          <t>Diciembre</t>
        </is>
      </c>
      <c r="I1813" t="inlineStr">
        <is>
          <t>2025-2</t>
        </is>
      </c>
      <c r="J1813" t="n">
        <v>100</v>
      </c>
      <c r="K1813" t="n">
        <v>83.42</v>
      </c>
      <c r="L1813" s="39">
        <f>IFERROR(IF(OR(J1813=0,K1813=""),"",IF(E1813="Positivo",MIN(MAX(K1813/J1813,0),1.3),MIN(MAX(J1813/K1813,0),1.3))),"") </f>
        <v/>
      </c>
      <c r="M1813" s="39">
        <f>IFERROR(IF(OR(J1813=0,K1813=""),"",IF(E1813="Positivo",MAX(K1813/J1813,0),MAX(J1813/K1813,0))),"") </f>
        <v/>
      </c>
      <c r="N1813" t="inlineStr">
        <is>
          <t>$</t>
        </is>
      </c>
      <c r="O1813" t="inlineStr">
        <is>
          <t>$</t>
        </is>
      </c>
      <c r="P1813" t="n">
        <v>0</v>
      </c>
      <c r="Q1813" t="n">
        <v>0</v>
      </c>
      <c r="R1813" t="inlineStr">
        <is>
          <t>371-2025-12-31</t>
        </is>
      </c>
    </row>
    <row r="1814">
      <c r="A1814" t="n">
        <v>372</v>
      </c>
      <c r="B1814" t="inlineStr">
        <is>
          <t>Satisfacción de los clientes corporativos Educación para toda la vida</t>
        </is>
      </c>
      <c r="C1814" t="inlineStr">
        <is>
          <t>Operación de Educación no Formal</t>
        </is>
      </c>
      <c r="D1814" t="inlineStr">
        <is>
          <t>Trimestral</t>
        </is>
      </c>
      <c r="E1814" t="inlineStr">
        <is>
          <t>Positivo</t>
        </is>
      </c>
      <c r="F1814" s="111" t="n">
        <v>45199</v>
      </c>
      <c r="G1814" t="n">
        <v>2023</v>
      </c>
      <c r="H1814" t="inlineStr">
        <is>
          <t>Septiembre</t>
        </is>
      </c>
      <c r="I1814" t="inlineStr">
        <is>
          <t>2023-2</t>
        </is>
      </c>
      <c r="J1814" t="n">
        <v>87</v>
      </c>
      <c r="K1814" t="n">
        <v>96</v>
      </c>
      <c r="L1814" s="39">
        <f>IFERROR(IF(OR(J1814=0,K1814=""),"",IF(E1814="Positivo",MIN(MAX(K1814/J1814,0),1.3),MIN(MAX(J1814/K1814,0),1.3))),"") </f>
        <v/>
      </c>
      <c r="M1814" s="39">
        <f>IFERROR(IF(OR(J1814=0,K1814=""),"",IF(E1814="Positivo",MAX(K1814/J1814,0),MAX(J1814/K1814,0))),"") </f>
        <v/>
      </c>
      <c r="N1814" t="inlineStr">
        <is>
          <t>%</t>
        </is>
      </c>
      <c r="O1814" t="inlineStr">
        <is>
          <t>%</t>
        </is>
      </c>
      <c r="P1814" t="n">
        <v>0</v>
      </c>
      <c r="Q1814" t="n">
        <v>0</v>
      </c>
      <c r="R1814" t="inlineStr">
        <is>
          <t>372-2023-09-30</t>
        </is>
      </c>
    </row>
    <row r="1815">
      <c r="A1815" t="n">
        <v>372</v>
      </c>
      <c r="B1815" t="inlineStr">
        <is>
          <t>Satisfacción de los clientes corporativos Educación para toda la vida</t>
        </is>
      </c>
      <c r="C1815" t="inlineStr">
        <is>
          <t>Operación de Educación no Formal</t>
        </is>
      </c>
      <c r="D1815" t="inlineStr">
        <is>
          <t>Trimestral</t>
        </is>
      </c>
      <c r="E1815" t="inlineStr">
        <is>
          <t>Positivo</t>
        </is>
      </c>
      <c r="F1815" s="111" t="n">
        <v>45291</v>
      </c>
      <c r="G1815" t="n">
        <v>2023</v>
      </c>
      <c r="H1815" t="inlineStr">
        <is>
          <t>Diciembre</t>
        </is>
      </c>
      <c r="I1815" t="inlineStr">
        <is>
          <t>2023-2</t>
        </is>
      </c>
      <c r="J1815" t="n">
        <v>87</v>
      </c>
      <c r="K1815" t="n">
        <v>95</v>
      </c>
      <c r="L1815" s="39">
        <f>IFERROR(IF(OR(J1815=0,K1815=""),"",IF(E1815="Positivo",MIN(MAX(K1815/J1815,0),1.3),MIN(MAX(J1815/K1815,0),1.3))),"") </f>
        <v/>
      </c>
      <c r="M1815" s="39">
        <f>IFERROR(IF(OR(J1815=0,K1815=""),"",IF(E1815="Positivo",MAX(K1815/J1815,0),MAX(J1815/K1815,0))),"") </f>
        <v/>
      </c>
      <c r="N1815" t="inlineStr">
        <is>
          <t>%</t>
        </is>
      </c>
      <c r="O1815" t="inlineStr">
        <is>
          <t>%</t>
        </is>
      </c>
      <c r="P1815" t="n">
        <v>0</v>
      </c>
      <c r="Q1815" t="n">
        <v>0</v>
      </c>
      <c r="R1815" t="inlineStr">
        <is>
          <t>372-2023-12-31</t>
        </is>
      </c>
    </row>
    <row r="1816">
      <c r="A1816" t="n">
        <v>372</v>
      </c>
      <c r="B1816" t="inlineStr">
        <is>
          <t>Satisfacción de los clientes corporativos Educación para toda la vida</t>
        </is>
      </c>
      <c r="C1816" t="inlineStr">
        <is>
          <t>Operación de Educación no Formal</t>
        </is>
      </c>
      <c r="D1816" t="inlineStr">
        <is>
          <t>Trimestral</t>
        </is>
      </c>
      <c r="E1816" t="inlineStr">
        <is>
          <t>Positivo</t>
        </is>
      </c>
      <c r="F1816" s="111" t="n">
        <v>45382</v>
      </c>
      <c r="G1816" t="n">
        <v>2024</v>
      </c>
      <c r="H1816" t="inlineStr">
        <is>
          <t>Marzo</t>
        </is>
      </c>
      <c r="I1816" t="inlineStr">
        <is>
          <t>2024-1</t>
        </is>
      </c>
      <c r="J1816" t="n">
        <v>87</v>
      </c>
      <c r="K1816" t="n">
        <v>93</v>
      </c>
      <c r="L1816" s="39">
        <f>IFERROR(IF(OR(J1816=0,K1816=""),"",IF(E1816="Positivo",MIN(MAX(K1816/J1816,0),1.3),MIN(MAX(J1816/K1816,0),1.3))),"") </f>
        <v/>
      </c>
      <c r="M1816" s="39">
        <f>IFERROR(IF(OR(J1816=0,K1816=""),"",IF(E1816="Positivo",MAX(K1816/J1816,0),MAX(J1816/K1816,0))),"") </f>
        <v/>
      </c>
      <c r="N1816" t="inlineStr">
        <is>
          <t>%</t>
        </is>
      </c>
      <c r="O1816" t="inlineStr">
        <is>
          <t>%</t>
        </is>
      </c>
      <c r="P1816" t="n">
        <v>0</v>
      </c>
      <c r="Q1816" t="n">
        <v>0</v>
      </c>
      <c r="R1816" t="inlineStr">
        <is>
          <t>372-2024-03-31</t>
        </is>
      </c>
    </row>
    <row r="1817">
      <c r="A1817" t="n">
        <v>372</v>
      </c>
      <c r="B1817" t="inlineStr">
        <is>
          <t>Satisfacción de los clientes corporativos Educación para toda la vida</t>
        </is>
      </c>
      <c r="C1817" t="inlineStr">
        <is>
          <t>Operación de Educación no Formal</t>
        </is>
      </c>
      <c r="D1817" t="inlineStr">
        <is>
          <t>Trimestral</t>
        </is>
      </c>
      <c r="E1817" t="inlineStr">
        <is>
          <t>Positivo</t>
        </is>
      </c>
      <c r="F1817" s="111" t="n">
        <v>45473</v>
      </c>
      <c r="G1817" t="n">
        <v>2024</v>
      </c>
      <c r="H1817" t="inlineStr">
        <is>
          <t>Junio</t>
        </is>
      </c>
      <c r="I1817" t="inlineStr">
        <is>
          <t>2024-1</t>
        </is>
      </c>
      <c r="J1817" t="n">
        <v>87</v>
      </c>
      <c r="K1817" t="n">
        <v>90</v>
      </c>
      <c r="L1817" s="39">
        <f>IFERROR(IF(OR(J1817=0,K1817=""),"",IF(E1817="Positivo",MIN(MAX(K1817/J1817,0),1.3),MIN(MAX(J1817/K1817,0),1.3))),"") </f>
        <v/>
      </c>
      <c r="M1817" s="39">
        <f>IFERROR(IF(OR(J1817=0,K1817=""),"",IF(E1817="Positivo",MAX(K1817/J1817,0),MAX(J1817/K1817,0))),"") </f>
        <v/>
      </c>
      <c r="N1817" t="inlineStr">
        <is>
          <t>%</t>
        </is>
      </c>
      <c r="O1817" t="inlineStr">
        <is>
          <t>%</t>
        </is>
      </c>
      <c r="P1817" t="n">
        <v>0</v>
      </c>
      <c r="Q1817" t="n">
        <v>0</v>
      </c>
      <c r="R1817" t="inlineStr">
        <is>
          <t>372-2024-06-30</t>
        </is>
      </c>
    </row>
    <row r="1818">
      <c r="A1818" t="n">
        <v>372</v>
      </c>
      <c r="B1818" t="inlineStr">
        <is>
          <t>Satisfacción de los clientes corporativos Educación para toda la vida</t>
        </is>
      </c>
      <c r="C1818" t="inlineStr">
        <is>
          <t>Operación de Educación no Formal</t>
        </is>
      </c>
      <c r="D1818" t="inlineStr">
        <is>
          <t>Trimestral</t>
        </is>
      </c>
      <c r="E1818" t="inlineStr">
        <is>
          <t>Positivo</t>
        </is>
      </c>
      <c r="F1818" s="111" t="n">
        <v>45565</v>
      </c>
      <c r="G1818" t="n">
        <v>2024</v>
      </c>
      <c r="H1818" t="inlineStr">
        <is>
          <t>Septiembre</t>
        </is>
      </c>
      <c r="I1818" t="inlineStr">
        <is>
          <t>2024-2</t>
        </is>
      </c>
      <c r="J1818" t="n">
        <v>87</v>
      </c>
      <c r="K1818" t="n">
        <v>91</v>
      </c>
      <c r="L1818" s="39">
        <f>IFERROR(IF(OR(J1818=0,K1818=""),"",IF(E1818="Positivo",MIN(MAX(K1818/J1818,0),1.3),MIN(MAX(J1818/K1818,0),1.3))),"") </f>
        <v/>
      </c>
      <c r="M1818" s="39">
        <f>IFERROR(IF(OR(J1818=0,K1818=""),"",IF(E1818="Positivo",MAX(K1818/J1818,0),MAX(J1818/K1818,0))),"") </f>
        <v/>
      </c>
      <c r="N1818" t="inlineStr">
        <is>
          <t>%</t>
        </is>
      </c>
      <c r="O1818" t="inlineStr">
        <is>
          <t>%</t>
        </is>
      </c>
      <c r="P1818" t="n">
        <v>0</v>
      </c>
      <c r="Q1818" t="n">
        <v>0</v>
      </c>
      <c r="R1818" t="inlineStr">
        <is>
          <t>372-2024-09-30</t>
        </is>
      </c>
    </row>
    <row r="1819">
      <c r="A1819" t="n">
        <v>372</v>
      </c>
      <c r="B1819" t="inlineStr">
        <is>
          <t>Satisfacción de los clientes corporativos Educación para toda la vida</t>
        </is>
      </c>
      <c r="C1819" t="inlineStr">
        <is>
          <t>Operación de Educación no Formal</t>
        </is>
      </c>
      <c r="D1819" t="inlineStr">
        <is>
          <t>Trimestral</t>
        </is>
      </c>
      <c r="E1819" t="inlineStr">
        <is>
          <t>Positivo</t>
        </is>
      </c>
      <c r="F1819" s="111" t="n">
        <v>45657</v>
      </c>
      <c r="G1819" t="n">
        <v>2024</v>
      </c>
      <c r="H1819" t="inlineStr">
        <is>
          <t>Diciembre</t>
        </is>
      </c>
      <c r="I1819" t="inlineStr">
        <is>
          <t>2024-2</t>
        </is>
      </c>
      <c r="J1819" t="n">
        <v>87</v>
      </c>
      <c r="K1819" t="n">
        <v>93</v>
      </c>
      <c r="L1819" s="39">
        <f>IFERROR(IF(OR(J1819=0,K1819=""),"",IF(E1819="Positivo",MIN(MAX(K1819/J1819,0),1.3),MIN(MAX(J1819/K1819,0),1.3))),"") </f>
        <v/>
      </c>
      <c r="M1819" s="39">
        <f>IFERROR(IF(OR(J1819=0,K1819=""),"",IF(E1819="Positivo",MAX(K1819/J1819,0),MAX(J1819/K1819,0))),"") </f>
        <v/>
      </c>
      <c r="N1819" t="inlineStr">
        <is>
          <t>%</t>
        </is>
      </c>
      <c r="O1819" t="inlineStr">
        <is>
          <t>%</t>
        </is>
      </c>
      <c r="P1819" t="n">
        <v>0</v>
      </c>
      <c r="Q1819" t="n">
        <v>0</v>
      </c>
      <c r="R1819" t="inlineStr">
        <is>
          <t>372-2024-12-31</t>
        </is>
      </c>
    </row>
    <row r="1820">
      <c r="A1820" t="n">
        <v>372</v>
      </c>
      <c r="B1820" t="inlineStr">
        <is>
          <t>Satisfacción de los clientes corporativos Educación para toda la vida</t>
        </is>
      </c>
      <c r="C1820" t="inlineStr">
        <is>
          <t>Operación de Educación no Formal</t>
        </is>
      </c>
      <c r="D1820" t="inlineStr">
        <is>
          <t>Trimestral</t>
        </is>
      </c>
      <c r="E1820" t="inlineStr">
        <is>
          <t>Positivo</t>
        </is>
      </c>
      <c r="F1820" s="111" t="n">
        <v>45747</v>
      </c>
      <c r="G1820" t="n">
        <v>2025</v>
      </c>
      <c r="H1820" t="inlineStr">
        <is>
          <t>Marzo</t>
        </is>
      </c>
      <c r="I1820" t="inlineStr">
        <is>
          <t>2025-1</t>
        </is>
      </c>
      <c r="J1820" t="n">
        <v>90</v>
      </c>
      <c r="K1820" t="n">
        <v>98</v>
      </c>
      <c r="L1820" s="39">
        <f>IFERROR(IF(OR(J1820=0,K1820=""),"",IF(E1820="Positivo",MIN(MAX(K1820/J1820,0),1.3),MIN(MAX(J1820/K1820,0),1.3))),"") </f>
        <v/>
      </c>
      <c r="M1820" s="39">
        <f>IFERROR(IF(OR(J1820=0,K1820=""),"",IF(E1820="Positivo",MAX(K1820/J1820,0),MAX(J1820/K1820,0))),"") </f>
        <v/>
      </c>
      <c r="N1820" t="inlineStr">
        <is>
          <t>%</t>
        </is>
      </c>
      <c r="O1820" t="inlineStr">
        <is>
          <t>%</t>
        </is>
      </c>
      <c r="P1820" t="n">
        <v>0</v>
      </c>
      <c r="Q1820" t="n">
        <v>0</v>
      </c>
      <c r="R1820" t="inlineStr">
        <is>
          <t>372-2025-03-31</t>
        </is>
      </c>
    </row>
    <row r="1821">
      <c r="A1821" t="n">
        <v>372</v>
      </c>
      <c r="B1821" t="inlineStr">
        <is>
          <t>Satisfacción de los clientes corporativos Educación para toda la vida</t>
        </is>
      </c>
      <c r="C1821" t="inlineStr">
        <is>
          <t>Operación de Educación no Formal</t>
        </is>
      </c>
      <c r="D1821" t="inlineStr">
        <is>
          <t>Trimestral</t>
        </is>
      </c>
      <c r="E1821" t="inlineStr">
        <is>
          <t>Positivo</t>
        </is>
      </c>
      <c r="F1821" s="111" t="n">
        <v>45838</v>
      </c>
      <c r="G1821" t="n">
        <v>2025</v>
      </c>
      <c r="H1821" t="inlineStr">
        <is>
          <t>Junio</t>
        </is>
      </c>
      <c r="I1821" t="inlineStr">
        <is>
          <t>2025-1</t>
        </is>
      </c>
      <c r="J1821" t="n">
        <v>90</v>
      </c>
      <c r="K1821" t="n">
        <v>90</v>
      </c>
      <c r="L1821" s="39">
        <f>IFERROR(IF(OR(J1821=0,K1821=""),"",IF(E1821="Positivo",MIN(MAX(K1821/J1821,0),1.3),MIN(MAX(J1821/K1821,0),1.3))),"") </f>
        <v/>
      </c>
      <c r="M1821" s="39">
        <f>IFERROR(IF(OR(J1821=0,K1821=""),"",IF(E1821="Positivo",MAX(K1821/J1821,0),MAX(J1821/K1821,0))),"") </f>
        <v/>
      </c>
      <c r="N1821" t="inlineStr">
        <is>
          <t>%</t>
        </is>
      </c>
      <c r="O1821" t="inlineStr">
        <is>
          <t>%</t>
        </is>
      </c>
      <c r="P1821" t="n">
        <v>0</v>
      </c>
      <c r="Q1821" t="n">
        <v>0</v>
      </c>
      <c r="R1821" t="inlineStr">
        <is>
          <t>372-2025-06-30</t>
        </is>
      </c>
    </row>
    <row r="1822">
      <c r="A1822" t="n">
        <v>372</v>
      </c>
      <c r="B1822" t="inlineStr">
        <is>
          <t>Satisfacción de los clientes corporativos Educación para toda la vida</t>
        </is>
      </c>
      <c r="C1822" t="inlineStr">
        <is>
          <t>Operación de nuevos negocios y CI</t>
        </is>
      </c>
      <c r="D1822" t="inlineStr">
        <is>
          <t>Semestral</t>
        </is>
      </c>
      <c r="E1822" t="inlineStr">
        <is>
          <t>Positivo</t>
        </is>
      </c>
      <c r="F1822" s="111" t="n">
        <v>45930</v>
      </c>
      <c r="G1822" t="n">
        <v>2025</v>
      </c>
      <c r="H1822" t="inlineStr">
        <is>
          <t>Septiembre</t>
        </is>
      </c>
      <c r="I1822" t="inlineStr">
        <is>
          <t>2025-2</t>
        </is>
      </c>
      <c r="J1822" t="n">
        <v>90</v>
      </c>
      <c r="K1822" t="n">
        <v>97</v>
      </c>
      <c r="L1822" s="39">
        <f>IFERROR(IF(OR(J1822=0,K1822=""),"",IF(E1822="Positivo",MIN(MAX(K1822/J1822,0),1.3),MIN(MAX(J1822/K1822,0),1.3))),"") </f>
        <v/>
      </c>
      <c r="M1822" s="39">
        <f>IFERROR(IF(OR(J1822=0,K1822=""),"",IF(E1822="Positivo",MAX(K1822/J1822,0),MAX(J1822/K1822,0))),"") </f>
        <v/>
      </c>
      <c r="N1822" t="inlineStr">
        <is>
          <t>%</t>
        </is>
      </c>
      <c r="O1822" t="inlineStr">
        <is>
          <t>%</t>
        </is>
      </c>
      <c r="P1822" t="n">
        <v>0</v>
      </c>
      <c r="Q1822" t="n">
        <v>0</v>
      </c>
      <c r="R1822" t="inlineStr">
        <is>
          <t>372-2025-09-30</t>
        </is>
      </c>
    </row>
    <row r="1823">
      <c r="A1823" t="n">
        <v>372</v>
      </c>
      <c r="B1823" t="inlineStr">
        <is>
          <t>Satisfacción de los clientes corporativos Educación para toda la vida</t>
        </is>
      </c>
      <c r="C1823" t="inlineStr">
        <is>
          <t>Operación de nuevos negocios y CI</t>
        </is>
      </c>
      <c r="D1823" t="inlineStr">
        <is>
          <t>Semestral</t>
        </is>
      </c>
      <c r="E1823" t="inlineStr">
        <is>
          <t>Positivo</t>
        </is>
      </c>
      <c r="F1823" s="111" t="n">
        <v>46022</v>
      </c>
      <c r="G1823" t="n">
        <v>2025</v>
      </c>
      <c r="H1823" t="inlineStr">
        <is>
          <t>Diciembre</t>
        </is>
      </c>
      <c r="I1823" t="inlineStr">
        <is>
          <t>2025-2</t>
        </is>
      </c>
      <c r="J1823" t="n">
        <v>90</v>
      </c>
      <c r="K1823" t="n">
        <v>97</v>
      </c>
      <c r="L1823" s="39">
        <f>IFERROR(IF(OR(J1823=0,K1823=""),"",IF(E1823="Positivo",MIN(MAX(K1823/J1823,0),1.3),MIN(MAX(J1823/K1823,0),1.3))),"") </f>
        <v/>
      </c>
      <c r="M1823" s="39">
        <f>IFERROR(IF(OR(J1823=0,K1823=""),"",IF(E1823="Positivo",MAX(K1823/J1823,0),MAX(J1823/K1823,0))),"") </f>
        <v/>
      </c>
      <c r="N1823" t="inlineStr">
        <is>
          <t>%</t>
        </is>
      </c>
      <c r="O1823" t="inlineStr">
        <is>
          <t>%</t>
        </is>
      </c>
      <c r="P1823" t="n">
        <v>0</v>
      </c>
      <c r="Q1823" t="n">
        <v>0</v>
      </c>
      <c r="R1823" t="inlineStr">
        <is>
          <t>372-2025-12-31</t>
        </is>
      </c>
    </row>
    <row r="1824">
      <c r="A1824" t="n">
        <v>373</v>
      </c>
      <c r="B1824" t="inlineStr">
        <is>
          <t>Cumplimiento de planes anuales por líneas</t>
        </is>
      </c>
      <c r="C1824" t="inlineStr">
        <is>
          <t>Planeación Estratégica</t>
        </is>
      </c>
      <c r="D1824" t="inlineStr">
        <is>
          <t>Semestral</t>
        </is>
      </c>
      <c r="E1824" t="inlineStr">
        <is>
          <t>Positivo</t>
        </is>
      </c>
      <c r="F1824" s="111" t="n">
        <v>45016</v>
      </c>
      <c r="G1824" t="n">
        <v>2023</v>
      </c>
      <c r="H1824" t="inlineStr">
        <is>
          <t>Marzo</t>
        </is>
      </c>
      <c r="I1824" t="inlineStr">
        <is>
          <t>2023-1</t>
        </is>
      </c>
      <c r="J1824" t="n">
        <v>100</v>
      </c>
      <c r="K1824" t="n">
        <v>0</v>
      </c>
      <c r="L1824" s="39">
        <f>IFERROR(IF(OR(J1824=0,K1824=""),"",IF(E1824="Positivo",MIN(MAX(K1824/J1824,0),1.0),MIN(MAX(J1824/K1824,0),1.0))),"") </f>
        <v/>
      </c>
      <c r="M1824" s="39">
        <f>IFERROR(IF(OR(J1824=0,K1824=""),"",IF(E1824="Positivo",MAX(K1824/J1824,0),MAX(J1824/K1824,0))),"") </f>
        <v/>
      </c>
      <c r="N1824" t="inlineStr">
        <is>
          <t>%</t>
        </is>
      </c>
      <c r="O1824" t="inlineStr">
        <is>
          <t>%</t>
        </is>
      </c>
      <c r="P1824" t="n">
        <v>0</v>
      </c>
      <c r="Q1824" t="n">
        <v>0</v>
      </c>
      <c r="R1824" t="inlineStr">
        <is>
          <t>373-2023-03-31</t>
        </is>
      </c>
    </row>
    <row r="1825">
      <c r="A1825" t="n">
        <v>373</v>
      </c>
      <c r="B1825" t="inlineStr">
        <is>
          <t>Cumplimiento de planes anuales por líneas</t>
        </is>
      </c>
      <c r="C1825" t="inlineStr">
        <is>
          <t>Planeación Estratégica</t>
        </is>
      </c>
      <c r="D1825" t="inlineStr">
        <is>
          <t>Trimestral</t>
        </is>
      </c>
      <c r="E1825" t="inlineStr">
        <is>
          <t>Positivo</t>
        </is>
      </c>
      <c r="F1825" s="111" t="n">
        <v>45107</v>
      </c>
      <c r="G1825" t="n">
        <v>2023</v>
      </c>
      <c r="H1825" t="inlineStr">
        <is>
          <t>Junio</t>
        </is>
      </c>
      <c r="I1825" t="inlineStr">
        <is>
          <t>2023-1</t>
        </is>
      </c>
      <c r="J1825" t="n">
        <v>100</v>
      </c>
      <c r="K1825" t="n">
        <v>107.17166666667</v>
      </c>
      <c r="L1825" s="39">
        <f>IFERROR(IF(OR(J1825=0,K1825=""),"",IF(E1825="Positivo",MIN(MAX(K1825/J1825,0),1.0),MIN(MAX(J1825/K1825,0),1.0))),"") </f>
        <v/>
      </c>
      <c r="M1825" s="39">
        <f>IFERROR(IF(OR(J1825=0,K1825=""),"",IF(E1825="Positivo",MAX(K1825/J1825,0),MAX(J1825/K1825,0))),"") </f>
        <v/>
      </c>
      <c r="N1825" t="inlineStr">
        <is>
          <t>%</t>
        </is>
      </c>
      <c r="O1825" t="inlineStr">
        <is>
          <t>%</t>
        </is>
      </c>
      <c r="P1825" t="n">
        <v>0</v>
      </c>
      <c r="Q1825" t="n">
        <v>0</v>
      </c>
      <c r="R1825" t="inlineStr">
        <is>
          <t>373-2023-06-30</t>
        </is>
      </c>
    </row>
    <row r="1826">
      <c r="A1826" t="n">
        <v>373</v>
      </c>
      <c r="B1826" t="inlineStr">
        <is>
          <t>Cumplimiento de planes anuales por líneas</t>
        </is>
      </c>
      <c r="C1826" t="inlineStr">
        <is>
          <t>Planeación Estratégica</t>
        </is>
      </c>
      <c r="D1826" t="inlineStr">
        <is>
          <t>Trimestral</t>
        </is>
      </c>
      <c r="E1826" t="inlineStr">
        <is>
          <t>Positivo</t>
        </is>
      </c>
      <c r="F1826" s="111" t="n">
        <v>45199</v>
      </c>
      <c r="G1826" t="n">
        <v>2023</v>
      </c>
      <c r="H1826" t="inlineStr">
        <is>
          <t>Septiembre</t>
        </is>
      </c>
      <c r="I1826" t="inlineStr">
        <is>
          <t>2023-2</t>
        </is>
      </c>
      <c r="J1826" t="n">
        <v>100</v>
      </c>
      <c r="K1826" t="n">
        <v>91.508333333333</v>
      </c>
      <c r="L1826" s="39">
        <f>IFERROR(IF(OR(J1826=0,K1826=""),"",IF(E1826="Positivo",MIN(MAX(K1826/J1826,0),1.0),MIN(MAX(J1826/K1826,0),1.0))),"") </f>
        <v/>
      </c>
      <c r="M1826" s="39">
        <f>IFERROR(IF(OR(J1826=0,K1826=""),"",IF(E1826="Positivo",MAX(K1826/J1826,0),MAX(J1826/K1826,0))),"") </f>
        <v/>
      </c>
      <c r="N1826" t="inlineStr">
        <is>
          <t>%</t>
        </is>
      </c>
      <c r="O1826" t="inlineStr">
        <is>
          <t>%</t>
        </is>
      </c>
      <c r="P1826" t="n">
        <v>0</v>
      </c>
      <c r="Q1826" t="n">
        <v>0</v>
      </c>
      <c r="R1826" t="inlineStr">
        <is>
          <t>373-2023-09-30</t>
        </is>
      </c>
    </row>
    <row r="1827">
      <c r="A1827" t="n">
        <v>373</v>
      </c>
      <c r="B1827" t="inlineStr">
        <is>
          <t>Cumplimiento de planes anuales por líneas</t>
        </is>
      </c>
      <c r="C1827" t="inlineStr">
        <is>
          <t>Planeación Estratégica</t>
        </is>
      </c>
      <c r="D1827" t="inlineStr">
        <is>
          <t>Trimestral</t>
        </is>
      </c>
      <c r="E1827" t="inlineStr">
        <is>
          <t>Positivo</t>
        </is>
      </c>
      <c r="F1827" s="111" t="n">
        <v>45291</v>
      </c>
      <c r="G1827" t="n">
        <v>2023</v>
      </c>
      <c r="H1827" t="inlineStr">
        <is>
          <t>Diciembre</t>
        </is>
      </c>
      <c r="I1827" t="inlineStr">
        <is>
          <t>2023-2</t>
        </is>
      </c>
      <c r="J1827" t="n">
        <v>100</v>
      </c>
      <c r="K1827" t="n">
        <v>97.166666666667</v>
      </c>
      <c r="L1827" s="39">
        <f>IFERROR(IF(OR(J1827=0,K1827=""),"",IF(E1827="Positivo",MIN(MAX(K1827/J1827,0),1.0),MIN(MAX(J1827/K1827,0),1.0))),"") </f>
        <v/>
      </c>
      <c r="M1827" s="39">
        <f>IFERROR(IF(OR(J1827=0,K1827=""),"",IF(E1827="Positivo",MAX(K1827/J1827,0),MAX(J1827/K1827,0))),"") </f>
        <v/>
      </c>
      <c r="N1827" t="inlineStr">
        <is>
          <t>%</t>
        </is>
      </c>
      <c r="O1827" t="inlineStr">
        <is>
          <t>%</t>
        </is>
      </c>
      <c r="P1827" t="n">
        <v>0</v>
      </c>
      <c r="Q1827" t="n">
        <v>0</v>
      </c>
      <c r="R1827" t="inlineStr">
        <is>
          <t>373-2023-12-31</t>
        </is>
      </c>
    </row>
    <row r="1828">
      <c r="A1828" t="n">
        <v>373</v>
      </c>
      <c r="B1828" t="inlineStr">
        <is>
          <t>Cumplimiento de planes anuales por líneas</t>
        </is>
      </c>
      <c r="C1828" t="inlineStr">
        <is>
          <t>Planeación Estratégica</t>
        </is>
      </c>
      <c r="D1828" t="inlineStr">
        <is>
          <t>Trimestral</t>
        </is>
      </c>
      <c r="E1828" t="inlineStr">
        <is>
          <t>Positivo</t>
        </is>
      </c>
      <c r="F1828" s="111" t="n">
        <v>45382</v>
      </c>
      <c r="G1828" t="n">
        <v>2024</v>
      </c>
      <c r="H1828" t="inlineStr">
        <is>
          <t>Marzo</t>
        </is>
      </c>
      <c r="I1828" t="inlineStr">
        <is>
          <t>2024-1</t>
        </is>
      </c>
      <c r="J1828" t="n">
        <v>100</v>
      </c>
      <c r="K1828" t="n">
        <v>89.02</v>
      </c>
      <c r="L1828" s="39">
        <f>IFERROR(IF(OR(J1828=0,K1828=""),"",IF(E1828="Positivo",MIN(MAX(K1828/J1828,0),1.0),MIN(MAX(J1828/K1828,0),1.0))),"") </f>
        <v/>
      </c>
      <c r="M1828" s="39">
        <f>IFERROR(IF(OR(J1828=0,K1828=""),"",IF(E1828="Positivo",MAX(K1828/J1828,0),MAX(J1828/K1828,0))),"") </f>
        <v/>
      </c>
      <c r="N1828" t="inlineStr">
        <is>
          <t>%</t>
        </is>
      </c>
      <c r="O1828" t="inlineStr">
        <is>
          <t>%</t>
        </is>
      </c>
      <c r="P1828" t="n">
        <v>0</v>
      </c>
      <c r="Q1828" t="n">
        <v>0</v>
      </c>
      <c r="R1828" t="inlineStr">
        <is>
          <t>373-2024-03-31</t>
        </is>
      </c>
    </row>
    <row r="1829">
      <c r="A1829" t="n">
        <v>373</v>
      </c>
      <c r="B1829" t="inlineStr">
        <is>
          <t>Cumplimiento de planes anuales por líneas</t>
        </is>
      </c>
      <c r="C1829" t="inlineStr">
        <is>
          <t>Planeación Estratégica</t>
        </is>
      </c>
      <c r="D1829" t="inlineStr">
        <is>
          <t>Trimestral</t>
        </is>
      </c>
      <c r="E1829" t="inlineStr">
        <is>
          <t>Positivo</t>
        </is>
      </c>
      <c r="F1829" s="111" t="n">
        <v>45473</v>
      </c>
      <c r="G1829" t="n">
        <v>2024</v>
      </c>
      <c r="H1829" t="inlineStr">
        <is>
          <t>Junio</t>
        </is>
      </c>
      <c r="I1829" t="inlineStr">
        <is>
          <t>2024-1</t>
        </is>
      </c>
      <c r="J1829" t="n">
        <v>100</v>
      </c>
      <c r="K1829" t="n">
        <v>106.8</v>
      </c>
      <c r="L1829" s="39">
        <f>IFERROR(IF(OR(J1829=0,K1829=""),"",IF(E1829="Positivo",MIN(MAX(K1829/J1829,0),1.0),MIN(MAX(J1829/K1829,0),1.0))),"") </f>
        <v/>
      </c>
      <c r="M1829" s="39">
        <f>IFERROR(IF(OR(J1829=0,K1829=""),"",IF(E1829="Positivo",MAX(K1829/J1829,0),MAX(J1829/K1829,0))),"") </f>
        <v/>
      </c>
      <c r="N1829" t="inlineStr">
        <is>
          <t>%</t>
        </is>
      </c>
      <c r="O1829" t="inlineStr">
        <is>
          <t>%</t>
        </is>
      </c>
      <c r="P1829" t="n">
        <v>0</v>
      </c>
      <c r="Q1829" t="n">
        <v>0</v>
      </c>
      <c r="R1829" t="inlineStr">
        <is>
          <t>373-2024-06-30</t>
        </is>
      </c>
    </row>
    <row r="1830">
      <c r="A1830" t="n">
        <v>373</v>
      </c>
      <c r="B1830" t="inlineStr">
        <is>
          <t>Cumplimiento de planes anuales por líneas</t>
        </is>
      </c>
      <c r="C1830" t="inlineStr">
        <is>
          <t>Planeación Estratégica</t>
        </is>
      </c>
      <c r="D1830" t="inlineStr">
        <is>
          <t>Trimestral</t>
        </is>
      </c>
      <c r="E1830" t="inlineStr">
        <is>
          <t>Positivo</t>
        </is>
      </c>
      <c r="F1830" s="111" t="n">
        <v>45565</v>
      </c>
      <c r="G1830" t="n">
        <v>2024</v>
      </c>
      <c r="H1830" t="inlineStr">
        <is>
          <t>Septiembre</t>
        </is>
      </c>
      <c r="I1830" t="inlineStr">
        <is>
          <t>2024-2</t>
        </is>
      </c>
      <c r="J1830" t="n">
        <v>100</v>
      </c>
      <c r="K1830" t="n">
        <v>99.61</v>
      </c>
      <c r="L1830" s="39">
        <f>IFERROR(IF(OR(J1830=0,K1830=""),"",IF(E1830="Positivo",MIN(MAX(K1830/J1830,0),1.0),MIN(MAX(J1830/K1830,0),1.0))),"") </f>
        <v/>
      </c>
      <c r="M1830" s="39">
        <f>IFERROR(IF(OR(J1830=0,K1830=""),"",IF(E1830="Positivo",MAX(K1830/J1830,0),MAX(J1830/K1830,0))),"") </f>
        <v/>
      </c>
      <c r="N1830" t="inlineStr">
        <is>
          <t>%</t>
        </is>
      </c>
      <c r="O1830" t="inlineStr">
        <is>
          <t>%</t>
        </is>
      </c>
      <c r="P1830" t="n">
        <v>0</v>
      </c>
      <c r="Q1830" t="n">
        <v>0</v>
      </c>
      <c r="R1830" t="inlineStr">
        <is>
          <t>373-2024-09-30</t>
        </is>
      </c>
    </row>
    <row r="1831">
      <c r="A1831" t="n">
        <v>373</v>
      </c>
      <c r="B1831" t="inlineStr">
        <is>
          <t>Cumplimiento de planes anuales por líneas</t>
        </is>
      </c>
      <c r="C1831" t="inlineStr">
        <is>
          <t>Planeación Estratégica</t>
        </is>
      </c>
      <c r="D1831" t="inlineStr">
        <is>
          <t>Trimestral</t>
        </is>
      </c>
      <c r="E1831" t="inlineStr">
        <is>
          <t>Positivo</t>
        </is>
      </c>
      <c r="F1831" s="111" t="n">
        <v>45657</v>
      </c>
      <c r="G1831" t="n">
        <v>2024</v>
      </c>
      <c r="H1831" t="inlineStr">
        <is>
          <t>Diciembre</t>
        </is>
      </c>
      <c r="I1831" t="inlineStr">
        <is>
          <t>2024-2</t>
        </is>
      </c>
      <c r="J1831" t="n">
        <v>100</v>
      </c>
      <c r="K1831" t="n">
        <v>98.67</v>
      </c>
      <c r="L1831" s="39">
        <f>IFERROR(IF(OR(J1831=0,K1831=""),"",IF(E1831="Positivo",MIN(MAX(K1831/J1831,0),1.0),MIN(MAX(J1831/K1831,0),1.0))),"") </f>
        <v/>
      </c>
      <c r="M1831" s="39">
        <f>IFERROR(IF(OR(J1831=0,K1831=""),"",IF(E1831="Positivo",MAX(K1831/J1831,0),MAX(J1831/K1831,0))),"") </f>
        <v/>
      </c>
      <c r="N1831" t="inlineStr">
        <is>
          <t>%</t>
        </is>
      </c>
      <c r="O1831" t="inlineStr">
        <is>
          <t>%</t>
        </is>
      </c>
      <c r="P1831" t="n">
        <v>0</v>
      </c>
      <c r="Q1831" t="n">
        <v>0</v>
      </c>
      <c r="R1831" t="inlineStr">
        <is>
          <t>373-2024-12-31</t>
        </is>
      </c>
    </row>
    <row r="1832">
      <c r="A1832" t="n">
        <v>373</v>
      </c>
      <c r="B1832" t="inlineStr">
        <is>
          <t>Cumplimiento de planes anuales por líneas</t>
        </is>
      </c>
      <c r="C1832" t="inlineStr">
        <is>
          <t>Planeación Estratégica</t>
        </is>
      </c>
      <c r="D1832" t="inlineStr">
        <is>
          <t>Semestral</t>
        </is>
      </c>
      <c r="E1832" t="inlineStr">
        <is>
          <t>Positivo</t>
        </is>
      </c>
      <c r="F1832" s="111" t="n">
        <v>45747</v>
      </c>
      <c r="G1832" t="n">
        <v>2025</v>
      </c>
      <c r="H1832" t="inlineStr">
        <is>
          <t>Marzo</t>
        </is>
      </c>
      <c r="I1832" t="inlineStr">
        <is>
          <t>2025-1</t>
        </is>
      </c>
      <c r="J1832" t="n">
        <v>100</v>
      </c>
      <c r="K1832" t="n">
        <v>107.46</v>
      </c>
      <c r="L1832" s="39">
        <f>IFERROR(IF(OR(J1832=0,K1832=""),"",IF(E1832="Positivo",MIN(MAX(K1832/J1832,0),1.0),MIN(MAX(J1832/K1832,0),1.0))),"") </f>
        <v/>
      </c>
      <c r="M1832" s="39">
        <f>IFERROR(IF(OR(J1832=0,K1832=""),"",IF(E1832="Positivo",MAX(K1832/J1832,0),MAX(J1832/K1832,0))),"") </f>
        <v/>
      </c>
      <c r="N1832" t="inlineStr">
        <is>
          <t>%</t>
        </is>
      </c>
      <c r="O1832" t="inlineStr">
        <is>
          <t>%</t>
        </is>
      </c>
      <c r="P1832" t="n">
        <v>0</v>
      </c>
      <c r="Q1832" t="n">
        <v>0</v>
      </c>
      <c r="R1832" t="inlineStr">
        <is>
          <t>373-2025-03-31</t>
        </is>
      </c>
    </row>
    <row r="1833">
      <c r="A1833" t="n">
        <v>373</v>
      </c>
      <c r="B1833" t="inlineStr">
        <is>
          <t>Cumplimiento de planes anuales por líneas</t>
        </is>
      </c>
      <c r="C1833" t="inlineStr">
        <is>
          <t>Planeación Estratégica</t>
        </is>
      </c>
      <c r="D1833" t="inlineStr">
        <is>
          <t>Semestral</t>
        </is>
      </c>
      <c r="E1833" t="inlineStr">
        <is>
          <t>Positivo</t>
        </is>
      </c>
      <c r="F1833" s="111" t="n">
        <v>45838</v>
      </c>
      <c r="G1833" t="n">
        <v>2025</v>
      </c>
      <c r="H1833" t="inlineStr">
        <is>
          <t>Junio</t>
        </is>
      </c>
      <c r="I1833" t="inlineStr">
        <is>
          <t>2025-1</t>
        </is>
      </c>
      <c r="J1833" t="n">
        <v>100</v>
      </c>
      <c r="K1833" t="n">
        <v>101.75</v>
      </c>
      <c r="L1833" s="39">
        <f>IFERROR(IF(OR(J1833=0,K1833=""),"",IF(E1833="Positivo",MIN(MAX(K1833/J1833,0),1.0),MIN(MAX(J1833/K1833,0),1.0))),"") </f>
        <v/>
      </c>
      <c r="M1833" s="39">
        <f>IFERROR(IF(OR(J1833=0,K1833=""),"",IF(E1833="Positivo",MAX(K1833/J1833,0),MAX(J1833/K1833,0))),"") </f>
        <v/>
      </c>
      <c r="N1833" t="inlineStr">
        <is>
          <t>%</t>
        </is>
      </c>
      <c r="O1833" t="inlineStr">
        <is>
          <t>%</t>
        </is>
      </c>
      <c r="P1833" t="n">
        <v>0</v>
      </c>
      <c r="Q1833" t="n">
        <v>0</v>
      </c>
      <c r="R1833" t="inlineStr">
        <is>
          <t>373-2025-06-30</t>
        </is>
      </c>
    </row>
    <row r="1834">
      <c r="A1834" t="n">
        <v>373</v>
      </c>
      <c r="B1834" t="inlineStr">
        <is>
          <t>Cumplimiento de planes anuales por líneas</t>
        </is>
      </c>
      <c r="C1834" t="inlineStr">
        <is>
          <t>Planeación Estratégica</t>
        </is>
      </c>
      <c r="D1834" t="inlineStr">
        <is>
          <t>Semestral</t>
        </is>
      </c>
      <c r="E1834" t="inlineStr">
        <is>
          <t>Positivo</t>
        </is>
      </c>
      <c r="F1834" s="111" t="n">
        <v>45930</v>
      </c>
      <c r="G1834" t="n">
        <v>2025</v>
      </c>
      <c r="H1834" t="inlineStr">
        <is>
          <t>Septiembre</t>
        </is>
      </c>
      <c r="I1834" t="inlineStr">
        <is>
          <t>2025-2</t>
        </is>
      </c>
      <c r="J1834" t="n">
        <v>100</v>
      </c>
      <c r="K1834" t="n">
        <v>96.31999999999999</v>
      </c>
      <c r="L1834" s="39">
        <f>IFERROR(IF(OR(J1834=0,K1834=""),"",IF(E1834="Positivo",MIN(MAX(K1834/J1834,0),1.0),MIN(MAX(J1834/K1834,0),1.0))),"") </f>
        <v/>
      </c>
      <c r="M1834" s="39">
        <f>IFERROR(IF(OR(J1834=0,K1834=""),"",IF(E1834="Positivo",MAX(K1834/J1834,0),MAX(J1834/K1834,0))),"") </f>
        <v/>
      </c>
      <c r="N1834" t="inlineStr">
        <is>
          <t>%</t>
        </is>
      </c>
      <c r="O1834" t="inlineStr">
        <is>
          <t>%</t>
        </is>
      </c>
      <c r="P1834" t="n">
        <v>0</v>
      </c>
      <c r="Q1834" t="n">
        <v>0</v>
      </c>
      <c r="R1834" t="inlineStr">
        <is>
          <t>373-2025-09-30</t>
        </is>
      </c>
    </row>
    <row r="1835">
      <c r="A1835" t="n">
        <v>373</v>
      </c>
      <c r="B1835" t="inlineStr">
        <is>
          <t>Cumplimiento de planes anuales por líneas</t>
        </is>
      </c>
      <c r="C1835" t="inlineStr">
        <is>
          <t>Planeación Estratégica</t>
        </is>
      </c>
      <c r="D1835" t="inlineStr">
        <is>
          <t>Semestral</t>
        </is>
      </c>
      <c r="E1835" t="inlineStr">
        <is>
          <t>Positivo</t>
        </is>
      </c>
      <c r="F1835" s="111" t="n">
        <v>46022</v>
      </c>
      <c r="G1835" t="n">
        <v>2025</v>
      </c>
      <c r="H1835" t="inlineStr">
        <is>
          <t>Diciembre</t>
        </is>
      </c>
      <c r="I1835" t="inlineStr">
        <is>
          <t>2025-2</t>
        </is>
      </c>
      <c r="J1835" t="n">
        <v>100</v>
      </c>
      <c r="K1835" t="n">
        <v>99.33</v>
      </c>
      <c r="L1835" s="39">
        <f>IFERROR(IF(OR(J1835=0,K1835=""),"",IF(E1835="Positivo",MIN(MAX(K1835/J1835,0),1.0),MIN(MAX(J1835/K1835,0),1.0))),"") </f>
        <v/>
      </c>
      <c r="M1835" s="39">
        <f>IFERROR(IF(OR(J1835=0,K1835=""),"",IF(E1835="Positivo",MAX(K1835/J1835,0),MAX(J1835/K1835,0))),"") </f>
        <v/>
      </c>
      <c r="N1835" t="inlineStr">
        <is>
          <t>%</t>
        </is>
      </c>
      <c r="O1835" t="inlineStr">
        <is>
          <t>%</t>
        </is>
      </c>
      <c r="P1835" t="n">
        <v>0</v>
      </c>
      <c r="Q1835" t="n">
        <v>0</v>
      </c>
      <c r="R1835" t="inlineStr">
        <is>
          <t>373-2025-12-31</t>
        </is>
      </c>
    </row>
    <row r="1836">
      <c r="A1836" t="n">
        <v>374</v>
      </c>
      <c r="B1836" t="inlineStr">
        <is>
          <t>Disponibilidad de máster modalidad virtual</t>
        </is>
      </c>
      <c r="C1836" t="inlineStr">
        <is>
          <t>Operaciones Académicas</t>
        </is>
      </c>
      <c r="D1836" t="inlineStr">
        <is>
          <t>Semestral</t>
        </is>
      </c>
      <c r="E1836" t="inlineStr">
        <is>
          <t>Positivo</t>
        </is>
      </c>
      <c r="F1836" s="111" t="n">
        <v>45291</v>
      </c>
      <c r="G1836" t="n">
        <v>2023</v>
      </c>
      <c r="H1836" t="inlineStr">
        <is>
          <t>Diciembre</t>
        </is>
      </c>
      <c r="I1836" t="inlineStr">
        <is>
          <t>2023-2</t>
        </is>
      </c>
      <c r="J1836" t="n">
        <v>100</v>
      </c>
      <c r="K1836" t="n">
        <v>100</v>
      </c>
      <c r="L1836" s="39">
        <f>IFERROR(IF(OR(J1836=0,K1836=""),"",IF(E1836="Positivo",MIN(MAX(K1836/J1836,0),1.3),MIN(MAX(J1836/K1836,0),1.3))),"") </f>
        <v/>
      </c>
      <c r="M1836" s="39">
        <f>IFERROR(IF(OR(J1836=0,K1836=""),"",IF(E1836="Positivo",MAX(K1836/J1836,0),MAX(J1836/K1836,0))),"") </f>
        <v/>
      </c>
      <c r="N1836" t="inlineStr">
        <is>
          <t>%</t>
        </is>
      </c>
      <c r="O1836" t="inlineStr">
        <is>
          <t>%</t>
        </is>
      </c>
      <c r="P1836" t="n">
        <v>0</v>
      </c>
      <c r="Q1836" t="n">
        <v>0</v>
      </c>
      <c r="R1836" t="inlineStr">
        <is>
          <t>374-2023-12-31</t>
        </is>
      </c>
    </row>
    <row r="1837">
      <c r="A1837" t="n">
        <v>375</v>
      </c>
      <c r="B1837" t="inlineStr">
        <is>
          <t>Disponibilidad de catálogo de asignaturas pregrado y posgrado presencial</t>
        </is>
      </c>
      <c r="C1837" t="inlineStr">
        <is>
          <t>Operaciones Académicas</t>
        </is>
      </c>
      <c r="D1837" t="inlineStr">
        <is>
          <t>Trimestral</t>
        </is>
      </c>
      <c r="E1837" t="inlineStr">
        <is>
          <t>Positivo</t>
        </is>
      </c>
      <c r="F1837" s="111" t="n">
        <v>45016</v>
      </c>
      <c r="G1837" t="n">
        <v>2023</v>
      </c>
      <c r="H1837" t="inlineStr">
        <is>
          <t>Marzo</t>
        </is>
      </c>
      <c r="I1837" t="inlineStr">
        <is>
          <t>2023-1</t>
        </is>
      </c>
      <c r="J1837" t="n">
        <v>100</v>
      </c>
      <c r="L1837" s="39" t="n"/>
      <c r="M1837" s="39" t="n"/>
      <c r="N1837" t="inlineStr">
        <is>
          <t>%</t>
        </is>
      </c>
      <c r="O1837" t="inlineStr">
        <is>
          <t>No Aplica</t>
        </is>
      </c>
      <c r="P1837" t="n">
        <v>0</v>
      </c>
      <c r="Q1837" t="n">
        <v>0</v>
      </c>
      <c r="R1837" t="inlineStr">
        <is>
          <t>375-2023-03-31</t>
        </is>
      </c>
      <c r="S1837" t="inlineStr">
        <is>
          <t>No Aplica</t>
        </is>
      </c>
    </row>
    <row r="1838">
      <c r="A1838" t="n">
        <v>375</v>
      </c>
      <c r="B1838" t="inlineStr">
        <is>
          <t>Disponibilidad de catálogo de asignaturas pregrado y posgrado presencial</t>
        </is>
      </c>
      <c r="C1838" t="inlineStr">
        <is>
          <t>Operaciones Académicas</t>
        </is>
      </c>
      <c r="D1838" t="inlineStr">
        <is>
          <t>Trimestral</t>
        </is>
      </c>
      <c r="E1838" t="inlineStr">
        <is>
          <t>Positivo</t>
        </is>
      </c>
      <c r="F1838" s="111" t="n">
        <v>45107</v>
      </c>
      <c r="G1838" t="n">
        <v>2023</v>
      </c>
      <c r="H1838" t="inlineStr">
        <is>
          <t>Junio</t>
        </is>
      </c>
      <c r="I1838" t="inlineStr">
        <is>
          <t>2023-1</t>
        </is>
      </c>
      <c r="J1838" t="n">
        <v>100</v>
      </c>
      <c r="K1838" t="n">
        <v>0</v>
      </c>
      <c r="L1838" s="39">
        <f>IFERROR(IF(OR(J1838=0,K1838=""),"",IF(E1838="Positivo",MIN(MAX(K1838/J1838,0),1.3),MIN(MAX(J1838/K1838,0),1.3))),"") </f>
        <v/>
      </c>
      <c r="M1838" s="39">
        <f>IFERROR(IF(OR(J1838=0,K1838=""),"",IF(E1838="Positivo",MAX(K1838/J1838,0),MAX(J1838/K1838,0))),"") </f>
        <v/>
      </c>
      <c r="N1838" t="inlineStr">
        <is>
          <t>%</t>
        </is>
      </c>
      <c r="O1838" t="inlineStr">
        <is>
          <t>%</t>
        </is>
      </c>
      <c r="P1838" t="n">
        <v>0</v>
      </c>
      <c r="Q1838" t="n">
        <v>0</v>
      </c>
      <c r="R1838" t="inlineStr">
        <is>
          <t>375-2023-06-30</t>
        </is>
      </c>
    </row>
    <row r="1839">
      <c r="A1839" t="n">
        <v>375</v>
      </c>
      <c r="B1839" t="inlineStr">
        <is>
          <t>Disponibilidad de catálogo de asignaturas pregrado y posgrado presencial</t>
        </is>
      </c>
      <c r="C1839" t="inlineStr">
        <is>
          <t>Operaciones Académicas</t>
        </is>
      </c>
      <c r="D1839" t="inlineStr">
        <is>
          <t>Semestral</t>
        </is>
      </c>
      <c r="E1839" t="inlineStr">
        <is>
          <t>Positivo</t>
        </is>
      </c>
      <c r="F1839" s="111" t="n">
        <v>45291</v>
      </c>
      <c r="G1839" t="n">
        <v>2023</v>
      </c>
      <c r="H1839" t="inlineStr">
        <is>
          <t>Diciembre</t>
        </is>
      </c>
      <c r="I1839" t="inlineStr">
        <is>
          <t>2023-2</t>
        </is>
      </c>
      <c r="J1839" t="n">
        <v>100</v>
      </c>
      <c r="K1839" t="n">
        <v>100</v>
      </c>
      <c r="L1839" s="39">
        <f>IFERROR(IF(OR(J1839=0,K1839=""),"",IF(E1839="Positivo",MIN(MAX(K1839/J1839,0),1.3),MIN(MAX(J1839/K1839,0),1.3))),"") </f>
        <v/>
      </c>
      <c r="M1839" s="39">
        <f>IFERROR(IF(OR(J1839=0,K1839=""),"",IF(E1839="Positivo",MAX(K1839/J1839,0),MAX(J1839/K1839,0))),"") </f>
        <v/>
      </c>
      <c r="N1839" t="inlineStr">
        <is>
          <t>%</t>
        </is>
      </c>
      <c r="O1839" t="inlineStr">
        <is>
          <t>%</t>
        </is>
      </c>
      <c r="P1839" t="n">
        <v>0</v>
      </c>
      <c r="Q1839" t="n">
        <v>0</v>
      </c>
      <c r="R1839" t="inlineStr">
        <is>
          <t>375-2023-12-31</t>
        </is>
      </c>
    </row>
    <row r="1840">
      <c r="A1840" t="n">
        <v>375</v>
      </c>
      <c r="B1840" t="inlineStr">
        <is>
          <t>Disponibilidad de catálogo de asignaturas pregrado y posgrado presencial</t>
        </is>
      </c>
      <c r="C1840" t="inlineStr">
        <is>
          <t>Operaciones Académicas</t>
        </is>
      </c>
      <c r="D1840" t="inlineStr">
        <is>
          <t>Semestral</t>
        </is>
      </c>
      <c r="E1840" t="inlineStr">
        <is>
          <t>Positivo</t>
        </is>
      </c>
      <c r="F1840" s="111" t="n">
        <v>45473</v>
      </c>
      <c r="G1840" t="n">
        <v>2024</v>
      </c>
      <c r="H1840" t="inlineStr">
        <is>
          <t>Junio</t>
        </is>
      </c>
      <c r="I1840" t="inlineStr">
        <is>
          <t>2024-1</t>
        </is>
      </c>
      <c r="J1840" t="n">
        <v>100</v>
      </c>
      <c r="K1840" t="n">
        <v>100</v>
      </c>
      <c r="L1840" s="39">
        <f>IFERROR(IF(OR(J1840=0,K1840=""),"",IF(E1840="Positivo",MIN(MAX(K1840/J1840,0),1.3),MIN(MAX(J1840/K1840,0),1.3))),"") </f>
        <v/>
      </c>
      <c r="M1840" s="39">
        <f>IFERROR(IF(OR(J1840=0,K1840=""),"",IF(E1840="Positivo",MAX(K1840/J1840,0),MAX(J1840/K1840,0))),"") </f>
        <v/>
      </c>
      <c r="N1840" t="inlineStr">
        <is>
          <t>%</t>
        </is>
      </c>
      <c r="O1840" t="inlineStr">
        <is>
          <t>%</t>
        </is>
      </c>
      <c r="P1840" t="n">
        <v>0</v>
      </c>
      <c r="Q1840" t="n">
        <v>0</v>
      </c>
      <c r="R1840" t="inlineStr">
        <is>
          <t>375-2024-06-30</t>
        </is>
      </c>
    </row>
    <row r="1841">
      <c r="A1841" t="n">
        <v>375</v>
      </c>
      <c r="B1841" t="inlineStr">
        <is>
          <t>Disponibilidad de catálogo de asignaturas pregrado y posgrado presencial</t>
        </is>
      </c>
      <c r="C1841" t="inlineStr">
        <is>
          <t>Operaciones Académicas</t>
        </is>
      </c>
      <c r="D1841" t="inlineStr">
        <is>
          <t>Semestral</t>
        </is>
      </c>
      <c r="E1841" t="inlineStr">
        <is>
          <t>Positivo</t>
        </is>
      </c>
      <c r="F1841" s="111" t="n">
        <v>45657</v>
      </c>
      <c r="G1841" t="n">
        <v>2024</v>
      </c>
      <c r="H1841" t="inlineStr">
        <is>
          <t>Diciembre</t>
        </is>
      </c>
      <c r="I1841" t="inlineStr">
        <is>
          <t>2024-2</t>
        </is>
      </c>
      <c r="J1841" t="n">
        <v>100</v>
      </c>
      <c r="K1841" t="n">
        <v>100</v>
      </c>
      <c r="L1841" s="39">
        <f>IFERROR(IF(OR(J1841=0,K1841=""),"",IF(E1841="Positivo",MIN(MAX(K1841/J1841,0),1.3),MIN(MAX(J1841/K1841,0),1.3))),"") </f>
        <v/>
      </c>
      <c r="M1841" s="39">
        <f>IFERROR(IF(OR(J1841=0,K1841=""),"",IF(E1841="Positivo",MAX(K1841/J1841,0),MAX(J1841/K1841,0))),"") </f>
        <v/>
      </c>
      <c r="N1841" t="inlineStr">
        <is>
          <t>%</t>
        </is>
      </c>
      <c r="O1841" t="inlineStr">
        <is>
          <t>%</t>
        </is>
      </c>
      <c r="P1841" t="n">
        <v>0</v>
      </c>
      <c r="Q1841" t="n">
        <v>0</v>
      </c>
      <c r="R1841" t="inlineStr">
        <is>
          <t>375-2024-12-31</t>
        </is>
      </c>
    </row>
    <row r="1842">
      <c r="A1842" t="n">
        <v>375</v>
      </c>
      <c r="B1842" t="inlineStr">
        <is>
          <t>Disponibilidad de catálogo de asignaturas pregrado y posgrado presencial</t>
        </is>
      </c>
      <c r="C1842" t="inlineStr">
        <is>
          <t>Operaciones Académicas</t>
        </is>
      </c>
      <c r="D1842" t="inlineStr">
        <is>
          <t>Semestral</t>
        </is>
      </c>
      <c r="E1842" t="inlineStr">
        <is>
          <t>Positivo</t>
        </is>
      </c>
      <c r="F1842" s="111" t="n">
        <v>45838</v>
      </c>
      <c r="G1842" t="n">
        <v>2025</v>
      </c>
      <c r="H1842" t="inlineStr">
        <is>
          <t>Junio</t>
        </is>
      </c>
      <c r="I1842" t="inlineStr">
        <is>
          <t>2025-1</t>
        </is>
      </c>
      <c r="J1842" t="n">
        <v>100</v>
      </c>
      <c r="K1842" t="n">
        <v>100</v>
      </c>
      <c r="L1842" s="39">
        <f>IFERROR(IF(OR(J1842=0,K1842=""),"",IF(E1842="Positivo",MIN(MAX(K1842/J1842,0),1.3),MIN(MAX(J1842/K1842,0),1.3))),"") </f>
        <v/>
      </c>
      <c r="M1842" s="39">
        <f>IFERROR(IF(OR(J1842=0,K1842=""),"",IF(E1842="Positivo",MAX(K1842/J1842,0),MAX(J1842/K1842,0))),"") </f>
        <v/>
      </c>
      <c r="N1842" t="inlineStr">
        <is>
          <t>%</t>
        </is>
      </c>
      <c r="O1842" t="inlineStr">
        <is>
          <t>%</t>
        </is>
      </c>
      <c r="P1842" t="n">
        <v>0</v>
      </c>
      <c r="Q1842" t="n">
        <v>0</v>
      </c>
      <c r="R1842" t="inlineStr">
        <is>
          <t>375-2025-06-30</t>
        </is>
      </c>
    </row>
    <row r="1843">
      <c r="A1843" t="n">
        <v>375</v>
      </c>
      <c r="B1843" t="inlineStr">
        <is>
          <t>Disponibilidad de catálogo de asignaturas pregrado y posgrado presencial</t>
        </is>
      </c>
      <c r="C1843" t="inlineStr">
        <is>
          <t>Operaciones Académicas</t>
        </is>
      </c>
      <c r="D1843" t="inlineStr">
        <is>
          <t>Trimestral</t>
        </is>
      </c>
      <c r="E1843" t="inlineStr">
        <is>
          <t>Positivo</t>
        </is>
      </c>
      <c r="F1843" s="111" t="n">
        <v>46022</v>
      </c>
      <c r="G1843" t="n">
        <v>2025</v>
      </c>
      <c r="H1843" t="inlineStr">
        <is>
          <t>Diciembre</t>
        </is>
      </c>
      <c r="I1843" t="inlineStr">
        <is>
          <t>2025-2</t>
        </is>
      </c>
      <c r="J1843" t="n">
        <v>100</v>
      </c>
      <c r="K1843" t="n">
        <v>100</v>
      </c>
      <c r="L1843" s="39">
        <f>IFERROR(IF(OR(J1843=0,K1843=""),"",IF(E1843="Positivo",MIN(MAX(K1843/J1843,0),1.3),MIN(MAX(J1843/K1843,0),1.3))),"") </f>
        <v/>
      </c>
      <c r="M1843" s="39">
        <f>IFERROR(IF(OR(J1843=0,K1843=""),"",IF(E1843="Positivo",MAX(K1843/J1843,0),MAX(J1843/K1843,0))),"") </f>
        <v/>
      </c>
      <c r="N1843" t="inlineStr">
        <is>
          <t>%</t>
        </is>
      </c>
      <c r="O1843" t="inlineStr">
        <is>
          <t>%</t>
        </is>
      </c>
      <c r="P1843" t="n">
        <v>0</v>
      </c>
      <c r="Q1843" t="n">
        <v>0</v>
      </c>
      <c r="R1843" t="inlineStr">
        <is>
          <t>375-2025-12-31</t>
        </is>
      </c>
    </row>
    <row r="1844">
      <c r="A1844" t="n">
        <v>376</v>
      </c>
      <c r="B1844" t="inlineStr">
        <is>
          <t>Cumplimiento EBIDTA</t>
        </is>
      </c>
      <c r="C1844" t="inlineStr">
        <is>
          <t>Planeación Financiera</t>
        </is>
      </c>
      <c r="D1844" t="inlineStr">
        <is>
          <t>Semestral</t>
        </is>
      </c>
      <c r="E1844" t="inlineStr">
        <is>
          <t>Positivo</t>
        </is>
      </c>
      <c r="F1844" s="111" t="n">
        <v>45107</v>
      </c>
      <c r="G1844" t="n">
        <v>2023</v>
      </c>
      <c r="H1844" t="inlineStr">
        <is>
          <t>Junio</t>
        </is>
      </c>
      <c r="I1844" t="inlineStr">
        <is>
          <t>2023-1</t>
        </is>
      </c>
      <c r="J1844" t="n">
        <v>95</v>
      </c>
      <c r="K1844" t="n">
        <v>149.7223763395</v>
      </c>
      <c r="L1844" s="39">
        <f>IFERROR(IF(OR(J1844=0,K1844=""),"",IF(E1844="Positivo",MIN(MAX(K1844/J1844,0),1.3),MIN(MAX(J1844/K1844,0),1.3))),"") </f>
        <v/>
      </c>
      <c r="M1844" s="39">
        <f>IFERROR(IF(OR(J1844=0,K1844=""),"",IF(E1844="Positivo",MAX(K1844/J1844,0),MAX(J1844/K1844,0))),"") </f>
        <v/>
      </c>
      <c r="N1844" t="inlineStr">
        <is>
          <t>$</t>
        </is>
      </c>
      <c r="O1844" t="inlineStr">
        <is>
          <t>$</t>
        </is>
      </c>
      <c r="P1844" t="n">
        <v>0</v>
      </c>
      <c r="Q1844" t="n">
        <v>0</v>
      </c>
      <c r="R1844" t="inlineStr">
        <is>
          <t>376-2023-06-30</t>
        </is>
      </c>
    </row>
    <row r="1845">
      <c r="A1845" t="n">
        <v>376</v>
      </c>
      <c r="B1845" t="inlineStr">
        <is>
          <t>Cumplimiento EBIDTA</t>
        </is>
      </c>
      <c r="C1845" t="inlineStr">
        <is>
          <t>Planeación Financiera</t>
        </is>
      </c>
      <c r="D1845" t="inlineStr">
        <is>
          <t>Semestral</t>
        </is>
      </c>
      <c r="E1845" t="inlineStr">
        <is>
          <t>Positivo</t>
        </is>
      </c>
      <c r="F1845" s="111" t="n">
        <v>45291</v>
      </c>
      <c r="G1845" t="n">
        <v>2023</v>
      </c>
      <c r="H1845" t="inlineStr">
        <is>
          <t>Diciembre</t>
        </is>
      </c>
      <c r="I1845" t="inlineStr">
        <is>
          <t>2023-2</t>
        </is>
      </c>
      <c r="J1845" t="n">
        <v>95</v>
      </c>
      <c r="K1845" t="n">
        <v>101.26</v>
      </c>
      <c r="L1845" s="39">
        <f>IFERROR(IF(OR(J1845=0,K1845=""),"",IF(E1845="Positivo",MIN(MAX(K1845/J1845,0),1.3),MIN(MAX(J1845/K1845,0),1.3))),"") </f>
        <v/>
      </c>
      <c r="M1845" s="39">
        <f>IFERROR(IF(OR(J1845=0,K1845=""),"",IF(E1845="Positivo",MAX(K1845/J1845,0),MAX(J1845/K1845,0))),"") </f>
        <v/>
      </c>
      <c r="N1845" t="inlineStr">
        <is>
          <t>$</t>
        </is>
      </c>
      <c r="O1845" t="inlineStr">
        <is>
          <t>$</t>
        </is>
      </c>
      <c r="P1845" t="n">
        <v>0</v>
      </c>
      <c r="Q1845" t="n">
        <v>0</v>
      </c>
      <c r="R1845" t="inlineStr">
        <is>
          <t>376-2023-12-31</t>
        </is>
      </c>
    </row>
    <row r="1846">
      <c r="A1846" t="n">
        <v>376</v>
      </c>
      <c r="B1846" t="inlineStr">
        <is>
          <t>Cumplimiento EBIDTA</t>
        </is>
      </c>
      <c r="C1846" t="inlineStr">
        <is>
          <t>Planeación Financiera</t>
        </is>
      </c>
      <c r="D1846" t="inlineStr">
        <is>
          <t>Semestral</t>
        </is>
      </c>
      <c r="E1846" t="inlineStr">
        <is>
          <t>Positivo</t>
        </is>
      </c>
      <c r="F1846" s="111" t="n">
        <v>45473</v>
      </c>
      <c r="G1846" t="n">
        <v>2024</v>
      </c>
      <c r="H1846" t="inlineStr">
        <is>
          <t>Junio</t>
        </is>
      </c>
      <c r="I1846" t="inlineStr">
        <is>
          <t>2024-1</t>
        </is>
      </c>
      <c r="J1846" t="n">
        <v>95</v>
      </c>
      <c r="K1846" t="n">
        <v>104</v>
      </c>
      <c r="L1846" s="39">
        <f>IFERROR(IF(OR(J1846=0,K1846=""),"",IF(E1846="Positivo",MIN(MAX(K1846/J1846,0),1.3),MIN(MAX(J1846/K1846,0),1.3))),"") </f>
        <v/>
      </c>
      <c r="M1846" s="39">
        <f>IFERROR(IF(OR(J1846=0,K1846=""),"",IF(E1846="Positivo",MAX(K1846/J1846,0),MAX(J1846/K1846,0))),"") </f>
        <v/>
      </c>
      <c r="N1846" t="inlineStr">
        <is>
          <t>$</t>
        </is>
      </c>
      <c r="O1846" t="inlineStr">
        <is>
          <t>$</t>
        </is>
      </c>
      <c r="P1846" t="n">
        <v>0</v>
      </c>
      <c r="Q1846" t="n">
        <v>0</v>
      </c>
      <c r="R1846" t="inlineStr">
        <is>
          <t>376-2024-06-30</t>
        </is>
      </c>
    </row>
    <row r="1847">
      <c r="A1847" t="n">
        <v>376</v>
      </c>
      <c r="B1847" t="inlineStr">
        <is>
          <t>Cumplimiento EBITDA</t>
        </is>
      </c>
      <c r="C1847" t="inlineStr">
        <is>
          <t>Planeación Financiera</t>
        </is>
      </c>
      <c r="D1847" t="inlineStr">
        <is>
          <t>Semestral</t>
        </is>
      </c>
      <c r="E1847" t="inlineStr">
        <is>
          <t>Positivo</t>
        </is>
      </c>
      <c r="F1847" s="111" t="n">
        <v>45657</v>
      </c>
      <c r="G1847" t="n">
        <v>2024</v>
      </c>
      <c r="H1847" t="inlineStr">
        <is>
          <t>Diciembre</t>
        </is>
      </c>
      <c r="I1847" t="inlineStr">
        <is>
          <t>2024-2</t>
        </is>
      </c>
      <c r="J1847" t="n">
        <v>95</v>
      </c>
      <c r="K1847" t="n">
        <v>109.1</v>
      </c>
      <c r="L1847" s="39">
        <f>IFERROR(IF(OR(J1847=0,K1847=""),"",IF(E1847="Positivo",MIN(MAX(K1847/J1847,0),1.3),MIN(MAX(J1847/K1847,0),1.3))),"") </f>
        <v/>
      </c>
      <c r="M1847" s="39">
        <f>IFERROR(IF(OR(J1847=0,K1847=""),"",IF(E1847="Positivo",MAX(K1847/J1847,0),MAX(J1847/K1847,0))),"") </f>
        <v/>
      </c>
      <c r="N1847" t="inlineStr">
        <is>
          <t>$</t>
        </is>
      </c>
      <c r="O1847" t="inlineStr">
        <is>
          <t>$</t>
        </is>
      </c>
      <c r="P1847" t="n">
        <v>0</v>
      </c>
      <c r="Q1847" t="n">
        <v>0</v>
      </c>
      <c r="R1847" t="inlineStr">
        <is>
          <t>376-2024-12-31</t>
        </is>
      </c>
    </row>
    <row r="1848">
      <c r="A1848" t="n">
        <v>376</v>
      </c>
      <c r="B1848" t="inlineStr">
        <is>
          <t>Cumplimiento EBITDA</t>
        </is>
      </c>
      <c r="C1848" t="inlineStr">
        <is>
          <t>Planeación Financiera</t>
        </is>
      </c>
      <c r="D1848" t="inlineStr">
        <is>
          <t>Semestral</t>
        </is>
      </c>
      <c r="E1848" t="inlineStr">
        <is>
          <t>Positivo</t>
        </is>
      </c>
      <c r="F1848" s="111" t="n">
        <v>45838</v>
      </c>
      <c r="G1848" t="n">
        <v>2025</v>
      </c>
      <c r="H1848" t="inlineStr">
        <is>
          <t>Junio</t>
        </is>
      </c>
      <c r="I1848" t="inlineStr">
        <is>
          <t>2025-1</t>
        </is>
      </c>
      <c r="J1848" t="n">
        <v>95</v>
      </c>
      <c r="K1848" t="n">
        <v>117.87</v>
      </c>
      <c r="L1848" s="39">
        <f>IFERROR(IF(OR(J1848=0,K1848=""),"",IF(E1848="Positivo",MIN(MAX(K1848/J1848,0),1.3),MIN(MAX(J1848/K1848,0),1.3))),"") </f>
        <v/>
      </c>
      <c r="M1848" s="39">
        <f>IFERROR(IF(OR(J1848=0,K1848=""),"",IF(E1848="Positivo",MAX(K1848/J1848,0),MAX(J1848/K1848,0))),"") </f>
        <v/>
      </c>
      <c r="N1848" t="inlineStr">
        <is>
          <t>$</t>
        </is>
      </c>
      <c r="O1848" t="inlineStr">
        <is>
          <t>$</t>
        </is>
      </c>
      <c r="P1848" t="n">
        <v>0</v>
      </c>
      <c r="Q1848" t="n">
        <v>0</v>
      </c>
      <c r="R1848" t="inlineStr">
        <is>
          <t>376-2025-06-30</t>
        </is>
      </c>
    </row>
    <row r="1849">
      <c r="A1849" t="n">
        <v>376</v>
      </c>
      <c r="B1849" t="inlineStr">
        <is>
          <t>Cumplimiento EBITDA</t>
        </is>
      </c>
      <c r="C1849" t="inlineStr">
        <is>
          <t>Planeación Financiera</t>
        </is>
      </c>
      <c r="D1849" t="inlineStr">
        <is>
          <t>Trimestral</t>
        </is>
      </c>
      <c r="E1849" t="inlineStr">
        <is>
          <t>Positivo</t>
        </is>
      </c>
      <c r="F1849" s="111" t="n">
        <v>46022</v>
      </c>
      <c r="G1849" t="n">
        <v>2025</v>
      </c>
      <c r="H1849" t="inlineStr">
        <is>
          <t>Diciembre</t>
        </is>
      </c>
      <c r="I1849" t="inlineStr">
        <is>
          <t>2025-2</t>
        </is>
      </c>
      <c r="J1849" t="n">
        <v>95</v>
      </c>
      <c r="K1849" t="n">
        <v>117.51</v>
      </c>
      <c r="L1849" s="39">
        <f>IFERROR(IF(OR(J1849=0,K1849=""),"",IF(E1849="Positivo",MIN(MAX(K1849/J1849,0),1.3),MIN(MAX(J1849/K1849,0),1.3))),"") </f>
        <v/>
      </c>
      <c r="M1849" s="39">
        <f>IFERROR(IF(OR(J1849=0,K1849=""),"",IF(E1849="Positivo",MAX(K1849/J1849,0),MAX(J1849/K1849,0))),"") </f>
        <v/>
      </c>
      <c r="N1849" t="inlineStr">
        <is>
          <t>$</t>
        </is>
      </c>
      <c r="O1849" t="inlineStr">
        <is>
          <t>$</t>
        </is>
      </c>
      <c r="P1849" t="n">
        <v>0</v>
      </c>
      <c r="Q1849" t="n">
        <v>0</v>
      </c>
      <c r="R1849" t="inlineStr">
        <is>
          <t>376-2025-12-31</t>
        </is>
      </c>
    </row>
    <row r="1850">
      <c r="A1850" t="n">
        <v>377</v>
      </c>
      <c r="B1850" t="inlineStr">
        <is>
          <t>CAPEX</t>
        </is>
      </c>
      <c r="C1850" t="inlineStr">
        <is>
          <t>Planeación Financiera</t>
        </is>
      </c>
      <c r="D1850" t="inlineStr">
        <is>
          <t>Semestral</t>
        </is>
      </c>
      <c r="E1850" t="inlineStr">
        <is>
          <t>Negativo</t>
        </is>
      </c>
      <c r="F1850" s="111" t="n">
        <v>45107</v>
      </c>
      <c r="G1850" t="n">
        <v>2023</v>
      </c>
      <c r="H1850" t="inlineStr">
        <is>
          <t>Junio</t>
        </is>
      </c>
      <c r="I1850" t="inlineStr">
        <is>
          <t>2023-1</t>
        </is>
      </c>
      <c r="J1850" t="n">
        <v>100</v>
      </c>
      <c r="K1850" t="n">
        <v>22.314798348502</v>
      </c>
      <c r="L1850" s="39">
        <f>IFERROR(IF(OR(J1850=0,K1850=""),"",IF(E1850="Positivo",MIN(MAX(K1850/J1850,0),1.3),MIN(MAX(J1850/K1850,0),1.3))),"") </f>
        <v/>
      </c>
      <c r="M1850" s="39">
        <f>IFERROR(IF(OR(J1850=0,K1850=""),"",IF(E1850="Positivo",MAX(K1850/J1850,0),MAX(J1850/K1850,0))),"") </f>
        <v/>
      </c>
      <c r="N1850" t="inlineStr">
        <is>
          <t>$</t>
        </is>
      </c>
      <c r="O1850" t="inlineStr">
        <is>
          <t>$</t>
        </is>
      </c>
      <c r="P1850" t="n">
        <v>0</v>
      </c>
      <c r="Q1850" t="n">
        <v>0</v>
      </c>
      <c r="R1850" t="inlineStr">
        <is>
          <t>377-2023-06-30</t>
        </is>
      </c>
    </row>
    <row r="1851">
      <c r="A1851" t="n">
        <v>377</v>
      </c>
      <c r="B1851" t="inlineStr">
        <is>
          <t>CAPEX</t>
        </is>
      </c>
      <c r="C1851" t="inlineStr">
        <is>
          <t>Planeación Financiera</t>
        </is>
      </c>
      <c r="D1851" t="inlineStr">
        <is>
          <t>Semestral</t>
        </is>
      </c>
      <c r="E1851" t="inlineStr">
        <is>
          <t>Negativo</t>
        </is>
      </c>
      <c r="F1851" s="111" t="n">
        <v>45291</v>
      </c>
      <c r="G1851" t="n">
        <v>2023</v>
      </c>
      <c r="H1851" t="inlineStr">
        <is>
          <t>Diciembre</t>
        </is>
      </c>
      <c r="I1851" t="inlineStr">
        <is>
          <t>2023-2</t>
        </is>
      </c>
      <c r="J1851" t="n">
        <v>100</v>
      </c>
      <c r="K1851" t="n">
        <v>60.77</v>
      </c>
      <c r="L1851" s="39">
        <f>IFERROR(IF(OR(J1851=0,K1851=""),"",IF(E1851="Positivo",MIN(MAX(K1851/J1851,0),1.3),MIN(MAX(J1851/K1851,0),1.3))),"") </f>
        <v/>
      </c>
      <c r="M1851" s="39">
        <f>IFERROR(IF(OR(J1851=0,K1851=""),"",IF(E1851="Positivo",MAX(K1851/J1851,0),MAX(J1851/K1851,0))),"") </f>
        <v/>
      </c>
      <c r="N1851" t="inlineStr">
        <is>
          <t>$</t>
        </is>
      </c>
      <c r="O1851" t="inlineStr">
        <is>
          <t>$</t>
        </is>
      </c>
      <c r="P1851" t="n">
        <v>0</v>
      </c>
      <c r="Q1851" t="n">
        <v>0</v>
      </c>
      <c r="R1851" t="inlineStr">
        <is>
          <t>377-2023-12-31</t>
        </is>
      </c>
    </row>
    <row r="1852">
      <c r="A1852" t="n">
        <v>377</v>
      </c>
      <c r="B1852" t="inlineStr">
        <is>
          <t>CAPEX</t>
        </is>
      </c>
      <c r="C1852" t="inlineStr">
        <is>
          <t>Planeación Financiera</t>
        </is>
      </c>
      <c r="D1852" t="inlineStr">
        <is>
          <t>Semestral</t>
        </is>
      </c>
      <c r="E1852" t="inlineStr">
        <is>
          <t>Negativo</t>
        </is>
      </c>
      <c r="F1852" s="111" t="n">
        <v>45473</v>
      </c>
      <c r="G1852" t="n">
        <v>2024</v>
      </c>
      <c r="H1852" t="inlineStr">
        <is>
          <t>Junio</t>
        </is>
      </c>
      <c r="I1852" t="inlineStr">
        <is>
          <t>2024-1</t>
        </is>
      </c>
      <c r="J1852" t="n">
        <v>100</v>
      </c>
      <c r="K1852" t="n">
        <v>48.24</v>
      </c>
      <c r="L1852" s="39">
        <f>IFERROR(IF(OR(J1852=0,K1852=""),"",IF(E1852="Positivo",MIN(MAX(K1852/J1852,0),1.3),MIN(MAX(J1852/K1852,0),1.3))),"") </f>
        <v/>
      </c>
      <c r="M1852" s="39">
        <f>IFERROR(IF(OR(J1852=0,K1852=""),"",IF(E1852="Positivo",MAX(K1852/J1852,0),MAX(J1852/K1852,0))),"") </f>
        <v/>
      </c>
      <c r="N1852" t="inlineStr">
        <is>
          <t>$</t>
        </is>
      </c>
      <c r="O1852" t="inlineStr">
        <is>
          <t>$</t>
        </is>
      </c>
      <c r="P1852" t="n">
        <v>0</v>
      </c>
      <c r="Q1852" t="n">
        <v>0</v>
      </c>
      <c r="R1852" t="inlineStr">
        <is>
          <t>377-2024-06-30</t>
        </is>
      </c>
    </row>
    <row r="1853">
      <c r="A1853" t="n">
        <v>377</v>
      </c>
      <c r="B1853" t="inlineStr">
        <is>
          <t>CAPEX</t>
        </is>
      </c>
      <c r="C1853" t="inlineStr">
        <is>
          <t>Planeación Financiera</t>
        </is>
      </c>
      <c r="D1853" t="inlineStr">
        <is>
          <t>Semestral</t>
        </is>
      </c>
      <c r="E1853" t="inlineStr">
        <is>
          <t>Negativo</t>
        </is>
      </c>
      <c r="F1853" s="111" t="n">
        <v>45657</v>
      </c>
      <c r="G1853" t="n">
        <v>2024</v>
      </c>
      <c r="H1853" t="inlineStr">
        <is>
          <t>Diciembre</t>
        </is>
      </c>
      <c r="I1853" t="inlineStr">
        <is>
          <t>2024-2</t>
        </is>
      </c>
      <c r="J1853" t="n">
        <v>100</v>
      </c>
      <c r="K1853" t="n">
        <v>125.01</v>
      </c>
      <c r="L1853" s="39">
        <f>IFERROR(IF(OR(J1853=0,K1853=""),"",IF(E1853="Positivo",MIN(MAX(K1853/J1853,0),1.3),MIN(MAX(J1853/K1853,0),1.3))),"") </f>
        <v/>
      </c>
      <c r="M1853" s="39">
        <f>IFERROR(IF(OR(J1853=0,K1853=""),"",IF(E1853="Positivo",MAX(K1853/J1853,0),MAX(J1853/K1853,0))),"") </f>
        <v/>
      </c>
      <c r="N1853" t="inlineStr">
        <is>
          <t>$</t>
        </is>
      </c>
      <c r="O1853" t="inlineStr">
        <is>
          <t>$</t>
        </is>
      </c>
      <c r="P1853" t="n">
        <v>0</v>
      </c>
      <c r="Q1853" t="n">
        <v>0</v>
      </c>
      <c r="R1853" t="inlineStr">
        <is>
          <t>377-2024-12-31</t>
        </is>
      </c>
    </row>
    <row r="1854">
      <c r="A1854" t="n">
        <v>377</v>
      </c>
      <c r="B1854" t="inlineStr">
        <is>
          <t>CAPEX</t>
        </is>
      </c>
      <c r="C1854" t="inlineStr">
        <is>
          <t>Planeación Financiera</t>
        </is>
      </c>
      <c r="D1854" t="inlineStr">
        <is>
          <t>Anual</t>
        </is>
      </c>
      <c r="E1854" t="inlineStr">
        <is>
          <t>Positivo</t>
        </is>
      </c>
      <c r="F1854" s="111" t="n">
        <v>46022</v>
      </c>
      <c r="G1854" t="n">
        <v>2025</v>
      </c>
      <c r="H1854" t="inlineStr">
        <is>
          <t>Diciembre</t>
        </is>
      </c>
      <c r="I1854" t="inlineStr">
        <is>
          <t>2025-2</t>
        </is>
      </c>
      <c r="J1854" t="n">
        <v>100</v>
      </c>
      <c r="K1854" t="n">
        <v>107.11</v>
      </c>
      <c r="L1854" s="39">
        <f>IFERROR(IF(OR(J1854=0,K1854=""),"",IF(E1854="Positivo",MIN(MAX(K1854/J1854,0),1.3),MIN(MAX(J1854/K1854,0),1.3))),"") </f>
        <v/>
      </c>
      <c r="M1854" s="39">
        <f>IFERROR(IF(OR(J1854=0,K1854=""),"",IF(E1854="Positivo",MAX(K1854/J1854,0),MAX(J1854/K1854,0))),"") </f>
        <v/>
      </c>
      <c r="N1854" t="inlineStr">
        <is>
          <t>$</t>
        </is>
      </c>
      <c r="O1854" t="inlineStr">
        <is>
          <t>$</t>
        </is>
      </c>
      <c r="P1854" t="n">
        <v>0</v>
      </c>
      <c r="Q1854" t="n">
        <v>0</v>
      </c>
      <c r="R1854" t="inlineStr">
        <is>
          <t>377-2025-12-31</t>
        </is>
      </c>
    </row>
    <row r="1855">
      <c r="A1855" t="n">
        <v>378</v>
      </c>
      <c r="B1855" t="inlineStr">
        <is>
          <t>Proyectos tecnológicos</t>
        </is>
      </c>
      <c r="C1855" t="inlineStr">
        <is>
          <t>Gestión de la tecnología e innovación digital</t>
        </is>
      </c>
      <c r="D1855" t="inlineStr">
        <is>
          <t>Mensual</t>
        </is>
      </c>
      <c r="E1855" t="inlineStr">
        <is>
          <t>Positivo</t>
        </is>
      </c>
      <c r="F1855" s="111" t="n">
        <v>44957</v>
      </c>
      <c r="G1855" t="n">
        <v>2023</v>
      </c>
      <c r="H1855" t="inlineStr">
        <is>
          <t>Enero</t>
        </is>
      </c>
      <c r="I1855" t="inlineStr">
        <is>
          <t>2023-1</t>
        </is>
      </c>
      <c r="J1855" t="n">
        <v>92</v>
      </c>
      <c r="K1855" t="n">
        <v>100</v>
      </c>
      <c r="L1855" s="39">
        <f>IFERROR(IF(OR(J1855=0,K1855=""),"",IF(E1855="Positivo",MIN(MAX(K1855/J1855,0),1.3),MIN(MAX(J1855/K1855,0),1.3))),"") </f>
        <v/>
      </c>
      <c r="M1855" s="39">
        <f>IFERROR(IF(OR(J1855=0,K1855=""),"",IF(E1855="Positivo",MAX(K1855/J1855,0),MAX(J1855/K1855,0))),"") </f>
        <v/>
      </c>
      <c r="N1855" t="inlineStr">
        <is>
          <t>%</t>
        </is>
      </c>
      <c r="O1855" t="inlineStr">
        <is>
          <t>%</t>
        </is>
      </c>
      <c r="P1855" t="n">
        <v>0</v>
      </c>
      <c r="Q1855" t="n">
        <v>0</v>
      </c>
      <c r="R1855" t="inlineStr">
        <is>
          <t>378-2023-01-31</t>
        </is>
      </c>
    </row>
    <row r="1856">
      <c r="A1856" t="n">
        <v>378</v>
      </c>
      <c r="B1856" t="inlineStr">
        <is>
          <t>Proyectos tecnológicos</t>
        </is>
      </c>
      <c r="C1856" t="inlineStr">
        <is>
          <t>Gestión de la tecnología e innovación digital</t>
        </is>
      </c>
      <c r="D1856" t="inlineStr">
        <is>
          <t>Mensual</t>
        </is>
      </c>
      <c r="E1856" t="inlineStr">
        <is>
          <t>Positivo</t>
        </is>
      </c>
      <c r="F1856" s="111" t="n">
        <v>44985</v>
      </c>
      <c r="G1856" t="n">
        <v>2023</v>
      </c>
      <c r="H1856" t="inlineStr">
        <is>
          <t>Febrero</t>
        </is>
      </c>
      <c r="I1856" t="inlineStr">
        <is>
          <t>2023-1</t>
        </is>
      </c>
      <c r="J1856" t="n">
        <v>92</v>
      </c>
      <c r="K1856" t="n">
        <v>100</v>
      </c>
      <c r="L1856" s="39">
        <f>IFERROR(IF(OR(J1856=0,K1856=""),"",IF(E1856="Positivo",MIN(MAX(K1856/J1856,0),1.3),MIN(MAX(J1856/K1856,0),1.3))),"") </f>
        <v/>
      </c>
      <c r="M1856" s="39">
        <f>IFERROR(IF(OR(J1856=0,K1856=""),"",IF(E1856="Positivo",MAX(K1856/J1856,0),MAX(J1856/K1856,0))),"") </f>
        <v/>
      </c>
      <c r="N1856" t="inlineStr">
        <is>
          <t>%</t>
        </is>
      </c>
      <c r="O1856" t="inlineStr">
        <is>
          <t>%</t>
        </is>
      </c>
      <c r="P1856" t="n">
        <v>0</v>
      </c>
      <c r="Q1856" t="n">
        <v>0</v>
      </c>
      <c r="R1856" t="inlineStr">
        <is>
          <t>378-2023-02-28</t>
        </is>
      </c>
    </row>
    <row r="1857">
      <c r="A1857" t="n">
        <v>378</v>
      </c>
      <c r="B1857" t="inlineStr">
        <is>
          <t>Proyectos tecnológicos</t>
        </is>
      </c>
      <c r="C1857" t="inlineStr">
        <is>
          <t>Gestión de la tecnología e innovación digital</t>
        </is>
      </c>
      <c r="D1857" t="inlineStr">
        <is>
          <t>Mensual</t>
        </is>
      </c>
      <c r="E1857" t="inlineStr">
        <is>
          <t>Positivo</t>
        </is>
      </c>
      <c r="F1857" s="111" t="n">
        <v>45016</v>
      </c>
      <c r="G1857" t="n">
        <v>2023</v>
      </c>
      <c r="H1857" t="inlineStr">
        <is>
          <t>Marzo</t>
        </is>
      </c>
      <c r="I1857" t="inlineStr">
        <is>
          <t>2023-1</t>
        </is>
      </c>
      <c r="J1857" t="n">
        <v>92</v>
      </c>
      <c r="K1857" t="n">
        <v>100</v>
      </c>
      <c r="L1857" s="39">
        <f>IFERROR(IF(OR(J1857=0,K1857=""),"",IF(E1857="Positivo",MIN(MAX(K1857/J1857,0),1.3),MIN(MAX(J1857/K1857,0),1.3))),"") </f>
        <v/>
      </c>
      <c r="M1857" s="39">
        <f>IFERROR(IF(OR(J1857=0,K1857=""),"",IF(E1857="Positivo",MAX(K1857/J1857,0),MAX(J1857/K1857,0))),"") </f>
        <v/>
      </c>
      <c r="N1857" t="inlineStr">
        <is>
          <t>%</t>
        </is>
      </c>
      <c r="O1857" t="inlineStr">
        <is>
          <t>%</t>
        </is>
      </c>
      <c r="P1857" t="n">
        <v>0</v>
      </c>
      <c r="Q1857" t="n">
        <v>0</v>
      </c>
      <c r="R1857" t="inlineStr">
        <is>
          <t>378-2023-03-31</t>
        </is>
      </c>
    </row>
    <row r="1858">
      <c r="A1858" t="n">
        <v>378</v>
      </c>
      <c r="B1858" t="inlineStr">
        <is>
          <t>Proyectos tecnológicos</t>
        </is>
      </c>
      <c r="C1858" t="inlineStr">
        <is>
          <t>Gestión de la tecnología e innovación digital</t>
        </is>
      </c>
      <c r="D1858" t="inlineStr">
        <is>
          <t>Mensual</t>
        </is>
      </c>
      <c r="E1858" t="inlineStr">
        <is>
          <t>Positivo</t>
        </is>
      </c>
      <c r="F1858" s="111" t="n">
        <v>45046</v>
      </c>
      <c r="G1858" t="n">
        <v>2023</v>
      </c>
      <c r="H1858" t="inlineStr">
        <is>
          <t>Abril</t>
        </is>
      </c>
      <c r="I1858" t="inlineStr">
        <is>
          <t>2023-1</t>
        </is>
      </c>
      <c r="J1858" t="n">
        <v>92</v>
      </c>
      <c r="K1858" t="n">
        <v>90.5</v>
      </c>
      <c r="L1858" s="39">
        <f>IFERROR(IF(OR(J1858=0,K1858=""),"",IF(E1858="Positivo",MIN(MAX(K1858/J1858,0),1.3),MIN(MAX(J1858/K1858,0),1.3))),"") </f>
        <v/>
      </c>
      <c r="M1858" s="39">
        <f>IFERROR(IF(OR(J1858=0,K1858=""),"",IF(E1858="Positivo",MAX(K1858/J1858,0),MAX(J1858/K1858,0))),"") </f>
        <v/>
      </c>
      <c r="N1858" t="inlineStr">
        <is>
          <t>%</t>
        </is>
      </c>
      <c r="O1858" t="inlineStr">
        <is>
          <t>%</t>
        </is>
      </c>
      <c r="P1858" t="n">
        <v>1</v>
      </c>
      <c r="Q1858" t="n">
        <v>1</v>
      </c>
      <c r="R1858" t="inlineStr">
        <is>
          <t>378-2023-04-30</t>
        </is>
      </c>
    </row>
    <row r="1859">
      <c r="A1859" t="n">
        <v>378</v>
      </c>
      <c r="B1859" t="inlineStr">
        <is>
          <t>Proyectos tecnológicos</t>
        </is>
      </c>
      <c r="C1859" t="inlineStr">
        <is>
          <t>Gestión de la tecnología e innovación digital</t>
        </is>
      </c>
      <c r="D1859" t="inlineStr">
        <is>
          <t>Mensual</t>
        </is>
      </c>
      <c r="E1859" t="inlineStr">
        <is>
          <t>Positivo</t>
        </is>
      </c>
      <c r="F1859" s="111" t="n">
        <v>45077</v>
      </c>
      <c r="G1859" t="n">
        <v>2023</v>
      </c>
      <c r="H1859" t="inlineStr">
        <is>
          <t>Mayo</t>
        </is>
      </c>
      <c r="I1859" t="inlineStr">
        <is>
          <t>2023-1</t>
        </is>
      </c>
      <c r="J1859" t="n">
        <v>92</v>
      </c>
      <c r="K1859" t="n">
        <v>83.5</v>
      </c>
      <c r="L1859" s="39">
        <f>IFERROR(IF(OR(J1859=0,K1859=""),"",IF(E1859="Positivo",MIN(MAX(K1859/J1859,0),1.3),MIN(MAX(J1859/K1859,0),1.3))),"") </f>
        <v/>
      </c>
      <c r="M1859" s="39">
        <f>IFERROR(IF(OR(J1859=0,K1859=""),"",IF(E1859="Positivo",MAX(K1859/J1859,0),MAX(J1859/K1859,0))),"") </f>
        <v/>
      </c>
      <c r="N1859" t="inlineStr">
        <is>
          <t>%</t>
        </is>
      </c>
      <c r="O1859" t="inlineStr">
        <is>
          <t>%</t>
        </is>
      </c>
      <c r="P1859" t="n">
        <v>1</v>
      </c>
      <c r="Q1859" t="n">
        <v>1</v>
      </c>
      <c r="R1859" t="inlineStr">
        <is>
          <t>378-2023-05-31</t>
        </is>
      </c>
    </row>
    <row r="1860">
      <c r="A1860" t="n">
        <v>378</v>
      </c>
      <c r="B1860" t="inlineStr">
        <is>
          <t>Proyectos tecnológicos</t>
        </is>
      </c>
      <c r="C1860" t="inlineStr">
        <is>
          <t>Gestión de la tecnología e innovación digital</t>
        </is>
      </c>
      <c r="D1860" t="inlineStr">
        <is>
          <t>Mensual</t>
        </is>
      </c>
      <c r="E1860" t="inlineStr">
        <is>
          <t>Positivo</t>
        </is>
      </c>
      <c r="F1860" s="111" t="n">
        <v>45107</v>
      </c>
      <c r="G1860" t="n">
        <v>2023</v>
      </c>
      <c r="H1860" t="inlineStr">
        <is>
          <t>Junio</t>
        </is>
      </c>
      <c r="I1860" t="inlineStr">
        <is>
          <t>2023-1</t>
        </is>
      </c>
      <c r="J1860" t="n">
        <v>92</v>
      </c>
      <c r="K1860" t="n">
        <v>89</v>
      </c>
      <c r="L1860" s="39">
        <f>IFERROR(IF(OR(J1860=0,K1860=""),"",IF(E1860="Positivo",MIN(MAX(K1860/J1860,0),1.3),MIN(MAX(J1860/K1860,0),1.3))),"") </f>
        <v/>
      </c>
      <c r="M1860" s="39">
        <f>IFERROR(IF(OR(J1860=0,K1860=""),"",IF(E1860="Positivo",MAX(K1860/J1860,0),MAX(J1860/K1860,0))),"") </f>
        <v/>
      </c>
      <c r="N1860" t="inlineStr">
        <is>
          <t>%</t>
        </is>
      </c>
      <c r="O1860" t="inlineStr">
        <is>
          <t>%</t>
        </is>
      </c>
      <c r="P1860" t="n">
        <v>0</v>
      </c>
      <c r="Q1860" t="n">
        <v>0</v>
      </c>
      <c r="R1860" t="inlineStr">
        <is>
          <t>378-2023-06-30</t>
        </is>
      </c>
    </row>
    <row r="1861">
      <c r="A1861" t="n">
        <v>378</v>
      </c>
      <c r="B1861" t="inlineStr">
        <is>
          <t>Proyectos tecnológicos</t>
        </is>
      </c>
      <c r="C1861" t="inlineStr">
        <is>
          <t>Gestión de la tecnología e innovación digital</t>
        </is>
      </c>
      <c r="D1861" t="inlineStr">
        <is>
          <t>Mensual</t>
        </is>
      </c>
      <c r="E1861" t="inlineStr">
        <is>
          <t>Positivo</t>
        </is>
      </c>
      <c r="F1861" s="111" t="n">
        <v>45138</v>
      </c>
      <c r="G1861" t="n">
        <v>2023</v>
      </c>
      <c r="H1861" t="inlineStr">
        <is>
          <t>Julio</t>
        </is>
      </c>
      <c r="I1861" t="inlineStr">
        <is>
          <t>2023-2</t>
        </is>
      </c>
      <c r="J1861" t="n">
        <v>92</v>
      </c>
      <c r="K1861" t="n">
        <v>94</v>
      </c>
      <c r="L1861" s="39">
        <f>IFERROR(IF(OR(J1861=0,K1861=""),"",IF(E1861="Positivo",MIN(MAX(K1861/J1861,0),1.3),MIN(MAX(J1861/K1861,0),1.3))),"") </f>
        <v/>
      </c>
      <c r="M1861" s="39">
        <f>IFERROR(IF(OR(J1861=0,K1861=""),"",IF(E1861="Positivo",MAX(K1861/J1861,0),MAX(J1861/K1861,0))),"") </f>
        <v/>
      </c>
      <c r="N1861" t="inlineStr">
        <is>
          <t>%</t>
        </is>
      </c>
      <c r="O1861" t="inlineStr">
        <is>
          <t>%</t>
        </is>
      </c>
      <c r="P1861" t="n">
        <v>0</v>
      </c>
      <c r="Q1861" t="n">
        <v>0</v>
      </c>
      <c r="R1861" t="inlineStr">
        <is>
          <t>378-2023-07-31</t>
        </is>
      </c>
    </row>
    <row r="1862">
      <c r="A1862" t="n">
        <v>378</v>
      </c>
      <c r="B1862" t="inlineStr">
        <is>
          <t>Proyectos tecnológicos</t>
        </is>
      </c>
      <c r="C1862" t="inlineStr">
        <is>
          <t>Gestión de la tecnología e innovación digital</t>
        </is>
      </c>
      <c r="D1862" t="inlineStr">
        <is>
          <t>Mensual</t>
        </is>
      </c>
      <c r="E1862" t="inlineStr">
        <is>
          <t>Positivo</t>
        </is>
      </c>
      <c r="F1862" s="111" t="n">
        <v>45169</v>
      </c>
      <c r="G1862" t="n">
        <v>2023</v>
      </c>
      <c r="H1862" t="inlineStr">
        <is>
          <t>Agosto</t>
        </is>
      </c>
      <c r="I1862" t="inlineStr">
        <is>
          <t>2023-2</t>
        </is>
      </c>
      <c r="J1862" t="n">
        <v>92</v>
      </c>
      <c r="K1862" t="n">
        <v>97.5</v>
      </c>
      <c r="L1862" s="39">
        <f>IFERROR(IF(OR(J1862=0,K1862=""),"",IF(E1862="Positivo",MIN(MAX(K1862/J1862,0),1.3),MIN(MAX(J1862/K1862,0),1.3))),"") </f>
        <v/>
      </c>
      <c r="M1862" s="39">
        <f>IFERROR(IF(OR(J1862=0,K1862=""),"",IF(E1862="Positivo",MAX(K1862/J1862,0),MAX(J1862/K1862,0))),"") </f>
        <v/>
      </c>
      <c r="N1862" t="inlineStr">
        <is>
          <t>%</t>
        </is>
      </c>
      <c r="O1862" t="inlineStr">
        <is>
          <t>%</t>
        </is>
      </c>
      <c r="P1862" t="n">
        <v>1</v>
      </c>
      <c r="Q1862" t="n">
        <v>1</v>
      </c>
      <c r="R1862" t="inlineStr">
        <is>
          <t>378-2023-08-31</t>
        </is>
      </c>
    </row>
    <row r="1863">
      <c r="A1863" t="n">
        <v>378</v>
      </c>
      <c r="B1863" t="inlineStr">
        <is>
          <t>Proyectos tecnológicos</t>
        </is>
      </c>
      <c r="C1863" t="inlineStr">
        <is>
          <t>Gestión de la tecnología e innovación digital</t>
        </is>
      </c>
      <c r="D1863" t="inlineStr">
        <is>
          <t>Mensual</t>
        </is>
      </c>
      <c r="E1863" t="inlineStr">
        <is>
          <t>Positivo</t>
        </is>
      </c>
      <c r="F1863" s="111" t="n">
        <v>45199</v>
      </c>
      <c r="G1863" t="n">
        <v>2023</v>
      </c>
      <c r="H1863" t="inlineStr">
        <is>
          <t>Septiembre</t>
        </is>
      </c>
      <c r="I1863" t="inlineStr">
        <is>
          <t>2023-2</t>
        </is>
      </c>
      <c r="J1863" t="n">
        <v>92</v>
      </c>
      <c r="K1863" t="n">
        <v>99</v>
      </c>
      <c r="L1863" s="39">
        <f>IFERROR(IF(OR(J1863=0,K1863=""),"",IF(E1863="Positivo",MIN(MAX(K1863/J1863,0),1.3),MIN(MAX(J1863/K1863,0),1.3))),"") </f>
        <v/>
      </c>
      <c r="M1863" s="39">
        <f>IFERROR(IF(OR(J1863=0,K1863=""),"",IF(E1863="Positivo",MAX(K1863/J1863,0),MAX(J1863/K1863,0))),"") </f>
        <v/>
      </c>
      <c r="N1863" t="inlineStr">
        <is>
          <t>%</t>
        </is>
      </c>
      <c r="O1863" t="inlineStr">
        <is>
          <t>%</t>
        </is>
      </c>
      <c r="P1863" t="n">
        <v>0</v>
      </c>
      <c r="Q1863" t="n">
        <v>0</v>
      </c>
      <c r="R1863" t="inlineStr">
        <is>
          <t>378-2023-09-30</t>
        </is>
      </c>
    </row>
    <row r="1864">
      <c r="A1864" t="n">
        <v>378</v>
      </c>
      <c r="B1864" t="inlineStr">
        <is>
          <t>Proyectos tecnológicos</t>
        </is>
      </c>
      <c r="C1864" t="inlineStr">
        <is>
          <t>Gestión de la tecnología e innovación digital</t>
        </is>
      </c>
      <c r="D1864" t="inlineStr">
        <is>
          <t>Mensual</t>
        </is>
      </c>
      <c r="E1864" t="inlineStr">
        <is>
          <t>Positivo</t>
        </is>
      </c>
      <c r="F1864" s="111" t="n">
        <v>45230</v>
      </c>
      <c r="G1864" t="n">
        <v>2023</v>
      </c>
      <c r="H1864" t="inlineStr">
        <is>
          <t>Octubre</t>
        </is>
      </c>
      <c r="I1864" t="inlineStr">
        <is>
          <t>2023-2</t>
        </is>
      </c>
      <c r="J1864" t="n">
        <v>92</v>
      </c>
      <c r="K1864" t="n">
        <v>96</v>
      </c>
      <c r="L1864" s="39">
        <f>IFERROR(IF(OR(J1864=0,K1864=""),"",IF(E1864="Positivo",MIN(MAX(K1864/J1864,0),1.3),MIN(MAX(J1864/K1864,0),1.3))),"") </f>
        <v/>
      </c>
      <c r="M1864" s="39">
        <f>IFERROR(IF(OR(J1864=0,K1864=""),"",IF(E1864="Positivo",MAX(K1864/J1864,0),MAX(J1864/K1864,0))),"") </f>
        <v/>
      </c>
      <c r="N1864" t="inlineStr">
        <is>
          <t>%</t>
        </is>
      </c>
      <c r="O1864" t="inlineStr">
        <is>
          <t>%</t>
        </is>
      </c>
      <c r="P1864" t="n">
        <v>0</v>
      </c>
      <c r="Q1864" t="n">
        <v>0</v>
      </c>
      <c r="R1864" t="inlineStr">
        <is>
          <t>378-2023-10-31</t>
        </is>
      </c>
    </row>
    <row r="1865">
      <c r="A1865" t="n">
        <v>378</v>
      </c>
      <c r="B1865" t="inlineStr">
        <is>
          <t>Proyectos tecnológicos</t>
        </is>
      </c>
      <c r="C1865" t="inlineStr">
        <is>
          <t>Gestión de la tecnología e innovación digital</t>
        </is>
      </c>
      <c r="D1865" t="inlineStr">
        <is>
          <t>Mensual</t>
        </is>
      </c>
      <c r="E1865" t="inlineStr">
        <is>
          <t>Positivo</t>
        </is>
      </c>
      <c r="F1865" s="111" t="n">
        <v>45260</v>
      </c>
      <c r="G1865" t="n">
        <v>2023</v>
      </c>
      <c r="H1865" t="inlineStr">
        <is>
          <t>Noviembre</t>
        </is>
      </c>
      <c r="I1865" t="inlineStr">
        <is>
          <t>2023-2</t>
        </is>
      </c>
      <c r="J1865" t="n">
        <v>92</v>
      </c>
      <c r="K1865" t="n">
        <v>96.91</v>
      </c>
      <c r="L1865" s="39">
        <f>IFERROR(IF(OR(J1865=0,K1865=""),"",IF(E1865="Positivo",MIN(MAX(K1865/J1865,0),1.3),MIN(MAX(J1865/K1865,0),1.3))),"") </f>
        <v/>
      </c>
      <c r="M1865" s="39">
        <f>IFERROR(IF(OR(J1865=0,K1865=""),"",IF(E1865="Positivo",MAX(K1865/J1865,0),MAX(J1865/K1865,0))),"") </f>
        <v/>
      </c>
      <c r="N1865" t="inlineStr">
        <is>
          <t>%</t>
        </is>
      </c>
      <c r="O1865" t="inlineStr">
        <is>
          <t>%</t>
        </is>
      </c>
      <c r="P1865" t="n">
        <v>0</v>
      </c>
      <c r="Q1865" t="n">
        <v>0</v>
      </c>
      <c r="R1865" t="inlineStr">
        <is>
          <t>378-2023-11-30</t>
        </is>
      </c>
    </row>
    <row r="1866">
      <c r="A1866" t="n">
        <v>378</v>
      </c>
      <c r="B1866" t="inlineStr">
        <is>
          <t>Proyectos tecnológicos</t>
        </is>
      </c>
      <c r="C1866" t="inlineStr">
        <is>
          <t>Gestión de la tecnología e innovación digital</t>
        </is>
      </c>
      <c r="D1866" t="inlineStr">
        <is>
          <t>Mensual</t>
        </is>
      </c>
      <c r="E1866" t="inlineStr">
        <is>
          <t>Positivo</t>
        </is>
      </c>
      <c r="F1866" s="111" t="n">
        <v>45291</v>
      </c>
      <c r="G1866" t="n">
        <v>2023</v>
      </c>
      <c r="H1866" t="inlineStr">
        <is>
          <t>Diciembre</t>
        </is>
      </c>
      <c r="I1866" t="inlineStr">
        <is>
          <t>2023-2</t>
        </is>
      </c>
      <c r="J1866" t="n">
        <v>92</v>
      </c>
      <c r="K1866" t="n">
        <v>100.52</v>
      </c>
      <c r="L1866" s="39">
        <f>IFERROR(IF(OR(J1866=0,K1866=""),"",IF(E1866="Positivo",MIN(MAX(K1866/J1866,0),1.3),MIN(MAX(J1866/K1866,0),1.3))),"") </f>
        <v/>
      </c>
      <c r="M1866" s="39">
        <f>IFERROR(IF(OR(J1866=0,K1866=""),"",IF(E1866="Positivo",MAX(K1866/J1866,0),MAX(J1866/K1866,0))),"") </f>
        <v/>
      </c>
      <c r="N1866" t="inlineStr">
        <is>
          <t>%</t>
        </is>
      </c>
      <c r="O1866" t="inlineStr">
        <is>
          <t>%</t>
        </is>
      </c>
      <c r="P1866" t="n">
        <v>0</v>
      </c>
      <c r="Q1866" t="n">
        <v>0</v>
      </c>
      <c r="R1866" t="inlineStr">
        <is>
          <t>378-2023-12-31</t>
        </is>
      </c>
    </row>
    <row r="1867">
      <c r="A1867" t="n">
        <v>378</v>
      </c>
      <c r="B1867" t="inlineStr">
        <is>
          <t>Proyectos tecnológicos</t>
        </is>
      </c>
      <c r="C1867" t="inlineStr">
        <is>
          <t>GESTIÓN DE LA TECNOLOGÍA E INNOVACIÓN DIGITAL</t>
        </is>
      </c>
      <c r="D1867" t="inlineStr">
        <is>
          <t>Mensual</t>
        </is>
      </c>
      <c r="E1867" t="inlineStr">
        <is>
          <t>Positivo</t>
        </is>
      </c>
      <c r="F1867" s="111" t="n">
        <v>45322</v>
      </c>
      <c r="G1867" t="n">
        <v>2024</v>
      </c>
      <c r="H1867" t="inlineStr">
        <is>
          <t>Enero</t>
        </is>
      </c>
      <c r="I1867" t="inlineStr">
        <is>
          <t>2024-1</t>
        </is>
      </c>
      <c r="J1867" t="n">
        <v>92</v>
      </c>
      <c r="K1867" t="n">
        <v>0</v>
      </c>
      <c r="L1867" s="39">
        <f>IFERROR(IF(OR(J1867=0,K1867=""),"",IF(E1867="Positivo",MIN(MAX(K1867/J1867,0),1.3),MIN(MAX(J1867/K1867,0),1.3))),"") </f>
        <v/>
      </c>
      <c r="M1867" s="39">
        <f>IFERROR(IF(OR(J1867=0,K1867=""),"",IF(E1867="Positivo",MAX(K1867/J1867,0),MAX(J1867/K1867,0))),"") </f>
        <v/>
      </c>
      <c r="N1867" t="inlineStr">
        <is>
          <t>%</t>
        </is>
      </c>
      <c r="O1867" t="inlineStr">
        <is>
          <t>%</t>
        </is>
      </c>
      <c r="P1867" t="n">
        <v>0</v>
      </c>
      <c r="Q1867" t="n">
        <v>0</v>
      </c>
      <c r="R1867" t="inlineStr">
        <is>
          <t>378-2024-01-31</t>
        </is>
      </c>
    </row>
    <row r="1868">
      <c r="A1868" t="n">
        <v>378</v>
      </c>
      <c r="B1868" t="inlineStr">
        <is>
          <t>Proyectos tecnológicos</t>
        </is>
      </c>
      <c r="C1868" t="inlineStr">
        <is>
          <t>GESTIÓN DE LA TECNOLOGÍA E INNOVACIÓN DIGITAL</t>
        </is>
      </c>
      <c r="D1868" t="inlineStr">
        <is>
          <t>Mensual</t>
        </is>
      </c>
      <c r="E1868" t="inlineStr">
        <is>
          <t>Positivo</t>
        </is>
      </c>
      <c r="F1868" s="111" t="n">
        <v>45351</v>
      </c>
      <c r="G1868" t="n">
        <v>2024</v>
      </c>
      <c r="H1868" t="inlineStr">
        <is>
          <t>Febrero</t>
        </is>
      </c>
      <c r="I1868" t="inlineStr">
        <is>
          <t>2024-1</t>
        </is>
      </c>
      <c r="J1868" t="n">
        <v>92</v>
      </c>
      <c r="K1868" t="n">
        <v>0</v>
      </c>
      <c r="L1868" s="39">
        <f>IFERROR(IF(OR(J1868=0,K1868=""),"",IF(E1868="Positivo",MIN(MAX(K1868/J1868,0),1.3),MIN(MAX(J1868/K1868,0),1.3))),"") </f>
        <v/>
      </c>
      <c r="M1868" s="39">
        <f>IFERROR(IF(OR(J1868=0,K1868=""),"",IF(E1868="Positivo",MAX(K1868/J1868,0),MAX(J1868/K1868,0))),"") </f>
        <v/>
      </c>
      <c r="N1868" t="inlineStr">
        <is>
          <t>%</t>
        </is>
      </c>
      <c r="O1868" t="inlineStr">
        <is>
          <t>%</t>
        </is>
      </c>
      <c r="P1868" t="n">
        <v>0</v>
      </c>
      <c r="Q1868" t="n">
        <v>0</v>
      </c>
      <c r="R1868" t="inlineStr">
        <is>
          <t>378-2024-02-29</t>
        </is>
      </c>
    </row>
    <row r="1869">
      <c r="A1869" t="n">
        <v>378</v>
      </c>
      <c r="B1869" t="inlineStr">
        <is>
          <t>Proyectos tecnológicos</t>
        </is>
      </c>
      <c r="C1869" t="inlineStr">
        <is>
          <t>GESTIÓN DE LA TECNOLOGÍA E INNOVACIÓN DIGITAL</t>
        </is>
      </c>
      <c r="D1869" t="inlineStr">
        <is>
          <t>Mensual</t>
        </is>
      </c>
      <c r="E1869" t="inlineStr">
        <is>
          <t>Positivo</t>
        </is>
      </c>
      <c r="F1869" s="111" t="n">
        <v>45382</v>
      </c>
      <c r="G1869" t="n">
        <v>2024</v>
      </c>
      <c r="H1869" t="inlineStr">
        <is>
          <t>Marzo</t>
        </is>
      </c>
      <c r="I1869" t="inlineStr">
        <is>
          <t>2024-1</t>
        </is>
      </c>
      <c r="J1869" t="n">
        <v>92</v>
      </c>
      <c r="K1869" t="n">
        <v>0</v>
      </c>
      <c r="L1869" s="39">
        <f>IFERROR(IF(OR(J1869=0,K1869=""),"",IF(E1869="Positivo",MIN(MAX(K1869/J1869,0),1.3),MIN(MAX(J1869/K1869,0),1.3))),"") </f>
        <v/>
      </c>
      <c r="M1869" s="39">
        <f>IFERROR(IF(OR(J1869=0,K1869=""),"",IF(E1869="Positivo",MAX(K1869/J1869,0),MAX(J1869/K1869,0))),"") </f>
        <v/>
      </c>
      <c r="N1869" t="inlineStr">
        <is>
          <t>%</t>
        </is>
      </c>
      <c r="O1869" t="inlineStr">
        <is>
          <t>%</t>
        </is>
      </c>
      <c r="P1869" t="n">
        <v>0</v>
      </c>
      <c r="Q1869" t="n">
        <v>0</v>
      </c>
      <c r="R1869" t="inlineStr">
        <is>
          <t>378-2024-03-31</t>
        </is>
      </c>
    </row>
    <row r="1870">
      <c r="A1870" t="n">
        <v>378</v>
      </c>
      <c r="B1870" t="inlineStr">
        <is>
          <t>Proyectos tecnológicos</t>
        </is>
      </c>
      <c r="C1870" t="inlineStr">
        <is>
          <t>GESTIÓN DE LA TECNOLOGÍA E INNOVACIÓN DIGITAL</t>
        </is>
      </c>
      <c r="D1870" t="inlineStr">
        <is>
          <t>Mensual</t>
        </is>
      </c>
      <c r="E1870" t="inlineStr">
        <is>
          <t>Positivo</t>
        </is>
      </c>
      <c r="F1870" s="111" t="n">
        <v>45412</v>
      </c>
      <c r="G1870" t="n">
        <v>2024</v>
      </c>
      <c r="H1870" t="inlineStr">
        <is>
          <t>Abril</t>
        </is>
      </c>
      <c r="I1870" t="inlineStr">
        <is>
          <t>2024-1</t>
        </is>
      </c>
      <c r="J1870" t="n">
        <v>92</v>
      </c>
      <c r="K1870" t="n">
        <v>0</v>
      </c>
      <c r="L1870" s="39">
        <f>IFERROR(IF(OR(J1870=0,K1870=""),"",IF(E1870="Positivo",MIN(MAX(K1870/J1870,0),1.3),MIN(MAX(J1870/K1870,0),1.3))),"") </f>
        <v/>
      </c>
      <c r="M1870" s="39">
        <f>IFERROR(IF(OR(J1870=0,K1870=""),"",IF(E1870="Positivo",MAX(K1870/J1870,0),MAX(J1870/K1870,0))),"") </f>
        <v/>
      </c>
      <c r="N1870" t="inlineStr">
        <is>
          <t>%</t>
        </is>
      </c>
      <c r="O1870" t="inlineStr">
        <is>
          <t>%</t>
        </is>
      </c>
      <c r="P1870" t="n">
        <v>0</v>
      </c>
      <c r="Q1870" t="n">
        <v>0</v>
      </c>
      <c r="R1870" t="inlineStr">
        <is>
          <t>378-2024-04-30</t>
        </is>
      </c>
    </row>
    <row r="1871">
      <c r="A1871" t="n">
        <v>378</v>
      </c>
      <c r="B1871" t="inlineStr">
        <is>
          <t>Proyectos tecnológicos</t>
        </is>
      </c>
      <c r="C1871" t="inlineStr">
        <is>
          <t>GESTIÓN DE LA TECNOLOGÍA E INNOVACIÓN DIGITAL</t>
        </is>
      </c>
      <c r="D1871" t="inlineStr">
        <is>
          <t>Mensual</t>
        </is>
      </c>
      <c r="E1871" t="inlineStr">
        <is>
          <t>Positivo</t>
        </is>
      </c>
      <c r="F1871" s="111" t="n">
        <v>45443</v>
      </c>
      <c r="G1871" t="n">
        <v>2024</v>
      </c>
      <c r="H1871" t="inlineStr">
        <is>
          <t>Mayo</t>
        </is>
      </c>
      <c r="I1871" t="inlineStr">
        <is>
          <t>2024-1</t>
        </is>
      </c>
      <c r="J1871" t="n">
        <v>92</v>
      </c>
      <c r="K1871" t="n">
        <v>98.5</v>
      </c>
      <c r="L1871" s="39">
        <f>IFERROR(IF(OR(J1871=0,K1871=""),"",IF(E1871="Positivo",MIN(MAX(K1871/J1871,0),1.3),MIN(MAX(J1871/K1871,0),1.3))),"") </f>
        <v/>
      </c>
      <c r="M1871" s="39">
        <f>IFERROR(IF(OR(J1871=0,K1871=""),"",IF(E1871="Positivo",MAX(K1871/J1871,0),MAX(J1871/K1871,0))),"") </f>
        <v/>
      </c>
      <c r="N1871" t="inlineStr">
        <is>
          <t>%</t>
        </is>
      </c>
      <c r="O1871" t="inlineStr">
        <is>
          <t>%</t>
        </is>
      </c>
      <c r="P1871" t="n">
        <v>0</v>
      </c>
      <c r="Q1871" t="n">
        <v>0</v>
      </c>
      <c r="R1871" t="inlineStr">
        <is>
          <t>378-2024-05-31</t>
        </is>
      </c>
    </row>
    <row r="1872">
      <c r="A1872" t="n">
        <v>378</v>
      </c>
      <c r="B1872" t="inlineStr">
        <is>
          <t>Proyectos tecnológicos</t>
        </is>
      </c>
      <c r="C1872" t="inlineStr">
        <is>
          <t>GESTIÓN DE LA TECNOLOGÍA E INNOVACIÓN DIGITAL</t>
        </is>
      </c>
      <c r="D1872" t="inlineStr">
        <is>
          <t>Mensual</t>
        </is>
      </c>
      <c r="E1872" t="inlineStr">
        <is>
          <t>Positivo</t>
        </is>
      </c>
      <c r="F1872" s="111" t="n">
        <v>45473</v>
      </c>
      <c r="G1872" t="n">
        <v>2024</v>
      </c>
      <c r="H1872" t="inlineStr">
        <is>
          <t>Junio</t>
        </is>
      </c>
      <c r="I1872" t="inlineStr">
        <is>
          <t>2024-1</t>
        </is>
      </c>
      <c r="J1872" t="n">
        <v>92</v>
      </c>
      <c r="K1872" t="n">
        <v>98.5</v>
      </c>
      <c r="L1872" s="39">
        <f>IFERROR(IF(OR(J1872=0,K1872=""),"",IF(E1872="Positivo",MIN(MAX(K1872/J1872,0),1.3),MIN(MAX(J1872/K1872,0),1.3))),"") </f>
        <v/>
      </c>
      <c r="M1872" s="39">
        <f>IFERROR(IF(OR(J1872=0,K1872=""),"",IF(E1872="Positivo",MAX(K1872/J1872,0),MAX(J1872/K1872,0))),"") </f>
        <v/>
      </c>
      <c r="N1872" t="inlineStr">
        <is>
          <t>%</t>
        </is>
      </c>
      <c r="O1872" t="inlineStr">
        <is>
          <t>%</t>
        </is>
      </c>
      <c r="P1872" t="n">
        <v>0</v>
      </c>
      <c r="Q1872" t="n">
        <v>0</v>
      </c>
      <c r="R1872" t="inlineStr">
        <is>
          <t>378-2024-06-30</t>
        </is>
      </c>
    </row>
    <row r="1873">
      <c r="A1873" t="n">
        <v>378</v>
      </c>
      <c r="B1873" t="inlineStr">
        <is>
          <t>Proyectos tecnológicos</t>
        </is>
      </c>
      <c r="C1873" t="inlineStr">
        <is>
          <t>GESTIÓN DE LA TECNOLOGÍA E INNOVACIÓN DIGITAL</t>
        </is>
      </c>
      <c r="D1873" t="inlineStr">
        <is>
          <t>Mensual</t>
        </is>
      </c>
      <c r="E1873" t="inlineStr">
        <is>
          <t>Positivo</t>
        </is>
      </c>
      <c r="F1873" s="111" t="n">
        <v>45504</v>
      </c>
      <c r="G1873" t="n">
        <v>2024</v>
      </c>
      <c r="H1873" t="inlineStr">
        <is>
          <t>Julio</t>
        </is>
      </c>
      <c r="I1873" t="inlineStr">
        <is>
          <t>2024-2</t>
        </is>
      </c>
      <c r="J1873" t="n">
        <v>92</v>
      </c>
      <c r="K1873" t="n">
        <v>0</v>
      </c>
      <c r="L1873" s="39">
        <f>IFERROR(IF(OR(J1873=0,K1873=""),"",IF(E1873="Positivo",MIN(MAX(K1873/J1873,0),1.3),MIN(MAX(J1873/K1873,0),1.3))),"") </f>
        <v/>
      </c>
      <c r="M1873" s="39">
        <f>IFERROR(IF(OR(J1873=0,K1873=""),"",IF(E1873="Positivo",MAX(K1873/J1873,0),MAX(J1873/K1873,0))),"") </f>
        <v/>
      </c>
      <c r="N1873" t="inlineStr">
        <is>
          <t>%</t>
        </is>
      </c>
      <c r="O1873" t="inlineStr">
        <is>
          <t>%</t>
        </is>
      </c>
      <c r="P1873" t="n">
        <v>0</v>
      </c>
      <c r="Q1873" t="n">
        <v>0</v>
      </c>
      <c r="R1873" t="inlineStr">
        <is>
          <t>378-2024-07-31</t>
        </is>
      </c>
    </row>
    <row r="1874">
      <c r="A1874" t="n">
        <v>378</v>
      </c>
      <c r="B1874" t="inlineStr">
        <is>
          <t>Proyectos tecnológicos</t>
        </is>
      </c>
      <c r="C1874" t="inlineStr">
        <is>
          <t>GESTIÓN DE LA TECNOLOGÍA E INNOVACIÓN DIGITAL</t>
        </is>
      </c>
      <c r="D1874" t="inlineStr">
        <is>
          <t>Mensual</t>
        </is>
      </c>
      <c r="E1874" t="inlineStr">
        <is>
          <t>Positivo</t>
        </is>
      </c>
      <c r="F1874" s="111" t="n">
        <v>45535</v>
      </c>
      <c r="G1874" t="n">
        <v>2024</v>
      </c>
      <c r="H1874" t="inlineStr">
        <is>
          <t>Agosto</t>
        </is>
      </c>
      <c r="I1874" t="inlineStr">
        <is>
          <t>2024-2</t>
        </is>
      </c>
      <c r="J1874" t="n">
        <v>92</v>
      </c>
      <c r="K1874" t="n">
        <v>0</v>
      </c>
      <c r="L1874" s="39">
        <f>IFERROR(IF(OR(J1874=0,K1874=""),"",IF(E1874="Positivo",MIN(MAX(K1874/J1874,0),1.3),MIN(MAX(J1874/K1874,0),1.3))),"") </f>
        <v/>
      </c>
      <c r="M1874" s="39">
        <f>IFERROR(IF(OR(J1874=0,K1874=""),"",IF(E1874="Positivo",MAX(K1874/J1874,0),MAX(J1874/K1874,0))),"") </f>
        <v/>
      </c>
      <c r="N1874" t="inlineStr">
        <is>
          <t>%</t>
        </is>
      </c>
      <c r="O1874" t="inlineStr">
        <is>
          <t>%</t>
        </is>
      </c>
      <c r="P1874" t="n">
        <v>0</v>
      </c>
      <c r="Q1874" t="n">
        <v>0</v>
      </c>
      <c r="R1874" t="inlineStr">
        <is>
          <t>378-2024-08-31</t>
        </is>
      </c>
    </row>
    <row r="1875">
      <c r="A1875" t="n">
        <v>378</v>
      </c>
      <c r="B1875" t="inlineStr">
        <is>
          <t>Proyectos tecnológicos</t>
        </is>
      </c>
      <c r="C1875" t="inlineStr">
        <is>
          <t>GESTIÓN DE LA TECNOLOGÍA E INNOVACIÓN DIGITAL</t>
        </is>
      </c>
      <c r="D1875" t="inlineStr">
        <is>
          <t>Mensual</t>
        </is>
      </c>
      <c r="E1875" t="inlineStr">
        <is>
          <t>Positivo</t>
        </is>
      </c>
      <c r="F1875" s="111" t="n">
        <v>45565</v>
      </c>
      <c r="G1875" t="n">
        <v>2024</v>
      </c>
      <c r="H1875" t="inlineStr">
        <is>
          <t>Septiembre</t>
        </is>
      </c>
      <c r="I1875" t="inlineStr">
        <is>
          <t>2024-2</t>
        </is>
      </c>
      <c r="J1875" t="n">
        <v>92</v>
      </c>
      <c r="K1875" t="n">
        <v>0</v>
      </c>
      <c r="L1875" s="39">
        <f>IFERROR(IF(OR(J1875=0,K1875=""),"",IF(E1875="Positivo",MIN(MAX(K1875/J1875,0),1.3),MIN(MAX(J1875/K1875,0),1.3))),"") </f>
        <v/>
      </c>
      <c r="M1875" s="39">
        <f>IFERROR(IF(OR(J1875=0,K1875=""),"",IF(E1875="Positivo",MAX(K1875/J1875,0),MAX(J1875/K1875,0))),"") </f>
        <v/>
      </c>
      <c r="N1875" t="inlineStr">
        <is>
          <t>%</t>
        </is>
      </c>
      <c r="O1875" t="inlineStr">
        <is>
          <t>%</t>
        </is>
      </c>
      <c r="P1875" t="n">
        <v>0</v>
      </c>
      <c r="Q1875" t="n">
        <v>0</v>
      </c>
      <c r="R1875" t="inlineStr">
        <is>
          <t>378-2024-09-30</t>
        </is>
      </c>
    </row>
    <row r="1876">
      <c r="A1876" t="n">
        <v>378</v>
      </c>
      <c r="B1876" t="inlineStr">
        <is>
          <t>Proyectos tecnológicos</t>
        </is>
      </c>
      <c r="C1876" t="inlineStr">
        <is>
          <t>GESTIÓN DE LA TECNOLOGÍA E INNOVACIÓN DIGITAL</t>
        </is>
      </c>
      <c r="D1876" t="inlineStr">
        <is>
          <t>Mensual</t>
        </is>
      </c>
      <c r="E1876" t="inlineStr">
        <is>
          <t>Positivo</t>
        </is>
      </c>
      <c r="F1876" s="111" t="n">
        <v>45596</v>
      </c>
      <c r="G1876" t="n">
        <v>2024</v>
      </c>
      <c r="H1876" t="inlineStr">
        <is>
          <t>Octubre</t>
        </is>
      </c>
      <c r="I1876" t="inlineStr">
        <is>
          <t>2024-2</t>
        </is>
      </c>
      <c r="J1876" t="n">
        <v>92</v>
      </c>
      <c r="K1876" t="n">
        <v>0</v>
      </c>
      <c r="L1876" s="39">
        <f>IFERROR(IF(OR(J1876=0,K1876=""),"",IF(E1876="Positivo",MIN(MAX(K1876/J1876,0),1.3),MIN(MAX(J1876/K1876,0),1.3))),"") </f>
        <v/>
      </c>
      <c r="M1876" s="39">
        <f>IFERROR(IF(OR(J1876=0,K1876=""),"",IF(E1876="Positivo",MAX(K1876/J1876,0),MAX(J1876/K1876,0))),"") </f>
        <v/>
      </c>
      <c r="N1876" t="inlineStr">
        <is>
          <t>%</t>
        </is>
      </c>
      <c r="O1876" t="inlineStr">
        <is>
          <t>%</t>
        </is>
      </c>
      <c r="P1876" t="n">
        <v>0</v>
      </c>
      <c r="Q1876" t="n">
        <v>0</v>
      </c>
      <c r="R1876" t="inlineStr">
        <is>
          <t>378-2024-10-31</t>
        </is>
      </c>
    </row>
    <row r="1877">
      <c r="A1877" t="n">
        <v>378</v>
      </c>
      <c r="B1877" t="inlineStr">
        <is>
          <t>Proyectos tecnológicos</t>
        </is>
      </c>
      <c r="C1877" t="inlineStr">
        <is>
          <t>GESTIÓN DE LA TECNOLOGÍA E INNOVACIÓN DIGITAL</t>
        </is>
      </c>
      <c r="D1877" t="inlineStr">
        <is>
          <t>Mensual</t>
        </is>
      </c>
      <c r="E1877" t="inlineStr">
        <is>
          <t>Positivo</t>
        </is>
      </c>
      <c r="F1877" s="111" t="n">
        <v>45626</v>
      </c>
      <c r="G1877" t="n">
        <v>2024</v>
      </c>
      <c r="H1877" t="inlineStr">
        <is>
          <t>Noviembre</t>
        </is>
      </c>
      <c r="I1877" t="inlineStr">
        <is>
          <t>2024-2</t>
        </is>
      </c>
      <c r="J1877" t="n">
        <v>92</v>
      </c>
      <c r="K1877" t="n">
        <v>0</v>
      </c>
      <c r="L1877" s="39">
        <f>IFERROR(IF(OR(J1877=0,K1877=""),"",IF(E1877="Positivo",MIN(MAX(K1877/J1877,0),1.3),MIN(MAX(J1877/K1877,0),1.3))),"") </f>
        <v/>
      </c>
      <c r="M1877" s="39">
        <f>IFERROR(IF(OR(J1877=0,K1877=""),"",IF(E1877="Positivo",MAX(K1877/J1877,0),MAX(J1877/K1877,0))),"") </f>
        <v/>
      </c>
      <c r="N1877" t="inlineStr">
        <is>
          <t>%</t>
        </is>
      </c>
      <c r="O1877" t="inlineStr">
        <is>
          <t>%</t>
        </is>
      </c>
      <c r="P1877" t="n">
        <v>0</v>
      </c>
      <c r="Q1877" t="n">
        <v>0</v>
      </c>
      <c r="R1877" t="inlineStr">
        <is>
          <t>378-2024-11-30</t>
        </is>
      </c>
    </row>
    <row r="1878">
      <c r="A1878" t="n">
        <v>378</v>
      </c>
      <c r="B1878" t="inlineStr">
        <is>
          <t>Proyectos tecnológicos</t>
        </is>
      </c>
      <c r="C1878" t="inlineStr">
        <is>
          <t>GESTIÓN DE LA TECNOLOGÍA E INNOVACIÓN DIGITAL</t>
        </is>
      </c>
      <c r="D1878" t="inlineStr">
        <is>
          <t>Mensual</t>
        </is>
      </c>
      <c r="E1878" t="inlineStr">
        <is>
          <t>Positivo</t>
        </is>
      </c>
      <c r="F1878" s="111" t="n">
        <v>45657</v>
      </c>
      <c r="G1878" t="n">
        <v>2024</v>
      </c>
      <c r="H1878" t="inlineStr">
        <is>
          <t>Diciembre</t>
        </is>
      </c>
      <c r="I1878" t="inlineStr">
        <is>
          <t>2024-2</t>
        </is>
      </c>
      <c r="J1878" t="n">
        <v>0</v>
      </c>
      <c r="K1878" t="n">
        <v>0</v>
      </c>
      <c r="L1878" s="39">
        <f>IFERROR(IF(OR(J1878=0,K1878=""),"",IF(E1878="Positivo",MIN(MAX(K1878/J1878,0),1.3),MIN(MAX(J1878/K1878,0),1.3))),"") </f>
        <v/>
      </c>
      <c r="M1878" s="39">
        <f>IFERROR(IF(OR(J1878=0,K1878=""),"",IF(E1878="Positivo",MAX(K1878/J1878,0),MAX(J1878/K1878,0))),"") </f>
        <v/>
      </c>
      <c r="N1878" t="inlineStr">
        <is>
          <t>%</t>
        </is>
      </c>
      <c r="O1878" t="inlineStr">
        <is>
          <t>%</t>
        </is>
      </c>
      <c r="P1878" t="n">
        <v>0</v>
      </c>
      <c r="Q1878" t="n">
        <v>0</v>
      </c>
      <c r="R1878" t="inlineStr">
        <is>
          <t>378-2024-12-31</t>
        </is>
      </c>
    </row>
    <row r="1879">
      <c r="A1879" t="n">
        <v>379</v>
      </c>
      <c r="B1879" t="inlineStr">
        <is>
          <t>Total estudiantes nuevos</t>
        </is>
      </c>
      <c r="C1879" t="inlineStr">
        <is>
          <t>Inscripción, admisión y matrícula de estudiantes nuevos</t>
        </is>
      </c>
      <c r="D1879" t="inlineStr">
        <is>
          <t>Semestral</t>
        </is>
      </c>
      <c r="E1879" t="inlineStr">
        <is>
          <t>Positivo</t>
        </is>
      </c>
      <c r="F1879" s="111" t="n">
        <v>45107</v>
      </c>
      <c r="G1879" t="n">
        <v>2023</v>
      </c>
      <c r="H1879" t="inlineStr">
        <is>
          <t>Junio</t>
        </is>
      </c>
      <c r="I1879" t="inlineStr">
        <is>
          <t>2023-1</t>
        </is>
      </c>
      <c r="J1879" t="n">
        <v>100</v>
      </c>
      <c r="K1879" t="n">
        <v>102.72877164056</v>
      </c>
      <c r="L1879" s="39">
        <f>IFERROR(IF(OR(J1879=0,K1879=""),"",IF(E1879="Positivo",MIN(MAX(K1879/J1879,0),1.3),MIN(MAX(J1879/K1879,0),1.3))),"") </f>
        <v/>
      </c>
      <c r="M1879" s="39">
        <f>IFERROR(IF(OR(J1879=0,K1879=""),"",IF(E1879="Positivo",MAX(K1879/J1879,0),MAX(J1879/K1879,0))),"") </f>
        <v/>
      </c>
      <c r="N1879" t="inlineStr">
        <is>
          <t>ENT</t>
        </is>
      </c>
      <c r="O1879" t="inlineStr">
        <is>
          <t>ENT</t>
        </is>
      </c>
      <c r="P1879" t="n">
        <v>0</v>
      </c>
      <c r="Q1879" t="n">
        <v>0</v>
      </c>
      <c r="R1879" t="inlineStr">
        <is>
          <t>379-2023-06-30</t>
        </is>
      </c>
    </row>
    <row r="1880">
      <c r="A1880" t="n">
        <v>379</v>
      </c>
      <c r="B1880" t="inlineStr">
        <is>
          <t>Total estudiantes nuevos</t>
        </is>
      </c>
      <c r="C1880" t="inlineStr">
        <is>
          <t>Inscripción, admisión y matrícula de estudiantes nuevos</t>
        </is>
      </c>
      <c r="D1880" t="inlineStr">
        <is>
          <t>Semestral</t>
        </is>
      </c>
      <c r="E1880" t="inlineStr">
        <is>
          <t>Positivo</t>
        </is>
      </c>
      <c r="F1880" s="111" t="n">
        <v>45291</v>
      </c>
      <c r="G1880" t="n">
        <v>2023</v>
      </c>
      <c r="H1880" t="inlineStr">
        <is>
          <t>Diciembre</t>
        </is>
      </c>
      <c r="I1880" t="inlineStr">
        <is>
          <t>2023-2</t>
        </is>
      </c>
      <c r="J1880" t="n">
        <v>100</v>
      </c>
      <c r="K1880" t="n">
        <v>108.65</v>
      </c>
      <c r="L1880" s="39">
        <f>IFERROR(IF(OR(J1880=0,K1880=""),"",IF(E1880="Positivo",MIN(MAX(K1880/J1880,0),1.3),MIN(MAX(J1880/K1880,0),1.3))),"") </f>
        <v/>
      </c>
      <c r="M1880" s="39">
        <f>IFERROR(IF(OR(J1880=0,K1880=""),"",IF(E1880="Positivo",MAX(K1880/J1880,0),MAX(J1880/K1880,0))),"") </f>
        <v/>
      </c>
      <c r="N1880" t="inlineStr">
        <is>
          <t>ENT</t>
        </is>
      </c>
      <c r="O1880" t="inlineStr">
        <is>
          <t>ENT</t>
        </is>
      </c>
      <c r="P1880" t="n">
        <v>0</v>
      </c>
      <c r="Q1880" t="n">
        <v>0</v>
      </c>
      <c r="R1880" t="inlineStr">
        <is>
          <t>379-2023-12-31</t>
        </is>
      </c>
    </row>
    <row r="1881">
      <c r="A1881" t="n">
        <v>379</v>
      </c>
      <c r="B1881" t="inlineStr">
        <is>
          <t>Total estudiantes nuevos</t>
        </is>
      </c>
      <c r="C1881" t="inlineStr">
        <is>
          <t>Inscripción, admisión y matrícula de estudiantes nuevos</t>
        </is>
      </c>
      <c r="D1881" t="inlineStr">
        <is>
          <t>Semestral</t>
        </is>
      </c>
      <c r="E1881" t="inlineStr">
        <is>
          <t>Positivo</t>
        </is>
      </c>
      <c r="F1881" s="111" t="n">
        <v>45473</v>
      </c>
      <c r="G1881" t="n">
        <v>2024</v>
      </c>
      <c r="H1881" t="inlineStr">
        <is>
          <t>Junio</t>
        </is>
      </c>
      <c r="I1881" t="inlineStr">
        <is>
          <t>2024-1</t>
        </is>
      </c>
      <c r="J1881" t="n">
        <v>100</v>
      </c>
      <c r="K1881" t="n">
        <v>95.92</v>
      </c>
      <c r="L1881" s="39">
        <f>IFERROR(IF(OR(J1881=0,K1881=""),"",IF(E1881="Positivo",MIN(MAX(K1881/J1881,0),1.3),MIN(MAX(J1881/K1881,0),1.3))),"") </f>
        <v/>
      </c>
      <c r="M1881" s="39">
        <f>IFERROR(IF(OR(J1881=0,K1881=""),"",IF(E1881="Positivo",MAX(K1881/J1881,0),MAX(J1881/K1881,0))),"") </f>
        <v/>
      </c>
      <c r="N1881" t="inlineStr">
        <is>
          <t>ENT</t>
        </is>
      </c>
      <c r="O1881" t="inlineStr">
        <is>
          <t>ENT</t>
        </is>
      </c>
      <c r="P1881" t="n">
        <v>0</v>
      </c>
      <c r="Q1881" t="n">
        <v>0</v>
      </c>
      <c r="R1881" t="inlineStr">
        <is>
          <t>379-2024-06-30</t>
        </is>
      </c>
    </row>
    <row r="1882">
      <c r="A1882" t="n">
        <v>379</v>
      </c>
      <c r="B1882" t="inlineStr">
        <is>
          <t>Total estudiantes nuevos</t>
        </is>
      </c>
      <c r="C1882" t="inlineStr">
        <is>
          <t>Inscripción, admisión y matrícula de estudiantes nuevos</t>
        </is>
      </c>
      <c r="D1882" t="inlineStr">
        <is>
          <t>Semestral</t>
        </is>
      </c>
      <c r="E1882" t="inlineStr">
        <is>
          <t>Positivo</t>
        </is>
      </c>
      <c r="F1882" s="111" t="n">
        <v>45657</v>
      </c>
      <c r="G1882" t="n">
        <v>2024</v>
      </c>
      <c r="H1882" t="inlineStr">
        <is>
          <t>Diciembre</t>
        </is>
      </c>
      <c r="I1882" t="inlineStr">
        <is>
          <t>2024-2</t>
        </is>
      </c>
      <c r="J1882" t="n">
        <v>100</v>
      </c>
      <c r="K1882" t="n">
        <v>99.31</v>
      </c>
      <c r="L1882" s="39">
        <f>IFERROR(IF(OR(J1882=0,K1882=""),"",IF(E1882="Positivo",MIN(MAX(K1882/J1882,0),1.3),MIN(MAX(J1882/K1882,0),1.3))),"") </f>
        <v/>
      </c>
      <c r="M1882" s="39">
        <f>IFERROR(IF(OR(J1882=0,K1882=""),"",IF(E1882="Positivo",MAX(K1882/J1882,0),MAX(J1882/K1882,0))),"") </f>
        <v/>
      </c>
      <c r="N1882" t="inlineStr">
        <is>
          <t>ENT</t>
        </is>
      </c>
      <c r="O1882" t="inlineStr">
        <is>
          <t>ENT</t>
        </is>
      </c>
      <c r="P1882" t="n">
        <v>0</v>
      </c>
      <c r="Q1882" t="n">
        <v>0</v>
      </c>
      <c r="R1882" t="inlineStr">
        <is>
          <t>379-2024-12-31</t>
        </is>
      </c>
    </row>
    <row r="1883">
      <c r="A1883" t="n">
        <v>379</v>
      </c>
      <c r="B1883" t="inlineStr">
        <is>
          <t>Total estudiantes nuevos</t>
        </is>
      </c>
      <c r="C1883" t="inlineStr">
        <is>
          <t>Inscripción, admisión y matrícula de estudiantes nuevos</t>
        </is>
      </c>
      <c r="D1883" t="inlineStr">
        <is>
          <t>Semestral</t>
        </is>
      </c>
      <c r="E1883" t="inlineStr">
        <is>
          <t>Positivo</t>
        </is>
      </c>
      <c r="F1883" s="111" t="n">
        <v>45838</v>
      </c>
      <c r="G1883" t="n">
        <v>2025</v>
      </c>
      <c r="H1883" t="inlineStr">
        <is>
          <t>Junio</t>
        </is>
      </c>
      <c r="I1883" t="inlineStr">
        <is>
          <t>2025-1</t>
        </is>
      </c>
      <c r="J1883" t="n">
        <v>100</v>
      </c>
      <c r="K1883" t="n">
        <v>104.11</v>
      </c>
      <c r="L1883" s="39">
        <f>IFERROR(IF(OR(J1883=0,K1883=""),"",IF(E1883="Positivo",MIN(MAX(K1883/J1883,0),1.3),MIN(MAX(J1883/K1883,0),1.3))),"") </f>
        <v/>
      </c>
      <c r="M1883" s="39">
        <f>IFERROR(IF(OR(J1883=0,K1883=""),"",IF(E1883="Positivo",MAX(K1883/J1883,0),MAX(J1883/K1883,0))),"") </f>
        <v/>
      </c>
      <c r="N1883" t="inlineStr">
        <is>
          <t>ENT</t>
        </is>
      </c>
      <c r="O1883" t="inlineStr">
        <is>
          <t>ENT</t>
        </is>
      </c>
      <c r="P1883" t="n">
        <v>0</v>
      </c>
      <c r="Q1883" t="n">
        <v>0</v>
      </c>
      <c r="R1883" t="inlineStr">
        <is>
          <t>379-2025-06-30</t>
        </is>
      </c>
    </row>
    <row r="1884">
      <c r="A1884" t="n">
        <v>379</v>
      </c>
      <c r="B1884" t="inlineStr">
        <is>
          <t>Total estudiantes nuevos</t>
        </is>
      </c>
      <c r="C1884" t="inlineStr">
        <is>
          <t>Inscripción, admisión y matrícula de estudiantes nuevos</t>
        </is>
      </c>
      <c r="D1884" t="inlineStr">
        <is>
          <t>Trimestral</t>
        </is>
      </c>
      <c r="E1884" t="inlineStr">
        <is>
          <t>Positivo</t>
        </is>
      </c>
      <c r="F1884" s="111" t="n">
        <v>46022</v>
      </c>
      <c r="G1884" t="n">
        <v>2025</v>
      </c>
      <c r="H1884" t="inlineStr">
        <is>
          <t>Diciembre</t>
        </is>
      </c>
      <c r="I1884" t="inlineStr">
        <is>
          <t>2025-2</t>
        </is>
      </c>
      <c r="J1884" t="n">
        <v>100</v>
      </c>
      <c r="K1884" t="n">
        <v>102.41</v>
      </c>
      <c r="L1884" s="39">
        <f>IFERROR(IF(OR(J1884=0,K1884=""),"",IF(E1884="Positivo",MIN(MAX(K1884/J1884,0),1.3),MIN(MAX(J1884/K1884,0),1.3))),"") </f>
        <v/>
      </c>
      <c r="M1884" s="39">
        <f>IFERROR(IF(OR(J1884=0,K1884=""),"",IF(E1884="Positivo",MAX(K1884/J1884,0),MAX(J1884/K1884,0))),"") </f>
        <v/>
      </c>
      <c r="N1884" t="inlineStr">
        <is>
          <t>ENT</t>
        </is>
      </c>
      <c r="O1884" t="inlineStr">
        <is>
          <t>ENT</t>
        </is>
      </c>
      <c r="P1884" t="n">
        <v>0</v>
      </c>
      <c r="Q1884" t="n">
        <v>0</v>
      </c>
      <c r="R1884" t="inlineStr">
        <is>
          <t>379-2025-12-31</t>
        </is>
      </c>
    </row>
    <row r="1885">
      <c r="A1885" t="n">
        <v>380</v>
      </c>
      <c r="B1885" t="inlineStr">
        <is>
          <t>Ingresos de matriculas de estudiantes nuevos</t>
        </is>
      </c>
      <c r="C1885" t="inlineStr">
        <is>
          <t>Inscripción, admisión y matrícula de estudiantes nuevos</t>
        </is>
      </c>
      <c r="D1885" t="inlineStr">
        <is>
          <t>Semestral</t>
        </is>
      </c>
      <c r="E1885" t="inlineStr">
        <is>
          <t>Positivo</t>
        </is>
      </c>
      <c r="F1885" s="111" t="n">
        <v>45107</v>
      </c>
      <c r="G1885" t="n">
        <v>2023</v>
      </c>
      <c r="H1885" t="inlineStr">
        <is>
          <t>Junio</t>
        </is>
      </c>
      <c r="I1885" t="inlineStr">
        <is>
          <t>2023-1</t>
        </is>
      </c>
      <c r="J1885">
        <f>24659314309/1000000</f>
        <v/>
      </c>
      <c r="K1885">
        <f>25754085546/1000000</f>
        <v/>
      </c>
      <c r="L1885" s="39">
        <f>IFERROR(IF(OR(J1885=0,K1885=""),"",IF(E1885="Positivo",MIN(MAX(K1885/J1885,0),1.3),MIN(MAX(J1885/K1885,0),1.3))),"") </f>
        <v/>
      </c>
      <c r="M1885" s="39">
        <f>IFERROR(IF(OR(J1885=0,K1885=""),"",IF(E1885="Positivo",MAX(K1885/J1885,0),MAX(J1885/K1885,0))),"") </f>
        <v/>
      </c>
      <c r="N1885" t="inlineStr">
        <is>
          <t>$</t>
        </is>
      </c>
      <c r="O1885" t="inlineStr">
        <is>
          <t>$</t>
        </is>
      </c>
      <c r="P1885" t="n">
        <v>0</v>
      </c>
      <c r="Q1885" t="n">
        <v>0</v>
      </c>
      <c r="R1885" t="inlineStr">
        <is>
          <t>380-2023-06-30</t>
        </is>
      </c>
    </row>
    <row r="1886">
      <c r="A1886" t="n">
        <v>380</v>
      </c>
      <c r="B1886" t="inlineStr">
        <is>
          <t>Ingresos de matriculas de estudiantes nuevos</t>
        </is>
      </c>
      <c r="C1886" t="inlineStr">
        <is>
          <t>Inscripción, admisión y matrícula de estudiantes nuevos</t>
        </is>
      </c>
      <c r="D1886" t="inlineStr">
        <is>
          <t>Semestral</t>
        </is>
      </c>
      <c r="E1886" t="inlineStr">
        <is>
          <t>Positivo</t>
        </is>
      </c>
      <c r="F1886" s="111" t="n">
        <v>45291</v>
      </c>
      <c r="G1886" t="n">
        <v>2023</v>
      </c>
      <c r="H1886" t="inlineStr">
        <is>
          <t>Diciembre</t>
        </is>
      </c>
      <c r="I1886" t="inlineStr">
        <is>
          <t>2023-2</t>
        </is>
      </c>
      <c r="J1886">
        <f>24724802794/1000000</f>
        <v/>
      </c>
      <c r="K1886">
        <f>25340546506/1000000</f>
        <v/>
      </c>
      <c r="L1886" s="39">
        <f>IFERROR(IF(OR(J1886=0,K1886=""),"",IF(E1886="Positivo",MIN(MAX(K1886/J1886,0),1.3),MIN(MAX(J1886/K1886,0),1.3))),"") </f>
        <v/>
      </c>
      <c r="M1886" s="39">
        <f>IFERROR(IF(OR(J1886=0,K1886=""),"",IF(E1886="Positivo",MAX(K1886/J1886,0),MAX(J1886/K1886,0))),"") </f>
        <v/>
      </c>
      <c r="N1886" t="inlineStr">
        <is>
          <t>$</t>
        </is>
      </c>
      <c r="O1886" t="inlineStr">
        <is>
          <t>$</t>
        </is>
      </c>
      <c r="P1886" t="n">
        <v>0</v>
      </c>
      <c r="Q1886" t="n">
        <v>0</v>
      </c>
      <c r="R1886" t="inlineStr">
        <is>
          <t>380-2023-12-31</t>
        </is>
      </c>
    </row>
    <row r="1887">
      <c r="A1887" t="n">
        <v>380</v>
      </c>
      <c r="B1887" t="inlineStr">
        <is>
          <t>Ingresos de matriculas de estudiantes nuevos</t>
        </is>
      </c>
      <c r="C1887" t="inlineStr">
        <is>
          <t>Inscripción, admisión y matrícula de estudiantes nuevos</t>
        </is>
      </c>
      <c r="D1887" t="inlineStr">
        <is>
          <t>Semestral</t>
        </is>
      </c>
      <c r="E1887" t="inlineStr">
        <is>
          <t>Positivo</t>
        </is>
      </c>
      <c r="F1887" s="111" t="n">
        <v>45473</v>
      </c>
      <c r="G1887" t="n">
        <v>2024</v>
      </c>
      <c r="H1887" t="inlineStr">
        <is>
          <t>Junio</t>
        </is>
      </c>
      <c r="I1887" t="inlineStr">
        <is>
          <t>2024-1</t>
        </is>
      </c>
      <c r="J1887">
        <f>29596269870/1000000</f>
        <v/>
      </c>
      <c r="K1887">
        <f>28449632913/1000000</f>
        <v/>
      </c>
      <c r="L1887" s="39">
        <f>IFERROR(IF(OR(J1887=0,K1887=""),"",IF(E1887="Positivo",MIN(MAX(K1887/J1887,0),1.3),MIN(MAX(J1887/K1887,0),1.3))),"") </f>
        <v/>
      </c>
      <c r="M1887" s="39">
        <f>IFERROR(IF(OR(J1887=0,K1887=""),"",IF(E1887="Positivo",MAX(K1887/J1887,0),MAX(J1887/K1887,0))),"") </f>
        <v/>
      </c>
      <c r="N1887" t="inlineStr">
        <is>
          <t>$</t>
        </is>
      </c>
      <c r="O1887" t="inlineStr">
        <is>
          <t>$</t>
        </is>
      </c>
      <c r="P1887" t="n">
        <v>0</v>
      </c>
      <c r="Q1887" t="n">
        <v>0</v>
      </c>
      <c r="R1887" t="inlineStr">
        <is>
          <t>380-2024-06-30</t>
        </is>
      </c>
    </row>
    <row r="1888">
      <c r="A1888" t="n">
        <v>380</v>
      </c>
      <c r="B1888" t="inlineStr">
        <is>
          <t>Ingresos de matriculas de estudiantes nuevos</t>
        </is>
      </c>
      <c r="C1888" t="inlineStr">
        <is>
          <t>Inscripción, admisión y matrícula de estudiantes nuevos</t>
        </is>
      </c>
      <c r="D1888" t="inlineStr">
        <is>
          <t>Semestral</t>
        </is>
      </c>
      <c r="E1888" t="inlineStr">
        <is>
          <t>Positivo</t>
        </is>
      </c>
      <c r="F1888" s="111" t="n">
        <v>45657</v>
      </c>
      <c r="G1888" t="n">
        <v>2024</v>
      </c>
      <c r="H1888" t="inlineStr">
        <is>
          <t>Diciembre</t>
        </is>
      </c>
      <c r="I1888" t="inlineStr">
        <is>
          <t>2024-2</t>
        </is>
      </c>
      <c r="J1888" t="n">
        <v>100</v>
      </c>
      <c r="K1888" t="n">
        <v>78.92</v>
      </c>
      <c r="L1888" s="39">
        <f>IFERROR(IF(OR(J1888=0,K1888=""),"",IF(E1888="Positivo",MIN(MAX(K1888/J1888,0),1.3),MIN(MAX(J1888/K1888,0),1.3))),"") </f>
        <v/>
      </c>
      <c r="M1888" s="39">
        <f>IFERROR(IF(OR(J1888=0,K1888=""),"",IF(E1888="Positivo",MAX(K1888/J1888,0),MAX(J1888/K1888,0))),"") </f>
        <v/>
      </c>
      <c r="N1888" t="inlineStr">
        <is>
          <t>$</t>
        </is>
      </c>
      <c r="O1888" t="inlineStr">
        <is>
          <t>$</t>
        </is>
      </c>
      <c r="P1888" t="n">
        <v>0</v>
      </c>
      <c r="Q1888" t="n">
        <v>0</v>
      </c>
      <c r="R1888" t="inlineStr">
        <is>
          <t>380-2024-12-31</t>
        </is>
      </c>
    </row>
    <row r="1889">
      <c r="A1889" t="n">
        <v>381</v>
      </c>
      <c r="B1889" t="inlineStr">
        <is>
          <t>Cumplimiento de matrículas pregrado presencial nuevos</t>
        </is>
      </c>
      <c r="C1889" t="inlineStr">
        <is>
          <t>Inscripción, admisión y matrícula de estudiantes nuevos</t>
        </is>
      </c>
      <c r="D1889" t="inlineStr">
        <is>
          <t>Semestral</t>
        </is>
      </c>
      <c r="E1889" t="inlineStr">
        <is>
          <t>Positivo</t>
        </is>
      </c>
      <c r="F1889" s="111" t="n">
        <v>45107</v>
      </c>
      <c r="G1889" t="n">
        <v>2023</v>
      </c>
      <c r="H1889" t="inlineStr">
        <is>
          <t>Junio</t>
        </is>
      </c>
      <c r="I1889" t="inlineStr">
        <is>
          <t>2023-1</t>
        </is>
      </c>
      <c r="J1889" t="n">
        <v>100</v>
      </c>
      <c r="K1889" t="n">
        <v>104.27170868347</v>
      </c>
      <c r="L1889" s="39">
        <f>IFERROR(IF(OR(J1889=0,K1889=""),"",IF(E1889="Positivo",MIN(MAX(K1889/J1889,0),1.3),MIN(MAX(J1889/K1889,0),1.3))),"") </f>
        <v/>
      </c>
      <c r="M1889" s="39">
        <f>IFERROR(IF(OR(J1889=0,K1889=""),"",IF(E1889="Positivo",MAX(K1889/J1889,0),MAX(J1889/K1889,0))),"") </f>
        <v/>
      </c>
      <c r="N1889" t="inlineStr">
        <is>
          <t>ENT</t>
        </is>
      </c>
      <c r="O1889" t="inlineStr">
        <is>
          <t>ENT</t>
        </is>
      </c>
      <c r="P1889" t="n">
        <v>0</v>
      </c>
      <c r="Q1889" t="n">
        <v>0</v>
      </c>
      <c r="R1889" t="inlineStr">
        <is>
          <t>381-2023-06-30</t>
        </is>
      </c>
    </row>
    <row r="1890">
      <c r="A1890" t="n">
        <v>381</v>
      </c>
      <c r="B1890" t="inlineStr">
        <is>
          <t>Cumplimiento de matrículas pregrado presencial nuevos</t>
        </is>
      </c>
      <c r="C1890" t="inlineStr">
        <is>
          <t>Inscripción, admisión y matrícula de estudiantes nuevos</t>
        </is>
      </c>
      <c r="D1890" t="inlineStr">
        <is>
          <t>Semestral</t>
        </is>
      </c>
      <c r="E1890" t="inlineStr">
        <is>
          <t>Positivo</t>
        </is>
      </c>
      <c r="F1890" s="111" t="n">
        <v>45291</v>
      </c>
      <c r="G1890" t="n">
        <v>2023</v>
      </c>
      <c r="H1890" t="inlineStr">
        <is>
          <t>Diciembre</t>
        </is>
      </c>
      <c r="I1890" t="inlineStr">
        <is>
          <t>2023-2</t>
        </is>
      </c>
      <c r="J1890" t="n">
        <v>100</v>
      </c>
      <c r="K1890" t="n">
        <v>113.7</v>
      </c>
      <c r="L1890" s="39">
        <f>IFERROR(IF(OR(J1890=0,K1890=""),"",IF(E1890="Positivo",MIN(MAX(K1890/J1890,0),1.3),MIN(MAX(J1890/K1890,0),1.3))),"") </f>
        <v/>
      </c>
      <c r="M1890" s="39">
        <f>IFERROR(IF(OR(J1890=0,K1890=""),"",IF(E1890="Positivo",MAX(K1890/J1890,0),MAX(J1890/K1890,0))),"") </f>
        <v/>
      </c>
      <c r="N1890" t="inlineStr">
        <is>
          <t>ENT</t>
        </is>
      </c>
      <c r="O1890" t="inlineStr">
        <is>
          <t>ENT</t>
        </is>
      </c>
      <c r="P1890" t="n">
        <v>0</v>
      </c>
      <c r="Q1890" t="n">
        <v>0</v>
      </c>
      <c r="R1890" t="inlineStr">
        <is>
          <t>381-2023-12-31</t>
        </is>
      </c>
    </row>
    <row r="1891">
      <c r="A1891" t="n">
        <v>381</v>
      </c>
      <c r="B1891" t="inlineStr">
        <is>
          <t>Cumplimiento de matrículas pregrado presencial nuevos</t>
        </is>
      </c>
      <c r="C1891" t="inlineStr">
        <is>
          <t>Inscripción, admisión y matrícula de estudiantes nuevos</t>
        </is>
      </c>
      <c r="D1891" t="inlineStr">
        <is>
          <t>Semestral</t>
        </is>
      </c>
      <c r="E1891" t="inlineStr">
        <is>
          <t>Positivo</t>
        </is>
      </c>
      <c r="F1891" s="111" t="n">
        <v>45473</v>
      </c>
      <c r="G1891" t="n">
        <v>2024</v>
      </c>
      <c r="H1891" t="inlineStr">
        <is>
          <t>Junio</t>
        </is>
      </c>
      <c r="I1891" t="inlineStr">
        <is>
          <t>2024-1</t>
        </is>
      </c>
      <c r="J1891" t="n">
        <v>100</v>
      </c>
      <c r="K1891" t="n">
        <v>105.26</v>
      </c>
      <c r="L1891" s="39">
        <f>IFERROR(IF(OR(J1891=0,K1891=""),"",IF(E1891="Positivo",MIN(MAX(K1891/J1891,0),1.3),MIN(MAX(J1891/K1891,0),1.3))),"") </f>
        <v/>
      </c>
      <c r="M1891" s="39">
        <f>IFERROR(IF(OR(J1891=0,K1891=""),"",IF(E1891="Positivo",MAX(K1891/J1891,0),MAX(J1891/K1891,0))),"") </f>
        <v/>
      </c>
      <c r="N1891" t="inlineStr">
        <is>
          <t>ENT</t>
        </is>
      </c>
      <c r="O1891" t="inlineStr">
        <is>
          <t>ENT</t>
        </is>
      </c>
      <c r="P1891" t="n">
        <v>0</v>
      </c>
      <c r="Q1891" t="n">
        <v>0</v>
      </c>
      <c r="R1891" t="inlineStr">
        <is>
          <t>381-2024-06-30</t>
        </is>
      </c>
    </row>
    <row r="1892">
      <c r="A1892" t="n">
        <v>381</v>
      </c>
      <c r="B1892" t="inlineStr">
        <is>
          <t>Cumplimiento de matrículas pregrado presencial nuevos</t>
        </is>
      </c>
      <c r="C1892" t="inlineStr">
        <is>
          <t>Inscripción, admisión y matrícula de estudiantes nuevos</t>
        </is>
      </c>
      <c r="D1892" t="inlineStr">
        <is>
          <t>Semestral</t>
        </is>
      </c>
      <c r="E1892" t="inlineStr">
        <is>
          <t>Positivo</t>
        </is>
      </c>
      <c r="F1892" s="111" t="n">
        <v>45657</v>
      </c>
      <c r="G1892" t="n">
        <v>2024</v>
      </c>
      <c r="H1892" t="inlineStr">
        <is>
          <t>Diciembre</t>
        </is>
      </c>
      <c r="I1892" t="inlineStr">
        <is>
          <t>2024-2</t>
        </is>
      </c>
      <c r="J1892" t="n">
        <v>100</v>
      </c>
      <c r="K1892" t="n">
        <v>89.19</v>
      </c>
      <c r="L1892" s="39">
        <f>IFERROR(IF(OR(J1892=0,K1892=""),"",IF(E1892="Positivo",MIN(MAX(K1892/J1892,0),1.3),MIN(MAX(J1892/K1892,0),1.3))),"") </f>
        <v/>
      </c>
      <c r="M1892" s="39">
        <f>IFERROR(IF(OR(J1892=0,K1892=""),"",IF(E1892="Positivo",MAX(K1892/J1892,0),MAX(J1892/K1892,0))),"") </f>
        <v/>
      </c>
      <c r="N1892" t="inlineStr">
        <is>
          <t>ENT</t>
        </is>
      </c>
      <c r="O1892" t="inlineStr">
        <is>
          <t>ENT</t>
        </is>
      </c>
      <c r="P1892" t="n">
        <v>0</v>
      </c>
      <c r="Q1892" t="n">
        <v>0</v>
      </c>
      <c r="R1892" t="inlineStr">
        <is>
          <t>381-2024-12-31</t>
        </is>
      </c>
    </row>
    <row r="1893">
      <c r="A1893" t="n">
        <v>381</v>
      </c>
      <c r="B1893" t="inlineStr">
        <is>
          <t>Cumplimiento de matrículas pregrado presencial nuevos</t>
        </is>
      </c>
      <c r="C1893" t="inlineStr">
        <is>
          <t>Inscripción, admisión y matrícula de estudiantes nuevos</t>
        </is>
      </c>
      <c r="D1893" t="inlineStr">
        <is>
          <t>Semestral</t>
        </is>
      </c>
      <c r="E1893" t="inlineStr">
        <is>
          <t>Positivo</t>
        </is>
      </c>
      <c r="F1893" s="111" t="n">
        <v>45838</v>
      </c>
      <c r="G1893" t="n">
        <v>2025</v>
      </c>
      <c r="H1893" t="inlineStr">
        <is>
          <t>Junio</t>
        </is>
      </c>
      <c r="I1893" t="inlineStr">
        <is>
          <t>2025-1</t>
        </is>
      </c>
      <c r="J1893" t="n">
        <v>100</v>
      </c>
      <c r="K1893" t="n">
        <v>98.22</v>
      </c>
      <c r="L1893" s="39">
        <f>IFERROR(IF(OR(J1893=0,K1893=""),"",IF(E1893="Positivo",MIN(MAX(K1893/J1893,0),1.3),MIN(MAX(J1893/K1893,0),1.3))),"") </f>
        <v/>
      </c>
      <c r="M1893" s="39">
        <f>IFERROR(IF(OR(J1893=0,K1893=""),"",IF(E1893="Positivo",MAX(K1893/J1893,0),MAX(J1893/K1893,0))),"") </f>
        <v/>
      </c>
      <c r="N1893" t="inlineStr">
        <is>
          <t>ENT</t>
        </is>
      </c>
      <c r="O1893" t="inlineStr">
        <is>
          <t>ENT</t>
        </is>
      </c>
      <c r="P1893" t="n">
        <v>0</v>
      </c>
      <c r="Q1893" t="n">
        <v>0</v>
      </c>
      <c r="R1893" t="inlineStr">
        <is>
          <t>381-2025-06-30</t>
        </is>
      </c>
    </row>
    <row r="1894">
      <c r="A1894" t="n">
        <v>381</v>
      </c>
      <c r="B1894" t="inlineStr">
        <is>
          <t>Cumplimiento de matrículas pregrado presencial nuevos</t>
        </is>
      </c>
      <c r="C1894" t="inlineStr">
        <is>
          <t>Inscripción, admisión y matrícula de estudiantes nuevos</t>
        </is>
      </c>
      <c r="D1894" t="inlineStr">
        <is>
          <t>Trimestral</t>
        </is>
      </c>
      <c r="E1894" t="inlineStr">
        <is>
          <t>Positivo</t>
        </is>
      </c>
      <c r="F1894" s="111" t="n">
        <v>46022</v>
      </c>
      <c r="G1894" t="n">
        <v>2025</v>
      </c>
      <c r="H1894" t="inlineStr">
        <is>
          <t>Diciembre</t>
        </is>
      </c>
      <c r="I1894" t="inlineStr">
        <is>
          <t>2025-2</t>
        </is>
      </c>
      <c r="J1894" t="n">
        <v>100</v>
      </c>
      <c r="K1894" t="n">
        <v>113.66</v>
      </c>
      <c r="L1894" s="39">
        <f>IFERROR(IF(OR(J1894=0,K1894=""),"",IF(E1894="Positivo",MIN(MAX(K1894/J1894,0),1.3),MIN(MAX(J1894/K1894,0),1.3))),"") </f>
        <v/>
      </c>
      <c r="M1894" s="39">
        <f>IFERROR(IF(OR(J1894=0,K1894=""),"",IF(E1894="Positivo",MAX(K1894/J1894,0),MAX(J1894/K1894,0))),"") </f>
        <v/>
      </c>
      <c r="N1894" t="inlineStr">
        <is>
          <t>ENT</t>
        </is>
      </c>
      <c r="O1894" t="inlineStr">
        <is>
          <t>ENT</t>
        </is>
      </c>
      <c r="P1894" t="n">
        <v>0</v>
      </c>
      <c r="Q1894" t="n">
        <v>0</v>
      </c>
      <c r="R1894" t="inlineStr">
        <is>
          <t>381-2025-12-31</t>
        </is>
      </c>
    </row>
    <row r="1895">
      <c r="A1895" t="n">
        <v>382</v>
      </c>
      <c r="B1895" t="inlineStr">
        <is>
          <t>Cumplimiento de matrículas pregrado virtual nuevos</t>
        </is>
      </c>
      <c r="C1895" t="inlineStr">
        <is>
          <t>Inscripción, admisión y matrícula de estudiantes nuevos</t>
        </is>
      </c>
      <c r="D1895" t="inlineStr">
        <is>
          <t>Semestral</t>
        </is>
      </c>
      <c r="E1895" t="inlineStr">
        <is>
          <t>Positivo</t>
        </is>
      </c>
      <c r="F1895" s="111" t="n">
        <v>45107</v>
      </c>
      <c r="G1895" t="n">
        <v>2023</v>
      </c>
      <c r="H1895" t="inlineStr">
        <is>
          <t>Junio</t>
        </is>
      </c>
      <c r="I1895" t="inlineStr">
        <is>
          <t>2023-1</t>
        </is>
      </c>
      <c r="J1895" t="n">
        <v>100</v>
      </c>
      <c r="K1895" t="n">
        <v>101.25041131951</v>
      </c>
      <c r="L1895" s="39">
        <f>IFERROR(IF(OR(J1895=0,K1895=""),"",IF(E1895="Positivo",MIN(MAX(K1895/J1895,0),1.3),MIN(MAX(J1895/K1895,0),1.3))),"") </f>
        <v/>
      </c>
      <c r="M1895" s="39">
        <f>IFERROR(IF(OR(J1895=0,K1895=""),"",IF(E1895="Positivo",MAX(K1895/J1895,0),MAX(J1895/K1895,0))),"") </f>
        <v/>
      </c>
      <c r="N1895" t="inlineStr">
        <is>
          <t>ENT</t>
        </is>
      </c>
      <c r="O1895" t="inlineStr">
        <is>
          <t>ENT</t>
        </is>
      </c>
      <c r="P1895" t="n">
        <v>0</v>
      </c>
      <c r="Q1895" t="n">
        <v>0</v>
      </c>
      <c r="R1895" t="inlineStr">
        <is>
          <t>382-2023-06-30</t>
        </is>
      </c>
    </row>
    <row r="1896">
      <c r="A1896" t="n">
        <v>382</v>
      </c>
      <c r="B1896" t="inlineStr">
        <is>
          <t>Cumplimiento de matrículas pregrado virtual nuevos</t>
        </is>
      </c>
      <c r="C1896" t="inlineStr">
        <is>
          <t>Inscripción, admisión y matrícula de estudiantes nuevos</t>
        </is>
      </c>
      <c r="D1896" t="inlineStr">
        <is>
          <t>Semestral</t>
        </is>
      </c>
      <c r="E1896" t="inlineStr">
        <is>
          <t>Positivo</t>
        </is>
      </c>
      <c r="F1896" s="111" t="n">
        <v>45291</v>
      </c>
      <c r="G1896" t="n">
        <v>2023</v>
      </c>
      <c r="H1896" t="inlineStr">
        <is>
          <t>Diciembre</t>
        </is>
      </c>
      <c r="I1896" t="inlineStr">
        <is>
          <t>2023-2</t>
        </is>
      </c>
      <c r="J1896" t="n">
        <v>100</v>
      </c>
      <c r="K1896" t="n">
        <v>103.01</v>
      </c>
      <c r="L1896" s="39">
        <f>IFERROR(IF(OR(J1896=0,K1896=""),"",IF(E1896="Positivo",MIN(MAX(K1896/J1896,0),1.3),MIN(MAX(J1896/K1896,0),1.3))),"") </f>
        <v/>
      </c>
      <c r="M1896" s="39">
        <f>IFERROR(IF(OR(J1896=0,K1896=""),"",IF(E1896="Positivo",MAX(K1896/J1896,0),MAX(J1896/K1896,0))),"") </f>
        <v/>
      </c>
      <c r="N1896" t="inlineStr">
        <is>
          <t>ENT</t>
        </is>
      </c>
      <c r="O1896" t="inlineStr">
        <is>
          <t>ENT</t>
        </is>
      </c>
      <c r="P1896" t="n">
        <v>0</v>
      </c>
      <c r="Q1896" t="n">
        <v>0</v>
      </c>
      <c r="R1896" t="inlineStr">
        <is>
          <t>382-2023-12-31</t>
        </is>
      </c>
    </row>
    <row r="1897">
      <c r="A1897" t="n">
        <v>382</v>
      </c>
      <c r="B1897" t="inlineStr">
        <is>
          <t>Cumplimiento de matrículas pregrado virtual nuevos</t>
        </is>
      </c>
      <c r="C1897" t="inlineStr">
        <is>
          <t>Inscripción, admisión y matrícula de estudiantes nuevos</t>
        </is>
      </c>
      <c r="D1897" t="inlineStr">
        <is>
          <t>Semestral</t>
        </is>
      </c>
      <c r="E1897" t="inlineStr">
        <is>
          <t>Positivo</t>
        </is>
      </c>
      <c r="F1897" s="111" t="n">
        <v>45473</v>
      </c>
      <c r="G1897" t="n">
        <v>2024</v>
      </c>
      <c r="H1897" t="inlineStr">
        <is>
          <t>Junio</t>
        </is>
      </c>
      <c r="I1897" t="inlineStr">
        <is>
          <t>2024-1</t>
        </is>
      </c>
      <c r="J1897" t="n">
        <v>100</v>
      </c>
      <c r="K1897" t="n">
        <v>93.7</v>
      </c>
      <c r="L1897" s="39">
        <f>IFERROR(IF(OR(J1897=0,K1897=""),"",IF(E1897="Positivo",MIN(MAX(K1897/J1897,0),1.3),MIN(MAX(J1897/K1897,0),1.3))),"") </f>
        <v/>
      </c>
      <c r="M1897" s="39">
        <f>IFERROR(IF(OR(J1897=0,K1897=""),"",IF(E1897="Positivo",MAX(K1897/J1897,0),MAX(J1897/K1897,0))),"") </f>
        <v/>
      </c>
      <c r="N1897" t="inlineStr">
        <is>
          <t>ENT</t>
        </is>
      </c>
      <c r="O1897" t="inlineStr">
        <is>
          <t>ENT</t>
        </is>
      </c>
      <c r="P1897" t="n">
        <v>0</v>
      </c>
      <c r="Q1897" t="n">
        <v>0</v>
      </c>
      <c r="R1897" t="inlineStr">
        <is>
          <t>382-2024-06-30</t>
        </is>
      </c>
    </row>
    <row r="1898">
      <c r="A1898" t="n">
        <v>382</v>
      </c>
      <c r="B1898" t="inlineStr">
        <is>
          <t>Cumplimiento de matrículas pregrado virtual nuevos</t>
        </is>
      </c>
      <c r="C1898" t="inlineStr">
        <is>
          <t>Inscripción, admisión y matrícula de estudiantes nuevos</t>
        </is>
      </c>
      <c r="D1898" t="inlineStr">
        <is>
          <t>Semestral</t>
        </is>
      </c>
      <c r="E1898" t="inlineStr">
        <is>
          <t>Positivo</t>
        </is>
      </c>
      <c r="F1898" s="111" t="n">
        <v>45657</v>
      </c>
      <c r="G1898" t="n">
        <v>2024</v>
      </c>
      <c r="H1898" t="inlineStr">
        <is>
          <t>Diciembre</t>
        </is>
      </c>
      <c r="I1898" t="inlineStr">
        <is>
          <t>2024-2</t>
        </is>
      </c>
      <c r="J1898" t="n">
        <v>100</v>
      </c>
      <c r="K1898" t="n">
        <v>98.13</v>
      </c>
      <c r="L1898" s="39">
        <f>IFERROR(IF(OR(J1898=0,K1898=""),"",IF(E1898="Positivo",MIN(MAX(K1898/J1898,0),1.3),MIN(MAX(J1898/K1898,0),1.3))),"") </f>
        <v/>
      </c>
      <c r="M1898" s="39">
        <f>IFERROR(IF(OR(J1898=0,K1898=""),"",IF(E1898="Positivo",MAX(K1898/J1898,0),MAX(J1898/K1898,0))),"") </f>
        <v/>
      </c>
      <c r="N1898" t="inlineStr">
        <is>
          <t>ENT</t>
        </is>
      </c>
      <c r="O1898" t="inlineStr">
        <is>
          <t>ENT</t>
        </is>
      </c>
      <c r="P1898" t="n">
        <v>0</v>
      </c>
      <c r="Q1898" t="n">
        <v>0</v>
      </c>
      <c r="R1898" t="inlineStr">
        <is>
          <t>382-2024-12-31</t>
        </is>
      </c>
    </row>
    <row r="1899">
      <c r="A1899" t="n">
        <v>382</v>
      </c>
      <c r="B1899" t="inlineStr">
        <is>
          <t>Cumplimiento de matrículas pregrado virtual nuevos</t>
        </is>
      </c>
      <c r="C1899" t="inlineStr">
        <is>
          <t>Inscripción, admisión y matrícula de estudiantes nuevos</t>
        </is>
      </c>
      <c r="D1899" t="inlineStr">
        <is>
          <t>Semestral</t>
        </is>
      </c>
      <c r="E1899" t="inlineStr">
        <is>
          <t>Positivo</t>
        </is>
      </c>
      <c r="F1899" s="111" t="n">
        <v>45838</v>
      </c>
      <c r="G1899" t="n">
        <v>2025</v>
      </c>
      <c r="H1899" t="inlineStr">
        <is>
          <t>Junio</t>
        </is>
      </c>
      <c r="I1899" t="inlineStr">
        <is>
          <t>2025-1</t>
        </is>
      </c>
      <c r="J1899" t="n">
        <v>100</v>
      </c>
      <c r="K1899" t="n">
        <v>99.84999999999999</v>
      </c>
      <c r="L1899" s="39">
        <f>IFERROR(IF(OR(J1899=0,K1899=""),"",IF(E1899="Positivo",MIN(MAX(K1899/J1899,0),1.3),MIN(MAX(J1899/K1899,0),1.3))),"") </f>
        <v/>
      </c>
      <c r="M1899" s="39">
        <f>IFERROR(IF(OR(J1899=0,K1899=""),"",IF(E1899="Positivo",MAX(K1899/J1899,0),MAX(J1899/K1899,0))),"") </f>
        <v/>
      </c>
      <c r="N1899" t="inlineStr">
        <is>
          <t>ENT</t>
        </is>
      </c>
      <c r="O1899" t="inlineStr">
        <is>
          <t>ENT</t>
        </is>
      </c>
      <c r="P1899" t="n">
        <v>0</v>
      </c>
      <c r="Q1899" t="n">
        <v>0</v>
      </c>
      <c r="R1899" t="inlineStr">
        <is>
          <t>382-2025-06-30</t>
        </is>
      </c>
    </row>
    <row r="1900">
      <c r="A1900" t="n">
        <v>382</v>
      </c>
      <c r="B1900" t="inlineStr">
        <is>
          <t>Cumplimiento de matrículas pregrado virtual nuevos</t>
        </is>
      </c>
      <c r="C1900" t="inlineStr">
        <is>
          <t>Inscripción, admisión y matrícula de estudiantes nuevos</t>
        </is>
      </c>
      <c r="D1900" t="inlineStr">
        <is>
          <t>Trimestral</t>
        </is>
      </c>
      <c r="E1900" t="inlineStr">
        <is>
          <t>Positivo</t>
        </is>
      </c>
      <c r="F1900" s="111" t="n">
        <v>46022</v>
      </c>
      <c r="G1900" t="n">
        <v>2025</v>
      </c>
      <c r="H1900" t="inlineStr">
        <is>
          <t>Diciembre</t>
        </is>
      </c>
      <c r="I1900" t="inlineStr">
        <is>
          <t>2025-2</t>
        </is>
      </c>
      <c r="J1900" t="n">
        <v>100</v>
      </c>
      <c r="K1900" t="n">
        <v>97.20999999999999</v>
      </c>
      <c r="L1900" s="39">
        <f>IFERROR(IF(OR(J1900=0,K1900=""),"",IF(E1900="Positivo",MIN(MAX(K1900/J1900,0),1.3),MIN(MAX(J1900/K1900,0),1.3))),"") </f>
        <v/>
      </c>
      <c r="M1900" s="39">
        <f>IFERROR(IF(OR(J1900=0,K1900=""),"",IF(E1900="Positivo",MAX(K1900/J1900,0),MAX(J1900/K1900,0))),"") </f>
        <v/>
      </c>
      <c r="N1900" t="inlineStr">
        <is>
          <t>ENT</t>
        </is>
      </c>
      <c r="O1900" t="inlineStr">
        <is>
          <t>ENT</t>
        </is>
      </c>
      <c r="P1900" t="n">
        <v>0</v>
      </c>
      <c r="Q1900" t="n">
        <v>0</v>
      </c>
      <c r="R1900" t="inlineStr">
        <is>
          <t>382-2025-12-31</t>
        </is>
      </c>
    </row>
    <row r="1901">
      <c r="A1901" t="n">
        <v>383</v>
      </c>
      <c r="B1901" t="inlineStr">
        <is>
          <t>Cumplimiento de matrículas posgrado virtual nuevos</t>
        </is>
      </c>
      <c r="C1901" t="inlineStr">
        <is>
          <t>Inscripción, admisión y matrícula de estudiantes nuevos</t>
        </is>
      </c>
      <c r="D1901" t="inlineStr">
        <is>
          <t>Semestral</t>
        </is>
      </c>
      <c r="E1901" t="inlineStr">
        <is>
          <t>Positivo</t>
        </is>
      </c>
      <c r="F1901" s="111" t="n">
        <v>45107</v>
      </c>
      <c r="G1901" t="n">
        <v>2023</v>
      </c>
      <c r="H1901" t="inlineStr">
        <is>
          <t>Junio</t>
        </is>
      </c>
      <c r="I1901" t="inlineStr">
        <is>
          <t>2023-1</t>
        </is>
      </c>
      <c r="J1901" t="n">
        <v>100</v>
      </c>
      <c r="K1901" t="n">
        <v>109.38232994527</v>
      </c>
      <c r="L1901" s="39">
        <f>IFERROR(IF(OR(J1901=0,K1901=""),"",IF(E1901="Positivo",MIN(MAX(K1901/J1901,0),1.3),MIN(MAX(J1901/K1901,0),1.3))),"") </f>
        <v/>
      </c>
      <c r="M1901" s="39">
        <f>IFERROR(IF(OR(J1901=0,K1901=""),"",IF(E1901="Positivo",MAX(K1901/J1901,0),MAX(J1901/K1901,0))),"") </f>
        <v/>
      </c>
      <c r="N1901" t="inlineStr">
        <is>
          <t>ENT</t>
        </is>
      </c>
      <c r="O1901" t="inlineStr">
        <is>
          <t>ENT</t>
        </is>
      </c>
      <c r="P1901" t="n">
        <v>0</v>
      </c>
      <c r="Q1901" t="n">
        <v>0</v>
      </c>
      <c r="R1901" t="inlineStr">
        <is>
          <t>383-2023-06-30</t>
        </is>
      </c>
    </row>
    <row r="1902">
      <c r="A1902" t="n">
        <v>383</v>
      </c>
      <c r="B1902" t="inlineStr">
        <is>
          <t>Cumplimiento de matrículas posgrado virtual nuevos</t>
        </is>
      </c>
      <c r="C1902" t="inlineStr">
        <is>
          <t>Inscripción, admisión y matrícula de estudiantes nuevos</t>
        </is>
      </c>
      <c r="D1902" t="inlineStr">
        <is>
          <t>Semestral</t>
        </is>
      </c>
      <c r="E1902" t="inlineStr">
        <is>
          <t>Positivo</t>
        </is>
      </c>
      <c r="F1902" s="111" t="n">
        <v>45291</v>
      </c>
      <c r="G1902" t="n">
        <v>2023</v>
      </c>
      <c r="H1902" t="inlineStr">
        <is>
          <t>Diciembre</t>
        </is>
      </c>
      <c r="I1902" t="inlineStr">
        <is>
          <t>2023-2</t>
        </is>
      </c>
      <c r="J1902" t="n">
        <v>100</v>
      </c>
      <c r="K1902" t="n">
        <v>148.66</v>
      </c>
      <c r="L1902" s="39">
        <f>IFERROR(IF(OR(J1902=0,K1902=""),"",IF(E1902="Positivo",MIN(MAX(K1902/J1902,0),1.3),MIN(MAX(J1902/K1902,0),1.3))),"") </f>
        <v/>
      </c>
      <c r="M1902" s="39">
        <f>IFERROR(IF(OR(J1902=0,K1902=""),"",IF(E1902="Positivo",MAX(K1902/J1902,0),MAX(J1902/K1902,0))),"") </f>
        <v/>
      </c>
      <c r="N1902" t="inlineStr">
        <is>
          <t>ENT</t>
        </is>
      </c>
      <c r="O1902" t="inlineStr">
        <is>
          <t>ENT</t>
        </is>
      </c>
      <c r="P1902" t="n">
        <v>0</v>
      </c>
      <c r="Q1902" t="n">
        <v>0</v>
      </c>
      <c r="R1902" t="inlineStr">
        <is>
          <t>383-2023-12-31</t>
        </is>
      </c>
    </row>
    <row r="1903">
      <c r="A1903" t="n">
        <v>383</v>
      </c>
      <c r="B1903" t="inlineStr">
        <is>
          <t>Cumplimiento de matrículas posgrado virtual nuevos</t>
        </is>
      </c>
      <c r="C1903" t="inlineStr">
        <is>
          <t>Inscripción, admisión y matrícula de estudiantes nuevos</t>
        </is>
      </c>
      <c r="D1903" t="inlineStr">
        <is>
          <t>Semestral</t>
        </is>
      </c>
      <c r="E1903" t="inlineStr">
        <is>
          <t>Positivo</t>
        </is>
      </c>
      <c r="F1903" s="111" t="n">
        <v>45473</v>
      </c>
      <c r="G1903" t="n">
        <v>2024</v>
      </c>
      <c r="H1903" t="inlineStr">
        <is>
          <t>Junio</t>
        </is>
      </c>
      <c r="I1903" t="inlineStr">
        <is>
          <t>2024-1</t>
        </is>
      </c>
      <c r="J1903" t="n">
        <v>100</v>
      </c>
      <c r="K1903" t="n">
        <v>100.2</v>
      </c>
      <c r="L1903" s="39">
        <f>IFERROR(IF(OR(J1903=0,K1903=""),"",IF(E1903="Positivo",MIN(MAX(K1903/J1903,0),1.3),MIN(MAX(J1903/K1903,0),1.3))),"") </f>
        <v/>
      </c>
      <c r="M1903" s="39">
        <f>IFERROR(IF(OR(J1903=0,K1903=""),"",IF(E1903="Positivo",MAX(K1903/J1903,0),MAX(J1903/K1903,0))),"") </f>
        <v/>
      </c>
      <c r="N1903" t="inlineStr">
        <is>
          <t>ENT</t>
        </is>
      </c>
      <c r="O1903" t="inlineStr">
        <is>
          <t>ENT</t>
        </is>
      </c>
      <c r="P1903" t="n">
        <v>0</v>
      </c>
      <c r="Q1903" t="n">
        <v>0</v>
      </c>
      <c r="R1903" t="inlineStr">
        <is>
          <t>383-2024-06-30</t>
        </is>
      </c>
    </row>
    <row r="1904">
      <c r="A1904" t="n">
        <v>383</v>
      </c>
      <c r="B1904" t="inlineStr">
        <is>
          <t>Cumplimiento de matrículas posgrado virtual nuevos</t>
        </is>
      </c>
      <c r="C1904" t="inlineStr">
        <is>
          <t>Inscripción, admisión y matrícula de estudiantes nuevos</t>
        </is>
      </c>
      <c r="D1904" t="inlineStr">
        <is>
          <t>Semestral</t>
        </is>
      </c>
      <c r="E1904" t="inlineStr">
        <is>
          <t>Positivo</t>
        </is>
      </c>
      <c r="F1904" s="111" t="n">
        <v>45657</v>
      </c>
      <c r="G1904" t="n">
        <v>2024</v>
      </c>
      <c r="H1904" t="inlineStr">
        <is>
          <t>Diciembre</t>
        </is>
      </c>
      <c r="I1904" t="inlineStr">
        <is>
          <t>2024-2</t>
        </is>
      </c>
      <c r="J1904" t="n">
        <v>100</v>
      </c>
      <c r="K1904" t="n">
        <v>120.71</v>
      </c>
      <c r="L1904" s="39">
        <f>IFERROR(IF(OR(J1904=0,K1904=""),"",IF(E1904="Positivo",MIN(MAX(K1904/J1904,0),1.3),MIN(MAX(J1904/K1904,0),1.3))),"") </f>
        <v/>
      </c>
      <c r="M1904" s="39">
        <f>IFERROR(IF(OR(J1904=0,K1904=""),"",IF(E1904="Positivo",MAX(K1904/J1904,0),MAX(J1904/K1904,0))),"") </f>
        <v/>
      </c>
      <c r="N1904" t="inlineStr">
        <is>
          <t>ENT</t>
        </is>
      </c>
      <c r="O1904" t="inlineStr">
        <is>
          <t>ENT</t>
        </is>
      </c>
      <c r="P1904" t="n">
        <v>0</v>
      </c>
      <c r="Q1904" t="n">
        <v>0</v>
      </c>
      <c r="R1904" t="inlineStr">
        <is>
          <t>383-2024-12-31</t>
        </is>
      </c>
    </row>
    <row r="1905">
      <c r="A1905" t="n">
        <v>383</v>
      </c>
      <c r="B1905" t="inlineStr">
        <is>
          <t>Cumplimiento de matrículas posgrado virtual nuevos</t>
        </is>
      </c>
      <c r="C1905" t="inlineStr">
        <is>
          <t>Inscripción, admisión y matrícula de estudiantes nuevos</t>
        </is>
      </c>
      <c r="D1905" t="inlineStr">
        <is>
          <t>Semestral</t>
        </is>
      </c>
      <c r="E1905" t="inlineStr">
        <is>
          <t>Positivo</t>
        </is>
      </c>
      <c r="F1905" s="111" t="n">
        <v>45838</v>
      </c>
      <c r="G1905" t="n">
        <v>2025</v>
      </c>
      <c r="H1905" t="inlineStr">
        <is>
          <t>Junio</t>
        </is>
      </c>
      <c r="I1905" t="inlineStr">
        <is>
          <t>2025-1</t>
        </is>
      </c>
      <c r="J1905" t="n">
        <v>100</v>
      </c>
      <c r="K1905" t="n">
        <v>136.96</v>
      </c>
      <c r="L1905" s="39">
        <f>IFERROR(IF(OR(J1905=0,K1905=""),"",IF(E1905="Positivo",MIN(MAX(K1905/J1905,0),1.3),MIN(MAX(J1905/K1905,0),1.3))),"") </f>
        <v/>
      </c>
      <c r="M1905" s="39">
        <f>IFERROR(IF(OR(J1905=0,K1905=""),"",IF(E1905="Positivo",MAX(K1905/J1905,0),MAX(J1905/K1905,0))),"") </f>
        <v/>
      </c>
      <c r="N1905" t="inlineStr">
        <is>
          <t>ENT</t>
        </is>
      </c>
      <c r="O1905" t="inlineStr">
        <is>
          <t>ENT</t>
        </is>
      </c>
      <c r="P1905" t="n">
        <v>0</v>
      </c>
      <c r="Q1905" t="n">
        <v>0</v>
      </c>
      <c r="R1905" t="inlineStr">
        <is>
          <t>383-2025-06-30</t>
        </is>
      </c>
    </row>
    <row r="1906">
      <c r="A1906" t="n">
        <v>383</v>
      </c>
      <c r="B1906" t="inlineStr">
        <is>
          <t>Cumplimiento de matrículas posgrado virtual nuevos</t>
        </is>
      </c>
      <c r="C1906" t="inlineStr">
        <is>
          <t>Inscripción, admisión y matrícula de estudiantes nuevos</t>
        </is>
      </c>
      <c r="D1906" t="inlineStr">
        <is>
          <t>Trimestral</t>
        </is>
      </c>
      <c r="E1906" t="inlineStr">
        <is>
          <t>Positivo</t>
        </is>
      </c>
      <c r="F1906" s="111" t="n">
        <v>46022</v>
      </c>
      <c r="G1906" t="n">
        <v>2025</v>
      </c>
      <c r="H1906" t="inlineStr">
        <is>
          <t>Diciembre</t>
        </is>
      </c>
      <c r="I1906" t="inlineStr">
        <is>
          <t>2025-2</t>
        </is>
      </c>
      <c r="J1906" t="n">
        <v>100</v>
      </c>
      <c r="K1906" t="n">
        <v>127.87</v>
      </c>
      <c r="L1906" s="39">
        <f>IFERROR(IF(OR(J1906=0,K1906=""),"",IF(E1906="Positivo",MIN(MAX(K1906/J1906,0),1.3),MIN(MAX(J1906/K1906,0),1.3))),"") </f>
        <v/>
      </c>
      <c r="M1906" s="39">
        <f>IFERROR(IF(OR(J1906=0,K1906=""),"",IF(E1906="Positivo",MAX(K1906/J1906,0),MAX(J1906/K1906,0))),"") </f>
        <v/>
      </c>
      <c r="N1906" t="inlineStr">
        <is>
          <t>ENT</t>
        </is>
      </c>
      <c r="O1906" t="inlineStr">
        <is>
          <t>ENT</t>
        </is>
      </c>
      <c r="P1906" t="n">
        <v>0</v>
      </c>
      <c r="Q1906" t="n">
        <v>0</v>
      </c>
      <c r="R1906" t="inlineStr">
        <is>
          <t>383-2025-12-31</t>
        </is>
      </c>
    </row>
    <row r="1907">
      <c r="A1907" t="n">
        <v>384</v>
      </c>
      <c r="B1907" t="inlineStr">
        <is>
          <t>Cumplimiento de matrículas posgrado presencial nuevos</t>
        </is>
      </c>
      <c r="C1907" t="inlineStr">
        <is>
          <t>Inscripción, admisión y matrícula de estudiantes nuevos</t>
        </is>
      </c>
      <c r="D1907" t="inlineStr">
        <is>
          <t>Semestral</t>
        </is>
      </c>
      <c r="E1907" t="inlineStr">
        <is>
          <t>Positivo</t>
        </is>
      </c>
      <c r="F1907" s="111" t="n">
        <v>45107</v>
      </c>
      <c r="G1907" t="n">
        <v>2023</v>
      </c>
      <c r="H1907" t="inlineStr">
        <is>
          <t>Junio</t>
        </is>
      </c>
      <c r="I1907" t="inlineStr">
        <is>
          <t>2023-1</t>
        </is>
      </c>
      <c r="J1907" t="n">
        <v>100</v>
      </c>
      <c r="K1907" t="n">
        <v>111.76470588235</v>
      </c>
      <c r="L1907" s="39">
        <f>IFERROR(IF(OR(J1907=0,K1907=""),"",IF(E1907="Positivo",MIN(MAX(K1907/J1907,0),1.3),MIN(MAX(J1907/K1907,0),1.3))),"") </f>
        <v/>
      </c>
      <c r="M1907" s="39">
        <f>IFERROR(IF(OR(J1907=0,K1907=""),"",IF(E1907="Positivo",MAX(K1907/J1907,0),MAX(J1907/K1907,0))),"") </f>
        <v/>
      </c>
      <c r="N1907" t="inlineStr">
        <is>
          <t>ENT</t>
        </is>
      </c>
      <c r="O1907" t="inlineStr">
        <is>
          <t>ENT</t>
        </is>
      </c>
      <c r="P1907" t="n">
        <v>0</v>
      </c>
      <c r="Q1907" t="n">
        <v>0</v>
      </c>
      <c r="R1907" t="inlineStr">
        <is>
          <t>384-2023-06-30</t>
        </is>
      </c>
    </row>
    <row r="1908">
      <c r="A1908" t="n">
        <v>384</v>
      </c>
      <c r="B1908" t="inlineStr">
        <is>
          <t>Cumplimiento de matrículas posgrado presencial nuevos</t>
        </is>
      </c>
      <c r="C1908" t="inlineStr">
        <is>
          <t>Inscripción, admisión y matrícula de estudiantes nuevos</t>
        </is>
      </c>
      <c r="D1908" t="inlineStr">
        <is>
          <t>Semestral</t>
        </is>
      </c>
      <c r="E1908" t="inlineStr">
        <is>
          <t>Positivo</t>
        </is>
      </c>
      <c r="F1908" s="111" t="n">
        <v>45291</v>
      </c>
      <c r="G1908" t="n">
        <v>2023</v>
      </c>
      <c r="H1908" t="inlineStr">
        <is>
          <t>Diciembre</t>
        </is>
      </c>
      <c r="I1908" t="inlineStr">
        <is>
          <t>2023-2</t>
        </is>
      </c>
      <c r="J1908" t="n">
        <v>100</v>
      </c>
      <c r="K1908" t="n">
        <v>115.38</v>
      </c>
      <c r="L1908" s="39">
        <f>IFERROR(IF(OR(J1908=0,K1908=""),"",IF(E1908="Positivo",MIN(MAX(K1908/J1908,0),1.3),MIN(MAX(J1908/K1908,0),1.3))),"") </f>
        <v/>
      </c>
      <c r="M1908" s="39">
        <f>IFERROR(IF(OR(J1908=0,K1908=""),"",IF(E1908="Positivo",MAX(K1908/J1908,0),MAX(J1908/K1908,0))),"") </f>
        <v/>
      </c>
      <c r="N1908" t="inlineStr">
        <is>
          <t>ENT</t>
        </is>
      </c>
      <c r="O1908" t="inlineStr">
        <is>
          <t>ENT</t>
        </is>
      </c>
      <c r="P1908" t="n">
        <v>0</v>
      </c>
      <c r="Q1908" t="n">
        <v>0</v>
      </c>
      <c r="R1908" t="inlineStr">
        <is>
          <t>384-2023-12-31</t>
        </is>
      </c>
    </row>
    <row r="1909">
      <c r="A1909" t="n">
        <v>384</v>
      </c>
      <c r="B1909" t="inlineStr">
        <is>
          <t>Cumplimiento de matrículas posgrado presencial nuevos</t>
        </is>
      </c>
      <c r="C1909" t="inlineStr">
        <is>
          <t>Inscripción, admisión y matrícula de estudiantes nuevos</t>
        </is>
      </c>
      <c r="D1909" t="inlineStr">
        <is>
          <t>Semestral</t>
        </is>
      </c>
      <c r="E1909" t="inlineStr">
        <is>
          <t>Positivo</t>
        </is>
      </c>
      <c r="F1909" s="111" t="n">
        <v>45473</v>
      </c>
      <c r="G1909" t="n">
        <v>2024</v>
      </c>
      <c r="H1909" t="inlineStr">
        <is>
          <t>Junio</t>
        </is>
      </c>
      <c r="I1909" t="inlineStr">
        <is>
          <t>2024-1</t>
        </is>
      </c>
      <c r="J1909" t="n">
        <v>100</v>
      </c>
      <c r="K1909" t="n">
        <v>102.2</v>
      </c>
      <c r="L1909" s="39">
        <f>IFERROR(IF(OR(J1909=0,K1909=""),"",IF(E1909="Positivo",MIN(MAX(K1909/J1909,0),1.3),MIN(MAX(J1909/K1909,0),1.3))),"") </f>
        <v/>
      </c>
      <c r="M1909" s="39">
        <f>IFERROR(IF(OR(J1909=0,K1909=""),"",IF(E1909="Positivo",MAX(K1909/J1909,0),MAX(J1909/K1909,0))),"") </f>
        <v/>
      </c>
      <c r="N1909" t="inlineStr">
        <is>
          <t>ENT</t>
        </is>
      </c>
      <c r="O1909" t="inlineStr">
        <is>
          <t>ENT</t>
        </is>
      </c>
      <c r="P1909" t="n">
        <v>0</v>
      </c>
      <c r="Q1909" t="n">
        <v>0</v>
      </c>
      <c r="R1909" t="inlineStr">
        <is>
          <t>384-2024-06-30</t>
        </is>
      </c>
    </row>
    <row r="1910">
      <c r="A1910" t="n">
        <v>384</v>
      </c>
      <c r="B1910" t="inlineStr">
        <is>
          <t>Cumplimiento de matrículas posgrado presencial nuevos</t>
        </is>
      </c>
      <c r="C1910" t="inlineStr">
        <is>
          <t>Inscripción, admisión y matrícula de estudiantes nuevos</t>
        </is>
      </c>
      <c r="D1910" t="inlineStr">
        <is>
          <t>Semestral</t>
        </is>
      </c>
      <c r="E1910" t="inlineStr">
        <is>
          <t>Positivo</t>
        </is>
      </c>
      <c r="F1910" s="111" t="n">
        <v>45657</v>
      </c>
      <c r="G1910" t="n">
        <v>2024</v>
      </c>
      <c r="H1910" t="inlineStr">
        <is>
          <t>Diciembre</t>
        </is>
      </c>
      <c r="I1910" t="inlineStr">
        <is>
          <t>2024-2</t>
        </is>
      </c>
      <c r="J1910" t="n">
        <v>100</v>
      </c>
      <c r="K1910" t="n">
        <v>87.90000000000001</v>
      </c>
      <c r="L1910" s="39">
        <f>IFERROR(IF(OR(J1910=0,K1910=""),"",IF(E1910="Positivo",MIN(MAX(K1910/J1910,0),1.3),MIN(MAX(J1910/K1910,0),1.3))),"") </f>
        <v/>
      </c>
      <c r="M1910" s="39">
        <f>IFERROR(IF(OR(J1910=0,K1910=""),"",IF(E1910="Positivo",MAX(K1910/J1910,0),MAX(J1910/K1910,0))),"") </f>
        <v/>
      </c>
      <c r="N1910" t="inlineStr">
        <is>
          <t>ENT</t>
        </is>
      </c>
      <c r="O1910" t="inlineStr">
        <is>
          <t>ENT</t>
        </is>
      </c>
      <c r="P1910" t="n">
        <v>0</v>
      </c>
      <c r="Q1910" t="n">
        <v>0</v>
      </c>
      <c r="R1910" t="inlineStr">
        <is>
          <t>384-2024-12-31</t>
        </is>
      </c>
    </row>
    <row r="1911">
      <c r="A1911" t="n">
        <v>384</v>
      </c>
      <c r="B1911" t="inlineStr">
        <is>
          <t>Cumplimiento de matrículas posgrado presencial nuevos</t>
        </is>
      </c>
      <c r="C1911" t="inlineStr">
        <is>
          <t>Inscripción, admisión y matrícula de estudiantes nuevos</t>
        </is>
      </c>
      <c r="D1911" t="inlineStr">
        <is>
          <t>Semestral</t>
        </is>
      </c>
      <c r="E1911" t="inlineStr">
        <is>
          <t>Positivo</t>
        </is>
      </c>
      <c r="F1911" s="111" t="n">
        <v>45838</v>
      </c>
      <c r="G1911" t="n">
        <v>2025</v>
      </c>
      <c r="H1911" t="inlineStr">
        <is>
          <t>Junio</t>
        </is>
      </c>
      <c r="I1911" t="inlineStr">
        <is>
          <t>2025-1</t>
        </is>
      </c>
      <c r="J1911" t="n">
        <v>100</v>
      </c>
      <c r="K1911" t="n">
        <v>103.23</v>
      </c>
      <c r="L1911" s="39">
        <f>IFERROR(IF(OR(J1911=0,K1911=""),"",IF(E1911="Positivo",MIN(MAX(K1911/J1911,0),1.3),MIN(MAX(J1911/K1911,0),1.3))),"") </f>
        <v/>
      </c>
      <c r="M1911" s="39">
        <f>IFERROR(IF(OR(J1911=0,K1911=""),"",IF(E1911="Positivo",MAX(K1911/J1911,0),MAX(J1911/K1911,0))),"") </f>
        <v/>
      </c>
      <c r="N1911" t="inlineStr">
        <is>
          <t>ENT</t>
        </is>
      </c>
      <c r="O1911" t="inlineStr">
        <is>
          <t>ENT</t>
        </is>
      </c>
      <c r="P1911" t="n">
        <v>0</v>
      </c>
      <c r="Q1911" t="n">
        <v>0</v>
      </c>
      <c r="R1911" t="inlineStr">
        <is>
          <t>384-2025-06-30</t>
        </is>
      </c>
    </row>
    <row r="1912">
      <c r="A1912" t="n">
        <v>384</v>
      </c>
      <c r="B1912" t="inlineStr">
        <is>
          <t>Cumplimiento de matrículas posgrado presencial nuevos</t>
        </is>
      </c>
      <c r="C1912" t="inlineStr">
        <is>
          <t>Inscripción, admisión y matrícula de estudiantes nuevos</t>
        </is>
      </c>
      <c r="D1912" t="inlineStr">
        <is>
          <t>Trimestral</t>
        </is>
      </c>
      <c r="E1912" t="inlineStr">
        <is>
          <t>Positivo</t>
        </is>
      </c>
      <c r="F1912" s="111" t="n">
        <v>46022</v>
      </c>
      <c r="G1912" t="n">
        <v>2025</v>
      </c>
      <c r="H1912" t="inlineStr">
        <is>
          <t>Diciembre</t>
        </is>
      </c>
      <c r="I1912" t="inlineStr">
        <is>
          <t>2025-2</t>
        </is>
      </c>
      <c r="J1912" t="n">
        <v>100</v>
      </c>
      <c r="K1912" t="n">
        <v>100.93</v>
      </c>
      <c r="L1912" s="39">
        <f>IFERROR(IF(OR(J1912=0,K1912=""),"",IF(E1912="Positivo",MIN(MAX(K1912/J1912,0),1.3),MIN(MAX(J1912/K1912,0),1.3))),"") </f>
        <v/>
      </c>
      <c r="M1912" s="39">
        <f>IFERROR(IF(OR(J1912=0,K1912=""),"",IF(E1912="Positivo",MAX(K1912/J1912,0),MAX(J1912/K1912,0))),"") </f>
        <v/>
      </c>
      <c r="N1912" t="inlineStr">
        <is>
          <t>ENT</t>
        </is>
      </c>
      <c r="O1912" t="inlineStr">
        <is>
          <t>ENT</t>
        </is>
      </c>
      <c r="P1912" t="n">
        <v>0</v>
      </c>
      <c r="Q1912" t="n">
        <v>0</v>
      </c>
      <c r="R1912" t="inlineStr">
        <is>
          <t>384-2025-12-31</t>
        </is>
      </c>
    </row>
    <row r="1913">
      <c r="A1913" t="n">
        <v>385</v>
      </c>
      <c r="B1913" t="inlineStr">
        <is>
          <t>Ingresos totales de educación para la vida</t>
        </is>
      </c>
      <c r="C1913" t="inlineStr">
        <is>
          <t>Mercadeo y venta de educación para la vida</t>
        </is>
      </c>
      <c r="D1913" t="inlineStr">
        <is>
          <t>Semestral</t>
        </is>
      </c>
      <c r="E1913" t="inlineStr">
        <is>
          <t>Positivo</t>
        </is>
      </c>
      <c r="F1913" s="111" t="n">
        <v>45107</v>
      </c>
      <c r="G1913" t="n">
        <v>2023</v>
      </c>
      <c r="H1913" t="inlineStr">
        <is>
          <t>Junio</t>
        </is>
      </c>
      <c r="I1913" t="inlineStr">
        <is>
          <t>2023-1</t>
        </is>
      </c>
      <c r="J1913" t="n">
        <v>100</v>
      </c>
      <c r="K1913" t="n">
        <v>102.98486566654</v>
      </c>
      <c r="L1913" s="39">
        <f>IFERROR(IF(OR(J1913=0,K1913=""),"",IF(E1913="Positivo",MIN(MAX(K1913/J1913,0),1.3),MIN(MAX(J1913/K1913,0),1.3))),"") </f>
        <v/>
      </c>
      <c r="M1913" s="39">
        <f>IFERROR(IF(OR(J1913=0,K1913=""),"",IF(E1913="Positivo",MAX(K1913/J1913,0),MAX(J1913/K1913,0))),"") </f>
        <v/>
      </c>
      <c r="N1913" t="inlineStr">
        <is>
          <t>$</t>
        </is>
      </c>
      <c r="O1913" t="inlineStr">
        <is>
          <t>$</t>
        </is>
      </c>
      <c r="P1913" t="n">
        <v>0</v>
      </c>
      <c r="Q1913" t="n">
        <v>0</v>
      </c>
      <c r="R1913" t="inlineStr">
        <is>
          <t>385-2023-06-30</t>
        </is>
      </c>
    </row>
    <row r="1914">
      <c r="A1914" t="n">
        <v>385</v>
      </c>
      <c r="B1914" t="inlineStr">
        <is>
          <t>Ingresos totales de educación para la vida</t>
        </is>
      </c>
      <c r="C1914" t="inlineStr">
        <is>
          <t>Mercadeo y venta de educación para la vida</t>
        </is>
      </c>
      <c r="D1914" t="inlineStr">
        <is>
          <t>Semestral</t>
        </is>
      </c>
      <c r="E1914" t="inlineStr">
        <is>
          <t>Positivo</t>
        </is>
      </c>
      <c r="F1914" s="111" t="n">
        <v>45291</v>
      </c>
      <c r="G1914" t="n">
        <v>2023</v>
      </c>
      <c r="H1914" t="inlineStr">
        <is>
          <t>Diciembre</t>
        </is>
      </c>
      <c r="I1914" t="inlineStr">
        <is>
          <t>2023-2</t>
        </is>
      </c>
      <c r="J1914" t="n">
        <v>100</v>
      </c>
      <c r="K1914" t="n">
        <v>124.93</v>
      </c>
      <c r="L1914" s="39">
        <f>IFERROR(IF(OR(J1914=0,K1914=""),"",IF(E1914="Positivo",MIN(MAX(K1914/J1914,0),1.3),MIN(MAX(J1914/K1914,0),1.3))),"") </f>
        <v/>
      </c>
      <c r="M1914" s="39">
        <f>IFERROR(IF(OR(J1914=0,K1914=""),"",IF(E1914="Positivo",MAX(K1914/J1914,0),MAX(J1914/K1914,0))),"") </f>
        <v/>
      </c>
      <c r="N1914" t="inlineStr">
        <is>
          <t>$</t>
        </is>
      </c>
      <c r="O1914" t="inlineStr">
        <is>
          <t>$</t>
        </is>
      </c>
      <c r="P1914" t="n">
        <v>0</v>
      </c>
      <c r="Q1914" t="n">
        <v>0</v>
      </c>
      <c r="R1914" t="inlineStr">
        <is>
          <t>385-2023-12-31</t>
        </is>
      </c>
    </row>
    <row r="1915">
      <c r="A1915" t="n">
        <v>385</v>
      </c>
      <c r="B1915" t="inlineStr">
        <is>
          <t>Ingresos totales de educación para la vida</t>
        </is>
      </c>
      <c r="C1915" t="inlineStr">
        <is>
          <t>Mercadeo y venta de educación para la vida</t>
        </is>
      </c>
      <c r="D1915" t="inlineStr">
        <is>
          <t>Semestral</t>
        </is>
      </c>
      <c r="E1915" t="inlineStr">
        <is>
          <t>Positivo</t>
        </is>
      </c>
      <c r="F1915" s="111" t="n">
        <v>45473</v>
      </c>
      <c r="G1915" t="n">
        <v>2024</v>
      </c>
      <c r="H1915" t="inlineStr">
        <is>
          <t>Junio</t>
        </is>
      </c>
      <c r="I1915" t="inlineStr">
        <is>
          <t>2024-1</t>
        </is>
      </c>
      <c r="J1915" t="n">
        <v>100</v>
      </c>
      <c r="K1915" t="n">
        <v>113.63</v>
      </c>
      <c r="L1915" s="39">
        <f>IFERROR(IF(OR(J1915=0,K1915=""),"",IF(E1915="Positivo",MIN(MAX(K1915/J1915,0),1.3),MIN(MAX(J1915/K1915,0),1.3))),"") </f>
        <v/>
      </c>
      <c r="M1915" s="39">
        <f>IFERROR(IF(OR(J1915=0,K1915=""),"",IF(E1915="Positivo",MAX(K1915/J1915,0),MAX(J1915/K1915,0))),"") </f>
        <v/>
      </c>
      <c r="N1915" t="inlineStr">
        <is>
          <t>$</t>
        </is>
      </c>
      <c r="O1915" t="inlineStr">
        <is>
          <t>$</t>
        </is>
      </c>
      <c r="P1915" t="n">
        <v>0</v>
      </c>
      <c r="Q1915" t="n">
        <v>0</v>
      </c>
      <c r="R1915" t="inlineStr">
        <is>
          <t>385-2024-06-30</t>
        </is>
      </c>
    </row>
    <row r="1916">
      <c r="A1916" t="n">
        <v>385</v>
      </c>
      <c r="B1916" t="inlineStr">
        <is>
          <t>Ingresos totales de educación para la vida</t>
        </is>
      </c>
      <c r="C1916" t="inlineStr">
        <is>
          <t>Mercadeo y venta de educación para la vida</t>
        </is>
      </c>
      <c r="D1916" t="inlineStr">
        <is>
          <t>Semestral</t>
        </is>
      </c>
      <c r="E1916" t="inlineStr">
        <is>
          <t>Positivo</t>
        </is>
      </c>
      <c r="F1916" s="111" t="n">
        <v>45657</v>
      </c>
      <c r="G1916" t="n">
        <v>2024</v>
      </c>
      <c r="H1916" t="inlineStr">
        <is>
          <t>Diciembre</t>
        </is>
      </c>
      <c r="I1916" t="inlineStr">
        <is>
          <t>2024-2</t>
        </is>
      </c>
      <c r="J1916" t="n">
        <v>100</v>
      </c>
      <c r="K1916" t="n">
        <v>88.56</v>
      </c>
      <c r="L1916" s="39">
        <f>IFERROR(IF(OR(J1916=0,K1916=""),"",IF(E1916="Positivo",MIN(MAX(K1916/J1916,0),1.3),MIN(MAX(J1916/K1916,0),1.3))),"") </f>
        <v/>
      </c>
      <c r="M1916" s="39">
        <f>IFERROR(IF(OR(J1916=0,K1916=""),"",IF(E1916="Positivo",MAX(K1916/J1916,0),MAX(J1916/K1916,0))),"") </f>
        <v/>
      </c>
      <c r="N1916" t="inlineStr">
        <is>
          <t>$</t>
        </is>
      </c>
      <c r="O1916" t="inlineStr">
        <is>
          <t>$</t>
        </is>
      </c>
      <c r="P1916" t="n">
        <v>0</v>
      </c>
      <c r="Q1916" t="n">
        <v>0</v>
      </c>
      <c r="R1916" t="inlineStr">
        <is>
          <t>385-2024-12-31</t>
        </is>
      </c>
    </row>
    <row r="1917">
      <c r="A1917" t="n">
        <v>385</v>
      </c>
      <c r="B1917" t="inlineStr">
        <is>
          <t>Ingresos totales de educación para la vida</t>
        </is>
      </c>
      <c r="C1917" t="inlineStr">
        <is>
          <t>Mercadeo y venta de educación para la vida</t>
        </is>
      </c>
      <c r="D1917" t="inlineStr">
        <is>
          <t>Semestral</t>
        </is>
      </c>
      <c r="E1917" t="inlineStr">
        <is>
          <t>Positivo</t>
        </is>
      </c>
      <c r="F1917" s="111" t="n">
        <v>45838</v>
      </c>
      <c r="G1917" t="n">
        <v>2025</v>
      </c>
      <c r="H1917" t="inlineStr">
        <is>
          <t>Junio</t>
        </is>
      </c>
      <c r="I1917" t="inlineStr">
        <is>
          <t>2025-1</t>
        </is>
      </c>
      <c r="J1917" t="n">
        <v>100</v>
      </c>
      <c r="K1917" t="n">
        <v>118.92</v>
      </c>
      <c r="L1917" s="39">
        <f>IFERROR(IF(OR(J1917=0,K1917=""),"",IF(E1917="Positivo",MIN(MAX(K1917/J1917,0),1.3),MIN(MAX(J1917/K1917,0),1.3))),"") </f>
        <v/>
      </c>
      <c r="M1917" s="39">
        <f>IFERROR(IF(OR(J1917=0,K1917=""),"",IF(E1917="Positivo",MAX(K1917/J1917,0),MAX(J1917/K1917,0))),"") </f>
        <v/>
      </c>
      <c r="N1917" t="inlineStr">
        <is>
          <t>$</t>
        </is>
      </c>
      <c r="O1917" t="inlineStr">
        <is>
          <t>$</t>
        </is>
      </c>
      <c r="P1917" t="n">
        <v>0</v>
      </c>
      <c r="Q1917" t="n">
        <v>0</v>
      </c>
      <c r="R1917" t="inlineStr">
        <is>
          <t>385-2025-06-30</t>
        </is>
      </c>
    </row>
    <row r="1918">
      <c r="A1918" t="n">
        <v>385</v>
      </c>
      <c r="B1918" t="inlineStr">
        <is>
          <t>Ingresos totales de educación para la vida</t>
        </is>
      </c>
      <c r="C1918" t="inlineStr">
        <is>
          <t>Mercadeo y venta de educación para la vida</t>
        </is>
      </c>
      <c r="D1918" t="inlineStr">
        <is>
          <t>Trimestral</t>
        </is>
      </c>
      <c r="E1918" t="inlineStr">
        <is>
          <t>Positivo</t>
        </is>
      </c>
      <c r="F1918" s="111" t="n">
        <v>46022</v>
      </c>
      <c r="G1918" t="n">
        <v>2025</v>
      </c>
      <c r="H1918" t="inlineStr">
        <is>
          <t>Diciembre</t>
        </is>
      </c>
      <c r="I1918" t="inlineStr">
        <is>
          <t>2025-2</t>
        </is>
      </c>
      <c r="J1918" t="n">
        <v>100</v>
      </c>
      <c r="K1918" t="n">
        <v>108.89</v>
      </c>
      <c r="L1918" s="39">
        <f>IFERROR(IF(OR(J1918=0,K1918=""),"",IF(E1918="Positivo",MIN(MAX(K1918/J1918,0),1.3),MIN(MAX(J1918/K1918,0),1.3))),"") </f>
        <v/>
      </c>
      <c r="M1918" s="39">
        <f>IFERROR(IF(OR(J1918=0,K1918=""),"",IF(E1918="Positivo",MAX(K1918/J1918,0),MAX(J1918/K1918,0))),"") </f>
        <v/>
      </c>
      <c r="N1918" t="inlineStr">
        <is>
          <t>$</t>
        </is>
      </c>
      <c r="O1918" t="inlineStr">
        <is>
          <t>$</t>
        </is>
      </c>
      <c r="P1918" t="n">
        <v>0</v>
      </c>
      <c r="Q1918" t="n">
        <v>0</v>
      </c>
      <c r="R1918" t="inlineStr">
        <is>
          <t>385-2025-12-31</t>
        </is>
      </c>
    </row>
    <row r="1919">
      <c r="A1919" t="n">
        <v>386</v>
      </c>
      <c r="B1919" t="inlineStr">
        <is>
          <t>Cumplimiento Meta comercial Educación para toda la vida por linea</t>
        </is>
      </c>
      <c r="C1919" t="inlineStr">
        <is>
          <t>Mercadeo y venta de educación para la vida</t>
        </is>
      </c>
      <c r="D1919" t="inlineStr">
        <is>
          <t>Trimestral</t>
        </is>
      </c>
      <c r="E1919" t="inlineStr">
        <is>
          <t>Positivo</t>
        </is>
      </c>
      <c r="F1919" s="111" t="n">
        <v>45107</v>
      </c>
      <c r="G1919" t="n">
        <v>2023</v>
      </c>
      <c r="H1919" t="inlineStr">
        <is>
          <t>Junio</t>
        </is>
      </c>
      <c r="I1919" t="inlineStr">
        <is>
          <t>2023-1</t>
        </is>
      </c>
      <c r="J1919" t="n">
        <v>100</v>
      </c>
      <c r="K1919" t="n">
        <v>102.98486566654</v>
      </c>
      <c r="L1919" s="39">
        <f>IFERROR(IF(OR(J1919=0,K1919=""),"",IF(E1919="Positivo",MIN(MAX(K1919/J1919,0),1.3),MIN(MAX(J1919/K1919,0),1.3))),"") </f>
        <v/>
      </c>
      <c r="M1919" s="39">
        <f>IFERROR(IF(OR(J1919=0,K1919=""),"",IF(E1919="Positivo",MAX(K1919/J1919,0),MAX(J1919/K1919,0))),"") </f>
        <v/>
      </c>
      <c r="N1919" t="inlineStr">
        <is>
          <t>%</t>
        </is>
      </c>
      <c r="O1919" t="inlineStr">
        <is>
          <t>%</t>
        </is>
      </c>
      <c r="P1919" t="n">
        <v>0</v>
      </c>
      <c r="Q1919" t="n">
        <v>0</v>
      </c>
      <c r="R1919" t="inlineStr">
        <is>
          <t>386-2023-06-30</t>
        </is>
      </c>
    </row>
    <row r="1920">
      <c r="A1920" t="n">
        <v>386</v>
      </c>
      <c r="B1920" t="inlineStr">
        <is>
          <t>Cumplimiento Meta comercial Educación para toda la vida por linea</t>
        </is>
      </c>
      <c r="C1920" t="inlineStr">
        <is>
          <t>Mercadeo y venta de educación para la vida</t>
        </is>
      </c>
      <c r="D1920" t="inlineStr">
        <is>
          <t>Semestral</t>
        </is>
      </c>
      <c r="E1920" t="inlineStr">
        <is>
          <t>Positivo</t>
        </is>
      </c>
      <c r="F1920" s="111" t="n">
        <v>45291</v>
      </c>
      <c r="G1920" t="n">
        <v>2023</v>
      </c>
      <c r="H1920" t="inlineStr">
        <is>
          <t>Diciembre</t>
        </is>
      </c>
      <c r="I1920" t="inlineStr">
        <is>
          <t>2023-2</t>
        </is>
      </c>
      <c r="J1920" t="n">
        <v>100</v>
      </c>
      <c r="K1920" t="n">
        <v>138.22</v>
      </c>
      <c r="L1920" s="39">
        <f>IFERROR(IF(OR(J1920=0,K1920=""),"",IF(E1920="Positivo",MIN(MAX(K1920/J1920,0),1.3),MIN(MAX(J1920/K1920,0),1.3))),"") </f>
        <v/>
      </c>
      <c r="M1920" s="39">
        <f>IFERROR(IF(OR(J1920=0,K1920=""),"",IF(E1920="Positivo",MAX(K1920/J1920,0),MAX(J1920/K1920,0))),"") </f>
        <v/>
      </c>
      <c r="N1920" t="inlineStr">
        <is>
          <t>$</t>
        </is>
      </c>
      <c r="O1920" t="inlineStr">
        <is>
          <t>$</t>
        </is>
      </c>
      <c r="P1920" t="n">
        <v>0</v>
      </c>
      <c r="Q1920" t="n">
        <v>0</v>
      </c>
      <c r="R1920" t="inlineStr">
        <is>
          <t>386-2023-12-31</t>
        </is>
      </c>
    </row>
    <row r="1921">
      <c r="A1921" t="n">
        <v>386</v>
      </c>
      <c r="B1921" t="inlineStr">
        <is>
          <t>Cumplimiento Meta comercial Educación para toda la vida por linea</t>
        </is>
      </c>
      <c r="C1921" t="inlineStr">
        <is>
          <t>Mercadeo y venta de educación para la vida</t>
        </is>
      </c>
      <c r="D1921" t="inlineStr">
        <is>
          <t>Semestral</t>
        </is>
      </c>
      <c r="E1921" t="inlineStr">
        <is>
          <t>Positivo</t>
        </is>
      </c>
      <c r="F1921" s="111" t="n">
        <v>45473</v>
      </c>
      <c r="G1921" t="n">
        <v>2024</v>
      </c>
      <c r="H1921" t="inlineStr">
        <is>
          <t>Junio</t>
        </is>
      </c>
      <c r="I1921" t="inlineStr">
        <is>
          <t>2024-1</t>
        </is>
      </c>
      <c r="J1921" t="n">
        <v>100</v>
      </c>
      <c r="K1921" t="n">
        <v>113.63</v>
      </c>
      <c r="L1921" s="39">
        <f>IFERROR(IF(OR(J1921=0,K1921=""),"",IF(E1921="Positivo",MIN(MAX(K1921/J1921,0),1.3),MIN(MAX(J1921/K1921,0),1.3))),"") </f>
        <v/>
      </c>
      <c r="M1921" s="39">
        <f>IFERROR(IF(OR(J1921=0,K1921=""),"",IF(E1921="Positivo",MAX(K1921/J1921,0),MAX(J1921/K1921,0))),"") </f>
        <v/>
      </c>
      <c r="N1921" t="inlineStr">
        <is>
          <t>$</t>
        </is>
      </c>
      <c r="O1921" t="inlineStr">
        <is>
          <t>$</t>
        </is>
      </c>
      <c r="P1921" t="n">
        <v>0</v>
      </c>
      <c r="Q1921" t="n">
        <v>0</v>
      </c>
      <c r="R1921" t="inlineStr">
        <is>
          <t>386-2024-06-30</t>
        </is>
      </c>
    </row>
    <row r="1922">
      <c r="A1922" t="n">
        <v>386</v>
      </c>
      <c r="B1922" t="inlineStr">
        <is>
          <t>Cumplimiento Meta comercial Educación para toda la vida por linea</t>
        </is>
      </c>
      <c r="C1922" t="inlineStr">
        <is>
          <t>Mercadeo y venta de educación para la vida</t>
        </is>
      </c>
      <c r="D1922" t="inlineStr">
        <is>
          <t>Semestral</t>
        </is>
      </c>
      <c r="E1922" t="inlineStr">
        <is>
          <t>Positivo</t>
        </is>
      </c>
      <c r="F1922" s="111" t="n">
        <v>45657</v>
      </c>
      <c r="G1922" t="n">
        <v>2024</v>
      </c>
      <c r="H1922" t="inlineStr">
        <is>
          <t>Diciembre</t>
        </is>
      </c>
      <c r="I1922" t="inlineStr">
        <is>
          <t>2024-2</t>
        </is>
      </c>
      <c r="J1922" t="n">
        <v>100</v>
      </c>
      <c r="K1922" t="n">
        <v>75.01000000000001</v>
      </c>
      <c r="L1922" s="39">
        <f>IFERROR(IF(OR(J1922=0,K1922=""),"",IF(E1922="Positivo",MIN(MAX(K1922/J1922,0),1.3),MIN(MAX(J1922/K1922,0),1.3))),"") </f>
        <v/>
      </c>
      <c r="M1922" s="39">
        <f>IFERROR(IF(OR(J1922=0,K1922=""),"",IF(E1922="Positivo",MAX(K1922/J1922,0),MAX(J1922/K1922,0))),"") </f>
        <v/>
      </c>
      <c r="N1922" t="inlineStr">
        <is>
          <t>$</t>
        </is>
      </c>
      <c r="O1922" t="inlineStr">
        <is>
          <t>$</t>
        </is>
      </c>
      <c r="P1922" t="n">
        <v>0</v>
      </c>
      <c r="Q1922" t="n">
        <v>0</v>
      </c>
      <c r="R1922" t="inlineStr">
        <is>
          <t>386-2024-12-31</t>
        </is>
      </c>
    </row>
    <row r="1923">
      <c r="A1923" t="n">
        <v>386</v>
      </c>
      <c r="B1923" t="inlineStr">
        <is>
          <t>Cumplimiento Meta comercial Educación para toda la vida por linea</t>
        </is>
      </c>
      <c r="C1923" t="inlineStr">
        <is>
          <t>Mercadeo y venta de educación para la vida</t>
        </is>
      </c>
      <c r="D1923" t="inlineStr">
        <is>
          <t>Semestral</t>
        </is>
      </c>
      <c r="E1923" t="inlineStr">
        <is>
          <t>Positivo</t>
        </is>
      </c>
      <c r="F1923" s="111" t="n">
        <v>45838</v>
      </c>
      <c r="G1923" t="n">
        <v>2025</v>
      </c>
      <c r="H1923" t="inlineStr">
        <is>
          <t>Junio</t>
        </is>
      </c>
      <c r="I1923" t="inlineStr">
        <is>
          <t>2025-1</t>
        </is>
      </c>
      <c r="J1923" t="n">
        <v>100</v>
      </c>
      <c r="K1923" t="n">
        <v>118.92</v>
      </c>
      <c r="L1923" s="39">
        <f>IFERROR(IF(OR(J1923=0,K1923=""),"",IF(E1923="Positivo",MIN(MAX(K1923/J1923,0),1.3),MIN(MAX(J1923/K1923,0),1.3))),"") </f>
        <v/>
      </c>
      <c r="M1923" s="39">
        <f>IFERROR(IF(OR(J1923=0,K1923=""),"",IF(E1923="Positivo",MAX(K1923/J1923,0),MAX(J1923/K1923,0))),"") </f>
        <v/>
      </c>
      <c r="N1923" t="inlineStr">
        <is>
          <t>$</t>
        </is>
      </c>
      <c r="O1923" t="inlineStr">
        <is>
          <t>$</t>
        </is>
      </c>
      <c r="P1923" t="n">
        <v>0</v>
      </c>
      <c r="Q1923" t="n">
        <v>0</v>
      </c>
      <c r="R1923" t="inlineStr">
        <is>
          <t>386-2025-06-30</t>
        </is>
      </c>
    </row>
    <row r="1924">
      <c r="A1924" t="n">
        <v>386</v>
      </c>
      <c r="B1924" t="inlineStr">
        <is>
          <t>Cumplimiento Meta comercial Educación para toda la vida por linea</t>
        </is>
      </c>
      <c r="C1924" t="inlineStr">
        <is>
          <t>Mercadeo y venta de educación para la vida</t>
        </is>
      </c>
      <c r="D1924" t="inlineStr">
        <is>
          <t>Trimestral</t>
        </is>
      </c>
      <c r="E1924" t="inlineStr">
        <is>
          <t>Positivo</t>
        </is>
      </c>
      <c r="F1924" s="111" t="n">
        <v>46022</v>
      </c>
      <c r="G1924" t="n">
        <v>2025</v>
      </c>
      <c r="H1924" t="inlineStr">
        <is>
          <t>Diciembre</t>
        </is>
      </c>
      <c r="I1924" t="inlineStr">
        <is>
          <t>2025-2</t>
        </is>
      </c>
      <c r="J1924" t="n">
        <v>100</v>
      </c>
      <c r="K1924" t="n">
        <v>106.54</v>
      </c>
      <c r="L1924" s="39">
        <f>IFERROR(IF(OR(J1924=0,K1924=""),"",IF(E1924="Positivo",MIN(MAX(K1924/J1924,0),1.3),MIN(MAX(J1924/K1924,0),1.3))),"") </f>
        <v/>
      </c>
      <c r="M1924" s="39">
        <f>IFERROR(IF(OR(J1924=0,K1924=""),"",IF(E1924="Positivo",MAX(K1924/J1924,0),MAX(J1924/K1924,0))),"") </f>
        <v/>
      </c>
      <c r="N1924" t="inlineStr">
        <is>
          <t>%</t>
        </is>
      </c>
      <c r="O1924" t="inlineStr">
        <is>
          <t>%</t>
        </is>
      </c>
      <c r="P1924" t="n">
        <v>0</v>
      </c>
      <c r="Q1924" t="n">
        <v>0</v>
      </c>
      <c r="R1924" t="inlineStr">
        <is>
          <t>386-2025-12-31</t>
        </is>
      </c>
    </row>
    <row r="1925">
      <c r="A1925" t="n">
        <v>387</v>
      </c>
      <c r="B1925" t="inlineStr">
        <is>
          <t>Programas con reforzamiento curricular por escuela</t>
        </is>
      </c>
      <c r="C1925" t="inlineStr">
        <is>
          <t>Gestión, Evaluación e Innovación Curricular</t>
        </is>
      </c>
      <c r="D1925" t="inlineStr">
        <is>
          <t>Semestral</t>
        </is>
      </c>
      <c r="E1925" t="inlineStr">
        <is>
          <t>Positivo</t>
        </is>
      </c>
      <c r="F1925" s="111" t="n">
        <v>45107</v>
      </c>
      <c r="G1925" t="n">
        <v>2023</v>
      </c>
      <c r="H1925" t="inlineStr">
        <is>
          <t>Junio</t>
        </is>
      </c>
      <c r="I1925" t="inlineStr">
        <is>
          <t>2023-1</t>
        </is>
      </c>
      <c r="J1925" t="n">
        <v>38</v>
      </c>
      <c r="K1925" t="n">
        <v>38</v>
      </c>
      <c r="L1925" s="39">
        <f>IFERROR(IF(OR(J1925=0,K1925=""),"",IF(E1925="Positivo",MIN(MAX(K1925/J1925,0),1.3),MIN(MAX(J1925/K1925,0),1.3))),"") </f>
        <v/>
      </c>
      <c r="M1925" s="39">
        <f>IFERROR(IF(OR(J1925=0,K1925=""),"",IF(E1925="Positivo",MAX(K1925/J1925,0),MAX(J1925/K1925,0))),"") </f>
        <v/>
      </c>
      <c r="N1925" t="inlineStr">
        <is>
          <t>$</t>
        </is>
      </c>
      <c r="O1925" t="inlineStr">
        <is>
          <t>$</t>
        </is>
      </c>
      <c r="P1925" t="n">
        <v>0</v>
      </c>
      <c r="Q1925" t="n">
        <v>0</v>
      </c>
      <c r="R1925" t="inlineStr">
        <is>
          <t>387-2023-06-30</t>
        </is>
      </c>
    </row>
    <row r="1926">
      <c r="A1926" t="n">
        <v>387</v>
      </c>
      <c r="B1926" t="inlineStr">
        <is>
          <t>Programas con reforzamiento curricular por escuela</t>
        </is>
      </c>
      <c r="C1926" t="inlineStr">
        <is>
          <t>Gestión, Evaluación e Innovación Curricular</t>
        </is>
      </c>
      <c r="D1926" t="inlineStr">
        <is>
          <t>Semestral</t>
        </is>
      </c>
      <c r="E1926" t="inlineStr">
        <is>
          <t>Positivo</t>
        </is>
      </c>
      <c r="F1926" s="111" t="n">
        <v>45291</v>
      </c>
      <c r="G1926" t="n">
        <v>2023</v>
      </c>
      <c r="H1926" t="inlineStr">
        <is>
          <t>Diciembre</t>
        </is>
      </c>
      <c r="I1926" t="inlineStr">
        <is>
          <t>2023-2</t>
        </is>
      </c>
      <c r="J1926" t="n">
        <v>0</v>
      </c>
      <c r="K1926" t="n">
        <v>0</v>
      </c>
      <c r="L1926" s="39">
        <f>IFERROR(IF(OR(J1926=0,K1926=""),"",IF(E1926="Positivo",MIN(MAX(K1926/J1926,0),1.3),MIN(MAX(J1926/K1926,0),1.3))),"") </f>
        <v/>
      </c>
      <c r="M1926" s="39">
        <f>IFERROR(IF(OR(J1926=0,K1926=""),"",IF(E1926="Positivo",MAX(K1926/J1926,0),MAX(J1926/K1926,0))),"") </f>
        <v/>
      </c>
      <c r="N1926" t="inlineStr">
        <is>
          <t>$</t>
        </is>
      </c>
      <c r="O1926" t="inlineStr">
        <is>
          <t>$</t>
        </is>
      </c>
      <c r="P1926" t="n">
        <v>0</v>
      </c>
      <c r="Q1926" t="n">
        <v>0</v>
      </c>
      <c r="R1926" t="inlineStr">
        <is>
          <t>387-2023-12-31</t>
        </is>
      </c>
    </row>
    <row r="1927">
      <c r="A1927" t="n">
        <v>388</v>
      </c>
      <c r="B1927" t="inlineStr">
        <is>
          <t>Programas con matriz de resultados de aprendizaje por escuela</t>
        </is>
      </c>
      <c r="C1927" t="inlineStr">
        <is>
          <t>Gestión, Evaluación e Innovación Curricular</t>
        </is>
      </c>
      <c r="D1927" t="inlineStr">
        <is>
          <t>Semestral</t>
        </is>
      </c>
      <c r="E1927" t="inlineStr">
        <is>
          <t>Positivo</t>
        </is>
      </c>
      <c r="F1927" s="111" t="n">
        <v>45107</v>
      </c>
      <c r="G1927" t="n">
        <v>2023</v>
      </c>
      <c r="H1927" t="inlineStr">
        <is>
          <t>Junio</t>
        </is>
      </c>
      <c r="I1927" t="inlineStr">
        <is>
          <t>2023-1</t>
        </is>
      </c>
      <c r="J1927" t="n">
        <v>77</v>
      </c>
      <c r="K1927" t="n">
        <v>77</v>
      </c>
      <c r="L1927" s="39">
        <f>IFERROR(IF(OR(J1927=0,K1927=""),"",IF(E1927="Positivo",MIN(MAX(K1927/J1927,0),1.3),MIN(MAX(J1927/K1927,0),1.3))),"") </f>
        <v/>
      </c>
      <c r="M1927" s="39">
        <f>IFERROR(IF(OR(J1927=0,K1927=""),"",IF(E1927="Positivo",MAX(K1927/J1927,0),MAX(J1927/K1927,0))),"") </f>
        <v/>
      </c>
      <c r="N1927" t="inlineStr">
        <is>
          <t>$</t>
        </is>
      </c>
      <c r="O1927" t="inlineStr">
        <is>
          <t>$</t>
        </is>
      </c>
      <c r="P1927" t="n">
        <v>0</v>
      </c>
      <c r="Q1927" t="n">
        <v>0</v>
      </c>
      <c r="R1927" t="inlineStr">
        <is>
          <t>388-2023-06-30</t>
        </is>
      </c>
    </row>
    <row r="1928">
      <c r="A1928" t="n">
        <v>388</v>
      </c>
      <c r="B1928" t="inlineStr">
        <is>
          <t>Programas con matriz de resultados de aprendizaje por escuela</t>
        </is>
      </c>
      <c r="C1928" t="inlineStr">
        <is>
          <t>Gestión, Evaluación e Innovación Curricular</t>
        </is>
      </c>
      <c r="D1928" t="inlineStr">
        <is>
          <t>Semestral</t>
        </is>
      </c>
      <c r="E1928" t="inlineStr">
        <is>
          <t>Positivo</t>
        </is>
      </c>
      <c r="F1928" s="111" t="n">
        <v>45291</v>
      </c>
      <c r="G1928" t="n">
        <v>2023</v>
      </c>
      <c r="H1928" t="inlineStr">
        <is>
          <t>Diciembre</t>
        </is>
      </c>
      <c r="I1928" t="inlineStr">
        <is>
          <t>2023-2</t>
        </is>
      </c>
      <c r="J1928" t="n">
        <v>16</v>
      </c>
      <c r="K1928" t="n">
        <v>16</v>
      </c>
      <c r="L1928" s="39">
        <f>IFERROR(IF(OR(J1928=0,K1928=""),"",IF(E1928="Positivo",MIN(MAX(K1928/J1928,0),1.3),MIN(MAX(J1928/K1928,0),1.3))),"") </f>
        <v/>
      </c>
      <c r="M1928" s="39">
        <f>IFERROR(IF(OR(J1928=0,K1928=""),"",IF(E1928="Positivo",MAX(K1928/J1928,0),MAX(J1928/K1928,0))),"") </f>
        <v/>
      </c>
      <c r="N1928" t="inlineStr">
        <is>
          <t>$</t>
        </is>
      </c>
      <c r="O1928" t="inlineStr">
        <is>
          <t>$</t>
        </is>
      </c>
      <c r="P1928" t="n">
        <v>0</v>
      </c>
      <c r="Q1928" t="n">
        <v>0</v>
      </c>
      <c r="R1928" t="inlineStr">
        <is>
          <t>388-2023-12-31</t>
        </is>
      </c>
    </row>
    <row r="1929">
      <c r="A1929" t="n">
        <v>389</v>
      </c>
      <c r="B1929" t="inlineStr">
        <is>
          <t>Permanencia por escuela</t>
        </is>
      </c>
      <c r="C1929" t="inlineStr">
        <is>
          <t>Permanencia</t>
        </is>
      </c>
      <c r="D1929" t="inlineStr">
        <is>
          <t>Semestral</t>
        </is>
      </c>
      <c r="E1929" t="inlineStr">
        <is>
          <t>Positivo</t>
        </is>
      </c>
      <c r="F1929" s="111" t="n">
        <v>45107</v>
      </c>
      <c r="G1929" t="n">
        <v>2023</v>
      </c>
      <c r="H1929" t="inlineStr">
        <is>
          <t>Junio</t>
        </is>
      </c>
      <c r="I1929" t="inlineStr">
        <is>
          <t>2023-1</t>
        </is>
      </c>
      <c r="J1929" t="n">
        <v>91</v>
      </c>
      <c r="K1929" t="n">
        <v>1017.39998626709</v>
      </c>
      <c r="L1929" s="39">
        <f>IFERROR(IF(OR(J1929=0,K1929=""),"",IF(E1929="Positivo",MIN(MAX(K1929/J1929,0),1.3),MIN(MAX(J1929/K1929,0),1.3))),"") </f>
        <v/>
      </c>
      <c r="M1929" s="39">
        <f>IFERROR(IF(OR(J1929=0,K1929=""),"",IF(E1929="Positivo",MAX(K1929/J1929,0),MAX(J1929/K1929,0))),"") </f>
        <v/>
      </c>
      <c r="N1929" t="inlineStr">
        <is>
          <t>$</t>
        </is>
      </c>
      <c r="O1929" t="inlineStr">
        <is>
          <t>$</t>
        </is>
      </c>
      <c r="P1929" t="n">
        <v>0</v>
      </c>
      <c r="Q1929" t="n">
        <v>0</v>
      </c>
      <c r="R1929" t="inlineStr">
        <is>
          <t>389-2023-06-30</t>
        </is>
      </c>
    </row>
    <row r="1930">
      <c r="A1930" t="n">
        <v>389</v>
      </c>
      <c r="B1930" t="inlineStr">
        <is>
          <t>Permanencia por escuela</t>
        </is>
      </c>
      <c r="C1930" t="inlineStr">
        <is>
          <t>Permanencia</t>
        </is>
      </c>
      <c r="D1930" t="inlineStr">
        <is>
          <t>Semestral</t>
        </is>
      </c>
      <c r="E1930" t="inlineStr">
        <is>
          <t>Positivo</t>
        </is>
      </c>
      <c r="F1930" s="111" t="n">
        <v>45291</v>
      </c>
      <c r="G1930" t="n">
        <v>2023</v>
      </c>
      <c r="H1930" t="inlineStr">
        <is>
          <t>Diciembre</t>
        </is>
      </c>
      <c r="I1930" t="inlineStr">
        <is>
          <t>2023-2</t>
        </is>
      </c>
      <c r="J1930" t="n">
        <v>91</v>
      </c>
      <c r="K1930" t="n">
        <v>0</v>
      </c>
      <c r="L1930" s="39">
        <f>IFERROR(IF(OR(J1930=0,K1930=""),"",IF(E1930="Positivo",MIN(MAX(K1930/J1930,0),1.3),MIN(MAX(J1930/K1930,0),1.3))),"") </f>
        <v/>
      </c>
      <c r="M1930" s="39">
        <f>IFERROR(IF(OR(J1930=0,K1930=""),"",IF(E1930="Positivo",MAX(K1930/J1930,0),MAX(J1930/K1930,0))),"") </f>
        <v/>
      </c>
      <c r="N1930" t="inlineStr">
        <is>
          <t>$</t>
        </is>
      </c>
      <c r="O1930" t="inlineStr">
        <is>
          <t>$</t>
        </is>
      </c>
      <c r="P1930" t="n">
        <v>0</v>
      </c>
      <c r="Q1930" t="n">
        <v>0</v>
      </c>
      <c r="R1930" t="inlineStr">
        <is>
          <t>389-2023-12-31</t>
        </is>
      </c>
    </row>
    <row r="1931">
      <c r="A1931" t="n">
        <v>389</v>
      </c>
      <c r="B1931" t="inlineStr">
        <is>
          <t>Permanencia por escuela</t>
        </is>
      </c>
      <c r="C1931" t="inlineStr">
        <is>
          <t>Permanencia</t>
        </is>
      </c>
      <c r="D1931" t="inlineStr">
        <is>
          <t>Semestral</t>
        </is>
      </c>
      <c r="E1931" t="inlineStr">
        <is>
          <t>Positivo</t>
        </is>
      </c>
      <c r="F1931" s="111" t="n">
        <v>45473</v>
      </c>
      <c r="G1931" t="n">
        <v>2024</v>
      </c>
      <c r="H1931" t="inlineStr">
        <is>
          <t>Junio</t>
        </is>
      </c>
      <c r="I1931" t="inlineStr">
        <is>
          <t>2024-1</t>
        </is>
      </c>
      <c r="J1931" t="n">
        <v>85</v>
      </c>
      <c r="K1931" t="n">
        <v>84.43333333333332</v>
      </c>
      <c r="L1931" s="39">
        <f>IFERROR(IF(OR(J1931=0,K1931=""),"",IF(E1931="Positivo",MIN(MAX(K1931/J1931,0),1.3),MIN(MAX(J1931/K1931,0),1.3))),"") </f>
        <v/>
      </c>
      <c r="M1931" s="39">
        <f>IFERROR(IF(OR(J1931=0,K1931=""),"",IF(E1931="Positivo",MAX(K1931/J1931,0),MAX(J1931/K1931,0))),"") </f>
        <v/>
      </c>
      <c r="N1931" t="inlineStr">
        <is>
          <t>%</t>
        </is>
      </c>
      <c r="O1931" t="inlineStr">
        <is>
          <t>%</t>
        </is>
      </c>
      <c r="P1931" t="n">
        <v>0</v>
      </c>
      <c r="Q1931" t="n">
        <v>0</v>
      </c>
      <c r="R1931" t="inlineStr">
        <is>
          <t>389-2024-06-30</t>
        </is>
      </c>
    </row>
    <row r="1932">
      <c r="A1932" t="n">
        <v>389</v>
      </c>
      <c r="B1932" t="inlineStr">
        <is>
          <t>Permanencia por escuela</t>
        </is>
      </c>
      <c r="C1932" t="inlineStr">
        <is>
          <t>Permanencia</t>
        </is>
      </c>
      <c r="D1932" t="inlineStr">
        <is>
          <t>Semestral</t>
        </is>
      </c>
      <c r="E1932" t="inlineStr">
        <is>
          <t>Positivo</t>
        </is>
      </c>
      <c r="F1932" s="111" t="n">
        <v>45657</v>
      </c>
      <c r="G1932" t="n">
        <v>2024</v>
      </c>
      <c r="H1932" t="inlineStr">
        <is>
          <t>Diciembre</t>
        </is>
      </c>
      <c r="I1932" t="inlineStr">
        <is>
          <t>2024-2</t>
        </is>
      </c>
      <c r="J1932" t="n">
        <v>85</v>
      </c>
      <c r="K1932" t="n">
        <v>0</v>
      </c>
      <c r="L1932" s="39">
        <f>IFERROR(IF(OR(J1932=0,K1932=""),"",IF(E1932="Positivo",MIN(MAX(K1932/J1932,0),1.3),MIN(MAX(J1932/K1932,0),1.3))),"") </f>
        <v/>
      </c>
      <c r="M1932" s="39">
        <f>IFERROR(IF(OR(J1932=0,K1932=""),"",IF(E1932="Positivo",MAX(K1932/J1932,0),MAX(J1932/K1932,0))),"") </f>
        <v/>
      </c>
      <c r="N1932" t="inlineStr">
        <is>
          <t>%</t>
        </is>
      </c>
      <c r="O1932" t="inlineStr">
        <is>
          <t>%</t>
        </is>
      </c>
      <c r="P1932" t="n">
        <v>0</v>
      </c>
      <c r="Q1932" t="n">
        <v>0</v>
      </c>
      <c r="R1932" t="inlineStr">
        <is>
          <t>389-2024-12-31</t>
        </is>
      </c>
    </row>
    <row r="1933">
      <c r="A1933" t="n">
        <v>389</v>
      </c>
      <c r="B1933" t="inlineStr">
        <is>
          <t>Permanencia por escuela</t>
        </is>
      </c>
      <c r="C1933" t="inlineStr">
        <is>
          <t>Gestión de Unidades Académicas</t>
        </is>
      </c>
      <c r="D1933" t="inlineStr">
        <is>
          <t>Trimestral</t>
        </is>
      </c>
      <c r="E1933" t="inlineStr">
        <is>
          <t>Positivo</t>
        </is>
      </c>
      <c r="F1933" s="111" t="n">
        <v>45838</v>
      </c>
      <c r="G1933" t="n">
        <v>2025</v>
      </c>
      <c r="H1933" t="inlineStr">
        <is>
          <t>Junio</t>
        </is>
      </c>
      <c r="I1933" t="inlineStr">
        <is>
          <t>2025-1</t>
        </is>
      </c>
      <c r="K1933" t="n">
        <v>0</v>
      </c>
      <c r="L1933" s="39" t="n"/>
      <c r="M1933" s="39" t="n"/>
      <c r="N1933" t="inlineStr">
        <is>
          <t>%</t>
        </is>
      </c>
      <c r="O1933" t="inlineStr">
        <is>
          <t>%</t>
        </is>
      </c>
      <c r="P1933" t="n">
        <v>0</v>
      </c>
      <c r="Q1933" t="n">
        <v>0</v>
      </c>
      <c r="R1933" t="inlineStr">
        <is>
          <t>389-2025-06-30</t>
        </is>
      </c>
    </row>
    <row r="1934">
      <c r="A1934" t="n">
        <v>389</v>
      </c>
      <c r="B1934" t="inlineStr">
        <is>
          <t>Permanencia por escuela</t>
        </is>
      </c>
      <c r="C1934" t="inlineStr">
        <is>
          <t>Gestión de Unidades Académicas</t>
        </is>
      </c>
      <c r="D1934" t="inlineStr">
        <is>
          <t>Trimestral</t>
        </is>
      </c>
      <c r="E1934" t="inlineStr">
        <is>
          <t>Positivo</t>
        </is>
      </c>
      <c r="F1934" s="111" t="n">
        <v>46022</v>
      </c>
      <c r="G1934" t="n">
        <v>2025</v>
      </c>
      <c r="H1934" t="inlineStr">
        <is>
          <t>Diciembre</t>
        </is>
      </c>
      <c r="I1934" t="inlineStr">
        <is>
          <t>2025-2</t>
        </is>
      </c>
      <c r="L1934" s="39" t="n"/>
      <c r="M1934" s="39" t="n"/>
      <c r="N1934" t="inlineStr">
        <is>
          <t>%</t>
        </is>
      </c>
      <c r="O1934" t="inlineStr">
        <is>
          <t>No Aplica</t>
        </is>
      </c>
      <c r="P1934" t="n">
        <v>0</v>
      </c>
      <c r="Q1934" t="n">
        <v>0</v>
      </c>
      <c r="R1934" t="inlineStr">
        <is>
          <t>389-2025-12-31</t>
        </is>
      </c>
      <c r="S1934" t="inlineStr">
        <is>
          <t>No Aplica</t>
        </is>
      </c>
    </row>
    <row r="1935">
      <c r="A1935" t="n">
        <v>390</v>
      </c>
      <c r="B1935" t="inlineStr">
        <is>
          <t>Cumplimiento Plan Anual por escuela</t>
        </is>
      </c>
      <c r="C1935" t="inlineStr">
        <is>
          <t>Planeación Estratégica</t>
        </is>
      </c>
      <c r="D1935" t="inlineStr">
        <is>
          <t>Semestral</t>
        </is>
      </c>
      <c r="E1935" t="inlineStr">
        <is>
          <t>Positivo</t>
        </is>
      </c>
      <c r="F1935" s="111" t="n">
        <v>45016</v>
      </c>
      <c r="G1935" t="n">
        <v>2023</v>
      </c>
      <c r="H1935" t="inlineStr">
        <is>
          <t>Marzo</t>
        </is>
      </c>
      <c r="I1935" t="inlineStr">
        <is>
          <t>2023-1</t>
        </is>
      </c>
      <c r="J1935" t="n">
        <v>100</v>
      </c>
      <c r="K1935" t="n">
        <v>0</v>
      </c>
      <c r="L1935" s="39">
        <f>IFERROR(IF(OR(J1935=0,K1935=""),"",IF(E1935="Positivo",MIN(MAX(K1935/J1935,0),1.0),MIN(MAX(J1935/K1935,0),1.0))),"") </f>
        <v/>
      </c>
      <c r="M1935" s="39">
        <f>IFERROR(IF(OR(J1935=0,K1935=""),"",IF(E1935="Positivo",MAX(K1935/J1935,0),MAX(J1935/K1935,0))),"") </f>
        <v/>
      </c>
      <c r="N1935" t="inlineStr">
        <is>
          <t>%</t>
        </is>
      </c>
      <c r="O1935" t="inlineStr">
        <is>
          <t>%</t>
        </is>
      </c>
      <c r="P1935" t="n">
        <v>0</v>
      </c>
      <c r="Q1935" t="n">
        <v>0</v>
      </c>
      <c r="R1935" t="inlineStr">
        <is>
          <t>390-2023-03-31</t>
        </is>
      </c>
    </row>
    <row r="1936">
      <c r="A1936" t="n">
        <v>390</v>
      </c>
      <c r="B1936" t="inlineStr">
        <is>
          <t>Cumplimiento Plan Anual por escuela</t>
        </is>
      </c>
      <c r="C1936" t="inlineStr">
        <is>
          <t>Planeación Estratégica</t>
        </is>
      </c>
      <c r="D1936" t="inlineStr">
        <is>
          <t>Trimestral</t>
        </is>
      </c>
      <c r="E1936" t="inlineStr">
        <is>
          <t>Positivo</t>
        </is>
      </c>
      <c r="F1936" s="111" t="n">
        <v>45107</v>
      </c>
      <c r="G1936" t="n">
        <v>2023</v>
      </c>
      <c r="H1936" t="inlineStr">
        <is>
          <t>Junio</t>
        </is>
      </c>
      <c r="I1936" t="inlineStr">
        <is>
          <t>2023-1</t>
        </is>
      </c>
      <c r="J1936" t="n">
        <v>100</v>
      </c>
      <c r="K1936" t="n">
        <v>110.38416666667</v>
      </c>
      <c r="L1936" s="39">
        <f>IFERROR(IF(OR(J1936=0,K1936=""),"",IF(E1936="Positivo",MIN(MAX(K1936/J1936,0),1.0),MIN(MAX(J1936/K1936,0),1.0))),"") </f>
        <v/>
      </c>
      <c r="M1936" s="39">
        <f>IFERROR(IF(OR(J1936=0,K1936=""),"",IF(E1936="Positivo",MAX(K1936/J1936,0),MAX(J1936/K1936,0))),"") </f>
        <v/>
      </c>
      <c r="N1936" t="inlineStr">
        <is>
          <t>%</t>
        </is>
      </c>
      <c r="O1936" t="inlineStr">
        <is>
          <t>%</t>
        </is>
      </c>
      <c r="P1936" t="n">
        <v>0</v>
      </c>
      <c r="Q1936" t="n">
        <v>0</v>
      </c>
      <c r="R1936" t="inlineStr">
        <is>
          <t>390-2023-06-30</t>
        </is>
      </c>
    </row>
    <row r="1937">
      <c r="A1937" t="n">
        <v>390</v>
      </c>
      <c r="B1937" t="inlineStr">
        <is>
          <t>Cumplimiento Plan Anual por escuela</t>
        </is>
      </c>
      <c r="C1937" t="inlineStr">
        <is>
          <t>Planeación Estratégica</t>
        </is>
      </c>
      <c r="D1937" t="inlineStr">
        <is>
          <t>Trimestral</t>
        </is>
      </c>
      <c r="E1937" t="inlineStr">
        <is>
          <t>Positivo</t>
        </is>
      </c>
      <c r="F1937" s="111" t="n">
        <v>45199</v>
      </c>
      <c r="G1937" t="n">
        <v>2023</v>
      </c>
      <c r="H1937" t="inlineStr">
        <is>
          <t>Septiembre</t>
        </is>
      </c>
      <c r="I1937" t="inlineStr">
        <is>
          <t>2023-2</t>
        </is>
      </c>
      <c r="J1937" t="n">
        <v>100</v>
      </c>
      <c r="K1937" t="n">
        <v>95.34416666666699</v>
      </c>
      <c r="L1937" s="39">
        <f>IFERROR(IF(OR(J1937=0,K1937=""),"",IF(E1937="Positivo",MIN(MAX(K1937/J1937,0),1.0),MIN(MAX(J1937/K1937,0),1.0))),"") </f>
        <v/>
      </c>
      <c r="M1937" s="39">
        <f>IFERROR(IF(OR(J1937=0,K1937=""),"",IF(E1937="Positivo",MAX(K1937/J1937,0),MAX(J1937/K1937,0))),"") </f>
        <v/>
      </c>
      <c r="N1937" t="inlineStr">
        <is>
          <t>%</t>
        </is>
      </c>
      <c r="O1937" t="inlineStr">
        <is>
          <t>%</t>
        </is>
      </c>
      <c r="P1937" t="n">
        <v>0</v>
      </c>
      <c r="Q1937" t="n">
        <v>0</v>
      </c>
      <c r="R1937" t="inlineStr">
        <is>
          <t>390-2023-09-30</t>
        </is>
      </c>
    </row>
    <row r="1938">
      <c r="A1938" t="n">
        <v>390</v>
      </c>
      <c r="B1938" t="inlineStr">
        <is>
          <t>Cumplimiento Plan Anual por escuela</t>
        </is>
      </c>
      <c r="C1938" t="inlineStr">
        <is>
          <t>Planeación Estratégica</t>
        </is>
      </c>
      <c r="D1938" t="inlineStr">
        <is>
          <t>Trimestral</t>
        </is>
      </c>
      <c r="E1938" t="inlineStr">
        <is>
          <t>Positivo</t>
        </is>
      </c>
      <c r="F1938" s="111" t="n">
        <v>45291</v>
      </c>
      <c r="G1938" t="n">
        <v>2023</v>
      </c>
      <c r="H1938" t="inlineStr">
        <is>
          <t>Diciembre</t>
        </is>
      </c>
      <c r="I1938" t="inlineStr">
        <is>
          <t>2023-2</t>
        </is>
      </c>
      <c r="J1938" t="n">
        <v>100</v>
      </c>
      <c r="K1938" t="n">
        <v>99.24916666666699</v>
      </c>
      <c r="L1938" s="39">
        <f>IFERROR(IF(OR(J1938=0,K1938=""),"",IF(E1938="Positivo",MIN(MAX(K1938/J1938,0),1.0),MIN(MAX(J1938/K1938,0),1.0))),"") </f>
        <v/>
      </c>
      <c r="M1938" s="39">
        <f>IFERROR(IF(OR(J1938=0,K1938=""),"",IF(E1938="Positivo",MAX(K1938/J1938,0),MAX(J1938/K1938,0))),"") </f>
        <v/>
      </c>
      <c r="N1938" t="inlineStr">
        <is>
          <t>%</t>
        </is>
      </c>
      <c r="O1938" t="inlineStr">
        <is>
          <t>%</t>
        </is>
      </c>
      <c r="P1938" t="n">
        <v>0</v>
      </c>
      <c r="Q1938" t="n">
        <v>0</v>
      </c>
      <c r="R1938" t="inlineStr">
        <is>
          <t>390-2023-12-31</t>
        </is>
      </c>
    </row>
    <row r="1939">
      <c r="A1939" t="n">
        <v>390</v>
      </c>
      <c r="B1939" t="inlineStr">
        <is>
          <t>Cumplimiento Plan Anual por escuela</t>
        </is>
      </c>
      <c r="C1939" t="inlineStr">
        <is>
          <t>Planeación Estratégica</t>
        </is>
      </c>
      <c r="D1939" t="inlineStr">
        <is>
          <t>Trimestral</t>
        </is>
      </c>
      <c r="E1939" t="inlineStr">
        <is>
          <t>Positivo</t>
        </is>
      </c>
      <c r="F1939" s="111" t="n">
        <v>45382</v>
      </c>
      <c r="G1939" t="n">
        <v>2024</v>
      </c>
      <c r="H1939" t="inlineStr">
        <is>
          <t>Marzo</t>
        </is>
      </c>
      <c r="I1939" t="inlineStr">
        <is>
          <t>2024-1</t>
        </is>
      </c>
      <c r="J1939" t="n">
        <v>100</v>
      </c>
      <c r="K1939" t="n">
        <v>168.53</v>
      </c>
      <c r="L1939" s="39">
        <f>IFERROR(IF(OR(J1939=0,K1939=""),"",IF(E1939="Positivo",MIN(MAX(K1939/J1939,0),1.0),MIN(MAX(J1939/K1939,0),1.0))),"") </f>
        <v/>
      </c>
      <c r="M1939" s="39">
        <f>IFERROR(IF(OR(J1939=0,K1939=""),"",IF(E1939="Positivo",MAX(K1939/J1939,0),MAX(J1939/K1939,0))),"") </f>
        <v/>
      </c>
      <c r="P1939" t="n">
        <v>0</v>
      </c>
      <c r="Q1939" t="n">
        <v>0</v>
      </c>
      <c r="R1939" t="inlineStr">
        <is>
          <t>390-2024-03-31</t>
        </is>
      </c>
    </row>
    <row r="1940">
      <c r="A1940" t="n">
        <v>390</v>
      </c>
      <c r="B1940" t="inlineStr">
        <is>
          <t>Cumplimiento Plan Anual por escuela</t>
        </is>
      </c>
      <c r="C1940" t="inlineStr">
        <is>
          <t>Planeación Estratégica</t>
        </is>
      </c>
      <c r="D1940" t="inlineStr">
        <is>
          <t>Trimestral</t>
        </is>
      </c>
      <c r="E1940" t="inlineStr">
        <is>
          <t>Positivo</t>
        </is>
      </c>
      <c r="F1940" s="111" t="n">
        <v>45473</v>
      </c>
      <c r="G1940" t="n">
        <v>2024</v>
      </c>
      <c r="H1940" t="inlineStr">
        <is>
          <t>Junio</t>
        </is>
      </c>
      <c r="I1940" t="inlineStr">
        <is>
          <t>2024-1</t>
        </is>
      </c>
      <c r="J1940" t="n">
        <v>100</v>
      </c>
      <c r="K1940" t="n">
        <v>110.59</v>
      </c>
      <c r="L1940" s="39">
        <f>IFERROR(IF(OR(J1940=0,K1940=""),"",IF(E1940="Positivo",MIN(MAX(K1940/J1940,0),1.0),MIN(MAX(J1940/K1940,0),1.0))),"") </f>
        <v/>
      </c>
      <c r="M1940" s="39">
        <f>IFERROR(IF(OR(J1940=0,K1940=""),"",IF(E1940="Positivo",MAX(K1940/J1940,0),MAX(J1940/K1940,0))),"") </f>
        <v/>
      </c>
      <c r="P1940" t="n">
        <v>0</v>
      </c>
      <c r="Q1940" t="n">
        <v>0</v>
      </c>
      <c r="R1940" t="inlineStr">
        <is>
          <t>390-2024-06-30</t>
        </is>
      </c>
    </row>
    <row r="1941">
      <c r="A1941" t="n">
        <v>390</v>
      </c>
      <c r="B1941" t="inlineStr">
        <is>
          <t>Cumplimiento Plan Anual por escuela</t>
        </is>
      </c>
      <c r="C1941" t="inlineStr">
        <is>
          <t>Planeación Estratégica</t>
        </is>
      </c>
      <c r="D1941" t="inlineStr">
        <is>
          <t>Trimestral</t>
        </is>
      </c>
      <c r="E1941" t="inlineStr">
        <is>
          <t>Positivo</t>
        </is>
      </c>
      <c r="F1941" s="111" t="n">
        <v>45565</v>
      </c>
      <c r="G1941" t="n">
        <v>2024</v>
      </c>
      <c r="H1941" t="inlineStr">
        <is>
          <t>Septiembre</t>
        </is>
      </c>
      <c r="I1941" t="inlineStr">
        <is>
          <t>2024-2</t>
        </is>
      </c>
      <c r="J1941" t="n">
        <v>100</v>
      </c>
      <c r="K1941" t="n">
        <v>83.31999999999999</v>
      </c>
      <c r="L1941" s="39">
        <f>IFERROR(IF(OR(J1941=0,K1941=""),"",IF(E1941="Positivo",MIN(MAX(K1941/J1941,0),1.0),MIN(MAX(J1941/K1941,0),1.0))),"") </f>
        <v/>
      </c>
      <c r="M1941" s="39">
        <f>IFERROR(IF(OR(J1941=0,K1941=""),"",IF(E1941="Positivo",MAX(K1941/J1941,0),MAX(J1941/K1941,0))),"") </f>
        <v/>
      </c>
      <c r="P1941" t="n">
        <v>0</v>
      </c>
      <c r="Q1941" t="n">
        <v>0</v>
      </c>
      <c r="R1941" t="inlineStr">
        <is>
          <t>390-2024-09-30</t>
        </is>
      </c>
    </row>
    <row r="1942">
      <c r="A1942" t="n">
        <v>390</v>
      </c>
      <c r="B1942" t="inlineStr">
        <is>
          <t>Cumplimiento Plan Anual por escuela</t>
        </is>
      </c>
      <c r="C1942" t="inlineStr">
        <is>
          <t>Planeación Estratégica</t>
        </is>
      </c>
      <c r="D1942" t="inlineStr">
        <is>
          <t>Trimestral</t>
        </is>
      </c>
      <c r="E1942" t="inlineStr">
        <is>
          <t>Positivo</t>
        </is>
      </c>
      <c r="F1942" s="111" t="n">
        <v>45657</v>
      </c>
      <c r="G1942" t="n">
        <v>2024</v>
      </c>
      <c r="H1942" t="inlineStr">
        <is>
          <t>Diciembre</t>
        </is>
      </c>
      <c r="I1942" t="inlineStr">
        <is>
          <t>2024-2</t>
        </is>
      </c>
      <c r="J1942" t="n">
        <v>100</v>
      </c>
      <c r="K1942" t="n">
        <v>99.92</v>
      </c>
      <c r="L1942" s="39">
        <f>IFERROR(IF(OR(J1942=0,K1942=""),"",IF(E1942="Positivo",MIN(MAX(K1942/J1942,0),1.0),MIN(MAX(J1942/K1942,0),1.0))),"") </f>
        <v/>
      </c>
      <c r="M1942" s="39">
        <f>IFERROR(IF(OR(J1942=0,K1942=""),"",IF(E1942="Positivo",MAX(K1942/J1942,0),MAX(J1942/K1942,0))),"") </f>
        <v/>
      </c>
      <c r="P1942" t="n">
        <v>0</v>
      </c>
      <c r="Q1942" t="n">
        <v>0</v>
      </c>
      <c r="R1942" t="inlineStr">
        <is>
          <t>390-2024-12-31</t>
        </is>
      </c>
    </row>
    <row r="1943">
      <c r="A1943" t="n">
        <v>390</v>
      </c>
      <c r="B1943" t="inlineStr">
        <is>
          <t>Cumplimiento Plan Anual por escuela</t>
        </is>
      </c>
      <c r="C1943" t="inlineStr">
        <is>
          <t>Planeación Estratégica</t>
        </is>
      </c>
      <c r="D1943" t="inlineStr">
        <is>
          <t>Semestral</t>
        </is>
      </c>
      <c r="E1943" t="inlineStr">
        <is>
          <t>Positivo</t>
        </is>
      </c>
      <c r="F1943" s="111" t="n">
        <v>45747</v>
      </c>
      <c r="G1943" t="n">
        <v>2025</v>
      </c>
      <c r="H1943" t="inlineStr">
        <is>
          <t>Marzo</t>
        </is>
      </c>
      <c r="I1943" t="inlineStr">
        <is>
          <t>2025-1</t>
        </is>
      </c>
      <c r="J1943" t="n">
        <v>100</v>
      </c>
      <c r="K1943" t="n">
        <v>140.57</v>
      </c>
      <c r="L1943" s="39">
        <f>IFERROR(IF(OR(J1943=0,K1943=""),"",IF(E1943="Positivo",MIN(MAX(K1943/J1943,0),1.0),MIN(MAX(J1943/K1943,0),1.0))),"") </f>
        <v/>
      </c>
      <c r="M1943" s="39">
        <f>IFERROR(IF(OR(J1943=0,K1943=""),"",IF(E1943="Positivo",MAX(K1943/J1943,0),MAX(J1943/K1943,0))),"") </f>
        <v/>
      </c>
      <c r="N1943" t="inlineStr">
        <is>
          <t>%</t>
        </is>
      </c>
      <c r="O1943" t="inlineStr">
        <is>
          <t>%</t>
        </is>
      </c>
      <c r="P1943" t="n">
        <v>0</v>
      </c>
      <c r="Q1943" t="n">
        <v>0</v>
      </c>
      <c r="R1943" t="inlineStr">
        <is>
          <t>390-2025-03-31</t>
        </is>
      </c>
    </row>
    <row r="1944">
      <c r="A1944" t="n">
        <v>390</v>
      </c>
      <c r="B1944" t="inlineStr">
        <is>
          <t>Cumplimiento Plan Anual por escuela</t>
        </is>
      </c>
      <c r="C1944" t="inlineStr">
        <is>
          <t>Planeación Estratégica</t>
        </is>
      </c>
      <c r="D1944" t="inlineStr">
        <is>
          <t>Semestral</t>
        </is>
      </c>
      <c r="E1944" t="inlineStr">
        <is>
          <t>Positivo</t>
        </is>
      </c>
      <c r="F1944" s="111" t="n">
        <v>45838</v>
      </c>
      <c r="G1944" t="n">
        <v>2025</v>
      </c>
      <c r="H1944" t="inlineStr">
        <is>
          <t>Junio</t>
        </is>
      </c>
      <c r="I1944" t="inlineStr">
        <is>
          <t>2025-1</t>
        </is>
      </c>
      <c r="J1944" t="n">
        <v>100</v>
      </c>
      <c r="K1944" t="n">
        <v>103.55</v>
      </c>
      <c r="L1944" s="39">
        <f>IFERROR(IF(OR(J1944=0,K1944=""),"",IF(E1944="Positivo",MIN(MAX(K1944/J1944,0),1.0),MIN(MAX(J1944/K1944,0),1.0))),"") </f>
        <v/>
      </c>
      <c r="M1944" s="39">
        <f>IFERROR(IF(OR(J1944=0,K1944=""),"",IF(E1944="Positivo",MAX(K1944/J1944,0),MAX(J1944/K1944,0))),"") </f>
        <v/>
      </c>
      <c r="N1944" t="inlineStr">
        <is>
          <t>%</t>
        </is>
      </c>
      <c r="O1944" t="inlineStr">
        <is>
          <t>%</t>
        </is>
      </c>
      <c r="P1944" t="n">
        <v>0</v>
      </c>
      <c r="Q1944" t="n">
        <v>0</v>
      </c>
      <c r="R1944" t="inlineStr">
        <is>
          <t>390-2025-06-30</t>
        </is>
      </c>
    </row>
    <row r="1945">
      <c r="A1945" t="n">
        <v>390</v>
      </c>
      <c r="B1945" t="inlineStr">
        <is>
          <t>Cumplimiento Plan Anual por escuela</t>
        </is>
      </c>
      <c r="C1945" t="inlineStr">
        <is>
          <t>Planeación Estratégica</t>
        </is>
      </c>
      <c r="D1945" t="inlineStr">
        <is>
          <t>Semestral</t>
        </is>
      </c>
      <c r="E1945" t="inlineStr">
        <is>
          <t>Positivo</t>
        </is>
      </c>
      <c r="F1945" s="111" t="n">
        <v>45930</v>
      </c>
      <c r="G1945" t="n">
        <v>2025</v>
      </c>
      <c r="H1945" t="inlineStr">
        <is>
          <t>Septiembre</t>
        </is>
      </c>
      <c r="I1945" t="inlineStr">
        <is>
          <t>2025-2</t>
        </is>
      </c>
      <c r="J1945" t="n">
        <v>100</v>
      </c>
      <c r="K1945" t="n">
        <v>101.17</v>
      </c>
      <c r="L1945" s="39">
        <f>IFERROR(IF(OR(J1945=0,K1945=""),"",IF(E1945="Positivo",MIN(MAX(K1945/J1945,0),1.0),MIN(MAX(J1945/K1945,0),1.0))),"") </f>
        <v/>
      </c>
      <c r="M1945" s="39">
        <f>IFERROR(IF(OR(J1945=0,K1945=""),"",IF(E1945="Positivo",MAX(K1945/J1945,0),MAX(J1945/K1945,0))),"") </f>
        <v/>
      </c>
      <c r="N1945" t="inlineStr">
        <is>
          <t>%</t>
        </is>
      </c>
      <c r="O1945" t="inlineStr">
        <is>
          <t>%</t>
        </is>
      </c>
      <c r="P1945" t="n">
        <v>0</v>
      </c>
      <c r="Q1945" t="n">
        <v>0</v>
      </c>
      <c r="R1945" t="inlineStr">
        <is>
          <t>390-2025-09-30</t>
        </is>
      </c>
    </row>
    <row r="1946">
      <c r="A1946" t="n">
        <v>390</v>
      </c>
      <c r="B1946" t="inlineStr">
        <is>
          <t>Cumplimiento Plan Anual por escuela</t>
        </is>
      </c>
      <c r="C1946" t="inlineStr">
        <is>
          <t>Planeación Estratégica</t>
        </is>
      </c>
      <c r="D1946" t="inlineStr">
        <is>
          <t>Semestral</t>
        </is>
      </c>
      <c r="E1946" t="inlineStr">
        <is>
          <t>Positivo</t>
        </is>
      </c>
      <c r="F1946" s="111" t="n">
        <v>46022</v>
      </c>
      <c r="G1946" t="n">
        <v>2025</v>
      </c>
      <c r="H1946" t="inlineStr">
        <is>
          <t>Diciembre</t>
        </is>
      </c>
      <c r="I1946" t="inlineStr">
        <is>
          <t>2025-2</t>
        </is>
      </c>
      <c r="J1946" t="n">
        <v>100</v>
      </c>
      <c r="K1946" t="n">
        <v>99.78</v>
      </c>
      <c r="L1946" s="39">
        <f>IFERROR(IF(OR(J1946=0,K1946=""),"",IF(E1946="Positivo",MIN(MAX(K1946/J1946,0),1.0),MIN(MAX(J1946/K1946,0),1.0))),"") </f>
        <v/>
      </c>
      <c r="M1946" s="39">
        <f>IFERROR(IF(OR(J1946=0,K1946=""),"",IF(E1946="Positivo",MAX(K1946/J1946,0),MAX(J1946/K1946,0))),"") </f>
        <v/>
      </c>
      <c r="N1946" t="inlineStr">
        <is>
          <t>%</t>
        </is>
      </c>
      <c r="O1946" t="inlineStr">
        <is>
          <t>%</t>
        </is>
      </c>
      <c r="P1946" t="n">
        <v>0</v>
      </c>
      <c r="Q1946" t="n">
        <v>0</v>
      </c>
      <c r="R1946" t="inlineStr">
        <is>
          <t>390-2025-12-31</t>
        </is>
      </c>
    </row>
    <row r="1947">
      <c r="A1947" t="n">
        <v>391</v>
      </c>
      <c r="B1947" t="inlineStr">
        <is>
          <t>Satisfacción del cliente con campañas integradas de marketing</t>
        </is>
      </c>
      <c r="C1947" t="inlineStr">
        <is>
          <t>Gestión de campañas integradas de marketing</t>
        </is>
      </c>
      <c r="D1947" t="inlineStr">
        <is>
          <t>Semestral</t>
        </is>
      </c>
      <c r="E1947" t="inlineStr">
        <is>
          <t>Positivo</t>
        </is>
      </c>
      <c r="F1947" s="111" t="n">
        <v>45107</v>
      </c>
      <c r="G1947" t="n">
        <v>2023</v>
      </c>
      <c r="H1947" t="inlineStr">
        <is>
          <t>Junio</t>
        </is>
      </c>
      <c r="I1947" t="inlineStr">
        <is>
          <t>2023-1</t>
        </is>
      </c>
      <c r="J1947" t="n">
        <v>100</v>
      </c>
      <c r="K1947" t="n">
        <v>100</v>
      </c>
      <c r="L1947" s="39">
        <f>IFERROR(IF(OR(J1947=0,K1947=""),"",IF(E1947="Positivo",MIN(MAX(K1947/J1947,0),1.3),MIN(MAX(J1947/K1947,0),1.3))),"") </f>
        <v/>
      </c>
      <c r="M1947" s="39">
        <f>IFERROR(IF(OR(J1947=0,K1947=""),"",IF(E1947="Positivo",MAX(K1947/J1947,0),MAX(J1947/K1947,0))),"") </f>
        <v/>
      </c>
      <c r="N1947" t="inlineStr">
        <is>
          <t>%</t>
        </is>
      </c>
      <c r="O1947" t="inlineStr">
        <is>
          <t>%</t>
        </is>
      </c>
      <c r="P1947" t="n">
        <v>0</v>
      </c>
      <c r="Q1947" t="n">
        <v>0</v>
      </c>
      <c r="R1947" t="inlineStr">
        <is>
          <t>391-2023-06-30</t>
        </is>
      </c>
    </row>
    <row r="1948">
      <c r="A1948" t="n">
        <v>391</v>
      </c>
      <c r="B1948" t="inlineStr">
        <is>
          <t>Satisfacción del cliente con campañas integradas de marketing</t>
        </is>
      </c>
      <c r="C1948" t="inlineStr">
        <is>
          <t>Gestión de campañas integradas de marketing</t>
        </is>
      </c>
      <c r="D1948" t="inlineStr">
        <is>
          <t>Semestral</t>
        </is>
      </c>
      <c r="E1948" t="inlineStr">
        <is>
          <t>Positivo</t>
        </is>
      </c>
      <c r="F1948" s="111" t="n">
        <v>45291</v>
      </c>
      <c r="G1948" t="n">
        <v>2023</v>
      </c>
      <c r="H1948" t="inlineStr">
        <is>
          <t>Diciembre</t>
        </is>
      </c>
      <c r="I1948" t="inlineStr">
        <is>
          <t>2023-2</t>
        </is>
      </c>
      <c r="J1948" t="n">
        <v>100</v>
      </c>
      <c r="K1948" t="n">
        <v>100</v>
      </c>
      <c r="L1948" s="39">
        <f>IFERROR(IF(OR(J1948=0,K1948=""),"",IF(E1948="Positivo",MIN(MAX(K1948/J1948,0),1.3),MIN(MAX(J1948/K1948,0),1.3))),"") </f>
        <v/>
      </c>
      <c r="M1948" s="39">
        <f>IFERROR(IF(OR(J1948=0,K1948=""),"",IF(E1948="Positivo",MAX(K1948/J1948,0),MAX(J1948/K1948,0))),"") </f>
        <v/>
      </c>
      <c r="N1948" t="inlineStr">
        <is>
          <t>%</t>
        </is>
      </c>
      <c r="O1948" t="inlineStr">
        <is>
          <t>%</t>
        </is>
      </c>
      <c r="P1948" t="n">
        <v>0</v>
      </c>
      <c r="Q1948" t="n">
        <v>0</v>
      </c>
      <c r="R1948" t="inlineStr">
        <is>
          <t>391-2023-12-31</t>
        </is>
      </c>
    </row>
    <row r="1949">
      <c r="A1949" t="n">
        <v>391</v>
      </c>
      <c r="B1949" t="inlineStr">
        <is>
          <t>Satisfacción del cliente con campañas integradas de marketing</t>
        </is>
      </c>
      <c r="C1949" t="inlineStr">
        <is>
          <t>Gestión de campañas integradas de marketing</t>
        </is>
      </c>
      <c r="D1949" t="inlineStr">
        <is>
          <t>Semestral</t>
        </is>
      </c>
      <c r="E1949" t="inlineStr">
        <is>
          <t>Positivo</t>
        </is>
      </c>
      <c r="F1949" s="111" t="n">
        <v>45473</v>
      </c>
      <c r="G1949" t="n">
        <v>2024</v>
      </c>
      <c r="H1949" t="inlineStr">
        <is>
          <t>Junio</t>
        </is>
      </c>
      <c r="I1949" t="inlineStr">
        <is>
          <t>2024-1</t>
        </is>
      </c>
      <c r="J1949" t="n">
        <v>96</v>
      </c>
      <c r="K1949" t="n">
        <v>100</v>
      </c>
      <c r="L1949" s="39">
        <f>IFERROR(IF(OR(J1949=0,K1949=""),"",IF(E1949="Positivo",MIN(MAX(K1949/J1949,0),1.3),MIN(MAX(J1949/K1949,0),1.3))),"") </f>
        <v/>
      </c>
      <c r="M1949" s="39">
        <f>IFERROR(IF(OR(J1949=0,K1949=""),"",IF(E1949="Positivo",MAX(K1949/J1949,0),MAX(J1949/K1949,0))),"") </f>
        <v/>
      </c>
      <c r="N1949" t="inlineStr">
        <is>
          <t>%</t>
        </is>
      </c>
      <c r="O1949" t="inlineStr">
        <is>
          <t>%</t>
        </is>
      </c>
      <c r="P1949" t="n">
        <v>0</v>
      </c>
      <c r="Q1949" t="n">
        <v>0</v>
      </c>
      <c r="R1949" t="inlineStr">
        <is>
          <t>391-2024-06-30</t>
        </is>
      </c>
    </row>
    <row r="1950">
      <c r="A1950" t="n">
        <v>391</v>
      </c>
      <c r="B1950" t="inlineStr">
        <is>
          <t>Satisfacción del cliente con campañas integradas de marketing</t>
        </is>
      </c>
      <c r="C1950" t="inlineStr">
        <is>
          <t>Gestión de campañas integradas de marketing</t>
        </is>
      </c>
      <c r="D1950" t="inlineStr">
        <is>
          <t>Semestral</t>
        </is>
      </c>
      <c r="E1950" t="inlineStr">
        <is>
          <t>Positivo</t>
        </is>
      </c>
      <c r="F1950" s="111" t="n">
        <v>45657</v>
      </c>
      <c r="G1950" t="n">
        <v>2024</v>
      </c>
      <c r="H1950" t="inlineStr">
        <is>
          <t>Diciembre</t>
        </is>
      </c>
      <c r="I1950" t="inlineStr">
        <is>
          <t>2024-2</t>
        </is>
      </c>
      <c r="J1950" t="n">
        <v>96</v>
      </c>
      <c r="K1950" t="n">
        <v>100</v>
      </c>
      <c r="L1950" s="39">
        <f>IFERROR(IF(OR(J1950=0,K1950=""),"",IF(E1950="Positivo",MIN(MAX(K1950/J1950,0),1.3),MIN(MAX(J1950/K1950,0),1.3))),"") </f>
        <v/>
      </c>
      <c r="M1950" s="39">
        <f>IFERROR(IF(OR(J1950=0,K1950=""),"",IF(E1950="Positivo",MAX(K1950/J1950,0),MAX(J1950/K1950,0))),"") </f>
        <v/>
      </c>
      <c r="N1950" t="inlineStr">
        <is>
          <t>%</t>
        </is>
      </c>
      <c r="O1950" t="inlineStr">
        <is>
          <t>%</t>
        </is>
      </c>
      <c r="P1950" t="n">
        <v>0</v>
      </c>
      <c r="Q1950" t="n">
        <v>0</v>
      </c>
      <c r="R1950" t="inlineStr">
        <is>
          <t>391-2024-12-31</t>
        </is>
      </c>
    </row>
    <row r="1951">
      <c r="A1951" t="n">
        <v>392</v>
      </c>
      <c r="B1951" t="inlineStr">
        <is>
          <t>Ahorro institucional con base en la monetización de los servicios</t>
        </is>
      </c>
      <c r="C1951" t="inlineStr">
        <is>
          <t>Gestión de campañas integradas de marketing</t>
        </is>
      </c>
      <c r="D1951" t="inlineStr">
        <is>
          <t>Semestral</t>
        </is>
      </c>
      <c r="E1951" t="inlineStr">
        <is>
          <t>Positivo</t>
        </is>
      </c>
      <c r="F1951" s="111" t="n">
        <v>45107</v>
      </c>
      <c r="G1951" t="n">
        <v>2023</v>
      </c>
      <c r="H1951" t="inlineStr">
        <is>
          <t>Junio</t>
        </is>
      </c>
      <c r="I1951" t="inlineStr">
        <is>
          <t>2023-1</t>
        </is>
      </c>
      <c r="J1951" t="n">
        <v>100</v>
      </c>
      <c r="K1951" t="n">
        <v>110.09198322581</v>
      </c>
      <c r="L1951" s="39">
        <f>IFERROR(IF(OR(J1951=0,K1951=""),"",IF(E1951="Positivo",MIN(MAX(K1951/J1951,0),1.3),MIN(MAX(J1951/K1951,0),1.3))),"") </f>
        <v/>
      </c>
      <c r="M1951" s="39">
        <f>IFERROR(IF(OR(J1951=0,K1951=""),"",IF(E1951="Positivo",MAX(K1951/J1951,0),MAX(J1951/K1951,0))),"") </f>
        <v/>
      </c>
      <c r="N1951" t="inlineStr">
        <is>
          <t>%</t>
        </is>
      </c>
      <c r="O1951" t="inlineStr">
        <is>
          <t>%</t>
        </is>
      </c>
      <c r="P1951" t="n">
        <v>0</v>
      </c>
      <c r="Q1951" t="n">
        <v>0</v>
      </c>
      <c r="R1951" t="inlineStr">
        <is>
          <t>392-2023-06-30</t>
        </is>
      </c>
    </row>
    <row r="1952">
      <c r="A1952" t="n">
        <v>392</v>
      </c>
      <c r="B1952" t="inlineStr">
        <is>
          <t>Ahorro institucional con base en la monetización de los servicios</t>
        </is>
      </c>
      <c r="C1952" t="inlineStr">
        <is>
          <t>Gestión de campañas integradas de marketing</t>
        </is>
      </c>
      <c r="D1952" t="inlineStr">
        <is>
          <t>Semestral</t>
        </is>
      </c>
      <c r="E1952" t="inlineStr">
        <is>
          <t>Positivo</t>
        </is>
      </c>
      <c r="F1952" s="111" t="n">
        <v>45291</v>
      </c>
      <c r="G1952" t="n">
        <v>2023</v>
      </c>
      <c r="H1952" t="inlineStr">
        <is>
          <t>Diciembre</t>
        </is>
      </c>
      <c r="I1952" t="inlineStr">
        <is>
          <t>2023-2</t>
        </is>
      </c>
      <c r="J1952" t="n">
        <v>100</v>
      </c>
      <c r="K1952" t="n">
        <v>147.38</v>
      </c>
      <c r="L1952" s="39">
        <f>IFERROR(IF(OR(J1952=0,K1952=""),"",IF(E1952="Positivo",MIN(MAX(K1952/J1952,0),1.3),MIN(MAX(J1952/K1952,0),1.3))),"") </f>
        <v/>
      </c>
      <c r="M1952" s="39">
        <f>IFERROR(IF(OR(J1952=0,K1952=""),"",IF(E1952="Positivo",MAX(K1952/J1952,0),MAX(J1952/K1952,0))),"") </f>
        <v/>
      </c>
      <c r="N1952" t="inlineStr">
        <is>
          <t>%</t>
        </is>
      </c>
      <c r="O1952" t="inlineStr">
        <is>
          <t>%</t>
        </is>
      </c>
      <c r="P1952" t="n">
        <v>0</v>
      </c>
      <c r="Q1952" t="n">
        <v>0</v>
      </c>
      <c r="R1952" t="inlineStr">
        <is>
          <t>392-2023-12-31</t>
        </is>
      </c>
    </row>
    <row r="1953">
      <c r="A1953" t="n">
        <v>392</v>
      </c>
      <c r="B1953" t="inlineStr">
        <is>
          <t>Ahorro institucional con base en la monetización de los servicios</t>
        </is>
      </c>
      <c r="C1953" t="inlineStr">
        <is>
          <t>Gestión de campañas integradas de marketing</t>
        </is>
      </c>
      <c r="D1953" t="inlineStr">
        <is>
          <t>Semestral</t>
        </is>
      </c>
      <c r="E1953" t="inlineStr">
        <is>
          <t>Positivo</t>
        </is>
      </c>
      <c r="F1953" s="111" t="n">
        <v>45473</v>
      </c>
      <c r="G1953" t="n">
        <v>2024</v>
      </c>
      <c r="H1953" t="inlineStr">
        <is>
          <t>Junio</t>
        </is>
      </c>
      <c r="I1953" t="inlineStr">
        <is>
          <t>2024-1</t>
        </is>
      </c>
      <c r="J1953" t="n">
        <v>100</v>
      </c>
      <c r="K1953" t="n">
        <v>98.11</v>
      </c>
      <c r="L1953" s="39">
        <f>IFERROR(IF(OR(J1953=0,K1953=""),"",IF(E1953="Positivo",MIN(MAX(K1953/J1953,0),1.3),MIN(MAX(J1953/K1953,0),1.3))),"") </f>
        <v/>
      </c>
      <c r="M1953" s="39">
        <f>IFERROR(IF(OR(J1953=0,K1953=""),"",IF(E1953="Positivo",MAX(K1953/J1953,0),MAX(J1953/K1953,0))),"") </f>
        <v/>
      </c>
      <c r="N1953" t="inlineStr">
        <is>
          <t>$</t>
        </is>
      </c>
      <c r="O1953" t="inlineStr">
        <is>
          <t>$</t>
        </is>
      </c>
      <c r="P1953" t="n">
        <v>0</v>
      </c>
      <c r="Q1953" t="n">
        <v>0</v>
      </c>
      <c r="R1953" t="inlineStr">
        <is>
          <t>392-2024-06-30</t>
        </is>
      </c>
    </row>
    <row r="1954">
      <c r="A1954" t="n">
        <v>392</v>
      </c>
      <c r="B1954" t="inlineStr">
        <is>
          <t>Ahorro institucional con base en la monetización de los servicios</t>
        </is>
      </c>
      <c r="C1954" t="inlineStr">
        <is>
          <t>Gestión de campañas integradas de marketing</t>
        </is>
      </c>
      <c r="D1954" t="inlineStr">
        <is>
          <t>Semestral</t>
        </is>
      </c>
      <c r="E1954" t="inlineStr">
        <is>
          <t>Positivo</t>
        </is>
      </c>
      <c r="F1954" s="111" t="n">
        <v>45657</v>
      </c>
      <c r="G1954" t="n">
        <v>2024</v>
      </c>
      <c r="H1954" t="inlineStr">
        <is>
          <t>Diciembre</t>
        </is>
      </c>
      <c r="I1954" t="inlineStr">
        <is>
          <t>2024-2</t>
        </is>
      </c>
      <c r="J1954" t="n">
        <v>100</v>
      </c>
      <c r="K1954" t="n">
        <v>145.21</v>
      </c>
      <c r="L1954" s="39">
        <f>IFERROR(IF(OR(J1954=0,K1954=""),"",IF(E1954="Positivo",MIN(MAX(K1954/J1954,0),1.3),MIN(MAX(J1954/K1954,0),1.3))),"") </f>
        <v/>
      </c>
      <c r="M1954" s="39">
        <f>IFERROR(IF(OR(J1954=0,K1954=""),"",IF(E1954="Positivo",MAX(K1954/J1954,0),MAX(J1954/K1954,0))),"") </f>
        <v/>
      </c>
      <c r="N1954" t="inlineStr">
        <is>
          <t>$</t>
        </is>
      </c>
      <c r="O1954" t="inlineStr">
        <is>
          <t>$</t>
        </is>
      </c>
      <c r="P1954" t="n">
        <v>0</v>
      </c>
      <c r="Q1954" t="n">
        <v>0</v>
      </c>
      <c r="R1954" t="inlineStr">
        <is>
          <t>392-2024-12-31</t>
        </is>
      </c>
    </row>
    <row r="1955">
      <c r="A1955" t="n">
        <v>392</v>
      </c>
      <c r="B1955" t="inlineStr">
        <is>
          <t>Ahorro institucional con base en la monetización de los servicios</t>
        </is>
      </c>
      <c r="C1955" t="inlineStr">
        <is>
          <t>Gestión de campañas integradas de marketing</t>
        </is>
      </c>
      <c r="D1955" t="inlineStr">
        <is>
          <t>Anual</t>
        </is>
      </c>
      <c r="E1955" t="inlineStr">
        <is>
          <t>Positivo</t>
        </is>
      </c>
      <c r="F1955" s="111" t="n">
        <v>46022</v>
      </c>
      <c r="G1955" t="n">
        <v>2025</v>
      </c>
      <c r="H1955" t="inlineStr">
        <is>
          <t>Diciembre</t>
        </is>
      </c>
      <c r="I1955" t="inlineStr">
        <is>
          <t>2025-2</t>
        </is>
      </c>
      <c r="J1955" t="n">
        <v>100</v>
      </c>
      <c r="K1955" t="n">
        <v>100.8</v>
      </c>
      <c r="L1955" s="39">
        <f>IFERROR(IF(OR(J1955=0,K1955=""),"",IF(E1955="Positivo",MIN(MAX(K1955/J1955,0),1.3),MIN(MAX(J1955/K1955,0),1.3))),"") </f>
        <v/>
      </c>
      <c r="M1955" s="39">
        <f>IFERROR(IF(OR(J1955=0,K1955=""),"",IF(E1955="Positivo",MAX(K1955/J1955,0),MAX(J1955/K1955,0))),"") </f>
        <v/>
      </c>
      <c r="N1955" t="inlineStr">
        <is>
          <t>$</t>
        </is>
      </c>
      <c r="O1955" t="inlineStr">
        <is>
          <t>$</t>
        </is>
      </c>
      <c r="P1955" t="n">
        <v>0</v>
      </c>
      <c r="Q1955" t="n">
        <v>0</v>
      </c>
      <c r="R1955" t="inlineStr">
        <is>
          <t>392-2025-12-31</t>
        </is>
      </c>
    </row>
    <row r="1956">
      <c r="A1956" t="n">
        <v>393</v>
      </c>
      <c r="B1956" t="inlineStr">
        <is>
          <t>Disminución de los tiempos empleados en el desarrollo de las solicitudes</t>
        </is>
      </c>
      <c r="C1956" t="inlineStr">
        <is>
          <t>Gestión de campañas integradas de marketing</t>
        </is>
      </c>
      <c r="D1956" t="inlineStr">
        <is>
          <t>Anual</t>
        </is>
      </c>
      <c r="E1956" t="inlineStr">
        <is>
          <t>Positivo</t>
        </is>
      </c>
      <c r="F1956" s="111" t="n">
        <v>45291</v>
      </c>
      <c r="G1956" t="n">
        <v>2023</v>
      </c>
      <c r="H1956" t="inlineStr">
        <is>
          <t>Diciembre</t>
        </is>
      </c>
      <c r="I1956" t="inlineStr">
        <is>
          <t>2023-2</t>
        </is>
      </c>
      <c r="J1956" t="n">
        <v>15</v>
      </c>
      <c r="K1956" t="n">
        <v>15.45</v>
      </c>
      <c r="L1956" s="39">
        <f>IFERROR(IF(OR(J1956=0,K1956=""),"",IF(E1956="Positivo",MIN(MAX(K1956/J1956,0),1.3),MIN(MAX(J1956/K1956,0),1.3))),"") </f>
        <v/>
      </c>
      <c r="M1956" s="39">
        <f>IFERROR(IF(OR(J1956=0,K1956=""),"",IF(E1956="Positivo",MAX(K1956/J1956,0),MAX(J1956/K1956,0))),"") </f>
        <v/>
      </c>
      <c r="N1956" t="inlineStr">
        <is>
          <t>$</t>
        </is>
      </c>
      <c r="O1956" t="inlineStr">
        <is>
          <t>$</t>
        </is>
      </c>
      <c r="P1956" t="n">
        <v>0</v>
      </c>
      <c r="Q1956" t="n">
        <v>0</v>
      </c>
      <c r="R1956" t="inlineStr">
        <is>
          <t>393-2023-12-31</t>
        </is>
      </c>
    </row>
    <row r="1957">
      <c r="A1957" t="n">
        <v>393</v>
      </c>
      <c r="B1957" t="inlineStr">
        <is>
          <t>Disminución de los tiempos empleados en el desarrollo de las solicitudes</t>
        </is>
      </c>
      <c r="C1957" t="inlineStr">
        <is>
          <t>Gestión de campañas integradas de marketing</t>
        </is>
      </c>
      <c r="D1957" t="inlineStr">
        <is>
          <t>Anual</t>
        </is>
      </c>
      <c r="E1957" t="inlineStr">
        <is>
          <t>Negativo</t>
        </is>
      </c>
      <c r="F1957" s="111" t="n">
        <v>45657</v>
      </c>
      <c r="G1957" t="n">
        <v>2024</v>
      </c>
      <c r="H1957" t="inlineStr">
        <is>
          <t>Diciembre</t>
        </is>
      </c>
      <c r="I1957" t="inlineStr">
        <is>
          <t>2024-2</t>
        </is>
      </c>
      <c r="J1957" t="n">
        <v>15</v>
      </c>
      <c r="K1957" t="n">
        <v>13</v>
      </c>
      <c r="L1957" s="39">
        <f>IFERROR(IF(OR(J1957=0,K1957=""),"",IF(E1957="Positivo",MIN(MAX(K1957/J1957,0),1.3),MIN(MAX(J1957/K1957,0),1.3))),"") </f>
        <v/>
      </c>
      <c r="M1957" s="39">
        <f>IFERROR(IF(OR(J1957=0,K1957=""),"",IF(E1957="Positivo",MAX(K1957/J1957,0),MAX(J1957/K1957,0))),"") </f>
        <v/>
      </c>
      <c r="P1957" t="n">
        <v>0</v>
      </c>
      <c r="Q1957" t="n">
        <v>0</v>
      </c>
      <c r="R1957" t="inlineStr">
        <is>
          <t>393-2024-12-31</t>
        </is>
      </c>
    </row>
    <row r="1958">
      <c r="A1958" t="n">
        <v>393</v>
      </c>
      <c r="B1958" t="inlineStr">
        <is>
          <t>Disminución de los tiempos empleados en el desarrollo de las solicitudes</t>
        </is>
      </c>
      <c r="C1958" t="inlineStr">
        <is>
          <t>Gestión de campañas integradas de marketing</t>
        </is>
      </c>
      <c r="D1958" t="inlineStr">
        <is>
          <t>Anual</t>
        </is>
      </c>
      <c r="E1958" t="inlineStr">
        <is>
          <t>Negativo</t>
        </is>
      </c>
      <c r="F1958" s="111" t="n">
        <v>46022</v>
      </c>
      <c r="G1958" t="n">
        <v>2025</v>
      </c>
      <c r="H1958" t="inlineStr">
        <is>
          <t>Diciembre</t>
        </is>
      </c>
      <c r="I1958" t="inlineStr">
        <is>
          <t>2025-2</t>
        </is>
      </c>
      <c r="K1958" t="n">
        <v>12</v>
      </c>
      <c r="L1958" s="39" t="n"/>
      <c r="M1958" s="39" t="n"/>
      <c r="N1958" t="inlineStr">
        <is>
          <t>ENT</t>
        </is>
      </c>
      <c r="O1958" t="inlineStr">
        <is>
          <t>DEC</t>
        </is>
      </c>
      <c r="P1958" t="n">
        <v>1</v>
      </c>
      <c r="Q1958" t="n">
        <v>1</v>
      </c>
      <c r="R1958" t="inlineStr">
        <is>
          <t>393-2025-12-31</t>
        </is>
      </c>
    </row>
    <row r="1959">
      <c r="A1959" t="n">
        <v>394</v>
      </c>
      <c r="B1959" t="inlineStr">
        <is>
          <t>Publicaciones en medios de comunicación Tier 1 y Tier 2</t>
        </is>
      </c>
      <c r="C1959" t="inlineStr">
        <is>
          <t>Comunicaciones Externas</t>
        </is>
      </c>
      <c r="D1959" t="inlineStr">
        <is>
          <t>Semestral</t>
        </is>
      </c>
      <c r="E1959" t="inlineStr">
        <is>
          <t>Positivo</t>
        </is>
      </c>
      <c r="F1959" s="111" t="n">
        <v>45016</v>
      </c>
      <c r="G1959" t="n">
        <v>2023</v>
      </c>
      <c r="H1959" t="inlineStr">
        <is>
          <t>Marzo</t>
        </is>
      </c>
      <c r="I1959" t="inlineStr">
        <is>
          <t>2023-1</t>
        </is>
      </c>
      <c r="J1959" t="n">
        <v>100</v>
      </c>
      <c r="K1959" t="n">
        <v>0</v>
      </c>
      <c r="L1959" s="39">
        <f>IFERROR(IF(OR(J1959=0,K1959=""),"",IF(E1959="Positivo",MIN(MAX(K1959/J1959,0),1.3),MIN(MAX(J1959/K1959,0),1.3))),"") </f>
        <v/>
      </c>
      <c r="M1959" s="39">
        <f>IFERROR(IF(OR(J1959=0,K1959=""),"",IF(E1959="Positivo",MAX(K1959/J1959,0),MAX(J1959/K1959,0))),"") </f>
        <v/>
      </c>
      <c r="N1959" t="inlineStr">
        <is>
          <t>ENT</t>
        </is>
      </c>
      <c r="O1959" t="inlineStr">
        <is>
          <t>ENT</t>
        </is>
      </c>
      <c r="P1959" t="n">
        <v>0</v>
      </c>
      <c r="Q1959" t="n">
        <v>0</v>
      </c>
      <c r="R1959" t="inlineStr">
        <is>
          <t>394-2023-03-31</t>
        </is>
      </c>
    </row>
    <row r="1960">
      <c r="A1960" t="n">
        <v>394</v>
      </c>
      <c r="B1960" t="inlineStr">
        <is>
          <t>Publicaciones en medios de comunicación Tier 1 y Tier 2</t>
        </is>
      </c>
      <c r="C1960" t="inlineStr">
        <is>
          <t>Comunicaciones Externas</t>
        </is>
      </c>
      <c r="D1960" t="inlineStr">
        <is>
          <t>Semestral</t>
        </is>
      </c>
      <c r="E1960" t="inlineStr">
        <is>
          <t>Positivo</t>
        </is>
      </c>
      <c r="F1960" s="111" t="n">
        <v>45107</v>
      </c>
      <c r="G1960" t="n">
        <v>2023</v>
      </c>
      <c r="H1960" t="inlineStr">
        <is>
          <t>Junio</t>
        </is>
      </c>
      <c r="I1960" t="inlineStr">
        <is>
          <t>2023-1</t>
        </is>
      </c>
      <c r="J1960" t="n">
        <v>100</v>
      </c>
      <c r="K1960" t="n">
        <v>275.42857142857</v>
      </c>
      <c r="L1960" s="39">
        <f>IFERROR(IF(OR(J1960=0,K1960=""),"",IF(E1960="Positivo",MIN(MAX(K1960/J1960,0),1.3),MIN(MAX(J1960/K1960,0),1.3))),"") </f>
        <v/>
      </c>
      <c r="M1960" s="39">
        <f>IFERROR(IF(OR(J1960=0,K1960=""),"",IF(E1960="Positivo",MAX(K1960/J1960,0),MAX(J1960/K1960,0))),"") </f>
        <v/>
      </c>
      <c r="N1960" t="inlineStr">
        <is>
          <t>ENT</t>
        </is>
      </c>
      <c r="O1960" t="inlineStr">
        <is>
          <t>ENT</t>
        </is>
      </c>
      <c r="P1960" t="n">
        <v>0</v>
      </c>
      <c r="Q1960" t="n">
        <v>0</v>
      </c>
      <c r="R1960" t="inlineStr">
        <is>
          <t>394-2023-06-30</t>
        </is>
      </c>
    </row>
    <row r="1961">
      <c r="A1961" t="n">
        <v>394</v>
      </c>
      <c r="B1961" t="inlineStr">
        <is>
          <t>Publicaciones en medios de comunicación Tier 1 y Tier 2</t>
        </is>
      </c>
      <c r="C1961" t="inlineStr">
        <is>
          <t>Comunicaciones Externas</t>
        </is>
      </c>
      <c r="D1961" t="inlineStr">
        <is>
          <t>Semestral</t>
        </is>
      </c>
      <c r="E1961" t="inlineStr">
        <is>
          <t>Positivo</t>
        </is>
      </c>
      <c r="F1961" s="111" t="n">
        <v>45199</v>
      </c>
      <c r="G1961" t="n">
        <v>2023</v>
      </c>
      <c r="H1961" t="inlineStr">
        <is>
          <t>Septiembre</t>
        </is>
      </c>
      <c r="I1961" t="inlineStr">
        <is>
          <t>2023-2</t>
        </is>
      </c>
      <c r="J1961" t="n">
        <v>100</v>
      </c>
      <c r="K1961" t="n">
        <v>0</v>
      </c>
      <c r="L1961" s="39">
        <f>IFERROR(IF(OR(J1961=0,K1961=""),"",IF(E1961="Positivo",MIN(MAX(K1961/J1961,0),1.3),MIN(MAX(J1961/K1961,0),1.3))),"") </f>
        <v/>
      </c>
      <c r="M1961" s="39">
        <f>IFERROR(IF(OR(J1961=0,K1961=""),"",IF(E1961="Positivo",MAX(K1961/J1961,0),MAX(J1961/K1961,0))),"") </f>
        <v/>
      </c>
      <c r="N1961" t="inlineStr">
        <is>
          <t>ENT</t>
        </is>
      </c>
      <c r="O1961" t="inlineStr">
        <is>
          <t>ENT</t>
        </is>
      </c>
      <c r="P1961" t="n">
        <v>0</v>
      </c>
      <c r="Q1961" t="n">
        <v>0</v>
      </c>
      <c r="R1961" t="inlineStr">
        <is>
          <t>394-2023-09-30</t>
        </is>
      </c>
    </row>
    <row r="1962">
      <c r="A1962" t="n">
        <v>394</v>
      </c>
      <c r="B1962" t="inlineStr">
        <is>
          <t>Publicaciones en medios de comunicación Tier 1 y Tier 2</t>
        </is>
      </c>
      <c r="C1962" t="inlineStr">
        <is>
          <t>Comunicaciones Externas</t>
        </is>
      </c>
      <c r="D1962" t="inlineStr">
        <is>
          <t>Semestral</t>
        </is>
      </c>
      <c r="E1962" t="inlineStr">
        <is>
          <t>Positivo</t>
        </is>
      </c>
      <c r="F1962" s="111" t="n">
        <v>45291</v>
      </c>
      <c r="G1962" t="n">
        <v>2023</v>
      </c>
      <c r="H1962" t="inlineStr">
        <is>
          <t>Diciembre</t>
        </is>
      </c>
      <c r="I1962" t="inlineStr">
        <is>
          <t>2023-2</t>
        </is>
      </c>
      <c r="J1962" t="n">
        <v>100</v>
      </c>
      <c r="K1962" t="n">
        <v>349.71</v>
      </c>
      <c r="L1962" s="39">
        <f>IFERROR(IF(OR(J1962=0,K1962=""),"",IF(E1962="Positivo",MIN(MAX(K1962/J1962,0),1.3),MIN(MAX(J1962/K1962,0),1.3))),"") </f>
        <v/>
      </c>
      <c r="M1962" s="39">
        <f>IFERROR(IF(OR(J1962=0,K1962=""),"",IF(E1962="Positivo",MAX(K1962/J1962,0),MAX(J1962/K1962,0))),"") </f>
        <v/>
      </c>
      <c r="N1962" t="inlineStr">
        <is>
          <t>ENT</t>
        </is>
      </c>
      <c r="O1962" t="inlineStr">
        <is>
          <t>ENT</t>
        </is>
      </c>
      <c r="P1962" t="n">
        <v>0</v>
      </c>
      <c r="Q1962" t="n">
        <v>0</v>
      </c>
      <c r="R1962" t="inlineStr">
        <is>
          <t>394-2023-12-31</t>
        </is>
      </c>
    </row>
    <row r="1963">
      <c r="A1963" t="n">
        <v>394</v>
      </c>
      <c r="B1963" t="inlineStr">
        <is>
          <t>Publicaciones en medios de comunicación Tier 1 y Tier 2</t>
        </is>
      </c>
      <c r="C1963" t="inlineStr">
        <is>
          <t>Comunicaciones Externas</t>
        </is>
      </c>
      <c r="D1963" t="inlineStr">
        <is>
          <t>Semestral</t>
        </is>
      </c>
      <c r="E1963" t="inlineStr">
        <is>
          <t>Positivo</t>
        </is>
      </c>
      <c r="F1963" s="111" t="n">
        <v>45382</v>
      </c>
      <c r="G1963" t="n">
        <v>2024</v>
      </c>
      <c r="H1963" t="inlineStr">
        <is>
          <t>Marzo</t>
        </is>
      </c>
      <c r="I1963" t="inlineStr">
        <is>
          <t>2024-1</t>
        </is>
      </c>
      <c r="J1963" t="n">
        <v>100</v>
      </c>
      <c r="K1963" t="n">
        <v>0</v>
      </c>
      <c r="L1963" s="39">
        <f>IFERROR(IF(OR(J1963=0,K1963=""),"",IF(E1963="Positivo",MIN(MAX(K1963/J1963,0),1.3),MIN(MAX(J1963/K1963,0),1.3))),"") </f>
        <v/>
      </c>
      <c r="M1963" s="39">
        <f>IFERROR(IF(OR(J1963=0,K1963=""),"",IF(E1963="Positivo",MAX(K1963/J1963,0),MAX(J1963/K1963,0))),"") </f>
        <v/>
      </c>
      <c r="N1963" t="inlineStr">
        <is>
          <t>ENT</t>
        </is>
      </c>
      <c r="O1963" t="inlineStr">
        <is>
          <t>ENT</t>
        </is>
      </c>
      <c r="P1963" t="n">
        <v>0</v>
      </c>
      <c r="Q1963" t="n">
        <v>0</v>
      </c>
      <c r="R1963" t="inlineStr">
        <is>
          <t>394-2024-03-31</t>
        </is>
      </c>
    </row>
    <row r="1964">
      <c r="A1964" t="n">
        <v>394</v>
      </c>
      <c r="B1964" t="inlineStr">
        <is>
          <t>Publicaciones en medios de comunicación Tier 1 y Tier 2</t>
        </is>
      </c>
      <c r="C1964" t="inlineStr">
        <is>
          <t>Comunicaciones Externas</t>
        </is>
      </c>
      <c r="D1964" t="inlineStr">
        <is>
          <t>Semestral</t>
        </is>
      </c>
      <c r="E1964" t="inlineStr">
        <is>
          <t>Positivo</t>
        </is>
      </c>
      <c r="F1964" s="111" t="n">
        <v>45473</v>
      </c>
      <c r="G1964" t="n">
        <v>2024</v>
      </c>
      <c r="H1964" t="inlineStr">
        <is>
          <t>Junio</t>
        </is>
      </c>
      <c r="I1964" t="inlineStr">
        <is>
          <t>2024-1</t>
        </is>
      </c>
      <c r="J1964" t="n">
        <v>100</v>
      </c>
      <c r="K1964" t="n">
        <v>118.6</v>
      </c>
      <c r="L1964" s="39">
        <f>IFERROR(IF(OR(J1964=0,K1964=""),"",IF(E1964="Positivo",MIN(MAX(K1964/J1964,0),1.3),MIN(MAX(J1964/K1964,0),1.3))),"") </f>
        <v/>
      </c>
      <c r="M1964" s="39">
        <f>IFERROR(IF(OR(J1964=0,K1964=""),"",IF(E1964="Positivo",MAX(K1964/J1964,0),MAX(J1964/K1964,0))),"") </f>
        <v/>
      </c>
      <c r="N1964" t="inlineStr">
        <is>
          <t>ENT</t>
        </is>
      </c>
      <c r="O1964" t="inlineStr">
        <is>
          <t>ENT</t>
        </is>
      </c>
      <c r="P1964" t="n">
        <v>0</v>
      </c>
      <c r="Q1964" t="n">
        <v>0</v>
      </c>
      <c r="R1964" t="inlineStr">
        <is>
          <t>394-2024-06-30</t>
        </is>
      </c>
    </row>
    <row r="1965">
      <c r="A1965" t="n">
        <v>394</v>
      </c>
      <c r="B1965" t="inlineStr">
        <is>
          <t>Publicaciones en medios de comunicación Tier 1 y Tier 2</t>
        </is>
      </c>
      <c r="C1965" t="inlineStr">
        <is>
          <t>Comunicaciones Externas</t>
        </is>
      </c>
      <c r="D1965" t="inlineStr">
        <is>
          <t>Semestral</t>
        </is>
      </c>
      <c r="E1965" t="inlineStr">
        <is>
          <t>Positivo</t>
        </is>
      </c>
      <c r="F1965" s="111" t="n">
        <v>45565</v>
      </c>
      <c r="G1965" t="n">
        <v>2024</v>
      </c>
      <c r="H1965" t="inlineStr">
        <is>
          <t>Septiembre</t>
        </is>
      </c>
      <c r="I1965" t="inlineStr">
        <is>
          <t>2024-2</t>
        </is>
      </c>
      <c r="J1965" t="n">
        <v>100</v>
      </c>
      <c r="K1965" t="n">
        <v>0</v>
      </c>
      <c r="L1965" s="39">
        <f>IFERROR(IF(OR(J1965=0,K1965=""),"",IF(E1965="Positivo",MIN(MAX(K1965/J1965,0),1.3),MIN(MAX(J1965/K1965,0),1.3))),"") </f>
        <v/>
      </c>
      <c r="M1965" s="39">
        <f>IFERROR(IF(OR(J1965=0,K1965=""),"",IF(E1965="Positivo",MAX(K1965/J1965,0),MAX(J1965/K1965,0))),"") </f>
        <v/>
      </c>
      <c r="N1965" t="inlineStr">
        <is>
          <t>ENT</t>
        </is>
      </c>
      <c r="O1965" t="inlineStr">
        <is>
          <t>ENT</t>
        </is>
      </c>
      <c r="P1965" t="n">
        <v>0</v>
      </c>
      <c r="Q1965" t="n">
        <v>0</v>
      </c>
      <c r="R1965" t="inlineStr">
        <is>
          <t>394-2024-09-30</t>
        </is>
      </c>
    </row>
    <row r="1966">
      <c r="A1966" t="n">
        <v>394</v>
      </c>
      <c r="B1966" t="inlineStr">
        <is>
          <t>Publicaciones en medios de comunicación Tier 1 y Tier 2</t>
        </is>
      </c>
      <c r="C1966" t="inlineStr">
        <is>
          <t>Comunicaciones Externas</t>
        </is>
      </c>
      <c r="D1966" t="inlineStr">
        <is>
          <t>Semestral</t>
        </is>
      </c>
      <c r="E1966" t="inlineStr">
        <is>
          <t>Positivo</t>
        </is>
      </c>
      <c r="F1966" s="111" t="n">
        <v>45657</v>
      </c>
      <c r="G1966" t="n">
        <v>2024</v>
      </c>
      <c r="H1966" t="inlineStr">
        <is>
          <t>Diciembre</t>
        </is>
      </c>
      <c r="I1966" t="inlineStr">
        <is>
          <t>2024-2</t>
        </is>
      </c>
      <c r="J1966" t="n">
        <v>100</v>
      </c>
      <c r="K1966" t="n">
        <v>192</v>
      </c>
      <c r="L1966" s="39">
        <f>IFERROR(IF(OR(J1966=0,K1966=""),"",IF(E1966="Positivo",MIN(MAX(K1966/J1966,0),1.3),MIN(MAX(J1966/K1966,0),1.3))),"") </f>
        <v/>
      </c>
      <c r="M1966" s="39">
        <f>IFERROR(IF(OR(J1966=0,K1966=""),"",IF(E1966="Positivo",MAX(K1966/J1966,0),MAX(J1966/K1966,0))),"") </f>
        <v/>
      </c>
      <c r="N1966" t="inlineStr">
        <is>
          <t>ENT</t>
        </is>
      </c>
      <c r="O1966" t="inlineStr">
        <is>
          <t>ENT</t>
        </is>
      </c>
      <c r="P1966" t="n">
        <v>0</v>
      </c>
      <c r="Q1966" t="n">
        <v>0</v>
      </c>
      <c r="R1966" t="inlineStr">
        <is>
          <t>394-2024-12-31</t>
        </is>
      </c>
    </row>
    <row r="1967">
      <c r="A1967" t="n">
        <v>394</v>
      </c>
      <c r="B1967" t="inlineStr">
        <is>
          <t>Publicaciones en medios de comunicación Tier 1 y Tier 2</t>
        </is>
      </c>
      <c r="C1967" t="inlineStr">
        <is>
          <t>Comunicaciones Externas</t>
        </is>
      </c>
      <c r="D1967" t="inlineStr">
        <is>
          <t>Semestral</t>
        </is>
      </c>
      <c r="E1967" t="inlineStr">
        <is>
          <t>Positivo</t>
        </is>
      </c>
      <c r="F1967" s="111" t="n">
        <v>45747</v>
      </c>
      <c r="G1967" t="n">
        <v>2025</v>
      </c>
      <c r="H1967" t="inlineStr">
        <is>
          <t>Marzo</t>
        </is>
      </c>
      <c r="I1967" t="inlineStr">
        <is>
          <t>2025-1</t>
        </is>
      </c>
      <c r="J1967" t="n">
        <v>100</v>
      </c>
      <c r="K1967" t="n">
        <v>227.5</v>
      </c>
      <c r="L1967" s="39">
        <f>IFERROR(IF(OR(J1967=0,K1967=""),"",IF(E1967="Positivo",MIN(MAX(K1967/J1967,0),1.3),MIN(MAX(J1967/K1967,0),1.3))),"") </f>
        <v/>
      </c>
      <c r="M1967" s="39">
        <f>IFERROR(IF(OR(J1967=0,K1967=""),"",IF(E1967="Positivo",MAX(K1967/J1967,0),MAX(J1967/K1967,0))),"") </f>
        <v/>
      </c>
      <c r="N1967" t="inlineStr">
        <is>
          <t>ENT</t>
        </is>
      </c>
      <c r="O1967" t="inlineStr">
        <is>
          <t>ENT</t>
        </is>
      </c>
      <c r="P1967" t="n">
        <v>0</v>
      </c>
      <c r="Q1967" t="n">
        <v>0</v>
      </c>
      <c r="R1967" t="inlineStr">
        <is>
          <t>394-2025-03-31</t>
        </is>
      </c>
    </row>
    <row r="1968">
      <c r="A1968" t="n">
        <v>394</v>
      </c>
      <c r="B1968" t="inlineStr">
        <is>
          <t>Publicaciones en medios de comunicación Tier 1 y Tier 2</t>
        </is>
      </c>
      <c r="C1968" t="inlineStr">
        <is>
          <t>Comunicaciones Externas</t>
        </is>
      </c>
      <c r="D1968" t="inlineStr">
        <is>
          <t>Semestral</t>
        </is>
      </c>
      <c r="E1968" t="inlineStr">
        <is>
          <t>Positivo</t>
        </is>
      </c>
      <c r="F1968" s="111" t="n">
        <v>45838</v>
      </c>
      <c r="G1968" t="n">
        <v>2025</v>
      </c>
      <c r="H1968" t="inlineStr">
        <is>
          <t>Junio</t>
        </is>
      </c>
      <c r="I1968" t="inlineStr">
        <is>
          <t>2025-1</t>
        </is>
      </c>
      <c r="J1968" t="n">
        <v>100</v>
      </c>
      <c r="K1968" t="n">
        <v>96.86</v>
      </c>
      <c r="L1968" s="39">
        <f>IFERROR(IF(OR(J1968=0,K1968=""),"",IF(E1968="Positivo",MIN(MAX(K1968/J1968,0),1.3),MIN(MAX(J1968/K1968,0),1.3))),"") </f>
        <v/>
      </c>
      <c r="M1968" s="39">
        <f>IFERROR(IF(OR(J1968=0,K1968=""),"",IF(E1968="Positivo",MAX(K1968/J1968,0),MAX(J1968/K1968,0))),"") </f>
        <v/>
      </c>
      <c r="N1968" t="inlineStr">
        <is>
          <t>ENT</t>
        </is>
      </c>
      <c r="O1968" t="inlineStr">
        <is>
          <t>ENT</t>
        </is>
      </c>
      <c r="P1968" t="n">
        <v>0</v>
      </c>
      <c r="Q1968" t="n">
        <v>0</v>
      </c>
      <c r="R1968" t="inlineStr">
        <is>
          <t>394-2025-06-30</t>
        </is>
      </c>
    </row>
    <row r="1969">
      <c r="A1969" t="n">
        <v>394</v>
      </c>
      <c r="B1969" t="inlineStr">
        <is>
          <t>Publicaciones en medios de comunicación Tier 1 y Tier 2</t>
        </is>
      </c>
      <c r="C1969" t="inlineStr">
        <is>
          <t>Comunicaciones Externas</t>
        </is>
      </c>
      <c r="D1969" t="inlineStr">
        <is>
          <t>Semestral</t>
        </is>
      </c>
      <c r="E1969" t="inlineStr">
        <is>
          <t>Positivo</t>
        </is>
      </c>
      <c r="F1969" s="111" t="n">
        <v>45930</v>
      </c>
      <c r="G1969" t="n">
        <v>2025</v>
      </c>
      <c r="H1969" t="inlineStr">
        <is>
          <t>Septiembre</t>
        </is>
      </c>
      <c r="I1969" t="inlineStr">
        <is>
          <t>2025-2</t>
        </is>
      </c>
      <c r="J1969" t="n">
        <v>100</v>
      </c>
      <c r="K1969" t="n">
        <v>91.70999999999999</v>
      </c>
      <c r="L1969" s="39">
        <f>IFERROR(IF(OR(J1969=0,K1969=""),"",IF(E1969="Positivo",MIN(MAX(K1969/J1969,0),1.3),MIN(MAX(J1969/K1969,0),1.3))),"") </f>
        <v/>
      </c>
      <c r="M1969" s="39">
        <f>IFERROR(IF(OR(J1969=0,K1969=""),"",IF(E1969="Positivo",MAX(K1969/J1969,0),MAX(J1969/K1969,0))),"") </f>
        <v/>
      </c>
      <c r="N1969" t="inlineStr">
        <is>
          <t>ENT</t>
        </is>
      </c>
      <c r="O1969" t="inlineStr">
        <is>
          <t>ENT</t>
        </is>
      </c>
      <c r="P1969" t="n">
        <v>0</v>
      </c>
      <c r="Q1969" t="n">
        <v>0</v>
      </c>
      <c r="R1969" t="inlineStr">
        <is>
          <t>394-2025-09-30</t>
        </is>
      </c>
    </row>
    <row r="1970">
      <c r="A1970" t="n">
        <v>394</v>
      </c>
      <c r="B1970" t="inlineStr">
        <is>
          <t>Publicaciones en medios de comunicación Tier 1 y Tier 2</t>
        </is>
      </c>
      <c r="C1970" t="inlineStr">
        <is>
          <t>Comunicaciones Externas</t>
        </is>
      </c>
      <c r="D1970" t="inlineStr">
        <is>
          <t>Semestral</t>
        </is>
      </c>
      <c r="E1970" t="inlineStr">
        <is>
          <t>Positivo</t>
        </is>
      </c>
      <c r="F1970" s="111" t="n">
        <v>46022</v>
      </c>
      <c r="G1970" t="n">
        <v>2025</v>
      </c>
      <c r="H1970" t="inlineStr">
        <is>
          <t>Diciembre</t>
        </is>
      </c>
      <c r="I1970" t="inlineStr">
        <is>
          <t>2025-2</t>
        </is>
      </c>
      <c r="J1970" t="n">
        <v>100</v>
      </c>
      <c r="K1970" t="n">
        <v>137.5</v>
      </c>
      <c r="L1970" s="39">
        <f>IFERROR(IF(OR(J1970=0,K1970=""),"",IF(E1970="Positivo",MIN(MAX(K1970/J1970,0),1.3),MIN(MAX(J1970/K1970,0),1.3))),"") </f>
        <v/>
      </c>
      <c r="M1970" s="39">
        <f>IFERROR(IF(OR(J1970=0,K1970=""),"",IF(E1970="Positivo",MAX(K1970/J1970,0),MAX(J1970/K1970,0))),"") </f>
        <v/>
      </c>
      <c r="N1970" t="inlineStr">
        <is>
          <t>ENT</t>
        </is>
      </c>
      <c r="O1970" t="inlineStr">
        <is>
          <t>ENT</t>
        </is>
      </c>
      <c r="P1970" t="n">
        <v>0</v>
      </c>
      <c r="Q1970" t="n">
        <v>0</v>
      </c>
      <c r="R1970" t="inlineStr">
        <is>
          <t>394-2025-12-31</t>
        </is>
      </c>
    </row>
    <row r="1971">
      <c r="A1971" t="n">
        <v>395</v>
      </c>
      <c r="B1971" t="inlineStr">
        <is>
          <t>Publicaciones en medios de comunicación de la región Antioquia</t>
        </is>
      </c>
      <c r="C1971" t="inlineStr">
        <is>
          <t>Comunicaciones Externas</t>
        </is>
      </c>
      <c r="D1971" t="inlineStr">
        <is>
          <t>Semestral</t>
        </is>
      </c>
      <c r="E1971" t="inlineStr">
        <is>
          <t>Positivo</t>
        </is>
      </c>
      <c r="F1971" s="111" t="n">
        <v>45016</v>
      </c>
      <c r="G1971" t="n">
        <v>2023</v>
      </c>
      <c r="H1971" t="inlineStr">
        <is>
          <t>Marzo</t>
        </is>
      </c>
      <c r="I1971" t="inlineStr">
        <is>
          <t>2023-1</t>
        </is>
      </c>
      <c r="J1971" t="n">
        <v>100</v>
      </c>
      <c r="K1971" t="n">
        <v>0</v>
      </c>
      <c r="L1971" s="39">
        <f>IFERROR(IF(OR(J1971=0,K1971=""),"",IF(E1971="Positivo",MIN(MAX(K1971/J1971,0),1.3),MIN(MAX(J1971/K1971,0),1.3))),"") </f>
        <v/>
      </c>
      <c r="M1971" s="39">
        <f>IFERROR(IF(OR(J1971=0,K1971=""),"",IF(E1971="Positivo",MAX(K1971/J1971,0),MAX(J1971/K1971,0))),"") </f>
        <v/>
      </c>
      <c r="N1971" t="inlineStr">
        <is>
          <t>ENT</t>
        </is>
      </c>
      <c r="O1971" t="inlineStr">
        <is>
          <t>ENT</t>
        </is>
      </c>
      <c r="P1971" t="n">
        <v>0</v>
      </c>
      <c r="Q1971" t="n">
        <v>0</v>
      </c>
      <c r="R1971" t="inlineStr">
        <is>
          <t>395-2023-03-31</t>
        </is>
      </c>
    </row>
    <row r="1972">
      <c r="A1972" t="n">
        <v>395</v>
      </c>
      <c r="B1972" t="inlineStr">
        <is>
          <t>Publicaciones en medios de comunicación Tier 1 y Tier 2 de la región Antioquia</t>
        </is>
      </c>
      <c r="C1972" t="inlineStr">
        <is>
          <t>Comunicaciones Externas</t>
        </is>
      </c>
      <c r="D1972" t="inlineStr">
        <is>
          <t>Semestral</t>
        </is>
      </c>
      <c r="E1972" t="inlineStr">
        <is>
          <t>Positivo</t>
        </is>
      </c>
      <c r="F1972" s="111" t="n">
        <v>45107</v>
      </c>
      <c r="G1972" t="n">
        <v>2023</v>
      </c>
      <c r="H1972" t="inlineStr">
        <is>
          <t>Junio</t>
        </is>
      </c>
      <c r="I1972" t="inlineStr">
        <is>
          <t>2023-1</t>
        </is>
      </c>
      <c r="J1972" t="n">
        <v>100</v>
      </c>
      <c r="K1972" t="n">
        <v>294.11764705882</v>
      </c>
      <c r="L1972" s="39">
        <f>IFERROR(IF(OR(J1972=0,K1972=""),"",IF(E1972="Positivo",MIN(MAX(K1972/J1972,0),1.3),MIN(MAX(J1972/K1972,0),1.3))),"") </f>
        <v/>
      </c>
      <c r="M1972" s="39">
        <f>IFERROR(IF(OR(J1972=0,K1972=""),"",IF(E1972="Positivo",MAX(K1972/J1972,0),MAX(J1972/K1972,0))),"") </f>
        <v/>
      </c>
      <c r="N1972" t="inlineStr">
        <is>
          <t>ENT</t>
        </is>
      </c>
      <c r="O1972" t="inlineStr">
        <is>
          <t>ENT</t>
        </is>
      </c>
      <c r="P1972" t="n">
        <v>0</v>
      </c>
      <c r="Q1972" t="n">
        <v>0</v>
      </c>
      <c r="R1972" t="inlineStr">
        <is>
          <t>395-2023-06-30</t>
        </is>
      </c>
    </row>
    <row r="1973">
      <c r="A1973" t="n">
        <v>395</v>
      </c>
      <c r="B1973" t="inlineStr">
        <is>
          <t>Publicaciones en medios de comunicación Tier 1 y Tier 2 de la región Antioquia</t>
        </is>
      </c>
      <c r="C1973" t="inlineStr">
        <is>
          <t>Comunicaciones Externas</t>
        </is>
      </c>
      <c r="D1973" t="inlineStr">
        <is>
          <t>Semestral</t>
        </is>
      </c>
      <c r="E1973" t="inlineStr">
        <is>
          <t>Positivo</t>
        </is>
      </c>
      <c r="F1973" s="111" t="n">
        <v>45291</v>
      </c>
      <c r="G1973" t="n">
        <v>2023</v>
      </c>
      <c r="H1973" t="inlineStr">
        <is>
          <t>Diciembre</t>
        </is>
      </c>
      <c r="I1973" t="inlineStr">
        <is>
          <t>2023-2</t>
        </is>
      </c>
      <c r="J1973" t="n">
        <v>100</v>
      </c>
      <c r="K1973" t="n">
        <v>266.67</v>
      </c>
      <c r="L1973" s="39">
        <f>IFERROR(IF(OR(J1973=0,K1973=""),"",IF(E1973="Positivo",MIN(MAX(K1973/J1973,0),1.3),MIN(MAX(J1973/K1973,0),1.3))),"") </f>
        <v/>
      </c>
      <c r="M1973" s="39">
        <f>IFERROR(IF(OR(J1973=0,K1973=""),"",IF(E1973="Positivo",MAX(K1973/J1973,0),MAX(J1973/K1973,0))),"") </f>
        <v/>
      </c>
      <c r="N1973" t="inlineStr">
        <is>
          <t>ENT</t>
        </is>
      </c>
      <c r="O1973" t="inlineStr">
        <is>
          <t>ENT</t>
        </is>
      </c>
      <c r="P1973" t="n">
        <v>0</v>
      </c>
      <c r="Q1973" t="n">
        <v>0</v>
      </c>
      <c r="R1973" t="inlineStr">
        <is>
          <t>395-2023-12-31</t>
        </is>
      </c>
    </row>
    <row r="1974">
      <c r="A1974" t="n">
        <v>395</v>
      </c>
      <c r="B1974" t="inlineStr">
        <is>
          <t>Publicaciones en medios de comunicación de la región Antioquia</t>
        </is>
      </c>
      <c r="C1974" t="inlineStr">
        <is>
          <t>Comunicaciones Externas</t>
        </is>
      </c>
      <c r="D1974" t="inlineStr">
        <is>
          <t>Semestral</t>
        </is>
      </c>
      <c r="E1974" t="inlineStr">
        <is>
          <t>Positivo</t>
        </is>
      </c>
      <c r="F1974" s="111" t="n">
        <v>45382</v>
      </c>
      <c r="G1974" t="n">
        <v>2024</v>
      </c>
      <c r="H1974" t="inlineStr">
        <is>
          <t>Marzo</t>
        </is>
      </c>
      <c r="I1974" t="inlineStr">
        <is>
          <t>2024-1</t>
        </is>
      </c>
      <c r="J1974" t="n">
        <v>100</v>
      </c>
      <c r="K1974" t="n">
        <v>0</v>
      </c>
      <c r="L1974" s="39">
        <f>IFERROR(IF(OR(J1974=0,K1974=""),"",IF(E1974="Positivo",MIN(MAX(K1974/J1974,0),1.3),MIN(MAX(J1974/K1974,0),1.3))),"") </f>
        <v/>
      </c>
      <c r="M1974" s="39">
        <f>IFERROR(IF(OR(J1974=0,K1974=""),"",IF(E1974="Positivo",MAX(K1974/J1974,0),MAX(J1974/K1974,0))),"") </f>
        <v/>
      </c>
      <c r="N1974" t="inlineStr">
        <is>
          <t>ENT</t>
        </is>
      </c>
      <c r="O1974" t="inlineStr">
        <is>
          <t>ENT</t>
        </is>
      </c>
      <c r="P1974" t="n">
        <v>0</v>
      </c>
      <c r="Q1974" t="n">
        <v>0</v>
      </c>
      <c r="R1974" t="inlineStr">
        <is>
          <t>395-2024-03-31</t>
        </is>
      </c>
    </row>
    <row r="1975">
      <c r="A1975" t="n">
        <v>395</v>
      </c>
      <c r="B1975" t="inlineStr">
        <is>
          <t>Publicaciones en medios de comunicación de la región Antioquia</t>
        </is>
      </c>
      <c r="C1975" t="inlineStr">
        <is>
          <t>Comunicaciones Externas</t>
        </is>
      </c>
      <c r="D1975" t="inlineStr">
        <is>
          <t>Semestral</t>
        </is>
      </c>
      <c r="E1975" t="inlineStr">
        <is>
          <t>Positivo</t>
        </is>
      </c>
      <c r="F1975" s="111" t="n">
        <v>45473</v>
      </c>
      <c r="G1975" t="n">
        <v>2024</v>
      </c>
      <c r="H1975" t="inlineStr">
        <is>
          <t>Junio</t>
        </is>
      </c>
      <c r="I1975" t="inlineStr">
        <is>
          <t>2024-1</t>
        </is>
      </c>
      <c r="J1975" t="n">
        <v>100</v>
      </c>
      <c r="K1975" t="n">
        <v>110</v>
      </c>
      <c r="L1975" s="39">
        <f>IFERROR(IF(OR(J1975=0,K1975=""),"",IF(E1975="Positivo",MIN(MAX(K1975/J1975,0),1.3),MIN(MAX(J1975/K1975,0),1.3))),"") </f>
        <v/>
      </c>
      <c r="M1975" s="39">
        <f>IFERROR(IF(OR(J1975=0,K1975=""),"",IF(E1975="Positivo",MAX(K1975/J1975,0),MAX(J1975/K1975,0))),"") </f>
        <v/>
      </c>
      <c r="N1975" t="inlineStr">
        <is>
          <t>ENT</t>
        </is>
      </c>
      <c r="O1975" t="inlineStr">
        <is>
          <t>ENT</t>
        </is>
      </c>
      <c r="P1975" t="n">
        <v>0</v>
      </c>
      <c r="Q1975" t="n">
        <v>0</v>
      </c>
      <c r="R1975" t="inlineStr">
        <is>
          <t>395-2024-06-30</t>
        </is>
      </c>
    </row>
    <row r="1976">
      <c r="A1976" t="n">
        <v>395</v>
      </c>
      <c r="B1976" t="inlineStr">
        <is>
          <t>Publicaciones en medios de comunicación de la región Antioquia</t>
        </is>
      </c>
      <c r="C1976" t="inlineStr">
        <is>
          <t>Comunicaciones Externas</t>
        </is>
      </c>
      <c r="D1976" t="inlineStr">
        <is>
          <t>Semestral</t>
        </is>
      </c>
      <c r="E1976" t="inlineStr">
        <is>
          <t>Positivo</t>
        </is>
      </c>
      <c r="F1976" s="111" t="n">
        <v>45565</v>
      </c>
      <c r="G1976" t="n">
        <v>2024</v>
      </c>
      <c r="H1976" t="inlineStr">
        <is>
          <t>Septiembre</t>
        </is>
      </c>
      <c r="I1976" t="inlineStr">
        <is>
          <t>2024-2</t>
        </is>
      </c>
      <c r="J1976" t="n">
        <v>100</v>
      </c>
      <c r="K1976" t="n">
        <v>0</v>
      </c>
      <c r="L1976" s="39">
        <f>IFERROR(IF(OR(J1976=0,K1976=""),"",IF(E1976="Positivo",MIN(MAX(K1976/J1976,0),1.3),MIN(MAX(J1976/K1976,0),1.3))),"") </f>
        <v/>
      </c>
      <c r="M1976" s="39">
        <f>IFERROR(IF(OR(J1976=0,K1976=""),"",IF(E1976="Positivo",MAX(K1976/J1976,0),MAX(J1976/K1976,0))),"") </f>
        <v/>
      </c>
      <c r="N1976" t="inlineStr">
        <is>
          <t>ENT</t>
        </is>
      </c>
      <c r="O1976" t="inlineStr">
        <is>
          <t>ENT</t>
        </is>
      </c>
      <c r="P1976" t="n">
        <v>0</v>
      </c>
      <c r="Q1976" t="n">
        <v>0</v>
      </c>
      <c r="R1976" t="inlineStr">
        <is>
          <t>395-2024-09-30</t>
        </is>
      </c>
    </row>
    <row r="1977">
      <c r="A1977" t="n">
        <v>395</v>
      </c>
      <c r="B1977" t="inlineStr">
        <is>
          <t>Publicaciones en medios de comunicación de la región Antioquia</t>
        </is>
      </c>
      <c r="C1977" t="inlineStr">
        <is>
          <t>Comunicaciones Externas</t>
        </is>
      </c>
      <c r="D1977" t="inlineStr">
        <is>
          <t>Semestral</t>
        </is>
      </c>
      <c r="E1977" t="inlineStr">
        <is>
          <t>Positivo</t>
        </is>
      </c>
      <c r="F1977" s="111" t="n">
        <v>45657</v>
      </c>
      <c r="G1977" t="n">
        <v>2024</v>
      </c>
      <c r="H1977" t="inlineStr">
        <is>
          <t>Diciembre</t>
        </is>
      </c>
      <c r="I1977" t="inlineStr">
        <is>
          <t>2024-2</t>
        </is>
      </c>
      <c r="J1977" t="n">
        <v>100</v>
      </c>
      <c r="K1977" t="n">
        <v>148.89</v>
      </c>
      <c r="L1977" s="39">
        <f>IFERROR(IF(OR(J1977=0,K1977=""),"",IF(E1977="Positivo",MIN(MAX(K1977/J1977,0),1.3),MIN(MAX(J1977/K1977,0),1.3))),"") </f>
        <v/>
      </c>
      <c r="M1977" s="39">
        <f>IFERROR(IF(OR(J1977=0,K1977=""),"",IF(E1977="Positivo",MAX(K1977/J1977,0),MAX(J1977/K1977,0))),"") </f>
        <v/>
      </c>
      <c r="N1977" t="inlineStr">
        <is>
          <t>ENT</t>
        </is>
      </c>
      <c r="O1977" t="inlineStr">
        <is>
          <t>ENT</t>
        </is>
      </c>
      <c r="P1977" t="n">
        <v>0</v>
      </c>
      <c r="Q1977" t="n">
        <v>0</v>
      </c>
      <c r="R1977" t="inlineStr">
        <is>
          <t>395-2024-12-31</t>
        </is>
      </c>
    </row>
    <row r="1978">
      <c r="A1978" t="n">
        <v>395</v>
      </c>
      <c r="B1978" t="inlineStr">
        <is>
          <t>Publicaciones en medios de comunicación de la región Antioquia</t>
        </is>
      </c>
      <c r="C1978" t="inlineStr">
        <is>
          <t>Comunicaciones Externas</t>
        </is>
      </c>
      <c r="D1978" t="inlineStr">
        <is>
          <t>Semestral</t>
        </is>
      </c>
      <c r="E1978" t="inlineStr">
        <is>
          <t>Positivo</t>
        </is>
      </c>
      <c r="F1978" s="111" t="n">
        <v>45747</v>
      </c>
      <c r="G1978" t="n">
        <v>2025</v>
      </c>
      <c r="H1978" t="inlineStr">
        <is>
          <t>Marzo</t>
        </is>
      </c>
      <c r="I1978" t="inlineStr">
        <is>
          <t>2025-1</t>
        </is>
      </c>
      <c r="J1978" t="n">
        <v>100</v>
      </c>
      <c r="K1978" t="n">
        <v>291.43</v>
      </c>
      <c r="L1978" s="39">
        <f>IFERROR(IF(OR(J1978=0,K1978=""),"",IF(E1978="Positivo",MIN(MAX(K1978/J1978,0),1.3),MIN(MAX(J1978/K1978,0),1.3))),"") </f>
        <v/>
      </c>
      <c r="M1978" s="39">
        <f>IFERROR(IF(OR(J1978=0,K1978=""),"",IF(E1978="Positivo",MAX(K1978/J1978,0),MAX(J1978/K1978,0))),"") </f>
        <v/>
      </c>
      <c r="N1978" t="inlineStr">
        <is>
          <t>ENT</t>
        </is>
      </c>
      <c r="O1978" t="inlineStr">
        <is>
          <t>ENT</t>
        </is>
      </c>
      <c r="P1978" t="n">
        <v>0</v>
      </c>
      <c r="Q1978" t="n">
        <v>0</v>
      </c>
      <c r="R1978" t="inlineStr">
        <is>
          <t>395-2025-03-31</t>
        </is>
      </c>
    </row>
    <row r="1979">
      <c r="A1979" t="n">
        <v>395</v>
      </c>
      <c r="B1979" t="inlineStr">
        <is>
          <t>Publicaciones en medios de comunicación de la región Antioquia</t>
        </is>
      </c>
      <c r="C1979" t="inlineStr">
        <is>
          <t>Comunicaciones Externas</t>
        </is>
      </c>
      <c r="D1979" t="inlineStr">
        <is>
          <t>Semestral</t>
        </is>
      </c>
      <c r="E1979" t="inlineStr">
        <is>
          <t>Positivo</t>
        </is>
      </c>
      <c r="F1979" s="111" t="n">
        <v>45838</v>
      </c>
      <c r="G1979" t="n">
        <v>2025</v>
      </c>
      <c r="H1979" t="inlineStr">
        <is>
          <t>Junio</t>
        </is>
      </c>
      <c r="I1979" t="inlineStr">
        <is>
          <t>2025-1</t>
        </is>
      </c>
      <c r="J1979" t="n">
        <v>100</v>
      </c>
      <c r="K1979" t="n">
        <v>161.82</v>
      </c>
      <c r="L1979" s="39">
        <f>IFERROR(IF(OR(J1979=0,K1979=""),"",IF(E1979="Positivo",MIN(MAX(K1979/J1979,0),1.3),MIN(MAX(J1979/K1979,0),1.3))),"") </f>
        <v/>
      </c>
      <c r="M1979" s="39">
        <f>IFERROR(IF(OR(J1979=0,K1979=""),"",IF(E1979="Positivo",MAX(K1979/J1979,0),MAX(J1979/K1979,0))),"") </f>
        <v/>
      </c>
      <c r="N1979" t="inlineStr">
        <is>
          <t>ENT</t>
        </is>
      </c>
      <c r="O1979" t="inlineStr">
        <is>
          <t>ENT</t>
        </is>
      </c>
      <c r="P1979" t="n">
        <v>0</v>
      </c>
      <c r="Q1979" t="n">
        <v>0</v>
      </c>
      <c r="R1979" t="inlineStr">
        <is>
          <t>395-2025-06-30</t>
        </is>
      </c>
    </row>
    <row r="1980">
      <c r="A1980" t="n">
        <v>395</v>
      </c>
      <c r="B1980" t="inlineStr">
        <is>
          <t>Publicaciones en medios de comunicación de la región Antioquia</t>
        </is>
      </c>
      <c r="C1980" t="inlineStr">
        <is>
          <t>Comunicaciones Externas</t>
        </is>
      </c>
      <c r="D1980" t="inlineStr">
        <is>
          <t>Semestral</t>
        </is>
      </c>
      <c r="E1980" t="inlineStr">
        <is>
          <t>Positivo</t>
        </is>
      </c>
      <c r="F1980" s="111" t="n">
        <v>45930</v>
      </c>
      <c r="G1980" t="n">
        <v>2025</v>
      </c>
      <c r="H1980" t="inlineStr">
        <is>
          <t>Septiembre</t>
        </is>
      </c>
      <c r="I1980" t="inlineStr">
        <is>
          <t>2025-2</t>
        </is>
      </c>
      <c r="J1980" t="n">
        <v>100</v>
      </c>
      <c r="K1980" t="n">
        <v>187.27</v>
      </c>
      <c r="L1980" s="39">
        <f>IFERROR(IF(OR(J1980=0,K1980=""),"",IF(E1980="Positivo",MIN(MAX(K1980/J1980,0),1.3),MIN(MAX(J1980/K1980,0),1.3))),"") </f>
        <v/>
      </c>
      <c r="M1980" s="39">
        <f>IFERROR(IF(OR(J1980=0,K1980=""),"",IF(E1980="Positivo",MAX(K1980/J1980,0),MAX(J1980/K1980,0))),"") </f>
        <v/>
      </c>
      <c r="N1980" t="inlineStr">
        <is>
          <t>ENT</t>
        </is>
      </c>
      <c r="O1980" t="inlineStr">
        <is>
          <t>ENT</t>
        </is>
      </c>
      <c r="P1980" t="n">
        <v>0</v>
      </c>
      <c r="Q1980" t="n">
        <v>0</v>
      </c>
      <c r="R1980" t="inlineStr">
        <is>
          <t>395-2025-09-30</t>
        </is>
      </c>
    </row>
    <row r="1981">
      <c r="A1981" t="n">
        <v>395</v>
      </c>
      <c r="B1981" t="inlineStr">
        <is>
          <t>Publicaciones en medios de comunicación de la región Antioquia</t>
        </is>
      </c>
      <c r="C1981" t="inlineStr">
        <is>
          <t>Comunicaciones Externas</t>
        </is>
      </c>
      <c r="D1981" t="inlineStr">
        <is>
          <t>Semestral</t>
        </is>
      </c>
      <c r="E1981" t="inlineStr">
        <is>
          <t>Positivo</t>
        </is>
      </c>
      <c r="F1981" s="111" t="n">
        <v>46022</v>
      </c>
      <c r="G1981" t="n">
        <v>2025</v>
      </c>
      <c r="H1981" t="inlineStr">
        <is>
          <t>Diciembre</t>
        </is>
      </c>
      <c r="I1981" t="inlineStr">
        <is>
          <t>2025-2</t>
        </is>
      </c>
      <c r="J1981" t="n">
        <v>100</v>
      </c>
      <c r="K1981" t="n">
        <v>177.14</v>
      </c>
      <c r="L1981" s="39">
        <f>IFERROR(IF(OR(J1981=0,K1981=""),"",IF(E1981="Positivo",MIN(MAX(K1981/J1981,0),1.3),MIN(MAX(J1981/K1981,0),1.3))),"") </f>
        <v/>
      </c>
      <c r="M1981" s="39">
        <f>IFERROR(IF(OR(J1981=0,K1981=""),"",IF(E1981="Positivo",MAX(K1981/J1981,0),MAX(J1981/K1981,0))),"") </f>
        <v/>
      </c>
      <c r="N1981" t="inlineStr">
        <is>
          <t>ENT</t>
        </is>
      </c>
      <c r="O1981" t="inlineStr">
        <is>
          <t>ENT</t>
        </is>
      </c>
      <c r="P1981" t="n">
        <v>0</v>
      </c>
      <c r="Q1981" t="n">
        <v>0</v>
      </c>
      <c r="R1981" t="inlineStr">
        <is>
          <t>395-2025-12-31</t>
        </is>
      </c>
    </row>
    <row r="1982">
      <c r="A1982" t="n">
        <v>396</v>
      </c>
      <c r="B1982" t="inlineStr">
        <is>
          <t>Publicaciones en el Campus Virtual</t>
        </is>
      </c>
      <c r="C1982" t="inlineStr">
        <is>
          <t>Gestión de campañas integradas de marketing</t>
        </is>
      </c>
      <c r="D1982" t="inlineStr">
        <is>
          <t>Semestral</t>
        </is>
      </c>
      <c r="E1982" t="inlineStr">
        <is>
          <t>Positivo</t>
        </is>
      </c>
      <c r="F1982" s="111" t="n">
        <v>45291</v>
      </c>
      <c r="G1982" t="n">
        <v>2023</v>
      </c>
      <c r="H1982" t="inlineStr">
        <is>
          <t>Diciembre</t>
        </is>
      </c>
      <c r="I1982" t="inlineStr">
        <is>
          <t>2023-2</t>
        </is>
      </c>
      <c r="J1982" t="n">
        <v>80</v>
      </c>
      <c r="K1982" t="n">
        <v>88.89</v>
      </c>
      <c r="L1982" s="39">
        <f>IFERROR(IF(OR(J1982=0,K1982=""),"",IF(E1982="Positivo",MIN(MAX(K1982/J1982,0),1.3),MIN(MAX(J1982/K1982,0),1.3))),"") </f>
        <v/>
      </c>
      <c r="M1982" s="39">
        <f>IFERROR(IF(OR(J1982=0,K1982=""),"",IF(E1982="Positivo",MAX(K1982/J1982,0),MAX(J1982/K1982,0))),"") </f>
        <v/>
      </c>
      <c r="N1982" t="inlineStr">
        <is>
          <t>ENT</t>
        </is>
      </c>
      <c r="O1982" t="inlineStr">
        <is>
          <t>ENT</t>
        </is>
      </c>
      <c r="P1982" t="n">
        <v>0</v>
      </c>
      <c r="Q1982" t="n">
        <v>0</v>
      </c>
      <c r="R1982" t="inlineStr">
        <is>
          <t>396-2023-12-31</t>
        </is>
      </c>
    </row>
    <row r="1983">
      <c r="A1983" t="n">
        <v>396</v>
      </c>
      <c r="B1983" t="inlineStr">
        <is>
          <t>Publicaciones en el Campus Virtual</t>
        </is>
      </c>
      <c r="C1983" t="inlineStr">
        <is>
          <t>Diseño de Contenido Virtual</t>
        </is>
      </c>
      <c r="D1983" t="inlineStr">
        <is>
          <t>Semestral</t>
        </is>
      </c>
      <c r="E1983" t="inlineStr">
        <is>
          <t>Positivo</t>
        </is>
      </c>
      <c r="F1983" s="111" t="n">
        <v>45473</v>
      </c>
      <c r="G1983" t="n">
        <v>2024</v>
      </c>
      <c r="H1983" t="inlineStr">
        <is>
          <t>Junio</t>
        </is>
      </c>
      <c r="I1983" t="inlineStr">
        <is>
          <t>2024-1</t>
        </is>
      </c>
      <c r="J1983" t="n">
        <v>80</v>
      </c>
      <c r="K1983" t="n">
        <v>88.09999999999999</v>
      </c>
      <c r="L1983" s="39">
        <f>IFERROR(IF(OR(J1983=0,K1983=""),"",IF(E1983="Positivo",MIN(MAX(K1983/J1983,0),1.3),MIN(MAX(J1983/K1983,0),1.3))),"") </f>
        <v/>
      </c>
      <c r="M1983" s="39">
        <f>IFERROR(IF(OR(J1983=0,K1983=""),"",IF(E1983="Positivo",MAX(K1983/J1983,0),MAX(J1983/K1983,0))),"") </f>
        <v/>
      </c>
      <c r="N1983" t="inlineStr">
        <is>
          <t>ENT</t>
        </is>
      </c>
      <c r="O1983" t="inlineStr">
        <is>
          <t>DEC</t>
        </is>
      </c>
      <c r="P1983" t="n">
        <v>1</v>
      </c>
      <c r="Q1983" t="n">
        <v>1</v>
      </c>
      <c r="R1983" t="inlineStr">
        <is>
          <t>396-2024-06-30</t>
        </is>
      </c>
    </row>
    <row r="1984">
      <c r="A1984" t="n">
        <v>397</v>
      </c>
      <c r="B1984" t="inlineStr">
        <is>
          <t>Gestión de casos del Estudio de Emisión</t>
        </is>
      </c>
      <c r="C1984" t="inlineStr">
        <is>
          <t>Gestión de campañas integradas de marketing</t>
        </is>
      </c>
      <c r="D1984" t="inlineStr">
        <is>
          <t>Semestral</t>
        </is>
      </c>
      <c r="E1984" t="inlineStr">
        <is>
          <t>Positivo</t>
        </is>
      </c>
      <c r="F1984" s="111" t="n">
        <v>45107</v>
      </c>
      <c r="G1984" t="n">
        <v>2023</v>
      </c>
      <c r="H1984" t="inlineStr">
        <is>
          <t>Junio</t>
        </is>
      </c>
      <c r="I1984" t="inlineStr">
        <is>
          <t>2023-1</t>
        </is>
      </c>
      <c r="J1984" t="n">
        <v>80</v>
      </c>
      <c r="K1984" t="n">
        <v>91.071428571429</v>
      </c>
      <c r="L1984" s="39">
        <f>IFERROR(IF(OR(J1984=0,K1984=""),"",IF(E1984="Positivo",MIN(MAX(K1984/J1984,0),1.3),MIN(MAX(J1984/K1984,0),1.3))),"") </f>
        <v/>
      </c>
      <c r="M1984" s="39">
        <f>IFERROR(IF(OR(J1984=0,K1984=""),"",IF(E1984="Positivo",MAX(K1984/J1984,0),MAX(J1984/K1984,0))),"") </f>
        <v/>
      </c>
      <c r="N1984" t="inlineStr">
        <is>
          <t>%</t>
        </is>
      </c>
      <c r="O1984" t="inlineStr">
        <is>
          <t>%</t>
        </is>
      </c>
      <c r="P1984" t="n">
        <v>0</v>
      </c>
      <c r="Q1984" t="n">
        <v>0</v>
      </c>
      <c r="R1984" t="inlineStr">
        <is>
          <t>397-2023-06-30</t>
        </is>
      </c>
    </row>
    <row r="1985">
      <c r="A1985" t="n">
        <v>397</v>
      </c>
      <c r="B1985" t="inlineStr">
        <is>
          <t>Gestión de casos del Estudio de Emisión</t>
        </is>
      </c>
      <c r="C1985" t="inlineStr">
        <is>
          <t>Gestión de campañas integradas de marketing</t>
        </is>
      </c>
      <c r="D1985" t="inlineStr">
        <is>
          <t>Semestral</t>
        </is>
      </c>
      <c r="E1985" t="inlineStr">
        <is>
          <t>Positivo</t>
        </is>
      </c>
      <c r="F1985" s="111" t="n">
        <v>45291</v>
      </c>
      <c r="G1985" t="n">
        <v>2023</v>
      </c>
      <c r="H1985" t="inlineStr">
        <is>
          <t>Diciembre</t>
        </is>
      </c>
      <c r="I1985" t="inlineStr">
        <is>
          <t>2023-2</t>
        </is>
      </c>
      <c r="J1985" t="n">
        <v>80</v>
      </c>
      <c r="K1985" t="n">
        <v>92.95999999999999</v>
      </c>
      <c r="L1985" s="39">
        <f>IFERROR(IF(OR(J1985=0,K1985=""),"",IF(E1985="Positivo",MIN(MAX(K1985/J1985,0),1.3),MIN(MAX(J1985/K1985,0),1.3))),"") </f>
        <v/>
      </c>
      <c r="M1985" s="39">
        <f>IFERROR(IF(OR(J1985=0,K1985=""),"",IF(E1985="Positivo",MAX(K1985/J1985,0),MAX(J1985/K1985,0))),"") </f>
        <v/>
      </c>
      <c r="N1985" t="inlineStr">
        <is>
          <t>%</t>
        </is>
      </c>
      <c r="O1985" t="inlineStr">
        <is>
          <t>%</t>
        </is>
      </c>
      <c r="P1985" t="n">
        <v>0</v>
      </c>
      <c r="Q1985" t="n">
        <v>0</v>
      </c>
      <c r="R1985" t="inlineStr">
        <is>
          <t>397-2023-12-31</t>
        </is>
      </c>
    </row>
    <row r="1986">
      <c r="A1986" t="n">
        <v>397</v>
      </c>
      <c r="B1986" t="inlineStr">
        <is>
          <t>Gestión de casos del Estudio de Emisión</t>
        </is>
      </c>
      <c r="C1986" t="inlineStr">
        <is>
          <t>Diseño de Contenido Virtual</t>
        </is>
      </c>
      <c r="D1986" t="inlineStr">
        <is>
          <t>Semestral</t>
        </is>
      </c>
      <c r="E1986" t="inlineStr">
        <is>
          <t>Positivo</t>
        </is>
      </c>
      <c r="F1986" s="111" t="n">
        <v>45473</v>
      </c>
      <c r="G1986" t="n">
        <v>2024</v>
      </c>
      <c r="H1986" t="inlineStr">
        <is>
          <t>Junio</t>
        </is>
      </c>
      <c r="I1986" t="inlineStr">
        <is>
          <t>2024-1</t>
        </is>
      </c>
      <c r="J1986" t="n">
        <v>80</v>
      </c>
      <c r="K1986" t="n">
        <v>88.08</v>
      </c>
      <c r="L1986" s="39">
        <f>IFERROR(IF(OR(J1986=0,K1986=""),"",IF(E1986="Positivo",MIN(MAX(K1986/J1986,0),1.3),MIN(MAX(J1986/K1986,0),1.3))),"") </f>
        <v/>
      </c>
      <c r="M1986" s="39">
        <f>IFERROR(IF(OR(J1986=0,K1986=""),"",IF(E1986="Positivo",MAX(K1986/J1986,0),MAX(J1986/K1986,0))),"") </f>
        <v/>
      </c>
      <c r="N1986" t="inlineStr">
        <is>
          <t>%</t>
        </is>
      </c>
      <c r="O1986" t="inlineStr">
        <is>
          <t>%</t>
        </is>
      </c>
      <c r="P1986" t="n">
        <v>1</v>
      </c>
      <c r="Q1986" t="n">
        <v>1</v>
      </c>
      <c r="R1986" t="inlineStr">
        <is>
          <t>397-2024-06-30</t>
        </is>
      </c>
    </row>
    <row r="1987">
      <c r="A1987" t="n">
        <v>397</v>
      </c>
      <c r="B1987" t="inlineStr">
        <is>
          <t>Gestión de casos del Estudio de Emisión</t>
        </is>
      </c>
      <c r="C1987" t="inlineStr">
        <is>
          <t>Diseño de Contenido Virtual</t>
        </is>
      </c>
      <c r="D1987" t="inlineStr">
        <is>
          <t>Semestral</t>
        </is>
      </c>
      <c r="E1987" t="inlineStr">
        <is>
          <t>Positivo</t>
        </is>
      </c>
      <c r="F1987" s="111" t="n">
        <v>45657</v>
      </c>
      <c r="G1987" t="n">
        <v>2024</v>
      </c>
      <c r="H1987" t="inlineStr">
        <is>
          <t>Diciembre</t>
        </is>
      </c>
      <c r="I1987" t="inlineStr">
        <is>
          <t>2024-2</t>
        </is>
      </c>
      <c r="J1987" t="n">
        <v>80</v>
      </c>
      <c r="K1987" t="n">
        <v>94.88</v>
      </c>
      <c r="L1987" s="39">
        <f>IFERROR(IF(OR(J1987=0,K1987=""),"",IF(E1987="Positivo",MIN(MAX(K1987/J1987,0),1.3),MIN(MAX(J1987/K1987,0),1.3))),"") </f>
        <v/>
      </c>
      <c r="M1987" s="39">
        <f>IFERROR(IF(OR(J1987=0,K1987=""),"",IF(E1987="Positivo",MAX(K1987/J1987,0),MAX(J1987/K1987,0))),"") </f>
        <v/>
      </c>
      <c r="N1987" t="inlineStr">
        <is>
          <t>%</t>
        </is>
      </c>
      <c r="O1987" t="inlineStr">
        <is>
          <t>%</t>
        </is>
      </c>
      <c r="P1987" t="n">
        <v>1</v>
      </c>
      <c r="Q1987" t="n">
        <v>1</v>
      </c>
      <c r="R1987" t="inlineStr">
        <is>
          <t>397-2024-12-31</t>
        </is>
      </c>
    </row>
    <row r="1988">
      <c r="A1988" t="n">
        <v>397</v>
      </c>
      <c r="B1988" t="inlineStr">
        <is>
          <t>Gestión de casos del Estudio de Emisión</t>
        </is>
      </c>
      <c r="C1988" t="inlineStr">
        <is>
          <t>Diseño de Contenido Virtual</t>
        </is>
      </c>
      <c r="D1988" t="inlineStr">
        <is>
          <t>Semestral</t>
        </is>
      </c>
      <c r="E1988" t="inlineStr">
        <is>
          <t>Positivo</t>
        </is>
      </c>
      <c r="F1988" s="111" t="n">
        <v>45838</v>
      </c>
      <c r="G1988" t="n">
        <v>2025</v>
      </c>
      <c r="H1988" t="inlineStr">
        <is>
          <t>Junio</t>
        </is>
      </c>
      <c r="I1988" t="inlineStr">
        <is>
          <t>2025-1</t>
        </is>
      </c>
      <c r="J1988" t="n">
        <v>90</v>
      </c>
      <c r="K1988" t="n">
        <v>95.26000000000001</v>
      </c>
      <c r="L1988" s="39">
        <f>IFERROR(IF(OR(J1988=0,K1988=""),"",IF(E1988="Positivo",MIN(MAX(K1988/J1988,0),1.3),MIN(MAX(J1988/K1988,0),1.3))),"") </f>
        <v/>
      </c>
      <c r="M1988" s="39">
        <f>IFERROR(IF(OR(J1988=0,K1988=""),"",IF(E1988="Positivo",MAX(K1988/J1988,0),MAX(J1988/K1988,0))),"") </f>
        <v/>
      </c>
      <c r="N1988" t="inlineStr">
        <is>
          <t>%</t>
        </is>
      </c>
      <c r="O1988" t="inlineStr">
        <is>
          <t>%</t>
        </is>
      </c>
      <c r="P1988" t="n">
        <v>1</v>
      </c>
      <c r="Q1988" t="n">
        <v>1</v>
      </c>
      <c r="R1988" t="inlineStr">
        <is>
          <t>397-2025-06-30</t>
        </is>
      </c>
    </row>
    <row r="1989">
      <c r="A1989" t="n">
        <v>397</v>
      </c>
      <c r="B1989" t="inlineStr">
        <is>
          <t>Gestión de casos del Estudio de Grabación Virtual</t>
        </is>
      </c>
      <c r="C1989" t="inlineStr">
        <is>
          <t>Diseño de Contenido Virtual</t>
        </is>
      </c>
      <c r="D1989" t="inlineStr">
        <is>
          <t>Trimestral</t>
        </is>
      </c>
      <c r="E1989" t="inlineStr">
        <is>
          <t>Positivo</t>
        </is>
      </c>
      <c r="F1989" s="111" t="n">
        <v>46022</v>
      </c>
      <c r="G1989" t="n">
        <v>2025</v>
      </c>
      <c r="H1989" t="inlineStr">
        <is>
          <t>Diciembre</t>
        </is>
      </c>
      <c r="I1989" t="inlineStr">
        <is>
          <t>2025-2</t>
        </is>
      </c>
      <c r="J1989" t="n">
        <v>90</v>
      </c>
      <c r="K1989" t="n">
        <v>96.14</v>
      </c>
      <c r="L1989" s="39">
        <f>IFERROR(IF(OR(J1989=0,K1989=""),"",IF(E1989="Positivo",MIN(MAX(K1989/J1989,0),1.3),MIN(MAX(J1989/K1989,0),1.3))),"") </f>
        <v/>
      </c>
      <c r="M1989" s="39">
        <f>IFERROR(IF(OR(J1989=0,K1989=""),"",IF(E1989="Positivo",MAX(K1989/J1989,0),MAX(J1989/K1989,0))),"") </f>
        <v/>
      </c>
      <c r="N1989" t="inlineStr">
        <is>
          <t>%</t>
        </is>
      </c>
      <c r="O1989" t="inlineStr">
        <is>
          <t>%</t>
        </is>
      </c>
      <c r="P1989" t="n">
        <v>0</v>
      </c>
      <c r="Q1989" t="n">
        <v>1</v>
      </c>
      <c r="R1989" t="inlineStr">
        <is>
          <t>397-2025-12-31</t>
        </is>
      </c>
    </row>
    <row r="1990">
      <c r="A1990" t="n">
        <v>398</v>
      </c>
      <c r="B1990" t="inlineStr">
        <is>
          <t>Participación en actividades de desarrollo de Cultura y Formación Emprendedora</t>
        </is>
      </c>
      <c r="C1990" t="inlineStr">
        <is>
          <t>Emprendimiento</t>
        </is>
      </c>
      <c r="D1990" t="inlineStr">
        <is>
          <t>Semestral</t>
        </is>
      </c>
      <c r="E1990" t="inlineStr">
        <is>
          <t>Positivo</t>
        </is>
      </c>
      <c r="F1990" s="111" t="n">
        <v>45107</v>
      </c>
      <c r="G1990" t="n">
        <v>2023</v>
      </c>
      <c r="H1990" t="inlineStr">
        <is>
          <t>Junio</t>
        </is>
      </c>
      <c r="I1990" t="inlineStr">
        <is>
          <t>2023-1</t>
        </is>
      </c>
      <c r="J1990" t="n">
        <v>100</v>
      </c>
      <c r="K1990" t="n">
        <v>256.8</v>
      </c>
      <c r="L1990" s="39">
        <f>IFERROR(IF(OR(J1990=0,K1990=""),"",IF(E1990="Positivo",MIN(MAX(K1990/J1990,0),1.3),MIN(MAX(J1990/K1990,0),1.3))),"") </f>
        <v/>
      </c>
      <c r="M1990" s="39">
        <f>IFERROR(IF(OR(J1990=0,K1990=""),"",IF(E1990="Positivo",MAX(K1990/J1990,0),MAX(J1990/K1990,0))),"") </f>
        <v/>
      </c>
      <c r="N1990" t="inlineStr">
        <is>
          <t>ENT</t>
        </is>
      </c>
      <c r="O1990" t="inlineStr">
        <is>
          <t>ENT</t>
        </is>
      </c>
      <c r="P1990" t="n">
        <v>0</v>
      </c>
      <c r="Q1990" t="n">
        <v>0</v>
      </c>
      <c r="R1990" t="inlineStr">
        <is>
          <t>398-2023-06-30</t>
        </is>
      </c>
    </row>
    <row r="1991">
      <c r="A1991" t="n">
        <v>398</v>
      </c>
      <c r="B1991" t="inlineStr">
        <is>
          <t>Participación en actividades de desarrollo de Cultura y Formación Emprendedora</t>
        </is>
      </c>
      <c r="C1991" t="inlineStr">
        <is>
          <t>Emprendimiento</t>
        </is>
      </c>
      <c r="D1991" t="inlineStr">
        <is>
          <t>Semestral</t>
        </is>
      </c>
      <c r="E1991" t="inlineStr">
        <is>
          <t>Positivo</t>
        </is>
      </c>
      <c r="F1991" s="111" t="n">
        <v>45291</v>
      </c>
      <c r="G1991" t="n">
        <v>2023</v>
      </c>
      <c r="H1991" t="inlineStr">
        <is>
          <t>Diciembre</t>
        </is>
      </c>
      <c r="I1991" t="inlineStr">
        <is>
          <t>2023-2</t>
        </is>
      </c>
      <c r="J1991" t="n">
        <v>100</v>
      </c>
      <c r="K1991" t="n">
        <v>234.4</v>
      </c>
      <c r="L1991" s="39">
        <f>IFERROR(IF(OR(J1991=0,K1991=""),"",IF(E1991="Positivo",MIN(MAX(K1991/J1991,0),1.3),MIN(MAX(J1991/K1991,0),1.3))),"") </f>
        <v/>
      </c>
      <c r="M1991" s="39">
        <f>IFERROR(IF(OR(J1991=0,K1991=""),"",IF(E1991="Positivo",MAX(K1991/J1991,0),MAX(J1991/K1991,0))),"") </f>
        <v/>
      </c>
      <c r="N1991" t="inlineStr">
        <is>
          <t>ENT</t>
        </is>
      </c>
      <c r="O1991" t="inlineStr">
        <is>
          <t>ENT</t>
        </is>
      </c>
      <c r="P1991" t="n">
        <v>0</v>
      </c>
      <c r="Q1991" t="n">
        <v>0</v>
      </c>
      <c r="R1991" t="inlineStr">
        <is>
          <t>398-2023-12-31</t>
        </is>
      </c>
    </row>
    <row r="1992">
      <c r="A1992" t="n">
        <v>398</v>
      </c>
      <c r="B1992" t="inlineStr">
        <is>
          <t>Participación en actividades de desarrollo de Cultura y Formación Emprendedora</t>
        </is>
      </c>
      <c r="C1992" t="inlineStr">
        <is>
          <t>Emprendimiento</t>
        </is>
      </c>
      <c r="D1992" t="inlineStr">
        <is>
          <t>Semestral</t>
        </is>
      </c>
      <c r="E1992" t="inlineStr">
        <is>
          <t>Positivo</t>
        </is>
      </c>
      <c r="F1992" s="111" t="n">
        <v>45473</v>
      </c>
      <c r="G1992" t="n">
        <v>2024</v>
      </c>
      <c r="H1992" t="inlineStr">
        <is>
          <t>Junio</t>
        </is>
      </c>
      <c r="I1992" t="inlineStr">
        <is>
          <t>2024-1</t>
        </is>
      </c>
      <c r="J1992" t="n">
        <v>100</v>
      </c>
      <c r="K1992" t="n">
        <v>283.92</v>
      </c>
      <c r="L1992" s="39">
        <f>IFERROR(IF(OR(J1992=0,K1992=""),"",IF(E1992="Positivo",MIN(MAX(K1992/J1992,0),1.3),MIN(MAX(J1992/K1992,0),1.3))),"") </f>
        <v/>
      </c>
      <c r="M1992" s="39">
        <f>IFERROR(IF(OR(J1992=0,K1992=""),"",IF(E1992="Positivo",MAX(K1992/J1992,0),MAX(J1992/K1992,0))),"") </f>
        <v/>
      </c>
      <c r="N1992" t="inlineStr">
        <is>
          <t>ENT</t>
        </is>
      </c>
      <c r="O1992" t="inlineStr">
        <is>
          <t>ENT</t>
        </is>
      </c>
      <c r="P1992" t="n">
        <v>0</v>
      </c>
      <c r="Q1992" t="n">
        <v>0</v>
      </c>
      <c r="R1992" t="inlineStr">
        <is>
          <t>398-2024-06-30</t>
        </is>
      </c>
    </row>
    <row r="1993">
      <c r="A1993" t="n">
        <v>398</v>
      </c>
      <c r="B1993" t="inlineStr">
        <is>
          <t>Participación en actividades de desarrollo de Cultura y Formación Emprendedora</t>
        </is>
      </c>
      <c r="C1993" t="inlineStr">
        <is>
          <t>Emprendimiento</t>
        </is>
      </c>
      <c r="D1993" t="inlineStr">
        <is>
          <t>Semestral</t>
        </is>
      </c>
      <c r="E1993" t="inlineStr">
        <is>
          <t>Positivo</t>
        </is>
      </c>
      <c r="F1993" s="111" t="n">
        <v>45657</v>
      </c>
      <c r="G1993" t="n">
        <v>2024</v>
      </c>
      <c r="H1993" t="inlineStr">
        <is>
          <t>Diciembre</t>
        </is>
      </c>
      <c r="I1993" t="inlineStr">
        <is>
          <t>2024-2</t>
        </is>
      </c>
      <c r="J1993" t="n">
        <v>100</v>
      </c>
      <c r="K1993" t="n">
        <v>160</v>
      </c>
      <c r="L1993" s="39">
        <f>IFERROR(IF(OR(J1993=0,K1993=""),"",IF(E1993="Positivo",MIN(MAX(K1993/J1993,0),1.3),MIN(MAX(J1993/K1993,0),1.3))),"") </f>
        <v/>
      </c>
      <c r="M1993" s="39">
        <f>IFERROR(IF(OR(J1993=0,K1993=""),"",IF(E1993="Positivo",MAX(K1993/J1993,0),MAX(J1993/K1993,0))),"") </f>
        <v/>
      </c>
      <c r="N1993" t="inlineStr">
        <is>
          <t>ENT</t>
        </is>
      </c>
      <c r="O1993" t="inlineStr">
        <is>
          <t>ENT</t>
        </is>
      </c>
      <c r="P1993" t="n">
        <v>0</v>
      </c>
      <c r="Q1993" t="n">
        <v>0</v>
      </c>
      <c r="R1993" t="inlineStr">
        <is>
          <t>398-2024-12-31</t>
        </is>
      </c>
    </row>
    <row r="1994">
      <c r="A1994" t="n">
        <v>398</v>
      </c>
      <c r="B1994" t="inlineStr">
        <is>
          <t>Participación en actividades de desarrollo de Cultura y Formación Emprendedora</t>
        </is>
      </c>
      <c r="C1994" t="inlineStr">
        <is>
          <t>Emprendimiento</t>
        </is>
      </c>
      <c r="D1994" t="inlineStr">
        <is>
          <t>Semestral</t>
        </is>
      </c>
      <c r="E1994" t="inlineStr">
        <is>
          <t>Positivo</t>
        </is>
      </c>
      <c r="F1994" s="111" t="n">
        <v>45838</v>
      </c>
      <c r="G1994" t="n">
        <v>2025</v>
      </c>
      <c r="H1994" t="inlineStr">
        <is>
          <t>Junio</t>
        </is>
      </c>
      <c r="I1994" t="inlineStr">
        <is>
          <t>2025-1</t>
        </is>
      </c>
      <c r="J1994" t="n">
        <v>100</v>
      </c>
      <c r="K1994" t="n">
        <v>159.5</v>
      </c>
      <c r="L1994" s="39">
        <f>IFERROR(IF(OR(J1994=0,K1994=""),"",IF(E1994="Positivo",MIN(MAX(K1994/J1994,0),1.3),MIN(MAX(J1994/K1994,0),1.3))),"") </f>
        <v/>
      </c>
      <c r="M1994" s="39">
        <f>IFERROR(IF(OR(J1994=0,K1994=""),"",IF(E1994="Positivo",MAX(K1994/J1994,0),MAX(J1994/K1994,0))),"") </f>
        <v/>
      </c>
      <c r="N1994" t="inlineStr">
        <is>
          <t>ENT</t>
        </is>
      </c>
      <c r="O1994" t="inlineStr">
        <is>
          <t>ENT</t>
        </is>
      </c>
      <c r="P1994" t="n">
        <v>0</v>
      </c>
      <c r="Q1994" t="n">
        <v>0</v>
      </c>
      <c r="R1994" t="inlineStr">
        <is>
          <t>398-2025-06-30</t>
        </is>
      </c>
    </row>
    <row r="1995">
      <c r="A1995" t="n">
        <v>398</v>
      </c>
      <c r="B1995" t="inlineStr">
        <is>
          <t>Participación en actividades de desarrollo de Cultura y Formación Emprendedora</t>
        </is>
      </c>
      <c r="C1995" t="inlineStr">
        <is>
          <t>Emprendimiento</t>
        </is>
      </c>
      <c r="D1995" t="inlineStr">
        <is>
          <t>Trimestral</t>
        </is>
      </c>
      <c r="E1995" t="inlineStr">
        <is>
          <t>Positivo</t>
        </is>
      </c>
      <c r="F1995" s="111" t="n">
        <v>46022</v>
      </c>
      <c r="G1995" t="n">
        <v>2025</v>
      </c>
      <c r="H1995" t="inlineStr">
        <is>
          <t>Diciembre</t>
        </is>
      </c>
      <c r="I1995" t="inlineStr">
        <is>
          <t>2025-2</t>
        </is>
      </c>
      <c r="J1995" t="n">
        <v>100</v>
      </c>
      <c r="K1995" t="n">
        <v>168.71</v>
      </c>
      <c r="L1995" s="39">
        <f>IFERROR(IF(OR(J1995=0,K1995=""),"",IF(E1995="Positivo",MIN(MAX(K1995/J1995,0),1.3),MIN(MAX(J1995/K1995,0),1.3))),"") </f>
        <v/>
      </c>
      <c r="M1995" s="39">
        <f>IFERROR(IF(OR(J1995=0,K1995=""),"",IF(E1995="Positivo",MAX(K1995/J1995,0),MAX(J1995/K1995,0))),"") </f>
        <v/>
      </c>
      <c r="N1995" t="inlineStr">
        <is>
          <t>ENT</t>
        </is>
      </c>
      <c r="O1995" t="inlineStr">
        <is>
          <t>ENT</t>
        </is>
      </c>
      <c r="P1995" t="n">
        <v>0</v>
      </c>
      <c r="Q1995" t="n">
        <v>0</v>
      </c>
      <c r="R1995" t="inlineStr">
        <is>
          <t>398-2025-12-31</t>
        </is>
      </c>
    </row>
    <row r="1996">
      <c r="A1996" t="n">
        <v>399</v>
      </c>
      <c r="B1996" t="inlineStr">
        <is>
          <t>Acompañamiento a emprendedores en creación de empresas</t>
        </is>
      </c>
      <c r="C1996" t="inlineStr">
        <is>
          <t>Emprendimiento</t>
        </is>
      </c>
      <c r="D1996" t="inlineStr">
        <is>
          <t>Semestral</t>
        </is>
      </c>
      <c r="E1996" t="inlineStr">
        <is>
          <t>Positivo</t>
        </is>
      </c>
      <c r="F1996" s="111" t="n">
        <v>45107</v>
      </c>
      <c r="G1996" t="n">
        <v>2023</v>
      </c>
      <c r="H1996" t="inlineStr">
        <is>
          <t>Junio</t>
        </is>
      </c>
      <c r="I1996" t="inlineStr">
        <is>
          <t>2023-1</t>
        </is>
      </c>
      <c r="J1996" t="n">
        <v>100</v>
      </c>
      <c r="K1996" t="n">
        <v>117.8</v>
      </c>
      <c r="L1996" s="39">
        <f>IFERROR(IF(OR(J1996=0,K1996=""),"",IF(E1996="Positivo",MIN(MAX(K1996/J1996,0),1.3),MIN(MAX(J1996/K1996,0),1.3))),"") </f>
        <v/>
      </c>
      <c r="M1996" s="39">
        <f>IFERROR(IF(OR(J1996=0,K1996=""),"",IF(E1996="Positivo",MAX(K1996/J1996,0),MAX(J1996/K1996,0))),"") </f>
        <v/>
      </c>
      <c r="N1996" t="inlineStr">
        <is>
          <t>ENT</t>
        </is>
      </c>
      <c r="O1996" t="inlineStr">
        <is>
          <t>ENT</t>
        </is>
      </c>
      <c r="P1996" t="n">
        <v>0</v>
      </c>
      <c r="Q1996" t="n">
        <v>0</v>
      </c>
      <c r="R1996" t="inlineStr">
        <is>
          <t>399-2023-06-30</t>
        </is>
      </c>
    </row>
    <row r="1997">
      <c r="A1997" t="n">
        <v>399</v>
      </c>
      <c r="B1997" t="inlineStr">
        <is>
          <t>Acompañamiento a emprendedores en creación de empresas</t>
        </is>
      </c>
      <c r="C1997" t="inlineStr">
        <is>
          <t>Emprendimiento</t>
        </is>
      </c>
      <c r="D1997" t="inlineStr">
        <is>
          <t>Semestral</t>
        </is>
      </c>
      <c r="E1997" t="inlineStr">
        <is>
          <t>Positivo</t>
        </is>
      </c>
      <c r="F1997" s="111" t="n">
        <v>45291</v>
      </c>
      <c r="G1997" t="n">
        <v>2023</v>
      </c>
      <c r="H1997" t="inlineStr">
        <is>
          <t>Diciembre</t>
        </is>
      </c>
      <c r="I1997" t="inlineStr">
        <is>
          <t>2023-2</t>
        </is>
      </c>
      <c r="J1997" t="n">
        <v>100</v>
      </c>
      <c r="K1997" t="n">
        <v>149</v>
      </c>
      <c r="L1997" s="39">
        <f>IFERROR(IF(OR(J1997=0,K1997=""),"",IF(E1997="Positivo",MIN(MAX(K1997/J1997,0),1.3),MIN(MAX(J1997/K1997,0),1.3))),"") </f>
        <v/>
      </c>
      <c r="M1997" s="39">
        <f>IFERROR(IF(OR(J1997=0,K1997=""),"",IF(E1997="Positivo",MAX(K1997/J1997,0),MAX(J1997/K1997,0))),"") </f>
        <v/>
      </c>
      <c r="N1997" t="inlineStr">
        <is>
          <t>ENT</t>
        </is>
      </c>
      <c r="O1997" t="inlineStr">
        <is>
          <t>ENT</t>
        </is>
      </c>
      <c r="P1997" t="n">
        <v>0</v>
      </c>
      <c r="Q1997" t="n">
        <v>0</v>
      </c>
      <c r="R1997" t="inlineStr">
        <is>
          <t>399-2023-12-31</t>
        </is>
      </c>
    </row>
    <row r="1998">
      <c r="A1998" t="n">
        <v>399</v>
      </c>
      <c r="B1998" t="inlineStr">
        <is>
          <t>Sesiones de Acompañamiento a emprendedores en creación de empresas</t>
        </is>
      </c>
      <c r="C1998" t="inlineStr">
        <is>
          <t>Emprendimiento</t>
        </is>
      </c>
      <c r="D1998" t="inlineStr">
        <is>
          <t>Semestral</t>
        </is>
      </c>
      <c r="E1998" t="inlineStr">
        <is>
          <t>Positivo</t>
        </is>
      </c>
      <c r="F1998" s="111" t="n">
        <v>45473</v>
      </c>
      <c r="G1998" t="n">
        <v>2024</v>
      </c>
      <c r="H1998" t="inlineStr">
        <is>
          <t>Junio</t>
        </is>
      </c>
      <c r="I1998" t="inlineStr">
        <is>
          <t>2024-1</t>
        </is>
      </c>
      <c r="J1998" t="n">
        <v>100</v>
      </c>
      <c r="K1998" t="n">
        <v>111.36</v>
      </c>
      <c r="L1998" s="39">
        <f>IFERROR(IF(OR(J1998=0,K1998=""),"",IF(E1998="Positivo",MIN(MAX(K1998/J1998,0),1.3),MIN(MAX(J1998/K1998,0),1.3))),"") </f>
        <v/>
      </c>
      <c r="M1998" s="39">
        <f>IFERROR(IF(OR(J1998=0,K1998=""),"",IF(E1998="Positivo",MAX(K1998/J1998,0),MAX(J1998/K1998,0))),"") </f>
        <v/>
      </c>
      <c r="N1998" t="inlineStr">
        <is>
          <t>ENT</t>
        </is>
      </c>
      <c r="O1998" t="inlineStr">
        <is>
          <t>ENT</t>
        </is>
      </c>
      <c r="P1998" t="n">
        <v>0</v>
      </c>
      <c r="Q1998" t="n">
        <v>0</v>
      </c>
      <c r="R1998" t="inlineStr">
        <is>
          <t>399-2024-06-30</t>
        </is>
      </c>
    </row>
    <row r="1999">
      <c r="A1999" t="n">
        <v>399</v>
      </c>
      <c r="B1999" t="inlineStr">
        <is>
          <t>Sesiones de Acompañamiento a emprendedores en creación de empresas</t>
        </is>
      </c>
      <c r="C1999" t="inlineStr">
        <is>
          <t>Emprendimiento</t>
        </is>
      </c>
      <c r="D1999" t="inlineStr">
        <is>
          <t>Semestral</t>
        </is>
      </c>
      <c r="E1999" t="inlineStr">
        <is>
          <t>Positivo</t>
        </is>
      </c>
      <c r="F1999" s="111" t="n">
        <v>45657</v>
      </c>
      <c r="G1999" t="n">
        <v>2024</v>
      </c>
      <c r="H1999" t="inlineStr">
        <is>
          <t>Diciembre</t>
        </is>
      </c>
      <c r="I1999" t="inlineStr">
        <is>
          <t>2024-2</t>
        </is>
      </c>
      <c r="J1999" t="n">
        <v>100</v>
      </c>
      <c r="K1999" t="n">
        <v>111.36</v>
      </c>
      <c r="L1999" s="39">
        <f>IFERROR(IF(OR(J1999=0,K1999=""),"",IF(E1999="Positivo",MIN(MAX(K1999/J1999,0),1.3),MIN(MAX(J1999/K1999,0),1.3))),"") </f>
        <v/>
      </c>
      <c r="M1999" s="39">
        <f>IFERROR(IF(OR(J1999=0,K1999=""),"",IF(E1999="Positivo",MAX(K1999/J1999,0),MAX(J1999/K1999,0))),"") </f>
        <v/>
      </c>
      <c r="N1999" t="inlineStr">
        <is>
          <t>ENT</t>
        </is>
      </c>
      <c r="O1999" t="inlineStr">
        <is>
          <t>ENT</t>
        </is>
      </c>
      <c r="P1999" t="n">
        <v>0</v>
      </c>
      <c r="Q1999" t="n">
        <v>0</v>
      </c>
      <c r="R1999" t="inlineStr">
        <is>
          <t>399-2024-12-31</t>
        </is>
      </c>
    </row>
    <row r="2000">
      <c r="A2000" t="n">
        <v>399</v>
      </c>
      <c r="B2000" t="inlineStr">
        <is>
          <t>Sesiones de Acompañamiento a emprendedores en creación de empresas</t>
        </is>
      </c>
      <c r="C2000" t="inlineStr">
        <is>
          <t>Emprendimiento</t>
        </is>
      </c>
      <c r="D2000" t="inlineStr">
        <is>
          <t>Semestral</t>
        </is>
      </c>
      <c r="E2000" t="inlineStr">
        <is>
          <t>Positivo</t>
        </is>
      </c>
      <c r="F2000" s="111" t="n">
        <v>45838</v>
      </c>
      <c r="G2000" t="n">
        <v>2025</v>
      </c>
      <c r="H2000" t="inlineStr">
        <is>
          <t>Junio</t>
        </is>
      </c>
      <c r="I2000" t="inlineStr">
        <is>
          <t>2025-1</t>
        </is>
      </c>
      <c r="J2000" t="n">
        <v>100</v>
      </c>
      <c r="K2000" t="n">
        <v>102.93</v>
      </c>
      <c r="L2000" s="39">
        <f>IFERROR(IF(OR(J2000=0,K2000=""),"",IF(E2000="Positivo",MIN(MAX(K2000/J2000,0),1.3),MIN(MAX(J2000/K2000,0),1.3))),"") </f>
        <v/>
      </c>
      <c r="M2000" s="39">
        <f>IFERROR(IF(OR(J2000=0,K2000=""),"",IF(E2000="Positivo",MAX(K2000/J2000,0),MAX(J2000/K2000,0))),"") </f>
        <v/>
      </c>
      <c r="N2000" t="inlineStr">
        <is>
          <t>ENT</t>
        </is>
      </c>
      <c r="O2000" t="inlineStr">
        <is>
          <t>ENT</t>
        </is>
      </c>
      <c r="P2000" t="n">
        <v>0</v>
      </c>
      <c r="Q2000" t="n">
        <v>0</v>
      </c>
      <c r="R2000" t="inlineStr">
        <is>
          <t>399-2025-06-30</t>
        </is>
      </c>
    </row>
    <row r="2001">
      <c r="A2001" t="n">
        <v>399</v>
      </c>
      <c r="B2001" t="inlineStr">
        <is>
          <t>Sesiones de Acompañamiento a emprendedores en creación de empresas</t>
        </is>
      </c>
      <c r="C2001" t="inlineStr">
        <is>
          <t>Emprendimiento</t>
        </is>
      </c>
      <c r="D2001" t="inlineStr">
        <is>
          <t>Trimestral</t>
        </is>
      </c>
      <c r="E2001" t="inlineStr">
        <is>
          <t>Positivo</t>
        </is>
      </c>
      <c r="F2001" s="111" t="n">
        <v>46022</v>
      </c>
      <c r="G2001" t="n">
        <v>2025</v>
      </c>
      <c r="H2001" t="inlineStr">
        <is>
          <t>Diciembre</t>
        </is>
      </c>
      <c r="I2001" t="inlineStr">
        <is>
          <t>2025-2</t>
        </is>
      </c>
      <c r="J2001" t="n">
        <v>100</v>
      </c>
      <c r="K2001" t="n">
        <v>106.13</v>
      </c>
      <c r="L2001" s="39">
        <f>IFERROR(IF(OR(J2001=0,K2001=""),"",IF(E2001="Positivo",MIN(MAX(K2001/J2001,0),1.3),MIN(MAX(J2001/K2001,0),1.3))),"") </f>
        <v/>
      </c>
      <c r="M2001" s="39">
        <f>IFERROR(IF(OR(J2001=0,K2001=""),"",IF(E2001="Positivo",MAX(K2001/J2001,0),MAX(J2001/K2001,0))),"") </f>
        <v/>
      </c>
      <c r="N2001" t="inlineStr">
        <is>
          <t>ENT</t>
        </is>
      </c>
      <c r="O2001" t="inlineStr">
        <is>
          <t>ENT</t>
        </is>
      </c>
      <c r="P2001" t="n">
        <v>0</v>
      </c>
      <c r="Q2001" t="n">
        <v>0</v>
      </c>
      <c r="R2001" t="inlineStr">
        <is>
          <t>399-2025-12-31</t>
        </is>
      </c>
    </row>
    <row r="2002">
      <c r="A2002" t="n">
        <v>400</v>
      </c>
      <c r="B2002" t="inlineStr">
        <is>
          <t>Puesta en marcha de proyectos de emprendimiento</t>
        </is>
      </c>
      <c r="C2002" t="inlineStr">
        <is>
          <t>Emprendimiento</t>
        </is>
      </c>
      <c r="D2002" t="inlineStr">
        <is>
          <t>Semestral</t>
        </is>
      </c>
      <c r="E2002" t="inlineStr">
        <is>
          <t>Positivo</t>
        </is>
      </c>
      <c r="F2002" s="111" t="n">
        <v>45107</v>
      </c>
      <c r="G2002" t="n">
        <v>2023</v>
      </c>
      <c r="H2002" t="inlineStr">
        <is>
          <t>Junio</t>
        </is>
      </c>
      <c r="I2002" t="inlineStr">
        <is>
          <t>2023-1</t>
        </is>
      </c>
      <c r="J2002" t="n">
        <v>100</v>
      </c>
      <c r="K2002" t="n">
        <v>220</v>
      </c>
      <c r="L2002" s="39">
        <f>IFERROR(IF(OR(J2002=0,K2002=""),"",IF(E2002="Positivo",MIN(MAX(K2002/J2002,0),1.3),MIN(MAX(J2002/K2002,0),1.3))),"") </f>
        <v/>
      </c>
      <c r="M2002" s="39">
        <f>IFERROR(IF(OR(J2002=0,K2002=""),"",IF(E2002="Positivo",MAX(K2002/J2002,0),MAX(J2002/K2002,0))),"") </f>
        <v/>
      </c>
      <c r="N2002" t="inlineStr">
        <is>
          <t>ENT</t>
        </is>
      </c>
      <c r="O2002" t="inlineStr">
        <is>
          <t>ENT</t>
        </is>
      </c>
      <c r="P2002" t="n">
        <v>0</v>
      </c>
      <c r="Q2002" t="n">
        <v>0</v>
      </c>
      <c r="R2002" t="inlineStr">
        <is>
          <t>400-2023-06-30</t>
        </is>
      </c>
    </row>
    <row r="2003">
      <c r="A2003" t="n">
        <v>400</v>
      </c>
      <c r="B2003" t="inlineStr">
        <is>
          <t>Puesta en marcha de proyectos de emprendimiento</t>
        </is>
      </c>
      <c r="C2003" t="inlineStr">
        <is>
          <t>Emprendimiento</t>
        </is>
      </c>
      <c r="D2003" t="inlineStr">
        <is>
          <t>Semestral</t>
        </is>
      </c>
      <c r="E2003" t="inlineStr">
        <is>
          <t>Positivo</t>
        </is>
      </c>
      <c r="F2003" s="111" t="n">
        <v>45291</v>
      </c>
      <c r="G2003" t="n">
        <v>2023</v>
      </c>
      <c r="H2003" t="inlineStr">
        <is>
          <t>Diciembre</t>
        </is>
      </c>
      <c r="I2003" t="inlineStr">
        <is>
          <t>2023-2</t>
        </is>
      </c>
      <c r="J2003" t="n">
        <v>100</v>
      </c>
      <c r="K2003" t="n">
        <v>282.86</v>
      </c>
      <c r="L2003" s="39">
        <f>IFERROR(IF(OR(J2003=0,K2003=""),"",IF(E2003="Positivo",MIN(MAX(K2003/J2003,0),1.3),MIN(MAX(J2003/K2003,0),1.3))),"") </f>
        <v/>
      </c>
      <c r="M2003" s="39">
        <f>IFERROR(IF(OR(J2003=0,K2003=""),"",IF(E2003="Positivo",MAX(K2003/J2003,0),MAX(J2003/K2003,0))),"") </f>
        <v/>
      </c>
      <c r="N2003" t="inlineStr">
        <is>
          <t>ENT</t>
        </is>
      </c>
      <c r="O2003" t="inlineStr">
        <is>
          <t>ENT</t>
        </is>
      </c>
      <c r="P2003" t="n">
        <v>0</v>
      </c>
      <c r="Q2003" t="n">
        <v>0</v>
      </c>
      <c r="R2003" t="inlineStr">
        <is>
          <t>400-2023-12-31</t>
        </is>
      </c>
    </row>
    <row r="2004">
      <c r="A2004" t="n">
        <v>400</v>
      </c>
      <c r="B2004" t="inlineStr">
        <is>
          <t>Puesta en marcha de proyectos de emprendimiento</t>
        </is>
      </c>
      <c r="C2004" t="inlineStr">
        <is>
          <t>Emprendimiento</t>
        </is>
      </c>
      <c r="D2004" t="inlineStr">
        <is>
          <t>Semestral</t>
        </is>
      </c>
      <c r="E2004" t="inlineStr">
        <is>
          <t>Positivo</t>
        </is>
      </c>
      <c r="F2004" s="111" t="n">
        <v>45473</v>
      </c>
      <c r="G2004" t="n">
        <v>2024</v>
      </c>
      <c r="H2004" t="inlineStr">
        <is>
          <t>Junio</t>
        </is>
      </c>
      <c r="I2004" t="inlineStr">
        <is>
          <t>2024-1</t>
        </is>
      </c>
      <c r="J2004" t="n">
        <v>100</v>
      </c>
      <c r="K2004" t="n">
        <v>270.45</v>
      </c>
      <c r="L2004" s="39">
        <f>IFERROR(IF(OR(J2004=0,K2004=""),"",IF(E2004="Positivo",MIN(MAX(K2004/J2004,0),1.3),MIN(MAX(J2004/K2004,0),1.3))),"") </f>
        <v/>
      </c>
      <c r="M2004" s="39">
        <f>IFERROR(IF(OR(J2004=0,K2004=""),"",IF(E2004="Positivo",MAX(K2004/J2004,0),MAX(J2004/K2004,0))),"") </f>
        <v/>
      </c>
      <c r="N2004" t="inlineStr">
        <is>
          <t>ENT</t>
        </is>
      </c>
      <c r="O2004" t="inlineStr">
        <is>
          <t>ENT</t>
        </is>
      </c>
      <c r="P2004" t="n">
        <v>0</v>
      </c>
      <c r="Q2004" t="n">
        <v>0</v>
      </c>
      <c r="R2004" t="inlineStr">
        <is>
          <t>400-2024-06-30</t>
        </is>
      </c>
    </row>
    <row r="2005">
      <c r="A2005" t="n">
        <v>400</v>
      </c>
      <c r="B2005" t="inlineStr">
        <is>
          <t>Puesta en marcha de proyectos de emprendimiento</t>
        </is>
      </c>
      <c r="C2005" t="inlineStr">
        <is>
          <t>Emprendimiento</t>
        </is>
      </c>
      <c r="D2005" t="inlineStr">
        <is>
          <t>Semestral</t>
        </is>
      </c>
      <c r="E2005" t="inlineStr">
        <is>
          <t>Positivo</t>
        </is>
      </c>
      <c r="F2005" s="111" t="n">
        <v>45657</v>
      </c>
      <c r="G2005" t="n">
        <v>2024</v>
      </c>
      <c r="H2005" t="inlineStr">
        <is>
          <t>Diciembre</t>
        </is>
      </c>
      <c r="I2005" t="inlineStr">
        <is>
          <t>2024-2</t>
        </is>
      </c>
      <c r="J2005" t="n">
        <v>100</v>
      </c>
      <c r="K2005" t="n">
        <v>397.73</v>
      </c>
      <c r="L2005" s="39">
        <f>IFERROR(IF(OR(J2005=0,K2005=""),"",IF(E2005="Positivo",MIN(MAX(K2005/J2005,0),1.3),MIN(MAX(J2005/K2005,0),1.3))),"") </f>
        <v/>
      </c>
      <c r="M2005" s="39">
        <f>IFERROR(IF(OR(J2005=0,K2005=""),"",IF(E2005="Positivo",MAX(K2005/J2005,0),MAX(J2005/K2005,0))),"") </f>
        <v/>
      </c>
      <c r="N2005" t="inlineStr">
        <is>
          <t>ENT</t>
        </is>
      </c>
      <c r="O2005" t="inlineStr">
        <is>
          <t>ENT</t>
        </is>
      </c>
      <c r="P2005" t="n">
        <v>0</v>
      </c>
      <c r="Q2005" t="n">
        <v>0</v>
      </c>
      <c r="R2005" t="inlineStr">
        <is>
          <t>400-2024-12-31</t>
        </is>
      </c>
    </row>
    <row r="2006">
      <c r="A2006" t="n">
        <v>400</v>
      </c>
      <c r="B2006" t="inlineStr">
        <is>
          <t>Puesta en marcha de proyectos de emprendimiento</t>
        </is>
      </c>
      <c r="C2006" t="inlineStr">
        <is>
          <t>Emprendimiento</t>
        </is>
      </c>
      <c r="D2006" t="inlineStr">
        <is>
          <t>Semestral</t>
        </is>
      </c>
      <c r="E2006" t="inlineStr">
        <is>
          <t>Positivo</t>
        </is>
      </c>
      <c r="F2006" s="111" t="n">
        <v>45838</v>
      </c>
      <c r="G2006" t="n">
        <v>2025</v>
      </c>
      <c r="H2006" t="inlineStr">
        <is>
          <t>Junio</t>
        </is>
      </c>
      <c r="I2006" t="inlineStr">
        <is>
          <t>2025-1</t>
        </is>
      </c>
      <c r="J2006" t="n">
        <v>100</v>
      </c>
      <c r="K2006" t="n">
        <v>123</v>
      </c>
      <c r="L2006" s="39">
        <f>IFERROR(IF(OR(J2006=0,K2006=""),"",IF(E2006="Positivo",MIN(MAX(K2006/J2006,0),1.3),MIN(MAX(J2006/K2006,0),1.3))),"") </f>
        <v/>
      </c>
      <c r="M2006" s="39">
        <f>IFERROR(IF(OR(J2006=0,K2006=""),"",IF(E2006="Positivo",MAX(K2006/J2006,0),MAX(J2006/K2006,0))),"") </f>
        <v/>
      </c>
      <c r="N2006" t="inlineStr">
        <is>
          <t>ENT</t>
        </is>
      </c>
      <c r="O2006" t="inlineStr">
        <is>
          <t>ENT</t>
        </is>
      </c>
      <c r="P2006" t="n">
        <v>0</v>
      </c>
      <c r="Q2006" t="n">
        <v>0</v>
      </c>
      <c r="R2006" t="inlineStr">
        <is>
          <t>400-2025-06-30</t>
        </is>
      </c>
    </row>
    <row r="2007">
      <c r="A2007" t="n">
        <v>400</v>
      </c>
      <c r="B2007" t="inlineStr">
        <is>
          <t>Puesta en marcha de proyectos de emprendimiento</t>
        </is>
      </c>
      <c r="C2007" t="inlineStr">
        <is>
          <t>Emprendimiento</t>
        </is>
      </c>
      <c r="D2007" t="inlineStr">
        <is>
          <t>Trimestral</t>
        </is>
      </c>
      <c r="E2007" t="inlineStr">
        <is>
          <t>Positivo</t>
        </is>
      </c>
      <c r="F2007" s="111" t="n">
        <v>46022</v>
      </c>
      <c r="G2007" t="n">
        <v>2025</v>
      </c>
      <c r="H2007" t="inlineStr">
        <is>
          <t>Diciembre</t>
        </is>
      </c>
      <c r="I2007" t="inlineStr">
        <is>
          <t>2025-2</t>
        </is>
      </c>
      <c r="J2007" t="n">
        <v>100</v>
      </c>
      <c r="K2007" t="n">
        <v>127.14</v>
      </c>
      <c r="L2007" s="39">
        <f>IFERROR(IF(OR(J2007=0,K2007=""),"",IF(E2007="Positivo",MIN(MAX(K2007/J2007,0),1.3),MIN(MAX(J2007/K2007,0),1.3))),"") </f>
        <v/>
      </c>
      <c r="M2007" s="39">
        <f>IFERROR(IF(OR(J2007=0,K2007=""),"",IF(E2007="Positivo",MAX(K2007/J2007,0),MAX(J2007/K2007,0))),"") </f>
        <v/>
      </c>
      <c r="N2007" t="inlineStr">
        <is>
          <t>ENT</t>
        </is>
      </c>
      <c r="O2007" t="inlineStr">
        <is>
          <t>ENT</t>
        </is>
      </c>
      <c r="P2007" t="n">
        <v>0</v>
      </c>
      <c r="Q2007" t="n">
        <v>0</v>
      </c>
      <c r="R2007" t="inlineStr">
        <is>
          <t>400-2025-12-31</t>
        </is>
      </c>
    </row>
    <row r="2008">
      <c r="A2008" t="n">
        <v>401</v>
      </c>
      <c r="B2008" t="inlineStr">
        <is>
          <t>Producción de nuevos MI-Books</t>
        </is>
      </c>
      <c r="C2008" t="inlineStr">
        <is>
          <t>LEI</t>
        </is>
      </c>
      <c r="D2008" t="inlineStr">
        <is>
          <t>Semestral</t>
        </is>
      </c>
      <c r="E2008" t="inlineStr">
        <is>
          <t>Positivo</t>
        </is>
      </c>
      <c r="F2008" s="111" t="n">
        <v>45107</v>
      </c>
      <c r="G2008" t="n">
        <v>2023</v>
      </c>
      <c r="H2008" t="inlineStr">
        <is>
          <t>Junio</t>
        </is>
      </c>
      <c r="I2008" t="inlineStr">
        <is>
          <t>2023-1</t>
        </is>
      </c>
      <c r="J2008" t="n">
        <v>90</v>
      </c>
      <c r="K2008" t="n">
        <v>87.5</v>
      </c>
      <c r="L2008" s="39">
        <f>IFERROR(IF(OR(J2008=0,K2008=""),"",IF(E2008="Positivo",MIN(MAX(K2008/J2008,0),1.3),MIN(MAX(J2008/K2008,0),1.3))),"") </f>
        <v/>
      </c>
      <c r="M2008" s="39">
        <f>IFERROR(IF(OR(J2008=0,K2008=""),"",IF(E2008="Positivo",MAX(K2008/J2008,0),MAX(J2008/K2008,0))),"") </f>
        <v/>
      </c>
      <c r="N2008" t="inlineStr">
        <is>
          <t>ENT</t>
        </is>
      </c>
      <c r="O2008" t="inlineStr">
        <is>
          <t>ENT</t>
        </is>
      </c>
      <c r="P2008" t="n">
        <v>0</v>
      </c>
      <c r="Q2008" t="n">
        <v>0</v>
      </c>
      <c r="R2008" t="inlineStr">
        <is>
          <t>401-2023-06-30</t>
        </is>
      </c>
    </row>
    <row r="2009">
      <c r="A2009" t="n">
        <v>401</v>
      </c>
      <c r="B2009" t="inlineStr">
        <is>
          <t>Producción de nuevos MI-Books</t>
        </is>
      </c>
      <c r="C2009" t="inlineStr">
        <is>
          <t>LEI</t>
        </is>
      </c>
      <c r="D2009" t="inlineStr">
        <is>
          <t>Semestral</t>
        </is>
      </c>
      <c r="E2009" t="inlineStr">
        <is>
          <t>Positivo</t>
        </is>
      </c>
      <c r="F2009" s="111" t="n">
        <v>45291</v>
      </c>
      <c r="G2009" t="n">
        <v>2023</v>
      </c>
      <c r="H2009" t="inlineStr">
        <is>
          <t>Diciembre</t>
        </is>
      </c>
      <c r="I2009" t="inlineStr">
        <is>
          <t>2023-2</t>
        </is>
      </c>
      <c r="J2009" t="n">
        <v>90</v>
      </c>
      <c r="K2009" t="n">
        <v>125</v>
      </c>
      <c r="L2009" s="39">
        <f>IFERROR(IF(OR(J2009=0,K2009=""),"",IF(E2009="Positivo",MIN(MAX(K2009/J2009,0),1.3),MIN(MAX(J2009/K2009,0),1.3))),"") </f>
        <v/>
      </c>
      <c r="M2009" s="39">
        <f>IFERROR(IF(OR(J2009=0,K2009=""),"",IF(E2009="Positivo",MAX(K2009/J2009,0),MAX(J2009/K2009,0))),"") </f>
        <v/>
      </c>
      <c r="N2009" t="inlineStr">
        <is>
          <t>ENT</t>
        </is>
      </c>
      <c r="O2009" t="inlineStr">
        <is>
          <t>ENT</t>
        </is>
      </c>
      <c r="P2009" t="n">
        <v>0</v>
      </c>
      <c r="Q2009" t="n">
        <v>0</v>
      </c>
      <c r="R2009" t="inlineStr">
        <is>
          <t>401-2023-12-31</t>
        </is>
      </c>
    </row>
    <row r="2010">
      <c r="A2010" t="n">
        <v>401</v>
      </c>
      <c r="B2010" t="inlineStr">
        <is>
          <t>Producción de nuevos MI-Books</t>
        </is>
      </c>
      <c r="C2010" t="inlineStr">
        <is>
          <t>LEI</t>
        </is>
      </c>
      <c r="D2010" t="inlineStr">
        <is>
          <t>Semestral</t>
        </is>
      </c>
      <c r="E2010" t="inlineStr">
        <is>
          <t>Positivo</t>
        </is>
      </c>
      <c r="F2010" s="111" t="n">
        <v>45473</v>
      </c>
      <c r="G2010" t="n">
        <v>2024</v>
      </c>
      <c r="H2010" t="inlineStr">
        <is>
          <t>Junio</t>
        </is>
      </c>
      <c r="I2010" t="inlineStr">
        <is>
          <t>2024-1</t>
        </is>
      </c>
      <c r="J2010" t="n">
        <v>90</v>
      </c>
      <c r="K2010" t="n">
        <v>112.5</v>
      </c>
      <c r="L2010" s="39">
        <f>IFERROR(IF(OR(J2010=0,K2010=""),"",IF(E2010="Positivo",MIN(MAX(K2010/J2010,0),1.3),MIN(MAX(J2010/K2010,0),1.3))),"") </f>
        <v/>
      </c>
      <c r="M2010" s="39">
        <f>IFERROR(IF(OR(J2010=0,K2010=""),"",IF(E2010="Positivo",MAX(K2010/J2010,0),MAX(J2010/K2010,0))),"") </f>
        <v/>
      </c>
      <c r="N2010" t="inlineStr">
        <is>
          <t>ENT</t>
        </is>
      </c>
      <c r="O2010" t="inlineStr">
        <is>
          <t>ENT</t>
        </is>
      </c>
      <c r="P2010" t="n">
        <v>0</v>
      </c>
      <c r="Q2010" t="n">
        <v>0</v>
      </c>
      <c r="R2010" t="inlineStr">
        <is>
          <t>401-2024-06-30</t>
        </is>
      </c>
    </row>
    <row r="2011">
      <c r="A2011" t="n">
        <v>401</v>
      </c>
      <c r="B2011" t="inlineStr">
        <is>
          <t>Producción de nuevos MI-Books</t>
        </is>
      </c>
      <c r="C2011" t="inlineStr">
        <is>
          <t>LEI</t>
        </is>
      </c>
      <c r="D2011" t="inlineStr">
        <is>
          <t>Semestral</t>
        </is>
      </c>
      <c r="E2011" t="inlineStr">
        <is>
          <t>Positivo</t>
        </is>
      </c>
      <c r="F2011" s="111" t="n">
        <v>45657</v>
      </c>
      <c r="G2011" t="n">
        <v>2024</v>
      </c>
      <c r="H2011" t="inlineStr">
        <is>
          <t>Diciembre</t>
        </is>
      </c>
      <c r="I2011" t="inlineStr">
        <is>
          <t>2024-2</t>
        </is>
      </c>
      <c r="J2011" t="n">
        <v>90</v>
      </c>
      <c r="K2011" t="n">
        <v>100</v>
      </c>
      <c r="L2011" s="39">
        <f>IFERROR(IF(OR(J2011=0,K2011=""),"",IF(E2011="Positivo",MIN(MAX(K2011/J2011,0),1.3),MIN(MAX(J2011/K2011,0),1.3))),"") </f>
        <v/>
      </c>
      <c r="M2011" s="39">
        <f>IFERROR(IF(OR(J2011=0,K2011=""),"",IF(E2011="Positivo",MAX(K2011/J2011,0),MAX(J2011/K2011,0))),"") </f>
        <v/>
      </c>
      <c r="N2011" t="inlineStr">
        <is>
          <t>ENT</t>
        </is>
      </c>
      <c r="O2011" t="inlineStr">
        <is>
          <t>ENT</t>
        </is>
      </c>
      <c r="P2011" t="n">
        <v>0</v>
      </c>
      <c r="Q2011" t="n">
        <v>0</v>
      </c>
      <c r="R2011" t="inlineStr">
        <is>
          <t>401-2024-12-31</t>
        </is>
      </c>
    </row>
    <row r="2012">
      <c r="A2012" t="n">
        <v>401</v>
      </c>
      <c r="B2012" t="inlineStr">
        <is>
          <t>Producción de nuevos MI-Books</t>
        </is>
      </c>
      <c r="C2012" t="inlineStr">
        <is>
          <t>LEI</t>
        </is>
      </c>
      <c r="D2012" t="inlineStr">
        <is>
          <t>Semestral</t>
        </is>
      </c>
      <c r="E2012" t="inlineStr">
        <is>
          <t>Positivo</t>
        </is>
      </c>
      <c r="F2012" s="111" t="n">
        <v>45838</v>
      </c>
      <c r="G2012" t="n">
        <v>2025</v>
      </c>
      <c r="H2012" t="inlineStr">
        <is>
          <t>Junio</t>
        </is>
      </c>
      <c r="I2012" t="inlineStr">
        <is>
          <t>2025-1</t>
        </is>
      </c>
      <c r="J2012" t="n">
        <v>100</v>
      </c>
      <c r="K2012" t="n">
        <v>100</v>
      </c>
      <c r="L2012" s="39">
        <f>IFERROR(IF(OR(J2012=0,K2012=""),"",IF(E2012="Positivo",MIN(MAX(K2012/J2012,0),1.3),MIN(MAX(J2012/K2012,0),1.3))),"") </f>
        <v/>
      </c>
      <c r="M2012" s="39">
        <f>IFERROR(IF(OR(J2012=0,K2012=""),"",IF(E2012="Positivo",MAX(K2012/J2012,0),MAX(J2012/K2012,0))),"") </f>
        <v/>
      </c>
      <c r="N2012" t="inlineStr">
        <is>
          <t>ENT</t>
        </is>
      </c>
      <c r="O2012" t="inlineStr">
        <is>
          <t>ENT</t>
        </is>
      </c>
      <c r="P2012" t="n">
        <v>0</v>
      </c>
      <c r="Q2012" t="n">
        <v>0</v>
      </c>
      <c r="R2012" t="inlineStr">
        <is>
          <t>401-2025-06-30</t>
        </is>
      </c>
    </row>
    <row r="2013">
      <c r="A2013" t="n">
        <v>401</v>
      </c>
      <c r="B2013" t="inlineStr">
        <is>
          <t>Producción de nuevos MI-Books</t>
        </is>
      </c>
      <c r="C2013" t="inlineStr">
        <is>
          <t>LEI</t>
        </is>
      </c>
      <c r="D2013" t="inlineStr">
        <is>
          <t>Trimestral</t>
        </is>
      </c>
      <c r="E2013" t="inlineStr">
        <is>
          <t>Positivo</t>
        </is>
      </c>
      <c r="F2013" s="111" t="n">
        <v>46022</v>
      </c>
      <c r="G2013" t="n">
        <v>2025</v>
      </c>
      <c r="H2013" t="inlineStr">
        <is>
          <t>Diciembre</t>
        </is>
      </c>
      <c r="I2013" t="inlineStr">
        <is>
          <t>2025-2</t>
        </is>
      </c>
      <c r="J2013" t="n">
        <v>100</v>
      </c>
      <c r="K2013" t="n">
        <v>100</v>
      </c>
      <c r="L2013" s="39">
        <f>IFERROR(IF(OR(J2013=0,K2013=""),"",IF(E2013="Positivo",MIN(MAX(K2013/J2013,0),1.3),MIN(MAX(J2013/K2013,0),1.3))),"") </f>
        <v/>
      </c>
      <c r="M2013" s="39">
        <f>IFERROR(IF(OR(J2013=0,K2013=""),"",IF(E2013="Positivo",MAX(K2013/J2013,0),MAX(J2013/K2013,0))),"") </f>
        <v/>
      </c>
      <c r="N2013" t="inlineStr">
        <is>
          <t>ENT</t>
        </is>
      </c>
      <c r="O2013" t="inlineStr">
        <is>
          <t>ENT</t>
        </is>
      </c>
      <c r="P2013" t="n">
        <v>0</v>
      </c>
      <c r="Q2013" t="n">
        <v>0</v>
      </c>
      <c r="R2013" t="inlineStr">
        <is>
          <t>401-2025-12-31</t>
        </is>
      </c>
    </row>
    <row r="2014">
      <c r="A2014" t="n">
        <v>402</v>
      </c>
      <c r="B2014" t="inlineStr">
        <is>
          <t>Informe anual de consulta de MI-Books</t>
        </is>
      </c>
      <c r="C2014" t="inlineStr">
        <is>
          <t>LEI</t>
        </is>
      </c>
      <c r="D2014" t="inlineStr">
        <is>
          <t>Anual</t>
        </is>
      </c>
      <c r="E2014" t="inlineStr">
        <is>
          <t>Positivo</t>
        </is>
      </c>
      <c r="F2014" s="111" t="n">
        <v>45291</v>
      </c>
      <c r="G2014" t="n">
        <v>2023</v>
      </c>
      <c r="H2014" t="inlineStr">
        <is>
          <t>Diciembre</t>
        </is>
      </c>
      <c r="I2014" t="inlineStr">
        <is>
          <t>2023-2</t>
        </is>
      </c>
      <c r="K2014" t="n">
        <v>21000</v>
      </c>
      <c r="L2014" s="39" t="n"/>
      <c r="M2014" s="39" t="n"/>
      <c r="N2014" t="inlineStr">
        <is>
          <t>ENT</t>
        </is>
      </c>
      <c r="O2014" t="inlineStr">
        <is>
          <t>ENT</t>
        </is>
      </c>
      <c r="P2014" t="n">
        <v>0</v>
      </c>
      <c r="Q2014" t="n">
        <v>0</v>
      </c>
      <c r="R2014" t="inlineStr">
        <is>
          <t>402-2023-12-31</t>
        </is>
      </c>
    </row>
    <row r="2015">
      <c r="A2015" t="n">
        <v>402</v>
      </c>
      <c r="B2015" t="inlineStr">
        <is>
          <t>Informe anual de consulta de MI-Books</t>
        </is>
      </c>
      <c r="C2015" t="inlineStr">
        <is>
          <t>LEI</t>
        </is>
      </c>
      <c r="D2015" t="inlineStr">
        <is>
          <t>Anual</t>
        </is>
      </c>
      <c r="E2015" t="inlineStr">
        <is>
          <t>Positivo</t>
        </is>
      </c>
      <c r="F2015" s="111" t="n">
        <v>45657</v>
      </c>
      <c r="G2015" t="n">
        <v>2024</v>
      </c>
      <c r="H2015" t="inlineStr">
        <is>
          <t>Diciembre</t>
        </is>
      </c>
      <c r="I2015" t="inlineStr">
        <is>
          <t>2024-2</t>
        </is>
      </c>
      <c r="J2015" t="n">
        <v>3</v>
      </c>
      <c r="K2015" t="n">
        <v>4.76</v>
      </c>
      <c r="L2015" s="39">
        <f>IFERROR(IF(OR(J2015=0,K2015=""),"",IF(E2015="Positivo",MIN(MAX(K2015/J2015,0),1.3),MIN(MAX(J2015/K2015,0),1.3))),"") </f>
        <v/>
      </c>
      <c r="M2015" s="39">
        <f>IFERROR(IF(OR(J2015=0,K2015=""),"",IF(E2015="Positivo",MAX(K2015/J2015,0),MAX(J2015/K2015,0))),"") </f>
        <v/>
      </c>
      <c r="P2015" t="n">
        <v>0</v>
      </c>
      <c r="Q2015" t="n">
        <v>0</v>
      </c>
      <c r="R2015" t="inlineStr">
        <is>
          <t>402-2024-12-31</t>
        </is>
      </c>
    </row>
    <row r="2016">
      <c r="A2016" t="n">
        <v>402</v>
      </c>
      <c r="B2016" t="inlineStr">
        <is>
          <t>Informe anual de consulta de MI-Books</t>
        </is>
      </c>
      <c r="C2016" t="inlineStr">
        <is>
          <t>LEI</t>
        </is>
      </c>
      <c r="D2016" t="inlineStr">
        <is>
          <t>Anual</t>
        </is>
      </c>
      <c r="E2016" t="inlineStr">
        <is>
          <t>Positivo</t>
        </is>
      </c>
      <c r="F2016" s="111" t="n">
        <v>46022</v>
      </c>
      <c r="G2016" t="n">
        <v>2025</v>
      </c>
      <c r="H2016" t="inlineStr">
        <is>
          <t>Diciembre</t>
        </is>
      </c>
      <c r="I2016" t="inlineStr">
        <is>
          <t>2025-2</t>
        </is>
      </c>
      <c r="K2016" t="n">
        <v>22.73</v>
      </c>
      <c r="L2016" s="39" t="n"/>
      <c r="M2016" s="39" t="n"/>
      <c r="N2016" t="inlineStr">
        <is>
          <t>ENT</t>
        </is>
      </c>
      <c r="O2016" t="inlineStr">
        <is>
          <t>ENT</t>
        </is>
      </c>
      <c r="P2016" t="n">
        <v>0</v>
      </c>
      <c r="Q2016" t="n">
        <v>0</v>
      </c>
      <c r="R2016" t="inlineStr">
        <is>
          <t>402-2025-12-31</t>
        </is>
      </c>
    </row>
    <row r="2017">
      <c r="A2017" t="n">
        <v>403</v>
      </c>
      <c r="B2017" t="inlineStr">
        <is>
          <t>Número de estudiantes que ha realizado la simulación</t>
        </is>
      </c>
      <c r="C2017" t="inlineStr">
        <is>
          <t>LEI</t>
        </is>
      </c>
      <c r="D2017" t="inlineStr">
        <is>
          <t>Semestral</t>
        </is>
      </c>
      <c r="E2017" t="inlineStr">
        <is>
          <t>Positivo</t>
        </is>
      </c>
      <c r="F2017" s="111" t="n">
        <v>45107</v>
      </c>
      <c r="G2017" t="n">
        <v>2023</v>
      </c>
      <c r="H2017" t="inlineStr">
        <is>
          <t>Junio</t>
        </is>
      </c>
      <c r="I2017" t="inlineStr">
        <is>
          <t>2023-1</t>
        </is>
      </c>
      <c r="K2017" t="n">
        <v>14370</v>
      </c>
      <c r="L2017" s="39" t="n"/>
      <c r="M2017" s="39" t="n"/>
      <c r="N2017" t="inlineStr">
        <is>
          <t>Metrica</t>
        </is>
      </c>
      <c r="O2017" t="inlineStr">
        <is>
          <t>ENT</t>
        </is>
      </c>
      <c r="P2017" t="n">
        <v>0</v>
      </c>
      <c r="Q2017" t="n">
        <v>0</v>
      </c>
      <c r="R2017" t="inlineStr">
        <is>
          <t>403-2023-06-30</t>
        </is>
      </c>
    </row>
    <row r="2018">
      <c r="A2018" t="n">
        <v>403</v>
      </c>
      <c r="B2018" t="inlineStr">
        <is>
          <t>Número de estudiantes que ha realizado la simulación</t>
        </is>
      </c>
      <c r="C2018" t="inlineStr">
        <is>
          <t>LEI</t>
        </is>
      </c>
      <c r="D2018" t="inlineStr">
        <is>
          <t>Semestral</t>
        </is>
      </c>
      <c r="E2018" t="inlineStr">
        <is>
          <t>Positivo</t>
        </is>
      </c>
      <c r="F2018" s="111" t="n">
        <v>45291</v>
      </c>
      <c r="G2018" t="n">
        <v>2023</v>
      </c>
      <c r="H2018" t="inlineStr">
        <is>
          <t>Diciembre</t>
        </is>
      </c>
      <c r="I2018" t="inlineStr">
        <is>
          <t>2023-2</t>
        </is>
      </c>
      <c r="K2018" t="n">
        <v>28639</v>
      </c>
      <c r="L2018" s="39" t="n"/>
      <c r="M2018" s="39" t="n"/>
      <c r="N2018" t="inlineStr">
        <is>
          <t>Metrica</t>
        </is>
      </c>
      <c r="O2018" t="inlineStr">
        <is>
          <t>ENT</t>
        </is>
      </c>
      <c r="P2018" t="n">
        <v>0</v>
      </c>
      <c r="Q2018" t="n">
        <v>0</v>
      </c>
      <c r="R2018" t="inlineStr">
        <is>
          <t>403-2023-12-31</t>
        </is>
      </c>
    </row>
    <row r="2019">
      <c r="A2019" t="n">
        <v>403</v>
      </c>
      <c r="B2019" t="inlineStr">
        <is>
          <t>Número de estudiantes que ha realizado la simulación</t>
        </is>
      </c>
      <c r="C2019" t="inlineStr">
        <is>
          <t>LEI</t>
        </is>
      </c>
      <c r="D2019" t="inlineStr">
        <is>
          <t>Semestral</t>
        </is>
      </c>
      <c r="E2019" t="inlineStr">
        <is>
          <t>Positivo</t>
        </is>
      </c>
      <c r="F2019" s="111" t="n">
        <v>45473</v>
      </c>
      <c r="G2019" t="n">
        <v>2024</v>
      </c>
      <c r="H2019" t="inlineStr">
        <is>
          <t>Junio</t>
        </is>
      </c>
      <c r="I2019" t="inlineStr">
        <is>
          <t>2024-1</t>
        </is>
      </c>
      <c r="K2019" t="n">
        <v>14923</v>
      </c>
      <c r="L2019" s="39" t="n"/>
      <c r="M2019" s="39" t="n"/>
      <c r="N2019" t="inlineStr">
        <is>
          <t>Metrica</t>
        </is>
      </c>
      <c r="O2019" t="inlineStr">
        <is>
          <t>ENT</t>
        </is>
      </c>
      <c r="P2019" t="n">
        <v>0</v>
      </c>
      <c r="Q2019" t="n">
        <v>0</v>
      </c>
      <c r="R2019" t="inlineStr">
        <is>
          <t>403-2024-06-30</t>
        </is>
      </c>
    </row>
    <row r="2020">
      <c r="A2020" t="n">
        <v>403</v>
      </c>
      <c r="B2020" t="inlineStr">
        <is>
          <t>Número de estudiantes que ha realizado la simulación</t>
        </is>
      </c>
      <c r="C2020" t="inlineStr">
        <is>
          <t>LEI</t>
        </is>
      </c>
      <c r="D2020" t="inlineStr">
        <is>
          <t>Semestral</t>
        </is>
      </c>
      <c r="E2020" t="inlineStr">
        <is>
          <t>Positivo</t>
        </is>
      </c>
      <c r="F2020" s="111" t="n">
        <v>45657</v>
      </c>
      <c r="G2020" t="n">
        <v>2024</v>
      </c>
      <c r="H2020" t="inlineStr">
        <is>
          <t>Diciembre</t>
        </is>
      </c>
      <c r="I2020" t="inlineStr">
        <is>
          <t>2024-2</t>
        </is>
      </c>
      <c r="K2020" t="n">
        <v>14495</v>
      </c>
      <c r="L2020" s="39" t="n"/>
      <c r="M2020" s="39" t="n"/>
      <c r="N2020" t="inlineStr">
        <is>
          <t>Metrica</t>
        </is>
      </c>
      <c r="O2020" t="inlineStr">
        <is>
          <t>ENT</t>
        </is>
      </c>
      <c r="P2020" t="n">
        <v>0</v>
      </c>
      <c r="Q2020" t="n">
        <v>0</v>
      </c>
      <c r="R2020" t="inlineStr">
        <is>
          <t>403-2024-12-31</t>
        </is>
      </c>
    </row>
    <row r="2021">
      <c r="A2021" t="n">
        <v>403</v>
      </c>
      <c r="B2021" t="inlineStr">
        <is>
          <t>Número de estudiantes que ha realizado la simulación</t>
        </is>
      </c>
      <c r="C2021" t="inlineStr">
        <is>
          <t>LEI</t>
        </is>
      </c>
      <c r="D2021" t="inlineStr">
        <is>
          <t>Semestral</t>
        </is>
      </c>
      <c r="E2021" t="inlineStr">
        <is>
          <t>Positivo</t>
        </is>
      </c>
      <c r="F2021" s="111" t="n">
        <v>45838</v>
      </c>
      <c r="G2021" t="n">
        <v>2025</v>
      </c>
      <c r="H2021" t="inlineStr">
        <is>
          <t>Junio</t>
        </is>
      </c>
      <c r="I2021" t="inlineStr">
        <is>
          <t>2025-1</t>
        </is>
      </c>
      <c r="K2021" t="n">
        <v>14410</v>
      </c>
      <c r="L2021" s="39" t="n"/>
      <c r="M2021" s="39" t="n"/>
      <c r="N2021" t="inlineStr">
        <is>
          <t>Metrica</t>
        </is>
      </c>
      <c r="O2021" t="inlineStr">
        <is>
          <t>ENT</t>
        </is>
      </c>
      <c r="P2021" t="n">
        <v>0</v>
      </c>
      <c r="Q2021" t="n">
        <v>0</v>
      </c>
      <c r="R2021" t="inlineStr">
        <is>
          <t>403-2025-06-30</t>
        </is>
      </c>
    </row>
    <row r="2022">
      <c r="A2022" t="n">
        <v>403</v>
      </c>
      <c r="B2022" t="inlineStr">
        <is>
          <t>Número de estudiantes que ha realizado la simulación (Metrica)</t>
        </is>
      </c>
      <c r="C2022" t="inlineStr">
        <is>
          <t>LEI</t>
        </is>
      </c>
      <c r="D2022" t="inlineStr">
        <is>
          <t>Trimestral</t>
        </is>
      </c>
      <c r="E2022" t="inlineStr">
        <is>
          <t>Positivo</t>
        </is>
      </c>
      <c r="F2022" s="111" t="n">
        <v>46022</v>
      </c>
      <c r="G2022" t="n">
        <v>2025</v>
      </c>
      <c r="H2022" t="inlineStr">
        <is>
          <t>Diciembre</t>
        </is>
      </c>
      <c r="I2022" t="inlineStr">
        <is>
          <t>2025-2</t>
        </is>
      </c>
      <c r="K2022" t="n">
        <v>12510</v>
      </c>
      <c r="L2022" s="39" t="n"/>
      <c r="M2022" s="39" t="n"/>
      <c r="N2022" t="inlineStr">
        <is>
          <t>Metrica</t>
        </is>
      </c>
      <c r="O2022" t="inlineStr">
        <is>
          <t>ENT</t>
        </is>
      </c>
      <c r="P2022" t="n">
        <v>0</v>
      </c>
      <c r="Q2022" t="n">
        <v>0</v>
      </c>
      <c r="R2022" t="inlineStr">
        <is>
          <t>403-2025-12-31</t>
        </is>
      </c>
      <c r="S2022" t="inlineStr">
        <is>
          <t>Metrica</t>
        </is>
      </c>
    </row>
    <row r="2023">
      <c r="A2023" t="n">
        <v>404</v>
      </c>
      <c r="B2023" t="inlineStr">
        <is>
          <t>Casos presentados y solucionados</t>
        </is>
      </c>
      <c r="C2023" t="inlineStr">
        <is>
          <t>LEI</t>
        </is>
      </c>
      <c r="D2023" t="inlineStr">
        <is>
          <t>Semestral</t>
        </is>
      </c>
      <c r="E2023" t="inlineStr">
        <is>
          <t>Negativo</t>
        </is>
      </c>
      <c r="F2023" s="111" t="n">
        <v>45107</v>
      </c>
      <c r="G2023" t="n">
        <v>2023</v>
      </c>
      <c r="H2023" t="inlineStr">
        <is>
          <t>Junio</t>
        </is>
      </c>
      <c r="I2023" t="inlineStr">
        <is>
          <t>2023-1</t>
        </is>
      </c>
      <c r="J2023" t="n">
        <v>20</v>
      </c>
      <c r="K2023" t="n">
        <v>2</v>
      </c>
      <c r="L2023" s="39">
        <f>IFERROR(IF(OR(J2023=0,K2023=""),"",IF(E2023="Positivo",MIN(MAX(K2023/J2023,0),1.3),MIN(MAX(J2023/K2023,0),1.3))),"") </f>
        <v/>
      </c>
      <c r="M2023" s="39">
        <f>IFERROR(IF(OR(J2023=0,K2023=""),"",IF(E2023="Positivo",MAX(K2023/J2023,0),MAX(J2023/K2023,0))),"") </f>
        <v/>
      </c>
      <c r="N2023" t="n">
        <v>0</v>
      </c>
      <c r="O2023" t="inlineStr">
        <is>
          <t>ENT</t>
        </is>
      </c>
      <c r="P2023" t="n">
        <v>0</v>
      </c>
      <c r="Q2023" t="n">
        <v>0</v>
      </c>
      <c r="R2023" t="inlineStr">
        <is>
          <t>404-2023-06-30</t>
        </is>
      </c>
    </row>
    <row r="2024">
      <c r="A2024" t="n">
        <v>404</v>
      </c>
      <c r="B2024" t="inlineStr">
        <is>
          <t>Casos presentados y solucionados</t>
        </is>
      </c>
      <c r="C2024" t="inlineStr">
        <is>
          <t>LEI</t>
        </is>
      </c>
      <c r="D2024" t="inlineStr">
        <is>
          <t>Semestral</t>
        </is>
      </c>
      <c r="E2024" t="inlineStr">
        <is>
          <t>Negativo</t>
        </is>
      </c>
      <c r="F2024" s="111" t="n">
        <v>45291</v>
      </c>
      <c r="G2024" t="n">
        <v>2023</v>
      </c>
      <c r="H2024" t="inlineStr">
        <is>
          <t>Diciembre</t>
        </is>
      </c>
      <c r="I2024" t="inlineStr">
        <is>
          <t>2023-2</t>
        </is>
      </c>
      <c r="J2024" t="n">
        <v>20</v>
      </c>
      <c r="K2024" t="n">
        <v>1.31</v>
      </c>
      <c r="L2024" s="39">
        <f>IFERROR(IF(OR(J2024=0,K2024=""),"",IF(E2024="Positivo",MIN(MAX(K2024/J2024,0),1.3),MIN(MAX(J2024/K2024,0),1.3))),"") </f>
        <v/>
      </c>
      <c r="M2024" s="39">
        <f>IFERROR(IF(OR(J2024=0,K2024=""),"",IF(E2024="Positivo",MAX(K2024/J2024,0),MAX(J2024/K2024,0))),"") </f>
        <v/>
      </c>
      <c r="N2024" t="n">
        <v>0</v>
      </c>
      <c r="O2024" t="inlineStr">
        <is>
          <t>ENT</t>
        </is>
      </c>
      <c r="P2024" t="n">
        <v>0</v>
      </c>
      <c r="Q2024" t="n">
        <v>0</v>
      </c>
      <c r="R2024" t="inlineStr">
        <is>
          <t>404-2023-12-31</t>
        </is>
      </c>
    </row>
    <row r="2025">
      <c r="A2025" t="n">
        <v>404</v>
      </c>
      <c r="B2025" t="inlineStr">
        <is>
          <t>Casos presentados y solucionados</t>
        </is>
      </c>
      <c r="C2025" t="inlineStr">
        <is>
          <t>LEI</t>
        </is>
      </c>
      <c r="D2025" t="inlineStr">
        <is>
          <t>Semestral</t>
        </is>
      </c>
      <c r="E2025" t="inlineStr">
        <is>
          <t>Negativo</t>
        </is>
      </c>
      <c r="F2025" s="111" t="n">
        <v>45473</v>
      </c>
      <c r="G2025" t="n">
        <v>2024</v>
      </c>
      <c r="H2025" t="inlineStr">
        <is>
          <t>Junio</t>
        </is>
      </c>
      <c r="I2025" t="inlineStr">
        <is>
          <t>2024-1</t>
        </is>
      </c>
      <c r="J2025" t="n">
        <v>10</v>
      </c>
      <c r="K2025" t="n">
        <v>5.85</v>
      </c>
      <c r="L2025" s="39">
        <f>IFERROR(IF(OR(J2025=0,K2025=""),"",IF(E2025="Positivo",MIN(MAX(K2025/J2025,0),1.3),MIN(MAX(J2025/K2025,0),1.3))),"") </f>
        <v/>
      </c>
      <c r="M2025" s="39">
        <f>IFERROR(IF(OR(J2025=0,K2025=""),"",IF(E2025="Positivo",MAX(K2025/J2025,0),MAX(J2025/K2025,0))),"") </f>
        <v/>
      </c>
      <c r="N2025" t="inlineStr">
        <is>
          <t>%</t>
        </is>
      </c>
      <c r="O2025" t="inlineStr">
        <is>
          <t>%</t>
        </is>
      </c>
      <c r="P2025" t="n">
        <v>0</v>
      </c>
      <c r="Q2025" t="n">
        <v>0</v>
      </c>
      <c r="R2025" t="inlineStr">
        <is>
          <t>404-2024-06-30</t>
        </is>
      </c>
    </row>
    <row r="2026">
      <c r="A2026" t="n">
        <v>404</v>
      </c>
      <c r="B2026" t="inlineStr">
        <is>
          <t>Casos presentados y solucionados</t>
        </is>
      </c>
      <c r="C2026" t="inlineStr">
        <is>
          <t>LEI</t>
        </is>
      </c>
      <c r="D2026" t="inlineStr">
        <is>
          <t>Semestral</t>
        </is>
      </c>
      <c r="E2026" t="inlineStr">
        <is>
          <t>Negativo</t>
        </is>
      </c>
      <c r="F2026" s="111" t="n">
        <v>45657</v>
      </c>
      <c r="G2026" t="n">
        <v>2024</v>
      </c>
      <c r="H2026" t="inlineStr">
        <is>
          <t>Diciembre</t>
        </is>
      </c>
      <c r="I2026" t="inlineStr">
        <is>
          <t>2024-2</t>
        </is>
      </c>
      <c r="J2026" t="n">
        <v>10</v>
      </c>
      <c r="K2026" t="n">
        <v>6.02</v>
      </c>
      <c r="L2026" s="39">
        <f>IFERROR(IF(OR(J2026=0,K2026=""),"",IF(E2026="Positivo",MIN(MAX(K2026/J2026,0),1.3),MIN(MAX(J2026/K2026,0),1.3))),"") </f>
        <v/>
      </c>
      <c r="M2026" s="39">
        <f>IFERROR(IF(OR(J2026=0,K2026=""),"",IF(E2026="Positivo",MAX(K2026/J2026,0),MAX(J2026/K2026,0))),"") </f>
        <v/>
      </c>
      <c r="N2026" t="inlineStr">
        <is>
          <t>%</t>
        </is>
      </c>
      <c r="O2026" t="inlineStr">
        <is>
          <t>%</t>
        </is>
      </c>
      <c r="P2026" t="n">
        <v>0</v>
      </c>
      <c r="Q2026" t="n">
        <v>0</v>
      </c>
      <c r="R2026" t="inlineStr">
        <is>
          <t>404-2024-12-31</t>
        </is>
      </c>
    </row>
    <row r="2027">
      <c r="A2027" t="n">
        <v>405</v>
      </c>
      <c r="B2027" t="inlineStr">
        <is>
          <t>Avance de reingenieria y arquitectura de software LEI</t>
        </is>
      </c>
      <c r="C2027" t="inlineStr">
        <is>
          <t>LEI</t>
        </is>
      </c>
      <c r="D2027" t="inlineStr">
        <is>
          <t>Semestral</t>
        </is>
      </c>
      <c r="E2027" t="inlineStr">
        <is>
          <t>Positivo</t>
        </is>
      </c>
      <c r="F2027" s="111" t="n">
        <v>45107</v>
      </c>
      <c r="G2027" t="n">
        <v>2023</v>
      </c>
      <c r="H2027" t="inlineStr">
        <is>
          <t>Junio</t>
        </is>
      </c>
      <c r="I2027" t="inlineStr">
        <is>
          <t>2023-1</t>
        </is>
      </c>
      <c r="J2027" t="n">
        <v>25</v>
      </c>
      <c r="K2027" t="n">
        <v>30</v>
      </c>
      <c r="L2027" s="39">
        <f>IFERROR(IF(OR(J2027=0,K2027=""),"",IF(E2027="Positivo",MIN(MAX(K2027/J2027,0),1.3),MIN(MAX(J2027/K2027,0),1.3))),"") </f>
        <v/>
      </c>
      <c r="M2027" s="39">
        <f>IFERROR(IF(OR(J2027=0,K2027=""),"",IF(E2027="Positivo",MAX(K2027/J2027,0),MAX(J2027/K2027,0))),"") </f>
        <v/>
      </c>
      <c r="N2027" t="inlineStr">
        <is>
          <t>%</t>
        </is>
      </c>
      <c r="O2027" t="inlineStr">
        <is>
          <t>%</t>
        </is>
      </c>
      <c r="P2027" t="n">
        <v>0</v>
      </c>
      <c r="Q2027" t="n">
        <v>0</v>
      </c>
      <c r="R2027" t="inlineStr">
        <is>
          <t>405-2023-06-30</t>
        </is>
      </c>
    </row>
    <row r="2028">
      <c r="A2028" t="n">
        <v>405</v>
      </c>
      <c r="B2028" t="inlineStr">
        <is>
          <t>Avance de reingenieria y arquitectura de software LEI</t>
        </is>
      </c>
      <c r="C2028" t="inlineStr">
        <is>
          <t>LEI</t>
        </is>
      </c>
      <c r="D2028" t="inlineStr">
        <is>
          <t>Semestral</t>
        </is>
      </c>
      <c r="E2028" t="inlineStr">
        <is>
          <t>Positivo</t>
        </is>
      </c>
      <c r="F2028" s="111" t="n">
        <v>45291</v>
      </c>
      <c r="G2028" t="n">
        <v>2023</v>
      </c>
      <c r="H2028" t="inlineStr">
        <is>
          <t>Diciembre</t>
        </is>
      </c>
      <c r="I2028" t="inlineStr">
        <is>
          <t>2023-2</t>
        </is>
      </c>
      <c r="J2028" t="n">
        <v>50</v>
      </c>
      <c r="K2028" t="n">
        <v>62</v>
      </c>
      <c r="L2028" s="39">
        <f>IFERROR(IF(OR(J2028=0,K2028=""),"",IF(E2028="Positivo",MIN(MAX(K2028/J2028,0),1.3),MIN(MAX(J2028/K2028,0),1.3))),"") </f>
        <v/>
      </c>
      <c r="M2028" s="39">
        <f>IFERROR(IF(OR(J2028=0,K2028=""),"",IF(E2028="Positivo",MAX(K2028/J2028,0),MAX(J2028/K2028,0))),"") </f>
        <v/>
      </c>
      <c r="N2028" t="inlineStr">
        <is>
          <t>%</t>
        </is>
      </c>
      <c r="O2028" t="inlineStr">
        <is>
          <t>%</t>
        </is>
      </c>
      <c r="P2028" t="n">
        <v>0</v>
      </c>
      <c r="Q2028" t="n">
        <v>0</v>
      </c>
      <c r="R2028" t="inlineStr">
        <is>
          <t>405-2023-12-31</t>
        </is>
      </c>
    </row>
    <row r="2029">
      <c r="A2029" t="n">
        <v>405</v>
      </c>
      <c r="B2029" t="inlineStr">
        <is>
          <t>Proyecto de reingenieria y arquitectura de software LEI</t>
        </is>
      </c>
      <c r="C2029" t="inlineStr">
        <is>
          <t>LEI</t>
        </is>
      </c>
      <c r="D2029" t="inlineStr">
        <is>
          <t>Semestral</t>
        </is>
      </c>
      <c r="E2029" t="inlineStr">
        <is>
          <t>Positivo</t>
        </is>
      </c>
      <c r="F2029" s="111" t="n">
        <v>45473</v>
      </c>
      <c r="G2029" t="n">
        <v>2024</v>
      </c>
      <c r="H2029" t="inlineStr">
        <is>
          <t>Junio</t>
        </is>
      </c>
      <c r="I2029" t="inlineStr">
        <is>
          <t>2024-1</t>
        </is>
      </c>
      <c r="J2029" t="n">
        <v>100</v>
      </c>
      <c r="K2029" t="n">
        <v>92</v>
      </c>
      <c r="L2029" s="39">
        <f>IFERROR(IF(OR(J2029=0,K2029=""),"",IF(E2029="Positivo",MIN(MAX(K2029/J2029,0),1.3),MIN(MAX(J2029/K2029,0),1.3))),"") </f>
        <v/>
      </c>
      <c r="M2029" s="39">
        <f>IFERROR(IF(OR(J2029=0,K2029=""),"",IF(E2029="Positivo",MAX(K2029/J2029,0),MAX(J2029/K2029,0))),"") </f>
        <v/>
      </c>
      <c r="N2029" t="inlineStr">
        <is>
          <t>%</t>
        </is>
      </c>
      <c r="O2029" t="inlineStr">
        <is>
          <t>%</t>
        </is>
      </c>
      <c r="P2029" t="n">
        <v>0</v>
      </c>
      <c r="Q2029" t="n">
        <v>0</v>
      </c>
      <c r="R2029" t="inlineStr">
        <is>
          <t>405-2024-06-30</t>
        </is>
      </c>
    </row>
    <row r="2030">
      <c r="A2030" t="n">
        <v>405</v>
      </c>
      <c r="B2030" t="inlineStr">
        <is>
          <t>Proyecto de reingenieria y arquitectura de software LEI</t>
        </is>
      </c>
      <c r="C2030" t="inlineStr">
        <is>
          <t>LEI</t>
        </is>
      </c>
      <c r="D2030" t="inlineStr">
        <is>
          <t>Semestral</t>
        </is>
      </c>
      <c r="E2030" t="inlineStr">
        <is>
          <t>Positivo</t>
        </is>
      </c>
      <c r="F2030" s="111" t="n">
        <v>45657</v>
      </c>
      <c r="G2030" t="n">
        <v>2024</v>
      </c>
      <c r="H2030" t="inlineStr">
        <is>
          <t>Diciembre</t>
        </is>
      </c>
      <c r="I2030" t="inlineStr">
        <is>
          <t>2024-2</t>
        </is>
      </c>
      <c r="J2030" t="n">
        <v>100</v>
      </c>
      <c r="K2030" t="n">
        <v>98</v>
      </c>
      <c r="L2030" s="39">
        <f>IFERROR(IF(OR(J2030=0,K2030=""),"",IF(E2030="Positivo",MIN(MAX(K2030/J2030,0),1.3),MIN(MAX(J2030/K2030,0),1.3))),"") </f>
        <v/>
      </c>
      <c r="M2030" s="39">
        <f>IFERROR(IF(OR(J2030=0,K2030=""),"",IF(E2030="Positivo",MAX(K2030/J2030,0),MAX(J2030/K2030,0))),"") </f>
        <v/>
      </c>
      <c r="N2030" t="inlineStr">
        <is>
          <t>%</t>
        </is>
      </c>
      <c r="O2030" t="inlineStr">
        <is>
          <t>%</t>
        </is>
      </c>
      <c r="P2030" t="n">
        <v>0</v>
      </c>
      <c r="Q2030" t="n">
        <v>0</v>
      </c>
      <c r="R2030" t="inlineStr">
        <is>
          <t>405-2024-12-31</t>
        </is>
      </c>
    </row>
    <row r="2031">
      <c r="A2031" t="n">
        <v>406</v>
      </c>
      <c r="B2031" t="inlineStr">
        <is>
          <t>Programas con condiciones iniciales aprobadas por facultad</t>
        </is>
      </c>
      <c r="C2031" t="inlineStr">
        <is>
          <t>Creación, modificación y cierre de programas académicos</t>
        </is>
      </c>
      <c r="D2031" t="inlineStr">
        <is>
          <t>Semestral</t>
        </is>
      </c>
      <c r="E2031" t="inlineStr">
        <is>
          <t>Positivo</t>
        </is>
      </c>
      <c r="F2031" s="111" t="n">
        <v>45291</v>
      </c>
      <c r="G2031" t="n">
        <v>2023</v>
      </c>
      <c r="H2031" t="inlineStr">
        <is>
          <t>Diciembre</t>
        </is>
      </c>
      <c r="I2031" t="inlineStr">
        <is>
          <t>2023-2</t>
        </is>
      </c>
      <c r="J2031" t="n">
        <v>5</v>
      </c>
      <c r="K2031" t="n">
        <v>5</v>
      </c>
      <c r="L2031" s="39">
        <f>IFERROR(IF(OR(J2031=0,K2031=""),"",IF(E2031="Positivo",MIN(MAX(K2031/J2031,0),1.3),MIN(MAX(J2031/K2031,0),1.3))),"") </f>
        <v/>
      </c>
      <c r="M2031" s="39">
        <f>IFERROR(IF(OR(J2031=0,K2031=""),"",IF(E2031="Positivo",MAX(K2031/J2031,0),MAX(J2031/K2031,0))),"") </f>
        <v/>
      </c>
      <c r="N2031" t="inlineStr">
        <is>
          <t>%</t>
        </is>
      </c>
      <c r="O2031" t="inlineStr">
        <is>
          <t>%</t>
        </is>
      </c>
      <c r="P2031" t="n">
        <v>0</v>
      </c>
      <c r="Q2031" t="n">
        <v>0</v>
      </c>
      <c r="R2031" t="inlineStr">
        <is>
          <t>406-2023-12-31</t>
        </is>
      </c>
    </row>
    <row r="2032">
      <c r="A2032" t="n">
        <v>406</v>
      </c>
      <c r="B2032" t="inlineStr">
        <is>
          <t>Programas con condiciones iniciales aprobadas por facultad</t>
        </is>
      </c>
      <c r="C2032" t="inlineStr">
        <is>
          <t>Creación, modificación y cierre de programas académicos</t>
        </is>
      </c>
      <c r="D2032" t="inlineStr">
        <is>
          <t>Semestral</t>
        </is>
      </c>
      <c r="E2032" t="inlineStr">
        <is>
          <t>Positivo</t>
        </is>
      </c>
      <c r="F2032" s="111" t="n">
        <v>45473</v>
      </c>
      <c r="G2032" t="n">
        <v>2024</v>
      </c>
      <c r="H2032" t="inlineStr">
        <is>
          <t>Junio</t>
        </is>
      </c>
      <c r="I2032" t="inlineStr">
        <is>
          <t>2024-1</t>
        </is>
      </c>
      <c r="J2032" t="n">
        <v>0</v>
      </c>
      <c r="K2032" t="n">
        <v>3</v>
      </c>
      <c r="L2032" s="39">
        <f>IFERROR(IF(OR(J2032=0,K2032=""),"",IF(E2032="Positivo",MIN(MAX(K2032/J2032,0),1.3),MIN(MAX(J2032/K2032,0),1.3))),"") </f>
        <v/>
      </c>
      <c r="M2032" s="39">
        <f>IFERROR(IF(OR(J2032=0,K2032=""),"",IF(E2032="Positivo",MAX(K2032/J2032,0),MAX(J2032/K2032,0))),"") </f>
        <v/>
      </c>
      <c r="N2032" t="inlineStr">
        <is>
          <t>ENT</t>
        </is>
      </c>
      <c r="O2032" t="inlineStr">
        <is>
          <t>ENT</t>
        </is>
      </c>
      <c r="P2032" t="n">
        <v>0</v>
      </c>
      <c r="Q2032" t="n">
        <v>0</v>
      </c>
      <c r="R2032" t="inlineStr">
        <is>
          <t>406-2024-06-30</t>
        </is>
      </c>
    </row>
    <row r="2033">
      <c r="A2033" t="n">
        <v>407</v>
      </c>
      <c r="B2033" t="inlineStr">
        <is>
          <t>Programas 1ra fase de condiciones iniciales radicadas por facultad</t>
        </is>
      </c>
      <c r="C2033" t="inlineStr">
        <is>
          <t>Creación, modificación y cierre de programas académicos</t>
        </is>
      </c>
      <c r="D2033" t="inlineStr">
        <is>
          <t>Semestral</t>
        </is>
      </c>
      <c r="E2033" t="inlineStr">
        <is>
          <t>Positivo</t>
        </is>
      </c>
      <c r="F2033" s="111" t="n">
        <v>45291</v>
      </c>
      <c r="G2033" t="n">
        <v>2023</v>
      </c>
      <c r="H2033" t="inlineStr">
        <is>
          <t>Diciembre</t>
        </is>
      </c>
      <c r="I2033" t="inlineStr">
        <is>
          <t>2023-2</t>
        </is>
      </c>
      <c r="J2033" t="n">
        <v>3</v>
      </c>
      <c r="K2033" t="n">
        <v>3</v>
      </c>
      <c r="L2033" s="39">
        <f>IFERROR(IF(OR(J2033=0,K2033=""),"",IF(E2033="Positivo",MIN(MAX(K2033/J2033,0),1.3),MIN(MAX(J2033/K2033,0),1.3))),"") </f>
        <v/>
      </c>
      <c r="M2033" s="39">
        <f>IFERROR(IF(OR(J2033=0,K2033=""),"",IF(E2033="Positivo",MAX(K2033/J2033,0),MAX(J2033/K2033,0))),"") </f>
        <v/>
      </c>
      <c r="N2033" t="inlineStr">
        <is>
          <t>ENT</t>
        </is>
      </c>
      <c r="O2033" t="inlineStr">
        <is>
          <t>ENT</t>
        </is>
      </c>
      <c r="P2033" t="n">
        <v>0</v>
      </c>
      <c r="Q2033" t="n">
        <v>0</v>
      </c>
      <c r="R2033" t="inlineStr">
        <is>
          <t>407-2023-12-31</t>
        </is>
      </c>
    </row>
    <row r="2034">
      <c r="A2034" t="n">
        <v>408</v>
      </c>
      <c r="B2034" t="inlineStr">
        <is>
          <t>Programas nuevos radicados por facultad</t>
        </is>
      </c>
      <c r="C2034" t="inlineStr">
        <is>
          <t>Creación, modificación y cierre de programas académicos</t>
        </is>
      </c>
      <c r="D2034" t="inlineStr">
        <is>
          <t>Trimestral</t>
        </is>
      </c>
      <c r="E2034" t="inlineStr">
        <is>
          <t>Positivo</t>
        </is>
      </c>
      <c r="F2034" s="111" t="n">
        <v>45107</v>
      </c>
      <c r="G2034" t="n">
        <v>2023</v>
      </c>
      <c r="H2034" t="inlineStr">
        <is>
          <t>Junio</t>
        </is>
      </c>
      <c r="I2034" t="inlineStr">
        <is>
          <t>2023-1</t>
        </is>
      </c>
      <c r="J2034" t="n">
        <v>100</v>
      </c>
      <c r="L2034" s="39" t="n"/>
      <c r="M2034" s="39" t="n"/>
      <c r="N2034" t="inlineStr">
        <is>
          <t>ENT</t>
        </is>
      </c>
      <c r="O2034" t="inlineStr">
        <is>
          <t>No Aplica</t>
        </is>
      </c>
      <c r="P2034" t="n">
        <v>0</v>
      </c>
      <c r="Q2034" t="n">
        <v>0</v>
      </c>
      <c r="R2034" t="inlineStr">
        <is>
          <t>408-2023-06-30</t>
        </is>
      </c>
      <c r="S2034" t="inlineStr">
        <is>
          <t>No Aplica</t>
        </is>
      </c>
    </row>
    <row r="2035">
      <c r="A2035" t="n">
        <v>408</v>
      </c>
      <c r="B2035" t="inlineStr">
        <is>
          <t>Programas nuevos radicados por facultad</t>
        </is>
      </c>
      <c r="C2035" t="inlineStr">
        <is>
          <t>Creación, modificación y cierre de programas académicos</t>
        </is>
      </c>
      <c r="D2035" t="inlineStr">
        <is>
          <t>Semestral</t>
        </is>
      </c>
      <c r="E2035" t="inlineStr">
        <is>
          <t>Positivo</t>
        </is>
      </c>
      <c r="F2035" s="111" t="n">
        <v>45291</v>
      </c>
      <c r="G2035" t="n">
        <v>2023</v>
      </c>
      <c r="H2035" t="inlineStr">
        <is>
          <t>Diciembre</t>
        </is>
      </c>
      <c r="I2035" t="inlineStr">
        <is>
          <t>2023-2</t>
        </is>
      </c>
      <c r="J2035" t="n">
        <v>100</v>
      </c>
      <c r="K2035" t="n">
        <v>100</v>
      </c>
      <c r="L2035" s="39">
        <f>IFERROR(IF(OR(J2035=0,K2035=""),"",IF(E2035="Positivo",MIN(MAX(K2035/J2035,0),1.3),MIN(MAX(J2035/K2035,0),1.3))),"") </f>
        <v/>
      </c>
      <c r="M2035" s="39">
        <f>IFERROR(IF(OR(J2035=0,K2035=""),"",IF(E2035="Positivo",MAX(K2035/J2035,0),MAX(J2035/K2035,0))),"") </f>
        <v/>
      </c>
      <c r="N2035" t="inlineStr">
        <is>
          <t>ENT</t>
        </is>
      </c>
      <c r="O2035" t="inlineStr">
        <is>
          <t>ENT</t>
        </is>
      </c>
      <c r="P2035" t="n">
        <v>0</v>
      </c>
      <c r="Q2035" t="n">
        <v>0</v>
      </c>
      <c r="R2035" t="inlineStr">
        <is>
          <t>408-2023-12-31</t>
        </is>
      </c>
    </row>
    <row r="2036">
      <c r="A2036" t="n">
        <v>408</v>
      </c>
      <c r="B2036" t="inlineStr">
        <is>
          <t>Programas nuevos radicados por facultad</t>
        </is>
      </c>
      <c r="C2036" t="inlineStr">
        <is>
          <t>Creación, modificación y cierre de programas académicos</t>
        </is>
      </c>
      <c r="D2036" t="inlineStr">
        <is>
          <t>Trimestral</t>
        </is>
      </c>
      <c r="E2036" t="inlineStr">
        <is>
          <t>Positivo</t>
        </is>
      </c>
      <c r="F2036" s="111" t="n">
        <v>45473</v>
      </c>
      <c r="G2036" t="n">
        <v>2024</v>
      </c>
      <c r="H2036" t="inlineStr">
        <is>
          <t>Junio</t>
        </is>
      </c>
      <c r="I2036" t="inlineStr">
        <is>
          <t>2024-1</t>
        </is>
      </c>
      <c r="J2036" t="n">
        <v>100</v>
      </c>
      <c r="L2036" s="39" t="n"/>
      <c r="M2036" s="39" t="n"/>
      <c r="N2036" t="inlineStr">
        <is>
          <t>ENT</t>
        </is>
      </c>
      <c r="O2036" t="inlineStr">
        <is>
          <t>No Aplica</t>
        </is>
      </c>
      <c r="P2036" t="n">
        <v>0</v>
      </c>
      <c r="Q2036" t="n">
        <v>0</v>
      </c>
      <c r="R2036" t="inlineStr">
        <is>
          <t>408-2024-06-30</t>
        </is>
      </c>
      <c r="S2036" t="inlineStr">
        <is>
          <t>No Aplica</t>
        </is>
      </c>
    </row>
    <row r="2037">
      <c r="A2037" t="n">
        <v>408</v>
      </c>
      <c r="B2037" t="inlineStr">
        <is>
          <t>Programas nuevos radicados por facultad</t>
        </is>
      </c>
      <c r="C2037" t="inlineStr">
        <is>
          <t>Creación, modificación y cierre de programas académicos</t>
        </is>
      </c>
      <c r="D2037" t="inlineStr">
        <is>
          <t>Semestral</t>
        </is>
      </c>
      <c r="E2037" t="inlineStr">
        <is>
          <t>Positivo</t>
        </is>
      </c>
      <c r="F2037" s="111" t="n">
        <v>45657</v>
      </c>
      <c r="G2037" t="n">
        <v>2024</v>
      </c>
      <c r="H2037" t="inlineStr">
        <is>
          <t>Diciembre</t>
        </is>
      </c>
      <c r="I2037" t="inlineStr">
        <is>
          <t>2024-2</t>
        </is>
      </c>
      <c r="J2037" t="n">
        <v>100</v>
      </c>
      <c r="K2037" t="n">
        <v>100</v>
      </c>
      <c r="L2037" s="39">
        <f>IFERROR(IF(OR(J2037=0,K2037=""),"",IF(E2037="Positivo",MIN(MAX(K2037/J2037,0),1.3),MIN(MAX(J2037/K2037,0),1.3))),"") </f>
        <v/>
      </c>
      <c r="M2037" s="39">
        <f>IFERROR(IF(OR(J2037=0,K2037=""),"",IF(E2037="Positivo",MAX(K2037/J2037,0),MAX(J2037/K2037,0))),"") </f>
        <v/>
      </c>
      <c r="N2037" t="inlineStr">
        <is>
          <t>ENT</t>
        </is>
      </c>
      <c r="O2037" t="inlineStr">
        <is>
          <t>ENT</t>
        </is>
      </c>
      <c r="P2037" t="n">
        <v>0</v>
      </c>
      <c r="Q2037" t="n">
        <v>0</v>
      </c>
      <c r="R2037" t="inlineStr">
        <is>
          <t>408-2024-12-31</t>
        </is>
      </c>
    </row>
    <row r="2038">
      <c r="A2038" t="n">
        <v>408</v>
      </c>
      <c r="B2038" t="inlineStr">
        <is>
          <t>Programas nuevos radicados por facultad</t>
        </is>
      </c>
      <c r="C2038" t="inlineStr">
        <is>
          <t>Creación, modificación y cierre de programas académicos</t>
        </is>
      </c>
      <c r="D2038" t="inlineStr">
        <is>
          <t>Trimestral</t>
        </is>
      </c>
      <c r="E2038" t="inlineStr">
        <is>
          <t>Positivo</t>
        </is>
      </c>
      <c r="F2038" s="111" t="n">
        <v>45838</v>
      </c>
      <c r="G2038" t="n">
        <v>2025</v>
      </c>
      <c r="H2038" t="inlineStr">
        <is>
          <t>Junio</t>
        </is>
      </c>
      <c r="I2038" t="inlineStr">
        <is>
          <t>2025-1</t>
        </is>
      </c>
      <c r="J2038" t="n">
        <v>100</v>
      </c>
      <c r="K2038" t="n">
        <v>100</v>
      </c>
      <c r="L2038" s="39">
        <f>IFERROR(IF(OR(J2038=0,K2038=""),"",IF(E2038="Positivo",MIN(MAX(K2038/J2038,0),1.3),MIN(MAX(J2038/K2038,0),1.3))),"") </f>
        <v/>
      </c>
      <c r="M2038" s="39">
        <f>IFERROR(IF(OR(J2038=0,K2038=""),"",IF(E2038="Positivo",MAX(K2038/J2038,0),MAX(J2038/K2038,0))),"") </f>
        <v/>
      </c>
      <c r="N2038" t="inlineStr">
        <is>
          <t>ENT</t>
        </is>
      </c>
      <c r="O2038" t="inlineStr">
        <is>
          <t>ENT</t>
        </is>
      </c>
      <c r="P2038" t="n">
        <v>0</v>
      </c>
      <c r="Q2038" t="n">
        <v>0</v>
      </c>
      <c r="R2038" t="inlineStr">
        <is>
          <t>408-2025-06-30</t>
        </is>
      </c>
    </row>
    <row r="2039">
      <c r="A2039" t="n">
        <v>408</v>
      </c>
      <c r="B2039" t="inlineStr">
        <is>
          <t>Programas nuevos radicados por facultad</t>
        </is>
      </c>
      <c r="C2039" t="inlineStr">
        <is>
          <t>Creación, modificación y cierre de programas académicos</t>
        </is>
      </c>
      <c r="D2039" t="inlineStr">
        <is>
          <t>Trimestral</t>
        </is>
      </c>
      <c r="E2039" t="inlineStr">
        <is>
          <t>Positivo</t>
        </is>
      </c>
      <c r="F2039" s="111" t="n">
        <v>46022</v>
      </c>
      <c r="G2039" t="n">
        <v>2025</v>
      </c>
      <c r="H2039" t="inlineStr">
        <is>
          <t>Diciembre</t>
        </is>
      </c>
      <c r="I2039" t="inlineStr">
        <is>
          <t>2025-2</t>
        </is>
      </c>
      <c r="J2039" t="n">
        <v>100</v>
      </c>
      <c r="K2039" t="n">
        <v>100</v>
      </c>
      <c r="L2039" s="39">
        <f>IFERROR(IF(OR(J2039=0,K2039=""),"",IF(E2039="Positivo",MIN(MAX(K2039/J2039,0),1.3),MIN(MAX(J2039/K2039,0),1.3))),"") </f>
        <v/>
      </c>
      <c r="M2039" s="39">
        <f>IFERROR(IF(OR(J2039=0,K2039=""),"",IF(E2039="Positivo",MAX(K2039/J2039,0),MAX(J2039/K2039,0))),"") </f>
        <v/>
      </c>
      <c r="N2039" t="inlineStr">
        <is>
          <t>ENT</t>
        </is>
      </c>
      <c r="O2039" t="inlineStr">
        <is>
          <t>ENT</t>
        </is>
      </c>
      <c r="P2039" t="n">
        <v>0</v>
      </c>
      <c r="Q2039" t="n">
        <v>0</v>
      </c>
      <c r="R2039" t="inlineStr">
        <is>
          <t>408-2025-12-31</t>
        </is>
      </c>
    </row>
    <row r="2040">
      <c r="A2040" t="n">
        <v>409</v>
      </c>
      <c r="B2040" t="inlineStr">
        <is>
          <t>Oportunidad en tiempo de envios</t>
        </is>
      </c>
      <c r="C2040" t="inlineStr">
        <is>
          <t>GESTIÓN JURÍDICA Y NORMATIVA</t>
        </is>
      </c>
      <c r="D2040" t="inlineStr">
        <is>
          <t>Semestral</t>
        </is>
      </c>
      <c r="E2040" t="inlineStr">
        <is>
          <t>Positivo</t>
        </is>
      </c>
      <c r="F2040" s="111" t="n">
        <v>45107</v>
      </c>
      <c r="G2040" t="n">
        <v>2023</v>
      </c>
      <c r="H2040" t="inlineStr">
        <is>
          <t>Junio</t>
        </is>
      </c>
      <c r="I2040" t="inlineStr">
        <is>
          <t>2023-1</t>
        </is>
      </c>
      <c r="L2040" s="39" t="n"/>
      <c r="M2040" s="39" t="n"/>
      <c r="N2040" t="inlineStr">
        <is>
          <t>%</t>
        </is>
      </c>
      <c r="O2040" t="inlineStr">
        <is>
          <t>No Aplica</t>
        </is>
      </c>
      <c r="P2040" t="n">
        <v>0</v>
      </c>
      <c r="Q2040" t="n">
        <v>0</v>
      </c>
      <c r="R2040" t="inlineStr">
        <is>
          <t>409-2023-06-30</t>
        </is>
      </c>
      <c r="S2040" t="inlineStr">
        <is>
          <t>No Aplica</t>
        </is>
      </c>
    </row>
    <row r="2041">
      <c r="A2041" t="n">
        <v>409</v>
      </c>
      <c r="B2041" t="inlineStr">
        <is>
          <t>Oportunidad en tiempo de envios</t>
        </is>
      </c>
      <c r="C2041" t="inlineStr">
        <is>
          <t>GESTIÓN JURÍDICA Y NORMATIVA</t>
        </is>
      </c>
      <c r="D2041" t="inlineStr">
        <is>
          <t>Trimestral</t>
        </is>
      </c>
      <c r="E2041" t="inlineStr">
        <is>
          <t>Positivo</t>
        </is>
      </c>
      <c r="F2041" s="111" t="n">
        <v>45199</v>
      </c>
      <c r="G2041" t="n">
        <v>2023</v>
      </c>
      <c r="H2041" t="inlineStr">
        <is>
          <t>Septiembre</t>
        </is>
      </c>
      <c r="I2041" t="inlineStr">
        <is>
          <t>2023-2</t>
        </is>
      </c>
      <c r="J2041" t="n">
        <v>80</v>
      </c>
      <c r="K2041" t="n">
        <v>103.7188545927854</v>
      </c>
      <c r="L2041" s="39">
        <f>IFERROR(IF(OR(J2041=0,K2041=""),"",IF(E2041="Positivo",MIN(MAX(K2041/J2041,0),1.3),MIN(MAX(J2041/K2041,0),1.3))),"") </f>
        <v/>
      </c>
      <c r="M2041" s="39">
        <f>IFERROR(IF(OR(J2041=0,K2041=""),"",IF(E2041="Positivo",MAX(K2041/J2041,0),MAX(J2041/K2041,0))),"") </f>
        <v/>
      </c>
      <c r="N2041" t="inlineStr">
        <is>
          <t>%</t>
        </is>
      </c>
      <c r="O2041" t="inlineStr">
        <is>
          <t>%</t>
        </is>
      </c>
      <c r="P2041" t="n">
        <v>0</v>
      </c>
      <c r="Q2041" t="n">
        <v>0</v>
      </c>
      <c r="R2041" t="inlineStr">
        <is>
          <t>409-2023-09-30</t>
        </is>
      </c>
    </row>
    <row r="2042">
      <c r="A2042" t="n">
        <v>409</v>
      </c>
      <c r="B2042" t="inlineStr">
        <is>
          <t>Oportunidad en tiempo de envios</t>
        </is>
      </c>
      <c r="C2042" t="inlineStr">
        <is>
          <t>GESTIÓN JURÍDICA Y NORMATIVA</t>
        </is>
      </c>
      <c r="D2042" t="inlineStr">
        <is>
          <t>Trimestral</t>
        </is>
      </c>
      <c r="E2042" t="inlineStr">
        <is>
          <t>Positivo</t>
        </is>
      </c>
      <c r="F2042" s="111" t="n">
        <v>45291</v>
      </c>
      <c r="G2042" t="n">
        <v>2023</v>
      </c>
      <c r="H2042" t="inlineStr">
        <is>
          <t>Diciembre</t>
        </is>
      </c>
      <c r="I2042" t="inlineStr">
        <is>
          <t>2023-2</t>
        </is>
      </c>
      <c r="J2042" t="n">
        <v>80</v>
      </c>
      <c r="K2042" t="n">
        <v>100</v>
      </c>
      <c r="L2042" s="39">
        <f>IFERROR(IF(OR(J2042=0,K2042=""),"",IF(E2042="Positivo",MIN(MAX(K2042/J2042,0),1.3),MIN(MAX(J2042/K2042,0),1.3))),"") </f>
        <v/>
      </c>
      <c r="M2042" s="39">
        <f>IFERROR(IF(OR(J2042=0,K2042=""),"",IF(E2042="Positivo",MAX(K2042/J2042,0),MAX(J2042/K2042,0))),"") </f>
        <v/>
      </c>
      <c r="N2042" t="inlineStr">
        <is>
          <t>%</t>
        </is>
      </c>
      <c r="O2042" t="inlineStr">
        <is>
          <t>%</t>
        </is>
      </c>
      <c r="P2042" t="n">
        <v>0</v>
      </c>
      <c r="Q2042" t="n">
        <v>0</v>
      </c>
      <c r="R2042" t="inlineStr">
        <is>
          <t>409-2023-12-31</t>
        </is>
      </c>
    </row>
    <row r="2043">
      <c r="A2043" t="n">
        <v>409</v>
      </c>
      <c r="B2043" t="inlineStr">
        <is>
          <t>Oportunidad en tiempo de envios</t>
        </is>
      </c>
      <c r="C2043" t="inlineStr">
        <is>
          <t>GESTIÓN JURÍDICA Y NORMATIVA</t>
        </is>
      </c>
      <c r="D2043" t="inlineStr">
        <is>
          <t>Trimestral</t>
        </is>
      </c>
      <c r="E2043" t="inlineStr">
        <is>
          <t>Positivo</t>
        </is>
      </c>
      <c r="F2043" s="111" t="n">
        <v>45382</v>
      </c>
      <c r="G2043" t="n">
        <v>2024</v>
      </c>
      <c r="H2043" t="inlineStr">
        <is>
          <t>Marzo</t>
        </is>
      </c>
      <c r="I2043" t="inlineStr">
        <is>
          <t>2024-1</t>
        </is>
      </c>
      <c r="J2043" t="n">
        <v>95</v>
      </c>
      <c r="K2043" t="n">
        <v>98.0225988700565</v>
      </c>
      <c r="L2043" s="39">
        <f>IFERROR(IF(OR(J2043=0,K2043=""),"",IF(E2043="Positivo",MIN(MAX(K2043/J2043,0),1.3),MIN(MAX(J2043/K2043,0),1.3))),"") </f>
        <v/>
      </c>
      <c r="M2043" s="39">
        <f>IFERROR(IF(OR(J2043=0,K2043=""),"",IF(E2043="Positivo",MAX(K2043/J2043,0),MAX(J2043/K2043,0))),"") </f>
        <v/>
      </c>
      <c r="N2043" t="inlineStr">
        <is>
          <t>%</t>
        </is>
      </c>
      <c r="O2043" t="inlineStr">
        <is>
          <t>%</t>
        </is>
      </c>
      <c r="P2043" t="n">
        <v>0</v>
      </c>
      <c r="Q2043" t="n">
        <v>0</v>
      </c>
      <c r="R2043" t="inlineStr">
        <is>
          <t>409-2024-03-31</t>
        </is>
      </c>
    </row>
    <row r="2044">
      <c r="A2044" t="n">
        <v>409</v>
      </c>
      <c r="B2044" t="inlineStr">
        <is>
          <t>Oportunidad en tiempo de envios</t>
        </is>
      </c>
      <c r="C2044" t="inlineStr">
        <is>
          <t>GESTIÓN JURÍDICA Y NORMATIVA</t>
        </is>
      </c>
      <c r="D2044" t="inlineStr">
        <is>
          <t>Trimestral</t>
        </is>
      </c>
      <c r="E2044" t="inlineStr">
        <is>
          <t>Positivo</t>
        </is>
      </c>
      <c r="F2044" s="111" t="n">
        <v>45473</v>
      </c>
      <c r="G2044" t="n">
        <v>2024</v>
      </c>
      <c r="H2044" t="inlineStr">
        <is>
          <t>Junio</t>
        </is>
      </c>
      <c r="I2044" t="inlineStr">
        <is>
          <t>2024-1</t>
        </is>
      </c>
      <c r="J2044" t="n">
        <v>95</v>
      </c>
      <c r="K2044" t="n">
        <v>98.49624060150376</v>
      </c>
      <c r="L2044" s="39">
        <f>IFERROR(IF(OR(J2044=0,K2044=""),"",IF(E2044="Positivo",MIN(MAX(K2044/J2044,0),1.3),MIN(MAX(J2044/K2044,0),1.3))),"") </f>
        <v/>
      </c>
      <c r="M2044" s="39">
        <f>IFERROR(IF(OR(J2044=0,K2044=""),"",IF(E2044="Positivo",MAX(K2044/J2044,0),MAX(J2044/K2044,0))),"") </f>
        <v/>
      </c>
      <c r="N2044" t="inlineStr">
        <is>
          <t>%</t>
        </is>
      </c>
      <c r="O2044" t="inlineStr">
        <is>
          <t>%</t>
        </is>
      </c>
      <c r="P2044" t="n">
        <v>0</v>
      </c>
      <c r="Q2044" t="n">
        <v>0</v>
      </c>
      <c r="R2044" t="inlineStr">
        <is>
          <t>409-2024-06-30</t>
        </is>
      </c>
    </row>
    <row r="2045">
      <c r="A2045" t="n">
        <v>409</v>
      </c>
      <c r="B2045" t="inlineStr">
        <is>
          <t>Oportunidad en tiempo de envios</t>
        </is>
      </c>
      <c r="C2045" t="inlineStr">
        <is>
          <t>GESTIÓN JURÍDICA Y NORMATIVA</t>
        </is>
      </c>
      <c r="D2045" t="inlineStr">
        <is>
          <t>Trimestral</t>
        </is>
      </c>
      <c r="E2045" t="inlineStr">
        <is>
          <t>Positivo</t>
        </is>
      </c>
      <c r="F2045" s="111" t="n">
        <v>45565</v>
      </c>
      <c r="G2045" t="n">
        <v>2024</v>
      </c>
      <c r="H2045" t="inlineStr">
        <is>
          <t>Septiembre</t>
        </is>
      </c>
      <c r="I2045" t="inlineStr">
        <is>
          <t>2024-2</t>
        </is>
      </c>
      <c r="J2045" t="n">
        <v>95</v>
      </c>
      <c r="K2045" t="n">
        <v>97.12230215827336</v>
      </c>
      <c r="L2045" s="39">
        <f>IFERROR(IF(OR(J2045=0,K2045=""),"",IF(E2045="Positivo",MIN(MAX(K2045/J2045,0),1.3),MIN(MAX(J2045/K2045,0),1.3))),"") </f>
        <v/>
      </c>
      <c r="M2045" s="39">
        <f>IFERROR(IF(OR(J2045=0,K2045=""),"",IF(E2045="Positivo",MAX(K2045/J2045,0),MAX(J2045/K2045,0))),"") </f>
        <v/>
      </c>
      <c r="N2045" t="inlineStr">
        <is>
          <t>%</t>
        </is>
      </c>
      <c r="O2045" t="inlineStr">
        <is>
          <t>%</t>
        </is>
      </c>
      <c r="P2045" t="n">
        <v>0</v>
      </c>
      <c r="Q2045" t="n">
        <v>0</v>
      </c>
      <c r="R2045" t="inlineStr">
        <is>
          <t>409-2024-09-30</t>
        </is>
      </c>
    </row>
    <row r="2046">
      <c r="A2046" t="n">
        <v>409</v>
      </c>
      <c r="B2046" t="inlineStr">
        <is>
          <t>Oportunidad en tiempo de envios</t>
        </is>
      </c>
      <c r="C2046" t="inlineStr">
        <is>
          <t>GESTIÓN JURÍDICA Y NORMATIVA</t>
        </is>
      </c>
      <c r="D2046" t="inlineStr">
        <is>
          <t>Trimestral</t>
        </is>
      </c>
      <c r="E2046" t="inlineStr">
        <is>
          <t>Positivo</t>
        </is>
      </c>
      <c r="F2046" s="111" t="n">
        <v>45657</v>
      </c>
      <c r="G2046" t="n">
        <v>2024</v>
      </c>
      <c r="H2046" t="inlineStr">
        <is>
          <t>Diciembre</t>
        </is>
      </c>
      <c r="I2046" t="inlineStr">
        <is>
          <t>2024-2</t>
        </is>
      </c>
      <c r="J2046" t="n">
        <v>95</v>
      </c>
      <c r="K2046" t="n">
        <v>96.45732689210948</v>
      </c>
      <c r="L2046" s="39">
        <f>IFERROR(IF(OR(J2046=0,K2046=""),"",IF(E2046="Positivo",MIN(MAX(K2046/J2046,0),1.3),MIN(MAX(J2046/K2046,0),1.3))),"") </f>
        <v/>
      </c>
      <c r="M2046" s="39">
        <f>IFERROR(IF(OR(J2046=0,K2046=""),"",IF(E2046="Positivo",MAX(K2046/J2046,0),MAX(J2046/K2046,0))),"") </f>
        <v/>
      </c>
      <c r="N2046" t="inlineStr">
        <is>
          <t>%</t>
        </is>
      </c>
      <c r="O2046" t="inlineStr">
        <is>
          <t>%</t>
        </is>
      </c>
      <c r="P2046" t="n">
        <v>0</v>
      </c>
      <c r="Q2046" t="n">
        <v>0</v>
      </c>
      <c r="R2046" t="inlineStr">
        <is>
          <t>409-2024-12-31</t>
        </is>
      </c>
    </row>
    <row r="2047">
      <c r="A2047" t="n">
        <v>409</v>
      </c>
      <c r="B2047" t="inlineStr">
        <is>
          <t>Oportunidad en tiempo de envios</t>
        </is>
      </c>
      <c r="C2047" t="inlineStr">
        <is>
          <t>GESTIÓN JURÍDICA Y NORMATIVA</t>
        </is>
      </c>
      <c r="D2047" t="inlineStr">
        <is>
          <t>Semestral</t>
        </is>
      </c>
      <c r="E2047" t="inlineStr">
        <is>
          <t>Positivo</t>
        </is>
      </c>
      <c r="F2047" s="111" t="n">
        <v>45747</v>
      </c>
      <c r="G2047" t="n">
        <v>2025</v>
      </c>
      <c r="H2047" t="inlineStr">
        <is>
          <t>Marzo</t>
        </is>
      </c>
      <c r="I2047" t="inlineStr">
        <is>
          <t>2025-1</t>
        </is>
      </c>
      <c r="J2047" t="n">
        <v>95</v>
      </c>
      <c r="K2047" t="n">
        <v>100</v>
      </c>
      <c r="L2047" s="39">
        <f>IFERROR(IF(OR(J2047=0,K2047=""),"",IF(E2047="Positivo",MIN(MAX(K2047/J2047,0),1.3),MIN(MAX(J2047/K2047,0),1.3))),"") </f>
        <v/>
      </c>
      <c r="M2047" s="39">
        <f>IFERROR(IF(OR(J2047=0,K2047=""),"",IF(E2047="Positivo",MAX(K2047/J2047,0),MAX(J2047/K2047,0))),"") </f>
        <v/>
      </c>
      <c r="N2047" t="inlineStr">
        <is>
          <t>%</t>
        </is>
      </c>
      <c r="O2047" t="inlineStr">
        <is>
          <t>%</t>
        </is>
      </c>
      <c r="P2047" t="n">
        <v>0</v>
      </c>
      <c r="Q2047" t="n">
        <v>0</v>
      </c>
      <c r="R2047" t="inlineStr">
        <is>
          <t>409-2025-03-31</t>
        </is>
      </c>
    </row>
    <row r="2048">
      <c r="A2048" t="n">
        <v>409</v>
      </c>
      <c r="B2048" t="inlineStr">
        <is>
          <t>Oportunidad en tiempo de envios</t>
        </is>
      </c>
      <c r="C2048" t="inlineStr">
        <is>
          <t>GESTIÓN JURÍDICA Y NORMATIVA</t>
        </is>
      </c>
      <c r="D2048" t="inlineStr">
        <is>
          <t>Semestral</t>
        </is>
      </c>
      <c r="E2048" t="inlineStr">
        <is>
          <t>Positivo</t>
        </is>
      </c>
      <c r="F2048" s="111" t="n">
        <v>45838</v>
      </c>
      <c r="G2048" t="n">
        <v>2025</v>
      </c>
      <c r="H2048" t="inlineStr">
        <is>
          <t>Junio</t>
        </is>
      </c>
      <c r="I2048" t="inlineStr">
        <is>
          <t>2025-1</t>
        </is>
      </c>
      <c r="J2048" t="n">
        <v>95</v>
      </c>
      <c r="L2048" s="39" t="n"/>
      <c r="M2048" s="39" t="n"/>
      <c r="N2048" t="inlineStr">
        <is>
          <t>%</t>
        </is>
      </c>
      <c r="O2048" t="inlineStr">
        <is>
          <t>No Aplica</t>
        </is>
      </c>
      <c r="P2048" t="n">
        <v>0</v>
      </c>
      <c r="Q2048" t="n">
        <v>0</v>
      </c>
      <c r="R2048" t="inlineStr">
        <is>
          <t>409-2025-06-30</t>
        </is>
      </c>
      <c r="S2048" t="inlineStr">
        <is>
          <t>No Aplica</t>
        </is>
      </c>
    </row>
    <row r="2049">
      <c r="A2049" t="n">
        <v>410</v>
      </c>
      <c r="B2049" t="inlineStr">
        <is>
          <t>Solicitudes de gestión documental</t>
        </is>
      </c>
      <c r="C2049" t="inlineStr">
        <is>
          <t>GESTIÓN JURÍDICA Y NORMATIVA</t>
        </is>
      </c>
      <c r="D2049" t="inlineStr">
        <is>
          <t>Trimestral</t>
        </is>
      </c>
      <c r="E2049" t="inlineStr">
        <is>
          <t>Positivo</t>
        </is>
      </c>
      <c r="F2049" s="111" t="n">
        <v>45199</v>
      </c>
      <c r="G2049" t="n">
        <v>2023</v>
      </c>
      <c r="H2049" t="inlineStr">
        <is>
          <t>Septiembre</t>
        </is>
      </c>
      <c r="I2049" t="inlineStr">
        <is>
          <t>2023-2</t>
        </is>
      </c>
      <c r="J2049" t="n">
        <v>90</v>
      </c>
      <c r="K2049" t="n">
        <v>90.31</v>
      </c>
      <c r="L2049" s="39">
        <f>IFERROR(IF(OR(J2049=0,K2049=""),"",IF(E2049="Positivo",MIN(MAX(K2049/J2049,0),1.3),MIN(MAX(J2049/K2049,0),1.3))),"") </f>
        <v/>
      </c>
      <c r="M2049" s="39">
        <f>IFERROR(IF(OR(J2049=0,K2049=""),"",IF(E2049="Positivo",MAX(K2049/J2049,0),MAX(J2049/K2049,0))),"") </f>
        <v/>
      </c>
      <c r="N2049" t="inlineStr">
        <is>
          <t>%</t>
        </is>
      </c>
      <c r="O2049" t="inlineStr">
        <is>
          <t>%</t>
        </is>
      </c>
      <c r="P2049" t="n">
        <v>0</v>
      </c>
      <c r="Q2049" t="n">
        <v>0</v>
      </c>
      <c r="R2049" t="inlineStr">
        <is>
          <t>410-2023-09-30</t>
        </is>
      </c>
    </row>
    <row r="2050">
      <c r="A2050" t="n">
        <v>411</v>
      </c>
      <c r="B2050" t="inlineStr">
        <is>
          <t>Cumplimiento Planes De Relacionamiento</t>
        </is>
      </c>
      <c r="C2050" t="inlineStr">
        <is>
          <t>Comunicaciones Externas</t>
        </is>
      </c>
      <c r="D2050" t="inlineStr">
        <is>
          <t>Semestral</t>
        </is>
      </c>
      <c r="E2050" t="inlineStr">
        <is>
          <t>Positivo</t>
        </is>
      </c>
      <c r="F2050" s="111" t="n">
        <v>45291</v>
      </c>
      <c r="G2050" t="n">
        <v>2023</v>
      </c>
      <c r="H2050" t="inlineStr">
        <is>
          <t>Diciembre</t>
        </is>
      </c>
      <c r="I2050" t="inlineStr">
        <is>
          <t>2023-2</t>
        </is>
      </c>
      <c r="J2050" t="n">
        <v>100</v>
      </c>
      <c r="K2050" t="n">
        <v>100</v>
      </c>
      <c r="L2050" s="39">
        <f>IFERROR(IF(OR(J2050=0,K2050=""),"",IF(E2050="Positivo",MIN(MAX(K2050/J2050,0),1.3),MIN(MAX(J2050/K2050,0),1.3))),"") </f>
        <v/>
      </c>
      <c r="M2050" s="39">
        <f>IFERROR(IF(OR(J2050=0,K2050=""),"",IF(E2050="Positivo",MAX(K2050/J2050,0),MAX(J2050/K2050,0))),"") </f>
        <v/>
      </c>
      <c r="N2050" t="inlineStr">
        <is>
          <t>%</t>
        </is>
      </c>
      <c r="O2050" t="inlineStr">
        <is>
          <t>%</t>
        </is>
      </c>
      <c r="P2050" t="n">
        <v>0</v>
      </c>
      <c r="Q2050" t="n">
        <v>0</v>
      </c>
      <c r="R2050" t="inlineStr">
        <is>
          <t>411-2023-12-31</t>
        </is>
      </c>
    </row>
    <row r="2051">
      <c r="A2051" t="n">
        <v>412</v>
      </c>
      <c r="B2051" t="inlineStr">
        <is>
          <t>Participaciones en 2 eventos externos de impacto</t>
        </is>
      </c>
      <c r="C2051" t="inlineStr">
        <is>
          <t>Comunicaciones Externas</t>
        </is>
      </c>
      <c r="D2051" t="inlineStr">
        <is>
          <t>Anual</t>
        </is>
      </c>
      <c r="E2051" t="inlineStr">
        <is>
          <t>Positivo</t>
        </is>
      </c>
      <c r="F2051" s="111" t="n">
        <v>45291</v>
      </c>
      <c r="G2051" t="n">
        <v>2023</v>
      </c>
      <c r="H2051" t="inlineStr">
        <is>
          <t>Diciembre</t>
        </is>
      </c>
      <c r="I2051" t="inlineStr">
        <is>
          <t>2023-2</t>
        </is>
      </c>
      <c r="J2051" t="n">
        <v>100</v>
      </c>
      <c r="K2051" t="n">
        <v>100</v>
      </c>
      <c r="L2051" s="39">
        <f>IFERROR(IF(OR(J2051=0,K2051=""),"",IF(E2051="Positivo",MIN(MAX(K2051/J2051,0),1.3),MIN(MAX(J2051/K2051,0),1.3))),"") </f>
        <v/>
      </c>
      <c r="M2051" s="39">
        <f>IFERROR(IF(OR(J2051=0,K2051=""),"",IF(E2051="Positivo",MAX(K2051/J2051,0),MAX(J2051/K2051,0))),"") </f>
        <v/>
      </c>
      <c r="N2051" t="inlineStr">
        <is>
          <t>%</t>
        </is>
      </c>
      <c r="O2051" t="inlineStr">
        <is>
          <t>%</t>
        </is>
      </c>
      <c r="P2051" t="n">
        <v>0</v>
      </c>
      <c r="Q2051" t="n">
        <v>0</v>
      </c>
      <c r="R2051" t="inlineStr">
        <is>
          <t>412-2023-12-31</t>
        </is>
      </c>
    </row>
    <row r="2052">
      <c r="A2052" t="n">
        <v>412</v>
      </c>
      <c r="B2052" t="inlineStr">
        <is>
          <t>Participación en eventos externos de impacto</t>
        </is>
      </c>
      <c r="C2052" t="inlineStr">
        <is>
          <t>Comunicaciones Externas</t>
        </is>
      </c>
      <c r="D2052" t="inlineStr">
        <is>
          <t>Anual</t>
        </is>
      </c>
      <c r="E2052" t="inlineStr">
        <is>
          <t>Positivo</t>
        </is>
      </c>
      <c r="F2052" s="111" t="n">
        <v>45657</v>
      </c>
      <c r="G2052" t="n">
        <v>2024</v>
      </c>
      <c r="H2052" t="inlineStr">
        <is>
          <t>Diciembre</t>
        </is>
      </c>
      <c r="I2052" t="inlineStr">
        <is>
          <t>2024-2</t>
        </is>
      </c>
      <c r="J2052" t="n">
        <v>100</v>
      </c>
      <c r="K2052" t="n">
        <v>100</v>
      </c>
      <c r="L2052" s="39">
        <f>IFERROR(IF(OR(J2052=0,K2052=""),"",IF(E2052="Positivo",MIN(MAX(K2052/J2052,0),1.3),MIN(MAX(J2052/K2052,0),1.3))),"") </f>
        <v/>
      </c>
      <c r="M2052" s="39">
        <f>IFERROR(IF(OR(J2052=0,K2052=""),"",IF(E2052="Positivo",MAX(K2052/J2052,0),MAX(J2052/K2052,0))),"") </f>
        <v/>
      </c>
      <c r="N2052" t="inlineStr">
        <is>
          <t>%</t>
        </is>
      </c>
      <c r="O2052" t="inlineStr">
        <is>
          <t>%</t>
        </is>
      </c>
      <c r="P2052" t="n">
        <v>0</v>
      </c>
      <c r="Q2052" t="n">
        <v>0</v>
      </c>
      <c r="R2052" t="inlineStr">
        <is>
          <t>412-2024-12-31</t>
        </is>
      </c>
    </row>
    <row r="2053">
      <c r="A2053" t="n">
        <v>413</v>
      </c>
      <c r="B2053" t="inlineStr">
        <is>
          <t>Participaciones del Poli como sede o patrocinador</t>
        </is>
      </c>
      <c r="C2053" t="inlineStr">
        <is>
          <t>Comunicaciones Externas</t>
        </is>
      </c>
      <c r="D2053" t="inlineStr">
        <is>
          <t>Anual</t>
        </is>
      </c>
      <c r="E2053" t="inlineStr">
        <is>
          <t>Positivo</t>
        </is>
      </c>
      <c r="F2053" s="111" t="n">
        <v>45291</v>
      </c>
      <c r="G2053" t="n">
        <v>2023</v>
      </c>
      <c r="H2053" t="inlineStr">
        <is>
          <t>Diciembre</t>
        </is>
      </c>
      <c r="I2053" t="inlineStr">
        <is>
          <t>2023-2</t>
        </is>
      </c>
      <c r="K2053" t="n">
        <v>100</v>
      </c>
      <c r="L2053" s="39" t="n"/>
      <c r="M2053" s="39" t="n"/>
      <c r="N2053" t="inlineStr">
        <is>
          <t>Linea Base</t>
        </is>
      </c>
      <c r="O2053" t="inlineStr">
        <is>
          <t>%</t>
        </is>
      </c>
      <c r="P2053" t="n">
        <v>0</v>
      </c>
      <c r="Q2053" t="n">
        <v>0</v>
      </c>
      <c r="R2053" t="inlineStr">
        <is>
          <t>413-2023-12-31</t>
        </is>
      </c>
    </row>
    <row r="2054">
      <c r="A2054" t="n">
        <v>413</v>
      </c>
      <c r="B2054" t="inlineStr">
        <is>
          <t>Participación del Poli como sede o patrocinador</t>
        </is>
      </c>
      <c r="C2054" t="inlineStr">
        <is>
          <t>Comunicaciones Externas</t>
        </is>
      </c>
      <c r="D2054" t="inlineStr">
        <is>
          <t>Anual</t>
        </is>
      </c>
      <c r="E2054" t="inlineStr">
        <is>
          <t>Positivo</t>
        </is>
      </c>
      <c r="F2054" s="111" t="n">
        <v>45657</v>
      </c>
      <c r="G2054" t="n">
        <v>2024</v>
      </c>
      <c r="H2054" t="inlineStr">
        <is>
          <t>Diciembre</t>
        </is>
      </c>
      <c r="I2054" t="inlineStr">
        <is>
          <t>2024-2</t>
        </is>
      </c>
      <c r="J2054" t="n">
        <v>100</v>
      </c>
      <c r="K2054" t="n">
        <v>100</v>
      </c>
      <c r="L2054" s="39">
        <f>IFERROR(IF(OR(J2054=0,K2054=""),"",IF(E2054="Positivo",MIN(MAX(K2054/J2054,0),1.3),MIN(MAX(J2054/K2054,0),1.3))),"") </f>
        <v/>
      </c>
      <c r="M2054" s="39">
        <f>IFERROR(IF(OR(J2054=0,K2054=""),"",IF(E2054="Positivo",MAX(K2054/J2054,0),MAX(J2054/K2054,0))),"") </f>
        <v/>
      </c>
      <c r="P2054" t="n">
        <v>0</v>
      </c>
      <c r="Q2054" t="n">
        <v>0</v>
      </c>
      <c r="R2054" t="inlineStr">
        <is>
          <t>413-2024-12-31</t>
        </is>
      </c>
    </row>
    <row r="2055">
      <c r="A2055" t="n">
        <v>413</v>
      </c>
      <c r="B2055" t="inlineStr">
        <is>
          <t>Participación del Poli como sede o patrocinador</t>
        </is>
      </c>
      <c r="C2055" t="inlineStr">
        <is>
          <t>Comunicaciones Externas</t>
        </is>
      </c>
      <c r="D2055" t="inlineStr">
        <is>
          <t>Anual</t>
        </is>
      </c>
      <c r="E2055" t="inlineStr">
        <is>
          <t>Positivo</t>
        </is>
      </c>
      <c r="F2055" s="111" t="n">
        <v>46022</v>
      </c>
      <c r="G2055" t="n">
        <v>2025</v>
      </c>
      <c r="H2055" t="inlineStr">
        <is>
          <t>Diciembre</t>
        </is>
      </c>
      <c r="I2055" t="inlineStr">
        <is>
          <t>2025-2</t>
        </is>
      </c>
      <c r="J2055" t="n">
        <v>100</v>
      </c>
      <c r="K2055" t="n">
        <v>100</v>
      </c>
      <c r="L2055" s="39">
        <f>IFERROR(IF(OR(J2055=0,K2055=""),"",IF(E2055="Positivo",MIN(MAX(K2055/J2055,0),1.3),MIN(MAX(J2055/K2055,0),1.3))),"") </f>
        <v/>
      </c>
      <c r="M2055" s="39">
        <f>IFERROR(IF(OR(J2055=0,K2055=""),"",IF(E2055="Positivo",MAX(K2055/J2055,0),MAX(J2055/K2055,0))),"") </f>
        <v/>
      </c>
      <c r="N2055" t="inlineStr">
        <is>
          <t>Linea Base</t>
        </is>
      </c>
      <c r="O2055" t="inlineStr">
        <is>
          <t>ENT</t>
        </is>
      </c>
      <c r="P2055" t="n">
        <v>0</v>
      </c>
      <c r="Q2055" t="n">
        <v>0</v>
      </c>
      <c r="R2055" t="inlineStr">
        <is>
          <t>413-2025-12-31</t>
        </is>
      </c>
    </row>
    <row r="2056">
      <c r="A2056" t="n">
        <v>414</v>
      </c>
      <c r="B2056" t="inlineStr">
        <is>
          <t>Cumplimiento Plan Anual Rectoría</t>
        </is>
      </c>
      <c r="C2056" t="inlineStr">
        <is>
          <t>Planeación Estratégica</t>
        </is>
      </c>
      <c r="D2056" t="inlineStr">
        <is>
          <t>Semestral</t>
        </is>
      </c>
      <c r="E2056" t="inlineStr">
        <is>
          <t>Positivo</t>
        </is>
      </c>
      <c r="F2056" s="111" t="n">
        <v>45016</v>
      </c>
      <c r="G2056" t="n">
        <v>2023</v>
      </c>
      <c r="H2056" t="inlineStr">
        <is>
          <t>Marzo</t>
        </is>
      </c>
      <c r="I2056" t="inlineStr">
        <is>
          <t>2023-1</t>
        </is>
      </c>
      <c r="J2056" t="n">
        <v>100</v>
      </c>
      <c r="K2056" t="n">
        <v>0</v>
      </c>
      <c r="L2056" s="39">
        <f>IFERROR(IF(OR(J2056=0,K2056=""),"",IF(E2056="Positivo",MIN(MAX(K2056/J2056,0),1.0),MIN(MAX(J2056/K2056,0),1.0))),"") </f>
        <v/>
      </c>
      <c r="M2056" s="39">
        <f>IFERROR(IF(OR(J2056=0,K2056=""),"",IF(E2056="Positivo",MAX(K2056/J2056,0),MAX(J2056/K2056,0))),"") </f>
        <v/>
      </c>
      <c r="N2056" t="inlineStr">
        <is>
          <t>%</t>
        </is>
      </c>
      <c r="O2056" t="inlineStr">
        <is>
          <t>%</t>
        </is>
      </c>
      <c r="P2056" t="n">
        <v>0</v>
      </c>
      <c r="Q2056" t="n">
        <v>0</v>
      </c>
      <c r="R2056" t="inlineStr">
        <is>
          <t>414-2023-03-31</t>
        </is>
      </c>
    </row>
    <row r="2057">
      <c r="A2057" t="n">
        <v>414</v>
      </c>
      <c r="B2057" t="inlineStr">
        <is>
          <t>Cumplimiento Plan Anual Rectoría</t>
        </is>
      </c>
      <c r="D2057" t="inlineStr">
        <is>
          <t>Trimestral</t>
        </is>
      </c>
      <c r="E2057" t="inlineStr">
        <is>
          <t>Positivo</t>
        </is>
      </c>
      <c r="F2057" s="111" t="n">
        <v>45107</v>
      </c>
      <c r="G2057" t="n">
        <v>2023</v>
      </c>
      <c r="H2057" t="inlineStr">
        <is>
          <t>Junio</t>
        </is>
      </c>
      <c r="I2057" t="inlineStr">
        <is>
          <t>2023-1</t>
        </is>
      </c>
      <c r="J2057" t="n">
        <v>100</v>
      </c>
      <c r="K2057" t="n">
        <v>110.01</v>
      </c>
      <c r="L2057" s="39">
        <f>IFERROR(IF(OR(J2057=0,K2057=""),"",IF(E2057="Positivo",MIN(MAX(K2057/J2057,0),1.0),MIN(MAX(J2057/K2057,0),1.0))),"") </f>
        <v/>
      </c>
      <c r="M2057" s="39">
        <f>IFERROR(IF(OR(J2057=0,K2057=""),"",IF(E2057="Positivo",MAX(K2057/J2057,0),MAX(J2057/K2057,0))),"") </f>
        <v/>
      </c>
      <c r="P2057" t="n">
        <v>0</v>
      </c>
      <c r="Q2057" t="n">
        <v>0</v>
      </c>
      <c r="R2057" t="inlineStr">
        <is>
          <t>414-2023-06-30</t>
        </is>
      </c>
    </row>
    <row r="2058">
      <c r="A2058" t="n">
        <v>414</v>
      </c>
      <c r="B2058" t="inlineStr">
        <is>
          <t>Cumplimiento Plan Anual Rectoría</t>
        </is>
      </c>
      <c r="D2058" t="inlineStr">
        <is>
          <t>Trimestral</t>
        </is>
      </c>
      <c r="E2058" t="inlineStr">
        <is>
          <t>Positivo</t>
        </is>
      </c>
      <c r="F2058" s="111" t="n">
        <v>45199</v>
      </c>
      <c r="G2058" t="n">
        <v>2023</v>
      </c>
      <c r="H2058" t="inlineStr">
        <is>
          <t>Septiembre</t>
        </is>
      </c>
      <c r="I2058" t="inlineStr">
        <is>
          <t>2023-2</t>
        </is>
      </c>
      <c r="J2058" t="n">
        <v>100</v>
      </c>
      <c r="K2058" t="n">
        <v>93.54000000000001</v>
      </c>
      <c r="L2058" s="39">
        <f>IFERROR(IF(OR(J2058=0,K2058=""),"",IF(E2058="Positivo",MIN(MAX(K2058/J2058,0),1.0),MIN(MAX(J2058/K2058,0),1.0))),"") </f>
        <v/>
      </c>
      <c r="M2058" s="39">
        <f>IFERROR(IF(OR(J2058=0,K2058=""),"",IF(E2058="Positivo",MAX(K2058/J2058,0),MAX(J2058/K2058,0))),"") </f>
        <v/>
      </c>
      <c r="P2058" t="n">
        <v>0</v>
      </c>
      <c r="Q2058" t="n">
        <v>0</v>
      </c>
      <c r="R2058" t="inlineStr">
        <is>
          <t>414-2023-09-30</t>
        </is>
      </c>
    </row>
    <row r="2059">
      <c r="A2059" t="n">
        <v>414</v>
      </c>
      <c r="B2059" t="inlineStr">
        <is>
          <t>Cumplimiento Plan Anual Rectoría</t>
        </is>
      </c>
      <c r="D2059" t="inlineStr">
        <is>
          <t>Trimestral</t>
        </is>
      </c>
      <c r="E2059" t="inlineStr">
        <is>
          <t>Positivo</t>
        </is>
      </c>
      <c r="F2059" s="111" t="n">
        <v>45291</v>
      </c>
      <c r="G2059" t="n">
        <v>2023</v>
      </c>
      <c r="H2059" t="inlineStr">
        <is>
          <t>Diciembre</t>
        </is>
      </c>
      <c r="I2059" t="inlineStr">
        <is>
          <t>2023-2</t>
        </is>
      </c>
      <c r="J2059" t="n">
        <v>100</v>
      </c>
      <c r="K2059" t="n">
        <v>96.28</v>
      </c>
      <c r="L2059" s="39">
        <f>IFERROR(IF(OR(J2059=0,K2059=""),"",IF(E2059="Positivo",MIN(MAX(K2059/J2059,0),1.0),MIN(MAX(J2059/K2059,0),1.0))),"") </f>
        <v/>
      </c>
      <c r="M2059" s="39">
        <f>IFERROR(IF(OR(J2059=0,K2059=""),"",IF(E2059="Positivo",MAX(K2059/J2059,0),MAX(J2059/K2059,0))),"") </f>
        <v/>
      </c>
      <c r="P2059" t="n">
        <v>0</v>
      </c>
      <c r="Q2059" t="n">
        <v>0</v>
      </c>
      <c r="R2059" t="inlineStr">
        <is>
          <t>414-2023-12-31</t>
        </is>
      </c>
    </row>
    <row r="2060">
      <c r="A2060" t="n">
        <v>414</v>
      </c>
      <c r="B2060" t="inlineStr">
        <is>
          <t>Cumplimiento Plan Anual Rectoría</t>
        </is>
      </c>
      <c r="C2060" t="inlineStr">
        <is>
          <t>Planeación Estratégica</t>
        </is>
      </c>
      <c r="D2060" t="inlineStr">
        <is>
          <t>Trimestral</t>
        </is>
      </c>
      <c r="E2060" t="inlineStr">
        <is>
          <t>Positivo</t>
        </is>
      </c>
      <c r="F2060" s="111" t="n">
        <v>45382</v>
      </c>
      <c r="G2060" t="n">
        <v>2024</v>
      </c>
      <c r="H2060" t="inlineStr">
        <is>
          <t>Marzo</t>
        </is>
      </c>
      <c r="I2060" t="inlineStr">
        <is>
          <t>2024-1</t>
        </is>
      </c>
      <c r="J2060" t="n">
        <v>100</v>
      </c>
      <c r="K2060" t="n">
        <v>99.3</v>
      </c>
      <c r="L2060" s="39">
        <f>IFERROR(IF(OR(J2060=0,K2060=""),"",IF(E2060="Positivo",MIN(MAX(K2060/J2060,0),1.0),MIN(MAX(J2060/K2060,0),1.0))),"") </f>
        <v/>
      </c>
      <c r="M2060" s="39">
        <f>IFERROR(IF(OR(J2060=0,K2060=""),"",IF(E2060="Positivo",MAX(K2060/J2060,0),MAX(J2060/K2060,0))),"") </f>
        <v/>
      </c>
      <c r="P2060" t="n">
        <v>0</v>
      </c>
      <c r="Q2060" t="n">
        <v>0</v>
      </c>
      <c r="R2060" t="inlineStr">
        <is>
          <t>414-2024-03-31</t>
        </is>
      </c>
    </row>
    <row r="2061">
      <c r="A2061" t="n">
        <v>414</v>
      </c>
      <c r="B2061" t="inlineStr">
        <is>
          <t>Cumplimiento Plan Anual Rectoría</t>
        </is>
      </c>
      <c r="C2061" t="inlineStr">
        <is>
          <t>Planeación Estratégica</t>
        </is>
      </c>
      <c r="D2061" t="inlineStr">
        <is>
          <t>Trimestral</t>
        </is>
      </c>
      <c r="E2061" t="inlineStr">
        <is>
          <t>Positivo</t>
        </is>
      </c>
      <c r="F2061" s="111" t="n">
        <v>45473</v>
      </c>
      <c r="G2061" t="n">
        <v>2024</v>
      </c>
      <c r="H2061" t="inlineStr">
        <is>
          <t>Junio</t>
        </is>
      </c>
      <c r="I2061" t="inlineStr">
        <is>
          <t>2024-1</t>
        </is>
      </c>
      <c r="J2061" t="n">
        <v>100</v>
      </c>
      <c r="K2061" t="n">
        <v>100.06</v>
      </c>
      <c r="L2061" s="39">
        <f>IFERROR(IF(OR(J2061=0,K2061=""),"",IF(E2061="Positivo",MIN(MAX(K2061/J2061,0),1.0),MIN(MAX(J2061/K2061,0),1.0))),"") </f>
        <v/>
      </c>
      <c r="M2061" s="39">
        <f>IFERROR(IF(OR(J2061=0,K2061=""),"",IF(E2061="Positivo",MAX(K2061/J2061,0),MAX(J2061/K2061,0))),"") </f>
        <v/>
      </c>
      <c r="P2061" t="n">
        <v>0</v>
      </c>
      <c r="Q2061" t="n">
        <v>0</v>
      </c>
      <c r="R2061" t="inlineStr">
        <is>
          <t>414-2024-06-30</t>
        </is>
      </c>
    </row>
    <row r="2062">
      <c r="A2062" t="n">
        <v>414</v>
      </c>
      <c r="B2062" t="inlineStr">
        <is>
          <t>Cumplimiento Plan Anual Rectoría</t>
        </is>
      </c>
      <c r="C2062" t="inlineStr">
        <is>
          <t>Planeación Estratégica</t>
        </is>
      </c>
      <c r="D2062" t="inlineStr">
        <is>
          <t>Trimestral</t>
        </is>
      </c>
      <c r="E2062" t="inlineStr">
        <is>
          <t>Positivo</t>
        </is>
      </c>
      <c r="F2062" s="111" t="n">
        <v>45565</v>
      </c>
      <c r="G2062" t="n">
        <v>2024</v>
      </c>
      <c r="H2062" t="inlineStr">
        <is>
          <t>Septiembre</t>
        </is>
      </c>
      <c r="I2062" t="inlineStr">
        <is>
          <t>2024-2</t>
        </is>
      </c>
      <c r="J2062" t="n">
        <v>100</v>
      </c>
      <c r="K2062" t="n">
        <v>99.38</v>
      </c>
      <c r="L2062" s="39">
        <f>IFERROR(IF(OR(J2062=0,K2062=""),"",IF(E2062="Positivo",MIN(MAX(K2062/J2062,0),1.0),MIN(MAX(J2062/K2062,0),1.0))),"") </f>
        <v/>
      </c>
      <c r="M2062" s="39">
        <f>IFERROR(IF(OR(J2062=0,K2062=""),"",IF(E2062="Positivo",MAX(K2062/J2062,0),MAX(J2062/K2062,0))),"") </f>
        <v/>
      </c>
      <c r="P2062" t="n">
        <v>0</v>
      </c>
      <c r="Q2062" t="n">
        <v>0</v>
      </c>
      <c r="R2062" t="inlineStr">
        <is>
          <t>414-2024-09-30</t>
        </is>
      </c>
    </row>
    <row r="2063">
      <c r="A2063" t="n">
        <v>414</v>
      </c>
      <c r="B2063" t="inlineStr">
        <is>
          <t>Cumplimiento Plan Anual Rectoría</t>
        </is>
      </c>
      <c r="C2063" t="inlineStr">
        <is>
          <t>Planeación Estratégica</t>
        </is>
      </c>
      <c r="D2063" t="inlineStr">
        <is>
          <t>Trimestral</t>
        </is>
      </c>
      <c r="E2063" t="inlineStr">
        <is>
          <t>Positivo</t>
        </is>
      </c>
      <c r="F2063" s="111" t="n">
        <v>45657</v>
      </c>
      <c r="G2063" t="n">
        <v>2024</v>
      </c>
      <c r="H2063" t="inlineStr">
        <is>
          <t>Diciembre</t>
        </is>
      </c>
      <c r="I2063" t="inlineStr">
        <is>
          <t>2024-2</t>
        </is>
      </c>
      <c r="J2063" t="n">
        <v>100</v>
      </c>
      <c r="K2063" t="n">
        <v>98.78</v>
      </c>
      <c r="L2063" s="39">
        <f>IFERROR(IF(OR(J2063=0,K2063=""),"",IF(E2063="Positivo",MIN(MAX(K2063/J2063,0),1.0),MIN(MAX(J2063/K2063,0),1.0))),"") </f>
        <v/>
      </c>
      <c r="M2063" s="39">
        <f>IFERROR(IF(OR(J2063=0,K2063=""),"",IF(E2063="Positivo",MAX(K2063/J2063,0),MAX(J2063/K2063,0))),"") </f>
        <v/>
      </c>
      <c r="P2063" t="n">
        <v>0</v>
      </c>
      <c r="Q2063" t="n">
        <v>0</v>
      </c>
      <c r="R2063" t="inlineStr">
        <is>
          <t>414-2024-12-31</t>
        </is>
      </c>
    </row>
    <row r="2064">
      <c r="A2064" t="n">
        <v>414</v>
      </c>
      <c r="B2064" t="inlineStr">
        <is>
          <t>Cumplimiento Plan Anual Rectoría</t>
        </is>
      </c>
      <c r="C2064" t="inlineStr">
        <is>
          <t>Planeación Estratégica</t>
        </is>
      </c>
      <c r="D2064" t="inlineStr">
        <is>
          <t>Semestral</t>
        </is>
      </c>
      <c r="E2064" t="inlineStr">
        <is>
          <t>Positivo</t>
        </is>
      </c>
      <c r="F2064" s="111" t="n">
        <v>45747</v>
      </c>
      <c r="G2064" t="n">
        <v>2025</v>
      </c>
      <c r="H2064" t="inlineStr">
        <is>
          <t>Marzo</t>
        </is>
      </c>
      <c r="I2064" t="inlineStr">
        <is>
          <t>2025-1</t>
        </is>
      </c>
      <c r="J2064" t="n">
        <v>100</v>
      </c>
      <c r="K2064" t="n">
        <v>110.79</v>
      </c>
      <c r="L2064" s="39">
        <f>IFERROR(IF(OR(J2064=0,K2064=""),"",IF(E2064="Positivo",MIN(MAX(K2064/J2064,0),1.0),MIN(MAX(J2064/K2064,0),1.0))),"") </f>
        <v/>
      </c>
      <c r="M2064" s="39">
        <f>IFERROR(IF(OR(J2064=0,K2064=""),"",IF(E2064="Positivo",MAX(K2064/J2064,0),MAX(J2064/K2064,0))),"") </f>
        <v/>
      </c>
      <c r="N2064" t="inlineStr">
        <is>
          <t>%</t>
        </is>
      </c>
      <c r="O2064" t="inlineStr">
        <is>
          <t>%</t>
        </is>
      </c>
      <c r="P2064" t="n">
        <v>0</v>
      </c>
      <c r="Q2064" t="n">
        <v>0</v>
      </c>
      <c r="R2064" t="inlineStr">
        <is>
          <t>414-2025-03-31</t>
        </is>
      </c>
    </row>
    <row r="2065">
      <c r="A2065" t="n">
        <v>414</v>
      </c>
      <c r="B2065" t="inlineStr">
        <is>
          <t>Cumplimiento Plan Anual Rectoría</t>
        </is>
      </c>
      <c r="C2065" t="inlineStr">
        <is>
          <t>Planeación Estratégica</t>
        </is>
      </c>
      <c r="D2065" t="inlineStr">
        <is>
          <t>Semestral</t>
        </is>
      </c>
      <c r="E2065" t="inlineStr">
        <is>
          <t>Positivo</t>
        </is>
      </c>
      <c r="F2065" s="111" t="n">
        <v>45838</v>
      </c>
      <c r="G2065" t="n">
        <v>2025</v>
      </c>
      <c r="H2065" t="inlineStr">
        <is>
          <t>Junio</t>
        </is>
      </c>
      <c r="I2065" t="inlineStr">
        <is>
          <t>2025-1</t>
        </is>
      </c>
      <c r="J2065" t="n">
        <v>100</v>
      </c>
      <c r="K2065" t="n">
        <v>108.55</v>
      </c>
      <c r="L2065" s="39">
        <f>IFERROR(IF(OR(J2065=0,K2065=""),"",IF(E2065="Positivo",MIN(MAX(K2065/J2065,0),1.0),MIN(MAX(J2065/K2065,0),1.0))),"") </f>
        <v/>
      </c>
      <c r="M2065" s="39">
        <f>IFERROR(IF(OR(J2065=0,K2065=""),"",IF(E2065="Positivo",MAX(K2065/J2065,0),MAX(J2065/K2065,0))),"") </f>
        <v/>
      </c>
      <c r="N2065" t="inlineStr">
        <is>
          <t>%</t>
        </is>
      </c>
      <c r="O2065" t="inlineStr">
        <is>
          <t>%</t>
        </is>
      </c>
      <c r="P2065" t="n">
        <v>0</v>
      </c>
      <c r="Q2065" t="n">
        <v>0</v>
      </c>
      <c r="R2065" t="inlineStr">
        <is>
          <t>414-2025-06-30</t>
        </is>
      </c>
    </row>
    <row r="2066">
      <c r="A2066" t="n">
        <v>414</v>
      </c>
      <c r="B2066" t="inlineStr">
        <is>
          <t>Cumplimiento Plan Anual Rectoría</t>
        </is>
      </c>
      <c r="C2066" t="inlineStr">
        <is>
          <t>Planeación Estratégica</t>
        </is>
      </c>
      <c r="D2066" t="inlineStr">
        <is>
          <t>Semestral</t>
        </is>
      </c>
      <c r="E2066" t="inlineStr">
        <is>
          <t>Positivo</t>
        </is>
      </c>
      <c r="F2066" s="111" t="n">
        <v>45930</v>
      </c>
      <c r="G2066" t="n">
        <v>2025</v>
      </c>
      <c r="H2066" t="inlineStr">
        <is>
          <t>Septiembre</t>
        </is>
      </c>
      <c r="I2066" t="inlineStr">
        <is>
          <t>2025-2</t>
        </is>
      </c>
      <c r="J2066" t="n">
        <v>100</v>
      </c>
      <c r="K2066" t="n">
        <v>93.59999999999999</v>
      </c>
      <c r="L2066" s="39">
        <f>IFERROR(IF(OR(J2066=0,K2066=""),"",IF(E2066="Positivo",MIN(MAX(K2066/J2066,0),1.0),MIN(MAX(J2066/K2066,0),1.0))),"") </f>
        <v/>
      </c>
      <c r="M2066" s="39">
        <f>IFERROR(IF(OR(J2066=0,K2066=""),"",IF(E2066="Positivo",MAX(K2066/J2066,0),MAX(J2066/K2066,0))),"") </f>
        <v/>
      </c>
      <c r="N2066" t="inlineStr">
        <is>
          <t>%</t>
        </is>
      </c>
      <c r="O2066" t="inlineStr">
        <is>
          <t>%</t>
        </is>
      </c>
      <c r="P2066" t="n">
        <v>0</v>
      </c>
      <c r="Q2066" t="n">
        <v>0</v>
      </c>
      <c r="R2066" t="inlineStr">
        <is>
          <t>414-2025-09-30</t>
        </is>
      </c>
    </row>
    <row r="2067">
      <c r="A2067" t="n">
        <v>414</v>
      </c>
      <c r="B2067" t="inlineStr">
        <is>
          <t>Cumplimiento Plan Anual Rectoría</t>
        </is>
      </c>
      <c r="C2067" t="inlineStr">
        <is>
          <t>Planeación Estratégica</t>
        </is>
      </c>
      <c r="D2067" t="inlineStr">
        <is>
          <t>Semestral</t>
        </is>
      </c>
      <c r="E2067" t="inlineStr">
        <is>
          <t>Positivo</t>
        </is>
      </c>
      <c r="F2067" s="111" t="n">
        <v>46022</v>
      </c>
      <c r="G2067" t="n">
        <v>2025</v>
      </c>
      <c r="H2067" t="inlineStr">
        <is>
          <t>Diciembre</t>
        </is>
      </c>
      <c r="I2067" t="inlineStr">
        <is>
          <t>2025-2</t>
        </is>
      </c>
      <c r="J2067" t="n">
        <v>100</v>
      </c>
      <c r="K2067" t="n">
        <v>98.87</v>
      </c>
      <c r="L2067" s="39">
        <f>IFERROR(IF(OR(J2067=0,K2067=""),"",IF(E2067="Positivo",MIN(MAX(K2067/J2067,0),1.0),MIN(MAX(J2067/K2067,0),1.0))),"") </f>
        <v/>
      </c>
      <c r="M2067" s="39">
        <f>IFERROR(IF(OR(J2067=0,K2067=""),"",IF(E2067="Positivo",MAX(K2067/J2067,0),MAX(J2067/K2067,0))),"") </f>
        <v/>
      </c>
      <c r="N2067" t="inlineStr">
        <is>
          <t>%</t>
        </is>
      </c>
      <c r="O2067" t="inlineStr">
        <is>
          <t>%</t>
        </is>
      </c>
      <c r="P2067" t="n">
        <v>0</v>
      </c>
      <c r="Q2067" t="n">
        <v>0</v>
      </c>
      <c r="R2067" t="inlineStr">
        <is>
          <t>414-2025-12-31</t>
        </is>
      </c>
    </row>
    <row r="2068">
      <c r="A2068" t="n">
        <v>415</v>
      </c>
      <c r="B2068" t="inlineStr">
        <is>
          <t>Cumplimiento Plan Anual Vicerrectoría del estudiante</t>
        </is>
      </c>
      <c r="C2068" t="inlineStr">
        <is>
          <t>Planeación Estratégica</t>
        </is>
      </c>
      <c r="D2068" t="inlineStr">
        <is>
          <t>Semestral</t>
        </is>
      </c>
      <c r="E2068" t="inlineStr">
        <is>
          <t>Positivo</t>
        </is>
      </c>
      <c r="F2068" s="111" t="n">
        <v>45016</v>
      </c>
      <c r="G2068" t="n">
        <v>2023</v>
      </c>
      <c r="H2068" t="inlineStr">
        <is>
          <t>Marzo</t>
        </is>
      </c>
      <c r="I2068" t="inlineStr">
        <is>
          <t>2023-1</t>
        </is>
      </c>
      <c r="J2068" t="n">
        <v>100</v>
      </c>
      <c r="K2068" t="n">
        <v>0</v>
      </c>
      <c r="L2068" s="39">
        <f>IFERROR(IF(OR(J2068=0,K2068=""),"",IF(E2068="Positivo",MIN(MAX(K2068/J2068,0),1.0),MIN(MAX(J2068/K2068,0),1.0))),"") </f>
        <v/>
      </c>
      <c r="M2068" s="39">
        <f>IFERROR(IF(OR(J2068=0,K2068=""),"",IF(E2068="Positivo",MAX(K2068/J2068,0),MAX(J2068/K2068,0))),"") </f>
        <v/>
      </c>
      <c r="N2068" t="inlineStr">
        <is>
          <t>%</t>
        </is>
      </c>
      <c r="O2068" t="inlineStr">
        <is>
          <t>%</t>
        </is>
      </c>
      <c r="P2068" t="n">
        <v>0</v>
      </c>
      <c r="Q2068" t="n">
        <v>0</v>
      </c>
      <c r="R2068" t="inlineStr">
        <is>
          <t>415-2023-03-31</t>
        </is>
      </c>
    </row>
    <row r="2069">
      <c r="A2069" t="n">
        <v>415</v>
      </c>
      <c r="B2069" t="inlineStr">
        <is>
          <t>Cumplimiento Plan Anual Vicerrectoría del estudiante</t>
        </is>
      </c>
      <c r="D2069" t="inlineStr">
        <is>
          <t>Trimestral</t>
        </is>
      </c>
      <c r="E2069" t="inlineStr">
        <is>
          <t>Positivo</t>
        </is>
      </c>
      <c r="F2069" s="111" t="n">
        <v>45107</v>
      </c>
      <c r="G2069" t="n">
        <v>2023</v>
      </c>
      <c r="H2069" t="inlineStr">
        <is>
          <t>Junio</t>
        </is>
      </c>
      <c r="I2069" t="inlineStr">
        <is>
          <t>2023-1</t>
        </is>
      </c>
      <c r="J2069" t="n">
        <v>100</v>
      </c>
      <c r="K2069" t="n">
        <v>94.04000000000001</v>
      </c>
      <c r="L2069" s="39">
        <f>IFERROR(IF(OR(J2069=0,K2069=""),"",IF(E2069="Positivo",MIN(MAX(K2069/J2069,0),1.0),MIN(MAX(J2069/K2069,0),1.0))),"") </f>
        <v/>
      </c>
      <c r="M2069" s="39">
        <f>IFERROR(IF(OR(J2069=0,K2069=""),"",IF(E2069="Positivo",MAX(K2069/J2069,0),MAX(J2069/K2069,0))),"") </f>
        <v/>
      </c>
      <c r="P2069" t="n">
        <v>0</v>
      </c>
      <c r="Q2069" t="n">
        <v>0</v>
      </c>
      <c r="R2069" t="inlineStr">
        <is>
          <t>415-2023-06-30</t>
        </is>
      </c>
    </row>
    <row r="2070">
      <c r="A2070" t="n">
        <v>415</v>
      </c>
      <c r="B2070" t="inlineStr">
        <is>
          <t>Cumplimiento Plan Anual Vicerrectoría del estudiante</t>
        </is>
      </c>
      <c r="D2070" t="inlineStr">
        <is>
          <t>Trimestral</t>
        </is>
      </c>
      <c r="E2070" t="inlineStr">
        <is>
          <t>Positivo</t>
        </is>
      </c>
      <c r="F2070" s="111" t="n">
        <v>45199</v>
      </c>
      <c r="G2070" t="n">
        <v>2023</v>
      </c>
      <c r="H2070" t="inlineStr">
        <is>
          <t>Septiembre</t>
        </is>
      </c>
      <c r="I2070" t="inlineStr">
        <is>
          <t>2023-2</t>
        </is>
      </c>
      <c r="J2070" t="n">
        <v>100</v>
      </c>
      <c r="K2070" t="n">
        <v>93.94</v>
      </c>
      <c r="L2070" s="39">
        <f>IFERROR(IF(OR(J2070=0,K2070=""),"",IF(E2070="Positivo",MIN(MAX(K2070/J2070,0),1.0),MIN(MAX(J2070/K2070,0),1.0))),"") </f>
        <v/>
      </c>
      <c r="M2070" s="39">
        <f>IFERROR(IF(OR(J2070=0,K2070=""),"",IF(E2070="Positivo",MAX(K2070/J2070,0),MAX(J2070/K2070,0))),"") </f>
        <v/>
      </c>
      <c r="P2070" t="n">
        <v>0</v>
      </c>
      <c r="Q2070" t="n">
        <v>0</v>
      </c>
      <c r="R2070" t="inlineStr">
        <is>
          <t>415-2023-09-30</t>
        </is>
      </c>
    </row>
    <row r="2071">
      <c r="A2071" t="n">
        <v>415</v>
      </c>
      <c r="B2071" t="inlineStr">
        <is>
          <t>Cumplimiento Plan Anual Vicerrectoría del estudiante</t>
        </is>
      </c>
      <c r="D2071" t="inlineStr">
        <is>
          <t>Trimestral</t>
        </is>
      </c>
      <c r="E2071" t="inlineStr">
        <is>
          <t>Positivo</t>
        </is>
      </c>
      <c r="F2071" s="111" t="n">
        <v>45291</v>
      </c>
      <c r="G2071" t="n">
        <v>2023</v>
      </c>
      <c r="H2071" t="inlineStr">
        <is>
          <t>Diciembre</t>
        </is>
      </c>
      <c r="I2071" t="inlineStr">
        <is>
          <t>2023-2</t>
        </is>
      </c>
      <c r="J2071" t="n">
        <v>100</v>
      </c>
      <c r="K2071" t="n">
        <v>96</v>
      </c>
      <c r="L2071" s="39">
        <f>IFERROR(IF(OR(J2071=0,K2071=""),"",IF(E2071="Positivo",MIN(MAX(K2071/J2071,0),1.0),MIN(MAX(J2071/K2071,0),1.0))),"") </f>
        <v/>
      </c>
      <c r="M2071" s="39">
        <f>IFERROR(IF(OR(J2071=0,K2071=""),"",IF(E2071="Positivo",MAX(K2071/J2071,0),MAX(J2071/K2071,0))),"") </f>
        <v/>
      </c>
      <c r="P2071" t="n">
        <v>0</v>
      </c>
      <c r="Q2071" t="n">
        <v>0</v>
      </c>
      <c r="R2071" t="inlineStr">
        <is>
          <t>415-2023-12-31</t>
        </is>
      </c>
    </row>
    <row r="2072">
      <c r="A2072" t="n">
        <v>415</v>
      </c>
      <c r="B2072" t="inlineStr">
        <is>
          <t>Cumplimiento Plan Anual Vicerrectoría del estudiante</t>
        </is>
      </c>
      <c r="C2072" t="inlineStr">
        <is>
          <t>Planeación Estratégica</t>
        </is>
      </c>
      <c r="D2072" t="inlineStr">
        <is>
          <t>Trimestral</t>
        </is>
      </c>
      <c r="E2072" t="inlineStr">
        <is>
          <t>Positivo</t>
        </is>
      </c>
      <c r="F2072" s="111" t="n">
        <v>45382</v>
      </c>
      <c r="G2072" t="n">
        <v>2024</v>
      </c>
      <c r="H2072" t="inlineStr">
        <is>
          <t>Marzo</t>
        </is>
      </c>
      <c r="I2072" t="inlineStr">
        <is>
          <t>2024-1</t>
        </is>
      </c>
      <c r="J2072" t="n">
        <v>100</v>
      </c>
      <c r="K2072" t="n">
        <v>80.79000000000001</v>
      </c>
      <c r="L2072" s="39">
        <f>IFERROR(IF(OR(J2072=0,K2072=""),"",IF(E2072="Positivo",MIN(MAX(K2072/J2072,0),1.0),MIN(MAX(J2072/K2072,0),1.0))),"") </f>
        <v/>
      </c>
      <c r="M2072" s="39">
        <f>IFERROR(IF(OR(J2072=0,K2072=""),"",IF(E2072="Positivo",MAX(K2072/J2072,0),MAX(J2072/K2072,0))),"") </f>
        <v/>
      </c>
      <c r="P2072" t="n">
        <v>0</v>
      </c>
      <c r="Q2072" t="n">
        <v>0</v>
      </c>
      <c r="R2072" t="inlineStr">
        <is>
          <t>415-2024-03-31</t>
        </is>
      </c>
    </row>
    <row r="2073">
      <c r="A2073" t="n">
        <v>415</v>
      </c>
      <c r="B2073" t="inlineStr">
        <is>
          <t>Cumplimiento Plan Anual Vicerrectoría del estudiante</t>
        </is>
      </c>
      <c r="C2073" t="inlineStr">
        <is>
          <t>Planeación Estratégica</t>
        </is>
      </c>
      <c r="D2073" t="inlineStr">
        <is>
          <t>Trimestral</t>
        </is>
      </c>
      <c r="E2073" t="inlineStr">
        <is>
          <t>Positivo</t>
        </is>
      </c>
      <c r="F2073" s="111" t="n">
        <v>45473</v>
      </c>
      <c r="G2073" t="n">
        <v>2024</v>
      </c>
      <c r="H2073" t="inlineStr">
        <is>
          <t>Junio</t>
        </is>
      </c>
      <c r="I2073" t="inlineStr">
        <is>
          <t>2024-1</t>
        </is>
      </c>
      <c r="J2073" t="n">
        <v>100</v>
      </c>
      <c r="K2073" t="n">
        <v>93.04000000000001</v>
      </c>
      <c r="L2073" s="39">
        <f>IFERROR(IF(OR(J2073=0,K2073=""),"",IF(E2073="Positivo",MIN(MAX(K2073/J2073,0),1.0),MIN(MAX(J2073/K2073,0),1.0))),"") </f>
        <v/>
      </c>
      <c r="M2073" s="39">
        <f>IFERROR(IF(OR(J2073=0,K2073=""),"",IF(E2073="Positivo",MAX(K2073/J2073,0),MAX(J2073/K2073,0))),"") </f>
        <v/>
      </c>
      <c r="P2073" t="n">
        <v>0</v>
      </c>
      <c r="Q2073" t="n">
        <v>0</v>
      </c>
      <c r="R2073" t="inlineStr">
        <is>
          <t>415-2024-06-30</t>
        </is>
      </c>
    </row>
    <row r="2074">
      <c r="A2074" t="n">
        <v>415</v>
      </c>
      <c r="B2074" t="inlineStr">
        <is>
          <t>Cumplimiento Plan Anual Vicerrectoría del estudiante</t>
        </is>
      </c>
      <c r="C2074" t="inlineStr">
        <is>
          <t>Planeación Estratégica</t>
        </is>
      </c>
      <c r="D2074" t="inlineStr">
        <is>
          <t>Trimestral</t>
        </is>
      </c>
      <c r="E2074" t="inlineStr">
        <is>
          <t>Positivo</t>
        </is>
      </c>
      <c r="F2074" s="111" t="n">
        <v>45565</v>
      </c>
      <c r="G2074" t="n">
        <v>2024</v>
      </c>
      <c r="H2074" t="inlineStr">
        <is>
          <t>Septiembre</t>
        </is>
      </c>
      <c r="I2074" t="inlineStr">
        <is>
          <t>2024-2</t>
        </is>
      </c>
      <c r="J2074" t="n">
        <v>100</v>
      </c>
      <c r="K2074" t="n">
        <v>92.45999999999999</v>
      </c>
      <c r="L2074" s="39">
        <f>IFERROR(IF(OR(J2074=0,K2074=""),"",IF(E2074="Positivo",MIN(MAX(K2074/J2074,0),1.0),MIN(MAX(J2074/K2074,0),1.0))),"") </f>
        <v/>
      </c>
      <c r="M2074" s="39">
        <f>IFERROR(IF(OR(J2074=0,K2074=""),"",IF(E2074="Positivo",MAX(K2074/J2074,0),MAX(J2074/K2074,0))),"") </f>
        <v/>
      </c>
      <c r="P2074" t="n">
        <v>0</v>
      </c>
      <c r="Q2074" t="n">
        <v>0</v>
      </c>
      <c r="R2074" t="inlineStr">
        <is>
          <t>415-2024-09-30</t>
        </is>
      </c>
    </row>
    <row r="2075">
      <c r="A2075" t="n">
        <v>415</v>
      </c>
      <c r="B2075" t="inlineStr">
        <is>
          <t>Cumplimiento Plan Anual Vicerrectoría del estudiante</t>
        </is>
      </c>
      <c r="C2075" t="inlineStr">
        <is>
          <t>Planeación Estratégica</t>
        </is>
      </c>
      <c r="D2075" t="inlineStr">
        <is>
          <t>Trimestral</t>
        </is>
      </c>
      <c r="E2075" t="inlineStr">
        <is>
          <t>Positivo</t>
        </is>
      </c>
      <c r="F2075" s="111" t="n">
        <v>45657</v>
      </c>
      <c r="G2075" t="n">
        <v>2024</v>
      </c>
      <c r="H2075" t="inlineStr">
        <is>
          <t>Diciembre</t>
        </is>
      </c>
      <c r="I2075" t="inlineStr">
        <is>
          <t>2024-2</t>
        </is>
      </c>
      <c r="J2075" t="n">
        <v>100</v>
      </c>
      <c r="K2075" t="n">
        <v>98.36</v>
      </c>
      <c r="L2075" s="39">
        <f>IFERROR(IF(OR(J2075=0,K2075=""),"",IF(E2075="Positivo",MIN(MAX(K2075/J2075,0),1.0),MIN(MAX(J2075/K2075,0),1.0))),"") </f>
        <v/>
      </c>
      <c r="M2075" s="39">
        <f>IFERROR(IF(OR(J2075=0,K2075=""),"",IF(E2075="Positivo",MAX(K2075/J2075,0),MAX(J2075/K2075,0))),"") </f>
        <v/>
      </c>
      <c r="P2075" t="n">
        <v>0</v>
      </c>
      <c r="Q2075" t="n">
        <v>0</v>
      </c>
      <c r="R2075" t="inlineStr">
        <is>
          <t>415-2024-12-31</t>
        </is>
      </c>
    </row>
    <row r="2076">
      <c r="A2076" t="n">
        <v>415</v>
      </c>
      <c r="B2076" t="inlineStr">
        <is>
          <t>Cumplimiento Plan Anual Vicerrectoría del estudiante</t>
        </is>
      </c>
      <c r="C2076" t="inlineStr">
        <is>
          <t>Planeación Estratégica</t>
        </is>
      </c>
      <c r="D2076" t="inlineStr">
        <is>
          <t>Semestral</t>
        </is>
      </c>
      <c r="E2076" t="inlineStr">
        <is>
          <t>Positivo</t>
        </is>
      </c>
      <c r="F2076" s="111" t="n">
        <v>45747</v>
      </c>
      <c r="G2076" t="n">
        <v>2025</v>
      </c>
      <c r="H2076" t="inlineStr">
        <is>
          <t>Marzo</t>
        </is>
      </c>
      <c r="I2076" t="inlineStr">
        <is>
          <t>2025-1</t>
        </is>
      </c>
      <c r="J2076" t="n">
        <v>100</v>
      </c>
      <c r="K2076" t="n">
        <v>104.76</v>
      </c>
      <c r="L2076" s="39">
        <f>IFERROR(IF(OR(J2076=0,K2076=""),"",IF(E2076="Positivo",MIN(MAX(K2076/J2076,0),1.0),MIN(MAX(J2076/K2076,0),1.0))),"") </f>
        <v/>
      </c>
      <c r="M2076" s="39">
        <f>IFERROR(IF(OR(J2076=0,K2076=""),"",IF(E2076="Positivo",MAX(K2076/J2076,0),MAX(J2076/K2076,0))),"") </f>
        <v/>
      </c>
      <c r="N2076" t="inlineStr">
        <is>
          <t>%</t>
        </is>
      </c>
      <c r="O2076" t="inlineStr">
        <is>
          <t>%</t>
        </is>
      </c>
      <c r="P2076" t="n">
        <v>0</v>
      </c>
      <c r="Q2076" t="n">
        <v>0</v>
      </c>
      <c r="R2076" t="inlineStr">
        <is>
          <t>415-2025-03-31</t>
        </is>
      </c>
    </row>
    <row r="2077">
      <c r="A2077" t="n">
        <v>415</v>
      </c>
      <c r="B2077" t="inlineStr">
        <is>
          <t>Cumplimiento Plan Anual Vicerrectoría del estudiante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11" t="n">
        <v>45838</v>
      </c>
      <c r="G2077" t="n">
        <v>2025</v>
      </c>
      <c r="H2077" t="inlineStr">
        <is>
          <t>Junio</t>
        </is>
      </c>
      <c r="I2077" t="inlineStr">
        <is>
          <t>2025-1</t>
        </is>
      </c>
      <c r="J2077" t="n">
        <v>100</v>
      </c>
      <c r="K2077" t="n">
        <v>96.44</v>
      </c>
      <c r="L2077" s="39">
        <f>IFERROR(IF(OR(J2077=0,K2077=""),"",IF(E2077="Positivo",MIN(MAX(K2077/J2077,0),1.0),MIN(MAX(J2077/K2077,0),1.0))),"") </f>
        <v/>
      </c>
      <c r="M2077" s="39">
        <f>IFERROR(IF(OR(J2077=0,K2077=""),"",IF(E2077="Positivo",MAX(K2077/J2077,0),MAX(J2077/K2077,0))),"") </f>
        <v/>
      </c>
      <c r="N2077" t="inlineStr">
        <is>
          <t>%</t>
        </is>
      </c>
      <c r="O2077" t="inlineStr">
        <is>
          <t>%</t>
        </is>
      </c>
      <c r="P2077" t="n">
        <v>0</v>
      </c>
      <c r="Q2077" t="n">
        <v>0</v>
      </c>
      <c r="R2077" t="inlineStr">
        <is>
          <t>415-2025-06-30</t>
        </is>
      </c>
    </row>
    <row r="2078">
      <c r="A2078" t="n">
        <v>415</v>
      </c>
      <c r="B2078" t="inlineStr">
        <is>
          <t>Cumplimiento Plan Anual Vicerrectoría del estudiante</t>
        </is>
      </c>
      <c r="C2078" t="inlineStr">
        <is>
          <t>Planeación Estratégica</t>
        </is>
      </c>
      <c r="D2078" t="inlineStr">
        <is>
          <t>Semestral</t>
        </is>
      </c>
      <c r="E2078" t="inlineStr">
        <is>
          <t>Positivo</t>
        </is>
      </c>
      <c r="F2078" s="111" t="n">
        <v>45930</v>
      </c>
      <c r="G2078" t="n">
        <v>2025</v>
      </c>
      <c r="H2078" t="inlineStr">
        <is>
          <t>Septiembre</t>
        </is>
      </c>
      <c r="I2078" t="inlineStr">
        <is>
          <t>2025-2</t>
        </is>
      </c>
      <c r="J2078" t="n">
        <v>100</v>
      </c>
      <c r="K2078" t="n">
        <v>95.56</v>
      </c>
      <c r="L2078" s="39">
        <f>IFERROR(IF(OR(J2078=0,K2078=""),"",IF(E2078="Positivo",MIN(MAX(K2078/J2078,0),1.0),MIN(MAX(J2078/K2078,0),1.0))),"") </f>
        <v/>
      </c>
      <c r="M2078" s="39">
        <f>IFERROR(IF(OR(J2078=0,K2078=""),"",IF(E2078="Positivo",MAX(K2078/J2078,0),MAX(J2078/K2078,0))),"") </f>
        <v/>
      </c>
      <c r="N2078" t="inlineStr">
        <is>
          <t>%</t>
        </is>
      </c>
      <c r="O2078" t="inlineStr">
        <is>
          <t>%</t>
        </is>
      </c>
      <c r="P2078" t="n">
        <v>0</v>
      </c>
      <c r="Q2078" t="n">
        <v>0</v>
      </c>
      <c r="R2078" t="inlineStr">
        <is>
          <t>415-2025-09-30</t>
        </is>
      </c>
    </row>
    <row r="2079">
      <c r="A2079" t="n">
        <v>415</v>
      </c>
      <c r="B2079" t="inlineStr">
        <is>
          <t>Cumplimiento Plan Anual Vicerrectoría del estudiante</t>
        </is>
      </c>
      <c r="C2079" t="inlineStr">
        <is>
          <t>Planeación Estratégica</t>
        </is>
      </c>
      <c r="D2079" t="inlineStr">
        <is>
          <t>Semestral</t>
        </is>
      </c>
      <c r="E2079" t="inlineStr">
        <is>
          <t>Positivo</t>
        </is>
      </c>
      <c r="F2079" s="111" t="n">
        <v>46022</v>
      </c>
      <c r="G2079" t="n">
        <v>2025</v>
      </c>
      <c r="H2079" t="inlineStr">
        <is>
          <t>Diciembre</t>
        </is>
      </c>
      <c r="I2079" t="inlineStr">
        <is>
          <t>2025-2</t>
        </is>
      </c>
      <c r="J2079" t="n">
        <v>100</v>
      </c>
      <c r="K2079" t="n">
        <v>99.3</v>
      </c>
      <c r="L2079" s="39">
        <f>IFERROR(IF(OR(J2079=0,K2079=""),"",IF(E2079="Positivo",MIN(MAX(K2079/J2079,0),1.0),MIN(MAX(J2079/K2079,0),1.0))),"") </f>
        <v/>
      </c>
      <c r="M2079" s="39">
        <f>IFERROR(IF(OR(J2079=0,K2079=""),"",IF(E2079="Positivo",MAX(K2079/J2079,0),MAX(J2079/K2079,0))),"") </f>
        <v/>
      </c>
      <c r="N2079" t="inlineStr">
        <is>
          <t>%</t>
        </is>
      </c>
      <c r="O2079" t="inlineStr">
        <is>
          <t>%</t>
        </is>
      </c>
      <c r="P2079" t="n">
        <v>0</v>
      </c>
      <c r="Q2079" t="n">
        <v>0</v>
      </c>
      <c r="R2079" t="inlineStr">
        <is>
          <t>415-2025-12-31</t>
        </is>
      </c>
    </row>
    <row r="2080">
      <c r="A2080" t="n">
        <v>416</v>
      </c>
      <c r="B2080" t="inlineStr">
        <is>
          <t>Cumplimiento Plan Anual Vicerrectoría de crecimiento</t>
        </is>
      </c>
      <c r="C2080" t="inlineStr">
        <is>
          <t>Planeación Estratégica</t>
        </is>
      </c>
      <c r="D2080" t="inlineStr">
        <is>
          <t>Semestral</t>
        </is>
      </c>
      <c r="E2080" t="inlineStr">
        <is>
          <t>Positivo</t>
        </is>
      </c>
      <c r="F2080" s="111" t="n">
        <v>45016</v>
      </c>
      <c r="G2080" t="n">
        <v>2023</v>
      </c>
      <c r="H2080" t="inlineStr">
        <is>
          <t>Marzo</t>
        </is>
      </c>
      <c r="I2080" t="inlineStr">
        <is>
          <t>2023-1</t>
        </is>
      </c>
      <c r="J2080" t="n">
        <v>100</v>
      </c>
      <c r="K2080" t="n">
        <v>0</v>
      </c>
      <c r="L2080" s="39">
        <f>IFERROR(IF(OR(J2080=0,K2080=""),"",IF(E2080="Positivo",MIN(MAX(K2080/J2080,0),1.0),MIN(MAX(J2080/K2080,0),1.0))),"") </f>
        <v/>
      </c>
      <c r="M2080" s="39">
        <f>IFERROR(IF(OR(J2080=0,K2080=""),"",IF(E2080="Positivo",MAX(K2080/J2080,0),MAX(J2080/K2080,0))),"") </f>
        <v/>
      </c>
      <c r="N2080" t="inlineStr">
        <is>
          <t>%</t>
        </is>
      </c>
      <c r="O2080" t="inlineStr">
        <is>
          <t>%</t>
        </is>
      </c>
      <c r="P2080" t="n">
        <v>0</v>
      </c>
      <c r="Q2080" t="n">
        <v>0</v>
      </c>
      <c r="R2080" t="inlineStr">
        <is>
          <t>416-2023-03-31</t>
        </is>
      </c>
    </row>
    <row r="2081">
      <c r="A2081" t="n">
        <v>416</v>
      </c>
      <c r="B2081" t="inlineStr">
        <is>
          <t>Cumplimiento Plan Anual Vicerrectoría de crecimiento</t>
        </is>
      </c>
      <c r="D2081" t="inlineStr">
        <is>
          <t>Trimestral</t>
        </is>
      </c>
      <c r="E2081" t="inlineStr">
        <is>
          <t>Positivo</t>
        </is>
      </c>
      <c r="F2081" s="111" t="n">
        <v>45107</v>
      </c>
      <c r="G2081" t="n">
        <v>2023</v>
      </c>
      <c r="H2081" t="inlineStr">
        <is>
          <t>Junio</t>
        </is>
      </c>
      <c r="I2081" t="inlineStr">
        <is>
          <t>2023-1</t>
        </is>
      </c>
      <c r="J2081" t="n">
        <v>100</v>
      </c>
      <c r="K2081" t="n">
        <v>95.73999999999999</v>
      </c>
      <c r="L2081" s="39">
        <f>IFERROR(IF(OR(J2081=0,K2081=""),"",IF(E2081="Positivo",MIN(MAX(K2081/J2081,0),1.0),MIN(MAX(J2081/K2081,0),1.0))),"") </f>
        <v/>
      </c>
      <c r="M2081" s="39">
        <f>IFERROR(IF(OR(J2081=0,K2081=""),"",IF(E2081="Positivo",MAX(K2081/J2081,0),MAX(J2081/K2081,0))),"") </f>
        <v/>
      </c>
      <c r="P2081" t="n">
        <v>0</v>
      </c>
      <c r="Q2081" t="n">
        <v>0</v>
      </c>
      <c r="R2081" t="inlineStr">
        <is>
          <t>416-2023-06-30</t>
        </is>
      </c>
    </row>
    <row r="2082">
      <c r="A2082" t="n">
        <v>416</v>
      </c>
      <c r="B2082" t="inlineStr">
        <is>
          <t>Cumplimiento Plan Anual Vicerrectoría de crecimiento</t>
        </is>
      </c>
      <c r="D2082" t="inlineStr">
        <is>
          <t>Trimestral</t>
        </is>
      </c>
      <c r="E2082" t="inlineStr">
        <is>
          <t>Positivo</t>
        </is>
      </c>
      <c r="F2082" s="111" t="n">
        <v>45199</v>
      </c>
      <c r="G2082" t="n">
        <v>2023</v>
      </c>
      <c r="H2082" t="inlineStr">
        <is>
          <t>Septiembre</t>
        </is>
      </c>
      <c r="I2082" t="inlineStr">
        <is>
          <t>2023-2</t>
        </is>
      </c>
      <c r="J2082" t="n">
        <v>100</v>
      </c>
      <c r="K2082" t="n">
        <v>87.94</v>
      </c>
      <c r="L2082" s="39">
        <f>IFERROR(IF(OR(J2082=0,K2082=""),"",IF(E2082="Positivo",MIN(MAX(K2082/J2082,0),1.0),MIN(MAX(J2082/K2082,0),1.0))),"") </f>
        <v/>
      </c>
      <c r="M2082" s="39">
        <f>IFERROR(IF(OR(J2082=0,K2082=""),"",IF(E2082="Positivo",MAX(K2082/J2082,0),MAX(J2082/K2082,0))),"") </f>
        <v/>
      </c>
      <c r="P2082" t="n">
        <v>0</v>
      </c>
      <c r="Q2082" t="n">
        <v>0</v>
      </c>
      <c r="R2082" t="inlineStr">
        <is>
          <t>416-2023-09-30</t>
        </is>
      </c>
    </row>
    <row r="2083">
      <c r="A2083" t="n">
        <v>416</v>
      </c>
      <c r="B2083" t="inlineStr">
        <is>
          <t>Cumplimiento Plan Anual Vicerrectoría de crecimiento</t>
        </is>
      </c>
      <c r="D2083" t="inlineStr">
        <is>
          <t>Trimestral</t>
        </is>
      </c>
      <c r="E2083" t="inlineStr">
        <is>
          <t>Positivo</t>
        </is>
      </c>
      <c r="F2083" s="111" t="n">
        <v>45291</v>
      </c>
      <c r="G2083" t="n">
        <v>2023</v>
      </c>
      <c r="H2083" t="inlineStr">
        <is>
          <t>Diciembre</t>
        </is>
      </c>
      <c r="I2083" t="inlineStr">
        <is>
          <t>2023-2</t>
        </is>
      </c>
      <c r="J2083" t="n">
        <v>100</v>
      </c>
      <c r="K2083" t="n">
        <v>98</v>
      </c>
      <c r="L2083" s="39">
        <f>IFERROR(IF(OR(J2083=0,K2083=""),"",IF(E2083="Positivo",MIN(MAX(K2083/J2083,0),1.0),MIN(MAX(J2083/K2083,0),1.0))),"") </f>
        <v/>
      </c>
      <c r="M2083" s="39">
        <f>IFERROR(IF(OR(J2083=0,K2083=""),"",IF(E2083="Positivo",MAX(K2083/J2083,0),MAX(J2083/K2083,0))),"") </f>
        <v/>
      </c>
      <c r="P2083" t="n">
        <v>0</v>
      </c>
      <c r="Q2083" t="n">
        <v>0</v>
      </c>
      <c r="R2083" t="inlineStr">
        <is>
          <t>416-2023-12-31</t>
        </is>
      </c>
    </row>
    <row r="2084">
      <c r="A2084" t="n">
        <v>416</v>
      </c>
      <c r="B2084" t="inlineStr">
        <is>
          <t>Cumplimiento Plan Anual Vicerrectoría de crecimiento</t>
        </is>
      </c>
      <c r="C2084" t="inlineStr">
        <is>
          <t>Planeación Estratégica</t>
        </is>
      </c>
      <c r="D2084" t="inlineStr">
        <is>
          <t>Trimestral</t>
        </is>
      </c>
      <c r="E2084" t="inlineStr">
        <is>
          <t>Positivo</t>
        </is>
      </c>
      <c r="F2084" s="111" t="n">
        <v>45382</v>
      </c>
      <c r="G2084" t="n">
        <v>2024</v>
      </c>
      <c r="H2084" t="inlineStr">
        <is>
          <t>Marzo</t>
        </is>
      </c>
      <c r="I2084" t="inlineStr">
        <is>
          <t>2024-1</t>
        </is>
      </c>
      <c r="J2084" t="n">
        <v>100</v>
      </c>
      <c r="K2084" t="n">
        <v>120.07</v>
      </c>
      <c r="L2084" s="39">
        <f>IFERROR(IF(OR(J2084=0,K2084=""),"",IF(E2084="Positivo",MIN(MAX(K2084/J2084,0),1.0),MIN(MAX(J2084/K2084,0),1.0))),"") </f>
        <v/>
      </c>
      <c r="M2084" s="39">
        <f>IFERROR(IF(OR(J2084=0,K2084=""),"",IF(E2084="Positivo",MAX(K2084/J2084,0),MAX(J2084/K2084,0))),"") </f>
        <v/>
      </c>
      <c r="P2084" t="n">
        <v>0</v>
      </c>
      <c r="Q2084" t="n">
        <v>0</v>
      </c>
      <c r="R2084" t="inlineStr">
        <is>
          <t>416-2024-03-31</t>
        </is>
      </c>
    </row>
    <row r="2085">
      <c r="A2085" t="n">
        <v>416</v>
      </c>
      <c r="B2085" t="inlineStr">
        <is>
          <t>Cumplimiento Plan Anual Vicerrectoría de crecimiento</t>
        </is>
      </c>
      <c r="C2085" t="inlineStr">
        <is>
          <t>Planeación Estratégica</t>
        </is>
      </c>
      <c r="D2085" t="inlineStr">
        <is>
          <t>Trimestral</t>
        </is>
      </c>
      <c r="E2085" t="inlineStr">
        <is>
          <t>Positivo</t>
        </is>
      </c>
      <c r="F2085" s="111" t="n">
        <v>45473</v>
      </c>
      <c r="G2085" t="n">
        <v>2024</v>
      </c>
      <c r="H2085" t="inlineStr">
        <is>
          <t>Junio</t>
        </is>
      </c>
      <c r="I2085" t="inlineStr">
        <is>
          <t>2024-1</t>
        </is>
      </c>
      <c r="J2085" t="n">
        <v>100</v>
      </c>
      <c r="K2085" t="n">
        <v>117.1</v>
      </c>
      <c r="L2085" s="39">
        <f>IFERROR(IF(OR(J2085=0,K2085=""),"",IF(E2085="Positivo",MIN(MAX(K2085/J2085,0),1.0),MIN(MAX(J2085/K2085,0),1.0))),"") </f>
        <v/>
      </c>
      <c r="M2085" s="39">
        <f>IFERROR(IF(OR(J2085=0,K2085=""),"",IF(E2085="Positivo",MAX(K2085/J2085,0),MAX(J2085/K2085,0))),"") </f>
        <v/>
      </c>
      <c r="P2085" t="n">
        <v>0</v>
      </c>
      <c r="Q2085" t="n">
        <v>0</v>
      </c>
      <c r="R2085" t="inlineStr">
        <is>
          <t>416-2024-06-30</t>
        </is>
      </c>
    </row>
    <row r="2086">
      <c r="A2086" t="n">
        <v>416</v>
      </c>
      <c r="B2086" t="inlineStr">
        <is>
          <t>Cumplimiento Plan Anual Vicerrectoría de crecimiento</t>
        </is>
      </c>
      <c r="C2086" t="inlineStr">
        <is>
          <t>Planeación Estratégica</t>
        </is>
      </c>
      <c r="D2086" t="inlineStr">
        <is>
          <t>Trimestral</t>
        </is>
      </c>
      <c r="E2086" t="inlineStr">
        <is>
          <t>Positivo</t>
        </is>
      </c>
      <c r="F2086" s="111" t="n">
        <v>45565</v>
      </c>
      <c r="G2086" t="n">
        <v>2024</v>
      </c>
      <c r="H2086" t="inlineStr">
        <is>
          <t>Septiembre</t>
        </is>
      </c>
      <c r="I2086" t="inlineStr">
        <is>
          <t>2024-2</t>
        </is>
      </c>
      <c r="J2086" t="n">
        <v>100</v>
      </c>
      <c r="K2086" t="n">
        <v>99.81</v>
      </c>
      <c r="L2086" s="39">
        <f>IFERROR(IF(OR(J2086=0,K2086=""),"",IF(E2086="Positivo",MIN(MAX(K2086/J2086,0),1.0),MIN(MAX(J2086/K2086,0),1.0))),"") </f>
        <v/>
      </c>
      <c r="M2086" s="39">
        <f>IFERROR(IF(OR(J2086=0,K2086=""),"",IF(E2086="Positivo",MAX(K2086/J2086,0),MAX(J2086/K2086,0))),"") </f>
        <v/>
      </c>
      <c r="P2086" t="n">
        <v>0</v>
      </c>
      <c r="Q2086" t="n">
        <v>0</v>
      </c>
      <c r="R2086" t="inlineStr">
        <is>
          <t>416-2024-09-30</t>
        </is>
      </c>
    </row>
    <row r="2087">
      <c r="A2087" t="n">
        <v>416</v>
      </c>
      <c r="B2087" t="inlineStr">
        <is>
          <t>Cumplimiento Plan Anual Vicerrectoría de crecimiento</t>
        </is>
      </c>
      <c r="C2087" t="inlineStr">
        <is>
          <t>Planeación Estratégica</t>
        </is>
      </c>
      <c r="D2087" t="inlineStr">
        <is>
          <t>Trimestral</t>
        </is>
      </c>
      <c r="E2087" t="inlineStr">
        <is>
          <t>Positivo</t>
        </is>
      </c>
      <c r="F2087" s="111" t="n">
        <v>45657</v>
      </c>
      <c r="G2087" t="n">
        <v>2024</v>
      </c>
      <c r="H2087" t="inlineStr">
        <is>
          <t>Diciembre</t>
        </is>
      </c>
      <c r="I2087" t="inlineStr">
        <is>
          <t>2024-2</t>
        </is>
      </c>
      <c r="J2087" t="n">
        <v>100</v>
      </c>
      <c r="K2087" t="n">
        <v>100</v>
      </c>
      <c r="L2087" s="39">
        <f>IFERROR(IF(OR(J2087=0,K2087=""),"",IF(E2087="Positivo",MIN(MAX(K2087/J2087,0),1.0),MIN(MAX(J2087/K2087,0),1.0))),"") </f>
        <v/>
      </c>
      <c r="M2087" s="39">
        <f>IFERROR(IF(OR(J2087=0,K2087=""),"",IF(E2087="Positivo",MAX(K2087/J2087,0),MAX(J2087/K2087,0))),"") </f>
        <v/>
      </c>
      <c r="P2087" t="n">
        <v>0</v>
      </c>
      <c r="Q2087" t="n">
        <v>0</v>
      </c>
      <c r="R2087" t="inlineStr">
        <is>
          <t>416-2024-12-31</t>
        </is>
      </c>
    </row>
    <row r="2088">
      <c r="A2088" t="n">
        <v>416</v>
      </c>
      <c r="B2088" t="inlineStr">
        <is>
          <t>Cumplimiento Plan Anual Vicerrectoría de crecimiento</t>
        </is>
      </c>
      <c r="C2088" t="inlineStr">
        <is>
          <t>Planeación Estratégica</t>
        </is>
      </c>
      <c r="D2088" t="inlineStr">
        <is>
          <t>Semestral</t>
        </is>
      </c>
      <c r="E2088" t="inlineStr">
        <is>
          <t>Positivo</t>
        </is>
      </c>
      <c r="F2088" s="111" t="n">
        <v>45747</v>
      </c>
      <c r="G2088" t="n">
        <v>2025</v>
      </c>
      <c r="H2088" t="inlineStr">
        <is>
          <t>Marzo</t>
        </is>
      </c>
      <c r="I2088" t="inlineStr">
        <is>
          <t>2025-1</t>
        </is>
      </c>
      <c r="J2088" t="n">
        <v>100</v>
      </c>
      <c r="K2088" t="n">
        <v>170.92</v>
      </c>
      <c r="L2088" s="39">
        <f>IFERROR(IF(OR(J2088=0,K2088=""),"",IF(E2088="Positivo",MIN(MAX(K2088/J2088,0),1.0),MIN(MAX(J2088/K2088,0),1.0))),"") </f>
        <v/>
      </c>
      <c r="M2088" s="39">
        <f>IFERROR(IF(OR(J2088=0,K2088=""),"",IF(E2088="Positivo",MAX(K2088/J2088,0),MAX(J2088/K2088,0))),"") </f>
        <v/>
      </c>
      <c r="N2088" t="inlineStr">
        <is>
          <t>%</t>
        </is>
      </c>
      <c r="O2088" t="inlineStr">
        <is>
          <t>%</t>
        </is>
      </c>
      <c r="P2088" t="n">
        <v>0</v>
      </c>
      <c r="Q2088" t="n">
        <v>0</v>
      </c>
      <c r="R2088" t="inlineStr">
        <is>
          <t>416-2025-03-31</t>
        </is>
      </c>
    </row>
    <row r="2089">
      <c r="A2089" t="n">
        <v>416</v>
      </c>
      <c r="B2089" t="inlineStr">
        <is>
          <t>Cumplimiento Plan Anual Vicerrectoría de crecimiento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11" t="n">
        <v>45838</v>
      </c>
      <c r="G2089" t="n">
        <v>2025</v>
      </c>
      <c r="H2089" t="inlineStr">
        <is>
          <t>Junio</t>
        </is>
      </c>
      <c r="I2089" t="inlineStr">
        <is>
          <t>2025-1</t>
        </is>
      </c>
      <c r="J2089" t="n">
        <v>100</v>
      </c>
      <c r="K2089" t="n">
        <v>109.24</v>
      </c>
      <c r="L2089" s="39">
        <f>IFERROR(IF(OR(J2089=0,K2089=""),"",IF(E2089="Positivo",MIN(MAX(K2089/J2089,0),1.0),MIN(MAX(J2089/K2089,0),1.0))),"") </f>
        <v/>
      </c>
      <c r="M2089" s="39">
        <f>IFERROR(IF(OR(J2089=0,K2089=""),"",IF(E2089="Positivo",MAX(K2089/J2089,0),MAX(J2089/K2089,0))),"") </f>
        <v/>
      </c>
      <c r="N2089" t="inlineStr">
        <is>
          <t>%</t>
        </is>
      </c>
      <c r="O2089" t="inlineStr">
        <is>
          <t>%</t>
        </is>
      </c>
      <c r="P2089" t="n">
        <v>0</v>
      </c>
      <c r="Q2089" t="n">
        <v>0</v>
      </c>
      <c r="R2089" t="inlineStr">
        <is>
          <t>416-2025-06-30</t>
        </is>
      </c>
    </row>
    <row r="2090">
      <c r="A2090" t="n">
        <v>416</v>
      </c>
      <c r="B2090" t="inlineStr">
        <is>
          <t>Cumplimiento Plan Anual Vicerrectoría de crecimiento</t>
        </is>
      </c>
      <c r="C2090" t="inlineStr">
        <is>
          <t>Planeación Estratégica</t>
        </is>
      </c>
      <c r="D2090" t="inlineStr">
        <is>
          <t>Semestral</t>
        </is>
      </c>
      <c r="E2090" t="inlineStr">
        <is>
          <t>Positivo</t>
        </is>
      </c>
      <c r="F2090" s="111" t="n">
        <v>45930</v>
      </c>
      <c r="G2090" t="n">
        <v>2025</v>
      </c>
      <c r="H2090" t="inlineStr">
        <is>
          <t>Septiembre</t>
        </is>
      </c>
      <c r="I2090" t="inlineStr">
        <is>
          <t>2025-2</t>
        </is>
      </c>
      <c r="J2090" t="n">
        <v>100</v>
      </c>
      <c r="K2090" t="n">
        <v>96.48</v>
      </c>
      <c r="L2090" s="39">
        <f>IFERROR(IF(OR(J2090=0,K2090=""),"",IF(E2090="Positivo",MIN(MAX(K2090/J2090,0),1.0),MIN(MAX(J2090/K2090,0),1.0))),"") </f>
        <v/>
      </c>
      <c r="M2090" s="39">
        <f>IFERROR(IF(OR(J2090=0,K2090=""),"",IF(E2090="Positivo",MAX(K2090/J2090,0),MAX(J2090/K2090,0))),"") </f>
        <v/>
      </c>
      <c r="N2090" t="inlineStr">
        <is>
          <t>%</t>
        </is>
      </c>
      <c r="O2090" t="inlineStr">
        <is>
          <t>%</t>
        </is>
      </c>
      <c r="P2090" t="n">
        <v>0</v>
      </c>
      <c r="Q2090" t="n">
        <v>0</v>
      </c>
      <c r="R2090" t="inlineStr">
        <is>
          <t>416-2025-09-30</t>
        </is>
      </c>
    </row>
    <row r="2091">
      <c r="A2091" t="n">
        <v>416</v>
      </c>
      <c r="B2091" t="inlineStr">
        <is>
          <t>Cumplimiento Plan Anual Vicerrectoría de crecimiento</t>
        </is>
      </c>
      <c r="C2091" t="inlineStr">
        <is>
          <t>Planeación Estratégica</t>
        </is>
      </c>
      <c r="D2091" t="inlineStr">
        <is>
          <t>Semestral</t>
        </is>
      </c>
      <c r="E2091" t="inlineStr">
        <is>
          <t>Positivo</t>
        </is>
      </c>
      <c r="F2091" s="111" t="n">
        <v>46022</v>
      </c>
      <c r="G2091" t="n">
        <v>2025</v>
      </c>
      <c r="H2091" t="inlineStr">
        <is>
          <t>Diciembre</t>
        </is>
      </c>
      <c r="I2091" t="inlineStr">
        <is>
          <t>2025-2</t>
        </is>
      </c>
      <c r="J2091" t="n">
        <v>100</v>
      </c>
      <c r="K2091" t="n">
        <v>100</v>
      </c>
      <c r="L2091" s="39">
        <f>IFERROR(IF(OR(J2091=0,K2091=""),"",IF(E2091="Positivo",MIN(MAX(K2091/J2091,0),1.0),MIN(MAX(J2091/K2091,0),1.0))),"") </f>
        <v/>
      </c>
      <c r="M2091" s="39">
        <f>IFERROR(IF(OR(J2091=0,K2091=""),"",IF(E2091="Positivo",MAX(K2091/J2091,0),MAX(J2091/K2091,0))),"") </f>
        <v/>
      </c>
      <c r="N2091" t="inlineStr">
        <is>
          <t>%</t>
        </is>
      </c>
      <c r="O2091" t="inlineStr">
        <is>
          <t>%</t>
        </is>
      </c>
      <c r="P2091" t="n">
        <v>0</v>
      </c>
      <c r="Q2091" t="n">
        <v>0</v>
      </c>
      <c r="R2091" t="inlineStr">
        <is>
          <t>416-2025-12-31</t>
        </is>
      </c>
    </row>
    <row r="2092">
      <c r="A2092" t="n">
        <v>417</v>
      </c>
      <c r="B2092" t="inlineStr">
        <is>
          <t>Cumplimiento Plan Anual Vicerrectoría Financiera</t>
        </is>
      </c>
      <c r="C2092" t="inlineStr">
        <is>
          <t>Planeación Estratégica</t>
        </is>
      </c>
      <c r="D2092" t="inlineStr">
        <is>
          <t>Semestral</t>
        </is>
      </c>
      <c r="E2092" t="inlineStr">
        <is>
          <t>Positivo</t>
        </is>
      </c>
      <c r="F2092" s="111" t="n">
        <v>45016</v>
      </c>
      <c r="G2092" t="n">
        <v>2023</v>
      </c>
      <c r="H2092" t="inlineStr">
        <is>
          <t>Marzo</t>
        </is>
      </c>
      <c r="I2092" t="inlineStr">
        <is>
          <t>2023-1</t>
        </is>
      </c>
      <c r="J2092" t="n">
        <v>100</v>
      </c>
      <c r="K2092" t="n">
        <v>0</v>
      </c>
      <c r="L2092" s="39">
        <f>IFERROR(IF(OR(J2092=0,K2092=""),"",IF(E2092="Positivo",MIN(MAX(K2092/J2092,0),1.0),MIN(MAX(J2092/K2092,0),1.0))),"") </f>
        <v/>
      </c>
      <c r="M2092" s="39">
        <f>IFERROR(IF(OR(J2092=0,K2092=""),"",IF(E2092="Positivo",MAX(K2092/J2092,0),MAX(J2092/K2092,0))),"") </f>
        <v/>
      </c>
      <c r="N2092" t="inlineStr">
        <is>
          <t>%</t>
        </is>
      </c>
      <c r="O2092" t="inlineStr">
        <is>
          <t>%</t>
        </is>
      </c>
      <c r="P2092" t="n">
        <v>0</v>
      </c>
      <c r="Q2092" t="n">
        <v>0</v>
      </c>
      <c r="R2092" t="inlineStr">
        <is>
          <t>417-2023-03-31</t>
        </is>
      </c>
    </row>
    <row r="2093">
      <c r="A2093" t="n">
        <v>417</v>
      </c>
      <c r="B2093" t="inlineStr">
        <is>
          <t>Cumplimiento Plan Anual Vicerrectoría Financiera</t>
        </is>
      </c>
      <c r="D2093" t="inlineStr">
        <is>
          <t>Trimestral</t>
        </is>
      </c>
      <c r="E2093" t="inlineStr">
        <is>
          <t>Positivo</t>
        </is>
      </c>
      <c r="F2093" s="111" t="n">
        <v>45107</v>
      </c>
      <c r="G2093" t="n">
        <v>2023</v>
      </c>
      <c r="H2093" t="inlineStr">
        <is>
          <t>Junio</t>
        </is>
      </c>
      <c r="I2093" t="inlineStr">
        <is>
          <t>2023-1</t>
        </is>
      </c>
      <c r="J2093" t="n">
        <v>100</v>
      </c>
      <c r="K2093" t="n">
        <v>110.66833333333</v>
      </c>
      <c r="L2093" s="39">
        <f>IFERROR(IF(OR(J2093=0,K2093=""),"",IF(E2093="Positivo",MIN(MAX(K2093/J2093,0),1.0),MIN(MAX(J2093/K2093,0),1.0))),"") </f>
        <v/>
      </c>
      <c r="M2093" s="39">
        <f>IFERROR(IF(OR(J2093=0,K2093=""),"",IF(E2093="Positivo",MAX(K2093/J2093,0),MAX(J2093/K2093,0))),"") </f>
        <v/>
      </c>
      <c r="P2093" t="n">
        <v>0</v>
      </c>
      <c r="Q2093" t="n">
        <v>0</v>
      </c>
      <c r="R2093" t="inlineStr">
        <is>
          <t>417-2023-06-30</t>
        </is>
      </c>
    </row>
    <row r="2094">
      <c r="A2094" t="n">
        <v>417</v>
      </c>
      <c r="B2094" t="inlineStr">
        <is>
          <t>Cumplimiento Plan Anual Vicerrectoría Financiera</t>
        </is>
      </c>
      <c r="D2094" t="inlineStr">
        <is>
          <t>Trimestral</t>
        </is>
      </c>
      <c r="E2094" t="inlineStr">
        <is>
          <t>Positivo</t>
        </is>
      </c>
      <c r="F2094" s="111" t="n">
        <v>45199</v>
      </c>
      <c r="G2094" t="n">
        <v>2023</v>
      </c>
      <c r="H2094" t="inlineStr">
        <is>
          <t>Septiembre</t>
        </is>
      </c>
      <c r="I2094" t="inlineStr">
        <is>
          <t>2023-2</t>
        </is>
      </c>
      <c r="J2094" t="n">
        <v>100</v>
      </c>
      <c r="K2094" t="n">
        <v>93.756666666667</v>
      </c>
      <c r="L2094" s="39">
        <f>IFERROR(IF(OR(J2094=0,K2094=""),"",IF(E2094="Positivo",MIN(MAX(K2094/J2094,0),1.0),MIN(MAX(J2094/K2094,0),1.0))),"") </f>
        <v/>
      </c>
      <c r="M2094" s="39">
        <f>IFERROR(IF(OR(J2094=0,K2094=""),"",IF(E2094="Positivo",MAX(K2094/J2094,0),MAX(J2094/K2094,0))),"") </f>
        <v/>
      </c>
      <c r="P2094" t="n">
        <v>0</v>
      </c>
      <c r="Q2094" t="n">
        <v>0</v>
      </c>
      <c r="R2094" t="inlineStr">
        <is>
          <t>417-2023-09-30</t>
        </is>
      </c>
    </row>
    <row r="2095">
      <c r="A2095" t="n">
        <v>417</v>
      </c>
      <c r="B2095" t="inlineStr">
        <is>
          <t>Cumplimiento Plan Anual Vicerrectoría Financiera</t>
        </is>
      </c>
      <c r="D2095" t="inlineStr">
        <is>
          <t>Trimestral</t>
        </is>
      </c>
      <c r="E2095" t="inlineStr">
        <is>
          <t>Positivo</t>
        </is>
      </c>
      <c r="F2095" s="111" t="n">
        <v>45291</v>
      </c>
      <c r="G2095" t="n">
        <v>2023</v>
      </c>
      <c r="H2095" t="inlineStr">
        <is>
          <t>Diciembre</t>
        </is>
      </c>
      <c r="I2095" t="inlineStr">
        <is>
          <t>2023-2</t>
        </is>
      </c>
      <c r="J2095" t="n">
        <v>100</v>
      </c>
      <c r="K2095" t="n">
        <v>94.39</v>
      </c>
      <c r="L2095" s="39">
        <f>IFERROR(IF(OR(J2095=0,K2095=""),"",IF(E2095="Positivo",MIN(MAX(K2095/J2095,0),1.0),MIN(MAX(J2095/K2095,0),1.0))),"") </f>
        <v/>
      </c>
      <c r="M2095" s="39">
        <f>IFERROR(IF(OR(J2095=0,K2095=""),"",IF(E2095="Positivo",MAX(K2095/J2095,0),MAX(J2095/K2095,0))),"") </f>
        <v/>
      </c>
      <c r="P2095" t="n">
        <v>0</v>
      </c>
      <c r="Q2095" t="n">
        <v>0</v>
      </c>
      <c r="R2095" t="inlineStr">
        <is>
          <t>417-2023-12-31</t>
        </is>
      </c>
    </row>
    <row r="2096">
      <c r="A2096" t="n">
        <v>417</v>
      </c>
      <c r="B2096" t="inlineStr">
        <is>
          <t>Cumplimiento Plan Anual Vicerrectoría Financiera</t>
        </is>
      </c>
      <c r="C2096" t="inlineStr">
        <is>
          <t>Planeación Estratégica</t>
        </is>
      </c>
      <c r="D2096" t="inlineStr">
        <is>
          <t>Trimestral</t>
        </is>
      </c>
      <c r="E2096" t="inlineStr">
        <is>
          <t>Positivo</t>
        </is>
      </c>
      <c r="F2096" s="111" t="n">
        <v>45382</v>
      </c>
      <c r="G2096" t="n">
        <v>2024</v>
      </c>
      <c r="H2096" t="inlineStr">
        <is>
          <t>Marzo</t>
        </is>
      </c>
      <c r="I2096" t="inlineStr">
        <is>
          <t>2024-1</t>
        </is>
      </c>
      <c r="J2096" t="n">
        <v>100</v>
      </c>
      <c r="K2096" t="n">
        <v>99.01000000000001</v>
      </c>
      <c r="L2096" s="39">
        <f>IFERROR(IF(OR(J2096=0,K2096=""),"",IF(E2096="Positivo",MIN(MAX(K2096/J2096,0),1.0),MIN(MAX(J2096/K2096,0),1.0))),"") </f>
        <v/>
      </c>
      <c r="M2096" s="39">
        <f>IFERROR(IF(OR(J2096=0,K2096=""),"",IF(E2096="Positivo",MAX(K2096/J2096,0),MAX(J2096/K2096,0))),"") </f>
        <v/>
      </c>
      <c r="P2096" t="n">
        <v>0</v>
      </c>
      <c r="Q2096" t="n">
        <v>0</v>
      </c>
      <c r="R2096" t="inlineStr">
        <is>
          <t>417-2024-03-31</t>
        </is>
      </c>
    </row>
    <row r="2097">
      <c r="A2097" t="n">
        <v>417</v>
      </c>
      <c r="B2097" t="inlineStr">
        <is>
          <t>Cumplimiento Plan Anual Vicerrectoría Financiera</t>
        </is>
      </c>
      <c r="C2097" t="inlineStr">
        <is>
          <t>Planeación Estratégica</t>
        </is>
      </c>
      <c r="D2097" t="inlineStr">
        <is>
          <t>Trimestral</t>
        </is>
      </c>
      <c r="E2097" t="inlineStr">
        <is>
          <t>Positivo</t>
        </is>
      </c>
      <c r="F2097" s="111" t="n">
        <v>45473</v>
      </c>
      <c r="G2097" t="n">
        <v>2024</v>
      </c>
      <c r="H2097" t="inlineStr">
        <is>
          <t>Junio</t>
        </is>
      </c>
      <c r="I2097" t="inlineStr">
        <is>
          <t>2024-1</t>
        </is>
      </c>
      <c r="J2097" t="n">
        <v>100</v>
      </c>
      <c r="K2097" t="n">
        <v>112.12</v>
      </c>
      <c r="L2097" s="39">
        <f>IFERROR(IF(OR(J2097=0,K2097=""),"",IF(E2097="Positivo",MIN(MAX(K2097/J2097,0),1.0),MIN(MAX(J2097/K2097,0),1.0))),"") </f>
        <v/>
      </c>
      <c r="M2097" s="39">
        <f>IFERROR(IF(OR(J2097=0,K2097=""),"",IF(E2097="Positivo",MAX(K2097/J2097,0),MAX(J2097/K2097,0))),"") </f>
        <v/>
      </c>
      <c r="P2097" t="n">
        <v>0</v>
      </c>
      <c r="Q2097" t="n">
        <v>0</v>
      </c>
      <c r="R2097" t="inlineStr">
        <is>
          <t>417-2024-06-30</t>
        </is>
      </c>
    </row>
    <row r="2098">
      <c r="A2098" t="n">
        <v>417</v>
      </c>
      <c r="B2098" t="inlineStr">
        <is>
          <t>Cumplimiento Plan Anual Vicerrectoría Financiera</t>
        </is>
      </c>
      <c r="C2098" t="inlineStr">
        <is>
          <t>Planeación Estratégica</t>
        </is>
      </c>
      <c r="D2098" t="inlineStr">
        <is>
          <t>Trimestral</t>
        </is>
      </c>
      <c r="E2098" t="inlineStr">
        <is>
          <t>Positivo</t>
        </is>
      </c>
      <c r="F2098" s="111" t="n">
        <v>45565</v>
      </c>
      <c r="G2098" t="n">
        <v>2024</v>
      </c>
      <c r="H2098" t="inlineStr">
        <is>
          <t>Septiembre</t>
        </is>
      </c>
      <c r="I2098" t="inlineStr">
        <is>
          <t>2024-2</t>
        </is>
      </c>
      <c r="J2098" t="n">
        <v>100</v>
      </c>
      <c r="K2098" t="n">
        <v>100.19</v>
      </c>
      <c r="L2098" s="39">
        <f>IFERROR(IF(OR(J2098=0,K2098=""),"",IF(E2098="Positivo",MIN(MAX(K2098/J2098,0),1.0),MIN(MAX(J2098/K2098,0),1.0))),"") </f>
        <v/>
      </c>
      <c r="M2098" s="39">
        <f>IFERROR(IF(OR(J2098=0,K2098=""),"",IF(E2098="Positivo",MAX(K2098/J2098,0),MAX(J2098/K2098,0))),"") </f>
        <v/>
      </c>
      <c r="P2098" t="n">
        <v>0</v>
      </c>
      <c r="Q2098" t="n">
        <v>0</v>
      </c>
      <c r="R2098" t="inlineStr">
        <is>
          <t>417-2024-09-30</t>
        </is>
      </c>
    </row>
    <row r="2099">
      <c r="A2099" t="n">
        <v>417</v>
      </c>
      <c r="B2099" t="inlineStr">
        <is>
          <t>Cumplimiento Plan Anual Vicerrectoría Financiera</t>
        </is>
      </c>
      <c r="C2099" t="inlineStr">
        <is>
          <t>Planeación Estratégica</t>
        </is>
      </c>
      <c r="D2099" t="inlineStr">
        <is>
          <t>Trimestral</t>
        </is>
      </c>
      <c r="E2099" t="inlineStr">
        <is>
          <t>Positivo</t>
        </is>
      </c>
      <c r="F2099" s="111" t="n">
        <v>45657</v>
      </c>
      <c r="G2099" t="n">
        <v>2024</v>
      </c>
      <c r="H2099" t="inlineStr">
        <is>
          <t>Diciembre</t>
        </is>
      </c>
      <c r="I2099" t="inlineStr">
        <is>
          <t>2024-2</t>
        </is>
      </c>
      <c r="J2099" t="n">
        <v>100</v>
      </c>
      <c r="K2099" t="n">
        <v>98.83</v>
      </c>
      <c r="L2099" s="39">
        <f>IFERROR(IF(OR(J2099=0,K2099=""),"",IF(E2099="Positivo",MIN(MAX(K2099/J2099,0),1.0),MIN(MAX(J2099/K2099,0),1.0))),"") </f>
        <v/>
      </c>
      <c r="M2099" s="39">
        <f>IFERROR(IF(OR(J2099=0,K2099=""),"",IF(E2099="Positivo",MAX(K2099/J2099,0),MAX(J2099/K2099,0))),"") </f>
        <v/>
      </c>
      <c r="P2099" t="n">
        <v>0</v>
      </c>
      <c r="Q2099" t="n">
        <v>0</v>
      </c>
      <c r="R2099" t="inlineStr">
        <is>
          <t>417-2024-12-31</t>
        </is>
      </c>
    </row>
    <row r="2100">
      <c r="A2100" t="n">
        <v>417</v>
      </c>
      <c r="B2100" t="inlineStr">
        <is>
          <t>Cumplimiento Plan Anual Vicerrectoría Financiera</t>
        </is>
      </c>
      <c r="C2100" t="inlineStr">
        <is>
          <t>Planeación Estratégica</t>
        </is>
      </c>
      <c r="D2100" t="inlineStr">
        <is>
          <t>Semestral</t>
        </is>
      </c>
      <c r="E2100" t="inlineStr">
        <is>
          <t>Positivo</t>
        </is>
      </c>
      <c r="F2100" s="111" t="n">
        <v>45747</v>
      </c>
      <c r="G2100" t="n">
        <v>2025</v>
      </c>
      <c r="H2100" t="inlineStr">
        <is>
          <t>Marzo</t>
        </is>
      </c>
      <c r="I2100" t="inlineStr">
        <is>
          <t>2025-1</t>
        </is>
      </c>
      <c r="J2100" t="n">
        <v>100</v>
      </c>
      <c r="K2100" t="n">
        <v>93.68000000000001</v>
      </c>
      <c r="L2100" s="39">
        <f>IFERROR(IF(OR(J2100=0,K2100=""),"",IF(E2100="Positivo",MIN(MAX(K2100/J2100,0),1.0),MIN(MAX(J2100/K2100,0),1.0))),"") </f>
        <v/>
      </c>
      <c r="M2100" s="39">
        <f>IFERROR(IF(OR(J2100=0,K2100=""),"",IF(E2100="Positivo",MAX(K2100/J2100,0),MAX(J2100/K2100,0))),"") </f>
        <v/>
      </c>
      <c r="N2100" t="inlineStr">
        <is>
          <t>%</t>
        </is>
      </c>
      <c r="O2100" t="inlineStr">
        <is>
          <t>%</t>
        </is>
      </c>
      <c r="P2100" t="n">
        <v>0</v>
      </c>
      <c r="Q2100" t="n">
        <v>0</v>
      </c>
      <c r="R2100" t="inlineStr">
        <is>
          <t>417-2025-03-31</t>
        </is>
      </c>
    </row>
    <row r="2101">
      <c r="A2101" t="n">
        <v>417</v>
      </c>
      <c r="B2101" t="inlineStr">
        <is>
          <t>Cumplimiento Plan Anual Vicerrectoría Financiera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11" t="n">
        <v>45838</v>
      </c>
      <c r="G2101" t="n">
        <v>2025</v>
      </c>
      <c r="H2101" t="inlineStr">
        <is>
          <t>Junio</t>
        </is>
      </c>
      <c r="I2101" t="inlineStr">
        <is>
          <t>2025-1</t>
        </is>
      </c>
      <c r="J2101" t="n">
        <v>100</v>
      </c>
      <c r="K2101" t="n">
        <v>101.28</v>
      </c>
      <c r="L2101" s="39">
        <f>IFERROR(IF(OR(J2101=0,K2101=""),"",IF(E2101="Positivo",MIN(MAX(K2101/J2101,0),1.0),MIN(MAX(J2101/K2101,0),1.0))),"") </f>
        <v/>
      </c>
      <c r="M2101" s="39">
        <f>IFERROR(IF(OR(J2101=0,K2101=""),"",IF(E2101="Positivo",MAX(K2101/J2101,0),MAX(J2101/K2101,0))),"") </f>
        <v/>
      </c>
      <c r="N2101" t="inlineStr">
        <is>
          <t>%</t>
        </is>
      </c>
      <c r="O2101" t="inlineStr">
        <is>
          <t>%</t>
        </is>
      </c>
      <c r="P2101" t="n">
        <v>0</v>
      </c>
      <c r="Q2101" t="n">
        <v>0</v>
      </c>
      <c r="R2101" t="inlineStr">
        <is>
          <t>417-2025-06-30</t>
        </is>
      </c>
    </row>
    <row r="2102">
      <c r="A2102" t="n">
        <v>417</v>
      </c>
      <c r="B2102" t="inlineStr">
        <is>
          <t>Cumplimiento Plan Anual Vicerrectoría Financiera</t>
        </is>
      </c>
      <c r="C2102" t="inlineStr">
        <is>
          <t>Planeación Estratégica</t>
        </is>
      </c>
      <c r="D2102" t="inlineStr">
        <is>
          <t>Semestral</t>
        </is>
      </c>
      <c r="E2102" t="inlineStr">
        <is>
          <t>Positivo</t>
        </is>
      </c>
      <c r="F2102" s="111" t="n">
        <v>45930</v>
      </c>
      <c r="G2102" t="n">
        <v>2025</v>
      </c>
      <c r="H2102" t="inlineStr">
        <is>
          <t>Septiembre</t>
        </is>
      </c>
      <c r="I2102" t="inlineStr">
        <is>
          <t>2025-2</t>
        </is>
      </c>
      <c r="J2102" t="n">
        <v>100</v>
      </c>
      <c r="K2102" t="n">
        <v>99.34</v>
      </c>
      <c r="L2102" s="39">
        <f>IFERROR(IF(OR(J2102=0,K2102=""),"",IF(E2102="Positivo",MIN(MAX(K2102/J2102,0),1.0),MIN(MAX(J2102/K2102,0),1.0))),"") </f>
        <v/>
      </c>
      <c r="M2102" s="39">
        <f>IFERROR(IF(OR(J2102=0,K2102=""),"",IF(E2102="Positivo",MAX(K2102/J2102,0),MAX(J2102/K2102,0))),"") </f>
        <v/>
      </c>
      <c r="N2102" t="inlineStr">
        <is>
          <t>%</t>
        </is>
      </c>
      <c r="O2102" t="inlineStr">
        <is>
          <t>%</t>
        </is>
      </c>
      <c r="P2102" t="n">
        <v>0</v>
      </c>
      <c r="Q2102" t="n">
        <v>0</v>
      </c>
      <c r="R2102" t="inlineStr">
        <is>
          <t>417-2025-09-30</t>
        </is>
      </c>
    </row>
    <row r="2103">
      <c r="A2103" t="n">
        <v>417</v>
      </c>
      <c r="B2103" t="inlineStr">
        <is>
          <t>Cumplimiento Plan Anual Vicerrectoría Financiera</t>
        </is>
      </c>
      <c r="C2103" t="inlineStr">
        <is>
          <t>Planeación Estratégica</t>
        </is>
      </c>
      <c r="D2103" t="inlineStr">
        <is>
          <t>Semestral</t>
        </is>
      </c>
      <c r="E2103" t="inlineStr">
        <is>
          <t>Positivo</t>
        </is>
      </c>
      <c r="F2103" s="111" t="n">
        <v>46022</v>
      </c>
      <c r="G2103" t="n">
        <v>2025</v>
      </c>
      <c r="H2103" t="inlineStr">
        <is>
          <t>Diciembre</t>
        </is>
      </c>
      <c r="I2103" t="inlineStr">
        <is>
          <t>2025-2</t>
        </is>
      </c>
      <c r="J2103" t="n">
        <v>100</v>
      </c>
      <c r="K2103" t="n">
        <v>97.98999999999999</v>
      </c>
      <c r="L2103" s="39">
        <f>IFERROR(IF(OR(J2103=0,K2103=""),"",IF(E2103="Positivo",MIN(MAX(K2103/J2103,0),1.0),MIN(MAX(J2103/K2103,0),1.0))),"") </f>
        <v/>
      </c>
      <c r="M2103" s="39">
        <f>IFERROR(IF(OR(J2103=0,K2103=""),"",IF(E2103="Positivo",MAX(K2103/J2103,0),MAX(J2103/K2103,0))),"") </f>
        <v/>
      </c>
      <c r="N2103" t="inlineStr">
        <is>
          <t>%</t>
        </is>
      </c>
      <c r="O2103" t="inlineStr">
        <is>
          <t>%</t>
        </is>
      </c>
      <c r="P2103" t="n">
        <v>0</v>
      </c>
      <c r="Q2103" t="n">
        <v>0</v>
      </c>
      <c r="R2103" t="inlineStr">
        <is>
          <t>417-2025-12-31</t>
        </is>
      </c>
    </row>
    <row r="2104">
      <c r="A2104" t="n">
        <v>418</v>
      </c>
      <c r="B2104" t="inlineStr">
        <is>
          <t>Cumplimiento Plan Anual Vicerrectoría Académica</t>
        </is>
      </c>
      <c r="C2104" t="inlineStr">
        <is>
          <t>Planeación Estratégica</t>
        </is>
      </c>
      <c r="D2104" t="inlineStr">
        <is>
          <t>Semestral</t>
        </is>
      </c>
      <c r="E2104" t="inlineStr">
        <is>
          <t>Positivo</t>
        </is>
      </c>
      <c r="F2104" s="111" t="n">
        <v>45016</v>
      </c>
      <c r="G2104" t="n">
        <v>2023</v>
      </c>
      <c r="H2104" t="inlineStr">
        <is>
          <t>Marzo</t>
        </is>
      </c>
      <c r="I2104" t="inlineStr">
        <is>
          <t>2023-1</t>
        </is>
      </c>
      <c r="J2104" t="n">
        <v>100</v>
      </c>
      <c r="K2104" t="n">
        <v>0</v>
      </c>
      <c r="L2104" s="39">
        <f>IFERROR(IF(OR(J2104=0,K2104=""),"",IF(E2104="Positivo",MIN(MAX(K2104/J2104,0),1.0),MIN(MAX(J2104/K2104,0),1.0))),"") </f>
        <v/>
      </c>
      <c r="M2104" s="39">
        <f>IFERROR(IF(OR(J2104=0,K2104=""),"",IF(E2104="Positivo",MAX(K2104/J2104,0),MAX(J2104/K2104,0))),"") </f>
        <v/>
      </c>
      <c r="N2104" t="inlineStr">
        <is>
          <t>%</t>
        </is>
      </c>
      <c r="O2104" t="inlineStr">
        <is>
          <t>%</t>
        </is>
      </c>
      <c r="P2104" t="n">
        <v>0</v>
      </c>
      <c r="Q2104" t="n">
        <v>0</v>
      </c>
      <c r="R2104" t="inlineStr">
        <is>
          <t>418-2023-03-31</t>
        </is>
      </c>
    </row>
    <row r="2105">
      <c r="A2105" t="n">
        <v>418</v>
      </c>
      <c r="B2105" t="inlineStr">
        <is>
          <t>Cumplimiento Plan Anual Vicerrectoría Académica</t>
        </is>
      </c>
      <c r="D2105" t="inlineStr">
        <is>
          <t>Trimestral</t>
        </is>
      </c>
      <c r="E2105" t="inlineStr">
        <is>
          <t>Positivo</t>
        </is>
      </c>
      <c r="F2105" s="111" t="n">
        <v>45107</v>
      </c>
      <c r="G2105" t="n">
        <v>2023</v>
      </c>
      <c r="H2105" t="inlineStr">
        <is>
          <t>Junio</t>
        </is>
      </c>
      <c r="I2105" t="inlineStr">
        <is>
          <t>2023-1</t>
        </is>
      </c>
      <c r="J2105" t="n">
        <v>100</v>
      </c>
      <c r="K2105" t="n">
        <v>104.35666666667</v>
      </c>
      <c r="L2105" s="39">
        <f>IFERROR(IF(OR(J2105=0,K2105=""),"",IF(E2105="Positivo",MIN(MAX(K2105/J2105,0),1.0),MIN(MAX(J2105/K2105,0),1.0))),"") </f>
        <v/>
      </c>
      <c r="M2105" s="39">
        <f>IFERROR(IF(OR(J2105=0,K2105=""),"",IF(E2105="Positivo",MAX(K2105/J2105,0),MAX(J2105/K2105,0))),"") </f>
        <v/>
      </c>
      <c r="P2105" t="n">
        <v>0</v>
      </c>
      <c r="Q2105" t="n">
        <v>0</v>
      </c>
      <c r="R2105" t="inlineStr">
        <is>
          <t>418-2023-06-30</t>
        </is>
      </c>
    </row>
    <row r="2106">
      <c r="A2106" t="n">
        <v>418</v>
      </c>
      <c r="B2106" t="inlineStr">
        <is>
          <t>Cumplimiento Plan Anual Vicerrectoría Académica</t>
        </is>
      </c>
      <c r="D2106" t="inlineStr">
        <is>
          <t>Trimestral</t>
        </is>
      </c>
      <c r="E2106" t="inlineStr">
        <is>
          <t>Positivo</t>
        </is>
      </c>
      <c r="F2106" s="111" t="n">
        <v>45199</v>
      </c>
      <c r="G2106" t="n">
        <v>2023</v>
      </c>
      <c r="H2106" t="inlineStr">
        <is>
          <t>Septiembre</t>
        </is>
      </c>
      <c r="I2106" t="inlineStr">
        <is>
          <t>2023-2</t>
        </is>
      </c>
      <c r="J2106" t="n">
        <v>100</v>
      </c>
      <c r="K2106" t="n">
        <v>85.611111111111</v>
      </c>
      <c r="L2106" s="39">
        <f>IFERROR(IF(OR(J2106=0,K2106=""),"",IF(E2106="Positivo",MIN(MAX(K2106/J2106,0),1.0),MIN(MAX(J2106/K2106,0),1.0))),"") </f>
        <v/>
      </c>
      <c r="M2106" s="39">
        <f>IFERROR(IF(OR(J2106=0,K2106=""),"",IF(E2106="Positivo",MAX(K2106/J2106,0),MAX(J2106/K2106,0))),"") </f>
        <v/>
      </c>
      <c r="P2106" t="n">
        <v>0</v>
      </c>
      <c r="Q2106" t="n">
        <v>0</v>
      </c>
      <c r="R2106" t="inlineStr">
        <is>
          <t>418-2023-09-30</t>
        </is>
      </c>
    </row>
    <row r="2107">
      <c r="A2107" t="n">
        <v>418</v>
      </c>
      <c r="B2107" t="inlineStr">
        <is>
          <t>Cumplimiento Plan Anual Vicerrectoría Académica</t>
        </is>
      </c>
      <c r="D2107" t="inlineStr">
        <is>
          <t>Trimestral</t>
        </is>
      </c>
      <c r="E2107" t="inlineStr">
        <is>
          <t>Positivo</t>
        </is>
      </c>
      <c r="F2107" s="111" t="n">
        <v>45291</v>
      </c>
      <c r="G2107" t="n">
        <v>2023</v>
      </c>
      <c r="H2107" t="inlineStr">
        <is>
          <t>Diciembre</t>
        </is>
      </c>
      <c r="I2107" t="inlineStr">
        <is>
          <t>2023-2</t>
        </is>
      </c>
      <c r="J2107" t="n">
        <v>100</v>
      </c>
      <c r="K2107" t="n">
        <v>95.802222222222</v>
      </c>
      <c r="L2107" s="39">
        <f>IFERROR(IF(OR(J2107=0,K2107=""),"",IF(E2107="Positivo",MIN(MAX(K2107/J2107,0),1.0),MIN(MAX(J2107/K2107,0),1.0))),"") </f>
        <v/>
      </c>
      <c r="M2107" s="39">
        <f>IFERROR(IF(OR(J2107=0,K2107=""),"",IF(E2107="Positivo",MAX(K2107/J2107,0),MAX(J2107/K2107,0))),"") </f>
        <v/>
      </c>
      <c r="P2107" t="n">
        <v>0</v>
      </c>
      <c r="Q2107" t="n">
        <v>0</v>
      </c>
      <c r="R2107" t="inlineStr">
        <is>
          <t>418-2023-12-31</t>
        </is>
      </c>
    </row>
    <row r="2108">
      <c r="A2108" t="n">
        <v>418</v>
      </c>
      <c r="B2108" t="inlineStr">
        <is>
          <t>Cumplimiento Plan Anual Vicerrectoría Académica</t>
        </is>
      </c>
      <c r="C2108" t="inlineStr">
        <is>
          <t>Planeación Estratégica</t>
        </is>
      </c>
      <c r="D2108" t="inlineStr">
        <is>
          <t>Trimestral</t>
        </is>
      </c>
      <c r="E2108" t="inlineStr">
        <is>
          <t>Positivo</t>
        </is>
      </c>
      <c r="F2108" s="111" t="n">
        <v>45382</v>
      </c>
      <c r="G2108" t="n">
        <v>2024</v>
      </c>
      <c r="H2108" t="inlineStr">
        <is>
          <t>Marzo</t>
        </is>
      </c>
      <c r="I2108" t="inlineStr">
        <is>
          <t>2024-1</t>
        </is>
      </c>
      <c r="J2108" t="n">
        <v>100</v>
      </c>
      <c r="K2108" t="n">
        <v>105.5</v>
      </c>
      <c r="L2108" s="39">
        <f>IFERROR(IF(OR(J2108=0,K2108=""),"",IF(E2108="Positivo",MIN(MAX(K2108/J2108,0),1.0),MIN(MAX(J2108/K2108,0),1.0))),"") </f>
        <v/>
      </c>
      <c r="M2108" s="39">
        <f>IFERROR(IF(OR(J2108=0,K2108=""),"",IF(E2108="Positivo",MAX(K2108/J2108,0),MAX(J2108/K2108,0))),"") </f>
        <v/>
      </c>
      <c r="P2108" t="n">
        <v>0</v>
      </c>
      <c r="Q2108" t="n">
        <v>0</v>
      </c>
      <c r="R2108" t="inlineStr">
        <is>
          <t>418-2024-03-31</t>
        </is>
      </c>
    </row>
    <row r="2109">
      <c r="A2109" t="n">
        <v>418</v>
      </c>
      <c r="B2109" t="inlineStr">
        <is>
          <t>Cumplimiento Plan Anual Vicerrectoría Académica</t>
        </is>
      </c>
      <c r="C2109" t="inlineStr">
        <is>
          <t>Planeación Estratégica</t>
        </is>
      </c>
      <c r="D2109" t="inlineStr">
        <is>
          <t>Trimestral</t>
        </is>
      </c>
      <c r="E2109" t="inlineStr">
        <is>
          <t>Positivo</t>
        </is>
      </c>
      <c r="F2109" s="111" t="n">
        <v>45473</v>
      </c>
      <c r="G2109" t="n">
        <v>2024</v>
      </c>
      <c r="H2109" t="inlineStr">
        <is>
          <t>Junio</t>
        </is>
      </c>
      <c r="I2109" t="inlineStr">
        <is>
          <t>2024-1</t>
        </is>
      </c>
      <c r="J2109" t="n">
        <v>100</v>
      </c>
      <c r="K2109" t="n">
        <v>100.79</v>
      </c>
      <c r="L2109" s="39">
        <f>IFERROR(IF(OR(J2109=0,K2109=""),"",IF(E2109="Positivo",MIN(MAX(K2109/J2109,0),1.0),MIN(MAX(J2109/K2109,0),1.0))),"") </f>
        <v/>
      </c>
      <c r="M2109" s="39">
        <f>IFERROR(IF(OR(J2109=0,K2109=""),"",IF(E2109="Positivo",MAX(K2109/J2109,0),MAX(J2109/K2109,0))),"") </f>
        <v/>
      </c>
      <c r="P2109" t="n">
        <v>0</v>
      </c>
      <c r="Q2109" t="n">
        <v>0</v>
      </c>
      <c r="R2109" t="inlineStr">
        <is>
          <t>418-2024-06-30</t>
        </is>
      </c>
    </row>
    <row r="2110">
      <c r="A2110" t="n">
        <v>418</v>
      </c>
      <c r="B2110" t="inlineStr">
        <is>
          <t>Cumplimiento Plan Anual Vicerrectoría Académica</t>
        </is>
      </c>
      <c r="C2110" t="inlineStr">
        <is>
          <t>Planeación Estratégica</t>
        </is>
      </c>
      <c r="D2110" t="inlineStr">
        <is>
          <t>Trimestral</t>
        </is>
      </c>
      <c r="E2110" t="inlineStr">
        <is>
          <t>Positivo</t>
        </is>
      </c>
      <c r="F2110" s="111" t="n">
        <v>45565</v>
      </c>
      <c r="G2110" t="n">
        <v>2024</v>
      </c>
      <c r="H2110" t="inlineStr">
        <is>
          <t>Septiembre</t>
        </is>
      </c>
      <c r="I2110" t="inlineStr">
        <is>
          <t>2024-2</t>
        </is>
      </c>
      <c r="J2110" t="n">
        <v>100</v>
      </c>
      <c r="K2110" t="n">
        <v>97.2</v>
      </c>
      <c r="L2110" s="39">
        <f>IFERROR(IF(OR(J2110=0,K2110=""),"",IF(E2110="Positivo",MIN(MAX(K2110/J2110,0),1.0),MIN(MAX(J2110/K2110,0),1.0))),"") </f>
        <v/>
      </c>
      <c r="M2110" s="39">
        <f>IFERROR(IF(OR(J2110=0,K2110=""),"",IF(E2110="Positivo",MAX(K2110/J2110,0),MAX(J2110/K2110,0))),"") </f>
        <v/>
      </c>
      <c r="P2110" t="n">
        <v>0</v>
      </c>
      <c r="Q2110" t="n">
        <v>0</v>
      </c>
      <c r="R2110" t="inlineStr">
        <is>
          <t>418-2024-09-30</t>
        </is>
      </c>
    </row>
    <row r="2111">
      <c r="A2111" t="n">
        <v>418</v>
      </c>
      <c r="B2111" t="inlineStr">
        <is>
          <t>Cumplimiento Plan Anual Vicerrectoría Académica</t>
        </is>
      </c>
      <c r="C2111" t="inlineStr">
        <is>
          <t>Planeación Estratégica</t>
        </is>
      </c>
      <c r="D2111" t="inlineStr">
        <is>
          <t>Trimestral</t>
        </is>
      </c>
      <c r="E2111" t="inlineStr">
        <is>
          <t>Positivo</t>
        </is>
      </c>
      <c r="F2111" s="111" t="n">
        <v>45657</v>
      </c>
      <c r="G2111" t="n">
        <v>2024</v>
      </c>
      <c r="H2111" t="inlineStr">
        <is>
          <t>Diciembre</t>
        </is>
      </c>
      <c r="I2111" t="inlineStr">
        <is>
          <t>2024-2</t>
        </is>
      </c>
      <c r="J2111" t="n">
        <v>100</v>
      </c>
      <c r="K2111" t="n">
        <v>97.78</v>
      </c>
      <c r="L2111" s="39">
        <f>IFERROR(IF(OR(J2111=0,K2111=""),"",IF(E2111="Positivo",MIN(MAX(K2111/J2111,0),1.0),MIN(MAX(J2111/K2111,0),1.0))),"") </f>
        <v/>
      </c>
      <c r="M2111" s="39">
        <f>IFERROR(IF(OR(J2111=0,K2111=""),"",IF(E2111="Positivo",MAX(K2111/J2111,0),MAX(J2111/K2111,0))),"") </f>
        <v/>
      </c>
      <c r="P2111" t="n">
        <v>0</v>
      </c>
      <c r="Q2111" t="n">
        <v>0</v>
      </c>
      <c r="R2111" t="inlineStr">
        <is>
          <t>418-2024-12-31</t>
        </is>
      </c>
    </row>
    <row r="2112">
      <c r="A2112" t="n">
        <v>418</v>
      </c>
      <c r="B2112" t="inlineStr">
        <is>
          <t>Cumplimiento Plan Anual Vicerrectoría Académica</t>
        </is>
      </c>
      <c r="C2112" t="inlineStr">
        <is>
          <t>Planeación Estratégica</t>
        </is>
      </c>
      <c r="D2112" t="inlineStr">
        <is>
          <t>Semestral</t>
        </is>
      </c>
      <c r="E2112" t="inlineStr">
        <is>
          <t>Positivo</t>
        </is>
      </c>
      <c r="F2112" s="111" t="n">
        <v>45747</v>
      </c>
      <c r="G2112" t="n">
        <v>2025</v>
      </c>
      <c r="H2112" t="inlineStr">
        <is>
          <t>Marzo</t>
        </is>
      </c>
      <c r="I2112" t="inlineStr">
        <is>
          <t>2025-1</t>
        </is>
      </c>
      <c r="J2112" t="n">
        <v>100</v>
      </c>
      <c r="K2112" t="n">
        <v>246.7</v>
      </c>
      <c r="L2112" s="39">
        <f>IFERROR(IF(OR(J2112=0,K2112=""),"",IF(E2112="Positivo",MIN(MAX(K2112/J2112,0),1.0),MIN(MAX(J2112/K2112,0),1.0))),"") </f>
        <v/>
      </c>
      <c r="M2112" s="39">
        <f>IFERROR(IF(OR(J2112=0,K2112=""),"",IF(E2112="Positivo",MAX(K2112/J2112,0),MAX(J2112/K2112,0))),"") </f>
        <v/>
      </c>
      <c r="N2112" t="inlineStr">
        <is>
          <t>%</t>
        </is>
      </c>
      <c r="O2112" t="inlineStr">
        <is>
          <t>%</t>
        </is>
      </c>
      <c r="P2112" t="n">
        <v>0</v>
      </c>
      <c r="Q2112" t="n">
        <v>0</v>
      </c>
      <c r="R2112" t="inlineStr">
        <is>
          <t>418-2025-03-31</t>
        </is>
      </c>
    </row>
    <row r="2113">
      <c r="A2113" t="n">
        <v>418</v>
      </c>
      <c r="B2113" t="inlineStr">
        <is>
          <t>Cumplimiento Plan Anual Vicerrectoría Académica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11" t="n">
        <v>45838</v>
      </c>
      <c r="G2113" t="n">
        <v>2025</v>
      </c>
      <c r="H2113" t="inlineStr">
        <is>
          <t>Junio</t>
        </is>
      </c>
      <c r="I2113" t="inlineStr">
        <is>
          <t>2025-1</t>
        </is>
      </c>
      <c r="J2113" t="n">
        <v>100</v>
      </c>
      <c r="K2113" t="n">
        <v>105.83</v>
      </c>
      <c r="L2113" s="39">
        <f>IFERROR(IF(OR(J2113=0,K2113=""),"",IF(E2113="Positivo",MIN(MAX(K2113/J2113,0),1.0),MIN(MAX(J2113/K2113,0),1.0))),"") </f>
        <v/>
      </c>
      <c r="M2113" s="39">
        <f>IFERROR(IF(OR(J2113=0,K2113=""),"",IF(E2113="Positivo",MAX(K2113/J2113,0),MAX(J2113/K2113,0))),"") </f>
        <v/>
      </c>
      <c r="N2113" t="inlineStr">
        <is>
          <t>%</t>
        </is>
      </c>
      <c r="O2113" t="inlineStr">
        <is>
          <t>%</t>
        </is>
      </c>
      <c r="P2113" t="n">
        <v>0</v>
      </c>
      <c r="Q2113" t="n">
        <v>0</v>
      </c>
      <c r="R2113" t="inlineStr">
        <is>
          <t>418-2025-06-30</t>
        </is>
      </c>
    </row>
    <row r="2114">
      <c r="A2114" t="n">
        <v>418</v>
      </c>
      <c r="B2114" t="inlineStr">
        <is>
          <t>Cumplimiento Plan Anual Vicerrectoría Académica</t>
        </is>
      </c>
      <c r="C2114" t="inlineStr">
        <is>
          <t>Planeación Estratégica</t>
        </is>
      </c>
      <c r="D2114" t="inlineStr">
        <is>
          <t>Semestral</t>
        </is>
      </c>
      <c r="E2114" t="inlineStr">
        <is>
          <t>Positivo</t>
        </is>
      </c>
      <c r="F2114" s="111" t="n">
        <v>45930</v>
      </c>
      <c r="G2114" t="n">
        <v>2025</v>
      </c>
      <c r="H2114" t="inlineStr">
        <is>
          <t>Septiembre</t>
        </is>
      </c>
      <c r="I2114" t="inlineStr">
        <is>
          <t>2025-2</t>
        </is>
      </c>
      <c r="J2114" t="n">
        <v>100</v>
      </c>
      <c r="K2114" t="n">
        <v>93.95999999999999</v>
      </c>
      <c r="L2114" s="39">
        <f>IFERROR(IF(OR(J2114=0,K2114=""),"",IF(E2114="Positivo",MIN(MAX(K2114/J2114,0),1.0),MIN(MAX(J2114/K2114,0),1.0))),"") </f>
        <v/>
      </c>
      <c r="M2114" s="39">
        <f>IFERROR(IF(OR(J2114=0,K2114=""),"",IF(E2114="Positivo",MAX(K2114/J2114,0),MAX(J2114/K2114,0))),"") </f>
        <v/>
      </c>
      <c r="N2114" t="inlineStr">
        <is>
          <t>%</t>
        </is>
      </c>
      <c r="O2114" t="inlineStr">
        <is>
          <t>%</t>
        </is>
      </c>
      <c r="P2114" t="n">
        <v>0</v>
      </c>
      <c r="Q2114" t="n">
        <v>0</v>
      </c>
      <c r="R2114" t="inlineStr">
        <is>
          <t>418-2025-09-30</t>
        </is>
      </c>
    </row>
    <row r="2115">
      <c r="A2115" t="n">
        <v>418</v>
      </c>
      <c r="B2115" t="inlineStr">
        <is>
          <t>Cumplimiento Plan Anual Vicerrectoría Académica</t>
        </is>
      </c>
      <c r="C2115" t="inlineStr">
        <is>
          <t>Planeación Estratégica</t>
        </is>
      </c>
      <c r="D2115" t="inlineStr">
        <is>
          <t>Semestral</t>
        </is>
      </c>
      <c r="E2115" t="inlineStr">
        <is>
          <t>Positivo</t>
        </is>
      </c>
      <c r="F2115" s="111" t="n">
        <v>46022</v>
      </c>
      <c r="G2115" t="n">
        <v>2025</v>
      </c>
      <c r="H2115" t="inlineStr">
        <is>
          <t>Diciembre</t>
        </is>
      </c>
      <c r="I2115" t="inlineStr">
        <is>
          <t>2025-2</t>
        </is>
      </c>
      <c r="J2115" t="n">
        <v>100</v>
      </c>
      <c r="K2115" t="n">
        <v>99.61</v>
      </c>
      <c r="L2115" s="39">
        <f>IFERROR(IF(OR(J2115=0,K2115=""),"",IF(E2115="Positivo",MIN(MAX(K2115/J2115,0),1.0),MIN(MAX(J2115/K2115,0),1.0))),"") </f>
        <v/>
      </c>
      <c r="M2115" s="39">
        <f>IFERROR(IF(OR(J2115=0,K2115=""),"",IF(E2115="Positivo",MAX(K2115/J2115,0),MAX(J2115/K2115,0))),"") </f>
        <v/>
      </c>
      <c r="N2115" t="inlineStr">
        <is>
          <t>%</t>
        </is>
      </c>
      <c r="O2115" t="inlineStr">
        <is>
          <t>%</t>
        </is>
      </c>
      <c r="P2115" t="n">
        <v>0</v>
      </c>
      <c r="Q2115" t="n">
        <v>0</v>
      </c>
      <c r="R2115" t="inlineStr">
        <is>
          <t>418-2025-12-31</t>
        </is>
      </c>
    </row>
    <row r="2116">
      <c r="A2116" t="n">
        <v>419</v>
      </c>
      <c r="B2116" t="inlineStr">
        <is>
          <t>Cumplimiento Plan Anual Áreas sede Medellín</t>
        </is>
      </c>
      <c r="D2116" t="inlineStr">
        <is>
          <t>Trimestral</t>
        </is>
      </c>
      <c r="E2116" t="inlineStr">
        <is>
          <t>Positivo</t>
        </is>
      </c>
      <c r="F2116" s="111" t="n">
        <v>45107</v>
      </c>
      <c r="G2116" t="n">
        <v>2023</v>
      </c>
      <c r="H2116" t="inlineStr">
        <is>
          <t>Junio</t>
        </is>
      </c>
      <c r="I2116" t="inlineStr">
        <is>
          <t>2023-1</t>
        </is>
      </c>
      <c r="J2116" t="n">
        <v>100</v>
      </c>
      <c r="K2116" t="n">
        <v>108.3</v>
      </c>
      <c r="L2116" s="39">
        <f>IFERROR(IF(OR(J2116=0,K2116=""),"",IF(E2116="Positivo",MIN(MAX(K2116/J2116,0),1.3),MIN(MAX(J2116/K2116,0),1.3))),"") </f>
        <v/>
      </c>
      <c r="M2116" s="39">
        <f>IFERROR(IF(OR(J2116=0,K2116=""),"",IF(E2116="Positivo",MAX(K2116/J2116,0),MAX(J2116/K2116,0))),"") </f>
        <v/>
      </c>
      <c r="N2116" t="inlineStr">
        <is>
          <t>%</t>
        </is>
      </c>
      <c r="O2116" t="inlineStr">
        <is>
          <t>%</t>
        </is>
      </c>
      <c r="P2116" t="n">
        <v>0</v>
      </c>
      <c r="Q2116" t="n">
        <v>0</v>
      </c>
      <c r="R2116" t="inlineStr">
        <is>
          <t>419-2023-06-30</t>
        </is>
      </c>
    </row>
    <row r="2117">
      <c r="A2117" t="n">
        <v>419</v>
      </c>
      <c r="B2117" t="inlineStr">
        <is>
          <t>Cumplimiento Plan Anual Áreas sede Medellín</t>
        </is>
      </c>
      <c r="D2117" t="inlineStr">
        <is>
          <t>Trimestral</t>
        </is>
      </c>
      <c r="E2117" t="inlineStr">
        <is>
          <t>Positivo</t>
        </is>
      </c>
      <c r="F2117" s="111" t="n">
        <v>45199</v>
      </c>
      <c r="G2117" t="n">
        <v>2023</v>
      </c>
      <c r="H2117" t="inlineStr">
        <is>
          <t>Septiembre</t>
        </is>
      </c>
      <c r="I2117" t="inlineStr">
        <is>
          <t>2023-2</t>
        </is>
      </c>
      <c r="J2117" t="n">
        <v>100</v>
      </c>
      <c r="K2117" t="n">
        <v>88.34999999999999</v>
      </c>
      <c r="L2117" s="39">
        <f>IFERROR(IF(OR(J2117=0,K2117=""),"",IF(E2117="Positivo",MIN(MAX(K2117/J2117,0),1.3),MIN(MAX(J2117/K2117,0),1.3))),"") </f>
        <v/>
      </c>
      <c r="M2117" s="39">
        <f>IFERROR(IF(OR(J2117=0,K2117=""),"",IF(E2117="Positivo",MAX(K2117/J2117,0),MAX(J2117/K2117,0))),"") </f>
        <v/>
      </c>
      <c r="N2117" t="inlineStr">
        <is>
          <t>%</t>
        </is>
      </c>
      <c r="O2117" t="inlineStr">
        <is>
          <t>%</t>
        </is>
      </c>
      <c r="P2117" t="n">
        <v>0</v>
      </c>
      <c r="Q2117" t="n">
        <v>0</v>
      </c>
      <c r="R2117" t="inlineStr">
        <is>
          <t>419-2023-09-30</t>
        </is>
      </c>
    </row>
    <row r="2118">
      <c r="A2118" t="n">
        <v>419</v>
      </c>
      <c r="B2118" t="inlineStr">
        <is>
          <t>Cumplimiento Plan Anual Áreas sede Medellín</t>
        </is>
      </c>
      <c r="D2118" t="inlineStr">
        <is>
          <t>Trimestral</t>
        </is>
      </c>
      <c r="E2118" t="inlineStr">
        <is>
          <t>Positivo</t>
        </is>
      </c>
      <c r="F2118" s="111" t="n">
        <v>45291</v>
      </c>
      <c r="G2118" t="n">
        <v>2023</v>
      </c>
      <c r="H2118" t="inlineStr">
        <is>
          <t>Diciembre</t>
        </is>
      </c>
      <c r="I2118" t="inlineStr">
        <is>
          <t>2023-2</t>
        </is>
      </c>
      <c r="J2118" t="n">
        <v>100</v>
      </c>
      <c r="K2118" t="n">
        <v>93.56</v>
      </c>
      <c r="L2118" s="39">
        <f>IFERROR(IF(OR(J2118=0,K2118=""),"",IF(E2118="Positivo",MIN(MAX(K2118/J2118,0),1.3),MIN(MAX(J2118/K2118,0),1.3))),"") </f>
        <v/>
      </c>
      <c r="M2118" s="39">
        <f>IFERROR(IF(OR(J2118=0,K2118=""),"",IF(E2118="Positivo",MAX(K2118/J2118,0),MAX(J2118/K2118,0))),"") </f>
        <v/>
      </c>
      <c r="N2118" t="inlineStr">
        <is>
          <t>%</t>
        </is>
      </c>
      <c r="O2118" t="inlineStr">
        <is>
          <t>%</t>
        </is>
      </c>
      <c r="P2118" t="n">
        <v>0</v>
      </c>
      <c r="Q2118" t="n">
        <v>0</v>
      </c>
      <c r="R2118" t="inlineStr">
        <is>
          <t>419-2023-12-31</t>
        </is>
      </c>
    </row>
    <row r="2119">
      <c r="A2119" t="n">
        <v>420</v>
      </c>
      <c r="B2119" t="inlineStr">
        <is>
          <t>Cumplimiento Plan Anual Gerencia de estrategia</t>
        </is>
      </c>
      <c r="C2119" t="inlineStr">
        <is>
          <t>Planeación Estratégica</t>
        </is>
      </c>
      <c r="D2119" t="inlineStr">
        <is>
          <t>Semestral</t>
        </is>
      </c>
      <c r="E2119" t="inlineStr">
        <is>
          <t>Positivo</t>
        </is>
      </c>
      <c r="F2119" s="111" t="n">
        <v>45016</v>
      </c>
      <c r="G2119" t="n">
        <v>2023</v>
      </c>
      <c r="H2119" t="inlineStr">
        <is>
          <t>Marzo</t>
        </is>
      </c>
      <c r="I2119" t="inlineStr">
        <is>
          <t>2023-1</t>
        </is>
      </c>
      <c r="J2119" t="n">
        <v>100</v>
      </c>
      <c r="K2119" t="n">
        <v>0</v>
      </c>
      <c r="L2119" s="39">
        <f>IFERROR(IF(OR(J2119=0,K2119=""),"",IF(E2119="Positivo",MIN(MAX(K2119/J2119,0),1.0),MIN(MAX(J2119/K2119,0),1.0))),"") </f>
        <v/>
      </c>
      <c r="M2119" s="39">
        <f>IFERROR(IF(OR(J2119=0,K2119=""),"",IF(E2119="Positivo",MAX(K2119/J2119,0),MAX(J2119/K2119,0))),"") </f>
        <v/>
      </c>
      <c r="N2119" t="inlineStr">
        <is>
          <t>%</t>
        </is>
      </c>
      <c r="O2119" t="inlineStr">
        <is>
          <t>%</t>
        </is>
      </c>
      <c r="P2119" t="n">
        <v>0</v>
      </c>
      <c r="Q2119" t="n">
        <v>0</v>
      </c>
      <c r="R2119" t="inlineStr">
        <is>
          <t>420-2023-03-31</t>
        </is>
      </c>
    </row>
    <row r="2120">
      <c r="A2120" t="n">
        <v>420</v>
      </c>
      <c r="B2120" t="inlineStr">
        <is>
          <t>Cumplimiento Plan Anual Gerencia de estrategia</t>
        </is>
      </c>
      <c r="D2120" t="inlineStr">
        <is>
          <t>Trimestral</t>
        </is>
      </c>
      <c r="E2120" t="inlineStr">
        <is>
          <t>Positivo</t>
        </is>
      </c>
      <c r="F2120" s="111" t="n">
        <v>45107</v>
      </c>
      <c r="G2120" t="n">
        <v>2023</v>
      </c>
      <c r="H2120" t="inlineStr">
        <is>
          <t>Junio</t>
        </is>
      </c>
      <c r="I2120" t="inlineStr">
        <is>
          <t>2023-1</t>
        </is>
      </c>
      <c r="J2120" t="n">
        <v>100</v>
      </c>
      <c r="K2120" t="n">
        <v>106.53</v>
      </c>
      <c r="L2120" s="39">
        <f>IFERROR(IF(OR(J2120=0,K2120=""),"",IF(E2120="Positivo",MIN(MAX(K2120/J2120,0),1.0),MIN(MAX(J2120/K2120,0),1.0))),"") </f>
        <v/>
      </c>
      <c r="M2120" s="39">
        <f>IFERROR(IF(OR(J2120=0,K2120=""),"",IF(E2120="Positivo",MAX(K2120/J2120,0),MAX(J2120/K2120,0))),"") </f>
        <v/>
      </c>
      <c r="N2120" t="inlineStr">
        <is>
          <t>%</t>
        </is>
      </c>
      <c r="O2120" t="inlineStr">
        <is>
          <t>%</t>
        </is>
      </c>
      <c r="P2120" t="n">
        <v>0</v>
      </c>
      <c r="Q2120" t="n">
        <v>0</v>
      </c>
      <c r="R2120" t="inlineStr">
        <is>
          <t>420-2023-06-30</t>
        </is>
      </c>
    </row>
    <row r="2121">
      <c r="A2121" t="n">
        <v>420</v>
      </c>
      <c r="B2121" t="inlineStr">
        <is>
          <t>Cumplimiento Plan Anual Gerencia de estrategia</t>
        </is>
      </c>
      <c r="D2121" t="inlineStr">
        <is>
          <t>Trimestral</t>
        </is>
      </c>
      <c r="E2121" t="inlineStr">
        <is>
          <t>Positivo</t>
        </is>
      </c>
      <c r="F2121" s="111" t="n">
        <v>45199</v>
      </c>
      <c r="G2121" t="n">
        <v>2023</v>
      </c>
      <c r="H2121" t="inlineStr">
        <is>
          <t>Septiembre</t>
        </is>
      </c>
      <c r="I2121" t="inlineStr">
        <is>
          <t>2023-2</t>
        </is>
      </c>
      <c r="J2121" t="n">
        <v>100</v>
      </c>
      <c r="K2121" t="n">
        <v>94.69</v>
      </c>
      <c r="L2121" s="39">
        <f>IFERROR(IF(OR(J2121=0,K2121=""),"",IF(E2121="Positivo",MIN(MAX(K2121/J2121,0),1.0),MIN(MAX(J2121/K2121,0),1.0))),"") </f>
        <v/>
      </c>
      <c r="M2121" s="39">
        <f>IFERROR(IF(OR(J2121=0,K2121=""),"",IF(E2121="Positivo",MAX(K2121/J2121,0),MAX(J2121/K2121,0))),"") </f>
        <v/>
      </c>
      <c r="N2121" t="inlineStr">
        <is>
          <t>%</t>
        </is>
      </c>
      <c r="O2121" t="inlineStr">
        <is>
          <t>%</t>
        </is>
      </c>
      <c r="P2121" t="n">
        <v>0</v>
      </c>
      <c r="Q2121" t="n">
        <v>0</v>
      </c>
      <c r="R2121" t="inlineStr">
        <is>
          <t>420-2023-09-30</t>
        </is>
      </c>
    </row>
    <row r="2122">
      <c r="A2122" t="n">
        <v>420</v>
      </c>
      <c r="B2122" t="inlineStr">
        <is>
          <t>Cumplimiento Plan Anual Gerencia de estrategia</t>
        </is>
      </c>
      <c r="D2122" t="inlineStr">
        <is>
          <t>Trimestral</t>
        </is>
      </c>
      <c r="E2122" t="inlineStr">
        <is>
          <t>Positivo</t>
        </is>
      </c>
      <c r="F2122" s="111" t="n">
        <v>45291</v>
      </c>
      <c r="G2122" t="n">
        <v>2023</v>
      </c>
      <c r="H2122" t="inlineStr">
        <is>
          <t>Diciembre</t>
        </is>
      </c>
      <c r="I2122" t="inlineStr">
        <is>
          <t>2023-2</t>
        </is>
      </c>
      <c r="J2122" t="n">
        <v>100</v>
      </c>
      <c r="K2122" t="n">
        <v>100</v>
      </c>
      <c r="L2122" s="39">
        <f>IFERROR(IF(OR(J2122=0,K2122=""),"",IF(E2122="Positivo",MIN(MAX(K2122/J2122,0),1.0),MIN(MAX(J2122/K2122,0),1.0))),"") </f>
        <v/>
      </c>
      <c r="M2122" s="39">
        <f>IFERROR(IF(OR(J2122=0,K2122=""),"",IF(E2122="Positivo",MAX(K2122/J2122,0),MAX(J2122/K2122,0))),"") </f>
        <v/>
      </c>
      <c r="N2122" t="inlineStr">
        <is>
          <t>%</t>
        </is>
      </c>
      <c r="O2122" t="inlineStr">
        <is>
          <t>%</t>
        </is>
      </c>
      <c r="P2122" t="n">
        <v>0</v>
      </c>
      <c r="Q2122" t="n">
        <v>0</v>
      </c>
      <c r="R2122" t="inlineStr">
        <is>
          <t>420-2023-12-31</t>
        </is>
      </c>
    </row>
    <row r="2123">
      <c r="A2123" t="n">
        <v>420</v>
      </c>
      <c r="B2123" t="inlineStr">
        <is>
          <t>Cumplimiento Plan Anual Gerencia de estrategia</t>
        </is>
      </c>
      <c r="C2123" t="inlineStr">
        <is>
          <t>Planeación Estratégica</t>
        </is>
      </c>
      <c r="D2123" t="inlineStr">
        <is>
          <t>Trimestral</t>
        </is>
      </c>
      <c r="E2123" t="inlineStr">
        <is>
          <t>Positivo</t>
        </is>
      </c>
      <c r="F2123" s="111" t="n">
        <v>45473</v>
      </c>
      <c r="G2123" t="n">
        <v>2024</v>
      </c>
      <c r="H2123" t="inlineStr">
        <is>
          <t>Junio</t>
        </is>
      </c>
      <c r="I2123" t="inlineStr">
        <is>
          <t>2024-1</t>
        </is>
      </c>
      <c r="J2123" t="n">
        <v>100</v>
      </c>
      <c r="K2123" t="n">
        <v>89.33</v>
      </c>
      <c r="L2123" s="39">
        <f>IFERROR(IF(OR(J2123=0,K2123=""),"",IF(E2123="Positivo",MIN(MAX(K2123/J2123,0),1.0),MIN(MAX(J2123/K2123,0),1.0))),"") </f>
        <v/>
      </c>
      <c r="M2123" s="39">
        <f>IFERROR(IF(OR(J2123=0,K2123=""),"",IF(E2123="Positivo",MAX(K2123/J2123,0),MAX(J2123/K2123,0))),"") </f>
        <v/>
      </c>
      <c r="N2123" t="inlineStr">
        <is>
          <t>%</t>
        </is>
      </c>
      <c r="O2123" t="inlineStr">
        <is>
          <t>%</t>
        </is>
      </c>
      <c r="P2123" t="n">
        <v>0</v>
      </c>
      <c r="Q2123" t="n">
        <v>0</v>
      </c>
      <c r="R2123" t="inlineStr">
        <is>
          <t>420-2024-06-30</t>
        </is>
      </c>
    </row>
    <row r="2124">
      <c r="A2124" t="n">
        <v>420</v>
      </c>
      <c r="B2124" t="inlineStr">
        <is>
          <t>Cumplimiento Plan Anual Gerencia de estrategia</t>
        </is>
      </c>
      <c r="C2124" t="inlineStr">
        <is>
          <t>Planeación Estratégica</t>
        </is>
      </c>
      <c r="D2124" t="inlineStr">
        <is>
          <t>Trimestral</t>
        </is>
      </c>
      <c r="E2124" t="inlineStr">
        <is>
          <t>Positivo</t>
        </is>
      </c>
      <c r="F2124" s="111" t="n">
        <v>45565</v>
      </c>
      <c r="G2124" t="n">
        <v>2024</v>
      </c>
      <c r="H2124" t="inlineStr">
        <is>
          <t>Septiembre</t>
        </is>
      </c>
      <c r="I2124" t="inlineStr">
        <is>
          <t>2024-2</t>
        </is>
      </c>
      <c r="J2124" t="n">
        <v>100</v>
      </c>
      <c r="K2124" t="n">
        <v>102.36</v>
      </c>
      <c r="L2124" s="39">
        <f>IFERROR(IF(OR(J2124=0,K2124=""),"",IF(E2124="Positivo",MIN(MAX(K2124/J2124,0),1.0),MIN(MAX(J2124/K2124,0),1.0))),"") </f>
        <v/>
      </c>
      <c r="M2124" s="39">
        <f>IFERROR(IF(OR(J2124=0,K2124=""),"",IF(E2124="Positivo",MAX(K2124/J2124,0),MAX(J2124/K2124,0))),"") </f>
        <v/>
      </c>
      <c r="N2124" t="inlineStr">
        <is>
          <t>%</t>
        </is>
      </c>
      <c r="O2124" t="inlineStr">
        <is>
          <t>%</t>
        </is>
      </c>
      <c r="P2124" t="n">
        <v>0</v>
      </c>
      <c r="Q2124" t="n">
        <v>0</v>
      </c>
      <c r="R2124" t="inlineStr">
        <is>
          <t>420-2024-09-30</t>
        </is>
      </c>
    </row>
    <row r="2125">
      <c r="A2125" t="n">
        <v>420</v>
      </c>
      <c r="B2125" t="inlineStr">
        <is>
          <t>Cumplimiento Plan Anual Gerencia de estrategia</t>
        </is>
      </c>
      <c r="C2125" t="inlineStr">
        <is>
          <t>Planeación Estratégica</t>
        </is>
      </c>
      <c r="D2125" t="inlineStr">
        <is>
          <t>Trimestral</t>
        </is>
      </c>
      <c r="E2125" t="inlineStr">
        <is>
          <t>Positivo</t>
        </is>
      </c>
      <c r="F2125" s="111" t="n">
        <v>45657</v>
      </c>
      <c r="G2125" t="n">
        <v>2024</v>
      </c>
      <c r="H2125" t="inlineStr">
        <is>
          <t>Diciembre</t>
        </is>
      </c>
      <c r="I2125" t="inlineStr">
        <is>
          <t>2024-2</t>
        </is>
      </c>
      <c r="J2125" t="n">
        <v>100</v>
      </c>
      <c r="K2125" t="n">
        <v>96.67</v>
      </c>
      <c r="L2125" s="39">
        <f>IFERROR(IF(OR(J2125=0,K2125=""),"",IF(E2125="Positivo",MIN(MAX(K2125/J2125,0),1.0),MIN(MAX(J2125/K2125,0),1.0))),"") </f>
        <v/>
      </c>
      <c r="M2125" s="39">
        <f>IFERROR(IF(OR(J2125=0,K2125=""),"",IF(E2125="Positivo",MAX(K2125/J2125,0),MAX(J2125/K2125,0))),"") </f>
        <v/>
      </c>
      <c r="N2125" t="inlineStr">
        <is>
          <t>%</t>
        </is>
      </c>
      <c r="O2125" t="inlineStr">
        <is>
          <t>%</t>
        </is>
      </c>
      <c r="P2125" t="n">
        <v>0</v>
      </c>
      <c r="Q2125" t="n">
        <v>0</v>
      </c>
      <c r="R2125" t="inlineStr">
        <is>
          <t>420-2024-12-31</t>
        </is>
      </c>
    </row>
    <row r="2126">
      <c r="A2126" t="n">
        <v>420</v>
      </c>
      <c r="B2126" t="inlineStr">
        <is>
          <t>Cumplimiento Plan Anual Gerencia de estrategia</t>
        </is>
      </c>
      <c r="C2126" t="inlineStr">
        <is>
          <t>Planeación Estratégica</t>
        </is>
      </c>
      <c r="D2126" t="inlineStr">
        <is>
          <t>Semestral</t>
        </is>
      </c>
      <c r="E2126" t="inlineStr">
        <is>
          <t>Positivo</t>
        </is>
      </c>
      <c r="F2126" s="111" t="n">
        <v>45747</v>
      </c>
      <c r="G2126" t="n">
        <v>2025</v>
      </c>
      <c r="H2126" t="inlineStr">
        <is>
          <t>Marzo</t>
        </is>
      </c>
      <c r="I2126" t="inlineStr">
        <is>
          <t>2025-1</t>
        </is>
      </c>
      <c r="J2126" t="n">
        <v>100</v>
      </c>
      <c r="K2126" t="n">
        <v>122.2</v>
      </c>
      <c r="L2126" s="39">
        <f>IFERROR(IF(OR(J2126=0,K2126=""),"",IF(E2126="Positivo",MIN(MAX(K2126/J2126,0),1.0),MIN(MAX(J2126/K2126,0),1.0))),"") </f>
        <v/>
      </c>
      <c r="M2126" s="39">
        <f>IFERROR(IF(OR(J2126=0,K2126=""),"",IF(E2126="Positivo",MAX(K2126/J2126,0),MAX(J2126/K2126,0))),"") </f>
        <v/>
      </c>
      <c r="N2126" t="inlineStr">
        <is>
          <t>%</t>
        </is>
      </c>
      <c r="O2126" t="inlineStr">
        <is>
          <t>%</t>
        </is>
      </c>
      <c r="P2126" t="n">
        <v>0</v>
      </c>
      <c r="Q2126" t="n">
        <v>0</v>
      </c>
      <c r="R2126" t="inlineStr">
        <is>
          <t>420-2025-03-31</t>
        </is>
      </c>
    </row>
    <row r="2127">
      <c r="A2127" t="n">
        <v>420</v>
      </c>
      <c r="B2127" t="inlineStr">
        <is>
          <t>Cumplimiento Plan Anual Gerencia de estrategia</t>
        </is>
      </c>
      <c r="C2127" t="inlineStr">
        <is>
          <t>Planeación Estratégica</t>
        </is>
      </c>
      <c r="D2127" t="inlineStr">
        <is>
          <t>Semestral</t>
        </is>
      </c>
      <c r="E2127" t="inlineStr">
        <is>
          <t>Positivo</t>
        </is>
      </c>
      <c r="F2127" s="111" t="n">
        <v>45838</v>
      </c>
      <c r="G2127" t="n">
        <v>2025</v>
      </c>
      <c r="H2127" t="inlineStr">
        <is>
          <t>Junio</t>
        </is>
      </c>
      <c r="I2127" t="inlineStr">
        <is>
          <t>2025-1</t>
        </is>
      </c>
      <c r="J2127" t="n">
        <v>100</v>
      </c>
      <c r="K2127" t="n">
        <v>108.52</v>
      </c>
      <c r="L2127" s="39">
        <f>IFERROR(IF(OR(J2127=0,K2127=""),"",IF(E2127="Positivo",MIN(MAX(K2127/J2127,0),1.0),MIN(MAX(J2127/K2127,0),1.0))),"") </f>
        <v/>
      </c>
      <c r="M2127" s="39">
        <f>IFERROR(IF(OR(J2127=0,K2127=""),"",IF(E2127="Positivo",MAX(K2127/J2127,0),MAX(J2127/K2127,0))),"") </f>
        <v/>
      </c>
      <c r="N2127" t="inlineStr">
        <is>
          <t>%</t>
        </is>
      </c>
      <c r="O2127" t="inlineStr">
        <is>
          <t>%</t>
        </is>
      </c>
      <c r="P2127" t="n">
        <v>0</v>
      </c>
      <c r="Q2127" t="n">
        <v>0</v>
      </c>
      <c r="R2127" t="inlineStr">
        <is>
          <t>420-2025-06-30</t>
        </is>
      </c>
    </row>
    <row r="2128">
      <c r="A2128" t="n">
        <v>420</v>
      </c>
      <c r="B2128" t="inlineStr">
        <is>
          <t>Cumplimiento Plan Anual Gerencia de estrategia</t>
        </is>
      </c>
      <c r="C2128" t="inlineStr">
        <is>
          <t>Planeación Estratégica</t>
        </is>
      </c>
      <c r="D2128" t="inlineStr">
        <is>
          <t>Semestral</t>
        </is>
      </c>
      <c r="E2128" t="inlineStr">
        <is>
          <t>Positivo</t>
        </is>
      </c>
      <c r="F2128" s="111" t="n">
        <v>45930</v>
      </c>
      <c r="G2128" t="n">
        <v>2025</v>
      </c>
      <c r="H2128" t="inlineStr">
        <is>
          <t>Septiembre</t>
        </is>
      </c>
      <c r="I2128" t="inlineStr">
        <is>
          <t>2025-2</t>
        </is>
      </c>
      <c r="J2128" t="n">
        <v>100</v>
      </c>
      <c r="K2128" t="n">
        <v>100.3</v>
      </c>
      <c r="L2128" s="39">
        <f>IFERROR(IF(OR(J2128=0,K2128=""),"",IF(E2128="Positivo",MIN(MAX(K2128/J2128,0),1.0),MIN(MAX(J2128/K2128,0),1.0))),"") </f>
        <v/>
      </c>
      <c r="M2128" s="39">
        <f>IFERROR(IF(OR(J2128=0,K2128=""),"",IF(E2128="Positivo",MAX(K2128/J2128,0),MAX(J2128/K2128,0))),"") </f>
        <v/>
      </c>
      <c r="N2128" t="inlineStr">
        <is>
          <t>%</t>
        </is>
      </c>
      <c r="O2128" t="inlineStr">
        <is>
          <t>%</t>
        </is>
      </c>
      <c r="P2128" t="n">
        <v>0</v>
      </c>
      <c r="Q2128" t="n">
        <v>0</v>
      </c>
      <c r="R2128" t="inlineStr">
        <is>
          <t>420-2025-09-30</t>
        </is>
      </c>
    </row>
    <row r="2129">
      <c r="A2129" t="n">
        <v>420</v>
      </c>
      <c r="B2129" t="inlineStr">
        <is>
          <t>Cumplimiento Plan Anual Gerencia de estrategia</t>
        </is>
      </c>
      <c r="C2129" t="inlineStr">
        <is>
          <t>Planeación Estratégica</t>
        </is>
      </c>
      <c r="D2129" t="inlineStr">
        <is>
          <t>Semestral</t>
        </is>
      </c>
      <c r="E2129" t="inlineStr">
        <is>
          <t>Positivo</t>
        </is>
      </c>
      <c r="F2129" s="111" t="n">
        <v>46022</v>
      </c>
      <c r="G2129" t="n">
        <v>2025</v>
      </c>
      <c r="H2129" t="inlineStr">
        <is>
          <t>Diciembre</t>
        </is>
      </c>
      <c r="I2129" t="inlineStr">
        <is>
          <t>2025-2</t>
        </is>
      </c>
      <c r="J2129" t="n">
        <v>100</v>
      </c>
      <c r="K2129" t="n">
        <v>100</v>
      </c>
      <c r="L2129" s="39">
        <f>IFERROR(IF(OR(J2129=0,K2129=""),"",IF(E2129="Positivo",MIN(MAX(K2129/J2129,0),1.0),MIN(MAX(J2129/K2129,0),1.0))),"") </f>
        <v/>
      </c>
      <c r="M2129" s="39">
        <f>IFERROR(IF(OR(J2129=0,K2129=""),"",IF(E2129="Positivo",MAX(K2129/J2129,0),MAX(J2129/K2129,0))),"") </f>
        <v/>
      </c>
      <c r="N2129" t="inlineStr">
        <is>
          <t>%</t>
        </is>
      </c>
      <c r="O2129" t="inlineStr">
        <is>
          <t>%</t>
        </is>
      </c>
      <c r="P2129" t="n">
        <v>0</v>
      </c>
      <c r="Q2129" t="n">
        <v>0</v>
      </c>
      <c r="R2129" t="inlineStr">
        <is>
          <t>420-2025-12-31</t>
        </is>
      </c>
    </row>
    <row r="2130">
      <c r="A2130" t="n">
        <v>421</v>
      </c>
      <c r="B2130" t="inlineStr">
        <is>
          <t>Total Leads por canales de captación</t>
        </is>
      </c>
      <c r="C2130" t="inlineStr">
        <is>
          <t>Mercadeo de programas académicos</t>
        </is>
      </c>
      <c r="D2130" t="inlineStr">
        <is>
          <t>Semestral</t>
        </is>
      </c>
      <c r="E2130" t="inlineStr">
        <is>
          <t>Positivo</t>
        </is>
      </c>
      <c r="F2130" s="111" t="n">
        <v>45107</v>
      </c>
      <c r="G2130" t="n">
        <v>2023</v>
      </c>
      <c r="H2130" t="inlineStr">
        <is>
          <t>Junio</t>
        </is>
      </c>
      <c r="I2130" t="inlineStr">
        <is>
          <t>2023-1</t>
        </is>
      </c>
      <c r="J2130" t="n">
        <v>104072</v>
      </c>
      <c r="K2130" t="n">
        <v>140002</v>
      </c>
      <c r="L2130" s="39">
        <f>IFERROR(IF(OR(J2130=0,K2130=""),"",IF(E2130="Positivo",MIN(MAX(K2130/J2130,0),1.3),MIN(MAX(J2130/K2130,0),1.3))),"") </f>
        <v/>
      </c>
      <c r="M2130" s="39">
        <f>IFERROR(IF(OR(J2130=0,K2130=""),"",IF(E2130="Positivo",MAX(K2130/J2130,0),MAX(J2130/K2130,0))),"") </f>
        <v/>
      </c>
      <c r="N2130" t="inlineStr">
        <is>
          <t>%</t>
        </is>
      </c>
      <c r="O2130" t="inlineStr">
        <is>
          <t>%</t>
        </is>
      </c>
      <c r="P2130" t="n">
        <v>0</v>
      </c>
      <c r="Q2130" t="n">
        <v>0</v>
      </c>
      <c r="R2130" t="inlineStr">
        <is>
          <t>421-2023-06-30</t>
        </is>
      </c>
    </row>
    <row r="2131">
      <c r="A2131" t="n">
        <v>421</v>
      </c>
      <c r="B2131" t="inlineStr">
        <is>
          <t>Total Leads por canales de captación</t>
        </is>
      </c>
      <c r="C2131" t="inlineStr">
        <is>
          <t>Mercadeo de programas académicos</t>
        </is>
      </c>
      <c r="D2131" t="inlineStr">
        <is>
          <t>Semestral</t>
        </is>
      </c>
      <c r="E2131" t="inlineStr">
        <is>
          <t>Positivo</t>
        </is>
      </c>
      <c r="F2131" s="111" t="n">
        <v>45291</v>
      </c>
      <c r="G2131" t="n">
        <v>2023</v>
      </c>
      <c r="H2131" t="inlineStr">
        <is>
          <t>Diciembre</t>
        </is>
      </c>
      <c r="I2131" t="inlineStr">
        <is>
          <t>2023-2</t>
        </is>
      </c>
      <c r="J2131" t="n">
        <v>97200</v>
      </c>
      <c r="K2131" t="n">
        <v>136199</v>
      </c>
      <c r="L2131" s="39">
        <f>IFERROR(IF(OR(J2131=0,K2131=""),"",IF(E2131="Positivo",MIN(MAX(K2131/J2131,0),1.3),MIN(MAX(J2131/K2131,0),1.3))),"") </f>
        <v/>
      </c>
      <c r="M2131" s="39">
        <f>IFERROR(IF(OR(J2131=0,K2131=""),"",IF(E2131="Positivo",MAX(K2131/J2131,0),MAX(J2131/K2131,0))),"") </f>
        <v/>
      </c>
      <c r="N2131" t="inlineStr">
        <is>
          <t>%</t>
        </is>
      </c>
      <c r="O2131" t="inlineStr">
        <is>
          <t>%</t>
        </is>
      </c>
      <c r="P2131" t="n">
        <v>0</v>
      </c>
      <c r="Q2131" t="n">
        <v>0</v>
      </c>
      <c r="R2131" t="inlineStr">
        <is>
          <t>421-2023-12-31</t>
        </is>
      </c>
    </row>
    <row r="2132">
      <c r="A2132" t="n">
        <v>421</v>
      </c>
      <c r="B2132" t="inlineStr">
        <is>
          <t>Total Leads por canales de captación</t>
        </is>
      </c>
      <c r="C2132" t="inlineStr">
        <is>
          <t>Mercadeo de programas académicos</t>
        </is>
      </c>
      <c r="D2132" t="inlineStr">
        <is>
          <t>Semestral</t>
        </is>
      </c>
      <c r="E2132" t="inlineStr">
        <is>
          <t>Positivo</t>
        </is>
      </c>
      <c r="F2132" s="111" t="n">
        <v>45473</v>
      </c>
      <c r="G2132" t="n">
        <v>2024</v>
      </c>
      <c r="H2132" t="inlineStr">
        <is>
          <t>Junio</t>
        </is>
      </c>
      <c r="I2132" t="inlineStr">
        <is>
          <t>2024-1</t>
        </is>
      </c>
      <c r="J2132" t="n">
        <v>147043</v>
      </c>
      <c r="K2132" t="n">
        <v>177740</v>
      </c>
      <c r="L2132" s="39">
        <f>IFERROR(IF(OR(J2132=0,K2132=""),"",IF(E2132="Positivo",MIN(MAX(K2132/J2132,0),1.3),MIN(MAX(J2132/K2132,0),1.3))),"") </f>
        <v/>
      </c>
      <c r="M2132" s="39">
        <f>IFERROR(IF(OR(J2132=0,K2132=""),"",IF(E2132="Positivo",MAX(K2132/J2132,0),MAX(J2132/K2132,0))),"") </f>
        <v/>
      </c>
      <c r="N2132" t="inlineStr">
        <is>
          <t>%</t>
        </is>
      </c>
      <c r="O2132" t="inlineStr">
        <is>
          <t>%</t>
        </is>
      </c>
      <c r="P2132" t="n">
        <v>0</v>
      </c>
      <c r="Q2132" t="n">
        <v>0</v>
      </c>
      <c r="R2132" t="inlineStr">
        <is>
          <t>421-2024-06-30</t>
        </is>
      </c>
    </row>
    <row r="2133">
      <c r="A2133" t="n">
        <v>421</v>
      </c>
      <c r="B2133" t="inlineStr">
        <is>
          <t>Total Leads por canales de captación</t>
        </is>
      </c>
      <c r="C2133" t="inlineStr">
        <is>
          <t>Mercadeo de programas académicos</t>
        </is>
      </c>
      <c r="D2133" t="inlineStr">
        <is>
          <t>Semestral</t>
        </is>
      </c>
      <c r="E2133" t="inlineStr">
        <is>
          <t>Positivo</t>
        </is>
      </c>
      <c r="F2133" s="111" t="n">
        <v>45657</v>
      </c>
      <c r="G2133" t="n">
        <v>2024</v>
      </c>
      <c r="H2133" t="inlineStr">
        <is>
          <t>Diciembre</t>
        </is>
      </c>
      <c r="I2133" t="inlineStr">
        <is>
          <t>2024-2</t>
        </is>
      </c>
      <c r="J2133" t="n">
        <v>100</v>
      </c>
      <c r="K2133" t="n">
        <v>121.44</v>
      </c>
      <c r="L2133" s="39">
        <f>IFERROR(IF(OR(J2133=0,K2133=""),"",IF(E2133="Positivo",MIN(MAX(K2133/J2133,0),1.3),MIN(MAX(J2133/K2133,0),1.3))),"") </f>
        <v/>
      </c>
      <c r="M2133" s="39">
        <f>IFERROR(IF(OR(J2133=0,K2133=""),"",IF(E2133="Positivo",MAX(K2133/J2133,0),MAX(J2133/K2133,0))),"") </f>
        <v/>
      </c>
      <c r="P2133" t="n">
        <v>0</v>
      </c>
      <c r="Q2133" t="n">
        <v>0</v>
      </c>
      <c r="R2133" t="inlineStr">
        <is>
          <t>421-2024-12-31</t>
        </is>
      </c>
    </row>
    <row r="2134">
      <c r="A2134" t="n">
        <v>422</v>
      </c>
      <c r="B2134" t="inlineStr">
        <is>
          <t>Total conversión</t>
        </is>
      </c>
      <c r="C2134" t="inlineStr">
        <is>
          <t>Mercadeo de programas académicos</t>
        </is>
      </c>
      <c r="D2134" t="inlineStr">
        <is>
          <t>Semestral</t>
        </is>
      </c>
      <c r="E2134" t="inlineStr">
        <is>
          <t>Positivo</t>
        </is>
      </c>
      <c r="F2134" s="111" t="n">
        <v>45107</v>
      </c>
      <c r="G2134" t="n">
        <v>2023</v>
      </c>
      <c r="H2134" t="inlineStr">
        <is>
          <t>Junio</t>
        </is>
      </c>
      <c r="I2134" t="inlineStr">
        <is>
          <t>2023-1</t>
        </is>
      </c>
      <c r="J2134" t="n">
        <v>11.7</v>
      </c>
      <c r="K2134" t="n">
        <v>11.973211368834</v>
      </c>
      <c r="L2134" s="39">
        <f>IFERROR(IF(OR(J2134=0,K2134=""),"",IF(E2134="Positivo",MIN(MAX(K2134/J2134,0),1.3),MIN(MAX(J2134/K2134,0),1.3))),"") </f>
        <v/>
      </c>
      <c r="M2134" s="39">
        <f>IFERROR(IF(OR(J2134=0,K2134=""),"",IF(E2134="Positivo",MAX(K2134/J2134,0),MAX(J2134/K2134,0))),"") </f>
        <v/>
      </c>
      <c r="N2134" t="inlineStr">
        <is>
          <t>%</t>
        </is>
      </c>
      <c r="O2134" t="inlineStr">
        <is>
          <t>%</t>
        </is>
      </c>
      <c r="P2134" t="n">
        <v>2</v>
      </c>
      <c r="Q2134" t="n">
        <v>2</v>
      </c>
      <c r="R2134" t="inlineStr">
        <is>
          <t>422-2023-06-30</t>
        </is>
      </c>
    </row>
    <row r="2135">
      <c r="A2135" t="n">
        <v>422</v>
      </c>
      <c r="B2135" t="inlineStr">
        <is>
          <t>Total conversión</t>
        </is>
      </c>
      <c r="C2135" t="inlineStr">
        <is>
          <t>Mercadeo de programas académicos</t>
        </is>
      </c>
      <c r="D2135" t="inlineStr">
        <is>
          <t>Semestral</t>
        </is>
      </c>
      <c r="E2135" t="inlineStr">
        <is>
          <t>Positivo</t>
        </is>
      </c>
      <c r="F2135" s="111" t="n">
        <v>45291</v>
      </c>
      <c r="G2135" t="n">
        <v>2023</v>
      </c>
      <c r="H2135" t="inlineStr">
        <is>
          <t>Diciembre</t>
        </is>
      </c>
      <c r="I2135" t="inlineStr">
        <is>
          <t>2023-2</t>
        </is>
      </c>
      <c r="J2135" t="n">
        <v>10.5</v>
      </c>
      <c r="K2135" t="n">
        <v>11.04</v>
      </c>
      <c r="L2135" s="39">
        <f>IFERROR(IF(OR(J2135=0,K2135=""),"",IF(E2135="Positivo",MIN(MAX(K2135/J2135,0),1.3),MIN(MAX(J2135/K2135,0),1.3))),"") </f>
        <v/>
      </c>
      <c r="M2135" s="39">
        <f>IFERROR(IF(OR(J2135=0,K2135=""),"",IF(E2135="Positivo",MAX(K2135/J2135,0),MAX(J2135/K2135,0))),"") </f>
        <v/>
      </c>
      <c r="N2135" t="inlineStr">
        <is>
          <t>%</t>
        </is>
      </c>
      <c r="O2135" t="inlineStr">
        <is>
          <t>%</t>
        </is>
      </c>
      <c r="P2135" t="n">
        <v>2</v>
      </c>
      <c r="Q2135" t="n">
        <v>2</v>
      </c>
      <c r="R2135" t="inlineStr">
        <is>
          <t>422-2023-12-31</t>
        </is>
      </c>
    </row>
    <row r="2136">
      <c r="A2136" t="n">
        <v>422</v>
      </c>
      <c r="B2136" t="inlineStr">
        <is>
          <t>Total conversión</t>
        </is>
      </c>
      <c r="C2136" t="inlineStr">
        <is>
          <t>Mercadeo de programas académicos</t>
        </is>
      </c>
      <c r="D2136" t="inlineStr">
        <is>
          <t>Semestral</t>
        </is>
      </c>
      <c r="E2136" t="inlineStr">
        <is>
          <t>Positivo</t>
        </is>
      </c>
      <c r="F2136" s="111" t="n">
        <v>45473</v>
      </c>
      <c r="G2136" t="n">
        <v>2024</v>
      </c>
      <c r="H2136" t="inlineStr">
        <is>
          <t>Junio</t>
        </is>
      </c>
      <c r="I2136" t="inlineStr">
        <is>
          <t>2024-1</t>
        </is>
      </c>
      <c r="J2136" t="n">
        <v>9.25</v>
      </c>
      <c r="K2136" t="n">
        <v>8.859999999999999</v>
      </c>
      <c r="L2136" s="39">
        <f>IFERROR(IF(OR(J2136=0,K2136=""),"",IF(E2136="Positivo",MIN(MAX(K2136/J2136,0),1.3),MIN(MAX(J2136/K2136,0),1.3))),"") </f>
        <v/>
      </c>
      <c r="M2136" s="39">
        <f>IFERROR(IF(OR(J2136=0,K2136=""),"",IF(E2136="Positivo",MAX(K2136/J2136,0),MAX(J2136/K2136,0))),"") </f>
        <v/>
      </c>
      <c r="N2136" t="inlineStr">
        <is>
          <t>%</t>
        </is>
      </c>
      <c r="O2136" t="inlineStr">
        <is>
          <t>%</t>
        </is>
      </c>
      <c r="P2136" t="n">
        <v>2</v>
      </c>
      <c r="Q2136" t="n">
        <v>2</v>
      </c>
      <c r="R2136" t="inlineStr">
        <is>
          <t>422-2024-06-30</t>
        </is>
      </c>
    </row>
    <row r="2137">
      <c r="A2137" t="n">
        <v>422</v>
      </c>
      <c r="B2137" t="inlineStr">
        <is>
          <t>Total conversión</t>
        </is>
      </c>
      <c r="C2137" t="inlineStr">
        <is>
          <t>Mercadeo de programas académicos</t>
        </is>
      </c>
      <c r="D2137" t="inlineStr">
        <is>
          <t>Semestral</t>
        </is>
      </c>
      <c r="E2137" t="inlineStr">
        <is>
          <t>Positivo</t>
        </is>
      </c>
      <c r="F2137" s="111" t="n">
        <v>45657</v>
      </c>
      <c r="G2137" t="n">
        <v>2024</v>
      </c>
      <c r="H2137" t="inlineStr">
        <is>
          <t>Diciembre</t>
        </is>
      </c>
      <c r="I2137" t="inlineStr">
        <is>
          <t>2024-2</t>
        </is>
      </c>
      <c r="J2137" t="n">
        <v>8.01</v>
      </c>
      <c r="K2137" t="n">
        <v>7.91</v>
      </c>
      <c r="L2137" s="39">
        <f>IFERROR(IF(OR(J2137=0,K2137=""),"",IF(E2137="Positivo",MIN(MAX(K2137/J2137,0),1.3),MIN(MAX(J2137/K2137,0),1.3))),"") </f>
        <v/>
      </c>
      <c r="M2137" s="39">
        <f>IFERROR(IF(OR(J2137=0,K2137=""),"",IF(E2137="Positivo",MAX(K2137/J2137,0),MAX(J2137/K2137,0))),"") </f>
        <v/>
      </c>
      <c r="N2137" t="inlineStr">
        <is>
          <t>%</t>
        </is>
      </c>
      <c r="O2137" t="inlineStr">
        <is>
          <t>%</t>
        </is>
      </c>
      <c r="P2137" t="n">
        <v>2</v>
      </c>
      <c r="Q2137" t="n">
        <v>2</v>
      </c>
      <c r="R2137" t="inlineStr">
        <is>
          <t>422-2024-12-31</t>
        </is>
      </c>
    </row>
    <row r="2138">
      <c r="A2138" t="n">
        <v>422</v>
      </c>
      <c r="B2138" t="inlineStr">
        <is>
          <t>Total conversión</t>
        </is>
      </c>
      <c r="C2138" t="inlineStr">
        <is>
          <t>Mercadeo de programas académicos</t>
        </is>
      </c>
      <c r="D2138" t="inlineStr">
        <is>
          <t>Trimestral</t>
        </is>
      </c>
      <c r="E2138" t="inlineStr">
        <is>
          <t>Positivo</t>
        </is>
      </c>
      <c r="F2138" s="111" t="n">
        <v>45838</v>
      </c>
      <c r="G2138" t="n">
        <v>2025</v>
      </c>
      <c r="H2138" t="inlineStr">
        <is>
          <t>Junio</t>
        </is>
      </c>
      <c r="I2138" t="inlineStr">
        <is>
          <t>2025-1</t>
        </is>
      </c>
      <c r="J2138" t="n">
        <v>7.83</v>
      </c>
      <c r="K2138" t="n">
        <v>8.199999999999999</v>
      </c>
      <c r="L2138" s="39">
        <f>IFERROR(IF(OR(J2138=0,K2138=""),"",IF(E2138="Positivo",MIN(MAX(K2138/J2138,0),1.3),MIN(MAX(J2138/K2138,0),1.3))),"") </f>
        <v/>
      </c>
      <c r="M2138" s="39">
        <f>IFERROR(IF(OR(J2138=0,K2138=""),"",IF(E2138="Positivo",MAX(K2138/J2138,0),MAX(J2138/K2138,0))),"") </f>
        <v/>
      </c>
      <c r="N2138" t="inlineStr">
        <is>
          <t>%</t>
        </is>
      </c>
      <c r="O2138" t="inlineStr">
        <is>
          <t>%</t>
        </is>
      </c>
      <c r="P2138" t="n">
        <v>2</v>
      </c>
      <c r="Q2138" t="n">
        <v>2</v>
      </c>
      <c r="R2138" t="inlineStr">
        <is>
          <t>422-2025-06-30</t>
        </is>
      </c>
    </row>
    <row r="2139">
      <c r="A2139" t="n">
        <v>422</v>
      </c>
      <c r="B2139" t="inlineStr">
        <is>
          <t>Total conversión</t>
        </is>
      </c>
      <c r="C2139" t="inlineStr">
        <is>
          <t>Mercadeo de programas académicos</t>
        </is>
      </c>
      <c r="D2139" t="inlineStr">
        <is>
          <t>Trimestral</t>
        </is>
      </c>
      <c r="E2139" t="inlineStr">
        <is>
          <t>Positivo</t>
        </is>
      </c>
      <c r="F2139" s="111" t="n">
        <v>46022</v>
      </c>
      <c r="G2139" t="n">
        <v>2025</v>
      </c>
      <c r="H2139" t="inlineStr">
        <is>
          <t>Diciembre</t>
        </is>
      </c>
      <c r="I2139" t="inlineStr">
        <is>
          <t>2025-2</t>
        </is>
      </c>
      <c r="J2139" t="n">
        <v>7.68</v>
      </c>
      <c r="K2139" t="n">
        <v>7.87</v>
      </c>
      <c r="L2139" s="39">
        <f>IFERROR(IF(OR(J2139=0,K2139=""),"",IF(E2139="Positivo",MIN(MAX(K2139/J2139,0),1.3),MIN(MAX(J2139/K2139,0),1.3))),"") </f>
        <v/>
      </c>
      <c r="M2139" s="39">
        <f>IFERROR(IF(OR(J2139=0,K2139=""),"",IF(E2139="Positivo",MAX(K2139/J2139,0),MAX(J2139/K2139,0))),"") </f>
        <v/>
      </c>
      <c r="N2139" t="inlineStr">
        <is>
          <t>%</t>
        </is>
      </c>
      <c r="O2139" t="inlineStr">
        <is>
          <t>%</t>
        </is>
      </c>
      <c r="P2139" t="n">
        <v>2</v>
      </c>
      <c r="Q2139" t="n">
        <v>2</v>
      </c>
      <c r="R2139" t="inlineStr">
        <is>
          <t>422-2025-12-31</t>
        </is>
      </c>
    </row>
    <row r="2140">
      <c r="A2140" t="n">
        <v>423</v>
      </c>
      <c r="B2140" t="inlineStr">
        <is>
          <t>Brand equity</t>
        </is>
      </c>
      <c r="C2140" t="inlineStr">
        <is>
          <t>Mercadeo de programas académicos</t>
        </is>
      </c>
      <c r="D2140" t="inlineStr">
        <is>
          <t>Anual</t>
        </is>
      </c>
      <c r="E2140" t="inlineStr">
        <is>
          <t>Positivo</t>
        </is>
      </c>
      <c r="F2140" s="111" t="n">
        <v>45291</v>
      </c>
      <c r="G2140" t="n">
        <v>2023</v>
      </c>
      <c r="H2140" t="inlineStr">
        <is>
          <t>Diciembre</t>
        </is>
      </c>
      <c r="I2140" t="inlineStr">
        <is>
          <t>2023-2</t>
        </is>
      </c>
      <c r="J2140" t="n">
        <v>8.4</v>
      </c>
      <c r="K2140" t="n">
        <v>7.9</v>
      </c>
      <c r="L2140" s="39">
        <f>IFERROR(IF(OR(J2140=0,K2140=""),"",IF(E2140="Positivo",MIN(MAX(K2140/J2140,0),1.3),MIN(MAX(J2140/K2140,0),1.3))),"") </f>
        <v/>
      </c>
      <c r="M2140" s="39">
        <f>IFERROR(IF(OR(J2140=0,K2140=""),"",IF(E2140="Positivo",MAX(K2140/J2140,0),MAX(J2140/K2140,0))),"") </f>
        <v/>
      </c>
      <c r="N2140" t="inlineStr">
        <is>
          <t>%</t>
        </is>
      </c>
      <c r="O2140" t="inlineStr">
        <is>
          <t>%</t>
        </is>
      </c>
      <c r="P2140" t="n">
        <v>1</v>
      </c>
      <c r="Q2140" t="n">
        <v>1</v>
      </c>
      <c r="R2140" t="inlineStr">
        <is>
          <t>423-2023-12-31</t>
        </is>
      </c>
    </row>
    <row r="2141">
      <c r="A2141" t="n">
        <v>423</v>
      </c>
      <c r="B2141" t="inlineStr">
        <is>
          <t>Brand equity</t>
        </is>
      </c>
      <c r="C2141" t="inlineStr">
        <is>
          <t>Mercadeo de programas académicos</t>
        </is>
      </c>
      <c r="D2141" t="inlineStr">
        <is>
          <t>Anual</t>
        </is>
      </c>
      <c r="E2141" t="inlineStr">
        <is>
          <t>Positivo</t>
        </is>
      </c>
      <c r="F2141" s="111" t="n">
        <v>45657</v>
      </c>
      <c r="G2141" t="n">
        <v>2024</v>
      </c>
      <c r="H2141" t="inlineStr">
        <is>
          <t>Diciembre</t>
        </is>
      </c>
      <c r="I2141" t="inlineStr">
        <is>
          <t>2024-2</t>
        </is>
      </c>
      <c r="J2141" t="n">
        <v>8.300000000000001</v>
      </c>
      <c r="K2141" t="n">
        <v>12.3</v>
      </c>
      <c r="L2141" s="39">
        <f>IFERROR(IF(OR(J2141=0,K2141=""),"",IF(E2141="Positivo",MIN(MAX(K2141/J2141,0),1.3),MIN(MAX(J2141/K2141,0),1.3))),"") </f>
        <v/>
      </c>
      <c r="M2141" s="39">
        <f>IFERROR(IF(OR(J2141=0,K2141=""),"",IF(E2141="Positivo",MAX(K2141/J2141,0),MAX(J2141/K2141,0))),"") </f>
        <v/>
      </c>
      <c r="P2141" t="n">
        <v>1</v>
      </c>
      <c r="Q2141" t="n">
        <v>1</v>
      </c>
      <c r="R2141" t="inlineStr">
        <is>
          <t>423-2024-12-31</t>
        </is>
      </c>
    </row>
    <row r="2142">
      <c r="A2142" t="n">
        <v>423</v>
      </c>
      <c r="B2142" t="inlineStr">
        <is>
          <t>Brand equity</t>
        </is>
      </c>
      <c r="C2142" t="inlineStr">
        <is>
          <t>Mercadeo de programas académicos</t>
        </is>
      </c>
      <c r="D2142" t="inlineStr">
        <is>
          <t>Anual</t>
        </is>
      </c>
      <c r="E2142" t="inlineStr">
        <is>
          <t>Positivo</t>
        </is>
      </c>
      <c r="F2142" s="111" t="n">
        <v>46022</v>
      </c>
      <c r="G2142" t="n">
        <v>2025</v>
      </c>
      <c r="H2142" t="inlineStr">
        <is>
          <t>Diciembre</t>
        </is>
      </c>
      <c r="I2142" t="inlineStr">
        <is>
          <t>2025-2</t>
        </is>
      </c>
      <c r="J2142" t="n">
        <v>12.3</v>
      </c>
      <c r="K2142" t="n">
        <v>15.1</v>
      </c>
      <c r="L2142" s="39">
        <f>IFERROR(IF(OR(J2142=0,K2142=""),"",IF(E2142="Positivo",MIN(MAX(K2142/J2142,0),1.3),MIN(MAX(J2142/K2142,0),1.3))),"") </f>
        <v/>
      </c>
      <c r="M2142" s="39">
        <f>IFERROR(IF(OR(J2142=0,K2142=""),"",IF(E2142="Positivo",MAX(K2142/J2142,0),MAX(J2142/K2142,0))),"") </f>
        <v/>
      </c>
      <c r="N2142" t="inlineStr">
        <is>
          <t>DEC</t>
        </is>
      </c>
      <c r="O2142" t="inlineStr">
        <is>
          <t>DEC</t>
        </is>
      </c>
      <c r="P2142" t="n">
        <v>1</v>
      </c>
      <c r="Q2142" t="n">
        <v>1</v>
      </c>
      <c r="R2142" t="inlineStr">
        <is>
          <t>423-2025-12-31</t>
        </is>
      </c>
    </row>
    <row r="2143">
      <c r="A2143" t="n">
        <v>424</v>
      </c>
      <c r="B2143" t="inlineStr">
        <is>
          <t>Conocimiento espontaneo</t>
        </is>
      </c>
      <c r="C2143" t="inlineStr">
        <is>
          <t>Mercadeo de programas académicos</t>
        </is>
      </c>
      <c r="D2143" t="inlineStr">
        <is>
          <t>Anual</t>
        </is>
      </c>
      <c r="E2143" t="inlineStr">
        <is>
          <t>Positivo</t>
        </is>
      </c>
      <c r="F2143" s="111" t="n">
        <v>45291</v>
      </c>
      <c r="G2143" t="n">
        <v>2023</v>
      </c>
      <c r="H2143" t="inlineStr">
        <is>
          <t>Diciembre</t>
        </is>
      </c>
      <c r="I2143" t="inlineStr">
        <is>
          <t>2023-2</t>
        </is>
      </c>
      <c r="J2143" t="n">
        <v>92</v>
      </c>
      <c r="K2143" t="n">
        <v>6</v>
      </c>
      <c r="L2143" s="39">
        <f>IFERROR(IF(OR(J2143=0,K2143=""),"",IF(E2143="Positivo",MIN(MAX(K2143/J2143,0),1.3),MIN(MAX(J2143/K2143,0),1.3))),"") </f>
        <v/>
      </c>
      <c r="M2143" s="39">
        <f>IFERROR(IF(OR(J2143=0,K2143=""),"",IF(E2143="Positivo",MAX(K2143/J2143,0),MAX(J2143/K2143,0))),"") </f>
        <v/>
      </c>
      <c r="P2143" t="n">
        <v>0</v>
      </c>
      <c r="Q2143" t="n">
        <v>0</v>
      </c>
      <c r="R2143" t="inlineStr">
        <is>
          <t>424-2023-12-31</t>
        </is>
      </c>
    </row>
    <row r="2144">
      <c r="A2144" t="n">
        <v>424</v>
      </c>
      <c r="B2144" t="inlineStr">
        <is>
          <t>Conocimiento espontaneo</t>
        </is>
      </c>
      <c r="C2144" t="inlineStr">
        <is>
          <t>Mercadeo de programas académicos</t>
        </is>
      </c>
      <c r="D2144" t="inlineStr">
        <is>
          <t>Anual</t>
        </is>
      </c>
      <c r="E2144" t="inlineStr">
        <is>
          <t>Positivo</t>
        </is>
      </c>
      <c r="F2144" s="111" t="n">
        <v>45657</v>
      </c>
      <c r="G2144" t="n">
        <v>2024</v>
      </c>
      <c r="H2144" t="inlineStr">
        <is>
          <t>Diciembre</t>
        </is>
      </c>
      <c r="I2144" t="inlineStr">
        <is>
          <t>2024-2</t>
        </is>
      </c>
      <c r="J2144" t="n">
        <v>7</v>
      </c>
      <c r="K2144" t="n">
        <v>9</v>
      </c>
      <c r="L2144" s="39">
        <f>IFERROR(IF(OR(J2144=0,K2144=""),"",IF(E2144="Positivo",MIN(MAX(K2144/J2144,0),1.3),MIN(MAX(J2144/K2144,0),1.3))),"") </f>
        <v/>
      </c>
      <c r="M2144" s="39">
        <f>IFERROR(IF(OR(J2144=0,K2144=""),"",IF(E2144="Positivo",MAX(K2144/J2144,0),MAX(J2144/K2144,0))),"") </f>
        <v/>
      </c>
      <c r="P2144" t="n">
        <v>0</v>
      </c>
      <c r="Q2144" t="n">
        <v>0</v>
      </c>
      <c r="R2144" t="inlineStr">
        <is>
          <t>424-2024-12-31</t>
        </is>
      </c>
    </row>
    <row r="2145">
      <c r="A2145" t="n">
        <v>424</v>
      </c>
      <c r="B2145" t="inlineStr">
        <is>
          <t>Conocimiento espontáneo</t>
        </is>
      </c>
      <c r="C2145" t="inlineStr">
        <is>
          <t>Mercadeo de programas académicos</t>
        </is>
      </c>
      <c r="D2145" t="inlineStr">
        <is>
          <t>Anual</t>
        </is>
      </c>
      <c r="E2145" t="inlineStr">
        <is>
          <t>Positivo</t>
        </is>
      </c>
      <c r="F2145" s="111" t="n">
        <v>46022</v>
      </c>
      <c r="G2145" t="n">
        <v>2025</v>
      </c>
      <c r="H2145" t="inlineStr">
        <is>
          <t>Diciembre</t>
        </is>
      </c>
      <c r="I2145" t="inlineStr">
        <is>
          <t>2025-2</t>
        </is>
      </c>
      <c r="J2145" t="n">
        <v>9</v>
      </c>
      <c r="K2145" t="n">
        <v>11</v>
      </c>
      <c r="L2145" s="39">
        <f>IFERROR(IF(OR(J2145=0,K2145=""),"",IF(E2145="Positivo",MIN(MAX(K2145/J2145,0),1.3),MIN(MAX(J2145/K2145,0),1.3))),"") </f>
        <v/>
      </c>
      <c r="M2145" s="39">
        <f>IFERROR(IF(OR(J2145=0,K2145=""),"",IF(E2145="Positivo",MAX(K2145/J2145,0),MAX(J2145/K2145,0))),"") </f>
        <v/>
      </c>
      <c r="N2145" t="inlineStr">
        <is>
          <t>ENT</t>
        </is>
      </c>
      <c r="O2145" t="inlineStr">
        <is>
          <t>ENT</t>
        </is>
      </c>
      <c r="P2145" t="n">
        <v>0</v>
      </c>
      <c r="Q2145" t="n">
        <v>0</v>
      </c>
      <c r="R2145" t="inlineStr">
        <is>
          <t>424-2025-12-31</t>
        </is>
      </c>
    </row>
    <row r="2146">
      <c r="A2146" t="n">
        <v>425</v>
      </c>
      <c r="B2146" t="inlineStr">
        <is>
          <t>Cumplimiento Leads Educación para la vida</t>
        </is>
      </c>
      <c r="C2146" t="inlineStr">
        <is>
          <t>Mercadeo y venta de educación para la vida</t>
        </is>
      </c>
      <c r="D2146" t="inlineStr">
        <is>
          <t>Anual</t>
        </is>
      </c>
      <c r="E2146" t="inlineStr">
        <is>
          <t>Positivo</t>
        </is>
      </c>
      <c r="F2146" s="111" t="n">
        <v>45291</v>
      </c>
      <c r="G2146" t="n">
        <v>2023</v>
      </c>
      <c r="H2146" t="inlineStr">
        <is>
          <t>Diciembre</t>
        </is>
      </c>
      <c r="I2146" t="inlineStr">
        <is>
          <t>2023-2</t>
        </is>
      </c>
      <c r="J2146" t="n">
        <v>5500</v>
      </c>
      <c r="K2146" t="n">
        <v>5785</v>
      </c>
      <c r="L2146" s="39">
        <f>IFERROR(IF(OR(J2146=0,K2146=""),"",IF(E2146="Positivo",MIN(MAX(K2146/J2146,0),1.3),MIN(MAX(J2146/K2146,0),1.3))),"") </f>
        <v/>
      </c>
      <c r="M2146" s="39">
        <f>IFERROR(IF(OR(J2146=0,K2146=""),"",IF(E2146="Positivo",MAX(K2146/J2146,0),MAX(J2146/K2146,0))),"") </f>
        <v/>
      </c>
      <c r="N2146" t="inlineStr">
        <is>
          <t>$</t>
        </is>
      </c>
      <c r="O2146" t="inlineStr">
        <is>
          <t>$</t>
        </is>
      </c>
      <c r="P2146" t="n">
        <v>0</v>
      </c>
      <c r="Q2146" t="n">
        <v>0</v>
      </c>
      <c r="R2146" t="inlineStr">
        <is>
          <t>425-2023-12-31</t>
        </is>
      </c>
    </row>
    <row r="2147">
      <c r="A2147" t="n">
        <v>425</v>
      </c>
      <c r="B2147" t="inlineStr">
        <is>
          <t>Cumplimiento Leads Educación para la vida</t>
        </is>
      </c>
      <c r="C2147" t="inlineStr">
        <is>
          <t>Mercadeo y venta de educación para la vida</t>
        </is>
      </c>
      <c r="D2147" t="inlineStr">
        <is>
          <t>Semestral</t>
        </is>
      </c>
      <c r="E2147" t="inlineStr">
        <is>
          <t>Positivo</t>
        </is>
      </c>
      <c r="F2147" s="111" t="n">
        <v>45473</v>
      </c>
      <c r="G2147" t="n">
        <v>2024</v>
      </c>
      <c r="H2147" t="inlineStr">
        <is>
          <t>Junio</t>
        </is>
      </c>
      <c r="I2147" t="inlineStr">
        <is>
          <t>2024-1</t>
        </is>
      </c>
      <c r="J2147" t="n">
        <v>100</v>
      </c>
      <c r="K2147" t="n">
        <v>60.69</v>
      </c>
      <c r="L2147" s="39">
        <f>IFERROR(IF(OR(J2147=0,K2147=""),"",IF(E2147="Positivo",MIN(MAX(K2147/J2147,0),1.3),MIN(MAX(J2147/K2147,0),1.3))),"") </f>
        <v/>
      </c>
      <c r="M2147" s="39">
        <f>IFERROR(IF(OR(J2147=0,K2147=""),"",IF(E2147="Positivo",MAX(K2147/J2147,0),MAX(J2147/K2147,0))),"") </f>
        <v/>
      </c>
      <c r="N2147" t="inlineStr">
        <is>
          <t>ENT</t>
        </is>
      </c>
      <c r="O2147" t="inlineStr">
        <is>
          <t>ENT</t>
        </is>
      </c>
      <c r="P2147" t="n">
        <v>0</v>
      </c>
      <c r="Q2147" t="n">
        <v>0</v>
      </c>
      <c r="R2147" t="inlineStr">
        <is>
          <t>425-2024-06-30</t>
        </is>
      </c>
    </row>
    <row r="2148">
      <c r="A2148" t="n">
        <v>425</v>
      </c>
      <c r="B2148" t="inlineStr">
        <is>
          <t>Cumplimiento Leads Educación para la vida</t>
        </is>
      </c>
      <c r="C2148" t="inlineStr">
        <is>
          <t>Mercadeo y venta de educación para la vida</t>
        </is>
      </c>
      <c r="D2148" t="inlineStr">
        <is>
          <t>Semestral</t>
        </is>
      </c>
      <c r="E2148" t="inlineStr">
        <is>
          <t>Positivo</t>
        </is>
      </c>
      <c r="F2148" s="111" t="n">
        <v>45657</v>
      </c>
      <c r="G2148" t="n">
        <v>2024</v>
      </c>
      <c r="H2148" t="inlineStr">
        <is>
          <t>Diciembre</t>
        </is>
      </c>
      <c r="I2148" t="inlineStr">
        <is>
          <t>2024-2</t>
        </is>
      </c>
      <c r="J2148" t="n">
        <v>100</v>
      </c>
      <c r="K2148" t="n">
        <v>164.69</v>
      </c>
      <c r="L2148" s="39">
        <f>IFERROR(IF(OR(J2148=0,K2148=""),"",IF(E2148="Positivo",MIN(MAX(K2148/J2148,0),1.3),MIN(MAX(J2148/K2148,0),1.3))),"") </f>
        <v/>
      </c>
      <c r="M2148" s="39">
        <f>IFERROR(IF(OR(J2148=0,K2148=""),"",IF(E2148="Positivo",MAX(K2148/J2148,0),MAX(J2148/K2148,0))),"") </f>
        <v/>
      </c>
      <c r="N2148" t="inlineStr">
        <is>
          <t>ENT</t>
        </is>
      </c>
      <c r="O2148" t="inlineStr">
        <is>
          <t>ENT</t>
        </is>
      </c>
      <c r="P2148" t="n">
        <v>0</v>
      </c>
      <c r="Q2148" t="n">
        <v>0</v>
      </c>
      <c r="R2148" t="inlineStr">
        <is>
          <t>425-2024-12-31</t>
        </is>
      </c>
    </row>
    <row r="2149">
      <c r="A2149" t="n">
        <v>426</v>
      </c>
      <c r="B2149" t="inlineStr">
        <is>
          <t>Cumplimiento en la respuesta a solicitudes de comunicaciones internas</t>
        </is>
      </c>
      <c r="C2149" t="inlineStr">
        <is>
          <t>Comunicaciones Internas</t>
        </is>
      </c>
      <c r="D2149" t="inlineStr">
        <is>
          <t>Semestral</t>
        </is>
      </c>
      <c r="E2149" t="inlineStr">
        <is>
          <t>Positivo</t>
        </is>
      </c>
      <c r="F2149" s="111" t="n">
        <v>45107</v>
      </c>
      <c r="G2149" t="n">
        <v>2023</v>
      </c>
      <c r="H2149" t="inlineStr">
        <is>
          <t>Junio</t>
        </is>
      </c>
      <c r="I2149" t="inlineStr">
        <is>
          <t>2023-1</t>
        </is>
      </c>
      <c r="K2149" t="n">
        <v>86.98</v>
      </c>
      <c r="L2149" s="39" t="n"/>
      <c r="M2149" s="39" t="n"/>
      <c r="N2149" t="inlineStr">
        <is>
          <t>Linea Base</t>
        </is>
      </c>
      <c r="O2149" t="inlineStr">
        <is>
          <t>%</t>
        </is>
      </c>
      <c r="P2149" t="n">
        <v>0</v>
      </c>
      <c r="Q2149" t="n">
        <v>0</v>
      </c>
      <c r="R2149" t="inlineStr">
        <is>
          <t>426-2023-06-30</t>
        </is>
      </c>
    </row>
    <row r="2150">
      <c r="A2150" t="n">
        <v>426</v>
      </c>
      <c r="B2150" t="inlineStr">
        <is>
          <t>Cumplimiento en la respuesta a solicitudes de comunicaciones internas</t>
        </is>
      </c>
      <c r="C2150" t="inlineStr">
        <is>
          <t>Comunicaciones Internas</t>
        </is>
      </c>
      <c r="D2150" t="inlineStr">
        <is>
          <t>Semestral</t>
        </is>
      </c>
      <c r="E2150" t="inlineStr">
        <is>
          <t>Positivo</t>
        </is>
      </c>
      <c r="F2150" s="111" t="n">
        <v>45291</v>
      </c>
      <c r="G2150" t="n">
        <v>2023</v>
      </c>
      <c r="H2150" t="inlineStr">
        <is>
          <t>Diciembre</t>
        </is>
      </c>
      <c r="I2150" t="inlineStr">
        <is>
          <t>2023-2</t>
        </is>
      </c>
      <c r="K2150" t="n">
        <v>92.31</v>
      </c>
      <c r="L2150" s="39" t="n"/>
      <c r="M2150" s="39" t="n"/>
      <c r="N2150" t="inlineStr">
        <is>
          <t>Linea Base</t>
        </is>
      </c>
      <c r="O2150" t="inlineStr">
        <is>
          <t>%</t>
        </is>
      </c>
      <c r="P2150" t="n">
        <v>0</v>
      </c>
      <c r="Q2150" t="n">
        <v>0</v>
      </c>
      <c r="R2150" t="inlineStr">
        <is>
          <t>426-2023-12-31</t>
        </is>
      </c>
    </row>
    <row r="2151">
      <c r="A2151" t="n">
        <v>426</v>
      </c>
      <c r="B2151" t="inlineStr">
        <is>
          <t>Cumplimiento en la respuesta a solicitudes de comunicaciones internas</t>
        </is>
      </c>
      <c r="C2151" t="inlineStr">
        <is>
          <t>Comunicaciones Internas</t>
        </is>
      </c>
      <c r="D2151" t="inlineStr">
        <is>
          <t>Semestral</t>
        </is>
      </c>
      <c r="E2151" t="inlineStr">
        <is>
          <t>Positivo</t>
        </is>
      </c>
      <c r="F2151" s="111" t="n">
        <v>45473</v>
      </c>
      <c r="G2151" t="n">
        <v>2024</v>
      </c>
      <c r="H2151" t="inlineStr">
        <is>
          <t>Junio</t>
        </is>
      </c>
      <c r="I2151" t="inlineStr">
        <is>
          <t>2024-1</t>
        </is>
      </c>
      <c r="J2151" t="n">
        <v>80</v>
      </c>
      <c r="K2151" t="n">
        <v>60.27</v>
      </c>
      <c r="L2151" s="39">
        <f>IFERROR(IF(OR(J2151=0,K2151=""),"",IF(E2151="Positivo",MIN(MAX(K2151/J2151,0),1.3),MIN(MAX(J2151/K2151,0),1.3))),"") </f>
        <v/>
      </c>
      <c r="M2151" s="39">
        <f>IFERROR(IF(OR(J2151=0,K2151=""),"",IF(E2151="Positivo",MAX(K2151/J2151,0),MAX(J2151/K2151,0))),"") </f>
        <v/>
      </c>
      <c r="N2151" t="inlineStr">
        <is>
          <t>Linea Base</t>
        </is>
      </c>
      <c r="O2151" t="inlineStr">
        <is>
          <t>%</t>
        </is>
      </c>
      <c r="P2151" t="n">
        <v>0</v>
      </c>
      <c r="Q2151" t="n">
        <v>0</v>
      </c>
      <c r="R2151" t="inlineStr">
        <is>
          <t>426-2024-06-30</t>
        </is>
      </c>
    </row>
    <row r="2152">
      <c r="A2152" t="n">
        <v>426</v>
      </c>
      <c r="B2152" t="inlineStr">
        <is>
          <t>Cumplimiento en la respuesta a solicitudes de comunicaciones internas</t>
        </is>
      </c>
      <c r="C2152" t="inlineStr">
        <is>
          <t>Comunicaciones Internas</t>
        </is>
      </c>
      <c r="D2152" t="inlineStr">
        <is>
          <t>Semestral</t>
        </is>
      </c>
      <c r="E2152" t="inlineStr">
        <is>
          <t>Positivo</t>
        </is>
      </c>
      <c r="F2152" s="111" t="n">
        <v>45657</v>
      </c>
      <c r="G2152" t="n">
        <v>2024</v>
      </c>
      <c r="H2152" t="inlineStr">
        <is>
          <t>Diciembre</t>
        </is>
      </c>
      <c r="I2152" t="inlineStr">
        <is>
          <t>2024-2</t>
        </is>
      </c>
      <c r="J2152" t="n">
        <v>80</v>
      </c>
      <c r="K2152" t="n">
        <v>86.72</v>
      </c>
      <c r="L2152" s="39">
        <f>IFERROR(IF(OR(J2152=0,K2152=""),"",IF(E2152="Positivo",MIN(MAX(K2152/J2152,0),1.3),MIN(MAX(J2152/K2152,0),1.3))),"") </f>
        <v/>
      </c>
      <c r="M2152" s="39">
        <f>IFERROR(IF(OR(J2152=0,K2152=""),"",IF(E2152="Positivo",MAX(K2152/J2152,0),MAX(J2152/K2152,0))),"") </f>
        <v/>
      </c>
      <c r="N2152" t="inlineStr">
        <is>
          <t>Linea Base</t>
        </is>
      </c>
      <c r="O2152" t="inlineStr">
        <is>
          <t>%</t>
        </is>
      </c>
      <c r="P2152" t="n">
        <v>0</v>
      </c>
      <c r="Q2152" t="n">
        <v>0</v>
      </c>
      <c r="R2152" t="inlineStr">
        <is>
          <t>426-2024-12-31</t>
        </is>
      </c>
    </row>
    <row r="2153">
      <c r="A2153" t="n">
        <v>427</v>
      </c>
      <c r="B2153" t="inlineStr">
        <is>
          <t>Consumo de Agua per Cápita Semestral</t>
        </is>
      </c>
      <c r="C2153" t="inlineStr">
        <is>
          <t>GESTIÓN AMBIENTAL</t>
        </is>
      </c>
      <c r="D2153" t="inlineStr">
        <is>
          <t>Semestral</t>
        </is>
      </c>
      <c r="E2153" t="inlineStr">
        <is>
          <t>Negativo</t>
        </is>
      </c>
      <c r="F2153" s="111" t="n">
        <v>45107</v>
      </c>
      <c r="G2153" t="n">
        <v>2023</v>
      </c>
      <c r="H2153" t="inlineStr">
        <is>
          <t>Junio</t>
        </is>
      </c>
      <c r="I2153" t="inlineStr">
        <is>
          <t>2023-1</t>
        </is>
      </c>
      <c r="J2153" t="n">
        <v>0.2</v>
      </c>
      <c r="K2153" t="n">
        <v>0.13666666666667</v>
      </c>
      <c r="L2153" s="39">
        <f>IFERROR(IF(OR(J2153=0,K2153=""),"",IF(E2153="Positivo",MIN(MAX(K2153/J2153,0),1.3),MIN(MAX(J2153/K2153,0),1.3))),"") </f>
        <v/>
      </c>
      <c r="M2153" s="39">
        <f>IFERROR(IF(OR(J2153=0,K2153=""),"",IF(E2153="Positivo",MAX(K2153/J2153,0),MAX(J2153/K2153,0))),"") </f>
        <v/>
      </c>
      <c r="N2153" t="inlineStr">
        <is>
          <t>DEC</t>
        </is>
      </c>
      <c r="O2153" t="inlineStr">
        <is>
          <t>DEC</t>
        </is>
      </c>
      <c r="P2153" t="n">
        <v>1</v>
      </c>
      <c r="Q2153" t="n">
        <v>2</v>
      </c>
      <c r="R2153" t="inlineStr">
        <is>
          <t>427-2023-06-30</t>
        </is>
      </c>
    </row>
    <row r="2154">
      <c r="A2154" t="n">
        <v>427</v>
      </c>
      <c r="B2154" t="inlineStr">
        <is>
          <t>Consumo de Agua per Cápita Semestral</t>
        </is>
      </c>
      <c r="C2154" t="inlineStr">
        <is>
          <t>GESTIÓN AMBIENTAL</t>
        </is>
      </c>
      <c r="D2154" t="inlineStr">
        <is>
          <t>Semestral</t>
        </is>
      </c>
      <c r="E2154" t="inlineStr">
        <is>
          <t>Negativo</t>
        </is>
      </c>
      <c r="F2154" s="111" t="n">
        <v>45291</v>
      </c>
      <c r="G2154" t="n">
        <v>2023</v>
      </c>
      <c r="H2154" t="inlineStr">
        <is>
          <t>Diciembre</t>
        </is>
      </c>
      <c r="I2154" t="inlineStr">
        <is>
          <t>2023-2</t>
        </is>
      </c>
      <c r="J2154" t="n">
        <v>0.2</v>
      </c>
      <c r="K2154" t="n">
        <v>0.2</v>
      </c>
      <c r="L2154" s="39">
        <f>IFERROR(IF(OR(J2154=0,K2154=""),"",IF(E2154="Positivo",MIN(MAX(K2154/J2154,0),1.3),MIN(MAX(J2154/K2154,0),1.3))),"") </f>
        <v/>
      </c>
      <c r="M2154" s="39">
        <f>IFERROR(IF(OR(J2154=0,K2154=""),"",IF(E2154="Positivo",MAX(K2154/J2154,0),MAX(J2154/K2154,0))),"") </f>
        <v/>
      </c>
      <c r="N2154" t="inlineStr">
        <is>
          <t>DEC</t>
        </is>
      </c>
      <c r="O2154" t="inlineStr">
        <is>
          <t>DEC</t>
        </is>
      </c>
      <c r="P2154" t="n">
        <v>1</v>
      </c>
      <c r="Q2154" t="n">
        <v>2</v>
      </c>
      <c r="R2154" t="inlineStr">
        <is>
          <t>427-2023-12-31</t>
        </is>
      </c>
    </row>
    <row r="2155">
      <c r="A2155" t="n">
        <v>427</v>
      </c>
      <c r="B2155" t="inlineStr">
        <is>
          <t>Consumo de Agua per Cápita Semestral</t>
        </is>
      </c>
      <c r="C2155" t="inlineStr">
        <is>
          <t>GESTIÓN AMBIENTAL</t>
        </is>
      </c>
      <c r="D2155" t="inlineStr">
        <is>
          <t>Semestral</t>
        </is>
      </c>
      <c r="E2155" t="inlineStr">
        <is>
          <t>Negativo</t>
        </is>
      </c>
      <c r="F2155" s="111" t="n">
        <v>45473</v>
      </c>
      <c r="G2155" t="n">
        <v>2024</v>
      </c>
      <c r="H2155" t="inlineStr">
        <is>
          <t>Junio</t>
        </is>
      </c>
      <c r="I2155" t="inlineStr">
        <is>
          <t>2024-1</t>
        </is>
      </c>
      <c r="J2155" t="n">
        <v>0.2</v>
      </c>
      <c r="K2155" t="n">
        <v>0.17</v>
      </c>
      <c r="L2155" s="39">
        <f>IFERROR(IF(OR(J2155=0,K2155=""),"",IF(E2155="Positivo",MIN(MAX(K2155/J2155,0),1.3),MIN(MAX(J2155/K2155,0),1.3))),"") </f>
        <v/>
      </c>
      <c r="M2155" s="39">
        <f>IFERROR(IF(OR(J2155=0,K2155=""),"",IF(E2155="Positivo",MAX(K2155/J2155,0),MAX(J2155/K2155,0))),"") </f>
        <v/>
      </c>
      <c r="N2155" t="inlineStr">
        <is>
          <t>DEC</t>
        </is>
      </c>
      <c r="O2155" t="inlineStr">
        <is>
          <t>DEC</t>
        </is>
      </c>
      <c r="P2155" t="n">
        <v>1</v>
      </c>
      <c r="Q2155" t="n">
        <v>2</v>
      </c>
      <c r="R2155" t="inlineStr">
        <is>
          <t>427-2024-06-30</t>
        </is>
      </c>
    </row>
    <row r="2156">
      <c r="A2156" t="n">
        <v>427</v>
      </c>
      <c r="B2156" t="inlineStr">
        <is>
          <t>Consumo de Agua per Cápita Semestral</t>
        </is>
      </c>
      <c r="C2156" t="inlineStr">
        <is>
          <t>GESTIÓN AMBIENTAL</t>
        </is>
      </c>
      <c r="D2156" t="inlineStr">
        <is>
          <t>Semestral</t>
        </is>
      </c>
      <c r="E2156" t="inlineStr">
        <is>
          <t>Negativo</t>
        </is>
      </c>
      <c r="F2156" s="111" t="n">
        <v>45657</v>
      </c>
      <c r="G2156" t="n">
        <v>2024</v>
      </c>
      <c r="H2156" t="inlineStr">
        <is>
          <t>Diciembre</t>
        </is>
      </c>
      <c r="I2156" t="inlineStr">
        <is>
          <t>2024-2</t>
        </is>
      </c>
      <c r="J2156" t="n">
        <v>0.2</v>
      </c>
      <c r="K2156" t="n">
        <v>0.17</v>
      </c>
      <c r="L2156" s="39">
        <f>IFERROR(IF(OR(J2156=0,K2156=""),"",IF(E2156="Positivo",MIN(MAX(K2156/J2156,0),1.3),MIN(MAX(J2156/K2156,0),1.3))),"") </f>
        <v/>
      </c>
      <c r="M2156" s="39">
        <f>IFERROR(IF(OR(J2156=0,K2156=""),"",IF(E2156="Positivo",MAX(K2156/J2156,0),MAX(J2156/K2156,0))),"") </f>
        <v/>
      </c>
      <c r="N2156" t="inlineStr">
        <is>
          <t>DEC</t>
        </is>
      </c>
      <c r="O2156" t="inlineStr">
        <is>
          <t>DEC</t>
        </is>
      </c>
      <c r="P2156" t="n">
        <v>1</v>
      </c>
      <c r="Q2156" t="n">
        <v>2</v>
      </c>
      <c r="R2156" t="inlineStr">
        <is>
          <t>427-2024-12-31</t>
        </is>
      </c>
    </row>
    <row r="2157">
      <c r="A2157" t="n">
        <v>427</v>
      </c>
      <c r="B2157" t="inlineStr">
        <is>
          <t>Consumo de Agua per Cápita Semestral</t>
        </is>
      </c>
      <c r="C2157" t="inlineStr">
        <is>
          <t>GESTIÓN AMBIENTAL</t>
        </is>
      </c>
      <c r="D2157" t="inlineStr">
        <is>
          <t>Semestral</t>
        </is>
      </c>
      <c r="E2157" t="inlineStr">
        <is>
          <t>Negativo</t>
        </is>
      </c>
      <c r="F2157" s="111" t="n">
        <v>45838</v>
      </c>
      <c r="G2157" t="n">
        <v>2025</v>
      </c>
      <c r="H2157" t="inlineStr">
        <is>
          <t>Junio</t>
        </is>
      </c>
      <c r="I2157" t="inlineStr">
        <is>
          <t>2025-1</t>
        </is>
      </c>
      <c r="J2157" t="n">
        <v>0.2</v>
      </c>
      <c r="K2157" t="n">
        <v>0.14</v>
      </c>
      <c r="L2157" s="39">
        <f>IFERROR(IF(OR(J2157=0,K2157=""),"",IF(E2157="Positivo",MIN(MAX(K2157/J2157,0),1.3),MIN(MAX(J2157/K2157,0),1.3))),"") </f>
        <v/>
      </c>
      <c r="M2157" s="39">
        <f>IFERROR(IF(OR(J2157=0,K2157=""),"",IF(E2157="Positivo",MAX(K2157/J2157,0),MAX(J2157/K2157,0))),"") </f>
        <v/>
      </c>
      <c r="N2157" t="inlineStr">
        <is>
          <t>DEC</t>
        </is>
      </c>
      <c r="O2157" t="inlineStr">
        <is>
          <t>DEC</t>
        </is>
      </c>
      <c r="P2157" t="n">
        <v>1</v>
      </c>
      <c r="Q2157" t="n">
        <v>2</v>
      </c>
      <c r="R2157" t="inlineStr">
        <is>
          <t>427-2025-06-30</t>
        </is>
      </c>
    </row>
    <row r="2158">
      <c r="A2158" t="n">
        <v>427</v>
      </c>
      <c r="B2158" t="inlineStr">
        <is>
          <t>Consumo de Agua per Cápita Semestral</t>
        </is>
      </c>
      <c r="C2158" t="inlineStr">
        <is>
          <t>GESTIÓN AMBIENTAL</t>
        </is>
      </c>
      <c r="D2158" t="inlineStr">
        <is>
          <t>Trimestral</t>
        </is>
      </c>
      <c r="E2158" t="inlineStr">
        <is>
          <t>Negativo</t>
        </is>
      </c>
      <c r="F2158" s="111" t="n">
        <v>46022</v>
      </c>
      <c r="G2158" t="n">
        <v>2025</v>
      </c>
      <c r="H2158" t="inlineStr">
        <is>
          <t>Diciembre</t>
        </is>
      </c>
      <c r="I2158" t="inlineStr">
        <is>
          <t>2025-2</t>
        </is>
      </c>
      <c r="J2158" t="n">
        <v>0.2</v>
      </c>
      <c r="K2158" t="n">
        <v>0.15</v>
      </c>
      <c r="L2158" s="39">
        <f>IFERROR(IF(OR(J2158=0,K2158=""),"",IF(E2158="Positivo",MIN(MAX(K2158/J2158,0),1.3),MIN(MAX(J2158/K2158,0),1.3))),"") </f>
        <v/>
      </c>
      <c r="M2158" s="39">
        <f>IFERROR(IF(OR(J2158=0,K2158=""),"",IF(E2158="Positivo",MAX(K2158/J2158,0),MAX(J2158/K2158,0))),"") </f>
        <v/>
      </c>
      <c r="N2158" t="inlineStr">
        <is>
          <t>DEC</t>
        </is>
      </c>
      <c r="O2158" t="inlineStr">
        <is>
          <t>DEC</t>
        </is>
      </c>
      <c r="P2158" t="n">
        <v>2</v>
      </c>
      <c r="Q2158" t="n">
        <v>2</v>
      </c>
      <c r="R2158" t="inlineStr">
        <is>
          <t>427-2025-12-31</t>
        </is>
      </c>
    </row>
    <row r="2159">
      <c r="A2159" t="n">
        <v>428</v>
      </c>
      <c r="B2159" t="inlineStr">
        <is>
          <t>Consumo de Energía Eléctrica per Cápita Semestral</t>
        </is>
      </c>
      <c r="C2159" t="inlineStr">
        <is>
          <t>GESTIÓN AMBIENTAL</t>
        </is>
      </c>
      <c r="D2159" t="inlineStr">
        <is>
          <t>Semestral</t>
        </is>
      </c>
      <c r="E2159" t="inlineStr">
        <is>
          <t>Negativo</t>
        </is>
      </c>
      <c r="F2159" s="111" t="n">
        <v>45107</v>
      </c>
      <c r="G2159" t="n">
        <v>2023</v>
      </c>
      <c r="H2159" t="inlineStr">
        <is>
          <t>Junio</t>
        </is>
      </c>
      <c r="I2159" t="inlineStr">
        <is>
          <t>2023-1</t>
        </is>
      </c>
      <c r="J2159" t="n">
        <v>1</v>
      </c>
      <c r="K2159" t="n">
        <v>17.59</v>
      </c>
      <c r="L2159" s="39">
        <f>IFERROR(IF(OR(J2159=0,K2159=""),"",IF(E2159="Positivo",MIN(MAX(K2159/J2159,0),1.3),MIN(MAX(J2159/K2159,0),1.3))),"") </f>
        <v/>
      </c>
      <c r="M2159" s="39">
        <f>IFERROR(IF(OR(J2159=0,K2159=""),"",IF(E2159="Positivo",MAX(K2159/J2159,0),MAX(J2159/K2159,0))),"") </f>
        <v/>
      </c>
      <c r="N2159" t="inlineStr">
        <is>
          <t>kWh</t>
        </is>
      </c>
      <c r="O2159" t="inlineStr">
        <is>
          <t>kWh</t>
        </is>
      </c>
      <c r="P2159" t="n">
        <v>0</v>
      </c>
      <c r="Q2159" t="n">
        <v>1</v>
      </c>
      <c r="R2159" t="inlineStr">
        <is>
          <t>428-2023-06-30</t>
        </is>
      </c>
    </row>
    <row r="2160">
      <c r="A2160" t="n">
        <v>428</v>
      </c>
      <c r="B2160" t="inlineStr">
        <is>
          <t>Consumo de Energía Eléctrica per Cápita Semestral</t>
        </is>
      </c>
      <c r="C2160" t="inlineStr">
        <is>
          <t>GESTIÓN AMBIENTAL</t>
        </is>
      </c>
      <c r="D2160" t="inlineStr">
        <is>
          <t>Semestral</t>
        </is>
      </c>
      <c r="E2160" t="inlineStr">
        <is>
          <t>Negativo</t>
        </is>
      </c>
      <c r="F2160" s="111" t="n">
        <v>45291</v>
      </c>
      <c r="G2160" t="n">
        <v>2023</v>
      </c>
      <c r="H2160" t="inlineStr">
        <is>
          <t>Diciembre</t>
        </is>
      </c>
      <c r="I2160" t="inlineStr">
        <is>
          <t>2023-2</t>
        </is>
      </c>
      <c r="J2160" t="n">
        <v>1</v>
      </c>
      <c r="K2160" t="n">
        <v>18.63</v>
      </c>
      <c r="L2160" s="39">
        <f>IFERROR(IF(OR(J2160=0,K2160=""),"",IF(E2160="Positivo",MIN(MAX(K2160/J2160,0),1.3),MIN(MAX(J2160/K2160,0),1.3))),"") </f>
        <v/>
      </c>
      <c r="M2160" s="39">
        <f>IFERROR(IF(OR(J2160=0,K2160=""),"",IF(E2160="Positivo",MAX(K2160/J2160,0),MAX(J2160/K2160,0))),"") </f>
        <v/>
      </c>
      <c r="N2160" t="inlineStr">
        <is>
          <t>kWh</t>
        </is>
      </c>
      <c r="O2160" t="inlineStr">
        <is>
          <t>kWh</t>
        </is>
      </c>
      <c r="P2160" t="n">
        <v>0</v>
      </c>
      <c r="Q2160" t="n">
        <v>1</v>
      </c>
      <c r="R2160" t="inlineStr">
        <is>
          <t>428-2023-12-31</t>
        </is>
      </c>
    </row>
    <row r="2161">
      <c r="A2161" t="n">
        <v>428</v>
      </c>
      <c r="B2161" t="inlineStr">
        <is>
          <t>Consumo de Energía Eléctrica per Cápita Semestral</t>
        </is>
      </c>
      <c r="C2161" t="inlineStr">
        <is>
          <t>GESTIÓN AMBIENTAL</t>
        </is>
      </c>
      <c r="D2161" t="inlineStr">
        <is>
          <t>Semestral</t>
        </is>
      </c>
      <c r="E2161" t="inlineStr">
        <is>
          <t>Negativo</t>
        </is>
      </c>
      <c r="F2161" s="111" t="n">
        <v>45473</v>
      </c>
      <c r="G2161" t="n">
        <v>2024</v>
      </c>
      <c r="H2161" t="inlineStr">
        <is>
          <t>Junio</t>
        </is>
      </c>
      <c r="I2161" t="inlineStr">
        <is>
          <t>2024-1</t>
        </is>
      </c>
      <c r="J2161" t="n">
        <v>1</v>
      </c>
      <c r="K2161" t="n">
        <v>16.58</v>
      </c>
      <c r="L2161" s="39">
        <f>IFERROR(IF(OR(J2161=0,K2161=""),"",IF(E2161="Positivo",MIN(MAX(K2161/J2161,0),1.3),MIN(MAX(J2161/K2161,0),1.3))),"") </f>
        <v/>
      </c>
      <c r="M2161" s="39">
        <f>IFERROR(IF(OR(J2161=0,K2161=""),"",IF(E2161="Positivo",MAX(K2161/J2161,0),MAX(J2161/K2161,0))),"") </f>
        <v/>
      </c>
      <c r="N2161" t="inlineStr">
        <is>
          <t>kWh</t>
        </is>
      </c>
      <c r="O2161" t="inlineStr">
        <is>
          <t>kWh</t>
        </is>
      </c>
      <c r="P2161" t="n">
        <v>0</v>
      </c>
      <c r="Q2161" t="n">
        <v>1</v>
      </c>
      <c r="R2161" t="inlineStr">
        <is>
          <t>428-2024-06-30</t>
        </is>
      </c>
    </row>
    <row r="2162">
      <c r="A2162" t="n">
        <v>428</v>
      </c>
      <c r="B2162" t="inlineStr">
        <is>
          <t>Consumo de Energía Eléctrica per Cápita Semestral</t>
        </is>
      </c>
      <c r="C2162" t="inlineStr">
        <is>
          <t>GESTIÓN AMBIENTAL</t>
        </is>
      </c>
      <c r="D2162" t="inlineStr">
        <is>
          <t>Semestral</t>
        </is>
      </c>
      <c r="E2162" t="inlineStr">
        <is>
          <t>Negativo</t>
        </is>
      </c>
      <c r="F2162" s="111" t="n">
        <v>45657</v>
      </c>
      <c r="G2162" t="n">
        <v>2024</v>
      </c>
      <c r="H2162" t="inlineStr">
        <is>
          <t>Diciembre</t>
        </is>
      </c>
      <c r="I2162" t="inlineStr">
        <is>
          <t>2024-2</t>
        </is>
      </c>
      <c r="J2162" t="n">
        <v>1</v>
      </c>
      <c r="K2162" t="n">
        <v>18.53</v>
      </c>
      <c r="L2162" s="39">
        <f>IFERROR(IF(OR(J2162=0,K2162=""),"",IF(E2162="Positivo",MIN(MAX(K2162/J2162,0),1.3),MIN(MAX(J2162/K2162,0),1.3))),"") </f>
        <v/>
      </c>
      <c r="M2162" s="39">
        <f>IFERROR(IF(OR(J2162=0,K2162=""),"",IF(E2162="Positivo",MAX(K2162/J2162,0),MAX(J2162/K2162,0))),"") </f>
        <v/>
      </c>
      <c r="N2162" t="inlineStr">
        <is>
          <t>kWh</t>
        </is>
      </c>
      <c r="O2162" t="inlineStr">
        <is>
          <t>kWh</t>
        </is>
      </c>
      <c r="P2162" t="n">
        <v>0</v>
      </c>
      <c r="Q2162" t="n">
        <v>1</v>
      </c>
      <c r="R2162" t="inlineStr">
        <is>
          <t>428-2024-12-31</t>
        </is>
      </c>
    </row>
    <row r="2163">
      <c r="A2163" t="n">
        <v>428</v>
      </c>
      <c r="B2163" t="inlineStr">
        <is>
          <t>Consumo de Energía Eléctrica per Cápita Semestral</t>
        </is>
      </c>
      <c r="C2163" t="inlineStr">
        <is>
          <t>GESTIÓN AMBIENTAL</t>
        </is>
      </c>
      <c r="D2163" t="inlineStr">
        <is>
          <t>Semestral</t>
        </is>
      </c>
      <c r="E2163" t="inlineStr">
        <is>
          <t>Negativo</t>
        </is>
      </c>
      <c r="F2163" s="111" t="n">
        <v>45838</v>
      </c>
      <c r="G2163" t="n">
        <v>2025</v>
      </c>
      <c r="H2163" t="inlineStr">
        <is>
          <t>Junio</t>
        </is>
      </c>
      <c r="I2163" t="inlineStr">
        <is>
          <t>2025-1</t>
        </is>
      </c>
      <c r="J2163" t="n">
        <v>1</v>
      </c>
      <c r="K2163" t="n">
        <v>15.12</v>
      </c>
      <c r="L2163" s="39">
        <f>IFERROR(IF(OR(J2163=0,K2163=""),"",IF(E2163="Positivo",MIN(MAX(K2163/J2163,0),1.3),MIN(MAX(J2163/K2163,0),1.3))),"") </f>
        <v/>
      </c>
      <c r="M2163" s="39">
        <f>IFERROR(IF(OR(J2163=0,K2163=""),"",IF(E2163="Positivo",MAX(K2163/J2163,0),MAX(J2163/K2163,0))),"") </f>
        <v/>
      </c>
      <c r="N2163" t="inlineStr">
        <is>
          <t>kWh</t>
        </is>
      </c>
      <c r="O2163" t="inlineStr">
        <is>
          <t>kWh</t>
        </is>
      </c>
      <c r="P2163" t="n">
        <v>0</v>
      </c>
      <c r="Q2163" t="n">
        <v>1</v>
      </c>
      <c r="R2163" t="inlineStr">
        <is>
          <t>428-2025-06-30</t>
        </is>
      </c>
    </row>
    <row r="2164">
      <c r="A2164" t="n">
        <v>428</v>
      </c>
      <c r="B2164" t="inlineStr">
        <is>
          <t>Consumo de Energía Eléctrica per Cápita Semestral</t>
        </is>
      </c>
      <c r="C2164" t="inlineStr">
        <is>
          <t>GESTIÓN AMBIENTAL</t>
        </is>
      </c>
      <c r="D2164" t="inlineStr">
        <is>
          <t>Trimestral</t>
        </is>
      </c>
      <c r="E2164" t="inlineStr">
        <is>
          <t>Negativo</t>
        </is>
      </c>
      <c r="F2164" s="111" t="n">
        <v>46022</v>
      </c>
      <c r="G2164" t="n">
        <v>2025</v>
      </c>
      <c r="H2164" t="inlineStr">
        <is>
          <t>Diciembre</t>
        </is>
      </c>
      <c r="I2164" t="inlineStr">
        <is>
          <t>2025-2</t>
        </is>
      </c>
      <c r="J2164" t="n">
        <v>1</v>
      </c>
      <c r="K2164" t="n">
        <v>17.88</v>
      </c>
      <c r="L2164" s="39">
        <f>IFERROR(IF(OR(J2164=0,K2164=""),"",IF(E2164="Positivo",MIN(MAX(K2164/J2164,0),1.3),MIN(MAX(J2164/K2164,0),1.3))),"") </f>
        <v/>
      </c>
      <c r="M2164" s="39">
        <f>IFERROR(IF(OR(J2164=0,K2164=""),"",IF(E2164="Positivo",MAX(K2164/J2164,0),MAX(J2164/K2164,0))),"") </f>
        <v/>
      </c>
      <c r="N2164" t="inlineStr">
        <is>
          <t>kWh</t>
        </is>
      </c>
      <c r="O2164" t="inlineStr">
        <is>
          <t>kWh</t>
        </is>
      </c>
      <c r="P2164" t="n">
        <v>0</v>
      </c>
      <c r="Q2164" t="n">
        <v>1</v>
      </c>
      <c r="R2164" t="inlineStr">
        <is>
          <t>428-2025-12-31</t>
        </is>
      </c>
    </row>
    <row r="2165">
      <c r="A2165" t="n">
        <v>429</v>
      </c>
      <c r="B2165" t="inlineStr">
        <is>
          <t>Generación de Residuos Sólidos per Cápita Semestral</t>
        </is>
      </c>
      <c r="C2165" t="inlineStr">
        <is>
          <t>GESTIÓN AMBIENTAL</t>
        </is>
      </c>
      <c r="D2165" t="inlineStr">
        <is>
          <t>Semestral</t>
        </is>
      </c>
      <c r="E2165" t="inlineStr">
        <is>
          <t>Negativo</t>
        </is>
      </c>
      <c r="F2165" s="111" t="n">
        <v>45107</v>
      </c>
      <c r="G2165" t="n">
        <v>2023</v>
      </c>
      <c r="H2165" t="inlineStr">
        <is>
          <t>Junio</t>
        </is>
      </c>
      <c r="I2165" t="inlineStr">
        <is>
          <t>2023-1</t>
        </is>
      </c>
      <c r="J2165" t="n">
        <v>0.76</v>
      </c>
      <c r="K2165" t="n">
        <v>0.3</v>
      </c>
      <c r="L2165" s="39">
        <f>IFERROR(IF(OR(J2165=0,K2165=""),"",IF(E2165="Positivo",MIN(MAX(K2165/J2165,0),1.3),MIN(MAX(J2165/K2165,0),1.3))),"") </f>
        <v/>
      </c>
      <c r="M2165" s="39">
        <f>IFERROR(IF(OR(J2165=0,K2165=""),"",IF(E2165="Positivo",MAX(K2165/J2165,0),MAX(J2165/K2165,0))),"") </f>
        <v/>
      </c>
      <c r="N2165" t="inlineStr">
        <is>
          <t>DEC</t>
        </is>
      </c>
      <c r="O2165" t="inlineStr">
        <is>
          <t>DEC</t>
        </is>
      </c>
      <c r="P2165" t="n">
        <v>1</v>
      </c>
      <c r="Q2165" t="n">
        <v>1</v>
      </c>
      <c r="R2165" t="inlineStr">
        <is>
          <t>429-2023-06-30</t>
        </is>
      </c>
    </row>
    <row r="2166">
      <c r="A2166" t="n">
        <v>429</v>
      </c>
      <c r="B2166" t="inlineStr">
        <is>
          <t>Generación de Residuos Sólidos per Cápita Semestral</t>
        </is>
      </c>
      <c r="C2166" t="inlineStr">
        <is>
          <t>GESTIÓN AMBIENTAL</t>
        </is>
      </c>
      <c r="D2166" t="inlineStr">
        <is>
          <t>Semestral</t>
        </is>
      </c>
      <c r="E2166" t="inlineStr">
        <is>
          <t>Negativo</t>
        </is>
      </c>
      <c r="F2166" s="111" t="n">
        <v>45291</v>
      </c>
      <c r="G2166" t="n">
        <v>2023</v>
      </c>
      <c r="H2166" t="inlineStr">
        <is>
          <t>Diciembre</t>
        </is>
      </c>
      <c r="I2166" t="inlineStr">
        <is>
          <t>2023-2</t>
        </is>
      </c>
      <c r="J2166" t="n">
        <v>0.76</v>
      </c>
      <c r="K2166" t="n">
        <v>0.76</v>
      </c>
      <c r="L2166" s="39">
        <f>IFERROR(IF(OR(J2166=0,K2166=""),"",IF(E2166="Positivo",MIN(MAX(K2166/J2166,0),1.3),MIN(MAX(J2166/K2166,0),1.3))),"") </f>
        <v/>
      </c>
      <c r="M2166" s="39">
        <f>IFERROR(IF(OR(J2166=0,K2166=""),"",IF(E2166="Positivo",MAX(K2166/J2166,0),MAX(J2166/K2166,0))),"") </f>
        <v/>
      </c>
      <c r="N2166" t="inlineStr">
        <is>
          <t>DEC</t>
        </is>
      </c>
      <c r="O2166" t="inlineStr">
        <is>
          <t>DEC</t>
        </is>
      </c>
      <c r="P2166" t="n">
        <v>0</v>
      </c>
      <c r="Q2166" t="n">
        <v>0</v>
      </c>
      <c r="R2166" t="inlineStr">
        <is>
          <t>429-2023-12-31</t>
        </is>
      </c>
    </row>
    <row r="2167">
      <c r="A2167" t="n">
        <v>429</v>
      </c>
      <c r="B2167" t="inlineStr">
        <is>
          <t>Generación de Residuos Sólidos per Cápita Semestral</t>
        </is>
      </c>
      <c r="C2167" t="inlineStr">
        <is>
          <t>GESTIÓN AMBIENTAL</t>
        </is>
      </c>
      <c r="D2167" t="inlineStr">
        <is>
          <t>Semestral</t>
        </is>
      </c>
      <c r="E2167" t="inlineStr">
        <is>
          <t>Negativo</t>
        </is>
      </c>
      <c r="F2167" s="111" t="n">
        <v>45473</v>
      </c>
      <c r="G2167" t="n">
        <v>2024</v>
      </c>
      <c r="H2167" t="inlineStr">
        <is>
          <t>Junio</t>
        </is>
      </c>
      <c r="I2167" t="inlineStr">
        <is>
          <t>2024-1</t>
        </is>
      </c>
      <c r="J2167" t="n">
        <v>0.76</v>
      </c>
      <c r="K2167" t="n">
        <v>0.66</v>
      </c>
      <c r="L2167" s="39">
        <f>IFERROR(IF(OR(J2167=0,K2167=""),"",IF(E2167="Positivo",MIN(MAX(K2167/J2167,0),1.3),MIN(MAX(J2167/K2167,0),1.3))),"") </f>
        <v/>
      </c>
      <c r="M2167" s="39">
        <f>IFERROR(IF(OR(J2167=0,K2167=""),"",IF(E2167="Positivo",MAX(K2167/J2167,0),MAX(J2167/K2167,0))),"") </f>
        <v/>
      </c>
      <c r="N2167" t="inlineStr">
        <is>
          <t>DEC</t>
        </is>
      </c>
      <c r="O2167" t="inlineStr">
        <is>
          <t>DEC</t>
        </is>
      </c>
      <c r="P2167" t="n">
        <v>1</v>
      </c>
      <c r="Q2167" t="n">
        <v>1</v>
      </c>
      <c r="R2167" t="inlineStr">
        <is>
          <t>429-2024-06-30</t>
        </is>
      </c>
    </row>
    <row r="2168">
      <c r="A2168" t="n">
        <v>429</v>
      </c>
      <c r="B2168" t="inlineStr">
        <is>
          <t>Generación de Residuos Sólidos per Cápita Semestral</t>
        </is>
      </c>
      <c r="C2168" t="inlineStr">
        <is>
          <t>GESTIÓN AMBIENTAL</t>
        </is>
      </c>
      <c r="D2168" t="inlineStr">
        <is>
          <t>Semestral</t>
        </is>
      </c>
      <c r="E2168" t="inlineStr">
        <is>
          <t>Negativo</t>
        </is>
      </c>
      <c r="F2168" s="111" t="n">
        <v>45657</v>
      </c>
      <c r="G2168" t="n">
        <v>2024</v>
      </c>
      <c r="H2168" t="inlineStr">
        <is>
          <t>Diciembre</t>
        </is>
      </c>
      <c r="I2168" t="inlineStr">
        <is>
          <t>2024-2</t>
        </is>
      </c>
      <c r="J2168" t="n">
        <v>0.76</v>
      </c>
      <c r="K2168" t="n">
        <v>0.67</v>
      </c>
      <c r="L2168" s="39">
        <f>IFERROR(IF(OR(J2168=0,K2168=""),"",IF(E2168="Positivo",MIN(MAX(K2168/J2168,0),1.3),MIN(MAX(J2168/K2168,0),1.3))),"") </f>
        <v/>
      </c>
      <c r="M2168" s="39">
        <f>IFERROR(IF(OR(J2168=0,K2168=""),"",IF(E2168="Positivo",MAX(K2168/J2168,0),MAX(J2168/K2168,0))),"") </f>
        <v/>
      </c>
      <c r="N2168" t="inlineStr">
        <is>
          <t>DEC</t>
        </is>
      </c>
      <c r="O2168" t="inlineStr">
        <is>
          <t>DEC</t>
        </is>
      </c>
      <c r="P2168" t="n">
        <v>1</v>
      </c>
      <c r="Q2168" t="n">
        <v>1</v>
      </c>
      <c r="R2168" t="inlineStr">
        <is>
          <t>429-2024-12-31</t>
        </is>
      </c>
    </row>
    <row r="2169">
      <c r="A2169" t="n">
        <v>429</v>
      </c>
      <c r="B2169" t="inlineStr">
        <is>
          <t>Generación de Residuos Sólidos per Cápita Semestral</t>
        </is>
      </c>
      <c r="C2169" t="inlineStr">
        <is>
          <t>GESTIÓN AMBIENTAL</t>
        </is>
      </c>
      <c r="D2169" t="inlineStr">
        <is>
          <t>Semestral</t>
        </is>
      </c>
      <c r="E2169" t="inlineStr">
        <is>
          <t>Negativo</t>
        </is>
      </c>
      <c r="F2169" s="111" t="n">
        <v>45838</v>
      </c>
      <c r="G2169" t="n">
        <v>2025</v>
      </c>
      <c r="H2169" t="inlineStr">
        <is>
          <t>Junio</t>
        </is>
      </c>
      <c r="I2169" t="inlineStr">
        <is>
          <t>2025-1</t>
        </is>
      </c>
      <c r="J2169" t="n">
        <v>0.76</v>
      </c>
      <c r="K2169" t="n">
        <v>0.59</v>
      </c>
      <c r="L2169" s="39">
        <f>IFERROR(IF(OR(J2169=0,K2169=""),"",IF(E2169="Positivo",MIN(MAX(K2169/J2169,0),1.3),MIN(MAX(J2169/K2169,0),1.3))),"") </f>
        <v/>
      </c>
      <c r="M2169" s="39">
        <f>IFERROR(IF(OR(J2169=0,K2169=""),"",IF(E2169="Positivo",MAX(K2169/J2169,0),MAX(J2169/K2169,0))),"") </f>
        <v/>
      </c>
      <c r="N2169" t="inlineStr">
        <is>
          <t>DEC</t>
        </is>
      </c>
      <c r="O2169" t="inlineStr">
        <is>
          <t>DEC</t>
        </is>
      </c>
      <c r="P2169" t="n">
        <v>1</v>
      </c>
      <c r="Q2169" t="n">
        <v>1</v>
      </c>
      <c r="R2169" t="inlineStr">
        <is>
          <t>429-2025-06-30</t>
        </is>
      </c>
    </row>
    <row r="2170">
      <c r="A2170" t="n">
        <v>429</v>
      </c>
      <c r="B2170" t="inlineStr">
        <is>
          <t>Generación de Residuos Sólidos per Cápita Semestral</t>
        </is>
      </c>
      <c r="C2170" t="inlineStr">
        <is>
          <t>GESTIÓN AMBIENTAL</t>
        </is>
      </c>
      <c r="D2170" t="inlineStr">
        <is>
          <t>Trimestral</t>
        </is>
      </c>
      <c r="E2170" t="inlineStr">
        <is>
          <t>Negativo</t>
        </is>
      </c>
      <c r="F2170" s="111" t="n">
        <v>46022</v>
      </c>
      <c r="G2170" t="n">
        <v>2025</v>
      </c>
      <c r="H2170" t="inlineStr">
        <is>
          <t>Diciembre</t>
        </is>
      </c>
      <c r="I2170" t="inlineStr">
        <is>
          <t>2025-2</t>
        </is>
      </c>
      <c r="J2170" t="n">
        <v>0.76</v>
      </c>
      <c r="K2170" t="n">
        <v>0.52</v>
      </c>
      <c r="L2170" s="39">
        <f>IFERROR(IF(OR(J2170=0,K2170=""),"",IF(E2170="Positivo",MIN(MAX(K2170/J2170,0),1.3),MIN(MAX(J2170/K2170,0),1.3))),"") </f>
        <v/>
      </c>
      <c r="M2170" s="39">
        <f>IFERROR(IF(OR(J2170=0,K2170=""),"",IF(E2170="Positivo",MAX(K2170/J2170,0),MAX(J2170/K2170,0))),"") </f>
        <v/>
      </c>
      <c r="N2170" t="inlineStr">
        <is>
          <t>DEC</t>
        </is>
      </c>
      <c r="O2170" t="inlineStr">
        <is>
          <t>DEC</t>
        </is>
      </c>
      <c r="P2170" t="n">
        <v>2</v>
      </c>
      <c r="Q2170" t="n">
        <v>2</v>
      </c>
      <c r="R2170" t="inlineStr">
        <is>
          <t>429-2025-12-31</t>
        </is>
      </c>
    </row>
    <row r="2171">
      <c r="A2171" t="n">
        <v>430</v>
      </c>
      <c r="B2171" t="inlineStr">
        <is>
          <t>Cumplimiento ingresos por matriculas</t>
        </is>
      </c>
      <c r="C2171" t="inlineStr">
        <is>
          <t>Planeación Financiera</t>
        </is>
      </c>
      <c r="D2171" t="inlineStr">
        <is>
          <t>Semestral</t>
        </is>
      </c>
      <c r="E2171" t="inlineStr">
        <is>
          <t>Positivo</t>
        </is>
      </c>
      <c r="F2171" s="111" t="n">
        <v>45107</v>
      </c>
      <c r="G2171" t="n">
        <v>2023</v>
      </c>
      <c r="H2171" t="inlineStr">
        <is>
          <t>Junio</t>
        </is>
      </c>
      <c r="I2171" t="inlineStr">
        <is>
          <t>2023-1</t>
        </is>
      </c>
      <c r="J2171" t="n">
        <v>95</v>
      </c>
      <c r="K2171" t="n">
        <v>104.59563552424</v>
      </c>
      <c r="L2171" s="39">
        <f>IFERROR(IF(OR(J2171=0,K2171=""),"",IF(E2171="Positivo",MIN(MAX(K2171/J2171,0),1.3),MIN(MAX(J2171/K2171,0),1.3))),"") </f>
        <v/>
      </c>
      <c r="M2171" s="39">
        <f>IFERROR(IF(OR(J2171=0,K2171=""),"",IF(E2171="Positivo",MAX(K2171/J2171,0),MAX(J2171/K2171,0))),"") </f>
        <v/>
      </c>
      <c r="N2171" t="inlineStr">
        <is>
          <t>%</t>
        </is>
      </c>
      <c r="O2171" t="inlineStr">
        <is>
          <t>%</t>
        </is>
      </c>
      <c r="P2171" t="n">
        <v>0</v>
      </c>
      <c r="Q2171" t="n">
        <v>0</v>
      </c>
      <c r="R2171" t="inlineStr">
        <is>
          <t>430-2023-06-30</t>
        </is>
      </c>
    </row>
    <row r="2172">
      <c r="A2172" t="n">
        <v>430</v>
      </c>
      <c r="B2172" t="inlineStr">
        <is>
          <t>Cumplimiento ingresos por matriculas</t>
        </is>
      </c>
      <c r="C2172" t="inlineStr">
        <is>
          <t>Planeación Financiera</t>
        </is>
      </c>
      <c r="D2172" t="inlineStr">
        <is>
          <t>Semestral</t>
        </is>
      </c>
      <c r="E2172" t="inlineStr">
        <is>
          <t>Positivo</t>
        </is>
      </c>
      <c r="F2172" s="111" t="n">
        <v>45291</v>
      </c>
      <c r="G2172" t="n">
        <v>2023</v>
      </c>
      <c r="H2172" t="inlineStr">
        <is>
          <t>Diciembre</t>
        </is>
      </c>
      <c r="I2172" t="inlineStr">
        <is>
          <t>2023-2</t>
        </is>
      </c>
      <c r="J2172" t="n">
        <v>95</v>
      </c>
      <c r="K2172" t="n">
        <v>101.39526345983</v>
      </c>
      <c r="L2172" s="39">
        <f>IFERROR(IF(OR(J2172=0,K2172=""),"",IF(E2172="Positivo",MIN(MAX(K2172/J2172,0),1.3),MIN(MAX(J2172/K2172,0),1.3))),"") </f>
        <v/>
      </c>
      <c r="M2172" s="39">
        <f>IFERROR(IF(OR(J2172=0,K2172=""),"",IF(E2172="Positivo",MAX(K2172/J2172,0),MAX(J2172/K2172,0))),"") </f>
        <v/>
      </c>
      <c r="N2172" t="inlineStr">
        <is>
          <t>%</t>
        </is>
      </c>
      <c r="O2172" t="inlineStr">
        <is>
          <t>%</t>
        </is>
      </c>
      <c r="P2172" t="n">
        <v>0</v>
      </c>
      <c r="Q2172" t="n">
        <v>0</v>
      </c>
      <c r="R2172" t="inlineStr">
        <is>
          <t>430-2023-12-31</t>
        </is>
      </c>
    </row>
    <row r="2173">
      <c r="A2173" t="n">
        <v>430</v>
      </c>
      <c r="B2173" t="inlineStr">
        <is>
          <t>Cumplimiento ingresos por matriculas</t>
        </is>
      </c>
      <c r="C2173" t="inlineStr">
        <is>
          <t>Planeación Financiera</t>
        </is>
      </c>
      <c r="D2173" t="inlineStr">
        <is>
          <t>Semestral</t>
        </is>
      </c>
      <c r="E2173" t="inlineStr">
        <is>
          <t>Positivo</t>
        </is>
      </c>
      <c r="F2173" s="111" t="n">
        <v>45473</v>
      </c>
      <c r="G2173" t="n">
        <v>2024</v>
      </c>
      <c r="H2173" t="inlineStr">
        <is>
          <t>Junio</t>
        </is>
      </c>
      <c r="I2173" t="inlineStr">
        <is>
          <t>2024-1</t>
        </is>
      </c>
      <c r="J2173" t="n">
        <v>95</v>
      </c>
      <c r="K2173" t="n">
        <v>101.88</v>
      </c>
      <c r="L2173" s="39">
        <f>IFERROR(IF(OR(J2173=0,K2173=""),"",IF(E2173="Positivo",MIN(MAX(K2173/J2173,0),1.3),MIN(MAX(J2173/K2173,0),1.3))),"") </f>
        <v/>
      </c>
      <c r="M2173" s="39">
        <f>IFERROR(IF(OR(J2173=0,K2173=""),"",IF(E2173="Positivo",MAX(K2173/J2173,0),MAX(J2173/K2173,0))),"") </f>
        <v/>
      </c>
      <c r="N2173" t="inlineStr">
        <is>
          <t>%</t>
        </is>
      </c>
      <c r="O2173" t="inlineStr">
        <is>
          <t>%</t>
        </is>
      </c>
      <c r="P2173" t="n">
        <v>0</v>
      </c>
      <c r="Q2173" t="n">
        <v>0</v>
      </c>
      <c r="R2173" t="inlineStr">
        <is>
          <t>430-2024-06-30</t>
        </is>
      </c>
    </row>
    <row r="2174">
      <c r="A2174" t="n">
        <v>430</v>
      </c>
      <c r="B2174" t="inlineStr">
        <is>
          <t>Cumplimiento ingresos por matriculas</t>
        </is>
      </c>
      <c r="C2174" t="inlineStr">
        <is>
          <t>Planeación Financiera</t>
        </is>
      </c>
      <c r="D2174" t="inlineStr">
        <is>
          <t>Semestral</t>
        </is>
      </c>
      <c r="E2174" t="inlineStr">
        <is>
          <t>Positivo</t>
        </is>
      </c>
      <c r="F2174" s="111" t="n">
        <v>45657</v>
      </c>
      <c r="G2174" t="n">
        <v>2024</v>
      </c>
      <c r="H2174" t="inlineStr">
        <is>
          <t>Diciembre</t>
        </is>
      </c>
      <c r="I2174" t="inlineStr">
        <is>
          <t>2024-2</t>
        </is>
      </c>
      <c r="J2174" t="n">
        <v>95</v>
      </c>
      <c r="K2174" t="n">
        <v>102.9374919710379</v>
      </c>
      <c r="L2174" s="39">
        <f>IFERROR(IF(OR(J2174=0,K2174=""),"",IF(E2174="Positivo",MIN(MAX(K2174/J2174,0),1.3),MIN(MAX(J2174/K2174,0),1.3))),"") </f>
        <v/>
      </c>
      <c r="M2174" s="39">
        <f>IFERROR(IF(OR(J2174=0,K2174=""),"",IF(E2174="Positivo",MAX(K2174/J2174,0),MAX(J2174/K2174,0))),"") </f>
        <v/>
      </c>
      <c r="N2174" t="inlineStr">
        <is>
          <t>%</t>
        </is>
      </c>
      <c r="O2174" t="inlineStr">
        <is>
          <t>%</t>
        </is>
      </c>
      <c r="P2174" t="n">
        <v>0</v>
      </c>
      <c r="Q2174" t="n">
        <v>0</v>
      </c>
      <c r="R2174" t="inlineStr">
        <is>
          <t>430-2024-12-31</t>
        </is>
      </c>
    </row>
    <row r="2175">
      <c r="A2175" t="n">
        <v>430</v>
      </c>
      <c r="B2175" t="inlineStr">
        <is>
          <t>Cumplimiento ingresos por matriculas</t>
        </is>
      </c>
      <c r="C2175" t="inlineStr">
        <is>
          <t>Planeación Financiera</t>
        </is>
      </c>
      <c r="D2175" t="inlineStr">
        <is>
          <t>Semestral</t>
        </is>
      </c>
      <c r="E2175" t="inlineStr">
        <is>
          <t>Positivo</t>
        </is>
      </c>
      <c r="F2175" s="111" t="n">
        <v>45838</v>
      </c>
      <c r="G2175" t="n">
        <v>2025</v>
      </c>
      <c r="H2175" t="inlineStr">
        <is>
          <t>Junio</t>
        </is>
      </c>
      <c r="I2175" t="inlineStr">
        <is>
          <t>2025-1</t>
        </is>
      </c>
      <c r="J2175" t="n">
        <v>95</v>
      </c>
      <c r="K2175" t="n">
        <v>110.79</v>
      </c>
      <c r="L2175" s="39">
        <f>IFERROR(IF(OR(J2175=0,K2175=""),"",IF(E2175="Positivo",MIN(MAX(K2175/J2175,0),1.3),MIN(MAX(J2175/K2175,0),1.3))),"") </f>
        <v/>
      </c>
      <c r="M2175" s="39">
        <f>IFERROR(IF(OR(J2175=0,K2175=""),"",IF(E2175="Positivo",MAX(K2175/J2175,0),MAX(J2175/K2175,0))),"") </f>
        <v/>
      </c>
      <c r="N2175" t="inlineStr">
        <is>
          <t>%</t>
        </is>
      </c>
      <c r="O2175" t="inlineStr">
        <is>
          <t>%</t>
        </is>
      </c>
      <c r="P2175" t="n">
        <v>0</v>
      </c>
      <c r="Q2175" t="n">
        <v>0</v>
      </c>
      <c r="R2175" t="inlineStr">
        <is>
          <t>430-2025-06-30</t>
        </is>
      </c>
    </row>
    <row r="2176">
      <c r="A2176" t="n">
        <v>430</v>
      </c>
      <c r="B2176" t="inlineStr">
        <is>
          <t>Cumplimiento ingresos por matriculas</t>
        </is>
      </c>
      <c r="C2176" t="inlineStr">
        <is>
          <t>Planeación Financiera</t>
        </is>
      </c>
      <c r="D2176" t="inlineStr">
        <is>
          <t>Trimestral</t>
        </is>
      </c>
      <c r="E2176" t="inlineStr">
        <is>
          <t>Positivo</t>
        </is>
      </c>
      <c r="F2176" s="111" t="n">
        <v>46022</v>
      </c>
      <c r="G2176" t="n">
        <v>2025</v>
      </c>
      <c r="H2176" t="inlineStr">
        <is>
          <t>Diciembre</t>
        </is>
      </c>
      <c r="I2176" t="inlineStr">
        <is>
          <t>2025-2</t>
        </is>
      </c>
      <c r="J2176" t="n">
        <v>95</v>
      </c>
      <c r="K2176" t="n">
        <v>111.76</v>
      </c>
      <c r="L2176" s="39">
        <f>IFERROR(IF(OR(J2176=0,K2176=""),"",IF(E2176="Positivo",MIN(MAX(K2176/J2176,0),1.3),MIN(MAX(J2176/K2176,0),1.3))),"") </f>
        <v/>
      </c>
      <c r="M2176" s="39">
        <f>IFERROR(IF(OR(J2176=0,K2176=""),"",IF(E2176="Positivo",MAX(K2176/J2176,0),MAX(J2176/K2176,0))),"") </f>
        <v/>
      </c>
      <c r="N2176" t="inlineStr">
        <is>
          <t>%</t>
        </is>
      </c>
      <c r="O2176" t="inlineStr">
        <is>
          <t>%</t>
        </is>
      </c>
      <c r="P2176" t="n">
        <v>0</v>
      </c>
      <c r="Q2176" t="n">
        <v>0</v>
      </c>
      <c r="R2176" t="inlineStr">
        <is>
          <t>430-2025-12-31</t>
        </is>
      </c>
    </row>
    <row r="2177">
      <c r="A2177" t="n">
        <v>431</v>
      </c>
      <c r="B2177" t="inlineStr">
        <is>
          <t>Gestión de casos de salud que impactan a los colaboradores</t>
        </is>
      </c>
      <c r="C2177" t="inlineStr">
        <is>
          <t>GESTIÓN DE SEGURIDAD Y SALUD EN EL TRABAJO</t>
        </is>
      </c>
      <c r="D2177" t="inlineStr">
        <is>
          <t>Trimestral</t>
        </is>
      </c>
      <c r="E2177" t="inlineStr">
        <is>
          <t>Positivo</t>
        </is>
      </c>
      <c r="F2177" s="111" t="n">
        <v>45199</v>
      </c>
      <c r="G2177" t="n">
        <v>2023</v>
      </c>
      <c r="H2177" t="inlineStr">
        <is>
          <t>Septiembre</t>
        </is>
      </c>
      <c r="I2177" t="inlineStr">
        <is>
          <t>2023-2</t>
        </is>
      </c>
      <c r="J2177" t="n">
        <v>100</v>
      </c>
      <c r="K2177" t="n">
        <v>100</v>
      </c>
      <c r="L2177" s="39">
        <f>IFERROR(IF(OR(J2177=0,K2177=""),"",IF(E2177="Positivo",MIN(MAX(K2177/J2177,0),1.3),MIN(MAX(J2177/K2177,0),1.3))),"") </f>
        <v/>
      </c>
      <c r="M2177" s="39">
        <f>IFERROR(IF(OR(J2177=0,K2177=""),"",IF(E2177="Positivo",MAX(K2177/J2177,0),MAX(J2177/K2177,0))),"") </f>
        <v/>
      </c>
      <c r="N2177" t="inlineStr">
        <is>
          <t>%</t>
        </is>
      </c>
      <c r="O2177" t="inlineStr">
        <is>
          <t>%</t>
        </is>
      </c>
      <c r="P2177" t="n">
        <v>0</v>
      </c>
      <c r="Q2177" t="n">
        <v>0</v>
      </c>
      <c r="R2177" t="inlineStr">
        <is>
          <t>431-2023-09-30</t>
        </is>
      </c>
    </row>
    <row r="2178">
      <c r="A2178" t="n">
        <v>431</v>
      </c>
      <c r="B2178" t="inlineStr">
        <is>
          <t>Gestión de casos de salud que impactan a los colaboradores</t>
        </is>
      </c>
      <c r="C2178" t="inlineStr">
        <is>
          <t>GESTIÓN DE SEGURIDAD Y SALUD EN EL TRABAJO</t>
        </is>
      </c>
      <c r="D2178" t="inlineStr">
        <is>
          <t>Trimestral</t>
        </is>
      </c>
      <c r="E2178" t="inlineStr">
        <is>
          <t>Positivo</t>
        </is>
      </c>
      <c r="F2178" s="111" t="n">
        <v>45291</v>
      </c>
      <c r="G2178" t="n">
        <v>2023</v>
      </c>
      <c r="H2178" t="inlineStr">
        <is>
          <t>Diciembre</t>
        </is>
      </c>
      <c r="I2178" t="inlineStr">
        <is>
          <t>2023-2</t>
        </is>
      </c>
      <c r="J2178" t="n">
        <v>100</v>
      </c>
      <c r="K2178" t="n">
        <v>100</v>
      </c>
      <c r="L2178" s="39">
        <f>IFERROR(IF(OR(J2178=0,K2178=""),"",IF(E2178="Positivo",MIN(MAX(K2178/J2178,0),1.3),MIN(MAX(J2178/K2178,0),1.3))),"") </f>
        <v/>
      </c>
      <c r="M2178" s="39">
        <f>IFERROR(IF(OR(J2178=0,K2178=""),"",IF(E2178="Positivo",MAX(K2178/J2178,0),MAX(J2178/K2178,0))),"") </f>
        <v/>
      </c>
      <c r="N2178" t="inlineStr">
        <is>
          <t>%</t>
        </is>
      </c>
      <c r="O2178" t="inlineStr">
        <is>
          <t>%</t>
        </is>
      </c>
      <c r="P2178" t="n">
        <v>0</v>
      </c>
      <c r="Q2178" t="n">
        <v>0</v>
      </c>
      <c r="R2178" t="inlineStr">
        <is>
          <t>431-2023-12-31</t>
        </is>
      </c>
    </row>
    <row r="2179">
      <c r="A2179" t="n">
        <v>431</v>
      </c>
      <c r="B2179" t="inlineStr">
        <is>
          <t>Gestión de casos de salud que impactan a los colaboradores</t>
        </is>
      </c>
      <c r="C2179" t="inlineStr">
        <is>
          <t>GESTIÓN DE SEGURIDAD Y SALUD EN EL TRABAJO</t>
        </is>
      </c>
      <c r="D2179" t="inlineStr">
        <is>
          <t>Trimestral</t>
        </is>
      </c>
      <c r="E2179" t="inlineStr">
        <is>
          <t>Positivo</t>
        </is>
      </c>
      <c r="F2179" s="111" t="n">
        <v>45382</v>
      </c>
      <c r="G2179" t="n">
        <v>2024</v>
      </c>
      <c r="H2179" t="inlineStr">
        <is>
          <t>Marzo</t>
        </is>
      </c>
      <c r="I2179" t="inlineStr">
        <is>
          <t>2024-1</t>
        </is>
      </c>
      <c r="J2179" t="n">
        <v>100</v>
      </c>
      <c r="K2179" t="n">
        <v>100</v>
      </c>
      <c r="L2179" s="39">
        <f>IFERROR(IF(OR(J2179=0,K2179=""),"",IF(E2179="Positivo",MIN(MAX(K2179/J2179,0),1.3),MIN(MAX(J2179/K2179,0),1.3))),"") </f>
        <v/>
      </c>
      <c r="M2179" s="39">
        <f>IFERROR(IF(OR(J2179=0,K2179=""),"",IF(E2179="Positivo",MAX(K2179/J2179,0),MAX(J2179/K2179,0))),"") </f>
        <v/>
      </c>
      <c r="N2179" t="inlineStr">
        <is>
          <t>%</t>
        </is>
      </c>
      <c r="O2179" t="inlineStr">
        <is>
          <t>%</t>
        </is>
      </c>
      <c r="P2179" t="n">
        <v>0</v>
      </c>
      <c r="Q2179" t="n">
        <v>0</v>
      </c>
      <c r="R2179" t="inlineStr">
        <is>
          <t>431-2024-03-31</t>
        </is>
      </c>
    </row>
    <row r="2180">
      <c r="A2180" t="n">
        <v>431</v>
      </c>
      <c r="B2180" t="inlineStr">
        <is>
          <t>Gestión de casos de salud que impactan a los colaboradores</t>
        </is>
      </c>
      <c r="C2180" t="inlineStr">
        <is>
          <t>GESTIÓN DE SEGURIDAD Y SALUD EN EL TRABAJO</t>
        </is>
      </c>
      <c r="D2180" t="inlineStr">
        <is>
          <t>Trimestral</t>
        </is>
      </c>
      <c r="E2180" t="inlineStr">
        <is>
          <t>Positivo</t>
        </is>
      </c>
      <c r="F2180" s="111" t="n">
        <v>45473</v>
      </c>
      <c r="G2180" t="n">
        <v>2024</v>
      </c>
      <c r="H2180" t="inlineStr">
        <is>
          <t>Junio</t>
        </is>
      </c>
      <c r="I2180" t="inlineStr">
        <is>
          <t>2024-1</t>
        </is>
      </c>
      <c r="J2180" t="n">
        <v>100</v>
      </c>
      <c r="K2180" t="n">
        <v>100</v>
      </c>
      <c r="L2180" s="39">
        <f>IFERROR(IF(OR(J2180=0,K2180=""),"",IF(E2180="Positivo",MIN(MAX(K2180/J2180,0),1.3),MIN(MAX(J2180/K2180,0),1.3))),"") </f>
        <v/>
      </c>
      <c r="M2180" s="39">
        <f>IFERROR(IF(OR(J2180=0,K2180=""),"",IF(E2180="Positivo",MAX(K2180/J2180,0),MAX(J2180/K2180,0))),"") </f>
        <v/>
      </c>
      <c r="N2180" t="inlineStr">
        <is>
          <t>%</t>
        </is>
      </c>
      <c r="O2180" t="inlineStr">
        <is>
          <t>%</t>
        </is>
      </c>
      <c r="P2180" t="n">
        <v>0</v>
      </c>
      <c r="Q2180" t="n">
        <v>0</v>
      </c>
      <c r="R2180" t="inlineStr">
        <is>
          <t>431-2024-06-30</t>
        </is>
      </c>
    </row>
    <row r="2181">
      <c r="A2181" t="n">
        <v>431</v>
      </c>
      <c r="B2181" t="inlineStr">
        <is>
          <t>Gestión de casos de salud que impactan a los colaboradores</t>
        </is>
      </c>
      <c r="C2181" t="inlineStr">
        <is>
          <t>GESTIÓN DE SEGURIDAD Y SALUD EN EL TRABAJO</t>
        </is>
      </c>
      <c r="D2181" t="inlineStr">
        <is>
          <t>Trimestral</t>
        </is>
      </c>
      <c r="E2181" t="inlineStr">
        <is>
          <t>Positivo</t>
        </is>
      </c>
      <c r="F2181" s="111" t="n">
        <v>45565</v>
      </c>
      <c r="G2181" t="n">
        <v>2024</v>
      </c>
      <c r="H2181" t="inlineStr">
        <is>
          <t>Septiembre</t>
        </is>
      </c>
      <c r="I2181" t="inlineStr">
        <is>
          <t>2024-2</t>
        </is>
      </c>
      <c r="J2181" t="n">
        <v>100</v>
      </c>
      <c r="K2181" t="n">
        <v>100</v>
      </c>
      <c r="L2181" s="39">
        <f>IFERROR(IF(OR(J2181=0,K2181=""),"",IF(E2181="Positivo",MIN(MAX(K2181/J2181,0),1.3),MIN(MAX(J2181/K2181,0),1.3))),"") </f>
        <v/>
      </c>
      <c r="M2181" s="39">
        <f>IFERROR(IF(OR(J2181=0,K2181=""),"",IF(E2181="Positivo",MAX(K2181/J2181,0),MAX(J2181/K2181,0))),"") </f>
        <v/>
      </c>
      <c r="N2181" t="inlineStr">
        <is>
          <t>%</t>
        </is>
      </c>
      <c r="O2181" t="inlineStr">
        <is>
          <t>%</t>
        </is>
      </c>
      <c r="P2181" t="n">
        <v>0</v>
      </c>
      <c r="Q2181" t="n">
        <v>0</v>
      </c>
      <c r="R2181" t="inlineStr">
        <is>
          <t>431-2024-09-30</t>
        </is>
      </c>
    </row>
    <row r="2182">
      <c r="A2182" t="n">
        <v>431</v>
      </c>
      <c r="B2182" t="inlineStr">
        <is>
          <t>Gestión de casos de salud que impactan a los colaboradores</t>
        </is>
      </c>
      <c r="C2182" t="inlineStr">
        <is>
          <t>GESTIÓN DE SEGURIDAD Y SALUD EN EL TRABAJO</t>
        </is>
      </c>
      <c r="D2182" t="inlineStr">
        <is>
          <t>Trimestral</t>
        </is>
      </c>
      <c r="E2182" t="inlineStr">
        <is>
          <t>Positivo</t>
        </is>
      </c>
      <c r="F2182" s="111" t="n">
        <v>45657</v>
      </c>
      <c r="G2182" t="n">
        <v>2024</v>
      </c>
      <c r="H2182" t="inlineStr">
        <is>
          <t>Diciembre</t>
        </is>
      </c>
      <c r="I2182" t="inlineStr">
        <is>
          <t>2024-2</t>
        </is>
      </c>
      <c r="J2182" t="n">
        <v>100</v>
      </c>
      <c r="K2182" t="n">
        <v>100</v>
      </c>
      <c r="L2182" s="39">
        <f>IFERROR(IF(OR(J2182=0,K2182=""),"",IF(E2182="Positivo",MIN(MAX(K2182/J2182,0),1.3),MIN(MAX(J2182/K2182,0),1.3))),"") </f>
        <v/>
      </c>
      <c r="M2182" s="39">
        <f>IFERROR(IF(OR(J2182=0,K2182=""),"",IF(E2182="Positivo",MAX(K2182/J2182,0),MAX(J2182/K2182,0))),"") </f>
        <v/>
      </c>
      <c r="N2182" t="inlineStr">
        <is>
          <t>%</t>
        </is>
      </c>
      <c r="O2182" t="inlineStr">
        <is>
          <t>%</t>
        </is>
      </c>
      <c r="P2182" t="n">
        <v>0</v>
      </c>
      <c r="Q2182" t="n">
        <v>0</v>
      </c>
      <c r="R2182" t="inlineStr">
        <is>
          <t>431-2024-12-31</t>
        </is>
      </c>
    </row>
    <row r="2183">
      <c r="A2183" t="n">
        <v>431</v>
      </c>
      <c r="B2183" t="inlineStr">
        <is>
          <t>Gestión de casos de salud que impactan a los colaboradores</t>
        </is>
      </c>
      <c r="C2183" t="inlineStr">
        <is>
          <t>GESTIÓN DE SEGURIDAD Y SALUD EN EL TRABAJO</t>
        </is>
      </c>
      <c r="D2183" t="inlineStr">
        <is>
          <t>Trimestral</t>
        </is>
      </c>
      <c r="E2183" t="inlineStr">
        <is>
          <t>Positivo</t>
        </is>
      </c>
      <c r="F2183" s="111" t="n">
        <v>45747</v>
      </c>
      <c r="G2183" t="n">
        <v>2025</v>
      </c>
      <c r="H2183" t="inlineStr">
        <is>
          <t>Marzo</t>
        </is>
      </c>
      <c r="I2183" t="inlineStr">
        <is>
          <t>2025-1</t>
        </is>
      </c>
      <c r="J2183" t="n">
        <v>100</v>
      </c>
      <c r="K2183" t="n">
        <v>100</v>
      </c>
      <c r="L2183" s="39">
        <f>IFERROR(IF(OR(J2183=0,K2183=""),"",IF(E2183="Positivo",MIN(MAX(K2183/J2183,0),1.3),MIN(MAX(J2183/K2183,0),1.3))),"") </f>
        <v/>
      </c>
      <c r="M2183" s="39">
        <f>IFERROR(IF(OR(J2183=0,K2183=""),"",IF(E2183="Positivo",MAX(K2183/J2183,0),MAX(J2183/K2183,0))),"") </f>
        <v/>
      </c>
      <c r="N2183" t="inlineStr">
        <is>
          <t>%</t>
        </is>
      </c>
      <c r="O2183" t="inlineStr">
        <is>
          <t>%</t>
        </is>
      </c>
      <c r="P2183" t="n">
        <v>0</v>
      </c>
      <c r="Q2183" t="n">
        <v>0</v>
      </c>
      <c r="R2183" t="inlineStr">
        <is>
          <t>431-2025-03-31</t>
        </is>
      </c>
    </row>
    <row r="2184">
      <c r="A2184" t="n">
        <v>431</v>
      </c>
      <c r="B2184" t="inlineStr">
        <is>
          <t>Gestión de casos de salud que impactan a los colaboradores</t>
        </is>
      </c>
      <c r="C2184" t="inlineStr">
        <is>
          <t>GESTIÓN DE SEGURIDAD Y SALUD EN EL TRABAJO</t>
        </is>
      </c>
      <c r="D2184" t="inlineStr">
        <is>
          <t>Trimestral</t>
        </is>
      </c>
      <c r="E2184" t="inlineStr">
        <is>
          <t>Positivo</t>
        </is>
      </c>
      <c r="F2184" s="111" t="n">
        <v>45838</v>
      </c>
      <c r="G2184" t="n">
        <v>2025</v>
      </c>
      <c r="H2184" t="inlineStr">
        <is>
          <t>Junio</t>
        </is>
      </c>
      <c r="I2184" t="inlineStr">
        <is>
          <t>2025-1</t>
        </is>
      </c>
      <c r="J2184" t="n">
        <v>100</v>
      </c>
      <c r="K2184" t="n">
        <v>100</v>
      </c>
      <c r="L2184" s="39">
        <f>IFERROR(IF(OR(J2184=0,K2184=""),"",IF(E2184="Positivo",MIN(MAX(K2184/J2184,0),1.3),MIN(MAX(J2184/K2184,0),1.3))),"") </f>
        <v/>
      </c>
      <c r="M2184" s="39">
        <f>IFERROR(IF(OR(J2184=0,K2184=""),"",IF(E2184="Positivo",MAX(K2184/J2184,0),MAX(J2184/K2184,0))),"") </f>
        <v/>
      </c>
      <c r="N2184" t="inlineStr">
        <is>
          <t>%</t>
        </is>
      </c>
      <c r="O2184" t="inlineStr">
        <is>
          <t>%</t>
        </is>
      </c>
      <c r="P2184" t="n">
        <v>0</v>
      </c>
      <c r="Q2184" t="n">
        <v>0</v>
      </c>
      <c r="R2184" t="inlineStr">
        <is>
          <t>431-2025-06-30</t>
        </is>
      </c>
    </row>
    <row r="2185">
      <c r="A2185" t="n">
        <v>431</v>
      </c>
      <c r="B2185" t="inlineStr">
        <is>
          <t>Gestión de casos de salud que impactan a los colaboradores</t>
        </is>
      </c>
      <c r="C2185" t="inlineStr">
        <is>
          <t>GESTIÓN DE SEGURIDAD Y SALUD EN EL TRABAJO</t>
        </is>
      </c>
      <c r="D2185" t="inlineStr">
        <is>
          <t>Semestral</t>
        </is>
      </c>
      <c r="E2185" t="inlineStr">
        <is>
          <t>Positivo</t>
        </is>
      </c>
      <c r="F2185" s="111" t="n">
        <v>45930</v>
      </c>
      <c r="G2185" t="n">
        <v>2025</v>
      </c>
      <c r="H2185" t="inlineStr">
        <is>
          <t>Septiembre</t>
        </is>
      </c>
      <c r="I2185" t="inlineStr">
        <is>
          <t>2025-2</t>
        </is>
      </c>
      <c r="J2185" t="n">
        <v>100</v>
      </c>
      <c r="K2185" t="n">
        <v>100</v>
      </c>
      <c r="L2185" s="39">
        <f>IFERROR(IF(OR(J2185=0,K2185=""),"",IF(E2185="Positivo",MIN(MAX(K2185/J2185,0),1.3),MIN(MAX(J2185/K2185,0),1.3))),"") </f>
        <v/>
      </c>
      <c r="M2185" s="39">
        <f>IFERROR(IF(OR(J2185=0,K2185=""),"",IF(E2185="Positivo",MAX(K2185/J2185,0),MAX(J2185/K2185,0))),"") </f>
        <v/>
      </c>
      <c r="N2185" t="inlineStr">
        <is>
          <t>%</t>
        </is>
      </c>
      <c r="O2185" t="inlineStr">
        <is>
          <t>%</t>
        </is>
      </c>
      <c r="P2185" t="n">
        <v>0</v>
      </c>
      <c r="Q2185" t="n">
        <v>0</v>
      </c>
      <c r="R2185" t="inlineStr">
        <is>
          <t>431-2025-09-30</t>
        </is>
      </c>
    </row>
    <row r="2186">
      <c r="A2186" t="n">
        <v>431</v>
      </c>
      <c r="B2186" t="inlineStr">
        <is>
          <t>Gestión de casos de salud que impactan a los colaboradores</t>
        </is>
      </c>
      <c r="C2186" t="inlineStr">
        <is>
          <t>GESTIÓN DE SEGURIDAD Y SALUD EN EL TRABAJO</t>
        </is>
      </c>
      <c r="D2186" t="inlineStr">
        <is>
          <t>Semestral</t>
        </is>
      </c>
      <c r="E2186" t="inlineStr">
        <is>
          <t>Positivo</t>
        </is>
      </c>
      <c r="F2186" s="111" t="n">
        <v>46022</v>
      </c>
      <c r="G2186" t="n">
        <v>2025</v>
      </c>
      <c r="H2186" t="inlineStr">
        <is>
          <t>Diciembre</t>
        </is>
      </c>
      <c r="I2186" t="inlineStr">
        <is>
          <t>2025-2</t>
        </is>
      </c>
      <c r="J2186" t="n">
        <v>100</v>
      </c>
      <c r="K2186" t="n">
        <v>100</v>
      </c>
      <c r="L2186" s="39">
        <f>IFERROR(IF(OR(J2186=0,K2186=""),"",IF(E2186="Positivo",MIN(MAX(K2186/J2186,0),1.3),MIN(MAX(J2186/K2186,0),1.3))),"") </f>
        <v/>
      </c>
      <c r="M2186" s="39">
        <f>IFERROR(IF(OR(J2186=0,K2186=""),"",IF(E2186="Positivo",MAX(K2186/J2186,0),MAX(J2186/K2186,0))),"") </f>
        <v/>
      </c>
      <c r="N2186" t="inlineStr">
        <is>
          <t>%</t>
        </is>
      </c>
      <c r="O2186" t="inlineStr">
        <is>
          <t>%</t>
        </is>
      </c>
      <c r="P2186" t="n">
        <v>0</v>
      </c>
      <c r="Q2186" t="n">
        <v>0</v>
      </c>
      <c r="R2186" t="inlineStr">
        <is>
          <t>431-2025-12-31</t>
        </is>
      </c>
    </row>
    <row r="2187">
      <c r="A2187" t="n">
        <v>432</v>
      </c>
      <c r="B2187" t="inlineStr">
        <is>
          <t>Intervención a la gestión del riesgo de los colaboradores</t>
        </is>
      </c>
      <c r="C2187" t="inlineStr">
        <is>
          <t>GESTIÓN DE SEGURIDAD Y SALUD EN EL TRABAJO</t>
        </is>
      </c>
      <c r="D2187" t="inlineStr">
        <is>
          <t>Semestral</t>
        </is>
      </c>
      <c r="E2187" t="inlineStr">
        <is>
          <t>Positivo</t>
        </is>
      </c>
      <c r="F2187" s="111" t="n">
        <v>45107</v>
      </c>
      <c r="G2187" t="n">
        <v>2023</v>
      </c>
      <c r="H2187" t="inlineStr">
        <is>
          <t>Junio</t>
        </is>
      </c>
      <c r="I2187" t="inlineStr">
        <is>
          <t>2023-1</t>
        </is>
      </c>
      <c r="L2187" s="39" t="n"/>
      <c r="M2187" s="39" t="n"/>
      <c r="N2187" t="inlineStr">
        <is>
          <t>%</t>
        </is>
      </c>
      <c r="O2187" t="inlineStr">
        <is>
          <t>No Aplica</t>
        </is>
      </c>
      <c r="P2187" t="n">
        <v>0</v>
      </c>
      <c r="Q2187" t="n">
        <v>0</v>
      </c>
      <c r="R2187" t="inlineStr">
        <is>
          <t>432-2023-06-30</t>
        </is>
      </c>
      <c r="S2187" t="inlineStr">
        <is>
          <t>No Aplica</t>
        </is>
      </c>
    </row>
    <row r="2188">
      <c r="A2188" t="n">
        <v>432</v>
      </c>
      <c r="B2188" t="inlineStr">
        <is>
          <t>Intervención a la gestión del riesgo de los colaboradores</t>
        </is>
      </c>
      <c r="C2188" t="inlineStr">
        <is>
          <t>GESTIÓN DE SEGURIDAD Y SALUD EN EL TRABAJO</t>
        </is>
      </c>
      <c r="D2188" t="inlineStr">
        <is>
          <t>Trimestral</t>
        </is>
      </c>
      <c r="E2188" t="inlineStr">
        <is>
          <t>Positivo</t>
        </is>
      </c>
      <c r="F2188" s="111" t="n">
        <v>45199</v>
      </c>
      <c r="G2188" t="n">
        <v>2023</v>
      </c>
      <c r="H2188" t="inlineStr">
        <is>
          <t>Septiembre</t>
        </is>
      </c>
      <c r="I2188" t="inlineStr">
        <is>
          <t>2023-2</t>
        </is>
      </c>
      <c r="J2188" t="n">
        <v>90</v>
      </c>
      <c r="K2188" t="n">
        <v>100</v>
      </c>
      <c r="L2188" s="39">
        <f>IFERROR(IF(OR(J2188=0,K2188=""),"",IF(E2188="Positivo",MIN(MAX(K2188/J2188,0),1.3),MIN(MAX(J2188/K2188,0),1.3))),"") </f>
        <v/>
      </c>
      <c r="M2188" s="39">
        <f>IFERROR(IF(OR(J2188=0,K2188=""),"",IF(E2188="Positivo",MAX(K2188/J2188,0),MAX(J2188/K2188,0))),"") </f>
        <v/>
      </c>
      <c r="N2188" t="inlineStr">
        <is>
          <t>%</t>
        </is>
      </c>
      <c r="O2188" t="inlineStr">
        <is>
          <t>%</t>
        </is>
      </c>
      <c r="P2188" t="n">
        <v>0</v>
      </c>
      <c r="Q2188" t="n">
        <v>0</v>
      </c>
      <c r="R2188" t="inlineStr">
        <is>
          <t>432-2023-09-30</t>
        </is>
      </c>
    </row>
    <row r="2189">
      <c r="A2189" t="n">
        <v>432</v>
      </c>
      <c r="B2189" t="inlineStr">
        <is>
          <t>Intervención a la gestión del riesgo de los colaboradores</t>
        </is>
      </c>
      <c r="C2189" t="inlineStr">
        <is>
          <t>GESTIÓN DE SEGURIDAD Y SALUD EN EL TRABAJO</t>
        </is>
      </c>
      <c r="D2189" t="inlineStr">
        <is>
          <t>Trimestral</t>
        </is>
      </c>
      <c r="E2189" t="inlineStr">
        <is>
          <t>Positivo</t>
        </is>
      </c>
      <c r="F2189" s="111" t="n">
        <v>45291</v>
      </c>
      <c r="G2189" t="n">
        <v>2023</v>
      </c>
      <c r="H2189" t="inlineStr">
        <is>
          <t>Diciembre</t>
        </is>
      </c>
      <c r="I2189" t="inlineStr">
        <is>
          <t>2023-2</t>
        </is>
      </c>
      <c r="J2189" t="n">
        <v>90</v>
      </c>
      <c r="K2189" t="n">
        <v>98.76555555555601</v>
      </c>
      <c r="L2189" s="39">
        <f>IFERROR(IF(OR(J2189=0,K2189=""),"",IF(E2189="Positivo",MIN(MAX(K2189/J2189,0),1.3),MIN(MAX(J2189/K2189,0),1.3))),"") </f>
        <v/>
      </c>
      <c r="M2189" s="39">
        <f>IFERROR(IF(OR(J2189=0,K2189=""),"",IF(E2189="Positivo",MAX(K2189/J2189,0),MAX(J2189/K2189,0))),"") </f>
        <v/>
      </c>
      <c r="N2189" t="inlineStr">
        <is>
          <t>%</t>
        </is>
      </c>
      <c r="O2189" t="inlineStr">
        <is>
          <t>%</t>
        </is>
      </c>
      <c r="P2189" t="n">
        <v>0</v>
      </c>
      <c r="Q2189" t="n">
        <v>0</v>
      </c>
      <c r="R2189" t="inlineStr">
        <is>
          <t>432-2023-12-31</t>
        </is>
      </c>
    </row>
    <row r="2190">
      <c r="A2190" t="n">
        <v>432</v>
      </c>
      <c r="B2190" t="inlineStr">
        <is>
          <t>Intervención a la gestión del riesgo de los colaboradores</t>
        </is>
      </c>
      <c r="C2190" t="inlineStr">
        <is>
          <t>GESTIÓN DE SEGURIDAD Y SALUD EN EL TRABAJO</t>
        </is>
      </c>
      <c r="D2190" t="inlineStr">
        <is>
          <t>Trimestral</t>
        </is>
      </c>
      <c r="E2190" t="inlineStr">
        <is>
          <t>Positivo</t>
        </is>
      </c>
      <c r="F2190" s="111" t="n">
        <v>45382</v>
      </c>
      <c r="G2190" t="n">
        <v>2024</v>
      </c>
      <c r="H2190" t="inlineStr">
        <is>
          <t>Marzo</t>
        </is>
      </c>
      <c r="I2190" t="inlineStr">
        <is>
          <t>2024-1</t>
        </is>
      </c>
      <c r="J2190" t="n">
        <v>90</v>
      </c>
      <c r="K2190" t="n">
        <v>100</v>
      </c>
      <c r="L2190" s="39">
        <f>IFERROR(IF(OR(J2190=0,K2190=""),"",IF(E2190="Positivo",MIN(MAX(K2190/J2190,0),1.3),MIN(MAX(J2190/K2190,0),1.3))),"") </f>
        <v/>
      </c>
      <c r="M2190" s="39">
        <f>IFERROR(IF(OR(J2190=0,K2190=""),"",IF(E2190="Positivo",MAX(K2190/J2190,0),MAX(J2190/K2190,0))),"") </f>
        <v/>
      </c>
      <c r="N2190" t="inlineStr">
        <is>
          <t>%</t>
        </is>
      </c>
      <c r="O2190" t="inlineStr">
        <is>
          <t>%</t>
        </is>
      </c>
      <c r="P2190" t="n">
        <v>0</v>
      </c>
      <c r="Q2190" t="n">
        <v>0</v>
      </c>
      <c r="R2190" t="inlineStr">
        <is>
          <t>432-2024-03-31</t>
        </is>
      </c>
    </row>
    <row r="2191">
      <c r="A2191" t="n">
        <v>432</v>
      </c>
      <c r="B2191" t="inlineStr">
        <is>
          <t>Intervención a la gestión del riesgo de los colaboradores</t>
        </is>
      </c>
      <c r="C2191" t="inlineStr">
        <is>
          <t>GESTIÓN DE SEGURIDAD Y SALUD EN EL TRABAJO</t>
        </is>
      </c>
      <c r="D2191" t="inlineStr">
        <is>
          <t>Trimestral</t>
        </is>
      </c>
      <c r="E2191" t="inlineStr">
        <is>
          <t>Positivo</t>
        </is>
      </c>
      <c r="F2191" s="111" t="n">
        <v>45473</v>
      </c>
      <c r="G2191" t="n">
        <v>2024</v>
      </c>
      <c r="H2191" t="inlineStr">
        <is>
          <t>Junio</t>
        </is>
      </c>
      <c r="I2191" t="inlineStr">
        <is>
          <t>2024-1</t>
        </is>
      </c>
      <c r="J2191" t="n">
        <v>90</v>
      </c>
      <c r="K2191" t="n">
        <v>100</v>
      </c>
      <c r="L2191" s="39">
        <f>IFERROR(IF(OR(J2191=0,K2191=""),"",IF(E2191="Positivo",MIN(MAX(K2191/J2191,0),1.3),MIN(MAX(J2191/K2191,0),1.3))),"") </f>
        <v/>
      </c>
      <c r="M2191" s="39">
        <f>IFERROR(IF(OR(J2191=0,K2191=""),"",IF(E2191="Positivo",MAX(K2191/J2191,0),MAX(J2191/K2191,0))),"") </f>
        <v/>
      </c>
      <c r="N2191" t="inlineStr">
        <is>
          <t>%</t>
        </is>
      </c>
      <c r="O2191" t="inlineStr">
        <is>
          <t>%</t>
        </is>
      </c>
      <c r="P2191" t="n">
        <v>0</v>
      </c>
      <c r="Q2191" t="n">
        <v>0</v>
      </c>
      <c r="R2191" t="inlineStr">
        <is>
          <t>432-2024-06-30</t>
        </is>
      </c>
    </row>
    <row r="2192">
      <c r="A2192" t="n">
        <v>432</v>
      </c>
      <c r="B2192" t="inlineStr">
        <is>
          <t>Intervención a la gestión del riesgo de los colaboradores</t>
        </is>
      </c>
      <c r="C2192" t="inlineStr">
        <is>
          <t>GESTIÓN DE SEGURIDAD Y SALUD EN EL TRABAJO</t>
        </is>
      </c>
      <c r="D2192" t="inlineStr">
        <is>
          <t>Trimestral</t>
        </is>
      </c>
      <c r="E2192" t="inlineStr">
        <is>
          <t>Positivo</t>
        </is>
      </c>
      <c r="F2192" s="111" t="n">
        <v>45565</v>
      </c>
      <c r="G2192" t="n">
        <v>2024</v>
      </c>
      <c r="H2192" t="inlineStr">
        <is>
          <t>Septiembre</t>
        </is>
      </c>
      <c r="I2192" t="inlineStr">
        <is>
          <t>2024-2</t>
        </is>
      </c>
      <c r="J2192" t="n">
        <v>90</v>
      </c>
      <c r="K2192" t="n">
        <v>0</v>
      </c>
      <c r="L2192" s="39">
        <f>IFERROR(IF(OR(J2192=0,K2192=""),"",IF(E2192="Positivo",MIN(MAX(K2192/J2192,0),1.3),MIN(MAX(J2192/K2192,0),1.3))),"") </f>
        <v/>
      </c>
      <c r="M2192" s="39">
        <f>IFERROR(IF(OR(J2192=0,K2192=""),"",IF(E2192="Positivo",MAX(K2192/J2192,0),MAX(J2192/K2192,0))),"") </f>
        <v/>
      </c>
      <c r="N2192" t="inlineStr">
        <is>
          <t>%</t>
        </is>
      </c>
      <c r="O2192" t="inlineStr">
        <is>
          <t>%</t>
        </is>
      </c>
      <c r="P2192" t="n">
        <v>0</v>
      </c>
      <c r="Q2192" t="n">
        <v>0</v>
      </c>
      <c r="R2192" t="inlineStr">
        <is>
          <t>432-2024-09-30</t>
        </is>
      </c>
    </row>
    <row r="2193">
      <c r="A2193" t="n">
        <v>432</v>
      </c>
      <c r="B2193" t="inlineStr">
        <is>
          <t>Intervención a la gestión del riesgo de los colaboradores</t>
        </is>
      </c>
      <c r="C2193" t="inlineStr">
        <is>
          <t>GESTIÓN DE SEGURIDAD Y SALUD EN EL TRABAJO</t>
        </is>
      </c>
      <c r="D2193" t="inlineStr">
        <is>
          <t>Trimestral</t>
        </is>
      </c>
      <c r="E2193" t="inlineStr">
        <is>
          <t>Positivo</t>
        </is>
      </c>
      <c r="F2193" s="111" t="n">
        <v>45657</v>
      </c>
      <c r="G2193" t="n">
        <v>2024</v>
      </c>
      <c r="H2193" t="inlineStr">
        <is>
          <t>Diciembre</t>
        </is>
      </c>
      <c r="I2193" t="inlineStr">
        <is>
          <t>2024-2</t>
        </is>
      </c>
      <c r="J2193" t="n">
        <v>90</v>
      </c>
      <c r="K2193" t="n">
        <v>100</v>
      </c>
      <c r="L2193" s="39">
        <f>IFERROR(IF(OR(J2193=0,K2193=""),"",IF(E2193="Positivo",MIN(MAX(K2193/J2193,0),1.3),MIN(MAX(J2193/K2193,0),1.3))),"") </f>
        <v/>
      </c>
      <c r="M2193" s="39">
        <f>IFERROR(IF(OR(J2193=0,K2193=""),"",IF(E2193="Positivo",MAX(K2193/J2193,0),MAX(J2193/K2193,0))),"") </f>
        <v/>
      </c>
      <c r="N2193" t="inlineStr">
        <is>
          <t>%</t>
        </is>
      </c>
      <c r="O2193" t="inlineStr">
        <is>
          <t>%</t>
        </is>
      </c>
      <c r="P2193" t="n">
        <v>0</v>
      </c>
      <c r="Q2193" t="n">
        <v>0</v>
      </c>
      <c r="R2193" t="inlineStr">
        <is>
          <t>432-2024-12-31</t>
        </is>
      </c>
    </row>
    <row r="2194">
      <c r="A2194" t="n">
        <v>432</v>
      </c>
      <c r="B2194" t="inlineStr">
        <is>
          <t>Intervención a la gestión del riesgo de los colaboradores</t>
        </is>
      </c>
      <c r="C2194" t="inlineStr">
        <is>
          <t>GESTIÓN DE SEGURIDAD Y SALUD EN EL TRABAJO</t>
        </is>
      </c>
      <c r="D2194" t="inlineStr">
        <is>
          <t>Trimestral</t>
        </is>
      </c>
      <c r="E2194" t="inlineStr">
        <is>
          <t>Positivo</t>
        </is>
      </c>
      <c r="F2194" s="111" t="n">
        <v>45747</v>
      </c>
      <c r="G2194" t="n">
        <v>2025</v>
      </c>
      <c r="H2194" t="inlineStr">
        <is>
          <t>Marzo</t>
        </is>
      </c>
      <c r="I2194" t="inlineStr">
        <is>
          <t>2025-1</t>
        </is>
      </c>
      <c r="J2194" t="n">
        <v>90</v>
      </c>
      <c r="K2194" t="n">
        <v>100</v>
      </c>
      <c r="L2194" s="39">
        <f>IFERROR(IF(OR(J2194=0,K2194=""),"",IF(E2194="Positivo",MIN(MAX(K2194/J2194,0),1.3),MIN(MAX(J2194/K2194,0),1.3))),"") </f>
        <v/>
      </c>
      <c r="M2194" s="39">
        <f>IFERROR(IF(OR(J2194=0,K2194=""),"",IF(E2194="Positivo",MAX(K2194/J2194,0),MAX(J2194/K2194,0))),"") </f>
        <v/>
      </c>
      <c r="N2194" t="inlineStr">
        <is>
          <t>%</t>
        </is>
      </c>
      <c r="O2194" t="inlineStr">
        <is>
          <t>%</t>
        </is>
      </c>
      <c r="P2194" t="n">
        <v>0</v>
      </c>
      <c r="Q2194" t="n">
        <v>0</v>
      </c>
      <c r="R2194" t="inlineStr">
        <is>
          <t>432-2025-03-31</t>
        </is>
      </c>
    </row>
    <row r="2195">
      <c r="A2195" t="n">
        <v>432</v>
      </c>
      <c r="B2195" t="inlineStr">
        <is>
          <t>Intervención a la gestión del riesgo de los colaboradores</t>
        </is>
      </c>
      <c r="C2195" t="inlineStr">
        <is>
          <t>GESTIÓN DE SEGURIDAD Y SALUD EN EL TRABAJO</t>
        </is>
      </c>
      <c r="D2195" t="inlineStr">
        <is>
          <t>Trimestral</t>
        </is>
      </c>
      <c r="E2195" t="inlineStr">
        <is>
          <t>Positivo</t>
        </is>
      </c>
      <c r="F2195" s="111" t="n">
        <v>45838</v>
      </c>
      <c r="G2195" t="n">
        <v>2025</v>
      </c>
      <c r="H2195" t="inlineStr">
        <is>
          <t>Junio</t>
        </is>
      </c>
      <c r="I2195" t="inlineStr">
        <is>
          <t>2025-1</t>
        </is>
      </c>
      <c r="J2195" t="n">
        <v>90</v>
      </c>
      <c r="K2195" t="n">
        <v>100</v>
      </c>
      <c r="L2195" s="39">
        <f>IFERROR(IF(OR(J2195=0,K2195=""),"",IF(E2195="Positivo",MIN(MAX(K2195/J2195,0),1.3),MIN(MAX(J2195/K2195,0),1.3))),"") </f>
        <v/>
      </c>
      <c r="M2195" s="39">
        <f>IFERROR(IF(OR(J2195=0,K2195=""),"",IF(E2195="Positivo",MAX(K2195/J2195,0),MAX(J2195/K2195,0))),"") </f>
        <v/>
      </c>
      <c r="N2195" t="inlineStr">
        <is>
          <t>%</t>
        </is>
      </c>
      <c r="O2195" t="inlineStr">
        <is>
          <t>%</t>
        </is>
      </c>
      <c r="P2195" t="n">
        <v>0</v>
      </c>
      <c r="Q2195" t="n">
        <v>0</v>
      </c>
      <c r="R2195" t="inlineStr">
        <is>
          <t>432-2025-06-30</t>
        </is>
      </c>
    </row>
    <row r="2196">
      <c r="A2196" t="n">
        <v>432</v>
      </c>
      <c r="B2196" t="inlineStr">
        <is>
          <t>Intervención a la gestión del riesgo de los colaboradores</t>
        </is>
      </c>
      <c r="C2196" t="inlineStr">
        <is>
          <t>GESTIÓN DE SEGURIDAD Y SALUD EN EL TRABAJO</t>
        </is>
      </c>
      <c r="D2196" t="inlineStr">
        <is>
          <t>Semestral</t>
        </is>
      </c>
      <c r="E2196" t="inlineStr">
        <is>
          <t>Positivo</t>
        </is>
      </c>
      <c r="F2196" s="111" t="n">
        <v>45930</v>
      </c>
      <c r="G2196" t="n">
        <v>2025</v>
      </c>
      <c r="H2196" t="inlineStr">
        <is>
          <t>Septiembre</t>
        </is>
      </c>
      <c r="I2196" t="inlineStr">
        <is>
          <t>2025-2</t>
        </is>
      </c>
      <c r="J2196" t="n">
        <v>90</v>
      </c>
      <c r="K2196" t="n">
        <v>100</v>
      </c>
      <c r="L2196" s="39">
        <f>IFERROR(IF(OR(J2196=0,K2196=""),"",IF(E2196="Positivo",MIN(MAX(K2196/J2196,0),1.3),MIN(MAX(J2196/K2196,0),1.3))),"") </f>
        <v/>
      </c>
      <c r="M2196" s="39">
        <f>IFERROR(IF(OR(J2196=0,K2196=""),"",IF(E2196="Positivo",MAX(K2196/J2196,0),MAX(J2196/K2196,0))),"") </f>
        <v/>
      </c>
      <c r="N2196" t="inlineStr">
        <is>
          <t>%</t>
        </is>
      </c>
      <c r="O2196" t="inlineStr">
        <is>
          <t>%</t>
        </is>
      </c>
      <c r="P2196" t="n">
        <v>0</v>
      </c>
      <c r="Q2196" t="n">
        <v>0</v>
      </c>
      <c r="R2196" t="inlineStr">
        <is>
          <t>432-2025-09-30</t>
        </is>
      </c>
    </row>
    <row r="2197">
      <c r="A2197" t="n">
        <v>432</v>
      </c>
      <c r="B2197" t="inlineStr">
        <is>
          <t>Intervención a la gestión del riesgo de los colaboradores</t>
        </is>
      </c>
      <c r="C2197" t="inlineStr">
        <is>
          <t>GESTIÓN DE SEGURIDAD Y SALUD EN EL TRABAJO</t>
        </is>
      </c>
      <c r="D2197" t="inlineStr">
        <is>
          <t>Semestral</t>
        </is>
      </c>
      <c r="E2197" t="inlineStr">
        <is>
          <t>Positivo</t>
        </is>
      </c>
      <c r="F2197" s="111" t="n">
        <v>46022</v>
      </c>
      <c r="G2197" t="n">
        <v>2025</v>
      </c>
      <c r="H2197" t="inlineStr">
        <is>
          <t>Diciembre</t>
        </is>
      </c>
      <c r="I2197" t="inlineStr">
        <is>
          <t>2025-2</t>
        </is>
      </c>
      <c r="J2197" t="n">
        <v>90</v>
      </c>
      <c r="K2197" t="n">
        <v>100</v>
      </c>
      <c r="L2197" s="39">
        <f>IFERROR(IF(OR(J2197=0,K2197=""),"",IF(E2197="Positivo",MIN(MAX(K2197/J2197,0),1.3),MIN(MAX(J2197/K2197,0),1.3))),"") </f>
        <v/>
      </c>
      <c r="M2197" s="39">
        <f>IFERROR(IF(OR(J2197=0,K2197=""),"",IF(E2197="Positivo",MAX(K2197/J2197,0),MAX(J2197/K2197,0))),"") </f>
        <v/>
      </c>
      <c r="N2197" t="inlineStr">
        <is>
          <t>%</t>
        </is>
      </c>
      <c r="O2197" t="inlineStr">
        <is>
          <t>%</t>
        </is>
      </c>
      <c r="P2197" t="n">
        <v>0</v>
      </c>
      <c r="Q2197" t="n">
        <v>0</v>
      </c>
      <c r="R2197" t="inlineStr">
        <is>
          <t>432-2025-12-31</t>
        </is>
      </c>
    </row>
    <row r="2198">
      <c r="A2198" t="n">
        <v>433</v>
      </c>
      <c r="B2198" t="inlineStr">
        <is>
          <t>Generación de Residuos Peligrosos per Cápita Semestral</t>
        </is>
      </c>
      <c r="C2198" t="inlineStr">
        <is>
          <t>GESTIÓN AMBIENTAL</t>
        </is>
      </c>
      <c r="D2198" t="inlineStr">
        <is>
          <t>Semestral</t>
        </is>
      </c>
      <c r="E2198" t="inlineStr">
        <is>
          <t>Negativo</t>
        </is>
      </c>
      <c r="F2198" s="111" t="n">
        <v>45107</v>
      </c>
      <c r="G2198" t="n">
        <v>2023</v>
      </c>
      <c r="H2198" t="inlineStr">
        <is>
          <t>Junio</t>
        </is>
      </c>
      <c r="I2198" t="inlineStr">
        <is>
          <t>2023-1</t>
        </is>
      </c>
      <c r="J2198" t="n">
        <v>0.05</v>
      </c>
      <c r="K2198" t="n">
        <v>0.02</v>
      </c>
      <c r="L2198" s="39">
        <f>IFERROR(IF(OR(J2198=0,K2198=""),"",IF(E2198="Positivo",MIN(MAX(K2198/J2198,0),1.3),MIN(MAX(J2198/K2198,0),1.3))),"") </f>
        <v/>
      </c>
      <c r="M2198" s="39">
        <f>IFERROR(IF(OR(J2198=0,K2198=""),"",IF(E2198="Positivo",MAX(K2198/J2198,0),MAX(J2198/K2198,0))),"") </f>
        <v/>
      </c>
      <c r="N2198" t="inlineStr">
        <is>
          <t>DEC</t>
        </is>
      </c>
      <c r="O2198" t="inlineStr">
        <is>
          <t>DEC</t>
        </is>
      </c>
      <c r="P2198" t="n">
        <v>1</v>
      </c>
      <c r="Q2198" t="n">
        <v>2</v>
      </c>
      <c r="R2198" t="inlineStr">
        <is>
          <t>433-2023-06-30</t>
        </is>
      </c>
    </row>
    <row r="2199">
      <c r="A2199" t="n">
        <v>433</v>
      </c>
      <c r="B2199" t="inlineStr">
        <is>
          <t>Generación de Residuos Peligrosos per Cápita Semestral</t>
        </is>
      </c>
      <c r="C2199" t="inlineStr">
        <is>
          <t>GESTIÓN AMBIENTAL</t>
        </is>
      </c>
      <c r="D2199" t="inlineStr">
        <is>
          <t>Semestral</t>
        </is>
      </c>
      <c r="E2199" t="inlineStr">
        <is>
          <t>Negativo</t>
        </is>
      </c>
      <c r="F2199" s="111" t="n">
        <v>45291</v>
      </c>
      <c r="G2199" t="n">
        <v>2023</v>
      </c>
      <c r="H2199" t="inlineStr">
        <is>
          <t>Diciembre</t>
        </is>
      </c>
      <c r="I2199" t="inlineStr">
        <is>
          <t>2023-2</t>
        </is>
      </c>
      <c r="J2199" t="n">
        <v>0.05</v>
      </c>
      <c r="K2199" t="n">
        <v>0.05</v>
      </c>
      <c r="L2199" s="39">
        <f>IFERROR(IF(OR(J2199=0,K2199=""),"",IF(E2199="Positivo",MIN(MAX(K2199/J2199,0),1.3),MIN(MAX(J2199/K2199,0),1.3))),"") </f>
        <v/>
      </c>
      <c r="M2199" s="39">
        <f>IFERROR(IF(OR(J2199=0,K2199=""),"",IF(E2199="Positivo",MAX(K2199/J2199,0),MAX(J2199/K2199,0))),"") </f>
        <v/>
      </c>
      <c r="N2199" t="inlineStr">
        <is>
          <t>DEC</t>
        </is>
      </c>
      <c r="O2199" t="inlineStr">
        <is>
          <t>DEC</t>
        </is>
      </c>
      <c r="P2199" t="n">
        <v>0</v>
      </c>
      <c r="Q2199" t="n">
        <v>0</v>
      </c>
      <c r="R2199" t="inlineStr">
        <is>
          <t>433-2023-12-31</t>
        </is>
      </c>
    </row>
    <row r="2200">
      <c r="A2200" t="n">
        <v>433</v>
      </c>
      <c r="B2200" t="inlineStr">
        <is>
          <t>Generación de Residuos Peligrosos per Cápita Semestral</t>
        </is>
      </c>
      <c r="C2200" t="inlineStr">
        <is>
          <t>GESTIÓN AMBIENTAL</t>
        </is>
      </c>
      <c r="D2200" t="inlineStr">
        <is>
          <t>Semestral</t>
        </is>
      </c>
      <c r="E2200" t="inlineStr">
        <is>
          <t>Negativo</t>
        </is>
      </c>
      <c r="F2200" s="111" t="n">
        <v>45473</v>
      </c>
      <c r="G2200" t="n">
        <v>2024</v>
      </c>
      <c r="H2200" t="inlineStr">
        <is>
          <t>Junio</t>
        </is>
      </c>
      <c r="I2200" t="inlineStr">
        <is>
          <t>2024-1</t>
        </is>
      </c>
      <c r="J2200" t="n">
        <v>0.05</v>
      </c>
      <c r="K2200" t="n">
        <v>0.07000000000000001</v>
      </c>
      <c r="L2200" s="39">
        <f>IFERROR(IF(OR(J2200=0,K2200=""),"",IF(E2200="Positivo",MIN(MAX(K2200/J2200,0),1.3),MIN(MAX(J2200/K2200,0),1.3))),"") </f>
        <v/>
      </c>
      <c r="M2200" s="39">
        <f>IFERROR(IF(OR(J2200=0,K2200=""),"",IF(E2200="Positivo",MAX(K2200/J2200,0),MAX(J2200/K2200,0))),"") </f>
        <v/>
      </c>
      <c r="N2200" t="inlineStr">
        <is>
          <t>DEC</t>
        </is>
      </c>
      <c r="O2200" t="inlineStr">
        <is>
          <t>DEC</t>
        </is>
      </c>
      <c r="P2200" t="n">
        <v>2</v>
      </c>
      <c r="Q2200" t="n">
        <v>2</v>
      </c>
      <c r="R2200" t="inlineStr">
        <is>
          <t>433-2024-06-30</t>
        </is>
      </c>
    </row>
    <row r="2201">
      <c r="A2201" t="n">
        <v>433</v>
      </c>
      <c r="B2201" t="inlineStr">
        <is>
          <t>Generación de Residuos Peligrosos per Cápita Semestral</t>
        </is>
      </c>
      <c r="C2201" t="inlineStr">
        <is>
          <t>GESTIÓN AMBIENTAL</t>
        </is>
      </c>
      <c r="D2201" t="inlineStr">
        <is>
          <t>Semestral</t>
        </is>
      </c>
      <c r="E2201" t="inlineStr">
        <is>
          <t>Negativo</t>
        </is>
      </c>
      <c r="F2201" s="111" t="n">
        <v>45657</v>
      </c>
      <c r="G2201" t="n">
        <v>2024</v>
      </c>
      <c r="H2201" t="inlineStr">
        <is>
          <t>Diciembre</t>
        </is>
      </c>
      <c r="I2201" t="inlineStr">
        <is>
          <t>2024-2</t>
        </is>
      </c>
      <c r="J2201" t="n">
        <v>0.05</v>
      </c>
      <c r="K2201" t="n">
        <v>0.14</v>
      </c>
      <c r="L2201" s="39">
        <f>IFERROR(IF(OR(J2201=0,K2201=""),"",IF(E2201="Positivo",MIN(MAX(K2201/J2201,0),1.3),MIN(MAX(J2201/K2201,0),1.3))),"") </f>
        <v/>
      </c>
      <c r="M2201" s="39">
        <f>IFERROR(IF(OR(J2201=0,K2201=""),"",IF(E2201="Positivo",MAX(K2201/J2201,0),MAX(J2201/K2201,0))),"") </f>
        <v/>
      </c>
      <c r="N2201" t="inlineStr">
        <is>
          <t>DEC</t>
        </is>
      </c>
      <c r="O2201" t="inlineStr">
        <is>
          <t>DEC</t>
        </is>
      </c>
      <c r="P2201" t="n">
        <v>2</v>
      </c>
      <c r="Q2201" t="n">
        <v>2</v>
      </c>
      <c r="R2201" t="inlineStr">
        <is>
          <t>433-2024-12-31</t>
        </is>
      </c>
    </row>
    <row r="2202">
      <c r="A2202" t="n">
        <v>433</v>
      </c>
      <c r="B2202" t="inlineStr">
        <is>
          <t>Generación de Residuos Peligrosos per Cápita Semestral</t>
        </is>
      </c>
      <c r="C2202" t="inlineStr">
        <is>
          <t>GESTIÓN AMBIENTAL</t>
        </is>
      </c>
      <c r="D2202" t="inlineStr">
        <is>
          <t>Semestral</t>
        </is>
      </c>
      <c r="E2202" t="inlineStr">
        <is>
          <t>Negativo</t>
        </is>
      </c>
      <c r="F2202" s="111" t="n">
        <v>45838</v>
      </c>
      <c r="G2202" t="n">
        <v>2025</v>
      </c>
      <c r="H2202" t="inlineStr">
        <is>
          <t>Junio</t>
        </is>
      </c>
      <c r="I2202" t="inlineStr">
        <is>
          <t>2025-1</t>
        </is>
      </c>
      <c r="J2202" t="n">
        <v>0.05</v>
      </c>
      <c r="K2202" t="n">
        <v>0.02</v>
      </c>
      <c r="L2202" s="39">
        <f>IFERROR(IF(OR(J2202=0,K2202=""),"",IF(E2202="Positivo",MIN(MAX(K2202/J2202,0),1.3),MIN(MAX(J2202/K2202,0),1.3))),"") </f>
        <v/>
      </c>
      <c r="M2202" s="39">
        <f>IFERROR(IF(OR(J2202=0,K2202=""),"",IF(E2202="Positivo",MAX(K2202/J2202,0),MAX(J2202/K2202,0))),"") </f>
        <v/>
      </c>
      <c r="N2202" t="inlineStr">
        <is>
          <t>DEC</t>
        </is>
      </c>
      <c r="O2202" t="inlineStr">
        <is>
          <t>DEC</t>
        </is>
      </c>
      <c r="P2202" t="n">
        <v>2</v>
      </c>
      <c r="Q2202" t="n">
        <v>2</v>
      </c>
      <c r="R2202" t="inlineStr">
        <is>
          <t>433-2025-06-30</t>
        </is>
      </c>
    </row>
    <row r="2203">
      <c r="A2203" t="n">
        <v>433</v>
      </c>
      <c r="B2203" t="inlineStr">
        <is>
          <t>Generación de Residuos Peligrosos per Cápita Semestral</t>
        </is>
      </c>
      <c r="C2203" t="inlineStr">
        <is>
          <t>GESTIÓN AMBIENTAL</t>
        </is>
      </c>
      <c r="D2203" t="inlineStr">
        <is>
          <t>Trimestral</t>
        </is>
      </c>
      <c r="E2203" t="inlineStr">
        <is>
          <t>Negativo</t>
        </is>
      </c>
      <c r="F2203" s="111" t="n">
        <v>46022</v>
      </c>
      <c r="G2203" t="n">
        <v>2025</v>
      </c>
      <c r="H2203" t="inlineStr">
        <is>
          <t>Diciembre</t>
        </is>
      </c>
      <c r="I2203" t="inlineStr">
        <is>
          <t>2025-2</t>
        </is>
      </c>
      <c r="J2203" t="n">
        <v>0.05</v>
      </c>
      <c r="K2203" t="n">
        <v>0.17</v>
      </c>
      <c r="L2203" s="39">
        <f>IFERROR(IF(OR(J2203=0,K2203=""),"",IF(E2203="Positivo",MIN(MAX(K2203/J2203,0),1.3),MIN(MAX(J2203/K2203,0),1.3))),"") </f>
        <v/>
      </c>
      <c r="M2203" s="39">
        <f>IFERROR(IF(OR(J2203=0,K2203=""),"",IF(E2203="Positivo",MAX(K2203/J2203,0),MAX(J2203/K2203,0))),"") </f>
        <v/>
      </c>
      <c r="N2203" t="inlineStr">
        <is>
          <t>DEC</t>
        </is>
      </c>
      <c r="O2203" t="inlineStr">
        <is>
          <t>DEC</t>
        </is>
      </c>
      <c r="P2203" t="n">
        <v>2</v>
      </c>
      <c r="Q2203" t="n">
        <v>2</v>
      </c>
      <c r="R2203" t="inlineStr">
        <is>
          <t>433-2025-12-31</t>
        </is>
      </c>
    </row>
    <row r="2204">
      <c r="A2204" t="n">
        <v>434</v>
      </c>
      <c r="B2204" t="inlineStr">
        <is>
          <t>Generación de Residuos Peligrosos Mensual</t>
        </is>
      </c>
      <c r="C2204" t="inlineStr">
        <is>
          <t>GESTIÓN AMBIENTAL</t>
        </is>
      </c>
      <c r="D2204" t="inlineStr">
        <is>
          <t>Mensual</t>
        </is>
      </c>
      <c r="E2204" t="inlineStr">
        <is>
          <t>Negativo</t>
        </is>
      </c>
      <c r="F2204" s="111" t="n">
        <v>44957</v>
      </c>
      <c r="G2204" t="n">
        <v>2023</v>
      </c>
      <c r="H2204" t="inlineStr">
        <is>
          <t>Enero</t>
        </is>
      </c>
      <c r="I2204" t="inlineStr">
        <is>
          <t>2023-1</t>
        </is>
      </c>
      <c r="J2204" t="n">
        <v>200</v>
      </c>
      <c r="K2204" t="n">
        <v>7</v>
      </c>
      <c r="L2204" s="39">
        <f>IFERROR(IF(OR(J2204=0,K2204=""),"",IF(E2204="Positivo",MIN(MAX(K2204/J2204,0),1.3),MIN(MAX(J2204/K2204,0),1.3))),"") </f>
        <v/>
      </c>
      <c r="M2204" s="39">
        <f>IFERROR(IF(OR(J2204=0,K2204=""),"",IF(E2204="Positivo",MAX(K2204/J2204,0),MAX(J2204/K2204,0))),"") </f>
        <v/>
      </c>
      <c r="N2204" t="inlineStr">
        <is>
          <t>Kg</t>
        </is>
      </c>
      <c r="O2204" t="inlineStr">
        <is>
          <t>Kg</t>
        </is>
      </c>
      <c r="P2204" t="n">
        <v>0</v>
      </c>
      <c r="Q2204" t="n">
        <v>0</v>
      </c>
      <c r="R2204" t="inlineStr">
        <is>
          <t>434-2023-01-31</t>
        </is>
      </c>
    </row>
    <row r="2205">
      <c r="A2205" t="n">
        <v>434</v>
      </c>
      <c r="B2205" t="inlineStr">
        <is>
          <t>Generación de Residuos Peligrosos Mensual</t>
        </is>
      </c>
      <c r="C2205" t="inlineStr">
        <is>
          <t>GESTIÓN AMBIENTAL</t>
        </is>
      </c>
      <c r="D2205" t="inlineStr">
        <is>
          <t>Mensual</t>
        </is>
      </c>
      <c r="E2205" t="inlineStr">
        <is>
          <t>Negativo</t>
        </is>
      </c>
      <c r="F2205" s="111" t="n">
        <v>44985</v>
      </c>
      <c r="G2205" t="n">
        <v>2023</v>
      </c>
      <c r="H2205" t="inlineStr">
        <is>
          <t>Febrero</t>
        </is>
      </c>
      <c r="I2205" t="inlineStr">
        <is>
          <t>2023-1</t>
        </is>
      </c>
      <c r="J2205" t="n">
        <v>200</v>
      </c>
      <c r="K2205" t="n">
        <v>0</v>
      </c>
      <c r="L2205" s="39">
        <f>IFERROR(IF(OR(J2205=0,K2205=""),"",IF(E2205="Positivo",MIN(MAX(K2205/J2205,0),1.3),MIN(MAX(J2205/K2205,0),1.3))),"") </f>
        <v/>
      </c>
      <c r="M2205" s="39">
        <f>IFERROR(IF(OR(J2205=0,K2205=""),"",IF(E2205="Positivo",MAX(K2205/J2205,0),MAX(J2205/K2205,0))),"") </f>
        <v/>
      </c>
      <c r="N2205" t="inlineStr">
        <is>
          <t>Kg</t>
        </is>
      </c>
      <c r="O2205" t="inlineStr">
        <is>
          <t>Kg</t>
        </is>
      </c>
      <c r="P2205" t="n">
        <v>0</v>
      </c>
      <c r="Q2205" t="n">
        <v>0</v>
      </c>
      <c r="R2205" t="inlineStr">
        <is>
          <t>434-2023-02-28</t>
        </is>
      </c>
    </row>
    <row r="2206">
      <c r="A2206" t="n">
        <v>434</v>
      </c>
      <c r="B2206" t="inlineStr">
        <is>
          <t>Generación de Residuos Peligrosos Mensual</t>
        </is>
      </c>
      <c r="C2206" t="inlineStr">
        <is>
          <t>GESTIÓN AMBIENTAL</t>
        </is>
      </c>
      <c r="D2206" t="inlineStr">
        <is>
          <t>Mensual</t>
        </is>
      </c>
      <c r="E2206" t="inlineStr">
        <is>
          <t>Negativo</t>
        </is>
      </c>
      <c r="F2206" s="111" t="n">
        <v>45016</v>
      </c>
      <c r="G2206" t="n">
        <v>2023</v>
      </c>
      <c r="H2206" t="inlineStr">
        <is>
          <t>Marzo</t>
        </is>
      </c>
      <c r="I2206" t="inlineStr">
        <is>
          <t>2023-1</t>
        </is>
      </c>
      <c r="J2206" t="n">
        <v>200</v>
      </c>
      <c r="K2206" t="n">
        <v>1</v>
      </c>
      <c r="L2206" s="39">
        <f>IFERROR(IF(OR(J2206=0,K2206=""),"",IF(E2206="Positivo",MIN(MAX(K2206/J2206,0),1.3),MIN(MAX(J2206/K2206,0),1.3))),"") </f>
        <v/>
      </c>
      <c r="M2206" s="39">
        <f>IFERROR(IF(OR(J2206=0,K2206=""),"",IF(E2206="Positivo",MAX(K2206/J2206,0),MAX(J2206/K2206,0))),"") </f>
        <v/>
      </c>
      <c r="N2206" t="inlineStr">
        <is>
          <t>Kg</t>
        </is>
      </c>
      <c r="O2206" t="inlineStr">
        <is>
          <t>Kg</t>
        </is>
      </c>
      <c r="P2206" t="n">
        <v>0</v>
      </c>
      <c r="Q2206" t="n">
        <v>0</v>
      </c>
      <c r="R2206" t="inlineStr">
        <is>
          <t>434-2023-03-31</t>
        </is>
      </c>
    </row>
    <row r="2207">
      <c r="A2207" t="n">
        <v>434</v>
      </c>
      <c r="B2207" t="inlineStr">
        <is>
          <t>Generación de Residuos Peligrosos Mensual</t>
        </is>
      </c>
      <c r="C2207" t="inlineStr">
        <is>
          <t>GESTIÓN AMBIENTAL</t>
        </is>
      </c>
      <c r="D2207" t="inlineStr">
        <is>
          <t>Mensual</t>
        </is>
      </c>
      <c r="E2207" t="inlineStr">
        <is>
          <t>Negativo</t>
        </is>
      </c>
      <c r="F2207" s="111" t="n">
        <v>45046</v>
      </c>
      <c r="G2207" t="n">
        <v>2023</v>
      </c>
      <c r="H2207" t="inlineStr">
        <is>
          <t>Abril</t>
        </is>
      </c>
      <c r="I2207" t="inlineStr">
        <is>
          <t>2023-1</t>
        </is>
      </c>
      <c r="J2207" t="n">
        <v>200</v>
      </c>
      <c r="K2207" t="n">
        <v>0.8</v>
      </c>
      <c r="L2207" s="39">
        <f>IFERROR(IF(OR(J2207=0,K2207=""),"",IF(E2207="Positivo",MIN(MAX(K2207/J2207,0),1.3),MIN(MAX(J2207/K2207,0),1.3))),"") </f>
        <v/>
      </c>
      <c r="M2207" s="39">
        <f>IFERROR(IF(OR(J2207=0,K2207=""),"",IF(E2207="Positivo",MAX(K2207/J2207,0),MAX(J2207/K2207,0))),"") </f>
        <v/>
      </c>
      <c r="N2207" t="inlineStr">
        <is>
          <t>Kg</t>
        </is>
      </c>
      <c r="O2207" t="inlineStr">
        <is>
          <t>Kg</t>
        </is>
      </c>
      <c r="P2207" t="n">
        <v>0</v>
      </c>
      <c r="Q2207" t="n">
        <v>0</v>
      </c>
      <c r="R2207" t="inlineStr">
        <is>
          <t>434-2023-04-30</t>
        </is>
      </c>
    </row>
    <row r="2208">
      <c r="A2208" t="n">
        <v>434</v>
      </c>
      <c r="B2208" t="inlineStr">
        <is>
          <t>Generación de Residuos Peligrosos Mensual</t>
        </is>
      </c>
      <c r="C2208" t="inlineStr">
        <is>
          <t>GESTIÓN AMBIENTAL</t>
        </is>
      </c>
      <c r="D2208" t="inlineStr">
        <is>
          <t>Mensual</t>
        </is>
      </c>
      <c r="E2208" t="inlineStr">
        <is>
          <t>Negativo</t>
        </is>
      </c>
      <c r="F2208" s="111" t="n">
        <v>45077</v>
      </c>
      <c r="G2208" t="n">
        <v>2023</v>
      </c>
      <c r="H2208" t="inlineStr">
        <is>
          <t>Mayo</t>
        </is>
      </c>
      <c r="I2208" t="inlineStr">
        <is>
          <t>2023-1</t>
        </is>
      </c>
      <c r="J2208" t="n">
        <v>200</v>
      </c>
      <c r="K2208" t="n">
        <v>4.6</v>
      </c>
      <c r="L2208" s="39">
        <f>IFERROR(IF(OR(J2208=0,K2208=""),"",IF(E2208="Positivo",MIN(MAX(K2208/J2208,0),1.3),MIN(MAX(J2208/K2208,0),1.3))),"") </f>
        <v/>
      </c>
      <c r="M2208" s="39">
        <f>IFERROR(IF(OR(J2208=0,K2208=""),"",IF(E2208="Positivo",MAX(K2208/J2208,0),MAX(J2208/K2208,0))),"") </f>
        <v/>
      </c>
      <c r="N2208" t="inlineStr">
        <is>
          <t>Kg</t>
        </is>
      </c>
      <c r="O2208" t="inlineStr">
        <is>
          <t>Kg</t>
        </is>
      </c>
      <c r="P2208" t="n">
        <v>0</v>
      </c>
      <c r="Q2208" t="n">
        <v>0</v>
      </c>
      <c r="R2208" t="inlineStr">
        <is>
          <t>434-2023-05-31</t>
        </is>
      </c>
    </row>
    <row r="2209">
      <c r="A2209" t="n">
        <v>434</v>
      </c>
      <c r="B2209" t="inlineStr">
        <is>
          <t>Generación de Residuos Peligrosos Mensual</t>
        </is>
      </c>
      <c r="C2209" t="inlineStr">
        <is>
          <t>GESTIÓN AMBIENTAL</t>
        </is>
      </c>
      <c r="D2209" t="inlineStr">
        <is>
          <t>Mensual</t>
        </is>
      </c>
      <c r="E2209" t="inlineStr">
        <is>
          <t>Negativo</t>
        </is>
      </c>
      <c r="F2209" s="111" t="n">
        <v>45107</v>
      </c>
      <c r="G2209" t="n">
        <v>2023</v>
      </c>
      <c r="H2209" t="inlineStr">
        <is>
          <t>Junio</t>
        </is>
      </c>
      <c r="I2209" t="inlineStr">
        <is>
          <t>2023-1</t>
        </is>
      </c>
      <c r="J2209" t="n">
        <v>200</v>
      </c>
      <c r="K2209" t="n">
        <v>5.1</v>
      </c>
      <c r="L2209" s="39">
        <f>IFERROR(IF(OR(J2209=0,K2209=""),"",IF(E2209="Positivo",MIN(MAX(K2209/J2209,0),1.3),MIN(MAX(J2209/K2209,0),1.3))),"") </f>
        <v/>
      </c>
      <c r="M2209" s="39">
        <f>IFERROR(IF(OR(J2209=0,K2209=""),"",IF(E2209="Positivo",MAX(K2209/J2209,0),MAX(J2209/K2209,0))),"") </f>
        <v/>
      </c>
      <c r="N2209" t="inlineStr">
        <is>
          <t>Kg</t>
        </is>
      </c>
      <c r="O2209" t="inlineStr">
        <is>
          <t>Kg</t>
        </is>
      </c>
      <c r="P2209" t="n">
        <v>0</v>
      </c>
      <c r="Q2209" t="n">
        <v>0</v>
      </c>
      <c r="R2209" t="inlineStr">
        <is>
          <t>434-2023-06-30</t>
        </is>
      </c>
    </row>
    <row r="2210">
      <c r="A2210" t="n">
        <v>434</v>
      </c>
      <c r="B2210" t="inlineStr">
        <is>
          <t>Generación de Residuos Peligrosos Mensual</t>
        </is>
      </c>
      <c r="C2210" t="inlineStr">
        <is>
          <t>GESTIÓN AMBIENTAL</t>
        </is>
      </c>
      <c r="D2210" t="inlineStr">
        <is>
          <t>Mensual</t>
        </is>
      </c>
      <c r="E2210" t="inlineStr">
        <is>
          <t>Negativo</t>
        </is>
      </c>
      <c r="F2210" s="111" t="n">
        <v>45138</v>
      </c>
      <c r="G2210" t="n">
        <v>2023</v>
      </c>
      <c r="H2210" t="inlineStr">
        <is>
          <t>Julio</t>
        </is>
      </c>
      <c r="I2210" t="inlineStr">
        <is>
          <t>2023-2</t>
        </is>
      </c>
      <c r="J2210" t="n">
        <v>200</v>
      </c>
      <c r="K2210" t="n">
        <v>18.9</v>
      </c>
      <c r="L2210" s="39">
        <f>IFERROR(IF(OR(J2210=0,K2210=""),"",IF(E2210="Positivo",MIN(MAX(K2210/J2210,0),1.3),MIN(MAX(J2210/K2210,0),1.3))),"") </f>
        <v/>
      </c>
      <c r="M2210" s="39">
        <f>IFERROR(IF(OR(J2210=0,K2210=""),"",IF(E2210="Positivo",MAX(K2210/J2210,0),MAX(J2210/K2210,0))),"") </f>
        <v/>
      </c>
      <c r="N2210" t="inlineStr">
        <is>
          <t>Kg</t>
        </is>
      </c>
      <c r="O2210" t="inlineStr">
        <is>
          <t>Kg</t>
        </is>
      </c>
      <c r="P2210" t="n">
        <v>0</v>
      </c>
      <c r="Q2210" t="n">
        <v>0</v>
      </c>
      <c r="R2210" t="inlineStr">
        <is>
          <t>434-2023-07-31</t>
        </is>
      </c>
    </row>
    <row r="2211">
      <c r="A2211" t="n">
        <v>434</v>
      </c>
      <c r="B2211" t="inlineStr">
        <is>
          <t>Generación de Residuos Peligrosos Mensual</t>
        </is>
      </c>
      <c r="C2211" t="inlineStr">
        <is>
          <t>GESTIÓN AMBIENTAL</t>
        </is>
      </c>
      <c r="D2211" t="inlineStr">
        <is>
          <t>Mensual</t>
        </is>
      </c>
      <c r="E2211" t="inlineStr">
        <is>
          <t>Negativo</t>
        </is>
      </c>
      <c r="F2211" s="111" t="n">
        <v>45169</v>
      </c>
      <c r="G2211" t="n">
        <v>2023</v>
      </c>
      <c r="H2211" t="inlineStr">
        <is>
          <t>Agosto</t>
        </is>
      </c>
      <c r="I2211" t="inlineStr">
        <is>
          <t>2023-2</t>
        </is>
      </c>
      <c r="J2211" t="n">
        <v>200</v>
      </c>
      <c r="K2211" t="n">
        <v>20.9</v>
      </c>
      <c r="L2211" s="39">
        <f>IFERROR(IF(OR(J2211=0,K2211=""),"",IF(E2211="Positivo",MIN(MAX(K2211/J2211,0),1.3),MIN(MAX(J2211/K2211,0),1.3))),"") </f>
        <v/>
      </c>
      <c r="M2211" s="39">
        <f>IFERROR(IF(OR(J2211=0,K2211=""),"",IF(E2211="Positivo",MAX(K2211/J2211,0),MAX(J2211/K2211,0))),"") </f>
        <v/>
      </c>
      <c r="N2211" t="inlineStr">
        <is>
          <t>Kg</t>
        </is>
      </c>
      <c r="O2211" t="inlineStr">
        <is>
          <t>Kg</t>
        </is>
      </c>
      <c r="P2211" t="n">
        <v>0</v>
      </c>
      <c r="Q2211" t="n">
        <v>0</v>
      </c>
      <c r="R2211" t="inlineStr">
        <is>
          <t>434-2023-08-31</t>
        </is>
      </c>
    </row>
    <row r="2212">
      <c r="A2212" t="n">
        <v>434</v>
      </c>
      <c r="B2212" t="inlineStr">
        <is>
          <t>Generación de Residuos Peligrosos Mensual</t>
        </is>
      </c>
      <c r="C2212" t="inlineStr">
        <is>
          <t>GESTIÓN AMBIENTAL</t>
        </is>
      </c>
      <c r="D2212" t="inlineStr">
        <is>
          <t>Mensual</t>
        </is>
      </c>
      <c r="E2212" t="inlineStr">
        <is>
          <t>Negativo</t>
        </is>
      </c>
      <c r="F2212" s="111" t="n">
        <v>45199</v>
      </c>
      <c r="G2212" t="n">
        <v>2023</v>
      </c>
      <c r="H2212" t="inlineStr">
        <is>
          <t>Septiembre</t>
        </is>
      </c>
      <c r="I2212" t="inlineStr">
        <is>
          <t>2023-2</t>
        </is>
      </c>
      <c r="J2212" t="n">
        <v>200</v>
      </c>
      <c r="K2212" t="n">
        <v>1803.72</v>
      </c>
      <c r="L2212" s="39">
        <f>IFERROR(IF(OR(J2212=0,K2212=""),"",IF(E2212="Positivo",MIN(MAX(K2212/J2212,0),1.3),MIN(MAX(J2212/K2212,0),1.3))),"") </f>
        <v/>
      </c>
      <c r="M2212" s="39">
        <f>IFERROR(IF(OR(J2212=0,K2212=""),"",IF(E2212="Positivo",MAX(K2212/J2212,0),MAX(J2212/K2212,0))),"") </f>
        <v/>
      </c>
      <c r="N2212" t="inlineStr">
        <is>
          <t>Kg</t>
        </is>
      </c>
      <c r="O2212" t="inlineStr">
        <is>
          <t>Kg</t>
        </is>
      </c>
      <c r="P2212" t="n">
        <v>0</v>
      </c>
      <c r="Q2212" t="n">
        <v>1</v>
      </c>
      <c r="R2212" t="inlineStr">
        <is>
          <t>434-2023-09-30</t>
        </is>
      </c>
    </row>
    <row r="2213">
      <c r="A2213" t="n">
        <v>434</v>
      </c>
      <c r="B2213" t="inlineStr">
        <is>
          <t>Generación de Residuos Peligrosos Mensual</t>
        </is>
      </c>
      <c r="C2213" t="inlineStr">
        <is>
          <t>GESTIÓN AMBIENTAL</t>
        </is>
      </c>
      <c r="D2213" t="inlineStr">
        <is>
          <t>Mensual</t>
        </is>
      </c>
      <c r="E2213" t="inlineStr">
        <is>
          <t>Negativo</t>
        </is>
      </c>
      <c r="F2213" s="111" t="n">
        <v>45230</v>
      </c>
      <c r="G2213" t="n">
        <v>2023</v>
      </c>
      <c r="H2213" t="inlineStr">
        <is>
          <t>Octubre</t>
        </is>
      </c>
      <c r="I2213" t="inlineStr">
        <is>
          <t>2023-2</t>
        </is>
      </c>
      <c r="J2213" t="n">
        <v>200</v>
      </c>
      <c r="K2213" t="n">
        <v>2.1</v>
      </c>
      <c r="L2213" s="39">
        <f>IFERROR(IF(OR(J2213=0,K2213=""),"",IF(E2213="Positivo",MIN(MAX(K2213/J2213,0),1.3),MIN(MAX(J2213/K2213,0),1.3))),"") </f>
        <v/>
      </c>
      <c r="M2213" s="39">
        <f>IFERROR(IF(OR(J2213=0,K2213=""),"",IF(E2213="Positivo",MAX(K2213/J2213,0),MAX(J2213/K2213,0))),"") </f>
        <v/>
      </c>
      <c r="N2213" t="inlineStr">
        <is>
          <t>Kg</t>
        </is>
      </c>
      <c r="O2213" t="inlineStr">
        <is>
          <t>Kg</t>
        </is>
      </c>
      <c r="P2213" t="n">
        <v>0</v>
      </c>
      <c r="Q2213" t="n">
        <v>0</v>
      </c>
      <c r="R2213" t="inlineStr">
        <is>
          <t>434-2023-10-31</t>
        </is>
      </c>
    </row>
    <row r="2214">
      <c r="A2214" t="n">
        <v>434</v>
      </c>
      <c r="B2214" t="inlineStr">
        <is>
          <t>Generación de Residuos Peligrosos Mensual</t>
        </is>
      </c>
      <c r="C2214" t="inlineStr">
        <is>
          <t>GESTIÓN AMBIENTAL</t>
        </is>
      </c>
      <c r="D2214" t="inlineStr">
        <is>
          <t>Mensual</t>
        </is>
      </c>
      <c r="E2214" t="inlineStr">
        <is>
          <t>Negativo</t>
        </is>
      </c>
      <c r="F2214" s="111" t="n">
        <v>45260</v>
      </c>
      <c r="G2214" t="n">
        <v>2023</v>
      </c>
      <c r="H2214" t="inlineStr">
        <is>
          <t>Noviembre</t>
        </is>
      </c>
      <c r="I2214" t="inlineStr">
        <is>
          <t>2023-2</t>
        </is>
      </c>
      <c r="J2214" t="n">
        <v>200</v>
      </c>
      <c r="K2214" t="n">
        <v>14.31</v>
      </c>
      <c r="L2214" s="39">
        <f>IFERROR(IF(OR(J2214=0,K2214=""),"",IF(E2214="Positivo",MIN(MAX(K2214/J2214,0),1.3),MIN(MAX(J2214/K2214,0),1.3))),"") </f>
        <v/>
      </c>
      <c r="M2214" s="39">
        <f>IFERROR(IF(OR(J2214=0,K2214=""),"",IF(E2214="Positivo",MAX(K2214/J2214,0),MAX(J2214/K2214,0))),"") </f>
        <v/>
      </c>
      <c r="N2214" t="inlineStr">
        <is>
          <t>Kg</t>
        </is>
      </c>
      <c r="O2214" t="inlineStr">
        <is>
          <t>Kg</t>
        </is>
      </c>
      <c r="P2214" t="n">
        <v>0</v>
      </c>
      <c r="Q2214" t="n">
        <v>0</v>
      </c>
      <c r="R2214" t="inlineStr">
        <is>
          <t>434-2023-11-30</t>
        </is>
      </c>
    </row>
    <row r="2215">
      <c r="A2215" t="n">
        <v>434</v>
      </c>
      <c r="B2215" t="inlineStr">
        <is>
          <t>Generación de Residuos Peligrosos Mensual</t>
        </is>
      </c>
      <c r="C2215" t="inlineStr">
        <is>
          <t>GESTIÓN AMBIENTAL</t>
        </is>
      </c>
      <c r="D2215" t="inlineStr">
        <is>
          <t>Mensual</t>
        </is>
      </c>
      <c r="E2215" t="inlineStr">
        <is>
          <t>Negativo</t>
        </is>
      </c>
      <c r="F2215" s="111" t="n">
        <v>45291</v>
      </c>
      <c r="G2215" t="n">
        <v>2023</v>
      </c>
      <c r="H2215" t="inlineStr">
        <is>
          <t>Diciembre</t>
        </is>
      </c>
      <c r="I2215" t="inlineStr">
        <is>
          <t>2023-2</t>
        </is>
      </c>
      <c r="J2215" t="n">
        <v>200</v>
      </c>
      <c r="K2215" t="n">
        <v>415.7</v>
      </c>
      <c r="L2215" s="39">
        <f>IFERROR(IF(OR(J2215=0,K2215=""),"",IF(E2215="Positivo",MIN(MAX(K2215/J2215,0),1.3),MIN(MAX(J2215/K2215,0),1.3))),"") </f>
        <v/>
      </c>
      <c r="M2215" s="39">
        <f>IFERROR(IF(OR(J2215=0,K2215=""),"",IF(E2215="Positivo",MAX(K2215/J2215,0),MAX(J2215/K2215,0))),"") </f>
        <v/>
      </c>
      <c r="N2215" t="inlineStr">
        <is>
          <t>Kg</t>
        </is>
      </c>
      <c r="O2215" t="inlineStr">
        <is>
          <t>Kg</t>
        </is>
      </c>
      <c r="P2215" t="n">
        <v>0</v>
      </c>
      <c r="Q2215" t="n">
        <v>0</v>
      </c>
      <c r="R2215" t="inlineStr">
        <is>
          <t>434-2023-12-31</t>
        </is>
      </c>
    </row>
    <row r="2216">
      <c r="A2216" t="n">
        <v>434</v>
      </c>
      <c r="B2216" t="inlineStr">
        <is>
          <t>Generación de Residuos Peligrosos Mensual</t>
        </is>
      </c>
      <c r="C2216" t="inlineStr">
        <is>
          <t>GESTIÓN AMBIENTAL</t>
        </is>
      </c>
      <c r="D2216" t="inlineStr">
        <is>
          <t>Mensual</t>
        </is>
      </c>
      <c r="E2216" t="inlineStr">
        <is>
          <t>Negativo</t>
        </is>
      </c>
      <c r="F2216" s="111" t="n">
        <v>45322</v>
      </c>
      <c r="G2216" t="n">
        <v>2024</v>
      </c>
      <c r="H2216" t="inlineStr">
        <is>
          <t>Enero</t>
        </is>
      </c>
      <c r="I2216" t="inlineStr">
        <is>
          <t>2024-1</t>
        </is>
      </c>
      <c r="J2216" t="n">
        <v>200</v>
      </c>
      <c r="K2216" t="n">
        <v>9.65</v>
      </c>
      <c r="L2216" s="39">
        <f>IFERROR(IF(OR(J2216=0,K2216=""),"",IF(E2216="Positivo",MIN(MAX(K2216/J2216,0),1.3),MIN(MAX(J2216/K2216,0),1.3))),"") </f>
        <v/>
      </c>
      <c r="M2216" s="39">
        <f>IFERROR(IF(OR(J2216=0,K2216=""),"",IF(E2216="Positivo",MAX(K2216/J2216,0),MAX(J2216/K2216,0))),"") </f>
        <v/>
      </c>
      <c r="N2216" t="inlineStr">
        <is>
          <t>Kg</t>
        </is>
      </c>
      <c r="O2216" t="inlineStr">
        <is>
          <t>Kg</t>
        </is>
      </c>
      <c r="P2216" t="n">
        <v>0</v>
      </c>
      <c r="Q2216" t="n">
        <v>1</v>
      </c>
      <c r="R2216" t="inlineStr">
        <is>
          <t>434-2024-01-31</t>
        </is>
      </c>
    </row>
    <row r="2217">
      <c r="A2217" t="n">
        <v>434</v>
      </c>
      <c r="B2217" t="inlineStr">
        <is>
          <t>Generación de Residuos Peligrosos Mensual</t>
        </is>
      </c>
      <c r="C2217" t="inlineStr">
        <is>
          <t>GESTIÓN AMBIENTAL</t>
        </is>
      </c>
      <c r="D2217" t="inlineStr">
        <is>
          <t>Mensual</t>
        </is>
      </c>
      <c r="E2217" t="inlineStr">
        <is>
          <t>Negativo</t>
        </is>
      </c>
      <c r="F2217" s="111" t="n">
        <v>45351</v>
      </c>
      <c r="G2217" t="n">
        <v>2024</v>
      </c>
      <c r="H2217" t="inlineStr">
        <is>
          <t>Febrero</t>
        </is>
      </c>
      <c r="I2217" t="inlineStr">
        <is>
          <t>2024-1</t>
        </is>
      </c>
      <c r="J2217" t="n">
        <v>200</v>
      </c>
      <c r="K2217" t="n">
        <v>107.7</v>
      </c>
      <c r="L2217" s="39">
        <f>IFERROR(IF(OR(J2217=0,K2217=""),"",IF(E2217="Positivo",MIN(MAX(K2217/J2217,0),1.3),MIN(MAX(J2217/K2217,0),1.3))),"") </f>
        <v/>
      </c>
      <c r="M2217" s="39">
        <f>IFERROR(IF(OR(J2217=0,K2217=""),"",IF(E2217="Positivo",MAX(K2217/J2217,0),MAX(J2217/K2217,0))),"") </f>
        <v/>
      </c>
      <c r="N2217" t="inlineStr">
        <is>
          <t>Kg</t>
        </is>
      </c>
      <c r="O2217" t="inlineStr">
        <is>
          <t>Kg</t>
        </is>
      </c>
      <c r="P2217" t="n">
        <v>0</v>
      </c>
      <c r="Q2217" t="n">
        <v>1</v>
      </c>
      <c r="R2217" t="inlineStr">
        <is>
          <t>434-2024-02-29</t>
        </is>
      </c>
    </row>
    <row r="2218">
      <c r="A2218" t="n">
        <v>434</v>
      </c>
      <c r="B2218" t="inlineStr">
        <is>
          <t>Generación de Residuos Peligrosos Mensual</t>
        </is>
      </c>
      <c r="C2218" t="inlineStr">
        <is>
          <t>GESTIÓN AMBIENTAL</t>
        </is>
      </c>
      <c r="D2218" t="inlineStr">
        <is>
          <t>Mensual</t>
        </is>
      </c>
      <c r="E2218" t="inlineStr">
        <is>
          <t>Negativo</t>
        </is>
      </c>
      <c r="F2218" s="111" t="n">
        <v>45382</v>
      </c>
      <c r="G2218" t="n">
        <v>2024</v>
      </c>
      <c r="H2218" t="inlineStr">
        <is>
          <t>Marzo</t>
        </is>
      </c>
      <c r="I2218" t="inlineStr">
        <is>
          <t>2024-1</t>
        </is>
      </c>
      <c r="J2218" t="n">
        <v>200</v>
      </c>
      <c r="K2218" t="n">
        <v>22.02</v>
      </c>
      <c r="L2218" s="39">
        <f>IFERROR(IF(OR(J2218=0,K2218=""),"",IF(E2218="Positivo",MIN(MAX(K2218/J2218,0),1.3),MIN(MAX(J2218/K2218,0),1.3))),"") </f>
        <v/>
      </c>
      <c r="M2218" s="39">
        <f>IFERROR(IF(OR(J2218=0,K2218=""),"",IF(E2218="Positivo",MAX(K2218/J2218,0),MAX(J2218/K2218,0))),"") </f>
        <v/>
      </c>
      <c r="N2218" t="inlineStr">
        <is>
          <t>Kg</t>
        </is>
      </c>
      <c r="O2218" t="inlineStr">
        <is>
          <t>Kg</t>
        </is>
      </c>
      <c r="P2218" t="n">
        <v>0</v>
      </c>
      <c r="Q2218" t="n">
        <v>1</v>
      </c>
      <c r="R2218" t="inlineStr">
        <is>
          <t>434-2024-03-31</t>
        </is>
      </c>
    </row>
    <row r="2219">
      <c r="A2219" t="n">
        <v>434</v>
      </c>
      <c r="B2219" t="inlineStr">
        <is>
          <t>Generación de Residuos Peligrosos Mensual</t>
        </is>
      </c>
      <c r="C2219" t="inlineStr">
        <is>
          <t>GESTIÓN AMBIENTAL</t>
        </is>
      </c>
      <c r="D2219" t="inlineStr">
        <is>
          <t>Mensual</t>
        </is>
      </c>
      <c r="E2219" t="inlineStr">
        <is>
          <t>Negativo</t>
        </is>
      </c>
      <c r="F2219" s="111" t="n">
        <v>45412</v>
      </c>
      <c r="G2219" t="n">
        <v>2024</v>
      </c>
      <c r="H2219" t="inlineStr">
        <is>
          <t>Abril</t>
        </is>
      </c>
      <c r="I2219" t="inlineStr">
        <is>
          <t>2024-1</t>
        </is>
      </c>
      <c r="J2219" t="n">
        <v>200</v>
      </c>
      <c r="K2219" t="n">
        <v>89.04000000000001</v>
      </c>
      <c r="L2219" s="39">
        <f>IFERROR(IF(OR(J2219=0,K2219=""),"",IF(E2219="Positivo",MIN(MAX(K2219/J2219,0),1.3),MIN(MAX(J2219/K2219,0),1.3))),"") </f>
        <v/>
      </c>
      <c r="M2219" s="39">
        <f>IFERROR(IF(OR(J2219=0,K2219=""),"",IF(E2219="Positivo",MAX(K2219/J2219,0),MAX(J2219/K2219,0))),"") </f>
        <v/>
      </c>
      <c r="N2219" t="inlineStr">
        <is>
          <t>Kg</t>
        </is>
      </c>
      <c r="O2219" t="inlineStr">
        <is>
          <t>Kg</t>
        </is>
      </c>
      <c r="P2219" t="n">
        <v>0</v>
      </c>
      <c r="Q2219" t="n">
        <v>1</v>
      </c>
      <c r="R2219" t="inlineStr">
        <is>
          <t>434-2024-04-30</t>
        </is>
      </c>
    </row>
    <row r="2220">
      <c r="A2220" t="n">
        <v>434</v>
      </c>
      <c r="B2220" t="inlineStr">
        <is>
          <t>Generación de Residuos Peligrosos Mensual</t>
        </is>
      </c>
      <c r="C2220" t="inlineStr">
        <is>
          <t>GESTIÓN AMBIENTAL</t>
        </is>
      </c>
      <c r="D2220" t="inlineStr">
        <is>
          <t>Mensual</t>
        </is>
      </c>
      <c r="E2220" t="inlineStr">
        <is>
          <t>Negativo</t>
        </is>
      </c>
      <c r="F2220" s="111" t="n">
        <v>45443</v>
      </c>
      <c r="G2220" t="n">
        <v>2024</v>
      </c>
      <c r="H2220" t="inlineStr">
        <is>
          <t>Mayo</t>
        </is>
      </c>
      <c r="I2220" t="inlineStr">
        <is>
          <t>2024-1</t>
        </is>
      </c>
      <c r="J2220" t="n">
        <v>200</v>
      </c>
      <c r="K2220" t="n">
        <v>42</v>
      </c>
      <c r="L2220" s="39">
        <f>IFERROR(IF(OR(J2220=0,K2220=""),"",IF(E2220="Positivo",MIN(MAX(K2220/J2220,0),1.3),MIN(MAX(J2220/K2220,0),1.3))),"") </f>
        <v/>
      </c>
      <c r="M2220" s="39">
        <f>IFERROR(IF(OR(J2220=0,K2220=""),"",IF(E2220="Positivo",MAX(K2220/J2220,0),MAX(J2220/K2220,0))),"") </f>
        <v/>
      </c>
      <c r="N2220" t="inlineStr">
        <is>
          <t>Kg</t>
        </is>
      </c>
      <c r="O2220" t="inlineStr">
        <is>
          <t>Kg</t>
        </is>
      </c>
      <c r="P2220" t="n">
        <v>0</v>
      </c>
      <c r="Q2220" t="n">
        <v>0</v>
      </c>
      <c r="R2220" t="inlineStr">
        <is>
          <t>434-2024-05-31</t>
        </is>
      </c>
    </row>
    <row r="2221">
      <c r="A2221" t="n">
        <v>434</v>
      </c>
      <c r="B2221" t="inlineStr">
        <is>
          <t>Generación de Residuos Peligrosos Mensual</t>
        </is>
      </c>
      <c r="C2221" t="inlineStr">
        <is>
          <t>GESTIÓN AMBIENTAL</t>
        </is>
      </c>
      <c r="D2221" t="inlineStr">
        <is>
          <t>Mensual</t>
        </is>
      </c>
      <c r="E2221" t="inlineStr">
        <is>
          <t>Negativo</t>
        </is>
      </c>
      <c r="F2221" s="111" t="n">
        <v>45473</v>
      </c>
      <c r="G2221" t="n">
        <v>2024</v>
      </c>
      <c r="H2221" t="inlineStr">
        <is>
          <t>Junio</t>
        </is>
      </c>
      <c r="I2221" t="inlineStr">
        <is>
          <t>2024-1</t>
        </is>
      </c>
      <c r="J2221" t="n">
        <v>200</v>
      </c>
      <c r="K2221" t="n">
        <v>3219.1</v>
      </c>
      <c r="L2221" s="39">
        <f>IFERROR(IF(OR(J2221=0,K2221=""),"",IF(E2221="Positivo",MIN(MAX(K2221/J2221,0),1.3),MIN(MAX(J2221/K2221,0),1.3))),"") </f>
        <v/>
      </c>
      <c r="M2221" s="39">
        <f>IFERROR(IF(OR(J2221=0,K2221=""),"",IF(E2221="Positivo",MAX(K2221/J2221,0),MAX(J2221/K2221,0))),"") </f>
        <v/>
      </c>
      <c r="N2221" t="inlineStr">
        <is>
          <t>Kg</t>
        </is>
      </c>
      <c r="O2221" t="inlineStr">
        <is>
          <t>Kg</t>
        </is>
      </c>
      <c r="P2221" t="n">
        <v>0</v>
      </c>
      <c r="Q2221" t="n">
        <v>1</v>
      </c>
      <c r="R2221" t="inlineStr">
        <is>
          <t>434-2024-06-30</t>
        </is>
      </c>
    </row>
    <row r="2222">
      <c r="A2222" t="n">
        <v>434</v>
      </c>
      <c r="B2222" t="inlineStr">
        <is>
          <t>Generación de Residuos Peligrosos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111" t="n">
        <v>45504</v>
      </c>
      <c r="G2222" t="n">
        <v>2024</v>
      </c>
      <c r="H2222" t="inlineStr">
        <is>
          <t>Julio</t>
        </is>
      </c>
      <c r="I2222" t="inlineStr">
        <is>
          <t>2024-2</t>
        </is>
      </c>
      <c r="J2222" t="n">
        <v>200</v>
      </c>
      <c r="K2222" t="n">
        <v>1689.599975585938</v>
      </c>
      <c r="L2222" s="39">
        <f>IFERROR(IF(OR(J2222=0,K2222=""),"",IF(E2222="Positivo",MIN(MAX(K2222/J2222,0),1.3),MIN(MAX(J2222/K2222,0),1.3))),"") </f>
        <v/>
      </c>
      <c r="M2222" s="39">
        <f>IFERROR(IF(OR(J2222=0,K2222=""),"",IF(E2222="Positivo",MAX(K2222/J2222,0),MAX(J2222/K2222,0))),"") </f>
        <v/>
      </c>
      <c r="N2222" t="inlineStr">
        <is>
          <t>Kg</t>
        </is>
      </c>
      <c r="O2222" t="inlineStr">
        <is>
          <t>Kg</t>
        </is>
      </c>
      <c r="P2222" t="n">
        <v>0</v>
      </c>
      <c r="Q2222" t="n">
        <v>1</v>
      </c>
      <c r="R2222" t="inlineStr">
        <is>
          <t>434-2024-07-31</t>
        </is>
      </c>
    </row>
    <row r="2223">
      <c r="A2223" t="n">
        <v>434</v>
      </c>
      <c r="B2223" t="inlineStr">
        <is>
          <t>Generación de Residuos Peligrosos Mensual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Negativo</t>
        </is>
      </c>
      <c r="F2223" s="111" t="n">
        <v>45535</v>
      </c>
      <c r="G2223" t="n">
        <v>2024</v>
      </c>
      <c r="H2223" t="inlineStr">
        <is>
          <t>Agosto</t>
        </is>
      </c>
      <c r="I2223" t="inlineStr">
        <is>
          <t>2024-2</t>
        </is>
      </c>
      <c r="J2223" t="n">
        <v>200</v>
      </c>
      <c r="K2223" t="n">
        <v>855.1</v>
      </c>
      <c r="L2223" s="39">
        <f>IFERROR(IF(OR(J2223=0,K2223=""),"",IF(E2223="Positivo",MIN(MAX(K2223/J2223,0),1.3),MIN(MAX(J2223/K2223,0),1.3))),"") </f>
        <v/>
      </c>
      <c r="M2223" s="39">
        <f>IFERROR(IF(OR(J2223=0,K2223=""),"",IF(E2223="Positivo",MAX(K2223/J2223,0),MAX(J2223/K2223,0))),"") </f>
        <v/>
      </c>
      <c r="N2223" t="inlineStr">
        <is>
          <t>Kg</t>
        </is>
      </c>
      <c r="O2223" t="inlineStr">
        <is>
          <t>Kg</t>
        </is>
      </c>
      <c r="P2223" t="n">
        <v>0</v>
      </c>
      <c r="Q2223" t="n">
        <v>1</v>
      </c>
      <c r="R2223" t="inlineStr">
        <is>
          <t>434-2024-08-31</t>
        </is>
      </c>
    </row>
    <row r="2224">
      <c r="A2224" t="n">
        <v>434</v>
      </c>
      <c r="B2224" t="inlineStr">
        <is>
          <t>Generación de Residuos Peligrosos Mensual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Negativo</t>
        </is>
      </c>
      <c r="F2224" s="111" t="n">
        <v>45565</v>
      </c>
      <c r="G2224" t="n">
        <v>2024</v>
      </c>
      <c r="H2224" t="inlineStr">
        <is>
          <t>Septiembre</t>
        </is>
      </c>
      <c r="I2224" t="inlineStr">
        <is>
          <t>2024-2</t>
        </is>
      </c>
      <c r="J2224" t="n">
        <v>200</v>
      </c>
      <c r="K2224" t="n">
        <v>16.37</v>
      </c>
      <c r="L2224" s="39">
        <f>IFERROR(IF(OR(J2224=0,K2224=""),"",IF(E2224="Positivo",MIN(MAX(K2224/J2224,0),1.3),MIN(MAX(J2224/K2224,0),1.3))),"") </f>
        <v/>
      </c>
      <c r="M2224" s="39">
        <f>IFERROR(IF(OR(J2224=0,K2224=""),"",IF(E2224="Positivo",MAX(K2224/J2224,0),MAX(J2224/K2224,0))),"") </f>
        <v/>
      </c>
      <c r="N2224" t="inlineStr">
        <is>
          <t>Kg</t>
        </is>
      </c>
      <c r="O2224" t="inlineStr">
        <is>
          <t>Kg</t>
        </is>
      </c>
      <c r="P2224" t="n">
        <v>0</v>
      </c>
      <c r="Q2224" t="n">
        <v>1</v>
      </c>
      <c r="R2224" t="inlineStr">
        <is>
          <t>434-2024-09-30</t>
        </is>
      </c>
    </row>
    <row r="2225">
      <c r="A2225" t="n">
        <v>434</v>
      </c>
      <c r="B2225" t="inlineStr">
        <is>
          <t>Generación de Residuos Peligrosos Mensual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Negativo</t>
        </is>
      </c>
      <c r="F2225" s="111" t="n">
        <v>45596</v>
      </c>
      <c r="G2225" t="n">
        <v>2024</v>
      </c>
      <c r="H2225" t="inlineStr">
        <is>
          <t>Octubre</t>
        </is>
      </c>
      <c r="I2225" t="inlineStr">
        <is>
          <t>2024-2</t>
        </is>
      </c>
      <c r="J2225" t="n">
        <v>200</v>
      </c>
      <c r="K2225" t="n">
        <v>992.38</v>
      </c>
      <c r="L2225" s="39">
        <f>IFERROR(IF(OR(J2225=0,K2225=""),"",IF(E2225="Positivo",MIN(MAX(K2225/J2225,0),1.3),MIN(MAX(J2225/K2225,0),1.3))),"") </f>
        <v/>
      </c>
      <c r="M2225" s="39">
        <f>IFERROR(IF(OR(J2225=0,K2225=""),"",IF(E2225="Positivo",MAX(K2225/J2225,0),MAX(J2225/K2225,0))),"") </f>
        <v/>
      </c>
      <c r="N2225" t="inlineStr">
        <is>
          <t>Kg</t>
        </is>
      </c>
      <c r="O2225" t="inlineStr">
        <is>
          <t>Kg</t>
        </is>
      </c>
      <c r="P2225" t="n">
        <v>0</v>
      </c>
      <c r="Q2225" t="n">
        <v>1</v>
      </c>
      <c r="R2225" t="inlineStr">
        <is>
          <t>434-2024-10-31</t>
        </is>
      </c>
    </row>
    <row r="2226">
      <c r="A2226" t="n">
        <v>434</v>
      </c>
      <c r="B2226" t="inlineStr">
        <is>
          <t>Generación de Residuos Peligrosos Mensual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Negativo</t>
        </is>
      </c>
      <c r="F2226" s="111" t="n">
        <v>45626</v>
      </c>
      <c r="G2226" t="n">
        <v>2024</v>
      </c>
      <c r="H2226" t="inlineStr">
        <is>
          <t>Noviembre</t>
        </is>
      </c>
      <c r="I2226" t="inlineStr">
        <is>
          <t>2024-2</t>
        </is>
      </c>
      <c r="J2226" t="n">
        <v>200</v>
      </c>
      <c r="K2226" t="n">
        <v>73.88</v>
      </c>
      <c r="L2226" s="39">
        <f>IFERROR(IF(OR(J2226=0,K2226=""),"",IF(E2226="Positivo",MIN(MAX(K2226/J2226,0),1.3),MIN(MAX(J2226/K2226,0),1.3))),"") </f>
        <v/>
      </c>
      <c r="M2226" s="39">
        <f>IFERROR(IF(OR(J2226=0,K2226=""),"",IF(E2226="Positivo",MAX(K2226/J2226,0),MAX(J2226/K2226,0))),"") </f>
        <v/>
      </c>
      <c r="N2226" t="inlineStr">
        <is>
          <t>Kg</t>
        </is>
      </c>
      <c r="O2226" t="inlineStr">
        <is>
          <t>Kg</t>
        </is>
      </c>
      <c r="P2226" t="n">
        <v>0</v>
      </c>
      <c r="Q2226" t="n">
        <v>1</v>
      </c>
      <c r="R2226" t="inlineStr">
        <is>
          <t>434-2024-11-30</t>
        </is>
      </c>
    </row>
    <row r="2227">
      <c r="A2227" t="n">
        <v>434</v>
      </c>
      <c r="B2227" t="inlineStr">
        <is>
          <t>Generación de Residuos Peligrosos Mensual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Negativo</t>
        </is>
      </c>
      <c r="F2227" s="111" t="n">
        <v>45657</v>
      </c>
      <c r="G2227" t="n">
        <v>2024</v>
      </c>
      <c r="H2227" t="inlineStr">
        <is>
          <t>Diciembre</t>
        </is>
      </c>
      <c r="I2227" t="inlineStr">
        <is>
          <t>2024-2</t>
        </is>
      </c>
      <c r="J2227" t="n">
        <v>200</v>
      </c>
      <c r="K2227" t="n">
        <v>2364.490097716451</v>
      </c>
      <c r="L2227" s="39">
        <f>IFERROR(IF(OR(J2227=0,K2227=""),"",IF(E2227="Positivo",MIN(MAX(K2227/J2227,0),1.3),MIN(MAX(J2227/K2227,0),1.3))),"") </f>
        <v/>
      </c>
      <c r="M2227" s="39">
        <f>IFERROR(IF(OR(J2227=0,K2227=""),"",IF(E2227="Positivo",MAX(K2227/J2227,0),MAX(J2227/K2227,0))),"") </f>
        <v/>
      </c>
      <c r="N2227" t="inlineStr">
        <is>
          <t>Kg</t>
        </is>
      </c>
      <c r="O2227" t="inlineStr">
        <is>
          <t>Kg</t>
        </is>
      </c>
      <c r="P2227" t="n">
        <v>0</v>
      </c>
      <c r="Q2227" t="n">
        <v>1</v>
      </c>
      <c r="R2227" t="inlineStr">
        <is>
          <t>434-2024-12-31</t>
        </is>
      </c>
    </row>
    <row r="2228">
      <c r="A2228" t="n">
        <v>434</v>
      </c>
      <c r="B2228" t="inlineStr">
        <is>
          <t>Generación de Residuos Peligrosos Mensual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Negativo</t>
        </is>
      </c>
      <c r="F2228" s="111" t="n">
        <v>45688</v>
      </c>
      <c r="G2228" t="n">
        <v>2025</v>
      </c>
      <c r="H2228" t="inlineStr">
        <is>
          <t>Enero</t>
        </is>
      </c>
      <c r="I2228" t="inlineStr">
        <is>
          <t>2025-1</t>
        </is>
      </c>
      <c r="J2228" t="n">
        <v>200</v>
      </c>
      <c r="K2228" t="n">
        <v>2072.47</v>
      </c>
      <c r="L2228" s="39">
        <f>IFERROR(IF(OR(J2228=0,K2228=""),"",IF(E2228="Positivo",MIN(MAX(K2228/J2228,0),1.3),MIN(MAX(J2228/K2228,0),1.3))),"") </f>
        <v/>
      </c>
      <c r="M2228" s="39">
        <f>IFERROR(IF(OR(J2228=0,K2228=""),"",IF(E2228="Positivo",MAX(K2228/J2228,0),MAX(J2228/K2228,0))),"") </f>
        <v/>
      </c>
      <c r="N2228" t="inlineStr">
        <is>
          <t>Kg</t>
        </is>
      </c>
      <c r="O2228" t="inlineStr">
        <is>
          <t>Kg</t>
        </is>
      </c>
      <c r="P2228" t="n">
        <v>0</v>
      </c>
      <c r="Q2228" t="n">
        <v>1</v>
      </c>
      <c r="R2228" t="inlineStr">
        <is>
          <t>434-2025-01-31</t>
        </is>
      </c>
    </row>
    <row r="2229">
      <c r="A2229" t="n">
        <v>434</v>
      </c>
      <c r="B2229" t="inlineStr">
        <is>
          <t>Generación de Residuos Peligrosos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11" t="n">
        <v>45716</v>
      </c>
      <c r="G2229" t="n">
        <v>2025</v>
      </c>
      <c r="H2229" t="inlineStr">
        <is>
          <t>Febrero</t>
        </is>
      </c>
      <c r="I2229" t="inlineStr">
        <is>
          <t>2025-1</t>
        </is>
      </c>
      <c r="J2229" t="n">
        <v>200</v>
      </c>
      <c r="K2229" t="n">
        <v>71.68000000000001</v>
      </c>
      <c r="L2229" s="39">
        <f>IFERROR(IF(OR(J2229=0,K2229=""),"",IF(E2229="Positivo",MIN(MAX(K2229/J2229,0),1.3),MIN(MAX(J2229/K2229,0),1.3))),"") </f>
        <v/>
      </c>
      <c r="M2229" s="39">
        <f>IFERROR(IF(OR(J2229=0,K2229=""),"",IF(E2229="Positivo",MAX(K2229/J2229,0),MAX(J2229/K2229,0))),"") </f>
        <v/>
      </c>
      <c r="N2229" t="inlineStr">
        <is>
          <t>Kg</t>
        </is>
      </c>
      <c r="O2229" t="inlineStr">
        <is>
          <t>Kg</t>
        </is>
      </c>
      <c r="P2229" t="n">
        <v>0</v>
      </c>
      <c r="Q2229" t="n">
        <v>1</v>
      </c>
      <c r="R2229" t="inlineStr">
        <is>
          <t>434-2025-02-28</t>
        </is>
      </c>
    </row>
    <row r="2230">
      <c r="A2230" t="n">
        <v>434</v>
      </c>
      <c r="B2230" t="inlineStr">
        <is>
          <t>Generación de Residuos Peligrosos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11" t="n">
        <v>45747</v>
      </c>
      <c r="G2230" t="n">
        <v>2025</v>
      </c>
      <c r="H2230" t="inlineStr">
        <is>
          <t>Marzo</t>
        </is>
      </c>
      <c r="I2230" t="inlineStr">
        <is>
          <t>2025-1</t>
        </is>
      </c>
      <c r="J2230" t="n">
        <v>200</v>
      </c>
      <c r="K2230" t="n">
        <v>53.29</v>
      </c>
      <c r="L2230" s="39">
        <f>IFERROR(IF(OR(J2230=0,K2230=""),"",IF(E2230="Positivo",MIN(MAX(K2230/J2230,0),1.3),MIN(MAX(J2230/K2230,0),1.3))),"") </f>
        <v/>
      </c>
      <c r="M2230" s="39">
        <f>IFERROR(IF(OR(J2230=0,K2230=""),"",IF(E2230="Positivo",MAX(K2230/J2230,0),MAX(J2230/K2230,0))),"") </f>
        <v/>
      </c>
      <c r="N2230" t="inlineStr">
        <is>
          <t>Kg</t>
        </is>
      </c>
      <c r="O2230" t="inlineStr">
        <is>
          <t>Kg</t>
        </is>
      </c>
      <c r="P2230" t="n">
        <v>0</v>
      </c>
      <c r="Q2230" t="n">
        <v>1</v>
      </c>
      <c r="R2230" t="inlineStr">
        <is>
          <t>434-2025-03-31</t>
        </is>
      </c>
    </row>
    <row r="2231">
      <c r="A2231" t="n">
        <v>434</v>
      </c>
      <c r="B2231" t="inlineStr">
        <is>
          <t>Generación de Residuos Peligrosos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11" t="n">
        <v>45777</v>
      </c>
      <c r="G2231" t="n">
        <v>2025</v>
      </c>
      <c r="H2231" t="inlineStr">
        <is>
          <t>Abril</t>
        </is>
      </c>
      <c r="I2231" t="inlineStr">
        <is>
          <t>2025-1</t>
        </is>
      </c>
      <c r="J2231" t="n">
        <v>200</v>
      </c>
      <c r="K2231" t="n">
        <v>126.74</v>
      </c>
      <c r="L2231" s="39">
        <f>IFERROR(IF(OR(J2231=0,K2231=""),"",IF(E2231="Positivo",MIN(MAX(K2231/J2231,0),1.3),MIN(MAX(J2231/K2231,0),1.3))),"") </f>
        <v/>
      </c>
      <c r="M2231" s="39">
        <f>IFERROR(IF(OR(J2231=0,K2231=""),"",IF(E2231="Positivo",MAX(K2231/J2231,0),MAX(J2231/K2231,0))),"") </f>
        <v/>
      </c>
      <c r="N2231" t="inlineStr">
        <is>
          <t>Kg</t>
        </is>
      </c>
      <c r="O2231" t="inlineStr">
        <is>
          <t>Kg</t>
        </is>
      </c>
      <c r="P2231" t="n">
        <v>0</v>
      </c>
      <c r="Q2231" t="n">
        <v>1</v>
      </c>
      <c r="R2231" t="inlineStr">
        <is>
          <t>434-2025-04-30</t>
        </is>
      </c>
    </row>
    <row r="2232">
      <c r="A2232" t="n">
        <v>434</v>
      </c>
      <c r="B2232" t="inlineStr">
        <is>
          <t>Generación de Residuos Peligrosos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11" t="n">
        <v>45808</v>
      </c>
      <c r="G2232" t="n">
        <v>2025</v>
      </c>
      <c r="H2232" t="inlineStr">
        <is>
          <t>Mayo</t>
        </is>
      </c>
      <c r="I2232" t="inlineStr">
        <is>
          <t>2025-1</t>
        </is>
      </c>
      <c r="J2232" t="n">
        <v>200</v>
      </c>
      <c r="K2232" t="n">
        <v>12.6</v>
      </c>
      <c r="L2232" s="39">
        <f>IFERROR(IF(OR(J2232=0,K2232=""),"",IF(E2232="Positivo",MIN(MAX(K2232/J2232,0),1.3),MIN(MAX(J2232/K2232,0),1.3))),"") </f>
        <v/>
      </c>
      <c r="M2232" s="39">
        <f>IFERROR(IF(OR(J2232=0,K2232=""),"",IF(E2232="Positivo",MAX(K2232/J2232,0),MAX(J2232/K2232,0))),"") </f>
        <v/>
      </c>
      <c r="N2232" t="inlineStr">
        <is>
          <t>Kg</t>
        </is>
      </c>
      <c r="O2232" t="inlineStr">
        <is>
          <t>Kg</t>
        </is>
      </c>
      <c r="P2232" t="n">
        <v>0</v>
      </c>
      <c r="Q2232" t="n">
        <v>1</v>
      </c>
      <c r="R2232" t="inlineStr">
        <is>
          <t>434-2025-05-31</t>
        </is>
      </c>
    </row>
    <row r="2233">
      <c r="A2233" t="n">
        <v>434</v>
      </c>
      <c r="B2233" t="inlineStr">
        <is>
          <t>Generación de Residuos Peligrosos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11" t="n">
        <v>45838</v>
      </c>
      <c r="G2233" t="n">
        <v>2025</v>
      </c>
      <c r="H2233" t="inlineStr">
        <is>
          <t>Junio</t>
        </is>
      </c>
      <c r="I2233" t="inlineStr">
        <is>
          <t>2025-1</t>
        </is>
      </c>
      <c r="J2233" t="n">
        <v>200</v>
      </c>
      <c r="K2233" t="n">
        <v>130.58</v>
      </c>
      <c r="L2233" s="39">
        <f>IFERROR(IF(OR(J2233=0,K2233=""),"",IF(E2233="Positivo",MIN(MAX(K2233/J2233,0),1.3),MIN(MAX(J2233/K2233,0),1.3))),"") </f>
        <v/>
      </c>
      <c r="M2233" s="39">
        <f>IFERROR(IF(OR(J2233=0,K2233=""),"",IF(E2233="Positivo",MAX(K2233/J2233,0),MAX(J2233/K2233,0))),"") </f>
        <v/>
      </c>
      <c r="N2233" t="inlineStr">
        <is>
          <t>Kg</t>
        </is>
      </c>
      <c r="O2233" t="inlineStr">
        <is>
          <t>Kg</t>
        </is>
      </c>
      <c r="P2233" t="n">
        <v>0</v>
      </c>
      <c r="Q2233" t="n">
        <v>1</v>
      </c>
      <c r="R2233" t="inlineStr">
        <is>
          <t>434-2025-06-30</t>
        </is>
      </c>
    </row>
    <row r="2234">
      <c r="A2234" t="n">
        <v>434</v>
      </c>
      <c r="B2234" t="inlineStr">
        <is>
          <t>Generación de Residuos Peligrosos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11" t="n">
        <v>45869</v>
      </c>
      <c r="G2234" t="n">
        <v>2025</v>
      </c>
      <c r="H2234" t="inlineStr">
        <is>
          <t>Julio</t>
        </is>
      </c>
      <c r="I2234" t="inlineStr">
        <is>
          <t>2025-2</t>
        </is>
      </c>
      <c r="J2234" t="n">
        <v>200</v>
      </c>
      <c r="K2234" t="n">
        <v>312.11</v>
      </c>
      <c r="L2234" s="39">
        <f>IFERROR(IF(OR(J2234=0,K2234=""),"",IF(E2234="Positivo",MIN(MAX(K2234/J2234,0),1.3),MIN(MAX(J2234/K2234,0),1.3))),"") </f>
        <v/>
      </c>
      <c r="M2234" s="39">
        <f>IFERROR(IF(OR(J2234=0,K2234=""),"",IF(E2234="Positivo",MAX(K2234/J2234,0),MAX(J2234/K2234,0))),"") </f>
        <v/>
      </c>
      <c r="N2234" t="inlineStr">
        <is>
          <t>Kg</t>
        </is>
      </c>
      <c r="O2234" t="inlineStr">
        <is>
          <t>Kg</t>
        </is>
      </c>
      <c r="P2234" t="n">
        <v>0</v>
      </c>
      <c r="Q2234" t="n">
        <v>0</v>
      </c>
      <c r="R2234" t="inlineStr">
        <is>
          <t>434-2025-07-31</t>
        </is>
      </c>
    </row>
    <row r="2235">
      <c r="A2235" t="n">
        <v>434</v>
      </c>
      <c r="B2235" t="inlineStr">
        <is>
          <t>Generación de Residuos Peligrosos Mensual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Negativo</t>
        </is>
      </c>
      <c r="F2235" s="111" t="n">
        <v>45900</v>
      </c>
      <c r="G2235" t="n">
        <v>2025</v>
      </c>
      <c r="H2235" t="inlineStr">
        <is>
          <t>Agosto</t>
        </is>
      </c>
      <c r="I2235" t="inlineStr">
        <is>
          <t>2025-2</t>
        </is>
      </c>
      <c r="J2235" t="n">
        <v>200</v>
      </c>
      <c r="K2235" t="n">
        <v>84.75</v>
      </c>
      <c r="L2235" s="39">
        <f>IFERROR(IF(OR(J2235=0,K2235=""),"",IF(E2235="Positivo",MIN(MAX(K2235/J2235,0),1.3),MIN(MAX(J2235/K2235,0),1.3))),"") </f>
        <v/>
      </c>
      <c r="M2235" s="39">
        <f>IFERROR(IF(OR(J2235=0,K2235=""),"",IF(E2235="Positivo",MAX(K2235/J2235,0),MAX(J2235/K2235,0))),"") </f>
        <v/>
      </c>
      <c r="N2235" t="inlineStr">
        <is>
          <t>Kg</t>
        </is>
      </c>
      <c r="O2235" t="inlineStr">
        <is>
          <t>Kg</t>
        </is>
      </c>
      <c r="P2235" t="n">
        <v>0</v>
      </c>
      <c r="Q2235" t="n">
        <v>0</v>
      </c>
      <c r="R2235" t="inlineStr">
        <is>
          <t>434-2025-08-31</t>
        </is>
      </c>
    </row>
    <row r="2236">
      <c r="A2236" t="n">
        <v>434</v>
      </c>
      <c r="B2236" t="inlineStr">
        <is>
          <t>Generación de Residuos Peligrosos Mensual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Negativo</t>
        </is>
      </c>
      <c r="F2236" s="111" t="n">
        <v>45930</v>
      </c>
      <c r="G2236" t="n">
        <v>2025</v>
      </c>
      <c r="H2236" t="inlineStr">
        <is>
          <t>Septiembre</t>
        </is>
      </c>
      <c r="I2236" t="inlineStr">
        <is>
          <t>2025-2</t>
        </is>
      </c>
      <c r="J2236" t="n">
        <v>200</v>
      </c>
      <c r="K2236" t="n">
        <v>109.73</v>
      </c>
      <c r="L2236" s="39">
        <f>IFERROR(IF(OR(J2236=0,K2236=""),"",IF(E2236="Positivo",MIN(MAX(K2236/J2236,0),1.3),MIN(MAX(J2236/K2236,0),1.3))),"") </f>
        <v/>
      </c>
      <c r="M2236" s="39">
        <f>IFERROR(IF(OR(J2236=0,K2236=""),"",IF(E2236="Positivo",MAX(K2236/J2236,0),MAX(J2236/K2236,0))),"") </f>
        <v/>
      </c>
      <c r="N2236" t="inlineStr">
        <is>
          <t>Kg</t>
        </is>
      </c>
      <c r="O2236" t="inlineStr">
        <is>
          <t>Kg</t>
        </is>
      </c>
      <c r="P2236" t="n">
        <v>0</v>
      </c>
      <c r="Q2236" t="n">
        <v>0</v>
      </c>
      <c r="R2236" t="inlineStr">
        <is>
          <t>434-2025-09-30</t>
        </is>
      </c>
    </row>
    <row r="2237">
      <c r="A2237" t="n">
        <v>434</v>
      </c>
      <c r="B2237" t="inlineStr">
        <is>
          <t>Generación de Residuos Peligrosos Mensual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Negativo</t>
        </is>
      </c>
      <c r="F2237" s="111" t="n">
        <v>45961</v>
      </c>
      <c r="G2237" t="n">
        <v>2025</v>
      </c>
      <c r="H2237" t="inlineStr">
        <is>
          <t>Octubre</t>
        </is>
      </c>
      <c r="I2237" t="inlineStr">
        <is>
          <t>2025-2</t>
        </is>
      </c>
      <c r="J2237" t="n">
        <v>200</v>
      </c>
      <c r="K2237" t="n">
        <v>4524.46</v>
      </c>
      <c r="L2237" s="39">
        <f>IFERROR(IF(OR(J2237=0,K2237=""),"",IF(E2237="Positivo",MIN(MAX(K2237/J2237,0),1.3),MIN(MAX(J2237/K2237,0),1.3))),"") </f>
        <v/>
      </c>
      <c r="M2237" s="39">
        <f>IFERROR(IF(OR(J2237=0,K2237=""),"",IF(E2237="Positivo",MAX(K2237/J2237,0),MAX(J2237/K2237,0))),"") </f>
        <v/>
      </c>
      <c r="N2237" t="inlineStr">
        <is>
          <t>Kg</t>
        </is>
      </c>
      <c r="O2237" t="inlineStr">
        <is>
          <t>Kg</t>
        </is>
      </c>
      <c r="P2237" t="n">
        <v>0</v>
      </c>
      <c r="Q2237" t="n">
        <v>0</v>
      </c>
      <c r="R2237" t="inlineStr">
        <is>
          <t>434-2025-10-31</t>
        </is>
      </c>
    </row>
    <row r="2238">
      <c r="A2238" t="n">
        <v>434</v>
      </c>
      <c r="B2238" t="inlineStr">
        <is>
          <t>Generación de Residuos Peligrosos Mensual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Negativo</t>
        </is>
      </c>
      <c r="F2238" s="111" t="n">
        <v>45991</v>
      </c>
      <c r="G2238" t="n">
        <v>2025</v>
      </c>
      <c r="H2238" t="inlineStr">
        <is>
          <t>Noviembre</t>
        </is>
      </c>
      <c r="I2238" t="inlineStr">
        <is>
          <t>2025-2</t>
        </is>
      </c>
      <c r="J2238" t="n">
        <v>200</v>
      </c>
      <c r="K2238" t="n">
        <v>285.15</v>
      </c>
      <c r="L2238" s="39">
        <f>IFERROR(IF(OR(J2238=0,K2238=""),"",IF(E2238="Positivo",MIN(MAX(K2238/J2238,0),1.3),MIN(MAX(J2238/K2238,0),1.3))),"") </f>
        <v/>
      </c>
      <c r="M2238" s="39">
        <f>IFERROR(IF(OR(J2238=0,K2238=""),"",IF(E2238="Positivo",MAX(K2238/J2238,0),MAX(J2238/K2238,0))),"") </f>
        <v/>
      </c>
      <c r="N2238" t="inlineStr">
        <is>
          <t>Kg</t>
        </is>
      </c>
      <c r="O2238" t="inlineStr">
        <is>
          <t>Kg</t>
        </is>
      </c>
      <c r="P2238" t="n">
        <v>0</v>
      </c>
      <c r="Q2238" t="n">
        <v>0</v>
      </c>
      <c r="R2238" t="inlineStr">
        <is>
          <t>434-2025-11-30</t>
        </is>
      </c>
    </row>
    <row r="2239">
      <c r="A2239" t="n">
        <v>434</v>
      </c>
      <c r="B2239" t="inlineStr">
        <is>
          <t>Generación de Residuos Peligrosos Mensual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Negativo</t>
        </is>
      </c>
      <c r="F2239" s="111" t="n">
        <v>46022</v>
      </c>
      <c r="G2239" t="n">
        <v>2025</v>
      </c>
      <c r="H2239" t="inlineStr">
        <is>
          <t>Diciembre</t>
        </is>
      </c>
      <c r="I2239" t="inlineStr">
        <is>
          <t>2025-2</t>
        </is>
      </c>
      <c r="J2239" t="n">
        <v>200</v>
      </c>
      <c r="K2239" t="n">
        <v>150.1299935057759</v>
      </c>
      <c r="L2239" s="39">
        <f>IFERROR(IF(OR(J2239=0,K2239=""),"",IF(E2239="Positivo",MIN(MAX(K2239/J2239,0),1.3),MIN(MAX(J2239/K2239,0),1.3))),"") </f>
        <v/>
      </c>
      <c r="M2239" s="39">
        <f>IFERROR(IF(OR(J2239=0,K2239=""),"",IF(E2239="Positivo",MAX(K2239/J2239,0),MAX(J2239/K2239,0))),"") </f>
        <v/>
      </c>
      <c r="N2239" t="inlineStr">
        <is>
          <t>Kg</t>
        </is>
      </c>
      <c r="O2239" t="inlineStr">
        <is>
          <t>Kg</t>
        </is>
      </c>
      <c r="P2239" t="n">
        <v>0</v>
      </c>
      <c r="Q2239" t="n">
        <v>0</v>
      </c>
      <c r="R2239" t="inlineStr">
        <is>
          <t>434-2025-12-31</t>
        </is>
      </c>
    </row>
    <row r="2240">
      <c r="A2240" t="n">
        <v>435</v>
      </c>
      <c r="B2240" t="inlineStr">
        <is>
          <t>Disminución de la Generación de Residuos Peligrosos per Cápita</t>
        </is>
      </c>
      <c r="C2240" t="inlineStr">
        <is>
          <t>GESTIÓN AMBIENTAL</t>
        </is>
      </c>
      <c r="D2240" t="inlineStr">
        <is>
          <t>Trimestral</t>
        </is>
      </c>
      <c r="E2240" t="inlineStr">
        <is>
          <t>Positivo</t>
        </is>
      </c>
      <c r="F2240" s="111" t="n">
        <v>45107</v>
      </c>
      <c r="G2240" t="n">
        <v>2023</v>
      </c>
      <c r="H2240" t="inlineStr">
        <is>
          <t>Junio</t>
        </is>
      </c>
      <c r="I2240" t="inlineStr">
        <is>
          <t>2023-1</t>
        </is>
      </c>
      <c r="J2240" t="n">
        <v>100</v>
      </c>
      <c r="L2240" s="39" t="n"/>
      <c r="M2240" s="39" t="n"/>
      <c r="N2240" t="inlineStr">
        <is>
          <t>%</t>
        </is>
      </c>
      <c r="O2240" t="inlineStr">
        <is>
          <t>No Aplica</t>
        </is>
      </c>
      <c r="P2240" t="n">
        <v>2</v>
      </c>
      <c r="Q2240" t="n">
        <v>2</v>
      </c>
      <c r="R2240" t="inlineStr">
        <is>
          <t>435-2023-06-30</t>
        </is>
      </c>
      <c r="S2240" t="inlineStr">
        <is>
          <t>No Aplica</t>
        </is>
      </c>
    </row>
    <row r="2241">
      <c r="A2241" t="n">
        <v>435</v>
      </c>
      <c r="B2241" t="inlineStr">
        <is>
          <t>Disminución de la Generación de Residuos Peligrosos per Cápita</t>
        </is>
      </c>
      <c r="C2241" t="inlineStr">
        <is>
          <t>GESTIÓN AMBIENTAL</t>
        </is>
      </c>
      <c r="D2241" t="inlineStr">
        <is>
          <t>Trimestral</t>
        </is>
      </c>
      <c r="E2241" t="inlineStr">
        <is>
          <t>Positivo</t>
        </is>
      </c>
      <c r="F2241" s="111" t="n">
        <v>45291</v>
      </c>
      <c r="G2241" t="n">
        <v>2023</v>
      </c>
      <c r="H2241" t="inlineStr">
        <is>
          <t>Diciembre</t>
        </is>
      </c>
      <c r="I2241" t="inlineStr">
        <is>
          <t>2023-2</t>
        </is>
      </c>
      <c r="J2241" t="n">
        <v>100</v>
      </c>
      <c r="K2241" t="n">
        <v>-111.57</v>
      </c>
      <c r="L2241" s="39">
        <f>IFERROR(IF(OR(J2241=0,K2241=""),"",IF(E2241="Positivo",MIN(MAX(K2241/J2241,0),1.3),MIN(MAX(J2241/K2241,0),1.3))),"") </f>
        <v/>
      </c>
      <c r="M2241" s="39">
        <f>IFERROR(IF(OR(J2241=0,K2241=""),"",IF(E2241="Positivo",MAX(K2241/J2241,0),MAX(J2241/K2241,0))),"") </f>
        <v/>
      </c>
      <c r="N2241" t="inlineStr">
        <is>
          <t>%</t>
        </is>
      </c>
      <c r="O2241" t="inlineStr">
        <is>
          <t>%</t>
        </is>
      </c>
      <c r="P2241" t="n">
        <v>2</v>
      </c>
      <c r="Q2241" t="n">
        <v>2</v>
      </c>
      <c r="R2241" t="inlineStr">
        <is>
          <t>435-2023-12-31</t>
        </is>
      </c>
    </row>
    <row r="2242">
      <c r="A2242" t="n">
        <v>435</v>
      </c>
      <c r="B2242" t="inlineStr">
        <is>
          <t>Disminución de la Generación de Residuos Peligrosos per Cápita</t>
        </is>
      </c>
      <c r="C2242" t="inlineStr">
        <is>
          <t>GESTIÓN AMBIENTAL</t>
        </is>
      </c>
      <c r="D2242" t="inlineStr">
        <is>
          <t>Semestral</t>
        </is>
      </c>
      <c r="E2242" t="inlineStr">
        <is>
          <t>Positivo</t>
        </is>
      </c>
      <c r="F2242" s="111" t="n">
        <v>45473</v>
      </c>
      <c r="G2242" t="n">
        <v>2024</v>
      </c>
      <c r="H2242" t="inlineStr">
        <is>
          <t>Junio</t>
        </is>
      </c>
      <c r="I2242" t="inlineStr">
        <is>
          <t>2024-1</t>
        </is>
      </c>
      <c r="J2242" t="n">
        <v>100</v>
      </c>
      <c r="K2242" t="n">
        <v>-20.67</v>
      </c>
      <c r="L2242" s="39">
        <f>IFERROR(IF(OR(J2242=0,K2242=""),"",IF(E2242="Positivo",MIN(MAX(K2242/J2242,0),1.3),MIN(MAX(J2242/K2242,0),1.3))),"") </f>
        <v/>
      </c>
      <c r="M2242" s="39">
        <f>IFERROR(IF(OR(J2242=0,K2242=""),"",IF(E2242="Positivo",MAX(K2242/J2242,0),MAX(J2242/K2242,0))),"") </f>
        <v/>
      </c>
      <c r="N2242" t="inlineStr">
        <is>
          <t>%</t>
        </is>
      </c>
      <c r="O2242" t="inlineStr">
        <is>
          <t>%</t>
        </is>
      </c>
      <c r="P2242" t="n">
        <v>2</v>
      </c>
      <c r="Q2242" t="n">
        <v>2</v>
      </c>
      <c r="R2242" t="inlineStr">
        <is>
          <t>435-2024-06-30</t>
        </is>
      </c>
    </row>
    <row r="2243">
      <c r="A2243" t="n">
        <v>435</v>
      </c>
      <c r="B2243" t="inlineStr">
        <is>
          <t>Disminución de la Generación de Residuos Peligrosos per Cápita</t>
        </is>
      </c>
      <c r="C2243" t="inlineStr">
        <is>
          <t>GESTIÓN AMBIENTAL</t>
        </is>
      </c>
      <c r="D2243" t="inlineStr">
        <is>
          <t>Semestral</t>
        </is>
      </c>
      <c r="E2243" t="inlineStr">
        <is>
          <t>Positivo</t>
        </is>
      </c>
      <c r="F2243" s="111" t="n">
        <v>45657</v>
      </c>
      <c r="G2243" t="n">
        <v>2024</v>
      </c>
      <c r="H2243" t="inlineStr">
        <is>
          <t>Diciembre</t>
        </is>
      </c>
      <c r="I2243" t="inlineStr">
        <is>
          <t>2024-2</t>
        </is>
      </c>
      <c r="J2243" t="n">
        <v>100</v>
      </c>
      <c r="K2243" t="n">
        <v>71.09</v>
      </c>
      <c r="L2243" s="39">
        <f>IFERROR(IF(OR(J2243=0,K2243=""),"",IF(E2243="Positivo",MIN(MAX(K2243/J2243,0),1.3),MIN(MAX(J2243/K2243,0),1.3))),"") </f>
        <v/>
      </c>
      <c r="M2243" s="39">
        <f>IFERROR(IF(OR(J2243=0,K2243=""),"",IF(E2243="Positivo",MAX(K2243/J2243,0),MAX(J2243/K2243,0))),"") </f>
        <v/>
      </c>
      <c r="N2243" t="inlineStr">
        <is>
          <t>%</t>
        </is>
      </c>
      <c r="O2243" t="inlineStr">
        <is>
          <t>%</t>
        </is>
      </c>
      <c r="P2243" t="n">
        <v>2</v>
      </c>
      <c r="Q2243" t="n">
        <v>2</v>
      </c>
      <c r="R2243" t="inlineStr">
        <is>
          <t>435-2024-12-31</t>
        </is>
      </c>
    </row>
    <row r="2244">
      <c r="A2244" t="n">
        <v>435</v>
      </c>
      <c r="B2244" t="inlineStr">
        <is>
          <t>Disminución de la Generación de Residuos Peligrosos per Cápita</t>
        </is>
      </c>
      <c r="C2244" t="inlineStr">
        <is>
          <t>GESTIÓN AMBIENTAL</t>
        </is>
      </c>
      <c r="D2244" t="inlineStr">
        <is>
          <t>Semestral</t>
        </is>
      </c>
      <c r="E2244" t="inlineStr">
        <is>
          <t>Positivo</t>
        </is>
      </c>
      <c r="F2244" s="111" t="n">
        <v>45838</v>
      </c>
      <c r="G2244" t="n">
        <v>2025</v>
      </c>
      <c r="H2244" t="inlineStr">
        <is>
          <t>Junio</t>
        </is>
      </c>
      <c r="I2244" t="inlineStr">
        <is>
          <t>2025-1</t>
        </is>
      </c>
      <c r="J2244" t="n">
        <v>100</v>
      </c>
      <c r="K2244" t="n">
        <v>96.09</v>
      </c>
      <c r="L2244" s="39">
        <f>IFERROR(IF(OR(J2244=0,K2244=""),"",IF(E2244="Positivo",MIN(MAX(K2244/J2244,0),1.3),MIN(MAX(J2244/K2244,0),1.3))),"") </f>
        <v/>
      </c>
      <c r="M2244" s="39">
        <f>IFERROR(IF(OR(J2244=0,K2244=""),"",IF(E2244="Positivo",MAX(K2244/J2244,0),MAX(J2244/K2244,0))),"") </f>
        <v/>
      </c>
      <c r="N2244" t="inlineStr">
        <is>
          <t>%</t>
        </is>
      </c>
      <c r="O2244" t="inlineStr">
        <is>
          <t>%</t>
        </is>
      </c>
      <c r="P2244" t="n">
        <v>2</v>
      </c>
      <c r="Q2244" t="n">
        <v>2</v>
      </c>
      <c r="R2244" t="inlineStr">
        <is>
          <t>435-2025-06-30</t>
        </is>
      </c>
    </row>
    <row r="2245">
      <c r="A2245" t="n">
        <v>435</v>
      </c>
      <c r="B2245" t="inlineStr">
        <is>
          <t>Disminución de la Generación de Residuos Peligrosos per Cápita</t>
        </is>
      </c>
      <c r="C2245" t="inlineStr">
        <is>
          <t>GESTIÓN AMBIENTAL</t>
        </is>
      </c>
      <c r="D2245" t="inlineStr">
        <is>
          <t>Trimestral</t>
        </is>
      </c>
      <c r="E2245" t="inlineStr">
        <is>
          <t>Positivo</t>
        </is>
      </c>
      <c r="F2245" s="111" t="n">
        <v>46022</v>
      </c>
      <c r="G2245" t="n">
        <v>2025</v>
      </c>
      <c r="H2245" t="inlineStr">
        <is>
          <t>Diciembre</t>
        </is>
      </c>
      <c r="I2245" t="inlineStr">
        <is>
          <t>2025-2</t>
        </is>
      </c>
      <c r="J2245" t="n">
        <v>100</v>
      </c>
      <c r="K2245" t="n">
        <v>-732.08</v>
      </c>
      <c r="L2245" s="39">
        <f>IFERROR(IF(OR(J2245=0,K2245=""),"",IF(E2245="Positivo",MIN(MAX(K2245/J2245,0),1.3),MIN(MAX(J2245/K2245,0),1.3))),"") </f>
        <v/>
      </c>
      <c r="M2245" s="39">
        <f>IFERROR(IF(OR(J2245=0,K2245=""),"",IF(E2245="Positivo",MAX(K2245/J2245,0),MAX(J2245/K2245,0))),"") </f>
        <v/>
      </c>
      <c r="N2245" t="inlineStr">
        <is>
          <t>%</t>
        </is>
      </c>
      <c r="O2245" t="inlineStr">
        <is>
          <t>%</t>
        </is>
      </c>
      <c r="P2245" t="n">
        <v>2</v>
      </c>
      <c r="Q2245" t="n">
        <v>2</v>
      </c>
      <c r="R2245" t="inlineStr">
        <is>
          <t>435-2025-12-31</t>
        </is>
      </c>
    </row>
    <row r="2246">
      <c r="A2246" t="n">
        <v>436</v>
      </c>
      <c r="B2246" t="inlineStr">
        <is>
          <t>ANS documentos operativos</t>
        </is>
      </c>
      <c r="C2246" t="inlineStr">
        <is>
          <t>Gestión de calidad</t>
        </is>
      </c>
      <c r="D2246" t="inlineStr">
        <is>
          <t>Mensual</t>
        </is>
      </c>
      <c r="E2246" t="inlineStr">
        <is>
          <t>Negativo</t>
        </is>
      </c>
      <c r="F2246" s="111" t="n">
        <v>44957</v>
      </c>
      <c r="G2246" t="n">
        <v>2023</v>
      </c>
      <c r="H2246" t="inlineStr">
        <is>
          <t>Enero</t>
        </is>
      </c>
      <c r="I2246" t="inlineStr">
        <is>
          <t>2023-1</t>
        </is>
      </c>
      <c r="J2246" t="n">
        <v>14</v>
      </c>
      <c r="L2246" s="39" t="n"/>
      <c r="M2246" s="39" t="n"/>
      <c r="N2246" t="inlineStr">
        <is>
          <t>Días</t>
        </is>
      </c>
      <c r="O2246" t="inlineStr">
        <is>
          <t>No Aplica</t>
        </is>
      </c>
      <c r="P2246" t="n">
        <v>0</v>
      </c>
      <c r="Q2246" t="n">
        <v>1</v>
      </c>
      <c r="R2246" t="inlineStr">
        <is>
          <t>436-2023-01-31</t>
        </is>
      </c>
      <c r="S2246" t="inlineStr">
        <is>
          <t>No Aplica</t>
        </is>
      </c>
    </row>
    <row r="2247">
      <c r="A2247" t="n">
        <v>436</v>
      </c>
      <c r="B2247" t="inlineStr">
        <is>
          <t>ANS documentos operativos</t>
        </is>
      </c>
      <c r="C2247" t="inlineStr">
        <is>
          <t>Gestión de calidad</t>
        </is>
      </c>
      <c r="D2247" t="inlineStr">
        <is>
          <t>Mensual</t>
        </is>
      </c>
      <c r="E2247" t="inlineStr">
        <is>
          <t>Negativo</t>
        </is>
      </c>
      <c r="F2247" s="111" t="n">
        <v>44985</v>
      </c>
      <c r="G2247" t="n">
        <v>2023</v>
      </c>
      <c r="H2247" t="inlineStr">
        <is>
          <t>Febrero</t>
        </is>
      </c>
      <c r="I2247" t="inlineStr">
        <is>
          <t>2023-1</t>
        </is>
      </c>
      <c r="J2247" t="n">
        <v>14</v>
      </c>
      <c r="L2247" s="39" t="n"/>
      <c r="M2247" s="39" t="n"/>
      <c r="N2247" t="inlineStr">
        <is>
          <t>Días</t>
        </is>
      </c>
      <c r="O2247" t="inlineStr">
        <is>
          <t>No Aplica</t>
        </is>
      </c>
      <c r="P2247" t="n">
        <v>0</v>
      </c>
      <c r="Q2247" t="n">
        <v>1</v>
      </c>
      <c r="R2247" t="inlineStr">
        <is>
          <t>436-2023-02-28</t>
        </is>
      </c>
      <c r="S2247" t="inlineStr">
        <is>
          <t>No Aplica</t>
        </is>
      </c>
    </row>
    <row r="2248">
      <c r="A2248" t="n">
        <v>436</v>
      </c>
      <c r="B2248" t="inlineStr">
        <is>
          <t>ANS documentos operativos</t>
        </is>
      </c>
      <c r="C2248" t="inlineStr">
        <is>
          <t>Gestión de calidad</t>
        </is>
      </c>
      <c r="D2248" t="inlineStr">
        <is>
          <t>Mensual</t>
        </is>
      </c>
      <c r="E2248" t="inlineStr">
        <is>
          <t>Negativo</t>
        </is>
      </c>
      <c r="F2248" s="111" t="n">
        <v>45016</v>
      </c>
      <c r="G2248" t="n">
        <v>2023</v>
      </c>
      <c r="H2248" t="inlineStr">
        <is>
          <t>Marzo</t>
        </is>
      </c>
      <c r="I2248" t="inlineStr">
        <is>
          <t>2023-1</t>
        </is>
      </c>
      <c r="J2248" t="n">
        <v>14</v>
      </c>
      <c r="L2248" s="39" t="n"/>
      <c r="M2248" s="39" t="n"/>
      <c r="N2248" t="inlineStr">
        <is>
          <t>Días</t>
        </is>
      </c>
      <c r="O2248" t="inlineStr">
        <is>
          <t>No Aplica</t>
        </is>
      </c>
      <c r="P2248" t="n">
        <v>0</v>
      </c>
      <c r="Q2248" t="n">
        <v>1</v>
      </c>
      <c r="R2248" t="inlineStr">
        <is>
          <t>436-2023-03-31</t>
        </is>
      </c>
      <c r="S2248" t="inlineStr">
        <is>
          <t>No Aplica</t>
        </is>
      </c>
    </row>
    <row r="2249">
      <c r="A2249" t="n">
        <v>436</v>
      </c>
      <c r="B2249" t="inlineStr">
        <is>
          <t>ANS documentos operativos</t>
        </is>
      </c>
      <c r="C2249" t="inlineStr">
        <is>
          <t>Gestión de calidad</t>
        </is>
      </c>
      <c r="D2249" t="inlineStr">
        <is>
          <t>Mensual</t>
        </is>
      </c>
      <c r="E2249" t="inlineStr">
        <is>
          <t>Negativo</t>
        </is>
      </c>
      <c r="F2249" s="111" t="n">
        <v>45046</v>
      </c>
      <c r="G2249" t="n">
        <v>2023</v>
      </c>
      <c r="H2249" t="inlineStr">
        <is>
          <t>Abril</t>
        </is>
      </c>
      <c r="I2249" t="inlineStr">
        <is>
          <t>2023-1</t>
        </is>
      </c>
      <c r="J2249" t="n">
        <v>14</v>
      </c>
      <c r="L2249" s="39" t="n"/>
      <c r="M2249" s="39" t="n"/>
      <c r="N2249" t="inlineStr">
        <is>
          <t>Días</t>
        </is>
      </c>
      <c r="O2249" t="inlineStr">
        <is>
          <t>No Aplica</t>
        </is>
      </c>
      <c r="P2249" t="n">
        <v>0</v>
      </c>
      <c r="Q2249" t="n">
        <v>1</v>
      </c>
      <c r="R2249" t="inlineStr">
        <is>
          <t>436-2023-04-30</t>
        </is>
      </c>
      <c r="S2249" t="inlineStr">
        <is>
          <t>No Aplica</t>
        </is>
      </c>
    </row>
    <row r="2250">
      <c r="A2250" t="n">
        <v>436</v>
      </c>
      <c r="B2250" t="inlineStr">
        <is>
          <t>ANS documentos operativos</t>
        </is>
      </c>
      <c r="C2250" t="inlineStr">
        <is>
          <t>Gestión de calidad</t>
        </is>
      </c>
      <c r="D2250" t="inlineStr">
        <is>
          <t>Mensual</t>
        </is>
      </c>
      <c r="E2250" t="inlineStr">
        <is>
          <t>Negativo</t>
        </is>
      </c>
      <c r="F2250" s="111" t="n">
        <v>45077</v>
      </c>
      <c r="G2250" t="n">
        <v>2023</v>
      </c>
      <c r="H2250" t="inlineStr">
        <is>
          <t>Mayo</t>
        </is>
      </c>
      <c r="I2250" t="inlineStr">
        <is>
          <t>2023-1</t>
        </is>
      </c>
      <c r="J2250" t="n">
        <v>14</v>
      </c>
      <c r="L2250" s="39" t="n"/>
      <c r="M2250" s="39" t="n"/>
      <c r="N2250" t="inlineStr">
        <is>
          <t>Días</t>
        </is>
      </c>
      <c r="O2250" t="inlineStr">
        <is>
          <t>No Aplica</t>
        </is>
      </c>
      <c r="P2250" t="n">
        <v>0</v>
      </c>
      <c r="Q2250" t="n">
        <v>1</v>
      </c>
      <c r="R2250" t="inlineStr">
        <is>
          <t>436-2023-05-31</t>
        </is>
      </c>
      <c r="S2250" t="inlineStr">
        <is>
          <t>No Aplica</t>
        </is>
      </c>
    </row>
    <row r="2251">
      <c r="A2251" t="n">
        <v>436</v>
      </c>
      <c r="B2251" t="inlineStr">
        <is>
          <t>ANS documentos operativos</t>
        </is>
      </c>
      <c r="C2251" t="inlineStr">
        <is>
          <t>Gestión de calidad</t>
        </is>
      </c>
      <c r="D2251" t="inlineStr">
        <is>
          <t>Mensual</t>
        </is>
      </c>
      <c r="E2251" t="inlineStr">
        <is>
          <t>Negativo</t>
        </is>
      </c>
      <c r="F2251" s="111" t="n">
        <v>45107</v>
      </c>
      <c r="G2251" t="n">
        <v>2023</v>
      </c>
      <c r="H2251" t="inlineStr">
        <is>
          <t>Junio</t>
        </is>
      </c>
      <c r="I2251" t="inlineStr">
        <is>
          <t>2023-1</t>
        </is>
      </c>
      <c r="J2251" t="n">
        <v>14</v>
      </c>
      <c r="L2251" s="39" t="n"/>
      <c r="M2251" s="39" t="n"/>
      <c r="N2251" t="inlineStr">
        <is>
          <t>Días</t>
        </is>
      </c>
      <c r="O2251" t="inlineStr">
        <is>
          <t>No Aplica</t>
        </is>
      </c>
      <c r="P2251" t="n">
        <v>0</v>
      </c>
      <c r="Q2251" t="n">
        <v>1</v>
      </c>
      <c r="R2251" t="inlineStr">
        <is>
          <t>436-2023-06-30</t>
        </is>
      </c>
      <c r="S2251" t="inlineStr">
        <is>
          <t>No Aplica</t>
        </is>
      </c>
    </row>
    <row r="2252">
      <c r="A2252" t="n">
        <v>436</v>
      </c>
      <c r="B2252" t="inlineStr">
        <is>
          <t>ANS documentos operativos</t>
        </is>
      </c>
      <c r="C2252" t="inlineStr">
        <is>
          <t>Gestión de calidad</t>
        </is>
      </c>
      <c r="D2252" t="inlineStr">
        <is>
          <t>Mensual</t>
        </is>
      </c>
      <c r="E2252" t="inlineStr">
        <is>
          <t>Negativo</t>
        </is>
      </c>
      <c r="F2252" s="111" t="n">
        <v>45138</v>
      </c>
      <c r="G2252" t="n">
        <v>2023</v>
      </c>
      <c r="H2252" t="inlineStr">
        <is>
          <t>Julio</t>
        </is>
      </c>
      <c r="I2252" t="inlineStr">
        <is>
          <t>2023-2</t>
        </is>
      </c>
      <c r="J2252" t="n">
        <v>21</v>
      </c>
      <c r="K2252" t="n">
        <v>11.7</v>
      </c>
      <c r="L2252" s="39">
        <f>IFERROR(IF(OR(J2252=0,K2252=""),"",IF(E2252="Positivo",MIN(MAX(K2252/J2252,0),1.3),MIN(MAX(J2252/K2252,0),1.3))),"") </f>
        <v/>
      </c>
      <c r="M2252" s="39">
        <f>IFERROR(IF(OR(J2252=0,K2252=""),"",IF(E2252="Positivo",MAX(K2252/J2252,0),MAX(J2252/K2252,0))),"") </f>
        <v/>
      </c>
      <c r="N2252" t="inlineStr">
        <is>
          <t>Días</t>
        </is>
      </c>
      <c r="O2252" t="inlineStr">
        <is>
          <t>Días</t>
        </is>
      </c>
      <c r="P2252" t="n">
        <v>0</v>
      </c>
      <c r="Q2252" t="n">
        <v>0</v>
      </c>
      <c r="R2252" t="inlineStr">
        <is>
          <t>436-2023-07-31</t>
        </is>
      </c>
    </row>
    <row r="2253">
      <c r="A2253" t="n">
        <v>436</v>
      </c>
      <c r="B2253" t="inlineStr">
        <is>
          <t>ANS documentos operativos</t>
        </is>
      </c>
      <c r="C2253" t="inlineStr">
        <is>
          <t>Gestión de calidad</t>
        </is>
      </c>
      <c r="D2253" t="inlineStr">
        <is>
          <t>Mensual</t>
        </is>
      </c>
      <c r="E2253" t="inlineStr">
        <is>
          <t>Negativo</t>
        </is>
      </c>
      <c r="F2253" s="111" t="n">
        <v>45169</v>
      </c>
      <c r="G2253" t="n">
        <v>2023</v>
      </c>
      <c r="H2253" t="inlineStr">
        <is>
          <t>Agosto</t>
        </is>
      </c>
      <c r="I2253" t="inlineStr">
        <is>
          <t>2023-2</t>
        </is>
      </c>
      <c r="J2253" t="n">
        <v>21</v>
      </c>
      <c r="K2253" t="n">
        <v>8.699999999999999</v>
      </c>
      <c r="L2253" s="39">
        <f>IFERROR(IF(OR(J2253=0,K2253=""),"",IF(E2253="Positivo",MIN(MAX(K2253/J2253,0),1.3),MIN(MAX(J2253/K2253,0),1.3))),"") </f>
        <v/>
      </c>
      <c r="M2253" s="39">
        <f>IFERROR(IF(OR(J2253=0,K2253=""),"",IF(E2253="Positivo",MAX(K2253/J2253,0),MAX(J2253/K2253,0))),"") </f>
        <v/>
      </c>
      <c r="N2253" t="inlineStr">
        <is>
          <t>Días</t>
        </is>
      </c>
      <c r="O2253" t="inlineStr">
        <is>
          <t>Días</t>
        </is>
      </c>
      <c r="P2253" t="n">
        <v>0</v>
      </c>
      <c r="Q2253" t="n">
        <v>0</v>
      </c>
      <c r="R2253" t="inlineStr">
        <is>
          <t>436-2023-08-31</t>
        </is>
      </c>
    </row>
    <row r="2254">
      <c r="A2254" t="n">
        <v>436</v>
      </c>
      <c r="B2254" t="inlineStr">
        <is>
          <t>ANS documentos operativos</t>
        </is>
      </c>
      <c r="C2254" t="inlineStr">
        <is>
          <t>Gestión de calidad</t>
        </is>
      </c>
      <c r="D2254" t="inlineStr">
        <is>
          <t>Mensual</t>
        </is>
      </c>
      <c r="E2254" t="inlineStr">
        <is>
          <t>Negativo</t>
        </is>
      </c>
      <c r="F2254" s="111" t="n">
        <v>45199</v>
      </c>
      <c r="G2254" t="n">
        <v>2023</v>
      </c>
      <c r="H2254" t="inlineStr">
        <is>
          <t>Septiembre</t>
        </is>
      </c>
      <c r="I2254" t="inlineStr">
        <is>
          <t>2023-2</t>
        </is>
      </c>
      <c r="J2254" t="n">
        <v>21</v>
      </c>
      <c r="K2254" t="n">
        <v>17.3</v>
      </c>
      <c r="L2254" s="39">
        <f>IFERROR(IF(OR(J2254=0,K2254=""),"",IF(E2254="Positivo",MIN(MAX(K2254/J2254,0),1.3),MIN(MAX(J2254/K2254,0),1.3))),"") </f>
        <v/>
      </c>
      <c r="M2254" s="39">
        <f>IFERROR(IF(OR(J2254=0,K2254=""),"",IF(E2254="Positivo",MAX(K2254/J2254,0),MAX(J2254/K2254,0))),"") </f>
        <v/>
      </c>
      <c r="N2254" t="inlineStr">
        <is>
          <t>Días</t>
        </is>
      </c>
      <c r="O2254" t="inlineStr">
        <is>
          <t>Días</t>
        </is>
      </c>
      <c r="P2254" t="n">
        <v>0</v>
      </c>
      <c r="Q2254" t="n">
        <v>0</v>
      </c>
      <c r="R2254" t="inlineStr">
        <is>
          <t>436-2023-09-30</t>
        </is>
      </c>
    </row>
    <row r="2255">
      <c r="A2255" t="n">
        <v>436</v>
      </c>
      <c r="B2255" t="inlineStr">
        <is>
          <t>ANS documentos operativos</t>
        </is>
      </c>
      <c r="C2255" t="inlineStr">
        <is>
          <t>Gestión de calidad</t>
        </is>
      </c>
      <c r="D2255" t="inlineStr">
        <is>
          <t>Mensual</t>
        </is>
      </c>
      <c r="E2255" t="inlineStr">
        <is>
          <t>Negativo</t>
        </is>
      </c>
      <c r="F2255" s="111" t="n">
        <v>45230</v>
      </c>
      <c r="G2255" t="n">
        <v>2023</v>
      </c>
      <c r="H2255" t="inlineStr">
        <is>
          <t>Octubre</t>
        </is>
      </c>
      <c r="I2255" t="inlineStr">
        <is>
          <t>2023-2</t>
        </is>
      </c>
      <c r="J2255" t="n">
        <v>21</v>
      </c>
      <c r="K2255" t="n">
        <v>5.1</v>
      </c>
      <c r="L2255" s="39">
        <f>IFERROR(IF(OR(J2255=0,K2255=""),"",IF(E2255="Positivo",MIN(MAX(K2255/J2255,0),1.3),MIN(MAX(J2255/K2255,0),1.3))),"") </f>
        <v/>
      </c>
      <c r="M2255" s="39">
        <f>IFERROR(IF(OR(J2255=0,K2255=""),"",IF(E2255="Positivo",MAX(K2255/J2255,0),MAX(J2255/K2255,0))),"") </f>
        <v/>
      </c>
      <c r="N2255" t="inlineStr">
        <is>
          <t>Días</t>
        </is>
      </c>
      <c r="O2255" t="inlineStr">
        <is>
          <t>Días</t>
        </is>
      </c>
      <c r="P2255" t="n">
        <v>0</v>
      </c>
      <c r="Q2255" t="n">
        <v>0</v>
      </c>
      <c r="R2255" t="inlineStr">
        <is>
          <t>436-2023-10-31</t>
        </is>
      </c>
    </row>
    <row r="2256">
      <c r="A2256" t="n">
        <v>436</v>
      </c>
      <c r="B2256" t="inlineStr">
        <is>
          <t>ANS documentos operativos</t>
        </is>
      </c>
      <c r="C2256" t="inlineStr">
        <is>
          <t>Gestión de calidad</t>
        </is>
      </c>
      <c r="D2256" t="inlineStr">
        <is>
          <t>Mensual</t>
        </is>
      </c>
      <c r="E2256" t="inlineStr">
        <is>
          <t>Negativo</t>
        </is>
      </c>
      <c r="F2256" s="111" t="n">
        <v>45260</v>
      </c>
      <c r="G2256" t="n">
        <v>2023</v>
      </c>
      <c r="H2256" t="inlineStr">
        <is>
          <t>Noviembre</t>
        </is>
      </c>
      <c r="I2256" t="inlineStr">
        <is>
          <t>2023-2</t>
        </is>
      </c>
      <c r="J2256" t="n">
        <v>21</v>
      </c>
      <c r="K2256" t="n">
        <v>10.91</v>
      </c>
      <c r="L2256" s="39">
        <f>IFERROR(IF(OR(J2256=0,K2256=""),"",IF(E2256="Positivo",MIN(MAX(K2256/J2256,0),1.3),MIN(MAX(J2256/K2256,0),1.3))),"") </f>
        <v/>
      </c>
      <c r="M2256" s="39">
        <f>IFERROR(IF(OR(J2256=0,K2256=""),"",IF(E2256="Positivo",MAX(K2256/J2256,0),MAX(J2256/K2256,0))),"") </f>
        <v/>
      </c>
      <c r="N2256" t="inlineStr">
        <is>
          <t>Días</t>
        </is>
      </c>
      <c r="O2256" t="inlineStr">
        <is>
          <t>Días</t>
        </is>
      </c>
      <c r="P2256" t="n">
        <v>0</v>
      </c>
      <c r="Q2256" t="n">
        <v>0</v>
      </c>
      <c r="R2256" t="inlineStr">
        <is>
          <t>436-2023-11-30</t>
        </is>
      </c>
    </row>
    <row r="2257" customFormat="1" s="2">
      <c r="A2257" t="n">
        <v>436</v>
      </c>
      <c r="B2257" t="inlineStr">
        <is>
          <t>ANS documentos operativos</t>
        </is>
      </c>
      <c r="C2257" t="inlineStr">
        <is>
          <t>Gestión de calidad</t>
        </is>
      </c>
      <c r="D2257" t="inlineStr">
        <is>
          <t>Mensual</t>
        </is>
      </c>
      <c r="E2257" t="inlineStr">
        <is>
          <t>Negativo</t>
        </is>
      </c>
      <c r="F2257" s="111" t="n">
        <v>45291</v>
      </c>
      <c r="G2257" t="n">
        <v>2023</v>
      </c>
      <c r="H2257" t="inlineStr">
        <is>
          <t>Diciembre</t>
        </is>
      </c>
      <c r="I2257" t="inlineStr">
        <is>
          <t>2023-2</t>
        </is>
      </c>
      <c r="J2257" t="n">
        <v>21</v>
      </c>
      <c r="K2257" t="n">
        <v>12.7</v>
      </c>
      <c r="L2257" s="39">
        <f>IFERROR(IF(OR(J2257=0,K2257=""),"",IF(E2257="Positivo",MIN(MAX(K2257/J2257,0),1.3),MIN(MAX(J2257/K2257,0),1.3))),"") </f>
        <v/>
      </c>
      <c r="M2257" s="39">
        <f>IFERROR(IF(OR(J2257=0,K2257=""),"",IF(E2257="Positivo",MAX(K2257/J2257,0),MAX(J2257/K2257,0))),"") </f>
        <v/>
      </c>
      <c r="N2257" t="inlineStr">
        <is>
          <t>Días</t>
        </is>
      </c>
      <c r="O2257" t="inlineStr">
        <is>
          <t>Días</t>
        </is>
      </c>
      <c r="P2257" t="n">
        <v>0</v>
      </c>
      <c r="Q2257" t="n">
        <v>0</v>
      </c>
      <c r="R2257" t="inlineStr">
        <is>
          <t>436-2023-12-31</t>
        </is>
      </c>
    </row>
    <row r="2258" customFormat="1" s="2">
      <c r="A2258" t="n">
        <v>436</v>
      </c>
      <c r="B2258" t="inlineStr">
        <is>
          <t>ANS documentos operativos</t>
        </is>
      </c>
      <c r="C2258" t="inlineStr">
        <is>
          <t>Gestión de calidad</t>
        </is>
      </c>
      <c r="D2258" t="inlineStr">
        <is>
          <t>Mensual</t>
        </is>
      </c>
      <c r="E2258" t="inlineStr">
        <is>
          <t>Negativo</t>
        </is>
      </c>
      <c r="F2258" s="111" t="n">
        <v>45322</v>
      </c>
      <c r="G2258" t="n">
        <v>2024</v>
      </c>
      <c r="H2258" t="inlineStr">
        <is>
          <t>Enero</t>
        </is>
      </c>
      <c r="I2258" t="inlineStr">
        <is>
          <t>2024-1</t>
        </is>
      </c>
      <c r="J2258" t="n">
        <v>14</v>
      </c>
      <c r="K2258" t="n">
        <v>9.699999999999999</v>
      </c>
      <c r="L2258" s="39">
        <f>IFERROR(IF(OR(J2258=0,K2258=""),"",IF(E2258="Positivo",MIN(MAX(K2258/J2258,0),1.3),MIN(MAX(J2258/K2258,0),1.3))),"") </f>
        <v/>
      </c>
      <c r="M2258" s="39">
        <f>IFERROR(IF(OR(J2258=0,K2258=""),"",IF(E2258="Positivo",MAX(K2258/J2258,0),MAX(J2258/K2258,0))),"") </f>
        <v/>
      </c>
      <c r="N2258" t="inlineStr">
        <is>
          <t>Días</t>
        </is>
      </c>
      <c r="O2258" t="inlineStr">
        <is>
          <t>Días</t>
        </is>
      </c>
      <c r="P2258" t="n">
        <v>0</v>
      </c>
      <c r="Q2258" t="n">
        <v>0</v>
      </c>
      <c r="R2258" t="inlineStr">
        <is>
          <t>436-2024-01-31</t>
        </is>
      </c>
    </row>
    <row r="2259" customFormat="1" s="2">
      <c r="A2259" t="n">
        <v>436</v>
      </c>
      <c r="B2259" t="inlineStr">
        <is>
          <t>ANS documentos operativos</t>
        </is>
      </c>
      <c r="C2259" t="inlineStr">
        <is>
          <t>Gestión de calidad</t>
        </is>
      </c>
      <c r="D2259" t="inlineStr">
        <is>
          <t>Mensual</t>
        </is>
      </c>
      <c r="E2259" t="inlineStr">
        <is>
          <t>Negativo</t>
        </is>
      </c>
      <c r="F2259" s="111" t="n">
        <v>45351</v>
      </c>
      <c r="G2259" t="n">
        <v>2024</v>
      </c>
      <c r="H2259" t="inlineStr">
        <is>
          <t>Febrero</t>
        </is>
      </c>
      <c r="I2259" t="inlineStr">
        <is>
          <t>2024-1</t>
        </is>
      </c>
      <c r="J2259" t="n">
        <v>14</v>
      </c>
      <c r="K2259" t="n">
        <v>13.5</v>
      </c>
      <c r="L2259" s="39">
        <f>IFERROR(IF(OR(J2259=0,K2259=""),"",IF(E2259="Positivo",MIN(MAX(K2259/J2259,0),1.3),MIN(MAX(J2259/K2259,0),1.3))),"") </f>
        <v/>
      </c>
      <c r="M2259" s="39">
        <f>IFERROR(IF(OR(J2259=0,K2259=""),"",IF(E2259="Positivo",MAX(K2259/J2259,0),MAX(J2259/K2259,0))),"") </f>
        <v/>
      </c>
      <c r="N2259" t="inlineStr">
        <is>
          <t>Días</t>
        </is>
      </c>
      <c r="O2259" t="inlineStr">
        <is>
          <t>Días</t>
        </is>
      </c>
      <c r="P2259" t="n">
        <v>0</v>
      </c>
      <c r="Q2259" t="n">
        <v>0</v>
      </c>
      <c r="R2259" t="inlineStr">
        <is>
          <t>436-2024-02-29</t>
        </is>
      </c>
    </row>
    <row r="2260" customFormat="1" s="2">
      <c r="A2260" t="n">
        <v>436</v>
      </c>
      <c r="B2260" t="inlineStr">
        <is>
          <t>ANS documentos operativos</t>
        </is>
      </c>
      <c r="C2260" t="inlineStr">
        <is>
          <t>Gestión de calidad</t>
        </is>
      </c>
      <c r="D2260" t="inlineStr">
        <is>
          <t>Mensual</t>
        </is>
      </c>
      <c r="E2260" t="inlineStr">
        <is>
          <t>Negativo</t>
        </is>
      </c>
      <c r="F2260" s="111" t="n">
        <v>45382</v>
      </c>
      <c r="G2260" t="n">
        <v>2024</v>
      </c>
      <c r="H2260" t="inlineStr">
        <is>
          <t>Marzo</t>
        </is>
      </c>
      <c r="I2260" t="inlineStr">
        <is>
          <t>2024-1</t>
        </is>
      </c>
      <c r="J2260" t="n">
        <v>14</v>
      </c>
      <c r="K2260" t="n">
        <v>15.7</v>
      </c>
      <c r="L2260" s="39">
        <f>IFERROR(IF(OR(J2260=0,K2260=""),"",IF(E2260="Positivo",MIN(MAX(K2260/J2260,0),1.3),MIN(MAX(J2260/K2260,0),1.3))),"") </f>
        <v/>
      </c>
      <c r="M2260" s="39">
        <f>IFERROR(IF(OR(J2260=0,K2260=""),"",IF(E2260="Positivo",MAX(K2260/J2260,0),MAX(J2260/K2260,0))),"") </f>
        <v/>
      </c>
      <c r="N2260" t="inlineStr">
        <is>
          <t>Días</t>
        </is>
      </c>
      <c r="O2260" t="inlineStr">
        <is>
          <t>Días</t>
        </is>
      </c>
      <c r="P2260" t="n">
        <v>0</v>
      </c>
      <c r="Q2260" t="n">
        <v>0</v>
      </c>
      <c r="R2260" t="inlineStr">
        <is>
          <t>436-2024-03-31</t>
        </is>
      </c>
    </row>
    <row r="2261" customFormat="1" s="2">
      <c r="A2261" t="n">
        <v>436</v>
      </c>
      <c r="B2261" t="inlineStr">
        <is>
          <t>ANS documentos operativos</t>
        </is>
      </c>
      <c r="C2261" t="inlineStr">
        <is>
          <t>Gestión de calidad</t>
        </is>
      </c>
      <c r="D2261" t="inlineStr">
        <is>
          <t>Mensual</t>
        </is>
      </c>
      <c r="E2261" t="inlineStr">
        <is>
          <t>Negativo</t>
        </is>
      </c>
      <c r="F2261" s="111" t="n">
        <v>45412</v>
      </c>
      <c r="G2261" t="n">
        <v>2024</v>
      </c>
      <c r="H2261" t="inlineStr">
        <is>
          <t>Abril</t>
        </is>
      </c>
      <c r="I2261" t="inlineStr">
        <is>
          <t>2024-1</t>
        </is>
      </c>
      <c r="J2261" t="n">
        <v>14</v>
      </c>
      <c r="K2261" t="n">
        <v>11.1</v>
      </c>
      <c r="L2261" s="39">
        <f>IFERROR(IF(OR(J2261=0,K2261=""),"",IF(E2261="Positivo",MIN(MAX(K2261/J2261,0),1.3),MIN(MAX(J2261/K2261,0),1.3))),"") </f>
        <v/>
      </c>
      <c r="M2261" s="39">
        <f>IFERROR(IF(OR(J2261=0,K2261=""),"",IF(E2261="Positivo",MAX(K2261/J2261,0),MAX(J2261/K2261,0))),"") </f>
        <v/>
      </c>
      <c r="N2261" t="inlineStr">
        <is>
          <t>Días</t>
        </is>
      </c>
      <c r="O2261" t="inlineStr">
        <is>
          <t>Días</t>
        </is>
      </c>
      <c r="P2261" t="n">
        <v>0</v>
      </c>
      <c r="Q2261" t="n">
        <v>0</v>
      </c>
      <c r="R2261" t="inlineStr">
        <is>
          <t>436-2024-04-30</t>
        </is>
      </c>
    </row>
    <row r="2262" customFormat="1" s="2">
      <c r="A2262" t="n">
        <v>436</v>
      </c>
      <c r="B2262" t="inlineStr">
        <is>
          <t>ANS documentos operativos</t>
        </is>
      </c>
      <c r="C2262" t="inlineStr">
        <is>
          <t>Gestión de calidad</t>
        </is>
      </c>
      <c r="D2262" t="inlineStr">
        <is>
          <t>Mensual</t>
        </is>
      </c>
      <c r="E2262" t="inlineStr">
        <is>
          <t>Negativo</t>
        </is>
      </c>
      <c r="F2262" s="111" t="n">
        <v>45443</v>
      </c>
      <c r="G2262" t="n">
        <v>2024</v>
      </c>
      <c r="H2262" t="inlineStr">
        <is>
          <t>Mayo</t>
        </is>
      </c>
      <c r="I2262" t="inlineStr">
        <is>
          <t>2024-1</t>
        </is>
      </c>
      <c r="J2262" t="n">
        <v>14</v>
      </c>
      <c r="K2262" t="n">
        <v>10.6</v>
      </c>
      <c r="L2262" s="39">
        <f>IFERROR(IF(OR(J2262=0,K2262=""),"",IF(E2262="Positivo",MIN(MAX(K2262/J2262,0),1.3),MIN(MAX(J2262/K2262,0),1.3))),"") </f>
        <v/>
      </c>
      <c r="M2262" s="39">
        <f>IFERROR(IF(OR(J2262=0,K2262=""),"",IF(E2262="Positivo",MAX(K2262/J2262,0),MAX(J2262/K2262,0))),"") </f>
        <v/>
      </c>
      <c r="N2262" t="inlineStr">
        <is>
          <t>Días</t>
        </is>
      </c>
      <c r="O2262" t="inlineStr">
        <is>
          <t>Días</t>
        </is>
      </c>
      <c r="P2262" t="n">
        <v>0</v>
      </c>
      <c r="Q2262" t="n">
        <v>0</v>
      </c>
      <c r="R2262" t="inlineStr">
        <is>
          <t>436-2024-05-31</t>
        </is>
      </c>
    </row>
    <row r="2263" customFormat="1" s="2">
      <c r="A2263" t="n">
        <v>436</v>
      </c>
      <c r="B2263" t="inlineStr">
        <is>
          <t>ANS documentos operativos</t>
        </is>
      </c>
      <c r="C2263" t="inlineStr">
        <is>
          <t>Gestión de calidad</t>
        </is>
      </c>
      <c r="D2263" t="inlineStr">
        <is>
          <t>Mensual</t>
        </is>
      </c>
      <c r="E2263" t="inlineStr">
        <is>
          <t>Negativo</t>
        </is>
      </c>
      <c r="F2263" s="111" t="n">
        <v>45473</v>
      </c>
      <c r="G2263" t="n">
        <v>2024</v>
      </c>
      <c r="H2263" t="inlineStr">
        <is>
          <t>Junio</t>
        </is>
      </c>
      <c r="I2263" t="inlineStr">
        <is>
          <t>2024-1</t>
        </is>
      </c>
      <c r="J2263" t="n">
        <v>14</v>
      </c>
      <c r="K2263" t="n">
        <v>8.800000000000001</v>
      </c>
      <c r="L2263" s="39">
        <f>IFERROR(IF(OR(J2263=0,K2263=""),"",IF(E2263="Positivo",MIN(MAX(K2263/J2263,0),1.3),MIN(MAX(J2263/K2263,0),1.3))),"") </f>
        <v/>
      </c>
      <c r="M2263" s="39">
        <f>IFERROR(IF(OR(J2263=0,K2263=""),"",IF(E2263="Positivo",MAX(K2263/J2263,0),MAX(J2263/K2263,0))),"") </f>
        <v/>
      </c>
      <c r="N2263" t="inlineStr">
        <is>
          <t>Días</t>
        </is>
      </c>
      <c r="O2263" t="inlineStr">
        <is>
          <t>Días</t>
        </is>
      </c>
      <c r="P2263" t="n">
        <v>0</v>
      </c>
      <c r="Q2263" t="n">
        <v>0</v>
      </c>
      <c r="R2263" t="inlineStr">
        <is>
          <t>436-2024-06-30</t>
        </is>
      </c>
    </row>
    <row r="2264">
      <c r="A2264" t="n">
        <v>436</v>
      </c>
      <c r="B2264" t="inlineStr">
        <is>
          <t>ANS documentos operativos</t>
        </is>
      </c>
      <c r="C2264" t="inlineStr">
        <is>
          <t>Gestión de calidad</t>
        </is>
      </c>
      <c r="D2264" t="inlineStr">
        <is>
          <t>Mensual</t>
        </is>
      </c>
      <c r="E2264" t="inlineStr">
        <is>
          <t>Negativo</t>
        </is>
      </c>
      <c r="F2264" s="111" t="n">
        <v>45504</v>
      </c>
      <c r="G2264" t="n">
        <v>2024</v>
      </c>
      <c r="H2264" t="inlineStr">
        <is>
          <t>Julio</t>
        </is>
      </c>
      <c r="I2264" t="inlineStr">
        <is>
          <t>2024-2</t>
        </is>
      </c>
      <c r="J2264" t="n">
        <v>14</v>
      </c>
      <c r="K2264" t="n">
        <v>9.4</v>
      </c>
      <c r="L2264" s="39">
        <f>IFERROR(IF(OR(J2264=0,K2264=""),"",IF(E2264="Positivo",MIN(MAX(K2264/J2264,0),1.3),MIN(MAX(J2264/K2264,0),1.3))),"") </f>
        <v/>
      </c>
      <c r="M2264" s="39">
        <f>IFERROR(IF(OR(J2264=0,K2264=""),"",IF(E2264="Positivo",MAX(K2264/J2264,0),MAX(J2264/K2264,0))),"") </f>
        <v/>
      </c>
      <c r="N2264" t="inlineStr">
        <is>
          <t>Días</t>
        </is>
      </c>
      <c r="O2264" t="inlineStr">
        <is>
          <t>Días</t>
        </is>
      </c>
      <c r="P2264" t="n">
        <v>0</v>
      </c>
      <c r="Q2264" t="n">
        <v>0</v>
      </c>
      <c r="R2264" t="inlineStr">
        <is>
          <t>436-2024-07-31</t>
        </is>
      </c>
    </row>
    <row r="2265">
      <c r="A2265" t="n">
        <v>436</v>
      </c>
      <c r="B2265" t="inlineStr">
        <is>
          <t>ANS documentos operativos</t>
        </is>
      </c>
      <c r="C2265" t="inlineStr">
        <is>
          <t>Gestión de calidad</t>
        </is>
      </c>
      <c r="D2265" t="inlineStr">
        <is>
          <t>Mensual</t>
        </is>
      </c>
      <c r="E2265" t="inlineStr">
        <is>
          <t>Negativo</t>
        </is>
      </c>
      <c r="F2265" s="111" t="n">
        <v>45535</v>
      </c>
      <c r="G2265" t="n">
        <v>2024</v>
      </c>
      <c r="H2265" t="inlineStr">
        <is>
          <t>Agosto</t>
        </is>
      </c>
      <c r="I2265" t="inlineStr">
        <is>
          <t>2024-2</t>
        </is>
      </c>
      <c r="J2265" t="n">
        <v>14</v>
      </c>
      <c r="K2265" t="n">
        <v>8.5</v>
      </c>
      <c r="L2265" s="39">
        <f>IFERROR(IF(OR(J2265=0,K2265=""),"",IF(E2265="Positivo",MIN(MAX(K2265/J2265,0),1.3),MIN(MAX(J2265/K2265,0),1.3))),"") </f>
        <v/>
      </c>
      <c r="M2265" s="39">
        <f>IFERROR(IF(OR(J2265=0,K2265=""),"",IF(E2265="Positivo",MAX(K2265/J2265,0),MAX(J2265/K2265,0))),"") </f>
        <v/>
      </c>
      <c r="N2265" t="inlineStr">
        <is>
          <t>Días</t>
        </is>
      </c>
      <c r="O2265" t="inlineStr">
        <is>
          <t>Días</t>
        </is>
      </c>
      <c r="P2265" t="n">
        <v>0</v>
      </c>
      <c r="Q2265" t="n">
        <v>0</v>
      </c>
      <c r="R2265" t="inlineStr">
        <is>
          <t>436-2024-08-31</t>
        </is>
      </c>
    </row>
    <row r="2266">
      <c r="A2266" t="n">
        <v>436</v>
      </c>
      <c r="B2266" t="inlineStr">
        <is>
          <t>ANS documentos operativos</t>
        </is>
      </c>
      <c r="C2266" t="inlineStr">
        <is>
          <t>Gestión de calidad</t>
        </is>
      </c>
      <c r="D2266" t="inlineStr">
        <is>
          <t>Mensual</t>
        </is>
      </c>
      <c r="E2266" t="inlineStr">
        <is>
          <t>Negativo</t>
        </is>
      </c>
      <c r="F2266" s="111" t="n">
        <v>45565</v>
      </c>
      <c r="G2266" t="n">
        <v>2024</v>
      </c>
      <c r="H2266" t="inlineStr">
        <is>
          <t>Septiembre</t>
        </is>
      </c>
      <c r="I2266" t="inlineStr">
        <is>
          <t>2024-2</t>
        </is>
      </c>
      <c r="J2266" t="n">
        <v>14</v>
      </c>
      <c r="K2266" t="n">
        <v>10.5</v>
      </c>
      <c r="L2266" s="39">
        <f>IFERROR(IF(OR(J2266=0,K2266=""),"",IF(E2266="Positivo",MIN(MAX(K2266/J2266,0),1.3),MIN(MAX(J2266/K2266,0),1.3))),"") </f>
        <v/>
      </c>
      <c r="M2266" s="39">
        <f>IFERROR(IF(OR(J2266=0,K2266=""),"",IF(E2266="Positivo",MAX(K2266/J2266,0),MAX(J2266/K2266,0))),"") </f>
        <v/>
      </c>
      <c r="N2266" t="inlineStr">
        <is>
          <t>Días</t>
        </is>
      </c>
      <c r="O2266" t="inlineStr">
        <is>
          <t>Días</t>
        </is>
      </c>
      <c r="P2266" t="n">
        <v>0</v>
      </c>
      <c r="Q2266" t="n">
        <v>0</v>
      </c>
      <c r="R2266" t="inlineStr">
        <is>
          <t>436-2024-09-30</t>
        </is>
      </c>
    </row>
    <row r="2267">
      <c r="A2267" t="n">
        <v>436</v>
      </c>
      <c r="B2267" t="inlineStr">
        <is>
          <t>ANS documentos operativos</t>
        </is>
      </c>
      <c r="C2267" t="inlineStr">
        <is>
          <t>Gestión de calidad</t>
        </is>
      </c>
      <c r="D2267" t="inlineStr">
        <is>
          <t>Mensual</t>
        </is>
      </c>
      <c r="E2267" t="inlineStr">
        <is>
          <t>Negativo</t>
        </is>
      </c>
      <c r="F2267" s="111" t="n">
        <v>45596</v>
      </c>
      <c r="G2267" t="n">
        <v>2024</v>
      </c>
      <c r="H2267" t="inlineStr">
        <is>
          <t>Octubre</t>
        </is>
      </c>
      <c r="I2267" t="inlineStr">
        <is>
          <t>2024-2</t>
        </is>
      </c>
      <c r="J2267" t="n">
        <v>14</v>
      </c>
      <c r="K2267" t="n">
        <v>8</v>
      </c>
      <c r="L2267" s="39">
        <f>IFERROR(IF(OR(J2267=0,K2267=""),"",IF(E2267="Positivo",MIN(MAX(K2267/J2267,0),1.3),MIN(MAX(J2267/K2267,0),1.3))),"") </f>
        <v/>
      </c>
      <c r="M2267" s="39">
        <f>IFERROR(IF(OR(J2267=0,K2267=""),"",IF(E2267="Positivo",MAX(K2267/J2267,0),MAX(J2267/K2267,0))),"") </f>
        <v/>
      </c>
      <c r="N2267" t="inlineStr">
        <is>
          <t>Días</t>
        </is>
      </c>
      <c r="O2267" t="inlineStr">
        <is>
          <t>Días</t>
        </is>
      </c>
      <c r="P2267" t="n">
        <v>0</v>
      </c>
      <c r="Q2267" t="n">
        <v>0</v>
      </c>
      <c r="R2267" t="inlineStr">
        <is>
          <t>436-2024-10-31</t>
        </is>
      </c>
    </row>
    <row r="2268">
      <c r="A2268" t="n">
        <v>436</v>
      </c>
      <c r="B2268" t="inlineStr">
        <is>
          <t>ANS documentos operativos</t>
        </is>
      </c>
      <c r="C2268" t="inlineStr">
        <is>
          <t>Gestión de calidad</t>
        </is>
      </c>
      <c r="D2268" t="inlineStr">
        <is>
          <t>Mensual</t>
        </is>
      </c>
      <c r="E2268" t="inlineStr">
        <is>
          <t>Negativo</t>
        </is>
      </c>
      <c r="F2268" s="111" t="n">
        <v>45626</v>
      </c>
      <c r="G2268" t="n">
        <v>2024</v>
      </c>
      <c r="H2268" t="inlineStr">
        <is>
          <t>Noviembre</t>
        </is>
      </c>
      <c r="I2268" t="inlineStr">
        <is>
          <t>2024-2</t>
        </is>
      </c>
      <c r="J2268" t="n">
        <v>14</v>
      </c>
      <c r="K2268" t="n">
        <v>10</v>
      </c>
      <c r="L2268" s="39">
        <f>IFERROR(IF(OR(J2268=0,K2268=""),"",IF(E2268="Positivo",MIN(MAX(K2268/J2268,0),1.3),MIN(MAX(J2268/K2268,0),1.3))),"") </f>
        <v/>
      </c>
      <c r="M2268" s="39">
        <f>IFERROR(IF(OR(J2268=0,K2268=""),"",IF(E2268="Positivo",MAX(K2268/J2268,0),MAX(J2268/K2268,0))),"") </f>
        <v/>
      </c>
      <c r="N2268" t="inlineStr">
        <is>
          <t>Días</t>
        </is>
      </c>
      <c r="O2268" t="inlineStr">
        <is>
          <t>Días</t>
        </is>
      </c>
      <c r="P2268" t="n">
        <v>0</v>
      </c>
      <c r="Q2268" t="n">
        <v>0</v>
      </c>
      <c r="R2268" t="inlineStr">
        <is>
          <t>436-2024-11-30</t>
        </is>
      </c>
    </row>
    <row r="2269">
      <c r="A2269" t="n">
        <v>436</v>
      </c>
      <c r="B2269" t="inlineStr">
        <is>
          <t>ANS documentos operativos</t>
        </is>
      </c>
      <c r="C2269" t="inlineStr">
        <is>
          <t>Gestión de calidad</t>
        </is>
      </c>
      <c r="D2269" t="inlineStr">
        <is>
          <t>Mensual</t>
        </is>
      </c>
      <c r="E2269" t="inlineStr">
        <is>
          <t>Negativo</t>
        </is>
      </c>
      <c r="F2269" s="111" t="n">
        <v>45657</v>
      </c>
      <c r="G2269" t="n">
        <v>2024</v>
      </c>
      <c r="H2269" t="inlineStr">
        <is>
          <t>Diciembre</t>
        </is>
      </c>
      <c r="I2269" t="inlineStr">
        <is>
          <t>2024-2</t>
        </is>
      </c>
      <c r="J2269" t="n">
        <v>14</v>
      </c>
      <c r="K2269" t="n">
        <v>16.97</v>
      </c>
      <c r="L2269" s="39">
        <f>IFERROR(IF(OR(J2269=0,K2269=""),"",IF(E2269="Positivo",MIN(MAX(K2269/J2269,0),1.3),MIN(MAX(J2269/K2269,0),1.3))),"") </f>
        <v/>
      </c>
      <c r="M2269" s="39">
        <f>IFERROR(IF(OR(J2269=0,K2269=""),"",IF(E2269="Positivo",MAX(K2269/J2269,0),MAX(J2269/K2269,0))),"") </f>
        <v/>
      </c>
      <c r="N2269" t="inlineStr">
        <is>
          <t>Días</t>
        </is>
      </c>
      <c r="O2269" t="inlineStr">
        <is>
          <t>Días</t>
        </is>
      </c>
      <c r="P2269" t="n">
        <v>0</v>
      </c>
      <c r="Q2269" t="n">
        <v>0</v>
      </c>
      <c r="R2269" t="inlineStr">
        <is>
          <t>436-2024-12-31</t>
        </is>
      </c>
    </row>
    <row r="2270">
      <c r="A2270" t="n">
        <v>436</v>
      </c>
      <c r="B2270" t="inlineStr">
        <is>
          <t>ANS documentos operativos</t>
        </is>
      </c>
      <c r="C2270" t="inlineStr">
        <is>
          <t>Gestión de calidad</t>
        </is>
      </c>
      <c r="D2270" t="inlineStr">
        <is>
          <t>Mensual</t>
        </is>
      </c>
      <c r="E2270" t="inlineStr">
        <is>
          <t>Negativo</t>
        </is>
      </c>
      <c r="F2270" s="111" t="n">
        <v>45688</v>
      </c>
      <c r="G2270" t="n">
        <v>2025</v>
      </c>
      <c r="H2270" t="inlineStr">
        <is>
          <t>Enero</t>
        </is>
      </c>
      <c r="I2270" t="inlineStr">
        <is>
          <t>2025-1</t>
        </is>
      </c>
      <c r="J2270" t="n">
        <v>14</v>
      </c>
      <c r="K2270" t="n">
        <v>9.199999999999999</v>
      </c>
      <c r="L2270" s="39">
        <f>IFERROR(IF(OR(J2270=0,K2270=""),"",IF(E2270="Positivo",MIN(MAX(K2270/J2270,0),1.3),MIN(MAX(J2270/K2270,0),1.3))),"") </f>
        <v/>
      </c>
      <c r="M2270" s="39">
        <f>IFERROR(IF(OR(J2270=0,K2270=""),"",IF(E2270="Positivo",MAX(K2270/J2270,0),MAX(J2270/K2270,0))),"") </f>
        <v/>
      </c>
      <c r="N2270" t="inlineStr">
        <is>
          <t>Días</t>
        </is>
      </c>
      <c r="O2270" t="inlineStr">
        <is>
          <t>Días</t>
        </is>
      </c>
      <c r="P2270" t="n">
        <v>0</v>
      </c>
      <c r="Q2270" t="n">
        <v>0</v>
      </c>
      <c r="R2270" t="inlineStr">
        <is>
          <t>436-2025-01-31</t>
        </is>
      </c>
    </row>
    <row r="2271">
      <c r="A2271" t="n">
        <v>436</v>
      </c>
      <c r="B2271" t="inlineStr">
        <is>
          <t>ANS documentos operativos</t>
        </is>
      </c>
      <c r="C2271" t="inlineStr">
        <is>
          <t>Gestión de calidad</t>
        </is>
      </c>
      <c r="D2271" t="inlineStr">
        <is>
          <t>Mensual</t>
        </is>
      </c>
      <c r="E2271" t="inlineStr">
        <is>
          <t>Negativo</t>
        </is>
      </c>
      <c r="F2271" s="111" t="n">
        <v>45716</v>
      </c>
      <c r="G2271" t="n">
        <v>2025</v>
      </c>
      <c r="H2271" t="inlineStr">
        <is>
          <t>Febrero</t>
        </is>
      </c>
      <c r="I2271" t="inlineStr">
        <is>
          <t>2025-1</t>
        </is>
      </c>
      <c r="J2271" t="n">
        <v>14</v>
      </c>
      <c r="K2271" t="n">
        <v>3.34</v>
      </c>
      <c r="L2271" s="39">
        <f>IFERROR(IF(OR(J2271=0,K2271=""),"",IF(E2271="Positivo",MIN(MAX(K2271/J2271,0),1.3),MIN(MAX(J2271/K2271,0),1.3))),"") </f>
        <v/>
      </c>
      <c r="M2271" s="39">
        <f>IFERROR(IF(OR(J2271=0,K2271=""),"",IF(E2271="Positivo",MAX(K2271/J2271,0),MAX(J2271/K2271,0))),"") </f>
        <v/>
      </c>
      <c r="N2271" t="inlineStr">
        <is>
          <t>Días</t>
        </is>
      </c>
      <c r="O2271" t="inlineStr">
        <is>
          <t>Días</t>
        </is>
      </c>
      <c r="P2271" t="n">
        <v>0</v>
      </c>
      <c r="Q2271" t="n">
        <v>0</v>
      </c>
      <c r="R2271" t="inlineStr">
        <is>
          <t>436-2025-02-28</t>
        </is>
      </c>
    </row>
    <row r="2272">
      <c r="A2272" t="n">
        <v>436</v>
      </c>
      <c r="B2272" t="inlineStr">
        <is>
          <t>ANS documentos operativos</t>
        </is>
      </c>
      <c r="C2272" t="inlineStr">
        <is>
          <t>Gestión de calidad</t>
        </is>
      </c>
      <c r="D2272" t="inlineStr">
        <is>
          <t>Mensual</t>
        </is>
      </c>
      <c r="E2272" t="inlineStr">
        <is>
          <t>Negativo</t>
        </is>
      </c>
      <c r="F2272" s="111" t="n">
        <v>45747</v>
      </c>
      <c r="G2272" t="n">
        <v>2025</v>
      </c>
      <c r="H2272" t="inlineStr">
        <is>
          <t>Marzo</t>
        </is>
      </c>
      <c r="I2272" t="inlineStr">
        <is>
          <t>2025-1</t>
        </is>
      </c>
      <c r="J2272" t="n">
        <v>14</v>
      </c>
      <c r="K2272" t="n">
        <v>10.6</v>
      </c>
      <c r="L2272" s="39">
        <f>IFERROR(IF(OR(J2272=0,K2272=""),"",IF(E2272="Positivo",MIN(MAX(K2272/J2272,0),1.3),MIN(MAX(J2272/K2272,0),1.3))),"") </f>
        <v/>
      </c>
      <c r="M2272" s="39">
        <f>IFERROR(IF(OR(J2272=0,K2272=""),"",IF(E2272="Positivo",MAX(K2272/J2272,0),MAX(J2272/K2272,0))),"") </f>
        <v/>
      </c>
      <c r="N2272" t="inlineStr">
        <is>
          <t>Días</t>
        </is>
      </c>
      <c r="O2272" t="inlineStr">
        <is>
          <t>Días</t>
        </is>
      </c>
      <c r="P2272" t="n">
        <v>0</v>
      </c>
      <c r="Q2272" t="n">
        <v>0</v>
      </c>
      <c r="R2272" t="inlineStr">
        <is>
          <t>436-2025-03-31</t>
        </is>
      </c>
    </row>
    <row r="2273">
      <c r="A2273" t="n">
        <v>436</v>
      </c>
      <c r="B2273" t="inlineStr">
        <is>
          <t>ANS documentos operativos</t>
        </is>
      </c>
      <c r="C2273" t="inlineStr">
        <is>
          <t>Gestión de calidad</t>
        </is>
      </c>
      <c r="D2273" t="inlineStr">
        <is>
          <t>Mensual</t>
        </is>
      </c>
      <c r="E2273" t="inlineStr">
        <is>
          <t>Negativo</t>
        </is>
      </c>
      <c r="F2273" s="111" t="n">
        <v>45777</v>
      </c>
      <c r="G2273" t="n">
        <v>2025</v>
      </c>
      <c r="H2273" t="inlineStr">
        <is>
          <t>Abril</t>
        </is>
      </c>
      <c r="I2273" t="inlineStr">
        <is>
          <t>2025-1</t>
        </is>
      </c>
      <c r="J2273" t="n">
        <v>14</v>
      </c>
      <c r="K2273" t="n">
        <v>6.4</v>
      </c>
      <c r="L2273" s="39">
        <f>IFERROR(IF(OR(J2273=0,K2273=""),"",IF(E2273="Positivo",MIN(MAX(K2273/J2273,0),1.3),MIN(MAX(J2273/K2273,0),1.3))),"") </f>
        <v/>
      </c>
      <c r="M2273" s="39">
        <f>IFERROR(IF(OR(J2273=0,K2273=""),"",IF(E2273="Positivo",MAX(K2273/J2273,0),MAX(J2273/K2273,0))),"") </f>
        <v/>
      </c>
      <c r="N2273" t="inlineStr">
        <is>
          <t>Días</t>
        </is>
      </c>
      <c r="O2273" t="inlineStr">
        <is>
          <t>Días</t>
        </is>
      </c>
      <c r="P2273" t="n">
        <v>0</v>
      </c>
      <c r="Q2273" t="n">
        <v>0</v>
      </c>
      <c r="R2273" t="inlineStr">
        <is>
          <t>436-2025-04-30</t>
        </is>
      </c>
    </row>
    <row r="2274">
      <c r="A2274" t="n">
        <v>436</v>
      </c>
      <c r="B2274" t="inlineStr">
        <is>
          <t>ANS documentos operativos</t>
        </is>
      </c>
      <c r="C2274" t="inlineStr">
        <is>
          <t>Gestión de calidad</t>
        </is>
      </c>
      <c r="D2274" t="inlineStr">
        <is>
          <t>Mensual</t>
        </is>
      </c>
      <c r="E2274" t="inlineStr">
        <is>
          <t>Negativo</t>
        </is>
      </c>
      <c r="F2274" s="111" t="n">
        <v>45808</v>
      </c>
      <c r="G2274" t="n">
        <v>2025</v>
      </c>
      <c r="H2274" t="inlineStr">
        <is>
          <t>Mayo</t>
        </is>
      </c>
      <c r="I2274" t="inlineStr">
        <is>
          <t>2025-1</t>
        </is>
      </c>
      <c r="J2274" t="n">
        <v>14</v>
      </c>
      <c r="K2274" t="n">
        <v>10.17</v>
      </c>
      <c r="L2274" s="39">
        <f>IFERROR(IF(OR(J2274=0,K2274=""),"",IF(E2274="Positivo",MIN(MAX(K2274/J2274,0),1.3),MIN(MAX(J2274/K2274,0),1.3))),"") </f>
        <v/>
      </c>
      <c r="M2274" s="39">
        <f>IFERROR(IF(OR(J2274=0,K2274=""),"",IF(E2274="Positivo",MAX(K2274/J2274,0),MAX(J2274/K2274,0))),"") </f>
        <v/>
      </c>
      <c r="N2274" t="inlineStr">
        <is>
          <t>Días</t>
        </is>
      </c>
      <c r="O2274" t="inlineStr">
        <is>
          <t>Días</t>
        </is>
      </c>
      <c r="P2274" t="n">
        <v>0</v>
      </c>
      <c r="Q2274" t="n">
        <v>0</v>
      </c>
      <c r="R2274" t="inlineStr">
        <is>
          <t>436-2025-05-31</t>
        </is>
      </c>
    </row>
    <row r="2275">
      <c r="A2275" t="n">
        <v>436</v>
      </c>
      <c r="B2275" t="inlineStr">
        <is>
          <t>ANS documentos operativos</t>
        </is>
      </c>
      <c r="C2275" t="inlineStr">
        <is>
          <t>Gestión de calidad</t>
        </is>
      </c>
      <c r="D2275" t="inlineStr">
        <is>
          <t>Mensual</t>
        </is>
      </c>
      <c r="E2275" t="inlineStr">
        <is>
          <t>Negativo</t>
        </is>
      </c>
      <c r="F2275" s="111" t="n">
        <v>45838</v>
      </c>
      <c r="G2275" t="n">
        <v>2025</v>
      </c>
      <c r="H2275" t="inlineStr">
        <is>
          <t>Junio</t>
        </is>
      </c>
      <c r="I2275" t="inlineStr">
        <is>
          <t>2025-1</t>
        </is>
      </c>
      <c r="J2275" t="n">
        <v>14</v>
      </c>
      <c r="K2275" t="n">
        <v>11.93</v>
      </c>
      <c r="L2275" s="39">
        <f>IFERROR(IF(OR(J2275=0,K2275=""),"",IF(E2275="Positivo",MIN(MAX(K2275/J2275,0),1.3),MIN(MAX(J2275/K2275,0),1.3))),"") </f>
        <v/>
      </c>
      <c r="M2275" s="39">
        <f>IFERROR(IF(OR(J2275=0,K2275=""),"",IF(E2275="Positivo",MAX(K2275/J2275,0),MAX(J2275/K2275,0))),"") </f>
        <v/>
      </c>
      <c r="N2275" t="inlineStr">
        <is>
          <t>Días</t>
        </is>
      </c>
      <c r="O2275" t="inlineStr">
        <is>
          <t>Días</t>
        </is>
      </c>
      <c r="P2275" t="n">
        <v>0</v>
      </c>
      <c r="Q2275" t="n">
        <v>0</v>
      </c>
      <c r="R2275" t="inlineStr">
        <is>
          <t>436-2025-06-30</t>
        </is>
      </c>
    </row>
    <row r="2276">
      <c r="A2276" t="n">
        <v>436</v>
      </c>
      <c r="B2276" t="inlineStr">
        <is>
          <t>ANS documentos operativos</t>
        </is>
      </c>
      <c r="C2276" t="inlineStr">
        <is>
          <t>Gestión de calidad</t>
        </is>
      </c>
      <c r="D2276" t="inlineStr">
        <is>
          <t>Mensual</t>
        </is>
      </c>
      <c r="E2276" t="inlineStr">
        <is>
          <t>Negativo</t>
        </is>
      </c>
      <c r="F2276" s="111" t="n">
        <v>45869</v>
      </c>
      <c r="G2276" t="n">
        <v>2025</v>
      </c>
      <c r="H2276" t="inlineStr">
        <is>
          <t>Julio</t>
        </is>
      </c>
      <c r="I2276" t="inlineStr">
        <is>
          <t>2025-2</t>
        </is>
      </c>
      <c r="J2276" t="n">
        <v>14</v>
      </c>
      <c r="K2276" t="n">
        <v>13.41</v>
      </c>
      <c r="L2276" s="39">
        <f>IFERROR(IF(OR(J2276=0,K2276=""),"",IF(E2276="Positivo",MIN(MAX(K2276/J2276,0),1.3),MIN(MAX(J2276/K2276,0),1.3))),"") </f>
        <v/>
      </c>
      <c r="M2276" s="39">
        <f>IFERROR(IF(OR(J2276=0,K2276=""),"",IF(E2276="Positivo",MAX(K2276/J2276,0),MAX(J2276/K2276,0))),"") </f>
        <v/>
      </c>
      <c r="N2276" t="inlineStr">
        <is>
          <t>Días</t>
        </is>
      </c>
      <c r="O2276" t="inlineStr">
        <is>
          <t>Días</t>
        </is>
      </c>
      <c r="P2276" t="n">
        <v>0</v>
      </c>
      <c r="Q2276" t="n">
        <v>0</v>
      </c>
      <c r="R2276" t="inlineStr">
        <is>
          <t>436-2025-07-31</t>
        </is>
      </c>
    </row>
    <row r="2277">
      <c r="A2277" t="n">
        <v>436</v>
      </c>
      <c r="B2277" t="inlineStr">
        <is>
          <t>ANS documentos operativos</t>
        </is>
      </c>
      <c r="C2277" t="inlineStr">
        <is>
          <t>Gestión de calidad</t>
        </is>
      </c>
      <c r="D2277" t="inlineStr">
        <is>
          <t>Mensual</t>
        </is>
      </c>
      <c r="E2277" t="inlineStr">
        <is>
          <t>Negativo</t>
        </is>
      </c>
      <c r="F2277" s="111" t="n">
        <v>45900</v>
      </c>
      <c r="G2277" t="n">
        <v>2025</v>
      </c>
      <c r="H2277" t="inlineStr">
        <is>
          <t>Agosto</t>
        </is>
      </c>
      <c r="I2277" t="inlineStr">
        <is>
          <t>2025-2</t>
        </is>
      </c>
      <c r="J2277" t="n">
        <v>14</v>
      </c>
      <c r="K2277" t="n">
        <v>14.17</v>
      </c>
      <c r="L2277" s="39">
        <f>IFERROR(IF(OR(J2277=0,K2277=""),"",IF(E2277="Positivo",MIN(MAX(K2277/J2277,0),1.3),MIN(MAX(J2277/K2277,0),1.3))),"") </f>
        <v/>
      </c>
      <c r="M2277" s="39">
        <f>IFERROR(IF(OR(J2277=0,K2277=""),"",IF(E2277="Positivo",MAX(K2277/J2277,0),MAX(J2277/K2277,0))),"") </f>
        <v/>
      </c>
      <c r="N2277" t="inlineStr">
        <is>
          <t>Días</t>
        </is>
      </c>
      <c r="O2277" t="inlineStr">
        <is>
          <t>Días</t>
        </is>
      </c>
      <c r="P2277" t="n">
        <v>0</v>
      </c>
      <c r="Q2277" t="n">
        <v>0</v>
      </c>
      <c r="R2277" t="inlineStr">
        <is>
          <t>436-2025-08-31</t>
        </is>
      </c>
    </row>
    <row r="2278">
      <c r="A2278" t="n">
        <v>436</v>
      </c>
      <c r="B2278" t="inlineStr">
        <is>
          <t>ANS documentos operativos</t>
        </is>
      </c>
      <c r="C2278" t="inlineStr">
        <is>
          <t>Gestión de calidad</t>
        </is>
      </c>
      <c r="D2278" t="inlineStr">
        <is>
          <t>Mensual</t>
        </is>
      </c>
      <c r="E2278" t="inlineStr">
        <is>
          <t>Negativo</t>
        </is>
      </c>
      <c r="F2278" s="111" t="n">
        <v>45930</v>
      </c>
      <c r="G2278" t="n">
        <v>2025</v>
      </c>
      <c r="H2278" t="inlineStr">
        <is>
          <t>Septiembre</t>
        </is>
      </c>
      <c r="I2278" t="inlineStr">
        <is>
          <t>2025-2</t>
        </is>
      </c>
      <c r="J2278" t="n">
        <v>14</v>
      </c>
      <c r="K2278" t="n">
        <v>7.08</v>
      </c>
      <c r="L2278" s="39">
        <f>IFERROR(IF(OR(J2278=0,K2278=""),"",IF(E2278="Positivo",MIN(MAX(K2278/J2278,0),1.3),MIN(MAX(J2278/K2278,0),1.3))),"") </f>
        <v/>
      </c>
      <c r="M2278" s="39">
        <f>IFERROR(IF(OR(J2278=0,K2278=""),"",IF(E2278="Positivo",MAX(K2278/J2278,0),MAX(J2278/K2278,0))),"") </f>
        <v/>
      </c>
      <c r="N2278" t="inlineStr">
        <is>
          <t>Días</t>
        </is>
      </c>
      <c r="O2278" t="inlineStr">
        <is>
          <t>Días</t>
        </is>
      </c>
      <c r="P2278" t="n">
        <v>0</v>
      </c>
      <c r="Q2278" t="n">
        <v>1</v>
      </c>
      <c r="R2278" t="inlineStr">
        <is>
          <t>436-2025-09-30</t>
        </is>
      </c>
    </row>
    <row r="2279">
      <c r="A2279" t="n">
        <v>436</v>
      </c>
      <c r="B2279" t="inlineStr">
        <is>
          <t>ANS documentos operativos</t>
        </is>
      </c>
      <c r="C2279" t="inlineStr">
        <is>
          <t>Gestión de calidad</t>
        </is>
      </c>
      <c r="D2279" t="inlineStr">
        <is>
          <t>Mensual</t>
        </is>
      </c>
      <c r="E2279" t="inlineStr">
        <is>
          <t>Negativo</t>
        </is>
      </c>
      <c r="F2279" s="111" t="n">
        <v>45961</v>
      </c>
      <c r="G2279" t="n">
        <v>2025</v>
      </c>
      <c r="H2279" t="inlineStr">
        <is>
          <t>Octubre</t>
        </is>
      </c>
      <c r="I2279" t="inlineStr">
        <is>
          <t>2025-2</t>
        </is>
      </c>
      <c r="J2279" t="n">
        <v>14</v>
      </c>
      <c r="K2279" t="n">
        <v>15.49</v>
      </c>
      <c r="L2279" s="39">
        <f>IFERROR(IF(OR(J2279=0,K2279=""),"",IF(E2279="Positivo",MIN(MAX(K2279/J2279,0),1.3),MIN(MAX(J2279/K2279,0),1.3))),"") </f>
        <v/>
      </c>
      <c r="M2279" s="39">
        <f>IFERROR(IF(OR(J2279=0,K2279=""),"",IF(E2279="Positivo",MAX(K2279/J2279,0),MAX(J2279/K2279,0))),"") </f>
        <v/>
      </c>
      <c r="N2279" t="inlineStr">
        <is>
          <t>Días</t>
        </is>
      </c>
      <c r="O2279" t="inlineStr">
        <is>
          <t>Días</t>
        </is>
      </c>
      <c r="P2279" t="n">
        <v>0</v>
      </c>
      <c r="Q2279" t="n">
        <v>1</v>
      </c>
      <c r="R2279" t="inlineStr">
        <is>
          <t>436-2025-10-31</t>
        </is>
      </c>
    </row>
    <row r="2280">
      <c r="A2280" t="n">
        <v>436</v>
      </c>
      <c r="B2280" t="inlineStr">
        <is>
          <t>ANS documentos operativos</t>
        </is>
      </c>
      <c r="C2280" t="inlineStr">
        <is>
          <t>Gestión de calidad</t>
        </is>
      </c>
      <c r="D2280" t="inlineStr">
        <is>
          <t>Mensual</t>
        </is>
      </c>
      <c r="E2280" t="inlineStr">
        <is>
          <t>Negativo</t>
        </is>
      </c>
      <c r="F2280" s="111" t="n">
        <v>45991</v>
      </c>
      <c r="G2280" t="n">
        <v>2025</v>
      </c>
      <c r="H2280" t="inlineStr">
        <is>
          <t>Noviembre</t>
        </is>
      </c>
      <c r="I2280" t="inlineStr">
        <is>
          <t>2025-2</t>
        </is>
      </c>
      <c r="J2280" t="n">
        <v>14</v>
      </c>
      <c r="K2280" t="n">
        <v>8.119999999999999</v>
      </c>
      <c r="L2280" s="39">
        <f>IFERROR(IF(OR(J2280=0,K2280=""),"",IF(E2280="Positivo",MIN(MAX(K2280/J2280,0),1.3),MIN(MAX(J2280/K2280,0),1.3))),"") </f>
        <v/>
      </c>
      <c r="M2280" s="39">
        <f>IFERROR(IF(OR(J2280=0,K2280=""),"",IF(E2280="Positivo",MAX(K2280/J2280,0),MAX(J2280/K2280,0))),"") </f>
        <v/>
      </c>
      <c r="N2280" t="inlineStr">
        <is>
          <t>Días</t>
        </is>
      </c>
      <c r="O2280" t="inlineStr">
        <is>
          <t>Días</t>
        </is>
      </c>
      <c r="P2280" t="n">
        <v>0</v>
      </c>
      <c r="Q2280" t="n">
        <v>1</v>
      </c>
      <c r="R2280" t="inlineStr">
        <is>
          <t>436-2025-11-30</t>
        </is>
      </c>
    </row>
    <row r="2281">
      <c r="A2281" t="n">
        <v>436</v>
      </c>
      <c r="B2281" t="inlineStr">
        <is>
          <t>ANS documentos operativos</t>
        </is>
      </c>
      <c r="C2281" t="inlineStr">
        <is>
          <t>Gestión de calidad</t>
        </is>
      </c>
      <c r="D2281" t="inlineStr">
        <is>
          <t>Mensual</t>
        </is>
      </c>
      <c r="E2281" t="inlineStr">
        <is>
          <t>Negativo</t>
        </is>
      </c>
      <c r="F2281" s="111" t="n">
        <v>46022</v>
      </c>
      <c r="G2281" t="n">
        <v>2025</v>
      </c>
      <c r="H2281" t="inlineStr">
        <is>
          <t>Diciembre</t>
        </is>
      </c>
      <c r="I2281" t="inlineStr">
        <is>
          <t>2025-2</t>
        </is>
      </c>
      <c r="J2281" t="n">
        <v>14</v>
      </c>
      <c r="K2281" t="n">
        <v>11.77</v>
      </c>
      <c r="L2281" s="39">
        <f>IFERROR(IF(OR(J2281=0,K2281=""),"",IF(E2281="Positivo",MIN(MAX(K2281/J2281,0),1.3),MIN(MAX(J2281/K2281,0),1.3))),"") </f>
        <v/>
      </c>
      <c r="M2281" s="39">
        <f>IFERROR(IF(OR(J2281=0,K2281=""),"",IF(E2281="Positivo",MAX(K2281/J2281,0),MAX(J2281/K2281,0))),"") </f>
        <v/>
      </c>
      <c r="N2281" t="inlineStr">
        <is>
          <t>Días</t>
        </is>
      </c>
      <c r="O2281" t="inlineStr">
        <is>
          <t>Días</t>
        </is>
      </c>
      <c r="P2281" t="n">
        <v>0</v>
      </c>
      <c r="Q2281" t="n">
        <v>1</v>
      </c>
      <c r="R2281" t="inlineStr">
        <is>
          <t>436-2025-12-31</t>
        </is>
      </c>
    </row>
    <row r="2282">
      <c r="A2282" t="n">
        <v>437</v>
      </c>
      <c r="B2282" t="inlineStr">
        <is>
          <t>Nivel de Satisfacción Servicios Prestados</t>
        </is>
      </c>
      <c r="C2282" t="inlineStr">
        <is>
          <t>GESTIÓN DE RIESGOS</t>
        </is>
      </c>
      <c r="D2282" t="inlineStr">
        <is>
          <t>Anual</t>
        </is>
      </c>
      <c r="E2282" t="inlineStr">
        <is>
          <t>Positivo</t>
        </is>
      </c>
      <c r="F2282" s="111" t="n">
        <v>45230</v>
      </c>
      <c r="G2282" t="n">
        <v>2023</v>
      </c>
      <c r="H2282" t="inlineStr">
        <is>
          <t>Octubre</t>
        </is>
      </c>
      <c r="I2282" t="inlineStr">
        <is>
          <t>2023-2</t>
        </is>
      </c>
      <c r="J2282" t="n">
        <v>80</v>
      </c>
      <c r="K2282" t="n">
        <v>96.239806704923</v>
      </c>
      <c r="L2282" s="39">
        <f>IFERROR(IF(OR(J2282=0,K2282=""),"",IF(E2282="Positivo",MIN(MAX(K2282/J2282,0),1.3),MIN(MAX(J2282/K2282,0),1.3))),"") </f>
        <v/>
      </c>
      <c r="M2282" s="39">
        <f>IFERROR(IF(OR(J2282=0,K2282=""),"",IF(E2282="Positivo",MAX(K2282/J2282,0),MAX(J2282/K2282,0))),"") </f>
        <v/>
      </c>
      <c r="N2282" t="inlineStr">
        <is>
          <t>%</t>
        </is>
      </c>
      <c r="O2282" t="inlineStr">
        <is>
          <t>%</t>
        </is>
      </c>
      <c r="P2282" t="n">
        <v>0</v>
      </c>
      <c r="Q2282" t="n">
        <v>0</v>
      </c>
      <c r="R2282" t="inlineStr">
        <is>
          <t>437-2023-10-31</t>
        </is>
      </c>
    </row>
    <row r="2283">
      <c r="A2283" t="n">
        <v>437</v>
      </c>
      <c r="B2283" t="inlineStr">
        <is>
          <t>Nivel de Satisfacción Servicios Prestados - Riesgos</t>
        </is>
      </c>
      <c r="C2283" t="inlineStr">
        <is>
          <t>GESTIÓN DE RIESGOS</t>
        </is>
      </c>
      <c r="D2283" t="inlineStr">
        <is>
          <t>Anual</t>
        </is>
      </c>
      <c r="E2283" t="inlineStr">
        <is>
          <t>Positivo</t>
        </is>
      </c>
      <c r="F2283" s="111" t="n">
        <v>45291</v>
      </c>
      <c r="G2283" t="n">
        <v>2023</v>
      </c>
      <c r="H2283" t="inlineStr">
        <is>
          <t>Diciembre</t>
        </is>
      </c>
      <c r="I2283" t="inlineStr">
        <is>
          <t>2023-2</t>
        </is>
      </c>
      <c r="J2283" t="n">
        <v>80</v>
      </c>
      <c r="K2283" t="n">
        <v>96</v>
      </c>
      <c r="L2283" s="39">
        <f>IFERROR(IF(OR(J2283=0,K2283=""),"",IF(E2283="Positivo",MIN(MAX(K2283/J2283,0),1.3),MIN(MAX(J2283/K2283,0),1.3))),"") </f>
        <v/>
      </c>
      <c r="M2283" s="39">
        <f>IFERROR(IF(OR(J2283=0,K2283=""),"",IF(E2283="Positivo",MAX(K2283/J2283,0),MAX(J2283/K2283,0))),"") </f>
        <v/>
      </c>
      <c r="N2283" t="inlineStr">
        <is>
          <t>%</t>
        </is>
      </c>
      <c r="O2283" t="inlineStr">
        <is>
          <t>%</t>
        </is>
      </c>
      <c r="P2283" t="n">
        <v>0</v>
      </c>
      <c r="Q2283" t="n">
        <v>0</v>
      </c>
      <c r="R2283" t="inlineStr">
        <is>
          <t>437-2023-12-31</t>
        </is>
      </c>
    </row>
    <row r="2284">
      <c r="A2284" t="n">
        <v>437</v>
      </c>
      <c r="B2284" t="inlineStr">
        <is>
          <t>Nivel de Satisfacción Servicios Prestados - Riesgos</t>
        </is>
      </c>
      <c r="C2284" t="inlineStr">
        <is>
          <t>GESTIÓN DE RIESGOS</t>
        </is>
      </c>
      <c r="D2284" t="inlineStr">
        <is>
          <t>Anual</t>
        </is>
      </c>
      <c r="E2284" t="inlineStr">
        <is>
          <t>Positivo</t>
        </is>
      </c>
      <c r="F2284" s="111" t="n">
        <v>45657</v>
      </c>
      <c r="G2284" t="n">
        <v>2024</v>
      </c>
      <c r="H2284" t="inlineStr">
        <is>
          <t>Diciembre</t>
        </is>
      </c>
      <c r="I2284" t="inlineStr">
        <is>
          <t>2024-2</t>
        </is>
      </c>
      <c r="J2284" t="n">
        <v>80</v>
      </c>
      <c r="K2284" t="n">
        <v>84</v>
      </c>
      <c r="L2284" s="39">
        <f>IFERROR(IF(OR(J2284=0,K2284=""),"",IF(E2284="Positivo",MIN(MAX(K2284/J2284,0),1.3),MIN(MAX(J2284/K2284,0),1.3))),"") </f>
        <v/>
      </c>
      <c r="M2284" s="39">
        <f>IFERROR(IF(OR(J2284=0,K2284=""),"",IF(E2284="Positivo",MAX(K2284/J2284,0),MAX(J2284/K2284,0))),"") </f>
        <v/>
      </c>
      <c r="N2284" t="inlineStr">
        <is>
          <t>%</t>
        </is>
      </c>
      <c r="O2284" t="inlineStr">
        <is>
          <t>%</t>
        </is>
      </c>
      <c r="P2284" t="n">
        <v>0</v>
      </c>
      <c r="Q2284" t="n">
        <v>0</v>
      </c>
      <c r="R2284" t="inlineStr">
        <is>
          <t>437-2024-12-31</t>
        </is>
      </c>
    </row>
    <row r="2285">
      <c r="A2285" t="n">
        <v>437</v>
      </c>
      <c r="B2285" t="inlineStr">
        <is>
          <t>Nivel de Satisfacción Servicios Prestados - Riesgos</t>
        </is>
      </c>
      <c r="C2285" t="inlineStr">
        <is>
          <t>GESTIÓN DE RIESGOS</t>
        </is>
      </c>
      <c r="D2285" t="inlineStr">
        <is>
          <t>Anual</t>
        </is>
      </c>
      <c r="E2285" t="inlineStr">
        <is>
          <t>Positivo</t>
        </is>
      </c>
      <c r="F2285" s="111" t="n">
        <v>46022</v>
      </c>
      <c r="G2285" t="n">
        <v>2025</v>
      </c>
      <c r="H2285" t="inlineStr">
        <is>
          <t>Diciembre</t>
        </is>
      </c>
      <c r="I2285" t="inlineStr">
        <is>
          <t>2025-2</t>
        </is>
      </c>
      <c r="J2285" t="n">
        <v>80</v>
      </c>
      <c r="K2285" t="n">
        <v>99</v>
      </c>
      <c r="L2285" s="39">
        <f>IFERROR(IF(OR(J2285=0,K2285=""),"",IF(E2285="Positivo",MIN(MAX(K2285/J2285,0),1.3),MIN(MAX(J2285/K2285,0),1.3))),"") </f>
        <v/>
      </c>
      <c r="M2285" s="39">
        <f>IFERROR(IF(OR(J2285=0,K2285=""),"",IF(E2285="Positivo",MAX(K2285/J2285,0),MAX(J2285/K2285,0))),"") </f>
        <v/>
      </c>
      <c r="N2285" t="inlineStr">
        <is>
          <t>%</t>
        </is>
      </c>
      <c r="O2285" t="inlineStr">
        <is>
          <t>%</t>
        </is>
      </c>
      <c r="P2285" t="n">
        <v>0</v>
      </c>
      <c r="Q2285" t="n">
        <v>0</v>
      </c>
      <c r="R2285" t="inlineStr">
        <is>
          <t>437-2025-12-31</t>
        </is>
      </c>
    </row>
    <row r="2286">
      <c r="A2286" t="n">
        <v>438</v>
      </c>
      <c r="B2286" t="inlineStr">
        <is>
          <t>Seguimiento de asignación docente a NRC Pregrado-Posgrado Virtual</t>
        </is>
      </c>
      <c r="C2286" t="inlineStr">
        <is>
          <t>Operaciones Académicas</t>
        </is>
      </c>
      <c r="D2286" t="inlineStr">
        <is>
          <t>Semestral</t>
        </is>
      </c>
      <c r="E2286" t="inlineStr">
        <is>
          <t>Positivo</t>
        </is>
      </c>
      <c r="F2286" s="111" t="n">
        <v>45291</v>
      </c>
      <c r="G2286" t="n">
        <v>2023</v>
      </c>
      <c r="H2286" t="inlineStr">
        <is>
          <t>Diciembre</t>
        </is>
      </c>
      <c r="I2286" t="inlineStr">
        <is>
          <t>2023-2</t>
        </is>
      </c>
      <c r="J2286" t="n">
        <v>100</v>
      </c>
      <c r="K2286" t="n">
        <v>100</v>
      </c>
      <c r="L2286" s="39">
        <f>IFERROR(IF(OR(J2286=0,K2286=""),"",IF(E2286="Positivo",MIN(MAX(K2286/J2286,0),1.3),MIN(MAX(J2286/K2286,0),1.3))),"") </f>
        <v/>
      </c>
      <c r="M2286" s="39">
        <f>IFERROR(IF(OR(J2286=0,K2286=""),"",IF(E2286="Positivo",MAX(K2286/J2286,0),MAX(J2286/K2286,0))),"") </f>
        <v/>
      </c>
      <c r="N2286" t="inlineStr">
        <is>
          <t>%</t>
        </is>
      </c>
      <c r="O2286" t="inlineStr">
        <is>
          <t>%</t>
        </is>
      </c>
      <c r="P2286" t="n">
        <v>0</v>
      </c>
      <c r="Q2286" t="n">
        <v>0</v>
      </c>
      <c r="R2286" t="inlineStr">
        <is>
          <t>438-2023-12-31</t>
        </is>
      </c>
    </row>
    <row r="2287">
      <c r="A2287" t="n">
        <v>439</v>
      </c>
      <c r="B2287" t="inlineStr">
        <is>
          <t>Disponibilidad de catálogo de asignaturas pregrado y posgrado virtual</t>
        </is>
      </c>
      <c r="C2287" t="inlineStr">
        <is>
          <t>Operaciones Académicas</t>
        </is>
      </c>
      <c r="D2287" t="inlineStr">
        <is>
          <t>Trimestral</t>
        </is>
      </c>
      <c r="E2287" t="inlineStr">
        <is>
          <t>Positivo</t>
        </is>
      </c>
      <c r="F2287" s="111" t="n">
        <v>45016</v>
      </c>
      <c r="G2287" t="n">
        <v>2023</v>
      </c>
      <c r="H2287" t="inlineStr">
        <is>
          <t>Marzo</t>
        </is>
      </c>
      <c r="I2287" t="inlineStr">
        <is>
          <t>2023-1</t>
        </is>
      </c>
      <c r="L2287" s="39" t="n"/>
      <c r="M2287" s="39" t="n"/>
      <c r="N2287" t="inlineStr">
        <is>
          <t>%</t>
        </is>
      </c>
      <c r="O2287" t="inlineStr">
        <is>
          <t>No Aplica</t>
        </is>
      </c>
      <c r="P2287" t="n">
        <v>0</v>
      </c>
      <c r="Q2287" t="n">
        <v>0</v>
      </c>
      <c r="R2287" t="inlineStr">
        <is>
          <t>439-2023-03-31</t>
        </is>
      </c>
      <c r="S2287" t="inlineStr">
        <is>
          <t>No Aplica</t>
        </is>
      </c>
    </row>
    <row r="2288">
      <c r="A2288" t="n">
        <v>439</v>
      </c>
      <c r="B2288" t="inlineStr">
        <is>
          <t>Disponibilidad de catálogo de asignaturas pregrado y posgrado virtual</t>
        </is>
      </c>
      <c r="C2288" t="inlineStr">
        <is>
          <t>Operaciones Académicas</t>
        </is>
      </c>
      <c r="D2288" t="inlineStr">
        <is>
          <t>Trimestral</t>
        </is>
      </c>
      <c r="E2288" t="inlineStr">
        <is>
          <t>Positivo</t>
        </is>
      </c>
      <c r="F2288" s="111" t="n">
        <v>45107</v>
      </c>
      <c r="G2288" t="n">
        <v>2023</v>
      </c>
      <c r="H2288" t="inlineStr">
        <is>
          <t>Junio</t>
        </is>
      </c>
      <c r="I2288" t="inlineStr">
        <is>
          <t>2023-1</t>
        </is>
      </c>
      <c r="L2288" s="39" t="n"/>
      <c r="M2288" s="39" t="n"/>
      <c r="N2288" t="inlineStr">
        <is>
          <t>%</t>
        </is>
      </c>
      <c r="O2288" t="inlineStr">
        <is>
          <t>No Aplica</t>
        </is>
      </c>
      <c r="P2288" t="n">
        <v>0</v>
      </c>
      <c r="Q2288" t="n">
        <v>0</v>
      </c>
      <c r="R2288" t="inlineStr">
        <is>
          <t>439-2023-06-30</t>
        </is>
      </c>
      <c r="S2288" t="inlineStr">
        <is>
          <t>No Aplica</t>
        </is>
      </c>
    </row>
    <row r="2289">
      <c r="A2289" t="n">
        <v>439</v>
      </c>
      <c r="B2289" t="inlineStr">
        <is>
          <t>Disponibilidad de catálogo de asignaturas pregrado y posgrado virtual</t>
        </is>
      </c>
      <c r="C2289" t="inlineStr">
        <is>
          <t>Operaciones Académicas</t>
        </is>
      </c>
      <c r="D2289" t="inlineStr">
        <is>
          <t>Semestral</t>
        </is>
      </c>
      <c r="E2289" t="inlineStr">
        <is>
          <t>Positivo</t>
        </is>
      </c>
      <c r="F2289" s="111" t="n">
        <v>45291</v>
      </c>
      <c r="G2289" t="n">
        <v>2023</v>
      </c>
      <c r="H2289" t="inlineStr">
        <is>
          <t>Diciembre</t>
        </is>
      </c>
      <c r="I2289" t="inlineStr">
        <is>
          <t>2023-2</t>
        </is>
      </c>
      <c r="J2289" t="n">
        <v>100</v>
      </c>
      <c r="K2289" t="n">
        <v>100</v>
      </c>
      <c r="L2289" s="39">
        <f>IFERROR(IF(OR(J2289=0,K2289=""),"",IF(E2289="Positivo",MIN(MAX(K2289/J2289,0),1.3),MIN(MAX(J2289/K2289,0),1.3))),"") </f>
        <v/>
      </c>
      <c r="M2289" s="39">
        <f>IFERROR(IF(OR(J2289=0,K2289=""),"",IF(E2289="Positivo",MAX(K2289/J2289,0),MAX(J2289/K2289,0))),"") </f>
        <v/>
      </c>
      <c r="N2289" t="inlineStr">
        <is>
          <t>%</t>
        </is>
      </c>
      <c r="O2289" t="inlineStr">
        <is>
          <t>%</t>
        </is>
      </c>
      <c r="P2289" t="n">
        <v>0</v>
      </c>
      <c r="Q2289" t="n">
        <v>0</v>
      </c>
      <c r="R2289" t="inlineStr">
        <is>
          <t>439-2023-12-31</t>
        </is>
      </c>
    </row>
    <row r="2290">
      <c r="A2290" t="n">
        <v>439</v>
      </c>
      <c r="B2290" t="inlineStr">
        <is>
          <t>Disponibilidad de catálogo de asignaturas pregrado y posgrado virtual</t>
        </is>
      </c>
      <c r="C2290" t="inlineStr">
        <is>
          <t>Operaciones Académicas</t>
        </is>
      </c>
      <c r="D2290" t="inlineStr">
        <is>
          <t>Semestral</t>
        </is>
      </c>
      <c r="E2290" t="inlineStr">
        <is>
          <t>Positivo</t>
        </is>
      </c>
      <c r="F2290" s="111" t="n">
        <v>45473</v>
      </c>
      <c r="G2290" t="n">
        <v>2024</v>
      </c>
      <c r="H2290" t="inlineStr">
        <is>
          <t>Junio</t>
        </is>
      </c>
      <c r="I2290" t="inlineStr">
        <is>
          <t>2024-1</t>
        </is>
      </c>
      <c r="J2290" t="n">
        <v>100</v>
      </c>
      <c r="K2290" t="n">
        <v>100</v>
      </c>
      <c r="L2290" s="39">
        <f>IFERROR(IF(OR(J2290=0,K2290=""),"",IF(E2290="Positivo",MIN(MAX(K2290/J2290,0),1.3),MIN(MAX(J2290/K2290,0),1.3))),"") </f>
        <v/>
      </c>
      <c r="M2290" s="39">
        <f>IFERROR(IF(OR(J2290=0,K2290=""),"",IF(E2290="Positivo",MAX(K2290/J2290,0),MAX(J2290/K2290,0))),"") </f>
        <v/>
      </c>
      <c r="N2290" t="inlineStr">
        <is>
          <t>%</t>
        </is>
      </c>
      <c r="O2290" t="inlineStr">
        <is>
          <t>%</t>
        </is>
      </c>
      <c r="P2290" t="n">
        <v>0</v>
      </c>
      <c r="Q2290" t="n">
        <v>0</v>
      </c>
      <c r="R2290" t="inlineStr">
        <is>
          <t>439-2024-06-30</t>
        </is>
      </c>
    </row>
    <row r="2291">
      <c r="A2291" t="n">
        <v>439</v>
      </c>
      <c r="B2291" t="inlineStr">
        <is>
          <t>Disponibilidad de catálogo de asignaturas pregrado y posgrado virtual</t>
        </is>
      </c>
      <c r="C2291" t="inlineStr">
        <is>
          <t>Operaciones Académicas</t>
        </is>
      </c>
      <c r="D2291" t="inlineStr">
        <is>
          <t>Semestral</t>
        </is>
      </c>
      <c r="E2291" t="inlineStr">
        <is>
          <t>Positivo</t>
        </is>
      </c>
      <c r="F2291" s="111" t="n">
        <v>45657</v>
      </c>
      <c r="G2291" t="n">
        <v>2024</v>
      </c>
      <c r="H2291" t="inlineStr">
        <is>
          <t>Diciembre</t>
        </is>
      </c>
      <c r="I2291" t="inlineStr">
        <is>
          <t>2024-2</t>
        </is>
      </c>
      <c r="J2291" t="n">
        <v>100</v>
      </c>
      <c r="K2291" t="n">
        <v>100</v>
      </c>
      <c r="L2291" s="39">
        <f>IFERROR(IF(OR(J2291=0,K2291=""),"",IF(E2291="Positivo",MIN(MAX(K2291/J2291,0),1.3),MIN(MAX(J2291/K2291,0),1.3))),"") </f>
        <v/>
      </c>
      <c r="M2291" s="39">
        <f>IFERROR(IF(OR(J2291=0,K2291=""),"",IF(E2291="Positivo",MAX(K2291/J2291,0),MAX(J2291/K2291,0))),"") </f>
        <v/>
      </c>
      <c r="N2291" t="inlineStr">
        <is>
          <t>%</t>
        </is>
      </c>
      <c r="O2291" t="inlineStr">
        <is>
          <t>%</t>
        </is>
      </c>
      <c r="P2291" t="n">
        <v>0</v>
      </c>
      <c r="Q2291" t="n">
        <v>0</v>
      </c>
      <c r="R2291" t="inlineStr">
        <is>
          <t>439-2024-12-31</t>
        </is>
      </c>
    </row>
    <row r="2292">
      <c r="A2292" t="n">
        <v>439</v>
      </c>
      <c r="B2292" t="inlineStr">
        <is>
          <t>Disponibilidad de catálogo de asignaturas pregrado y posgrado virtual</t>
        </is>
      </c>
      <c r="C2292" t="inlineStr">
        <is>
          <t>Operaciones Académicas</t>
        </is>
      </c>
      <c r="D2292" t="inlineStr">
        <is>
          <t>Semestral</t>
        </is>
      </c>
      <c r="E2292" t="inlineStr">
        <is>
          <t>Positivo</t>
        </is>
      </c>
      <c r="F2292" s="111" t="n">
        <v>45838</v>
      </c>
      <c r="G2292" t="n">
        <v>2025</v>
      </c>
      <c r="H2292" t="inlineStr">
        <is>
          <t>Junio</t>
        </is>
      </c>
      <c r="I2292" t="inlineStr">
        <is>
          <t>2025-1</t>
        </is>
      </c>
      <c r="J2292" t="n">
        <v>100</v>
      </c>
      <c r="K2292" t="n">
        <v>100</v>
      </c>
      <c r="L2292" s="39">
        <f>IFERROR(IF(OR(J2292=0,K2292=""),"",IF(E2292="Positivo",MIN(MAX(K2292/J2292,0),1.3),MIN(MAX(J2292/K2292,0),1.3))),"") </f>
        <v/>
      </c>
      <c r="M2292" s="39">
        <f>IFERROR(IF(OR(J2292=0,K2292=""),"",IF(E2292="Positivo",MAX(K2292/J2292,0),MAX(J2292/K2292,0))),"") </f>
        <v/>
      </c>
      <c r="N2292" t="inlineStr">
        <is>
          <t>%</t>
        </is>
      </c>
      <c r="O2292" t="inlineStr">
        <is>
          <t>%</t>
        </is>
      </c>
      <c r="P2292" t="n">
        <v>0</v>
      </c>
      <c r="Q2292" t="n">
        <v>0</v>
      </c>
      <c r="R2292" t="inlineStr">
        <is>
          <t>439-2025-06-30</t>
        </is>
      </c>
    </row>
    <row r="2293">
      <c r="A2293" t="n">
        <v>439</v>
      </c>
      <c r="B2293" t="inlineStr">
        <is>
          <t>Disponibilidad de catálogo de asignaturas pregrado y posgrado virtual</t>
        </is>
      </c>
      <c r="C2293" t="inlineStr">
        <is>
          <t>Operaciones Académicas</t>
        </is>
      </c>
      <c r="D2293" t="inlineStr">
        <is>
          <t>Trimestral</t>
        </is>
      </c>
      <c r="E2293" t="inlineStr">
        <is>
          <t>Positivo</t>
        </is>
      </c>
      <c r="F2293" s="111" t="n">
        <v>46022</v>
      </c>
      <c r="G2293" t="n">
        <v>2025</v>
      </c>
      <c r="H2293" t="inlineStr">
        <is>
          <t>Diciembre</t>
        </is>
      </c>
      <c r="I2293" t="inlineStr">
        <is>
          <t>2025-2</t>
        </is>
      </c>
      <c r="J2293" t="n">
        <v>100</v>
      </c>
      <c r="K2293" t="n">
        <v>100</v>
      </c>
      <c r="L2293" s="39">
        <f>IFERROR(IF(OR(J2293=0,K2293=""),"",IF(E2293="Positivo",MIN(MAX(K2293/J2293,0),1.3),MIN(MAX(J2293/K2293,0),1.3))),"") </f>
        <v/>
      </c>
      <c r="M2293" s="39">
        <f>IFERROR(IF(OR(J2293=0,K2293=""),"",IF(E2293="Positivo",MAX(K2293/J2293,0),MAX(J2293/K2293,0))),"") </f>
        <v/>
      </c>
      <c r="N2293" t="inlineStr">
        <is>
          <t>%</t>
        </is>
      </c>
      <c r="O2293" t="inlineStr">
        <is>
          <t>%</t>
        </is>
      </c>
      <c r="P2293" t="n">
        <v>0</v>
      </c>
      <c r="Q2293" t="n">
        <v>0</v>
      </c>
      <c r="R2293" t="inlineStr">
        <is>
          <t>439-2025-12-31</t>
        </is>
      </c>
    </row>
    <row r="2294">
      <c r="A2294" t="n">
        <v>440</v>
      </c>
      <c r="B2294" t="inlineStr">
        <is>
          <t>Aseguramiento de matricula académica virtual</t>
        </is>
      </c>
      <c r="C2294" t="inlineStr">
        <is>
          <t>Operaciones Académicas</t>
        </is>
      </c>
      <c r="D2294" t="inlineStr">
        <is>
          <t>Trimestral</t>
        </is>
      </c>
      <c r="E2294" t="inlineStr">
        <is>
          <t>Positivo</t>
        </is>
      </c>
      <c r="F2294" s="111" t="n">
        <v>45016</v>
      </c>
      <c r="G2294" t="n">
        <v>2023</v>
      </c>
      <c r="H2294" t="inlineStr">
        <is>
          <t>Marzo</t>
        </is>
      </c>
      <c r="I2294" t="inlineStr">
        <is>
          <t>2023-1</t>
        </is>
      </c>
      <c r="L2294" s="39" t="n"/>
      <c r="M2294" s="39" t="n"/>
      <c r="N2294" t="inlineStr">
        <is>
          <t>%</t>
        </is>
      </c>
      <c r="O2294" t="inlineStr">
        <is>
          <t>No Aplica</t>
        </is>
      </c>
      <c r="P2294" t="n">
        <v>0</v>
      </c>
      <c r="Q2294" t="n">
        <v>1</v>
      </c>
      <c r="R2294" t="inlineStr">
        <is>
          <t>440-2023-03-31</t>
        </is>
      </c>
      <c r="S2294" t="inlineStr">
        <is>
          <t>No Aplica</t>
        </is>
      </c>
    </row>
    <row r="2295">
      <c r="A2295" t="n">
        <v>440</v>
      </c>
      <c r="B2295" t="inlineStr">
        <is>
          <t>Aseguramiento de matricula académica virtual</t>
        </is>
      </c>
      <c r="C2295" t="inlineStr">
        <is>
          <t>Operaciones Académicas</t>
        </is>
      </c>
      <c r="D2295" t="inlineStr">
        <is>
          <t>Trimestral</t>
        </is>
      </c>
      <c r="E2295" t="inlineStr">
        <is>
          <t>Positivo</t>
        </is>
      </c>
      <c r="F2295" s="111" t="n">
        <v>45107</v>
      </c>
      <c r="G2295" t="n">
        <v>2023</v>
      </c>
      <c r="H2295" t="inlineStr">
        <is>
          <t>Junio</t>
        </is>
      </c>
      <c r="I2295" t="inlineStr">
        <is>
          <t>2023-1</t>
        </is>
      </c>
      <c r="L2295" s="39" t="n"/>
      <c r="M2295" s="39" t="n"/>
      <c r="N2295" t="inlineStr">
        <is>
          <t>%</t>
        </is>
      </c>
      <c r="O2295" t="inlineStr">
        <is>
          <t>No Aplica</t>
        </is>
      </c>
      <c r="P2295" t="n">
        <v>0</v>
      </c>
      <c r="Q2295" t="n">
        <v>1</v>
      </c>
      <c r="R2295" t="inlineStr">
        <is>
          <t>440-2023-06-30</t>
        </is>
      </c>
      <c r="S2295" t="inlineStr">
        <is>
          <t>No Aplica</t>
        </is>
      </c>
    </row>
    <row r="2296">
      <c r="A2296" t="n">
        <v>440</v>
      </c>
      <c r="B2296" t="inlineStr">
        <is>
          <t>Aseguramiento de matricula académica virtual</t>
        </is>
      </c>
      <c r="C2296" t="inlineStr">
        <is>
          <t>Operaciones Académicas</t>
        </is>
      </c>
      <c r="D2296" t="inlineStr">
        <is>
          <t>Semestral</t>
        </is>
      </c>
      <c r="E2296" t="inlineStr">
        <is>
          <t>Positivo</t>
        </is>
      </c>
      <c r="F2296" s="111" t="n">
        <v>45291</v>
      </c>
      <c r="G2296" t="n">
        <v>2023</v>
      </c>
      <c r="H2296" t="inlineStr">
        <is>
          <t>Diciembre</t>
        </is>
      </c>
      <c r="I2296" t="inlineStr">
        <is>
          <t>2023-2</t>
        </is>
      </c>
      <c r="J2296" t="n">
        <v>98</v>
      </c>
      <c r="K2296" t="n">
        <v>97.746062537527</v>
      </c>
      <c r="L2296" s="39">
        <f>IFERROR(IF(OR(J2296=0,K2296=""),"",IF(E2296="Positivo",MIN(MAX(K2296/J2296,0),1.3),MIN(MAX(J2296/K2296,0),1.3))),"") </f>
        <v/>
      </c>
      <c r="M2296" s="39">
        <f>IFERROR(IF(OR(J2296=0,K2296=""),"",IF(E2296="Positivo",MAX(K2296/J2296,0),MAX(J2296/K2296,0))),"") </f>
        <v/>
      </c>
      <c r="N2296" t="inlineStr">
        <is>
          <t>%</t>
        </is>
      </c>
      <c r="O2296" t="inlineStr">
        <is>
          <t>%</t>
        </is>
      </c>
      <c r="P2296" t="n">
        <v>0</v>
      </c>
      <c r="Q2296" t="n">
        <v>1</v>
      </c>
      <c r="R2296" t="inlineStr">
        <is>
          <t>440-2023-12-31</t>
        </is>
      </c>
    </row>
    <row r="2297">
      <c r="A2297" t="n">
        <v>440</v>
      </c>
      <c r="B2297" t="inlineStr">
        <is>
          <t>Aseguramiento de matricula académica virtual</t>
        </is>
      </c>
      <c r="C2297" t="inlineStr">
        <is>
          <t>Operaciones Académicas</t>
        </is>
      </c>
      <c r="D2297" t="inlineStr">
        <is>
          <t>Semestral</t>
        </is>
      </c>
      <c r="E2297" t="inlineStr">
        <is>
          <t>Positivo</t>
        </is>
      </c>
      <c r="F2297" s="111" t="n">
        <v>45473</v>
      </c>
      <c r="G2297" t="n">
        <v>2024</v>
      </c>
      <c r="H2297" t="inlineStr">
        <is>
          <t>Junio</t>
        </is>
      </c>
      <c r="I2297" t="inlineStr">
        <is>
          <t>2024-1</t>
        </is>
      </c>
      <c r="J2297" t="n">
        <v>98</v>
      </c>
      <c r="K2297" t="n">
        <v>99.73</v>
      </c>
      <c r="L2297" s="39">
        <f>IFERROR(IF(OR(J2297=0,K2297=""),"",IF(E2297="Positivo",MIN(MAX(K2297/J2297,0),1.3),MIN(MAX(J2297/K2297,0),1.3))),"") </f>
        <v/>
      </c>
      <c r="M2297" s="39">
        <f>IFERROR(IF(OR(J2297=0,K2297=""),"",IF(E2297="Positivo",MAX(K2297/J2297,0),MAX(J2297/K2297,0))),"") </f>
        <v/>
      </c>
      <c r="N2297" t="inlineStr">
        <is>
          <t>%</t>
        </is>
      </c>
      <c r="O2297" t="inlineStr">
        <is>
          <t>%</t>
        </is>
      </c>
      <c r="P2297" t="n">
        <v>0</v>
      </c>
      <c r="Q2297" t="n">
        <v>1</v>
      </c>
      <c r="R2297" t="inlineStr">
        <is>
          <t>440-2024-06-30</t>
        </is>
      </c>
    </row>
    <row r="2298">
      <c r="A2298" t="n">
        <v>440</v>
      </c>
      <c r="B2298" t="inlineStr">
        <is>
          <t>Aseguramiento de matricula académica virtual</t>
        </is>
      </c>
      <c r="C2298" t="inlineStr">
        <is>
          <t>Operaciones Académicas</t>
        </is>
      </c>
      <c r="D2298" t="inlineStr">
        <is>
          <t>Semestral</t>
        </is>
      </c>
      <c r="E2298" t="inlineStr">
        <is>
          <t>Positivo</t>
        </is>
      </c>
      <c r="F2298" s="111" t="n">
        <v>45657</v>
      </c>
      <c r="G2298" t="n">
        <v>2024</v>
      </c>
      <c r="H2298" t="inlineStr">
        <is>
          <t>Diciembre</t>
        </is>
      </c>
      <c r="I2298" t="inlineStr">
        <is>
          <t>2024-2</t>
        </is>
      </c>
      <c r="J2298" t="n">
        <v>98</v>
      </c>
      <c r="K2298" t="n">
        <v>99.23999999999999</v>
      </c>
      <c r="L2298" s="39">
        <f>IFERROR(IF(OR(J2298=0,K2298=""),"",IF(E2298="Positivo",MIN(MAX(K2298/J2298,0),1.3),MIN(MAX(J2298/K2298,0),1.3))),"") </f>
        <v/>
      </c>
      <c r="M2298" s="39">
        <f>IFERROR(IF(OR(J2298=0,K2298=""),"",IF(E2298="Positivo",MAX(K2298/J2298,0),MAX(J2298/K2298,0))),"") </f>
        <v/>
      </c>
      <c r="N2298" t="inlineStr">
        <is>
          <t>%</t>
        </is>
      </c>
      <c r="O2298" t="inlineStr">
        <is>
          <t>%</t>
        </is>
      </c>
      <c r="P2298" t="n">
        <v>0</v>
      </c>
      <c r="Q2298" t="n">
        <v>1</v>
      </c>
      <c r="R2298" t="inlineStr">
        <is>
          <t>440-2024-12-31</t>
        </is>
      </c>
    </row>
    <row r="2299">
      <c r="A2299" t="n">
        <v>440</v>
      </c>
      <c r="B2299" t="inlineStr">
        <is>
          <t>Aseguramiento de matricula académica virtual</t>
        </is>
      </c>
      <c r="C2299" t="inlineStr">
        <is>
          <t>Operaciones Académicas</t>
        </is>
      </c>
      <c r="D2299" t="inlineStr">
        <is>
          <t>Semestral</t>
        </is>
      </c>
      <c r="E2299" t="inlineStr">
        <is>
          <t>Positivo</t>
        </is>
      </c>
      <c r="F2299" s="111" t="n">
        <v>45838</v>
      </c>
      <c r="G2299" t="n">
        <v>2025</v>
      </c>
      <c r="H2299" t="inlineStr">
        <is>
          <t>Junio</t>
        </is>
      </c>
      <c r="I2299" t="inlineStr">
        <is>
          <t>2025-1</t>
        </is>
      </c>
      <c r="J2299" t="n">
        <v>98</v>
      </c>
      <c r="K2299" t="n">
        <v>99.77</v>
      </c>
      <c r="L2299" s="39">
        <f>IFERROR(IF(OR(J2299=0,K2299=""),"",IF(E2299="Positivo",MIN(MAX(K2299/J2299,0),1.3),MIN(MAX(J2299/K2299,0),1.3))),"") </f>
        <v/>
      </c>
      <c r="M2299" s="39">
        <f>IFERROR(IF(OR(J2299=0,K2299=""),"",IF(E2299="Positivo",MAX(K2299/J2299,0),MAX(J2299/K2299,0))),"") </f>
        <v/>
      </c>
      <c r="N2299" t="inlineStr">
        <is>
          <t>%</t>
        </is>
      </c>
      <c r="O2299" t="inlineStr">
        <is>
          <t>%</t>
        </is>
      </c>
      <c r="P2299" t="n">
        <v>0</v>
      </c>
      <c r="Q2299" t="n">
        <v>1</v>
      </c>
      <c r="R2299" t="inlineStr">
        <is>
          <t>440-2025-06-30</t>
        </is>
      </c>
    </row>
    <row r="2300">
      <c r="A2300" t="n">
        <v>440</v>
      </c>
      <c r="B2300" t="inlineStr">
        <is>
          <t>Aseguramiento de matricula académica virtual</t>
        </is>
      </c>
      <c r="C2300" t="inlineStr">
        <is>
          <t>Operaciones Académicas</t>
        </is>
      </c>
      <c r="D2300" t="inlineStr">
        <is>
          <t>Trimestral</t>
        </is>
      </c>
      <c r="E2300" t="inlineStr">
        <is>
          <t>Positivo</t>
        </is>
      </c>
      <c r="F2300" s="111" t="n">
        <v>46022</v>
      </c>
      <c r="G2300" t="n">
        <v>2025</v>
      </c>
      <c r="H2300" t="inlineStr">
        <is>
          <t>Diciembre</t>
        </is>
      </c>
      <c r="I2300" t="inlineStr">
        <is>
          <t>2025-2</t>
        </is>
      </c>
      <c r="J2300" t="n">
        <v>98</v>
      </c>
      <c r="K2300" t="n">
        <v>99.73999999999999</v>
      </c>
      <c r="L2300" s="39">
        <f>IFERROR(IF(OR(J2300=0,K2300=""),"",IF(E2300="Positivo",MIN(MAX(K2300/J2300,0),1.3),MIN(MAX(J2300/K2300,0),1.3))),"") </f>
        <v/>
      </c>
      <c r="M2300" s="39">
        <f>IFERROR(IF(OR(J2300=0,K2300=""),"",IF(E2300="Positivo",MAX(K2300/J2300,0),MAX(J2300/K2300,0))),"") </f>
        <v/>
      </c>
      <c r="N2300" t="inlineStr">
        <is>
          <t>%</t>
        </is>
      </c>
      <c r="O2300" t="inlineStr">
        <is>
          <t>%</t>
        </is>
      </c>
      <c r="P2300" t="n">
        <v>0</v>
      </c>
      <c r="Q2300" t="n">
        <v>1</v>
      </c>
      <c r="R2300" t="inlineStr">
        <is>
          <t>440-2025-12-31</t>
        </is>
      </c>
    </row>
    <row r="2301">
      <c r="A2301" t="n">
        <v>441</v>
      </c>
      <c r="B2301" t="inlineStr">
        <is>
          <t>Cumplimiento a cronograma de proyectos 2024</t>
        </is>
      </c>
      <c r="C2301" t="inlineStr">
        <is>
          <t>Gestión de Proyectos</t>
        </is>
      </c>
      <c r="D2301" t="inlineStr">
        <is>
          <t>Mensual</t>
        </is>
      </c>
      <c r="E2301" t="inlineStr">
        <is>
          <t>Positivo</t>
        </is>
      </c>
      <c r="F2301" s="111" t="n">
        <v>45322</v>
      </c>
      <c r="G2301" t="n">
        <v>2024</v>
      </c>
      <c r="H2301" t="inlineStr">
        <is>
          <t>Enero</t>
        </is>
      </c>
      <c r="I2301" t="inlineStr">
        <is>
          <t>2024-1</t>
        </is>
      </c>
      <c r="J2301" t="n">
        <v>90</v>
      </c>
      <c r="K2301" t="n">
        <v>87.81999999999999</v>
      </c>
      <c r="L2301" s="39">
        <f>IFERROR(IF(OR(J2301=0,K2301=""),"",IF(E2301="Positivo",MIN(MAX(K2301/J2301,0),1.3),MIN(MAX(J2301/K2301,0),1.3))),"") </f>
        <v/>
      </c>
      <c r="M2301" s="39">
        <f>IFERROR(IF(OR(J2301=0,K2301=""),"",IF(E2301="Positivo",MAX(K2301/J2301,0),MAX(J2301/K2301,0))),"") </f>
        <v/>
      </c>
      <c r="N2301" t="inlineStr">
        <is>
          <t>%</t>
        </is>
      </c>
      <c r="O2301" t="inlineStr">
        <is>
          <t>%</t>
        </is>
      </c>
      <c r="P2301" t="n">
        <v>0</v>
      </c>
      <c r="Q2301" t="n">
        <v>1</v>
      </c>
      <c r="R2301" t="inlineStr">
        <is>
          <t>441-2024-01-31</t>
        </is>
      </c>
    </row>
    <row r="2302">
      <c r="A2302" t="n">
        <v>441</v>
      </c>
      <c r="B2302" t="inlineStr">
        <is>
          <t>Cumplimiento a cronograma de proyectos 2024</t>
        </is>
      </c>
      <c r="C2302" t="inlineStr">
        <is>
          <t>Gestión de Proyectos</t>
        </is>
      </c>
      <c r="D2302" t="inlineStr">
        <is>
          <t>Mensual</t>
        </is>
      </c>
      <c r="E2302" t="inlineStr">
        <is>
          <t>Positivo</t>
        </is>
      </c>
      <c r="F2302" s="111" t="n">
        <v>45351</v>
      </c>
      <c r="G2302" t="n">
        <v>2024</v>
      </c>
      <c r="H2302" t="inlineStr">
        <is>
          <t>Febrero</t>
        </is>
      </c>
      <c r="I2302" t="inlineStr">
        <is>
          <t>2024-1</t>
        </is>
      </c>
      <c r="J2302" t="n">
        <v>90</v>
      </c>
      <c r="K2302" t="n">
        <v>90.88</v>
      </c>
      <c r="L2302" s="39">
        <f>IFERROR(IF(OR(J2302=0,K2302=""),"",IF(E2302="Positivo",MIN(MAX(K2302/J2302,0),1.3),MIN(MAX(J2302/K2302,0),1.3))),"") </f>
        <v/>
      </c>
      <c r="M2302" s="39">
        <f>IFERROR(IF(OR(J2302=0,K2302=""),"",IF(E2302="Positivo",MAX(K2302/J2302,0),MAX(J2302/K2302,0))),"") </f>
        <v/>
      </c>
      <c r="N2302" t="inlineStr">
        <is>
          <t>%</t>
        </is>
      </c>
      <c r="O2302" t="inlineStr">
        <is>
          <t>%</t>
        </is>
      </c>
      <c r="P2302" t="n">
        <v>0</v>
      </c>
      <c r="Q2302" t="n">
        <v>1</v>
      </c>
      <c r="R2302" t="inlineStr">
        <is>
          <t>441-2024-02-29</t>
        </is>
      </c>
    </row>
    <row r="2303">
      <c r="A2303" t="n">
        <v>441</v>
      </c>
      <c r="B2303" t="inlineStr">
        <is>
          <t>Cumplimiento a cronograma de proyectos 2024</t>
        </is>
      </c>
      <c r="C2303" t="inlineStr">
        <is>
          <t>Gestión de Proyectos</t>
        </is>
      </c>
      <c r="D2303" t="inlineStr">
        <is>
          <t>Mensual</t>
        </is>
      </c>
      <c r="E2303" t="inlineStr">
        <is>
          <t>Positivo</t>
        </is>
      </c>
      <c r="F2303" s="111" t="n">
        <v>45382</v>
      </c>
      <c r="G2303" t="n">
        <v>2024</v>
      </c>
      <c r="H2303" t="inlineStr">
        <is>
          <t>Marzo</t>
        </is>
      </c>
      <c r="I2303" t="inlineStr">
        <is>
          <t>2024-1</t>
        </is>
      </c>
      <c r="J2303" t="n">
        <v>90</v>
      </c>
      <c r="K2303" t="n">
        <v>91.52</v>
      </c>
      <c r="L2303" s="39">
        <f>IFERROR(IF(OR(J2303=0,K2303=""),"",IF(E2303="Positivo",MIN(MAX(K2303/J2303,0),1.3),MIN(MAX(J2303/K2303,0),1.3))),"") </f>
        <v/>
      </c>
      <c r="M2303" s="39">
        <f>IFERROR(IF(OR(J2303=0,K2303=""),"",IF(E2303="Positivo",MAX(K2303/J2303,0),MAX(J2303/K2303,0))),"") </f>
        <v/>
      </c>
      <c r="N2303" t="inlineStr">
        <is>
          <t>%</t>
        </is>
      </c>
      <c r="O2303" t="inlineStr">
        <is>
          <t>%</t>
        </is>
      </c>
      <c r="P2303" t="n">
        <v>0</v>
      </c>
      <c r="Q2303" t="n">
        <v>1</v>
      </c>
      <c r="R2303" t="inlineStr">
        <is>
          <t>441-2024-03-31</t>
        </is>
      </c>
    </row>
    <row r="2304">
      <c r="A2304" t="n">
        <v>441</v>
      </c>
      <c r="B2304" t="inlineStr">
        <is>
          <t>Cumplimiento a cronograma de proyectos 2024</t>
        </is>
      </c>
      <c r="C2304" t="inlineStr">
        <is>
          <t>Gestión de Proyectos</t>
        </is>
      </c>
      <c r="D2304" t="inlineStr">
        <is>
          <t>Mensual</t>
        </is>
      </c>
      <c r="E2304" t="inlineStr">
        <is>
          <t>Positivo</t>
        </is>
      </c>
      <c r="F2304" s="111" t="n">
        <v>45412</v>
      </c>
      <c r="G2304" t="n">
        <v>2024</v>
      </c>
      <c r="H2304" t="inlineStr">
        <is>
          <t>Abril</t>
        </is>
      </c>
      <c r="I2304" t="inlineStr">
        <is>
          <t>2024-1</t>
        </is>
      </c>
      <c r="J2304" t="n">
        <v>90</v>
      </c>
      <c r="K2304" t="n">
        <v>95.81999999999999</v>
      </c>
      <c r="L2304" s="39">
        <f>IFERROR(IF(OR(J2304=0,K2304=""),"",IF(E2304="Positivo",MIN(MAX(K2304/J2304,0),1.3),MIN(MAX(J2304/K2304,0),1.3))),"") </f>
        <v/>
      </c>
      <c r="M2304" s="39">
        <f>IFERROR(IF(OR(J2304=0,K2304=""),"",IF(E2304="Positivo",MAX(K2304/J2304,0),MAX(J2304/K2304,0))),"") </f>
        <v/>
      </c>
      <c r="N2304" t="inlineStr">
        <is>
          <t>%</t>
        </is>
      </c>
      <c r="O2304" t="inlineStr">
        <is>
          <t>%</t>
        </is>
      </c>
      <c r="P2304" t="n">
        <v>0</v>
      </c>
      <c r="Q2304" t="n">
        <v>1</v>
      </c>
      <c r="R2304" t="inlineStr">
        <is>
          <t>441-2024-04-30</t>
        </is>
      </c>
    </row>
    <row r="2305">
      <c r="A2305" t="n">
        <v>441</v>
      </c>
      <c r="B2305" t="inlineStr">
        <is>
          <t>Cumplimiento a cronograma de proyectos 2024</t>
        </is>
      </c>
      <c r="C2305" t="inlineStr">
        <is>
          <t>Gestión de Proyectos</t>
        </is>
      </c>
      <c r="D2305" t="inlineStr">
        <is>
          <t>Mensual</t>
        </is>
      </c>
      <c r="E2305" t="inlineStr">
        <is>
          <t>Positivo</t>
        </is>
      </c>
      <c r="F2305" s="111" t="n">
        <v>45443</v>
      </c>
      <c r="G2305" t="n">
        <v>2024</v>
      </c>
      <c r="H2305" t="inlineStr">
        <is>
          <t>Mayo</t>
        </is>
      </c>
      <c r="I2305" t="inlineStr">
        <is>
          <t>2024-1</t>
        </is>
      </c>
      <c r="J2305" t="n">
        <v>90</v>
      </c>
      <c r="K2305" t="n">
        <v>96.89</v>
      </c>
      <c r="L2305" s="39">
        <f>IFERROR(IF(OR(J2305=0,K2305=""),"",IF(E2305="Positivo",MIN(MAX(K2305/J2305,0),1.3),MIN(MAX(J2305/K2305,0),1.3))),"") </f>
        <v/>
      </c>
      <c r="M2305" s="39">
        <f>IFERROR(IF(OR(J2305=0,K2305=""),"",IF(E2305="Positivo",MAX(K2305/J2305,0),MAX(J2305/K2305,0))),"") </f>
        <v/>
      </c>
      <c r="N2305" t="inlineStr">
        <is>
          <t>%</t>
        </is>
      </c>
      <c r="O2305" t="inlineStr">
        <is>
          <t>%</t>
        </is>
      </c>
      <c r="P2305" t="n">
        <v>0</v>
      </c>
      <c r="Q2305" t="n">
        <v>1</v>
      </c>
      <c r="R2305" t="inlineStr">
        <is>
          <t>441-2024-05-31</t>
        </is>
      </c>
    </row>
    <row r="2306">
      <c r="A2306" t="n">
        <v>441</v>
      </c>
      <c r="B2306" t="inlineStr">
        <is>
          <t>Cumplimiento a cronograma de proyectos 2024</t>
        </is>
      </c>
      <c r="C2306" t="inlineStr">
        <is>
          <t>Gestión de Proyectos</t>
        </is>
      </c>
      <c r="D2306" t="inlineStr">
        <is>
          <t>Mensual</t>
        </is>
      </c>
      <c r="E2306" t="inlineStr">
        <is>
          <t>Positivo</t>
        </is>
      </c>
      <c r="F2306" s="111" t="n">
        <v>45473</v>
      </c>
      <c r="G2306" t="n">
        <v>2024</v>
      </c>
      <c r="H2306" t="inlineStr">
        <is>
          <t>Junio</t>
        </is>
      </c>
      <c r="I2306" t="inlineStr">
        <is>
          <t>2024-1</t>
        </is>
      </c>
      <c r="J2306" t="n">
        <v>90</v>
      </c>
      <c r="K2306" t="n">
        <v>101.449275362318</v>
      </c>
      <c r="L2306" s="39">
        <f>IFERROR(IF(OR(J2306=0,K2306=""),"",IF(E2306="Positivo",MIN(MAX(K2306/J2306,0),1.3),MIN(MAX(J2306/K2306,0),1.3))),"") </f>
        <v/>
      </c>
      <c r="M2306" s="39">
        <f>IFERROR(IF(OR(J2306=0,K2306=""),"",IF(E2306="Positivo",MAX(K2306/J2306,0),MAX(J2306/K2306,0))),"") </f>
        <v/>
      </c>
      <c r="N2306" t="inlineStr">
        <is>
          <t>%</t>
        </is>
      </c>
      <c r="O2306" t="inlineStr">
        <is>
          <t>%</t>
        </is>
      </c>
      <c r="P2306" t="n">
        <v>0</v>
      </c>
      <c r="Q2306" t="n">
        <v>0</v>
      </c>
      <c r="R2306" t="inlineStr">
        <is>
          <t>441-2024-06-30</t>
        </is>
      </c>
    </row>
    <row r="2307">
      <c r="A2307" t="n">
        <v>441</v>
      </c>
      <c r="B2307" t="inlineStr">
        <is>
          <t>Cumplimiento a cronograma de proyectos 2024</t>
        </is>
      </c>
      <c r="C2307" t="inlineStr">
        <is>
          <t>Gestión de Proyectos</t>
        </is>
      </c>
      <c r="D2307" t="inlineStr">
        <is>
          <t>Mensual</t>
        </is>
      </c>
      <c r="E2307" t="inlineStr">
        <is>
          <t>Positivo</t>
        </is>
      </c>
      <c r="F2307" s="111" t="n">
        <v>45504</v>
      </c>
      <c r="G2307" t="n">
        <v>2024</v>
      </c>
      <c r="H2307" t="inlineStr">
        <is>
          <t>Julio</t>
        </is>
      </c>
      <c r="I2307" t="inlineStr">
        <is>
          <t>2024-2</t>
        </is>
      </c>
      <c r="J2307" t="n">
        <v>90</v>
      </c>
      <c r="K2307" t="n">
        <v>91.2</v>
      </c>
      <c r="L2307" s="39">
        <f>IFERROR(IF(OR(J2307=0,K2307=""),"",IF(E2307="Positivo",MIN(MAX(K2307/J2307,0),1.3),MIN(MAX(J2307/K2307,0),1.3))),"") </f>
        <v/>
      </c>
      <c r="M2307" s="39">
        <f>IFERROR(IF(OR(J2307=0,K2307=""),"",IF(E2307="Positivo",MAX(K2307/J2307,0),MAX(J2307/K2307,0))),"") </f>
        <v/>
      </c>
      <c r="N2307" t="inlineStr">
        <is>
          <t>%</t>
        </is>
      </c>
      <c r="O2307" t="inlineStr">
        <is>
          <t>%</t>
        </is>
      </c>
      <c r="P2307" t="n">
        <v>0</v>
      </c>
      <c r="Q2307" t="n">
        <v>0</v>
      </c>
      <c r="R2307" t="inlineStr">
        <is>
          <t>441-2024-07-31</t>
        </is>
      </c>
    </row>
    <row r="2308">
      <c r="A2308" t="n">
        <v>441</v>
      </c>
      <c r="B2308" t="inlineStr">
        <is>
          <t>Cumplimiento a cronograma de proyectos 2024</t>
        </is>
      </c>
      <c r="C2308" t="inlineStr">
        <is>
          <t>Gestión de Proyectos</t>
        </is>
      </c>
      <c r="D2308" t="inlineStr">
        <is>
          <t>Mensual</t>
        </is>
      </c>
      <c r="E2308" t="inlineStr">
        <is>
          <t>Positivo</t>
        </is>
      </c>
      <c r="F2308" s="111" t="n">
        <v>45535</v>
      </c>
      <c r="G2308" t="n">
        <v>2024</v>
      </c>
      <c r="H2308" t="inlineStr">
        <is>
          <t>Agosto</t>
        </is>
      </c>
      <c r="I2308" t="inlineStr">
        <is>
          <t>2024-2</t>
        </is>
      </c>
      <c r="J2308" t="n">
        <v>90</v>
      </c>
      <c r="K2308" t="n">
        <v>98.1605351170568</v>
      </c>
      <c r="L2308" s="39">
        <f>IFERROR(IF(OR(J2308=0,K2308=""),"",IF(E2308="Positivo",MIN(MAX(K2308/J2308,0),1.3),MIN(MAX(J2308/K2308,0),1.3))),"") </f>
        <v/>
      </c>
      <c r="M2308" s="39">
        <f>IFERROR(IF(OR(J2308=0,K2308=""),"",IF(E2308="Positivo",MAX(K2308/J2308,0),MAX(J2308/K2308,0))),"") </f>
        <v/>
      </c>
      <c r="N2308" t="inlineStr">
        <is>
          <t>%</t>
        </is>
      </c>
      <c r="O2308" t="inlineStr">
        <is>
          <t>%</t>
        </is>
      </c>
      <c r="P2308" t="n">
        <v>0</v>
      </c>
      <c r="Q2308" t="n">
        <v>0</v>
      </c>
      <c r="R2308" t="inlineStr">
        <is>
          <t>441-2024-08-31</t>
        </is>
      </c>
    </row>
    <row r="2309">
      <c r="A2309" t="n">
        <v>441</v>
      </c>
      <c r="B2309" t="inlineStr">
        <is>
          <t>Cumplimiento a cronograma de proyectos 2024</t>
        </is>
      </c>
      <c r="C2309" t="inlineStr">
        <is>
          <t>Gestión de Proyectos</t>
        </is>
      </c>
      <c r="D2309" t="inlineStr">
        <is>
          <t>Mensual</t>
        </is>
      </c>
      <c r="E2309" t="inlineStr">
        <is>
          <t>Positivo</t>
        </is>
      </c>
      <c r="F2309" s="111" t="n">
        <v>45565</v>
      </c>
      <c r="G2309" t="n">
        <v>2024</v>
      </c>
      <c r="H2309" t="inlineStr">
        <is>
          <t>Septiembre</t>
        </is>
      </c>
      <c r="I2309" t="inlineStr">
        <is>
          <t>2024-2</t>
        </is>
      </c>
      <c r="J2309" t="n">
        <v>90</v>
      </c>
      <c r="K2309" t="n">
        <v>97.789566755084</v>
      </c>
      <c r="L2309" s="39">
        <f>IFERROR(IF(OR(J2309=0,K2309=""),"",IF(E2309="Positivo",MIN(MAX(K2309/J2309,0),1.3),MIN(MAX(J2309/K2309,0),1.3))),"") </f>
        <v/>
      </c>
      <c r="M2309" s="39">
        <f>IFERROR(IF(OR(J2309=0,K2309=""),"",IF(E2309="Positivo",MAX(K2309/J2309,0),MAX(J2309/K2309,0))),"") </f>
        <v/>
      </c>
      <c r="N2309" t="inlineStr">
        <is>
          <t>%</t>
        </is>
      </c>
      <c r="O2309" t="inlineStr">
        <is>
          <t>%</t>
        </is>
      </c>
      <c r="P2309" t="n">
        <v>0</v>
      </c>
      <c r="Q2309" t="n">
        <v>0</v>
      </c>
      <c r="R2309" t="inlineStr">
        <is>
          <t>441-2024-09-30</t>
        </is>
      </c>
    </row>
    <row r="2310">
      <c r="A2310" t="n">
        <v>441</v>
      </c>
      <c r="B2310" t="inlineStr">
        <is>
          <t>Cumplimiento a cronograma de proyectos 2024</t>
        </is>
      </c>
      <c r="C2310" t="inlineStr">
        <is>
          <t>Gestión de Proyectos</t>
        </is>
      </c>
      <c r="D2310" t="inlineStr">
        <is>
          <t>Mensual</t>
        </is>
      </c>
      <c r="E2310" t="inlineStr">
        <is>
          <t>Positivo</t>
        </is>
      </c>
      <c r="F2310" s="111" t="n">
        <v>45596</v>
      </c>
      <c r="G2310" t="n">
        <v>2024</v>
      </c>
      <c r="H2310" t="inlineStr">
        <is>
          <t>Octubre</t>
        </is>
      </c>
      <c r="I2310" t="inlineStr">
        <is>
          <t>2024-2</t>
        </is>
      </c>
      <c r="J2310" t="n">
        <v>90</v>
      </c>
      <c r="K2310" t="n">
        <v>96.61908339594289</v>
      </c>
      <c r="L2310" s="39">
        <f>IFERROR(IF(OR(J2310=0,K2310=""),"",IF(E2310="Positivo",MIN(MAX(K2310/J2310,0),1.3),MIN(MAX(J2310/K2310,0),1.3))),"") </f>
        <v/>
      </c>
      <c r="M2310" s="39">
        <f>IFERROR(IF(OR(J2310=0,K2310=""),"",IF(E2310="Positivo",MAX(K2310/J2310,0),MAX(J2310/K2310,0))),"") </f>
        <v/>
      </c>
      <c r="N2310" t="inlineStr">
        <is>
          <t>%</t>
        </is>
      </c>
      <c r="O2310" t="inlineStr">
        <is>
          <t>%</t>
        </is>
      </c>
      <c r="P2310" t="n">
        <v>0</v>
      </c>
      <c r="Q2310" t="n">
        <v>0</v>
      </c>
      <c r="R2310" t="inlineStr">
        <is>
          <t>441-2024-10-31</t>
        </is>
      </c>
    </row>
    <row r="2311">
      <c r="A2311" t="n">
        <v>441</v>
      </c>
      <c r="B2311" t="inlineStr">
        <is>
          <t>Cumplimiento a cronograma de proyectos 2024</t>
        </is>
      </c>
      <c r="C2311" t="inlineStr">
        <is>
          <t>Gestión de Proyectos</t>
        </is>
      </c>
      <c r="D2311" t="inlineStr">
        <is>
          <t>Mensual</t>
        </is>
      </c>
      <c r="E2311" t="inlineStr">
        <is>
          <t>Positivo</t>
        </is>
      </c>
      <c r="F2311" s="111" t="n">
        <v>45626</v>
      </c>
      <c r="G2311" t="n">
        <v>2024</v>
      </c>
      <c r="H2311" t="inlineStr">
        <is>
          <t>Noviembre</t>
        </is>
      </c>
      <c r="I2311" t="inlineStr">
        <is>
          <t>2024-2</t>
        </is>
      </c>
      <c r="J2311" t="n">
        <v>90</v>
      </c>
      <c r="K2311" t="n">
        <v>97.5359342915811</v>
      </c>
      <c r="L2311" s="39">
        <f>IFERROR(IF(OR(J2311=0,K2311=""),"",IF(E2311="Positivo",MIN(MAX(K2311/J2311,0),1.3),MIN(MAX(J2311/K2311,0),1.3))),"") </f>
        <v/>
      </c>
      <c r="M2311" s="39">
        <f>IFERROR(IF(OR(J2311=0,K2311=""),"",IF(E2311="Positivo",MAX(K2311/J2311,0),MAX(J2311/K2311,0))),"") </f>
        <v/>
      </c>
      <c r="N2311" t="inlineStr">
        <is>
          <t>%</t>
        </is>
      </c>
      <c r="O2311" t="inlineStr">
        <is>
          <t>%</t>
        </is>
      </c>
      <c r="P2311" t="n">
        <v>0</v>
      </c>
      <c r="Q2311" t="n">
        <v>0</v>
      </c>
      <c r="R2311" t="inlineStr">
        <is>
          <t>441-2024-11-30</t>
        </is>
      </c>
    </row>
    <row r="2312">
      <c r="A2312" t="n">
        <v>441</v>
      </c>
      <c r="B2312" t="inlineStr">
        <is>
          <t>Cumplimiento a cronograma de proyectos 2024</t>
        </is>
      </c>
      <c r="C2312" t="inlineStr">
        <is>
          <t>Gestión de Proyectos</t>
        </is>
      </c>
      <c r="D2312" t="inlineStr">
        <is>
          <t>Mensual</t>
        </is>
      </c>
      <c r="E2312" t="inlineStr">
        <is>
          <t>Positivo</t>
        </is>
      </c>
      <c r="F2312" s="111" t="n">
        <v>45657</v>
      </c>
      <c r="G2312" t="n">
        <v>2024</v>
      </c>
      <c r="H2312" t="inlineStr">
        <is>
          <t>Diciembre</t>
        </is>
      </c>
      <c r="I2312" t="inlineStr">
        <is>
          <t>2024-2</t>
        </is>
      </c>
      <c r="J2312" t="n">
        <v>90</v>
      </c>
      <c r="K2312" t="n">
        <v>99.919935948759</v>
      </c>
      <c r="L2312" s="39">
        <f>IFERROR(IF(OR(J2312=0,K2312=""),"",IF(E2312="Positivo",MIN(MAX(K2312/J2312,0),1.3),MIN(MAX(J2312/K2312,0),1.3))),"") </f>
        <v/>
      </c>
      <c r="M2312" s="39">
        <f>IFERROR(IF(OR(J2312=0,K2312=""),"",IF(E2312="Positivo",MAX(K2312/J2312,0),MAX(J2312/K2312,0))),"") </f>
        <v/>
      </c>
      <c r="N2312" t="inlineStr">
        <is>
          <t>%</t>
        </is>
      </c>
      <c r="O2312" t="inlineStr">
        <is>
          <t>%</t>
        </is>
      </c>
      <c r="P2312" t="n">
        <v>0</v>
      </c>
      <c r="Q2312" t="n">
        <v>0</v>
      </c>
      <c r="R2312" t="inlineStr">
        <is>
          <t>441-2024-12-31</t>
        </is>
      </c>
    </row>
    <row r="2313">
      <c r="A2313" t="n">
        <v>442</v>
      </c>
      <c r="B2313" t="inlineStr">
        <is>
          <t>Participación de docentes invitados en eventos académicos virtuales en Poli</t>
        </is>
      </c>
      <c r="C2313" t="inlineStr">
        <is>
          <t>VISIBILIDAD NACIONAL E INTERNACIONAL</t>
        </is>
      </c>
      <c r="D2313" t="inlineStr">
        <is>
          <t>Semestral</t>
        </is>
      </c>
      <c r="E2313" t="inlineStr">
        <is>
          <t>Positivo</t>
        </is>
      </c>
      <c r="F2313" s="111" t="n">
        <v>45473</v>
      </c>
      <c r="G2313" t="n">
        <v>2024</v>
      </c>
      <c r="H2313" t="inlineStr">
        <is>
          <t>Junio</t>
        </is>
      </c>
      <c r="I2313" t="inlineStr">
        <is>
          <t>2024-1</t>
        </is>
      </c>
      <c r="J2313" t="n">
        <v>100</v>
      </c>
      <c r="K2313" t="n">
        <v>80</v>
      </c>
      <c r="L2313" s="39">
        <f>IFERROR(IF(OR(J2313=0,K2313=""),"",IF(E2313="Positivo",MIN(MAX(K2313/J2313,0),1.3),MIN(MAX(J2313/K2313,0),1.3))),"") </f>
        <v/>
      </c>
      <c r="M2313" s="39">
        <f>IFERROR(IF(OR(J2313=0,K2313=""),"",IF(E2313="Positivo",MAX(K2313/J2313,0),MAX(J2313/K2313,0))),"") </f>
        <v/>
      </c>
      <c r="P2313" t="n">
        <v>0</v>
      </c>
      <c r="Q2313" t="n">
        <v>0</v>
      </c>
      <c r="R2313" t="inlineStr">
        <is>
          <t>442-2024-06-30</t>
        </is>
      </c>
    </row>
    <row r="2314">
      <c r="A2314" t="n">
        <v>442</v>
      </c>
      <c r="B2314" t="inlineStr">
        <is>
          <t>Participación de docentes invitados en eventos académicos virtuales en Poli</t>
        </is>
      </c>
      <c r="C2314" t="inlineStr">
        <is>
          <t>VISIBILIDAD NACIONAL E INTERNACIONAL</t>
        </is>
      </c>
      <c r="D2314" t="inlineStr">
        <is>
          <t>Semestral</t>
        </is>
      </c>
      <c r="E2314" t="inlineStr">
        <is>
          <t>Positivo</t>
        </is>
      </c>
      <c r="F2314" s="111" t="n">
        <v>45657</v>
      </c>
      <c r="G2314" t="n">
        <v>2024</v>
      </c>
      <c r="H2314" t="inlineStr">
        <is>
          <t>Diciembre</t>
        </is>
      </c>
      <c r="I2314" t="inlineStr">
        <is>
          <t>2024-2</t>
        </is>
      </c>
      <c r="J2314" t="n">
        <v>100</v>
      </c>
      <c r="K2314" t="n">
        <v>145</v>
      </c>
      <c r="L2314" s="39">
        <f>IFERROR(IF(OR(J2314=0,K2314=""),"",IF(E2314="Positivo",MIN(MAX(K2314/J2314,0),1.3),MIN(MAX(J2314/K2314,0),1.3))),"") </f>
        <v/>
      </c>
      <c r="M2314" s="39">
        <f>IFERROR(IF(OR(J2314=0,K2314=""),"",IF(E2314="Positivo",MAX(K2314/J2314,0),MAX(J2314/K2314,0))),"") </f>
        <v/>
      </c>
      <c r="P2314" t="n">
        <v>0</v>
      </c>
      <c r="Q2314" t="n">
        <v>0</v>
      </c>
      <c r="R2314" t="inlineStr">
        <is>
          <t>442-2024-12-31</t>
        </is>
      </c>
    </row>
    <row r="2315">
      <c r="A2315" t="n">
        <v>443</v>
      </c>
      <c r="B2315" t="inlineStr">
        <is>
          <t>Participación de estudiantes invitados en eventos académicos virtuales en Poli</t>
        </is>
      </c>
      <c r="C2315" t="inlineStr">
        <is>
          <t>VISIBILIDAD NACIONAL E INTERNACIONAL</t>
        </is>
      </c>
      <c r="D2315" t="inlineStr">
        <is>
          <t>Semestral</t>
        </is>
      </c>
      <c r="E2315" t="inlineStr">
        <is>
          <t>Positivo</t>
        </is>
      </c>
      <c r="F2315" s="111" t="n">
        <v>45473</v>
      </c>
      <c r="G2315" t="n">
        <v>2024</v>
      </c>
      <c r="H2315" t="inlineStr">
        <is>
          <t>Junio</t>
        </is>
      </c>
      <c r="I2315" t="inlineStr">
        <is>
          <t>2024-1</t>
        </is>
      </c>
      <c r="J2315" t="n">
        <v>100</v>
      </c>
      <c r="K2315" t="n">
        <v>114.33</v>
      </c>
      <c r="L2315" s="39">
        <f>IFERROR(IF(OR(J2315=0,K2315=""),"",IF(E2315="Positivo",MIN(MAX(K2315/J2315,0),1.3),MIN(MAX(J2315/K2315,0),1.3))),"") </f>
        <v/>
      </c>
      <c r="M2315" s="39">
        <f>IFERROR(IF(OR(J2315=0,K2315=""),"",IF(E2315="Positivo",MAX(K2315/J2315,0),MAX(J2315/K2315,0))),"") </f>
        <v/>
      </c>
      <c r="P2315" t="n">
        <v>0</v>
      </c>
      <c r="Q2315" t="n">
        <v>0</v>
      </c>
      <c r="R2315" t="inlineStr">
        <is>
          <t>443-2024-06-30</t>
        </is>
      </c>
    </row>
    <row r="2316">
      <c r="A2316" t="n">
        <v>443</v>
      </c>
      <c r="B2316" t="inlineStr">
        <is>
          <t>Participación de estudiantes invitados en eventos académicos virtuales en Poli</t>
        </is>
      </c>
      <c r="C2316" t="inlineStr">
        <is>
          <t>VISIBILIDAD NACIONAL E INTERNACIONAL</t>
        </is>
      </c>
      <c r="D2316" t="inlineStr">
        <is>
          <t>Semestral</t>
        </is>
      </c>
      <c r="E2316" t="inlineStr">
        <is>
          <t>Positivo</t>
        </is>
      </c>
      <c r="F2316" s="111" t="n">
        <v>45657</v>
      </c>
      <c r="G2316" t="n">
        <v>2024</v>
      </c>
      <c r="H2316" t="inlineStr">
        <is>
          <t>Diciembre</t>
        </is>
      </c>
      <c r="I2316" t="inlineStr">
        <is>
          <t>2024-2</t>
        </is>
      </c>
      <c r="J2316" t="n">
        <v>100</v>
      </c>
      <c r="K2316" t="n">
        <v>209</v>
      </c>
      <c r="L2316" s="39">
        <f>IFERROR(IF(OR(J2316=0,K2316=""),"",IF(E2316="Positivo",MIN(MAX(K2316/J2316,0),1.3),MIN(MAX(J2316/K2316,0),1.3))),"") </f>
        <v/>
      </c>
      <c r="M2316" s="39">
        <f>IFERROR(IF(OR(J2316=0,K2316=""),"",IF(E2316="Positivo",MAX(K2316/J2316,0),MAX(J2316/K2316,0))),"") </f>
        <v/>
      </c>
      <c r="P2316" t="n">
        <v>0</v>
      </c>
      <c r="Q2316" t="n">
        <v>0</v>
      </c>
      <c r="R2316" t="inlineStr">
        <is>
          <t>443-2024-12-31</t>
        </is>
      </c>
    </row>
    <row r="2317">
      <c r="A2317" t="n">
        <v>444</v>
      </c>
      <c r="B2317" t="inlineStr">
        <is>
          <t>CES Proceso de grados</t>
        </is>
      </c>
      <c r="C2317" t="inlineStr">
        <is>
          <t>Registro y Control</t>
        </is>
      </c>
      <c r="D2317" t="inlineStr">
        <is>
          <t>Semestral</t>
        </is>
      </c>
      <c r="E2317" t="inlineStr">
        <is>
          <t>Positivo</t>
        </is>
      </c>
      <c r="F2317" s="111" t="n">
        <v>45657</v>
      </c>
      <c r="G2317" t="n">
        <v>2024</v>
      </c>
      <c r="H2317" t="inlineStr">
        <is>
          <t>Diciembre</t>
        </is>
      </c>
      <c r="I2317" t="inlineStr">
        <is>
          <t>2024-2</t>
        </is>
      </c>
      <c r="K2317" t="n">
        <v>2.1</v>
      </c>
      <c r="L2317" s="39" t="n"/>
      <c r="M2317" s="39" t="n"/>
      <c r="N2317" t="inlineStr">
        <is>
          <t>Linea Base</t>
        </is>
      </c>
      <c r="P2317" t="n">
        <v>0</v>
      </c>
      <c r="Q2317" t="n">
        <v>1</v>
      </c>
      <c r="R2317" t="inlineStr">
        <is>
          <t>444-2024-12-31</t>
        </is>
      </c>
    </row>
    <row r="2318">
      <c r="A2318" t="n">
        <v>444</v>
      </c>
      <c r="B2318" t="inlineStr">
        <is>
          <t>CES Proceso de grados</t>
        </is>
      </c>
      <c r="C2318" t="inlineStr">
        <is>
          <t>Registro y Control</t>
        </is>
      </c>
      <c r="D2318" t="inlineStr">
        <is>
          <t>Semestral</t>
        </is>
      </c>
      <c r="E2318" t="inlineStr">
        <is>
          <t>Positivo</t>
        </is>
      </c>
      <c r="F2318" s="111" t="n">
        <v>45838</v>
      </c>
      <c r="G2318" t="n">
        <v>2025</v>
      </c>
      <c r="H2318" t="inlineStr">
        <is>
          <t>Junio</t>
        </is>
      </c>
      <c r="I2318" t="inlineStr">
        <is>
          <t>2025-1</t>
        </is>
      </c>
      <c r="J2318" t="n">
        <v>3</v>
      </c>
      <c r="K2318" t="n">
        <v>1.6</v>
      </c>
      <c r="L2318" s="39">
        <f>IFERROR(IF(OR(J2318=0,K2318=""),"",IF(E2318="Positivo",MIN(MAX(K2318/J2318,0),1.3),MIN(MAX(J2318/K2318,0),1.3))),"") </f>
        <v/>
      </c>
      <c r="M2318" s="39">
        <f>IFERROR(IF(OR(J2318=0,K2318=""),"",IF(E2318="Positivo",MAX(K2318/J2318,0),MAX(J2318/K2318,0))),"") </f>
        <v/>
      </c>
      <c r="N2318" t="inlineStr">
        <is>
          <t>DEC</t>
        </is>
      </c>
      <c r="O2318" t="inlineStr">
        <is>
          <t>DEC</t>
        </is>
      </c>
      <c r="P2318" t="n">
        <v>0</v>
      </c>
      <c r="Q2318" t="n">
        <v>1</v>
      </c>
      <c r="R2318" t="inlineStr">
        <is>
          <t>444-2025-06-30</t>
        </is>
      </c>
    </row>
    <row r="2319">
      <c r="A2319" t="n">
        <v>444</v>
      </c>
      <c r="B2319" t="inlineStr">
        <is>
          <t>CES Proceso de grados</t>
        </is>
      </c>
      <c r="C2319" t="inlineStr">
        <is>
          <t>Registro y Control</t>
        </is>
      </c>
      <c r="D2319" t="inlineStr">
        <is>
          <t>Trimestral</t>
        </is>
      </c>
      <c r="E2319" t="inlineStr">
        <is>
          <t>Negativo</t>
        </is>
      </c>
      <c r="F2319" s="111" t="n">
        <v>46022</v>
      </c>
      <c r="G2319" t="n">
        <v>2025</v>
      </c>
      <c r="H2319" t="inlineStr">
        <is>
          <t>Diciembre</t>
        </is>
      </c>
      <c r="I2319" t="inlineStr">
        <is>
          <t>2025-2</t>
        </is>
      </c>
      <c r="J2319" t="n">
        <v>3</v>
      </c>
      <c r="K2319" t="n">
        <v>1.7</v>
      </c>
      <c r="L2319" s="39">
        <f>IFERROR(IF(OR(J2319=0,K2319=""),"",IF(E2319="Positivo",MIN(MAX(K2319/J2319,0),1.3),MIN(MAX(J2319/K2319,0),1.3))),"") </f>
        <v/>
      </c>
      <c r="M2319" s="39">
        <f>IFERROR(IF(OR(J2319=0,K2319=""),"",IF(E2319="Positivo",MAX(K2319/J2319,0),MAX(J2319/K2319,0))),"") </f>
        <v/>
      </c>
      <c r="N2319" t="inlineStr">
        <is>
          <t>ENT</t>
        </is>
      </c>
      <c r="O2319" t="inlineStr">
        <is>
          <t>DEC</t>
        </is>
      </c>
      <c r="P2319" t="n">
        <v>0</v>
      </c>
      <c r="Q2319" t="n">
        <v>1</v>
      </c>
      <c r="R2319" t="inlineStr">
        <is>
          <t>444-2025-12-31</t>
        </is>
      </c>
    </row>
    <row r="2320">
      <c r="A2320" t="n">
        <v>445</v>
      </c>
      <c r="B2320" t="inlineStr">
        <is>
          <t>Satisfacción del proceso de grados virtual</t>
        </is>
      </c>
      <c r="C2320" t="inlineStr">
        <is>
          <t>Registro y Control</t>
        </is>
      </c>
      <c r="D2320" t="inlineStr">
        <is>
          <t>Semestral</t>
        </is>
      </c>
      <c r="E2320" t="inlineStr">
        <is>
          <t>Positivo</t>
        </is>
      </c>
      <c r="F2320" s="111" t="n">
        <v>45473</v>
      </c>
      <c r="G2320" t="n">
        <v>2024</v>
      </c>
      <c r="H2320" t="inlineStr">
        <is>
          <t>Junio</t>
        </is>
      </c>
      <c r="I2320" t="inlineStr">
        <is>
          <t>2024-1</t>
        </is>
      </c>
      <c r="J2320" t="n">
        <v>67.5</v>
      </c>
      <c r="K2320" t="n">
        <v>55.2</v>
      </c>
      <c r="L2320" s="39">
        <f>IFERROR(IF(OR(J2320=0,K2320=""),"",IF(E2320="Positivo",MIN(MAX(K2320/J2320,0),1.3),MIN(MAX(J2320/K2320,0),1.3))),"") </f>
        <v/>
      </c>
      <c r="M2320" s="39">
        <f>IFERROR(IF(OR(J2320=0,K2320=""),"",IF(E2320="Positivo",MAX(K2320/J2320,0),MAX(J2320/K2320,0))),"") </f>
        <v/>
      </c>
      <c r="N2320" t="inlineStr">
        <is>
          <t>%</t>
        </is>
      </c>
      <c r="O2320" t="inlineStr">
        <is>
          <t>%</t>
        </is>
      </c>
      <c r="P2320" t="n">
        <v>0</v>
      </c>
      <c r="Q2320" t="n">
        <v>0</v>
      </c>
      <c r="R2320" t="inlineStr">
        <is>
          <t>445-2024-06-30</t>
        </is>
      </c>
    </row>
    <row r="2321">
      <c r="A2321" t="n">
        <v>445</v>
      </c>
      <c r="B2321" t="inlineStr">
        <is>
          <t>Satisfacción del proceso de grados virtual</t>
        </is>
      </c>
      <c r="C2321" t="inlineStr">
        <is>
          <t>Registro y Control</t>
        </is>
      </c>
      <c r="D2321" t="inlineStr">
        <is>
          <t>Semestral</t>
        </is>
      </c>
      <c r="E2321" t="inlineStr">
        <is>
          <t>Positivo</t>
        </is>
      </c>
      <c r="F2321" s="111" t="n">
        <v>45657</v>
      </c>
      <c r="G2321" t="n">
        <v>2024</v>
      </c>
      <c r="H2321" t="inlineStr">
        <is>
          <t>Diciembre</t>
        </is>
      </c>
      <c r="I2321" t="inlineStr">
        <is>
          <t>2024-2</t>
        </is>
      </c>
      <c r="J2321" t="n">
        <v>67.5</v>
      </c>
      <c r="K2321" t="n">
        <v>86.5</v>
      </c>
      <c r="L2321" s="39">
        <f>IFERROR(IF(OR(J2321=0,K2321=""),"",IF(E2321="Positivo",MIN(MAX(K2321/J2321,0),1.3),MIN(MAX(J2321/K2321,0),1.3))),"") </f>
        <v/>
      </c>
      <c r="M2321" s="39">
        <f>IFERROR(IF(OR(J2321=0,K2321=""),"",IF(E2321="Positivo",MAX(K2321/J2321,0),MAX(J2321/K2321,0))),"") </f>
        <v/>
      </c>
      <c r="N2321" t="inlineStr">
        <is>
          <t>%</t>
        </is>
      </c>
      <c r="O2321" t="inlineStr">
        <is>
          <t>%</t>
        </is>
      </c>
      <c r="P2321" t="n">
        <v>0</v>
      </c>
      <c r="Q2321" t="n">
        <v>0</v>
      </c>
      <c r="R2321" t="inlineStr">
        <is>
          <t>445-2024-12-31</t>
        </is>
      </c>
    </row>
    <row r="2322">
      <c r="A2322" t="n">
        <v>445</v>
      </c>
      <c r="B2322" t="inlineStr">
        <is>
          <t>Satisfacción del proceso de grados virtual</t>
        </is>
      </c>
      <c r="C2322" t="inlineStr">
        <is>
          <t>Registro y Control</t>
        </is>
      </c>
      <c r="D2322" t="inlineStr">
        <is>
          <t>Trimestral</t>
        </is>
      </c>
      <c r="E2322" t="inlineStr">
        <is>
          <t>Positivo</t>
        </is>
      </c>
      <c r="F2322" s="111" t="n">
        <v>45838</v>
      </c>
      <c r="G2322" t="n">
        <v>2025</v>
      </c>
      <c r="H2322" t="inlineStr">
        <is>
          <t>Junio</t>
        </is>
      </c>
      <c r="I2322" t="inlineStr">
        <is>
          <t>2025-1</t>
        </is>
      </c>
      <c r="J2322" t="n">
        <v>70</v>
      </c>
      <c r="K2322" t="n">
        <v>75.7</v>
      </c>
      <c r="L2322" s="39">
        <f>IFERROR(IF(OR(J2322=0,K2322=""),"",IF(E2322="Positivo",MIN(MAX(K2322/J2322,0),1.3),MIN(MAX(J2322/K2322,0),1.3))),"") </f>
        <v/>
      </c>
      <c r="M2322" s="39">
        <f>IFERROR(IF(OR(J2322=0,K2322=""),"",IF(E2322="Positivo",MAX(K2322/J2322,0),MAX(J2322/K2322,0))),"") </f>
        <v/>
      </c>
      <c r="N2322" t="inlineStr">
        <is>
          <t>%</t>
        </is>
      </c>
      <c r="O2322" t="inlineStr">
        <is>
          <t>%</t>
        </is>
      </c>
      <c r="P2322" t="n">
        <v>0</v>
      </c>
      <c r="Q2322" t="n">
        <v>0</v>
      </c>
      <c r="R2322" t="inlineStr">
        <is>
          <t>445-2025-06-30</t>
        </is>
      </c>
    </row>
    <row r="2323">
      <c r="A2323" t="n">
        <v>445</v>
      </c>
      <c r="B2323" t="inlineStr">
        <is>
          <t>Satisfacción del proceso de grados virtual</t>
        </is>
      </c>
      <c r="C2323" t="inlineStr">
        <is>
          <t>Registro y Control</t>
        </is>
      </c>
      <c r="D2323" t="inlineStr">
        <is>
          <t>Trimestral</t>
        </is>
      </c>
      <c r="E2323" t="inlineStr">
        <is>
          <t>Positivo</t>
        </is>
      </c>
      <c r="F2323" s="111" t="n">
        <v>46022</v>
      </c>
      <c r="G2323" t="n">
        <v>2025</v>
      </c>
      <c r="H2323" t="inlineStr">
        <is>
          <t>Diciembre</t>
        </is>
      </c>
      <c r="I2323" t="inlineStr">
        <is>
          <t>2025-2</t>
        </is>
      </c>
      <c r="J2323" t="n">
        <v>70</v>
      </c>
      <c r="K2323" t="n">
        <v>85.3</v>
      </c>
      <c r="L2323" s="39">
        <f>IFERROR(IF(OR(J2323=0,K2323=""),"",IF(E2323="Positivo",MIN(MAX(K2323/J2323,0),1.3),MIN(MAX(J2323/K2323,0),1.3))),"") </f>
        <v/>
      </c>
      <c r="M2323" s="39">
        <f>IFERROR(IF(OR(J2323=0,K2323=""),"",IF(E2323="Positivo",MAX(K2323/J2323,0),MAX(J2323/K2323,0))),"") </f>
        <v/>
      </c>
      <c r="N2323" t="inlineStr">
        <is>
          <t>%</t>
        </is>
      </c>
      <c r="O2323" t="inlineStr">
        <is>
          <t>%</t>
        </is>
      </c>
      <c r="P2323" t="n">
        <v>0</v>
      </c>
      <c r="Q2323" t="n">
        <v>0</v>
      </c>
      <c r="R2323" t="inlineStr">
        <is>
          <t>445-2025-12-31</t>
        </is>
      </c>
    </row>
    <row r="2324">
      <c r="A2324" t="n">
        <v>447</v>
      </c>
      <c r="B2324" t="inlineStr">
        <is>
          <t>Participación en actividades culturales</t>
        </is>
      </c>
      <c r="C2324" t="inlineStr">
        <is>
          <t>Biblioteca Institucional</t>
        </is>
      </c>
      <c r="D2324" t="inlineStr">
        <is>
          <t>Semestral</t>
        </is>
      </c>
      <c r="E2324" t="inlineStr">
        <is>
          <t>Positivo</t>
        </is>
      </c>
      <c r="F2324" s="111" t="n">
        <v>45473</v>
      </c>
      <c r="G2324" t="n">
        <v>2024</v>
      </c>
      <c r="H2324" t="inlineStr">
        <is>
          <t>Junio</t>
        </is>
      </c>
      <c r="I2324" t="inlineStr">
        <is>
          <t>2024-1</t>
        </is>
      </c>
      <c r="J2324" t="n">
        <v>15</v>
      </c>
      <c r="K2324" t="n">
        <v>31.04</v>
      </c>
      <c r="L2324" s="39">
        <f>IFERROR(IF(OR(J2324=0,K2324=""),"",IF(E2324="Positivo",MIN(MAX(K2324/J2324,0),1.3),MIN(MAX(J2324/K2324,0),1.3))),"") </f>
        <v/>
      </c>
      <c r="M2324" s="39">
        <f>IFERROR(IF(OR(J2324=0,K2324=""),"",IF(E2324="Positivo",MAX(K2324/J2324,0),MAX(J2324/K2324,0))),"") </f>
        <v/>
      </c>
      <c r="N2324" t="inlineStr">
        <is>
          <t>%</t>
        </is>
      </c>
      <c r="O2324" t="inlineStr">
        <is>
          <t>%</t>
        </is>
      </c>
      <c r="P2324" t="n">
        <v>0</v>
      </c>
      <c r="Q2324" t="n">
        <v>0</v>
      </c>
      <c r="R2324" t="inlineStr">
        <is>
          <t>447-2024-06-30</t>
        </is>
      </c>
    </row>
    <row r="2325">
      <c r="A2325" t="n">
        <v>447</v>
      </c>
      <c r="B2325" t="inlineStr">
        <is>
          <t>Participación en actividades culturales</t>
        </is>
      </c>
      <c r="C2325" t="inlineStr">
        <is>
          <t>Biblioteca Institucional</t>
        </is>
      </c>
      <c r="D2325" t="inlineStr">
        <is>
          <t>Semestral</t>
        </is>
      </c>
      <c r="E2325" t="inlineStr">
        <is>
          <t>Positivo</t>
        </is>
      </c>
      <c r="F2325" s="111" t="n">
        <v>45657</v>
      </c>
      <c r="G2325" t="n">
        <v>2024</v>
      </c>
      <c r="H2325" t="inlineStr">
        <is>
          <t>Diciembre</t>
        </is>
      </c>
      <c r="I2325" t="inlineStr">
        <is>
          <t>2024-2</t>
        </is>
      </c>
      <c r="J2325" t="n">
        <v>15</v>
      </c>
      <c r="K2325" t="n">
        <v>16.16</v>
      </c>
      <c r="L2325" s="39">
        <f>IFERROR(IF(OR(J2325=0,K2325=""),"",IF(E2325="Positivo",MIN(MAX(K2325/J2325,0),1.3),MIN(MAX(J2325/K2325,0),1.3))),"") </f>
        <v/>
      </c>
      <c r="M2325" s="39">
        <f>IFERROR(IF(OR(J2325=0,K2325=""),"",IF(E2325="Positivo",MAX(K2325/J2325,0),MAX(J2325/K2325,0))),"") </f>
        <v/>
      </c>
      <c r="N2325" t="inlineStr">
        <is>
          <t>%</t>
        </is>
      </c>
      <c r="O2325" t="inlineStr">
        <is>
          <t>%</t>
        </is>
      </c>
      <c r="P2325" t="n">
        <v>0</v>
      </c>
      <c r="Q2325" t="n">
        <v>0</v>
      </c>
      <c r="R2325" t="inlineStr">
        <is>
          <t>447-2024-12-31</t>
        </is>
      </c>
    </row>
    <row r="2326">
      <c r="A2326" t="n">
        <v>447</v>
      </c>
      <c r="B2326" t="inlineStr">
        <is>
          <t>Participación en actividades culturales</t>
        </is>
      </c>
      <c r="C2326" t="inlineStr">
        <is>
          <t>Biblioteca Institucional</t>
        </is>
      </c>
      <c r="D2326" t="inlineStr">
        <is>
          <t>Semestral</t>
        </is>
      </c>
      <c r="E2326" t="inlineStr">
        <is>
          <t>Positivo</t>
        </is>
      </c>
      <c r="F2326" s="111" t="n">
        <v>45838</v>
      </c>
      <c r="G2326" t="n">
        <v>2025</v>
      </c>
      <c r="H2326" t="inlineStr">
        <is>
          <t>Junio</t>
        </is>
      </c>
      <c r="I2326" t="inlineStr">
        <is>
          <t>2025-1</t>
        </is>
      </c>
      <c r="J2326" t="n">
        <v>15</v>
      </c>
      <c r="K2326" t="n">
        <v>16.54</v>
      </c>
      <c r="L2326" s="39">
        <f>IFERROR(IF(OR(J2326=0,K2326=""),"",IF(E2326="Positivo",MIN(MAX(K2326/J2326,0),1.3),MIN(MAX(J2326/K2326,0),1.3))),"") </f>
        <v/>
      </c>
      <c r="M2326" s="39">
        <f>IFERROR(IF(OR(J2326=0,K2326=""),"",IF(E2326="Positivo",MAX(K2326/J2326,0),MAX(J2326/K2326,0))),"") </f>
        <v/>
      </c>
      <c r="N2326" t="inlineStr">
        <is>
          <t>%</t>
        </is>
      </c>
      <c r="O2326" t="inlineStr">
        <is>
          <t>%</t>
        </is>
      </c>
      <c r="P2326" t="n">
        <v>0</v>
      </c>
      <c r="Q2326" t="n">
        <v>0</v>
      </c>
      <c r="R2326" t="inlineStr">
        <is>
          <t>447-2025-06-30</t>
        </is>
      </c>
    </row>
    <row r="2327">
      <c r="A2327" t="n">
        <v>447</v>
      </c>
      <c r="B2327" t="inlineStr">
        <is>
          <t>Participación en actividades culturales</t>
        </is>
      </c>
      <c r="C2327" t="inlineStr">
        <is>
          <t>Biblioteca Institucional</t>
        </is>
      </c>
      <c r="D2327" t="inlineStr">
        <is>
          <t>Trimestral</t>
        </is>
      </c>
      <c r="E2327" t="inlineStr">
        <is>
          <t>Positivo</t>
        </is>
      </c>
      <c r="F2327" s="111" t="n">
        <v>46022</v>
      </c>
      <c r="G2327" t="n">
        <v>2025</v>
      </c>
      <c r="H2327" t="inlineStr">
        <is>
          <t>Diciembre</t>
        </is>
      </c>
      <c r="I2327" t="inlineStr">
        <is>
          <t>2025-2</t>
        </is>
      </c>
      <c r="J2327" t="n">
        <v>15</v>
      </c>
      <c r="K2327" t="n">
        <v>15.01</v>
      </c>
      <c r="L2327" s="39">
        <f>IFERROR(IF(OR(J2327=0,K2327=""),"",IF(E2327="Positivo",MIN(MAX(K2327/J2327,0),1.3),MIN(MAX(J2327/K2327,0),1.3))),"") </f>
        <v/>
      </c>
      <c r="M2327" s="39">
        <f>IFERROR(IF(OR(J2327=0,K2327=""),"",IF(E2327="Positivo",MAX(K2327/J2327,0),MAX(J2327/K2327,0))),"") </f>
        <v/>
      </c>
      <c r="N2327" t="inlineStr">
        <is>
          <t>%</t>
        </is>
      </c>
      <c r="O2327" t="inlineStr">
        <is>
          <t>%</t>
        </is>
      </c>
      <c r="P2327" t="n">
        <v>0</v>
      </c>
      <c r="Q2327" t="n">
        <v>0</v>
      </c>
      <c r="R2327" t="inlineStr">
        <is>
          <t>447-2025-12-31</t>
        </is>
      </c>
    </row>
    <row r="2328">
      <c r="A2328" t="n">
        <v>448</v>
      </c>
      <c r="B2328" t="inlineStr">
        <is>
          <t>Participación en actividades de formación</t>
        </is>
      </c>
      <c r="C2328" t="inlineStr">
        <is>
          <t>Biblioteca Institucional</t>
        </is>
      </c>
      <c r="D2328" t="inlineStr">
        <is>
          <t>Semestral</t>
        </is>
      </c>
      <c r="E2328" t="inlineStr">
        <is>
          <t>Positivo</t>
        </is>
      </c>
      <c r="F2328" s="111" t="n">
        <v>45473</v>
      </c>
      <c r="G2328" t="n">
        <v>2024</v>
      </c>
      <c r="H2328" t="inlineStr">
        <is>
          <t>Junio</t>
        </is>
      </c>
      <c r="I2328" t="inlineStr">
        <is>
          <t>2024-1</t>
        </is>
      </c>
      <c r="J2328" t="n">
        <v>9</v>
      </c>
      <c r="K2328" t="n">
        <v>18.93</v>
      </c>
      <c r="L2328" s="39">
        <f>IFERROR(IF(OR(J2328=0,K2328=""),"",IF(E2328="Positivo",MIN(MAX(K2328/J2328,0),1.3),MIN(MAX(J2328/K2328,0),1.3))),"") </f>
        <v/>
      </c>
      <c r="M2328" s="39">
        <f>IFERROR(IF(OR(J2328=0,K2328=""),"",IF(E2328="Positivo",MAX(K2328/J2328,0),MAX(J2328/K2328,0))),"") </f>
        <v/>
      </c>
      <c r="N2328" t="inlineStr">
        <is>
          <t>%</t>
        </is>
      </c>
      <c r="O2328" t="inlineStr">
        <is>
          <t>%</t>
        </is>
      </c>
      <c r="P2328" t="n">
        <v>0</v>
      </c>
      <c r="Q2328" t="n">
        <v>0</v>
      </c>
      <c r="R2328" t="inlineStr">
        <is>
          <t>448-2024-06-30</t>
        </is>
      </c>
    </row>
    <row r="2329">
      <c r="A2329" t="n">
        <v>448</v>
      </c>
      <c r="B2329" t="inlineStr">
        <is>
          <t>Participación en actividades de formación</t>
        </is>
      </c>
      <c r="C2329" t="inlineStr">
        <is>
          <t>Biblioteca Institucional</t>
        </is>
      </c>
      <c r="D2329" t="inlineStr">
        <is>
          <t>Semestral</t>
        </is>
      </c>
      <c r="E2329" t="inlineStr">
        <is>
          <t>Positivo</t>
        </is>
      </c>
      <c r="F2329" s="111" t="n">
        <v>45657</v>
      </c>
      <c r="G2329" t="n">
        <v>2024</v>
      </c>
      <c r="H2329" t="inlineStr">
        <is>
          <t>Diciembre</t>
        </is>
      </c>
      <c r="I2329" t="inlineStr">
        <is>
          <t>2024-2</t>
        </is>
      </c>
      <c r="J2329" t="n">
        <v>9</v>
      </c>
      <c r="K2329" t="n">
        <v>9.32</v>
      </c>
      <c r="L2329" s="39">
        <f>IFERROR(IF(OR(J2329=0,K2329=""),"",IF(E2329="Positivo",MIN(MAX(K2329/J2329,0),1.3),MIN(MAX(J2329/K2329,0),1.3))),"") </f>
        <v/>
      </c>
      <c r="M2329" s="39">
        <f>IFERROR(IF(OR(J2329=0,K2329=""),"",IF(E2329="Positivo",MAX(K2329/J2329,0),MAX(J2329/K2329,0))),"") </f>
        <v/>
      </c>
      <c r="N2329" t="inlineStr">
        <is>
          <t>%</t>
        </is>
      </c>
      <c r="O2329" t="inlineStr">
        <is>
          <t>%</t>
        </is>
      </c>
      <c r="P2329" t="n">
        <v>0</v>
      </c>
      <c r="Q2329" t="n">
        <v>0</v>
      </c>
      <c r="R2329" t="inlineStr">
        <is>
          <t>448-2024-12-31</t>
        </is>
      </c>
    </row>
    <row r="2330">
      <c r="A2330" t="n">
        <v>448</v>
      </c>
      <c r="B2330" t="inlineStr">
        <is>
          <t>Participación en actividades de formación</t>
        </is>
      </c>
      <c r="C2330" t="inlineStr">
        <is>
          <t>Biblioteca Institucional</t>
        </is>
      </c>
      <c r="D2330" t="inlineStr">
        <is>
          <t>Semestral</t>
        </is>
      </c>
      <c r="E2330" t="inlineStr">
        <is>
          <t>Positivo</t>
        </is>
      </c>
      <c r="F2330" s="111" t="n">
        <v>45838</v>
      </c>
      <c r="G2330" t="n">
        <v>2025</v>
      </c>
      <c r="H2330" t="inlineStr">
        <is>
          <t>Junio</t>
        </is>
      </c>
      <c r="I2330" t="inlineStr">
        <is>
          <t>2025-1</t>
        </is>
      </c>
      <c r="J2330" t="n">
        <v>17</v>
      </c>
      <c r="K2330" t="n">
        <v>39.62</v>
      </c>
      <c r="L2330" s="39">
        <f>IFERROR(IF(OR(J2330=0,K2330=""),"",IF(E2330="Positivo",MIN(MAX(K2330/J2330,0),1.3),MIN(MAX(J2330/K2330,0),1.3))),"") </f>
        <v/>
      </c>
      <c r="M2330" s="39">
        <f>IFERROR(IF(OR(J2330=0,K2330=""),"",IF(E2330="Positivo",MAX(K2330/J2330,0),MAX(J2330/K2330,0))),"") </f>
        <v/>
      </c>
      <c r="N2330" t="inlineStr">
        <is>
          <t>%</t>
        </is>
      </c>
      <c r="O2330" t="inlineStr">
        <is>
          <t>%</t>
        </is>
      </c>
      <c r="P2330" t="n">
        <v>0</v>
      </c>
      <c r="Q2330" t="n">
        <v>0</v>
      </c>
      <c r="R2330" t="inlineStr">
        <is>
          <t>448-2025-06-30</t>
        </is>
      </c>
    </row>
    <row r="2331">
      <c r="A2331" t="n">
        <v>448</v>
      </c>
      <c r="B2331" t="inlineStr">
        <is>
          <t>Participación en actividades de formación</t>
        </is>
      </c>
      <c r="C2331" t="inlineStr">
        <is>
          <t>Biblioteca Institucional</t>
        </is>
      </c>
      <c r="D2331" t="inlineStr">
        <is>
          <t>Trimestral</t>
        </is>
      </c>
      <c r="E2331" t="inlineStr">
        <is>
          <t>Positivo</t>
        </is>
      </c>
      <c r="F2331" s="111" t="n">
        <v>46022</v>
      </c>
      <c r="G2331" t="n">
        <v>2025</v>
      </c>
      <c r="H2331" t="inlineStr">
        <is>
          <t>Diciembre</t>
        </is>
      </c>
      <c r="I2331" t="inlineStr">
        <is>
          <t>2025-2</t>
        </is>
      </c>
      <c r="J2331" t="n">
        <v>17</v>
      </c>
      <c r="K2331" t="n">
        <v>59.36</v>
      </c>
      <c r="L2331" s="39">
        <f>IFERROR(IF(OR(J2331=0,K2331=""),"",IF(E2331="Positivo",MIN(MAX(K2331/J2331,0),1.3),MIN(MAX(J2331/K2331,0),1.3))),"") </f>
        <v/>
      </c>
      <c r="M2331" s="39">
        <f>IFERROR(IF(OR(J2331=0,K2331=""),"",IF(E2331="Positivo",MAX(K2331/J2331,0),MAX(J2331/K2331,0))),"") </f>
        <v/>
      </c>
      <c r="N2331" t="inlineStr">
        <is>
          <t>%</t>
        </is>
      </c>
      <c r="O2331" t="inlineStr">
        <is>
          <t>%</t>
        </is>
      </c>
      <c r="P2331" t="n">
        <v>0</v>
      </c>
      <c r="Q2331" t="n">
        <v>1</v>
      </c>
      <c r="R2331" t="inlineStr">
        <is>
          <t>448-2025-12-31</t>
        </is>
      </c>
    </row>
    <row r="2332">
      <c r="A2332" t="n">
        <v>449</v>
      </c>
      <c r="B2332" t="inlineStr">
        <is>
          <t>Cumplimiento en la supervisión y monitoreo a los planes de tratamiento de los riesgos institucionales en nivel alto y extremo</t>
        </is>
      </c>
      <c r="C2332" t="inlineStr">
        <is>
          <t>GESTIÓN DE RIESGOS</t>
        </is>
      </c>
      <c r="D2332" t="inlineStr">
        <is>
          <t>Trimestral</t>
        </is>
      </c>
      <c r="E2332" t="inlineStr">
        <is>
          <t>Positivo</t>
        </is>
      </c>
      <c r="F2332" s="111" t="n">
        <v>45382</v>
      </c>
      <c r="G2332" t="n">
        <v>2024</v>
      </c>
      <c r="H2332" t="inlineStr">
        <is>
          <t>Marzo</t>
        </is>
      </c>
      <c r="I2332" t="inlineStr">
        <is>
          <t>2024-1</t>
        </is>
      </c>
      <c r="J2332" t="n">
        <v>20</v>
      </c>
      <c r="K2332" t="n">
        <v>51.28</v>
      </c>
      <c r="L2332" s="39">
        <f>IFERROR(IF(OR(J2332=0,K2332=""),"",IF(E2332="Positivo",MIN(MAX(K2332/J2332,0),1.3),MIN(MAX(J2332/K2332,0),1.3))),"") </f>
        <v/>
      </c>
      <c r="M2332" s="39">
        <f>IFERROR(IF(OR(J2332=0,K2332=""),"",IF(E2332="Positivo",MAX(K2332/J2332,0),MAX(J2332/K2332,0))),"") </f>
        <v/>
      </c>
      <c r="P2332" t="n">
        <v>0</v>
      </c>
      <c r="Q2332" t="n">
        <v>0</v>
      </c>
      <c r="R2332" t="inlineStr">
        <is>
          <t>449-2024-03-31</t>
        </is>
      </c>
    </row>
    <row r="2333">
      <c r="A2333" t="n">
        <v>449</v>
      </c>
      <c r="B2333" t="inlineStr">
        <is>
          <t>Cumplimiento en la supervisión y monitoreo a los planes de tratamiento de los riesgos institucionales en nivel alto y extremo</t>
        </is>
      </c>
      <c r="C2333" t="inlineStr">
        <is>
          <t>GESTIÓN DE RIESGOS</t>
        </is>
      </c>
      <c r="D2333" t="inlineStr">
        <is>
          <t>Trimestral</t>
        </is>
      </c>
      <c r="E2333" t="inlineStr">
        <is>
          <t>Positivo</t>
        </is>
      </c>
      <c r="F2333" s="111" t="n">
        <v>45565</v>
      </c>
      <c r="G2333" t="n">
        <v>2024</v>
      </c>
      <c r="H2333" t="inlineStr">
        <is>
          <t>Septiembre</t>
        </is>
      </c>
      <c r="I2333" t="inlineStr">
        <is>
          <t>2024-2</t>
        </is>
      </c>
      <c r="J2333" t="n">
        <v>70</v>
      </c>
      <c r="K2333" t="n">
        <v>84.6153846153846</v>
      </c>
      <c r="L2333" s="39">
        <f>IFERROR(IF(OR(J2333=0,K2333=""),"",IF(E2333="Positivo",MIN(MAX(K2333/J2333,0),1.3),MIN(MAX(J2333/K2333,0),1.3))),"") </f>
        <v/>
      </c>
      <c r="M2333" s="39">
        <f>IFERROR(IF(OR(J2333=0,K2333=""),"",IF(E2333="Positivo",MAX(K2333/J2333,0),MAX(J2333/K2333,0))),"") </f>
        <v/>
      </c>
      <c r="P2333" t="n">
        <v>0</v>
      </c>
      <c r="Q2333" t="n">
        <v>0</v>
      </c>
      <c r="R2333" t="inlineStr">
        <is>
          <t>449-2024-09-30</t>
        </is>
      </c>
    </row>
    <row r="2334">
      <c r="A2334" t="n">
        <v>449</v>
      </c>
      <c r="B2334" t="inlineStr">
        <is>
          <t>Cumplimiento en la supervisión y monitoreo a los planes de tratamiento de los riesgos institucionales en nivel alto y extremo</t>
        </is>
      </c>
      <c r="C2334" t="inlineStr">
        <is>
          <t>GESTIÓN DE RIESGOS</t>
        </is>
      </c>
      <c r="D2334" t="inlineStr">
        <is>
          <t>Trimestral</t>
        </is>
      </c>
      <c r="E2334" t="inlineStr">
        <is>
          <t>Positivo</t>
        </is>
      </c>
      <c r="F2334" s="111" t="n">
        <v>45657</v>
      </c>
      <c r="G2334" t="n">
        <v>2024</v>
      </c>
      <c r="H2334" t="inlineStr">
        <is>
          <t>Diciembre</t>
        </is>
      </c>
      <c r="I2334" t="inlineStr">
        <is>
          <t>2024-2</t>
        </is>
      </c>
      <c r="J2334" t="n">
        <v>100</v>
      </c>
      <c r="K2334" t="n">
        <v>100</v>
      </c>
      <c r="L2334" s="39">
        <f>IFERROR(IF(OR(J2334=0,K2334=""),"",IF(E2334="Positivo",MIN(MAX(K2334/J2334,0),1.3),MIN(MAX(J2334/K2334,0),1.3))),"") </f>
        <v/>
      </c>
      <c r="M2334" s="39">
        <f>IFERROR(IF(OR(J2334=0,K2334=""),"",IF(E2334="Positivo",MAX(K2334/J2334,0),MAX(J2334/K2334,0))),"") </f>
        <v/>
      </c>
      <c r="P2334" t="n">
        <v>0</v>
      </c>
      <c r="Q2334" t="n">
        <v>0</v>
      </c>
      <c r="R2334" t="inlineStr">
        <is>
          <t>449-2024-12-31</t>
        </is>
      </c>
    </row>
    <row r="2335">
      <c r="A2335" t="n">
        <v>451</v>
      </c>
      <c r="B2335" t="inlineStr">
        <is>
          <t>% Participación de publicaciones positiva</t>
        </is>
      </c>
      <c r="C2335" t="inlineStr">
        <is>
          <t>Comunicaciones Externas</t>
        </is>
      </c>
      <c r="D2335" t="inlineStr">
        <is>
          <t>Semestral</t>
        </is>
      </c>
      <c r="E2335" t="inlineStr">
        <is>
          <t>Positivo</t>
        </is>
      </c>
      <c r="F2335" s="111" t="n">
        <v>45473</v>
      </c>
      <c r="G2335" t="n">
        <v>2024</v>
      </c>
      <c r="H2335" t="inlineStr">
        <is>
          <t>Junio</t>
        </is>
      </c>
      <c r="I2335" t="inlineStr">
        <is>
          <t>2024-1</t>
        </is>
      </c>
      <c r="J2335" t="n">
        <v>0</v>
      </c>
      <c r="K2335" t="n">
        <v>34.9</v>
      </c>
      <c r="L2335" s="39">
        <f>IFERROR(IF(OR(J2335=0,K2335=""),"",IF(E2335="Positivo",MIN(MAX(K2335/J2335,0),1.3),MIN(MAX(J2335/K2335,0),1.3))),"") </f>
        <v/>
      </c>
      <c r="M2335" s="39">
        <f>IFERROR(IF(OR(J2335=0,K2335=""),"",IF(E2335="Positivo",MAX(K2335/J2335,0),MAX(J2335/K2335,0))),"") </f>
        <v/>
      </c>
      <c r="P2335" t="n">
        <v>0</v>
      </c>
      <c r="Q2335" t="n">
        <v>0</v>
      </c>
      <c r="R2335" t="inlineStr">
        <is>
          <t>451-2024-06-30</t>
        </is>
      </c>
    </row>
    <row r="2336">
      <c r="A2336" t="n">
        <v>451</v>
      </c>
      <c r="B2336" t="inlineStr">
        <is>
          <t>% Participación de publicaciones positiva</t>
        </is>
      </c>
      <c r="C2336" t="inlineStr">
        <is>
          <t>Comunicaciones Externas</t>
        </is>
      </c>
      <c r="D2336" t="inlineStr">
        <is>
          <t>Semestral</t>
        </is>
      </c>
      <c r="E2336" t="inlineStr">
        <is>
          <t>Positivo</t>
        </is>
      </c>
      <c r="F2336" s="111" t="n">
        <v>45657</v>
      </c>
      <c r="G2336" t="n">
        <v>2024</v>
      </c>
      <c r="H2336" t="inlineStr">
        <is>
          <t>Diciembre</t>
        </is>
      </c>
      <c r="I2336" t="inlineStr">
        <is>
          <t>2024-2</t>
        </is>
      </c>
      <c r="J2336" t="n">
        <v>0</v>
      </c>
      <c r="K2336" t="n">
        <v>42.7</v>
      </c>
      <c r="L2336" s="39">
        <f>IFERROR(IF(OR(J2336=0,K2336=""),"",IF(E2336="Positivo",MIN(MAX(K2336/J2336,0),1.3),MIN(MAX(J2336/K2336,0),1.3))),"") </f>
        <v/>
      </c>
      <c r="M2336" s="39">
        <f>IFERROR(IF(OR(J2336=0,K2336=""),"",IF(E2336="Positivo",MAX(K2336/J2336,0),MAX(J2336/K2336,0))),"") </f>
        <v/>
      </c>
      <c r="P2336" t="n">
        <v>0</v>
      </c>
      <c r="Q2336" t="n">
        <v>0</v>
      </c>
      <c r="R2336" t="inlineStr">
        <is>
          <t>451-2024-12-31</t>
        </is>
      </c>
    </row>
    <row r="2337">
      <c r="A2337" t="n">
        <v>451</v>
      </c>
      <c r="B2337" t="inlineStr">
        <is>
          <t>% Participación de publicaciones positiva</t>
        </is>
      </c>
      <c r="C2337" t="inlineStr">
        <is>
          <t>Comunicaciones Externas</t>
        </is>
      </c>
      <c r="D2337" t="inlineStr">
        <is>
          <t>Semestral</t>
        </is>
      </c>
      <c r="E2337" t="inlineStr">
        <is>
          <t>Positivo</t>
        </is>
      </c>
      <c r="F2337" s="111" t="n">
        <v>45838</v>
      </c>
      <c r="G2337" t="n">
        <v>2025</v>
      </c>
      <c r="H2337" t="inlineStr">
        <is>
          <t>Junio</t>
        </is>
      </c>
      <c r="I2337" t="inlineStr">
        <is>
          <t>2025-1</t>
        </is>
      </c>
      <c r="J2337" t="n">
        <v>100</v>
      </c>
      <c r="K2337" t="n">
        <v>119.5</v>
      </c>
      <c r="L2337" s="39">
        <f>IFERROR(IF(OR(J2337=0,K2337=""),"",IF(E2337="Positivo",MIN(MAX(K2337/J2337,0),1.3),MIN(MAX(J2337/K2337,0),1.3))),"") </f>
        <v/>
      </c>
      <c r="M2337" s="39">
        <f>IFERROR(IF(OR(J2337=0,K2337=""),"",IF(E2337="Positivo",MAX(K2337/J2337,0),MAX(J2337/K2337,0))),"") </f>
        <v/>
      </c>
      <c r="P2337" t="n">
        <v>0</v>
      </c>
      <c r="Q2337" t="n">
        <v>0</v>
      </c>
      <c r="R2337" t="inlineStr">
        <is>
          <t>451-2025-06-30</t>
        </is>
      </c>
    </row>
    <row r="2338">
      <c r="A2338" t="n">
        <v>451</v>
      </c>
      <c r="B2338" t="inlineStr">
        <is>
          <t>% de publicaciones con sentimiento positivo</t>
        </is>
      </c>
      <c r="C2338" t="inlineStr">
        <is>
          <t>Comunicaciones Externas</t>
        </is>
      </c>
      <c r="D2338" t="inlineStr">
        <is>
          <t>Trimestral</t>
        </is>
      </c>
      <c r="E2338" t="inlineStr">
        <is>
          <t>Positivo</t>
        </is>
      </c>
      <c r="F2338" s="111" t="n">
        <v>46022</v>
      </c>
      <c r="G2338" t="n">
        <v>2025</v>
      </c>
      <c r="H2338" t="inlineStr">
        <is>
          <t>Diciembre</t>
        </is>
      </c>
      <c r="I2338" t="inlineStr">
        <is>
          <t>2025-2</t>
        </is>
      </c>
      <c r="J2338" t="n">
        <v>100</v>
      </c>
      <c r="K2338" t="n">
        <v>130.8</v>
      </c>
      <c r="L2338" s="39">
        <f>IFERROR(IF(OR(J2338=0,K2338=""),"",IF(E2338="Positivo",MIN(MAX(K2338/J2338,0),1.3),MIN(MAX(J2338/K2338,0),1.3))),"") </f>
        <v/>
      </c>
      <c r="M2338" s="39">
        <f>IFERROR(IF(OR(J2338=0,K2338=""),"",IF(E2338="Positivo",MAX(K2338/J2338,0),MAX(J2338/K2338,0))),"") </f>
        <v/>
      </c>
      <c r="N2338" t="inlineStr">
        <is>
          <t>%</t>
        </is>
      </c>
      <c r="O2338" t="inlineStr">
        <is>
          <t>%</t>
        </is>
      </c>
      <c r="P2338" t="n">
        <v>0</v>
      </c>
      <c r="Q2338" t="n">
        <v>0</v>
      </c>
      <c r="R2338" t="inlineStr">
        <is>
          <t>451-2025-12-31</t>
        </is>
      </c>
    </row>
    <row r="2339">
      <c r="A2339" t="n">
        <v>452</v>
      </c>
      <c r="B2339" t="inlineStr">
        <is>
          <t>Seguimiento a eventos internos y externos institucionales</t>
        </is>
      </c>
      <c r="C2339" t="inlineStr">
        <is>
          <t>Comunicaciones Externas</t>
        </is>
      </c>
      <c r="D2339" t="inlineStr">
        <is>
          <t>Trimestral</t>
        </is>
      </c>
      <c r="E2339" t="inlineStr">
        <is>
          <t>Positivo</t>
        </is>
      </c>
      <c r="F2339" s="111" t="n">
        <v>45473</v>
      </c>
      <c r="G2339" t="n">
        <v>2024</v>
      </c>
      <c r="H2339" t="inlineStr">
        <is>
          <t>Junio</t>
        </is>
      </c>
      <c r="I2339" t="inlineStr">
        <is>
          <t>2024-1</t>
        </is>
      </c>
      <c r="J2339" t="n">
        <v>100</v>
      </c>
      <c r="K2339" t="n">
        <v>100</v>
      </c>
      <c r="L2339" s="39">
        <f>IFERROR(IF(OR(J2339=0,K2339=""),"",IF(E2339="Positivo",MIN(MAX(K2339/J2339,0),1.3),MIN(MAX(J2339/K2339,0),1.3))),"") </f>
        <v/>
      </c>
      <c r="M2339" s="39">
        <f>IFERROR(IF(OR(J2339=0,K2339=""),"",IF(E2339="Positivo",MAX(K2339/J2339,0),MAX(J2339/K2339,0))),"") </f>
        <v/>
      </c>
      <c r="N2339" t="inlineStr">
        <is>
          <t>%</t>
        </is>
      </c>
      <c r="O2339" t="inlineStr">
        <is>
          <t>%</t>
        </is>
      </c>
      <c r="P2339" t="n">
        <v>0</v>
      </c>
      <c r="Q2339" t="n">
        <v>0</v>
      </c>
      <c r="R2339" t="inlineStr">
        <is>
          <t>452-2024-06-30</t>
        </is>
      </c>
    </row>
    <row r="2340">
      <c r="A2340" t="n">
        <v>452</v>
      </c>
      <c r="B2340" t="inlineStr">
        <is>
          <t>Seguimiento a eventos internos y externos institucionales</t>
        </is>
      </c>
      <c r="C2340" t="inlineStr">
        <is>
          <t>Comunicaciones Externas</t>
        </is>
      </c>
      <c r="D2340" t="inlineStr">
        <is>
          <t>Semestral</t>
        </is>
      </c>
      <c r="E2340" t="inlineStr">
        <is>
          <t>Positivo</t>
        </is>
      </c>
      <c r="F2340" s="111" t="n">
        <v>45657</v>
      </c>
      <c r="G2340" t="n">
        <v>2024</v>
      </c>
      <c r="H2340" t="inlineStr">
        <is>
          <t>Diciembre</t>
        </is>
      </c>
      <c r="I2340" t="inlineStr">
        <is>
          <t>2024-2</t>
        </is>
      </c>
      <c r="J2340" t="n">
        <v>100</v>
      </c>
      <c r="K2340" t="n">
        <v>160</v>
      </c>
      <c r="L2340" s="39">
        <f>IFERROR(IF(OR(J2340=0,K2340=""),"",IF(E2340="Positivo",MIN(MAX(K2340/J2340,0),1.3),MIN(MAX(J2340/K2340,0),1.3))),"") </f>
        <v/>
      </c>
      <c r="M2340" s="39">
        <f>IFERROR(IF(OR(J2340=0,K2340=""),"",IF(E2340="Positivo",MAX(K2340/J2340,0),MAX(J2340/K2340,0))),"") </f>
        <v/>
      </c>
      <c r="P2340" t="n">
        <v>0</v>
      </c>
      <c r="Q2340" t="n">
        <v>0</v>
      </c>
      <c r="R2340" t="inlineStr">
        <is>
          <t>452-2024-12-31</t>
        </is>
      </c>
    </row>
    <row r="2341">
      <c r="A2341" t="n">
        <v>452</v>
      </c>
      <c r="B2341" t="inlineStr">
        <is>
          <t>Seguimiento a eventos internos y externos institucionales</t>
        </is>
      </c>
      <c r="C2341" t="inlineStr">
        <is>
          <t>Comunicaciones Externas</t>
        </is>
      </c>
      <c r="D2341" t="inlineStr">
        <is>
          <t>Trimestral</t>
        </is>
      </c>
      <c r="E2341" t="inlineStr">
        <is>
          <t>Positivo</t>
        </is>
      </c>
      <c r="F2341" s="111" t="n">
        <v>45838</v>
      </c>
      <c r="G2341" t="n">
        <v>2025</v>
      </c>
      <c r="H2341" t="inlineStr">
        <is>
          <t>Junio</t>
        </is>
      </c>
      <c r="I2341" t="inlineStr">
        <is>
          <t>2025-1</t>
        </is>
      </c>
      <c r="J2341" t="n">
        <v>100</v>
      </c>
      <c r="K2341" t="n">
        <v>102.27</v>
      </c>
      <c r="L2341" s="39">
        <f>IFERROR(IF(OR(J2341=0,K2341=""),"",IF(E2341="Positivo",MIN(MAX(K2341/J2341,0),1.3),MIN(MAX(J2341/K2341,0),1.3))),"") </f>
        <v/>
      </c>
      <c r="M2341" s="39">
        <f>IFERROR(IF(OR(J2341=0,K2341=""),"",IF(E2341="Positivo",MAX(K2341/J2341,0),MAX(J2341/K2341,0))),"") </f>
        <v/>
      </c>
      <c r="N2341" t="inlineStr">
        <is>
          <t>%</t>
        </is>
      </c>
      <c r="O2341" t="inlineStr">
        <is>
          <t>%</t>
        </is>
      </c>
      <c r="P2341" t="n">
        <v>0</v>
      </c>
      <c r="Q2341" t="n">
        <v>0</v>
      </c>
      <c r="R2341" t="inlineStr">
        <is>
          <t>452-2025-06-30</t>
        </is>
      </c>
    </row>
    <row r="2342">
      <c r="A2342" t="n">
        <v>452</v>
      </c>
      <c r="B2342" t="inlineStr">
        <is>
          <t>Seguimiento a eventos internos y externos institucionales</t>
        </is>
      </c>
      <c r="C2342" t="inlineStr">
        <is>
          <t>Comunicaciones Externas</t>
        </is>
      </c>
      <c r="D2342" t="inlineStr">
        <is>
          <t>Trimestral</t>
        </is>
      </c>
      <c r="E2342" t="inlineStr">
        <is>
          <t>Positivo</t>
        </is>
      </c>
      <c r="F2342" s="111" t="n">
        <v>46022</v>
      </c>
      <c r="G2342" t="n">
        <v>2025</v>
      </c>
      <c r="H2342" t="inlineStr">
        <is>
          <t>Diciembre</t>
        </is>
      </c>
      <c r="I2342" t="inlineStr">
        <is>
          <t>2025-2</t>
        </is>
      </c>
      <c r="J2342" t="n">
        <v>100</v>
      </c>
      <c r="K2342" t="n">
        <v>200</v>
      </c>
      <c r="L2342" s="39">
        <f>IFERROR(IF(OR(J2342=0,K2342=""),"",IF(E2342="Positivo",MIN(MAX(K2342/J2342,0),1.3),MIN(MAX(J2342/K2342,0),1.3))),"") </f>
        <v/>
      </c>
      <c r="M2342" s="39">
        <f>IFERROR(IF(OR(J2342=0,K2342=""),"",IF(E2342="Positivo",MAX(K2342/J2342,0),MAX(J2342/K2342,0))),"") </f>
        <v/>
      </c>
      <c r="N2342" t="inlineStr">
        <is>
          <t>%</t>
        </is>
      </c>
      <c r="O2342" t="inlineStr">
        <is>
          <t>%</t>
        </is>
      </c>
      <c r="P2342" t="n">
        <v>0</v>
      </c>
      <c r="Q2342" t="n">
        <v>0</v>
      </c>
      <c r="R2342" t="inlineStr">
        <is>
          <t>452-2025-12-31</t>
        </is>
      </c>
    </row>
    <row r="2343">
      <c r="A2343" t="n">
        <v>453</v>
      </c>
      <c r="B2343" t="inlineStr">
        <is>
          <t>Número de cursos diseñados</t>
        </is>
      </c>
      <c r="C2343" t="inlineStr">
        <is>
          <t>Diseño de Contenido Virtual</t>
        </is>
      </c>
      <c r="D2343" t="inlineStr">
        <is>
          <t>Trimestral</t>
        </is>
      </c>
      <c r="E2343" t="inlineStr">
        <is>
          <t>Positivo</t>
        </is>
      </c>
      <c r="F2343" s="111" t="n">
        <v>45382</v>
      </c>
      <c r="G2343" t="n">
        <v>2024</v>
      </c>
      <c r="H2343" t="inlineStr">
        <is>
          <t>Marzo</t>
        </is>
      </c>
      <c r="I2343" t="inlineStr">
        <is>
          <t>2024-1</t>
        </is>
      </c>
      <c r="J2343" t="n">
        <v>0</v>
      </c>
      <c r="K2343" t="n">
        <v>52</v>
      </c>
      <c r="L2343" s="39">
        <f>IFERROR(IF(OR(J2343=0,K2343=""),"",IF(E2343="Positivo",MIN(MAX(K2343/J2343,0),1.3),MIN(MAX(J2343/K2343,0),1.3))),"") </f>
        <v/>
      </c>
      <c r="M2343" s="39">
        <f>IFERROR(IF(OR(J2343=0,K2343=""),"",IF(E2343="Positivo",MAX(K2343/J2343,0),MAX(J2343/K2343,0))),"") </f>
        <v/>
      </c>
      <c r="P2343" t="n">
        <v>0</v>
      </c>
      <c r="Q2343" t="n">
        <v>0</v>
      </c>
      <c r="R2343" t="inlineStr">
        <is>
          <t>453-2024-03-31</t>
        </is>
      </c>
    </row>
    <row r="2344">
      <c r="A2344" t="n">
        <v>453</v>
      </c>
      <c r="B2344" t="inlineStr">
        <is>
          <t>Número de cursos diseñados</t>
        </is>
      </c>
      <c r="C2344" t="inlineStr">
        <is>
          <t>Diseño de Contenido Virtual</t>
        </is>
      </c>
      <c r="D2344" t="inlineStr">
        <is>
          <t>Trimestral</t>
        </is>
      </c>
      <c r="E2344" t="inlineStr">
        <is>
          <t>Positivo</t>
        </is>
      </c>
      <c r="F2344" s="111" t="n">
        <v>45473</v>
      </c>
      <c r="G2344" t="n">
        <v>2024</v>
      </c>
      <c r="H2344" t="inlineStr">
        <is>
          <t>Junio</t>
        </is>
      </c>
      <c r="I2344" t="inlineStr">
        <is>
          <t>2024-1</t>
        </is>
      </c>
      <c r="J2344" t="n">
        <v>100</v>
      </c>
      <c r="K2344" t="n">
        <v>140</v>
      </c>
      <c r="L2344" s="39">
        <f>IFERROR(IF(OR(J2344=0,K2344=""),"",IF(E2344="Positivo",MIN(MAX(K2344/J2344,0),1.3),MIN(MAX(J2344/K2344,0),1.3))),"") </f>
        <v/>
      </c>
      <c r="M2344" s="39">
        <f>IFERROR(IF(OR(J2344=0,K2344=""),"",IF(E2344="Positivo",MAX(K2344/J2344,0),MAX(J2344/K2344,0))),"") </f>
        <v/>
      </c>
      <c r="P2344" t="n">
        <v>0</v>
      </c>
      <c r="Q2344" t="n">
        <v>0</v>
      </c>
      <c r="R2344" t="inlineStr">
        <is>
          <t>453-2024-06-30</t>
        </is>
      </c>
    </row>
    <row r="2345">
      <c r="A2345" t="n">
        <v>453</v>
      </c>
      <c r="B2345" t="inlineStr">
        <is>
          <t>Número de cursos diseñados</t>
        </is>
      </c>
      <c r="C2345" t="inlineStr">
        <is>
          <t>Diseño de Contenido Virtual</t>
        </is>
      </c>
      <c r="D2345" t="inlineStr">
        <is>
          <t>Trimestral</t>
        </is>
      </c>
      <c r="E2345" t="inlineStr">
        <is>
          <t>Positivo</t>
        </is>
      </c>
      <c r="F2345" s="111" t="n">
        <v>45565</v>
      </c>
      <c r="G2345" t="n">
        <v>2024</v>
      </c>
      <c r="H2345" t="inlineStr">
        <is>
          <t>Septiembre</t>
        </is>
      </c>
      <c r="I2345" t="inlineStr">
        <is>
          <t>2024-2</t>
        </is>
      </c>
      <c r="J2345" t="n">
        <v>100</v>
      </c>
      <c r="K2345" t="n">
        <v>300</v>
      </c>
      <c r="L2345" s="39">
        <f>IFERROR(IF(OR(J2345=0,K2345=""),"",IF(E2345="Positivo",MIN(MAX(K2345/J2345,0),1.3),MIN(MAX(J2345/K2345,0),1.3))),"") </f>
        <v/>
      </c>
      <c r="M2345" s="39">
        <f>IFERROR(IF(OR(J2345=0,K2345=""),"",IF(E2345="Positivo",MAX(K2345/J2345,0),MAX(J2345/K2345,0))),"") </f>
        <v/>
      </c>
      <c r="P2345" t="n">
        <v>0</v>
      </c>
      <c r="Q2345" t="n">
        <v>0</v>
      </c>
      <c r="R2345" t="inlineStr">
        <is>
          <t>453-2024-09-30</t>
        </is>
      </c>
    </row>
    <row r="2346">
      <c r="A2346" t="n">
        <v>453</v>
      </c>
      <c r="B2346" t="inlineStr">
        <is>
          <t>Número de cursos diseñados</t>
        </is>
      </c>
      <c r="C2346" t="inlineStr">
        <is>
          <t>Diseño de Contenido Virtual</t>
        </is>
      </c>
      <c r="D2346" t="inlineStr">
        <is>
          <t>Trimestral</t>
        </is>
      </c>
      <c r="E2346" t="inlineStr">
        <is>
          <t>Positivo</t>
        </is>
      </c>
      <c r="F2346" s="111" t="n">
        <v>45657</v>
      </c>
      <c r="G2346" t="n">
        <v>2024</v>
      </c>
      <c r="H2346" t="inlineStr">
        <is>
          <t>Diciembre</t>
        </is>
      </c>
      <c r="I2346" t="inlineStr">
        <is>
          <t>2024-2</t>
        </is>
      </c>
      <c r="J2346" t="n">
        <v>100</v>
      </c>
      <c r="K2346" t="n">
        <v>148</v>
      </c>
      <c r="L2346" s="39">
        <f>IFERROR(IF(OR(J2346=0,K2346=""),"",IF(E2346="Positivo",MIN(MAX(K2346/J2346,0),1.3),MIN(MAX(J2346/K2346,0),1.3))),"") </f>
        <v/>
      </c>
      <c r="M2346" s="39">
        <f>IFERROR(IF(OR(J2346=0,K2346=""),"",IF(E2346="Positivo",MAX(K2346/J2346,0),MAX(J2346/K2346,0))),"") </f>
        <v/>
      </c>
      <c r="P2346" t="n">
        <v>0</v>
      </c>
      <c r="Q2346" t="n">
        <v>0</v>
      </c>
      <c r="R2346" t="inlineStr">
        <is>
          <t>453-2024-12-31</t>
        </is>
      </c>
    </row>
    <row r="2347">
      <c r="A2347" t="n">
        <v>453</v>
      </c>
      <c r="B2347" t="inlineStr">
        <is>
          <t>Número de cursos diseñados</t>
        </is>
      </c>
      <c r="C2347" t="inlineStr">
        <is>
          <t>Diseño de Contenido Virtual</t>
        </is>
      </c>
      <c r="D2347" t="inlineStr">
        <is>
          <t>Trimestral</t>
        </is>
      </c>
      <c r="E2347" t="inlineStr">
        <is>
          <t>Positivo</t>
        </is>
      </c>
      <c r="F2347" s="111" t="n">
        <v>45747</v>
      </c>
      <c r="G2347" t="n">
        <v>2025</v>
      </c>
      <c r="H2347" t="inlineStr">
        <is>
          <t>Marzo</t>
        </is>
      </c>
      <c r="I2347" t="inlineStr">
        <is>
          <t>2025-1</t>
        </is>
      </c>
      <c r="J2347" t="n">
        <v>100</v>
      </c>
      <c r="K2347" t="n">
        <v>48</v>
      </c>
      <c r="L2347" s="39">
        <f>IFERROR(IF(OR(J2347=0,K2347=""),"",IF(E2347="Positivo",MIN(MAX(K2347/J2347,0),1.3),MIN(MAX(J2347/K2347,0),1.3))),"") </f>
        <v/>
      </c>
      <c r="M2347" s="39">
        <f>IFERROR(IF(OR(J2347=0,K2347=""),"",IF(E2347="Positivo",MAX(K2347/J2347,0),MAX(J2347/K2347,0))),"") </f>
        <v/>
      </c>
      <c r="P2347" t="n">
        <v>0</v>
      </c>
      <c r="Q2347" t="n">
        <v>0</v>
      </c>
      <c r="R2347" t="inlineStr">
        <is>
          <t>453-2025-03-31</t>
        </is>
      </c>
    </row>
    <row r="2348">
      <c r="A2348" t="n">
        <v>453</v>
      </c>
      <c r="B2348" t="inlineStr">
        <is>
          <t>Número de cursos diseñados</t>
        </is>
      </c>
      <c r="C2348" t="inlineStr">
        <is>
          <t>Diseño de Contenido Virtual</t>
        </is>
      </c>
      <c r="D2348" t="inlineStr">
        <is>
          <t>Trimestral</t>
        </is>
      </c>
      <c r="E2348" t="inlineStr">
        <is>
          <t>Positivo</t>
        </is>
      </c>
      <c r="F2348" s="111" t="n">
        <v>45838</v>
      </c>
      <c r="G2348" t="n">
        <v>2025</v>
      </c>
      <c r="H2348" t="inlineStr">
        <is>
          <t>Junio</t>
        </is>
      </c>
      <c r="I2348" t="inlineStr">
        <is>
          <t>2025-1</t>
        </is>
      </c>
      <c r="J2348" t="n">
        <v>100</v>
      </c>
      <c r="K2348" t="n">
        <v>100</v>
      </c>
      <c r="L2348" s="39">
        <f>IFERROR(IF(OR(J2348=0,K2348=""),"",IF(E2348="Positivo",MIN(MAX(K2348/J2348,0),1.3),MIN(MAX(J2348/K2348,0),1.3))),"") </f>
        <v/>
      </c>
      <c r="M2348" s="39">
        <f>IFERROR(IF(OR(J2348=0,K2348=""),"",IF(E2348="Positivo",MAX(K2348/J2348,0),MAX(J2348/K2348,0))),"") </f>
        <v/>
      </c>
      <c r="P2348" t="n">
        <v>0</v>
      </c>
      <c r="Q2348" t="n">
        <v>0</v>
      </c>
      <c r="R2348" t="inlineStr">
        <is>
          <t>453-2025-06-30</t>
        </is>
      </c>
    </row>
    <row r="2349">
      <c r="A2349" t="n">
        <v>453</v>
      </c>
      <c r="B2349" t="inlineStr">
        <is>
          <t>Número de cursos diseñados</t>
        </is>
      </c>
      <c r="C2349" t="inlineStr">
        <is>
          <t>Diseño de Contenido Virtual</t>
        </is>
      </c>
      <c r="D2349" t="inlineStr">
        <is>
          <t>Semestral</t>
        </is>
      </c>
      <c r="E2349" t="inlineStr">
        <is>
          <t>Positivo</t>
        </is>
      </c>
      <c r="F2349" s="111" t="n">
        <v>45930</v>
      </c>
      <c r="G2349" t="n">
        <v>2025</v>
      </c>
      <c r="H2349" t="inlineStr">
        <is>
          <t>Septiembre</t>
        </is>
      </c>
      <c r="I2349" t="inlineStr">
        <is>
          <t>2025-2</t>
        </is>
      </c>
      <c r="J2349" t="n">
        <v>100</v>
      </c>
      <c r="K2349" t="n">
        <v>100</v>
      </c>
      <c r="L2349" s="39">
        <f>IFERROR(IF(OR(J2349=0,K2349=""),"",IF(E2349="Positivo",MIN(MAX(K2349/J2349,0),1.3),MIN(MAX(J2349/K2349,0),1.3))),"") </f>
        <v/>
      </c>
      <c r="M2349" s="39">
        <f>IFERROR(IF(OR(J2349=0,K2349=""),"",IF(E2349="Positivo",MAX(K2349/J2349,0),MAX(J2349/K2349,0))),"") </f>
        <v/>
      </c>
      <c r="N2349" t="inlineStr">
        <is>
          <t>%</t>
        </is>
      </c>
      <c r="O2349" t="inlineStr">
        <is>
          <t>%</t>
        </is>
      </c>
      <c r="P2349" t="n">
        <v>0</v>
      </c>
      <c r="Q2349" t="n">
        <v>0</v>
      </c>
      <c r="R2349" t="inlineStr">
        <is>
          <t>453-2025-09-30</t>
        </is>
      </c>
    </row>
    <row r="2350">
      <c r="A2350" t="n">
        <v>453</v>
      </c>
      <c r="B2350" t="inlineStr">
        <is>
          <t>Número de cursos diseñados</t>
        </is>
      </c>
      <c r="C2350" t="inlineStr">
        <is>
          <t>Diseño de Contenido Virtual</t>
        </is>
      </c>
      <c r="D2350" t="inlineStr">
        <is>
          <t>Semestral</t>
        </is>
      </c>
      <c r="E2350" t="inlineStr">
        <is>
          <t>Positivo</t>
        </is>
      </c>
      <c r="F2350" s="111" t="n">
        <v>46022</v>
      </c>
      <c r="G2350" t="n">
        <v>2025</v>
      </c>
      <c r="H2350" t="inlineStr">
        <is>
          <t>Diciembre</t>
        </is>
      </c>
      <c r="I2350" t="inlineStr">
        <is>
          <t>2025-2</t>
        </is>
      </c>
      <c r="J2350" t="n">
        <v>100</v>
      </c>
      <c r="K2350" t="n">
        <v>100</v>
      </c>
      <c r="L2350" s="39">
        <f>IFERROR(IF(OR(J2350=0,K2350=""),"",IF(E2350="Positivo",MIN(MAX(K2350/J2350,0),1.3),MIN(MAX(J2350/K2350,0),1.3))),"") </f>
        <v/>
      </c>
      <c r="M2350" s="39">
        <f>IFERROR(IF(OR(J2350=0,K2350=""),"",IF(E2350="Positivo",MAX(K2350/J2350,0),MAX(J2350/K2350,0))),"") </f>
        <v/>
      </c>
      <c r="N2350" t="inlineStr">
        <is>
          <t>%</t>
        </is>
      </c>
      <c r="O2350" t="inlineStr">
        <is>
          <t>%</t>
        </is>
      </c>
      <c r="P2350" t="n">
        <v>0</v>
      </c>
      <c r="Q2350" t="n">
        <v>0</v>
      </c>
      <c r="R2350" t="inlineStr">
        <is>
          <t>453-2025-12-31</t>
        </is>
      </c>
    </row>
    <row r="2351">
      <c r="A2351" t="n">
        <v>454</v>
      </c>
      <c r="B2351" t="inlineStr">
        <is>
          <t>Satisfacción de la calidad del contenido</t>
        </is>
      </c>
      <c r="C2351" t="inlineStr">
        <is>
          <t>Diseño de Contenido Virtual</t>
        </is>
      </c>
      <c r="D2351" t="inlineStr">
        <is>
          <t>Trimestral</t>
        </is>
      </c>
      <c r="E2351" t="inlineStr">
        <is>
          <t>Positivo</t>
        </is>
      </c>
      <c r="F2351" s="111" t="n">
        <v>45565</v>
      </c>
      <c r="G2351" t="n">
        <v>2024</v>
      </c>
      <c r="H2351" t="inlineStr">
        <is>
          <t>Septiembre</t>
        </is>
      </c>
      <c r="I2351" t="inlineStr">
        <is>
          <t>2024-2</t>
        </is>
      </c>
      <c r="J2351" t="n">
        <v>0</v>
      </c>
      <c r="K2351" t="n">
        <v>88</v>
      </c>
      <c r="L2351" s="39">
        <f>IFERROR(IF(OR(J2351=0,K2351=""),"",IF(E2351="Positivo",MIN(MAX(K2351/J2351,0),1.3),MIN(MAX(J2351/K2351,0),1.3))),"") </f>
        <v/>
      </c>
      <c r="M2351" s="39">
        <f>IFERROR(IF(OR(J2351=0,K2351=""),"",IF(E2351="Positivo",MAX(K2351/J2351,0),MAX(J2351/K2351,0))),"") </f>
        <v/>
      </c>
      <c r="P2351" t="n">
        <v>0</v>
      </c>
      <c r="Q2351" t="n">
        <v>0</v>
      </c>
      <c r="R2351" t="inlineStr">
        <is>
          <t>454-2024-09-30</t>
        </is>
      </c>
    </row>
    <row r="2352">
      <c r="A2352" t="n">
        <v>454</v>
      </c>
      <c r="B2352" t="inlineStr">
        <is>
          <t>Satisfacción de la calidad del contenido</t>
        </is>
      </c>
      <c r="C2352" t="inlineStr">
        <is>
          <t>Diseño de Contenido Virtual</t>
        </is>
      </c>
      <c r="D2352" t="inlineStr">
        <is>
          <t>Trimestral</t>
        </is>
      </c>
      <c r="E2352" t="inlineStr">
        <is>
          <t>Positivo</t>
        </is>
      </c>
      <c r="F2352" s="111" t="n">
        <v>45657</v>
      </c>
      <c r="G2352" t="n">
        <v>2024</v>
      </c>
      <c r="H2352" t="inlineStr">
        <is>
          <t>Diciembre</t>
        </is>
      </c>
      <c r="I2352" t="inlineStr">
        <is>
          <t>2024-2</t>
        </is>
      </c>
      <c r="J2352" t="n">
        <v>0</v>
      </c>
      <c r="K2352" t="n">
        <v>88</v>
      </c>
      <c r="L2352" s="39">
        <f>IFERROR(IF(OR(J2352=0,K2352=""),"",IF(E2352="Positivo",MIN(MAX(K2352/J2352,0),1.3),MIN(MAX(J2352/K2352,0),1.3))),"") </f>
        <v/>
      </c>
      <c r="M2352" s="39">
        <f>IFERROR(IF(OR(J2352=0,K2352=""),"",IF(E2352="Positivo",MAX(K2352/J2352,0),MAX(J2352/K2352,0))),"") </f>
        <v/>
      </c>
      <c r="P2352" t="n">
        <v>0</v>
      </c>
      <c r="Q2352" t="n">
        <v>0</v>
      </c>
      <c r="R2352" t="inlineStr">
        <is>
          <t>454-2024-12-31</t>
        </is>
      </c>
    </row>
    <row r="2353">
      <c r="A2353" t="n">
        <v>455</v>
      </c>
      <c r="B2353" t="inlineStr">
        <is>
          <t>ANS Diseño de contenidos virtuales</t>
        </is>
      </c>
      <c r="C2353" t="inlineStr">
        <is>
          <t>Diseño de Contenido Virtual</t>
        </is>
      </c>
      <c r="D2353" t="inlineStr">
        <is>
          <t>Trimestral</t>
        </is>
      </c>
      <c r="E2353" t="inlineStr">
        <is>
          <t>Positivo</t>
        </is>
      </c>
      <c r="F2353" s="111" t="n">
        <v>45565</v>
      </c>
      <c r="G2353" t="n">
        <v>2024</v>
      </c>
      <c r="H2353" t="inlineStr">
        <is>
          <t>Septiembre</t>
        </is>
      </c>
      <c r="I2353" t="inlineStr">
        <is>
          <t>2024-2</t>
        </is>
      </c>
      <c r="J2353" t="n">
        <v>90</v>
      </c>
      <c r="K2353" t="n">
        <v>100</v>
      </c>
      <c r="L2353" s="39">
        <f>IFERROR(IF(OR(J2353=0,K2353=""),"",IF(E2353="Positivo",MIN(MAX(K2353/J2353,0),1.3),MIN(MAX(J2353/K2353,0),1.3))),"") </f>
        <v/>
      </c>
      <c r="M2353" s="39">
        <f>IFERROR(IF(OR(J2353=0,K2353=""),"",IF(E2353="Positivo",MAX(K2353/J2353,0),MAX(J2353/K2353,0))),"") </f>
        <v/>
      </c>
      <c r="N2353" t="inlineStr">
        <is>
          <t>%</t>
        </is>
      </c>
      <c r="O2353" t="inlineStr">
        <is>
          <t>%</t>
        </is>
      </c>
      <c r="P2353" t="n">
        <v>0</v>
      </c>
      <c r="Q2353" t="n">
        <v>0</v>
      </c>
      <c r="R2353" t="inlineStr">
        <is>
          <t>455-2024-09-30</t>
        </is>
      </c>
    </row>
    <row r="2354">
      <c r="A2354" t="n">
        <v>455</v>
      </c>
      <c r="B2354" t="inlineStr">
        <is>
          <t>ANS Diseño de contenidos virtuales</t>
        </is>
      </c>
      <c r="C2354" t="inlineStr">
        <is>
          <t>Diseño de Contenido Virtual</t>
        </is>
      </c>
      <c r="D2354" t="inlineStr">
        <is>
          <t>Trimestral</t>
        </is>
      </c>
      <c r="E2354" t="inlineStr">
        <is>
          <t>Positivo</t>
        </is>
      </c>
      <c r="F2354" s="111" t="n">
        <v>45657</v>
      </c>
      <c r="G2354" t="n">
        <v>2024</v>
      </c>
      <c r="H2354" t="inlineStr">
        <is>
          <t>Diciembre</t>
        </is>
      </c>
      <c r="I2354" t="inlineStr">
        <is>
          <t>2024-2</t>
        </is>
      </c>
      <c r="J2354" t="n">
        <v>90</v>
      </c>
      <c r="K2354" t="n">
        <v>100</v>
      </c>
      <c r="L2354" s="39">
        <f>IFERROR(IF(OR(J2354=0,K2354=""),"",IF(E2354="Positivo",MIN(MAX(K2354/J2354,0),1.3),MIN(MAX(J2354/K2354,0),1.3))),"") </f>
        <v/>
      </c>
      <c r="M2354" s="39">
        <f>IFERROR(IF(OR(J2354=0,K2354=""),"",IF(E2354="Positivo",MAX(K2354/J2354,0),MAX(J2354/K2354,0))),"") </f>
        <v/>
      </c>
      <c r="N2354" t="inlineStr">
        <is>
          <t>%</t>
        </is>
      </c>
      <c r="O2354" t="inlineStr">
        <is>
          <t>%</t>
        </is>
      </c>
      <c r="P2354" t="n">
        <v>0</v>
      </c>
      <c r="Q2354" t="n">
        <v>0</v>
      </c>
      <c r="R2354" t="inlineStr">
        <is>
          <t>455-2024-12-31</t>
        </is>
      </c>
    </row>
    <row r="2355">
      <c r="A2355" t="n">
        <v>455</v>
      </c>
      <c r="B2355" t="inlineStr">
        <is>
          <t>ANS Diseño de contenidos virtuales</t>
        </is>
      </c>
      <c r="C2355" t="inlineStr">
        <is>
          <t>Diseño de Contenido Virtual</t>
        </is>
      </c>
      <c r="D2355" t="inlineStr">
        <is>
          <t>Semestral</t>
        </is>
      </c>
      <c r="E2355" t="inlineStr">
        <is>
          <t>Positivo</t>
        </is>
      </c>
      <c r="F2355" s="111" t="n">
        <v>45747</v>
      </c>
      <c r="G2355" t="n">
        <v>2025</v>
      </c>
      <c r="H2355" t="inlineStr">
        <is>
          <t>Marzo</t>
        </is>
      </c>
      <c r="I2355" t="inlineStr">
        <is>
          <t>2025-1</t>
        </is>
      </c>
      <c r="J2355" t="n">
        <v>100</v>
      </c>
      <c r="K2355" t="n">
        <v>100</v>
      </c>
      <c r="L2355" s="39">
        <f>IFERROR(IF(OR(J2355=0,K2355=""),"",IF(E2355="Positivo",MIN(MAX(K2355/J2355,0),1.3),MIN(MAX(J2355/K2355,0),1.3))),"") </f>
        <v/>
      </c>
      <c r="M2355" s="39">
        <f>IFERROR(IF(OR(J2355=0,K2355=""),"",IF(E2355="Positivo",MAX(K2355/J2355,0),MAX(J2355/K2355,0))),"") </f>
        <v/>
      </c>
      <c r="N2355" t="inlineStr">
        <is>
          <t>%</t>
        </is>
      </c>
      <c r="O2355" t="inlineStr">
        <is>
          <t>%</t>
        </is>
      </c>
      <c r="P2355" t="n">
        <v>0</v>
      </c>
      <c r="Q2355" t="n">
        <v>0</v>
      </c>
      <c r="R2355" t="inlineStr">
        <is>
          <t>455-2025-03-31</t>
        </is>
      </c>
    </row>
    <row r="2356">
      <c r="A2356" t="n">
        <v>455</v>
      </c>
      <c r="B2356" t="inlineStr">
        <is>
          <t>ANS Diseño de contenidos virtuales</t>
        </is>
      </c>
      <c r="C2356" t="inlineStr">
        <is>
          <t>Diseño de Contenido Virtual</t>
        </is>
      </c>
      <c r="D2356" t="inlineStr">
        <is>
          <t>Trimestral</t>
        </is>
      </c>
      <c r="E2356" t="inlineStr">
        <is>
          <t>Positivo</t>
        </is>
      </c>
      <c r="F2356" s="111" t="n">
        <v>45838</v>
      </c>
      <c r="G2356" t="n">
        <v>2025</v>
      </c>
      <c r="H2356" t="inlineStr">
        <is>
          <t>Junio</t>
        </is>
      </c>
      <c r="I2356" t="inlineStr">
        <is>
          <t>2025-1</t>
        </is>
      </c>
      <c r="J2356" t="n">
        <v>100</v>
      </c>
      <c r="K2356" t="n">
        <v>100</v>
      </c>
      <c r="L2356" s="39">
        <f>IFERROR(IF(OR(J2356=0,K2356=""),"",IF(E2356="Positivo",MIN(MAX(K2356/J2356,0),1.3),MIN(MAX(J2356/K2356,0),1.3))),"") </f>
        <v/>
      </c>
      <c r="M2356" s="39">
        <f>IFERROR(IF(OR(J2356=0,K2356=""),"",IF(E2356="Positivo",MAX(K2356/J2356,0),MAX(J2356/K2356,0))),"") </f>
        <v/>
      </c>
      <c r="N2356" t="inlineStr">
        <is>
          <t>%</t>
        </is>
      </c>
      <c r="O2356" t="inlineStr">
        <is>
          <t>%</t>
        </is>
      </c>
      <c r="P2356" t="n">
        <v>0</v>
      </c>
      <c r="Q2356" t="n">
        <v>0</v>
      </c>
      <c r="R2356" t="inlineStr">
        <is>
          <t>455-2025-06-30</t>
        </is>
      </c>
    </row>
    <row r="2357">
      <c r="A2357" t="n">
        <v>455</v>
      </c>
      <c r="B2357" t="inlineStr">
        <is>
          <t>ANS Diseño de contenidos virtuales</t>
        </is>
      </c>
      <c r="C2357" t="inlineStr">
        <is>
          <t>Diseño de Contenido Virtual</t>
        </is>
      </c>
      <c r="D2357" t="inlineStr">
        <is>
          <t>Semestral</t>
        </is>
      </c>
      <c r="E2357" t="inlineStr">
        <is>
          <t>Positivo</t>
        </is>
      </c>
      <c r="F2357" s="111" t="n">
        <v>45930</v>
      </c>
      <c r="G2357" t="n">
        <v>2025</v>
      </c>
      <c r="H2357" t="inlineStr">
        <is>
          <t>Septiembre</t>
        </is>
      </c>
      <c r="I2357" t="inlineStr">
        <is>
          <t>2025-2</t>
        </is>
      </c>
      <c r="J2357" t="n">
        <v>100</v>
      </c>
      <c r="K2357" t="n">
        <v>100</v>
      </c>
      <c r="L2357" s="39">
        <f>IFERROR(IF(OR(J2357=0,K2357=""),"",IF(E2357="Positivo",MIN(MAX(K2357/J2357,0),1.3),MIN(MAX(J2357/K2357,0),1.3))),"") </f>
        <v/>
      </c>
      <c r="M2357" s="39">
        <f>IFERROR(IF(OR(J2357=0,K2357=""),"",IF(E2357="Positivo",MAX(K2357/J2357,0),MAX(J2357/K2357,0))),"") </f>
        <v/>
      </c>
      <c r="N2357" t="inlineStr">
        <is>
          <t>%</t>
        </is>
      </c>
      <c r="O2357" t="inlineStr">
        <is>
          <t>%</t>
        </is>
      </c>
      <c r="P2357" t="n">
        <v>0</v>
      </c>
      <c r="Q2357" t="n">
        <v>0</v>
      </c>
      <c r="R2357" t="inlineStr">
        <is>
          <t>455-2025-09-30</t>
        </is>
      </c>
    </row>
    <row r="2358">
      <c r="A2358" t="n">
        <v>455</v>
      </c>
      <c r="B2358" t="inlineStr">
        <is>
          <t>ANS Diseño de contenidos virtuales</t>
        </is>
      </c>
      <c r="C2358" t="inlineStr">
        <is>
          <t>Diseño de Contenido Virtual</t>
        </is>
      </c>
      <c r="D2358" t="inlineStr">
        <is>
          <t>Semestral</t>
        </is>
      </c>
      <c r="E2358" t="inlineStr">
        <is>
          <t>Positivo</t>
        </is>
      </c>
      <c r="F2358" s="111" t="n">
        <v>46022</v>
      </c>
      <c r="G2358" t="n">
        <v>2025</v>
      </c>
      <c r="H2358" t="inlineStr">
        <is>
          <t>Diciembre</t>
        </is>
      </c>
      <c r="I2358" t="inlineStr">
        <is>
          <t>2025-2</t>
        </is>
      </c>
      <c r="J2358" t="n">
        <v>100</v>
      </c>
      <c r="K2358" t="n">
        <v>100</v>
      </c>
      <c r="L2358" s="39">
        <f>IFERROR(IF(OR(J2358=0,K2358=""),"",IF(E2358="Positivo",MIN(MAX(K2358/J2358,0),1.3),MIN(MAX(J2358/K2358,0),1.3))),"") </f>
        <v/>
      </c>
      <c r="M2358" s="39">
        <f>IFERROR(IF(OR(J2358=0,K2358=""),"",IF(E2358="Positivo",MAX(K2358/J2358,0),MAX(J2358/K2358,0))),"") </f>
        <v/>
      </c>
      <c r="N2358" t="inlineStr">
        <is>
          <t>%</t>
        </is>
      </c>
      <c r="O2358" t="inlineStr">
        <is>
          <t>%</t>
        </is>
      </c>
      <c r="P2358" t="n">
        <v>0</v>
      </c>
      <c r="Q2358" t="n">
        <v>0</v>
      </c>
      <c r="R2358" t="inlineStr">
        <is>
          <t>455-2025-12-31</t>
        </is>
      </c>
    </row>
    <row r="2359">
      <c r="A2359" t="n">
        <v>456</v>
      </c>
      <c r="B2359" t="inlineStr">
        <is>
          <t>Impacto de campañas de Mailing</t>
        </is>
      </c>
      <c r="C2359" t="inlineStr">
        <is>
          <t>Comunicaciones Internas</t>
        </is>
      </c>
      <c r="D2359" t="inlineStr">
        <is>
          <t>Semestral</t>
        </is>
      </c>
      <c r="E2359" t="inlineStr">
        <is>
          <t>Positivo</t>
        </is>
      </c>
      <c r="F2359" s="111" t="n">
        <v>45473</v>
      </c>
      <c r="G2359" t="n">
        <v>2024</v>
      </c>
      <c r="H2359" t="inlineStr">
        <is>
          <t>Junio</t>
        </is>
      </c>
      <c r="I2359" t="inlineStr">
        <is>
          <t>2024-1</t>
        </is>
      </c>
      <c r="J2359" t="n">
        <v>100</v>
      </c>
      <c r="K2359" t="n">
        <v>100</v>
      </c>
      <c r="L2359" s="39">
        <f>IFERROR(IF(OR(J2359=0,K2359=""),"",IF(E2359="Positivo",MIN(MAX(K2359/J2359,0),1.3),MIN(MAX(J2359/K2359,0),1.3))),"") </f>
        <v/>
      </c>
      <c r="M2359" s="39">
        <f>IFERROR(IF(OR(J2359=0,K2359=""),"",IF(E2359="Positivo",MAX(K2359/J2359,0),MAX(J2359/K2359,0))),"") </f>
        <v/>
      </c>
      <c r="N2359" t="inlineStr">
        <is>
          <t>%</t>
        </is>
      </c>
      <c r="O2359" t="inlineStr">
        <is>
          <t>%</t>
        </is>
      </c>
      <c r="P2359" t="n">
        <v>0</v>
      </c>
      <c r="Q2359" t="n">
        <v>0</v>
      </c>
      <c r="R2359" t="inlineStr">
        <is>
          <t>456-2024-06-30</t>
        </is>
      </c>
    </row>
    <row r="2360">
      <c r="A2360" t="n">
        <v>456</v>
      </c>
      <c r="B2360" t="inlineStr">
        <is>
          <t>Impacto de campañas de Mailing</t>
        </is>
      </c>
      <c r="C2360" t="inlineStr">
        <is>
          <t>Comunicaciones Internas</t>
        </is>
      </c>
      <c r="D2360" t="inlineStr">
        <is>
          <t>Semestral</t>
        </is>
      </c>
      <c r="E2360" t="inlineStr">
        <is>
          <t>Positivo</t>
        </is>
      </c>
      <c r="F2360" s="111" t="n">
        <v>45657</v>
      </c>
      <c r="G2360" t="n">
        <v>2024</v>
      </c>
      <c r="H2360" t="inlineStr">
        <is>
          <t>Diciembre</t>
        </is>
      </c>
      <c r="I2360" t="inlineStr">
        <is>
          <t>2024-2</t>
        </is>
      </c>
      <c r="J2360" t="n">
        <v>100</v>
      </c>
      <c r="K2360" t="n">
        <v>94.69</v>
      </c>
      <c r="L2360" s="39">
        <f>IFERROR(IF(OR(J2360=0,K2360=""),"",IF(E2360="Positivo",MIN(MAX(K2360/J2360,0),1.3),MIN(MAX(J2360/K2360,0),1.3))),"") </f>
        <v/>
      </c>
      <c r="M2360" s="39">
        <f>IFERROR(IF(OR(J2360=0,K2360=""),"",IF(E2360="Positivo",MAX(K2360/J2360,0),MAX(J2360/K2360,0))),"") </f>
        <v/>
      </c>
      <c r="N2360" t="inlineStr">
        <is>
          <t>%</t>
        </is>
      </c>
      <c r="O2360" t="inlineStr">
        <is>
          <t>%</t>
        </is>
      </c>
      <c r="P2360" t="n">
        <v>0</v>
      </c>
      <c r="Q2360" t="n">
        <v>0</v>
      </c>
      <c r="R2360" t="inlineStr">
        <is>
          <t>456-2024-12-31</t>
        </is>
      </c>
    </row>
    <row r="2361">
      <c r="A2361" t="n">
        <v>456</v>
      </c>
      <c r="B2361" t="inlineStr">
        <is>
          <t>Impacto de campañas de Mailing</t>
        </is>
      </c>
      <c r="C2361" t="inlineStr">
        <is>
          <t>Comunicaciones Internas</t>
        </is>
      </c>
      <c r="D2361" t="inlineStr">
        <is>
          <t>Semestral</t>
        </is>
      </c>
      <c r="E2361" t="inlineStr">
        <is>
          <t>Positivo</t>
        </is>
      </c>
      <c r="F2361" s="111" t="n">
        <v>45747</v>
      </c>
      <c r="G2361" t="n">
        <v>2025</v>
      </c>
      <c r="H2361" t="inlineStr">
        <is>
          <t>Marzo</t>
        </is>
      </c>
      <c r="I2361" t="inlineStr">
        <is>
          <t>2025-1</t>
        </is>
      </c>
      <c r="J2361" t="n">
        <v>100</v>
      </c>
      <c r="K2361" t="n">
        <v>106.25</v>
      </c>
      <c r="L2361" s="39">
        <f>IFERROR(IF(OR(J2361=0,K2361=""),"",IF(E2361="Positivo",MIN(MAX(K2361/J2361,0),1.3),MIN(MAX(J2361/K2361,0),1.3))),"") </f>
        <v/>
      </c>
      <c r="M2361" s="39">
        <f>IFERROR(IF(OR(J2361=0,K2361=""),"",IF(E2361="Positivo",MAX(K2361/J2361,0),MAX(J2361/K2361,0))),"") </f>
        <v/>
      </c>
      <c r="N2361" t="inlineStr">
        <is>
          <t>%</t>
        </is>
      </c>
      <c r="O2361" t="inlineStr">
        <is>
          <t>%</t>
        </is>
      </c>
      <c r="P2361" t="n">
        <v>0</v>
      </c>
      <c r="Q2361" t="n">
        <v>0</v>
      </c>
      <c r="R2361" t="inlineStr">
        <is>
          <t>456-2025-03-31</t>
        </is>
      </c>
    </row>
    <row r="2362">
      <c r="A2362" t="n">
        <v>456</v>
      </c>
      <c r="B2362" t="inlineStr">
        <is>
          <t>Impacto de campañas de Mailing</t>
        </is>
      </c>
      <c r="C2362" t="inlineStr">
        <is>
          <t>Comunicaciones Internas</t>
        </is>
      </c>
      <c r="D2362" t="inlineStr">
        <is>
          <t>Semestral</t>
        </is>
      </c>
      <c r="E2362" t="inlineStr">
        <is>
          <t>Positivo</t>
        </is>
      </c>
      <c r="F2362" s="111" t="n">
        <v>45838</v>
      </c>
      <c r="G2362" t="n">
        <v>2025</v>
      </c>
      <c r="H2362" t="inlineStr">
        <is>
          <t>Junio</t>
        </is>
      </c>
      <c r="I2362" t="inlineStr">
        <is>
          <t>2025-1</t>
        </is>
      </c>
      <c r="J2362" t="n">
        <v>100</v>
      </c>
      <c r="K2362" t="n">
        <v>104.12</v>
      </c>
      <c r="L2362" s="39">
        <f>IFERROR(IF(OR(J2362=0,K2362=""),"",IF(E2362="Positivo",MIN(MAX(K2362/J2362,0),1.3),MIN(MAX(J2362/K2362,0),1.3))),"") </f>
        <v/>
      </c>
      <c r="M2362" s="39">
        <f>IFERROR(IF(OR(J2362=0,K2362=""),"",IF(E2362="Positivo",MAX(K2362/J2362,0),MAX(J2362/K2362,0))),"") </f>
        <v/>
      </c>
      <c r="N2362" t="inlineStr">
        <is>
          <t>%</t>
        </is>
      </c>
      <c r="O2362" t="inlineStr">
        <is>
          <t>%</t>
        </is>
      </c>
      <c r="P2362" t="n">
        <v>0</v>
      </c>
      <c r="Q2362" t="n">
        <v>0</v>
      </c>
      <c r="R2362" t="inlineStr">
        <is>
          <t>456-2025-06-30</t>
        </is>
      </c>
    </row>
    <row r="2363">
      <c r="A2363" t="n">
        <v>456</v>
      </c>
      <c r="B2363" t="inlineStr">
        <is>
          <t>Impacto de campañas de Mailing</t>
        </is>
      </c>
      <c r="C2363" t="inlineStr">
        <is>
          <t>Comunicaciones Internas</t>
        </is>
      </c>
      <c r="D2363" t="inlineStr">
        <is>
          <t>Semestral</t>
        </is>
      </c>
      <c r="E2363" t="inlineStr">
        <is>
          <t>Positivo</t>
        </is>
      </c>
      <c r="F2363" s="111" t="n">
        <v>45930</v>
      </c>
      <c r="G2363" t="n">
        <v>2025</v>
      </c>
      <c r="H2363" t="inlineStr">
        <is>
          <t>Septiembre</t>
        </is>
      </c>
      <c r="I2363" t="inlineStr">
        <is>
          <t>2025-2</t>
        </is>
      </c>
      <c r="J2363" t="n">
        <v>100</v>
      </c>
      <c r="K2363" t="n">
        <v>121.57</v>
      </c>
      <c r="L2363" s="39">
        <f>IFERROR(IF(OR(J2363=0,K2363=""),"",IF(E2363="Positivo",MIN(MAX(K2363/J2363,0),1.3),MIN(MAX(J2363/K2363,0),1.3))),"") </f>
        <v/>
      </c>
      <c r="M2363" s="39">
        <f>IFERROR(IF(OR(J2363=0,K2363=""),"",IF(E2363="Positivo",MAX(K2363/J2363,0),MAX(J2363/K2363,0))),"") </f>
        <v/>
      </c>
      <c r="N2363" t="inlineStr">
        <is>
          <t>%</t>
        </is>
      </c>
      <c r="O2363" t="inlineStr">
        <is>
          <t>%</t>
        </is>
      </c>
      <c r="P2363" t="n">
        <v>0</v>
      </c>
      <c r="Q2363" t="n">
        <v>0</v>
      </c>
      <c r="R2363" t="inlineStr">
        <is>
          <t>456-2025-09-30</t>
        </is>
      </c>
    </row>
    <row r="2364">
      <c r="A2364" t="n">
        <v>456</v>
      </c>
      <c r="B2364" t="inlineStr">
        <is>
          <t>Impacto de campañas de Mailing</t>
        </is>
      </c>
      <c r="C2364" t="inlineStr">
        <is>
          <t>Comunicaciones Internas</t>
        </is>
      </c>
      <c r="D2364" t="inlineStr">
        <is>
          <t>Semestral</t>
        </is>
      </c>
      <c r="E2364" t="inlineStr">
        <is>
          <t>Positivo</t>
        </is>
      </c>
      <c r="F2364" s="111" t="n">
        <v>46022</v>
      </c>
      <c r="G2364" t="n">
        <v>2025</v>
      </c>
      <c r="H2364" t="inlineStr">
        <is>
          <t>Diciembre</t>
        </is>
      </c>
      <c r="I2364" t="inlineStr">
        <is>
          <t>2025-2</t>
        </is>
      </c>
      <c r="J2364" t="n">
        <v>100</v>
      </c>
      <c r="K2364" t="n">
        <v>114.43</v>
      </c>
      <c r="L2364" s="39">
        <f>IFERROR(IF(OR(J2364=0,K2364=""),"",IF(E2364="Positivo",MIN(MAX(K2364/J2364,0),1.3),MIN(MAX(J2364/K2364,0),1.3))),"") </f>
        <v/>
      </c>
      <c r="M2364" s="39">
        <f>IFERROR(IF(OR(J2364=0,K2364=""),"",IF(E2364="Positivo",MAX(K2364/J2364,0),MAX(J2364/K2364,0))),"") </f>
        <v/>
      </c>
      <c r="N2364" t="inlineStr">
        <is>
          <t>%</t>
        </is>
      </c>
      <c r="O2364" t="inlineStr">
        <is>
          <t>%</t>
        </is>
      </c>
      <c r="P2364" t="n">
        <v>0</v>
      </c>
      <c r="Q2364" t="n">
        <v>0</v>
      </c>
      <c r="R2364" t="inlineStr">
        <is>
          <t>456-2025-12-31</t>
        </is>
      </c>
    </row>
    <row r="2365">
      <c r="A2365" t="n">
        <v>457</v>
      </c>
      <c r="B2365" t="inlineStr">
        <is>
          <t>Apertura de enlaces en mensajes de texto</t>
        </is>
      </c>
      <c r="C2365" t="inlineStr">
        <is>
          <t>Comunicaciones Internas</t>
        </is>
      </c>
      <c r="D2365" t="inlineStr">
        <is>
          <t>Semestral</t>
        </is>
      </c>
      <c r="E2365" t="inlineStr">
        <is>
          <t>Positivo</t>
        </is>
      </c>
      <c r="F2365" s="111" t="n">
        <v>45473</v>
      </c>
      <c r="G2365" t="n">
        <v>2024</v>
      </c>
      <c r="H2365" t="inlineStr">
        <is>
          <t>Junio</t>
        </is>
      </c>
      <c r="I2365" t="inlineStr">
        <is>
          <t>2024-1</t>
        </is>
      </c>
      <c r="J2365" t="n">
        <v>100</v>
      </c>
      <c r="K2365" t="n">
        <v>90</v>
      </c>
      <c r="L2365" s="39">
        <f>IFERROR(IF(OR(J2365=0,K2365=""),"",IF(E2365="Positivo",MIN(MAX(K2365/J2365,0),1.3),MIN(MAX(J2365/K2365,0),1.3))),"") </f>
        <v/>
      </c>
      <c r="M2365" s="39">
        <f>IFERROR(IF(OR(J2365=0,K2365=""),"",IF(E2365="Positivo",MAX(K2365/J2365,0),MAX(J2365/K2365,0))),"") </f>
        <v/>
      </c>
      <c r="N2365" t="inlineStr">
        <is>
          <t>%</t>
        </is>
      </c>
      <c r="O2365" t="inlineStr">
        <is>
          <t>%</t>
        </is>
      </c>
      <c r="P2365" t="n">
        <v>0</v>
      </c>
      <c r="Q2365" t="n">
        <v>0</v>
      </c>
      <c r="R2365" t="inlineStr">
        <is>
          <t>457-2024-06-30</t>
        </is>
      </c>
    </row>
    <row r="2366">
      <c r="A2366" t="n">
        <v>457</v>
      </c>
      <c r="B2366" t="inlineStr">
        <is>
          <t>Apertura de enlaces en mensajes de texto</t>
        </is>
      </c>
      <c r="C2366" t="inlineStr">
        <is>
          <t>Comunicaciones Internas</t>
        </is>
      </c>
      <c r="D2366" t="inlineStr">
        <is>
          <t>Semestral</t>
        </is>
      </c>
      <c r="E2366" t="inlineStr">
        <is>
          <t>Positivo</t>
        </is>
      </c>
      <c r="F2366" s="111" t="n">
        <v>45657</v>
      </c>
      <c r="G2366" t="n">
        <v>2024</v>
      </c>
      <c r="H2366" t="inlineStr">
        <is>
          <t>Diciembre</t>
        </is>
      </c>
      <c r="I2366" t="inlineStr">
        <is>
          <t>2024-2</t>
        </is>
      </c>
      <c r="J2366" t="n">
        <v>100</v>
      </c>
      <c r="K2366" t="n">
        <v>70</v>
      </c>
      <c r="L2366" s="39">
        <f>IFERROR(IF(OR(J2366=0,K2366=""),"",IF(E2366="Positivo",MIN(MAX(K2366/J2366,0),1.3),MIN(MAX(J2366/K2366,0),1.3))),"") </f>
        <v/>
      </c>
      <c r="M2366" s="39">
        <f>IFERROR(IF(OR(J2366=0,K2366=""),"",IF(E2366="Positivo",MAX(K2366/J2366,0),MAX(J2366/K2366,0))),"") </f>
        <v/>
      </c>
      <c r="N2366" t="inlineStr">
        <is>
          <t>%</t>
        </is>
      </c>
      <c r="O2366" t="inlineStr">
        <is>
          <t>%</t>
        </is>
      </c>
      <c r="P2366" t="n">
        <v>0</v>
      </c>
      <c r="Q2366" t="n">
        <v>0</v>
      </c>
      <c r="R2366" t="inlineStr">
        <is>
          <t>457-2024-12-31</t>
        </is>
      </c>
    </row>
    <row r="2367">
      <c r="A2367" t="n">
        <v>457</v>
      </c>
      <c r="B2367" t="inlineStr">
        <is>
          <t>Apertura de enlaces en mensajes de texto</t>
        </is>
      </c>
      <c r="C2367" t="inlineStr">
        <is>
          <t>Comunicaciones Internas</t>
        </is>
      </c>
      <c r="D2367" t="inlineStr">
        <is>
          <t>Semestral</t>
        </is>
      </c>
      <c r="E2367" t="inlineStr">
        <is>
          <t>Positivo</t>
        </is>
      </c>
      <c r="F2367" s="111" t="n">
        <v>45747</v>
      </c>
      <c r="G2367" t="n">
        <v>2025</v>
      </c>
      <c r="H2367" t="inlineStr">
        <is>
          <t>Marzo</t>
        </is>
      </c>
      <c r="I2367" t="inlineStr">
        <is>
          <t>2025-1</t>
        </is>
      </c>
      <c r="J2367" t="n">
        <v>100</v>
      </c>
      <c r="K2367" t="n">
        <v>200</v>
      </c>
      <c r="L2367" s="39">
        <f>IFERROR(IF(OR(J2367=0,K2367=""),"",IF(E2367="Positivo",MIN(MAX(K2367/J2367,0),1.3),MIN(MAX(J2367/K2367,0),1.3))),"") </f>
        <v/>
      </c>
      <c r="M2367" s="39">
        <f>IFERROR(IF(OR(J2367=0,K2367=""),"",IF(E2367="Positivo",MAX(K2367/J2367,0),MAX(J2367/K2367,0))),"") </f>
        <v/>
      </c>
      <c r="N2367" t="inlineStr">
        <is>
          <t>%</t>
        </is>
      </c>
      <c r="O2367" t="inlineStr">
        <is>
          <t>%</t>
        </is>
      </c>
      <c r="P2367" t="n">
        <v>0</v>
      </c>
      <c r="Q2367" t="n">
        <v>0</v>
      </c>
      <c r="R2367" t="inlineStr">
        <is>
          <t>457-2025-03-31</t>
        </is>
      </c>
    </row>
    <row r="2368">
      <c r="A2368" t="n">
        <v>457</v>
      </c>
      <c r="B2368" t="inlineStr">
        <is>
          <t>Apertura de enlaces en mensajes de texto</t>
        </is>
      </c>
      <c r="C2368" t="inlineStr">
        <is>
          <t>Comunicaciones Internas</t>
        </is>
      </c>
      <c r="D2368" t="inlineStr">
        <is>
          <t>Semestral</t>
        </is>
      </c>
      <c r="E2368" t="inlineStr">
        <is>
          <t>Positivo</t>
        </is>
      </c>
      <c r="F2368" s="111" t="n">
        <v>45838</v>
      </c>
      <c r="G2368" t="n">
        <v>2025</v>
      </c>
      <c r="H2368" t="inlineStr">
        <is>
          <t>Junio</t>
        </is>
      </c>
      <c r="I2368" t="inlineStr">
        <is>
          <t>2025-1</t>
        </is>
      </c>
      <c r="J2368" t="n">
        <v>100</v>
      </c>
      <c r="K2368" t="n">
        <v>83.33</v>
      </c>
      <c r="L2368" s="39">
        <f>IFERROR(IF(OR(J2368=0,K2368=""),"",IF(E2368="Positivo",MIN(MAX(K2368/J2368,0),1.3),MIN(MAX(J2368/K2368,0),1.3))),"") </f>
        <v/>
      </c>
      <c r="M2368" s="39">
        <f>IFERROR(IF(OR(J2368=0,K2368=""),"",IF(E2368="Positivo",MAX(K2368/J2368,0),MAX(J2368/K2368,0))),"") </f>
        <v/>
      </c>
      <c r="N2368" t="inlineStr">
        <is>
          <t>%</t>
        </is>
      </c>
      <c r="O2368" t="inlineStr">
        <is>
          <t>%</t>
        </is>
      </c>
      <c r="P2368" t="n">
        <v>0</v>
      </c>
      <c r="Q2368" t="n">
        <v>0</v>
      </c>
      <c r="R2368" t="inlineStr">
        <is>
          <t>457-2025-06-30</t>
        </is>
      </c>
    </row>
    <row r="2369">
      <c r="A2369" t="n">
        <v>457</v>
      </c>
      <c r="B2369" t="inlineStr">
        <is>
          <t>Apertura de enlaces en mensajes de texto</t>
        </is>
      </c>
      <c r="C2369" t="inlineStr">
        <is>
          <t>Comunicaciones Internas</t>
        </is>
      </c>
      <c r="D2369" t="inlineStr">
        <is>
          <t>Semestral</t>
        </is>
      </c>
      <c r="E2369" t="inlineStr">
        <is>
          <t>Positivo</t>
        </is>
      </c>
      <c r="F2369" s="111" t="n">
        <v>45930</v>
      </c>
      <c r="G2369" t="n">
        <v>2025</v>
      </c>
      <c r="H2369" t="inlineStr">
        <is>
          <t>Septiembre</t>
        </is>
      </c>
      <c r="I2369" t="inlineStr">
        <is>
          <t>2025-2</t>
        </is>
      </c>
      <c r="J2369" t="n">
        <v>100</v>
      </c>
      <c r="K2369" t="n">
        <v>85.70999999999999</v>
      </c>
      <c r="L2369" s="39">
        <f>IFERROR(IF(OR(J2369=0,K2369=""),"",IF(E2369="Positivo",MIN(MAX(K2369/J2369,0),1.3),MIN(MAX(J2369/K2369,0),1.3))),"") </f>
        <v/>
      </c>
      <c r="M2369" s="39">
        <f>IFERROR(IF(OR(J2369=0,K2369=""),"",IF(E2369="Positivo",MAX(K2369/J2369,0),MAX(J2369/K2369,0))),"") </f>
        <v/>
      </c>
      <c r="N2369" t="inlineStr">
        <is>
          <t>%</t>
        </is>
      </c>
      <c r="O2369" t="inlineStr">
        <is>
          <t>%</t>
        </is>
      </c>
      <c r="P2369" t="n">
        <v>0</v>
      </c>
      <c r="Q2369" t="n">
        <v>0</v>
      </c>
      <c r="R2369" t="inlineStr">
        <is>
          <t>457-2025-09-30</t>
        </is>
      </c>
    </row>
    <row r="2370">
      <c r="A2370" t="n">
        <v>457</v>
      </c>
      <c r="B2370" t="inlineStr">
        <is>
          <t>Apertura de enlaces en mensajes de texto</t>
        </is>
      </c>
      <c r="C2370" t="inlineStr">
        <is>
          <t>Comunicaciones Internas</t>
        </is>
      </c>
      <c r="D2370" t="inlineStr">
        <is>
          <t>Semestral</t>
        </is>
      </c>
      <c r="E2370" t="inlineStr">
        <is>
          <t>Positivo</t>
        </is>
      </c>
      <c r="F2370" s="111" t="n">
        <v>46022</v>
      </c>
      <c r="G2370" t="n">
        <v>2025</v>
      </c>
      <c r="H2370" t="inlineStr">
        <is>
          <t>Diciembre</t>
        </is>
      </c>
      <c r="I2370" t="inlineStr">
        <is>
          <t>2025-2</t>
        </is>
      </c>
      <c r="J2370" t="n">
        <v>100</v>
      </c>
      <c r="K2370" t="n">
        <v>83.33</v>
      </c>
      <c r="L2370" s="39">
        <f>IFERROR(IF(OR(J2370=0,K2370=""),"",IF(E2370="Positivo",MIN(MAX(K2370/J2370,0),1.3),MIN(MAX(J2370/K2370,0),1.3))),"") </f>
        <v/>
      </c>
      <c r="M2370" s="39">
        <f>IFERROR(IF(OR(J2370=0,K2370=""),"",IF(E2370="Positivo",MAX(K2370/J2370,0),MAX(J2370/K2370,0))),"") </f>
        <v/>
      </c>
      <c r="N2370" t="inlineStr">
        <is>
          <t>%</t>
        </is>
      </c>
      <c r="O2370" t="inlineStr">
        <is>
          <t>%</t>
        </is>
      </c>
      <c r="P2370" t="n">
        <v>0</v>
      </c>
      <c r="Q2370" t="n">
        <v>0</v>
      </c>
      <c r="R2370" t="inlineStr">
        <is>
          <t>457-2025-12-31</t>
        </is>
      </c>
    </row>
    <row r="2371">
      <c r="A2371" t="n">
        <v>459</v>
      </c>
      <c r="B2371" t="inlineStr">
        <is>
          <t>Número de publicaciones e historias</t>
        </is>
      </c>
      <c r="C2371" t="inlineStr">
        <is>
          <t>Comunicaciones Externas</t>
        </is>
      </c>
      <c r="D2371" t="inlineStr">
        <is>
          <t>Trimestral</t>
        </is>
      </c>
      <c r="E2371" t="inlineStr">
        <is>
          <t>Positivo</t>
        </is>
      </c>
      <c r="F2371" s="111" t="n">
        <v>45473</v>
      </c>
      <c r="G2371" t="n">
        <v>2024</v>
      </c>
      <c r="H2371" t="inlineStr">
        <is>
          <t>Junio</t>
        </is>
      </c>
      <c r="I2371" t="inlineStr">
        <is>
          <t>2024-1</t>
        </is>
      </c>
      <c r="J2371" t="n">
        <v>100</v>
      </c>
      <c r="K2371" t="n">
        <v>130.43</v>
      </c>
      <c r="L2371" s="39">
        <f>IFERROR(IF(OR(J2371=0,K2371=""),"",IF(E2371="Positivo",MIN(MAX(K2371/J2371,0),1.3),MIN(MAX(J2371/K2371,0),1.3))),"") </f>
        <v/>
      </c>
      <c r="M2371" s="39">
        <f>IFERROR(IF(OR(J2371=0,K2371=""),"",IF(E2371="Positivo",MAX(K2371/J2371,0),MAX(J2371/K2371,0))),"") </f>
        <v/>
      </c>
      <c r="P2371" t="n">
        <v>0</v>
      </c>
      <c r="Q2371" t="n">
        <v>0</v>
      </c>
      <c r="R2371" t="inlineStr">
        <is>
          <t>459-2024-06-30</t>
        </is>
      </c>
    </row>
    <row r="2372">
      <c r="A2372" t="n">
        <v>459</v>
      </c>
      <c r="B2372" t="inlineStr">
        <is>
          <t>Número de publicaciones e historias</t>
        </is>
      </c>
      <c r="C2372" t="inlineStr">
        <is>
          <t>Comunicaciones Externas</t>
        </is>
      </c>
      <c r="D2372" t="inlineStr">
        <is>
          <t>Trimestral</t>
        </is>
      </c>
      <c r="E2372" t="inlineStr">
        <is>
          <t>Positivo</t>
        </is>
      </c>
      <c r="F2372" s="111" t="n">
        <v>45565</v>
      </c>
      <c r="G2372" t="n">
        <v>2024</v>
      </c>
      <c r="H2372" t="inlineStr">
        <is>
          <t>Septiembre</t>
        </is>
      </c>
      <c r="I2372" t="inlineStr">
        <is>
          <t>2024-2</t>
        </is>
      </c>
      <c r="J2372" t="n">
        <v>100</v>
      </c>
      <c r="K2372" t="n">
        <v>147.83</v>
      </c>
      <c r="L2372" s="39">
        <f>IFERROR(IF(OR(J2372=0,K2372=""),"",IF(E2372="Positivo",MIN(MAX(K2372/J2372,0),1.3),MIN(MAX(J2372/K2372,0),1.3))),"") </f>
        <v/>
      </c>
      <c r="M2372" s="39">
        <f>IFERROR(IF(OR(J2372=0,K2372=""),"",IF(E2372="Positivo",MAX(K2372/J2372,0),MAX(J2372/K2372,0))),"") </f>
        <v/>
      </c>
      <c r="P2372" t="n">
        <v>0</v>
      </c>
      <c r="Q2372" t="n">
        <v>0</v>
      </c>
      <c r="R2372" t="inlineStr">
        <is>
          <t>459-2024-09-30</t>
        </is>
      </c>
    </row>
    <row r="2373">
      <c r="A2373" t="n">
        <v>460</v>
      </c>
      <c r="B2373" t="inlineStr">
        <is>
          <t>% de profesores (Contrato Indefinido- Fijo) impactados plan de desarrollo docente</t>
        </is>
      </c>
      <c r="C2373" t="inlineStr">
        <is>
          <t>GESTIÓN Y DESARROLLO DEL TALENTO HUMANO</t>
        </is>
      </c>
      <c r="D2373" t="inlineStr">
        <is>
          <t>Anual</t>
        </is>
      </c>
      <c r="E2373" t="inlineStr">
        <is>
          <t>Positivo</t>
        </is>
      </c>
      <c r="F2373" s="111" t="n">
        <v>45657</v>
      </c>
      <c r="G2373" t="n">
        <v>2024</v>
      </c>
      <c r="H2373" t="inlineStr">
        <is>
          <t>Diciembre</t>
        </is>
      </c>
      <c r="I2373" t="inlineStr">
        <is>
          <t>2024-2</t>
        </is>
      </c>
      <c r="J2373" t="n">
        <v>80</v>
      </c>
      <c r="K2373" t="n">
        <v>91.43968871595332</v>
      </c>
      <c r="L2373" s="39">
        <f>IFERROR(IF(OR(J2373=0,K2373=""),"",IF(E2373="Positivo",MIN(MAX(K2373/J2373,0),1.3),MIN(MAX(J2373/K2373,0),1.3))),"") </f>
        <v/>
      </c>
      <c r="M2373" s="39">
        <f>IFERROR(IF(OR(J2373=0,K2373=""),"",IF(E2373="Positivo",MAX(K2373/J2373,0),MAX(J2373/K2373,0))),"") </f>
        <v/>
      </c>
      <c r="P2373" t="n">
        <v>0</v>
      </c>
      <c r="Q2373" t="n">
        <v>0</v>
      </c>
      <c r="R2373" t="inlineStr">
        <is>
          <t>460-2024-12-31</t>
        </is>
      </c>
    </row>
    <row r="2374">
      <c r="A2374" t="n">
        <v>460</v>
      </c>
      <c r="B2374" t="inlineStr">
        <is>
          <t>% de profesores (Contrato Indefinido- Fijo) impactados plan de desarrollo docente</t>
        </is>
      </c>
      <c r="C2374" t="inlineStr">
        <is>
          <t>GESTIÓN Y DESARROLLO DEL TALENTO HUMANO</t>
        </is>
      </c>
      <c r="D2374" t="inlineStr">
        <is>
          <t>Anual</t>
        </is>
      </c>
      <c r="E2374" t="inlineStr">
        <is>
          <t>Positivo</t>
        </is>
      </c>
      <c r="F2374" s="111" t="n">
        <v>46022</v>
      </c>
      <c r="G2374" t="n">
        <v>2025</v>
      </c>
      <c r="H2374" t="inlineStr">
        <is>
          <t>Diciembre</t>
        </is>
      </c>
      <c r="I2374" t="inlineStr">
        <is>
          <t>2025-2</t>
        </is>
      </c>
      <c r="J2374" t="n">
        <v>80</v>
      </c>
      <c r="K2374" t="n">
        <v>84.18000000000001</v>
      </c>
      <c r="L2374" s="39">
        <f>IFERROR(IF(OR(J2374=0,K2374=""),"",IF(E2374="Positivo",MIN(MAX(K2374/J2374,0),1.3),MIN(MAX(J2374/K2374,0),1.3))),"") </f>
        <v/>
      </c>
      <c r="M2374" s="39">
        <f>IFERROR(IF(OR(J2374=0,K2374=""),"",IF(E2374="Positivo",MAX(K2374/J2374,0),MAX(J2374/K2374,0))),"") </f>
        <v/>
      </c>
      <c r="N2374" t="inlineStr">
        <is>
          <t>%</t>
        </is>
      </c>
      <c r="O2374" t="inlineStr">
        <is>
          <t>%</t>
        </is>
      </c>
      <c r="P2374" t="n">
        <v>0</v>
      </c>
      <c r="Q2374" t="n">
        <v>1</v>
      </c>
      <c r="R2374" t="inlineStr">
        <is>
          <t>460-2025-12-31</t>
        </is>
      </c>
    </row>
    <row r="2375">
      <c r="A2375" t="n">
        <v>462</v>
      </c>
      <c r="B2375" t="inlineStr">
        <is>
          <t>Nivel Esfuerzo Editorial</t>
        </is>
      </c>
      <c r="C2375" t="inlineStr">
        <is>
          <t>Editorial y Publicaciones</t>
        </is>
      </c>
      <c r="D2375" t="inlineStr">
        <is>
          <t>Semestral</t>
        </is>
      </c>
      <c r="E2375" t="inlineStr">
        <is>
          <t>Positivo</t>
        </is>
      </c>
      <c r="F2375" s="111" t="n">
        <v>45473</v>
      </c>
      <c r="G2375" t="n">
        <v>2024</v>
      </c>
      <c r="H2375" t="inlineStr">
        <is>
          <t>Junio</t>
        </is>
      </c>
      <c r="I2375" t="inlineStr">
        <is>
          <t>2024-1</t>
        </is>
      </c>
      <c r="J2375" t="n">
        <v>85</v>
      </c>
      <c r="K2375" t="n">
        <v>100</v>
      </c>
      <c r="L2375" s="39">
        <f>IFERROR(IF(OR(J2375=0,K2375=""),"",IF(E2375="Positivo",MIN(MAX(K2375/J2375,0),1.3),MIN(MAX(J2375/K2375,0),1.3))),"") </f>
        <v/>
      </c>
      <c r="M2375" s="39">
        <f>IFERROR(IF(OR(J2375=0,K2375=""),"",IF(E2375="Positivo",MAX(K2375/J2375,0),MAX(J2375/K2375,0))),"") </f>
        <v/>
      </c>
      <c r="P2375" t="n">
        <v>0</v>
      </c>
      <c r="Q2375" t="n">
        <v>0</v>
      </c>
      <c r="R2375" t="inlineStr">
        <is>
          <t>462-2024-06-30</t>
        </is>
      </c>
    </row>
    <row r="2376">
      <c r="A2376" t="n">
        <v>462</v>
      </c>
      <c r="B2376" t="inlineStr">
        <is>
          <t>Nivel Esfuerzo Editorial</t>
        </is>
      </c>
      <c r="C2376" t="inlineStr">
        <is>
          <t>Editorial y Publicaciones</t>
        </is>
      </c>
      <c r="D2376" t="inlineStr">
        <is>
          <t>Semestral</t>
        </is>
      </c>
      <c r="E2376" t="inlineStr">
        <is>
          <t>Positivo</t>
        </is>
      </c>
      <c r="F2376" s="111" t="n">
        <v>45657</v>
      </c>
      <c r="G2376" t="n">
        <v>2024</v>
      </c>
      <c r="H2376" t="inlineStr">
        <is>
          <t>Diciembre</t>
        </is>
      </c>
      <c r="I2376" t="inlineStr">
        <is>
          <t>2024-2</t>
        </is>
      </c>
      <c r="J2376" t="n">
        <v>85</v>
      </c>
      <c r="K2376" t="n">
        <v>100</v>
      </c>
      <c r="L2376" s="39">
        <f>IFERROR(IF(OR(J2376=0,K2376=""),"",IF(E2376="Positivo",MIN(MAX(K2376/J2376,0),1.3),MIN(MAX(J2376/K2376,0),1.3))),"") </f>
        <v/>
      </c>
      <c r="M2376" s="39">
        <f>IFERROR(IF(OR(J2376=0,K2376=""),"",IF(E2376="Positivo",MAX(K2376/J2376,0),MAX(J2376/K2376,0))),"") </f>
        <v/>
      </c>
      <c r="P2376" t="n">
        <v>0</v>
      </c>
      <c r="Q2376" t="n">
        <v>0</v>
      </c>
      <c r="R2376" t="inlineStr">
        <is>
          <t>462-2024-12-31</t>
        </is>
      </c>
    </row>
    <row r="2377">
      <c r="A2377" t="n">
        <v>463</v>
      </c>
      <c r="B2377" t="inlineStr">
        <is>
          <t>Cumplimiento de las acciones del Plan de mejoramiento GPW</t>
        </is>
      </c>
      <c r="C2377" t="inlineStr">
        <is>
          <t>GESTIÓN Y DESARROLLO DEL TALENTO HUMANO</t>
        </is>
      </c>
      <c r="D2377" t="inlineStr">
        <is>
          <t>Semestral</t>
        </is>
      </c>
      <c r="E2377" t="inlineStr">
        <is>
          <t>Positivo</t>
        </is>
      </c>
      <c r="F2377" s="111" t="n">
        <v>45473</v>
      </c>
      <c r="G2377" t="n">
        <v>2024</v>
      </c>
      <c r="H2377" t="inlineStr">
        <is>
          <t>Junio</t>
        </is>
      </c>
      <c r="I2377" t="inlineStr">
        <is>
          <t>2024-1</t>
        </is>
      </c>
      <c r="J2377" t="n">
        <v>100</v>
      </c>
      <c r="K2377" t="n">
        <v>95</v>
      </c>
      <c r="L2377" s="39">
        <f>IFERROR(IF(OR(J2377=0,K2377=""),"",IF(E2377="Positivo",MIN(MAX(K2377/J2377,0),1.3),MIN(MAX(J2377/K2377,0),1.3))),"") </f>
        <v/>
      </c>
      <c r="M2377" s="39">
        <f>IFERROR(IF(OR(J2377=0,K2377=""),"",IF(E2377="Positivo",MAX(K2377/J2377,0),MAX(J2377/K2377,0))),"") </f>
        <v/>
      </c>
      <c r="N2377" t="inlineStr">
        <is>
          <t>%</t>
        </is>
      </c>
      <c r="O2377" t="inlineStr">
        <is>
          <t>%</t>
        </is>
      </c>
      <c r="P2377" t="n">
        <v>0</v>
      </c>
      <c r="Q2377" t="n">
        <v>0</v>
      </c>
      <c r="R2377" t="inlineStr">
        <is>
          <t>463-2024-06-30</t>
        </is>
      </c>
    </row>
    <row r="2378">
      <c r="A2378" t="n">
        <v>463</v>
      </c>
      <c r="B2378" t="inlineStr">
        <is>
          <t>Cumplimiento de las acciones del Plan de mejoramiento GPW</t>
        </is>
      </c>
      <c r="C2378" t="inlineStr">
        <is>
          <t>GESTIÓN Y DESARROLLO DEL TALENTO HUMANO</t>
        </is>
      </c>
      <c r="D2378" t="inlineStr">
        <is>
          <t>Semestral</t>
        </is>
      </c>
      <c r="E2378" t="inlineStr">
        <is>
          <t>Positivo</t>
        </is>
      </c>
      <c r="F2378" s="111" t="n">
        <v>45657</v>
      </c>
      <c r="G2378" t="n">
        <v>2024</v>
      </c>
      <c r="H2378" t="inlineStr">
        <is>
          <t>Diciembre</t>
        </is>
      </c>
      <c r="I2378" t="inlineStr">
        <is>
          <t>2024-2</t>
        </is>
      </c>
      <c r="J2378" t="n">
        <v>100</v>
      </c>
      <c r="K2378" t="n">
        <v>100</v>
      </c>
      <c r="L2378" s="39">
        <f>IFERROR(IF(OR(J2378=0,K2378=""),"",IF(E2378="Positivo",MIN(MAX(K2378/J2378,0),1.3),MIN(MAX(J2378/K2378,0),1.3))),"") </f>
        <v/>
      </c>
      <c r="M2378" s="39">
        <f>IFERROR(IF(OR(J2378=0,K2378=""),"",IF(E2378="Positivo",MAX(K2378/J2378,0),MAX(J2378/K2378,0))),"") </f>
        <v/>
      </c>
      <c r="N2378" t="inlineStr">
        <is>
          <t>%</t>
        </is>
      </c>
      <c r="O2378" t="inlineStr">
        <is>
          <t>%</t>
        </is>
      </c>
      <c r="P2378" t="n">
        <v>0</v>
      </c>
      <c r="Q2378" t="n">
        <v>0</v>
      </c>
      <c r="R2378" t="inlineStr">
        <is>
          <t>463-2024-12-31</t>
        </is>
      </c>
    </row>
    <row r="2379">
      <c r="A2379" t="n">
        <v>465</v>
      </c>
      <c r="B2379" t="inlineStr">
        <is>
          <t>% de depuración histórico  SNIES</t>
        </is>
      </c>
      <c r="C2379" t="inlineStr">
        <is>
          <t>DATOS Y ANALÍTICA</t>
        </is>
      </c>
      <c r="D2379" t="inlineStr">
        <is>
          <t>Semestral</t>
        </is>
      </c>
      <c r="E2379" t="inlineStr">
        <is>
          <t>Positivo</t>
        </is>
      </c>
      <c r="F2379" s="111" t="n">
        <v>45473</v>
      </c>
      <c r="G2379" t="n">
        <v>2024</v>
      </c>
      <c r="H2379" t="inlineStr">
        <is>
          <t>Junio</t>
        </is>
      </c>
      <c r="I2379" t="inlineStr">
        <is>
          <t>2024-1</t>
        </is>
      </c>
      <c r="J2379" t="n">
        <v>75</v>
      </c>
      <c r="K2379" t="n">
        <v>57.86</v>
      </c>
      <c r="L2379" s="39">
        <f>IFERROR(IF(OR(J2379=0,K2379=""),"",IF(E2379="Positivo",MIN(MAX(K2379/J2379,0),1.3),MIN(MAX(J2379/K2379,0),1.3))),"") </f>
        <v/>
      </c>
      <c r="M2379" s="39">
        <f>IFERROR(IF(OR(J2379=0,K2379=""),"",IF(E2379="Positivo",MAX(K2379/J2379,0),MAX(J2379/K2379,0))),"") </f>
        <v/>
      </c>
      <c r="N2379" t="inlineStr">
        <is>
          <t>%</t>
        </is>
      </c>
      <c r="O2379" t="inlineStr">
        <is>
          <t>%</t>
        </is>
      </c>
      <c r="P2379" t="n">
        <v>0</v>
      </c>
      <c r="Q2379" t="n">
        <v>0</v>
      </c>
      <c r="R2379" t="inlineStr">
        <is>
          <t>465-2024-06-30</t>
        </is>
      </c>
    </row>
    <row r="2380">
      <c r="A2380" t="n">
        <v>465</v>
      </c>
      <c r="B2380" t="inlineStr">
        <is>
          <t>% de depuración histórico  SNIES</t>
        </is>
      </c>
      <c r="C2380" t="inlineStr">
        <is>
          <t>DATOS Y ANALÍTICA</t>
        </is>
      </c>
      <c r="D2380" t="inlineStr">
        <is>
          <t>Semestral</t>
        </is>
      </c>
      <c r="E2380" t="inlineStr">
        <is>
          <t>Positivo</t>
        </is>
      </c>
      <c r="F2380" s="111" t="n">
        <v>45657</v>
      </c>
      <c r="G2380" t="n">
        <v>2024</v>
      </c>
      <c r="H2380" t="inlineStr">
        <is>
          <t>Diciembre</t>
        </is>
      </c>
      <c r="I2380" t="inlineStr">
        <is>
          <t>2024-2</t>
        </is>
      </c>
      <c r="J2380" t="n">
        <v>100</v>
      </c>
      <c r="K2380" t="n">
        <v>56.83</v>
      </c>
      <c r="L2380" s="39">
        <f>IFERROR(IF(OR(J2380=0,K2380=""),"",IF(E2380="Positivo",MIN(MAX(K2380/J2380,0),1.3),MIN(MAX(J2380/K2380,0),1.3))),"") </f>
        <v/>
      </c>
      <c r="M2380" s="39">
        <f>IFERROR(IF(OR(J2380=0,K2380=""),"",IF(E2380="Positivo",MAX(K2380/J2380,0),MAX(J2380/K2380,0))),"") </f>
        <v/>
      </c>
      <c r="P2380" t="n">
        <v>0</v>
      </c>
      <c r="Q2380" t="n">
        <v>0</v>
      </c>
      <c r="R2380" t="inlineStr">
        <is>
          <t>465-2024-12-31</t>
        </is>
      </c>
    </row>
    <row r="2381">
      <c r="A2381" t="n">
        <v>466</v>
      </c>
      <c r="B2381" t="inlineStr">
        <is>
          <t>NPS Estudiantes</t>
        </is>
      </c>
      <c r="C2381" t="inlineStr">
        <is>
          <t>EXPERIENCIA INSTITUCIONAL</t>
        </is>
      </c>
      <c r="D2381" t="inlineStr">
        <is>
          <t>Semestral</t>
        </is>
      </c>
      <c r="E2381" t="inlineStr">
        <is>
          <t>Positivo</t>
        </is>
      </c>
      <c r="F2381" s="111" t="n">
        <v>45473</v>
      </c>
      <c r="G2381" t="n">
        <v>2024</v>
      </c>
      <c r="H2381" t="inlineStr">
        <is>
          <t>Junio</t>
        </is>
      </c>
      <c r="I2381" t="inlineStr">
        <is>
          <t>2024-1</t>
        </is>
      </c>
      <c r="J2381" t="n">
        <v>100</v>
      </c>
      <c r="K2381" t="n">
        <v>119.2</v>
      </c>
      <c r="L2381" s="39">
        <f>IFERROR(IF(OR(J2381=0,K2381=""),"",IF(E2381="Positivo",MIN(MAX(K2381/J2381,0),1.3),MIN(MAX(J2381/K2381,0),1.3))),"") </f>
        <v/>
      </c>
      <c r="M2381" s="39">
        <f>IFERROR(IF(OR(J2381=0,K2381=""),"",IF(E2381="Positivo",MAX(K2381/J2381,0),MAX(J2381/K2381,0))),"") </f>
        <v/>
      </c>
      <c r="N2381" t="inlineStr">
        <is>
          <t>ENT</t>
        </is>
      </c>
      <c r="O2381" t="inlineStr">
        <is>
          <t>ENT</t>
        </is>
      </c>
      <c r="P2381" t="n">
        <v>0</v>
      </c>
      <c r="Q2381" t="n">
        <v>1</v>
      </c>
      <c r="R2381" t="inlineStr">
        <is>
          <t>466-2024-06-30</t>
        </is>
      </c>
    </row>
    <row r="2382">
      <c r="A2382" t="n">
        <v>466</v>
      </c>
      <c r="B2382" t="inlineStr">
        <is>
          <t>NPS Estudiantes</t>
        </is>
      </c>
      <c r="C2382" t="inlineStr">
        <is>
          <t>EXPERIENCIA INSTITUCIONAL</t>
        </is>
      </c>
      <c r="D2382" t="inlineStr">
        <is>
          <t>Semestral</t>
        </is>
      </c>
      <c r="E2382" t="inlineStr">
        <is>
          <t>Positivo</t>
        </is>
      </c>
      <c r="F2382" s="111" t="n">
        <v>45657</v>
      </c>
      <c r="G2382" t="n">
        <v>2024</v>
      </c>
      <c r="H2382" t="inlineStr">
        <is>
          <t>Diciembre</t>
        </is>
      </c>
      <c r="I2382" t="inlineStr">
        <is>
          <t>2024-2</t>
        </is>
      </c>
      <c r="J2382" t="n">
        <v>100</v>
      </c>
      <c r="K2382" t="n">
        <v>107.6</v>
      </c>
      <c r="L2382" s="39">
        <f>IFERROR(IF(OR(J2382=0,K2382=""),"",IF(E2382="Positivo",MIN(MAX(K2382/J2382,0),1.3),MIN(MAX(J2382/K2382,0),1.3))),"") </f>
        <v/>
      </c>
      <c r="M2382" s="39">
        <f>IFERROR(IF(OR(J2382=0,K2382=""),"",IF(E2382="Positivo",MAX(K2382/J2382,0),MAX(J2382/K2382,0))),"") </f>
        <v/>
      </c>
      <c r="N2382" t="inlineStr">
        <is>
          <t>ENT</t>
        </is>
      </c>
      <c r="O2382" t="inlineStr">
        <is>
          <t>DEC</t>
        </is>
      </c>
      <c r="P2382" t="n">
        <v>0</v>
      </c>
      <c r="Q2382" t="n">
        <v>1</v>
      </c>
      <c r="R2382" t="inlineStr">
        <is>
          <t>466-2024-12-31</t>
        </is>
      </c>
    </row>
    <row r="2383">
      <c r="A2383" t="n">
        <v>466</v>
      </c>
      <c r="B2383" t="inlineStr">
        <is>
          <t>NPS Estudiantes</t>
        </is>
      </c>
      <c r="C2383" t="inlineStr">
        <is>
          <t>EXPERIENCIA INSTITUCIONAL</t>
        </is>
      </c>
      <c r="D2383" t="inlineStr">
        <is>
          <t>Semestral</t>
        </is>
      </c>
      <c r="E2383" t="inlineStr">
        <is>
          <t>Positivo</t>
        </is>
      </c>
      <c r="F2383" s="111" t="n">
        <v>45838</v>
      </c>
      <c r="G2383" t="n">
        <v>2025</v>
      </c>
      <c r="H2383" t="inlineStr">
        <is>
          <t>Junio</t>
        </is>
      </c>
      <c r="I2383" t="inlineStr">
        <is>
          <t>2025-1</t>
        </is>
      </c>
      <c r="J2383" t="n">
        <v>100</v>
      </c>
      <c r="K2383" t="n">
        <v>48</v>
      </c>
      <c r="L2383" s="39">
        <f>IFERROR(IF(OR(J2383=0,K2383=""),"",IF(E2383="Positivo",MIN(MAX(K2383/J2383,0),1.3),MIN(MAX(J2383/K2383,0),1.3))),"") </f>
        <v/>
      </c>
      <c r="M2383" s="39">
        <f>IFERROR(IF(OR(J2383=0,K2383=""),"",IF(E2383="Positivo",MAX(K2383/J2383,0),MAX(J2383/K2383,0))),"") </f>
        <v/>
      </c>
      <c r="N2383" t="inlineStr">
        <is>
          <t>ENT</t>
        </is>
      </c>
      <c r="O2383" t="inlineStr">
        <is>
          <t>ENT</t>
        </is>
      </c>
      <c r="P2383" t="n">
        <v>0</v>
      </c>
      <c r="Q2383" t="n">
        <v>0</v>
      </c>
      <c r="R2383" t="inlineStr">
        <is>
          <t>466-2025-06-30</t>
        </is>
      </c>
    </row>
    <row r="2384">
      <c r="A2384" t="n">
        <v>466</v>
      </c>
      <c r="B2384" t="inlineStr">
        <is>
          <t>NPS Estudiantes</t>
        </is>
      </c>
      <c r="C2384" t="inlineStr">
        <is>
          <t>EXPERIENCIA INSTITUCIONAL</t>
        </is>
      </c>
      <c r="D2384" t="inlineStr">
        <is>
          <t>Trimestral</t>
        </is>
      </c>
      <c r="E2384" t="inlineStr">
        <is>
          <t>Positivo</t>
        </is>
      </c>
      <c r="F2384" s="111" t="n">
        <v>46022</v>
      </c>
      <c r="G2384" t="n">
        <v>2025</v>
      </c>
      <c r="H2384" t="inlineStr">
        <is>
          <t>Diciembre</t>
        </is>
      </c>
      <c r="I2384" t="inlineStr">
        <is>
          <t>2025-2</t>
        </is>
      </c>
      <c r="J2384" t="n">
        <v>100</v>
      </c>
      <c r="K2384" t="n">
        <v>106.55</v>
      </c>
      <c r="L2384" s="39">
        <f>IFERROR(IF(OR(J2384=0,K2384=""),"",IF(E2384="Positivo",MIN(MAX(K2384/J2384,0),1.3),MIN(MAX(J2384/K2384,0),1.3))),"") </f>
        <v/>
      </c>
      <c r="M2384" s="39">
        <f>IFERROR(IF(OR(J2384=0,K2384=""),"",IF(E2384="Positivo",MAX(K2384/J2384,0),MAX(J2384/K2384,0))),"") </f>
        <v/>
      </c>
      <c r="N2384" t="inlineStr">
        <is>
          <t>ENT</t>
        </is>
      </c>
      <c r="O2384" t="inlineStr">
        <is>
          <t>DEC</t>
        </is>
      </c>
      <c r="P2384" t="n">
        <v>1</v>
      </c>
      <c r="Q2384" t="n">
        <v>1</v>
      </c>
      <c r="R2384" t="inlineStr">
        <is>
          <t>466-2025-12-31</t>
        </is>
      </c>
    </row>
    <row r="2385">
      <c r="A2385" t="n">
        <v>467</v>
      </c>
      <c r="B2385" t="inlineStr">
        <is>
          <t>NPS Graduados</t>
        </is>
      </c>
      <c r="C2385" t="inlineStr">
        <is>
          <t>EXPERIENCIA INSTITUCIONAL</t>
        </is>
      </c>
      <c r="D2385" t="inlineStr">
        <is>
          <t>Semestral</t>
        </is>
      </c>
      <c r="E2385" t="inlineStr">
        <is>
          <t>Positivo</t>
        </is>
      </c>
      <c r="F2385" s="111" t="n">
        <v>45473</v>
      </c>
      <c r="G2385" t="n">
        <v>2024</v>
      </c>
      <c r="H2385" t="inlineStr">
        <is>
          <t>Junio</t>
        </is>
      </c>
      <c r="I2385" t="inlineStr">
        <is>
          <t>2024-1</t>
        </is>
      </c>
      <c r="J2385" t="n">
        <v>100</v>
      </c>
      <c r="K2385" t="n">
        <v>121.25</v>
      </c>
      <c r="L2385" s="39">
        <f>IFERROR(IF(OR(J2385=0,K2385=""),"",IF(E2385="Positivo",MIN(MAX(K2385/J2385,0),1.3),MIN(MAX(J2385/K2385,0),1.3))),"") </f>
        <v/>
      </c>
      <c r="M2385" s="39">
        <f>IFERROR(IF(OR(J2385=0,K2385=""),"",IF(E2385="Positivo",MAX(K2385/J2385,0),MAX(J2385/K2385,0))),"") </f>
        <v/>
      </c>
      <c r="N2385" t="inlineStr">
        <is>
          <t>ENT</t>
        </is>
      </c>
      <c r="O2385" t="inlineStr">
        <is>
          <t>DEC</t>
        </is>
      </c>
      <c r="P2385" t="n">
        <v>0</v>
      </c>
      <c r="Q2385" t="n">
        <v>1</v>
      </c>
      <c r="R2385" t="inlineStr">
        <is>
          <t>467-2024-06-30</t>
        </is>
      </c>
    </row>
    <row r="2386">
      <c r="A2386" t="n">
        <v>467</v>
      </c>
      <c r="B2386" t="inlineStr">
        <is>
          <t>NPS Graduados</t>
        </is>
      </c>
      <c r="C2386" t="inlineStr">
        <is>
          <t>EXPERIENCIA INSTITUCIONAL</t>
        </is>
      </c>
      <c r="D2386" t="inlineStr">
        <is>
          <t>Semestral</t>
        </is>
      </c>
      <c r="E2386" t="inlineStr">
        <is>
          <t>Positivo</t>
        </is>
      </c>
      <c r="F2386" s="111" t="n">
        <v>45657</v>
      </c>
      <c r="G2386" t="n">
        <v>2024</v>
      </c>
      <c r="H2386" t="inlineStr">
        <is>
          <t>Diciembre</t>
        </is>
      </c>
      <c r="I2386" t="inlineStr">
        <is>
          <t>2024-2</t>
        </is>
      </c>
      <c r="J2386" t="n">
        <v>100</v>
      </c>
      <c r="K2386" t="n">
        <v>121.83</v>
      </c>
      <c r="L2386" s="39">
        <f>IFERROR(IF(OR(J2386=0,K2386=""),"",IF(E2386="Positivo",MIN(MAX(K2386/J2386,0),1.3),MIN(MAX(J2386/K2386,0),1.3))),"") </f>
        <v/>
      </c>
      <c r="M2386" s="39">
        <f>IFERROR(IF(OR(J2386=0,K2386=""),"",IF(E2386="Positivo",MAX(K2386/J2386,0),MAX(J2386/K2386,0))),"") </f>
        <v/>
      </c>
      <c r="N2386" t="inlineStr">
        <is>
          <t>ENT</t>
        </is>
      </c>
      <c r="O2386" t="inlineStr">
        <is>
          <t>DEC</t>
        </is>
      </c>
      <c r="P2386" t="n">
        <v>0</v>
      </c>
      <c r="Q2386" t="n">
        <v>1</v>
      </c>
      <c r="R2386" t="inlineStr">
        <is>
          <t>467-2024-12-31</t>
        </is>
      </c>
    </row>
    <row r="2387">
      <c r="A2387" t="n">
        <v>467</v>
      </c>
      <c r="B2387" t="inlineStr">
        <is>
          <t>NPS Graduados</t>
        </is>
      </c>
      <c r="C2387" t="inlineStr">
        <is>
          <t>EXPERIENCIA INSTITUCIONAL</t>
        </is>
      </c>
      <c r="D2387" t="inlineStr">
        <is>
          <t>Semestral</t>
        </is>
      </c>
      <c r="E2387" t="inlineStr">
        <is>
          <t>Positivo</t>
        </is>
      </c>
      <c r="F2387" s="111" t="n">
        <v>45838</v>
      </c>
      <c r="G2387" t="n">
        <v>2025</v>
      </c>
      <c r="H2387" t="inlineStr">
        <is>
          <t>Junio</t>
        </is>
      </c>
      <c r="I2387" t="inlineStr">
        <is>
          <t>2025-1</t>
        </is>
      </c>
      <c r="J2387" t="n">
        <v>100</v>
      </c>
      <c r="K2387" t="n">
        <v>118</v>
      </c>
      <c r="L2387" s="39">
        <f>IFERROR(IF(OR(J2387=0,K2387=""),"",IF(E2387="Positivo",MIN(MAX(K2387/J2387,0),1.3),MIN(MAX(J2387/K2387,0),1.3))),"") </f>
        <v/>
      </c>
      <c r="M2387" s="39">
        <f>IFERROR(IF(OR(J2387=0,K2387=""),"",IF(E2387="Positivo",MAX(K2387/J2387,0),MAX(J2387/K2387,0))),"") </f>
        <v/>
      </c>
      <c r="N2387" t="inlineStr">
        <is>
          <t>ENT</t>
        </is>
      </c>
      <c r="O2387" t="inlineStr">
        <is>
          <t>DEC</t>
        </is>
      </c>
      <c r="P2387" t="n">
        <v>0</v>
      </c>
      <c r="Q2387" t="n">
        <v>1</v>
      </c>
      <c r="R2387" t="inlineStr">
        <is>
          <t>467-2025-06-30</t>
        </is>
      </c>
    </row>
    <row r="2388">
      <c r="A2388" t="n">
        <v>467</v>
      </c>
      <c r="B2388" t="inlineStr">
        <is>
          <t>NPS Graduados</t>
        </is>
      </c>
      <c r="C2388" t="inlineStr">
        <is>
          <t>EXPERIENCIA INSTITUCIONAL</t>
        </is>
      </c>
      <c r="D2388" t="inlineStr">
        <is>
          <t>Trimestral</t>
        </is>
      </c>
      <c r="E2388" t="inlineStr">
        <is>
          <t>Positivo</t>
        </is>
      </c>
      <c r="F2388" s="111" t="n">
        <v>46022</v>
      </c>
      <c r="G2388" t="n">
        <v>2025</v>
      </c>
      <c r="H2388" t="inlineStr">
        <is>
          <t>Diciembre</t>
        </is>
      </c>
      <c r="I2388" t="inlineStr">
        <is>
          <t>2025-2</t>
        </is>
      </c>
      <c r="J2388" t="n">
        <v>100</v>
      </c>
      <c r="K2388" t="n">
        <v>99.5</v>
      </c>
      <c r="L2388" s="39">
        <f>IFERROR(IF(OR(J2388=0,K2388=""),"",IF(E2388="Positivo",MIN(MAX(K2388/J2388,0),1.3),MIN(MAX(J2388/K2388,0),1.3))),"") </f>
        <v/>
      </c>
      <c r="M2388" s="39">
        <f>IFERROR(IF(OR(J2388=0,K2388=""),"",IF(E2388="Positivo",MAX(K2388/J2388,0),MAX(J2388/K2388,0))),"") </f>
        <v/>
      </c>
      <c r="N2388" t="inlineStr">
        <is>
          <t>ENT</t>
        </is>
      </c>
      <c r="O2388" t="inlineStr">
        <is>
          <t>DEC</t>
        </is>
      </c>
      <c r="P2388" t="n">
        <v>0</v>
      </c>
      <c r="Q2388" t="n">
        <v>1</v>
      </c>
      <c r="R2388" t="inlineStr">
        <is>
          <t>467-2025-12-31</t>
        </is>
      </c>
    </row>
    <row r="2389">
      <c r="A2389" t="n">
        <v>468</v>
      </c>
      <c r="B2389" t="inlineStr">
        <is>
          <t>CES General</t>
        </is>
      </c>
      <c r="C2389" t="inlineStr">
        <is>
          <t>EXPERIENCIA INSTITUCIONAL</t>
        </is>
      </c>
      <c r="D2389" t="inlineStr">
        <is>
          <t>Semestral</t>
        </is>
      </c>
      <c r="E2389" t="inlineStr">
        <is>
          <t>Negativo</t>
        </is>
      </c>
      <c r="F2389" s="111" t="n">
        <v>45473</v>
      </c>
      <c r="G2389" t="n">
        <v>2024</v>
      </c>
      <c r="H2389" t="inlineStr">
        <is>
          <t>Junio</t>
        </is>
      </c>
      <c r="I2389" t="inlineStr">
        <is>
          <t>2024-1</t>
        </is>
      </c>
      <c r="J2389" t="n">
        <v>3</v>
      </c>
      <c r="K2389" t="n">
        <v>2.85</v>
      </c>
      <c r="L2389" s="39">
        <f>IFERROR(IF(OR(J2389=0,K2389=""),"",IF(E2389="Positivo",MIN(MAX(K2389/J2389,0),1.3),MIN(MAX(J2389/K2389,0),1.3))),"") </f>
        <v/>
      </c>
      <c r="M2389" s="39">
        <f>IFERROR(IF(OR(J2389=0,K2389=""),"",IF(E2389="Positivo",MAX(K2389/J2389,0),MAX(J2389/K2389,0))),"") </f>
        <v/>
      </c>
      <c r="N2389" t="inlineStr">
        <is>
          <t>ENT</t>
        </is>
      </c>
      <c r="O2389" t="inlineStr">
        <is>
          <t>DEC</t>
        </is>
      </c>
      <c r="P2389" t="n">
        <v>0</v>
      </c>
      <c r="Q2389" t="n">
        <v>1</v>
      </c>
      <c r="R2389" t="inlineStr">
        <is>
          <t>468-2024-06-30</t>
        </is>
      </c>
    </row>
    <row r="2390">
      <c r="A2390" t="n">
        <v>468</v>
      </c>
      <c r="B2390" t="inlineStr">
        <is>
          <t>CES General</t>
        </is>
      </c>
      <c r="C2390" t="inlineStr">
        <is>
          <t>EXPERIENCIA INSTITUCIONAL</t>
        </is>
      </c>
      <c r="D2390" t="inlineStr">
        <is>
          <t>Semestral</t>
        </is>
      </c>
      <c r="E2390" t="inlineStr">
        <is>
          <t>Negativo</t>
        </is>
      </c>
      <c r="F2390" s="111" t="n">
        <v>45657</v>
      </c>
      <c r="G2390" t="n">
        <v>2024</v>
      </c>
      <c r="H2390" t="inlineStr">
        <is>
          <t>Diciembre</t>
        </is>
      </c>
      <c r="I2390" t="inlineStr">
        <is>
          <t>2024-2</t>
        </is>
      </c>
      <c r="J2390" t="n">
        <v>3</v>
      </c>
      <c r="K2390" t="n">
        <v>2.6</v>
      </c>
      <c r="L2390" s="39">
        <f>IFERROR(IF(OR(J2390=0,K2390=""),"",IF(E2390="Positivo",MIN(MAX(K2390/J2390,0),1.3),MIN(MAX(J2390/K2390,0),1.3))),"") </f>
        <v/>
      </c>
      <c r="M2390" s="39">
        <f>IFERROR(IF(OR(J2390=0,K2390=""),"",IF(E2390="Positivo",MAX(K2390/J2390,0),MAX(J2390/K2390,0))),"") </f>
        <v/>
      </c>
      <c r="N2390" t="inlineStr">
        <is>
          <t>ENT</t>
        </is>
      </c>
      <c r="O2390" t="inlineStr">
        <is>
          <t>DEC</t>
        </is>
      </c>
      <c r="P2390" t="n">
        <v>0</v>
      </c>
      <c r="Q2390" t="n">
        <v>1</v>
      </c>
      <c r="R2390" t="inlineStr">
        <is>
          <t>468-2024-12-31</t>
        </is>
      </c>
    </row>
    <row r="2391">
      <c r="A2391" t="n">
        <v>468</v>
      </c>
      <c r="B2391" t="inlineStr">
        <is>
          <t>CES General</t>
        </is>
      </c>
      <c r="C2391" t="inlineStr">
        <is>
          <t>EXPERIENCIA INSTITUCIONAL</t>
        </is>
      </c>
      <c r="D2391" t="inlineStr">
        <is>
          <t>Semestral</t>
        </is>
      </c>
      <c r="E2391" t="inlineStr">
        <is>
          <t>Negativo</t>
        </is>
      </c>
      <c r="F2391" s="111" t="n">
        <v>45838</v>
      </c>
      <c r="G2391" t="n">
        <v>2025</v>
      </c>
      <c r="H2391" t="inlineStr">
        <is>
          <t>Junio</t>
        </is>
      </c>
      <c r="I2391" t="inlineStr">
        <is>
          <t>2025-1</t>
        </is>
      </c>
      <c r="J2391" t="n">
        <v>2.5</v>
      </c>
      <c r="K2391" t="n">
        <v>2.4</v>
      </c>
      <c r="L2391" s="39">
        <f>IFERROR(IF(OR(J2391=0,K2391=""),"",IF(E2391="Positivo",MIN(MAX(K2391/J2391,0),1.3),MIN(MAX(J2391/K2391,0),1.3))),"") </f>
        <v/>
      </c>
      <c r="M2391" s="39">
        <f>IFERROR(IF(OR(J2391=0,K2391=""),"",IF(E2391="Positivo",MAX(K2391/J2391,0),MAX(J2391/K2391,0))),"") </f>
        <v/>
      </c>
      <c r="N2391" t="inlineStr">
        <is>
          <t>DEC</t>
        </is>
      </c>
      <c r="O2391" t="inlineStr">
        <is>
          <t>DEC</t>
        </is>
      </c>
      <c r="P2391" t="n">
        <v>1</v>
      </c>
      <c r="Q2391" t="n">
        <v>1</v>
      </c>
      <c r="R2391" t="inlineStr">
        <is>
          <t>468-2025-06-30</t>
        </is>
      </c>
    </row>
    <row r="2392">
      <c r="A2392" t="n">
        <v>468</v>
      </c>
      <c r="B2392" t="inlineStr">
        <is>
          <t>CES General</t>
        </is>
      </c>
      <c r="C2392" t="inlineStr">
        <is>
          <t>EXPERIENCIA INSTITUCIONAL</t>
        </is>
      </c>
      <c r="D2392" t="inlineStr">
        <is>
          <t>Trimestral</t>
        </is>
      </c>
      <c r="E2392" t="inlineStr">
        <is>
          <t>Negativo</t>
        </is>
      </c>
      <c r="F2392" s="111" t="n">
        <v>46022</v>
      </c>
      <c r="G2392" t="n">
        <v>2025</v>
      </c>
      <c r="H2392" t="inlineStr">
        <is>
          <t>Diciembre</t>
        </is>
      </c>
      <c r="I2392" t="inlineStr">
        <is>
          <t>2025-2</t>
        </is>
      </c>
      <c r="J2392" t="n">
        <v>2.5</v>
      </c>
      <c r="K2392" t="n">
        <v>2.1</v>
      </c>
      <c r="L2392" s="39">
        <f>IFERROR(IF(OR(J2392=0,K2392=""),"",IF(E2392="Positivo",MIN(MAX(K2392/J2392,0),1.3),MIN(MAX(J2392/K2392,0),1.3))),"") </f>
        <v/>
      </c>
      <c r="M2392" s="39">
        <f>IFERROR(IF(OR(J2392=0,K2392=""),"",IF(E2392="Positivo",MAX(K2392/J2392,0),MAX(J2392/K2392,0))),"") </f>
        <v/>
      </c>
      <c r="N2392" t="inlineStr">
        <is>
          <t>DEC</t>
        </is>
      </c>
      <c r="O2392" t="inlineStr">
        <is>
          <t>DEC</t>
        </is>
      </c>
      <c r="P2392" t="n">
        <v>1</v>
      </c>
      <c r="Q2392" t="n">
        <v>1</v>
      </c>
      <c r="R2392" t="inlineStr">
        <is>
          <t>468-2025-12-31</t>
        </is>
      </c>
    </row>
    <row r="2393">
      <c r="A2393" t="n">
        <v>469</v>
      </c>
      <c r="B2393" t="inlineStr">
        <is>
          <t>Cumplimiento Plan Anual Áreas sede Medellín</t>
        </is>
      </c>
      <c r="C2393" t="inlineStr">
        <is>
          <t>Planeación Estratégica</t>
        </is>
      </c>
      <c r="D2393" t="inlineStr">
        <is>
          <t>Trimestral</t>
        </is>
      </c>
      <c r="E2393" t="inlineStr">
        <is>
          <t>Positivo</t>
        </is>
      </c>
      <c r="F2393" s="111" t="n">
        <v>45382</v>
      </c>
      <c r="G2393" t="n">
        <v>2024</v>
      </c>
      <c r="H2393" t="inlineStr">
        <is>
          <t>Marzo</t>
        </is>
      </c>
      <c r="I2393" t="inlineStr">
        <is>
          <t>2024-1</t>
        </is>
      </c>
      <c r="J2393" t="n">
        <v>100</v>
      </c>
      <c r="K2393" t="n">
        <v>195.07</v>
      </c>
      <c r="L2393" s="39">
        <f>IFERROR(IF(OR(J2393=0,K2393=""),"",IF(E2393="Positivo",MIN(MAX(K2393/J2393,0),1.0),MIN(MAX(J2393/K2393,0),1.0))),"") </f>
        <v/>
      </c>
      <c r="M2393" s="39">
        <f>IFERROR(IF(OR(J2393=0,K2393=""),"",IF(E2393="Positivo",MAX(K2393/J2393,0),MAX(J2393/K2393,0))),"") </f>
        <v/>
      </c>
      <c r="N2393" t="inlineStr">
        <is>
          <t>%</t>
        </is>
      </c>
      <c r="O2393" t="inlineStr">
        <is>
          <t>%</t>
        </is>
      </c>
      <c r="P2393" t="n">
        <v>1</v>
      </c>
      <c r="Q2393" t="n">
        <v>1</v>
      </c>
      <c r="R2393" t="inlineStr">
        <is>
          <t>469-2024-03-31</t>
        </is>
      </c>
    </row>
    <row r="2394">
      <c r="A2394" t="n">
        <v>469</v>
      </c>
      <c r="B2394" t="inlineStr">
        <is>
          <t>Cumplimiento Plan Anual Áreas sede Medellín</t>
        </is>
      </c>
      <c r="C2394" t="inlineStr">
        <is>
          <t>Sede Medellín</t>
        </is>
      </c>
      <c r="D2394" t="inlineStr">
        <is>
          <t>Trimestral</t>
        </is>
      </c>
      <c r="E2394" t="inlineStr">
        <is>
          <t>Positivo</t>
        </is>
      </c>
      <c r="F2394" s="111" t="n">
        <v>45473</v>
      </c>
      <c r="G2394" t="n">
        <v>2024</v>
      </c>
      <c r="H2394" t="inlineStr">
        <is>
          <t>Junio</t>
        </is>
      </c>
      <c r="I2394" t="inlineStr">
        <is>
          <t>2024-1</t>
        </is>
      </c>
      <c r="J2394" t="n">
        <v>100</v>
      </c>
      <c r="K2394" t="n">
        <v>114.33</v>
      </c>
      <c r="L2394" s="39">
        <f>IFERROR(IF(OR(J2394=0,K2394=""),"",IF(E2394="Positivo",MIN(MAX(K2394/J2394,0),1.0),MIN(MAX(J2394/K2394,0),1.0))),"") </f>
        <v/>
      </c>
      <c r="M2394" s="39">
        <f>IFERROR(IF(OR(J2394=0,K2394=""),"",IF(E2394="Positivo",MAX(K2394/J2394,0),MAX(J2394/K2394,0))),"") </f>
        <v/>
      </c>
      <c r="N2394" t="inlineStr">
        <is>
          <t>%</t>
        </is>
      </c>
      <c r="O2394" t="inlineStr">
        <is>
          <t>%</t>
        </is>
      </c>
      <c r="P2394" t="n">
        <v>0</v>
      </c>
      <c r="Q2394" t="n">
        <v>0</v>
      </c>
      <c r="R2394" t="inlineStr">
        <is>
          <t>469-2024-06-30</t>
        </is>
      </c>
    </row>
    <row r="2395">
      <c r="A2395" t="n">
        <v>469</v>
      </c>
      <c r="B2395" t="inlineStr">
        <is>
          <t>Cumplimiento Plan Anual Áreas sede Medellín</t>
        </is>
      </c>
      <c r="C2395" t="inlineStr">
        <is>
          <t>Planeación Estratégica</t>
        </is>
      </c>
      <c r="D2395" t="inlineStr">
        <is>
          <t>Trimestral</t>
        </is>
      </c>
      <c r="E2395" t="inlineStr">
        <is>
          <t>Positivo</t>
        </is>
      </c>
      <c r="F2395" s="111" t="n">
        <v>45565</v>
      </c>
      <c r="G2395" t="n">
        <v>2024</v>
      </c>
      <c r="H2395" t="inlineStr">
        <is>
          <t>Septiembre</t>
        </is>
      </c>
      <c r="I2395" t="inlineStr">
        <is>
          <t>2024-2</t>
        </is>
      </c>
      <c r="J2395" t="n">
        <v>100</v>
      </c>
      <c r="K2395" t="n">
        <v>94.86</v>
      </c>
      <c r="L2395" s="39">
        <f>IFERROR(IF(OR(J2395=0,K2395=""),"",IF(E2395="Positivo",MIN(MAX(K2395/J2395,0),1.0),MIN(MAX(J2395/K2395,0),1.0))),"") </f>
        <v/>
      </c>
      <c r="M2395" s="39">
        <f>IFERROR(IF(OR(J2395=0,K2395=""),"",IF(E2395="Positivo",MAX(K2395/J2395,0),MAX(J2395/K2395,0))),"") </f>
        <v/>
      </c>
      <c r="N2395" t="inlineStr">
        <is>
          <t>%</t>
        </is>
      </c>
      <c r="O2395" t="inlineStr">
        <is>
          <t>%</t>
        </is>
      </c>
      <c r="P2395" t="n">
        <v>0</v>
      </c>
      <c r="Q2395" t="n">
        <v>0</v>
      </c>
      <c r="R2395" t="inlineStr">
        <is>
          <t>469-2024-09-30</t>
        </is>
      </c>
    </row>
    <row r="2396">
      <c r="A2396" t="n">
        <v>469</v>
      </c>
      <c r="B2396" t="inlineStr">
        <is>
          <t>Cumplimiento Plan Anual Áreas sede Medellín</t>
        </is>
      </c>
      <c r="C2396" t="inlineStr">
        <is>
          <t>Planeación Estratégica</t>
        </is>
      </c>
      <c r="D2396" t="inlineStr">
        <is>
          <t>Trimestral</t>
        </is>
      </c>
      <c r="E2396" t="inlineStr">
        <is>
          <t>Positivo</t>
        </is>
      </c>
      <c r="F2396" s="111" t="n">
        <v>45657</v>
      </c>
      <c r="G2396" t="n">
        <v>2024</v>
      </c>
      <c r="H2396" t="inlineStr">
        <is>
          <t>Diciembre</t>
        </is>
      </c>
      <c r="I2396" t="inlineStr">
        <is>
          <t>2024-2</t>
        </is>
      </c>
      <c r="J2396" t="n">
        <v>100</v>
      </c>
      <c r="K2396" t="n">
        <v>99.7</v>
      </c>
      <c r="L2396" s="39">
        <f>IFERROR(IF(OR(J2396=0,K2396=""),"",IF(E2396="Positivo",MIN(MAX(K2396/J2396,0),1.0),MIN(MAX(J2396/K2396,0),1.0))),"") </f>
        <v/>
      </c>
      <c r="M2396" s="39">
        <f>IFERROR(IF(OR(J2396=0,K2396=""),"",IF(E2396="Positivo",MAX(K2396/J2396,0),MAX(J2396/K2396,0))),"") </f>
        <v/>
      </c>
      <c r="N2396" t="inlineStr">
        <is>
          <t>%</t>
        </is>
      </c>
      <c r="O2396" t="inlineStr">
        <is>
          <t>%</t>
        </is>
      </c>
      <c r="P2396" t="n">
        <v>0</v>
      </c>
      <c r="Q2396" t="n">
        <v>0</v>
      </c>
      <c r="R2396" t="inlineStr">
        <is>
          <t>469-2024-12-31</t>
        </is>
      </c>
    </row>
    <row r="2397">
      <c r="A2397" t="n">
        <v>469</v>
      </c>
      <c r="B2397" t="inlineStr">
        <is>
          <t>Cumplimiento Plan Anual Áreas sede Medellín</t>
        </is>
      </c>
      <c r="C2397" t="inlineStr">
        <is>
          <t>Planeación Estratégica</t>
        </is>
      </c>
      <c r="D2397" t="inlineStr">
        <is>
          <t>Semestral</t>
        </is>
      </c>
      <c r="E2397" t="inlineStr">
        <is>
          <t>Positivo</t>
        </is>
      </c>
      <c r="F2397" s="111" t="n">
        <v>45747</v>
      </c>
      <c r="G2397" t="n">
        <v>2025</v>
      </c>
      <c r="H2397" t="inlineStr">
        <is>
          <t>Marzo</t>
        </is>
      </c>
      <c r="I2397" t="inlineStr">
        <is>
          <t>2025-1</t>
        </is>
      </c>
      <c r="J2397" t="n">
        <v>100</v>
      </c>
      <c r="K2397" t="n">
        <v>118.03</v>
      </c>
      <c r="L2397" s="39">
        <f>IFERROR(IF(OR(J2397=0,K2397=""),"",IF(E2397="Positivo",MIN(MAX(K2397/J2397,0),1.0),MIN(MAX(J2397/K2397,0),1.0))),"") </f>
        <v/>
      </c>
      <c r="M2397" s="39">
        <f>IFERROR(IF(OR(J2397=0,K2397=""),"",IF(E2397="Positivo",MAX(K2397/J2397,0),MAX(J2397/K2397,0))),"") </f>
        <v/>
      </c>
      <c r="N2397" t="inlineStr">
        <is>
          <t>%</t>
        </is>
      </c>
      <c r="O2397" t="inlineStr">
        <is>
          <t>%</t>
        </is>
      </c>
      <c r="P2397" t="n">
        <v>0</v>
      </c>
      <c r="Q2397" t="n">
        <v>0</v>
      </c>
      <c r="R2397" t="inlineStr">
        <is>
          <t>469-2025-03-31</t>
        </is>
      </c>
    </row>
    <row r="2398">
      <c r="A2398" t="n">
        <v>469</v>
      </c>
      <c r="B2398" t="inlineStr">
        <is>
          <t>Cumplimiento Plan Anual Áreas sede Medellín</t>
        </is>
      </c>
      <c r="C2398" t="inlineStr">
        <is>
          <t>Planeación Estratégica</t>
        </is>
      </c>
      <c r="D2398" t="inlineStr">
        <is>
          <t>Semestral</t>
        </is>
      </c>
      <c r="E2398" t="inlineStr">
        <is>
          <t>Positivo</t>
        </is>
      </c>
      <c r="F2398" s="111" t="n">
        <v>45838</v>
      </c>
      <c r="G2398" t="n">
        <v>2025</v>
      </c>
      <c r="H2398" t="inlineStr">
        <is>
          <t>Junio</t>
        </is>
      </c>
      <c r="I2398" t="inlineStr">
        <is>
          <t>2025-1</t>
        </is>
      </c>
      <c r="J2398" t="n">
        <v>100</v>
      </c>
      <c r="K2398" t="n">
        <v>103.52</v>
      </c>
      <c r="L2398" s="39">
        <f>IFERROR(IF(OR(J2398=0,K2398=""),"",IF(E2398="Positivo",MIN(MAX(K2398/J2398,0),1.0),MIN(MAX(J2398/K2398,0),1.0))),"") </f>
        <v/>
      </c>
      <c r="M2398" s="39">
        <f>IFERROR(IF(OR(J2398=0,K2398=""),"",IF(E2398="Positivo",MAX(K2398/J2398,0),MAX(J2398/K2398,0))),"") </f>
        <v/>
      </c>
      <c r="N2398" t="inlineStr">
        <is>
          <t>%</t>
        </is>
      </c>
      <c r="O2398" t="inlineStr">
        <is>
          <t>%</t>
        </is>
      </c>
      <c r="P2398" t="n">
        <v>0</v>
      </c>
      <c r="Q2398" t="n">
        <v>0</v>
      </c>
      <c r="R2398" t="inlineStr">
        <is>
          <t>469-2025-06-30</t>
        </is>
      </c>
    </row>
    <row r="2399">
      <c r="A2399" t="n">
        <v>469</v>
      </c>
      <c r="B2399" t="inlineStr">
        <is>
          <t>Cumplimiento Plan Anual Áreas sede Medellín</t>
        </is>
      </c>
      <c r="C2399" t="inlineStr">
        <is>
          <t>Planeación Estratégica</t>
        </is>
      </c>
      <c r="D2399" t="inlineStr">
        <is>
          <t>Semestral</t>
        </is>
      </c>
      <c r="E2399" t="inlineStr">
        <is>
          <t>Positivo</t>
        </is>
      </c>
      <c r="F2399" s="111" t="n">
        <v>45930</v>
      </c>
      <c r="G2399" t="n">
        <v>2025</v>
      </c>
      <c r="H2399" t="inlineStr">
        <is>
          <t>Septiembre</t>
        </is>
      </c>
      <c r="I2399" t="inlineStr">
        <is>
          <t>2025-2</t>
        </is>
      </c>
      <c r="J2399" t="n">
        <v>100</v>
      </c>
      <c r="K2399" t="n">
        <v>92.65000000000001</v>
      </c>
      <c r="L2399" s="39">
        <f>IFERROR(IF(OR(J2399=0,K2399=""),"",IF(E2399="Positivo",MIN(MAX(K2399/J2399,0),1.0),MIN(MAX(J2399/K2399,0),1.0))),"") </f>
        <v/>
      </c>
      <c r="M2399" s="39">
        <f>IFERROR(IF(OR(J2399=0,K2399=""),"",IF(E2399="Positivo",MAX(K2399/J2399,0),MAX(J2399/K2399,0))),"") </f>
        <v/>
      </c>
      <c r="N2399" t="inlineStr">
        <is>
          <t>%</t>
        </is>
      </c>
      <c r="O2399" t="inlineStr">
        <is>
          <t>%</t>
        </is>
      </c>
      <c r="P2399" t="n">
        <v>0</v>
      </c>
      <c r="Q2399" t="n">
        <v>0</v>
      </c>
      <c r="R2399" t="inlineStr">
        <is>
          <t>469-2025-09-30</t>
        </is>
      </c>
    </row>
    <row r="2400">
      <c r="A2400" t="n">
        <v>469</v>
      </c>
      <c r="B2400" t="inlineStr">
        <is>
          <t>Cumplimiento Plan Anual Áreas sede Medellín</t>
        </is>
      </c>
      <c r="C2400" t="inlineStr">
        <is>
          <t>Planeación Estratégica</t>
        </is>
      </c>
      <c r="D2400" t="inlineStr">
        <is>
          <t>Semestral</t>
        </is>
      </c>
      <c r="E2400" t="inlineStr">
        <is>
          <t>Positivo</t>
        </is>
      </c>
      <c r="F2400" s="111" t="n">
        <v>46022</v>
      </c>
      <c r="G2400" t="n">
        <v>2025</v>
      </c>
      <c r="H2400" t="inlineStr">
        <is>
          <t>Diciembre</t>
        </is>
      </c>
      <c r="I2400" t="inlineStr">
        <is>
          <t>2025-2</t>
        </is>
      </c>
      <c r="J2400" t="n">
        <v>100</v>
      </c>
      <c r="K2400" t="n">
        <v>99.13</v>
      </c>
      <c r="L2400" s="39">
        <f>IFERROR(IF(OR(J2400=0,K2400=""),"",IF(E2400="Positivo",MIN(MAX(K2400/J2400,0),1.0),MIN(MAX(J2400/K2400,0),1.0))),"") </f>
        <v/>
      </c>
      <c r="M2400" s="39">
        <f>IFERROR(IF(OR(J2400=0,K2400=""),"",IF(E2400="Positivo",MAX(K2400/J2400,0),MAX(J2400/K2400,0))),"") </f>
        <v/>
      </c>
      <c r="N2400" t="inlineStr">
        <is>
          <t>%</t>
        </is>
      </c>
      <c r="O2400" t="inlineStr">
        <is>
          <t>%</t>
        </is>
      </c>
      <c r="P2400" t="n">
        <v>0</v>
      </c>
      <c r="Q2400" t="n">
        <v>0</v>
      </c>
      <c r="R2400" t="inlineStr">
        <is>
          <t>469-2025-12-31</t>
        </is>
      </c>
    </row>
    <row r="2401">
      <c r="A2401" t="n">
        <v>470</v>
      </c>
      <c r="B2401" t="inlineStr">
        <is>
          <t>Cumplimiento plan anual Secretaria académica y de extensión</t>
        </is>
      </c>
      <c r="C2401" t="inlineStr">
        <is>
          <t>Planeación Estratégica</t>
        </is>
      </c>
      <c r="D2401" t="inlineStr">
        <is>
          <t>Trimestral</t>
        </is>
      </c>
      <c r="E2401" t="inlineStr">
        <is>
          <t>Positivo</t>
        </is>
      </c>
      <c r="F2401" s="111" t="n">
        <v>45382</v>
      </c>
      <c r="G2401" t="n">
        <v>2024</v>
      </c>
      <c r="H2401" t="inlineStr">
        <is>
          <t>Marzo</t>
        </is>
      </c>
      <c r="I2401" t="inlineStr">
        <is>
          <t>2024-1</t>
        </is>
      </c>
      <c r="J2401" t="n">
        <v>100</v>
      </c>
      <c r="K2401" t="n">
        <v>79.59999999999999</v>
      </c>
      <c r="L2401" s="39">
        <f>IFERROR(IF(OR(J2401=0,K2401=""),"",IF(E2401="Positivo",MIN(MAX(K2401/J2401,0),1.0),MIN(MAX(J2401/K2401,0),1.0))),"") </f>
        <v/>
      </c>
      <c r="M2401" s="39">
        <f>IFERROR(IF(OR(J2401=0,K2401=""),"",IF(E2401="Positivo",MAX(K2401/J2401,0),MAX(J2401/K2401,0))),"") </f>
        <v/>
      </c>
      <c r="N2401" t="inlineStr">
        <is>
          <t>%</t>
        </is>
      </c>
      <c r="O2401" t="inlineStr">
        <is>
          <t>%</t>
        </is>
      </c>
      <c r="P2401" t="n">
        <v>0</v>
      </c>
      <c r="Q2401" t="n">
        <v>0</v>
      </c>
      <c r="R2401" t="inlineStr">
        <is>
          <t>470-2024-03-31</t>
        </is>
      </c>
    </row>
    <row r="2402">
      <c r="A2402" t="n">
        <v>470</v>
      </c>
      <c r="B2402" t="inlineStr">
        <is>
          <t>Cumplimiento plan anual Secretaria académica y de extensión</t>
        </is>
      </c>
      <c r="C2402" t="inlineStr">
        <is>
          <t>Planeación Estratégica</t>
        </is>
      </c>
      <c r="D2402" t="inlineStr">
        <is>
          <t>Trimestral</t>
        </is>
      </c>
      <c r="E2402" t="inlineStr">
        <is>
          <t>Positivo</t>
        </is>
      </c>
      <c r="F2402" s="111" t="n">
        <v>45473</v>
      </c>
      <c r="G2402" t="n">
        <v>2024</v>
      </c>
      <c r="H2402" t="inlineStr">
        <is>
          <t>Junio</t>
        </is>
      </c>
      <c r="I2402" t="inlineStr">
        <is>
          <t>2024-1</t>
        </is>
      </c>
      <c r="J2402" t="n">
        <v>100</v>
      </c>
      <c r="K2402" t="n">
        <v>118.1</v>
      </c>
      <c r="L2402" s="39">
        <f>IFERROR(IF(OR(J2402=0,K2402=""),"",IF(E2402="Positivo",MIN(MAX(K2402/J2402,0),1.0),MIN(MAX(J2402/K2402,0),1.0))),"") </f>
        <v/>
      </c>
      <c r="M2402" s="39">
        <f>IFERROR(IF(OR(J2402=0,K2402=""),"",IF(E2402="Positivo",MAX(K2402/J2402,0),MAX(J2402/K2402,0))),"") </f>
        <v/>
      </c>
      <c r="N2402" t="inlineStr">
        <is>
          <t>%</t>
        </is>
      </c>
      <c r="O2402" t="inlineStr">
        <is>
          <t>%</t>
        </is>
      </c>
      <c r="P2402" t="n">
        <v>0</v>
      </c>
      <c r="Q2402" t="n">
        <v>0</v>
      </c>
      <c r="R2402" t="inlineStr">
        <is>
          <t>470-2024-06-30</t>
        </is>
      </c>
    </row>
    <row r="2403">
      <c r="A2403" t="n">
        <v>470</v>
      </c>
      <c r="B2403" t="inlineStr">
        <is>
          <t>Cumplimiento plan anual Secretaria académica y de extensión</t>
        </is>
      </c>
      <c r="C2403" t="inlineStr">
        <is>
          <t>Planeación Estratégica</t>
        </is>
      </c>
      <c r="D2403" t="inlineStr">
        <is>
          <t>Trimestral</t>
        </is>
      </c>
      <c r="E2403" t="inlineStr">
        <is>
          <t>Positivo</t>
        </is>
      </c>
      <c r="F2403" s="111" t="n">
        <v>45565</v>
      </c>
      <c r="G2403" t="n">
        <v>2024</v>
      </c>
      <c r="H2403" t="inlineStr">
        <is>
          <t>Septiembre</t>
        </is>
      </c>
      <c r="I2403" t="inlineStr">
        <is>
          <t>2024-2</t>
        </is>
      </c>
      <c r="J2403" t="n">
        <v>100</v>
      </c>
      <c r="K2403" t="n">
        <v>104.86</v>
      </c>
      <c r="L2403" s="39">
        <f>IFERROR(IF(OR(J2403=0,K2403=""),"",IF(E2403="Positivo",MIN(MAX(K2403/J2403,0),1.0),MIN(MAX(J2403/K2403,0),1.0))),"") </f>
        <v/>
      </c>
      <c r="M2403" s="39">
        <f>IFERROR(IF(OR(J2403=0,K2403=""),"",IF(E2403="Positivo",MAX(K2403/J2403,0),MAX(J2403/K2403,0))),"") </f>
        <v/>
      </c>
      <c r="N2403" t="inlineStr">
        <is>
          <t>%</t>
        </is>
      </c>
      <c r="O2403" t="inlineStr">
        <is>
          <t>%</t>
        </is>
      </c>
      <c r="P2403" t="n">
        <v>0</v>
      </c>
      <c r="Q2403" t="n">
        <v>0</v>
      </c>
      <c r="R2403" t="inlineStr">
        <is>
          <t>470-2024-09-30</t>
        </is>
      </c>
    </row>
    <row r="2404">
      <c r="A2404" t="n">
        <v>470</v>
      </c>
      <c r="B2404" t="inlineStr">
        <is>
          <t>Cumplimiento plan anual Secretaria académica y de extensión</t>
        </is>
      </c>
      <c r="C2404" t="inlineStr">
        <is>
          <t>Planeación Estratégica</t>
        </is>
      </c>
      <c r="D2404" t="inlineStr">
        <is>
          <t>Trimestral</t>
        </is>
      </c>
      <c r="E2404" t="inlineStr">
        <is>
          <t>Positivo</t>
        </is>
      </c>
      <c r="F2404" s="111" t="n">
        <v>45657</v>
      </c>
      <c r="G2404" t="n">
        <v>2024</v>
      </c>
      <c r="H2404" t="inlineStr">
        <is>
          <t>Diciembre</t>
        </is>
      </c>
      <c r="I2404" t="inlineStr">
        <is>
          <t>2024-2</t>
        </is>
      </c>
      <c r="J2404" t="n">
        <v>100</v>
      </c>
      <c r="K2404" t="n">
        <v>100</v>
      </c>
      <c r="L2404" s="39">
        <f>IFERROR(IF(OR(J2404=0,K2404=""),"",IF(E2404="Positivo",MIN(MAX(K2404/J2404,0),1.0),MIN(MAX(J2404/K2404,0),1.0))),"") </f>
        <v/>
      </c>
      <c r="M2404" s="39">
        <f>IFERROR(IF(OR(J2404=0,K2404=""),"",IF(E2404="Positivo",MAX(K2404/J2404,0),MAX(J2404/K2404,0))),"") </f>
        <v/>
      </c>
      <c r="N2404" t="inlineStr">
        <is>
          <t>%</t>
        </is>
      </c>
      <c r="O2404" t="inlineStr">
        <is>
          <t>%</t>
        </is>
      </c>
      <c r="P2404" t="n">
        <v>0</v>
      </c>
      <c r="Q2404" t="n">
        <v>0</v>
      </c>
      <c r="R2404" t="inlineStr">
        <is>
          <t>470-2024-12-31</t>
        </is>
      </c>
    </row>
    <row r="2405">
      <c r="A2405" t="n">
        <v>470</v>
      </c>
      <c r="B2405" t="inlineStr">
        <is>
          <t>Cumplimiento plan anual Secretaria académica y de extensión</t>
        </is>
      </c>
      <c r="C2405" t="inlineStr">
        <is>
          <t>Planeación Estratégica</t>
        </is>
      </c>
      <c r="D2405" t="inlineStr">
        <is>
          <t>Semestral</t>
        </is>
      </c>
      <c r="E2405" t="inlineStr">
        <is>
          <t>Positivo</t>
        </is>
      </c>
      <c r="F2405" s="111" t="n">
        <v>45747</v>
      </c>
      <c r="G2405" t="n">
        <v>2025</v>
      </c>
      <c r="H2405" t="inlineStr">
        <is>
          <t>Marzo</t>
        </is>
      </c>
      <c r="I2405" t="inlineStr">
        <is>
          <t>2025-1</t>
        </is>
      </c>
      <c r="J2405" t="n">
        <v>100</v>
      </c>
      <c r="K2405" t="n">
        <v>352.81</v>
      </c>
      <c r="L2405" s="39">
        <f>IFERROR(IF(OR(J2405=0,K2405=""),"",IF(E2405="Positivo",MIN(MAX(K2405/J2405,0),1.0),MIN(MAX(J2405/K2405,0),1.0))),"") </f>
        <v/>
      </c>
      <c r="M2405" s="39">
        <f>IFERROR(IF(OR(J2405=0,K2405=""),"",IF(E2405="Positivo",MAX(K2405/J2405,0),MAX(J2405/K2405,0))),"") </f>
        <v/>
      </c>
      <c r="N2405" t="inlineStr">
        <is>
          <t>%</t>
        </is>
      </c>
      <c r="O2405" t="inlineStr">
        <is>
          <t>%</t>
        </is>
      </c>
      <c r="P2405" t="n">
        <v>0</v>
      </c>
      <c r="Q2405" t="n">
        <v>0</v>
      </c>
      <c r="R2405" t="inlineStr">
        <is>
          <t>470-2025-03-31</t>
        </is>
      </c>
    </row>
    <row r="2406">
      <c r="A2406" t="n">
        <v>470</v>
      </c>
      <c r="B2406" t="inlineStr">
        <is>
          <t>Cumplimiento plan anual Secretaria académica y de extensión</t>
        </is>
      </c>
      <c r="C2406" t="inlineStr">
        <is>
          <t>Planeación Estratégica</t>
        </is>
      </c>
      <c r="D2406" t="inlineStr">
        <is>
          <t>Semestral</t>
        </is>
      </c>
      <c r="E2406" t="inlineStr">
        <is>
          <t>Positivo</t>
        </is>
      </c>
      <c r="F2406" s="111" t="n">
        <v>45838</v>
      </c>
      <c r="G2406" t="n">
        <v>2025</v>
      </c>
      <c r="H2406" t="inlineStr">
        <is>
          <t>Junio</t>
        </is>
      </c>
      <c r="I2406" t="inlineStr">
        <is>
          <t>2025-1</t>
        </is>
      </c>
      <c r="J2406" t="n">
        <v>100</v>
      </c>
      <c r="K2406" t="n">
        <v>148.38</v>
      </c>
      <c r="L2406" s="39">
        <f>IFERROR(IF(OR(J2406=0,K2406=""),"",IF(E2406="Positivo",MIN(MAX(K2406/J2406,0),1.0),MIN(MAX(J2406/K2406,0),1.0))),"") </f>
        <v/>
      </c>
      <c r="M2406" s="39">
        <f>IFERROR(IF(OR(J2406=0,K2406=""),"",IF(E2406="Positivo",MAX(K2406/J2406,0),MAX(J2406/K2406,0))),"") </f>
        <v/>
      </c>
      <c r="N2406" t="inlineStr">
        <is>
          <t>%</t>
        </is>
      </c>
      <c r="O2406" t="inlineStr">
        <is>
          <t>%</t>
        </is>
      </c>
      <c r="P2406" t="n">
        <v>0</v>
      </c>
      <c r="Q2406" t="n">
        <v>0</v>
      </c>
      <c r="R2406" t="inlineStr">
        <is>
          <t>470-2025-06-30</t>
        </is>
      </c>
    </row>
    <row r="2407">
      <c r="A2407" t="n">
        <v>470</v>
      </c>
      <c r="B2407" t="inlineStr">
        <is>
          <t>Cumplimiento plan anual Secretaria académica y de extensión</t>
        </is>
      </c>
      <c r="C2407" t="inlineStr">
        <is>
          <t>Planeación Estratégica</t>
        </is>
      </c>
      <c r="D2407" t="inlineStr">
        <is>
          <t>Semestral</t>
        </is>
      </c>
      <c r="E2407" t="inlineStr">
        <is>
          <t>Positivo</t>
        </is>
      </c>
      <c r="F2407" s="111" t="n">
        <v>45930</v>
      </c>
      <c r="G2407" t="n">
        <v>2025</v>
      </c>
      <c r="H2407" t="inlineStr">
        <is>
          <t>Septiembre</t>
        </is>
      </c>
      <c r="I2407" t="inlineStr">
        <is>
          <t>2025-2</t>
        </is>
      </c>
      <c r="J2407" t="n">
        <v>100</v>
      </c>
      <c r="K2407" t="n">
        <v>105.6</v>
      </c>
      <c r="L2407" s="39">
        <f>IFERROR(IF(OR(J2407=0,K2407=""),"",IF(E2407="Positivo",MIN(MAX(K2407/J2407,0),1.0),MIN(MAX(J2407/K2407,0),1.0))),"") </f>
        <v/>
      </c>
      <c r="M2407" s="39">
        <f>IFERROR(IF(OR(J2407=0,K2407=""),"",IF(E2407="Positivo",MAX(K2407/J2407,0),MAX(J2407/K2407,0))),"") </f>
        <v/>
      </c>
      <c r="N2407" t="inlineStr">
        <is>
          <t>%</t>
        </is>
      </c>
      <c r="O2407" t="inlineStr">
        <is>
          <t>%</t>
        </is>
      </c>
      <c r="P2407" t="n">
        <v>0</v>
      </c>
      <c r="Q2407" t="n">
        <v>0</v>
      </c>
      <c r="R2407" t="inlineStr">
        <is>
          <t>470-2025-09-30</t>
        </is>
      </c>
    </row>
    <row r="2408">
      <c r="A2408" t="n">
        <v>470</v>
      </c>
      <c r="B2408" t="inlineStr">
        <is>
          <t>Cumplimiento plan anual Secretaria académica y de extensión</t>
        </is>
      </c>
      <c r="C2408" t="inlineStr">
        <is>
          <t>Planeación Estratégica</t>
        </is>
      </c>
      <c r="D2408" t="inlineStr">
        <is>
          <t>Semestral</t>
        </is>
      </c>
      <c r="E2408" t="inlineStr">
        <is>
          <t>Positivo</t>
        </is>
      </c>
      <c r="F2408" s="111" t="n">
        <v>46022</v>
      </c>
      <c r="G2408" t="n">
        <v>2025</v>
      </c>
      <c r="H2408" t="inlineStr">
        <is>
          <t>Diciembre</t>
        </is>
      </c>
      <c r="I2408" t="inlineStr">
        <is>
          <t>2025-2</t>
        </is>
      </c>
      <c r="J2408" t="n">
        <v>100</v>
      </c>
      <c r="K2408" t="n">
        <v>100</v>
      </c>
      <c r="L2408" s="39">
        <f>IFERROR(IF(OR(J2408=0,K2408=""),"",IF(E2408="Positivo",MIN(MAX(K2408/J2408,0),1.0),MIN(MAX(J2408/K2408,0),1.0))),"") </f>
        <v/>
      </c>
      <c r="M2408" s="39">
        <f>IFERROR(IF(OR(J2408=0,K2408=""),"",IF(E2408="Positivo",MAX(K2408/J2408,0),MAX(J2408/K2408,0))),"") </f>
        <v/>
      </c>
      <c r="N2408" t="inlineStr">
        <is>
          <t>%</t>
        </is>
      </c>
      <c r="O2408" t="inlineStr">
        <is>
          <t>%</t>
        </is>
      </c>
      <c r="P2408" t="n">
        <v>0</v>
      </c>
      <c r="Q2408" t="n">
        <v>0</v>
      </c>
      <c r="R2408" t="inlineStr">
        <is>
          <t>470-2025-12-31</t>
        </is>
      </c>
    </row>
    <row r="2409">
      <c r="A2409" t="n">
        <v>471</v>
      </c>
      <c r="B2409" t="inlineStr">
        <is>
          <t>Cumplimiento plan anual Gerencia de Talento Humano</t>
        </is>
      </c>
      <c r="C2409" t="inlineStr">
        <is>
          <t>Planeación Estratégica</t>
        </is>
      </c>
      <c r="D2409" t="inlineStr">
        <is>
          <t>Trimestral</t>
        </is>
      </c>
      <c r="E2409" t="inlineStr">
        <is>
          <t>Positivo</t>
        </is>
      </c>
      <c r="F2409" s="111" t="n">
        <v>45382</v>
      </c>
      <c r="G2409" t="n">
        <v>2024</v>
      </c>
      <c r="H2409" t="inlineStr">
        <is>
          <t>Marzo</t>
        </is>
      </c>
      <c r="I2409" t="inlineStr">
        <is>
          <t>2024-1</t>
        </is>
      </c>
      <c r="J2409" t="n">
        <v>100</v>
      </c>
      <c r="K2409" t="n">
        <v>108.48</v>
      </c>
      <c r="L2409" s="39">
        <f>IFERROR(IF(OR(J2409=0,K2409=""),"",IF(E2409="Positivo",MIN(MAX(K2409/J2409,0),1.0),MIN(MAX(J2409/K2409,0),1.0))),"") </f>
        <v/>
      </c>
      <c r="M2409" s="39">
        <f>IFERROR(IF(OR(J2409=0,K2409=""),"",IF(E2409="Positivo",MAX(K2409/J2409,0),MAX(J2409/K2409,0))),"") </f>
        <v/>
      </c>
      <c r="N2409" t="inlineStr">
        <is>
          <t>%</t>
        </is>
      </c>
      <c r="O2409" t="inlineStr">
        <is>
          <t>%</t>
        </is>
      </c>
      <c r="P2409" t="n">
        <v>0</v>
      </c>
      <c r="Q2409" t="n">
        <v>0</v>
      </c>
      <c r="R2409" t="inlineStr">
        <is>
          <t>471-2024-03-31</t>
        </is>
      </c>
    </row>
    <row r="2410">
      <c r="A2410" t="n">
        <v>471</v>
      </c>
      <c r="B2410" t="inlineStr">
        <is>
          <t>Cumplimiento plan anual Gerencia de Talento Humano</t>
        </is>
      </c>
      <c r="C2410" t="inlineStr">
        <is>
          <t>GESTIÓN Y DESARROLLO DEL TALENTO HUMANO</t>
        </is>
      </c>
      <c r="D2410" t="inlineStr">
        <is>
          <t>Trimestral</t>
        </is>
      </c>
      <c r="E2410" t="inlineStr">
        <is>
          <t>Positivo</t>
        </is>
      </c>
      <c r="F2410" s="111" t="n">
        <v>45473</v>
      </c>
      <c r="G2410" t="n">
        <v>2024</v>
      </c>
      <c r="H2410" t="inlineStr">
        <is>
          <t>Junio</t>
        </is>
      </c>
      <c r="I2410" t="inlineStr">
        <is>
          <t>2024-1</t>
        </is>
      </c>
      <c r="J2410" t="n">
        <v>100</v>
      </c>
      <c r="K2410" t="n">
        <v>105.56</v>
      </c>
      <c r="L2410" s="39">
        <f>IFERROR(IF(OR(J2410=0,K2410=""),"",IF(E2410="Positivo",MIN(MAX(K2410/J2410,0),1.0),MIN(MAX(J2410/K2410,0),1.0))),"") </f>
        <v/>
      </c>
      <c r="M2410" s="39">
        <f>IFERROR(IF(OR(J2410=0,K2410=""),"",IF(E2410="Positivo",MAX(K2410/J2410,0),MAX(J2410/K2410,0))),"") </f>
        <v/>
      </c>
      <c r="N2410" t="inlineStr">
        <is>
          <t>%</t>
        </is>
      </c>
      <c r="O2410" t="inlineStr">
        <is>
          <t>%</t>
        </is>
      </c>
      <c r="P2410" t="n">
        <v>0</v>
      </c>
      <c r="Q2410" t="n">
        <v>0</v>
      </c>
      <c r="R2410" t="inlineStr">
        <is>
          <t>471-2024-06-30</t>
        </is>
      </c>
    </row>
    <row r="2411">
      <c r="A2411" t="n">
        <v>471</v>
      </c>
      <c r="B2411" t="inlineStr">
        <is>
          <t>Cumplimiento plan anual Gerencia de Talento Humano</t>
        </is>
      </c>
      <c r="C2411" t="inlineStr">
        <is>
          <t>Planeación Estratégica</t>
        </is>
      </c>
      <c r="D2411" t="inlineStr">
        <is>
          <t>Trimestral</t>
        </is>
      </c>
      <c r="E2411" t="inlineStr">
        <is>
          <t>Positivo</t>
        </is>
      </c>
      <c r="F2411" s="111" t="n">
        <v>45565</v>
      </c>
      <c r="G2411" t="n">
        <v>2024</v>
      </c>
      <c r="H2411" t="inlineStr">
        <is>
          <t>Septiembre</t>
        </is>
      </c>
      <c r="I2411" t="inlineStr">
        <is>
          <t>2024-2</t>
        </is>
      </c>
      <c r="J2411" t="n">
        <v>100</v>
      </c>
      <c r="K2411" t="n">
        <v>91.06999999999999</v>
      </c>
      <c r="L2411" s="39">
        <f>IFERROR(IF(OR(J2411=0,K2411=""),"",IF(E2411="Positivo",MIN(MAX(K2411/J2411,0),1.0),MIN(MAX(J2411/K2411,0),1.0))),"") </f>
        <v/>
      </c>
      <c r="M2411" s="39">
        <f>IFERROR(IF(OR(J2411=0,K2411=""),"",IF(E2411="Positivo",MAX(K2411/J2411,0),MAX(J2411/K2411,0))),"") </f>
        <v/>
      </c>
      <c r="N2411" t="inlineStr">
        <is>
          <t>%</t>
        </is>
      </c>
      <c r="O2411" t="inlineStr">
        <is>
          <t>%</t>
        </is>
      </c>
      <c r="P2411" t="n">
        <v>0</v>
      </c>
      <c r="Q2411" t="n">
        <v>0</v>
      </c>
      <c r="R2411" t="inlineStr">
        <is>
          <t>471-2024-09-30</t>
        </is>
      </c>
    </row>
    <row r="2412">
      <c r="A2412" t="n">
        <v>471</v>
      </c>
      <c r="B2412" t="inlineStr">
        <is>
          <t>Cumplimiento plan anual Gerencia de Talento Humano</t>
        </is>
      </c>
      <c r="C2412" t="inlineStr">
        <is>
          <t>Planeación Estratégica</t>
        </is>
      </c>
      <c r="D2412" t="inlineStr">
        <is>
          <t>Trimestral</t>
        </is>
      </c>
      <c r="E2412" t="inlineStr">
        <is>
          <t>Positivo</t>
        </is>
      </c>
      <c r="F2412" s="111" t="n">
        <v>45657</v>
      </c>
      <c r="G2412" t="n">
        <v>2024</v>
      </c>
      <c r="H2412" t="inlineStr">
        <is>
          <t>Diciembre</t>
        </is>
      </c>
      <c r="I2412" t="inlineStr">
        <is>
          <t>2024-2</t>
        </is>
      </c>
      <c r="J2412" t="n">
        <v>100</v>
      </c>
      <c r="K2412" t="n">
        <v>99</v>
      </c>
      <c r="L2412" s="39">
        <f>IFERROR(IF(OR(J2412=0,K2412=""),"",IF(E2412="Positivo",MIN(MAX(K2412/J2412,0),1.0),MIN(MAX(J2412/K2412,0),1.0))),"") </f>
        <v/>
      </c>
      <c r="M2412" s="39">
        <f>IFERROR(IF(OR(J2412=0,K2412=""),"",IF(E2412="Positivo",MAX(K2412/J2412,0),MAX(J2412/K2412,0))),"") </f>
        <v/>
      </c>
      <c r="N2412" t="inlineStr">
        <is>
          <t>%</t>
        </is>
      </c>
      <c r="O2412" t="inlineStr">
        <is>
          <t>%</t>
        </is>
      </c>
      <c r="P2412" t="n">
        <v>0</v>
      </c>
      <c r="Q2412" t="n">
        <v>0</v>
      </c>
      <c r="R2412" t="inlineStr">
        <is>
          <t>471-2024-12-31</t>
        </is>
      </c>
    </row>
    <row r="2413">
      <c r="A2413" t="n">
        <v>471</v>
      </c>
      <c r="B2413" t="inlineStr">
        <is>
          <t>Cumplimiento plan anual Gerencia de Talento Humano</t>
        </is>
      </c>
      <c r="C2413" t="inlineStr">
        <is>
          <t>Planeación Estratégica</t>
        </is>
      </c>
      <c r="D2413" t="inlineStr">
        <is>
          <t>Semestral</t>
        </is>
      </c>
      <c r="E2413" t="inlineStr">
        <is>
          <t>Positivo</t>
        </is>
      </c>
      <c r="F2413" s="111" t="n">
        <v>45747</v>
      </c>
      <c r="G2413" t="n">
        <v>2025</v>
      </c>
      <c r="H2413" t="inlineStr">
        <is>
          <t>Marzo</t>
        </is>
      </c>
      <c r="I2413" t="inlineStr">
        <is>
          <t>2025-1</t>
        </is>
      </c>
      <c r="J2413" t="n">
        <v>100</v>
      </c>
      <c r="K2413" t="n">
        <v>103.51</v>
      </c>
      <c r="L2413" s="39">
        <f>IFERROR(IF(OR(J2413=0,K2413=""),"",IF(E2413="Positivo",MIN(MAX(K2413/J2413,0),1.0),MIN(MAX(J2413/K2413,0),1.0))),"") </f>
        <v/>
      </c>
      <c r="M2413" s="39">
        <f>IFERROR(IF(OR(J2413=0,K2413=""),"",IF(E2413="Positivo",MAX(K2413/J2413,0),MAX(J2413/K2413,0))),"") </f>
        <v/>
      </c>
      <c r="N2413" t="inlineStr">
        <is>
          <t>%</t>
        </is>
      </c>
      <c r="O2413" t="inlineStr">
        <is>
          <t>%</t>
        </is>
      </c>
      <c r="P2413" t="n">
        <v>0</v>
      </c>
      <c r="Q2413" t="n">
        <v>0</v>
      </c>
      <c r="R2413" t="inlineStr">
        <is>
          <t>471-2025-03-31</t>
        </is>
      </c>
    </row>
    <row r="2414">
      <c r="A2414" t="n">
        <v>471</v>
      </c>
      <c r="B2414" t="inlineStr">
        <is>
          <t>Cumplimiento plan anual Gerencia de Talento Humano</t>
        </is>
      </c>
      <c r="C2414" t="inlineStr">
        <is>
          <t>Planeación Estratégica</t>
        </is>
      </c>
      <c r="D2414" t="inlineStr">
        <is>
          <t>Semestral</t>
        </is>
      </c>
      <c r="E2414" t="inlineStr">
        <is>
          <t>Positivo</t>
        </is>
      </c>
      <c r="F2414" s="111" t="n">
        <v>45838</v>
      </c>
      <c r="G2414" t="n">
        <v>2025</v>
      </c>
      <c r="H2414" t="inlineStr">
        <is>
          <t>Junio</t>
        </is>
      </c>
      <c r="I2414" t="inlineStr">
        <is>
          <t>2025-1</t>
        </is>
      </c>
      <c r="J2414" t="n">
        <v>100</v>
      </c>
      <c r="K2414" t="n">
        <v>94.02</v>
      </c>
      <c r="L2414" s="39">
        <f>IFERROR(IF(OR(J2414=0,K2414=""),"",IF(E2414="Positivo",MIN(MAX(K2414/J2414,0),1.0),MIN(MAX(J2414/K2414,0),1.0))),"") </f>
        <v/>
      </c>
      <c r="M2414" s="39">
        <f>IFERROR(IF(OR(J2414=0,K2414=""),"",IF(E2414="Positivo",MAX(K2414/J2414,0),MAX(J2414/K2414,0))),"") </f>
        <v/>
      </c>
      <c r="N2414" t="inlineStr">
        <is>
          <t>%</t>
        </is>
      </c>
      <c r="O2414" t="inlineStr">
        <is>
          <t>%</t>
        </is>
      </c>
      <c r="P2414" t="n">
        <v>0</v>
      </c>
      <c r="Q2414" t="n">
        <v>0</v>
      </c>
      <c r="R2414" t="inlineStr">
        <is>
          <t>471-2025-06-30</t>
        </is>
      </c>
    </row>
    <row r="2415">
      <c r="A2415" t="n">
        <v>471</v>
      </c>
      <c r="B2415" t="inlineStr">
        <is>
          <t>Cumplimiento plan anual Gerencia de Talento Humano</t>
        </is>
      </c>
      <c r="C2415" t="inlineStr">
        <is>
          <t>Planeación Estratégica</t>
        </is>
      </c>
      <c r="D2415" t="inlineStr">
        <is>
          <t>Semestral</t>
        </is>
      </c>
      <c r="E2415" t="inlineStr">
        <is>
          <t>Positivo</t>
        </is>
      </c>
      <c r="F2415" s="111" t="n">
        <v>45930</v>
      </c>
      <c r="G2415" t="n">
        <v>2025</v>
      </c>
      <c r="H2415" t="inlineStr">
        <is>
          <t>Septiembre</t>
        </is>
      </c>
      <c r="I2415" t="inlineStr">
        <is>
          <t>2025-2</t>
        </is>
      </c>
      <c r="J2415" t="n">
        <v>100</v>
      </c>
      <c r="K2415" t="n">
        <v>98.93000000000001</v>
      </c>
      <c r="L2415" s="39">
        <f>IFERROR(IF(OR(J2415=0,K2415=""),"",IF(E2415="Positivo",MIN(MAX(K2415/J2415,0),1.0),MIN(MAX(J2415/K2415,0),1.0))),"") </f>
        <v/>
      </c>
      <c r="M2415" s="39">
        <f>IFERROR(IF(OR(J2415=0,K2415=""),"",IF(E2415="Positivo",MAX(K2415/J2415,0),MAX(J2415/K2415,0))),"") </f>
        <v/>
      </c>
      <c r="N2415" t="inlineStr">
        <is>
          <t>%</t>
        </is>
      </c>
      <c r="O2415" t="inlineStr">
        <is>
          <t>%</t>
        </is>
      </c>
      <c r="P2415" t="n">
        <v>0</v>
      </c>
      <c r="Q2415" t="n">
        <v>0</v>
      </c>
      <c r="R2415" t="inlineStr">
        <is>
          <t>471-2025-09-30</t>
        </is>
      </c>
    </row>
    <row r="2416">
      <c r="A2416" t="n">
        <v>471</v>
      </c>
      <c r="B2416" t="inlineStr">
        <is>
          <t>Cumplimiento plan anual Gerencia de Talento Humano</t>
        </is>
      </c>
      <c r="C2416" t="inlineStr">
        <is>
          <t>Planeación Estratégica</t>
        </is>
      </c>
      <c r="D2416" t="inlineStr">
        <is>
          <t>Semestral</t>
        </is>
      </c>
      <c r="E2416" t="inlineStr">
        <is>
          <t>Positivo</t>
        </is>
      </c>
      <c r="F2416" s="111" t="n">
        <v>46022</v>
      </c>
      <c r="G2416" t="n">
        <v>2025</v>
      </c>
      <c r="H2416" t="inlineStr">
        <is>
          <t>Diciembre</t>
        </is>
      </c>
      <c r="I2416" t="inlineStr">
        <is>
          <t>2025-2</t>
        </is>
      </c>
      <c r="J2416" t="n">
        <v>100</v>
      </c>
      <c r="K2416" t="n">
        <v>99.86</v>
      </c>
      <c r="L2416" s="39">
        <f>IFERROR(IF(OR(J2416=0,K2416=""),"",IF(E2416="Positivo",MIN(MAX(K2416/J2416,0),1.0),MIN(MAX(J2416/K2416,0),1.0))),"") </f>
        <v/>
      </c>
      <c r="M2416" s="39">
        <f>IFERROR(IF(OR(J2416=0,K2416=""),"",IF(E2416="Positivo",MAX(K2416/J2416,0),MAX(J2416/K2416,0))),"") </f>
        <v/>
      </c>
      <c r="N2416" t="inlineStr">
        <is>
          <t>%</t>
        </is>
      </c>
      <c r="O2416" t="inlineStr">
        <is>
          <t>%</t>
        </is>
      </c>
      <c r="P2416" t="n">
        <v>0</v>
      </c>
      <c r="Q2416" t="n">
        <v>0</v>
      </c>
      <c r="R2416" t="inlineStr">
        <is>
          <t>471-2025-12-31</t>
        </is>
      </c>
    </row>
    <row r="2417">
      <c r="A2417" t="n">
        <v>472</v>
      </c>
      <c r="B2417" t="inlineStr">
        <is>
          <t>Cobertura de Recolección de Variables ADA (Arquitectura de datos para la analitica)</t>
        </is>
      </c>
      <c r="C2417" t="inlineStr">
        <is>
          <t>DATOS Y ANALÍTICA</t>
        </is>
      </c>
      <c r="D2417" t="inlineStr">
        <is>
          <t>Semestral</t>
        </is>
      </c>
      <c r="E2417" t="inlineStr">
        <is>
          <t>Positivo</t>
        </is>
      </c>
      <c r="F2417" s="111" t="n">
        <v>45473</v>
      </c>
      <c r="G2417" t="n">
        <v>2024</v>
      </c>
      <c r="H2417" t="inlineStr">
        <is>
          <t>Junio</t>
        </is>
      </c>
      <c r="I2417" t="inlineStr">
        <is>
          <t>2024-1</t>
        </is>
      </c>
      <c r="J2417" t="n">
        <v>100</v>
      </c>
      <c r="K2417" t="n">
        <v>82.09999999999999</v>
      </c>
      <c r="L2417" s="39">
        <f>IFERROR(IF(OR(J2417=0,K2417=""),"",IF(E2417="Positivo",MIN(MAX(K2417/J2417,0),1.3),MIN(MAX(J2417/K2417,0),1.3))),"") </f>
        <v/>
      </c>
      <c r="M2417" s="39">
        <f>IFERROR(IF(OR(J2417=0,K2417=""),"",IF(E2417="Positivo",MAX(K2417/J2417,0),MAX(J2417/K2417,0))),"") </f>
        <v/>
      </c>
      <c r="N2417" t="inlineStr">
        <is>
          <t>%</t>
        </is>
      </c>
      <c r="O2417" t="inlineStr">
        <is>
          <t>%</t>
        </is>
      </c>
      <c r="P2417" t="n">
        <v>0</v>
      </c>
      <c r="Q2417" t="n">
        <v>0</v>
      </c>
      <c r="R2417" t="inlineStr">
        <is>
          <t>472-2024-06-30</t>
        </is>
      </c>
    </row>
    <row r="2418">
      <c r="A2418" t="n">
        <v>472</v>
      </c>
      <c r="B2418" t="inlineStr">
        <is>
          <t>Cobertura de Recolección de Variables ADA (Arquitectura de datos para la analitica)</t>
        </is>
      </c>
      <c r="C2418" t="inlineStr">
        <is>
          <t>DATOS Y ANALÍTICA</t>
        </is>
      </c>
      <c r="D2418" t="inlineStr">
        <is>
          <t>Semestral</t>
        </is>
      </c>
      <c r="E2418" t="inlineStr">
        <is>
          <t>Positivo</t>
        </is>
      </c>
      <c r="F2418" s="111" t="n">
        <v>45657</v>
      </c>
      <c r="G2418" t="n">
        <v>2024</v>
      </c>
      <c r="H2418" t="inlineStr">
        <is>
          <t>Diciembre</t>
        </is>
      </c>
      <c r="I2418" t="inlineStr">
        <is>
          <t>2024-2</t>
        </is>
      </c>
      <c r="J2418" t="n">
        <v>100</v>
      </c>
      <c r="K2418" t="n">
        <v>100</v>
      </c>
      <c r="L2418" s="39">
        <f>IFERROR(IF(OR(J2418=0,K2418=""),"",IF(E2418="Positivo",MIN(MAX(K2418/J2418,0),1.3),MIN(MAX(J2418/K2418,0),1.3))),"") </f>
        <v/>
      </c>
      <c r="M2418" s="39">
        <f>IFERROR(IF(OR(J2418=0,K2418=""),"",IF(E2418="Positivo",MAX(K2418/J2418,0),MAX(J2418/K2418,0))),"") </f>
        <v/>
      </c>
      <c r="N2418" t="inlineStr">
        <is>
          <t>%</t>
        </is>
      </c>
      <c r="O2418" t="inlineStr">
        <is>
          <t>%</t>
        </is>
      </c>
      <c r="P2418" t="n">
        <v>0</v>
      </c>
      <c r="Q2418" t="n">
        <v>0</v>
      </c>
      <c r="R2418" t="inlineStr">
        <is>
          <t>472-2024-12-31</t>
        </is>
      </c>
    </row>
    <row r="2419">
      <c r="A2419" t="n">
        <v>473</v>
      </c>
      <c r="B2419" t="inlineStr">
        <is>
          <t>Programas con alineación curricular</t>
        </is>
      </c>
      <c r="C2419" t="inlineStr">
        <is>
          <t>Gestión, Evaluación e Innovación Curricular</t>
        </is>
      </c>
      <c r="D2419" t="inlineStr">
        <is>
          <t>Semestral</t>
        </is>
      </c>
      <c r="E2419" t="inlineStr">
        <is>
          <t>Positivo</t>
        </is>
      </c>
      <c r="F2419" s="111" t="n">
        <v>45473</v>
      </c>
      <c r="G2419" t="n">
        <v>2024</v>
      </c>
      <c r="H2419" t="inlineStr">
        <is>
          <t>Junio</t>
        </is>
      </c>
      <c r="I2419" t="inlineStr">
        <is>
          <t>2024-1</t>
        </is>
      </c>
      <c r="J2419" t="n">
        <v>100</v>
      </c>
      <c r="K2419" t="n">
        <v>100</v>
      </c>
      <c r="L2419" s="39">
        <f>IFERROR(IF(OR(J2419=0,K2419=""),"",IF(E2419="Positivo",MIN(MAX(K2419/J2419,0),1.3),MIN(MAX(J2419/K2419,0),1.3))),"") </f>
        <v/>
      </c>
      <c r="M2419" s="39">
        <f>IFERROR(IF(OR(J2419=0,K2419=""),"",IF(E2419="Positivo",MAX(K2419/J2419,0),MAX(J2419/K2419,0))),"") </f>
        <v/>
      </c>
      <c r="N2419" t="inlineStr">
        <is>
          <t>ENT</t>
        </is>
      </c>
      <c r="O2419" t="inlineStr">
        <is>
          <t>ENT</t>
        </is>
      </c>
      <c r="P2419" t="n">
        <v>0</v>
      </c>
      <c r="Q2419" t="n">
        <v>0</v>
      </c>
      <c r="R2419" t="inlineStr">
        <is>
          <t>473-2024-06-30</t>
        </is>
      </c>
    </row>
    <row r="2420">
      <c r="A2420" t="n">
        <v>473</v>
      </c>
      <c r="B2420" t="inlineStr">
        <is>
          <t>Programas con planes de estudios definidos</t>
        </is>
      </c>
      <c r="C2420" t="inlineStr">
        <is>
          <t>Gestión, Evaluación e Innovación Curricular</t>
        </is>
      </c>
      <c r="D2420" t="inlineStr">
        <is>
          <t>Semestral</t>
        </is>
      </c>
      <c r="E2420" t="inlineStr">
        <is>
          <t>Positivo</t>
        </is>
      </c>
      <c r="F2420" s="111" t="n">
        <v>45657</v>
      </c>
      <c r="G2420" t="n">
        <v>2024</v>
      </c>
      <c r="H2420" t="inlineStr">
        <is>
          <t>Diciembre</t>
        </is>
      </c>
      <c r="I2420" t="inlineStr">
        <is>
          <t>2024-2</t>
        </is>
      </c>
      <c r="J2420" t="n">
        <v>100</v>
      </c>
      <c r="K2420" t="n">
        <v>100</v>
      </c>
      <c r="L2420" s="39">
        <f>IFERROR(IF(OR(J2420=0,K2420=""),"",IF(E2420="Positivo",MIN(MAX(K2420/J2420,0),1.3),MIN(MAX(J2420/K2420,0),1.3))),"") </f>
        <v/>
      </c>
      <c r="M2420" s="39">
        <f>IFERROR(IF(OR(J2420=0,K2420=""),"",IF(E2420="Positivo",MAX(K2420/J2420,0),MAX(J2420/K2420,0))),"") </f>
        <v/>
      </c>
      <c r="N2420" t="inlineStr">
        <is>
          <t>ENT</t>
        </is>
      </c>
      <c r="O2420" t="inlineStr">
        <is>
          <t>ENT</t>
        </is>
      </c>
      <c r="P2420" t="n">
        <v>0</v>
      </c>
      <c r="Q2420" t="n">
        <v>0</v>
      </c>
      <c r="R2420" t="inlineStr">
        <is>
          <t>473-2024-12-31</t>
        </is>
      </c>
    </row>
    <row r="2421">
      <c r="A2421" t="n">
        <v>473</v>
      </c>
      <c r="B2421" t="inlineStr">
        <is>
          <t>Programas con planes de estudios definidos</t>
        </is>
      </c>
      <c r="C2421" t="inlineStr">
        <is>
          <t>Gestión, Evaluación e Innovación Curricular</t>
        </is>
      </c>
      <c r="D2421" t="inlineStr">
        <is>
          <t>Semestral</t>
        </is>
      </c>
      <c r="E2421" t="inlineStr">
        <is>
          <t>Positivo</t>
        </is>
      </c>
      <c r="F2421" s="111" t="n">
        <v>45838</v>
      </c>
      <c r="G2421" t="n">
        <v>2025</v>
      </c>
      <c r="H2421" t="inlineStr">
        <is>
          <t>Junio</t>
        </is>
      </c>
      <c r="I2421" t="inlineStr">
        <is>
          <t>2025-1</t>
        </is>
      </c>
      <c r="J2421" t="n">
        <v>100</v>
      </c>
      <c r="K2421" t="n">
        <v>100</v>
      </c>
      <c r="L2421" s="39">
        <f>IFERROR(IF(OR(J2421=0,K2421=""),"",IF(E2421="Positivo",MIN(MAX(K2421/J2421,0),1.3),MIN(MAX(J2421/K2421,0),1.3))),"") </f>
        <v/>
      </c>
      <c r="M2421" s="39">
        <f>IFERROR(IF(OR(J2421=0,K2421=""),"",IF(E2421="Positivo",MAX(K2421/J2421,0),MAX(J2421/K2421,0))),"") </f>
        <v/>
      </c>
      <c r="N2421" t="inlineStr">
        <is>
          <t>ENT</t>
        </is>
      </c>
      <c r="O2421" t="inlineStr">
        <is>
          <t>ENT</t>
        </is>
      </c>
      <c r="P2421" t="n">
        <v>0</v>
      </c>
      <c r="Q2421" t="n">
        <v>0</v>
      </c>
      <c r="R2421" t="inlineStr">
        <is>
          <t>473-2025-06-30</t>
        </is>
      </c>
    </row>
    <row r="2422">
      <c r="A2422" t="n">
        <v>473</v>
      </c>
      <c r="B2422" t="inlineStr">
        <is>
          <t>Programas con planes de estudios definidos</t>
        </is>
      </c>
      <c r="C2422" t="inlineStr">
        <is>
          <t>Gestión, Evaluación e Innovación Curricular</t>
        </is>
      </c>
      <c r="D2422" t="inlineStr">
        <is>
          <t>Trimestral</t>
        </is>
      </c>
      <c r="E2422" t="inlineStr">
        <is>
          <t>Positivo</t>
        </is>
      </c>
      <c r="F2422" s="111" t="n">
        <v>46022</v>
      </c>
      <c r="G2422" t="n">
        <v>2025</v>
      </c>
      <c r="H2422" t="inlineStr">
        <is>
          <t>Diciembre</t>
        </is>
      </c>
      <c r="I2422" t="inlineStr">
        <is>
          <t>2025-2</t>
        </is>
      </c>
      <c r="J2422" t="n">
        <v>100</v>
      </c>
      <c r="L2422" s="39" t="n"/>
      <c r="M2422" s="39" t="n"/>
      <c r="N2422" t="inlineStr">
        <is>
          <t>ENT</t>
        </is>
      </c>
      <c r="O2422" t="inlineStr">
        <is>
          <t>No Aplica</t>
        </is>
      </c>
      <c r="P2422" t="n">
        <v>0</v>
      </c>
      <c r="Q2422" t="n">
        <v>0</v>
      </c>
      <c r="R2422" t="inlineStr">
        <is>
          <t>473-2025-12-31</t>
        </is>
      </c>
      <c r="S2422" t="inlineStr">
        <is>
          <t>No Aplica</t>
        </is>
      </c>
    </row>
    <row r="2423">
      <c r="A2423" t="n">
        <v>474</v>
      </c>
      <c r="B2423" t="inlineStr">
        <is>
          <t>Programas con alineación curricular por escuela</t>
        </is>
      </c>
      <c r="C2423" t="inlineStr">
        <is>
          <t>Gestión de Unidades Académicas</t>
        </is>
      </c>
      <c r="D2423" t="inlineStr">
        <is>
          <t>Semestral</t>
        </is>
      </c>
      <c r="E2423" t="inlineStr">
        <is>
          <t>Positivo</t>
        </is>
      </c>
      <c r="F2423" s="111" t="n">
        <v>45473</v>
      </c>
      <c r="G2423" t="n">
        <v>2024</v>
      </c>
      <c r="H2423" t="inlineStr">
        <is>
          <t>Junio</t>
        </is>
      </c>
      <c r="I2423" t="inlineStr">
        <is>
          <t>2024-1</t>
        </is>
      </c>
      <c r="J2423" t="n">
        <v>100</v>
      </c>
      <c r="K2423" t="n">
        <v>100</v>
      </c>
      <c r="L2423" s="39">
        <f>IFERROR(IF(OR(J2423=0,K2423=""),"",IF(E2423="Positivo",MIN(MAX(K2423/J2423,0),1.3),MIN(MAX(J2423/K2423,0),1.3))),"") </f>
        <v/>
      </c>
      <c r="M2423" s="39">
        <f>IFERROR(IF(OR(J2423=0,K2423=""),"",IF(E2423="Positivo",MAX(K2423/J2423,0),MAX(J2423/K2423,0))),"") </f>
        <v/>
      </c>
      <c r="N2423" t="inlineStr">
        <is>
          <t>ENT</t>
        </is>
      </c>
      <c r="O2423" t="inlineStr">
        <is>
          <t>ENT</t>
        </is>
      </c>
      <c r="P2423" t="n">
        <v>0</v>
      </c>
      <c r="Q2423" t="n">
        <v>0</v>
      </c>
      <c r="R2423" t="inlineStr">
        <is>
          <t>474-2024-06-30</t>
        </is>
      </c>
    </row>
    <row r="2424">
      <c r="A2424" t="n">
        <v>474</v>
      </c>
      <c r="B2424" t="inlineStr">
        <is>
          <t>Programas con planes de estudios definidos por escuela (Nuevos Programas)</t>
        </is>
      </c>
      <c r="C2424" t="inlineStr">
        <is>
          <t>Gestión de Unidades Académicas</t>
        </is>
      </c>
      <c r="D2424" t="inlineStr">
        <is>
          <t>Semestral</t>
        </is>
      </c>
      <c r="E2424" t="inlineStr">
        <is>
          <t>Positivo</t>
        </is>
      </c>
      <c r="F2424" s="111" t="n">
        <v>45657</v>
      </c>
      <c r="G2424" t="n">
        <v>2024</v>
      </c>
      <c r="H2424" t="inlineStr">
        <is>
          <t>Diciembre</t>
        </is>
      </c>
      <c r="I2424" t="inlineStr">
        <is>
          <t>2024-2</t>
        </is>
      </c>
      <c r="J2424" t="n">
        <v>100</v>
      </c>
      <c r="K2424" t="n">
        <v>100</v>
      </c>
      <c r="L2424" s="39">
        <f>IFERROR(IF(OR(J2424=0,K2424=""),"",IF(E2424="Positivo",MIN(MAX(K2424/J2424,0),1.3),MIN(MAX(J2424/K2424,0),1.3))),"") </f>
        <v/>
      </c>
      <c r="M2424" s="39">
        <f>IFERROR(IF(OR(J2424=0,K2424=""),"",IF(E2424="Positivo",MAX(K2424/J2424,0),MAX(J2424/K2424,0))),"") </f>
        <v/>
      </c>
      <c r="N2424" t="inlineStr">
        <is>
          <t>ENT</t>
        </is>
      </c>
      <c r="O2424" t="inlineStr">
        <is>
          <t>ENT</t>
        </is>
      </c>
      <c r="P2424" t="n">
        <v>0</v>
      </c>
      <c r="Q2424" t="n">
        <v>0</v>
      </c>
      <c r="R2424" t="inlineStr">
        <is>
          <t>474-2024-12-31</t>
        </is>
      </c>
    </row>
    <row r="2425">
      <c r="A2425" t="n">
        <v>474</v>
      </c>
      <c r="B2425" t="inlineStr">
        <is>
          <t>Programas con planes de estudios definidos por escuela (Nuevos Programas)</t>
        </is>
      </c>
      <c r="C2425" t="inlineStr">
        <is>
          <t>Gestión de Unidades Académicas</t>
        </is>
      </c>
      <c r="D2425" t="inlineStr">
        <is>
          <t>Trimestral</t>
        </is>
      </c>
      <c r="E2425" t="inlineStr">
        <is>
          <t>Positivo</t>
        </is>
      </c>
      <c r="F2425" s="111" t="n">
        <v>45838</v>
      </c>
      <c r="G2425" t="n">
        <v>2025</v>
      </c>
      <c r="H2425" t="inlineStr">
        <is>
          <t>Junio</t>
        </is>
      </c>
      <c r="I2425" t="inlineStr">
        <is>
          <t>2025-1</t>
        </is>
      </c>
      <c r="K2425" t="n">
        <v>0</v>
      </c>
      <c r="L2425" s="39" t="n"/>
      <c r="M2425" s="39" t="n"/>
      <c r="N2425" t="inlineStr">
        <is>
          <t>ENT</t>
        </is>
      </c>
      <c r="O2425" t="inlineStr">
        <is>
          <t>ENT</t>
        </is>
      </c>
      <c r="P2425" t="n">
        <v>0</v>
      </c>
      <c r="Q2425" t="n">
        <v>0</v>
      </c>
      <c r="R2425" t="inlineStr">
        <is>
          <t>474-2025-06-30</t>
        </is>
      </c>
    </row>
    <row r="2426">
      <c r="A2426" t="n">
        <v>474</v>
      </c>
      <c r="B2426" t="inlineStr">
        <is>
          <t>Programas con planes de estudios definidos por escuela (Nuevos Programas)</t>
        </is>
      </c>
      <c r="C2426" t="inlineStr">
        <is>
          <t>Gestión de Unidades Académicas</t>
        </is>
      </c>
      <c r="D2426" t="inlineStr">
        <is>
          <t>Trimestral</t>
        </is>
      </c>
      <c r="E2426" t="inlineStr">
        <is>
          <t>Positivo</t>
        </is>
      </c>
      <c r="F2426" s="111" t="n">
        <v>46022</v>
      </c>
      <c r="G2426" t="n">
        <v>2025</v>
      </c>
      <c r="H2426" t="inlineStr">
        <is>
          <t>Diciembre</t>
        </is>
      </c>
      <c r="I2426" t="inlineStr">
        <is>
          <t>2025-2</t>
        </is>
      </c>
      <c r="L2426" s="39" t="n"/>
      <c r="M2426" s="39" t="n"/>
      <c r="N2426" t="inlineStr">
        <is>
          <t>ENT</t>
        </is>
      </c>
      <c r="O2426" t="inlineStr">
        <is>
          <t>No Aplica</t>
        </is>
      </c>
      <c r="P2426" t="n">
        <v>0</v>
      </c>
      <c r="Q2426" t="n">
        <v>0</v>
      </c>
      <c r="R2426" t="inlineStr">
        <is>
          <t>474-2025-12-31</t>
        </is>
      </c>
      <c r="S2426" t="inlineStr">
        <is>
          <t>No Aplica</t>
        </is>
      </c>
    </row>
    <row r="2427">
      <c r="A2427" t="n">
        <v>475</v>
      </c>
      <c r="B2427" t="inlineStr">
        <is>
          <t>Número de renovaciones de registro calificado radicadas al MEN</t>
        </is>
      </c>
      <c r="C2427" t="inlineStr">
        <is>
          <t>Creación, modificación y cierre de programas académicos</t>
        </is>
      </c>
      <c r="D2427" t="inlineStr">
        <is>
          <t>Trimestral</t>
        </is>
      </c>
      <c r="E2427" t="inlineStr">
        <is>
          <t>Positivo</t>
        </is>
      </c>
      <c r="F2427" s="111" t="n">
        <v>45473</v>
      </c>
      <c r="G2427" t="n">
        <v>2024</v>
      </c>
      <c r="H2427" t="inlineStr">
        <is>
          <t>Junio</t>
        </is>
      </c>
      <c r="I2427" t="inlineStr">
        <is>
          <t>2024-1</t>
        </is>
      </c>
      <c r="J2427" t="n">
        <v>100</v>
      </c>
      <c r="K2427" t="n">
        <v>0</v>
      </c>
      <c r="L2427" s="39">
        <f>IFERROR(IF(OR(J2427=0,K2427=""),"",IF(E2427="Positivo",MIN(MAX(K2427/J2427,0),1.3),MIN(MAX(J2427/K2427,0),1.3))),"") </f>
        <v/>
      </c>
      <c r="M2427" s="39">
        <f>IFERROR(IF(OR(J2427=0,K2427=""),"",IF(E2427="Positivo",MAX(K2427/J2427,0),MAX(J2427/K2427,0))),"") </f>
        <v/>
      </c>
      <c r="N2427" t="inlineStr">
        <is>
          <t>ENT</t>
        </is>
      </c>
      <c r="O2427" t="inlineStr">
        <is>
          <t>ENT</t>
        </is>
      </c>
      <c r="P2427" t="n">
        <v>0</v>
      </c>
      <c r="Q2427" t="n">
        <v>0</v>
      </c>
      <c r="R2427" t="inlineStr">
        <is>
          <t>475-2024-06-30</t>
        </is>
      </c>
    </row>
    <row r="2428">
      <c r="A2428" t="n">
        <v>475</v>
      </c>
      <c r="B2428" t="inlineStr">
        <is>
          <t>Número de renovaciones de registro calificado radicadas al MEN</t>
        </is>
      </c>
      <c r="C2428" t="inlineStr">
        <is>
          <t>Creación, modificación y cierre de programas académicos</t>
        </is>
      </c>
      <c r="D2428" t="inlineStr">
        <is>
          <t>Semestral</t>
        </is>
      </c>
      <c r="E2428" t="inlineStr">
        <is>
          <t>Positivo</t>
        </is>
      </c>
      <c r="F2428" s="111" t="n">
        <v>45657</v>
      </c>
      <c r="G2428" t="n">
        <v>2024</v>
      </c>
      <c r="H2428" t="inlineStr">
        <is>
          <t>Diciembre</t>
        </is>
      </c>
      <c r="I2428" t="inlineStr">
        <is>
          <t>2024-2</t>
        </is>
      </c>
      <c r="J2428" t="n">
        <v>100</v>
      </c>
      <c r="K2428" t="n">
        <v>140</v>
      </c>
      <c r="L2428" s="39">
        <f>IFERROR(IF(OR(J2428=0,K2428=""),"",IF(E2428="Positivo",MIN(MAX(K2428/J2428,0),1.3),MIN(MAX(J2428/K2428,0),1.3))),"") </f>
        <v/>
      </c>
      <c r="M2428" s="39">
        <f>IFERROR(IF(OR(J2428=0,K2428=""),"",IF(E2428="Positivo",MAX(K2428/J2428,0),MAX(J2428/K2428,0))),"") </f>
        <v/>
      </c>
      <c r="P2428" t="n">
        <v>0</v>
      </c>
      <c r="Q2428" t="n">
        <v>0</v>
      </c>
      <c r="R2428" t="inlineStr">
        <is>
          <t>475-2024-12-31</t>
        </is>
      </c>
    </row>
    <row r="2429">
      <c r="A2429" t="n">
        <v>475</v>
      </c>
      <c r="B2429" t="inlineStr">
        <is>
          <t>Número de renovaciones de registro calificado radicadas al MEN</t>
        </is>
      </c>
      <c r="C2429" t="inlineStr">
        <is>
          <t>Creación, modificación y cierre de programas académicos</t>
        </is>
      </c>
      <c r="D2429" t="inlineStr">
        <is>
          <t>Trimestral</t>
        </is>
      </c>
      <c r="E2429" t="inlineStr">
        <is>
          <t>Positivo</t>
        </is>
      </c>
      <c r="F2429" s="111" t="n">
        <v>45838</v>
      </c>
      <c r="G2429" t="n">
        <v>2025</v>
      </c>
      <c r="H2429" t="inlineStr">
        <is>
          <t>Junio</t>
        </is>
      </c>
      <c r="I2429" t="inlineStr">
        <is>
          <t>2025-1</t>
        </is>
      </c>
      <c r="J2429" t="n">
        <v>100</v>
      </c>
      <c r="K2429" t="n">
        <v>0</v>
      </c>
      <c r="L2429" s="39">
        <f>IFERROR(IF(OR(J2429=0,K2429=""),"",IF(E2429="Positivo",MIN(MAX(K2429/J2429,0),1.3),MIN(MAX(J2429/K2429,0),1.3))),"") </f>
        <v/>
      </c>
      <c r="M2429" s="39">
        <f>IFERROR(IF(OR(J2429=0,K2429=""),"",IF(E2429="Positivo",MAX(K2429/J2429,0),MAX(J2429/K2429,0))),"") </f>
        <v/>
      </c>
      <c r="N2429" t="inlineStr">
        <is>
          <t>ENT</t>
        </is>
      </c>
      <c r="O2429" t="inlineStr">
        <is>
          <t>ENT</t>
        </is>
      </c>
      <c r="P2429" t="n">
        <v>0</v>
      </c>
      <c r="Q2429" t="n">
        <v>0</v>
      </c>
      <c r="R2429" t="inlineStr">
        <is>
          <t>475-2025-06-30</t>
        </is>
      </c>
    </row>
    <row r="2430">
      <c r="A2430" t="n">
        <v>475</v>
      </c>
      <c r="B2430" t="inlineStr">
        <is>
          <t>Número de renovaciones de registro calificado radicadas al MEN</t>
        </is>
      </c>
      <c r="C2430" t="inlineStr">
        <is>
          <t>Creación, modificación y cierre de programas académicos</t>
        </is>
      </c>
      <c r="D2430" t="inlineStr">
        <is>
          <t>Trimestral</t>
        </is>
      </c>
      <c r="E2430" t="inlineStr">
        <is>
          <t>Positivo</t>
        </is>
      </c>
      <c r="F2430" s="111" t="n">
        <v>46022</v>
      </c>
      <c r="G2430" t="n">
        <v>2025</v>
      </c>
      <c r="H2430" t="inlineStr">
        <is>
          <t>Diciembre</t>
        </is>
      </c>
      <c r="I2430" t="inlineStr">
        <is>
          <t>2025-2</t>
        </is>
      </c>
      <c r="J2430" t="n">
        <v>100</v>
      </c>
      <c r="K2430" t="n">
        <v>100</v>
      </c>
      <c r="L2430" s="39">
        <f>IFERROR(IF(OR(J2430=0,K2430=""),"",IF(E2430="Positivo",MIN(MAX(K2430/J2430,0),1.3),MIN(MAX(J2430/K2430,0),1.3))),"") </f>
        <v/>
      </c>
      <c r="M2430" s="39">
        <f>IFERROR(IF(OR(J2430=0,K2430=""),"",IF(E2430="Positivo",MAX(K2430/J2430,0),MAX(J2430/K2430,0))),"") </f>
        <v/>
      </c>
      <c r="N2430" t="inlineStr">
        <is>
          <t>ENT</t>
        </is>
      </c>
      <c r="O2430" t="inlineStr">
        <is>
          <t>ENT</t>
        </is>
      </c>
      <c r="P2430" t="n">
        <v>0</v>
      </c>
      <c r="Q2430" t="n">
        <v>0</v>
      </c>
      <c r="R2430" t="inlineStr">
        <is>
          <t>475-2025-12-31</t>
        </is>
      </c>
    </row>
    <row r="2431">
      <c r="A2431" t="n">
        <v>476</v>
      </c>
      <c r="B2431" t="inlineStr">
        <is>
          <t>Programas con resultados de aprendizaje definidos</t>
        </is>
      </c>
      <c r="C2431" t="inlineStr">
        <is>
          <t>Gestión, Evaluación e Innovación Curricular</t>
        </is>
      </c>
      <c r="D2431" t="inlineStr">
        <is>
          <t>Semestral</t>
        </is>
      </c>
      <c r="E2431" t="inlineStr">
        <is>
          <t>Positivo</t>
        </is>
      </c>
      <c r="F2431" s="111" t="n">
        <v>45473</v>
      </c>
      <c r="G2431" t="n">
        <v>2024</v>
      </c>
      <c r="H2431" t="inlineStr">
        <is>
          <t>Junio</t>
        </is>
      </c>
      <c r="I2431" t="inlineStr">
        <is>
          <t>2024-1</t>
        </is>
      </c>
      <c r="J2431" t="n">
        <v>100</v>
      </c>
      <c r="K2431" t="n">
        <v>100</v>
      </c>
      <c r="L2431" s="39">
        <f>IFERROR(IF(OR(J2431=0,K2431=""),"",IF(E2431="Positivo",MIN(MAX(K2431/J2431,0),1.3),MIN(MAX(J2431/K2431,0),1.3))),"") </f>
        <v/>
      </c>
      <c r="M2431" s="39">
        <f>IFERROR(IF(OR(J2431=0,K2431=""),"",IF(E2431="Positivo",MAX(K2431/J2431,0),MAX(J2431/K2431,0))),"") </f>
        <v/>
      </c>
      <c r="P2431" t="n">
        <v>0</v>
      </c>
      <c r="Q2431" t="n">
        <v>0</v>
      </c>
      <c r="R2431" t="inlineStr">
        <is>
          <t>476-2024-06-30</t>
        </is>
      </c>
    </row>
    <row r="2432">
      <c r="A2432" t="n">
        <v>476</v>
      </c>
      <c r="B2432" t="inlineStr">
        <is>
          <t>Programas con resultados de aprendizaje definidos</t>
        </is>
      </c>
      <c r="C2432" t="inlineStr">
        <is>
          <t>Gestión, Evaluación e Innovación Curricular</t>
        </is>
      </c>
      <c r="D2432" t="inlineStr">
        <is>
          <t>Semestral</t>
        </is>
      </c>
      <c r="E2432" t="inlineStr">
        <is>
          <t>Positivo</t>
        </is>
      </c>
      <c r="F2432" s="111" t="n">
        <v>45657</v>
      </c>
      <c r="G2432" t="n">
        <v>2024</v>
      </c>
      <c r="H2432" t="inlineStr">
        <is>
          <t>Diciembre</t>
        </is>
      </c>
      <c r="I2432" t="inlineStr">
        <is>
          <t>2024-2</t>
        </is>
      </c>
      <c r="J2432" t="n">
        <v>100</v>
      </c>
      <c r="K2432" t="n">
        <v>100</v>
      </c>
      <c r="L2432" s="39">
        <f>IFERROR(IF(OR(J2432=0,K2432=""),"",IF(E2432="Positivo",MIN(MAX(K2432/J2432,0),1.3),MIN(MAX(J2432/K2432,0),1.3))),"") </f>
        <v/>
      </c>
      <c r="M2432" s="39">
        <f>IFERROR(IF(OR(J2432=0,K2432=""),"",IF(E2432="Positivo",MAX(K2432/J2432,0),MAX(J2432/K2432,0))),"") </f>
        <v/>
      </c>
      <c r="P2432" t="n">
        <v>0</v>
      </c>
      <c r="Q2432" t="n">
        <v>0</v>
      </c>
      <c r="R2432" t="inlineStr">
        <is>
          <t>476-2024-12-31</t>
        </is>
      </c>
    </row>
    <row r="2433">
      <c r="A2433" t="n">
        <v>476</v>
      </c>
      <c r="B2433" t="inlineStr">
        <is>
          <t>Programas con resultados de aprendizaje definidos</t>
        </is>
      </c>
      <c r="C2433" t="inlineStr">
        <is>
          <t>Gestión, Evaluación e Innovación Curricular</t>
        </is>
      </c>
      <c r="D2433" t="inlineStr">
        <is>
          <t>Semestral</t>
        </is>
      </c>
      <c r="E2433" t="inlineStr">
        <is>
          <t>Positivo</t>
        </is>
      </c>
      <c r="F2433" s="111" t="n">
        <v>45838</v>
      </c>
      <c r="G2433" t="n">
        <v>2025</v>
      </c>
      <c r="H2433" t="inlineStr">
        <is>
          <t>Junio</t>
        </is>
      </c>
      <c r="I2433" t="inlineStr">
        <is>
          <t>2025-1</t>
        </is>
      </c>
      <c r="J2433" t="n">
        <v>100</v>
      </c>
      <c r="K2433" t="n">
        <v>100</v>
      </c>
      <c r="L2433" s="39">
        <f>IFERROR(IF(OR(J2433=0,K2433=""),"",IF(E2433="Positivo",MIN(MAX(K2433/J2433,0),1.3),MIN(MAX(J2433/K2433,0),1.3))),"") </f>
        <v/>
      </c>
      <c r="M2433" s="39">
        <f>IFERROR(IF(OR(J2433=0,K2433=""),"",IF(E2433="Positivo",MAX(K2433/J2433,0),MAX(J2433/K2433,0))),"") </f>
        <v/>
      </c>
      <c r="N2433" t="inlineStr">
        <is>
          <t>ENT</t>
        </is>
      </c>
      <c r="O2433" t="inlineStr">
        <is>
          <t>ENT</t>
        </is>
      </c>
      <c r="P2433" t="n">
        <v>0</v>
      </c>
      <c r="Q2433" t="n">
        <v>0</v>
      </c>
      <c r="R2433" t="inlineStr">
        <is>
          <t>476-2025-06-30</t>
        </is>
      </c>
    </row>
    <row r="2434">
      <c r="A2434" t="n">
        <v>476</v>
      </c>
      <c r="B2434" t="inlineStr">
        <is>
          <t>Programas con resultados de aprendizaje definidos</t>
        </is>
      </c>
      <c r="C2434" t="inlineStr">
        <is>
          <t>Gestión, Evaluación e Innovación Curricular</t>
        </is>
      </c>
      <c r="D2434" t="inlineStr">
        <is>
          <t>Trimestral</t>
        </is>
      </c>
      <c r="E2434" t="inlineStr">
        <is>
          <t>Positivo</t>
        </is>
      </c>
      <c r="F2434" s="111" t="n">
        <v>46022</v>
      </c>
      <c r="G2434" t="n">
        <v>2025</v>
      </c>
      <c r="H2434" t="inlineStr">
        <is>
          <t>Diciembre</t>
        </is>
      </c>
      <c r="I2434" t="inlineStr">
        <is>
          <t>2025-2</t>
        </is>
      </c>
      <c r="J2434" t="n">
        <v>100</v>
      </c>
      <c r="K2434" t="n">
        <v>100</v>
      </c>
      <c r="L2434" s="39">
        <f>IFERROR(IF(OR(J2434=0,K2434=""),"",IF(E2434="Positivo",MIN(MAX(K2434/J2434,0),1.3),MIN(MAX(J2434/K2434,0),1.3))),"") </f>
        <v/>
      </c>
      <c r="M2434" s="39">
        <f>IFERROR(IF(OR(J2434=0,K2434=""),"",IF(E2434="Positivo",MAX(K2434/J2434,0),MAX(J2434/K2434,0))),"") </f>
        <v/>
      </c>
      <c r="N2434" t="inlineStr">
        <is>
          <t>ENT</t>
        </is>
      </c>
      <c r="O2434" t="inlineStr">
        <is>
          <t>ENT</t>
        </is>
      </c>
      <c r="P2434" t="n">
        <v>0</v>
      </c>
      <c r="Q2434" t="n">
        <v>0</v>
      </c>
      <c r="R2434" t="inlineStr">
        <is>
          <t>476-2025-12-31</t>
        </is>
      </c>
    </row>
    <row r="2435">
      <c r="A2435" t="n">
        <v>477</v>
      </c>
      <c r="B2435" t="inlineStr">
        <is>
          <t>Programas con planes de estudios definidos por escuela (Programas Renovación, modificación y acreditación)</t>
        </is>
      </c>
      <c r="C2435" t="inlineStr">
        <is>
          <t>Gestión de Unidades Académicas</t>
        </is>
      </c>
      <c r="D2435" t="inlineStr">
        <is>
          <t>Semestral</t>
        </is>
      </c>
      <c r="E2435" t="inlineStr">
        <is>
          <t>Positivo</t>
        </is>
      </c>
      <c r="F2435" s="111" t="n">
        <v>45473</v>
      </c>
      <c r="G2435" t="n">
        <v>2024</v>
      </c>
      <c r="H2435" t="inlineStr">
        <is>
          <t>Junio</t>
        </is>
      </c>
      <c r="I2435" t="inlineStr">
        <is>
          <t>2024-1</t>
        </is>
      </c>
      <c r="J2435" t="n">
        <v>100</v>
      </c>
      <c r="K2435" t="n">
        <v>100</v>
      </c>
      <c r="L2435" s="39">
        <f>IFERROR(IF(OR(J2435=0,K2435=""),"",IF(E2435="Positivo",MIN(MAX(K2435/J2435,0),1.3),MIN(MAX(J2435/K2435,0),1.3))),"") </f>
        <v/>
      </c>
      <c r="M2435" s="39">
        <f>IFERROR(IF(OR(J2435=0,K2435=""),"",IF(E2435="Positivo",MAX(K2435/J2435,0),MAX(J2435/K2435,0))),"") </f>
        <v/>
      </c>
      <c r="P2435" t="n">
        <v>0</v>
      </c>
      <c r="Q2435" t="n">
        <v>0</v>
      </c>
      <c r="R2435" t="inlineStr">
        <is>
          <t>477-2024-06-30</t>
        </is>
      </c>
    </row>
    <row r="2436">
      <c r="A2436" t="n">
        <v>477</v>
      </c>
      <c r="B2436" t="inlineStr">
        <is>
          <t>Programas con planes de estudios definidos por escuela (Programas Renovación, modificación y acreditación)</t>
        </is>
      </c>
      <c r="C2436" t="inlineStr">
        <is>
          <t>Gestión de Unidades Académicas</t>
        </is>
      </c>
      <c r="D2436" t="inlineStr">
        <is>
          <t>Semestral</t>
        </is>
      </c>
      <c r="E2436" t="inlineStr">
        <is>
          <t>Positivo</t>
        </is>
      </c>
      <c r="F2436" s="111" t="n">
        <v>45657</v>
      </c>
      <c r="G2436" t="n">
        <v>2024</v>
      </c>
      <c r="H2436" t="inlineStr">
        <is>
          <t>Diciembre</t>
        </is>
      </c>
      <c r="I2436" t="inlineStr">
        <is>
          <t>2024-2</t>
        </is>
      </c>
      <c r="J2436" t="n">
        <v>100</v>
      </c>
      <c r="K2436" t="n">
        <v>100</v>
      </c>
      <c r="L2436" s="39">
        <f>IFERROR(IF(OR(J2436=0,K2436=""),"",IF(E2436="Positivo",MIN(MAX(K2436/J2436,0),1.3),MIN(MAX(J2436/K2436,0),1.3))),"") </f>
        <v/>
      </c>
      <c r="M2436" s="39">
        <f>IFERROR(IF(OR(J2436=0,K2436=""),"",IF(E2436="Positivo",MAX(K2436/J2436,0),MAX(J2436/K2436,0))),"") </f>
        <v/>
      </c>
      <c r="P2436" t="n">
        <v>0</v>
      </c>
      <c r="Q2436" t="n">
        <v>0</v>
      </c>
      <c r="R2436" t="inlineStr">
        <is>
          <t>477-2024-12-31</t>
        </is>
      </c>
    </row>
    <row r="2437">
      <c r="A2437" t="n">
        <v>477</v>
      </c>
      <c r="B2437" t="inlineStr">
        <is>
          <t>Programas con planes de estudios definidos por escuela (Programas Renovación, modificación y acreditación)</t>
        </is>
      </c>
      <c r="C2437" t="inlineStr">
        <is>
          <t>Gestión de Unidades Académicas</t>
        </is>
      </c>
      <c r="D2437" t="inlineStr">
        <is>
          <t>Trimestral</t>
        </is>
      </c>
      <c r="E2437" t="inlineStr">
        <is>
          <t>Positivo</t>
        </is>
      </c>
      <c r="F2437" s="111" t="n">
        <v>45838</v>
      </c>
      <c r="G2437" t="n">
        <v>2025</v>
      </c>
      <c r="H2437" t="inlineStr">
        <is>
          <t>Junio</t>
        </is>
      </c>
      <c r="I2437" t="inlineStr">
        <is>
          <t>2025-1</t>
        </is>
      </c>
      <c r="L2437" s="39" t="n"/>
      <c r="M2437" s="39" t="n"/>
      <c r="N2437" t="inlineStr">
        <is>
          <t>ENT</t>
        </is>
      </c>
      <c r="O2437" t="inlineStr">
        <is>
          <t>No Aplica</t>
        </is>
      </c>
      <c r="P2437" t="n">
        <v>0</v>
      </c>
      <c r="Q2437" t="n">
        <v>0</v>
      </c>
      <c r="R2437" t="inlineStr">
        <is>
          <t>477-2025-06-30</t>
        </is>
      </c>
      <c r="S2437" t="inlineStr">
        <is>
          <t>No Aplica</t>
        </is>
      </c>
    </row>
    <row r="2438">
      <c r="A2438" t="n">
        <v>478</v>
      </c>
      <c r="B2438" t="inlineStr">
        <is>
          <t>Programas con planes de estudios definidos por escuela (Mantenimiento de programas)</t>
        </is>
      </c>
      <c r="C2438" t="inlineStr">
        <is>
          <t>Gestión de Unidades Académicas</t>
        </is>
      </c>
      <c r="D2438" t="inlineStr">
        <is>
          <t>Trimestral</t>
        </is>
      </c>
      <c r="E2438" t="inlineStr">
        <is>
          <t>Positivo</t>
        </is>
      </c>
      <c r="F2438" s="111" t="n">
        <v>45473</v>
      </c>
      <c r="G2438" t="n">
        <v>2024</v>
      </c>
      <c r="H2438" t="inlineStr">
        <is>
          <t>Junio</t>
        </is>
      </c>
      <c r="I2438" t="inlineStr">
        <is>
          <t>2024-1</t>
        </is>
      </c>
      <c r="J2438" t="n">
        <v>100</v>
      </c>
      <c r="L2438" s="39" t="n"/>
      <c r="M2438" s="39" t="n"/>
      <c r="N2438" t="inlineStr">
        <is>
          <t>ENT</t>
        </is>
      </c>
      <c r="O2438" t="inlineStr">
        <is>
          <t>No Aplica</t>
        </is>
      </c>
      <c r="P2438" t="n">
        <v>0</v>
      </c>
      <c r="Q2438" t="n">
        <v>0</v>
      </c>
      <c r="R2438" t="inlineStr">
        <is>
          <t>478-2024-06-30</t>
        </is>
      </c>
      <c r="S2438" t="inlineStr">
        <is>
          <t>No Aplica</t>
        </is>
      </c>
    </row>
    <row r="2439">
      <c r="A2439" t="n">
        <v>478</v>
      </c>
      <c r="B2439" t="inlineStr">
        <is>
          <t>Programas con planes de estudios definidos por escuela (Mantenimiento de programas)</t>
        </is>
      </c>
      <c r="C2439" t="inlineStr">
        <is>
          <t>Gestión de Unidades Académicas</t>
        </is>
      </c>
      <c r="D2439" t="inlineStr">
        <is>
          <t>Semestral</t>
        </is>
      </c>
      <c r="E2439" t="inlineStr">
        <is>
          <t>Positivo</t>
        </is>
      </c>
      <c r="F2439" s="111" t="n">
        <v>45657</v>
      </c>
      <c r="G2439" t="n">
        <v>2024</v>
      </c>
      <c r="H2439" t="inlineStr">
        <is>
          <t>Diciembre</t>
        </is>
      </c>
      <c r="I2439" t="inlineStr">
        <is>
          <t>2024-2</t>
        </is>
      </c>
      <c r="J2439" t="n">
        <v>100</v>
      </c>
      <c r="K2439" t="n">
        <v>100</v>
      </c>
      <c r="L2439" s="39">
        <f>IFERROR(IF(OR(J2439=0,K2439=""),"",IF(E2439="Positivo",MIN(MAX(K2439/J2439,0),1.3),MIN(MAX(J2439/K2439,0),1.3))),"") </f>
        <v/>
      </c>
      <c r="M2439" s="39">
        <f>IFERROR(IF(OR(J2439=0,K2439=""),"",IF(E2439="Positivo",MAX(K2439/J2439,0),MAX(J2439/K2439,0))),"") </f>
        <v/>
      </c>
      <c r="P2439" t="n">
        <v>0</v>
      </c>
      <c r="Q2439" t="n">
        <v>0</v>
      </c>
      <c r="R2439" t="inlineStr">
        <is>
          <t>478-2024-12-31</t>
        </is>
      </c>
    </row>
    <row r="2440">
      <c r="A2440" t="n">
        <v>478</v>
      </c>
      <c r="B2440" t="inlineStr">
        <is>
          <t>Programas con planes de estudios definidos por escuela (Mantenimiento de programas)</t>
        </is>
      </c>
      <c r="C2440" t="inlineStr">
        <is>
          <t>Gestión de Unidades Académicas</t>
        </is>
      </c>
      <c r="D2440" t="inlineStr">
        <is>
          <t>Trimestral</t>
        </is>
      </c>
      <c r="E2440" t="inlineStr">
        <is>
          <t>Positivo</t>
        </is>
      </c>
      <c r="F2440" s="111" t="n">
        <v>45838</v>
      </c>
      <c r="G2440" t="n">
        <v>2025</v>
      </c>
      <c r="H2440" t="inlineStr">
        <is>
          <t>Junio</t>
        </is>
      </c>
      <c r="I2440" t="inlineStr">
        <is>
          <t>2025-1</t>
        </is>
      </c>
      <c r="K2440" t="n">
        <v>0</v>
      </c>
      <c r="L2440" s="39" t="n"/>
      <c r="M2440" s="39" t="n"/>
      <c r="N2440" t="inlineStr">
        <is>
          <t>ENT</t>
        </is>
      </c>
      <c r="O2440" t="inlineStr">
        <is>
          <t>ENT</t>
        </is>
      </c>
      <c r="P2440" t="n">
        <v>0</v>
      </c>
      <c r="Q2440" t="n">
        <v>0</v>
      </c>
      <c r="R2440" t="inlineStr">
        <is>
          <t>478-2025-06-30</t>
        </is>
      </c>
    </row>
    <row r="2441">
      <c r="A2441" t="n">
        <v>478</v>
      </c>
      <c r="B2441" t="inlineStr">
        <is>
          <t>Programas con planes de estudios definidos por escuela (Mantenimiento de programas)</t>
        </is>
      </c>
      <c r="C2441" t="inlineStr">
        <is>
          <t>Gestión de Unidades Académicas</t>
        </is>
      </c>
      <c r="D2441" t="inlineStr">
        <is>
          <t>Trimestral</t>
        </is>
      </c>
      <c r="E2441" t="inlineStr">
        <is>
          <t>Positivo</t>
        </is>
      </c>
      <c r="F2441" s="111" t="n">
        <v>46022</v>
      </c>
      <c r="G2441" t="n">
        <v>2025</v>
      </c>
      <c r="H2441" t="inlineStr">
        <is>
          <t>Diciembre</t>
        </is>
      </c>
      <c r="I2441" t="inlineStr">
        <is>
          <t>2025-2</t>
        </is>
      </c>
      <c r="L2441" s="39" t="n"/>
      <c r="M2441" s="39" t="n"/>
      <c r="N2441" t="inlineStr">
        <is>
          <t>ENT</t>
        </is>
      </c>
      <c r="O2441" t="inlineStr">
        <is>
          <t>No Aplica</t>
        </is>
      </c>
      <c r="P2441" t="n">
        <v>0</v>
      </c>
      <c r="Q2441" t="n">
        <v>0</v>
      </c>
      <c r="R2441" t="inlineStr">
        <is>
          <t>478-2025-12-31</t>
        </is>
      </c>
      <c r="S2441" t="inlineStr">
        <is>
          <t>No Aplica</t>
        </is>
      </c>
    </row>
    <row r="2442">
      <c r="A2442" t="n">
        <v>479</v>
      </c>
      <c r="B2442" t="inlineStr">
        <is>
          <t>Programas con resultados de aprendizaje definidos por escuela (Nuevos Programas)</t>
        </is>
      </c>
      <c r="C2442" t="inlineStr">
        <is>
          <t>Gestión de Unidades Académicas</t>
        </is>
      </c>
      <c r="D2442" t="inlineStr">
        <is>
          <t>Semestral</t>
        </is>
      </c>
      <c r="E2442" t="inlineStr">
        <is>
          <t>Positivo</t>
        </is>
      </c>
      <c r="F2442" s="111" t="n">
        <v>45473</v>
      </c>
      <c r="G2442" t="n">
        <v>2024</v>
      </c>
      <c r="H2442" t="inlineStr">
        <is>
          <t>Junio</t>
        </is>
      </c>
      <c r="I2442" t="inlineStr">
        <is>
          <t>2024-1</t>
        </is>
      </c>
      <c r="J2442" t="n">
        <v>100</v>
      </c>
      <c r="K2442" t="n">
        <v>100</v>
      </c>
      <c r="L2442" s="39">
        <f>IFERROR(IF(OR(J2442=0,K2442=""),"",IF(E2442="Positivo",MIN(MAX(K2442/J2442,0),1.3),MIN(MAX(J2442/K2442,0),1.3))),"") </f>
        <v/>
      </c>
      <c r="M2442" s="39">
        <f>IFERROR(IF(OR(J2442=0,K2442=""),"",IF(E2442="Positivo",MAX(K2442/J2442,0),MAX(J2442/K2442,0))),"") </f>
        <v/>
      </c>
      <c r="P2442" t="n">
        <v>0</v>
      </c>
      <c r="Q2442" t="n">
        <v>0</v>
      </c>
      <c r="R2442" t="inlineStr">
        <is>
          <t>479-2024-06-30</t>
        </is>
      </c>
    </row>
    <row r="2443">
      <c r="A2443" t="n">
        <v>479</v>
      </c>
      <c r="B2443" t="inlineStr">
        <is>
          <t>Programas con resultados de aprendizaje definidos por escuela (Nuevos Programas)</t>
        </is>
      </c>
      <c r="C2443" t="inlineStr">
        <is>
          <t>Gestión de Unidades Académicas</t>
        </is>
      </c>
      <c r="D2443" t="inlineStr">
        <is>
          <t>Semestral</t>
        </is>
      </c>
      <c r="E2443" t="inlineStr">
        <is>
          <t>Positivo</t>
        </is>
      </c>
      <c r="F2443" s="111" t="n">
        <v>45657</v>
      </c>
      <c r="G2443" t="n">
        <v>2024</v>
      </c>
      <c r="H2443" t="inlineStr">
        <is>
          <t>Diciembre</t>
        </is>
      </c>
      <c r="I2443" t="inlineStr">
        <is>
          <t>2024-2</t>
        </is>
      </c>
      <c r="J2443" t="n">
        <v>100</v>
      </c>
      <c r="K2443" t="n">
        <v>100</v>
      </c>
      <c r="L2443" s="39">
        <f>IFERROR(IF(OR(J2443=0,K2443=""),"",IF(E2443="Positivo",MIN(MAX(K2443/J2443,0),1.3),MIN(MAX(J2443/K2443,0),1.3))),"") </f>
        <v/>
      </c>
      <c r="M2443" s="39">
        <f>IFERROR(IF(OR(J2443=0,K2443=""),"",IF(E2443="Positivo",MAX(K2443/J2443,0),MAX(J2443/K2443,0))),"") </f>
        <v/>
      </c>
      <c r="P2443" t="n">
        <v>0</v>
      </c>
      <c r="Q2443" t="n">
        <v>0</v>
      </c>
      <c r="R2443" t="inlineStr">
        <is>
          <t>479-2024-12-31</t>
        </is>
      </c>
    </row>
    <row r="2444">
      <c r="A2444" t="n">
        <v>479</v>
      </c>
      <c r="B2444" t="inlineStr">
        <is>
          <t>Programas con resultados de aprendizaje definidos por escuela (Nuevos Programas)</t>
        </is>
      </c>
      <c r="C2444" t="inlineStr">
        <is>
          <t>Gestión de Unidades Académicas</t>
        </is>
      </c>
      <c r="D2444" t="inlineStr">
        <is>
          <t>Trimestral</t>
        </is>
      </c>
      <c r="E2444" t="inlineStr">
        <is>
          <t>Positivo</t>
        </is>
      </c>
      <c r="F2444" s="111" t="n">
        <v>45838</v>
      </c>
      <c r="G2444" t="n">
        <v>2025</v>
      </c>
      <c r="H2444" t="inlineStr">
        <is>
          <t>Junio</t>
        </is>
      </c>
      <c r="I2444" t="inlineStr">
        <is>
          <t>2025-1</t>
        </is>
      </c>
      <c r="J2444" t="n">
        <v>100</v>
      </c>
      <c r="L2444" s="39" t="n"/>
      <c r="M2444" s="39" t="n"/>
      <c r="N2444" t="inlineStr">
        <is>
          <t>ENT</t>
        </is>
      </c>
      <c r="O2444" t="inlineStr">
        <is>
          <t>No Aplica</t>
        </is>
      </c>
      <c r="P2444" t="n">
        <v>0</v>
      </c>
      <c r="Q2444" t="n">
        <v>0</v>
      </c>
      <c r="R2444" t="inlineStr">
        <is>
          <t>479-2025-06-30</t>
        </is>
      </c>
      <c r="S2444" t="inlineStr">
        <is>
          <t>No Aplica</t>
        </is>
      </c>
    </row>
    <row r="2445">
      <c r="A2445" t="n">
        <v>480</v>
      </c>
      <c r="B2445" t="inlineStr">
        <is>
          <t>Programas con resultados de aprendizaje definidos por escuela (Programas Renovación, modificación y acreditación)</t>
        </is>
      </c>
      <c r="C2445" t="inlineStr">
        <is>
          <t>Gestión de Unidades Académicas</t>
        </is>
      </c>
      <c r="D2445" t="inlineStr">
        <is>
          <t>Semestral</t>
        </is>
      </c>
      <c r="E2445" t="inlineStr">
        <is>
          <t>Positivo</t>
        </is>
      </c>
      <c r="F2445" s="111" t="n">
        <v>45473</v>
      </c>
      <c r="G2445" t="n">
        <v>2024</v>
      </c>
      <c r="H2445" t="inlineStr">
        <is>
          <t>Junio</t>
        </is>
      </c>
      <c r="I2445" t="inlineStr">
        <is>
          <t>2024-1</t>
        </is>
      </c>
      <c r="J2445" t="n">
        <v>100</v>
      </c>
      <c r="K2445" t="n">
        <v>100</v>
      </c>
      <c r="L2445" s="39">
        <f>IFERROR(IF(OR(J2445=0,K2445=""),"",IF(E2445="Positivo",MIN(MAX(K2445/J2445,0),1.3),MIN(MAX(J2445/K2445,0),1.3))),"") </f>
        <v/>
      </c>
      <c r="M2445" s="39">
        <f>IFERROR(IF(OR(J2445=0,K2445=""),"",IF(E2445="Positivo",MAX(K2445/J2445,0),MAX(J2445/K2445,0))),"") </f>
        <v/>
      </c>
      <c r="P2445" t="n">
        <v>0</v>
      </c>
      <c r="Q2445" t="n">
        <v>0</v>
      </c>
      <c r="R2445" t="inlineStr">
        <is>
          <t>480-2024-06-30</t>
        </is>
      </c>
    </row>
    <row r="2446">
      <c r="A2446" t="n">
        <v>480</v>
      </c>
      <c r="B2446" t="inlineStr">
        <is>
          <t>Programas con resultados de aprendizaje definidos por escuela (Programas Renovación, modificación y acreditación)</t>
        </is>
      </c>
      <c r="C2446" t="inlineStr">
        <is>
          <t>Gestión de Unidades Académicas</t>
        </is>
      </c>
      <c r="D2446" t="inlineStr">
        <is>
          <t>Semestral</t>
        </is>
      </c>
      <c r="E2446" t="inlineStr">
        <is>
          <t>Positivo</t>
        </is>
      </c>
      <c r="F2446" s="111" t="n">
        <v>45657</v>
      </c>
      <c r="G2446" t="n">
        <v>2024</v>
      </c>
      <c r="H2446" t="inlineStr">
        <is>
          <t>Diciembre</t>
        </is>
      </c>
      <c r="I2446" t="inlineStr">
        <is>
          <t>2024-2</t>
        </is>
      </c>
      <c r="J2446" t="n">
        <v>100</v>
      </c>
      <c r="K2446" t="n">
        <v>100</v>
      </c>
      <c r="L2446" s="39">
        <f>IFERROR(IF(OR(J2446=0,K2446=""),"",IF(E2446="Positivo",MIN(MAX(K2446/J2446,0),1.3),MIN(MAX(J2446/K2446,0),1.3))),"") </f>
        <v/>
      </c>
      <c r="M2446" s="39">
        <f>IFERROR(IF(OR(J2446=0,K2446=""),"",IF(E2446="Positivo",MAX(K2446/J2446,0),MAX(J2446/K2446,0))),"") </f>
        <v/>
      </c>
      <c r="P2446" t="n">
        <v>0</v>
      </c>
      <c r="Q2446" t="n">
        <v>0</v>
      </c>
      <c r="R2446" t="inlineStr">
        <is>
          <t>480-2024-12-31</t>
        </is>
      </c>
    </row>
    <row r="2447">
      <c r="A2447" t="n">
        <v>480</v>
      </c>
      <c r="B2447" t="inlineStr">
        <is>
          <t>Programas con resultados de aprendizaje definidos por escuela (Programas Renovación, modificación y acreditación)</t>
        </is>
      </c>
      <c r="C2447" t="inlineStr">
        <is>
          <t>Gestión de Unidades Académicas</t>
        </is>
      </c>
      <c r="D2447" t="inlineStr">
        <is>
          <t>Trimestral</t>
        </is>
      </c>
      <c r="E2447" t="inlineStr">
        <is>
          <t>Positivo</t>
        </is>
      </c>
      <c r="F2447" s="111" t="n">
        <v>45838</v>
      </c>
      <c r="G2447" t="n">
        <v>2025</v>
      </c>
      <c r="H2447" t="inlineStr">
        <is>
          <t>Junio</t>
        </is>
      </c>
      <c r="I2447" t="inlineStr">
        <is>
          <t>2025-1</t>
        </is>
      </c>
      <c r="J2447" t="n">
        <v>100</v>
      </c>
      <c r="L2447" s="39" t="n"/>
      <c r="M2447" s="39" t="n"/>
      <c r="N2447" t="inlineStr">
        <is>
          <t>ENT</t>
        </is>
      </c>
      <c r="O2447" t="inlineStr">
        <is>
          <t>No Aplica</t>
        </is>
      </c>
      <c r="P2447" t="n">
        <v>0</v>
      </c>
      <c r="Q2447" t="n">
        <v>0</v>
      </c>
      <c r="R2447" t="inlineStr">
        <is>
          <t>480-2025-06-30</t>
        </is>
      </c>
      <c r="S2447" t="inlineStr">
        <is>
          <t>No Aplica</t>
        </is>
      </c>
    </row>
    <row r="2448">
      <c r="A2448" t="n">
        <v>481</v>
      </c>
      <c r="B2448" t="inlineStr">
        <is>
          <t>Solicitudes de documentación completadas</t>
        </is>
      </c>
      <c r="C2448" t="inlineStr">
        <is>
          <t>Gestión, Evaluación e Innovación Curricular</t>
        </is>
      </c>
      <c r="D2448" t="inlineStr">
        <is>
          <t>Semestral</t>
        </is>
      </c>
      <c r="E2448" t="inlineStr">
        <is>
          <t>Positivo</t>
        </is>
      </c>
      <c r="F2448" s="111" t="n">
        <v>45473</v>
      </c>
      <c r="G2448" t="n">
        <v>2024</v>
      </c>
      <c r="H2448" t="inlineStr">
        <is>
          <t>Junio</t>
        </is>
      </c>
      <c r="I2448" t="inlineStr">
        <is>
          <t>2024-1</t>
        </is>
      </c>
      <c r="J2448" t="n">
        <v>100</v>
      </c>
      <c r="K2448" t="n">
        <v>100</v>
      </c>
      <c r="L2448" s="39">
        <f>IFERROR(IF(OR(J2448=0,K2448=""),"",IF(E2448="Positivo",MIN(MAX(K2448/J2448,0),1.3),MIN(MAX(J2448/K2448,0),1.3))),"") </f>
        <v/>
      </c>
      <c r="M2448" s="39">
        <f>IFERROR(IF(OR(J2448=0,K2448=""),"",IF(E2448="Positivo",MAX(K2448/J2448,0),MAX(J2448/K2448,0))),"") </f>
        <v/>
      </c>
      <c r="P2448" t="n">
        <v>0</v>
      </c>
      <c r="Q2448" t="n">
        <v>0</v>
      </c>
      <c r="R2448" t="inlineStr">
        <is>
          <t>481-2024-06-30</t>
        </is>
      </c>
    </row>
    <row r="2449">
      <c r="A2449" t="n">
        <v>481</v>
      </c>
      <c r="B2449" t="inlineStr">
        <is>
          <t>Solicitudes de documentación completadas</t>
        </is>
      </c>
      <c r="C2449" t="inlineStr">
        <is>
          <t>Gestión, Evaluación e Innovación Curricular</t>
        </is>
      </c>
      <c r="D2449" t="inlineStr">
        <is>
          <t>Trimestral</t>
        </is>
      </c>
      <c r="E2449" t="inlineStr">
        <is>
          <t>Positivo</t>
        </is>
      </c>
      <c r="F2449" s="111" t="n">
        <v>45657</v>
      </c>
      <c r="G2449" t="n">
        <v>2024</v>
      </c>
      <c r="H2449" t="inlineStr">
        <is>
          <t>Diciembre</t>
        </is>
      </c>
      <c r="I2449" t="inlineStr">
        <is>
          <t>2024-2</t>
        </is>
      </c>
      <c r="J2449" t="n">
        <v>100</v>
      </c>
      <c r="L2449" s="39" t="n"/>
      <c r="M2449" s="39" t="n"/>
      <c r="N2449" t="inlineStr">
        <is>
          <t>%</t>
        </is>
      </c>
      <c r="O2449" t="inlineStr">
        <is>
          <t>No Aplica</t>
        </is>
      </c>
      <c r="P2449" t="n">
        <v>0</v>
      </c>
      <c r="Q2449" t="n">
        <v>0</v>
      </c>
      <c r="R2449" t="inlineStr">
        <is>
          <t>481-2024-12-31</t>
        </is>
      </c>
      <c r="S2449" t="inlineStr">
        <is>
          <t>No Aplica</t>
        </is>
      </c>
    </row>
    <row r="2450">
      <c r="A2450" t="n">
        <v>481</v>
      </c>
      <c r="B2450" t="inlineStr">
        <is>
          <t>Solicitudes de documentación completadas</t>
        </is>
      </c>
      <c r="C2450" t="inlineStr">
        <is>
          <t>Gestión, Evaluación e Innovación Curricular</t>
        </is>
      </c>
      <c r="D2450" t="inlineStr">
        <is>
          <t>Trimestral</t>
        </is>
      </c>
      <c r="E2450" t="inlineStr">
        <is>
          <t>Positivo</t>
        </is>
      </c>
      <c r="F2450" s="111" t="n">
        <v>45838</v>
      </c>
      <c r="G2450" t="n">
        <v>2025</v>
      </c>
      <c r="H2450" t="inlineStr">
        <is>
          <t>Junio</t>
        </is>
      </c>
      <c r="I2450" t="inlineStr">
        <is>
          <t>2025-1</t>
        </is>
      </c>
      <c r="J2450" t="n">
        <v>100</v>
      </c>
      <c r="K2450" t="n">
        <v>100</v>
      </c>
      <c r="L2450" s="39">
        <f>IFERROR(IF(OR(J2450=0,K2450=""),"",IF(E2450="Positivo",MIN(MAX(K2450/J2450,0),1.3),MIN(MAX(J2450/K2450,0),1.3))),"") </f>
        <v/>
      </c>
      <c r="M2450" s="39">
        <f>IFERROR(IF(OR(J2450=0,K2450=""),"",IF(E2450="Positivo",MAX(K2450/J2450,0),MAX(J2450/K2450,0))),"") </f>
        <v/>
      </c>
      <c r="N2450" t="inlineStr">
        <is>
          <t>%</t>
        </is>
      </c>
      <c r="O2450" t="inlineStr">
        <is>
          <t>%</t>
        </is>
      </c>
      <c r="P2450" t="n">
        <v>0</v>
      </c>
      <c r="Q2450" t="n">
        <v>0</v>
      </c>
      <c r="R2450" t="inlineStr">
        <is>
          <t>481-2025-06-30</t>
        </is>
      </c>
    </row>
    <row r="2451">
      <c r="A2451" t="n">
        <v>481</v>
      </c>
      <c r="B2451" t="inlineStr">
        <is>
          <t>Solicitudes de documentación completadas</t>
        </is>
      </c>
      <c r="C2451" t="inlineStr">
        <is>
          <t>Gestión, Evaluación e Innovación Curricular</t>
        </is>
      </c>
      <c r="D2451" t="inlineStr">
        <is>
          <t>Trimestral</t>
        </is>
      </c>
      <c r="E2451" t="inlineStr">
        <is>
          <t>Positivo</t>
        </is>
      </c>
      <c r="F2451" s="111" t="n">
        <v>46022</v>
      </c>
      <c r="G2451" t="n">
        <v>2025</v>
      </c>
      <c r="H2451" t="inlineStr">
        <is>
          <t>Diciembre</t>
        </is>
      </c>
      <c r="I2451" t="inlineStr">
        <is>
          <t>2025-2</t>
        </is>
      </c>
      <c r="J2451" t="n">
        <v>100</v>
      </c>
      <c r="L2451" s="39" t="n"/>
      <c r="M2451" s="39" t="n"/>
      <c r="N2451" t="inlineStr">
        <is>
          <t>%</t>
        </is>
      </c>
      <c r="O2451" t="inlineStr">
        <is>
          <t>No Aplica</t>
        </is>
      </c>
      <c r="P2451" t="n">
        <v>0</v>
      </c>
      <c r="Q2451" t="n">
        <v>0</v>
      </c>
      <c r="R2451" t="inlineStr">
        <is>
          <t>481-2025-12-31</t>
        </is>
      </c>
      <c r="S2451" t="inlineStr">
        <is>
          <t>No Aplica</t>
        </is>
      </c>
    </row>
    <row r="2452">
      <c r="A2452" t="n">
        <v>483</v>
      </c>
      <c r="B2452" t="inlineStr">
        <is>
          <t>Tasa de incremento en la resolución de solicitudes de la vicerrectoría de crecimiento</t>
        </is>
      </c>
      <c r="C2452" t="inlineStr">
        <is>
          <t>Gestión de campañas integradas de marketing</t>
        </is>
      </c>
      <c r="D2452" t="inlineStr">
        <is>
          <t>Anual</t>
        </is>
      </c>
      <c r="E2452" t="inlineStr">
        <is>
          <t>Positivo</t>
        </is>
      </c>
      <c r="F2452" s="111" t="n">
        <v>45657</v>
      </c>
      <c r="G2452" t="n">
        <v>2024</v>
      </c>
      <c r="H2452" t="inlineStr">
        <is>
          <t>Diciembre</t>
        </is>
      </c>
      <c r="I2452" t="inlineStr">
        <is>
          <t>2024-2</t>
        </is>
      </c>
      <c r="J2452" t="n">
        <v>10</v>
      </c>
      <c r="K2452" t="n">
        <v>91.65000000000001</v>
      </c>
      <c r="L2452" s="39">
        <f>IFERROR(IF(OR(J2452=0,K2452=""),"",IF(E2452="Positivo",MIN(MAX(K2452/J2452,0),1.3),MIN(MAX(J2452/K2452,0),1.3))),"") </f>
        <v/>
      </c>
      <c r="M2452" s="39">
        <f>IFERROR(IF(OR(J2452=0,K2452=""),"",IF(E2452="Positivo",MAX(K2452/J2452,0),MAX(J2452/K2452,0))),"") </f>
        <v/>
      </c>
      <c r="P2452" t="n">
        <v>0</v>
      </c>
      <c r="Q2452" t="n">
        <v>0</v>
      </c>
      <c r="R2452" t="inlineStr">
        <is>
          <t>483-2024-12-31</t>
        </is>
      </c>
    </row>
    <row r="2453">
      <c r="A2453" t="n">
        <v>484</v>
      </c>
      <c r="B2453" t="inlineStr">
        <is>
          <t>Cumplimiento del Programa de la Cultura del Autocuidado</t>
        </is>
      </c>
      <c r="C2453" t="inlineStr">
        <is>
          <t>GESTIÓN DE SEGURIDAD Y SALUD EN EL TRABAJO</t>
        </is>
      </c>
      <c r="D2453" t="inlineStr">
        <is>
          <t>Trimestral</t>
        </is>
      </c>
      <c r="E2453" t="inlineStr">
        <is>
          <t>Positivo</t>
        </is>
      </c>
      <c r="F2453" s="111" t="n">
        <v>45473</v>
      </c>
      <c r="G2453" t="n">
        <v>2024</v>
      </c>
      <c r="H2453" t="inlineStr">
        <is>
          <t>Junio</t>
        </is>
      </c>
      <c r="I2453" t="inlineStr">
        <is>
          <t>2024-1</t>
        </is>
      </c>
      <c r="J2453" t="n">
        <v>90</v>
      </c>
      <c r="K2453" t="n">
        <v>100</v>
      </c>
      <c r="L2453" s="39">
        <f>IFERROR(IF(OR(J2453=0,K2453=""),"",IF(E2453="Positivo",MIN(MAX(K2453/J2453,0),1.3),MIN(MAX(J2453/K2453,0),1.3))),"") </f>
        <v/>
      </c>
      <c r="M2453" s="39">
        <f>IFERROR(IF(OR(J2453=0,K2453=""),"",IF(E2453="Positivo",MAX(K2453/J2453,0),MAX(J2453/K2453,0))),"") </f>
        <v/>
      </c>
      <c r="N2453" t="inlineStr">
        <is>
          <t>%</t>
        </is>
      </c>
      <c r="O2453" t="inlineStr">
        <is>
          <t>%</t>
        </is>
      </c>
      <c r="P2453" t="n">
        <v>0</v>
      </c>
      <c r="Q2453" t="n">
        <v>0</v>
      </c>
      <c r="R2453" t="inlineStr">
        <is>
          <t>484-2024-06-30</t>
        </is>
      </c>
    </row>
    <row r="2454">
      <c r="A2454" t="n">
        <v>484</v>
      </c>
      <c r="B2454" t="inlineStr">
        <is>
          <t>Cumplimiento del Programa de la Cultura del Autocuidado</t>
        </is>
      </c>
      <c r="C2454" t="inlineStr">
        <is>
          <t>GESTIÓN DE SEGURIDAD Y SALUD EN EL TRABAJO</t>
        </is>
      </c>
      <c r="D2454" t="inlineStr">
        <is>
          <t>Trimestral</t>
        </is>
      </c>
      <c r="E2454" t="inlineStr">
        <is>
          <t>Positivo</t>
        </is>
      </c>
      <c r="F2454" s="111" t="n">
        <v>45565</v>
      </c>
      <c r="G2454" t="n">
        <v>2024</v>
      </c>
      <c r="H2454" t="inlineStr">
        <is>
          <t>Septiembre</t>
        </is>
      </c>
      <c r="I2454" t="inlineStr">
        <is>
          <t>2024-2</t>
        </is>
      </c>
      <c r="J2454" t="n">
        <v>90</v>
      </c>
      <c r="K2454" t="n">
        <v>100</v>
      </c>
      <c r="L2454" s="39">
        <f>IFERROR(IF(OR(J2454=0,K2454=""),"",IF(E2454="Positivo",MIN(MAX(K2454/J2454,0),1.3),MIN(MAX(J2454/K2454,0),1.3))),"") </f>
        <v/>
      </c>
      <c r="M2454" s="39">
        <f>IFERROR(IF(OR(J2454=0,K2454=""),"",IF(E2454="Positivo",MAX(K2454/J2454,0),MAX(J2454/K2454,0))),"") </f>
        <v/>
      </c>
      <c r="N2454" t="inlineStr">
        <is>
          <t>%</t>
        </is>
      </c>
      <c r="O2454" t="inlineStr">
        <is>
          <t>%</t>
        </is>
      </c>
      <c r="P2454" t="n">
        <v>0</v>
      </c>
      <c r="Q2454" t="n">
        <v>0</v>
      </c>
      <c r="R2454" t="inlineStr">
        <is>
          <t>484-2024-09-30</t>
        </is>
      </c>
    </row>
    <row r="2455">
      <c r="A2455" t="n">
        <v>484</v>
      </c>
      <c r="B2455" t="inlineStr">
        <is>
          <t>Cumplimiento del Programa de la Cultura del Autocuidado</t>
        </is>
      </c>
      <c r="C2455" t="inlineStr">
        <is>
          <t>GESTIÓN DE SEGURIDAD Y SALUD EN EL TRABAJO</t>
        </is>
      </c>
      <c r="D2455" t="inlineStr">
        <is>
          <t>Trimestral</t>
        </is>
      </c>
      <c r="E2455" t="inlineStr">
        <is>
          <t>Positivo</t>
        </is>
      </c>
      <c r="F2455" s="111" t="n">
        <v>45657</v>
      </c>
      <c r="G2455" t="n">
        <v>2024</v>
      </c>
      <c r="H2455" t="inlineStr">
        <is>
          <t>Diciembre</t>
        </is>
      </c>
      <c r="I2455" t="inlineStr">
        <is>
          <t>2024-2</t>
        </is>
      </c>
      <c r="J2455" t="n">
        <v>90</v>
      </c>
      <c r="K2455" t="n">
        <v>100</v>
      </c>
      <c r="L2455" s="39">
        <f>IFERROR(IF(OR(J2455=0,K2455=""),"",IF(E2455="Positivo",MIN(MAX(K2455/J2455,0),1.3),MIN(MAX(J2455/K2455,0),1.3))),"") </f>
        <v/>
      </c>
      <c r="M2455" s="39">
        <f>IFERROR(IF(OR(J2455=0,K2455=""),"",IF(E2455="Positivo",MAX(K2455/J2455,0),MAX(J2455/K2455,0))),"") </f>
        <v/>
      </c>
      <c r="N2455" t="inlineStr">
        <is>
          <t>%</t>
        </is>
      </c>
      <c r="O2455" t="inlineStr">
        <is>
          <t>%</t>
        </is>
      </c>
      <c r="P2455" t="n">
        <v>0</v>
      </c>
      <c r="Q2455" t="n">
        <v>0</v>
      </c>
      <c r="R2455" t="inlineStr">
        <is>
          <t>484-2024-12-31</t>
        </is>
      </c>
    </row>
    <row r="2456">
      <c r="A2456" t="n">
        <v>484</v>
      </c>
      <c r="B2456" t="inlineStr">
        <is>
          <t>Cumplimiento del Programa de la Cultura del Autocuidado</t>
        </is>
      </c>
      <c r="C2456" t="inlineStr">
        <is>
          <t>GESTIÓN DE SEGURIDAD Y SALUD EN EL TRABAJO</t>
        </is>
      </c>
      <c r="D2456" t="inlineStr">
        <is>
          <t>Trimestral</t>
        </is>
      </c>
      <c r="E2456" t="inlineStr">
        <is>
          <t>Positivo</t>
        </is>
      </c>
      <c r="F2456" s="111" t="n">
        <v>45747</v>
      </c>
      <c r="G2456" t="n">
        <v>2025</v>
      </c>
      <c r="H2456" t="inlineStr">
        <is>
          <t>Marzo</t>
        </is>
      </c>
      <c r="I2456" t="inlineStr">
        <is>
          <t>2025-1</t>
        </is>
      </c>
      <c r="J2456" t="n">
        <v>90</v>
      </c>
      <c r="K2456" t="n">
        <v>100</v>
      </c>
      <c r="L2456" s="39">
        <f>IFERROR(IF(OR(J2456=0,K2456=""),"",IF(E2456="Positivo",MIN(MAX(K2456/J2456,0),1.3),MIN(MAX(J2456/K2456,0),1.3))),"") </f>
        <v/>
      </c>
      <c r="M2456" s="39">
        <f>IFERROR(IF(OR(J2456=0,K2456=""),"",IF(E2456="Positivo",MAX(K2456/J2456,0),MAX(J2456/K2456,0))),"") </f>
        <v/>
      </c>
      <c r="N2456" t="inlineStr">
        <is>
          <t>%</t>
        </is>
      </c>
      <c r="O2456" t="inlineStr">
        <is>
          <t>%</t>
        </is>
      </c>
      <c r="P2456" t="n">
        <v>0</v>
      </c>
      <c r="Q2456" t="n">
        <v>0</v>
      </c>
      <c r="R2456" t="inlineStr">
        <is>
          <t>484-2025-03-31</t>
        </is>
      </c>
    </row>
    <row r="2457">
      <c r="A2457" t="n">
        <v>484</v>
      </c>
      <c r="B2457" t="inlineStr">
        <is>
          <t>Cumplimiento del Programa de la Cultura del Autocuidado</t>
        </is>
      </c>
      <c r="C2457" t="inlineStr">
        <is>
          <t>GESTIÓN DE SEGURIDAD Y SALUD EN EL TRABAJO</t>
        </is>
      </c>
      <c r="D2457" t="inlineStr">
        <is>
          <t>Trimestral</t>
        </is>
      </c>
      <c r="E2457" t="inlineStr">
        <is>
          <t>Positivo</t>
        </is>
      </c>
      <c r="F2457" s="111" t="n">
        <v>45838</v>
      </c>
      <c r="G2457" t="n">
        <v>2025</v>
      </c>
      <c r="H2457" t="inlineStr">
        <is>
          <t>Junio</t>
        </is>
      </c>
      <c r="I2457" t="inlineStr">
        <is>
          <t>2025-1</t>
        </is>
      </c>
      <c r="J2457" t="n">
        <v>90</v>
      </c>
      <c r="K2457" t="n">
        <v>100</v>
      </c>
      <c r="L2457" s="39">
        <f>IFERROR(IF(OR(J2457=0,K2457=""),"",IF(E2457="Positivo",MIN(MAX(K2457/J2457,0),1.3),MIN(MAX(J2457/K2457,0),1.3))),"") </f>
        <v/>
      </c>
      <c r="M2457" s="39">
        <f>IFERROR(IF(OR(J2457=0,K2457=""),"",IF(E2457="Positivo",MAX(K2457/J2457,0),MAX(J2457/K2457,0))),"") </f>
        <v/>
      </c>
      <c r="N2457" t="inlineStr">
        <is>
          <t>%</t>
        </is>
      </c>
      <c r="O2457" t="inlineStr">
        <is>
          <t>%</t>
        </is>
      </c>
      <c r="P2457" t="n">
        <v>0</v>
      </c>
      <c r="Q2457" t="n">
        <v>0</v>
      </c>
      <c r="R2457" t="inlineStr">
        <is>
          <t>484-2025-06-30</t>
        </is>
      </c>
    </row>
    <row r="2458">
      <c r="A2458" t="n">
        <v>484</v>
      </c>
      <c r="B2458" t="inlineStr">
        <is>
          <t>Cumplimiento del Programa de la Cultura del Autocuidado</t>
        </is>
      </c>
      <c r="C2458" t="inlineStr">
        <is>
          <t>GESTIÓN DE SEGURIDAD Y SALUD EN EL TRABAJO</t>
        </is>
      </c>
      <c r="D2458" t="inlineStr">
        <is>
          <t>Semestral</t>
        </is>
      </c>
      <c r="E2458" t="inlineStr">
        <is>
          <t>Positivo</t>
        </is>
      </c>
      <c r="F2458" s="111" t="n">
        <v>45930</v>
      </c>
      <c r="G2458" t="n">
        <v>2025</v>
      </c>
      <c r="H2458" t="inlineStr">
        <is>
          <t>Septiembre</t>
        </is>
      </c>
      <c r="I2458" t="inlineStr">
        <is>
          <t>2025-2</t>
        </is>
      </c>
      <c r="J2458" t="n">
        <v>90</v>
      </c>
      <c r="K2458" t="n">
        <v>100</v>
      </c>
      <c r="L2458" s="39">
        <f>IFERROR(IF(OR(J2458=0,K2458=""),"",IF(E2458="Positivo",MIN(MAX(K2458/J2458,0),1.3),MIN(MAX(J2458/K2458,0),1.3))),"") </f>
        <v/>
      </c>
      <c r="M2458" s="39">
        <f>IFERROR(IF(OR(J2458=0,K2458=""),"",IF(E2458="Positivo",MAX(K2458/J2458,0),MAX(J2458/K2458,0))),"") </f>
        <v/>
      </c>
      <c r="N2458" t="inlineStr">
        <is>
          <t>%</t>
        </is>
      </c>
      <c r="O2458" t="inlineStr">
        <is>
          <t>%</t>
        </is>
      </c>
      <c r="P2458" t="n">
        <v>0</v>
      </c>
      <c r="Q2458" t="n">
        <v>0</v>
      </c>
      <c r="R2458" t="inlineStr">
        <is>
          <t>484-2025-09-30</t>
        </is>
      </c>
    </row>
    <row r="2459">
      <c r="A2459" t="n">
        <v>484</v>
      </c>
      <c r="B2459" t="inlineStr">
        <is>
          <t>Cumplimiento del Programa de la Cultura del Autocuidado</t>
        </is>
      </c>
      <c r="C2459" t="inlineStr">
        <is>
          <t>GESTIÓN DE SEGURIDAD Y SALUD EN EL TRABAJO</t>
        </is>
      </c>
      <c r="D2459" t="inlineStr">
        <is>
          <t>Semestral</t>
        </is>
      </c>
      <c r="E2459" t="inlineStr">
        <is>
          <t>Positivo</t>
        </is>
      </c>
      <c r="F2459" s="111" t="n">
        <v>46022</v>
      </c>
      <c r="G2459" t="n">
        <v>2025</v>
      </c>
      <c r="H2459" t="inlineStr">
        <is>
          <t>Diciembre</t>
        </is>
      </c>
      <c r="I2459" t="inlineStr">
        <is>
          <t>2025-2</t>
        </is>
      </c>
      <c r="J2459" t="n">
        <v>90</v>
      </c>
      <c r="K2459" t="n">
        <v>100</v>
      </c>
      <c r="L2459" s="39">
        <f>IFERROR(IF(OR(J2459=0,K2459=""),"",IF(E2459="Positivo",MIN(MAX(K2459/J2459,0),1.3),MIN(MAX(J2459/K2459,0),1.3))),"") </f>
        <v/>
      </c>
      <c r="M2459" s="39">
        <f>IFERROR(IF(OR(J2459=0,K2459=""),"",IF(E2459="Positivo",MAX(K2459/J2459,0),MAX(J2459/K2459,0))),"") </f>
        <v/>
      </c>
      <c r="N2459" t="inlineStr">
        <is>
          <t>%</t>
        </is>
      </c>
      <c r="O2459" t="inlineStr">
        <is>
          <t>%</t>
        </is>
      </c>
      <c r="P2459" t="n">
        <v>0</v>
      </c>
      <c r="Q2459" t="n">
        <v>0</v>
      </c>
      <c r="R2459" t="inlineStr">
        <is>
          <t>484-2025-12-31</t>
        </is>
      </c>
    </row>
    <row r="2460">
      <c r="A2460" t="n">
        <v>485</v>
      </c>
      <c r="B2460" t="inlineStr">
        <is>
          <t>Oportunidad en el cierre de acciones</t>
        </is>
      </c>
      <c r="C2460" t="inlineStr">
        <is>
          <t>Gestión de calidad</t>
        </is>
      </c>
      <c r="D2460" t="inlineStr">
        <is>
          <t>Mensual</t>
        </is>
      </c>
      <c r="E2460" t="inlineStr">
        <is>
          <t>Positivo</t>
        </is>
      </c>
      <c r="F2460" s="111" t="n">
        <v>45322</v>
      </c>
      <c r="G2460" t="n">
        <v>2024</v>
      </c>
      <c r="H2460" t="inlineStr">
        <is>
          <t>Enero</t>
        </is>
      </c>
      <c r="I2460" t="inlineStr">
        <is>
          <t>2024-1</t>
        </is>
      </c>
      <c r="L2460" s="39" t="n"/>
      <c r="M2460" s="39" t="n"/>
      <c r="N2460" t="inlineStr">
        <is>
          <t>%</t>
        </is>
      </c>
      <c r="O2460" t="inlineStr">
        <is>
          <t>No Aplica</t>
        </is>
      </c>
      <c r="P2460" t="n">
        <v>0</v>
      </c>
      <c r="Q2460" t="n">
        <v>0</v>
      </c>
      <c r="R2460" t="inlineStr">
        <is>
          <t>485-2024-01-31</t>
        </is>
      </c>
      <c r="S2460" t="inlineStr">
        <is>
          <t>No Aplica</t>
        </is>
      </c>
    </row>
    <row r="2461">
      <c r="A2461" t="n">
        <v>485</v>
      </c>
      <c r="B2461" t="inlineStr">
        <is>
          <t>Oportunidad en el cierre de acciones</t>
        </is>
      </c>
      <c r="C2461" t="inlineStr">
        <is>
          <t>Gestión de calidad</t>
        </is>
      </c>
      <c r="D2461" t="inlineStr">
        <is>
          <t>Mensual</t>
        </is>
      </c>
      <c r="E2461" t="inlineStr">
        <is>
          <t>Positivo</t>
        </is>
      </c>
      <c r="F2461" s="111" t="n">
        <v>45351</v>
      </c>
      <c r="G2461" t="n">
        <v>2024</v>
      </c>
      <c r="H2461" t="inlineStr">
        <is>
          <t>Febrero</t>
        </is>
      </c>
      <c r="I2461" t="inlineStr">
        <is>
          <t>2024-1</t>
        </is>
      </c>
      <c r="L2461" s="39" t="n"/>
      <c r="M2461" s="39" t="n"/>
      <c r="N2461" t="inlineStr">
        <is>
          <t>%</t>
        </is>
      </c>
      <c r="O2461" t="inlineStr">
        <is>
          <t>No Aplica</t>
        </is>
      </c>
      <c r="P2461" t="n">
        <v>0</v>
      </c>
      <c r="Q2461" t="n">
        <v>0</v>
      </c>
      <c r="R2461" t="inlineStr">
        <is>
          <t>485-2024-02-29</t>
        </is>
      </c>
      <c r="S2461" t="inlineStr">
        <is>
          <t>No Aplica</t>
        </is>
      </c>
    </row>
    <row r="2462">
      <c r="A2462" t="n">
        <v>485</v>
      </c>
      <c r="B2462" t="inlineStr">
        <is>
          <t>Oportunidad en el cierre de acciones</t>
        </is>
      </c>
      <c r="C2462" t="inlineStr">
        <is>
          <t>Gestión de calidad</t>
        </is>
      </c>
      <c r="D2462" t="inlineStr">
        <is>
          <t>Mensual</t>
        </is>
      </c>
      <c r="E2462" t="inlineStr">
        <is>
          <t>Positivo</t>
        </is>
      </c>
      <c r="F2462" s="111" t="n">
        <v>45382</v>
      </c>
      <c r="G2462" t="n">
        <v>2024</v>
      </c>
      <c r="H2462" t="inlineStr">
        <is>
          <t>Marzo</t>
        </is>
      </c>
      <c r="I2462" t="inlineStr">
        <is>
          <t>2024-1</t>
        </is>
      </c>
      <c r="L2462" s="39" t="n"/>
      <c r="M2462" s="39" t="n"/>
      <c r="N2462" t="inlineStr">
        <is>
          <t>%</t>
        </is>
      </c>
      <c r="O2462" t="inlineStr">
        <is>
          <t>No Aplica</t>
        </is>
      </c>
      <c r="P2462" t="n">
        <v>0</v>
      </c>
      <c r="Q2462" t="n">
        <v>0</v>
      </c>
      <c r="R2462" t="inlineStr">
        <is>
          <t>485-2024-03-31</t>
        </is>
      </c>
      <c r="S2462" t="inlineStr">
        <is>
          <t>No Aplica</t>
        </is>
      </c>
    </row>
    <row r="2463">
      <c r="A2463" t="n">
        <v>485</v>
      </c>
      <c r="B2463" t="inlineStr">
        <is>
          <t>Oportunidad en el cierre de acciones</t>
        </is>
      </c>
      <c r="C2463" t="inlineStr">
        <is>
          <t>Gestión de calidad</t>
        </is>
      </c>
      <c r="D2463" t="inlineStr">
        <is>
          <t>Mensual</t>
        </is>
      </c>
      <c r="E2463" t="inlineStr">
        <is>
          <t>Positivo</t>
        </is>
      </c>
      <c r="F2463" s="111" t="n">
        <v>45412</v>
      </c>
      <c r="G2463" t="n">
        <v>2024</v>
      </c>
      <c r="H2463" t="inlineStr">
        <is>
          <t>Abril</t>
        </is>
      </c>
      <c r="I2463" t="inlineStr">
        <is>
          <t>2024-1</t>
        </is>
      </c>
      <c r="L2463" s="39" t="n"/>
      <c r="M2463" s="39" t="n"/>
      <c r="N2463" t="inlineStr">
        <is>
          <t>%</t>
        </is>
      </c>
      <c r="O2463" t="inlineStr">
        <is>
          <t>No Aplica</t>
        </is>
      </c>
      <c r="P2463" t="n">
        <v>0</v>
      </c>
      <c r="Q2463" t="n">
        <v>0</v>
      </c>
      <c r="R2463" t="inlineStr">
        <is>
          <t>485-2024-04-30</t>
        </is>
      </c>
      <c r="S2463" t="inlineStr">
        <is>
          <t>No Aplica</t>
        </is>
      </c>
    </row>
    <row r="2464">
      <c r="A2464" t="n">
        <v>485</v>
      </c>
      <c r="B2464" t="inlineStr">
        <is>
          <t>Oportunidad en el cierre de acciones</t>
        </is>
      </c>
      <c r="C2464" t="inlineStr">
        <is>
          <t>Gestión de calidad</t>
        </is>
      </c>
      <c r="D2464" t="inlineStr">
        <is>
          <t>Mensual</t>
        </is>
      </c>
      <c r="E2464" t="inlineStr">
        <is>
          <t>Positivo</t>
        </is>
      </c>
      <c r="F2464" s="111" t="n">
        <v>45443</v>
      </c>
      <c r="G2464" t="n">
        <v>2024</v>
      </c>
      <c r="H2464" t="inlineStr">
        <is>
          <t>Mayo</t>
        </is>
      </c>
      <c r="I2464" t="inlineStr">
        <is>
          <t>2024-1</t>
        </is>
      </c>
      <c r="L2464" s="39" t="n"/>
      <c r="M2464" s="39" t="n"/>
      <c r="N2464" t="inlineStr">
        <is>
          <t>%</t>
        </is>
      </c>
      <c r="O2464" t="inlineStr">
        <is>
          <t>No Aplica</t>
        </is>
      </c>
      <c r="P2464" t="n">
        <v>0</v>
      </c>
      <c r="Q2464" t="n">
        <v>0</v>
      </c>
      <c r="R2464" t="inlineStr">
        <is>
          <t>485-2024-05-31</t>
        </is>
      </c>
      <c r="S2464" t="inlineStr">
        <is>
          <t>No Aplica</t>
        </is>
      </c>
    </row>
    <row r="2465">
      <c r="A2465" t="n">
        <v>485</v>
      </c>
      <c r="B2465" t="inlineStr">
        <is>
          <t>Oportunidad en el cierre de acciones</t>
        </is>
      </c>
      <c r="C2465" t="inlineStr">
        <is>
          <t>Gestión de calidad</t>
        </is>
      </c>
      <c r="D2465" t="inlineStr">
        <is>
          <t>Mensual</t>
        </is>
      </c>
      <c r="E2465" t="inlineStr">
        <is>
          <t>Positivo</t>
        </is>
      </c>
      <c r="F2465" s="111" t="n">
        <v>45473</v>
      </c>
      <c r="G2465" t="n">
        <v>2024</v>
      </c>
      <c r="H2465" t="inlineStr">
        <is>
          <t>Junio</t>
        </is>
      </c>
      <c r="I2465" t="inlineStr">
        <is>
          <t>2024-1</t>
        </is>
      </c>
      <c r="L2465" s="39" t="n"/>
      <c r="M2465" s="39" t="n"/>
      <c r="N2465" t="inlineStr">
        <is>
          <t>%</t>
        </is>
      </c>
      <c r="O2465" t="inlineStr">
        <is>
          <t>No Aplica</t>
        </is>
      </c>
      <c r="P2465" t="n">
        <v>0</v>
      </c>
      <c r="Q2465" t="n">
        <v>0</v>
      </c>
      <c r="R2465" t="inlineStr">
        <is>
          <t>485-2024-06-30</t>
        </is>
      </c>
      <c r="S2465" t="inlineStr">
        <is>
          <t>No Aplica</t>
        </is>
      </c>
    </row>
    <row r="2466">
      <c r="A2466" t="n">
        <v>485</v>
      </c>
      <c r="B2466" t="inlineStr">
        <is>
          <t>Oportunidad en el cierre de acciones</t>
        </is>
      </c>
      <c r="C2466" t="inlineStr">
        <is>
          <t>Gestión de calidad</t>
        </is>
      </c>
      <c r="D2466" t="inlineStr">
        <is>
          <t>Mensual</t>
        </is>
      </c>
      <c r="E2466" t="inlineStr">
        <is>
          <t>Positivo</t>
        </is>
      </c>
      <c r="F2466" s="111" t="n">
        <v>45504</v>
      </c>
      <c r="G2466" t="n">
        <v>2024</v>
      </c>
      <c r="H2466" t="inlineStr">
        <is>
          <t>Julio</t>
        </is>
      </c>
      <c r="I2466" t="inlineStr">
        <is>
          <t>2024-2</t>
        </is>
      </c>
      <c r="J2466" t="n">
        <v>80</v>
      </c>
      <c r="L2466" s="39" t="n"/>
      <c r="M2466" s="39" t="n"/>
      <c r="N2466" t="inlineStr">
        <is>
          <t>%</t>
        </is>
      </c>
      <c r="O2466" t="inlineStr">
        <is>
          <t>No Aplica</t>
        </is>
      </c>
      <c r="P2466" t="n">
        <v>0</v>
      </c>
      <c r="Q2466" t="n">
        <v>0</v>
      </c>
      <c r="R2466" t="inlineStr">
        <is>
          <t>485-2024-07-31</t>
        </is>
      </c>
      <c r="S2466" t="inlineStr">
        <is>
          <t>No Aplica</t>
        </is>
      </c>
    </row>
    <row r="2467">
      <c r="A2467" t="n">
        <v>485</v>
      </c>
      <c r="B2467" t="inlineStr">
        <is>
          <t>Oportunidad en el cierre de acciones</t>
        </is>
      </c>
      <c r="C2467" t="inlineStr">
        <is>
          <t>Gestión de calidad</t>
        </is>
      </c>
      <c r="D2467" t="inlineStr">
        <is>
          <t>Mensual</t>
        </is>
      </c>
      <c r="E2467" t="inlineStr">
        <is>
          <t>Positivo</t>
        </is>
      </c>
      <c r="F2467" s="111" t="n">
        <v>45565</v>
      </c>
      <c r="G2467" t="n">
        <v>2024</v>
      </c>
      <c r="H2467" t="inlineStr">
        <is>
          <t>Septiembre</t>
        </is>
      </c>
      <c r="I2467" t="inlineStr">
        <is>
          <t>2024-2</t>
        </is>
      </c>
      <c r="J2467" t="n">
        <v>80</v>
      </c>
      <c r="K2467" t="n">
        <v>100</v>
      </c>
      <c r="L2467" s="39">
        <f>IFERROR(IF(OR(J2467=0,K2467=""),"",IF(E2467="Positivo",MIN(MAX(K2467/J2467,0),1.3),MIN(MAX(J2467/K2467,0),1.3))),"") </f>
        <v/>
      </c>
      <c r="M2467" s="39">
        <f>IFERROR(IF(OR(J2467=0,K2467=""),"",IF(E2467="Positivo",MAX(K2467/J2467,0),MAX(J2467/K2467,0))),"") </f>
        <v/>
      </c>
      <c r="P2467" t="n">
        <v>0</v>
      </c>
      <c r="Q2467" t="n">
        <v>0</v>
      </c>
      <c r="R2467" t="inlineStr">
        <is>
          <t>485-2024-09-30</t>
        </is>
      </c>
    </row>
    <row r="2468">
      <c r="A2468" t="n">
        <v>485</v>
      </c>
      <c r="B2468" t="inlineStr">
        <is>
          <t>Oportunidad en el cierre de acciones</t>
        </is>
      </c>
      <c r="C2468" t="inlineStr">
        <is>
          <t>Gestión de calidad</t>
        </is>
      </c>
      <c r="D2468" t="inlineStr">
        <is>
          <t>Mensual</t>
        </is>
      </c>
      <c r="E2468" t="inlineStr">
        <is>
          <t>Positivo</t>
        </is>
      </c>
      <c r="F2468" s="111" t="n">
        <v>45596</v>
      </c>
      <c r="G2468" t="n">
        <v>2024</v>
      </c>
      <c r="H2468" t="inlineStr">
        <is>
          <t>Octubre</t>
        </is>
      </c>
      <c r="I2468" t="inlineStr">
        <is>
          <t>2024-2</t>
        </is>
      </c>
      <c r="J2468" t="n">
        <v>80</v>
      </c>
      <c r="K2468" t="n">
        <v>100</v>
      </c>
      <c r="L2468" s="39">
        <f>IFERROR(IF(OR(J2468=0,K2468=""),"",IF(E2468="Positivo",MIN(MAX(K2468/J2468,0),1.3),MIN(MAX(J2468/K2468,0),1.3))),"") </f>
        <v/>
      </c>
      <c r="M2468" s="39">
        <f>IFERROR(IF(OR(J2468=0,K2468=""),"",IF(E2468="Positivo",MAX(K2468/J2468,0),MAX(J2468/K2468,0))),"") </f>
        <v/>
      </c>
      <c r="P2468" t="n">
        <v>0</v>
      </c>
      <c r="Q2468" t="n">
        <v>0</v>
      </c>
      <c r="R2468" t="inlineStr">
        <is>
          <t>485-2024-10-31</t>
        </is>
      </c>
    </row>
    <row r="2469">
      <c r="A2469" t="n">
        <v>485</v>
      </c>
      <c r="B2469" t="inlineStr">
        <is>
          <t>Oportunidad en el cierre de acciones</t>
        </is>
      </c>
      <c r="C2469" t="inlineStr">
        <is>
          <t>Gestión de calidad</t>
        </is>
      </c>
      <c r="D2469" t="inlineStr">
        <is>
          <t>Mensual</t>
        </is>
      </c>
      <c r="E2469" t="inlineStr">
        <is>
          <t>Positivo</t>
        </is>
      </c>
      <c r="F2469" s="111" t="n">
        <v>45626</v>
      </c>
      <c r="G2469" t="n">
        <v>2024</v>
      </c>
      <c r="H2469" t="inlineStr">
        <is>
          <t>Noviembre</t>
        </is>
      </c>
      <c r="I2469" t="inlineStr">
        <is>
          <t>2024-2</t>
        </is>
      </c>
      <c r="J2469" t="n">
        <v>80</v>
      </c>
      <c r="K2469" t="n">
        <v>100</v>
      </c>
      <c r="L2469" s="39">
        <f>IFERROR(IF(OR(J2469=0,K2469=""),"",IF(E2469="Positivo",MIN(MAX(K2469/J2469,0),1.3),MIN(MAX(J2469/K2469,0),1.3))),"") </f>
        <v/>
      </c>
      <c r="M2469" s="39">
        <f>IFERROR(IF(OR(J2469=0,K2469=""),"",IF(E2469="Positivo",MAX(K2469/J2469,0),MAX(J2469/K2469,0))),"") </f>
        <v/>
      </c>
      <c r="P2469" t="n">
        <v>0</v>
      </c>
      <c r="Q2469" t="n">
        <v>0</v>
      </c>
      <c r="R2469" t="inlineStr">
        <is>
          <t>485-2024-11-30</t>
        </is>
      </c>
    </row>
    <row r="2470">
      <c r="A2470" t="n">
        <v>485</v>
      </c>
      <c r="B2470" t="inlineStr">
        <is>
          <t>Oportunidad en el cierre de acciones</t>
        </is>
      </c>
      <c r="C2470" t="inlineStr">
        <is>
          <t>Gestión de calidad</t>
        </is>
      </c>
      <c r="D2470" t="inlineStr">
        <is>
          <t>Mensual</t>
        </is>
      </c>
      <c r="E2470" t="inlineStr">
        <is>
          <t>Positivo</t>
        </is>
      </c>
      <c r="F2470" s="111" t="n">
        <v>45657</v>
      </c>
      <c r="G2470" t="n">
        <v>2024</v>
      </c>
      <c r="H2470" t="inlineStr">
        <is>
          <t>Diciembre</t>
        </is>
      </c>
      <c r="I2470" t="inlineStr">
        <is>
          <t>2024-2</t>
        </is>
      </c>
      <c r="J2470" t="n">
        <v>80</v>
      </c>
      <c r="K2470" t="n">
        <v>66.66666666666666</v>
      </c>
      <c r="L2470" s="39">
        <f>IFERROR(IF(OR(J2470=0,K2470=""),"",IF(E2470="Positivo",MIN(MAX(K2470/J2470,0),1.3),MIN(MAX(J2470/K2470,0),1.3))),"") </f>
        <v/>
      </c>
      <c r="M2470" s="39">
        <f>IFERROR(IF(OR(J2470=0,K2470=""),"",IF(E2470="Positivo",MAX(K2470/J2470,0),MAX(J2470/K2470,0))),"") </f>
        <v/>
      </c>
      <c r="P2470" t="n">
        <v>0</v>
      </c>
      <c r="Q2470" t="n">
        <v>0</v>
      </c>
      <c r="R2470" t="inlineStr">
        <is>
          <t>485-2024-12-31</t>
        </is>
      </c>
    </row>
    <row r="2471">
      <c r="A2471" t="n">
        <v>485</v>
      </c>
      <c r="B2471" t="inlineStr">
        <is>
          <t>Oportunidad en el cierre de acciones</t>
        </is>
      </c>
      <c r="C2471" t="inlineStr">
        <is>
          <t>Gestión de calidad</t>
        </is>
      </c>
      <c r="D2471" t="inlineStr">
        <is>
          <t>Mensual</t>
        </is>
      </c>
      <c r="E2471" t="inlineStr">
        <is>
          <t>Positivo</t>
        </is>
      </c>
      <c r="F2471" s="111" t="n">
        <v>45688</v>
      </c>
      <c r="G2471" t="n">
        <v>2025</v>
      </c>
      <c r="H2471" t="inlineStr">
        <is>
          <t>Enero</t>
        </is>
      </c>
      <c r="I2471" t="inlineStr">
        <is>
          <t>2025-1</t>
        </is>
      </c>
      <c r="J2471" t="n">
        <v>80</v>
      </c>
      <c r="K2471" t="n">
        <v>100</v>
      </c>
      <c r="L2471" s="39">
        <f>IFERROR(IF(OR(J2471=0,K2471=""),"",IF(E2471="Positivo",MIN(MAX(K2471/J2471,0),1.3),MIN(MAX(J2471/K2471,0),1.3))),"") </f>
        <v/>
      </c>
      <c r="M2471" s="39">
        <f>IFERROR(IF(OR(J2471=0,K2471=""),"",IF(E2471="Positivo",MAX(K2471/J2471,0),MAX(J2471/K2471,0))),"") </f>
        <v/>
      </c>
      <c r="P2471" t="n">
        <v>0</v>
      </c>
      <c r="Q2471" t="n">
        <v>0</v>
      </c>
      <c r="R2471" t="inlineStr">
        <is>
          <t>485-2025-01-31</t>
        </is>
      </c>
    </row>
    <row r="2472">
      <c r="A2472" t="n">
        <v>485</v>
      </c>
      <c r="B2472" t="inlineStr">
        <is>
          <t>Oportunidad en el cierre de acciones</t>
        </is>
      </c>
      <c r="C2472" t="inlineStr">
        <is>
          <t>Gestión de calidad</t>
        </is>
      </c>
      <c r="D2472" t="inlineStr">
        <is>
          <t>Mensual</t>
        </is>
      </c>
      <c r="E2472" t="inlineStr">
        <is>
          <t>Positivo</t>
        </is>
      </c>
      <c r="F2472" s="111" t="n">
        <v>45716</v>
      </c>
      <c r="G2472" t="n">
        <v>2025</v>
      </c>
      <c r="H2472" t="inlineStr">
        <is>
          <t>Febrero</t>
        </is>
      </c>
      <c r="I2472" t="inlineStr">
        <is>
          <t>2025-1</t>
        </is>
      </c>
      <c r="J2472" t="n">
        <v>80</v>
      </c>
      <c r="K2472" t="n">
        <v>50</v>
      </c>
      <c r="L2472" s="39">
        <f>IFERROR(IF(OR(J2472=0,K2472=""),"",IF(E2472="Positivo",MIN(MAX(K2472/J2472,0),1.3),MIN(MAX(J2472/K2472,0),1.3))),"") </f>
        <v/>
      </c>
      <c r="M2472" s="39">
        <f>IFERROR(IF(OR(J2472=0,K2472=""),"",IF(E2472="Positivo",MAX(K2472/J2472,0),MAX(J2472/K2472,0))),"") </f>
        <v/>
      </c>
      <c r="P2472" t="n">
        <v>0</v>
      </c>
      <c r="Q2472" t="n">
        <v>0</v>
      </c>
      <c r="R2472" t="inlineStr">
        <is>
          <t>485-2025-02-28</t>
        </is>
      </c>
    </row>
    <row r="2473">
      <c r="A2473" t="n">
        <v>485</v>
      </c>
      <c r="B2473" t="inlineStr">
        <is>
          <t>Oportunidad en el cierre de acciones</t>
        </is>
      </c>
      <c r="C2473" t="inlineStr">
        <is>
          <t>Gestión de calidad</t>
        </is>
      </c>
      <c r="D2473" t="inlineStr">
        <is>
          <t>Mensual</t>
        </is>
      </c>
      <c r="E2473" t="inlineStr">
        <is>
          <t>Positivo</t>
        </is>
      </c>
      <c r="F2473" s="111" t="n">
        <v>45747</v>
      </c>
      <c r="G2473" t="n">
        <v>2025</v>
      </c>
      <c r="H2473" t="inlineStr">
        <is>
          <t>Marzo</t>
        </is>
      </c>
      <c r="I2473" t="inlineStr">
        <is>
          <t>2025-1</t>
        </is>
      </c>
      <c r="J2473" t="n">
        <v>80</v>
      </c>
      <c r="K2473" t="n">
        <v>100</v>
      </c>
      <c r="L2473" s="39">
        <f>IFERROR(IF(OR(J2473=0,K2473=""),"",IF(E2473="Positivo",MIN(MAX(K2473/J2473,0),1.3),MIN(MAX(J2473/K2473,0),1.3))),"") </f>
        <v/>
      </c>
      <c r="M2473" s="39">
        <f>IFERROR(IF(OR(J2473=0,K2473=""),"",IF(E2473="Positivo",MAX(K2473/J2473,0),MAX(J2473/K2473,0))),"") </f>
        <v/>
      </c>
      <c r="P2473" t="n">
        <v>0</v>
      </c>
      <c r="Q2473" t="n">
        <v>0</v>
      </c>
      <c r="R2473" t="inlineStr">
        <is>
          <t>485-2025-03-31</t>
        </is>
      </c>
    </row>
    <row r="2474">
      <c r="A2474" t="n">
        <v>485</v>
      </c>
      <c r="B2474" t="inlineStr">
        <is>
          <t>Oportunidad en el cierre de acciones</t>
        </is>
      </c>
      <c r="C2474" t="inlineStr">
        <is>
          <t>Gestión de calidad</t>
        </is>
      </c>
      <c r="D2474" t="inlineStr">
        <is>
          <t>Mensual</t>
        </is>
      </c>
      <c r="E2474" t="inlineStr">
        <is>
          <t>Positivo</t>
        </is>
      </c>
      <c r="F2474" s="111" t="n">
        <v>45777</v>
      </c>
      <c r="G2474" t="n">
        <v>2025</v>
      </c>
      <c r="H2474" t="inlineStr">
        <is>
          <t>Abril</t>
        </is>
      </c>
      <c r="I2474" t="inlineStr">
        <is>
          <t>2025-1</t>
        </is>
      </c>
      <c r="J2474" t="n">
        <v>80</v>
      </c>
      <c r="K2474" t="n">
        <v>100</v>
      </c>
      <c r="L2474" s="39">
        <f>IFERROR(IF(OR(J2474=0,K2474=""),"",IF(E2474="Positivo",MIN(MAX(K2474/J2474,0),1.3),MIN(MAX(J2474/K2474,0),1.3))),"") </f>
        <v/>
      </c>
      <c r="M2474" s="39">
        <f>IFERROR(IF(OR(J2474=0,K2474=""),"",IF(E2474="Positivo",MAX(K2474/J2474,0),MAX(J2474/K2474,0))),"") </f>
        <v/>
      </c>
      <c r="P2474" t="n">
        <v>0</v>
      </c>
      <c r="Q2474" t="n">
        <v>0</v>
      </c>
      <c r="R2474" t="inlineStr">
        <is>
          <t>485-2025-04-30</t>
        </is>
      </c>
    </row>
    <row r="2475">
      <c r="A2475" t="n">
        <v>485</v>
      </c>
      <c r="B2475" t="inlineStr">
        <is>
          <t>Oportunidad en el cierre de acciones</t>
        </is>
      </c>
      <c r="C2475" t="inlineStr">
        <is>
          <t>Gestión de calidad</t>
        </is>
      </c>
      <c r="D2475" t="inlineStr">
        <is>
          <t>Mensual</t>
        </is>
      </c>
      <c r="E2475" t="inlineStr">
        <is>
          <t>Positivo</t>
        </is>
      </c>
      <c r="F2475" s="111" t="n">
        <v>45808</v>
      </c>
      <c r="G2475" t="n">
        <v>2025</v>
      </c>
      <c r="H2475" t="inlineStr">
        <is>
          <t>Mayo</t>
        </is>
      </c>
      <c r="I2475" t="inlineStr">
        <is>
          <t>2025-1</t>
        </is>
      </c>
      <c r="J2475" t="n">
        <v>80</v>
      </c>
      <c r="K2475" t="n">
        <v>100</v>
      </c>
      <c r="L2475" s="39">
        <f>IFERROR(IF(OR(J2475=0,K2475=""),"",IF(E2475="Positivo",MIN(MAX(K2475/J2475,0),1.3),MIN(MAX(J2475/K2475,0),1.3))),"") </f>
        <v/>
      </c>
      <c r="M2475" s="39">
        <f>IFERROR(IF(OR(J2475=0,K2475=""),"",IF(E2475="Positivo",MAX(K2475/J2475,0),MAX(J2475/K2475,0))),"") </f>
        <v/>
      </c>
      <c r="P2475" t="n">
        <v>0</v>
      </c>
      <c r="Q2475" t="n">
        <v>0</v>
      </c>
      <c r="R2475" t="inlineStr">
        <is>
          <t>485-2025-05-31</t>
        </is>
      </c>
    </row>
    <row r="2476">
      <c r="A2476" t="n">
        <v>485</v>
      </c>
      <c r="B2476" t="inlineStr">
        <is>
          <t>Oportunidad en el cierre de acciones</t>
        </is>
      </c>
      <c r="C2476" t="inlineStr">
        <is>
          <t>Gestión de calidad</t>
        </is>
      </c>
      <c r="D2476" t="inlineStr">
        <is>
          <t>Mensual</t>
        </is>
      </c>
      <c r="E2476" t="inlineStr">
        <is>
          <t>Positivo</t>
        </is>
      </c>
      <c r="F2476" s="111" t="n">
        <v>45838</v>
      </c>
      <c r="G2476" t="n">
        <v>2025</v>
      </c>
      <c r="H2476" t="inlineStr">
        <is>
          <t>Junio</t>
        </is>
      </c>
      <c r="I2476" t="inlineStr">
        <is>
          <t>2025-1</t>
        </is>
      </c>
      <c r="J2476" t="n">
        <v>80</v>
      </c>
      <c r="K2476" t="n">
        <v>66.67</v>
      </c>
      <c r="L2476" s="39">
        <f>IFERROR(IF(OR(J2476=0,K2476=""),"",IF(E2476="Positivo",MIN(MAX(K2476/J2476,0),1.3),MIN(MAX(J2476/K2476,0),1.3))),"") </f>
        <v/>
      </c>
      <c r="M2476" s="39">
        <f>IFERROR(IF(OR(J2476=0,K2476=""),"",IF(E2476="Positivo",MAX(K2476/J2476,0),MAX(J2476/K2476,0))),"") </f>
        <v/>
      </c>
      <c r="P2476" t="n">
        <v>0</v>
      </c>
      <c r="Q2476" t="n">
        <v>0</v>
      </c>
      <c r="R2476" t="inlineStr">
        <is>
          <t>485-2025-06-30</t>
        </is>
      </c>
    </row>
    <row r="2477">
      <c r="A2477" t="n">
        <v>485</v>
      </c>
      <c r="B2477" t="inlineStr">
        <is>
          <t>Oportunidad en el cierre de acciones</t>
        </is>
      </c>
      <c r="C2477" t="inlineStr">
        <is>
          <t>Gestión de calidad</t>
        </is>
      </c>
      <c r="D2477" t="inlineStr">
        <is>
          <t>Mensual</t>
        </is>
      </c>
      <c r="E2477" t="inlineStr">
        <is>
          <t>Positivo</t>
        </is>
      </c>
      <c r="F2477" s="111" t="n">
        <v>45869</v>
      </c>
      <c r="G2477" t="n">
        <v>2025</v>
      </c>
      <c r="H2477" t="inlineStr">
        <is>
          <t>Julio</t>
        </is>
      </c>
      <c r="I2477" t="inlineStr">
        <is>
          <t>2025-2</t>
        </is>
      </c>
      <c r="J2477" t="n">
        <v>80</v>
      </c>
      <c r="K2477" t="n">
        <v>66.67</v>
      </c>
      <c r="L2477" s="39">
        <f>IFERROR(IF(OR(J2477=0,K2477=""),"",IF(E2477="Positivo",MIN(MAX(K2477/J2477,0),1.3),MIN(MAX(J2477/K2477,0),1.3))),"") </f>
        <v/>
      </c>
      <c r="M2477" s="39">
        <f>IFERROR(IF(OR(J2477=0,K2477=""),"",IF(E2477="Positivo",MAX(K2477/J2477,0),MAX(J2477/K2477,0))),"") </f>
        <v/>
      </c>
      <c r="P2477" t="n">
        <v>0</v>
      </c>
      <c r="Q2477" t="n">
        <v>0</v>
      </c>
      <c r="R2477" t="inlineStr">
        <is>
          <t>485-2025-07-31</t>
        </is>
      </c>
    </row>
    <row r="2478">
      <c r="A2478" t="n">
        <v>485</v>
      </c>
      <c r="B2478" t="inlineStr">
        <is>
          <t>Oportunidad en el cierre de acciones</t>
        </is>
      </c>
      <c r="C2478" t="inlineStr">
        <is>
          <t>Gestión de calidad</t>
        </is>
      </c>
      <c r="D2478" t="inlineStr">
        <is>
          <t>Mensual</t>
        </is>
      </c>
      <c r="E2478" t="inlineStr">
        <is>
          <t>Positivo</t>
        </is>
      </c>
      <c r="F2478" s="111" t="n">
        <v>45900</v>
      </c>
      <c r="G2478" t="n">
        <v>2025</v>
      </c>
      <c r="H2478" t="inlineStr">
        <is>
          <t>Agosto</t>
        </is>
      </c>
      <c r="I2478" t="inlineStr">
        <is>
          <t>2025-2</t>
        </is>
      </c>
      <c r="J2478" t="n">
        <v>80</v>
      </c>
      <c r="K2478" t="n">
        <v>200</v>
      </c>
      <c r="L2478" s="39">
        <f>IFERROR(IF(OR(J2478=0,K2478=""),"",IF(E2478="Positivo",MIN(MAX(K2478/J2478,0),1.3),MIN(MAX(J2478/K2478,0),1.3))),"") </f>
        <v/>
      </c>
      <c r="M2478" s="39">
        <f>IFERROR(IF(OR(J2478=0,K2478=""),"",IF(E2478="Positivo",MAX(K2478/J2478,0),MAX(J2478/K2478,0))),"") </f>
        <v/>
      </c>
      <c r="N2478" t="inlineStr">
        <is>
          <t>%</t>
        </is>
      </c>
      <c r="O2478" t="inlineStr">
        <is>
          <t>%</t>
        </is>
      </c>
      <c r="P2478" t="n">
        <v>0</v>
      </c>
      <c r="Q2478" t="n">
        <v>0</v>
      </c>
      <c r="R2478" t="inlineStr">
        <is>
          <t>485-2025-08-31</t>
        </is>
      </c>
    </row>
    <row r="2479">
      <c r="A2479" t="n">
        <v>485</v>
      </c>
      <c r="B2479" t="inlineStr">
        <is>
          <t>Oportunidad en el cierre de acciones</t>
        </is>
      </c>
      <c r="C2479" t="inlineStr">
        <is>
          <t>Gestión de calidad</t>
        </is>
      </c>
      <c r="D2479" t="inlineStr">
        <is>
          <t>Mensual</t>
        </is>
      </c>
      <c r="E2479" t="inlineStr">
        <is>
          <t>Positivo</t>
        </is>
      </c>
      <c r="F2479" s="111" t="n">
        <v>45930</v>
      </c>
      <c r="G2479" t="n">
        <v>2025</v>
      </c>
      <c r="H2479" t="inlineStr">
        <is>
          <t>Septiembre</t>
        </is>
      </c>
      <c r="I2479" t="inlineStr">
        <is>
          <t>2025-2</t>
        </is>
      </c>
      <c r="J2479" t="n">
        <v>80</v>
      </c>
      <c r="K2479" t="n">
        <v>62.5</v>
      </c>
      <c r="L2479" s="39">
        <f>IFERROR(IF(OR(J2479=0,K2479=""),"",IF(E2479="Positivo",MIN(MAX(K2479/J2479,0),1.3),MIN(MAX(J2479/K2479,0),1.3))),"") </f>
        <v/>
      </c>
      <c r="M2479" s="39">
        <f>IFERROR(IF(OR(J2479=0,K2479=""),"",IF(E2479="Positivo",MAX(K2479/J2479,0),MAX(J2479/K2479,0))),"") </f>
        <v/>
      </c>
      <c r="N2479" t="inlineStr">
        <is>
          <t>%</t>
        </is>
      </c>
      <c r="O2479" t="inlineStr">
        <is>
          <t>%</t>
        </is>
      </c>
      <c r="P2479" t="n">
        <v>0</v>
      </c>
      <c r="Q2479" t="n">
        <v>0</v>
      </c>
      <c r="R2479" t="inlineStr">
        <is>
          <t>485-2025-09-30</t>
        </is>
      </c>
    </row>
    <row r="2480">
      <c r="A2480" t="n">
        <v>485</v>
      </c>
      <c r="B2480" t="inlineStr">
        <is>
          <t>Oportunidad en el cierre de acciones</t>
        </is>
      </c>
      <c r="C2480" t="inlineStr">
        <is>
          <t>Gestión de calidad</t>
        </is>
      </c>
      <c r="D2480" t="inlineStr">
        <is>
          <t>Mensual</t>
        </is>
      </c>
      <c r="E2480" t="inlineStr">
        <is>
          <t>Positivo</t>
        </is>
      </c>
      <c r="F2480" s="111" t="n">
        <v>45961</v>
      </c>
      <c r="G2480" t="n">
        <v>2025</v>
      </c>
      <c r="H2480" t="inlineStr">
        <is>
          <t>Octubre</t>
        </is>
      </c>
      <c r="I2480" t="inlineStr">
        <is>
          <t>2025-2</t>
        </is>
      </c>
      <c r="J2480" t="n">
        <v>80</v>
      </c>
      <c r="K2480" t="n">
        <v>100</v>
      </c>
      <c r="L2480" s="39">
        <f>IFERROR(IF(OR(J2480=0,K2480=""),"",IF(E2480="Positivo",MIN(MAX(K2480/J2480,0),1.3),MIN(MAX(J2480/K2480,0),1.3))),"") </f>
        <v/>
      </c>
      <c r="M2480" s="39">
        <f>IFERROR(IF(OR(J2480=0,K2480=""),"",IF(E2480="Positivo",MAX(K2480/J2480,0),MAX(J2480/K2480,0))),"") </f>
        <v/>
      </c>
      <c r="N2480" t="inlineStr">
        <is>
          <t>%</t>
        </is>
      </c>
      <c r="O2480" t="inlineStr">
        <is>
          <t>%</t>
        </is>
      </c>
      <c r="P2480" t="n">
        <v>0</v>
      </c>
      <c r="Q2480" t="n">
        <v>0</v>
      </c>
      <c r="R2480" t="inlineStr">
        <is>
          <t>485-2025-10-31</t>
        </is>
      </c>
    </row>
    <row r="2481">
      <c r="A2481" t="n">
        <v>485</v>
      </c>
      <c r="B2481" t="inlineStr">
        <is>
          <t>Oportunidad en el cierre de acciones</t>
        </is>
      </c>
      <c r="C2481" t="inlineStr">
        <is>
          <t>Gestión de calidad</t>
        </is>
      </c>
      <c r="D2481" t="inlineStr">
        <is>
          <t>Mensual</t>
        </is>
      </c>
      <c r="E2481" t="inlineStr">
        <is>
          <t>Positivo</t>
        </is>
      </c>
      <c r="F2481" s="111" t="n">
        <v>45991</v>
      </c>
      <c r="G2481" t="n">
        <v>2025</v>
      </c>
      <c r="H2481" t="inlineStr">
        <is>
          <t>Noviembre</t>
        </is>
      </c>
      <c r="I2481" t="inlineStr">
        <is>
          <t>2025-2</t>
        </is>
      </c>
      <c r="J2481" t="n">
        <v>80</v>
      </c>
      <c r="K2481" t="n">
        <v>85.70999999999999</v>
      </c>
      <c r="L2481" s="39">
        <f>IFERROR(IF(OR(J2481=0,K2481=""),"",IF(E2481="Positivo",MIN(MAX(K2481/J2481,0),1.3),MIN(MAX(J2481/K2481,0),1.3))),"") </f>
        <v/>
      </c>
      <c r="M2481" s="39">
        <f>IFERROR(IF(OR(J2481=0,K2481=""),"",IF(E2481="Positivo",MAX(K2481/J2481,0),MAX(J2481/K2481,0))),"") </f>
        <v/>
      </c>
      <c r="N2481" t="inlineStr">
        <is>
          <t>%</t>
        </is>
      </c>
      <c r="O2481" t="inlineStr">
        <is>
          <t>%</t>
        </is>
      </c>
      <c r="P2481" t="n">
        <v>0</v>
      </c>
      <c r="Q2481" t="n">
        <v>0</v>
      </c>
      <c r="R2481" t="inlineStr">
        <is>
          <t>485-2025-11-30</t>
        </is>
      </c>
    </row>
    <row r="2482">
      <c r="A2482" t="n">
        <v>485</v>
      </c>
      <c r="B2482" t="inlineStr">
        <is>
          <t>Oportunidad en el cierre de acciones</t>
        </is>
      </c>
      <c r="C2482" t="inlineStr">
        <is>
          <t>Gestión de calidad</t>
        </is>
      </c>
      <c r="D2482" t="inlineStr">
        <is>
          <t>Mensual</t>
        </is>
      </c>
      <c r="E2482" t="inlineStr">
        <is>
          <t>Positivo</t>
        </is>
      </c>
      <c r="F2482" s="111" t="n">
        <v>46022</v>
      </c>
      <c r="G2482" t="n">
        <v>2025</v>
      </c>
      <c r="H2482" t="inlineStr">
        <is>
          <t>Diciembre</t>
        </is>
      </c>
      <c r="I2482" t="inlineStr">
        <is>
          <t>2025-2</t>
        </is>
      </c>
      <c r="J2482" t="n">
        <v>80</v>
      </c>
      <c r="L2482" s="39" t="n"/>
      <c r="M2482" s="39" t="n"/>
      <c r="N2482" t="inlineStr">
        <is>
          <t>%</t>
        </is>
      </c>
      <c r="O2482" t="inlineStr">
        <is>
          <t>No Aplica</t>
        </is>
      </c>
      <c r="P2482" t="n">
        <v>0</v>
      </c>
      <c r="Q2482" t="n">
        <v>0</v>
      </c>
      <c r="R2482" t="inlineStr">
        <is>
          <t>485-2025-12-31</t>
        </is>
      </c>
      <c r="S2482" t="inlineStr">
        <is>
          <t>No Aplica</t>
        </is>
      </c>
    </row>
    <row r="2483">
      <c r="A2483" t="n">
        <v>486</v>
      </c>
      <c r="B2483" t="inlineStr">
        <is>
          <t>Número de visitas a la página web</t>
        </is>
      </c>
      <c r="C2483" t="inlineStr">
        <is>
          <t>Comunicaciones Internas</t>
        </is>
      </c>
      <c r="D2483" t="inlineStr">
        <is>
          <t>Semestral</t>
        </is>
      </c>
      <c r="E2483" t="inlineStr">
        <is>
          <t>Positivo</t>
        </is>
      </c>
      <c r="F2483" s="111" t="n">
        <v>45473</v>
      </c>
      <c r="G2483" t="n">
        <v>2024</v>
      </c>
      <c r="H2483" t="inlineStr">
        <is>
          <t>Junio</t>
        </is>
      </c>
      <c r="I2483" t="inlineStr">
        <is>
          <t>2024-1</t>
        </is>
      </c>
      <c r="K2483" t="n">
        <v>4900000</v>
      </c>
      <c r="L2483" s="39" t="n"/>
      <c r="M2483" s="39" t="n"/>
      <c r="N2483" t="inlineStr">
        <is>
          <t>No Aplica</t>
        </is>
      </c>
      <c r="O2483" t="inlineStr">
        <is>
          <t>No Aplica</t>
        </is>
      </c>
      <c r="P2483" t="n">
        <v>0</v>
      </c>
      <c r="Q2483" t="n">
        <v>0</v>
      </c>
      <c r="R2483" t="inlineStr">
        <is>
          <t>486-2024-06-30</t>
        </is>
      </c>
    </row>
    <row r="2484">
      <c r="A2484" t="n">
        <v>486</v>
      </c>
      <c r="B2484" t="inlineStr">
        <is>
          <t>Número de visitas a la página web</t>
        </is>
      </c>
      <c r="C2484" t="inlineStr">
        <is>
          <t>Comunicaciones Internas</t>
        </is>
      </c>
      <c r="D2484" t="inlineStr">
        <is>
          <t>Semestral</t>
        </is>
      </c>
      <c r="E2484" t="inlineStr">
        <is>
          <t>Positivo</t>
        </is>
      </c>
      <c r="F2484" s="111" t="n">
        <v>45657</v>
      </c>
      <c r="G2484" t="n">
        <v>2024</v>
      </c>
      <c r="H2484" t="inlineStr">
        <is>
          <t>Diciembre</t>
        </is>
      </c>
      <c r="I2484" t="inlineStr">
        <is>
          <t>2024-2</t>
        </is>
      </c>
      <c r="K2484" t="n">
        <v>2700000</v>
      </c>
      <c r="L2484" s="39" t="n"/>
      <c r="M2484" s="39" t="n"/>
      <c r="N2484" t="inlineStr">
        <is>
          <t>No Aplica</t>
        </is>
      </c>
      <c r="O2484" t="inlineStr">
        <is>
          <t>No Aplica</t>
        </is>
      </c>
      <c r="P2484" t="n">
        <v>0</v>
      </c>
      <c r="Q2484" t="n">
        <v>0</v>
      </c>
      <c r="R2484" t="inlineStr">
        <is>
          <t>486-2024-12-31</t>
        </is>
      </c>
    </row>
    <row r="2485">
      <c r="A2485" t="n">
        <v>486</v>
      </c>
      <c r="B2485" t="inlineStr">
        <is>
          <t>Número de visitas a la página web</t>
        </is>
      </c>
      <c r="C2485" t="inlineStr">
        <is>
          <t>Comunicaciones Internas</t>
        </is>
      </c>
      <c r="D2485" t="inlineStr">
        <is>
          <t>Trimestral</t>
        </is>
      </c>
      <c r="E2485" t="inlineStr">
        <is>
          <t>Positivo</t>
        </is>
      </c>
      <c r="F2485" s="111" t="n">
        <v>45838</v>
      </c>
      <c r="G2485" t="n">
        <v>2025</v>
      </c>
      <c r="H2485" t="inlineStr">
        <is>
          <t>Junio</t>
        </is>
      </c>
      <c r="I2485" t="inlineStr">
        <is>
          <t>2025-1</t>
        </is>
      </c>
      <c r="K2485" t="n">
        <v>2890610</v>
      </c>
      <c r="L2485" s="39" t="n"/>
      <c r="M2485" s="39" t="n"/>
      <c r="N2485" t="inlineStr">
        <is>
          <t>%</t>
        </is>
      </c>
      <c r="O2485" t="inlineStr">
        <is>
          <t>%</t>
        </is>
      </c>
      <c r="P2485" t="n">
        <v>0</v>
      </c>
      <c r="Q2485" t="n">
        <v>0</v>
      </c>
      <c r="R2485" t="inlineStr">
        <is>
          <t>486-2025-06-30</t>
        </is>
      </c>
    </row>
    <row r="2486">
      <c r="A2486" t="n">
        <v>486</v>
      </c>
      <c r="B2486" t="inlineStr">
        <is>
          <t>Número de visitas a la página web</t>
        </is>
      </c>
      <c r="C2486" t="inlineStr">
        <is>
          <t>Comunicaciones Internas</t>
        </is>
      </c>
      <c r="D2486" t="inlineStr">
        <is>
          <t>Trimestral</t>
        </is>
      </c>
      <c r="E2486" t="inlineStr">
        <is>
          <t>Positivo</t>
        </is>
      </c>
      <c r="F2486" s="111" t="n">
        <v>46022</v>
      </c>
      <c r="G2486" t="n">
        <v>2025</v>
      </c>
      <c r="H2486" t="inlineStr">
        <is>
          <t>Diciembre</t>
        </is>
      </c>
      <c r="I2486" t="inlineStr">
        <is>
          <t>2025-2</t>
        </is>
      </c>
      <c r="K2486" t="n">
        <v>2703941</v>
      </c>
      <c r="L2486" s="39" t="n"/>
      <c r="M2486" s="39" t="n"/>
      <c r="N2486" t="inlineStr">
        <is>
          <t>%</t>
        </is>
      </c>
      <c r="O2486" t="inlineStr">
        <is>
          <t>%</t>
        </is>
      </c>
      <c r="P2486" t="n">
        <v>0</v>
      </c>
      <c r="Q2486" t="n">
        <v>0</v>
      </c>
      <c r="R2486" t="inlineStr">
        <is>
          <t>486-2025-12-31</t>
        </is>
      </c>
    </row>
    <row r="2487">
      <c r="A2487" t="n">
        <v>487</v>
      </c>
      <c r="B2487" t="inlineStr">
        <is>
          <t>Impactados Talleres de formación</t>
        </is>
      </c>
      <c r="C2487" t="inlineStr">
        <is>
          <t>Centro de Medios Audiovisuales</t>
        </is>
      </c>
      <c r="D2487" t="inlineStr">
        <is>
          <t>Anual</t>
        </is>
      </c>
      <c r="E2487" t="inlineStr">
        <is>
          <t>Positivo</t>
        </is>
      </c>
      <c r="F2487" s="111" t="n">
        <v>45657</v>
      </c>
      <c r="G2487" t="n">
        <v>2024</v>
      </c>
      <c r="H2487" t="inlineStr">
        <is>
          <t>Diciembre</t>
        </is>
      </c>
      <c r="I2487" t="inlineStr">
        <is>
          <t>2024-2</t>
        </is>
      </c>
      <c r="J2487" t="n">
        <v>20</v>
      </c>
      <c r="K2487" t="n">
        <v>6.06</v>
      </c>
      <c r="L2487" s="39">
        <f>IFERROR(IF(OR(J2487=0,K2487=""),"",IF(E2487="Positivo",MIN(MAX(K2487/J2487,0),1.3),MIN(MAX(J2487/K2487,0),1.3))),"") </f>
        <v/>
      </c>
      <c r="M2487" s="39">
        <f>IFERROR(IF(OR(J2487=0,K2487=""),"",IF(E2487="Positivo",MAX(K2487/J2487,0),MAX(J2487/K2487,0))),"") </f>
        <v/>
      </c>
      <c r="P2487" t="n">
        <v>0</v>
      </c>
      <c r="Q2487" t="n">
        <v>0</v>
      </c>
      <c r="R2487" t="inlineStr">
        <is>
          <t>487-2024-12-31</t>
        </is>
      </c>
    </row>
    <row r="2488">
      <c r="A2488" t="n">
        <v>487</v>
      </c>
      <c r="B2488" t="inlineStr">
        <is>
          <t>Número Impactados Talleres de formación</t>
        </is>
      </c>
      <c r="C2488" t="inlineStr">
        <is>
          <t>Centro de Medios Audiovisuales</t>
        </is>
      </c>
      <c r="D2488" t="inlineStr">
        <is>
          <t>Anual</t>
        </is>
      </c>
      <c r="E2488" t="inlineStr">
        <is>
          <t>Positivo</t>
        </is>
      </c>
      <c r="F2488" s="111" t="n">
        <v>46022</v>
      </c>
      <c r="G2488" t="n">
        <v>2025</v>
      </c>
      <c r="H2488" t="inlineStr">
        <is>
          <t>Diciembre</t>
        </is>
      </c>
      <c r="I2488" t="inlineStr">
        <is>
          <t>2025-2</t>
        </is>
      </c>
      <c r="J2488" t="n">
        <v>20</v>
      </c>
      <c r="K2488" t="n">
        <v>58.86</v>
      </c>
      <c r="L2488" s="39">
        <f>IFERROR(IF(OR(J2488=0,K2488=""),"",IF(E2488="Positivo",MIN(MAX(K2488/J2488,0),1.3),MIN(MAX(J2488/K2488,0),1.3))),"") </f>
        <v/>
      </c>
      <c r="M2488" s="39">
        <f>IFERROR(IF(OR(J2488=0,K2488=""),"",IF(E2488="Positivo",MAX(K2488/J2488,0),MAX(J2488/K2488,0))),"") </f>
        <v/>
      </c>
      <c r="N2488" t="inlineStr">
        <is>
          <t>%</t>
        </is>
      </c>
      <c r="O2488" t="inlineStr">
        <is>
          <t>%</t>
        </is>
      </c>
      <c r="P2488" t="n">
        <v>0</v>
      </c>
      <c r="Q2488" t="n">
        <v>0</v>
      </c>
      <c r="R2488" t="inlineStr">
        <is>
          <t>487-2025-12-31</t>
        </is>
      </c>
    </row>
    <row r="2489">
      <c r="A2489" t="n">
        <v>488</v>
      </c>
      <c r="B2489" t="inlineStr">
        <is>
          <t>Oportunidad en el cierre de actividades de los planes de mejora</t>
        </is>
      </c>
      <c r="C2489" t="inlineStr">
        <is>
          <t>Gestión de calidad</t>
        </is>
      </c>
      <c r="D2489" t="inlineStr">
        <is>
          <t>Mensual</t>
        </is>
      </c>
      <c r="E2489" t="inlineStr">
        <is>
          <t>Positivo</t>
        </is>
      </c>
      <c r="F2489" s="111" t="n">
        <v>45322</v>
      </c>
      <c r="G2489" t="n">
        <v>2024</v>
      </c>
      <c r="H2489" t="inlineStr">
        <is>
          <t>Enero</t>
        </is>
      </c>
      <c r="I2489" t="inlineStr">
        <is>
          <t>2024-1</t>
        </is>
      </c>
      <c r="L2489" s="39" t="n"/>
      <c r="M2489" s="39" t="n"/>
      <c r="N2489" t="inlineStr">
        <is>
          <t>%</t>
        </is>
      </c>
      <c r="O2489" t="inlineStr">
        <is>
          <t>No Aplica</t>
        </is>
      </c>
      <c r="P2489" t="n">
        <v>0</v>
      </c>
      <c r="Q2489" t="n">
        <v>0</v>
      </c>
      <c r="R2489" t="inlineStr">
        <is>
          <t>488-2024-01-31</t>
        </is>
      </c>
      <c r="S2489" t="inlineStr">
        <is>
          <t>No Aplica</t>
        </is>
      </c>
    </row>
    <row r="2490">
      <c r="A2490" t="n">
        <v>488</v>
      </c>
      <c r="B2490" t="inlineStr">
        <is>
          <t>Oportunidad en el cierre de actividades de los planes de mejora</t>
        </is>
      </c>
      <c r="C2490" t="inlineStr">
        <is>
          <t>Gestión de calidad</t>
        </is>
      </c>
      <c r="D2490" t="inlineStr">
        <is>
          <t>Mensual</t>
        </is>
      </c>
      <c r="E2490" t="inlineStr">
        <is>
          <t>Positivo</t>
        </is>
      </c>
      <c r="F2490" s="111" t="n">
        <v>45351</v>
      </c>
      <c r="G2490" t="n">
        <v>2024</v>
      </c>
      <c r="H2490" t="inlineStr">
        <is>
          <t>Febrero</t>
        </is>
      </c>
      <c r="I2490" t="inlineStr">
        <is>
          <t>2024-1</t>
        </is>
      </c>
      <c r="L2490" s="39" t="n"/>
      <c r="M2490" s="39" t="n"/>
      <c r="N2490" t="inlineStr">
        <is>
          <t>%</t>
        </is>
      </c>
      <c r="O2490" t="inlineStr">
        <is>
          <t>No Aplica</t>
        </is>
      </c>
      <c r="P2490" t="n">
        <v>0</v>
      </c>
      <c r="Q2490" t="n">
        <v>0</v>
      </c>
      <c r="R2490" t="inlineStr">
        <is>
          <t>488-2024-02-29</t>
        </is>
      </c>
      <c r="S2490" t="inlineStr">
        <is>
          <t>No Aplica</t>
        </is>
      </c>
    </row>
    <row r="2491">
      <c r="A2491" t="n">
        <v>488</v>
      </c>
      <c r="B2491" t="inlineStr">
        <is>
          <t>Oportunidad en el cierre de actividades de los planes de mejora</t>
        </is>
      </c>
      <c r="C2491" t="inlineStr">
        <is>
          <t>Gestión de calidad</t>
        </is>
      </c>
      <c r="D2491" t="inlineStr">
        <is>
          <t>Mensual</t>
        </is>
      </c>
      <c r="E2491" t="inlineStr">
        <is>
          <t>Positivo</t>
        </is>
      </c>
      <c r="F2491" s="111" t="n">
        <v>45382</v>
      </c>
      <c r="G2491" t="n">
        <v>2024</v>
      </c>
      <c r="H2491" t="inlineStr">
        <is>
          <t>Marzo</t>
        </is>
      </c>
      <c r="I2491" t="inlineStr">
        <is>
          <t>2024-1</t>
        </is>
      </c>
      <c r="L2491" s="39" t="n"/>
      <c r="M2491" s="39" t="n"/>
      <c r="N2491" t="inlineStr">
        <is>
          <t>%</t>
        </is>
      </c>
      <c r="O2491" t="inlineStr">
        <is>
          <t>No Aplica</t>
        </is>
      </c>
      <c r="P2491" t="n">
        <v>0</v>
      </c>
      <c r="Q2491" t="n">
        <v>0</v>
      </c>
      <c r="R2491" t="inlineStr">
        <is>
          <t>488-2024-03-31</t>
        </is>
      </c>
      <c r="S2491" t="inlineStr">
        <is>
          <t>No Aplica</t>
        </is>
      </c>
    </row>
    <row r="2492">
      <c r="A2492" t="n">
        <v>488</v>
      </c>
      <c r="B2492" t="inlineStr">
        <is>
          <t>Oportunidad en el cierre de actividades de los planes de mejora</t>
        </is>
      </c>
      <c r="C2492" t="inlineStr">
        <is>
          <t>Gestión de calidad</t>
        </is>
      </c>
      <c r="D2492" t="inlineStr">
        <is>
          <t>Mensual</t>
        </is>
      </c>
      <c r="E2492" t="inlineStr">
        <is>
          <t>Positivo</t>
        </is>
      </c>
      <c r="F2492" s="111" t="n">
        <v>45412</v>
      </c>
      <c r="G2492" t="n">
        <v>2024</v>
      </c>
      <c r="H2492" t="inlineStr">
        <is>
          <t>Abril</t>
        </is>
      </c>
      <c r="I2492" t="inlineStr">
        <is>
          <t>2024-1</t>
        </is>
      </c>
      <c r="L2492" s="39" t="n"/>
      <c r="M2492" s="39" t="n"/>
      <c r="N2492" t="inlineStr">
        <is>
          <t>%</t>
        </is>
      </c>
      <c r="O2492" t="inlineStr">
        <is>
          <t>No Aplica</t>
        </is>
      </c>
      <c r="P2492" t="n">
        <v>0</v>
      </c>
      <c r="Q2492" t="n">
        <v>0</v>
      </c>
      <c r="R2492" t="inlineStr">
        <is>
          <t>488-2024-04-30</t>
        </is>
      </c>
      <c r="S2492" t="inlineStr">
        <is>
          <t>No Aplica</t>
        </is>
      </c>
    </row>
    <row r="2493">
      <c r="A2493" t="n">
        <v>488</v>
      </c>
      <c r="B2493" t="inlineStr">
        <is>
          <t>Oportunidad en el cierre de actividades de los planes de mejora</t>
        </is>
      </c>
      <c r="C2493" t="inlineStr">
        <is>
          <t>Gestión de calidad</t>
        </is>
      </c>
      <c r="D2493" t="inlineStr">
        <is>
          <t>Mensual</t>
        </is>
      </c>
      <c r="E2493" t="inlineStr">
        <is>
          <t>Positivo</t>
        </is>
      </c>
      <c r="F2493" s="111" t="n">
        <v>45443</v>
      </c>
      <c r="G2493" t="n">
        <v>2024</v>
      </c>
      <c r="H2493" t="inlineStr">
        <is>
          <t>Mayo</t>
        </is>
      </c>
      <c r="I2493" t="inlineStr">
        <is>
          <t>2024-1</t>
        </is>
      </c>
      <c r="L2493" s="39" t="n"/>
      <c r="M2493" s="39" t="n"/>
      <c r="N2493" t="inlineStr">
        <is>
          <t>%</t>
        </is>
      </c>
      <c r="O2493" t="inlineStr">
        <is>
          <t>No Aplica</t>
        </is>
      </c>
      <c r="P2493" t="n">
        <v>0</v>
      </c>
      <c r="Q2493" t="n">
        <v>0</v>
      </c>
      <c r="R2493" t="inlineStr">
        <is>
          <t>488-2024-05-31</t>
        </is>
      </c>
      <c r="S2493" t="inlineStr">
        <is>
          <t>No Aplica</t>
        </is>
      </c>
    </row>
    <row r="2494">
      <c r="A2494" t="n">
        <v>488</v>
      </c>
      <c r="B2494" t="inlineStr">
        <is>
          <t>Oportunidad en el cierre de actividades de los planes de mejora</t>
        </is>
      </c>
      <c r="C2494" t="inlineStr">
        <is>
          <t>Gestión de calidad</t>
        </is>
      </c>
      <c r="D2494" t="inlineStr">
        <is>
          <t>Mensual</t>
        </is>
      </c>
      <c r="E2494" t="inlineStr">
        <is>
          <t>Positivo</t>
        </is>
      </c>
      <c r="F2494" s="111" t="n">
        <v>45473</v>
      </c>
      <c r="G2494" t="n">
        <v>2024</v>
      </c>
      <c r="H2494" t="inlineStr">
        <is>
          <t>Junio</t>
        </is>
      </c>
      <c r="I2494" t="inlineStr">
        <is>
          <t>2024-1</t>
        </is>
      </c>
      <c r="L2494" s="39" t="n"/>
      <c r="M2494" s="39" t="n"/>
      <c r="N2494" t="inlineStr">
        <is>
          <t>%</t>
        </is>
      </c>
      <c r="O2494" t="inlineStr">
        <is>
          <t>No Aplica</t>
        </is>
      </c>
      <c r="P2494" t="n">
        <v>0</v>
      </c>
      <c r="Q2494" t="n">
        <v>0</v>
      </c>
      <c r="R2494" t="inlineStr">
        <is>
          <t>488-2024-06-30</t>
        </is>
      </c>
      <c r="S2494" t="inlineStr">
        <is>
          <t>No Aplica</t>
        </is>
      </c>
    </row>
    <row r="2495">
      <c r="A2495" t="n">
        <v>488</v>
      </c>
      <c r="B2495" t="inlineStr">
        <is>
          <t>Oportunidad en el cierre de actividades de los planes de mejora</t>
        </is>
      </c>
      <c r="C2495" t="inlineStr">
        <is>
          <t>Gestión de calidad</t>
        </is>
      </c>
      <c r="D2495" t="inlineStr">
        <is>
          <t>Mensual</t>
        </is>
      </c>
      <c r="E2495" t="inlineStr">
        <is>
          <t>Positivo</t>
        </is>
      </c>
      <c r="F2495" s="111" t="n">
        <v>45504</v>
      </c>
      <c r="G2495" t="n">
        <v>2024</v>
      </c>
      <c r="H2495" t="inlineStr">
        <is>
          <t>Julio</t>
        </is>
      </c>
      <c r="I2495" t="inlineStr">
        <is>
          <t>2024-2</t>
        </is>
      </c>
      <c r="L2495" s="39" t="n"/>
      <c r="M2495" s="39" t="n"/>
      <c r="N2495" t="inlineStr">
        <is>
          <t>%</t>
        </is>
      </c>
      <c r="O2495" t="inlineStr">
        <is>
          <t>No Aplica</t>
        </is>
      </c>
      <c r="P2495" t="n">
        <v>0</v>
      </c>
      <c r="Q2495" t="n">
        <v>0</v>
      </c>
      <c r="R2495" t="inlineStr">
        <is>
          <t>488-2024-07-31</t>
        </is>
      </c>
      <c r="S2495" t="inlineStr">
        <is>
          <t>No Aplica</t>
        </is>
      </c>
    </row>
    <row r="2496">
      <c r="A2496" t="n">
        <v>488</v>
      </c>
      <c r="B2496" t="inlineStr">
        <is>
          <t>Oportunidad en el cierre de actividades de los planes de mejora</t>
        </is>
      </c>
      <c r="C2496" t="inlineStr">
        <is>
          <t>Gestión de calidad</t>
        </is>
      </c>
      <c r="D2496" t="inlineStr">
        <is>
          <t>Mensual</t>
        </is>
      </c>
      <c r="E2496" t="inlineStr">
        <is>
          <t>Positivo</t>
        </is>
      </c>
      <c r="F2496" s="111" t="n">
        <v>45535</v>
      </c>
      <c r="G2496" t="n">
        <v>2024</v>
      </c>
      <c r="H2496" t="inlineStr">
        <is>
          <t>Agosto</t>
        </is>
      </c>
      <c r="I2496" t="inlineStr">
        <is>
          <t>2024-2</t>
        </is>
      </c>
      <c r="L2496" s="39" t="n"/>
      <c r="M2496" s="39" t="n"/>
      <c r="N2496" t="inlineStr">
        <is>
          <t>%</t>
        </is>
      </c>
      <c r="O2496" t="inlineStr">
        <is>
          <t>No Aplica</t>
        </is>
      </c>
      <c r="P2496" t="n">
        <v>0</v>
      </c>
      <c r="Q2496" t="n">
        <v>0</v>
      </c>
      <c r="R2496" t="inlineStr">
        <is>
          <t>488-2024-08-31</t>
        </is>
      </c>
      <c r="S2496" t="inlineStr">
        <is>
          <t>No Aplica</t>
        </is>
      </c>
    </row>
    <row r="2497">
      <c r="A2497" t="n">
        <v>488</v>
      </c>
      <c r="B2497" t="inlineStr">
        <is>
          <t>Oportunidad en el cierre de actividades de los planes de mejora</t>
        </is>
      </c>
      <c r="C2497" t="inlineStr">
        <is>
          <t>Gestión de calidad</t>
        </is>
      </c>
      <c r="D2497" t="inlineStr">
        <is>
          <t>Mensual</t>
        </is>
      </c>
      <c r="E2497" t="inlineStr">
        <is>
          <t>Positivo</t>
        </is>
      </c>
      <c r="F2497" s="111" t="n">
        <v>45565</v>
      </c>
      <c r="G2497" t="n">
        <v>2024</v>
      </c>
      <c r="H2497" t="inlineStr">
        <is>
          <t>Septiembre</t>
        </is>
      </c>
      <c r="I2497" t="inlineStr">
        <is>
          <t>2024-2</t>
        </is>
      </c>
      <c r="L2497" s="39" t="n"/>
      <c r="M2497" s="39" t="n"/>
      <c r="N2497" t="inlineStr">
        <is>
          <t>%</t>
        </is>
      </c>
      <c r="O2497" t="inlineStr">
        <is>
          <t>No Aplica</t>
        </is>
      </c>
      <c r="P2497" t="n">
        <v>0</v>
      </c>
      <c r="Q2497" t="n">
        <v>0</v>
      </c>
      <c r="R2497" t="inlineStr">
        <is>
          <t>488-2024-09-30</t>
        </is>
      </c>
      <c r="S2497" t="inlineStr">
        <is>
          <t>No Aplica</t>
        </is>
      </c>
    </row>
    <row r="2498">
      <c r="A2498" t="n">
        <v>488</v>
      </c>
      <c r="B2498" t="inlineStr">
        <is>
          <t>Oportunidad en el cierre de actividades de los planes de mejora</t>
        </is>
      </c>
      <c r="C2498" t="inlineStr">
        <is>
          <t>Gestión de calidad</t>
        </is>
      </c>
      <c r="D2498" t="inlineStr">
        <is>
          <t>Mensual</t>
        </is>
      </c>
      <c r="E2498" t="inlineStr">
        <is>
          <t>Positivo</t>
        </is>
      </c>
      <c r="F2498" s="111" t="n">
        <v>45596</v>
      </c>
      <c r="G2498" t="n">
        <v>2024</v>
      </c>
      <c r="H2498" t="inlineStr">
        <is>
          <t>Octubre</t>
        </is>
      </c>
      <c r="I2498" t="inlineStr">
        <is>
          <t>2024-2</t>
        </is>
      </c>
      <c r="J2498" t="n">
        <v>85</v>
      </c>
      <c r="K2498" t="n">
        <v>91.78082191780824</v>
      </c>
      <c r="L2498" s="39">
        <f>IFERROR(IF(OR(J2498=0,K2498=""),"",IF(E2498="Positivo",MIN(MAX(K2498/J2498,0),1.3),MIN(MAX(J2498/K2498,0),1.3))),"") </f>
        <v/>
      </c>
      <c r="M2498" s="39">
        <f>IFERROR(IF(OR(J2498=0,K2498=""),"",IF(E2498="Positivo",MAX(K2498/J2498,0),MAX(J2498/K2498,0))),"") </f>
        <v/>
      </c>
      <c r="N2498" t="inlineStr">
        <is>
          <t>%</t>
        </is>
      </c>
      <c r="O2498" t="inlineStr">
        <is>
          <t>%</t>
        </is>
      </c>
      <c r="P2498" t="n">
        <v>0</v>
      </c>
      <c r="Q2498" t="n">
        <v>0</v>
      </c>
      <c r="R2498" t="inlineStr">
        <is>
          <t>488-2024-10-31</t>
        </is>
      </c>
    </row>
    <row r="2499">
      <c r="A2499" t="n">
        <v>488</v>
      </c>
      <c r="B2499" t="inlineStr">
        <is>
          <t>Oportunidad en el cierre de actividades de los planes de mejora</t>
        </is>
      </c>
      <c r="C2499" t="inlineStr">
        <is>
          <t>Gestión de calidad</t>
        </is>
      </c>
      <c r="D2499" t="inlineStr">
        <is>
          <t>Mensual</t>
        </is>
      </c>
      <c r="E2499" t="inlineStr">
        <is>
          <t>Positivo</t>
        </is>
      </c>
      <c r="F2499" s="111" t="n">
        <v>45626</v>
      </c>
      <c r="G2499" t="n">
        <v>2024</v>
      </c>
      <c r="H2499" t="inlineStr">
        <is>
          <t>Noviembre</t>
        </is>
      </c>
      <c r="I2499" t="inlineStr">
        <is>
          <t>2024-2</t>
        </is>
      </c>
      <c r="J2499" t="n">
        <v>85</v>
      </c>
      <c r="K2499" t="n">
        <v>95.78651685393258</v>
      </c>
      <c r="L2499" s="39">
        <f>IFERROR(IF(OR(J2499=0,K2499=""),"",IF(E2499="Positivo",MIN(MAX(K2499/J2499,0),1.3),MIN(MAX(J2499/K2499,0),1.3))),"") </f>
        <v/>
      </c>
      <c r="M2499" s="39">
        <f>IFERROR(IF(OR(J2499=0,K2499=""),"",IF(E2499="Positivo",MAX(K2499/J2499,0),MAX(J2499/K2499,0))),"") </f>
        <v/>
      </c>
      <c r="N2499" t="inlineStr">
        <is>
          <t>%</t>
        </is>
      </c>
      <c r="O2499" t="inlineStr">
        <is>
          <t>%</t>
        </is>
      </c>
      <c r="P2499" t="n">
        <v>0</v>
      </c>
      <c r="Q2499" t="n">
        <v>0</v>
      </c>
      <c r="R2499" t="inlineStr">
        <is>
          <t>488-2024-11-30</t>
        </is>
      </c>
    </row>
    <row r="2500">
      <c r="A2500" t="n">
        <v>488</v>
      </c>
      <c r="B2500" t="inlineStr">
        <is>
          <t>Oportunidad en el cierre de actividades de los planes de mejora</t>
        </is>
      </c>
      <c r="C2500" t="inlineStr">
        <is>
          <t>Gestión de calidad</t>
        </is>
      </c>
      <c r="D2500" t="inlineStr">
        <is>
          <t>Mensual</t>
        </is>
      </c>
      <c r="E2500" t="inlineStr">
        <is>
          <t>Positivo</t>
        </is>
      </c>
      <c r="F2500" s="111" t="n">
        <v>45657</v>
      </c>
      <c r="G2500" t="n">
        <v>2024</v>
      </c>
      <c r="H2500" t="inlineStr">
        <is>
          <t>Diciembre</t>
        </is>
      </c>
      <c r="I2500" t="inlineStr">
        <is>
          <t>2024-2</t>
        </is>
      </c>
      <c r="J2500" t="n">
        <v>85</v>
      </c>
      <c r="K2500" t="n">
        <v>91.31652661064426</v>
      </c>
      <c r="L2500" s="39">
        <f>IFERROR(IF(OR(J2500=0,K2500=""),"",IF(E2500="Positivo",MIN(MAX(K2500/J2500,0),1.3),MIN(MAX(J2500/K2500,0),1.3))),"") </f>
        <v/>
      </c>
      <c r="M2500" s="39">
        <f>IFERROR(IF(OR(J2500=0,K2500=""),"",IF(E2500="Positivo",MAX(K2500/J2500,0),MAX(J2500/K2500,0))),"") </f>
        <v/>
      </c>
      <c r="N2500" t="inlineStr">
        <is>
          <t>%</t>
        </is>
      </c>
      <c r="O2500" t="inlineStr">
        <is>
          <t>%</t>
        </is>
      </c>
      <c r="P2500" t="n">
        <v>0</v>
      </c>
      <c r="Q2500" t="n">
        <v>0</v>
      </c>
      <c r="R2500" t="inlineStr">
        <is>
          <t>488-2024-12-31</t>
        </is>
      </c>
    </row>
    <row r="2501">
      <c r="A2501" t="n">
        <v>488</v>
      </c>
      <c r="B2501" t="inlineStr">
        <is>
          <t>Oportunidad en el cierre de actividades de los planes de mejora</t>
        </is>
      </c>
      <c r="C2501" t="inlineStr">
        <is>
          <t>Gestión de calidad</t>
        </is>
      </c>
      <c r="D2501" t="inlineStr">
        <is>
          <t>Mensual</t>
        </is>
      </c>
      <c r="E2501" t="inlineStr">
        <is>
          <t>Positivo</t>
        </is>
      </c>
      <c r="F2501" s="111" t="n">
        <v>45688</v>
      </c>
      <c r="G2501" t="n">
        <v>2025</v>
      </c>
      <c r="H2501" t="inlineStr">
        <is>
          <t>Enero</t>
        </is>
      </c>
      <c r="I2501" t="inlineStr">
        <is>
          <t>2025-1</t>
        </is>
      </c>
      <c r="J2501" t="n">
        <v>85</v>
      </c>
      <c r="K2501" t="n">
        <v>78.04878048780488</v>
      </c>
      <c r="L2501" s="39">
        <f>IFERROR(IF(OR(J2501=0,K2501=""),"",IF(E2501="Positivo",MIN(MAX(K2501/J2501,0),1.3),MIN(MAX(J2501/K2501,0),1.3))),"") </f>
        <v/>
      </c>
      <c r="M2501" s="39">
        <f>IFERROR(IF(OR(J2501=0,K2501=""),"",IF(E2501="Positivo",MAX(K2501/J2501,0),MAX(J2501/K2501,0))),"") </f>
        <v/>
      </c>
      <c r="N2501" t="inlineStr">
        <is>
          <t>%</t>
        </is>
      </c>
      <c r="O2501" t="inlineStr">
        <is>
          <t>%</t>
        </is>
      </c>
      <c r="P2501" t="n">
        <v>0</v>
      </c>
      <c r="Q2501" t="n">
        <v>0</v>
      </c>
      <c r="R2501" t="inlineStr">
        <is>
          <t>488-2025-01-31</t>
        </is>
      </c>
    </row>
    <row r="2502">
      <c r="A2502" t="n">
        <v>488</v>
      </c>
      <c r="B2502" t="inlineStr">
        <is>
          <t>Oportunidad en el cierre de actividades de los planes de mejora</t>
        </is>
      </c>
      <c r="C2502" t="inlineStr">
        <is>
          <t>Gestión de calidad</t>
        </is>
      </c>
      <c r="D2502" t="inlineStr">
        <is>
          <t>Mensual</t>
        </is>
      </c>
      <c r="E2502" t="inlineStr">
        <is>
          <t>Positivo</t>
        </is>
      </c>
      <c r="F2502" s="111" t="n">
        <v>45716</v>
      </c>
      <c r="G2502" t="n">
        <v>2025</v>
      </c>
      <c r="H2502" t="inlineStr">
        <is>
          <t>Febrero</t>
        </is>
      </c>
      <c r="I2502" t="inlineStr">
        <is>
          <t>2025-1</t>
        </is>
      </c>
      <c r="J2502" t="n">
        <v>85</v>
      </c>
      <c r="K2502" t="n">
        <v>77.20588235294117</v>
      </c>
      <c r="L2502" s="39">
        <f>IFERROR(IF(OR(J2502=0,K2502=""),"",IF(E2502="Positivo",MIN(MAX(K2502/J2502,0),1.3),MIN(MAX(J2502/K2502,0),1.3))),"") </f>
        <v/>
      </c>
      <c r="M2502" s="39">
        <f>IFERROR(IF(OR(J2502=0,K2502=""),"",IF(E2502="Positivo",MAX(K2502/J2502,0),MAX(J2502/K2502,0))),"") </f>
        <v/>
      </c>
      <c r="N2502" t="inlineStr">
        <is>
          <t>%</t>
        </is>
      </c>
      <c r="O2502" t="inlineStr">
        <is>
          <t>%</t>
        </is>
      </c>
      <c r="P2502" t="n">
        <v>0</v>
      </c>
      <c r="Q2502" t="n">
        <v>0</v>
      </c>
      <c r="R2502" t="inlineStr">
        <is>
          <t>488-2025-02-28</t>
        </is>
      </c>
    </row>
    <row r="2503">
      <c r="A2503" t="n">
        <v>488</v>
      </c>
      <c r="B2503" t="inlineStr">
        <is>
          <t>Oportunidad en el cierre de actividades de los planes de mejora</t>
        </is>
      </c>
      <c r="C2503" t="inlineStr">
        <is>
          <t>Gestión de calidad</t>
        </is>
      </c>
      <c r="D2503" t="inlineStr">
        <is>
          <t>Mensual</t>
        </is>
      </c>
      <c r="E2503" t="inlineStr">
        <is>
          <t>Positivo</t>
        </is>
      </c>
      <c r="F2503" s="111" t="n">
        <v>45747</v>
      </c>
      <c r="G2503" t="n">
        <v>2025</v>
      </c>
      <c r="H2503" t="inlineStr">
        <is>
          <t>Marzo</t>
        </is>
      </c>
      <c r="I2503" t="inlineStr">
        <is>
          <t>2025-1</t>
        </is>
      </c>
      <c r="J2503" t="n">
        <v>85</v>
      </c>
      <c r="L2503" s="39" t="n"/>
      <c r="M2503" s="39" t="n"/>
      <c r="N2503" t="inlineStr">
        <is>
          <t>%</t>
        </is>
      </c>
      <c r="O2503" t="inlineStr">
        <is>
          <t>No Aplica</t>
        </is>
      </c>
      <c r="P2503" t="n">
        <v>0</v>
      </c>
      <c r="Q2503" t="n">
        <v>0</v>
      </c>
      <c r="R2503" t="inlineStr">
        <is>
          <t>488-2025-03-31</t>
        </is>
      </c>
      <c r="S2503" t="inlineStr">
        <is>
          <t>No Aplica</t>
        </is>
      </c>
    </row>
    <row r="2504">
      <c r="A2504" t="n">
        <v>488</v>
      </c>
      <c r="B2504" t="inlineStr">
        <is>
          <t>Oportunidad en el cierre de actividades de los planes de mejora</t>
        </is>
      </c>
      <c r="C2504" t="inlineStr">
        <is>
          <t>Gestión de calidad</t>
        </is>
      </c>
      <c r="D2504" t="inlineStr">
        <is>
          <t>Mensual</t>
        </is>
      </c>
      <c r="E2504" t="inlineStr">
        <is>
          <t>Positivo</t>
        </is>
      </c>
      <c r="F2504" s="111" t="n">
        <v>45777</v>
      </c>
      <c r="G2504" t="n">
        <v>2025</v>
      </c>
      <c r="H2504" t="inlineStr">
        <is>
          <t>Abril</t>
        </is>
      </c>
      <c r="I2504" t="inlineStr">
        <is>
          <t>2025-1</t>
        </is>
      </c>
      <c r="J2504" t="n">
        <v>85</v>
      </c>
      <c r="K2504" t="n">
        <v>64.91</v>
      </c>
      <c r="L2504" s="39">
        <f>IFERROR(IF(OR(J2504=0,K2504=""),"",IF(E2504="Positivo",MIN(MAX(K2504/J2504,0),1.3),MIN(MAX(J2504/K2504,0),1.3))),"") </f>
        <v/>
      </c>
      <c r="M2504" s="39">
        <f>IFERROR(IF(OR(J2504=0,K2504=""),"",IF(E2504="Positivo",MAX(K2504/J2504,0),MAX(J2504/K2504,0))),"") </f>
        <v/>
      </c>
      <c r="N2504" t="inlineStr">
        <is>
          <t>%</t>
        </is>
      </c>
      <c r="O2504" t="inlineStr">
        <is>
          <t>%</t>
        </is>
      </c>
      <c r="P2504" t="n">
        <v>0</v>
      </c>
      <c r="Q2504" t="n">
        <v>0</v>
      </c>
      <c r="R2504" t="inlineStr">
        <is>
          <t>488-2025-04-30</t>
        </is>
      </c>
    </row>
    <row r="2505">
      <c r="A2505" t="n">
        <v>488</v>
      </c>
      <c r="B2505" t="inlineStr">
        <is>
          <t>Oportunidad en el cierre de actividades de los planes de mejora</t>
        </is>
      </c>
      <c r="C2505" t="inlineStr">
        <is>
          <t>Gestión de calidad</t>
        </is>
      </c>
      <c r="D2505" t="inlineStr">
        <is>
          <t>Mensual</t>
        </is>
      </c>
      <c r="E2505" t="inlineStr">
        <is>
          <t>Positivo</t>
        </is>
      </c>
      <c r="F2505" s="111" t="n">
        <v>45808</v>
      </c>
      <c r="G2505" t="n">
        <v>2025</v>
      </c>
      <c r="H2505" t="inlineStr">
        <is>
          <t>Mayo</t>
        </is>
      </c>
      <c r="I2505" t="inlineStr">
        <is>
          <t>2025-1</t>
        </is>
      </c>
      <c r="J2505" t="n">
        <v>85</v>
      </c>
      <c r="K2505" t="n">
        <v>67.86</v>
      </c>
      <c r="L2505" s="39">
        <f>IFERROR(IF(OR(J2505=0,K2505=""),"",IF(E2505="Positivo",MIN(MAX(K2505/J2505,0),1.3),MIN(MAX(J2505/K2505,0),1.3))),"") </f>
        <v/>
      </c>
      <c r="M2505" s="39">
        <f>IFERROR(IF(OR(J2505=0,K2505=""),"",IF(E2505="Positivo",MAX(K2505/J2505,0),MAX(J2505/K2505,0))),"") </f>
        <v/>
      </c>
      <c r="N2505" t="inlineStr">
        <is>
          <t>%</t>
        </is>
      </c>
      <c r="O2505" t="inlineStr">
        <is>
          <t>%</t>
        </is>
      </c>
      <c r="P2505" t="n">
        <v>0</v>
      </c>
      <c r="Q2505" t="n">
        <v>0</v>
      </c>
      <c r="R2505" t="inlineStr">
        <is>
          <t>488-2025-05-31</t>
        </is>
      </c>
    </row>
    <row r="2506">
      <c r="A2506" t="n">
        <v>488</v>
      </c>
      <c r="B2506" t="inlineStr">
        <is>
          <t>Oportunidad en el cierre de actividades de los planes de mejora</t>
        </is>
      </c>
      <c r="C2506" t="inlineStr">
        <is>
          <t>Gestión de calidad</t>
        </is>
      </c>
      <c r="D2506" t="inlineStr">
        <is>
          <t>Mensual</t>
        </is>
      </c>
      <c r="E2506" t="inlineStr">
        <is>
          <t>Positivo</t>
        </is>
      </c>
      <c r="F2506" s="111" t="n">
        <v>45838</v>
      </c>
      <c r="G2506" t="n">
        <v>2025</v>
      </c>
      <c r="H2506" t="inlineStr">
        <is>
          <t>Junio</t>
        </is>
      </c>
      <c r="I2506" t="inlineStr">
        <is>
          <t>2025-1</t>
        </is>
      </c>
      <c r="J2506" t="n">
        <v>85</v>
      </c>
      <c r="K2506" t="n">
        <v>72.41</v>
      </c>
      <c r="L2506" s="39">
        <f>IFERROR(IF(OR(J2506=0,K2506=""),"",IF(E2506="Positivo",MIN(MAX(K2506/J2506,0),1.3),MIN(MAX(J2506/K2506,0),1.3))),"") </f>
        <v/>
      </c>
      <c r="M2506" s="39">
        <f>IFERROR(IF(OR(J2506=0,K2506=""),"",IF(E2506="Positivo",MAX(K2506/J2506,0),MAX(J2506/K2506,0))),"") </f>
        <v/>
      </c>
      <c r="N2506" t="inlineStr">
        <is>
          <t>%</t>
        </is>
      </c>
      <c r="O2506" t="inlineStr">
        <is>
          <t>%</t>
        </is>
      </c>
      <c r="P2506" t="n">
        <v>0</v>
      </c>
      <c r="Q2506" t="n">
        <v>0</v>
      </c>
      <c r="R2506" t="inlineStr">
        <is>
          <t>488-2025-06-30</t>
        </is>
      </c>
    </row>
    <row r="2507">
      <c r="A2507" t="n">
        <v>488</v>
      </c>
      <c r="B2507" t="inlineStr">
        <is>
          <t>Oportunidad en el cierre de actividades de los planes de mejora</t>
        </is>
      </c>
      <c r="C2507" t="inlineStr">
        <is>
          <t>Gestión de calidad</t>
        </is>
      </c>
      <c r="D2507" t="inlineStr">
        <is>
          <t>Mensual</t>
        </is>
      </c>
      <c r="E2507" t="inlineStr">
        <is>
          <t>Positivo</t>
        </is>
      </c>
      <c r="F2507" s="111" t="n">
        <v>45869</v>
      </c>
      <c r="G2507" t="n">
        <v>2025</v>
      </c>
      <c r="H2507" t="inlineStr">
        <is>
          <t>Julio</t>
        </is>
      </c>
      <c r="I2507" t="inlineStr">
        <is>
          <t>2025-2</t>
        </is>
      </c>
      <c r="J2507" t="n">
        <v>85</v>
      </c>
      <c r="K2507" t="n">
        <v>83.54000000000001</v>
      </c>
      <c r="L2507" s="39">
        <f>IFERROR(IF(OR(J2507=0,K2507=""),"",IF(E2507="Positivo",MIN(MAX(K2507/J2507,0),1.3),MIN(MAX(J2507/K2507,0),1.3))),"") </f>
        <v/>
      </c>
      <c r="M2507" s="39">
        <f>IFERROR(IF(OR(J2507=0,K2507=""),"",IF(E2507="Positivo",MAX(K2507/J2507,0),MAX(J2507/K2507,0))),"") </f>
        <v/>
      </c>
      <c r="N2507" t="inlineStr">
        <is>
          <t>%</t>
        </is>
      </c>
      <c r="O2507" t="inlineStr">
        <is>
          <t>%</t>
        </is>
      </c>
      <c r="P2507" t="n">
        <v>0</v>
      </c>
      <c r="Q2507" t="n">
        <v>0</v>
      </c>
      <c r="R2507" t="inlineStr">
        <is>
          <t>488-2025-07-31</t>
        </is>
      </c>
    </row>
    <row r="2508">
      <c r="A2508" t="n">
        <v>488</v>
      </c>
      <c r="B2508" t="inlineStr">
        <is>
          <t>Oportunidad en el cierre de actividades de los planes de mejora</t>
        </is>
      </c>
      <c r="C2508" t="inlineStr">
        <is>
          <t>Gestión de calidad</t>
        </is>
      </c>
      <c r="D2508" t="inlineStr">
        <is>
          <t>Mensual</t>
        </is>
      </c>
      <c r="E2508" t="inlineStr">
        <is>
          <t>Positivo</t>
        </is>
      </c>
      <c r="F2508" s="111" t="n">
        <v>45900</v>
      </c>
      <c r="G2508" t="n">
        <v>2025</v>
      </c>
      <c r="H2508" t="inlineStr">
        <is>
          <t>Agosto</t>
        </is>
      </c>
      <c r="I2508" t="inlineStr">
        <is>
          <t>2025-2</t>
        </is>
      </c>
      <c r="J2508" t="n">
        <v>85</v>
      </c>
      <c r="K2508" t="n">
        <v>81.01000000000001</v>
      </c>
      <c r="L2508" s="39">
        <f>IFERROR(IF(OR(J2508=0,K2508=""),"",IF(E2508="Positivo",MIN(MAX(K2508/J2508,0),1.3),MIN(MAX(J2508/K2508,0),1.3))),"") </f>
        <v/>
      </c>
      <c r="M2508" s="39">
        <f>IFERROR(IF(OR(J2508=0,K2508=""),"",IF(E2508="Positivo",MAX(K2508/J2508,0),MAX(J2508/K2508,0))),"") </f>
        <v/>
      </c>
      <c r="N2508" t="inlineStr">
        <is>
          <t>%</t>
        </is>
      </c>
      <c r="O2508" t="inlineStr">
        <is>
          <t>%</t>
        </is>
      </c>
      <c r="P2508" t="n">
        <v>0</v>
      </c>
      <c r="Q2508" t="n">
        <v>0</v>
      </c>
      <c r="R2508" t="inlineStr">
        <is>
          <t>488-2025-08-31</t>
        </is>
      </c>
    </row>
    <row r="2509">
      <c r="A2509" t="n">
        <v>488</v>
      </c>
      <c r="B2509" t="inlineStr">
        <is>
          <t>Oportunidad en el cierre de actividades de los planes de mejora</t>
        </is>
      </c>
      <c r="C2509" t="inlineStr">
        <is>
          <t>Gestión de calidad</t>
        </is>
      </c>
      <c r="D2509" t="inlineStr">
        <is>
          <t>Mensual</t>
        </is>
      </c>
      <c r="E2509" t="inlineStr">
        <is>
          <t>Positivo</t>
        </is>
      </c>
      <c r="F2509" s="111" t="n">
        <v>45930</v>
      </c>
      <c r="G2509" t="n">
        <v>2025</v>
      </c>
      <c r="H2509" t="inlineStr">
        <is>
          <t>Septiembre</t>
        </is>
      </c>
      <c r="I2509" t="inlineStr">
        <is>
          <t>2025-2</t>
        </is>
      </c>
      <c r="J2509" t="n">
        <v>85</v>
      </c>
      <c r="K2509" t="n">
        <v>86.89</v>
      </c>
      <c r="L2509" s="39">
        <f>IFERROR(IF(OR(J2509=0,K2509=""),"",IF(E2509="Positivo",MIN(MAX(K2509/J2509,0),1.3),MIN(MAX(J2509/K2509,0),1.3))),"") </f>
        <v/>
      </c>
      <c r="M2509" s="39">
        <f>IFERROR(IF(OR(J2509=0,K2509=""),"",IF(E2509="Positivo",MAX(K2509/J2509,0),MAX(J2509/K2509,0))),"") </f>
        <v/>
      </c>
      <c r="N2509" t="inlineStr">
        <is>
          <t>%</t>
        </is>
      </c>
      <c r="O2509" t="inlineStr">
        <is>
          <t>%</t>
        </is>
      </c>
      <c r="P2509" t="n">
        <v>0</v>
      </c>
      <c r="Q2509" t="n">
        <v>0</v>
      </c>
      <c r="R2509" t="inlineStr">
        <is>
          <t>488-2025-09-30</t>
        </is>
      </c>
    </row>
    <row r="2510">
      <c r="A2510" t="n">
        <v>488</v>
      </c>
      <c r="B2510" t="inlineStr">
        <is>
          <t>Oportunidad en el cierre de actividades de los planes de mejora</t>
        </is>
      </c>
      <c r="C2510" t="inlineStr">
        <is>
          <t>Gestión de calidad</t>
        </is>
      </c>
      <c r="D2510" t="inlineStr">
        <is>
          <t>Mensual</t>
        </is>
      </c>
      <c r="E2510" t="inlineStr">
        <is>
          <t>Positivo</t>
        </is>
      </c>
      <c r="F2510" s="111" t="n">
        <v>45961</v>
      </c>
      <c r="G2510" t="n">
        <v>2025</v>
      </c>
      <c r="H2510" t="inlineStr">
        <is>
          <t>Octubre</t>
        </is>
      </c>
      <c r="I2510" t="inlineStr">
        <is>
          <t>2025-2</t>
        </is>
      </c>
      <c r="J2510" t="n">
        <v>85</v>
      </c>
      <c r="K2510" t="n">
        <v>85.59</v>
      </c>
      <c r="L2510" s="39">
        <f>IFERROR(IF(OR(J2510=0,K2510=""),"",IF(E2510="Positivo",MIN(MAX(K2510/J2510,0),1.3),MIN(MAX(J2510/K2510,0),1.3))),"") </f>
        <v/>
      </c>
      <c r="M2510" s="39">
        <f>IFERROR(IF(OR(J2510=0,K2510=""),"",IF(E2510="Positivo",MAX(K2510/J2510,0),MAX(J2510/K2510,0))),"") </f>
        <v/>
      </c>
      <c r="N2510" t="inlineStr">
        <is>
          <t>%</t>
        </is>
      </c>
      <c r="O2510" t="inlineStr">
        <is>
          <t>%</t>
        </is>
      </c>
      <c r="P2510" t="n">
        <v>0</v>
      </c>
      <c r="Q2510" t="n">
        <v>0</v>
      </c>
      <c r="R2510" t="inlineStr">
        <is>
          <t>488-2025-10-31</t>
        </is>
      </c>
    </row>
    <row r="2511">
      <c r="A2511" t="n">
        <v>488</v>
      </c>
      <c r="B2511" t="inlineStr">
        <is>
          <t>Oportunidad en el cierre de actividades de los planes de mejora</t>
        </is>
      </c>
      <c r="C2511" t="inlineStr">
        <is>
          <t>Gestión de calidad</t>
        </is>
      </c>
      <c r="D2511" t="inlineStr">
        <is>
          <t>Mensual</t>
        </is>
      </c>
      <c r="E2511" t="inlineStr">
        <is>
          <t>Positivo</t>
        </is>
      </c>
      <c r="F2511" s="111" t="n">
        <v>45991</v>
      </c>
      <c r="G2511" t="n">
        <v>2025</v>
      </c>
      <c r="H2511" t="inlineStr">
        <is>
          <t>Noviembre</t>
        </is>
      </c>
      <c r="I2511" t="inlineStr">
        <is>
          <t>2025-2</t>
        </is>
      </c>
      <c r="J2511" t="n">
        <v>85</v>
      </c>
      <c r="K2511" t="n">
        <v>75</v>
      </c>
      <c r="L2511" s="39">
        <f>IFERROR(IF(OR(J2511=0,K2511=""),"",IF(E2511="Positivo",MIN(MAX(K2511/J2511,0),1.3),MIN(MAX(J2511/K2511,0),1.3))),"") </f>
        <v/>
      </c>
      <c r="M2511" s="39">
        <f>IFERROR(IF(OR(J2511=0,K2511=""),"",IF(E2511="Positivo",MAX(K2511/J2511,0),MAX(J2511/K2511,0))),"") </f>
        <v/>
      </c>
      <c r="N2511" t="inlineStr">
        <is>
          <t>%</t>
        </is>
      </c>
      <c r="O2511" t="inlineStr">
        <is>
          <t>%</t>
        </is>
      </c>
      <c r="P2511" t="n">
        <v>0</v>
      </c>
      <c r="Q2511" t="n">
        <v>0</v>
      </c>
      <c r="R2511" t="inlineStr">
        <is>
          <t>488-2025-11-30</t>
        </is>
      </c>
    </row>
    <row r="2512">
      <c r="A2512" t="n">
        <v>488</v>
      </c>
      <c r="B2512" t="inlineStr">
        <is>
          <t>Oportunidad en el cierre de actividades de los planes de mejora</t>
        </is>
      </c>
      <c r="C2512" t="inlineStr">
        <is>
          <t>Gestión de calidad</t>
        </is>
      </c>
      <c r="D2512" t="inlineStr">
        <is>
          <t>Mensual</t>
        </is>
      </c>
      <c r="E2512" t="inlineStr">
        <is>
          <t>Positivo</t>
        </is>
      </c>
      <c r="F2512" s="111" t="n">
        <v>46022</v>
      </c>
      <c r="G2512" t="n">
        <v>2025</v>
      </c>
      <c r="H2512" t="inlineStr">
        <is>
          <t>Diciembre</t>
        </is>
      </c>
      <c r="I2512" t="inlineStr">
        <is>
          <t>2025-2</t>
        </is>
      </c>
      <c r="J2512" t="n">
        <v>85</v>
      </c>
      <c r="K2512" t="n">
        <v>76.73999999999999</v>
      </c>
      <c r="L2512" s="39">
        <f>IFERROR(IF(OR(J2512=0,K2512=""),"",IF(E2512="Positivo",MIN(MAX(K2512/J2512,0),1.3),MIN(MAX(J2512/K2512,0),1.3))),"") </f>
        <v/>
      </c>
      <c r="M2512" s="39">
        <f>IFERROR(IF(OR(J2512=0,K2512=""),"",IF(E2512="Positivo",MAX(K2512/J2512,0),MAX(J2512/K2512,0))),"") </f>
        <v/>
      </c>
      <c r="N2512" t="inlineStr">
        <is>
          <t>%</t>
        </is>
      </c>
      <c r="O2512" t="inlineStr">
        <is>
          <t>%</t>
        </is>
      </c>
      <c r="P2512" t="n">
        <v>0</v>
      </c>
      <c r="Q2512" t="n">
        <v>0</v>
      </c>
      <c r="R2512" t="inlineStr">
        <is>
          <t>488-2025-12-31</t>
        </is>
      </c>
    </row>
    <row r="2513">
      <c r="A2513" t="n">
        <v>489</v>
      </c>
      <c r="B2513" t="inlineStr">
        <is>
          <t>Cumplimiento en la evaluación de las oportunidades de mejora (OM)</t>
        </is>
      </c>
      <c r="C2513" t="inlineStr">
        <is>
          <t>Gestión de calidad</t>
        </is>
      </c>
      <c r="D2513" t="inlineStr">
        <is>
          <t>Mensual</t>
        </is>
      </c>
      <c r="E2513" t="inlineStr">
        <is>
          <t>Positivo</t>
        </is>
      </c>
      <c r="F2513" s="111" t="n">
        <v>45596</v>
      </c>
      <c r="G2513" t="n">
        <v>2024</v>
      </c>
      <c r="H2513" t="inlineStr">
        <is>
          <t>Octubre</t>
        </is>
      </c>
      <c r="I2513" t="inlineStr">
        <is>
          <t>2024-2</t>
        </is>
      </c>
      <c r="J2513" t="n">
        <v>80</v>
      </c>
      <c r="K2513" t="n">
        <v>80</v>
      </c>
      <c r="L2513" s="39">
        <f>IFERROR(IF(OR(J2513=0,K2513=""),"",IF(E2513="Positivo",MIN(MAX(K2513/J2513,0),1.3),MIN(MAX(J2513/K2513,0),1.3))),"") </f>
        <v/>
      </c>
      <c r="M2513" s="39">
        <f>IFERROR(IF(OR(J2513=0,K2513=""),"",IF(E2513="Positivo",MAX(K2513/J2513,0),MAX(J2513/K2513,0))),"") </f>
        <v/>
      </c>
      <c r="N2513" t="inlineStr">
        <is>
          <t>%</t>
        </is>
      </c>
      <c r="O2513" t="inlineStr">
        <is>
          <t>%</t>
        </is>
      </c>
      <c r="P2513" t="n">
        <v>0</v>
      </c>
      <c r="Q2513" t="n">
        <v>0</v>
      </c>
      <c r="R2513" t="inlineStr">
        <is>
          <t>489-2024-10-31</t>
        </is>
      </c>
    </row>
    <row r="2514">
      <c r="A2514" t="n">
        <v>489</v>
      </c>
      <c r="B2514" t="inlineStr">
        <is>
          <t>Cumplimiento en la evaluación de las oportunidades de mejora (OM)</t>
        </is>
      </c>
      <c r="C2514" t="inlineStr">
        <is>
          <t>Gestión de calidad</t>
        </is>
      </c>
      <c r="D2514" t="inlineStr">
        <is>
          <t>Mensual</t>
        </is>
      </c>
      <c r="E2514" t="inlineStr">
        <is>
          <t>Positivo</t>
        </is>
      </c>
      <c r="F2514" s="111" t="n">
        <v>45626</v>
      </c>
      <c r="G2514" t="n">
        <v>2024</v>
      </c>
      <c r="H2514" t="inlineStr">
        <is>
          <t>Noviembre</t>
        </is>
      </c>
      <c r="I2514" t="inlineStr">
        <is>
          <t>2024-2</t>
        </is>
      </c>
      <c r="J2514" t="n">
        <v>80</v>
      </c>
      <c r="K2514" t="n">
        <v>100</v>
      </c>
      <c r="L2514" s="39">
        <f>IFERROR(IF(OR(J2514=0,K2514=""),"",IF(E2514="Positivo",MIN(MAX(K2514/J2514,0),1.3),MIN(MAX(J2514/K2514,0),1.3))),"") </f>
        <v/>
      </c>
      <c r="M2514" s="39">
        <f>IFERROR(IF(OR(J2514=0,K2514=""),"",IF(E2514="Positivo",MAX(K2514/J2514,0),MAX(J2514/K2514,0))),"") </f>
        <v/>
      </c>
      <c r="N2514" t="inlineStr">
        <is>
          <t>%</t>
        </is>
      </c>
      <c r="O2514" t="inlineStr">
        <is>
          <t>%</t>
        </is>
      </c>
      <c r="P2514" t="n">
        <v>0</v>
      </c>
      <c r="Q2514" t="n">
        <v>0</v>
      </c>
      <c r="R2514" t="inlineStr">
        <is>
          <t>489-2024-11-30</t>
        </is>
      </c>
    </row>
    <row r="2515">
      <c r="A2515" t="n">
        <v>489</v>
      </c>
      <c r="B2515" t="inlineStr">
        <is>
          <t>Cumplimiento en la evaluación de las oportunidades de mejora (OM)</t>
        </is>
      </c>
      <c r="C2515" t="inlineStr">
        <is>
          <t>Gestión de calidad</t>
        </is>
      </c>
      <c r="D2515" t="inlineStr">
        <is>
          <t>Mensual</t>
        </is>
      </c>
      <c r="E2515" t="inlineStr">
        <is>
          <t>Positivo</t>
        </is>
      </c>
      <c r="F2515" s="111" t="n">
        <v>45657</v>
      </c>
      <c r="G2515" t="n">
        <v>2024</v>
      </c>
      <c r="H2515" t="inlineStr">
        <is>
          <t>Diciembre</t>
        </is>
      </c>
      <c r="I2515" t="inlineStr">
        <is>
          <t>2024-2</t>
        </is>
      </c>
      <c r="J2515" t="n">
        <v>80</v>
      </c>
      <c r="K2515" t="n">
        <v>100</v>
      </c>
      <c r="L2515" s="39">
        <f>IFERROR(IF(OR(J2515=0,K2515=""),"",IF(E2515="Positivo",MIN(MAX(K2515/J2515,0),1.3),MIN(MAX(J2515/K2515,0),1.3))),"") </f>
        <v/>
      </c>
      <c r="M2515" s="39">
        <f>IFERROR(IF(OR(J2515=0,K2515=""),"",IF(E2515="Positivo",MAX(K2515/J2515,0),MAX(J2515/K2515,0))),"") </f>
        <v/>
      </c>
      <c r="N2515" t="inlineStr">
        <is>
          <t>%</t>
        </is>
      </c>
      <c r="O2515" t="inlineStr">
        <is>
          <t>%</t>
        </is>
      </c>
      <c r="P2515" t="n">
        <v>0</v>
      </c>
      <c r="Q2515" t="n">
        <v>0</v>
      </c>
      <c r="R2515" t="inlineStr">
        <is>
          <t>489-2024-12-31</t>
        </is>
      </c>
    </row>
    <row r="2516">
      <c r="A2516" t="n">
        <v>490</v>
      </c>
      <c r="B2516" t="inlineStr">
        <is>
          <t>Nivel de Satisfacción Servicios Prestados - Planeación Estratégica</t>
        </is>
      </c>
      <c r="C2516" t="inlineStr">
        <is>
          <t>Planeación Estratégica</t>
        </is>
      </c>
      <c r="D2516" t="inlineStr">
        <is>
          <t>Anual</t>
        </is>
      </c>
      <c r="E2516" t="inlineStr">
        <is>
          <t>Positivo</t>
        </is>
      </c>
      <c r="F2516" s="111" t="n">
        <v>45657</v>
      </c>
      <c r="G2516" t="n">
        <v>2024</v>
      </c>
      <c r="H2516" t="inlineStr">
        <is>
          <t>Diciembre</t>
        </is>
      </c>
      <c r="I2516" t="inlineStr">
        <is>
          <t>2024-2</t>
        </is>
      </c>
      <c r="J2516" t="n">
        <v>80</v>
      </c>
      <c r="K2516" t="n">
        <v>88</v>
      </c>
      <c r="L2516" s="39">
        <f>IFERROR(IF(OR(J2516=0,K2516=""),"",IF(E2516="Positivo",MIN(MAX(K2516/J2516,0),1.3),MIN(MAX(J2516/K2516,0),1.3))),"") </f>
        <v/>
      </c>
      <c r="M2516" s="39">
        <f>IFERROR(IF(OR(J2516=0,K2516=""),"",IF(E2516="Positivo",MAX(K2516/J2516,0),MAX(J2516/K2516,0))),"") </f>
        <v/>
      </c>
      <c r="N2516" t="inlineStr">
        <is>
          <t>%</t>
        </is>
      </c>
      <c r="O2516" t="inlineStr">
        <is>
          <t>%</t>
        </is>
      </c>
      <c r="P2516" t="n">
        <v>0</v>
      </c>
      <c r="Q2516" t="n">
        <v>0</v>
      </c>
      <c r="R2516" t="inlineStr">
        <is>
          <t>490-2024-12-31</t>
        </is>
      </c>
    </row>
    <row r="2517">
      <c r="A2517" t="n">
        <v>490</v>
      </c>
      <c r="B2517" t="inlineStr">
        <is>
          <t>Nivel de Satisfacción Servicios Prestados - Planeación Estratégica</t>
        </is>
      </c>
      <c r="C2517" t="inlineStr">
        <is>
          <t>Planeación Estratégica</t>
        </is>
      </c>
      <c r="D2517" t="inlineStr">
        <is>
          <t>Anual</t>
        </is>
      </c>
      <c r="E2517" t="inlineStr">
        <is>
          <t>Positivo</t>
        </is>
      </c>
      <c r="F2517" s="111" t="n">
        <v>46022</v>
      </c>
      <c r="G2517" t="n">
        <v>2025</v>
      </c>
      <c r="H2517" t="inlineStr">
        <is>
          <t>Diciembre</t>
        </is>
      </c>
      <c r="I2517" t="inlineStr">
        <is>
          <t>2025-2</t>
        </is>
      </c>
      <c r="J2517" t="n">
        <v>80</v>
      </c>
      <c r="K2517" t="n">
        <v>100</v>
      </c>
      <c r="L2517" s="39">
        <f>IFERROR(IF(OR(J2517=0,K2517=""),"",IF(E2517="Positivo",MIN(MAX(K2517/J2517,0),1.3),MIN(MAX(J2517/K2517,0),1.3))),"") </f>
        <v/>
      </c>
      <c r="M2517" s="39">
        <f>IFERROR(IF(OR(J2517=0,K2517=""),"",IF(E2517="Positivo",MAX(K2517/J2517,0),MAX(J2517/K2517,0))),"") </f>
        <v/>
      </c>
      <c r="N2517" t="inlineStr">
        <is>
          <t>%</t>
        </is>
      </c>
      <c r="O2517" t="inlineStr">
        <is>
          <t>%</t>
        </is>
      </c>
      <c r="P2517" t="n">
        <v>0</v>
      </c>
      <c r="Q2517" t="n">
        <v>0</v>
      </c>
      <c r="R2517" t="inlineStr">
        <is>
          <t>490-2025-12-31</t>
        </is>
      </c>
    </row>
    <row r="2518">
      <c r="A2518" t="n">
        <v>491</v>
      </c>
      <c r="B2518" t="inlineStr">
        <is>
          <t>Nivel de Satisfacción Servicios Prestados - Gestión de proyectos</t>
        </is>
      </c>
      <c r="C2518" t="inlineStr">
        <is>
          <t>Gestión de Proyectos</t>
        </is>
      </c>
      <c r="D2518" t="inlineStr">
        <is>
          <t>Anual</t>
        </is>
      </c>
      <c r="E2518" t="inlineStr">
        <is>
          <t>Positivo</t>
        </is>
      </c>
      <c r="F2518" s="111" t="n">
        <v>45657</v>
      </c>
      <c r="G2518" t="n">
        <v>2024</v>
      </c>
      <c r="H2518" t="inlineStr">
        <is>
          <t>Diciembre</t>
        </is>
      </c>
      <c r="I2518" t="inlineStr">
        <is>
          <t>2024-2</t>
        </is>
      </c>
      <c r="J2518" t="n">
        <v>80</v>
      </c>
      <c r="K2518" t="n">
        <v>88</v>
      </c>
      <c r="L2518" s="39">
        <f>IFERROR(IF(OR(J2518=0,K2518=""),"",IF(E2518="Positivo",MIN(MAX(K2518/J2518,0),1.3),MIN(MAX(J2518/K2518,0),1.3))),"") </f>
        <v/>
      </c>
      <c r="M2518" s="39">
        <f>IFERROR(IF(OR(J2518=0,K2518=""),"",IF(E2518="Positivo",MAX(K2518/J2518,0),MAX(J2518/K2518,0))),"") </f>
        <v/>
      </c>
      <c r="N2518" t="inlineStr">
        <is>
          <t>%</t>
        </is>
      </c>
      <c r="O2518" t="inlineStr">
        <is>
          <t>%</t>
        </is>
      </c>
      <c r="P2518" t="n">
        <v>0</v>
      </c>
      <c r="Q2518" t="n">
        <v>0</v>
      </c>
      <c r="R2518" t="inlineStr">
        <is>
          <t>491-2024-12-31</t>
        </is>
      </c>
    </row>
    <row r="2519">
      <c r="A2519" t="n">
        <v>491</v>
      </c>
      <c r="B2519" t="inlineStr">
        <is>
          <t>Nivel de Satisfacción Servicios Prestados - Gestión de proyectos</t>
        </is>
      </c>
      <c r="C2519" t="inlineStr">
        <is>
          <t>Gestión de Proyectos</t>
        </is>
      </c>
      <c r="D2519" t="inlineStr">
        <is>
          <t>Anual</t>
        </is>
      </c>
      <c r="E2519" t="inlineStr">
        <is>
          <t>Positivo</t>
        </is>
      </c>
      <c r="F2519" s="111" t="n">
        <v>46022</v>
      </c>
      <c r="G2519" t="n">
        <v>2025</v>
      </c>
      <c r="H2519" t="inlineStr">
        <is>
          <t>Diciembre</t>
        </is>
      </c>
      <c r="I2519" t="inlineStr">
        <is>
          <t>2025-2</t>
        </is>
      </c>
      <c r="J2519" t="n">
        <v>80</v>
      </c>
      <c r="K2519" t="n">
        <v>100</v>
      </c>
      <c r="L2519" s="39">
        <f>IFERROR(IF(OR(J2519=0,K2519=""),"",IF(E2519="Positivo",MIN(MAX(K2519/J2519,0),1.3),MIN(MAX(J2519/K2519,0),1.3))),"") </f>
        <v/>
      </c>
      <c r="M2519" s="39">
        <f>IFERROR(IF(OR(J2519=0,K2519=""),"",IF(E2519="Positivo",MAX(K2519/J2519,0),MAX(J2519/K2519,0))),"") </f>
        <v/>
      </c>
      <c r="N2519" t="inlineStr">
        <is>
          <t>%</t>
        </is>
      </c>
      <c r="O2519" t="inlineStr">
        <is>
          <t>%</t>
        </is>
      </c>
      <c r="P2519" t="n">
        <v>0</v>
      </c>
      <c r="Q2519" t="n">
        <v>0</v>
      </c>
      <c r="R2519" t="inlineStr">
        <is>
          <t>491-2025-12-31</t>
        </is>
      </c>
    </row>
    <row r="2520">
      <c r="A2520" t="n">
        <v>492</v>
      </c>
      <c r="B2520" t="inlineStr">
        <is>
          <t>Nivel de Satisfacción Servicios Prestados - Desempeño Institucional</t>
        </is>
      </c>
      <c r="C2520" t="inlineStr">
        <is>
          <t>Desempeño Institucional</t>
        </is>
      </c>
      <c r="D2520" t="inlineStr">
        <is>
          <t>Anual</t>
        </is>
      </c>
      <c r="E2520" t="inlineStr">
        <is>
          <t>Positivo</t>
        </is>
      </c>
      <c r="F2520" s="111" t="n">
        <v>45657</v>
      </c>
      <c r="G2520" t="n">
        <v>2024</v>
      </c>
      <c r="H2520" t="inlineStr">
        <is>
          <t>Diciembre</t>
        </is>
      </c>
      <c r="I2520" t="inlineStr">
        <is>
          <t>2024-2</t>
        </is>
      </c>
      <c r="J2520" t="n">
        <v>80</v>
      </c>
      <c r="K2520" t="n">
        <v>83</v>
      </c>
      <c r="L2520" s="39">
        <f>IFERROR(IF(OR(J2520=0,K2520=""),"",IF(E2520="Positivo",MIN(MAX(K2520/J2520,0),1.3),MIN(MAX(J2520/K2520,0),1.3))),"") </f>
        <v/>
      </c>
      <c r="M2520" s="39">
        <f>IFERROR(IF(OR(J2520=0,K2520=""),"",IF(E2520="Positivo",MAX(K2520/J2520,0),MAX(J2520/K2520,0))),"") </f>
        <v/>
      </c>
      <c r="N2520" t="inlineStr">
        <is>
          <t>%</t>
        </is>
      </c>
      <c r="O2520" t="inlineStr">
        <is>
          <t>%</t>
        </is>
      </c>
      <c r="P2520" t="n">
        <v>0</v>
      </c>
      <c r="Q2520" t="n">
        <v>0</v>
      </c>
      <c r="R2520" t="inlineStr">
        <is>
          <t>492-2024-12-31</t>
        </is>
      </c>
    </row>
    <row r="2521">
      <c r="A2521" t="n">
        <v>492</v>
      </c>
      <c r="B2521" t="inlineStr">
        <is>
          <t>Nivel de Satisfacción Servicios Prestados - Desempeño Institucional</t>
        </is>
      </c>
      <c r="C2521" t="inlineStr">
        <is>
          <t>Desempeño Institucional</t>
        </is>
      </c>
      <c r="D2521" t="inlineStr">
        <is>
          <t>Anual</t>
        </is>
      </c>
      <c r="E2521" t="inlineStr">
        <is>
          <t>Positivo</t>
        </is>
      </c>
      <c r="F2521" s="111" t="n">
        <v>46022</v>
      </c>
      <c r="G2521" t="n">
        <v>2025</v>
      </c>
      <c r="H2521" t="inlineStr">
        <is>
          <t>Diciembre</t>
        </is>
      </c>
      <c r="I2521" t="inlineStr">
        <is>
          <t>2025-2</t>
        </is>
      </c>
      <c r="J2521" t="n">
        <v>80</v>
      </c>
      <c r="K2521" t="n">
        <v>95</v>
      </c>
      <c r="L2521" s="39">
        <f>IFERROR(IF(OR(J2521=0,K2521=""),"",IF(E2521="Positivo",MIN(MAX(K2521/J2521,0),1.3),MIN(MAX(J2521/K2521,0),1.3))),"") </f>
        <v/>
      </c>
      <c r="M2521" s="39">
        <f>IFERROR(IF(OR(J2521=0,K2521=""),"",IF(E2521="Positivo",MAX(K2521/J2521,0),MAX(J2521/K2521,0))),"") </f>
        <v/>
      </c>
      <c r="N2521" t="inlineStr">
        <is>
          <t>%</t>
        </is>
      </c>
      <c r="O2521" t="inlineStr">
        <is>
          <t>%</t>
        </is>
      </c>
      <c r="P2521" t="n">
        <v>0</v>
      </c>
      <c r="Q2521" t="n">
        <v>0</v>
      </c>
      <c r="R2521" t="inlineStr">
        <is>
          <t>492-2025-12-31</t>
        </is>
      </c>
    </row>
    <row r="2522">
      <c r="A2522" t="n">
        <v>493</v>
      </c>
      <c r="B2522" t="inlineStr">
        <is>
          <t>Nivel de Satisfacción Servicios Prestados - Gestión Jurídica Y Normativa</t>
        </is>
      </c>
      <c r="C2522" t="inlineStr">
        <is>
          <t>GESTIÓN JURÍDICA Y NORMATIVA</t>
        </is>
      </c>
      <c r="D2522" t="inlineStr">
        <is>
          <t>Anual</t>
        </is>
      </c>
      <c r="E2522" t="inlineStr">
        <is>
          <t>Positivo</t>
        </is>
      </c>
      <c r="F2522" s="111" t="n">
        <v>45657</v>
      </c>
      <c r="G2522" t="n">
        <v>2024</v>
      </c>
      <c r="H2522" t="inlineStr">
        <is>
          <t>Diciembre</t>
        </is>
      </c>
      <c r="I2522" t="inlineStr">
        <is>
          <t>2024-2</t>
        </is>
      </c>
      <c r="J2522" t="n">
        <v>80</v>
      </c>
      <c r="K2522" t="n">
        <v>81</v>
      </c>
      <c r="L2522" s="39">
        <f>IFERROR(IF(OR(J2522=0,K2522=""),"",IF(E2522="Positivo",MIN(MAX(K2522/J2522,0),1.3),MIN(MAX(J2522/K2522,0),1.3))),"") </f>
        <v/>
      </c>
      <c r="M2522" s="39">
        <f>IFERROR(IF(OR(J2522=0,K2522=""),"",IF(E2522="Positivo",MAX(K2522/J2522,0),MAX(J2522/K2522,0))),"") </f>
        <v/>
      </c>
      <c r="N2522" t="inlineStr">
        <is>
          <t>%</t>
        </is>
      </c>
      <c r="O2522" t="inlineStr">
        <is>
          <t>%</t>
        </is>
      </c>
      <c r="P2522" t="n">
        <v>0</v>
      </c>
      <c r="Q2522" t="n">
        <v>0</v>
      </c>
      <c r="R2522" t="inlineStr">
        <is>
          <t>493-2024-12-31</t>
        </is>
      </c>
    </row>
    <row r="2523">
      <c r="A2523" t="n">
        <v>493</v>
      </c>
      <c r="B2523" t="inlineStr">
        <is>
          <t>Nivel de Satisfacción Servicios Prestados - Gestión Jurídica Y Normativa</t>
        </is>
      </c>
      <c r="C2523" t="inlineStr">
        <is>
          <t>GESTIÓN JURÍDICA Y NORMATIVA</t>
        </is>
      </c>
      <c r="D2523" t="inlineStr">
        <is>
          <t>Anual</t>
        </is>
      </c>
      <c r="E2523" t="inlineStr">
        <is>
          <t>Positivo</t>
        </is>
      </c>
      <c r="F2523" s="111" t="n">
        <v>46022</v>
      </c>
      <c r="G2523" t="n">
        <v>2025</v>
      </c>
      <c r="H2523" t="inlineStr">
        <is>
          <t>Diciembre</t>
        </is>
      </c>
      <c r="I2523" t="inlineStr">
        <is>
          <t>2025-2</t>
        </is>
      </c>
      <c r="J2523" t="n">
        <v>80</v>
      </c>
      <c r="K2523" t="n">
        <v>77</v>
      </c>
      <c r="L2523" s="39">
        <f>IFERROR(IF(OR(J2523=0,K2523=""),"",IF(E2523="Positivo",MIN(MAX(K2523/J2523,0),1.3),MIN(MAX(J2523/K2523,0),1.3))),"") </f>
        <v/>
      </c>
      <c r="M2523" s="39">
        <f>IFERROR(IF(OR(J2523=0,K2523=""),"",IF(E2523="Positivo",MAX(K2523/J2523,0),MAX(J2523/K2523,0))),"") </f>
        <v/>
      </c>
      <c r="N2523" t="inlineStr">
        <is>
          <t>%</t>
        </is>
      </c>
      <c r="O2523" t="inlineStr">
        <is>
          <t>%</t>
        </is>
      </c>
      <c r="P2523" t="n">
        <v>0</v>
      </c>
      <c r="Q2523" t="n">
        <v>0</v>
      </c>
      <c r="R2523" t="inlineStr">
        <is>
          <t>493-2025-12-31</t>
        </is>
      </c>
    </row>
    <row r="2524">
      <c r="A2524" t="n">
        <v>494</v>
      </c>
      <c r="B2524" t="inlineStr">
        <is>
          <t>Nivel de Satisfacción Servicios Prestados - Administración De Servicios Generales</t>
        </is>
      </c>
      <c r="C2524" t="inlineStr">
        <is>
          <t>Administración de Servicios Generales</t>
        </is>
      </c>
      <c r="D2524" t="inlineStr">
        <is>
          <t>Anual</t>
        </is>
      </c>
      <c r="E2524" t="inlineStr">
        <is>
          <t>Positivo</t>
        </is>
      </c>
      <c r="F2524" s="111" t="n">
        <v>45657</v>
      </c>
      <c r="G2524" t="n">
        <v>2024</v>
      </c>
      <c r="H2524" t="inlineStr">
        <is>
          <t>Diciembre</t>
        </is>
      </c>
      <c r="I2524" t="inlineStr">
        <is>
          <t>2024-2</t>
        </is>
      </c>
      <c r="J2524" t="n">
        <v>80</v>
      </c>
      <c r="K2524" t="n">
        <v>89</v>
      </c>
      <c r="L2524" s="39">
        <f>IFERROR(IF(OR(J2524=0,K2524=""),"",IF(E2524="Positivo",MIN(MAX(K2524/J2524,0),1.3),MIN(MAX(J2524/K2524,0),1.3))),"") </f>
        <v/>
      </c>
      <c r="M2524" s="39">
        <f>IFERROR(IF(OR(J2524=0,K2524=""),"",IF(E2524="Positivo",MAX(K2524/J2524,0),MAX(J2524/K2524,0))),"") </f>
        <v/>
      </c>
      <c r="N2524" t="inlineStr">
        <is>
          <t>%</t>
        </is>
      </c>
      <c r="O2524" t="inlineStr">
        <is>
          <t>%</t>
        </is>
      </c>
      <c r="P2524" t="n">
        <v>0</v>
      </c>
      <c r="Q2524" t="n">
        <v>0</v>
      </c>
      <c r="R2524" t="inlineStr">
        <is>
          <t>494-2024-12-31</t>
        </is>
      </c>
    </row>
    <row r="2525">
      <c r="A2525" t="n">
        <v>494</v>
      </c>
      <c r="B2525" t="inlineStr">
        <is>
          <t>Nivel de Satisfacción Servicios Prestados - Administración De Servicios Generales</t>
        </is>
      </c>
      <c r="C2525" t="inlineStr">
        <is>
          <t>Administración de Servicios Generales</t>
        </is>
      </c>
      <c r="D2525" t="inlineStr">
        <is>
          <t>Anual</t>
        </is>
      </c>
      <c r="E2525" t="inlineStr">
        <is>
          <t>Positivo</t>
        </is>
      </c>
      <c r="F2525" s="111" t="n">
        <v>46022</v>
      </c>
      <c r="G2525" t="n">
        <v>2025</v>
      </c>
      <c r="H2525" t="inlineStr">
        <is>
          <t>Diciembre</t>
        </is>
      </c>
      <c r="I2525" t="inlineStr">
        <is>
          <t>2025-2</t>
        </is>
      </c>
      <c r="J2525" t="n">
        <v>80</v>
      </c>
      <c r="K2525" t="n">
        <v>93</v>
      </c>
      <c r="L2525" s="39">
        <f>IFERROR(IF(OR(J2525=0,K2525=""),"",IF(E2525="Positivo",MIN(MAX(K2525/J2525,0),1.3),MIN(MAX(J2525/K2525,0),1.3))),"") </f>
        <v/>
      </c>
      <c r="M2525" s="39">
        <f>IFERROR(IF(OR(J2525=0,K2525=""),"",IF(E2525="Positivo",MAX(K2525/J2525,0),MAX(J2525/K2525,0))),"") </f>
        <v/>
      </c>
      <c r="N2525" t="inlineStr">
        <is>
          <t>%</t>
        </is>
      </c>
      <c r="O2525" t="inlineStr">
        <is>
          <t>%</t>
        </is>
      </c>
      <c r="P2525" t="n">
        <v>0</v>
      </c>
      <c r="Q2525" t="n">
        <v>0</v>
      </c>
      <c r="R2525" t="inlineStr">
        <is>
          <t>494-2025-12-31</t>
        </is>
      </c>
    </row>
    <row r="2526">
      <c r="A2526" t="n">
        <v>495</v>
      </c>
      <c r="B2526" t="inlineStr">
        <is>
          <t>Nivel de Satisfacción Servicios Prestados - Contabilidad</t>
        </is>
      </c>
      <c r="C2526" t="inlineStr">
        <is>
          <t>Contabilidad</t>
        </is>
      </c>
      <c r="D2526" t="inlineStr">
        <is>
          <t>Anual</t>
        </is>
      </c>
      <c r="E2526" t="inlineStr">
        <is>
          <t>Positivo</t>
        </is>
      </c>
      <c r="F2526" s="111" t="n">
        <v>45657</v>
      </c>
      <c r="G2526" t="n">
        <v>2024</v>
      </c>
      <c r="H2526" t="inlineStr">
        <is>
          <t>Diciembre</t>
        </is>
      </c>
      <c r="I2526" t="inlineStr">
        <is>
          <t>2024-2</t>
        </is>
      </c>
      <c r="J2526" t="n">
        <v>80</v>
      </c>
      <c r="K2526" t="n">
        <v>92</v>
      </c>
      <c r="L2526" s="39">
        <f>IFERROR(IF(OR(J2526=0,K2526=""),"",IF(E2526="Positivo",MIN(MAX(K2526/J2526,0),1.3),MIN(MAX(J2526/K2526,0),1.3))),"") </f>
        <v/>
      </c>
      <c r="M2526" s="39">
        <f>IFERROR(IF(OR(J2526=0,K2526=""),"",IF(E2526="Positivo",MAX(K2526/J2526,0),MAX(J2526/K2526,0))),"") </f>
        <v/>
      </c>
      <c r="N2526" t="inlineStr">
        <is>
          <t>%</t>
        </is>
      </c>
      <c r="O2526" t="inlineStr">
        <is>
          <t>%</t>
        </is>
      </c>
      <c r="P2526" t="n">
        <v>0</v>
      </c>
      <c r="Q2526" t="n">
        <v>0</v>
      </c>
      <c r="R2526" t="inlineStr">
        <is>
          <t>495-2024-12-31</t>
        </is>
      </c>
    </row>
    <row r="2527">
      <c r="A2527" t="n">
        <v>495</v>
      </c>
      <c r="B2527" t="inlineStr">
        <is>
          <t>Nivel de Satisfacción Servicios Prestados - Contabilidad</t>
        </is>
      </c>
      <c r="C2527" t="inlineStr">
        <is>
          <t>Contabilidad</t>
        </is>
      </c>
      <c r="D2527" t="inlineStr">
        <is>
          <t>Anual</t>
        </is>
      </c>
      <c r="E2527" t="inlineStr">
        <is>
          <t>Positivo</t>
        </is>
      </c>
      <c r="F2527" s="111" t="n">
        <v>46022</v>
      </c>
      <c r="G2527" t="n">
        <v>2025</v>
      </c>
      <c r="H2527" t="inlineStr">
        <is>
          <t>Diciembre</t>
        </is>
      </c>
      <c r="I2527" t="inlineStr">
        <is>
          <t>2025-2</t>
        </is>
      </c>
      <c r="J2527" t="n">
        <v>80</v>
      </c>
      <c r="K2527" t="n">
        <v>63</v>
      </c>
      <c r="L2527" s="39">
        <f>IFERROR(IF(OR(J2527=0,K2527=""),"",IF(E2527="Positivo",MIN(MAX(K2527/J2527,0),1.3),MIN(MAX(J2527/K2527,0),1.3))),"") </f>
        <v/>
      </c>
      <c r="M2527" s="39">
        <f>IFERROR(IF(OR(J2527=0,K2527=""),"",IF(E2527="Positivo",MAX(K2527/J2527,0),MAX(J2527/K2527,0))),"") </f>
        <v/>
      </c>
      <c r="N2527" t="inlineStr">
        <is>
          <t>%</t>
        </is>
      </c>
      <c r="O2527" t="inlineStr">
        <is>
          <t>%</t>
        </is>
      </c>
      <c r="P2527" t="n">
        <v>0</v>
      </c>
      <c r="Q2527" t="n">
        <v>0</v>
      </c>
      <c r="R2527" t="inlineStr">
        <is>
          <t>495-2025-12-31</t>
        </is>
      </c>
    </row>
    <row r="2528">
      <c r="A2528" t="n">
        <v>496</v>
      </c>
      <c r="B2528" t="inlineStr">
        <is>
          <t>Nivel de Satisfacción Servicios Prestados - Planeación Financiera</t>
        </is>
      </c>
      <c r="C2528" t="inlineStr">
        <is>
          <t>Planeación Financiera</t>
        </is>
      </c>
      <c r="D2528" t="inlineStr">
        <is>
          <t>Anual</t>
        </is>
      </c>
      <c r="E2528" t="inlineStr">
        <is>
          <t>Positivo</t>
        </is>
      </c>
      <c r="F2528" s="111" t="n">
        <v>45657</v>
      </c>
      <c r="G2528" t="n">
        <v>2024</v>
      </c>
      <c r="H2528" t="inlineStr">
        <is>
          <t>Diciembre</t>
        </is>
      </c>
      <c r="I2528" t="inlineStr">
        <is>
          <t>2024-2</t>
        </is>
      </c>
      <c r="J2528" t="n">
        <v>80</v>
      </c>
      <c r="K2528" t="n">
        <v>88</v>
      </c>
      <c r="L2528" s="39">
        <f>IFERROR(IF(OR(J2528=0,K2528=""),"",IF(E2528="Positivo",MIN(MAX(K2528/J2528,0),1.3),MIN(MAX(J2528/K2528,0),1.3))),"") </f>
        <v/>
      </c>
      <c r="M2528" s="39">
        <f>IFERROR(IF(OR(J2528=0,K2528=""),"",IF(E2528="Positivo",MAX(K2528/J2528,0),MAX(J2528/K2528,0))),"") </f>
        <v/>
      </c>
      <c r="N2528" t="inlineStr">
        <is>
          <t>%</t>
        </is>
      </c>
      <c r="O2528" t="inlineStr">
        <is>
          <t>%</t>
        </is>
      </c>
      <c r="P2528" t="n">
        <v>0</v>
      </c>
      <c r="Q2528" t="n">
        <v>0</v>
      </c>
      <c r="R2528" t="inlineStr">
        <is>
          <t>496-2024-12-31</t>
        </is>
      </c>
    </row>
    <row r="2529">
      <c r="A2529" t="n">
        <v>496</v>
      </c>
      <c r="B2529" t="inlineStr">
        <is>
          <t>Nivel de Satisfacción Servicios Prestados - Planeación Financiera</t>
        </is>
      </c>
      <c r="C2529" t="inlineStr">
        <is>
          <t>Planeación Financiera</t>
        </is>
      </c>
      <c r="D2529" t="inlineStr">
        <is>
          <t>Anual</t>
        </is>
      </c>
      <c r="E2529" t="inlineStr">
        <is>
          <t>Positivo</t>
        </is>
      </c>
      <c r="F2529" s="111" t="n">
        <v>46022</v>
      </c>
      <c r="G2529" t="n">
        <v>2025</v>
      </c>
      <c r="H2529" t="inlineStr">
        <is>
          <t>Diciembre</t>
        </is>
      </c>
      <c r="I2529" t="inlineStr">
        <is>
          <t>2025-2</t>
        </is>
      </c>
      <c r="J2529" t="n">
        <v>80</v>
      </c>
      <c r="K2529" t="n">
        <v>100</v>
      </c>
      <c r="L2529" s="39">
        <f>IFERROR(IF(OR(J2529=0,K2529=""),"",IF(E2529="Positivo",MIN(MAX(K2529/J2529,0),1.3),MIN(MAX(J2529/K2529,0),1.3))),"") </f>
        <v/>
      </c>
      <c r="M2529" s="39">
        <f>IFERROR(IF(OR(J2529=0,K2529=""),"",IF(E2529="Positivo",MAX(K2529/J2529,0),MAX(J2529/K2529,0))),"") </f>
        <v/>
      </c>
      <c r="N2529" t="inlineStr">
        <is>
          <t>%</t>
        </is>
      </c>
      <c r="O2529" t="inlineStr">
        <is>
          <t>%</t>
        </is>
      </c>
      <c r="P2529" t="n">
        <v>0</v>
      </c>
      <c r="Q2529" t="n">
        <v>0</v>
      </c>
      <c r="R2529" t="inlineStr">
        <is>
          <t>496-2025-12-31</t>
        </is>
      </c>
    </row>
    <row r="2530">
      <c r="A2530" t="n">
        <v>497</v>
      </c>
      <c r="B2530" t="inlineStr">
        <is>
          <t>Nivel de Satisfacción Servicios Prestados - Tesorería</t>
        </is>
      </c>
      <c r="C2530" t="inlineStr">
        <is>
          <t>Tesorería</t>
        </is>
      </c>
      <c r="D2530" t="inlineStr">
        <is>
          <t>Anual</t>
        </is>
      </c>
      <c r="E2530" t="inlineStr">
        <is>
          <t>Positivo</t>
        </is>
      </c>
      <c r="F2530" s="111" t="n">
        <v>45657</v>
      </c>
      <c r="G2530" t="n">
        <v>2024</v>
      </c>
      <c r="H2530" t="inlineStr">
        <is>
          <t>Diciembre</t>
        </is>
      </c>
      <c r="I2530" t="inlineStr">
        <is>
          <t>2024-2</t>
        </is>
      </c>
      <c r="J2530" t="n">
        <v>80</v>
      </c>
      <c r="K2530" t="n">
        <v>83</v>
      </c>
      <c r="L2530" s="39">
        <f>IFERROR(IF(OR(J2530=0,K2530=""),"",IF(E2530="Positivo",MIN(MAX(K2530/J2530,0),1.3),MIN(MAX(J2530/K2530,0),1.3))),"") </f>
        <v/>
      </c>
      <c r="M2530" s="39">
        <f>IFERROR(IF(OR(J2530=0,K2530=""),"",IF(E2530="Positivo",MAX(K2530/J2530,0),MAX(J2530/K2530,0))),"") </f>
        <v/>
      </c>
      <c r="N2530" t="inlineStr">
        <is>
          <t>%</t>
        </is>
      </c>
      <c r="O2530" t="inlineStr">
        <is>
          <t>%</t>
        </is>
      </c>
      <c r="P2530" t="n">
        <v>0</v>
      </c>
      <c r="Q2530" t="n">
        <v>0</v>
      </c>
      <c r="R2530" t="inlineStr">
        <is>
          <t>497-2024-12-31</t>
        </is>
      </c>
    </row>
    <row r="2531">
      <c r="A2531" t="n">
        <v>498</v>
      </c>
      <c r="B2531" t="inlineStr">
        <is>
          <t>Nivel de Satisfacción Servicios Prestados - Centro de Medios Audiovisuales</t>
        </is>
      </c>
      <c r="C2531" t="inlineStr">
        <is>
          <t>Centro de Medios Audiovisuales</t>
        </is>
      </c>
      <c r="D2531" t="inlineStr">
        <is>
          <t>Anual</t>
        </is>
      </c>
      <c r="E2531" t="inlineStr">
        <is>
          <t>Positivo</t>
        </is>
      </c>
      <c r="F2531" s="111" t="n">
        <v>45657</v>
      </c>
      <c r="G2531" t="n">
        <v>2024</v>
      </c>
      <c r="H2531" t="inlineStr">
        <is>
          <t>Diciembre</t>
        </is>
      </c>
      <c r="I2531" t="inlineStr">
        <is>
          <t>2024-2</t>
        </is>
      </c>
      <c r="J2531" t="n">
        <v>80</v>
      </c>
      <c r="K2531" t="n">
        <v>92</v>
      </c>
      <c r="L2531" s="39">
        <f>IFERROR(IF(OR(J2531=0,K2531=""),"",IF(E2531="Positivo",MIN(MAX(K2531/J2531,0),1.3),MIN(MAX(J2531/K2531,0),1.3))),"") </f>
        <v/>
      </c>
      <c r="M2531" s="39">
        <f>IFERROR(IF(OR(J2531=0,K2531=""),"",IF(E2531="Positivo",MAX(K2531/J2531,0),MAX(J2531/K2531,0))),"") </f>
        <v/>
      </c>
      <c r="N2531" t="inlineStr">
        <is>
          <t>%</t>
        </is>
      </c>
      <c r="O2531" t="inlineStr">
        <is>
          <t>%</t>
        </is>
      </c>
      <c r="P2531" t="n">
        <v>0</v>
      </c>
      <c r="Q2531" t="n">
        <v>0</v>
      </c>
      <c r="R2531" t="inlineStr">
        <is>
          <t>498-2024-12-31</t>
        </is>
      </c>
    </row>
    <row r="2532">
      <c r="A2532" t="n">
        <v>498</v>
      </c>
      <c r="B2532" t="inlineStr">
        <is>
          <t>Nivel de Satisfacción Servicios Prestados - Centro de Medios Audiovisuales</t>
        </is>
      </c>
      <c r="C2532" t="inlineStr">
        <is>
          <t>Centro de Medios Audiovisuales</t>
        </is>
      </c>
      <c r="D2532" t="inlineStr">
        <is>
          <t>Anual</t>
        </is>
      </c>
      <c r="E2532" t="inlineStr">
        <is>
          <t>Positivo</t>
        </is>
      </c>
      <c r="F2532" s="111" t="n">
        <v>46022</v>
      </c>
      <c r="G2532" t="n">
        <v>2025</v>
      </c>
      <c r="H2532" t="inlineStr">
        <is>
          <t>Diciembre</t>
        </is>
      </c>
      <c r="I2532" t="inlineStr">
        <is>
          <t>2025-2</t>
        </is>
      </c>
      <c r="J2532" t="n">
        <v>80</v>
      </c>
      <c r="K2532" t="n">
        <v>95</v>
      </c>
      <c r="L2532" s="39">
        <f>IFERROR(IF(OR(J2532=0,K2532=""),"",IF(E2532="Positivo",MIN(MAX(K2532/J2532,0),1.3),MIN(MAX(J2532/K2532,0),1.3))),"") </f>
        <v/>
      </c>
      <c r="M2532" s="39">
        <f>IFERROR(IF(OR(J2532=0,K2532=""),"",IF(E2532="Positivo",MAX(K2532/J2532,0),MAX(J2532/K2532,0))),"") </f>
        <v/>
      </c>
      <c r="N2532" t="inlineStr">
        <is>
          <t>%</t>
        </is>
      </c>
      <c r="O2532" t="inlineStr">
        <is>
          <t>%</t>
        </is>
      </c>
      <c r="P2532" t="n">
        <v>0</v>
      </c>
      <c r="Q2532" t="n">
        <v>0</v>
      </c>
      <c r="R2532" t="inlineStr">
        <is>
          <t>498-2025-12-31</t>
        </is>
      </c>
    </row>
    <row r="2533">
      <c r="A2533" t="n">
        <v>499</v>
      </c>
      <c r="B2533" t="inlineStr">
        <is>
          <t>Nivel de Satisfacción Servicios Prestados - Datos y analítica</t>
        </is>
      </c>
      <c r="C2533" t="inlineStr">
        <is>
          <t>DATOS Y ANALÍTICA</t>
        </is>
      </c>
      <c r="D2533" t="inlineStr">
        <is>
          <t>Anual</t>
        </is>
      </c>
      <c r="E2533" t="inlineStr">
        <is>
          <t>Positivo</t>
        </is>
      </c>
      <c r="F2533" s="111" t="n">
        <v>45657</v>
      </c>
      <c r="G2533" t="n">
        <v>2024</v>
      </c>
      <c r="H2533" t="inlineStr">
        <is>
          <t>Diciembre</t>
        </is>
      </c>
      <c r="I2533" t="inlineStr">
        <is>
          <t>2024-2</t>
        </is>
      </c>
      <c r="J2533" t="n">
        <v>80</v>
      </c>
      <c r="K2533" t="n">
        <v>87</v>
      </c>
      <c r="L2533" s="39">
        <f>IFERROR(IF(OR(J2533=0,K2533=""),"",IF(E2533="Positivo",MIN(MAX(K2533/J2533,0),1.3),MIN(MAX(J2533/K2533,0),1.3))),"") </f>
        <v/>
      </c>
      <c r="M2533" s="39">
        <f>IFERROR(IF(OR(J2533=0,K2533=""),"",IF(E2533="Positivo",MAX(K2533/J2533,0),MAX(J2533/K2533,0))),"") </f>
        <v/>
      </c>
      <c r="N2533" t="inlineStr">
        <is>
          <t>%</t>
        </is>
      </c>
      <c r="O2533" t="inlineStr">
        <is>
          <t>%</t>
        </is>
      </c>
      <c r="P2533" t="n">
        <v>0</v>
      </c>
      <c r="Q2533" t="n">
        <v>0</v>
      </c>
      <c r="R2533" t="inlineStr">
        <is>
          <t>499-2024-12-31</t>
        </is>
      </c>
    </row>
    <row r="2534">
      <c r="A2534" t="n">
        <v>499</v>
      </c>
      <c r="B2534" t="inlineStr">
        <is>
          <t>Nivel de Satisfacción Servicios Prestados - Datos y analítica</t>
        </is>
      </c>
      <c r="C2534" t="inlineStr">
        <is>
          <t>DATOS Y ANALÍTICA</t>
        </is>
      </c>
      <c r="D2534" t="inlineStr">
        <is>
          <t>Anual</t>
        </is>
      </c>
      <c r="E2534" t="inlineStr">
        <is>
          <t>Positivo</t>
        </is>
      </c>
      <c r="F2534" s="111" t="n">
        <v>46022</v>
      </c>
      <c r="G2534" t="n">
        <v>2025</v>
      </c>
      <c r="H2534" t="inlineStr">
        <is>
          <t>Diciembre</t>
        </is>
      </c>
      <c r="I2534" t="inlineStr">
        <is>
          <t>2025-2</t>
        </is>
      </c>
      <c r="J2534" t="n">
        <v>80</v>
      </c>
      <c r="K2534" t="n">
        <v>0</v>
      </c>
      <c r="L2534" s="39">
        <f>IFERROR(IF(OR(J2534=0,K2534=""),"",IF(E2534="Positivo",MIN(MAX(K2534/J2534,0),1.3),MIN(MAX(J2534/K2534,0),1.3))),"") </f>
        <v/>
      </c>
      <c r="M2534" s="39">
        <f>IFERROR(IF(OR(J2534=0,K2534=""),"",IF(E2534="Positivo",MAX(K2534/J2534,0),MAX(J2534/K2534,0))),"") </f>
        <v/>
      </c>
      <c r="N2534" t="inlineStr">
        <is>
          <t>%</t>
        </is>
      </c>
      <c r="O2534" t="inlineStr">
        <is>
          <t>%</t>
        </is>
      </c>
      <c r="P2534" t="n">
        <v>0</v>
      </c>
      <c r="Q2534" t="n">
        <v>0</v>
      </c>
      <c r="R2534" t="inlineStr">
        <is>
          <t>499-2025-12-31</t>
        </is>
      </c>
    </row>
    <row r="2535">
      <c r="A2535" t="n">
        <v>500</v>
      </c>
      <c r="B2535" t="inlineStr">
        <is>
          <t>Nivel de Satisfacción Servicios Prestados -Servicio de Salud</t>
        </is>
      </c>
      <c r="C2535" t="inlineStr">
        <is>
          <t>Servicio de Salud</t>
        </is>
      </c>
      <c r="D2535" t="inlineStr">
        <is>
          <t>Anual</t>
        </is>
      </c>
      <c r="E2535" t="inlineStr">
        <is>
          <t>Positivo</t>
        </is>
      </c>
      <c r="F2535" s="111" t="n">
        <v>45657</v>
      </c>
      <c r="G2535" t="n">
        <v>2024</v>
      </c>
      <c r="H2535" t="inlineStr">
        <is>
          <t>Diciembre</t>
        </is>
      </c>
      <c r="I2535" t="inlineStr">
        <is>
          <t>2024-2</t>
        </is>
      </c>
      <c r="J2535" t="n">
        <v>80</v>
      </c>
      <c r="K2535" t="n">
        <v>89</v>
      </c>
      <c r="L2535" s="39">
        <f>IFERROR(IF(OR(J2535=0,K2535=""),"",IF(E2535="Positivo",MIN(MAX(K2535/J2535,0),1.3),MIN(MAX(J2535/K2535,0),1.3))),"") </f>
        <v/>
      </c>
      <c r="M2535" s="39">
        <f>IFERROR(IF(OR(J2535=0,K2535=""),"",IF(E2535="Positivo",MAX(K2535/J2535,0),MAX(J2535/K2535,0))),"") </f>
        <v/>
      </c>
      <c r="N2535" t="inlineStr">
        <is>
          <t>%</t>
        </is>
      </c>
      <c r="O2535" t="inlineStr">
        <is>
          <t>%</t>
        </is>
      </c>
      <c r="P2535" t="n">
        <v>0</v>
      </c>
      <c r="Q2535" t="n">
        <v>0</v>
      </c>
      <c r="R2535" t="inlineStr">
        <is>
          <t>500-2024-12-31</t>
        </is>
      </c>
    </row>
    <row r="2536">
      <c r="A2536" t="n">
        <v>500</v>
      </c>
      <c r="B2536" t="inlineStr">
        <is>
          <t>Nivel de Satisfacción Servicios Prestados -Servicio de Salud</t>
        </is>
      </c>
      <c r="C2536" t="inlineStr">
        <is>
          <t>Servicio de Salud</t>
        </is>
      </c>
      <c r="D2536" t="inlineStr">
        <is>
          <t>Anual</t>
        </is>
      </c>
      <c r="E2536" t="inlineStr">
        <is>
          <t>Positivo</t>
        </is>
      </c>
      <c r="F2536" s="111" t="n">
        <v>46022</v>
      </c>
      <c r="G2536" t="n">
        <v>2025</v>
      </c>
      <c r="H2536" t="inlineStr">
        <is>
          <t>Diciembre</t>
        </is>
      </c>
      <c r="I2536" t="inlineStr">
        <is>
          <t>2025-2</t>
        </is>
      </c>
      <c r="J2536" t="n">
        <v>80</v>
      </c>
      <c r="K2536" t="n">
        <v>100</v>
      </c>
      <c r="L2536" s="39">
        <f>IFERROR(IF(OR(J2536=0,K2536=""),"",IF(E2536="Positivo",MIN(MAX(K2536/J2536,0),1.3),MIN(MAX(J2536/K2536,0),1.3))),"") </f>
        <v/>
      </c>
      <c r="M2536" s="39">
        <f>IFERROR(IF(OR(J2536=0,K2536=""),"",IF(E2536="Positivo",MAX(K2536/J2536,0),MAX(J2536/K2536,0))),"") </f>
        <v/>
      </c>
      <c r="N2536" t="inlineStr">
        <is>
          <t>%</t>
        </is>
      </c>
      <c r="O2536" t="inlineStr">
        <is>
          <t>%</t>
        </is>
      </c>
      <c r="P2536" t="n">
        <v>0</v>
      </c>
      <c r="Q2536" t="n">
        <v>0</v>
      </c>
      <c r="R2536" t="inlineStr">
        <is>
          <t>500-2025-12-31</t>
        </is>
      </c>
    </row>
    <row r="2537">
      <c r="A2537" t="n">
        <v>501</v>
      </c>
      <c r="B2537" t="inlineStr">
        <is>
          <t>Nivel de Satisfacción Servicios Prestados -Gestión, evaluación e innovación curricular</t>
        </is>
      </c>
      <c r="C2537" t="inlineStr">
        <is>
          <t>Gestión, Evaluación e Innovación Curricular</t>
        </is>
      </c>
      <c r="D2537" t="inlineStr">
        <is>
          <t>Anual</t>
        </is>
      </c>
      <c r="E2537" t="inlineStr">
        <is>
          <t>Positivo</t>
        </is>
      </c>
      <c r="F2537" s="111" t="n">
        <v>45657</v>
      </c>
      <c r="G2537" t="n">
        <v>2024</v>
      </c>
      <c r="H2537" t="inlineStr">
        <is>
          <t>Diciembre</t>
        </is>
      </c>
      <c r="I2537" t="inlineStr">
        <is>
          <t>2024-2</t>
        </is>
      </c>
      <c r="J2537" t="n">
        <v>80</v>
      </c>
      <c r="K2537" t="n">
        <v>88</v>
      </c>
      <c r="L2537" s="39">
        <f>IFERROR(IF(OR(J2537=0,K2537=""),"",IF(E2537="Positivo",MIN(MAX(K2537/J2537,0),1.3),MIN(MAX(J2537/K2537,0),1.3))),"") </f>
        <v/>
      </c>
      <c r="M2537" s="39">
        <f>IFERROR(IF(OR(J2537=0,K2537=""),"",IF(E2537="Positivo",MAX(K2537/J2537,0),MAX(J2537/K2537,0))),"") </f>
        <v/>
      </c>
      <c r="N2537" t="inlineStr">
        <is>
          <t>%</t>
        </is>
      </c>
      <c r="O2537" t="inlineStr">
        <is>
          <t>%</t>
        </is>
      </c>
      <c r="P2537" t="n">
        <v>0</v>
      </c>
      <c r="Q2537" t="n">
        <v>0</v>
      </c>
      <c r="R2537" t="inlineStr">
        <is>
          <t>501-2024-12-31</t>
        </is>
      </c>
    </row>
    <row r="2538">
      <c r="A2538" t="n">
        <v>501</v>
      </c>
      <c r="B2538" t="inlineStr">
        <is>
          <t>Nivel de Satisfacción Servicios Prestados -Gestión, evaluación e innovación curricular</t>
        </is>
      </c>
      <c r="C2538" t="inlineStr">
        <is>
          <t>Gestión, Evaluación e Innovación Curricular</t>
        </is>
      </c>
      <c r="D2538" t="inlineStr">
        <is>
          <t>Anual</t>
        </is>
      </c>
      <c r="E2538" t="inlineStr">
        <is>
          <t>Positivo</t>
        </is>
      </c>
      <c r="F2538" s="111" t="n">
        <v>46022</v>
      </c>
      <c r="G2538" t="n">
        <v>2025</v>
      </c>
      <c r="H2538" t="inlineStr">
        <is>
          <t>Diciembre</t>
        </is>
      </c>
      <c r="I2538" t="inlineStr">
        <is>
          <t>2025-2</t>
        </is>
      </c>
      <c r="J2538" t="n">
        <v>80</v>
      </c>
      <c r="K2538" t="n">
        <v>100</v>
      </c>
      <c r="L2538" s="39">
        <f>IFERROR(IF(OR(J2538=0,K2538=""),"",IF(E2538="Positivo",MIN(MAX(K2538/J2538,0),1.3),MIN(MAX(J2538/K2538,0),1.3))),"") </f>
        <v/>
      </c>
      <c r="M2538" s="39">
        <f>IFERROR(IF(OR(J2538=0,K2538=""),"",IF(E2538="Positivo",MAX(K2538/J2538,0),MAX(J2538/K2538,0))),"") </f>
        <v/>
      </c>
      <c r="N2538" t="inlineStr">
        <is>
          <t>%</t>
        </is>
      </c>
      <c r="O2538" t="inlineStr">
        <is>
          <t>%</t>
        </is>
      </c>
      <c r="P2538" t="n">
        <v>0</v>
      </c>
      <c r="Q2538" t="n">
        <v>0</v>
      </c>
      <c r="R2538" t="inlineStr">
        <is>
          <t>501-2025-12-31</t>
        </is>
      </c>
    </row>
    <row r="2539">
      <c r="A2539" t="n">
        <v>502</v>
      </c>
      <c r="B2539" t="inlineStr">
        <is>
          <t>Nivel de Satisfacción Servicios Prestados -Formación para la investigación, creación e innovación</t>
        </is>
      </c>
      <c r="C2539" t="inlineStr">
        <is>
          <t>Formación para la investigación, creación e innovación</t>
        </is>
      </c>
      <c r="D2539" t="inlineStr">
        <is>
          <t>Anual</t>
        </is>
      </c>
      <c r="E2539" t="inlineStr">
        <is>
          <t>Positivo</t>
        </is>
      </c>
      <c r="F2539" s="111" t="n">
        <v>45657</v>
      </c>
      <c r="G2539" t="n">
        <v>2024</v>
      </c>
      <c r="H2539" t="inlineStr">
        <is>
          <t>Diciembre</t>
        </is>
      </c>
      <c r="I2539" t="inlineStr">
        <is>
          <t>2024-2</t>
        </is>
      </c>
      <c r="J2539" t="n">
        <v>80</v>
      </c>
      <c r="K2539" t="n">
        <v>90</v>
      </c>
      <c r="L2539" s="39">
        <f>IFERROR(IF(OR(J2539=0,K2539=""),"",IF(E2539="Positivo",MIN(MAX(K2539/J2539,0),1.3),MIN(MAX(J2539/K2539,0),1.3))),"") </f>
        <v/>
      </c>
      <c r="M2539" s="39">
        <f>IFERROR(IF(OR(J2539=0,K2539=""),"",IF(E2539="Positivo",MAX(K2539/J2539,0),MAX(J2539/K2539,0))),"") </f>
        <v/>
      </c>
      <c r="N2539" t="inlineStr">
        <is>
          <t>%</t>
        </is>
      </c>
      <c r="O2539" t="inlineStr">
        <is>
          <t>%</t>
        </is>
      </c>
      <c r="P2539" t="n">
        <v>0</v>
      </c>
      <c r="Q2539" t="n">
        <v>0</v>
      </c>
      <c r="R2539" t="inlineStr">
        <is>
          <t>502-2024-12-31</t>
        </is>
      </c>
    </row>
    <row r="2540">
      <c r="A2540" t="n">
        <v>502</v>
      </c>
      <c r="B2540" t="inlineStr">
        <is>
          <t>Nivel de Satisfacción Servicios Prestados -Formación para la investigación, creación e innovación</t>
        </is>
      </c>
      <c r="C2540" t="inlineStr">
        <is>
          <t>Formación para la investigación, creación e innovación</t>
        </is>
      </c>
      <c r="D2540" t="inlineStr">
        <is>
          <t>Anual</t>
        </is>
      </c>
      <c r="E2540" t="inlineStr">
        <is>
          <t>Positivo</t>
        </is>
      </c>
      <c r="F2540" s="111" t="n">
        <v>46022</v>
      </c>
      <c r="G2540" t="n">
        <v>2025</v>
      </c>
      <c r="H2540" t="inlineStr">
        <is>
          <t>Diciembre</t>
        </is>
      </c>
      <c r="I2540" t="inlineStr">
        <is>
          <t>2025-2</t>
        </is>
      </c>
      <c r="J2540" t="n">
        <v>80</v>
      </c>
      <c r="K2540" t="n">
        <v>97</v>
      </c>
      <c r="L2540" s="39">
        <f>IFERROR(IF(OR(J2540=0,K2540=""),"",IF(E2540="Positivo",MIN(MAX(K2540/J2540,0),1.3),MIN(MAX(J2540/K2540,0),1.3))),"") </f>
        <v/>
      </c>
      <c r="M2540" s="39">
        <f>IFERROR(IF(OR(J2540=0,K2540=""),"",IF(E2540="Positivo",MAX(K2540/J2540,0),MAX(J2540/K2540,0))),"") </f>
        <v/>
      </c>
      <c r="N2540" t="inlineStr">
        <is>
          <t>%</t>
        </is>
      </c>
      <c r="O2540" t="inlineStr">
        <is>
          <t>%</t>
        </is>
      </c>
      <c r="P2540" t="n">
        <v>0</v>
      </c>
      <c r="Q2540" t="n">
        <v>0</v>
      </c>
      <c r="R2540" t="inlineStr">
        <is>
          <t>502-2025-12-31</t>
        </is>
      </c>
    </row>
    <row r="2541">
      <c r="A2541" t="n">
        <v>503</v>
      </c>
      <c r="B2541" t="inlineStr">
        <is>
          <t>Nivel de Satisfacción Servicios Prestados -Gestión de Unidades Académicas</t>
        </is>
      </c>
      <c r="C2541" t="inlineStr">
        <is>
          <t>Gestión de Unidades Académicas</t>
        </is>
      </c>
      <c r="D2541" t="inlineStr">
        <is>
          <t>Anual</t>
        </is>
      </c>
      <c r="E2541" t="inlineStr">
        <is>
          <t>Positivo</t>
        </is>
      </c>
      <c r="F2541" s="111" t="n">
        <v>45657</v>
      </c>
      <c r="G2541" t="n">
        <v>2024</v>
      </c>
      <c r="H2541" t="inlineStr">
        <is>
          <t>Diciembre</t>
        </is>
      </c>
      <c r="I2541" t="inlineStr">
        <is>
          <t>2024-2</t>
        </is>
      </c>
      <c r="J2541" t="n">
        <v>80</v>
      </c>
      <c r="K2541" t="n">
        <v>86</v>
      </c>
      <c r="L2541" s="39">
        <f>IFERROR(IF(OR(J2541=0,K2541=""),"",IF(E2541="Positivo",MIN(MAX(K2541/J2541,0),1.3),MIN(MAX(J2541/K2541,0),1.3))),"") </f>
        <v/>
      </c>
      <c r="M2541" s="39">
        <f>IFERROR(IF(OR(J2541=0,K2541=""),"",IF(E2541="Positivo",MAX(K2541/J2541,0),MAX(J2541/K2541,0))),"") </f>
        <v/>
      </c>
      <c r="N2541" t="inlineStr">
        <is>
          <t>%</t>
        </is>
      </c>
      <c r="O2541" t="inlineStr">
        <is>
          <t>%</t>
        </is>
      </c>
      <c r="P2541" t="n">
        <v>0</v>
      </c>
      <c r="Q2541" t="n">
        <v>0</v>
      </c>
      <c r="R2541" t="inlineStr">
        <is>
          <t>503-2024-12-31</t>
        </is>
      </c>
    </row>
    <row r="2542">
      <c r="A2542" t="n">
        <v>503</v>
      </c>
      <c r="B2542" t="inlineStr">
        <is>
          <t>Nivel de Satisfacción Servicios Prestados -Gestión de Unidades Académicas</t>
        </is>
      </c>
      <c r="C2542" t="inlineStr">
        <is>
          <t>Gestión de Unidades Académicas</t>
        </is>
      </c>
      <c r="D2542" t="inlineStr">
        <is>
          <t>Anual</t>
        </is>
      </c>
      <c r="E2542" t="inlineStr">
        <is>
          <t>Positivo</t>
        </is>
      </c>
      <c r="F2542" s="111" t="n">
        <v>46022</v>
      </c>
      <c r="G2542" t="n">
        <v>2025</v>
      </c>
      <c r="H2542" t="inlineStr">
        <is>
          <t>Diciembre</t>
        </is>
      </c>
      <c r="I2542" t="inlineStr">
        <is>
          <t>2025-2</t>
        </is>
      </c>
      <c r="J2542" t="n">
        <v>80</v>
      </c>
      <c r="K2542" t="n">
        <v>94</v>
      </c>
      <c r="L2542" s="39">
        <f>IFERROR(IF(OR(J2542=0,K2542=""),"",IF(E2542="Positivo",MIN(MAX(K2542/J2542,0),1.3),MIN(MAX(J2542/K2542,0),1.3))),"") </f>
        <v/>
      </c>
      <c r="M2542" s="39">
        <f>IFERROR(IF(OR(J2542=0,K2542=""),"",IF(E2542="Positivo",MAX(K2542/J2542,0),MAX(J2542/K2542,0))),"") </f>
        <v/>
      </c>
      <c r="N2542" t="inlineStr">
        <is>
          <t>%</t>
        </is>
      </c>
      <c r="O2542" t="inlineStr">
        <is>
          <t>%</t>
        </is>
      </c>
      <c r="P2542" t="n">
        <v>0</v>
      </c>
      <c r="Q2542" t="n">
        <v>0</v>
      </c>
      <c r="R2542" t="inlineStr">
        <is>
          <t>503-2025-12-31</t>
        </is>
      </c>
    </row>
    <row r="2543">
      <c r="A2543" t="n">
        <v>504</v>
      </c>
      <c r="B2543" t="inlineStr">
        <is>
          <t>Nivel de Satisfacción Servicios Prestados - LEI</t>
        </is>
      </c>
      <c r="C2543" t="inlineStr">
        <is>
          <t>LEI</t>
        </is>
      </c>
      <c r="D2543" t="inlineStr">
        <is>
          <t>Anual</t>
        </is>
      </c>
      <c r="E2543" t="inlineStr">
        <is>
          <t>Positivo</t>
        </is>
      </c>
      <c r="F2543" s="111" t="n">
        <v>45657</v>
      </c>
      <c r="G2543" t="n">
        <v>2024</v>
      </c>
      <c r="H2543" t="inlineStr">
        <is>
          <t>Diciembre</t>
        </is>
      </c>
      <c r="I2543" t="inlineStr">
        <is>
          <t>2024-2</t>
        </is>
      </c>
      <c r="J2543" t="n">
        <v>80</v>
      </c>
      <c r="K2543" t="n">
        <v>88</v>
      </c>
      <c r="L2543" s="39">
        <f>IFERROR(IF(OR(J2543=0,K2543=""),"",IF(E2543="Positivo",MIN(MAX(K2543/J2543,0),1.3),MIN(MAX(J2543/K2543,0),1.3))),"") </f>
        <v/>
      </c>
      <c r="M2543" s="39">
        <f>IFERROR(IF(OR(J2543=0,K2543=""),"",IF(E2543="Positivo",MAX(K2543/J2543,0),MAX(J2543/K2543,0))),"") </f>
        <v/>
      </c>
      <c r="N2543" t="inlineStr">
        <is>
          <t>%</t>
        </is>
      </c>
      <c r="O2543" t="inlineStr">
        <is>
          <t>%</t>
        </is>
      </c>
      <c r="P2543" t="n">
        <v>0</v>
      </c>
      <c r="Q2543" t="n">
        <v>0</v>
      </c>
      <c r="R2543" t="inlineStr">
        <is>
          <t>504-2024-12-31</t>
        </is>
      </c>
    </row>
    <row r="2544">
      <c r="A2544" t="n">
        <v>504</v>
      </c>
      <c r="B2544" t="inlineStr">
        <is>
          <t>Nivel de Satisfacción Servicios Prestados - LEI</t>
        </is>
      </c>
      <c r="C2544" t="inlineStr">
        <is>
          <t>LEI</t>
        </is>
      </c>
      <c r="D2544" t="inlineStr">
        <is>
          <t>Anual</t>
        </is>
      </c>
      <c r="E2544" t="inlineStr">
        <is>
          <t>Positivo</t>
        </is>
      </c>
      <c r="F2544" s="111" t="n">
        <v>46022</v>
      </c>
      <c r="G2544" t="n">
        <v>2025</v>
      </c>
      <c r="H2544" t="inlineStr">
        <is>
          <t>Diciembre</t>
        </is>
      </c>
      <c r="I2544" t="inlineStr">
        <is>
          <t>2025-2</t>
        </is>
      </c>
      <c r="J2544" t="n">
        <v>80</v>
      </c>
      <c r="K2544" t="n">
        <v>88</v>
      </c>
      <c r="L2544" s="39">
        <f>IFERROR(IF(OR(J2544=0,K2544=""),"",IF(E2544="Positivo",MIN(MAX(K2544/J2544,0),1.3),MIN(MAX(J2544/K2544,0),1.3))),"") </f>
        <v/>
      </c>
      <c r="M2544" s="39">
        <f>IFERROR(IF(OR(J2544=0,K2544=""),"",IF(E2544="Positivo",MAX(K2544/J2544,0),MAX(J2544/K2544,0))),"") </f>
        <v/>
      </c>
      <c r="N2544" t="inlineStr">
        <is>
          <t>%</t>
        </is>
      </c>
      <c r="O2544" t="inlineStr">
        <is>
          <t>%</t>
        </is>
      </c>
      <c r="P2544" t="n">
        <v>0</v>
      </c>
      <c r="Q2544" t="n">
        <v>0</v>
      </c>
      <c r="R2544" t="inlineStr">
        <is>
          <t>504-2025-12-31</t>
        </is>
      </c>
    </row>
    <row r="2545">
      <c r="A2545" t="n">
        <v>505</v>
      </c>
      <c r="B2545" t="inlineStr">
        <is>
          <t>Nivel de Satisfacción Servicios Prestados - Mercadeo de programas académicos</t>
        </is>
      </c>
      <c r="C2545" t="inlineStr">
        <is>
          <t>Mercadeo de programas académicos</t>
        </is>
      </c>
      <c r="D2545" t="inlineStr">
        <is>
          <t>Anual</t>
        </is>
      </c>
      <c r="E2545" t="inlineStr">
        <is>
          <t>Positivo</t>
        </is>
      </c>
      <c r="F2545" s="111" t="n">
        <v>45657</v>
      </c>
      <c r="G2545" t="n">
        <v>2024</v>
      </c>
      <c r="H2545" t="inlineStr">
        <is>
          <t>Diciembre</t>
        </is>
      </c>
      <c r="I2545" t="inlineStr">
        <is>
          <t>2024-2</t>
        </is>
      </c>
      <c r="J2545" t="n">
        <v>80</v>
      </c>
      <c r="K2545" t="n">
        <v>85</v>
      </c>
      <c r="L2545" s="39">
        <f>IFERROR(IF(OR(J2545=0,K2545=""),"",IF(E2545="Positivo",MIN(MAX(K2545/J2545,0),1.3),MIN(MAX(J2545/K2545,0),1.3))),"") </f>
        <v/>
      </c>
      <c r="M2545" s="39">
        <f>IFERROR(IF(OR(J2545=0,K2545=""),"",IF(E2545="Positivo",MAX(K2545/J2545,0),MAX(J2545/K2545,0))),"") </f>
        <v/>
      </c>
      <c r="N2545" t="inlineStr">
        <is>
          <t>%</t>
        </is>
      </c>
      <c r="O2545" t="inlineStr">
        <is>
          <t>%</t>
        </is>
      </c>
      <c r="P2545" t="n">
        <v>0</v>
      </c>
      <c r="Q2545" t="n">
        <v>0</v>
      </c>
      <c r="R2545" t="inlineStr">
        <is>
          <t>505-2024-12-31</t>
        </is>
      </c>
    </row>
    <row r="2546">
      <c r="A2546" t="n">
        <v>505</v>
      </c>
      <c r="B2546" t="inlineStr">
        <is>
          <t>Nivel de Satisfacción Servicios Prestados - Mercadeo de programas académicos</t>
        </is>
      </c>
      <c r="C2546" t="inlineStr">
        <is>
          <t>Mercadeo de programas académicos</t>
        </is>
      </c>
      <c r="D2546" t="inlineStr">
        <is>
          <t>Anual</t>
        </is>
      </c>
      <c r="E2546" t="inlineStr">
        <is>
          <t>Positivo</t>
        </is>
      </c>
      <c r="F2546" s="111" t="n">
        <v>46022</v>
      </c>
      <c r="G2546" t="n">
        <v>2025</v>
      </c>
      <c r="H2546" t="inlineStr">
        <is>
          <t>Diciembre</t>
        </is>
      </c>
      <c r="I2546" t="inlineStr">
        <is>
          <t>2025-2</t>
        </is>
      </c>
      <c r="J2546" t="n">
        <v>80</v>
      </c>
      <c r="K2546" t="n">
        <v>86</v>
      </c>
      <c r="L2546" s="39">
        <f>IFERROR(IF(OR(J2546=0,K2546=""),"",IF(E2546="Positivo",MIN(MAX(K2546/J2546,0),1.3),MIN(MAX(J2546/K2546,0),1.3))),"") </f>
        <v/>
      </c>
      <c r="M2546" s="39">
        <f>IFERROR(IF(OR(J2546=0,K2546=""),"",IF(E2546="Positivo",MAX(K2546/J2546,0),MAX(J2546/K2546,0))),"") </f>
        <v/>
      </c>
      <c r="N2546" t="inlineStr">
        <is>
          <t>%</t>
        </is>
      </c>
      <c r="O2546" t="inlineStr">
        <is>
          <t>%</t>
        </is>
      </c>
      <c r="P2546" t="n">
        <v>0</v>
      </c>
      <c r="Q2546" t="n">
        <v>0</v>
      </c>
      <c r="R2546" t="inlineStr">
        <is>
          <t>505-2025-12-31</t>
        </is>
      </c>
    </row>
    <row r="2547">
      <c r="A2547" t="n">
        <v>506</v>
      </c>
      <c r="B2547" t="inlineStr">
        <is>
          <t>Nivel de Satisfacción Servicios Prestados - Prácticas</t>
        </is>
      </c>
      <c r="C2547" t="inlineStr">
        <is>
          <t>Prácticas</t>
        </is>
      </c>
      <c r="D2547" t="inlineStr">
        <is>
          <t>Anual</t>
        </is>
      </c>
      <c r="E2547" t="inlineStr">
        <is>
          <t>Positivo</t>
        </is>
      </c>
      <c r="F2547" s="111" t="n">
        <v>45657</v>
      </c>
      <c r="G2547" t="n">
        <v>2024</v>
      </c>
      <c r="H2547" t="inlineStr">
        <is>
          <t>Diciembre</t>
        </is>
      </c>
      <c r="I2547" t="inlineStr">
        <is>
          <t>2024-2</t>
        </is>
      </c>
      <c r="J2547" t="n">
        <v>80</v>
      </c>
      <c r="K2547" t="n">
        <v>67</v>
      </c>
      <c r="L2547" s="39">
        <f>IFERROR(IF(OR(J2547=0,K2547=""),"",IF(E2547="Positivo",MIN(MAX(K2547/J2547,0),1.3),MIN(MAX(J2547/K2547,0),1.3))),"") </f>
        <v/>
      </c>
      <c r="M2547" s="39">
        <f>IFERROR(IF(OR(J2547=0,K2547=""),"",IF(E2547="Positivo",MAX(K2547/J2547,0),MAX(J2547/K2547,0))),"") </f>
        <v/>
      </c>
      <c r="N2547" t="inlineStr">
        <is>
          <t>%</t>
        </is>
      </c>
      <c r="O2547" t="inlineStr">
        <is>
          <t>%</t>
        </is>
      </c>
      <c r="P2547" t="n">
        <v>0</v>
      </c>
      <c r="Q2547" t="n">
        <v>0</v>
      </c>
      <c r="R2547" t="inlineStr">
        <is>
          <t>506-2024-12-31</t>
        </is>
      </c>
    </row>
    <row r="2548">
      <c r="A2548" t="n">
        <v>506</v>
      </c>
      <c r="B2548" t="inlineStr">
        <is>
          <t>Nivel de Satisfacción Servicios Prestados - Prácticas</t>
        </is>
      </c>
      <c r="C2548" t="inlineStr">
        <is>
          <t>Prácticas</t>
        </is>
      </c>
      <c r="D2548" t="inlineStr">
        <is>
          <t>Trimestral</t>
        </is>
      </c>
      <c r="E2548" t="inlineStr">
        <is>
          <t>Positivo</t>
        </is>
      </c>
      <c r="F2548" s="111" t="n">
        <v>45838</v>
      </c>
      <c r="G2548" t="n">
        <v>2025</v>
      </c>
      <c r="H2548" t="inlineStr">
        <is>
          <t>Junio</t>
        </is>
      </c>
      <c r="I2548" t="inlineStr">
        <is>
          <t>2025-1</t>
        </is>
      </c>
      <c r="J2548" t="n">
        <v>80</v>
      </c>
      <c r="K2548" t="n">
        <v>95</v>
      </c>
      <c r="L2548" s="39">
        <f>IFERROR(IF(OR(J2548=0,K2548=""),"",IF(E2548="Positivo",MIN(MAX(K2548/J2548,0),1.3),MIN(MAX(J2548/K2548,0),1.3))),"") </f>
        <v/>
      </c>
      <c r="M2548" s="39">
        <f>IFERROR(IF(OR(J2548=0,K2548=""),"",IF(E2548="Positivo",MAX(K2548/J2548,0),MAX(J2548/K2548,0))),"") </f>
        <v/>
      </c>
      <c r="N2548" t="inlineStr">
        <is>
          <t>%</t>
        </is>
      </c>
      <c r="O2548" t="inlineStr">
        <is>
          <t>%</t>
        </is>
      </c>
      <c r="P2548" t="n">
        <v>0</v>
      </c>
      <c r="Q2548" t="n">
        <v>0</v>
      </c>
      <c r="R2548" t="inlineStr">
        <is>
          <t>506-2025-06-30</t>
        </is>
      </c>
    </row>
    <row r="2549">
      <c r="A2549" t="n">
        <v>506</v>
      </c>
      <c r="B2549" t="inlineStr">
        <is>
          <t>Nivel de Satisfacción Servicios Prestados - Prácticas</t>
        </is>
      </c>
      <c r="C2549" t="inlineStr">
        <is>
          <t>Prácticas</t>
        </is>
      </c>
      <c r="D2549" t="inlineStr">
        <is>
          <t>Trimestral</t>
        </is>
      </c>
      <c r="E2549" t="inlineStr">
        <is>
          <t>Positivo</t>
        </is>
      </c>
      <c r="F2549" s="111" t="n">
        <v>46022</v>
      </c>
      <c r="G2549" t="n">
        <v>2025</v>
      </c>
      <c r="H2549" t="inlineStr">
        <is>
          <t>Diciembre</t>
        </is>
      </c>
      <c r="I2549" t="inlineStr">
        <is>
          <t>2025-2</t>
        </is>
      </c>
      <c r="J2549" t="n">
        <v>80</v>
      </c>
      <c r="K2549" t="n">
        <v>92.5</v>
      </c>
      <c r="L2549" s="39">
        <f>IFERROR(IF(OR(J2549=0,K2549=""),"",IF(E2549="Positivo",MIN(MAX(K2549/J2549,0),1.3),MIN(MAX(J2549/K2549,0),1.3))),"") </f>
        <v/>
      </c>
      <c r="M2549" s="39">
        <f>IFERROR(IF(OR(J2549=0,K2549=""),"",IF(E2549="Positivo",MAX(K2549/J2549,0),MAX(J2549/K2549,0))),"") </f>
        <v/>
      </c>
      <c r="N2549" t="inlineStr">
        <is>
          <t>%</t>
        </is>
      </c>
      <c r="O2549" t="inlineStr">
        <is>
          <t>%</t>
        </is>
      </c>
      <c r="P2549" t="n">
        <v>0</v>
      </c>
      <c r="Q2549" t="n">
        <v>0</v>
      </c>
      <c r="R2549" t="inlineStr">
        <is>
          <t>506-2025-12-31</t>
        </is>
      </c>
    </row>
    <row r="2550">
      <c r="A2550" t="n">
        <v>507</v>
      </c>
      <c r="B2550" t="inlineStr">
        <is>
          <t>Nivel de Satisfacción Servicios Prestados -Cultura y Deporte</t>
        </is>
      </c>
      <c r="C2550" t="inlineStr">
        <is>
          <t>Cultura y Deporte</t>
        </is>
      </c>
      <c r="D2550" t="inlineStr">
        <is>
          <t>Anual</t>
        </is>
      </c>
      <c r="E2550" t="inlineStr">
        <is>
          <t>Positivo</t>
        </is>
      </c>
      <c r="F2550" s="111" t="n">
        <v>45657</v>
      </c>
      <c r="G2550" t="n">
        <v>2024</v>
      </c>
      <c r="H2550" t="inlineStr">
        <is>
          <t>Diciembre</t>
        </is>
      </c>
      <c r="I2550" t="inlineStr">
        <is>
          <t>2024-2</t>
        </is>
      </c>
      <c r="J2550" t="n">
        <v>80</v>
      </c>
      <c r="K2550" t="n">
        <v>77</v>
      </c>
      <c r="L2550" s="39">
        <f>IFERROR(IF(OR(J2550=0,K2550=""),"",IF(E2550="Positivo",MIN(MAX(K2550/J2550,0),1.3),MIN(MAX(J2550/K2550,0),1.3))),"") </f>
        <v/>
      </c>
      <c r="M2550" s="39">
        <f>IFERROR(IF(OR(J2550=0,K2550=""),"",IF(E2550="Positivo",MAX(K2550/J2550,0),MAX(J2550/K2550,0))),"") </f>
        <v/>
      </c>
      <c r="N2550" t="inlineStr">
        <is>
          <t>%</t>
        </is>
      </c>
      <c r="O2550" t="inlineStr">
        <is>
          <t>%</t>
        </is>
      </c>
      <c r="P2550" t="n">
        <v>0</v>
      </c>
      <c r="Q2550" t="n">
        <v>0</v>
      </c>
      <c r="R2550" t="inlineStr">
        <is>
          <t>507-2024-12-31</t>
        </is>
      </c>
    </row>
    <row r="2551">
      <c r="A2551" t="n">
        <v>507</v>
      </c>
      <c r="B2551" t="inlineStr">
        <is>
          <t>Nivel de Satisfacción Servicios Prestados -Cultura y Deporte</t>
        </is>
      </c>
      <c r="C2551" t="inlineStr">
        <is>
          <t>Cultura y Deporte</t>
        </is>
      </c>
      <c r="D2551" t="inlineStr">
        <is>
          <t>Trimestral</t>
        </is>
      </c>
      <c r="E2551" t="inlineStr">
        <is>
          <t>Positivo</t>
        </is>
      </c>
      <c r="F2551" s="111" t="n">
        <v>45838</v>
      </c>
      <c r="G2551" t="n">
        <v>2025</v>
      </c>
      <c r="H2551" t="inlineStr">
        <is>
          <t>Junio</t>
        </is>
      </c>
      <c r="I2551" t="inlineStr">
        <is>
          <t>2025-1</t>
        </is>
      </c>
      <c r="J2551" t="n">
        <v>80</v>
      </c>
      <c r="K2551" t="n">
        <v>98.75</v>
      </c>
      <c r="L2551" s="39">
        <f>IFERROR(IF(OR(J2551=0,K2551=""),"",IF(E2551="Positivo",MIN(MAX(K2551/J2551,0),1.3),MIN(MAX(J2551/K2551,0),1.3))),"") </f>
        <v/>
      </c>
      <c r="M2551" s="39">
        <f>IFERROR(IF(OR(J2551=0,K2551=""),"",IF(E2551="Positivo",MAX(K2551/J2551,0),MAX(J2551/K2551,0))),"") </f>
        <v/>
      </c>
      <c r="N2551" t="inlineStr">
        <is>
          <t>%</t>
        </is>
      </c>
      <c r="O2551" t="inlineStr">
        <is>
          <t>%</t>
        </is>
      </c>
      <c r="P2551" t="n">
        <v>0</v>
      </c>
      <c r="Q2551" t="n">
        <v>0</v>
      </c>
      <c r="R2551" t="inlineStr">
        <is>
          <t>507-2025-06-30</t>
        </is>
      </c>
    </row>
    <row r="2552">
      <c r="A2552" t="n">
        <v>507</v>
      </c>
      <c r="B2552" t="inlineStr">
        <is>
          <t>Nivel de Satisfacción Servicios Prestados -Cultura y Deporte</t>
        </is>
      </c>
      <c r="C2552" t="inlineStr">
        <is>
          <t>Cultura y Deporte</t>
        </is>
      </c>
      <c r="D2552" t="inlineStr">
        <is>
          <t>Trimestral</t>
        </is>
      </c>
      <c r="E2552" t="inlineStr">
        <is>
          <t>Positivo</t>
        </is>
      </c>
      <c r="F2552" s="111" t="n">
        <v>46022</v>
      </c>
      <c r="G2552" t="n">
        <v>2025</v>
      </c>
      <c r="H2552" t="inlineStr">
        <is>
          <t>Diciembre</t>
        </is>
      </c>
      <c r="I2552" t="inlineStr">
        <is>
          <t>2025-2</t>
        </is>
      </c>
      <c r="J2552" t="n">
        <v>80</v>
      </c>
      <c r="K2552" t="n">
        <v>99</v>
      </c>
      <c r="L2552" s="39">
        <f>IFERROR(IF(OR(J2552=0,K2552=""),"",IF(E2552="Positivo",MIN(MAX(K2552/J2552,0),1.3),MIN(MAX(J2552/K2552,0),1.3))),"") </f>
        <v/>
      </c>
      <c r="M2552" s="39">
        <f>IFERROR(IF(OR(J2552=0,K2552=""),"",IF(E2552="Positivo",MAX(K2552/J2552,0),MAX(J2552/K2552,0))),"") </f>
        <v/>
      </c>
      <c r="N2552" t="inlineStr">
        <is>
          <t>%</t>
        </is>
      </c>
      <c r="O2552" t="inlineStr">
        <is>
          <t>%</t>
        </is>
      </c>
      <c r="P2552" t="n">
        <v>0</v>
      </c>
      <c r="Q2552" t="n">
        <v>0</v>
      </c>
      <c r="R2552" t="inlineStr">
        <is>
          <t>507-2025-12-31</t>
        </is>
      </c>
    </row>
    <row r="2553">
      <c r="A2553" t="n">
        <v>508</v>
      </c>
      <c r="B2553" t="inlineStr">
        <is>
          <t>Nivel de Satisfacción Servicios Prestados - Diseño y contenido virtual</t>
        </is>
      </c>
      <c r="C2553" t="inlineStr">
        <is>
          <t>Diseño de Contenido Virtual</t>
        </is>
      </c>
      <c r="D2553" t="inlineStr">
        <is>
          <t>Anual</t>
        </is>
      </c>
      <c r="E2553" t="inlineStr">
        <is>
          <t>Positivo</t>
        </is>
      </c>
      <c r="F2553" s="111" t="n">
        <v>45657</v>
      </c>
      <c r="G2553" t="n">
        <v>2024</v>
      </c>
      <c r="H2553" t="inlineStr">
        <is>
          <t>Diciembre</t>
        </is>
      </c>
      <c r="I2553" t="inlineStr">
        <is>
          <t>2024-2</t>
        </is>
      </c>
      <c r="J2553" t="n">
        <v>80</v>
      </c>
      <c r="K2553" t="n">
        <v>88</v>
      </c>
      <c r="L2553" s="39">
        <f>IFERROR(IF(OR(J2553=0,K2553=""),"",IF(E2553="Positivo",MIN(MAX(K2553/J2553,0),1.3),MIN(MAX(J2553/K2553,0),1.3))),"") </f>
        <v/>
      </c>
      <c r="M2553" s="39">
        <f>IFERROR(IF(OR(J2553=0,K2553=""),"",IF(E2553="Positivo",MAX(K2553/J2553,0),MAX(J2553/K2553,0))),"") </f>
        <v/>
      </c>
      <c r="N2553" t="inlineStr">
        <is>
          <t>%</t>
        </is>
      </c>
      <c r="O2553" t="inlineStr">
        <is>
          <t>%</t>
        </is>
      </c>
      <c r="P2553" t="n">
        <v>0</v>
      </c>
      <c r="Q2553" t="n">
        <v>0</v>
      </c>
      <c r="R2553" t="inlineStr">
        <is>
          <t>508-2024-12-31</t>
        </is>
      </c>
    </row>
    <row r="2554">
      <c r="A2554" t="n">
        <v>508</v>
      </c>
      <c r="B2554" t="inlineStr">
        <is>
          <t>Nivel de Satisfacción Servicios Prestados - Diseño y contenido virtual</t>
        </is>
      </c>
      <c r="C2554" t="inlineStr">
        <is>
          <t>Diseño de Contenido Virtual</t>
        </is>
      </c>
      <c r="D2554" t="inlineStr">
        <is>
          <t>Anual</t>
        </is>
      </c>
      <c r="E2554" t="inlineStr">
        <is>
          <t>Positivo</t>
        </is>
      </c>
      <c r="F2554" s="111" t="n">
        <v>46022</v>
      </c>
      <c r="G2554" t="n">
        <v>2025</v>
      </c>
      <c r="H2554" t="inlineStr">
        <is>
          <t>Diciembre</t>
        </is>
      </c>
      <c r="I2554" t="inlineStr">
        <is>
          <t>2025-2</t>
        </is>
      </c>
      <c r="J2554" t="n">
        <v>80</v>
      </c>
      <c r="K2554" t="n">
        <v>89</v>
      </c>
      <c r="L2554" s="39">
        <f>IFERROR(IF(OR(J2554=0,K2554=""),"",IF(E2554="Positivo",MIN(MAX(K2554/J2554,0),1.3),MIN(MAX(J2554/K2554,0),1.3))),"") </f>
        <v/>
      </c>
      <c r="M2554" s="39">
        <f>IFERROR(IF(OR(J2554=0,K2554=""),"",IF(E2554="Positivo",MAX(K2554/J2554,0),MAX(J2554/K2554,0))),"") </f>
        <v/>
      </c>
      <c r="N2554" t="inlineStr">
        <is>
          <t>%</t>
        </is>
      </c>
      <c r="O2554" t="inlineStr">
        <is>
          <t>%</t>
        </is>
      </c>
      <c r="P2554" t="n">
        <v>0</v>
      </c>
      <c r="Q2554" t="n">
        <v>0</v>
      </c>
      <c r="R2554" t="inlineStr">
        <is>
          <t>508-2025-12-31</t>
        </is>
      </c>
    </row>
    <row r="2555">
      <c r="A2555" t="n">
        <v>509</v>
      </c>
      <c r="B2555" t="inlineStr">
        <is>
          <t>Cumplimiento a cronograma de proyectos 2025</t>
        </is>
      </c>
      <c r="C2555" t="inlineStr">
        <is>
          <t>Gestión de Proyectos</t>
        </is>
      </c>
      <c r="D2555" t="inlineStr">
        <is>
          <t>Mensual</t>
        </is>
      </c>
      <c r="E2555" t="inlineStr">
        <is>
          <t>Positivo</t>
        </is>
      </c>
      <c r="F2555" s="111" t="n">
        <v>45688</v>
      </c>
      <c r="G2555" t="n">
        <v>2025</v>
      </c>
      <c r="H2555" t="inlineStr">
        <is>
          <t>Enero</t>
        </is>
      </c>
      <c r="I2555" t="inlineStr">
        <is>
          <t>2025-1</t>
        </is>
      </c>
      <c r="J2555" t="n">
        <v>90</v>
      </c>
      <c r="K2555" t="n">
        <v>99.45</v>
      </c>
      <c r="L2555" s="39">
        <f>IFERROR(IF(OR(J2555=0,K2555=""),"",IF(E2555="Positivo",MIN(MAX(K2555/J2555,0),1.3),MIN(MAX(J2555/K2555,0),1.3))),"") </f>
        <v/>
      </c>
      <c r="M2555" s="39">
        <f>IFERROR(IF(OR(J2555=0,K2555=""),"",IF(E2555="Positivo",MAX(K2555/J2555,0),MAX(J2555/K2555,0))),"") </f>
        <v/>
      </c>
      <c r="N2555" t="inlineStr">
        <is>
          <t>%</t>
        </is>
      </c>
      <c r="O2555" t="inlineStr">
        <is>
          <t>%</t>
        </is>
      </c>
      <c r="P2555" t="n">
        <v>0</v>
      </c>
      <c r="Q2555" t="n">
        <v>0</v>
      </c>
      <c r="R2555" t="inlineStr">
        <is>
          <t>509-2025-01-31</t>
        </is>
      </c>
    </row>
    <row r="2556">
      <c r="A2556" t="n">
        <v>509</v>
      </c>
      <c r="B2556" t="inlineStr">
        <is>
          <t>Cumplimiento a cronograma de proyectos 2025</t>
        </is>
      </c>
      <c r="C2556" t="inlineStr">
        <is>
          <t>Gestión de Proyectos</t>
        </is>
      </c>
      <c r="D2556" t="inlineStr">
        <is>
          <t>Mensual</t>
        </is>
      </c>
      <c r="E2556" t="inlineStr">
        <is>
          <t>Positivo</t>
        </is>
      </c>
      <c r="F2556" s="111" t="n">
        <v>45716</v>
      </c>
      <c r="G2556" t="n">
        <v>2025</v>
      </c>
      <c r="H2556" t="inlineStr">
        <is>
          <t>Febrero</t>
        </is>
      </c>
      <c r="I2556" t="inlineStr">
        <is>
          <t>2025-1</t>
        </is>
      </c>
      <c r="J2556" t="n">
        <v>90</v>
      </c>
      <c r="K2556" t="n">
        <v>98.65000000000001</v>
      </c>
      <c r="L2556" s="39">
        <f>IFERROR(IF(OR(J2556=0,K2556=""),"",IF(E2556="Positivo",MIN(MAX(K2556/J2556,0),1.3),MIN(MAX(J2556/K2556,0),1.3))),"") </f>
        <v/>
      </c>
      <c r="M2556" s="39">
        <f>IFERROR(IF(OR(J2556=0,K2556=""),"",IF(E2556="Positivo",MAX(K2556/J2556,0),MAX(J2556/K2556,0))),"") </f>
        <v/>
      </c>
      <c r="N2556" t="inlineStr">
        <is>
          <t>%</t>
        </is>
      </c>
      <c r="O2556" t="inlineStr">
        <is>
          <t>%</t>
        </is>
      </c>
      <c r="P2556" t="n">
        <v>0</v>
      </c>
      <c r="Q2556" t="n">
        <v>0</v>
      </c>
      <c r="R2556" t="inlineStr">
        <is>
          <t>509-2025-02-28</t>
        </is>
      </c>
    </row>
    <row r="2557">
      <c r="A2557" t="n">
        <v>509</v>
      </c>
      <c r="B2557" t="inlineStr">
        <is>
          <t>Cumplimiento a cronograma de proyectos 2025</t>
        </is>
      </c>
      <c r="C2557" t="inlineStr">
        <is>
          <t>Gestión de Proyectos</t>
        </is>
      </c>
      <c r="D2557" t="inlineStr">
        <is>
          <t>Mensual</t>
        </is>
      </c>
      <c r="E2557" t="inlineStr">
        <is>
          <t>Positivo</t>
        </is>
      </c>
      <c r="F2557" s="111" t="n">
        <v>45747</v>
      </c>
      <c r="G2557" t="n">
        <v>2025</v>
      </c>
      <c r="H2557" t="inlineStr">
        <is>
          <t>Marzo</t>
        </is>
      </c>
      <c r="I2557" t="inlineStr">
        <is>
          <t>2025-1</t>
        </is>
      </c>
      <c r="J2557" t="n">
        <v>90</v>
      </c>
      <c r="K2557" t="n">
        <v>94.48999999999999</v>
      </c>
      <c r="L2557" s="39">
        <f>IFERROR(IF(OR(J2557=0,K2557=""),"",IF(E2557="Positivo",MIN(MAX(K2557/J2557,0),1.3),MIN(MAX(J2557/K2557,0),1.3))),"") </f>
        <v/>
      </c>
      <c r="M2557" s="39">
        <f>IFERROR(IF(OR(J2557=0,K2557=""),"",IF(E2557="Positivo",MAX(K2557/J2557,0),MAX(J2557/K2557,0))),"") </f>
        <v/>
      </c>
      <c r="N2557" t="inlineStr">
        <is>
          <t>%</t>
        </is>
      </c>
      <c r="O2557" t="inlineStr">
        <is>
          <t>%</t>
        </is>
      </c>
      <c r="P2557" t="n">
        <v>0</v>
      </c>
      <c r="Q2557" t="n">
        <v>0</v>
      </c>
      <c r="R2557" t="inlineStr">
        <is>
          <t>509-2025-03-31</t>
        </is>
      </c>
    </row>
    <row r="2558">
      <c r="A2558" t="n">
        <v>509</v>
      </c>
      <c r="B2558" t="inlineStr">
        <is>
          <t>Cumplimiento a cronograma de proyectos 2025</t>
        </is>
      </c>
      <c r="C2558" t="inlineStr">
        <is>
          <t>Gestión de Proyectos</t>
        </is>
      </c>
      <c r="D2558" t="inlineStr">
        <is>
          <t>Mensual</t>
        </is>
      </c>
      <c r="E2558" t="inlineStr">
        <is>
          <t>Positivo</t>
        </is>
      </c>
      <c r="F2558" s="111" t="n">
        <v>45777</v>
      </c>
      <c r="G2558" t="n">
        <v>2025</v>
      </c>
      <c r="H2558" t="inlineStr">
        <is>
          <t>Abril</t>
        </is>
      </c>
      <c r="I2558" t="inlineStr">
        <is>
          <t>2025-1</t>
        </is>
      </c>
      <c r="J2558" t="n">
        <v>90</v>
      </c>
      <c r="K2558" t="n">
        <v>93.88</v>
      </c>
      <c r="L2558" s="39">
        <f>IFERROR(IF(OR(J2558=0,K2558=""),"",IF(E2558="Positivo",MIN(MAX(K2558/J2558,0),1.3),MIN(MAX(J2558/K2558,0),1.3))),"") </f>
        <v/>
      </c>
      <c r="M2558" s="39">
        <f>IFERROR(IF(OR(J2558=0,K2558=""),"",IF(E2558="Positivo",MAX(K2558/J2558,0),MAX(J2558/K2558,0))),"") </f>
        <v/>
      </c>
      <c r="N2558" t="inlineStr">
        <is>
          <t>%</t>
        </is>
      </c>
      <c r="O2558" t="inlineStr">
        <is>
          <t>%</t>
        </is>
      </c>
      <c r="P2558" t="n">
        <v>0</v>
      </c>
      <c r="Q2558" t="n">
        <v>0</v>
      </c>
      <c r="R2558" t="inlineStr">
        <is>
          <t>509-2025-04-30</t>
        </is>
      </c>
    </row>
    <row r="2559">
      <c r="A2559" t="n">
        <v>509</v>
      </c>
      <c r="B2559" t="inlineStr">
        <is>
          <t>Cumplimiento a cronograma de proyectos 2025</t>
        </is>
      </c>
      <c r="C2559" t="inlineStr">
        <is>
          <t>Gestión de Proyectos</t>
        </is>
      </c>
      <c r="D2559" t="inlineStr">
        <is>
          <t>Mensual</t>
        </is>
      </c>
      <c r="E2559" t="inlineStr">
        <is>
          <t>Positivo</t>
        </is>
      </c>
      <c r="F2559" s="111" t="n">
        <v>45808</v>
      </c>
      <c r="G2559" t="n">
        <v>2025</v>
      </c>
      <c r="H2559" t="inlineStr">
        <is>
          <t>Mayo</t>
        </is>
      </c>
      <c r="I2559" t="inlineStr">
        <is>
          <t>2025-1</t>
        </is>
      </c>
      <c r="J2559" t="n">
        <v>90</v>
      </c>
      <c r="K2559" t="n">
        <v>93.8</v>
      </c>
      <c r="L2559" s="39">
        <f>IFERROR(IF(OR(J2559=0,K2559=""),"",IF(E2559="Positivo",MIN(MAX(K2559/J2559,0),1.3),MIN(MAX(J2559/K2559,0),1.3))),"") </f>
        <v/>
      </c>
      <c r="M2559" s="39">
        <f>IFERROR(IF(OR(J2559=0,K2559=""),"",IF(E2559="Positivo",MAX(K2559/J2559,0),MAX(J2559/K2559,0))),"") </f>
        <v/>
      </c>
      <c r="N2559" t="inlineStr">
        <is>
          <t>%</t>
        </is>
      </c>
      <c r="O2559" t="inlineStr">
        <is>
          <t>%</t>
        </is>
      </c>
      <c r="P2559" t="n">
        <v>0</v>
      </c>
      <c r="Q2559" t="n">
        <v>0</v>
      </c>
      <c r="R2559" t="inlineStr">
        <is>
          <t>509-2025-05-31</t>
        </is>
      </c>
    </row>
    <row r="2560">
      <c r="A2560" t="n">
        <v>509</v>
      </c>
      <c r="B2560" t="inlineStr">
        <is>
          <t>Cumplimiento a cronograma de proyectos 2025</t>
        </is>
      </c>
      <c r="C2560" t="inlineStr">
        <is>
          <t>Gestión de Proyectos</t>
        </is>
      </c>
      <c r="D2560" t="inlineStr">
        <is>
          <t>Mensual</t>
        </is>
      </c>
      <c r="E2560" t="inlineStr">
        <is>
          <t>Positivo</t>
        </is>
      </c>
      <c r="F2560" s="111" t="n">
        <v>45838</v>
      </c>
      <c r="G2560" t="n">
        <v>2025</v>
      </c>
      <c r="H2560" t="inlineStr">
        <is>
          <t>Junio</t>
        </is>
      </c>
      <c r="I2560" t="inlineStr">
        <is>
          <t>2025-1</t>
        </is>
      </c>
      <c r="J2560" t="n">
        <v>90</v>
      </c>
      <c r="K2560" t="n">
        <v>100.59</v>
      </c>
      <c r="L2560" s="39">
        <f>IFERROR(IF(OR(J2560=0,K2560=""),"",IF(E2560="Positivo",MIN(MAX(K2560/J2560,0),1.3),MIN(MAX(J2560/K2560,0),1.3))),"") </f>
        <v/>
      </c>
      <c r="M2560" s="39">
        <f>IFERROR(IF(OR(J2560=0,K2560=""),"",IF(E2560="Positivo",MAX(K2560/J2560,0),MAX(J2560/K2560,0))),"") </f>
        <v/>
      </c>
      <c r="N2560" t="inlineStr">
        <is>
          <t>%</t>
        </is>
      </c>
      <c r="O2560" t="inlineStr">
        <is>
          <t>%</t>
        </is>
      </c>
      <c r="P2560" t="n">
        <v>0</v>
      </c>
      <c r="Q2560" t="n">
        <v>0</v>
      </c>
      <c r="R2560" t="inlineStr">
        <is>
          <t>509-2025-06-30</t>
        </is>
      </c>
    </row>
    <row r="2561">
      <c r="A2561" t="n">
        <v>509</v>
      </c>
      <c r="B2561" t="inlineStr">
        <is>
          <t>Cumplimiento a cronograma de proyectos 2025</t>
        </is>
      </c>
      <c r="C2561" t="inlineStr">
        <is>
          <t>Gestión de Proyectos</t>
        </is>
      </c>
      <c r="D2561" t="inlineStr">
        <is>
          <t>Mensual</t>
        </is>
      </c>
      <c r="E2561" t="inlineStr">
        <is>
          <t>Positivo</t>
        </is>
      </c>
      <c r="F2561" s="111" t="n">
        <v>45869</v>
      </c>
      <c r="G2561" t="n">
        <v>2025</v>
      </c>
      <c r="H2561" t="inlineStr">
        <is>
          <t>Julio</t>
        </is>
      </c>
      <c r="I2561" t="inlineStr">
        <is>
          <t>2025-2</t>
        </is>
      </c>
      <c r="J2561" t="n">
        <v>90</v>
      </c>
      <c r="K2561" t="n">
        <v>96.04000000000001</v>
      </c>
      <c r="L2561" s="39">
        <f>IFERROR(IF(OR(J2561=0,K2561=""),"",IF(E2561="Positivo",MIN(MAX(K2561/J2561,0),1.3),MIN(MAX(J2561/K2561,0),1.3))),"") </f>
        <v/>
      </c>
      <c r="M2561" s="39">
        <f>IFERROR(IF(OR(J2561=0,K2561=""),"",IF(E2561="Positivo",MAX(K2561/J2561,0),MAX(J2561/K2561,0))),"") </f>
        <v/>
      </c>
      <c r="N2561" t="inlineStr">
        <is>
          <t>%</t>
        </is>
      </c>
      <c r="O2561" t="inlineStr">
        <is>
          <t>%</t>
        </is>
      </c>
      <c r="P2561" t="n">
        <v>0</v>
      </c>
      <c r="Q2561" t="n">
        <v>0</v>
      </c>
      <c r="R2561" t="inlineStr">
        <is>
          <t>509-2025-07-31</t>
        </is>
      </c>
    </row>
    <row r="2562">
      <c r="A2562" t="n">
        <v>509</v>
      </c>
      <c r="B2562" t="inlineStr">
        <is>
          <t>Cumplimiento a cronograma de proyectos 2025</t>
        </is>
      </c>
      <c r="C2562" t="inlineStr">
        <is>
          <t>Gestión de Proyectos</t>
        </is>
      </c>
      <c r="D2562" t="inlineStr">
        <is>
          <t>Mensual</t>
        </is>
      </c>
      <c r="E2562" t="inlineStr">
        <is>
          <t>Positivo</t>
        </is>
      </c>
      <c r="F2562" s="111" t="n">
        <v>45900</v>
      </c>
      <c r="G2562" t="n">
        <v>2025</v>
      </c>
      <c r="H2562" t="inlineStr">
        <is>
          <t>Agosto</t>
        </is>
      </c>
      <c r="I2562" t="inlineStr">
        <is>
          <t>2025-2</t>
        </is>
      </c>
      <c r="J2562" t="n">
        <v>90</v>
      </c>
      <c r="K2562" t="n">
        <v>91.52</v>
      </c>
      <c r="L2562" s="39">
        <f>IFERROR(IF(OR(J2562=0,K2562=""),"",IF(E2562="Positivo",MIN(MAX(K2562/J2562,0),1.3),MIN(MAX(J2562/K2562,0),1.3))),"") </f>
        <v/>
      </c>
      <c r="M2562" s="39">
        <f>IFERROR(IF(OR(J2562=0,K2562=""),"",IF(E2562="Positivo",MAX(K2562/J2562,0),MAX(J2562/K2562,0))),"") </f>
        <v/>
      </c>
      <c r="N2562" t="inlineStr">
        <is>
          <t>%</t>
        </is>
      </c>
      <c r="O2562" t="inlineStr">
        <is>
          <t>%</t>
        </is>
      </c>
      <c r="P2562" t="n">
        <v>0</v>
      </c>
      <c r="Q2562" t="n">
        <v>0</v>
      </c>
      <c r="R2562" t="inlineStr">
        <is>
          <t>509-2025-08-31</t>
        </is>
      </c>
    </row>
    <row r="2563">
      <c r="A2563" t="n">
        <v>509</v>
      </c>
      <c r="B2563" t="inlineStr">
        <is>
          <t>Cumplimiento a cronograma de proyectos 2025</t>
        </is>
      </c>
      <c r="C2563" t="inlineStr">
        <is>
          <t>Gestión de Proyectos</t>
        </is>
      </c>
      <c r="D2563" t="inlineStr">
        <is>
          <t>Mensual</t>
        </is>
      </c>
      <c r="E2563" t="inlineStr">
        <is>
          <t>Positivo</t>
        </is>
      </c>
      <c r="F2563" s="111" t="n">
        <v>45930</v>
      </c>
      <c r="G2563" t="n">
        <v>2025</v>
      </c>
      <c r="H2563" t="inlineStr">
        <is>
          <t>Septiembre</t>
        </is>
      </c>
      <c r="I2563" t="inlineStr">
        <is>
          <t>2025-2</t>
        </is>
      </c>
      <c r="J2563" t="n">
        <v>90</v>
      </c>
      <c r="K2563" t="n">
        <v>96.67</v>
      </c>
      <c r="L2563" s="39">
        <f>IFERROR(IF(OR(J2563=0,K2563=""),"",IF(E2563="Positivo",MIN(MAX(K2563/J2563,0),1.3),MIN(MAX(J2563/K2563,0),1.3))),"") </f>
        <v/>
      </c>
      <c r="M2563" s="39">
        <f>IFERROR(IF(OR(J2563=0,K2563=""),"",IF(E2563="Positivo",MAX(K2563/J2563,0),MAX(J2563/K2563,0))),"") </f>
        <v/>
      </c>
      <c r="N2563" t="inlineStr">
        <is>
          <t>%</t>
        </is>
      </c>
      <c r="O2563" t="inlineStr">
        <is>
          <t>%</t>
        </is>
      </c>
      <c r="P2563" t="n">
        <v>0</v>
      </c>
      <c r="Q2563" t="n">
        <v>0</v>
      </c>
      <c r="R2563" t="inlineStr">
        <is>
          <t>509-2025-09-30</t>
        </is>
      </c>
    </row>
    <row r="2564">
      <c r="A2564" t="n">
        <v>509</v>
      </c>
      <c r="B2564" t="inlineStr">
        <is>
          <t>Cumplimiento a cronograma de proyectos 2025</t>
        </is>
      </c>
      <c r="C2564" t="inlineStr">
        <is>
          <t>Gestión de Proyectos</t>
        </is>
      </c>
      <c r="D2564" t="inlineStr">
        <is>
          <t>Mensual</t>
        </is>
      </c>
      <c r="E2564" t="inlineStr">
        <is>
          <t>Positivo</t>
        </is>
      </c>
      <c r="F2564" s="111" t="n">
        <v>45961</v>
      </c>
      <c r="G2564" t="n">
        <v>2025</v>
      </c>
      <c r="H2564" t="inlineStr">
        <is>
          <t>Octubre</t>
        </is>
      </c>
      <c r="I2564" t="inlineStr">
        <is>
          <t>2025-2</t>
        </is>
      </c>
      <c r="J2564" t="n">
        <v>90</v>
      </c>
      <c r="K2564" t="n">
        <v>91.81</v>
      </c>
      <c r="L2564" s="39">
        <f>IFERROR(IF(OR(J2564=0,K2564=""),"",IF(E2564="Positivo",MIN(MAX(K2564/J2564,0),1.3),MIN(MAX(J2564/K2564,0),1.3))),"") </f>
        <v/>
      </c>
      <c r="M2564" s="39">
        <f>IFERROR(IF(OR(J2564=0,K2564=""),"",IF(E2564="Positivo",MAX(K2564/J2564,0),MAX(J2564/K2564,0))),"") </f>
        <v/>
      </c>
      <c r="N2564" t="inlineStr">
        <is>
          <t>%</t>
        </is>
      </c>
      <c r="O2564" t="inlineStr">
        <is>
          <t>%</t>
        </is>
      </c>
      <c r="P2564" t="n">
        <v>0</v>
      </c>
      <c r="Q2564" t="n">
        <v>0</v>
      </c>
      <c r="R2564" t="inlineStr">
        <is>
          <t>509-2025-10-31</t>
        </is>
      </c>
    </row>
    <row r="2565">
      <c r="A2565" t="n">
        <v>509</v>
      </c>
      <c r="B2565" t="inlineStr">
        <is>
          <t>Cumplimiento a cronograma de proyectos 2025</t>
        </is>
      </c>
      <c r="C2565" t="inlineStr">
        <is>
          <t>Gestión de Proyectos</t>
        </is>
      </c>
      <c r="D2565" t="inlineStr">
        <is>
          <t>Mensual</t>
        </is>
      </c>
      <c r="E2565" t="inlineStr">
        <is>
          <t>Positivo</t>
        </is>
      </c>
      <c r="F2565" s="111" t="n">
        <v>45991</v>
      </c>
      <c r="G2565" t="n">
        <v>2025</v>
      </c>
      <c r="H2565" t="inlineStr">
        <is>
          <t>Noviembre</t>
        </is>
      </c>
      <c r="I2565" t="inlineStr">
        <is>
          <t>2025-2</t>
        </is>
      </c>
      <c r="J2565" t="n">
        <v>90</v>
      </c>
      <c r="K2565" t="n">
        <v>96.98999999999999</v>
      </c>
      <c r="L2565" s="39">
        <f>IFERROR(IF(OR(J2565=0,K2565=""),"",IF(E2565="Positivo",MIN(MAX(K2565/J2565,0),1.3),MIN(MAX(J2565/K2565,0),1.3))),"") </f>
        <v/>
      </c>
      <c r="M2565" s="39">
        <f>IFERROR(IF(OR(J2565=0,K2565=""),"",IF(E2565="Positivo",MAX(K2565/J2565,0),MAX(J2565/K2565,0))),"") </f>
        <v/>
      </c>
      <c r="N2565" t="inlineStr">
        <is>
          <t>%</t>
        </is>
      </c>
      <c r="O2565" t="inlineStr">
        <is>
          <t>%</t>
        </is>
      </c>
      <c r="P2565" t="n">
        <v>0</v>
      </c>
      <c r="Q2565" t="n">
        <v>0</v>
      </c>
      <c r="R2565" t="inlineStr">
        <is>
          <t>509-2025-11-30</t>
        </is>
      </c>
    </row>
    <row r="2566">
      <c r="A2566" t="n">
        <v>509</v>
      </c>
      <c r="B2566" t="inlineStr">
        <is>
          <t>Cumplimiento a cronograma de proyectos 2025</t>
        </is>
      </c>
      <c r="C2566" t="inlineStr">
        <is>
          <t>Gestión de Proyectos</t>
        </is>
      </c>
      <c r="D2566" t="inlineStr">
        <is>
          <t>Mensual</t>
        </is>
      </c>
      <c r="E2566" t="inlineStr">
        <is>
          <t>Positivo</t>
        </is>
      </c>
      <c r="F2566" s="111" t="n">
        <v>46022</v>
      </c>
      <c r="G2566" t="n">
        <v>2025</v>
      </c>
      <c r="H2566" t="inlineStr">
        <is>
          <t>Diciembre</t>
        </is>
      </c>
      <c r="I2566" t="inlineStr">
        <is>
          <t>2025-2</t>
        </is>
      </c>
      <c r="J2566" t="n">
        <v>90</v>
      </c>
      <c r="K2566" t="n">
        <v>97.33</v>
      </c>
      <c r="L2566" s="39">
        <f>IFERROR(IF(OR(J2566=0,K2566=""),"",IF(E2566="Positivo",MIN(MAX(K2566/J2566,0),1.3),MIN(MAX(J2566/K2566,0),1.3))),"") </f>
        <v/>
      </c>
      <c r="M2566" s="39">
        <f>IFERROR(IF(OR(J2566=0,K2566=""),"",IF(E2566="Positivo",MAX(K2566/J2566,0),MAX(J2566/K2566,0))),"") </f>
        <v/>
      </c>
      <c r="N2566" t="inlineStr">
        <is>
          <t>%</t>
        </is>
      </c>
      <c r="O2566" t="inlineStr">
        <is>
          <t>%</t>
        </is>
      </c>
      <c r="P2566" t="n">
        <v>0</v>
      </c>
      <c r="Q2566" t="n">
        <v>0</v>
      </c>
      <c r="R2566" t="inlineStr">
        <is>
          <t>509-2025-12-31</t>
        </is>
      </c>
    </row>
    <row r="2567">
      <c r="A2567" t="n">
        <v>510</v>
      </c>
      <c r="B2567" t="inlineStr">
        <is>
          <t>Frecuencia de incidentes de riesgos</t>
        </is>
      </c>
      <c r="C2567" t="inlineStr">
        <is>
          <t>GESTIÓN DE RIESGOS</t>
        </is>
      </c>
      <c r="D2567" t="inlineStr">
        <is>
          <t>Semestral</t>
        </is>
      </c>
      <c r="E2567" t="inlineStr">
        <is>
          <t>Positivo</t>
        </is>
      </c>
      <c r="F2567" s="111" t="n">
        <v>45747</v>
      </c>
      <c r="G2567" t="n">
        <v>2025</v>
      </c>
      <c r="H2567" t="inlineStr">
        <is>
          <t>Marzo</t>
        </is>
      </c>
      <c r="I2567" t="inlineStr">
        <is>
          <t>2025-1</t>
        </is>
      </c>
      <c r="K2567" t="n">
        <v>0</v>
      </c>
      <c r="L2567" s="39" t="n"/>
      <c r="M2567" s="39" t="n"/>
      <c r="N2567" t="inlineStr">
        <is>
          <t>Linea Base</t>
        </is>
      </c>
      <c r="O2567" t="inlineStr">
        <is>
          <t>%</t>
        </is>
      </c>
      <c r="P2567" t="n">
        <v>0</v>
      </c>
      <c r="Q2567" t="n">
        <v>0</v>
      </c>
      <c r="R2567" t="inlineStr">
        <is>
          <t>510-2025-03-31</t>
        </is>
      </c>
    </row>
    <row r="2568">
      <c r="A2568" t="n">
        <v>510</v>
      </c>
      <c r="B2568" t="inlineStr">
        <is>
          <t>Frecuencia de incidentes de riesgos</t>
        </is>
      </c>
      <c r="C2568" t="inlineStr">
        <is>
          <t>GESTIÓN DE RIESGOS</t>
        </is>
      </c>
      <c r="D2568" t="inlineStr">
        <is>
          <t>Semestral</t>
        </is>
      </c>
      <c r="E2568" t="inlineStr">
        <is>
          <t>Positivo</t>
        </is>
      </c>
      <c r="F2568" s="111" t="n">
        <v>45838</v>
      </c>
      <c r="G2568" t="n">
        <v>2025</v>
      </c>
      <c r="H2568" t="inlineStr">
        <is>
          <t>Junio</t>
        </is>
      </c>
      <c r="I2568" t="inlineStr">
        <is>
          <t>2025-1</t>
        </is>
      </c>
      <c r="K2568" t="n">
        <v>0</v>
      </c>
      <c r="L2568" s="39" t="n"/>
      <c r="M2568" s="39" t="n"/>
      <c r="N2568" t="inlineStr">
        <is>
          <t>Linea Base</t>
        </is>
      </c>
      <c r="O2568" t="inlineStr">
        <is>
          <t>%</t>
        </is>
      </c>
      <c r="P2568" t="n">
        <v>0</v>
      </c>
      <c r="Q2568" t="n">
        <v>0</v>
      </c>
      <c r="R2568" t="inlineStr">
        <is>
          <t>510-2025-06-30</t>
        </is>
      </c>
    </row>
    <row r="2569">
      <c r="A2569" t="n">
        <v>510</v>
      </c>
      <c r="B2569" t="inlineStr">
        <is>
          <t>Frecuencia de incidentes de riesgos</t>
        </is>
      </c>
      <c r="C2569" t="inlineStr">
        <is>
          <t>GESTIÓN DE RIESGOS</t>
        </is>
      </c>
      <c r="D2569" t="inlineStr">
        <is>
          <t>Semestral</t>
        </is>
      </c>
      <c r="E2569" t="inlineStr">
        <is>
          <t>Positivo</t>
        </is>
      </c>
      <c r="F2569" s="111" t="n">
        <v>45930</v>
      </c>
      <c r="G2569" t="n">
        <v>2025</v>
      </c>
      <c r="H2569" t="inlineStr">
        <is>
          <t>Septiembre</t>
        </is>
      </c>
      <c r="I2569" t="inlineStr">
        <is>
          <t>2025-2</t>
        </is>
      </c>
      <c r="K2569" t="n">
        <v>0</v>
      </c>
      <c r="L2569" s="39" t="n"/>
      <c r="M2569" s="39" t="n"/>
      <c r="N2569" t="inlineStr">
        <is>
          <t>Linea Base</t>
        </is>
      </c>
      <c r="O2569" t="inlineStr">
        <is>
          <t>%</t>
        </is>
      </c>
      <c r="P2569" t="n">
        <v>0</v>
      </c>
      <c r="Q2569" t="n">
        <v>0</v>
      </c>
      <c r="R2569" t="inlineStr">
        <is>
          <t>510-2025-09-30</t>
        </is>
      </c>
    </row>
    <row r="2570">
      <c r="A2570" t="n">
        <v>510</v>
      </c>
      <c r="B2570" t="inlineStr">
        <is>
          <t>Frecuencia de incidentes de riesgos</t>
        </is>
      </c>
      <c r="C2570" t="inlineStr">
        <is>
          <t>GESTIÓN DE RIESGOS</t>
        </is>
      </c>
      <c r="D2570" t="inlineStr">
        <is>
          <t>Semestral</t>
        </is>
      </c>
      <c r="E2570" t="inlineStr">
        <is>
          <t>Positivo</t>
        </is>
      </c>
      <c r="F2570" s="111" t="n">
        <v>46022</v>
      </c>
      <c r="G2570" t="n">
        <v>2025</v>
      </c>
      <c r="H2570" t="inlineStr">
        <is>
          <t>Diciembre</t>
        </is>
      </c>
      <c r="I2570" t="inlineStr">
        <is>
          <t>2025-2</t>
        </is>
      </c>
      <c r="K2570" t="n">
        <v>0</v>
      </c>
      <c r="L2570" s="39" t="n"/>
      <c r="M2570" s="39" t="n"/>
      <c r="N2570" t="inlineStr">
        <is>
          <t>Linea Base</t>
        </is>
      </c>
      <c r="O2570" t="inlineStr">
        <is>
          <t>%</t>
        </is>
      </c>
      <c r="P2570" t="n">
        <v>0</v>
      </c>
      <c r="Q2570" t="n">
        <v>0</v>
      </c>
      <c r="R2570" t="inlineStr">
        <is>
          <t>510-2025-12-31</t>
        </is>
      </c>
    </row>
    <row r="2571">
      <c r="A2571" t="n">
        <v>511</v>
      </c>
      <c r="B2571" t="inlineStr">
        <is>
          <t>Eficacia de controles</t>
        </is>
      </c>
      <c r="C2571" t="inlineStr">
        <is>
          <t>GESTIÓN DE RIESGOS</t>
        </is>
      </c>
      <c r="D2571" t="inlineStr">
        <is>
          <t>Semestral</t>
        </is>
      </c>
      <c r="E2571" t="inlineStr">
        <is>
          <t>Positivo</t>
        </is>
      </c>
      <c r="F2571" s="111" t="n">
        <v>45747</v>
      </c>
      <c r="G2571" t="n">
        <v>2025</v>
      </c>
      <c r="H2571" t="inlineStr">
        <is>
          <t>Marzo</t>
        </is>
      </c>
      <c r="I2571" t="inlineStr">
        <is>
          <t>2025-1</t>
        </is>
      </c>
      <c r="K2571" t="n">
        <v>373.7099990844727</v>
      </c>
      <c r="L2571" s="39" t="n"/>
      <c r="M2571" s="39" t="n"/>
      <c r="N2571" t="inlineStr">
        <is>
          <t>Linea Base</t>
        </is>
      </c>
      <c r="O2571" t="inlineStr">
        <is>
          <t>%</t>
        </is>
      </c>
      <c r="P2571" t="n">
        <v>0</v>
      </c>
      <c r="Q2571" t="n">
        <v>0</v>
      </c>
      <c r="R2571" t="inlineStr">
        <is>
          <t>511-2025-03-31</t>
        </is>
      </c>
    </row>
    <row r="2572">
      <c r="A2572" t="n">
        <v>511</v>
      </c>
      <c r="B2572" t="inlineStr">
        <is>
          <t>Eficacia de controles</t>
        </is>
      </c>
      <c r="C2572" t="inlineStr">
        <is>
          <t>GESTIÓN DE RIESGOS</t>
        </is>
      </c>
      <c r="D2572" t="inlineStr">
        <is>
          <t>Semestral</t>
        </is>
      </c>
      <c r="E2572" t="inlineStr">
        <is>
          <t>Positivo</t>
        </is>
      </c>
      <c r="F2572" s="111" t="n">
        <v>45838</v>
      </c>
      <c r="G2572" t="n">
        <v>2025</v>
      </c>
      <c r="H2572" t="inlineStr">
        <is>
          <t>Junio</t>
        </is>
      </c>
      <c r="I2572" t="inlineStr">
        <is>
          <t>2025-1</t>
        </is>
      </c>
      <c r="K2572" t="n">
        <v>86.36</v>
      </c>
      <c r="L2572" s="39" t="n"/>
      <c r="M2572" s="39" t="n"/>
      <c r="N2572" t="inlineStr">
        <is>
          <t>Linea Base</t>
        </is>
      </c>
      <c r="O2572" t="inlineStr">
        <is>
          <t>%</t>
        </is>
      </c>
      <c r="P2572" t="n">
        <v>0</v>
      </c>
      <c r="Q2572" t="n">
        <v>0</v>
      </c>
      <c r="R2572" t="inlineStr">
        <is>
          <t>511-2025-06-30</t>
        </is>
      </c>
    </row>
    <row r="2573">
      <c r="A2573" t="n">
        <v>511</v>
      </c>
      <c r="B2573" t="inlineStr">
        <is>
          <t>Eficacia de controles</t>
        </is>
      </c>
      <c r="C2573" t="inlineStr">
        <is>
          <t>GESTIÓN DE RIESGOS</t>
        </is>
      </c>
      <c r="D2573" t="inlineStr">
        <is>
          <t>Semestral</t>
        </is>
      </c>
      <c r="E2573" t="inlineStr">
        <is>
          <t>Positivo</t>
        </is>
      </c>
      <c r="F2573" s="111" t="n">
        <v>45930</v>
      </c>
      <c r="G2573" t="n">
        <v>2025</v>
      </c>
      <c r="H2573" t="inlineStr">
        <is>
          <t>Septiembre</t>
        </is>
      </c>
      <c r="I2573" t="inlineStr">
        <is>
          <t>2025-2</t>
        </is>
      </c>
      <c r="K2573" t="n">
        <v>86.36</v>
      </c>
      <c r="L2573" s="39" t="n"/>
      <c r="M2573" s="39" t="n"/>
      <c r="N2573" t="inlineStr">
        <is>
          <t>Linea Base</t>
        </is>
      </c>
      <c r="O2573" t="inlineStr">
        <is>
          <t>%</t>
        </is>
      </c>
      <c r="P2573" t="n">
        <v>0</v>
      </c>
      <c r="Q2573" t="n">
        <v>0</v>
      </c>
      <c r="R2573" t="inlineStr">
        <is>
          <t>511-2025-09-30</t>
        </is>
      </c>
    </row>
    <row r="2574">
      <c r="A2574" t="n">
        <v>511</v>
      </c>
      <c r="B2574" t="inlineStr">
        <is>
          <t>Eficacia de controles</t>
        </is>
      </c>
      <c r="C2574" t="inlineStr">
        <is>
          <t>GESTIÓN DE RIESGOS</t>
        </is>
      </c>
      <c r="D2574" t="inlineStr">
        <is>
          <t>Semestral</t>
        </is>
      </c>
      <c r="E2574" t="inlineStr">
        <is>
          <t>Positivo</t>
        </is>
      </c>
      <c r="F2574" s="111" t="n">
        <v>46022</v>
      </c>
      <c r="G2574" t="n">
        <v>2025</v>
      </c>
      <c r="H2574" t="inlineStr">
        <is>
          <t>Diciembre</t>
        </is>
      </c>
      <c r="I2574" t="inlineStr">
        <is>
          <t>2025-2</t>
        </is>
      </c>
      <c r="K2574" t="n">
        <v>84.76000000000001</v>
      </c>
      <c r="L2574" s="39" t="n"/>
      <c r="M2574" s="39" t="n"/>
      <c r="N2574" t="inlineStr">
        <is>
          <t>Linea Base</t>
        </is>
      </c>
      <c r="O2574" t="inlineStr">
        <is>
          <t>%</t>
        </is>
      </c>
      <c r="P2574" t="n">
        <v>0</v>
      </c>
      <c r="Q2574" t="n">
        <v>0</v>
      </c>
      <c r="R2574" t="inlineStr">
        <is>
          <t>511-2025-12-31</t>
        </is>
      </c>
    </row>
    <row r="2575">
      <c r="A2575" t="n">
        <v>513</v>
      </c>
      <c r="B2575" t="inlineStr">
        <is>
          <t>Nivel de cumplimiento del plan de seguimiento a controles</t>
        </is>
      </c>
      <c r="C2575" t="inlineStr">
        <is>
          <t>GESTIÓN DE RIESGOS</t>
        </is>
      </c>
      <c r="D2575" t="inlineStr">
        <is>
          <t>Semestral</t>
        </is>
      </c>
      <c r="E2575" t="inlineStr">
        <is>
          <t>Positivo</t>
        </is>
      </c>
      <c r="F2575" s="111" t="n">
        <v>45747</v>
      </c>
      <c r="G2575" t="n">
        <v>2025</v>
      </c>
      <c r="H2575" t="inlineStr">
        <is>
          <t>Marzo</t>
        </is>
      </c>
      <c r="I2575" t="inlineStr">
        <is>
          <t>2025-1</t>
        </is>
      </c>
      <c r="J2575" t="n">
        <v>15</v>
      </c>
      <c r="K2575" t="n">
        <v>100</v>
      </c>
      <c r="L2575" s="39">
        <f>IFERROR(IF(OR(J2575=0,K2575=""),"",IF(E2575="Positivo",MIN(MAX(K2575/J2575,0),1.3),MIN(MAX(J2575/K2575,0),1.3))),"") </f>
        <v/>
      </c>
      <c r="M2575" s="39">
        <f>IFERROR(IF(OR(J2575=0,K2575=""),"",IF(E2575="Positivo",MAX(K2575/J2575,0),MAX(J2575/K2575,0))),"") </f>
        <v/>
      </c>
      <c r="N2575" t="inlineStr">
        <is>
          <t>Linea Base</t>
        </is>
      </c>
      <c r="O2575" t="inlineStr">
        <is>
          <t>%</t>
        </is>
      </c>
      <c r="P2575" t="n">
        <v>0</v>
      </c>
      <c r="Q2575" t="n">
        <v>0</v>
      </c>
      <c r="R2575" t="inlineStr">
        <is>
          <t>513-2025-03-31</t>
        </is>
      </c>
    </row>
    <row r="2576">
      <c r="A2576" t="n">
        <v>513</v>
      </c>
      <c r="B2576" t="inlineStr">
        <is>
          <t>Nivel de cumplimiento del plan de seguimiento a controles</t>
        </is>
      </c>
      <c r="C2576" t="inlineStr">
        <is>
          <t>GESTIÓN DE RIESGOS</t>
        </is>
      </c>
      <c r="D2576" t="inlineStr">
        <is>
          <t>Semestral</t>
        </is>
      </c>
      <c r="E2576" t="inlineStr">
        <is>
          <t>Positivo</t>
        </is>
      </c>
      <c r="F2576" s="111" t="n">
        <v>45838</v>
      </c>
      <c r="G2576" t="n">
        <v>2025</v>
      </c>
      <c r="H2576" t="inlineStr">
        <is>
          <t>Junio</t>
        </is>
      </c>
      <c r="I2576" t="inlineStr">
        <is>
          <t>2025-1</t>
        </is>
      </c>
      <c r="J2576" t="n">
        <v>32</v>
      </c>
      <c r="K2576" t="n">
        <v>100</v>
      </c>
      <c r="L2576" s="39">
        <f>IFERROR(IF(OR(J2576=0,K2576=""),"",IF(E2576="Positivo",MIN(MAX(K2576/J2576,0),1.3),MIN(MAX(J2576/K2576,0),1.3))),"") </f>
        <v/>
      </c>
      <c r="M2576" s="39">
        <f>IFERROR(IF(OR(J2576=0,K2576=""),"",IF(E2576="Positivo",MAX(K2576/J2576,0),MAX(J2576/K2576,0))),"") </f>
        <v/>
      </c>
      <c r="N2576" t="inlineStr">
        <is>
          <t>Linea Base</t>
        </is>
      </c>
      <c r="O2576" t="inlineStr">
        <is>
          <t>%</t>
        </is>
      </c>
      <c r="P2576" t="n">
        <v>0</v>
      </c>
      <c r="Q2576" t="n">
        <v>0</v>
      </c>
      <c r="R2576" t="inlineStr">
        <is>
          <t>513-2025-06-30</t>
        </is>
      </c>
    </row>
    <row r="2577">
      <c r="A2577" t="n">
        <v>513</v>
      </c>
      <c r="B2577" t="inlineStr">
        <is>
          <t>Nivel de cumplimiento del plan de seguimiento a controles</t>
        </is>
      </c>
      <c r="C2577" t="inlineStr">
        <is>
          <t>GESTIÓN DE RIESGOS</t>
        </is>
      </c>
      <c r="D2577" t="inlineStr">
        <is>
          <t>Semestral</t>
        </is>
      </c>
      <c r="E2577" t="inlineStr">
        <is>
          <t>Positivo</t>
        </is>
      </c>
      <c r="F2577" s="111" t="n">
        <v>45930</v>
      </c>
      <c r="G2577" t="n">
        <v>2025</v>
      </c>
      <c r="H2577" t="inlineStr">
        <is>
          <t>Septiembre</t>
        </is>
      </c>
      <c r="I2577" t="inlineStr">
        <is>
          <t>2025-2</t>
        </is>
      </c>
      <c r="J2577" t="n">
        <v>0</v>
      </c>
      <c r="K2577" t="n">
        <v>0</v>
      </c>
      <c r="L2577" s="39">
        <f>IFERROR(IF(OR(J2577=0,K2577=""),"",IF(E2577="Positivo",MIN(MAX(K2577/J2577,0),1.3),MIN(MAX(J2577/K2577,0),1.3))),"") </f>
        <v/>
      </c>
      <c r="M2577" s="39">
        <f>IFERROR(IF(OR(J2577=0,K2577=""),"",IF(E2577="Positivo",MAX(K2577/J2577,0),MAX(J2577/K2577,0))),"") </f>
        <v/>
      </c>
      <c r="N2577" t="inlineStr">
        <is>
          <t>Linea Base</t>
        </is>
      </c>
      <c r="O2577" t="inlineStr">
        <is>
          <t>%</t>
        </is>
      </c>
      <c r="P2577" t="n">
        <v>0</v>
      </c>
      <c r="Q2577" t="n">
        <v>0</v>
      </c>
      <c r="R2577" t="inlineStr">
        <is>
          <t>513-2025-09-30</t>
        </is>
      </c>
    </row>
    <row r="2578">
      <c r="A2578" t="n">
        <v>513</v>
      </c>
      <c r="B2578" t="inlineStr">
        <is>
          <t>Nivel de cumplimiento del plan de seguimiento a controles</t>
        </is>
      </c>
      <c r="C2578" t="inlineStr">
        <is>
          <t>GESTIÓN DE RIESGOS</t>
        </is>
      </c>
      <c r="D2578" t="inlineStr">
        <is>
          <t>Semestral</t>
        </is>
      </c>
      <c r="E2578" t="inlineStr">
        <is>
          <t>Positivo</t>
        </is>
      </c>
      <c r="F2578" s="111" t="n">
        <v>46022</v>
      </c>
      <c r="G2578" t="n">
        <v>2025</v>
      </c>
      <c r="H2578" t="inlineStr">
        <is>
          <t>Diciembre</t>
        </is>
      </c>
      <c r="I2578" t="inlineStr">
        <is>
          <t>2025-2</t>
        </is>
      </c>
      <c r="J2578" t="n">
        <v>0</v>
      </c>
      <c r="K2578" t="n">
        <v>0</v>
      </c>
      <c r="L2578" s="39">
        <f>IFERROR(IF(OR(J2578=0,K2578=""),"",IF(E2578="Positivo",MIN(MAX(K2578/J2578,0),1.3),MIN(MAX(J2578/K2578,0),1.3))),"") </f>
        <v/>
      </c>
      <c r="M2578" s="39">
        <f>IFERROR(IF(OR(J2578=0,K2578=""),"",IF(E2578="Positivo",MAX(K2578/J2578,0),MAX(J2578/K2578,0))),"") </f>
        <v/>
      </c>
      <c r="N2578" t="inlineStr">
        <is>
          <t>Linea Base</t>
        </is>
      </c>
      <c r="O2578" t="inlineStr">
        <is>
          <t>%</t>
        </is>
      </c>
      <c r="P2578" t="n">
        <v>0</v>
      </c>
      <c r="Q2578" t="n">
        <v>0</v>
      </c>
      <c r="R2578" t="inlineStr">
        <is>
          <t>513-2025-12-31</t>
        </is>
      </c>
    </row>
    <row r="2579">
      <c r="A2579" t="n">
        <v>514</v>
      </c>
      <c r="B2579" t="inlineStr">
        <is>
          <t>Respuesta ante nuevas necesidades de control</t>
        </is>
      </c>
      <c r="C2579" t="inlineStr">
        <is>
          <t>GESTIÓN DE RIESGOS</t>
        </is>
      </c>
      <c r="D2579" t="inlineStr">
        <is>
          <t>Trimestral</t>
        </is>
      </c>
      <c r="E2579" t="inlineStr">
        <is>
          <t>Positivo</t>
        </is>
      </c>
      <c r="F2579" s="111" t="n">
        <v>45838</v>
      </c>
      <c r="G2579" t="n">
        <v>2025</v>
      </c>
      <c r="H2579" t="inlineStr">
        <is>
          <t>Junio</t>
        </is>
      </c>
      <c r="I2579" t="inlineStr">
        <is>
          <t>2025-1</t>
        </is>
      </c>
      <c r="J2579" t="n">
        <v>70</v>
      </c>
      <c r="K2579" t="n">
        <v>91.81999999999999</v>
      </c>
      <c r="L2579" s="39">
        <f>IFERROR(IF(OR(J2579=0,K2579=""),"",IF(E2579="Positivo",MIN(MAX(K2579/J2579,0),1.3),MIN(MAX(J2579/K2579,0),1.3))),"") </f>
        <v/>
      </c>
      <c r="M2579" s="39">
        <f>IFERROR(IF(OR(J2579=0,K2579=""),"",IF(E2579="Positivo",MAX(K2579/J2579,0),MAX(J2579/K2579,0))),"") </f>
        <v/>
      </c>
      <c r="N2579" t="inlineStr">
        <is>
          <t>%</t>
        </is>
      </c>
      <c r="O2579" t="inlineStr">
        <is>
          <t>%</t>
        </is>
      </c>
      <c r="P2579" t="n">
        <v>0</v>
      </c>
      <c r="Q2579" t="n">
        <v>0</v>
      </c>
      <c r="R2579" t="inlineStr">
        <is>
          <t>514-2025-06-30</t>
        </is>
      </c>
    </row>
    <row r="2580">
      <c r="A2580" t="n">
        <v>514</v>
      </c>
      <c r="B2580" t="inlineStr">
        <is>
          <t>Respuesta ante nuevas necesidades de control</t>
        </is>
      </c>
      <c r="C2580" t="inlineStr">
        <is>
          <t>GESTIÓN DE RIESGOS</t>
        </is>
      </c>
      <c r="D2580" t="inlineStr">
        <is>
          <t>Trimestral</t>
        </is>
      </c>
      <c r="E2580" t="inlineStr">
        <is>
          <t>Positivo</t>
        </is>
      </c>
      <c r="F2580" s="111" t="n">
        <v>46022</v>
      </c>
      <c r="G2580" t="n">
        <v>2025</v>
      </c>
      <c r="H2580" t="inlineStr">
        <is>
          <t>Diciembre</t>
        </is>
      </c>
      <c r="I2580" t="inlineStr">
        <is>
          <t>2025-2</t>
        </is>
      </c>
      <c r="J2580" t="n">
        <v>70</v>
      </c>
      <c r="K2580" t="n">
        <v>45.96</v>
      </c>
      <c r="L2580" s="39">
        <f>IFERROR(IF(OR(J2580=0,K2580=""),"",IF(E2580="Positivo",MIN(MAX(K2580/J2580,0),1.3),MIN(MAX(J2580/K2580,0),1.3))),"") </f>
        <v/>
      </c>
      <c r="M2580" s="39">
        <f>IFERROR(IF(OR(J2580=0,K2580=""),"",IF(E2580="Positivo",MAX(K2580/J2580,0),MAX(J2580/K2580,0))),"") </f>
        <v/>
      </c>
      <c r="N2580" t="inlineStr">
        <is>
          <t>%</t>
        </is>
      </c>
      <c r="O2580" t="inlineStr">
        <is>
          <t>%</t>
        </is>
      </c>
      <c r="P2580" t="n">
        <v>0</v>
      </c>
      <c r="Q2580" t="n">
        <v>0</v>
      </c>
      <c r="R2580" t="inlineStr">
        <is>
          <t>514-2025-12-31</t>
        </is>
      </c>
    </row>
    <row r="2581">
      <c r="A2581" t="n">
        <v>515</v>
      </c>
      <c r="B2581" t="inlineStr">
        <is>
          <t>Porcentaje de procesos de control implementados</t>
        </is>
      </c>
      <c r="C2581" t="inlineStr">
        <is>
          <t>GESTIÓN DE LA TECNOLOGÍA E INNOVACIÓN DIGITAL</t>
        </is>
      </c>
      <c r="D2581" t="inlineStr">
        <is>
          <t>Trimestral</t>
        </is>
      </c>
      <c r="E2581" t="inlineStr">
        <is>
          <t>Positivo</t>
        </is>
      </c>
      <c r="F2581" s="111" t="n">
        <v>46022</v>
      </c>
      <c r="G2581" t="n">
        <v>2025</v>
      </c>
      <c r="H2581" t="inlineStr">
        <is>
          <t>Diciembre</t>
        </is>
      </c>
      <c r="I2581" t="inlineStr">
        <is>
          <t>2025-2</t>
        </is>
      </c>
      <c r="J2581" t="n">
        <v>97</v>
      </c>
      <c r="K2581" t="n">
        <v>66.67</v>
      </c>
      <c r="L2581" s="39">
        <f>IFERROR(IF(OR(J2581=0,K2581=""),"",IF(E2581="Positivo",MIN(MAX(K2581/J2581,0),1.3),MIN(MAX(J2581/K2581,0),1.3))),"") </f>
        <v/>
      </c>
      <c r="M2581" s="39">
        <f>IFERROR(IF(OR(J2581=0,K2581=""),"",IF(E2581="Positivo",MAX(K2581/J2581,0),MAX(J2581/K2581,0))),"") </f>
        <v/>
      </c>
      <c r="N2581" t="inlineStr">
        <is>
          <t>%</t>
        </is>
      </c>
      <c r="O2581" t="inlineStr">
        <is>
          <t>%</t>
        </is>
      </c>
      <c r="P2581" t="n">
        <v>0</v>
      </c>
      <c r="Q2581" t="n">
        <v>0</v>
      </c>
      <c r="R2581" t="inlineStr">
        <is>
          <t>515-2025-12-31</t>
        </is>
      </c>
    </row>
    <row r="2582">
      <c r="A2582" t="n">
        <v>516</v>
      </c>
      <c r="B2582" t="inlineStr">
        <is>
          <t>Porcentaje de colaboradores formados en ciberseguridad</t>
        </is>
      </c>
      <c r="C2582" t="inlineStr">
        <is>
          <t>GESTIÓN DE LA TECNOLOGÍA E INNOVACIÓN DIGITAL</t>
        </is>
      </c>
      <c r="D2582" t="inlineStr">
        <is>
          <t>Trimestral</t>
        </is>
      </c>
      <c r="E2582" t="inlineStr">
        <is>
          <t>Positivo</t>
        </is>
      </c>
      <c r="F2582" s="111" t="n">
        <v>46022</v>
      </c>
      <c r="G2582" t="n">
        <v>2025</v>
      </c>
      <c r="H2582" t="inlineStr">
        <is>
          <t>Diciembre</t>
        </is>
      </c>
      <c r="I2582" t="inlineStr">
        <is>
          <t>2025-2</t>
        </is>
      </c>
      <c r="J2582" t="n">
        <v>97</v>
      </c>
      <c r="K2582" t="n">
        <v>315.79</v>
      </c>
      <c r="L2582" s="39">
        <f>IFERROR(IF(OR(J2582=0,K2582=""),"",IF(E2582="Positivo",MIN(MAX(K2582/J2582,0),1.3),MIN(MAX(J2582/K2582,0),1.3))),"") </f>
        <v/>
      </c>
      <c r="M2582" s="39">
        <f>IFERROR(IF(OR(J2582=0,K2582=""),"",IF(E2582="Positivo",MAX(K2582/J2582,0),MAX(J2582/K2582,0))),"") </f>
        <v/>
      </c>
      <c r="N2582" t="inlineStr">
        <is>
          <t>%</t>
        </is>
      </c>
      <c r="O2582" t="inlineStr">
        <is>
          <t>%</t>
        </is>
      </c>
      <c r="P2582" t="n">
        <v>0</v>
      </c>
      <c r="Q2582" t="n">
        <v>0</v>
      </c>
      <c r="R2582" t="inlineStr">
        <is>
          <t>516-2025-12-31</t>
        </is>
      </c>
    </row>
    <row r="2583">
      <c r="A2583" t="n">
        <v>518</v>
      </c>
      <c r="B2583" t="inlineStr">
        <is>
          <t>Cumplimiento programa de auditoría</t>
        </is>
      </c>
      <c r="C2583" t="inlineStr">
        <is>
          <t>AUDITORÍA INTERNA</t>
        </is>
      </c>
      <c r="D2583" t="inlineStr">
        <is>
          <t>Bimestral</t>
        </is>
      </c>
      <c r="E2583" t="inlineStr">
        <is>
          <t>Positivo</t>
        </is>
      </c>
      <c r="F2583" s="111" t="n">
        <v>45747</v>
      </c>
      <c r="G2583" t="n">
        <v>2025</v>
      </c>
      <c r="H2583" t="inlineStr">
        <is>
          <t>Marzo</t>
        </is>
      </c>
      <c r="I2583" t="inlineStr">
        <is>
          <t>2025-1</t>
        </is>
      </c>
      <c r="J2583" t="n">
        <v>100</v>
      </c>
      <c r="K2583" t="n">
        <v>83.333333333333</v>
      </c>
      <c r="L2583" s="39">
        <f>IFERROR(IF(OR(J2583=0,K2583=""),"",IF(E2583="Positivo",MIN(MAX(K2583/J2583,0),1.3),MIN(MAX(J2583/K2583,0),1.3))),"") </f>
        <v/>
      </c>
      <c r="M2583" s="39">
        <f>IFERROR(IF(OR(J2583=0,K2583=""),"",IF(E2583="Positivo",MAX(K2583/J2583,0),MAX(J2583/K2583,0))),"") </f>
        <v/>
      </c>
      <c r="N2583" t="inlineStr">
        <is>
          <t>%</t>
        </is>
      </c>
      <c r="O2583" t="inlineStr">
        <is>
          <t>%</t>
        </is>
      </c>
      <c r="P2583" t="n">
        <v>0</v>
      </c>
      <c r="Q2583" t="n">
        <v>0</v>
      </c>
      <c r="R2583" t="inlineStr">
        <is>
          <t>518-2025-03-31</t>
        </is>
      </c>
    </row>
    <row r="2584">
      <c r="A2584" t="n">
        <v>518</v>
      </c>
      <c r="B2584" t="inlineStr">
        <is>
          <t>Cumplimiento programa de auditoría</t>
        </is>
      </c>
      <c r="C2584" t="inlineStr">
        <is>
          <t>AUDITORÍA INTERNA</t>
        </is>
      </c>
      <c r="D2584" t="inlineStr">
        <is>
          <t>Bimestral</t>
        </is>
      </c>
      <c r="E2584" t="inlineStr">
        <is>
          <t>Positivo</t>
        </is>
      </c>
      <c r="F2584" s="111" t="n">
        <v>45838</v>
      </c>
      <c r="G2584" t="n">
        <v>2025</v>
      </c>
      <c r="H2584" t="inlineStr">
        <is>
          <t>Junio</t>
        </is>
      </c>
      <c r="I2584" t="inlineStr">
        <is>
          <t>2025-1</t>
        </is>
      </c>
      <c r="J2584" t="n">
        <v>100</v>
      </c>
      <c r="K2584" t="n">
        <v>87.5</v>
      </c>
      <c r="L2584" s="39">
        <f>IFERROR(IF(OR(J2584=0,K2584=""),"",IF(E2584="Positivo",MIN(MAX(K2584/J2584,0),1.3),MIN(MAX(J2584/K2584,0),1.3))),"") </f>
        <v/>
      </c>
      <c r="M2584" s="39">
        <f>IFERROR(IF(OR(J2584=0,K2584=""),"",IF(E2584="Positivo",MAX(K2584/J2584,0),MAX(J2584/K2584,0))),"") </f>
        <v/>
      </c>
      <c r="N2584" t="inlineStr">
        <is>
          <t>%</t>
        </is>
      </c>
      <c r="O2584" t="inlineStr">
        <is>
          <t>%</t>
        </is>
      </c>
      <c r="P2584" t="n">
        <v>0</v>
      </c>
      <c r="Q2584" t="n">
        <v>0</v>
      </c>
      <c r="R2584" t="inlineStr">
        <is>
          <t>518-2025-06-30</t>
        </is>
      </c>
    </row>
    <row r="2585">
      <c r="A2585" t="n">
        <v>518</v>
      </c>
      <c r="B2585" t="inlineStr">
        <is>
          <t>Cumplimiento programa de auditoría</t>
        </is>
      </c>
      <c r="C2585" t="inlineStr">
        <is>
          <t>AUDITORÍA INTERNA</t>
        </is>
      </c>
      <c r="D2585" t="inlineStr">
        <is>
          <t>Semestral</t>
        </is>
      </c>
      <c r="E2585" t="inlineStr">
        <is>
          <t>Positivo</t>
        </is>
      </c>
      <c r="F2585" s="111" t="n">
        <v>45930</v>
      </c>
      <c r="G2585" t="n">
        <v>2025</v>
      </c>
      <c r="H2585" t="inlineStr">
        <is>
          <t>Septiembre</t>
        </is>
      </c>
      <c r="I2585" t="inlineStr">
        <is>
          <t>2025-2</t>
        </is>
      </c>
      <c r="J2585" t="n">
        <v>100</v>
      </c>
      <c r="K2585" t="n">
        <v>120</v>
      </c>
      <c r="L2585" s="39">
        <f>IFERROR(IF(OR(J2585=0,K2585=""),"",IF(E2585="Positivo",MIN(MAX(K2585/J2585,0),1.3),MIN(MAX(J2585/K2585,0),1.3))),"") </f>
        <v/>
      </c>
      <c r="M2585" s="39">
        <f>IFERROR(IF(OR(J2585=0,K2585=""),"",IF(E2585="Positivo",MAX(K2585/J2585,0),MAX(J2585/K2585,0))),"") </f>
        <v/>
      </c>
      <c r="N2585" t="inlineStr">
        <is>
          <t>%</t>
        </is>
      </c>
      <c r="O2585" t="inlineStr">
        <is>
          <t>%</t>
        </is>
      </c>
      <c r="P2585" t="n">
        <v>0</v>
      </c>
      <c r="Q2585" t="n">
        <v>0</v>
      </c>
      <c r="R2585" t="inlineStr">
        <is>
          <t>518-2025-09-30</t>
        </is>
      </c>
    </row>
    <row r="2586">
      <c r="A2586" t="n">
        <v>518</v>
      </c>
      <c r="B2586" t="inlineStr">
        <is>
          <t>Cumplimiento programa de auditoría</t>
        </is>
      </c>
      <c r="C2586" t="inlineStr">
        <is>
          <t>AUDITORÍA INTERNA</t>
        </is>
      </c>
      <c r="D2586" t="inlineStr">
        <is>
          <t>Semestral</t>
        </is>
      </c>
      <c r="E2586" t="inlineStr">
        <is>
          <t>Positivo</t>
        </is>
      </c>
      <c r="F2586" s="111" t="n">
        <v>46022</v>
      </c>
      <c r="G2586" t="n">
        <v>2025</v>
      </c>
      <c r="H2586" t="inlineStr">
        <is>
          <t>Diciembre</t>
        </is>
      </c>
      <c r="I2586" t="inlineStr">
        <is>
          <t>2025-2</t>
        </is>
      </c>
      <c r="J2586" t="n">
        <v>100</v>
      </c>
      <c r="K2586" t="n">
        <v>137.5</v>
      </c>
      <c r="L2586" s="39">
        <f>IFERROR(IF(OR(J2586=0,K2586=""),"",IF(E2586="Positivo",MIN(MAX(K2586/J2586,0),1.3),MIN(MAX(J2586/K2586,0),1.3))),"") </f>
        <v/>
      </c>
      <c r="M2586" s="39">
        <f>IFERROR(IF(OR(J2586=0,K2586=""),"",IF(E2586="Positivo",MAX(K2586/J2586,0),MAX(J2586/K2586,0))),"") </f>
        <v/>
      </c>
      <c r="N2586" t="inlineStr">
        <is>
          <t>%</t>
        </is>
      </c>
      <c r="O2586" t="inlineStr">
        <is>
          <t>%</t>
        </is>
      </c>
      <c r="P2586" t="n">
        <v>0</v>
      </c>
      <c r="Q2586" t="n">
        <v>0</v>
      </c>
      <c r="R2586" t="inlineStr">
        <is>
          <t>518-2025-12-31</t>
        </is>
      </c>
    </row>
    <row r="2587">
      <c r="A2587" t="n">
        <v>519</v>
      </c>
      <c r="B2587" t="inlineStr">
        <is>
          <t>% de publicaciones con sentimiento neutro o negativo</t>
        </is>
      </c>
      <c r="C2587" t="inlineStr">
        <is>
          <t>Comunicaciones Externas</t>
        </is>
      </c>
      <c r="D2587" t="inlineStr">
        <is>
          <t>Trimestral</t>
        </is>
      </c>
      <c r="E2587" t="inlineStr">
        <is>
          <t>Positivo</t>
        </is>
      </c>
      <c r="F2587" s="111" t="n">
        <v>45838</v>
      </c>
      <c r="G2587" t="n">
        <v>2025</v>
      </c>
      <c r="H2587" t="inlineStr">
        <is>
          <t>Junio</t>
        </is>
      </c>
      <c r="I2587" t="inlineStr">
        <is>
          <t>2025-1</t>
        </is>
      </c>
      <c r="J2587" t="n">
        <v>100</v>
      </c>
      <c r="K2587" t="n">
        <v>431.45</v>
      </c>
      <c r="L2587" s="39">
        <f>IFERROR(IF(OR(J2587=0,K2587=""),"",IF(E2587="Positivo",MIN(MAX(K2587/J2587,0),1.3),MIN(MAX(J2587/K2587,0),1.3))),"") </f>
        <v/>
      </c>
      <c r="M2587" s="39">
        <f>IFERROR(IF(OR(J2587=0,K2587=""),"",IF(E2587="Positivo",MAX(K2587/J2587,0),MAX(J2587/K2587,0))),"") </f>
        <v/>
      </c>
      <c r="N2587" t="inlineStr">
        <is>
          <t>%</t>
        </is>
      </c>
      <c r="O2587" t="inlineStr">
        <is>
          <t>%</t>
        </is>
      </c>
      <c r="P2587" t="n">
        <v>0</v>
      </c>
      <c r="Q2587" t="n">
        <v>0</v>
      </c>
      <c r="R2587" t="inlineStr">
        <is>
          <t>519-2025-06-30</t>
        </is>
      </c>
    </row>
    <row r="2588">
      <c r="A2588" t="n">
        <v>519</v>
      </c>
      <c r="B2588" t="inlineStr">
        <is>
          <t>% de publicaciones con sentimiento neutro o negativo</t>
        </is>
      </c>
      <c r="C2588" t="inlineStr">
        <is>
          <t>Comunicaciones Externas</t>
        </is>
      </c>
      <c r="D2588" t="inlineStr">
        <is>
          <t>Trimestral</t>
        </is>
      </c>
      <c r="E2588" t="inlineStr">
        <is>
          <t>Positivo</t>
        </is>
      </c>
      <c r="F2588" s="111" t="n">
        <v>46022</v>
      </c>
      <c r="G2588" t="n">
        <v>2025</v>
      </c>
      <c r="H2588" t="inlineStr">
        <is>
          <t>Diciembre</t>
        </is>
      </c>
      <c r="I2588" t="inlineStr">
        <is>
          <t>2025-2</t>
        </is>
      </c>
      <c r="J2588" t="n">
        <v>100</v>
      </c>
      <c r="K2588" t="n">
        <v>131.13</v>
      </c>
      <c r="L2588" s="39">
        <f>IFERROR(IF(OR(J2588=0,K2588=""),"",IF(E2588="Positivo",MIN(MAX(K2588/J2588,0),1.3),MIN(MAX(J2588/K2588,0),1.3))),"") </f>
        <v/>
      </c>
      <c r="M2588" s="39">
        <f>IFERROR(IF(OR(J2588=0,K2588=""),"",IF(E2588="Positivo",MAX(K2588/J2588,0),MAX(J2588/K2588,0))),"") </f>
        <v/>
      </c>
      <c r="N2588" t="inlineStr">
        <is>
          <t>%</t>
        </is>
      </c>
      <c r="O2588" t="inlineStr">
        <is>
          <t>%</t>
        </is>
      </c>
      <c r="P2588" t="n">
        <v>0</v>
      </c>
      <c r="Q2588" t="n">
        <v>0</v>
      </c>
      <c r="R2588" t="inlineStr">
        <is>
          <t>519-2025-12-31</t>
        </is>
      </c>
    </row>
    <row r="2589">
      <c r="A2589" t="n">
        <v>522</v>
      </c>
      <c r="B2589" t="inlineStr">
        <is>
          <t>Asignaturas o modulos con mecanismos de evaluación implementados</t>
        </is>
      </c>
      <c r="C2589" t="inlineStr">
        <is>
          <t>Gestión, Evaluación e Innovación Curricular</t>
        </is>
      </c>
      <c r="D2589" t="inlineStr">
        <is>
          <t>Anual</t>
        </is>
      </c>
      <c r="E2589" t="inlineStr">
        <is>
          <t>Positivo</t>
        </is>
      </c>
      <c r="F2589" s="111" t="n">
        <v>46022</v>
      </c>
      <c r="G2589" t="n">
        <v>2025</v>
      </c>
      <c r="H2589" t="inlineStr">
        <is>
          <t>Diciembre</t>
        </is>
      </c>
      <c r="I2589" t="inlineStr">
        <is>
          <t>2025-2</t>
        </is>
      </c>
      <c r="J2589" t="n">
        <v>20</v>
      </c>
      <c r="K2589" t="n">
        <v>100</v>
      </c>
      <c r="L2589" s="39">
        <f>IFERROR(IF(OR(J2589=0,K2589=""),"",IF(E2589="Positivo",MIN(MAX(K2589/J2589,0),1.3),MIN(MAX(J2589/K2589,0),1.3))),"") </f>
        <v/>
      </c>
      <c r="M2589" s="39">
        <f>IFERROR(IF(OR(J2589=0,K2589=""),"",IF(E2589="Positivo",MAX(K2589/J2589,0),MAX(J2589/K2589,0))),"") </f>
        <v/>
      </c>
      <c r="N2589" t="inlineStr">
        <is>
          <t>%</t>
        </is>
      </c>
      <c r="O2589" t="inlineStr">
        <is>
          <t>%</t>
        </is>
      </c>
      <c r="P2589" t="n">
        <v>0</v>
      </c>
      <c r="Q2589" t="n">
        <v>0</v>
      </c>
      <c r="R2589" t="inlineStr">
        <is>
          <t>522-2025-12-31</t>
        </is>
      </c>
    </row>
    <row r="2590">
      <c r="A2590" t="n">
        <v>523</v>
      </c>
      <c r="B2590" t="inlineStr">
        <is>
          <t>Ingresos totales de educación para la vida</t>
        </is>
      </c>
      <c r="C2590" t="inlineStr">
        <is>
          <t>Planeación Financiera</t>
        </is>
      </c>
      <c r="D2590" t="inlineStr">
        <is>
          <t>Trimestral</t>
        </is>
      </c>
      <c r="E2590" t="inlineStr">
        <is>
          <t>Positivo</t>
        </is>
      </c>
      <c r="F2590" s="111" t="n">
        <v>45838</v>
      </c>
      <c r="G2590" t="n">
        <v>2025</v>
      </c>
      <c r="H2590" t="inlineStr">
        <is>
          <t>Junio</t>
        </is>
      </c>
      <c r="I2590" t="inlineStr">
        <is>
          <t>2025-1</t>
        </is>
      </c>
      <c r="J2590" t="n">
        <v>95</v>
      </c>
      <c r="K2590" t="n">
        <v>125.74</v>
      </c>
      <c r="L2590" s="39">
        <f>IFERROR(IF(OR(J2590=0,K2590=""),"",IF(E2590="Positivo",MIN(MAX(K2590/J2590,0),1.3),MIN(MAX(J2590/K2590,0),1.3))),"") </f>
        <v/>
      </c>
      <c r="M2590" s="39">
        <f>IFERROR(IF(OR(J2590=0,K2590=""),"",IF(E2590="Positivo",MAX(K2590/J2590,0),MAX(J2590/K2590,0))),"") </f>
        <v/>
      </c>
      <c r="N2590" t="inlineStr">
        <is>
          <t>%</t>
        </is>
      </c>
      <c r="O2590" t="inlineStr">
        <is>
          <t>%</t>
        </is>
      </c>
      <c r="P2590" t="n">
        <v>0</v>
      </c>
      <c r="Q2590" t="n">
        <v>0</v>
      </c>
      <c r="R2590" t="inlineStr">
        <is>
          <t>523-2025-06-30</t>
        </is>
      </c>
    </row>
    <row r="2591">
      <c r="A2591" t="n">
        <v>523</v>
      </c>
      <c r="B2591" t="inlineStr">
        <is>
          <t>Ingresos totales de educación para la vida</t>
        </is>
      </c>
      <c r="C2591" t="inlineStr">
        <is>
          <t>Planeación Financiera</t>
        </is>
      </c>
      <c r="D2591" t="inlineStr">
        <is>
          <t>Trimestral</t>
        </is>
      </c>
      <c r="E2591" t="inlineStr">
        <is>
          <t>Positivo</t>
        </is>
      </c>
      <c r="F2591" s="111" t="n">
        <v>46022</v>
      </c>
      <c r="G2591" t="n">
        <v>2025</v>
      </c>
      <c r="H2591" t="inlineStr">
        <is>
          <t>Diciembre</t>
        </is>
      </c>
      <c r="I2591" t="inlineStr">
        <is>
          <t>2025-2</t>
        </is>
      </c>
      <c r="J2591" t="n">
        <v>95</v>
      </c>
      <c r="K2591" t="n">
        <v>95.81999999999999</v>
      </c>
      <c r="L2591" s="39">
        <f>IFERROR(IF(OR(J2591=0,K2591=""),"",IF(E2591="Positivo",MIN(MAX(K2591/J2591,0),1.3),MIN(MAX(J2591/K2591,0),1.3))),"") </f>
        <v/>
      </c>
      <c r="M2591" s="39">
        <f>IFERROR(IF(OR(J2591=0,K2591=""),"",IF(E2591="Positivo",MAX(K2591/J2591,0),MAX(J2591/K2591,0))),"") </f>
        <v/>
      </c>
      <c r="N2591" t="inlineStr">
        <is>
          <t>%</t>
        </is>
      </c>
      <c r="O2591" t="inlineStr">
        <is>
          <t>%</t>
        </is>
      </c>
      <c r="P2591" t="n">
        <v>0</v>
      </c>
      <c r="Q2591" t="n">
        <v>0</v>
      </c>
      <c r="R2591" t="inlineStr">
        <is>
          <t>523-2025-12-31</t>
        </is>
      </c>
    </row>
    <row r="2592">
      <c r="A2592" t="n">
        <v>524</v>
      </c>
      <c r="B2592" t="inlineStr">
        <is>
          <t>Total Leads por canales de captación</t>
        </is>
      </c>
      <c r="C2592" t="inlineStr">
        <is>
          <t>Mercadeo de programas académicos</t>
        </is>
      </c>
      <c r="D2592" t="inlineStr">
        <is>
          <t>Trimestral</t>
        </is>
      </c>
      <c r="E2592" t="inlineStr">
        <is>
          <t>Positivo</t>
        </is>
      </c>
      <c r="F2592" s="111" t="n">
        <v>45838</v>
      </c>
      <c r="G2592" t="n">
        <v>2025</v>
      </c>
      <c r="H2592" t="inlineStr">
        <is>
          <t>Junio</t>
        </is>
      </c>
      <c r="I2592" t="inlineStr">
        <is>
          <t>2025-1</t>
        </is>
      </c>
      <c r="J2592" t="n">
        <v>100</v>
      </c>
      <c r="K2592" t="n">
        <v>99.38</v>
      </c>
      <c r="L2592" s="39">
        <f>IFERROR(IF(OR(J2592=0,K2592=""),"",IF(E2592="Positivo",MIN(MAX(K2592/J2592,0),1.3),MIN(MAX(J2592/K2592,0),1.3))),"") </f>
        <v/>
      </c>
      <c r="M2592" s="39">
        <f>IFERROR(IF(OR(J2592=0,K2592=""),"",IF(E2592="Positivo",MAX(K2592/J2592,0),MAX(J2592/K2592,0))),"") </f>
        <v/>
      </c>
      <c r="N2592" t="inlineStr">
        <is>
          <t>ENT</t>
        </is>
      </c>
      <c r="O2592" t="inlineStr">
        <is>
          <t>ENT</t>
        </is>
      </c>
      <c r="P2592" t="n">
        <v>0</v>
      </c>
      <c r="Q2592" t="n">
        <v>0</v>
      </c>
      <c r="R2592" t="inlineStr">
        <is>
          <t>524-2025-06-30</t>
        </is>
      </c>
    </row>
    <row r="2593">
      <c r="A2593" t="n">
        <v>524</v>
      </c>
      <c r="B2593" t="inlineStr">
        <is>
          <t>Total Leads por canales de captación</t>
        </is>
      </c>
      <c r="C2593" t="inlineStr">
        <is>
          <t>Mercadeo de programas académicos</t>
        </is>
      </c>
      <c r="D2593" t="inlineStr">
        <is>
          <t>Trimestral</t>
        </is>
      </c>
      <c r="E2593" t="inlineStr">
        <is>
          <t>Positivo</t>
        </is>
      </c>
      <c r="F2593" s="111" t="n">
        <v>46022</v>
      </c>
      <c r="G2593" t="n">
        <v>2025</v>
      </c>
      <c r="H2593" t="inlineStr">
        <is>
          <t>Diciembre</t>
        </is>
      </c>
      <c r="I2593" t="inlineStr">
        <is>
          <t>2025-2</t>
        </is>
      </c>
      <c r="J2593" t="n">
        <v>143.412</v>
      </c>
      <c r="K2593" t="n">
        <v>106.07</v>
      </c>
      <c r="L2593" s="39">
        <f>IFERROR(IF(OR(J2593=0,K2593=""),"",IF(E2593="Positivo",MIN(MAX(K2593/J2593,0),1.3),MIN(MAX(J2593/K2593,0),1.3))),"") </f>
        <v/>
      </c>
      <c r="M2593" s="39">
        <f>IFERROR(IF(OR(J2593=0,K2593=""),"",IF(E2593="Positivo",MAX(K2593/J2593,0),MAX(J2593/K2593,0))),"") </f>
        <v/>
      </c>
      <c r="N2593" t="inlineStr">
        <is>
          <t>ENT</t>
        </is>
      </c>
      <c r="O2593" t="inlineStr">
        <is>
          <t>ENT</t>
        </is>
      </c>
      <c r="P2593" t="n">
        <v>0</v>
      </c>
      <c r="Q2593" t="n">
        <v>0</v>
      </c>
      <c r="R2593" t="inlineStr">
        <is>
          <t>524-2025-12-31</t>
        </is>
      </c>
    </row>
    <row r="2594">
      <c r="A2594" t="n">
        <v>526</v>
      </c>
      <c r="B2594" t="inlineStr">
        <is>
          <t>Cumplimiento Politica Polisigs</t>
        </is>
      </c>
      <c r="C2594" t="inlineStr">
        <is>
          <t>Planificación POLISIGS</t>
        </is>
      </c>
      <c r="D2594" t="inlineStr">
        <is>
          <t>Semestral</t>
        </is>
      </c>
      <c r="E2594" t="inlineStr">
        <is>
          <t>Positivo</t>
        </is>
      </c>
      <c r="F2594" s="111" t="n">
        <v>45838</v>
      </c>
      <c r="G2594" t="n">
        <v>2025</v>
      </c>
      <c r="H2594" t="inlineStr">
        <is>
          <t>Junio</t>
        </is>
      </c>
      <c r="I2594" t="inlineStr">
        <is>
          <t>2025-1</t>
        </is>
      </c>
      <c r="J2594" t="n">
        <v>95</v>
      </c>
      <c r="K2594" t="n">
        <v>0</v>
      </c>
      <c r="L2594" s="39">
        <f>IFERROR(IF(OR(J2594=0,K2594=""),"",IF(E2594="Positivo",MIN(MAX(K2594/J2594,0),1.3),MIN(MAX(J2594/K2594,0),1.3))),"") </f>
        <v/>
      </c>
      <c r="M2594" s="39">
        <f>IFERROR(IF(OR(J2594=0,K2594=""),"",IF(E2594="Positivo",MAX(K2594/J2594,0),MAX(J2594/K2594,0))),"") </f>
        <v/>
      </c>
      <c r="N2594" t="inlineStr">
        <is>
          <t>%</t>
        </is>
      </c>
      <c r="O2594" t="inlineStr">
        <is>
          <t>%</t>
        </is>
      </c>
      <c r="P2594" t="n">
        <v>0</v>
      </c>
      <c r="Q2594" t="n">
        <v>0</v>
      </c>
      <c r="R2594" t="inlineStr">
        <is>
          <t>526-2025-06-30</t>
        </is>
      </c>
    </row>
    <row r="2595">
      <c r="A2595" t="n">
        <v>526</v>
      </c>
      <c r="B2595" t="inlineStr">
        <is>
          <t>Cumplimiento Politica Polisigs</t>
        </is>
      </c>
      <c r="C2595" t="inlineStr">
        <is>
          <t>Planificación POLISIGS</t>
        </is>
      </c>
      <c r="D2595" t="inlineStr">
        <is>
          <t>Semestral</t>
        </is>
      </c>
      <c r="E2595" t="inlineStr">
        <is>
          <t>Positivo</t>
        </is>
      </c>
      <c r="F2595" s="111" t="n">
        <v>45930</v>
      </c>
      <c r="G2595" t="n">
        <v>2025</v>
      </c>
      <c r="H2595" t="inlineStr">
        <is>
          <t>Septiembre</t>
        </is>
      </c>
      <c r="I2595" t="inlineStr">
        <is>
          <t>2025-2</t>
        </is>
      </c>
      <c r="J2595" t="n">
        <v>95</v>
      </c>
      <c r="K2595" t="n">
        <v>96.59999999999999</v>
      </c>
      <c r="L2595" s="39">
        <f>IFERROR(IF(OR(J2595=0,K2595=""),"",IF(E2595="Positivo",MIN(MAX(K2595/J2595,0),1.3),MIN(MAX(J2595/K2595,0),1.3))),"") </f>
        <v/>
      </c>
      <c r="M2595" s="39">
        <f>IFERROR(IF(OR(J2595=0,K2595=""),"",IF(E2595="Positivo",MAX(K2595/J2595,0),MAX(J2595/K2595,0))),"") </f>
        <v/>
      </c>
      <c r="N2595" t="inlineStr">
        <is>
          <t>%</t>
        </is>
      </c>
      <c r="O2595" t="inlineStr">
        <is>
          <t>%</t>
        </is>
      </c>
      <c r="P2595" t="n">
        <v>0</v>
      </c>
      <c r="Q2595" t="n">
        <v>0</v>
      </c>
      <c r="R2595" t="inlineStr">
        <is>
          <t>526-2025-09-30</t>
        </is>
      </c>
    </row>
    <row r="2596">
      <c r="A2596" t="n">
        <v>527</v>
      </c>
      <c r="B2596" t="inlineStr">
        <is>
          <t>Participación de Grupos de Interés en la construcción del nuevo plan de desarrollo (PDI)</t>
        </is>
      </c>
      <c r="C2596" t="inlineStr">
        <is>
          <t>Planeación Estratégica</t>
        </is>
      </c>
      <c r="D2596" t="inlineStr">
        <is>
          <t>Anual</t>
        </is>
      </c>
      <c r="E2596" t="inlineStr">
        <is>
          <t>Positivo</t>
        </is>
      </c>
      <c r="F2596" s="111" t="n">
        <v>46022</v>
      </c>
      <c r="G2596" t="n">
        <v>2025</v>
      </c>
      <c r="H2596" t="inlineStr">
        <is>
          <t>Diciembre</t>
        </is>
      </c>
      <c r="I2596" t="inlineStr">
        <is>
          <t>2025-2</t>
        </is>
      </c>
      <c r="J2596" t="n">
        <v>100</v>
      </c>
      <c r="K2596" t="n">
        <v>197.94</v>
      </c>
      <c r="L2596" s="39">
        <f>IFERROR(IF(OR(J2596=0,K2596=""),"",IF(E2596="Positivo",MIN(MAX(K2596/J2596,0),1.3),MIN(MAX(J2596/K2596,0),1.3))),"") </f>
        <v/>
      </c>
      <c r="M2596" s="39">
        <f>IFERROR(IF(OR(J2596=0,K2596=""),"",IF(E2596="Positivo",MAX(K2596/J2596,0),MAX(J2596/K2596,0))),"") </f>
        <v/>
      </c>
      <c r="N2596" t="inlineStr">
        <is>
          <t>%</t>
        </is>
      </c>
      <c r="O2596" t="inlineStr">
        <is>
          <t>%</t>
        </is>
      </c>
      <c r="P2596" t="n">
        <v>0</v>
      </c>
      <c r="Q2596" t="n">
        <v>0</v>
      </c>
      <c r="R2596" t="inlineStr">
        <is>
          <t>527-2025-12-31</t>
        </is>
      </c>
    </row>
    <row r="2597">
      <c r="A2597" t="n">
        <v>528</v>
      </c>
      <c r="B2597" t="inlineStr">
        <is>
          <t>Participación de la comunidad en la Rendición de Cuentas</t>
        </is>
      </c>
      <c r="C2597" t="inlineStr">
        <is>
          <t>Planeación Estratégica</t>
        </is>
      </c>
      <c r="D2597" t="inlineStr">
        <is>
          <t>Anual</t>
        </is>
      </c>
      <c r="E2597" t="inlineStr">
        <is>
          <t>Positivo</t>
        </is>
      </c>
      <c r="F2597" s="111" t="n">
        <v>45838</v>
      </c>
      <c r="G2597" t="n">
        <v>2025</v>
      </c>
      <c r="H2597" t="inlineStr">
        <is>
          <t>Junio</t>
        </is>
      </c>
      <c r="I2597" t="inlineStr">
        <is>
          <t>2025-1</t>
        </is>
      </c>
      <c r="J2597" t="n">
        <v>100</v>
      </c>
      <c r="K2597" t="n">
        <v>173.92055267703</v>
      </c>
      <c r="L2597" s="39">
        <f>IFERROR(IF(OR(J2597=0,K2597=""),"",IF(E2597="Positivo",MIN(MAX(K2597/J2597,0),1.3),MIN(MAX(J2597/K2597,0),1.3))),"") </f>
        <v/>
      </c>
      <c r="M2597" s="39">
        <f>IFERROR(IF(OR(J2597=0,K2597=""),"",IF(E2597="Positivo",MAX(K2597/J2597,0),MAX(J2597/K2597,0))),"") </f>
        <v/>
      </c>
      <c r="N2597" t="inlineStr">
        <is>
          <t>ENT</t>
        </is>
      </c>
      <c r="O2597" t="inlineStr">
        <is>
          <t>ENT</t>
        </is>
      </c>
      <c r="P2597" t="n">
        <v>0</v>
      </c>
      <c r="Q2597" t="n">
        <v>0</v>
      </c>
      <c r="R2597" t="inlineStr">
        <is>
          <t>528-2025-06-30</t>
        </is>
      </c>
    </row>
    <row r="2598">
      <c r="A2598" t="n">
        <v>528</v>
      </c>
      <c r="B2598" t="inlineStr">
        <is>
          <t>Participación de la comunidad en la Rendición de Cuentas</t>
        </is>
      </c>
      <c r="C2598" t="inlineStr">
        <is>
          <t>Planeación Estratégica</t>
        </is>
      </c>
      <c r="D2598" t="inlineStr">
        <is>
          <t>Anual</t>
        </is>
      </c>
      <c r="E2598" t="inlineStr">
        <is>
          <t>Positivo</t>
        </is>
      </c>
      <c r="F2598" s="111" t="n">
        <v>46022</v>
      </c>
      <c r="G2598" t="n">
        <v>2025</v>
      </c>
      <c r="H2598" t="inlineStr">
        <is>
          <t>Diciembre</t>
        </is>
      </c>
      <c r="I2598" t="inlineStr">
        <is>
          <t>2025-2</t>
        </is>
      </c>
      <c r="J2598" t="n">
        <v>100</v>
      </c>
      <c r="K2598" t="n">
        <v>1158</v>
      </c>
      <c r="L2598" s="39">
        <f>IFERROR(IF(OR(J2598=0,K2598=""),"",IF(E2598="Positivo",MIN(MAX(K2598/J2598,0),1.3),MIN(MAX(J2598/K2598,0),1.3))),"") </f>
        <v/>
      </c>
      <c r="M2598" s="39">
        <f>IFERROR(IF(OR(J2598=0,K2598=""),"",IF(E2598="Positivo",MAX(K2598/J2598,0),MAX(J2598/K2598,0))),"") </f>
        <v/>
      </c>
      <c r="N2598" t="inlineStr">
        <is>
          <t>ENT</t>
        </is>
      </c>
      <c r="O2598" t="inlineStr">
        <is>
          <t>ENT</t>
        </is>
      </c>
      <c r="P2598" t="n">
        <v>0</v>
      </c>
      <c r="Q2598" t="n">
        <v>0</v>
      </c>
      <c r="R2598" t="inlineStr">
        <is>
          <t>528-2025-12-31</t>
        </is>
      </c>
    </row>
    <row r="2599">
      <c r="A2599" t="n">
        <v>529</v>
      </c>
      <c r="B2599" t="inlineStr">
        <is>
          <t>Oportunidad en la solución de solicitudes de infraestructura</t>
        </is>
      </c>
      <c r="C2599" t="inlineStr">
        <is>
          <t>Gestión Infraestructura Física</t>
        </is>
      </c>
      <c r="D2599" t="inlineStr">
        <is>
          <t>Semestral</t>
        </is>
      </c>
      <c r="E2599" t="inlineStr">
        <is>
          <t>Positivo</t>
        </is>
      </c>
      <c r="F2599" s="111" t="n">
        <v>45838</v>
      </c>
      <c r="G2599" t="n">
        <v>2025</v>
      </c>
      <c r="H2599" t="inlineStr">
        <is>
          <t>Junio</t>
        </is>
      </c>
      <c r="I2599" t="inlineStr">
        <is>
          <t>2025-1</t>
        </is>
      </c>
      <c r="L2599" s="39" t="n"/>
      <c r="M2599" s="39" t="n"/>
      <c r="N2599" t="inlineStr">
        <is>
          <t>%</t>
        </is>
      </c>
      <c r="O2599" t="inlineStr">
        <is>
          <t>No Aplica</t>
        </is>
      </c>
      <c r="P2599" t="n">
        <v>0</v>
      </c>
      <c r="Q2599" t="n">
        <v>0</v>
      </c>
      <c r="R2599" t="inlineStr">
        <is>
          <t>529-2025-06-30</t>
        </is>
      </c>
      <c r="S2599" t="inlineStr">
        <is>
          <t>No Aplica</t>
        </is>
      </c>
    </row>
    <row r="2600">
      <c r="A2600" t="n">
        <v>529</v>
      </c>
      <c r="B2600" t="inlineStr">
        <is>
          <t>Oportunidad en la solución de solicitudes de infraestructura</t>
        </is>
      </c>
      <c r="C2600" t="inlineStr">
        <is>
          <t>Gestión Infraestructura Física</t>
        </is>
      </c>
      <c r="D2600" t="inlineStr">
        <is>
          <t>Semestral</t>
        </is>
      </c>
      <c r="E2600" t="inlineStr">
        <is>
          <t>Positivo</t>
        </is>
      </c>
      <c r="F2600" s="111" t="n">
        <v>45930</v>
      </c>
      <c r="G2600" t="n">
        <v>2025</v>
      </c>
      <c r="H2600" t="inlineStr">
        <is>
          <t>Septiembre</t>
        </is>
      </c>
      <c r="I2600" t="inlineStr">
        <is>
          <t>2025-2</t>
        </is>
      </c>
      <c r="J2600" t="n">
        <v>90</v>
      </c>
      <c r="K2600" t="n">
        <v>196.19</v>
      </c>
      <c r="L2600" s="39">
        <f>IFERROR(IF(OR(J2600=0,K2600=""),"",IF(E2600="Positivo",MIN(MAX(K2600/J2600,0),1.3),MIN(MAX(J2600/K2600,0),1.3))),"") </f>
        <v/>
      </c>
      <c r="M2600" s="39">
        <f>IFERROR(IF(OR(J2600=0,K2600=""),"",IF(E2600="Positivo",MAX(K2600/J2600,0),MAX(J2600/K2600,0))),"") </f>
        <v/>
      </c>
      <c r="N2600" t="inlineStr">
        <is>
          <t>%</t>
        </is>
      </c>
      <c r="O2600" t="inlineStr">
        <is>
          <t>%</t>
        </is>
      </c>
      <c r="P2600" t="n">
        <v>0</v>
      </c>
      <c r="Q2600" t="n">
        <v>0</v>
      </c>
      <c r="R2600" t="inlineStr">
        <is>
          <t>529-2025-09-30</t>
        </is>
      </c>
    </row>
    <row r="2601">
      <c r="A2601" t="n">
        <v>529</v>
      </c>
      <c r="B2601" t="inlineStr">
        <is>
          <t>Oportunidad en la solución de solicitudes de infraestructura</t>
        </is>
      </c>
      <c r="C2601" t="inlineStr">
        <is>
          <t>Gestión Infraestructura Física</t>
        </is>
      </c>
      <c r="D2601" t="inlineStr">
        <is>
          <t>Semestral</t>
        </is>
      </c>
      <c r="E2601" t="inlineStr">
        <is>
          <t>Positivo</t>
        </is>
      </c>
      <c r="F2601" s="111" t="n">
        <v>46022</v>
      </c>
      <c r="G2601" t="n">
        <v>2025</v>
      </c>
      <c r="H2601" t="inlineStr">
        <is>
          <t>Diciembre</t>
        </is>
      </c>
      <c r="I2601" t="inlineStr">
        <is>
          <t>2025-2</t>
        </is>
      </c>
      <c r="J2601" t="n">
        <v>90</v>
      </c>
      <c r="K2601" t="n">
        <v>97.97</v>
      </c>
      <c r="L2601" s="39">
        <f>IFERROR(IF(OR(J2601=0,K2601=""),"",IF(E2601="Positivo",MIN(MAX(K2601/J2601,0),1.3),MIN(MAX(J2601/K2601,0),1.3))),"") </f>
        <v/>
      </c>
      <c r="M2601" s="39">
        <f>IFERROR(IF(OR(J2601=0,K2601=""),"",IF(E2601="Positivo",MAX(K2601/J2601,0),MAX(J2601/K2601,0))),"") </f>
        <v/>
      </c>
      <c r="N2601" t="inlineStr">
        <is>
          <t>%</t>
        </is>
      </c>
      <c r="O2601" t="inlineStr">
        <is>
          <t>%</t>
        </is>
      </c>
      <c r="P2601" t="n">
        <v>0</v>
      </c>
      <c r="Q2601" t="n">
        <v>0</v>
      </c>
      <c r="R2601" t="inlineStr">
        <is>
          <t>529-2025-12-31</t>
        </is>
      </c>
    </row>
    <row r="2602">
      <c r="A2602" t="n">
        <v>530</v>
      </c>
      <c r="B2602" t="inlineStr">
        <is>
          <t>Índice de Cumplimiento del Sprint</t>
        </is>
      </c>
      <c r="C2602" t="inlineStr">
        <is>
          <t>GESTIÓN DE LA TECNOLOGÍA E INNOVACIÓN DIGITAL</t>
        </is>
      </c>
      <c r="D2602" t="inlineStr">
        <is>
          <t>Trimestral</t>
        </is>
      </c>
      <c r="E2602" t="inlineStr">
        <is>
          <t>Positivo</t>
        </is>
      </c>
      <c r="F2602" s="111" t="n">
        <v>46022</v>
      </c>
      <c r="G2602" t="n">
        <v>2025</v>
      </c>
      <c r="H2602" t="inlineStr">
        <is>
          <t>Diciembre</t>
        </is>
      </c>
      <c r="I2602" t="inlineStr">
        <is>
          <t>2025-2</t>
        </is>
      </c>
      <c r="J2602" t="n">
        <v>97</v>
      </c>
      <c r="K2602" t="n">
        <v>85.56</v>
      </c>
      <c r="L2602" s="39">
        <f>IFERROR(IF(OR(J2602=0,K2602=""),"",IF(E2602="Positivo",MIN(MAX(K2602/J2602,0),1.3),MIN(MAX(J2602/K2602,0),1.3))),"") </f>
        <v/>
      </c>
      <c r="M2602" s="39">
        <f>IFERROR(IF(OR(J2602=0,K2602=""),"",IF(E2602="Positivo",MAX(K2602/J2602,0),MAX(J2602/K2602,0))),"") </f>
        <v/>
      </c>
      <c r="N2602" t="inlineStr">
        <is>
          <t>%</t>
        </is>
      </c>
      <c r="O2602" t="inlineStr">
        <is>
          <t>%</t>
        </is>
      </c>
      <c r="P2602" t="n">
        <v>0</v>
      </c>
      <c r="Q2602" t="n">
        <v>0</v>
      </c>
      <c r="R2602" t="inlineStr">
        <is>
          <t>530-2025-12-31</t>
        </is>
      </c>
    </row>
    <row r="2603">
      <c r="A2603" t="n">
        <v>531</v>
      </c>
      <c r="B2603" t="inlineStr">
        <is>
          <t>Eficiencia de capacidad instalada</t>
        </is>
      </c>
      <c r="C2603" t="inlineStr">
        <is>
          <t>GESTIÓN DE LA TECNOLOGÍA E INNOVACIÓN DIGITAL</t>
        </is>
      </c>
      <c r="D2603" t="inlineStr">
        <is>
          <t>Trimestral</t>
        </is>
      </c>
      <c r="E2603" t="inlineStr">
        <is>
          <t>Positivo</t>
        </is>
      </c>
      <c r="F2603" s="111" t="n">
        <v>46022</v>
      </c>
      <c r="G2603" t="n">
        <v>2025</v>
      </c>
      <c r="H2603" t="inlineStr">
        <is>
          <t>Diciembre</t>
        </is>
      </c>
      <c r="I2603" t="inlineStr">
        <is>
          <t>2025-2</t>
        </is>
      </c>
      <c r="J2603" t="n">
        <v>90</v>
      </c>
      <c r="K2603" t="n">
        <v>93.94</v>
      </c>
      <c r="L2603" s="39">
        <f>IFERROR(IF(OR(J2603=0,K2603=""),"",IF(E2603="Positivo",MIN(MAX(K2603/J2603,0),1.3),MIN(MAX(J2603/K2603,0),1.3))),"") </f>
        <v/>
      </c>
      <c r="M2603" s="39">
        <f>IFERROR(IF(OR(J2603=0,K2603=""),"",IF(E2603="Positivo",MAX(K2603/J2603,0),MAX(J2603/K2603,0))),"") </f>
        <v/>
      </c>
      <c r="N2603" t="inlineStr">
        <is>
          <t>%</t>
        </is>
      </c>
      <c r="O2603" t="inlineStr">
        <is>
          <t>%</t>
        </is>
      </c>
      <c r="P2603" t="n">
        <v>0</v>
      </c>
      <c r="Q2603" t="n">
        <v>0</v>
      </c>
      <c r="R2603" t="inlineStr">
        <is>
          <t>531-2025-12-31</t>
        </is>
      </c>
    </row>
    <row r="2604">
      <c r="A2604" t="n">
        <v>532</v>
      </c>
      <c r="B2604" t="inlineStr">
        <is>
          <t>Actividades de Cooperación en Internacionalización</t>
        </is>
      </c>
      <c r="C2604" t="inlineStr">
        <is>
          <t>VISIBILIDAD NACIONAL E INTERNACIONAL</t>
        </is>
      </c>
      <c r="D2604" t="inlineStr">
        <is>
          <t>Trimestral</t>
        </is>
      </c>
      <c r="E2604" t="inlineStr">
        <is>
          <t>Positivo</t>
        </is>
      </c>
      <c r="F2604" s="111" t="n">
        <v>45838</v>
      </c>
      <c r="G2604" t="n">
        <v>2025</v>
      </c>
      <c r="H2604" t="inlineStr">
        <is>
          <t>Junio</t>
        </is>
      </c>
      <c r="I2604" t="inlineStr">
        <is>
          <t>2025-1</t>
        </is>
      </c>
      <c r="J2604" t="n">
        <v>100</v>
      </c>
      <c r="K2604" t="n">
        <v>133.15</v>
      </c>
      <c r="L2604" s="39">
        <f>IFERROR(IF(OR(J2604=0,K2604=""),"",IF(E2604="Positivo",MIN(MAX(K2604/J2604,0),1.3),MIN(MAX(J2604/K2604,0),1.3))),"") </f>
        <v/>
      </c>
      <c r="M2604" s="39">
        <f>IFERROR(IF(OR(J2604=0,K2604=""),"",IF(E2604="Positivo",MAX(K2604/J2604,0),MAX(J2604/K2604,0))),"") </f>
        <v/>
      </c>
      <c r="N2604" t="inlineStr">
        <is>
          <t>%</t>
        </is>
      </c>
      <c r="O2604" t="inlineStr">
        <is>
          <t>%</t>
        </is>
      </c>
      <c r="P2604" t="n">
        <v>0</v>
      </c>
      <c r="Q2604" t="n">
        <v>0</v>
      </c>
      <c r="R2604" t="inlineStr">
        <is>
          <t>532-2025-06-30</t>
        </is>
      </c>
    </row>
    <row r="2605">
      <c r="A2605" t="n">
        <v>532</v>
      </c>
      <c r="B2605" t="inlineStr">
        <is>
          <t>Actividades de Cooperación en Internacionalización</t>
        </is>
      </c>
      <c r="C2605" t="inlineStr">
        <is>
          <t>VISIBILIDAD NACIONAL E INTERNACIONAL</t>
        </is>
      </c>
      <c r="D2605" t="inlineStr">
        <is>
          <t>Trimestral</t>
        </is>
      </c>
      <c r="E2605" t="inlineStr">
        <is>
          <t>Positivo</t>
        </is>
      </c>
      <c r="F2605" s="111" t="n">
        <v>46022</v>
      </c>
      <c r="G2605" t="n">
        <v>2025</v>
      </c>
      <c r="H2605" t="inlineStr">
        <is>
          <t>Diciembre</t>
        </is>
      </c>
      <c r="I2605" t="inlineStr">
        <is>
          <t>2025-2</t>
        </is>
      </c>
      <c r="J2605" t="n">
        <v>100</v>
      </c>
      <c r="K2605" t="n">
        <v>134.78</v>
      </c>
      <c r="L2605" s="39">
        <f>IFERROR(IF(OR(J2605=0,K2605=""),"",IF(E2605="Positivo",MIN(MAX(K2605/J2605,0),1.3),MIN(MAX(J2605/K2605,0),1.3))),"") </f>
        <v/>
      </c>
      <c r="M2605" s="39">
        <f>IFERROR(IF(OR(J2605=0,K2605=""),"",IF(E2605="Positivo",MAX(K2605/J2605,0),MAX(J2605/K2605,0))),"") </f>
        <v/>
      </c>
      <c r="N2605" t="inlineStr">
        <is>
          <t>%</t>
        </is>
      </c>
      <c r="O2605" t="inlineStr">
        <is>
          <t>%</t>
        </is>
      </c>
      <c r="P2605" t="n">
        <v>0</v>
      </c>
      <c r="Q2605" t="n">
        <v>0</v>
      </c>
      <c r="R2605" t="inlineStr">
        <is>
          <t>532-2025-12-31</t>
        </is>
      </c>
    </row>
    <row r="2606">
      <c r="A2606" t="n">
        <v>533</v>
      </c>
      <c r="B2606" t="inlineStr">
        <is>
          <t>Participación de estudiantes externos invitados a actividades de cooperación nacional e internacional</t>
        </is>
      </c>
      <c r="C2606" t="inlineStr">
        <is>
          <t>VISIBILIDAD NACIONAL E INTERNACIONAL</t>
        </is>
      </c>
      <c r="D2606" t="inlineStr">
        <is>
          <t>Trimestral</t>
        </is>
      </c>
      <c r="E2606" t="inlineStr">
        <is>
          <t>Positivo</t>
        </is>
      </c>
      <c r="F2606" s="111" t="n">
        <v>45838</v>
      </c>
      <c r="G2606" t="n">
        <v>2025</v>
      </c>
      <c r="H2606" t="inlineStr">
        <is>
          <t>Junio</t>
        </is>
      </c>
      <c r="I2606" t="inlineStr">
        <is>
          <t>2025-1</t>
        </is>
      </c>
      <c r="J2606" t="n">
        <v>100</v>
      </c>
      <c r="K2606" t="n">
        <v>124.89</v>
      </c>
      <c r="L2606" s="39">
        <f>IFERROR(IF(OR(J2606=0,K2606=""),"",IF(E2606="Positivo",MIN(MAX(K2606/J2606,0),1.3),MIN(MAX(J2606/K2606,0),1.3))),"") </f>
        <v/>
      </c>
      <c r="M2606" s="39">
        <f>IFERROR(IF(OR(J2606=0,K2606=""),"",IF(E2606="Positivo",MAX(K2606/J2606,0),MAX(J2606/K2606,0))),"") </f>
        <v/>
      </c>
      <c r="N2606" t="inlineStr">
        <is>
          <t>%</t>
        </is>
      </c>
      <c r="O2606" t="inlineStr">
        <is>
          <t>%</t>
        </is>
      </c>
      <c r="P2606" t="n">
        <v>0</v>
      </c>
      <c r="Q2606" t="n">
        <v>0</v>
      </c>
      <c r="R2606" t="inlineStr">
        <is>
          <t>533-2025-06-30</t>
        </is>
      </c>
    </row>
    <row r="2607">
      <c r="A2607" t="n">
        <v>533</v>
      </c>
      <c r="B2607" t="inlineStr">
        <is>
          <t>Participación de estudiantes externos invitados a actividades de cooperación nacional e internacional</t>
        </is>
      </c>
      <c r="C2607" t="inlineStr">
        <is>
          <t>VISIBILIDAD NACIONAL E INTERNACIONAL</t>
        </is>
      </c>
      <c r="D2607" t="inlineStr">
        <is>
          <t>Trimestral</t>
        </is>
      </c>
      <c r="E2607" t="inlineStr">
        <is>
          <t>Positivo</t>
        </is>
      </c>
      <c r="F2607" s="111" t="n">
        <v>46022</v>
      </c>
      <c r="G2607" t="n">
        <v>2025</v>
      </c>
      <c r="H2607" t="inlineStr">
        <is>
          <t>Diciembre</t>
        </is>
      </c>
      <c r="I2607" t="inlineStr">
        <is>
          <t>2025-2</t>
        </is>
      </c>
      <c r="J2607" t="n">
        <v>100</v>
      </c>
      <c r="K2607" t="n">
        <v>177.95</v>
      </c>
      <c r="L2607" s="39">
        <f>IFERROR(IF(OR(J2607=0,K2607=""),"",IF(E2607="Positivo",MIN(MAX(K2607/J2607,0),1.3),MIN(MAX(J2607/K2607,0),1.3))),"") </f>
        <v/>
      </c>
      <c r="M2607" s="39">
        <f>IFERROR(IF(OR(J2607=0,K2607=""),"",IF(E2607="Positivo",MAX(K2607/J2607,0),MAX(J2607/K2607,0))),"") </f>
        <v/>
      </c>
      <c r="N2607" t="inlineStr">
        <is>
          <t>%</t>
        </is>
      </c>
      <c r="O2607" t="inlineStr">
        <is>
          <t>%</t>
        </is>
      </c>
      <c r="P2607" t="n">
        <v>0</v>
      </c>
      <c r="Q2607" t="n">
        <v>0</v>
      </c>
      <c r="R2607" t="inlineStr">
        <is>
          <t>533-2025-12-31</t>
        </is>
      </c>
    </row>
    <row r="2608">
      <c r="A2608" t="n">
        <v>534</v>
      </c>
      <c r="B2608" t="inlineStr">
        <is>
          <t>Participación de estudiantes POLI en actividades de cooperación nacional e internacional</t>
        </is>
      </c>
      <c r="C2608" t="inlineStr">
        <is>
          <t>VISIBILIDAD NACIONAL E INTERNACIONAL</t>
        </is>
      </c>
      <c r="D2608" t="inlineStr">
        <is>
          <t>Trimestral</t>
        </is>
      </c>
      <c r="E2608" t="inlineStr">
        <is>
          <t>Positivo</t>
        </is>
      </c>
      <c r="F2608" s="111" t="n">
        <v>45838</v>
      </c>
      <c r="G2608" t="n">
        <v>2025</v>
      </c>
      <c r="H2608" t="inlineStr">
        <is>
          <t>Junio</t>
        </is>
      </c>
      <c r="I2608" t="inlineStr">
        <is>
          <t>2025-1</t>
        </is>
      </c>
      <c r="J2608" t="n">
        <v>100</v>
      </c>
      <c r="K2608" t="n">
        <v>134.09</v>
      </c>
      <c r="L2608" s="39">
        <f>IFERROR(IF(OR(J2608=0,K2608=""),"",IF(E2608="Positivo",MIN(MAX(K2608/J2608,0),1.3),MIN(MAX(J2608/K2608,0),1.3))),"") </f>
        <v/>
      </c>
      <c r="M2608" s="39">
        <f>IFERROR(IF(OR(J2608=0,K2608=""),"",IF(E2608="Positivo",MAX(K2608/J2608,0),MAX(J2608/K2608,0))),"") </f>
        <v/>
      </c>
      <c r="N2608" t="inlineStr">
        <is>
          <t>%</t>
        </is>
      </c>
      <c r="O2608" t="inlineStr">
        <is>
          <t>%</t>
        </is>
      </c>
      <c r="P2608" t="n">
        <v>0</v>
      </c>
      <c r="Q2608" t="n">
        <v>0</v>
      </c>
      <c r="R2608" t="inlineStr">
        <is>
          <t>534-2025-06-30</t>
        </is>
      </c>
    </row>
    <row r="2609">
      <c r="A2609" t="n">
        <v>534</v>
      </c>
      <c r="B2609" t="inlineStr">
        <is>
          <t>Participación de estudiantes POLI en actividades de cooperación nacional e internacional</t>
        </is>
      </c>
      <c r="C2609" t="inlineStr">
        <is>
          <t>VISIBILIDAD NACIONAL E INTERNACIONAL</t>
        </is>
      </c>
      <c r="D2609" t="inlineStr">
        <is>
          <t>Trimestral</t>
        </is>
      </c>
      <c r="E2609" t="inlineStr">
        <is>
          <t>Positivo</t>
        </is>
      </c>
      <c r="F2609" s="111" t="n">
        <v>46022</v>
      </c>
      <c r="G2609" t="n">
        <v>2025</v>
      </c>
      <c r="H2609" t="inlineStr">
        <is>
          <t>Diciembre</t>
        </is>
      </c>
      <c r="I2609" t="inlineStr">
        <is>
          <t>2025-2</t>
        </is>
      </c>
      <c r="J2609" t="n">
        <v>100</v>
      </c>
      <c r="K2609" t="n">
        <v>134.53</v>
      </c>
      <c r="L2609" s="39">
        <f>IFERROR(IF(OR(J2609=0,K2609=""),"",IF(E2609="Positivo",MIN(MAX(K2609/J2609,0),1.3),MIN(MAX(J2609/K2609,0),1.3))),"") </f>
        <v/>
      </c>
      <c r="M2609" s="39">
        <f>IFERROR(IF(OR(J2609=0,K2609=""),"",IF(E2609="Positivo",MAX(K2609/J2609,0),MAX(J2609/K2609,0))),"") </f>
        <v/>
      </c>
      <c r="N2609" t="inlineStr">
        <is>
          <t>%</t>
        </is>
      </c>
      <c r="O2609" t="inlineStr">
        <is>
          <t>%</t>
        </is>
      </c>
      <c r="P2609" t="n">
        <v>0</v>
      </c>
      <c r="Q2609" t="n">
        <v>0</v>
      </c>
      <c r="R2609" t="inlineStr">
        <is>
          <t>534-2025-12-31</t>
        </is>
      </c>
    </row>
    <row r="2610">
      <c r="A2610" t="n">
        <v>535</v>
      </c>
      <c r="B2610" t="inlineStr">
        <is>
          <t>Participación de profesores externos invitados a actividades de cooperación nacional e internacional</t>
        </is>
      </c>
      <c r="C2610" t="inlineStr">
        <is>
          <t>VISIBILIDAD NACIONAL E INTERNACIONAL</t>
        </is>
      </c>
      <c r="D2610" t="inlineStr">
        <is>
          <t>Trimestral</t>
        </is>
      </c>
      <c r="E2610" t="inlineStr">
        <is>
          <t>Positivo</t>
        </is>
      </c>
      <c r="F2610" s="111" t="n">
        <v>45838</v>
      </c>
      <c r="G2610" t="n">
        <v>2025</v>
      </c>
      <c r="H2610" t="inlineStr">
        <is>
          <t>Junio</t>
        </is>
      </c>
      <c r="I2610" t="inlineStr">
        <is>
          <t>2025-1</t>
        </is>
      </c>
      <c r="J2610" t="n">
        <v>100</v>
      </c>
      <c r="K2610" t="n">
        <v>132.67</v>
      </c>
      <c r="L2610" s="39">
        <f>IFERROR(IF(OR(J2610=0,K2610=""),"",IF(E2610="Positivo",MIN(MAX(K2610/J2610,0),1.3),MIN(MAX(J2610/K2610,0),1.3))),"") </f>
        <v/>
      </c>
      <c r="M2610" s="39">
        <f>IFERROR(IF(OR(J2610=0,K2610=""),"",IF(E2610="Positivo",MAX(K2610/J2610,0),MAX(J2610/K2610,0))),"") </f>
        <v/>
      </c>
      <c r="N2610" t="inlineStr">
        <is>
          <t>%</t>
        </is>
      </c>
      <c r="O2610" t="inlineStr">
        <is>
          <t>%</t>
        </is>
      </c>
      <c r="P2610" t="n">
        <v>0</v>
      </c>
      <c r="Q2610" t="n">
        <v>0</v>
      </c>
      <c r="R2610" t="inlineStr">
        <is>
          <t>535-2025-06-30</t>
        </is>
      </c>
    </row>
    <row r="2611">
      <c r="A2611" t="n">
        <v>535</v>
      </c>
      <c r="B2611" t="inlineStr">
        <is>
          <t>Participación de profesores externos invitados a actividades de cooperación nacional e internacional</t>
        </is>
      </c>
      <c r="C2611" t="inlineStr">
        <is>
          <t>VISIBILIDAD NACIONAL E INTERNACIONAL</t>
        </is>
      </c>
      <c r="D2611" t="inlineStr">
        <is>
          <t>Trimestral</t>
        </is>
      </c>
      <c r="E2611" t="inlineStr">
        <is>
          <t>Positivo</t>
        </is>
      </c>
      <c r="F2611" s="111" t="n">
        <v>46022</v>
      </c>
      <c r="G2611" t="n">
        <v>2025</v>
      </c>
      <c r="H2611" t="inlineStr">
        <is>
          <t>Diciembre</t>
        </is>
      </c>
      <c r="I2611" t="inlineStr">
        <is>
          <t>2025-2</t>
        </is>
      </c>
      <c r="J2611" t="n">
        <v>100</v>
      </c>
      <c r="K2611" t="n">
        <v>209.63</v>
      </c>
      <c r="L2611" s="39">
        <f>IFERROR(IF(OR(J2611=0,K2611=""),"",IF(E2611="Positivo",MIN(MAX(K2611/J2611,0),1.3),MIN(MAX(J2611/K2611,0),1.3))),"") </f>
        <v/>
      </c>
      <c r="M2611" s="39">
        <f>IFERROR(IF(OR(J2611=0,K2611=""),"",IF(E2611="Positivo",MAX(K2611/J2611,0),MAX(J2611/K2611,0))),"") </f>
        <v/>
      </c>
      <c r="N2611" t="inlineStr">
        <is>
          <t>%</t>
        </is>
      </c>
      <c r="O2611" t="inlineStr">
        <is>
          <t>%</t>
        </is>
      </c>
      <c r="P2611" t="n">
        <v>0</v>
      </c>
      <c r="Q2611" t="n">
        <v>0</v>
      </c>
      <c r="R2611" t="inlineStr">
        <is>
          <t>535-2025-12-31</t>
        </is>
      </c>
    </row>
    <row r="2612">
      <c r="A2612" t="n">
        <v>536</v>
      </c>
      <c r="B2612" t="inlineStr">
        <is>
          <t>Participación de profesores POLI en actividades de cooperación nacional e internacional</t>
        </is>
      </c>
      <c r="C2612" t="inlineStr">
        <is>
          <t>VISIBILIDAD NACIONAL E INTERNACIONAL</t>
        </is>
      </c>
      <c r="D2612" t="inlineStr">
        <is>
          <t>Trimestral</t>
        </is>
      </c>
      <c r="E2612" t="inlineStr">
        <is>
          <t>Positivo</t>
        </is>
      </c>
      <c r="F2612" s="111" t="n">
        <v>45838</v>
      </c>
      <c r="G2612" t="n">
        <v>2025</v>
      </c>
      <c r="H2612" t="inlineStr">
        <is>
          <t>Junio</t>
        </is>
      </c>
      <c r="I2612" t="inlineStr">
        <is>
          <t>2025-1</t>
        </is>
      </c>
      <c r="J2612" t="n">
        <v>100</v>
      </c>
      <c r="K2612" t="n">
        <v>109.33</v>
      </c>
      <c r="L2612" s="39">
        <f>IFERROR(IF(OR(J2612=0,K2612=""),"",IF(E2612="Positivo",MIN(MAX(K2612/J2612,0),1.3),MIN(MAX(J2612/K2612,0),1.3))),"") </f>
        <v/>
      </c>
      <c r="M2612" s="39">
        <f>IFERROR(IF(OR(J2612=0,K2612=""),"",IF(E2612="Positivo",MAX(K2612/J2612,0),MAX(J2612/K2612,0))),"") </f>
        <v/>
      </c>
      <c r="N2612" t="inlineStr">
        <is>
          <t>%</t>
        </is>
      </c>
      <c r="O2612" t="inlineStr">
        <is>
          <t>%</t>
        </is>
      </c>
      <c r="P2612" t="n">
        <v>0</v>
      </c>
      <c r="Q2612" t="n">
        <v>0</v>
      </c>
      <c r="R2612" t="inlineStr">
        <is>
          <t>536-2025-06-30</t>
        </is>
      </c>
    </row>
    <row r="2613">
      <c r="A2613" t="n">
        <v>536</v>
      </c>
      <c r="B2613" t="inlineStr">
        <is>
          <t>Participación de profesores POLI en actividades de cooperación nacional e internacional</t>
        </is>
      </c>
      <c r="C2613" t="inlineStr">
        <is>
          <t>VISIBILIDAD NACIONAL E INTERNACIONAL</t>
        </is>
      </c>
      <c r="D2613" t="inlineStr">
        <is>
          <t>Trimestral</t>
        </is>
      </c>
      <c r="E2613" t="inlineStr">
        <is>
          <t>Positivo</t>
        </is>
      </c>
      <c r="F2613" s="111" t="n">
        <v>46022</v>
      </c>
      <c r="G2613" t="n">
        <v>2025</v>
      </c>
      <c r="H2613" t="inlineStr">
        <is>
          <t>Diciembre</t>
        </is>
      </c>
      <c r="I2613" t="inlineStr">
        <is>
          <t>2025-2</t>
        </is>
      </c>
      <c r="J2613" t="n">
        <v>100</v>
      </c>
      <c r="K2613" t="n">
        <v>260.75</v>
      </c>
      <c r="L2613" s="39">
        <f>IFERROR(IF(OR(J2613=0,K2613=""),"",IF(E2613="Positivo",MIN(MAX(K2613/J2613,0),1.3),MIN(MAX(J2613/K2613,0),1.3))),"") </f>
        <v/>
      </c>
      <c r="M2613" s="39">
        <f>IFERROR(IF(OR(J2613=0,K2613=""),"",IF(E2613="Positivo",MAX(K2613/J2613,0),MAX(J2613/K2613,0))),"") </f>
        <v/>
      </c>
      <c r="N2613" t="inlineStr">
        <is>
          <t>%</t>
        </is>
      </c>
      <c r="O2613" t="inlineStr">
        <is>
          <t>%</t>
        </is>
      </c>
      <c r="P2613" t="n">
        <v>0</v>
      </c>
      <c r="Q2613" t="n">
        <v>0</v>
      </c>
      <c r="R2613" t="inlineStr">
        <is>
          <t>536-2025-12-31</t>
        </is>
      </c>
    </row>
    <row r="2614">
      <c r="A2614" t="n">
        <v>537</v>
      </c>
      <c r="B2614" t="inlineStr">
        <is>
          <t>FCR- Resolución en primer contacto</t>
        </is>
      </c>
      <c r="C2614" t="inlineStr">
        <is>
          <t>Servicio</t>
        </is>
      </c>
      <c r="D2614" t="inlineStr">
        <is>
          <t>Trimestral</t>
        </is>
      </c>
      <c r="E2614" t="inlineStr">
        <is>
          <t>Positivo</t>
        </is>
      </c>
      <c r="F2614" s="111" t="n">
        <v>45838</v>
      </c>
      <c r="G2614" t="n">
        <v>2025</v>
      </c>
      <c r="H2614" t="inlineStr">
        <is>
          <t>Junio</t>
        </is>
      </c>
      <c r="I2614" t="inlineStr">
        <is>
          <t>2025-1</t>
        </is>
      </c>
      <c r="J2614" t="n">
        <v>93</v>
      </c>
      <c r="K2614" t="n">
        <v>58.9</v>
      </c>
      <c r="L2614" s="39">
        <f>IFERROR(IF(OR(J2614=0,K2614=""),"",IF(E2614="Positivo",MIN(MAX(K2614/J2614,0),1.3),MIN(MAX(J2614/K2614,0),1.3))),"") </f>
        <v/>
      </c>
      <c r="M2614" s="39">
        <f>IFERROR(IF(OR(J2614=0,K2614=""),"",IF(E2614="Positivo",MAX(K2614/J2614,0),MAX(J2614/K2614,0))),"") </f>
        <v/>
      </c>
      <c r="N2614" t="inlineStr">
        <is>
          <t>ENT</t>
        </is>
      </c>
      <c r="O2614" t="inlineStr">
        <is>
          <t>ENT</t>
        </is>
      </c>
      <c r="P2614" t="n">
        <v>0</v>
      </c>
      <c r="Q2614" t="n">
        <v>0</v>
      </c>
      <c r="R2614" t="inlineStr">
        <is>
          <t>537-2025-06-30</t>
        </is>
      </c>
    </row>
    <row r="2615">
      <c r="A2615" t="n">
        <v>537</v>
      </c>
      <c r="B2615" t="inlineStr">
        <is>
          <t>FCR- Resolución en primer contacto</t>
        </is>
      </c>
      <c r="C2615" t="inlineStr">
        <is>
          <t>Servicio</t>
        </is>
      </c>
      <c r="D2615" t="inlineStr">
        <is>
          <t>Trimestral</t>
        </is>
      </c>
      <c r="E2615" t="inlineStr">
        <is>
          <t>Positivo</t>
        </is>
      </c>
      <c r="F2615" s="111" t="n">
        <v>46022</v>
      </c>
      <c r="G2615" t="n">
        <v>2025</v>
      </c>
      <c r="H2615" t="inlineStr">
        <is>
          <t>Diciembre</t>
        </is>
      </c>
      <c r="I2615" t="inlineStr">
        <is>
          <t>2025-2</t>
        </is>
      </c>
      <c r="J2615" t="n">
        <v>94</v>
      </c>
      <c r="K2615" t="n">
        <v>64.3</v>
      </c>
      <c r="L2615" s="39">
        <f>IFERROR(IF(OR(J2615=0,K2615=""),"",IF(E2615="Positivo",MIN(MAX(K2615/J2615,0),1.3),MIN(MAX(J2615/K2615,0),1.3))),"") </f>
        <v/>
      </c>
      <c r="M2615" s="39">
        <f>IFERROR(IF(OR(J2615=0,K2615=""),"",IF(E2615="Positivo",MAX(K2615/J2615,0),MAX(J2615/K2615,0))),"") </f>
        <v/>
      </c>
      <c r="N2615" t="inlineStr">
        <is>
          <t>ENT</t>
        </is>
      </c>
      <c r="O2615" t="inlineStr">
        <is>
          <t>ENT</t>
        </is>
      </c>
      <c r="P2615" t="n">
        <v>0</v>
      </c>
      <c r="Q2615" t="n">
        <v>0</v>
      </c>
      <c r="R2615" t="inlineStr">
        <is>
          <t>537-2025-12-31</t>
        </is>
      </c>
    </row>
    <row r="2616">
      <c r="A2616" t="n">
        <v>538</v>
      </c>
      <c r="B2616" t="inlineStr">
        <is>
          <t>Cumplimiento de sesiones de socialización de planeación académica</t>
        </is>
      </c>
      <c r="C2616" t="inlineStr">
        <is>
          <t>Registro y Control</t>
        </is>
      </c>
      <c r="D2616" t="inlineStr">
        <is>
          <t>Trimestral</t>
        </is>
      </c>
      <c r="E2616" t="inlineStr">
        <is>
          <t>Positivo</t>
        </is>
      </c>
      <c r="F2616" s="111" t="n">
        <v>46022</v>
      </c>
      <c r="G2616" t="n">
        <v>2025</v>
      </c>
      <c r="H2616" t="inlineStr">
        <is>
          <t>Diciembre</t>
        </is>
      </c>
      <c r="I2616" t="inlineStr">
        <is>
          <t>2025-2</t>
        </is>
      </c>
      <c r="J2616" t="n">
        <v>90</v>
      </c>
      <c r="K2616" t="n">
        <v>100</v>
      </c>
      <c r="L2616" s="39">
        <f>IFERROR(IF(OR(J2616=0,K2616=""),"",IF(E2616="Positivo",MIN(MAX(K2616/J2616,0),1.3),MIN(MAX(J2616/K2616,0),1.3))),"") </f>
        <v/>
      </c>
      <c r="M2616" s="39">
        <f>IFERROR(IF(OR(J2616=0,K2616=""),"",IF(E2616="Positivo",MAX(K2616/J2616,0),MAX(J2616/K2616,0))),"") </f>
        <v/>
      </c>
      <c r="N2616" t="inlineStr">
        <is>
          <t>%</t>
        </is>
      </c>
      <c r="O2616" t="inlineStr">
        <is>
          <t>%</t>
        </is>
      </c>
      <c r="P2616" t="n">
        <v>0</v>
      </c>
      <c r="Q2616" t="n">
        <v>0</v>
      </c>
      <c r="R2616" t="inlineStr">
        <is>
          <t>538-2025-12-31</t>
        </is>
      </c>
    </row>
    <row r="2617">
      <c r="A2617" t="n">
        <v>539</v>
      </c>
      <c r="B2617" t="inlineStr">
        <is>
          <t>CES emisión de certificados</t>
        </is>
      </c>
      <c r="C2617" t="inlineStr">
        <is>
          <t>Registro y Control</t>
        </is>
      </c>
      <c r="D2617" t="inlineStr">
        <is>
          <t>Trimestral</t>
        </is>
      </c>
      <c r="E2617" t="inlineStr">
        <is>
          <t>Negativo</t>
        </is>
      </c>
      <c r="F2617" s="111" t="n">
        <v>46022</v>
      </c>
      <c r="G2617" t="n">
        <v>2025</v>
      </c>
      <c r="H2617" t="inlineStr">
        <is>
          <t>Diciembre</t>
        </is>
      </c>
      <c r="I2617" t="inlineStr">
        <is>
          <t>2025-2</t>
        </is>
      </c>
      <c r="J2617" t="n">
        <v>2.5</v>
      </c>
      <c r="K2617" t="n">
        <v>2.5</v>
      </c>
      <c r="L2617" s="39">
        <f>IFERROR(IF(OR(J2617=0,K2617=""),"",IF(E2617="Positivo",MIN(MAX(K2617/J2617,0),1.3),MIN(MAX(J2617/K2617,0),1.3))),"") </f>
        <v/>
      </c>
      <c r="M2617" s="39">
        <f>IFERROR(IF(OR(J2617=0,K2617=""),"",IF(E2617="Positivo",MAX(K2617/J2617,0),MAX(J2617/K2617,0))),"") </f>
        <v/>
      </c>
      <c r="N2617" t="inlineStr">
        <is>
          <t>%</t>
        </is>
      </c>
      <c r="O2617" t="inlineStr">
        <is>
          <t>%</t>
        </is>
      </c>
      <c r="P2617" t="n">
        <v>0</v>
      </c>
      <c r="Q2617" t="n">
        <v>0</v>
      </c>
      <c r="R2617" t="inlineStr">
        <is>
          <t>539-2025-12-31</t>
        </is>
      </c>
    </row>
    <row r="2618">
      <c r="A2618" t="n">
        <v>540</v>
      </c>
      <c r="B2618" t="inlineStr">
        <is>
          <t>Nivel de Calidad de los Datos Cargados al SNIES</t>
        </is>
      </c>
      <c r="C2618" t="inlineStr">
        <is>
          <t>DATOS Y ANALÍTICA</t>
        </is>
      </c>
      <c r="D2618" t="inlineStr">
        <is>
          <t>Trimestral</t>
        </is>
      </c>
      <c r="E2618" t="inlineStr">
        <is>
          <t>Positivo</t>
        </is>
      </c>
      <c r="F2618" s="111" t="n">
        <v>45838</v>
      </c>
      <c r="G2618" t="n">
        <v>2025</v>
      </c>
      <c r="H2618" t="inlineStr">
        <is>
          <t>Junio</t>
        </is>
      </c>
      <c r="I2618" t="inlineStr">
        <is>
          <t>2025-1</t>
        </is>
      </c>
      <c r="J2618" t="n">
        <v>97</v>
      </c>
      <c r="K2618" t="n">
        <v>97.33</v>
      </c>
      <c r="L2618" s="39">
        <f>IFERROR(IF(OR(J2618=0,K2618=""),"",IF(E2618="Positivo",MIN(MAX(K2618/J2618,0),1.3),MIN(MAX(J2618/K2618,0),1.3))),"") </f>
        <v/>
      </c>
      <c r="M2618" s="39">
        <f>IFERROR(IF(OR(J2618=0,K2618=""),"",IF(E2618="Positivo",MAX(K2618/J2618,0),MAX(J2618/K2618,0))),"") </f>
        <v/>
      </c>
      <c r="N2618" t="inlineStr">
        <is>
          <t>%</t>
        </is>
      </c>
      <c r="O2618" t="inlineStr">
        <is>
          <t>%</t>
        </is>
      </c>
      <c r="P2618" t="n">
        <v>0</v>
      </c>
      <c r="Q2618" t="n">
        <v>0</v>
      </c>
      <c r="R2618" t="inlineStr">
        <is>
          <t>540-2025-06-30</t>
        </is>
      </c>
    </row>
    <row r="2619">
      <c r="A2619" t="n">
        <v>540</v>
      </c>
      <c r="B2619" t="inlineStr">
        <is>
          <t>Nivel de Calidad de los Datos Cargados al SNIES</t>
        </is>
      </c>
      <c r="C2619" t="inlineStr">
        <is>
          <t>DATOS Y ANALÍTICA</t>
        </is>
      </c>
      <c r="D2619" t="inlineStr">
        <is>
          <t>Trimestral</t>
        </is>
      </c>
      <c r="E2619" t="inlineStr">
        <is>
          <t>Positivo</t>
        </is>
      </c>
      <c r="F2619" s="111" t="n">
        <v>46022</v>
      </c>
      <c r="G2619" t="n">
        <v>2025</v>
      </c>
      <c r="H2619" t="inlineStr">
        <is>
          <t>Diciembre</t>
        </is>
      </c>
      <c r="I2619" t="inlineStr">
        <is>
          <t>2025-2</t>
        </is>
      </c>
      <c r="J2619" t="n">
        <v>97</v>
      </c>
      <c r="K2619" t="n">
        <v>97.90000000000001</v>
      </c>
      <c r="L2619" s="39">
        <f>IFERROR(IF(OR(J2619=0,K2619=""),"",IF(E2619="Positivo",MIN(MAX(K2619/J2619,0),1.3),MIN(MAX(J2619/K2619,0),1.3))),"") </f>
        <v/>
      </c>
      <c r="M2619" s="39">
        <f>IFERROR(IF(OR(J2619=0,K2619=""),"",IF(E2619="Positivo",MAX(K2619/J2619,0),MAX(J2619/K2619,0))),"") </f>
        <v/>
      </c>
      <c r="N2619" t="inlineStr">
        <is>
          <t>%</t>
        </is>
      </c>
      <c r="O2619" t="inlineStr">
        <is>
          <t>%</t>
        </is>
      </c>
      <c r="P2619" t="n">
        <v>0</v>
      </c>
      <c r="Q2619" t="n">
        <v>0</v>
      </c>
      <c r="R2619" t="inlineStr">
        <is>
          <t>540-2025-12-31</t>
        </is>
      </c>
    </row>
    <row r="2620">
      <c r="A2620" t="n">
        <v>541</v>
      </c>
      <c r="B2620" t="inlineStr">
        <is>
          <t>Participación de graduados en actividades de empleabilidad y relacionamiento</t>
        </is>
      </c>
      <c r="C2620" t="inlineStr">
        <is>
          <t>Gestión de Graduados</t>
        </is>
      </c>
      <c r="D2620" t="inlineStr">
        <is>
          <t>Anual</t>
        </is>
      </c>
      <c r="E2620" t="inlineStr">
        <is>
          <t>Positivo</t>
        </is>
      </c>
      <c r="F2620" s="111" t="n">
        <v>46022</v>
      </c>
      <c r="G2620" t="n">
        <v>2025</v>
      </c>
      <c r="H2620" t="inlineStr">
        <is>
          <t>Diciembre</t>
        </is>
      </c>
      <c r="I2620" t="inlineStr">
        <is>
          <t>2025-2</t>
        </is>
      </c>
      <c r="J2620" t="n">
        <v>4</v>
      </c>
      <c r="K2620" t="n">
        <v>6.99</v>
      </c>
      <c r="L2620" s="39">
        <f>IFERROR(IF(OR(J2620=0,K2620=""),"",IF(E2620="Positivo",MIN(MAX(K2620/J2620,0),1.3),MIN(MAX(J2620/K2620,0),1.3))),"") </f>
        <v/>
      </c>
      <c r="M2620" s="39">
        <f>IFERROR(IF(OR(J2620=0,K2620=""),"",IF(E2620="Positivo",MAX(K2620/J2620,0),MAX(J2620/K2620,0))),"") </f>
        <v/>
      </c>
      <c r="N2620" t="inlineStr">
        <is>
          <t>%</t>
        </is>
      </c>
      <c r="O2620" t="inlineStr">
        <is>
          <t>%</t>
        </is>
      </c>
      <c r="P2620" t="n">
        <v>0</v>
      </c>
      <c r="Q2620" t="n">
        <v>0</v>
      </c>
      <c r="R2620" t="inlineStr">
        <is>
          <t>541-2025-12-31</t>
        </is>
      </c>
    </row>
    <row r="2621">
      <c r="A2621" t="n">
        <v>542</v>
      </c>
      <c r="B2621" t="inlineStr">
        <is>
          <t>Tasa de cotización del graduado - Metrica</t>
        </is>
      </c>
      <c r="C2621" t="inlineStr">
        <is>
          <t>Gestión de Graduados</t>
        </is>
      </c>
      <c r="D2621" t="inlineStr">
        <is>
          <t>Anual</t>
        </is>
      </c>
      <c r="E2621" t="inlineStr">
        <is>
          <t>Positivo</t>
        </is>
      </c>
      <c r="F2621" s="111" t="n">
        <v>46022</v>
      </c>
      <c r="G2621" t="n">
        <v>2025</v>
      </c>
      <c r="H2621" t="inlineStr">
        <is>
          <t>Diciembre</t>
        </is>
      </c>
      <c r="I2621" t="inlineStr">
        <is>
          <t>2025-2</t>
        </is>
      </c>
      <c r="K2621" t="n">
        <v>81.23999999999999</v>
      </c>
      <c r="L2621" s="39" t="n"/>
      <c r="M2621" s="39" t="n"/>
      <c r="N2621" t="inlineStr">
        <is>
          <t>%</t>
        </is>
      </c>
      <c r="O2621" t="inlineStr">
        <is>
          <t>%</t>
        </is>
      </c>
      <c r="P2621" t="n">
        <v>0</v>
      </c>
      <c r="Q2621" t="n">
        <v>0</v>
      </c>
      <c r="R2621" t="inlineStr">
        <is>
          <t>542-2025-12-31</t>
        </is>
      </c>
      <c r="S2621" t="inlineStr">
        <is>
          <t>Metrica</t>
        </is>
      </c>
    </row>
    <row r="2622">
      <c r="A2622" t="n">
        <v>543</v>
      </c>
      <c r="B2622" t="inlineStr">
        <is>
          <t>Tasa de interacción por usuario</t>
        </is>
      </c>
      <c r="C2622" t="inlineStr">
        <is>
          <t>Editorial y Publicaciones</t>
        </is>
      </c>
      <c r="D2622" t="inlineStr">
        <is>
          <t>Trimestral</t>
        </is>
      </c>
      <c r="E2622" t="inlineStr">
        <is>
          <t>Positivo</t>
        </is>
      </c>
      <c r="F2622" s="111" t="n">
        <v>45838</v>
      </c>
      <c r="G2622" t="n">
        <v>2025</v>
      </c>
      <c r="H2622" t="inlineStr">
        <is>
          <t>Junio</t>
        </is>
      </c>
      <c r="I2622" t="inlineStr">
        <is>
          <t>2025-1</t>
        </is>
      </c>
      <c r="K2622" t="n">
        <v>7.29</v>
      </c>
      <c r="L2622" s="39" t="n"/>
      <c r="M2622" s="39" t="n"/>
      <c r="N2622" t="inlineStr">
        <is>
          <t>ENT</t>
        </is>
      </c>
      <c r="O2622" t="inlineStr">
        <is>
          <t>ENT</t>
        </is>
      </c>
      <c r="P2622" t="n">
        <v>0</v>
      </c>
      <c r="Q2622" t="n">
        <v>0</v>
      </c>
      <c r="R2622" t="inlineStr">
        <is>
          <t>543-2025-06-30</t>
        </is>
      </c>
    </row>
    <row r="2623">
      <c r="A2623" t="n">
        <v>544</v>
      </c>
      <c r="B2623" t="inlineStr">
        <is>
          <t>Producción de ambientes inmersivos LEI</t>
        </is>
      </c>
      <c r="C2623" t="inlineStr">
        <is>
          <t>LEI</t>
        </is>
      </c>
      <c r="D2623" t="inlineStr">
        <is>
          <t>Trimestral</t>
        </is>
      </c>
      <c r="E2623" t="inlineStr">
        <is>
          <t>Positivo</t>
        </is>
      </c>
      <c r="F2623" s="111" t="n">
        <v>45838</v>
      </c>
      <c r="G2623" t="n">
        <v>2025</v>
      </c>
      <c r="H2623" t="inlineStr">
        <is>
          <t>Junio</t>
        </is>
      </c>
      <c r="I2623" t="inlineStr">
        <is>
          <t>2025-1</t>
        </is>
      </c>
      <c r="J2623" t="n">
        <v>100</v>
      </c>
      <c r="K2623" t="n">
        <v>250</v>
      </c>
      <c r="L2623" s="39">
        <f>IFERROR(IF(OR(J2623=0,K2623=""),"",IF(E2623="Positivo",MIN(MAX(K2623/J2623,0),1.3),MIN(MAX(J2623/K2623,0),1.3))),"") </f>
        <v/>
      </c>
      <c r="M2623" s="39">
        <f>IFERROR(IF(OR(J2623=0,K2623=""),"",IF(E2623="Positivo",MAX(K2623/J2623,0),MAX(J2623/K2623,0))),"") </f>
        <v/>
      </c>
      <c r="N2623" t="inlineStr">
        <is>
          <t>ENT</t>
        </is>
      </c>
      <c r="O2623" t="inlineStr">
        <is>
          <t>ENT</t>
        </is>
      </c>
      <c r="P2623" t="n">
        <v>0</v>
      </c>
      <c r="Q2623" t="n">
        <v>0</v>
      </c>
      <c r="R2623" t="inlineStr">
        <is>
          <t>544-2025-06-30</t>
        </is>
      </c>
    </row>
    <row r="2624">
      <c r="A2624" t="n">
        <v>544</v>
      </c>
      <c r="B2624" t="inlineStr">
        <is>
          <t>Producción de ambientes inmersivos LEI</t>
        </is>
      </c>
      <c r="C2624" t="inlineStr">
        <is>
          <t>LEI</t>
        </is>
      </c>
      <c r="D2624" t="inlineStr">
        <is>
          <t>Trimestral</t>
        </is>
      </c>
      <c r="E2624" t="inlineStr">
        <is>
          <t>Positivo</t>
        </is>
      </c>
      <c r="F2624" s="111" t="n">
        <v>46022</v>
      </c>
      <c r="G2624" t="n">
        <v>2025</v>
      </c>
      <c r="H2624" t="inlineStr">
        <is>
          <t>Diciembre</t>
        </is>
      </c>
      <c r="I2624" t="inlineStr">
        <is>
          <t>2025-2</t>
        </is>
      </c>
      <c r="J2624" t="n">
        <v>100</v>
      </c>
      <c r="K2624" t="n">
        <v>162.5</v>
      </c>
      <c r="L2624" s="39">
        <f>IFERROR(IF(OR(J2624=0,K2624=""),"",IF(E2624="Positivo",MIN(MAX(K2624/J2624,0),1.3),MIN(MAX(J2624/K2624,0),1.3))),"") </f>
        <v/>
      </c>
      <c r="M2624" s="39">
        <f>IFERROR(IF(OR(J2624=0,K2624=""),"",IF(E2624="Positivo",MAX(K2624/J2624,0),MAX(J2624/K2624,0))),"") </f>
        <v/>
      </c>
      <c r="N2624" t="inlineStr">
        <is>
          <t>ENT</t>
        </is>
      </c>
      <c r="O2624" t="inlineStr">
        <is>
          <t>ENT</t>
        </is>
      </c>
      <c r="P2624" t="n">
        <v>0</v>
      </c>
      <c r="Q2624" t="n">
        <v>0</v>
      </c>
      <c r="R2624" t="inlineStr">
        <is>
          <t>544-2025-12-31</t>
        </is>
      </c>
    </row>
    <row r="2625">
      <c r="A2625" t="n">
        <v>546</v>
      </c>
      <c r="B2625" t="inlineStr">
        <is>
          <t>Tasa de participación de graduados en instrumentos de seguimiento (M0, M1, M5)</t>
        </is>
      </c>
      <c r="C2625" t="inlineStr">
        <is>
          <t>Gestión de Graduados</t>
        </is>
      </c>
      <c r="D2625" t="inlineStr">
        <is>
          <t>Anual</t>
        </is>
      </c>
      <c r="E2625" t="inlineStr">
        <is>
          <t>Positivo</t>
        </is>
      </c>
      <c r="F2625" s="111" t="n">
        <v>46022</v>
      </c>
      <c r="G2625" t="n">
        <v>2025</v>
      </c>
      <c r="H2625" t="inlineStr">
        <is>
          <t>Diciembre</t>
        </is>
      </c>
      <c r="I2625" t="inlineStr">
        <is>
          <t>2025-2</t>
        </is>
      </c>
      <c r="J2625" t="n">
        <v>100</v>
      </c>
      <c r="K2625" t="n">
        <v>37.79</v>
      </c>
      <c r="L2625" s="39">
        <f>IFERROR(IF(OR(J2625=0,K2625=""),"",IF(E2625="Positivo",MIN(MAX(K2625/J2625,0),1.3),MIN(MAX(J2625/K2625,0),1.3))),"") </f>
        <v/>
      </c>
      <c r="M2625" s="39">
        <f>IFERROR(IF(OR(J2625=0,K2625=""),"",IF(E2625="Positivo",MAX(K2625/J2625,0),MAX(J2625/K2625,0))),"") </f>
        <v/>
      </c>
      <c r="N2625" t="inlineStr">
        <is>
          <t>%</t>
        </is>
      </c>
      <c r="O2625" t="inlineStr">
        <is>
          <t>%</t>
        </is>
      </c>
      <c r="P2625" t="n">
        <v>0</v>
      </c>
      <c r="Q2625" t="n">
        <v>0</v>
      </c>
      <c r="R2625" t="inlineStr">
        <is>
          <t>546-2025-12-31</t>
        </is>
      </c>
    </row>
    <row r="2626">
      <c r="A2626" t="n">
        <v>547</v>
      </c>
      <c r="B2626" t="inlineStr">
        <is>
          <t>Nivel de satisfacción del graduado con la institución</t>
        </is>
      </c>
      <c r="C2626" t="inlineStr">
        <is>
          <t>Gestión de Graduados</t>
        </is>
      </c>
      <c r="D2626" t="inlineStr">
        <is>
          <t>Anual</t>
        </is>
      </c>
      <c r="E2626" t="inlineStr">
        <is>
          <t>Positivo</t>
        </is>
      </c>
      <c r="F2626" s="111" t="n">
        <v>46022</v>
      </c>
      <c r="G2626" t="n">
        <v>2025</v>
      </c>
      <c r="H2626" t="inlineStr">
        <is>
          <t>Diciembre</t>
        </is>
      </c>
      <c r="I2626" t="inlineStr">
        <is>
          <t>2025-2</t>
        </is>
      </c>
      <c r="K2626" t="n">
        <v>92</v>
      </c>
      <c r="L2626" s="39" t="n"/>
      <c r="M2626" s="39" t="n"/>
      <c r="N2626" t="inlineStr">
        <is>
          <t>%</t>
        </is>
      </c>
      <c r="O2626" t="inlineStr">
        <is>
          <t>%</t>
        </is>
      </c>
      <c r="P2626" t="n">
        <v>0</v>
      </c>
      <c r="Q2626" t="n">
        <v>0</v>
      </c>
      <c r="R2626" t="inlineStr">
        <is>
          <t>547-2025-12-31</t>
        </is>
      </c>
    </row>
    <row r="2627">
      <c r="A2627" t="n">
        <v>550</v>
      </c>
      <c r="B2627" t="inlineStr">
        <is>
          <t>Nivel de satisfacción con las actividades de formación</t>
        </is>
      </c>
      <c r="C2627" t="inlineStr">
        <is>
          <t>Emprendimiento</t>
        </is>
      </c>
      <c r="D2627" t="inlineStr">
        <is>
          <t>Trimestral</t>
        </is>
      </c>
      <c r="E2627" t="inlineStr">
        <is>
          <t>Positivo</t>
        </is>
      </c>
      <c r="F2627" s="111" t="n">
        <v>45838</v>
      </c>
      <c r="G2627" t="n">
        <v>2025</v>
      </c>
      <c r="H2627" t="inlineStr">
        <is>
          <t>Junio</t>
        </is>
      </c>
      <c r="I2627" t="inlineStr">
        <is>
          <t>2025-1</t>
        </is>
      </c>
      <c r="J2627" t="n">
        <v>100</v>
      </c>
      <c r="K2627" t="n">
        <v>95</v>
      </c>
      <c r="L2627" s="39">
        <f>IFERROR(IF(OR(J2627=0,K2627=""),"",IF(E2627="Positivo",MIN(MAX(K2627/J2627,0),1.3),MIN(MAX(J2627/K2627,0),1.3))),"") </f>
        <v/>
      </c>
      <c r="M2627" s="39">
        <f>IFERROR(IF(OR(J2627=0,K2627=""),"",IF(E2627="Positivo",MAX(K2627/J2627,0),MAX(J2627/K2627,0))),"") </f>
        <v/>
      </c>
      <c r="N2627" t="inlineStr">
        <is>
          <t>%</t>
        </is>
      </c>
      <c r="O2627" t="inlineStr">
        <is>
          <t>%</t>
        </is>
      </c>
      <c r="P2627" t="n">
        <v>0</v>
      </c>
      <c r="Q2627" t="n">
        <v>0</v>
      </c>
      <c r="R2627" t="inlineStr">
        <is>
          <t>550-2025-06-30</t>
        </is>
      </c>
    </row>
    <row r="2628">
      <c r="A2628" t="n">
        <v>550</v>
      </c>
      <c r="B2628" t="inlineStr">
        <is>
          <t>Nivel de satisfacción con las actividades de formación</t>
        </is>
      </c>
      <c r="C2628" t="inlineStr">
        <is>
          <t>Emprendimiento</t>
        </is>
      </c>
      <c r="D2628" t="inlineStr">
        <is>
          <t>Trimestral</t>
        </is>
      </c>
      <c r="E2628" t="inlineStr">
        <is>
          <t>Positivo</t>
        </is>
      </c>
      <c r="F2628" s="111" t="n">
        <v>46022</v>
      </c>
      <c r="G2628" t="n">
        <v>2025</v>
      </c>
      <c r="H2628" t="inlineStr">
        <is>
          <t>Diciembre</t>
        </is>
      </c>
      <c r="I2628" t="inlineStr">
        <is>
          <t>2025-2</t>
        </is>
      </c>
      <c r="J2628" t="n">
        <v>100</v>
      </c>
      <c r="K2628" t="n">
        <v>95.5</v>
      </c>
      <c r="L2628" s="39">
        <f>IFERROR(IF(OR(J2628=0,K2628=""),"",IF(E2628="Positivo",MIN(MAX(K2628/J2628,0),1.3),MIN(MAX(J2628/K2628,0),1.3))),"") </f>
        <v/>
      </c>
      <c r="M2628" s="39">
        <f>IFERROR(IF(OR(J2628=0,K2628=""),"",IF(E2628="Positivo",MAX(K2628/J2628,0),MAX(J2628/K2628,0))),"") </f>
        <v/>
      </c>
      <c r="N2628" t="inlineStr">
        <is>
          <t>%</t>
        </is>
      </c>
      <c r="O2628" t="inlineStr">
        <is>
          <t>%</t>
        </is>
      </c>
      <c r="P2628" t="n">
        <v>0</v>
      </c>
      <c r="Q2628" t="n">
        <v>0</v>
      </c>
      <c r="R2628" t="inlineStr">
        <is>
          <t>550-2025-12-31</t>
        </is>
      </c>
    </row>
    <row r="2629">
      <c r="A2629" t="n">
        <v>551</v>
      </c>
      <c r="B2629" t="inlineStr">
        <is>
          <t>Evaluación del desempeño de los mentores</t>
        </is>
      </c>
      <c r="C2629" t="inlineStr">
        <is>
          <t>Emprendimiento</t>
        </is>
      </c>
      <c r="D2629" t="inlineStr">
        <is>
          <t>Trimestral</t>
        </is>
      </c>
      <c r="E2629" t="inlineStr">
        <is>
          <t>Positivo</t>
        </is>
      </c>
      <c r="F2629" s="111" t="n">
        <v>45838</v>
      </c>
      <c r="G2629" t="n">
        <v>2025</v>
      </c>
      <c r="H2629" t="inlineStr">
        <is>
          <t>Junio</t>
        </is>
      </c>
      <c r="I2629" t="inlineStr">
        <is>
          <t>2025-1</t>
        </is>
      </c>
      <c r="J2629" t="n">
        <v>4</v>
      </c>
      <c r="K2629" t="n">
        <v>5</v>
      </c>
      <c r="L2629" s="39">
        <f>IFERROR(IF(OR(J2629=0,K2629=""),"",IF(E2629="Positivo",MIN(MAX(K2629/J2629,0),1.3),MIN(MAX(J2629/K2629,0),1.3))),"") </f>
        <v/>
      </c>
      <c r="M2629" s="39">
        <f>IFERROR(IF(OR(J2629=0,K2629=""),"",IF(E2629="Positivo",MAX(K2629/J2629,0),MAX(J2629/K2629,0))),"") </f>
        <v/>
      </c>
      <c r="N2629" t="inlineStr">
        <is>
          <t>%</t>
        </is>
      </c>
      <c r="O2629" t="inlineStr">
        <is>
          <t>%</t>
        </is>
      </c>
      <c r="P2629" t="n">
        <v>0</v>
      </c>
      <c r="Q2629" t="n">
        <v>0</v>
      </c>
      <c r="R2629" t="inlineStr">
        <is>
          <t>551-2025-06-30</t>
        </is>
      </c>
    </row>
    <row r="2630">
      <c r="A2630" t="n">
        <v>551</v>
      </c>
      <c r="B2630" t="inlineStr">
        <is>
          <t>Evaluación del desempeño de los mentores</t>
        </is>
      </c>
      <c r="C2630" t="inlineStr">
        <is>
          <t>Emprendimiento</t>
        </is>
      </c>
      <c r="D2630" t="inlineStr">
        <is>
          <t>Trimestral</t>
        </is>
      </c>
      <c r="E2630" t="inlineStr">
        <is>
          <t>Positivo</t>
        </is>
      </c>
      <c r="F2630" s="111" t="n">
        <v>46022</v>
      </c>
      <c r="G2630" t="n">
        <v>2025</v>
      </c>
      <c r="H2630" t="inlineStr">
        <is>
          <t>Diciembre</t>
        </is>
      </c>
      <c r="I2630" t="inlineStr">
        <is>
          <t>2025-2</t>
        </is>
      </c>
      <c r="J2630" t="n">
        <v>4</v>
      </c>
      <c r="K2630" t="n">
        <v>5</v>
      </c>
      <c r="L2630" s="39">
        <f>IFERROR(IF(OR(J2630=0,K2630=""),"",IF(E2630="Positivo",MIN(MAX(K2630/J2630,0),1.3),MIN(MAX(J2630/K2630,0),1.3))),"") </f>
        <v/>
      </c>
      <c r="M2630" s="39">
        <f>IFERROR(IF(OR(J2630=0,K2630=""),"",IF(E2630="Positivo",MAX(K2630/J2630,0),MAX(J2630/K2630,0))),"") </f>
        <v/>
      </c>
      <c r="N2630" t="inlineStr">
        <is>
          <t>%</t>
        </is>
      </c>
      <c r="O2630" t="inlineStr">
        <is>
          <t>%</t>
        </is>
      </c>
      <c r="P2630" t="n">
        <v>0</v>
      </c>
      <c r="Q2630" t="n">
        <v>0</v>
      </c>
      <c r="R2630" t="inlineStr">
        <is>
          <t>551-2025-12-31</t>
        </is>
      </c>
    </row>
    <row r="2631">
      <c r="A2631" t="n">
        <v>552</v>
      </c>
      <c r="B2631" t="inlineStr">
        <is>
          <t>Nivel de Satisfacción Servicios Prestados -Gestión de la Responsabilidad Social</t>
        </is>
      </c>
      <c r="C2631" t="inlineStr">
        <is>
          <t>Gestión de la Responsabilidad Social</t>
        </is>
      </c>
      <c r="D2631" t="inlineStr">
        <is>
          <t>Anual</t>
        </is>
      </c>
      <c r="E2631" t="inlineStr">
        <is>
          <t>Positivo</t>
        </is>
      </c>
      <c r="F2631" s="111" t="n">
        <v>45838</v>
      </c>
      <c r="G2631" t="n">
        <v>2025</v>
      </c>
      <c r="H2631" t="inlineStr">
        <is>
          <t>Junio</t>
        </is>
      </c>
      <c r="I2631" t="inlineStr">
        <is>
          <t>2025-1</t>
        </is>
      </c>
      <c r="J2631" t="n">
        <v>80</v>
      </c>
      <c r="K2631" t="n">
        <v>92</v>
      </c>
      <c r="L2631" s="39">
        <f>IFERROR(IF(OR(J2631=0,K2631=""),"",IF(E2631="Positivo",MIN(MAX(K2631/J2631,0),1.3),MIN(MAX(J2631/K2631,0),1.3))),"") </f>
        <v/>
      </c>
      <c r="M2631" s="39">
        <f>IFERROR(IF(OR(J2631=0,K2631=""),"",IF(E2631="Positivo",MAX(K2631/J2631,0),MAX(J2631/K2631,0))),"") </f>
        <v/>
      </c>
      <c r="N2631" t="inlineStr">
        <is>
          <t>%</t>
        </is>
      </c>
      <c r="O2631" t="inlineStr">
        <is>
          <t>%</t>
        </is>
      </c>
      <c r="P2631" t="n">
        <v>0</v>
      </c>
      <c r="Q2631" t="n">
        <v>0</v>
      </c>
      <c r="R2631" t="inlineStr">
        <is>
          <t>552-2025-06-30</t>
        </is>
      </c>
    </row>
    <row r="2632">
      <c r="A2632" t="n">
        <v>552</v>
      </c>
      <c r="B2632" t="inlineStr">
        <is>
          <t>Nivel de Satisfacción Servicios Prestados -Gestión de la Responsabilidad Social</t>
        </is>
      </c>
      <c r="C2632" t="inlineStr">
        <is>
          <t>Gestión de la Responsabilidad Social</t>
        </is>
      </c>
      <c r="D2632" t="inlineStr">
        <is>
          <t>Anual</t>
        </is>
      </c>
      <c r="E2632" t="inlineStr">
        <is>
          <t>Positivo</t>
        </is>
      </c>
      <c r="F2632" s="111" t="n">
        <v>46022</v>
      </c>
      <c r="G2632" t="n">
        <v>2025</v>
      </c>
      <c r="H2632" t="inlineStr">
        <is>
          <t>Diciembre</t>
        </is>
      </c>
      <c r="I2632" t="inlineStr">
        <is>
          <t>2025-2</t>
        </is>
      </c>
      <c r="J2632" t="n">
        <v>80</v>
      </c>
      <c r="K2632" t="n">
        <v>92</v>
      </c>
      <c r="L2632" s="39">
        <f>IFERROR(IF(OR(J2632=0,K2632=""),"",IF(E2632="Positivo",MIN(MAX(K2632/J2632,0),1.3),MIN(MAX(J2632/K2632,0),1.3))),"") </f>
        <v/>
      </c>
      <c r="M2632" s="39">
        <f>IFERROR(IF(OR(J2632=0,K2632=""),"",IF(E2632="Positivo",MAX(K2632/J2632,0),MAX(J2632/K2632,0))),"") </f>
        <v/>
      </c>
      <c r="N2632" t="inlineStr">
        <is>
          <t>%</t>
        </is>
      </c>
      <c r="O2632" t="inlineStr">
        <is>
          <t>%</t>
        </is>
      </c>
      <c r="P2632" t="n">
        <v>0</v>
      </c>
      <c r="Q2632" t="n">
        <v>0</v>
      </c>
      <c r="R2632" t="inlineStr">
        <is>
          <t>552-2025-12-31</t>
        </is>
      </c>
    </row>
    <row r="2633">
      <c r="A2633" t="n">
        <v>553</v>
      </c>
      <c r="B2633" t="inlineStr">
        <is>
          <t>Nivel de Satisfacción Servicios Prestados -Inscripción, admisión y matrícula de estudiantes nuevos</t>
        </is>
      </c>
      <c r="C2633" t="inlineStr">
        <is>
          <t>Inscripción, admisión y matrícula de estudiantes nuevos</t>
        </is>
      </c>
      <c r="D2633" t="inlineStr">
        <is>
          <t>Anual</t>
        </is>
      </c>
      <c r="E2633" t="inlineStr">
        <is>
          <t>Positivo</t>
        </is>
      </c>
      <c r="F2633" s="111" t="n">
        <v>46022</v>
      </c>
      <c r="G2633" t="n">
        <v>2025</v>
      </c>
      <c r="H2633" t="inlineStr">
        <is>
          <t>Diciembre</t>
        </is>
      </c>
      <c r="I2633" t="inlineStr">
        <is>
          <t>2025-2</t>
        </is>
      </c>
      <c r="J2633" t="n">
        <v>80</v>
      </c>
      <c r="K2633" t="n">
        <v>83</v>
      </c>
      <c r="L2633" s="39">
        <f>IFERROR(IF(OR(J2633=0,K2633=""),"",IF(E2633="Positivo",MIN(MAX(K2633/J2633,0),1.3),MIN(MAX(J2633/K2633,0),1.3))),"") </f>
        <v/>
      </c>
      <c r="M2633" s="39">
        <f>IFERROR(IF(OR(J2633=0,K2633=""),"",IF(E2633="Positivo",MAX(K2633/J2633,0),MAX(J2633/K2633,0))),"") </f>
        <v/>
      </c>
      <c r="N2633" t="inlineStr">
        <is>
          <t>%</t>
        </is>
      </c>
      <c r="O2633" t="inlineStr">
        <is>
          <t>%</t>
        </is>
      </c>
      <c r="P2633" t="n">
        <v>0</v>
      </c>
      <c r="Q2633" t="n">
        <v>0</v>
      </c>
      <c r="R2633" t="inlineStr">
        <is>
          <t>553-2025-12-31</t>
        </is>
      </c>
    </row>
    <row r="2634">
      <c r="A2634" t="n">
        <v>554</v>
      </c>
      <c r="B2634" t="inlineStr">
        <is>
          <t>Nivel de Satisfacción Servicios Prestados -Permanencia</t>
        </is>
      </c>
      <c r="C2634" t="inlineStr">
        <is>
          <t>Permanencia</t>
        </is>
      </c>
      <c r="D2634" t="inlineStr">
        <is>
          <t>Trimestral</t>
        </is>
      </c>
      <c r="E2634" t="inlineStr">
        <is>
          <t>Positivo</t>
        </is>
      </c>
      <c r="F2634" s="111" t="n">
        <v>46022</v>
      </c>
      <c r="G2634" t="n">
        <v>2025</v>
      </c>
      <c r="H2634" t="inlineStr">
        <is>
          <t>Diciembre</t>
        </is>
      </c>
      <c r="I2634" t="inlineStr">
        <is>
          <t>2025-2</t>
        </is>
      </c>
      <c r="J2634" t="n">
        <v>80</v>
      </c>
      <c r="K2634" t="n">
        <v>95</v>
      </c>
      <c r="L2634" s="39">
        <f>IFERROR(IF(OR(J2634=0,K2634=""),"",IF(E2634="Positivo",MIN(MAX(K2634/J2634,0),1.3),MIN(MAX(J2634/K2634,0),1.3))),"") </f>
        <v/>
      </c>
      <c r="M2634" s="39">
        <f>IFERROR(IF(OR(J2634=0,K2634=""),"",IF(E2634="Positivo",MAX(K2634/J2634,0),MAX(J2634/K2634,0))),"") </f>
        <v/>
      </c>
      <c r="N2634" t="inlineStr">
        <is>
          <t>%</t>
        </is>
      </c>
      <c r="O2634" t="inlineStr">
        <is>
          <t>%</t>
        </is>
      </c>
      <c r="P2634" t="n">
        <v>0</v>
      </c>
      <c r="Q2634" t="n">
        <v>0</v>
      </c>
      <c r="R2634" t="inlineStr">
        <is>
          <t>554-2025-12-31</t>
        </is>
      </c>
    </row>
    <row r="2635">
      <c r="A2635" t="n">
        <v>555</v>
      </c>
      <c r="B2635" t="inlineStr">
        <is>
          <t>Nivel de Satisfacción Servicios Prestados -Mercadeo y venta de educación para la vida</t>
        </is>
      </c>
      <c r="C2635" t="inlineStr">
        <is>
          <t>Mercadeo y venta de educación para la vida</t>
        </is>
      </c>
      <c r="D2635" t="inlineStr">
        <is>
          <t>Trimestral</t>
        </is>
      </c>
      <c r="E2635" t="inlineStr">
        <is>
          <t>Positivo</t>
        </is>
      </c>
      <c r="F2635" s="111" t="n">
        <v>46022</v>
      </c>
      <c r="G2635" t="n">
        <v>2025</v>
      </c>
      <c r="H2635" t="inlineStr">
        <is>
          <t>Diciembre</t>
        </is>
      </c>
      <c r="I2635" t="inlineStr">
        <is>
          <t>2025-2</t>
        </is>
      </c>
      <c r="J2635" t="n">
        <v>80</v>
      </c>
      <c r="K2635" t="n">
        <v>100</v>
      </c>
      <c r="L2635" s="39">
        <f>IFERROR(IF(OR(J2635=0,K2635=""),"",IF(E2635="Positivo",MIN(MAX(K2635/J2635,0),1.3),MIN(MAX(J2635/K2635,0),1.3))),"") </f>
        <v/>
      </c>
      <c r="M2635" s="39">
        <f>IFERROR(IF(OR(J2635=0,K2635=""),"",IF(E2635="Positivo",MAX(K2635/J2635,0),MAX(J2635/K2635,0))),"") </f>
        <v/>
      </c>
      <c r="N2635" t="inlineStr">
        <is>
          <t>%</t>
        </is>
      </c>
      <c r="O2635" t="inlineStr">
        <is>
          <t>%</t>
        </is>
      </c>
      <c r="P2635" t="n">
        <v>0</v>
      </c>
      <c r="Q2635" t="n">
        <v>0</v>
      </c>
      <c r="R2635" t="inlineStr">
        <is>
          <t>555-2025-12-31</t>
        </is>
      </c>
    </row>
    <row r="2636">
      <c r="A2636" t="n">
        <v>556</v>
      </c>
      <c r="B2636" t="inlineStr">
        <is>
          <t>Cumplimiento Plan de formación Institucional</t>
        </is>
      </c>
      <c r="C2636" t="inlineStr">
        <is>
          <t>GESTIÓN Y DESARROLLO DEL TALENTO HUMANO</t>
        </is>
      </c>
      <c r="D2636" t="inlineStr">
        <is>
          <t>Anual</t>
        </is>
      </c>
      <c r="E2636" t="inlineStr">
        <is>
          <t>Positivo</t>
        </is>
      </c>
      <c r="F2636" s="111" t="n">
        <v>46022</v>
      </c>
      <c r="G2636" t="n">
        <v>2025</v>
      </c>
      <c r="H2636" t="inlineStr">
        <is>
          <t>Diciembre</t>
        </is>
      </c>
      <c r="I2636" t="inlineStr">
        <is>
          <t>2025-2</t>
        </is>
      </c>
      <c r="J2636" t="n">
        <v>70</v>
      </c>
      <c r="K2636" t="n">
        <v>113.75</v>
      </c>
      <c r="L2636" s="39">
        <f>IFERROR(IF(OR(J2636=0,K2636=""),"",IF(E2636="Positivo",MIN(MAX(K2636/J2636,0),1.3),MIN(MAX(J2636/K2636,0),1.3))),"") </f>
        <v/>
      </c>
      <c r="M2636" s="39">
        <f>IFERROR(IF(OR(J2636=0,K2636=""),"",IF(E2636="Positivo",MAX(K2636/J2636,0),MAX(J2636/K2636,0))),"") </f>
        <v/>
      </c>
      <c r="N2636" t="inlineStr">
        <is>
          <t>%</t>
        </is>
      </c>
      <c r="O2636" t="inlineStr">
        <is>
          <t>%</t>
        </is>
      </c>
      <c r="P2636" t="n">
        <v>0</v>
      </c>
      <c r="Q2636" t="n">
        <v>0</v>
      </c>
      <c r="R2636" t="inlineStr">
        <is>
          <t>556-2025-12-31</t>
        </is>
      </c>
    </row>
  </sheetData>
  <conditionalFormatting sqref="A367">
    <cfRule type="duplicateValues" priority="43" dxfId="0"/>
  </conditionalFormatting>
  <conditionalFormatting sqref="A369:A372">
    <cfRule type="duplicateValues" priority="40" dxfId="0"/>
  </conditionalFormatting>
  <conditionalFormatting sqref="A373:A382">
    <cfRule type="duplicateValues" priority="58" dxfId="0"/>
  </conditionalFormatting>
  <conditionalFormatting sqref="A383">
    <cfRule type="duplicateValues" priority="44" dxfId="0"/>
  </conditionalFormatting>
  <conditionalFormatting sqref="A384">
    <cfRule type="duplicateValues" priority="45" dxfId="0"/>
  </conditionalFormatting>
  <conditionalFormatting sqref="A385">
    <cfRule type="duplicateValues" priority="46" dxfId="0"/>
  </conditionalFormatting>
  <conditionalFormatting sqref="A386">
    <cfRule type="duplicateValues" priority="47" dxfId="0"/>
  </conditionalFormatting>
  <conditionalFormatting sqref="A387:A399">
    <cfRule type="duplicateValues" priority="34" dxfId="0"/>
  </conditionalFormatting>
  <conditionalFormatting sqref="A472:A475">
    <cfRule type="duplicateValues" priority="33" dxfId="0"/>
  </conditionalFormatting>
  <conditionalFormatting sqref="A820">
    <cfRule type="duplicateValues" priority="48" dxfId="0"/>
  </conditionalFormatting>
  <conditionalFormatting sqref="A821">
    <cfRule type="duplicateValues" priority="49" dxfId="0"/>
  </conditionalFormatting>
  <conditionalFormatting sqref="A883">
    <cfRule type="duplicateValues" priority="50" dxfId="0"/>
  </conditionalFormatting>
  <conditionalFormatting sqref="A952:A963">
    <cfRule type="duplicateValues" priority="29" dxfId="0"/>
  </conditionalFormatting>
  <conditionalFormatting sqref="A1136">
    <cfRule type="duplicateValues" priority="51" dxfId="0"/>
  </conditionalFormatting>
  <conditionalFormatting sqref="A1138:A1141">
    <cfRule type="duplicateValues" priority="27" dxfId="0"/>
  </conditionalFormatting>
  <conditionalFormatting sqref="A1142:A1145">
    <cfRule type="duplicateValues" priority="26" dxfId="0"/>
  </conditionalFormatting>
  <conditionalFormatting sqref="A1192">
    <cfRule type="duplicateValues" priority="52" dxfId="0"/>
  </conditionalFormatting>
  <conditionalFormatting sqref="A1218">
    <cfRule type="duplicateValues" priority="53" dxfId="0"/>
  </conditionalFormatting>
  <conditionalFormatting sqref="A1522">
    <cfRule type="duplicateValues" priority="54" dxfId="0"/>
    <cfRule type="duplicateValues" priority="55" dxfId="0"/>
    <cfRule type="duplicateValues" priority="56" dxfId="0"/>
    <cfRule type="duplicateValues" priority="57" dxfId="0"/>
  </conditionalFormatting>
  <conditionalFormatting sqref="A2314">
    <cfRule type="duplicateValues" priority="12" dxfId="0"/>
  </conditionalFormatting>
  <conditionalFormatting sqref="A2354:A2356">
    <cfRule type="duplicateValues" priority="11" dxfId="0"/>
  </conditionalFormatting>
  <conditionalFormatting sqref="A2357">
    <cfRule type="duplicateValues" priority="8" dxfId="0"/>
  </conditionalFormatting>
  <conditionalFormatting sqref="A2358">
    <cfRule type="duplicateValues" priority="9" dxfId="0"/>
  </conditionalFormatting>
  <conditionalFormatting sqref="A2359:A2360">
    <cfRule type="duplicateValues" priority="10" dxfId="0"/>
  </conditionalFormatting>
  <conditionalFormatting sqref="A2361:A2362">
    <cfRule type="duplicateValues" priority="7" dxfId="0"/>
  </conditionalFormatting>
  <conditionalFormatting sqref="A2410 A2412">
    <cfRule type="duplicateValues" priority="6" dxfId="0"/>
  </conditionalFormatting>
  <conditionalFormatting sqref="A2419">
    <cfRule type="duplicateValues" priority="5" dxfId="0"/>
  </conditionalFormatting>
  <conditionalFormatting sqref="A2420">
    <cfRule type="duplicateValues" priority="4" dxfId="0"/>
  </conditionalFormatting>
  <conditionalFormatting sqref="A2439">
    <cfRule type="duplicateValues" priority="3" dxfId="0"/>
  </conditionalFormatting>
  <conditionalFormatting sqref="A2546">
    <cfRule type="duplicateValues" priority="2" dxfId="0"/>
    <cfRule type="duplicateValues" priority="1" dxfId="0"/>
  </conditionalFormatting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Hoja3">
    <outlinePr summaryBelow="1" summaryRight="1"/>
    <pageSetUpPr/>
  </sheetPr>
  <dimension ref="A1:S1704"/>
  <sheetViews>
    <sheetView zoomScale="85" zoomScaleNormal="85" workbookViewId="0">
      <pane ySplit="1" topLeftCell="A2" activePane="bottomLeft" state="frozen"/>
      <selection activeCell="O18" sqref="O18"/>
      <selection pane="bottomLeft" activeCell="A1" sqref="A1"/>
    </sheetView>
  </sheetViews>
  <sheetFormatPr baseColWidth="10" defaultColWidth="11.44140625" defaultRowHeight="14.4"/>
  <cols>
    <col width="85" bestFit="1" customWidth="1" min="2" max="2"/>
    <col width="41.5546875" customWidth="1" min="3" max="3"/>
    <col width="10.88671875" customWidth="1" min="4" max="5"/>
    <col width="11.33203125" customWidth="1" min="6" max="6"/>
    <col width="10.88671875" customWidth="1" min="7" max="9"/>
    <col width="18.33203125" customWidth="1" min="10" max="10"/>
    <col width="18.33203125" bestFit="1" customWidth="1" min="11" max="11"/>
    <col width="12.88671875" bestFit="1" customWidth="1" min="12" max="12"/>
    <col width="12.88671875" customWidth="1" min="13" max="13"/>
  </cols>
  <sheetData>
    <row r="1" ht="28.8" customHeight="1">
      <c r="A1" s="33" t="inlineStr">
        <is>
          <t>Id</t>
        </is>
      </c>
      <c r="B1" s="33" t="inlineStr">
        <is>
          <t>Indicador</t>
        </is>
      </c>
      <c r="C1" s="33" t="inlineStr">
        <is>
          <t>Proceso</t>
        </is>
      </c>
      <c r="D1" s="33" t="inlineStr">
        <is>
          <t>Periodicidad</t>
        </is>
      </c>
      <c r="E1" s="33" t="inlineStr">
        <is>
          <t>Sentido</t>
        </is>
      </c>
      <c r="F1" s="33" t="inlineStr">
        <is>
          <t>Fecha</t>
        </is>
      </c>
      <c r="G1" s="33" t="inlineStr">
        <is>
          <t>Año</t>
        </is>
      </c>
      <c r="H1" s="33" t="inlineStr">
        <is>
          <t>Mes</t>
        </is>
      </c>
      <c r="I1" s="33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4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1" t="inlineStr">
        <is>
          <t>Decimales_Meta</t>
        </is>
      </c>
      <c r="Q1" s="1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28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07" t="n">
        <v>44742</v>
      </c>
      <c r="G2" s="5" t="n">
        <v>2022</v>
      </c>
      <c r="H2" s="5" t="inlineStr">
        <is>
          <t>Junio</t>
        </is>
      </c>
      <c r="I2" s="6" t="inlineStr">
        <is>
          <t>2022-1</t>
        </is>
      </c>
      <c r="J2" s="5" t="n">
        <v>80</v>
      </c>
      <c r="K2" s="5" t="n">
        <v>89</v>
      </c>
      <c r="L2" s="74">
        <f>IFERROR(IF(OR(J2=0,K2=""),"",IF(E2="Positivo",MIN(MAX(K2/J2,0),1.3),MIN(MAX(J2/K2,0),1.3))),"") </f>
        <v/>
      </c>
      <c r="M2" s="14">
        <f>IFERROR(IF(OR(J2=0,K2=""),"",IF(E2="Positivo",MAX(K2/J2,0),MAX(J2/K2,0))),"") </f>
        <v/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68-2022-06-30</t>
        </is>
      </c>
    </row>
    <row r="3">
      <c r="A3" s="26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Trimestral</t>
        </is>
      </c>
      <c r="E3" s="5" t="inlineStr">
        <is>
          <t>Positivo</t>
        </is>
      </c>
      <c r="F3" s="107" t="n">
        <v>44926</v>
      </c>
      <c r="G3" s="5" t="n">
        <v>2022</v>
      </c>
      <c r="H3" s="5" t="inlineStr">
        <is>
          <t>Diciembre</t>
        </is>
      </c>
      <c r="I3" s="6" t="inlineStr">
        <is>
          <t>2022-2</t>
        </is>
      </c>
      <c r="J3" s="5" t="n">
        <v>80</v>
      </c>
      <c r="K3" s="5" t="n">
        <v>93</v>
      </c>
      <c r="L3" s="74">
        <f>IFERROR(IF(OR(J3=0,K3=""),"",IF(E3="Positivo",MIN(MAX(K3/J3,0),1.3),MIN(MAX(J3/K3,0),1.3))),"") </f>
        <v/>
      </c>
      <c r="M3" s="14">
        <f>IFERROR(IF(OR(J3=0,K3=""),"",IF(E3="Positivo",MAX(K3/J3,0),MAX(J3/K3,0))),"") </f>
        <v/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68-2022-12-31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07" t="n">
        <v>45107</v>
      </c>
      <c r="G4" s="5" t="n">
        <v>2023</v>
      </c>
      <c r="H4" s="5" t="inlineStr">
        <is>
          <t>Junio</t>
        </is>
      </c>
      <c r="I4" s="6" t="inlineStr">
        <is>
          <t>2023-1</t>
        </is>
      </c>
      <c r="J4" s="5" t="n">
        <v>80</v>
      </c>
      <c r="K4" s="5" t="n">
        <v>91.5</v>
      </c>
      <c r="L4" s="14">
        <f>IFERROR(IF(OR(J4=0,K4=""),"",IF(E4="Positivo",MIN(MAX(K4/J4,0),1.3),MIN(MAX(J4/K4,0),1.3))),"") </f>
        <v/>
      </c>
      <c r="M4" s="14">
        <f>IFERROR(IF(OR(J4=0,K4=""),"",IF(E4="Positivo",MAX(K4/J4,0),MAX(J4/K4,0))),"") </f>
        <v/>
      </c>
      <c r="N4" s="5" t="inlineStr">
        <is>
          <t>%</t>
        </is>
      </c>
      <c r="O4" s="5" t="inlineStr">
        <is>
          <t>%</t>
        </is>
      </c>
      <c r="P4" s="5" t="n">
        <v>1</v>
      </c>
      <c r="Q4" s="5" t="n">
        <v>1</v>
      </c>
      <c r="R4" s="5" t="inlineStr">
        <is>
          <t>68-2023-06-30</t>
        </is>
      </c>
    </row>
    <row r="5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07" t="n">
        <v>45291</v>
      </c>
      <c r="G5" s="5" t="n">
        <v>2023</v>
      </c>
      <c r="H5" s="5" t="inlineStr">
        <is>
          <t>Diciembre</t>
        </is>
      </c>
      <c r="I5" s="6" t="inlineStr">
        <is>
          <t>2023-2</t>
        </is>
      </c>
      <c r="J5" s="5" t="n">
        <v>80</v>
      </c>
      <c r="K5" s="10" t="n">
        <v>85</v>
      </c>
      <c r="L5" s="14">
        <f>IFERROR(IF(OR(J5=0,K5=""),"",IF(E5="Positivo",MIN(MAX(K5/J5,0),1.3),MIN(MAX(J5/K5,0),1.3))),"") </f>
        <v/>
      </c>
      <c r="M5" s="14">
        <f>IFERROR(IF(OR(J5=0,K5=""),"",IF(E5="Positivo",MAX(K5/J5,0),MAX(J5/K5,0))),"") </f>
        <v/>
      </c>
      <c r="N5" s="5" t="inlineStr">
        <is>
          <t>%</t>
        </is>
      </c>
      <c r="O5" s="5" t="inlineStr">
        <is>
          <t>%</t>
        </is>
      </c>
      <c r="P5" s="5" t="n">
        <v>1</v>
      </c>
      <c r="Q5" s="5" t="n">
        <v>0</v>
      </c>
      <c r="R5" s="5" t="inlineStr">
        <is>
          <t>68-2023-12-31</t>
        </is>
      </c>
    </row>
    <row r="6">
      <c r="A6" s="26" t="n">
        <v>68</v>
      </c>
      <c r="B6" s="5" t="inlineStr">
        <is>
          <t>Evaluación de desempeño a proveedores críticos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07" t="n">
        <v>45473</v>
      </c>
      <c r="G6" s="5" t="n">
        <v>2024</v>
      </c>
      <c r="H6" s="5" t="inlineStr">
        <is>
          <t>Junio</t>
        </is>
      </c>
      <c r="I6" s="6" t="inlineStr">
        <is>
          <t>2024-1</t>
        </is>
      </c>
      <c r="J6" s="5" t="n">
        <v>80</v>
      </c>
      <c r="K6" s="5" t="n">
        <v>86</v>
      </c>
      <c r="L6" s="74">
        <f>IFERROR(IF(OR(J6=0,K6=""),"",IF(E6="Positivo",MIN(MAX(K6/J6,0),1.3),MIN(MAX(J6/K6,0),1.3))),"") </f>
        <v/>
      </c>
      <c r="M6" s="14">
        <f>IFERROR(IF(OR(J6=0,K6=""),"",IF(E6="Positivo",MAX(K6/J6,0),MAX(J6/K6,0))),"") </f>
        <v/>
      </c>
      <c r="N6" s="5" t="inlineStr">
        <is>
          <t>%</t>
        </is>
      </c>
      <c r="O6" s="5" t="inlineStr">
        <is>
          <t>%</t>
        </is>
      </c>
      <c r="P6" s="5" t="n">
        <v>1</v>
      </c>
      <c r="Q6" s="5" t="n">
        <v>0</v>
      </c>
      <c r="R6" s="5" t="inlineStr">
        <is>
          <t>68-2024-06-30</t>
        </is>
      </c>
    </row>
    <row r="7">
      <c r="A7" s="26" t="n">
        <v>68</v>
      </c>
      <c r="B7" s="5" t="inlineStr">
        <is>
          <t>Evaluación de desempeño a proveedores críticos</t>
        </is>
      </c>
      <c r="C7" s="5" t="inlineStr">
        <is>
          <t>GESTIÓN DE ABASTECIMIENTO</t>
        </is>
      </c>
      <c r="D7" s="5" t="inlineStr">
        <is>
          <t>Semestral</t>
        </is>
      </c>
      <c r="E7" s="5" t="inlineStr">
        <is>
          <t>Positivo</t>
        </is>
      </c>
      <c r="F7" s="107" t="n">
        <v>45657</v>
      </c>
      <c r="G7" s="5" t="n">
        <v>2024</v>
      </c>
      <c r="H7" s="5" t="inlineStr">
        <is>
          <t>Diciembre</t>
        </is>
      </c>
      <c r="I7" s="6" t="inlineStr">
        <is>
          <t>2024-2</t>
        </is>
      </c>
      <c r="J7" s="5" t="n">
        <v>80</v>
      </c>
      <c r="K7" s="5" t="n">
        <v>87.5</v>
      </c>
      <c r="L7" s="74">
        <f>IFERROR(IF(OR(J7=0,K7=""),"",IF(E7="Positivo",MIN(MAX(K7/J7,0),1.3),MIN(MAX(J7/K7,0),1.3))),"") </f>
        <v/>
      </c>
      <c r="M7" s="14">
        <f>IFERROR(IF(OR(J7=0,K7=""),"",IF(E7="Positivo",MAX(K7/J7,0),MAX(J7/K7,0))),"") </f>
        <v/>
      </c>
      <c r="N7" s="5" t="inlineStr">
        <is>
          <t>%</t>
        </is>
      </c>
      <c r="O7" s="5" t="inlineStr">
        <is>
          <t>%</t>
        </is>
      </c>
      <c r="P7" s="5" t="n">
        <v>1</v>
      </c>
      <c r="Q7" s="5" t="n">
        <v>1</v>
      </c>
      <c r="R7" s="5" t="inlineStr">
        <is>
          <t>68-2024-12-31</t>
        </is>
      </c>
    </row>
    <row r="8">
      <c r="A8" s="5" t="n">
        <v>68</v>
      </c>
      <c r="B8" s="5" t="inlineStr">
        <is>
          <t>Evaluación de desempeño a proveedores críticos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07" t="n">
        <v>45838</v>
      </c>
      <c r="G8" s="5" t="n">
        <v>2025</v>
      </c>
      <c r="H8" s="5" t="inlineStr">
        <is>
          <t>Junio</t>
        </is>
      </c>
      <c r="I8" s="6" t="inlineStr">
        <is>
          <t>2025-1</t>
        </is>
      </c>
      <c r="J8" s="5" t="n">
        <v>85</v>
      </c>
      <c r="K8" s="5" t="n">
        <v>85.3</v>
      </c>
      <c r="L8" s="14">
        <f>IFERROR(IF(OR(J8=0,K8=""),"",IF(E8="Positivo",MIN(MAX(K8/J8,0),1.3),MIN(MAX(J8/K8,0),1.3))),"") </f>
        <v/>
      </c>
      <c r="M8" s="14">
        <f>IFERROR(IF(OR(J8=0,K8=""),"",IF(E8="Positivo",MAX(K8/J8,0),MAX(J8/K8,0))),"") </f>
        <v/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68-2025-06-30</t>
        </is>
      </c>
    </row>
    <row r="9">
      <c r="A9" s="5" t="n">
        <v>69</v>
      </c>
      <c r="B9" s="5" t="inlineStr">
        <is>
          <t>Oportunidad de Respuesta Solicitudes de Compra No Licitadas</t>
        </is>
      </c>
      <c r="C9" s="5" t="inlineStr">
        <is>
          <t>GESTIÓN DE ABASTECIMIENTO</t>
        </is>
      </c>
      <c r="D9" s="5" t="inlineStr">
        <is>
          <t>Semestral</t>
        </is>
      </c>
      <c r="E9" s="5" t="inlineStr">
        <is>
          <t>Positivo</t>
        </is>
      </c>
      <c r="F9" s="107" t="n">
        <v>44742</v>
      </c>
      <c r="G9" s="5" t="n">
        <v>2022</v>
      </c>
      <c r="H9" s="5" t="inlineStr">
        <is>
          <t>Junio</t>
        </is>
      </c>
      <c r="I9" s="6" t="inlineStr">
        <is>
          <t>2022-1</t>
        </is>
      </c>
      <c r="J9" s="5" t="n">
        <v>80</v>
      </c>
      <c r="K9" s="5" t="n">
        <v>83.45232280473249</v>
      </c>
      <c r="L9" s="14">
        <f>IFERROR(IF(OR(J9=0,K9=""),"",IF(E9="Positivo",MIN(MAX(K9/J9,0),1.3),MIN(MAX(J9/K9,0),1.3))),"") </f>
        <v/>
      </c>
      <c r="M9" s="14">
        <f>IFERROR(IF(OR(J9=0,K9=""),"",IF(E9="Positivo",MAX(K9/J9,0),MAX(J9/K9,0))),"") </f>
        <v/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69-2022-06-30</t>
        </is>
      </c>
    </row>
    <row r="10">
      <c r="A10" s="28" t="n">
        <v>69</v>
      </c>
      <c r="B10" s="5" t="inlineStr">
        <is>
          <t>Oportunidad de Respuesta Solicitudes de Compra No Licitadas</t>
        </is>
      </c>
      <c r="C10" s="5" t="inlineStr">
        <is>
          <t>GESTIÓN DE ABASTECIMIENTO</t>
        </is>
      </c>
      <c r="D10" s="5" t="inlineStr">
        <is>
          <t>Semestral</t>
        </is>
      </c>
      <c r="E10" s="5" t="inlineStr">
        <is>
          <t>Positivo</t>
        </is>
      </c>
      <c r="F10" s="107" t="n">
        <v>44926</v>
      </c>
      <c r="G10" s="5" t="n">
        <v>2022</v>
      </c>
      <c r="H10" s="5" t="inlineStr">
        <is>
          <t>Diciembre</t>
        </is>
      </c>
      <c r="I10" s="6" t="inlineStr">
        <is>
          <t>2022-2</t>
        </is>
      </c>
      <c r="J10" s="5" t="n">
        <v>80</v>
      </c>
      <c r="K10" s="5" t="n">
        <v>84.44181553407401</v>
      </c>
      <c r="L10" s="14">
        <f>IFERROR(IF(OR(J10=0,K10=""),"",IF(E10="Positivo",MIN(MAX(K10/J10,0),1.3),MIN(MAX(J10/K10,0),1.3))),"") </f>
        <v/>
      </c>
      <c r="M10" s="14">
        <f>IFERROR(IF(OR(J10=0,K10=""),"",IF(E10="Positivo",MAX(K10/J10,0),MAX(J10/K10,0))),"") </f>
        <v/>
      </c>
      <c r="N10" s="5" t="inlineStr">
        <is>
          <t>%</t>
        </is>
      </c>
      <c r="O10" s="5" t="inlineStr">
        <is>
          <t>%</t>
        </is>
      </c>
      <c r="P10" s="5" t="n">
        <v>0</v>
      </c>
      <c r="Q10" s="5" t="n">
        <v>1</v>
      </c>
      <c r="R10" s="5" t="inlineStr">
        <is>
          <t>69-2022-12-31</t>
        </is>
      </c>
    </row>
    <row r="11">
      <c r="A11" s="26" t="n">
        <v>69</v>
      </c>
      <c r="B11" s="5" t="inlineStr">
        <is>
          <t>Oportunidad de Respuesta Solicitudes de Compra No Licitadas</t>
        </is>
      </c>
      <c r="C11" s="5" t="inlineStr">
        <is>
          <t>GESTIÓN DE ABASTECIMIENTO</t>
        </is>
      </c>
      <c r="D11" s="5" t="inlineStr">
        <is>
          <t>Trimestral</t>
        </is>
      </c>
      <c r="E11" s="5" t="inlineStr">
        <is>
          <t>Positivo</t>
        </is>
      </c>
      <c r="F11" s="107" t="n">
        <v>45107</v>
      </c>
      <c r="G11" s="5" t="n">
        <v>2023</v>
      </c>
      <c r="H11" s="5" t="inlineStr">
        <is>
          <t>Junio</t>
        </is>
      </c>
      <c r="I11" s="6" t="inlineStr">
        <is>
          <t>2023-1</t>
        </is>
      </c>
      <c r="J11" s="5" t="n">
        <v>90</v>
      </c>
      <c r="K11" s="5" t="n">
        <v>90.4697268069105</v>
      </c>
      <c r="L11" s="14">
        <f>IFERROR(IF(OR(J11=0,K11=""),"",IF(E11="Positivo",MIN(MAX(K11/J11,0),1.3),MIN(MAX(J11/K11,0),1.3))),"") </f>
        <v/>
      </c>
      <c r="M11" s="14">
        <f>IFERROR(IF(OR(J11=0,K11=""),"",IF(E11="Positivo",MAX(K11/J11,0),MAX(J11/K11,0))),"") </f>
        <v/>
      </c>
      <c r="N11" s="5" t="inlineStr">
        <is>
          <t>%</t>
        </is>
      </c>
      <c r="O11" s="5" t="inlineStr">
        <is>
          <t>%</t>
        </is>
      </c>
      <c r="P11" s="5" t="n">
        <v>0</v>
      </c>
      <c r="Q11" s="5" t="n">
        <v>0</v>
      </c>
      <c r="R11" s="5" t="inlineStr">
        <is>
          <t>69-2023-06-30</t>
        </is>
      </c>
    </row>
    <row r="12">
      <c r="A12" s="5" t="n">
        <v>69</v>
      </c>
      <c r="B12" s="5" t="inlineStr">
        <is>
          <t>Oportunidad de Respuesta Solicitudes de Compra No Licitadas</t>
        </is>
      </c>
      <c r="C12" s="5" t="inlineStr">
        <is>
          <t>GESTIÓN DE ABASTECIMIENTO</t>
        </is>
      </c>
      <c r="D12" s="5" t="inlineStr">
        <is>
          <t>Trimestral</t>
        </is>
      </c>
      <c r="E12" s="5" t="inlineStr">
        <is>
          <t>Positivo</t>
        </is>
      </c>
      <c r="F12" s="107" t="n">
        <v>45291</v>
      </c>
      <c r="G12" s="5" t="n">
        <v>2023</v>
      </c>
      <c r="H12" s="5" t="inlineStr">
        <is>
          <t>Diciembre</t>
        </is>
      </c>
      <c r="I12" s="6" t="inlineStr">
        <is>
          <t>2023-2</t>
        </is>
      </c>
      <c r="J12" s="5" t="n">
        <v>90</v>
      </c>
      <c r="K12" s="5" t="n">
        <v>92.84</v>
      </c>
      <c r="L12" s="14">
        <f>IFERROR(IF(OR(J12=0,K12=""),"",IF(E12="Positivo",MIN(MAX(K12/J12,0),1.3),MIN(MAX(J12/K12,0),1.3))),"") </f>
        <v/>
      </c>
      <c r="M12" s="14">
        <f>IFERROR(IF(OR(J12=0,K12=""),"",IF(E12="Positivo",MAX(K12/J12,0),MAX(J12/K12,0))),"") </f>
        <v/>
      </c>
      <c r="N12" s="5" t="inlineStr">
        <is>
          <t>%</t>
        </is>
      </c>
      <c r="O12" s="5" t="inlineStr">
        <is>
          <t>%</t>
        </is>
      </c>
      <c r="P12" s="5" t="n">
        <v>0</v>
      </c>
      <c r="Q12" s="5" t="n">
        <v>0</v>
      </c>
      <c r="R12" s="5" t="inlineStr">
        <is>
          <t>69-2023-12-31</t>
        </is>
      </c>
    </row>
    <row r="13">
      <c r="A13" s="5" t="n">
        <v>69</v>
      </c>
      <c r="B13" s="5" t="inlineStr">
        <is>
          <t>Oportunidad de Respuesta Solicitudes de Compra No Licitadas</t>
        </is>
      </c>
      <c r="C13" s="5" t="inlineStr">
        <is>
          <t>GESTIÓN DE ABASTECIMIENTO</t>
        </is>
      </c>
      <c r="D13" s="5" t="inlineStr">
        <is>
          <t>Trimestral</t>
        </is>
      </c>
      <c r="E13" s="5" t="inlineStr">
        <is>
          <t>Positivo</t>
        </is>
      </c>
      <c r="F13" s="107" t="n">
        <v>45473</v>
      </c>
      <c r="G13" s="5" t="n">
        <v>2024</v>
      </c>
      <c r="H13" s="5" t="inlineStr">
        <is>
          <t>Junio</t>
        </is>
      </c>
      <c r="I13" s="6" t="inlineStr">
        <is>
          <t>2024-1</t>
        </is>
      </c>
      <c r="J13" s="5" t="n">
        <v>90</v>
      </c>
      <c r="K13" s="10" t="n">
        <v>91.32499999999999</v>
      </c>
      <c r="L13" s="14">
        <f>IFERROR(IF(OR(J13=0,K13=""),"",IF(E13="Positivo",MIN(MAX(K13/J13,0),1.3),MIN(MAX(J13/K13,0),1.3))),"") </f>
        <v/>
      </c>
      <c r="M13" s="14">
        <f>IFERROR(IF(OR(J13=0,K13=""),"",IF(E13="Positivo",MAX(K13/J13,0),MAX(J13/K13,0))),"") </f>
        <v/>
      </c>
      <c r="N13" s="5" t="inlineStr">
        <is>
          <t>%</t>
        </is>
      </c>
      <c r="O13" s="5" t="inlineStr">
        <is>
          <t>%</t>
        </is>
      </c>
      <c r="P13" s="5" t="n">
        <v>0</v>
      </c>
      <c r="Q13" s="5" t="n">
        <v>0</v>
      </c>
      <c r="R13" s="5" t="inlineStr">
        <is>
          <t>69-2024-06-30</t>
        </is>
      </c>
    </row>
    <row r="14">
      <c r="A14" s="28" t="n">
        <v>69</v>
      </c>
      <c r="B14" s="5" t="inlineStr">
        <is>
          <t>Oportunidad de Respuesta Solicitudes de Compra No Licitadas</t>
        </is>
      </c>
      <c r="C14" s="5" t="inlineStr">
        <is>
          <t>GESTIÓN DE ABASTECIMIENTO</t>
        </is>
      </c>
      <c r="D14" s="5" t="inlineStr">
        <is>
          <t>Trimestral</t>
        </is>
      </c>
      <c r="E14" s="5" t="inlineStr">
        <is>
          <t>Positivo</t>
        </is>
      </c>
      <c r="F14" s="107" t="n">
        <v>45657</v>
      </c>
      <c r="G14" s="5" t="n">
        <v>2024</v>
      </c>
      <c r="H14" s="5" t="inlineStr">
        <is>
          <t>Diciembre</t>
        </is>
      </c>
      <c r="I14" s="6" t="inlineStr">
        <is>
          <t>2024-2</t>
        </is>
      </c>
      <c r="J14" s="5" t="n">
        <v>90</v>
      </c>
      <c r="K14" s="5" t="n">
        <v>91.08500000000001</v>
      </c>
      <c r="L14" s="74">
        <f>IFERROR(IF(OR(J14=0,K14=""),"",IF(E14="Positivo",MIN(MAX(K14/J14,0),1.3),MIN(MAX(J14/K14,0),1.3))),"") </f>
        <v/>
      </c>
      <c r="M14" s="14">
        <f>IFERROR(IF(OR(J14=0,K14=""),"",IF(E14="Positivo",MAX(K14/J14,0),MAX(J14/K14,0))),"") </f>
        <v/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 t="inlineStr">
        <is>
          <t>69-2024-12-31</t>
        </is>
      </c>
    </row>
    <row r="15">
      <c r="A15" s="26" t="n">
        <v>69</v>
      </c>
      <c r="B15" s="5" t="inlineStr">
        <is>
          <t>Oportunidad de Respuesta Solicitudes de Compra No Licitadas</t>
        </is>
      </c>
      <c r="C15" s="5" t="inlineStr">
        <is>
          <t>GESTIÓN DE ABASTECIMIENTO</t>
        </is>
      </c>
      <c r="D15" s="5" t="inlineStr">
        <is>
          <t>Semestral</t>
        </is>
      </c>
      <c r="E15" s="5" t="inlineStr">
        <is>
          <t>Positivo</t>
        </is>
      </c>
      <c r="F15" s="107" t="n">
        <v>45838</v>
      </c>
      <c r="G15" s="5" t="n">
        <v>2025</v>
      </c>
      <c r="H15" s="5" t="inlineStr">
        <is>
          <t>Junio</t>
        </is>
      </c>
      <c r="I15" s="6" t="inlineStr">
        <is>
          <t>2025-1</t>
        </is>
      </c>
      <c r="J15" s="5" t="n">
        <v>90</v>
      </c>
      <c r="K15" s="5" t="n">
        <v>90.765</v>
      </c>
      <c r="L15" s="74">
        <f>IFERROR(IF(OR(J15=0,K15=""),"",IF(E15="Positivo",MIN(MAX(K15/J15,0),1.3),MIN(MAX(J15/K15,0),1.3))),"") </f>
        <v/>
      </c>
      <c r="M15" s="14">
        <f>IFERROR(IF(OR(J15=0,K15=""),"",IF(E15="Positivo",MAX(K15/J15,0),MAX(J15/K15,0))),"") </f>
        <v/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1</v>
      </c>
      <c r="R15" s="5" t="inlineStr">
        <is>
          <t>69-2025-06-30</t>
        </is>
      </c>
    </row>
    <row r="16">
      <c r="A16" s="5" t="n">
        <v>69</v>
      </c>
      <c r="B16" s="5" t="inlineStr">
        <is>
          <t>Oportunidad de Respuesta Solicitudes de Compra No Licitadas</t>
        </is>
      </c>
      <c r="C16" s="5" t="inlineStr">
        <is>
          <t>GESTIÓN DE ABASTECIMIENTO</t>
        </is>
      </c>
      <c r="D16" s="5" t="inlineStr">
        <is>
          <t>Semestral</t>
        </is>
      </c>
      <c r="E16" s="5" t="inlineStr">
        <is>
          <t>Positivo</t>
        </is>
      </c>
      <c r="F16" s="107" t="n">
        <v>46022</v>
      </c>
      <c r="G16" s="5" t="n">
        <v>2025</v>
      </c>
      <c r="H16" s="5" t="inlineStr">
        <is>
          <t>Diciembre</t>
        </is>
      </c>
      <c r="I16" s="6" t="inlineStr">
        <is>
          <t>2025-2</t>
        </is>
      </c>
      <c r="J16" s="5" t="n">
        <v>90</v>
      </c>
      <c r="K16" s="5" t="n">
        <v>90.83</v>
      </c>
      <c r="L16" s="14">
        <f>IFERROR(IF(OR(J16=0,K16=""),"",IF(E16="Positivo",MIN(MAX(K16/J16,0),1.3),MIN(MAX(J16/K16,0),1.3))),"") </f>
        <v/>
      </c>
      <c r="M16" s="14">
        <f>IFERROR(IF(OR(J16=0,K16=""),"",IF(E16="Positivo",MAX(K16/J16,0),MAX(J16/K16,0))),"") </f>
        <v/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1</v>
      </c>
      <c r="R16" s="5" t="inlineStr">
        <is>
          <t>69-2025-12-31</t>
        </is>
      </c>
    </row>
    <row r="17">
      <c r="A17" s="5" t="n">
        <v>73</v>
      </c>
      <c r="B17" s="5" t="inlineStr">
        <is>
          <t>Tiempo respuesta selección y contratación de colaboradores de planta</t>
        </is>
      </c>
      <c r="C17" s="5" t="inlineStr">
        <is>
          <t>GESTIÓN Y DESARROLLO DEL TALENTO HUMANO</t>
        </is>
      </c>
      <c r="D17" s="5" t="inlineStr">
        <is>
          <t>Trimestral</t>
        </is>
      </c>
      <c r="E17" s="5" t="inlineStr">
        <is>
          <t>Negativo</t>
        </is>
      </c>
      <c r="F17" s="107" t="n">
        <v>44742</v>
      </c>
      <c r="G17" s="5" t="n">
        <v>2022</v>
      </c>
      <c r="H17" s="5" t="inlineStr">
        <is>
          <t>Junio</t>
        </is>
      </c>
      <c r="I17" s="6" t="inlineStr">
        <is>
          <t>2022-1</t>
        </is>
      </c>
      <c r="J17" s="5" t="n">
        <v>20</v>
      </c>
      <c r="K17" s="10" t="n">
        <v>17.67</v>
      </c>
      <c r="L17" s="14">
        <f>IFERROR(IF(OR(J17=0,K17=""),"",IF(E17="Positivo",MIN(MAX(K17/J17,0),1.3),MIN(MAX(J17/K17,0),1.3))),"") </f>
        <v/>
      </c>
      <c r="M17" s="14">
        <f>IFERROR(IF(OR(J17=0,K17=""),"",IF(E17="Positivo",MAX(K17/J17,0),MAX(J17/K17,0))),"") </f>
        <v/>
      </c>
      <c r="N17" s="5" t="inlineStr">
        <is>
          <t>Días</t>
        </is>
      </c>
      <c r="O17" s="5" t="inlineStr">
        <is>
          <t>Días</t>
        </is>
      </c>
      <c r="P17" s="5" t="n">
        <v>0</v>
      </c>
      <c r="Q17" s="5" t="n">
        <v>0</v>
      </c>
      <c r="R17" s="5" t="inlineStr">
        <is>
          <t>73-2022-06-30</t>
        </is>
      </c>
    </row>
    <row r="18">
      <c r="A18" s="5" t="n">
        <v>73</v>
      </c>
      <c r="B18" s="5" t="inlineStr">
        <is>
          <t>Tiempo respuesta selección y contratación de colaboradores de planta</t>
        </is>
      </c>
      <c r="C18" s="5" t="inlineStr">
        <is>
          <t>GESTIÓN Y DESARROLLO DEL TALENTO HUMANO</t>
        </is>
      </c>
      <c r="D18" s="5" t="inlineStr">
        <is>
          <t>Trimestral</t>
        </is>
      </c>
      <c r="E18" s="5" t="inlineStr">
        <is>
          <t>Negativo</t>
        </is>
      </c>
      <c r="F18" s="107" t="n">
        <v>44926</v>
      </c>
      <c r="G18" s="15" t="n">
        <v>2022</v>
      </c>
      <c r="H18" s="6" t="inlineStr">
        <is>
          <t>Diciembre</t>
        </is>
      </c>
      <c r="I18" s="6" t="inlineStr">
        <is>
          <t>2022-2</t>
        </is>
      </c>
      <c r="J18" s="5" t="n">
        <v>20</v>
      </c>
      <c r="K18" s="5" t="n">
        <v>20</v>
      </c>
      <c r="L18" s="14">
        <f>IFERROR(IF(OR(J18=0,K18=""),"",IF(E18="Positivo",MIN(MAX(K18/J18,0),1.3),MIN(MAX(J18/K18,0),1.3))),"") </f>
        <v/>
      </c>
      <c r="M18" s="14">
        <f>IFERROR(IF(OR(J18=0,K18=""),"",IF(E18="Positivo",MAX(K18/J18,0),MAX(J18/K18,0))),"") </f>
        <v/>
      </c>
      <c r="N18" s="5" t="inlineStr">
        <is>
          <t>Días</t>
        </is>
      </c>
      <c r="O18" s="5" t="inlineStr">
        <is>
          <t>Días</t>
        </is>
      </c>
      <c r="P18" s="5" t="n">
        <v>0</v>
      </c>
      <c r="Q18" s="5" t="n">
        <v>0</v>
      </c>
      <c r="R18" s="5" t="inlineStr">
        <is>
          <t>73-2022-12-31</t>
        </is>
      </c>
    </row>
    <row r="19">
      <c r="A19" s="5" t="n">
        <v>73</v>
      </c>
      <c r="B19" s="5" t="inlineStr">
        <is>
          <t>Tiempo respuesta selección y contratación de colaboradores de planta</t>
        </is>
      </c>
      <c r="C19" s="5" t="inlineStr">
        <is>
          <t>GESTIÓN Y DESARROLLO DEL TALENTO HUMANO</t>
        </is>
      </c>
      <c r="D19" s="5" t="inlineStr">
        <is>
          <t>Semestral</t>
        </is>
      </c>
      <c r="E19" s="5" t="inlineStr">
        <is>
          <t>Negativo</t>
        </is>
      </c>
      <c r="F19" s="107" t="n">
        <v>45107</v>
      </c>
      <c r="G19" s="15" t="n">
        <v>2023</v>
      </c>
      <c r="H19" s="6" t="inlineStr">
        <is>
          <t>Junio</t>
        </is>
      </c>
      <c r="I19" s="6" t="inlineStr">
        <is>
          <t>2023-1</t>
        </is>
      </c>
      <c r="J19" s="5" t="n">
        <v>20</v>
      </c>
      <c r="K19" s="5" t="n">
        <v>19</v>
      </c>
      <c r="L19" s="14">
        <f>IFERROR(IF(OR(J19=0,K19=""),"",IF(E19="Positivo",MIN(MAX(K19/J19,0),1.3),MIN(MAX(J19/K19,0),1.3))),"") </f>
        <v/>
      </c>
      <c r="M19" s="14">
        <f>IFERROR(IF(OR(J19=0,K19=""),"",IF(E19="Positivo",MAX(K19/J19,0),MAX(J19/K19,0))),"") </f>
        <v/>
      </c>
      <c r="N19" s="5" t="inlineStr">
        <is>
          <t>Días</t>
        </is>
      </c>
      <c r="O19" s="5" t="inlineStr">
        <is>
          <t>Días</t>
        </is>
      </c>
      <c r="P19" s="5" t="n">
        <v>0</v>
      </c>
      <c r="Q19" s="5" t="n">
        <v>0</v>
      </c>
      <c r="R19" s="5" t="inlineStr">
        <is>
          <t>73-2023-06-30</t>
        </is>
      </c>
    </row>
    <row r="20">
      <c r="A20" s="5" t="n">
        <v>73</v>
      </c>
      <c r="B20" s="5" t="inlineStr">
        <is>
          <t>Tiempo respuesta selección y contratación de colaboradores de planta</t>
        </is>
      </c>
      <c r="C20" s="5" t="inlineStr">
        <is>
          <t>GESTIÓN Y DESARROLLO DEL TALENTO HUMANO</t>
        </is>
      </c>
      <c r="D20" s="5" t="inlineStr">
        <is>
          <t>Semestral</t>
        </is>
      </c>
      <c r="E20" s="5" t="inlineStr">
        <is>
          <t>Negativo</t>
        </is>
      </c>
      <c r="F20" s="107" t="n">
        <v>45291</v>
      </c>
      <c r="G20" s="15" t="n">
        <v>2023</v>
      </c>
      <c r="H20" s="6" t="inlineStr">
        <is>
          <t>Diciembre</t>
        </is>
      </c>
      <c r="I20" s="6" t="inlineStr">
        <is>
          <t>2023-2</t>
        </is>
      </c>
      <c r="J20" s="5" t="n">
        <v>20</v>
      </c>
      <c r="K20" s="10" t="n">
        <v>17</v>
      </c>
      <c r="L20" s="14">
        <f>IFERROR(IF(OR(J20=0,K20=""),"",IF(E20="Positivo",MIN(MAX(K20/J20,0),1.3),MIN(MAX(J20/K20,0),1.3))),"") </f>
        <v/>
      </c>
      <c r="M20" s="14">
        <f>IFERROR(IF(OR(J20=0,K20=""),"",IF(E20="Positivo",MAX(K20/J20,0),MAX(J20/K20,0))),"") </f>
        <v/>
      </c>
      <c r="N20" s="5" t="inlineStr">
        <is>
          <t>Días</t>
        </is>
      </c>
      <c r="O20" s="5" t="inlineStr">
        <is>
          <t>Días</t>
        </is>
      </c>
      <c r="P20" s="5" t="n">
        <v>0</v>
      </c>
      <c r="Q20" s="5" t="n">
        <v>0</v>
      </c>
      <c r="R20" s="5" t="inlineStr">
        <is>
          <t>73-2023-12-31</t>
        </is>
      </c>
    </row>
    <row r="21">
      <c r="A21" s="5" t="n">
        <v>73</v>
      </c>
      <c r="B21" s="5" t="inlineStr">
        <is>
          <t>Tiempo respuesta selección y contratación de colaboradores de planta</t>
        </is>
      </c>
      <c r="C21" s="5" t="inlineStr">
        <is>
          <t>GESTIÓN Y DESARROLLO DEL TALENTO HUMANO</t>
        </is>
      </c>
      <c r="D21" s="5" t="inlineStr">
        <is>
          <t>Semestral</t>
        </is>
      </c>
      <c r="E21" s="5" t="inlineStr">
        <is>
          <t>Negativo</t>
        </is>
      </c>
      <c r="F21" s="107" t="n">
        <v>45473</v>
      </c>
      <c r="G21" s="5" t="n">
        <v>2024</v>
      </c>
      <c r="H21" s="5" t="inlineStr">
        <is>
          <t>Junio</t>
        </is>
      </c>
      <c r="I21" s="6" t="inlineStr">
        <is>
          <t>2024-1</t>
        </is>
      </c>
      <c r="J21" s="5" t="n">
        <v>20</v>
      </c>
      <c r="K21" s="10" t="n">
        <v>20</v>
      </c>
      <c r="L21" s="14">
        <f>IFERROR(IF(OR(J21=0,K21=""),"",IF(E21="Positivo",MIN(MAX(K21/J21,0),1.3),MIN(MAX(J21/K21,0),1.3))),"") </f>
        <v/>
      </c>
      <c r="M21" s="14">
        <f>IFERROR(IF(OR(J21=0,K21=""),"",IF(E21="Positivo",MAX(K21/J21,0),MAX(J21/K21,0))),"") </f>
        <v/>
      </c>
      <c r="N21" s="5" t="inlineStr">
        <is>
          <t>Días</t>
        </is>
      </c>
      <c r="O21" s="5" t="inlineStr">
        <is>
          <t>Días</t>
        </is>
      </c>
      <c r="P21" s="5" t="n">
        <v>0</v>
      </c>
      <c r="Q21" s="5" t="n">
        <v>0</v>
      </c>
      <c r="R21" s="5" t="inlineStr">
        <is>
          <t>73-2024-06-30</t>
        </is>
      </c>
    </row>
    <row r="22">
      <c r="A22" s="26" t="n">
        <v>73</v>
      </c>
      <c r="B22" s="5" t="inlineStr">
        <is>
          <t>Tiempo respuesta selección y contratación de colaboradores de planta</t>
        </is>
      </c>
      <c r="C22" s="5" t="inlineStr">
        <is>
          <t>GESTIÓN Y DESARROLLO DEL TALENTO HUMANO</t>
        </is>
      </c>
      <c r="D22" s="5" t="inlineStr">
        <is>
          <t>Semestral</t>
        </is>
      </c>
      <c r="E22" s="5" t="inlineStr">
        <is>
          <t>Negativo</t>
        </is>
      </c>
      <c r="F22" s="107" t="n">
        <v>45657</v>
      </c>
      <c r="G22" s="5" t="n">
        <v>2024</v>
      </c>
      <c r="H22" s="5" t="inlineStr">
        <is>
          <t>Diciembre</t>
        </is>
      </c>
      <c r="I22" s="6" t="inlineStr">
        <is>
          <t>2024-2</t>
        </is>
      </c>
      <c r="J22" s="5" t="n">
        <v>20</v>
      </c>
      <c r="K22" s="5" t="n">
        <v>17</v>
      </c>
      <c r="L22" s="74">
        <f>IFERROR(IF(OR(J22=0,K22=""),"",IF(E22="Positivo",MIN(MAX(K22/J22,0),1.3),MIN(MAX(J22/K22,0),1.3))),"") </f>
        <v/>
      </c>
      <c r="M22" s="14">
        <f>IFERROR(IF(OR(J22=0,K22=""),"",IF(E22="Positivo",MAX(K22/J22,0),MAX(J22/K22,0))),"") </f>
        <v/>
      </c>
      <c r="N22" s="5" t="inlineStr">
        <is>
          <t>Días</t>
        </is>
      </c>
      <c r="O22" s="5" t="inlineStr">
        <is>
          <t>Días</t>
        </is>
      </c>
      <c r="P22" s="5" t="n">
        <v>0</v>
      </c>
      <c r="Q22" s="5" t="n">
        <v>0</v>
      </c>
      <c r="R22" s="5" t="inlineStr">
        <is>
          <t>73-2024-12-31</t>
        </is>
      </c>
    </row>
    <row r="23">
      <c r="A23" s="26" t="n">
        <v>73</v>
      </c>
      <c r="B23" s="5" t="inlineStr">
        <is>
          <t>Tiempo respuesta selección y contratación de colaboradores de planta</t>
        </is>
      </c>
      <c r="C23" s="5" t="inlineStr">
        <is>
          <t>GESTIÓN Y DESARROLLO DEL TALENTO HUMANO</t>
        </is>
      </c>
      <c r="D23" s="5" t="inlineStr">
        <is>
          <t>Trimestral</t>
        </is>
      </c>
      <c r="E23" s="5" t="inlineStr">
        <is>
          <t>Negativo</t>
        </is>
      </c>
      <c r="F23" s="107" t="n">
        <v>45838</v>
      </c>
      <c r="G23" s="5" t="n">
        <v>2025</v>
      </c>
      <c r="H23" s="5" t="inlineStr">
        <is>
          <t>Junio</t>
        </is>
      </c>
      <c r="I23" s="6" t="inlineStr">
        <is>
          <t>2025-1</t>
        </is>
      </c>
      <c r="J23" s="5" t="n">
        <v>20</v>
      </c>
      <c r="K23" s="5" t="n">
        <v>19</v>
      </c>
      <c r="L23" s="74">
        <f>IFERROR(IF(OR(J23=0,K23=""),"",IF(E23="Positivo",MIN(MAX(K23/J23,0),1.3),MIN(MAX(J23/K23,0),1.3))),"") </f>
        <v/>
      </c>
      <c r="M23" s="14">
        <f>IFERROR(IF(OR(J23=0,K23=""),"",IF(E23="Positivo",MAX(K23/J23,0),MAX(J23/K23,0))),"") </f>
        <v/>
      </c>
      <c r="N23" s="5" t="inlineStr">
        <is>
          <t>Días</t>
        </is>
      </c>
      <c r="O23" s="5" t="inlineStr">
        <is>
          <t>Días</t>
        </is>
      </c>
      <c r="P23" s="5" t="n">
        <v>0</v>
      </c>
      <c r="Q23" s="5" t="n">
        <v>0</v>
      </c>
      <c r="R23" s="5" t="inlineStr">
        <is>
          <t>73-2025-06-30</t>
        </is>
      </c>
    </row>
    <row r="24">
      <c r="A24" s="5" t="n">
        <v>73</v>
      </c>
      <c r="B24" s="5" t="inlineStr">
        <is>
          <t>Tiempo respuesta selección y contratación de colaboradores de planta</t>
        </is>
      </c>
      <c r="C24" s="5" t="inlineStr">
        <is>
          <t>GESTIÓN Y DESARROLLO DEL TALENTO HUMANO</t>
        </is>
      </c>
      <c r="D24" s="5" t="inlineStr">
        <is>
          <t>Trimestral</t>
        </is>
      </c>
      <c r="E24" s="5" t="inlineStr">
        <is>
          <t>Negativo</t>
        </is>
      </c>
      <c r="F24" s="107" t="n">
        <v>46022</v>
      </c>
      <c r="G24" s="5" t="n">
        <v>2025</v>
      </c>
      <c r="H24" s="5" t="inlineStr">
        <is>
          <t>Diciembre</t>
        </is>
      </c>
      <c r="I24" s="6" t="inlineStr">
        <is>
          <t>2025-2</t>
        </is>
      </c>
      <c r="J24" s="5" t="n">
        <v>20</v>
      </c>
      <c r="K24" s="5" t="n">
        <v>20</v>
      </c>
      <c r="L24" s="14">
        <f>IFERROR(IF(OR(J24=0,K24=""),"",IF(E24="Positivo",MIN(MAX(K24/J24,0),1.3),MIN(MAX(J24/K24,0),1.3))),"") </f>
        <v/>
      </c>
      <c r="M24" s="14">
        <f>IFERROR(IF(OR(J24=0,K24=""),"",IF(E24="Positivo",MAX(K24/J24,0),MAX(J24/K24,0))),"") </f>
        <v/>
      </c>
      <c r="N24" s="5" t="inlineStr">
        <is>
          <t>Días</t>
        </is>
      </c>
      <c r="O24" s="5" t="inlineStr">
        <is>
          <t>Días</t>
        </is>
      </c>
      <c r="P24" s="5" t="n">
        <v>0</v>
      </c>
      <c r="Q24" s="5" t="n">
        <v>0</v>
      </c>
      <c r="R24" s="5" t="inlineStr">
        <is>
          <t>73-2025-12-31</t>
        </is>
      </c>
    </row>
    <row r="25">
      <c r="A25" s="5" t="n">
        <v>74</v>
      </c>
      <c r="B25" s="5" t="inlineStr">
        <is>
          <t>Efectividad en las contrataciones</t>
        </is>
      </c>
      <c r="C25" s="5" t="inlineStr">
        <is>
          <t>GESTIÓN Y DESARROLLO DEL TALENTO HUMANO</t>
        </is>
      </c>
      <c r="D25" s="5" t="inlineStr">
        <is>
          <t>Trimestral</t>
        </is>
      </c>
      <c r="E25" s="5" t="inlineStr">
        <is>
          <t>Positivo</t>
        </is>
      </c>
      <c r="F25" s="107" t="n">
        <v>44742</v>
      </c>
      <c r="G25" s="5" t="n">
        <v>2022</v>
      </c>
      <c r="H25" s="5" t="inlineStr">
        <is>
          <t>Junio</t>
        </is>
      </c>
      <c r="I25" s="6" t="inlineStr">
        <is>
          <t>2022-1</t>
        </is>
      </c>
      <c r="J25" s="5" t="n">
        <v>80</v>
      </c>
      <c r="K25" s="10" t="n">
        <v>88</v>
      </c>
      <c r="L25" s="14">
        <f>IFERROR(IF(OR(J25=0,K25=""),"",IF(E25="Positivo",MIN(MAX(K25/J25,0),1.3),MIN(MAX(J25/K25,0),1.3))),"") </f>
        <v/>
      </c>
      <c r="M25" s="14">
        <f>IFERROR(IF(OR(J25=0,K25=""),"",IF(E25="Positivo",MAX(K25/J25,0),MAX(J25/K25,0))),"") </f>
        <v/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0</v>
      </c>
      <c r="R25" s="5" t="inlineStr">
        <is>
          <t>74-2022-06-30</t>
        </is>
      </c>
    </row>
    <row r="26">
      <c r="A26" s="26" t="n">
        <v>74</v>
      </c>
      <c r="B26" s="5" t="inlineStr">
        <is>
          <t>Efectividad en las contrataciones</t>
        </is>
      </c>
      <c r="C26" s="5" t="inlineStr">
        <is>
          <t>GESTIÓN Y DESARROLLO DEL TALENTO HUMANO</t>
        </is>
      </c>
      <c r="D26" s="5" t="inlineStr">
        <is>
          <t>Trimestral</t>
        </is>
      </c>
      <c r="E26" s="5" t="inlineStr">
        <is>
          <t>Positivo</t>
        </is>
      </c>
      <c r="F26" s="107" t="n">
        <v>44926</v>
      </c>
      <c r="G26" s="5" t="n">
        <v>2022</v>
      </c>
      <c r="H26" s="5" t="inlineStr">
        <is>
          <t>Diciembre</t>
        </is>
      </c>
      <c r="I26" s="6" t="inlineStr">
        <is>
          <t>2022-2</t>
        </is>
      </c>
      <c r="J26" s="5" t="n">
        <v>80</v>
      </c>
      <c r="K26" s="5" t="n">
        <v>82.894736842105</v>
      </c>
      <c r="L26" s="74">
        <f>IFERROR(IF(OR(J26=0,K26=""),"",IF(E26="Positivo",MIN(MAX(K26/J26,0),1.3),MIN(MAX(J26/K26,0),1.3))),"") </f>
        <v/>
      </c>
      <c r="M26" s="14">
        <f>IFERROR(IF(OR(J26=0,K26=""),"",IF(E26="Positivo",MAX(K26/J26,0),MAX(J26/K26,0))),"") </f>
        <v/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 t="inlineStr">
        <is>
          <t>74-2022-12-31</t>
        </is>
      </c>
    </row>
    <row r="27">
      <c r="A27" s="5" t="n">
        <v>74</v>
      </c>
      <c r="B27" s="5" t="inlineStr">
        <is>
          <t>Efectividad en las contrataciones</t>
        </is>
      </c>
      <c r="C27" s="5" t="inlineStr">
        <is>
          <t>GESTIÓN Y DESARROLLO DEL TALENTO HUMANO</t>
        </is>
      </c>
      <c r="D27" s="5" t="inlineStr">
        <is>
          <t>Semestral</t>
        </is>
      </c>
      <c r="E27" s="5" t="inlineStr">
        <is>
          <t>Positivo</t>
        </is>
      </c>
      <c r="F27" s="106" t="n">
        <v>45107</v>
      </c>
      <c r="G27" s="15" t="n">
        <v>2023</v>
      </c>
      <c r="H27" s="6" t="inlineStr">
        <is>
          <t>Junio</t>
        </is>
      </c>
      <c r="I27" s="6" t="inlineStr">
        <is>
          <t>2023-1</t>
        </is>
      </c>
      <c r="J27" s="5" t="n">
        <v>80</v>
      </c>
      <c r="K27" s="5" t="n">
        <v>87.179487179487</v>
      </c>
      <c r="L27" s="74">
        <f>IFERROR(IF(OR(J27=0,K27=""),"",IF(E27="Positivo",MIN(MAX(K27/J27,0),1.3),MIN(MAX(J27/K27,0),1.3))),"") </f>
        <v/>
      </c>
      <c r="M27" s="14">
        <f>IFERROR(IF(OR(J27=0,K27=""),"",IF(E27="Positivo",MAX(K27/J27,0),MAX(J27/K27,0))),"") </f>
        <v/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74-2023-06-30</t>
        </is>
      </c>
    </row>
    <row r="28">
      <c r="A28" s="26" t="n">
        <v>74</v>
      </c>
      <c r="B28" s="5" t="inlineStr">
        <is>
          <t>Efectividad en las contrataciones</t>
        </is>
      </c>
      <c r="C28" s="5" t="inlineStr">
        <is>
          <t>GESTIÓN Y DESARROLLO DEL TALENTO HUMANO</t>
        </is>
      </c>
      <c r="D28" s="5" t="inlineStr">
        <is>
          <t>Semestral</t>
        </is>
      </c>
      <c r="E28" s="5" t="inlineStr">
        <is>
          <t>Positivo</t>
        </is>
      </c>
      <c r="F28" s="107" t="n">
        <v>45291</v>
      </c>
      <c r="G28" s="5" t="n">
        <v>2023</v>
      </c>
      <c r="H28" s="5" t="inlineStr">
        <is>
          <t>Diciembre</t>
        </is>
      </c>
      <c r="I28" s="6" t="inlineStr">
        <is>
          <t>2023-2</t>
        </is>
      </c>
      <c r="J28" s="5" t="n">
        <v>80</v>
      </c>
      <c r="K28" s="5" t="n">
        <v>94.64</v>
      </c>
      <c r="L28" s="74">
        <f>IFERROR(IF(OR(J28=0,K28=""),"",IF(E28="Positivo",MIN(MAX(K28/J28,0),1.3),MIN(MAX(J28/K28,0),1.3))),"") </f>
        <v/>
      </c>
      <c r="M28" s="14">
        <f>IFERROR(IF(OR(J28=0,K28=""),"",IF(E28="Positivo",MAX(K28/J28,0),MAX(J28/K28,0))),"") </f>
        <v/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74-2023-12-31</t>
        </is>
      </c>
    </row>
    <row r="29">
      <c r="A29" s="26" t="n">
        <v>74</v>
      </c>
      <c r="B29" s="5" t="inlineStr">
        <is>
          <t>Efectividad en las contrataciones</t>
        </is>
      </c>
      <c r="C29" s="5" t="inlineStr">
        <is>
          <t>GESTIÓN Y DESARROLLO DEL TALENTO HUMANO</t>
        </is>
      </c>
      <c r="D29" s="5" t="inlineStr">
        <is>
          <t>Semestral</t>
        </is>
      </c>
      <c r="E29" s="5" t="inlineStr">
        <is>
          <t>Positivo</t>
        </is>
      </c>
      <c r="F29" s="107" t="n">
        <v>45473</v>
      </c>
      <c r="G29" s="5" t="n">
        <v>2024</v>
      </c>
      <c r="H29" s="5" t="inlineStr">
        <is>
          <t>Junio</t>
        </is>
      </c>
      <c r="I29" s="6" t="inlineStr">
        <is>
          <t>2024-1</t>
        </is>
      </c>
      <c r="J29" s="5" t="n">
        <v>80</v>
      </c>
      <c r="K29" s="5" t="n">
        <v>91.53</v>
      </c>
      <c r="L29" s="74">
        <f>IFERROR(IF(OR(J29=0,K29=""),"",IF(E29="Positivo",MIN(MAX(K29/J29,0),1.3),MIN(MAX(J29/K29,0),1.3))),"") </f>
        <v/>
      </c>
      <c r="M29" s="14">
        <f>IFERROR(IF(OR(J29=0,K29=""),"",IF(E29="Positivo",MAX(K29/J29,0),MAX(J29/K29,0))),"") </f>
        <v/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74-2024-06-30</t>
        </is>
      </c>
    </row>
    <row r="30">
      <c r="A30" s="26" t="n">
        <v>74</v>
      </c>
      <c r="B30" s="5" t="inlineStr">
        <is>
          <t>Efectividad en las contrataciones</t>
        </is>
      </c>
      <c r="C30" s="5" t="inlineStr">
        <is>
          <t>GESTIÓN Y DESARROLLO DEL TALENTO HUMANO</t>
        </is>
      </c>
      <c r="D30" s="5" t="inlineStr">
        <is>
          <t>Semestral</t>
        </is>
      </c>
      <c r="E30" s="5" t="inlineStr">
        <is>
          <t>Positivo</t>
        </is>
      </c>
      <c r="F30" s="107" t="n">
        <v>45657</v>
      </c>
      <c r="G30" s="5" t="n">
        <v>2024</v>
      </c>
      <c r="H30" s="5" t="inlineStr">
        <is>
          <t>Diciembre</t>
        </is>
      </c>
      <c r="I30" s="6" t="inlineStr">
        <is>
          <t>2024-2</t>
        </is>
      </c>
      <c r="J30" s="5" t="n">
        <v>80</v>
      </c>
      <c r="K30" s="5" t="n">
        <v>95.45</v>
      </c>
      <c r="L30" s="74">
        <f>IFERROR(IF(OR(J30=0,K30=""),"",IF(E30="Positivo",MIN(MAX(K30/J30,0),1.3),MIN(MAX(J30/K30,0),1.3))),"") </f>
        <v/>
      </c>
      <c r="M30" s="14">
        <f>IFERROR(IF(OR(J30=0,K30=""),"",IF(E30="Positivo",MAX(K30/J30,0),MAX(J30/K30,0))),"") </f>
        <v/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74-2024-12-31</t>
        </is>
      </c>
    </row>
    <row r="31">
      <c r="A31" s="5" t="n">
        <v>74</v>
      </c>
      <c r="B31" s="5" t="inlineStr">
        <is>
          <t>Efectividad en las contrataciones</t>
        </is>
      </c>
      <c r="C31" s="5" t="inlineStr">
        <is>
          <t>GESTIÓN Y DESARROLLO DEL TALENTO HUMANO</t>
        </is>
      </c>
      <c r="D31" s="5" t="inlineStr">
        <is>
          <t>Trimestral</t>
        </is>
      </c>
      <c r="E31" s="5" t="inlineStr">
        <is>
          <t>Positivo</t>
        </is>
      </c>
      <c r="F31" s="107" t="n">
        <v>45838</v>
      </c>
      <c r="G31" s="5" t="n">
        <v>2025</v>
      </c>
      <c r="H31" s="5" t="inlineStr">
        <is>
          <t>Junio</t>
        </is>
      </c>
      <c r="I31" s="6" t="inlineStr">
        <is>
          <t>2025-1</t>
        </is>
      </c>
      <c r="J31" s="5" t="n">
        <v>80</v>
      </c>
      <c r="K31" s="5" t="n">
        <v>91.48999999999999</v>
      </c>
      <c r="L31" s="14">
        <f>IFERROR(IF(OR(J31=0,K31=""),"",IF(E31="Positivo",MIN(MAX(K31/J31,0),1.3),MIN(MAX(J31/K31,0),1.3))),"") </f>
        <v/>
      </c>
      <c r="M31" s="14">
        <f>IFERROR(IF(OR(J31=0,K31=""),"",IF(E31="Positivo",MAX(K31/J31,0),MAX(J31/K31,0))),"") </f>
        <v/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74-2025-06-30</t>
        </is>
      </c>
    </row>
    <row r="32">
      <c r="A32" s="26" t="n">
        <v>74</v>
      </c>
      <c r="B32" s="5" t="inlineStr">
        <is>
          <t>Efectividad en las contrataciones</t>
        </is>
      </c>
      <c r="C32" s="5" t="inlineStr">
        <is>
          <t>GESTIÓN Y DESARROLLO DEL TALENTO HUMANO</t>
        </is>
      </c>
      <c r="D32" s="5" t="inlineStr">
        <is>
          <t>Trimestral</t>
        </is>
      </c>
      <c r="E32" s="5" t="inlineStr">
        <is>
          <t>Positivo</t>
        </is>
      </c>
      <c r="F32" s="107" t="n">
        <v>46022</v>
      </c>
      <c r="G32" s="5" t="n">
        <v>2025</v>
      </c>
      <c r="H32" s="5" t="inlineStr">
        <is>
          <t>Diciembre</t>
        </is>
      </c>
      <c r="I32" s="6" t="inlineStr">
        <is>
          <t>2025-2</t>
        </is>
      </c>
      <c r="J32" s="5" t="n">
        <v>80</v>
      </c>
      <c r="K32" s="5" t="n">
        <v>90.31999999999999</v>
      </c>
      <c r="L32" s="74">
        <f>IFERROR(IF(OR(J32=0,K32=""),"",IF(E32="Positivo",MIN(MAX(K32/J32,0),1.3),MIN(MAX(J32/K32,0),1.3))),"") </f>
        <v/>
      </c>
      <c r="M32" s="14">
        <f>IFERROR(IF(OR(J32=0,K32=""),"",IF(E32="Positivo",MAX(K32/J32,0),MAX(J32/K32,0))),"") </f>
        <v/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74-2025-12-31</t>
        </is>
      </c>
    </row>
    <row r="33">
      <c r="A33" s="5" t="n">
        <v>77</v>
      </c>
      <c r="B33" s="5" t="inlineStr">
        <is>
          <t>Disponibilidad de servicios tecnológicos</t>
        </is>
      </c>
      <c r="C33" s="5" t="inlineStr">
        <is>
          <t>GESTIÓN DE LA TECNOLOGÍA E INNOVACIÓN DIGITAL</t>
        </is>
      </c>
      <c r="D33" s="5" t="inlineStr">
        <is>
          <t>Mensual</t>
        </is>
      </c>
      <c r="E33" s="5" t="inlineStr">
        <is>
          <t>Positivo</t>
        </is>
      </c>
      <c r="F33" s="107" t="n">
        <v>44742</v>
      </c>
      <c r="G33" s="5" t="n">
        <v>2022</v>
      </c>
      <c r="H33" s="5" t="inlineStr">
        <is>
          <t>Junio</t>
        </is>
      </c>
      <c r="I33" s="6" t="inlineStr">
        <is>
          <t>2022-1</t>
        </is>
      </c>
      <c r="J33" s="5" t="n">
        <v>97</v>
      </c>
      <c r="K33" s="5" t="n">
        <v>97.68333333333334</v>
      </c>
      <c r="L33" s="14">
        <f>IFERROR(IF(OR(J33=0,K33=""),"",IF(E33="Positivo",MIN(MAX(K33/J33,0),1.3),MIN(MAX(J33/K33,0),1.3))),"") </f>
        <v/>
      </c>
      <c r="M33" s="14">
        <f>IFERROR(IF(OR(J33=0,K33=""),"",IF(E33="Positivo",MAX(K33/J33,0),MAX(J33/K33,0))),"") </f>
        <v/>
      </c>
      <c r="N33" s="5" t="inlineStr">
        <is>
          <t>%</t>
        </is>
      </c>
      <c r="O33" s="5" t="inlineStr">
        <is>
          <t>%</t>
        </is>
      </c>
      <c r="P33" s="5" t="n">
        <v>1</v>
      </c>
      <c r="Q33" s="5" t="n">
        <v>1</v>
      </c>
      <c r="R33" s="5" t="inlineStr">
        <is>
          <t>77-2022-06-30</t>
        </is>
      </c>
    </row>
    <row r="34">
      <c r="A34" s="28" t="n">
        <v>77</v>
      </c>
      <c r="B34" s="5" t="inlineStr">
        <is>
          <t>Disponibilidad de servicios tecnológicos</t>
        </is>
      </c>
      <c r="C34" s="5" t="inlineStr">
        <is>
          <t>GESTIÓN DE LA TECNOLOGÍA E INNOVACIÓN DIGITAL</t>
        </is>
      </c>
      <c r="D34" s="5" t="inlineStr">
        <is>
          <t>Mensual</t>
        </is>
      </c>
      <c r="E34" s="5" t="inlineStr">
        <is>
          <t>Positivo</t>
        </is>
      </c>
      <c r="F34" s="107" t="n">
        <v>44926</v>
      </c>
      <c r="G34" s="5" t="n">
        <v>2022</v>
      </c>
      <c r="H34" s="5" t="inlineStr">
        <is>
          <t>Diciembre</t>
        </is>
      </c>
      <c r="I34" s="6" t="inlineStr">
        <is>
          <t>2022-2</t>
        </is>
      </c>
      <c r="J34" s="5" t="n">
        <v>97</v>
      </c>
      <c r="K34" s="5" t="n">
        <v>98.11666666666667</v>
      </c>
      <c r="L34" s="74">
        <f>IFERROR(IF(OR(J34=0,K34=""),"",IF(E34="Positivo",MIN(MAX(K34/J34,0),1.3),MIN(MAX(J34/K34,0),1.3))),"") </f>
        <v/>
      </c>
      <c r="M34" s="14">
        <f>IFERROR(IF(OR(J34=0,K34=""),"",IF(E34="Positivo",MAX(K34/J34,0),MAX(J34/K34,0))),"") </f>
        <v/>
      </c>
      <c r="N34" s="5" t="inlineStr">
        <is>
          <t>%</t>
        </is>
      </c>
      <c r="O34" s="5" t="inlineStr">
        <is>
          <t>%</t>
        </is>
      </c>
      <c r="P34" s="5" t="n">
        <v>1</v>
      </c>
      <c r="Q34" s="5" t="n">
        <v>1</v>
      </c>
      <c r="R34" s="5" t="inlineStr">
        <is>
          <t>77-2022-12-31</t>
        </is>
      </c>
    </row>
    <row r="35">
      <c r="A35" s="26" t="n">
        <v>77</v>
      </c>
      <c r="B35" s="5" t="inlineStr">
        <is>
          <t>Disponibilidad de servicios tecnológicos</t>
        </is>
      </c>
      <c r="C35" s="5" t="inlineStr">
        <is>
          <t>GESTIÓN DE LA TECNOLOGÍA E INNOVACIÓN DIGITAL</t>
        </is>
      </c>
      <c r="D35" s="5" t="inlineStr">
        <is>
          <t>Mensual</t>
        </is>
      </c>
      <c r="E35" s="5" t="inlineStr">
        <is>
          <t>Positivo</t>
        </is>
      </c>
      <c r="F35" s="107" t="n">
        <v>45107</v>
      </c>
      <c r="G35" s="5" t="n">
        <v>2023</v>
      </c>
      <c r="H35" s="5" t="inlineStr">
        <is>
          <t>Junio</t>
        </is>
      </c>
      <c r="I35" s="6" t="inlineStr">
        <is>
          <t>2023-1</t>
        </is>
      </c>
      <c r="J35" s="5" t="n">
        <v>97</v>
      </c>
      <c r="K35" s="5" t="n">
        <v>97.68333333333334</v>
      </c>
      <c r="L35" s="74">
        <f>IFERROR(IF(OR(J35=0,K35=""),"",IF(E35="Positivo",MIN(MAX(K35/J35,0),1.3),MIN(MAX(J35/K35,0),1.3))),"") </f>
        <v/>
      </c>
      <c r="M35" s="14">
        <f>IFERROR(IF(OR(J35=0,K35=""),"",IF(E35="Positivo",MAX(K35/J35,0),MAX(J35/K35,0))),"") </f>
        <v/>
      </c>
      <c r="N35" s="5" t="inlineStr">
        <is>
          <t>%</t>
        </is>
      </c>
      <c r="O35" s="5" t="inlineStr">
        <is>
          <t>%</t>
        </is>
      </c>
      <c r="P35" s="5" t="n">
        <v>1</v>
      </c>
      <c r="Q35" s="5" t="n">
        <v>1</v>
      </c>
      <c r="R35" s="5" t="inlineStr">
        <is>
          <t>77-2023-06-30</t>
        </is>
      </c>
    </row>
    <row r="36">
      <c r="A36" s="5" t="n">
        <v>77</v>
      </c>
      <c r="B36" s="5" t="inlineStr">
        <is>
          <t>Disponibilidad de servicios tecnológicos</t>
        </is>
      </c>
      <c r="C36" s="5" t="inlineStr">
        <is>
          <t>GESTIÓN DE LA TECNOLOGÍA E INNOVACIÓN DIGITAL</t>
        </is>
      </c>
      <c r="D36" s="5" t="inlineStr">
        <is>
          <t>Mensual</t>
        </is>
      </c>
      <c r="E36" s="5" t="inlineStr">
        <is>
          <t>Positivo</t>
        </is>
      </c>
      <c r="F36" s="107" t="n">
        <v>45291</v>
      </c>
      <c r="G36" s="5" t="n">
        <v>2023</v>
      </c>
      <c r="H36" s="5" t="inlineStr">
        <is>
          <t>Diciembre</t>
        </is>
      </c>
      <c r="I36" s="6" t="inlineStr">
        <is>
          <t>2023-2</t>
        </is>
      </c>
      <c r="J36" s="5" t="n">
        <v>97</v>
      </c>
      <c r="K36" s="5" t="n">
        <v>97.58333333333333</v>
      </c>
      <c r="L36" s="14">
        <f>IFERROR(IF(OR(J36=0,K36=""),"",IF(E36="Positivo",MIN(MAX(K36/J36,0),1.3),MIN(MAX(J36/K36,0),1.3))),"") </f>
        <v/>
      </c>
      <c r="M36" s="14">
        <f>IFERROR(IF(OR(J36=0,K36=""),"",IF(E36="Positivo",MAX(K36/J36,0),MAX(J36/K36,0))),"") </f>
        <v/>
      </c>
      <c r="N36" s="5" t="inlineStr">
        <is>
          <t>%</t>
        </is>
      </c>
      <c r="O36" s="5" t="inlineStr">
        <is>
          <t>%</t>
        </is>
      </c>
      <c r="P36" s="5" t="n">
        <v>1</v>
      </c>
      <c r="Q36" s="5" t="n">
        <v>1</v>
      </c>
      <c r="R36" s="5" t="inlineStr">
        <is>
          <t>77-2023-12-31</t>
        </is>
      </c>
    </row>
    <row r="37">
      <c r="A37" s="5" t="n">
        <v>77</v>
      </c>
      <c r="B37" s="5" t="inlineStr">
        <is>
          <t>Disponibilidad de servicios tecnológicos</t>
        </is>
      </c>
      <c r="C37" s="5" t="inlineStr">
        <is>
          <t>GESTIÓN DE LA TECNOLOGÍA E INNOVACIÓN DIGITAL</t>
        </is>
      </c>
      <c r="D37" s="5" t="inlineStr">
        <is>
          <t>Mensual</t>
        </is>
      </c>
      <c r="E37" s="5" t="inlineStr">
        <is>
          <t>Positivo</t>
        </is>
      </c>
      <c r="F37" s="107" t="n">
        <v>45473</v>
      </c>
      <c r="G37" s="5" t="n">
        <v>2024</v>
      </c>
      <c r="H37" s="5" t="inlineStr">
        <is>
          <t>Junio</t>
        </is>
      </c>
      <c r="I37" s="6" t="inlineStr">
        <is>
          <t>2024-1</t>
        </is>
      </c>
      <c r="J37" s="5" t="n">
        <v>97</v>
      </c>
      <c r="K37" s="5" t="n">
        <v>98.33166666666666</v>
      </c>
      <c r="L37" s="14">
        <f>IFERROR(IF(OR(J37=0,K37=""),"",IF(E37="Positivo",MIN(MAX(K37/J37,0),1.3),MIN(MAX(J37/K37,0),1.3))),"") </f>
        <v/>
      </c>
      <c r="M37" s="14">
        <f>IFERROR(IF(OR(J37=0,K37=""),"",IF(E37="Positivo",MAX(K37/J37,0),MAX(J37/K37,0))),"") </f>
        <v/>
      </c>
      <c r="N37" s="5" t="inlineStr">
        <is>
          <t>%</t>
        </is>
      </c>
      <c r="O37" s="5" t="inlineStr">
        <is>
          <t>%</t>
        </is>
      </c>
      <c r="P37" s="5" t="n">
        <v>1</v>
      </c>
      <c r="Q37" s="5" t="n">
        <v>1</v>
      </c>
      <c r="R37" s="5" t="inlineStr">
        <is>
          <t>77-2024-06-30</t>
        </is>
      </c>
    </row>
    <row r="38">
      <c r="A38" s="26" t="n">
        <v>77</v>
      </c>
      <c r="B38" s="5" t="inlineStr">
        <is>
          <t>Disponibilidad de servicios tecnológicos</t>
        </is>
      </c>
      <c r="C38" s="5" t="inlineStr">
        <is>
          <t>GESTIÓN DE LA TECNOLOGÍA E INNOVACIÓN DIGITAL</t>
        </is>
      </c>
      <c r="D38" s="5" t="inlineStr">
        <is>
          <t>Mensual</t>
        </is>
      </c>
      <c r="E38" s="5" t="inlineStr">
        <is>
          <t>Positivo</t>
        </is>
      </c>
      <c r="F38" s="107" t="n">
        <v>45657</v>
      </c>
      <c r="G38" s="5" t="n">
        <v>2024</v>
      </c>
      <c r="H38" s="5" t="inlineStr">
        <is>
          <t>Diciembre</t>
        </is>
      </c>
      <c r="I38" s="6" t="inlineStr">
        <is>
          <t>2024-2</t>
        </is>
      </c>
      <c r="J38" s="5" t="n">
        <v>97</v>
      </c>
      <c r="K38" s="5" t="n">
        <v>96.53333333333335</v>
      </c>
      <c r="L38" s="74">
        <f>IFERROR(IF(OR(J38=0,K38=""),"",IF(E38="Positivo",MIN(MAX(K38/J38,0),1.3),MIN(MAX(J38/K38,0),1.3))),"") </f>
        <v/>
      </c>
      <c r="M38" s="14">
        <f>IFERROR(IF(OR(J38=0,K38=""),"",IF(E38="Positivo",MAX(K38/J38,0),MAX(J38/K38,0))),"") </f>
        <v/>
      </c>
      <c r="N38" s="5" t="inlineStr">
        <is>
          <t>%</t>
        </is>
      </c>
      <c r="O38" s="5" t="inlineStr">
        <is>
          <t>%</t>
        </is>
      </c>
      <c r="P38" s="5" t="n">
        <v>1</v>
      </c>
      <c r="Q38" s="5" t="n">
        <v>1</v>
      </c>
      <c r="R38" s="5" t="inlineStr">
        <is>
          <t>77-2024-12-31</t>
        </is>
      </c>
    </row>
    <row r="39">
      <c r="A39" s="5" t="n">
        <v>77</v>
      </c>
      <c r="B39" s="5" t="inlineStr">
        <is>
          <t>Disponibilidad de servicios tecnológicos</t>
        </is>
      </c>
      <c r="C39" s="5" t="inlineStr">
        <is>
          <t>GESTIÓN DE LA TECNOLOGÍA E INNOVACIÓN DIGITAL</t>
        </is>
      </c>
      <c r="D39" s="5" t="inlineStr">
        <is>
          <t>Mensual</t>
        </is>
      </c>
      <c r="E39" s="5" t="inlineStr">
        <is>
          <t>Positivo</t>
        </is>
      </c>
      <c r="F39" s="107" t="n">
        <v>45838</v>
      </c>
      <c r="G39" s="5" t="n">
        <v>2025</v>
      </c>
      <c r="H39" s="5" t="inlineStr">
        <is>
          <t>Junio</t>
        </is>
      </c>
      <c r="I39" s="6" t="inlineStr">
        <is>
          <t>2025-1</t>
        </is>
      </c>
      <c r="J39" s="5" t="n">
        <v>97</v>
      </c>
      <c r="K39" s="5" t="n">
        <v>94.64999999999999</v>
      </c>
      <c r="L39" s="14">
        <f>IFERROR(IF(OR(J39=0,K39=""),"",IF(E39="Positivo",MIN(MAX(K39/J39,0),1.3),MIN(MAX(J39/K39,0),1.3))),"") </f>
        <v/>
      </c>
      <c r="M39" s="14">
        <f>IFERROR(IF(OR(J39=0,K39=""),"",IF(E39="Positivo",MAX(K39/J39,0),MAX(J39/K39,0))),"") </f>
        <v/>
      </c>
      <c r="N39" s="5" t="inlineStr">
        <is>
          <t>%</t>
        </is>
      </c>
      <c r="O39" s="5" t="inlineStr">
        <is>
          <t>%</t>
        </is>
      </c>
      <c r="P39" s="5" t="n">
        <v>1</v>
      </c>
      <c r="Q39" s="5" t="n">
        <v>1</v>
      </c>
      <c r="R39" s="5" t="inlineStr">
        <is>
          <t>77-2025-06-30</t>
        </is>
      </c>
    </row>
    <row r="40">
      <c r="A40" s="26" t="n">
        <v>77</v>
      </c>
      <c r="B40" s="5" t="inlineStr">
        <is>
          <t>Disponibilidad de servicios tecnológicos</t>
        </is>
      </c>
      <c r="C40" s="5" t="inlineStr">
        <is>
          <t>GESTIÓN DE LA TECNOLOGÍA E INNOVACIÓN DIGITAL</t>
        </is>
      </c>
      <c r="D40" s="5" t="inlineStr">
        <is>
          <t>Mensual</t>
        </is>
      </c>
      <c r="E40" s="5" t="inlineStr">
        <is>
          <t>Positivo</t>
        </is>
      </c>
      <c r="F40" s="107" t="n">
        <v>46022</v>
      </c>
      <c r="G40" s="5" t="n">
        <v>2025</v>
      </c>
      <c r="H40" s="5" t="inlineStr">
        <is>
          <t>Diciembre</t>
        </is>
      </c>
      <c r="I40" s="6" t="inlineStr">
        <is>
          <t>2025-2</t>
        </is>
      </c>
      <c r="J40" s="5" t="n">
        <v>97</v>
      </c>
      <c r="K40" s="5" t="n">
        <v>96.78333333333335</v>
      </c>
      <c r="L40" s="74">
        <f>IFERROR(IF(OR(J40=0,K40=""),"",IF(E40="Positivo",MIN(MAX(K40/J40,0),1.3),MIN(MAX(J40/K40,0),1.3))),"") </f>
        <v/>
      </c>
      <c r="M40" s="14">
        <f>IFERROR(IF(OR(J40=0,K40=""),"",IF(E40="Positivo",MAX(K40/J40,0),MAX(J40/K40,0))),"") </f>
        <v/>
      </c>
      <c r="N40" s="5" t="inlineStr">
        <is>
          <t>%</t>
        </is>
      </c>
      <c r="O40" s="5" t="inlineStr">
        <is>
          <t>%</t>
        </is>
      </c>
      <c r="P40" s="5" t="n">
        <v>0</v>
      </c>
      <c r="Q40" s="5" t="n">
        <v>1</v>
      </c>
      <c r="R40" s="5" t="inlineStr">
        <is>
          <t>77-2025-12-31</t>
        </is>
      </c>
    </row>
    <row r="41">
      <c r="A41" s="5" t="n">
        <v>78</v>
      </c>
      <c r="B41" s="5" t="inlineStr">
        <is>
          <t>Cumplimiento programa de auditoría</t>
        </is>
      </c>
      <c r="C41" s="5" t="inlineStr">
        <is>
          <t>AUDITORÍA INTERNA</t>
        </is>
      </c>
      <c r="D41" s="5" t="inlineStr">
        <is>
          <t>Bimestral</t>
        </is>
      </c>
      <c r="E41" s="5" t="inlineStr">
        <is>
          <t>Positivo</t>
        </is>
      </c>
      <c r="F41" s="107" t="n">
        <v>45107</v>
      </c>
      <c r="G41" s="5" t="n">
        <v>2023</v>
      </c>
      <c r="H41" s="5" t="inlineStr">
        <is>
          <t>Junio</t>
        </is>
      </c>
      <c r="I41" s="6" t="inlineStr">
        <is>
          <t>2023-1</t>
        </is>
      </c>
      <c r="J41" s="5" t="n">
        <v>100</v>
      </c>
      <c r="K41" s="5" t="n">
        <v>100</v>
      </c>
      <c r="L41" s="14">
        <f>IFERROR(IF(OR(J41=0,K41=""),"",IF(E41="Positivo",MIN(MAX(K41/J41,0),1.3),MIN(MAX(J41/K41,0),1.3))),"") </f>
        <v/>
      </c>
      <c r="M41" s="14">
        <f>IFERROR(IF(OR(J41=0,K41=""),"",IF(E41="Positivo",MAX(K41/J41,0),MAX(J41/K41,0))),"") </f>
        <v/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0</v>
      </c>
      <c r="R41" s="5" t="inlineStr">
        <is>
          <t>78-2023-06-30</t>
        </is>
      </c>
    </row>
    <row r="42">
      <c r="A42" s="26" t="n">
        <v>78</v>
      </c>
      <c r="B42" s="5" t="inlineStr">
        <is>
          <t>Cumplimiento programa de auditoría</t>
        </is>
      </c>
      <c r="C42" s="5" t="inlineStr">
        <is>
          <t>AUDITORÍA INTERNA</t>
        </is>
      </c>
      <c r="D42" s="5" t="inlineStr">
        <is>
          <t>Bimestral</t>
        </is>
      </c>
      <c r="E42" s="5" t="inlineStr">
        <is>
          <t>Positivo</t>
        </is>
      </c>
      <c r="F42" s="107" t="n">
        <v>45291</v>
      </c>
      <c r="G42" s="5" t="n">
        <v>2023</v>
      </c>
      <c r="H42" s="5" t="inlineStr">
        <is>
          <t>Diciembre</t>
        </is>
      </c>
      <c r="I42" s="6" t="inlineStr">
        <is>
          <t>2023-2</t>
        </is>
      </c>
      <c r="J42" s="5" t="n">
        <v>100</v>
      </c>
      <c r="K42" s="5" t="n">
        <v>122</v>
      </c>
      <c r="L42" s="74">
        <f>IFERROR(IF(OR(J42=0,K42=""),"",IF(E42="Positivo",MIN(MAX(K42/J42,0),1.3),MIN(MAX(J42/K42,0),1.3))),"") </f>
        <v/>
      </c>
      <c r="M42" s="14">
        <f>IFERROR(IF(OR(J42=0,K42=""),"",IF(E42="Positivo",MAX(K42/J42,0),MAX(J42/K42,0))),"") </f>
        <v/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 t="inlineStr">
        <is>
          <t>78-2023-12-31</t>
        </is>
      </c>
    </row>
    <row r="43">
      <c r="A43" s="5" t="n">
        <v>78</v>
      </c>
      <c r="B43" s="5" t="inlineStr">
        <is>
          <t>Cumplimiento programa de auditoría</t>
        </is>
      </c>
      <c r="C43" s="5" t="inlineStr">
        <is>
          <t>AUDITORÍA INTERNA</t>
        </is>
      </c>
      <c r="D43" s="5" t="inlineStr">
        <is>
          <t>Bimestral</t>
        </is>
      </c>
      <c r="E43" s="5" t="inlineStr">
        <is>
          <t>Positivo</t>
        </is>
      </c>
      <c r="F43" s="107" t="n">
        <v>45473</v>
      </c>
      <c r="G43" s="5" t="n">
        <v>2024</v>
      </c>
      <c r="H43" s="5" t="inlineStr">
        <is>
          <t>Junio</t>
        </is>
      </c>
      <c r="I43" s="6" t="inlineStr">
        <is>
          <t>2024-1</t>
        </is>
      </c>
      <c r="J43" s="5" t="n">
        <v>100</v>
      </c>
      <c r="K43" s="5" t="n">
        <v>80</v>
      </c>
      <c r="L43" s="14">
        <f>IFERROR(IF(OR(J43=0,K43=""),"",IF(E43="Positivo",MIN(MAX(K43/J43,0),1.3),MIN(MAX(J43/K43,0),1.3))),"") </f>
        <v/>
      </c>
      <c r="M43" s="14">
        <f>IFERROR(IF(OR(J43=0,K43=""),"",IF(E43="Positivo",MAX(K43/J43,0),MAX(J43/K43,0))),"") </f>
        <v/>
      </c>
      <c r="N43" s="5" t="n"/>
      <c r="O43" s="5" t="n"/>
      <c r="P43" s="5" t="n">
        <v>0</v>
      </c>
      <c r="Q43" s="5" t="n">
        <v>0</v>
      </c>
      <c r="R43" s="5" t="inlineStr">
        <is>
          <t>78-2024-06-30</t>
        </is>
      </c>
    </row>
    <row r="44">
      <c r="A44" s="26" t="n">
        <v>78</v>
      </c>
      <c r="B44" s="5" t="inlineStr">
        <is>
          <t>Cumplimiento programa de auditoría</t>
        </is>
      </c>
      <c r="C44" s="5" t="inlineStr">
        <is>
          <t>AUDITORÍA INTERNA</t>
        </is>
      </c>
      <c r="D44" s="5" t="inlineStr">
        <is>
          <t>Bimestral</t>
        </is>
      </c>
      <c r="E44" s="5" t="inlineStr">
        <is>
          <t>Positivo</t>
        </is>
      </c>
      <c r="F44" s="107" t="n">
        <v>45657</v>
      </c>
      <c r="G44" s="5" t="n">
        <v>2024</v>
      </c>
      <c r="H44" s="5" t="inlineStr">
        <is>
          <t>Diciembre</t>
        </is>
      </c>
      <c r="I44" s="6" t="inlineStr">
        <is>
          <t>2024-2</t>
        </is>
      </c>
      <c r="J44" s="5" t="n">
        <v>100</v>
      </c>
      <c r="K44" s="5" t="n">
        <v>112.5</v>
      </c>
      <c r="L44" s="74">
        <f>IFERROR(IF(OR(J44=0,K44=""),"",IF(E44="Positivo",MIN(MAX(K44/J44,0),1.3),MIN(MAX(J44/K44,0),1.3))),"") </f>
        <v/>
      </c>
      <c r="M44" s="14">
        <f>IFERROR(IF(OR(J44=0,K44=""),"",IF(E44="Positivo",MAX(K44/J44,0),MAX(J44/K44,0))),"") </f>
        <v/>
      </c>
      <c r="N44" s="5" t="n"/>
      <c r="O44" s="5" t="n"/>
      <c r="P44" s="5" t="n">
        <v>0</v>
      </c>
      <c r="Q44" s="5" t="n">
        <v>0</v>
      </c>
      <c r="R44" s="5" t="inlineStr">
        <is>
          <t>78-2024-12-31</t>
        </is>
      </c>
    </row>
    <row r="45">
      <c r="A45" s="5" t="n">
        <v>79</v>
      </c>
      <c r="B45" s="5" t="inlineStr">
        <is>
          <t>Cierre Eficaz De Oportunidades De Mejora De Auditoria Interna</t>
        </is>
      </c>
      <c r="C45" s="5" t="inlineStr">
        <is>
          <t>AUDITORÍA INTERNA</t>
        </is>
      </c>
      <c r="D45" s="5" t="inlineStr">
        <is>
          <t>Bimestral</t>
        </is>
      </c>
      <c r="E45" s="5" t="inlineStr">
        <is>
          <t>Positivo</t>
        </is>
      </c>
      <c r="F45" s="107" t="n">
        <v>45107</v>
      </c>
      <c r="G45" s="5" t="n">
        <v>2023</v>
      </c>
      <c r="H45" s="5" t="inlineStr">
        <is>
          <t>Junio</t>
        </is>
      </c>
      <c r="I45" s="6" t="inlineStr">
        <is>
          <t>2023-1</t>
        </is>
      </c>
      <c r="J45" s="5" t="n">
        <v>85</v>
      </c>
      <c r="K45" s="5" t="n">
        <v>100</v>
      </c>
      <c r="L45" s="14">
        <f>IFERROR(IF(OR(J45=0,K45=""),"",IF(E45="Positivo",MIN(MAX(K45/J45,0),1.3),MIN(MAX(J45/K45,0),1.3))),"") </f>
        <v/>
      </c>
      <c r="M45" s="14">
        <f>IFERROR(IF(OR(J45=0,K45=""),"",IF(E45="Positivo",MAX(K45/J45,0),MAX(J45/K45,0))),"") </f>
        <v/>
      </c>
      <c r="N45" s="5" t="inlineStr">
        <is>
          <t>%</t>
        </is>
      </c>
      <c r="O45" s="5" t="inlineStr">
        <is>
          <t>%</t>
        </is>
      </c>
      <c r="P45" s="5" t="n">
        <v>0</v>
      </c>
      <c r="Q45" s="5" t="n">
        <v>0</v>
      </c>
      <c r="R45" s="5" t="inlineStr">
        <is>
          <t>79-2023-06-30</t>
        </is>
      </c>
    </row>
    <row r="46">
      <c r="A46" s="26" t="n">
        <v>79</v>
      </c>
      <c r="B46" s="5" t="inlineStr">
        <is>
          <t>Cierre Eficaz De Oportunidades De Mejora De Auditoria Interna</t>
        </is>
      </c>
      <c r="C46" s="5" t="inlineStr">
        <is>
          <t>AUDITORÍA INTERNA</t>
        </is>
      </c>
      <c r="D46" s="5" t="inlineStr">
        <is>
          <t>Bimestral</t>
        </is>
      </c>
      <c r="E46" s="5" t="inlineStr">
        <is>
          <t>Positivo</t>
        </is>
      </c>
      <c r="F46" s="107" t="n">
        <v>45169</v>
      </c>
      <c r="G46" s="5" t="n">
        <v>2023</v>
      </c>
      <c r="H46" s="5" t="inlineStr">
        <is>
          <t>Agosto</t>
        </is>
      </c>
      <c r="I46" s="6" t="inlineStr">
        <is>
          <t>2023-2</t>
        </is>
      </c>
      <c r="J46" s="5" t="n">
        <v>85</v>
      </c>
      <c r="K46" s="5" t="n">
        <v>100</v>
      </c>
      <c r="L46" s="74">
        <f>IFERROR(IF(OR(J46=0,K46=""),"",IF(E46="Positivo",MIN(MAX(K46/J46,0),1.3),MIN(MAX(J46/K46,0),1.3))),"") </f>
        <v/>
      </c>
      <c r="M46" s="14">
        <f>IFERROR(IF(OR(J46=0,K46=""),"",IF(E46="Positivo",MAX(K46/J46,0),MAX(J46/K46,0))),"") </f>
        <v/>
      </c>
      <c r="N46" s="5" t="inlineStr">
        <is>
          <t>%</t>
        </is>
      </c>
      <c r="O46" s="5" t="inlineStr">
        <is>
          <t>%</t>
        </is>
      </c>
      <c r="P46" s="5" t="n">
        <v>0</v>
      </c>
      <c r="Q46" s="5" t="n">
        <v>0</v>
      </c>
      <c r="R46" s="5" t="inlineStr">
        <is>
          <t>79-2023-08-31</t>
        </is>
      </c>
    </row>
    <row r="47">
      <c r="A47" s="5" t="n">
        <v>79</v>
      </c>
      <c r="B47" s="5" t="inlineStr">
        <is>
          <t>Cierre Eficaz De Oportunidades De Mejora De Auditoria Interna</t>
        </is>
      </c>
      <c r="C47" s="5" t="inlineStr">
        <is>
          <t>AUDITORÍA INTERNA</t>
        </is>
      </c>
      <c r="D47" s="5" t="inlineStr">
        <is>
          <t>Bimestral</t>
        </is>
      </c>
      <c r="E47" s="5" t="inlineStr">
        <is>
          <t>Positivo</t>
        </is>
      </c>
      <c r="F47" s="107" t="n">
        <v>45230</v>
      </c>
      <c r="G47" s="5" t="n">
        <v>2023</v>
      </c>
      <c r="H47" s="5" t="inlineStr">
        <is>
          <t>Octubre</t>
        </is>
      </c>
      <c r="I47" s="6" t="inlineStr">
        <is>
          <t>2023-2</t>
        </is>
      </c>
      <c r="J47" s="5" t="n">
        <v>85</v>
      </c>
      <c r="K47" s="5" t="n">
        <v>100</v>
      </c>
      <c r="L47" s="14">
        <f>IFERROR(IF(OR(J47=0,K47=""),"",IF(E47="Positivo",MIN(MAX(K47/J47,0),1.3),MIN(MAX(J47/K47,0),1.3))),"") </f>
        <v/>
      </c>
      <c r="M47" s="14">
        <f>IFERROR(IF(OR(J47=0,K47=""),"",IF(E47="Positivo",MAX(K47/J47,0),MAX(J47/K47,0))),"") </f>
        <v/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79-2023-10-31</t>
        </is>
      </c>
    </row>
    <row r="48">
      <c r="A48" s="26" t="n">
        <v>79</v>
      </c>
      <c r="B48" s="5" t="inlineStr">
        <is>
          <t>Cierre Eficaz De Oportunidades De Mejora De Auditoria Interna</t>
        </is>
      </c>
      <c r="C48" s="5" t="inlineStr">
        <is>
          <t>AUDITORÍA INTERNA</t>
        </is>
      </c>
      <c r="D48" s="5" t="inlineStr">
        <is>
          <t>Bimestral</t>
        </is>
      </c>
      <c r="E48" s="5" t="inlineStr">
        <is>
          <t>Positivo</t>
        </is>
      </c>
      <c r="F48" s="107" t="n">
        <v>45291</v>
      </c>
      <c r="G48" s="5" t="n">
        <v>2023</v>
      </c>
      <c r="H48" s="5" t="inlineStr">
        <is>
          <t>Diciembre</t>
        </is>
      </c>
      <c r="I48" s="6" t="inlineStr">
        <is>
          <t>2023-2</t>
        </is>
      </c>
      <c r="J48" s="5" t="n">
        <v>85</v>
      </c>
      <c r="K48" s="5" t="n">
        <v>95.45</v>
      </c>
      <c r="L48" s="74">
        <f>IFERROR(IF(OR(J48=0,K48=""),"",IF(E48="Positivo",MIN(MAX(K48/J48,0),1.3),MIN(MAX(J48/K48,0),1.3))),"") </f>
        <v/>
      </c>
      <c r="M48" s="14">
        <f>IFERROR(IF(OR(J48=0,K48=""),"",IF(E48="Positivo",MAX(K48/J48,0),MAX(J48/K48,0))),"") </f>
        <v/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79-2023-12-31</t>
        </is>
      </c>
    </row>
    <row r="49">
      <c r="A49" s="5" t="n">
        <v>84</v>
      </c>
      <c r="B49" s="5" t="inlineStr">
        <is>
          <t>Funcionamiento del COPASST</t>
        </is>
      </c>
      <c r="C49" s="5" t="inlineStr">
        <is>
          <t>GESTIÓN DE SEGURIDAD Y SALUD EN EL TRABAJO</t>
        </is>
      </c>
      <c r="D49" s="5" t="inlineStr">
        <is>
          <t>Anual</t>
        </is>
      </c>
      <c r="E49" s="5" t="inlineStr">
        <is>
          <t>Positivo</t>
        </is>
      </c>
      <c r="F49" s="107" t="n">
        <v>44926</v>
      </c>
      <c r="G49" s="5" t="n">
        <v>2022</v>
      </c>
      <c r="H49" s="5" t="inlineStr">
        <is>
          <t>Diciembre</t>
        </is>
      </c>
      <c r="I49" s="6" t="inlineStr">
        <is>
          <t>2022-2</t>
        </is>
      </c>
      <c r="J49" s="5" t="n">
        <v>100</v>
      </c>
      <c r="K49" s="5" t="n">
        <v>100</v>
      </c>
      <c r="L49" s="74">
        <f>IFERROR(IF(OR(J49=0,K49=""),"",IF(E49="Positivo",MIN(MAX(K49/J49,0),1.3),MIN(MAX(J49/K49,0),1.3))),"") </f>
        <v/>
      </c>
      <c r="M49" s="14">
        <f>IFERROR(IF(OR(J49=0,K49=""),"",IF(E49="Positivo",MAX(K49/J49,0),MAX(J49/K49,0))),"") </f>
        <v/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84-2022-12-31</t>
        </is>
      </c>
    </row>
    <row r="50">
      <c r="A50" s="28" t="n">
        <v>84</v>
      </c>
      <c r="B50" s="5" t="inlineStr">
        <is>
          <t>Funcionamiento del COPASST</t>
        </is>
      </c>
      <c r="C50" s="5" t="inlineStr">
        <is>
          <t>GESTIÓN DE SEGURIDAD Y SALUD EN EL TRABAJO</t>
        </is>
      </c>
      <c r="D50" s="5" t="inlineStr">
        <is>
          <t>Anual</t>
        </is>
      </c>
      <c r="E50" s="5" t="inlineStr">
        <is>
          <t>Positivo</t>
        </is>
      </c>
      <c r="F50" s="107" t="n">
        <v>45291</v>
      </c>
      <c r="G50" s="5" t="n">
        <v>2023</v>
      </c>
      <c r="H50" s="5" t="inlineStr">
        <is>
          <t>Diciembre</t>
        </is>
      </c>
      <c r="I50" s="6" t="inlineStr">
        <is>
          <t>2023-2</t>
        </is>
      </c>
      <c r="J50" s="5" t="n">
        <v>100</v>
      </c>
      <c r="K50" s="5" t="n">
        <v>100</v>
      </c>
      <c r="L50" s="74">
        <f>IFERROR(IF(OR(J50=0,K50=""),"",IF(E50="Positivo",MIN(MAX(K50/J50,0),1.3),MIN(MAX(J50/K50,0),1.3))),"") </f>
        <v/>
      </c>
      <c r="M50" s="14">
        <f>IFERROR(IF(OR(J50=0,K50=""),"",IF(E50="Positivo",MAX(K50/J50,0),MAX(J50/K50,0))),"") </f>
        <v/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84-2023-12-31</t>
        </is>
      </c>
    </row>
    <row r="51">
      <c r="A51" s="26" t="n">
        <v>84</v>
      </c>
      <c r="B51" s="5" t="inlineStr">
        <is>
          <t>Funcionamiento del COPASST</t>
        </is>
      </c>
      <c r="C51" s="5" t="inlineStr">
        <is>
          <t>GESTIÓN DE SEGURIDAD Y SALUD EN EL TRABAJO</t>
        </is>
      </c>
      <c r="D51" s="5" t="inlineStr">
        <is>
          <t>Anual</t>
        </is>
      </c>
      <c r="E51" s="5" t="inlineStr">
        <is>
          <t>Positivo</t>
        </is>
      </c>
      <c r="F51" s="107" t="n">
        <v>45657</v>
      </c>
      <c r="G51" s="5" t="n">
        <v>2024</v>
      </c>
      <c r="H51" s="5" t="inlineStr">
        <is>
          <t>Diciembre</t>
        </is>
      </c>
      <c r="I51" s="6" t="inlineStr">
        <is>
          <t>2024-2</t>
        </is>
      </c>
      <c r="J51" s="5" t="n">
        <v>100</v>
      </c>
      <c r="K51" s="5" t="n">
        <v>100</v>
      </c>
      <c r="L51" s="74">
        <f>IFERROR(IF(OR(J51=0,K51=""),"",IF(E51="Positivo",MIN(MAX(K51/J51,0),1.3),MIN(MAX(J51/K51,0),1.3))),"") </f>
        <v/>
      </c>
      <c r="M51" s="14">
        <f>IFERROR(IF(OR(J51=0,K51=""),"",IF(E51="Positivo",MAX(K51/J51,0),MAX(J51/K51,0))),"") </f>
        <v/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84-2024-12-31</t>
        </is>
      </c>
    </row>
    <row r="52">
      <c r="A52" s="5" t="n">
        <v>84</v>
      </c>
      <c r="B52" s="5" t="inlineStr">
        <is>
          <t>Funcionamiento del COPASST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107" t="n">
        <v>46022</v>
      </c>
      <c r="G52" s="5" t="n">
        <v>2025</v>
      </c>
      <c r="H52" s="5" t="inlineStr">
        <is>
          <t>Diciembre</t>
        </is>
      </c>
      <c r="I52" s="6" t="inlineStr">
        <is>
          <t>2025-2</t>
        </is>
      </c>
      <c r="J52" s="5" t="n">
        <v>100</v>
      </c>
      <c r="K52" s="5" t="n">
        <v>100</v>
      </c>
      <c r="L52" s="74">
        <f>IFERROR(IF(OR(J52=0,K52=""),"",IF(E52="Positivo",MIN(MAX(K52/J52,0),1.3),MIN(MAX(J52/K52,0),1.3))),"") </f>
        <v/>
      </c>
      <c r="M52" s="14">
        <f>IFERROR(IF(OR(J52=0,K52=""),"",IF(E52="Positivo",MAX(K52/J52,0),MAX(J52/K52,0))),"") </f>
        <v/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84-2025-12-31</t>
        </is>
      </c>
    </row>
    <row r="53">
      <c r="A53" s="5" t="n">
        <v>85</v>
      </c>
      <c r="B53" s="5" t="inlineStr">
        <is>
          <t>Plan de Emergencias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107" t="n">
        <v>44926</v>
      </c>
      <c r="G53" s="5" t="n">
        <v>2022</v>
      </c>
      <c r="H53" s="5" t="inlineStr">
        <is>
          <t>Diciembre</t>
        </is>
      </c>
      <c r="I53" s="6" t="inlineStr">
        <is>
          <t>2022-2</t>
        </is>
      </c>
      <c r="J53" s="5" t="n">
        <v>100</v>
      </c>
      <c r="K53" s="5" t="n">
        <v>100</v>
      </c>
      <c r="L53" s="74">
        <f>IFERROR(IF(OR(J53=0,K53=""),"",IF(E53="Positivo",MIN(MAX(K53/J53,0),1.3),MIN(MAX(J53/K53,0),1.3))),"") </f>
        <v/>
      </c>
      <c r="M53" s="14">
        <f>IFERROR(IF(OR(J53=0,K53=""),"",IF(E53="Positivo",MAX(K53/J53,0),MAX(J53/K53,0))),"") </f>
        <v/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85-2022-12-31</t>
        </is>
      </c>
    </row>
    <row r="54">
      <c r="A54" s="5" t="n">
        <v>85</v>
      </c>
      <c r="B54" s="20" t="inlineStr">
        <is>
          <t>Plan de Emergencias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107" t="n">
        <v>45291</v>
      </c>
      <c r="G54" s="15" t="n">
        <v>2023</v>
      </c>
      <c r="H54" s="6" t="inlineStr">
        <is>
          <t>Diciembre</t>
        </is>
      </c>
      <c r="I54" s="6" t="inlineStr">
        <is>
          <t>2023-2</t>
        </is>
      </c>
      <c r="J54" s="5" t="n">
        <v>100</v>
      </c>
      <c r="K54" s="5" t="n">
        <v>100</v>
      </c>
      <c r="L54" s="14">
        <f>IFERROR(IF(OR(J54=0,K54=""),"",IF(E54="Positivo",MIN(MAX(K54/J54,0),1.3),MIN(MAX(J54/K54,0),1.3))),"") </f>
        <v/>
      </c>
      <c r="M54" s="14">
        <f>IFERROR(IF(OR(J54=0,K54=""),"",IF(E54="Positivo",MAX(K54/J54,0),MAX(J54/K54,0))),"") </f>
        <v/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85-2023-12-31</t>
        </is>
      </c>
    </row>
    <row r="55">
      <c r="A55" s="26" t="n">
        <v>85</v>
      </c>
      <c r="B55" s="5" t="inlineStr">
        <is>
          <t>Plan de Emergencias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107" t="n">
        <v>45657</v>
      </c>
      <c r="G55" s="5" t="n">
        <v>2024</v>
      </c>
      <c r="H55" s="5" t="inlineStr">
        <is>
          <t>Diciembre</t>
        </is>
      </c>
      <c r="I55" s="6" t="inlineStr">
        <is>
          <t>2024-2</t>
        </is>
      </c>
      <c r="J55" s="5" t="n">
        <v>100</v>
      </c>
      <c r="K55" s="5" t="n">
        <v>100</v>
      </c>
      <c r="L55" s="74">
        <f>IFERROR(IF(OR(J55=0,K55=""),"",IF(E55="Positivo",MIN(MAX(K55/J55,0),1.3),MIN(MAX(J55/K55,0),1.3))),"") </f>
        <v/>
      </c>
      <c r="M55" s="14">
        <f>IFERROR(IF(OR(J55=0,K55=""),"",IF(E55="Positivo",MAX(K55/J55,0),MAX(J55/K55,0))),"") </f>
        <v/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85-2024-12-31</t>
        </is>
      </c>
    </row>
    <row r="56">
      <c r="A56" s="5" t="n">
        <v>85</v>
      </c>
      <c r="B56" s="5" t="inlineStr">
        <is>
          <t>Plan de Emergencias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107" t="n">
        <v>46022</v>
      </c>
      <c r="G56" s="5" t="n">
        <v>2025</v>
      </c>
      <c r="H56" s="5" t="inlineStr">
        <is>
          <t>Diciembre</t>
        </is>
      </c>
      <c r="I56" s="6" t="inlineStr">
        <is>
          <t>2025-2</t>
        </is>
      </c>
      <c r="J56" s="5" t="n">
        <v>100</v>
      </c>
      <c r="K56" s="5" t="n">
        <v>100</v>
      </c>
      <c r="L56" s="14">
        <f>IFERROR(IF(OR(J56=0,K56=""),"",IF(E56="Positivo",MIN(MAX(K56/J56,0),1.3),MIN(MAX(J56/K56,0),1.3))),"") </f>
        <v/>
      </c>
      <c r="M56" s="14">
        <f>IFERROR(IF(OR(J56=0,K56=""),"",IF(E56="Positivo",MAX(K56/J56,0),MAX(J56/K56,0))),"") </f>
        <v/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85-2025-12-31</t>
        </is>
      </c>
    </row>
    <row r="57">
      <c r="A57" s="26" t="n">
        <v>86</v>
      </c>
      <c r="B57" s="5" t="inlineStr">
        <is>
          <t>Reporte e investigación</t>
        </is>
      </c>
      <c r="C57" s="5" t="inlineStr">
        <is>
          <t>GESTIÓN DE SEGURIDAD Y SALUD EN EL TRABAJO</t>
        </is>
      </c>
      <c r="D57" s="5" t="inlineStr">
        <is>
          <t>Trimestral</t>
        </is>
      </c>
      <c r="E57" s="5" t="inlineStr">
        <is>
          <t>Positivo</t>
        </is>
      </c>
      <c r="F57" s="107" t="n">
        <v>44742</v>
      </c>
      <c r="G57" s="5" t="n">
        <v>2022</v>
      </c>
      <c r="H57" s="5" t="inlineStr">
        <is>
          <t>Junio</t>
        </is>
      </c>
      <c r="I57" s="6" t="inlineStr">
        <is>
          <t>2022-1</t>
        </is>
      </c>
      <c r="J57" s="5" t="n">
        <v>100</v>
      </c>
      <c r="K57" s="5" t="n">
        <v>100</v>
      </c>
      <c r="L57" s="14">
        <f>IFERROR(IF(OR(J57=0,K57=""),"",IF(E57="Positivo",MIN(MAX(K57/J57,0),1.3),MIN(MAX(J57/K57,0),1.3))),"") </f>
        <v/>
      </c>
      <c r="M57" s="14">
        <f>IFERROR(IF(OR(J57=0,K57=""),"",IF(E57="Positivo",MAX(K57/J57,0),MAX(J57/K57,0))),"") </f>
        <v/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86-2022-06-30</t>
        </is>
      </c>
    </row>
    <row r="58">
      <c r="A58" s="5" t="n">
        <v>86</v>
      </c>
      <c r="B58" s="5" t="inlineStr">
        <is>
          <t>Reporte e investigación</t>
        </is>
      </c>
      <c r="C58" s="5" t="inlineStr">
        <is>
          <t>GESTIÓN DE SEGURIDAD Y SALUD EN EL TRABAJO</t>
        </is>
      </c>
      <c r="D58" s="5" t="inlineStr">
        <is>
          <t>Trimestral</t>
        </is>
      </c>
      <c r="E58" s="5" t="inlineStr">
        <is>
          <t>Positivo</t>
        </is>
      </c>
      <c r="F58" s="107" t="n">
        <v>44926</v>
      </c>
      <c r="G58" s="5" t="n">
        <v>2022</v>
      </c>
      <c r="H58" s="5" t="inlineStr">
        <is>
          <t>Diciembre</t>
        </is>
      </c>
      <c r="I58" s="6" t="inlineStr">
        <is>
          <t>2022-2</t>
        </is>
      </c>
      <c r="J58" s="5" t="n">
        <v>100</v>
      </c>
      <c r="K58" s="10" t="n">
        <v>100</v>
      </c>
      <c r="L58" s="14">
        <f>IFERROR(IF(OR(J58=0,K58=""),"",IF(E58="Positivo",MIN(MAX(K58/J58,0),1.3),MIN(MAX(J58/K58,0),1.3))),"") </f>
        <v/>
      </c>
      <c r="M58" s="14">
        <f>IFERROR(IF(OR(J58=0,K58=""),"",IF(E58="Positivo",MAX(K58/J58,0),MAX(J58/K58,0))),"") </f>
        <v/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86-2022-12-31</t>
        </is>
      </c>
    </row>
    <row r="59">
      <c r="A59" s="26" t="n">
        <v>86</v>
      </c>
      <c r="B59" s="5" t="inlineStr">
        <is>
          <t>Reporte e investigación</t>
        </is>
      </c>
      <c r="C59" s="5" t="inlineStr">
        <is>
          <t>GESTIÓN DE SEGURIDAD Y SALUD EN EL TRABAJO</t>
        </is>
      </c>
      <c r="D59" s="5" t="inlineStr">
        <is>
          <t>Semestral</t>
        </is>
      </c>
      <c r="E59" s="5" t="inlineStr">
        <is>
          <t>Positivo</t>
        </is>
      </c>
      <c r="F59" s="107" t="n">
        <v>45107</v>
      </c>
      <c r="G59" s="5" t="n">
        <v>2023</v>
      </c>
      <c r="H59" s="5" t="inlineStr">
        <is>
          <t>Junio</t>
        </is>
      </c>
      <c r="I59" s="6" t="inlineStr">
        <is>
          <t>2023-1</t>
        </is>
      </c>
      <c r="J59" s="73" t="n">
        <v>100</v>
      </c>
      <c r="K59" s="9" t="n">
        <v>100</v>
      </c>
      <c r="L59" s="14">
        <f>IFERROR(IF(OR(J59=0,K59=""),"",IF(E59="Positivo",MIN(MAX(K59/J59,0),1.3),MIN(MAX(J59/K59,0),1.3))),"") </f>
        <v/>
      </c>
      <c r="M59" s="14">
        <f>IFERROR(IF(OR(J59=0,K59=""),"",IF(E59="Positivo",MAX(K59/J59,0),MAX(J59/K59,0))),"") </f>
        <v/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86-2023-06-30</t>
        </is>
      </c>
    </row>
    <row r="60">
      <c r="A60" s="5" t="n">
        <v>86</v>
      </c>
      <c r="B60" s="5" t="inlineStr">
        <is>
          <t>Reporte e investigación</t>
        </is>
      </c>
      <c r="C60" s="5" t="inlineStr">
        <is>
          <t>GESTIÓN DE SEGURIDAD Y SALUD EN EL TRABAJO</t>
        </is>
      </c>
      <c r="D60" s="5" t="inlineStr">
        <is>
          <t>Semestral</t>
        </is>
      </c>
      <c r="E60" s="5" t="inlineStr">
        <is>
          <t>Positivo</t>
        </is>
      </c>
      <c r="F60" s="107" t="n">
        <v>45291</v>
      </c>
      <c r="G60" s="5" t="n">
        <v>2023</v>
      </c>
      <c r="H60" s="5" t="inlineStr">
        <is>
          <t>Diciembre</t>
        </is>
      </c>
      <c r="I60" s="6" t="inlineStr">
        <is>
          <t>2023-2</t>
        </is>
      </c>
      <c r="J60" s="73" t="n">
        <v>100</v>
      </c>
      <c r="K60" s="9" t="n">
        <v>100</v>
      </c>
      <c r="L60" s="14">
        <f>IFERROR(IF(OR(J60=0,K60=""),"",IF(E60="Positivo",MIN(MAX(K60/J60,0),1.3),MIN(MAX(J60/K60,0),1.3))),"") </f>
        <v/>
      </c>
      <c r="M60" s="14">
        <f>IFERROR(IF(OR(J60=0,K60=""),"",IF(E60="Positivo",MAX(K60/J60,0),MAX(J60/K60,0))),"") </f>
        <v/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86-2023-12-31</t>
        </is>
      </c>
    </row>
    <row r="61">
      <c r="A61" s="26" t="n">
        <v>86</v>
      </c>
      <c r="B61" s="5" t="inlineStr">
        <is>
          <t>Reporte e investigación</t>
        </is>
      </c>
      <c r="C61" s="5" t="inlineStr">
        <is>
          <t>GESTIÓN DE SEGURIDAD Y SALUD EN EL TRABAJO</t>
        </is>
      </c>
      <c r="D61" s="5" t="inlineStr">
        <is>
          <t>Semestral</t>
        </is>
      </c>
      <c r="E61" s="5" t="inlineStr">
        <is>
          <t>Positivo</t>
        </is>
      </c>
      <c r="F61" s="107" t="n">
        <v>45473</v>
      </c>
      <c r="G61" s="5" t="n">
        <v>2024</v>
      </c>
      <c r="H61" s="5" t="inlineStr">
        <is>
          <t>Junio</t>
        </is>
      </c>
      <c r="I61" s="6" t="inlineStr">
        <is>
          <t>2024-1</t>
        </is>
      </c>
      <c r="J61" s="5" t="n">
        <v>100</v>
      </c>
      <c r="K61" s="5" t="n">
        <v>100</v>
      </c>
      <c r="L61" s="74">
        <f>IFERROR(IF(OR(J61=0,K61=""),"",IF(E61="Positivo",MIN(MAX(K61/J61,0),1.3),MIN(MAX(J61/K61,0),1.3))),"") </f>
        <v/>
      </c>
      <c r="M61" s="14">
        <f>IFERROR(IF(OR(J61=0,K61=""),"",IF(E61="Positivo",MAX(K61/J61,0),MAX(J61/K61,0))),"") </f>
        <v/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86-2024-06-30</t>
        </is>
      </c>
    </row>
    <row r="62">
      <c r="A62" s="5" t="n">
        <v>86</v>
      </c>
      <c r="B62" s="5" t="inlineStr">
        <is>
          <t>Reporte e investigación</t>
        </is>
      </c>
      <c r="C62" s="5" t="inlineStr">
        <is>
          <t>GESTIÓN DE SEGURIDAD Y SALUD EN EL TRABAJO</t>
        </is>
      </c>
      <c r="D62" s="5" t="inlineStr">
        <is>
          <t>Semestral</t>
        </is>
      </c>
      <c r="E62" s="5" t="inlineStr">
        <is>
          <t>Positivo</t>
        </is>
      </c>
      <c r="F62" s="107" t="n">
        <v>45657</v>
      </c>
      <c r="G62" s="5" t="n">
        <v>2024</v>
      </c>
      <c r="H62" s="5" t="inlineStr">
        <is>
          <t>Diciembre</t>
        </is>
      </c>
      <c r="I62" s="6" t="inlineStr">
        <is>
          <t>2024-2</t>
        </is>
      </c>
      <c r="J62" s="5" t="n">
        <v>100</v>
      </c>
      <c r="K62" s="5" t="n">
        <v>100</v>
      </c>
      <c r="L62" s="14">
        <f>IFERROR(IF(OR(J62=0,K62=""),"",IF(E62="Positivo",MIN(MAX(K62/J62,0),1.3),MIN(MAX(J62/K62,0),1.3))),"") </f>
        <v/>
      </c>
      <c r="M62" s="14">
        <f>IFERROR(IF(OR(J62=0,K62=""),"",IF(E62="Positivo",MAX(K62/J62,0),MAX(J62/K62,0))),"") </f>
        <v/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86-2024-12-31</t>
        </is>
      </c>
    </row>
    <row r="63">
      <c r="A63" s="26" t="n">
        <v>86</v>
      </c>
      <c r="B63" s="5" t="inlineStr">
        <is>
          <t>Reporte e investigación</t>
        </is>
      </c>
      <c r="C63" s="5" t="inlineStr">
        <is>
          <t>GESTIÓN DE SEGURIDAD Y SALUD EN EL TRABAJO</t>
        </is>
      </c>
      <c r="D63" s="5" t="inlineStr">
        <is>
          <t>Semestral</t>
        </is>
      </c>
      <c r="E63" s="5" t="inlineStr">
        <is>
          <t>Positivo</t>
        </is>
      </c>
      <c r="F63" s="107" t="n">
        <v>45838</v>
      </c>
      <c r="G63" s="5" t="n">
        <v>2025</v>
      </c>
      <c r="H63" s="5" t="inlineStr">
        <is>
          <t>Junio</t>
        </is>
      </c>
      <c r="I63" s="6" t="inlineStr">
        <is>
          <t>2025-1</t>
        </is>
      </c>
      <c r="J63" s="5" t="n">
        <v>100</v>
      </c>
      <c r="K63" s="5" t="n">
        <v>100</v>
      </c>
      <c r="L63" s="74">
        <f>IFERROR(IF(OR(J63=0,K63=""),"",IF(E63="Positivo",MIN(MAX(K63/J63,0),1.3),MIN(MAX(J63/K63,0),1.3))),"") </f>
        <v/>
      </c>
      <c r="M63" s="14">
        <f>IFERROR(IF(OR(J63=0,K63=""),"",IF(E63="Positivo",MAX(K63/J63,0),MAX(J63/K63,0))),"") </f>
        <v/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86-2025-06-30</t>
        </is>
      </c>
    </row>
    <row r="64">
      <c r="A64" s="5" t="n">
        <v>86</v>
      </c>
      <c r="B64" s="5" t="inlineStr">
        <is>
          <t>Reporte e investigación</t>
        </is>
      </c>
      <c r="C64" s="5" t="inlineStr">
        <is>
          <t>GESTIÓN DE SEGURIDAD Y SALUD EN EL TRABAJO</t>
        </is>
      </c>
      <c r="D64" s="5" t="inlineStr">
        <is>
          <t>Trimestral</t>
        </is>
      </c>
      <c r="E64" s="5" t="inlineStr">
        <is>
          <t>Positivo</t>
        </is>
      </c>
      <c r="F64" s="107" t="n">
        <v>46022</v>
      </c>
      <c r="G64" s="5" t="n">
        <v>2025</v>
      </c>
      <c r="H64" s="5" t="inlineStr">
        <is>
          <t>Diciembre</t>
        </is>
      </c>
      <c r="I64" s="6" t="inlineStr">
        <is>
          <t>2025-2</t>
        </is>
      </c>
      <c r="J64" s="5" t="n">
        <v>100</v>
      </c>
      <c r="K64" s="5" t="n">
        <v>100</v>
      </c>
      <c r="L64" s="14">
        <f>IFERROR(IF(OR(J64=0,K64=""),"",IF(E64="Positivo",MIN(MAX(K64/J64,0),1.3),MIN(MAX(J64/K64,0),1.3))),"") </f>
        <v/>
      </c>
      <c r="M64" s="14">
        <f>IFERROR(IF(OR(J64=0,K64=""),"",IF(E64="Positivo",MAX(K64/J64,0),MAX(J64/K64,0))),"") </f>
        <v/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86-2025-12-31</t>
        </is>
      </c>
    </row>
    <row r="65">
      <c r="A65" s="5" t="n">
        <v>87</v>
      </c>
      <c r="B65" s="5" t="inlineStr">
        <is>
          <t>Autoevaluación</t>
        </is>
      </c>
      <c r="C65" s="5" t="inlineStr">
        <is>
          <t>GESTIÓN DE SEGURIDAD Y SALUD EN EL TRABAJO</t>
        </is>
      </c>
      <c r="D65" s="5" t="inlineStr">
        <is>
          <t>Anual</t>
        </is>
      </c>
      <c r="E65" s="5" t="inlineStr">
        <is>
          <t>Positivo</t>
        </is>
      </c>
      <c r="F65" s="107" t="n">
        <v>44926</v>
      </c>
      <c r="G65" s="5" t="n">
        <v>2022</v>
      </c>
      <c r="H65" s="5" t="inlineStr">
        <is>
          <t>Diciembre</t>
        </is>
      </c>
      <c r="I65" s="6" t="inlineStr">
        <is>
          <t>2022-2</t>
        </is>
      </c>
      <c r="J65" s="5" t="n">
        <v>80</v>
      </c>
      <c r="K65" s="5" t="n">
        <v>99</v>
      </c>
      <c r="L65" s="74">
        <f>IFERROR(IF(OR(J65=0,K65=""),"",IF(E65="Positivo",MIN(MAX(K65/J65,0),1.3),MIN(MAX(J65/K65,0),1.3))),"") </f>
        <v/>
      </c>
      <c r="M65" s="14">
        <f>IFERROR(IF(OR(J65=0,K65=""),"",IF(E65="Positivo",MAX(K65/J65,0),MAX(J65/K65,0))),"") </f>
        <v/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87-2022-12-31</t>
        </is>
      </c>
    </row>
    <row r="66">
      <c r="A66" s="5" t="n">
        <v>87</v>
      </c>
      <c r="B66" s="5" t="inlineStr">
        <is>
          <t>Autoevaluación</t>
        </is>
      </c>
      <c r="C66" s="5" t="inlineStr">
        <is>
          <t>GESTIÓN DE SEGURIDAD Y SALUD EN EL TRABAJO</t>
        </is>
      </c>
      <c r="D66" s="5" t="inlineStr">
        <is>
          <t>Anual</t>
        </is>
      </c>
      <c r="E66" s="5" t="inlineStr">
        <is>
          <t>Positivo</t>
        </is>
      </c>
      <c r="F66" s="107" t="n">
        <v>45291</v>
      </c>
      <c r="G66" s="5" t="n">
        <v>2023</v>
      </c>
      <c r="H66" s="5" t="inlineStr">
        <is>
          <t>Diciembre</t>
        </is>
      </c>
      <c r="I66" s="6" t="inlineStr">
        <is>
          <t>2023-2</t>
        </is>
      </c>
      <c r="J66" s="5" t="n">
        <v>90</v>
      </c>
      <c r="K66" s="5" t="n">
        <v>100</v>
      </c>
      <c r="L66" s="74">
        <f>IFERROR(IF(OR(J66=0,K66=""),"",IF(E66="Positivo",MIN(MAX(K66/J66,0),1.3),MIN(MAX(J66/K66,0),1.3))),"") </f>
        <v/>
      </c>
      <c r="M66" s="14">
        <f>IFERROR(IF(OR(J66=0,K66=""),"",IF(E66="Positivo",MAX(K66/J66,0),MAX(J66/K66,0))),"") </f>
        <v/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87-2023-12-31</t>
        </is>
      </c>
    </row>
    <row r="67">
      <c r="A67" s="5" t="n">
        <v>87</v>
      </c>
      <c r="B67" s="5" t="inlineStr">
        <is>
          <t>Autoevaluación</t>
        </is>
      </c>
      <c r="C67" s="5" t="inlineStr">
        <is>
          <t>GESTIÓN DE SEGURIDAD Y SALUD EN EL TRABAJO</t>
        </is>
      </c>
      <c r="D67" s="5" t="inlineStr">
        <is>
          <t>Anual</t>
        </is>
      </c>
      <c r="E67" s="5" t="inlineStr">
        <is>
          <t>Positivo</t>
        </is>
      </c>
      <c r="F67" s="107" t="n">
        <v>45657</v>
      </c>
      <c r="G67" s="5" t="n">
        <v>2024</v>
      </c>
      <c r="H67" s="5" t="inlineStr">
        <is>
          <t>Diciembre</t>
        </is>
      </c>
      <c r="I67" s="6" t="inlineStr">
        <is>
          <t>2024-2</t>
        </is>
      </c>
      <c r="J67" s="5" t="n">
        <v>90</v>
      </c>
      <c r="K67" s="5" t="n">
        <v>100</v>
      </c>
      <c r="L67" s="14">
        <f>IFERROR(IF(OR(J67=0,K67=""),"",IF(E67="Positivo",MIN(MAX(K67/J67,0),1.3),MIN(MAX(J67/K67,0),1.3))),"") </f>
        <v/>
      </c>
      <c r="M67" s="14">
        <f>IFERROR(IF(OR(J67=0,K67=""),"",IF(E67="Positivo",MAX(K67/J67,0),MAX(J67/K67,0))),"") </f>
        <v/>
      </c>
      <c r="N67" s="5" t="n"/>
      <c r="O67" s="5" t="n"/>
      <c r="P67" s="5" t="n">
        <v>0</v>
      </c>
      <c r="Q67" s="5" t="n">
        <v>0</v>
      </c>
      <c r="R67" s="5" t="inlineStr">
        <is>
          <t>87-2024-12-31</t>
        </is>
      </c>
    </row>
    <row r="68">
      <c r="A68" s="26" t="n">
        <v>87</v>
      </c>
      <c r="B68" s="5" t="inlineStr">
        <is>
          <t>Autoevaluación</t>
        </is>
      </c>
      <c r="C68" s="5" t="inlineStr">
        <is>
          <t>GESTIÓN DE SEGURIDAD Y SALUD EN EL TRABAJO</t>
        </is>
      </c>
      <c r="D68" s="5" t="inlineStr">
        <is>
          <t>Anual</t>
        </is>
      </c>
      <c r="E68" s="5" t="inlineStr">
        <is>
          <t>Positivo</t>
        </is>
      </c>
      <c r="F68" s="107" t="n">
        <v>46022</v>
      </c>
      <c r="G68" s="5" t="n">
        <v>2025</v>
      </c>
      <c r="H68" s="5" t="inlineStr">
        <is>
          <t>Diciembre</t>
        </is>
      </c>
      <c r="I68" s="6" t="inlineStr">
        <is>
          <t>2025-2</t>
        </is>
      </c>
      <c r="J68" s="5" t="n">
        <v>80</v>
      </c>
      <c r="K68" s="10" t="n">
        <v>100</v>
      </c>
      <c r="L68" s="74">
        <f>IFERROR(IF(OR(J68=0,K68=""),"",IF(E68="Positivo",MIN(MAX(K68/J68,0),1.3),MIN(MAX(J68/K68,0),1.3))),"") </f>
        <v/>
      </c>
      <c r="M68" s="14">
        <f>IFERROR(IF(OR(J68=0,K68=""),"",IF(E68="Positivo",MAX(K68/J68,0),MAX(J68/K68,0))),"") </f>
        <v/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 t="inlineStr">
        <is>
          <t>87-2025-12-31</t>
        </is>
      </c>
    </row>
    <row r="69">
      <c r="A69" s="26" t="n">
        <v>88</v>
      </c>
      <c r="B69" s="5" t="inlineStr">
        <is>
          <t>Ejecución del plan de trabajo</t>
        </is>
      </c>
      <c r="C69" s="5" t="inlineStr">
        <is>
          <t>GESTIÓN DE SEGURIDAD Y SALUD EN EL TRABAJO</t>
        </is>
      </c>
      <c r="D69" s="5" t="inlineStr">
        <is>
          <t>Anual</t>
        </is>
      </c>
      <c r="E69" s="5" t="inlineStr">
        <is>
          <t>Positivo</t>
        </is>
      </c>
      <c r="F69" s="107" t="n">
        <v>44926</v>
      </c>
      <c r="G69" s="5" t="n">
        <v>2022</v>
      </c>
      <c r="H69" s="5" t="inlineStr">
        <is>
          <t>Diciembre</t>
        </is>
      </c>
      <c r="I69" s="6" t="inlineStr">
        <is>
          <t>2022-2</t>
        </is>
      </c>
      <c r="J69" s="5" t="n">
        <v>100</v>
      </c>
      <c r="K69" s="10" t="n">
        <v>99.344262295082</v>
      </c>
      <c r="L69" s="74">
        <f>IFERROR(IF(OR(J69=0,K69=""),"",IF(E69="Positivo",MIN(MAX(K69/J69,0),1.3),MIN(MAX(J69/K69,0),1.3))),"") </f>
        <v/>
      </c>
      <c r="M69" s="14">
        <f>IFERROR(IF(OR(J69=0,K69=""),"",IF(E69="Positivo",MAX(K69/J69,0),MAX(J69/K69,0))),"") </f>
        <v/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 t="inlineStr">
        <is>
          <t>88-2022-12-31</t>
        </is>
      </c>
    </row>
    <row r="70">
      <c r="A70" s="5" t="n">
        <v>88</v>
      </c>
      <c r="B70" s="5" t="inlineStr">
        <is>
          <t>Ejecución del plan de trabajo</t>
        </is>
      </c>
      <c r="C70" s="5" t="inlineStr">
        <is>
          <t>GESTIÓN DE SEGURIDAD Y SALUD EN EL TRABAJO</t>
        </is>
      </c>
      <c r="D70" s="5" t="inlineStr">
        <is>
          <t>Anual</t>
        </is>
      </c>
      <c r="E70" s="5" t="inlineStr">
        <is>
          <t>Positivo</t>
        </is>
      </c>
      <c r="F70" s="107" t="n">
        <v>45291</v>
      </c>
      <c r="G70" s="5" t="n">
        <v>2023</v>
      </c>
      <c r="H70" s="5" t="inlineStr">
        <is>
          <t>Diciembre</t>
        </is>
      </c>
      <c r="I70" s="6" t="inlineStr">
        <is>
          <t>2023-2</t>
        </is>
      </c>
      <c r="J70" s="5" t="n">
        <v>100</v>
      </c>
      <c r="K70" s="10" t="n">
        <v>100</v>
      </c>
      <c r="L70" s="14">
        <f>IFERROR(IF(OR(J70=0,K70=""),"",IF(E70="Positivo",MIN(MAX(K70/J70,0),1.3),MIN(MAX(J70/K70,0),1.3))),"") </f>
        <v/>
      </c>
      <c r="M70" s="14">
        <f>IFERROR(IF(OR(J70=0,K70=""),"",IF(E70="Positivo",MAX(K70/J70,0),MAX(J70/K70,0))),"") </f>
        <v/>
      </c>
      <c r="N70" s="5" t="inlineStr">
        <is>
          <t>%</t>
        </is>
      </c>
      <c r="O70" s="5" t="inlineStr">
        <is>
          <t>%</t>
        </is>
      </c>
      <c r="P70" s="5" t="n">
        <v>0</v>
      </c>
      <c r="Q70" s="5" t="n">
        <v>0</v>
      </c>
      <c r="R70" s="5" t="inlineStr">
        <is>
          <t>88-2023-12-31</t>
        </is>
      </c>
    </row>
    <row r="71">
      <c r="A71" s="5" t="n">
        <v>88</v>
      </c>
      <c r="B71" s="5" t="inlineStr">
        <is>
          <t>Ejecución del plan de trabajo</t>
        </is>
      </c>
      <c r="C71" s="5" t="inlineStr">
        <is>
          <t>GESTIÓN DE SEGURIDAD Y SALUD EN EL TRABAJO</t>
        </is>
      </c>
      <c r="D71" s="5" t="inlineStr">
        <is>
          <t>Anual</t>
        </is>
      </c>
      <c r="E71" s="5" t="inlineStr">
        <is>
          <t>Positivo</t>
        </is>
      </c>
      <c r="F71" s="107" t="n">
        <v>45657</v>
      </c>
      <c r="G71" s="5" t="n">
        <v>2024</v>
      </c>
      <c r="H71" s="5" t="inlineStr">
        <is>
          <t>Diciembre</t>
        </is>
      </c>
      <c r="I71" s="6" t="inlineStr">
        <is>
          <t>2024-2</t>
        </is>
      </c>
      <c r="J71" s="5" t="n">
        <v>100</v>
      </c>
      <c r="K71" s="10" t="n">
        <v>100</v>
      </c>
      <c r="L71" s="14">
        <f>IFERROR(IF(OR(J71=0,K71=""),"",IF(E71="Positivo",MIN(MAX(K71/J71,0),1.3),MIN(MAX(J71/K71,0),1.3))),"") </f>
        <v/>
      </c>
      <c r="M71" s="14">
        <f>IFERROR(IF(OR(J71=0,K71=""),"",IF(E71="Positivo",MAX(K71/J71,0),MAX(J71/K71,0))),"") </f>
        <v/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 t="inlineStr">
        <is>
          <t>88-2024-12-31</t>
        </is>
      </c>
    </row>
    <row r="72">
      <c r="A72" s="5" t="n">
        <v>88</v>
      </c>
      <c r="B72" s="5" t="inlineStr">
        <is>
          <t>Ejecución del plan de trabajo</t>
        </is>
      </c>
      <c r="C72" s="5" t="inlineStr">
        <is>
          <t>GESTIÓN DE SEGURIDAD Y SALUD EN EL TRABAJO</t>
        </is>
      </c>
      <c r="D72" s="5" t="inlineStr">
        <is>
          <t>Anual</t>
        </is>
      </c>
      <c r="E72" s="5" t="inlineStr">
        <is>
          <t>Positivo</t>
        </is>
      </c>
      <c r="F72" s="107" t="n">
        <v>46022</v>
      </c>
      <c r="G72" s="5" t="n">
        <v>2025</v>
      </c>
      <c r="H72" s="5" t="inlineStr">
        <is>
          <t>Diciembre</t>
        </is>
      </c>
      <c r="I72" s="6" t="inlineStr">
        <is>
          <t>2025-2</t>
        </is>
      </c>
      <c r="J72" s="5" t="n">
        <v>100</v>
      </c>
      <c r="K72" s="5" t="n">
        <v>100</v>
      </c>
      <c r="L72" s="74">
        <f>IFERROR(IF(OR(J72=0,K72=""),"",IF(E72="Positivo",MIN(MAX(K72/J72,0),1.3),MIN(MAX(J72/K72,0),1.3))),"") </f>
        <v/>
      </c>
      <c r="M72" s="14">
        <f>IFERROR(IF(OR(J72=0,K72=""),"",IF(E72="Positivo",MAX(K72/J72,0),MAX(J72/K72,0))),"") </f>
        <v/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88-2025-12-31</t>
        </is>
      </c>
    </row>
    <row r="73">
      <c r="A73" s="5" t="n">
        <v>89</v>
      </c>
      <c r="B73" s="5" t="inlineStr">
        <is>
          <t>Ejecución plan de capacitación</t>
        </is>
      </c>
      <c r="C73" s="5" t="inlineStr">
        <is>
          <t>GESTIÓN DE SEGURIDAD Y SALUD EN EL TRABAJO</t>
        </is>
      </c>
      <c r="D73" s="5" t="inlineStr">
        <is>
          <t>Anual</t>
        </is>
      </c>
      <c r="E73" s="5" t="inlineStr">
        <is>
          <t>Positivo</t>
        </is>
      </c>
      <c r="F73" s="107" t="n">
        <v>44926</v>
      </c>
      <c r="G73" s="5" t="n">
        <v>2022</v>
      </c>
      <c r="H73" s="5" t="inlineStr">
        <is>
          <t>Diciembre</t>
        </is>
      </c>
      <c r="I73" s="6" t="inlineStr">
        <is>
          <t>2022-2</t>
        </is>
      </c>
      <c r="J73" s="5" t="n">
        <v>100</v>
      </c>
      <c r="K73" s="5" t="n">
        <v>100</v>
      </c>
      <c r="L73" s="74">
        <f>IFERROR(IF(OR(J73=0,K73=""),"",IF(E73="Positivo",MIN(MAX(K73/J73,0),1.3),MIN(MAX(J73/K73,0),1.3))),"") </f>
        <v/>
      </c>
      <c r="M73" s="14">
        <f>IFERROR(IF(OR(J73=0,K73=""),"",IF(E73="Positivo",MAX(K73/J73,0),MAX(J73/K73,0))),"") </f>
        <v/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89-2022-12-31</t>
        </is>
      </c>
    </row>
    <row r="74">
      <c r="A74" s="5" t="n">
        <v>89</v>
      </c>
      <c r="B74" s="5" t="inlineStr">
        <is>
          <t>Ejecución plan de capacitación</t>
        </is>
      </c>
      <c r="C74" s="5" t="inlineStr">
        <is>
          <t>GESTIÓN DE SEGURIDAD Y SALUD EN EL TRABAJO</t>
        </is>
      </c>
      <c r="D74" s="5" t="inlineStr">
        <is>
          <t>Anual</t>
        </is>
      </c>
      <c r="E74" s="5" t="inlineStr">
        <is>
          <t>Positivo</t>
        </is>
      </c>
      <c r="F74" s="107" t="n">
        <v>45291</v>
      </c>
      <c r="G74" s="5" t="n">
        <v>2023</v>
      </c>
      <c r="H74" s="5" t="inlineStr">
        <is>
          <t>Diciembre</t>
        </is>
      </c>
      <c r="I74" s="6" t="inlineStr">
        <is>
          <t>2023-2</t>
        </is>
      </c>
      <c r="J74" s="5" t="n">
        <v>100</v>
      </c>
      <c r="K74" s="5" t="n">
        <v>100</v>
      </c>
      <c r="L74" s="14">
        <f>IFERROR(IF(OR(J74=0,K74=""),"",IF(E74="Positivo",MIN(MAX(K74/J74,0),1.3),MIN(MAX(J74/K74,0),1.3))),"") </f>
        <v/>
      </c>
      <c r="M74" s="14">
        <f>IFERROR(IF(OR(J74=0,K74=""),"",IF(E74="Positivo",MAX(K74/J74,0),MAX(J74/K74,0))),"") </f>
        <v/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89-2023-12-31</t>
        </is>
      </c>
    </row>
    <row r="75">
      <c r="A75" s="5" t="n">
        <v>89</v>
      </c>
      <c r="B75" s="5" t="inlineStr">
        <is>
          <t>Ejecución plan de capacitación</t>
        </is>
      </c>
      <c r="C75" s="5" t="inlineStr">
        <is>
          <t>GESTIÓN DE SEGURIDAD Y SALUD EN EL TRABAJO</t>
        </is>
      </c>
      <c r="D75" s="5" t="inlineStr">
        <is>
          <t>Anual</t>
        </is>
      </c>
      <c r="E75" s="5" t="inlineStr">
        <is>
          <t>Positivo</t>
        </is>
      </c>
      <c r="F75" s="107" t="n">
        <v>45657</v>
      </c>
      <c r="G75" s="5" t="n">
        <v>2024</v>
      </c>
      <c r="H75" s="5" t="inlineStr">
        <is>
          <t>Diciembre</t>
        </is>
      </c>
      <c r="I75" s="6" t="inlineStr">
        <is>
          <t>2024-2</t>
        </is>
      </c>
      <c r="J75" s="5" t="n">
        <v>100</v>
      </c>
      <c r="K75" s="5" t="n">
        <v>100</v>
      </c>
      <c r="L75" s="74">
        <f>IFERROR(IF(OR(J75=0,K75=""),"",IF(E75="Positivo",MIN(MAX(K75/J75,0),1.3),MIN(MAX(J75/K75,0),1.3))),"") </f>
        <v/>
      </c>
      <c r="M75" s="14">
        <f>IFERROR(IF(OR(J75=0,K75=""),"",IF(E75="Positivo",MAX(K75/J75,0),MAX(J75/K75,0))),"") </f>
        <v/>
      </c>
      <c r="N75" s="5" t="inlineStr">
        <is>
          <t>%</t>
        </is>
      </c>
      <c r="O75" s="5" t="inlineStr">
        <is>
          <t>%</t>
        </is>
      </c>
      <c r="P75" s="5" t="n">
        <v>0</v>
      </c>
      <c r="Q75" s="5" t="n">
        <v>0</v>
      </c>
      <c r="R75" s="5" t="inlineStr">
        <is>
          <t>89-2024-12-31</t>
        </is>
      </c>
    </row>
    <row r="76">
      <c r="A76" s="5" t="n">
        <v>89</v>
      </c>
      <c r="B76" s="5" t="inlineStr">
        <is>
          <t>Ejecución plan de capacitación</t>
        </is>
      </c>
      <c r="C76" s="5" t="inlineStr">
        <is>
          <t>GESTIÓN DE SEGURIDAD Y SALUD EN EL TRABAJO</t>
        </is>
      </c>
      <c r="D76" s="5" t="inlineStr">
        <is>
          <t>Anual</t>
        </is>
      </c>
      <c r="E76" s="5" t="inlineStr">
        <is>
          <t>Positivo</t>
        </is>
      </c>
      <c r="F76" s="107" t="n">
        <v>46022</v>
      </c>
      <c r="G76" s="5" t="n">
        <v>2025</v>
      </c>
      <c r="H76" s="5" t="inlineStr">
        <is>
          <t>Diciembre</t>
        </is>
      </c>
      <c r="I76" s="6" t="inlineStr">
        <is>
          <t>2025-2</t>
        </is>
      </c>
      <c r="J76" s="5" t="n">
        <v>100</v>
      </c>
      <c r="K76" s="5" t="n">
        <v>100</v>
      </c>
      <c r="L76" s="74">
        <f>IFERROR(IF(OR(J76=0,K76=""),"",IF(E76="Positivo",MIN(MAX(K76/J76,0),1.3),MIN(MAX(J76/K76,0),1.3))),"") </f>
        <v/>
      </c>
      <c r="M76" s="14">
        <f>IFERROR(IF(OR(J76=0,K76=""),"",IF(E76="Positivo",MAX(K76/J76,0),MAX(J76/K76,0))),"") </f>
        <v/>
      </c>
      <c r="N76" s="5" t="inlineStr">
        <is>
          <t>%</t>
        </is>
      </c>
      <c r="O76" s="5" t="inlineStr">
        <is>
          <t>%</t>
        </is>
      </c>
      <c r="P76" s="5" t="n">
        <v>0</v>
      </c>
      <c r="Q76" s="5" t="n">
        <v>0</v>
      </c>
      <c r="R76" s="5" t="inlineStr">
        <is>
          <t>89-2025-12-31</t>
        </is>
      </c>
    </row>
    <row r="77">
      <c r="A77" s="5" t="n">
        <v>90</v>
      </c>
      <c r="B77" s="5" t="inlineStr">
        <is>
          <t>Ejecución de Simulacros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Positivo</t>
        </is>
      </c>
      <c r="F77" s="107" t="n">
        <v>44926</v>
      </c>
      <c r="G77" s="5" t="n">
        <v>2022</v>
      </c>
      <c r="H77" s="5" t="inlineStr">
        <is>
          <t>Diciembre</t>
        </is>
      </c>
      <c r="I77" s="6" t="inlineStr">
        <is>
          <t>2022-2</t>
        </is>
      </c>
      <c r="J77" s="5" t="n">
        <v>100</v>
      </c>
      <c r="K77" s="5" t="n">
        <v>100</v>
      </c>
      <c r="L77" s="14">
        <f>IFERROR(IF(OR(J77=0,K77=""),"",IF(E77="Positivo",MIN(MAX(K77/J77,0),1.3),MIN(MAX(J77/K77,0),1.3))),"") </f>
        <v/>
      </c>
      <c r="M77" s="14">
        <f>IFERROR(IF(OR(J77=0,K77=""),"",IF(E77="Positivo",MAX(K77/J77,0),MAX(J77/K77,0))),"") </f>
        <v/>
      </c>
      <c r="N77" s="5" t="inlineStr">
        <is>
          <t>%</t>
        </is>
      </c>
      <c r="O77" s="5" t="inlineStr">
        <is>
          <t>%</t>
        </is>
      </c>
      <c r="P77" s="5" t="n">
        <v>0</v>
      </c>
      <c r="Q77" s="5" t="n">
        <v>0</v>
      </c>
      <c r="R77" s="5" t="inlineStr">
        <is>
          <t>90-2022-12-31</t>
        </is>
      </c>
    </row>
    <row r="78">
      <c r="A78" s="5" t="n">
        <v>90</v>
      </c>
      <c r="B78" s="5" t="inlineStr">
        <is>
          <t>Ejecución de Simulacros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Positivo</t>
        </is>
      </c>
      <c r="F78" s="107" t="n">
        <v>45291</v>
      </c>
      <c r="G78" s="5" t="n">
        <v>2023</v>
      </c>
      <c r="H78" s="5" t="inlineStr">
        <is>
          <t>Diciembre</t>
        </is>
      </c>
      <c r="I78" s="6" t="inlineStr">
        <is>
          <t>2023-2</t>
        </is>
      </c>
      <c r="J78" s="5" t="n">
        <v>100</v>
      </c>
      <c r="K78" s="5" t="n">
        <v>100</v>
      </c>
      <c r="L78" s="74">
        <f>IFERROR(IF(OR(J78=0,K78=""),"",IF(E78="Positivo",MIN(MAX(K78/J78,0),1.3),MIN(MAX(J78/K78,0),1.3))),"") </f>
        <v/>
      </c>
      <c r="M78" s="14">
        <f>IFERROR(IF(OR(J78=0,K78=""),"",IF(E78="Positivo",MAX(K78/J78,0),MAX(J78/K78,0))),"") </f>
        <v/>
      </c>
      <c r="N78" s="5" t="inlineStr">
        <is>
          <t>%</t>
        </is>
      </c>
      <c r="O78" s="5" t="inlineStr">
        <is>
          <t>%</t>
        </is>
      </c>
      <c r="P78" s="5" t="n">
        <v>0</v>
      </c>
      <c r="Q78" s="5" t="n">
        <v>0</v>
      </c>
      <c r="R78" s="5" t="inlineStr">
        <is>
          <t>90-2023-12-31</t>
        </is>
      </c>
    </row>
    <row r="79">
      <c r="A79" s="5" t="n">
        <v>90</v>
      </c>
      <c r="B79" s="5" t="inlineStr">
        <is>
          <t>Ejecución de Simulacros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Positivo</t>
        </is>
      </c>
      <c r="F79" s="107" t="n">
        <v>45657</v>
      </c>
      <c r="G79" s="5" t="n">
        <v>2024</v>
      </c>
      <c r="H79" s="5" t="inlineStr">
        <is>
          <t>Diciembre</t>
        </is>
      </c>
      <c r="I79" s="6" t="inlineStr">
        <is>
          <t>2024-2</t>
        </is>
      </c>
      <c r="J79" s="5" t="n">
        <v>100</v>
      </c>
      <c r="K79" s="5" t="n">
        <v>100</v>
      </c>
      <c r="L79" s="74">
        <f>IFERROR(IF(OR(J79=0,K79=""),"",IF(E79="Positivo",MIN(MAX(K79/J79,0),1.3),MIN(MAX(J79/K79,0),1.3))),"") </f>
        <v/>
      </c>
      <c r="M79" s="14">
        <f>IFERROR(IF(OR(J79=0,K79=""),"",IF(E79="Positivo",MAX(K79/J79,0),MAX(J79/K79,0))),"") </f>
        <v/>
      </c>
      <c r="N79" s="5" t="inlineStr">
        <is>
          <t>%</t>
        </is>
      </c>
      <c r="O79" s="5" t="inlineStr">
        <is>
          <t>%</t>
        </is>
      </c>
      <c r="P79" s="5" t="n">
        <v>0</v>
      </c>
      <c r="Q79" s="5" t="n">
        <v>0</v>
      </c>
      <c r="R79" s="5" t="inlineStr">
        <is>
          <t>90-2024-12-31</t>
        </is>
      </c>
    </row>
    <row r="80">
      <c r="A80" s="5" t="n">
        <v>90</v>
      </c>
      <c r="B80" s="5" t="inlineStr">
        <is>
          <t>Ejecución de Simulacros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Positivo</t>
        </is>
      </c>
      <c r="F80" s="107" t="n">
        <v>46022</v>
      </c>
      <c r="G80" s="5" t="n">
        <v>2025</v>
      </c>
      <c r="H80" s="5" t="inlineStr">
        <is>
          <t>Diciembre</t>
        </is>
      </c>
      <c r="I80" s="6" t="inlineStr">
        <is>
          <t>2025-2</t>
        </is>
      </c>
      <c r="J80" s="5" t="n">
        <v>100</v>
      </c>
      <c r="K80" s="5" t="n">
        <v>100</v>
      </c>
      <c r="L80" s="14">
        <f>IFERROR(IF(OR(J80=0,K80=""),"",IF(E80="Positivo",MIN(MAX(K80/J80,0),1.3),MIN(MAX(J80/K80,0),1.3))),"") </f>
        <v/>
      </c>
      <c r="M80" s="14">
        <f>IFERROR(IF(OR(J80=0,K80=""),"",IF(E80="Positivo",MAX(K80/J80,0),MAX(J80/K80,0))),"") </f>
        <v/>
      </c>
      <c r="N80" s="5" t="inlineStr">
        <is>
          <t>%</t>
        </is>
      </c>
      <c r="O80" s="5" t="inlineStr">
        <is>
          <t>%</t>
        </is>
      </c>
      <c r="P80" s="5" t="n">
        <v>0</v>
      </c>
      <c r="Q80" s="5" t="n">
        <v>0</v>
      </c>
      <c r="R80" s="5" t="inlineStr">
        <is>
          <t>90-2025-12-31</t>
        </is>
      </c>
    </row>
    <row r="81">
      <c r="A81" s="26" t="n">
        <v>91</v>
      </c>
      <c r="B81" s="5" t="inlineStr">
        <is>
          <t>Participación en capacitaciones SST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Positivo</t>
        </is>
      </c>
      <c r="F81" s="107" t="n">
        <v>44926</v>
      </c>
      <c r="G81" s="5" t="n">
        <v>2022</v>
      </c>
      <c r="H81" s="5" t="inlineStr">
        <is>
          <t>Diciembre</t>
        </is>
      </c>
      <c r="I81" s="6" t="inlineStr">
        <is>
          <t>2022-2</t>
        </is>
      </c>
      <c r="J81" s="5" t="n">
        <v>100</v>
      </c>
      <c r="K81" s="5" t="n">
        <v>100</v>
      </c>
      <c r="L81" s="74">
        <f>IFERROR(IF(OR(J81=0,K81=""),"",IF(E81="Positivo",MIN(MAX(K81/J81,0),1.3),MIN(MAX(J81/K81,0),1.3))),"") </f>
        <v/>
      </c>
      <c r="M81" s="14">
        <f>IFERROR(IF(OR(J81=0,K81=""),"",IF(E81="Positivo",MAX(K81/J81,0),MAX(J81/K81,0))),"") </f>
        <v/>
      </c>
      <c r="N81" s="5" t="inlineStr">
        <is>
          <t>%</t>
        </is>
      </c>
      <c r="O81" s="5" t="inlineStr">
        <is>
          <t>%</t>
        </is>
      </c>
      <c r="P81" s="5" t="n">
        <v>0</v>
      </c>
      <c r="Q81" s="5" t="n">
        <v>0</v>
      </c>
      <c r="R81" s="5" t="inlineStr">
        <is>
          <t>91-2022-12-31</t>
        </is>
      </c>
    </row>
    <row r="82">
      <c r="A82" s="5" t="n">
        <v>91</v>
      </c>
      <c r="B82" s="5" t="inlineStr">
        <is>
          <t>Participación en capacitaciones SST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Positivo</t>
        </is>
      </c>
      <c r="F82" s="107" t="n">
        <v>45291</v>
      </c>
      <c r="G82" s="5" t="n">
        <v>2023</v>
      </c>
      <c r="H82" s="5" t="inlineStr">
        <is>
          <t>Diciembre</t>
        </is>
      </c>
      <c r="I82" s="6" t="inlineStr">
        <is>
          <t>2023-2</t>
        </is>
      </c>
      <c r="J82" s="5" t="n">
        <v>100</v>
      </c>
      <c r="K82" s="5" t="n">
        <v>100</v>
      </c>
      <c r="L82" s="14">
        <f>IFERROR(IF(OR(J82=0,K82=""),"",IF(E82="Positivo",MIN(MAX(K82/J82,0),1.3),MIN(MAX(J82/K82,0),1.3))),"") </f>
        <v/>
      </c>
      <c r="M82" s="14">
        <f>IFERROR(IF(OR(J82=0,K82=""),"",IF(E82="Positivo",MAX(K82/J82,0),MAX(J82/K82,0))),"") </f>
        <v/>
      </c>
      <c r="N82" s="5" t="inlineStr">
        <is>
          <t>%</t>
        </is>
      </c>
      <c r="O82" s="5" t="inlineStr">
        <is>
          <t>%</t>
        </is>
      </c>
      <c r="P82" s="5" t="n">
        <v>0</v>
      </c>
      <c r="Q82" s="5" t="n">
        <v>0</v>
      </c>
      <c r="R82" s="5" t="inlineStr">
        <is>
          <t>91-2023-12-31</t>
        </is>
      </c>
    </row>
    <row r="83">
      <c r="A83" s="5" t="n">
        <v>91</v>
      </c>
      <c r="B83" s="5" t="inlineStr">
        <is>
          <t>Participación en capacitaciones SST</t>
        </is>
      </c>
      <c r="C83" s="5" t="inlineStr">
        <is>
          <t>GESTIÓN DE SEGURIDAD Y SALUD EN EL TRABAJO</t>
        </is>
      </c>
      <c r="D83" s="5" t="inlineStr">
        <is>
          <t>Anual</t>
        </is>
      </c>
      <c r="E83" s="5" t="inlineStr">
        <is>
          <t>Positivo</t>
        </is>
      </c>
      <c r="F83" s="107" t="n">
        <v>45657</v>
      </c>
      <c r="G83" s="15" t="n">
        <v>2024</v>
      </c>
      <c r="H83" s="6" t="inlineStr">
        <is>
          <t>Diciembre</t>
        </is>
      </c>
      <c r="I83" s="6" t="inlineStr">
        <is>
          <t>2024-2</t>
        </is>
      </c>
      <c r="J83" s="5" t="n">
        <v>100</v>
      </c>
      <c r="K83" s="5" t="n">
        <v>100</v>
      </c>
      <c r="L83" s="74">
        <f>IFERROR(IF(OR(J83=0,K83=""),"",IF(E83="Positivo",MIN(MAX(K83/J83,0),1.3),MIN(MAX(J83/K83,0),1.3))),"") </f>
        <v/>
      </c>
      <c r="M83" s="14">
        <f>IFERROR(IF(OR(J83=0,K83=""),"",IF(E83="Positivo",MAX(K83/J83,0),MAX(J83/K83,0))),"") </f>
        <v/>
      </c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 t="inlineStr">
        <is>
          <t>91-2024-12-31</t>
        </is>
      </c>
    </row>
    <row r="84">
      <c r="A84" s="26" t="n">
        <v>91</v>
      </c>
      <c r="B84" s="5" t="inlineStr">
        <is>
          <t>Participación en capacitaciones SST</t>
        </is>
      </c>
      <c r="C84" s="5" t="inlineStr">
        <is>
          <t>GESTIÓN DE SEGURIDAD Y SALUD EN EL TRABAJO</t>
        </is>
      </c>
      <c r="D84" s="5" t="inlineStr">
        <is>
          <t>Anual</t>
        </is>
      </c>
      <c r="E84" s="5" t="inlineStr">
        <is>
          <t>Positivo</t>
        </is>
      </c>
      <c r="F84" s="107" t="n">
        <v>46022</v>
      </c>
      <c r="G84" s="5" t="n">
        <v>2025</v>
      </c>
      <c r="H84" s="5" t="inlineStr">
        <is>
          <t>Diciembre</t>
        </is>
      </c>
      <c r="I84" s="6" t="inlineStr">
        <is>
          <t>2025-2</t>
        </is>
      </c>
      <c r="J84" s="5" t="n">
        <v>100</v>
      </c>
      <c r="K84" s="5" t="n">
        <v>100</v>
      </c>
      <c r="L84" s="74">
        <f>IFERROR(IF(OR(J84=0,K84=""),"",IF(E84="Positivo",MIN(MAX(K84/J84,0),1.3),MIN(MAX(J84/K84,0),1.3))),"") </f>
        <v/>
      </c>
      <c r="M84" s="14">
        <f>IFERROR(IF(OR(J84=0,K84=""),"",IF(E84="Positivo",MAX(K84/J84,0),MAX(J84/K84,0))),"") </f>
        <v/>
      </c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 t="inlineStr">
        <is>
          <t>91-2025-12-31</t>
        </is>
      </c>
    </row>
    <row r="85">
      <c r="A85" s="5" t="n">
        <v>92</v>
      </c>
      <c r="B85" s="5" t="inlineStr">
        <is>
          <t>Evaluación condiciones de salud (examen médico)</t>
        </is>
      </c>
      <c r="C85" s="5" t="inlineStr">
        <is>
          <t>GESTIÓN DE SEGURIDAD Y SALUD EN EL TRABAJO</t>
        </is>
      </c>
      <c r="D85" s="5" t="inlineStr">
        <is>
          <t>Anual</t>
        </is>
      </c>
      <c r="E85" s="5" t="inlineStr">
        <is>
          <t>Positivo</t>
        </is>
      </c>
      <c r="F85" s="107" t="n">
        <v>44926</v>
      </c>
      <c r="G85" s="5" t="n">
        <v>2022</v>
      </c>
      <c r="H85" s="5" t="inlineStr">
        <is>
          <t>Diciembre</t>
        </is>
      </c>
      <c r="I85" s="6" t="inlineStr">
        <is>
          <t>2022-2</t>
        </is>
      </c>
      <c r="J85" s="5" t="n">
        <v>100</v>
      </c>
      <c r="K85" s="5" t="n">
        <v>100</v>
      </c>
      <c r="L85" s="14">
        <f>IFERROR(IF(OR(J85=0,K85=""),"",IF(E85="Positivo",MIN(MAX(K85/J85,0),1.3),MIN(MAX(J85/K85,0),1.3))),"") </f>
        <v/>
      </c>
      <c r="M85" s="14">
        <f>IFERROR(IF(OR(J85=0,K85=""),"",IF(E85="Positivo",MAX(K85/J85,0),MAX(J85/K85,0))),"") </f>
        <v/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 t="inlineStr">
        <is>
          <t>92-2022-12-31</t>
        </is>
      </c>
    </row>
    <row r="86">
      <c r="A86" s="5" t="n">
        <v>92</v>
      </c>
      <c r="B86" s="5" t="inlineStr">
        <is>
          <t>Evaluación condiciones de salud (examen médico)</t>
        </is>
      </c>
      <c r="C86" s="5" t="inlineStr">
        <is>
          <t>GESTIÓN DE SEGURIDAD Y SALUD EN EL TRABAJO</t>
        </is>
      </c>
      <c r="D86" s="5" t="inlineStr">
        <is>
          <t>Anual</t>
        </is>
      </c>
      <c r="E86" s="5" t="inlineStr">
        <is>
          <t>Positivo</t>
        </is>
      </c>
      <c r="F86" s="107" t="n">
        <v>45291</v>
      </c>
      <c r="G86" s="5" t="n">
        <v>2023</v>
      </c>
      <c r="H86" s="5" t="inlineStr">
        <is>
          <t>Diciembre</t>
        </is>
      </c>
      <c r="I86" s="6" t="inlineStr">
        <is>
          <t>2023-2</t>
        </is>
      </c>
      <c r="J86" s="5" t="n">
        <v>100</v>
      </c>
      <c r="K86" s="5" t="n">
        <v>100</v>
      </c>
      <c r="L86" s="14">
        <f>IFERROR(IF(OR(J86=0,K86=""),"",IF(E86="Positivo",MIN(MAX(K86/J86,0),1.3),MIN(MAX(J86/K86,0),1.3))),"") </f>
        <v/>
      </c>
      <c r="M86" s="14">
        <f>IFERROR(IF(OR(J86=0,K86=""),"",IF(E86="Positivo",MAX(K86/J86,0),MAX(J86/K86,0))),"") </f>
        <v/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 t="inlineStr">
        <is>
          <t>92-2023-12-31</t>
        </is>
      </c>
    </row>
    <row r="87">
      <c r="A87" s="5" t="n">
        <v>92</v>
      </c>
      <c r="B87" s="5" t="inlineStr">
        <is>
          <t>Evaluación condiciones de salud (examen médico)</t>
        </is>
      </c>
      <c r="C87" s="5" t="inlineStr">
        <is>
          <t>GESTIÓN DE SEGURIDAD Y SALUD EN EL TRABAJO</t>
        </is>
      </c>
      <c r="D87" s="5" t="inlineStr">
        <is>
          <t>Anual</t>
        </is>
      </c>
      <c r="E87" s="5" t="inlineStr">
        <is>
          <t>Positivo</t>
        </is>
      </c>
      <c r="F87" s="107" t="n">
        <v>45657</v>
      </c>
      <c r="G87" s="5" t="n">
        <v>2024</v>
      </c>
      <c r="H87" s="5" t="inlineStr">
        <is>
          <t>Diciembre</t>
        </is>
      </c>
      <c r="I87" s="6" t="inlineStr">
        <is>
          <t>2024-2</t>
        </is>
      </c>
      <c r="J87" s="5" t="n">
        <v>98</v>
      </c>
      <c r="K87" s="5" t="n">
        <v>100</v>
      </c>
      <c r="L87" s="74">
        <f>IFERROR(IF(OR(J87=0,K87=""),"",IF(E87="Positivo",MIN(MAX(K87/J87,0),1.3),MIN(MAX(J87/K87,0),1.3))),"") </f>
        <v/>
      </c>
      <c r="M87" s="14">
        <f>IFERROR(IF(OR(J87=0,K87=""),"",IF(E87="Positivo",MAX(K87/J87,0),MAX(J87/K87,0))),"") </f>
        <v/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 t="inlineStr">
        <is>
          <t>92-2024-12-31</t>
        </is>
      </c>
    </row>
    <row r="88">
      <c r="A88" s="5" t="n">
        <v>92</v>
      </c>
      <c r="B88" s="5" t="inlineStr">
        <is>
          <t>Evaluación condiciones de salud (examen médico)</t>
        </is>
      </c>
      <c r="C88" s="5" t="inlineStr">
        <is>
          <t>GESTIÓN DE SEGURIDAD Y SALUD EN EL TRABAJO</t>
        </is>
      </c>
      <c r="D88" s="5" t="inlineStr">
        <is>
          <t>Anual</t>
        </is>
      </c>
      <c r="E88" s="5" t="inlineStr">
        <is>
          <t>Positivo</t>
        </is>
      </c>
      <c r="F88" s="107" t="n">
        <v>46022</v>
      </c>
      <c r="G88" s="5" t="n">
        <v>2025</v>
      </c>
      <c r="H88" s="5" t="inlineStr">
        <is>
          <t>Diciembre</t>
        </is>
      </c>
      <c r="I88" s="6" t="inlineStr">
        <is>
          <t>2025-2</t>
        </is>
      </c>
      <c r="J88" s="5" t="n">
        <v>98</v>
      </c>
      <c r="K88" s="5" t="n">
        <v>100</v>
      </c>
      <c r="L88" s="74">
        <f>IFERROR(IF(OR(J88=0,K88=""),"",IF(E88="Positivo",MIN(MAX(K88/J88,0),1.3),MIN(MAX(J88/K88,0),1.3))),"") </f>
        <v/>
      </c>
      <c r="M88" s="14">
        <f>IFERROR(IF(OR(J88=0,K88=""),"",IF(E88="Positivo",MAX(K88/J88,0),MAX(J88/K88,0))),"") </f>
        <v/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 t="inlineStr">
        <is>
          <t>92-2025-12-31</t>
        </is>
      </c>
    </row>
    <row r="89">
      <c r="A89" s="5" t="n">
        <v>94</v>
      </c>
      <c r="B89" s="5" t="inlineStr">
        <is>
          <t>Cobertura Elementos de Protección Personal</t>
        </is>
      </c>
      <c r="C89" s="5" t="inlineStr">
        <is>
          <t>GESTIÓN DE SEGURIDAD Y SALUD EN EL TRABAJO</t>
        </is>
      </c>
      <c r="D89" s="5" t="inlineStr">
        <is>
          <t>Anual</t>
        </is>
      </c>
      <c r="E89" s="5" t="inlineStr">
        <is>
          <t>Positivo</t>
        </is>
      </c>
      <c r="F89" s="107" t="n">
        <v>44926</v>
      </c>
      <c r="G89" s="5" t="n">
        <v>2022</v>
      </c>
      <c r="H89" s="5" t="inlineStr">
        <is>
          <t>Diciembre</t>
        </is>
      </c>
      <c r="I89" s="6" t="inlineStr">
        <is>
          <t>2022-2</t>
        </is>
      </c>
      <c r="J89" s="5" t="n">
        <v>100</v>
      </c>
      <c r="K89" s="5" t="n">
        <v>100</v>
      </c>
      <c r="L89" s="14">
        <f>IFERROR(IF(OR(J89=0,K89=""),"",IF(E89="Positivo",MIN(MAX(K89/J89,0),1.3),MIN(MAX(J89/K89,0),1.3))),"") </f>
        <v/>
      </c>
      <c r="M89" s="14">
        <f>IFERROR(IF(OR(J89=0,K89=""),"",IF(E89="Positivo",MAX(K89/J89,0),MAX(J89/K89,0))),"") </f>
        <v/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94-2022-12-31</t>
        </is>
      </c>
    </row>
    <row r="90">
      <c r="A90" s="5" t="n">
        <v>94</v>
      </c>
      <c r="B90" s="5" t="inlineStr">
        <is>
          <t>Cobertura Elementos de Protección Personal</t>
        </is>
      </c>
      <c r="C90" s="5" t="inlineStr">
        <is>
          <t>GESTIÓN DE SEGURIDAD Y SALUD EN EL TRABAJO</t>
        </is>
      </c>
      <c r="D90" s="5" t="inlineStr">
        <is>
          <t>Anual</t>
        </is>
      </c>
      <c r="E90" s="5" t="inlineStr">
        <is>
          <t>Positivo</t>
        </is>
      </c>
      <c r="F90" s="107" t="n">
        <v>45291</v>
      </c>
      <c r="G90" s="5" t="n">
        <v>2023</v>
      </c>
      <c r="H90" s="5" t="inlineStr">
        <is>
          <t>Diciembre</t>
        </is>
      </c>
      <c r="I90" s="6" t="inlineStr">
        <is>
          <t>2023-2</t>
        </is>
      </c>
      <c r="J90" s="5" t="n">
        <v>100</v>
      </c>
      <c r="K90" s="5" t="n">
        <v>100</v>
      </c>
      <c r="L90" s="74">
        <f>IFERROR(IF(OR(J90=0,K90=""),"",IF(E90="Positivo",MIN(MAX(K90/J90,0),1.3),MIN(MAX(J90/K90,0),1.3))),"") </f>
        <v/>
      </c>
      <c r="M90" s="14">
        <f>IFERROR(IF(OR(J90=0,K90=""),"",IF(E90="Positivo",MAX(K90/J90,0),MAX(J90/K90,0))),"") </f>
        <v/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94-2023-12-31</t>
        </is>
      </c>
    </row>
    <row r="91">
      <c r="A91" s="5" t="n">
        <v>94</v>
      </c>
      <c r="B91" s="5" t="inlineStr">
        <is>
          <t>Cobertura Elementos de Protección Personal</t>
        </is>
      </c>
      <c r="C91" s="5" t="inlineStr">
        <is>
          <t>GESTIÓN DE SEGURIDAD Y SALUD EN EL TRABAJO</t>
        </is>
      </c>
      <c r="D91" s="5" t="inlineStr">
        <is>
          <t>Anual</t>
        </is>
      </c>
      <c r="E91" s="5" t="inlineStr">
        <is>
          <t>Positivo</t>
        </is>
      </c>
      <c r="F91" s="107" t="n">
        <v>45657</v>
      </c>
      <c r="G91" s="5" t="n">
        <v>2024</v>
      </c>
      <c r="H91" s="5" t="inlineStr">
        <is>
          <t>Diciembre</t>
        </is>
      </c>
      <c r="I91" s="6" t="inlineStr">
        <is>
          <t>2024-2</t>
        </is>
      </c>
      <c r="J91" s="5" t="n">
        <v>100</v>
      </c>
      <c r="K91" s="5" t="n">
        <v>100</v>
      </c>
      <c r="L91" s="74">
        <f>IFERROR(IF(OR(J91=0,K91=""),"",IF(E91="Positivo",MIN(MAX(K91/J91,0),1.3),MIN(MAX(J91/K91,0),1.3))),"") </f>
        <v/>
      </c>
      <c r="M91" s="14">
        <f>IFERROR(IF(OR(J91=0,K91=""),"",IF(E91="Positivo",MAX(K91/J91,0),MAX(J91/K91,0))),"") </f>
        <v/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 t="inlineStr">
        <is>
          <t>94-2024-12-31</t>
        </is>
      </c>
    </row>
    <row r="92">
      <c r="A92" s="5" t="n">
        <v>94</v>
      </c>
      <c r="B92" s="5" t="inlineStr">
        <is>
          <t>Cobertura Elementos de Protección Personal</t>
        </is>
      </c>
      <c r="C92" s="5" t="inlineStr">
        <is>
          <t>GESTIÓN DE SEGURIDAD Y SALUD EN EL TRABAJO</t>
        </is>
      </c>
      <c r="D92" s="5" t="inlineStr">
        <is>
          <t>Anual</t>
        </is>
      </c>
      <c r="E92" s="5" t="inlineStr">
        <is>
          <t>Positivo</t>
        </is>
      </c>
      <c r="F92" s="107" t="n">
        <v>46022</v>
      </c>
      <c r="G92" s="5" t="n">
        <v>2025</v>
      </c>
      <c r="H92" s="5" t="inlineStr">
        <is>
          <t>Diciembre</t>
        </is>
      </c>
      <c r="I92" s="6" t="inlineStr">
        <is>
          <t>2025-2</t>
        </is>
      </c>
      <c r="J92" s="5" t="n">
        <v>100</v>
      </c>
      <c r="K92" s="5" t="n">
        <v>100</v>
      </c>
      <c r="L92" s="14">
        <f>IFERROR(IF(OR(J92=0,K92=""),"",IF(E92="Positivo",MIN(MAX(K92/J92,0),1.3),MIN(MAX(J92/K92,0),1.3))),"") </f>
        <v/>
      </c>
      <c r="M92" s="14">
        <f>IFERROR(IF(OR(J92=0,K92=""),"",IF(E92="Positivo",MAX(K92/J92,0),MAX(J92/K92,0))),"") </f>
        <v/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 t="inlineStr">
        <is>
          <t>94-2025-12-31</t>
        </is>
      </c>
    </row>
    <row r="93">
      <c r="A93" s="5" t="n">
        <v>95</v>
      </c>
      <c r="B93" s="5" t="inlineStr">
        <is>
          <t>Inspecciones de seguridad</t>
        </is>
      </c>
      <c r="C93" s="5" t="inlineStr">
        <is>
          <t>GESTIÓN DE SEGURIDAD Y SALUD EN EL TRABAJO</t>
        </is>
      </c>
      <c r="D93" s="5" t="inlineStr">
        <is>
          <t>Trimestral</t>
        </is>
      </c>
      <c r="E93" s="5" t="inlineStr">
        <is>
          <t>Positivo</t>
        </is>
      </c>
      <c r="F93" s="107" t="n">
        <v>44742</v>
      </c>
      <c r="G93" s="15" t="n">
        <v>2022</v>
      </c>
      <c r="H93" s="6" t="inlineStr">
        <is>
          <t>Junio</t>
        </is>
      </c>
      <c r="I93" s="6" t="inlineStr">
        <is>
          <t>2022-1</t>
        </is>
      </c>
      <c r="J93" s="73" t="n">
        <v>100</v>
      </c>
      <c r="K93" s="9" t="n">
        <v>100</v>
      </c>
      <c r="L93" s="14">
        <f>IFERROR(IF(OR(J93=0,K93=""),"",IF(E93="Positivo",MIN(MAX(K93/J93,0),1.3),MIN(MAX(J93/K93,0),1.3))),"") </f>
        <v/>
      </c>
      <c r="M93" s="14">
        <f>IFERROR(IF(OR(J93=0,K93=""),"",IF(E93="Positivo",MAX(K93/J93,0),MAX(J93/K93,0))),"") </f>
        <v/>
      </c>
      <c r="N93" s="9" t="inlineStr">
        <is>
          <t>%</t>
        </is>
      </c>
      <c r="O93" s="9" t="inlineStr">
        <is>
          <t>%</t>
        </is>
      </c>
      <c r="P93" s="5" t="n">
        <v>0</v>
      </c>
      <c r="Q93" s="5" t="n">
        <v>0</v>
      </c>
      <c r="R93" s="5" t="inlineStr">
        <is>
          <t>95-2022-06-30</t>
        </is>
      </c>
    </row>
    <row r="94">
      <c r="A94" s="5" t="n">
        <v>95</v>
      </c>
      <c r="B94" s="5" t="inlineStr">
        <is>
          <t>Inspecciones de seguridad</t>
        </is>
      </c>
      <c r="C94" s="5" t="inlineStr">
        <is>
          <t>GESTIÓN DE SEGURIDAD Y SALUD EN EL TRABAJO</t>
        </is>
      </c>
      <c r="D94" s="5" t="inlineStr">
        <is>
          <t>Trimestral</t>
        </is>
      </c>
      <c r="E94" s="5" t="inlineStr">
        <is>
          <t>Positivo</t>
        </is>
      </c>
      <c r="F94" s="107" t="n">
        <v>44926</v>
      </c>
      <c r="G94" s="15" t="n">
        <v>2022</v>
      </c>
      <c r="H94" s="6" t="inlineStr">
        <is>
          <t>Diciembre</t>
        </is>
      </c>
      <c r="I94" s="6" t="inlineStr">
        <is>
          <t>2022-2</t>
        </is>
      </c>
      <c r="J94" s="73" t="n">
        <v>100</v>
      </c>
      <c r="K94" s="9" t="n">
        <v>100</v>
      </c>
      <c r="L94" s="14">
        <f>IFERROR(IF(OR(J94=0,K94=""),"",IF(E94="Positivo",MIN(MAX(K94/J94,0),1.3),MIN(MAX(J94/K94,0),1.3))),"") </f>
        <v/>
      </c>
      <c r="M94" s="14">
        <f>IFERROR(IF(OR(J94=0,K94=""),"",IF(E94="Positivo",MAX(K94/J94,0),MAX(J94/K94,0))),"") </f>
        <v/>
      </c>
      <c r="N94" s="9" t="inlineStr">
        <is>
          <t>%</t>
        </is>
      </c>
      <c r="O94" s="9" t="inlineStr">
        <is>
          <t>%</t>
        </is>
      </c>
      <c r="P94" s="5" t="n">
        <v>0</v>
      </c>
      <c r="Q94" s="5" t="n">
        <v>0</v>
      </c>
      <c r="R94" s="5" t="inlineStr">
        <is>
          <t>95-2022-12-31</t>
        </is>
      </c>
    </row>
    <row r="95">
      <c r="A95" s="5" t="n">
        <v>95</v>
      </c>
      <c r="B95" s="5" t="inlineStr">
        <is>
          <t>Inspecciones de seguridad</t>
        </is>
      </c>
      <c r="C95" s="5" t="inlineStr">
        <is>
          <t>GESTIÓN DE SEGURIDAD Y SALUD EN EL TRABAJO</t>
        </is>
      </c>
      <c r="D95" s="5" t="inlineStr">
        <is>
          <t>Semestral</t>
        </is>
      </c>
      <c r="E95" s="5" t="inlineStr">
        <is>
          <t>Positivo</t>
        </is>
      </c>
      <c r="F95" s="107" t="n">
        <v>45107</v>
      </c>
      <c r="G95" s="15" t="n">
        <v>2023</v>
      </c>
      <c r="H95" s="6" t="inlineStr">
        <is>
          <t>Junio</t>
        </is>
      </c>
      <c r="I95" s="6" t="inlineStr">
        <is>
          <t>2023-1</t>
        </is>
      </c>
      <c r="J95" s="73" t="n">
        <v>100</v>
      </c>
      <c r="K95" s="9" t="n">
        <v>100</v>
      </c>
      <c r="L95" s="14">
        <f>IFERROR(IF(OR(J95=0,K95=""),"",IF(E95="Positivo",MIN(MAX(K95/J95,0),1.3),MIN(MAX(J95/K95,0),1.3))),"") </f>
        <v/>
      </c>
      <c r="M95" s="14">
        <f>IFERROR(IF(OR(J95=0,K95=""),"",IF(E95="Positivo",MAX(K95/J95,0),MAX(J95/K95,0))),"") </f>
        <v/>
      </c>
      <c r="N95" s="9" t="inlineStr">
        <is>
          <t>%</t>
        </is>
      </c>
      <c r="O95" s="9" t="inlineStr">
        <is>
          <t>%</t>
        </is>
      </c>
      <c r="P95" s="5" t="n">
        <v>0</v>
      </c>
      <c r="Q95" s="5" t="n">
        <v>0</v>
      </c>
      <c r="R95" s="5" t="inlineStr">
        <is>
          <t>95-2023-06-30</t>
        </is>
      </c>
    </row>
    <row r="96">
      <c r="A96" s="26" t="n">
        <v>95</v>
      </c>
      <c r="B96" s="5" t="inlineStr">
        <is>
          <t>Inspecciones de seguridad</t>
        </is>
      </c>
      <c r="C96" s="5" t="inlineStr">
        <is>
          <t>GESTIÓN DE SEGURIDAD Y SALUD EN EL TRABAJO</t>
        </is>
      </c>
      <c r="D96" s="5" t="inlineStr">
        <is>
          <t>Semestral</t>
        </is>
      </c>
      <c r="E96" s="5" t="inlineStr">
        <is>
          <t>Positivo</t>
        </is>
      </c>
      <c r="F96" s="107" t="n">
        <v>45291</v>
      </c>
      <c r="G96" s="5" t="n">
        <v>2023</v>
      </c>
      <c r="H96" s="5" t="inlineStr">
        <is>
          <t>Diciembre</t>
        </is>
      </c>
      <c r="I96" s="6" t="inlineStr">
        <is>
          <t>2023-2</t>
        </is>
      </c>
      <c r="J96" s="73" t="n">
        <v>100</v>
      </c>
      <c r="K96" s="9" t="n">
        <v>100</v>
      </c>
      <c r="L96" s="14">
        <f>IFERROR(IF(OR(J96=0,K96=""),"",IF(E96="Positivo",MIN(MAX(K96/J96,0),1.3),MIN(MAX(J96/K96,0),1.3))),"") </f>
        <v/>
      </c>
      <c r="M96" s="14">
        <f>IFERROR(IF(OR(J96=0,K96=""),"",IF(E96="Positivo",MAX(K96/J96,0),MAX(J96/K96,0))),"") </f>
        <v/>
      </c>
      <c r="N96" s="9" t="inlineStr">
        <is>
          <t>%</t>
        </is>
      </c>
      <c r="O96" s="9" t="inlineStr">
        <is>
          <t>%</t>
        </is>
      </c>
      <c r="P96" s="5" t="n">
        <v>0</v>
      </c>
      <c r="Q96" s="5" t="n">
        <v>0</v>
      </c>
      <c r="R96" s="5" t="inlineStr">
        <is>
          <t>95-2023-12-31</t>
        </is>
      </c>
    </row>
    <row r="97">
      <c r="A97" s="5" t="n">
        <v>95</v>
      </c>
      <c r="B97" s="5" t="inlineStr">
        <is>
          <t>Inspecciones de seguridad</t>
        </is>
      </c>
      <c r="C97" s="5" t="inlineStr">
        <is>
          <t>GESTIÓN DE SEGURIDAD Y SALUD EN EL TRABAJO</t>
        </is>
      </c>
      <c r="D97" s="5" t="inlineStr">
        <is>
          <t>Semestral</t>
        </is>
      </c>
      <c r="E97" s="5" t="inlineStr">
        <is>
          <t>Positivo</t>
        </is>
      </c>
      <c r="F97" s="107" t="n">
        <v>45473</v>
      </c>
      <c r="G97" s="5" t="n">
        <v>2024</v>
      </c>
      <c r="H97" s="5" t="inlineStr">
        <is>
          <t>Junio</t>
        </is>
      </c>
      <c r="I97" s="6" t="inlineStr">
        <is>
          <t>2024-1</t>
        </is>
      </c>
      <c r="J97" s="73" t="n">
        <v>100</v>
      </c>
      <c r="K97" s="9" t="n">
        <v>100</v>
      </c>
      <c r="L97" s="14">
        <f>IFERROR(IF(OR(J97=0,K97=""),"",IF(E97="Positivo",MIN(MAX(K97/J97,0),1.3),MIN(MAX(J97/K97,0),1.3))),"") </f>
        <v/>
      </c>
      <c r="M97" s="14">
        <f>IFERROR(IF(OR(J97=0,K97=""),"",IF(E97="Positivo",MAX(K97/J97,0),MAX(J97/K97,0))),"") </f>
        <v/>
      </c>
      <c r="N97" s="9" t="inlineStr">
        <is>
          <t>%</t>
        </is>
      </c>
      <c r="O97" s="9" t="inlineStr">
        <is>
          <t>%</t>
        </is>
      </c>
      <c r="P97" s="5" t="n">
        <v>0</v>
      </c>
      <c r="Q97" s="5" t="n">
        <v>0</v>
      </c>
      <c r="R97" s="5" t="inlineStr">
        <is>
          <t>95-2024-06-30</t>
        </is>
      </c>
    </row>
    <row r="98">
      <c r="A98" s="5" t="n">
        <v>95</v>
      </c>
      <c r="B98" s="5" t="inlineStr">
        <is>
          <t>Inspecciones de seguridad</t>
        </is>
      </c>
      <c r="C98" s="5" t="inlineStr">
        <is>
          <t>GESTIÓN DE SEGURIDAD Y SALUD EN EL TRABAJO</t>
        </is>
      </c>
      <c r="D98" s="5" t="inlineStr">
        <is>
          <t>Semestral</t>
        </is>
      </c>
      <c r="E98" s="5" t="inlineStr">
        <is>
          <t>Positivo</t>
        </is>
      </c>
      <c r="F98" s="107" t="n">
        <v>45657</v>
      </c>
      <c r="G98" s="5" t="n">
        <v>2024</v>
      </c>
      <c r="H98" s="5" t="inlineStr">
        <is>
          <t>Diciembre</t>
        </is>
      </c>
      <c r="I98" s="6" t="inlineStr">
        <is>
          <t>2024-2</t>
        </is>
      </c>
      <c r="J98" s="73" t="n">
        <v>100</v>
      </c>
      <c r="K98" s="9" t="n">
        <v>100</v>
      </c>
      <c r="L98" s="14">
        <f>IFERROR(IF(OR(J98=0,K98=""),"",IF(E98="Positivo",MIN(MAX(K98/J98,0),1.3),MIN(MAX(J98/K98,0),1.3))),"") </f>
        <v/>
      </c>
      <c r="M98" s="14">
        <f>IFERROR(IF(OR(J98=0,K98=""),"",IF(E98="Positivo",MAX(K98/J98,0),MAX(J98/K98,0))),"") </f>
        <v/>
      </c>
      <c r="N98" s="9" t="inlineStr">
        <is>
          <t>%</t>
        </is>
      </c>
      <c r="O98" s="9" t="inlineStr">
        <is>
          <t>%</t>
        </is>
      </c>
      <c r="P98" s="5" t="n">
        <v>0</v>
      </c>
      <c r="Q98" s="5" t="n">
        <v>0</v>
      </c>
      <c r="R98" s="5" t="inlineStr">
        <is>
          <t>95-2024-12-31</t>
        </is>
      </c>
    </row>
    <row r="99">
      <c r="A99" s="26" t="n">
        <v>95</v>
      </c>
      <c r="B99" s="5" t="inlineStr">
        <is>
          <t>Inspecciones de seguridad</t>
        </is>
      </c>
      <c r="C99" s="5" t="inlineStr">
        <is>
          <t>GESTIÓN DE SEGURIDAD Y SALUD EN EL TRABAJO</t>
        </is>
      </c>
      <c r="D99" s="5" t="inlineStr">
        <is>
          <t>Semestral</t>
        </is>
      </c>
      <c r="E99" s="5" t="inlineStr">
        <is>
          <t>Positivo</t>
        </is>
      </c>
      <c r="F99" s="107" t="n">
        <v>45838</v>
      </c>
      <c r="G99" s="5" t="n">
        <v>2025</v>
      </c>
      <c r="H99" s="5" t="inlineStr">
        <is>
          <t>Junio</t>
        </is>
      </c>
      <c r="I99" s="6" t="inlineStr">
        <is>
          <t>2025-1</t>
        </is>
      </c>
      <c r="J99" s="5" t="n">
        <v>100</v>
      </c>
      <c r="K99" s="5" t="n">
        <v>100</v>
      </c>
      <c r="L99" s="74">
        <f>IFERROR(IF(OR(J99=0,K99=""),"",IF(E99="Positivo",MIN(MAX(K99/J99,0),1.3),MIN(MAX(J99/K99,0),1.3))),"") </f>
        <v/>
      </c>
      <c r="M99" s="14">
        <f>IFERROR(IF(OR(J99=0,K99=""),"",IF(E99="Positivo",MAX(K99/J99,0),MAX(J99/K99,0))),"") </f>
        <v/>
      </c>
      <c r="N99" s="5" t="inlineStr">
        <is>
          <t>%</t>
        </is>
      </c>
      <c r="O99" s="5" t="inlineStr">
        <is>
          <t>%</t>
        </is>
      </c>
      <c r="P99" s="5" t="n">
        <v>0</v>
      </c>
      <c r="Q99" s="5" t="n">
        <v>0</v>
      </c>
      <c r="R99" s="5" t="inlineStr">
        <is>
          <t>95-2025-06-30</t>
        </is>
      </c>
    </row>
    <row r="100">
      <c r="A100" s="5" t="n">
        <v>95</v>
      </c>
      <c r="B100" s="5" t="inlineStr">
        <is>
          <t>Inspecciones de seguridad</t>
        </is>
      </c>
      <c r="C100" s="5" t="inlineStr">
        <is>
          <t>GESTIÓN DE SEGURIDAD Y SALUD EN EL TRABAJO</t>
        </is>
      </c>
      <c r="D100" s="5" t="inlineStr">
        <is>
          <t>Trimestral</t>
        </is>
      </c>
      <c r="E100" s="5" t="inlineStr">
        <is>
          <t>Positivo</t>
        </is>
      </c>
      <c r="F100" s="107" t="n">
        <v>46022</v>
      </c>
      <c r="G100" s="15" t="n">
        <v>2025</v>
      </c>
      <c r="H100" s="6" t="inlineStr">
        <is>
          <t>Diciembre</t>
        </is>
      </c>
      <c r="I100" s="6" t="inlineStr">
        <is>
          <t>2025-2</t>
        </is>
      </c>
      <c r="J100" s="5" t="n">
        <v>100</v>
      </c>
      <c r="K100" s="5" t="n">
        <v>100</v>
      </c>
      <c r="L100" s="74">
        <f>IFERROR(IF(OR(J100=0,K100=""),"",IF(E100="Positivo",MIN(MAX(K100/J100,0),1.3),MIN(MAX(J100/K100,0),1.3))),"") </f>
        <v/>
      </c>
      <c r="M100" s="14">
        <f>IFERROR(IF(OR(J100=0,K100=""),"",IF(E100="Positivo",MAX(K100/J100,0),MAX(J100/K100,0))),"") </f>
        <v/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 t="inlineStr">
        <is>
          <t>95-2025-12-31</t>
        </is>
      </c>
    </row>
    <row r="101">
      <c r="A101" s="5" t="n">
        <v>96</v>
      </c>
      <c r="B101" s="5" t="inlineStr">
        <is>
          <t>Productos de investigación, innovación y creación</t>
        </is>
      </c>
      <c r="C101" s="5" t="inlineStr">
        <is>
          <t>Investigación, desarrollo tecnológico, innovación y creación</t>
        </is>
      </c>
      <c r="D101" s="5" t="inlineStr">
        <is>
          <t>Semestral</t>
        </is>
      </c>
      <c r="E101" s="5" t="inlineStr">
        <is>
          <t>Positivo</t>
        </is>
      </c>
      <c r="F101" s="107" t="n">
        <v>44926</v>
      </c>
      <c r="G101" s="5" t="n">
        <v>2022</v>
      </c>
      <c r="H101" s="5" t="inlineStr">
        <is>
          <t>Diciembre</t>
        </is>
      </c>
      <c r="I101" s="6" t="inlineStr">
        <is>
          <t>2022-2</t>
        </is>
      </c>
      <c r="J101" s="5" t="n">
        <v>509</v>
      </c>
      <c r="K101" s="5" t="n">
        <v>566</v>
      </c>
      <c r="L101" s="14">
        <f>IFERROR(IF(OR(J101=0,K101=""),"",IF(E101="Positivo",MIN(MAX(K101/J101,0),1.3),MIN(MAX(J101/K101,0),1.3))),"") </f>
        <v/>
      </c>
      <c r="M101" s="14">
        <f>IFERROR(IF(OR(J101=0,K101=""),"",IF(E101="Positivo",MAX(K101/J101,0),MAX(J101/K101,0))),"") </f>
        <v/>
      </c>
      <c r="N101" s="5" t="inlineStr">
        <is>
          <t>ENT</t>
        </is>
      </c>
      <c r="O101" s="5" t="inlineStr">
        <is>
          <t>ENT</t>
        </is>
      </c>
      <c r="P101" s="5" t="n">
        <v>0</v>
      </c>
      <c r="Q101" s="5" t="n">
        <v>0</v>
      </c>
      <c r="R101" s="5" t="inlineStr">
        <is>
          <t>96-2022-12-31</t>
        </is>
      </c>
    </row>
    <row r="102">
      <c r="A102" s="5" t="n">
        <v>100</v>
      </c>
      <c r="B102" s="5" t="inlineStr">
        <is>
          <t>Cumplimiento de requisitos legales SST</t>
        </is>
      </c>
      <c r="C102" s="5" t="inlineStr">
        <is>
          <t>GESTIÓN DE SEGURIDAD Y SALUD EN EL TRABAJO</t>
        </is>
      </c>
      <c r="D102" s="5" t="inlineStr">
        <is>
          <t>Anual</t>
        </is>
      </c>
      <c r="E102" s="5" t="inlineStr">
        <is>
          <t>Positivo</t>
        </is>
      </c>
      <c r="F102" s="107" t="n">
        <v>44926</v>
      </c>
      <c r="G102" s="5" t="n">
        <v>2022</v>
      </c>
      <c r="H102" s="5" t="inlineStr">
        <is>
          <t>Diciembre</t>
        </is>
      </c>
      <c r="I102" s="6" t="inlineStr">
        <is>
          <t>2022-2</t>
        </is>
      </c>
      <c r="J102" s="5" t="n">
        <v>100</v>
      </c>
      <c r="K102" s="5" t="n">
        <v>98.3</v>
      </c>
      <c r="L102" s="14">
        <f>IFERROR(IF(OR(J102=0,K102=""),"",IF(E102="Positivo",MIN(MAX(K102/J102,0),1.3),MIN(MAX(J102/K102,0),1.3))),"") </f>
        <v/>
      </c>
      <c r="M102" s="14">
        <f>IFERROR(IF(OR(J102=0,K102=""),"",IF(E102="Positivo",MAX(K102/J102,0),MAX(J102/K102,0))),"") </f>
        <v/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 t="inlineStr">
        <is>
          <t>100-2022-12-31</t>
        </is>
      </c>
    </row>
    <row r="103">
      <c r="A103" s="26" t="n">
        <v>100</v>
      </c>
      <c r="B103" s="5" t="inlineStr">
        <is>
          <t>Cumplimiento de requisitos legales SST</t>
        </is>
      </c>
      <c r="C103" s="5" t="inlineStr">
        <is>
          <t>GESTIÓN DE SEGURIDAD Y SALUD EN EL TRABAJO</t>
        </is>
      </c>
      <c r="D103" s="5" t="inlineStr">
        <is>
          <t>Anual</t>
        </is>
      </c>
      <c r="E103" s="5" t="inlineStr">
        <is>
          <t>Positivo</t>
        </is>
      </c>
      <c r="F103" s="107" t="n">
        <v>45291</v>
      </c>
      <c r="G103" s="5" t="n">
        <v>2023</v>
      </c>
      <c r="H103" s="5" t="inlineStr">
        <is>
          <t>Diciembre</t>
        </is>
      </c>
      <c r="I103" s="6" t="inlineStr">
        <is>
          <t>2023-2</t>
        </is>
      </c>
      <c r="J103" s="5" t="n">
        <v>100</v>
      </c>
      <c r="K103" s="10" t="n">
        <v>99</v>
      </c>
      <c r="L103" s="14">
        <f>IFERROR(IF(OR(J103=0,K103=""),"",IF(E103="Positivo",MIN(MAX(K103/J103,0),1.3),MIN(MAX(J103/K103,0),1.3))),"") </f>
        <v/>
      </c>
      <c r="M103" s="14">
        <f>IFERROR(IF(OR(J103=0,K103=""),"",IF(E103="Positivo",MAX(K103/J103,0),MAX(J103/K103,0))),"") </f>
        <v/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100-2023-12-31</t>
        </is>
      </c>
    </row>
    <row r="104">
      <c r="A104" s="26" t="n">
        <v>100</v>
      </c>
      <c r="B104" s="5" t="inlineStr">
        <is>
          <t>Cumplimiento de requisitos legales SST</t>
        </is>
      </c>
      <c r="C104" s="5" t="inlineStr">
        <is>
          <t>GESTIÓN DE SEGURIDAD Y SALUD EN EL TRABAJO</t>
        </is>
      </c>
      <c r="D104" s="5" t="inlineStr">
        <is>
          <t>Anual</t>
        </is>
      </c>
      <c r="E104" s="5" t="inlineStr">
        <is>
          <t>Positivo</t>
        </is>
      </c>
      <c r="F104" s="107" t="n">
        <v>45657</v>
      </c>
      <c r="G104" s="5" t="n">
        <v>2024</v>
      </c>
      <c r="H104" s="5" t="inlineStr">
        <is>
          <t>Diciembre</t>
        </is>
      </c>
      <c r="I104" s="6" t="inlineStr">
        <is>
          <t>2024-2</t>
        </is>
      </c>
      <c r="J104" s="5" t="n">
        <v>100</v>
      </c>
      <c r="K104" s="5" t="n">
        <v>99</v>
      </c>
      <c r="L104" s="14">
        <f>IFERROR(IF(OR(J104=0,K104=""),"",IF(E104="Positivo",MIN(MAX(K104/J104,0),1.3),MIN(MAX(J104/K104,0),1.3))),"") </f>
        <v/>
      </c>
      <c r="M104" s="14">
        <f>IFERROR(IF(OR(J104=0,K104=""),"",IF(E104="Positivo",MAX(K104/J104,0),MAX(J104/K104,0))),"") </f>
        <v/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100-2024-12-31</t>
        </is>
      </c>
    </row>
    <row r="105">
      <c r="A105" s="26" t="n">
        <v>100</v>
      </c>
      <c r="B105" s="5" t="inlineStr">
        <is>
          <t>Cumplimiento de requisitos legales SST</t>
        </is>
      </c>
      <c r="C105" s="5" t="inlineStr">
        <is>
          <t>GESTIÓN DE SEGURIDAD Y SALUD EN EL TRABAJO</t>
        </is>
      </c>
      <c r="D105" s="5" t="inlineStr">
        <is>
          <t>Anual</t>
        </is>
      </c>
      <c r="E105" s="5" t="inlineStr">
        <is>
          <t>Positivo</t>
        </is>
      </c>
      <c r="F105" s="107" t="n">
        <v>46022</v>
      </c>
      <c r="G105" s="5" t="n">
        <v>2025</v>
      </c>
      <c r="H105" s="5" t="inlineStr">
        <is>
          <t>Diciembre</t>
        </is>
      </c>
      <c r="I105" s="6" t="inlineStr">
        <is>
          <t>2025-2</t>
        </is>
      </c>
      <c r="J105" s="5" t="n">
        <v>100</v>
      </c>
      <c r="K105" s="10" t="n">
        <v>100</v>
      </c>
      <c r="L105" s="14">
        <f>IFERROR(IF(OR(J105=0,K105=""),"",IF(E105="Positivo",MIN(MAX(K105/J105,0),1.3),MIN(MAX(J105/K105,0),1.3))),"") </f>
        <v/>
      </c>
      <c r="M105" s="14">
        <f>IFERROR(IF(OR(J105=0,K105=""),"",IF(E105="Positivo",MAX(K105/J105,0),MAX(J105/K105,0))),"") </f>
        <v/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100-2025-12-31</t>
        </is>
      </c>
    </row>
    <row r="106">
      <c r="A106" s="26" t="n">
        <v>104</v>
      </c>
      <c r="B106" s="5" t="inlineStr">
        <is>
          <t>Tasa de accidentalidad</t>
        </is>
      </c>
      <c r="C106" s="5" t="inlineStr">
        <is>
          <t>GESTIÓN DE SEGURIDAD Y SALUD EN EL TRABAJO</t>
        </is>
      </c>
      <c r="D106" s="5" t="inlineStr">
        <is>
          <t>Anual</t>
        </is>
      </c>
      <c r="E106" s="5" t="inlineStr">
        <is>
          <t>Negativo</t>
        </is>
      </c>
      <c r="F106" s="107" t="n">
        <v>44926</v>
      </c>
      <c r="G106" s="5" t="n">
        <v>2022</v>
      </c>
      <c r="H106" s="5" t="inlineStr">
        <is>
          <t>Diciembre</t>
        </is>
      </c>
      <c r="I106" s="6" t="inlineStr">
        <is>
          <t>2022-2</t>
        </is>
      </c>
      <c r="J106" s="5" t="n">
        <v>2.14</v>
      </c>
      <c r="K106" s="5" t="n">
        <v>0.37174721189591</v>
      </c>
      <c r="L106" s="14">
        <f>IFERROR(IF(OR(J106=0,K106=""),"",IF(E106="Positivo",MIN(MAX(K106/J106,0),1.3),MIN(MAX(J106/K106,0),1.3))),"") </f>
        <v/>
      </c>
      <c r="M106" s="14">
        <f>IFERROR(IF(OR(J106=0,K106=""),"",IF(E106="Positivo",MAX(K106/J106,0),MAX(J106/K106,0))),"") </f>
        <v/>
      </c>
      <c r="N106" s="5" t="inlineStr">
        <is>
          <t>DEC</t>
        </is>
      </c>
      <c r="O106" s="5" t="inlineStr">
        <is>
          <t>DEC</t>
        </is>
      </c>
      <c r="P106" s="5" t="n">
        <v>1</v>
      </c>
      <c r="Q106" s="5" t="n">
        <v>2</v>
      </c>
      <c r="R106" s="5" t="inlineStr">
        <is>
          <t>104-2022-12-31</t>
        </is>
      </c>
    </row>
    <row r="107">
      <c r="A107" s="5" t="n">
        <v>104</v>
      </c>
      <c r="B107" s="5" t="inlineStr">
        <is>
          <t>Tasa de accidentalidad</t>
        </is>
      </c>
      <c r="C107" s="5" t="inlineStr">
        <is>
          <t>GESTIÓN DE SEGURIDAD Y SALUD EN EL TRABAJO</t>
        </is>
      </c>
      <c r="D107" s="5" t="inlineStr">
        <is>
          <t>Anual</t>
        </is>
      </c>
      <c r="E107" s="5" t="inlineStr">
        <is>
          <t>Negativo</t>
        </is>
      </c>
      <c r="F107" s="107" t="n">
        <v>45291</v>
      </c>
      <c r="G107" s="5" t="n">
        <v>2023</v>
      </c>
      <c r="H107" s="5" t="inlineStr">
        <is>
          <t>Diciembre</t>
        </is>
      </c>
      <c r="I107" s="6" t="inlineStr">
        <is>
          <t>2023-2</t>
        </is>
      </c>
      <c r="J107" s="5" t="n">
        <v>2.14</v>
      </c>
      <c r="K107" s="5" t="n">
        <v>0.47</v>
      </c>
      <c r="L107" s="14">
        <f>IFERROR(IF(OR(J107=0,K107=""),"",IF(E107="Positivo",MIN(MAX(K107/J107,0),1.3),MIN(MAX(J107/K107,0),1.3))),"") </f>
        <v/>
      </c>
      <c r="M107" s="14">
        <f>IFERROR(IF(OR(J107=0,K107=""),"",IF(E107="Positivo",MAX(K107/J107,0),MAX(J107/K107,0))),"") </f>
        <v/>
      </c>
      <c r="N107" s="5" t="inlineStr">
        <is>
          <t>DEC</t>
        </is>
      </c>
      <c r="O107" s="5" t="inlineStr">
        <is>
          <t>DEC</t>
        </is>
      </c>
      <c r="P107" s="5" t="n">
        <v>2</v>
      </c>
      <c r="Q107" s="5" t="n">
        <v>2</v>
      </c>
      <c r="R107" s="5" t="inlineStr">
        <is>
          <t>104-2023-12-31</t>
        </is>
      </c>
    </row>
    <row r="108">
      <c r="A108" s="5" t="n">
        <v>104</v>
      </c>
      <c r="B108" s="5" t="inlineStr">
        <is>
          <t>Tasa de accidentalidad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Negativo</t>
        </is>
      </c>
      <c r="F108" s="107" t="n">
        <v>45657</v>
      </c>
      <c r="G108" s="5" t="n">
        <v>2024</v>
      </c>
      <c r="H108" s="5" t="inlineStr">
        <is>
          <t>Diciembre</t>
        </is>
      </c>
      <c r="I108" s="6" t="inlineStr">
        <is>
          <t>2024-2</t>
        </is>
      </c>
      <c r="J108" s="5" t="n">
        <v>1.2</v>
      </c>
      <c r="K108" s="5" t="n">
        <v>0.11</v>
      </c>
      <c r="L108" s="14">
        <f>IFERROR(IF(OR(J108=0,K108=""),"",IF(E108="Positivo",MIN(MAX(K108/J108,0),1.3),MIN(MAX(J108/K108,0),1.3))),"") </f>
        <v/>
      </c>
      <c r="M108" s="14">
        <f>IFERROR(IF(OR(J108=0,K108=""),"",IF(E108="Positivo",MAX(K108/J108,0),MAX(J108/K108,0))),"") </f>
        <v/>
      </c>
      <c r="N108" s="5" t="inlineStr">
        <is>
          <t>DEC</t>
        </is>
      </c>
      <c r="O108" s="5" t="inlineStr">
        <is>
          <t>DEC</t>
        </is>
      </c>
      <c r="P108" s="5" t="n">
        <v>1</v>
      </c>
      <c r="Q108" s="5" t="n">
        <v>2</v>
      </c>
      <c r="R108" s="5" t="inlineStr">
        <is>
          <t>104-2024-12-31</t>
        </is>
      </c>
    </row>
    <row r="109">
      <c r="A109" s="26" t="n">
        <v>104</v>
      </c>
      <c r="B109" s="5" t="inlineStr">
        <is>
          <t>Tasa de accidentalidad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Negativo</t>
        </is>
      </c>
      <c r="F109" s="107" t="n">
        <v>46022</v>
      </c>
      <c r="G109" s="5" t="n">
        <v>2025</v>
      </c>
      <c r="H109" s="5" t="inlineStr">
        <is>
          <t>Diciembre</t>
        </is>
      </c>
      <c r="I109" s="6" t="inlineStr">
        <is>
          <t>2025-2</t>
        </is>
      </c>
      <c r="J109" s="5" t="n">
        <v>2.14</v>
      </c>
      <c r="K109" s="5" t="n">
        <v>0.21</v>
      </c>
      <c r="L109" s="14">
        <f>IFERROR(IF(OR(J109=0,K109=""),"",IF(E109="Positivo",MIN(MAX(K109/J109,0),1.3),MIN(MAX(J109/K109,0),1.3))),"") </f>
        <v/>
      </c>
      <c r="M109" s="14">
        <f>IFERROR(IF(OR(J109=0,K109=""),"",IF(E109="Positivo",MAX(K109/J109,0),MAX(J109/K109,0))),"") </f>
        <v/>
      </c>
      <c r="N109" s="5" t="inlineStr">
        <is>
          <t>DEC</t>
        </is>
      </c>
      <c r="O109" s="5" t="inlineStr">
        <is>
          <t>DEC</t>
        </is>
      </c>
      <c r="P109" s="5" t="n">
        <v>1</v>
      </c>
      <c r="Q109" s="5" t="n">
        <v>2</v>
      </c>
      <c r="R109" s="5" t="inlineStr">
        <is>
          <t>104-2025-12-31</t>
        </is>
      </c>
    </row>
    <row r="110">
      <c r="A110" s="26" t="n">
        <v>106</v>
      </c>
      <c r="B110" s="5" t="inlineStr">
        <is>
          <t>Mortalidad de los accidentes laborales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Negativo</t>
        </is>
      </c>
      <c r="F110" s="107" t="n">
        <v>44926</v>
      </c>
      <c r="G110" s="5" t="n">
        <v>2022</v>
      </c>
      <c r="H110" s="5" t="inlineStr">
        <is>
          <t>Diciembre</t>
        </is>
      </c>
      <c r="I110" s="6" t="inlineStr">
        <is>
          <t>2022-2</t>
        </is>
      </c>
      <c r="J110" s="5" t="n">
        <v>0</v>
      </c>
      <c r="K110" s="5" t="n">
        <v>0</v>
      </c>
      <c r="L110" s="14">
        <f>IFERROR(IF(OR(J110=0,K110=""),"",IF(E110="Positivo",MIN(MAX(K110/J110,0),1.3),MIN(MAX(J110/K110,0),1.3))),"") </f>
        <v/>
      </c>
      <c r="M110" s="14">
        <f>IFERROR(IF(OR(J110=0,K110=""),"",IF(E110="Positivo",MAX(K110/J110,0),MAX(J110/K110,0))),"") </f>
        <v/>
      </c>
      <c r="N110" s="5" t="inlineStr">
        <is>
          <t>DEC</t>
        </is>
      </c>
      <c r="O110" s="5" t="inlineStr">
        <is>
          <t>DEC</t>
        </is>
      </c>
      <c r="P110" s="5" t="n">
        <v>0</v>
      </c>
      <c r="Q110" s="5" t="n">
        <v>0</v>
      </c>
      <c r="R110" s="5" t="inlineStr">
        <is>
          <t>106-2022-12-31</t>
        </is>
      </c>
    </row>
    <row r="111">
      <c r="A111" s="26" t="n">
        <v>106</v>
      </c>
      <c r="B111" s="5" t="inlineStr">
        <is>
          <t>Mortalidad de los accidentes laborales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Negativo</t>
        </is>
      </c>
      <c r="F111" s="107" t="n">
        <v>45291</v>
      </c>
      <c r="G111" s="5" t="n">
        <v>2023</v>
      </c>
      <c r="H111" s="5" t="inlineStr">
        <is>
          <t>Diciembre</t>
        </is>
      </c>
      <c r="I111" s="6" t="inlineStr">
        <is>
          <t>2023-2</t>
        </is>
      </c>
      <c r="J111" s="5" t="n">
        <v>0</v>
      </c>
      <c r="K111" s="5" t="n">
        <v>0</v>
      </c>
      <c r="L111" s="14">
        <f>IFERROR(IF(OR(J111=0,K111=""),"",IF(E111="Positivo",MIN(MAX(K111/J111,0),1.3),MIN(MAX(J111/K111,0),1.3))),"") </f>
        <v/>
      </c>
      <c r="M111" s="14">
        <f>IFERROR(IF(OR(J111=0,K111=""),"",IF(E111="Positivo",MAX(K111/J111,0),MAX(J111/K111,0))),"") </f>
        <v/>
      </c>
      <c r="N111" s="5" t="inlineStr">
        <is>
          <t>ENT</t>
        </is>
      </c>
      <c r="O111" s="5" t="inlineStr">
        <is>
          <t>ENT</t>
        </is>
      </c>
      <c r="P111" s="5" t="n">
        <v>0</v>
      </c>
      <c r="Q111" s="5" t="n">
        <v>0</v>
      </c>
      <c r="R111" s="5" t="inlineStr">
        <is>
          <t>106-2023-12-31</t>
        </is>
      </c>
    </row>
    <row r="112">
      <c r="A112" s="26" t="n">
        <v>106</v>
      </c>
      <c r="B112" s="5" t="inlineStr">
        <is>
          <t>Mortalidad de los accidentes laborales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Negativo</t>
        </is>
      </c>
      <c r="F112" s="107" t="n">
        <v>45657</v>
      </c>
      <c r="G112" s="5" t="n">
        <v>2024</v>
      </c>
      <c r="H112" s="5" t="inlineStr">
        <is>
          <t>Diciembre</t>
        </is>
      </c>
      <c r="I112" s="6" t="inlineStr">
        <is>
          <t>2024-2</t>
        </is>
      </c>
      <c r="J112" s="5" t="n">
        <v>0</v>
      </c>
      <c r="K112" s="5" t="n">
        <v>0</v>
      </c>
      <c r="L112" s="14">
        <f>IFERROR(IF(OR(J112=0,K112=""),"",IF(E112="Positivo",MIN(MAX(K112/J112,0),1.3),MIN(MAX(J112/K112,0),1.3))),"") </f>
        <v/>
      </c>
      <c r="M112" s="14">
        <f>IFERROR(IF(OR(J112=0,K112=""),"",IF(E112="Positivo",MAX(K112/J112,0),MAX(J112/K112,0))),"") </f>
        <v/>
      </c>
      <c r="N112" s="5" t="inlineStr">
        <is>
          <t>ENT</t>
        </is>
      </c>
      <c r="O112" s="5" t="inlineStr">
        <is>
          <t>ENT</t>
        </is>
      </c>
      <c r="P112" s="5" t="n">
        <v>0</v>
      </c>
      <c r="Q112" s="5" t="n">
        <v>0</v>
      </c>
      <c r="R112" s="5" t="inlineStr">
        <is>
          <t>106-2024-12-31</t>
        </is>
      </c>
    </row>
    <row r="113">
      <c r="A113" s="5" t="n">
        <v>106</v>
      </c>
      <c r="B113" s="5" t="inlineStr">
        <is>
          <t>Mortalidad de los accidentes laborales</t>
        </is>
      </c>
      <c r="C113" s="5" t="inlineStr">
        <is>
          <t>GESTIÓN DE SEGURIDAD Y SALUD EN EL TRABAJO</t>
        </is>
      </c>
      <c r="D113" s="5" t="inlineStr">
        <is>
          <t>Anual</t>
        </is>
      </c>
      <c r="E113" s="5" t="inlineStr">
        <is>
          <t>Negativo</t>
        </is>
      </c>
      <c r="F113" s="107" t="n">
        <v>46022</v>
      </c>
      <c r="G113" s="5" t="n">
        <v>2025</v>
      </c>
      <c r="H113" s="5" t="inlineStr">
        <is>
          <t>Diciembre</t>
        </is>
      </c>
      <c r="I113" s="6" t="inlineStr">
        <is>
          <t>2025-2</t>
        </is>
      </c>
      <c r="J113" s="5" t="n">
        <v>0</v>
      </c>
      <c r="K113" s="5" t="n">
        <v>0</v>
      </c>
      <c r="L113" s="14">
        <f>IFERROR(IF(OR(J113=0,K113=""),"",IF(E113="Positivo",MIN(MAX(K113/J113,0),1.3),MIN(MAX(J113/K113,0),1.3))),"") </f>
        <v/>
      </c>
      <c r="M113" s="14">
        <f>IFERROR(IF(OR(J113=0,K113=""),"",IF(E113="Positivo",MAX(K113/J113,0),MAX(J113/K113,0))),"") </f>
        <v/>
      </c>
      <c r="N113" s="5" t="inlineStr">
        <is>
          <t>DEC</t>
        </is>
      </c>
      <c r="O113" s="5" t="inlineStr">
        <is>
          <t>DEC</t>
        </is>
      </c>
      <c r="P113" s="5" t="n">
        <v>0</v>
      </c>
      <c r="Q113" s="5" t="n">
        <v>0</v>
      </c>
      <c r="R113" s="5" t="inlineStr">
        <is>
          <t>106-2025-12-31</t>
        </is>
      </c>
    </row>
    <row r="114">
      <c r="A114" s="5" t="n">
        <v>108</v>
      </c>
      <c r="B114" s="5" t="inlineStr">
        <is>
          <t>Nivel de Satisfacción Servicios Prestados</t>
        </is>
      </c>
      <c r="C114" s="5" t="inlineStr">
        <is>
          <t>DIRECCIONAMIENTO ESTRATÉGICO</t>
        </is>
      </c>
      <c r="D114" s="5" t="inlineStr">
        <is>
          <t>Anual</t>
        </is>
      </c>
      <c r="E114" s="5" t="inlineStr">
        <is>
          <t>Positivo</t>
        </is>
      </c>
      <c r="F114" s="107" t="n">
        <v>45291</v>
      </c>
      <c r="G114" s="5" t="n">
        <v>2023</v>
      </c>
      <c r="H114" s="5" t="inlineStr">
        <is>
          <t>Diciembre</t>
        </is>
      </c>
      <c r="I114" s="6" t="inlineStr">
        <is>
          <t>2023-2</t>
        </is>
      </c>
      <c r="J114" s="5" t="n"/>
      <c r="K114" s="5" t="n"/>
      <c r="L114" s="8" t="n"/>
      <c r="M114" s="14" t="n"/>
      <c r="N114" s="5" t="n"/>
      <c r="O114" s="5" t="n"/>
      <c r="P114" s="5" t="n">
        <v>0</v>
      </c>
      <c r="Q114" s="5" t="n">
        <v>0</v>
      </c>
      <c r="R114" s="5" t="inlineStr">
        <is>
          <t>108-2023-12-31</t>
        </is>
      </c>
    </row>
    <row r="115">
      <c r="A115" s="26" t="n">
        <v>108</v>
      </c>
      <c r="B115" s="5" t="inlineStr">
        <is>
          <t>Nivel de Satisfacción Servicios Prestados</t>
        </is>
      </c>
      <c r="C115" s="5" t="inlineStr">
        <is>
          <t>DIRECCIONAMIENTO ESTRATÉGICO</t>
        </is>
      </c>
      <c r="D115" s="5" t="inlineStr">
        <is>
          <t>Anual</t>
        </is>
      </c>
      <c r="E115" s="5" t="inlineStr">
        <is>
          <t>Positivo</t>
        </is>
      </c>
      <c r="F115" s="107" t="n">
        <v>45657</v>
      </c>
      <c r="G115" s="5" t="n">
        <v>2024</v>
      </c>
      <c r="H115" s="5" t="inlineStr">
        <is>
          <t>Diciembre</t>
        </is>
      </c>
      <c r="I115" s="6" t="inlineStr">
        <is>
          <t>2024-2</t>
        </is>
      </c>
      <c r="J115" s="5" t="n"/>
      <c r="K115" s="5" t="n"/>
      <c r="L115" s="14" t="n"/>
      <c r="M115" s="14" t="n"/>
      <c r="N115" s="5" t="n"/>
      <c r="O115" s="5" t="n"/>
      <c r="P115" s="5" t="n">
        <v>0</v>
      </c>
      <c r="Q115" s="5" t="n">
        <v>0</v>
      </c>
      <c r="R115" s="5" t="inlineStr">
        <is>
          <t>108-2024-12-31</t>
        </is>
      </c>
    </row>
    <row r="116">
      <c r="A116" s="26" t="n">
        <v>109</v>
      </c>
      <c r="B116" s="5" t="inlineStr">
        <is>
          <t>Nivel de Satisfacción Servicios Prestados</t>
        </is>
      </c>
      <c r="C116" s="5" t="inlineStr">
        <is>
          <t>COMUNICACIÓN Y POSICIONAMIENTO ESTRATÉGICO</t>
        </is>
      </c>
      <c r="D116" s="5" t="inlineStr">
        <is>
          <t>Anual</t>
        </is>
      </c>
      <c r="E116" s="5" t="inlineStr">
        <is>
          <t>Positivo</t>
        </is>
      </c>
      <c r="F116" s="107" t="n">
        <v>45291</v>
      </c>
      <c r="G116" s="5" t="n">
        <v>2023</v>
      </c>
      <c r="H116" s="5" t="inlineStr">
        <is>
          <t>Diciembre</t>
        </is>
      </c>
      <c r="I116" s="6" t="inlineStr">
        <is>
          <t>2023-2</t>
        </is>
      </c>
      <c r="J116" s="5" t="n"/>
      <c r="K116" s="5" t="n"/>
      <c r="L116" s="8" t="n"/>
      <c r="M116" s="14" t="n"/>
      <c r="N116" s="5" t="n"/>
      <c r="O116" s="5" t="n"/>
      <c r="P116" s="5" t="n">
        <v>0</v>
      </c>
      <c r="Q116" s="5" t="n">
        <v>0</v>
      </c>
      <c r="R116" s="5" t="inlineStr">
        <is>
          <t>109-2023-12-31</t>
        </is>
      </c>
    </row>
    <row r="117">
      <c r="A117" s="5" t="n">
        <v>109</v>
      </c>
      <c r="B117" s="5" t="inlineStr">
        <is>
          <t>Nivel de Satisfacción Servicios Prestados</t>
        </is>
      </c>
      <c r="C117" s="5" t="inlineStr">
        <is>
          <t>Comunicaciones Internas</t>
        </is>
      </c>
      <c r="D117" s="5" t="inlineStr">
        <is>
          <t>Anual</t>
        </is>
      </c>
      <c r="E117" s="5" t="inlineStr">
        <is>
          <t>Positivo</t>
        </is>
      </c>
      <c r="F117" s="107" t="n">
        <v>45657</v>
      </c>
      <c r="G117" s="5" t="n">
        <v>2024</v>
      </c>
      <c r="H117" s="5" t="inlineStr">
        <is>
          <t>Diciembre</t>
        </is>
      </c>
      <c r="I117" s="6" t="inlineStr">
        <is>
          <t>2024-2</t>
        </is>
      </c>
      <c r="J117" s="5" t="n"/>
      <c r="K117" s="5" t="n"/>
      <c r="L117" s="14" t="n"/>
      <c r="M117" s="14" t="n"/>
      <c r="N117" s="5" t="n"/>
      <c r="O117" s="5" t="n"/>
      <c r="P117" s="5" t="n">
        <v>0</v>
      </c>
      <c r="Q117" s="5" t="n">
        <v>0</v>
      </c>
      <c r="R117" s="5" t="inlineStr">
        <is>
          <t>109-2024-12-31</t>
        </is>
      </c>
    </row>
    <row r="118">
      <c r="A118" s="26" t="n">
        <v>110</v>
      </c>
      <c r="B118" s="5" t="inlineStr">
        <is>
          <t>Nivel de Satisfacción Servicios Prestados</t>
        </is>
      </c>
      <c r="C118" s="5" t="inlineStr">
        <is>
          <t>Planeación Financiera</t>
        </is>
      </c>
      <c r="D118" s="5" t="inlineStr">
        <is>
          <t>Anual</t>
        </is>
      </c>
      <c r="E118" s="5" t="inlineStr">
        <is>
          <t>Positivo</t>
        </is>
      </c>
      <c r="F118" s="107" t="n">
        <v>44865</v>
      </c>
      <c r="G118" s="5" t="n">
        <v>2022</v>
      </c>
      <c r="H118" s="5" t="inlineStr">
        <is>
          <t>Octubre</t>
        </is>
      </c>
      <c r="I118" s="6" t="inlineStr">
        <is>
          <t>2022-2</t>
        </is>
      </c>
      <c r="J118" s="5" t="n">
        <v>80</v>
      </c>
      <c r="K118" s="15" t="n">
        <v>73.4019151138716</v>
      </c>
      <c r="L118" s="14">
        <f>IFERROR(IF(OR(J118=0,K118=""),"",IF(E118="Positivo",MIN(MAX(K118/J118,0),1.3),MIN(MAX(J118/K118,0),1.3))),"") </f>
        <v/>
      </c>
      <c r="M118" s="14">
        <f>IFERROR(IF(OR(J118=0,K118=""),"",IF(E118="Positivo",MAX(K118/J118,0),MAX(J118/K118,0))),"") </f>
        <v/>
      </c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 t="inlineStr">
        <is>
          <t>110-2022-10-31</t>
        </is>
      </c>
    </row>
    <row r="119">
      <c r="A119" s="26" t="n">
        <v>110</v>
      </c>
      <c r="B119" s="5" t="inlineStr">
        <is>
          <t>Nivel de Satisfacción Servicios Prestados</t>
        </is>
      </c>
      <c r="C119" s="5" t="inlineStr">
        <is>
          <t>Planeación Financiera</t>
        </is>
      </c>
      <c r="D119" s="5" t="inlineStr">
        <is>
          <t>Anual</t>
        </is>
      </c>
      <c r="E119" s="5" t="inlineStr">
        <is>
          <t>Positivo</t>
        </is>
      </c>
      <c r="F119" s="107" t="n">
        <v>45291</v>
      </c>
      <c r="G119" s="5" t="n">
        <v>2023</v>
      </c>
      <c r="H119" s="5" t="inlineStr">
        <is>
          <t>Diciembre</t>
        </is>
      </c>
      <c r="I119" s="6" t="inlineStr">
        <is>
          <t>2023-2</t>
        </is>
      </c>
      <c r="J119" s="5" t="n">
        <v>80</v>
      </c>
      <c r="K119" s="15" t="n">
        <v>78</v>
      </c>
      <c r="L119" s="14">
        <f>IFERROR(IF(OR(J119=0,K119=""),"",IF(E119="Positivo",MIN(MAX(K119/J119,0),1.3),MIN(MAX(J119/K119,0),1.3))),"") </f>
        <v/>
      </c>
      <c r="M119" s="14">
        <f>IFERROR(IF(OR(J119=0,K119=""),"",IF(E119="Positivo",MAX(K119/J119,0),MAX(J119/K119,0))),"") </f>
        <v/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110-2023-12-31</t>
        </is>
      </c>
    </row>
    <row r="120">
      <c r="A120" s="5" t="n">
        <v>110</v>
      </c>
      <c r="B120" s="5" t="inlineStr">
        <is>
          <t>Nivel de Satisfacción Servicios Prestados</t>
        </is>
      </c>
      <c r="C120" s="5" t="inlineStr">
        <is>
          <t>GESTIÓN FINANCIERA</t>
        </is>
      </c>
      <c r="D120" s="5" t="inlineStr">
        <is>
          <t>Anual</t>
        </is>
      </c>
      <c r="E120" s="5" t="inlineStr">
        <is>
          <t>Positivo</t>
        </is>
      </c>
      <c r="F120" s="107" t="n">
        <v>45657</v>
      </c>
      <c r="G120" s="5" t="n">
        <v>2024</v>
      </c>
      <c r="H120" s="5" t="inlineStr">
        <is>
          <t>Diciembre</t>
        </is>
      </c>
      <c r="I120" s="6" t="inlineStr">
        <is>
          <t>2024-2</t>
        </is>
      </c>
      <c r="J120" s="5" t="n"/>
      <c r="K120" s="15" t="n"/>
      <c r="L120" s="14" t="n"/>
      <c r="M120" s="14" t="n"/>
      <c r="N120" s="5" t="n"/>
      <c r="O120" s="5" t="n"/>
      <c r="P120" s="5" t="n">
        <v>0</v>
      </c>
      <c r="Q120" s="5" t="n">
        <v>0</v>
      </c>
      <c r="R120" s="5" t="inlineStr">
        <is>
          <t>110-2024-12-31</t>
        </is>
      </c>
    </row>
    <row r="121">
      <c r="A121" s="5" t="n">
        <v>111</v>
      </c>
      <c r="B121" s="5" t="inlineStr">
        <is>
          <t>Nivel de Satisfacción Servicios Prestados</t>
        </is>
      </c>
      <c r="C121" s="5" t="inlineStr">
        <is>
          <t>GESTIÓN DE ABASTECIMIENTO</t>
        </is>
      </c>
      <c r="D121" s="5" t="inlineStr">
        <is>
          <t>Semestral</t>
        </is>
      </c>
      <c r="E121" s="5" t="inlineStr">
        <is>
          <t>Positivo</t>
        </is>
      </c>
      <c r="F121" s="107" t="n">
        <v>44926</v>
      </c>
      <c r="G121" s="5" t="n">
        <v>2022</v>
      </c>
      <c r="H121" s="5" t="inlineStr">
        <is>
          <t>Diciembre</t>
        </is>
      </c>
      <c r="I121" s="6" t="inlineStr">
        <is>
          <t>2022-2</t>
        </is>
      </c>
      <c r="J121" s="5" t="n">
        <v>80</v>
      </c>
      <c r="K121" s="5" t="n">
        <v>70</v>
      </c>
      <c r="L121" s="14">
        <f>IFERROR(IF(OR(J121=0,K121=""),"",IF(E121="Positivo",MIN(MAX(K121/J121,0),1.3),MIN(MAX(J121/K121,0),1.3))),"") </f>
        <v/>
      </c>
      <c r="M121" s="14">
        <f>IFERROR(IF(OR(J121=0,K121=""),"",IF(E121="Positivo",MAX(K121/J121,0),MAX(J121/K121,0))),"") </f>
        <v/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 t="inlineStr">
        <is>
          <t>111-2022-12-31</t>
        </is>
      </c>
    </row>
    <row r="122">
      <c r="A122" s="26" t="n">
        <v>111</v>
      </c>
      <c r="B122" s="5" t="inlineStr">
        <is>
          <t>Nivel de Satisfacción Servicios Prestados</t>
        </is>
      </c>
      <c r="C122" s="5" t="inlineStr">
        <is>
          <t>GESTIÓN DE ABASTECIMIENTO</t>
        </is>
      </c>
      <c r="D122" s="5" t="inlineStr">
        <is>
          <t>Trimestral</t>
        </is>
      </c>
      <c r="E122" s="5" t="inlineStr">
        <is>
          <t>Positivo</t>
        </is>
      </c>
      <c r="F122" s="107" t="n">
        <v>45107</v>
      </c>
      <c r="G122" s="5" t="n">
        <v>2023</v>
      </c>
      <c r="H122" s="5" t="inlineStr">
        <is>
          <t>Junio</t>
        </is>
      </c>
      <c r="I122" s="6" t="inlineStr">
        <is>
          <t>2023-1</t>
        </is>
      </c>
      <c r="J122" s="5" t="n">
        <v>80</v>
      </c>
      <c r="K122" s="5" t="n">
        <v>88.5</v>
      </c>
      <c r="L122" s="14">
        <f>IFERROR(IF(OR(J122=0,K122=""),"",IF(E122="Positivo",MIN(MAX(K122/J122,0),1.3),MIN(MAX(J122/K122,0),1.3))),"") </f>
        <v/>
      </c>
      <c r="M122" s="14">
        <f>IFERROR(IF(OR(J122=0,K122=""),"",IF(E122="Positivo",MAX(K122/J122,0),MAX(J122/K122,0))),"") </f>
        <v/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 t="inlineStr">
        <is>
          <t>111-2023-06-30</t>
        </is>
      </c>
    </row>
    <row r="123">
      <c r="A123" s="5" t="n">
        <v>111</v>
      </c>
      <c r="B123" s="5" t="inlineStr">
        <is>
          <t>Nivel de Satisfacción Servicios Prestados</t>
        </is>
      </c>
      <c r="C123" s="5" t="inlineStr">
        <is>
          <t>GESTIÓN DE ABASTECIMIENTO</t>
        </is>
      </c>
      <c r="D123" s="5" t="inlineStr">
        <is>
          <t>Trimestral</t>
        </is>
      </c>
      <c r="E123" s="5" t="inlineStr">
        <is>
          <t>Positivo</t>
        </is>
      </c>
      <c r="F123" s="107" t="n">
        <v>45291</v>
      </c>
      <c r="G123" s="5" t="n">
        <v>2023</v>
      </c>
      <c r="H123" s="5" t="inlineStr">
        <is>
          <t>Diciembre</t>
        </is>
      </c>
      <c r="I123" s="6" t="inlineStr">
        <is>
          <t>2023-2</t>
        </is>
      </c>
      <c r="J123" s="5" t="n">
        <v>80</v>
      </c>
      <c r="K123" s="5" t="n">
        <v>94.5</v>
      </c>
      <c r="L123" s="14">
        <f>IFERROR(IF(OR(J123=0,K123=""),"",IF(E123="Positivo",MIN(MAX(K123/J123,0),1.3),MIN(MAX(J123/K123,0),1.3))),"") </f>
        <v/>
      </c>
      <c r="M123" s="14">
        <f>IFERROR(IF(OR(J123=0,K123=""),"",IF(E123="Positivo",MAX(K123/J123,0),MAX(J123/K123,0))),"") </f>
        <v/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111-2023-12-31</t>
        </is>
      </c>
    </row>
    <row r="124">
      <c r="A124" s="26" t="n">
        <v>111</v>
      </c>
      <c r="B124" s="5" t="inlineStr">
        <is>
          <t>Nivel de Satisfacción Servicios Prestados</t>
        </is>
      </c>
      <c r="C124" s="5" t="inlineStr">
        <is>
          <t>GESTIÓN DE ABASTECIMIENTO</t>
        </is>
      </c>
      <c r="D124" s="5" t="inlineStr">
        <is>
          <t>Trimestral</t>
        </is>
      </c>
      <c r="E124" s="5" t="inlineStr">
        <is>
          <t>Positivo</t>
        </is>
      </c>
      <c r="F124" s="107" t="n">
        <v>45473</v>
      </c>
      <c r="G124" s="5" t="n">
        <v>2024</v>
      </c>
      <c r="H124" s="5" t="inlineStr">
        <is>
          <t>Junio</t>
        </is>
      </c>
      <c r="I124" s="6" t="inlineStr">
        <is>
          <t>2024-1</t>
        </is>
      </c>
      <c r="J124" s="5" t="n">
        <v>80</v>
      </c>
      <c r="K124" s="5" t="n">
        <v>96</v>
      </c>
      <c r="L124" s="14">
        <f>IFERROR(IF(OR(J124=0,K124=""),"",IF(E124="Positivo",MIN(MAX(K124/J124,0),1.3),MIN(MAX(J124/K124,0),1.3))),"") </f>
        <v/>
      </c>
      <c r="M124" s="14">
        <f>IFERROR(IF(OR(J124=0,K124=""),"",IF(E124="Positivo",MAX(K124/J124,0),MAX(J124/K124,0))),"") </f>
        <v/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111-2024-06-30</t>
        </is>
      </c>
    </row>
    <row r="125">
      <c r="A125" s="5" t="n">
        <v>111</v>
      </c>
      <c r="B125" s="5" t="inlineStr">
        <is>
          <t>Nivel de Satisfacción Servicios Prestados</t>
        </is>
      </c>
      <c r="C125" s="5" t="inlineStr">
        <is>
          <t>GESTIÓN DE ABASTECIMIENTO</t>
        </is>
      </c>
      <c r="D125" s="5" t="inlineStr">
        <is>
          <t>Trimestral</t>
        </is>
      </c>
      <c r="E125" s="5" t="inlineStr">
        <is>
          <t>Positivo</t>
        </is>
      </c>
      <c r="F125" s="107" t="n">
        <v>45657</v>
      </c>
      <c r="G125" s="5" t="n">
        <v>2024</v>
      </c>
      <c r="H125" s="5" t="inlineStr">
        <is>
          <t>Diciembre</t>
        </is>
      </c>
      <c r="I125" s="6" t="inlineStr">
        <is>
          <t>2024-2</t>
        </is>
      </c>
      <c r="J125" s="5" t="n">
        <v>80</v>
      </c>
      <c r="K125" s="5" t="n">
        <v>89.34999999999999</v>
      </c>
      <c r="L125" s="14">
        <f>IFERROR(IF(OR(J125=0,K125=""),"",IF(E125="Positivo",MIN(MAX(K125/J125,0),1.3),MIN(MAX(J125/K125,0),1.3))),"") </f>
        <v/>
      </c>
      <c r="M125" s="14">
        <f>IFERROR(IF(OR(J125=0,K125=""),"",IF(E125="Positivo",MAX(K125/J125,0),MAX(J125/K125,0))),"") </f>
        <v/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111-2024-12-31</t>
        </is>
      </c>
    </row>
    <row r="126">
      <c r="A126" s="5" t="n">
        <v>111</v>
      </c>
      <c r="B126" s="5" t="inlineStr">
        <is>
          <t>Nivel de Satisfacción Servicios Prestados</t>
        </is>
      </c>
      <c r="C126" s="5" t="inlineStr">
        <is>
          <t>GESTIÓN DE ABASTECIMIENTO</t>
        </is>
      </c>
      <c r="D126" s="5" t="inlineStr">
        <is>
          <t>Trimestral</t>
        </is>
      </c>
      <c r="E126" s="5" t="inlineStr">
        <is>
          <t>Positivo</t>
        </is>
      </c>
      <c r="F126" s="107" t="n">
        <v>45838</v>
      </c>
      <c r="G126" s="5" t="n">
        <v>2025</v>
      </c>
      <c r="H126" s="5" t="inlineStr">
        <is>
          <t>Junio</t>
        </is>
      </c>
      <c r="I126" s="6" t="inlineStr">
        <is>
          <t>2025-1</t>
        </is>
      </c>
      <c r="J126" s="5" t="n">
        <v>80</v>
      </c>
      <c r="K126" s="5" t="n">
        <v>96.34999999999999</v>
      </c>
      <c r="L126" s="14">
        <f>IFERROR(IF(OR(J126=0,K126=""),"",IF(E126="Positivo",MIN(MAX(K126/J126,0),1.3),MIN(MAX(J126/K126,0),1.3))),"") </f>
        <v/>
      </c>
      <c r="M126" s="14">
        <f>IFERROR(IF(OR(J126=0,K126=""),"",IF(E126="Positivo",MAX(K126/J126,0),MAX(J126/K126,0))),"") </f>
        <v/>
      </c>
      <c r="N126" s="5" t="inlineStr">
        <is>
          <t>%</t>
        </is>
      </c>
      <c r="O126" s="5" t="inlineStr">
        <is>
          <t>%</t>
        </is>
      </c>
      <c r="P126" s="5" t="n">
        <v>0</v>
      </c>
      <c r="Q126" s="5" t="n">
        <v>0</v>
      </c>
      <c r="R126" s="5" t="inlineStr">
        <is>
          <t>111-2025-06-30</t>
        </is>
      </c>
    </row>
    <row r="127">
      <c r="A127" s="5" t="n">
        <v>111</v>
      </c>
      <c r="B127" s="5" t="inlineStr">
        <is>
          <t>Nivel de Satisfacción Servicios Prestados</t>
        </is>
      </c>
      <c r="C127" s="5" t="inlineStr">
        <is>
          <t>GESTIÓN DE ABASTECIMIENTO</t>
        </is>
      </c>
      <c r="D127" s="5" t="inlineStr">
        <is>
          <t>Semestral</t>
        </is>
      </c>
      <c r="E127" s="5" t="inlineStr">
        <is>
          <t>Positivo</t>
        </is>
      </c>
      <c r="F127" s="107" t="n">
        <v>46022</v>
      </c>
      <c r="G127" s="5" t="n">
        <v>2025</v>
      </c>
      <c r="H127" s="5" t="inlineStr">
        <is>
          <t>Diciembre</t>
        </is>
      </c>
      <c r="I127" s="6" t="inlineStr">
        <is>
          <t>2025-2</t>
        </is>
      </c>
      <c r="J127" s="5" t="n">
        <v>80</v>
      </c>
      <c r="K127" s="5" t="n">
        <v>94.55</v>
      </c>
      <c r="L127" s="74">
        <f>IFERROR(IF(OR(J127=0,K127=""),"",IF(E127="Positivo",MIN(MAX(K127/J127,0),1.3),MIN(MAX(J127/K127,0),1.3))),"") </f>
        <v/>
      </c>
      <c r="M127" s="14">
        <f>IFERROR(IF(OR(J127=0,K127=""),"",IF(E127="Positivo",MAX(K127/J127,0),MAX(J127/K127,0))),"") </f>
        <v/>
      </c>
      <c r="N127" s="5" t="inlineStr">
        <is>
          <t>%</t>
        </is>
      </c>
      <c r="O127" s="5" t="inlineStr">
        <is>
          <t>%</t>
        </is>
      </c>
      <c r="P127" s="5" t="n">
        <v>0</v>
      </c>
      <c r="Q127" s="5" t="n">
        <v>0</v>
      </c>
      <c r="R127" s="5" t="inlineStr">
        <is>
          <t>111-2025-12-31</t>
        </is>
      </c>
    </row>
    <row r="128">
      <c r="A128" s="5" t="n">
        <v>112</v>
      </c>
      <c r="B128" s="5" t="inlineStr">
        <is>
          <t>Nivel de Satisfacción Servicios Prestados</t>
        </is>
      </c>
      <c r="C128" s="5" t="inlineStr">
        <is>
          <t>Gestión Infraestructura Física</t>
        </is>
      </c>
      <c r="D128" s="5" t="inlineStr">
        <is>
          <t>Anual</t>
        </is>
      </c>
      <c r="E128" s="5" t="inlineStr">
        <is>
          <t>Positivo</t>
        </is>
      </c>
      <c r="F128" s="107" t="n">
        <v>44865</v>
      </c>
      <c r="G128" s="5" t="n">
        <v>2022</v>
      </c>
      <c r="H128" s="5" t="inlineStr">
        <is>
          <t>Octubre</t>
        </is>
      </c>
      <c r="I128" s="6" t="inlineStr">
        <is>
          <t>2022-2</t>
        </is>
      </c>
      <c r="J128" s="5" t="n">
        <v>80</v>
      </c>
      <c r="K128" s="5" t="n">
        <v>85</v>
      </c>
      <c r="L128" s="74">
        <f>IFERROR(IF(OR(J128=0,K128=""),"",IF(E128="Positivo",MIN(MAX(K128/J128,0),1.3),MIN(MAX(J128/K128,0),1.3))),"") </f>
        <v/>
      </c>
      <c r="M128" s="14">
        <f>IFERROR(IF(OR(J128=0,K128=""),"",IF(E128="Positivo",MAX(K128/J128,0),MAX(J128/K128,0))),"") </f>
        <v/>
      </c>
      <c r="N128" s="5" t="inlineStr">
        <is>
          <t>%</t>
        </is>
      </c>
      <c r="O128" s="5" t="inlineStr">
        <is>
          <t>%</t>
        </is>
      </c>
      <c r="P128" s="5" t="n">
        <v>0</v>
      </c>
      <c r="Q128" s="5" t="n">
        <v>0</v>
      </c>
      <c r="R128" s="5" t="inlineStr">
        <is>
          <t>112-2022-10-31</t>
        </is>
      </c>
    </row>
    <row r="129">
      <c r="A129" s="5" t="n">
        <v>112</v>
      </c>
      <c r="B129" s="5" t="inlineStr">
        <is>
          <t>Nivel de Satisfacción Servicios Prestados</t>
        </is>
      </c>
      <c r="C129" s="5" t="inlineStr">
        <is>
          <t>Gestión Infraestructura Física</t>
        </is>
      </c>
      <c r="D129" s="5" t="inlineStr">
        <is>
          <t>Anual</t>
        </is>
      </c>
      <c r="E129" s="5" t="inlineStr">
        <is>
          <t>Positivo</t>
        </is>
      </c>
      <c r="F129" s="107" t="n">
        <v>45291</v>
      </c>
      <c r="G129" s="5" t="n">
        <v>2023</v>
      </c>
      <c r="H129" s="5" t="inlineStr">
        <is>
          <t>Diciembre</t>
        </is>
      </c>
      <c r="I129" s="6" t="inlineStr">
        <is>
          <t>2023-2</t>
        </is>
      </c>
      <c r="J129" s="5" t="n">
        <v>80</v>
      </c>
      <c r="K129" s="5" t="n">
        <v>89.60384728437799</v>
      </c>
      <c r="L129" s="14">
        <f>IFERROR(IF(OR(J129=0,K129=""),"",IF(E129="Positivo",MIN(MAX(K129/J129,0),1.3),MIN(MAX(J129/K129,0),1.3))),"") </f>
        <v/>
      </c>
      <c r="M129" s="14">
        <f>IFERROR(IF(OR(J129=0,K129=""),"",IF(E129="Positivo",MAX(K129/J129,0),MAX(J129/K129,0))),"") </f>
        <v/>
      </c>
      <c r="N129" s="5" t="inlineStr">
        <is>
          <t>%</t>
        </is>
      </c>
      <c r="O129" s="5" t="inlineStr">
        <is>
          <t>%</t>
        </is>
      </c>
      <c r="P129" s="5" t="n">
        <v>0</v>
      </c>
      <c r="Q129" s="5" t="n">
        <v>0</v>
      </c>
      <c r="R129" s="5" t="inlineStr">
        <is>
          <t>112-2023-12-31</t>
        </is>
      </c>
    </row>
    <row r="130">
      <c r="A130" s="28" t="n">
        <v>112</v>
      </c>
      <c r="B130" s="5" t="inlineStr">
        <is>
          <t>Nivel de Satisfacción Servicios Prestados</t>
        </is>
      </c>
      <c r="C130" s="5" t="inlineStr">
        <is>
          <t>Gestión Infraestructura Física</t>
        </is>
      </c>
      <c r="D130" s="5" t="inlineStr">
        <is>
          <t>Anual</t>
        </is>
      </c>
      <c r="E130" s="5" t="inlineStr">
        <is>
          <t>Positivo</t>
        </is>
      </c>
      <c r="F130" s="107" t="n">
        <v>45657</v>
      </c>
      <c r="G130" s="5" t="n">
        <v>2024</v>
      </c>
      <c r="H130" s="5" t="inlineStr">
        <is>
          <t>Diciembre</t>
        </is>
      </c>
      <c r="I130" s="6" t="inlineStr">
        <is>
          <t>2024-2</t>
        </is>
      </c>
      <c r="J130" s="5" t="n">
        <v>80</v>
      </c>
      <c r="K130" s="5" t="n">
        <v>90</v>
      </c>
      <c r="L130" s="14">
        <f>IFERROR(IF(OR(J130=0,K130=""),"",IF(E130="Positivo",MIN(MAX(K130/J130,0),1.3),MIN(MAX(J130/K130,0),1.3))),"") </f>
        <v/>
      </c>
      <c r="M130" s="14">
        <f>IFERROR(IF(OR(J130=0,K130=""),"",IF(E130="Positivo",MAX(K130/J130,0),MAX(J130/K130,0))),"") </f>
        <v/>
      </c>
      <c r="N130" s="5" t="inlineStr">
        <is>
          <t>%</t>
        </is>
      </c>
      <c r="O130" s="5" t="inlineStr">
        <is>
          <t>%</t>
        </is>
      </c>
      <c r="P130" s="5" t="n">
        <v>0</v>
      </c>
      <c r="Q130" s="5" t="n">
        <v>0</v>
      </c>
      <c r="R130" s="5" t="inlineStr">
        <is>
          <t>112-2024-12-31</t>
        </is>
      </c>
    </row>
    <row r="131">
      <c r="A131" s="26" t="n">
        <v>113</v>
      </c>
      <c r="B131" s="5" t="inlineStr">
        <is>
          <t>Nivel de Satisfacción Servicios Prestados</t>
        </is>
      </c>
      <c r="C131" s="5" t="inlineStr">
        <is>
          <t>Gestión y Desarrollo del Talento Humano</t>
        </is>
      </c>
      <c r="D131" s="5" t="inlineStr">
        <is>
          <t>Anual</t>
        </is>
      </c>
      <c r="E131" s="5" t="inlineStr">
        <is>
          <t>Positivo</t>
        </is>
      </c>
      <c r="F131" s="107" t="n">
        <v>44865</v>
      </c>
      <c r="G131" s="5" t="n">
        <v>2022</v>
      </c>
      <c r="H131" s="5" t="inlineStr">
        <is>
          <t>Octubre</t>
        </is>
      </c>
      <c r="I131" s="6" t="inlineStr">
        <is>
          <t>2022-2</t>
        </is>
      </c>
      <c r="J131" s="5" t="n">
        <v>80</v>
      </c>
      <c r="K131" s="5" t="n">
        <v>78</v>
      </c>
      <c r="L131" s="14">
        <f>IFERROR(IF(OR(J131=0,K131=""),"",IF(E131="Positivo",MIN(MAX(K131/J131,0),1.3),MIN(MAX(J131/K131,0),1.3))),"") </f>
        <v/>
      </c>
      <c r="M131" s="14">
        <f>IFERROR(IF(OR(J131=0,K131=""),"",IF(E131="Positivo",MAX(K131/J131,0),MAX(J131/K131,0))),"") </f>
        <v/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113-2022-10-31</t>
        </is>
      </c>
    </row>
    <row r="132">
      <c r="A132" s="26" t="n">
        <v>113</v>
      </c>
      <c r="B132" s="5" t="inlineStr">
        <is>
          <t>Nivel de Satisfacción Servicios Prestados</t>
        </is>
      </c>
      <c r="C132" s="5" t="inlineStr">
        <is>
          <t>Gestión y Desarrollo del Talento Humano</t>
        </is>
      </c>
      <c r="D132" s="5" t="inlineStr">
        <is>
          <t>Anual</t>
        </is>
      </c>
      <c r="E132" s="5" t="inlineStr">
        <is>
          <t>Positivo</t>
        </is>
      </c>
      <c r="F132" s="107" t="n">
        <v>45230</v>
      </c>
      <c r="G132" s="5" t="n">
        <v>2023</v>
      </c>
      <c r="H132" s="5" t="inlineStr">
        <is>
          <t>Octubre</t>
        </is>
      </c>
      <c r="I132" s="6" t="inlineStr">
        <is>
          <t>2023-2</t>
        </is>
      </c>
      <c r="J132" s="5" t="n">
        <v>80</v>
      </c>
      <c r="K132" s="5" t="n">
        <v>88</v>
      </c>
      <c r="L132" s="74">
        <f>IFERROR(IF(OR(J132=0,K132=""),"",IF(E132="Positivo",MIN(MAX(K132/J132,0),1.3),MIN(MAX(J132/K132,0),1.3))),"") </f>
        <v/>
      </c>
      <c r="M132" s="14">
        <f>IFERROR(IF(OR(J132=0,K132=""),"",IF(E132="Positivo",MAX(K132/J132,0),MAX(J132/K132,0))),"") </f>
        <v/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113-2023-10-31</t>
        </is>
      </c>
    </row>
    <row r="133">
      <c r="A133" s="26" t="n">
        <v>113</v>
      </c>
      <c r="B133" s="5" t="inlineStr">
        <is>
          <t>Nivel de Satisfacción Servicios Prestados</t>
        </is>
      </c>
      <c r="C133" s="5" t="inlineStr">
        <is>
          <t>Gestión y Desarrollo del Talento Humano</t>
        </is>
      </c>
      <c r="D133" s="5" t="inlineStr">
        <is>
          <t>Anual</t>
        </is>
      </c>
      <c r="E133" s="5" t="inlineStr">
        <is>
          <t>Positivo</t>
        </is>
      </c>
      <c r="F133" s="107" t="n">
        <v>45596</v>
      </c>
      <c r="G133" s="5" t="n">
        <v>2024</v>
      </c>
      <c r="H133" s="5" t="inlineStr">
        <is>
          <t>Octubre</t>
        </is>
      </c>
      <c r="I133" s="6" t="inlineStr">
        <is>
          <t>2024-2</t>
        </is>
      </c>
      <c r="J133" s="5" t="n">
        <v>80</v>
      </c>
      <c r="K133" s="5" t="n">
        <v>88</v>
      </c>
      <c r="L133" s="74">
        <f>IFERROR(IF(OR(J133=0,K133=""),"",IF(E133="Positivo",MIN(MAX(K133/J133,0),1.3),MIN(MAX(J133/K133,0),1.3))),"") </f>
        <v/>
      </c>
      <c r="M133" s="14">
        <f>IFERROR(IF(OR(J133=0,K133=""),"",IF(E133="Positivo",MAX(K133/J133,0),MAX(J133/K133,0))),"") </f>
        <v/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113-2024-10-31</t>
        </is>
      </c>
    </row>
    <row r="134">
      <c r="A134" s="5" t="n">
        <v>114</v>
      </c>
      <c r="B134" s="5" t="inlineStr">
        <is>
          <t>Nivel de Satisfacción Servicios Prestados</t>
        </is>
      </c>
      <c r="C134" s="5" t="inlineStr">
        <is>
          <t>Gestión de la tecnología e innovación digital</t>
        </is>
      </c>
      <c r="D134" s="5" t="inlineStr">
        <is>
          <t>Anual</t>
        </is>
      </c>
      <c r="E134" s="5" t="inlineStr">
        <is>
          <t>Positivo</t>
        </is>
      </c>
      <c r="F134" s="107" t="n">
        <v>44865</v>
      </c>
      <c r="G134" s="5" t="n">
        <v>2022</v>
      </c>
      <c r="H134" s="5" t="inlineStr">
        <is>
          <t>Octubre</t>
        </is>
      </c>
      <c r="I134" s="6" t="inlineStr">
        <is>
          <t>2022-2</t>
        </is>
      </c>
      <c r="J134" s="94" t="n">
        <v>80</v>
      </c>
      <c r="K134" s="94" t="n">
        <v>82</v>
      </c>
      <c r="L134" s="14">
        <f>IFERROR(IF(OR(J134=0,K134=""),"",IF(E134="Positivo",MIN(MAX(K134/J134,0),1.3),MIN(MAX(J134/K134,0),1.3))),"") </f>
        <v/>
      </c>
      <c r="M134" s="14">
        <f>IFERROR(IF(OR(J134=0,K134=""),"",IF(E134="Positivo",MAX(K134/J134,0),MAX(J134/K134,0))),"") </f>
        <v/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114-2022-10-31</t>
        </is>
      </c>
    </row>
    <row r="135">
      <c r="A135" s="5" t="n">
        <v>114</v>
      </c>
      <c r="B135" s="5" t="inlineStr">
        <is>
          <t>Nivel de Satisfacción Servicios Prestados</t>
        </is>
      </c>
      <c r="C135" s="5" t="inlineStr">
        <is>
          <t>Gestión de la tecnología e innovación digital</t>
        </is>
      </c>
      <c r="D135" s="5" t="inlineStr">
        <is>
          <t>Anual</t>
        </is>
      </c>
      <c r="E135" s="5" t="inlineStr">
        <is>
          <t>Positivo</t>
        </is>
      </c>
      <c r="F135" s="107" t="n">
        <v>45230</v>
      </c>
      <c r="G135" s="5" t="n">
        <v>2023</v>
      </c>
      <c r="H135" s="5" t="inlineStr">
        <is>
          <t>Octubre</t>
        </is>
      </c>
      <c r="I135" s="6" t="inlineStr">
        <is>
          <t>2023-2</t>
        </is>
      </c>
      <c r="J135" s="94" t="n">
        <v>80</v>
      </c>
      <c r="K135" s="94" t="n">
        <v>86</v>
      </c>
      <c r="L135" s="14">
        <f>IFERROR(IF(OR(J135=0,K135=""),"",IF(E135="Positivo",MIN(MAX(K135/J135,0),1.3),MIN(MAX(J135/K135,0),1.3))),"") </f>
        <v/>
      </c>
      <c r="M135" s="14">
        <f>IFERROR(IF(OR(J135=0,K135=""),"",IF(E135="Positivo",MAX(K135/J135,0),MAX(J135/K135,0))),"") </f>
        <v/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114-2023-10-31</t>
        </is>
      </c>
    </row>
    <row r="136">
      <c r="A136" s="5" t="n">
        <v>114</v>
      </c>
      <c r="B136" s="5" t="inlineStr">
        <is>
          <t>Nivel de Satisfacción Servicios Prestados</t>
        </is>
      </c>
      <c r="C136" s="5" t="inlineStr">
        <is>
          <t>Gestión de la tecnología e innovación digital</t>
        </is>
      </c>
      <c r="D136" s="5" t="inlineStr">
        <is>
          <t>Anual</t>
        </is>
      </c>
      <c r="E136" s="5" t="inlineStr">
        <is>
          <t>Positivo</t>
        </is>
      </c>
      <c r="F136" s="107" t="n">
        <v>45596</v>
      </c>
      <c r="G136" s="5" t="n">
        <v>2024</v>
      </c>
      <c r="H136" s="5" t="inlineStr">
        <is>
          <t>Octubre</t>
        </is>
      </c>
      <c r="I136" s="6" t="inlineStr">
        <is>
          <t>2024-2</t>
        </is>
      </c>
      <c r="J136" s="96" t="n">
        <v>80</v>
      </c>
      <c r="K136" s="96" t="n">
        <v>81</v>
      </c>
      <c r="L136" s="14">
        <f>IFERROR(IF(OR(J136=0,K136=""),"",IF(E136="Positivo",MIN(MAX(K136/J136,0),1.3),MIN(MAX(J136/K136,0),1.3))),"") </f>
        <v/>
      </c>
      <c r="M136" s="14">
        <f>IFERROR(IF(OR(J136=0,K136=""),"",IF(E136="Positivo",MAX(K136/J136,0),MAX(J136/K136,0))),"") </f>
        <v/>
      </c>
      <c r="N136" s="5" t="inlineStr">
        <is>
          <t>%</t>
        </is>
      </c>
      <c r="O136" s="5" t="inlineStr">
        <is>
          <t>%</t>
        </is>
      </c>
      <c r="P136" s="5" t="n">
        <v>0</v>
      </c>
      <c r="Q136" s="5" t="n">
        <v>0</v>
      </c>
      <c r="R136" s="5" t="inlineStr">
        <is>
          <t>114-2024-10-31</t>
        </is>
      </c>
    </row>
    <row r="137">
      <c r="A137" s="5" t="n">
        <v>115</v>
      </c>
      <c r="B137" s="5" t="inlineStr">
        <is>
          <t>Nivel de Satisfacción Servicios Prestados</t>
        </is>
      </c>
      <c r="C137" s="5" t="inlineStr">
        <is>
          <t>GESTIÓN DE SEGURIDAD Y SALUD EN EL TRABAJO</t>
        </is>
      </c>
      <c r="D137" s="5" t="inlineStr">
        <is>
          <t>Anual</t>
        </is>
      </c>
      <c r="E137" s="5" t="inlineStr">
        <is>
          <t>Positivo</t>
        </is>
      </c>
      <c r="F137" s="107" t="n">
        <v>45291</v>
      </c>
      <c r="G137" s="5" t="n">
        <v>2023</v>
      </c>
      <c r="H137" s="5" t="inlineStr">
        <is>
          <t>Diciembre</t>
        </is>
      </c>
      <c r="I137" s="6" t="inlineStr">
        <is>
          <t>2023-2</t>
        </is>
      </c>
      <c r="J137" s="9" t="n">
        <v>80</v>
      </c>
      <c r="K137" s="9" t="n">
        <v>90.7894054838542</v>
      </c>
      <c r="L137" s="14">
        <f>IFERROR(IF(OR(J137=0,K137=""),"",IF(E137="Positivo",MIN(MAX(K137/J137,0),1.3),MIN(MAX(J137/K137,0),1.3))),"") </f>
        <v/>
      </c>
      <c r="M137" s="14">
        <f>IFERROR(IF(OR(J137=0,K137=""),"",IF(E137="Positivo",MAX(K137/J137,0),MAX(J137/K137,0))),"") </f>
        <v/>
      </c>
      <c r="N137" s="5" t="inlineStr">
        <is>
          <t>%</t>
        </is>
      </c>
      <c r="O137" s="5" t="inlineStr">
        <is>
          <t>%</t>
        </is>
      </c>
      <c r="P137" s="5" t="n">
        <v>0</v>
      </c>
      <c r="Q137" s="5" t="n">
        <v>0</v>
      </c>
      <c r="R137" s="5" t="inlineStr">
        <is>
          <t>115-2023-12-31</t>
        </is>
      </c>
    </row>
    <row r="138">
      <c r="A138" s="28" t="n">
        <v>115</v>
      </c>
      <c r="B138" s="5" t="inlineStr">
        <is>
          <t>Nivel de Satisfacción Servicios Prestados</t>
        </is>
      </c>
      <c r="C138" s="5" t="inlineStr">
        <is>
          <t>GESTIÓN DE SEGURIDAD Y SALUD EN EL TRABAJO</t>
        </is>
      </c>
      <c r="D138" s="5" t="inlineStr">
        <is>
          <t>Anual</t>
        </is>
      </c>
      <c r="E138" s="5" t="inlineStr">
        <is>
          <t>Positivo</t>
        </is>
      </c>
      <c r="F138" s="107" t="n">
        <v>45657</v>
      </c>
      <c r="G138" s="5" t="n">
        <v>2024</v>
      </c>
      <c r="H138" s="5" t="inlineStr">
        <is>
          <t>Diciembre</t>
        </is>
      </c>
      <c r="I138" s="6" t="inlineStr">
        <is>
          <t>2024-2</t>
        </is>
      </c>
      <c r="J138" s="5" t="n"/>
      <c r="K138" s="5" t="n"/>
      <c r="L138" s="74" t="n"/>
      <c r="M138" s="14" t="n"/>
      <c r="N138" s="5" t="n"/>
      <c r="O138" s="5" t="n"/>
      <c r="P138" s="5" t="n">
        <v>0</v>
      </c>
      <c r="Q138" s="5" t="n">
        <v>0</v>
      </c>
      <c r="R138" s="5" t="inlineStr">
        <is>
          <t>115-2024-12-31</t>
        </is>
      </c>
    </row>
    <row r="139">
      <c r="A139" s="26" t="n">
        <v>116</v>
      </c>
      <c r="B139" s="5" t="inlineStr">
        <is>
          <t>Nivel de Satisfacción Servicios Prestados</t>
        </is>
      </c>
      <c r="C139" s="5" t="inlineStr">
        <is>
          <t>AUDITORÍA INTERNA</t>
        </is>
      </c>
      <c r="D139" s="5" t="inlineStr">
        <is>
          <t>Bimestral</t>
        </is>
      </c>
      <c r="E139" s="5" t="inlineStr">
        <is>
          <t>Positivo</t>
        </is>
      </c>
      <c r="F139" s="107" t="n">
        <v>45107</v>
      </c>
      <c r="G139" s="5" t="n">
        <v>2023</v>
      </c>
      <c r="H139" s="5" t="inlineStr">
        <is>
          <t>Junio</t>
        </is>
      </c>
      <c r="I139" s="6" t="inlineStr">
        <is>
          <t>2023-1</t>
        </is>
      </c>
      <c r="J139" s="5" t="n">
        <v>80</v>
      </c>
      <c r="K139" s="5" t="n">
        <v>84</v>
      </c>
      <c r="L139" s="74">
        <f>IFERROR(IF(OR(J139=0,K139=""),"",IF(E139="Positivo",MIN(MAX(K139/J139,0),1.3),MIN(MAX(J139/K139,0),1.3))),"") </f>
        <v/>
      </c>
      <c r="M139" s="14">
        <f>IFERROR(IF(OR(J139=0,K139=""),"",IF(E139="Positivo",MAX(K139/J139,0),MAX(J139/K139,0))),"") </f>
        <v/>
      </c>
      <c r="N139" s="5" t="inlineStr">
        <is>
          <t>%</t>
        </is>
      </c>
      <c r="O139" s="5" t="inlineStr">
        <is>
          <t>%</t>
        </is>
      </c>
      <c r="P139" s="5" t="n">
        <v>0</v>
      </c>
      <c r="Q139" s="5" t="n">
        <v>0</v>
      </c>
      <c r="R139" s="5" t="inlineStr">
        <is>
          <t>116-2023-06-30</t>
        </is>
      </c>
    </row>
    <row r="140">
      <c r="A140" s="5" t="n">
        <v>116</v>
      </c>
      <c r="B140" s="5" t="inlineStr">
        <is>
          <t>Nivel de Satisfacción Servicios Prestados</t>
        </is>
      </c>
      <c r="C140" s="5" t="inlineStr">
        <is>
          <t>AUDITORÍA INTERNA</t>
        </is>
      </c>
      <c r="D140" s="5" t="inlineStr">
        <is>
          <t>Bimestral</t>
        </is>
      </c>
      <c r="E140" s="5" t="inlineStr">
        <is>
          <t>Positivo</t>
        </is>
      </c>
      <c r="F140" s="107" t="n">
        <v>45291</v>
      </c>
      <c r="G140" s="5" t="n">
        <v>2023</v>
      </c>
      <c r="H140" s="5" t="inlineStr">
        <is>
          <t>Diciembre</t>
        </is>
      </c>
      <c r="I140" s="6" t="inlineStr">
        <is>
          <t>2023-2</t>
        </is>
      </c>
      <c r="J140" s="5" t="n">
        <v>80</v>
      </c>
      <c r="K140" s="5" t="n">
        <v>88</v>
      </c>
      <c r="L140" s="14">
        <f>IFERROR(IF(OR(J140=0,K140=""),"",IF(E140="Positivo",MIN(MAX(K140/J140,0),1.3),MIN(MAX(J140/K140,0),1.3))),"") </f>
        <v/>
      </c>
      <c r="M140" s="14">
        <f>IFERROR(IF(OR(J140=0,K140=""),"",IF(E140="Positivo",MAX(K140/J140,0),MAX(J140/K140,0))),"") </f>
        <v/>
      </c>
      <c r="N140" s="5" t="inlineStr">
        <is>
          <t>%</t>
        </is>
      </c>
      <c r="O140" s="5" t="inlineStr">
        <is>
          <t>%</t>
        </is>
      </c>
      <c r="P140" s="5" t="n">
        <v>0</v>
      </c>
      <c r="Q140" s="5" t="n">
        <v>0</v>
      </c>
      <c r="R140" s="5" t="inlineStr">
        <is>
          <t>116-2023-12-31</t>
        </is>
      </c>
    </row>
    <row r="141">
      <c r="A141" s="5" t="n">
        <v>116</v>
      </c>
      <c r="B141" s="5" t="inlineStr">
        <is>
          <t>Nivel de Satisfacción Servicios Prestados</t>
        </is>
      </c>
      <c r="C141" s="5" t="inlineStr">
        <is>
          <t>AUDITORÍA INTERNA</t>
        </is>
      </c>
      <c r="D141" s="5" t="inlineStr">
        <is>
          <t>Bimestral</t>
        </is>
      </c>
      <c r="E141" s="5" t="inlineStr">
        <is>
          <t>Positivo</t>
        </is>
      </c>
      <c r="F141" s="107" t="n">
        <v>45473</v>
      </c>
      <c r="G141" s="5" t="n">
        <v>2024</v>
      </c>
      <c r="H141" s="5" t="inlineStr">
        <is>
          <t>Junio</t>
        </is>
      </c>
      <c r="I141" s="6" t="inlineStr">
        <is>
          <t>2024-1</t>
        </is>
      </c>
      <c r="J141" s="5" t="n">
        <v>80</v>
      </c>
      <c r="K141" s="5" t="n"/>
      <c r="L141" s="14" t="n"/>
      <c r="M141" s="14" t="n"/>
      <c r="N141" s="5" t="inlineStr">
        <is>
          <t>N/A</t>
        </is>
      </c>
      <c r="O141" s="5" t="inlineStr">
        <is>
          <t>N/A</t>
        </is>
      </c>
      <c r="P141" s="5" t="n">
        <v>0</v>
      </c>
      <c r="Q141" s="5" t="n">
        <v>0</v>
      </c>
      <c r="R141" s="5" t="inlineStr">
        <is>
          <t>116-2024-06-30</t>
        </is>
      </c>
    </row>
    <row r="142">
      <c r="A142" s="26" t="n">
        <v>116</v>
      </c>
      <c r="B142" s="5" t="inlineStr">
        <is>
          <t>Nivel de Satisfacción Servicios Prestados</t>
        </is>
      </c>
      <c r="C142" s="5" t="inlineStr">
        <is>
          <t>AUDITORÍA INTERNA</t>
        </is>
      </c>
      <c r="D142" s="5" t="inlineStr">
        <is>
          <t>Bimestral</t>
        </is>
      </c>
      <c r="E142" s="5" t="inlineStr">
        <is>
          <t>Positivo</t>
        </is>
      </c>
      <c r="F142" s="107" t="n">
        <v>45657</v>
      </c>
      <c r="G142" s="5" t="n">
        <v>2024</v>
      </c>
      <c r="H142" s="5" t="inlineStr">
        <is>
          <t>Diciembre</t>
        </is>
      </c>
      <c r="I142" s="6" t="inlineStr">
        <is>
          <t>2024-2</t>
        </is>
      </c>
      <c r="J142" s="5" t="n">
        <v>80</v>
      </c>
      <c r="K142" s="5" t="n">
        <v>88</v>
      </c>
      <c r="L142" s="74">
        <f>IFERROR(IF(OR(J142=0,K142=""),"",IF(E142="Positivo",MIN(MAX(K142/J142,0),1.3),MIN(MAX(J142/K142,0),1.3))),"") </f>
        <v/>
      </c>
      <c r="M142" s="14">
        <f>IFERROR(IF(OR(J142=0,K142=""),"",IF(E142="Positivo",MAX(K142/J142,0),MAX(J142/K142,0))),"") </f>
        <v/>
      </c>
      <c r="N142" s="5" t="inlineStr">
        <is>
          <t>%</t>
        </is>
      </c>
      <c r="O142" s="5" t="inlineStr">
        <is>
          <t>%</t>
        </is>
      </c>
      <c r="P142" s="5" t="n">
        <v>0</v>
      </c>
      <c r="Q142" s="5" t="n">
        <v>0</v>
      </c>
      <c r="R142" s="5" t="inlineStr">
        <is>
          <t>116-2024-12-31</t>
        </is>
      </c>
    </row>
    <row r="143">
      <c r="A143" s="5" t="n">
        <v>116</v>
      </c>
      <c r="B143" s="5" t="inlineStr">
        <is>
          <t>Nivel de Satisfacción Servicios Prestados</t>
        </is>
      </c>
      <c r="C143" s="5" t="inlineStr">
        <is>
          <t>AUDITORÍA INTERNA</t>
        </is>
      </c>
      <c r="D143" s="5" t="inlineStr">
        <is>
          <t>Anual</t>
        </is>
      </c>
      <c r="E143" s="5" t="inlineStr">
        <is>
          <t>Positivo</t>
        </is>
      </c>
      <c r="F143" s="107" t="n">
        <v>46022</v>
      </c>
      <c r="G143" s="5" t="n">
        <v>2025</v>
      </c>
      <c r="H143" s="5" t="inlineStr">
        <is>
          <t>Diciembre</t>
        </is>
      </c>
      <c r="I143" s="6" t="inlineStr">
        <is>
          <t>2025-2</t>
        </is>
      </c>
      <c r="J143" s="5" t="n">
        <v>80</v>
      </c>
      <c r="K143" s="5" t="n">
        <v>100</v>
      </c>
      <c r="L143" s="14">
        <f>IFERROR(IF(OR(J143=0,K143=""),"",IF(E143="Positivo",MIN(MAX(K143/J143,0),1.3),MIN(MAX(J143/K143,0),1.3))),"") </f>
        <v/>
      </c>
      <c r="M143" s="14">
        <f>IFERROR(IF(OR(J143=0,K143=""),"",IF(E143="Positivo",MAX(K143/J143,0),MAX(J143/K143,0))),"") </f>
        <v/>
      </c>
      <c r="N143" s="5" t="inlineStr">
        <is>
          <t>%</t>
        </is>
      </c>
      <c r="O143" s="5" t="inlineStr">
        <is>
          <t>%</t>
        </is>
      </c>
      <c r="P143" s="5" t="n">
        <v>0</v>
      </c>
      <c r="Q143" s="5" t="n">
        <v>0</v>
      </c>
      <c r="R143" s="5" t="inlineStr">
        <is>
          <t>116-2025-12-31</t>
        </is>
      </c>
    </row>
    <row r="144">
      <c r="A144" s="5" t="n">
        <v>117</v>
      </c>
      <c r="B144" s="5" t="inlineStr">
        <is>
          <t>Nivel de Satisfacción Servicios Prestados</t>
        </is>
      </c>
      <c r="C144" s="5" t="inlineStr">
        <is>
          <t>GESTIÓN AMBIENTAL</t>
        </is>
      </c>
      <c r="D144" s="5" t="inlineStr">
        <is>
          <t>Anual</t>
        </is>
      </c>
      <c r="E144" s="5" t="inlineStr">
        <is>
          <t>Positivo</t>
        </is>
      </c>
      <c r="F144" s="107" t="n">
        <v>44865</v>
      </c>
      <c r="G144" s="5" t="n">
        <v>2022</v>
      </c>
      <c r="H144" s="5" t="inlineStr">
        <is>
          <t>Octubre</t>
        </is>
      </c>
      <c r="I144" s="6" t="inlineStr">
        <is>
          <t>2022-2</t>
        </is>
      </c>
      <c r="J144" s="5" t="n">
        <v>80</v>
      </c>
      <c r="K144" s="5" t="n">
        <v>93</v>
      </c>
      <c r="L144" s="14">
        <f>IFERROR(IF(OR(J144=0,K144=""),"",IF(E144="Positivo",MIN(MAX(K144/J144,0),1.3),MIN(MAX(J144/K144,0),1.3))),"") </f>
        <v/>
      </c>
      <c r="M144" s="14">
        <f>IFERROR(IF(OR(J144=0,K144=""),"",IF(E144="Positivo",MAX(K144/J144,0),MAX(J144/K144,0))),"") </f>
        <v/>
      </c>
      <c r="N144" s="5" t="inlineStr">
        <is>
          <t>%</t>
        </is>
      </c>
      <c r="O144" s="5" t="inlineStr">
        <is>
          <t>%</t>
        </is>
      </c>
      <c r="P144" s="5" t="n">
        <v>0</v>
      </c>
      <c r="Q144" s="5" t="n">
        <v>0</v>
      </c>
      <c r="R144" s="5" t="inlineStr">
        <is>
          <t>117-2022-10-31</t>
        </is>
      </c>
    </row>
    <row r="145">
      <c r="A145" s="5" t="n">
        <v>117</v>
      </c>
      <c r="B145" s="5" t="inlineStr">
        <is>
          <t>Nivel de Satisfacción Servicios Prestados</t>
        </is>
      </c>
      <c r="C145" s="5" t="inlineStr">
        <is>
          <t>GESTIÓN AMBIENTAL</t>
        </is>
      </c>
      <c r="D145" s="5" t="inlineStr">
        <is>
          <t>Anual</t>
        </is>
      </c>
      <c r="E145" s="5" t="inlineStr">
        <is>
          <t>Positivo</t>
        </is>
      </c>
      <c r="F145" s="107" t="n">
        <v>45230</v>
      </c>
      <c r="G145" s="5" t="n">
        <v>2023</v>
      </c>
      <c r="H145" s="5" t="inlineStr">
        <is>
          <t>Octubre</t>
        </is>
      </c>
      <c r="I145" s="6" t="inlineStr">
        <is>
          <t>2023-2</t>
        </is>
      </c>
      <c r="J145" s="5" t="n">
        <v>80</v>
      </c>
      <c r="K145" s="5" t="n">
        <v>90</v>
      </c>
      <c r="L145" s="14">
        <f>IFERROR(IF(OR(J145=0,K145=""),"",IF(E145="Positivo",MIN(MAX(K145/J145,0),1.3),MIN(MAX(J145/K145,0),1.3))),"") </f>
        <v/>
      </c>
      <c r="M145" s="14">
        <f>IFERROR(IF(OR(J145=0,K145=""),"",IF(E145="Positivo",MAX(K145/J145,0),MAX(J145/K145,0))),"") </f>
        <v/>
      </c>
      <c r="N145" s="5" t="inlineStr">
        <is>
          <t>%</t>
        </is>
      </c>
      <c r="O145" s="5" t="inlineStr">
        <is>
          <t>%</t>
        </is>
      </c>
      <c r="P145" s="5" t="n">
        <v>0</v>
      </c>
      <c r="Q145" s="5" t="n">
        <v>0</v>
      </c>
      <c r="R145" s="5" t="inlineStr">
        <is>
          <t>117-2023-10-31</t>
        </is>
      </c>
    </row>
    <row r="146">
      <c r="A146" s="5" t="n">
        <v>117</v>
      </c>
      <c r="B146" s="5" t="inlineStr">
        <is>
          <t>Nivel de Satisfacción Servicios Prestados</t>
        </is>
      </c>
      <c r="C146" s="5" t="inlineStr">
        <is>
          <t>GESTIÓN AMBIENTAL</t>
        </is>
      </c>
      <c r="D146" s="5" t="inlineStr">
        <is>
          <t>Anual</t>
        </is>
      </c>
      <c r="E146" s="5" t="inlineStr">
        <is>
          <t>Positivo</t>
        </is>
      </c>
      <c r="F146" s="107" t="n">
        <v>45657</v>
      </c>
      <c r="G146" s="5" t="n">
        <v>2024</v>
      </c>
      <c r="H146" s="5" t="inlineStr">
        <is>
          <t>Diciembre</t>
        </is>
      </c>
      <c r="I146" s="6" t="inlineStr">
        <is>
          <t>2024-2</t>
        </is>
      </c>
      <c r="J146" s="5" t="n">
        <v>80</v>
      </c>
      <c r="K146" s="5" t="n">
        <v>89</v>
      </c>
      <c r="L146" s="14">
        <f>IFERROR(IF(OR(J146=0,K146=""),"",IF(E146="Positivo",MIN(MAX(K146/J146,0),1.3),MIN(MAX(J146/K146,0),1.3))),"") </f>
        <v/>
      </c>
      <c r="M146" s="14">
        <f>IFERROR(IF(OR(J146=0,K146=""),"",IF(E146="Positivo",MAX(K146/J146,0),MAX(J146/K146,0))),"") </f>
        <v/>
      </c>
      <c r="N146" s="5" t="inlineStr">
        <is>
          <t>%</t>
        </is>
      </c>
      <c r="O146" s="5" t="inlineStr">
        <is>
          <t>%</t>
        </is>
      </c>
      <c r="P146" s="5" t="n">
        <v>0</v>
      </c>
      <c r="Q146" s="5" t="n">
        <v>0</v>
      </c>
      <c r="R146" s="5" t="inlineStr">
        <is>
          <t>117-2024-12-31</t>
        </is>
      </c>
    </row>
    <row r="147">
      <c r="A147" s="5" t="n">
        <v>118</v>
      </c>
      <c r="B147" s="5" t="inlineStr">
        <is>
          <t>Nivel de Satisfacción Servicios Prestados</t>
        </is>
      </c>
      <c r="C147" s="5" t="inlineStr">
        <is>
          <t>Gestión de Calidad</t>
        </is>
      </c>
      <c r="D147" s="5" t="inlineStr">
        <is>
          <t>Anual</t>
        </is>
      </c>
      <c r="E147" s="5" t="inlineStr">
        <is>
          <t>Positivo</t>
        </is>
      </c>
      <c r="F147" s="107" t="n">
        <v>44865</v>
      </c>
      <c r="G147" s="5" t="n">
        <v>2022</v>
      </c>
      <c r="H147" s="5" t="inlineStr">
        <is>
          <t>Octubre</t>
        </is>
      </c>
      <c r="I147" s="6" t="inlineStr">
        <is>
          <t>2022-2</t>
        </is>
      </c>
      <c r="J147" s="5" t="n">
        <v>80</v>
      </c>
      <c r="K147" s="5" t="n">
        <v>88</v>
      </c>
      <c r="L147" s="14">
        <f>IFERROR(IF(OR(J147=0,K147=""),"",IF(E147="Positivo",MIN(MAX(K147/J147,0),1.3),MIN(MAX(J147/K147,0),1.3))),"") </f>
        <v/>
      </c>
      <c r="M147" s="14">
        <f>IFERROR(IF(OR(J147=0,K147=""),"",IF(E147="Positivo",MAX(K147/J147,0),MAX(J147/K147,0))),"") </f>
        <v/>
      </c>
      <c r="N147" s="5" t="inlineStr">
        <is>
          <t>%</t>
        </is>
      </c>
      <c r="O147" s="5" t="inlineStr">
        <is>
          <t>%</t>
        </is>
      </c>
      <c r="P147" s="5" t="n">
        <v>0</v>
      </c>
      <c r="Q147" s="5" t="n">
        <v>0</v>
      </c>
      <c r="R147" s="5" t="inlineStr">
        <is>
          <t>118-2022-10-31</t>
        </is>
      </c>
    </row>
    <row r="148">
      <c r="A148" s="28" t="n">
        <v>118</v>
      </c>
      <c r="B148" s="5" t="inlineStr">
        <is>
          <t>Nivel de Satisfacción Servicios Prestados</t>
        </is>
      </c>
      <c r="C148" s="5" t="inlineStr">
        <is>
          <t>Gestión de Calidad</t>
        </is>
      </c>
      <c r="D148" s="5" t="inlineStr">
        <is>
          <t>Anual</t>
        </is>
      </c>
      <c r="E148" s="5" t="inlineStr">
        <is>
          <t>Positivo</t>
        </is>
      </c>
      <c r="F148" s="107" t="n">
        <v>45291</v>
      </c>
      <c r="G148" s="5" t="n">
        <v>2023</v>
      </c>
      <c r="H148" s="5" t="inlineStr">
        <is>
          <t>Diciembre</t>
        </is>
      </c>
      <c r="I148" s="6" t="inlineStr">
        <is>
          <t>2023-2</t>
        </is>
      </c>
      <c r="J148" s="5" t="n">
        <v>80</v>
      </c>
      <c r="K148" s="5" t="n">
        <v>94.1385767790262</v>
      </c>
      <c r="L148" s="74">
        <f>IFERROR(IF(OR(J148=0,K148=""),"",IF(E148="Positivo",MIN(MAX(K148/J148,0),1.3),MIN(MAX(J148/K148,0),1.3))),"") </f>
        <v/>
      </c>
      <c r="M148" s="14">
        <f>IFERROR(IF(OR(J148=0,K148=""),"",IF(E148="Positivo",MAX(K148/J148,0),MAX(J148/K148,0))),"") </f>
        <v/>
      </c>
      <c r="N148" s="5" t="inlineStr">
        <is>
          <t>%</t>
        </is>
      </c>
      <c r="O148" s="5" t="inlineStr">
        <is>
          <t>%</t>
        </is>
      </c>
      <c r="P148" s="5" t="n">
        <v>0</v>
      </c>
      <c r="Q148" s="5" t="n">
        <v>0</v>
      </c>
      <c r="R148" s="5" t="inlineStr">
        <is>
          <t>118-2023-12-31</t>
        </is>
      </c>
    </row>
    <row r="149">
      <c r="A149" s="26" t="n">
        <v>118</v>
      </c>
      <c r="B149" s="5" t="inlineStr">
        <is>
          <t>Nivel de Satisfacción del sistema de gestión de calidad</t>
        </is>
      </c>
      <c r="C149" s="5" t="inlineStr">
        <is>
          <t>Gestión de calidad</t>
        </is>
      </c>
      <c r="D149" s="5" t="inlineStr">
        <is>
          <t>Anual</t>
        </is>
      </c>
      <c r="E149" s="5" t="inlineStr">
        <is>
          <t>Positivo</t>
        </is>
      </c>
      <c r="F149" s="107" t="n">
        <v>45657</v>
      </c>
      <c r="G149" s="5" t="n">
        <v>2024</v>
      </c>
      <c r="H149" s="5" t="inlineStr">
        <is>
          <t>Diciembre</t>
        </is>
      </c>
      <c r="I149" s="6" t="inlineStr">
        <is>
          <t>2024-2</t>
        </is>
      </c>
      <c r="J149" s="5" t="n">
        <v>80</v>
      </c>
      <c r="K149" s="5" t="n">
        <v>86</v>
      </c>
      <c r="L149" s="74">
        <f>IFERROR(IF(OR(J149=0,K149=""),"",IF(E149="Positivo",MIN(MAX(K149/J149,0),1.3),MIN(MAX(J149/K149,0),1.3))),"") </f>
        <v/>
      </c>
      <c r="M149" s="14">
        <f>IFERROR(IF(OR(J149=0,K149=""),"",IF(E149="Positivo",MAX(K149/J149,0),MAX(J149/K149,0))),"") </f>
        <v/>
      </c>
      <c r="N149" s="5" t="inlineStr">
        <is>
          <t>%</t>
        </is>
      </c>
      <c r="O149" s="5" t="inlineStr">
        <is>
          <t>%</t>
        </is>
      </c>
      <c r="P149" s="5" t="n">
        <v>0</v>
      </c>
      <c r="Q149" s="5" t="n">
        <v>0</v>
      </c>
      <c r="R149" s="5" t="inlineStr">
        <is>
          <t>118-2024-12-31</t>
        </is>
      </c>
    </row>
    <row r="150">
      <c r="A150" s="5" t="n">
        <v>121</v>
      </c>
      <c r="B150" s="5" t="inlineStr">
        <is>
          <t>Ejecución presupuestal de la nómina acumulada</t>
        </is>
      </c>
      <c r="C150" s="5" t="inlineStr">
        <is>
          <t>GESTIÓN Y DESARROLLO DEL TALENTO HUMANO</t>
        </is>
      </c>
      <c r="D150" s="5" t="inlineStr">
        <is>
          <t>Mensual</t>
        </is>
      </c>
      <c r="E150" s="5" t="inlineStr">
        <is>
          <t>Negativo</t>
        </is>
      </c>
      <c r="F150" s="107" t="n">
        <v>44742</v>
      </c>
      <c r="G150" s="5" t="n">
        <v>2022</v>
      </c>
      <c r="H150" s="5" t="inlineStr">
        <is>
          <t>Junio</t>
        </is>
      </c>
      <c r="I150" s="6" t="inlineStr">
        <is>
          <t>2022-1</t>
        </is>
      </c>
      <c r="J150" s="5" t="n">
        <v>100</v>
      </c>
      <c r="K150" s="5" t="n">
        <v>100.01207569838</v>
      </c>
      <c r="L150" s="14">
        <f>IFERROR(IF(OR(J150=0,K150=""),"",IF(E150="Positivo",MIN(MAX(K150/J150,0),1.3),MIN(MAX(J150/K150,0),1.3))),"") </f>
        <v/>
      </c>
      <c r="M150" s="14">
        <f>IFERROR(IF(OR(J150=0,K150=""),"",IF(E150="Positivo",MAX(K150/J150,0),MAX(J150/K150,0))),"") </f>
        <v/>
      </c>
      <c r="N150" s="5" t="inlineStr">
        <is>
          <t>$</t>
        </is>
      </c>
      <c r="O150" s="5" t="inlineStr">
        <is>
          <t>$</t>
        </is>
      </c>
      <c r="P150" s="5" t="n">
        <v>0</v>
      </c>
      <c r="Q150" s="5" t="n">
        <v>0</v>
      </c>
      <c r="R150" s="5" t="inlineStr">
        <is>
          <t>121-2022-06-30</t>
        </is>
      </c>
    </row>
    <row r="151">
      <c r="A151" s="5" t="n">
        <v>121</v>
      </c>
      <c r="B151" s="5" t="inlineStr">
        <is>
          <t>Ejecución presupuestal de la nómina acumulada</t>
        </is>
      </c>
      <c r="C151" s="5" t="inlineStr">
        <is>
          <t>GESTIÓN Y DESARROLLO DEL TALENTO HUMANO</t>
        </is>
      </c>
      <c r="D151" s="5" t="inlineStr">
        <is>
          <t>Mensual</t>
        </is>
      </c>
      <c r="E151" s="5" t="inlineStr">
        <is>
          <t>Negativo</t>
        </is>
      </c>
      <c r="F151" s="107" t="n">
        <v>44926</v>
      </c>
      <c r="G151" s="5" t="n">
        <v>2022</v>
      </c>
      <c r="H151" s="5" t="inlineStr">
        <is>
          <t>Diciembre</t>
        </is>
      </c>
      <c r="I151" s="6" t="inlineStr">
        <is>
          <t>2022-2</t>
        </is>
      </c>
      <c r="J151" s="5" t="n">
        <v>102</v>
      </c>
      <c r="K151" s="5" t="n">
        <v>99.868284606334</v>
      </c>
      <c r="L151" s="14">
        <f>IFERROR(IF(OR(J151=0,K151=""),"",IF(E151="Positivo",MIN(MAX(K151/J151,0),1.3),MIN(MAX(J151/K151,0),1.3))),"") </f>
        <v/>
      </c>
      <c r="M151" s="14">
        <f>IFERROR(IF(OR(J151=0,K151=""),"",IF(E151="Positivo",MAX(K151/J151,0),MAX(J151/K151,0))),"") </f>
        <v/>
      </c>
      <c r="N151" s="5" t="inlineStr">
        <is>
          <t>$</t>
        </is>
      </c>
      <c r="O151" s="5" t="inlineStr">
        <is>
          <t>$</t>
        </is>
      </c>
      <c r="P151" s="5" t="n">
        <v>0</v>
      </c>
      <c r="Q151" s="5" t="n">
        <v>0</v>
      </c>
      <c r="R151" s="5" t="inlineStr">
        <is>
          <t>121-2022-12-31</t>
        </is>
      </c>
    </row>
    <row r="152">
      <c r="A152" s="26" t="n">
        <v>121</v>
      </c>
      <c r="B152" s="5" t="inlineStr">
        <is>
          <t>Ejecución presupuestal de la nómina acumulada</t>
        </is>
      </c>
      <c r="C152" s="5" t="inlineStr">
        <is>
          <t>GESTIÓN Y DESARROLLO DEL TALENTO HUMANO</t>
        </is>
      </c>
      <c r="D152" s="5" t="inlineStr">
        <is>
          <t>Mensual</t>
        </is>
      </c>
      <c r="E152" s="5" t="inlineStr">
        <is>
          <t>Negativo</t>
        </is>
      </c>
      <c r="F152" s="107" t="n">
        <v>45107</v>
      </c>
      <c r="G152" s="5" t="n">
        <v>2023</v>
      </c>
      <c r="H152" s="5" t="inlineStr">
        <is>
          <t>Junio</t>
        </is>
      </c>
      <c r="I152" s="6" t="inlineStr">
        <is>
          <t>2023-1</t>
        </is>
      </c>
      <c r="J152" s="5" t="n">
        <v>102</v>
      </c>
      <c r="K152" s="5" t="n">
        <v>102.42831146953</v>
      </c>
      <c r="L152" s="74">
        <f>IFERROR(IF(OR(J152=0,K152=""),"",IF(E152="Positivo",MIN(MAX(K152/J152,0),1.3),MIN(MAX(J152/K152,0),1.3))),"") </f>
        <v/>
      </c>
      <c r="M152" s="14">
        <f>IFERROR(IF(OR(J152=0,K152=""),"",IF(E152="Positivo",MAX(K152/J152,0),MAX(J152/K152,0))),"") </f>
        <v/>
      </c>
      <c r="N152" s="5" t="inlineStr">
        <is>
          <t>$</t>
        </is>
      </c>
      <c r="O152" s="5" t="inlineStr">
        <is>
          <t>$</t>
        </is>
      </c>
      <c r="P152" s="5" t="n">
        <v>0</v>
      </c>
      <c r="Q152" s="5" t="n">
        <v>0</v>
      </c>
      <c r="R152" s="5" t="inlineStr">
        <is>
          <t>121-2023-06-30</t>
        </is>
      </c>
    </row>
    <row r="153">
      <c r="A153" s="5" t="n">
        <v>121</v>
      </c>
      <c r="B153" s="5" t="inlineStr">
        <is>
          <t>Ejecución presupuestal de la nómina acumulada</t>
        </is>
      </c>
      <c r="C153" s="5" t="inlineStr">
        <is>
          <t>GESTIÓN Y DESARROLLO DEL TALENTO HUMANO</t>
        </is>
      </c>
      <c r="D153" s="5" t="inlineStr">
        <is>
          <t>Mensual</t>
        </is>
      </c>
      <c r="E153" s="5" t="inlineStr">
        <is>
          <t>Negativo</t>
        </is>
      </c>
      <c r="F153" s="107" t="n">
        <v>45291</v>
      </c>
      <c r="G153" s="5" t="n">
        <v>2023</v>
      </c>
      <c r="H153" s="5" t="inlineStr">
        <is>
          <t>Diciembre</t>
        </is>
      </c>
      <c r="I153" s="6" t="inlineStr">
        <is>
          <t>2023-2</t>
        </is>
      </c>
      <c r="J153" s="5" t="n">
        <v>102</v>
      </c>
      <c r="K153" s="5" t="n">
        <v>111.3</v>
      </c>
      <c r="L153" s="14">
        <f>IFERROR(IF(OR(J153=0,K153=""),"",IF(E153="Positivo",MIN(MAX(K153/J153,0),1.3),MIN(MAX(J153/K153,0),1.3))),"") </f>
        <v/>
      </c>
      <c r="M153" s="14">
        <f>IFERROR(IF(OR(J153=0,K153=""),"",IF(E153="Positivo",MAX(K153/J153,0),MAX(J153/K153,0))),"") </f>
        <v/>
      </c>
      <c r="N153" s="5" t="inlineStr">
        <is>
          <t>$</t>
        </is>
      </c>
      <c r="O153" s="5" t="inlineStr">
        <is>
          <t>$</t>
        </is>
      </c>
      <c r="P153" s="5" t="n">
        <v>0</v>
      </c>
      <c r="Q153" s="5" t="n">
        <v>0</v>
      </c>
      <c r="R153" s="5" t="inlineStr">
        <is>
          <t>121-2023-12-31</t>
        </is>
      </c>
    </row>
    <row r="154">
      <c r="A154" s="5" t="n">
        <v>121</v>
      </c>
      <c r="B154" s="5" t="inlineStr">
        <is>
          <t>Ejecución presupuestal de la nómina acumulada</t>
        </is>
      </c>
      <c r="C154" s="5" t="inlineStr">
        <is>
          <t>GESTIÓN Y DESARROLLO DEL TALENTO HUMANO</t>
        </is>
      </c>
      <c r="D154" s="5" t="inlineStr">
        <is>
          <t>Mensual</t>
        </is>
      </c>
      <c r="E154" s="5" t="inlineStr">
        <is>
          <t>Negativo</t>
        </is>
      </c>
      <c r="F154" s="106" t="n">
        <v>45473</v>
      </c>
      <c r="G154" s="15" t="n">
        <v>2024</v>
      </c>
      <c r="H154" s="6" t="inlineStr">
        <is>
          <t>Junio</t>
        </is>
      </c>
      <c r="I154" s="27" t="inlineStr">
        <is>
          <t>2024-1</t>
        </is>
      </c>
      <c r="J154" s="5" t="n">
        <v>102</v>
      </c>
      <c r="K154" s="5" t="n">
        <v>101.89</v>
      </c>
      <c r="L154" s="14">
        <f>IFERROR(IF(OR(J154=0,K154=""),"",IF(E154="Positivo",MIN(MAX(K154/J154,0),1.3),MIN(MAX(J154/K154,0),1.3))),"") </f>
        <v/>
      </c>
      <c r="M154" s="14">
        <f>IFERROR(IF(OR(J154=0,K154=""),"",IF(E154="Positivo",MAX(K154/J154,0),MAX(J154/K154,0))),"") </f>
        <v/>
      </c>
      <c r="N154" s="5" t="inlineStr">
        <is>
          <t>$</t>
        </is>
      </c>
      <c r="O154" s="5" t="inlineStr">
        <is>
          <t>$</t>
        </is>
      </c>
      <c r="P154" s="5" t="n">
        <v>0</v>
      </c>
      <c r="Q154" s="5" t="n">
        <v>0</v>
      </c>
      <c r="R154" s="5" t="inlineStr">
        <is>
          <t>121-2024-06-30</t>
        </is>
      </c>
    </row>
    <row r="155">
      <c r="A155" s="5" t="n">
        <v>121</v>
      </c>
      <c r="B155" s="5" t="inlineStr">
        <is>
          <t>Ejecución presupuestal de la nómina acumulada</t>
        </is>
      </c>
      <c r="C155" s="5" t="inlineStr">
        <is>
          <t>GESTIÓN Y DESARROLLO DEL TALENTO HUMANO</t>
        </is>
      </c>
      <c r="D155" s="5" t="inlineStr">
        <is>
          <t>Mensual</t>
        </is>
      </c>
      <c r="E155" s="5" t="inlineStr">
        <is>
          <t>Negativo</t>
        </is>
      </c>
      <c r="F155" s="106" t="n">
        <v>45657</v>
      </c>
      <c r="G155" s="15" t="n">
        <v>2024</v>
      </c>
      <c r="H155" s="6" t="inlineStr">
        <is>
          <t>Diciembre</t>
        </is>
      </c>
      <c r="I155" s="27" t="inlineStr">
        <is>
          <t>2024-2</t>
        </is>
      </c>
      <c r="J155" s="5" t="n">
        <v>102</v>
      </c>
      <c r="K155" s="5" t="n">
        <v>100.17</v>
      </c>
      <c r="L155" s="14">
        <f>IFERROR(IF(OR(J155=0,K155=""),"",IF(E155="Positivo",MIN(MAX(K155/J155,0),1.3),MIN(MAX(J155/K155,0),1.3))),"") </f>
        <v/>
      </c>
      <c r="M155" s="14">
        <f>IFERROR(IF(OR(J155=0,K155=""),"",IF(E155="Positivo",MAX(K155/J155,0),MAX(J155/K155,0))),"") </f>
        <v/>
      </c>
      <c r="N155" s="5" t="inlineStr">
        <is>
          <t>$</t>
        </is>
      </c>
      <c r="O155" s="5" t="inlineStr">
        <is>
          <t>$</t>
        </is>
      </c>
      <c r="P155" s="5" t="n">
        <v>0</v>
      </c>
      <c r="Q155" s="5" t="n">
        <v>0</v>
      </c>
      <c r="R155" s="5" t="inlineStr">
        <is>
          <t>121-2024-12-31</t>
        </is>
      </c>
    </row>
    <row r="156">
      <c r="A156" s="5" t="n">
        <v>121</v>
      </c>
      <c r="B156" s="5" t="inlineStr">
        <is>
          <t>Ejecución presupuestal de la nómina acumulada</t>
        </is>
      </c>
      <c r="C156" s="5" t="inlineStr">
        <is>
          <t>GESTIÓN Y DESARROLLO DEL TALENTO HUMANO</t>
        </is>
      </c>
      <c r="D156" s="5" t="inlineStr">
        <is>
          <t>Mensual</t>
        </is>
      </c>
      <c r="E156" s="5" t="inlineStr">
        <is>
          <t>Negativo</t>
        </is>
      </c>
      <c r="F156" s="107" t="n">
        <v>45838</v>
      </c>
      <c r="G156" s="5" t="n">
        <v>2025</v>
      </c>
      <c r="H156" s="5" t="inlineStr">
        <is>
          <t>Junio</t>
        </is>
      </c>
      <c r="I156" s="6" t="inlineStr">
        <is>
          <t>2025-1</t>
        </is>
      </c>
      <c r="J156" s="5" t="n">
        <v>102</v>
      </c>
      <c r="K156" s="5" t="n">
        <v>110.06</v>
      </c>
      <c r="L156" s="14">
        <f>IFERROR(IF(OR(J156=0,K156=""),"",IF(E156="Positivo",MIN(MAX(K156/J156,0),1.3),MIN(MAX(J156/K156,0),1.3))),"") </f>
        <v/>
      </c>
      <c r="M156" s="14">
        <f>IFERROR(IF(OR(J156=0,K156=""),"",IF(E156="Positivo",MAX(K156/J156,0),MAX(J156/K156,0))),"") </f>
        <v/>
      </c>
      <c r="N156" s="5" t="inlineStr">
        <is>
          <t>$</t>
        </is>
      </c>
      <c r="O156" s="5" t="inlineStr">
        <is>
          <t>$</t>
        </is>
      </c>
      <c r="P156" s="5" t="n">
        <v>0</v>
      </c>
      <c r="Q156" s="5" t="n">
        <v>0</v>
      </c>
      <c r="R156" s="5" t="inlineStr">
        <is>
          <t>121-2025-06-30</t>
        </is>
      </c>
    </row>
    <row r="157">
      <c r="A157" s="5" t="n">
        <v>121</v>
      </c>
      <c r="B157" s="5" t="inlineStr">
        <is>
          <t>Ejecución presupuestal de la nómina acumulada</t>
        </is>
      </c>
      <c r="C157" s="5" t="inlineStr">
        <is>
          <t>GESTIÓN Y DESARROLLO DEL TALENTO HUMANO</t>
        </is>
      </c>
      <c r="D157" s="5" t="inlineStr">
        <is>
          <t>Mensual</t>
        </is>
      </c>
      <c r="E157" s="5" t="inlineStr">
        <is>
          <t>Negativo</t>
        </is>
      </c>
      <c r="F157" s="107" t="n">
        <v>46022</v>
      </c>
      <c r="G157" s="5" t="n">
        <v>2025</v>
      </c>
      <c r="H157" s="5" t="inlineStr">
        <is>
          <t>Diciembre</t>
        </is>
      </c>
      <c r="I157" s="6" t="inlineStr">
        <is>
          <t>2025-2</t>
        </is>
      </c>
      <c r="J157" s="5" t="n">
        <v>102</v>
      </c>
      <c r="K157" s="5" t="n">
        <v>104.92</v>
      </c>
      <c r="L157" s="14">
        <f>IFERROR(IF(OR(J157=0,K157=""),"",IF(E157="Positivo",MIN(MAX(K157/J157,0),1.3),MIN(MAX(J157/K157,0),1.3))),"") </f>
        <v/>
      </c>
      <c r="M157" s="14">
        <f>IFERROR(IF(OR(J157=0,K157=""),"",IF(E157="Positivo",MAX(K157/J157,0),MAX(J157/K157,0))),"") </f>
        <v/>
      </c>
      <c r="N157" s="5" t="inlineStr">
        <is>
          <t>$</t>
        </is>
      </c>
      <c r="O157" s="5" t="inlineStr">
        <is>
          <t>$</t>
        </is>
      </c>
      <c r="P157" s="5" t="n">
        <v>0</v>
      </c>
      <c r="Q157" s="5" t="n">
        <v>0</v>
      </c>
      <c r="R157" s="5" t="inlineStr">
        <is>
          <t>121-2025-12-31</t>
        </is>
      </c>
    </row>
    <row r="158">
      <c r="A158" s="5" t="n">
        <v>122</v>
      </c>
      <c r="B158" s="5" t="inlineStr">
        <is>
          <t>Eficacia en la solicitud documental- por periodo</t>
        </is>
      </c>
      <c r="C158" s="5" t="inlineStr">
        <is>
          <t>Gestión de calidad</t>
        </is>
      </c>
      <c r="D158" s="5" t="inlineStr">
        <is>
          <t>Mensual</t>
        </is>
      </c>
      <c r="E158" s="5" t="inlineStr">
        <is>
          <t>Positivo</t>
        </is>
      </c>
      <c r="F158" s="107" t="n">
        <v>44742</v>
      </c>
      <c r="G158" s="5" t="n">
        <v>2022</v>
      </c>
      <c r="H158" s="5" t="inlineStr">
        <is>
          <t>Junio</t>
        </is>
      </c>
      <c r="I158" s="6" t="inlineStr">
        <is>
          <t>2022-1</t>
        </is>
      </c>
      <c r="J158" s="5" t="n">
        <v>80</v>
      </c>
      <c r="K158" s="5" t="n">
        <v>75.873015873016</v>
      </c>
      <c r="L158" s="74">
        <f>IFERROR(IF(OR(J158=0,K158=""),"",IF(E158="Positivo",MIN(MAX(K158/J158,0),1.3),MIN(MAX(J158/K158,0),1.3))),"") </f>
        <v/>
      </c>
      <c r="M158" s="14">
        <f>IFERROR(IF(OR(J158=0,K158=""),"",IF(E158="Positivo",MAX(K158/J158,0),MAX(J158/K158,0))),"") </f>
        <v/>
      </c>
      <c r="N158" s="5" t="inlineStr">
        <is>
          <t>%</t>
        </is>
      </c>
      <c r="O158" s="5" t="inlineStr">
        <is>
          <t>%</t>
        </is>
      </c>
      <c r="P158" s="5" t="n">
        <v>0</v>
      </c>
      <c r="Q158" s="5" t="n">
        <v>0</v>
      </c>
      <c r="R158" s="5" t="inlineStr">
        <is>
          <t>122-2022-06-30</t>
        </is>
      </c>
    </row>
    <row r="159">
      <c r="A159" s="5" t="n">
        <v>122</v>
      </c>
      <c r="B159" s="5" t="inlineStr">
        <is>
          <t>Eficacia en la solicitud documental- por periodo</t>
        </is>
      </c>
      <c r="C159" s="5" t="inlineStr">
        <is>
          <t>Gestión de calidad</t>
        </is>
      </c>
      <c r="D159" s="5" t="inlineStr">
        <is>
          <t>Mensual</t>
        </is>
      </c>
      <c r="E159" s="5" t="inlineStr">
        <is>
          <t>Positivo</t>
        </is>
      </c>
      <c r="F159" s="107" t="n">
        <v>44926</v>
      </c>
      <c r="G159" s="5" t="n">
        <v>2022</v>
      </c>
      <c r="H159" s="5" t="inlineStr">
        <is>
          <t>Diciembre</t>
        </is>
      </c>
      <c r="I159" s="6" t="inlineStr">
        <is>
          <t>2022-2</t>
        </is>
      </c>
      <c r="J159" s="5" t="n">
        <v>80</v>
      </c>
      <c r="K159" s="5" t="n">
        <v>99.57264957264967</v>
      </c>
      <c r="L159" s="74">
        <f>IFERROR(IF(OR(J159=0,K159=""),"",IF(E159="Positivo",MIN(MAX(K159/J159,0),1.3),MIN(MAX(J159/K159,0),1.3))),"") </f>
        <v/>
      </c>
      <c r="M159" s="14">
        <f>IFERROR(IF(OR(J159=0,K159=""),"",IF(E159="Positivo",MAX(K159/J159,0),MAX(J159/K159,0))),"") </f>
        <v/>
      </c>
      <c r="N159" s="5" t="inlineStr">
        <is>
          <t>%</t>
        </is>
      </c>
      <c r="O159" s="5" t="inlineStr">
        <is>
          <t>%</t>
        </is>
      </c>
      <c r="P159" s="5" t="n">
        <v>0</v>
      </c>
      <c r="Q159" s="5" t="n">
        <v>0</v>
      </c>
      <c r="R159" s="5" t="inlineStr">
        <is>
          <t>122-2022-12-31</t>
        </is>
      </c>
    </row>
    <row r="160">
      <c r="A160" s="5" t="n">
        <v>122</v>
      </c>
      <c r="B160" s="5" t="inlineStr">
        <is>
          <t>Eficacia en la solicitud documental- por periodo</t>
        </is>
      </c>
      <c r="C160" s="5" t="inlineStr">
        <is>
          <t>Gestión de calidad</t>
        </is>
      </c>
      <c r="D160" s="5" t="inlineStr">
        <is>
          <t>Bimestral</t>
        </is>
      </c>
      <c r="E160" s="5" t="inlineStr">
        <is>
          <t>Positivo</t>
        </is>
      </c>
      <c r="F160" s="107" t="n">
        <v>45107</v>
      </c>
      <c r="G160" s="5" t="n">
        <v>2023</v>
      </c>
      <c r="H160" s="5" t="inlineStr">
        <is>
          <t>Junio</t>
        </is>
      </c>
      <c r="I160" s="6" t="inlineStr">
        <is>
          <t>2023-1</t>
        </is>
      </c>
      <c r="J160" s="5" t="n">
        <v>80</v>
      </c>
      <c r="K160" s="5" t="n">
        <v>91.66666666666667</v>
      </c>
      <c r="L160" s="14">
        <f>IFERROR(IF(OR(J160=0,K160=""),"",IF(E160="Positivo",MIN(MAX(K160/J160,0),1.3),MIN(MAX(J160/K160,0),1.3))),"") </f>
        <v/>
      </c>
      <c r="M160" s="14">
        <f>IFERROR(IF(OR(J160=0,K160=""),"",IF(E160="Positivo",MAX(K160/J160,0),MAX(J160/K160,0))),"") </f>
        <v/>
      </c>
      <c r="N160" s="5" t="inlineStr">
        <is>
          <t>%</t>
        </is>
      </c>
      <c r="O160" s="5" t="inlineStr">
        <is>
          <t>%</t>
        </is>
      </c>
      <c r="P160" s="5" t="n">
        <v>0</v>
      </c>
      <c r="Q160" s="5" t="n">
        <v>0</v>
      </c>
      <c r="R160" s="5" t="inlineStr">
        <is>
          <t>122-2023-06-30</t>
        </is>
      </c>
    </row>
    <row r="161">
      <c r="A161" s="26" t="n">
        <v>122</v>
      </c>
      <c r="B161" s="5" t="inlineStr">
        <is>
          <t>Eficacia en la solicitud documental- por periodo</t>
        </is>
      </c>
      <c r="C161" s="5" t="inlineStr">
        <is>
          <t>Gestión de calidad</t>
        </is>
      </c>
      <c r="D161" s="5" t="inlineStr">
        <is>
          <t>Bimestral</t>
        </is>
      </c>
      <c r="E161" s="5" t="inlineStr">
        <is>
          <t>Positivo</t>
        </is>
      </c>
      <c r="F161" s="107" t="n">
        <v>45291</v>
      </c>
      <c r="G161" s="5" t="n">
        <v>2023</v>
      </c>
      <c r="H161" s="5" t="inlineStr">
        <is>
          <t>Diciembre</t>
        </is>
      </c>
      <c r="I161" s="6" t="inlineStr">
        <is>
          <t>2023-2</t>
        </is>
      </c>
      <c r="J161" s="5" t="n">
        <v>80</v>
      </c>
      <c r="K161" s="5" t="n">
        <v>90.30333333333333</v>
      </c>
      <c r="L161" s="74">
        <f>IFERROR(IF(OR(J161=0,K161=""),"",IF(E161="Positivo",MIN(MAX(K161/J161,0),1.3),MIN(MAX(J161/K161,0),1.3))),"") </f>
        <v/>
      </c>
      <c r="M161" s="14">
        <f>IFERROR(IF(OR(J161=0,K161=""),"",IF(E161="Positivo",MAX(K161/J161,0),MAX(J161/K161,0))),"") </f>
        <v/>
      </c>
      <c r="N161" s="5" t="inlineStr">
        <is>
          <t>%</t>
        </is>
      </c>
      <c r="O161" s="5" t="inlineStr">
        <is>
          <t>%</t>
        </is>
      </c>
      <c r="P161" s="5" t="n">
        <v>0</v>
      </c>
      <c r="Q161" s="5" t="n">
        <v>0</v>
      </c>
      <c r="R161" s="5" t="inlineStr">
        <is>
          <t>122-2023-12-31</t>
        </is>
      </c>
    </row>
    <row r="162">
      <c r="A162" s="5" t="n">
        <v>122</v>
      </c>
      <c r="B162" s="5" t="inlineStr">
        <is>
          <t>Eficacia en la solicitud documental- por periodo</t>
        </is>
      </c>
      <c r="C162" s="5" t="inlineStr">
        <is>
          <t>Gestión de calidad</t>
        </is>
      </c>
      <c r="D162" s="5" t="inlineStr">
        <is>
          <t>Bimestral</t>
        </is>
      </c>
      <c r="E162" s="5" t="inlineStr">
        <is>
          <t>Positivo</t>
        </is>
      </c>
      <c r="F162" s="107" t="n">
        <v>45473</v>
      </c>
      <c r="G162" s="5" t="n">
        <v>2024</v>
      </c>
      <c r="H162" s="5" t="inlineStr">
        <is>
          <t>Junio</t>
        </is>
      </c>
      <c r="I162" s="6" t="inlineStr">
        <is>
          <t>2024-1</t>
        </is>
      </c>
      <c r="J162" s="5" t="n">
        <v>80</v>
      </c>
      <c r="K162" s="5" t="n">
        <v>96.44666666666667</v>
      </c>
      <c r="L162" s="14">
        <f>IFERROR(IF(OR(J162=0,K162=""),"",IF(E162="Positivo",MIN(MAX(K162/J162,0),1.3),MIN(MAX(J162/K162,0),1.3))),"") </f>
        <v/>
      </c>
      <c r="M162" s="14">
        <f>IFERROR(IF(OR(J162=0,K162=""),"",IF(E162="Positivo",MAX(K162/J162,0),MAX(J162/K162,0))),"") </f>
        <v/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 t="inlineStr">
        <is>
          <t>122-2024-06-30</t>
        </is>
      </c>
    </row>
    <row r="163">
      <c r="A163" s="26" t="n">
        <v>122</v>
      </c>
      <c r="B163" s="5" t="inlineStr">
        <is>
          <t>Eficacia en la solicitud documental- por periodo</t>
        </is>
      </c>
      <c r="C163" s="5" t="inlineStr">
        <is>
          <t>Gestión de calidad</t>
        </is>
      </c>
      <c r="D163" s="5" t="inlineStr">
        <is>
          <t>Bimestral</t>
        </is>
      </c>
      <c r="E163" s="5" t="inlineStr">
        <is>
          <t>Positivo</t>
        </is>
      </c>
      <c r="F163" s="107" t="n">
        <v>45657</v>
      </c>
      <c r="G163" s="5" t="n">
        <v>2024</v>
      </c>
      <c r="H163" s="5" t="inlineStr">
        <is>
          <t>Diciembre</t>
        </is>
      </c>
      <c r="I163" s="6" t="inlineStr">
        <is>
          <t>2024-2</t>
        </is>
      </c>
      <c r="J163" s="5" t="n">
        <v>80</v>
      </c>
      <c r="K163" s="5" t="n">
        <v>92.19</v>
      </c>
      <c r="L163" s="74">
        <f>IFERROR(IF(OR(J163=0,K163=""),"",IF(E163="Positivo",MIN(MAX(K163/J163,0),1.3),MIN(MAX(J163/K163,0),1.3))),"") </f>
        <v/>
      </c>
      <c r="M163" s="14">
        <f>IFERROR(IF(OR(J163=0,K163=""),"",IF(E163="Positivo",MAX(K163/J163,0),MAX(J163/K163,0))),"") </f>
        <v/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 t="inlineStr">
        <is>
          <t>122-2024-12-31</t>
        </is>
      </c>
    </row>
    <row r="164">
      <c r="A164" s="26" t="n">
        <v>122</v>
      </c>
      <c r="B164" s="5" t="inlineStr">
        <is>
          <t>Eficacia en la solicitud documental- por periodo</t>
        </is>
      </c>
      <c r="C164" s="5" t="inlineStr">
        <is>
          <t>Gestión de calidad</t>
        </is>
      </c>
      <c r="D164" s="5" t="inlineStr">
        <is>
          <t>Bimestral</t>
        </is>
      </c>
      <c r="E164" s="5" t="inlineStr">
        <is>
          <t>Positivo</t>
        </is>
      </c>
      <c r="F164" s="107" t="n">
        <v>45838</v>
      </c>
      <c r="G164" s="5" t="n">
        <v>2025</v>
      </c>
      <c r="H164" s="5" t="inlineStr">
        <is>
          <t>Junio</t>
        </is>
      </c>
      <c r="I164" s="6" t="inlineStr">
        <is>
          <t>2025-1</t>
        </is>
      </c>
      <c r="J164" s="5" t="n">
        <v>90</v>
      </c>
      <c r="K164" s="5" t="n">
        <v>81.16</v>
      </c>
      <c r="L164" s="74">
        <f>IFERROR(IF(OR(J164=0,K164=""),"",IF(E164="Positivo",MIN(MAX(K164/J164,0),1.3),MIN(MAX(J164/K164,0),1.3))),"") </f>
        <v/>
      </c>
      <c r="M164" s="14">
        <f>IFERROR(IF(OR(J164=0,K164=""),"",IF(E164="Positivo",MAX(K164/J164,0),MAX(J164/K164,0))),"") </f>
        <v/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 t="inlineStr">
        <is>
          <t>122-2025-06-30</t>
        </is>
      </c>
    </row>
    <row r="165">
      <c r="A165" s="28" t="n">
        <v>122</v>
      </c>
      <c r="B165" s="5" t="inlineStr">
        <is>
          <t>Eficacia en la solicitud documental- por periodo</t>
        </is>
      </c>
      <c r="C165" s="5" t="inlineStr">
        <is>
          <t>Gestión de calidad</t>
        </is>
      </c>
      <c r="D165" s="5" t="inlineStr">
        <is>
          <t>Mensual</t>
        </is>
      </c>
      <c r="E165" s="5" t="inlineStr">
        <is>
          <t>Positivo</t>
        </is>
      </c>
      <c r="F165" s="107" t="n">
        <v>46022</v>
      </c>
      <c r="G165" s="5" t="n">
        <v>2025</v>
      </c>
      <c r="H165" s="5" t="inlineStr">
        <is>
          <t>Diciembre</t>
        </is>
      </c>
      <c r="I165" s="6" t="inlineStr">
        <is>
          <t>2025-2</t>
        </is>
      </c>
      <c r="J165" s="5" t="n">
        <v>90</v>
      </c>
      <c r="K165" s="5" t="n">
        <v>82.81</v>
      </c>
      <c r="L165" s="74">
        <f>IFERROR(IF(OR(J165=0,K165=""),"",IF(E165="Positivo",MIN(MAX(K165/J165,0),1.3),MIN(MAX(J165/K165,0),1.3))),"") </f>
        <v/>
      </c>
      <c r="M165" s="14">
        <f>IFERROR(IF(OR(J165=0,K165=""),"",IF(E165="Positivo",MAX(K165/J165,0),MAX(J165/K165,0))),"") </f>
        <v/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 t="inlineStr">
        <is>
          <t>122-2025-12-31</t>
        </is>
      </c>
    </row>
    <row r="166">
      <c r="A166" s="5" t="n">
        <v>124</v>
      </c>
      <c r="B166" s="5" t="inlineStr">
        <is>
          <t>Indice de Frecuencia de accidentalidad</t>
        </is>
      </c>
      <c r="C166" s="5" t="inlineStr">
        <is>
          <t>GESTIÓN DE SEGURIDAD Y SALUD EN EL TRABAJO</t>
        </is>
      </c>
      <c r="D166" s="5" t="inlineStr">
        <is>
          <t>Mensual</t>
        </is>
      </c>
      <c r="E166" s="5" t="inlineStr">
        <is>
          <t>Negativo</t>
        </is>
      </c>
      <c r="F166" s="107" t="n">
        <v>44742</v>
      </c>
      <c r="G166" s="5" t="n">
        <v>2022</v>
      </c>
      <c r="H166" s="5" t="inlineStr">
        <is>
          <t>Junio</t>
        </is>
      </c>
      <c r="I166" s="6" t="inlineStr">
        <is>
          <t>2022-1</t>
        </is>
      </c>
      <c r="J166" s="5" t="n">
        <v>1.6</v>
      </c>
      <c r="K166" s="5" t="n">
        <v>0.02054049915215283</v>
      </c>
      <c r="L166" s="14">
        <f>IFERROR(IF(OR(J166=0,K166=""),"",IF(E166="Positivo",MIN(MAX(K166/J166,0),1.3),MIN(MAX(J166/K166,0),1.3))),"") </f>
        <v/>
      </c>
      <c r="M166" s="14">
        <f>IFERROR(IF(OR(J166=0,K166=""),"",IF(E166="Positivo",MAX(K166/J166,0),MAX(J166/K166,0))),"") </f>
        <v/>
      </c>
      <c r="N166" s="5" t="inlineStr">
        <is>
          <t>DEC</t>
        </is>
      </c>
      <c r="O166" s="5" t="inlineStr">
        <is>
          <t>DEC</t>
        </is>
      </c>
      <c r="P166" s="5" t="n">
        <v>1</v>
      </c>
      <c r="Q166" s="5" t="n">
        <v>2</v>
      </c>
      <c r="R166" s="5" t="inlineStr">
        <is>
          <t>124-2022-06-30</t>
        </is>
      </c>
    </row>
    <row r="167">
      <c r="A167" s="5" t="n">
        <v>124</v>
      </c>
      <c r="B167" s="5" t="inlineStr">
        <is>
          <t>Indice de Frecuencia de accidentalidad</t>
        </is>
      </c>
      <c r="C167" s="5" t="inlineStr">
        <is>
          <t>GESTIÓN DE SEGURIDAD Y SALUD EN EL TRABAJO</t>
        </is>
      </c>
      <c r="D167" s="5" t="inlineStr">
        <is>
          <t>Mensual</t>
        </is>
      </c>
      <c r="E167" s="5" t="inlineStr">
        <is>
          <t>Negativo</t>
        </is>
      </c>
      <c r="F167" s="107" t="n">
        <v>44926</v>
      </c>
      <c r="G167" s="5" t="n">
        <v>2022</v>
      </c>
      <c r="H167" s="5" t="inlineStr">
        <is>
          <t>Diciembre</t>
        </is>
      </c>
      <c r="I167" s="6" t="inlineStr">
        <is>
          <t>2022-2</t>
        </is>
      </c>
      <c r="J167" s="5" t="n">
        <v>1.6</v>
      </c>
      <c r="K167" s="5" t="n">
        <v>0.04029246702469916</v>
      </c>
      <c r="L167" s="14">
        <f>IFERROR(IF(OR(J167=0,K167=""),"",IF(E167="Positivo",MIN(MAX(K167/J167,0),1.3),MIN(MAX(J167/K167,0),1.3))),"") </f>
        <v/>
      </c>
      <c r="M167" s="14">
        <f>IFERROR(IF(OR(J167=0,K167=""),"",IF(E167="Positivo",MAX(K167/J167,0),MAX(J167/K167,0))),"") </f>
        <v/>
      </c>
      <c r="N167" s="5" t="inlineStr">
        <is>
          <t>DEC</t>
        </is>
      </c>
      <c r="O167" s="5" t="inlineStr">
        <is>
          <t>DEC</t>
        </is>
      </c>
      <c r="P167" s="5" t="n">
        <v>1</v>
      </c>
      <c r="Q167" s="5" t="n">
        <v>2</v>
      </c>
      <c r="R167" s="5" t="inlineStr">
        <is>
          <t>124-2022-12-31</t>
        </is>
      </c>
    </row>
    <row r="168">
      <c r="A168" s="28" t="n">
        <v>124</v>
      </c>
      <c r="B168" s="5" t="inlineStr">
        <is>
          <t>Indice de Frecuencia de accidentalidad</t>
        </is>
      </c>
      <c r="C168" s="5" t="inlineStr">
        <is>
          <t>GESTIÓN DE SEGURIDAD Y SALUD EN EL TRABAJO</t>
        </is>
      </c>
      <c r="D168" s="5" t="inlineStr">
        <is>
          <t>Mensual</t>
        </is>
      </c>
      <c r="E168" s="5" t="inlineStr">
        <is>
          <t>Negativo</t>
        </is>
      </c>
      <c r="F168" s="107" t="n">
        <v>45107</v>
      </c>
      <c r="G168" s="5" t="n">
        <v>2023</v>
      </c>
      <c r="H168" s="5" t="inlineStr">
        <is>
          <t>Junio</t>
        </is>
      </c>
      <c r="I168" s="6" t="inlineStr">
        <is>
          <t>2023-1</t>
        </is>
      </c>
      <c r="J168" s="5" t="n">
        <v>1.6</v>
      </c>
      <c r="K168" s="5" t="n">
        <v>0.0259049039304475</v>
      </c>
      <c r="L168" s="14">
        <f>IFERROR(IF(OR(J168=0,K168=""),"",IF(E168="Positivo",MIN(MAX(K168/J168,0),1.3),MIN(MAX(J168/K168,0),1.3))),"") </f>
        <v/>
      </c>
      <c r="M168" s="14">
        <f>IFERROR(IF(OR(J168=0,K168=""),"",IF(E168="Positivo",MAX(K168/J168,0),MAX(J168/K168,0))),"") </f>
        <v/>
      </c>
      <c r="N168" s="5" t="inlineStr">
        <is>
          <t>DEC</t>
        </is>
      </c>
      <c r="O168" s="5" t="inlineStr">
        <is>
          <t>DEC</t>
        </is>
      </c>
      <c r="P168" s="5" t="n">
        <v>1</v>
      </c>
      <c r="Q168" s="5" t="n">
        <v>2</v>
      </c>
      <c r="R168" s="5" t="inlineStr">
        <is>
          <t>124-2023-06-30</t>
        </is>
      </c>
    </row>
    <row r="169">
      <c r="A169" s="26" t="n">
        <v>124</v>
      </c>
      <c r="B169" s="5" t="inlineStr">
        <is>
          <t>Indice de Frecuencia de accidentalidad</t>
        </is>
      </c>
      <c r="C169" s="5" t="inlineStr">
        <is>
          <t>GESTIÓN DE SEGURIDAD Y SALUD EN EL TRABAJO</t>
        </is>
      </c>
      <c r="D169" s="5" t="inlineStr">
        <is>
          <t>Mensual</t>
        </is>
      </c>
      <c r="E169" s="5" t="inlineStr">
        <is>
          <t>Negativo</t>
        </is>
      </c>
      <c r="F169" s="107" t="n">
        <v>45291</v>
      </c>
      <c r="G169" s="5" t="n">
        <v>2023</v>
      </c>
      <c r="H169" s="5" t="inlineStr">
        <is>
          <t>Diciembre</t>
        </is>
      </c>
      <c r="I169" s="6" t="inlineStr">
        <is>
          <t>2023-2</t>
        </is>
      </c>
      <c r="J169" s="5" t="n">
        <v>1.6</v>
      </c>
      <c r="K169" s="5" t="n">
        <v>0.03091194968553467</v>
      </c>
      <c r="L169" s="14">
        <f>IFERROR(IF(OR(J169=0,K169=""),"",IF(E169="Positivo",MIN(MAX(K169/J169,0),1.3),MIN(MAX(J169/K169,0),1.3))),"") </f>
        <v/>
      </c>
      <c r="M169" s="14">
        <f>IFERROR(IF(OR(J169=0,K169=""),"",IF(E169="Positivo",MAX(K169/J169,0),MAX(J169/K169,0))),"") </f>
        <v/>
      </c>
      <c r="N169" s="5" t="inlineStr">
        <is>
          <t>DEC</t>
        </is>
      </c>
      <c r="O169" s="5" t="inlineStr">
        <is>
          <t>DEC</t>
        </is>
      </c>
      <c r="P169" s="5" t="n">
        <v>1</v>
      </c>
      <c r="Q169" s="5" t="n">
        <v>2</v>
      </c>
      <c r="R169" s="5" t="inlineStr">
        <is>
          <t>124-2023-12-31</t>
        </is>
      </c>
    </row>
    <row r="170">
      <c r="A170" s="5" t="n">
        <v>124</v>
      </c>
      <c r="B170" s="5" t="inlineStr">
        <is>
          <t>Indice de Frecuencia de accidentalidad</t>
        </is>
      </c>
      <c r="C170" s="5" t="inlineStr">
        <is>
          <t>GESTIÓN DE SEGURIDAD Y SALUD EN EL TRABAJO</t>
        </is>
      </c>
      <c r="D170" s="5" t="inlineStr">
        <is>
          <t>Mensual</t>
        </is>
      </c>
      <c r="E170" s="5" t="inlineStr">
        <is>
          <t>Negativo</t>
        </is>
      </c>
      <c r="F170" s="107" t="n">
        <v>45473</v>
      </c>
      <c r="G170" s="5" t="n">
        <v>2024</v>
      </c>
      <c r="H170" s="5" t="inlineStr">
        <is>
          <t>Junio</t>
        </is>
      </c>
      <c r="I170" s="6" t="inlineStr">
        <is>
          <t>2024-1</t>
        </is>
      </c>
      <c r="J170" s="5" t="n">
        <v>0.2</v>
      </c>
      <c r="K170" s="5" t="n">
        <v>0.0069705841349505</v>
      </c>
      <c r="L170" s="14">
        <f>IFERROR(IF(OR(J170=0,K170=""),"",IF(E170="Positivo",MIN(MAX(K170/J170,0),1.3),MIN(MAX(J170/K170,0),1.3))),"") </f>
        <v/>
      </c>
      <c r="M170" s="14">
        <f>IFERROR(IF(OR(J170=0,K170=""),"",IF(E170="Positivo",MAX(K170/J170,0),MAX(J170/K170,0))),"") </f>
        <v/>
      </c>
      <c r="N170" s="5" t="inlineStr">
        <is>
          <t>DEC</t>
        </is>
      </c>
      <c r="O170" s="5" t="inlineStr">
        <is>
          <t>DEC</t>
        </is>
      </c>
      <c r="P170" s="5" t="n">
        <v>1</v>
      </c>
      <c r="Q170" s="5" t="n">
        <v>3</v>
      </c>
      <c r="R170" s="5" t="inlineStr">
        <is>
          <t>124-2024-06-30</t>
        </is>
      </c>
    </row>
    <row r="171">
      <c r="A171" s="5" t="n">
        <v>124</v>
      </c>
      <c r="B171" s="5" t="inlineStr">
        <is>
          <t>Indice de Frecuencia de accidentalidad</t>
        </is>
      </c>
      <c r="C171" s="5" t="inlineStr">
        <is>
          <t>GESTIÓN DE SEGURIDAD Y SALUD EN EL TRABAJO</t>
        </is>
      </c>
      <c r="D171" s="5" t="inlineStr">
        <is>
          <t>Mensual</t>
        </is>
      </c>
      <c r="E171" s="5" t="inlineStr">
        <is>
          <t>Negativo</t>
        </is>
      </c>
      <c r="F171" s="107" t="n">
        <v>45657</v>
      </c>
      <c r="G171" s="5" t="n">
        <v>2024</v>
      </c>
      <c r="H171" s="5" t="inlineStr">
        <is>
          <t>Diciembre</t>
        </is>
      </c>
      <c r="I171" s="6" t="inlineStr">
        <is>
          <t>2024-2</t>
        </is>
      </c>
      <c r="J171" s="5" t="n">
        <v>0.2</v>
      </c>
      <c r="K171" s="5" t="n">
        <v>0.01902587519025875</v>
      </c>
      <c r="L171" s="14">
        <f>IFERROR(IF(OR(J171=0,K171=""),"",IF(E171="Positivo",MIN(MAX(K171/J171,0),1.3),MIN(MAX(J171/K171,0),1.3))),"") </f>
        <v/>
      </c>
      <c r="M171" s="14">
        <f>IFERROR(IF(OR(J171=0,K171=""),"",IF(E171="Positivo",MAX(K171/J171,0),MAX(J171/K171,0))),"") </f>
        <v/>
      </c>
      <c r="N171" s="5" t="inlineStr">
        <is>
          <t>DEC</t>
        </is>
      </c>
      <c r="O171" s="5" t="inlineStr">
        <is>
          <t>DEC</t>
        </is>
      </c>
      <c r="P171" s="5" t="n">
        <v>1</v>
      </c>
      <c r="Q171" s="5" t="n">
        <v>2</v>
      </c>
      <c r="R171" s="5" t="inlineStr">
        <is>
          <t>124-2024-12-31</t>
        </is>
      </c>
    </row>
    <row r="172">
      <c r="A172" s="26" t="n">
        <v>124</v>
      </c>
      <c r="B172" s="5" t="inlineStr">
        <is>
          <t>Indice de Frecuencia de accidentalidad</t>
        </is>
      </c>
      <c r="C172" s="5" t="inlineStr">
        <is>
          <t>GESTIÓN DE SEGURIDAD Y SALUD EN EL TRABAJO</t>
        </is>
      </c>
      <c r="D172" s="5" t="inlineStr">
        <is>
          <t>Mensual</t>
        </is>
      </c>
      <c r="E172" s="5" t="inlineStr">
        <is>
          <t>Negativo</t>
        </is>
      </c>
      <c r="F172" s="107" t="n">
        <v>45838</v>
      </c>
      <c r="G172" s="5" t="n">
        <v>2025</v>
      </c>
      <c r="H172" s="5" t="inlineStr">
        <is>
          <t>Junio</t>
        </is>
      </c>
      <c r="I172" s="6" t="inlineStr">
        <is>
          <t>2025-1</t>
        </is>
      </c>
      <c r="J172" s="5" t="n">
        <v>0.2</v>
      </c>
      <c r="K172" s="5" t="n">
        <v>0.03519295047098145</v>
      </c>
      <c r="L172" s="74">
        <f>IFERROR(IF(OR(J172=0,K172=""),"",IF(E172="Positivo",MIN(MAX(K172/J172,0),1.3),MIN(MAX(J172/K172,0),1.3))),"") </f>
        <v/>
      </c>
      <c r="M172" s="14">
        <f>IFERROR(IF(OR(J172=0,K172=""),"",IF(E172="Positivo",MAX(K172/J172,0),MAX(J172/K172,0))),"") </f>
        <v/>
      </c>
      <c r="N172" s="5" t="inlineStr">
        <is>
          <t>DEC</t>
        </is>
      </c>
      <c r="O172" s="5" t="inlineStr">
        <is>
          <t>DEC</t>
        </is>
      </c>
      <c r="P172" s="5" t="n">
        <v>1</v>
      </c>
      <c r="Q172" s="5" t="n">
        <v>2</v>
      </c>
      <c r="R172" s="5" t="inlineStr">
        <is>
          <t>124-2025-06-30</t>
        </is>
      </c>
    </row>
    <row r="173">
      <c r="A173" s="26" t="n">
        <v>124</v>
      </c>
      <c r="B173" s="5" t="inlineStr">
        <is>
          <t>Indice de Frecuencia de accidentalidad</t>
        </is>
      </c>
      <c r="C173" s="5" t="inlineStr">
        <is>
          <t>GESTIÓN DE SEGURIDAD Y SALUD EN EL TRABAJO</t>
        </is>
      </c>
      <c r="D173" s="5" t="inlineStr">
        <is>
          <t>Mensual</t>
        </is>
      </c>
      <c r="E173" s="5" t="inlineStr">
        <is>
          <t>Negativo</t>
        </is>
      </c>
      <c r="F173" s="107" t="n">
        <v>45869</v>
      </c>
      <c r="G173" s="5" t="n">
        <v>2025</v>
      </c>
      <c r="H173" s="5" t="inlineStr">
        <is>
          <t>Julio</t>
        </is>
      </c>
      <c r="I173" s="6" t="inlineStr">
        <is>
          <t>2025-2</t>
        </is>
      </c>
      <c r="J173" s="5" t="n">
        <v>0.2</v>
      </c>
      <c r="K173" s="5" t="n">
        <v>0.01333333333333333</v>
      </c>
      <c r="L173" s="74">
        <f>IFERROR(IF(OR(J173=0,K173=""),"",IF(E173="Positivo",MIN(MAX(K173/J173,0),1.3),MIN(MAX(J173/K173,0),1.3))),"") </f>
        <v/>
      </c>
      <c r="M173" s="14">
        <f>IFERROR(IF(OR(J173=0,K173=""),"",IF(E173="Positivo",MAX(K173/J173,0),MAX(J173/K173,0))),"") </f>
        <v/>
      </c>
      <c r="N173" s="5" t="inlineStr">
        <is>
          <t>DEC</t>
        </is>
      </c>
      <c r="O173" s="5" t="inlineStr">
        <is>
          <t>DEC</t>
        </is>
      </c>
      <c r="P173" s="5" t="n">
        <v>1</v>
      </c>
      <c r="Q173" s="5" t="n">
        <v>2</v>
      </c>
      <c r="R173" s="5" t="inlineStr">
        <is>
          <t>124-2025-07-31</t>
        </is>
      </c>
    </row>
    <row r="174">
      <c r="A174" s="26" t="n">
        <v>124</v>
      </c>
      <c r="B174" s="5" t="inlineStr">
        <is>
          <t>Indice de Frecuencia de accidentalidad</t>
        </is>
      </c>
      <c r="C174" s="5" t="inlineStr">
        <is>
          <t>GESTIÓN DE SEGURIDAD Y SALUD EN EL TRABAJO</t>
        </is>
      </c>
      <c r="D174" s="5" t="inlineStr">
        <is>
          <t>Mensual</t>
        </is>
      </c>
      <c r="E174" s="5" t="inlineStr">
        <is>
          <t>Negativo</t>
        </is>
      </c>
      <c r="F174" s="107" t="n">
        <v>46022</v>
      </c>
      <c r="G174" s="5" t="n">
        <v>2025</v>
      </c>
      <c r="H174" s="5" t="inlineStr">
        <is>
          <t>Diciembre</t>
        </is>
      </c>
      <c r="I174" s="6" t="inlineStr">
        <is>
          <t>2025-2</t>
        </is>
      </c>
      <c r="J174" s="5" t="n">
        <v>0.2</v>
      </c>
      <c r="K174" s="5" t="n">
        <v>0.01333333333333333</v>
      </c>
      <c r="L174" s="74">
        <f>IFERROR(IF(OR(J174=0,K174=""),"",IF(E174="Positivo",MIN(MAX(K174/J174,0),1.3),MIN(MAX(J174/K174,0),1.3))),"") </f>
        <v/>
      </c>
      <c r="M174" s="14">
        <f>IFERROR(IF(OR(J174=0,K174=""),"",IF(E174="Positivo",MAX(K174/J174,0),MAX(J174/K174,0))),"") </f>
        <v/>
      </c>
      <c r="N174" s="5" t="inlineStr">
        <is>
          <t>DEC</t>
        </is>
      </c>
      <c r="O174" s="5" t="inlineStr">
        <is>
          <t>DEC</t>
        </is>
      </c>
      <c r="P174" s="5" t="n">
        <v>1</v>
      </c>
      <c r="Q174" s="5" t="n">
        <v>2</v>
      </c>
      <c r="R174" s="5" t="inlineStr">
        <is>
          <t>124-2025-12-31</t>
        </is>
      </c>
    </row>
    <row r="175">
      <c r="A175" s="5" t="n">
        <v>125</v>
      </c>
      <c r="B175" s="5" t="inlineStr">
        <is>
          <t>Indice de severidad</t>
        </is>
      </c>
      <c r="C175" s="5" t="inlineStr">
        <is>
          <t>GESTIÓN DE SEGURIDAD Y SALUD EN EL TRABAJO</t>
        </is>
      </c>
      <c r="D175" s="5" t="inlineStr">
        <is>
          <t>Mensual</t>
        </is>
      </c>
      <c r="E175" s="5" t="inlineStr">
        <is>
          <t>Negativo</t>
        </is>
      </c>
      <c r="F175" s="107" t="n">
        <v>44742</v>
      </c>
      <c r="G175" s="5" t="n">
        <v>2022</v>
      </c>
      <c r="H175" s="5" t="inlineStr">
        <is>
          <t>Junio</t>
        </is>
      </c>
      <c r="I175" s="6" t="inlineStr">
        <is>
          <t>2022-1</t>
        </is>
      </c>
      <c r="J175" s="5" t="n">
        <v>4.7</v>
      </c>
      <c r="K175" s="5" t="n">
        <v>0.07940876177520667</v>
      </c>
      <c r="L175" s="14">
        <f>IFERROR(IF(OR(J175=0,K175=""),"",IF(E175="Positivo",MIN(MAX(K175/J175,0),1.3),MIN(MAX(J175/K175,0),1.3))),"") </f>
        <v/>
      </c>
      <c r="M175" s="14">
        <f>IFERROR(IF(OR(J175=0,K175=""),"",IF(E175="Positivo",MAX(K175/J175,0),MAX(J175/K175,0))),"") </f>
        <v/>
      </c>
      <c r="N175" s="5" t="inlineStr">
        <is>
          <t>DEC</t>
        </is>
      </c>
      <c r="O175" s="5" t="inlineStr">
        <is>
          <t>DEC</t>
        </is>
      </c>
      <c r="P175" s="5" t="n">
        <v>1</v>
      </c>
      <c r="Q175" s="5" t="n">
        <v>2</v>
      </c>
      <c r="R175" s="5" t="inlineStr">
        <is>
          <t>125-2022-06-30</t>
        </is>
      </c>
    </row>
    <row r="176">
      <c r="A176" s="28" t="n">
        <v>125</v>
      </c>
      <c r="B176" s="5" t="inlineStr">
        <is>
          <t>Indice de severidad</t>
        </is>
      </c>
      <c r="C176" s="5" t="inlineStr">
        <is>
          <t>GESTIÓN DE SEGURIDAD Y SALUD EN EL TRABAJO</t>
        </is>
      </c>
      <c r="D176" s="5" t="inlineStr">
        <is>
          <t>Mensual</t>
        </is>
      </c>
      <c r="E176" s="5" t="inlineStr">
        <is>
          <t>Negativo</t>
        </is>
      </c>
      <c r="F176" s="107" t="n">
        <v>44926</v>
      </c>
      <c r="G176" s="5" t="n">
        <v>2022</v>
      </c>
      <c r="H176" s="5" t="inlineStr">
        <is>
          <t>Diciembre</t>
        </is>
      </c>
      <c r="I176" s="6" t="inlineStr">
        <is>
          <t>2022-2</t>
        </is>
      </c>
      <c r="J176" s="5" t="n">
        <v>4.7</v>
      </c>
      <c r="K176" s="5" t="n">
        <v>0.07941803125652</v>
      </c>
      <c r="L176" s="74">
        <f>IFERROR(IF(OR(J176=0,K176=""),"",IF(E176="Positivo",MIN(MAX(K176/J176,0),1.3),MIN(MAX(J176/K176,0),1.3))),"") </f>
        <v/>
      </c>
      <c r="M176" s="14">
        <f>IFERROR(IF(OR(J176=0,K176=""),"",IF(E176="Positivo",MAX(K176/J176,0),MAX(J176/K176,0))),"") </f>
        <v/>
      </c>
      <c r="N176" s="5" t="inlineStr">
        <is>
          <t>DEC</t>
        </is>
      </c>
      <c r="O176" s="5" t="inlineStr">
        <is>
          <t>DEC</t>
        </is>
      </c>
      <c r="P176" s="5" t="n">
        <v>1</v>
      </c>
      <c r="Q176" s="5" t="n">
        <v>2</v>
      </c>
      <c r="R176" s="5" t="inlineStr">
        <is>
          <t>125-2022-12-31</t>
        </is>
      </c>
    </row>
    <row r="177">
      <c r="A177" s="26" t="n">
        <v>125</v>
      </c>
      <c r="B177" s="5" t="inlineStr">
        <is>
          <t>Indice de severidad</t>
        </is>
      </c>
      <c r="C177" s="5" t="inlineStr">
        <is>
          <t>GESTIÓN DE SEGURIDAD Y SALUD EN EL TRABAJO</t>
        </is>
      </c>
      <c r="D177" s="5" t="inlineStr">
        <is>
          <t>Mensual</t>
        </is>
      </c>
      <c r="E177" s="5" t="inlineStr">
        <is>
          <t>Negativo</t>
        </is>
      </c>
      <c r="F177" s="107" t="n">
        <v>45107</v>
      </c>
      <c r="G177" s="5" t="n">
        <v>2023</v>
      </c>
      <c r="H177" s="5" t="inlineStr">
        <is>
          <t>Junio</t>
        </is>
      </c>
      <c r="I177" s="6" t="inlineStr">
        <is>
          <t>2023-1</t>
        </is>
      </c>
      <c r="J177" s="5" t="n">
        <v>4.7</v>
      </c>
      <c r="K177" s="5" t="n">
        <v>0.021741020958345</v>
      </c>
      <c r="L177" s="74">
        <f>IFERROR(IF(OR(J177=0,K177=""),"",IF(E177="Positivo",MIN(MAX(K177/J177,0),1.3),MIN(MAX(J177/K177,0),1.3))),"") </f>
        <v/>
      </c>
      <c r="M177" s="14">
        <f>IFERROR(IF(OR(J177=0,K177=""),"",IF(E177="Positivo",MAX(K177/J177,0),MAX(J177/K177,0))),"") </f>
        <v/>
      </c>
      <c r="N177" s="5" t="inlineStr">
        <is>
          <t>DEC</t>
        </is>
      </c>
      <c r="O177" s="5" t="inlineStr">
        <is>
          <t>DEC</t>
        </is>
      </c>
      <c r="P177" s="5" t="n">
        <v>1</v>
      </c>
      <c r="Q177" s="5" t="n">
        <v>2</v>
      </c>
      <c r="R177" s="5" t="inlineStr">
        <is>
          <t>125-2023-06-30</t>
        </is>
      </c>
    </row>
    <row r="178">
      <c r="A178" s="5" t="n">
        <v>125</v>
      </c>
      <c r="B178" s="5" t="inlineStr">
        <is>
          <t>Indice de severidad</t>
        </is>
      </c>
      <c r="C178" s="5" t="inlineStr">
        <is>
          <t>GESTIÓN DE SEGURIDAD Y SALUD EN EL TRABAJO</t>
        </is>
      </c>
      <c r="D178" s="5" t="inlineStr">
        <is>
          <t>Mensual</t>
        </is>
      </c>
      <c r="E178" s="5" t="inlineStr">
        <is>
          <t>Negativo</t>
        </is>
      </c>
      <c r="F178" s="107" t="n">
        <v>45291</v>
      </c>
      <c r="G178" s="5" t="n">
        <v>2023</v>
      </c>
      <c r="H178" s="5" t="inlineStr">
        <is>
          <t>Diciembre</t>
        </is>
      </c>
      <c r="I178" s="6" t="inlineStr">
        <is>
          <t>2023-2</t>
        </is>
      </c>
      <c r="J178" s="5" t="n">
        <v>4.7</v>
      </c>
      <c r="K178" s="5" t="n">
        <v>0.32943396226415</v>
      </c>
      <c r="L178" s="14">
        <f>IFERROR(IF(OR(J178=0,K178=""),"",IF(E178="Positivo",MIN(MAX(K178/J178,0),1.3),MIN(MAX(J178/K178,0),1.3))),"") </f>
        <v/>
      </c>
      <c r="M178" s="14">
        <f>IFERROR(IF(OR(J178=0,K178=""),"",IF(E178="Positivo",MAX(K178/J178,0),MAX(J178/K178,0))),"") </f>
        <v/>
      </c>
      <c r="N178" s="5" t="inlineStr">
        <is>
          <t>DEC</t>
        </is>
      </c>
      <c r="O178" s="5" t="inlineStr">
        <is>
          <t>DEC</t>
        </is>
      </c>
      <c r="P178" s="5" t="n">
        <v>1</v>
      </c>
      <c r="Q178" s="5" t="n">
        <v>2</v>
      </c>
      <c r="R178" s="5" t="inlineStr">
        <is>
          <t>125-2023-12-31</t>
        </is>
      </c>
    </row>
    <row r="179">
      <c r="A179" s="5" t="n">
        <v>125</v>
      </c>
      <c r="B179" s="5" t="inlineStr">
        <is>
          <t>Indice de severidad</t>
        </is>
      </c>
      <c r="C179" s="5" t="inlineStr">
        <is>
          <t>GESTIÓN DE SEGURIDAD Y SALUD EN EL TRABAJO</t>
        </is>
      </c>
      <c r="D179" s="5" t="inlineStr">
        <is>
          <t>Mensual</t>
        </is>
      </c>
      <c r="E179" s="5" t="inlineStr">
        <is>
          <t>Negativo</t>
        </is>
      </c>
      <c r="F179" s="107" t="n">
        <v>45473</v>
      </c>
      <c r="G179" s="5" t="n">
        <v>2024</v>
      </c>
      <c r="H179" s="5" t="inlineStr">
        <is>
          <t>Junio</t>
        </is>
      </c>
      <c r="I179" s="6" t="inlineStr">
        <is>
          <t>2024-1</t>
        </is>
      </c>
      <c r="J179" s="5" t="n">
        <v>1.9</v>
      </c>
      <c r="K179" s="5" t="n">
        <v>0.03485292067475255</v>
      </c>
      <c r="L179" s="14">
        <f>IFERROR(IF(OR(J179=0,K179=""),"",IF(E179="Positivo",MIN(MAX(K179/J179,0),1.3),MIN(MAX(J179/K179,0),1.3))),"") </f>
        <v/>
      </c>
      <c r="M179" s="14">
        <f>IFERROR(IF(OR(J179=0,K179=""),"",IF(E179="Positivo",MAX(K179/J179,0),MAX(J179/K179,0))),"") </f>
        <v/>
      </c>
      <c r="N179" s="5" t="inlineStr">
        <is>
          <t>DEC</t>
        </is>
      </c>
      <c r="O179" s="5" t="inlineStr">
        <is>
          <t>DEC</t>
        </is>
      </c>
      <c r="P179" s="5" t="n">
        <v>1</v>
      </c>
      <c r="Q179" s="5" t="n">
        <v>2</v>
      </c>
      <c r="R179" s="5" t="inlineStr">
        <is>
          <t>125-2024-06-30</t>
        </is>
      </c>
    </row>
    <row r="180">
      <c r="A180" s="26" t="n">
        <v>125</v>
      </c>
      <c r="B180" s="5" t="inlineStr">
        <is>
          <t>Indice de severidad</t>
        </is>
      </c>
      <c r="C180" s="5" t="inlineStr">
        <is>
          <t>GESTIÓN DE SEGURIDAD Y SALUD EN EL TRABAJO</t>
        </is>
      </c>
      <c r="D180" s="5" t="inlineStr">
        <is>
          <t>Mensual</t>
        </is>
      </c>
      <c r="E180" s="5" t="inlineStr">
        <is>
          <t>Negativo</t>
        </is>
      </c>
      <c r="F180" s="107" t="n">
        <v>45657</v>
      </c>
      <c r="G180" s="5" t="n">
        <v>2024</v>
      </c>
      <c r="H180" s="5" t="inlineStr">
        <is>
          <t>Diciembre</t>
        </is>
      </c>
      <c r="I180" s="6" t="inlineStr">
        <is>
          <t>2024-2</t>
        </is>
      </c>
      <c r="J180" s="5" t="n">
        <v>1.9</v>
      </c>
      <c r="K180" s="5" t="n">
        <v>0.15220700152207</v>
      </c>
      <c r="L180" s="74">
        <f>IFERROR(IF(OR(J180=0,K180=""),"",IF(E180="Positivo",MIN(MAX(K180/J180,0),1.3),MIN(MAX(J180/K180,0),1.3))),"") </f>
        <v/>
      </c>
      <c r="M180" s="14">
        <f>IFERROR(IF(OR(J180=0,K180=""),"",IF(E180="Positivo",MAX(K180/J180,0),MAX(J180/K180,0))),"") </f>
        <v/>
      </c>
      <c r="N180" s="5" t="inlineStr">
        <is>
          <t>DEC</t>
        </is>
      </c>
      <c r="O180" s="5" t="inlineStr">
        <is>
          <t>DEC</t>
        </is>
      </c>
      <c r="P180" s="5" t="n">
        <v>1</v>
      </c>
      <c r="Q180" s="5" t="n">
        <v>2</v>
      </c>
      <c r="R180" s="5" t="inlineStr">
        <is>
          <t>125-2024-12-31</t>
        </is>
      </c>
    </row>
    <row r="181">
      <c r="A181" s="5" t="n">
        <v>125</v>
      </c>
      <c r="B181" s="5" t="inlineStr">
        <is>
          <t>Indice de severidad</t>
        </is>
      </c>
      <c r="C181" s="5" t="inlineStr">
        <is>
          <t>GESTIÓN DE SEGURIDAD Y SALUD EN EL TRABAJO</t>
        </is>
      </c>
      <c r="D181" s="5" t="inlineStr">
        <is>
          <t>Mensual</t>
        </is>
      </c>
      <c r="E181" s="5" t="inlineStr">
        <is>
          <t>Negativo</t>
        </is>
      </c>
      <c r="F181" s="107" t="n">
        <v>45838</v>
      </c>
      <c r="G181" s="5" t="n">
        <v>2025</v>
      </c>
      <c r="H181" s="5" t="inlineStr">
        <is>
          <t>Junio</t>
        </is>
      </c>
      <c r="I181" s="6" t="inlineStr">
        <is>
          <t>2025-1</t>
        </is>
      </c>
      <c r="J181" s="5" t="n">
        <v>1.9</v>
      </c>
      <c r="K181" s="5" t="n">
        <v>0.1605788514129444</v>
      </c>
      <c r="L181" s="14">
        <f>IFERROR(IF(OR(J181=0,K181=""),"",IF(E181="Positivo",MIN(MAX(K181/J181,0),1.3),MIN(MAX(J181/K181,0),1.3))),"") </f>
        <v/>
      </c>
      <c r="M181" s="14">
        <f>IFERROR(IF(OR(J181=0,K181=""),"",IF(E181="Positivo",MAX(K181/J181,0),MAX(J181/K181,0))),"") </f>
        <v/>
      </c>
      <c r="N181" s="5" t="inlineStr">
        <is>
          <t>DEC</t>
        </is>
      </c>
      <c r="O181" s="5" t="inlineStr">
        <is>
          <t>DEC</t>
        </is>
      </c>
      <c r="P181" s="5" t="n">
        <v>1</v>
      </c>
      <c r="Q181" s="5" t="n">
        <v>2</v>
      </c>
      <c r="R181" s="5" t="inlineStr">
        <is>
          <t>125-2025-06-30</t>
        </is>
      </c>
    </row>
    <row r="182">
      <c r="A182" s="5" t="n">
        <v>125</v>
      </c>
      <c r="B182" s="5" t="inlineStr">
        <is>
          <t>Indice de severidad</t>
        </is>
      </c>
      <c r="C182" s="5" t="inlineStr">
        <is>
          <t>GESTIÓN DE SEGURIDAD Y SALUD EN EL TRABAJO</t>
        </is>
      </c>
      <c r="D182" s="5" t="inlineStr">
        <is>
          <t>Mensual</t>
        </is>
      </c>
      <c r="E182" s="5" t="inlineStr">
        <is>
          <t>Negativo</t>
        </is>
      </c>
      <c r="F182" s="107" t="n">
        <v>46022</v>
      </c>
      <c r="G182" s="5" t="n">
        <v>2025</v>
      </c>
      <c r="H182" s="5" t="inlineStr">
        <is>
          <t>Diciembre</t>
        </is>
      </c>
      <c r="I182" s="6" t="inlineStr">
        <is>
          <t>2025-2</t>
        </is>
      </c>
      <c r="J182" s="5" t="n">
        <v>1.9</v>
      </c>
      <c r="K182" s="5" t="n">
        <v>0.04166666666666666</v>
      </c>
      <c r="L182" s="14">
        <f>IFERROR(IF(OR(J182=0,K182=""),"",IF(E182="Positivo",MIN(MAX(K182/J182,0),1.3),MIN(MAX(J182/K182,0),1.3))),"") </f>
        <v/>
      </c>
      <c r="M182" s="14">
        <f>IFERROR(IF(OR(J182=0,K182=""),"",IF(E182="Positivo",MAX(K182/J182,0),MAX(J182/K182,0))),"") </f>
        <v/>
      </c>
      <c r="N182" s="5" t="inlineStr">
        <is>
          <t>DEC</t>
        </is>
      </c>
      <c r="O182" s="5" t="inlineStr">
        <is>
          <t>DEC</t>
        </is>
      </c>
      <c r="P182" s="5" t="n">
        <v>1</v>
      </c>
      <c r="Q182" s="5" t="n">
        <v>2</v>
      </c>
      <c r="R182" s="5" t="inlineStr">
        <is>
          <t>125-2025-12-31</t>
        </is>
      </c>
    </row>
    <row r="183">
      <c r="A183" s="5" t="n">
        <v>126</v>
      </c>
      <c r="B183" s="5" t="inlineStr">
        <is>
          <t>Indice de Prevalencia EL Enfermedad laboral</t>
        </is>
      </c>
      <c r="C183" s="5" t="inlineStr">
        <is>
          <t>GESTIÓN DE SEGURIDAD Y SALUD EN EL TRABAJO</t>
        </is>
      </c>
      <c r="D183" s="5" t="inlineStr">
        <is>
          <t>Anual</t>
        </is>
      </c>
      <c r="E183" s="5" t="inlineStr">
        <is>
          <t>Negativo</t>
        </is>
      </c>
      <c r="F183" s="106" t="n">
        <v>44926</v>
      </c>
      <c r="G183" s="15" t="n">
        <v>2022</v>
      </c>
      <c r="H183" s="6" t="inlineStr">
        <is>
          <t>Diciembre</t>
        </is>
      </c>
      <c r="I183" s="27" t="inlineStr">
        <is>
          <t>2022-2</t>
        </is>
      </c>
      <c r="J183" s="5" t="n">
        <v>2</v>
      </c>
      <c r="K183" s="5" t="n">
        <v>0.12391573729864</v>
      </c>
      <c r="L183" s="14">
        <f>IFERROR(IF(OR(J183=0,K183=""),"",IF(E183="Positivo",MIN(MAX(K183/J183,0),1.3),MIN(MAX(J183/K183,0),1.3))),"") </f>
        <v/>
      </c>
      <c r="M183" s="14">
        <f>IFERROR(IF(OR(J183=0,K183=""),"",IF(E183="Positivo",MAX(K183/J183,0),MAX(J183/K183,0))),"") </f>
        <v/>
      </c>
      <c r="N183" s="5" t="inlineStr">
        <is>
          <t>DEC</t>
        </is>
      </c>
      <c r="O183" s="5" t="inlineStr">
        <is>
          <t>DEC</t>
        </is>
      </c>
      <c r="P183" s="5" t="n">
        <v>0</v>
      </c>
      <c r="Q183" s="5" t="n">
        <v>2</v>
      </c>
      <c r="R183" s="5" t="inlineStr">
        <is>
          <t>126-2022-12-31</t>
        </is>
      </c>
    </row>
    <row r="184">
      <c r="A184" s="5" t="n">
        <v>126</v>
      </c>
      <c r="B184" s="5" t="inlineStr">
        <is>
          <t>Indice de Prevalencia EL Enfermedad laboral</t>
        </is>
      </c>
      <c r="C184" s="5" t="inlineStr">
        <is>
          <t>GESTIÓN DE SEGURIDAD Y SALUD EN EL TRABAJO</t>
        </is>
      </c>
      <c r="D184" s="5" t="inlineStr">
        <is>
          <t>Anual</t>
        </is>
      </c>
      <c r="E184" s="5" t="inlineStr">
        <is>
          <t>Negativo</t>
        </is>
      </c>
      <c r="F184" s="106" t="n">
        <v>45291</v>
      </c>
      <c r="G184" s="15" t="n">
        <v>2023</v>
      </c>
      <c r="H184" s="6" t="inlineStr">
        <is>
          <t>Diciembre</t>
        </is>
      </c>
      <c r="I184" s="27" t="inlineStr">
        <is>
          <t>2023-2</t>
        </is>
      </c>
      <c r="J184" s="5" t="n">
        <v>2</v>
      </c>
      <c r="K184" s="5" t="n">
        <v>0.12</v>
      </c>
      <c r="L184" s="14">
        <f>IFERROR(IF(OR(J184=0,K184=""),"",IF(E184="Positivo",MIN(MAX(K184/J184,0),1.3),MIN(MAX(J184/K184,0),1.3))),"") </f>
        <v/>
      </c>
      <c r="M184" s="14">
        <f>IFERROR(IF(OR(J184=0,K184=""),"",IF(E184="Positivo",MAX(K184/J184,0),MAX(J184/K184,0))),"") </f>
        <v/>
      </c>
      <c r="N184" s="5" t="inlineStr">
        <is>
          <t>DEC</t>
        </is>
      </c>
      <c r="O184" s="5" t="inlineStr">
        <is>
          <t>DEC</t>
        </is>
      </c>
      <c r="P184" s="5" t="n">
        <v>0</v>
      </c>
      <c r="Q184" s="5" t="n">
        <v>2</v>
      </c>
      <c r="R184" s="5" t="inlineStr">
        <is>
          <t>126-2023-12-31</t>
        </is>
      </c>
    </row>
    <row r="185">
      <c r="A185" s="5" t="n">
        <v>126</v>
      </c>
      <c r="B185" s="5" t="inlineStr">
        <is>
          <t>Indice de Prevalencia EL Enfermedad laboral</t>
        </is>
      </c>
      <c r="C185" s="5" t="inlineStr">
        <is>
          <t>GESTIÓN DE SEGURIDAD Y SALUD EN EL TRABAJO</t>
        </is>
      </c>
      <c r="D185" s="5" t="inlineStr">
        <is>
          <t>Anual</t>
        </is>
      </c>
      <c r="E185" s="5" t="inlineStr">
        <is>
          <t>Negativo</t>
        </is>
      </c>
      <c r="F185" s="107" t="n">
        <v>45657</v>
      </c>
      <c r="G185" s="5" t="n">
        <v>2024</v>
      </c>
      <c r="H185" s="5" t="inlineStr">
        <is>
          <t>Diciembre</t>
        </is>
      </c>
      <c r="I185" s="6" t="inlineStr">
        <is>
          <t>2024-2</t>
        </is>
      </c>
      <c r="J185" s="5" t="n">
        <v>2</v>
      </c>
      <c r="K185" s="5" t="n">
        <v>0.1</v>
      </c>
      <c r="L185" s="14">
        <f>IFERROR(IF(OR(J185=0,K185=""),"",IF(E185="Positivo",MIN(MAX(K185/J185,0),1.3),MIN(MAX(J185/K185,0),1.3))),"") </f>
        <v/>
      </c>
      <c r="M185" s="14">
        <f>IFERROR(IF(OR(J185=0,K185=""),"",IF(E185="Positivo",MAX(K185/J185,0),MAX(J185/K185,0))),"") </f>
        <v/>
      </c>
      <c r="N185" s="5" t="inlineStr">
        <is>
          <t>DEC</t>
        </is>
      </c>
      <c r="O185" s="5" t="inlineStr">
        <is>
          <t>DEC</t>
        </is>
      </c>
      <c r="P185" s="5" t="n">
        <v>0</v>
      </c>
      <c r="Q185" s="5" t="n">
        <v>1</v>
      </c>
      <c r="R185" s="5" t="inlineStr">
        <is>
          <t>126-2024-12-31</t>
        </is>
      </c>
    </row>
    <row r="186">
      <c r="A186" s="5" t="n">
        <v>126</v>
      </c>
      <c r="B186" s="5" t="inlineStr">
        <is>
          <t>Indice de Prevalencia EL Enfermedad laboral</t>
        </is>
      </c>
      <c r="C186" s="5" t="inlineStr">
        <is>
          <t>GESTIÓN DE SEGURIDAD Y SALUD EN EL TRABAJO</t>
        </is>
      </c>
      <c r="D186" s="5" t="inlineStr">
        <is>
          <t>Anual</t>
        </is>
      </c>
      <c r="E186" s="5" t="inlineStr">
        <is>
          <t>Negativo</t>
        </is>
      </c>
      <c r="F186" s="107" t="n">
        <v>46022</v>
      </c>
      <c r="G186" s="5" t="n">
        <v>2025</v>
      </c>
      <c r="H186" s="5" t="inlineStr">
        <is>
          <t>Diciembre</t>
        </is>
      </c>
      <c r="I186" s="6" t="inlineStr">
        <is>
          <t>2025-2</t>
        </is>
      </c>
      <c r="J186" s="5" t="n">
        <v>2</v>
      </c>
      <c r="K186" s="5" t="n">
        <v>0.16</v>
      </c>
      <c r="L186" s="14">
        <f>IFERROR(IF(OR(J186=0,K186=""),"",IF(E186="Positivo",MIN(MAX(K186/J186,0),1.3),MIN(MAX(J186/K186,0),1.3))),"") </f>
        <v/>
      </c>
      <c r="M186" s="14">
        <f>IFERROR(IF(OR(J186=0,K186=""),"",IF(E186="Positivo",MAX(K186/J186,0),MAX(J186/K186,0))),"") </f>
        <v/>
      </c>
      <c r="N186" s="5" t="inlineStr">
        <is>
          <t>ENT</t>
        </is>
      </c>
      <c r="O186" s="5" t="inlineStr">
        <is>
          <t>DEC</t>
        </is>
      </c>
      <c r="P186" s="5" t="n">
        <v>0</v>
      </c>
      <c r="Q186" s="5" t="n">
        <v>1</v>
      </c>
      <c r="R186" s="5" t="inlineStr">
        <is>
          <t>126-2025-12-31</t>
        </is>
      </c>
    </row>
    <row r="187">
      <c r="A187" s="5" t="n">
        <v>127</v>
      </c>
      <c r="B187" s="5" t="inlineStr">
        <is>
          <t>Indice de Incidencia EL Enfermedad laboral</t>
        </is>
      </c>
      <c r="C187" s="5" t="inlineStr">
        <is>
          <t>GESTIÓN DE SEGURIDAD Y SALUD EN EL TRABAJO</t>
        </is>
      </c>
      <c r="D187" s="5" t="inlineStr">
        <is>
          <t>Anual</t>
        </is>
      </c>
      <c r="E187" s="5" t="inlineStr">
        <is>
          <t>Negativo</t>
        </is>
      </c>
      <c r="F187" s="107" t="n">
        <v>44926</v>
      </c>
      <c r="G187" s="5" t="n">
        <v>2022</v>
      </c>
      <c r="H187" s="5" t="inlineStr">
        <is>
          <t>Diciembre</t>
        </is>
      </c>
      <c r="I187" s="6" t="inlineStr">
        <is>
          <t>2022-2</t>
        </is>
      </c>
      <c r="J187" s="5" t="n">
        <v>0</v>
      </c>
      <c r="K187" s="5" t="n">
        <v>0</v>
      </c>
      <c r="L187" s="14">
        <f>IFERROR(IF(OR(J187=0,K187=""),"",IF(E187="Positivo",MIN(MAX(K187/J187,0),1.3),MIN(MAX(J187/K187,0),1.3))),"") </f>
        <v/>
      </c>
      <c r="M187" s="14">
        <f>IFERROR(IF(OR(J187=0,K187=""),"",IF(E187="Positivo",MAX(K187/J187,0),MAX(J187/K187,0))),"") </f>
        <v/>
      </c>
      <c r="N187" s="5" t="inlineStr">
        <is>
          <t>ENT</t>
        </is>
      </c>
      <c r="O187" s="5" t="inlineStr">
        <is>
          <t>ENT</t>
        </is>
      </c>
      <c r="P187" s="5" t="n">
        <v>0</v>
      </c>
      <c r="Q187" s="5" t="n">
        <v>0</v>
      </c>
      <c r="R187" s="5" t="inlineStr">
        <is>
          <t>127-2022-12-31</t>
        </is>
      </c>
    </row>
    <row r="188">
      <c r="A188" s="5" t="n">
        <v>127</v>
      </c>
      <c r="B188" s="5" t="inlineStr">
        <is>
          <t>Indice de Incidencia EL Enfermedad laboral</t>
        </is>
      </c>
      <c r="C188" s="5" t="inlineStr">
        <is>
          <t>GESTIÓN DE SEGURIDAD Y SALUD EN EL TRABAJO</t>
        </is>
      </c>
      <c r="D188" s="5" t="inlineStr">
        <is>
          <t>Anual</t>
        </is>
      </c>
      <c r="E188" s="5" t="inlineStr">
        <is>
          <t>Negativo</t>
        </is>
      </c>
      <c r="F188" s="106" t="n">
        <v>45291</v>
      </c>
      <c r="G188" s="15" t="n">
        <v>2023</v>
      </c>
      <c r="H188" s="6" t="inlineStr">
        <is>
          <t>Diciembre</t>
        </is>
      </c>
      <c r="I188" s="27" t="inlineStr">
        <is>
          <t>2023-2</t>
        </is>
      </c>
      <c r="J188" s="5" t="n">
        <v>0</v>
      </c>
      <c r="K188" s="5" t="n">
        <v>0</v>
      </c>
      <c r="L188" s="14">
        <f>IFERROR(IF(OR(J188=0,K188=""),"",IF(E188="Positivo",MIN(MAX(K188/J188,0),1.3),MIN(MAX(J188/K188,0),1.3))),"") </f>
        <v/>
      </c>
      <c r="M188" s="14">
        <f>IFERROR(IF(OR(J188=0,K188=""),"",IF(E188="Positivo",MAX(K188/J188,0),MAX(J188/K188,0))),"") </f>
        <v/>
      </c>
      <c r="N188" s="5" t="inlineStr">
        <is>
          <t>ENT</t>
        </is>
      </c>
      <c r="O188" s="5" t="inlineStr">
        <is>
          <t>ENT</t>
        </is>
      </c>
      <c r="P188" s="5" t="n">
        <v>0</v>
      </c>
      <c r="Q188" s="5" t="n">
        <v>0</v>
      </c>
      <c r="R188" s="5" t="inlineStr">
        <is>
          <t>127-2023-12-31</t>
        </is>
      </c>
    </row>
    <row r="189">
      <c r="A189" s="5" t="n">
        <v>127</v>
      </c>
      <c r="B189" s="5" t="inlineStr">
        <is>
          <t>Indice de Incidencia EL Enfermedad laboral</t>
        </is>
      </c>
      <c r="C189" s="5" t="inlineStr">
        <is>
          <t>GESTIÓN DE SEGURIDAD Y SALUD EN EL TRABAJO</t>
        </is>
      </c>
      <c r="D189" s="5" t="inlineStr">
        <is>
          <t>Anual</t>
        </is>
      </c>
      <c r="E189" s="5" t="inlineStr">
        <is>
          <t>Negativo</t>
        </is>
      </c>
      <c r="F189" s="106" t="n">
        <v>45657</v>
      </c>
      <c r="G189" s="15" t="n">
        <v>2024</v>
      </c>
      <c r="H189" s="6" t="inlineStr">
        <is>
          <t>Diciembre</t>
        </is>
      </c>
      <c r="I189" s="27" t="inlineStr">
        <is>
          <t>2024-2</t>
        </is>
      </c>
      <c r="J189" s="5" t="n">
        <v>0</v>
      </c>
      <c r="K189" s="5" t="n">
        <v>0</v>
      </c>
      <c r="L189" s="14">
        <f>IFERROR(IF(OR(J189=0,K189=""),"",IF(E189="Positivo",MIN(MAX(K189/J189,0),1.3),MIN(MAX(J189/K189,0),1.3))),"") </f>
        <v/>
      </c>
      <c r="M189" s="14">
        <f>IFERROR(IF(OR(J189=0,K189=""),"",IF(E189="Positivo",MAX(K189/J189,0),MAX(J189/K189,0))),"") </f>
        <v/>
      </c>
      <c r="N189" s="5" t="inlineStr">
        <is>
          <t>ENT</t>
        </is>
      </c>
      <c r="O189" s="5" t="inlineStr">
        <is>
          <t>ENT</t>
        </is>
      </c>
      <c r="P189" s="5" t="n">
        <v>0</v>
      </c>
      <c r="Q189" s="5" t="n">
        <v>0</v>
      </c>
      <c r="R189" s="5" t="inlineStr">
        <is>
          <t>127-2024-12-31</t>
        </is>
      </c>
    </row>
    <row r="190">
      <c r="A190" s="5" t="n">
        <v>127</v>
      </c>
      <c r="B190" s="5" t="inlineStr">
        <is>
          <t>Indice de Incidencia EL Enfermedad laboral</t>
        </is>
      </c>
      <c r="C190" s="5" t="inlineStr">
        <is>
          <t>GESTIÓN DE SEGURIDAD Y SALUD EN EL TRABAJO</t>
        </is>
      </c>
      <c r="D190" s="5" t="inlineStr">
        <is>
          <t>Anual</t>
        </is>
      </c>
      <c r="E190" s="5" t="inlineStr">
        <is>
          <t>Negativo</t>
        </is>
      </c>
      <c r="F190" s="106" t="n">
        <v>46022</v>
      </c>
      <c r="G190" s="15" t="n">
        <v>2025</v>
      </c>
      <c r="H190" s="6" t="inlineStr">
        <is>
          <t>Diciembre</t>
        </is>
      </c>
      <c r="I190" s="27" t="inlineStr">
        <is>
          <t>2025-2</t>
        </is>
      </c>
      <c r="J190" s="5" t="n">
        <v>0</v>
      </c>
      <c r="K190" s="5" t="n">
        <v>0</v>
      </c>
      <c r="L190" s="14">
        <f>IFERROR(IF(OR(J190=0,K190=""),"",IF(E190="Positivo",MIN(MAX(K190/J190,0),1.3),MIN(MAX(J190/K190,0),1.3))),"") </f>
        <v/>
      </c>
      <c r="M190" s="14">
        <f>IFERROR(IF(OR(J190=0,K190=""),"",IF(E190="Positivo",MAX(K190/J190,0),MAX(J190/K190,0))),"") </f>
        <v/>
      </c>
      <c r="N190" s="5" t="inlineStr">
        <is>
          <t>ENT</t>
        </is>
      </c>
      <c r="O190" s="5" t="inlineStr">
        <is>
          <t>DEC</t>
        </is>
      </c>
      <c r="P190" s="5" t="n">
        <v>0</v>
      </c>
      <c r="Q190" s="5" t="n">
        <v>0</v>
      </c>
      <c r="R190" s="5" t="inlineStr">
        <is>
          <t>127-2025-12-31</t>
        </is>
      </c>
    </row>
    <row r="191">
      <c r="A191" s="26" t="n">
        <v>128</v>
      </c>
      <c r="B191" s="5" t="inlineStr">
        <is>
          <t>Ausentísmo por causa médica</t>
        </is>
      </c>
      <c r="C191" s="5" t="inlineStr">
        <is>
          <t>GESTIÓN DE SEGURIDAD Y SALUD EN EL TRABAJO</t>
        </is>
      </c>
      <c r="D191" s="5" t="inlineStr">
        <is>
          <t>Mensual</t>
        </is>
      </c>
      <c r="E191" s="5" t="inlineStr">
        <is>
          <t>Negativo</t>
        </is>
      </c>
      <c r="F191" s="107" t="n">
        <v>44742</v>
      </c>
      <c r="G191" s="5" t="n">
        <v>2022</v>
      </c>
      <c r="H191" s="5" t="inlineStr">
        <is>
          <t>Junio</t>
        </is>
      </c>
      <c r="I191" s="6" t="inlineStr">
        <is>
          <t>2022-1</t>
        </is>
      </c>
      <c r="J191" s="5" t="n">
        <v>1</v>
      </c>
      <c r="K191" s="5" t="n">
        <v>0.7173436208217416</v>
      </c>
      <c r="L191" s="14">
        <f>IFERROR(IF(OR(J191=0,K191=""),"",IF(E191="Positivo",MIN(MAX(K191/J191,0),1.3),MIN(MAX(J191/K191,0),1.3))),"") </f>
        <v/>
      </c>
      <c r="M191" s="14">
        <f>IFERROR(IF(OR(J191=0,K191=""),"",IF(E191="Positivo",MAX(K191/J191,0),MAX(J191/K191,0))),"") </f>
        <v/>
      </c>
      <c r="N191" s="5" t="inlineStr">
        <is>
          <t>ENT</t>
        </is>
      </c>
      <c r="O191" s="5" t="inlineStr">
        <is>
          <t>DEC</t>
        </is>
      </c>
      <c r="P191" s="5" t="n">
        <v>0</v>
      </c>
      <c r="Q191" s="5" t="n">
        <v>2</v>
      </c>
      <c r="R191" s="5" t="inlineStr">
        <is>
          <t>128-2022-06-30</t>
        </is>
      </c>
    </row>
    <row r="192">
      <c r="A192" s="5" t="n">
        <v>128</v>
      </c>
      <c r="B192" s="5" t="inlineStr">
        <is>
          <t>Ausentísmo por causa médica</t>
        </is>
      </c>
      <c r="C192" s="5" t="inlineStr">
        <is>
          <t>GESTIÓN DE SEGURIDAD Y SALUD EN EL TRABAJO</t>
        </is>
      </c>
      <c r="D192" s="5" t="inlineStr">
        <is>
          <t>Mensual</t>
        </is>
      </c>
      <c r="E192" s="5" t="inlineStr">
        <is>
          <t>Negativo</t>
        </is>
      </c>
      <c r="F192" s="107" t="n">
        <v>44926</v>
      </c>
      <c r="G192" s="5" t="n">
        <v>2022</v>
      </c>
      <c r="H192" s="5" t="inlineStr">
        <is>
          <t>Diciembre</t>
        </is>
      </c>
      <c r="I192" s="6" t="inlineStr">
        <is>
          <t>2022-2</t>
        </is>
      </c>
      <c r="J192" s="5" t="n">
        <v>1</v>
      </c>
      <c r="K192" s="5" t="n">
        <v>0.8523290336262234</v>
      </c>
      <c r="L192" s="14">
        <f>IFERROR(IF(OR(J192=0,K192=""),"",IF(E192="Positivo",MIN(MAX(K192/J192,0),1.3),MIN(MAX(J192/K192,0),1.3))),"") </f>
        <v/>
      </c>
      <c r="M192" s="14">
        <f>IFERROR(IF(OR(J192=0,K192=""),"",IF(E192="Positivo",MAX(K192/J192,0),MAX(J192/K192,0))),"") </f>
        <v/>
      </c>
      <c r="N192" s="5" t="inlineStr">
        <is>
          <t>ENT</t>
        </is>
      </c>
      <c r="O192" s="5" t="inlineStr">
        <is>
          <t>DEC</t>
        </is>
      </c>
      <c r="P192" s="5" t="n">
        <v>0</v>
      </c>
      <c r="Q192" s="5" t="n">
        <v>2</v>
      </c>
      <c r="R192" s="5" t="inlineStr">
        <is>
          <t>128-2022-12-31</t>
        </is>
      </c>
    </row>
    <row r="193">
      <c r="A193" s="5" t="n">
        <v>128</v>
      </c>
      <c r="B193" s="5" t="inlineStr">
        <is>
          <t>Ausentísmo por causa médica</t>
        </is>
      </c>
      <c r="C193" s="5" t="inlineStr">
        <is>
          <t>GESTIÓN DE SEGURIDAD Y SALUD EN EL TRABAJO</t>
        </is>
      </c>
      <c r="D193" s="5" t="inlineStr">
        <is>
          <t>Mensual</t>
        </is>
      </c>
      <c r="E193" s="5" t="inlineStr">
        <is>
          <t>Negativo</t>
        </is>
      </c>
      <c r="F193" s="107" t="n">
        <v>45107</v>
      </c>
      <c r="G193" s="5" t="n">
        <v>2023</v>
      </c>
      <c r="H193" s="5" t="inlineStr">
        <is>
          <t>Junio</t>
        </is>
      </c>
      <c r="I193" s="6" t="inlineStr">
        <is>
          <t>2023-1</t>
        </is>
      </c>
      <c r="J193" s="5" t="n">
        <v>1</v>
      </c>
      <c r="K193" s="5" t="n">
        <v>0.9449840892803549</v>
      </c>
      <c r="L193" s="14">
        <f>IFERROR(IF(OR(J193=0,K193=""),"",IF(E193="Positivo",MIN(MAX(K193/J193,0),1.3),MIN(MAX(J193/K193,0),1.3))),"") </f>
        <v/>
      </c>
      <c r="M193" s="14">
        <f>IFERROR(IF(OR(J193=0,K193=""),"",IF(E193="Positivo",MAX(K193/J193,0),MAX(J193/K193,0))),"") </f>
        <v/>
      </c>
      <c r="N193" s="5" t="inlineStr">
        <is>
          <t>ENT</t>
        </is>
      </c>
      <c r="O193" s="5" t="inlineStr">
        <is>
          <t>DEC</t>
        </is>
      </c>
      <c r="P193" s="5" t="n">
        <v>0</v>
      </c>
      <c r="Q193" s="5" t="n">
        <v>2</v>
      </c>
      <c r="R193" s="5" t="inlineStr">
        <is>
          <t>128-2023-06-30</t>
        </is>
      </c>
    </row>
    <row r="194">
      <c r="A194" s="5" t="n">
        <v>128</v>
      </c>
      <c r="B194" s="5" t="inlineStr">
        <is>
          <t>Ausentísmo por causa médica</t>
        </is>
      </c>
      <c r="C194" s="5" t="inlineStr">
        <is>
          <t>GESTIÓN DE SEGURIDAD Y SALUD EN EL TRABAJO</t>
        </is>
      </c>
      <c r="D194" s="5" t="inlineStr">
        <is>
          <t>Mensual</t>
        </is>
      </c>
      <c r="E194" s="5" t="inlineStr">
        <is>
          <t>Negativo</t>
        </is>
      </c>
      <c r="F194" s="106" t="n">
        <v>45291</v>
      </c>
      <c r="G194" s="15" t="n">
        <v>2023</v>
      </c>
      <c r="H194" s="6" t="inlineStr">
        <is>
          <t>Diciembre</t>
        </is>
      </c>
      <c r="I194" s="27" t="inlineStr">
        <is>
          <t>2023-2</t>
        </is>
      </c>
      <c r="J194" s="5" t="n">
        <v>1</v>
      </c>
      <c r="K194" s="5" t="n">
        <v>0.7491333924874333</v>
      </c>
      <c r="L194" s="14">
        <f>IFERROR(IF(OR(J194=0,K194=""),"",IF(E194="Positivo",MIN(MAX(K194/J194,0),1.3),MIN(MAX(J194/K194,0),1.3))),"") </f>
        <v/>
      </c>
      <c r="M194" s="14">
        <f>IFERROR(IF(OR(J194=0,K194=""),"",IF(E194="Positivo",MAX(K194/J194,0),MAX(J194/K194,0))),"") </f>
        <v/>
      </c>
      <c r="N194" s="5" t="inlineStr">
        <is>
          <t>ENT</t>
        </is>
      </c>
      <c r="O194" s="5" t="inlineStr">
        <is>
          <t>DEC</t>
        </is>
      </c>
      <c r="P194" s="5" t="n">
        <v>0</v>
      </c>
      <c r="Q194" s="5" t="n">
        <v>2</v>
      </c>
      <c r="R194" s="5" t="inlineStr">
        <is>
          <t>128-2023-12-31</t>
        </is>
      </c>
    </row>
    <row r="195">
      <c r="A195" s="26" t="n">
        <v>128</v>
      </c>
      <c r="B195" s="5" t="inlineStr">
        <is>
          <t>Ausentísmo por causa médica</t>
        </is>
      </c>
      <c r="C195" s="5" t="inlineStr">
        <is>
          <t>GESTIÓN DE SEGURIDAD Y SALUD EN EL TRABAJO</t>
        </is>
      </c>
      <c r="D195" s="5" t="inlineStr">
        <is>
          <t>Mensual</t>
        </is>
      </c>
      <c r="E195" s="5" t="inlineStr">
        <is>
          <t>Negativo</t>
        </is>
      </c>
      <c r="F195" s="107" t="n">
        <v>45473</v>
      </c>
      <c r="G195" s="5" t="n">
        <v>2024</v>
      </c>
      <c r="H195" s="5" t="inlineStr">
        <is>
          <t>Junio</t>
        </is>
      </c>
      <c r="I195" s="6" t="inlineStr">
        <is>
          <t>2024-1</t>
        </is>
      </c>
      <c r="J195" s="5" t="n">
        <v>1</v>
      </c>
      <c r="K195" s="5" t="n">
        <v>0.6606634090870904</v>
      </c>
      <c r="L195" s="14">
        <f>IFERROR(IF(OR(J195=0,K195=""),"",IF(E195="Positivo",MIN(MAX(K195/J195,0),1.3),MIN(MAX(J195/K195,0),1.3))),"") </f>
        <v/>
      </c>
      <c r="M195" s="14">
        <f>IFERROR(IF(OR(J195=0,K195=""),"",IF(E195="Positivo",MAX(K195/J195,0),MAX(J195/K195,0))),"") </f>
        <v/>
      </c>
      <c r="N195" s="5" t="inlineStr">
        <is>
          <t>ENT</t>
        </is>
      </c>
      <c r="O195" s="5" t="inlineStr">
        <is>
          <t>DEC</t>
        </is>
      </c>
      <c r="P195" s="5" t="n">
        <v>0</v>
      </c>
      <c r="Q195" s="5" t="n">
        <v>2</v>
      </c>
      <c r="R195" s="5" t="inlineStr">
        <is>
          <t>128-2024-06-30</t>
        </is>
      </c>
    </row>
    <row r="196">
      <c r="A196" s="26" t="n">
        <v>128</v>
      </c>
      <c r="B196" s="5" t="inlineStr">
        <is>
          <t>Ausentísmo por causa médica</t>
        </is>
      </c>
      <c r="C196" s="5" t="inlineStr">
        <is>
          <t>GESTIÓN DE SEGURIDAD Y SALUD EN EL TRABAJO</t>
        </is>
      </c>
      <c r="D196" s="5" t="inlineStr">
        <is>
          <t>Mensual</t>
        </is>
      </c>
      <c r="E196" s="5" t="inlineStr">
        <is>
          <t>Negativo</t>
        </is>
      </c>
      <c r="F196" s="107" t="n">
        <v>45657</v>
      </c>
      <c r="G196" s="5" t="n">
        <v>2024</v>
      </c>
      <c r="H196" s="5" t="inlineStr">
        <is>
          <t>Diciembre</t>
        </is>
      </c>
      <c r="I196" s="6" t="inlineStr">
        <is>
          <t>2024-2</t>
        </is>
      </c>
      <c r="J196" s="5" t="n">
        <v>1</v>
      </c>
      <c r="K196" s="5" t="n">
        <v>0.701289310309125</v>
      </c>
      <c r="L196" s="14">
        <f>IFERROR(IF(OR(J196=0,K196=""),"",IF(E196="Positivo",MIN(MAX(K196/J196,0),1.3),MIN(MAX(J196/K196,0),1.3))),"") </f>
        <v/>
      </c>
      <c r="M196" s="14">
        <f>IFERROR(IF(OR(J196=0,K196=""),"",IF(E196="Positivo",MAX(K196/J196,0),MAX(J196/K196,0))),"") </f>
        <v/>
      </c>
      <c r="N196" s="5" t="inlineStr">
        <is>
          <t>ENT</t>
        </is>
      </c>
      <c r="O196" s="5" t="inlineStr">
        <is>
          <t>DEC</t>
        </is>
      </c>
      <c r="P196" s="5" t="n">
        <v>0</v>
      </c>
      <c r="Q196" s="5" t="n">
        <v>2</v>
      </c>
      <c r="R196" s="5" t="inlineStr">
        <is>
          <t>128-2024-12-31</t>
        </is>
      </c>
    </row>
    <row r="197">
      <c r="A197" s="5" t="n">
        <v>128</v>
      </c>
      <c r="B197" s="5" t="inlineStr">
        <is>
          <t>Ausentísmo por causa médica</t>
        </is>
      </c>
      <c r="C197" s="5" t="inlineStr">
        <is>
          <t>GESTIÓN DE SEGURIDAD Y SALUD EN EL TRABAJO</t>
        </is>
      </c>
      <c r="D197" s="5" t="inlineStr">
        <is>
          <t>Mensual</t>
        </is>
      </c>
      <c r="E197" s="5" t="inlineStr">
        <is>
          <t>Negativo</t>
        </is>
      </c>
      <c r="F197" s="107" t="n">
        <v>45838</v>
      </c>
      <c r="G197" s="5" t="n">
        <v>2025</v>
      </c>
      <c r="H197" s="5" t="inlineStr">
        <is>
          <t>Junio</t>
        </is>
      </c>
      <c r="I197" s="6" t="inlineStr">
        <is>
          <t>2025-1</t>
        </is>
      </c>
      <c r="J197" s="5" t="n">
        <v>1</v>
      </c>
      <c r="K197" s="5" t="n">
        <v>0.9333333333333332</v>
      </c>
      <c r="L197" s="14">
        <f>IFERROR(IF(OR(J197=0,K197=""),"",IF(E197="Positivo",MIN(MAX(K197/J197,0),1.3),MIN(MAX(J197/K197,0),1.3))),"") </f>
        <v/>
      </c>
      <c r="M197" s="14">
        <f>IFERROR(IF(OR(J197=0,K197=""),"",IF(E197="Positivo",MAX(K197/J197,0),MAX(J197/K197,0))),"") </f>
        <v/>
      </c>
      <c r="N197" s="5" t="inlineStr">
        <is>
          <t>ENT</t>
        </is>
      </c>
      <c r="O197" s="5" t="inlineStr">
        <is>
          <t>DEC</t>
        </is>
      </c>
      <c r="P197" s="5" t="n">
        <v>0</v>
      </c>
      <c r="Q197" s="5" t="n">
        <v>2</v>
      </c>
      <c r="R197" s="5" t="inlineStr">
        <is>
          <t>128-2025-06-30</t>
        </is>
      </c>
    </row>
    <row r="198">
      <c r="A198" s="5" t="n">
        <v>128</v>
      </c>
      <c r="B198" s="5" t="inlineStr">
        <is>
          <t>Ausentísmo por causa médica</t>
        </is>
      </c>
      <c r="C198" s="5" t="inlineStr">
        <is>
          <t>GESTIÓN DE SEGURIDAD Y SALUD EN EL TRABAJO</t>
        </is>
      </c>
      <c r="D198" s="5" t="inlineStr">
        <is>
          <t>Mensual</t>
        </is>
      </c>
      <c r="E198" s="5" t="inlineStr">
        <is>
          <t>Negativo</t>
        </is>
      </c>
      <c r="F198" s="107" t="n">
        <v>46022</v>
      </c>
      <c r="G198" s="5" t="n">
        <v>2025</v>
      </c>
      <c r="H198" s="5" t="inlineStr">
        <is>
          <t>Diciembre</t>
        </is>
      </c>
      <c r="I198" s="6" t="inlineStr">
        <is>
          <t>2025-2</t>
        </is>
      </c>
      <c r="J198" s="5" t="n">
        <v>1</v>
      </c>
      <c r="K198" s="5" t="n">
        <v>0.8799999999999999</v>
      </c>
      <c r="L198" s="14">
        <f>IFERROR(IF(OR(J198=0,K198=""),"",IF(E198="Positivo",MIN(MAX(K198/J198,0),1.3),MIN(MAX(J198/K198,0),1.3))),"") </f>
        <v/>
      </c>
      <c r="M198" s="14">
        <f>IFERROR(IF(OR(J198=0,K198=""),"",IF(E198="Positivo",MAX(K198/J198,0),MAX(J198/K198,0))),"") </f>
        <v/>
      </c>
      <c r="N198" s="5" t="inlineStr">
        <is>
          <t>ENT</t>
        </is>
      </c>
      <c r="O198" s="5" t="inlineStr">
        <is>
          <t>DEC</t>
        </is>
      </c>
      <c r="P198" s="5" t="n">
        <v>0</v>
      </c>
      <c r="Q198" s="5" t="n">
        <v>2</v>
      </c>
      <c r="R198" s="5" t="inlineStr">
        <is>
          <t>128-2025-12-31</t>
        </is>
      </c>
    </row>
    <row r="199">
      <c r="A199" s="26" t="n">
        <v>133</v>
      </c>
      <c r="B199" s="5" t="inlineStr">
        <is>
          <t>Nivel de Satisfacción Servicios Prestados</t>
        </is>
      </c>
      <c r="C199" s="5" t="inlineStr">
        <is>
          <t>VISIBILIDAD NACIONAL E INTERNACIONAL</t>
        </is>
      </c>
      <c r="D199" s="5" t="inlineStr">
        <is>
          <t>Anual</t>
        </is>
      </c>
      <c r="E199" s="5" t="inlineStr">
        <is>
          <t>Positivo</t>
        </is>
      </c>
      <c r="F199" s="107" t="n">
        <v>44865</v>
      </c>
      <c r="G199" s="5" t="n">
        <v>2022</v>
      </c>
      <c r="H199" s="5" t="inlineStr">
        <is>
          <t>Octubre</t>
        </is>
      </c>
      <c r="I199" s="6" t="inlineStr">
        <is>
          <t>2022-2</t>
        </is>
      </c>
      <c r="J199" s="5" t="n">
        <v>80</v>
      </c>
      <c r="K199" s="5" t="n">
        <v>90</v>
      </c>
      <c r="L199" s="74">
        <f>IFERROR(IF(OR(J199=0,K199=""),"",IF(E199="Positivo",MIN(MAX(K199/J199,0),1.3),MIN(MAX(J199/K199,0),1.3))),"") </f>
        <v/>
      </c>
      <c r="M199" s="14">
        <f>IFERROR(IF(OR(J199=0,K199=""),"",IF(E199="Positivo",MAX(K199/J199,0),MAX(J199/K199,0))),"") </f>
        <v/>
      </c>
      <c r="N199" s="5" t="inlineStr">
        <is>
          <t>%</t>
        </is>
      </c>
      <c r="O199" s="5" t="inlineStr">
        <is>
          <t>%</t>
        </is>
      </c>
      <c r="P199" s="5" t="n">
        <v>0</v>
      </c>
      <c r="Q199" s="5" t="n">
        <v>0</v>
      </c>
      <c r="R199" s="5" t="inlineStr">
        <is>
          <t>133-2022-10-31</t>
        </is>
      </c>
    </row>
    <row r="200">
      <c r="A200" s="5" t="n">
        <v>133</v>
      </c>
      <c r="B200" s="5" t="inlineStr">
        <is>
          <t>Nivel de Satisfacción Servicios Prestados</t>
        </is>
      </c>
      <c r="C200" s="5" t="inlineStr">
        <is>
          <t>VISIBILIDAD NACIONAL E INTERNACIONAL</t>
        </is>
      </c>
      <c r="D200" s="5" t="inlineStr">
        <is>
          <t>Anual</t>
        </is>
      </c>
      <c r="E200" s="5" t="inlineStr">
        <is>
          <t>Positivo</t>
        </is>
      </c>
      <c r="F200" s="107" t="n">
        <v>45291</v>
      </c>
      <c r="G200" s="5" t="n">
        <v>2023</v>
      </c>
      <c r="H200" s="5" t="inlineStr">
        <is>
          <t>Diciembre</t>
        </is>
      </c>
      <c r="I200" s="6" t="inlineStr">
        <is>
          <t>2023-2</t>
        </is>
      </c>
      <c r="J200" s="5" t="n">
        <v>80</v>
      </c>
      <c r="K200" s="5" t="n">
        <v>92.78911564625851</v>
      </c>
      <c r="L200" s="14">
        <f>IFERROR(IF(OR(J200=0,K200=""),"",IF(E200="Positivo",MIN(MAX(K200/J200,0),1.3),MIN(MAX(J200/K200,0),1.3))),"") </f>
        <v/>
      </c>
      <c r="M200" s="14">
        <f>IFERROR(IF(OR(J200=0,K200=""),"",IF(E200="Positivo",MAX(K200/J200,0),MAX(J200/K200,0))),"") </f>
        <v/>
      </c>
      <c r="N200" s="5" t="inlineStr">
        <is>
          <t>%</t>
        </is>
      </c>
      <c r="O200" s="5" t="inlineStr">
        <is>
          <t>%</t>
        </is>
      </c>
      <c r="P200" s="5" t="n">
        <v>0</v>
      </c>
      <c r="Q200" s="5" t="n">
        <v>0</v>
      </c>
      <c r="R200" s="5" t="inlineStr">
        <is>
          <t>133-2023-12-31</t>
        </is>
      </c>
    </row>
    <row r="201">
      <c r="A201" s="5" t="n">
        <v>133</v>
      </c>
      <c r="B201" s="5" t="inlineStr">
        <is>
          <t>Nivel de Satisfacción Servicios Prestados</t>
        </is>
      </c>
      <c r="C201" s="5" t="inlineStr">
        <is>
          <t>VISIBILIDAD NACIONAL E INTERNACIONAL</t>
        </is>
      </c>
      <c r="D201" s="5" t="inlineStr">
        <is>
          <t>Anual</t>
        </is>
      </c>
      <c r="E201" s="5" t="inlineStr">
        <is>
          <t>Positivo</t>
        </is>
      </c>
      <c r="F201" s="107" t="n">
        <v>45657</v>
      </c>
      <c r="G201" s="5" t="n">
        <v>2024</v>
      </c>
      <c r="H201" s="5" t="inlineStr">
        <is>
          <t>Diciembre</t>
        </is>
      </c>
      <c r="I201" s="6" t="inlineStr">
        <is>
          <t>2024-2</t>
        </is>
      </c>
      <c r="J201" s="5" t="n">
        <v>80</v>
      </c>
      <c r="K201" s="5" t="n">
        <v>91</v>
      </c>
      <c r="L201" s="14">
        <f>IFERROR(IF(OR(J201=0,K201=""),"",IF(E201="Positivo",MIN(MAX(K201/J201,0),1.3),MIN(MAX(J201/K201,0),1.3))),"") </f>
        <v/>
      </c>
      <c r="M201" s="14">
        <f>IFERROR(IF(OR(J201=0,K201=""),"",IF(E201="Positivo",MAX(K201/J201,0),MAX(J201/K201,0))),"") </f>
        <v/>
      </c>
      <c r="N201" s="5" t="inlineStr">
        <is>
          <t>%</t>
        </is>
      </c>
      <c r="O201" s="5" t="inlineStr">
        <is>
          <t>%</t>
        </is>
      </c>
      <c r="P201" s="5" t="n">
        <v>0</v>
      </c>
      <c r="Q201" s="5" t="n">
        <v>0</v>
      </c>
      <c r="R201" s="5" t="inlineStr">
        <is>
          <t>133-2024-12-31</t>
        </is>
      </c>
    </row>
    <row r="202">
      <c r="A202" s="26" t="n">
        <v>136</v>
      </c>
      <c r="B202" s="5" t="inlineStr">
        <is>
          <t>Ejecución de actividades culturales</t>
        </is>
      </c>
      <c r="C202" s="5" t="inlineStr">
        <is>
          <t>Biblioteca Institucional</t>
        </is>
      </c>
      <c r="D202" s="5" t="inlineStr">
        <is>
          <t>Semestral</t>
        </is>
      </c>
      <c r="E202" s="5" t="inlineStr">
        <is>
          <t>Positivo</t>
        </is>
      </c>
      <c r="F202" s="107" t="n">
        <v>45107</v>
      </c>
      <c r="G202" s="5" t="n">
        <v>2023</v>
      </c>
      <c r="H202" s="5" t="inlineStr">
        <is>
          <t>Junio</t>
        </is>
      </c>
      <c r="I202" s="6" t="inlineStr">
        <is>
          <t>2023-1</t>
        </is>
      </c>
      <c r="J202" s="5" t="n">
        <v>90</v>
      </c>
      <c r="K202" s="5" t="n">
        <v>105.56</v>
      </c>
      <c r="L202" s="14">
        <f>IFERROR(IF(OR(J202=0,K202=""),"",IF(E202="Positivo",MIN(MAX(K202/J202,0),1.3),MIN(MAX(J202/K202,0),1.3))),"") </f>
        <v/>
      </c>
      <c r="M202" s="14">
        <f>IFERROR(IF(OR(J202=0,K202=""),"",IF(E202="Positivo",MAX(K202/J202,0),MAX(J202/K202,0))),"") </f>
        <v/>
      </c>
      <c r="N202" s="5" t="inlineStr">
        <is>
          <t>%</t>
        </is>
      </c>
      <c r="O202" s="5" t="inlineStr">
        <is>
          <t>%</t>
        </is>
      </c>
      <c r="P202" s="5" t="n">
        <v>0</v>
      </c>
      <c r="Q202" s="5" t="n">
        <v>0</v>
      </c>
      <c r="R202" s="5" t="inlineStr">
        <is>
          <t>136-2023-06-30</t>
        </is>
      </c>
    </row>
    <row r="203">
      <c r="A203" s="5" t="n">
        <v>136</v>
      </c>
      <c r="B203" s="5" t="inlineStr">
        <is>
          <t>Ejecución de actividades culturales</t>
        </is>
      </c>
      <c r="C203" s="5" t="inlineStr">
        <is>
          <t>Biblioteca Institucional</t>
        </is>
      </c>
      <c r="D203" s="5" t="inlineStr">
        <is>
          <t>Semestral</t>
        </is>
      </c>
      <c r="E203" s="5" t="inlineStr">
        <is>
          <t>Positivo</t>
        </is>
      </c>
      <c r="F203" s="107" t="n">
        <v>45291</v>
      </c>
      <c r="G203" s="5" t="n">
        <v>2023</v>
      </c>
      <c r="H203" s="5" t="inlineStr">
        <is>
          <t>Diciembre</t>
        </is>
      </c>
      <c r="I203" s="6" t="inlineStr">
        <is>
          <t>2023-2</t>
        </is>
      </c>
      <c r="J203" s="5" t="n">
        <v>90</v>
      </c>
      <c r="K203" s="5" t="n">
        <v>94.44</v>
      </c>
      <c r="L203" s="14">
        <f>IFERROR(IF(OR(J203=0,K203=""),"",IF(E203="Positivo",MIN(MAX(K203/J203,0),1.3),MIN(MAX(J203/K203,0),1.3))),"") </f>
        <v/>
      </c>
      <c r="M203" s="14">
        <f>IFERROR(IF(OR(J203=0,K203=""),"",IF(E203="Positivo",MAX(K203/J203,0),MAX(J203/K203,0))),"") </f>
        <v/>
      </c>
      <c r="N203" s="5" t="inlineStr">
        <is>
          <t>%</t>
        </is>
      </c>
      <c r="O203" s="5" t="inlineStr">
        <is>
          <t>%</t>
        </is>
      </c>
      <c r="P203" s="5" t="n">
        <v>0</v>
      </c>
      <c r="Q203" s="5" t="n">
        <v>0</v>
      </c>
      <c r="R203" s="5" t="inlineStr">
        <is>
          <t>136-2023-12-31</t>
        </is>
      </c>
    </row>
    <row r="204">
      <c r="A204" s="5" t="n">
        <v>137</v>
      </c>
      <c r="B204" s="5" t="inlineStr">
        <is>
          <t>Ejecución de Talleres de formación</t>
        </is>
      </c>
      <c r="C204" s="5" t="inlineStr">
        <is>
          <t>Biblioteca Institucional</t>
        </is>
      </c>
      <c r="D204" s="5" t="inlineStr">
        <is>
          <t>Trimestral</t>
        </is>
      </c>
      <c r="E204" s="5" t="inlineStr">
        <is>
          <t>Positivo</t>
        </is>
      </c>
      <c r="F204" s="107" t="n">
        <v>45107</v>
      </c>
      <c r="G204" s="15" t="n">
        <v>2023</v>
      </c>
      <c r="H204" s="6" t="inlineStr">
        <is>
          <t>Junio</t>
        </is>
      </c>
      <c r="I204" s="6" t="inlineStr">
        <is>
          <t>2023-1</t>
        </is>
      </c>
      <c r="J204" s="5" t="n">
        <v>212</v>
      </c>
      <c r="K204" s="5" t="n">
        <v>213</v>
      </c>
      <c r="L204" s="14">
        <f>IFERROR(IF(OR(J204=0,K204=""),"",IF(E204="Positivo",MIN(MAX(K204/J204,0),1.3),MIN(MAX(J204/K204,0),1.3))),"") </f>
        <v/>
      </c>
      <c r="M204" s="14">
        <f>IFERROR(IF(OR(J204=0,K204=""),"",IF(E204="Positivo",MAX(K204/J204,0),MAX(J204/K204,0))),"") </f>
        <v/>
      </c>
      <c r="N204" s="5" t="n"/>
      <c r="O204" s="5" t="n"/>
      <c r="P204" s="5" t="n">
        <v>0</v>
      </c>
      <c r="Q204" s="5" t="n">
        <v>0</v>
      </c>
      <c r="R204" s="5" t="inlineStr">
        <is>
          <t>137-2023-06-30</t>
        </is>
      </c>
    </row>
    <row r="205">
      <c r="A205" s="5" t="n">
        <v>137</v>
      </c>
      <c r="B205" s="5" t="inlineStr">
        <is>
          <t>Ejecución de Talleres de formación</t>
        </is>
      </c>
      <c r="C205" s="5" t="inlineStr">
        <is>
          <t>Biblioteca Institucional</t>
        </is>
      </c>
      <c r="D205" s="5" t="inlineStr">
        <is>
          <t>Trimestral</t>
        </is>
      </c>
      <c r="E205" s="5" t="inlineStr">
        <is>
          <t>Positivo</t>
        </is>
      </c>
      <c r="F205" s="107" t="n">
        <v>45291</v>
      </c>
      <c r="G205" s="5" t="n">
        <v>2023</v>
      </c>
      <c r="H205" s="5" t="inlineStr">
        <is>
          <t>Diciembre</t>
        </is>
      </c>
      <c r="I205" s="6" t="inlineStr">
        <is>
          <t>2023-2</t>
        </is>
      </c>
      <c r="J205" s="5" t="n">
        <v>235</v>
      </c>
      <c r="K205" s="5" t="n">
        <v>3</v>
      </c>
      <c r="L205" s="14">
        <f>IFERROR(IF(OR(J205=0,K205=""),"",IF(E205="Positivo",MIN(MAX(K205/J205,0),1.3),MIN(MAX(J205/K205,0),1.3))),"") </f>
        <v/>
      </c>
      <c r="M205" s="14">
        <f>IFERROR(IF(OR(J205=0,K205=""),"",IF(E205="Positivo",MAX(K205/J205,0),MAX(J205/K205,0))),"") </f>
        <v/>
      </c>
      <c r="N205" s="5" t="n"/>
      <c r="O205" s="5" t="n"/>
      <c r="P205" s="5" t="n">
        <v>0</v>
      </c>
      <c r="Q205" s="5" t="n">
        <v>0</v>
      </c>
      <c r="R205" s="5" t="inlineStr">
        <is>
          <t>137-2023-12-31</t>
        </is>
      </c>
    </row>
    <row r="206">
      <c r="A206" s="5" t="n">
        <v>139</v>
      </c>
      <c r="B206" s="5" t="inlineStr">
        <is>
          <t>Ejecución presupuestal del gasto</t>
        </is>
      </c>
      <c r="C206" s="5" t="inlineStr">
        <is>
          <t>Biblioteca Institucional</t>
        </is>
      </c>
      <c r="D206" s="5" t="inlineStr">
        <is>
          <t>Mensual</t>
        </is>
      </c>
      <c r="E206" s="5" t="inlineStr">
        <is>
          <t>Negativo</t>
        </is>
      </c>
      <c r="F206" s="106" t="n">
        <v>45107</v>
      </c>
      <c r="G206" s="15" t="n">
        <v>2023</v>
      </c>
      <c r="H206" s="6" t="inlineStr">
        <is>
          <t>Junio</t>
        </is>
      </c>
      <c r="I206" s="27" t="inlineStr">
        <is>
          <t>2023-1</t>
        </is>
      </c>
      <c r="J206" s="94" t="n">
        <v>570.083</v>
      </c>
      <c r="K206" s="94" t="n">
        <v>410.077</v>
      </c>
      <c r="L206" s="14">
        <f>IFERROR(IF(OR(J206=0,K206=""),"",IF(E206="Positivo",MIN(MAX(K206/J206,0),1.3),MIN(MAX(J206/K206,0),1.3))),"") </f>
        <v/>
      </c>
      <c r="M206" s="14">
        <f>IFERROR(IF(OR(J206=0,K206=""),"",IF(E206="Positivo",MAX(K206/J206,0),MAX(J206/K206,0))),"") </f>
        <v/>
      </c>
      <c r="N206" s="5" t="inlineStr">
        <is>
          <t>$</t>
        </is>
      </c>
      <c r="O206" s="5" t="inlineStr">
        <is>
          <t>$</t>
        </is>
      </c>
      <c r="P206" s="5" t="n">
        <v>0</v>
      </c>
      <c r="Q206" s="5" t="n">
        <v>0</v>
      </c>
      <c r="R206" s="5" t="inlineStr">
        <is>
          <t>139-2023-06-30</t>
        </is>
      </c>
    </row>
    <row r="207">
      <c r="A207" s="5" t="n">
        <v>139</v>
      </c>
      <c r="B207" s="5" t="inlineStr">
        <is>
          <t>Ejecución presupuestal del gasto</t>
        </is>
      </c>
      <c r="C207" s="5" t="inlineStr">
        <is>
          <t>Biblioteca Institucional</t>
        </is>
      </c>
      <c r="D207" s="5" t="inlineStr">
        <is>
          <t>Mensual</t>
        </is>
      </c>
      <c r="E207" s="5" t="inlineStr">
        <is>
          <t>Negativo</t>
        </is>
      </c>
      <c r="F207" s="106" t="n">
        <v>45291</v>
      </c>
      <c r="G207" s="15" t="n">
        <v>2023</v>
      </c>
      <c r="H207" s="6" t="inlineStr">
        <is>
          <t>Diciembre</t>
        </is>
      </c>
      <c r="I207" s="27" t="inlineStr">
        <is>
          <t>2023-2</t>
        </is>
      </c>
      <c r="J207" s="94" t="n">
        <v>981.982</v>
      </c>
      <c r="K207" s="94" t="n">
        <v>964.284</v>
      </c>
      <c r="L207" s="14">
        <f>IFERROR(IF(OR(J207=0,K207=""),"",IF(E207="Positivo",MIN(MAX(K207/J207,0),1.3),MIN(MAX(J207/K207,0),1.3))),"") </f>
        <v/>
      </c>
      <c r="M207" s="14">
        <f>IFERROR(IF(OR(J207=0,K207=""),"",IF(E207="Positivo",MAX(K207/J207,0),MAX(J207/K207,0))),"") </f>
        <v/>
      </c>
      <c r="N207" s="5" t="inlineStr">
        <is>
          <t>$</t>
        </is>
      </c>
      <c r="O207" s="5" t="inlineStr">
        <is>
          <t>$</t>
        </is>
      </c>
      <c r="P207" s="5" t="n">
        <v>0</v>
      </c>
      <c r="Q207" s="5" t="n">
        <v>0</v>
      </c>
      <c r="R207" s="5" t="inlineStr">
        <is>
          <t>139-2023-12-31</t>
        </is>
      </c>
    </row>
    <row r="208">
      <c r="A208" s="5" t="n">
        <v>139</v>
      </c>
      <c r="B208" s="5" t="inlineStr">
        <is>
          <t>Ejecución presupuestal del gasto</t>
        </is>
      </c>
      <c r="C208" s="5" t="inlineStr">
        <is>
          <t>Biblioteca Institucional</t>
        </is>
      </c>
      <c r="D208" s="5" t="inlineStr">
        <is>
          <t>Mensual</t>
        </is>
      </c>
      <c r="E208" s="5" t="inlineStr">
        <is>
          <t>Negativo</t>
        </is>
      </c>
      <c r="F208" s="106" t="n">
        <v>45473</v>
      </c>
      <c r="G208" s="15" t="n">
        <v>2024</v>
      </c>
      <c r="H208" s="6" t="inlineStr">
        <is>
          <t>Junio</t>
        </is>
      </c>
      <c r="I208" s="27" t="inlineStr">
        <is>
          <t>2024-1</t>
        </is>
      </c>
      <c r="J208" s="73" t="n">
        <v>624.0215930000001</v>
      </c>
      <c r="K208" s="94" t="n">
        <v>470.811775</v>
      </c>
      <c r="L208" s="14">
        <f>IFERROR(IF(OR(J208=0,K208=""),"",IF(E208="Positivo",MIN(MAX(K208/J208,0),1.3),MIN(MAX(J208/K208,0),1.3))),"") </f>
        <v/>
      </c>
      <c r="M208" s="14">
        <f>IFERROR(IF(OR(J208=0,K208=""),"",IF(E208="Positivo",MAX(K208/J208,0),MAX(J208/K208,0))),"") </f>
        <v/>
      </c>
      <c r="N208" s="5" t="inlineStr">
        <is>
          <t>$</t>
        </is>
      </c>
      <c r="O208" s="5" t="inlineStr">
        <is>
          <t>$</t>
        </is>
      </c>
      <c r="P208" s="5" t="n">
        <v>0</v>
      </c>
      <c r="Q208" s="5" t="n">
        <v>0</v>
      </c>
      <c r="R208" s="5" t="inlineStr">
        <is>
          <t>139-2024-06-30</t>
        </is>
      </c>
    </row>
    <row r="209">
      <c r="A209" s="26" t="n">
        <v>139</v>
      </c>
      <c r="B209" s="5" t="inlineStr">
        <is>
          <t>Ejecución presupuestal del gasto</t>
        </is>
      </c>
      <c r="C209" s="5" t="inlineStr">
        <is>
          <t>Biblioteca Institucional</t>
        </is>
      </c>
      <c r="D209" s="5" t="inlineStr">
        <is>
          <t>Mensual</t>
        </is>
      </c>
      <c r="E209" s="5" t="inlineStr">
        <is>
          <t>Negativo</t>
        </is>
      </c>
      <c r="F209" s="107" t="n">
        <v>45657</v>
      </c>
      <c r="G209" s="5" t="n">
        <v>2024</v>
      </c>
      <c r="H209" s="5" t="inlineStr">
        <is>
          <t>Diciembre</t>
        </is>
      </c>
      <c r="I209" s="6" t="inlineStr">
        <is>
          <t>2024-2</t>
        </is>
      </c>
      <c r="J209" s="73" t="n">
        <v>1338.614396</v>
      </c>
      <c r="K209" s="94" t="n">
        <v>1214.751881</v>
      </c>
      <c r="L209" s="14">
        <f>IFERROR(IF(OR(J209=0,K209=""),"",IF(E209="Positivo",MIN(MAX(K209/J209,0),1.3),MIN(MAX(J209/K209,0),1.3))),"") </f>
        <v/>
      </c>
      <c r="M209" s="14">
        <f>IFERROR(IF(OR(J209=0,K209=""),"",IF(E209="Positivo",MAX(K209/J209,0),MAX(J209/K209,0))),"") </f>
        <v/>
      </c>
      <c r="N209" s="5" t="inlineStr">
        <is>
          <t>$</t>
        </is>
      </c>
      <c r="O209" s="5" t="inlineStr">
        <is>
          <t>$</t>
        </is>
      </c>
      <c r="P209" s="5" t="n">
        <v>0</v>
      </c>
      <c r="Q209" s="5" t="n">
        <v>0</v>
      </c>
      <c r="R209" s="5" t="inlineStr">
        <is>
          <t>139-2024-12-31</t>
        </is>
      </c>
    </row>
    <row r="210">
      <c r="A210" s="5" t="n">
        <v>143</v>
      </c>
      <c r="B210" s="5" t="inlineStr">
        <is>
          <t>Proyectos de investigación e innovación- Metrica</t>
        </is>
      </c>
      <c r="C210" s="5" t="inlineStr">
        <is>
          <t>Investigación, desarrollo tecnológico, innovación y creación</t>
        </is>
      </c>
      <c r="D210" s="5" t="inlineStr">
        <is>
          <t>Trimestral</t>
        </is>
      </c>
      <c r="E210" s="5" t="inlineStr">
        <is>
          <t>Positivo</t>
        </is>
      </c>
      <c r="F210" s="107" t="n">
        <v>44742</v>
      </c>
      <c r="G210" s="5" t="n">
        <v>2022</v>
      </c>
      <c r="H210" s="5" t="inlineStr">
        <is>
          <t>Junio</t>
        </is>
      </c>
      <c r="I210" s="6" t="inlineStr">
        <is>
          <t>2022-1</t>
        </is>
      </c>
      <c r="J210" s="76" t="n">
        <v>100</v>
      </c>
      <c r="K210" s="10" t="n">
        <v>147</v>
      </c>
      <c r="L210" s="14" t="n"/>
      <c r="M210" s="14" t="n"/>
      <c r="N210" s="5" t="inlineStr">
        <is>
          <t>Metrica</t>
        </is>
      </c>
      <c r="O210" s="5" t="n"/>
      <c r="P210" s="5" t="n">
        <v>0</v>
      </c>
      <c r="Q210" s="5" t="n">
        <v>0</v>
      </c>
      <c r="R210" s="5" t="inlineStr">
        <is>
          <t>143-2022-06-30</t>
        </is>
      </c>
      <c r="S210" t="inlineStr">
        <is>
          <t>Metrica</t>
        </is>
      </c>
    </row>
    <row r="211">
      <c r="A211" s="26" t="n">
        <v>143</v>
      </c>
      <c r="B211" s="5" t="inlineStr">
        <is>
          <t>Proyectos de investigación e innovación- Metrica</t>
        </is>
      </c>
      <c r="C211" s="5" t="inlineStr">
        <is>
          <t>Investigación, desarrollo tecnológico, innovación y creación</t>
        </is>
      </c>
      <c r="D211" s="5" t="inlineStr">
        <is>
          <t>Trimestral</t>
        </is>
      </c>
      <c r="E211" s="5" t="inlineStr">
        <is>
          <t>Positivo</t>
        </is>
      </c>
      <c r="F211" s="107" t="n">
        <v>44926</v>
      </c>
      <c r="G211" s="5" t="n">
        <v>2022</v>
      </c>
      <c r="H211" s="5" t="inlineStr">
        <is>
          <t>Diciembre</t>
        </is>
      </c>
      <c r="I211" s="6" t="inlineStr">
        <is>
          <t>2022-2</t>
        </is>
      </c>
      <c r="J211" s="73" t="n">
        <v>100</v>
      </c>
      <c r="K211" s="94" t="n">
        <v>158</v>
      </c>
      <c r="L211" s="14" t="n"/>
      <c r="M211" s="14" t="n"/>
      <c r="N211" s="5" t="inlineStr">
        <is>
          <t>Metrica</t>
        </is>
      </c>
      <c r="O211" s="5" t="n"/>
      <c r="P211" s="5" t="n">
        <v>0</v>
      </c>
      <c r="Q211" s="5" t="n">
        <v>0</v>
      </c>
      <c r="R211" s="5" t="inlineStr">
        <is>
          <t>143-2022-12-31</t>
        </is>
      </c>
      <c r="S211" t="inlineStr">
        <is>
          <t>Metrica</t>
        </is>
      </c>
    </row>
    <row r="212">
      <c r="A212" s="5" t="n">
        <v>143</v>
      </c>
      <c r="B212" s="5" t="inlineStr">
        <is>
          <t>Proyectos de investigación e innovación</t>
        </is>
      </c>
      <c r="C212" s="5" t="inlineStr">
        <is>
          <t>Investigación, desarrollo tecnológico, innovación y creación</t>
        </is>
      </c>
      <c r="D212" s="5" t="inlineStr">
        <is>
          <t>Semestral</t>
        </is>
      </c>
      <c r="E212" s="5" t="inlineStr">
        <is>
          <t>Positivo</t>
        </is>
      </c>
      <c r="F212" s="106" t="n">
        <v>45107</v>
      </c>
      <c r="G212" s="15" t="n">
        <v>2023</v>
      </c>
      <c r="H212" s="6" t="inlineStr">
        <is>
          <t>Junio</t>
        </is>
      </c>
      <c r="I212" s="27" t="inlineStr">
        <is>
          <t>2023-1</t>
        </is>
      </c>
      <c r="J212" s="11" t="n">
        <v>100</v>
      </c>
      <c r="K212" s="11" t="n">
        <v>146</v>
      </c>
      <c r="L212" s="14">
        <f>IFERROR(IF(OR(J212=0,K212=""),"",IF(E212="Positivo",MIN(MAX(K212/J212,0),1.3),MIN(MAX(J212/K212,0),1.3))),"") </f>
        <v/>
      </c>
      <c r="M212" s="14">
        <f>IFERROR(IF(OR(J212=0,K212=""),"",IF(E212="Positivo",MAX(K212/J212,0),MAX(J212/K212,0))),"") </f>
        <v/>
      </c>
      <c r="N212" s="5" t="inlineStr">
        <is>
          <t>Metrica</t>
        </is>
      </c>
      <c r="O212" s="5" t="n"/>
      <c r="P212" s="5" t="n">
        <v>0</v>
      </c>
      <c r="Q212" s="5" t="n">
        <v>0</v>
      </c>
      <c r="R212" s="5" t="inlineStr">
        <is>
          <t>143-2023-06-30</t>
        </is>
      </c>
    </row>
    <row r="213">
      <c r="A213" s="5" t="n">
        <v>143</v>
      </c>
      <c r="B213" s="5" t="inlineStr">
        <is>
          <t>Proyectos de investigación e innovación</t>
        </is>
      </c>
      <c r="C213" s="5" t="inlineStr">
        <is>
          <t>Investigación, desarrollo tecnológico, innovación y creación</t>
        </is>
      </c>
      <c r="D213" s="5" t="inlineStr">
        <is>
          <t>Semestral</t>
        </is>
      </c>
      <c r="E213" s="5" t="inlineStr">
        <is>
          <t>Positivo</t>
        </is>
      </c>
      <c r="F213" s="106" t="n">
        <v>45291</v>
      </c>
      <c r="G213" s="15" t="n">
        <v>2023</v>
      </c>
      <c r="H213" s="6" t="inlineStr">
        <is>
          <t>Diciembre</t>
        </is>
      </c>
      <c r="I213" s="27" t="inlineStr">
        <is>
          <t>2023-2</t>
        </is>
      </c>
      <c r="J213" s="11" t="n">
        <v>100</v>
      </c>
      <c r="K213" s="9" t="n">
        <v>146</v>
      </c>
      <c r="L213" s="14">
        <f>IFERROR(IF(OR(J213=0,K213=""),"",IF(E213="Positivo",MIN(MAX(K213/J213,0),1.3),MIN(MAX(J213/K213,0),1.3))),"") </f>
        <v/>
      </c>
      <c r="M213" s="14">
        <f>IFERROR(IF(OR(J213=0,K213=""),"",IF(E213="Positivo",MAX(K213/J213,0),MAX(J213/K213,0))),"") </f>
        <v/>
      </c>
      <c r="N213" s="5" t="inlineStr">
        <is>
          <t>Metrica</t>
        </is>
      </c>
      <c r="O213" s="5" t="n"/>
      <c r="P213" s="5" t="n">
        <v>0</v>
      </c>
      <c r="Q213" s="5" t="n">
        <v>0</v>
      </c>
      <c r="R213" s="5" t="inlineStr">
        <is>
          <t>143-2023-12-31</t>
        </is>
      </c>
    </row>
    <row r="214">
      <c r="A214" s="5" t="n">
        <v>143</v>
      </c>
      <c r="B214" s="5" t="inlineStr">
        <is>
          <t>Proyectos de investigación e innovación</t>
        </is>
      </c>
      <c r="C214" s="5" t="inlineStr">
        <is>
          <t>Investigación, desarrollo tecnológico, innovación y creación</t>
        </is>
      </c>
      <c r="D214" s="5" t="inlineStr">
        <is>
          <t>Semestral</t>
        </is>
      </c>
      <c r="E214" s="5" t="inlineStr">
        <is>
          <t>Positivo</t>
        </is>
      </c>
      <c r="F214" s="106" t="n">
        <v>45473</v>
      </c>
      <c r="G214" s="15" t="n">
        <v>2024</v>
      </c>
      <c r="H214" s="6" t="inlineStr">
        <is>
          <t>Junio</t>
        </is>
      </c>
      <c r="I214" s="27" t="inlineStr">
        <is>
          <t>2024-1</t>
        </is>
      </c>
      <c r="J214" s="5" t="n">
        <v>100</v>
      </c>
      <c r="K214" s="11" t="n">
        <v>112</v>
      </c>
      <c r="L214" s="14">
        <f>IFERROR(IF(OR(J214=0,K214=""),"",IF(E214="Positivo",MIN(MAX(K214/J214,0),1.3),MIN(MAX(J214/K214,0),1.3))),"") </f>
        <v/>
      </c>
      <c r="M214" s="14">
        <f>IFERROR(IF(OR(J214=0,K214=""),"",IF(E214="Positivo",MAX(K214/J214,0),MAX(J214/K214,0))),"") </f>
        <v/>
      </c>
      <c r="N214" s="5" t="inlineStr">
        <is>
          <t>Metrica</t>
        </is>
      </c>
      <c r="O214" s="5" t="n"/>
      <c r="P214" s="5" t="n">
        <v>0</v>
      </c>
      <c r="Q214" s="5" t="n">
        <v>0</v>
      </c>
      <c r="R214" s="5" t="inlineStr">
        <is>
          <t>143-2024-06-30</t>
        </is>
      </c>
    </row>
    <row r="215">
      <c r="A215" s="26" t="n">
        <v>143</v>
      </c>
      <c r="B215" s="5" t="inlineStr">
        <is>
          <t>Proyectos de investigación e innovación</t>
        </is>
      </c>
      <c r="C215" s="5" t="inlineStr">
        <is>
          <t>Investigación, desarrollo tecnológico, innovación y creación</t>
        </is>
      </c>
      <c r="D215" s="5" t="inlineStr">
        <is>
          <t>Semestral</t>
        </is>
      </c>
      <c r="E215" s="5" t="inlineStr">
        <is>
          <t>Positivo</t>
        </is>
      </c>
      <c r="F215" s="107" t="n">
        <v>45657</v>
      </c>
      <c r="G215" s="5" t="n">
        <v>2024</v>
      </c>
      <c r="H215" s="5" t="inlineStr">
        <is>
          <t>Diciembre</t>
        </is>
      </c>
      <c r="I215" s="6" t="inlineStr">
        <is>
          <t>2024-2</t>
        </is>
      </c>
      <c r="J215" s="73" t="n">
        <v>100</v>
      </c>
      <c r="K215" s="9" t="n">
        <v>135</v>
      </c>
      <c r="L215" s="14">
        <f>IFERROR(IF(OR(J215=0,K215=""),"",IF(E215="Positivo",MIN(MAX(K215/J215,0),1.3),MIN(MAX(J215/K215,0),1.3))),"") </f>
        <v/>
      </c>
      <c r="M215" s="14">
        <f>IFERROR(IF(OR(J215=0,K215=""),"",IF(E215="Positivo",MAX(K215/J215,0),MAX(J215/K215,0))),"") </f>
        <v/>
      </c>
      <c r="N215" s="5" t="inlineStr">
        <is>
          <t>Metrica</t>
        </is>
      </c>
      <c r="O215" s="5" t="n"/>
      <c r="P215" s="5" t="n">
        <v>0</v>
      </c>
      <c r="Q215" s="5" t="n">
        <v>0</v>
      </c>
      <c r="R215" s="5" t="inlineStr">
        <is>
          <t>143-2024-12-31</t>
        </is>
      </c>
    </row>
    <row r="216">
      <c r="A216" s="5" t="n">
        <v>143</v>
      </c>
      <c r="B216" s="5" t="inlineStr">
        <is>
          <t>Proyectos de investigación e innovación</t>
        </is>
      </c>
      <c r="C216" s="5" t="inlineStr">
        <is>
          <t>Investigación, desarrollo tecnológico, innovación y creación</t>
        </is>
      </c>
      <c r="D216" s="5" t="inlineStr">
        <is>
          <t>Semestral</t>
        </is>
      </c>
      <c r="E216" s="5" t="inlineStr">
        <is>
          <t>Positivo</t>
        </is>
      </c>
      <c r="F216" s="107" t="n">
        <v>45838</v>
      </c>
      <c r="G216" s="5" t="n">
        <v>2025</v>
      </c>
      <c r="H216" s="5" t="inlineStr">
        <is>
          <t>Junio</t>
        </is>
      </c>
      <c r="I216" s="6" t="inlineStr">
        <is>
          <t>2025-1</t>
        </is>
      </c>
      <c r="J216" s="5" t="n">
        <v>100</v>
      </c>
      <c r="K216" s="10" t="n">
        <v>159</v>
      </c>
      <c r="L216" s="14">
        <f>IFERROR(IF(OR(J216=0,K216=""),"",IF(E216="Positivo",MIN(MAX(K216/J216,0),1.3),MIN(MAX(J216/K216,0),1.3))),"") </f>
        <v/>
      </c>
      <c r="M216" s="14">
        <f>IFERROR(IF(OR(J216=0,K216=""),"",IF(E216="Positivo",MAX(K216/J216,0),MAX(J216/K216,0))),"") </f>
        <v/>
      </c>
      <c r="N216" s="5" t="inlineStr">
        <is>
          <t>Metrica</t>
        </is>
      </c>
      <c r="O216" s="5" t="n"/>
      <c r="P216" s="5" t="n">
        <v>0</v>
      </c>
      <c r="Q216" s="5" t="n">
        <v>0</v>
      </c>
      <c r="R216" s="5" t="inlineStr">
        <is>
          <t>143-2025-06-30</t>
        </is>
      </c>
    </row>
    <row r="217">
      <c r="A217" s="5" t="n">
        <v>143</v>
      </c>
      <c r="B217" s="5" t="inlineStr">
        <is>
          <t>Proyectos de investigación e innovación- Metrica</t>
        </is>
      </c>
      <c r="C217" s="5" t="inlineStr">
        <is>
          <t>Investigación, desarrollo tecnológico, innovación y creación</t>
        </is>
      </c>
      <c r="D217" s="5" t="inlineStr">
        <is>
          <t>Trimestral</t>
        </is>
      </c>
      <c r="E217" s="5" t="inlineStr">
        <is>
          <t>Positivo</t>
        </is>
      </c>
      <c r="F217" s="107" t="n">
        <v>46022</v>
      </c>
      <c r="G217" s="5" t="n">
        <v>2025</v>
      </c>
      <c r="H217" s="5" t="inlineStr">
        <is>
          <t>Diciembre</t>
        </is>
      </c>
      <c r="I217" s="6" t="inlineStr">
        <is>
          <t>2025-2</t>
        </is>
      </c>
      <c r="J217" s="5" t="n">
        <v>100</v>
      </c>
      <c r="K217" s="10" t="n">
        <v>191</v>
      </c>
      <c r="L217" s="14" t="n"/>
      <c r="M217" s="14" t="n"/>
      <c r="N217" s="5" t="inlineStr">
        <is>
          <t>Metrica</t>
        </is>
      </c>
      <c r="O217" s="5" t="n"/>
      <c r="P217" s="5" t="n">
        <v>0</v>
      </c>
      <c r="Q217" s="5" t="n">
        <v>0</v>
      </c>
      <c r="R217" s="5" t="inlineStr">
        <is>
          <t>143-2025-12-31</t>
        </is>
      </c>
      <c r="S217" t="inlineStr">
        <is>
          <t>Metrica</t>
        </is>
      </c>
    </row>
    <row r="218">
      <c r="A218" s="5" t="n">
        <v>144</v>
      </c>
      <c r="B218" s="5" t="inlineStr">
        <is>
          <t>Productos de investigación</t>
        </is>
      </c>
      <c r="C218" s="5" t="inlineStr">
        <is>
          <t>Investigación, desarrollo tecnológico, innovación y creación</t>
        </is>
      </c>
      <c r="D218" s="5" t="inlineStr">
        <is>
          <t>Anual</t>
        </is>
      </c>
      <c r="E218" s="5" t="inlineStr">
        <is>
          <t>Positivo</t>
        </is>
      </c>
      <c r="F218" s="106" t="n">
        <v>44742</v>
      </c>
      <c r="G218" s="15" t="n">
        <v>2022</v>
      </c>
      <c r="H218" s="6" t="inlineStr">
        <is>
          <t>Junio</t>
        </is>
      </c>
      <c r="I218" s="27" t="inlineStr">
        <is>
          <t>2022-1</t>
        </is>
      </c>
      <c r="J218" s="9" t="n">
        <v>3</v>
      </c>
      <c r="K218" s="9" t="n">
        <v>3.2169811320755</v>
      </c>
      <c r="L218" s="14">
        <f>IFERROR(IF(OR(J218=0,K218=""),"",IF(E218="Positivo",MIN(MAX(K218/J218,0),1.3),MIN(MAX(J218/K218,0),1.3))),"") </f>
        <v/>
      </c>
      <c r="M218" s="14">
        <f>IFERROR(IF(OR(J218=0,K218=""),"",IF(E218="Positivo",MAX(K218/J218,0),MAX(J218/K218,0))),"") </f>
        <v/>
      </c>
      <c r="N218" s="5" t="inlineStr">
        <is>
          <t>ENT</t>
        </is>
      </c>
      <c r="O218" s="5" t="inlineStr">
        <is>
          <t>DEC</t>
        </is>
      </c>
      <c r="P218" s="5" t="n">
        <v>2</v>
      </c>
      <c r="Q218" s="5" t="n">
        <v>2</v>
      </c>
      <c r="R218" s="5" t="inlineStr">
        <is>
          <t>144-2022-06-30</t>
        </is>
      </c>
    </row>
    <row r="219">
      <c r="A219" s="5" t="n">
        <v>144</v>
      </c>
      <c r="B219" s="5" t="inlineStr">
        <is>
          <t>Productos de investigación</t>
        </is>
      </c>
      <c r="C219" s="5" t="inlineStr">
        <is>
          <t>Investigación, desarrollo tecnológico, innovación y creación</t>
        </is>
      </c>
      <c r="D219" s="5" t="inlineStr">
        <is>
          <t>Anual</t>
        </is>
      </c>
      <c r="E219" s="5" t="inlineStr">
        <is>
          <t>Positivo</t>
        </is>
      </c>
      <c r="F219" s="106" t="n">
        <v>44926</v>
      </c>
      <c r="G219" s="15" t="n">
        <v>2022</v>
      </c>
      <c r="H219" s="6" t="inlineStr">
        <is>
          <t>Diciembre</t>
        </is>
      </c>
      <c r="I219" s="27" t="inlineStr">
        <is>
          <t>2022-2</t>
        </is>
      </c>
      <c r="J219" s="5" t="n">
        <v>3</v>
      </c>
      <c r="K219" s="11" t="n">
        <v>3.55</v>
      </c>
      <c r="L219" s="14">
        <f>IFERROR(IF(OR(J219=0,K219=""),"",IF(E219="Positivo",MIN(MAX(K219/J219,0),1.3),MIN(MAX(J219/K219,0),1.3))),"") </f>
        <v/>
      </c>
      <c r="M219" s="14">
        <f>IFERROR(IF(OR(J219=0,K219=""),"",IF(E219="Positivo",MAX(K219/J219,0),MAX(J219/K219,0))),"") </f>
        <v/>
      </c>
      <c r="N219" s="5" t="inlineStr">
        <is>
          <t>ENT</t>
        </is>
      </c>
      <c r="O219" s="5" t="inlineStr">
        <is>
          <t>DEC</t>
        </is>
      </c>
      <c r="P219" s="5" t="n">
        <v>2</v>
      </c>
      <c r="Q219" s="5" t="n">
        <v>2</v>
      </c>
      <c r="R219" s="5" t="inlineStr">
        <is>
          <t>144-2022-12-31</t>
        </is>
      </c>
    </row>
    <row r="220">
      <c r="A220" s="26" t="n">
        <v>144</v>
      </c>
      <c r="B220" s="5" t="inlineStr">
        <is>
          <t>Productos de investigación</t>
        </is>
      </c>
      <c r="C220" s="5" t="inlineStr">
        <is>
          <t>Investigación, desarrollo tecnológico, innovación y creación</t>
        </is>
      </c>
      <c r="D220" s="5" t="inlineStr">
        <is>
          <t>Anual</t>
        </is>
      </c>
      <c r="E220" s="5" t="inlineStr">
        <is>
          <t>Positivo</t>
        </is>
      </c>
      <c r="F220" s="107" t="n">
        <v>45291</v>
      </c>
      <c r="G220" s="5" t="n">
        <v>2023</v>
      </c>
      <c r="H220" s="5" t="inlineStr">
        <is>
          <t>Diciembre</t>
        </is>
      </c>
      <c r="I220" s="6" t="inlineStr">
        <is>
          <t>2023-2</t>
        </is>
      </c>
      <c r="J220" s="73" t="n">
        <v>3</v>
      </c>
      <c r="K220" s="9" t="n">
        <v>4.83</v>
      </c>
      <c r="L220" s="14">
        <f>IFERROR(IF(OR(J220=0,K220=""),"",IF(E220="Positivo",MIN(MAX(K220/J220,0),1.3),MIN(MAX(J220/K220,0),1.3))),"") </f>
        <v/>
      </c>
      <c r="M220" s="14">
        <f>IFERROR(IF(OR(J220=0,K220=""),"",IF(E220="Positivo",MAX(K220/J220,0),MAX(J220/K220,0))),"") </f>
        <v/>
      </c>
      <c r="N220" s="5" t="n"/>
      <c r="O220" s="5" t="n"/>
      <c r="P220" s="5" t="n">
        <v>2</v>
      </c>
      <c r="Q220" s="5" t="n">
        <v>2</v>
      </c>
      <c r="R220" s="5" t="inlineStr">
        <is>
          <t>144-2023-12-31</t>
        </is>
      </c>
    </row>
    <row r="221">
      <c r="A221" s="5" t="n">
        <v>144</v>
      </c>
      <c r="B221" s="5" t="inlineStr">
        <is>
          <t>Productos de investigación</t>
        </is>
      </c>
      <c r="C221" s="5" t="inlineStr">
        <is>
          <t>Investigación, desarrollo tecnológico, innovación y creación</t>
        </is>
      </c>
      <c r="D221" s="5" t="inlineStr">
        <is>
          <t>Anual</t>
        </is>
      </c>
      <c r="E221" s="5" t="inlineStr">
        <is>
          <t>Positivo</t>
        </is>
      </c>
      <c r="F221" s="107" t="n">
        <v>45657</v>
      </c>
      <c r="G221" s="5" t="n">
        <v>2024</v>
      </c>
      <c r="H221" s="5" t="inlineStr">
        <is>
          <t>Diciembre</t>
        </is>
      </c>
      <c r="I221" s="6" t="inlineStr">
        <is>
          <t>2024-2</t>
        </is>
      </c>
      <c r="J221" s="5" t="n">
        <v>3</v>
      </c>
      <c r="K221" s="9" t="n">
        <v>4.6</v>
      </c>
      <c r="L221" s="14">
        <f>IFERROR(IF(OR(J221=0,K221=""),"",IF(E221="Positivo",MIN(MAX(K221/J221,0),1.3),MIN(MAX(J221/K221,0),1.3))),"") </f>
        <v/>
      </c>
      <c r="M221" s="14">
        <f>IFERROR(IF(OR(J221=0,K221=""),"",IF(E221="Positivo",MAX(K221/J221,0),MAX(J221/K221,0))),"") </f>
        <v/>
      </c>
      <c r="N221" s="5" t="n"/>
      <c r="O221" s="5" t="n"/>
      <c r="P221" s="5" t="n">
        <v>0</v>
      </c>
      <c r="Q221" s="5" t="n">
        <v>0</v>
      </c>
      <c r="R221" s="5" t="inlineStr">
        <is>
          <t>144-2024-12-31</t>
        </is>
      </c>
    </row>
    <row r="222">
      <c r="A222" s="5" t="n">
        <v>144</v>
      </c>
      <c r="B222" s="5" t="inlineStr">
        <is>
          <t>Productos de investigación</t>
        </is>
      </c>
      <c r="C222" s="5" t="inlineStr">
        <is>
          <t>Investigación, desarrollo tecnológico, innovación y creación</t>
        </is>
      </c>
      <c r="D222" s="5" t="inlineStr">
        <is>
          <t>Anual</t>
        </is>
      </c>
      <c r="E222" s="5" t="inlineStr">
        <is>
          <t>Positivo</t>
        </is>
      </c>
      <c r="F222" s="107" t="n">
        <v>46022</v>
      </c>
      <c r="G222" s="5" t="n">
        <v>2025</v>
      </c>
      <c r="H222" s="5" t="inlineStr">
        <is>
          <t>Diciembre</t>
        </is>
      </c>
      <c r="I222" s="6" t="inlineStr">
        <is>
          <t>2025-2</t>
        </is>
      </c>
      <c r="J222" s="5" t="n">
        <v>4</v>
      </c>
      <c r="K222" s="10" t="n">
        <v>1.95</v>
      </c>
      <c r="L222" s="14">
        <f>IFERROR(IF(OR(J222=0,K222=""),"",IF(E222="Positivo",MIN(MAX(K222/J222,0),1.3),MIN(MAX(J222/K222,0),1.3))),"") </f>
        <v/>
      </c>
      <c r="M222" s="14">
        <f>IFERROR(IF(OR(J222=0,K222=""),"",IF(E222="Positivo",MAX(K222/J222,0),MAX(J222/K222,0))),"") </f>
        <v/>
      </c>
      <c r="N222" s="5" t="inlineStr">
        <is>
          <t>ENT</t>
        </is>
      </c>
      <c r="O222" s="5" t="inlineStr">
        <is>
          <t>DEC</t>
        </is>
      </c>
      <c r="P222" s="5" t="n">
        <v>2</v>
      </c>
      <c r="Q222" s="5" t="n">
        <v>2</v>
      </c>
      <c r="R222" s="5" t="inlineStr">
        <is>
          <t>144-2025-12-31</t>
        </is>
      </c>
    </row>
    <row r="223">
      <c r="A223" s="5" t="n">
        <v>145</v>
      </c>
      <c r="B223" s="5" t="inlineStr">
        <is>
          <t>Semilleros de Investigación, Innovación y Creación</t>
        </is>
      </c>
      <c r="C223" s="5" t="inlineStr">
        <is>
          <t>Formación para la investigación, creación e innovación</t>
        </is>
      </c>
      <c r="D223" s="5" t="inlineStr">
        <is>
          <t>Trimestral</t>
        </is>
      </c>
      <c r="E223" s="5" t="inlineStr">
        <is>
          <t>Positivo</t>
        </is>
      </c>
      <c r="F223" s="106" t="n">
        <v>44742</v>
      </c>
      <c r="G223" s="15" t="n">
        <v>2022</v>
      </c>
      <c r="H223" s="6" t="inlineStr">
        <is>
          <t>Junio</t>
        </is>
      </c>
      <c r="I223" s="27" t="inlineStr">
        <is>
          <t>2022-1</t>
        </is>
      </c>
      <c r="J223" s="5" t="n">
        <v>1</v>
      </c>
      <c r="K223" s="11" t="n">
        <v>2.1186440677966</v>
      </c>
      <c r="L223" s="14">
        <f>IFERROR(IF(OR(J223=0,K223=""),"",IF(E223="Positivo",MIN(MAX(K223/J223,0),1.3),MIN(MAX(J223/K223,0),1.3))),"") </f>
        <v/>
      </c>
      <c r="M223" s="14">
        <f>IFERROR(IF(OR(J223=0,K223=""),"",IF(E223="Positivo",MAX(K223/J223,0),MAX(J223/K223,0))),"") </f>
        <v/>
      </c>
      <c r="N223" s="5" t="inlineStr">
        <is>
          <t>ENT</t>
        </is>
      </c>
      <c r="O223" s="5" t="inlineStr">
        <is>
          <t>DEC</t>
        </is>
      </c>
      <c r="P223" s="5" t="n">
        <v>0</v>
      </c>
      <c r="Q223" s="5" t="n">
        <v>2</v>
      </c>
      <c r="R223" s="5" t="inlineStr">
        <is>
          <t>145-2022-06-30</t>
        </is>
      </c>
    </row>
    <row r="224">
      <c r="A224" s="26" t="n">
        <v>145</v>
      </c>
      <c r="B224" s="5" t="inlineStr">
        <is>
          <t>Semilleros de Investigación, Innovación y Creación</t>
        </is>
      </c>
      <c r="C224" s="5" t="inlineStr">
        <is>
          <t>Formación para la investigación, creación e innovación</t>
        </is>
      </c>
      <c r="D224" s="5" t="inlineStr">
        <is>
          <t>Trimestral</t>
        </is>
      </c>
      <c r="E224" s="5" t="inlineStr">
        <is>
          <t>Positivo</t>
        </is>
      </c>
      <c r="F224" s="107" t="n">
        <v>44926</v>
      </c>
      <c r="G224" s="5" t="n">
        <v>2022</v>
      </c>
      <c r="H224" s="5" t="inlineStr">
        <is>
          <t>Diciembre</t>
        </is>
      </c>
      <c r="I224" s="6" t="inlineStr">
        <is>
          <t>2022-2</t>
        </is>
      </c>
      <c r="J224" s="5" t="n">
        <v>1</v>
      </c>
      <c r="K224" s="94" t="n">
        <v>2.1186440677966</v>
      </c>
      <c r="L224" s="14">
        <f>IFERROR(IF(OR(J224=0,K224=""),"",IF(E224="Positivo",MIN(MAX(K224/J224,0),1.3),MIN(MAX(J224/K224,0),1.3))),"") </f>
        <v/>
      </c>
      <c r="M224" s="14">
        <f>IFERROR(IF(OR(J224=0,K224=""),"",IF(E224="Positivo",MAX(K224/J224,0),MAX(J224/K224,0))),"") </f>
        <v/>
      </c>
      <c r="N224" s="5" t="inlineStr">
        <is>
          <t>ENT</t>
        </is>
      </c>
      <c r="O224" s="5" t="inlineStr">
        <is>
          <t>DEC</t>
        </is>
      </c>
      <c r="P224" s="5" t="n">
        <v>0</v>
      </c>
      <c r="Q224" s="5" t="n">
        <v>2</v>
      </c>
      <c r="R224" s="5" t="inlineStr">
        <is>
          <t>145-2022-12-31</t>
        </is>
      </c>
    </row>
    <row r="225">
      <c r="A225" s="26" t="n">
        <v>145</v>
      </c>
      <c r="B225" s="5" t="inlineStr">
        <is>
          <t>Semilleros de Investigación, Innovación y Creación</t>
        </is>
      </c>
      <c r="C225" s="5" t="inlineStr">
        <is>
          <t>Formación para la investigación, creación e innovación</t>
        </is>
      </c>
      <c r="D225" s="5" t="inlineStr">
        <is>
          <t>Semestral</t>
        </is>
      </c>
      <c r="E225" s="5" t="inlineStr">
        <is>
          <t>Positivo</t>
        </is>
      </c>
      <c r="F225" s="107" t="n">
        <v>45107</v>
      </c>
      <c r="G225" s="5" t="n">
        <v>2023</v>
      </c>
      <c r="H225" s="5" t="inlineStr">
        <is>
          <t>Junio</t>
        </is>
      </c>
      <c r="I225" s="6" t="inlineStr">
        <is>
          <t>2023-1</t>
        </is>
      </c>
      <c r="J225" s="5" t="n">
        <v>1</v>
      </c>
      <c r="K225" s="5" t="n">
        <v>2</v>
      </c>
      <c r="L225" s="14">
        <f>IFERROR(IF(OR(J225=0,K225=""),"",IF(E225="Positivo",MIN(MAX(K225/J225,0),1.3),MIN(MAX(J225/K225,0),1.3))),"") </f>
        <v/>
      </c>
      <c r="M225" s="14">
        <f>IFERROR(IF(OR(J225=0,K225=""),"",IF(E225="Positivo",MAX(K225/J225,0),MAX(J225/K225,0))),"") </f>
        <v/>
      </c>
      <c r="N225" s="5" t="inlineStr">
        <is>
          <t>ENT</t>
        </is>
      </c>
      <c r="O225" s="5" t="inlineStr">
        <is>
          <t>ENT</t>
        </is>
      </c>
      <c r="P225" s="5" t="n">
        <v>0</v>
      </c>
      <c r="Q225" s="5" t="n">
        <v>0</v>
      </c>
      <c r="R225" s="5" t="inlineStr">
        <is>
          <t>145-2023-06-30</t>
        </is>
      </c>
    </row>
    <row r="226">
      <c r="A226" s="5" t="n">
        <v>145</v>
      </c>
      <c r="B226" s="5" t="inlineStr">
        <is>
          <t>Semilleros de Investigación, Innovación y Creación</t>
        </is>
      </c>
      <c r="C226" s="5" t="inlineStr">
        <is>
          <t>Formación para la investigación, creación e innovación</t>
        </is>
      </c>
      <c r="D226" s="5" t="inlineStr">
        <is>
          <t>Semestral</t>
        </is>
      </c>
      <c r="E226" s="5" t="inlineStr">
        <is>
          <t>Positivo</t>
        </is>
      </c>
      <c r="F226" s="106" t="n">
        <v>45291</v>
      </c>
      <c r="G226" s="15" t="n">
        <v>2023</v>
      </c>
      <c r="H226" s="6" t="inlineStr">
        <is>
          <t>Diciembre</t>
        </is>
      </c>
      <c r="I226" s="27" t="inlineStr">
        <is>
          <t>2023-2</t>
        </is>
      </c>
      <c r="J226" s="5" t="n">
        <v>1</v>
      </c>
      <c r="K226" s="11" t="n">
        <v>2</v>
      </c>
      <c r="L226" s="14">
        <f>IFERROR(IF(OR(J226=0,K226=""),"",IF(E226="Positivo",MIN(MAX(K226/J226,0),1.3),MIN(MAX(J226/K226,0),1.3))),"") </f>
        <v/>
      </c>
      <c r="M226" s="14">
        <f>IFERROR(IF(OR(J226=0,K226=""),"",IF(E226="Positivo",MAX(K226/J226,0),MAX(J226/K226,0))),"") </f>
        <v/>
      </c>
      <c r="N226" s="5" t="inlineStr">
        <is>
          <t>ENT</t>
        </is>
      </c>
      <c r="O226" s="5" t="inlineStr">
        <is>
          <t>ENT</t>
        </is>
      </c>
      <c r="P226" s="5" t="n">
        <v>0</v>
      </c>
      <c r="Q226" s="5" t="n">
        <v>0</v>
      </c>
      <c r="R226" s="5" t="inlineStr">
        <is>
          <t>145-2023-12-31</t>
        </is>
      </c>
    </row>
    <row r="227">
      <c r="A227" s="26" t="n">
        <v>145</v>
      </c>
      <c r="B227" s="5" t="inlineStr">
        <is>
          <t>Semilleros de Investigación, Innovación y Creación</t>
        </is>
      </c>
      <c r="C227" s="5" t="inlineStr">
        <is>
          <t>Formación para la investigación, creación e innovación</t>
        </is>
      </c>
      <c r="D227" s="5" t="inlineStr">
        <is>
          <t>Semestral</t>
        </is>
      </c>
      <c r="E227" s="5" t="inlineStr">
        <is>
          <t>Positivo</t>
        </is>
      </c>
      <c r="F227" s="107" t="n">
        <v>45473</v>
      </c>
      <c r="G227" s="5" t="n">
        <v>2024</v>
      </c>
      <c r="H227" s="5" t="inlineStr">
        <is>
          <t>Junio</t>
        </is>
      </c>
      <c r="I227" s="6" t="inlineStr">
        <is>
          <t>2024-1</t>
        </is>
      </c>
      <c r="J227" s="73" t="n">
        <v>1</v>
      </c>
      <c r="K227" s="9" t="n">
        <v>1.97</v>
      </c>
      <c r="L227" s="14">
        <f>IFERROR(IF(OR(J227=0,K227=""),"",IF(E227="Positivo",MIN(MAX(K227/J227,0),1.3),MIN(MAX(J227/K227,0),1.3))),"") </f>
        <v/>
      </c>
      <c r="M227" s="14">
        <f>IFERROR(IF(OR(J227=0,K227=""),"",IF(E227="Positivo",MAX(K227/J227,0),MAX(J227/K227,0))),"") </f>
        <v/>
      </c>
      <c r="N227" s="5" t="inlineStr">
        <is>
          <t>ENT</t>
        </is>
      </c>
      <c r="O227" s="5" t="inlineStr">
        <is>
          <t>DEC</t>
        </is>
      </c>
      <c r="P227" s="5" t="n">
        <v>0</v>
      </c>
      <c r="Q227" s="5" t="n">
        <v>2</v>
      </c>
      <c r="R227" s="5" t="inlineStr">
        <is>
          <t>145-2024-06-30</t>
        </is>
      </c>
    </row>
    <row r="228">
      <c r="A228" s="5" t="n">
        <v>145</v>
      </c>
      <c r="B228" s="5" t="inlineStr">
        <is>
          <t>Semilleros de Investigación, Innovación y Creación</t>
        </is>
      </c>
      <c r="C228" s="5" t="inlineStr">
        <is>
          <t>Formación para la investigación, creación e innovación</t>
        </is>
      </c>
      <c r="D228" s="5" t="inlineStr">
        <is>
          <t>Semestral</t>
        </is>
      </c>
      <c r="E228" s="5" t="inlineStr">
        <is>
          <t>Positivo</t>
        </is>
      </c>
      <c r="F228" s="107" t="n">
        <v>45657</v>
      </c>
      <c r="G228" s="5" t="n">
        <v>2024</v>
      </c>
      <c r="H228" s="5" t="inlineStr">
        <is>
          <t>Diciembre</t>
        </is>
      </c>
      <c r="I228" s="6" t="inlineStr">
        <is>
          <t>2024-2</t>
        </is>
      </c>
      <c r="J228" s="5" t="n">
        <v>1</v>
      </c>
      <c r="K228" s="11" t="n">
        <v>1.94</v>
      </c>
      <c r="L228" s="14">
        <f>IFERROR(IF(OR(J228=0,K228=""),"",IF(E228="Positivo",MIN(MAX(K228/J228,0),1.3),MIN(MAX(J228/K228,0),1.3))),"") </f>
        <v/>
      </c>
      <c r="M228" s="14">
        <f>IFERROR(IF(OR(J228=0,K228=""),"",IF(E228="Positivo",MAX(K228/J228,0),MAX(J228/K228,0))),"") </f>
        <v/>
      </c>
      <c r="N228" s="5" t="inlineStr">
        <is>
          <t>ENT</t>
        </is>
      </c>
      <c r="O228" s="5" t="inlineStr">
        <is>
          <t>DEC</t>
        </is>
      </c>
      <c r="P228" s="5" t="n">
        <v>0</v>
      </c>
      <c r="Q228" s="5" t="n">
        <v>2</v>
      </c>
      <c r="R228" s="5" t="inlineStr">
        <is>
          <t>145-2024-12-31</t>
        </is>
      </c>
    </row>
    <row r="229">
      <c r="A229" s="5" t="n">
        <v>145</v>
      </c>
      <c r="B229" s="5" t="inlineStr">
        <is>
          <t>Semilleros de Investigación, Innovación y Creación</t>
        </is>
      </c>
      <c r="C229" s="5" t="inlineStr">
        <is>
          <t>Formación para la investigación, creación e innovación</t>
        </is>
      </c>
      <c r="D229" s="5" t="inlineStr">
        <is>
          <t>Semestral</t>
        </is>
      </c>
      <c r="E229" s="5" t="inlineStr">
        <is>
          <t>Positivo</t>
        </is>
      </c>
      <c r="F229" s="107" t="n">
        <v>45838</v>
      </c>
      <c r="G229" s="5" t="n">
        <v>2025</v>
      </c>
      <c r="H229" s="5" t="inlineStr">
        <is>
          <t>Junio</t>
        </is>
      </c>
      <c r="I229" s="6" t="inlineStr">
        <is>
          <t>2025-1</t>
        </is>
      </c>
      <c r="J229" s="5" t="n">
        <v>1</v>
      </c>
      <c r="K229" s="11" t="n">
        <v>1.74</v>
      </c>
      <c r="L229" s="14">
        <f>IFERROR(IF(OR(J229=0,K229=""),"",IF(E229="Positivo",MIN(MAX(K229/J229,0),1.3),MIN(MAX(J229/K229,0),1.3))),"") </f>
        <v/>
      </c>
      <c r="M229" s="14">
        <f>IFERROR(IF(OR(J229=0,K229=""),"",IF(E229="Positivo",MAX(K229/J229,0),MAX(J229/K229,0))),"") </f>
        <v/>
      </c>
      <c r="N229" s="5" t="inlineStr">
        <is>
          <t>ENT</t>
        </is>
      </c>
      <c r="O229" s="5" t="inlineStr">
        <is>
          <t>DEC</t>
        </is>
      </c>
      <c r="P229" s="5" t="n">
        <v>0</v>
      </c>
      <c r="Q229" s="5" t="n">
        <v>2</v>
      </c>
      <c r="R229" s="5" t="inlineStr">
        <is>
          <t>145-2025-06-30</t>
        </is>
      </c>
    </row>
    <row r="230">
      <c r="A230" s="26" t="n">
        <v>145</v>
      </c>
      <c r="B230" s="5" t="inlineStr">
        <is>
          <t>Semilleros de Investigación, Innovación y Creación</t>
        </is>
      </c>
      <c r="C230" s="5" t="inlineStr">
        <is>
          <t>Formación para la investigación, creación e innovación</t>
        </is>
      </c>
      <c r="D230" s="5" t="inlineStr">
        <is>
          <t>Trimestral</t>
        </is>
      </c>
      <c r="E230" s="5" t="inlineStr">
        <is>
          <t>Positivo</t>
        </is>
      </c>
      <c r="F230" s="107" t="n">
        <v>46022</v>
      </c>
      <c r="G230" s="5" t="n">
        <v>2025</v>
      </c>
      <c r="H230" s="5" t="inlineStr">
        <is>
          <t>Diciembre</t>
        </is>
      </c>
      <c r="I230" s="6" t="inlineStr">
        <is>
          <t>2025-2</t>
        </is>
      </c>
      <c r="J230" s="5" t="n">
        <v>1</v>
      </c>
      <c r="K230" s="5" t="n">
        <v>1.62</v>
      </c>
      <c r="L230" s="14">
        <f>IFERROR(IF(OR(J230=0,K230=""),"",IF(E230="Positivo",MIN(MAX(K230/J230,0),1.3),MIN(MAX(J230/K230,0),1.3))),"") </f>
        <v/>
      </c>
      <c r="M230" s="14">
        <f>IFERROR(IF(OR(J230=0,K230=""),"",IF(E230="Positivo",MAX(K230/J230,0),MAX(J230/K230,0))),"") </f>
        <v/>
      </c>
      <c r="N230" s="5" t="inlineStr">
        <is>
          <t>ENT</t>
        </is>
      </c>
      <c r="O230" s="5" t="inlineStr">
        <is>
          <t>DEC</t>
        </is>
      </c>
      <c r="P230" s="5" t="n">
        <v>0</v>
      </c>
      <c r="Q230" s="5" t="n">
        <v>2</v>
      </c>
      <c r="R230" s="5" t="inlineStr">
        <is>
          <t>145-2025-12-31</t>
        </is>
      </c>
    </row>
    <row r="231">
      <c r="A231" s="26" t="n">
        <v>146</v>
      </c>
      <c r="B231" s="5" t="inlineStr">
        <is>
          <t>Docentes vinculados a investigación</t>
        </is>
      </c>
      <c r="C231" s="5" t="inlineStr">
        <is>
          <t>Investigación, desarrollo tecnológico, innovación y creación</t>
        </is>
      </c>
      <c r="D231" s="5" t="inlineStr">
        <is>
          <t>Trimestral</t>
        </is>
      </c>
      <c r="E231" s="5" t="inlineStr">
        <is>
          <t>Positivo</t>
        </is>
      </c>
      <c r="F231" s="107" t="n">
        <v>44742</v>
      </c>
      <c r="G231" s="5" t="n">
        <v>2022</v>
      </c>
      <c r="H231" s="5" t="inlineStr">
        <is>
          <t>Junio</t>
        </is>
      </c>
      <c r="I231" s="6" t="inlineStr">
        <is>
          <t>2022-1</t>
        </is>
      </c>
      <c r="J231" s="5" t="n">
        <v>230</v>
      </c>
      <c r="K231" s="5" t="n">
        <v>100.43</v>
      </c>
      <c r="L231" s="14">
        <f>IFERROR(IF(OR(J231=0,K231=""),"",IF(E231="Positivo",MIN(MAX(K231/J231,0),1.3),MIN(MAX(J231/K231,0),1.3))),"") </f>
        <v/>
      </c>
      <c r="M231" s="14">
        <f>IFERROR(IF(OR(J231=0,K231=""),"",IF(E231="Positivo",MAX(K231/J231,0),MAX(J231/K231,0))),"") </f>
        <v/>
      </c>
      <c r="N231" s="5" t="inlineStr">
        <is>
          <t>ENT</t>
        </is>
      </c>
      <c r="O231" s="5" t="inlineStr">
        <is>
          <t>ENT</t>
        </is>
      </c>
      <c r="P231" s="5" t="n">
        <v>0</v>
      </c>
      <c r="Q231" s="5" t="n">
        <v>0</v>
      </c>
      <c r="R231" s="5" t="inlineStr">
        <is>
          <t>146-2022-06-30</t>
        </is>
      </c>
    </row>
    <row r="232">
      <c r="A232" s="5" t="n">
        <v>146</v>
      </c>
      <c r="B232" s="5" t="inlineStr">
        <is>
          <t>Docentes vinculados a investigación</t>
        </is>
      </c>
      <c r="C232" s="5" t="inlineStr">
        <is>
          <t>Investigación, desarrollo tecnológico, innovación y creación</t>
        </is>
      </c>
      <c r="D232" s="5" t="inlineStr">
        <is>
          <t>Trimestral</t>
        </is>
      </c>
      <c r="E232" s="5" t="inlineStr">
        <is>
          <t>Positivo</t>
        </is>
      </c>
      <c r="F232" s="107" t="n">
        <v>44926</v>
      </c>
      <c r="G232" s="5" t="n">
        <v>2022</v>
      </c>
      <c r="H232" s="5" t="inlineStr">
        <is>
          <t>Diciembre</t>
        </is>
      </c>
      <c r="I232" s="6" t="inlineStr">
        <is>
          <t>2022-2</t>
        </is>
      </c>
      <c r="J232" s="5" t="n">
        <v>230</v>
      </c>
      <c r="K232" s="5" t="n">
        <v>121.74</v>
      </c>
      <c r="L232" s="14">
        <f>IFERROR(IF(OR(J232=0,K232=""),"",IF(E232="Positivo",MIN(MAX(K232/J232,0),1.3),MIN(MAX(J232/K232,0),1.3))),"") </f>
        <v/>
      </c>
      <c r="M232" s="14">
        <f>IFERROR(IF(OR(J232=0,K232=""),"",IF(E232="Positivo",MAX(K232/J232,0),MAX(J232/K232,0))),"") </f>
        <v/>
      </c>
      <c r="N232" s="5" t="inlineStr">
        <is>
          <t>ENT</t>
        </is>
      </c>
      <c r="O232" s="5" t="inlineStr">
        <is>
          <t>ENT</t>
        </is>
      </c>
      <c r="P232" s="5" t="n">
        <v>0</v>
      </c>
      <c r="Q232" s="5" t="n">
        <v>0</v>
      </c>
      <c r="R232" s="5" t="inlineStr">
        <is>
          <t>146-2022-12-31</t>
        </is>
      </c>
    </row>
    <row r="233">
      <c r="A233" s="5" t="n">
        <v>146</v>
      </c>
      <c r="B233" s="5" t="inlineStr">
        <is>
          <t>Docentes vinculados a investigación</t>
        </is>
      </c>
      <c r="C233" s="5" t="inlineStr">
        <is>
          <t>Investigación, desarrollo tecnológico, innovación y creación</t>
        </is>
      </c>
      <c r="D233" s="5" t="inlineStr">
        <is>
          <t>Semestral</t>
        </is>
      </c>
      <c r="E233" s="5" t="inlineStr">
        <is>
          <t>Positivo</t>
        </is>
      </c>
      <c r="F233" s="107" t="n">
        <v>45107</v>
      </c>
      <c r="G233" s="5" t="n">
        <v>2023</v>
      </c>
      <c r="H233" s="5" t="inlineStr">
        <is>
          <t>Junio</t>
        </is>
      </c>
      <c r="I233" s="6" t="inlineStr">
        <is>
          <t>2023-1</t>
        </is>
      </c>
      <c r="J233" s="5" t="n">
        <v>230</v>
      </c>
      <c r="K233" s="5" t="n">
        <v>120.87</v>
      </c>
      <c r="L233" s="14">
        <f>IFERROR(IF(OR(J233=0,K233=""),"",IF(E233="Positivo",MIN(MAX(K233/J233,0),1.3),MIN(MAX(J233/K233,0),1.3))),"") </f>
        <v/>
      </c>
      <c r="M233" s="14">
        <f>IFERROR(IF(OR(J233=0,K233=""),"",IF(E233="Positivo",MAX(K233/J233,0),MAX(J233/K233,0))),"") </f>
        <v/>
      </c>
      <c r="N233" s="5" t="inlineStr">
        <is>
          <t>ENT</t>
        </is>
      </c>
      <c r="O233" s="5" t="inlineStr">
        <is>
          <t>ENT</t>
        </is>
      </c>
      <c r="P233" s="5" t="n">
        <v>0</v>
      </c>
      <c r="Q233" s="5" t="n">
        <v>0</v>
      </c>
      <c r="R233" s="5" t="inlineStr">
        <is>
          <t>146-2023-06-30</t>
        </is>
      </c>
    </row>
    <row r="234">
      <c r="A234" s="26" t="n">
        <v>146</v>
      </c>
      <c r="B234" s="5" t="inlineStr">
        <is>
          <t>Docentes vinculados a investigación</t>
        </is>
      </c>
      <c r="C234" s="5" t="inlineStr">
        <is>
          <t>Investigación, desarrollo tecnológico, innovación y creación</t>
        </is>
      </c>
      <c r="D234" s="5" t="inlineStr">
        <is>
          <t>Semestral</t>
        </is>
      </c>
      <c r="E234" s="5" t="inlineStr">
        <is>
          <t>Positivo</t>
        </is>
      </c>
      <c r="F234" s="107" t="n">
        <v>45291</v>
      </c>
      <c r="G234" s="5" t="n">
        <v>2023</v>
      </c>
      <c r="H234" s="5" t="inlineStr">
        <is>
          <t>Diciembre</t>
        </is>
      </c>
      <c r="I234" s="6" t="inlineStr">
        <is>
          <t>2023-2</t>
        </is>
      </c>
      <c r="J234" s="5" t="n">
        <v>230</v>
      </c>
      <c r="K234" s="5" t="n">
        <v>148.7</v>
      </c>
      <c r="L234" s="74">
        <f>IFERROR(IF(OR(J234=0,K234=""),"",IF(E234="Positivo",MIN(MAX(K234/J234,0),1.3),MIN(MAX(J234/K234,0),1.3))),"") </f>
        <v/>
      </c>
      <c r="M234" s="14">
        <f>IFERROR(IF(OR(J234=0,K234=""),"",IF(E234="Positivo",MAX(K234/J234,0),MAX(J234/K234,0))),"") </f>
        <v/>
      </c>
      <c r="N234" s="5" t="inlineStr">
        <is>
          <t>ENT</t>
        </is>
      </c>
      <c r="O234" s="5" t="inlineStr">
        <is>
          <t>ENT</t>
        </is>
      </c>
      <c r="P234" s="5" t="n">
        <v>0</v>
      </c>
      <c r="Q234" s="5" t="n">
        <v>0</v>
      </c>
      <c r="R234" s="5" t="inlineStr">
        <is>
          <t>146-2023-12-31</t>
        </is>
      </c>
    </row>
    <row r="235">
      <c r="A235" s="34" t="n">
        <v>146</v>
      </c>
      <c r="B235" s="5" t="inlineStr">
        <is>
          <t>Docentes vinculados a investigación</t>
        </is>
      </c>
      <c r="C235" s="5" t="inlineStr">
        <is>
          <t>Investigación, desarrollo tecnológico, innovación y creación</t>
        </is>
      </c>
      <c r="D235" s="5" t="inlineStr">
        <is>
          <t>Semestral</t>
        </is>
      </c>
      <c r="E235" s="5" t="inlineStr">
        <is>
          <t>Positivo</t>
        </is>
      </c>
      <c r="F235" s="107" t="n">
        <v>45473</v>
      </c>
      <c r="G235" s="5" t="n">
        <v>2024</v>
      </c>
      <c r="H235" s="5" t="inlineStr">
        <is>
          <t>Junio</t>
        </is>
      </c>
      <c r="I235" s="6" t="inlineStr">
        <is>
          <t>2024-1</t>
        </is>
      </c>
      <c r="J235" s="5" t="n">
        <v>294</v>
      </c>
      <c r="K235" s="5" t="n">
        <v>113.61</v>
      </c>
      <c r="L235" s="74">
        <f>IFERROR(IF(OR(J235=0,K235=""),"",IF(E235="Positivo",MIN(MAX(K235/J235,0),1.3),MIN(MAX(J235/K235,0),1.3))),"") </f>
        <v/>
      </c>
      <c r="M235" s="14">
        <f>IFERROR(IF(OR(J235=0,K235=""),"",IF(E235="Positivo",MAX(K235/J235,0),MAX(J235/K235,0))),"") </f>
        <v/>
      </c>
      <c r="N235" s="5" t="inlineStr">
        <is>
          <t>ENT</t>
        </is>
      </c>
      <c r="O235" s="5" t="inlineStr">
        <is>
          <t>ENT</t>
        </is>
      </c>
      <c r="P235" s="5" t="n">
        <v>0</v>
      </c>
      <c r="Q235" s="5" t="n">
        <v>0</v>
      </c>
      <c r="R235" s="5" t="inlineStr">
        <is>
          <t>146-2024-06-30</t>
        </is>
      </c>
    </row>
    <row r="236">
      <c r="A236" s="26" t="n">
        <v>146</v>
      </c>
      <c r="B236" s="5" t="inlineStr">
        <is>
          <t>Docentes vinculados a investigación</t>
        </is>
      </c>
      <c r="C236" s="5" t="inlineStr">
        <is>
          <t>Investigación, desarrollo tecnológico, innovación y creación</t>
        </is>
      </c>
      <c r="D236" s="5" t="inlineStr">
        <is>
          <t>Semestral</t>
        </is>
      </c>
      <c r="E236" s="5" t="inlineStr">
        <is>
          <t>Positivo</t>
        </is>
      </c>
      <c r="F236" s="107" t="n">
        <v>45657</v>
      </c>
      <c r="G236" s="5" t="n">
        <v>2024</v>
      </c>
      <c r="H236" s="5" t="inlineStr">
        <is>
          <t>Diciembre</t>
        </is>
      </c>
      <c r="I236" s="6" t="inlineStr">
        <is>
          <t>2024-2</t>
        </is>
      </c>
      <c r="J236" s="5" t="n">
        <v>294</v>
      </c>
      <c r="K236" s="5" t="n">
        <v>116.67</v>
      </c>
      <c r="L236" s="74">
        <f>IFERROR(IF(OR(J236=0,K236=""),"",IF(E236="Positivo",MIN(MAX(K236/J236,0),1.3),MIN(MAX(J236/K236,0),1.3))),"") </f>
        <v/>
      </c>
      <c r="M236" s="14">
        <f>IFERROR(IF(OR(J236=0,K236=""),"",IF(E236="Positivo",MAX(K236/J236,0),MAX(J236/K236,0))),"") </f>
        <v/>
      </c>
      <c r="N236" s="5" t="inlineStr">
        <is>
          <t>ENT</t>
        </is>
      </c>
      <c r="O236" s="5" t="inlineStr">
        <is>
          <t>ENT</t>
        </is>
      </c>
      <c r="P236" s="5" t="n">
        <v>0</v>
      </c>
      <c r="Q236" s="5" t="n">
        <v>0</v>
      </c>
      <c r="R236" s="5" t="inlineStr">
        <is>
          <t>146-2024-12-31</t>
        </is>
      </c>
    </row>
    <row r="237">
      <c r="A237" s="5" t="n">
        <v>146</v>
      </c>
      <c r="B237" s="5" t="inlineStr">
        <is>
          <t>Docentes vinculados a investigación</t>
        </is>
      </c>
      <c r="C237" s="5" t="inlineStr">
        <is>
          <t>Investigación, desarrollo tecnológico, innovación y creación</t>
        </is>
      </c>
      <c r="D237" s="5" t="inlineStr">
        <is>
          <t>Semestral</t>
        </is>
      </c>
      <c r="E237" s="5" t="inlineStr">
        <is>
          <t>Positivo</t>
        </is>
      </c>
      <c r="F237" s="107" t="n">
        <v>45838</v>
      </c>
      <c r="G237" s="15" t="n">
        <v>2025</v>
      </c>
      <c r="H237" s="6" t="inlineStr">
        <is>
          <t>Junio</t>
        </is>
      </c>
      <c r="I237" s="6" t="inlineStr">
        <is>
          <t>2025-1</t>
        </is>
      </c>
      <c r="J237" s="5" t="n">
        <v>100</v>
      </c>
      <c r="K237" s="5" t="n">
        <v>107</v>
      </c>
      <c r="L237" s="74">
        <f>IFERROR(IF(OR(J237=0,K237=""),"",IF(E237="Positivo",MIN(MAX(K237/J237,0),1.3),MIN(MAX(J237/K237,0),1.3))),"") </f>
        <v/>
      </c>
      <c r="M237" s="14">
        <f>IFERROR(IF(OR(J237=0,K237=""),"",IF(E237="Positivo",MAX(K237/J237,0),MAX(J237/K237,0))),"") </f>
        <v/>
      </c>
      <c r="N237" s="5" t="inlineStr">
        <is>
          <t>ENT</t>
        </is>
      </c>
      <c r="O237" s="5" t="inlineStr">
        <is>
          <t>ENT</t>
        </is>
      </c>
      <c r="P237" s="5" t="n">
        <v>0</v>
      </c>
      <c r="Q237" s="5" t="n">
        <v>0</v>
      </c>
      <c r="R237" s="5" t="inlineStr">
        <is>
          <t>146-2025-06-30</t>
        </is>
      </c>
    </row>
    <row r="238">
      <c r="A238" s="26" t="n">
        <v>146</v>
      </c>
      <c r="B238" s="5" t="inlineStr">
        <is>
          <t>Docentes vinculados a investigación</t>
        </is>
      </c>
      <c r="C238" s="5" t="inlineStr">
        <is>
          <t>Investigación, desarrollo tecnológico, innovación y creación</t>
        </is>
      </c>
      <c r="D238" s="5" t="inlineStr">
        <is>
          <t>Trimestral</t>
        </is>
      </c>
      <c r="E238" s="5" t="inlineStr">
        <is>
          <t>Positivo</t>
        </is>
      </c>
      <c r="F238" s="107" t="n">
        <v>46022</v>
      </c>
      <c r="G238" s="5" t="n">
        <v>2025</v>
      </c>
      <c r="H238" s="5" t="inlineStr">
        <is>
          <t>Diciembre</t>
        </is>
      </c>
      <c r="I238" s="6" t="inlineStr">
        <is>
          <t>2025-2</t>
        </is>
      </c>
      <c r="J238" s="5" t="n">
        <v>100</v>
      </c>
      <c r="K238" s="5" t="n">
        <v>133</v>
      </c>
      <c r="L238" s="74">
        <f>IFERROR(IF(OR(J238=0,K238=""),"",IF(E238="Positivo",MIN(MAX(K238/J238,0),1.3),MIN(MAX(J238/K238,0),1.3))),"") </f>
        <v/>
      </c>
      <c r="M238" s="14">
        <f>IFERROR(IF(OR(J238=0,K238=""),"",IF(E238="Positivo",MAX(K238/J238,0),MAX(J238/K238,0))),"") </f>
        <v/>
      </c>
      <c r="N238" s="5" t="inlineStr">
        <is>
          <t>ENT</t>
        </is>
      </c>
      <c r="O238" s="5" t="inlineStr">
        <is>
          <t>ENT</t>
        </is>
      </c>
      <c r="P238" s="5" t="n">
        <v>0</v>
      </c>
      <c r="Q238" s="5" t="n">
        <v>0</v>
      </c>
      <c r="R238" s="5" t="inlineStr">
        <is>
          <t>146-2025-12-31</t>
        </is>
      </c>
    </row>
    <row r="239">
      <c r="A239" s="5" t="n">
        <v>147</v>
      </c>
      <c r="B239" s="5" t="inlineStr">
        <is>
          <t>Grupos de investigación categorizados</t>
        </is>
      </c>
      <c r="C239" s="5" t="inlineStr">
        <is>
          <t>Investigación, desarrollo tecnológico, innovación y creación</t>
        </is>
      </c>
      <c r="D239" s="5" t="inlineStr">
        <is>
          <t>Anual</t>
        </is>
      </c>
      <c r="E239" s="5" t="inlineStr">
        <is>
          <t>Positivo</t>
        </is>
      </c>
      <c r="F239" s="107" t="n">
        <v>44926</v>
      </c>
      <c r="G239" s="5" t="n">
        <v>2022</v>
      </c>
      <c r="H239" s="5" t="inlineStr">
        <is>
          <t>Diciembre</t>
        </is>
      </c>
      <c r="I239" s="6" t="inlineStr">
        <is>
          <t>2022-2</t>
        </is>
      </c>
      <c r="J239" s="5" t="n">
        <v>18</v>
      </c>
      <c r="K239" s="5" t="n">
        <v>11</v>
      </c>
      <c r="L239" s="14">
        <f>IFERROR(IF(OR(J239=0,K239=""),"",IF(E239="Positivo",MIN(MAX(K239/J239,0),1.3),MIN(MAX(J239/K239,0),1.3))),"") </f>
        <v/>
      </c>
      <c r="M239" s="14">
        <f>IFERROR(IF(OR(J239=0,K239=""),"",IF(E239="Positivo",MAX(K239/J239,0),MAX(J239/K239,0))),"") </f>
        <v/>
      </c>
      <c r="N239" s="5" t="inlineStr">
        <is>
          <t>ENT</t>
        </is>
      </c>
      <c r="O239" s="5" t="inlineStr">
        <is>
          <t>ENT</t>
        </is>
      </c>
      <c r="P239" s="5" t="n">
        <v>0</v>
      </c>
      <c r="Q239" s="5" t="n">
        <v>0</v>
      </c>
      <c r="R239" s="5" t="inlineStr">
        <is>
          <t>147-2022-12-31</t>
        </is>
      </c>
    </row>
    <row r="240">
      <c r="A240" s="5" t="n">
        <v>147</v>
      </c>
      <c r="B240" s="5" t="inlineStr">
        <is>
          <t>Grupos de investigación categorizados</t>
        </is>
      </c>
      <c r="C240" s="5" t="inlineStr">
        <is>
          <t>Investigación, desarrollo tecnológico, innovación y creación</t>
        </is>
      </c>
      <c r="D240" s="5" t="inlineStr">
        <is>
          <t>Anual</t>
        </is>
      </c>
      <c r="E240" s="5" t="inlineStr">
        <is>
          <t>Positivo</t>
        </is>
      </c>
      <c r="F240" s="107" t="n">
        <v>45291</v>
      </c>
      <c r="G240" s="5" t="n">
        <v>2023</v>
      </c>
      <c r="H240" s="5" t="inlineStr">
        <is>
          <t>Diciembre</t>
        </is>
      </c>
      <c r="I240" s="6" t="inlineStr">
        <is>
          <t>2023-2</t>
        </is>
      </c>
      <c r="J240" s="5" t="n">
        <v>13</v>
      </c>
      <c r="K240" s="5" t="n">
        <v>12</v>
      </c>
      <c r="L240" s="14">
        <f>IFERROR(IF(OR(J240=0,K240=""),"",IF(E240="Positivo",MIN(MAX(K240/J240,0),1.3),MIN(MAX(J240/K240,0),1.3))),"") </f>
        <v/>
      </c>
      <c r="M240" s="14">
        <f>IFERROR(IF(OR(J240=0,K240=""),"",IF(E240="Positivo",MAX(K240/J240,0),MAX(J240/K240,0))),"") </f>
        <v/>
      </c>
      <c r="N240" s="5" t="n"/>
      <c r="O240" s="5" t="n"/>
      <c r="P240" s="5" t="n">
        <v>0</v>
      </c>
      <c r="Q240" s="5" t="n">
        <v>0</v>
      </c>
      <c r="R240" s="5" t="inlineStr">
        <is>
          <t>147-2023-12-31</t>
        </is>
      </c>
    </row>
    <row r="241">
      <c r="A241" s="26" t="n">
        <v>147</v>
      </c>
      <c r="B241" s="5" t="inlineStr">
        <is>
          <t>Grupos de investigación categorizados</t>
        </is>
      </c>
      <c r="C241" s="5" t="inlineStr">
        <is>
          <t>Investigación, desarrollo tecnológico, innovación y creación</t>
        </is>
      </c>
      <c r="D241" s="5" t="inlineStr">
        <is>
          <t>Anual</t>
        </is>
      </c>
      <c r="E241" s="5" t="inlineStr">
        <is>
          <t>Positivo</t>
        </is>
      </c>
      <c r="F241" s="107" t="n">
        <v>45657</v>
      </c>
      <c r="G241" s="5" t="n">
        <v>2024</v>
      </c>
      <c r="H241" s="5" t="inlineStr">
        <is>
          <t>Diciembre</t>
        </is>
      </c>
      <c r="I241" s="6" t="inlineStr">
        <is>
          <t>2024-2</t>
        </is>
      </c>
      <c r="J241" s="5" t="n">
        <v>0</v>
      </c>
      <c r="K241" s="11" t="n">
        <v>12</v>
      </c>
      <c r="L241" s="14">
        <f>IFERROR(IF(OR(J241=0,K241=""),"",IF(E241="Positivo",MIN(MAX(K241/J241,0),1.3),MIN(MAX(J241/K241,0),1.3))),"") </f>
        <v/>
      </c>
      <c r="M241" s="14">
        <f>IFERROR(IF(OR(J241=0,K241=""),"",IF(E241="Positivo",MAX(K241/J241,0),MAX(J241/K241,0))),"") </f>
        <v/>
      </c>
      <c r="N241" s="5" t="n"/>
      <c r="O241" s="5" t="n"/>
      <c r="P241" s="5" t="n">
        <v>0</v>
      </c>
      <c r="Q241" s="5" t="n">
        <v>0</v>
      </c>
      <c r="R241" s="5" t="inlineStr">
        <is>
          <t>147-2024-12-31</t>
        </is>
      </c>
    </row>
    <row r="242">
      <c r="A242" s="26" t="n">
        <v>147</v>
      </c>
      <c r="B242" s="5" t="inlineStr">
        <is>
          <t>Grupos de investigación categorizados</t>
        </is>
      </c>
      <c r="C242" s="5" t="inlineStr">
        <is>
          <t>Investigación, desarrollo tecnológico, innovación y creación</t>
        </is>
      </c>
      <c r="D242" s="5" t="inlineStr">
        <is>
          <t>Anual</t>
        </is>
      </c>
      <c r="E242" s="5" t="inlineStr">
        <is>
          <t>Positivo</t>
        </is>
      </c>
      <c r="F242" s="107" t="n">
        <v>46022</v>
      </c>
      <c r="G242" s="5" t="n">
        <v>2025</v>
      </c>
      <c r="H242" s="5" t="inlineStr">
        <is>
          <t>Diciembre</t>
        </is>
      </c>
      <c r="I242" s="6" t="inlineStr">
        <is>
          <t>2025-2</t>
        </is>
      </c>
      <c r="J242" s="5" t="n">
        <v>16</v>
      </c>
      <c r="K242" s="5" t="n">
        <v>16</v>
      </c>
      <c r="L242" s="14">
        <f>IFERROR(IF(OR(J242=0,K242=""),"",IF(E242="Positivo",MIN(MAX(K242/J242,0),1.3),MIN(MAX(J242/K242,0),1.3))),"") </f>
        <v/>
      </c>
      <c r="M242" s="14">
        <f>IFERROR(IF(OR(J242=0,K242=""),"",IF(E242="Positivo",MAX(K242/J242,0),MAX(J242/K242,0))),"") </f>
        <v/>
      </c>
      <c r="N242" s="5" t="inlineStr">
        <is>
          <t>ENT</t>
        </is>
      </c>
      <c r="O242" s="5" t="inlineStr">
        <is>
          <t>ENT</t>
        </is>
      </c>
      <c r="P242" s="5" t="n">
        <v>0</v>
      </c>
      <c r="Q242" s="5" t="n">
        <v>0</v>
      </c>
      <c r="R242" s="5" t="inlineStr">
        <is>
          <t>147-2025-12-31</t>
        </is>
      </c>
    </row>
    <row r="243">
      <c r="A243" s="5" t="n">
        <v>148</v>
      </c>
      <c r="B243" s="5" t="inlineStr">
        <is>
          <t>Estudiantes vinculados a investigación</t>
        </is>
      </c>
      <c r="C243" s="5" t="inlineStr">
        <is>
          <t>Formación para la investigación, creación e innovación</t>
        </is>
      </c>
      <c r="D243" s="5" t="inlineStr">
        <is>
          <t>Trimestral</t>
        </is>
      </c>
      <c r="E243" s="5" t="inlineStr">
        <is>
          <t>Positivo</t>
        </is>
      </c>
      <c r="F243" s="107" t="n">
        <v>44742</v>
      </c>
      <c r="G243" s="5" t="n">
        <v>2022</v>
      </c>
      <c r="H243" s="5" t="inlineStr">
        <is>
          <t>Junio</t>
        </is>
      </c>
      <c r="I243" s="6" t="inlineStr">
        <is>
          <t>2022-1</t>
        </is>
      </c>
      <c r="J243" s="5" t="n">
        <v>2</v>
      </c>
      <c r="K243" s="5" t="n">
        <v>1.56749025217</v>
      </c>
      <c r="L243" s="14">
        <f>IFERROR(IF(OR(J243=0,K243=""),"",IF(E243="Positivo",MIN(MAX(K243/J243,0),1.3),MIN(MAX(J243/K243,0),1.3))),"") </f>
        <v/>
      </c>
      <c r="M243" s="14">
        <f>IFERROR(IF(OR(J243=0,K243=""),"",IF(E243="Positivo",MAX(K243/J243,0),MAX(J243/K243,0))),"") </f>
        <v/>
      </c>
      <c r="N243" s="5" t="inlineStr">
        <is>
          <t>%</t>
        </is>
      </c>
      <c r="O243" s="5" t="inlineStr">
        <is>
          <t>%</t>
        </is>
      </c>
      <c r="P243" s="5" t="n">
        <v>0</v>
      </c>
      <c r="Q243" s="5" t="n">
        <v>1</v>
      </c>
      <c r="R243" s="5" t="inlineStr">
        <is>
          <t>148-2022-06-30</t>
        </is>
      </c>
    </row>
    <row r="244">
      <c r="A244" s="5" t="n">
        <v>148</v>
      </c>
      <c r="B244" s="5" t="inlineStr">
        <is>
          <t>Estudiantes vinculados a investigación</t>
        </is>
      </c>
      <c r="C244" s="5" t="inlineStr">
        <is>
          <t>Formación para la investigación, creación e innovación</t>
        </is>
      </c>
      <c r="D244" s="5" t="inlineStr">
        <is>
          <t>Trimestral</t>
        </is>
      </c>
      <c r="E244" s="5" t="inlineStr">
        <is>
          <t>Positivo</t>
        </is>
      </c>
      <c r="F244" s="107" t="n">
        <v>44926</v>
      </c>
      <c r="G244" s="5" t="n">
        <v>2022</v>
      </c>
      <c r="H244" s="5" t="inlineStr">
        <is>
          <t>Diciembre</t>
        </is>
      </c>
      <c r="I244" s="6" t="inlineStr">
        <is>
          <t>2022-2</t>
        </is>
      </c>
      <c r="J244" s="5" t="n">
        <v>2</v>
      </c>
      <c r="K244" s="5" t="n">
        <v>3.0897703549061</v>
      </c>
      <c r="L244" s="14">
        <f>IFERROR(IF(OR(J244=0,K244=""),"",IF(E244="Positivo",MIN(MAX(K244/J244,0),1.3),MIN(MAX(J244/K244,0),1.3))),"") </f>
        <v/>
      </c>
      <c r="M244" s="14">
        <f>IFERROR(IF(OR(J244=0,K244=""),"",IF(E244="Positivo",MAX(K244/J244,0),MAX(J244/K244,0))),"") </f>
        <v/>
      </c>
      <c r="N244" s="5" t="inlineStr">
        <is>
          <t>%</t>
        </is>
      </c>
      <c r="O244" s="5" t="inlineStr">
        <is>
          <t>%</t>
        </is>
      </c>
      <c r="P244" s="5" t="n">
        <v>0</v>
      </c>
      <c r="Q244" s="5" t="n">
        <v>1</v>
      </c>
      <c r="R244" s="5" t="inlineStr">
        <is>
          <t>148-2022-12-31</t>
        </is>
      </c>
    </row>
    <row r="245">
      <c r="A245" s="28" t="n">
        <v>148</v>
      </c>
      <c r="B245" s="5" t="inlineStr">
        <is>
          <t>Estudiantes vinculados a investigación</t>
        </is>
      </c>
      <c r="C245" s="5" t="inlineStr">
        <is>
          <t>Formación para la investigación, creación e innovación</t>
        </is>
      </c>
      <c r="D245" s="5" t="inlineStr">
        <is>
          <t>Semestral</t>
        </is>
      </c>
      <c r="E245" s="5" t="inlineStr">
        <is>
          <t>Positivo</t>
        </is>
      </c>
      <c r="F245" s="107" t="n">
        <v>45107</v>
      </c>
      <c r="G245" s="5" t="n">
        <v>2023</v>
      </c>
      <c r="H245" s="5" t="inlineStr">
        <is>
          <t>Junio</t>
        </is>
      </c>
      <c r="I245" s="6" t="inlineStr">
        <is>
          <t>2023-1</t>
        </is>
      </c>
      <c r="J245" s="5" t="n">
        <v>2.5</v>
      </c>
      <c r="K245" s="5" t="n">
        <v>4.11</v>
      </c>
      <c r="L245" s="74">
        <f>IFERROR(IF(OR(J245=0,K245=""),"",IF(E245="Positivo",MIN(MAX(K245/J245,0),1.3),MIN(MAX(J245/K245,0),1.3))),"") </f>
        <v/>
      </c>
      <c r="M245" s="14">
        <f>IFERROR(IF(OR(J245=0,K245=""),"",IF(E245="Positivo",MAX(K245/J245,0),MAX(J245/K245,0))),"") </f>
        <v/>
      </c>
      <c r="N245" s="5" t="inlineStr">
        <is>
          <t>%</t>
        </is>
      </c>
      <c r="O245" s="5" t="inlineStr">
        <is>
          <t>%</t>
        </is>
      </c>
      <c r="P245" s="5" t="n">
        <v>1</v>
      </c>
      <c r="Q245" s="5" t="n">
        <v>1</v>
      </c>
      <c r="R245" s="5" t="inlineStr">
        <is>
          <t>148-2023-06-30</t>
        </is>
      </c>
    </row>
    <row r="246">
      <c r="A246" s="26" t="n">
        <v>148</v>
      </c>
      <c r="B246" s="5" t="inlineStr">
        <is>
          <t>Estudiantes vinculados a investigación</t>
        </is>
      </c>
      <c r="C246" s="5" t="inlineStr">
        <is>
          <t>Formación para la investigación, creación e innovación</t>
        </is>
      </c>
      <c r="D246" s="5" t="inlineStr">
        <is>
          <t>Semestral</t>
        </is>
      </c>
      <c r="E246" s="5" t="inlineStr">
        <is>
          <t>Positivo</t>
        </is>
      </c>
      <c r="F246" s="107" t="n">
        <v>45291</v>
      </c>
      <c r="G246" s="5" t="n">
        <v>2023</v>
      </c>
      <c r="H246" s="5" t="inlineStr">
        <is>
          <t>Diciembre</t>
        </is>
      </c>
      <c r="I246" s="6" t="inlineStr">
        <is>
          <t>2023-2</t>
        </is>
      </c>
      <c r="J246" s="5" t="n">
        <v>5</v>
      </c>
      <c r="K246" s="5" t="n">
        <v>5.71</v>
      </c>
      <c r="L246" s="74">
        <f>IFERROR(IF(OR(J246=0,K246=""),"",IF(E246="Positivo",MIN(MAX(K246/J246,0),1.3),MIN(MAX(J246/K246,0),1.3))),"") </f>
        <v/>
      </c>
      <c r="M246" s="14">
        <f>IFERROR(IF(OR(J246=0,K246=""),"",IF(E246="Positivo",MAX(K246/J246,0),MAX(J246/K246,0))),"") </f>
        <v/>
      </c>
      <c r="N246" s="5" t="inlineStr">
        <is>
          <t>%</t>
        </is>
      </c>
      <c r="O246" s="5" t="inlineStr">
        <is>
          <t>%</t>
        </is>
      </c>
      <c r="P246" s="5" t="n">
        <v>0</v>
      </c>
      <c r="Q246" s="5" t="n">
        <v>1</v>
      </c>
      <c r="R246" s="5" t="inlineStr">
        <is>
          <t>148-2023-12-31</t>
        </is>
      </c>
    </row>
    <row r="247">
      <c r="A247" s="5" t="n">
        <v>148</v>
      </c>
      <c r="B247" s="5" t="inlineStr">
        <is>
          <t>Estudiantes vinculados a investigación</t>
        </is>
      </c>
      <c r="C247" s="5" t="inlineStr">
        <is>
          <t>Formación para la investigación, creación e innovación</t>
        </is>
      </c>
      <c r="D247" s="5" t="inlineStr">
        <is>
          <t>Semestral</t>
        </is>
      </c>
      <c r="E247" s="5" t="inlineStr">
        <is>
          <t>Positivo</t>
        </is>
      </c>
      <c r="F247" s="107" t="n">
        <v>45473</v>
      </c>
      <c r="G247" s="5" t="n">
        <v>2024</v>
      </c>
      <c r="H247" s="5" t="inlineStr">
        <is>
          <t>Junio</t>
        </is>
      </c>
      <c r="I247" s="6" t="inlineStr">
        <is>
          <t>2024-1</t>
        </is>
      </c>
      <c r="J247" s="5" t="n">
        <v>5</v>
      </c>
      <c r="K247" s="5" t="n">
        <v>4.3</v>
      </c>
      <c r="L247" s="14">
        <f>IFERROR(IF(OR(J247=0,K247=""),"",IF(E247="Positivo",MIN(MAX(K247/J247,0),1.3),MIN(MAX(J247/K247,0),1.3))),"") </f>
        <v/>
      </c>
      <c r="M247" s="14">
        <f>IFERROR(IF(OR(J247=0,K247=""),"",IF(E247="Positivo",MAX(K247/J247,0),MAX(J247/K247,0))),"") </f>
        <v/>
      </c>
      <c r="N247" s="5" t="inlineStr">
        <is>
          <t>%</t>
        </is>
      </c>
      <c r="O247" s="5" t="inlineStr">
        <is>
          <t>%</t>
        </is>
      </c>
      <c r="P247" s="5" t="n">
        <v>0</v>
      </c>
      <c r="Q247" s="5" t="n">
        <v>1</v>
      </c>
      <c r="R247" s="5" t="inlineStr">
        <is>
          <t>148-2024-06-30</t>
        </is>
      </c>
    </row>
    <row r="248">
      <c r="A248" s="5" t="n">
        <v>148</v>
      </c>
      <c r="B248" s="5" t="inlineStr">
        <is>
          <t>Estudiantes vinculados a investigación</t>
        </is>
      </c>
      <c r="C248" s="5" t="inlineStr">
        <is>
          <t>Formación para la investigación, creación e innovación</t>
        </is>
      </c>
      <c r="D248" s="5" t="inlineStr">
        <is>
          <t>Semestral</t>
        </is>
      </c>
      <c r="E248" s="5" t="inlineStr">
        <is>
          <t>Positivo</t>
        </is>
      </c>
      <c r="F248" s="107" t="n">
        <v>45657</v>
      </c>
      <c r="G248" s="5" t="n">
        <v>2024</v>
      </c>
      <c r="H248" s="5" t="inlineStr">
        <is>
          <t>Diciembre</t>
        </is>
      </c>
      <c r="I248" s="6" t="inlineStr">
        <is>
          <t>2024-2</t>
        </is>
      </c>
      <c r="J248" s="5" t="n">
        <v>5</v>
      </c>
      <c r="K248" s="5" t="n">
        <v>6.3</v>
      </c>
      <c r="L248" s="14">
        <f>IFERROR(IF(OR(J248=0,K248=""),"",IF(E248="Positivo",MIN(MAX(K248/J248,0),1.3),MIN(MAX(J248/K248,0),1.3))),"") </f>
        <v/>
      </c>
      <c r="M248" s="14">
        <f>IFERROR(IF(OR(J248=0,K248=""),"",IF(E248="Positivo",MAX(K248/J248,0),MAX(J248/K248,0))),"") </f>
        <v/>
      </c>
      <c r="N248" s="5" t="inlineStr">
        <is>
          <t>%</t>
        </is>
      </c>
      <c r="O248" s="5" t="inlineStr">
        <is>
          <t>%</t>
        </is>
      </c>
      <c r="P248" s="5" t="n">
        <v>0</v>
      </c>
      <c r="Q248" s="5" t="n">
        <v>1</v>
      </c>
      <c r="R248" s="5" t="inlineStr">
        <is>
          <t>148-2024-12-31</t>
        </is>
      </c>
    </row>
    <row r="249">
      <c r="A249" s="26" t="n">
        <v>148</v>
      </c>
      <c r="B249" s="5" t="inlineStr">
        <is>
          <t>Estudiantes vinculados a investigación</t>
        </is>
      </c>
      <c r="C249" s="5" t="inlineStr">
        <is>
          <t>Formación para la investigación, creación e innovación</t>
        </is>
      </c>
      <c r="D249" s="5" t="inlineStr">
        <is>
          <t>Semestral</t>
        </is>
      </c>
      <c r="E249" s="5" t="inlineStr">
        <is>
          <t>Positivo</t>
        </is>
      </c>
      <c r="F249" s="107" t="n">
        <v>45838</v>
      </c>
      <c r="G249" s="5" t="n">
        <v>2025</v>
      </c>
      <c r="H249" s="5" t="inlineStr">
        <is>
          <t>Junio</t>
        </is>
      </c>
      <c r="I249" s="6" t="inlineStr">
        <is>
          <t>2025-1</t>
        </is>
      </c>
      <c r="J249" s="5" t="n">
        <v>4</v>
      </c>
      <c r="K249" s="5" t="n">
        <v>4.08</v>
      </c>
      <c r="L249" s="74">
        <f>IFERROR(IF(OR(J249=0,K249=""),"",IF(E249="Positivo",MIN(MAX(K249/J249,0),1.3),MIN(MAX(J249/K249,0),1.3))),"") </f>
        <v/>
      </c>
      <c r="M249" s="14">
        <f>IFERROR(IF(OR(J249=0,K249=""),"",IF(E249="Positivo",MAX(K249/J249,0),MAX(J249/K249,0))),"") </f>
        <v/>
      </c>
      <c r="N249" s="5" t="inlineStr">
        <is>
          <t>%</t>
        </is>
      </c>
      <c r="O249" s="5" t="inlineStr">
        <is>
          <t>%</t>
        </is>
      </c>
      <c r="P249" s="5" t="n">
        <v>0</v>
      </c>
      <c r="Q249" s="5" t="n">
        <v>1</v>
      </c>
      <c r="R249" s="5" t="inlineStr">
        <is>
          <t>148-2025-06-30</t>
        </is>
      </c>
    </row>
    <row r="250">
      <c r="A250" s="5" t="n">
        <v>148</v>
      </c>
      <c r="B250" s="5" t="inlineStr">
        <is>
          <t>Estudiantes vinculados a investigación</t>
        </is>
      </c>
      <c r="C250" s="5" t="inlineStr">
        <is>
          <t>Formación para la investigación, creación e innovación</t>
        </is>
      </c>
      <c r="D250" s="5" t="inlineStr">
        <is>
          <t>Trimestral</t>
        </is>
      </c>
      <c r="E250" s="5" t="inlineStr">
        <is>
          <t>Positivo</t>
        </is>
      </c>
      <c r="F250" s="107" t="n">
        <v>46022</v>
      </c>
      <c r="G250" s="5" t="n">
        <v>2025</v>
      </c>
      <c r="H250" s="5" t="inlineStr">
        <is>
          <t>Diciembre</t>
        </is>
      </c>
      <c r="I250" s="6" t="inlineStr">
        <is>
          <t>2025-2</t>
        </is>
      </c>
      <c r="J250" s="5" t="n">
        <v>5</v>
      </c>
      <c r="K250" s="5" t="n">
        <v>6.78</v>
      </c>
      <c r="L250" s="14">
        <f>IFERROR(IF(OR(J250=0,K250=""),"",IF(E250="Positivo",MIN(MAX(K250/J250,0),1.3),MIN(MAX(J250/K250,0),1.3))),"") </f>
        <v/>
      </c>
      <c r="M250" s="14">
        <f>IFERROR(IF(OR(J250=0,K250=""),"",IF(E250="Positivo",MAX(K250/J250,0),MAX(J250/K250,0))),"") </f>
        <v/>
      </c>
      <c r="N250" s="5" t="inlineStr">
        <is>
          <t>%</t>
        </is>
      </c>
      <c r="O250" s="5" t="inlineStr">
        <is>
          <t>%</t>
        </is>
      </c>
      <c r="P250" s="5" t="n">
        <v>0</v>
      </c>
      <c r="Q250" s="5" t="n">
        <v>1</v>
      </c>
      <c r="R250" s="5" t="inlineStr">
        <is>
          <t>148-2025-12-31</t>
        </is>
      </c>
    </row>
    <row r="251">
      <c r="A251" s="26" t="n">
        <v>150</v>
      </c>
      <c r="B251" s="5" t="inlineStr">
        <is>
          <t>Nivel de Satisfacción Servicios Prestados</t>
        </is>
      </c>
      <c r="C251" s="5" t="inlineStr">
        <is>
          <t>Investigación, desarrollo tecnológico e innovación</t>
        </is>
      </c>
      <c r="D251" s="5" t="inlineStr">
        <is>
          <t>Anual</t>
        </is>
      </c>
      <c r="E251" s="5" t="inlineStr">
        <is>
          <t>Positivo</t>
        </is>
      </c>
      <c r="F251" s="107" t="n">
        <v>44865</v>
      </c>
      <c r="G251" s="5" t="n">
        <v>2022</v>
      </c>
      <c r="H251" s="5" t="inlineStr">
        <is>
          <t>Octubre</t>
        </is>
      </c>
      <c r="I251" s="6" t="inlineStr">
        <is>
          <t>2022-2</t>
        </is>
      </c>
      <c r="J251" s="5" t="n">
        <v>80</v>
      </c>
      <c r="K251" s="11" t="n">
        <v>80</v>
      </c>
      <c r="L251" s="74">
        <f>IFERROR(IF(OR(J251=0,K251=""),"",IF(E251="Positivo",MIN(MAX(K251/J251,0),1.3),MIN(MAX(J251/K251,0),1.3))),"") </f>
        <v/>
      </c>
      <c r="M251" s="14">
        <f>IFERROR(IF(OR(J251=0,K251=""),"",IF(E251="Positivo",MAX(K251/J251,0),MAX(J251/K251,0))),"") </f>
        <v/>
      </c>
      <c r="N251" s="5" t="inlineStr">
        <is>
          <t>%</t>
        </is>
      </c>
      <c r="O251" s="5" t="inlineStr">
        <is>
          <t>%</t>
        </is>
      </c>
      <c r="P251" s="5" t="n">
        <v>0</v>
      </c>
      <c r="Q251" s="5" t="n">
        <v>0</v>
      </c>
      <c r="R251" s="5" t="inlineStr">
        <is>
          <t>150-2022-10-31</t>
        </is>
      </c>
    </row>
    <row r="252">
      <c r="A252" s="26" t="n">
        <v>150</v>
      </c>
      <c r="B252" s="5" t="inlineStr">
        <is>
          <t>Nivel de Satisfacción Servicios Prestados</t>
        </is>
      </c>
      <c r="C252" s="5" t="inlineStr">
        <is>
          <t>Investigación, desarrollo tecnológico e innovación</t>
        </is>
      </c>
      <c r="D252" s="5" t="inlineStr">
        <is>
          <t>Anual</t>
        </is>
      </c>
      <c r="E252" s="5" t="inlineStr">
        <is>
          <t>Positivo</t>
        </is>
      </c>
      <c r="F252" s="107" t="n">
        <v>45291</v>
      </c>
      <c r="G252" s="5" t="n">
        <v>2023</v>
      </c>
      <c r="H252" s="5" t="inlineStr">
        <is>
          <t>Diciembre</t>
        </is>
      </c>
      <c r="I252" s="6" t="inlineStr">
        <is>
          <t>2023-2</t>
        </is>
      </c>
      <c r="J252" s="5" t="n">
        <v>80</v>
      </c>
      <c r="K252" s="11" t="n">
        <v>84.34350070811109</v>
      </c>
      <c r="L252" s="74">
        <f>IFERROR(IF(OR(J252=0,K252=""),"",IF(E252="Positivo",MIN(MAX(K252/J252,0),1.3),MIN(MAX(J252/K252,0),1.3))),"") </f>
        <v/>
      </c>
      <c r="M252" s="14">
        <f>IFERROR(IF(OR(J252=0,K252=""),"",IF(E252="Positivo",MAX(K252/J252,0),MAX(J252/K252,0))),"") </f>
        <v/>
      </c>
      <c r="N252" s="5" t="inlineStr">
        <is>
          <t>%</t>
        </is>
      </c>
      <c r="O252" s="5" t="inlineStr">
        <is>
          <t>%</t>
        </is>
      </c>
      <c r="P252" s="5" t="n">
        <v>0</v>
      </c>
      <c r="Q252" s="5" t="n">
        <v>0</v>
      </c>
      <c r="R252" s="5" t="inlineStr">
        <is>
          <t>150-2023-12-31</t>
        </is>
      </c>
    </row>
    <row r="253">
      <c r="A253" s="26" t="n">
        <v>150</v>
      </c>
      <c r="B253" s="5" t="inlineStr">
        <is>
          <t>Nivel de Satisfacción Servicios Prestados</t>
        </is>
      </c>
      <c r="C253" s="5" t="inlineStr">
        <is>
          <t>Investigación, desarrollo tecnológico, innovación y creación</t>
        </is>
      </c>
      <c r="D253" s="5" t="inlineStr">
        <is>
          <t>Anual</t>
        </is>
      </c>
      <c r="E253" s="5" t="inlineStr">
        <is>
          <t>Positivo</t>
        </is>
      </c>
      <c r="F253" s="107" t="n">
        <v>45657</v>
      </c>
      <c r="G253" s="5" t="n">
        <v>2024</v>
      </c>
      <c r="H253" s="5" t="inlineStr">
        <is>
          <t>Diciembre</t>
        </is>
      </c>
      <c r="I253" s="6" t="inlineStr">
        <is>
          <t>2024-2</t>
        </is>
      </c>
      <c r="J253" s="5" t="n"/>
      <c r="K253" s="11" t="n"/>
      <c r="L253" s="74" t="n"/>
      <c r="M253" s="14" t="n"/>
      <c r="N253" s="5" t="n"/>
      <c r="O253" s="5" t="n"/>
      <c r="P253" s="5" t="n">
        <v>0</v>
      </c>
      <c r="Q253" s="5" t="n">
        <v>0</v>
      </c>
      <c r="R253" s="5" t="inlineStr">
        <is>
          <t>150-2024-12-31</t>
        </is>
      </c>
    </row>
    <row r="254">
      <c r="A254" s="26" t="n">
        <v>151</v>
      </c>
      <c r="B254" s="5" t="inlineStr">
        <is>
          <t>Nivel de Satisfacción Servicios Prestados</t>
        </is>
      </c>
      <c r="C254" s="5" t="inlineStr">
        <is>
          <t>Biblioteca Institucional</t>
        </is>
      </c>
      <c r="D254" s="5" t="inlineStr">
        <is>
          <t>Anual</t>
        </is>
      </c>
      <c r="E254" s="5" t="inlineStr">
        <is>
          <t>Positivo</t>
        </is>
      </c>
      <c r="F254" s="107" t="n">
        <v>45291</v>
      </c>
      <c r="G254" s="5" t="n">
        <v>2023</v>
      </c>
      <c r="H254" s="5" t="inlineStr">
        <is>
          <t>Diciembre</t>
        </is>
      </c>
      <c r="I254" s="6" t="inlineStr">
        <is>
          <t>2023-2</t>
        </is>
      </c>
      <c r="J254" s="5" t="n"/>
      <c r="K254" s="11" t="n"/>
      <c r="L254" s="74" t="n"/>
      <c r="M254" s="14" t="n"/>
      <c r="N254" s="5" t="n"/>
      <c r="O254" s="5" t="n"/>
      <c r="P254" s="5" t="n">
        <v>0</v>
      </c>
      <c r="Q254" s="5" t="n">
        <v>0</v>
      </c>
      <c r="R254" s="5" t="inlineStr">
        <is>
          <t>151-2023-12-31</t>
        </is>
      </c>
    </row>
    <row r="255">
      <c r="A255" s="26" t="n">
        <v>151</v>
      </c>
      <c r="B255" s="5" t="inlineStr">
        <is>
          <t>Nivel de Satisfacción Servicios Prestados</t>
        </is>
      </c>
      <c r="C255" s="5" t="inlineStr">
        <is>
          <t>Biblioteca Institucional</t>
        </is>
      </c>
      <c r="D255" s="5" t="inlineStr">
        <is>
          <t>Anual</t>
        </is>
      </c>
      <c r="E255" s="5" t="inlineStr">
        <is>
          <t>Positivo</t>
        </is>
      </c>
      <c r="F255" s="107" t="n">
        <v>45657</v>
      </c>
      <c r="G255" s="5" t="n">
        <v>2024</v>
      </c>
      <c r="H255" s="5" t="inlineStr">
        <is>
          <t>Diciembre</t>
        </is>
      </c>
      <c r="I255" s="6" t="inlineStr">
        <is>
          <t>2024-2</t>
        </is>
      </c>
      <c r="J255" s="5" t="n"/>
      <c r="K255" s="11" t="n"/>
      <c r="L255" s="74" t="n"/>
      <c r="M255" s="14" t="n"/>
      <c r="N255" s="5" t="n"/>
      <c r="O255" s="5" t="n"/>
      <c r="P255" s="5" t="n">
        <v>0</v>
      </c>
      <c r="Q255" s="5" t="n">
        <v>0</v>
      </c>
      <c r="R255" s="5" t="inlineStr">
        <is>
          <t>151-2024-12-31</t>
        </is>
      </c>
    </row>
    <row r="256">
      <c r="A256" s="26" t="n">
        <v>157</v>
      </c>
      <c r="B256" s="5" t="inlineStr">
        <is>
          <t>Indexación de bases de datos o SIRES</t>
        </is>
      </c>
      <c r="C256" s="5" t="inlineStr">
        <is>
          <t>Editorial y Publicaciones</t>
        </is>
      </c>
      <c r="D256" s="5" t="inlineStr">
        <is>
          <t>Anual</t>
        </is>
      </c>
      <c r="E256" s="5" t="inlineStr">
        <is>
          <t>Positivo</t>
        </is>
      </c>
      <c r="F256" s="107" t="n">
        <v>45107</v>
      </c>
      <c r="G256" s="5" t="n">
        <v>2023</v>
      </c>
      <c r="H256" s="5" t="inlineStr">
        <is>
          <t>Junio</t>
        </is>
      </c>
      <c r="I256" s="6" t="inlineStr">
        <is>
          <t>2023-1</t>
        </is>
      </c>
      <c r="J256" s="5" t="n"/>
      <c r="K256" s="11" t="n"/>
      <c r="L256" s="74" t="n"/>
      <c r="M256" s="14" t="n"/>
      <c r="N256" s="5" t="n"/>
      <c r="O256" s="5" t="n"/>
      <c r="P256" s="5" t="n">
        <v>0</v>
      </c>
      <c r="Q256" s="5" t="n">
        <v>0</v>
      </c>
      <c r="R256" s="5" t="inlineStr">
        <is>
          <t>157-2023-06-30</t>
        </is>
      </c>
    </row>
    <row r="257">
      <c r="A257" s="5" t="n">
        <v>157</v>
      </c>
      <c r="B257" s="5" t="inlineStr">
        <is>
          <t>Indexación de bases de datos o SIRES</t>
        </is>
      </c>
      <c r="C257" s="5" t="inlineStr">
        <is>
          <t>Editorial y Publicaciones</t>
        </is>
      </c>
      <c r="D257" s="5" t="inlineStr">
        <is>
          <t>Anual</t>
        </is>
      </c>
      <c r="E257" s="5" t="inlineStr">
        <is>
          <t>Positivo</t>
        </is>
      </c>
      <c r="F257" s="107" t="n">
        <v>45291</v>
      </c>
      <c r="G257" s="15" t="n">
        <v>2023</v>
      </c>
      <c r="H257" s="6" t="inlineStr">
        <is>
          <t>Diciembre</t>
        </is>
      </c>
      <c r="I257" s="6" t="inlineStr">
        <is>
          <t>2023-2</t>
        </is>
      </c>
      <c r="J257" s="5" t="n">
        <v>3</v>
      </c>
      <c r="K257" s="11" t="n">
        <v>7</v>
      </c>
      <c r="L257" s="74">
        <f>IFERROR(IF(OR(J257=0,K257=""),"",IF(E257="Positivo",MIN(MAX(K257/J257,0),1.3),MIN(MAX(J257/K257,0),1.3))),"") </f>
        <v/>
      </c>
      <c r="M257" s="14">
        <f>IFERROR(IF(OR(J257=0,K257=""),"",IF(E257="Positivo",MAX(K257/J257,0),MAX(J257/K257,0))),"") </f>
        <v/>
      </c>
      <c r="N257" s="5" t="n"/>
      <c r="O257" s="5" t="n"/>
      <c r="P257" s="5" t="n">
        <v>0</v>
      </c>
      <c r="Q257" s="5" t="n">
        <v>0</v>
      </c>
      <c r="R257" s="5" t="inlineStr">
        <is>
          <t>157-2023-12-31</t>
        </is>
      </c>
    </row>
    <row r="258">
      <c r="A258" s="5" t="n">
        <v>157</v>
      </c>
      <c r="B258" s="5" t="inlineStr">
        <is>
          <t>Indexación de bases de datos o SIRES</t>
        </is>
      </c>
      <c r="C258" s="5" t="inlineStr">
        <is>
          <t>Editorial y Publicaciones</t>
        </is>
      </c>
      <c r="D258" s="5" t="inlineStr">
        <is>
          <t>Anual</t>
        </is>
      </c>
      <c r="E258" s="5" t="inlineStr">
        <is>
          <t>Positivo</t>
        </is>
      </c>
      <c r="F258" s="107" t="n">
        <v>45657</v>
      </c>
      <c r="G258" s="15" t="n">
        <v>2024</v>
      </c>
      <c r="H258" s="6" t="inlineStr">
        <is>
          <t>Diciembre</t>
        </is>
      </c>
      <c r="I258" s="6" t="inlineStr">
        <is>
          <t>2024-2</t>
        </is>
      </c>
      <c r="J258" s="5" t="n">
        <v>100</v>
      </c>
      <c r="K258" s="11" t="n">
        <v>125</v>
      </c>
      <c r="L258" s="74">
        <f>IFERROR(IF(OR(J258=0,K258=""),"",IF(E258="Positivo",MIN(MAX(K258/J258,0),1.3),MIN(MAX(J258/K258,0),1.3))),"") </f>
        <v/>
      </c>
      <c r="M258" s="14">
        <f>IFERROR(IF(OR(J258=0,K258=""),"",IF(E258="Positivo",MAX(K258/J258,0),MAX(J258/K258,0))),"") </f>
        <v/>
      </c>
      <c r="N258" s="5" t="n"/>
      <c r="O258" s="5" t="n"/>
      <c r="P258" s="5" t="n">
        <v>0</v>
      </c>
      <c r="Q258" s="5" t="n">
        <v>0</v>
      </c>
      <c r="R258" s="5" t="inlineStr">
        <is>
          <t>157-2024-12-31</t>
        </is>
      </c>
    </row>
    <row r="259">
      <c r="A259" s="5" t="n">
        <v>159</v>
      </c>
      <c r="B259" s="5" t="inlineStr">
        <is>
          <t>Nivel de Satisfacción Servicios Prestados</t>
        </is>
      </c>
      <c r="C259" s="5" t="inlineStr">
        <is>
          <t>Editorial y Publicaciones</t>
        </is>
      </c>
      <c r="D259" s="5" t="inlineStr">
        <is>
          <t>Trimestral</t>
        </is>
      </c>
      <c r="E259" s="5" t="inlineStr">
        <is>
          <t>Positivo</t>
        </is>
      </c>
      <c r="F259" s="107" t="n">
        <v>44742</v>
      </c>
      <c r="G259" s="15" t="n">
        <v>2022</v>
      </c>
      <c r="H259" s="6" t="inlineStr">
        <is>
          <t>Junio</t>
        </is>
      </c>
      <c r="I259" s="6" t="inlineStr">
        <is>
          <t>2022-1</t>
        </is>
      </c>
      <c r="J259" s="5" t="n">
        <v>80</v>
      </c>
      <c r="K259" s="11" t="n"/>
      <c r="L259" s="74" t="n"/>
      <c r="M259" s="14" t="n"/>
      <c r="N259" s="5" t="inlineStr">
        <is>
          <t>%</t>
        </is>
      </c>
      <c r="O259" s="5" t="inlineStr">
        <is>
          <t>No Aplica</t>
        </is>
      </c>
      <c r="P259" s="5" t="n">
        <v>0</v>
      </c>
      <c r="Q259" s="5" t="n">
        <v>0</v>
      </c>
      <c r="R259" s="5" t="inlineStr">
        <is>
          <t>159-2022-06-30</t>
        </is>
      </c>
      <c r="S259" t="inlineStr">
        <is>
          <t>No Aplica</t>
        </is>
      </c>
    </row>
    <row r="260">
      <c r="A260" s="26" t="n">
        <v>159</v>
      </c>
      <c r="B260" s="5" t="inlineStr">
        <is>
          <t>Nivel de Satisfacción Servicios Prestados</t>
        </is>
      </c>
      <c r="C260" s="5" t="inlineStr">
        <is>
          <t>Editorial y Publicaciones</t>
        </is>
      </c>
      <c r="D260" s="5" t="inlineStr">
        <is>
          <t>Trimestral</t>
        </is>
      </c>
      <c r="E260" s="5" t="inlineStr">
        <is>
          <t>Positivo</t>
        </is>
      </c>
      <c r="F260" s="107" t="n">
        <v>44926</v>
      </c>
      <c r="G260" s="5" t="n">
        <v>2022</v>
      </c>
      <c r="H260" s="5" t="inlineStr">
        <is>
          <t>Diciembre</t>
        </is>
      </c>
      <c r="I260" s="6" t="inlineStr">
        <is>
          <t>2022-2</t>
        </is>
      </c>
      <c r="J260" s="5" t="n">
        <v>80</v>
      </c>
      <c r="K260" s="5" t="n">
        <v>70</v>
      </c>
      <c r="L260" s="74">
        <f>IFERROR(IF(OR(J260=0,K260=""),"",IF(E260="Positivo",MIN(MAX(K260/J260,0),1.3),MIN(MAX(J260/K260,0),1.3))),"") </f>
        <v/>
      </c>
      <c r="M260" s="14">
        <f>IFERROR(IF(OR(J260=0,K260=""),"",IF(E260="Positivo",MAX(K260/J260,0),MAX(J260/K260,0))),"") </f>
        <v/>
      </c>
      <c r="N260" s="5" t="inlineStr">
        <is>
          <t>%</t>
        </is>
      </c>
      <c r="O260" s="5" t="inlineStr">
        <is>
          <t>%</t>
        </is>
      </c>
      <c r="P260" s="5" t="n">
        <v>0</v>
      </c>
      <c r="Q260" s="5" t="n">
        <v>0</v>
      </c>
      <c r="R260" s="5" t="inlineStr">
        <is>
          <t>159-2022-12-31</t>
        </is>
      </c>
    </row>
    <row r="261">
      <c r="A261" s="26" t="n">
        <v>159</v>
      </c>
      <c r="B261" s="5" t="inlineStr">
        <is>
          <t>Nivel de Satisfacción Servicios Prestados</t>
        </is>
      </c>
      <c r="C261" s="5" t="inlineStr">
        <is>
          <t>Editorial y Publicaciones</t>
        </is>
      </c>
      <c r="D261" s="5" t="inlineStr">
        <is>
          <t>Semestral</t>
        </is>
      </c>
      <c r="E261" s="5" t="inlineStr">
        <is>
          <t>Positivo</t>
        </is>
      </c>
      <c r="F261" s="107" t="n">
        <v>45107</v>
      </c>
      <c r="G261" s="5" t="n">
        <v>2023</v>
      </c>
      <c r="H261" s="5" t="inlineStr">
        <is>
          <t>Junio</t>
        </is>
      </c>
      <c r="I261" s="6" t="inlineStr">
        <is>
          <t>2023-1</t>
        </is>
      </c>
      <c r="J261" s="5" t="n">
        <v>80</v>
      </c>
      <c r="K261" s="5" t="n">
        <v>96</v>
      </c>
      <c r="L261" s="74">
        <f>IFERROR(IF(OR(J261=0,K261=""),"",IF(E261="Positivo",MIN(MAX(K261/J261,0),1.3),MIN(MAX(J261/K261,0),1.3))),"") </f>
        <v/>
      </c>
      <c r="M261" s="14">
        <f>IFERROR(IF(OR(J261=0,K261=""),"",IF(E261="Positivo",MAX(K261/J261,0),MAX(J261/K261,0))),"") </f>
        <v/>
      </c>
      <c r="N261" s="5" t="inlineStr">
        <is>
          <t>%</t>
        </is>
      </c>
      <c r="O261" s="5" t="inlineStr">
        <is>
          <t>%</t>
        </is>
      </c>
      <c r="P261" s="5" t="n">
        <v>0</v>
      </c>
      <c r="Q261" s="5" t="n">
        <v>0</v>
      </c>
      <c r="R261" s="5" t="inlineStr">
        <is>
          <t>159-2023-06-30</t>
        </is>
      </c>
    </row>
    <row r="262">
      <c r="A262" s="26" t="n">
        <v>159</v>
      </c>
      <c r="B262" s="5" t="inlineStr">
        <is>
          <t>Nivel de Satisfacción Servicios Prestados</t>
        </is>
      </c>
      <c r="C262" s="5" t="inlineStr">
        <is>
          <t>Editorial y Publicaciones</t>
        </is>
      </c>
      <c r="D262" s="5" t="inlineStr">
        <is>
          <t>Semestral</t>
        </is>
      </c>
      <c r="E262" s="5" t="inlineStr">
        <is>
          <t>Positivo</t>
        </is>
      </c>
      <c r="F262" s="107" t="n">
        <v>45291</v>
      </c>
      <c r="G262" s="5" t="n">
        <v>2023</v>
      </c>
      <c r="H262" s="5" t="inlineStr">
        <is>
          <t>Diciembre</t>
        </is>
      </c>
      <c r="I262" s="6" t="inlineStr">
        <is>
          <t>2023-2</t>
        </is>
      </c>
      <c r="J262" s="5" t="n">
        <v>80</v>
      </c>
      <c r="K262" s="5" t="n">
        <v>100</v>
      </c>
      <c r="L262" s="74">
        <f>IFERROR(IF(OR(J262=0,K262=""),"",IF(E262="Positivo",MIN(MAX(K262/J262,0),1.3),MIN(MAX(J262/K262,0),1.3))),"") </f>
        <v/>
      </c>
      <c r="M262" s="14">
        <f>IFERROR(IF(OR(J262=0,K262=""),"",IF(E262="Positivo",MAX(K262/J262,0),MAX(J262/K262,0))),"") </f>
        <v/>
      </c>
      <c r="N262" s="5" t="inlineStr">
        <is>
          <t>%</t>
        </is>
      </c>
      <c r="O262" s="5" t="inlineStr">
        <is>
          <t>%</t>
        </is>
      </c>
      <c r="P262" s="5" t="n">
        <v>0</v>
      </c>
      <c r="Q262" s="5" t="n">
        <v>0</v>
      </c>
      <c r="R262" s="5" t="inlineStr">
        <is>
          <t>159-2023-12-31</t>
        </is>
      </c>
    </row>
    <row r="263">
      <c r="A263" s="5" t="n">
        <v>159</v>
      </c>
      <c r="B263" s="5" t="inlineStr">
        <is>
          <t>Nivel de Satisfacción Servicios Prestados</t>
        </is>
      </c>
      <c r="C263" s="5" t="inlineStr">
        <is>
          <t>Editorial y Publicaciones</t>
        </is>
      </c>
      <c r="D263" s="5" t="inlineStr">
        <is>
          <t>Semestral</t>
        </is>
      </c>
      <c r="E263" s="5" t="inlineStr">
        <is>
          <t>Positivo</t>
        </is>
      </c>
      <c r="F263" s="107" t="n">
        <v>45473</v>
      </c>
      <c r="G263" s="5" t="n">
        <v>2024</v>
      </c>
      <c r="H263" s="5" t="inlineStr">
        <is>
          <t>Junio</t>
        </is>
      </c>
      <c r="I263" s="6" t="inlineStr">
        <is>
          <t>2024-1</t>
        </is>
      </c>
      <c r="J263" s="5" t="n">
        <v>80</v>
      </c>
      <c r="K263" s="5" t="n">
        <v>95</v>
      </c>
      <c r="L263" s="14">
        <f>IFERROR(IF(OR(J263=0,K263=""),"",IF(E263="Positivo",MIN(MAX(K263/J263,0),1.3),MIN(MAX(J263/K263,0),1.3))),"") </f>
        <v/>
      </c>
      <c r="M263" s="14">
        <f>IFERROR(IF(OR(J263=0,K263=""),"",IF(E263="Positivo",MAX(K263/J263,0),MAX(J263/K263,0))),"") </f>
        <v/>
      </c>
      <c r="N263" s="5" t="inlineStr">
        <is>
          <t>%</t>
        </is>
      </c>
      <c r="O263" s="5" t="inlineStr">
        <is>
          <t>%</t>
        </is>
      </c>
      <c r="P263" s="5" t="n">
        <v>0</v>
      </c>
      <c r="Q263" s="5" t="n">
        <v>0</v>
      </c>
      <c r="R263" s="5" t="inlineStr">
        <is>
          <t>159-2024-06-30</t>
        </is>
      </c>
    </row>
    <row r="264">
      <c r="A264" s="5" t="n">
        <v>159</v>
      </c>
      <c r="B264" s="5" t="inlineStr">
        <is>
          <t>Nivel de Satisfacción Servicios Prestados</t>
        </is>
      </c>
      <c r="C264" s="5" t="inlineStr">
        <is>
          <t>Editorial y Publicaciones</t>
        </is>
      </c>
      <c r="D264" s="5" t="inlineStr">
        <is>
          <t>Semestral</t>
        </is>
      </c>
      <c r="E264" s="5" t="inlineStr">
        <is>
          <t>Positivo</t>
        </is>
      </c>
      <c r="F264" s="107" t="n">
        <v>45657</v>
      </c>
      <c r="G264" s="5" t="n">
        <v>2024</v>
      </c>
      <c r="H264" s="5" t="inlineStr">
        <is>
          <t>Diciembre</t>
        </is>
      </c>
      <c r="I264" s="6" t="inlineStr">
        <is>
          <t>2024-2</t>
        </is>
      </c>
      <c r="J264" s="5" t="n">
        <v>80</v>
      </c>
      <c r="K264" s="5" t="n">
        <v>97.8</v>
      </c>
      <c r="L264" s="14">
        <f>IFERROR(IF(OR(J264=0,K264=""),"",IF(E264="Positivo",MIN(MAX(K264/J264,0),1.3),MIN(MAX(J264/K264,0),1.3))),"") </f>
        <v/>
      </c>
      <c r="M264" s="14">
        <f>IFERROR(IF(OR(J264=0,K264=""),"",IF(E264="Positivo",MAX(K264/J264,0),MAX(J264/K264,0))),"") </f>
        <v/>
      </c>
      <c r="N264" s="5" t="inlineStr">
        <is>
          <t>%</t>
        </is>
      </c>
      <c r="O264" s="5" t="inlineStr">
        <is>
          <t>%</t>
        </is>
      </c>
      <c r="P264" s="5" t="n">
        <v>0</v>
      </c>
      <c r="Q264" s="5" t="n">
        <v>0</v>
      </c>
      <c r="R264" s="5" t="inlineStr">
        <is>
          <t>159-2024-12-31</t>
        </is>
      </c>
    </row>
    <row r="265">
      <c r="A265" s="26" t="n">
        <v>159</v>
      </c>
      <c r="B265" s="5" t="inlineStr">
        <is>
          <t>Nivel de Satisfacción Servicios Prestados</t>
        </is>
      </c>
      <c r="C265" s="5" t="inlineStr">
        <is>
          <t>Editorial y Publicaciones</t>
        </is>
      </c>
      <c r="D265" s="5" t="inlineStr">
        <is>
          <t>Semestral</t>
        </is>
      </c>
      <c r="E265" s="5" t="inlineStr">
        <is>
          <t>Positivo</t>
        </is>
      </c>
      <c r="F265" s="107" t="n">
        <v>45838</v>
      </c>
      <c r="G265" s="5" t="n">
        <v>2025</v>
      </c>
      <c r="H265" s="5" t="inlineStr">
        <is>
          <t>Junio</t>
        </is>
      </c>
      <c r="I265" s="6" t="inlineStr">
        <is>
          <t>2025-1</t>
        </is>
      </c>
      <c r="J265" s="5" t="n">
        <v>80</v>
      </c>
      <c r="K265" s="5" t="n">
        <v>100</v>
      </c>
      <c r="L265" s="14">
        <f>IFERROR(IF(OR(J265=0,K265=""),"",IF(E265="Positivo",MIN(MAX(K265/J265,0),1.3),MIN(MAX(J265/K265,0),1.3))),"") </f>
        <v/>
      </c>
      <c r="M265" s="14">
        <f>IFERROR(IF(OR(J265=0,K265=""),"",IF(E265="Positivo",MAX(K265/J265,0),MAX(J265/K265,0))),"") </f>
        <v/>
      </c>
      <c r="N265" s="5" t="inlineStr">
        <is>
          <t>%</t>
        </is>
      </c>
      <c r="O265" s="5" t="inlineStr">
        <is>
          <t>%</t>
        </is>
      </c>
      <c r="P265" s="5" t="n">
        <v>0</v>
      </c>
      <c r="Q265" s="5" t="n">
        <v>0</v>
      </c>
      <c r="R265" s="5" t="inlineStr">
        <is>
          <t>159-2025-06-30</t>
        </is>
      </c>
    </row>
    <row r="266">
      <c r="A266" s="26" t="n">
        <v>159</v>
      </c>
      <c r="B266" s="5" t="inlineStr">
        <is>
          <t>Nivel de Satisfacción Servicios Prestados</t>
        </is>
      </c>
      <c r="C266" s="5" t="inlineStr">
        <is>
          <t>Editorial y Publicaciones</t>
        </is>
      </c>
      <c r="D266" s="5" t="inlineStr">
        <is>
          <t>Trimestral</t>
        </is>
      </c>
      <c r="E266" s="5" t="inlineStr">
        <is>
          <t>Positivo</t>
        </is>
      </c>
      <c r="F266" s="107" t="n">
        <v>46022</v>
      </c>
      <c r="G266" s="5" t="n">
        <v>2025</v>
      </c>
      <c r="H266" s="5" t="inlineStr">
        <is>
          <t>Diciembre</t>
        </is>
      </c>
      <c r="I266" s="6" t="inlineStr">
        <is>
          <t>2025-2</t>
        </is>
      </c>
      <c r="J266" s="5" t="n">
        <v>80</v>
      </c>
      <c r="K266" s="23" t="n">
        <v>100</v>
      </c>
      <c r="L266" s="14">
        <f>IFERROR(IF(OR(J266=0,K266=""),"",IF(E266="Positivo",MIN(MAX(K266/J266,0),1.3),MIN(MAX(J266/K266,0),1.3))),"") </f>
        <v/>
      </c>
      <c r="M266" s="14">
        <f>IFERROR(IF(OR(J266=0,K266=""),"",IF(E266="Positivo",MAX(K266/J266,0),MAX(J266/K266,0))),"") </f>
        <v/>
      </c>
      <c r="N266" s="5" t="inlineStr">
        <is>
          <t>%</t>
        </is>
      </c>
      <c r="O266" s="5" t="inlineStr">
        <is>
          <t>%</t>
        </is>
      </c>
      <c r="P266" s="5" t="n">
        <v>0</v>
      </c>
      <c r="Q266" s="5" t="n">
        <v>0</v>
      </c>
      <c r="R266" s="5" t="inlineStr">
        <is>
          <t>159-2025-12-31</t>
        </is>
      </c>
    </row>
    <row r="267">
      <c r="A267" s="26" t="n">
        <v>167</v>
      </c>
      <c r="B267" s="5" t="inlineStr">
        <is>
          <t>Satisfacción actividades plan de bienestar</t>
        </is>
      </c>
      <c r="C267" s="5" t="inlineStr">
        <is>
          <t>GESTIÓN Y DESARROLLO DEL TALENTO HUMANO</t>
        </is>
      </c>
      <c r="D267" s="5" t="inlineStr">
        <is>
          <t>Trimestral</t>
        </is>
      </c>
      <c r="E267" s="5" t="inlineStr">
        <is>
          <t>Positivo</t>
        </is>
      </c>
      <c r="F267" s="107" t="n">
        <v>44742</v>
      </c>
      <c r="G267" s="5" t="n">
        <v>2022</v>
      </c>
      <c r="H267" s="5" t="inlineStr">
        <is>
          <t>Junio</t>
        </is>
      </c>
      <c r="I267" s="6" t="inlineStr">
        <is>
          <t>2022-1</t>
        </is>
      </c>
      <c r="J267" s="5" t="n">
        <v>80</v>
      </c>
      <c r="K267" s="15" t="n">
        <v>97.64</v>
      </c>
      <c r="L267" s="14">
        <f>IFERROR(IF(OR(J267=0,K267=""),"",IF(E267="Positivo",MIN(MAX(K267/J267,0),1.3),MIN(MAX(J267/K267,0),1.3))),"") </f>
        <v/>
      </c>
      <c r="M267" s="14">
        <f>IFERROR(IF(OR(J267=0,K267=""),"",IF(E267="Positivo",MAX(K267/J267,0),MAX(J267/K267,0))),"") </f>
        <v/>
      </c>
      <c r="N267" s="5" t="inlineStr">
        <is>
          <t>%</t>
        </is>
      </c>
      <c r="O267" s="5" t="inlineStr">
        <is>
          <t>%</t>
        </is>
      </c>
      <c r="P267" s="5" t="n">
        <v>0</v>
      </c>
      <c r="Q267" s="5" t="n">
        <v>1</v>
      </c>
      <c r="R267" s="5" t="inlineStr">
        <is>
          <t>167-2022-06-30</t>
        </is>
      </c>
    </row>
    <row r="268">
      <c r="A268" s="26" t="n">
        <v>167</v>
      </c>
      <c r="B268" s="5" t="inlineStr">
        <is>
          <t>Satisfacción actividades plan de bienestar</t>
        </is>
      </c>
      <c r="C268" s="5" t="inlineStr">
        <is>
          <t>GESTIÓN Y DESARROLLO DEL TALENTO HUMANO</t>
        </is>
      </c>
      <c r="D268" s="5" t="inlineStr">
        <is>
          <t>Trimestral</t>
        </is>
      </c>
      <c r="E268" s="5" t="inlineStr">
        <is>
          <t>Positivo</t>
        </is>
      </c>
      <c r="F268" s="107" t="n">
        <v>44926</v>
      </c>
      <c r="G268" s="5" t="n">
        <v>2022</v>
      </c>
      <c r="H268" s="5" t="inlineStr">
        <is>
          <t>Diciembre</t>
        </is>
      </c>
      <c r="I268" s="6" t="inlineStr">
        <is>
          <t>2022-2</t>
        </is>
      </c>
      <c r="J268" s="5" t="n">
        <v>80</v>
      </c>
      <c r="K268" s="5" t="n">
        <v>96.55</v>
      </c>
      <c r="L268" s="14">
        <f>IFERROR(IF(OR(J268=0,K268=""),"",IF(E268="Positivo",MIN(MAX(K268/J268,0),1.3),MIN(MAX(J268/K268,0),1.3))),"") </f>
        <v/>
      </c>
      <c r="M268" s="14">
        <f>IFERROR(IF(OR(J268=0,K268=""),"",IF(E268="Positivo",MAX(K268/J268,0),MAX(J268/K268,0))),"") </f>
        <v/>
      </c>
      <c r="N268" s="5" t="inlineStr">
        <is>
          <t>%</t>
        </is>
      </c>
      <c r="O268" s="5" t="inlineStr">
        <is>
          <t>%</t>
        </is>
      </c>
      <c r="P268" s="5" t="n">
        <v>0</v>
      </c>
      <c r="Q268" s="5" t="n">
        <v>1</v>
      </c>
      <c r="R268" s="5" t="inlineStr">
        <is>
          <t>167-2022-12-31</t>
        </is>
      </c>
    </row>
    <row r="269">
      <c r="A269" s="26" t="n">
        <v>167</v>
      </c>
      <c r="B269" s="5" t="inlineStr">
        <is>
          <t>Satisfacción actividades plan de bienestar</t>
        </is>
      </c>
      <c r="C269" s="5" t="inlineStr">
        <is>
          <t>GESTIÓN Y DESARROLLO DEL TALENTO HUMANO</t>
        </is>
      </c>
      <c r="D269" s="5" t="inlineStr">
        <is>
          <t>Semestral</t>
        </is>
      </c>
      <c r="E269" s="5" t="inlineStr">
        <is>
          <t>Positivo</t>
        </is>
      </c>
      <c r="F269" s="107" t="n">
        <v>45107</v>
      </c>
      <c r="G269" s="5" t="n">
        <v>2023</v>
      </c>
      <c r="H269" s="5" t="inlineStr">
        <is>
          <t>Junio</t>
        </is>
      </c>
      <c r="I269" s="6" t="inlineStr">
        <is>
          <t>2023-1</t>
        </is>
      </c>
      <c r="J269" s="5" t="n">
        <v>80</v>
      </c>
      <c r="K269" s="5" t="n">
        <v>97.7</v>
      </c>
      <c r="L269" s="14">
        <f>IFERROR(IF(OR(J269=0,K269=""),"",IF(E269="Positivo",MIN(MAX(K269/J269,0),1.3),MIN(MAX(J269/K269,0),1.3))),"") </f>
        <v/>
      </c>
      <c r="M269" s="14">
        <f>IFERROR(IF(OR(J269=0,K269=""),"",IF(E269="Positivo",MAX(K269/J269,0),MAX(J269/K269,0))),"") </f>
        <v/>
      </c>
      <c r="N269" s="5" t="inlineStr">
        <is>
          <t>%</t>
        </is>
      </c>
      <c r="O269" s="5" t="inlineStr">
        <is>
          <t>%</t>
        </is>
      </c>
      <c r="P269" s="5" t="n">
        <v>1</v>
      </c>
      <c r="Q269" s="5" t="n">
        <v>1</v>
      </c>
      <c r="R269" s="5" t="inlineStr">
        <is>
          <t>167-2023-06-30</t>
        </is>
      </c>
    </row>
    <row r="270">
      <c r="A270" s="26" t="n">
        <v>167</v>
      </c>
      <c r="B270" s="5" t="inlineStr">
        <is>
          <t>Satisfacción actividades plan de bienestar</t>
        </is>
      </c>
      <c r="C270" s="5" t="inlineStr">
        <is>
          <t>GESTIÓN Y DESARROLLO DEL TALENTO HUMANO</t>
        </is>
      </c>
      <c r="D270" s="5" t="inlineStr">
        <is>
          <t>Semestral</t>
        </is>
      </c>
      <c r="E270" s="5" t="inlineStr">
        <is>
          <t>Positivo</t>
        </is>
      </c>
      <c r="F270" s="107" t="n">
        <v>45291</v>
      </c>
      <c r="G270" s="5" t="n">
        <v>2023</v>
      </c>
      <c r="H270" s="5" t="inlineStr">
        <is>
          <t>Diciembre</t>
        </is>
      </c>
      <c r="I270" s="6" t="inlineStr">
        <is>
          <t>2023-2</t>
        </is>
      </c>
      <c r="J270" s="5" t="n">
        <v>80</v>
      </c>
      <c r="K270" s="5" t="n">
        <v>96.15000000000001</v>
      </c>
      <c r="L270" s="14">
        <f>IFERROR(IF(OR(J270=0,K270=""),"",IF(E270="Positivo",MIN(MAX(K270/J270,0),1.3),MIN(MAX(J270/K270,0),1.3))),"") </f>
        <v/>
      </c>
      <c r="M270" s="14">
        <f>IFERROR(IF(OR(J270=0,K270=""),"",IF(E270="Positivo",MAX(K270/J270,0),MAX(J270/K270,0))),"") </f>
        <v/>
      </c>
      <c r="N270" s="5" t="inlineStr">
        <is>
          <t>%</t>
        </is>
      </c>
      <c r="O270" s="5" t="inlineStr">
        <is>
          <t>%</t>
        </is>
      </c>
      <c r="P270" s="5" t="n">
        <v>1</v>
      </c>
      <c r="Q270" s="5" t="n">
        <v>1</v>
      </c>
      <c r="R270" s="5" t="inlineStr">
        <is>
          <t>167-2023-12-31</t>
        </is>
      </c>
    </row>
    <row r="271">
      <c r="A271" s="5" t="n">
        <v>167</v>
      </c>
      <c r="B271" s="5" t="inlineStr">
        <is>
          <t>Satisfacción actividades plan de bienestar</t>
        </is>
      </c>
      <c r="C271" s="5" t="inlineStr">
        <is>
          <t>GESTIÓN Y DESARROLLO DEL TALENTO HUMANO</t>
        </is>
      </c>
      <c r="D271" s="5" t="inlineStr">
        <is>
          <t>Semestral</t>
        </is>
      </c>
      <c r="E271" s="5" t="inlineStr">
        <is>
          <t>Positivo</t>
        </is>
      </c>
      <c r="F271" s="107" t="n">
        <v>45473</v>
      </c>
      <c r="G271" s="15" t="n">
        <v>2024</v>
      </c>
      <c r="H271" s="6" t="inlineStr">
        <is>
          <t>Junio</t>
        </is>
      </c>
      <c r="I271" s="6" t="inlineStr">
        <is>
          <t>2024-1</t>
        </is>
      </c>
      <c r="J271" s="5" t="n">
        <v>85</v>
      </c>
      <c r="K271" s="5" t="n">
        <v>96.86</v>
      </c>
      <c r="L271" s="14">
        <f>IFERROR(IF(OR(J271=0,K271=""),"",IF(E271="Positivo",MIN(MAX(K271/J271,0),1.3),MIN(MAX(J271/K271,0),1.3))),"") </f>
        <v/>
      </c>
      <c r="M271" s="14">
        <f>IFERROR(IF(OR(J271=0,K271=""),"",IF(E271="Positivo",MAX(K271/J271,0),MAX(J271/K271,0))),"") </f>
        <v/>
      </c>
      <c r="N271" s="5" t="inlineStr">
        <is>
          <t>%</t>
        </is>
      </c>
      <c r="O271" s="5" t="inlineStr">
        <is>
          <t>%</t>
        </is>
      </c>
      <c r="P271" s="5" t="n">
        <v>0</v>
      </c>
      <c r="Q271" s="5" t="n">
        <v>0</v>
      </c>
      <c r="R271" s="5" t="inlineStr">
        <is>
          <t>167-2024-06-30</t>
        </is>
      </c>
    </row>
    <row r="272">
      <c r="A272" s="5" t="n">
        <v>167</v>
      </c>
      <c r="B272" s="5" t="inlineStr">
        <is>
          <t>Satisfacción actividades plan de bienestar</t>
        </is>
      </c>
      <c r="C272" s="5" t="inlineStr">
        <is>
          <t>GESTIÓN Y DESARROLLO DEL TALENTO HUMANO</t>
        </is>
      </c>
      <c r="D272" s="5" t="inlineStr">
        <is>
          <t>Semestral</t>
        </is>
      </c>
      <c r="E272" s="5" t="inlineStr">
        <is>
          <t>Positivo</t>
        </is>
      </c>
      <c r="F272" s="107" t="n">
        <v>45657</v>
      </c>
      <c r="G272" s="15" t="n">
        <v>2024</v>
      </c>
      <c r="H272" s="6" t="inlineStr">
        <is>
          <t>Diciembre</t>
        </is>
      </c>
      <c r="I272" s="6" t="inlineStr">
        <is>
          <t>2024-2</t>
        </is>
      </c>
      <c r="J272" s="5" t="n">
        <v>85</v>
      </c>
      <c r="K272" s="5" t="n">
        <v>96.8</v>
      </c>
      <c r="L272" s="14">
        <f>IFERROR(IF(OR(J272=0,K272=""),"",IF(E272="Positivo",MIN(MAX(K272/J272,0),1.3),MIN(MAX(J272/K272,0),1.3))),"") </f>
        <v/>
      </c>
      <c r="M272" s="14">
        <f>IFERROR(IF(OR(J272=0,K272=""),"",IF(E272="Positivo",MAX(K272/J272,0),MAX(J272/K272,0))),"") </f>
        <v/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0</v>
      </c>
      <c r="R272" s="5" t="inlineStr">
        <is>
          <t>167-2024-12-31</t>
        </is>
      </c>
    </row>
    <row r="273">
      <c r="A273" s="5" t="n">
        <v>167</v>
      </c>
      <c r="B273" s="5" t="inlineStr">
        <is>
          <t>Satisfacción actividades plan de bienestar</t>
        </is>
      </c>
      <c r="C273" s="5" t="inlineStr">
        <is>
          <t>GESTIÓN Y DESARROLLO DEL TALENTO HUMANO</t>
        </is>
      </c>
      <c r="D273" s="5" t="inlineStr">
        <is>
          <t>Semestral</t>
        </is>
      </c>
      <c r="E273" s="5" t="inlineStr">
        <is>
          <t>Positivo</t>
        </is>
      </c>
      <c r="F273" s="107" t="n">
        <v>45838</v>
      </c>
      <c r="G273" s="15" t="n">
        <v>2025</v>
      </c>
      <c r="H273" s="6" t="inlineStr">
        <is>
          <t>Junio</t>
        </is>
      </c>
      <c r="I273" s="6" t="inlineStr">
        <is>
          <t>2025-1</t>
        </is>
      </c>
      <c r="J273" s="5" t="n">
        <v>90</v>
      </c>
      <c r="K273" s="7" t="n">
        <v>93.63</v>
      </c>
      <c r="L273" s="14">
        <f>IFERROR(IF(OR(J273=0,K273=""),"",IF(E273="Positivo",MIN(MAX(K273/J273,0),1.3),MIN(MAX(J273/K273,0),1.3))),"") </f>
        <v/>
      </c>
      <c r="M273" s="14">
        <f>IFERROR(IF(OR(J273=0,K273=""),"",IF(E273="Positivo",MAX(K273/J273,0),MAX(J273/K273,0))),"") </f>
        <v/>
      </c>
      <c r="N273" s="5" t="inlineStr">
        <is>
          <t>%</t>
        </is>
      </c>
      <c r="O273" s="5" t="inlineStr">
        <is>
          <t>%</t>
        </is>
      </c>
      <c r="P273" s="5" t="n">
        <v>0</v>
      </c>
      <c r="Q273" s="5" t="n">
        <v>0</v>
      </c>
      <c r="R273" s="5" t="inlineStr">
        <is>
          <t>167-2025-06-30</t>
        </is>
      </c>
    </row>
    <row r="274">
      <c r="A274" s="26" t="n">
        <v>167</v>
      </c>
      <c r="B274" s="5" t="inlineStr">
        <is>
          <t>Satisfacción actividades plan de bienestar</t>
        </is>
      </c>
      <c r="C274" s="5" t="inlineStr">
        <is>
          <t>GESTIÓN Y DESARROLLO DEL TALENTO HUMANO</t>
        </is>
      </c>
      <c r="D274" s="5" t="inlineStr">
        <is>
          <t>Trimestral</t>
        </is>
      </c>
      <c r="E274" s="5" t="inlineStr">
        <is>
          <t>Positivo</t>
        </is>
      </c>
      <c r="F274" s="107" t="n">
        <v>46022</v>
      </c>
      <c r="G274" s="5" t="n">
        <v>2025</v>
      </c>
      <c r="H274" s="5" t="inlineStr">
        <is>
          <t>Diciembre</t>
        </is>
      </c>
      <c r="I274" s="6" t="inlineStr">
        <is>
          <t>2025-2</t>
        </is>
      </c>
      <c r="J274" s="5" t="n">
        <v>90</v>
      </c>
      <c r="K274" s="5" t="n">
        <v>94</v>
      </c>
      <c r="L274" s="14">
        <f>IFERROR(IF(OR(J274=0,K274=""),"",IF(E274="Positivo",MIN(MAX(K274/J274,0),1.3),MIN(MAX(J274/K274,0),1.3))),"") </f>
        <v/>
      </c>
      <c r="M274" s="14">
        <f>IFERROR(IF(OR(J274=0,K274=""),"",IF(E274="Positivo",MAX(K274/J274,0),MAX(J274/K274,0))),"") </f>
        <v/>
      </c>
      <c r="N274" s="5" t="inlineStr">
        <is>
          <t>%</t>
        </is>
      </c>
      <c r="O274" s="5" t="inlineStr">
        <is>
          <t>%</t>
        </is>
      </c>
      <c r="P274" s="5" t="n">
        <v>0</v>
      </c>
      <c r="Q274" s="5" t="n">
        <v>1</v>
      </c>
      <c r="R274" s="5" t="inlineStr">
        <is>
          <t>167-2025-12-31</t>
        </is>
      </c>
    </row>
    <row r="275">
      <c r="A275" s="26" t="n">
        <v>172</v>
      </c>
      <c r="B275" s="5" t="inlineStr">
        <is>
          <t>Cumplimiento plan operativo del SGC</t>
        </is>
      </c>
      <c r="C275" s="5" t="inlineStr">
        <is>
          <t>Gestión de calidad</t>
        </is>
      </c>
      <c r="D275" s="5" t="inlineStr">
        <is>
          <t>Mensual</t>
        </is>
      </c>
      <c r="E275" s="5" t="inlineStr">
        <is>
          <t>Positivo</t>
        </is>
      </c>
      <c r="F275" s="107" t="n">
        <v>44742</v>
      </c>
      <c r="G275" s="5" t="n">
        <v>2022</v>
      </c>
      <c r="H275" s="5" t="inlineStr">
        <is>
          <t>Junio</t>
        </is>
      </c>
      <c r="I275" s="6" t="inlineStr">
        <is>
          <t>2022-1</t>
        </is>
      </c>
      <c r="J275" s="5" t="n">
        <v>90</v>
      </c>
      <c r="K275" s="5" t="n">
        <v>95.238095238095</v>
      </c>
      <c r="L275" s="14">
        <f>IFERROR(IF(OR(J275=0,K275=""),"",IF(E275="Positivo",MIN(MAX(K275/J275,0),1.3),MIN(MAX(J275/K275,0),1.3))),"") </f>
        <v/>
      </c>
      <c r="M275" s="14">
        <f>IFERROR(IF(OR(J275=0,K275=""),"",IF(E275="Positivo",MAX(K275/J275,0),MAX(J275/K275,0))),"") </f>
        <v/>
      </c>
      <c r="N275" s="5" t="inlineStr">
        <is>
          <t>%</t>
        </is>
      </c>
      <c r="O275" s="5" t="inlineStr">
        <is>
          <t>%</t>
        </is>
      </c>
      <c r="P275" s="5" t="n">
        <v>0</v>
      </c>
      <c r="Q275" s="5" t="n">
        <v>0</v>
      </c>
      <c r="R275" s="5" t="inlineStr">
        <is>
          <t>172-2022-06-30</t>
        </is>
      </c>
    </row>
    <row r="276">
      <c r="A276" s="26" t="n">
        <v>172</v>
      </c>
      <c r="B276" s="5" t="inlineStr">
        <is>
          <t>Cumplimiento plan operativo del SGC</t>
        </is>
      </c>
      <c r="C276" s="5" t="inlineStr">
        <is>
          <t>Gestión de calidad</t>
        </is>
      </c>
      <c r="D276" s="5" t="inlineStr">
        <is>
          <t>Mensual</t>
        </is>
      </c>
      <c r="E276" s="5" t="inlineStr">
        <is>
          <t>Positivo</t>
        </is>
      </c>
      <c r="F276" s="107" t="n">
        <v>44926</v>
      </c>
      <c r="G276" s="5" t="n">
        <v>2022</v>
      </c>
      <c r="H276" s="5" t="inlineStr">
        <is>
          <t>Diciembre</t>
        </is>
      </c>
      <c r="I276" s="6" t="inlineStr">
        <is>
          <t>2022-2</t>
        </is>
      </c>
      <c r="J276" s="5" t="n">
        <v>90</v>
      </c>
      <c r="K276" s="5" t="n">
        <v>98.40754321634361</v>
      </c>
      <c r="L276" s="14">
        <f>IFERROR(IF(OR(J276=0,K276=""),"",IF(E276="Positivo",MIN(MAX(K276/J276,0),1.3),MIN(MAX(J276/K276,0),1.3))),"") </f>
        <v/>
      </c>
      <c r="M276" s="14">
        <f>IFERROR(IF(OR(J276=0,K276=""),"",IF(E276="Positivo",MAX(K276/J276,0),MAX(J276/K276,0))),"") </f>
        <v/>
      </c>
      <c r="N276" s="5" t="inlineStr">
        <is>
          <t>%</t>
        </is>
      </c>
      <c r="O276" s="5" t="inlineStr">
        <is>
          <t>%</t>
        </is>
      </c>
      <c r="P276" s="5" t="n">
        <v>0</v>
      </c>
      <c r="Q276" s="5" t="n">
        <v>0</v>
      </c>
      <c r="R276" s="5" t="inlineStr">
        <is>
          <t>172-2022-12-31</t>
        </is>
      </c>
    </row>
    <row r="277">
      <c r="A277" s="5" t="n">
        <v>172</v>
      </c>
      <c r="B277" s="5" t="inlineStr">
        <is>
          <t>Cumplimiento plan operativo del SGC</t>
        </is>
      </c>
      <c r="C277" s="5" t="inlineStr">
        <is>
          <t>Gestión de calidad</t>
        </is>
      </c>
      <c r="D277" s="5" t="inlineStr">
        <is>
          <t>Mensual</t>
        </is>
      </c>
      <c r="E277" s="5" t="inlineStr">
        <is>
          <t>Positivo</t>
        </is>
      </c>
      <c r="F277" s="107" t="n">
        <v>45107</v>
      </c>
      <c r="G277" s="5" t="n">
        <v>2023</v>
      </c>
      <c r="H277" s="5" t="inlineStr">
        <is>
          <t>Junio</t>
        </is>
      </c>
      <c r="I277" s="6" t="inlineStr">
        <is>
          <t>2023-1</t>
        </is>
      </c>
      <c r="J277" s="5" t="n">
        <v>95</v>
      </c>
      <c r="K277" s="5" t="n">
        <v>92.6785714285715</v>
      </c>
      <c r="L277" s="14">
        <f>IFERROR(IF(OR(J277=0,K277=""),"",IF(E277="Positivo",MIN(MAX(K277/J277,0),1.3),MIN(MAX(J277/K277,0),1.3))),"") </f>
        <v/>
      </c>
      <c r="M277" s="14">
        <f>IFERROR(IF(OR(J277=0,K277=""),"",IF(E277="Positivo",MAX(K277/J277,0),MAX(J277/K277,0))),"") </f>
        <v/>
      </c>
      <c r="N277" s="5" t="inlineStr">
        <is>
          <t>%</t>
        </is>
      </c>
      <c r="O277" s="5" t="inlineStr">
        <is>
          <t>%</t>
        </is>
      </c>
      <c r="P277" s="5" t="n">
        <v>0</v>
      </c>
      <c r="Q277" s="5" t="n">
        <v>0</v>
      </c>
      <c r="R277" s="5" t="inlineStr">
        <is>
          <t>172-2023-06-30</t>
        </is>
      </c>
    </row>
    <row r="278">
      <c r="A278" s="28" t="n">
        <v>172</v>
      </c>
      <c r="B278" s="5" t="inlineStr">
        <is>
          <t>Cumplimiento plan operativo del SGC</t>
        </is>
      </c>
      <c r="C278" s="5" t="inlineStr">
        <is>
          <t>Gestión de calidad</t>
        </is>
      </c>
      <c r="D278" s="5" t="inlineStr">
        <is>
          <t>Mensual</t>
        </is>
      </c>
      <c r="E278" s="5" t="inlineStr">
        <is>
          <t>Positivo</t>
        </is>
      </c>
      <c r="F278" s="107" t="n">
        <v>45291</v>
      </c>
      <c r="G278" s="5" t="n">
        <v>2023</v>
      </c>
      <c r="H278" s="5" t="inlineStr">
        <is>
          <t>Diciembre</t>
        </is>
      </c>
      <c r="I278" s="6" t="inlineStr">
        <is>
          <t>2023-2</t>
        </is>
      </c>
      <c r="J278" s="5" t="n">
        <v>95</v>
      </c>
      <c r="K278" s="5" t="n">
        <v>95.74000000000001</v>
      </c>
      <c r="L278" s="74">
        <f>IFERROR(IF(OR(J278=0,K278=""),"",IF(E278="Positivo",MIN(MAX(K278/J278,0),1.3),MIN(MAX(J278/K278,0),1.3))),"") </f>
        <v/>
      </c>
      <c r="M278" s="14">
        <f>IFERROR(IF(OR(J278=0,K278=""),"",IF(E278="Positivo",MAX(K278/J278,0),MAX(J278/K278,0))),"") </f>
        <v/>
      </c>
      <c r="N278" s="5" t="inlineStr">
        <is>
          <t>%</t>
        </is>
      </c>
      <c r="O278" s="5" t="inlineStr">
        <is>
          <t>%</t>
        </is>
      </c>
      <c r="P278" s="5" t="n">
        <v>0</v>
      </c>
      <c r="Q278" s="5" t="n">
        <v>0</v>
      </c>
      <c r="R278" s="5" t="inlineStr">
        <is>
          <t>172-2023-12-31</t>
        </is>
      </c>
    </row>
    <row r="279">
      <c r="A279" s="26" t="n">
        <v>172</v>
      </c>
      <c r="B279" s="5" t="inlineStr">
        <is>
          <t>Cumplimiento plan operativo del SGC</t>
        </is>
      </c>
      <c r="C279" s="5" t="inlineStr">
        <is>
          <t>Gestión de calidad</t>
        </is>
      </c>
      <c r="D279" s="5" t="inlineStr">
        <is>
          <t>Mensual</t>
        </is>
      </c>
      <c r="E279" s="5" t="inlineStr">
        <is>
          <t>Positivo</t>
        </is>
      </c>
      <c r="F279" s="107" t="n">
        <v>45473</v>
      </c>
      <c r="G279" s="5" t="n">
        <v>2024</v>
      </c>
      <c r="H279" s="5" t="inlineStr">
        <is>
          <t>Junio</t>
        </is>
      </c>
      <c r="I279" s="6" t="inlineStr">
        <is>
          <t>2024-1</t>
        </is>
      </c>
      <c r="J279" s="5" t="n">
        <v>95</v>
      </c>
      <c r="K279" s="5" t="n">
        <v>86.94444444444446</v>
      </c>
      <c r="L279" s="74">
        <f>IFERROR(IF(OR(J279=0,K279=""),"",IF(E279="Positivo",MIN(MAX(K279/J279,0),1.3),MIN(MAX(J279/K279,0),1.3))),"") </f>
        <v/>
      </c>
      <c r="M279" s="14">
        <f>IFERROR(IF(OR(J279=0,K279=""),"",IF(E279="Positivo",MAX(K279/J279,0),MAX(J279/K279,0))),"") </f>
        <v/>
      </c>
      <c r="N279" s="5" t="n"/>
      <c r="O279" s="5" t="n"/>
      <c r="P279" s="5" t="n">
        <v>0</v>
      </c>
      <c r="Q279" s="5" t="n">
        <v>0</v>
      </c>
      <c r="R279" s="5" t="inlineStr">
        <is>
          <t>172-2024-06-30</t>
        </is>
      </c>
    </row>
    <row r="280">
      <c r="A280" s="5" t="n">
        <v>172</v>
      </c>
      <c r="B280" s="5" t="inlineStr">
        <is>
          <t>Cumplimiento plan operativo del SGC</t>
        </is>
      </c>
      <c r="C280" s="5" t="inlineStr">
        <is>
          <t>Gestión de calidad</t>
        </is>
      </c>
      <c r="D280" s="5" t="inlineStr">
        <is>
          <t>Mensual</t>
        </is>
      </c>
      <c r="E280" s="5" t="inlineStr">
        <is>
          <t>Positivo</t>
        </is>
      </c>
      <c r="F280" s="107" t="n">
        <v>45657</v>
      </c>
      <c r="G280" s="5" t="n">
        <v>2024</v>
      </c>
      <c r="H280" s="5" t="inlineStr">
        <is>
          <t>Diciembre</t>
        </is>
      </c>
      <c r="I280" s="6" t="inlineStr">
        <is>
          <t>2024-2</t>
        </is>
      </c>
      <c r="J280" s="5" t="n">
        <v>95</v>
      </c>
      <c r="K280" s="5" t="n">
        <v>94.83371697961481</v>
      </c>
      <c r="L280" s="14">
        <f>IFERROR(IF(OR(J280=0,K280=""),"",IF(E280="Positivo",MIN(MAX(K280/J280,0),1.3),MIN(MAX(J280/K280,0),1.3))),"") </f>
        <v/>
      </c>
      <c r="M280" s="14">
        <f>IFERROR(IF(OR(J280=0,K280=""),"",IF(E280="Positivo",MAX(K280/J280,0),MAX(J280/K280,0))),"") </f>
        <v/>
      </c>
      <c r="N280" s="5" t="n"/>
      <c r="O280" s="5" t="n"/>
      <c r="P280" s="5" t="n">
        <v>0</v>
      </c>
      <c r="Q280" s="5" t="n">
        <v>0</v>
      </c>
      <c r="R280" s="5" t="inlineStr">
        <is>
          <t>172-2024-12-31</t>
        </is>
      </c>
    </row>
    <row r="281">
      <c r="A281" s="5" t="n">
        <v>172</v>
      </c>
      <c r="B281" s="5" t="inlineStr">
        <is>
          <t>Cumplimiento plan operativo del SGC</t>
        </is>
      </c>
      <c r="C281" s="5" t="inlineStr">
        <is>
          <t>Gestión de calidad</t>
        </is>
      </c>
      <c r="D281" s="5" t="inlineStr">
        <is>
          <t>Mensual</t>
        </is>
      </c>
      <c r="E281" s="5" t="inlineStr">
        <is>
          <t>Positivo</t>
        </is>
      </c>
      <c r="F281" s="107" t="n">
        <v>45838</v>
      </c>
      <c r="G281" s="5" t="n">
        <v>2025</v>
      </c>
      <c r="H281" s="5" t="inlineStr">
        <is>
          <t>Junio</t>
        </is>
      </c>
      <c r="I281" s="6" t="inlineStr">
        <is>
          <t>2025-1</t>
        </is>
      </c>
      <c r="J281" s="5" t="n">
        <v>95</v>
      </c>
      <c r="K281" s="5" t="n">
        <v>88.28166666666668</v>
      </c>
      <c r="L281" s="14">
        <f>IFERROR(IF(OR(J281=0,K281=""),"",IF(E281="Positivo",MIN(MAX(K281/J281,0),1.3),MIN(MAX(J281/K281,0),1.3))),"") </f>
        <v/>
      </c>
      <c r="M281" s="14">
        <f>IFERROR(IF(OR(J281=0,K281=""),"",IF(E281="Positivo",MAX(K281/J281,0),MAX(J281/K281,0))),"") </f>
        <v/>
      </c>
      <c r="N281" s="5" t="inlineStr">
        <is>
          <t>%</t>
        </is>
      </c>
      <c r="O281" s="5" t="inlineStr">
        <is>
          <t>%</t>
        </is>
      </c>
      <c r="P281" s="5" t="n">
        <v>0</v>
      </c>
      <c r="Q281" s="5" t="n">
        <v>0</v>
      </c>
      <c r="R281" s="5" t="inlineStr">
        <is>
          <t>172-2025-06-30</t>
        </is>
      </c>
    </row>
    <row r="282">
      <c r="A282" s="28" t="n">
        <v>172</v>
      </c>
      <c r="B282" s="5" t="inlineStr">
        <is>
          <t>Cumplimiento plan operativo del SGC</t>
        </is>
      </c>
      <c r="C282" s="5" t="inlineStr">
        <is>
          <t>Gestión de calidad</t>
        </is>
      </c>
      <c r="D282" s="5" t="inlineStr">
        <is>
          <t>Mensual</t>
        </is>
      </c>
      <c r="E282" s="5" t="inlineStr">
        <is>
          <t>Positivo</t>
        </is>
      </c>
      <c r="F282" s="107" t="n">
        <v>46022</v>
      </c>
      <c r="G282" s="5" t="n">
        <v>2025</v>
      </c>
      <c r="H282" s="5" t="inlineStr">
        <is>
          <t>Diciembre</t>
        </is>
      </c>
      <c r="I282" s="6" t="inlineStr">
        <is>
          <t>2025-2</t>
        </is>
      </c>
      <c r="J282" s="5" t="n">
        <v>95</v>
      </c>
      <c r="K282" s="5" t="n">
        <v>93.50166666666667</v>
      </c>
      <c r="L282" s="74">
        <f>IFERROR(IF(OR(J282=0,K282=""),"",IF(E282="Positivo",MIN(MAX(K282/J282,0),1.3),MIN(MAX(J282/K282,0),1.3))),"") </f>
        <v/>
      </c>
      <c r="M282" s="14">
        <f>IFERROR(IF(OR(J282=0,K282=""),"",IF(E282="Positivo",MAX(K282/J282,0),MAX(J282/K282,0))),"") </f>
        <v/>
      </c>
      <c r="N282" s="5" t="inlineStr">
        <is>
          <t>%</t>
        </is>
      </c>
      <c r="O282" s="5" t="inlineStr">
        <is>
          <t>%</t>
        </is>
      </c>
      <c r="P282" s="5" t="n">
        <v>0</v>
      </c>
      <c r="Q282" s="5" t="n">
        <v>0</v>
      </c>
      <c r="R282" s="5" t="inlineStr">
        <is>
          <t>172-2025-12-31</t>
        </is>
      </c>
    </row>
    <row r="283">
      <c r="A283" s="5" t="n">
        <v>174</v>
      </c>
      <c r="B283" s="5" t="inlineStr">
        <is>
          <t>Cumplimiento Plan de Formación SGC</t>
        </is>
      </c>
      <c r="C283" s="5" t="inlineStr">
        <is>
          <t>Gestión de calidad</t>
        </is>
      </c>
      <c r="D283" s="5" t="inlineStr">
        <is>
          <t>Semestral</t>
        </is>
      </c>
      <c r="E283" s="5" t="inlineStr">
        <is>
          <t>Positivo</t>
        </is>
      </c>
      <c r="F283" s="107" t="n">
        <v>45107</v>
      </c>
      <c r="G283" s="5" t="n">
        <v>2023</v>
      </c>
      <c r="H283" s="5" t="inlineStr">
        <is>
          <t>Junio</t>
        </is>
      </c>
      <c r="I283" s="6" t="inlineStr">
        <is>
          <t>2023-1</t>
        </is>
      </c>
      <c r="J283" s="5" t="n">
        <v>95</v>
      </c>
      <c r="K283" s="5" t="n">
        <v>100</v>
      </c>
      <c r="L283" s="14">
        <f>IFERROR(IF(OR(J283=0,K283=""),"",IF(E283="Positivo",MIN(MAX(K283/J283,0),1.3),MIN(MAX(J283/K283,0),1.3))),"") </f>
        <v/>
      </c>
      <c r="M283" s="14">
        <f>IFERROR(IF(OR(J283=0,K283=""),"",IF(E283="Positivo",MAX(K283/J283,0),MAX(J283/K283,0))),"") </f>
        <v/>
      </c>
      <c r="N283" s="5" t="inlineStr">
        <is>
          <t>%</t>
        </is>
      </c>
      <c r="O283" s="5" t="inlineStr">
        <is>
          <t>%</t>
        </is>
      </c>
      <c r="P283" s="5" t="n">
        <v>0</v>
      </c>
      <c r="Q283" s="5" t="n">
        <v>0</v>
      </c>
      <c r="R283" s="5" t="inlineStr">
        <is>
          <t>174-2023-06-30</t>
        </is>
      </c>
    </row>
    <row r="284">
      <c r="A284" s="5" t="n">
        <v>174</v>
      </c>
      <c r="B284" s="5" t="inlineStr">
        <is>
          <t>Cumplimiento Plan de Formación SGC</t>
        </is>
      </c>
      <c r="C284" s="5" t="inlineStr">
        <is>
          <t>Gestión de calidad</t>
        </is>
      </c>
      <c r="D284" s="5" t="inlineStr">
        <is>
          <t>Semestral</t>
        </is>
      </c>
      <c r="E284" s="5" t="inlineStr">
        <is>
          <t>Positivo</t>
        </is>
      </c>
      <c r="F284" s="107" t="n">
        <v>45291</v>
      </c>
      <c r="G284" s="5" t="n">
        <v>2023</v>
      </c>
      <c r="H284" s="5" t="inlineStr">
        <is>
          <t>Diciembre</t>
        </is>
      </c>
      <c r="I284" s="6" t="inlineStr">
        <is>
          <t>2023-2</t>
        </is>
      </c>
      <c r="J284" s="5" t="n">
        <v>95</v>
      </c>
      <c r="K284" s="5" t="n">
        <v>100</v>
      </c>
      <c r="L284" s="14">
        <f>IFERROR(IF(OR(J284=0,K284=""),"",IF(E284="Positivo",MIN(MAX(K284/J284,0),1.3),MIN(MAX(J284/K284,0),1.3))),"") </f>
        <v/>
      </c>
      <c r="M284" s="14">
        <f>IFERROR(IF(OR(J284=0,K284=""),"",IF(E284="Positivo",MAX(K284/J284,0),MAX(J284/K284,0))),"") </f>
        <v/>
      </c>
      <c r="N284" s="5" t="inlineStr">
        <is>
          <t>%</t>
        </is>
      </c>
      <c r="O284" s="5" t="inlineStr">
        <is>
          <t>%</t>
        </is>
      </c>
      <c r="P284" s="5" t="n">
        <v>0</v>
      </c>
      <c r="Q284" s="5" t="n">
        <v>0</v>
      </c>
      <c r="R284" s="5" t="inlineStr">
        <is>
          <t>174-2023-12-31</t>
        </is>
      </c>
    </row>
    <row r="285">
      <c r="A285" s="26" t="n">
        <v>174</v>
      </c>
      <c r="B285" s="5" t="inlineStr">
        <is>
          <t>Cumplimiento Plan de Formación SGC</t>
        </is>
      </c>
      <c r="C285" s="5" t="inlineStr">
        <is>
          <t>Gestión de calidad</t>
        </is>
      </c>
      <c r="D285" s="5" t="inlineStr">
        <is>
          <t>Semestral</t>
        </is>
      </c>
      <c r="E285" s="5" t="inlineStr">
        <is>
          <t>Positivo</t>
        </is>
      </c>
      <c r="F285" s="107" t="n">
        <v>45473</v>
      </c>
      <c r="G285" s="5" t="n">
        <v>2024</v>
      </c>
      <c r="H285" s="5" t="inlineStr">
        <is>
          <t>Junio</t>
        </is>
      </c>
      <c r="I285" s="6" t="inlineStr">
        <is>
          <t>2024-1</t>
        </is>
      </c>
      <c r="J285" s="5" t="n"/>
      <c r="K285" s="5" t="n"/>
      <c r="L285" s="74" t="n"/>
      <c r="M285" s="14" t="n"/>
      <c r="N285" s="5" t="n"/>
      <c r="O285" s="5" t="n"/>
      <c r="P285" s="5" t="n">
        <v>0</v>
      </c>
      <c r="Q285" s="5" t="n">
        <v>0</v>
      </c>
      <c r="R285" s="5" t="inlineStr">
        <is>
          <t>174-2024-06-30</t>
        </is>
      </c>
    </row>
    <row r="286">
      <c r="A286" s="5" t="n">
        <v>174</v>
      </c>
      <c r="B286" s="5" t="inlineStr">
        <is>
          <t>Cumplimiento Plan de Formación SGC</t>
        </is>
      </c>
      <c r="C286" s="5" t="inlineStr">
        <is>
          <t>Gestión de calidad</t>
        </is>
      </c>
      <c r="D286" s="5" t="inlineStr">
        <is>
          <t>Semestral</t>
        </is>
      </c>
      <c r="E286" s="5" t="inlineStr">
        <is>
          <t>Positivo</t>
        </is>
      </c>
      <c r="F286" s="107" t="n">
        <v>45657</v>
      </c>
      <c r="G286" s="5" t="n">
        <v>2024</v>
      </c>
      <c r="H286" s="5" t="inlineStr">
        <is>
          <t>Diciembre</t>
        </is>
      </c>
      <c r="I286" s="6" t="inlineStr">
        <is>
          <t>2024-2</t>
        </is>
      </c>
      <c r="J286" s="5" t="n">
        <v>95</v>
      </c>
      <c r="K286" s="5" t="n"/>
      <c r="L286" s="14" t="n"/>
      <c r="M286" s="14" t="n"/>
      <c r="N286" s="5" t="inlineStr">
        <is>
          <t>ENT</t>
        </is>
      </c>
      <c r="O286" s="5" t="inlineStr">
        <is>
          <t>N/A</t>
        </is>
      </c>
      <c r="P286" s="5" t="n">
        <v>0</v>
      </c>
      <c r="Q286" s="5" t="n">
        <v>0</v>
      </c>
      <c r="R286" s="5" t="inlineStr">
        <is>
          <t>174-2024-12-31</t>
        </is>
      </c>
    </row>
    <row r="287">
      <c r="A287" s="26" t="n">
        <v>176</v>
      </c>
      <c r="B287" s="5" t="inlineStr">
        <is>
          <t>Cumplimiento Planes de Mejora</t>
        </is>
      </c>
      <c r="C287" s="5" t="inlineStr">
        <is>
          <t>Gestión de calidad</t>
        </is>
      </c>
      <c r="D287" s="5" t="inlineStr">
        <is>
          <t>Mensual</t>
        </is>
      </c>
      <c r="E287" s="5" t="inlineStr">
        <is>
          <t>Positivo</t>
        </is>
      </c>
      <c r="F287" s="107" t="n">
        <v>45107</v>
      </c>
      <c r="G287" s="5" t="n">
        <v>2023</v>
      </c>
      <c r="H287" s="5" t="inlineStr">
        <is>
          <t>Junio</t>
        </is>
      </c>
      <c r="I287" s="6" t="inlineStr">
        <is>
          <t>2023-1</t>
        </is>
      </c>
      <c r="J287" s="5" t="n">
        <v>80</v>
      </c>
      <c r="K287" s="5" t="n">
        <v>83.31999999999999</v>
      </c>
      <c r="L287" s="74">
        <f>IFERROR(IF(OR(J287=0,K287=""),"",IF(E287="Positivo",MIN(MAX(K287/J287,0),1.3),MIN(MAX(J287/K287,0),1.3))),"") </f>
        <v/>
      </c>
      <c r="M287" s="14">
        <f>IFERROR(IF(OR(J287=0,K287=""),"",IF(E287="Positivo",MAX(K287/J287,0),MAX(J287/K287,0))),"") </f>
        <v/>
      </c>
      <c r="N287" s="5" t="inlineStr">
        <is>
          <t>%</t>
        </is>
      </c>
      <c r="O287" s="5" t="inlineStr">
        <is>
          <t>%</t>
        </is>
      </c>
      <c r="P287" s="5" t="n">
        <v>0</v>
      </c>
      <c r="Q287" s="5" t="n">
        <v>0</v>
      </c>
      <c r="R287" s="5" t="inlineStr">
        <is>
          <t>176-2023-06-30</t>
        </is>
      </c>
    </row>
    <row r="288">
      <c r="A288" s="5" t="n">
        <v>176</v>
      </c>
      <c r="B288" s="5" t="inlineStr">
        <is>
          <t>Cumplimiento Planes de Mejora</t>
        </is>
      </c>
      <c r="C288" s="5" t="inlineStr">
        <is>
          <t>Gestión de calidad</t>
        </is>
      </c>
      <c r="D288" s="5" t="inlineStr">
        <is>
          <t>Mensual</t>
        </is>
      </c>
      <c r="E288" s="5" t="inlineStr">
        <is>
          <t>Positivo</t>
        </is>
      </c>
      <c r="F288" s="107" t="n">
        <v>45291</v>
      </c>
      <c r="G288" s="5" t="n">
        <v>2023</v>
      </c>
      <c r="H288" s="5" t="inlineStr">
        <is>
          <t>Diciembre</t>
        </is>
      </c>
      <c r="I288" s="6" t="inlineStr">
        <is>
          <t>2023-2</t>
        </is>
      </c>
      <c r="J288" s="5" t="n">
        <v>80</v>
      </c>
      <c r="K288" s="5" t="n">
        <v>80.40000000000001</v>
      </c>
      <c r="L288" s="14">
        <f>IFERROR(IF(OR(J288=0,K288=""),"",IF(E288="Positivo",MIN(MAX(K288/J288,0),1.3),MIN(MAX(J288/K288,0),1.3))),"") </f>
        <v/>
      </c>
      <c r="M288" s="14">
        <f>IFERROR(IF(OR(J288=0,K288=""),"",IF(E288="Positivo",MAX(K288/J288,0),MAX(J288/K288,0))),"") </f>
        <v/>
      </c>
      <c r="N288" s="5" t="inlineStr">
        <is>
          <t>%</t>
        </is>
      </c>
      <c r="O288" s="5" t="inlineStr">
        <is>
          <t>%</t>
        </is>
      </c>
      <c r="P288" s="5" t="n">
        <v>0</v>
      </c>
      <c r="Q288" s="5" t="n">
        <v>0</v>
      </c>
      <c r="R288" s="5" t="inlineStr">
        <is>
          <t>176-2023-12-31</t>
        </is>
      </c>
    </row>
    <row r="289">
      <c r="A289" s="26" t="n">
        <v>176</v>
      </c>
      <c r="B289" s="5" t="inlineStr">
        <is>
          <t>Cumplimiento Planes de Mejora</t>
        </is>
      </c>
      <c r="C289" s="5" t="inlineStr">
        <is>
          <t>Gestión de calidad</t>
        </is>
      </c>
      <c r="D289" s="5" t="inlineStr">
        <is>
          <t>Mensual</t>
        </is>
      </c>
      <c r="E289" s="5" t="inlineStr">
        <is>
          <t>Positivo</t>
        </is>
      </c>
      <c r="F289" s="107" t="n">
        <v>45473</v>
      </c>
      <c r="G289" s="5" t="n">
        <v>2024</v>
      </c>
      <c r="H289" s="5" t="inlineStr">
        <is>
          <t>Junio</t>
        </is>
      </c>
      <c r="I289" s="6" t="inlineStr">
        <is>
          <t>2024-1</t>
        </is>
      </c>
      <c r="J289" s="5" t="n">
        <v>85</v>
      </c>
      <c r="K289" s="5" t="n">
        <v>92.5</v>
      </c>
      <c r="L289" s="74">
        <f>IFERROR(IF(OR(J289=0,K289=""),"",IF(E289="Positivo",MIN(MAX(K289/J289,0),1.3),MIN(MAX(J289/K289,0),1.3))),"") </f>
        <v/>
      </c>
      <c r="M289" s="14">
        <f>IFERROR(IF(OR(J289=0,K289=""),"",IF(E289="Positivo",MAX(K289/J289,0),MAX(J289/K289,0))),"") </f>
        <v/>
      </c>
      <c r="N289" s="5" t="n"/>
      <c r="O289" s="5" t="n"/>
      <c r="P289" s="5" t="n">
        <v>0</v>
      </c>
      <c r="Q289" s="5" t="n">
        <v>0</v>
      </c>
      <c r="R289" s="5" t="inlineStr">
        <is>
          <t>176-2024-06-30</t>
        </is>
      </c>
    </row>
    <row r="290">
      <c r="A290" s="5" t="n">
        <v>176</v>
      </c>
      <c r="B290" s="5" t="inlineStr">
        <is>
          <t>Cumplimiento Planes de Mejora</t>
        </is>
      </c>
      <c r="C290" s="5" t="inlineStr">
        <is>
          <t>Gestión de calidad</t>
        </is>
      </c>
      <c r="D290" s="5" t="inlineStr">
        <is>
          <t>Mensual</t>
        </is>
      </c>
      <c r="E290" s="5" t="inlineStr">
        <is>
          <t>Positivo</t>
        </is>
      </c>
      <c r="F290" s="107" t="n">
        <v>45657</v>
      </c>
      <c r="G290" s="5" t="n">
        <v>2024</v>
      </c>
      <c r="H290" s="5" t="inlineStr">
        <is>
          <t>Diciembre</t>
        </is>
      </c>
      <c r="I290" s="6" t="inlineStr">
        <is>
          <t>2024-2</t>
        </is>
      </c>
      <c r="J290" s="5" t="n">
        <v>85</v>
      </c>
      <c r="K290" s="5" t="n">
        <v>89.08</v>
      </c>
      <c r="L290" s="14">
        <f>IFERROR(IF(OR(J290=0,K290=""),"",IF(E290="Positivo",MIN(MAX(K290/J290,0),1.3),MIN(MAX(J290/K290,0),1.3))),"") </f>
        <v/>
      </c>
      <c r="M290" s="14">
        <f>IFERROR(IF(OR(J290=0,K290=""),"",IF(E290="Positivo",MAX(K290/J290,0),MAX(J290/K290,0))),"") </f>
        <v/>
      </c>
      <c r="N290" s="5" t="n"/>
      <c r="O290" s="5" t="n"/>
      <c r="P290" s="5" t="n">
        <v>0</v>
      </c>
      <c r="Q290" s="5" t="n">
        <v>0</v>
      </c>
      <c r="R290" s="5" t="inlineStr">
        <is>
          <t>176-2024-12-31</t>
        </is>
      </c>
    </row>
    <row r="291">
      <c r="A291" s="26" t="n">
        <v>193</v>
      </c>
      <c r="B291" s="5" t="inlineStr">
        <is>
          <t>Mejorar flujo de atención en todos los niveles de servicio al estudiante (ANS)</t>
        </is>
      </c>
      <c r="C291" s="5" t="inlineStr">
        <is>
          <t>Servicio</t>
        </is>
      </c>
      <c r="D291" s="5" t="inlineStr">
        <is>
          <t>Semestral</t>
        </is>
      </c>
      <c r="E291" s="5" t="inlineStr">
        <is>
          <t>Positivo</t>
        </is>
      </c>
      <c r="F291" s="107" t="n">
        <v>44742</v>
      </c>
      <c r="G291" s="5" t="n">
        <v>2022</v>
      </c>
      <c r="H291" s="5" t="inlineStr">
        <is>
          <t>Junio</t>
        </is>
      </c>
      <c r="I291" s="6" t="inlineStr">
        <is>
          <t>2022-1</t>
        </is>
      </c>
      <c r="J291" s="5" t="n">
        <v>76</v>
      </c>
      <c r="K291" s="5" t="n">
        <v>91.8</v>
      </c>
      <c r="L291" s="74">
        <f>IFERROR(IF(OR(J291=0,K291=""),"",IF(E291="Positivo",MIN(MAX(K291/J291,0),1.3),MIN(MAX(J291/K291,0),1.3))),"") </f>
        <v/>
      </c>
      <c r="M291" s="14">
        <f>IFERROR(IF(OR(J291=0,K291=""),"",IF(E291="Positivo",MAX(K291/J291,0),MAX(J291/K291,0))),"") </f>
        <v/>
      </c>
      <c r="N291" s="5" t="inlineStr">
        <is>
          <t>%</t>
        </is>
      </c>
      <c r="O291" s="5" t="inlineStr">
        <is>
          <t>%</t>
        </is>
      </c>
      <c r="P291" s="5" t="n">
        <v>1</v>
      </c>
      <c r="Q291" s="5" t="n">
        <v>1</v>
      </c>
      <c r="R291" s="5" t="inlineStr">
        <is>
          <t>193-2022-06-30</t>
        </is>
      </c>
    </row>
    <row r="292">
      <c r="A292" s="5" t="n">
        <v>193</v>
      </c>
      <c r="B292" s="5" t="inlineStr">
        <is>
          <t>Mejorar flujo de atención en todos los niveles de servicio al estudiante (ANS)</t>
        </is>
      </c>
      <c r="C292" s="5" t="inlineStr">
        <is>
          <t>Servicio</t>
        </is>
      </c>
      <c r="D292" s="5" t="inlineStr">
        <is>
          <t>Semestral</t>
        </is>
      </c>
      <c r="E292" s="5" t="inlineStr">
        <is>
          <t>Positivo</t>
        </is>
      </c>
      <c r="F292" s="107" t="n">
        <v>44926</v>
      </c>
      <c r="G292" s="5" t="n">
        <v>2022</v>
      </c>
      <c r="H292" s="5" t="inlineStr">
        <is>
          <t>Diciembre</t>
        </is>
      </c>
      <c r="I292" s="6" t="inlineStr">
        <is>
          <t>2022-2</t>
        </is>
      </c>
      <c r="J292" s="5" t="n">
        <v>76</v>
      </c>
      <c r="K292" s="5" t="n">
        <v>92.40000000000001</v>
      </c>
      <c r="L292" s="14">
        <f>IFERROR(IF(OR(J292=0,K292=""),"",IF(E292="Positivo",MIN(MAX(K292/J292,0),1.3),MIN(MAX(J292/K292,0),1.3))),"") </f>
        <v/>
      </c>
      <c r="M292" s="14">
        <f>IFERROR(IF(OR(J292=0,K292=""),"",IF(E292="Positivo",MAX(K292/J292,0),MAX(J292/K292,0))),"") </f>
        <v/>
      </c>
      <c r="N292" s="5" t="inlineStr">
        <is>
          <t>%</t>
        </is>
      </c>
      <c r="O292" s="5" t="inlineStr">
        <is>
          <t>%</t>
        </is>
      </c>
      <c r="P292" s="5" t="n">
        <v>1</v>
      </c>
      <c r="Q292" s="5" t="n">
        <v>1</v>
      </c>
      <c r="R292" s="5" t="inlineStr">
        <is>
          <t>193-2022-12-31</t>
        </is>
      </c>
    </row>
    <row r="293">
      <c r="A293" s="26" t="n">
        <v>193</v>
      </c>
      <c r="B293" s="5" t="inlineStr">
        <is>
          <t>Mejorar flujo de atención en todos los niveles de servicio al estudiante (ANS)</t>
        </is>
      </c>
      <c r="C293" s="5" t="inlineStr">
        <is>
          <t>Servicio</t>
        </is>
      </c>
      <c r="D293" s="5" t="inlineStr">
        <is>
          <t>Semestral</t>
        </is>
      </c>
      <c r="E293" s="5" t="inlineStr">
        <is>
          <t>Positivo</t>
        </is>
      </c>
      <c r="F293" s="107" t="n">
        <v>45107</v>
      </c>
      <c r="G293" s="5" t="n">
        <v>2023</v>
      </c>
      <c r="H293" s="5" t="inlineStr">
        <is>
          <t>Junio</t>
        </is>
      </c>
      <c r="I293" s="6" t="inlineStr">
        <is>
          <t>2023-1</t>
        </is>
      </c>
      <c r="J293" s="5" t="n">
        <v>92</v>
      </c>
      <c r="K293" s="5" t="n">
        <v>91.899679829242</v>
      </c>
      <c r="L293" s="74">
        <f>IFERROR(IF(OR(J293=0,K293=""),"",IF(E293="Positivo",MIN(MAX(K293/J293,0),1.3),MIN(MAX(J293/K293,0),1.3))),"") </f>
        <v/>
      </c>
      <c r="M293" s="14">
        <f>IFERROR(IF(OR(J293=0,K293=""),"",IF(E293="Positivo",MAX(K293/J293,0),MAX(J293/K293,0))),"") </f>
        <v/>
      </c>
      <c r="N293" s="5" t="inlineStr">
        <is>
          <t>%</t>
        </is>
      </c>
      <c r="O293" s="5" t="inlineStr">
        <is>
          <t>%</t>
        </is>
      </c>
      <c r="P293" s="5" t="n">
        <v>1</v>
      </c>
      <c r="Q293" s="5" t="n">
        <v>1</v>
      </c>
      <c r="R293" s="5" t="inlineStr">
        <is>
          <t>193-2023-06-30</t>
        </is>
      </c>
    </row>
    <row r="294">
      <c r="A294" s="26" t="n">
        <v>193</v>
      </c>
      <c r="B294" s="5" t="inlineStr">
        <is>
          <t>Mejorar flujo de atención en todos los niveles de servicio al estudiante (ANS)</t>
        </is>
      </c>
      <c r="C294" s="5" t="inlineStr">
        <is>
          <t>Servicio</t>
        </is>
      </c>
      <c r="D294" s="5" t="inlineStr">
        <is>
          <t>Semestral</t>
        </is>
      </c>
      <c r="E294" s="5" t="inlineStr">
        <is>
          <t>Positivo</t>
        </is>
      </c>
      <c r="F294" s="107" t="n">
        <v>45291</v>
      </c>
      <c r="G294" s="5" t="n">
        <v>2023</v>
      </c>
      <c r="H294" s="5" t="inlineStr">
        <is>
          <t>Diciembre</t>
        </is>
      </c>
      <c r="I294" s="6" t="inlineStr">
        <is>
          <t>2023-2</t>
        </is>
      </c>
      <c r="J294" s="5" t="n">
        <v>92</v>
      </c>
      <c r="K294" s="5" t="n">
        <v>91.3</v>
      </c>
      <c r="L294" s="74">
        <f>IFERROR(IF(OR(J294=0,K294=""),"",IF(E294="Positivo",MIN(MAX(K294/J294,0),1.3),MIN(MAX(J294/K294,0),1.3))),"") </f>
        <v/>
      </c>
      <c r="M294" s="14">
        <f>IFERROR(IF(OR(J294=0,K294=""),"",IF(E294="Positivo",MAX(K294/J294,0),MAX(J294/K294,0))),"") </f>
        <v/>
      </c>
      <c r="N294" s="5" t="inlineStr">
        <is>
          <t>%</t>
        </is>
      </c>
      <c r="O294" s="5" t="inlineStr">
        <is>
          <t>%</t>
        </is>
      </c>
      <c r="P294" s="5" t="n">
        <v>1</v>
      </c>
      <c r="Q294" s="5" t="n">
        <v>1</v>
      </c>
      <c r="R294" s="5" t="inlineStr">
        <is>
          <t>193-2023-12-31</t>
        </is>
      </c>
    </row>
    <row r="295">
      <c r="A295" s="26" t="n">
        <v>193</v>
      </c>
      <c r="B295" s="5" t="inlineStr">
        <is>
          <t>Mejorar flujo de atención en todos los niveles de servicio al estudiante (ANS)</t>
        </is>
      </c>
      <c r="C295" s="5" t="inlineStr">
        <is>
          <t>Servicio</t>
        </is>
      </c>
      <c r="D295" s="5" t="inlineStr">
        <is>
          <t>Semestral</t>
        </is>
      </c>
      <c r="E295" s="5" t="inlineStr">
        <is>
          <t>Positivo</t>
        </is>
      </c>
      <c r="F295" s="107" t="n">
        <v>45473</v>
      </c>
      <c r="G295" s="5" t="n">
        <v>2024</v>
      </c>
      <c r="H295" s="5" t="inlineStr">
        <is>
          <t>Junio</t>
        </is>
      </c>
      <c r="I295" s="6" t="inlineStr">
        <is>
          <t>2024-1</t>
        </is>
      </c>
      <c r="J295" s="5" t="n">
        <v>90</v>
      </c>
      <c r="K295" s="5" t="n">
        <v>91.7002307620256</v>
      </c>
      <c r="L295" s="74">
        <f>IFERROR(IF(OR(J295=0,K295=""),"",IF(E295="Positivo",MIN(MAX(K295/J295,0),1.3),MIN(MAX(J295/K295,0),1.3))),"") </f>
        <v/>
      </c>
      <c r="M295" s="14">
        <f>IFERROR(IF(OR(J295=0,K295=""),"",IF(E295="Positivo",MAX(K295/J295,0),MAX(J295/K295,0))),"") </f>
        <v/>
      </c>
      <c r="N295" s="5" t="inlineStr">
        <is>
          <t>%</t>
        </is>
      </c>
      <c r="O295" s="5" t="inlineStr">
        <is>
          <t>%</t>
        </is>
      </c>
      <c r="P295" s="5" t="n">
        <v>1</v>
      </c>
      <c r="Q295" s="5" t="n">
        <v>1</v>
      </c>
      <c r="R295" s="5" t="inlineStr">
        <is>
          <t>193-2024-06-30</t>
        </is>
      </c>
    </row>
    <row r="296">
      <c r="A296" s="26" t="n">
        <v>193</v>
      </c>
      <c r="B296" s="5" t="inlineStr">
        <is>
          <t>Mejorar flujo de atención en todos los niveles de servicio al estudiante (ANS)</t>
        </is>
      </c>
      <c r="C296" s="5" t="inlineStr">
        <is>
          <t>Servicio</t>
        </is>
      </c>
      <c r="D296" s="5" t="inlineStr">
        <is>
          <t>Semestral</t>
        </is>
      </c>
      <c r="E296" s="5" t="inlineStr">
        <is>
          <t>Positivo</t>
        </is>
      </c>
      <c r="F296" s="107" t="n">
        <v>45657</v>
      </c>
      <c r="G296" s="5" t="n">
        <v>2024</v>
      </c>
      <c r="H296" s="5" t="inlineStr">
        <is>
          <t>Diciembre</t>
        </is>
      </c>
      <c r="I296" s="6" t="inlineStr">
        <is>
          <t>2024-2</t>
        </is>
      </c>
      <c r="J296" s="5" t="n">
        <v>90</v>
      </c>
      <c r="K296" s="5" t="n">
        <v>93.5</v>
      </c>
      <c r="L296" s="74">
        <f>IFERROR(IF(OR(J296=0,K296=""),"",IF(E296="Positivo",MIN(MAX(K296/J296,0),1.3),MIN(MAX(J296/K296,0),1.3))),"") </f>
        <v/>
      </c>
      <c r="M296" s="14">
        <f>IFERROR(IF(OR(J296=0,K296=""),"",IF(E296="Positivo",MAX(K296/J296,0),MAX(J296/K296,0))),"") </f>
        <v/>
      </c>
      <c r="N296" s="5" t="n"/>
      <c r="O296" s="5" t="n"/>
      <c r="P296" s="5" t="n">
        <v>0</v>
      </c>
      <c r="Q296" s="5" t="n">
        <v>0</v>
      </c>
      <c r="R296" s="5" t="inlineStr">
        <is>
          <t>193-2024-12-31</t>
        </is>
      </c>
    </row>
    <row r="297">
      <c r="A297" s="26" t="n">
        <v>193</v>
      </c>
      <c r="B297" s="5" t="inlineStr">
        <is>
          <t>Mejorar flujo de atención en todos los niveles de servicio al estudiante (ANS)</t>
        </is>
      </c>
      <c r="C297" s="5" t="inlineStr">
        <is>
          <t>Servicio</t>
        </is>
      </c>
      <c r="D297" s="5" t="inlineStr">
        <is>
          <t>Semestral</t>
        </is>
      </c>
      <c r="E297" s="5" t="inlineStr">
        <is>
          <t>Positivo</t>
        </is>
      </c>
      <c r="F297" s="107" t="n">
        <v>45838</v>
      </c>
      <c r="G297" s="5" t="n">
        <v>2025</v>
      </c>
      <c r="H297" s="5" t="inlineStr">
        <is>
          <t>Junio</t>
        </is>
      </c>
      <c r="I297" s="6" t="inlineStr">
        <is>
          <t>2025-1</t>
        </is>
      </c>
      <c r="J297" s="5" t="n">
        <v>93</v>
      </c>
      <c r="K297" s="5" t="n">
        <v>96.20999999999999</v>
      </c>
      <c r="L297" s="74">
        <f>IFERROR(IF(OR(J297=0,K297=""),"",IF(E297="Positivo",MIN(MAX(K297/J297,0),1.3),MIN(MAX(J297/K297,0),1.3))),"") </f>
        <v/>
      </c>
      <c r="M297" s="14">
        <f>IFERROR(IF(OR(J297=0,K297=""),"",IF(E297="Positivo",MAX(K297/J297,0),MAX(J297/K297,0))),"") </f>
        <v/>
      </c>
      <c r="N297" s="5" t="inlineStr">
        <is>
          <t>%</t>
        </is>
      </c>
      <c r="O297" s="5" t="inlineStr">
        <is>
          <t>%</t>
        </is>
      </c>
      <c r="P297" s="5" t="n">
        <v>0</v>
      </c>
      <c r="Q297" s="5" t="n">
        <v>0</v>
      </c>
      <c r="R297" s="5" t="inlineStr">
        <is>
          <t>193-2025-06-30</t>
        </is>
      </c>
    </row>
    <row r="298">
      <c r="A298" s="26" t="n">
        <v>193</v>
      </c>
      <c r="B298" s="5" t="inlineStr">
        <is>
          <t>Porcentaje de Cumplimiento del Acuerdo de Nivel de Servicio (ANS)</t>
        </is>
      </c>
      <c r="C298" s="5" t="inlineStr">
        <is>
          <t>Servicio</t>
        </is>
      </c>
      <c r="D298" s="5" t="inlineStr">
        <is>
          <t>Trimestral</t>
        </is>
      </c>
      <c r="E298" s="5" t="inlineStr">
        <is>
          <t>Positivo</t>
        </is>
      </c>
      <c r="F298" s="107" t="n">
        <v>46022</v>
      </c>
      <c r="G298" s="5" t="n">
        <v>2025</v>
      </c>
      <c r="H298" s="5" t="inlineStr">
        <is>
          <t>Diciembre</t>
        </is>
      </c>
      <c r="I298" s="6" t="inlineStr">
        <is>
          <t>2025-2</t>
        </is>
      </c>
      <c r="J298" s="5" t="n">
        <v>94</v>
      </c>
      <c r="K298" s="5" t="n">
        <v>95</v>
      </c>
      <c r="L298" s="74">
        <f>IFERROR(IF(OR(J298=0,K298=""),"",IF(E298="Positivo",MIN(MAX(K298/J298,0),1.3),MIN(MAX(J298/K298,0),1.3))),"") </f>
        <v/>
      </c>
      <c r="M298" s="14">
        <f>IFERROR(IF(OR(J298=0,K298=""),"",IF(E298="Positivo",MAX(K298/J298,0),MAX(J298/K298,0))),"") </f>
        <v/>
      </c>
      <c r="N298" s="5" t="inlineStr">
        <is>
          <t>%</t>
        </is>
      </c>
      <c r="O298" s="5" t="inlineStr">
        <is>
          <t>%</t>
        </is>
      </c>
      <c r="P298" s="5" t="n">
        <v>1</v>
      </c>
      <c r="Q298" s="5" t="n">
        <v>1</v>
      </c>
      <c r="R298" s="5" t="inlineStr">
        <is>
          <t>193-2025-12-31</t>
        </is>
      </c>
    </row>
    <row r="299">
      <c r="A299" s="5" t="n">
        <v>194</v>
      </c>
      <c r="B299" s="5" t="inlineStr">
        <is>
          <t>Índice de satisfacción del estudiante (SSI)</t>
        </is>
      </c>
      <c r="C299" s="5" t="inlineStr">
        <is>
          <t>Servicio</t>
        </is>
      </c>
      <c r="D299" s="5" t="inlineStr">
        <is>
          <t>Semestral</t>
        </is>
      </c>
      <c r="E299" s="5" t="inlineStr">
        <is>
          <t>Positivo</t>
        </is>
      </c>
      <c r="F299" s="107" t="n">
        <v>44742</v>
      </c>
      <c r="G299" s="15" t="n">
        <v>2022</v>
      </c>
      <c r="H299" s="6" t="inlineStr">
        <is>
          <t>Junio</t>
        </is>
      </c>
      <c r="I299" s="6" t="inlineStr">
        <is>
          <t>2022-1</t>
        </is>
      </c>
      <c r="J299" s="5" t="n">
        <v>73</v>
      </c>
      <c r="K299" s="5" t="n">
        <v>83.26000000000001</v>
      </c>
      <c r="L299" s="74">
        <f>IFERROR(IF(OR(J299=0,K299=""),"",IF(E299="Positivo",MIN(MAX(K299/J299,0),1.3),MIN(MAX(J299/K299,0),1.3))),"") </f>
        <v/>
      </c>
      <c r="M299" s="14">
        <f>IFERROR(IF(OR(J299=0,K299=""),"",IF(E299="Positivo",MAX(K299/J299,0),MAX(J299/K299,0))),"") </f>
        <v/>
      </c>
      <c r="N299" s="5" t="inlineStr">
        <is>
          <t>%</t>
        </is>
      </c>
      <c r="O299" s="5" t="inlineStr">
        <is>
          <t>%</t>
        </is>
      </c>
      <c r="P299" s="5" t="n">
        <v>0</v>
      </c>
      <c r="Q299" s="5" t="n">
        <v>0</v>
      </c>
      <c r="R299" s="5" t="inlineStr">
        <is>
          <t>194-2022-06-30</t>
        </is>
      </c>
    </row>
    <row r="300">
      <c r="A300" s="5" t="n">
        <v>194</v>
      </c>
      <c r="B300" s="5" t="inlineStr">
        <is>
          <t>Índice de satisfacción del estudiante (SSI)</t>
        </is>
      </c>
      <c r="C300" s="5" t="inlineStr">
        <is>
          <t>Servicio</t>
        </is>
      </c>
      <c r="D300" s="5" t="inlineStr">
        <is>
          <t>Semestral</t>
        </is>
      </c>
      <c r="E300" s="5" t="inlineStr">
        <is>
          <t>Positivo</t>
        </is>
      </c>
      <c r="F300" s="107" t="n">
        <v>44926</v>
      </c>
      <c r="G300" s="15" t="n">
        <v>2022</v>
      </c>
      <c r="H300" s="6" t="inlineStr">
        <is>
          <t>Diciembre</t>
        </is>
      </c>
      <c r="I300" s="6" t="inlineStr">
        <is>
          <t>2022-2</t>
        </is>
      </c>
      <c r="J300" s="5" t="n">
        <v>73</v>
      </c>
      <c r="K300" s="5" t="n">
        <v>83.11</v>
      </c>
      <c r="L300" s="74">
        <f>IFERROR(IF(OR(J300=0,K300=""),"",IF(E300="Positivo",MIN(MAX(K300/J300,0),1.3),MIN(MAX(J300/K300,0),1.3))),"") </f>
        <v/>
      </c>
      <c r="M300" s="14">
        <f>IFERROR(IF(OR(J300=0,K300=""),"",IF(E300="Positivo",MAX(K300/J300,0),MAX(J300/K300,0))),"") </f>
        <v/>
      </c>
      <c r="N300" s="5" t="inlineStr">
        <is>
          <t>%</t>
        </is>
      </c>
      <c r="O300" s="5" t="inlineStr">
        <is>
          <t>%</t>
        </is>
      </c>
      <c r="P300" s="5" t="n">
        <v>0</v>
      </c>
      <c r="Q300" s="5" t="n">
        <v>0</v>
      </c>
      <c r="R300" s="5" t="inlineStr">
        <is>
          <t>194-2022-12-31</t>
        </is>
      </c>
    </row>
    <row r="301">
      <c r="A301" s="5" t="n">
        <v>194</v>
      </c>
      <c r="B301" s="5" t="inlineStr">
        <is>
          <t>Índice de satisfacción del estudiante (SSI)</t>
        </is>
      </c>
      <c r="C301" s="5" t="inlineStr">
        <is>
          <t>Servicio</t>
        </is>
      </c>
      <c r="D301" s="5" t="inlineStr">
        <is>
          <t>Semestral</t>
        </is>
      </c>
      <c r="E301" s="5" t="inlineStr">
        <is>
          <t>Positivo</t>
        </is>
      </c>
      <c r="F301" s="107" t="n">
        <v>45107</v>
      </c>
      <c r="G301" s="15" t="n">
        <v>2023</v>
      </c>
      <c r="H301" s="6" t="inlineStr">
        <is>
          <t>Junio</t>
        </is>
      </c>
      <c r="I301" s="6" t="inlineStr">
        <is>
          <t>2023-1</t>
        </is>
      </c>
      <c r="J301" s="5" t="n">
        <v>80</v>
      </c>
      <c r="K301" s="5" t="n">
        <v>79.18000000000001</v>
      </c>
      <c r="L301" s="74">
        <f>IFERROR(IF(OR(J301=0,K301=""),"",IF(E301="Positivo",MIN(MAX(K301/J301,0),1.3),MIN(MAX(J301/K301,0),1.3))),"") </f>
        <v/>
      </c>
      <c r="M301" s="14">
        <f>IFERROR(IF(OR(J301=0,K301=""),"",IF(E301="Positivo",MAX(K301/J301,0),MAX(J301/K301,0))),"") </f>
        <v/>
      </c>
      <c r="N301" s="5" t="inlineStr">
        <is>
          <t>%</t>
        </is>
      </c>
      <c r="O301" s="5" t="inlineStr">
        <is>
          <t>%</t>
        </is>
      </c>
      <c r="P301" s="5" t="n">
        <v>0</v>
      </c>
      <c r="Q301" s="5" t="n">
        <v>0</v>
      </c>
      <c r="R301" s="5" t="inlineStr">
        <is>
          <t>194-2023-06-30</t>
        </is>
      </c>
    </row>
    <row r="302">
      <c r="A302" s="26" t="n">
        <v>194</v>
      </c>
      <c r="B302" s="5" t="inlineStr">
        <is>
          <t>Índice de satisfacción del estudiante (SSI)</t>
        </is>
      </c>
      <c r="C302" s="5" t="inlineStr">
        <is>
          <t>Servicio</t>
        </is>
      </c>
      <c r="D302" s="5" t="inlineStr">
        <is>
          <t>Semestral</t>
        </is>
      </c>
      <c r="E302" s="5" t="inlineStr">
        <is>
          <t>Positivo</t>
        </is>
      </c>
      <c r="F302" s="107" t="n">
        <v>45291</v>
      </c>
      <c r="G302" s="5" t="n">
        <v>2023</v>
      </c>
      <c r="H302" s="5" t="inlineStr">
        <is>
          <t>Diciembre</t>
        </is>
      </c>
      <c r="I302" s="6" t="inlineStr">
        <is>
          <t>2023-2</t>
        </is>
      </c>
      <c r="J302" s="5" t="n">
        <v>80</v>
      </c>
      <c r="K302" s="5" t="n">
        <v>81.91</v>
      </c>
      <c r="L302" s="74">
        <f>IFERROR(IF(OR(J302=0,K302=""),"",IF(E302="Positivo",MIN(MAX(K302/J302,0),1.3),MIN(MAX(J302/K302,0),1.3))),"") </f>
        <v/>
      </c>
      <c r="M302" s="14">
        <f>IFERROR(IF(OR(J302=0,K302=""),"",IF(E302="Positivo",MAX(K302/J302,0),MAX(J302/K302,0))),"") </f>
        <v/>
      </c>
      <c r="N302" s="5" t="inlineStr">
        <is>
          <t>%</t>
        </is>
      </c>
      <c r="O302" s="5" t="inlineStr">
        <is>
          <t>%</t>
        </is>
      </c>
      <c r="P302" s="5" t="n">
        <v>0</v>
      </c>
      <c r="Q302" s="5" t="n">
        <v>0</v>
      </c>
      <c r="R302" s="5" t="inlineStr">
        <is>
          <t>194-2023-12-31</t>
        </is>
      </c>
    </row>
    <row r="303">
      <c r="A303" s="26" t="n">
        <v>194</v>
      </c>
      <c r="B303" s="5" t="inlineStr">
        <is>
          <t>Índice de satisfacción del estudiante (SSI)</t>
        </is>
      </c>
      <c r="C303" s="5" t="inlineStr">
        <is>
          <t>Servicio</t>
        </is>
      </c>
      <c r="D303" s="5" t="inlineStr">
        <is>
          <t>Semestral</t>
        </is>
      </c>
      <c r="E303" s="5" t="inlineStr">
        <is>
          <t>Positivo</t>
        </is>
      </c>
      <c r="F303" s="107" t="n">
        <v>45473</v>
      </c>
      <c r="G303" s="5" t="n">
        <v>2024</v>
      </c>
      <c r="H303" s="5" t="inlineStr">
        <is>
          <t>Junio</t>
        </is>
      </c>
      <c r="I303" s="6" t="inlineStr">
        <is>
          <t>2024-1</t>
        </is>
      </c>
      <c r="J303" s="5" t="n">
        <v>81</v>
      </c>
      <c r="K303" s="5" t="n">
        <v>83.01000000000001</v>
      </c>
      <c r="L303" s="74">
        <f>IFERROR(IF(OR(J303=0,K303=""),"",IF(E303="Positivo",MIN(MAX(K303/J303,0),1.3),MIN(MAX(J303/K303,0),1.3))),"") </f>
        <v/>
      </c>
      <c r="M303" s="14">
        <f>IFERROR(IF(OR(J303=0,K303=""),"",IF(E303="Positivo",MAX(K303/J303,0),MAX(J303/K303,0))),"") </f>
        <v/>
      </c>
      <c r="N303" s="5" t="inlineStr">
        <is>
          <t>%</t>
        </is>
      </c>
      <c r="O303" s="5" t="inlineStr">
        <is>
          <t>%</t>
        </is>
      </c>
      <c r="P303" s="5" t="n">
        <v>0</v>
      </c>
      <c r="Q303" s="5" t="n">
        <v>0</v>
      </c>
      <c r="R303" s="5" t="inlineStr">
        <is>
          <t>194-2024-06-30</t>
        </is>
      </c>
    </row>
    <row r="304">
      <c r="A304" s="26" t="n">
        <v>194</v>
      </c>
      <c r="B304" s="5" t="inlineStr">
        <is>
          <t>Índice de satisfacción del estudiante (SSI)</t>
        </is>
      </c>
      <c r="C304" s="5" t="inlineStr">
        <is>
          <t>Servicio</t>
        </is>
      </c>
      <c r="D304" s="5" t="inlineStr">
        <is>
          <t>Semestral</t>
        </is>
      </c>
      <c r="E304" s="5" t="inlineStr">
        <is>
          <t>Positivo</t>
        </is>
      </c>
      <c r="F304" s="107" t="n">
        <v>45657</v>
      </c>
      <c r="G304" s="5" t="n">
        <v>2024</v>
      </c>
      <c r="H304" s="5" t="inlineStr">
        <is>
          <t>Diciembre</t>
        </is>
      </c>
      <c r="I304" s="6" t="inlineStr">
        <is>
          <t>2024-2</t>
        </is>
      </c>
      <c r="J304" s="5" t="n">
        <v>80</v>
      </c>
      <c r="K304" s="5" t="n">
        <v>89</v>
      </c>
      <c r="L304" s="74">
        <f>IFERROR(IF(OR(J304=0,K304=""),"",IF(E304="Positivo",MIN(MAX(K304/J304,0),1.3),MIN(MAX(J304/K304,0),1.3))),"") </f>
        <v/>
      </c>
      <c r="M304" s="14">
        <f>IFERROR(IF(OR(J304=0,K304=""),"",IF(E304="Positivo",MAX(K304/J304,0),MAX(J304/K304,0))),"") </f>
        <v/>
      </c>
      <c r="N304" s="5" t="inlineStr">
        <is>
          <t>%</t>
        </is>
      </c>
      <c r="O304" s="5" t="inlineStr">
        <is>
          <t>%</t>
        </is>
      </c>
      <c r="P304" s="5" t="n">
        <v>0</v>
      </c>
      <c r="Q304" s="5" t="n">
        <v>0</v>
      </c>
      <c r="R304" s="5" t="inlineStr">
        <is>
          <t>194-2024-12-31</t>
        </is>
      </c>
    </row>
    <row r="305">
      <c r="A305" s="5" t="n">
        <v>196</v>
      </c>
      <c r="B305" s="5" t="inlineStr">
        <is>
          <t>(% de solicitudes procesos Pareto)</t>
        </is>
      </c>
      <c r="C305" s="5" t="inlineStr">
        <is>
          <t>Servicio</t>
        </is>
      </c>
      <c r="D305" s="5" t="inlineStr">
        <is>
          <t>Semestral</t>
        </is>
      </c>
      <c r="E305" s="5" t="inlineStr">
        <is>
          <t>Negativo</t>
        </is>
      </c>
      <c r="F305" s="107" t="n">
        <v>45107</v>
      </c>
      <c r="G305" s="5" t="n">
        <v>2023</v>
      </c>
      <c r="H305" s="5" t="inlineStr">
        <is>
          <t>Junio</t>
        </is>
      </c>
      <c r="I305" s="6" t="inlineStr">
        <is>
          <t>2023-1</t>
        </is>
      </c>
      <c r="J305" s="5" t="n">
        <v>37</v>
      </c>
      <c r="K305" s="5" t="n">
        <v>34.41</v>
      </c>
      <c r="L305" s="14">
        <f>IFERROR(IF(OR(J305=0,K305=""),"",IF(E305="Positivo",MIN(MAX(K305/J305,0),1.3),MIN(MAX(J305/K305,0),1.3))),"") </f>
        <v/>
      </c>
      <c r="M305" s="14">
        <f>IFERROR(IF(OR(J305=0,K305=""),"",IF(E305="Positivo",MAX(K305/J305,0),MAX(J305/K305,0))),"") </f>
        <v/>
      </c>
      <c r="N305" s="5" t="inlineStr">
        <is>
          <t>%</t>
        </is>
      </c>
      <c r="O305" s="5" t="inlineStr">
        <is>
          <t>%</t>
        </is>
      </c>
      <c r="P305" s="5" t="n">
        <v>0</v>
      </c>
      <c r="Q305" s="5" t="n">
        <v>0</v>
      </c>
      <c r="R305" s="5" t="inlineStr">
        <is>
          <t>196-2023-06-30</t>
        </is>
      </c>
    </row>
    <row r="306">
      <c r="A306" s="5" t="n">
        <v>196</v>
      </c>
      <c r="B306" s="5" t="inlineStr">
        <is>
          <t>(% de solicitudes procesos Pareto)</t>
        </is>
      </c>
      <c r="C306" s="5" t="inlineStr">
        <is>
          <t>Servicio</t>
        </is>
      </c>
      <c r="D306" s="5" t="inlineStr">
        <is>
          <t>Semestral</t>
        </is>
      </c>
      <c r="E306" s="5" t="inlineStr">
        <is>
          <t>Negativo</t>
        </is>
      </c>
      <c r="F306" s="107" t="n">
        <v>45291</v>
      </c>
      <c r="G306" s="5" t="n">
        <v>2023</v>
      </c>
      <c r="H306" s="5" t="inlineStr">
        <is>
          <t>Diciembre</t>
        </is>
      </c>
      <c r="I306" s="6" t="inlineStr">
        <is>
          <t>2023-2</t>
        </is>
      </c>
      <c r="J306" s="5" t="n">
        <v>37</v>
      </c>
      <c r="K306" s="5" t="n">
        <v>26.62</v>
      </c>
      <c r="L306" s="14">
        <f>IFERROR(IF(OR(J306=0,K306=""),"",IF(E306="Positivo",MIN(MAX(K306/J306,0),1.3),MIN(MAX(J306/K306,0),1.3))),"") </f>
        <v/>
      </c>
      <c r="M306" s="14">
        <f>IFERROR(IF(OR(J306=0,K306=""),"",IF(E306="Positivo",MAX(K306/J306,0),MAX(J306/K306,0))),"") </f>
        <v/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 t="inlineStr">
        <is>
          <t>196-2023-12-31</t>
        </is>
      </c>
    </row>
    <row r="307">
      <c r="A307" s="26" t="n">
        <v>197</v>
      </c>
      <c r="B307" s="5" t="inlineStr">
        <is>
          <t>Cumplimiento cronograma Mantenimiento de Equipos</t>
        </is>
      </c>
      <c r="C307" s="5" t="inlineStr">
        <is>
          <t>Gestión Infraestructura Física</t>
        </is>
      </c>
      <c r="D307" s="5" t="inlineStr">
        <is>
          <t>Semestral</t>
        </is>
      </c>
      <c r="E307" s="5" t="inlineStr">
        <is>
          <t>Positivo</t>
        </is>
      </c>
      <c r="F307" s="107" t="n">
        <v>44742</v>
      </c>
      <c r="G307" s="5" t="n">
        <v>2022</v>
      </c>
      <c r="H307" s="5" t="inlineStr">
        <is>
          <t>Junio</t>
        </is>
      </c>
      <c r="I307" s="6" t="inlineStr">
        <is>
          <t>2022-1</t>
        </is>
      </c>
      <c r="J307" s="5" t="n">
        <v>85</v>
      </c>
      <c r="K307" s="5" t="n"/>
      <c r="L307" s="74" t="n"/>
      <c r="M307" s="14" t="n"/>
      <c r="N307" s="5" t="inlineStr">
        <is>
          <t>%</t>
        </is>
      </c>
      <c r="O307" s="5" t="inlineStr">
        <is>
          <t>No Aplica</t>
        </is>
      </c>
      <c r="P307" s="5" t="n">
        <v>0</v>
      </c>
      <c r="Q307" s="5" t="n">
        <v>0</v>
      </c>
      <c r="R307" s="5" t="inlineStr">
        <is>
          <t>197-2022-06-30</t>
        </is>
      </c>
      <c r="S307" t="inlineStr">
        <is>
          <t>No Aplica</t>
        </is>
      </c>
    </row>
    <row r="308">
      <c r="A308" s="5" t="n">
        <v>197</v>
      </c>
      <c r="B308" s="5" t="inlineStr">
        <is>
          <t>Cumplimiento cronograma Mantenimiento de Equipos</t>
        </is>
      </c>
      <c r="C308" s="5" t="inlineStr">
        <is>
          <t>Gestión Infraestructura Física</t>
        </is>
      </c>
      <c r="D308" s="5" t="inlineStr">
        <is>
          <t>Semestral</t>
        </is>
      </c>
      <c r="E308" s="5" t="inlineStr">
        <is>
          <t>Positivo</t>
        </is>
      </c>
      <c r="F308" s="107" t="n">
        <v>44926</v>
      </c>
      <c r="G308" s="5" t="n">
        <v>2022</v>
      </c>
      <c r="H308" s="5" t="inlineStr">
        <is>
          <t>Diciembre</t>
        </is>
      </c>
      <c r="I308" s="6" t="inlineStr">
        <is>
          <t>2022-2</t>
        </is>
      </c>
      <c r="J308" s="5" t="n">
        <v>90</v>
      </c>
      <c r="K308" s="5" t="n">
        <v>100</v>
      </c>
      <c r="L308" s="14">
        <f>IFERROR(IF(OR(J308=0,K308=""),"",IF(E308="Positivo",MIN(MAX(K308/J308,0),1.3),MIN(MAX(J308/K308,0),1.3))),"") </f>
        <v/>
      </c>
      <c r="M308" s="14">
        <f>IFERROR(IF(OR(J308=0,K308=""),"",IF(E308="Positivo",MAX(K308/J308,0),MAX(J308/K308,0))),"") </f>
        <v/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197-2022-12-31</t>
        </is>
      </c>
    </row>
    <row r="309">
      <c r="A309" s="26" t="n">
        <v>197</v>
      </c>
      <c r="B309" s="5" t="inlineStr">
        <is>
          <t>Cumplimiento cronograma Mantenimiento de Equipos</t>
        </is>
      </c>
      <c r="C309" s="5" t="inlineStr">
        <is>
          <t>Gestión Infraestructura Física</t>
        </is>
      </c>
      <c r="D309" s="5" t="inlineStr">
        <is>
          <t>Trimestral</t>
        </is>
      </c>
      <c r="E309" s="5" t="inlineStr">
        <is>
          <t>Positivo</t>
        </is>
      </c>
      <c r="F309" s="107" t="n">
        <v>45107</v>
      </c>
      <c r="G309" s="5" t="n">
        <v>2023</v>
      </c>
      <c r="H309" s="5" t="inlineStr">
        <is>
          <t>Junio</t>
        </is>
      </c>
      <c r="I309" s="6" t="inlineStr">
        <is>
          <t>2023-1</t>
        </is>
      </c>
      <c r="J309" s="5" t="n">
        <v>90</v>
      </c>
      <c r="K309" s="5" t="n">
        <v>100</v>
      </c>
      <c r="L309" s="14">
        <f>IFERROR(IF(OR(J309=0,K309=""),"",IF(E309="Positivo",MIN(MAX(K309/J309,0),1.3),MIN(MAX(J309/K309,0),1.3))),"") </f>
        <v/>
      </c>
      <c r="M309" s="14">
        <f>IFERROR(IF(OR(J309=0,K309=""),"",IF(E309="Positivo",MAX(K309/J309,0),MAX(J309/K309,0))),"") </f>
        <v/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197-2023-06-30</t>
        </is>
      </c>
    </row>
    <row r="310">
      <c r="A310" s="5" t="n">
        <v>197</v>
      </c>
      <c r="B310" s="5" t="inlineStr">
        <is>
          <t>Cumplimiento cronograma Mantenimiento de Equipos</t>
        </is>
      </c>
      <c r="C310" s="5" t="inlineStr">
        <is>
          <t>Gestión Infraestructura Física</t>
        </is>
      </c>
      <c r="D310" s="5" t="inlineStr">
        <is>
          <t>Trimestral</t>
        </is>
      </c>
      <c r="E310" s="5" t="inlineStr">
        <is>
          <t>Positivo</t>
        </is>
      </c>
      <c r="F310" s="107" t="n">
        <v>45291</v>
      </c>
      <c r="G310" s="5" t="n">
        <v>2023</v>
      </c>
      <c r="H310" s="5" t="inlineStr">
        <is>
          <t>Diciembre</t>
        </is>
      </c>
      <c r="I310" s="6" t="inlineStr">
        <is>
          <t>2023-2</t>
        </is>
      </c>
      <c r="J310" s="5" t="n">
        <v>90</v>
      </c>
      <c r="K310" s="5" t="n">
        <v>100</v>
      </c>
      <c r="L310" s="14">
        <f>IFERROR(IF(OR(J310=0,K310=""),"",IF(E310="Positivo",MIN(MAX(K310/J310,0),1.3),MIN(MAX(J310/K310,0),1.3))),"") </f>
        <v/>
      </c>
      <c r="M310" s="14">
        <f>IFERROR(IF(OR(J310=0,K310=""),"",IF(E310="Positivo",MAX(K310/J310,0),MAX(J310/K310,0))),"") </f>
        <v/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197-2023-12-31</t>
        </is>
      </c>
    </row>
    <row r="311">
      <c r="A311" s="26" t="n">
        <v>197</v>
      </c>
      <c r="B311" s="5" t="inlineStr">
        <is>
          <t>Cumplimiento cronograma Mantenimiento de Equipos</t>
        </is>
      </c>
      <c r="C311" s="5" t="inlineStr">
        <is>
          <t>Gestión Infraestructura Física</t>
        </is>
      </c>
      <c r="D311" s="5" t="inlineStr">
        <is>
          <t>Trimestral</t>
        </is>
      </c>
      <c r="E311" s="5" t="inlineStr">
        <is>
          <t>Positivo</t>
        </is>
      </c>
      <c r="F311" s="107" t="n">
        <v>45473</v>
      </c>
      <c r="G311" s="5" t="n">
        <v>2024</v>
      </c>
      <c r="H311" s="5" t="inlineStr">
        <is>
          <t>Junio</t>
        </is>
      </c>
      <c r="I311" s="6" t="inlineStr">
        <is>
          <t>2024-1</t>
        </is>
      </c>
      <c r="J311" s="5" t="n">
        <v>95</v>
      </c>
      <c r="K311" s="5" t="n">
        <v>100</v>
      </c>
      <c r="L311" s="14">
        <f>IFERROR(IF(OR(J311=0,K311=""),"",IF(E311="Positivo",MIN(MAX(K311/J311,0),1.3),MIN(MAX(J311/K311,0),1.3))),"") </f>
        <v/>
      </c>
      <c r="M311" s="14">
        <f>IFERROR(IF(OR(J311=0,K311=""),"",IF(E311="Positivo",MAX(K311/J311,0),MAX(J311/K311,0))),"") </f>
        <v/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197-2024-06-30</t>
        </is>
      </c>
    </row>
    <row r="312">
      <c r="A312" s="5" t="n">
        <v>197</v>
      </c>
      <c r="B312" s="5" t="inlineStr">
        <is>
          <t>Cumplimiento cronograma Mantenimiento de Equipos</t>
        </is>
      </c>
      <c r="C312" s="5" t="inlineStr">
        <is>
          <t>Gestión Infraestructura Física</t>
        </is>
      </c>
      <c r="D312" s="5" t="inlineStr">
        <is>
          <t>Trimestral</t>
        </is>
      </c>
      <c r="E312" s="5" t="inlineStr">
        <is>
          <t>Positivo</t>
        </is>
      </c>
      <c r="F312" s="107" t="n">
        <v>45657</v>
      </c>
      <c r="G312" s="5" t="n">
        <v>2024</v>
      </c>
      <c r="H312" s="5" t="inlineStr">
        <is>
          <t>Diciembre</t>
        </is>
      </c>
      <c r="I312" s="6" t="inlineStr">
        <is>
          <t>2024-2</t>
        </is>
      </c>
      <c r="J312" s="5" t="n">
        <v>95</v>
      </c>
      <c r="K312" s="5" t="n">
        <v>100</v>
      </c>
      <c r="L312" s="14">
        <f>IFERROR(IF(OR(J312=0,K312=""),"",IF(E312="Positivo",MIN(MAX(K312/J312,0),1.3),MIN(MAX(J312/K312,0),1.3))),"") </f>
        <v/>
      </c>
      <c r="M312" s="14">
        <f>IFERROR(IF(OR(J312=0,K312=""),"",IF(E312="Positivo",MAX(K312/J312,0),MAX(J312/K312,0))),"") </f>
        <v/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197-2024-12-31</t>
        </is>
      </c>
    </row>
    <row r="313">
      <c r="A313" s="28" t="n">
        <v>197</v>
      </c>
      <c r="B313" s="5" t="inlineStr">
        <is>
          <t>Cumplimiento cronograma Mantenimiento de Equipos</t>
        </is>
      </c>
      <c r="C313" s="5" t="inlineStr">
        <is>
          <t>Gestión Infraestructura Física</t>
        </is>
      </c>
      <c r="D313" s="5" t="inlineStr">
        <is>
          <t>Trimestral</t>
        </is>
      </c>
      <c r="E313" s="5" t="inlineStr">
        <is>
          <t>Positivo</t>
        </is>
      </c>
      <c r="F313" s="107" t="n">
        <v>45838</v>
      </c>
      <c r="G313" s="5" t="n">
        <v>2025</v>
      </c>
      <c r="H313" s="5" t="inlineStr">
        <is>
          <t>Junio</t>
        </is>
      </c>
      <c r="I313" s="6" t="inlineStr">
        <is>
          <t>2025-1</t>
        </is>
      </c>
      <c r="J313" s="5" t="n">
        <v>97</v>
      </c>
      <c r="K313" s="5" t="n">
        <v>98.215</v>
      </c>
      <c r="L313" s="74">
        <f>IFERROR(IF(OR(J313=0,K313=""),"",IF(E313="Positivo",MIN(MAX(K313/J313,0),1.3),MIN(MAX(J313/K313,0),1.3))),"") </f>
        <v/>
      </c>
      <c r="M313" s="14">
        <f>IFERROR(IF(OR(J313=0,K313=""),"",IF(E313="Positivo",MAX(K313/J313,0),MAX(J313/K313,0))),"") </f>
        <v/>
      </c>
      <c r="N313" s="5" t="inlineStr">
        <is>
          <t>%</t>
        </is>
      </c>
      <c r="O313" s="5" t="inlineStr">
        <is>
          <t>%</t>
        </is>
      </c>
      <c r="P313" s="5" t="n">
        <v>0</v>
      </c>
      <c r="Q313" s="5" t="n">
        <v>0</v>
      </c>
      <c r="R313" s="5" t="inlineStr">
        <is>
          <t>197-2025-06-30</t>
        </is>
      </c>
    </row>
    <row r="314">
      <c r="A314" s="26" t="n">
        <v>197</v>
      </c>
      <c r="B314" s="5" t="inlineStr">
        <is>
          <t>Cumplimiento cronograma Mantenimiento de Equipos</t>
        </is>
      </c>
      <c r="C314" s="5" t="inlineStr">
        <is>
          <t>Gestión Infraestructura Física</t>
        </is>
      </c>
      <c r="D314" s="5" t="inlineStr">
        <is>
          <t>Semestral</t>
        </is>
      </c>
      <c r="E314" s="5" t="inlineStr">
        <is>
          <t>Positivo</t>
        </is>
      </c>
      <c r="F314" s="107" t="n">
        <v>46022</v>
      </c>
      <c r="G314" s="5" t="n">
        <v>2025</v>
      </c>
      <c r="H314" s="5" t="inlineStr">
        <is>
          <t>Diciembre</t>
        </is>
      </c>
      <c r="I314" s="6" t="inlineStr">
        <is>
          <t>2025-2</t>
        </is>
      </c>
      <c r="J314" s="5" t="n">
        <v>97</v>
      </c>
      <c r="K314" s="5" t="n">
        <v>102</v>
      </c>
      <c r="L314" s="74">
        <f>IFERROR(IF(OR(J314=0,K314=""),"",IF(E314="Positivo",MIN(MAX(K314/J314,0),1.3),MIN(MAX(J314/K314,0),1.3))),"") </f>
        <v/>
      </c>
      <c r="M314" s="14">
        <f>IFERROR(IF(OR(J314=0,K314=""),"",IF(E314="Positivo",MAX(K314/J314,0),MAX(J314/K314,0))),"") </f>
        <v/>
      </c>
      <c r="N314" s="5" t="inlineStr">
        <is>
          <t>%</t>
        </is>
      </c>
      <c r="O314" s="5" t="inlineStr">
        <is>
          <t>%</t>
        </is>
      </c>
      <c r="P314" s="5" t="n">
        <v>0</v>
      </c>
      <c r="Q314" s="5" t="n">
        <v>0</v>
      </c>
      <c r="R314" s="5" t="inlineStr">
        <is>
          <t>197-2025-12-31</t>
        </is>
      </c>
    </row>
    <row r="315">
      <c r="A315" s="5" t="n">
        <v>199</v>
      </c>
      <c r="B315" s="5" t="inlineStr">
        <is>
          <t>Nivel de cumplimiento de eficacia las capacitaciones</t>
        </is>
      </c>
      <c r="C315" s="5" t="inlineStr">
        <is>
          <t>GESTIÓN Y DESARROLLO DEL TALENTO HUMANO</t>
        </is>
      </c>
      <c r="D315" s="5" t="inlineStr">
        <is>
          <t>Trimestral</t>
        </is>
      </c>
      <c r="E315" s="5" t="inlineStr">
        <is>
          <t>Positivo</t>
        </is>
      </c>
      <c r="F315" s="107" t="n">
        <v>44742</v>
      </c>
      <c r="G315" s="5" t="n">
        <v>2022</v>
      </c>
      <c r="H315" s="5" t="inlineStr">
        <is>
          <t>Junio</t>
        </is>
      </c>
      <c r="I315" s="6" t="inlineStr">
        <is>
          <t>2022-1</t>
        </is>
      </c>
      <c r="J315" s="5" t="n">
        <v>80</v>
      </c>
      <c r="K315" s="5" t="n"/>
      <c r="L315" s="14" t="n"/>
      <c r="M315" s="14" t="n"/>
      <c r="N315" s="5" t="inlineStr">
        <is>
          <t>%</t>
        </is>
      </c>
      <c r="O315" s="5" t="inlineStr">
        <is>
          <t>No Aplica</t>
        </is>
      </c>
      <c r="P315" s="5" t="n">
        <v>0</v>
      </c>
      <c r="Q315" s="5" t="n">
        <v>0</v>
      </c>
      <c r="R315" s="5" t="inlineStr">
        <is>
          <t>199-2022-06-30</t>
        </is>
      </c>
      <c r="S315" t="inlineStr">
        <is>
          <t>No Aplica</t>
        </is>
      </c>
    </row>
    <row r="316">
      <c r="A316" s="5" t="n">
        <v>199</v>
      </c>
      <c r="B316" s="5" t="inlineStr">
        <is>
          <t>Nivel de cumplimiento de eficacia las capacitaciones</t>
        </is>
      </c>
      <c r="C316" s="5" t="inlineStr">
        <is>
          <t>GESTIÓN Y DESARROLLO DEL TALENTO HUMANO</t>
        </is>
      </c>
      <c r="D316" s="5" t="inlineStr">
        <is>
          <t>Trimestral</t>
        </is>
      </c>
      <c r="E316" s="5" t="inlineStr">
        <is>
          <t>Positivo</t>
        </is>
      </c>
      <c r="F316" s="107" t="n">
        <v>44926</v>
      </c>
      <c r="G316" s="5" t="n">
        <v>2022</v>
      </c>
      <c r="H316" s="5" t="inlineStr">
        <is>
          <t>Diciembre</t>
        </is>
      </c>
      <c r="I316" s="6" t="inlineStr">
        <is>
          <t>2022-2</t>
        </is>
      </c>
      <c r="J316" s="5" t="n">
        <v>80</v>
      </c>
      <c r="K316" s="5" t="n"/>
      <c r="L316" s="14" t="n"/>
      <c r="M316" s="14" t="n"/>
      <c r="N316" s="5" t="inlineStr">
        <is>
          <t>%</t>
        </is>
      </c>
      <c r="O316" s="5" t="inlineStr">
        <is>
          <t>No Aplica</t>
        </is>
      </c>
      <c r="P316" s="5" t="n">
        <v>0</v>
      </c>
      <c r="Q316" s="5" t="n">
        <v>0</v>
      </c>
      <c r="R316" s="5" t="inlineStr">
        <is>
          <t>199-2022-12-31</t>
        </is>
      </c>
      <c r="S316" t="inlineStr">
        <is>
          <t>No Aplica</t>
        </is>
      </c>
    </row>
    <row r="317">
      <c r="A317" s="28" t="n">
        <v>199</v>
      </c>
      <c r="B317" s="5" t="inlineStr">
        <is>
          <t>Nivel de cumplimiento de eficacia las capacitaciones</t>
        </is>
      </c>
      <c r="C317" s="5" t="inlineStr">
        <is>
          <t>GESTIÓN Y DESARROLLO DEL TALENTO HUMANO</t>
        </is>
      </c>
      <c r="D317" s="5" t="inlineStr">
        <is>
          <t>Semestral</t>
        </is>
      </c>
      <c r="E317" s="5" t="inlineStr">
        <is>
          <t>Positivo</t>
        </is>
      </c>
      <c r="F317" s="107" t="n">
        <v>45107</v>
      </c>
      <c r="G317" s="5" t="n">
        <v>2023</v>
      </c>
      <c r="H317" s="5" t="inlineStr">
        <is>
          <t>Junio</t>
        </is>
      </c>
      <c r="I317" s="6" t="inlineStr">
        <is>
          <t>2023-1</t>
        </is>
      </c>
      <c r="J317" s="5" t="n">
        <v>95</v>
      </c>
      <c r="K317" s="5" t="n">
        <v>87.666666666667</v>
      </c>
      <c r="L317" s="74">
        <f>IFERROR(IF(OR(J317=0,K317=""),"",IF(E317="Positivo",MIN(MAX(K317/J317,0),1.3),MIN(MAX(J317/K317,0),1.3))),"") </f>
        <v/>
      </c>
      <c r="M317" s="14">
        <f>IFERROR(IF(OR(J317=0,K317=""),"",IF(E317="Positivo",MAX(K317/J317,0),MAX(J317/K317,0))),"") </f>
        <v/>
      </c>
      <c r="N317" s="5" t="inlineStr">
        <is>
          <t>%</t>
        </is>
      </c>
      <c r="O317" s="5" t="inlineStr">
        <is>
          <t>%</t>
        </is>
      </c>
      <c r="P317" s="5" t="n">
        <v>0</v>
      </c>
      <c r="Q317" s="5" t="n">
        <v>0</v>
      </c>
      <c r="R317" s="5" t="inlineStr">
        <is>
          <t>199-2023-06-30</t>
        </is>
      </c>
    </row>
    <row r="318">
      <c r="A318" s="26" t="n">
        <v>199</v>
      </c>
      <c r="B318" s="5" t="inlineStr">
        <is>
          <t>Nivel de cumplimiento de eficacia las capacitaciones</t>
        </is>
      </c>
      <c r="C318" s="5" t="inlineStr">
        <is>
          <t>GESTIÓN Y DESARROLLO DEL TALENTO HUMANO</t>
        </is>
      </c>
      <c r="D318" s="5" t="inlineStr">
        <is>
          <t>Semestral</t>
        </is>
      </c>
      <c r="E318" s="5" t="inlineStr">
        <is>
          <t>Positivo</t>
        </is>
      </c>
      <c r="F318" s="107" t="n">
        <v>45291</v>
      </c>
      <c r="G318" s="5" t="n">
        <v>2023</v>
      </c>
      <c r="H318" s="5" t="inlineStr">
        <is>
          <t>Diciembre</t>
        </is>
      </c>
      <c r="I318" s="6" t="inlineStr">
        <is>
          <t>2023-2</t>
        </is>
      </c>
      <c r="J318" s="5" t="n">
        <v>95</v>
      </c>
      <c r="K318" s="5" t="n">
        <v>87.67</v>
      </c>
      <c r="L318" s="74">
        <f>IFERROR(IF(OR(J318=0,K318=""),"",IF(E318="Positivo",MIN(MAX(K318/J318,0),1.3),MIN(MAX(J318/K318,0),1.3))),"") </f>
        <v/>
      </c>
      <c r="M318" s="14">
        <f>IFERROR(IF(OR(J318=0,K318=""),"",IF(E318="Positivo",MAX(K318/J318,0),MAX(J318/K318,0))),"") </f>
        <v/>
      </c>
      <c r="N318" s="5" t="inlineStr">
        <is>
          <t>%</t>
        </is>
      </c>
      <c r="O318" s="5" t="inlineStr">
        <is>
          <t>%</t>
        </is>
      </c>
      <c r="P318" s="5" t="n">
        <v>0</v>
      </c>
      <c r="Q318" s="5" t="n">
        <v>0</v>
      </c>
      <c r="R318" s="5" t="inlineStr">
        <is>
          <t>199-2023-12-31</t>
        </is>
      </c>
    </row>
    <row r="319">
      <c r="A319" s="5" t="n">
        <v>199</v>
      </c>
      <c r="B319" s="5" t="inlineStr">
        <is>
          <t>Nivel de cumplimiento de eficacia las capacitaciones</t>
        </is>
      </c>
      <c r="C319" s="5" t="inlineStr">
        <is>
          <t>GESTIÓN Y DESARROLLO DEL TALENTO HUMANO</t>
        </is>
      </c>
      <c r="D319" s="5" t="inlineStr">
        <is>
          <t>Semestral</t>
        </is>
      </c>
      <c r="E319" s="5" t="inlineStr">
        <is>
          <t>Positivo</t>
        </is>
      </c>
      <c r="F319" s="107" t="n">
        <v>45473</v>
      </c>
      <c r="G319" s="5" t="n">
        <v>2024</v>
      </c>
      <c r="H319" s="5" t="inlineStr">
        <is>
          <t>Junio</t>
        </is>
      </c>
      <c r="I319" s="6" t="inlineStr">
        <is>
          <t>2024-1</t>
        </is>
      </c>
      <c r="J319" s="5" t="n">
        <v>70</v>
      </c>
      <c r="K319" s="5" t="n">
        <v>92.19</v>
      </c>
      <c r="L319" s="14">
        <f>IFERROR(IF(OR(J319=0,K319=""),"",IF(E319="Positivo",MIN(MAX(K319/J319,0),1.3),MIN(MAX(J319/K319,0),1.3))),"") </f>
        <v/>
      </c>
      <c r="M319" s="14">
        <f>IFERROR(IF(OR(J319=0,K319=""),"",IF(E319="Positivo",MAX(K319/J319,0),MAX(J319/K319,0))),"") </f>
        <v/>
      </c>
      <c r="N319" s="5" t="n"/>
      <c r="O319" s="5" t="n"/>
      <c r="P319" s="5" t="n">
        <v>0</v>
      </c>
      <c r="Q319" s="5" t="n">
        <v>0</v>
      </c>
      <c r="R319" s="5" t="inlineStr">
        <is>
          <t>199-2024-06-30</t>
        </is>
      </c>
    </row>
    <row r="320">
      <c r="A320" s="5" t="n">
        <v>199</v>
      </c>
      <c r="B320" s="5" t="inlineStr">
        <is>
          <t>Nivel de cumplimiento de eficacia las capacitaciones</t>
        </is>
      </c>
      <c r="C320" s="5" t="inlineStr">
        <is>
          <t>GESTIÓN Y DESARROLLO DEL TALENTO HUMANO</t>
        </is>
      </c>
      <c r="D320" s="5" t="inlineStr">
        <is>
          <t>Semestral</t>
        </is>
      </c>
      <c r="E320" s="5" t="inlineStr">
        <is>
          <t>Positivo</t>
        </is>
      </c>
      <c r="F320" s="107" t="n">
        <v>45657</v>
      </c>
      <c r="G320" s="5" t="n">
        <v>2024</v>
      </c>
      <c r="H320" s="5" t="inlineStr">
        <is>
          <t>Diciembre</t>
        </is>
      </c>
      <c r="I320" s="6" t="inlineStr">
        <is>
          <t>2024-2</t>
        </is>
      </c>
      <c r="J320" s="5" t="n">
        <v>70</v>
      </c>
      <c r="K320" s="5" t="n">
        <v>92.81</v>
      </c>
      <c r="L320" s="14">
        <f>IFERROR(IF(OR(J320=0,K320=""),"",IF(E320="Positivo",MIN(MAX(K320/J320,0),1.3),MIN(MAX(J320/K320,0),1.3))),"") </f>
        <v/>
      </c>
      <c r="M320" s="14">
        <f>IFERROR(IF(OR(J320=0,K320=""),"",IF(E320="Positivo",MAX(K320/J320,0),MAX(J320/K320,0))),"") </f>
        <v/>
      </c>
      <c r="N320" s="5" t="n"/>
      <c r="O320" s="5" t="n"/>
      <c r="P320" s="5" t="n">
        <v>0</v>
      </c>
      <c r="Q320" s="5" t="n">
        <v>0</v>
      </c>
      <c r="R320" s="5" t="inlineStr">
        <is>
          <t>199-2024-12-31</t>
        </is>
      </c>
    </row>
    <row r="321">
      <c r="A321" s="28" t="n">
        <v>199</v>
      </c>
      <c r="B321" s="5" t="inlineStr">
        <is>
          <t>Nivel de cumplimiento de eficacia las capacitaciones</t>
        </is>
      </c>
      <c r="C321" s="5" t="inlineStr">
        <is>
          <t>GESTIÓN Y DESARROLLO DEL TALENTO HUMANO</t>
        </is>
      </c>
      <c r="D321" s="5" t="inlineStr">
        <is>
          <t>Trimestral</t>
        </is>
      </c>
      <c r="E321" s="5" t="inlineStr">
        <is>
          <t>Positivo</t>
        </is>
      </c>
      <c r="F321" s="107" t="n">
        <v>45838</v>
      </c>
      <c r="G321" s="5" t="n">
        <v>2025</v>
      </c>
      <c r="H321" s="5" t="inlineStr">
        <is>
          <t>Junio</t>
        </is>
      </c>
      <c r="I321" s="6" t="inlineStr">
        <is>
          <t>2025-1</t>
        </is>
      </c>
      <c r="J321" s="5" t="n">
        <v>80</v>
      </c>
      <c r="K321" s="5" t="n">
        <v>92.09999999999999</v>
      </c>
      <c r="L321" s="74">
        <f>IFERROR(IF(OR(J321=0,K321=""),"",IF(E321="Positivo",MIN(MAX(K321/J321,0),1.3),MIN(MAX(J321/K321,0),1.3))),"") </f>
        <v/>
      </c>
      <c r="M321" s="14">
        <f>IFERROR(IF(OR(J321=0,K321=""),"",IF(E321="Positivo",MAX(K321/J321,0),MAX(J321/K321,0))),"") </f>
        <v/>
      </c>
      <c r="N321" s="5" t="inlineStr">
        <is>
          <t>%</t>
        </is>
      </c>
      <c r="O321" s="5" t="inlineStr">
        <is>
          <t>%</t>
        </is>
      </c>
      <c r="P321" s="5" t="n">
        <v>0</v>
      </c>
      <c r="Q321" s="5" t="n">
        <v>0</v>
      </c>
      <c r="R321" s="5" t="inlineStr">
        <is>
          <t>199-2025-06-30</t>
        </is>
      </c>
    </row>
    <row r="322">
      <c r="A322" s="26" t="n">
        <v>199</v>
      </c>
      <c r="B322" s="5" t="inlineStr">
        <is>
          <t>Nivel de cumplimiento de eficacia las capacitaciones</t>
        </is>
      </c>
      <c r="C322" s="5" t="inlineStr">
        <is>
          <t>GESTIÓN Y DESARROLLO DEL TALENTO HUMANO</t>
        </is>
      </c>
      <c r="D322" s="5" t="inlineStr">
        <is>
          <t>Trimestral</t>
        </is>
      </c>
      <c r="E322" s="5" t="inlineStr">
        <is>
          <t>Positivo</t>
        </is>
      </c>
      <c r="F322" s="107" t="n">
        <v>46022</v>
      </c>
      <c r="G322" s="5" t="n">
        <v>2025</v>
      </c>
      <c r="H322" s="5" t="inlineStr">
        <is>
          <t>Diciembre</t>
        </is>
      </c>
      <c r="I322" s="6" t="inlineStr">
        <is>
          <t>2025-2</t>
        </is>
      </c>
      <c r="J322" s="5" t="n">
        <v>80</v>
      </c>
      <c r="K322" s="5" t="n">
        <v>92.89</v>
      </c>
      <c r="L322" s="74">
        <f>IFERROR(IF(OR(J322=0,K322=""),"",IF(E322="Positivo",MIN(MAX(K322/J322,0),1.3),MIN(MAX(J322/K322,0),1.3))),"") </f>
        <v/>
      </c>
      <c r="M322" s="14">
        <f>IFERROR(IF(OR(J322=0,K322=""),"",IF(E322="Positivo",MAX(K322/J322,0),MAX(J322/K322,0))),"") </f>
        <v/>
      </c>
      <c r="N322" s="5" t="inlineStr">
        <is>
          <t>%</t>
        </is>
      </c>
      <c r="O322" s="5" t="inlineStr">
        <is>
          <t>%</t>
        </is>
      </c>
      <c r="P322" s="5" t="n">
        <v>0</v>
      </c>
      <c r="Q322" s="5" t="n">
        <v>0</v>
      </c>
      <c r="R322" s="5" t="inlineStr">
        <is>
          <t>199-2025-12-31</t>
        </is>
      </c>
    </row>
    <row r="323">
      <c r="A323" s="5" t="n">
        <v>200</v>
      </c>
      <c r="B323" s="5" t="inlineStr">
        <is>
          <t>Nivel de efectividad de las capacitaciones</t>
        </is>
      </c>
      <c r="C323" s="5" t="inlineStr">
        <is>
          <t>GESTIÓN Y DESARROLLO DEL TALENTO HUMANO</t>
        </is>
      </c>
      <c r="D323" s="5" t="inlineStr">
        <is>
          <t>Anual</t>
        </is>
      </c>
      <c r="E323" s="5" t="inlineStr">
        <is>
          <t>Positivo</t>
        </is>
      </c>
      <c r="F323" s="107" t="n">
        <v>44926</v>
      </c>
      <c r="G323" s="5" t="n">
        <v>2022</v>
      </c>
      <c r="H323" s="5" t="inlineStr">
        <is>
          <t>Diciembre</t>
        </is>
      </c>
      <c r="I323" s="6" t="inlineStr">
        <is>
          <t>2022-2</t>
        </is>
      </c>
      <c r="J323" s="5" t="n">
        <v>70</v>
      </c>
      <c r="K323" s="5" t="n"/>
      <c r="L323" s="14" t="n"/>
      <c r="M323" s="14" t="n"/>
      <c r="N323" s="5" t="inlineStr">
        <is>
          <t>%</t>
        </is>
      </c>
      <c r="O323" s="5" t="inlineStr">
        <is>
          <t>No Aplica</t>
        </is>
      </c>
      <c r="P323" s="5" t="n">
        <v>0</v>
      </c>
      <c r="Q323" s="5" t="n">
        <v>1</v>
      </c>
      <c r="R323" s="5" t="inlineStr">
        <is>
          <t>200-2022-12-31</t>
        </is>
      </c>
      <c r="S323" t="inlineStr">
        <is>
          <t>No Aplica</t>
        </is>
      </c>
    </row>
    <row r="324">
      <c r="A324" s="5" t="n">
        <v>200</v>
      </c>
      <c r="B324" s="5" t="inlineStr">
        <is>
          <t>Nivel de efectividad de las capacitaciones</t>
        </is>
      </c>
      <c r="C324" s="5" t="inlineStr">
        <is>
          <t>GESTIÓN Y DESARROLLO DEL TALENTO HUMANO</t>
        </is>
      </c>
      <c r="D324" s="5" t="inlineStr">
        <is>
          <t>Anual</t>
        </is>
      </c>
      <c r="E324" s="5" t="inlineStr">
        <is>
          <t>Positivo</t>
        </is>
      </c>
      <c r="F324" s="107" t="n">
        <v>45291</v>
      </c>
      <c r="G324" s="5" t="n">
        <v>2023</v>
      </c>
      <c r="H324" s="5" t="inlineStr">
        <is>
          <t>Diciembre</t>
        </is>
      </c>
      <c r="I324" s="6" t="inlineStr">
        <is>
          <t>2023-2</t>
        </is>
      </c>
      <c r="J324" s="5" t="n">
        <v>70</v>
      </c>
      <c r="K324" s="5" t="n">
        <v>90</v>
      </c>
      <c r="L324" s="14">
        <f>IFERROR(IF(OR(J324=0,K324=""),"",IF(E324="Positivo",MIN(MAX(K324/J324,0),1.3),MIN(MAX(J324/K324,0),1.3))),"") </f>
        <v/>
      </c>
      <c r="M324" s="14">
        <f>IFERROR(IF(OR(J324=0,K324=""),"",IF(E324="Positivo",MAX(K324/J324,0),MAX(J324/K324,0))),"") </f>
        <v/>
      </c>
      <c r="N324" s="5" t="inlineStr">
        <is>
          <t>Linea base</t>
        </is>
      </c>
      <c r="O324" s="5" t="inlineStr">
        <is>
          <t>%</t>
        </is>
      </c>
      <c r="P324" s="5" t="n">
        <v>0</v>
      </c>
      <c r="Q324" s="5" t="n">
        <v>0</v>
      </c>
      <c r="R324" s="5" t="inlineStr">
        <is>
          <t>200-2023-12-31</t>
        </is>
      </c>
    </row>
    <row r="325">
      <c r="A325" s="34" t="n">
        <v>200</v>
      </c>
      <c r="B325" s="5" t="inlineStr">
        <is>
          <t>Nivel de efectividad de las capacitaciones</t>
        </is>
      </c>
      <c r="C325" s="5" t="inlineStr">
        <is>
          <t>GESTIÓN Y DESARROLLO DEL TALENTO HUMANO</t>
        </is>
      </c>
      <c r="D325" s="5" t="inlineStr">
        <is>
          <t>Anual</t>
        </is>
      </c>
      <c r="E325" s="5" t="inlineStr">
        <is>
          <t>Positivo</t>
        </is>
      </c>
      <c r="F325" s="107" t="n">
        <v>45657</v>
      </c>
      <c r="G325" s="5" t="n">
        <v>2024</v>
      </c>
      <c r="H325" s="5" t="inlineStr">
        <is>
          <t>Diciembre</t>
        </is>
      </c>
      <c r="I325" s="6" t="inlineStr">
        <is>
          <t>2024-2</t>
        </is>
      </c>
      <c r="J325" s="5" t="n">
        <v>80</v>
      </c>
      <c r="K325" s="5" t="n">
        <v>87.40000000000001</v>
      </c>
      <c r="L325" s="74">
        <f>IFERROR(IF(OR(J325=0,K325=""),"",IF(E325="Positivo",MIN(MAX(K325/J325,0),1.3),MIN(MAX(J325/K325,0),1.3))),"") </f>
        <v/>
      </c>
      <c r="M325" s="14">
        <f>IFERROR(IF(OR(J325=0,K325=""),"",IF(E325="Positivo",MAX(K325/J325,0),MAX(J325/K325,0))),"") </f>
        <v/>
      </c>
      <c r="N325" s="5" t="n"/>
      <c r="O325" s="5" t="n"/>
      <c r="P325" s="5" t="n">
        <v>0</v>
      </c>
      <c r="Q325" s="5" t="n">
        <v>0</v>
      </c>
      <c r="R325" s="5" t="inlineStr">
        <is>
          <t>200-2024-12-31</t>
        </is>
      </c>
    </row>
    <row r="326">
      <c r="A326" s="26" t="n">
        <v>200</v>
      </c>
      <c r="B326" s="5" t="inlineStr">
        <is>
          <t>Nivel de efectividad de las capacitaciones</t>
        </is>
      </c>
      <c r="C326" s="5" t="inlineStr">
        <is>
          <t>GESTIÓN Y DESARROLLO DEL TALENTO HUMANO</t>
        </is>
      </c>
      <c r="D326" s="5" t="inlineStr">
        <is>
          <t>Anual</t>
        </is>
      </c>
      <c r="E326" s="5" t="inlineStr">
        <is>
          <t>Positivo</t>
        </is>
      </c>
      <c r="F326" s="107" t="n">
        <v>46022</v>
      </c>
      <c r="G326" s="5" t="n">
        <v>2025</v>
      </c>
      <c r="H326" s="5" t="inlineStr">
        <is>
          <t>Diciembre</t>
        </is>
      </c>
      <c r="I326" s="6" t="inlineStr">
        <is>
          <t>2025-2</t>
        </is>
      </c>
      <c r="J326" s="5" t="n">
        <v>87</v>
      </c>
      <c r="K326" s="5" t="n">
        <v>90.84999999999999</v>
      </c>
      <c r="L326" s="74">
        <f>IFERROR(IF(OR(J326=0,K326=""),"",IF(E326="Positivo",MIN(MAX(K326/J326,0),1.3),MIN(MAX(J326/K326,0),1.3))),"") </f>
        <v/>
      </c>
      <c r="M326" s="14">
        <f>IFERROR(IF(OR(J326=0,K326=""),"",IF(E326="Positivo",MAX(K326/J326,0),MAX(J326/K326,0))),"") </f>
        <v/>
      </c>
      <c r="N326" s="5" t="inlineStr">
        <is>
          <t>%</t>
        </is>
      </c>
      <c r="O326" s="5" t="inlineStr">
        <is>
          <t>%</t>
        </is>
      </c>
      <c r="P326" s="5" t="n">
        <v>0</v>
      </c>
      <c r="Q326" s="5" t="n">
        <v>1</v>
      </c>
      <c r="R326" s="5" t="inlineStr">
        <is>
          <t>200-2025-12-31</t>
        </is>
      </c>
    </row>
    <row r="327">
      <c r="A327" s="28" t="n">
        <v>202</v>
      </c>
      <c r="B327" s="5" t="inlineStr">
        <is>
          <t>Great Place to Work</t>
        </is>
      </c>
      <c r="C327" s="5" t="inlineStr">
        <is>
          <t>GESTIÓN Y DESARROLLO DEL TALENTO HUMANO</t>
        </is>
      </c>
      <c r="D327" s="5" t="inlineStr">
        <is>
          <t>Anual</t>
        </is>
      </c>
      <c r="E327" s="5" t="inlineStr">
        <is>
          <t>Positivo</t>
        </is>
      </c>
      <c r="F327" s="107" t="n">
        <v>45291</v>
      </c>
      <c r="G327" s="5" t="n">
        <v>2023</v>
      </c>
      <c r="H327" s="5" t="inlineStr">
        <is>
          <t>Diciembre</t>
        </is>
      </c>
      <c r="I327" s="6" t="inlineStr">
        <is>
          <t>2023-2</t>
        </is>
      </c>
      <c r="J327" s="5" t="n">
        <v>66</v>
      </c>
      <c r="K327" s="5" t="n">
        <v>64.7</v>
      </c>
      <c r="L327" s="74">
        <f>IFERROR(IF(OR(J327=0,K327=""),"",IF(E327="Positivo",MIN(MAX(K327/J327,0),1.3),MIN(MAX(J327/K327,0),1.3))),"") </f>
        <v/>
      </c>
      <c r="M327" s="14">
        <f>IFERROR(IF(OR(J327=0,K327=""),"",IF(E327="Positivo",MAX(K327/J327,0),MAX(J327/K327,0))),"") </f>
        <v/>
      </c>
      <c r="N327" s="5" t="n"/>
      <c r="O327" s="5" t="n"/>
      <c r="P327" s="5" t="n">
        <v>1</v>
      </c>
      <c r="Q327" s="5" t="n">
        <v>1</v>
      </c>
      <c r="R327" s="5" t="inlineStr">
        <is>
          <t>202-2023-12-31</t>
        </is>
      </c>
    </row>
    <row r="328">
      <c r="A328" s="26" t="n">
        <v>202</v>
      </c>
      <c r="B328" s="5" t="inlineStr">
        <is>
          <t>Great Place to Work</t>
        </is>
      </c>
      <c r="C328" s="5" t="inlineStr">
        <is>
          <t>GESTIÓN Y DESARROLLO DEL TALENTO HUMANO</t>
        </is>
      </c>
      <c r="D328" s="5" t="inlineStr">
        <is>
          <t>Anual</t>
        </is>
      </c>
      <c r="E328" s="5" t="inlineStr">
        <is>
          <t>Positivo</t>
        </is>
      </c>
      <c r="F328" s="107" t="n">
        <v>45657</v>
      </c>
      <c r="G328" s="5" t="n">
        <v>2024</v>
      </c>
      <c r="H328" s="5" t="inlineStr">
        <is>
          <t>Diciembre</t>
        </is>
      </c>
      <c r="I328" s="6" t="inlineStr">
        <is>
          <t>2024-2</t>
        </is>
      </c>
      <c r="J328" s="5" t="n">
        <v>0</v>
      </c>
      <c r="K328" s="5" t="n"/>
      <c r="L328" s="74" t="n"/>
      <c r="M328" s="14" t="n"/>
      <c r="N328" s="5" t="inlineStr">
        <is>
          <t>ENT</t>
        </is>
      </c>
      <c r="O328" s="5" t="inlineStr">
        <is>
          <t>N/A</t>
        </is>
      </c>
      <c r="P328" s="5" t="n">
        <v>0</v>
      </c>
      <c r="Q328" s="5" t="n">
        <v>0</v>
      </c>
      <c r="R328" s="5" t="inlineStr">
        <is>
          <t>202-2024-12-31</t>
        </is>
      </c>
    </row>
    <row r="329">
      <c r="A329" s="5" t="n">
        <v>202</v>
      </c>
      <c r="B329" s="5" t="inlineStr">
        <is>
          <t>Great Place to Work</t>
        </is>
      </c>
      <c r="C329" s="5" t="inlineStr">
        <is>
          <t>GESTIÓN Y DESARROLLO DEL TALENTO HUMANO</t>
        </is>
      </c>
      <c r="D329" s="5" t="inlineStr">
        <is>
          <t>Anual</t>
        </is>
      </c>
      <c r="E329" s="5" t="inlineStr">
        <is>
          <t>Positivo</t>
        </is>
      </c>
      <c r="F329" s="107" t="n">
        <v>46022</v>
      </c>
      <c r="G329" s="5" t="n">
        <v>2025</v>
      </c>
      <c r="H329" s="5" t="inlineStr">
        <is>
          <t>Diciembre</t>
        </is>
      </c>
      <c r="I329" s="6" t="inlineStr">
        <is>
          <t>2025-2</t>
        </is>
      </c>
      <c r="J329" s="5" t="n">
        <v>68.7</v>
      </c>
      <c r="K329" s="5" t="n">
        <v>81</v>
      </c>
      <c r="L329" s="14">
        <f>IFERROR(IF(OR(J329=0,K329=""),"",IF(E329="Positivo",MIN(MAX(K329/J329,0),1.3),MIN(MAX(J329/K329,0),1.3))),"") </f>
        <v/>
      </c>
      <c r="M329" s="14">
        <f>IFERROR(IF(OR(J329=0,K329=""),"",IF(E329="Positivo",MAX(K329/J329,0),MAX(J329/K329,0))),"") </f>
        <v/>
      </c>
      <c r="N329" s="5" t="inlineStr">
        <is>
          <t>DEC</t>
        </is>
      </c>
      <c r="O329" s="5" t="inlineStr">
        <is>
          <t>DEC</t>
        </is>
      </c>
      <c r="P329" s="5" t="n">
        <v>1</v>
      </c>
      <c r="Q329" s="5" t="n">
        <v>0</v>
      </c>
      <c r="R329" s="5" t="inlineStr">
        <is>
          <t>202-2025-12-31</t>
        </is>
      </c>
    </row>
    <row r="330">
      <c r="A330" s="5" t="n">
        <v>203</v>
      </c>
      <c r="B330" s="5" t="inlineStr">
        <is>
          <t>Cumplimiento de Ingresos</t>
        </is>
      </c>
      <c r="C330" s="5" t="inlineStr">
        <is>
          <t>Planeación Financiera</t>
        </is>
      </c>
      <c r="D330" s="5" t="inlineStr">
        <is>
          <t>Semestral</t>
        </is>
      </c>
      <c r="E330" s="5" t="inlineStr">
        <is>
          <t>Positivo</t>
        </is>
      </c>
      <c r="F330" s="107" t="n">
        <v>44742</v>
      </c>
      <c r="G330" s="5" t="n">
        <v>2022</v>
      </c>
      <c r="H330" s="5" t="inlineStr">
        <is>
          <t>Junio</t>
        </is>
      </c>
      <c r="I330" s="6" t="inlineStr">
        <is>
          <t>2022-1</t>
        </is>
      </c>
      <c r="J330" s="5" t="n">
        <v>113672</v>
      </c>
      <c r="K330" s="5" t="n">
        <v>119144</v>
      </c>
      <c r="L330" s="14">
        <f>IFERROR(IF(OR(J330=0,K330=""),"",IF(E330="Positivo",MIN(MAX(K330/J330,0),1.3),MIN(MAX(J330/K330,0),1.3))),"") </f>
        <v/>
      </c>
      <c r="M330" s="14">
        <f>IFERROR(IF(OR(J330=0,K330=""),"",IF(E330="Positivo",MAX(K330/J330,0),MAX(J330/K330,0))),"") </f>
        <v/>
      </c>
      <c r="N330" s="5" t="inlineStr">
        <is>
          <t>$</t>
        </is>
      </c>
      <c r="O330" s="5" t="inlineStr">
        <is>
          <t>$</t>
        </is>
      </c>
      <c r="P330" s="5" t="n">
        <v>0</v>
      </c>
      <c r="Q330" s="5" t="n">
        <v>0</v>
      </c>
      <c r="R330" s="5" t="inlineStr">
        <is>
          <t>203-2022-06-30</t>
        </is>
      </c>
    </row>
    <row r="331">
      <c r="A331" s="34" t="n">
        <v>203</v>
      </c>
      <c r="B331" s="5" t="inlineStr">
        <is>
          <t>Cumplimiento de Ingresos</t>
        </is>
      </c>
      <c r="C331" s="5" t="inlineStr">
        <is>
          <t>Planeación Financiera</t>
        </is>
      </c>
      <c r="D331" s="5" t="inlineStr">
        <is>
          <t>Semestral</t>
        </is>
      </c>
      <c r="E331" s="5" t="inlineStr">
        <is>
          <t>Positivo</t>
        </is>
      </c>
      <c r="F331" s="107" t="n">
        <v>44926</v>
      </c>
      <c r="G331" s="5" t="n">
        <v>2022</v>
      </c>
      <c r="H331" s="5" t="inlineStr">
        <is>
          <t>Diciembre</t>
        </is>
      </c>
      <c r="I331" s="6" t="inlineStr">
        <is>
          <t>2022-2</t>
        </is>
      </c>
      <c r="J331" s="5" t="n">
        <v>110768</v>
      </c>
      <c r="K331" s="5" t="n">
        <v>121738</v>
      </c>
      <c r="L331" s="74">
        <f>IFERROR(IF(OR(J331=0,K331=""),"",IF(E331="Positivo",MIN(MAX(K331/J331,0),1.3),MIN(MAX(J331/K331,0),1.3))),"") </f>
        <v/>
      </c>
      <c r="M331" s="14">
        <f>IFERROR(IF(OR(J331=0,K331=""),"",IF(E331="Positivo",MAX(K331/J331,0),MAX(J331/K331,0))),"") </f>
        <v/>
      </c>
      <c r="N331" s="5" t="inlineStr">
        <is>
          <t>$</t>
        </is>
      </c>
      <c r="O331" s="5" t="inlineStr">
        <is>
          <t>$</t>
        </is>
      </c>
      <c r="P331" s="5" t="n">
        <v>0</v>
      </c>
      <c r="Q331" s="5" t="n">
        <v>0</v>
      </c>
      <c r="R331" s="5" t="inlineStr">
        <is>
          <t>203-2022-12-31</t>
        </is>
      </c>
    </row>
    <row r="332">
      <c r="A332" s="26" t="n">
        <v>203</v>
      </c>
      <c r="B332" s="5" t="inlineStr">
        <is>
          <t>Cumplimiento de Ingresos</t>
        </is>
      </c>
      <c r="C332" s="5" t="inlineStr">
        <is>
          <t>Planeación Financiera</t>
        </is>
      </c>
      <c r="D332" s="5" t="inlineStr">
        <is>
          <t>Semestral</t>
        </is>
      </c>
      <c r="E332" s="5" t="inlineStr">
        <is>
          <t>Positivo</t>
        </is>
      </c>
      <c r="F332" s="107" t="n">
        <v>45107</v>
      </c>
      <c r="G332" s="5" t="n">
        <v>2023</v>
      </c>
      <c r="H332" s="5" t="inlineStr">
        <is>
          <t>Junio</t>
        </is>
      </c>
      <c r="I332" s="6" t="inlineStr">
        <is>
          <t>2023-1</t>
        </is>
      </c>
      <c r="J332" s="5" t="n">
        <v>95</v>
      </c>
      <c r="K332" s="5" t="n">
        <v>104.63235542785</v>
      </c>
      <c r="L332" s="74">
        <f>IFERROR(IF(OR(J332=0,K332=""),"",IF(E332="Positivo",MIN(MAX(K332/J332,0),1.3),MIN(MAX(J332/K332,0),1.3))),"") </f>
        <v/>
      </c>
      <c r="M332" s="14">
        <f>IFERROR(IF(OR(J332=0,K332=""),"",IF(E332="Positivo",MAX(K332/J332,0),MAX(J332/K332,0))),"") </f>
        <v/>
      </c>
      <c r="N332" s="5" t="inlineStr">
        <is>
          <t>$</t>
        </is>
      </c>
      <c r="O332" s="5" t="inlineStr">
        <is>
          <t>$</t>
        </is>
      </c>
      <c r="P332" s="5" t="n">
        <v>0</v>
      </c>
      <c r="Q332" s="5" t="n">
        <v>0</v>
      </c>
      <c r="R332" s="5" t="inlineStr">
        <is>
          <t>203-2023-06-30</t>
        </is>
      </c>
    </row>
    <row r="333">
      <c r="A333" s="28" t="n">
        <v>203</v>
      </c>
      <c r="B333" s="5" t="inlineStr">
        <is>
          <t>Cumplimiento de Ingresos</t>
        </is>
      </c>
      <c r="C333" s="5" t="inlineStr">
        <is>
          <t>Planeación Financiera</t>
        </is>
      </c>
      <c r="D333" s="5" t="inlineStr">
        <is>
          <t>Semestral</t>
        </is>
      </c>
      <c r="E333" s="5" t="inlineStr">
        <is>
          <t>Positivo</t>
        </is>
      </c>
      <c r="F333" s="107" t="n">
        <v>45291</v>
      </c>
      <c r="G333" s="5" t="n">
        <v>2023</v>
      </c>
      <c r="H333" s="5" t="inlineStr">
        <is>
          <t>Diciembre</t>
        </is>
      </c>
      <c r="I333" s="6" t="inlineStr">
        <is>
          <t>2023-2</t>
        </is>
      </c>
      <c r="J333" s="5" t="n">
        <v>95</v>
      </c>
      <c r="K333" s="5" t="n">
        <v>103.36740380481</v>
      </c>
      <c r="L333" s="74">
        <f>IFERROR(IF(OR(J333=0,K333=""),"",IF(E333="Positivo",MIN(MAX(K333/J333,0),1.3),MIN(MAX(J333/K333,0),1.3))),"") </f>
        <v/>
      </c>
      <c r="M333" s="14">
        <f>IFERROR(IF(OR(J333=0,K333=""),"",IF(E333="Positivo",MAX(K333/J333,0),MAX(J333/K333,0))),"") </f>
        <v/>
      </c>
      <c r="N333" s="5" t="inlineStr">
        <is>
          <t>$</t>
        </is>
      </c>
      <c r="O333" s="5" t="inlineStr">
        <is>
          <t>$</t>
        </is>
      </c>
      <c r="P333" s="5" t="n">
        <v>0</v>
      </c>
      <c r="Q333" s="5" t="n">
        <v>0</v>
      </c>
      <c r="R333" s="5" t="inlineStr">
        <is>
          <t>203-2023-12-31</t>
        </is>
      </c>
    </row>
    <row r="334">
      <c r="A334" s="26" t="n">
        <v>203</v>
      </c>
      <c r="B334" s="5" t="inlineStr">
        <is>
          <t>Cumplimiento de Ingresos</t>
        </is>
      </c>
      <c r="C334" s="5" t="inlineStr">
        <is>
          <t>Planeación Financiera</t>
        </is>
      </c>
      <c r="D334" s="5" t="inlineStr">
        <is>
          <t>Semestral</t>
        </is>
      </c>
      <c r="E334" s="5" t="inlineStr">
        <is>
          <t>Positivo</t>
        </is>
      </c>
      <c r="F334" s="107" t="n">
        <v>45473</v>
      </c>
      <c r="G334" s="5" t="n">
        <v>2024</v>
      </c>
      <c r="H334" s="5" t="inlineStr">
        <is>
          <t>Junio</t>
        </is>
      </c>
      <c r="I334" s="6" t="inlineStr">
        <is>
          <t>2024-1</t>
        </is>
      </c>
      <c r="J334" s="5" t="n">
        <v>95</v>
      </c>
      <c r="K334" s="5" t="n">
        <v>102.01</v>
      </c>
      <c r="L334" s="74">
        <f>IFERROR(IF(OR(J334=0,K334=""),"",IF(E334="Positivo",MIN(MAX(K334/J334,0),1.3),MIN(MAX(J334/K334,0),1.3))),"") </f>
        <v/>
      </c>
      <c r="M334" s="14">
        <f>IFERROR(IF(OR(J334=0,K334=""),"",IF(E334="Positivo",MAX(K334/J334,0),MAX(J334/K334,0))),"") </f>
        <v/>
      </c>
      <c r="N334" s="5" t="inlineStr">
        <is>
          <t>$</t>
        </is>
      </c>
      <c r="O334" s="5" t="inlineStr">
        <is>
          <t>$</t>
        </is>
      </c>
      <c r="P334" s="5" t="n">
        <v>0</v>
      </c>
      <c r="Q334" s="5" t="n">
        <v>0</v>
      </c>
      <c r="R334" s="5" t="inlineStr">
        <is>
          <t>203-2024-06-30</t>
        </is>
      </c>
    </row>
    <row r="335">
      <c r="A335" s="5" t="n">
        <v>203</v>
      </c>
      <c r="B335" s="5" t="inlineStr">
        <is>
          <t>Cumplimiento de Ingresos</t>
        </is>
      </c>
      <c r="C335" s="5" t="inlineStr">
        <is>
          <t>Planeación Financiera</t>
        </is>
      </c>
      <c r="D335" s="5" t="inlineStr">
        <is>
          <t>Semestral</t>
        </is>
      </c>
      <c r="E335" s="5" t="inlineStr">
        <is>
          <t>Positivo</t>
        </is>
      </c>
      <c r="F335" s="107" t="n">
        <v>45657</v>
      </c>
      <c r="G335" s="5" t="n">
        <v>2024</v>
      </c>
      <c r="H335" s="5" t="inlineStr">
        <is>
          <t>Diciembre</t>
        </is>
      </c>
      <c r="I335" s="6" t="inlineStr">
        <is>
          <t>2024-2</t>
        </is>
      </c>
      <c r="J335" s="5" t="n">
        <v>95</v>
      </c>
      <c r="K335" s="5" t="n">
        <v>102.84</v>
      </c>
      <c r="L335" s="14">
        <f>IFERROR(IF(OR(J335=0,K335=""),"",IF(E335="Positivo",MIN(MAX(K335/J335,0),1.3),MIN(MAX(J335/K335,0),1.3))),"") </f>
        <v/>
      </c>
      <c r="M335" s="14">
        <f>IFERROR(IF(OR(J335=0,K335=""),"",IF(E335="Positivo",MAX(K335/J335,0),MAX(J335/K335,0))),"") </f>
        <v/>
      </c>
      <c r="N335" s="5" t="inlineStr">
        <is>
          <t>$</t>
        </is>
      </c>
      <c r="O335" s="5" t="inlineStr">
        <is>
          <t>$</t>
        </is>
      </c>
      <c r="P335" s="5" t="n">
        <v>0</v>
      </c>
      <c r="Q335" s="5" t="n">
        <v>0</v>
      </c>
      <c r="R335" s="5" t="inlineStr">
        <is>
          <t>203-2024-12-31</t>
        </is>
      </c>
    </row>
    <row r="336">
      <c r="A336" s="5" t="n">
        <v>203</v>
      </c>
      <c r="B336" s="5" t="inlineStr">
        <is>
          <t>Cumplimiento de Ingresos</t>
        </is>
      </c>
      <c r="C336" s="5" t="inlineStr">
        <is>
          <t>Planeación Financiera</t>
        </is>
      </c>
      <c r="D336" s="5" t="inlineStr">
        <is>
          <t>Semestral</t>
        </is>
      </c>
      <c r="E336" s="5" t="inlineStr">
        <is>
          <t>Positivo</t>
        </is>
      </c>
      <c r="F336" s="107" t="n">
        <v>45838</v>
      </c>
      <c r="G336" s="5" t="n">
        <v>2025</v>
      </c>
      <c r="H336" s="5" t="inlineStr">
        <is>
          <t>Junio</t>
        </is>
      </c>
      <c r="I336" s="6" t="inlineStr">
        <is>
          <t>2025-1</t>
        </is>
      </c>
      <c r="J336" s="5" t="n">
        <v>95</v>
      </c>
      <c r="K336" s="5" t="n">
        <v>111.77</v>
      </c>
      <c r="L336" s="14">
        <f>IFERROR(IF(OR(J336=0,K336=""),"",IF(E336="Positivo",MIN(MAX(K336/J336,0),1.3),MIN(MAX(J336/K336,0),1.3))),"") </f>
        <v/>
      </c>
      <c r="M336" s="14">
        <f>IFERROR(IF(OR(J336=0,K336=""),"",IF(E336="Positivo",MAX(K336/J336,0),MAX(J336/K336,0))),"") </f>
        <v/>
      </c>
      <c r="N336" s="5" t="inlineStr">
        <is>
          <t>$</t>
        </is>
      </c>
      <c r="O336" s="5" t="inlineStr">
        <is>
          <t>$</t>
        </is>
      </c>
      <c r="P336" s="5" t="n">
        <v>0</v>
      </c>
      <c r="Q336" s="5" t="n">
        <v>0</v>
      </c>
      <c r="R336" s="5" t="inlineStr">
        <is>
          <t>203-2025-06-30</t>
        </is>
      </c>
    </row>
    <row r="337">
      <c r="A337" s="26" t="n">
        <v>203</v>
      </c>
      <c r="B337" s="5" t="inlineStr">
        <is>
          <t>Cumplimiento de Ingresos</t>
        </is>
      </c>
      <c r="C337" s="5" t="inlineStr">
        <is>
          <t>Planeación Financiera</t>
        </is>
      </c>
      <c r="D337" s="5" t="inlineStr">
        <is>
          <t>Trimestral</t>
        </is>
      </c>
      <c r="E337" s="5" t="inlineStr">
        <is>
          <t>Positivo</t>
        </is>
      </c>
      <c r="F337" s="107" t="n">
        <v>46022</v>
      </c>
      <c r="G337" s="5" t="n">
        <v>2025</v>
      </c>
      <c r="H337" s="5" t="inlineStr">
        <is>
          <t>Diciembre</t>
        </is>
      </c>
      <c r="I337" s="6" t="inlineStr">
        <is>
          <t>2025-2</t>
        </is>
      </c>
      <c r="J337" s="5" t="n">
        <v>95</v>
      </c>
      <c r="K337" s="5" t="n">
        <v>111.33</v>
      </c>
      <c r="L337" s="74">
        <f>IFERROR(IF(OR(J337=0,K337=""),"",IF(E337="Positivo",MIN(MAX(K337/J337,0),1.3),MIN(MAX(J337/K337,0),1.3))),"") </f>
        <v/>
      </c>
      <c r="M337" s="14">
        <f>IFERROR(IF(OR(J337=0,K337=""),"",IF(E337="Positivo",MAX(K337/J337,0),MAX(J337/K337,0))),"") </f>
        <v/>
      </c>
      <c r="N337" s="5" t="inlineStr">
        <is>
          <t>$</t>
        </is>
      </c>
      <c r="O337" s="5" t="inlineStr">
        <is>
          <t>$</t>
        </is>
      </c>
      <c r="P337" s="5" t="n">
        <v>0</v>
      </c>
      <c r="Q337" s="5" t="n">
        <v>0</v>
      </c>
      <c r="R337" s="5" t="inlineStr">
        <is>
          <t>203-2025-12-31</t>
        </is>
      </c>
    </row>
    <row r="338">
      <c r="A338" s="5" t="n">
        <v>204</v>
      </c>
      <c r="B338" s="5" t="inlineStr">
        <is>
          <t>Caja</t>
        </is>
      </c>
      <c r="C338" s="5" t="inlineStr">
        <is>
          <t>Planeación Financiera</t>
        </is>
      </c>
      <c r="D338" s="5" t="inlineStr">
        <is>
          <t>Semestral</t>
        </is>
      </c>
      <c r="E338" s="5" t="inlineStr">
        <is>
          <t>Positivo</t>
        </is>
      </c>
      <c r="F338" s="107" t="n">
        <v>44742</v>
      </c>
      <c r="G338" s="5" t="n">
        <v>2022</v>
      </c>
      <c r="H338" s="5" t="inlineStr">
        <is>
          <t>Junio</t>
        </is>
      </c>
      <c r="I338" s="6" t="inlineStr">
        <is>
          <t>2022-1</t>
        </is>
      </c>
      <c r="J338" s="5" t="n">
        <v>58804</v>
      </c>
      <c r="K338" s="5" t="n">
        <v>37101</v>
      </c>
      <c r="L338" s="14">
        <f>IFERROR(IF(OR(J338=0,K338=""),"",IF(E338="Positivo",MIN(MAX(K338/J338,0),1.3),MIN(MAX(J338/K338,0),1.3))),"") </f>
        <v/>
      </c>
      <c r="M338" s="14">
        <f>IFERROR(IF(OR(J338=0,K338=""),"",IF(E338="Positivo",MAX(K338/J338,0),MAX(J338/K338,0))),"") </f>
        <v/>
      </c>
      <c r="N338" s="5" t="inlineStr">
        <is>
          <t>$</t>
        </is>
      </c>
      <c r="O338" s="5" t="inlineStr">
        <is>
          <t>$</t>
        </is>
      </c>
      <c r="P338" s="5" t="n">
        <v>0</v>
      </c>
      <c r="Q338" s="5" t="n">
        <v>0</v>
      </c>
      <c r="R338" s="5" t="inlineStr">
        <is>
          <t>204-2022-06-30</t>
        </is>
      </c>
    </row>
    <row r="339">
      <c r="A339" s="26" t="n">
        <v>204</v>
      </c>
      <c r="B339" s="5" t="inlineStr">
        <is>
          <t>Caja</t>
        </is>
      </c>
      <c r="C339" s="5" t="inlineStr">
        <is>
          <t>Planeación Financiera</t>
        </is>
      </c>
      <c r="D339" s="5" t="inlineStr">
        <is>
          <t>Semestral</t>
        </is>
      </c>
      <c r="E339" s="5" t="inlineStr">
        <is>
          <t>Positivo</t>
        </is>
      </c>
      <c r="F339" s="107" t="n">
        <v>44925</v>
      </c>
      <c r="G339" s="5" t="n">
        <v>2022</v>
      </c>
      <c r="H339" s="5" t="inlineStr">
        <is>
          <t>Diciembre</t>
        </is>
      </c>
      <c r="I339" s="6" t="inlineStr">
        <is>
          <t>2022-2</t>
        </is>
      </c>
      <c r="J339" s="5" t="n">
        <v>82987</v>
      </c>
      <c r="K339" s="5" t="n">
        <v>18386</v>
      </c>
      <c r="L339" s="14">
        <f>IFERROR(IF(OR(J339=0,K339=""),"",IF(E339="Positivo",MIN(MAX(K339/J339,0),1.3),MIN(MAX(J339/K339,0),1.3))),"") </f>
        <v/>
      </c>
      <c r="M339" s="14">
        <f>IFERROR(IF(OR(J339=0,K339=""),"",IF(E339="Positivo",MAX(K339/J339,0),MAX(J339/K339,0))),"") </f>
        <v/>
      </c>
      <c r="N339" s="5" t="inlineStr">
        <is>
          <t>$</t>
        </is>
      </c>
      <c r="O339" s="5" t="inlineStr">
        <is>
          <t>$</t>
        </is>
      </c>
      <c r="P339" s="5" t="n">
        <v>0</v>
      </c>
      <c r="Q339" s="5" t="n">
        <v>0</v>
      </c>
      <c r="R339" s="5" t="inlineStr">
        <is>
          <t>204-2022-12-30</t>
        </is>
      </c>
    </row>
    <row r="340">
      <c r="A340" s="5" t="n">
        <v>204</v>
      </c>
      <c r="B340" s="5" t="inlineStr">
        <is>
          <t>Caja</t>
        </is>
      </c>
      <c r="C340" s="5" t="inlineStr">
        <is>
          <t>Planeación Financiera</t>
        </is>
      </c>
      <c r="D340" s="5" t="inlineStr">
        <is>
          <t>Semestral</t>
        </is>
      </c>
      <c r="E340" s="5" t="inlineStr">
        <is>
          <t>Positivo</t>
        </is>
      </c>
      <c r="F340" s="107" t="n">
        <v>45107</v>
      </c>
      <c r="G340" s="5" t="n">
        <v>2023</v>
      </c>
      <c r="H340" s="5" t="inlineStr">
        <is>
          <t>Junio</t>
        </is>
      </c>
      <c r="I340" s="6" t="inlineStr">
        <is>
          <t>2023-1</t>
        </is>
      </c>
      <c r="J340" s="5" t="n">
        <v>95</v>
      </c>
      <c r="K340" s="5" t="n">
        <v>194.75668793403</v>
      </c>
      <c r="L340" s="14">
        <f>IFERROR(IF(OR(J340=0,K340=""),"",IF(E340="Positivo",MIN(MAX(K340/J340,0),1.3),MIN(MAX(J340/K340,0),1.3))),"") </f>
        <v/>
      </c>
      <c r="M340" s="14">
        <f>IFERROR(IF(OR(J340=0,K340=""),"",IF(E340="Positivo",MAX(K340/J340,0),MAX(J340/K340,0))),"") </f>
        <v/>
      </c>
      <c r="N340" s="5" t="inlineStr">
        <is>
          <t>$</t>
        </is>
      </c>
      <c r="O340" s="5" t="inlineStr">
        <is>
          <t>$</t>
        </is>
      </c>
      <c r="P340" s="5" t="n">
        <v>0</v>
      </c>
      <c r="Q340" s="5" t="n">
        <v>0</v>
      </c>
      <c r="R340" s="5" t="inlineStr">
        <is>
          <t>204-2023-06-30</t>
        </is>
      </c>
    </row>
    <row r="341">
      <c r="A341" s="34" t="n">
        <v>204</v>
      </c>
      <c r="B341" s="5" t="inlineStr">
        <is>
          <t>Caja</t>
        </is>
      </c>
      <c r="C341" s="5" t="inlineStr">
        <is>
          <t>Planeación Financiera</t>
        </is>
      </c>
      <c r="D341" s="5" t="inlineStr">
        <is>
          <t>Semestral</t>
        </is>
      </c>
      <c r="E341" s="5" t="inlineStr">
        <is>
          <t>Positivo</t>
        </is>
      </c>
      <c r="F341" s="107" t="n">
        <v>45291</v>
      </c>
      <c r="G341" s="5" t="n">
        <v>2023</v>
      </c>
      <c r="H341" s="5" t="inlineStr">
        <is>
          <t>Diciembre</t>
        </is>
      </c>
      <c r="I341" s="6" t="inlineStr">
        <is>
          <t>2023-2</t>
        </is>
      </c>
      <c r="J341" s="5" t="n">
        <v>95</v>
      </c>
      <c r="K341" s="5" t="n">
        <v>162.37</v>
      </c>
      <c r="L341" s="74">
        <f>IFERROR(IF(OR(J341=0,K341=""),"",IF(E341="Positivo",MIN(MAX(K341/J341,0),1.3),MIN(MAX(J341/K341,0),1.3))),"") </f>
        <v/>
      </c>
      <c r="M341" s="14">
        <f>IFERROR(IF(OR(J341=0,K341=""),"",IF(E341="Positivo",MAX(K341/J341,0),MAX(J341/K341,0))),"") </f>
        <v/>
      </c>
      <c r="N341" s="5" t="inlineStr">
        <is>
          <t>$</t>
        </is>
      </c>
      <c r="O341" s="5" t="inlineStr">
        <is>
          <t>$</t>
        </is>
      </c>
      <c r="P341" s="5" t="n">
        <v>0</v>
      </c>
      <c r="Q341" s="5" t="n">
        <v>0</v>
      </c>
      <c r="R341" s="5" t="inlineStr">
        <is>
          <t>204-2023-12-31</t>
        </is>
      </c>
    </row>
    <row r="342">
      <c r="A342" s="26" t="n">
        <v>204</v>
      </c>
      <c r="B342" s="5" t="inlineStr">
        <is>
          <t>Caja</t>
        </is>
      </c>
      <c r="C342" s="5" t="inlineStr">
        <is>
          <t>Planeación Financiera</t>
        </is>
      </c>
      <c r="D342" s="5" t="inlineStr">
        <is>
          <t>Semestral</t>
        </is>
      </c>
      <c r="E342" s="5" t="inlineStr">
        <is>
          <t>Positivo</t>
        </is>
      </c>
      <c r="F342" s="107" t="n">
        <v>45473</v>
      </c>
      <c r="G342" s="5" t="n">
        <v>2024</v>
      </c>
      <c r="H342" s="5" t="inlineStr">
        <is>
          <t>Junio</t>
        </is>
      </c>
      <c r="I342" s="6" t="inlineStr">
        <is>
          <t>2024-1</t>
        </is>
      </c>
      <c r="J342" s="5" t="n">
        <v>95</v>
      </c>
      <c r="K342" s="5" t="n">
        <v>133.55</v>
      </c>
      <c r="L342" s="74">
        <f>IFERROR(IF(OR(J342=0,K342=""),"",IF(E342="Positivo",MIN(MAX(K342/J342,0),1.3),MIN(MAX(J342/K342,0),1.3))),"") </f>
        <v/>
      </c>
      <c r="M342" s="14">
        <f>IFERROR(IF(OR(J342=0,K342=""),"",IF(E342="Positivo",MAX(K342/J342,0),MAX(J342/K342,0))),"") </f>
        <v/>
      </c>
      <c r="N342" s="5" t="inlineStr">
        <is>
          <t>$</t>
        </is>
      </c>
      <c r="O342" s="5" t="inlineStr">
        <is>
          <t>$</t>
        </is>
      </c>
      <c r="P342" s="5" t="n">
        <v>0</v>
      </c>
      <c r="Q342" s="5" t="n">
        <v>0</v>
      </c>
      <c r="R342" s="5" t="inlineStr">
        <is>
          <t>204-2024-06-30</t>
        </is>
      </c>
    </row>
    <row r="343">
      <c r="A343" s="28" t="n">
        <v>204</v>
      </c>
      <c r="B343" s="5" t="inlineStr">
        <is>
          <t>Caja</t>
        </is>
      </c>
      <c r="C343" s="5" t="inlineStr">
        <is>
          <t>Planeación Financiera</t>
        </is>
      </c>
      <c r="D343" s="5" t="inlineStr">
        <is>
          <t>Semestral</t>
        </is>
      </c>
      <c r="E343" s="5" t="inlineStr">
        <is>
          <t>Positivo</t>
        </is>
      </c>
      <c r="F343" s="107" t="n">
        <v>45657</v>
      </c>
      <c r="G343" s="5" t="n">
        <v>2024</v>
      </c>
      <c r="H343" s="5" t="inlineStr">
        <is>
          <t>Diciembre</t>
        </is>
      </c>
      <c r="I343" s="6" t="inlineStr">
        <is>
          <t>2024-2</t>
        </is>
      </c>
      <c r="J343" s="5" t="n">
        <v>95</v>
      </c>
      <c r="K343" s="5" t="n">
        <v>144.53</v>
      </c>
      <c r="L343" s="74">
        <f>IFERROR(IF(OR(J343=0,K343=""),"",IF(E343="Positivo",MIN(MAX(K343/J343,0),1.3),MIN(MAX(J343/K343,0),1.3))),"") </f>
        <v/>
      </c>
      <c r="M343" s="14">
        <f>IFERROR(IF(OR(J343=0,K343=""),"",IF(E343="Positivo",MAX(K343/J343,0),MAX(J343/K343,0))),"") </f>
        <v/>
      </c>
      <c r="N343" s="5" t="inlineStr">
        <is>
          <t>$</t>
        </is>
      </c>
      <c r="O343" s="5" t="inlineStr">
        <is>
          <t>$</t>
        </is>
      </c>
      <c r="P343" s="5" t="n">
        <v>0</v>
      </c>
      <c r="Q343" s="5" t="n">
        <v>0</v>
      </c>
      <c r="R343" s="5" t="inlineStr">
        <is>
          <t>204-2024-12-31</t>
        </is>
      </c>
    </row>
    <row r="344">
      <c r="A344" s="26" t="n">
        <v>204</v>
      </c>
      <c r="B344" s="5" t="inlineStr">
        <is>
          <t>Caja</t>
        </is>
      </c>
      <c r="C344" s="5" t="inlineStr">
        <is>
          <t>Planeación Financiera</t>
        </is>
      </c>
      <c r="D344" s="5" t="inlineStr">
        <is>
          <t>Semestral</t>
        </is>
      </c>
      <c r="E344" s="5" t="inlineStr">
        <is>
          <t>Positivo</t>
        </is>
      </c>
      <c r="F344" s="107" t="n">
        <v>45838</v>
      </c>
      <c r="G344" s="5" t="n">
        <v>2025</v>
      </c>
      <c r="H344" s="5" t="inlineStr">
        <is>
          <t>Junio</t>
        </is>
      </c>
      <c r="I344" s="6" t="inlineStr">
        <is>
          <t>2025-1</t>
        </is>
      </c>
      <c r="J344" s="5" t="n">
        <v>95</v>
      </c>
      <c r="K344" s="5" t="n">
        <v>86.89</v>
      </c>
      <c r="L344" s="74">
        <f>IFERROR(IF(OR(J344=0,K344=""),"",IF(E344="Positivo",MIN(MAX(K344/J344,0),1.3),MIN(MAX(J344/K344,0),1.3))),"") </f>
        <v/>
      </c>
      <c r="M344" s="14">
        <f>IFERROR(IF(OR(J344=0,K344=""),"",IF(E344="Positivo",MAX(K344/J344,0),MAX(J344/K344,0))),"") </f>
        <v/>
      </c>
      <c r="N344" s="5" t="inlineStr">
        <is>
          <t>$</t>
        </is>
      </c>
      <c r="O344" s="5" t="inlineStr">
        <is>
          <t>$</t>
        </is>
      </c>
      <c r="P344" s="5" t="n">
        <v>0</v>
      </c>
      <c r="Q344" s="5" t="n">
        <v>0</v>
      </c>
      <c r="R344" s="5" t="inlineStr">
        <is>
          <t>204-2025-06-30</t>
        </is>
      </c>
    </row>
    <row r="345">
      <c r="A345" s="5" t="n">
        <v>204</v>
      </c>
      <c r="B345" s="5" t="inlineStr">
        <is>
          <t>Caja</t>
        </is>
      </c>
      <c r="C345" s="5" t="inlineStr">
        <is>
          <t>Planeación Financiera</t>
        </is>
      </c>
      <c r="D345" s="5" t="inlineStr">
        <is>
          <t>Trimestral</t>
        </is>
      </c>
      <c r="E345" s="5" t="inlineStr">
        <is>
          <t>Positivo</t>
        </is>
      </c>
      <c r="F345" s="107" t="n">
        <v>46022</v>
      </c>
      <c r="G345" s="5" t="n">
        <v>2025</v>
      </c>
      <c r="H345" s="5" t="inlineStr">
        <is>
          <t>Diciembre</t>
        </is>
      </c>
      <c r="I345" s="6" t="inlineStr">
        <is>
          <t>2025-2</t>
        </is>
      </c>
      <c r="J345" s="5" t="n">
        <v>95</v>
      </c>
      <c r="K345" s="5" t="n">
        <v>152.24</v>
      </c>
      <c r="L345" s="14">
        <f>IFERROR(IF(OR(J345=0,K345=""),"",IF(E345="Positivo",MIN(MAX(K345/J345,0),1.3),MIN(MAX(J345/K345,0),1.3))),"") </f>
        <v/>
      </c>
      <c r="M345" s="14">
        <f>IFERROR(IF(OR(J345=0,K345=""),"",IF(E345="Positivo",MAX(K345/J345,0),MAX(J345/K345,0))),"") </f>
        <v/>
      </c>
      <c r="N345" s="5" t="inlineStr">
        <is>
          <t>$</t>
        </is>
      </c>
      <c r="O345" s="5" t="inlineStr">
        <is>
          <t>$</t>
        </is>
      </c>
      <c r="P345" s="5" t="n">
        <v>0</v>
      </c>
      <c r="Q345" s="5" t="n">
        <v>0</v>
      </c>
      <c r="R345" s="5" t="inlineStr">
        <is>
          <t>204-2025-12-31</t>
        </is>
      </c>
    </row>
    <row r="346">
      <c r="A346" s="5" t="n">
        <v>205</v>
      </c>
      <c r="B346" s="5" t="inlineStr">
        <is>
          <t>Utilidad Neta</t>
        </is>
      </c>
      <c r="C346" s="5" t="inlineStr">
        <is>
          <t>Planeación Financiera</t>
        </is>
      </c>
      <c r="D346" s="5" t="inlineStr">
        <is>
          <t>Semestral</t>
        </is>
      </c>
      <c r="E346" s="5" t="inlineStr">
        <is>
          <t>Positivo</t>
        </is>
      </c>
      <c r="F346" s="107" t="n">
        <v>44925</v>
      </c>
      <c r="G346" s="5" t="n">
        <v>2022</v>
      </c>
      <c r="H346" s="5" t="inlineStr">
        <is>
          <t>Diciembre</t>
        </is>
      </c>
      <c r="I346" s="6" t="inlineStr">
        <is>
          <t>2022-2</t>
        </is>
      </c>
      <c r="J346" s="5" t="n">
        <v>2605</v>
      </c>
      <c r="K346" s="5" t="n">
        <v>2605</v>
      </c>
      <c r="L346" s="14">
        <f>IFERROR(IF(OR(J346=0,K346=""),"",IF(E346="Positivo",MIN(MAX(K346/J346,0),1.3),MIN(MAX(J346/K346,0),1.3))),"") </f>
        <v/>
      </c>
      <c r="M346" s="14">
        <f>IFERROR(IF(OR(J346=0,K346=""),"",IF(E346="Positivo",MAX(K346/J346,0),MAX(J346/K346,0))),"") </f>
        <v/>
      </c>
      <c r="N346" s="5" t="inlineStr">
        <is>
          <t>$</t>
        </is>
      </c>
      <c r="O346" s="5" t="inlineStr">
        <is>
          <t>$</t>
        </is>
      </c>
      <c r="P346" s="5" t="n">
        <v>0</v>
      </c>
      <c r="Q346" s="5" t="n">
        <v>0</v>
      </c>
      <c r="R346" s="5" t="inlineStr">
        <is>
          <t>205-2022-12-30</t>
        </is>
      </c>
    </row>
    <row r="347">
      <c r="A347" s="26" t="n">
        <v>205</v>
      </c>
      <c r="B347" s="5" t="inlineStr">
        <is>
          <t>Utilidad Neta</t>
        </is>
      </c>
      <c r="C347" s="5" t="inlineStr">
        <is>
          <t>Planeación Financiera</t>
        </is>
      </c>
      <c r="D347" s="5" t="inlineStr">
        <is>
          <t>Semestral</t>
        </is>
      </c>
      <c r="E347" s="5" t="inlineStr">
        <is>
          <t>Positivo</t>
        </is>
      </c>
      <c r="F347" s="107" t="n">
        <v>45107</v>
      </c>
      <c r="G347" s="5" t="n">
        <v>2023</v>
      </c>
      <c r="H347" s="5" t="inlineStr">
        <is>
          <t>Junio</t>
        </is>
      </c>
      <c r="I347" s="6" t="inlineStr">
        <is>
          <t>2023-1</t>
        </is>
      </c>
      <c r="J347" s="5" t="n">
        <v>95</v>
      </c>
      <c r="K347" s="5" t="n">
        <v>165.42728645151</v>
      </c>
      <c r="L347" s="74">
        <f>IFERROR(IF(OR(J347=0,K347=""),"",IF(E347="Positivo",MIN(MAX(K347/J347,0),1.3),MIN(MAX(J347/K347,0),1.3))),"") </f>
        <v/>
      </c>
      <c r="M347" s="14">
        <f>IFERROR(IF(OR(J347=0,K347=""),"",IF(E347="Positivo",MAX(K347/J347,0),MAX(J347/K347,0))),"") </f>
        <v/>
      </c>
      <c r="N347" s="5" t="inlineStr">
        <is>
          <t>$</t>
        </is>
      </c>
      <c r="O347" s="5" t="inlineStr">
        <is>
          <t>$</t>
        </is>
      </c>
      <c r="P347" s="5" t="n">
        <v>0</v>
      </c>
      <c r="Q347" s="5" t="n">
        <v>0</v>
      </c>
      <c r="R347" s="5" t="inlineStr">
        <is>
          <t>205-2023-06-30</t>
        </is>
      </c>
    </row>
    <row r="348">
      <c r="A348" s="26" t="n">
        <v>205</v>
      </c>
      <c r="B348" s="5" t="inlineStr">
        <is>
          <t>Utilidad Neta</t>
        </is>
      </c>
      <c r="C348" s="5" t="inlineStr">
        <is>
          <t>Planeación Financiera</t>
        </is>
      </c>
      <c r="D348" s="5" t="inlineStr">
        <is>
          <t>Semestral</t>
        </is>
      </c>
      <c r="E348" s="5" t="inlineStr">
        <is>
          <t>Positivo</t>
        </is>
      </c>
      <c r="F348" s="107" t="n">
        <v>45291</v>
      </c>
      <c r="G348" s="5" t="n">
        <v>2023</v>
      </c>
      <c r="H348" s="5" t="inlineStr">
        <is>
          <t>Diciembre</t>
        </is>
      </c>
      <c r="I348" s="6" t="inlineStr">
        <is>
          <t>2023-2</t>
        </is>
      </c>
      <c r="J348" s="5" t="n">
        <v>95</v>
      </c>
      <c r="K348" s="5" t="n">
        <v>426.51</v>
      </c>
      <c r="L348" s="74">
        <f>IFERROR(IF(OR(J348=0,K348=""),"",IF(E348="Positivo",MIN(MAX(K348/J348,0),1.3),MIN(MAX(J348/K348,0),1.3))),"") </f>
        <v/>
      </c>
      <c r="M348" s="14">
        <f>IFERROR(IF(OR(J348=0,K348=""),"",IF(E348="Positivo",MAX(K348/J348,0),MAX(J348/K348,0))),"") </f>
        <v/>
      </c>
      <c r="N348" s="5" t="inlineStr">
        <is>
          <t>$</t>
        </is>
      </c>
      <c r="O348" s="5" t="inlineStr">
        <is>
          <t>$</t>
        </is>
      </c>
      <c r="P348" s="5" t="n">
        <v>0</v>
      </c>
      <c r="Q348" s="5" t="n">
        <v>0</v>
      </c>
      <c r="R348" s="5" t="inlineStr">
        <is>
          <t>205-2023-12-31</t>
        </is>
      </c>
    </row>
    <row r="349">
      <c r="A349" s="5" t="n">
        <v>205</v>
      </c>
      <c r="B349" s="5" t="inlineStr">
        <is>
          <t>Utilidad Neta</t>
        </is>
      </c>
      <c r="C349" s="5" t="inlineStr">
        <is>
          <t>Planeación Financiera</t>
        </is>
      </c>
      <c r="D349" s="5" t="inlineStr">
        <is>
          <t>Semestral</t>
        </is>
      </c>
      <c r="E349" s="5" t="inlineStr">
        <is>
          <t>Positivo</t>
        </is>
      </c>
      <c r="F349" s="107" t="n">
        <v>45473</v>
      </c>
      <c r="G349" s="5" t="n">
        <v>2024</v>
      </c>
      <c r="H349" s="5" t="inlineStr">
        <is>
          <t>Junio</t>
        </is>
      </c>
      <c r="I349" s="6" t="inlineStr">
        <is>
          <t>2024-1</t>
        </is>
      </c>
      <c r="J349" s="5" t="n">
        <v>95</v>
      </c>
      <c r="K349" s="5" t="n">
        <v>215.07</v>
      </c>
      <c r="L349" s="14">
        <f>IFERROR(IF(OR(J349=0,K349=""),"",IF(E349="Positivo",MIN(MAX(K349/J349,0),1.3),MIN(MAX(J349/K349,0),1.3))),"") </f>
        <v/>
      </c>
      <c r="M349" s="14">
        <f>IFERROR(IF(OR(J349=0,K349=""),"",IF(E349="Positivo",MAX(K349/J349,0),MAX(J349/K349,0))),"") </f>
        <v/>
      </c>
      <c r="N349" s="5" t="inlineStr">
        <is>
          <t>$</t>
        </is>
      </c>
      <c r="O349" s="5" t="inlineStr">
        <is>
          <t>$</t>
        </is>
      </c>
      <c r="P349" s="5" t="n">
        <v>0</v>
      </c>
      <c r="Q349" s="5" t="n">
        <v>0</v>
      </c>
      <c r="R349" s="5" t="inlineStr">
        <is>
          <t>205-2024-06-30</t>
        </is>
      </c>
    </row>
    <row r="350">
      <c r="A350" s="5" t="n">
        <v>205</v>
      </c>
      <c r="B350" s="5" t="inlineStr">
        <is>
          <t>Utilidad Neta</t>
        </is>
      </c>
      <c r="C350" s="5" t="inlineStr">
        <is>
          <t>Planeación Financiera</t>
        </is>
      </c>
      <c r="D350" s="5" t="inlineStr">
        <is>
          <t>Semestral</t>
        </is>
      </c>
      <c r="E350" s="5" t="inlineStr">
        <is>
          <t>Positivo</t>
        </is>
      </c>
      <c r="F350" s="107" t="n">
        <v>45657</v>
      </c>
      <c r="G350" s="5" t="n">
        <v>2024</v>
      </c>
      <c r="H350" s="5" t="inlineStr">
        <is>
          <t>Diciembre</t>
        </is>
      </c>
      <c r="I350" s="6" t="inlineStr">
        <is>
          <t>2024-2</t>
        </is>
      </c>
      <c r="J350" s="5" t="n">
        <v>95</v>
      </c>
      <c r="K350" s="5" t="n">
        <v>184.72</v>
      </c>
      <c r="L350" s="14">
        <f>IFERROR(IF(OR(J350=0,K350=""),"",IF(E350="Positivo",MIN(MAX(K350/J350,0),1.3),MIN(MAX(J350/K350,0),1.3))),"") </f>
        <v/>
      </c>
      <c r="M350" s="14">
        <f>IFERROR(IF(OR(J350=0,K350=""),"",IF(E350="Positivo",MAX(K350/J350,0),MAX(J350/K350,0))),"") </f>
        <v/>
      </c>
      <c r="N350" s="5" t="inlineStr">
        <is>
          <t>$</t>
        </is>
      </c>
      <c r="O350" s="5" t="inlineStr">
        <is>
          <t>$</t>
        </is>
      </c>
      <c r="P350" s="5" t="n">
        <v>0</v>
      </c>
      <c r="Q350" s="5" t="n">
        <v>0</v>
      </c>
      <c r="R350" s="5" t="inlineStr">
        <is>
          <t>205-2024-12-31</t>
        </is>
      </c>
    </row>
    <row r="351">
      <c r="A351" s="26" t="n">
        <v>205</v>
      </c>
      <c r="B351" s="5" t="inlineStr">
        <is>
          <t>Utilidad Neta</t>
        </is>
      </c>
      <c r="C351" s="5" t="inlineStr">
        <is>
          <t>Planeación Financiera</t>
        </is>
      </c>
      <c r="D351" s="5" t="inlineStr">
        <is>
          <t>Semestral</t>
        </is>
      </c>
      <c r="E351" s="5" t="inlineStr">
        <is>
          <t>Positivo</t>
        </is>
      </c>
      <c r="F351" s="107" t="n">
        <v>45838</v>
      </c>
      <c r="G351" s="5" t="n">
        <v>2025</v>
      </c>
      <c r="H351" s="5" t="inlineStr">
        <is>
          <t>Junio</t>
        </is>
      </c>
      <c r="I351" s="6" t="inlineStr">
        <is>
          <t>2025-1</t>
        </is>
      </c>
      <c r="J351" s="5" t="n">
        <v>95</v>
      </c>
      <c r="K351" s="5" t="n">
        <v>186.31</v>
      </c>
      <c r="L351" s="74">
        <f>IFERROR(IF(OR(J351=0,K351=""),"",IF(E351="Positivo",MIN(MAX(K351/J351,0),1.3),MIN(MAX(J351/K351,0),1.3))),"") </f>
        <v/>
      </c>
      <c r="M351" s="14">
        <f>IFERROR(IF(OR(J351=0,K351=""),"",IF(E351="Positivo",MAX(K351/J351,0),MAX(J351/K351,0))),"") </f>
        <v/>
      </c>
      <c r="N351" s="5" t="inlineStr">
        <is>
          <t>$</t>
        </is>
      </c>
      <c r="O351" s="5" t="inlineStr">
        <is>
          <t>$</t>
        </is>
      </c>
      <c r="P351" s="5" t="n">
        <v>0</v>
      </c>
      <c r="Q351" s="5" t="n">
        <v>0</v>
      </c>
      <c r="R351" s="5" t="inlineStr">
        <is>
          <t>205-2025-06-30</t>
        </is>
      </c>
    </row>
    <row r="352">
      <c r="A352" s="26" t="n">
        <v>205</v>
      </c>
      <c r="B352" s="5" t="inlineStr">
        <is>
          <t>Utilidad Neta</t>
        </is>
      </c>
      <c r="C352" s="5" t="inlineStr">
        <is>
          <t>Planeación Financiera</t>
        </is>
      </c>
      <c r="D352" s="5" t="inlineStr">
        <is>
          <t>Trimestral</t>
        </is>
      </c>
      <c r="E352" s="5" t="inlineStr">
        <is>
          <t>Positivo</t>
        </is>
      </c>
      <c r="F352" s="107" t="n">
        <v>46022</v>
      </c>
      <c r="G352" s="5" t="n">
        <v>2025</v>
      </c>
      <c r="H352" s="5" t="inlineStr">
        <is>
          <t>Diciembre</t>
        </is>
      </c>
      <c r="I352" s="6" t="inlineStr">
        <is>
          <t>2025-2</t>
        </is>
      </c>
      <c r="J352" s="5" t="n">
        <v>95</v>
      </c>
      <c r="K352" s="5" t="n">
        <v>123.05</v>
      </c>
      <c r="L352" s="74">
        <f>IFERROR(IF(OR(J352=0,K352=""),"",IF(E352="Positivo",MIN(MAX(K352/J352,0),1.3),MIN(MAX(J352/K352,0),1.3))),"") </f>
        <v/>
      </c>
      <c r="M352" s="14">
        <f>IFERROR(IF(OR(J352=0,K352=""),"",IF(E352="Positivo",MAX(K352/J352,0),MAX(J352/K352,0))),"") </f>
        <v/>
      </c>
      <c r="N352" s="5" t="inlineStr">
        <is>
          <t>$</t>
        </is>
      </c>
      <c r="O352" s="5" t="inlineStr">
        <is>
          <t>$</t>
        </is>
      </c>
      <c r="P352" s="5" t="n">
        <v>0</v>
      </c>
      <c r="Q352" s="5" t="n">
        <v>0</v>
      </c>
      <c r="R352" s="5" t="inlineStr">
        <is>
          <t>205-2025-12-31</t>
        </is>
      </c>
    </row>
    <row r="353">
      <c r="A353" s="5" t="n">
        <v>206</v>
      </c>
      <c r="B353" s="5" t="inlineStr">
        <is>
          <t>Inversión en CAPEX de la utilidad anterior</t>
        </is>
      </c>
      <c r="C353" s="5" t="inlineStr">
        <is>
          <t>Planeación Financiera</t>
        </is>
      </c>
      <c r="D353" s="5" t="inlineStr">
        <is>
          <t>Semestral</t>
        </is>
      </c>
      <c r="E353" s="5" t="inlineStr">
        <is>
          <t>Positivo</t>
        </is>
      </c>
      <c r="F353" s="107" t="n">
        <v>45107</v>
      </c>
      <c r="G353" s="5" t="n">
        <v>2023</v>
      </c>
      <c r="H353" s="5" t="inlineStr">
        <is>
          <t>Junio</t>
        </is>
      </c>
      <c r="I353" s="6" t="inlineStr">
        <is>
          <t>2023-1</t>
        </is>
      </c>
      <c r="J353" s="5" t="n">
        <v>1</v>
      </c>
      <c r="K353" s="5" t="n">
        <v>1.2336951835584</v>
      </c>
      <c r="L353" s="14">
        <f>IFERROR(IF(OR(J353=0,K353=""),"",IF(E353="Positivo",MIN(MAX(K353/J353,0),1.3),MIN(MAX(J353/K353,0),1.3))),"") </f>
        <v/>
      </c>
      <c r="M353" s="14">
        <f>IFERROR(IF(OR(J353=0,K353=""),"",IF(E353="Positivo",MAX(K353/J353,0),MAX(J353/K353,0))),"") </f>
        <v/>
      </c>
      <c r="N353" s="5" t="inlineStr">
        <is>
          <t>$</t>
        </is>
      </c>
      <c r="O353" s="5" t="inlineStr">
        <is>
          <t>$</t>
        </is>
      </c>
      <c r="P353" s="5" t="n">
        <v>0</v>
      </c>
      <c r="Q353" s="5" t="n">
        <v>0</v>
      </c>
      <c r="R353" s="5" t="inlineStr">
        <is>
          <t>206-2023-06-30</t>
        </is>
      </c>
    </row>
    <row r="354">
      <c r="A354" s="5" t="n">
        <v>206</v>
      </c>
      <c r="B354" s="5" t="inlineStr">
        <is>
          <t>Inversión en CAPEX de la utilidad anterior</t>
        </is>
      </c>
      <c r="C354" s="5" t="inlineStr">
        <is>
          <t>Planeación Financiera</t>
        </is>
      </c>
      <c r="D354" s="5" t="inlineStr">
        <is>
          <t>Semestral</t>
        </is>
      </c>
      <c r="E354" s="5" t="inlineStr">
        <is>
          <t>Positivo</t>
        </is>
      </c>
      <c r="F354" s="107" t="n">
        <v>45291</v>
      </c>
      <c r="G354" s="5" t="n">
        <v>2023</v>
      </c>
      <c r="H354" s="5" t="inlineStr">
        <is>
          <t>Diciembre</t>
        </is>
      </c>
      <c r="I354" s="6" t="inlineStr">
        <is>
          <t>2023-2</t>
        </is>
      </c>
      <c r="J354" s="5" t="n">
        <v>1</v>
      </c>
      <c r="K354" s="5" t="n">
        <v>4.606790289121734</v>
      </c>
      <c r="L354" s="14">
        <f>IFERROR(IF(OR(J354=0,K354=""),"",IF(E354="Positivo",MIN(MAX(K354/J354,0),1.3),MIN(MAX(J354/K354,0),1.3))),"") </f>
        <v/>
      </c>
      <c r="M354" s="14">
        <f>IFERROR(IF(OR(J354=0,K354=""),"",IF(E354="Positivo",MAX(K354/J354,0),MAX(J354/K354,0))),"") </f>
        <v/>
      </c>
      <c r="N354" s="5" t="inlineStr">
        <is>
          <t>$</t>
        </is>
      </c>
      <c r="O354" s="5" t="inlineStr">
        <is>
          <t>$</t>
        </is>
      </c>
      <c r="P354" s="5" t="n">
        <v>0</v>
      </c>
      <c r="Q354" s="5" t="n">
        <v>0</v>
      </c>
      <c r="R354" s="5" t="inlineStr">
        <is>
          <t>206-2023-12-31</t>
        </is>
      </c>
    </row>
    <row r="355">
      <c r="A355" s="26" t="n">
        <v>206</v>
      </c>
      <c r="B355" s="5" t="inlineStr">
        <is>
          <t>Inversión en CAPEX de la utilidad anterior</t>
        </is>
      </c>
      <c r="C355" s="5" t="inlineStr">
        <is>
          <t>Planeación Financiera</t>
        </is>
      </c>
      <c r="D355" s="5" t="inlineStr">
        <is>
          <t>Semestral</t>
        </is>
      </c>
      <c r="E355" s="5" t="inlineStr">
        <is>
          <t>Positivo</t>
        </is>
      </c>
      <c r="F355" s="107" t="n">
        <v>45657</v>
      </c>
      <c r="G355" s="5" t="n">
        <v>2024</v>
      </c>
      <c r="H355" s="5" t="inlineStr">
        <is>
          <t>Diciembre</t>
        </is>
      </c>
      <c r="I355" s="6" t="inlineStr">
        <is>
          <t>2024-2</t>
        </is>
      </c>
      <c r="J355" s="5" t="n">
        <v>1</v>
      </c>
      <c r="K355" s="5" t="n">
        <v>1.37</v>
      </c>
      <c r="L355" s="74">
        <f>IFERROR(IF(OR(J355=0,K355=""),"",IF(E355="Positivo",MIN(MAX(K355/J355,0),1.3),MIN(MAX(J355/K355,0),1.3))),"") </f>
        <v/>
      </c>
      <c r="M355" s="14">
        <f>IFERROR(IF(OR(J355=0,K355=""),"",IF(E355="Positivo",MAX(K355/J355,0),MAX(J355/K355,0))),"") </f>
        <v/>
      </c>
      <c r="N355" s="5" t="inlineStr">
        <is>
          <t>$</t>
        </is>
      </c>
      <c r="O355" s="5" t="inlineStr">
        <is>
          <t>$</t>
        </is>
      </c>
      <c r="P355" s="5" t="n">
        <v>0</v>
      </c>
      <c r="Q355" s="5" t="n">
        <v>0</v>
      </c>
      <c r="R355" s="5" t="inlineStr">
        <is>
          <t>206-2024-12-31</t>
        </is>
      </c>
    </row>
    <row r="356">
      <c r="A356" s="26" t="n">
        <v>206</v>
      </c>
      <c r="B356" s="5" t="inlineStr">
        <is>
          <t>Inversión en CAPEX de la utilidad anterior</t>
        </is>
      </c>
      <c r="C356" s="5" t="inlineStr">
        <is>
          <t>Planeación Financiera</t>
        </is>
      </c>
      <c r="D356" s="5" t="inlineStr">
        <is>
          <t>Anual</t>
        </is>
      </c>
      <c r="E356" s="5" t="inlineStr">
        <is>
          <t>Positivo</t>
        </is>
      </c>
      <c r="F356" s="107" t="n">
        <v>46022</v>
      </c>
      <c r="G356" s="5" t="n">
        <v>2025</v>
      </c>
      <c r="H356" s="5" t="inlineStr">
        <is>
          <t>Diciembre</t>
        </is>
      </c>
      <c r="I356" s="6" t="inlineStr">
        <is>
          <t>2025-2</t>
        </is>
      </c>
      <c r="J356" s="5" t="n">
        <v>1</v>
      </c>
      <c r="K356" s="5" t="n">
        <v>2.14</v>
      </c>
      <c r="L356" s="74">
        <f>IFERROR(IF(OR(J356=0,K356=""),"",IF(E356="Positivo",MIN(MAX(K356/J356,0),1.3),MIN(MAX(J356/K356,0),1.3))),"") </f>
        <v/>
      </c>
      <c r="M356" s="14">
        <f>IFERROR(IF(OR(J356=0,K356=""),"",IF(E356="Positivo",MAX(K356/J356,0),MAX(J356/K356,0))),"") </f>
        <v/>
      </c>
      <c r="N356" s="5" t="inlineStr">
        <is>
          <t>%</t>
        </is>
      </c>
      <c r="O356" s="5" t="inlineStr">
        <is>
          <t>%</t>
        </is>
      </c>
      <c r="P356" s="5" t="n">
        <v>0</v>
      </c>
      <c r="Q356" s="5" t="n">
        <v>2</v>
      </c>
      <c r="R356" s="5" t="inlineStr">
        <is>
          <t>206-2025-12-31</t>
        </is>
      </c>
    </row>
    <row r="357">
      <c r="A357" s="5" t="n">
        <v>207</v>
      </c>
      <c r="B357" s="5" t="inlineStr">
        <is>
          <t>Nivel de Cumplimiento Opex</t>
        </is>
      </c>
      <c r="C357" s="5" t="inlineStr">
        <is>
          <t>Planeación Financiera</t>
        </is>
      </c>
      <c r="D357" s="5" t="inlineStr">
        <is>
          <t>Semestral</t>
        </is>
      </c>
      <c r="E357" s="5" t="inlineStr">
        <is>
          <t>Negativo</t>
        </is>
      </c>
      <c r="F357" s="107" t="n">
        <v>45107</v>
      </c>
      <c r="G357" s="5" t="n">
        <v>2023</v>
      </c>
      <c r="H357" s="5" t="inlineStr">
        <is>
          <t>Junio</t>
        </is>
      </c>
      <c r="I357" s="6" t="inlineStr">
        <is>
          <t>2023-1</t>
        </is>
      </c>
      <c r="J357" s="5" t="n">
        <v>100</v>
      </c>
      <c r="K357" s="5" t="n">
        <v>101.19882903781</v>
      </c>
      <c r="L357" s="14">
        <f>IFERROR(IF(OR(J357=0,K357=""),"",IF(E357="Positivo",MIN(MAX(K357/J357,0),1.3),MIN(MAX(J357/K357,0),1.3))),"") </f>
        <v/>
      </c>
      <c r="M357" s="14">
        <f>IFERROR(IF(OR(J357=0,K357=""),"",IF(E357="Positivo",MAX(K357/J357,0),MAX(J357/K357,0))),"") </f>
        <v/>
      </c>
      <c r="N357" s="5" t="inlineStr">
        <is>
          <t>$</t>
        </is>
      </c>
      <c r="O357" s="5" t="inlineStr">
        <is>
          <t>$</t>
        </is>
      </c>
      <c r="P357" s="5" t="n">
        <v>0</v>
      </c>
      <c r="Q357" s="5" t="n">
        <v>0</v>
      </c>
      <c r="R357" s="5" t="inlineStr">
        <is>
          <t>207-2023-06-30</t>
        </is>
      </c>
    </row>
    <row r="358">
      <c r="A358" s="5" t="n">
        <v>207</v>
      </c>
      <c r="B358" s="5" t="inlineStr">
        <is>
          <t>Nivel de Cumplimiento Opex</t>
        </is>
      </c>
      <c r="C358" s="5" t="inlineStr">
        <is>
          <t>Planeación Financiera</t>
        </is>
      </c>
      <c r="D358" s="5" t="inlineStr">
        <is>
          <t>Semestral</t>
        </is>
      </c>
      <c r="E358" s="5" t="inlineStr">
        <is>
          <t>Negativo</t>
        </is>
      </c>
      <c r="F358" s="107" t="n">
        <v>45291</v>
      </c>
      <c r="G358" s="5" t="n">
        <v>2023</v>
      </c>
      <c r="H358" s="5" t="inlineStr">
        <is>
          <t>Diciembre</t>
        </is>
      </c>
      <c r="I358" s="6" t="inlineStr">
        <is>
          <t>2023-2</t>
        </is>
      </c>
      <c r="J358" s="5" t="n">
        <v>100</v>
      </c>
      <c r="K358" s="5" t="n">
        <v>103.6</v>
      </c>
      <c r="L358" s="14">
        <f>IFERROR(IF(OR(J358=0,K358=""),"",IF(E358="Positivo",MIN(MAX(K358/J358,0),1.3),MIN(MAX(J358/K358,0),1.3))),"") </f>
        <v/>
      </c>
      <c r="M358" s="14">
        <f>IFERROR(IF(OR(J358=0,K358=""),"",IF(E358="Positivo",MAX(K358/J358,0),MAX(J358/K358,0))),"") </f>
        <v/>
      </c>
      <c r="N358" s="5" t="inlineStr">
        <is>
          <t>$</t>
        </is>
      </c>
      <c r="O358" s="5" t="inlineStr">
        <is>
          <t>$</t>
        </is>
      </c>
      <c r="P358" s="5" t="n">
        <v>0</v>
      </c>
      <c r="Q358" s="5" t="n">
        <v>0</v>
      </c>
      <c r="R358" s="5" t="inlineStr">
        <is>
          <t>207-2023-12-31</t>
        </is>
      </c>
    </row>
    <row r="359">
      <c r="A359" s="21" t="n">
        <v>207</v>
      </c>
      <c r="B359" s="5" t="inlineStr">
        <is>
          <t>Nivel de Cumplimiento Opex</t>
        </is>
      </c>
      <c r="C359" s="5" t="inlineStr">
        <is>
          <t>Planeación Financiera</t>
        </is>
      </c>
      <c r="D359" s="5" t="inlineStr">
        <is>
          <t>Semestral</t>
        </is>
      </c>
      <c r="E359" s="5" t="inlineStr">
        <is>
          <t>Negativo</t>
        </is>
      </c>
      <c r="F359" s="107" t="n">
        <v>45473</v>
      </c>
      <c r="G359" s="5" t="n">
        <v>2024</v>
      </c>
      <c r="H359" s="5" t="inlineStr">
        <is>
          <t>Junio</t>
        </is>
      </c>
      <c r="I359" s="6" t="inlineStr">
        <is>
          <t>2024-1</t>
        </is>
      </c>
      <c r="J359" s="5" t="n">
        <v>100</v>
      </c>
      <c r="K359" s="11" t="n">
        <v>101.79</v>
      </c>
      <c r="L359" s="74">
        <f>IFERROR(IF(OR(J359=0,K359=""),"",IF(E359="Positivo",MIN(MAX(K359/J359,0),1.3),MIN(MAX(J359/K359,0),1.3))),"") </f>
        <v/>
      </c>
      <c r="M359" s="14">
        <f>IFERROR(IF(OR(J359=0,K359=""),"",IF(E359="Positivo",MAX(K359/J359,0),MAX(J359/K359,0))),"") </f>
        <v/>
      </c>
      <c r="N359" s="5" t="inlineStr">
        <is>
          <t>$</t>
        </is>
      </c>
      <c r="O359" s="5" t="inlineStr">
        <is>
          <t>$</t>
        </is>
      </c>
      <c r="P359" s="5" t="n">
        <v>0</v>
      </c>
      <c r="Q359" s="5" t="n">
        <v>0</v>
      </c>
      <c r="R359" s="5" t="inlineStr">
        <is>
          <t>207-2024-06-30</t>
        </is>
      </c>
    </row>
    <row r="360">
      <c r="A360" s="26" t="n">
        <v>207</v>
      </c>
      <c r="B360" s="5" t="inlineStr">
        <is>
          <t>Nivel de Cumplimiento Opex</t>
        </is>
      </c>
      <c r="C360" s="5" t="inlineStr">
        <is>
          <t>Planeación Financiera</t>
        </is>
      </c>
      <c r="D360" s="5" t="inlineStr">
        <is>
          <t>Semestral</t>
        </is>
      </c>
      <c r="E360" s="5" t="inlineStr">
        <is>
          <t>Negativo</t>
        </is>
      </c>
      <c r="F360" s="107" t="n">
        <v>45657</v>
      </c>
      <c r="G360" s="5" t="n">
        <v>2024</v>
      </c>
      <c r="H360" s="5" t="inlineStr">
        <is>
          <t>Diciembre</t>
        </is>
      </c>
      <c r="I360" s="6" t="inlineStr">
        <is>
          <t>2024-2</t>
        </is>
      </c>
      <c r="J360" s="5" t="n">
        <v>100</v>
      </c>
      <c r="K360" s="5" t="n">
        <v>102.2</v>
      </c>
      <c r="L360" s="74">
        <f>IFERROR(IF(OR(J360=0,K360=""),"",IF(E360="Positivo",MIN(MAX(K360/J360,0),1.3),MIN(MAX(J360/K360,0),1.3))),"") </f>
        <v/>
      </c>
      <c r="M360" s="14">
        <f>IFERROR(IF(OR(J360=0,K360=""),"",IF(E360="Positivo",MAX(K360/J360,0),MAX(J360/K360,0))),"") </f>
        <v/>
      </c>
      <c r="N360" s="5" t="inlineStr">
        <is>
          <t>$</t>
        </is>
      </c>
      <c r="O360" s="5" t="inlineStr">
        <is>
          <t>$</t>
        </is>
      </c>
      <c r="P360" s="5" t="n">
        <v>0</v>
      </c>
      <c r="Q360" s="5" t="n">
        <v>0</v>
      </c>
      <c r="R360" s="5" t="inlineStr">
        <is>
          <t>207-2024-12-31</t>
        </is>
      </c>
    </row>
    <row r="361">
      <c r="A361" s="21" t="n">
        <v>207</v>
      </c>
      <c r="B361" s="5" t="inlineStr">
        <is>
          <t>Nivel de Cumplimiento Opex</t>
        </is>
      </c>
      <c r="C361" s="5" t="inlineStr">
        <is>
          <t>Planeación Financiera</t>
        </is>
      </c>
      <c r="D361" s="5" t="inlineStr">
        <is>
          <t>Semestral</t>
        </is>
      </c>
      <c r="E361" s="5" t="inlineStr">
        <is>
          <t>Negativo</t>
        </is>
      </c>
      <c r="F361" s="106" t="n">
        <v>45838</v>
      </c>
      <c r="G361" s="5" t="n">
        <v>2025</v>
      </c>
      <c r="H361" s="5" t="inlineStr">
        <is>
          <t>Junio</t>
        </is>
      </c>
      <c r="I361" s="6" t="inlineStr">
        <is>
          <t>2025-1</t>
        </is>
      </c>
      <c r="J361" s="5" t="n">
        <v>100</v>
      </c>
      <c r="K361" s="5" t="n">
        <v>110.9</v>
      </c>
      <c r="L361" s="14">
        <f>IFERROR(IF(OR(J361=0,K361=""),"",IF(E361="Positivo",MIN(MAX(K361/J361,0),1.3),MIN(MAX(J361/K361,0),1.3))),"") </f>
        <v/>
      </c>
      <c r="M361" s="14">
        <f>IFERROR(IF(OR(J361=0,K361=""),"",IF(E361="Positivo",MAX(K361/J361,0),MAX(J361/K361,0))),"") </f>
        <v/>
      </c>
      <c r="N361" s="5" t="inlineStr">
        <is>
          <t>$</t>
        </is>
      </c>
      <c r="O361" s="5" t="inlineStr">
        <is>
          <t>$</t>
        </is>
      </c>
      <c r="P361" s="5" t="n">
        <v>0</v>
      </c>
      <c r="Q361" s="5" t="n">
        <v>0</v>
      </c>
      <c r="R361" s="5" t="inlineStr">
        <is>
          <t>207-2025-06-30</t>
        </is>
      </c>
    </row>
    <row r="362">
      <c r="A362" s="21" t="n">
        <v>207</v>
      </c>
      <c r="B362" s="5" t="inlineStr">
        <is>
          <t>Nivel de Cumplimiento Opex</t>
        </is>
      </c>
      <c r="C362" s="5" t="inlineStr">
        <is>
          <t>Planeación Financiera</t>
        </is>
      </c>
      <c r="D362" s="5" t="inlineStr">
        <is>
          <t>Trimestral</t>
        </is>
      </c>
      <c r="E362" s="5" t="inlineStr">
        <is>
          <t>Negativo</t>
        </is>
      </c>
      <c r="F362" s="107" t="n">
        <v>46022</v>
      </c>
      <c r="G362" s="5" t="n">
        <v>2025</v>
      </c>
      <c r="H362" s="5" t="inlineStr">
        <is>
          <t>Diciembre</t>
        </is>
      </c>
      <c r="I362" s="6" t="inlineStr">
        <is>
          <t>2025-2</t>
        </is>
      </c>
      <c r="J362" s="5" t="n">
        <v>100</v>
      </c>
      <c r="K362" s="5" t="n">
        <v>110.62</v>
      </c>
      <c r="L362" s="14">
        <f>IFERROR(IF(OR(J362=0,K362=""),"",IF(E362="Positivo",MIN(MAX(K362/J362,0),1.3),MIN(MAX(J362/K362,0),1.3))),"") </f>
        <v/>
      </c>
      <c r="M362" s="14">
        <f>IFERROR(IF(OR(J362=0,K362=""),"",IF(E362="Positivo",MAX(K362/J362,0),MAX(J362/K362,0))),"") </f>
        <v/>
      </c>
      <c r="N362" s="5" t="inlineStr">
        <is>
          <t>$</t>
        </is>
      </c>
      <c r="O362" s="5" t="inlineStr">
        <is>
          <t>$</t>
        </is>
      </c>
      <c r="P362" s="5" t="n">
        <v>0</v>
      </c>
      <c r="Q362" s="5" t="n">
        <v>0</v>
      </c>
      <c r="R362" s="5" t="inlineStr">
        <is>
          <t>207-2025-12-31</t>
        </is>
      </c>
    </row>
    <row r="363">
      <c r="A363" s="21" t="n">
        <v>208</v>
      </c>
      <c r="B363" s="5" t="inlineStr">
        <is>
          <t>Consumo de Agua m3 Mensual</t>
        </is>
      </c>
      <c r="C363" s="5" t="inlineStr">
        <is>
          <t>GESTIÓN AMBIENTAL</t>
        </is>
      </c>
      <c r="D363" s="5" t="inlineStr">
        <is>
          <t>Mensual</t>
        </is>
      </c>
      <c r="E363" s="5" t="inlineStr">
        <is>
          <t>Negativo</t>
        </is>
      </c>
      <c r="F363" s="107" t="n">
        <v>44742</v>
      </c>
      <c r="G363" s="5" t="n">
        <v>2022</v>
      </c>
      <c r="H363" s="5" t="inlineStr">
        <is>
          <t>Junio</t>
        </is>
      </c>
      <c r="I363" s="6" t="inlineStr">
        <is>
          <t>2022-1</t>
        </is>
      </c>
      <c r="J363" s="5" t="n">
        <v>1700</v>
      </c>
      <c r="K363" s="5" t="n">
        <v>0</v>
      </c>
      <c r="L363" s="14">
        <f>IFERROR(IF(OR(J363=0,K363=""),"",IF(E363="Positivo",MIN(MAX(K363/J363,0),1.0),MIN(MAX(J363/K363,0),1.0))),"") </f>
        <v/>
      </c>
      <c r="M363" s="14">
        <f>IFERROR(IF(OR(J363=0,K363=""),"",IF(E363="Positivo",MAX(K363/J363,0),MAX(J363/K363,0))),"") </f>
        <v/>
      </c>
      <c r="N363" s="5" t="inlineStr">
        <is>
          <t>m3</t>
        </is>
      </c>
      <c r="O363" s="5" t="inlineStr">
        <is>
          <t>m3</t>
        </is>
      </c>
      <c r="P363" s="5" t="n">
        <v>0</v>
      </c>
      <c r="Q363" s="5" t="n">
        <v>0</v>
      </c>
      <c r="R363" s="5" t="inlineStr">
        <is>
          <t>208-2022-06-30</t>
        </is>
      </c>
    </row>
    <row r="364">
      <c r="A364" s="21" t="n">
        <v>208</v>
      </c>
      <c r="B364" s="5" t="inlineStr">
        <is>
          <t>Consumo de Agua m3 Mensual</t>
        </is>
      </c>
      <c r="C364" s="5" t="inlineStr">
        <is>
          <t>GESTIÓN AMBIENTAL</t>
        </is>
      </c>
      <c r="D364" s="5" t="inlineStr">
        <is>
          <t>Mensual</t>
        </is>
      </c>
      <c r="E364" s="5" t="inlineStr">
        <is>
          <t>Negativo</t>
        </is>
      </c>
      <c r="F364" s="107" t="n">
        <v>44926</v>
      </c>
      <c r="G364" s="5" t="n">
        <v>2022</v>
      </c>
      <c r="H364" s="5" t="inlineStr">
        <is>
          <t>Diciembre</t>
        </is>
      </c>
      <c r="I364" s="6" t="inlineStr">
        <is>
          <t>2022-2</t>
        </is>
      </c>
      <c r="J364" s="5" t="n">
        <v>1700</v>
      </c>
      <c r="K364" s="5" t="n">
        <v>0</v>
      </c>
      <c r="L364" s="14">
        <f>IFERROR(IF(OR(J364=0,K364=""),"",IF(E364="Positivo",MIN(MAX(K364/J364,0),1.0),MIN(MAX(J364/K364,0),1.0))),"") </f>
        <v/>
      </c>
      <c r="M364" s="14">
        <f>IFERROR(IF(OR(J364=0,K364=""),"",IF(E364="Positivo",MAX(K364/J364,0),MAX(J364/K364,0))),"") </f>
        <v/>
      </c>
      <c r="N364" s="5" t="inlineStr">
        <is>
          <t>m3</t>
        </is>
      </c>
      <c r="O364" s="5" t="inlineStr">
        <is>
          <t>m3</t>
        </is>
      </c>
      <c r="P364" s="5" t="n">
        <v>0</v>
      </c>
      <c r="Q364" s="5" t="n">
        <v>0</v>
      </c>
      <c r="R364" s="5" t="inlineStr">
        <is>
          <t>208-2022-12-31</t>
        </is>
      </c>
    </row>
    <row r="365">
      <c r="A365" s="21" t="n">
        <v>208</v>
      </c>
      <c r="B365" s="5" t="inlineStr">
        <is>
          <t>Consumo de Agua m3 Mensual</t>
        </is>
      </c>
      <c r="C365" s="5" t="inlineStr">
        <is>
          <t>GESTIÓN AMBIENTAL</t>
        </is>
      </c>
      <c r="D365" s="5" t="inlineStr">
        <is>
          <t>Mensual</t>
        </is>
      </c>
      <c r="E365" s="5" t="inlineStr">
        <is>
          <t>Negativo</t>
        </is>
      </c>
      <c r="F365" s="107" t="n">
        <v>45107</v>
      </c>
      <c r="G365" s="5" t="n">
        <v>2023</v>
      </c>
      <c r="H365" s="5" t="inlineStr">
        <is>
          <t>Junio</t>
        </is>
      </c>
      <c r="I365" s="6" t="inlineStr">
        <is>
          <t>2023-1</t>
        </is>
      </c>
      <c r="J365" s="5" t="n">
        <v>1700</v>
      </c>
      <c r="K365" s="5" t="n">
        <v>1093.216666666667</v>
      </c>
      <c r="L365" s="14">
        <f>IFERROR(IF(OR(J365=0,K365=""),"",IF(E365="Positivo",MIN(MAX(K365/J365,0),1.0),MIN(MAX(J365/K365,0),1.0))),"") </f>
        <v/>
      </c>
      <c r="M365" s="14">
        <f>IFERROR(IF(OR(J365=0,K365=""),"",IF(E365="Positivo",MAX(K365/J365,0),MAX(J365/K365,0))),"") </f>
        <v/>
      </c>
      <c r="N365" s="5" t="inlineStr">
        <is>
          <t>Linea base</t>
        </is>
      </c>
      <c r="O365" s="5" t="inlineStr">
        <is>
          <t>ENT</t>
        </is>
      </c>
      <c r="P365" s="5" t="n">
        <v>0</v>
      </c>
      <c r="Q365" s="5" t="n">
        <v>0</v>
      </c>
      <c r="R365" s="5" t="inlineStr">
        <is>
          <t>208-2023-06-30</t>
        </is>
      </c>
    </row>
    <row r="366">
      <c r="A366" s="5" t="n">
        <v>208</v>
      </c>
      <c r="B366" s="5" t="inlineStr">
        <is>
          <t>Consumo de Agua m3 Mensual</t>
        </is>
      </c>
      <c r="C366" s="5" t="inlineStr">
        <is>
          <t>GESTIÓN AMBIENTAL</t>
        </is>
      </c>
      <c r="D366" s="5" t="inlineStr">
        <is>
          <t>Mensual</t>
        </is>
      </c>
      <c r="E366" s="5" t="inlineStr">
        <is>
          <t>Negativo</t>
        </is>
      </c>
      <c r="F366" s="107" t="n">
        <v>45291</v>
      </c>
      <c r="G366" s="15" t="n">
        <v>2023</v>
      </c>
      <c r="H366" s="6" t="inlineStr">
        <is>
          <t>Diciembre</t>
        </is>
      </c>
      <c r="I366" s="6" t="inlineStr">
        <is>
          <t>2023-2</t>
        </is>
      </c>
      <c r="J366" s="5" t="n">
        <v>1700</v>
      </c>
      <c r="K366" s="7" t="n">
        <v>1363.4</v>
      </c>
      <c r="L366" s="14">
        <f>IFERROR(IF(OR(J366=0,K366=""),"",IF(E366="Positivo",MIN(MAX(K366/J366,0),1.0),MIN(MAX(J366/K366,0),1.0))),"") </f>
        <v/>
      </c>
      <c r="M366" s="14">
        <f>IFERROR(IF(OR(J366=0,K366=""),"",IF(E366="Positivo",MAX(K366/J366,0),MAX(J366/K366,0))),"") </f>
        <v/>
      </c>
      <c r="N366" s="5" t="inlineStr">
        <is>
          <t>Linea base</t>
        </is>
      </c>
      <c r="O366" s="5" t="inlineStr">
        <is>
          <t>ENT</t>
        </is>
      </c>
      <c r="P366" s="5" t="n">
        <v>0</v>
      </c>
      <c r="Q366" s="5" t="n">
        <v>0</v>
      </c>
      <c r="R366" s="5" t="inlineStr">
        <is>
          <t>208-2023-12-31</t>
        </is>
      </c>
    </row>
    <row r="367">
      <c r="A367" s="5" t="n">
        <v>208</v>
      </c>
      <c r="B367" s="5" t="inlineStr">
        <is>
          <t>Consumo de Agua m3 Mensual</t>
        </is>
      </c>
      <c r="C367" s="5" t="inlineStr">
        <is>
          <t>GESTIÓN AMBIENTAL</t>
        </is>
      </c>
      <c r="D367" s="5" t="inlineStr">
        <is>
          <t>Mensual</t>
        </is>
      </c>
      <c r="E367" s="5" t="inlineStr">
        <is>
          <t>Negativo</t>
        </is>
      </c>
      <c r="F367" s="107" t="n">
        <v>45473</v>
      </c>
      <c r="G367" s="15" t="n">
        <v>2024</v>
      </c>
      <c r="H367" s="6" t="inlineStr">
        <is>
          <t>Junio</t>
        </is>
      </c>
      <c r="I367" s="6" t="inlineStr">
        <is>
          <t>2024-1</t>
        </is>
      </c>
      <c r="J367" s="5" t="n">
        <v>1700</v>
      </c>
      <c r="K367" s="7" t="n">
        <v>1407</v>
      </c>
      <c r="L367" s="14">
        <f>IFERROR(IF(OR(J367=0,K367=""),"",IF(E367="Positivo",MIN(MAX(K367/J367,0),1.0),MIN(MAX(J367/K367,0),1.0))),"") </f>
        <v/>
      </c>
      <c r="M367" s="14">
        <f>IFERROR(IF(OR(J367=0,K367=""),"",IF(E367="Positivo",MAX(K367/J367,0),MAX(J367/K367,0))),"") </f>
        <v/>
      </c>
      <c r="N367" s="5" t="inlineStr">
        <is>
          <t>m3</t>
        </is>
      </c>
      <c r="O367" s="5" t="inlineStr">
        <is>
          <t>m3</t>
        </is>
      </c>
      <c r="P367" s="5" t="n">
        <v>0</v>
      </c>
      <c r="Q367" s="5" t="n">
        <v>0</v>
      </c>
      <c r="R367" s="5" t="inlineStr">
        <is>
          <t>208-2024-06-30</t>
        </is>
      </c>
    </row>
    <row r="368">
      <c r="A368" s="5" t="n">
        <v>208</v>
      </c>
      <c r="B368" s="5" t="inlineStr">
        <is>
          <t>Consumo de Agua m3 Mensual</t>
        </is>
      </c>
      <c r="C368" s="5" t="inlineStr">
        <is>
          <t>GESTIÓN AMBIENTAL</t>
        </is>
      </c>
      <c r="D368" s="5" t="inlineStr">
        <is>
          <t>Mensual</t>
        </is>
      </c>
      <c r="E368" s="5" t="inlineStr">
        <is>
          <t>Negativo</t>
        </is>
      </c>
      <c r="F368" s="107" t="n">
        <v>45657</v>
      </c>
      <c r="G368" s="15" t="n">
        <v>2024</v>
      </c>
      <c r="H368" s="6" t="inlineStr">
        <is>
          <t>Diciembre</t>
        </is>
      </c>
      <c r="I368" s="6" t="inlineStr">
        <is>
          <t>2024-2</t>
        </is>
      </c>
      <c r="J368" s="5" t="n">
        <v>1700</v>
      </c>
      <c r="K368" s="7" t="n">
        <v>1205.416666666667</v>
      </c>
      <c r="L368" s="14">
        <f>IFERROR(IF(OR(J368=0,K368=""),"",IF(E368="Positivo",MIN(MAX(K368/J368,0),1.0),MIN(MAX(J368/K368,0),1.0))),"") </f>
        <v/>
      </c>
      <c r="M368" s="14">
        <f>IFERROR(IF(OR(J368=0,K368=""),"",IF(E368="Positivo",MAX(K368/J368,0),MAX(J368/K368,0))),"") </f>
        <v/>
      </c>
      <c r="N368" s="5" t="inlineStr">
        <is>
          <t>m3</t>
        </is>
      </c>
      <c r="O368" s="5" t="inlineStr">
        <is>
          <t>m3</t>
        </is>
      </c>
      <c r="P368" s="5" t="n">
        <v>0</v>
      </c>
      <c r="Q368" s="5" t="n">
        <v>0</v>
      </c>
      <c r="R368" s="5" t="inlineStr">
        <is>
          <t>208-2024-12-31</t>
        </is>
      </c>
    </row>
    <row r="369">
      <c r="A369" s="26" t="n">
        <v>208</v>
      </c>
      <c r="B369" s="5" t="inlineStr">
        <is>
          <t>Consumo de Agua m3 Mensual</t>
        </is>
      </c>
      <c r="C369" s="5" t="inlineStr">
        <is>
          <t>GESTIÓN AMBIENTAL</t>
        </is>
      </c>
      <c r="D369" s="5" t="inlineStr">
        <is>
          <t>Mensual</t>
        </is>
      </c>
      <c r="E369" s="5" t="inlineStr">
        <is>
          <t>Negativo</t>
        </is>
      </c>
      <c r="F369" s="107" t="n">
        <v>45838</v>
      </c>
      <c r="G369" s="5" t="n">
        <v>2025</v>
      </c>
      <c r="H369" s="5" t="inlineStr">
        <is>
          <t>Junio</t>
        </is>
      </c>
      <c r="I369" s="6" t="inlineStr">
        <is>
          <t>2025-1</t>
        </is>
      </c>
      <c r="J369" s="5" t="n">
        <v>1700</v>
      </c>
      <c r="K369" s="5" t="n">
        <v>1225.416666666667</v>
      </c>
      <c r="L369" s="14">
        <f>IFERROR(IF(OR(J369=0,K369=""),"",IF(E369="Positivo",MIN(MAX(K369/J369,0),1.0),MIN(MAX(J369/K369,0),1.0))),"") </f>
        <v/>
      </c>
      <c r="M369" s="14">
        <f>IFERROR(IF(OR(J369=0,K369=""),"",IF(E369="Positivo",MAX(K369/J369,0),MAX(J369/K369,0))),"") </f>
        <v/>
      </c>
      <c r="N369" s="5" t="inlineStr">
        <is>
          <t>m3</t>
        </is>
      </c>
      <c r="O369" s="5" t="inlineStr">
        <is>
          <t>m3</t>
        </is>
      </c>
      <c r="P369" s="5" t="n">
        <v>0</v>
      </c>
      <c r="Q369" s="5" t="n">
        <v>0</v>
      </c>
      <c r="R369" s="5" t="inlineStr">
        <is>
          <t>208-2025-06-30</t>
        </is>
      </c>
    </row>
    <row r="370">
      <c r="A370" s="26" t="n">
        <v>208</v>
      </c>
      <c r="B370" s="5" t="inlineStr">
        <is>
          <t>Consumo de Agua m3 Mensual</t>
        </is>
      </c>
      <c r="C370" s="5" t="inlineStr">
        <is>
          <t>GESTIÓN AMBIENTAL</t>
        </is>
      </c>
      <c r="D370" s="5" t="inlineStr">
        <is>
          <t>Mensual</t>
        </is>
      </c>
      <c r="E370" s="5" t="inlineStr">
        <is>
          <t>Negativo</t>
        </is>
      </c>
      <c r="F370" s="107" t="n">
        <v>46022</v>
      </c>
      <c r="G370" s="5" t="n">
        <v>2025</v>
      </c>
      <c r="H370" s="5" t="inlineStr">
        <is>
          <t>Diciembre</t>
        </is>
      </c>
      <c r="I370" s="6" t="inlineStr">
        <is>
          <t>2025-2</t>
        </is>
      </c>
      <c r="J370" s="5" t="n">
        <v>1700</v>
      </c>
      <c r="K370" s="5" t="n">
        <v>1183.666666666667</v>
      </c>
      <c r="L370" s="14">
        <f>IFERROR(IF(OR(J370=0,K370=""),"",IF(E370="Positivo",MIN(MAX(K370/J370,0),1.0),MIN(MAX(J370/K370,0),1.0))),"") </f>
        <v/>
      </c>
      <c r="M370" s="14">
        <f>IFERROR(IF(OR(J370=0,K370=""),"",IF(E370="Positivo",MAX(K370/J370,0),MAX(J370/K370,0))),"") </f>
        <v/>
      </c>
      <c r="N370" s="5" t="inlineStr">
        <is>
          <t>m3</t>
        </is>
      </c>
      <c r="O370" s="5" t="inlineStr">
        <is>
          <t>m3</t>
        </is>
      </c>
      <c r="P370" s="5" t="n">
        <v>0</v>
      </c>
      <c r="Q370" s="5" t="n">
        <v>0</v>
      </c>
      <c r="R370" s="5" t="inlineStr">
        <is>
          <t>208-2025-12-31</t>
        </is>
      </c>
    </row>
    <row r="371">
      <c r="A371" s="26" t="n">
        <v>210</v>
      </c>
      <c r="B371" s="5" t="inlineStr">
        <is>
          <t>Aporte de los Procesos a los Objetivos de Desarrollo Sostenible</t>
        </is>
      </c>
      <c r="C371" s="5" t="inlineStr">
        <is>
          <t>GESTIÓN AMBIENTAL</t>
        </is>
      </c>
      <c r="D371" s="5" t="inlineStr">
        <is>
          <t>Anual</t>
        </is>
      </c>
      <c r="E371" s="5" t="inlineStr">
        <is>
          <t>Positivo</t>
        </is>
      </c>
      <c r="F371" s="107" t="n">
        <v>45291</v>
      </c>
      <c r="G371" s="5" t="n">
        <v>2023</v>
      </c>
      <c r="H371" s="5" t="inlineStr">
        <is>
          <t>Diciembre</t>
        </is>
      </c>
      <c r="I371" s="6" t="inlineStr">
        <is>
          <t>2023-2</t>
        </is>
      </c>
      <c r="J371" s="5" t="n"/>
      <c r="K371" s="5" t="n">
        <v>0</v>
      </c>
      <c r="L371" s="14" t="n"/>
      <c r="M371" s="14" t="n"/>
      <c r="N371" s="5" t="n"/>
      <c r="O371" s="5" t="n"/>
      <c r="P371" s="5" t="n">
        <v>0</v>
      </c>
      <c r="Q371" s="5" t="n">
        <v>0</v>
      </c>
      <c r="R371" s="5" t="inlineStr">
        <is>
          <t>210-2023-12-31</t>
        </is>
      </c>
    </row>
    <row r="372">
      <c r="A372" s="5" t="n">
        <v>213</v>
      </c>
      <c r="B372" s="5" t="inlineStr">
        <is>
          <t>Cumplimiento del Plan Anual del Sistema de Gestión Ambiental</t>
        </is>
      </c>
      <c r="C372" s="5" t="inlineStr">
        <is>
          <t>GESTIÓN AMBIENTAL</t>
        </is>
      </c>
      <c r="D372" s="5" t="inlineStr">
        <is>
          <t>Semestral</t>
        </is>
      </c>
      <c r="E372" s="5" t="inlineStr">
        <is>
          <t>Positivo</t>
        </is>
      </c>
      <c r="F372" s="107" t="n">
        <v>44742</v>
      </c>
      <c r="G372" s="5" t="n">
        <v>2022</v>
      </c>
      <c r="H372" s="5" t="inlineStr">
        <is>
          <t>Junio</t>
        </is>
      </c>
      <c r="I372" s="6" t="inlineStr">
        <is>
          <t>2022-1</t>
        </is>
      </c>
      <c r="J372" s="5" t="n">
        <v>90</v>
      </c>
      <c r="K372" s="5" t="n">
        <v>0</v>
      </c>
      <c r="L372" s="14">
        <f>IFERROR(IF(OR(J372=0,K372=""),"",IF(E372="Positivo",MIN(MAX(K372/J372,0),1.3),MIN(MAX(J372/K372,0),1.3))),"") </f>
        <v/>
      </c>
      <c r="M372" s="14">
        <f>IFERROR(IF(OR(J372=0,K372=""),"",IF(E372="Positivo",MAX(K372/J372,0),MAX(J372/K372,0))),"") </f>
        <v/>
      </c>
      <c r="N372" s="5" t="inlineStr">
        <is>
          <t>%</t>
        </is>
      </c>
      <c r="O372" s="5" t="inlineStr">
        <is>
          <t>%</t>
        </is>
      </c>
      <c r="P372" s="5" t="n">
        <v>0</v>
      </c>
      <c r="Q372" s="5" t="n">
        <v>0</v>
      </c>
      <c r="R372" s="5" t="inlineStr">
        <is>
          <t>213-2022-06-30</t>
        </is>
      </c>
    </row>
    <row r="373">
      <c r="A373" s="5" t="n">
        <v>213</v>
      </c>
      <c r="B373" s="5" t="inlineStr">
        <is>
          <t>Cumplimiento del Plan Anual del Sistema de Gestión Ambiental</t>
        </is>
      </c>
      <c r="C373" s="5" t="inlineStr">
        <is>
          <t>GESTIÓN AMBIENTAL</t>
        </is>
      </c>
      <c r="D373" s="5" t="inlineStr">
        <is>
          <t>Semestral</t>
        </is>
      </c>
      <c r="E373" s="5" t="inlineStr">
        <is>
          <t>Positivo</t>
        </is>
      </c>
      <c r="F373" s="106" t="n">
        <v>44926</v>
      </c>
      <c r="G373" s="15" t="n">
        <v>2022</v>
      </c>
      <c r="H373" s="6" t="inlineStr">
        <is>
          <t>Diciembre</t>
        </is>
      </c>
      <c r="I373" s="27" t="inlineStr">
        <is>
          <t>2022-2</t>
        </is>
      </c>
      <c r="J373" s="5" t="n">
        <v>90</v>
      </c>
      <c r="K373" s="5" t="n">
        <v>0</v>
      </c>
      <c r="L373" s="14">
        <f>IFERROR(IF(OR(J373=0,K373=""),"",IF(E373="Positivo",MIN(MAX(K373/J373,0),1.3),MIN(MAX(J373/K373,0),1.3))),"") </f>
        <v/>
      </c>
      <c r="M373" s="14">
        <f>IFERROR(IF(OR(J373=0,K373=""),"",IF(E373="Positivo",MAX(K373/J373,0),MAX(J373/K373,0))),"") </f>
        <v/>
      </c>
      <c r="N373" s="5" t="inlineStr">
        <is>
          <t>%</t>
        </is>
      </c>
      <c r="O373" s="5" t="inlineStr">
        <is>
          <t>%</t>
        </is>
      </c>
      <c r="P373" s="5" t="n">
        <v>0</v>
      </c>
      <c r="Q373" s="5" t="n">
        <v>0</v>
      </c>
      <c r="R373" s="5" t="inlineStr">
        <is>
          <t>213-2022-12-31</t>
        </is>
      </c>
    </row>
    <row r="374">
      <c r="A374" s="26" t="n">
        <v>213</v>
      </c>
      <c r="B374" s="5" t="inlineStr">
        <is>
          <t>Cumplimiento del Plan Anual del Sistema de Gestión Ambiental</t>
        </is>
      </c>
      <c r="C374" s="5" t="inlineStr">
        <is>
          <t>GESTIÓN AMBIENTAL</t>
        </is>
      </c>
      <c r="D374" s="5" t="inlineStr">
        <is>
          <t>Trimestral</t>
        </is>
      </c>
      <c r="E374" s="5" t="inlineStr">
        <is>
          <t>Positivo</t>
        </is>
      </c>
      <c r="F374" s="107" t="n">
        <v>45016</v>
      </c>
      <c r="G374" s="5" t="n">
        <v>2023</v>
      </c>
      <c r="H374" s="5" t="inlineStr">
        <is>
          <t>Marzo</t>
        </is>
      </c>
      <c r="I374" s="6" t="inlineStr">
        <is>
          <t>2023-1</t>
        </is>
      </c>
      <c r="J374" s="5" t="n">
        <v>90</v>
      </c>
      <c r="K374" s="5" t="n">
        <v>100</v>
      </c>
      <c r="L374" s="14">
        <f>IFERROR(IF(OR(J374=0,K374=""),"",IF(E374="Positivo",MIN(MAX(K374/J374,0),1.3),MIN(MAX(J374/K374,0),1.3))),"") </f>
        <v/>
      </c>
      <c r="M374" s="14">
        <f>IFERROR(IF(OR(J374=0,K374=""),"",IF(E374="Positivo",MAX(K374/J374,0),MAX(J374/K374,0))),"") </f>
        <v/>
      </c>
      <c r="N374" s="5" t="n"/>
      <c r="O374" s="5" t="n"/>
      <c r="P374" s="5" t="n">
        <v>1</v>
      </c>
      <c r="Q374" s="5" t="n">
        <v>1</v>
      </c>
      <c r="R374" s="5" t="inlineStr">
        <is>
          <t>213-2023-03-31</t>
        </is>
      </c>
    </row>
    <row r="375">
      <c r="A375" s="5" t="n">
        <v>213</v>
      </c>
      <c r="B375" s="5" t="inlineStr">
        <is>
          <t>Cumplimiento del Plan Anual del Sistema de Gestión Ambiental</t>
        </is>
      </c>
      <c r="C375" s="5" t="inlineStr">
        <is>
          <t>GESTIÓN AMBIENTAL</t>
        </is>
      </c>
      <c r="D375" s="5" t="inlineStr">
        <is>
          <t>Trimestral</t>
        </is>
      </c>
      <c r="E375" s="5" t="inlineStr">
        <is>
          <t>Positivo</t>
        </is>
      </c>
      <c r="F375" s="107" t="n">
        <v>45107</v>
      </c>
      <c r="G375" s="5" t="n">
        <v>2023</v>
      </c>
      <c r="H375" s="5" t="inlineStr">
        <is>
          <t>Junio</t>
        </is>
      </c>
      <c r="I375" s="6" t="inlineStr">
        <is>
          <t>2023-1</t>
        </is>
      </c>
      <c r="J375" s="5" t="n">
        <v>90</v>
      </c>
      <c r="K375" s="5" t="n">
        <v>93.33</v>
      </c>
      <c r="L375" s="14">
        <f>IFERROR(IF(OR(J375=0,K375=""),"",IF(E375="Positivo",MIN(MAX(K375/J375,0),1.3),MIN(MAX(J375/K375,0),1.3))),"") </f>
        <v/>
      </c>
      <c r="M375" s="14">
        <f>IFERROR(IF(OR(J375=0,K375=""),"",IF(E375="Positivo",MAX(K375/J375,0),MAX(J375/K375,0))),"") </f>
        <v/>
      </c>
      <c r="N375" s="5" t="n"/>
      <c r="O375" s="5" t="n"/>
      <c r="P375" s="5" t="n">
        <v>1</v>
      </c>
      <c r="Q375" s="5" t="n">
        <v>1</v>
      </c>
      <c r="R375" s="5" t="inlineStr">
        <is>
          <t>213-2023-06-30</t>
        </is>
      </c>
    </row>
    <row r="376">
      <c r="A376" s="5" t="n">
        <v>213</v>
      </c>
      <c r="B376" s="5" t="inlineStr">
        <is>
          <t>Cumplimiento del Plan Anual del Sistema de Gestión Ambiental</t>
        </is>
      </c>
      <c r="C376" s="5" t="inlineStr">
        <is>
          <t>GESTIÓN AMBIENTAL</t>
        </is>
      </c>
      <c r="D376" s="5" t="inlineStr">
        <is>
          <t>Trimestral</t>
        </is>
      </c>
      <c r="E376" s="5" t="inlineStr">
        <is>
          <t>Positivo</t>
        </is>
      </c>
      <c r="F376" s="107" t="n">
        <v>45199</v>
      </c>
      <c r="G376" s="5" t="n">
        <v>2023</v>
      </c>
      <c r="H376" s="5" t="inlineStr">
        <is>
          <t>Septiembre</t>
        </is>
      </c>
      <c r="I376" s="6" t="inlineStr">
        <is>
          <t>2023-2</t>
        </is>
      </c>
      <c r="J376" s="5" t="n">
        <v>90</v>
      </c>
      <c r="K376" s="5" t="n">
        <v>86.40000000000001</v>
      </c>
      <c r="L376" s="14">
        <f>IFERROR(IF(OR(J376=0,K376=""),"",IF(E376="Positivo",MIN(MAX(K376/J376,0),1.3),MIN(MAX(J376/K376,0),1.3))),"") </f>
        <v/>
      </c>
      <c r="M376" s="14">
        <f>IFERROR(IF(OR(J376=0,K376=""),"",IF(E376="Positivo",MAX(K376/J376,0),MAX(J376/K376,0))),"") </f>
        <v/>
      </c>
      <c r="N376" s="5" t="n"/>
      <c r="O376" s="5" t="n"/>
      <c r="P376" s="5" t="n">
        <v>1</v>
      </c>
      <c r="Q376" s="5" t="n">
        <v>1</v>
      </c>
      <c r="R376" s="5" t="inlineStr">
        <is>
          <t>213-2023-09-30</t>
        </is>
      </c>
    </row>
    <row r="377">
      <c r="A377" s="26" t="n">
        <v>213</v>
      </c>
      <c r="B377" s="5" t="inlineStr">
        <is>
          <t>Cumplimiento del Plan Anual del Sistema de Gestión Ambiental</t>
        </is>
      </c>
      <c r="C377" s="5" t="inlineStr">
        <is>
          <t>GESTIÓN AMBIENTAL</t>
        </is>
      </c>
      <c r="D377" s="5" t="inlineStr">
        <is>
          <t>Trimestral</t>
        </is>
      </c>
      <c r="E377" s="5" t="inlineStr">
        <is>
          <t>Positivo</t>
        </is>
      </c>
      <c r="F377" s="107" t="n">
        <v>45291</v>
      </c>
      <c r="G377" s="5" t="n">
        <v>2023</v>
      </c>
      <c r="H377" s="5" t="inlineStr">
        <is>
          <t>Diciembre</t>
        </is>
      </c>
      <c r="I377" s="6" t="inlineStr">
        <is>
          <t>2023-2</t>
        </is>
      </c>
      <c r="J377" s="5" t="n">
        <v>90</v>
      </c>
      <c r="K377" s="5" t="n">
        <v>100</v>
      </c>
      <c r="L377" s="74">
        <f>IFERROR(IF(OR(J377=0,K377=""),"",IF(E377="Positivo",MIN(MAX(K377/J377,0),1.3),MIN(MAX(J377/K377,0),1.3))),"") </f>
        <v/>
      </c>
      <c r="M377" s="14">
        <f>IFERROR(IF(OR(J377=0,K377=""),"",IF(E377="Positivo",MAX(K377/J377,0),MAX(J377/K377,0))),"") </f>
        <v/>
      </c>
      <c r="N377" s="5" t="n"/>
      <c r="O377" s="5" t="n"/>
      <c r="P377" s="5" t="n">
        <v>1</v>
      </c>
      <c r="Q377" s="5" t="n">
        <v>1</v>
      </c>
      <c r="R377" s="5" t="inlineStr">
        <is>
          <t>213-2023-12-31</t>
        </is>
      </c>
    </row>
    <row r="378">
      <c r="A378" s="5" t="n">
        <v>213</v>
      </c>
      <c r="B378" s="5" t="inlineStr">
        <is>
          <t>Cumplimiento del Plan Anual del Sistema de Gestión Ambiental</t>
        </is>
      </c>
      <c r="C378" s="5" t="inlineStr">
        <is>
          <t>GESTIÓN AMBIENTAL</t>
        </is>
      </c>
      <c r="D378" s="5" t="inlineStr">
        <is>
          <t>Trimestral</t>
        </is>
      </c>
      <c r="E378" s="5" t="inlineStr">
        <is>
          <t>Positivo</t>
        </is>
      </c>
      <c r="F378" s="107" t="n">
        <v>45473</v>
      </c>
      <c r="G378" s="5" t="n">
        <v>2024</v>
      </c>
      <c r="H378" s="5" t="inlineStr">
        <is>
          <t>Junio</t>
        </is>
      </c>
      <c r="I378" s="6" t="inlineStr">
        <is>
          <t>2024-1</t>
        </is>
      </c>
      <c r="J378" s="5" t="n">
        <v>90</v>
      </c>
      <c r="K378" s="5" t="n">
        <v>100</v>
      </c>
      <c r="L378" s="14">
        <f>IFERROR(IF(OR(J378=0,K378=""),"",IF(E378="Positivo",MIN(MAX(K378/J378,0),1.3),MIN(MAX(J378/K378,0),1.3))),"") </f>
        <v/>
      </c>
      <c r="M378" s="14">
        <f>IFERROR(IF(OR(J378=0,K378=""),"",IF(E378="Positivo",MAX(K378/J378,0),MAX(J378/K378,0))),"") </f>
        <v/>
      </c>
      <c r="N378" s="5" t="n"/>
      <c r="O378" s="5" t="n"/>
      <c r="P378" s="5" t="n">
        <v>0</v>
      </c>
      <c r="Q378" s="5" t="n">
        <v>0</v>
      </c>
      <c r="R378" s="5" t="inlineStr">
        <is>
          <t>213-2024-06-30</t>
        </is>
      </c>
    </row>
    <row r="379">
      <c r="A379" s="26" t="n">
        <v>213</v>
      </c>
      <c r="B379" s="5" t="inlineStr">
        <is>
          <t>Cumplimiento del Plan Anual del Sistema de Gestión Ambiental</t>
        </is>
      </c>
      <c r="C379" s="5" t="inlineStr">
        <is>
          <t>GESTIÓN AMBIENTAL</t>
        </is>
      </c>
      <c r="D379" s="5" t="inlineStr">
        <is>
          <t>Trimestral</t>
        </is>
      </c>
      <c r="E379" s="5" t="inlineStr">
        <is>
          <t>Positivo</t>
        </is>
      </c>
      <c r="F379" s="107" t="n">
        <v>45657</v>
      </c>
      <c r="G379" s="5" t="n">
        <v>2024</v>
      </c>
      <c r="H379" s="5" t="inlineStr">
        <is>
          <t>Diciembre</t>
        </is>
      </c>
      <c r="I379" s="6" t="inlineStr">
        <is>
          <t>2024-2</t>
        </is>
      </c>
      <c r="J379" s="5" t="n">
        <v>90</v>
      </c>
      <c r="K379" s="7" t="n">
        <v>100</v>
      </c>
      <c r="L379" s="74">
        <f>IFERROR(IF(OR(J379=0,K379=""),"",IF(E379="Positivo",MIN(MAX(K379/J379,0),1.3),MIN(MAX(J379/K379,0),1.3))),"") </f>
        <v/>
      </c>
      <c r="M379" s="14">
        <f>IFERROR(IF(OR(J379=0,K379=""),"",IF(E379="Positivo",MAX(K379/J379,0),MAX(J379/K379,0))),"") </f>
        <v/>
      </c>
      <c r="N379" s="5" t="n"/>
      <c r="O379" s="5" t="n"/>
      <c r="P379" s="5" t="n">
        <v>0</v>
      </c>
      <c r="Q379" s="5" t="n">
        <v>0</v>
      </c>
      <c r="R379" s="5" t="inlineStr">
        <is>
          <t>213-2024-12-31</t>
        </is>
      </c>
    </row>
    <row r="380">
      <c r="A380" s="26" t="n">
        <v>213</v>
      </c>
      <c r="B380" s="5" t="inlineStr">
        <is>
          <t>Cumplimiento del Plan Anual del Sistema de Gestión Ambiental</t>
        </is>
      </c>
      <c r="C380" s="5" t="inlineStr">
        <is>
          <t>GESTIÓN AMBIENTAL</t>
        </is>
      </c>
      <c r="D380" s="5" t="inlineStr">
        <is>
          <t>Semestral</t>
        </is>
      </c>
      <c r="E380" s="5" t="inlineStr">
        <is>
          <t>Positivo</t>
        </is>
      </c>
      <c r="F380" s="107" t="n">
        <v>45838</v>
      </c>
      <c r="G380" s="5" t="n">
        <v>2025</v>
      </c>
      <c r="H380" s="5" t="inlineStr">
        <is>
          <t>Junio</t>
        </is>
      </c>
      <c r="I380" s="6" t="inlineStr">
        <is>
          <t>2025-1</t>
        </is>
      </c>
      <c r="J380" s="5" t="n">
        <v>90</v>
      </c>
      <c r="K380" s="5" t="n">
        <v>94.63</v>
      </c>
      <c r="L380" s="74">
        <f>IFERROR(IF(OR(J380=0,K380=""),"",IF(E380="Positivo",MIN(MAX(K380/J380,0),1.3),MIN(MAX(J380/K380,0),1.3))),"") </f>
        <v/>
      </c>
      <c r="M380" s="14">
        <f>IFERROR(IF(OR(J380=0,K380=""),"",IF(E380="Positivo",MAX(K380/J380,0),MAX(J380/K380,0))),"") </f>
        <v/>
      </c>
      <c r="N380" s="5" t="inlineStr">
        <is>
          <t>%</t>
        </is>
      </c>
      <c r="O380" s="5" t="inlineStr">
        <is>
          <t>%</t>
        </is>
      </c>
      <c r="P380" s="5" t="n">
        <v>0</v>
      </c>
      <c r="Q380" s="5" t="n">
        <v>0</v>
      </c>
      <c r="R380" s="5" t="inlineStr">
        <is>
          <t>213-2025-06-30</t>
        </is>
      </c>
    </row>
    <row r="381">
      <c r="A381" s="5" t="n">
        <v>213</v>
      </c>
      <c r="B381" s="5" t="inlineStr">
        <is>
          <t>Cumplimiento del Plan Anual del Sistema de Gestión Ambiental</t>
        </is>
      </c>
      <c r="C381" s="5" t="inlineStr">
        <is>
          <t>GESTIÓN AMBIENTAL</t>
        </is>
      </c>
      <c r="D381" s="5" t="inlineStr">
        <is>
          <t>Semestral</t>
        </is>
      </c>
      <c r="E381" s="5" t="inlineStr">
        <is>
          <t>Positivo</t>
        </is>
      </c>
      <c r="F381" s="106" t="n">
        <v>46022</v>
      </c>
      <c r="G381" s="15" t="n">
        <v>2025</v>
      </c>
      <c r="H381" s="6" t="inlineStr">
        <is>
          <t>Diciembre</t>
        </is>
      </c>
      <c r="I381" s="27" t="inlineStr">
        <is>
          <t>2025-2</t>
        </is>
      </c>
      <c r="J381" s="5" t="n">
        <v>90</v>
      </c>
      <c r="K381" s="5" t="n">
        <v>100</v>
      </c>
      <c r="L381" s="14">
        <f>IFERROR(IF(OR(J381=0,K381=""),"",IF(E381="Positivo",MIN(MAX(K381/J381,0),1.3),MIN(MAX(J381/K381,0),1.3))),"") </f>
        <v/>
      </c>
      <c r="M381" s="14">
        <f>IFERROR(IF(OR(J381=0,K381=""),"",IF(E381="Positivo",MAX(K381/J381,0),MAX(J381/K381,0))),"") </f>
        <v/>
      </c>
      <c r="N381" s="5" t="inlineStr">
        <is>
          <t>%</t>
        </is>
      </c>
      <c r="O381" s="5" t="inlineStr">
        <is>
          <t>%</t>
        </is>
      </c>
      <c r="P381" s="5" t="n">
        <v>0</v>
      </c>
      <c r="Q381" s="5" t="n">
        <v>0</v>
      </c>
      <c r="R381" s="5" t="inlineStr">
        <is>
          <t>213-2025-12-31</t>
        </is>
      </c>
    </row>
    <row r="382">
      <c r="A382" s="26" t="n">
        <v>214</v>
      </c>
      <c r="B382" s="5" t="inlineStr">
        <is>
          <t>Generación de Residuos Sólidos Mensual</t>
        </is>
      </c>
      <c r="C382" s="5" t="inlineStr">
        <is>
          <t>GESTIÓN AMBIENTAL</t>
        </is>
      </c>
      <c r="D382" s="5" t="inlineStr">
        <is>
          <t>Mensual</t>
        </is>
      </c>
      <c r="E382" s="5" t="inlineStr">
        <is>
          <t>Negativo</t>
        </is>
      </c>
      <c r="F382" s="107" t="n">
        <v>44742</v>
      </c>
      <c r="G382" s="5" t="n">
        <v>2022</v>
      </c>
      <c r="H382" s="5" t="inlineStr">
        <is>
          <t>Junio</t>
        </is>
      </c>
      <c r="I382" s="6" t="inlineStr">
        <is>
          <t>2022-1</t>
        </is>
      </c>
      <c r="J382" s="5" t="n">
        <v>45000</v>
      </c>
      <c r="K382" s="5" t="n">
        <v>0</v>
      </c>
      <c r="L382" s="14">
        <f>IFERROR(IF(OR(J382=0,K382=""),"",IF(E382="Positivo",MIN(MAX(K382/J382,0),1.3),MIN(MAX(J382/K382,0),1.3))),"") </f>
        <v/>
      </c>
      <c r="M382" s="14">
        <f>IFERROR(IF(OR(J382=0,K382=""),"",IF(E382="Positivo",MAX(K382/J382,0),MAX(J382/K382,0))),"") </f>
        <v/>
      </c>
      <c r="N382" s="5" t="inlineStr">
        <is>
          <t>Kg</t>
        </is>
      </c>
      <c r="O382" s="5" t="inlineStr">
        <is>
          <t>Kg</t>
        </is>
      </c>
      <c r="P382" s="5" t="n">
        <v>0</v>
      </c>
      <c r="Q382" s="5" t="n">
        <v>0</v>
      </c>
      <c r="R382" s="5" t="inlineStr">
        <is>
          <t>214-2022-06-30</t>
        </is>
      </c>
    </row>
    <row r="383">
      <c r="A383" s="5" t="n">
        <v>214</v>
      </c>
      <c r="B383" s="5" t="inlineStr">
        <is>
          <t>Generación de Residuos Sólidos Mensual</t>
        </is>
      </c>
      <c r="C383" s="5" t="inlineStr">
        <is>
          <t>GESTIÓN AMBIENTAL</t>
        </is>
      </c>
      <c r="D383" s="5" t="inlineStr">
        <is>
          <t>Mensual</t>
        </is>
      </c>
      <c r="E383" s="5" t="inlineStr">
        <is>
          <t>Negativo</t>
        </is>
      </c>
      <c r="F383" s="106" t="n">
        <v>44926</v>
      </c>
      <c r="G383" s="15" t="n">
        <v>2022</v>
      </c>
      <c r="H383" s="6" t="inlineStr">
        <is>
          <t>Diciembre</t>
        </is>
      </c>
      <c r="I383" s="27" t="inlineStr">
        <is>
          <t>2022-2</t>
        </is>
      </c>
      <c r="J383" s="5" t="n">
        <v>45000</v>
      </c>
      <c r="K383" s="5" t="n">
        <v>0</v>
      </c>
      <c r="L383" s="14">
        <f>IFERROR(IF(OR(J383=0,K383=""),"",IF(E383="Positivo",MIN(MAX(K383/J383,0),1.3),MIN(MAX(J383/K383,0),1.3))),"") </f>
        <v/>
      </c>
      <c r="M383" s="14">
        <f>IFERROR(IF(OR(J383=0,K383=""),"",IF(E383="Positivo",MAX(K383/J383,0),MAX(J383/K383,0))),"") </f>
        <v/>
      </c>
      <c r="N383" s="5" t="inlineStr">
        <is>
          <t>Kg</t>
        </is>
      </c>
      <c r="O383" s="5" t="inlineStr">
        <is>
          <t>Kg</t>
        </is>
      </c>
      <c r="P383" s="5" t="n">
        <v>0</v>
      </c>
      <c r="Q383" s="5" t="n">
        <v>0</v>
      </c>
      <c r="R383" s="5" t="inlineStr">
        <is>
          <t>214-2022-12-31</t>
        </is>
      </c>
    </row>
    <row r="384">
      <c r="A384" s="26" t="n">
        <v>214</v>
      </c>
      <c r="B384" s="5" t="inlineStr">
        <is>
          <t>Generación de Residuos Sólidos Mensual</t>
        </is>
      </c>
      <c r="C384" s="5" t="inlineStr">
        <is>
          <t>GESTIÓN AMBIENTAL</t>
        </is>
      </c>
      <c r="D384" s="5" t="inlineStr">
        <is>
          <t>Mensual</t>
        </is>
      </c>
      <c r="E384" s="5" t="inlineStr">
        <is>
          <t>Negativo</t>
        </is>
      </c>
      <c r="F384" s="107" t="n">
        <v>45107</v>
      </c>
      <c r="G384" s="5" t="n">
        <v>2023</v>
      </c>
      <c r="H384" s="5" t="inlineStr">
        <is>
          <t>Junio</t>
        </is>
      </c>
      <c r="I384" s="6" t="inlineStr">
        <is>
          <t>2023-1</t>
        </is>
      </c>
      <c r="J384" s="5" t="n">
        <v>45000</v>
      </c>
      <c r="K384" s="5" t="n">
        <v>13653.25</v>
      </c>
      <c r="L384" s="14">
        <f>IFERROR(IF(OR(J384=0,K384=""),"",IF(E384="Positivo",MIN(MAX(K384/J384,0),1.3),MIN(MAX(J384/K384,0),1.3))),"") </f>
        <v/>
      </c>
      <c r="M384" s="14">
        <f>IFERROR(IF(OR(J384=0,K384=""),"",IF(E384="Positivo",MAX(K384/J384,0),MAX(J384/K384,0))),"") </f>
        <v/>
      </c>
      <c r="N384" s="5" t="inlineStr">
        <is>
          <t>Linea base</t>
        </is>
      </c>
      <c r="O384" s="5" t="inlineStr">
        <is>
          <t>Kg</t>
        </is>
      </c>
      <c r="P384" s="5" t="n">
        <v>0</v>
      </c>
      <c r="Q384" s="5" t="n">
        <v>0</v>
      </c>
      <c r="R384" s="5" t="inlineStr">
        <is>
          <t>214-2023-06-30</t>
        </is>
      </c>
    </row>
    <row r="385">
      <c r="A385" s="26" t="n">
        <v>214</v>
      </c>
      <c r="B385" s="5" t="inlineStr">
        <is>
          <t>Generación de Residuos Sólidos Mensual</t>
        </is>
      </c>
      <c r="C385" s="5" t="inlineStr">
        <is>
          <t>GESTIÓN AMBIENTAL</t>
        </is>
      </c>
      <c r="D385" s="5" t="inlineStr">
        <is>
          <t>Mensual</t>
        </is>
      </c>
      <c r="E385" s="5" t="inlineStr">
        <is>
          <t>Negativo</t>
        </is>
      </c>
      <c r="F385" s="107" t="n">
        <v>45291</v>
      </c>
      <c r="G385" s="5" t="n">
        <v>2023</v>
      </c>
      <c r="H385" s="5" t="inlineStr">
        <is>
          <t>Diciembre</t>
        </is>
      </c>
      <c r="I385" s="6" t="inlineStr">
        <is>
          <t>2023-2</t>
        </is>
      </c>
      <c r="J385" s="5" t="n">
        <v>45000</v>
      </c>
      <c r="K385" s="5" t="n">
        <v>31003.05</v>
      </c>
      <c r="L385" s="74">
        <f>IFERROR(IF(OR(J385=0,K385=""),"",IF(E385="Positivo",MIN(MAX(K385/J385,0),1.3),MIN(MAX(J385/K385,0),1.3))),"") </f>
        <v/>
      </c>
      <c r="M385" s="14">
        <f>IFERROR(IF(OR(J385=0,K385=""),"",IF(E385="Positivo",MAX(K385/J385,0),MAX(J385/K385,0))),"") </f>
        <v/>
      </c>
      <c r="N385" s="5" t="inlineStr">
        <is>
          <t>Linea base</t>
        </is>
      </c>
      <c r="O385" s="5" t="inlineStr">
        <is>
          <t>Kg</t>
        </is>
      </c>
      <c r="P385" s="5" t="n">
        <v>0</v>
      </c>
      <c r="Q385" s="5" t="n">
        <v>0</v>
      </c>
      <c r="R385" s="5" t="inlineStr">
        <is>
          <t>214-2023-12-31</t>
        </is>
      </c>
    </row>
    <row r="386">
      <c r="A386" s="26" t="n">
        <v>214</v>
      </c>
      <c r="B386" s="5" t="inlineStr">
        <is>
          <t>Generación de Residuos Sólidos Mensual</t>
        </is>
      </c>
      <c r="C386" s="5" t="inlineStr">
        <is>
          <t>GESTIÓN AMBIENTAL</t>
        </is>
      </c>
      <c r="D386" s="5" t="inlineStr">
        <is>
          <t>Mensual</t>
        </is>
      </c>
      <c r="E386" s="5" t="inlineStr">
        <is>
          <t>Negativo</t>
        </is>
      </c>
      <c r="F386" s="107" t="n">
        <v>45473</v>
      </c>
      <c r="G386" s="5" t="n">
        <v>2024</v>
      </c>
      <c r="H386" s="5" t="inlineStr">
        <is>
          <t>Junio</t>
        </is>
      </c>
      <c r="I386" s="6" t="inlineStr">
        <is>
          <t>2024-1</t>
        </is>
      </c>
      <c r="J386" s="5" t="n">
        <v>45000</v>
      </c>
      <c r="K386" s="5" t="n">
        <v>32812.91</v>
      </c>
      <c r="L386" s="74">
        <f>IFERROR(IF(OR(J386=0,K386=""),"",IF(E386="Positivo",MIN(MAX(K386/J386,0),1.3),MIN(MAX(J386/K386,0),1.3))),"") </f>
        <v/>
      </c>
      <c r="M386" s="14">
        <f>IFERROR(IF(OR(J386=0,K386=""),"",IF(E386="Positivo",MAX(K386/J386,0),MAX(J386/K386,0))),"") </f>
        <v/>
      </c>
      <c r="N386" s="5" t="inlineStr">
        <is>
          <t>Kg</t>
        </is>
      </c>
      <c r="O386" s="5" t="inlineStr">
        <is>
          <t>Kg</t>
        </is>
      </c>
      <c r="P386" s="5" t="n">
        <v>0</v>
      </c>
      <c r="Q386" s="5" t="n">
        <v>0</v>
      </c>
      <c r="R386" s="5" t="inlineStr">
        <is>
          <t>214-2024-06-30</t>
        </is>
      </c>
    </row>
    <row r="387">
      <c r="A387" s="26" t="n">
        <v>214</v>
      </c>
      <c r="B387" s="5" t="inlineStr">
        <is>
          <t>Generación de Residuos Sólidos Mensual</t>
        </is>
      </c>
      <c r="C387" s="5" t="inlineStr">
        <is>
          <t>GESTIÓN AMBIENTAL</t>
        </is>
      </c>
      <c r="D387" s="5" t="inlineStr">
        <is>
          <t>Mensual</t>
        </is>
      </c>
      <c r="E387" s="5" t="inlineStr">
        <is>
          <t>Negativo</t>
        </is>
      </c>
      <c r="F387" s="107" t="n">
        <v>45657</v>
      </c>
      <c r="G387" s="5" t="n">
        <v>2024</v>
      </c>
      <c r="H387" s="5" t="inlineStr">
        <is>
          <t>Diciembre</t>
        </is>
      </c>
      <c r="I387" s="6" t="inlineStr">
        <is>
          <t>2024-2</t>
        </is>
      </c>
      <c r="J387" s="5" t="n">
        <v>45000</v>
      </c>
      <c r="K387" s="5" t="n">
        <v>0</v>
      </c>
      <c r="L387" s="14">
        <f>IFERROR(IF(OR(J387=0,K387=""),"",IF(E387="Positivo",MIN(MAX(K387/J387,0),1.3),MIN(MAX(J387/K387,0),1.3))),"") </f>
        <v/>
      </c>
      <c r="M387" s="14">
        <f>IFERROR(IF(OR(J387=0,K387=""),"",IF(E387="Positivo",MAX(K387/J387,0),MAX(J387/K387,0))),"") </f>
        <v/>
      </c>
      <c r="N387" s="5" t="inlineStr">
        <is>
          <t>Kg</t>
        </is>
      </c>
      <c r="O387" s="5" t="inlineStr">
        <is>
          <t>Kg</t>
        </is>
      </c>
      <c r="P387" s="5" t="n">
        <v>0</v>
      </c>
      <c r="Q387" s="5" t="n">
        <v>0</v>
      </c>
      <c r="R387" s="5" t="inlineStr">
        <is>
          <t>214-2024-12-31</t>
        </is>
      </c>
    </row>
    <row r="388">
      <c r="A388" s="5" t="n">
        <v>214</v>
      </c>
      <c r="B388" s="5" t="inlineStr">
        <is>
          <t>Generación de Residuos Sólidos Mensual</t>
        </is>
      </c>
      <c r="C388" s="5" t="inlineStr">
        <is>
          <t>GESTIÓN AMBIENTAL</t>
        </is>
      </c>
      <c r="D388" s="5" t="inlineStr">
        <is>
          <t>Mensual</t>
        </is>
      </c>
      <c r="E388" s="5" t="inlineStr">
        <is>
          <t>Negativo</t>
        </is>
      </c>
      <c r="F388" s="107" t="n">
        <v>45838</v>
      </c>
      <c r="G388" s="5" t="n">
        <v>2025</v>
      </c>
      <c r="H388" s="5" t="inlineStr">
        <is>
          <t>Junio</t>
        </is>
      </c>
      <c r="I388" s="6" t="inlineStr">
        <is>
          <t>2025-1</t>
        </is>
      </c>
      <c r="J388" s="5" t="n">
        <v>45000</v>
      </c>
      <c r="K388" s="5" t="n">
        <v>26991.16</v>
      </c>
      <c r="L388" s="14">
        <f>IFERROR(IF(OR(J388=0,K388=""),"",IF(E388="Positivo",MIN(MAX(K388/J388,0),1.3),MIN(MAX(J388/K388,0),1.3))),"") </f>
        <v/>
      </c>
      <c r="M388" s="14">
        <f>IFERROR(IF(OR(J388=0,K388=""),"",IF(E388="Positivo",MAX(K388/J388,0),MAX(J388/K388,0))),"") </f>
        <v/>
      </c>
      <c r="N388" s="5" t="inlineStr">
        <is>
          <t>Kg</t>
        </is>
      </c>
      <c r="O388" s="5" t="inlineStr">
        <is>
          <t>Kg</t>
        </is>
      </c>
      <c r="P388" s="5" t="n">
        <v>0</v>
      </c>
      <c r="Q388" s="5" t="n">
        <v>0</v>
      </c>
      <c r="R388" s="5" t="inlineStr">
        <is>
          <t>214-2025-06-30</t>
        </is>
      </c>
    </row>
    <row r="389">
      <c r="A389" s="28" t="n">
        <v>214</v>
      </c>
      <c r="B389" s="5" t="inlineStr">
        <is>
          <t>Generación de Residuos Sólidos Mensual</t>
        </is>
      </c>
      <c r="C389" s="5" t="inlineStr">
        <is>
          <t>GESTIÓN AMBIENTAL</t>
        </is>
      </c>
      <c r="D389" s="5" t="inlineStr">
        <is>
          <t>Mensual</t>
        </is>
      </c>
      <c r="E389" s="5" t="inlineStr">
        <is>
          <t>Negativo</t>
        </is>
      </c>
      <c r="F389" s="107" t="n">
        <v>46022</v>
      </c>
      <c r="G389" s="5" t="n">
        <v>2025</v>
      </c>
      <c r="H389" s="5" t="inlineStr">
        <is>
          <t>Diciembre</t>
        </is>
      </c>
      <c r="I389" s="6" t="inlineStr">
        <is>
          <t>2025-2</t>
        </is>
      </c>
      <c r="J389" s="5" t="n">
        <v>45000</v>
      </c>
      <c r="K389" s="5" t="n">
        <v>24331.41</v>
      </c>
      <c r="L389" s="74">
        <f>IFERROR(IF(OR(J389=0,K389=""),"",IF(E389="Positivo",MIN(MAX(K389/J389,0),1.3),MIN(MAX(J389/K389,0),1.3))),"") </f>
        <v/>
      </c>
      <c r="M389" s="14">
        <f>IFERROR(IF(OR(J389=0,K389=""),"",IF(E389="Positivo",MAX(K389/J389,0),MAX(J389/K389,0))),"") </f>
        <v/>
      </c>
      <c r="N389" s="5" t="inlineStr">
        <is>
          <t>Kg</t>
        </is>
      </c>
      <c r="O389" s="5" t="inlineStr">
        <is>
          <t>Kg</t>
        </is>
      </c>
      <c r="P389" s="5" t="n">
        <v>0</v>
      </c>
      <c r="Q389" s="5" t="n">
        <v>0</v>
      </c>
      <c r="R389" s="5" t="inlineStr">
        <is>
          <t>214-2025-12-31</t>
        </is>
      </c>
    </row>
    <row r="390">
      <c r="A390" s="5" t="n">
        <v>215</v>
      </c>
      <c r="B390" s="5" t="inlineStr">
        <is>
          <t>Disminución de la Generación de Residuos per Cápita</t>
        </is>
      </c>
      <c r="C390" s="5" t="inlineStr">
        <is>
          <t>GESTIÓN AMBIENTAL</t>
        </is>
      </c>
      <c r="D390" s="5" t="inlineStr">
        <is>
          <t>Trimestral</t>
        </is>
      </c>
      <c r="E390" s="5" t="inlineStr">
        <is>
          <t>Positivo</t>
        </is>
      </c>
      <c r="F390" s="107" t="n">
        <v>44742</v>
      </c>
      <c r="G390" s="5" t="n">
        <v>2022</v>
      </c>
      <c r="H390" s="5" t="inlineStr">
        <is>
          <t>Junio</t>
        </is>
      </c>
      <c r="I390" s="6" t="inlineStr">
        <is>
          <t>2022-1</t>
        </is>
      </c>
      <c r="J390" s="5" t="n">
        <v>1</v>
      </c>
      <c r="K390" s="5" t="n"/>
      <c r="L390" s="14" t="n"/>
      <c r="M390" s="14" t="n"/>
      <c r="N390" s="5" t="inlineStr">
        <is>
          <t>%</t>
        </is>
      </c>
      <c r="O390" s="5" t="inlineStr">
        <is>
          <t>No Aplica</t>
        </is>
      </c>
      <c r="P390" s="5" t="n">
        <v>2</v>
      </c>
      <c r="Q390" s="5" t="n">
        <v>2</v>
      </c>
      <c r="R390" s="5" t="inlineStr">
        <is>
          <t>215-2022-06-30</t>
        </is>
      </c>
      <c r="S390" t="inlineStr">
        <is>
          <t>No Aplica</t>
        </is>
      </c>
    </row>
    <row r="391">
      <c r="A391" s="5" t="n">
        <v>215</v>
      </c>
      <c r="B391" s="5" t="inlineStr">
        <is>
          <t>Disminución de la Generación de Residuos per Cápita</t>
        </is>
      </c>
      <c r="C391" s="5" t="inlineStr">
        <is>
          <t>GESTIÓN AMBIENTAL</t>
        </is>
      </c>
      <c r="D391" s="5" t="inlineStr">
        <is>
          <t>Trimestral</t>
        </is>
      </c>
      <c r="E391" s="5" t="inlineStr">
        <is>
          <t>Positivo</t>
        </is>
      </c>
      <c r="F391" s="107" t="n">
        <v>44926</v>
      </c>
      <c r="G391" s="5" t="n">
        <v>2022</v>
      </c>
      <c r="H391" s="5" t="inlineStr">
        <is>
          <t>Diciembre</t>
        </is>
      </c>
      <c r="I391" s="6" t="inlineStr">
        <is>
          <t>2022-2</t>
        </is>
      </c>
      <c r="J391" s="5" t="n">
        <v>1</v>
      </c>
      <c r="K391" s="5" t="n">
        <v>-23.628691983122</v>
      </c>
      <c r="L391" s="14">
        <f>IFERROR(IF(OR(J391=0,K391=""),"",IF(E391="Positivo",MIN(MAX(K391/J391,0),1.3),MIN(MAX(J391/K391,0),1.3))),"") </f>
        <v/>
      </c>
      <c r="M391" s="14">
        <f>IFERROR(IF(OR(J391=0,K391=""),"",IF(E391="Positivo",MAX(K391/J391,0),MAX(J391/K391,0))),"") </f>
        <v/>
      </c>
      <c r="N391" s="5" t="inlineStr">
        <is>
          <t>%</t>
        </is>
      </c>
      <c r="O391" s="5" t="inlineStr">
        <is>
          <t>%</t>
        </is>
      </c>
      <c r="P391" s="5" t="n">
        <v>2</v>
      </c>
      <c r="Q391" s="5" t="n">
        <v>2</v>
      </c>
      <c r="R391" s="5" t="inlineStr">
        <is>
          <t>215-2022-12-31</t>
        </is>
      </c>
    </row>
    <row r="392">
      <c r="A392" s="5" t="n">
        <v>215</v>
      </c>
      <c r="B392" s="5" t="inlineStr">
        <is>
          <t>Disminución de la Generación de Residuos per Cápita</t>
        </is>
      </c>
      <c r="C392" s="5" t="inlineStr">
        <is>
          <t>GESTIÓN AMBIENTAL</t>
        </is>
      </c>
      <c r="D392" s="5" t="inlineStr">
        <is>
          <t>Semestral</t>
        </is>
      </c>
      <c r="E392" s="5" t="inlineStr">
        <is>
          <t>Positivo</t>
        </is>
      </c>
      <c r="F392" s="107" t="n">
        <v>45107</v>
      </c>
      <c r="G392" s="15" t="n">
        <v>2023</v>
      </c>
      <c r="H392" s="6" t="inlineStr">
        <is>
          <t>Junio</t>
        </is>
      </c>
      <c r="I392" s="6" t="inlineStr">
        <is>
          <t>2023-1</t>
        </is>
      </c>
      <c r="J392" s="5" t="n">
        <v>1</v>
      </c>
      <c r="K392" s="5" t="n">
        <v>-47.67</v>
      </c>
      <c r="L392" s="14">
        <f>IFERROR(IF(OR(J392=0,K392=""),"",IF(E392="Positivo",MIN(MAX(K392/J392,0),1.3),MIN(MAX(J392/K392,0),1.3))),"") </f>
        <v/>
      </c>
      <c r="M392" s="14">
        <f>IFERROR(IF(OR(J392=0,K392=""),"",IF(E392="Positivo",MAX(K392/J392,0),MAX(J392/K392,0))),"") </f>
        <v/>
      </c>
      <c r="N392" s="5" t="n"/>
      <c r="O392" s="5" t="n"/>
      <c r="P392" s="5" t="n">
        <v>2</v>
      </c>
      <c r="Q392" s="5" t="n">
        <v>2</v>
      </c>
      <c r="R392" s="5" t="inlineStr">
        <is>
          <t>215-2023-06-30</t>
        </is>
      </c>
    </row>
    <row r="393">
      <c r="A393" s="26" t="n">
        <v>215</v>
      </c>
      <c r="B393" s="5" t="inlineStr">
        <is>
          <t>Disminución de la Generación de Residuos per Cápita</t>
        </is>
      </c>
      <c r="C393" s="5" t="inlineStr">
        <is>
          <t>GESTIÓN AMBIENTAL</t>
        </is>
      </c>
      <c r="D393" s="5" t="inlineStr">
        <is>
          <t>Semestral</t>
        </is>
      </c>
      <c r="E393" s="5" t="inlineStr">
        <is>
          <t>Positivo</t>
        </is>
      </c>
      <c r="F393" s="107" t="n">
        <v>45291</v>
      </c>
      <c r="G393" s="5" t="n">
        <v>2023</v>
      </c>
      <c r="H393" s="5" t="inlineStr">
        <is>
          <t>Diciembre</t>
        </is>
      </c>
      <c r="I393" s="6" t="inlineStr">
        <is>
          <t>2023-2</t>
        </is>
      </c>
      <c r="J393" s="5" t="n">
        <v>1</v>
      </c>
      <c r="K393" s="5" t="n">
        <v>-124.72</v>
      </c>
      <c r="L393" s="14">
        <f>IFERROR(IF(OR(J393=0,K393=""),"",IF(E393="Positivo",MIN(MAX(K393/J393,0),1.3),MIN(MAX(J393/K393,0),1.3))),"") </f>
        <v/>
      </c>
      <c r="M393" s="14">
        <f>IFERROR(IF(OR(J393=0,K393=""),"",IF(E393="Positivo",MAX(K393/J393,0),MAX(J393/K393,0))),"") </f>
        <v/>
      </c>
      <c r="N393" s="5" t="n"/>
      <c r="O393" s="5" t="n"/>
      <c r="P393" s="5" t="n">
        <v>2</v>
      </c>
      <c r="Q393" s="5" t="n">
        <v>2</v>
      </c>
      <c r="R393" s="5" t="inlineStr">
        <is>
          <t>215-2023-12-31</t>
        </is>
      </c>
    </row>
    <row r="394">
      <c r="A394" s="26" t="n">
        <v>215</v>
      </c>
      <c r="B394" s="5" t="inlineStr">
        <is>
          <t>Disminución de la Generación de Residuos per Cápita</t>
        </is>
      </c>
      <c r="C394" s="5" t="inlineStr">
        <is>
          <t>GESTIÓN AMBIENTAL</t>
        </is>
      </c>
      <c r="D394" s="5" t="inlineStr">
        <is>
          <t>Semestral</t>
        </is>
      </c>
      <c r="E394" s="5" t="inlineStr">
        <is>
          <t>Positivo</t>
        </is>
      </c>
      <c r="F394" s="107" t="n">
        <v>45473</v>
      </c>
      <c r="G394" s="5" t="n">
        <v>2024</v>
      </c>
      <c r="H394" s="5" t="inlineStr">
        <is>
          <t>Junio</t>
        </is>
      </c>
      <c r="I394" s="6" t="inlineStr">
        <is>
          <t>2024-1</t>
        </is>
      </c>
      <c r="J394" s="5" t="n">
        <v>1</v>
      </c>
      <c r="K394" s="5" t="n">
        <v>8</v>
      </c>
      <c r="L394" s="14">
        <f>IFERROR(IF(OR(J394=0,K394=""),"",IF(E394="Positivo",MIN(MAX(K394/J394,0),1.3),MIN(MAX(J394/K394,0),1.3))),"") </f>
        <v/>
      </c>
      <c r="M394" s="14">
        <f>IFERROR(IF(OR(J394=0,K394=""),"",IF(E394="Positivo",MAX(K394/J394,0),MAX(J394/K394,0))),"") </f>
        <v/>
      </c>
      <c r="N394" s="5" t="n"/>
      <c r="O394" s="5" t="n"/>
      <c r="P394" s="5" t="n">
        <v>0</v>
      </c>
      <c r="Q394" s="5" t="n">
        <v>0</v>
      </c>
      <c r="R394" s="5" t="inlineStr">
        <is>
          <t>215-2024-06-30</t>
        </is>
      </c>
    </row>
    <row r="395">
      <c r="A395" s="26" t="n">
        <v>215</v>
      </c>
      <c r="B395" s="5" t="inlineStr">
        <is>
          <t>Disminución de la Generación de Residuos per Cápita</t>
        </is>
      </c>
      <c r="C395" s="5" t="inlineStr">
        <is>
          <t>GESTIÓN AMBIENTAL</t>
        </is>
      </c>
      <c r="D395" s="5" t="inlineStr">
        <is>
          <t>Semestral</t>
        </is>
      </c>
      <c r="E395" s="5" t="inlineStr">
        <is>
          <t>Positivo</t>
        </is>
      </c>
      <c r="F395" s="107" t="n">
        <v>45657</v>
      </c>
      <c r="G395" s="5" t="n">
        <v>2024</v>
      </c>
      <c r="H395" s="5" t="inlineStr">
        <is>
          <t>Diciembre</t>
        </is>
      </c>
      <c r="I395" s="6" t="inlineStr">
        <is>
          <t>2024-2</t>
        </is>
      </c>
      <c r="J395" s="5" t="n">
        <v>1</v>
      </c>
      <c r="K395" s="5" t="n">
        <v>-45.65</v>
      </c>
      <c r="L395" s="14">
        <f>IFERROR(IF(OR(J395=0,K395=""),"",IF(E395="Positivo",MIN(MAX(K395/J395,0),1.3),MIN(MAX(J395/K395,0),1.3))),"") </f>
        <v/>
      </c>
      <c r="M395" s="14">
        <f>IFERROR(IF(OR(J395=0,K395=""),"",IF(E395="Positivo",MAX(K395/J395,0),MAX(J395/K395,0))),"") </f>
        <v/>
      </c>
      <c r="N395" s="5" t="n"/>
      <c r="O395" s="5" t="n"/>
      <c r="P395" s="5" t="n">
        <v>0</v>
      </c>
      <c r="Q395" s="5" t="n">
        <v>0</v>
      </c>
      <c r="R395" s="5" t="inlineStr">
        <is>
          <t>215-2024-12-31</t>
        </is>
      </c>
    </row>
    <row r="396">
      <c r="A396" s="26" t="n">
        <v>215</v>
      </c>
      <c r="B396" s="5" t="inlineStr">
        <is>
          <t>Disminución de la Generación de Residuos per Cápita</t>
        </is>
      </c>
      <c r="C396" s="5" t="inlineStr">
        <is>
          <t>GESTIÓN AMBIENTAL</t>
        </is>
      </c>
      <c r="D396" s="5" t="inlineStr">
        <is>
          <t>Trimestral</t>
        </is>
      </c>
      <c r="E396" s="5" t="inlineStr">
        <is>
          <t>Positivo</t>
        </is>
      </c>
      <c r="F396" s="107" t="n">
        <v>45838</v>
      </c>
      <c r="G396" s="5" t="n">
        <v>2025</v>
      </c>
      <c r="H396" s="5" t="inlineStr">
        <is>
          <t>Junio</t>
        </is>
      </c>
      <c r="I396" s="6" t="inlineStr">
        <is>
          <t>2025-1</t>
        </is>
      </c>
      <c r="J396" s="5" t="n">
        <v>1</v>
      </c>
      <c r="K396" s="5" t="n">
        <v>-114.55</v>
      </c>
      <c r="L396" s="14">
        <f>IFERROR(IF(OR(J396=0,K396=""),"",IF(E396="Positivo",MIN(MAX(K396/J396,0),1.3),MIN(MAX(J396/K396,0),1.3))),"") </f>
        <v/>
      </c>
      <c r="M396" s="14">
        <f>IFERROR(IF(OR(J396=0,K396=""),"",IF(E396="Positivo",MAX(K396/J396,0),MAX(J396/K396,0))),"") </f>
        <v/>
      </c>
      <c r="N396" s="5" t="inlineStr">
        <is>
          <t>%</t>
        </is>
      </c>
      <c r="O396" s="5" t="inlineStr">
        <is>
          <t>%</t>
        </is>
      </c>
      <c r="P396" s="5" t="n">
        <v>2</v>
      </c>
      <c r="Q396" s="5" t="n">
        <v>2</v>
      </c>
      <c r="R396" s="5" t="inlineStr">
        <is>
          <t>215-2025-06-30</t>
        </is>
      </c>
    </row>
    <row r="397">
      <c r="A397" s="26" t="n">
        <v>215</v>
      </c>
      <c r="B397" s="5" t="inlineStr">
        <is>
          <t>Disminución de la Generación de Residuos per Cápita</t>
        </is>
      </c>
      <c r="C397" s="5" t="inlineStr">
        <is>
          <t>GESTIÓN AMBIENTAL</t>
        </is>
      </c>
      <c r="D397" s="5" t="inlineStr">
        <is>
          <t>Trimestral</t>
        </is>
      </c>
      <c r="E397" s="5" t="inlineStr">
        <is>
          <t>Positivo</t>
        </is>
      </c>
      <c r="F397" s="107" t="n">
        <v>46022</v>
      </c>
      <c r="G397" s="5" t="n">
        <v>2025</v>
      </c>
      <c r="H397" s="5" t="inlineStr">
        <is>
          <t>Diciembre</t>
        </is>
      </c>
      <c r="I397" s="6" t="inlineStr">
        <is>
          <t>2025-2</t>
        </is>
      </c>
      <c r="J397" s="5" t="n">
        <v>1</v>
      </c>
      <c r="K397" s="5" t="n">
        <v>-6.43</v>
      </c>
      <c r="L397" s="74">
        <f>IFERROR(IF(OR(J397=0,K397=""),"",IF(E397="Positivo",MIN(MAX(K397/J397,0),1.3),MIN(MAX(J397/K397,0),1.3))),"") </f>
        <v/>
      </c>
      <c r="M397" s="14">
        <f>IFERROR(IF(OR(J397=0,K397=""),"",IF(E397="Positivo",MAX(K397/J397,0),MAX(J397/K397,0))),"") </f>
        <v/>
      </c>
      <c r="N397" s="5" t="inlineStr">
        <is>
          <t>%</t>
        </is>
      </c>
      <c r="O397" s="5" t="inlineStr">
        <is>
          <t>%</t>
        </is>
      </c>
      <c r="P397" s="5" t="n">
        <v>2</v>
      </c>
      <c r="Q397" s="5" t="n">
        <v>2</v>
      </c>
      <c r="R397" s="5" t="inlineStr">
        <is>
          <t>215-2025-12-31</t>
        </is>
      </c>
    </row>
    <row r="398">
      <c r="A398" s="26" t="n">
        <v>216</v>
      </c>
      <c r="B398" s="5" t="inlineStr">
        <is>
          <t>Disposición Ambientalmente Adecuada de Residuos Peligrosos</t>
        </is>
      </c>
      <c r="C398" s="5" t="inlineStr">
        <is>
          <t>GESTIÓN AMBIENTAL</t>
        </is>
      </c>
      <c r="D398" s="5" t="inlineStr">
        <is>
          <t>Anual</t>
        </is>
      </c>
      <c r="E398" s="5" t="inlineStr">
        <is>
          <t>Positivo</t>
        </is>
      </c>
      <c r="F398" s="107" t="n">
        <v>44926</v>
      </c>
      <c r="G398" s="5" t="n">
        <v>2022</v>
      </c>
      <c r="H398" s="5" t="inlineStr">
        <is>
          <t>Diciembre</t>
        </is>
      </c>
      <c r="I398" s="6" t="inlineStr">
        <is>
          <t>2022-2</t>
        </is>
      </c>
      <c r="J398" s="5" t="n">
        <v>100</v>
      </c>
      <c r="K398" s="5" t="n">
        <v>0</v>
      </c>
      <c r="L398" s="74">
        <f>IFERROR(IF(OR(J398=0,K398=""),"",IF(E398="Positivo",MIN(MAX(K398/J398,0),1.3),MIN(MAX(J398/K398,0),1.3))),"") </f>
        <v/>
      </c>
      <c r="M398" s="14">
        <f>IFERROR(IF(OR(J398=0,K398=""),"",IF(E398="Positivo",MAX(K398/J398,0),MAX(J398/K398,0))),"") </f>
        <v/>
      </c>
      <c r="N398" s="5" t="inlineStr">
        <is>
          <t>%</t>
        </is>
      </c>
      <c r="O398" s="5" t="inlineStr">
        <is>
          <t>%</t>
        </is>
      </c>
      <c r="P398" s="5" t="n">
        <v>0</v>
      </c>
      <c r="Q398" s="5" t="n">
        <v>0</v>
      </c>
      <c r="R398" s="5" t="inlineStr">
        <is>
          <t>216-2022-12-31</t>
        </is>
      </c>
    </row>
    <row r="399">
      <c r="A399" s="5" t="n">
        <v>216</v>
      </c>
      <c r="B399" s="5" t="inlineStr">
        <is>
          <t>Disposición Ambientalmente Adecuada de Residuos Peligrosos</t>
        </is>
      </c>
      <c r="C399" s="5" t="inlineStr">
        <is>
          <t>GESTIÓN AMBIENTAL</t>
        </is>
      </c>
      <c r="D399" s="5" t="inlineStr">
        <is>
          <t>Anual</t>
        </is>
      </c>
      <c r="E399" s="5" t="inlineStr">
        <is>
          <t>Positivo</t>
        </is>
      </c>
      <c r="F399" s="107" t="n">
        <v>45291</v>
      </c>
      <c r="G399" s="5" t="n">
        <v>2023</v>
      </c>
      <c r="H399" s="5" t="inlineStr">
        <is>
          <t>Diciembre</t>
        </is>
      </c>
      <c r="I399" s="6" t="inlineStr">
        <is>
          <t>2023-2</t>
        </is>
      </c>
      <c r="J399" s="5" t="n">
        <v>100</v>
      </c>
      <c r="K399" s="5" t="n">
        <v>100</v>
      </c>
      <c r="L399" s="14">
        <f>IFERROR(IF(OR(J399=0,K399=""),"",IF(E399="Positivo",MIN(MAX(K399/J399,0),1.3),MIN(MAX(J399/K399,0),1.3))),"") </f>
        <v/>
      </c>
      <c r="M399" s="14">
        <f>IFERROR(IF(OR(J399=0,K399=""),"",IF(E399="Positivo",MAX(K399/J399,0),MAX(J399/K399,0))),"") </f>
        <v/>
      </c>
      <c r="N399" s="5" t="n"/>
      <c r="O399" s="5" t="n"/>
      <c r="P399" s="5" t="n">
        <v>0</v>
      </c>
      <c r="Q399" s="5" t="n">
        <v>0</v>
      </c>
      <c r="R399" s="5" t="inlineStr">
        <is>
          <t>216-2023-12-31</t>
        </is>
      </c>
    </row>
    <row r="400">
      <c r="A400" s="5" t="n">
        <v>216</v>
      </c>
      <c r="B400" s="5" t="inlineStr">
        <is>
          <t>Disposición Ambientalmente Adecuada de Residuos Peligrosos</t>
        </is>
      </c>
      <c r="C400" s="5" t="inlineStr">
        <is>
          <t>GESTIÓN AMBIENTAL</t>
        </is>
      </c>
      <c r="D400" s="5" t="inlineStr">
        <is>
          <t>Anual</t>
        </is>
      </c>
      <c r="E400" s="5" t="inlineStr">
        <is>
          <t>Positivo</t>
        </is>
      </c>
      <c r="F400" s="107" t="n">
        <v>45657</v>
      </c>
      <c r="G400" s="5" t="n">
        <v>2024</v>
      </c>
      <c r="H400" s="5" t="inlineStr">
        <is>
          <t>Diciembre</t>
        </is>
      </c>
      <c r="I400" s="6" t="inlineStr">
        <is>
          <t>2024-2</t>
        </is>
      </c>
      <c r="J400" s="5" t="n">
        <v>100</v>
      </c>
      <c r="K400" s="5" t="n">
        <v>100</v>
      </c>
      <c r="L400" s="14">
        <f>IFERROR(IF(OR(J400=0,K400=""),"",IF(E400="Positivo",MIN(MAX(K400/J400,0),1.3),MIN(MAX(J400/K400,0),1.3))),"") </f>
        <v/>
      </c>
      <c r="M400" s="14">
        <f>IFERROR(IF(OR(J400=0,K400=""),"",IF(E400="Positivo",MAX(K400/J400,0),MAX(J400/K400,0))),"") </f>
        <v/>
      </c>
      <c r="N400" s="5" t="n"/>
      <c r="O400" s="5" t="n"/>
      <c r="P400" s="5" t="n">
        <v>0</v>
      </c>
      <c r="Q400" s="5" t="n">
        <v>0</v>
      </c>
      <c r="R400" s="5" t="inlineStr">
        <is>
          <t>216-2024-12-31</t>
        </is>
      </c>
    </row>
    <row r="401">
      <c r="A401" s="26" t="n">
        <v>216</v>
      </c>
      <c r="B401" s="5" t="inlineStr">
        <is>
          <t>Disposición Ambientalmente Adecuada de Residuos Peligrosos</t>
        </is>
      </c>
      <c r="C401" s="5" t="inlineStr">
        <is>
          <t>GESTIÓN AMBIENTAL</t>
        </is>
      </c>
      <c r="D401" s="5" t="inlineStr">
        <is>
          <t>Anual</t>
        </is>
      </c>
      <c r="E401" s="5" t="inlineStr">
        <is>
          <t>Positivo</t>
        </is>
      </c>
      <c r="F401" s="107" t="n">
        <v>46022</v>
      </c>
      <c r="G401" s="5" t="n">
        <v>2025</v>
      </c>
      <c r="H401" s="5" t="inlineStr">
        <is>
          <t>Diciembre</t>
        </is>
      </c>
      <c r="I401" s="6" t="inlineStr">
        <is>
          <t>2025-2</t>
        </is>
      </c>
      <c r="J401" s="5" t="n">
        <v>100</v>
      </c>
      <c r="K401" s="5" t="n">
        <v>100</v>
      </c>
      <c r="L401" s="74">
        <f>IFERROR(IF(OR(J401=0,K401=""),"",IF(E401="Positivo",MIN(MAX(K401/J401,0),1.3),MIN(MAX(J401/K401,0),1.3))),"") </f>
        <v/>
      </c>
      <c r="M401" s="14">
        <f>IFERROR(IF(OR(J401=0,K401=""),"",IF(E401="Positivo",MAX(K401/J401,0),MAX(J401/K401,0))),"") </f>
        <v/>
      </c>
      <c r="N401" s="5" t="inlineStr">
        <is>
          <t>%</t>
        </is>
      </c>
      <c r="O401" s="5" t="inlineStr">
        <is>
          <t>%</t>
        </is>
      </c>
      <c r="P401" s="5" t="n">
        <v>0</v>
      </c>
      <c r="Q401" s="5" t="n">
        <v>0</v>
      </c>
      <c r="R401" s="5" t="inlineStr">
        <is>
          <t>216-2025-12-31</t>
        </is>
      </c>
    </row>
    <row r="402">
      <c r="A402" s="5" t="n">
        <v>217</v>
      </c>
      <c r="B402" s="5" t="inlineStr">
        <is>
          <t>Aprovechamiento de Residuos</t>
        </is>
      </c>
      <c r="C402" s="5" t="inlineStr">
        <is>
          <t>GESTIÓN AMBIENTAL</t>
        </is>
      </c>
      <c r="D402" s="5" t="inlineStr">
        <is>
          <t>Mensual</t>
        </is>
      </c>
      <c r="E402" s="5" t="inlineStr">
        <is>
          <t>Positivo</t>
        </is>
      </c>
      <c r="F402" s="107" t="n">
        <v>44742</v>
      </c>
      <c r="G402" s="5" t="n">
        <v>2022</v>
      </c>
      <c r="H402" s="5" t="inlineStr">
        <is>
          <t>Junio</t>
        </is>
      </c>
      <c r="I402" s="6" t="inlineStr">
        <is>
          <t>2022-1</t>
        </is>
      </c>
      <c r="J402" s="5" t="n">
        <v>20</v>
      </c>
      <c r="K402" s="5" t="n"/>
      <c r="L402" s="14" t="n"/>
      <c r="M402" s="14" t="n"/>
      <c r="N402" s="5" t="inlineStr">
        <is>
          <t>%</t>
        </is>
      </c>
      <c r="O402" s="5" t="inlineStr">
        <is>
          <t>No Aplica</t>
        </is>
      </c>
      <c r="P402" s="5" t="n">
        <v>0</v>
      </c>
      <c r="Q402" s="5" t="n">
        <v>0</v>
      </c>
      <c r="R402" s="5" t="inlineStr">
        <is>
          <t>217-2022-06-30</t>
        </is>
      </c>
      <c r="S402" t="inlineStr">
        <is>
          <t>No Aplica</t>
        </is>
      </c>
    </row>
    <row r="403">
      <c r="A403" s="28" t="n">
        <v>217</v>
      </c>
      <c r="B403" s="5" t="inlineStr">
        <is>
          <t>Aprovechamiento de Residuos</t>
        </is>
      </c>
      <c r="C403" s="5" t="inlineStr">
        <is>
          <t>GESTIÓN AMBIENTAL</t>
        </is>
      </c>
      <c r="D403" s="5" t="inlineStr">
        <is>
          <t>Mensual</t>
        </is>
      </c>
      <c r="E403" s="5" t="inlineStr">
        <is>
          <t>Positivo</t>
        </is>
      </c>
      <c r="F403" s="107" t="n">
        <v>44926</v>
      </c>
      <c r="G403" s="5" t="n">
        <v>2022</v>
      </c>
      <c r="H403" s="5" t="inlineStr">
        <is>
          <t>Diciembre</t>
        </is>
      </c>
      <c r="I403" s="6" t="inlineStr">
        <is>
          <t>2022-2</t>
        </is>
      </c>
      <c r="J403" s="5" t="n">
        <v>20</v>
      </c>
      <c r="K403" s="5" t="n"/>
      <c r="L403" s="74" t="n"/>
      <c r="M403" s="14" t="n"/>
      <c r="N403" s="5" t="inlineStr">
        <is>
          <t>%</t>
        </is>
      </c>
      <c r="O403" s="5" t="inlineStr">
        <is>
          <t>No Aplica</t>
        </is>
      </c>
      <c r="P403" s="5" t="n">
        <v>0</v>
      </c>
      <c r="Q403" s="5" t="n">
        <v>0</v>
      </c>
      <c r="R403" s="5" t="inlineStr">
        <is>
          <t>217-2022-12-31</t>
        </is>
      </c>
      <c r="S403" t="inlineStr">
        <is>
          <t>No Aplica</t>
        </is>
      </c>
    </row>
    <row r="404">
      <c r="A404" s="26" t="n">
        <v>217</v>
      </c>
      <c r="B404" s="5" t="inlineStr">
        <is>
          <t>Aprovechamiento de Residuos</t>
        </is>
      </c>
      <c r="C404" s="5" t="inlineStr">
        <is>
          <t>GESTIÓN AMBIENTAL</t>
        </is>
      </c>
      <c r="D404" s="5" t="inlineStr">
        <is>
          <t>Mensual</t>
        </is>
      </c>
      <c r="E404" s="5" t="inlineStr">
        <is>
          <t>Positivo</t>
        </is>
      </c>
      <c r="F404" s="107" t="n">
        <v>44957</v>
      </c>
      <c r="G404" s="5" t="n">
        <v>2023</v>
      </c>
      <c r="H404" s="5" t="inlineStr">
        <is>
          <t>Enero</t>
        </is>
      </c>
      <c r="I404" s="6" t="inlineStr">
        <is>
          <t>2023-1</t>
        </is>
      </c>
      <c r="J404" s="5" t="n">
        <v>120</v>
      </c>
      <c r="K404" s="5" t="n">
        <v>322.245187157396</v>
      </c>
      <c r="L404" s="74">
        <f>IFERROR(IF(OR(J404=0,K404=""),"",IF(E404="Positivo",MIN(MAX(K404/J404,0),1.3),MIN(MAX(J404/K404,0),1.3))),"") </f>
        <v/>
      </c>
      <c r="M404" s="14">
        <f>IFERROR(IF(OR(J404=0,K404=""),"",IF(E404="Positivo",MAX(K404/J404,0),MAX(J404/K404,0))),"") </f>
        <v/>
      </c>
      <c r="N404" s="5" t="n"/>
      <c r="O404" s="5" t="n"/>
      <c r="P404" s="5" t="n">
        <v>0</v>
      </c>
      <c r="Q404" s="5" t="n">
        <v>0</v>
      </c>
      <c r="R404" s="5" t="inlineStr">
        <is>
          <t>217-2023-01-31</t>
        </is>
      </c>
    </row>
    <row r="405">
      <c r="A405" s="5" t="n">
        <v>217</v>
      </c>
      <c r="B405" s="5" t="inlineStr">
        <is>
          <t>Aprovechamiento de Residuos</t>
        </is>
      </c>
      <c r="C405" s="5" t="inlineStr">
        <is>
          <t>GESTIÓN AMBIENTAL</t>
        </is>
      </c>
      <c r="D405" s="5" t="inlineStr">
        <is>
          <t>Mensual</t>
        </is>
      </c>
      <c r="E405" s="5" t="inlineStr">
        <is>
          <t>Positivo</t>
        </is>
      </c>
      <c r="F405" s="107" t="n">
        <v>44985</v>
      </c>
      <c r="G405" s="5" t="n">
        <v>2023</v>
      </c>
      <c r="H405" s="5" t="inlineStr">
        <is>
          <t>Febrero</t>
        </is>
      </c>
      <c r="I405" s="6" t="inlineStr">
        <is>
          <t>2023-1</t>
        </is>
      </c>
      <c r="J405" s="5" t="n">
        <v>120</v>
      </c>
      <c r="K405" s="5" t="n">
        <v>322.245187157396</v>
      </c>
      <c r="L405" s="14">
        <f>IFERROR(IF(OR(J405=0,K405=""),"",IF(E405="Positivo",MIN(MAX(K405/J405,0),1.3),MIN(MAX(J405/K405,0),1.3))),"") </f>
        <v/>
      </c>
      <c r="M405" s="14">
        <f>IFERROR(IF(OR(J405=0,K405=""),"",IF(E405="Positivo",MAX(K405/J405,0),MAX(J405/K405,0))),"") </f>
        <v/>
      </c>
      <c r="N405" s="5" t="n"/>
      <c r="O405" s="5" t="n"/>
      <c r="P405" s="5" t="n">
        <v>0</v>
      </c>
      <c r="Q405" s="5" t="n">
        <v>0</v>
      </c>
      <c r="R405" s="5" t="inlineStr">
        <is>
          <t>217-2023-02-28</t>
        </is>
      </c>
    </row>
    <row r="406">
      <c r="A406" s="5" t="n">
        <v>217</v>
      </c>
      <c r="B406" s="5" t="inlineStr">
        <is>
          <t>Aprovechamiento de Residuos</t>
        </is>
      </c>
      <c r="C406" s="5" t="inlineStr">
        <is>
          <t>GESTIÓN AMBIENTAL</t>
        </is>
      </c>
      <c r="D406" s="5" t="inlineStr">
        <is>
          <t>Mensual</t>
        </is>
      </c>
      <c r="E406" s="5" t="inlineStr">
        <is>
          <t>Positivo</t>
        </is>
      </c>
      <c r="F406" s="107" t="n">
        <v>45016</v>
      </c>
      <c r="G406" s="5" t="n">
        <v>2023</v>
      </c>
      <c r="H406" s="5" t="inlineStr">
        <is>
          <t>Marzo</t>
        </is>
      </c>
      <c r="I406" s="6" t="inlineStr">
        <is>
          <t>2023-1</t>
        </is>
      </c>
      <c r="J406" s="5" t="n">
        <v>120</v>
      </c>
      <c r="K406" s="10" t="n">
        <v>322.245187157396</v>
      </c>
      <c r="L406" s="14">
        <f>IFERROR(IF(OR(J406=0,K406=""),"",IF(E406="Positivo",MIN(MAX(K406/J406,0),1.3),MIN(MAX(J406/K406,0),1.3))),"") </f>
        <v/>
      </c>
      <c r="M406" s="14">
        <f>IFERROR(IF(OR(J406=0,K406=""),"",IF(E406="Positivo",MAX(K406/J406,0),MAX(J406/K406,0))),"") </f>
        <v/>
      </c>
      <c r="N406" s="5" t="n"/>
      <c r="O406" s="5" t="n"/>
      <c r="P406" s="5" t="n">
        <v>0</v>
      </c>
      <c r="Q406" s="5" t="n">
        <v>0</v>
      </c>
      <c r="R406" s="5" t="inlineStr">
        <is>
          <t>217-2023-03-31</t>
        </is>
      </c>
    </row>
    <row r="407">
      <c r="A407" s="28" t="n">
        <v>217</v>
      </c>
      <c r="B407" s="5" t="inlineStr">
        <is>
          <t>Aprovechamiento de Residuos</t>
        </is>
      </c>
      <c r="C407" s="5" t="inlineStr">
        <is>
          <t>GESTIÓN AMBIENTAL</t>
        </is>
      </c>
      <c r="D407" s="5" t="inlineStr">
        <is>
          <t>Mensual</t>
        </is>
      </c>
      <c r="E407" s="5" t="inlineStr">
        <is>
          <t>Positivo</t>
        </is>
      </c>
      <c r="F407" s="107" t="n">
        <v>45046</v>
      </c>
      <c r="G407" s="5" t="n">
        <v>2023</v>
      </c>
      <c r="H407" s="5" t="inlineStr">
        <is>
          <t>Abril</t>
        </is>
      </c>
      <c r="I407" s="6" t="inlineStr">
        <is>
          <t>2023-1</t>
        </is>
      </c>
      <c r="J407" s="5" t="n">
        <v>120</v>
      </c>
      <c r="K407" s="5" t="n">
        <v>322.245187157396</v>
      </c>
      <c r="L407" s="74">
        <f>IFERROR(IF(OR(J407=0,K407=""),"",IF(E407="Positivo",MIN(MAX(K407/J407,0),1.3),MIN(MAX(J407/K407,0),1.3))),"") </f>
        <v/>
      </c>
      <c r="M407" s="14">
        <f>IFERROR(IF(OR(J407=0,K407=""),"",IF(E407="Positivo",MAX(K407/J407,0),MAX(J407/K407,0))),"") </f>
        <v/>
      </c>
      <c r="N407" s="5" t="n"/>
      <c r="O407" s="5" t="n"/>
      <c r="P407" s="5" t="n">
        <v>0</v>
      </c>
      <c r="Q407" s="5" t="n">
        <v>0</v>
      </c>
      <c r="R407" s="5" t="inlineStr">
        <is>
          <t>217-2023-04-30</t>
        </is>
      </c>
    </row>
    <row r="408">
      <c r="A408" s="26" t="n">
        <v>217</v>
      </c>
      <c r="B408" s="5" t="inlineStr">
        <is>
          <t>Aprovechamiento de Residuos</t>
        </is>
      </c>
      <c r="C408" s="5" t="inlineStr">
        <is>
          <t>GESTIÓN AMBIENTAL</t>
        </is>
      </c>
      <c r="D408" s="5" t="inlineStr">
        <is>
          <t>Mensual</t>
        </is>
      </c>
      <c r="E408" s="5" t="inlineStr">
        <is>
          <t>Positivo</t>
        </is>
      </c>
      <c r="F408" s="107" t="n">
        <v>45077</v>
      </c>
      <c r="G408" s="5" t="n">
        <v>2023</v>
      </c>
      <c r="H408" s="5" t="inlineStr">
        <is>
          <t>Mayo</t>
        </is>
      </c>
      <c r="I408" s="6" t="inlineStr">
        <is>
          <t>2023-1</t>
        </is>
      </c>
      <c r="J408" s="5" t="n">
        <v>120</v>
      </c>
      <c r="K408" s="5" t="n">
        <v>322.245187157396</v>
      </c>
      <c r="L408" s="74">
        <f>IFERROR(IF(OR(J408=0,K408=""),"",IF(E408="Positivo",MIN(MAX(K408/J408,0),1.3),MIN(MAX(J408/K408,0),1.3))),"") </f>
        <v/>
      </c>
      <c r="M408" s="14">
        <f>IFERROR(IF(OR(J408=0,K408=""),"",IF(E408="Positivo",MAX(K408/J408,0),MAX(J408/K408,0))),"") </f>
        <v/>
      </c>
      <c r="N408" s="5" t="n"/>
      <c r="O408" s="5" t="n"/>
      <c r="P408" s="5" t="n">
        <v>0</v>
      </c>
      <c r="Q408" s="5" t="n">
        <v>0</v>
      </c>
      <c r="R408" s="5" t="inlineStr">
        <is>
          <t>217-2023-05-31</t>
        </is>
      </c>
    </row>
    <row r="409">
      <c r="A409" s="26" t="n">
        <v>217</v>
      </c>
      <c r="B409" s="5" t="inlineStr">
        <is>
          <t>Aprovechamiento de Residuos</t>
        </is>
      </c>
      <c r="C409" s="5" t="inlineStr">
        <is>
          <t>GESTIÓN AMBIENTAL</t>
        </is>
      </c>
      <c r="D409" s="5" t="inlineStr">
        <is>
          <t>Mensual</t>
        </is>
      </c>
      <c r="E409" s="5" t="inlineStr">
        <is>
          <t>Positivo</t>
        </is>
      </c>
      <c r="F409" s="107" t="n">
        <v>45107</v>
      </c>
      <c r="G409" s="5" t="n">
        <v>2023</v>
      </c>
      <c r="H409" s="5" t="inlineStr">
        <is>
          <t>Junio</t>
        </is>
      </c>
      <c r="I409" s="6" t="inlineStr">
        <is>
          <t>2023-1</t>
        </is>
      </c>
      <c r="J409" s="5" t="n">
        <v>120</v>
      </c>
      <c r="K409" s="5" t="n">
        <v>322.245187157396</v>
      </c>
      <c r="L409" s="74">
        <f>IFERROR(IF(OR(J409=0,K409=""),"",IF(E409="Positivo",MIN(MAX(K409/J409,0),1.3),MIN(MAX(J409/K409,0),1.3))),"") </f>
        <v/>
      </c>
      <c r="M409" s="14">
        <f>IFERROR(IF(OR(J409=0,K409=""),"",IF(E409="Positivo",MAX(K409/J409,0),MAX(J409/K409,0))),"") </f>
        <v/>
      </c>
      <c r="N409" s="5" t="n"/>
      <c r="O409" s="5" t="n"/>
      <c r="P409" s="5" t="n">
        <v>0</v>
      </c>
      <c r="Q409" s="5" t="n">
        <v>0</v>
      </c>
      <c r="R409" s="5" t="inlineStr">
        <is>
          <t>217-2023-06-30</t>
        </is>
      </c>
    </row>
    <row r="410">
      <c r="A410" s="28" t="n">
        <v>217</v>
      </c>
      <c r="B410" s="5" t="inlineStr">
        <is>
          <t>Aprovechamiento de Residuos</t>
        </is>
      </c>
      <c r="C410" s="5" t="inlineStr">
        <is>
          <t>GESTIÓN AMBIENTAL</t>
        </is>
      </c>
      <c r="D410" s="5" t="inlineStr">
        <is>
          <t>Mensual</t>
        </is>
      </c>
      <c r="E410" s="5" t="inlineStr">
        <is>
          <t>Positivo</t>
        </is>
      </c>
      <c r="F410" s="107" t="n">
        <v>45138</v>
      </c>
      <c r="G410" s="5" t="n">
        <v>2023</v>
      </c>
      <c r="H410" s="5" t="inlineStr">
        <is>
          <t>Julio</t>
        </is>
      </c>
      <c r="I410" s="6" t="inlineStr">
        <is>
          <t>2023-2</t>
        </is>
      </c>
      <c r="J410" s="5" t="n">
        <v>120</v>
      </c>
      <c r="K410" s="5" t="n">
        <v>130.7838155698693</v>
      </c>
      <c r="L410" s="74">
        <f>IFERROR(IF(OR(J410=0,K410=""),"",IF(E410="Positivo",MIN(MAX(K410/J410,0),1.3),MIN(MAX(J410/K410,0),1.3))),"") </f>
        <v/>
      </c>
      <c r="M410" s="14">
        <f>IFERROR(IF(OR(J410=0,K410=""),"",IF(E410="Positivo",MAX(K410/J410,0),MAX(J410/K410,0))),"") </f>
        <v/>
      </c>
      <c r="N410" s="5" t="n"/>
      <c r="O410" s="5" t="n"/>
      <c r="P410" s="5" t="n">
        <v>0</v>
      </c>
      <c r="Q410" s="5" t="n">
        <v>0</v>
      </c>
      <c r="R410" s="5" t="inlineStr">
        <is>
          <t>217-2023-07-31</t>
        </is>
      </c>
    </row>
    <row r="411">
      <c r="A411" s="26" t="n">
        <v>217</v>
      </c>
      <c r="B411" s="5" t="inlineStr">
        <is>
          <t>Aprovechamiento de Residuos</t>
        </is>
      </c>
      <c r="C411" s="5" t="inlineStr">
        <is>
          <t>GESTIÓN AMBIENTAL</t>
        </is>
      </c>
      <c r="D411" s="5" t="inlineStr">
        <is>
          <t>Mensual</t>
        </is>
      </c>
      <c r="E411" s="5" t="inlineStr">
        <is>
          <t>Positivo</t>
        </is>
      </c>
      <c r="F411" s="107" t="n">
        <v>45169</v>
      </c>
      <c r="G411" s="5" t="n">
        <v>2023</v>
      </c>
      <c r="H411" s="5" t="inlineStr">
        <is>
          <t>Agosto</t>
        </is>
      </c>
      <c r="I411" s="6" t="inlineStr">
        <is>
          <t>2023-2</t>
        </is>
      </c>
      <c r="J411" s="5" t="n">
        <v>120</v>
      </c>
      <c r="K411" s="5" t="n">
        <v>130.7838155698693</v>
      </c>
      <c r="L411" s="74">
        <f>IFERROR(IF(OR(J411=0,K411=""),"",IF(E411="Positivo",MIN(MAX(K411/J411,0),1.3),MIN(MAX(J411/K411,0),1.3))),"") </f>
        <v/>
      </c>
      <c r="M411" s="14">
        <f>IFERROR(IF(OR(J411=0,K411=""),"",IF(E411="Positivo",MAX(K411/J411,0),MAX(J411/K411,0))),"") </f>
        <v/>
      </c>
      <c r="N411" s="5" t="n"/>
      <c r="O411" s="5" t="n"/>
      <c r="P411" s="5" t="n">
        <v>0</v>
      </c>
      <c r="Q411" s="5" t="n">
        <v>0</v>
      </c>
      <c r="R411" s="5" t="inlineStr">
        <is>
          <t>217-2023-08-31</t>
        </is>
      </c>
    </row>
    <row r="412">
      <c r="A412" s="5" t="n">
        <v>217</v>
      </c>
      <c r="B412" s="5" t="inlineStr">
        <is>
          <t>Aprovechamiento de Residuos</t>
        </is>
      </c>
      <c r="C412" s="5" t="inlineStr">
        <is>
          <t>GESTIÓN AMBIENTAL</t>
        </is>
      </c>
      <c r="D412" s="5" t="inlineStr">
        <is>
          <t>Mensual</t>
        </is>
      </c>
      <c r="E412" s="5" t="inlineStr">
        <is>
          <t>Positivo</t>
        </is>
      </c>
      <c r="F412" s="107" t="n">
        <v>45199</v>
      </c>
      <c r="G412" s="5" t="n">
        <v>2023</v>
      </c>
      <c r="H412" s="5" t="inlineStr">
        <is>
          <t>Septiembre</t>
        </is>
      </c>
      <c r="I412" s="6" t="inlineStr">
        <is>
          <t>2023-2</t>
        </is>
      </c>
      <c r="J412" s="5" t="n">
        <v>120</v>
      </c>
      <c r="K412" s="5" t="n">
        <v>130.7838155698693</v>
      </c>
      <c r="L412" s="14">
        <f>IFERROR(IF(OR(J412=0,K412=""),"",IF(E412="Positivo",MIN(MAX(K412/J412,0),1.3),MIN(MAX(J412/K412,0),1.3))),"") </f>
        <v/>
      </c>
      <c r="M412" s="14">
        <f>IFERROR(IF(OR(J412=0,K412=""),"",IF(E412="Positivo",MAX(K412/J412,0),MAX(J412/K412,0))),"") </f>
        <v/>
      </c>
      <c r="N412" s="5" t="n"/>
      <c r="O412" s="5" t="n"/>
      <c r="P412" s="5" t="n">
        <v>0</v>
      </c>
      <c r="Q412" s="5" t="n">
        <v>0</v>
      </c>
      <c r="R412" s="5" t="inlineStr">
        <is>
          <t>217-2023-09-30</t>
        </is>
      </c>
    </row>
    <row r="413">
      <c r="A413" s="5" t="n">
        <v>217</v>
      </c>
      <c r="B413" s="5" t="inlineStr">
        <is>
          <t>Aprovechamiento de Residuos</t>
        </is>
      </c>
      <c r="C413" s="5" t="inlineStr">
        <is>
          <t>GESTIÓN AMBIENTAL</t>
        </is>
      </c>
      <c r="D413" s="5" t="inlineStr">
        <is>
          <t>Mensual</t>
        </is>
      </c>
      <c r="E413" s="5" t="inlineStr">
        <is>
          <t>Positivo</t>
        </is>
      </c>
      <c r="F413" s="107" t="n">
        <v>45230</v>
      </c>
      <c r="G413" s="5" t="n">
        <v>2023</v>
      </c>
      <c r="H413" s="5" t="inlineStr">
        <is>
          <t>Octubre</t>
        </is>
      </c>
      <c r="I413" s="6" t="inlineStr">
        <is>
          <t>2023-2</t>
        </is>
      </c>
      <c r="J413" s="5" t="n">
        <v>120</v>
      </c>
      <c r="K413" s="5" t="n">
        <v>130.7838155698693</v>
      </c>
      <c r="L413" s="14">
        <f>IFERROR(IF(OR(J413=0,K413=""),"",IF(E413="Positivo",MIN(MAX(K413/J413,0),1.3),MIN(MAX(J413/K413,0),1.3))),"") </f>
        <v/>
      </c>
      <c r="M413" s="14">
        <f>IFERROR(IF(OR(J413=0,K413=""),"",IF(E413="Positivo",MAX(K413/J413,0),MAX(J413/K413,0))),"") </f>
        <v/>
      </c>
      <c r="N413" s="5" t="n"/>
      <c r="O413" s="5" t="n"/>
      <c r="P413" s="5" t="n">
        <v>0</v>
      </c>
      <c r="Q413" s="5" t="n">
        <v>0</v>
      </c>
      <c r="R413" s="5" t="inlineStr">
        <is>
          <t>217-2023-10-31</t>
        </is>
      </c>
    </row>
    <row r="414">
      <c r="A414" s="28" t="n">
        <v>217</v>
      </c>
      <c r="B414" s="5" t="inlineStr">
        <is>
          <t>Aprovechamiento de Residuos</t>
        </is>
      </c>
      <c r="C414" s="5" t="inlineStr">
        <is>
          <t>GESTIÓN AMBIENTAL</t>
        </is>
      </c>
      <c r="D414" s="5" t="inlineStr">
        <is>
          <t>Mensual</t>
        </is>
      </c>
      <c r="E414" s="5" t="inlineStr">
        <is>
          <t>Positivo</t>
        </is>
      </c>
      <c r="F414" s="107" t="n">
        <v>45260</v>
      </c>
      <c r="G414" s="5" t="n">
        <v>2023</v>
      </c>
      <c r="H414" s="5" t="inlineStr">
        <is>
          <t>Noviembre</t>
        </is>
      </c>
      <c r="I414" s="6" t="inlineStr">
        <is>
          <t>2023-2</t>
        </is>
      </c>
      <c r="J414" s="5" t="n">
        <v>120</v>
      </c>
      <c r="K414" s="5" t="n">
        <v>130.7838155698693</v>
      </c>
      <c r="L414" s="14">
        <f>IFERROR(IF(OR(J414=0,K414=""),"",IF(E414="Positivo",MIN(MAX(K414/J414,0),1.3),MIN(MAX(J414/K414,0),1.3))),"") </f>
        <v/>
      </c>
      <c r="M414" s="14">
        <f>IFERROR(IF(OR(J414=0,K414=""),"",IF(E414="Positivo",MAX(K414/J414,0),MAX(J414/K414,0))),"") </f>
        <v/>
      </c>
      <c r="N414" s="5" t="n"/>
      <c r="O414" s="5" t="n"/>
      <c r="P414" s="5" t="n">
        <v>0</v>
      </c>
      <c r="Q414" s="5" t="n">
        <v>0</v>
      </c>
      <c r="R414" s="5" t="inlineStr">
        <is>
          <t>217-2023-11-30</t>
        </is>
      </c>
    </row>
    <row r="415">
      <c r="A415" s="26" t="n">
        <v>217</v>
      </c>
      <c r="B415" s="5" t="inlineStr">
        <is>
          <t>Aprovechamiento de Residuos</t>
        </is>
      </c>
      <c r="C415" s="5" t="inlineStr">
        <is>
          <t>GESTIÓN AMBIENTAL</t>
        </is>
      </c>
      <c r="D415" s="5" t="inlineStr">
        <is>
          <t>Mensual</t>
        </is>
      </c>
      <c r="E415" s="5" t="inlineStr">
        <is>
          <t>Positivo</t>
        </is>
      </c>
      <c r="F415" s="107" t="n">
        <v>45291</v>
      </c>
      <c r="G415" s="5" t="n">
        <v>2023</v>
      </c>
      <c r="H415" s="5" t="inlineStr">
        <is>
          <t>Diciembre</t>
        </is>
      </c>
      <c r="I415" s="6" t="inlineStr">
        <is>
          <t>2023-2</t>
        </is>
      </c>
      <c r="J415" s="5" t="n">
        <v>120</v>
      </c>
      <c r="K415" s="5" t="n">
        <v>130.7838155698693</v>
      </c>
      <c r="L415" s="14">
        <f>IFERROR(IF(OR(J415=0,K415=""),"",IF(E415="Positivo",MIN(MAX(K415/J415,0),1.3),MIN(MAX(J415/K415,0),1.3))),"") </f>
        <v/>
      </c>
      <c r="M415" s="14">
        <f>IFERROR(IF(OR(J415=0,K415=""),"",IF(E415="Positivo",MAX(K415/J415,0),MAX(J415/K415,0))),"") </f>
        <v/>
      </c>
      <c r="N415" s="5" t="n"/>
      <c r="O415" s="5" t="n"/>
      <c r="P415" s="5" t="n">
        <v>0</v>
      </c>
      <c r="Q415" s="5" t="n">
        <v>0</v>
      </c>
      <c r="R415" s="5" t="inlineStr">
        <is>
          <t>217-2023-12-31</t>
        </is>
      </c>
    </row>
    <row r="416">
      <c r="A416" s="5" t="n">
        <v>217</v>
      </c>
      <c r="B416" s="5" t="inlineStr">
        <is>
          <t>Aprovechamiento de Residuos</t>
        </is>
      </c>
      <c r="C416" s="5" t="inlineStr">
        <is>
          <t>GESTIÓN AMBIENTAL</t>
        </is>
      </c>
      <c r="D416" s="5" t="inlineStr">
        <is>
          <t>Mensual</t>
        </is>
      </c>
      <c r="E416" s="5" t="inlineStr">
        <is>
          <t>Positivo</t>
        </is>
      </c>
      <c r="F416" s="107" t="n">
        <v>45473</v>
      </c>
      <c r="G416" s="5" t="n">
        <v>2024</v>
      </c>
      <c r="H416" s="5" t="inlineStr">
        <is>
          <t>Junio</t>
        </is>
      </c>
      <c r="I416" s="6" t="inlineStr">
        <is>
          <t>2024-1</t>
        </is>
      </c>
      <c r="J416" s="5" t="n">
        <v>120</v>
      </c>
      <c r="K416" s="5" t="n">
        <v>154.91</v>
      </c>
      <c r="L416" s="14">
        <f>IFERROR(IF(OR(J416=0,K416=""),"",IF(E416="Positivo",MIN(MAX(K416/J416,0),1.3),MIN(MAX(J416/K416,0),1.3))),"") </f>
        <v/>
      </c>
      <c r="M416" s="14">
        <f>IFERROR(IF(OR(J416=0,K416=""),"",IF(E416="Positivo",MAX(K416/J416,0),MAX(J416/K416,0))),"") </f>
        <v/>
      </c>
      <c r="N416" s="5" t="n"/>
      <c r="O416" s="5" t="n"/>
      <c r="P416" s="5" t="n">
        <v>0</v>
      </c>
      <c r="Q416" s="5" t="n">
        <v>0</v>
      </c>
      <c r="R416" s="5" t="inlineStr">
        <is>
          <t>217-2024-06-30</t>
        </is>
      </c>
    </row>
    <row r="417">
      <c r="A417" s="5" t="n">
        <v>217</v>
      </c>
      <c r="B417" s="5" t="inlineStr">
        <is>
          <t>Aprovechamiento de Residuos</t>
        </is>
      </c>
      <c r="C417" s="5" t="inlineStr">
        <is>
          <t>GESTIÓN AMBIENTAL</t>
        </is>
      </c>
      <c r="D417" s="5" t="inlineStr">
        <is>
          <t>Mensual</t>
        </is>
      </c>
      <c r="E417" s="5" t="inlineStr">
        <is>
          <t>Positivo</t>
        </is>
      </c>
      <c r="F417" s="107" t="n">
        <v>45657</v>
      </c>
      <c r="G417" s="5" t="n">
        <v>2024</v>
      </c>
      <c r="H417" s="5" t="inlineStr">
        <is>
          <t>Diciembre</t>
        </is>
      </c>
      <c r="I417" s="6" t="inlineStr">
        <is>
          <t>2024-2</t>
        </is>
      </c>
      <c r="J417" s="5" t="n">
        <v>120</v>
      </c>
      <c r="K417" s="5" t="n">
        <v>148.9927505108846</v>
      </c>
      <c r="L417" s="14">
        <f>IFERROR(IF(OR(J417=0,K417=""),"",IF(E417="Positivo",MIN(MAX(K417/J417,0),1.3),MIN(MAX(J417/K417,0),1.3))),"") </f>
        <v/>
      </c>
      <c r="M417" s="14">
        <f>IFERROR(IF(OR(J417=0,K417=""),"",IF(E417="Positivo",MAX(K417/J417,0),MAX(J417/K417,0))),"") </f>
        <v/>
      </c>
      <c r="N417" s="5" t="n"/>
      <c r="O417" s="5" t="n"/>
      <c r="P417" s="5" t="n">
        <v>0</v>
      </c>
      <c r="Q417" s="5" t="n">
        <v>0</v>
      </c>
      <c r="R417" s="5" t="inlineStr">
        <is>
          <t>217-2024-12-31</t>
        </is>
      </c>
    </row>
    <row r="418">
      <c r="A418" s="28" t="n">
        <v>217</v>
      </c>
      <c r="B418" s="5" t="inlineStr">
        <is>
          <t>Aprovechamiento de Residuos</t>
        </is>
      </c>
      <c r="C418" s="5" t="inlineStr">
        <is>
          <t>GESTIÓN AMBIENTAL</t>
        </is>
      </c>
      <c r="D418" s="5" t="inlineStr">
        <is>
          <t>Mensual</t>
        </is>
      </c>
      <c r="E418" s="5" t="inlineStr">
        <is>
          <t>Positivo</t>
        </is>
      </c>
      <c r="F418" s="107" t="n">
        <v>45838</v>
      </c>
      <c r="G418" s="5" t="n">
        <v>2025</v>
      </c>
      <c r="H418" s="5" t="inlineStr">
        <is>
          <t>Junio</t>
        </is>
      </c>
      <c r="I418" s="6" t="inlineStr">
        <is>
          <t>2025-1</t>
        </is>
      </c>
      <c r="J418" s="5" t="n">
        <v>120</v>
      </c>
      <c r="K418" s="5" t="n">
        <v>333.74</v>
      </c>
      <c r="L418" s="14">
        <f>IFERROR(IF(OR(J418=0,K418=""),"",IF(E418="Positivo",MIN(MAX(K418/J418,0),1.3),MIN(MAX(J418/K418,0),1.3))),"") </f>
        <v/>
      </c>
      <c r="M418" s="14">
        <f>IFERROR(IF(OR(J418=0,K418=""),"",IF(E418="Positivo",MAX(K418/J418,0),MAX(J418/K418,0))),"") </f>
        <v/>
      </c>
      <c r="N418" s="5" t="inlineStr">
        <is>
          <t>%</t>
        </is>
      </c>
      <c r="O418" s="5" t="inlineStr">
        <is>
          <t>%</t>
        </is>
      </c>
      <c r="P418" s="5" t="n">
        <v>0</v>
      </c>
      <c r="Q418" s="5" t="n">
        <v>0</v>
      </c>
      <c r="R418" s="5" t="inlineStr">
        <is>
          <t>217-2025-06-30</t>
        </is>
      </c>
    </row>
    <row r="419">
      <c r="A419" s="26" t="n">
        <v>217</v>
      </c>
      <c r="B419" s="5" t="inlineStr">
        <is>
          <t>Aprovechamiento de Residuos</t>
        </is>
      </c>
      <c r="C419" s="5" t="inlineStr">
        <is>
          <t>GESTIÓN AMBIENTAL</t>
        </is>
      </c>
      <c r="D419" s="5" t="inlineStr">
        <is>
          <t>Mensual</t>
        </is>
      </c>
      <c r="E419" s="5" t="inlineStr">
        <is>
          <t>Positivo</t>
        </is>
      </c>
      <c r="F419" s="107" t="n">
        <v>46022</v>
      </c>
      <c r="G419" s="5" t="n">
        <v>2025</v>
      </c>
      <c r="H419" s="5" t="inlineStr">
        <is>
          <t>Diciembre</t>
        </is>
      </c>
      <c r="I419" s="6" t="inlineStr">
        <is>
          <t>2025-2</t>
        </is>
      </c>
      <c r="J419" s="5" t="n">
        <v>120</v>
      </c>
      <c r="K419" s="5" t="n">
        <v>543.33</v>
      </c>
      <c r="L419" s="14">
        <f>IFERROR(IF(OR(J419=0,K419=""),"",IF(E419="Positivo",MIN(MAX(K419/J419,0),1.3),MIN(MAX(J419/K419,0),1.3))),"") </f>
        <v/>
      </c>
      <c r="M419" s="14">
        <f>IFERROR(IF(OR(J419=0,K419=""),"",IF(E419="Positivo",MAX(K419/J419,0),MAX(J419/K419,0))),"") </f>
        <v/>
      </c>
      <c r="N419" s="5" t="inlineStr">
        <is>
          <t>%</t>
        </is>
      </c>
      <c r="O419" s="5" t="inlineStr">
        <is>
          <t>%</t>
        </is>
      </c>
      <c r="P419" s="5" t="n">
        <v>0</v>
      </c>
      <c r="Q419" s="5" t="n">
        <v>0</v>
      </c>
      <c r="R419" s="5" t="inlineStr">
        <is>
          <t>217-2025-12-31</t>
        </is>
      </c>
    </row>
    <row r="420">
      <c r="A420" s="5" t="n">
        <v>218</v>
      </c>
      <c r="B420" s="5" t="inlineStr">
        <is>
          <t>Consumo de Energía Eléctrica kWh Mensual</t>
        </is>
      </c>
      <c r="C420" s="5" t="inlineStr">
        <is>
          <t>GESTIÓN AMBIENTAL</t>
        </is>
      </c>
      <c r="D420" s="5" t="inlineStr">
        <is>
          <t>Mensual</t>
        </is>
      </c>
      <c r="E420" s="5" t="inlineStr">
        <is>
          <t>Negativo</t>
        </is>
      </c>
      <c r="F420" s="107" t="n">
        <v>44742</v>
      </c>
      <c r="G420" s="5" t="n">
        <v>2022</v>
      </c>
      <c r="H420" s="5" t="inlineStr">
        <is>
          <t>Junio</t>
        </is>
      </c>
      <c r="I420" s="6" t="inlineStr">
        <is>
          <t>2022-1</t>
        </is>
      </c>
      <c r="J420" s="5" t="n">
        <v>1032000</v>
      </c>
      <c r="K420" s="5" t="n">
        <v>0</v>
      </c>
      <c r="L420" s="14">
        <f>IFERROR(IF(OR(J420=0,K420=""),"",IF(E420="Positivo",MIN(MAX(K420/J420,0),1.0),MIN(MAX(J420/K420,0),1.0))),"") </f>
        <v/>
      </c>
      <c r="M420" s="14">
        <f>IFERROR(IF(OR(J420=0,K420=""),"",IF(E420="Positivo",MAX(K420/J420,0),MAX(J420/K420,0))),"") </f>
        <v/>
      </c>
      <c r="N420" s="5" t="inlineStr">
        <is>
          <t>kWh</t>
        </is>
      </c>
      <c r="O420" s="5" t="inlineStr">
        <is>
          <t>kWh</t>
        </is>
      </c>
      <c r="P420" s="5" t="n">
        <v>0</v>
      </c>
      <c r="Q420" s="5" t="n">
        <v>0</v>
      </c>
      <c r="R420" s="5" t="inlineStr">
        <is>
          <t>218-2022-06-30</t>
        </is>
      </c>
    </row>
    <row r="421">
      <c r="A421" s="5" t="n">
        <v>218</v>
      </c>
      <c r="B421" s="5" t="inlineStr">
        <is>
          <t>Consumo de Energía Eléctrica kWh Mensual</t>
        </is>
      </c>
      <c r="C421" s="5" t="inlineStr">
        <is>
          <t>GESTIÓN AMBIENTAL</t>
        </is>
      </c>
      <c r="D421" s="5" t="inlineStr">
        <is>
          <t>Mensual</t>
        </is>
      </c>
      <c r="E421" s="5" t="inlineStr">
        <is>
          <t>Negativo</t>
        </is>
      </c>
      <c r="F421" s="107" t="n">
        <v>44926</v>
      </c>
      <c r="G421" s="5" t="n">
        <v>2022</v>
      </c>
      <c r="H421" s="5" t="inlineStr">
        <is>
          <t>Diciembre</t>
        </is>
      </c>
      <c r="I421" s="6" t="inlineStr">
        <is>
          <t>2022-2</t>
        </is>
      </c>
      <c r="J421" s="5" t="n">
        <v>1032000</v>
      </c>
      <c r="K421" s="5" t="n">
        <v>0</v>
      </c>
      <c r="L421" s="14">
        <f>IFERROR(IF(OR(J421=0,K421=""),"",IF(E421="Positivo",MIN(MAX(K421/J421,0),1.0),MIN(MAX(J421/K421,0),1.0))),"") </f>
        <v/>
      </c>
      <c r="M421" s="14">
        <f>IFERROR(IF(OR(J421=0,K421=""),"",IF(E421="Positivo",MAX(K421/J421,0),MAX(J421/K421,0))),"") </f>
        <v/>
      </c>
      <c r="N421" s="5" t="inlineStr">
        <is>
          <t>kWh</t>
        </is>
      </c>
      <c r="O421" s="5" t="inlineStr">
        <is>
          <t>kWh</t>
        </is>
      </c>
      <c r="P421" s="5" t="n">
        <v>0</v>
      </c>
      <c r="Q421" s="5" t="n">
        <v>0</v>
      </c>
      <c r="R421" s="5" t="inlineStr">
        <is>
          <t>218-2022-12-31</t>
        </is>
      </c>
    </row>
    <row r="422">
      <c r="A422" s="28" t="n">
        <v>218</v>
      </c>
      <c r="B422" s="5" t="inlineStr">
        <is>
          <t>Consumo de Energía Eléctrica kWh Mensual</t>
        </is>
      </c>
      <c r="C422" s="5" t="inlineStr">
        <is>
          <t>GESTIÓN AMBIENTAL</t>
        </is>
      </c>
      <c r="D422" s="5" t="inlineStr">
        <is>
          <t>Mensual</t>
        </is>
      </c>
      <c r="E422" s="5" t="inlineStr">
        <is>
          <t>Negativo</t>
        </is>
      </c>
      <c r="F422" s="107" t="n">
        <v>44957</v>
      </c>
      <c r="G422" s="5" t="n">
        <v>2023</v>
      </c>
      <c r="H422" s="5" t="inlineStr">
        <is>
          <t>Enero</t>
        </is>
      </c>
      <c r="I422" s="6" t="inlineStr">
        <is>
          <t>2023-1</t>
        </is>
      </c>
      <c r="J422" s="5" t="n">
        <v>1032000</v>
      </c>
      <c r="K422" s="5" t="n">
        <v>809046.41</v>
      </c>
      <c r="L422" s="14">
        <f>IFERROR(IF(OR(J422=0,K422=""),"",IF(E422="Positivo",MIN(MAX(K422/J422,0),1.0),MIN(MAX(J422/K422,0),1.0))),"") </f>
        <v/>
      </c>
      <c r="M422" s="14">
        <f>IFERROR(IF(OR(J422=0,K422=""),"",IF(E422="Positivo",MAX(K422/J422,0),MAX(J422/K422,0))),"") </f>
        <v/>
      </c>
      <c r="N422" s="5" t="inlineStr">
        <is>
          <t>kWh</t>
        </is>
      </c>
      <c r="O422" s="5" t="inlineStr">
        <is>
          <t>kWh</t>
        </is>
      </c>
      <c r="P422" s="5" t="n">
        <v>0</v>
      </c>
      <c r="Q422" s="5" t="n">
        <v>0</v>
      </c>
      <c r="R422" s="5" t="inlineStr">
        <is>
          <t>218-2023-01-31</t>
        </is>
      </c>
    </row>
    <row r="423">
      <c r="A423" s="5" t="n">
        <v>218</v>
      </c>
      <c r="B423" s="5" t="inlineStr">
        <is>
          <t>Consumo de Energía Eléctrica kWh Mensual</t>
        </is>
      </c>
      <c r="C423" s="5" t="inlineStr">
        <is>
          <t>GESTIÓN AMBIENTAL</t>
        </is>
      </c>
      <c r="D423" s="5" t="inlineStr">
        <is>
          <t>Mensual</t>
        </is>
      </c>
      <c r="E423" s="5" t="inlineStr">
        <is>
          <t>Negativo</t>
        </is>
      </c>
      <c r="F423" s="107" t="n">
        <v>44985</v>
      </c>
      <c r="G423" s="5" t="n">
        <v>2023</v>
      </c>
      <c r="H423" s="5" t="inlineStr">
        <is>
          <t>Febrero</t>
        </is>
      </c>
      <c r="I423" s="6" t="inlineStr">
        <is>
          <t>2023-1</t>
        </is>
      </c>
      <c r="J423" s="5" t="n">
        <v>1032000</v>
      </c>
      <c r="K423" s="5" t="n">
        <v>809046.41</v>
      </c>
      <c r="L423" s="14">
        <f>IFERROR(IF(OR(J423=0,K423=""),"",IF(E423="Positivo",MIN(MAX(K423/J423,0),1.0),MIN(MAX(J423/K423,0),1.0))),"") </f>
        <v/>
      </c>
      <c r="M423" s="14">
        <f>IFERROR(IF(OR(J423=0,K423=""),"",IF(E423="Positivo",MAX(K423/J423,0),MAX(J423/K423,0))),"") </f>
        <v/>
      </c>
      <c r="N423" s="5" t="inlineStr">
        <is>
          <t>kWh</t>
        </is>
      </c>
      <c r="O423" s="5" t="inlineStr">
        <is>
          <t>kWh</t>
        </is>
      </c>
      <c r="P423" s="5" t="n">
        <v>0</v>
      </c>
      <c r="Q423" s="5" t="n">
        <v>0</v>
      </c>
      <c r="R423" s="5" t="inlineStr">
        <is>
          <t>218-2023-02-28</t>
        </is>
      </c>
    </row>
    <row r="424">
      <c r="A424" s="5" t="n">
        <v>218</v>
      </c>
      <c r="B424" s="5" t="inlineStr">
        <is>
          <t>Consumo de Energía Eléctrica kWh Mensual</t>
        </is>
      </c>
      <c r="C424" s="5" t="inlineStr">
        <is>
          <t>GESTIÓN AMBIENTAL</t>
        </is>
      </c>
      <c r="D424" s="5" t="inlineStr">
        <is>
          <t>Mensual</t>
        </is>
      </c>
      <c r="E424" s="5" t="inlineStr">
        <is>
          <t>Negativo</t>
        </is>
      </c>
      <c r="F424" s="107" t="n">
        <v>45016</v>
      </c>
      <c r="G424" s="5" t="n">
        <v>2023</v>
      </c>
      <c r="H424" s="5" t="inlineStr">
        <is>
          <t>Marzo</t>
        </is>
      </c>
      <c r="I424" s="6" t="inlineStr">
        <is>
          <t>2023-1</t>
        </is>
      </c>
      <c r="J424" s="5" t="n">
        <v>1032000</v>
      </c>
      <c r="K424" s="5" t="n">
        <v>809046.41</v>
      </c>
      <c r="L424" s="14">
        <f>IFERROR(IF(OR(J424=0,K424=""),"",IF(E424="Positivo",MIN(MAX(K424/J424,0),1.0),MIN(MAX(J424/K424,0),1.0))),"") </f>
        <v/>
      </c>
      <c r="M424" s="14">
        <f>IFERROR(IF(OR(J424=0,K424=""),"",IF(E424="Positivo",MAX(K424/J424,0),MAX(J424/K424,0))),"") </f>
        <v/>
      </c>
      <c r="N424" s="5" t="inlineStr">
        <is>
          <t>kWh</t>
        </is>
      </c>
      <c r="O424" s="5" t="inlineStr">
        <is>
          <t>kWh</t>
        </is>
      </c>
      <c r="P424" s="5" t="n">
        <v>0</v>
      </c>
      <c r="Q424" s="5" t="n">
        <v>0</v>
      </c>
      <c r="R424" s="5" t="inlineStr">
        <is>
          <t>218-2023-03-31</t>
        </is>
      </c>
    </row>
    <row r="425">
      <c r="A425" s="26" t="n">
        <v>218</v>
      </c>
      <c r="B425" s="5" t="inlineStr">
        <is>
          <t>Consumo de Energía Eléctrica kWh Mensual</t>
        </is>
      </c>
      <c r="C425" s="5" t="inlineStr">
        <is>
          <t>GESTIÓN AMBIENTAL</t>
        </is>
      </c>
      <c r="D425" s="5" t="inlineStr">
        <is>
          <t>Mensual</t>
        </is>
      </c>
      <c r="E425" s="5" t="inlineStr">
        <is>
          <t>Negativo</t>
        </is>
      </c>
      <c r="F425" s="107" t="n">
        <v>45046</v>
      </c>
      <c r="G425" s="5" t="n">
        <v>2023</v>
      </c>
      <c r="H425" s="5" t="inlineStr">
        <is>
          <t>Abril</t>
        </is>
      </c>
      <c r="I425" s="6" t="inlineStr">
        <is>
          <t>2023-1</t>
        </is>
      </c>
      <c r="J425" s="5" t="n">
        <v>1032000</v>
      </c>
      <c r="K425" s="5" t="n">
        <v>809046.41</v>
      </c>
      <c r="L425" s="74">
        <f>IFERROR(IF(OR(J425=0,K425=""),"",IF(E425="Positivo",MIN(MAX(K425/J425,0),1.0),MIN(MAX(J425/K425,0),1.0))),"") </f>
        <v/>
      </c>
      <c r="M425" s="14">
        <f>IFERROR(IF(OR(J425=0,K425=""),"",IF(E425="Positivo",MAX(K425/J425,0),MAX(J425/K425,0))),"") </f>
        <v/>
      </c>
      <c r="N425" s="5" t="inlineStr">
        <is>
          <t>kWh</t>
        </is>
      </c>
      <c r="O425" s="5" t="inlineStr">
        <is>
          <t>kWh</t>
        </is>
      </c>
      <c r="P425" s="5" t="n">
        <v>0</v>
      </c>
      <c r="Q425" s="5" t="n">
        <v>0</v>
      </c>
      <c r="R425" s="5" t="inlineStr">
        <is>
          <t>218-2023-04-30</t>
        </is>
      </c>
    </row>
    <row r="426">
      <c r="A426" s="26" t="n">
        <v>218</v>
      </c>
      <c r="B426" s="5" t="inlineStr">
        <is>
          <t>Consumo de Energía Eléctrica kWh Mensual</t>
        </is>
      </c>
      <c r="C426" s="5" t="inlineStr">
        <is>
          <t>GESTIÓN AMBIENTAL</t>
        </is>
      </c>
      <c r="D426" s="5" t="inlineStr">
        <is>
          <t>Mensual</t>
        </is>
      </c>
      <c r="E426" s="5" t="inlineStr">
        <is>
          <t>Negativo</t>
        </is>
      </c>
      <c r="F426" s="107" t="n">
        <v>45077</v>
      </c>
      <c r="G426" s="5" t="n">
        <v>2023</v>
      </c>
      <c r="H426" s="5" t="inlineStr">
        <is>
          <t>Mayo</t>
        </is>
      </c>
      <c r="I426" s="6" t="inlineStr">
        <is>
          <t>2023-1</t>
        </is>
      </c>
      <c r="J426" s="5" t="n">
        <v>1032000</v>
      </c>
      <c r="K426" s="5" t="n">
        <v>809046.41</v>
      </c>
      <c r="L426" s="74">
        <f>IFERROR(IF(OR(J426=0,K426=""),"",IF(E426="Positivo",MIN(MAX(K426/J426,0),1.0),MIN(MAX(J426/K426,0),1.0))),"") </f>
        <v/>
      </c>
      <c r="M426" s="14">
        <f>IFERROR(IF(OR(J426=0,K426=""),"",IF(E426="Positivo",MAX(K426/J426,0),MAX(J426/K426,0))),"") </f>
        <v/>
      </c>
      <c r="N426" s="5" t="inlineStr">
        <is>
          <t>kWh</t>
        </is>
      </c>
      <c r="O426" s="5" t="inlineStr">
        <is>
          <t>kWh</t>
        </is>
      </c>
      <c r="P426" s="5" t="n">
        <v>0</v>
      </c>
      <c r="Q426" s="5" t="n">
        <v>0</v>
      </c>
      <c r="R426" s="5" t="inlineStr">
        <is>
          <t>218-2023-05-31</t>
        </is>
      </c>
    </row>
    <row r="427">
      <c r="A427" s="5" t="n">
        <v>218</v>
      </c>
      <c r="B427" s="5" t="inlineStr">
        <is>
          <t>Consumo de Energía Eléctrica kWh Mensual</t>
        </is>
      </c>
      <c r="C427" s="5" t="inlineStr">
        <is>
          <t>GESTIÓN AMBIENTAL</t>
        </is>
      </c>
      <c r="D427" s="5" t="inlineStr">
        <is>
          <t>Mensual</t>
        </is>
      </c>
      <c r="E427" s="5" t="inlineStr">
        <is>
          <t>Negativo</t>
        </is>
      </c>
      <c r="F427" s="107" t="n">
        <v>45107</v>
      </c>
      <c r="G427" s="5" t="n">
        <v>2023</v>
      </c>
      <c r="H427" s="5" t="inlineStr">
        <is>
          <t>Junio</t>
        </is>
      </c>
      <c r="I427" s="6" t="inlineStr">
        <is>
          <t>2023-1</t>
        </is>
      </c>
      <c r="J427" s="5" t="n">
        <v>1032000</v>
      </c>
      <c r="K427" s="5" t="n">
        <v>809046.41</v>
      </c>
      <c r="L427" s="14">
        <f>IFERROR(IF(OR(J427=0,K427=""),"",IF(E427="Positivo",MIN(MAX(K427/J427,0),1.0),MIN(MAX(J427/K427,0),1.0))),"") </f>
        <v/>
      </c>
      <c r="M427" s="14">
        <f>IFERROR(IF(OR(J427=0,K427=""),"",IF(E427="Positivo",MAX(K427/J427,0),MAX(J427/K427,0))),"") </f>
        <v/>
      </c>
      <c r="N427" s="5" t="inlineStr">
        <is>
          <t>kWh</t>
        </is>
      </c>
      <c r="O427" s="5" t="inlineStr">
        <is>
          <t>kWh</t>
        </is>
      </c>
      <c r="P427" s="5" t="n">
        <v>0</v>
      </c>
      <c r="Q427" s="5" t="n">
        <v>0</v>
      </c>
      <c r="R427" s="5" t="inlineStr">
        <is>
          <t>218-2023-06-30</t>
        </is>
      </c>
    </row>
    <row r="428">
      <c r="A428" s="5" t="n">
        <v>218</v>
      </c>
      <c r="B428" s="5" t="inlineStr">
        <is>
          <t>Consumo de Energía Eléctrica kWh Mensual</t>
        </is>
      </c>
      <c r="C428" s="5" t="inlineStr">
        <is>
          <t>GESTIÓN AMBIENTAL</t>
        </is>
      </c>
      <c r="D428" s="5" t="inlineStr">
        <is>
          <t>Mensual</t>
        </is>
      </c>
      <c r="E428" s="5" t="inlineStr">
        <is>
          <t>Negativo</t>
        </is>
      </c>
      <c r="F428" s="107" t="n">
        <v>45138</v>
      </c>
      <c r="G428" s="5" t="n">
        <v>2023</v>
      </c>
      <c r="H428" s="5" t="inlineStr">
        <is>
          <t>Julio</t>
        </is>
      </c>
      <c r="I428" s="6" t="inlineStr">
        <is>
          <t>2023-2</t>
        </is>
      </c>
      <c r="J428" s="5" t="n">
        <v>1032000</v>
      </c>
      <c r="K428" s="5" t="n">
        <v>795652.8199999999</v>
      </c>
      <c r="L428" s="14">
        <f>IFERROR(IF(OR(J428=0,K428=""),"",IF(E428="Positivo",MIN(MAX(K428/J428,0),1.0),MIN(MAX(J428/K428,0),1.0))),"") </f>
        <v/>
      </c>
      <c r="M428" s="14">
        <f>IFERROR(IF(OR(J428=0,K428=""),"",IF(E428="Positivo",MAX(K428/J428,0),MAX(J428/K428,0))),"") </f>
        <v/>
      </c>
      <c r="N428" s="5" t="inlineStr">
        <is>
          <t>kWh</t>
        </is>
      </c>
      <c r="O428" s="5" t="inlineStr">
        <is>
          <t>kWh</t>
        </is>
      </c>
      <c r="P428" s="5" t="n">
        <v>0</v>
      </c>
      <c r="Q428" s="5" t="n">
        <v>0</v>
      </c>
      <c r="R428" s="5" t="inlineStr">
        <is>
          <t>218-2023-07-31</t>
        </is>
      </c>
    </row>
    <row r="429">
      <c r="A429" s="28" t="n">
        <v>218</v>
      </c>
      <c r="B429" s="5" t="inlineStr">
        <is>
          <t>Consumo de Energía Eléctrica kWh Mensual</t>
        </is>
      </c>
      <c r="C429" s="5" t="inlineStr">
        <is>
          <t>GESTIÓN AMBIENTAL</t>
        </is>
      </c>
      <c r="D429" s="5" t="inlineStr">
        <is>
          <t>Mensual</t>
        </is>
      </c>
      <c r="E429" s="5" t="inlineStr">
        <is>
          <t>Negativo</t>
        </is>
      </c>
      <c r="F429" s="107" t="n">
        <v>45169</v>
      </c>
      <c r="G429" s="5" t="n">
        <v>2023</v>
      </c>
      <c r="H429" s="5" t="inlineStr">
        <is>
          <t>Agosto</t>
        </is>
      </c>
      <c r="I429" s="6" t="inlineStr">
        <is>
          <t>2023-2</t>
        </is>
      </c>
      <c r="J429" s="5" t="n">
        <v>1032000</v>
      </c>
      <c r="K429" s="5" t="n">
        <v>795652.8199999999</v>
      </c>
      <c r="L429" s="74">
        <f>IFERROR(IF(OR(J429=0,K429=""),"",IF(E429="Positivo",MIN(MAX(K429/J429,0),1.0),MIN(MAX(J429/K429,0),1.0))),"") </f>
        <v/>
      </c>
      <c r="M429" s="14">
        <f>IFERROR(IF(OR(J429=0,K429=""),"",IF(E429="Positivo",MAX(K429/J429,0),MAX(J429/K429,0))),"") </f>
        <v/>
      </c>
      <c r="N429" s="5" t="inlineStr">
        <is>
          <t>kWh</t>
        </is>
      </c>
      <c r="O429" s="5" t="inlineStr">
        <is>
          <t>kWh</t>
        </is>
      </c>
      <c r="P429" s="5" t="n">
        <v>0</v>
      </c>
      <c r="Q429" s="5" t="n">
        <v>0</v>
      </c>
      <c r="R429" s="5" t="inlineStr">
        <is>
          <t>218-2023-08-31</t>
        </is>
      </c>
    </row>
    <row r="430">
      <c r="A430" s="26" t="n">
        <v>218</v>
      </c>
      <c r="B430" s="5" t="inlineStr">
        <is>
          <t>Consumo de Energía Eléctrica kWh Mensual</t>
        </is>
      </c>
      <c r="C430" s="5" t="inlineStr">
        <is>
          <t>GESTIÓN AMBIENTAL</t>
        </is>
      </c>
      <c r="D430" s="5" t="inlineStr">
        <is>
          <t>Mensual</t>
        </is>
      </c>
      <c r="E430" s="5" t="inlineStr">
        <is>
          <t>Negativo</t>
        </is>
      </c>
      <c r="F430" s="107" t="n">
        <v>45199</v>
      </c>
      <c r="G430" s="5" t="n">
        <v>2023</v>
      </c>
      <c r="H430" s="5" t="inlineStr">
        <is>
          <t>Septiembre</t>
        </is>
      </c>
      <c r="I430" s="6" t="inlineStr">
        <is>
          <t>2023-2</t>
        </is>
      </c>
      <c r="J430" s="5" t="n">
        <v>1032000</v>
      </c>
      <c r="K430" s="5" t="n">
        <v>795652.8199999999</v>
      </c>
      <c r="L430" s="74">
        <f>IFERROR(IF(OR(J430=0,K430=""),"",IF(E430="Positivo",MIN(MAX(K430/J430,0),1.0),MIN(MAX(J430/K430,0),1.0))),"") </f>
        <v/>
      </c>
      <c r="M430" s="14">
        <f>IFERROR(IF(OR(J430=0,K430=""),"",IF(E430="Positivo",MAX(K430/J430,0),MAX(J430/K430,0))),"") </f>
        <v/>
      </c>
      <c r="N430" s="5" t="inlineStr">
        <is>
          <t>kWh</t>
        </is>
      </c>
      <c r="O430" s="5" t="inlineStr">
        <is>
          <t>kWh</t>
        </is>
      </c>
      <c r="P430" s="5" t="n">
        <v>0</v>
      </c>
      <c r="Q430" s="5" t="n">
        <v>0</v>
      </c>
      <c r="R430" s="5" t="inlineStr">
        <is>
          <t>218-2023-09-30</t>
        </is>
      </c>
    </row>
    <row r="431">
      <c r="A431" s="5" t="n">
        <v>218</v>
      </c>
      <c r="B431" s="5" t="inlineStr">
        <is>
          <t>Consumo de Energía Eléctrica kWh Mensual</t>
        </is>
      </c>
      <c r="C431" s="5" t="inlineStr">
        <is>
          <t>GESTIÓN AMBIENTAL</t>
        </is>
      </c>
      <c r="D431" s="5" t="inlineStr">
        <is>
          <t>Mensual</t>
        </is>
      </c>
      <c r="E431" s="5" t="inlineStr">
        <is>
          <t>Negativo</t>
        </is>
      </c>
      <c r="F431" s="107" t="n">
        <v>45230</v>
      </c>
      <c r="G431" s="5" t="n">
        <v>2023</v>
      </c>
      <c r="H431" s="5" t="inlineStr">
        <is>
          <t>Octubre</t>
        </is>
      </c>
      <c r="I431" s="6" t="inlineStr">
        <is>
          <t>2023-2</t>
        </is>
      </c>
      <c r="J431" s="5" t="n">
        <v>1032000</v>
      </c>
      <c r="K431" s="5" t="n">
        <v>795652.8199999999</v>
      </c>
      <c r="L431" s="14">
        <f>IFERROR(IF(OR(J431=0,K431=""),"",IF(E431="Positivo",MIN(MAX(K431/J431,0),1.0),MIN(MAX(J431/K431,0),1.0))),"") </f>
        <v/>
      </c>
      <c r="M431" s="14">
        <f>IFERROR(IF(OR(J431=0,K431=""),"",IF(E431="Positivo",MAX(K431/J431,0),MAX(J431/K431,0))),"") </f>
        <v/>
      </c>
      <c r="N431" s="5" t="inlineStr">
        <is>
          <t>kWh</t>
        </is>
      </c>
      <c r="O431" s="5" t="inlineStr">
        <is>
          <t>kWh</t>
        </is>
      </c>
      <c r="P431" s="5" t="n">
        <v>0</v>
      </c>
      <c r="Q431" s="5" t="n">
        <v>0</v>
      </c>
      <c r="R431" s="5" t="inlineStr">
        <is>
          <t>218-2023-10-31</t>
        </is>
      </c>
    </row>
    <row r="432">
      <c r="A432" s="5" t="n">
        <v>218</v>
      </c>
      <c r="B432" s="5" t="inlineStr">
        <is>
          <t>Consumo de Energía Eléctrica kWh Mensual</t>
        </is>
      </c>
      <c r="C432" s="5" t="inlineStr">
        <is>
          <t>GESTIÓN AMBIENTAL</t>
        </is>
      </c>
      <c r="D432" s="5" t="inlineStr">
        <is>
          <t>Mensual</t>
        </is>
      </c>
      <c r="E432" s="5" t="inlineStr">
        <is>
          <t>Negativo</t>
        </is>
      </c>
      <c r="F432" s="107" t="n">
        <v>45260</v>
      </c>
      <c r="G432" s="5" t="n">
        <v>2023</v>
      </c>
      <c r="H432" s="5" t="inlineStr">
        <is>
          <t>Noviembre</t>
        </is>
      </c>
      <c r="I432" s="6" t="inlineStr">
        <is>
          <t>2023-2</t>
        </is>
      </c>
      <c r="J432" s="5" t="n">
        <v>1032000</v>
      </c>
      <c r="K432" s="5" t="n">
        <v>795652.8199999999</v>
      </c>
      <c r="L432" s="14">
        <f>IFERROR(IF(OR(J432=0,K432=""),"",IF(E432="Positivo",MIN(MAX(K432/J432,0),1.0),MIN(MAX(J432/K432,0),1.0))),"") </f>
        <v/>
      </c>
      <c r="M432" s="14">
        <f>IFERROR(IF(OR(J432=0,K432=""),"",IF(E432="Positivo",MAX(K432/J432,0),MAX(J432/K432,0))),"") </f>
        <v/>
      </c>
      <c r="N432" s="5" t="inlineStr">
        <is>
          <t>kWh</t>
        </is>
      </c>
      <c r="O432" s="5" t="inlineStr">
        <is>
          <t>kWh</t>
        </is>
      </c>
      <c r="P432" s="5" t="n">
        <v>0</v>
      </c>
      <c r="Q432" s="5" t="n">
        <v>0</v>
      </c>
      <c r="R432" s="5" t="inlineStr">
        <is>
          <t>218-2023-11-30</t>
        </is>
      </c>
    </row>
    <row r="433">
      <c r="A433" s="28" t="n">
        <v>218</v>
      </c>
      <c r="B433" s="5" t="inlineStr">
        <is>
          <t>Consumo de Energía Eléctrica kWh Mensual</t>
        </is>
      </c>
      <c r="C433" s="5" t="inlineStr">
        <is>
          <t>GESTIÓN AMBIENTAL</t>
        </is>
      </c>
      <c r="D433" s="5" t="inlineStr">
        <is>
          <t>Mensual</t>
        </is>
      </c>
      <c r="E433" s="5" t="inlineStr">
        <is>
          <t>Negativo</t>
        </is>
      </c>
      <c r="F433" s="107" t="n">
        <v>45291</v>
      </c>
      <c r="G433" s="5" t="n">
        <v>2023</v>
      </c>
      <c r="H433" s="5" t="inlineStr">
        <is>
          <t>Diciembre</t>
        </is>
      </c>
      <c r="I433" s="6" t="inlineStr">
        <is>
          <t>2023-2</t>
        </is>
      </c>
      <c r="J433" s="5" t="n">
        <v>1032000</v>
      </c>
      <c r="K433" s="5" t="n">
        <v>795652.8199999999</v>
      </c>
      <c r="L433" s="74">
        <f>IFERROR(IF(OR(J433=0,K433=""),"",IF(E433="Positivo",MIN(MAX(K433/J433,0),1.0),MIN(MAX(J433/K433,0),1.0))),"") </f>
        <v/>
      </c>
      <c r="M433" s="14">
        <f>IFERROR(IF(OR(J433=0,K433=""),"",IF(E433="Positivo",MAX(K433/J433,0),MAX(J433/K433,0))),"") </f>
        <v/>
      </c>
      <c r="N433" s="5" t="inlineStr">
        <is>
          <t>kWh</t>
        </is>
      </c>
      <c r="O433" s="5" t="inlineStr">
        <is>
          <t>kWh</t>
        </is>
      </c>
      <c r="P433" s="5" t="n">
        <v>0</v>
      </c>
      <c r="Q433" s="5" t="n">
        <v>0</v>
      </c>
      <c r="R433" s="5" t="inlineStr">
        <is>
          <t>218-2023-12-31</t>
        </is>
      </c>
    </row>
    <row r="434">
      <c r="A434" s="26" t="n">
        <v>218</v>
      </c>
      <c r="B434" s="5" t="inlineStr">
        <is>
          <t>Consumo de Energía Eléctrica kWh Mensual</t>
        </is>
      </c>
      <c r="C434" s="5" t="inlineStr">
        <is>
          <t>GESTIÓN AMBIENTAL</t>
        </is>
      </c>
      <c r="D434" s="5" t="inlineStr">
        <is>
          <t>Mensual</t>
        </is>
      </c>
      <c r="E434" s="5" t="inlineStr">
        <is>
          <t>Negativo</t>
        </is>
      </c>
      <c r="F434" s="107" t="n">
        <v>45473</v>
      </c>
      <c r="G434" s="5" t="n">
        <v>2024</v>
      </c>
      <c r="H434" s="5" t="inlineStr">
        <is>
          <t>Junio</t>
        </is>
      </c>
      <c r="I434" s="6" t="inlineStr">
        <is>
          <t>2024-1</t>
        </is>
      </c>
      <c r="J434" s="5" t="n">
        <v>1032000</v>
      </c>
      <c r="K434" s="5" t="n">
        <v>874910.97</v>
      </c>
      <c r="L434" s="74">
        <f>IFERROR(IF(OR(J434=0,K434=""),"",IF(E434="Positivo",MIN(MAX(K434/J434,0),1.0),MIN(MAX(J434/K434,0),1.0))),"") </f>
        <v/>
      </c>
      <c r="M434" s="14">
        <f>IFERROR(IF(OR(J434=0,K434=""),"",IF(E434="Positivo",MAX(K434/J434,0),MAX(J434/K434,0))),"") </f>
        <v/>
      </c>
      <c r="N434" s="5" t="n"/>
      <c r="O434" s="5" t="n"/>
      <c r="P434" s="5" t="n">
        <v>0</v>
      </c>
      <c r="Q434" s="5" t="n">
        <v>0</v>
      </c>
      <c r="R434" s="5" t="inlineStr">
        <is>
          <t>218-2024-06-30</t>
        </is>
      </c>
    </row>
    <row r="435">
      <c r="A435" s="5" t="n">
        <v>218</v>
      </c>
      <c r="B435" s="5" t="inlineStr">
        <is>
          <t>Consumo de Energía Eléctrica kWh Mensual</t>
        </is>
      </c>
      <c r="C435" s="5" t="inlineStr">
        <is>
          <t>GESTIÓN AMBIENTAL</t>
        </is>
      </c>
      <c r="D435" s="5" t="inlineStr">
        <is>
          <t>Mensual</t>
        </is>
      </c>
      <c r="E435" s="5" t="inlineStr">
        <is>
          <t>Negativo</t>
        </is>
      </c>
      <c r="F435" s="107" t="n">
        <v>45657</v>
      </c>
      <c r="G435" s="5" t="n">
        <v>2024</v>
      </c>
      <c r="H435" s="5" t="inlineStr">
        <is>
          <t>Diciembre</t>
        </is>
      </c>
      <c r="I435" s="6" t="inlineStr">
        <is>
          <t>2024-2</t>
        </is>
      </c>
      <c r="J435" s="5" t="n">
        <v>1032000</v>
      </c>
      <c r="K435" s="5" t="n">
        <v>849391.85</v>
      </c>
      <c r="L435" s="14">
        <f>IFERROR(IF(OR(J435=0,K435=""),"",IF(E435="Positivo",MIN(MAX(K435/J435,0),1.0),MIN(MAX(J435/K435,0),1.0))),"") </f>
        <v/>
      </c>
      <c r="M435" s="14">
        <f>IFERROR(IF(OR(J435=0,K435=""),"",IF(E435="Positivo",MAX(K435/J435,0),MAX(J435/K435,0))),"") </f>
        <v/>
      </c>
      <c r="N435" s="5" t="n"/>
      <c r="O435" s="5" t="n"/>
      <c r="P435" s="5" t="n">
        <v>0</v>
      </c>
      <c r="Q435" s="5" t="n">
        <v>0</v>
      </c>
      <c r="R435" s="5" t="inlineStr">
        <is>
          <t>218-2024-12-31</t>
        </is>
      </c>
    </row>
    <row r="436">
      <c r="A436" s="5" t="n">
        <v>218</v>
      </c>
      <c r="B436" s="5" t="inlineStr">
        <is>
          <t>Consumo de Energía Eléctrica kWh Mensual</t>
        </is>
      </c>
      <c r="C436" s="5" t="inlineStr">
        <is>
          <t>GESTIÓN AMBIENTAL</t>
        </is>
      </c>
      <c r="D436" s="5" t="inlineStr">
        <is>
          <t>Mensual</t>
        </is>
      </c>
      <c r="E436" s="5" t="inlineStr">
        <is>
          <t>Negativo</t>
        </is>
      </c>
      <c r="F436" s="107" t="n">
        <v>45838</v>
      </c>
      <c r="G436" s="5" t="n">
        <v>2025</v>
      </c>
      <c r="H436" s="5" t="inlineStr">
        <is>
          <t>Junio</t>
        </is>
      </c>
      <c r="I436" s="6" t="inlineStr">
        <is>
          <t>2025-1</t>
        </is>
      </c>
      <c r="J436" s="5" t="n">
        <v>1032000</v>
      </c>
      <c r="K436" s="5" t="n">
        <v>820561.26</v>
      </c>
      <c r="L436" s="14">
        <f>IFERROR(IF(OR(J436=0,K436=""),"",IF(E436="Positivo",MIN(MAX(K436/J436,0),1.0),MIN(MAX(J436/K436,0),1.0))),"") </f>
        <v/>
      </c>
      <c r="M436" s="14">
        <f>IFERROR(IF(OR(J436=0,K436=""),"",IF(E436="Positivo",MAX(K436/J436,0),MAX(J436/K436,0))),"") </f>
        <v/>
      </c>
      <c r="N436" s="5" t="inlineStr">
        <is>
          <t>kWh</t>
        </is>
      </c>
      <c r="O436" s="5" t="inlineStr">
        <is>
          <t>kWh</t>
        </is>
      </c>
      <c r="P436" s="5" t="n">
        <v>0</v>
      </c>
      <c r="Q436" s="5" t="n">
        <v>0</v>
      </c>
      <c r="R436" s="5" t="inlineStr">
        <is>
          <t>218-2025-06-30</t>
        </is>
      </c>
    </row>
    <row r="437">
      <c r="A437" s="28" t="n">
        <v>218</v>
      </c>
      <c r="B437" s="5" t="inlineStr">
        <is>
          <t>Consumo de Energía Eléctrica kWh Mensual</t>
        </is>
      </c>
      <c r="C437" s="5" t="inlineStr">
        <is>
          <t>GESTIÓN AMBIENTAL</t>
        </is>
      </c>
      <c r="D437" s="5" t="inlineStr">
        <is>
          <t>Mensual</t>
        </is>
      </c>
      <c r="E437" s="5" t="inlineStr">
        <is>
          <t>Negativo</t>
        </is>
      </c>
      <c r="F437" s="107" t="n">
        <v>46022</v>
      </c>
      <c r="G437" s="5" t="n">
        <v>2025</v>
      </c>
      <c r="H437" s="5" t="inlineStr">
        <is>
          <t>Diciembre</t>
        </is>
      </c>
      <c r="I437" s="6" t="inlineStr">
        <is>
          <t>2025-2</t>
        </is>
      </c>
      <c r="J437" s="5" t="n">
        <v>1032000</v>
      </c>
      <c r="K437" s="5" t="n">
        <v>841417.4</v>
      </c>
      <c r="L437" s="74">
        <f>IFERROR(IF(OR(J437=0,K437=""),"",IF(E437="Positivo",MIN(MAX(K437/J437,0),1.0),MIN(MAX(J437/K437,0),1.0))),"") </f>
        <v/>
      </c>
      <c r="M437" s="14">
        <f>IFERROR(IF(OR(J437=0,K437=""),"",IF(E437="Positivo",MAX(K437/J437,0),MAX(J437/K437,0))),"") </f>
        <v/>
      </c>
      <c r="N437" s="5" t="inlineStr">
        <is>
          <t>kWh</t>
        </is>
      </c>
      <c r="O437" s="5" t="inlineStr">
        <is>
          <t>kWh</t>
        </is>
      </c>
      <c r="P437" s="5" t="n">
        <v>0</v>
      </c>
      <c r="Q437" s="5" t="n">
        <v>0</v>
      </c>
      <c r="R437" s="5" t="inlineStr">
        <is>
          <t>218-2025-12-31</t>
        </is>
      </c>
    </row>
    <row r="438">
      <c r="A438" s="5" t="n">
        <v>219</v>
      </c>
      <c r="B438" s="5" t="inlineStr">
        <is>
          <t>Disminución del Consumo de Energía Eléctrica per Cápita</t>
        </is>
      </c>
      <c r="C438" s="5" t="inlineStr">
        <is>
          <t>GESTIÓN AMBIENTAL</t>
        </is>
      </c>
      <c r="D438" s="5" t="inlineStr">
        <is>
          <t>Trimestral</t>
        </is>
      </c>
      <c r="E438" s="5" t="inlineStr">
        <is>
          <t>Positivo</t>
        </is>
      </c>
      <c r="F438" s="107" t="n">
        <v>44742</v>
      </c>
      <c r="G438" s="5" t="n">
        <v>2022</v>
      </c>
      <c r="H438" s="5" t="inlineStr">
        <is>
          <t>Junio</t>
        </is>
      </c>
      <c r="I438" s="6" t="inlineStr">
        <is>
          <t>2022-1</t>
        </is>
      </c>
      <c r="J438" s="5" t="n">
        <v>1</v>
      </c>
      <c r="K438" s="5" t="n">
        <v>16.685183396325</v>
      </c>
      <c r="L438" s="14">
        <f>IFERROR(IF(OR(J438=0,K438=""),"",IF(E438="Positivo",MIN(MAX(K438/J438,0),1.3),MIN(MAX(J438/K438,0),1.3))),"") </f>
        <v/>
      </c>
      <c r="M438" s="14">
        <f>IFERROR(IF(OR(J438=0,K438=""),"",IF(E438="Positivo",MAX(K438/J438,0),MAX(J438/K438,0))),"") </f>
        <v/>
      </c>
      <c r="N438" s="5" t="inlineStr">
        <is>
          <t>%</t>
        </is>
      </c>
      <c r="O438" s="5" t="inlineStr">
        <is>
          <t>%</t>
        </is>
      </c>
      <c r="P438" s="5" t="n">
        <v>0</v>
      </c>
      <c r="Q438" s="5" t="n">
        <v>0</v>
      </c>
      <c r="R438" s="5" t="inlineStr">
        <is>
          <t>219-2022-06-30</t>
        </is>
      </c>
    </row>
    <row r="439">
      <c r="A439" s="5" t="n">
        <v>219</v>
      </c>
      <c r="B439" s="5" t="inlineStr">
        <is>
          <t>Disminución del Consumo de Energía Eléctrica per Cápita</t>
        </is>
      </c>
      <c r="C439" s="5" t="inlineStr">
        <is>
          <t>GESTIÓN AMBIENTAL</t>
        </is>
      </c>
      <c r="D439" s="5" t="inlineStr">
        <is>
          <t>Trimestral</t>
        </is>
      </c>
      <c r="E439" s="5" t="inlineStr">
        <is>
          <t>Positivo</t>
        </is>
      </c>
      <c r="F439" s="107" t="n">
        <v>44926</v>
      </c>
      <c r="G439" s="5" t="n">
        <v>2022</v>
      </c>
      <c r="H439" s="5" t="inlineStr">
        <is>
          <t>Diciembre</t>
        </is>
      </c>
      <c r="I439" s="6" t="inlineStr">
        <is>
          <t>2022-2</t>
        </is>
      </c>
      <c r="J439" s="5" t="n">
        <v>1</v>
      </c>
      <c r="K439" s="5" t="n">
        <v>-68.789622683372</v>
      </c>
      <c r="L439" s="14">
        <f>IFERROR(IF(OR(J439=0,K439=""),"",IF(E439="Positivo",MIN(MAX(K439/J439,0),1.3),MIN(MAX(J439/K439,0),1.3))),"") </f>
        <v/>
      </c>
      <c r="M439" s="14">
        <f>IFERROR(IF(OR(J439=0,K439=""),"",IF(E439="Positivo",MAX(K439/J439,0),MAX(J439/K439,0))),"") </f>
        <v/>
      </c>
      <c r="N439" s="5" t="inlineStr">
        <is>
          <t>%</t>
        </is>
      </c>
      <c r="O439" s="5" t="inlineStr">
        <is>
          <t>%</t>
        </is>
      </c>
      <c r="P439" s="5" t="n">
        <v>0</v>
      </c>
      <c r="Q439" s="5" t="n">
        <v>0</v>
      </c>
      <c r="R439" s="5" t="inlineStr">
        <is>
          <t>219-2022-12-31</t>
        </is>
      </c>
    </row>
    <row r="440">
      <c r="A440" s="26" t="n">
        <v>219</v>
      </c>
      <c r="B440" s="5" t="inlineStr">
        <is>
          <t>Disminución del Consumo de Energía Eléctrica per Cápita</t>
        </is>
      </c>
      <c r="C440" s="5" t="inlineStr">
        <is>
          <t>GESTIÓN AMBIENTAL</t>
        </is>
      </c>
      <c r="D440" s="5" t="inlineStr">
        <is>
          <t>Semestral</t>
        </is>
      </c>
      <c r="E440" s="5" t="inlineStr">
        <is>
          <t>Positivo</t>
        </is>
      </c>
      <c r="F440" s="107" t="n">
        <v>45107</v>
      </c>
      <c r="G440" s="5" t="n">
        <v>2023</v>
      </c>
      <c r="H440" s="5" t="inlineStr">
        <is>
          <t>Junio</t>
        </is>
      </c>
      <c r="I440" s="6" t="inlineStr">
        <is>
          <t>2023-1</t>
        </is>
      </c>
      <c r="J440" s="5" t="n">
        <v>1</v>
      </c>
      <c r="K440" s="5" t="n">
        <v>21.14703682627429</v>
      </c>
      <c r="L440" s="74">
        <f>IFERROR(IF(OR(J440=0,K440=""),"",IF(E440="Positivo",MIN(MAX(K440/J440,0),1.3),MIN(MAX(J440/K440,0),1.3))),"") </f>
        <v/>
      </c>
      <c r="M440" s="14">
        <f>IFERROR(IF(OR(J440=0,K440=""),"",IF(E440="Positivo",MAX(K440/J440,0),MAX(J440/K440,0))),"") </f>
        <v/>
      </c>
      <c r="N440" s="5" t="n"/>
      <c r="O440" s="5" t="n"/>
      <c r="P440" s="5" t="n">
        <v>0</v>
      </c>
      <c r="Q440" s="5" t="n">
        <v>0</v>
      </c>
      <c r="R440" s="5" t="inlineStr">
        <is>
          <t>219-2023-06-30</t>
        </is>
      </c>
    </row>
    <row r="441">
      <c r="A441" s="28" t="n">
        <v>219</v>
      </c>
      <c r="B441" s="5" t="inlineStr">
        <is>
          <t>Disminución del Consumo de Energía Eléctrica per Cápita</t>
        </is>
      </c>
      <c r="C441" s="5" t="inlineStr">
        <is>
          <t>GESTIÓN AMBIENTAL</t>
        </is>
      </c>
      <c r="D441" s="5" t="inlineStr">
        <is>
          <t>Semestral</t>
        </is>
      </c>
      <c r="E441" s="5" t="inlineStr">
        <is>
          <t>Positivo</t>
        </is>
      </c>
      <c r="F441" s="107" t="n">
        <v>45291</v>
      </c>
      <c r="G441" s="5" t="n">
        <v>2023</v>
      </c>
      <c r="H441" s="5" t="inlineStr">
        <is>
          <t>Diciembre</t>
        </is>
      </c>
      <c r="I441" s="6" t="inlineStr">
        <is>
          <t>2023-2</t>
        </is>
      </c>
      <c r="J441" s="5" t="n">
        <v>1</v>
      </c>
      <c r="K441" s="5" t="n">
        <v>-5.89</v>
      </c>
      <c r="L441" s="74">
        <f>IFERROR(IF(OR(J441=0,K441=""),"",IF(E441="Positivo",MIN(MAX(K441/J441,0),1.3),MIN(MAX(J441/K441,0),1.3))),"") </f>
        <v/>
      </c>
      <c r="M441" s="14">
        <f>IFERROR(IF(OR(J441=0,K441=""),"",IF(E441="Positivo",MAX(K441/J441,0),MAX(J441/K441,0))),"") </f>
        <v/>
      </c>
      <c r="N441" s="5" t="n"/>
      <c r="O441" s="5" t="n"/>
      <c r="P441" s="5" t="n">
        <v>0</v>
      </c>
      <c r="Q441" s="5" t="n">
        <v>0</v>
      </c>
      <c r="R441" s="5" t="inlineStr">
        <is>
          <t>219-2023-12-31</t>
        </is>
      </c>
    </row>
    <row r="442">
      <c r="A442" s="26" t="n">
        <v>219</v>
      </c>
      <c r="B442" s="5" t="inlineStr">
        <is>
          <t>Disminución del Consumo de Energía Eléctrica per Cápita</t>
        </is>
      </c>
      <c r="C442" s="5" t="inlineStr">
        <is>
          <t>GESTIÓN AMBIENTAL</t>
        </is>
      </c>
      <c r="D442" s="5" t="inlineStr">
        <is>
          <t>Semestral</t>
        </is>
      </c>
      <c r="E442" s="5" t="inlineStr">
        <is>
          <t>Positivo</t>
        </is>
      </c>
      <c r="F442" s="107" t="n">
        <v>45473</v>
      </c>
      <c r="G442" s="5" t="n">
        <v>2024</v>
      </c>
      <c r="H442" s="5" t="inlineStr">
        <is>
          <t>Junio</t>
        </is>
      </c>
      <c r="I442" s="6" t="inlineStr">
        <is>
          <t>2024-1</t>
        </is>
      </c>
      <c r="J442" s="5" t="n">
        <v>1</v>
      </c>
      <c r="K442" s="5" t="n">
        <v>11.94</v>
      </c>
      <c r="L442" s="74">
        <f>IFERROR(IF(OR(J442=0,K442=""),"",IF(E442="Positivo",MIN(MAX(K442/J442,0),1.3),MIN(MAX(J442/K442,0),1.3))),"") </f>
        <v/>
      </c>
      <c r="M442" s="14">
        <f>IFERROR(IF(OR(J442=0,K442=""),"",IF(E442="Positivo",MAX(K442/J442,0),MAX(J442/K442,0))),"") </f>
        <v/>
      </c>
      <c r="N442" s="5" t="n"/>
      <c r="O442" s="5" t="n"/>
      <c r="P442" s="5" t="n">
        <v>0</v>
      </c>
      <c r="Q442" s="5" t="n">
        <v>0</v>
      </c>
      <c r="R442" s="5" t="inlineStr">
        <is>
          <t>219-2024-06-30</t>
        </is>
      </c>
    </row>
    <row r="443">
      <c r="A443" s="5" t="n">
        <v>219</v>
      </c>
      <c r="B443" s="5" t="inlineStr">
        <is>
          <t>Disminución del Consumo de Energía Eléctrica per Cápita</t>
        </is>
      </c>
      <c r="C443" s="5" t="inlineStr">
        <is>
          <t>GESTIÓN AMBIENTAL</t>
        </is>
      </c>
      <c r="D443" s="5" t="inlineStr">
        <is>
          <t>Semestral</t>
        </is>
      </c>
      <c r="E443" s="5" t="inlineStr">
        <is>
          <t>Positivo</t>
        </is>
      </c>
      <c r="F443" s="107" t="n">
        <v>45657</v>
      </c>
      <c r="G443" s="5" t="n">
        <v>2024</v>
      </c>
      <c r="H443" s="5" t="inlineStr">
        <is>
          <t>Diciembre</t>
        </is>
      </c>
      <c r="I443" s="6" t="inlineStr">
        <is>
          <t>2024-2</t>
        </is>
      </c>
      <c r="J443" s="5" t="n">
        <v>1</v>
      </c>
      <c r="K443" s="5" t="n">
        <v>-12.53</v>
      </c>
      <c r="L443" s="14">
        <f>IFERROR(IF(OR(J443=0,K443=""),"",IF(E443="Positivo",MIN(MAX(K443/J443,0),1.3),MIN(MAX(J443/K443,0),1.3))),"") </f>
        <v/>
      </c>
      <c r="M443" s="14">
        <f>IFERROR(IF(OR(J443=0,K443=""),"",IF(E443="Positivo",MAX(K443/J443,0),MAX(J443/K443,0))),"") </f>
        <v/>
      </c>
      <c r="N443" s="5" t="n"/>
      <c r="O443" s="5" t="n"/>
      <c r="P443" s="5" t="n">
        <v>0</v>
      </c>
      <c r="Q443" s="5" t="n">
        <v>0</v>
      </c>
      <c r="R443" s="5" t="inlineStr">
        <is>
          <t>219-2024-12-31</t>
        </is>
      </c>
    </row>
    <row r="444">
      <c r="A444" s="5" t="n">
        <v>219</v>
      </c>
      <c r="B444" s="5" t="inlineStr">
        <is>
          <t>Disminución del Consumo de Energía Eléctrica per Cápita</t>
        </is>
      </c>
      <c r="C444" s="5" t="inlineStr">
        <is>
          <t>GESTIÓN AMBIENTAL</t>
        </is>
      </c>
      <c r="D444" s="5" t="inlineStr">
        <is>
          <t>Trimestral</t>
        </is>
      </c>
      <c r="E444" s="5" t="inlineStr">
        <is>
          <t>Positivo</t>
        </is>
      </c>
      <c r="F444" s="107" t="n">
        <v>45838</v>
      </c>
      <c r="G444" s="5" t="n">
        <v>2025</v>
      </c>
      <c r="H444" s="5" t="inlineStr">
        <is>
          <t>Junio</t>
        </is>
      </c>
      <c r="I444" s="6" t="inlineStr">
        <is>
          <t>2025-1</t>
        </is>
      </c>
      <c r="J444" s="5" t="n">
        <v>1</v>
      </c>
      <c r="K444" s="5" t="n">
        <v>18.43</v>
      </c>
      <c r="L444" s="14">
        <f>IFERROR(IF(OR(J444=0,K444=""),"",IF(E444="Positivo",MIN(MAX(K444/J444,0),1.3),MIN(MAX(J444/K444,0),1.3))),"") </f>
        <v/>
      </c>
      <c r="M444" s="14">
        <f>IFERROR(IF(OR(J444=0,K444=""),"",IF(E444="Positivo",MAX(K444/J444,0),MAX(J444/K444,0))),"") </f>
        <v/>
      </c>
      <c r="N444" s="5" t="inlineStr">
        <is>
          <t>%</t>
        </is>
      </c>
      <c r="O444" s="5" t="inlineStr">
        <is>
          <t>%</t>
        </is>
      </c>
      <c r="P444" s="5" t="n">
        <v>0</v>
      </c>
      <c r="Q444" s="5" t="n">
        <v>0</v>
      </c>
      <c r="R444" s="5" t="inlineStr">
        <is>
          <t>219-2025-06-30</t>
        </is>
      </c>
    </row>
    <row r="445">
      <c r="A445" s="28" t="n">
        <v>219</v>
      </c>
      <c r="B445" s="5" t="inlineStr">
        <is>
          <t>Disminución del Consumo de Energía Eléctrica per Cápita</t>
        </is>
      </c>
      <c r="C445" s="5" t="inlineStr">
        <is>
          <t>GESTIÓN AMBIENTAL</t>
        </is>
      </c>
      <c r="D445" s="5" t="inlineStr">
        <is>
          <t>Trimestral</t>
        </is>
      </c>
      <c r="E445" s="5" t="inlineStr">
        <is>
          <t>Positivo</t>
        </is>
      </c>
      <c r="F445" s="107" t="n">
        <v>46022</v>
      </c>
      <c r="G445" s="5" t="n">
        <v>2025</v>
      </c>
      <c r="H445" s="5" t="inlineStr">
        <is>
          <t>Diciembre</t>
        </is>
      </c>
      <c r="I445" s="6" t="inlineStr">
        <is>
          <t>2025-2</t>
        </is>
      </c>
      <c r="J445" s="5" t="n">
        <v>1</v>
      </c>
      <c r="K445" s="5" t="n">
        <v>-18.28</v>
      </c>
      <c r="L445" s="74">
        <f>IFERROR(IF(OR(J445=0,K445=""),"",IF(E445="Positivo",MIN(MAX(K445/J445,0),1.3),MIN(MAX(J445/K445,0),1.3))),"") </f>
        <v/>
      </c>
      <c r="M445" s="14">
        <f>IFERROR(IF(OR(J445=0,K445=""),"",IF(E445="Positivo",MAX(K445/J445,0),MAX(J445/K445,0))),"") </f>
        <v/>
      </c>
      <c r="N445" s="5" t="inlineStr">
        <is>
          <t>%</t>
        </is>
      </c>
      <c r="O445" s="5" t="inlineStr">
        <is>
          <t>%</t>
        </is>
      </c>
      <c r="P445" s="5" t="n">
        <v>0</v>
      </c>
      <c r="Q445" s="5" t="n">
        <v>0</v>
      </c>
      <c r="R445" s="5" t="inlineStr">
        <is>
          <t>219-2025-12-31</t>
        </is>
      </c>
    </row>
    <row r="446">
      <c r="A446" s="26" t="n">
        <v>220</v>
      </c>
      <c r="B446" s="5" t="inlineStr">
        <is>
          <t>Disminución del Consumo de Agua per Cápita</t>
        </is>
      </c>
      <c r="C446" s="5" t="inlineStr">
        <is>
          <t>GESTIÓN AMBIENTAL</t>
        </is>
      </c>
      <c r="D446" s="5" t="inlineStr">
        <is>
          <t>Trimestral</t>
        </is>
      </c>
      <c r="E446" s="5" t="inlineStr">
        <is>
          <t>Positivo</t>
        </is>
      </c>
      <c r="F446" s="107" t="n">
        <v>44742</v>
      </c>
      <c r="G446" s="5" t="n">
        <v>2022</v>
      </c>
      <c r="H446" s="5" t="inlineStr">
        <is>
          <t>Junio</t>
        </is>
      </c>
      <c r="I446" s="6" t="inlineStr">
        <is>
          <t>2022-1</t>
        </is>
      </c>
      <c r="J446" s="5" t="n">
        <v>1</v>
      </c>
      <c r="K446" s="5" t="n">
        <v>-88.60356590106301</v>
      </c>
      <c r="L446" s="74">
        <f>IFERROR(IF(OR(J446=0,K446=""),"",IF(E446="Positivo",MIN(MAX(K446/J446,0),1.3),MIN(MAX(J446/K446,0),1.3))),"") </f>
        <v/>
      </c>
      <c r="M446" s="14">
        <f>IFERROR(IF(OR(J446=0,K446=""),"",IF(E446="Positivo",MAX(K446/J446,0),MAX(J446/K446,0))),"") </f>
        <v/>
      </c>
      <c r="N446" s="5" t="inlineStr">
        <is>
          <t>%</t>
        </is>
      </c>
      <c r="O446" s="5" t="inlineStr">
        <is>
          <t>%</t>
        </is>
      </c>
      <c r="P446" s="5" t="n">
        <v>0</v>
      </c>
      <c r="Q446" s="5" t="n">
        <v>0</v>
      </c>
      <c r="R446" s="5" t="inlineStr">
        <is>
          <t>220-2022-06-30</t>
        </is>
      </c>
    </row>
    <row r="447">
      <c r="A447" s="5" t="n">
        <v>220</v>
      </c>
      <c r="B447" s="5" t="inlineStr">
        <is>
          <t>Disminución del Consumo de Agua per Cápita</t>
        </is>
      </c>
      <c r="C447" s="5" t="inlineStr">
        <is>
          <t>GESTIÓN AMBIENTAL</t>
        </is>
      </c>
      <c r="D447" s="5" t="inlineStr">
        <is>
          <t>Trimestral</t>
        </is>
      </c>
      <c r="E447" s="5" t="inlineStr">
        <is>
          <t>Positivo</t>
        </is>
      </c>
      <c r="F447" s="107" t="n">
        <v>44926</v>
      </c>
      <c r="G447" s="5" t="n">
        <v>2022</v>
      </c>
      <c r="H447" s="5" t="inlineStr">
        <is>
          <t>Diciembre</t>
        </is>
      </c>
      <c r="I447" s="6" t="inlineStr">
        <is>
          <t>2022-2</t>
        </is>
      </c>
      <c r="J447" s="5" t="n">
        <v>1</v>
      </c>
      <c r="K447" s="5" t="n">
        <v>-85.889409840455</v>
      </c>
      <c r="L447" s="14">
        <f>IFERROR(IF(OR(J447=0,K447=""),"",IF(E447="Positivo",MIN(MAX(K447/J447,0),1.3),MIN(MAX(J447/K447,0),1.3))),"") </f>
        <v/>
      </c>
      <c r="M447" s="14">
        <f>IFERROR(IF(OR(J447=0,K447=""),"",IF(E447="Positivo",MAX(K447/J447,0),MAX(J447/K447,0))),"") </f>
        <v/>
      </c>
      <c r="N447" s="5" t="inlineStr">
        <is>
          <t>%</t>
        </is>
      </c>
      <c r="O447" s="5" t="inlineStr">
        <is>
          <t>%</t>
        </is>
      </c>
      <c r="P447" s="5" t="n">
        <v>0</v>
      </c>
      <c r="Q447" s="5" t="n">
        <v>0</v>
      </c>
      <c r="R447" s="5" t="inlineStr">
        <is>
          <t>220-2022-12-31</t>
        </is>
      </c>
    </row>
    <row r="448">
      <c r="A448" s="5" t="n">
        <v>220</v>
      </c>
      <c r="B448" s="5" t="inlineStr">
        <is>
          <t>Disminución del Consumo de Agua per Cápita</t>
        </is>
      </c>
      <c r="C448" s="5" t="inlineStr">
        <is>
          <t>GESTIÓN AMBIENTAL</t>
        </is>
      </c>
      <c r="D448" s="5" t="inlineStr">
        <is>
          <t>Semestral</t>
        </is>
      </c>
      <c r="E448" s="5" t="inlineStr">
        <is>
          <t>Positivo</t>
        </is>
      </c>
      <c r="F448" s="107" t="n">
        <v>45107</v>
      </c>
      <c r="G448" s="5" t="n">
        <v>2023</v>
      </c>
      <c r="H448" s="5" t="inlineStr">
        <is>
          <t>Junio</t>
        </is>
      </c>
      <c r="I448" s="6" t="inlineStr">
        <is>
          <t>2023-1</t>
        </is>
      </c>
      <c r="J448" s="5" t="n">
        <v>1</v>
      </c>
      <c r="K448" s="5" t="n">
        <v>40.67840779343521</v>
      </c>
      <c r="L448" s="14">
        <f>IFERROR(IF(OR(J448=0,K448=""),"",IF(E448="Positivo",MIN(MAX(K448/J448,0),1.3),MIN(MAX(J448/K448,0),1.3))),"") </f>
        <v/>
      </c>
      <c r="M448" s="14">
        <f>IFERROR(IF(OR(J448=0,K448=""),"",IF(E448="Positivo",MAX(K448/J448,0),MAX(J448/K448,0))),"") </f>
        <v/>
      </c>
      <c r="N448" s="5" t="n"/>
      <c r="O448" s="5" t="n"/>
      <c r="P448" s="5" t="n">
        <v>0</v>
      </c>
      <c r="Q448" s="5" t="n">
        <v>0</v>
      </c>
      <c r="R448" s="5" t="inlineStr">
        <is>
          <t>220-2023-06-30</t>
        </is>
      </c>
    </row>
    <row r="449">
      <c r="A449" s="28" t="n">
        <v>220</v>
      </c>
      <c r="B449" s="5" t="inlineStr">
        <is>
          <t>Disminución del Consumo de Agua per Cápita</t>
        </is>
      </c>
      <c r="C449" s="5" t="inlineStr">
        <is>
          <t>GESTIÓN AMBIENTAL</t>
        </is>
      </c>
      <c r="D449" s="5" t="inlineStr">
        <is>
          <t>Semestral</t>
        </is>
      </c>
      <c r="E449" s="5" t="inlineStr">
        <is>
          <t>Positivo</t>
        </is>
      </c>
      <c r="F449" s="107" t="n">
        <v>45291</v>
      </c>
      <c r="G449" s="5" t="n">
        <v>2023</v>
      </c>
      <c r="H449" s="5" t="inlineStr">
        <is>
          <t>Diciembre</t>
        </is>
      </c>
      <c r="I449" s="6" t="inlineStr">
        <is>
          <t>2023-2</t>
        </is>
      </c>
      <c r="J449" s="5" t="n">
        <v>1</v>
      </c>
      <c r="K449" s="5" t="n">
        <v>-38.58</v>
      </c>
      <c r="L449" s="74">
        <f>IFERROR(IF(OR(J449=0,K449=""),"",IF(E449="Positivo",MIN(MAX(K449/J449,0),1.3),MIN(MAX(J449/K449,0),1.3))),"") </f>
        <v/>
      </c>
      <c r="M449" s="14">
        <f>IFERROR(IF(OR(J449=0,K449=""),"",IF(E449="Positivo",MAX(K449/J449,0),MAX(J449/K449,0))),"") </f>
        <v/>
      </c>
      <c r="N449" s="5" t="n"/>
      <c r="O449" s="5" t="n"/>
      <c r="P449" s="5" t="n">
        <v>0</v>
      </c>
      <c r="Q449" s="5" t="n">
        <v>0</v>
      </c>
      <c r="R449" s="5" t="inlineStr">
        <is>
          <t>220-2023-12-31</t>
        </is>
      </c>
    </row>
    <row r="450">
      <c r="A450" s="26" t="n">
        <v>220</v>
      </c>
      <c r="B450" s="5" t="inlineStr">
        <is>
          <t>Disminución del Consumo de Agua per Cápita</t>
        </is>
      </c>
      <c r="C450" s="5" t="inlineStr">
        <is>
          <t>GESTIÓN AMBIENTAL</t>
        </is>
      </c>
      <c r="D450" s="5" t="inlineStr">
        <is>
          <t>Semestral</t>
        </is>
      </c>
      <c r="E450" s="5" t="inlineStr">
        <is>
          <t>Positivo</t>
        </is>
      </c>
      <c r="F450" s="107" t="n">
        <v>45473</v>
      </c>
      <c r="G450" s="5" t="n">
        <v>2024</v>
      </c>
      <c r="H450" s="5" t="inlineStr">
        <is>
          <t>Junio</t>
        </is>
      </c>
      <c r="I450" s="6" t="inlineStr">
        <is>
          <t>2024-1</t>
        </is>
      </c>
      <c r="J450" s="5" t="n">
        <v>1</v>
      </c>
      <c r="K450" s="5" t="n">
        <v>3.58</v>
      </c>
      <c r="L450" s="74">
        <f>IFERROR(IF(OR(J450=0,K450=""),"",IF(E450="Positivo",MIN(MAX(K450/J450,0),1.3),MIN(MAX(J450/K450,0),1.3))),"") </f>
        <v/>
      </c>
      <c r="M450" s="14">
        <f>IFERROR(IF(OR(J450=0,K450=""),"",IF(E450="Positivo",MAX(K450/J450,0),MAX(J450/K450,0))),"") </f>
        <v/>
      </c>
      <c r="N450" s="5" t="n"/>
      <c r="O450" s="5" t="n"/>
      <c r="P450" s="5" t="n">
        <v>0</v>
      </c>
      <c r="Q450" s="5" t="n">
        <v>0</v>
      </c>
      <c r="R450" s="5" t="inlineStr">
        <is>
          <t>220-2024-06-30</t>
        </is>
      </c>
    </row>
    <row r="451">
      <c r="A451" s="5" t="n">
        <v>220</v>
      </c>
      <c r="B451" s="5" t="inlineStr">
        <is>
          <t>Disminución del Consumo de Agua per Cápita</t>
        </is>
      </c>
      <c r="C451" s="5" t="inlineStr">
        <is>
          <t>GESTIÓN AMBIENTAL</t>
        </is>
      </c>
      <c r="D451" s="5" t="inlineStr">
        <is>
          <t>Semestral</t>
        </is>
      </c>
      <c r="E451" s="5" t="inlineStr">
        <is>
          <t>Positivo</t>
        </is>
      </c>
      <c r="F451" s="107" t="n">
        <v>45657</v>
      </c>
      <c r="G451" s="5" t="n">
        <v>2024</v>
      </c>
      <c r="H451" s="5" t="inlineStr">
        <is>
          <t>Diciembre</t>
        </is>
      </c>
      <c r="I451" s="6" t="inlineStr">
        <is>
          <t>2024-2</t>
        </is>
      </c>
      <c r="J451" s="5" t="n">
        <v>1</v>
      </c>
      <c r="K451" s="5" t="n">
        <v>13.05</v>
      </c>
      <c r="L451" s="14">
        <f>IFERROR(IF(OR(J451=0,K451=""),"",IF(E451="Positivo",MIN(MAX(K451/J451,0),1.3),MIN(MAX(J451/K451,0),1.3))),"") </f>
        <v/>
      </c>
      <c r="M451" s="14">
        <f>IFERROR(IF(OR(J451=0,K451=""),"",IF(E451="Positivo",MAX(K451/J451,0),MAX(J451/K451,0))),"") </f>
        <v/>
      </c>
      <c r="N451" s="5" t="n"/>
      <c r="O451" s="5" t="n"/>
      <c r="P451" s="5" t="n">
        <v>0</v>
      </c>
      <c r="Q451" s="5" t="n">
        <v>0</v>
      </c>
      <c r="R451" s="5" t="inlineStr">
        <is>
          <t>220-2024-12-31</t>
        </is>
      </c>
    </row>
    <row r="452">
      <c r="A452" s="5" t="n">
        <v>220</v>
      </c>
      <c r="B452" s="5" t="inlineStr">
        <is>
          <t>Disminución del Consumo de Agua per Cápita</t>
        </is>
      </c>
      <c r="C452" s="5" t="inlineStr">
        <is>
          <t>GESTIÓN AMBIENTAL</t>
        </is>
      </c>
      <c r="D452" s="5" t="inlineStr">
        <is>
          <t>Trimestral</t>
        </is>
      </c>
      <c r="E452" s="5" t="inlineStr">
        <is>
          <t>Positivo</t>
        </is>
      </c>
      <c r="F452" s="107" t="n">
        <v>45838</v>
      </c>
      <c r="G452" s="5" t="n">
        <v>2025</v>
      </c>
      <c r="H452" s="5" t="inlineStr">
        <is>
          <t>Junio</t>
        </is>
      </c>
      <c r="I452" s="6" t="inlineStr">
        <is>
          <t>2025-1</t>
        </is>
      </c>
      <c r="J452" s="5" t="n">
        <v>1</v>
      </c>
      <c r="K452" s="5" t="n">
        <v>33.98</v>
      </c>
      <c r="L452" s="14">
        <f>IFERROR(IF(OR(J452=0,K452=""),"",IF(E452="Positivo",MIN(MAX(K452/J452,0),1.3),MIN(MAX(J452/K452,0),1.3))),"") </f>
        <v/>
      </c>
      <c r="M452" s="14">
        <f>IFERROR(IF(OR(J452=0,K452=""),"",IF(E452="Positivo",MAX(K452/J452,0),MAX(J452/K452,0))),"") </f>
        <v/>
      </c>
      <c r="N452" s="5" t="inlineStr">
        <is>
          <t>%</t>
        </is>
      </c>
      <c r="O452" s="5" t="inlineStr">
        <is>
          <t>%</t>
        </is>
      </c>
      <c r="P452" s="5" t="n">
        <v>0</v>
      </c>
      <c r="Q452" s="5" t="n">
        <v>0</v>
      </c>
      <c r="R452" s="5" t="inlineStr">
        <is>
          <t>220-2025-06-30</t>
        </is>
      </c>
    </row>
    <row r="453">
      <c r="A453" s="28" t="n">
        <v>220</v>
      </c>
      <c r="B453" s="5" t="inlineStr">
        <is>
          <t>Disminución del Consumo de Agua per Cápita</t>
        </is>
      </c>
      <c r="C453" s="5" t="inlineStr">
        <is>
          <t>GESTIÓN AMBIENTAL</t>
        </is>
      </c>
      <c r="D453" s="5" t="inlineStr">
        <is>
          <t>Trimestral</t>
        </is>
      </c>
      <c r="E453" s="5" t="inlineStr">
        <is>
          <t>Positivo</t>
        </is>
      </c>
      <c r="F453" s="107" t="n">
        <v>46022</v>
      </c>
      <c r="G453" s="5" t="n">
        <v>2025</v>
      </c>
      <c r="H453" s="5" t="inlineStr">
        <is>
          <t>Diciembre</t>
        </is>
      </c>
      <c r="I453" s="6" t="inlineStr">
        <is>
          <t>2025-2</t>
        </is>
      </c>
      <c r="J453" s="5" t="n">
        <v>1</v>
      </c>
      <c r="K453" s="5" t="n">
        <v>-10.18</v>
      </c>
      <c r="L453" s="74">
        <f>IFERROR(IF(OR(J453=0,K453=""),"",IF(E453="Positivo",MIN(MAX(K453/J453,0),1.3),MIN(MAX(J453/K453,0),1.3))),"") </f>
        <v/>
      </c>
      <c r="M453" s="14">
        <f>IFERROR(IF(OR(J453=0,K453=""),"",IF(E453="Positivo",MAX(K453/J453,0),MAX(J453/K453,0))),"") </f>
        <v/>
      </c>
      <c r="N453" s="5" t="inlineStr">
        <is>
          <t>%</t>
        </is>
      </c>
      <c r="O453" s="5" t="inlineStr">
        <is>
          <t>%</t>
        </is>
      </c>
      <c r="P453" s="5" t="n">
        <v>0</v>
      </c>
      <c r="Q453" s="5" t="n">
        <v>0</v>
      </c>
      <c r="R453" s="5" t="inlineStr">
        <is>
          <t>220-2025-12-31</t>
        </is>
      </c>
    </row>
    <row r="454">
      <c r="A454" s="26" t="n">
        <v>221</v>
      </c>
      <c r="B454" s="5" t="inlineStr">
        <is>
          <t>Riesgo de la Calidad del Agua Potable</t>
        </is>
      </c>
      <c r="C454" s="5" t="inlineStr">
        <is>
          <t>GESTIÓN AMBIENTAL</t>
        </is>
      </c>
      <c r="D454" s="5" t="inlineStr">
        <is>
          <t>Anual</t>
        </is>
      </c>
      <c r="E454" s="5" t="inlineStr">
        <is>
          <t>Positivo</t>
        </is>
      </c>
      <c r="F454" s="107" t="n">
        <v>44926</v>
      </c>
      <c r="G454" s="5" t="n">
        <v>2022</v>
      </c>
      <c r="H454" s="5" t="inlineStr">
        <is>
          <t>Diciembre</t>
        </is>
      </c>
      <c r="I454" s="6" t="inlineStr">
        <is>
          <t>2022-2</t>
        </is>
      </c>
      <c r="J454" s="5" t="n">
        <v>100</v>
      </c>
      <c r="K454" s="5" t="n">
        <v>0</v>
      </c>
      <c r="L454" s="74">
        <f>IFERROR(IF(OR(J454=0,K454=""),"",IF(E454="Positivo",MIN(MAX(K454/J454,0),1.3),MIN(MAX(J454/K454,0),1.3))),"") </f>
        <v/>
      </c>
      <c r="M454" s="14">
        <f>IFERROR(IF(OR(J454=0,K454=""),"",IF(E454="Positivo",MAX(K454/J454,0),MAX(J454/K454,0))),"") </f>
        <v/>
      </c>
      <c r="N454" s="5" t="inlineStr">
        <is>
          <t>%</t>
        </is>
      </c>
      <c r="O454" s="5" t="inlineStr">
        <is>
          <t>%</t>
        </is>
      </c>
      <c r="P454" s="5" t="n">
        <v>0</v>
      </c>
      <c r="Q454" s="5" t="n">
        <v>0</v>
      </c>
      <c r="R454" s="5" t="inlineStr">
        <is>
          <t>221-2022-12-31</t>
        </is>
      </c>
    </row>
    <row r="455">
      <c r="A455" s="5" t="n">
        <v>221</v>
      </c>
      <c r="B455" s="5" t="inlineStr">
        <is>
          <t>Riesgo de la Calidad del Agua Potable</t>
        </is>
      </c>
      <c r="C455" s="5" t="inlineStr">
        <is>
          <t>GESTIÓN AMBIENTAL</t>
        </is>
      </c>
      <c r="D455" s="5" t="inlineStr">
        <is>
          <t>Anual</t>
        </is>
      </c>
      <c r="E455" s="5" t="inlineStr">
        <is>
          <t>Positivo</t>
        </is>
      </c>
      <c r="F455" s="107" t="n">
        <v>45291</v>
      </c>
      <c r="G455" s="5" t="n">
        <v>2023</v>
      </c>
      <c r="H455" s="5" t="inlineStr">
        <is>
          <t>Diciembre</t>
        </is>
      </c>
      <c r="I455" s="6" t="inlineStr">
        <is>
          <t>2023-2</t>
        </is>
      </c>
      <c r="J455" s="5" t="n">
        <v>100</v>
      </c>
      <c r="K455" s="5" t="n">
        <v>100</v>
      </c>
      <c r="L455" s="14">
        <f>IFERROR(IF(OR(J455=0,K455=""),"",IF(E455="Positivo",MIN(MAX(K455/J455,0),1.3),MIN(MAX(J455/K455,0),1.3))),"") </f>
        <v/>
      </c>
      <c r="M455" s="14">
        <f>IFERROR(IF(OR(J455=0,K455=""),"",IF(E455="Positivo",MAX(K455/J455,0),MAX(J455/K455,0))),"") </f>
        <v/>
      </c>
      <c r="N455" s="5" t="n"/>
      <c r="O455" s="5" t="n"/>
      <c r="P455" s="5" t="n">
        <v>0</v>
      </c>
      <c r="Q455" s="5" t="n">
        <v>0</v>
      </c>
      <c r="R455" s="5" t="inlineStr">
        <is>
          <t>221-2023-12-31</t>
        </is>
      </c>
    </row>
    <row r="456">
      <c r="A456" s="5" t="n">
        <v>221</v>
      </c>
      <c r="B456" s="5" t="inlineStr">
        <is>
          <t>Riesgo de la Calidad del Agua Potable</t>
        </is>
      </c>
      <c r="C456" s="5" t="inlineStr">
        <is>
          <t>GESTIÓN AMBIENTAL</t>
        </is>
      </c>
      <c r="D456" s="5" t="inlineStr">
        <is>
          <t>Anual</t>
        </is>
      </c>
      <c r="E456" s="5" t="inlineStr">
        <is>
          <t>Positivo</t>
        </is>
      </c>
      <c r="F456" s="107" t="n">
        <v>45657</v>
      </c>
      <c r="G456" s="5" t="n">
        <v>2024</v>
      </c>
      <c r="H456" s="5" t="inlineStr">
        <is>
          <t>Diciembre</t>
        </is>
      </c>
      <c r="I456" s="6" t="inlineStr">
        <is>
          <t>2024-2</t>
        </is>
      </c>
      <c r="J456" s="5" t="n">
        <v>100</v>
      </c>
      <c r="K456" s="5" t="n">
        <v>33.33</v>
      </c>
      <c r="L456" s="14">
        <f>IFERROR(IF(OR(J456=0,K456=""),"",IF(E456="Positivo",MIN(MAX(K456/J456,0),1.3),MIN(MAX(J456/K456,0),1.3))),"") </f>
        <v/>
      </c>
      <c r="M456" s="14">
        <f>IFERROR(IF(OR(J456=0,K456=""),"",IF(E456="Positivo",MAX(K456/J456,0),MAX(J456/K456,0))),"") </f>
        <v/>
      </c>
      <c r="N456" s="5" t="n"/>
      <c r="O456" s="5" t="n"/>
      <c r="P456" s="5" t="n">
        <v>0</v>
      </c>
      <c r="Q456" s="5" t="n">
        <v>0</v>
      </c>
      <c r="R456" s="5" t="inlineStr">
        <is>
          <t>221-2024-12-31</t>
        </is>
      </c>
    </row>
    <row r="457">
      <c r="A457" s="26" t="n">
        <v>221</v>
      </c>
      <c r="B457" s="5" t="inlineStr">
        <is>
          <t>Riesgo de la Calidad del Agua Potable</t>
        </is>
      </c>
      <c r="C457" s="5" t="inlineStr">
        <is>
          <t>GESTIÓN AMBIENTAL</t>
        </is>
      </c>
      <c r="D457" s="5" t="inlineStr">
        <is>
          <t>Anual</t>
        </is>
      </c>
      <c r="E457" s="5" t="inlineStr">
        <is>
          <t>Positivo</t>
        </is>
      </c>
      <c r="F457" s="107" t="n">
        <v>46022</v>
      </c>
      <c r="G457" s="5" t="n">
        <v>2025</v>
      </c>
      <c r="H457" s="5" t="inlineStr">
        <is>
          <t>Diciembre</t>
        </is>
      </c>
      <c r="I457" s="6" t="inlineStr">
        <is>
          <t>2025-2</t>
        </is>
      </c>
      <c r="J457" s="5" t="n">
        <v>100</v>
      </c>
      <c r="K457" s="15" t="n">
        <v>27.5</v>
      </c>
      <c r="L457" s="14">
        <f>IFERROR(IF(OR(J457=0,K457=""),"",IF(E457="Positivo",MIN(MAX(K457/J457,0),1.3),MIN(MAX(J457/K457,0),1.3))),"") </f>
        <v/>
      </c>
      <c r="M457" s="14">
        <f>IFERROR(IF(OR(J457=0,K457=""),"",IF(E457="Positivo",MAX(K457/J457,0),MAX(J457/K457,0))),"") </f>
        <v/>
      </c>
      <c r="N457" s="5" t="inlineStr">
        <is>
          <t>%</t>
        </is>
      </c>
      <c r="O457" s="5" t="inlineStr">
        <is>
          <t>%</t>
        </is>
      </c>
      <c r="P457" s="5" t="n">
        <v>0</v>
      </c>
      <c r="Q457" s="5" t="n">
        <v>0</v>
      </c>
      <c r="R457" s="5" t="inlineStr">
        <is>
          <t>221-2025-12-31</t>
        </is>
      </c>
    </row>
    <row r="458">
      <c r="A458" s="5" t="n">
        <v>222</v>
      </c>
      <c r="B458" s="5" t="inlineStr">
        <is>
          <t>Calidad de las Aguas Residuales Domesticas</t>
        </is>
      </c>
      <c r="C458" s="5" t="inlineStr">
        <is>
          <t>GESTIÓN AMBIENTAL</t>
        </is>
      </c>
      <c r="D458" s="5" t="inlineStr">
        <is>
          <t>Anual</t>
        </is>
      </c>
      <c r="E458" s="5" t="inlineStr">
        <is>
          <t>Positivo</t>
        </is>
      </c>
      <c r="F458" s="107" t="n">
        <v>44926</v>
      </c>
      <c r="G458" s="5" t="n">
        <v>2022</v>
      </c>
      <c r="H458" s="5" t="inlineStr">
        <is>
          <t>Diciembre</t>
        </is>
      </c>
      <c r="I458" s="6" t="inlineStr">
        <is>
          <t>2022-2</t>
        </is>
      </c>
      <c r="J458" s="5" t="n">
        <v>90</v>
      </c>
      <c r="K458" s="5" t="n">
        <v>93.75</v>
      </c>
      <c r="L458" s="14">
        <f>IFERROR(IF(OR(J458=0,K458=""),"",IF(E458="Positivo",MIN(MAX(K458/J458,0),1.3),MIN(MAX(J458/K458,0),1.3))),"") </f>
        <v/>
      </c>
      <c r="M458" s="14">
        <f>IFERROR(IF(OR(J458=0,K458=""),"",IF(E458="Positivo",MAX(K458/J458,0),MAX(J458/K458,0))),"") </f>
        <v/>
      </c>
      <c r="N458" s="5" t="n"/>
      <c r="O458" s="5" t="n"/>
      <c r="P458" s="5" t="n">
        <v>0</v>
      </c>
      <c r="Q458" s="5" t="n">
        <v>0</v>
      </c>
      <c r="R458" s="5" t="inlineStr">
        <is>
          <t>222-2022-12-31</t>
        </is>
      </c>
    </row>
    <row r="459">
      <c r="A459" s="28" t="n">
        <v>222</v>
      </c>
      <c r="B459" s="5" t="inlineStr">
        <is>
          <t>Calidad de las Aguas Residuales Domesticas</t>
        </is>
      </c>
      <c r="C459" s="5" t="inlineStr">
        <is>
          <t>GESTIÓN AMBIENTAL</t>
        </is>
      </c>
      <c r="D459" s="5" t="inlineStr">
        <is>
          <t>Anual</t>
        </is>
      </c>
      <c r="E459" s="5" t="inlineStr">
        <is>
          <t>Positivo</t>
        </is>
      </c>
      <c r="F459" s="107" t="n">
        <v>45291</v>
      </c>
      <c r="G459" s="5" t="n">
        <v>2023</v>
      </c>
      <c r="H459" s="5" t="inlineStr">
        <is>
          <t>Diciembre</t>
        </is>
      </c>
      <c r="I459" s="6" t="inlineStr">
        <is>
          <t>2023-2</t>
        </is>
      </c>
      <c r="J459" s="5" t="n">
        <v>90</v>
      </c>
      <c r="K459" s="5" t="n">
        <v>68.75</v>
      </c>
      <c r="L459" s="74">
        <f>IFERROR(IF(OR(J459=0,K459=""),"",IF(E459="Positivo",MIN(MAX(K459/J459,0),1.3),MIN(MAX(J459/K459,0),1.3))),"") </f>
        <v/>
      </c>
      <c r="M459" s="14">
        <f>IFERROR(IF(OR(J459=0,K459=""),"",IF(E459="Positivo",MAX(K459/J459,0),MAX(J459/K459,0))),"") </f>
        <v/>
      </c>
      <c r="N459" s="5" t="n"/>
      <c r="O459" s="5" t="n"/>
      <c r="P459" s="5" t="n">
        <v>0</v>
      </c>
      <c r="Q459" s="5" t="n">
        <v>0</v>
      </c>
      <c r="R459" s="5" t="inlineStr">
        <is>
          <t>222-2023-12-31</t>
        </is>
      </c>
    </row>
    <row r="460">
      <c r="A460" s="26" t="n">
        <v>222</v>
      </c>
      <c r="B460" s="5" t="inlineStr">
        <is>
          <t>Calidad de las Aguas Residuales Domesticas</t>
        </is>
      </c>
      <c r="C460" s="5" t="inlineStr">
        <is>
          <t>GESTIÓN AMBIENTAL</t>
        </is>
      </c>
      <c r="D460" s="5" t="inlineStr">
        <is>
          <t>Anual</t>
        </is>
      </c>
      <c r="E460" s="5" t="inlineStr">
        <is>
          <t>Positivo</t>
        </is>
      </c>
      <c r="F460" s="107" t="n">
        <v>45657</v>
      </c>
      <c r="G460" s="5" t="n">
        <v>2024</v>
      </c>
      <c r="H460" s="5" t="inlineStr">
        <is>
          <t>Diciembre</t>
        </is>
      </c>
      <c r="I460" s="6" t="inlineStr">
        <is>
          <t>2024-2</t>
        </is>
      </c>
      <c r="J460" s="5" t="n">
        <v>90</v>
      </c>
      <c r="K460" s="5" t="n">
        <v>68.75</v>
      </c>
      <c r="L460" s="74">
        <f>IFERROR(IF(OR(J460=0,K460=""),"",IF(E460="Positivo",MIN(MAX(K460/J460,0),1.3),MIN(MAX(J460/K460,0),1.3))),"") </f>
        <v/>
      </c>
      <c r="M460" s="14">
        <f>IFERROR(IF(OR(J460=0,K460=""),"",IF(E460="Positivo",MAX(K460/J460,0),MAX(J460/K460,0))),"") </f>
        <v/>
      </c>
      <c r="N460" s="5" t="n"/>
      <c r="O460" s="5" t="n"/>
      <c r="P460" s="5" t="n">
        <v>0</v>
      </c>
      <c r="Q460" s="5" t="n">
        <v>0</v>
      </c>
      <c r="R460" s="5" t="inlineStr">
        <is>
          <t>222-2024-12-31</t>
        </is>
      </c>
    </row>
    <row r="461">
      <c r="A461" s="5" t="n">
        <v>222</v>
      </c>
      <c r="B461" s="5" t="inlineStr">
        <is>
          <t>Calidad de las Aguas Residuales Domesticas</t>
        </is>
      </c>
      <c r="C461" s="5" t="inlineStr">
        <is>
          <t>GESTIÓN AMBIENTAL</t>
        </is>
      </c>
      <c r="D461" s="5" t="inlineStr">
        <is>
          <t>Anual</t>
        </is>
      </c>
      <c r="E461" s="5" t="inlineStr">
        <is>
          <t>Positivo</t>
        </is>
      </c>
      <c r="F461" s="107" t="n">
        <v>46022</v>
      </c>
      <c r="G461" s="5" t="n">
        <v>2025</v>
      </c>
      <c r="H461" s="5" t="inlineStr">
        <is>
          <t>Diciembre</t>
        </is>
      </c>
      <c r="I461" s="6" t="inlineStr">
        <is>
          <t>2025-2</t>
        </is>
      </c>
      <c r="J461" s="5" t="n">
        <v>90</v>
      </c>
      <c r="K461" s="5" t="n">
        <v>68.75</v>
      </c>
      <c r="L461" s="14">
        <f>IFERROR(IF(OR(J461=0,K461=""),"",IF(E461="Positivo",MIN(MAX(K461/J461,0),1.3),MIN(MAX(J461/K461,0),1.3))),"") </f>
        <v/>
      </c>
      <c r="M461" s="14">
        <f>IFERROR(IF(OR(J461=0,K461=""),"",IF(E461="Positivo",MAX(K461/J461,0),MAX(J461/K461,0))),"") </f>
        <v/>
      </c>
      <c r="N461" s="5" t="inlineStr">
        <is>
          <t>%</t>
        </is>
      </c>
      <c r="O461" s="5" t="inlineStr">
        <is>
          <t>%</t>
        </is>
      </c>
      <c r="P461" s="5" t="n">
        <v>0</v>
      </c>
      <c r="Q461" s="5" t="n">
        <v>0</v>
      </c>
      <c r="R461" s="5" t="inlineStr">
        <is>
          <t>222-2025-12-31</t>
        </is>
      </c>
    </row>
    <row r="462">
      <c r="A462" s="5" t="n">
        <v>223</v>
      </c>
      <c r="B462" s="5" t="inlineStr">
        <is>
          <t>Registro de Publicidad Exterior Visual</t>
        </is>
      </c>
      <c r="C462" s="5" t="inlineStr">
        <is>
          <t>GESTIÓN AMBIENTAL</t>
        </is>
      </c>
      <c r="D462" s="5" t="inlineStr">
        <is>
          <t>Anual</t>
        </is>
      </c>
      <c r="E462" s="5" t="inlineStr">
        <is>
          <t>Positivo</t>
        </is>
      </c>
      <c r="F462" s="107" t="n">
        <v>44926</v>
      </c>
      <c r="G462" s="5" t="n">
        <v>2022</v>
      </c>
      <c r="H462" s="5" t="inlineStr">
        <is>
          <t>Diciembre</t>
        </is>
      </c>
      <c r="I462" s="6" t="inlineStr">
        <is>
          <t>2022-2</t>
        </is>
      </c>
      <c r="J462" s="5" t="n">
        <v>100</v>
      </c>
      <c r="K462" s="5" t="n">
        <v>0</v>
      </c>
      <c r="L462" s="14">
        <f>IFERROR(IF(OR(J462=0,K462=""),"",IF(E462="Positivo",MIN(MAX(K462/J462,0),1.3),MIN(MAX(J462/K462,0),1.3))),"") </f>
        <v/>
      </c>
      <c r="M462" s="14">
        <f>IFERROR(IF(OR(J462=0,K462=""),"",IF(E462="Positivo",MAX(K462/J462,0),MAX(J462/K462,0))),"") </f>
        <v/>
      </c>
      <c r="N462" s="5" t="inlineStr">
        <is>
          <t>%</t>
        </is>
      </c>
      <c r="O462" s="5" t="inlineStr">
        <is>
          <t>%</t>
        </is>
      </c>
      <c r="P462" s="5" t="n">
        <v>0</v>
      </c>
      <c r="Q462" s="5" t="n">
        <v>0</v>
      </c>
      <c r="R462" s="5" t="inlineStr">
        <is>
          <t>223-2022-12-31</t>
        </is>
      </c>
    </row>
    <row r="463">
      <c r="A463" s="5" t="n">
        <v>223</v>
      </c>
      <c r="B463" s="5" t="inlineStr">
        <is>
          <t>Registro de Publicidad Exterior Visual</t>
        </is>
      </c>
      <c r="C463" s="5" t="inlineStr">
        <is>
          <t>GESTIÓN AMBIENTAL</t>
        </is>
      </c>
      <c r="D463" s="5" t="inlineStr">
        <is>
          <t>Anual</t>
        </is>
      </c>
      <c r="E463" s="5" t="inlineStr">
        <is>
          <t>Positivo</t>
        </is>
      </c>
      <c r="F463" s="106" t="n">
        <v>45291</v>
      </c>
      <c r="G463" s="15" t="n">
        <v>2023</v>
      </c>
      <c r="H463" s="6" t="inlineStr">
        <is>
          <t>Diciembre</t>
        </is>
      </c>
      <c r="I463" s="27" t="inlineStr">
        <is>
          <t>2023-2</t>
        </is>
      </c>
      <c r="J463" s="5" t="n">
        <v>100</v>
      </c>
      <c r="K463" s="3" t="n">
        <v>100</v>
      </c>
      <c r="L463" s="14">
        <f>IFERROR(IF(OR(J463=0,K463=""),"",IF(E463="Positivo",MIN(MAX(K463/J463,0),1.3),MIN(MAX(J463/K463,0),1.3))),"") </f>
        <v/>
      </c>
      <c r="M463" s="14">
        <f>IFERROR(IF(OR(J463=0,K463=""),"",IF(E463="Positivo",MAX(K463/J463,0),MAX(J463/K463,0))),"") </f>
        <v/>
      </c>
      <c r="N463" s="5" t="n"/>
      <c r="O463" s="5" t="n"/>
      <c r="P463" s="5" t="n">
        <v>0</v>
      </c>
      <c r="Q463" s="5" t="n">
        <v>0</v>
      </c>
      <c r="R463" s="5" t="inlineStr">
        <is>
          <t>223-2023-12-31</t>
        </is>
      </c>
    </row>
    <row r="464">
      <c r="A464" s="5" t="n">
        <v>223</v>
      </c>
      <c r="B464" s="5" t="inlineStr">
        <is>
          <t>Registro de Publicidad Exterior Visual</t>
        </is>
      </c>
      <c r="C464" s="5" t="inlineStr">
        <is>
          <t>GESTIÓN AMBIENTAL</t>
        </is>
      </c>
      <c r="D464" s="5" t="inlineStr">
        <is>
          <t>Anual</t>
        </is>
      </c>
      <c r="E464" s="5" t="inlineStr">
        <is>
          <t>Positivo</t>
        </is>
      </c>
      <c r="F464" s="107" t="n">
        <v>45657</v>
      </c>
      <c r="G464" s="5" t="n">
        <v>2024</v>
      </c>
      <c r="H464" s="5" t="inlineStr">
        <is>
          <t>Diciembre</t>
        </is>
      </c>
      <c r="I464" s="6" t="inlineStr">
        <is>
          <t>2024-2</t>
        </is>
      </c>
      <c r="J464" s="5" t="n">
        <v>100</v>
      </c>
      <c r="K464" s="3" t="n">
        <v>94.12</v>
      </c>
      <c r="L464" s="14">
        <f>IFERROR(IF(OR(J464=0,K464=""),"",IF(E464="Positivo",MIN(MAX(K464/J464,0),1.3),MIN(MAX(J464/K464,0),1.3))),"") </f>
        <v/>
      </c>
      <c r="M464" s="14">
        <f>IFERROR(IF(OR(J464=0,K464=""),"",IF(E464="Positivo",MAX(K464/J464,0),MAX(J464/K464,0))),"") </f>
        <v/>
      </c>
      <c r="N464" s="5" t="n"/>
      <c r="O464" s="5" t="n"/>
      <c r="P464" s="5" t="n">
        <v>0</v>
      </c>
      <c r="Q464" s="5" t="n">
        <v>0</v>
      </c>
      <c r="R464" s="5" t="inlineStr">
        <is>
          <t>223-2024-12-31</t>
        </is>
      </c>
    </row>
    <row r="465">
      <c r="A465" s="5" t="n">
        <v>223</v>
      </c>
      <c r="B465" s="5" t="inlineStr">
        <is>
          <t>Registro de Publicidad Exterior Visual</t>
        </is>
      </c>
      <c r="C465" s="5" t="inlineStr">
        <is>
          <t>GESTIÓN AMBIENTAL</t>
        </is>
      </c>
      <c r="D465" s="5" t="inlineStr">
        <is>
          <t>Anual</t>
        </is>
      </c>
      <c r="E465" s="5" t="inlineStr">
        <is>
          <t>Positivo</t>
        </is>
      </c>
      <c r="F465" s="107" t="n">
        <v>46022</v>
      </c>
      <c r="G465" s="5" t="n">
        <v>2025</v>
      </c>
      <c r="H465" s="5" t="inlineStr">
        <is>
          <t>Diciembre</t>
        </is>
      </c>
      <c r="I465" s="6" t="inlineStr">
        <is>
          <t>2025-2</t>
        </is>
      </c>
      <c r="J465" s="16" t="n">
        <v>100</v>
      </c>
      <c r="K465" s="62" t="n">
        <v>91.67</v>
      </c>
      <c r="L465" s="14">
        <f>IFERROR(IF(OR(J465=0,K465=""),"",IF(E465="Positivo",MIN(MAX(K465/J465,0),1.3),MIN(MAX(J465/K465,0),1.3))),"") </f>
        <v/>
      </c>
      <c r="M465" s="14">
        <f>IFERROR(IF(OR(J465=0,K465=""),"",IF(E465="Positivo",MAX(K465/J465,0),MAX(J465/K465,0))),"") </f>
        <v/>
      </c>
      <c r="N465" s="5" t="inlineStr">
        <is>
          <t>%</t>
        </is>
      </c>
      <c r="O465" s="5" t="inlineStr">
        <is>
          <t>%</t>
        </is>
      </c>
      <c r="P465" s="5" t="n">
        <v>0</v>
      </c>
      <c r="Q465" s="5" t="n">
        <v>0</v>
      </c>
      <c r="R465" s="5" t="inlineStr">
        <is>
          <t>223-2025-12-31</t>
        </is>
      </c>
    </row>
    <row r="466">
      <c r="A466" s="5" t="n">
        <v>224</v>
      </c>
      <c r="B466" s="5" t="inlineStr">
        <is>
          <t>Cumplimiento Nivel de Emisión de Ruido</t>
        </is>
      </c>
      <c r="C466" s="5" t="inlineStr">
        <is>
          <t>GESTIÓN AMBIENTAL</t>
        </is>
      </c>
      <c r="D466" s="5" t="inlineStr">
        <is>
          <t>Anual</t>
        </is>
      </c>
      <c r="E466" s="5" t="inlineStr">
        <is>
          <t>Positivo</t>
        </is>
      </c>
      <c r="F466" s="107" t="n">
        <v>44926</v>
      </c>
      <c r="G466" s="5" t="n">
        <v>2022</v>
      </c>
      <c r="H466" s="5" t="inlineStr">
        <is>
          <t>Diciembre</t>
        </is>
      </c>
      <c r="I466" s="6" t="inlineStr">
        <is>
          <t>2022-2</t>
        </is>
      </c>
      <c r="J466" s="5" t="n">
        <v>100</v>
      </c>
      <c r="K466" s="3" t="n">
        <v>71.42857142857143</v>
      </c>
      <c r="L466" s="14">
        <f>IFERROR(IF(OR(J466=0,K466=""),"",IF(E466="Positivo",MIN(MAX(K466/J466,0),1.3),MIN(MAX(J466/K466,0),1.3))),"") </f>
        <v/>
      </c>
      <c r="M466" s="14">
        <f>IFERROR(IF(OR(J466=0,K466=""),"",IF(E466="Positivo",MAX(K466/J466,0),MAX(J466/K466,0))),"") </f>
        <v/>
      </c>
      <c r="N466" s="5" t="inlineStr">
        <is>
          <t>%</t>
        </is>
      </c>
      <c r="O466" s="5" t="inlineStr">
        <is>
          <t>%</t>
        </is>
      </c>
      <c r="P466" s="5" t="n">
        <v>0</v>
      </c>
      <c r="Q466" s="5" t="n">
        <v>0</v>
      </c>
      <c r="R466" s="5" t="inlineStr">
        <is>
          <t>224-2022-12-31</t>
        </is>
      </c>
    </row>
    <row r="467">
      <c r="A467" s="26" t="n">
        <v>224</v>
      </c>
      <c r="B467" s="5" t="inlineStr">
        <is>
          <t>Cumplimiento Nivel de Emisión de Ruido</t>
        </is>
      </c>
      <c r="C467" s="5" t="inlineStr">
        <is>
          <t>GESTIÓN AMBIENTAL</t>
        </is>
      </c>
      <c r="D467" s="5" t="inlineStr">
        <is>
          <t>Anual</t>
        </is>
      </c>
      <c r="E467" s="5" t="inlineStr">
        <is>
          <t>Positivo</t>
        </is>
      </c>
      <c r="F467" s="107" t="n">
        <v>45291</v>
      </c>
      <c r="G467" s="5" t="n">
        <v>2023</v>
      </c>
      <c r="H467" s="5" t="inlineStr">
        <is>
          <t>Diciembre</t>
        </is>
      </c>
      <c r="I467" s="6" t="inlineStr">
        <is>
          <t>2023-2</t>
        </is>
      </c>
      <c r="J467" s="5" t="n">
        <v>100</v>
      </c>
      <c r="K467" s="5" t="n">
        <v>40</v>
      </c>
      <c r="L467" s="74">
        <f>IFERROR(IF(OR(J467=0,K467=""),"",IF(E467="Positivo",MIN(MAX(K467/J467,0),1.3),MIN(MAX(J467/K467,0),1.3))),"") </f>
        <v/>
      </c>
      <c r="M467" s="14">
        <f>IFERROR(IF(OR(J467=0,K467=""),"",IF(E467="Positivo",MAX(K467/J467,0),MAX(J467/K467,0))),"") </f>
        <v/>
      </c>
      <c r="N467" s="5" t="n"/>
      <c r="O467" s="5" t="n"/>
      <c r="P467" s="5" t="n">
        <v>0</v>
      </c>
      <c r="Q467" s="5" t="n">
        <v>0</v>
      </c>
      <c r="R467" s="5" t="inlineStr">
        <is>
          <t>224-2023-12-31</t>
        </is>
      </c>
    </row>
    <row r="468">
      <c r="A468" s="5" t="n">
        <v>224</v>
      </c>
      <c r="B468" s="5" t="inlineStr">
        <is>
          <t>Cumplimiento Nivel de Emisión de Ruido</t>
        </is>
      </c>
      <c r="C468" s="5" t="inlineStr">
        <is>
          <t>GESTIÓN AMBIENTAL</t>
        </is>
      </c>
      <c r="D468" s="5" t="inlineStr">
        <is>
          <t>Anual</t>
        </is>
      </c>
      <c r="E468" s="5" t="inlineStr">
        <is>
          <t>Positivo</t>
        </is>
      </c>
      <c r="F468" s="107" t="n">
        <v>45657</v>
      </c>
      <c r="G468" s="5" t="n">
        <v>2024</v>
      </c>
      <c r="H468" s="5" t="inlineStr">
        <is>
          <t>Diciembre</t>
        </is>
      </c>
      <c r="I468" s="6" t="inlineStr">
        <is>
          <t>2024-2</t>
        </is>
      </c>
      <c r="J468" s="5" t="n">
        <v>100</v>
      </c>
      <c r="K468" s="5" t="n">
        <v>100</v>
      </c>
      <c r="L468" s="14">
        <f>IFERROR(IF(OR(J468=0,K468=""),"",IF(E468="Positivo",MIN(MAX(K468/J468,0),1.3),MIN(MAX(J468/K468,0),1.3))),"") </f>
        <v/>
      </c>
      <c r="M468" s="14">
        <f>IFERROR(IF(OR(J468=0,K468=""),"",IF(E468="Positivo",MAX(K468/J468,0),MAX(J468/K468,0))),"") </f>
        <v/>
      </c>
      <c r="N468" s="5" t="n"/>
      <c r="O468" s="5" t="n"/>
      <c r="P468" s="5" t="n">
        <v>0</v>
      </c>
      <c r="Q468" s="5" t="n">
        <v>0</v>
      </c>
      <c r="R468" s="5" t="inlineStr">
        <is>
          <t>224-2024-12-31</t>
        </is>
      </c>
    </row>
    <row r="469">
      <c r="A469" s="5" t="n">
        <v>224</v>
      </c>
      <c r="B469" s="5" t="inlineStr">
        <is>
          <t>Cumplimiento Nivel de Emisión de Ruido</t>
        </is>
      </c>
      <c r="C469" s="5" t="inlineStr">
        <is>
          <t>GESTIÓN AMBIENTAL</t>
        </is>
      </c>
      <c r="D469" s="5" t="inlineStr">
        <is>
          <t>Anual</t>
        </is>
      </c>
      <c r="E469" s="5" t="inlineStr">
        <is>
          <t>Positivo</t>
        </is>
      </c>
      <c r="F469" s="107" t="n">
        <v>46022</v>
      </c>
      <c r="G469" s="5" t="n">
        <v>2025</v>
      </c>
      <c r="H469" s="5" t="inlineStr">
        <is>
          <t>Diciembre</t>
        </is>
      </c>
      <c r="I469" s="6" t="inlineStr">
        <is>
          <t>2025-2</t>
        </is>
      </c>
      <c r="J469" s="5" t="n">
        <v>100</v>
      </c>
      <c r="K469" s="5" t="n">
        <v>100</v>
      </c>
      <c r="L469" s="14">
        <f>IFERROR(IF(OR(J469=0,K469=""),"",IF(E469="Positivo",MIN(MAX(K469/J469,0),1.3),MIN(MAX(J469/K469,0),1.3))),"") </f>
        <v/>
      </c>
      <c r="M469" s="14">
        <f>IFERROR(IF(OR(J469=0,K469=""),"",IF(E469="Positivo",MAX(K469/J469,0),MAX(J469/K469,0))),"") </f>
        <v/>
      </c>
      <c r="N469" s="5" t="inlineStr">
        <is>
          <t>%</t>
        </is>
      </c>
      <c r="O469" s="5" t="inlineStr">
        <is>
          <t>%</t>
        </is>
      </c>
      <c r="P469" s="5" t="n">
        <v>0</v>
      </c>
      <c r="Q469" s="5" t="n">
        <v>0</v>
      </c>
      <c r="R469" s="5" t="inlineStr">
        <is>
          <t>224-2025-12-31</t>
        </is>
      </c>
    </row>
    <row r="470">
      <c r="A470" s="5" t="n">
        <v>225</v>
      </c>
      <c r="B470" s="5" t="inlineStr">
        <is>
          <t>Acciones para el Cuidado y Mantenimiento de las Especies de Flora y el Suelo de las Áreas Naturales</t>
        </is>
      </c>
      <c r="C470" s="5" t="inlineStr">
        <is>
          <t>GESTIÓN AMBIENTAL</t>
        </is>
      </c>
      <c r="D470" s="5" t="inlineStr">
        <is>
          <t>Mensual</t>
        </is>
      </c>
      <c r="E470" s="5" t="inlineStr">
        <is>
          <t>Positivo</t>
        </is>
      </c>
      <c r="F470" s="106" t="n">
        <v>44742</v>
      </c>
      <c r="G470" s="15" t="n">
        <v>2022</v>
      </c>
      <c r="H470" s="6" t="inlineStr">
        <is>
          <t>Junio</t>
        </is>
      </c>
      <c r="I470" s="27" t="inlineStr">
        <is>
          <t>2022-1</t>
        </is>
      </c>
      <c r="J470" s="5" t="n">
        <v>1</v>
      </c>
      <c r="K470" s="5" t="n">
        <v>0</v>
      </c>
      <c r="L470" s="14">
        <f>IFERROR(IF(OR(J470=0,K470=""),"",IF(E470="Positivo",MIN(MAX(K470/J470,0),1.3),MIN(MAX(J470/K470,0),1.3))),"") </f>
        <v/>
      </c>
      <c r="M470" s="14">
        <f>IFERROR(IF(OR(J470=0,K470=""),"",IF(E470="Positivo",MAX(K470/J470,0),MAX(J470/K470,0))),"") </f>
        <v/>
      </c>
      <c r="N470" s="5" t="inlineStr">
        <is>
          <t>%</t>
        </is>
      </c>
      <c r="O470" s="5" t="inlineStr">
        <is>
          <t>%</t>
        </is>
      </c>
      <c r="P470" s="5" t="n">
        <v>0</v>
      </c>
      <c r="Q470" s="5" t="n">
        <v>0</v>
      </c>
      <c r="R470" s="5" t="inlineStr">
        <is>
          <t>225-2022-06-30</t>
        </is>
      </c>
    </row>
    <row r="471">
      <c r="A471" s="26" t="n">
        <v>225</v>
      </c>
      <c r="B471" s="5" t="inlineStr">
        <is>
          <t>Acciones para el Cuidado y Mantenimiento de las Especies de Flora y el Suelo de las Áreas Naturales</t>
        </is>
      </c>
      <c r="C471" s="5" t="inlineStr">
        <is>
          <t>GESTIÓN AMBIENTAL</t>
        </is>
      </c>
      <c r="D471" s="5" t="inlineStr">
        <is>
          <t>Mensual</t>
        </is>
      </c>
      <c r="E471" s="5" t="inlineStr">
        <is>
          <t>Positivo</t>
        </is>
      </c>
      <c r="F471" s="107" t="n">
        <v>44926</v>
      </c>
      <c r="G471" s="5" t="n">
        <v>2022</v>
      </c>
      <c r="H471" s="5" t="inlineStr">
        <is>
          <t>Diciembre</t>
        </is>
      </c>
      <c r="I471" s="6" t="inlineStr">
        <is>
          <t>2022-2</t>
        </is>
      </c>
      <c r="J471" s="5" t="n">
        <v>1</v>
      </c>
      <c r="K471" s="5" t="n">
        <v>0</v>
      </c>
      <c r="L471" s="14">
        <f>IFERROR(IF(OR(J471=0,K471=""),"",IF(E471="Positivo",MIN(MAX(K471/J471,0),1.3),MIN(MAX(J471/K471,0),1.3))),"") </f>
        <v/>
      </c>
      <c r="M471" s="14">
        <f>IFERROR(IF(OR(J471=0,K471=""),"",IF(E471="Positivo",MAX(K471/J471,0),MAX(J471/K471,0))),"") </f>
        <v/>
      </c>
      <c r="N471" s="5" t="inlineStr">
        <is>
          <t>%</t>
        </is>
      </c>
      <c r="O471" s="5" t="inlineStr">
        <is>
          <t>%</t>
        </is>
      </c>
      <c r="P471" s="5" t="n">
        <v>0</v>
      </c>
      <c r="Q471" s="5" t="n">
        <v>0</v>
      </c>
      <c r="R471" s="5" t="inlineStr">
        <is>
          <t>225-2022-12-31</t>
        </is>
      </c>
    </row>
    <row r="472">
      <c r="A472" s="5" t="n">
        <v>225</v>
      </c>
      <c r="B472" s="5" t="inlineStr">
        <is>
          <t>Acciones para el Cuidado y Mantenimiento de las Especies de Flora y el Suelo de las Áreas Naturales</t>
        </is>
      </c>
      <c r="C472" s="5" t="inlineStr">
        <is>
          <t>GESTIÓN AMBIENTAL</t>
        </is>
      </c>
      <c r="D472" s="5" t="inlineStr">
        <is>
          <t>Mensual</t>
        </is>
      </c>
      <c r="E472" s="5" t="inlineStr">
        <is>
          <t>Positivo</t>
        </is>
      </c>
      <c r="F472" s="106" t="n">
        <v>44957</v>
      </c>
      <c r="G472" s="15" t="n">
        <v>2023</v>
      </c>
      <c r="H472" s="6" t="inlineStr">
        <is>
          <t>Enero</t>
        </is>
      </c>
      <c r="I472" s="6" t="inlineStr">
        <is>
          <t>2023-1</t>
        </is>
      </c>
      <c r="J472" s="5" t="n">
        <v>1</v>
      </c>
      <c r="K472" s="5" t="n">
        <v>21</v>
      </c>
      <c r="L472" s="14">
        <f>IFERROR(IF(OR(J472=0,K472=""),"",IF(E472="Positivo",MIN(MAX(K472/J472,0),1.3),MIN(MAX(J472/K472,0),1.3))),"") </f>
        <v/>
      </c>
      <c r="M472" s="14">
        <f>IFERROR(IF(OR(J472=0,K472=""),"",IF(E472="Positivo",MAX(K472/J472,0),MAX(J472/K472,0))),"") </f>
        <v/>
      </c>
      <c r="N472" s="5" t="n"/>
      <c r="O472" s="5" t="n"/>
      <c r="P472" s="5" t="n">
        <v>0</v>
      </c>
      <c r="Q472" s="5" t="n">
        <v>0</v>
      </c>
      <c r="R472" s="5" t="inlineStr">
        <is>
          <t>225-2023-01-31</t>
        </is>
      </c>
    </row>
    <row r="473">
      <c r="A473" s="5" t="n">
        <v>225</v>
      </c>
      <c r="B473" s="5" t="inlineStr">
        <is>
          <t>Acciones para el Cuidado y Mantenimiento de las Especies de Flora y el Suelo de las Áreas Naturales</t>
        </is>
      </c>
      <c r="C473" s="5" t="inlineStr">
        <is>
          <t>GESTIÓN AMBIENTAL</t>
        </is>
      </c>
      <c r="D473" s="5" t="inlineStr">
        <is>
          <t>Mensual</t>
        </is>
      </c>
      <c r="E473" s="5" t="inlineStr">
        <is>
          <t>Positivo</t>
        </is>
      </c>
      <c r="F473" s="107" t="n">
        <v>44985</v>
      </c>
      <c r="G473" s="5" t="n">
        <v>2023</v>
      </c>
      <c r="H473" s="5" t="inlineStr">
        <is>
          <t>Febrero</t>
        </is>
      </c>
      <c r="I473" s="6" t="inlineStr">
        <is>
          <t>2023-1</t>
        </is>
      </c>
      <c r="J473" s="5" t="n">
        <v>1</v>
      </c>
      <c r="K473" s="5" t="n">
        <v>21</v>
      </c>
      <c r="L473" s="14">
        <f>IFERROR(IF(OR(J473=0,K473=""),"",IF(E473="Positivo",MIN(MAX(K473/J473,0),1.3),MIN(MAX(J473/K473,0),1.3))),"") </f>
        <v/>
      </c>
      <c r="M473" s="14">
        <f>IFERROR(IF(OR(J473=0,K473=""),"",IF(E473="Positivo",MAX(K473/J473,0),MAX(J473/K473,0))),"") </f>
        <v/>
      </c>
      <c r="N473" s="5" t="n"/>
      <c r="O473" s="5" t="n"/>
      <c r="P473" s="5" t="n">
        <v>0</v>
      </c>
      <c r="Q473" s="5" t="n">
        <v>0</v>
      </c>
      <c r="R473" s="5" t="inlineStr">
        <is>
          <t>225-2023-02-28</t>
        </is>
      </c>
    </row>
    <row r="474">
      <c r="A474" s="28" t="n">
        <v>225</v>
      </c>
      <c r="B474" s="5" t="inlineStr">
        <is>
          <t>Acciones para el Cuidado y Mantenimiento de las Especies de Flora y el Suelo de las Áreas Naturales</t>
        </is>
      </c>
      <c r="C474" s="5" t="inlineStr">
        <is>
          <t>GESTIÓN AMBIENTAL</t>
        </is>
      </c>
      <c r="D474" s="5" t="inlineStr">
        <is>
          <t>Mensual</t>
        </is>
      </c>
      <c r="E474" s="5" t="inlineStr">
        <is>
          <t>Positivo</t>
        </is>
      </c>
      <c r="F474" s="107" t="n">
        <v>45016</v>
      </c>
      <c r="G474" s="5" t="n">
        <v>2023</v>
      </c>
      <c r="H474" s="5" t="inlineStr">
        <is>
          <t>Marzo</t>
        </is>
      </c>
      <c r="I474" s="6" t="inlineStr">
        <is>
          <t>2023-1</t>
        </is>
      </c>
      <c r="J474" s="5" t="n">
        <v>1</v>
      </c>
      <c r="K474" s="5" t="n">
        <v>21</v>
      </c>
      <c r="L474" s="14">
        <f>IFERROR(IF(OR(J474=0,K474=""),"",IF(E474="Positivo",MIN(MAX(K474/J474,0),1.3),MIN(MAX(J474/K474,0),1.3))),"") </f>
        <v/>
      </c>
      <c r="M474" s="14">
        <f>IFERROR(IF(OR(J474=0,K474=""),"",IF(E474="Positivo",MAX(K474/J474,0),MAX(J474/K474,0))),"") </f>
        <v/>
      </c>
      <c r="N474" s="5" t="n"/>
      <c r="O474" s="5" t="n"/>
      <c r="P474" s="5" t="n">
        <v>0</v>
      </c>
      <c r="Q474" s="5" t="n">
        <v>0</v>
      </c>
      <c r="R474" s="5" t="inlineStr">
        <is>
          <t>225-2023-03-31</t>
        </is>
      </c>
    </row>
    <row r="475">
      <c r="A475" s="26" t="n">
        <v>225</v>
      </c>
      <c r="B475" s="5" t="inlineStr">
        <is>
          <t>Acciones para el Cuidado y Mantenimiento de las Especies de Flora y el Suelo de las Áreas Naturales</t>
        </is>
      </c>
      <c r="C475" s="5" t="inlineStr">
        <is>
          <t>GESTIÓN AMBIENTAL</t>
        </is>
      </c>
      <c r="D475" s="5" t="inlineStr">
        <is>
          <t>Mensual</t>
        </is>
      </c>
      <c r="E475" s="5" t="inlineStr">
        <is>
          <t>Positivo</t>
        </is>
      </c>
      <c r="F475" s="107" t="n">
        <v>45046</v>
      </c>
      <c r="G475" s="5" t="n">
        <v>2023</v>
      </c>
      <c r="H475" s="5" t="inlineStr">
        <is>
          <t>Abril</t>
        </is>
      </c>
      <c r="I475" s="6" t="inlineStr">
        <is>
          <t>2023-1</t>
        </is>
      </c>
      <c r="J475" s="5" t="n">
        <v>1</v>
      </c>
      <c r="K475" s="5" t="n">
        <v>21</v>
      </c>
      <c r="L475" s="14">
        <f>IFERROR(IF(OR(J475=0,K475=""),"",IF(E475="Positivo",MIN(MAX(K475/J475,0),1.3),MIN(MAX(J475/K475,0),1.3))),"") </f>
        <v/>
      </c>
      <c r="M475" s="14">
        <f>IFERROR(IF(OR(J475=0,K475=""),"",IF(E475="Positivo",MAX(K475/J475,0),MAX(J475/K475,0))),"") </f>
        <v/>
      </c>
      <c r="N475" s="5" t="n"/>
      <c r="O475" s="5" t="n"/>
      <c r="P475" s="5" t="n">
        <v>0</v>
      </c>
      <c r="Q475" s="5" t="n">
        <v>0</v>
      </c>
      <c r="R475" s="5" t="inlineStr">
        <is>
          <t>225-2023-04-30</t>
        </is>
      </c>
    </row>
    <row r="476">
      <c r="A476" s="26" t="n">
        <v>225</v>
      </c>
      <c r="B476" s="5" t="inlineStr">
        <is>
          <t>Acciones para el Cuidado y Mantenimiento de las Especies de Flora y el Suelo de las Áreas Naturales</t>
        </is>
      </c>
      <c r="C476" s="5" t="inlineStr">
        <is>
          <t>GESTIÓN AMBIENTAL</t>
        </is>
      </c>
      <c r="D476" s="5" t="inlineStr">
        <is>
          <t>Mensual</t>
        </is>
      </c>
      <c r="E476" s="5" t="inlineStr">
        <is>
          <t>Positivo</t>
        </is>
      </c>
      <c r="F476" s="106" t="n">
        <v>45077</v>
      </c>
      <c r="G476" s="5" t="n">
        <v>2023</v>
      </c>
      <c r="H476" s="5" t="inlineStr">
        <is>
          <t>Mayo</t>
        </is>
      </c>
      <c r="I476" s="6" t="inlineStr">
        <is>
          <t>2023-1</t>
        </is>
      </c>
      <c r="J476" s="5" t="n">
        <v>1</v>
      </c>
      <c r="K476" s="5" t="n">
        <v>21</v>
      </c>
      <c r="L476" s="14">
        <f>IFERROR(IF(OR(J476=0,K476=""),"",IF(E476="Positivo",MIN(MAX(K476/J476,0),1.3),MIN(MAX(J476/K476,0),1.3))),"") </f>
        <v/>
      </c>
      <c r="M476" s="14">
        <f>IFERROR(IF(OR(J476=0,K476=""),"",IF(E476="Positivo",MAX(K476/J476,0),MAX(J476/K476,0))),"") </f>
        <v/>
      </c>
      <c r="N476" s="5" t="n"/>
      <c r="O476" s="5" t="n"/>
      <c r="P476" s="5" t="n">
        <v>0</v>
      </c>
      <c r="Q476" s="5" t="n">
        <v>0</v>
      </c>
      <c r="R476" s="5" t="inlineStr">
        <is>
          <t>225-2023-05-31</t>
        </is>
      </c>
    </row>
    <row r="477">
      <c r="A477" s="5" t="n">
        <v>225</v>
      </c>
      <c r="B477" s="5" t="inlineStr">
        <is>
          <t>Acciones para el Cuidado y Mantenimiento de las Especies de Flora y el Suelo de las Áreas Naturales</t>
        </is>
      </c>
      <c r="C477" s="5" t="inlineStr">
        <is>
          <t>GESTIÓN AMBIENTAL</t>
        </is>
      </c>
      <c r="D477" s="5" t="inlineStr">
        <is>
          <t>Mensual</t>
        </is>
      </c>
      <c r="E477" s="5" t="inlineStr">
        <is>
          <t>Positivo</t>
        </is>
      </c>
      <c r="F477" s="107" t="n">
        <v>45107</v>
      </c>
      <c r="G477" s="5" t="n">
        <v>2023</v>
      </c>
      <c r="H477" s="5" t="inlineStr">
        <is>
          <t>Junio</t>
        </is>
      </c>
      <c r="I477" s="6" t="inlineStr">
        <is>
          <t>2023-1</t>
        </is>
      </c>
      <c r="J477" s="5" t="n">
        <v>1</v>
      </c>
      <c r="K477" s="5" t="n">
        <v>21</v>
      </c>
      <c r="L477" s="14">
        <f>IFERROR(IF(OR(J477=0,K477=""),"",IF(E477="Positivo",MIN(MAX(K477/J477,0),1.3),MIN(MAX(J477/K477,0),1.3))),"") </f>
        <v/>
      </c>
      <c r="M477" s="14">
        <f>IFERROR(IF(OR(J477=0,K477=""),"",IF(E477="Positivo",MAX(K477/J477,0),MAX(J477/K477,0))),"") </f>
        <v/>
      </c>
      <c r="N477" s="5" t="n"/>
      <c r="O477" s="5" t="n"/>
      <c r="P477" s="5" t="n">
        <v>0</v>
      </c>
      <c r="Q477" s="5" t="n">
        <v>0</v>
      </c>
      <c r="R477" s="5" t="inlineStr">
        <is>
          <t>225-2023-06-30</t>
        </is>
      </c>
    </row>
    <row r="478">
      <c r="A478" s="28" t="n">
        <v>225</v>
      </c>
      <c r="B478" s="5" t="inlineStr">
        <is>
          <t>Acciones para el Cuidado y Mantenimiento de las Especies de Flora y el Suelo de las Áreas Naturales</t>
        </is>
      </c>
      <c r="C478" s="5" t="inlineStr">
        <is>
          <t>GESTIÓN AMBIENTAL</t>
        </is>
      </c>
      <c r="D478" s="5" t="inlineStr">
        <is>
          <t>Mensual</t>
        </is>
      </c>
      <c r="E478" s="5" t="inlineStr">
        <is>
          <t>Positivo</t>
        </is>
      </c>
      <c r="F478" s="107" t="n">
        <v>45138</v>
      </c>
      <c r="G478" s="5" t="n">
        <v>2023</v>
      </c>
      <c r="H478" s="5" t="inlineStr">
        <is>
          <t>Julio</t>
        </is>
      </c>
      <c r="I478" s="6" t="inlineStr">
        <is>
          <t>2023-2</t>
        </is>
      </c>
      <c r="J478" s="5" t="n">
        <v>1</v>
      </c>
      <c r="K478" s="5" t="n">
        <v>19.83333333333333</v>
      </c>
      <c r="L478" s="74">
        <f>IFERROR(IF(OR(J478=0,K478=""),"",IF(E478="Positivo",MIN(MAX(K478/J478,0),1.3),MIN(MAX(J478/K478,0),1.3))),"") </f>
        <v/>
      </c>
      <c r="M478" s="14">
        <f>IFERROR(IF(OR(J478=0,K478=""),"",IF(E478="Positivo",MAX(K478/J478,0),MAX(J478/K478,0))),"") </f>
        <v/>
      </c>
      <c r="N478" s="5" t="n"/>
      <c r="O478" s="5" t="n"/>
      <c r="P478" s="5" t="n">
        <v>0</v>
      </c>
      <c r="Q478" s="5" t="n">
        <v>0</v>
      </c>
      <c r="R478" s="5" t="inlineStr">
        <is>
          <t>225-2023-07-31</t>
        </is>
      </c>
    </row>
    <row r="479">
      <c r="A479" s="26" t="n">
        <v>225</v>
      </c>
      <c r="B479" s="5" t="inlineStr">
        <is>
          <t>Acciones para el Cuidado y Mantenimiento de las Especies de Flora y el Suelo de las Áreas Naturales</t>
        </is>
      </c>
      <c r="C479" s="5" t="inlineStr">
        <is>
          <t>GESTIÓN AMBIENTAL</t>
        </is>
      </c>
      <c r="D479" s="5" t="inlineStr">
        <is>
          <t>Mensual</t>
        </is>
      </c>
      <c r="E479" s="5" t="inlineStr">
        <is>
          <t>Positivo</t>
        </is>
      </c>
      <c r="F479" s="107" t="n">
        <v>45169</v>
      </c>
      <c r="G479" s="5" t="n">
        <v>2023</v>
      </c>
      <c r="H479" s="5" t="inlineStr">
        <is>
          <t>Agosto</t>
        </is>
      </c>
      <c r="I479" s="6" t="inlineStr">
        <is>
          <t>2023-2</t>
        </is>
      </c>
      <c r="J479" s="5" t="n">
        <v>1</v>
      </c>
      <c r="K479" s="5" t="n">
        <v>19.83333333333333</v>
      </c>
      <c r="L479" s="74">
        <f>IFERROR(IF(OR(J479=0,K479=""),"",IF(E479="Positivo",MIN(MAX(K479/J479,0),1.3),MIN(MAX(J479/K479,0),1.3))),"") </f>
        <v/>
      </c>
      <c r="M479" s="14">
        <f>IFERROR(IF(OR(J479=0,K479=""),"",IF(E479="Positivo",MAX(K479/J479,0),MAX(J479/K479,0))),"") </f>
        <v/>
      </c>
      <c r="N479" s="5" t="n"/>
      <c r="O479" s="5" t="n"/>
      <c r="P479" s="5" t="n">
        <v>0</v>
      </c>
      <c r="Q479" s="5" t="n">
        <v>0</v>
      </c>
      <c r="R479" s="5" t="inlineStr">
        <is>
          <t>225-2023-08-31</t>
        </is>
      </c>
    </row>
    <row r="480">
      <c r="A480" s="5" t="n">
        <v>225</v>
      </c>
      <c r="B480" s="5" t="inlineStr">
        <is>
          <t>Acciones para el Cuidado y Mantenimiento de las Especies de Flora y el Suelo de las Áreas Naturales</t>
        </is>
      </c>
      <c r="C480" s="5" t="inlineStr">
        <is>
          <t>GESTIÓN AMBIENTAL</t>
        </is>
      </c>
      <c r="D480" s="5" t="inlineStr">
        <is>
          <t>Mensual</t>
        </is>
      </c>
      <c r="E480" s="5" t="inlineStr">
        <is>
          <t>Positivo</t>
        </is>
      </c>
      <c r="F480" s="107" t="n">
        <v>45199</v>
      </c>
      <c r="G480" s="5" t="n">
        <v>2023</v>
      </c>
      <c r="H480" s="5" t="inlineStr">
        <is>
          <t>Septiembre</t>
        </is>
      </c>
      <c r="I480" s="6" t="inlineStr">
        <is>
          <t>2023-2</t>
        </is>
      </c>
      <c r="J480" s="5" t="n">
        <v>1</v>
      </c>
      <c r="K480" s="5" t="n">
        <v>19.83333333333333</v>
      </c>
      <c r="L480" s="14">
        <f>IFERROR(IF(OR(J480=0,K480=""),"",IF(E480="Positivo",MIN(MAX(K480/J480,0),1.3),MIN(MAX(J480/K480,0),1.3))),"") </f>
        <v/>
      </c>
      <c r="M480" s="14">
        <f>IFERROR(IF(OR(J480=0,K480=""),"",IF(E480="Positivo",MAX(K480/J480,0),MAX(J480/K480,0))),"") </f>
        <v/>
      </c>
      <c r="N480" s="5" t="n"/>
      <c r="O480" s="5" t="n"/>
      <c r="P480" s="5" t="n">
        <v>0</v>
      </c>
      <c r="Q480" s="5" t="n">
        <v>0</v>
      </c>
      <c r="R480" s="5" t="inlineStr">
        <is>
          <t>225-2023-09-30</t>
        </is>
      </c>
    </row>
    <row r="481">
      <c r="A481" s="5" t="n">
        <v>225</v>
      </c>
      <c r="B481" s="5" t="inlineStr">
        <is>
          <t>Acciones para el Cuidado y Mantenimiento de las Especies de Flora y el Suelo de las Áreas Naturales</t>
        </is>
      </c>
      <c r="C481" s="5" t="inlineStr">
        <is>
          <t>GESTIÓN AMBIENTAL</t>
        </is>
      </c>
      <c r="D481" s="5" t="inlineStr">
        <is>
          <t>Mensual</t>
        </is>
      </c>
      <c r="E481" s="5" t="inlineStr">
        <is>
          <t>Positivo</t>
        </is>
      </c>
      <c r="F481" s="107" t="n">
        <v>45230</v>
      </c>
      <c r="G481" s="5" t="n">
        <v>2023</v>
      </c>
      <c r="H481" s="5" t="inlineStr">
        <is>
          <t>Octubre</t>
        </is>
      </c>
      <c r="I481" s="6" t="inlineStr">
        <is>
          <t>2023-2</t>
        </is>
      </c>
      <c r="J481" s="5" t="n">
        <v>1</v>
      </c>
      <c r="K481" s="5" t="n">
        <v>19.83333333333333</v>
      </c>
      <c r="L481" s="14">
        <f>IFERROR(IF(OR(J481=0,K481=""),"",IF(E481="Positivo",MIN(MAX(K481/J481,0),1.3),MIN(MAX(J481/K481,0),1.3))),"") </f>
        <v/>
      </c>
      <c r="M481" s="14">
        <f>IFERROR(IF(OR(J481=0,K481=""),"",IF(E481="Positivo",MAX(K481/J481,0),MAX(J481/K481,0))),"") </f>
        <v/>
      </c>
      <c r="N481" s="5" t="n"/>
      <c r="O481" s="5" t="n"/>
      <c r="P481" s="5" t="n">
        <v>0</v>
      </c>
      <c r="Q481" s="5" t="n">
        <v>0</v>
      </c>
      <c r="R481" s="5" t="inlineStr">
        <is>
          <t>225-2023-10-31</t>
        </is>
      </c>
    </row>
    <row r="482">
      <c r="A482" s="28" t="n">
        <v>225</v>
      </c>
      <c r="B482" s="5" t="inlineStr">
        <is>
          <t>Acciones para el Cuidado y Mantenimiento de las Especies de Flora y el Suelo de las Áreas Naturales</t>
        </is>
      </c>
      <c r="C482" s="5" t="inlineStr">
        <is>
          <t>GESTIÓN AMBIENTAL</t>
        </is>
      </c>
      <c r="D482" s="5" t="inlineStr">
        <is>
          <t>Mensual</t>
        </is>
      </c>
      <c r="E482" s="5" t="inlineStr">
        <is>
          <t>Positivo</t>
        </is>
      </c>
      <c r="F482" s="107" t="n">
        <v>45260</v>
      </c>
      <c r="G482" s="5" t="n">
        <v>2023</v>
      </c>
      <c r="H482" s="5" t="inlineStr">
        <is>
          <t>Noviembre</t>
        </is>
      </c>
      <c r="I482" s="6" t="inlineStr">
        <is>
          <t>2023-2</t>
        </is>
      </c>
      <c r="J482" s="5" t="n">
        <v>1</v>
      </c>
      <c r="K482" s="5" t="n">
        <v>19.83333333333333</v>
      </c>
      <c r="L482" s="74">
        <f>IFERROR(IF(OR(J482=0,K482=""),"",IF(E482="Positivo",MIN(MAX(K482/J482,0),1.3),MIN(MAX(J482/K482,0),1.3))),"") </f>
        <v/>
      </c>
      <c r="M482" s="14">
        <f>IFERROR(IF(OR(J482=0,K482=""),"",IF(E482="Positivo",MAX(K482/J482,0),MAX(J482/K482,0))),"") </f>
        <v/>
      </c>
      <c r="N482" s="5" t="n"/>
      <c r="O482" s="5" t="n"/>
      <c r="P482" s="5" t="n">
        <v>0</v>
      </c>
      <c r="Q482" s="5" t="n">
        <v>0</v>
      </c>
      <c r="R482" s="5" t="inlineStr">
        <is>
          <t>225-2023-11-30</t>
        </is>
      </c>
    </row>
    <row r="483">
      <c r="A483" s="26" t="n">
        <v>225</v>
      </c>
      <c r="B483" s="5" t="inlineStr">
        <is>
          <t>Acciones para el Cuidado y Mantenimiento de las Especies de Flora y el Suelo de las Áreas Naturales</t>
        </is>
      </c>
      <c r="C483" s="5" t="inlineStr">
        <is>
          <t>GESTIÓN AMBIENTAL</t>
        </is>
      </c>
      <c r="D483" s="5" t="inlineStr">
        <is>
          <t>Mensual</t>
        </is>
      </c>
      <c r="E483" s="5" t="inlineStr">
        <is>
          <t>Positivo</t>
        </is>
      </c>
      <c r="F483" s="107" t="n">
        <v>45291</v>
      </c>
      <c r="G483" s="5" t="n">
        <v>2023</v>
      </c>
      <c r="H483" s="5" t="inlineStr">
        <is>
          <t>Diciembre</t>
        </is>
      </c>
      <c r="I483" s="6" t="inlineStr">
        <is>
          <t>2023-2</t>
        </is>
      </c>
      <c r="J483" s="5" t="n">
        <v>1</v>
      </c>
      <c r="K483" s="5" t="n">
        <v>19.83333333333333</v>
      </c>
      <c r="L483" s="74">
        <f>IFERROR(IF(OR(J483=0,K483=""),"",IF(E483="Positivo",MIN(MAX(K483/J483,0),1.3),MIN(MAX(J483/K483,0),1.3))),"") </f>
        <v/>
      </c>
      <c r="M483" s="14">
        <f>IFERROR(IF(OR(J483=0,K483=""),"",IF(E483="Positivo",MAX(K483/J483,0),MAX(J483/K483,0))),"") </f>
        <v/>
      </c>
      <c r="N483" s="5" t="n"/>
      <c r="O483" s="5" t="n"/>
      <c r="P483" s="5" t="n">
        <v>0</v>
      </c>
      <c r="Q483" s="5" t="n">
        <v>0</v>
      </c>
      <c r="R483" s="5" t="inlineStr">
        <is>
          <t>225-2023-12-31</t>
        </is>
      </c>
    </row>
    <row r="484">
      <c r="A484" s="28" t="n">
        <v>225</v>
      </c>
      <c r="B484" s="5" t="inlineStr">
        <is>
          <t>Acciones para el Cuidado y Mantenimiento de las Especies de Flora y el Suelo de las Áreas Naturales</t>
        </is>
      </c>
      <c r="C484" s="5" t="inlineStr">
        <is>
          <t>GESTIÓN AMBIENTAL</t>
        </is>
      </c>
      <c r="D484" s="5" t="inlineStr">
        <is>
          <t>Mensual</t>
        </is>
      </c>
      <c r="E484" s="5" t="inlineStr">
        <is>
          <t>Positivo</t>
        </is>
      </c>
      <c r="F484" s="107" t="n">
        <v>45473</v>
      </c>
      <c r="G484" s="5" t="n">
        <v>2024</v>
      </c>
      <c r="H484" s="5" t="inlineStr">
        <is>
          <t>Junio</t>
        </is>
      </c>
      <c r="I484" s="6" t="inlineStr">
        <is>
          <t>2024-1</t>
        </is>
      </c>
      <c r="J484" s="5" t="n">
        <v>1</v>
      </c>
      <c r="K484" s="5" t="n">
        <v>20.5</v>
      </c>
      <c r="L484" s="74">
        <f>IFERROR(IF(OR(J484=0,K484=""),"",IF(E484="Positivo",MIN(MAX(K484/J484,0),1.3),MIN(MAX(J484/K484,0),1.3))),"") </f>
        <v/>
      </c>
      <c r="M484" s="14">
        <f>IFERROR(IF(OR(J484=0,K484=""),"",IF(E484="Positivo",MAX(K484/J484,0),MAX(J484/K484,0))),"") </f>
        <v/>
      </c>
      <c r="N484" s="5" t="n"/>
      <c r="O484" s="5" t="n"/>
      <c r="P484" s="5" t="n">
        <v>0</v>
      </c>
      <c r="Q484" s="5" t="n">
        <v>0</v>
      </c>
      <c r="R484" s="5" t="inlineStr">
        <is>
          <t>225-2024-06-30</t>
        </is>
      </c>
    </row>
    <row r="485">
      <c r="A485" s="26" t="n">
        <v>225</v>
      </c>
      <c r="B485" s="5" t="inlineStr">
        <is>
          <t>Acciones para el Cuidado y Mantenimiento de las Especies de Flora y el Suelo de las Áreas Naturales</t>
        </is>
      </c>
      <c r="C485" s="5" t="inlineStr">
        <is>
          <t>GESTIÓN AMBIENTAL</t>
        </is>
      </c>
      <c r="D485" s="5" t="inlineStr">
        <is>
          <t>Mensual</t>
        </is>
      </c>
      <c r="E485" s="5" t="inlineStr">
        <is>
          <t>Positivo</t>
        </is>
      </c>
      <c r="F485" s="107" t="n">
        <v>45657</v>
      </c>
      <c r="G485" s="5" t="n">
        <v>2024</v>
      </c>
      <c r="H485" s="5" t="inlineStr">
        <is>
          <t>Diciembre</t>
        </is>
      </c>
      <c r="I485" s="6" t="inlineStr">
        <is>
          <t>2024-2</t>
        </is>
      </c>
      <c r="J485" s="5" t="n">
        <v>1</v>
      </c>
      <c r="K485" s="5" t="n">
        <v>20.5</v>
      </c>
      <c r="L485" s="74">
        <f>IFERROR(IF(OR(J485=0,K485=""),"",IF(E485="Positivo",MIN(MAX(K485/J485,0),1.3),MIN(MAX(J485/K485,0),1.3))),"") </f>
        <v/>
      </c>
      <c r="M485" s="14">
        <f>IFERROR(IF(OR(J485=0,K485=""),"",IF(E485="Positivo",MAX(K485/J485,0),MAX(J485/K485,0))),"") </f>
        <v/>
      </c>
      <c r="N485" s="5" t="n"/>
      <c r="O485" s="5" t="n"/>
      <c r="P485" s="5" t="n">
        <v>0</v>
      </c>
      <c r="Q485" s="5" t="n">
        <v>0</v>
      </c>
      <c r="R485" s="5" t="inlineStr">
        <is>
          <t>225-2024-12-31</t>
        </is>
      </c>
    </row>
    <row r="486">
      <c r="A486" s="28" t="n">
        <v>225</v>
      </c>
      <c r="B486" s="5" t="inlineStr">
        <is>
          <t>Acciones para el Cuidado y Mantenimiento de las Especies de Flora y el Suelo de las Áreas Naturales</t>
        </is>
      </c>
      <c r="C486" s="5" t="inlineStr">
        <is>
          <t>GESTIÓN AMBIENTAL</t>
        </is>
      </c>
      <c r="D486" s="5" t="inlineStr">
        <is>
          <t>Mensual</t>
        </is>
      </c>
      <c r="E486" s="5" t="inlineStr">
        <is>
          <t>Positivo</t>
        </is>
      </c>
      <c r="F486" s="107" t="n">
        <v>45838</v>
      </c>
      <c r="G486" s="5" t="n">
        <v>2025</v>
      </c>
      <c r="H486" s="5" t="inlineStr">
        <is>
          <t>Junio</t>
        </is>
      </c>
      <c r="I486" s="6" t="inlineStr">
        <is>
          <t>2025-1</t>
        </is>
      </c>
      <c r="J486" s="5" t="n">
        <v>1</v>
      </c>
      <c r="K486" s="5" t="n">
        <v>23.83333333333333</v>
      </c>
      <c r="L486" s="74">
        <f>IFERROR(IF(OR(J486=0,K486=""),"",IF(E486="Positivo",MIN(MAX(K486/J486,0),1.3),MIN(MAX(J486/K486,0),1.3))),"") </f>
        <v/>
      </c>
      <c r="M486" s="14">
        <f>IFERROR(IF(OR(J486=0,K486=""),"",IF(E486="Positivo",MAX(K486/J486,0),MAX(J486/K486,0))),"") </f>
        <v/>
      </c>
      <c r="N486" s="5" t="inlineStr">
        <is>
          <t>%</t>
        </is>
      </c>
      <c r="O486" s="5" t="inlineStr">
        <is>
          <t>%</t>
        </is>
      </c>
      <c r="P486" s="5" t="n">
        <v>0</v>
      </c>
      <c r="Q486" s="5" t="n">
        <v>0</v>
      </c>
      <c r="R486" s="5" t="inlineStr">
        <is>
          <t>225-2025-06-30</t>
        </is>
      </c>
    </row>
    <row r="487">
      <c r="A487" s="26" t="n">
        <v>225</v>
      </c>
      <c r="B487" s="5" t="inlineStr">
        <is>
          <t>Acciones para el Cuidado y Mantenimiento de las Especies de Flora y el Suelo de las Áreas Naturales</t>
        </is>
      </c>
      <c r="C487" s="5" t="inlineStr">
        <is>
          <t>GESTIÓN AMBIENTAL</t>
        </is>
      </c>
      <c r="D487" s="5" t="inlineStr">
        <is>
          <t>Mensual</t>
        </is>
      </c>
      <c r="E487" s="5" t="inlineStr">
        <is>
          <t>Positivo</t>
        </is>
      </c>
      <c r="F487" s="107" t="n">
        <v>46022</v>
      </c>
      <c r="G487" s="5" t="n">
        <v>2025</v>
      </c>
      <c r="H487" s="5" t="inlineStr">
        <is>
          <t>Diciembre</t>
        </is>
      </c>
      <c r="I487" s="6" t="inlineStr">
        <is>
          <t>2025-2</t>
        </is>
      </c>
      <c r="J487" s="5" t="n">
        <v>1</v>
      </c>
      <c r="K487" s="5" t="n">
        <v>15</v>
      </c>
      <c r="L487" s="74">
        <f>IFERROR(IF(OR(J487=0,K487=""),"",IF(E487="Positivo",MIN(MAX(K487/J487,0),1.3),MIN(MAX(J487/K487,0),1.3))),"") </f>
        <v/>
      </c>
      <c r="M487" s="14">
        <f>IFERROR(IF(OR(J487=0,K487=""),"",IF(E487="Positivo",MAX(K487/J487,0),MAX(J487/K487,0))),"") </f>
        <v/>
      </c>
      <c r="N487" s="5" t="inlineStr">
        <is>
          <t>%</t>
        </is>
      </c>
      <c r="O487" s="5" t="inlineStr">
        <is>
          <t>%</t>
        </is>
      </c>
      <c r="P487" s="5" t="n">
        <v>0</v>
      </c>
      <c r="Q487" s="5" t="n">
        <v>0</v>
      </c>
      <c r="R487" s="5" t="inlineStr">
        <is>
          <t>225-2025-12-31</t>
        </is>
      </c>
    </row>
    <row r="488">
      <c r="A488" s="28" t="n">
        <v>226</v>
      </c>
      <c r="B488" s="5" t="inlineStr">
        <is>
          <t>Generación de Gases de Efecto Invernadero</t>
        </is>
      </c>
      <c r="C488" s="5" t="inlineStr">
        <is>
          <t>GESTIÓN AMBIENTAL</t>
        </is>
      </c>
      <c r="D488" s="5" t="inlineStr">
        <is>
          <t>Anual</t>
        </is>
      </c>
      <c r="E488" s="5" t="inlineStr">
        <is>
          <t>Positivo</t>
        </is>
      </c>
      <c r="F488" s="107" t="n">
        <v>44926</v>
      </c>
      <c r="G488" s="5" t="n">
        <v>2022</v>
      </c>
      <c r="H488" s="5" t="inlineStr">
        <is>
          <t>Diciembre</t>
        </is>
      </c>
      <c r="I488" s="6" t="inlineStr">
        <is>
          <t>2022-2</t>
        </is>
      </c>
      <c r="J488" s="11" t="n">
        <v>2</v>
      </c>
      <c r="K488" s="5" t="n">
        <v>476.4899959564209</v>
      </c>
      <c r="L488" s="74">
        <f>IFERROR(IF(OR(J488=0,K488=""),"",IF(E488="Positivo",MIN(MAX(K488/J488,0),1.3),MIN(MAX(J488/K488,0),1.3))),"") </f>
        <v/>
      </c>
      <c r="M488" s="14">
        <f>IFERROR(IF(OR(J488=0,K488=""),"",IF(E488="Positivo",MAX(K488/J488,0),MAX(J488/K488,0))),"") </f>
        <v/>
      </c>
      <c r="N488" s="11" t="inlineStr">
        <is>
          <t>tCO2e</t>
        </is>
      </c>
      <c r="O488" s="11" t="inlineStr">
        <is>
          <t>tCO2e</t>
        </is>
      </c>
      <c r="P488" s="5" t="n">
        <v>0</v>
      </c>
      <c r="Q488" s="5" t="n">
        <v>0</v>
      </c>
      <c r="R488" s="5" t="inlineStr">
        <is>
          <t>226-2022-12-31</t>
        </is>
      </c>
    </row>
    <row r="489">
      <c r="A489" s="26" t="n">
        <v>226</v>
      </c>
      <c r="B489" s="5" t="inlineStr">
        <is>
          <t>Generación de Gases de Efecto Invernadero</t>
        </is>
      </c>
      <c r="C489" s="5" t="inlineStr">
        <is>
          <t>GESTIÓN AMBIENTAL</t>
        </is>
      </c>
      <c r="D489" s="5" t="inlineStr">
        <is>
          <t>Anual</t>
        </is>
      </c>
      <c r="E489" s="5" t="inlineStr">
        <is>
          <t>Positivo</t>
        </is>
      </c>
      <c r="F489" s="107" t="n">
        <v>45291</v>
      </c>
      <c r="G489" s="5" t="n">
        <v>2023</v>
      </c>
      <c r="H489" s="5" t="inlineStr">
        <is>
          <t>Diciembre</t>
        </is>
      </c>
      <c r="I489" s="6" t="inlineStr">
        <is>
          <t>2023-2</t>
        </is>
      </c>
      <c r="J489" s="11" t="n">
        <v>2</v>
      </c>
      <c r="K489" s="5" t="n">
        <v>622.6900000000001</v>
      </c>
      <c r="L489" s="74">
        <f>IFERROR(IF(OR(J489=0,K489=""),"",IF(E489="Positivo",MIN(MAX(K489/J489,0),1.3),MIN(MAX(J489/K489,0),1.3))),"") </f>
        <v/>
      </c>
      <c r="M489" s="14">
        <f>IFERROR(IF(OR(J489=0,K489=""),"",IF(E489="Positivo",MAX(K489/J489,0),MAX(J489/K489,0))),"") </f>
        <v/>
      </c>
      <c r="N489" s="11" t="n"/>
      <c r="O489" s="11" t="n"/>
      <c r="P489" s="5" t="n">
        <v>0</v>
      </c>
      <c r="Q489" s="5" t="n">
        <v>0</v>
      </c>
      <c r="R489" s="5" t="inlineStr">
        <is>
          <t>226-2023-12-31</t>
        </is>
      </c>
    </row>
    <row r="490">
      <c r="A490" s="5" t="n">
        <v>226</v>
      </c>
      <c r="B490" s="5" t="inlineStr">
        <is>
          <t>Generación de Gases de Efecto Invernadero</t>
        </is>
      </c>
      <c r="C490" s="5" t="inlineStr">
        <is>
          <t>GESTIÓN AMBIENTAL</t>
        </is>
      </c>
      <c r="D490" s="5" t="inlineStr">
        <is>
          <t>Anual</t>
        </is>
      </c>
      <c r="E490" s="5" t="inlineStr">
        <is>
          <t>Positivo</t>
        </is>
      </c>
      <c r="F490" s="107" t="n">
        <v>45657</v>
      </c>
      <c r="G490" s="5" t="n">
        <v>2024</v>
      </c>
      <c r="H490" s="5" t="inlineStr">
        <is>
          <t>Diciembre</t>
        </is>
      </c>
      <c r="I490" s="6" t="inlineStr">
        <is>
          <t>2024-2</t>
        </is>
      </c>
      <c r="J490" s="5" t="n">
        <v>2</v>
      </c>
      <c r="K490" s="5" t="n">
        <v>3531.11</v>
      </c>
      <c r="L490" s="14">
        <f>IFERROR(IF(OR(J490=0,K490=""),"",IF(E490="Positivo",MIN(MAX(K490/J490,0),1.3),MIN(MAX(J490/K490,0),1.3))),"") </f>
        <v/>
      </c>
      <c r="M490" s="14">
        <f>IFERROR(IF(OR(J490=0,K490=""),"",IF(E490="Positivo",MAX(K490/J490,0),MAX(J490/K490,0))),"") </f>
        <v/>
      </c>
      <c r="N490" s="11" t="n"/>
      <c r="O490" s="11" t="n"/>
      <c r="P490" s="5" t="n">
        <v>0</v>
      </c>
      <c r="Q490" s="5" t="n">
        <v>0</v>
      </c>
      <c r="R490" s="5" t="inlineStr">
        <is>
          <t>226-2024-12-31</t>
        </is>
      </c>
    </row>
    <row r="491">
      <c r="A491" s="5" t="n">
        <v>226</v>
      </c>
      <c r="B491" s="5" t="inlineStr">
        <is>
          <t>Generación de Gases de Efecto Invernadero</t>
        </is>
      </c>
      <c r="C491" s="5" t="inlineStr">
        <is>
          <t>GESTIÓN AMBIENTAL</t>
        </is>
      </c>
      <c r="D491" s="5" t="inlineStr">
        <is>
          <t>Anual</t>
        </is>
      </c>
      <c r="E491" s="5" t="inlineStr">
        <is>
          <t>Positivo</t>
        </is>
      </c>
      <c r="F491" s="107" t="n">
        <v>46022</v>
      </c>
      <c r="G491" s="5" t="n">
        <v>2025</v>
      </c>
      <c r="H491" s="5" t="inlineStr">
        <is>
          <t>Diciembre</t>
        </is>
      </c>
      <c r="I491" s="6" t="inlineStr">
        <is>
          <t>2025-2</t>
        </is>
      </c>
      <c r="J491" s="5" t="n">
        <v>2</v>
      </c>
      <c r="K491" s="5" t="n"/>
      <c r="L491" s="14" t="n"/>
      <c r="M491" s="14" t="n"/>
      <c r="N491" s="11" t="inlineStr">
        <is>
          <t>%</t>
        </is>
      </c>
      <c r="O491" s="11" t="inlineStr">
        <is>
          <t>No Aplica</t>
        </is>
      </c>
      <c r="P491" s="5" t="n">
        <v>0</v>
      </c>
      <c r="Q491" s="5" t="n">
        <v>0</v>
      </c>
      <c r="R491" s="5" t="inlineStr">
        <is>
          <t>226-2025-12-31</t>
        </is>
      </c>
      <c r="S491" t="inlineStr">
        <is>
          <t>No Aplica</t>
        </is>
      </c>
    </row>
    <row r="492">
      <c r="A492" s="28" t="n">
        <v>227</v>
      </c>
      <c r="B492" s="5" t="inlineStr">
        <is>
          <t>Generación de  Gases de Efecto Invernadero per Cápita</t>
        </is>
      </c>
      <c r="C492" s="5" t="inlineStr">
        <is>
          <t>GESTIÓN AMBIENTAL</t>
        </is>
      </c>
      <c r="D492" s="5" t="inlineStr">
        <is>
          <t>Anual</t>
        </is>
      </c>
      <c r="E492" s="5" t="inlineStr">
        <is>
          <t>Negativo</t>
        </is>
      </c>
      <c r="F492" s="107" t="n">
        <v>44926</v>
      </c>
      <c r="G492" s="5" t="n">
        <v>2022</v>
      </c>
      <c r="H492" s="5" t="inlineStr">
        <is>
          <t>Diciembre</t>
        </is>
      </c>
      <c r="I492" s="6" t="inlineStr">
        <is>
          <t>2022-2</t>
        </is>
      </c>
      <c r="J492" s="5" t="n">
        <v>0.3</v>
      </c>
      <c r="K492" s="5" t="n">
        <v>0.01</v>
      </c>
      <c r="L492" s="74">
        <f>IFERROR(IF(OR(J492=0,K492=""),"",IF(E492="Positivo",MIN(MAX(K492/J492,0),1.3),MIN(MAX(J492/K492,0),1.3))),"") </f>
        <v/>
      </c>
      <c r="M492" s="14">
        <f>IFERROR(IF(OR(J492=0,K492=""),"",IF(E492="Positivo",MAX(K492/J492,0),MAX(J492/K492,0))),"") </f>
        <v/>
      </c>
      <c r="N492" s="5" t="inlineStr">
        <is>
          <t>%</t>
        </is>
      </c>
      <c r="O492" s="5" t="inlineStr">
        <is>
          <t>%</t>
        </is>
      </c>
      <c r="P492" s="5" t="n">
        <v>0</v>
      </c>
      <c r="Q492" s="5" t="n">
        <v>0</v>
      </c>
      <c r="R492" s="5" t="inlineStr">
        <is>
          <t>227-2022-12-31</t>
        </is>
      </c>
    </row>
    <row r="493">
      <c r="A493" s="26" t="n">
        <v>227</v>
      </c>
      <c r="B493" s="5" t="inlineStr">
        <is>
          <t>Generación de  Gases de Efecto Invernadero per Cápita</t>
        </is>
      </c>
      <c r="C493" s="5" t="inlineStr">
        <is>
          <t>GESTIÓN AMBIENTAL</t>
        </is>
      </c>
      <c r="D493" s="5" t="inlineStr">
        <is>
          <t>Anual</t>
        </is>
      </c>
      <c r="E493" s="5" t="inlineStr">
        <is>
          <t>Negativo</t>
        </is>
      </c>
      <c r="F493" s="107" t="n">
        <v>45291</v>
      </c>
      <c r="G493" s="5" t="n">
        <v>2023</v>
      </c>
      <c r="H493" s="5" t="inlineStr">
        <is>
          <t>Diciembre</t>
        </is>
      </c>
      <c r="I493" s="6" t="inlineStr">
        <is>
          <t>2023-2</t>
        </is>
      </c>
      <c r="J493" s="5" t="n">
        <v>0.3</v>
      </c>
      <c r="K493" s="5" t="n">
        <v>0.01</v>
      </c>
      <c r="L493" s="74">
        <f>IFERROR(IF(OR(J493=0,K493=""),"",IF(E493="Positivo",MIN(MAX(K493/J493,0),1.3),MIN(MAX(J493/K493,0),1.3))),"") </f>
        <v/>
      </c>
      <c r="M493" s="14">
        <f>IFERROR(IF(OR(J493=0,K493=""),"",IF(E493="Positivo",MAX(K493/J493,0),MAX(J493/K493,0))),"") </f>
        <v/>
      </c>
      <c r="N493" s="5" t="n"/>
      <c r="O493" s="5" t="n"/>
      <c r="P493" s="5" t="n">
        <v>0</v>
      </c>
      <c r="Q493" s="5" t="n">
        <v>0</v>
      </c>
      <c r="R493" s="5" t="inlineStr">
        <is>
          <t>227-2023-12-31</t>
        </is>
      </c>
    </row>
    <row r="494">
      <c r="A494" s="5" t="n">
        <v>227</v>
      </c>
      <c r="B494" s="5" t="inlineStr">
        <is>
          <t>Generación de  Gases de Efecto Invernadero per Cápita</t>
        </is>
      </c>
      <c r="C494" s="5" t="inlineStr">
        <is>
          <t>GESTIÓN AMBIENTAL</t>
        </is>
      </c>
      <c r="D494" s="5" t="inlineStr">
        <is>
          <t>Anual</t>
        </is>
      </c>
      <c r="E494" s="5" t="inlineStr">
        <is>
          <t>Negativo</t>
        </is>
      </c>
      <c r="F494" s="107" t="n">
        <v>45657</v>
      </c>
      <c r="G494" s="5" t="n">
        <v>2024</v>
      </c>
      <c r="H494" s="5" t="inlineStr">
        <is>
          <t>Diciembre</t>
        </is>
      </c>
      <c r="I494" s="6" t="inlineStr">
        <is>
          <t>2024-2</t>
        </is>
      </c>
      <c r="J494" s="5" t="n">
        <v>0.3</v>
      </c>
      <c r="K494" s="5" t="n">
        <v>3531.11</v>
      </c>
      <c r="L494" s="14">
        <f>IFERROR(IF(OR(J494=0,K494=""),"",IF(E494="Positivo",MIN(MAX(K494/J494,0),1.3),MIN(MAX(J494/K494,0),1.3))),"") </f>
        <v/>
      </c>
      <c r="M494" s="14">
        <f>IFERROR(IF(OR(J494=0,K494=""),"",IF(E494="Positivo",MAX(K494/J494,0),MAX(J494/K494,0))),"") </f>
        <v/>
      </c>
      <c r="N494" s="5" t="n"/>
      <c r="O494" s="5" t="n"/>
      <c r="P494" s="5" t="n">
        <v>0</v>
      </c>
      <c r="Q494" s="5" t="n">
        <v>0</v>
      </c>
      <c r="R494" s="5" t="inlineStr">
        <is>
          <t>227-2024-12-31</t>
        </is>
      </c>
    </row>
    <row r="495">
      <c r="A495" s="5" t="n">
        <v>227</v>
      </c>
      <c r="B495" s="5" t="inlineStr">
        <is>
          <t>Generación de  Gases de Efecto Invernadero per Cápita</t>
        </is>
      </c>
      <c r="C495" s="5" t="inlineStr">
        <is>
          <t>GESTIÓN AMBIENTAL</t>
        </is>
      </c>
      <c r="D495" s="5" t="inlineStr">
        <is>
          <t>Anual</t>
        </is>
      </c>
      <c r="E495" s="5" t="inlineStr">
        <is>
          <t>Negativo</t>
        </is>
      </c>
      <c r="F495" s="107" t="n">
        <v>46022</v>
      </c>
      <c r="G495" s="5" t="n">
        <v>2025</v>
      </c>
      <c r="H495" s="5" t="inlineStr">
        <is>
          <t>Diciembre</t>
        </is>
      </c>
      <c r="I495" s="6" t="inlineStr">
        <is>
          <t>2025-2</t>
        </is>
      </c>
      <c r="J495" s="5" t="n">
        <v>0.3</v>
      </c>
      <c r="K495" s="5" t="n"/>
      <c r="L495" s="14" t="n"/>
      <c r="M495" s="14" t="n"/>
      <c r="N495" s="5" t="inlineStr">
        <is>
          <t>%</t>
        </is>
      </c>
      <c r="O495" s="5" t="inlineStr">
        <is>
          <t>No Aplica</t>
        </is>
      </c>
      <c r="P495" s="5" t="n">
        <v>0</v>
      </c>
      <c r="Q495" s="5" t="n">
        <v>0</v>
      </c>
      <c r="R495" s="5" t="inlineStr">
        <is>
          <t>227-2025-12-31</t>
        </is>
      </c>
      <c r="S495" t="inlineStr">
        <is>
          <t>No Aplica</t>
        </is>
      </c>
    </row>
    <row r="496">
      <c r="A496" s="28" t="n">
        <v>228</v>
      </c>
      <c r="B496" s="5" t="inlineStr">
        <is>
          <t>Compensación de Gases de Efecto Invernadero</t>
        </is>
      </c>
      <c r="C496" s="5" t="inlineStr">
        <is>
          <t>GESTIÓN AMBIENTAL</t>
        </is>
      </c>
      <c r="D496" s="5" t="inlineStr">
        <is>
          <t>Anual</t>
        </is>
      </c>
      <c r="E496" s="5" t="inlineStr">
        <is>
          <t>Positivo</t>
        </is>
      </c>
      <c r="F496" s="107" t="n">
        <v>44926</v>
      </c>
      <c r="G496" s="5" t="n">
        <v>2022</v>
      </c>
      <c r="H496" s="5" t="inlineStr">
        <is>
          <t>Diciembre</t>
        </is>
      </c>
      <c r="I496" s="6" t="inlineStr">
        <is>
          <t>2022-2</t>
        </is>
      </c>
      <c r="J496" s="5" t="n">
        <v>100</v>
      </c>
      <c r="K496" s="5" t="n">
        <v>100.1070326764465</v>
      </c>
      <c r="L496" s="74">
        <f>IFERROR(IF(OR(J496=0,K496=""),"",IF(E496="Positivo",MIN(MAX(K496/J496,0),1.3),MIN(MAX(J496/K496,0),1.3))),"") </f>
        <v/>
      </c>
      <c r="M496" s="14">
        <f>IFERROR(IF(OR(J496=0,K496=""),"",IF(E496="Positivo",MAX(K496/J496,0),MAX(J496/K496,0))),"") </f>
        <v/>
      </c>
      <c r="N496" s="5" t="n"/>
      <c r="O496" s="5" t="n"/>
      <c r="P496" s="5" t="n">
        <v>1</v>
      </c>
      <c r="Q496" s="5" t="n">
        <v>1</v>
      </c>
      <c r="R496" s="5" t="inlineStr">
        <is>
          <t>228-2022-12-31</t>
        </is>
      </c>
    </row>
    <row r="497">
      <c r="A497" s="26" t="n">
        <v>228</v>
      </c>
      <c r="B497" s="5" t="inlineStr">
        <is>
          <t>Compensación de Gases de Efecto Invernadero</t>
        </is>
      </c>
      <c r="C497" s="5" t="inlineStr">
        <is>
          <t>GESTIÓN AMBIENTAL</t>
        </is>
      </c>
      <c r="D497" s="5" t="inlineStr">
        <is>
          <t>Anual</t>
        </is>
      </c>
      <c r="E497" s="5" t="inlineStr">
        <is>
          <t>Positivo</t>
        </is>
      </c>
      <c r="F497" s="107" t="n">
        <v>45291</v>
      </c>
      <c r="G497" s="5" t="n">
        <v>2023</v>
      </c>
      <c r="H497" s="5" t="inlineStr">
        <is>
          <t>Diciembre</t>
        </is>
      </c>
      <c r="I497" s="6" t="inlineStr">
        <is>
          <t>2023-2</t>
        </is>
      </c>
      <c r="J497" s="5" t="n">
        <v>100</v>
      </c>
      <c r="K497" s="5" t="n">
        <v>100</v>
      </c>
      <c r="L497" s="74">
        <f>IFERROR(IF(OR(J497=0,K497=""),"",IF(E497="Positivo",MIN(MAX(K497/J497,0),1.3),MIN(MAX(J497/K497,0),1.3))),"") </f>
        <v/>
      </c>
      <c r="M497" s="14">
        <f>IFERROR(IF(OR(J497=0,K497=""),"",IF(E497="Positivo",MAX(K497/J497,0),MAX(J497/K497,0))),"") </f>
        <v/>
      </c>
      <c r="N497" s="5" t="inlineStr">
        <is>
          <t>tCO2e</t>
        </is>
      </c>
      <c r="O497" s="5" t="inlineStr">
        <is>
          <t>tCO2e</t>
        </is>
      </c>
      <c r="P497" s="5" t="n">
        <v>1</v>
      </c>
      <c r="Q497" s="5" t="n">
        <v>1</v>
      </c>
      <c r="R497" s="5" t="inlineStr">
        <is>
          <t>228-2023-12-31</t>
        </is>
      </c>
    </row>
    <row r="498">
      <c r="A498" s="28" t="n">
        <v>228</v>
      </c>
      <c r="B498" s="5" t="inlineStr">
        <is>
          <t>Compensación de Gases de Efecto Invernadero</t>
        </is>
      </c>
      <c r="C498" s="5" t="inlineStr">
        <is>
          <t>GESTIÓN AMBIENTAL</t>
        </is>
      </c>
      <c r="D498" s="5" t="inlineStr">
        <is>
          <t>Anual</t>
        </is>
      </c>
      <c r="E498" s="5" t="inlineStr">
        <is>
          <t>Positivo</t>
        </is>
      </c>
      <c r="F498" s="107" t="n">
        <v>45657</v>
      </c>
      <c r="G498" s="5" t="n">
        <v>2024</v>
      </c>
      <c r="H498" s="5" t="inlineStr">
        <is>
          <t>Diciembre</t>
        </is>
      </c>
      <c r="I498" s="6" t="inlineStr">
        <is>
          <t>2024-2</t>
        </is>
      </c>
      <c r="J498" s="5" t="n">
        <v>100</v>
      </c>
      <c r="K498" s="5" t="n">
        <v>3531.11</v>
      </c>
      <c r="L498" s="74">
        <f>IFERROR(IF(OR(J498=0,K498=""),"",IF(E498="Positivo",MIN(MAX(K498/J498,0),1.3),MIN(MAX(J498/K498,0),1.3))),"") </f>
        <v/>
      </c>
      <c r="M498" s="14">
        <f>IFERROR(IF(OR(J498=0,K498=""),"",IF(E498="Positivo",MAX(K498/J498,0),MAX(J498/K498,0))),"") </f>
        <v/>
      </c>
      <c r="N498" s="5" t="n"/>
      <c r="O498" s="5" t="n"/>
      <c r="P498" s="5" t="n">
        <v>0</v>
      </c>
      <c r="Q498" s="5" t="n">
        <v>0</v>
      </c>
      <c r="R498" s="5" t="inlineStr">
        <is>
          <t>228-2024-12-31</t>
        </is>
      </c>
    </row>
    <row r="499">
      <c r="A499" s="26" t="n">
        <v>230</v>
      </c>
      <c r="B499" s="5" t="inlineStr">
        <is>
          <t>Ejecución de Eventos de Formación en Materia Ambiental</t>
        </is>
      </c>
      <c r="C499" s="5" t="inlineStr">
        <is>
          <t>GESTIÓN AMBIENTAL</t>
        </is>
      </c>
      <c r="D499" s="5" t="inlineStr">
        <is>
          <t>Semestral</t>
        </is>
      </c>
      <c r="E499" s="5" t="inlineStr">
        <is>
          <t>Positivo</t>
        </is>
      </c>
      <c r="F499" s="107" t="n">
        <v>45107</v>
      </c>
      <c r="G499" s="5" t="n">
        <v>2023</v>
      </c>
      <c r="H499" s="5" t="inlineStr">
        <is>
          <t>Junio</t>
        </is>
      </c>
      <c r="I499" s="6" t="inlineStr">
        <is>
          <t>2023-1</t>
        </is>
      </c>
      <c r="J499" s="5" t="n">
        <v>90</v>
      </c>
      <c r="K499" s="5" t="n">
        <v>100</v>
      </c>
      <c r="L499" s="74">
        <f>IFERROR(IF(OR(J499=0,K499=""),"",IF(E499="Positivo",MIN(MAX(K499/J499,0),1.3),MIN(MAX(J499/K499,0),1.3))),"") </f>
        <v/>
      </c>
      <c r="M499" s="14">
        <f>IFERROR(IF(OR(J499=0,K499=""),"",IF(E499="Positivo",MAX(K499/J499,0),MAX(J499/K499,0))),"") </f>
        <v/>
      </c>
      <c r="N499" s="5" t="n"/>
      <c r="O499" s="5" t="n"/>
      <c r="P499" s="5" t="n">
        <v>0</v>
      </c>
      <c r="Q499" s="5" t="n">
        <v>0</v>
      </c>
      <c r="R499" s="5" t="inlineStr">
        <is>
          <t>230-2023-06-30</t>
        </is>
      </c>
    </row>
    <row r="500">
      <c r="A500" s="5" t="n">
        <v>230</v>
      </c>
      <c r="B500" s="5" t="inlineStr">
        <is>
          <t>Ejecución de Eventos de Formación en Materia Ambiental</t>
        </is>
      </c>
      <c r="C500" s="5" t="inlineStr">
        <is>
          <t>GESTIÓN AMBIENTAL</t>
        </is>
      </c>
      <c r="D500" s="5" t="inlineStr">
        <is>
          <t>Semestral</t>
        </is>
      </c>
      <c r="E500" s="5" t="inlineStr">
        <is>
          <t>Positivo</t>
        </is>
      </c>
      <c r="F500" s="107" t="n">
        <v>45291</v>
      </c>
      <c r="G500" s="5" t="n">
        <v>2023</v>
      </c>
      <c r="H500" s="5" t="inlineStr">
        <is>
          <t>Diciembre</t>
        </is>
      </c>
      <c r="I500" s="6" t="inlineStr">
        <is>
          <t>2023-2</t>
        </is>
      </c>
      <c r="J500" s="5" t="n">
        <v>90</v>
      </c>
      <c r="K500" s="5" t="n">
        <v>100</v>
      </c>
      <c r="L500" s="14">
        <f>IFERROR(IF(OR(J500=0,K500=""),"",IF(E500="Positivo",MIN(MAX(K500/J500,0),1.3),MIN(MAX(J500/K500,0),1.3))),"") </f>
        <v/>
      </c>
      <c r="M500" s="14">
        <f>IFERROR(IF(OR(J500=0,K500=""),"",IF(E500="Positivo",MAX(K500/J500,0),MAX(J500/K500,0))),"") </f>
        <v/>
      </c>
      <c r="N500" s="5" t="n"/>
      <c r="O500" s="5" t="n"/>
      <c r="P500" s="5" t="n">
        <v>0</v>
      </c>
      <c r="Q500" s="5" t="n">
        <v>0</v>
      </c>
      <c r="R500" s="5" t="inlineStr">
        <is>
          <t>230-2023-12-31</t>
        </is>
      </c>
    </row>
    <row r="501">
      <c r="A501" s="5" t="n">
        <v>230</v>
      </c>
      <c r="B501" s="5" t="inlineStr">
        <is>
          <t>Ejecución de Eventos de Formación en Materia Ambiental</t>
        </is>
      </c>
      <c r="C501" s="5" t="inlineStr">
        <is>
          <t>GESTIÓN AMBIENTAL</t>
        </is>
      </c>
      <c r="D501" s="5" t="inlineStr">
        <is>
          <t>Semestral</t>
        </is>
      </c>
      <c r="E501" s="5" t="inlineStr">
        <is>
          <t>Positivo</t>
        </is>
      </c>
      <c r="F501" s="107" t="n">
        <v>45473</v>
      </c>
      <c r="G501" s="5" t="n">
        <v>2024</v>
      </c>
      <c r="H501" s="5" t="inlineStr">
        <is>
          <t>Junio</t>
        </is>
      </c>
      <c r="I501" s="6" t="inlineStr">
        <is>
          <t>2024-1</t>
        </is>
      </c>
      <c r="J501" s="5" t="n">
        <v>90</v>
      </c>
      <c r="K501" s="5" t="n">
        <v>100</v>
      </c>
      <c r="L501" s="14">
        <f>IFERROR(IF(OR(J501=0,K501=""),"",IF(E501="Positivo",MIN(MAX(K501/J501,0),1.3),MIN(MAX(J501/K501,0),1.3))),"") </f>
        <v/>
      </c>
      <c r="M501" s="14">
        <f>IFERROR(IF(OR(J501=0,K501=""),"",IF(E501="Positivo",MAX(K501/J501,0),MAX(J501/K501,0))),"") </f>
        <v/>
      </c>
      <c r="N501" s="5" t="n"/>
      <c r="O501" s="5" t="n"/>
      <c r="P501" s="5" t="n">
        <v>0</v>
      </c>
      <c r="Q501" s="5" t="n">
        <v>0</v>
      </c>
      <c r="R501" s="5" t="inlineStr">
        <is>
          <t>230-2024-06-30</t>
        </is>
      </c>
    </row>
    <row r="502">
      <c r="A502" s="28" t="n">
        <v>230</v>
      </c>
      <c r="B502" s="5" t="inlineStr">
        <is>
          <t>Ejecución de Eventos de Formación en Materia Ambiental</t>
        </is>
      </c>
      <c r="C502" s="5" t="inlineStr">
        <is>
          <t>GESTIÓN AMBIENTAL</t>
        </is>
      </c>
      <c r="D502" s="5" t="inlineStr">
        <is>
          <t>Semestral</t>
        </is>
      </c>
      <c r="E502" s="5" t="inlineStr">
        <is>
          <t>Positivo</t>
        </is>
      </c>
      <c r="F502" s="107" t="n">
        <v>45657</v>
      </c>
      <c r="G502" s="5" t="n">
        <v>2024</v>
      </c>
      <c r="H502" s="5" t="inlineStr">
        <is>
          <t>Diciembre</t>
        </is>
      </c>
      <c r="I502" s="6" t="inlineStr">
        <is>
          <t>2024-2</t>
        </is>
      </c>
      <c r="J502" s="5" t="n">
        <v>90</v>
      </c>
      <c r="K502" s="5" t="n">
        <v>100</v>
      </c>
      <c r="L502" s="74">
        <f>IFERROR(IF(OR(J502=0,K502=""),"",IF(E502="Positivo",MIN(MAX(K502/J502,0),1.3),MIN(MAX(J502/K502,0),1.3))),"") </f>
        <v/>
      </c>
      <c r="M502" s="14">
        <f>IFERROR(IF(OR(J502=0,K502=""),"",IF(E502="Positivo",MAX(K502/J502,0),MAX(J502/K502,0))),"") </f>
        <v/>
      </c>
      <c r="N502" s="5" t="n"/>
      <c r="O502" s="5" t="n"/>
      <c r="P502" s="5" t="n">
        <v>0</v>
      </c>
      <c r="Q502" s="5" t="n">
        <v>0</v>
      </c>
      <c r="R502" s="5" t="inlineStr">
        <is>
          <t>230-2024-12-31</t>
        </is>
      </c>
    </row>
    <row r="503">
      <c r="A503" s="26" t="n">
        <v>230</v>
      </c>
      <c r="B503" s="5" t="inlineStr">
        <is>
          <t>Ejecución de Eventos de Formación en Materia Ambiental</t>
        </is>
      </c>
      <c r="C503" s="5" t="inlineStr">
        <is>
          <t>GESTIÓN AMBIENTAL</t>
        </is>
      </c>
      <c r="D503" s="5" t="inlineStr">
        <is>
          <t>Trimestral</t>
        </is>
      </c>
      <c r="E503" s="5" t="inlineStr">
        <is>
          <t>Positivo</t>
        </is>
      </c>
      <c r="F503" s="107" t="n">
        <v>45838</v>
      </c>
      <c r="G503" s="5" t="n">
        <v>2025</v>
      </c>
      <c r="H503" s="5" t="inlineStr">
        <is>
          <t>Junio</t>
        </is>
      </c>
      <c r="I503" s="6" t="inlineStr">
        <is>
          <t>2025-1</t>
        </is>
      </c>
      <c r="J503" s="5" t="n">
        <v>90</v>
      </c>
      <c r="K503" s="5" t="n">
        <v>96.77</v>
      </c>
      <c r="L503" s="74">
        <f>IFERROR(IF(OR(J503=0,K503=""),"",IF(E503="Positivo",MIN(MAX(K503/J503,0),1.3),MIN(MAX(J503/K503,0),1.3))),"") </f>
        <v/>
      </c>
      <c r="M503" s="14">
        <f>IFERROR(IF(OR(J503=0,K503=""),"",IF(E503="Positivo",MAX(K503/J503,0),MAX(J503/K503,0))),"") </f>
        <v/>
      </c>
      <c r="N503" s="5" t="inlineStr">
        <is>
          <t>%</t>
        </is>
      </c>
      <c r="O503" s="5" t="inlineStr">
        <is>
          <t>%</t>
        </is>
      </c>
      <c r="P503" s="5" t="n">
        <v>0</v>
      </c>
      <c r="Q503" s="5" t="n">
        <v>0</v>
      </c>
      <c r="R503" s="5" t="inlineStr">
        <is>
          <t>230-2025-06-30</t>
        </is>
      </c>
    </row>
    <row r="504">
      <c r="A504" s="5" t="n">
        <v>230</v>
      </c>
      <c r="B504" s="5" t="inlineStr">
        <is>
          <t>Ejecución de Eventos de Formación en Materia Ambiental</t>
        </is>
      </c>
      <c r="C504" s="5" t="inlineStr">
        <is>
          <t>GESTIÓN AMBIENTAL</t>
        </is>
      </c>
      <c r="D504" s="5" t="inlineStr">
        <is>
          <t>Trimestral</t>
        </is>
      </c>
      <c r="E504" s="5" t="inlineStr">
        <is>
          <t>Positivo</t>
        </is>
      </c>
      <c r="F504" s="107" t="n">
        <v>46022</v>
      </c>
      <c r="G504" s="5" t="n">
        <v>2025</v>
      </c>
      <c r="H504" s="5" t="inlineStr">
        <is>
          <t>Diciembre</t>
        </is>
      </c>
      <c r="I504" s="6" t="inlineStr">
        <is>
          <t>2025-2</t>
        </is>
      </c>
      <c r="J504" s="5" t="n">
        <v>90</v>
      </c>
      <c r="K504" s="5" t="n">
        <v>96.72</v>
      </c>
      <c r="L504" s="14">
        <f>IFERROR(IF(OR(J504=0,K504=""),"",IF(E504="Positivo",MIN(MAX(K504/J504,0),1.3),MIN(MAX(J504/K504,0),1.3))),"") </f>
        <v/>
      </c>
      <c r="M504" s="14">
        <f>IFERROR(IF(OR(J504=0,K504=""),"",IF(E504="Positivo",MAX(K504/J504,0),MAX(J504/K504,0))),"") </f>
        <v/>
      </c>
      <c r="N504" s="5" t="inlineStr">
        <is>
          <t>%</t>
        </is>
      </c>
      <c r="O504" s="5" t="inlineStr">
        <is>
          <t>%</t>
        </is>
      </c>
      <c r="P504" s="5" t="n">
        <v>0</v>
      </c>
      <c r="Q504" s="5" t="n">
        <v>0</v>
      </c>
      <c r="R504" s="5" t="inlineStr">
        <is>
          <t>230-2025-12-31</t>
        </is>
      </c>
    </row>
    <row r="505">
      <c r="A505" s="5" t="n">
        <v>231</v>
      </c>
      <c r="B505" s="5" t="inlineStr">
        <is>
          <t>Asistencia Eventos de Formación en Materia Ambiental</t>
        </is>
      </c>
      <c r="C505" s="5" t="inlineStr">
        <is>
          <t>GESTIÓN AMBIENTAL</t>
        </is>
      </c>
      <c r="D505" s="5" t="inlineStr">
        <is>
          <t>Semestral</t>
        </is>
      </c>
      <c r="E505" s="5" t="inlineStr">
        <is>
          <t>Positivo</t>
        </is>
      </c>
      <c r="F505" s="107" t="n">
        <v>45107</v>
      </c>
      <c r="G505" s="5" t="n">
        <v>2023</v>
      </c>
      <c r="H505" s="5" t="inlineStr">
        <is>
          <t>Junio</t>
        </is>
      </c>
      <c r="I505" s="6" t="inlineStr">
        <is>
          <t>2023-1</t>
        </is>
      </c>
      <c r="J505" s="5" t="n">
        <v>35</v>
      </c>
      <c r="K505" s="5" t="n">
        <v>40.58</v>
      </c>
      <c r="L505" s="14">
        <f>IFERROR(IF(OR(J505=0,K505=""),"",IF(E505="Positivo",MIN(MAX(K505/J505,0),1.3),MIN(MAX(J505/K505,0),1.3))),"") </f>
        <v/>
      </c>
      <c r="M505" s="14">
        <f>IFERROR(IF(OR(J505=0,K505=""),"",IF(E505="Positivo",MAX(K505/J505,0),MAX(J505/K505,0))),"") </f>
        <v/>
      </c>
      <c r="N505" s="5" t="n"/>
      <c r="O505" s="5" t="n"/>
      <c r="P505" s="5" t="n">
        <v>0</v>
      </c>
      <c r="Q505" s="5" t="n">
        <v>0</v>
      </c>
      <c r="R505" s="5" t="inlineStr">
        <is>
          <t>231-2023-06-30</t>
        </is>
      </c>
    </row>
    <row r="506">
      <c r="A506" s="28" t="n">
        <v>231</v>
      </c>
      <c r="B506" s="5" t="inlineStr">
        <is>
          <t>Asistencia Eventos de Formación en Materia Ambiental</t>
        </is>
      </c>
      <c r="C506" s="5" t="inlineStr">
        <is>
          <t>GESTIÓN AMBIENTAL</t>
        </is>
      </c>
      <c r="D506" s="5" t="inlineStr">
        <is>
          <t>Semestral</t>
        </is>
      </c>
      <c r="E506" s="5" t="inlineStr">
        <is>
          <t>Positivo</t>
        </is>
      </c>
      <c r="F506" s="107" t="n">
        <v>45291</v>
      </c>
      <c r="G506" s="5" t="n">
        <v>2023</v>
      </c>
      <c r="H506" s="5" t="inlineStr">
        <is>
          <t>Diciembre</t>
        </is>
      </c>
      <c r="I506" s="6" t="inlineStr">
        <is>
          <t>2023-2</t>
        </is>
      </c>
      <c r="J506" s="5" t="n">
        <v>35</v>
      </c>
      <c r="K506" s="5" t="n">
        <v>96.44</v>
      </c>
      <c r="L506" s="74">
        <f>IFERROR(IF(OR(J506=0,K506=""),"",IF(E506="Positivo",MIN(MAX(K506/J506,0),1.3),MIN(MAX(J506/K506,0),1.3))),"") </f>
        <v/>
      </c>
      <c r="M506" s="14">
        <f>IFERROR(IF(OR(J506=0,K506=""),"",IF(E506="Positivo",MAX(K506/J506,0),MAX(J506/K506,0))),"") </f>
        <v/>
      </c>
      <c r="N506" s="5" t="n"/>
      <c r="O506" s="5" t="n"/>
      <c r="P506" s="5" t="n">
        <v>0</v>
      </c>
      <c r="Q506" s="5" t="n">
        <v>0</v>
      </c>
      <c r="R506" s="5" t="inlineStr">
        <is>
          <t>231-2023-12-31</t>
        </is>
      </c>
    </row>
    <row r="507">
      <c r="A507" s="26" t="n">
        <v>231</v>
      </c>
      <c r="B507" s="5" t="inlineStr">
        <is>
          <t>Asistencia Eventos de Formación en Materia Ambiental</t>
        </is>
      </c>
      <c r="C507" s="5" t="inlineStr">
        <is>
          <t>GESTIÓN AMBIENTAL</t>
        </is>
      </c>
      <c r="D507" s="5" t="inlineStr">
        <is>
          <t>Semestral</t>
        </is>
      </c>
      <c r="E507" s="5" t="inlineStr">
        <is>
          <t>Positivo</t>
        </is>
      </c>
      <c r="F507" s="107" t="n">
        <v>45473</v>
      </c>
      <c r="G507" s="5" t="n">
        <v>2024</v>
      </c>
      <c r="H507" s="5" t="inlineStr">
        <is>
          <t>Junio</t>
        </is>
      </c>
      <c r="I507" s="6" t="inlineStr">
        <is>
          <t>2024-1</t>
        </is>
      </c>
      <c r="J507" s="5" t="n">
        <v>35</v>
      </c>
      <c r="K507" s="5" t="n">
        <v>96.75</v>
      </c>
      <c r="L507" s="74">
        <f>IFERROR(IF(OR(J507=0,K507=""),"",IF(E507="Positivo",MIN(MAX(K507/J507,0),1.3),MIN(MAX(J507/K507,0),1.3))),"") </f>
        <v/>
      </c>
      <c r="M507" s="14">
        <f>IFERROR(IF(OR(J507=0,K507=""),"",IF(E507="Positivo",MAX(K507/J507,0),MAX(J507/K507,0))),"") </f>
        <v/>
      </c>
      <c r="N507" s="5" t="n"/>
      <c r="O507" s="5" t="n"/>
      <c r="P507" s="5" t="n">
        <v>0</v>
      </c>
      <c r="Q507" s="5" t="n">
        <v>0</v>
      </c>
      <c r="R507" s="5" t="inlineStr">
        <is>
          <t>231-2024-06-30</t>
        </is>
      </c>
    </row>
    <row r="508">
      <c r="A508" s="5" t="n">
        <v>231</v>
      </c>
      <c r="B508" s="5" t="inlineStr">
        <is>
          <t>Asistencia Eventos de Formación en Materia Ambiental</t>
        </is>
      </c>
      <c r="C508" s="5" t="inlineStr">
        <is>
          <t>GESTIÓN AMBIENTAL</t>
        </is>
      </c>
      <c r="D508" s="5" t="inlineStr">
        <is>
          <t>Semestral</t>
        </is>
      </c>
      <c r="E508" s="5" t="inlineStr">
        <is>
          <t>Positivo</t>
        </is>
      </c>
      <c r="F508" s="107" t="n">
        <v>45657</v>
      </c>
      <c r="G508" s="5" t="n">
        <v>2024</v>
      </c>
      <c r="H508" s="5" t="inlineStr">
        <is>
          <t>Diciembre</t>
        </is>
      </c>
      <c r="I508" s="6" t="inlineStr">
        <is>
          <t>2024-2</t>
        </is>
      </c>
      <c r="J508" s="5" t="n">
        <v>35</v>
      </c>
      <c r="K508" s="5" t="n">
        <v>104.19</v>
      </c>
      <c r="L508" s="14">
        <f>IFERROR(IF(OR(J508=0,K508=""),"",IF(E508="Positivo",MIN(MAX(K508/J508,0),1.3),MIN(MAX(J508/K508,0),1.3))),"") </f>
        <v/>
      </c>
      <c r="M508" s="14">
        <f>IFERROR(IF(OR(J508=0,K508=""),"",IF(E508="Positivo",MAX(K508/J508,0),MAX(J508/K508,0))),"") </f>
        <v/>
      </c>
      <c r="N508" s="5" t="n"/>
      <c r="O508" s="5" t="n"/>
      <c r="P508" s="5" t="n">
        <v>0</v>
      </c>
      <c r="Q508" s="5" t="n">
        <v>0</v>
      </c>
      <c r="R508" s="5" t="inlineStr">
        <is>
          <t>231-2024-12-31</t>
        </is>
      </c>
    </row>
    <row r="509">
      <c r="A509" s="5" t="n">
        <v>231</v>
      </c>
      <c r="B509" s="5" t="inlineStr">
        <is>
          <t>Asistencia Eventos de Formación en Materia Ambiental</t>
        </is>
      </c>
      <c r="C509" s="5" t="inlineStr">
        <is>
          <t>GESTIÓN AMBIENTAL</t>
        </is>
      </c>
      <c r="D509" s="5" t="inlineStr">
        <is>
          <t>Trimestral</t>
        </is>
      </c>
      <c r="E509" s="5" t="inlineStr">
        <is>
          <t>Positivo</t>
        </is>
      </c>
      <c r="F509" s="107" t="n">
        <v>45838</v>
      </c>
      <c r="G509" s="5" t="n">
        <v>2025</v>
      </c>
      <c r="H509" s="5" t="inlineStr">
        <is>
          <t>Junio</t>
        </is>
      </c>
      <c r="I509" s="6" t="inlineStr">
        <is>
          <t>2025-1</t>
        </is>
      </c>
      <c r="J509" s="5" t="n">
        <v>35</v>
      </c>
      <c r="K509" s="5" t="n">
        <v>570.89</v>
      </c>
      <c r="L509" s="14">
        <f>IFERROR(IF(OR(J509=0,K509=""),"",IF(E509="Positivo",MIN(MAX(K509/J509,0),1.3),MIN(MAX(J509/K509,0),1.3))),"") </f>
        <v/>
      </c>
      <c r="M509" s="14">
        <f>IFERROR(IF(OR(J509=0,K509=""),"",IF(E509="Positivo",MAX(K509/J509,0),MAX(J509/K509,0))),"") </f>
        <v/>
      </c>
      <c r="N509" s="5" t="inlineStr">
        <is>
          <t>%</t>
        </is>
      </c>
      <c r="O509" s="5" t="inlineStr">
        <is>
          <t>%</t>
        </is>
      </c>
      <c r="P509" s="5" t="n">
        <v>0</v>
      </c>
      <c r="Q509" s="5" t="n">
        <v>0</v>
      </c>
      <c r="R509" s="5" t="inlineStr">
        <is>
          <t>231-2025-06-30</t>
        </is>
      </c>
    </row>
    <row r="510">
      <c r="A510" s="34" t="n">
        <v>231</v>
      </c>
      <c r="B510" s="5" t="inlineStr">
        <is>
          <t>Asistencia Eventos de Formación en Materia Ambiental</t>
        </is>
      </c>
      <c r="C510" s="5" t="inlineStr">
        <is>
          <t>GESTIÓN AMBIENTAL</t>
        </is>
      </c>
      <c r="D510" s="5" t="inlineStr">
        <is>
          <t>Trimestral</t>
        </is>
      </c>
      <c r="E510" s="5" t="inlineStr">
        <is>
          <t>Positivo</t>
        </is>
      </c>
      <c r="F510" s="107" t="n">
        <v>46022</v>
      </c>
      <c r="G510" s="5" t="n">
        <v>2025</v>
      </c>
      <c r="H510" s="5" t="inlineStr">
        <is>
          <t>Diciembre</t>
        </is>
      </c>
      <c r="I510" s="6" t="inlineStr">
        <is>
          <t>2025-2</t>
        </is>
      </c>
      <c r="J510" s="5" t="n">
        <v>35</v>
      </c>
      <c r="K510" s="5" t="n">
        <v>7277.98</v>
      </c>
      <c r="L510" s="74">
        <f>IFERROR(IF(OR(J510=0,K510=""),"",IF(E510="Positivo",MIN(MAX(K510/J510,0),1.3),MIN(MAX(J510/K510,0),1.3))),"") </f>
        <v/>
      </c>
      <c r="M510" s="14">
        <f>IFERROR(IF(OR(J510=0,K510=""),"",IF(E510="Positivo",MAX(K510/J510,0),MAX(J510/K510,0))),"") </f>
        <v/>
      </c>
      <c r="N510" s="5" t="inlineStr">
        <is>
          <t>%</t>
        </is>
      </c>
      <c r="O510" s="5" t="inlineStr">
        <is>
          <t>%</t>
        </is>
      </c>
      <c r="P510" s="5" t="n">
        <v>0</v>
      </c>
      <c r="Q510" s="5" t="n">
        <v>0</v>
      </c>
      <c r="R510" s="5" t="inlineStr">
        <is>
          <t>231-2025-12-31</t>
        </is>
      </c>
    </row>
    <row r="511">
      <c r="A511" s="26" t="n">
        <v>232</v>
      </c>
      <c r="B511" s="5" t="inlineStr">
        <is>
          <t>Ejecución de las Comunicaciones en Materia Ambiental</t>
        </is>
      </c>
      <c r="C511" s="5" t="inlineStr">
        <is>
          <t>GESTIÓN AMBIENTAL</t>
        </is>
      </c>
      <c r="D511" s="5" t="inlineStr">
        <is>
          <t>Semestral</t>
        </is>
      </c>
      <c r="E511" s="5" t="inlineStr">
        <is>
          <t>Positivo</t>
        </is>
      </c>
      <c r="F511" s="107" t="n">
        <v>45107</v>
      </c>
      <c r="G511" s="5" t="n">
        <v>2023</v>
      </c>
      <c r="H511" s="5" t="inlineStr">
        <is>
          <t>Junio</t>
        </is>
      </c>
      <c r="I511" s="6" t="inlineStr">
        <is>
          <t>2023-1</t>
        </is>
      </c>
      <c r="J511" s="5" t="n">
        <v>90</v>
      </c>
      <c r="K511" s="5" t="n">
        <v>100</v>
      </c>
      <c r="L511" s="74">
        <f>IFERROR(IF(OR(J511=0,K511=""),"",IF(E511="Positivo",MIN(MAX(K511/J511,0),1.3),MIN(MAX(J511/K511,0),1.3))),"") </f>
        <v/>
      </c>
      <c r="M511" s="14">
        <f>IFERROR(IF(OR(J511=0,K511=""),"",IF(E511="Positivo",MAX(K511/J511,0),MAX(J511/K511,0))),"") </f>
        <v/>
      </c>
      <c r="N511" s="5" t="n"/>
      <c r="O511" s="5" t="n"/>
      <c r="P511" s="5" t="n">
        <v>0</v>
      </c>
      <c r="Q511" s="5" t="n">
        <v>0</v>
      </c>
      <c r="R511" s="5" t="inlineStr">
        <is>
          <t>232-2023-06-30</t>
        </is>
      </c>
    </row>
    <row r="512">
      <c r="A512" s="28" t="n">
        <v>232</v>
      </c>
      <c r="B512" s="5" t="inlineStr">
        <is>
          <t>Ejecución de las Comunicaciones en Materia Ambiental</t>
        </is>
      </c>
      <c r="C512" s="5" t="inlineStr">
        <is>
          <t>GESTIÓN AMBIENTAL</t>
        </is>
      </c>
      <c r="D512" s="5" t="inlineStr">
        <is>
          <t>Semestral</t>
        </is>
      </c>
      <c r="E512" s="5" t="inlineStr">
        <is>
          <t>Positivo</t>
        </is>
      </c>
      <c r="F512" s="107" t="n">
        <v>45291</v>
      </c>
      <c r="G512" s="5" t="n">
        <v>2023</v>
      </c>
      <c r="H512" s="5" t="inlineStr">
        <is>
          <t>Diciembre</t>
        </is>
      </c>
      <c r="I512" s="6" t="inlineStr">
        <is>
          <t>2023-2</t>
        </is>
      </c>
      <c r="J512" s="5" t="n">
        <v>90</v>
      </c>
      <c r="K512" s="5" t="n">
        <v>91.3</v>
      </c>
      <c r="L512" s="74">
        <f>IFERROR(IF(OR(J512=0,K512=""),"",IF(E512="Positivo",MIN(MAX(K512/J512,0),1.3),MIN(MAX(J512/K512,0),1.3))),"") </f>
        <v/>
      </c>
      <c r="M512" s="14">
        <f>IFERROR(IF(OR(J512=0,K512=""),"",IF(E512="Positivo",MAX(K512/J512,0),MAX(J512/K512,0))),"") </f>
        <v/>
      </c>
      <c r="N512" s="5" t="n"/>
      <c r="O512" s="5" t="n"/>
      <c r="P512" s="5" t="n">
        <v>0</v>
      </c>
      <c r="Q512" s="5" t="n">
        <v>0</v>
      </c>
      <c r="R512" s="5" t="inlineStr">
        <is>
          <t>232-2023-12-31</t>
        </is>
      </c>
    </row>
    <row r="513">
      <c r="A513" s="26" t="n">
        <v>232</v>
      </c>
      <c r="B513" s="5" t="inlineStr">
        <is>
          <t>Ejecución de las Comunicaciones en Materia Ambiental</t>
        </is>
      </c>
      <c r="C513" s="5" t="inlineStr">
        <is>
          <t>GESTIÓN AMBIENTAL</t>
        </is>
      </c>
      <c r="D513" s="5" t="inlineStr">
        <is>
          <t>Semestral</t>
        </is>
      </c>
      <c r="E513" s="5" t="inlineStr">
        <is>
          <t>Positivo</t>
        </is>
      </c>
      <c r="F513" s="107" t="n">
        <v>45473</v>
      </c>
      <c r="G513" s="5" t="n">
        <v>2024</v>
      </c>
      <c r="H513" s="5" t="inlineStr">
        <is>
          <t>Junio</t>
        </is>
      </c>
      <c r="I513" s="6" t="inlineStr">
        <is>
          <t>2024-1</t>
        </is>
      </c>
      <c r="J513" s="5" t="n">
        <v>90</v>
      </c>
      <c r="K513" s="5" t="n">
        <v>95.45</v>
      </c>
      <c r="L513" s="74">
        <f>IFERROR(IF(OR(J513=0,K513=""),"",IF(E513="Positivo",MIN(MAX(K513/J513,0),1.3),MIN(MAX(J513/K513,0),1.3))),"") </f>
        <v/>
      </c>
      <c r="M513" s="14">
        <f>IFERROR(IF(OR(J513=0,K513=""),"",IF(E513="Positivo",MAX(K513/J513,0),MAX(J513/K513,0))),"") </f>
        <v/>
      </c>
      <c r="N513" s="5" t="n"/>
      <c r="O513" s="5" t="n"/>
      <c r="P513" s="5" t="n">
        <v>0</v>
      </c>
      <c r="Q513" s="5" t="n">
        <v>0</v>
      </c>
      <c r="R513" s="5" t="inlineStr">
        <is>
          <t>232-2024-06-30</t>
        </is>
      </c>
    </row>
    <row r="514">
      <c r="A514" s="5" t="n">
        <v>232</v>
      </c>
      <c r="B514" s="5" t="inlineStr">
        <is>
          <t>Ejecución de las Comunicaciones en Materia Ambiental</t>
        </is>
      </c>
      <c r="C514" s="5" t="inlineStr">
        <is>
          <t>GESTIÓN AMBIENTAL</t>
        </is>
      </c>
      <c r="D514" s="5" t="inlineStr">
        <is>
          <t>Semestral</t>
        </is>
      </c>
      <c r="E514" s="5" t="inlineStr">
        <is>
          <t>Positivo</t>
        </is>
      </c>
      <c r="F514" s="107" t="n">
        <v>45657</v>
      </c>
      <c r="G514" s="5" t="n">
        <v>2024</v>
      </c>
      <c r="H514" s="5" t="inlineStr">
        <is>
          <t>Diciembre</t>
        </is>
      </c>
      <c r="I514" s="6" t="inlineStr">
        <is>
          <t>2024-2</t>
        </is>
      </c>
      <c r="J514" s="5" t="n">
        <v>90</v>
      </c>
      <c r="K514" s="5" t="n">
        <v>100</v>
      </c>
      <c r="L514" s="14">
        <f>IFERROR(IF(OR(J514=0,K514=""),"",IF(E514="Positivo",MIN(MAX(K514/J514,0),1.3),MIN(MAX(J514/K514,0),1.3))),"") </f>
        <v/>
      </c>
      <c r="M514" s="14">
        <f>IFERROR(IF(OR(J514=0,K514=""),"",IF(E514="Positivo",MAX(K514/J514,0),MAX(J514/K514,0))),"") </f>
        <v/>
      </c>
      <c r="N514" s="5" t="n"/>
      <c r="O514" s="5" t="n"/>
      <c r="P514" s="5" t="n">
        <v>0</v>
      </c>
      <c r="Q514" s="5" t="n">
        <v>0</v>
      </c>
      <c r="R514" s="5" t="inlineStr">
        <is>
          <t>232-2024-12-31</t>
        </is>
      </c>
    </row>
    <row r="515">
      <c r="A515" s="5" t="n">
        <v>232</v>
      </c>
      <c r="B515" s="5" t="inlineStr">
        <is>
          <t>Ejecución de las Comunicaciones en Materia Ambiental</t>
        </is>
      </c>
      <c r="C515" s="5" t="inlineStr">
        <is>
          <t>GESTIÓN AMBIENTAL</t>
        </is>
      </c>
      <c r="D515" s="5" t="inlineStr">
        <is>
          <t>Trimestral</t>
        </is>
      </c>
      <c r="E515" s="5" t="inlineStr">
        <is>
          <t>Positivo</t>
        </is>
      </c>
      <c r="F515" s="107" t="n">
        <v>45838</v>
      </c>
      <c r="G515" s="5" t="n">
        <v>2025</v>
      </c>
      <c r="H515" s="5" t="inlineStr">
        <is>
          <t>Junio</t>
        </is>
      </c>
      <c r="I515" s="6" t="inlineStr">
        <is>
          <t>2025-1</t>
        </is>
      </c>
      <c r="J515" s="5" t="n">
        <v>90</v>
      </c>
      <c r="K515" s="5" t="n">
        <v>85.70999999999999</v>
      </c>
      <c r="L515" s="14">
        <f>IFERROR(IF(OR(J515=0,K515=""),"",IF(E515="Positivo",MIN(MAX(K515/J515,0),1.3),MIN(MAX(J515/K515,0),1.3))),"") </f>
        <v/>
      </c>
      <c r="M515" s="14">
        <f>IFERROR(IF(OR(J515=0,K515=""),"",IF(E515="Positivo",MAX(K515/J515,0),MAX(J515/K515,0))),"") </f>
        <v/>
      </c>
      <c r="N515" s="5" t="inlineStr">
        <is>
          <t>%</t>
        </is>
      </c>
      <c r="O515" s="5" t="inlineStr">
        <is>
          <t>%</t>
        </is>
      </c>
      <c r="P515" s="5" t="n">
        <v>0</v>
      </c>
      <c r="Q515" s="5" t="n">
        <v>0</v>
      </c>
      <c r="R515" s="5" t="inlineStr">
        <is>
          <t>232-2025-06-30</t>
        </is>
      </c>
    </row>
    <row r="516">
      <c r="A516" s="5" t="n">
        <v>232</v>
      </c>
      <c r="B516" s="5" t="inlineStr">
        <is>
          <t>Ejecución de las Comunicaciones en Materia Ambiental</t>
        </is>
      </c>
      <c r="C516" s="5" t="inlineStr">
        <is>
          <t>GESTIÓN AMBIENTAL</t>
        </is>
      </c>
      <c r="D516" s="5" t="inlineStr">
        <is>
          <t>Trimestral</t>
        </is>
      </c>
      <c r="E516" s="5" t="inlineStr">
        <is>
          <t>Positivo</t>
        </is>
      </c>
      <c r="F516" s="107" t="n">
        <v>46022</v>
      </c>
      <c r="G516" s="15" t="n">
        <v>2025</v>
      </c>
      <c r="H516" s="6" t="inlineStr">
        <is>
          <t>Diciembre</t>
        </is>
      </c>
      <c r="I516" s="6" t="inlineStr">
        <is>
          <t>2025-2</t>
        </is>
      </c>
      <c r="J516" s="5" t="n">
        <v>90</v>
      </c>
      <c r="K516" s="5" t="n">
        <v>80.84999999999999</v>
      </c>
      <c r="L516" s="74">
        <f>IFERROR(IF(OR(J516=0,K516=""),"",IF(E516="Positivo",MIN(MAX(K516/J516,0),1.3),MIN(MAX(J516/K516,0),1.3))),"") </f>
        <v/>
      </c>
      <c r="M516" s="14">
        <f>IFERROR(IF(OR(J516=0,K516=""),"",IF(E516="Positivo",MAX(K516/J516,0),MAX(J516/K516,0))),"") </f>
        <v/>
      </c>
      <c r="N516" s="5" t="inlineStr">
        <is>
          <t>%</t>
        </is>
      </c>
      <c r="O516" s="5" t="inlineStr">
        <is>
          <t>%</t>
        </is>
      </c>
      <c r="P516" s="5" t="n">
        <v>0</v>
      </c>
      <c r="Q516" s="5" t="n">
        <v>0</v>
      </c>
      <c r="R516" s="5" t="inlineStr">
        <is>
          <t>232-2025-12-31</t>
        </is>
      </c>
    </row>
    <row r="517">
      <c r="A517" s="26" t="n">
        <v>233</v>
      </c>
      <c r="B517" s="5" t="inlineStr">
        <is>
          <t>Impacto de las Comunicaciones Correo Electrónico</t>
        </is>
      </c>
      <c r="C517" s="5" t="inlineStr">
        <is>
          <t>GESTIÓN AMBIENTAL</t>
        </is>
      </c>
      <c r="D517" s="5" t="inlineStr">
        <is>
          <t>Trimestral</t>
        </is>
      </c>
      <c r="E517" s="5" t="inlineStr">
        <is>
          <t>Positivo</t>
        </is>
      </c>
      <c r="F517" s="107" t="n">
        <v>45016</v>
      </c>
      <c r="G517" s="5" t="n">
        <v>2023</v>
      </c>
      <c r="H517" s="5" t="inlineStr">
        <is>
          <t>Marzo</t>
        </is>
      </c>
      <c r="I517" s="6" t="inlineStr">
        <is>
          <t>2023-1</t>
        </is>
      </c>
      <c r="J517" s="5" t="n">
        <v>20</v>
      </c>
      <c r="K517" s="5" t="n">
        <v>45.98682434455237</v>
      </c>
      <c r="L517" s="74">
        <f>IFERROR(IF(OR(J517=0,K517=""),"",IF(E517="Positivo",MIN(MAX(K517/J517,0),1.3),MIN(MAX(J517/K517,0),1.3))),"") </f>
        <v/>
      </c>
      <c r="M517" s="14">
        <f>IFERROR(IF(OR(J517=0,K517=""),"",IF(E517="Positivo",MAX(K517/J517,0),MAX(J517/K517,0))),"") </f>
        <v/>
      </c>
      <c r="N517" s="5" t="n"/>
      <c r="O517" s="5" t="n"/>
      <c r="P517" s="5" t="n">
        <v>0</v>
      </c>
      <c r="Q517" s="5" t="n">
        <v>0</v>
      </c>
      <c r="R517" s="5" t="inlineStr">
        <is>
          <t>233-2023-03-31</t>
        </is>
      </c>
    </row>
    <row r="518">
      <c r="A518" s="5" t="n">
        <v>233</v>
      </c>
      <c r="B518" s="5" t="inlineStr">
        <is>
          <t>Impacto de las Comunicaciones Correo Electrónico</t>
        </is>
      </c>
      <c r="C518" s="5" t="inlineStr">
        <is>
          <t>GESTIÓN AMBIENTAL</t>
        </is>
      </c>
      <c r="D518" s="5" t="inlineStr">
        <is>
          <t>Trimestral</t>
        </is>
      </c>
      <c r="E518" s="5" t="inlineStr">
        <is>
          <t>Positivo</t>
        </is>
      </c>
      <c r="F518" s="107" t="n">
        <v>45107</v>
      </c>
      <c r="G518" s="15" t="n">
        <v>2023</v>
      </c>
      <c r="H518" s="6" t="inlineStr">
        <is>
          <t>Junio</t>
        </is>
      </c>
      <c r="I518" s="6" t="inlineStr">
        <is>
          <t>2023-1</t>
        </is>
      </c>
      <c r="J518" s="5" t="n">
        <v>20</v>
      </c>
      <c r="K518" s="5" t="n">
        <v>45.98682434455237</v>
      </c>
      <c r="L518" s="74">
        <f>IFERROR(IF(OR(J518=0,K518=""),"",IF(E518="Positivo",MIN(MAX(K518/J518,0),1.3),MIN(MAX(J518/K518,0),1.3))),"") </f>
        <v/>
      </c>
      <c r="M518" s="14">
        <f>IFERROR(IF(OR(J518=0,K518=""),"",IF(E518="Positivo",MAX(K518/J518,0),MAX(J518/K518,0))),"") </f>
        <v/>
      </c>
      <c r="N518" s="5" t="n"/>
      <c r="O518" s="5" t="n"/>
      <c r="P518" s="5" t="n">
        <v>0</v>
      </c>
      <c r="Q518" s="5" t="n">
        <v>0</v>
      </c>
      <c r="R518" s="5" t="inlineStr">
        <is>
          <t>233-2023-06-30</t>
        </is>
      </c>
    </row>
    <row r="519">
      <c r="A519" s="5" t="n">
        <v>233</v>
      </c>
      <c r="B519" s="5" t="inlineStr">
        <is>
          <t>Impacto de las Comunicaciones Correo Electrónico</t>
        </is>
      </c>
      <c r="C519" s="5" t="inlineStr">
        <is>
          <t>GESTIÓN AMBIENTAL</t>
        </is>
      </c>
      <c r="D519" s="5" t="inlineStr">
        <is>
          <t>Trimestral</t>
        </is>
      </c>
      <c r="E519" s="5" t="inlineStr">
        <is>
          <t>Positivo</t>
        </is>
      </c>
      <c r="F519" s="107" t="n">
        <v>45199</v>
      </c>
      <c r="G519" s="15" t="n">
        <v>2023</v>
      </c>
      <c r="H519" s="6" t="inlineStr">
        <is>
          <t>Septiembre</t>
        </is>
      </c>
      <c r="I519" s="6" t="inlineStr">
        <is>
          <t>2023-2</t>
        </is>
      </c>
      <c r="J519" s="5" t="n">
        <v>20</v>
      </c>
      <c r="K519" s="5" t="n">
        <v>18.51932731582877</v>
      </c>
      <c r="L519" s="74">
        <f>IFERROR(IF(OR(J519=0,K519=""),"",IF(E519="Positivo",MIN(MAX(K519/J519,0),1.3),MIN(MAX(J519/K519,0),1.3))),"") </f>
        <v/>
      </c>
      <c r="M519" s="14">
        <f>IFERROR(IF(OR(J519=0,K519=""),"",IF(E519="Positivo",MAX(K519/J519,0),MAX(J519/K519,0))),"") </f>
        <v/>
      </c>
      <c r="N519" s="5" t="n"/>
      <c r="O519" s="5" t="n"/>
      <c r="P519" s="5" t="n">
        <v>0</v>
      </c>
      <c r="Q519" s="5" t="n">
        <v>0</v>
      </c>
      <c r="R519" s="5" t="inlineStr">
        <is>
          <t>233-2023-09-30</t>
        </is>
      </c>
    </row>
    <row r="520">
      <c r="A520" s="5" t="n">
        <v>233</v>
      </c>
      <c r="B520" s="5" t="inlineStr">
        <is>
          <t>Impacto de las Comunicaciones Correo Electrónico</t>
        </is>
      </c>
      <c r="C520" s="5" t="inlineStr">
        <is>
          <t>GESTIÓN AMBIENTAL</t>
        </is>
      </c>
      <c r="D520" s="5" t="inlineStr">
        <is>
          <t>Trimestral</t>
        </is>
      </c>
      <c r="E520" s="5" t="inlineStr">
        <is>
          <t>Positivo</t>
        </is>
      </c>
      <c r="F520" s="107" t="n">
        <v>45291</v>
      </c>
      <c r="G520" s="5" t="n">
        <v>2023</v>
      </c>
      <c r="H520" s="5" t="inlineStr">
        <is>
          <t>Diciembre</t>
        </is>
      </c>
      <c r="I520" s="6" t="inlineStr">
        <is>
          <t>2023-2</t>
        </is>
      </c>
      <c r="J520" s="5" t="n">
        <v>20</v>
      </c>
      <c r="K520" s="5" t="n">
        <v>18.51932731582877</v>
      </c>
      <c r="L520" s="14">
        <f>IFERROR(IF(OR(J520=0,K520=""),"",IF(E520="Positivo",MIN(MAX(K520/J520,0),1.3),MIN(MAX(J520/K520,0),1.3))),"") </f>
        <v/>
      </c>
      <c r="M520" s="14">
        <f>IFERROR(IF(OR(J520=0,K520=""),"",IF(E520="Positivo",MAX(K520/J520,0),MAX(J520/K520,0))),"") </f>
        <v/>
      </c>
      <c r="N520" s="5" t="n"/>
      <c r="O520" s="5" t="n"/>
      <c r="P520" s="5" t="n">
        <v>0</v>
      </c>
      <c r="Q520" s="5" t="n">
        <v>0</v>
      </c>
      <c r="R520" s="5" t="inlineStr">
        <is>
          <t>233-2023-12-31</t>
        </is>
      </c>
    </row>
    <row r="521">
      <c r="A521" s="5" t="n">
        <v>233</v>
      </c>
      <c r="B521" s="5" t="inlineStr">
        <is>
          <t>Impacto de las Comunicaciones Correo Electrónico</t>
        </is>
      </c>
      <c r="C521" s="5" t="inlineStr">
        <is>
          <t>GESTIÓN AMBIENTAL</t>
        </is>
      </c>
      <c r="D521" s="5" t="inlineStr">
        <is>
          <t>Trimestral</t>
        </is>
      </c>
      <c r="E521" s="5" t="inlineStr">
        <is>
          <t>Positivo</t>
        </is>
      </c>
      <c r="F521" s="107" t="n">
        <v>45473</v>
      </c>
      <c r="G521" s="5" t="n">
        <v>2024</v>
      </c>
      <c r="H521" s="5" t="inlineStr">
        <is>
          <t>Junio</t>
        </is>
      </c>
      <c r="I521" s="6" t="inlineStr">
        <is>
          <t>2024-1</t>
        </is>
      </c>
      <c r="J521" s="5" t="n">
        <v>20</v>
      </c>
      <c r="K521" s="5" t="n">
        <v>33.45861575395625</v>
      </c>
      <c r="L521" s="14">
        <f>IFERROR(IF(OR(J521=0,K521=""),"",IF(E521="Positivo",MIN(MAX(K521/J521,0),1.3),MIN(MAX(J521/K521,0),1.3))),"") </f>
        <v/>
      </c>
      <c r="M521" s="14">
        <f>IFERROR(IF(OR(J521=0,K521=""),"",IF(E521="Positivo",MAX(K521/J521,0),MAX(J521/K521,0))),"") </f>
        <v/>
      </c>
      <c r="N521" s="5" t="n"/>
      <c r="O521" s="5" t="n"/>
      <c r="P521" s="5" t="n">
        <v>0</v>
      </c>
      <c r="Q521" s="5" t="n">
        <v>0</v>
      </c>
      <c r="R521" s="5" t="inlineStr">
        <is>
          <t>233-2024-06-30</t>
        </is>
      </c>
    </row>
    <row r="522">
      <c r="A522" s="28" t="n">
        <v>233</v>
      </c>
      <c r="B522" s="5" t="inlineStr">
        <is>
          <t>Impacto de las Comunicaciones Correo Electrónico</t>
        </is>
      </c>
      <c r="C522" s="5" t="inlineStr">
        <is>
          <t>GESTIÓN AMBIENTAL</t>
        </is>
      </c>
      <c r="D522" s="5" t="inlineStr">
        <is>
          <t>Trimestral</t>
        </is>
      </c>
      <c r="E522" s="5" t="inlineStr">
        <is>
          <t>Positivo</t>
        </is>
      </c>
      <c r="F522" s="107" t="n">
        <v>45657</v>
      </c>
      <c r="G522" s="5" t="n">
        <v>2024</v>
      </c>
      <c r="H522" s="5" t="inlineStr">
        <is>
          <t>Diciembre</t>
        </is>
      </c>
      <c r="I522" s="6" t="inlineStr">
        <is>
          <t>2024-2</t>
        </is>
      </c>
      <c r="J522" s="5" t="n">
        <v>20</v>
      </c>
      <c r="K522" s="5" t="n">
        <v>31.82123655913979</v>
      </c>
      <c r="L522" s="74">
        <f>IFERROR(IF(OR(J522=0,K522=""),"",IF(E522="Positivo",MIN(MAX(K522/J522,0),1.3),MIN(MAX(J522/K522,0),1.3))),"") </f>
        <v/>
      </c>
      <c r="M522" s="14">
        <f>IFERROR(IF(OR(J522=0,K522=""),"",IF(E522="Positivo",MAX(K522/J522,0),MAX(J522/K522,0))),"") </f>
        <v/>
      </c>
      <c r="N522" s="5" t="n"/>
      <c r="O522" s="5" t="n"/>
      <c r="P522" s="5" t="n">
        <v>0</v>
      </c>
      <c r="Q522" s="5" t="n">
        <v>0</v>
      </c>
      <c r="R522" s="5" t="inlineStr">
        <is>
          <t>233-2024-12-31</t>
        </is>
      </c>
    </row>
    <row r="523">
      <c r="A523" s="26" t="n">
        <v>233</v>
      </c>
      <c r="B523" s="5" t="inlineStr">
        <is>
          <t>Impacto de las Comunicaciones Correo Electrónico</t>
        </is>
      </c>
      <c r="C523" s="5" t="inlineStr">
        <is>
          <t>GESTIÓN AMBIENTAL</t>
        </is>
      </c>
      <c r="D523" s="5" t="inlineStr">
        <is>
          <t>Semestral</t>
        </is>
      </c>
      <c r="E523" s="5" t="inlineStr">
        <is>
          <t>Positivo</t>
        </is>
      </c>
      <c r="F523" s="107" t="n">
        <v>45838</v>
      </c>
      <c r="G523" s="5" t="n">
        <v>2025</v>
      </c>
      <c r="H523" s="5" t="inlineStr">
        <is>
          <t>Junio</t>
        </is>
      </c>
      <c r="I523" s="6" t="inlineStr">
        <is>
          <t>2025-1</t>
        </is>
      </c>
      <c r="J523" s="5" t="n">
        <v>20</v>
      </c>
      <c r="K523" s="5" t="n">
        <v>22.315</v>
      </c>
      <c r="L523" s="74">
        <f>IFERROR(IF(OR(J523=0,K523=""),"",IF(E523="Positivo",MIN(MAX(K523/J523,0),1.3),MIN(MAX(J523/K523,0),1.3))),"") </f>
        <v/>
      </c>
      <c r="M523" s="14">
        <f>IFERROR(IF(OR(J523=0,K523=""),"",IF(E523="Positivo",MAX(K523/J523,0),MAX(J523/K523,0))),"") </f>
        <v/>
      </c>
      <c r="N523" s="5" t="inlineStr">
        <is>
          <t>%</t>
        </is>
      </c>
      <c r="O523" s="5" t="inlineStr">
        <is>
          <t>%</t>
        </is>
      </c>
      <c r="P523" s="5" t="n">
        <v>0</v>
      </c>
      <c r="Q523" s="5" t="n">
        <v>0</v>
      </c>
      <c r="R523" s="5" t="inlineStr">
        <is>
          <t>233-2025-06-30</t>
        </is>
      </c>
    </row>
    <row r="524">
      <c r="A524" s="5" t="n">
        <v>233</v>
      </c>
      <c r="B524" s="5" t="inlineStr">
        <is>
          <t>Impacto de las Comunicaciones Correo Electrónico</t>
        </is>
      </c>
      <c r="C524" s="5" t="inlineStr">
        <is>
          <t>GESTIÓN AMBIENTAL</t>
        </is>
      </c>
      <c r="D524" s="5" t="inlineStr">
        <is>
          <t>Semestral</t>
        </is>
      </c>
      <c r="E524" s="5" t="inlineStr">
        <is>
          <t>Positivo</t>
        </is>
      </c>
      <c r="F524" s="107" t="n">
        <v>46022</v>
      </c>
      <c r="G524" s="5" t="n">
        <v>2025</v>
      </c>
      <c r="H524" s="5" t="inlineStr">
        <is>
          <t>Diciembre</t>
        </is>
      </c>
      <c r="I524" s="6" t="inlineStr">
        <is>
          <t>2025-2</t>
        </is>
      </c>
      <c r="J524" s="5" t="n">
        <v>20</v>
      </c>
      <c r="K524" s="5" t="n"/>
      <c r="L524" s="14" t="n"/>
      <c r="M524" s="14" t="n"/>
      <c r="N524" s="5" t="inlineStr">
        <is>
          <t>%</t>
        </is>
      </c>
      <c r="O524" s="5" t="inlineStr">
        <is>
          <t>No Aplica</t>
        </is>
      </c>
      <c r="P524" s="5" t="n">
        <v>0</v>
      </c>
      <c r="Q524" s="5" t="n">
        <v>0</v>
      </c>
      <c r="R524" s="5" t="inlineStr">
        <is>
          <t>233-2025-12-31</t>
        </is>
      </c>
      <c r="S524" t="inlineStr">
        <is>
          <t>No Aplica</t>
        </is>
      </c>
    </row>
    <row r="525">
      <c r="A525" s="5" t="n">
        <v>234</v>
      </c>
      <c r="B525" s="5" t="inlineStr">
        <is>
          <t>Impacto de las Comunicaciones en Materia Ambiental a Través de Redes Sociales - Instagram</t>
        </is>
      </c>
      <c r="C525" s="5" t="inlineStr">
        <is>
          <t>GESTIÓN AMBIENTAL</t>
        </is>
      </c>
      <c r="D525" s="5" t="inlineStr">
        <is>
          <t>Trimestral</t>
        </is>
      </c>
      <c r="E525" s="5" t="inlineStr">
        <is>
          <t>Positivo</t>
        </is>
      </c>
      <c r="F525" s="107" t="n">
        <v>45016</v>
      </c>
      <c r="G525" s="5" t="n">
        <v>2023</v>
      </c>
      <c r="H525" s="5" t="inlineStr">
        <is>
          <t>Marzo</t>
        </is>
      </c>
      <c r="I525" s="6" t="inlineStr">
        <is>
          <t>2023-1</t>
        </is>
      </c>
      <c r="J525" s="5" t="n">
        <v>4000</v>
      </c>
      <c r="K525" s="5" t="n">
        <v>5267.875</v>
      </c>
      <c r="L525" s="14">
        <f>IFERROR(IF(OR(J525=0,K525=""),"",IF(E525="Positivo",MIN(MAX(K525/J525,0),1.3),MIN(MAX(J525/K525,0),1.3))),"") </f>
        <v/>
      </c>
      <c r="M525" s="14">
        <f>IFERROR(IF(OR(J525=0,K525=""),"",IF(E525="Positivo",MAX(K525/J525,0),MAX(J525/K525,0))),"") </f>
        <v/>
      </c>
      <c r="N525" s="5" t="n"/>
      <c r="O525" s="5" t="n"/>
      <c r="P525" s="5" t="n">
        <v>0</v>
      </c>
      <c r="Q525" s="5" t="n">
        <v>0</v>
      </c>
      <c r="R525" s="5" t="inlineStr">
        <is>
          <t>234-2023-03-31</t>
        </is>
      </c>
    </row>
    <row r="526">
      <c r="A526" s="28" t="n">
        <v>234</v>
      </c>
      <c r="B526" s="5" t="inlineStr">
        <is>
          <t>Impacto de las Comunicaciones en Materia Ambiental a Través de Redes Sociales - Instagram</t>
        </is>
      </c>
      <c r="C526" s="5" t="inlineStr">
        <is>
          <t>GESTIÓN AMBIENTAL</t>
        </is>
      </c>
      <c r="D526" s="5" t="inlineStr">
        <is>
          <t>Trimestral</t>
        </is>
      </c>
      <c r="E526" s="5" t="inlineStr">
        <is>
          <t>Positivo</t>
        </is>
      </c>
      <c r="F526" s="107" t="n">
        <v>45107</v>
      </c>
      <c r="G526" s="5" t="n">
        <v>2023</v>
      </c>
      <c r="H526" s="5" t="inlineStr">
        <is>
          <t>Junio</t>
        </is>
      </c>
      <c r="I526" s="6" t="inlineStr">
        <is>
          <t>2023-1</t>
        </is>
      </c>
      <c r="J526" s="5" t="n">
        <v>4000</v>
      </c>
      <c r="K526" s="5" t="n">
        <v>5267.875</v>
      </c>
      <c r="L526" s="14">
        <f>IFERROR(IF(OR(J526=0,K526=""),"",IF(E526="Positivo",MIN(MAX(K526/J526,0),1.3),MIN(MAX(J526/K526,0),1.3))),"") </f>
        <v/>
      </c>
      <c r="M526" s="14">
        <f>IFERROR(IF(OR(J526=0,K526=""),"",IF(E526="Positivo",MAX(K526/J526,0),MAX(J526/K526,0))),"") </f>
        <v/>
      </c>
      <c r="N526" s="5" t="n"/>
      <c r="O526" s="5" t="n"/>
      <c r="P526" s="5" t="n">
        <v>0</v>
      </c>
      <c r="Q526" s="5" t="n">
        <v>0</v>
      </c>
      <c r="R526" s="5" t="inlineStr">
        <is>
          <t>234-2023-06-30</t>
        </is>
      </c>
    </row>
    <row r="527">
      <c r="A527" s="26" t="n">
        <v>234</v>
      </c>
      <c r="B527" s="5" t="inlineStr">
        <is>
          <t>Impacto de las Comunicaciones en Materia Ambiental a Través de Redes Sociales - Instagram</t>
        </is>
      </c>
      <c r="C527" s="5" t="inlineStr">
        <is>
          <t>GESTIÓN AMBIENTAL</t>
        </is>
      </c>
      <c r="D527" s="5" t="inlineStr">
        <is>
          <t>Trimestral</t>
        </is>
      </c>
      <c r="E527" s="5" t="inlineStr">
        <is>
          <t>Positivo</t>
        </is>
      </c>
      <c r="F527" s="107" t="n">
        <v>45199</v>
      </c>
      <c r="G527" s="5" t="n">
        <v>2023</v>
      </c>
      <c r="H527" s="5" t="inlineStr">
        <is>
          <t>Septiembre</t>
        </is>
      </c>
      <c r="I527" s="6" t="inlineStr">
        <is>
          <t>2023-2</t>
        </is>
      </c>
      <c r="J527" s="5" t="n">
        <v>4000</v>
      </c>
      <c r="K527" s="5" t="n">
        <v>8303.625</v>
      </c>
      <c r="L527" s="14">
        <f>IFERROR(IF(OR(J527=0,K527=""),"",IF(E527="Positivo",MIN(MAX(K527/J527,0),1.3),MIN(MAX(J527/K527,0),1.3))),"") </f>
        <v/>
      </c>
      <c r="M527" s="14">
        <f>IFERROR(IF(OR(J527=0,K527=""),"",IF(E527="Positivo",MAX(K527/J527,0),MAX(J527/K527,0))),"") </f>
        <v/>
      </c>
      <c r="N527" s="5" t="n"/>
      <c r="O527" s="5" t="n"/>
      <c r="P527" s="5" t="n">
        <v>0</v>
      </c>
      <c r="Q527" s="5" t="n">
        <v>0</v>
      </c>
      <c r="R527" s="5" t="inlineStr">
        <is>
          <t>234-2023-09-30</t>
        </is>
      </c>
    </row>
    <row r="528">
      <c r="A528" s="5" t="n">
        <v>234</v>
      </c>
      <c r="B528" s="5" t="inlineStr">
        <is>
          <t>Impacto de las Comunicaciones en Materia Ambiental a Través de Redes Sociales - Instagram</t>
        </is>
      </c>
      <c r="C528" s="5" t="inlineStr">
        <is>
          <t>GESTIÓN AMBIENTAL</t>
        </is>
      </c>
      <c r="D528" s="5" t="inlineStr">
        <is>
          <t>Trimestral</t>
        </is>
      </c>
      <c r="E528" s="5" t="inlineStr">
        <is>
          <t>Positivo</t>
        </is>
      </c>
      <c r="F528" s="107" t="n">
        <v>45291</v>
      </c>
      <c r="G528" s="5" t="n">
        <v>2023</v>
      </c>
      <c r="H528" s="5" t="inlineStr">
        <is>
          <t>Diciembre</t>
        </is>
      </c>
      <c r="I528" s="6" t="inlineStr">
        <is>
          <t>2023-2</t>
        </is>
      </c>
      <c r="J528" s="5" t="n">
        <v>4000</v>
      </c>
      <c r="K528" s="5" t="n">
        <v>8303.625</v>
      </c>
      <c r="L528" s="14">
        <f>IFERROR(IF(OR(J528=0,K528=""),"",IF(E528="Positivo",MIN(MAX(K528/J528,0),1.3),MIN(MAX(J528/K528,0),1.3))),"") </f>
        <v/>
      </c>
      <c r="M528" s="14">
        <f>IFERROR(IF(OR(J528=0,K528=""),"",IF(E528="Positivo",MAX(K528/J528,0),MAX(J528/K528,0))),"") </f>
        <v/>
      </c>
      <c r="N528" s="5" t="n"/>
      <c r="O528" s="5" t="n"/>
      <c r="P528" s="5" t="n">
        <v>0</v>
      </c>
      <c r="Q528" s="5" t="n">
        <v>0</v>
      </c>
      <c r="R528" s="5" t="inlineStr">
        <is>
          <t>234-2023-12-31</t>
        </is>
      </c>
    </row>
    <row r="529">
      <c r="A529" s="5" t="n">
        <v>234</v>
      </c>
      <c r="B529" s="5" t="inlineStr">
        <is>
          <t>Impacto de las Comunicaciones en Materia Ambiental a Través de Redes Sociales - Instagram</t>
        </is>
      </c>
      <c r="C529" s="5" t="inlineStr">
        <is>
          <t>GESTIÓN AMBIENTAL</t>
        </is>
      </c>
      <c r="D529" s="5" t="inlineStr">
        <is>
          <t>Trimestral</t>
        </is>
      </c>
      <c r="E529" s="5" t="inlineStr">
        <is>
          <t>Positivo</t>
        </is>
      </c>
      <c r="F529" s="107" t="n">
        <v>45473</v>
      </c>
      <c r="G529" s="5" t="n">
        <v>2024</v>
      </c>
      <c r="H529" s="5" t="inlineStr">
        <is>
          <t>Junio</t>
        </is>
      </c>
      <c r="I529" s="6" t="inlineStr">
        <is>
          <t>2024-1</t>
        </is>
      </c>
      <c r="J529" s="5" t="n">
        <v>4000</v>
      </c>
      <c r="K529" s="5" t="n">
        <v>4343.791666666666</v>
      </c>
      <c r="L529" s="14">
        <f>IFERROR(IF(OR(J529=0,K529=""),"",IF(E529="Positivo",MIN(MAX(K529/J529,0),1.3),MIN(MAX(J529/K529,0),1.3))),"") </f>
        <v/>
      </c>
      <c r="M529" s="14">
        <f>IFERROR(IF(OR(J529=0,K529=""),"",IF(E529="Positivo",MAX(K529/J529,0),MAX(J529/K529,0))),"") </f>
        <v/>
      </c>
      <c r="N529" s="5" t="n"/>
      <c r="O529" s="5" t="n"/>
      <c r="P529" s="5" t="n">
        <v>0</v>
      </c>
      <c r="Q529" s="5" t="n">
        <v>0</v>
      </c>
      <c r="R529" s="5" t="inlineStr">
        <is>
          <t>234-2024-06-30</t>
        </is>
      </c>
    </row>
    <row r="530">
      <c r="A530" s="28" t="n">
        <v>234</v>
      </c>
      <c r="B530" s="5" t="inlineStr">
        <is>
          <t>Impacto de las Comunicaciones en Materia Ambiental a Través de Redes Sociales - Instagram</t>
        </is>
      </c>
      <c r="C530" s="5" t="inlineStr">
        <is>
          <t>GESTIÓN AMBIENTAL</t>
        </is>
      </c>
      <c r="D530" s="5" t="inlineStr">
        <is>
          <t>Trimestral</t>
        </is>
      </c>
      <c r="E530" s="5" t="inlineStr">
        <is>
          <t>Positivo</t>
        </is>
      </c>
      <c r="F530" s="107" t="n">
        <v>45657</v>
      </c>
      <c r="G530" s="5" t="n">
        <v>2024</v>
      </c>
      <c r="H530" s="5" t="inlineStr">
        <is>
          <t>Diciembre</t>
        </is>
      </c>
      <c r="I530" s="6" t="inlineStr">
        <is>
          <t>2024-2</t>
        </is>
      </c>
      <c r="J530" s="5" t="n">
        <v>4000</v>
      </c>
      <c r="K530" s="5" t="n">
        <v>4218</v>
      </c>
      <c r="L530" s="74">
        <f>IFERROR(IF(OR(J530=0,K530=""),"",IF(E530="Positivo",MIN(MAX(K530/J530,0),1.3),MIN(MAX(J530/K530,0),1.3))),"") </f>
        <v/>
      </c>
      <c r="M530" s="14">
        <f>IFERROR(IF(OR(J530=0,K530=""),"",IF(E530="Positivo",MAX(K530/J530,0),MAX(J530/K530,0))),"") </f>
        <v/>
      </c>
      <c r="N530" s="5" t="n"/>
      <c r="O530" s="5" t="n"/>
      <c r="P530" s="5" t="n">
        <v>0</v>
      </c>
      <c r="Q530" s="5" t="n">
        <v>0</v>
      </c>
      <c r="R530" s="5" t="inlineStr">
        <is>
          <t>234-2024-12-31</t>
        </is>
      </c>
    </row>
    <row r="531">
      <c r="A531" s="26" t="n">
        <v>234</v>
      </c>
      <c r="B531" s="5" t="inlineStr">
        <is>
          <t>Impacto de las Comunicaciones en Materia Ambiental a Través de Redes Sociales - Instagram</t>
        </is>
      </c>
      <c r="C531" s="5" t="inlineStr">
        <is>
          <t>GESTIÓN AMBIENTAL</t>
        </is>
      </c>
      <c r="D531" s="5" t="inlineStr">
        <is>
          <t>Semestral</t>
        </is>
      </c>
      <c r="E531" s="5" t="inlineStr">
        <is>
          <t>Positivo</t>
        </is>
      </c>
      <c r="F531" s="107" t="n">
        <v>45838</v>
      </c>
      <c r="G531" s="5" t="n">
        <v>2025</v>
      </c>
      <c r="H531" s="5" t="inlineStr">
        <is>
          <t>Junio</t>
        </is>
      </c>
      <c r="I531" s="6" t="inlineStr">
        <is>
          <t>2025-1</t>
        </is>
      </c>
      <c r="J531" s="5" t="n">
        <v>4000</v>
      </c>
      <c r="K531" s="5" t="n">
        <v>10577.25</v>
      </c>
      <c r="L531" s="74">
        <f>IFERROR(IF(OR(J531=0,K531=""),"",IF(E531="Positivo",MIN(MAX(K531/J531,0),1.3),MIN(MAX(J531/K531,0),1.3))),"") </f>
        <v/>
      </c>
      <c r="M531" s="14">
        <f>IFERROR(IF(OR(J531=0,K531=""),"",IF(E531="Positivo",MAX(K531/J531,0),MAX(J531/K531,0))),"") </f>
        <v/>
      </c>
      <c r="N531" s="5" t="inlineStr">
        <is>
          <t>ENT</t>
        </is>
      </c>
      <c r="O531" s="5" t="inlineStr">
        <is>
          <t>ENT</t>
        </is>
      </c>
      <c r="P531" s="5" t="n">
        <v>0</v>
      </c>
      <c r="Q531" s="5" t="n">
        <v>0</v>
      </c>
      <c r="R531" s="5" t="inlineStr">
        <is>
          <t>234-2025-06-30</t>
        </is>
      </c>
    </row>
    <row r="532">
      <c r="A532" s="5" t="n">
        <v>234</v>
      </c>
      <c r="B532" s="5" t="inlineStr">
        <is>
          <t>Impacto de las Comunicaciones en Materia Ambiental a Través de Redes Sociales - Instagram</t>
        </is>
      </c>
      <c r="C532" s="5" t="inlineStr">
        <is>
          <t>GESTIÓN AMBIENTAL</t>
        </is>
      </c>
      <c r="D532" s="5" t="inlineStr">
        <is>
          <t>Semestral</t>
        </is>
      </c>
      <c r="E532" s="5" t="inlineStr">
        <is>
          <t>Positivo</t>
        </is>
      </c>
      <c r="F532" s="107" t="n">
        <v>46022</v>
      </c>
      <c r="G532" s="5" t="n">
        <v>2025</v>
      </c>
      <c r="H532" s="5" t="inlineStr">
        <is>
          <t>Diciembre</t>
        </is>
      </c>
      <c r="I532" s="6" t="inlineStr">
        <is>
          <t>2025-2</t>
        </is>
      </c>
      <c r="J532" s="5" t="n">
        <v>4000</v>
      </c>
      <c r="K532" s="5" t="n"/>
      <c r="L532" s="14" t="n"/>
      <c r="M532" s="14" t="n"/>
      <c r="N532" s="5" t="inlineStr">
        <is>
          <t>ENT</t>
        </is>
      </c>
      <c r="O532" s="5" t="inlineStr">
        <is>
          <t>No Aplica</t>
        </is>
      </c>
      <c r="P532" s="5" t="n">
        <v>0</v>
      </c>
      <c r="Q532" s="5" t="n">
        <v>0</v>
      </c>
      <c r="R532" s="5" t="inlineStr">
        <is>
          <t>234-2025-12-31</t>
        </is>
      </c>
      <c r="S532" t="inlineStr">
        <is>
          <t>No Aplica</t>
        </is>
      </c>
    </row>
    <row r="533">
      <c r="A533" s="5" t="n">
        <v>235</v>
      </c>
      <c r="B533" s="5" t="inlineStr">
        <is>
          <t>Cumplimiento de Requisitos Legales Ambientales Aplicables</t>
        </is>
      </c>
      <c r="C533" s="5" t="inlineStr">
        <is>
          <t>GESTIÓN AMBIENTAL</t>
        </is>
      </c>
      <c r="D533" s="5" t="inlineStr">
        <is>
          <t>Anual</t>
        </is>
      </c>
      <c r="E533" s="5" t="inlineStr">
        <is>
          <t>Positivo</t>
        </is>
      </c>
      <c r="F533" s="107" t="n">
        <v>45291</v>
      </c>
      <c r="G533" s="5" t="n">
        <v>2023</v>
      </c>
      <c r="H533" s="5" t="inlineStr">
        <is>
          <t>Diciembre</t>
        </is>
      </c>
      <c r="I533" s="6" t="inlineStr">
        <is>
          <t>2023-2</t>
        </is>
      </c>
      <c r="J533" s="5" t="n">
        <v>100</v>
      </c>
      <c r="K533" s="5" t="n">
        <v>81.65289256198299</v>
      </c>
      <c r="L533" s="14">
        <f>IFERROR(IF(OR(J533=0,K533=""),"",IF(E533="Positivo",MIN(MAX(K533/J533,0),1.3),MIN(MAX(J533/K533,0),1.3))),"") </f>
        <v/>
      </c>
      <c r="M533" s="14">
        <f>IFERROR(IF(OR(J533=0,K533=""),"",IF(E533="Positivo",MAX(K533/J533,0),MAX(J533/K533,0))),"") </f>
        <v/>
      </c>
      <c r="N533" s="5" t="n"/>
      <c r="O533" s="5" t="n"/>
      <c r="P533" s="5" t="n">
        <v>0</v>
      </c>
      <c r="Q533" s="5" t="n">
        <v>0</v>
      </c>
      <c r="R533" s="5" t="inlineStr">
        <is>
          <t>235-2023-12-31</t>
        </is>
      </c>
    </row>
    <row r="534">
      <c r="A534" s="28" t="n">
        <v>235</v>
      </c>
      <c r="B534" s="5" t="inlineStr">
        <is>
          <t>Cumplimiento de Requisitos Legales Ambientales Aplicables</t>
        </is>
      </c>
      <c r="C534" s="5" t="inlineStr">
        <is>
          <t>GESTIÓN AMBIENTAL</t>
        </is>
      </c>
      <c r="D534" s="5" t="inlineStr">
        <is>
          <t>Anual</t>
        </is>
      </c>
      <c r="E534" s="5" t="inlineStr">
        <is>
          <t>Positivo</t>
        </is>
      </c>
      <c r="F534" s="107" t="n">
        <v>45657</v>
      </c>
      <c r="G534" s="5" t="n">
        <v>2024</v>
      </c>
      <c r="H534" s="5" t="inlineStr">
        <is>
          <t>Diciembre</t>
        </is>
      </c>
      <c r="I534" s="6" t="inlineStr">
        <is>
          <t>2024-2</t>
        </is>
      </c>
      <c r="J534" s="5" t="n">
        <v>100</v>
      </c>
      <c r="K534" s="5" t="n">
        <v>92.012779552716</v>
      </c>
      <c r="L534" s="14">
        <f>IFERROR(IF(OR(J534=0,K534=""),"",IF(E534="Positivo",MIN(MAX(K534/J534,0),1.3),MIN(MAX(J534/K534,0),1.3))),"") </f>
        <v/>
      </c>
      <c r="M534" s="14">
        <f>IFERROR(IF(OR(J534=0,K534=""),"",IF(E534="Positivo",MAX(K534/J534,0),MAX(J534/K534,0))),"") </f>
        <v/>
      </c>
      <c r="N534" s="5" t="n"/>
      <c r="O534" s="5" t="n"/>
      <c r="P534" s="5" t="n">
        <v>0</v>
      </c>
      <c r="Q534" s="5" t="n">
        <v>0</v>
      </c>
      <c r="R534" s="5" t="inlineStr">
        <is>
          <t>235-2024-12-31</t>
        </is>
      </c>
    </row>
    <row r="535">
      <c r="A535" s="26" t="n">
        <v>236</v>
      </c>
      <c r="B535" s="5" t="inlineStr">
        <is>
          <t>Actos Administrativos o Decisiones Judiciales Ambientales</t>
        </is>
      </c>
      <c r="C535" s="5" t="inlineStr">
        <is>
          <t>GESTIÓN AMBIENTAL</t>
        </is>
      </c>
      <c r="D535" s="5" t="inlineStr">
        <is>
          <t>Anual</t>
        </is>
      </c>
      <c r="E535" s="5" t="inlineStr">
        <is>
          <t>Negativo</t>
        </is>
      </c>
      <c r="F535" s="107" t="n">
        <v>45291</v>
      </c>
      <c r="G535" s="5" t="n">
        <v>2023</v>
      </c>
      <c r="H535" s="5" t="inlineStr">
        <is>
          <t>Diciembre</t>
        </is>
      </c>
      <c r="I535" s="6" t="inlineStr">
        <is>
          <t>2023-2</t>
        </is>
      </c>
      <c r="J535" s="5" t="n">
        <v>0</v>
      </c>
      <c r="K535" s="5" t="n">
        <v>0</v>
      </c>
      <c r="L535" s="14">
        <f>IFERROR(IF(OR(J535=0,K535=""),"",IF(E535="Positivo",MIN(MAX(K535/J535,0),1.3),MIN(MAX(J535/K535,0),1.3))),"") </f>
        <v/>
      </c>
      <c r="M535" s="14">
        <f>IFERROR(IF(OR(J535=0,K535=""),"",IF(E535="Positivo",MAX(K535/J535,0),MAX(J535/K535,0))),"") </f>
        <v/>
      </c>
      <c r="N535" s="5" t="n"/>
      <c r="O535" s="5" t="n"/>
      <c r="P535" s="5" t="n">
        <v>0</v>
      </c>
      <c r="Q535" s="5" t="n">
        <v>0</v>
      </c>
      <c r="R535" s="5" t="inlineStr">
        <is>
          <t>236-2023-12-31</t>
        </is>
      </c>
    </row>
    <row r="536">
      <c r="A536" s="5" t="n">
        <v>236</v>
      </c>
      <c r="B536" s="5" t="inlineStr">
        <is>
          <t>Actos Administrativos o Decisiones Judiciales Ambientales</t>
        </is>
      </c>
      <c r="C536" s="5" t="inlineStr">
        <is>
          <t>GESTIÓN AMBIENTAL</t>
        </is>
      </c>
      <c r="D536" s="5" t="inlineStr">
        <is>
          <t>Anual</t>
        </is>
      </c>
      <c r="E536" s="5" t="inlineStr">
        <is>
          <t>Negativo</t>
        </is>
      </c>
      <c r="F536" s="107" t="n">
        <v>45657</v>
      </c>
      <c r="G536" s="5" t="n">
        <v>2024</v>
      </c>
      <c r="H536" s="5" t="inlineStr">
        <is>
          <t>Diciembre</t>
        </is>
      </c>
      <c r="I536" s="6" t="inlineStr">
        <is>
          <t>2024-2</t>
        </is>
      </c>
      <c r="J536" s="5" t="n">
        <v>0</v>
      </c>
      <c r="K536" s="5" t="n">
        <v>0</v>
      </c>
      <c r="L536" s="14">
        <f>IFERROR(IF(OR(J536=0,K536=""),"",IF(E536="Positivo",MIN(MAX(K536/J536,0),1.3),MIN(MAX(J536/K536,0),1.3))),"") </f>
        <v/>
      </c>
      <c r="M536" s="14">
        <f>IFERROR(IF(OR(J536=0,K536=""),"",IF(E536="Positivo",MAX(K536/J536,0),MAX(J536/K536,0))),"") </f>
        <v/>
      </c>
      <c r="N536" s="5" t="n"/>
      <c r="O536" s="5" t="n"/>
      <c r="P536" s="5" t="n">
        <v>0</v>
      </c>
      <c r="Q536" s="5" t="n">
        <v>0</v>
      </c>
      <c r="R536" s="5" t="inlineStr">
        <is>
          <t>236-2024-12-31</t>
        </is>
      </c>
    </row>
    <row r="537">
      <c r="A537" s="5" t="n">
        <v>236</v>
      </c>
      <c r="B537" s="5" t="inlineStr">
        <is>
          <t>Actos Administrativos o Decisiones Judiciales Ambientales</t>
        </is>
      </c>
      <c r="C537" s="5" t="inlineStr">
        <is>
          <t>GESTIÓN AMBIENTAL</t>
        </is>
      </c>
      <c r="D537" s="5" t="inlineStr">
        <is>
          <t>Anual</t>
        </is>
      </c>
      <c r="E537" s="5" t="inlineStr">
        <is>
          <t>Negativo</t>
        </is>
      </c>
      <c r="F537" s="107" t="n">
        <v>46022</v>
      </c>
      <c r="G537" s="5" t="n">
        <v>2025</v>
      </c>
      <c r="H537" s="5" t="inlineStr">
        <is>
          <t>Diciembre</t>
        </is>
      </c>
      <c r="I537" s="6" t="inlineStr">
        <is>
          <t>2025-2</t>
        </is>
      </c>
      <c r="J537" s="5" t="n">
        <v>0</v>
      </c>
      <c r="K537" s="5" t="n">
        <v>0</v>
      </c>
      <c r="L537" s="14">
        <f>IFERROR(IF(OR(J537=0,K537=""),"",IF(E537="Positivo",MIN(MAX(K537/J537,0),1.3),MIN(MAX(J537/K537,0),1.3))),"") </f>
        <v/>
      </c>
      <c r="M537" s="14">
        <f>IFERROR(IF(OR(J537=0,K537=""),"",IF(E537="Positivo",MAX(K537/J537,0),MAX(J537/K537,0))),"") </f>
        <v/>
      </c>
      <c r="N537" s="5" t="inlineStr">
        <is>
          <t>%</t>
        </is>
      </c>
      <c r="O537" s="5" t="inlineStr">
        <is>
          <t>%</t>
        </is>
      </c>
      <c r="P537" s="5" t="n">
        <v>0</v>
      </c>
      <c r="Q537" s="5" t="n">
        <v>0</v>
      </c>
      <c r="R537" s="5" t="inlineStr">
        <is>
          <t>236-2025-12-31</t>
        </is>
      </c>
    </row>
    <row r="538">
      <c r="A538" s="28" t="n">
        <v>238</v>
      </c>
      <c r="B538" s="5" t="inlineStr">
        <is>
          <t>Cumplimiento de la Protección del Medio Ambiente</t>
        </is>
      </c>
      <c r="C538" s="5" t="inlineStr">
        <is>
          <t>GESTIÓN AMBIENTAL</t>
        </is>
      </c>
      <c r="D538" s="5" t="inlineStr">
        <is>
          <t>Semestral</t>
        </is>
      </c>
      <c r="E538" s="5" t="inlineStr">
        <is>
          <t>Positivo</t>
        </is>
      </c>
      <c r="F538" s="107" t="n">
        <v>44742</v>
      </c>
      <c r="G538" s="5" t="n">
        <v>2022</v>
      </c>
      <c r="H538" s="5" t="inlineStr">
        <is>
          <t>Junio</t>
        </is>
      </c>
      <c r="I538" s="6" t="inlineStr">
        <is>
          <t>2022-1</t>
        </is>
      </c>
      <c r="J538" s="5" t="n">
        <v>90</v>
      </c>
      <c r="K538" s="5" t="n"/>
      <c r="L538" s="74" t="n"/>
      <c r="M538" s="14" t="n"/>
      <c r="N538" s="5" t="inlineStr">
        <is>
          <t>Sin Reporte</t>
        </is>
      </c>
      <c r="O538" s="5" t="inlineStr">
        <is>
          <t>No Aplica</t>
        </is>
      </c>
      <c r="P538" s="5" t="n">
        <v>0</v>
      </c>
      <c r="Q538" s="5" t="n">
        <v>0</v>
      </c>
      <c r="R538" s="5" t="inlineStr">
        <is>
          <t>238-2022-06-30</t>
        </is>
      </c>
      <c r="S538" t="inlineStr">
        <is>
          <t>No Aplica</t>
        </is>
      </c>
    </row>
    <row r="539">
      <c r="A539" s="26" t="n">
        <v>238</v>
      </c>
      <c r="B539" s="5" t="inlineStr">
        <is>
          <t>Cumplimiento de la Protección del Medio Ambiente</t>
        </is>
      </c>
      <c r="C539" s="5" t="inlineStr">
        <is>
          <t>GESTIÓN AMBIENTAL</t>
        </is>
      </c>
      <c r="D539" s="5" t="inlineStr">
        <is>
          <t>Semestral</t>
        </is>
      </c>
      <c r="E539" s="5" t="inlineStr">
        <is>
          <t>Positivo</t>
        </is>
      </c>
      <c r="F539" s="107" t="n">
        <v>44926</v>
      </c>
      <c r="G539" s="5" t="n">
        <v>2022</v>
      </c>
      <c r="H539" s="5" t="inlineStr">
        <is>
          <t>Diciembre</t>
        </is>
      </c>
      <c r="I539" s="6" t="inlineStr">
        <is>
          <t>2022-2</t>
        </is>
      </c>
      <c r="J539" s="5" t="n">
        <v>90</v>
      </c>
      <c r="K539" s="5" t="n"/>
      <c r="L539" s="74" t="n"/>
      <c r="M539" s="14" t="n"/>
      <c r="N539" s="5" t="inlineStr">
        <is>
          <t>Sin Reporte</t>
        </is>
      </c>
      <c r="O539" s="5" t="inlineStr">
        <is>
          <t>No Aplica</t>
        </is>
      </c>
      <c r="P539" s="5" t="n">
        <v>0</v>
      </c>
      <c r="Q539" s="5" t="n">
        <v>0</v>
      </c>
      <c r="R539" s="5" t="inlineStr">
        <is>
          <t>238-2022-12-31</t>
        </is>
      </c>
      <c r="S539" t="inlineStr">
        <is>
          <t>No Aplica</t>
        </is>
      </c>
    </row>
    <row r="540">
      <c r="A540" s="26" t="n">
        <v>238</v>
      </c>
      <c r="B540" s="5" t="inlineStr">
        <is>
          <t>Cumplimiento de la Protección del Medio Ambiente</t>
        </is>
      </c>
      <c r="C540" s="5" t="inlineStr">
        <is>
          <t>GESTIÓN AMBIENTAL</t>
        </is>
      </c>
      <c r="D540" s="5" t="inlineStr">
        <is>
          <t>Trimestral</t>
        </is>
      </c>
      <c r="E540" s="5" t="inlineStr">
        <is>
          <t>Positivo</t>
        </is>
      </c>
      <c r="F540" s="107" t="n">
        <v>45016</v>
      </c>
      <c r="G540" s="5" t="n">
        <v>2023</v>
      </c>
      <c r="H540" s="5" t="inlineStr">
        <is>
          <t>Marzo</t>
        </is>
      </c>
      <c r="I540" s="6" t="inlineStr">
        <is>
          <t>2023-1</t>
        </is>
      </c>
      <c r="J540" s="5" t="n">
        <v>90</v>
      </c>
      <c r="K540" s="5" t="n">
        <v>95.43650793650795</v>
      </c>
      <c r="L540" s="74">
        <f>IFERROR(IF(OR(J540=0,K540=""),"",IF(E540="Positivo",MIN(MAX(K540/J540,0),1.3),MIN(MAX(J540/K540,0),1.3))),"") </f>
        <v/>
      </c>
      <c r="M540" s="14">
        <f>IFERROR(IF(OR(J540=0,K540=""),"",IF(E540="Positivo",MAX(K540/J540,0),MAX(J540/K540,0))),"") </f>
        <v/>
      </c>
      <c r="N540" s="5" t="n"/>
      <c r="O540" s="5" t="n"/>
      <c r="P540" s="5" t="n">
        <v>0</v>
      </c>
      <c r="Q540" s="5" t="n">
        <v>0</v>
      </c>
      <c r="R540" s="5" t="inlineStr">
        <is>
          <t>238-2023-03-31</t>
        </is>
      </c>
    </row>
    <row r="541">
      <c r="A541" s="5" t="n">
        <v>238</v>
      </c>
      <c r="B541" s="5" t="inlineStr">
        <is>
          <t>Cumplimiento de la Protección del Medio Ambiente</t>
        </is>
      </c>
      <c r="C541" s="5" t="inlineStr">
        <is>
          <t>GESTIÓN AMBIENTAL</t>
        </is>
      </c>
      <c r="D541" s="5" t="inlineStr">
        <is>
          <t>Trimestral</t>
        </is>
      </c>
      <c r="E541" s="5" t="inlineStr">
        <is>
          <t>Positivo</t>
        </is>
      </c>
      <c r="F541" s="107" t="n">
        <v>45107</v>
      </c>
      <c r="G541" s="5" t="n">
        <v>2023</v>
      </c>
      <c r="H541" s="5" t="inlineStr">
        <is>
          <t>Junio</t>
        </is>
      </c>
      <c r="I541" s="6" t="inlineStr">
        <is>
          <t>2023-1</t>
        </is>
      </c>
      <c r="J541" s="5" t="n">
        <v>90</v>
      </c>
      <c r="K541" s="5" t="n">
        <v>95.43650793650795</v>
      </c>
      <c r="L541" s="14">
        <f>IFERROR(IF(OR(J541=0,K541=""),"",IF(E541="Positivo",MIN(MAX(K541/J541,0),1.3),MIN(MAX(J541/K541,0),1.3))),"") </f>
        <v/>
      </c>
      <c r="M541" s="14">
        <f>IFERROR(IF(OR(J541=0,K541=""),"",IF(E541="Positivo",MAX(K541/J541,0),MAX(J541/K541,0))),"") </f>
        <v/>
      </c>
      <c r="N541" s="5" t="n"/>
      <c r="O541" s="5" t="n"/>
      <c r="P541" s="5" t="n">
        <v>0</v>
      </c>
      <c r="Q541" s="5" t="n">
        <v>0</v>
      </c>
      <c r="R541" s="5" t="inlineStr">
        <is>
          <t>238-2023-06-30</t>
        </is>
      </c>
    </row>
    <row r="542">
      <c r="A542" s="26" t="n">
        <v>238</v>
      </c>
      <c r="B542" s="5" t="inlineStr">
        <is>
          <t>Cumplimiento de la Protección del Medio Ambiente</t>
        </is>
      </c>
      <c r="C542" s="5" t="inlineStr">
        <is>
          <t>GESTIÓN AMBIENTAL</t>
        </is>
      </c>
      <c r="D542" s="5" t="inlineStr">
        <is>
          <t>Trimestral</t>
        </is>
      </c>
      <c r="E542" s="5" t="inlineStr">
        <is>
          <t>Positivo</t>
        </is>
      </c>
      <c r="F542" s="107" t="n">
        <v>45199</v>
      </c>
      <c r="G542" s="5" t="n">
        <v>2023</v>
      </c>
      <c r="H542" s="5" t="inlineStr">
        <is>
          <t>Septiembre</t>
        </is>
      </c>
      <c r="I542" s="6" t="inlineStr">
        <is>
          <t>2023-2</t>
        </is>
      </c>
      <c r="J542" s="5" t="n">
        <v>90</v>
      </c>
      <c r="K542" s="5" t="n">
        <v>79.60526315789474</v>
      </c>
      <c r="L542" s="14">
        <f>IFERROR(IF(OR(J542=0,K542=""),"",IF(E542="Positivo",MIN(MAX(K542/J542,0),1.3),MIN(MAX(J542/K542,0),1.3))),"") </f>
        <v/>
      </c>
      <c r="M542" s="14">
        <f>IFERROR(IF(OR(J542=0,K542=""),"",IF(E542="Positivo",MAX(K542/J542,0),MAX(J542/K542,0))),"") </f>
        <v/>
      </c>
      <c r="N542" s="5" t="n"/>
      <c r="O542" s="5" t="n"/>
      <c r="P542" s="5" t="n">
        <v>0</v>
      </c>
      <c r="Q542" s="5" t="n">
        <v>0</v>
      </c>
      <c r="R542" s="5" t="inlineStr">
        <is>
          <t>238-2023-09-30</t>
        </is>
      </c>
    </row>
    <row r="543">
      <c r="A543" s="34" t="n">
        <v>238</v>
      </c>
      <c r="B543" s="5" t="inlineStr">
        <is>
          <t>Cumplimiento de la Protección del Medio Ambiente</t>
        </is>
      </c>
      <c r="C543" s="5" t="inlineStr">
        <is>
          <t>GESTIÓN AMBIENTAL</t>
        </is>
      </c>
      <c r="D543" s="5" t="inlineStr">
        <is>
          <t>Trimestral</t>
        </is>
      </c>
      <c r="E543" s="5" t="inlineStr">
        <is>
          <t>Positivo</t>
        </is>
      </c>
      <c r="F543" s="107" t="n">
        <v>45291</v>
      </c>
      <c r="G543" s="5" t="n">
        <v>2023</v>
      </c>
      <c r="H543" s="5" t="inlineStr">
        <is>
          <t>Diciembre</t>
        </is>
      </c>
      <c r="I543" s="6" t="inlineStr">
        <is>
          <t>2023-2</t>
        </is>
      </c>
      <c r="J543" s="5" t="n">
        <v>90</v>
      </c>
      <c r="K543" s="5" t="n">
        <v>79.60526315789474</v>
      </c>
      <c r="L543" s="74">
        <f>IFERROR(IF(OR(J543=0,K543=""),"",IF(E543="Positivo",MIN(MAX(K543/J543,0),1.3),MIN(MAX(J543/K543,0),1.3))),"") </f>
        <v/>
      </c>
      <c r="M543" s="14">
        <f>IFERROR(IF(OR(J543=0,K543=""),"",IF(E543="Positivo",MAX(K543/J543,0),MAX(J543/K543,0))),"") </f>
        <v/>
      </c>
      <c r="N543" s="5" t="n"/>
      <c r="O543" s="5" t="n"/>
      <c r="P543" s="5" t="n">
        <v>0</v>
      </c>
      <c r="Q543" s="5" t="n">
        <v>0</v>
      </c>
      <c r="R543" s="5" t="inlineStr">
        <is>
          <t>238-2023-12-31</t>
        </is>
      </c>
    </row>
    <row r="544">
      <c r="A544" s="26" t="n">
        <v>238</v>
      </c>
      <c r="B544" s="5" t="inlineStr">
        <is>
          <t>Cumplimiento de la Protección del Medio Ambiente</t>
        </is>
      </c>
      <c r="C544" s="5" t="inlineStr">
        <is>
          <t>GESTIÓN AMBIENTAL</t>
        </is>
      </c>
      <c r="D544" s="5" t="inlineStr">
        <is>
          <t>Trimestral</t>
        </is>
      </c>
      <c r="E544" s="5" t="inlineStr">
        <is>
          <t>Positivo</t>
        </is>
      </c>
      <c r="F544" s="107" t="n">
        <v>45473</v>
      </c>
      <c r="G544" s="5" t="n">
        <v>2024</v>
      </c>
      <c r="H544" s="5" t="inlineStr">
        <is>
          <t>Junio</t>
        </is>
      </c>
      <c r="I544" s="6" t="inlineStr">
        <is>
          <t>2024-1</t>
        </is>
      </c>
      <c r="J544" s="5" t="n">
        <v>90</v>
      </c>
      <c r="K544" s="5" t="n">
        <v>77.1577380952381</v>
      </c>
      <c r="L544" s="74">
        <f>IFERROR(IF(OR(J544=0,K544=""),"",IF(E544="Positivo",MIN(MAX(K544/J544,0),1.3),MIN(MAX(J544/K544,0),1.3))),"") </f>
        <v/>
      </c>
      <c r="M544" s="14">
        <f>IFERROR(IF(OR(J544=0,K544=""),"",IF(E544="Positivo",MAX(K544/J544,0),MAX(J544/K544,0))),"") </f>
        <v/>
      </c>
      <c r="N544" s="5" t="n"/>
      <c r="O544" s="5" t="n"/>
      <c r="P544" s="5" t="n">
        <v>0</v>
      </c>
      <c r="Q544" s="5" t="n">
        <v>0</v>
      </c>
      <c r="R544" s="5" t="inlineStr">
        <is>
          <t>238-2024-06-30</t>
        </is>
      </c>
    </row>
    <row r="545">
      <c r="A545" s="28" t="n">
        <v>238</v>
      </c>
      <c r="B545" s="5" t="inlineStr">
        <is>
          <t>Cumplimiento de la Protección del Medio Ambiente</t>
        </is>
      </c>
      <c r="C545" s="5" t="inlineStr">
        <is>
          <t>GESTIÓN AMBIENTAL</t>
        </is>
      </c>
      <c r="D545" s="5" t="inlineStr">
        <is>
          <t>Trimestral</t>
        </is>
      </c>
      <c r="E545" s="5" t="inlineStr">
        <is>
          <t>Positivo</t>
        </is>
      </c>
      <c r="F545" s="107" t="n">
        <v>45657</v>
      </c>
      <c r="G545" s="5" t="n">
        <v>2024</v>
      </c>
      <c r="H545" s="5" t="inlineStr">
        <is>
          <t>Diciembre</t>
        </is>
      </c>
      <c r="I545" s="6" t="inlineStr">
        <is>
          <t>2024-2</t>
        </is>
      </c>
      <c r="J545" s="5" t="n">
        <v>90</v>
      </c>
      <c r="K545" s="5" t="n">
        <v>82.10526315789474</v>
      </c>
      <c r="L545" s="74">
        <f>IFERROR(IF(OR(J545=0,K545=""),"",IF(E545="Positivo",MIN(MAX(K545/J545,0),1.3),MIN(MAX(J545/K545,0),1.3))),"") </f>
        <v/>
      </c>
      <c r="M545" s="14">
        <f>IFERROR(IF(OR(J545=0,K545=""),"",IF(E545="Positivo",MAX(K545/J545,0),MAX(J545/K545,0))),"") </f>
        <v/>
      </c>
      <c r="N545" s="5" t="n"/>
      <c r="O545" s="5" t="n"/>
      <c r="P545" s="5" t="n">
        <v>0</v>
      </c>
      <c r="Q545" s="5" t="n">
        <v>0</v>
      </c>
      <c r="R545" s="5" t="inlineStr">
        <is>
          <t>238-2024-12-31</t>
        </is>
      </c>
    </row>
    <row r="546">
      <c r="A546" s="26" t="n">
        <v>238</v>
      </c>
      <c r="B546" s="5" t="inlineStr">
        <is>
          <t>Cumplimiento de la Protección del Medio Ambiente</t>
        </is>
      </c>
      <c r="C546" s="5" t="inlineStr">
        <is>
          <t>GESTIÓN AMBIENTAL</t>
        </is>
      </c>
      <c r="D546" s="5" t="inlineStr">
        <is>
          <t>Semestral</t>
        </is>
      </c>
      <c r="E546" s="5" t="inlineStr">
        <is>
          <t>Positivo</t>
        </is>
      </c>
      <c r="F546" s="107" t="n">
        <v>45838</v>
      </c>
      <c r="G546" s="5" t="n">
        <v>2025</v>
      </c>
      <c r="H546" s="5" t="inlineStr">
        <is>
          <t>Junio</t>
        </is>
      </c>
      <c r="I546" s="6" t="inlineStr">
        <is>
          <t>2025-1</t>
        </is>
      </c>
      <c r="J546" s="5" t="n">
        <v>90</v>
      </c>
      <c r="K546" s="5" t="n">
        <v>92.80000000000001</v>
      </c>
      <c r="L546" s="74">
        <f>IFERROR(IF(OR(J546=0,K546=""),"",IF(E546="Positivo",MIN(MAX(K546/J546,0),1.3),MIN(MAX(J546/K546,0),1.3))),"") </f>
        <v/>
      </c>
      <c r="M546" s="14">
        <f>IFERROR(IF(OR(J546=0,K546=""),"",IF(E546="Positivo",MAX(K546/J546,0),MAX(J546/K546,0))),"") </f>
        <v/>
      </c>
      <c r="N546" s="5" t="inlineStr">
        <is>
          <t>Sin Reporte</t>
        </is>
      </c>
      <c r="O546" s="5" t="inlineStr">
        <is>
          <t>Sin Reporte</t>
        </is>
      </c>
      <c r="P546" s="5" t="n">
        <v>0</v>
      </c>
      <c r="Q546" s="5" t="n">
        <v>0</v>
      </c>
      <c r="R546" s="5" t="inlineStr">
        <is>
          <t>238-2025-06-30</t>
        </is>
      </c>
    </row>
    <row r="547">
      <c r="A547" s="5" t="n">
        <v>238</v>
      </c>
      <c r="B547" s="5" t="inlineStr">
        <is>
          <t>Cumplimiento de la Protección del Medio Ambiente</t>
        </is>
      </c>
      <c r="C547" s="5" t="inlineStr">
        <is>
          <t>GESTIÓN AMBIENTAL</t>
        </is>
      </c>
      <c r="D547" s="5" t="inlineStr">
        <is>
          <t>Semestral</t>
        </is>
      </c>
      <c r="E547" s="5" t="inlineStr">
        <is>
          <t>Positivo</t>
        </is>
      </c>
      <c r="F547" s="107" t="n">
        <v>46022</v>
      </c>
      <c r="G547" s="5" t="n">
        <v>2025</v>
      </c>
      <c r="H547" s="5" t="inlineStr">
        <is>
          <t>Diciembre</t>
        </is>
      </c>
      <c r="I547" s="6" t="inlineStr">
        <is>
          <t>2025-2</t>
        </is>
      </c>
      <c r="J547" s="5" t="n">
        <v>90</v>
      </c>
      <c r="K547" s="5" t="n">
        <v>81.295</v>
      </c>
      <c r="L547" s="14">
        <f>IFERROR(IF(OR(J547=0,K547=""),"",IF(E547="Positivo",MIN(MAX(K547/J547,0),1.3),MIN(MAX(J547/K547,0),1.3))),"") </f>
        <v/>
      </c>
      <c r="M547" s="14">
        <f>IFERROR(IF(OR(J547=0,K547=""),"",IF(E547="Positivo",MAX(K547/J547,0),MAX(J547/K547,0))),"") </f>
        <v/>
      </c>
      <c r="N547" s="5" t="inlineStr">
        <is>
          <t>Sin Reporte</t>
        </is>
      </c>
      <c r="O547" s="5" t="inlineStr">
        <is>
          <t>Sin Reporte</t>
        </is>
      </c>
      <c r="P547" s="5" t="n">
        <v>0</v>
      </c>
      <c r="Q547" s="5" t="n">
        <v>0</v>
      </c>
      <c r="R547" s="5" t="inlineStr">
        <is>
          <t>238-2025-12-31</t>
        </is>
      </c>
    </row>
    <row r="548">
      <c r="A548" s="34" t="n">
        <v>239</v>
      </c>
      <c r="B548" s="5" t="inlineStr">
        <is>
          <t>Portafolio de Proyectos - Metrica</t>
        </is>
      </c>
      <c r="C548" s="5" t="inlineStr">
        <is>
          <t>Gestión de Proyectos</t>
        </is>
      </c>
      <c r="D548" s="5" t="inlineStr">
        <is>
          <t>Mensual</t>
        </is>
      </c>
      <c r="E548" s="5" t="inlineStr">
        <is>
          <t>Positivo</t>
        </is>
      </c>
      <c r="F548" s="107" t="n">
        <v>44742</v>
      </c>
      <c r="G548" s="5" t="n">
        <v>2022</v>
      </c>
      <c r="H548" s="5" t="inlineStr">
        <is>
          <t>Junio</t>
        </is>
      </c>
      <c r="I548" s="6" t="inlineStr">
        <is>
          <t>2022-1</t>
        </is>
      </c>
      <c r="J548" s="5" t="n"/>
      <c r="K548" s="5" t="n">
        <v>0</v>
      </c>
      <c r="L548" s="74" t="n"/>
      <c r="M548" s="14" t="n"/>
      <c r="N548" s="5" t="inlineStr">
        <is>
          <t>Metrica</t>
        </is>
      </c>
      <c r="O548" s="5" t="inlineStr">
        <is>
          <t>ENT</t>
        </is>
      </c>
      <c r="P548" s="5" t="n">
        <v>0</v>
      </c>
      <c r="Q548" s="5" t="n">
        <v>0</v>
      </c>
      <c r="R548" s="5" t="inlineStr">
        <is>
          <t>239-2022-06-30</t>
        </is>
      </c>
      <c r="S548" t="inlineStr">
        <is>
          <t>Metrica</t>
        </is>
      </c>
    </row>
    <row r="549">
      <c r="A549" s="26" t="n">
        <v>239</v>
      </c>
      <c r="B549" s="5" t="inlineStr">
        <is>
          <t>Portafolio de Proyectos - Metrica</t>
        </is>
      </c>
      <c r="C549" s="5" t="inlineStr">
        <is>
          <t>Gestión de Proyectos</t>
        </is>
      </c>
      <c r="D549" s="5" t="inlineStr">
        <is>
          <t>Mensual</t>
        </is>
      </c>
      <c r="E549" s="5" t="inlineStr">
        <is>
          <t>Positivo</t>
        </is>
      </c>
      <c r="F549" s="107" t="n">
        <v>44926</v>
      </c>
      <c r="G549" s="5" t="n">
        <v>2022</v>
      </c>
      <c r="H549" s="5" t="inlineStr">
        <is>
          <t>Diciembre</t>
        </is>
      </c>
      <c r="I549" s="6" t="inlineStr">
        <is>
          <t>2022-2</t>
        </is>
      </c>
      <c r="J549" s="5" t="n"/>
      <c r="K549" s="5" t="n">
        <v>0</v>
      </c>
      <c r="L549" s="74" t="n"/>
      <c r="M549" s="14" t="n"/>
      <c r="N549" s="5" t="inlineStr">
        <is>
          <t>Metrica</t>
        </is>
      </c>
      <c r="O549" s="5" t="inlineStr">
        <is>
          <t>ENT</t>
        </is>
      </c>
      <c r="P549" s="5" t="n">
        <v>0</v>
      </c>
      <c r="Q549" s="5" t="n">
        <v>0</v>
      </c>
      <c r="R549" s="5" t="inlineStr">
        <is>
          <t>239-2022-12-31</t>
        </is>
      </c>
      <c r="S549" t="inlineStr">
        <is>
          <t>Metrica</t>
        </is>
      </c>
    </row>
    <row r="550">
      <c r="A550" s="28" t="n">
        <v>239</v>
      </c>
      <c r="B550" s="5" t="inlineStr">
        <is>
          <t>Portafolio de Proyectos</t>
        </is>
      </c>
      <c r="C550" s="5" t="inlineStr">
        <is>
          <t>Gestión de Proyectos</t>
        </is>
      </c>
      <c r="D550" s="5" t="inlineStr">
        <is>
          <t>Mensual</t>
        </is>
      </c>
      <c r="E550" s="5" t="inlineStr">
        <is>
          <t>Positivo</t>
        </is>
      </c>
      <c r="F550" s="107" t="n">
        <v>45107</v>
      </c>
      <c r="G550" s="5" t="n">
        <v>2023</v>
      </c>
      <c r="H550" s="5" t="inlineStr">
        <is>
          <t>Junio</t>
        </is>
      </c>
      <c r="I550" s="6" t="inlineStr">
        <is>
          <t>2023-1</t>
        </is>
      </c>
      <c r="J550" s="5" t="n"/>
      <c r="K550" s="5" t="n">
        <v>19</v>
      </c>
      <c r="L550" s="74" t="n"/>
      <c r="M550" s="14" t="n"/>
      <c r="N550" s="5" t="inlineStr">
        <is>
          <t>Metrica</t>
        </is>
      </c>
      <c r="O550" s="5" t="n"/>
      <c r="P550" s="5" t="n">
        <v>0</v>
      </c>
      <c r="Q550" s="5" t="n">
        <v>0</v>
      </c>
      <c r="R550" s="5" t="inlineStr">
        <is>
          <t>239-2023-06-30</t>
        </is>
      </c>
    </row>
    <row r="551">
      <c r="A551" s="26" t="n">
        <v>239</v>
      </c>
      <c r="B551" s="5" t="inlineStr">
        <is>
          <t>Portafolio de Proyectos</t>
        </is>
      </c>
      <c r="C551" s="5" t="inlineStr">
        <is>
          <t>Gestión de Proyectos</t>
        </is>
      </c>
      <c r="D551" s="5" t="inlineStr">
        <is>
          <t>Mensual</t>
        </is>
      </c>
      <c r="E551" s="5" t="inlineStr">
        <is>
          <t>Positivo</t>
        </is>
      </c>
      <c r="F551" s="107" t="n">
        <v>45291</v>
      </c>
      <c r="G551" s="5" t="n">
        <v>2023</v>
      </c>
      <c r="H551" s="5" t="inlineStr">
        <is>
          <t>Diciembre</t>
        </is>
      </c>
      <c r="I551" s="6" t="inlineStr">
        <is>
          <t>2023-2</t>
        </is>
      </c>
      <c r="J551" s="5" t="n"/>
      <c r="K551" s="5" t="n">
        <v>0</v>
      </c>
      <c r="L551" s="74" t="n"/>
      <c r="M551" s="14" t="n"/>
      <c r="N551" s="5" t="inlineStr">
        <is>
          <t>Metrica</t>
        </is>
      </c>
      <c r="O551" s="5" t="n"/>
      <c r="P551" s="5" t="n">
        <v>0</v>
      </c>
      <c r="Q551" s="5" t="n">
        <v>0</v>
      </c>
      <c r="R551" s="5" t="inlineStr">
        <is>
          <t>239-2023-12-31</t>
        </is>
      </c>
    </row>
    <row r="552">
      <c r="A552" s="5" t="n">
        <v>239</v>
      </c>
      <c r="B552" s="5" t="inlineStr">
        <is>
          <t>Portafolio de Proyectos</t>
        </is>
      </c>
      <c r="C552" s="5" t="inlineStr">
        <is>
          <t>Gestión de Proyectos</t>
        </is>
      </c>
      <c r="D552" s="5" t="inlineStr">
        <is>
          <t>Mensual</t>
        </is>
      </c>
      <c r="E552" s="5" t="inlineStr">
        <is>
          <t>Positivo</t>
        </is>
      </c>
      <c r="F552" s="107" t="n">
        <v>45473</v>
      </c>
      <c r="G552" s="5" t="n">
        <v>2024</v>
      </c>
      <c r="H552" s="5" t="inlineStr">
        <is>
          <t>Junio</t>
        </is>
      </c>
      <c r="I552" s="6" t="inlineStr">
        <is>
          <t>2024-1</t>
        </is>
      </c>
      <c r="J552" s="5" t="n"/>
      <c r="K552" s="5" t="n">
        <v>29</v>
      </c>
      <c r="L552" s="14" t="n"/>
      <c r="M552" s="14" t="n"/>
      <c r="N552" s="5" t="inlineStr">
        <is>
          <t>Metrica</t>
        </is>
      </c>
      <c r="O552" s="5" t="n"/>
      <c r="P552" s="5" t="n">
        <v>0</v>
      </c>
      <c r="Q552" s="5" t="n">
        <v>0</v>
      </c>
      <c r="R552" s="5" t="inlineStr">
        <is>
          <t>239-2024-06-30</t>
        </is>
      </c>
    </row>
    <row r="553">
      <c r="A553" s="5" t="n">
        <v>239</v>
      </c>
      <c r="B553" s="5" t="inlineStr">
        <is>
          <t>Portafolio de Proyectos</t>
        </is>
      </c>
      <c r="C553" s="5" t="inlineStr">
        <is>
          <t>Gestión de Proyectos</t>
        </is>
      </c>
      <c r="D553" s="5" t="inlineStr">
        <is>
          <t>Mensual</t>
        </is>
      </c>
      <c r="E553" s="5" t="inlineStr">
        <is>
          <t>Positivo</t>
        </is>
      </c>
      <c r="F553" s="107" t="n">
        <v>45657</v>
      </c>
      <c r="G553" s="5" t="n">
        <v>2024</v>
      </c>
      <c r="H553" s="5" t="inlineStr">
        <is>
          <t>Diciembre</t>
        </is>
      </c>
      <c r="I553" s="6" t="inlineStr">
        <is>
          <t>2024-2</t>
        </is>
      </c>
      <c r="J553" s="5" t="n"/>
      <c r="K553" s="5" t="n">
        <v>0</v>
      </c>
      <c r="L553" s="14" t="n"/>
      <c r="M553" s="14" t="n"/>
      <c r="N553" s="5" t="inlineStr">
        <is>
          <t>Metrica</t>
        </is>
      </c>
      <c r="O553" s="5" t="n"/>
      <c r="P553" s="5" t="n">
        <v>0</v>
      </c>
      <c r="Q553" s="5" t="n">
        <v>0</v>
      </c>
      <c r="R553" s="5" t="inlineStr">
        <is>
          <t>239-2024-12-31</t>
        </is>
      </c>
    </row>
    <row r="554">
      <c r="A554" s="28" t="n">
        <v>239</v>
      </c>
      <c r="B554" s="5" t="inlineStr">
        <is>
          <t>Portafolio de Proyectos</t>
        </is>
      </c>
      <c r="C554" s="5" t="inlineStr">
        <is>
          <t>Gestión de Proyectos</t>
        </is>
      </c>
      <c r="D554" s="5" t="inlineStr">
        <is>
          <t>Mensual</t>
        </is>
      </c>
      <c r="E554" s="5" t="inlineStr">
        <is>
          <t>Positivo</t>
        </is>
      </c>
      <c r="F554" s="107" t="n">
        <v>45838</v>
      </c>
      <c r="G554" s="5" t="n">
        <v>2025</v>
      </c>
      <c r="H554" s="5" t="inlineStr">
        <is>
          <t>Junio</t>
        </is>
      </c>
      <c r="I554" s="6" t="inlineStr">
        <is>
          <t>2025-1</t>
        </is>
      </c>
      <c r="J554" s="5" t="n"/>
      <c r="K554" s="5" t="n">
        <v>41</v>
      </c>
      <c r="L554" s="74" t="n"/>
      <c r="M554" s="14" t="n"/>
      <c r="N554" s="5" t="inlineStr">
        <is>
          <t>Metrica</t>
        </is>
      </c>
      <c r="O554" s="5" t="n"/>
      <c r="P554" s="5" t="n">
        <v>0</v>
      </c>
      <c r="Q554" s="5" t="n">
        <v>0</v>
      </c>
      <c r="R554" s="5" t="inlineStr">
        <is>
          <t>239-2025-06-30</t>
        </is>
      </c>
    </row>
    <row r="555">
      <c r="A555" s="26" t="n">
        <v>239</v>
      </c>
      <c r="B555" s="5" t="inlineStr">
        <is>
          <t>Portafolio de Proyectos - Metrica</t>
        </is>
      </c>
      <c r="C555" s="5" t="inlineStr">
        <is>
          <t>Gestión de Proyectos</t>
        </is>
      </c>
      <c r="D555" s="5" t="inlineStr">
        <is>
          <t>Mensual</t>
        </is>
      </c>
      <c r="E555" s="5" t="inlineStr">
        <is>
          <t>Positivo</t>
        </is>
      </c>
      <c r="F555" s="107" t="n">
        <v>46022</v>
      </c>
      <c r="G555" s="5" t="n">
        <v>2025</v>
      </c>
      <c r="H555" s="5" t="inlineStr">
        <is>
          <t>Diciembre</t>
        </is>
      </c>
      <c r="I555" s="6" t="inlineStr">
        <is>
          <t>2025-2</t>
        </is>
      </c>
      <c r="J555" s="5" t="n"/>
      <c r="K555" s="5" t="n">
        <v>44</v>
      </c>
      <c r="L555" s="74" t="n"/>
      <c r="M555" s="14" t="n"/>
      <c r="N555" s="5" t="inlineStr">
        <is>
          <t>Metrica</t>
        </is>
      </c>
      <c r="O555" s="5" t="inlineStr">
        <is>
          <t>ENT</t>
        </is>
      </c>
      <c r="P555" s="5" t="n">
        <v>0</v>
      </c>
      <c r="Q555" s="5" t="n">
        <v>0</v>
      </c>
      <c r="R555" s="5" t="inlineStr">
        <is>
          <t>239-2025-12-31</t>
        </is>
      </c>
      <c r="S555" t="inlineStr">
        <is>
          <t>Metrica</t>
        </is>
      </c>
    </row>
    <row r="556">
      <c r="A556" s="5" t="n">
        <v>240</v>
      </c>
      <c r="B556" s="5" t="inlineStr">
        <is>
          <t>Cumplimiento de Gestión De Proyectos Cerrados</t>
        </is>
      </c>
      <c r="C556" s="5" t="inlineStr">
        <is>
          <t>Gestión de Proyectos</t>
        </is>
      </c>
      <c r="D556" s="5" t="inlineStr">
        <is>
          <t>Trimestral</t>
        </is>
      </c>
      <c r="E556" s="5" t="inlineStr">
        <is>
          <t>Positivo</t>
        </is>
      </c>
      <c r="F556" s="107" t="n">
        <v>45107</v>
      </c>
      <c r="G556" s="5" t="n">
        <v>2023</v>
      </c>
      <c r="H556" s="5" t="inlineStr">
        <is>
          <t>Junio</t>
        </is>
      </c>
      <c r="I556" s="6" t="inlineStr">
        <is>
          <t>2023-1</t>
        </is>
      </c>
      <c r="J556" s="5" t="n">
        <v>100</v>
      </c>
      <c r="K556" s="5" t="n">
        <v>50</v>
      </c>
      <c r="L556" s="14">
        <f>IFERROR(IF(OR(J556=0,K556=""),"",IF(E556="Positivo",MIN(MAX(K556/J556,0),1.3),MIN(MAX(J556/K556,0),1.3))),"") </f>
        <v/>
      </c>
      <c r="M556" s="14">
        <f>IFERROR(IF(OR(J556=0,K556=""),"",IF(E556="Positivo",MAX(K556/J556,0),MAX(J556/K556,0))),"") </f>
        <v/>
      </c>
      <c r="N556" s="5" t="inlineStr">
        <is>
          <t>%</t>
        </is>
      </c>
      <c r="O556" s="5" t="inlineStr">
        <is>
          <t>%</t>
        </is>
      </c>
      <c r="P556" s="5" t="n">
        <v>0</v>
      </c>
      <c r="Q556" s="5" t="n">
        <v>0</v>
      </c>
      <c r="R556" s="5" t="inlineStr">
        <is>
          <t>240-2023-06-30</t>
        </is>
      </c>
    </row>
    <row r="557">
      <c r="A557" s="5" t="n">
        <v>240</v>
      </c>
      <c r="B557" s="5" t="inlineStr">
        <is>
          <t>Cumplimiento de Gestión De Proyectos Cerrados</t>
        </is>
      </c>
      <c r="C557" s="5" t="inlineStr">
        <is>
          <t>Gestión de Proyectos</t>
        </is>
      </c>
      <c r="D557" s="5" t="inlineStr">
        <is>
          <t>Trimestral</t>
        </is>
      </c>
      <c r="E557" s="5" t="inlineStr">
        <is>
          <t>Positivo</t>
        </is>
      </c>
      <c r="F557" s="107" t="n">
        <v>45291</v>
      </c>
      <c r="G557" s="5" t="n">
        <v>2023</v>
      </c>
      <c r="H557" s="5" t="inlineStr">
        <is>
          <t>Diciembre</t>
        </is>
      </c>
      <c r="I557" s="6" t="inlineStr">
        <is>
          <t>2023-2</t>
        </is>
      </c>
      <c r="J557" s="5" t="n">
        <v>100</v>
      </c>
      <c r="K557" s="5" t="n">
        <v>80</v>
      </c>
      <c r="L557" s="14">
        <f>IFERROR(IF(OR(J557=0,K557=""),"",IF(E557="Positivo",MIN(MAX(K557/J557,0),1.3),MIN(MAX(J557/K557,0),1.3))),"") </f>
        <v/>
      </c>
      <c r="M557" s="14">
        <f>IFERROR(IF(OR(J557=0,K557=""),"",IF(E557="Positivo",MAX(K557/J557,0),MAX(J557/K557,0))),"") </f>
        <v/>
      </c>
      <c r="N557" s="5" t="inlineStr">
        <is>
          <t>%</t>
        </is>
      </c>
      <c r="O557" s="5" t="inlineStr">
        <is>
          <t>%</t>
        </is>
      </c>
      <c r="P557" s="5" t="n">
        <v>0</v>
      </c>
      <c r="Q557" s="5" t="n">
        <v>0</v>
      </c>
      <c r="R557" s="5" t="inlineStr">
        <is>
          <t>240-2023-12-31</t>
        </is>
      </c>
    </row>
    <row r="558">
      <c r="A558" s="28" t="n">
        <v>240</v>
      </c>
      <c r="B558" s="5" t="inlineStr">
        <is>
          <t>Cumplimiento de Gestión De Proyectos Cerrados</t>
        </is>
      </c>
      <c r="C558" s="5" t="inlineStr">
        <is>
          <t>Gestión de Proyectos</t>
        </is>
      </c>
      <c r="D558" s="5" t="inlineStr">
        <is>
          <t>Trimestral</t>
        </is>
      </c>
      <c r="E558" s="5" t="inlineStr">
        <is>
          <t>Positivo</t>
        </is>
      </c>
      <c r="F558" s="107" t="n">
        <v>45473</v>
      </c>
      <c r="G558" s="5" t="n">
        <v>2024</v>
      </c>
      <c r="H558" s="5" t="inlineStr">
        <is>
          <t>Junio</t>
        </is>
      </c>
      <c r="I558" s="6" t="inlineStr">
        <is>
          <t>2024-1</t>
        </is>
      </c>
      <c r="J558" s="5" t="n">
        <v>100</v>
      </c>
      <c r="K558" s="5" t="n">
        <v>95.83333333333333</v>
      </c>
      <c r="L558" s="74">
        <f>IFERROR(IF(OR(J558=0,K558=""),"",IF(E558="Positivo",MIN(MAX(K558/J558,0),1.3),MIN(MAX(J558/K558,0),1.3))),"") </f>
        <v/>
      </c>
      <c r="M558" s="14">
        <f>IFERROR(IF(OR(J558=0,K558=""),"",IF(E558="Positivo",MAX(K558/J558,0),MAX(J558/K558,0))),"") </f>
        <v/>
      </c>
      <c r="N558" s="5" t="inlineStr">
        <is>
          <t>%</t>
        </is>
      </c>
      <c r="O558" s="5" t="inlineStr">
        <is>
          <t>%</t>
        </is>
      </c>
      <c r="P558" s="5" t="n">
        <v>0</v>
      </c>
      <c r="Q558" s="5" t="n">
        <v>0</v>
      </c>
      <c r="R558" s="5" t="inlineStr">
        <is>
          <t>240-2024-06-30</t>
        </is>
      </c>
    </row>
    <row r="559">
      <c r="A559" s="26" t="n">
        <v>240</v>
      </c>
      <c r="B559" s="5" t="inlineStr">
        <is>
          <t>Cumplimiento de Gestión De Proyectos Cerrados</t>
        </is>
      </c>
      <c r="C559" s="5" t="inlineStr">
        <is>
          <t>Gestión de Proyectos</t>
        </is>
      </c>
      <c r="D559" s="5" t="inlineStr">
        <is>
          <t>Trimestral</t>
        </is>
      </c>
      <c r="E559" s="5" t="inlineStr">
        <is>
          <t>Positivo</t>
        </is>
      </c>
      <c r="F559" s="107" t="n">
        <v>45657</v>
      </c>
      <c r="G559" s="5" t="n">
        <v>2024</v>
      </c>
      <c r="H559" s="5" t="inlineStr">
        <is>
          <t>Diciembre</t>
        </is>
      </c>
      <c r="I559" s="6" t="inlineStr">
        <is>
          <t>2024-2</t>
        </is>
      </c>
      <c r="J559" s="5" t="n">
        <v>100</v>
      </c>
      <c r="K559" s="5" t="n">
        <v>100</v>
      </c>
      <c r="L559" s="74">
        <f>IFERROR(IF(OR(J559=0,K559=""),"",IF(E559="Positivo",MIN(MAX(K559/J559,0),1.3),MIN(MAX(J559/K559,0),1.3))),"") </f>
        <v/>
      </c>
      <c r="M559" s="14">
        <f>IFERROR(IF(OR(J559=0,K559=""),"",IF(E559="Positivo",MAX(K559/J559,0),MAX(J559/K559,0))),"") </f>
        <v/>
      </c>
      <c r="N559" s="5" t="inlineStr">
        <is>
          <t>%</t>
        </is>
      </c>
      <c r="O559" s="5" t="inlineStr">
        <is>
          <t>%</t>
        </is>
      </c>
      <c r="P559" s="5" t="n">
        <v>0</v>
      </c>
      <c r="Q559" s="5" t="n">
        <v>0</v>
      </c>
      <c r="R559" s="5" t="inlineStr">
        <is>
          <t>240-2024-12-31</t>
        </is>
      </c>
    </row>
    <row r="560">
      <c r="A560" s="5" t="n">
        <v>240</v>
      </c>
      <c r="B560" s="5" t="inlineStr">
        <is>
          <t>Cumplimiento de Gestión De Proyectos Cerrados</t>
        </is>
      </c>
      <c r="C560" s="5" t="inlineStr">
        <is>
          <t>Gestión de Proyectos</t>
        </is>
      </c>
      <c r="D560" s="5" t="inlineStr">
        <is>
          <t>Trimestral</t>
        </is>
      </c>
      <c r="E560" s="5" t="inlineStr">
        <is>
          <t>Positivo</t>
        </is>
      </c>
      <c r="F560" s="107" t="n">
        <v>45838</v>
      </c>
      <c r="G560" s="5" t="n">
        <v>2025</v>
      </c>
      <c r="H560" s="5" t="inlineStr">
        <is>
          <t>Junio</t>
        </is>
      </c>
      <c r="I560" s="6" t="inlineStr">
        <is>
          <t>2025-1</t>
        </is>
      </c>
      <c r="J560" s="5" t="n">
        <v>100</v>
      </c>
      <c r="K560" s="5" t="n">
        <v>100</v>
      </c>
      <c r="L560" s="14">
        <f>IFERROR(IF(OR(J560=0,K560=""),"",IF(E560="Positivo",MIN(MAX(K560/J560,0),1.3),MIN(MAX(J560/K560,0),1.3))),"") </f>
        <v/>
      </c>
      <c r="M560" s="14">
        <f>IFERROR(IF(OR(J560=0,K560=""),"",IF(E560="Positivo",MAX(K560/J560,0),MAX(J560/K560,0))),"") </f>
        <v/>
      </c>
      <c r="N560" s="5" t="inlineStr">
        <is>
          <t>%</t>
        </is>
      </c>
      <c r="O560" s="5" t="inlineStr">
        <is>
          <t>%</t>
        </is>
      </c>
      <c r="P560" s="5" t="n">
        <v>0</v>
      </c>
      <c r="Q560" s="5" t="n">
        <v>0</v>
      </c>
      <c r="R560" s="5" t="inlineStr">
        <is>
          <t>240-2025-06-30</t>
        </is>
      </c>
    </row>
    <row r="561">
      <c r="A561" s="5" t="n">
        <v>240</v>
      </c>
      <c r="B561" s="5" t="inlineStr">
        <is>
          <t>Cumplimiento de Gestión De Proyectos Cerrados</t>
        </is>
      </c>
      <c r="C561" s="5" t="inlineStr">
        <is>
          <t>Gestión de Proyectos</t>
        </is>
      </c>
      <c r="D561" s="5" t="inlineStr">
        <is>
          <t>Semestral</t>
        </is>
      </c>
      <c r="E561" s="5" t="inlineStr">
        <is>
          <t>Positivo</t>
        </is>
      </c>
      <c r="F561" s="107" t="n">
        <v>46022</v>
      </c>
      <c r="G561" s="5" t="n">
        <v>2025</v>
      </c>
      <c r="H561" s="5" t="inlineStr">
        <is>
          <t>Diciembre</t>
        </is>
      </c>
      <c r="I561" s="6" t="inlineStr">
        <is>
          <t>2025-2</t>
        </is>
      </c>
      <c r="J561" s="5" t="n">
        <v>100</v>
      </c>
      <c r="K561" s="5" t="n">
        <v>100</v>
      </c>
      <c r="L561" s="14">
        <f>IFERROR(IF(OR(J561=0,K561=""),"",IF(E561="Positivo",MIN(MAX(K561/J561,0),1.3),MIN(MAX(J561/K561,0),1.3))),"") </f>
        <v/>
      </c>
      <c r="M561" s="14">
        <f>IFERROR(IF(OR(J561=0,K561=""),"",IF(E561="Positivo",MAX(K561/J561,0),MAX(J561/K561,0))),"") </f>
        <v/>
      </c>
      <c r="N561" s="5" t="inlineStr">
        <is>
          <t>%</t>
        </is>
      </c>
      <c r="O561" s="5" t="inlineStr">
        <is>
          <t>%</t>
        </is>
      </c>
      <c r="P561" s="5" t="n">
        <v>0</v>
      </c>
      <c r="Q561" s="5" t="n">
        <v>0</v>
      </c>
      <c r="R561" s="5" t="inlineStr">
        <is>
          <t>240-2025-12-31</t>
        </is>
      </c>
    </row>
    <row r="562">
      <c r="A562" s="28" t="n">
        <v>241</v>
      </c>
      <c r="B562" s="5" t="inlineStr">
        <is>
          <t>Cumplimiento de gestión de proyectos fase inicio</t>
        </is>
      </c>
      <c r="C562" s="5" t="inlineStr">
        <is>
          <t>Gestión de Proyectos</t>
        </is>
      </c>
      <c r="D562" s="5" t="inlineStr">
        <is>
          <t>Mensual</t>
        </is>
      </c>
      <c r="E562" s="5" t="inlineStr">
        <is>
          <t>Positivo</t>
        </is>
      </c>
      <c r="F562" s="107" t="n">
        <v>45107</v>
      </c>
      <c r="G562" s="5" t="n">
        <v>2023</v>
      </c>
      <c r="H562" s="5" t="inlineStr">
        <is>
          <t>Junio</t>
        </is>
      </c>
      <c r="I562" s="6" t="inlineStr">
        <is>
          <t>2023-1</t>
        </is>
      </c>
      <c r="J562" s="5" t="n">
        <v>80</v>
      </c>
      <c r="K562" s="5" t="n">
        <v>94.19191919191917</v>
      </c>
      <c r="L562" s="14">
        <f>IFERROR(IF(OR(J562=0,K562=""),"",IF(E562="Positivo",MIN(MAX(K562/J562,0),1.3),MIN(MAX(J562/K562,0),1.3))),"") </f>
        <v/>
      </c>
      <c r="M562" s="14">
        <f>IFERROR(IF(OR(J562=0,K562=""),"",IF(E562="Positivo",MAX(K562/J562,0),MAX(J562/K562,0))),"") </f>
        <v/>
      </c>
      <c r="N562" s="5" t="n"/>
      <c r="O562" s="5" t="n"/>
      <c r="P562" s="5" t="n">
        <v>0</v>
      </c>
      <c r="Q562" s="5" t="n">
        <v>0</v>
      </c>
      <c r="R562" s="5" t="inlineStr">
        <is>
          <t>241-2023-06-30</t>
        </is>
      </c>
    </row>
    <row r="563">
      <c r="A563" s="26" t="n">
        <v>241</v>
      </c>
      <c r="B563" s="5" t="inlineStr">
        <is>
          <t>Cumplimiento de gestión de proyectos fase inicio</t>
        </is>
      </c>
      <c r="C563" s="5" t="inlineStr">
        <is>
          <t>Gestión de Proyectos</t>
        </is>
      </c>
      <c r="D563" s="5" t="inlineStr">
        <is>
          <t>Mensual</t>
        </is>
      </c>
      <c r="E563" s="5" t="inlineStr">
        <is>
          <t>Positivo</t>
        </is>
      </c>
      <c r="F563" s="107" t="n">
        <v>45291</v>
      </c>
      <c r="G563" s="5" t="n">
        <v>2023</v>
      </c>
      <c r="H563" s="5" t="inlineStr">
        <is>
          <t>Diciembre</t>
        </is>
      </c>
      <c r="I563" s="6" t="inlineStr">
        <is>
          <t>2023-2</t>
        </is>
      </c>
      <c r="J563" s="5" t="n">
        <v>80</v>
      </c>
      <c r="K563" s="5" t="n">
        <v>90.90666666666668</v>
      </c>
      <c r="L563" s="14">
        <f>IFERROR(IF(OR(J563=0,K563=""),"",IF(E563="Positivo",MIN(MAX(K563/J563,0),1.3),MIN(MAX(J563/K563,0),1.3))),"") </f>
        <v/>
      </c>
      <c r="M563" s="14">
        <f>IFERROR(IF(OR(J563=0,K563=""),"",IF(E563="Positivo",MAX(K563/J563,0),MAX(J563/K563,0))),"") </f>
        <v/>
      </c>
      <c r="N563" s="5" t="n"/>
      <c r="O563" s="5" t="n"/>
      <c r="P563" s="5" t="n">
        <v>0</v>
      </c>
      <c r="Q563" s="5" t="n">
        <v>0</v>
      </c>
      <c r="R563" s="5" t="inlineStr">
        <is>
          <t>241-2023-12-31</t>
        </is>
      </c>
    </row>
    <row r="564">
      <c r="A564" s="5" t="n">
        <v>241</v>
      </c>
      <c r="B564" s="5" t="inlineStr">
        <is>
          <t>Cumplimiento de gestión de proyectos fase inicio</t>
        </is>
      </c>
      <c r="C564" s="5" t="inlineStr">
        <is>
          <t>Gestión de Proyectos</t>
        </is>
      </c>
      <c r="D564" s="5" t="inlineStr">
        <is>
          <t>Mensual</t>
        </is>
      </c>
      <c r="E564" s="5" t="inlineStr">
        <is>
          <t>Positivo</t>
        </is>
      </c>
      <c r="F564" s="107" t="n">
        <v>45473</v>
      </c>
      <c r="G564" s="5" t="n">
        <v>2024</v>
      </c>
      <c r="H564" s="5" t="inlineStr">
        <is>
          <t>Junio</t>
        </is>
      </c>
      <c r="I564" s="6" t="inlineStr">
        <is>
          <t>2024-1</t>
        </is>
      </c>
      <c r="J564" s="5" t="n">
        <v>80</v>
      </c>
      <c r="K564" s="5" t="n">
        <v>88.53775853775853</v>
      </c>
      <c r="L564" s="14">
        <f>IFERROR(IF(OR(J564=0,K564=""),"",IF(E564="Positivo",MIN(MAX(K564/J564,0),1.3),MIN(MAX(J564/K564,0),1.3))),"") </f>
        <v/>
      </c>
      <c r="M564" s="14">
        <f>IFERROR(IF(OR(J564=0,K564=""),"",IF(E564="Positivo",MAX(K564/J564,0),MAX(J564/K564,0))),"") </f>
        <v/>
      </c>
      <c r="N564" s="5" t="n"/>
      <c r="O564" s="5" t="n"/>
      <c r="P564" s="5" t="n">
        <v>0</v>
      </c>
      <c r="Q564" s="5" t="n">
        <v>0</v>
      </c>
      <c r="R564" s="5" t="inlineStr">
        <is>
          <t>241-2024-06-30</t>
        </is>
      </c>
    </row>
    <row r="565">
      <c r="A565" s="5" t="n">
        <v>241</v>
      </c>
      <c r="B565" s="5" t="inlineStr">
        <is>
          <t>Cumplimiento de gestión de proyectos fase inicio</t>
        </is>
      </c>
      <c r="C565" s="5" t="inlineStr">
        <is>
          <t>Gestión de Proyectos</t>
        </is>
      </c>
      <c r="D565" s="5" t="inlineStr">
        <is>
          <t>Mensual</t>
        </is>
      </c>
      <c r="E565" s="5" t="inlineStr">
        <is>
          <t>Positivo</t>
        </is>
      </c>
      <c r="F565" s="107" t="n">
        <v>45657</v>
      </c>
      <c r="G565" s="5" t="n">
        <v>2024</v>
      </c>
      <c r="H565" s="5" t="inlineStr">
        <is>
          <t>Diciembre</t>
        </is>
      </c>
      <c r="I565" s="6" t="inlineStr">
        <is>
          <t>2024-2</t>
        </is>
      </c>
      <c r="J565" s="5" t="n">
        <v>80</v>
      </c>
      <c r="K565" s="10" t="n">
        <v>89.34065934065934</v>
      </c>
      <c r="L565" s="14">
        <f>IFERROR(IF(OR(J565=0,K565=""),"",IF(E565="Positivo",MIN(MAX(K565/J565,0),1.3),MIN(MAX(J565/K565,0),1.3))),"") </f>
        <v/>
      </c>
      <c r="M565" s="14">
        <f>IFERROR(IF(OR(J565=0,K565=""),"",IF(E565="Positivo",MAX(K565/J565,0),MAX(J565/K565,0))),"") </f>
        <v/>
      </c>
      <c r="N565" s="5" t="n"/>
      <c r="O565" s="5" t="n"/>
      <c r="P565" s="5" t="n">
        <v>0</v>
      </c>
      <c r="Q565" s="5" t="n">
        <v>0</v>
      </c>
      <c r="R565" s="5" t="inlineStr">
        <is>
          <t>241-2024-12-31</t>
        </is>
      </c>
    </row>
    <row r="566">
      <c r="A566" s="26" t="n">
        <v>241</v>
      </c>
      <c r="B566" s="5" t="inlineStr">
        <is>
          <t>Cumplimiento de gestión de proyectos fase inicio</t>
        </is>
      </c>
      <c r="C566" s="5" t="inlineStr">
        <is>
          <t>Gestión de Proyectos</t>
        </is>
      </c>
      <c r="D566" s="5" t="inlineStr">
        <is>
          <t>Mensual</t>
        </is>
      </c>
      <c r="E566" s="5" t="inlineStr">
        <is>
          <t>Positivo</t>
        </is>
      </c>
      <c r="F566" s="107" t="n">
        <v>45838</v>
      </c>
      <c r="G566" s="5" t="n">
        <v>2025</v>
      </c>
      <c r="H566" s="5" t="inlineStr">
        <is>
          <t>Junio</t>
        </is>
      </c>
      <c r="I566" s="6" t="inlineStr">
        <is>
          <t>2025-1</t>
        </is>
      </c>
      <c r="J566" s="5" t="n">
        <v>80</v>
      </c>
      <c r="K566" s="5" t="n">
        <v>100</v>
      </c>
      <c r="L566" s="74">
        <f>IFERROR(IF(OR(J566=0,K566=""),"",IF(E566="Positivo",MIN(MAX(K566/J566,0),1.3),MIN(MAX(J566/K566,0),1.3))),"") </f>
        <v/>
      </c>
      <c r="M566" s="14">
        <f>IFERROR(IF(OR(J566=0,K566=""),"",IF(E566="Positivo",MAX(K566/J566,0),MAX(J566/K566,0))),"") </f>
        <v/>
      </c>
      <c r="N566" s="5" t="n"/>
      <c r="O566" s="5" t="n"/>
      <c r="P566" s="5" t="n">
        <v>0</v>
      </c>
      <c r="Q566" s="5" t="n">
        <v>0</v>
      </c>
      <c r="R566" s="5" t="inlineStr">
        <is>
          <t>241-2025-06-30</t>
        </is>
      </c>
    </row>
    <row r="567">
      <c r="A567" s="5" t="n">
        <v>241</v>
      </c>
      <c r="B567" s="5" t="inlineStr">
        <is>
          <t>Cumplimiento de gestión de proyectos fase inicio</t>
        </is>
      </c>
      <c r="C567" s="5" t="inlineStr">
        <is>
          <t>Gestión de Proyectos</t>
        </is>
      </c>
      <c r="D567" s="5" t="inlineStr">
        <is>
          <t>Mensual</t>
        </is>
      </c>
      <c r="E567" s="5" t="inlineStr">
        <is>
          <t>Positivo</t>
        </is>
      </c>
      <c r="F567" s="107" t="n">
        <v>46022</v>
      </c>
      <c r="G567" s="5" t="n">
        <v>2025</v>
      </c>
      <c r="H567" s="5" t="inlineStr">
        <is>
          <t>Diciembre</t>
        </is>
      </c>
      <c r="I567" s="6" t="inlineStr">
        <is>
          <t>2025-2</t>
        </is>
      </c>
      <c r="J567" s="5" t="n">
        <v>80</v>
      </c>
      <c r="K567" s="5" t="n">
        <v>98.61166666666666</v>
      </c>
      <c r="L567" s="14">
        <f>IFERROR(IF(OR(J567=0,K567=""),"",IF(E567="Positivo",MIN(MAX(K567/J567,0),1.3),MIN(MAX(J567/K567,0),1.3))),"") </f>
        <v/>
      </c>
      <c r="M567" s="14">
        <f>IFERROR(IF(OR(J567=0,K567=""),"",IF(E567="Positivo",MAX(K567/J567,0),MAX(J567/K567,0))),"") </f>
        <v/>
      </c>
      <c r="N567" s="5" t="inlineStr">
        <is>
          <t>%</t>
        </is>
      </c>
      <c r="O567" s="5" t="inlineStr">
        <is>
          <t>%</t>
        </is>
      </c>
      <c r="P567" s="5" t="n">
        <v>0</v>
      </c>
      <c r="Q567" s="5" t="n">
        <v>0</v>
      </c>
      <c r="R567" s="5" t="inlineStr">
        <is>
          <t>241-2025-12-31</t>
        </is>
      </c>
    </row>
    <row r="568">
      <c r="A568" s="28" t="n">
        <v>242</v>
      </c>
      <c r="B568" s="5" t="inlineStr">
        <is>
          <t>Cumplimiento a cronograma de proyectos</t>
        </is>
      </c>
      <c r="C568" s="5" t="inlineStr">
        <is>
          <t>Gestión de Proyectos</t>
        </is>
      </c>
      <c r="D568" s="5" t="inlineStr">
        <is>
          <t>Mensual</t>
        </is>
      </c>
      <c r="E568" s="5" t="inlineStr">
        <is>
          <t>Positivo</t>
        </is>
      </c>
      <c r="F568" s="107" t="n">
        <v>45107</v>
      </c>
      <c r="G568" s="5" t="n">
        <v>2023</v>
      </c>
      <c r="H568" s="5" t="inlineStr">
        <is>
          <t>Junio</t>
        </is>
      </c>
      <c r="I568" s="6" t="inlineStr">
        <is>
          <t>2023-1</t>
        </is>
      </c>
      <c r="J568" s="5" t="n">
        <v>90</v>
      </c>
      <c r="K568" s="5" t="n">
        <v>97.68000000000001</v>
      </c>
      <c r="L568" s="74">
        <f>IFERROR(IF(OR(J568=0,K568=""),"",IF(E568="Positivo",MIN(MAX(K568/J568,0),1.3),MIN(MAX(J568/K568,0),1.3))),"") </f>
        <v/>
      </c>
      <c r="M568" s="14">
        <f>IFERROR(IF(OR(J568=0,K568=""),"",IF(E568="Positivo",MAX(K568/J568,0),MAX(J568/K568,0))),"") </f>
        <v/>
      </c>
      <c r="N568" s="5" t="inlineStr">
        <is>
          <t>%</t>
        </is>
      </c>
      <c r="O568" s="5" t="inlineStr">
        <is>
          <t>%</t>
        </is>
      </c>
      <c r="P568" s="5" t="n">
        <v>0</v>
      </c>
      <c r="Q568" s="5" t="n">
        <v>0</v>
      </c>
      <c r="R568" s="5" t="inlineStr">
        <is>
          <t>242-2023-06-30</t>
        </is>
      </c>
    </row>
    <row r="569">
      <c r="A569" s="26" t="n">
        <v>242</v>
      </c>
      <c r="B569" s="5" t="inlineStr">
        <is>
          <t>Cumplimiento a cronograma de proyectos</t>
        </is>
      </c>
      <c r="C569" s="5" t="inlineStr">
        <is>
          <t>Gestión de Proyectos</t>
        </is>
      </c>
      <c r="D569" s="5" t="inlineStr">
        <is>
          <t>Mensual</t>
        </is>
      </c>
      <c r="E569" s="5" t="inlineStr">
        <is>
          <t>Positivo</t>
        </is>
      </c>
      <c r="F569" s="107" t="n">
        <v>45291</v>
      </c>
      <c r="G569" s="5" t="n">
        <v>2023</v>
      </c>
      <c r="H569" s="5" t="inlineStr">
        <is>
          <t>Diciembre</t>
        </is>
      </c>
      <c r="I569" s="6" t="inlineStr">
        <is>
          <t>2023-2</t>
        </is>
      </c>
      <c r="J569" s="5" t="n">
        <v>90</v>
      </c>
      <c r="K569" s="5" t="n">
        <v>95.44</v>
      </c>
      <c r="L569" s="74">
        <f>IFERROR(IF(OR(J569=0,K569=""),"",IF(E569="Positivo",MIN(MAX(K569/J569,0),1.3),MIN(MAX(J569/K569,0),1.3))),"") </f>
        <v/>
      </c>
      <c r="M569" s="14">
        <f>IFERROR(IF(OR(J569=0,K569=""),"",IF(E569="Positivo",MAX(K569/J569,0),MAX(J569/K569,0))),"") </f>
        <v/>
      </c>
      <c r="N569" s="5" t="inlineStr">
        <is>
          <t>%</t>
        </is>
      </c>
      <c r="O569" s="5" t="inlineStr">
        <is>
          <t>%</t>
        </is>
      </c>
      <c r="P569" s="5" t="n">
        <v>0</v>
      </c>
      <c r="Q569" s="5" t="n">
        <v>0</v>
      </c>
      <c r="R569" s="5" t="inlineStr">
        <is>
          <t>242-2023-12-31</t>
        </is>
      </c>
    </row>
    <row r="570">
      <c r="A570" s="5" t="n">
        <v>243</v>
      </c>
      <c r="B570" s="5" t="inlineStr">
        <is>
          <t>Cumplimiento de gestión de proyectos control de cambios</t>
        </is>
      </c>
      <c r="C570" s="5" t="inlineStr">
        <is>
          <t>Gestión de Proyectos</t>
        </is>
      </c>
      <c r="D570" s="5" t="inlineStr">
        <is>
          <t>Mensual</t>
        </is>
      </c>
      <c r="E570" s="5" t="inlineStr">
        <is>
          <t>Negativo</t>
        </is>
      </c>
      <c r="F570" s="107" t="n">
        <v>44957</v>
      </c>
      <c r="G570" s="5" t="n">
        <v>2023</v>
      </c>
      <c r="H570" s="5" t="inlineStr">
        <is>
          <t>Enero</t>
        </is>
      </c>
      <c r="I570" s="6" t="inlineStr">
        <is>
          <t>2023-1</t>
        </is>
      </c>
      <c r="J570" s="5" t="n">
        <v>0</v>
      </c>
      <c r="K570" s="5" t="n">
        <v>0</v>
      </c>
      <c r="L570" s="14">
        <f>IFERROR(IF(OR(J570=0,K570=""),"",IF(E570="Positivo",MIN(MAX(K570/J570,0),1.3),MIN(MAX(J570/K570,0),1.3))),"") </f>
        <v/>
      </c>
      <c r="M570" s="14">
        <f>IFERROR(IF(OR(J570=0,K570=""),"",IF(E570="Positivo",MAX(K570/J570,0),MAX(J570/K570,0))),"") </f>
        <v/>
      </c>
      <c r="N570" s="5" t="inlineStr">
        <is>
          <t>%</t>
        </is>
      </c>
      <c r="O570" s="5" t="inlineStr">
        <is>
          <t>%</t>
        </is>
      </c>
      <c r="P570" s="5" t="n">
        <v>0</v>
      </c>
      <c r="Q570" s="5" t="n">
        <v>0</v>
      </c>
      <c r="R570" s="5" t="inlineStr">
        <is>
          <t>243-2023-01-31</t>
        </is>
      </c>
    </row>
    <row r="571">
      <c r="A571" s="5" t="n">
        <v>243</v>
      </c>
      <c r="B571" s="5" t="inlineStr">
        <is>
          <t>Cumplimiento de gestión de proyectos control de cambios</t>
        </is>
      </c>
      <c r="C571" s="5" t="inlineStr">
        <is>
          <t>Gestión de Proyectos</t>
        </is>
      </c>
      <c r="D571" s="5" t="inlineStr">
        <is>
          <t>Mensual</t>
        </is>
      </c>
      <c r="E571" s="5" t="inlineStr">
        <is>
          <t>Negativo</t>
        </is>
      </c>
      <c r="F571" s="107" t="n">
        <v>44985</v>
      </c>
      <c r="G571" s="5" t="n">
        <v>2023</v>
      </c>
      <c r="H571" s="5" t="inlineStr">
        <is>
          <t>Febrero</t>
        </is>
      </c>
      <c r="I571" s="6" t="inlineStr">
        <is>
          <t>2023-1</t>
        </is>
      </c>
      <c r="J571" s="5" t="n">
        <v>0</v>
      </c>
      <c r="K571" s="5" t="n">
        <v>0</v>
      </c>
      <c r="L571" s="14">
        <f>IFERROR(IF(OR(J571=0,K571=""),"",IF(E571="Positivo",MIN(MAX(K571/J571,0),1.3),MIN(MAX(J571/K571,0),1.3))),"") </f>
        <v/>
      </c>
      <c r="M571" s="14">
        <f>IFERROR(IF(OR(J571=0,K571=""),"",IF(E571="Positivo",MAX(K571/J571,0),MAX(J571/K571,0))),"") </f>
        <v/>
      </c>
      <c r="N571" s="5" t="inlineStr">
        <is>
          <t>%</t>
        </is>
      </c>
      <c r="O571" s="5" t="inlineStr">
        <is>
          <t>%</t>
        </is>
      </c>
      <c r="P571" s="5" t="n">
        <v>0</v>
      </c>
      <c r="Q571" s="5" t="n">
        <v>0</v>
      </c>
      <c r="R571" s="5" t="inlineStr">
        <is>
          <t>243-2023-02-28</t>
        </is>
      </c>
    </row>
    <row r="572">
      <c r="A572" s="28" t="n">
        <v>243</v>
      </c>
      <c r="B572" s="5" t="inlineStr">
        <is>
          <t>Cumplimiento de gestión de proyectos control de cambios</t>
        </is>
      </c>
      <c r="C572" s="5" t="inlineStr">
        <is>
          <t>Gestión de Proyectos</t>
        </is>
      </c>
      <c r="D572" s="5" t="inlineStr">
        <is>
          <t>Mensual</t>
        </is>
      </c>
      <c r="E572" s="5" t="inlineStr">
        <is>
          <t>Negativo</t>
        </is>
      </c>
      <c r="F572" s="107" t="n">
        <v>45016</v>
      </c>
      <c r="G572" s="5" t="n">
        <v>2023</v>
      </c>
      <c r="H572" s="5" t="inlineStr">
        <is>
          <t>Marzo</t>
        </is>
      </c>
      <c r="I572" s="6" t="inlineStr">
        <is>
          <t>2023-1</t>
        </is>
      </c>
      <c r="J572" s="5" t="n">
        <v>0</v>
      </c>
      <c r="K572" s="5" t="n">
        <v>0</v>
      </c>
      <c r="L572" s="74">
        <f>IFERROR(IF(OR(J572=0,K572=""),"",IF(E572="Positivo",MIN(MAX(K572/J572,0),1.3),MIN(MAX(J572/K572,0),1.3))),"") </f>
        <v/>
      </c>
      <c r="M572" s="14">
        <f>IFERROR(IF(OR(J572=0,K572=""),"",IF(E572="Positivo",MAX(K572/J572,0),MAX(J572/K572,0))),"") </f>
        <v/>
      </c>
      <c r="N572" s="5" t="inlineStr">
        <is>
          <t>%</t>
        </is>
      </c>
      <c r="O572" s="5" t="inlineStr">
        <is>
          <t>%</t>
        </is>
      </c>
      <c r="P572" s="5" t="n">
        <v>0</v>
      </c>
      <c r="Q572" s="5" t="n">
        <v>0</v>
      </c>
      <c r="R572" s="5" t="inlineStr">
        <is>
          <t>243-2023-03-31</t>
        </is>
      </c>
    </row>
    <row r="573">
      <c r="A573" s="26" t="n">
        <v>243</v>
      </c>
      <c r="B573" s="5" t="inlineStr">
        <is>
          <t>Cumplimiento de gestión de proyectos control de cambios</t>
        </is>
      </c>
      <c r="C573" s="5" t="inlineStr">
        <is>
          <t>Gestión de Proyectos</t>
        </is>
      </c>
      <c r="D573" s="5" t="inlineStr">
        <is>
          <t>Mensual</t>
        </is>
      </c>
      <c r="E573" s="5" t="inlineStr">
        <is>
          <t>Negativo</t>
        </is>
      </c>
      <c r="F573" s="107" t="n">
        <v>45046</v>
      </c>
      <c r="G573" s="5" t="n">
        <v>2023</v>
      </c>
      <c r="H573" s="5" t="inlineStr">
        <is>
          <t>Abril</t>
        </is>
      </c>
      <c r="I573" s="6" t="inlineStr">
        <is>
          <t>2023-1</t>
        </is>
      </c>
      <c r="J573" s="5" t="n">
        <v>0</v>
      </c>
      <c r="K573" s="5" t="n">
        <v>0</v>
      </c>
      <c r="L573" s="74">
        <f>IFERROR(IF(OR(J573=0,K573=""),"",IF(E573="Positivo",MIN(MAX(K573/J573,0),1.3),MIN(MAX(J573/K573,0),1.3))),"") </f>
        <v/>
      </c>
      <c r="M573" s="14">
        <f>IFERROR(IF(OR(J573=0,K573=""),"",IF(E573="Positivo",MAX(K573/J573,0),MAX(J573/K573,0))),"") </f>
        <v/>
      </c>
      <c r="N573" s="5" t="inlineStr">
        <is>
          <t>%</t>
        </is>
      </c>
      <c r="O573" s="5" t="inlineStr">
        <is>
          <t>%</t>
        </is>
      </c>
      <c r="P573" s="5" t="n">
        <v>0</v>
      </c>
      <c r="Q573" s="5" t="n">
        <v>0</v>
      </c>
      <c r="R573" s="5" t="inlineStr">
        <is>
          <t>243-2023-04-30</t>
        </is>
      </c>
    </row>
    <row r="574">
      <c r="A574" s="5" t="n">
        <v>243</v>
      </c>
      <c r="B574" s="5" t="inlineStr">
        <is>
          <t>Cumplimiento de gestión de proyectos control de cambios</t>
        </is>
      </c>
      <c r="C574" s="5" t="inlineStr">
        <is>
          <t>Gestión de Proyectos</t>
        </is>
      </c>
      <c r="D574" s="5" t="inlineStr">
        <is>
          <t>Mensual</t>
        </is>
      </c>
      <c r="E574" s="5" t="inlineStr">
        <is>
          <t>Negativo</t>
        </is>
      </c>
      <c r="F574" s="107" t="n">
        <v>45077</v>
      </c>
      <c r="G574" s="5" t="n">
        <v>2023</v>
      </c>
      <c r="H574" s="5" t="inlineStr">
        <is>
          <t>Mayo</t>
        </is>
      </c>
      <c r="I574" s="6" t="inlineStr">
        <is>
          <t>2023-1</t>
        </is>
      </c>
      <c r="J574" s="5" t="n">
        <v>0</v>
      </c>
      <c r="K574" s="5" t="n">
        <v>0</v>
      </c>
      <c r="L574" s="14">
        <f>IFERROR(IF(OR(J574=0,K574=""),"",IF(E574="Positivo",MIN(MAX(K574/J574,0),1.3),MIN(MAX(J574/K574,0),1.3))),"") </f>
        <v/>
      </c>
      <c r="M574" s="14">
        <f>IFERROR(IF(OR(J574=0,K574=""),"",IF(E574="Positivo",MAX(K574/J574,0),MAX(J574/K574,0))),"") </f>
        <v/>
      </c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 t="inlineStr">
        <is>
          <t>243-2023-05-31</t>
        </is>
      </c>
    </row>
    <row r="575">
      <c r="A575" s="5" t="n">
        <v>243</v>
      </c>
      <c r="B575" s="5" t="inlineStr">
        <is>
          <t>Cumplimiento de gestión de proyectos control de cambios</t>
        </is>
      </c>
      <c r="C575" s="5" t="inlineStr">
        <is>
          <t>Gestión de Proyectos</t>
        </is>
      </c>
      <c r="D575" s="5" t="inlineStr">
        <is>
          <t>Mensual</t>
        </is>
      </c>
      <c r="E575" s="5" t="inlineStr">
        <is>
          <t>Negativo</t>
        </is>
      </c>
      <c r="F575" s="107" t="n">
        <v>45107</v>
      </c>
      <c r="G575" s="5" t="n">
        <v>2023</v>
      </c>
      <c r="H575" s="5" t="inlineStr">
        <is>
          <t>Junio</t>
        </is>
      </c>
      <c r="I575" s="6" t="inlineStr">
        <is>
          <t>2023-1</t>
        </is>
      </c>
      <c r="J575" s="5" t="n">
        <v>0</v>
      </c>
      <c r="K575" s="5" t="n">
        <v>8.33333333333333</v>
      </c>
      <c r="L575" s="14">
        <f>IFERROR(IF(OR(J575=0,K575=""),"",IF(E575="Positivo",MIN(MAX(K575/J575,0),1.3),MIN(MAX(J575/K575,0),1.3))),"") </f>
        <v/>
      </c>
      <c r="M575" s="14">
        <f>IFERROR(IF(OR(J575=0,K575=""),"",IF(E575="Positivo",MAX(K575/J575,0),MAX(J575/K575,0))),"") </f>
        <v/>
      </c>
      <c r="N575" s="5" t="inlineStr">
        <is>
          <t>%</t>
        </is>
      </c>
      <c r="O575" s="5" t="inlineStr">
        <is>
          <t>%</t>
        </is>
      </c>
      <c r="P575" s="5" t="n">
        <v>0</v>
      </c>
      <c r="Q575" s="5" t="n">
        <v>0</v>
      </c>
      <c r="R575" s="5" t="inlineStr">
        <is>
          <t>243-2023-06-30</t>
        </is>
      </c>
    </row>
    <row r="576">
      <c r="A576" s="28" t="n">
        <v>243</v>
      </c>
      <c r="B576" s="5" t="inlineStr">
        <is>
          <t>Cumplimiento de gestión de proyectos control de cambios</t>
        </is>
      </c>
      <c r="C576" s="5" t="inlineStr">
        <is>
          <t>Gestión de Proyectos</t>
        </is>
      </c>
      <c r="D576" s="5" t="inlineStr">
        <is>
          <t>Mensual</t>
        </is>
      </c>
      <c r="E576" s="5" t="inlineStr">
        <is>
          <t>Negativo</t>
        </is>
      </c>
      <c r="F576" s="107" t="n">
        <v>45138</v>
      </c>
      <c r="G576" s="5" t="n">
        <v>2023</v>
      </c>
      <c r="H576" s="5" t="inlineStr">
        <is>
          <t>Julio</t>
        </is>
      </c>
      <c r="I576" s="6" t="inlineStr">
        <is>
          <t>2023-2</t>
        </is>
      </c>
      <c r="J576" s="5" t="n">
        <v>0</v>
      </c>
      <c r="K576" s="3" t="n">
        <v>16.666666666667</v>
      </c>
      <c r="L576" s="74">
        <f>IFERROR(IF(OR(J576=0,K576=""),"",IF(E576="Positivo",MIN(MAX(K576/J576,0),1.3),MIN(MAX(J576/K576,0),1.3))),"") </f>
        <v/>
      </c>
      <c r="M576" s="14">
        <f>IFERROR(IF(OR(J576=0,K576=""),"",IF(E576="Positivo",MAX(K576/J576,0),MAX(J576/K576,0))),"") </f>
        <v/>
      </c>
      <c r="N576" s="5" t="inlineStr">
        <is>
          <t>%</t>
        </is>
      </c>
      <c r="O576" s="5" t="inlineStr">
        <is>
          <t>%</t>
        </is>
      </c>
      <c r="P576" s="5" t="n">
        <v>0</v>
      </c>
      <c r="Q576" s="5" t="n">
        <v>0</v>
      </c>
      <c r="R576" s="5" t="inlineStr">
        <is>
          <t>243-2023-07-31</t>
        </is>
      </c>
    </row>
    <row r="577">
      <c r="A577" s="26" t="n">
        <v>243</v>
      </c>
      <c r="B577" s="5" t="inlineStr">
        <is>
          <t>Cumplimiento de gestión de proyectos control de cambios</t>
        </is>
      </c>
      <c r="C577" s="5" t="inlineStr">
        <is>
          <t>Gestión de Proyectos</t>
        </is>
      </c>
      <c r="D577" s="5" t="inlineStr">
        <is>
          <t>Mensual</t>
        </is>
      </c>
      <c r="E577" s="5" t="inlineStr">
        <is>
          <t>Negativo</t>
        </is>
      </c>
      <c r="F577" s="107" t="n">
        <v>45169</v>
      </c>
      <c r="G577" s="5" t="n">
        <v>2023</v>
      </c>
      <c r="H577" s="5" t="inlineStr">
        <is>
          <t>Agosto</t>
        </is>
      </c>
      <c r="I577" s="6" t="inlineStr">
        <is>
          <t>2023-2</t>
        </is>
      </c>
      <c r="J577" s="5" t="n">
        <v>0</v>
      </c>
      <c r="K577" s="3" t="n">
        <v>9.09</v>
      </c>
      <c r="L577" s="74">
        <f>IFERROR(IF(OR(J577=0,K577=""),"",IF(E577="Positivo",MIN(MAX(K577/J577,0),1.3),MIN(MAX(J577/K577,0),1.3))),"") </f>
        <v/>
      </c>
      <c r="M577" s="14">
        <f>IFERROR(IF(OR(J577=0,K577=""),"",IF(E577="Positivo",MAX(K577/J577,0),MAX(J577/K577,0))),"") </f>
        <v/>
      </c>
      <c r="N577" s="5" t="inlineStr">
        <is>
          <t>%</t>
        </is>
      </c>
      <c r="O577" s="5" t="inlineStr">
        <is>
          <t>%</t>
        </is>
      </c>
      <c r="P577" s="5" t="n">
        <v>0</v>
      </c>
      <c r="Q577" s="5" t="n">
        <v>0</v>
      </c>
      <c r="R577" s="5" t="inlineStr">
        <is>
          <t>243-2023-08-31</t>
        </is>
      </c>
    </row>
    <row r="578">
      <c r="A578" s="5" t="n">
        <v>243</v>
      </c>
      <c r="B578" s="5" t="inlineStr">
        <is>
          <t>Cumplimiento de gestión de proyectos control de cambios</t>
        </is>
      </c>
      <c r="C578" s="5" t="inlineStr">
        <is>
          <t>Gestión de Proyectos</t>
        </is>
      </c>
      <c r="D578" s="5" t="inlineStr">
        <is>
          <t>Mensual</t>
        </is>
      </c>
      <c r="E578" s="5" t="inlineStr">
        <is>
          <t>Negativo</t>
        </is>
      </c>
      <c r="F578" s="107" t="n">
        <v>45199</v>
      </c>
      <c r="G578" s="5" t="n">
        <v>2023</v>
      </c>
      <c r="H578" s="5" t="inlineStr">
        <is>
          <t>Septiembre</t>
        </is>
      </c>
      <c r="I578" s="6" t="inlineStr">
        <is>
          <t>2023-2</t>
        </is>
      </c>
      <c r="J578" s="5" t="n">
        <v>0</v>
      </c>
      <c r="K578" s="5" t="n">
        <v>0</v>
      </c>
      <c r="L578" s="14">
        <f>IFERROR(IF(OR(J578=0,K578=""),"",IF(E578="Positivo",MIN(MAX(K578/J578,0),1.3),MIN(MAX(J578/K578,0),1.3))),"") </f>
        <v/>
      </c>
      <c r="M578" s="14">
        <f>IFERROR(IF(OR(J578=0,K578=""),"",IF(E578="Positivo",MAX(K578/J578,0),MAX(J578/K578,0))),"") </f>
        <v/>
      </c>
      <c r="N578" s="5" t="inlineStr">
        <is>
          <t>%</t>
        </is>
      </c>
      <c r="O578" s="5" t="inlineStr">
        <is>
          <t>%</t>
        </is>
      </c>
      <c r="P578" s="5" t="n">
        <v>0</v>
      </c>
      <c r="Q578" s="5" t="n">
        <v>0</v>
      </c>
      <c r="R578" s="5" t="inlineStr">
        <is>
          <t>243-2023-09-30</t>
        </is>
      </c>
    </row>
    <row r="579">
      <c r="A579" s="5" t="n">
        <v>243</v>
      </c>
      <c r="B579" s="5" t="inlineStr">
        <is>
          <t>Cumplimiento de gestión de proyectos control de cambios</t>
        </is>
      </c>
      <c r="C579" s="5" t="inlineStr">
        <is>
          <t>Gestión de Proyectos</t>
        </is>
      </c>
      <c r="D579" s="5" t="inlineStr">
        <is>
          <t>Mensual</t>
        </is>
      </c>
      <c r="E579" s="5" t="inlineStr">
        <is>
          <t>Negativo</t>
        </is>
      </c>
      <c r="F579" s="107" t="n">
        <v>45230</v>
      </c>
      <c r="G579" s="5" t="n">
        <v>2023</v>
      </c>
      <c r="H579" s="5" t="inlineStr">
        <is>
          <t>Octubre</t>
        </is>
      </c>
      <c r="I579" s="6" t="inlineStr">
        <is>
          <t>2023-2</t>
        </is>
      </c>
      <c r="J579" s="5" t="n">
        <v>0</v>
      </c>
      <c r="K579" s="5" t="n">
        <v>11.11</v>
      </c>
      <c r="L579" s="14">
        <f>IFERROR(IF(OR(J579=0,K579=""),"",IF(E579="Positivo",MIN(MAX(K579/J579,0),1.3),MIN(MAX(J579/K579,0),1.3))),"") </f>
        <v/>
      </c>
      <c r="M579" s="14">
        <f>IFERROR(IF(OR(J579=0,K579=""),"",IF(E579="Positivo",MAX(K579/J579,0),MAX(J579/K579,0))),"") </f>
        <v/>
      </c>
      <c r="N579" s="5" t="inlineStr">
        <is>
          <t>%</t>
        </is>
      </c>
      <c r="O579" s="5" t="inlineStr">
        <is>
          <t>%</t>
        </is>
      </c>
      <c r="P579" s="5" t="n">
        <v>0</v>
      </c>
      <c r="Q579" s="5" t="n">
        <v>0</v>
      </c>
      <c r="R579" s="5" t="inlineStr">
        <is>
          <t>243-2023-10-31</t>
        </is>
      </c>
    </row>
    <row r="580">
      <c r="A580" s="28" t="n">
        <v>243</v>
      </c>
      <c r="B580" s="5" t="inlineStr">
        <is>
          <t>Cumplimiento de gestión de proyectos control de cambios</t>
        </is>
      </c>
      <c r="C580" s="5" t="inlineStr">
        <is>
          <t>Gestión de Proyectos</t>
        </is>
      </c>
      <c r="D580" s="5" t="inlineStr">
        <is>
          <t>Mensual</t>
        </is>
      </c>
      <c r="E580" s="5" t="inlineStr">
        <is>
          <t>Negativo</t>
        </is>
      </c>
      <c r="F580" s="107" t="n">
        <v>45260</v>
      </c>
      <c r="G580" s="5" t="n">
        <v>2023</v>
      </c>
      <c r="H580" s="5" t="inlineStr">
        <is>
          <t>Noviembre</t>
        </is>
      </c>
      <c r="I580" s="6" t="inlineStr">
        <is>
          <t>2023-2</t>
        </is>
      </c>
      <c r="J580" s="5" t="n">
        <v>0</v>
      </c>
      <c r="K580" s="3" t="n">
        <v>0</v>
      </c>
      <c r="L580" s="74">
        <f>IFERROR(IF(OR(J580=0,K580=""),"",IF(E580="Positivo",MIN(MAX(K580/J580,0),1.3),MIN(MAX(J580/K580,0),1.3))),"") </f>
        <v/>
      </c>
      <c r="M580" s="14">
        <f>IFERROR(IF(OR(J580=0,K580=""),"",IF(E580="Positivo",MAX(K580/J580,0),MAX(J580/K580,0))),"") </f>
        <v/>
      </c>
      <c r="N580" s="5" t="inlineStr">
        <is>
          <t>%</t>
        </is>
      </c>
      <c r="O580" s="5" t="inlineStr">
        <is>
          <t>%</t>
        </is>
      </c>
      <c r="P580" s="5" t="n">
        <v>0</v>
      </c>
      <c r="Q580" s="5" t="n">
        <v>0</v>
      </c>
      <c r="R580" s="5" t="inlineStr">
        <is>
          <t>243-2023-11-30</t>
        </is>
      </c>
    </row>
    <row r="581">
      <c r="A581" s="26" t="n">
        <v>243</v>
      </c>
      <c r="B581" s="5" t="inlineStr">
        <is>
          <t>Cumplimiento de gestión de proyectos control de cambios</t>
        </is>
      </c>
      <c r="C581" s="5" t="inlineStr">
        <is>
          <t>Gestión de Proyectos</t>
        </is>
      </c>
      <c r="D581" s="5" t="inlineStr">
        <is>
          <t>Mensual</t>
        </is>
      </c>
      <c r="E581" s="5" t="inlineStr">
        <is>
          <t>Negativo</t>
        </is>
      </c>
      <c r="F581" s="107" t="n">
        <v>45291</v>
      </c>
      <c r="G581" s="5" t="n">
        <v>2023</v>
      </c>
      <c r="H581" s="5" t="inlineStr">
        <is>
          <t>Diciembre</t>
        </is>
      </c>
      <c r="I581" s="6" t="inlineStr">
        <is>
          <t>2023-2</t>
        </is>
      </c>
      <c r="J581" s="5" t="n">
        <v>0</v>
      </c>
      <c r="K581" s="3" t="n">
        <v>14.29</v>
      </c>
      <c r="L581" s="74">
        <f>IFERROR(IF(OR(J581=0,K581=""),"",IF(E581="Positivo",MIN(MAX(K581/J581,0),1.3),MIN(MAX(J581/K581,0),1.3))),"") </f>
        <v/>
      </c>
      <c r="M581" s="14">
        <f>IFERROR(IF(OR(J581=0,K581=""),"",IF(E581="Positivo",MAX(K581/J581,0),MAX(J581/K581,0))),"") </f>
        <v/>
      </c>
      <c r="N581" s="5" t="inlineStr">
        <is>
          <t>%</t>
        </is>
      </c>
      <c r="O581" s="5" t="inlineStr">
        <is>
          <t>%</t>
        </is>
      </c>
      <c r="P581" s="5" t="n">
        <v>0</v>
      </c>
      <c r="Q581" s="5" t="n">
        <v>0</v>
      </c>
      <c r="R581" s="5" t="inlineStr">
        <is>
          <t>243-2023-12-31</t>
        </is>
      </c>
    </row>
    <row r="582">
      <c r="A582" s="5" t="n">
        <v>244</v>
      </c>
      <c r="B582" s="5" t="inlineStr">
        <is>
          <t>GreenMetric - Nacional</t>
        </is>
      </c>
      <c r="C582" s="5" t="inlineStr">
        <is>
          <t>GESTIÓN AMBIENTAL</t>
        </is>
      </c>
      <c r="D582" s="5" t="inlineStr">
        <is>
          <t>Anual</t>
        </is>
      </c>
      <c r="E582" s="5" t="inlineStr">
        <is>
          <t>Negativo</t>
        </is>
      </c>
      <c r="F582" s="107" t="n">
        <v>45291</v>
      </c>
      <c r="G582" s="5" t="n">
        <v>2023</v>
      </c>
      <c r="H582" s="5" t="inlineStr">
        <is>
          <t>Diciembre</t>
        </is>
      </c>
      <c r="I582" s="6" t="inlineStr">
        <is>
          <t>2023-2</t>
        </is>
      </c>
      <c r="J582" s="5" t="n">
        <v>25</v>
      </c>
      <c r="K582" s="5" t="n">
        <v>24</v>
      </c>
      <c r="L582" s="14">
        <f>IFERROR(IF(OR(J582=0,K582=""),"",IF(E582="Positivo",MIN(MAX(K582/J582,0),1.3),MIN(MAX(J582/K582,0),1.3))),"") </f>
        <v/>
      </c>
      <c r="M582" s="14">
        <f>IFERROR(IF(OR(J582=0,K582=""),"",IF(E582="Positivo",MAX(K582/J582,0),MAX(J582/K582,0))),"") </f>
        <v/>
      </c>
      <c r="N582" s="5" t="n"/>
      <c r="O582" s="5" t="n"/>
      <c r="P582" s="5" t="n">
        <v>0</v>
      </c>
      <c r="Q582" s="5" t="n">
        <v>0</v>
      </c>
      <c r="R582" s="5" t="inlineStr">
        <is>
          <t>244-2023-12-31</t>
        </is>
      </c>
    </row>
    <row r="583">
      <c r="A583" s="5" t="n">
        <v>244</v>
      </c>
      <c r="B583" s="5" t="inlineStr">
        <is>
          <t>GreenMetric - Nacional</t>
        </is>
      </c>
      <c r="C583" s="5" t="inlineStr">
        <is>
          <t>GESTIÓN AMBIENTAL</t>
        </is>
      </c>
      <c r="D583" s="5" t="inlineStr">
        <is>
          <t>Anual</t>
        </is>
      </c>
      <c r="E583" s="5" t="inlineStr">
        <is>
          <t>Negativo</t>
        </is>
      </c>
      <c r="F583" s="107" t="n">
        <v>45657</v>
      </c>
      <c r="G583" s="5" t="n">
        <v>2024</v>
      </c>
      <c r="H583" s="5" t="inlineStr">
        <is>
          <t>Diciembre</t>
        </is>
      </c>
      <c r="I583" s="6" t="inlineStr">
        <is>
          <t>2024-2</t>
        </is>
      </c>
      <c r="J583" s="5" t="n">
        <v>25</v>
      </c>
      <c r="K583" s="5" t="n">
        <v>25</v>
      </c>
      <c r="L583" s="14">
        <f>IFERROR(IF(OR(J583=0,K583=""),"",IF(E583="Positivo",MIN(MAX(K583/J583,0),1.3),MIN(MAX(J583/K583,0),1.3))),"") </f>
        <v/>
      </c>
      <c r="M583" s="14">
        <f>IFERROR(IF(OR(J583=0,K583=""),"",IF(E583="Positivo",MAX(K583/J583,0),MAX(J583/K583,0))),"") </f>
        <v/>
      </c>
      <c r="N583" s="5" t="n"/>
      <c r="O583" s="5" t="n"/>
      <c r="P583" s="5" t="n">
        <v>0</v>
      </c>
      <c r="Q583" s="5" t="n">
        <v>0</v>
      </c>
      <c r="R583" s="5" t="inlineStr">
        <is>
          <t>244-2024-12-31</t>
        </is>
      </c>
    </row>
    <row r="584">
      <c r="A584" s="28" t="n">
        <v>244</v>
      </c>
      <c r="B584" s="5" t="inlineStr">
        <is>
          <t>GreenMetric - Nacional</t>
        </is>
      </c>
      <c r="C584" s="5" t="inlineStr">
        <is>
          <t>GESTIÓN AMBIENTAL</t>
        </is>
      </c>
      <c r="D584" s="5" t="inlineStr">
        <is>
          <t>Anual</t>
        </is>
      </c>
      <c r="E584" s="5" t="inlineStr">
        <is>
          <t>Negativo</t>
        </is>
      </c>
      <c r="F584" s="107" t="n">
        <v>46022</v>
      </c>
      <c r="G584" s="5" t="n">
        <v>2025</v>
      </c>
      <c r="H584" s="5" t="inlineStr">
        <is>
          <t>Diciembre</t>
        </is>
      </c>
      <c r="I584" s="6" t="inlineStr">
        <is>
          <t>2025-2</t>
        </is>
      </c>
      <c r="J584" s="5" t="n">
        <v>25</v>
      </c>
      <c r="K584" s="5" t="n">
        <v>13</v>
      </c>
      <c r="L584" s="74">
        <f>IFERROR(IF(OR(J584=0,K584=""),"",IF(E584="Positivo",MIN(MAX(K584/J584,0),1.3),MIN(MAX(J584/K584,0),1.3))),"") </f>
        <v/>
      </c>
      <c r="M584" s="14">
        <f>IFERROR(IF(OR(J584=0,K584=""),"",IF(E584="Positivo",MAX(K584/J584,0),MAX(J584/K584,0))),"") </f>
        <v/>
      </c>
      <c r="N584" s="5" t="inlineStr">
        <is>
          <t>ENT</t>
        </is>
      </c>
      <c r="O584" s="5" t="inlineStr">
        <is>
          <t>ENT</t>
        </is>
      </c>
      <c r="P584" s="5" t="n">
        <v>0</v>
      </c>
      <c r="Q584" s="5" t="n">
        <v>0</v>
      </c>
      <c r="R584" s="5" t="inlineStr">
        <is>
          <t>244-2025-12-31</t>
        </is>
      </c>
    </row>
    <row r="585">
      <c r="A585" s="26" t="n">
        <v>245</v>
      </c>
      <c r="B585" s="5" t="inlineStr">
        <is>
          <t>Permanencia Intersemestral</t>
        </is>
      </c>
      <c r="C585" s="5" t="inlineStr">
        <is>
          <t>Permanencia</t>
        </is>
      </c>
      <c r="D585" s="5" t="inlineStr">
        <is>
          <t>Semestral</t>
        </is>
      </c>
      <c r="E585" s="5" t="inlineStr">
        <is>
          <t>Positivo</t>
        </is>
      </c>
      <c r="F585" s="107" t="n">
        <v>45107</v>
      </c>
      <c r="G585" s="5" t="n">
        <v>2023</v>
      </c>
      <c r="H585" s="5" t="inlineStr">
        <is>
          <t>Junio</t>
        </is>
      </c>
      <c r="I585" s="6" t="inlineStr">
        <is>
          <t>2023-1</t>
        </is>
      </c>
      <c r="J585" s="5" t="n">
        <v>87</v>
      </c>
      <c r="K585" s="5" t="n">
        <v>97.84</v>
      </c>
      <c r="L585" s="74">
        <f>IFERROR(IF(OR(J585=0,K585=""),"",IF(E585="Positivo",MIN(MAX(K585/J585,0),1.3),MIN(MAX(J585/K585,0),1.3))),"") </f>
        <v/>
      </c>
      <c r="M585" s="14">
        <f>IFERROR(IF(OR(J585=0,K585=""),"",IF(E585="Positivo",MAX(K585/J585,0),MAX(J585/K585,0))),"") </f>
        <v/>
      </c>
      <c r="N585" s="5" t="inlineStr">
        <is>
          <t>%</t>
        </is>
      </c>
      <c r="O585" s="5" t="inlineStr">
        <is>
          <t>%</t>
        </is>
      </c>
      <c r="P585" s="5" t="n">
        <v>0</v>
      </c>
      <c r="Q585" s="5" t="n">
        <v>0</v>
      </c>
      <c r="R585" s="5" t="inlineStr">
        <is>
          <t>245-2023-06-30</t>
        </is>
      </c>
    </row>
    <row r="586">
      <c r="A586" s="5" t="n">
        <v>245</v>
      </c>
      <c r="B586" s="5" t="inlineStr">
        <is>
          <t>Permanencia Intersemestral</t>
        </is>
      </c>
      <c r="C586" s="5" t="inlineStr">
        <is>
          <t>Permanencia</t>
        </is>
      </c>
      <c r="D586" s="5" t="inlineStr">
        <is>
          <t>Semestral</t>
        </is>
      </c>
      <c r="E586" s="5" t="inlineStr">
        <is>
          <t>Positivo</t>
        </is>
      </c>
      <c r="F586" s="107" t="n">
        <v>45291</v>
      </c>
      <c r="G586" s="5" t="n">
        <v>2023</v>
      </c>
      <c r="H586" s="5" t="inlineStr">
        <is>
          <t>Diciembre</t>
        </is>
      </c>
      <c r="I586" s="6" t="inlineStr">
        <is>
          <t>2023-2</t>
        </is>
      </c>
      <c r="J586" s="5" t="n">
        <v>87</v>
      </c>
      <c r="K586" s="5" t="n">
        <v>98.14</v>
      </c>
      <c r="L586" s="14">
        <f>IFERROR(IF(OR(J586=0,K586=""),"",IF(E586="Positivo",MIN(MAX(K586/J586,0),1.3),MIN(MAX(J586/K586,0),1.3))),"") </f>
        <v/>
      </c>
      <c r="M586" s="14">
        <f>IFERROR(IF(OR(J586=0,K586=""),"",IF(E586="Positivo",MAX(K586/J586,0),MAX(J586/K586,0))),"") </f>
        <v/>
      </c>
      <c r="N586" s="5" t="inlineStr">
        <is>
          <t>%</t>
        </is>
      </c>
      <c r="O586" s="5" t="inlineStr">
        <is>
          <t>%</t>
        </is>
      </c>
      <c r="P586" s="5" t="n">
        <v>0</v>
      </c>
      <c r="Q586" s="5" t="n">
        <v>0</v>
      </c>
      <c r="R586" s="5" t="inlineStr">
        <is>
          <t>245-2023-12-31</t>
        </is>
      </c>
    </row>
    <row r="587">
      <c r="A587" s="5" t="n">
        <v>245</v>
      </c>
      <c r="B587" s="5" t="inlineStr">
        <is>
          <t>Permanencia Intersemestral</t>
        </is>
      </c>
      <c r="C587" s="5" t="inlineStr">
        <is>
          <t>Permanencia</t>
        </is>
      </c>
      <c r="D587" s="5" t="inlineStr">
        <is>
          <t>Semestral</t>
        </is>
      </c>
      <c r="E587" s="5" t="inlineStr">
        <is>
          <t>Positivo</t>
        </is>
      </c>
      <c r="F587" s="107" t="n">
        <v>45473</v>
      </c>
      <c r="G587" s="5" t="n">
        <v>2024</v>
      </c>
      <c r="H587" s="5" t="inlineStr">
        <is>
          <t>Junio</t>
        </is>
      </c>
      <c r="I587" s="6" t="inlineStr">
        <is>
          <t>2024-1</t>
        </is>
      </c>
      <c r="J587" s="5" t="n">
        <v>100</v>
      </c>
      <c r="K587" s="5" t="n">
        <v>100.15</v>
      </c>
      <c r="L587" s="14">
        <f>IFERROR(IF(OR(J587=0,K587=""),"",IF(E587="Positivo",MIN(MAX(K587/J587,0),1.3),MIN(MAX(J587/K587,0),1.3))),"") </f>
        <v/>
      </c>
      <c r="M587" s="14">
        <f>IFERROR(IF(OR(J587=0,K587=""),"",IF(E587="Positivo",MAX(K587/J587,0),MAX(J587/K587,0))),"") </f>
        <v/>
      </c>
      <c r="N587" s="5" t="inlineStr">
        <is>
          <t>%</t>
        </is>
      </c>
      <c r="O587" s="5" t="inlineStr">
        <is>
          <t>%</t>
        </is>
      </c>
      <c r="P587" s="5" t="n">
        <v>0</v>
      </c>
      <c r="Q587" s="5" t="n">
        <v>0</v>
      </c>
      <c r="R587" s="5" t="inlineStr">
        <is>
          <t>245-2024-06-30</t>
        </is>
      </c>
    </row>
    <row r="588">
      <c r="A588" s="28" t="n">
        <v>245</v>
      </c>
      <c r="B588" s="5" t="inlineStr">
        <is>
          <t>Permanencia Intersemestral</t>
        </is>
      </c>
      <c r="C588" s="5" t="inlineStr">
        <is>
          <t>Permanencia</t>
        </is>
      </c>
      <c r="D588" s="5" t="inlineStr">
        <is>
          <t>Semestral</t>
        </is>
      </c>
      <c r="E588" s="5" t="inlineStr">
        <is>
          <t>Positivo</t>
        </is>
      </c>
      <c r="F588" s="107" t="n">
        <v>45657</v>
      </c>
      <c r="G588" s="5" t="n">
        <v>2024</v>
      </c>
      <c r="H588" s="5" t="inlineStr">
        <is>
          <t>Diciembre</t>
        </is>
      </c>
      <c r="I588" s="6" t="inlineStr">
        <is>
          <t>2024-2</t>
        </is>
      </c>
      <c r="J588" s="5" t="n">
        <v>100</v>
      </c>
      <c r="K588" s="5" t="n">
        <v>100.22</v>
      </c>
      <c r="L588" s="74">
        <f>IFERROR(IF(OR(J588=0,K588=""),"",IF(E588="Positivo",MIN(MAX(K588/J588,0),1.3),MIN(MAX(J588/K588,0),1.3))),"") </f>
        <v/>
      </c>
      <c r="M588" s="14">
        <f>IFERROR(IF(OR(J588=0,K588=""),"",IF(E588="Positivo",MAX(K588/J588,0),MAX(J588/K588,0))),"") </f>
        <v/>
      </c>
      <c r="N588" s="5" t="inlineStr">
        <is>
          <t>%</t>
        </is>
      </c>
      <c r="O588" s="5" t="inlineStr">
        <is>
          <t>%</t>
        </is>
      </c>
      <c r="P588" s="5" t="n">
        <v>0</v>
      </c>
      <c r="Q588" s="5" t="n">
        <v>0</v>
      </c>
      <c r="R588" s="5" t="inlineStr">
        <is>
          <t>245-2024-12-31</t>
        </is>
      </c>
    </row>
    <row r="589">
      <c r="A589" s="26" t="n">
        <v>245</v>
      </c>
      <c r="B589" s="5" t="inlineStr">
        <is>
          <t>Permanencia Intersemestral</t>
        </is>
      </c>
      <c r="C589" s="5" t="inlineStr">
        <is>
          <t>Permanencia</t>
        </is>
      </c>
      <c r="D589" s="5" t="inlineStr">
        <is>
          <t>Semestral</t>
        </is>
      </c>
      <c r="E589" s="5" t="inlineStr">
        <is>
          <t>Positivo</t>
        </is>
      </c>
      <c r="F589" s="107" t="n">
        <v>45838</v>
      </c>
      <c r="G589" s="5" t="n">
        <v>2025</v>
      </c>
      <c r="H589" s="5" t="inlineStr">
        <is>
          <t>Junio</t>
        </is>
      </c>
      <c r="I589" s="6" t="inlineStr">
        <is>
          <t>2025-1</t>
        </is>
      </c>
      <c r="J589" s="5" t="n">
        <v>100</v>
      </c>
      <c r="K589" s="5" t="n">
        <v>100.93</v>
      </c>
      <c r="L589" s="74">
        <f>IFERROR(IF(OR(J589=0,K589=""),"",IF(E589="Positivo",MIN(MAX(K589/J589,0),1.3),MIN(MAX(J589/K589,0),1.3))),"") </f>
        <v/>
      </c>
      <c r="M589" s="14">
        <f>IFERROR(IF(OR(J589=0,K589=""),"",IF(E589="Positivo",MAX(K589/J589,0),MAX(J589/K589,0))),"") </f>
        <v/>
      </c>
      <c r="N589" s="5" t="inlineStr">
        <is>
          <t>%</t>
        </is>
      </c>
      <c r="O589" s="5" t="inlineStr">
        <is>
          <t>%</t>
        </is>
      </c>
      <c r="P589" s="5" t="n">
        <v>0</v>
      </c>
      <c r="Q589" s="5" t="n">
        <v>0</v>
      </c>
      <c r="R589" s="5" t="inlineStr">
        <is>
          <t>245-2025-06-30</t>
        </is>
      </c>
    </row>
    <row r="590">
      <c r="A590" s="5" t="n">
        <v>245</v>
      </c>
      <c r="B590" s="5" t="inlineStr">
        <is>
          <t>Permanencia Intersemestral</t>
        </is>
      </c>
      <c r="C590" s="5" t="inlineStr">
        <is>
          <t>Permanencia</t>
        </is>
      </c>
      <c r="D590" s="5" t="inlineStr">
        <is>
          <t>Semestral</t>
        </is>
      </c>
      <c r="E590" s="5" t="inlineStr">
        <is>
          <t>Positivo</t>
        </is>
      </c>
      <c r="F590" s="107" t="n">
        <v>46022</v>
      </c>
      <c r="G590" s="5" t="n">
        <v>2025</v>
      </c>
      <c r="H590" s="5" t="inlineStr">
        <is>
          <t>Diciembre</t>
        </is>
      </c>
      <c r="I590" s="6" t="inlineStr">
        <is>
          <t>2025-2</t>
        </is>
      </c>
      <c r="J590" s="5" t="n">
        <v>100</v>
      </c>
      <c r="K590" s="5" t="n">
        <v>100.12</v>
      </c>
      <c r="L590" s="14">
        <f>IFERROR(IF(OR(J590=0,K590=""),"",IF(E590="Positivo",MIN(MAX(K590/J590,0),1.3),MIN(MAX(J590/K590,0),1.3))),"") </f>
        <v/>
      </c>
      <c r="M590" s="14">
        <f>IFERROR(IF(OR(J590=0,K590=""),"",IF(E590="Positivo",MAX(K590/J590,0),MAX(J590/K590,0))),"") </f>
        <v/>
      </c>
      <c r="N590" s="5" t="inlineStr">
        <is>
          <t>%</t>
        </is>
      </c>
      <c r="O590" s="5" t="inlineStr">
        <is>
          <t>%</t>
        </is>
      </c>
      <c r="P590" s="5" t="n">
        <v>0</v>
      </c>
      <c r="Q590" s="5" t="n">
        <v>0</v>
      </c>
      <c r="R590" s="5" t="inlineStr">
        <is>
          <t>245-2025-12-31</t>
        </is>
      </c>
    </row>
    <row r="591">
      <c r="A591" s="5" t="n">
        <v>246</v>
      </c>
      <c r="B591" s="5" t="inlineStr">
        <is>
          <t>Satisfacción del proceso de grados</t>
        </is>
      </c>
      <c r="C591" s="5" t="inlineStr">
        <is>
          <t>Registro y Control</t>
        </is>
      </c>
      <c r="D591" s="5" t="inlineStr">
        <is>
          <t>Semestral</t>
        </is>
      </c>
      <c r="E591" s="5" t="inlineStr">
        <is>
          <t>Positivo</t>
        </is>
      </c>
      <c r="F591" s="107" t="n">
        <v>45291</v>
      </c>
      <c r="G591" s="5" t="n">
        <v>2023</v>
      </c>
      <c r="H591" s="5" t="inlineStr">
        <is>
          <t>Diciembre</t>
        </is>
      </c>
      <c r="I591" s="6" t="inlineStr">
        <is>
          <t>2023-2</t>
        </is>
      </c>
      <c r="J591" s="5" t="n">
        <v>85</v>
      </c>
      <c r="K591" s="5" t="n">
        <v>61.4</v>
      </c>
      <c r="L591" s="14">
        <f>IFERROR(IF(OR(J591=0,K591=""),"",IF(E591="Positivo",MIN(MAX(K591/J591,0),1.3),MIN(MAX(J591/K591,0),1.3))),"") </f>
        <v/>
      </c>
      <c r="M591" s="14">
        <f>IFERROR(IF(OR(J591=0,K591=""),"",IF(E591="Positivo",MAX(K591/J591,0),MAX(J591/K591,0))),"") </f>
        <v/>
      </c>
      <c r="N591" s="5" t="inlineStr">
        <is>
          <t>%</t>
        </is>
      </c>
      <c r="O591" s="5" t="inlineStr">
        <is>
          <t>%</t>
        </is>
      </c>
      <c r="P591" s="5" t="n">
        <v>0</v>
      </c>
      <c r="Q591" s="5" t="n">
        <v>0</v>
      </c>
      <c r="R591" s="5" t="inlineStr">
        <is>
          <t>246-2023-12-31</t>
        </is>
      </c>
    </row>
    <row r="592">
      <c r="A592" s="28" t="n">
        <v>246</v>
      </c>
      <c r="B592" s="5" t="inlineStr">
        <is>
          <t>Satisfacción del proceso de grados presencial</t>
        </is>
      </c>
      <c r="C592" s="5" t="inlineStr">
        <is>
          <t>Registro y Control</t>
        </is>
      </c>
      <c r="D592" s="5" t="inlineStr">
        <is>
          <t>Semestral</t>
        </is>
      </c>
      <c r="E592" s="5" t="inlineStr">
        <is>
          <t>Positivo</t>
        </is>
      </c>
      <c r="F592" s="107" t="n">
        <v>45473</v>
      </c>
      <c r="G592" s="5" t="n">
        <v>2024</v>
      </c>
      <c r="H592" s="5" t="inlineStr">
        <is>
          <t>Junio</t>
        </is>
      </c>
      <c r="I592" s="6" t="inlineStr">
        <is>
          <t>2024-1</t>
        </is>
      </c>
      <c r="J592" s="5" t="n">
        <v>67.5</v>
      </c>
      <c r="K592" s="5" t="n">
        <v>92.5</v>
      </c>
      <c r="L592" s="74">
        <f>IFERROR(IF(OR(J592=0,K592=""),"",IF(E592="Positivo",MIN(MAX(K592/J592,0),1.3),MIN(MAX(J592/K592,0),1.3))),"") </f>
        <v/>
      </c>
      <c r="M592" s="14">
        <f>IFERROR(IF(OR(J592=0,K592=""),"",IF(E592="Positivo",MAX(K592/J592,0),MAX(J592/K592,0))),"") </f>
        <v/>
      </c>
      <c r="N592" s="5" t="inlineStr">
        <is>
          <t>%</t>
        </is>
      </c>
      <c r="O592" s="5" t="inlineStr">
        <is>
          <t>%</t>
        </is>
      </c>
      <c r="P592" s="5" t="n">
        <v>0</v>
      </c>
      <c r="Q592" s="5" t="n">
        <v>0</v>
      </c>
      <c r="R592" s="5" t="inlineStr">
        <is>
          <t>246-2024-06-30</t>
        </is>
      </c>
    </row>
    <row r="593">
      <c r="A593" s="26" t="n">
        <v>246</v>
      </c>
      <c r="B593" s="5" t="inlineStr">
        <is>
          <t>Satisfacción del proceso de grados presencial</t>
        </is>
      </c>
      <c r="C593" s="5" t="inlineStr">
        <is>
          <t>Registro y Control</t>
        </is>
      </c>
      <c r="D593" s="5" t="inlineStr">
        <is>
          <t>Semestral</t>
        </is>
      </c>
      <c r="E593" s="5" t="inlineStr">
        <is>
          <t>Positivo</t>
        </is>
      </c>
      <c r="F593" s="107" t="n">
        <v>45657</v>
      </c>
      <c r="G593" s="5" t="n">
        <v>2024</v>
      </c>
      <c r="H593" s="5" t="inlineStr">
        <is>
          <t>Diciembre</t>
        </is>
      </c>
      <c r="I593" s="6" t="inlineStr">
        <is>
          <t>2024-2</t>
        </is>
      </c>
      <c r="J593" s="5" t="n">
        <v>67.5</v>
      </c>
      <c r="K593" s="5" t="n">
        <v>94.40000000000001</v>
      </c>
      <c r="L593" s="74">
        <f>IFERROR(IF(OR(J593=0,K593=""),"",IF(E593="Positivo",MIN(MAX(K593/J593,0),1.3),MIN(MAX(J593/K593,0),1.3))),"") </f>
        <v/>
      </c>
      <c r="M593" s="14">
        <f>IFERROR(IF(OR(J593=0,K593=""),"",IF(E593="Positivo",MAX(K593/J593,0),MAX(J593/K593,0))),"") </f>
        <v/>
      </c>
      <c r="N593" s="5" t="inlineStr">
        <is>
          <t>%</t>
        </is>
      </c>
      <c r="O593" s="5" t="inlineStr">
        <is>
          <t>%</t>
        </is>
      </c>
      <c r="P593" s="5" t="n">
        <v>0</v>
      </c>
      <c r="Q593" s="5" t="n">
        <v>0</v>
      </c>
      <c r="R593" s="5" t="inlineStr">
        <is>
          <t>246-2024-12-31</t>
        </is>
      </c>
    </row>
    <row r="594">
      <c r="A594" s="5" t="n">
        <v>246</v>
      </c>
      <c r="B594" s="5" t="inlineStr">
        <is>
          <t>Satisfacción del proceso de grados presencial</t>
        </is>
      </c>
      <c r="C594" s="5" t="inlineStr">
        <is>
          <t>Registro y Control</t>
        </is>
      </c>
      <c r="D594" s="5" t="inlineStr">
        <is>
          <t>Semestral</t>
        </is>
      </c>
      <c r="E594" s="5" t="inlineStr">
        <is>
          <t>Positivo</t>
        </is>
      </c>
      <c r="F594" s="107" t="n">
        <v>45838</v>
      </c>
      <c r="G594" s="5" t="n">
        <v>2025</v>
      </c>
      <c r="H594" s="5" t="inlineStr">
        <is>
          <t>Junio</t>
        </is>
      </c>
      <c r="I594" s="6" t="inlineStr">
        <is>
          <t>2025-1</t>
        </is>
      </c>
      <c r="J594" s="5" t="n">
        <v>90</v>
      </c>
      <c r="K594" s="5" t="n">
        <v>90.09999999999999</v>
      </c>
      <c r="L594" s="14">
        <f>IFERROR(IF(OR(J594=0,K594=""),"",IF(E594="Positivo",MIN(MAX(K594/J594,0),1.3),MIN(MAX(J594/K594,0),1.3))),"") </f>
        <v/>
      </c>
      <c r="M594" s="14">
        <f>IFERROR(IF(OR(J594=0,K594=""),"",IF(E594="Positivo",MAX(K594/J594,0),MAX(J594/K594,0))),"") </f>
        <v/>
      </c>
      <c r="N594" s="5" t="inlineStr">
        <is>
          <t>%</t>
        </is>
      </c>
      <c r="O594" s="5" t="inlineStr">
        <is>
          <t>%</t>
        </is>
      </c>
      <c r="P594" s="5" t="n">
        <v>0</v>
      </c>
      <c r="Q594" s="5" t="n">
        <v>0</v>
      </c>
      <c r="R594" s="5" t="inlineStr">
        <is>
          <t>246-2025-06-30</t>
        </is>
      </c>
    </row>
    <row r="595">
      <c r="A595" s="5" t="n">
        <v>246</v>
      </c>
      <c r="B595" s="5" t="inlineStr">
        <is>
          <t>Satisfacción del proceso de grados presencial</t>
        </is>
      </c>
      <c r="C595" s="5" t="inlineStr">
        <is>
          <t>Registro y Control</t>
        </is>
      </c>
      <c r="D595" s="5" t="inlineStr">
        <is>
          <t>Trimestral</t>
        </is>
      </c>
      <c r="E595" s="5" t="inlineStr">
        <is>
          <t>Positivo</t>
        </is>
      </c>
      <c r="F595" s="107" t="n">
        <v>46022</v>
      </c>
      <c r="G595" s="5" t="n">
        <v>2025</v>
      </c>
      <c r="H595" s="5" t="inlineStr">
        <is>
          <t>Diciembre</t>
        </is>
      </c>
      <c r="I595" s="6" t="inlineStr">
        <is>
          <t>2025-2</t>
        </is>
      </c>
      <c r="J595" s="5" t="n">
        <v>90</v>
      </c>
      <c r="K595" s="5" t="n">
        <v>92.7</v>
      </c>
      <c r="L595" s="14">
        <f>IFERROR(IF(OR(J595=0,K595=""),"",IF(E595="Positivo",MIN(MAX(K595/J595,0),1.3),MIN(MAX(J595/K595,0),1.3))),"") </f>
        <v/>
      </c>
      <c r="M595" s="14">
        <f>IFERROR(IF(OR(J595=0,K595=""),"",IF(E595="Positivo",MAX(K595/J595,0),MAX(J595/K595,0))),"") </f>
        <v/>
      </c>
      <c r="N595" s="5" t="inlineStr">
        <is>
          <t>%</t>
        </is>
      </c>
      <c r="O595" s="5" t="inlineStr">
        <is>
          <t>%</t>
        </is>
      </c>
      <c r="P595" s="5" t="n">
        <v>0</v>
      </c>
      <c r="Q595" s="5" t="n">
        <v>0</v>
      </c>
      <c r="R595" s="5" t="inlineStr">
        <is>
          <t>246-2025-12-31</t>
        </is>
      </c>
    </row>
    <row r="596">
      <c r="A596" s="28" t="n">
        <v>247</v>
      </c>
      <c r="B596" s="5" t="inlineStr">
        <is>
          <t>Solicitud de certificados</t>
        </is>
      </c>
      <c r="C596" s="5" t="inlineStr">
        <is>
          <t>Registro y Control</t>
        </is>
      </c>
      <c r="D596" s="5" t="inlineStr">
        <is>
          <t>Mensual</t>
        </is>
      </c>
      <c r="E596" s="5" t="inlineStr">
        <is>
          <t>Positivo</t>
        </is>
      </c>
      <c r="F596" s="107" t="n">
        <v>45107</v>
      </c>
      <c r="G596" s="5" t="n">
        <v>2023</v>
      </c>
      <c r="H596" s="5" t="inlineStr">
        <is>
          <t>Junio</t>
        </is>
      </c>
      <c r="I596" s="6" t="inlineStr">
        <is>
          <t>2023-1</t>
        </is>
      </c>
      <c r="J596" s="5" t="n">
        <v>0</v>
      </c>
      <c r="K596" s="5" t="n">
        <v>70.54000000000001</v>
      </c>
      <c r="L596" s="74">
        <f>IFERROR(IF(OR(J596=0,K596=""),"",IF(E596="Positivo",MIN(MAX(K596/J596,0),1.3),MIN(MAX(J596/K596,0),1.3))),"") </f>
        <v/>
      </c>
      <c r="M596" s="14">
        <f>IFERROR(IF(OR(J596=0,K596=""),"",IF(E596="Positivo",MAX(K596/J596,0),MAX(J596/K596,0))),"") </f>
        <v/>
      </c>
      <c r="N596" s="5" t="n"/>
      <c r="O596" s="5" t="n"/>
      <c r="P596" s="5" t="n">
        <v>1</v>
      </c>
      <c r="Q596" s="5" t="n">
        <v>1</v>
      </c>
      <c r="R596" s="5" t="inlineStr">
        <is>
          <t>247-2023-06-30</t>
        </is>
      </c>
    </row>
    <row r="597">
      <c r="A597" s="26" t="n">
        <v>247</v>
      </c>
      <c r="B597" s="5" t="inlineStr">
        <is>
          <t>Solicitud de certificados</t>
        </is>
      </c>
      <c r="C597" s="5" t="inlineStr">
        <is>
          <t>Registro y Control</t>
        </is>
      </c>
      <c r="D597" s="5" t="inlineStr">
        <is>
          <t>Mensual</t>
        </is>
      </c>
      <c r="E597" s="5" t="inlineStr">
        <is>
          <t>Positivo</t>
        </is>
      </c>
      <c r="F597" s="107" t="n">
        <v>45291</v>
      </c>
      <c r="G597" s="5" t="n">
        <v>2023</v>
      </c>
      <c r="H597" s="5" t="inlineStr">
        <is>
          <t>Diciembre</t>
        </is>
      </c>
      <c r="I597" s="6" t="inlineStr">
        <is>
          <t>2023-2</t>
        </is>
      </c>
      <c r="J597" s="5" t="n">
        <v>0</v>
      </c>
      <c r="K597" s="5" t="n">
        <v>69.08</v>
      </c>
      <c r="L597" s="74">
        <f>IFERROR(IF(OR(J597=0,K597=""),"",IF(E597="Positivo",MIN(MAX(K597/J597,0),1.3),MIN(MAX(J597/K597,0),1.3))),"") </f>
        <v/>
      </c>
      <c r="M597" s="14">
        <f>IFERROR(IF(OR(J597=0,K597=""),"",IF(E597="Positivo",MAX(K597/J597,0),MAX(J597/K597,0))),"") </f>
        <v/>
      </c>
      <c r="N597" s="5" t="n"/>
      <c r="O597" s="5" t="n"/>
      <c r="P597" s="5" t="n">
        <v>1</v>
      </c>
      <c r="Q597" s="5" t="n">
        <v>1</v>
      </c>
      <c r="R597" s="5" t="inlineStr">
        <is>
          <t>247-2023-12-31</t>
        </is>
      </c>
    </row>
    <row r="598">
      <c r="A598" s="5" t="n">
        <v>248</v>
      </c>
      <c r="B598" s="5" t="inlineStr">
        <is>
          <t>Programas con reforzamiento curricular</t>
        </is>
      </c>
      <c r="C598" s="5" t="inlineStr">
        <is>
          <t>Gestión, Evaluación e Innovación Curricular</t>
        </is>
      </c>
      <c r="D598" s="5" t="inlineStr">
        <is>
          <t>Semestral</t>
        </is>
      </c>
      <c r="E598" s="5" t="inlineStr">
        <is>
          <t>Positivo</t>
        </is>
      </c>
      <c r="F598" s="107" t="n">
        <v>45107</v>
      </c>
      <c r="G598" s="5" t="n">
        <v>2023</v>
      </c>
      <c r="H598" s="5" t="inlineStr">
        <is>
          <t>Junio</t>
        </is>
      </c>
      <c r="I598" s="6" t="inlineStr">
        <is>
          <t>2023-1</t>
        </is>
      </c>
      <c r="J598" s="5" t="n">
        <v>27</v>
      </c>
      <c r="K598" s="5" t="n">
        <v>27</v>
      </c>
      <c r="L598" s="14">
        <f>IFERROR(IF(OR(J598=0,K598=""),"",IF(E598="Positivo",MIN(MAX(K598/J598,0),1.3),MIN(MAX(J598/K598,0),1.3))),"") </f>
        <v/>
      </c>
      <c r="M598" s="14">
        <f>IFERROR(IF(OR(J598=0,K598=""),"",IF(E598="Positivo",MAX(K598/J598,0),MAX(J598/K598,0))),"") </f>
        <v/>
      </c>
      <c r="N598" s="5" t="n"/>
      <c r="O598" s="5" t="n"/>
      <c r="P598" s="5" t="n">
        <v>0</v>
      </c>
      <c r="Q598" s="5" t="n">
        <v>0</v>
      </c>
      <c r="R598" s="5" t="inlineStr">
        <is>
          <t>248-2023-06-30</t>
        </is>
      </c>
    </row>
    <row r="599">
      <c r="A599" s="5" t="n">
        <v>248</v>
      </c>
      <c r="B599" s="5" t="inlineStr">
        <is>
          <t>Programas con reforzamiento curricular</t>
        </is>
      </c>
      <c r="C599" s="5" t="inlineStr">
        <is>
          <t>Gestión, Evaluación e Innovación Curricular</t>
        </is>
      </c>
      <c r="D599" s="5" t="inlineStr">
        <is>
          <t>Semestral</t>
        </is>
      </c>
      <c r="E599" s="5" t="inlineStr">
        <is>
          <t>Positivo</t>
        </is>
      </c>
      <c r="F599" s="107" t="n">
        <v>45291</v>
      </c>
      <c r="G599" s="5" t="n">
        <v>2023</v>
      </c>
      <c r="H599" s="5" t="inlineStr">
        <is>
          <t>Diciembre</t>
        </is>
      </c>
      <c r="I599" s="6" t="inlineStr">
        <is>
          <t>2023-2</t>
        </is>
      </c>
      <c r="J599" s="5" t="n">
        <v>17</v>
      </c>
      <c r="K599" s="5" t="n">
        <v>17</v>
      </c>
      <c r="L599" s="14">
        <f>IFERROR(IF(OR(J599=0,K599=""),"",IF(E599="Positivo",MIN(MAX(K599/J599,0),1.3),MIN(MAX(J599/K599,0),1.3))),"") </f>
        <v/>
      </c>
      <c r="M599" s="14">
        <f>IFERROR(IF(OR(J599=0,K599=""),"",IF(E599="Positivo",MAX(K599/J599,0),MAX(J599/K599,0))),"") </f>
        <v/>
      </c>
      <c r="N599" s="5" t="n"/>
      <c r="O599" s="5" t="n"/>
      <c r="P599" s="5" t="n">
        <v>0</v>
      </c>
      <c r="Q599" s="5" t="n">
        <v>0</v>
      </c>
      <c r="R599" s="5" t="inlineStr">
        <is>
          <t>248-2023-12-31</t>
        </is>
      </c>
    </row>
    <row r="600">
      <c r="A600" s="28" t="n">
        <v>249</v>
      </c>
      <c r="B600" s="5" t="inlineStr">
        <is>
          <t>Programas con matriz de resultado de aprendizaje</t>
        </is>
      </c>
      <c r="C600" s="5" t="inlineStr">
        <is>
          <t>Gestión, Evaluación e Innovación Curricular</t>
        </is>
      </c>
      <c r="D600" s="5" t="inlineStr">
        <is>
          <t>Semestral</t>
        </is>
      </c>
      <c r="E600" s="5" t="inlineStr">
        <is>
          <t>Positivo</t>
        </is>
      </c>
      <c r="F600" s="107" t="n">
        <v>45107</v>
      </c>
      <c r="G600" s="5" t="n">
        <v>2023</v>
      </c>
      <c r="H600" s="5" t="inlineStr">
        <is>
          <t>Junio</t>
        </is>
      </c>
      <c r="I600" s="6" t="inlineStr">
        <is>
          <t>2023-1</t>
        </is>
      </c>
      <c r="J600" s="5" t="n">
        <v>72</v>
      </c>
      <c r="K600" s="5" t="n">
        <v>72</v>
      </c>
      <c r="L600" s="74">
        <f>IFERROR(IF(OR(J600=0,K600=""),"",IF(E600="Positivo",MIN(MAX(K600/J600,0),1.3),MIN(MAX(J600/K600,0),1.3))),"") </f>
        <v/>
      </c>
      <c r="M600" s="14">
        <f>IFERROR(IF(OR(J600=0,K600=""),"",IF(E600="Positivo",MAX(K600/J600,0),MAX(J600/K600,0))),"") </f>
        <v/>
      </c>
      <c r="N600" s="5" t="n"/>
      <c r="O600" s="5" t="n"/>
      <c r="P600" s="5" t="n">
        <v>0</v>
      </c>
      <c r="Q600" s="5" t="n">
        <v>0</v>
      </c>
      <c r="R600" s="5" t="inlineStr">
        <is>
          <t>249-2023-06-30</t>
        </is>
      </c>
    </row>
    <row r="601">
      <c r="A601" s="26" t="n">
        <v>249</v>
      </c>
      <c r="B601" s="5" t="inlineStr">
        <is>
          <t>Programas con matriz de resultado de aprendizaje</t>
        </is>
      </c>
      <c r="C601" s="5" t="inlineStr">
        <is>
          <t>Gestión, Evaluación e Innovación Curricular</t>
        </is>
      </c>
      <c r="D601" s="5" t="inlineStr">
        <is>
          <t>Semestral</t>
        </is>
      </c>
      <c r="E601" s="5" t="inlineStr">
        <is>
          <t>Positivo</t>
        </is>
      </c>
      <c r="F601" s="107" t="n">
        <v>45291</v>
      </c>
      <c r="G601" s="5" t="n">
        <v>2023</v>
      </c>
      <c r="H601" s="5" t="inlineStr">
        <is>
          <t>Diciembre</t>
        </is>
      </c>
      <c r="I601" s="6" t="inlineStr">
        <is>
          <t>2023-2</t>
        </is>
      </c>
      <c r="J601" s="5" t="n">
        <v>26</v>
      </c>
      <c r="K601" s="5" t="n">
        <v>26</v>
      </c>
      <c r="L601" s="74">
        <f>IFERROR(IF(OR(J601=0,K601=""),"",IF(E601="Positivo",MIN(MAX(K601/J601,0),1.3),MIN(MAX(J601/K601,0),1.3))),"") </f>
        <v/>
      </c>
      <c r="M601" s="14">
        <f>IFERROR(IF(OR(J601=0,K601=""),"",IF(E601="Positivo",MAX(K601/J601,0),MAX(J601/K601,0))),"") </f>
        <v/>
      </c>
      <c r="N601" s="5" t="n"/>
      <c r="O601" s="5" t="n"/>
      <c r="P601" s="5" t="n">
        <v>0</v>
      </c>
      <c r="Q601" s="5" t="n">
        <v>0</v>
      </c>
      <c r="R601" s="5" t="inlineStr">
        <is>
          <t>249-2023-12-31</t>
        </is>
      </c>
    </row>
    <row r="602">
      <c r="A602" s="5" t="n">
        <v>251</v>
      </c>
      <c r="B602" s="5" t="inlineStr">
        <is>
          <t>Subprocesos Con CMI Estructurado</t>
        </is>
      </c>
      <c r="C602" s="5" t="inlineStr">
        <is>
          <t>Desempeño Institucional</t>
        </is>
      </c>
      <c r="D602" s="5" t="inlineStr">
        <is>
          <t>Trimestral</t>
        </is>
      </c>
      <c r="E602" s="5" t="inlineStr">
        <is>
          <t>Positivo</t>
        </is>
      </c>
      <c r="F602" s="107" t="n">
        <v>45107</v>
      </c>
      <c r="G602" s="5" t="n">
        <v>2023</v>
      </c>
      <c r="H602" s="5" t="inlineStr">
        <is>
          <t>Junio</t>
        </is>
      </c>
      <c r="I602" s="6" t="inlineStr">
        <is>
          <t>2023-1</t>
        </is>
      </c>
      <c r="J602" s="5" t="n">
        <v>100</v>
      </c>
      <c r="K602" s="5" t="n">
        <v>93.87755102040816</v>
      </c>
      <c r="L602" s="14">
        <f>IFERROR(IF(OR(J602=0,K602=""),"",IF(E602="Positivo",MIN(MAX(K602/J602,0),1.3),MIN(MAX(J602/K602,0),1.3))),"") </f>
        <v/>
      </c>
      <c r="M602" s="14">
        <f>IFERROR(IF(OR(J602=0,K602=""),"",IF(E602="Positivo",MAX(K602/J602,0),MAX(J602/K602,0))),"") </f>
        <v/>
      </c>
      <c r="N602" s="5" t="inlineStr">
        <is>
          <t>%</t>
        </is>
      </c>
      <c r="O602" s="5" t="inlineStr">
        <is>
          <t>%</t>
        </is>
      </c>
      <c r="P602" s="5" t="n">
        <v>0</v>
      </c>
      <c r="Q602" s="5" t="n">
        <v>0</v>
      </c>
      <c r="R602" s="5" t="inlineStr">
        <is>
          <t>251-2023-06-30</t>
        </is>
      </c>
    </row>
    <row r="603">
      <c r="A603" s="5" t="n">
        <v>251</v>
      </c>
      <c r="B603" s="5" t="inlineStr">
        <is>
          <t>Subprocesos Con CMI Estructurado</t>
        </is>
      </c>
      <c r="C603" s="5" t="inlineStr">
        <is>
          <t>Desempeño Institucional</t>
        </is>
      </c>
      <c r="D603" s="5" t="inlineStr">
        <is>
          <t>Trimestral</t>
        </is>
      </c>
      <c r="E603" s="5" t="inlineStr">
        <is>
          <t>Positivo</t>
        </is>
      </c>
      <c r="F603" s="107" t="n">
        <v>45291</v>
      </c>
      <c r="G603" s="5" t="n">
        <v>2023</v>
      </c>
      <c r="H603" s="5" t="inlineStr">
        <is>
          <t>Diciembre</t>
        </is>
      </c>
      <c r="I603" s="6" t="inlineStr">
        <is>
          <t>2023-2</t>
        </is>
      </c>
      <c r="J603" s="5" t="n">
        <v>100</v>
      </c>
      <c r="K603" s="5" t="n">
        <v>100</v>
      </c>
      <c r="L603" s="14">
        <f>IFERROR(IF(OR(J603=0,K603=""),"",IF(E603="Positivo",MIN(MAX(K603/J603,0),1.3),MIN(MAX(J603/K603,0),1.3))),"") </f>
        <v/>
      </c>
      <c r="M603" s="14">
        <f>IFERROR(IF(OR(J603=0,K603=""),"",IF(E603="Positivo",MAX(K603/J603,0),MAX(J603/K603,0))),"") </f>
        <v/>
      </c>
      <c r="N603" s="5" t="inlineStr">
        <is>
          <t>%</t>
        </is>
      </c>
      <c r="O603" s="5" t="inlineStr">
        <is>
          <t>%</t>
        </is>
      </c>
      <c r="P603" s="5" t="n">
        <v>0</v>
      </c>
      <c r="Q603" s="5" t="n">
        <v>0</v>
      </c>
      <c r="R603" s="5" t="inlineStr">
        <is>
          <t>251-2023-12-31</t>
        </is>
      </c>
    </row>
    <row r="604">
      <c r="A604" s="28" t="n">
        <v>251</v>
      </c>
      <c r="B604" s="5" t="inlineStr">
        <is>
          <t>Subprocesos Con CMI Estructurado</t>
        </is>
      </c>
      <c r="C604" s="5" t="inlineStr">
        <is>
          <t>Desempeño Institucional</t>
        </is>
      </c>
      <c r="D604" s="5" t="inlineStr">
        <is>
          <t>Trimestral</t>
        </is>
      </c>
      <c r="E604" s="5" t="inlineStr">
        <is>
          <t>Positivo</t>
        </is>
      </c>
      <c r="F604" s="107" t="n">
        <v>45473</v>
      </c>
      <c r="G604" s="5" t="n">
        <v>2024</v>
      </c>
      <c r="H604" s="5" t="inlineStr">
        <is>
          <t>Junio</t>
        </is>
      </c>
      <c r="I604" s="6" t="inlineStr">
        <is>
          <t>2024-1</t>
        </is>
      </c>
      <c r="J604" s="5" t="n">
        <v>100</v>
      </c>
      <c r="K604" s="5" t="n">
        <v>92.45283018867924</v>
      </c>
      <c r="L604" s="74">
        <f>IFERROR(IF(OR(J604=0,K604=""),"",IF(E604="Positivo",MIN(MAX(K604/J604,0),1.3),MIN(MAX(J604/K604,0),1.3))),"") </f>
        <v/>
      </c>
      <c r="M604" s="14">
        <f>IFERROR(IF(OR(J604=0,K604=""),"",IF(E604="Positivo",MAX(K604/J604,0),MAX(J604/K604,0))),"") </f>
        <v/>
      </c>
      <c r="N604" s="5" t="inlineStr">
        <is>
          <t>%</t>
        </is>
      </c>
      <c r="O604" s="5" t="inlineStr">
        <is>
          <t>%</t>
        </is>
      </c>
      <c r="P604" s="5" t="n">
        <v>0</v>
      </c>
      <c r="Q604" s="5" t="n">
        <v>0</v>
      </c>
      <c r="R604" s="5" t="inlineStr">
        <is>
          <t>251-2024-06-30</t>
        </is>
      </c>
    </row>
    <row r="605">
      <c r="A605" s="26" t="n">
        <v>251</v>
      </c>
      <c r="B605" s="5" t="inlineStr">
        <is>
          <t>Subprocesos Con CMI Estructurado</t>
        </is>
      </c>
      <c r="C605" s="5" t="inlineStr">
        <is>
          <t>Desempeño Institucional</t>
        </is>
      </c>
      <c r="D605" s="5" t="inlineStr">
        <is>
          <t>Trimestral</t>
        </is>
      </c>
      <c r="E605" s="5" t="inlineStr">
        <is>
          <t>Positivo</t>
        </is>
      </c>
      <c r="F605" s="107" t="n">
        <v>45657</v>
      </c>
      <c r="G605" s="5" t="n">
        <v>2024</v>
      </c>
      <c r="H605" s="5" t="inlineStr">
        <is>
          <t>Diciembre</t>
        </is>
      </c>
      <c r="I605" s="6" t="inlineStr">
        <is>
          <t>2024-2</t>
        </is>
      </c>
      <c r="J605" s="5" t="n">
        <v>100</v>
      </c>
      <c r="K605" s="5" t="n">
        <v>96.22641509433964</v>
      </c>
      <c r="L605" s="74">
        <f>IFERROR(IF(OR(J605=0,K605=""),"",IF(E605="Positivo",MIN(MAX(K605/J605,0),1.3),MIN(MAX(J605/K605,0),1.3))),"") </f>
        <v/>
      </c>
      <c r="M605" s="14">
        <f>IFERROR(IF(OR(J605=0,K605=""),"",IF(E605="Positivo",MAX(K605/J605,0),MAX(J605/K605,0))),"") </f>
        <v/>
      </c>
      <c r="N605" s="5" t="inlineStr">
        <is>
          <t>%</t>
        </is>
      </c>
      <c r="O605" s="5" t="inlineStr">
        <is>
          <t>%</t>
        </is>
      </c>
      <c r="P605" s="5" t="n">
        <v>0</v>
      </c>
      <c r="Q605" s="5" t="n">
        <v>0</v>
      </c>
      <c r="R605" s="5" t="inlineStr">
        <is>
          <t>251-2024-12-31</t>
        </is>
      </c>
    </row>
    <row r="606">
      <c r="A606" s="5" t="n">
        <v>251</v>
      </c>
      <c r="B606" s="5" t="inlineStr">
        <is>
          <t>Subprocesos Con CMI Estructurado</t>
        </is>
      </c>
      <c r="C606" s="5" t="inlineStr">
        <is>
          <t>Desempeño Institucional</t>
        </is>
      </c>
      <c r="D606" s="5" t="inlineStr">
        <is>
          <t>Trimestral</t>
        </is>
      </c>
      <c r="E606" s="5" t="inlineStr">
        <is>
          <t>Positivo</t>
        </is>
      </c>
      <c r="F606" s="107" t="n">
        <v>45838</v>
      </c>
      <c r="G606" s="5" t="n">
        <v>2025</v>
      </c>
      <c r="H606" s="5" t="inlineStr">
        <is>
          <t>Junio</t>
        </is>
      </c>
      <c r="I606" s="6" t="inlineStr">
        <is>
          <t>2025-1</t>
        </is>
      </c>
      <c r="J606" s="5" t="n">
        <v>100</v>
      </c>
      <c r="K606" s="5" t="n">
        <v>82.34999999999999</v>
      </c>
      <c r="L606" s="14">
        <f>IFERROR(IF(OR(J606=0,K606=""),"",IF(E606="Positivo",MIN(MAX(K606/J606,0),1.3),MIN(MAX(J606/K606,0),1.3))),"") </f>
        <v/>
      </c>
      <c r="M606" s="14">
        <f>IFERROR(IF(OR(J606=0,K606=""),"",IF(E606="Positivo",MAX(K606/J606,0),MAX(J606/K606,0))),"") </f>
        <v/>
      </c>
      <c r="N606" s="5" t="inlineStr">
        <is>
          <t>%</t>
        </is>
      </c>
      <c r="O606" s="5" t="inlineStr">
        <is>
          <t>%</t>
        </is>
      </c>
      <c r="P606" s="5" t="n">
        <v>0</v>
      </c>
      <c r="Q606" s="5" t="n">
        <v>0</v>
      </c>
      <c r="R606" s="5" t="inlineStr">
        <is>
          <t>251-2025-06-30</t>
        </is>
      </c>
    </row>
    <row r="607">
      <c r="A607" s="5" t="n">
        <v>251</v>
      </c>
      <c r="B607" s="5" t="inlineStr">
        <is>
          <t>Subprocesos Con indicadores definidos</t>
        </is>
      </c>
      <c r="C607" s="5" t="inlineStr">
        <is>
          <t>Desempeño Institucional</t>
        </is>
      </c>
      <c r="D607" s="5" t="inlineStr">
        <is>
          <t>Semestral</t>
        </is>
      </c>
      <c r="E607" s="5" t="inlineStr">
        <is>
          <t>Positivo</t>
        </is>
      </c>
      <c r="F607" s="107" t="n">
        <v>46022</v>
      </c>
      <c r="G607" s="5" t="n">
        <v>2025</v>
      </c>
      <c r="H607" s="5" t="inlineStr">
        <is>
          <t>Diciembre</t>
        </is>
      </c>
      <c r="I607" s="6" t="inlineStr">
        <is>
          <t>2025-2</t>
        </is>
      </c>
      <c r="J607" s="5" t="n">
        <v>100</v>
      </c>
      <c r="K607" s="5" t="n">
        <v>100</v>
      </c>
      <c r="L607" s="14">
        <f>IFERROR(IF(OR(J607=0,K607=""),"",IF(E607="Positivo",MIN(MAX(K607/J607,0),1.3),MIN(MAX(J607/K607,0),1.3))),"") </f>
        <v/>
      </c>
      <c r="M607" s="14">
        <f>IFERROR(IF(OR(J607=0,K607=""),"",IF(E607="Positivo",MAX(K607/J607,0),MAX(J607/K607,0))),"") </f>
        <v/>
      </c>
      <c r="N607" s="5" t="inlineStr">
        <is>
          <t>%</t>
        </is>
      </c>
      <c r="O607" s="5" t="inlineStr">
        <is>
          <t>%</t>
        </is>
      </c>
      <c r="P607" s="5" t="n">
        <v>0</v>
      </c>
      <c r="Q607" s="5" t="n">
        <v>0</v>
      </c>
      <c r="R607" s="5" t="inlineStr">
        <is>
          <t>251-2025-12-31</t>
        </is>
      </c>
    </row>
    <row r="608">
      <c r="A608" s="28" t="n">
        <v>252</v>
      </c>
      <c r="B608" s="5" t="inlineStr">
        <is>
          <t>Permanencia intersemestral ingresantes</t>
        </is>
      </c>
      <c r="C608" s="5" t="inlineStr">
        <is>
          <t>Permanencia</t>
        </is>
      </c>
      <c r="D608" s="5" t="inlineStr">
        <is>
          <t>Semestral</t>
        </is>
      </c>
      <c r="E608" s="5" t="inlineStr">
        <is>
          <t>Positivo</t>
        </is>
      </c>
      <c r="F608" s="107" t="n">
        <v>45107</v>
      </c>
      <c r="G608" s="5" t="n">
        <v>2023</v>
      </c>
      <c r="H608" s="5" t="inlineStr">
        <is>
          <t>Junio</t>
        </is>
      </c>
      <c r="I608" s="6" t="inlineStr">
        <is>
          <t>2023-1</t>
        </is>
      </c>
      <c r="J608" s="5" t="n">
        <v>68</v>
      </c>
      <c r="K608" s="5" t="n">
        <v>98.81</v>
      </c>
      <c r="L608" s="74">
        <f>IFERROR(IF(OR(J608=0,K608=""),"",IF(E608="Positivo",MIN(MAX(K608/J608,0),1.3),MIN(MAX(J608/K608,0),1.3))),"") </f>
        <v/>
      </c>
      <c r="M608" s="14">
        <f>IFERROR(IF(OR(J608=0,K608=""),"",IF(E608="Positivo",MAX(K608/J608,0),MAX(J608/K608,0))),"") </f>
        <v/>
      </c>
      <c r="N608" s="5" t="inlineStr">
        <is>
          <t>%</t>
        </is>
      </c>
      <c r="O608" s="5" t="inlineStr">
        <is>
          <t>%</t>
        </is>
      </c>
      <c r="P608" s="5" t="n">
        <v>2</v>
      </c>
      <c r="Q608" s="5" t="n">
        <v>2</v>
      </c>
      <c r="R608" s="5" t="inlineStr">
        <is>
          <t>252-2023-06-30</t>
        </is>
      </c>
    </row>
    <row r="609">
      <c r="A609" s="26" t="n">
        <v>252</v>
      </c>
      <c r="B609" s="5" t="inlineStr">
        <is>
          <t>Permanencia intersemestral ingresantes</t>
        </is>
      </c>
      <c r="C609" s="5" t="inlineStr">
        <is>
          <t>Permanencia</t>
        </is>
      </c>
      <c r="D609" s="5" t="inlineStr">
        <is>
          <t>Semestral</t>
        </is>
      </c>
      <c r="E609" s="5" t="inlineStr">
        <is>
          <t>Positivo</t>
        </is>
      </c>
      <c r="F609" s="107" t="n">
        <v>45291</v>
      </c>
      <c r="G609" s="5" t="n">
        <v>2023</v>
      </c>
      <c r="H609" s="5" t="inlineStr">
        <is>
          <t>Diciembre</t>
        </is>
      </c>
      <c r="I609" s="6" t="inlineStr">
        <is>
          <t>2023-2</t>
        </is>
      </c>
      <c r="J609" s="5" t="n">
        <v>68</v>
      </c>
      <c r="K609" s="5" t="n">
        <v>109.91</v>
      </c>
      <c r="L609" s="74">
        <f>IFERROR(IF(OR(J609=0,K609=""),"",IF(E609="Positivo",MIN(MAX(K609/J609,0),1.3),MIN(MAX(J609/K609,0),1.3))),"") </f>
        <v/>
      </c>
      <c r="M609" s="14">
        <f>IFERROR(IF(OR(J609=0,K609=""),"",IF(E609="Positivo",MAX(K609/J609,0),MAX(J609/K609,0))),"") </f>
        <v/>
      </c>
      <c r="N609" s="5" t="inlineStr">
        <is>
          <t>%</t>
        </is>
      </c>
      <c r="O609" s="5" t="inlineStr">
        <is>
          <t>%</t>
        </is>
      </c>
      <c r="P609" s="5" t="n">
        <v>2</v>
      </c>
      <c r="Q609" s="5" t="n">
        <v>2</v>
      </c>
      <c r="R609" s="5" t="inlineStr">
        <is>
          <t>252-2023-12-31</t>
        </is>
      </c>
    </row>
    <row r="610">
      <c r="A610" s="26" t="n">
        <v>252</v>
      </c>
      <c r="B610" s="5" t="inlineStr">
        <is>
          <t>Permanencia intersemestral ingresantes</t>
        </is>
      </c>
      <c r="C610" s="5" t="inlineStr">
        <is>
          <t>Permanencia</t>
        </is>
      </c>
      <c r="D610" s="5" t="inlineStr">
        <is>
          <t>Semestral</t>
        </is>
      </c>
      <c r="E610" s="5" t="inlineStr">
        <is>
          <t>Positivo</t>
        </is>
      </c>
      <c r="F610" s="107" t="n">
        <v>45473</v>
      </c>
      <c r="G610" s="5" t="n">
        <v>2024</v>
      </c>
      <c r="H610" s="5" t="inlineStr">
        <is>
          <t>Junio</t>
        </is>
      </c>
      <c r="I610" s="6" t="inlineStr">
        <is>
          <t>2024-1</t>
        </is>
      </c>
      <c r="J610" s="5" t="n">
        <v>68.5</v>
      </c>
      <c r="K610" s="5" t="n">
        <v>104.47</v>
      </c>
      <c r="L610" s="74">
        <f>IFERROR(IF(OR(J610=0,K610=""),"",IF(E610="Positivo",MIN(MAX(K610/J610,0),1.3),MIN(MAX(J610/K610,0),1.3))),"") </f>
        <v/>
      </c>
      <c r="M610" s="14">
        <f>IFERROR(IF(OR(J610=0,K610=""),"",IF(E610="Positivo",MAX(K610/J610,0),MAX(J610/K610,0))),"") </f>
        <v/>
      </c>
      <c r="N610" s="5" t="inlineStr">
        <is>
          <t>%</t>
        </is>
      </c>
      <c r="O610" s="5" t="inlineStr">
        <is>
          <t>%</t>
        </is>
      </c>
      <c r="P610" s="5" t="n">
        <v>0</v>
      </c>
      <c r="Q610" s="5" t="n">
        <v>0</v>
      </c>
      <c r="R610" s="5" t="inlineStr">
        <is>
          <t>252-2024-06-30</t>
        </is>
      </c>
    </row>
    <row r="611">
      <c r="A611" s="5" t="n">
        <v>252</v>
      </c>
      <c r="B611" s="5" t="inlineStr">
        <is>
          <t>Permanencia intersemestral ingresantes</t>
        </is>
      </c>
      <c r="C611" s="5" t="inlineStr">
        <is>
          <t>Permanencia</t>
        </is>
      </c>
      <c r="D611" s="5" t="inlineStr">
        <is>
          <t>Semestral</t>
        </is>
      </c>
      <c r="E611" s="5" t="inlineStr">
        <is>
          <t>Positivo</t>
        </is>
      </c>
      <c r="F611" s="107" t="n">
        <v>45657</v>
      </c>
      <c r="G611" s="5" t="n">
        <v>2024</v>
      </c>
      <c r="H611" s="5" t="inlineStr">
        <is>
          <t>Diciembre</t>
        </is>
      </c>
      <c r="I611" s="6" t="inlineStr">
        <is>
          <t>2024-2</t>
        </is>
      </c>
      <c r="J611" s="5" t="n">
        <v>72.90000000000001</v>
      </c>
      <c r="K611" s="5" t="n">
        <v>99.48999999999999</v>
      </c>
      <c r="L611" s="14">
        <f>IFERROR(IF(OR(J611=0,K611=""),"",IF(E611="Positivo",MIN(MAX(K611/J611,0),1.3),MIN(MAX(J611/K611,0),1.3))),"") </f>
        <v/>
      </c>
      <c r="M611" s="14">
        <f>IFERROR(IF(OR(J611=0,K611=""),"",IF(E611="Positivo",MAX(K611/J611,0),MAX(J611/K611,0))),"") </f>
        <v/>
      </c>
      <c r="N611" s="5" t="inlineStr">
        <is>
          <t>%</t>
        </is>
      </c>
      <c r="O611" s="5" t="inlineStr">
        <is>
          <t>%</t>
        </is>
      </c>
      <c r="P611" s="5" t="n">
        <v>0</v>
      </c>
      <c r="Q611" s="5" t="n">
        <v>0</v>
      </c>
      <c r="R611" s="5" t="inlineStr">
        <is>
          <t>252-2024-12-31</t>
        </is>
      </c>
    </row>
    <row r="612">
      <c r="A612" s="28" t="n">
        <v>252</v>
      </c>
      <c r="B612" s="5" t="inlineStr">
        <is>
          <t>Permanencia intersemestral ingresantes</t>
        </is>
      </c>
      <c r="C612" s="5" t="inlineStr">
        <is>
          <t>Permanencia</t>
        </is>
      </c>
      <c r="D612" s="5" t="inlineStr">
        <is>
          <t>Semestral</t>
        </is>
      </c>
      <c r="E612" s="5" t="inlineStr">
        <is>
          <t>Positivo</t>
        </is>
      </c>
      <c r="F612" s="107" t="n">
        <v>45838</v>
      </c>
      <c r="G612" s="5" t="n">
        <v>2025</v>
      </c>
      <c r="H612" s="5" t="inlineStr">
        <is>
          <t>Junio</t>
        </is>
      </c>
      <c r="I612" s="6" t="inlineStr">
        <is>
          <t>2025-1</t>
        </is>
      </c>
      <c r="J612" s="5" t="n">
        <v>100</v>
      </c>
      <c r="K612" s="5" t="n">
        <v>99.58</v>
      </c>
      <c r="L612" s="74">
        <f>IFERROR(IF(OR(J612=0,K612=""),"",IF(E612="Positivo",MIN(MAX(K612/J612,0),1.3),MIN(MAX(J612/K612,0),1.3))),"") </f>
        <v/>
      </c>
      <c r="M612" s="14">
        <f>IFERROR(IF(OR(J612=0,K612=""),"",IF(E612="Positivo",MAX(K612/J612,0),MAX(J612/K612,0))),"") </f>
        <v/>
      </c>
      <c r="N612" s="5" t="inlineStr">
        <is>
          <t>%</t>
        </is>
      </c>
      <c r="O612" s="5" t="inlineStr">
        <is>
          <t>%</t>
        </is>
      </c>
      <c r="P612" s="5" t="n">
        <v>0</v>
      </c>
      <c r="Q612" s="5" t="n">
        <v>0</v>
      </c>
      <c r="R612" s="5" t="inlineStr">
        <is>
          <t>252-2025-06-30</t>
        </is>
      </c>
    </row>
    <row r="613">
      <c r="A613" s="26" t="n">
        <v>252</v>
      </c>
      <c r="B613" s="5" t="inlineStr">
        <is>
          <t>Tasa de Permanencia Intersemestral de Estudiantes Ingresantes</t>
        </is>
      </c>
      <c r="C613" s="5" t="inlineStr">
        <is>
          <t>Permanencia</t>
        </is>
      </c>
      <c r="D613" s="5" t="inlineStr">
        <is>
          <t>Trimestral</t>
        </is>
      </c>
      <c r="E613" s="5" t="inlineStr">
        <is>
          <t>Positivo</t>
        </is>
      </c>
      <c r="F613" s="107" t="n">
        <v>46022</v>
      </c>
      <c r="G613" s="5" t="n">
        <v>2025</v>
      </c>
      <c r="H613" s="5" t="inlineStr">
        <is>
          <t>Diciembre</t>
        </is>
      </c>
      <c r="I613" s="6" t="inlineStr">
        <is>
          <t>2025-2</t>
        </is>
      </c>
      <c r="J613" s="5" t="n">
        <v>100</v>
      </c>
      <c r="K613" s="5" t="n">
        <v>104.31</v>
      </c>
      <c r="L613" s="74">
        <f>IFERROR(IF(OR(J613=0,K613=""),"",IF(E613="Positivo",MIN(MAX(K613/J613,0),1.3),MIN(MAX(J613/K613,0),1.3))),"") </f>
        <v/>
      </c>
      <c r="M613" s="14">
        <f>IFERROR(IF(OR(J613=0,K613=""),"",IF(E613="Positivo",MAX(K613/J613,0),MAX(J613/K613,0))),"") </f>
        <v/>
      </c>
      <c r="N613" s="5" t="inlineStr">
        <is>
          <t>%</t>
        </is>
      </c>
      <c r="O613" s="5" t="inlineStr">
        <is>
          <t>%</t>
        </is>
      </c>
      <c r="P613" s="5" t="n">
        <v>1</v>
      </c>
      <c r="Q613" s="5" t="n">
        <v>1</v>
      </c>
      <c r="R613" s="5" t="inlineStr">
        <is>
          <t>252-2025-12-31</t>
        </is>
      </c>
    </row>
    <row r="614">
      <c r="A614" s="5" t="n">
        <v>253</v>
      </c>
      <c r="B614" s="5" t="inlineStr">
        <is>
          <t>Oportunidad en la entrega de informes de auditoria</t>
        </is>
      </c>
      <c r="C614" s="5" t="inlineStr">
        <is>
          <t>AUDITORÍA INTERNA</t>
        </is>
      </c>
      <c r="D614" s="5" t="inlineStr">
        <is>
          <t>Bimestral</t>
        </is>
      </c>
      <c r="E614" s="5" t="inlineStr">
        <is>
          <t>Negativo</t>
        </is>
      </c>
      <c r="F614" s="107" t="n">
        <v>45046</v>
      </c>
      <c r="G614" s="5" t="n">
        <v>2023</v>
      </c>
      <c r="H614" s="5" t="inlineStr">
        <is>
          <t>Abril</t>
        </is>
      </c>
      <c r="I614" s="6" t="inlineStr">
        <is>
          <t>2023-1</t>
        </is>
      </c>
      <c r="J614" s="5" t="n">
        <v>8</v>
      </c>
      <c r="K614" s="5" t="n">
        <v>8</v>
      </c>
      <c r="L614" s="14">
        <f>IFERROR(IF(OR(J614=0,K614=""),"",IF(E614="Positivo",MIN(MAX(K614/J614,0),1.3),MIN(MAX(J614/K614,0),1.3))),"") </f>
        <v/>
      </c>
      <c r="M614" s="14">
        <f>IFERROR(IF(OR(J614=0,K614=""),"",IF(E614="Positivo",MAX(K614/J614,0),MAX(J614/K614,0))),"") </f>
        <v/>
      </c>
      <c r="N614" s="5" t="inlineStr">
        <is>
          <t>Días</t>
        </is>
      </c>
      <c r="O614" s="5" t="inlineStr">
        <is>
          <t>Días</t>
        </is>
      </c>
      <c r="P614" s="5" t="n">
        <v>0</v>
      </c>
      <c r="Q614" s="5" t="n">
        <v>0</v>
      </c>
      <c r="R614" s="5" t="inlineStr">
        <is>
          <t>253-2023-04-30</t>
        </is>
      </c>
    </row>
    <row r="615">
      <c r="A615" s="28" t="n">
        <v>253</v>
      </c>
      <c r="B615" s="5" t="inlineStr">
        <is>
          <t>Oportunidad en la entrega de informes de auditoria</t>
        </is>
      </c>
      <c r="C615" s="5" t="inlineStr">
        <is>
          <t>AUDITORÍA INTERNA</t>
        </is>
      </c>
      <c r="D615" s="5" t="inlineStr">
        <is>
          <t>Bimestral</t>
        </is>
      </c>
      <c r="E615" s="5" t="inlineStr">
        <is>
          <t>Negativo</t>
        </is>
      </c>
      <c r="F615" s="107" t="n">
        <v>45107</v>
      </c>
      <c r="G615" s="5" t="n">
        <v>2023</v>
      </c>
      <c r="H615" s="5" t="inlineStr">
        <is>
          <t>Junio</t>
        </is>
      </c>
      <c r="I615" s="6" t="inlineStr">
        <is>
          <t>2023-1</t>
        </is>
      </c>
      <c r="J615" s="5" t="n">
        <v>8</v>
      </c>
      <c r="K615" s="5" t="n">
        <v>4.5</v>
      </c>
      <c r="L615" s="74">
        <f>IFERROR(IF(OR(J615=0,K615=""),"",IF(E615="Positivo",MIN(MAX(K615/J615,0),1.3),MIN(MAX(J615/K615,0),1.3))),"") </f>
        <v/>
      </c>
      <c r="M615" s="14">
        <f>IFERROR(IF(OR(J615=0,K615=""),"",IF(E615="Positivo",MAX(K615/J615,0),MAX(J615/K615,0))),"") </f>
        <v/>
      </c>
      <c r="N615" s="5" t="inlineStr">
        <is>
          <t>Días</t>
        </is>
      </c>
      <c r="O615" s="5" t="inlineStr">
        <is>
          <t>Días</t>
        </is>
      </c>
      <c r="P615" s="5" t="n">
        <v>0</v>
      </c>
      <c r="Q615" s="5" t="n">
        <v>0</v>
      </c>
      <c r="R615" s="5" t="inlineStr">
        <is>
          <t>253-2023-06-30</t>
        </is>
      </c>
    </row>
    <row r="616">
      <c r="A616" s="26" t="n">
        <v>253</v>
      </c>
      <c r="B616" s="5" t="inlineStr">
        <is>
          <t>Oportunidad en la entrega de informes de auditoria</t>
        </is>
      </c>
      <c r="C616" s="5" t="inlineStr">
        <is>
          <t>AUDITORÍA INTERNA</t>
        </is>
      </c>
      <c r="D616" s="5" t="inlineStr">
        <is>
          <t>Bimestral</t>
        </is>
      </c>
      <c r="E616" s="5" t="inlineStr">
        <is>
          <t>Negativo</t>
        </is>
      </c>
      <c r="F616" s="107" t="n">
        <v>45169</v>
      </c>
      <c r="G616" s="5" t="n">
        <v>2023</v>
      </c>
      <c r="H616" s="5" t="inlineStr">
        <is>
          <t>Agosto</t>
        </is>
      </c>
      <c r="I616" s="6" t="inlineStr">
        <is>
          <t>2023-2</t>
        </is>
      </c>
      <c r="J616" s="5" t="n">
        <v>8</v>
      </c>
      <c r="K616" s="5" t="n">
        <v>4.5</v>
      </c>
      <c r="L616" s="74">
        <f>IFERROR(IF(OR(J616=0,K616=""),"",IF(E616="Positivo",MIN(MAX(K616/J616,0),1.3),MIN(MAX(J616/K616,0),1.3))),"") </f>
        <v/>
      </c>
      <c r="M616" s="14">
        <f>IFERROR(IF(OR(J616=0,K616=""),"",IF(E616="Positivo",MAX(K616/J616,0),MAX(J616/K616,0))),"") </f>
        <v/>
      </c>
      <c r="N616" s="5" t="inlineStr">
        <is>
          <t>Días</t>
        </is>
      </c>
      <c r="O616" s="5" t="inlineStr">
        <is>
          <t>Días</t>
        </is>
      </c>
      <c r="P616" s="5" t="n">
        <v>0</v>
      </c>
      <c r="Q616" s="5" t="n">
        <v>0</v>
      </c>
      <c r="R616" s="5" t="inlineStr">
        <is>
          <t>253-2023-08-31</t>
        </is>
      </c>
    </row>
    <row r="617">
      <c r="A617" s="5" t="n">
        <v>253</v>
      </c>
      <c r="B617" s="5" t="inlineStr">
        <is>
          <t>Oportunidad en la entrega de informes de auditoria</t>
        </is>
      </c>
      <c r="C617" s="5" t="inlineStr">
        <is>
          <t>AUDITORÍA INTERNA</t>
        </is>
      </c>
      <c r="D617" s="5" t="inlineStr">
        <is>
          <t>Bimestral</t>
        </is>
      </c>
      <c r="E617" s="5" t="inlineStr">
        <is>
          <t>Negativo</t>
        </is>
      </c>
      <c r="F617" s="107" t="n">
        <v>45230</v>
      </c>
      <c r="G617" s="5" t="n">
        <v>2023</v>
      </c>
      <c r="H617" s="5" t="inlineStr">
        <is>
          <t>Octubre</t>
        </is>
      </c>
      <c r="I617" s="6" t="inlineStr">
        <is>
          <t>2023-2</t>
        </is>
      </c>
      <c r="J617" s="5" t="n">
        <v>8</v>
      </c>
      <c r="K617" s="5" t="n">
        <v>5.8</v>
      </c>
      <c r="L617" s="14">
        <f>IFERROR(IF(OR(J617=0,K617=""),"",IF(E617="Positivo",MIN(MAX(K617/J617,0),1.3),MIN(MAX(J617/K617,0),1.3))),"") </f>
        <v/>
      </c>
      <c r="M617" s="14">
        <f>IFERROR(IF(OR(J617=0,K617=""),"",IF(E617="Positivo",MAX(K617/J617,0),MAX(J617/K617,0))),"") </f>
        <v/>
      </c>
      <c r="N617" s="5" t="inlineStr">
        <is>
          <t>Días</t>
        </is>
      </c>
      <c r="O617" s="5" t="inlineStr">
        <is>
          <t>Días</t>
        </is>
      </c>
      <c r="P617" s="5" t="n">
        <v>0</v>
      </c>
      <c r="Q617" s="5" t="n">
        <v>0</v>
      </c>
      <c r="R617" s="5" t="inlineStr">
        <is>
          <t>253-2023-10-31</t>
        </is>
      </c>
    </row>
    <row r="618">
      <c r="A618" s="5" t="n">
        <v>253</v>
      </c>
      <c r="B618" s="5" t="inlineStr">
        <is>
          <t>Oportunidad en la entrega de informes de auditoria</t>
        </is>
      </c>
      <c r="C618" s="5" t="inlineStr">
        <is>
          <t>AUDITORÍA INTERNA</t>
        </is>
      </c>
      <c r="D618" s="5" t="inlineStr">
        <is>
          <t>Bimestral</t>
        </is>
      </c>
      <c r="E618" s="5" t="inlineStr">
        <is>
          <t>Negativo</t>
        </is>
      </c>
      <c r="F618" s="107" t="n">
        <v>45291</v>
      </c>
      <c r="G618" s="5" t="n">
        <v>2023</v>
      </c>
      <c r="H618" s="5" t="inlineStr">
        <is>
          <t>Diciembre</t>
        </is>
      </c>
      <c r="I618" s="6" t="inlineStr">
        <is>
          <t>2023-2</t>
        </is>
      </c>
      <c r="J618" s="5" t="n">
        <v>8</v>
      </c>
      <c r="K618" s="5" t="n">
        <v>5</v>
      </c>
      <c r="L618" s="14">
        <f>IFERROR(IF(OR(J618=0,K618=""),"",IF(E618="Positivo",MIN(MAX(K618/J618,0),1.3),MIN(MAX(J618/K618,0),1.3))),"") </f>
        <v/>
      </c>
      <c r="M618" s="14">
        <f>IFERROR(IF(OR(J618=0,K618=""),"",IF(E618="Positivo",MAX(K618/J618,0),MAX(J618/K618,0))),"") </f>
        <v/>
      </c>
      <c r="N618" s="5" t="inlineStr">
        <is>
          <t>Días</t>
        </is>
      </c>
      <c r="O618" s="5" t="inlineStr">
        <is>
          <t>Días</t>
        </is>
      </c>
      <c r="P618" s="5" t="n">
        <v>0</v>
      </c>
      <c r="Q618" s="5" t="n">
        <v>0</v>
      </c>
      <c r="R618" s="5" t="inlineStr">
        <is>
          <t>253-2023-12-31</t>
        </is>
      </c>
    </row>
    <row r="619">
      <c r="A619" s="28" t="n">
        <v>254</v>
      </c>
      <c r="B619" s="5" t="inlineStr">
        <is>
          <t>Áreas con reportes de plan de retos</t>
        </is>
      </c>
      <c r="C619" s="5" t="inlineStr">
        <is>
          <t>Planeación Estratégica</t>
        </is>
      </c>
      <c r="D619" s="5" t="inlineStr">
        <is>
          <t>Trimestral</t>
        </is>
      </c>
      <c r="E619" s="5" t="inlineStr">
        <is>
          <t>Positivo</t>
        </is>
      </c>
      <c r="F619" s="107" t="n">
        <v>45107</v>
      </c>
      <c r="G619" s="5" t="n">
        <v>2023</v>
      </c>
      <c r="H619" s="5" t="inlineStr">
        <is>
          <t>Junio</t>
        </is>
      </c>
      <c r="I619" s="6" t="inlineStr">
        <is>
          <t>2023-1</t>
        </is>
      </c>
      <c r="J619" s="5" t="n">
        <v>100</v>
      </c>
      <c r="K619" s="5" t="n">
        <v>100</v>
      </c>
      <c r="L619" s="74">
        <f>IFERROR(IF(OR(J619=0,K619=""),"",IF(E619="Positivo",MIN(MAX(K619/J619,0),1.3),MIN(MAX(J619/K619,0),1.3))),"") </f>
        <v/>
      </c>
      <c r="M619" s="14">
        <f>IFERROR(IF(OR(J619=0,K619=""),"",IF(E619="Positivo",MAX(K619/J619,0),MAX(J619/K619,0))),"") </f>
        <v/>
      </c>
      <c r="N619" s="5" t="inlineStr">
        <is>
          <t>%</t>
        </is>
      </c>
      <c r="O619" s="5" t="inlineStr">
        <is>
          <t>%</t>
        </is>
      </c>
      <c r="P619" s="5" t="n">
        <v>0</v>
      </c>
      <c r="Q619" s="5" t="n">
        <v>0</v>
      </c>
      <c r="R619" s="5" t="inlineStr">
        <is>
          <t>254-2023-06-30</t>
        </is>
      </c>
    </row>
    <row r="620">
      <c r="A620" s="26" t="n">
        <v>254</v>
      </c>
      <c r="B620" s="5" t="inlineStr">
        <is>
          <t>Áreas con reportes de plan de retos</t>
        </is>
      </c>
      <c r="C620" s="5" t="inlineStr">
        <is>
          <t>Planeación Estratégica</t>
        </is>
      </c>
      <c r="D620" s="5" t="inlineStr">
        <is>
          <t>Trimestral</t>
        </is>
      </c>
      <c r="E620" s="5" t="inlineStr">
        <is>
          <t>Positivo</t>
        </is>
      </c>
      <c r="F620" s="107" t="n">
        <v>45291</v>
      </c>
      <c r="G620" s="5" t="n">
        <v>2023</v>
      </c>
      <c r="H620" s="5" t="inlineStr">
        <is>
          <t>Diciembre</t>
        </is>
      </c>
      <c r="I620" s="6" t="inlineStr">
        <is>
          <t>2023-2</t>
        </is>
      </c>
      <c r="J620" s="5" t="n">
        <v>100</v>
      </c>
      <c r="K620" s="5" t="n">
        <v>100</v>
      </c>
      <c r="L620" s="74">
        <f>IFERROR(IF(OR(J620=0,K620=""),"",IF(E620="Positivo",MIN(MAX(K620/J620,0),1.3),MIN(MAX(J620/K620,0),1.3))),"") </f>
        <v/>
      </c>
      <c r="M620" s="14">
        <f>IFERROR(IF(OR(J620=0,K620=""),"",IF(E620="Positivo",MAX(K620/J620,0),MAX(J620/K620,0))),"") </f>
        <v/>
      </c>
      <c r="N620" s="5" t="inlineStr">
        <is>
          <t>%</t>
        </is>
      </c>
      <c r="O620" s="5" t="inlineStr">
        <is>
          <t>%</t>
        </is>
      </c>
      <c r="P620" s="5" t="n">
        <v>0</v>
      </c>
      <c r="Q620" s="5" t="n">
        <v>0</v>
      </c>
      <c r="R620" s="5" t="inlineStr">
        <is>
          <t>254-2023-12-31</t>
        </is>
      </c>
    </row>
    <row r="621">
      <c r="A621" s="5" t="n">
        <v>254</v>
      </c>
      <c r="B621" s="5" t="inlineStr">
        <is>
          <t>Áreas con reportes de plan de retos</t>
        </is>
      </c>
      <c r="C621" s="5" t="inlineStr">
        <is>
          <t>Planeación Estratégica</t>
        </is>
      </c>
      <c r="D621" s="5" t="inlineStr">
        <is>
          <t>Trimestral</t>
        </is>
      </c>
      <c r="E621" s="5" t="inlineStr">
        <is>
          <t>Positivo</t>
        </is>
      </c>
      <c r="F621" s="107" t="n">
        <v>45473</v>
      </c>
      <c r="G621" s="5" t="n">
        <v>2024</v>
      </c>
      <c r="H621" s="5" t="inlineStr">
        <is>
          <t>Junio</t>
        </is>
      </c>
      <c r="I621" s="6" t="inlineStr">
        <is>
          <t>2024-1</t>
        </is>
      </c>
      <c r="J621" s="5" t="n">
        <v>100</v>
      </c>
      <c r="K621" s="5" t="n">
        <v>100</v>
      </c>
      <c r="L621" s="14">
        <f>IFERROR(IF(OR(J621=0,K621=""),"",IF(E621="Positivo",MIN(MAX(K621/J621,0),1.3),MIN(MAX(J621/K621,0),1.3))),"") </f>
        <v/>
      </c>
      <c r="M621" s="14">
        <f>IFERROR(IF(OR(J621=0,K621=""),"",IF(E621="Positivo",MAX(K621/J621,0),MAX(J621/K621,0))),"") </f>
        <v/>
      </c>
      <c r="N621" s="5" t="inlineStr">
        <is>
          <t>%</t>
        </is>
      </c>
      <c r="O621" s="5" t="inlineStr">
        <is>
          <t>%</t>
        </is>
      </c>
      <c r="P621" s="5" t="n">
        <v>0</v>
      </c>
      <c r="Q621" s="5" t="n">
        <v>0</v>
      </c>
      <c r="R621" s="5" t="inlineStr">
        <is>
          <t>254-2024-06-30</t>
        </is>
      </c>
    </row>
    <row r="622">
      <c r="A622" s="5" t="n">
        <v>254</v>
      </c>
      <c r="B622" s="5" t="inlineStr">
        <is>
          <t>Áreas con reportes de plan de retos</t>
        </is>
      </c>
      <c r="C622" s="5" t="inlineStr">
        <is>
          <t>Planeación Estratégica</t>
        </is>
      </c>
      <c r="D622" s="5" t="inlineStr">
        <is>
          <t>Trimestral</t>
        </is>
      </c>
      <c r="E622" s="5" t="inlineStr">
        <is>
          <t>Positivo</t>
        </is>
      </c>
      <c r="F622" s="107" t="n">
        <v>45657</v>
      </c>
      <c r="G622" s="5" t="n">
        <v>2024</v>
      </c>
      <c r="H622" s="5" t="inlineStr">
        <is>
          <t>Diciembre</t>
        </is>
      </c>
      <c r="I622" s="6" t="inlineStr">
        <is>
          <t>2024-2</t>
        </is>
      </c>
      <c r="J622" s="5" t="n">
        <v>100</v>
      </c>
      <c r="K622" s="5" t="n">
        <v>100</v>
      </c>
      <c r="L622" s="14">
        <f>IFERROR(IF(OR(J622=0,K622=""),"",IF(E622="Positivo",MIN(MAX(K622/J622,0),1.3),MIN(MAX(J622/K622,0),1.3))),"") </f>
        <v/>
      </c>
      <c r="M622" s="14">
        <f>IFERROR(IF(OR(J622=0,K622=""),"",IF(E622="Positivo",MAX(K622/J622,0),MAX(J622/K622,0))),"") </f>
        <v/>
      </c>
      <c r="N622" s="5" t="inlineStr">
        <is>
          <t>%</t>
        </is>
      </c>
      <c r="O622" s="5" t="inlineStr">
        <is>
          <t>%</t>
        </is>
      </c>
      <c r="P622" s="5" t="n">
        <v>0</v>
      </c>
      <c r="Q622" s="5" t="n">
        <v>0</v>
      </c>
      <c r="R622" s="5" t="inlineStr">
        <is>
          <t>254-2024-12-31</t>
        </is>
      </c>
    </row>
    <row r="623">
      <c r="A623" s="28" t="n">
        <v>254</v>
      </c>
      <c r="B623" s="5" t="inlineStr">
        <is>
          <t>Áreas con reportes de plan de retos</t>
        </is>
      </c>
      <c r="C623" s="5" t="inlineStr">
        <is>
          <t>Planeación Estratégica</t>
        </is>
      </c>
      <c r="D623" s="5" t="inlineStr">
        <is>
          <t>Trimestral</t>
        </is>
      </c>
      <c r="E623" s="5" t="inlineStr">
        <is>
          <t>Positivo</t>
        </is>
      </c>
      <c r="F623" s="107" t="n">
        <v>45838</v>
      </c>
      <c r="G623" s="5" t="n">
        <v>2025</v>
      </c>
      <c r="H623" s="5" t="inlineStr">
        <is>
          <t>Junio</t>
        </is>
      </c>
      <c r="I623" s="6" t="inlineStr">
        <is>
          <t>2025-1</t>
        </is>
      </c>
      <c r="J623" s="5" t="n">
        <v>100</v>
      </c>
      <c r="K623" s="5" t="n">
        <v>100</v>
      </c>
      <c r="L623" s="14">
        <f>IFERROR(IF(OR(J623=0,K623=""),"",IF(E623="Positivo",MIN(MAX(K623/J623,0),1.3),MIN(MAX(J623/K623,0),1.3))),"") </f>
        <v/>
      </c>
      <c r="M623" s="14">
        <f>IFERROR(IF(OR(J623=0,K623=""),"",IF(E623="Positivo",MAX(K623/J623,0),MAX(J623/K623,0))),"") </f>
        <v/>
      </c>
      <c r="N623" s="5" t="inlineStr">
        <is>
          <t>%</t>
        </is>
      </c>
      <c r="O623" s="5" t="inlineStr">
        <is>
          <t>%</t>
        </is>
      </c>
      <c r="P623" s="5" t="n">
        <v>0</v>
      </c>
      <c r="Q623" s="5" t="n">
        <v>0</v>
      </c>
      <c r="R623" s="5" t="inlineStr">
        <is>
          <t>254-2025-06-30</t>
        </is>
      </c>
    </row>
    <row r="624">
      <c r="A624" s="26" t="n">
        <v>254</v>
      </c>
      <c r="B624" s="5" t="inlineStr">
        <is>
          <t>Áreas con reportes de plan de retos</t>
        </is>
      </c>
      <c r="C624" s="5" t="inlineStr">
        <is>
          <t>Planeación Estratégica</t>
        </is>
      </c>
      <c r="D624" s="5" t="inlineStr">
        <is>
          <t>Semestral</t>
        </is>
      </c>
      <c r="E624" s="5" t="inlineStr">
        <is>
          <t>Positivo</t>
        </is>
      </c>
      <c r="F624" s="107" t="n">
        <v>46022</v>
      </c>
      <c r="G624" s="5" t="n">
        <v>2025</v>
      </c>
      <c r="H624" s="5" t="inlineStr">
        <is>
          <t>Diciembre</t>
        </is>
      </c>
      <c r="I624" s="6" t="inlineStr">
        <is>
          <t>2025-2</t>
        </is>
      </c>
      <c r="J624" s="5" t="n">
        <v>100</v>
      </c>
      <c r="K624" s="5" t="n">
        <v>100</v>
      </c>
      <c r="L624" s="74">
        <f>IFERROR(IF(OR(J624=0,K624=""),"",IF(E624="Positivo",MIN(MAX(K624/J624,0),1.3),MIN(MAX(J624/K624,0),1.3))),"") </f>
        <v/>
      </c>
      <c r="M624" s="14">
        <f>IFERROR(IF(OR(J624=0,K624=""),"",IF(E624="Positivo",MAX(K624/J624,0),MAX(J624/K624,0))),"") </f>
        <v/>
      </c>
      <c r="N624" s="5" t="inlineStr">
        <is>
          <t>ENT</t>
        </is>
      </c>
      <c r="O624" s="5" t="inlineStr">
        <is>
          <t>ENT</t>
        </is>
      </c>
      <c r="P624" s="5" t="n">
        <v>0</v>
      </c>
      <c r="Q624" s="5" t="n">
        <v>0</v>
      </c>
      <c r="R624" s="5" t="inlineStr">
        <is>
          <t>254-2025-12-31</t>
        </is>
      </c>
    </row>
    <row r="625">
      <c r="A625" s="5" t="n">
        <v>255</v>
      </c>
      <c r="B625" s="5" t="inlineStr">
        <is>
          <t>Informe anual de variación de índice H</t>
        </is>
      </c>
      <c r="C625" s="5" t="inlineStr">
        <is>
          <t>Editorial y Publicaciones</t>
        </is>
      </c>
      <c r="D625" s="5" t="inlineStr">
        <is>
          <t>Anual</t>
        </is>
      </c>
      <c r="E625" s="5" t="inlineStr">
        <is>
          <t>Positivo</t>
        </is>
      </c>
      <c r="F625" s="107" t="n">
        <v>45291</v>
      </c>
      <c r="G625" s="5" t="n">
        <v>2023</v>
      </c>
      <c r="H625" s="5" t="inlineStr">
        <is>
          <t>Diciembre</t>
        </is>
      </c>
      <c r="I625" s="6" t="inlineStr">
        <is>
          <t>2023-2</t>
        </is>
      </c>
      <c r="J625" s="5" t="n">
        <v>100</v>
      </c>
      <c r="K625" s="5" t="n">
        <v>18</v>
      </c>
      <c r="L625" s="14">
        <f>IFERROR(IF(OR(J625=0,K625=""),"",IF(E625="Positivo",MIN(MAX(K625/J625,0),1.3),MIN(MAX(J625/K625,0),1.3))),"") </f>
        <v/>
      </c>
      <c r="M625" s="14">
        <f>IFERROR(IF(OR(J625=0,K625=""),"",IF(E625="Positivo",MAX(K625/J625,0),MAX(J625/K625,0))),"") </f>
        <v/>
      </c>
      <c r="N625" s="5" t="n"/>
      <c r="O625" s="5" t="n"/>
      <c r="P625" s="5" t="n">
        <v>0</v>
      </c>
      <c r="Q625" s="5" t="n">
        <v>0</v>
      </c>
      <c r="R625" s="5" t="inlineStr">
        <is>
          <t>255-2023-12-31</t>
        </is>
      </c>
    </row>
    <row r="626">
      <c r="A626" s="5" t="n">
        <v>255</v>
      </c>
      <c r="B626" s="5" t="inlineStr">
        <is>
          <t>Informe anual de variación de índice H</t>
        </is>
      </c>
      <c r="C626" s="5" t="inlineStr">
        <is>
          <t>Editorial y Publicaciones</t>
        </is>
      </c>
      <c r="D626" s="5" t="inlineStr">
        <is>
          <t>Anual</t>
        </is>
      </c>
      <c r="E626" s="5" t="inlineStr">
        <is>
          <t>Positivo</t>
        </is>
      </c>
      <c r="F626" s="107" t="n">
        <v>45657</v>
      </c>
      <c r="G626" s="5" t="n">
        <v>2024</v>
      </c>
      <c r="H626" s="5" t="inlineStr">
        <is>
          <t>Diciembre</t>
        </is>
      </c>
      <c r="I626" s="6" t="inlineStr">
        <is>
          <t>2024-2</t>
        </is>
      </c>
      <c r="J626" s="5" t="n">
        <v>100</v>
      </c>
      <c r="K626" s="5" t="n">
        <v>15</v>
      </c>
      <c r="L626" s="14">
        <f>IFERROR(IF(OR(J626=0,K626=""),"",IF(E626="Positivo",MIN(MAX(K626/J626,0),1.3),MIN(MAX(J626/K626,0),1.3))),"") </f>
        <v/>
      </c>
      <c r="M626" s="14">
        <f>IFERROR(IF(OR(J626=0,K626=""),"",IF(E626="Positivo",MAX(K626/J626,0),MAX(J626/K626,0))),"") </f>
        <v/>
      </c>
      <c r="N626" s="5" t="n"/>
      <c r="O626" s="5" t="n"/>
      <c r="P626" s="5" t="n">
        <v>0</v>
      </c>
      <c r="Q626" s="5" t="n">
        <v>0</v>
      </c>
      <c r="R626" s="5" t="inlineStr">
        <is>
          <t>255-2024-12-31</t>
        </is>
      </c>
    </row>
    <row r="627">
      <c r="A627" s="5" t="n">
        <v>255</v>
      </c>
      <c r="B627" s="5" t="inlineStr">
        <is>
          <t>Informe anual de índice H</t>
        </is>
      </c>
      <c r="C627" s="5" t="inlineStr">
        <is>
          <t>Editorial y Publicaciones</t>
        </is>
      </c>
      <c r="D627" s="5" t="inlineStr">
        <is>
          <t>Anual</t>
        </is>
      </c>
      <c r="E627" s="5" t="inlineStr">
        <is>
          <t>Positivo</t>
        </is>
      </c>
      <c r="F627" s="106" t="n">
        <v>46022</v>
      </c>
      <c r="G627" s="15" t="n">
        <v>2025</v>
      </c>
      <c r="H627" s="6" t="inlineStr">
        <is>
          <t>Diciembre</t>
        </is>
      </c>
      <c r="I627" s="27" t="inlineStr">
        <is>
          <t>2025-2</t>
        </is>
      </c>
      <c r="J627" s="5" t="n">
        <v>100</v>
      </c>
      <c r="K627" s="5" t="n"/>
      <c r="L627" s="14" t="n"/>
      <c r="M627" s="14" t="n"/>
      <c r="N627" s="5" t="inlineStr">
        <is>
          <t>ENT</t>
        </is>
      </c>
      <c r="O627" s="5" t="inlineStr">
        <is>
          <t>No Aplica</t>
        </is>
      </c>
      <c r="P627" s="5" t="n">
        <v>0</v>
      </c>
      <c r="Q627" s="5" t="n">
        <v>0</v>
      </c>
      <c r="R627" s="5" t="inlineStr">
        <is>
          <t>255-2025-12-31</t>
        </is>
      </c>
      <c r="S627" t="inlineStr">
        <is>
          <t>No Aplica</t>
        </is>
      </c>
    </row>
    <row r="628">
      <c r="A628" s="26" t="n">
        <v>256</v>
      </c>
      <c r="B628" s="5" t="inlineStr">
        <is>
          <t>Publicaciones editadas por la editorial</t>
        </is>
      </c>
      <c r="C628" s="5" t="inlineStr">
        <is>
          <t>Editorial y Publicaciones</t>
        </is>
      </c>
      <c r="D628" s="5" t="inlineStr">
        <is>
          <t>Semestral</t>
        </is>
      </c>
      <c r="E628" s="5" t="inlineStr">
        <is>
          <t>Positivo</t>
        </is>
      </c>
      <c r="F628" s="107" t="n">
        <v>45107</v>
      </c>
      <c r="G628" s="5" t="n">
        <v>2023</v>
      </c>
      <c r="H628" s="5" t="inlineStr">
        <is>
          <t>Junio</t>
        </is>
      </c>
      <c r="I628" s="6" t="inlineStr">
        <is>
          <t>2023-1</t>
        </is>
      </c>
      <c r="J628" s="5" t="n">
        <v>100</v>
      </c>
      <c r="K628" s="5" t="n">
        <v>123.52941176471</v>
      </c>
      <c r="L628" s="14">
        <f>IFERROR(IF(OR(J628=0,K628=""),"",IF(E628="Positivo",MIN(MAX(K628/J628,0),1.3),MIN(MAX(J628/K628,0),1.3))),"") </f>
        <v/>
      </c>
      <c r="M628" s="14">
        <f>IFERROR(IF(OR(J628=0,K628=""),"",IF(E628="Positivo",MAX(K628/J628,0),MAX(J628/K628,0))),"") </f>
        <v/>
      </c>
      <c r="N628" s="5" t="inlineStr">
        <is>
          <t>ENT</t>
        </is>
      </c>
      <c r="O628" s="5" t="inlineStr">
        <is>
          <t>ENT</t>
        </is>
      </c>
      <c r="P628" s="5" t="n">
        <v>0</v>
      </c>
      <c r="Q628" s="5" t="n">
        <v>0</v>
      </c>
      <c r="R628" s="5" t="inlineStr">
        <is>
          <t>256-2023-06-30</t>
        </is>
      </c>
    </row>
    <row r="629">
      <c r="A629" s="26" t="n">
        <v>256</v>
      </c>
      <c r="B629" s="5" t="inlineStr">
        <is>
          <t>Publicaciones editadas por la editorial</t>
        </is>
      </c>
      <c r="C629" s="5" t="inlineStr">
        <is>
          <t>Editorial y Publicaciones</t>
        </is>
      </c>
      <c r="D629" s="5" t="inlineStr">
        <is>
          <t>Semestral</t>
        </is>
      </c>
      <c r="E629" s="5" t="inlineStr">
        <is>
          <t>Positivo</t>
        </is>
      </c>
      <c r="F629" s="106" t="n">
        <v>45291</v>
      </c>
      <c r="G629" s="5" t="n">
        <v>2023</v>
      </c>
      <c r="H629" s="5" t="inlineStr">
        <is>
          <t>Diciembre</t>
        </is>
      </c>
      <c r="I629" s="6" t="inlineStr">
        <is>
          <t>2023-2</t>
        </is>
      </c>
      <c r="J629" s="5" t="n">
        <v>100</v>
      </c>
      <c r="K629" s="5" t="n">
        <v>123.53</v>
      </c>
      <c r="L629" s="14">
        <f>IFERROR(IF(OR(J629=0,K629=""),"",IF(E629="Positivo",MIN(MAX(K629/J629,0),1.3),MIN(MAX(J629/K629,0),1.3))),"") </f>
        <v/>
      </c>
      <c r="M629" s="14">
        <f>IFERROR(IF(OR(J629=0,K629=""),"",IF(E629="Positivo",MAX(K629/J629,0),MAX(J629/K629,0))),"") </f>
        <v/>
      </c>
      <c r="N629" s="5" t="inlineStr">
        <is>
          <t>ENT</t>
        </is>
      </c>
      <c r="O629" s="5" t="inlineStr">
        <is>
          <t>ENT</t>
        </is>
      </c>
      <c r="P629" s="5" t="n">
        <v>0</v>
      </c>
      <c r="Q629" s="5" t="n">
        <v>0</v>
      </c>
      <c r="R629" s="5" t="inlineStr">
        <is>
          <t>256-2023-12-31</t>
        </is>
      </c>
    </row>
    <row r="630">
      <c r="A630" s="26" t="n">
        <v>256</v>
      </c>
      <c r="B630" s="5" t="inlineStr">
        <is>
          <t>Publicaciones editadas por la editorial</t>
        </is>
      </c>
      <c r="C630" s="5" t="inlineStr">
        <is>
          <t>Editorial y Publicaciones</t>
        </is>
      </c>
      <c r="D630" s="5" t="inlineStr">
        <is>
          <t>Semestral</t>
        </is>
      </c>
      <c r="E630" s="5" t="inlineStr">
        <is>
          <t>Positivo</t>
        </is>
      </c>
      <c r="F630" s="106" t="n">
        <v>45473</v>
      </c>
      <c r="G630" s="5" t="n">
        <v>2024</v>
      </c>
      <c r="H630" s="5" t="inlineStr">
        <is>
          <t>Junio</t>
        </is>
      </c>
      <c r="I630" s="6" t="inlineStr">
        <is>
          <t>2024-1</t>
        </is>
      </c>
      <c r="J630" s="5" t="n">
        <v>100</v>
      </c>
      <c r="K630" s="5" t="n">
        <v>117.65</v>
      </c>
      <c r="L630" s="14">
        <f>IFERROR(IF(OR(J630=0,K630=""),"",IF(E630="Positivo",MIN(MAX(K630/J630,0),1.3),MIN(MAX(J630/K630,0),1.3))),"") </f>
        <v/>
      </c>
      <c r="M630" s="14">
        <f>IFERROR(IF(OR(J630=0,K630=""),"",IF(E630="Positivo",MAX(K630/J630,0),MAX(J630/K630,0))),"") </f>
        <v/>
      </c>
      <c r="N630" s="5" t="inlineStr">
        <is>
          <t>ENT</t>
        </is>
      </c>
      <c r="O630" s="5" t="inlineStr">
        <is>
          <t>ENT</t>
        </is>
      </c>
      <c r="P630" s="5" t="n">
        <v>0</v>
      </c>
      <c r="Q630" s="5" t="n">
        <v>0</v>
      </c>
      <c r="R630" s="5" t="inlineStr">
        <is>
          <t>256-2024-06-30</t>
        </is>
      </c>
    </row>
    <row r="631">
      <c r="A631" s="28" t="n">
        <v>256</v>
      </c>
      <c r="B631" s="5" t="inlineStr">
        <is>
          <t>Publicaciones editadas por la editorial</t>
        </is>
      </c>
      <c r="C631" s="5" t="inlineStr">
        <is>
          <t>Editorial y Publicaciones</t>
        </is>
      </c>
      <c r="D631" s="5" t="inlineStr">
        <is>
          <t>Semestral</t>
        </is>
      </c>
      <c r="E631" s="5" t="inlineStr">
        <is>
          <t>Positivo</t>
        </is>
      </c>
      <c r="F631" s="107" t="n">
        <v>45657</v>
      </c>
      <c r="G631" s="5" t="n">
        <v>2024</v>
      </c>
      <c r="H631" s="5" t="inlineStr">
        <is>
          <t>Diciembre</t>
        </is>
      </c>
      <c r="I631" s="6" t="inlineStr">
        <is>
          <t>2024-2</t>
        </is>
      </c>
      <c r="J631" s="5" t="n">
        <v>100</v>
      </c>
      <c r="K631" s="5" t="n">
        <v>152.94</v>
      </c>
      <c r="L631" s="74">
        <f>IFERROR(IF(OR(J631=0,K631=""),"",IF(E631="Positivo",MIN(MAX(K631/J631,0),1.3),MIN(MAX(J631/K631,0),1.3))),"") </f>
        <v/>
      </c>
      <c r="M631" s="14">
        <f>IFERROR(IF(OR(J631=0,K631=""),"",IF(E631="Positivo",MAX(K631/J631,0),MAX(J631/K631,0))),"") </f>
        <v/>
      </c>
      <c r="N631" s="5" t="inlineStr">
        <is>
          <t>ENT</t>
        </is>
      </c>
      <c r="O631" s="5" t="inlineStr">
        <is>
          <t>ENT</t>
        </is>
      </c>
      <c r="P631" s="5" t="n">
        <v>0</v>
      </c>
      <c r="Q631" s="5" t="n">
        <v>0</v>
      </c>
      <c r="R631" s="5" t="inlineStr">
        <is>
          <t>256-2024-12-31</t>
        </is>
      </c>
    </row>
    <row r="632">
      <c r="A632" s="26" t="n">
        <v>256</v>
      </c>
      <c r="B632" s="5" t="inlineStr">
        <is>
          <t>Publicaciones editadas por la editorial</t>
        </is>
      </c>
      <c r="C632" s="5" t="inlineStr">
        <is>
          <t>Editorial y Publicaciones</t>
        </is>
      </c>
      <c r="D632" s="5" t="inlineStr">
        <is>
          <t>Semestral</t>
        </is>
      </c>
      <c r="E632" s="5" t="inlineStr">
        <is>
          <t>Positivo</t>
        </is>
      </c>
      <c r="F632" s="107" t="n">
        <v>45838</v>
      </c>
      <c r="G632" s="5" t="n">
        <v>2025</v>
      </c>
      <c r="H632" s="5" t="inlineStr">
        <is>
          <t>Junio</t>
        </is>
      </c>
      <c r="I632" s="6" t="inlineStr">
        <is>
          <t>2025-1</t>
        </is>
      </c>
      <c r="J632" s="5" t="n">
        <v>100</v>
      </c>
      <c r="K632" s="5" t="n">
        <v>100</v>
      </c>
      <c r="L632" s="74">
        <f>IFERROR(IF(OR(J632=0,K632=""),"",IF(E632="Positivo",MIN(MAX(K632/J632,0),1.3),MIN(MAX(J632/K632,0),1.3))),"") </f>
        <v/>
      </c>
      <c r="M632" s="14">
        <f>IFERROR(IF(OR(J632=0,K632=""),"",IF(E632="Positivo",MAX(K632/J632,0),MAX(J632/K632,0))),"") </f>
        <v/>
      </c>
      <c r="N632" s="5" t="inlineStr">
        <is>
          <t>ENT</t>
        </is>
      </c>
      <c r="O632" s="5" t="inlineStr">
        <is>
          <t>ENT</t>
        </is>
      </c>
      <c r="P632" s="5" t="n">
        <v>0</v>
      </c>
      <c r="Q632" s="5" t="n">
        <v>0</v>
      </c>
      <c r="R632" s="5" t="inlineStr">
        <is>
          <t>256-2025-06-30</t>
        </is>
      </c>
    </row>
    <row r="633">
      <c r="A633" s="5" t="n">
        <v>256</v>
      </c>
      <c r="B633" s="5" t="inlineStr">
        <is>
          <t>Publicaciones editadas por la editorial</t>
        </is>
      </c>
      <c r="C633" s="5" t="inlineStr">
        <is>
          <t>Editorial y Publicaciones</t>
        </is>
      </c>
      <c r="D633" s="5" t="inlineStr">
        <is>
          <t>Trimestral</t>
        </is>
      </c>
      <c r="E633" s="5" t="inlineStr">
        <is>
          <t>Positivo</t>
        </is>
      </c>
      <c r="F633" s="107" t="n">
        <v>46022</v>
      </c>
      <c r="G633" s="5" t="n">
        <v>2025</v>
      </c>
      <c r="H633" s="5" t="inlineStr">
        <is>
          <t>Diciembre</t>
        </is>
      </c>
      <c r="I633" s="6" t="inlineStr">
        <is>
          <t>2025-2</t>
        </is>
      </c>
      <c r="J633" s="5" t="n">
        <v>100</v>
      </c>
      <c r="K633" s="5" t="n">
        <v>170.59</v>
      </c>
      <c r="L633" s="14">
        <f>IFERROR(IF(OR(J633=0,K633=""),"",IF(E633="Positivo",MIN(MAX(K633/J633,0),1.3),MIN(MAX(J633/K633,0),1.3))),"") </f>
        <v/>
      </c>
      <c r="M633" s="14">
        <f>IFERROR(IF(OR(J633=0,K633=""),"",IF(E633="Positivo",MAX(K633/J633,0),MAX(J633/K633,0))),"") </f>
        <v/>
      </c>
      <c r="N633" s="5" t="inlineStr">
        <is>
          <t>ENT</t>
        </is>
      </c>
      <c r="O633" s="5" t="inlineStr">
        <is>
          <t>ENT</t>
        </is>
      </c>
      <c r="P633" s="5" t="n">
        <v>0</v>
      </c>
      <c r="Q633" s="5" t="n">
        <v>0</v>
      </c>
      <c r="R633" s="5" t="inlineStr">
        <is>
          <t>256-2025-12-31</t>
        </is>
      </c>
    </row>
    <row r="634">
      <c r="A634" s="5" t="n">
        <v>257</v>
      </c>
      <c r="B634" s="5" t="inlineStr">
        <is>
          <t>N de publicaciones aprobadas en convocatorias</t>
        </is>
      </c>
      <c r="C634" s="5" t="inlineStr">
        <is>
          <t>Editorial y Publicaciones</t>
        </is>
      </c>
      <c r="D634" s="5" t="inlineStr">
        <is>
          <t>Semestral</t>
        </is>
      </c>
      <c r="E634" s="5" t="inlineStr">
        <is>
          <t>Positivo</t>
        </is>
      </c>
      <c r="F634" s="107" t="n">
        <v>45107</v>
      </c>
      <c r="G634" s="5" t="n">
        <v>2023</v>
      </c>
      <c r="H634" s="5" t="inlineStr">
        <is>
          <t>Junio</t>
        </is>
      </c>
      <c r="I634" s="6" t="inlineStr">
        <is>
          <t>2023-1</t>
        </is>
      </c>
      <c r="J634" s="5" t="n">
        <v>18</v>
      </c>
      <c r="K634" s="5" t="n">
        <v>15</v>
      </c>
      <c r="L634" s="14">
        <f>IFERROR(IF(OR(J634=0,K634=""),"",IF(E634="Positivo",MIN(MAX(K634/J634,0),1.3),MIN(MAX(J634/K634,0),1.3))),"") </f>
        <v/>
      </c>
      <c r="M634" s="14">
        <f>IFERROR(IF(OR(J634=0,K634=""),"",IF(E634="Positivo",MAX(K634/J634,0),MAX(J634/K634,0))),"") </f>
        <v/>
      </c>
      <c r="N634" s="5" t="n"/>
      <c r="O634" s="5" t="n"/>
      <c r="P634" s="5" t="n">
        <v>0</v>
      </c>
      <c r="Q634" s="5" t="n">
        <v>0</v>
      </c>
      <c r="R634" s="5" t="inlineStr">
        <is>
          <t>257-2023-06-30</t>
        </is>
      </c>
    </row>
    <row r="635">
      <c r="A635" s="5" t="n">
        <v>257</v>
      </c>
      <c r="B635" s="5" t="inlineStr">
        <is>
          <t>N de publicaciones aprobadas en convocatorias</t>
        </is>
      </c>
      <c r="C635" s="5" t="inlineStr">
        <is>
          <t>Editorial y Publicaciones</t>
        </is>
      </c>
      <c r="D635" s="5" t="inlineStr">
        <is>
          <t>Semestral</t>
        </is>
      </c>
      <c r="E635" s="5" t="inlineStr">
        <is>
          <t>Positivo</t>
        </is>
      </c>
      <c r="F635" s="106" t="n">
        <v>45291</v>
      </c>
      <c r="G635" s="15" t="n">
        <v>2023</v>
      </c>
      <c r="H635" s="6" t="inlineStr">
        <is>
          <t>Diciembre</t>
        </is>
      </c>
      <c r="I635" s="27" t="inlineStr">
        <is>
          <t>2023-2</t>
        </is>
      </c>
      <c r="J635" s="5" t="n">
        <v>24</v>
      </c>
      <c r="K635" s="5" t="n">
        <v>24</v>
      </c>
      <c r="L635" s="14">
        <f>IFERROR(IF(OR(J635=0,K635=""),"",IF(E635="Positivo",MIN(MAX(K635/J635,0),1.3),MIN(MAX(J635/K635,0),1.3))),"") </f>
        <v/>
      </c>
      <c r="M635" s="14">
        <f>IFERROR(IF(OR(J635=0,K635=""),"",IF(E635="Positivo",MAX(K635/J635,0),MAX(J635/K635,0))),"") </f>
        <v/>
      </c>
      <c r="N635" s="5" t="n"/>
      <c r="O635" s="5" t="n"/>
      <c r="P635" s="5" t="n">
        <v>0</v>
      </c>
      <c r="Q635" s="5" t="n">
        <v>0</v>
      </c>
      <c r="R635" s="5" t="inlineStr">
        <is>
          <t>257-2023-12-31</t>
        </is>
      </c>
    </row>
    <row r="636">
      <c r="A636" s="26" t="n">
        <v>259</v>
      </c>
      <c r="B636" s="5" t="inlineStr">
        <is>
          <t>Subprocesos con indicadores reportados oportunamente</t>
        </is>
      </c>
      <c r="C636" s="5" t="inlineStr">
        <is>
          <t>Desempeño Institucional</t>
        </is>
      </c>
      <c r="D636" s="5" t="inlineStr">
        <is>
          <t>Trimestral</t>
        </is>
      </c>
      <c r="E636" s="5" t="inlineStr">
        <is>
          <t>Positivo</t>
        </is>
      </c>
      <c r="F636" s="107" t="n">
        <v>45107</v>
      </c>
      <c r="G636" s="5" t="n">
        <v>2023</v>
      </c>
      <c r="H636" s="5" t="inlineStr">
        <is>
          <t>Junio</t>
        </is>
      </c>
      <c r="I636" s="6" t="inlineStr">
        <is>
          <t>2023-1</t>
        </is>
      </c>
      <c r="J636" s="5" t="n">
        <v>100</v>
      </c>
      <c r="K636" s="5" t="n">
        <v>60.526315789474</v>
      </c>
      <c r="L636" s="14">
        <f>IFERROR(IF(OR(J636=0,K636=""),"",IF(E636="Positivo",MIN(MAX(K636/J636,0),1.3),MIN(MAX(J636/K636,0),1.3))),"") </f>
        <v/>
      </c>
      <c r="M636" s="14">
        <f>IFERROR(IF(OR(J636=0,K636=""),"",IF(E636="Positivo",MAX(K636/J636,0),MAX(J636/K636,0))),"") </f>
        <v/>
      </c>
      <c r="N636" s="5" t="inlineStr">
        <is>
          <t>%</t>
        </is>
      </c>
      <c r="O636" s="5" t="inlineStr">
        <is>
          <t>%</t>
        </is>
      </c>
      <c r="P636" s="5" t="n">
        <v>0</v>
      </c>
      <c r="Q636" s="5" t="n">
        <v>0</v>
      </c>
      <c r="R636" s="5" t="inlineStr">
        <is>
          <t>259-2023-06-30</t>
        </is>
      </c>
    </row>
    <row r="637">
      <c r="A637" s="5" t="n">
        <v>259</v>
      </c>
      <c r="B637" s="5" t="inlineStr">
        <is>
          <t>Subprocesos con indicadores reportados oportunamente</t>
        </is>
      </c>
      <c r="C637" s="5" t="inlineStr">
        <is>
          <t>Desempeño Institucional</t>
        </is>
      </c>
      <c r="D637" s="5" t="inlineStr">
        <is>
          <t>Trimestral</t>
        </is>
      </c>
      <c r="E637" s="5" t="inlineStr">
        <is>
          <t>Positivo</t>
        </is>
      </c>
      <c r="F637" s="107" t="n">
        <v>45199</v>
      </c>
      <c r="G637" s="5" t="n">
        <v>2023</v>
      </c>
      <c r="H637" s="5" t="inlineStr">
        <is>
          <t>Septiembre</t>
        </is>
      </c>
      <c r="I637" s="6" t="inlineStr">
        <is>
          <t>2023-2</t>
        </is>
      </c>
      <c r="J637" s="5" t="n">
        <v>100</v>
      </c>
      <c r="K637" s="10" t="n">
        <v>68.75</v>
      </c>
      <c r="L637" s="14">
        <f>IFERROR(IF(OR(J637=0,K637=""),"",IF(E637="Positivo",MIN(MAX(K637/J637,0),1.3),MIN(MAX(J637/K637,0),1.3))),"") </f>
        <v/>
      </c>
      <c r="M637" s="14">
        <f>IFERROR(IF(OR(J637=0,K637=""),"",IF(E637="Positivo",MAX(K637/J637,0),MAX(J637/K637,0))),"") </f>
        <v/>
      </c>
      <c r="N637" s="5" t="inlineStr">
        <is>
          <t>%</t>
        </is>
      </c>
      <c r="O637" s="5" t="inlineStr">
        <is>
          <t>%</t>
        </is>
      </c>
      <c r="P637" s="5" t="n">
        <v>0</v>
      </c>
      <c r="Q637" s="5" t="n">
        <v>0</v>
      </c>
      <c r="R637" s="5" t="inlineStr">
        <is>
          <t>259-2023-09-30</t>
        </is>
      </c>
    </row>
    <row r="638">
      <c r="A638" s="5" t="n">
        <v>259</v>
      </c>
      <c r="B638" s="5" t="inlineStr">
        <is>
          <t>Subprocesos con indicadores reportados oportunamente</t>
        </is>
      </c>
      <c r="C638" s="5" t="inlineStr">
        <is>
          <t>Desempeño Institucional</t>
        </is>
      </c>
      <c r="D638" s="5" t="inlineStr">
        <is>
          <t>Trimestral</t>
        </is>
      </c>
      <c r="E638" s="5" t="inlineStr">
        <is>
          <t>Positivo</t>
        </is>
      </c>
      <c r="F638" s="107" t="n">
        <v>45291</v>
      </c>
      <c r="G638" s="5" t="n">
        <v>2023</v>
      </c>
      <c r="H638" s="5" t="inlineStr">
        <is>
          <t>Diciembre</t>
        </is>
      </c>
      <c r="I638" s="6" t="inlineStr">
        <is>
          <t>2023-2</t>
        </is>
      </c>
      <c r="J638" s="5" t="n">
        <v>100</v>
      </c>
      <c r="K638" s="10" t="n">
        <v>70</v>
      </c>
      <c r="L638" s="14">
        <f>IFERROR(IF(OR(J638=0,K638=""),"",IF(E638="Positivo",MIN(MAX(K638/J638,0),1.3),MIN(MAX(J638/K638,0),1.3))),"") </f>
        <v/>
      </c>
      <c r="M638" s="14">
        <f>IFERROR(IF(OR(J638=0,K638=""),"",IF(E638="Positivo",MAX(K638/J638,0),MAX(J638/K638,0))),"") </f>
        <v/>
      </c>
      <c r="N638" s="5" t="inlineStr">
        <is>
          <t>%</t>
        </is>
      </c>
      <c r="O638" s="5" t="inlineStr">
        <is>
          <t>%</t>
        </is>
      </c>
      <c r="P638" s="5" t="n">
        <v>0</v>
      </c>
      <c r="Q638" s="5" t="n">
        <v>0</v>
      </c>
      <c r="R638" s="5" t="inlineStr">
        <is>
          <t>259-2023-12-31</t>
        </is>
      </c>
    </row>
    <row r="639">
      <c r="A639" s="26" t="n">
        <v>259</v>
      </c>
      <c r="B639" s="5" t="inlineStr">
        <is>
          <t>Subprocesos con indicadores reportados oportunamente</t>
        </is>
      </c>
      <c r="C639" s="5" t="inlineStr">
        <is>
          <t>Desempeño Institucional</t>
        </is>
      </c>
      <c r="D639" s="5" t="inlineStr">
        <is>
          <t>Trimestral</t>
        </is>
      </c>
      <c r="E639" s="5" t="inlineStr">
        <is>
          <t>Positivo</t>
        </is>
      </c>
      <c r="F639" s="107" t="n">
        <v>45473</v>
      </c>
      <c r="G639" s="5" t="n">
        <v>2024</v>
      </c>
      <c r="H639" s="5" t="inlineStr">
        <is>
          <t>Junio</t>
        </is>
      </c>
      <c r="I639" s="6" t="inlineStr">
        <is>
          <t>2024-1</t>
        </is>
      </c>
      <c r="J639" s="5" t="n">
        <v>90</v>
      </c>
      <c r="K639" s="5" t="n">
        <v>34.69</v>
      </c>
      <c r="L639" s="74">
        <f>IFERROR(IF(OR(J639=0,K639=""),"",IF(E639="Positivo",MIN(MAX(K639/J639,0),1.3),MIN(MAX(J639/K639,0),1.3))),"") </f>
        <v/>
      </c>
      <c r="M639" s="14">
        <f>IFERROR(IF(OR(J639=0,K639=""),"",IF(E639="Positivo",MAX(K639/J639,0),MAX(J639/K639,0))),"") </f>
        <v/>
      </c>
      <c r="N639" s="5" t="n"/>
      <c r="O639" s="5" t="n"/>
      <c r="P639" s="5" t="n">
        <v>0</v>
      </c>
      <c r="Q639" s="5" t="n">
        <v>0</v>
      </c>
      <c r="R639" s="5" t="inlineStr">
        <is>
          <t>259-2024-06-30</t>
        </is>
      </c>
    </row>
    <row r="640">
      <c r="A640" s="5" t="n">
        <v>259</v>
      </c>
      <c r="B640" s="5" t="inlineStr">
        <is>
          <t>Subprocesos con indicadores reportados oportunamente</t>
        </is>
      </c>
      <c r="C640" s="5" t="inlineStr">
        <is>
          <t>Desempeño Institucional</t>
        </is>
      </c>
      <c r="D640" s="5" t="inlineStr">
        <is>
          <t>Trimestral</t>
        </is>
      </c>
      <c r="E640" s="5" t="inlineStr">
        <is>
          <t>Positivo</t>
        </is>
      </c>
      <c r="F640" s="107" t="n">
        <v>45657</v>
      </c>
      <c r="G640" s="5" t="n">
        <v>2024</v>
      </c>
      <c r="H640" s="5" t="inlineStr">
        <is>
          <t>Diciembre</t>
        </is>
      </c>
      <c r="I640" s="6" t="inlineStr">
        <is>
          <t>2024-2</t>
        </is>
      </c>
      <c r="J640" s="5" t="n">
        <v>90</v>
      </c>
      <c r="K640" s="5" t="n">
        <v>78.43000000000001</v>
      </c>
      <c r="L640" s="14">
        <f>IFERROR(IF(OR(J640=0,K640=""),"",IF(E640="Positivo",MIN(MAX(K640/J640,0),1.3),MIN(MAX(J640/K640,0),1.3))),"") </f>
        <v/>
      </c>
      <c r="M640" s="14">
        <f>IFERROR(IF(OR(J640=0,K640=""),"",IF(E640="Positivo",MAX(K640/J640,0),MAX(J640/K640,0))),"") </f>
        <v/>
      </c>
      <c r="N640" s="5" t="n"/>
      <c r="O640" s="5" t="n"/>
      <c r="P640" s="5" t="n">
        <v>0</v>
      </c>
      <c r="Q640" s="5" t="n">
        <v>0</v>
      </c>
      <c r="R640" s="5" t="inlineStr">
        <is>
          <t>259-2024-12-31</t>
        </is>
      </c>
    </row>
    <row r="641">
      <c r="A641" s="28" t="n">
        <v>260</v>
      </c>
      <c r="B641" s="5" t="inlineStr">
        <is>
          <t>CES- Costumer Effort Score del proceso de Rematrícula</t>
        </is>
      </c>
      <c r="C641" s="5" t="inlineStr">
        <is>
          <t>Rematrícula</t>
        </is>
      </c>
      <c r="D641" s="5" t="inlineStr">
        <is>
          <t>Semestral</t>
        </is>
      </c>
      <c r="E641" s="5" t="inlineStr">
        <is>
          <t>Negativo</t>
        </is>
      </c>
      <c r="F641" s="107" t="n">
        <v>45107</v>
      </c>
      <c r="G641" s="5" t="n">
        <v>2023</v>
      </c>
      <c r="H641" s="5" t="inlineStr">
        <is>
          <t>Junio</t>
        </is>
      </c>
      <c r="I641" s="6" t="inlineStr">
        <is>
          <t>2023-1</t>
        </is>
      </c>
      <c r="J641" s="5" t="n">
        <v>3</v>
      </c>
      <c r="K641" s="5" t="n">
        <v>2.8</v>
      </c>
      <c r="L641" s="74">
        <f>IFERROR(IF(OR(J641=0,K641=""),"",IF(E641="Positivo",MIN(MAX(K641/J641,0),1.3),MIN(MAX(J641/K641,0),1.3))),"") </f>
        <v/>
      </c>
      <c r="M641" s="14">
        <f>IFERROR(IF(OR(J641=0,K641=""),"",IF(E641="Positivo",MAX(K641/J641,0),MAX(J641/K641,0))),"") </f>
        <v/>
      </c>
      <c r="N641" s="5" t="inlineStr">
        <is>
          <t>DEC</t>
        </is>
      </c>
      <c r="O641" s="5" t="inlineStr">
        <is>
          <t>DEC</t>
        </is>
      </c>
      <c r="P641" s="5" t="n">
        <v>0</v>
      </c>
      <c r="Q641" s="5" t="n">
        <v>1</v>
      </c>
      <c r="R641" s="5" t="inlineStr">
        <is>
          <t>260-2023-06-30</t>
        </is>
      </c>
    </row>
    <row r="642">
      <c r="A642" s="26" t="n">
        <v>260</v>
      </c>
      <c r="B642" s="5" t="inlineStr">
        <is>
          <t>CES- Costumer Effort Score del proceso de Rematrícula</t>
        </is>
      </c>
      <c r="C642" s="5" t="inlineStr">
        <is>
          <t>Rematrícula</t>
        </is>
      </c>
      <c r="D642" s="5" t="inlineStr">
        <is>
          <t>Semestral</t>
        </is>
      </c>
      <c r="E642" s="5" t="inlineStr">
        <is>
          <t>Negativo</t>
        </is>
      </c>
      <c r="F642" s="107" t="n">
        <v>45291</v>
      </c>
      <c r="G642" s="5" t="n">
        <v>2023</v>
      </c>
      <c r="H642" s="5" t="inlineStr">
        <is>
          <t>Diciembre</t>
        </is>
      </c>
      <c r="I642" s="6" t="inlineStr">
        <is>
          <t>2023-2</t>
        </is>
      </c>
      <c r="J642" s="5" t="n">
        <v>3</v>
      </c>
      <c r="K642" s="5" t="n">
        <v>2.9</v>
      </c>
      <c r="L642" s="74">
        <f>IFERROR(IF(OR(J642=0,K642=""),"",IF(E642="Positivo",MIN(MAX(K642/J642,0),1.3),MIN(MAX(J642/K642,0),1.3))),"") </f>
        <v/>
      </c>
      <c r="M642" s="14">
        <f>IFERROR(IF(OR(J642=0,K642=""),"",IF(E642="Positivo",MAX(K642/J642,0),MAX(J642/K642,0))),"") </f>
        <v/>
      </c>
      <c r="N642" s="5" t="inlineStr">
        <is>
          <t>DEC</t>
        </is>
      </c>
      <c r="O642" s="5" t="inlineStr">
        <is>
          <t>DEC</t>
        </is>
      </c>
      <c r="P642" s="5" t="n">
        <v>0</v>
      </c>
      <c r="Q642" s="5" t="n">
        <v>1</v>
      </c>
      <c r="R642" s="5" t="inlineStr">
        <is>
          <t>260-2023-12-31</t>
        </is>
      </c>
    </row>
    <row r="643">
      <c r="A643" s="5" t="n">
        <v>260</v>
      </c>
      <c r="B643" s="5" t="inlineStr">
        <is>
          <t>CES- Costumer Effort Score del proceso de Rematrícula</t>
        </is>
      </c>
      <c r="C643" s="5" t="inlineStr">
        <is>
          <t>Rematrícula</t>
        </is>
      </c>
      <c r="D643" s="5" t="inlineStr">
        <is>
          <t>Semestral</t>
        </is>
      </c>
      <c r="E643" s="5" t="inlineStr">
        <is>
          <t>Negativo</t>
        </is>
      </c>
      <c r="F643" s="107" t="n">
        <v>45473</v>
      </c>
      <c r="G643" s="5" t="n">
        <v>2024</v>
      </c>
      <c r="H643" s="5" t="inlineStr">
        <is>
          <t>Junio</t>
        </is>
      </c>
      <c r="I643" s="6" t="inlineStr">
        <is>
          <t>2024-1</t>
        </is>
      </c>
      <c r="J643" s="5" t="n">
        <v>2.8</v>
      </c>
      <c r="K643" s="10" t="n">
        <v>2.51</v>
      </c>
      <c r="L643" s="14">
        <f>IFERROR(IF(OR(J643=0,K643=""),"",IF(E643="Positivo",MIN(MAX(K643/J643,0),1.3),MIN(MAX(J643/K643,0),1.3))),"") </f>
        <v/>
      </c>
      <c r="M643" s="14">
        <f>IFERROR(IF(OR(J643=0,K643=""),"",IF(E643="Positivo",MAX(K643/J643,0),MAX(J643/K643,0))),"") </f>
        <v/>
      </c>
      <c r="N643" s="5" t="inlineStr">
        <is>
          <t>DEC</t>
        </is>
      </c>
      <c r="O643" s="5" t="inlineStr">
        <is>
          <t>DEC</t>
        </is>
      </c>
      <c r="P643" s="5" t="n">
        <v>1</v>
      </c>
      <c r="Q643" s="5" t="n">
        <v>1</v>
      </c>
      <c r="R643" s="5" t="inlineStr">
        <is>
          <t>260-2024-06-30</t>
        </is>
      </c>
    </row>
    <row r="644">
      <c r="A644" s="5" t="n">
        <v>260</v>
      </c>
      <c r="B644" s="5" t="inlineStr">
        <is>
          <t>CES- Costumer Effort Score del proceso de Rematrícula</t>
        </is>
      </c>
      <c r="C644" s="5" t="inlineStr">
        <is>
          <t>Rematrícula</t>
        </is>
      </c>
      <c r="D644" s="5" t="inlineStr">
        <is>
          <t>Semestral</t>
        </is>
      </c>
      <c r="E644" s="5" t="inlineStr">
        <is>
          <t>Negativo</t>
        </is>
      </c>
      <c r="F644" s="107" t="n">
        <v>45657</v>
      </c>
      <c r="G644" s="5" t="n">
        <v>2024</v>
      </c>
      <c r="H644" s="5" t="inlineStr">
        <is>
          <t>Diciembre</t>
        </is>
      </c>
      <c r="I644" s="6" t="inlineStr">
        <is>
          <t>2024-2</t>
        </is>
      </c>
      <c r="J644" s="5" t="n">
        <v>2.8</v>
      </c>
      <c r="K644" s="5" t="n">
        <v>2.1</v>
      </c>
      <c r="L644" s="14">
        <f>IFERROR(IF(OR(J644=0,K644=""),"",IF(E644="Positivo",MIN(MAX(K644/J644,0),1.3),MIN(MAX(J644/K644,0),1.3))),"") </f>
        <v/>
      </c>
      <c r="M644" s="14">
        <f>IFERROR(IF(OR(J644=0,K644=""),"",IF(E644="Positivo",MAX(K644/J644,0),MAX(J644/K644,0))),"") </f>
        <v/>
      </c>
      <c r="N644" s="5" t="inlineStr">
        <is>
          <t>DEC</t>
        </is>
      </c>
      <c r="O644" s="5" t="inlineStr">
        <is>
          <t>DEC</t>
        </is>
      </c>
      <c r="P644" s="5" t="n">
        <v>1</v>
      </c>
      <c r="Q644" s="5" t="n">
        <v>1</v>
      </c>
      <c r="R644" s="5" t="inlineStr">
        <is>
          <t>260-2024-12-31</t>
        </is>
      </c>
    </row>
    <row r="645">
      <c r="A645" s="26" t="n">
        <v>260</v>
      </c>
      <c r="B645" s="5" t="inlineStr">
        <is>
          <t>CES- Costumer Effort Score del proceso de Rematrícula</t>
        </is>
      </c>
      <c r="C645" s="5" t="inlineStr">
        <is>
          <t>Rematrícula</t>
        </is>
      </c>
      <c r="D645" s="5" t="inlineStr">
        <is>
          <t>Semestral</t>
        </is>
      </c>
      <c r="E645" s="5" t="inlineStr">
        <is>
          <t>Negativo</t>
        </is>
      </c>
      <c r="F645" s="107" t="n">
        <v>45838</v>
      </c>
      <c r="G645" s="5" t="n">
        <v>2025</v>
      </c>
      <c r="H645" s="5" t="inlineStr">
        <is>
          <t>Junio</t>
        </is>
      </c>
      <c r="I645" s="6" t="inlineStr">
        <is>
          <t>2025-1</t>
        </is>
      </c>
      <c r="J645" s="5" t="n">
        <v>2.2</v>
      </c>
      <c r="K645" s="5" t="n">
        <v>1.9</v>
      </c>
      <c r="L645" s="74">
        <f>IFERROR(IF(OR(J645=0,K645=""),"",IF(E645="Positivo",MIN(MAX(K645/J645,0),1.3),MIN(MAX(J645/K645,0),1.3))),"") </f>
        <v/>
      </c>
      <c r="M645" s="14">
        <f>IFERROR(IF(OR(J645=0,K645=""),"",IF(E645="Positivo",MAX(K645/J645,0),MAX(J645/K645,0))),"") </f>
        <v/>
      </c>
      <c r="N645" s="5" t="inlineStr">
        <is>
          <t>DEC</t>
        </is>
      </c>
      <c r="O645" s="5" t="inlineStr">
        <is>
          <t>DEC</t>
        </is>
      </c>
      <c r="P645" s="5" t="n">
        <v>1</v>
      </c>
      <c r="Q645" s="5" t="n">
        <v>1</v>
      </c>
      <c r="R645" s="5" t="inlineStr">
        <is>
          <t>260-2025-06-30</t>
        </is>
      </c>
    </row>
    <row r="646">
      <c r="A646" s="5" t="n">
        <v>260</v>
      </c>
      <c r="B646" s="5" t="inlineStr">
        <is>
          <t>CES- Costumer Effort Score del proceso de Rematrícula</t>
        </is>
      </c>
      <c r="C646" s="5" t="inlineStr">
        <is>
          <t>Rematrícula</t>
        </is>
      </c>
      <c r="D646" s="5" t="inlineStr">
        <is>
          <t>Trimestral</t>
        </is>
      </c>
      <c r="E646" s="5" t="inlineStr">
        <is>
          <t>Negativo</t>
        </is>
      </c>
      <c r="F646" s="107" t="n">
        <v>46022</v>
      </c>
      <c r="G646" s="5" t="n">
        <v>2025</v>
      </c>
      <c r="H646" s="5" t="inlineStr">
        <is>
          <t>Diciembre</t>
        </is>
      </c>
      <c r="I646" s="6" t="inlineStr">
        <is>
          <t>2025-2</t>
        </is>
      </c>
      <c r="J646" s="5" t="n">
        <v>2.1</v>
      </c>
      <c r="K646" s="5" t="n">
        <v>1.9</v>
      </c>
      <c r="L646" s="14">
        <f>IFERROR(IF(OR(J646=0,K646=""),"",IF(E646="Positivo",MIN(MAX(K646/J646,0),1.3),MIN(MAX(J646/K646,0),1.3))),"") </f>
        <v/>
      </c>
      <c r="M646" s="14">
        <f>IFERROR(IF(OR(J646=0,K646=""),"",IF(E646="Positivo",MAX(K646/J646,0),MAX(J646/K646,0))),"") </f>
        <v/>
      </c>
      <c r="N646" s="5" t="inlineStr">
        <is>
          <t>DEC</t>
        </is>
      </c>
      <c r="O646" s="5" t="inlineStr">
        <is>
          <t>DEC</t>
        </is>
      </c>
      <c r="P646" s="5" t="n">
        <v>1</v>
      </c>
      <c r="Q646" s="5" t="n">
        <v>1</v>
      </c>
      <c r="R646" s="5" t="inlineStr">
        <is>
          <t>260-2025-12-31</t>
        </is>
      </c>
    </row>
    <row r="647">
      <c r="A647" s="26" t="n">
        <v>261</v>
      </c>
      <c r="B647" s="5" t="inlineStr">
        <is>
          <t>CES- Costumer Effort Score del proceso de Saber Pro</t>
        </is>
      </c>
      <c r="C647" s="5" t="inlineStr">
        <is>
          <t>Servicio</t>
        </is>
      </c>
      <c r="D647" s="5" t="inlineStr">
        <is>
          <t>Semestral</t>
        </is>
      </c>
      <c r="E647" s="5" t="inlineStr">
        <is>
          <t>Negativo</t>
        </is>
      </c>
      <c r="F647" s="107" t="n">
        <v>45107</v>
      </c>
      <c r="G647" s="5" t="n">
        <v>2023</v>
      </c>
      <c r="H647" s="5" t="inlineStr">
        <is>
          <t>Junio</t>
        </is>
      </c>
      <c r="I647" s="6" t="inlineStr">
        <is>
          <t>2023-1</t>
        </is>
      </c>
      <c r="J647" s="5" t="n">
        <v>3</v>
      </c>
      <c r="K647" s="5" t="n">
        <v>1.98</v>
      </c>
      <c r="L647" s="74">
        <f>IFERROR(IF(OR(J647=0,K647=""),"",IF(E647="Positivo",MIN(MAX(K647/J647,0),1.3),MIN(MAX(J647/K647,0),1.3))),"") </f>
        <v/>
      </c>
      <c r="M647" s="14">
        <f>IFERROR(IF(OR(J647=0,K647=""),"",IF(E647="Positivo",MAX(K647/J647,0),MAX(J647/K647,0))),"") </f>
        <v/>
      </c>
      <c r="N647" s="5" t="inlineStr">
        <is>
          <t>ENT</t>
        </is>
      </c>
      <c r="O647" s="5" t="inlineStr">
        <is>
          <t>DEC</t>
        </is>
      </c>
      <c r="P647" s="5" t="n">
        <v>0</v>
      </c>
      <c r="Q647" s="5" t="n">
        <v>1</v>
      </c>
      <c r="R647" s="5" t="inlineStr">
        <is>
          <t>261-2023-06-30</t>
        </is>
      </c>
    </row>
    <row r="648">
      <c r="A648" s="5" t="n">
        <v>261</v>
      </c>
      <c r="B648" s="5" t="inlineStr">
        <is>
          <t>CES- Costumer Effort Score del proceso de Saber Pro</t>
        </is>
      </c>
      <c r="C648" s="5" t="inlineStr">
        <is>
          <t>Servicio</t>
        </is>
      </c>
      <c r="D648" s="5" t="inlineStr">
        <is>
          <t>Semestral</t>
        </is>
      </c>
      <c r="E648" s="5" t="inlineStr">
        <is>
          <t>Negativo</t>
        </is>
      </c>
      <c r="F648" s="107" t="n">
        <v>45291</v>
      </c>
      <c r="G648" s="5" t="n">
        <v>2023</v>
      </c>
      <c r="H648" s="5" t="inlineStr">
        <is>
          <t>Diciembre</t>
        </is>
      </c>
      <c r="I648" s="6" t="inlineStr">
        <is>
          <t>2023-2</t>
        </is>
      </c>
      <c r="J648" s="5" t="n">
        <v>3</v>
      </c>
      <c r="K648" s="5" t="n">
        <v>2.06</v>
      </c>
      <c r="L648" s="14">
        <f>IFERROR(IF(OR(J648=0,K648=""),"",IF(E648="Positivo",MIN(MAX(K648/J648,0),1.3),MIN(MAX(J648/K648,0),1.3))),"") </f>
        <v/>
      </c>
      <c r="M648" s="14">
        <f>IFERROR(IF(OR(J648=0,K648=""),"",IF(E648="Positivo",MAX(K648/J648,0),MAX(J648/K648,0))),"") </f>
        <v/>
      </c>
      <c r="N648" s="5" t="inlineStr">
        <is>
          <t>ENT</t>
        </is>
      </c>
      <c r="O648" s="5" t="inlineStr">
        <is>
          <t>DEC</t>
        </is>
      </c>
      <c r="P648" s="5" t="n">
        <v>0</v>
      </c>
      <c r="Q648" s="5" t="n">
        <v>1</v>
      </c>
      <c r="R648" s="5" t="inlineStr">
        <is>
          <t>261-2023-12-31</t>
        </is>
      </c>
    </row>
    <row r="649">
      <c r="A649" s="26" t="n">
        <v>261</v>
      </c>
      <c r="B649" s="5" t="inlineStr">
        <is>
          <t>CES- Costumer Effort Score del proceso de Saber Pro</t>
        </is>
      </c>
      <c r="C649" s="5" t="inlineStr">
        <is>
          <t>Servicio</t>
        </is>
      </c>
      <c r="D649" s="5" t="inlineStr">
        <is>
          <t>Semestral</t>
        </is>
      </c>
      <c r="E649" s="5" t="inlineStr">
        <is>
          <t>Negativo</t>
        </is>
      </c>
      <c r="F649" s="107" t="n">
        <v>45473</v>
      </c>
      <c r="G649" s="5" t="n">
        <v>2024</v>
      </c>
      <c r="H649" s="5" t="inlineStr">
        <is>
          <t>Junio</t>
        </is>
      </c>
      <c r="I649" s="6" t="inlineStr">
        <is>
          <t>2024-1</t>
        </is>
      </c>
      <c r="J649" s="5" t="n">
        <v>3</v>
      </c>
      <c r="K649" s="5" t="n">
        <v>2.2</v>
      </c>
      <c r="L649" s="14">
        <f>IFERROR(IF(OR(J649=0,K649=""),"",IF(E649="Positivo",MIN(MAX(K649/J649,0),1.3),MIN(MAX(J649/K649,0),1.3))),"") </f>
        <v/>
      </c>
      <c r="M649" s="14">
        <f>IFERROR(IF(OR(J649=0,K649=""),"",IF(E649="Positivo",MAX(K649/J649,0),MAX(J649/K649,0))),"") </f>
        <v/>
      </c>
      <c r="N649" s="5" t="inlineStr">
        <is>
          <t>ENT</t>
        </is>
      </c>
      <c r="O649" s="5" t="inlineStr">
        <is>
          <t>DEC</t>
        </is>
      </c>
      <c r="P649" s="5" t="n">
        <v>0</v>
      </c>
      <c r="Q649" s="5" t="n">
        <v>1</v>
      </c>
      <c r="R649" s="5" t="inlineStr">
        <is>
          <t>261-2024-06-30</t>
        </is>
      </c>
    </row>
    <row r="650">
      <c r="A650" s="26" t="n">
        <v>261</v>
      </c>
      <c r="B650" s="5" t="inlineStr">
        <is>
          <t>CES- Costumer Effort Score del proceso de Saber Pro</t>
        </is>
      </c>
      <c r="C650" s="5" t="inlineStr">
        <is>
          <t>Servicio</t>
        </is>
      </c>
      <c r="D650" s="5" t="inlineStr">
        <is>
          <t>Semestral</t>
        </is>
      </c>
      <c r="E650" s="5" t="inlineStr">
        <is>
          <t>Negativo</t>
        </is>
      </c>
      <c r="F650" s="107" t="n">
        <v>45657</v>
      </c>
      <c r="G650" s="5" t="n">
        <v>2024</v>
      </c>
      <c r="H650" s="5" t="inlineStr">
        <is>
          <t>Diciembre</t>
        </is>
      </c>
      <c r="I650" s="6" t="inlineStr">
        <is>
          <t>2024-2</t>
        </is>
      </c>
      <c r="J650" s="5" t="n">
        <v>3</v>
      </c>
      <c r="K650" s="5" t="n">
        <v>2.2</v>
      </c>
      <c r="L650" s="14">
        <f>IFERROR(IF(OR(J650=0,K650=""),"",IF(E650="Positivo",MIN(MAX(K650/J650,0),1.3),MIN(MAX(J650/K650,0),1.3))),"") </f>
        <v/>
      </c>
      <c r="M650" s="14">
        <f>IFERROR(IF(OR(J650=0,K650=""),"",IF(E650="Positivo",MAX(K650/J650,0),MAX(J650/K650,0))),"") </f>
        <v/>
      </c>
      <c r="N650" s="5" t="inlineStr">
        <is>
          <t>ENT</t>
        </is>
      </c>
      <c r="O650" s="5" t="inlineStr">
        <is>
          <t>DEC</t>
        </is>
      </c>
      <c r="P650" s="5" t="n">
        <v>0</v>
      </c>
      <c r="Q650" s="5" t="n">
        <v>1</v>
      </c>
      <c r="R650" s="5" t="inlineStr">
        <is>
          <t>261-2024-12-31</t>
        </is>
      </c>
    </row>
    <row r="651">
      <c r="A651" s="5" t="n">
        <v>261</v>
      </c>
      <c r="B651" s="5" t="inlineStr">
        <is>
          <t>CES- Costumer Effort Score del proceso de Saber Pro</t>
        </is>
      </c>
      <c r="C651" s="5" t="inlineStr">
        <is>
          <t>Servicio</t>
        </is>
      </c>
      <c r="D651" s="5" t="inlineStr">
        <is>
          <t>Semestral</t>
        </is>
      </c>
      <c r="E651" s="5" t="inlineStr">
        <is>
          <t>Negativo</t>
        </is>
      </c>
      <c r="F651" s="106" t="n">
        <v>45838</v>
      </c>
      <c r="G651" s="15" t="n">
        <v>2025</v>
      </c>
      <c r="H651" s="6" t="inlineStr">
        <is>
          <t>Junio</t>
        </is>
      </c>
      <c r="I651" s="27" t="inlineStr">
        <is>
          <t>2025-1</t>
        </is>
      </c>
      <c r="J651" s="5" t="n">
        <v>3</v>
      </c>
      <c r="K651" s="5" t="n">
        <v>2.3</v>
      </c>
      <c r="L651" s="14">
        <f>IFERROR(IF(OR(J651=0,K651=""),"",IF(E651="Positivo",MIN(MAX(K651/J651,0),1.3),MIN(MAX(J651/K651,0),1.3))),"") </f>
        <v/>
      </c>
      <c r="M651" s="14">
        <f>IFERROR(IF(OR(J651=0,K651=""),"",IF(E651="Positivo",MAX(K651/J651,0),MAX(J651/K651,0))),"") </f>
        <v/>
      </c>
      <c r="N651" s="5" t="inlineStr">
        <is>
          <t>DEC</t>
        </is>
      </c>
      <c r="O651" s="5" t="inlineStr">
        <is>
          <t>DEC</t>
        </is>
      </c>
      <c r="P651" s="5" t="n">
        <v>1</v>
      </c>
      <c r="Q651" s="5" t="n">
        <v>1</v>
      </c>
      <c r="R651" s="5" t="inlineStr">
        <is>
          <t>261-2025-06-30</t>
        </is>
      </c>
    </row>
    <row r="652">
      <c r="A652" s="26" t="n">
        <v>261</v>
      </c>
      <c r="B652" s="5" t="inlineStr">
        <is>
          <t>CES- Costumer Effort Score del proceso de Saber Pro</t>
        </is>
      </c>
      <c r="C652" s="5" t="inlineStr">
        <is>
          <t>Servicio</t>
        </is>
      </c>
      <c r="D652" s="5" t="inlineStr">
        <is>
          <t>Trimestral</t>
        </is>
      </c>
      <c r="E652" s="5" t="inlineStr">
        <is>
          <t>Negativo</t>
        </is>
      </c>
      <c r="F652" s="107" t="n">
        <v>46022</v>
      </c>
      <c r="G652" s="5" t="n">
        <v>2025</v>
      </c>
      <c r="H652" s="5" t="inlineStr">
        <is>
          <t>Diciembre</t>
        </is>
      </c>
      <c r="I652" s="6" t="inlineStr">
        <is>
          <t>2025-2</t>
        </is>
      </c>
      <c r="J652" s="5" t="n">
        <v>3</v>
      </c>
      <c r="K652" s="5" t="n">
        <v>2.1</v>
      </c>
      <c r="L652" s="14">
        <f>IFERROR(IF(OR(J652=0,K652=""),"",IF(E652="Positivo",MIN(MAX(K652/J652,0),1.3),MIN(MAX(J652/K652,0),1.3))),"") </f>
        <v/>
      </c>
      <c r="M652" s="14">
        <f>IFERROR(IF(OR(J652=0,K652=""),"",IF(E652="Positivo",MAX(K652/J652,0),MAX(J652/K652,0))),"") </f>
        <v/>
      </c>
      <c r="N652" s="5" t="inlineStr">
        <is>
          <t>ENT</t>
        </is>
      </c>
      <c r="O652" s="5" t="inlineStr">
        <is>
          <t>DEC</t>
        </is>
      </c>
      <c r="P652" s="5" t="n">
        <v>1</v>
      </c>
      <c r="Q652" s="5" t="n">
        <v>1</v>
      </c>
      <c r="R652" s="5" t="inlineStr">
        <is>
          <t>261-2025-12-31</t>
        </is>
      </c>
    </row>
    <row r="653">
      <c r="A653" s="5" t="n">
        <v>262</v>
      </c>
      <c r="B653" s="5" t="inlineStr">
        <is>
          <t>Evitar erogación de dinero por multas asociadas en contra del POLI por los procesos en curso</t>
        </is>
      </c>
      <c r="C653" s="5" t="inlineStr">
        <is>
          <t>GESTIÓN JURÍDICA Y NORMATIVA</t>
        </is>
      </c>
      <c r="D653" s="5" t="inlineStr">
        <is>
          <t>Semestral</t>
        </is>
      </c>
      <c r="E653" s="5" t="inlineStr">
        <is>
          <t>Negativo</t>
        </is>
      </c>
      <c r="F653" s="107" t="n">
        <v>45107</v>
      </c>
      <c r="G653" s="5" t="n">
        <v>2023</v>
      </c>
      <c r="H653" s="5" t="inlineStr">
        <is>
          <t>Junio</t>
        </is>
      </c>
      <c r="I653" s="6" t="inlineStr">
        <is>
          <t>2023-1</t>
        </is>
      </c>
      <c r="J653" s="5" t="n">
        <v>20</v>
      </c>
      <c r="K653" s="10" t="n">
        <v>0</v>
      </c>
      <c r="L653" s="14">
        <f>IFERROR(IF(OR(J653=0,K653=""),"",IF(E653="Positivo",MIN(MAX(K653/J653,0),1.3),MIN(MAX(J653/K653,0),1.3))),"") </f>
        <v/>
      </c>
      <c r="M653" s="14">
        <f>IFERROR(IF(OR(J653=0,K653=""),"",IF(E653="Positivo",MAX(K653/J653,0),MAX(J653/K653,0))),"") </f>
        <v/>
      </c>
      <c r="N653" s="5" t="inlineStr">
        <is>
          <t>%</t>
        </is>
      </c>
      <c r="O653" s="5" t="inlineStr">
        <is>
          <t>%</t>
        </is>
      </c>
      <c r="P653" s="5" t="n">
        <v>0</v>
      </c>
      <c r="Q653" s="5" t="n">
        <v>0</v>
      </c>
      <c r="R653" s="5" t="inlineStr">
        <is>
          <t>262-2023-06-30</t>
        </is>
      </c>
    </row>
    <row r="654">
      <c r="A654" s="5" t="n">
        <v>262</v>
      </c>
      <c r="B654" s="5" t="inlineStr">
        <is>
          <t>Evitar erogación de dinero por multas asociadas en contra del POLI por los procesos en curso</t>
        </is>
      </c>
      <c r="C654" s="5" t="inlineStr">
        <is>
          <t>GESTIÓN JURÍDICA Y NORMATIVA</t>
        </is>
      </c>
      <c r="D654" s="5" t="inlineStr">
        <is>
          <t>Semestral</t>
        </is>
      </c>
      <c r="E654" s="5" t="inlineStr">
        <is>
          <t>Negativo</t>
        </is>
      </c>
      <c r="F654" s="107" t="n">
        <v>45291</v>
      </c>
      <c r="G654" s="5" t="n">
        <v>2023</v>
      </c>
      <c r="H654" s="5" t="inlineStr">
        <is>
          <t>Diciembre</t>
        </is>
      </c>
      <c r="I654" s="6" t="inlineStr">
        <is>
          <t>2023-2</t>
        </is>
      </c>
      <c r="J654" s="5" t="n">
        <v>20</v>
      </c>
      <c r="K654" s="5" t="n">
        <v>11.11</v>
      </c>
      <c r="L654" s="14">
        <f>IFERROR(IF(OR(J654=0,K654=""),"",IF(E654="Positivo",MIN(MAX(K654/J654,0),1.3),MIN(MAX(J654/K654,0),1.3))),"") </f>
        <v/>
      </c>
      <c r="M654" s="14">
        <f>IFERROR(IF(OR(J654=0,K654=""),"",IF(E654="Positivo",MAX(K654/J654,0),MAX(J654/K654,0))),"") </f>
        <v/>
      </c>
      <c r="N654" s="5" t="inlineStr">
        <is>
          <t>%</t>
        </is>
      </c>
      <c r="O654" s="5" t="inlineStr">
        <is>
          <t>%</t>
        </is>
      </c>
      <c r="P654" s="5" t="n">
        <v>0</v>
      </c>
      <c r="Q654" s="5" t="n">
        <v>0</v>
      </c>
      <c r="R654" s="5" t="inlineStr">
        <is>
          <t>262-2023-12-31</t>
        </is>
      </c>
    </row>
    <row r="655">
      <c r="A655" s="26" t="n">
        <v>262</v>
      </c>
      <c r="B655" s="5" t="inlineStr">
        <is>
          <t>Reducción de número de sentencias condenatorias en contra del Poli</t>
        </is>
      </c>
      <c r="C655" s="5" t="inlineStr">
        <is>
          <t>GESTIÓN JURÍDICA Y NORMATIVA</t>
        </is>
      </c>
      <c r="D655" s="5" t="inlineStr">
        <is>
          <t>Semestral</t>
        </is>
      </c>
      <c r="E655" s="5" t="inlineStr">
        <is>
          <t>Negativo</t>
        </is>
      </c>
      <c r="F655" s="107" t="n">
        <v>45473</v>
      </c>
      <c r="G655" s="5" t="n">
        <v>2024</v>
      </c>
      <c r="H655" s="5" t="inlineStr">
        <is>
          <t>Junio</t>
        </is>
      </c>
      <c r="I655" s="6" t="inlineStr">
        <is>
          <t>2024-1</t>
        </is>
      </c>
      <c r="J655" s="5" t="n">
        <v>20</v>
      </c>
      <c r="K655" s="5" t="n">
        <v>0</v>
      </c>
      <c r="L655" s="14">
        <f>IFERROR(IF(OR(J655=0,K655=""),"",IF(E655="Positivo",MIN(MAX(K655/J655,0),1.3),MIN(MAX(J655/K655,0),1.3))),"") </f>
        <v/>
      </c>
      <c r="M655" s="14">
        <f>IFERROR(IF(OR(J655=0,K655=""),"",IF(E655="Positivo",MAX(K655/J655,0),MAX(J655/K655,0))),"") </f>
        <v/>
      </c>
      <c r="N655" s="5" t="inlineStr">
        <is>
          <t>%</t>
        </is>
      </c>
      <c r="O655" s="5" t="inlineStr">
        <is>
          <t>%</t>
        </is>
      </c>
      <c r="P655" s="5" t="n">
        <v>0</v>
      </c>
      <c r="Q655" s="5" t="n">
        <v>0</v>
      </c>
      <c r="R655" s="5" t="inlineStr">
        <is>
          <t>262-2024-06-30</t>
        </is>
      </c>
    </row>
    <row r="656">
      <c r="A656" s="5" t="n">
        <v>262</v>
      </c>
      <c r="B656" s="5" t="inlineStr">
        <is>
          <t>Reducción de número de sentencias condenatorias en contra del Poli</t>
        </is>
      </c>
      <c r="C656" s="5" t="inlineStr">
        <is>
          <t>GESTIÓN JURÍDICA Y NORMATIVA</t>
        </is>
      </c>
      <c r="D656" s="5" t="inlineStr">
        <is>
          <t>Semestral</t>
        </is>
      </c>
      <c r="E656" s="5" t="inlineStr">
        <is>
          <t>Negativo</t>
        </is>
      </c>
      <c r="F656" s="107" t="n">
        <v>45657</v>
      </c>
      <c r="G656" s="5" t="n">
        <v>2024</v>
      </c>
      <c r="H656" s="5" t="inlineStr">
        <is>
          <t>Diciembre</t>
        </is>
      </c>
      <c r="I656" s="6" t="inlineStr">
        <is>
          <t>2024-2</t>
        </is>
      </c>
      <c r="J656" s="5" t="n">
        <v>20</v>
      </c>
      <c r="K656" s="5" t="n">
        <v>0</v>
      </c>
      <c r="L656" s="14">
        <f>IFERROR(IF(OR(J656=0,K656=""),"",IF(E656="Positivo",MIN(MAX(K656/J656,0),1.3),MIN(MAX(J656/K656,0),1.3))),"") </f>
        <v/>
      </c>
      <c r="M656" s="14">
        <f>IFERROR(IF(OR(J656=0,K656=""),"",IF(E656="Positivo",MAX(K656/J656,0),MAX(J656/K656,0))),"") </f>
        <v/>
      </c>
      <c r="N656" s="5" t="inlineStr">
        <is>
          <t>%</t>
        </is>
      </c>
      <c r="O656" s="5" t="inlineStr">
        <is>
          <t>%</t>
        </is>
      </c>
      <c r="P656" s="5" t="n">
        <v>0</v>
      </c>
      <c r="Q656" s="5" t="n">
        <v>0</v>
      </c>
      <c r="R656" s="5" t="inlineStr">
        <is>
          <t>262-2024-12-31</t>
        </is>
      </c>
    </row>
    <row r="657">
      <c r="A657" s="26" t="n">
        <v>262</v>
      </c>
      <c r="B657" s="5" t="inlineStr">
        <is>
          <t>Reducción de número de sentencias condenatorias en contra del Poli</t>
        </is>
      </c>
      <c r="C657" s="5" t="inlineStr">
        <is>
          <t>GESTIÓN JURÍDICA Y NORMATIVA</t>
        </is>
      </c>
      <c r="D657" s="5" t="inlineStr">
        <is>
          <t>Semestral</t>
        </is>
      </c>
      <c r="E657" s="5" t="inlineStr">
        <is>
          <t>Negativo</t>
        </is>
      </c>
      <c r="F657" s="107" t="n">
        <v>45838</v>
      </c>
      <c r="G657" s="5" t="n">
        <v>2025</v>
      </c>
      <c r="H657" s="5" t="inlineStr">
        <is>
          <t>Junio</t>
        </is>
      </c>
      <c r="I657" s="6" t="inlineStr">
        <is>
          <t>2025-1</t>
        </is>
      </c>
      <c r="J657" s="5" t="n">
        <v>10</v>
      </c>
      <c r="K657" s="5" t="n">
        <v>0</v>
      </c>
      <c r="L657" s="74">
        <f>IFERROR(IF(OR(J657=0,K657=""),"",IF(E657="Positivo",MIN(MAX(K657/J657,0),1.3),MIN(MAX(J657/K657,0),1.3))),"") </f>
        <v/>
      </c>
      <c r="M657" s="14">
        <f>IFERROR(IF(OR(J657=0,K657=""),"",IF(E657="Positivo",MAX(K657/J657,0),MAX(J657/K657,0))),"") </f>
        <v/>
      </c>
      <c r="N657" s="5" t="inlineStr">
        <is>
          <t>%</t>
        </is>
      </c>
      <c r="O657" s="5" t="inlineStr">
        <is>
          <t>%</t>
        </is>
      </c>
      <c r="P657" s="5" t="n">
        <v>0</v>
      </c>
      <c r="Q657" s="5" t="n">
        <v>0</v>
      </c>
      <c r="R657" s="5" t="inlineStr">
        <is>
          <t>262-2025-06-30</t>
        </is>
      </c>
    </row>
    <row r="658">
      <c r="A658" s="5" t="n">
        <v>262</v>
      </c>
      <c r="B658" s="5" t="inlineStr">
        <is>
          <t>Reducción de número de sentencias condenatorias en contra del Poli</t>
        </is>
      </c>
      <c r="C658" s="5" t="inlineStr">
        <is>
          <t>GESTIÓN JURÍDICA Y NORMATIVA</t>
        </is>
      </c>
      <c r="D658" s="5" t="inlineStr">
        <is>
          <t>Trimestral</t>
        </is>
      </c>
      <c r="E658" s="5" t="inlineStr">
        <is>
          <t>Negativo</t>
        </is>
      </c>
      <c r="F658" s="107" t="n">
        <v>46022</v>
      </c>
      <c r="G658" s="5" t="n">
        <v>2025</v>
      </c>
      <c r="H658" s="5" t="inlineStr">
        <is>
          <t>Diciembre</t>
        </is>
      </c>
      <c r="I658" s="6" t="inlineStr">
        <is>
          <t>2025-2</t>
        </is>
      </c>
      <c r="J658" s="5" t="n"/>
      <c r="K658" s="5" t="n">
        <v>0</v>
      </c>
      <c r="L658" s="14" t="n"/>
      <c r="M658" s="14" t="n"/>
      <c r="N658" s="5" t="inlineStr">
        <is>
          <t>%</t>
        </is>
      </c>
      <c r="O658" s="5" t="inlineStr">
        <is>
          <t>%</t>
        </is>
      </c>
      <c r="P658" s="5" t="n">
        <v>0</v>
      </c>
      <c r="Q658" s="5" t="n">
        <v>0</v>
      </c>
      <c r="R658" s="5" t="inlineStr">
        <is>
          <t>262-2025-12-31</t>
        </is>
      </c>
    </row>
    <row r="659">
      <c r="A659" s="26" t="n">
        <v>263</v>
      </c>
      <c r="B659" s="5" t="inlineStr">
        <is>
          <t>Oportunidad de respuesta de PQRS</t>
        </is>
      </c>
      <c r="C659" s="5" t="inlineStr">
        <is>
          <t>GESTIÓN JURÍDICA Y NORMATIVA</t>
        </is>
      </c>
      <c r="D659" s="5" t="inlineStr">
        <is>
          <t>Trimestral</t>
        </is>
      </c>
      <c r="E659" s="5" t="inlineStr">
        <is>
          <t>Positivo</t>
        </is>
      </c>
      <c r="F659" s="107" t="n">
        <v>45107</v>
      </c>
      <c r="G659" s="5" t="n">
        <v>2023</v>
      </c>
      <c r="H659" s="5" t="inlineStr">
        <is>
          <t>Junio</t>
        </is>
      </c>
      <c r="I659" s="6" t="inlineStr">
        <is>
          <t>2023-1</t>
        </is>
      </c>
      <c r="J659" s="5" t="n">
        <v>100</v>
      </c>
      <c r="K659" s="5" t="n">
        <v>100</v>
      </c>
      <c r="L659" s="14">
        <f>IFERROR(IF(OR(J659=0,K659=""),"",IF(E659="Positivo",MIN(MAX(K659/J659,0),1.3),MIN(MAX(J659/K659,0),1.3))),"") </f>
        <v/>
      </c>
      <c r="M659" s="14">
        <f>IFERROR(IF(OR(J659=0,K659=""),"",IF(E659="Positivo",MAX(K659/J659,0),MAX(J659/K659,0))),"") </f>
        <v/>
      </c>
      <c r="N659" s="5" t="inlineStr">
        <is>
          <t>%</t>
        </is>
      </c>
      <c r="O659" s="5" t="inlineStr">
        <is>
          <t>%</t>
        </is>
      </c>
      <c r="P659" s="5" t="n">
        <v>0</v>
      </c>
      <c r="Q659" s="5" t="n">
        <v>0</v>
      </c>
      <c r="R659" s="5" t="inlineStr">
        <is>
          <t>263-2023-06-30</t>
        </is>
      </c>
    </row>
    <row r="660">
      <c r="A660" s="5" t="n">
        <v>263</v>
      </c>
      <c r="B660" s="5" t="inlineStr">
        <is>
          <t>Oportunidad de respuesta de PQRS</t>
        </is>
      </c>
      <c r="C660" s="5" t="inlineStr">
        <is>
          <t>GESTIÓN JURÍDICA Y NORMATIVA</t>
        </is>
      </c>
      <c r="D660" s="5" t="inlineStr">
        <is>
          <t>Trimestral</t>
        </is>
      </c>
      <c r="E660" s="5" t="inlineStr">
        <is>
          <t>Positivo</t>
        </is>
      </c>
      <c r="F660" s="107" t="n">
        <v>45291</v>
      </c>
      <c r="G660" s="5" t="n">
        <v>2023</v>
      </c>
      <c r="H660" s="5" t="inlineStr">
        <is>
          <t>Diciembre</t>
        </is>
      </c>
      <c r="I660" s="6" t="inlineStr">
        <is>
          <t>2023-2</t>
        </is>
      </c>
      <c r="J660" s="5" t="n">
        <v>100</v>
      </c>
      <c r="K660" s="5" t="n">
        <v>100</v>
      </c>
      <c r="L660" s="14">
        <f>IFERROR(IF(OR(J660=0,K660=""),"",IF(E660="Positivo",MIN(MAX(K660/J660,0),1.3),MIN(MAX(J660/K660,0),1.3))),"") </f>
        <v/>
      </c>
      <c r="M660" s="14">
        <f>IFERROR(IF(OR(J660=0,K660=""),"",IF(E660="Positivo",MAX(K660/J660,0),MAX(J660/K660,0))),"") </f>
        <v/>
      </c>
      <c r="N660" s="5" t="inlineStr">
        <is>
          <t>%</t>
        </is>
      </c>
      <c r="O660" s="5" t="inlineStr">
        <is>
          <t>%</t>
        </is>
      </c>
      <c r="P660" s="5" t="n">
        <v>0</v>
      </c>
      <c r="Q660" s="5" t="n">
        <v>0</v>
      </c>
      <c r="R660" s="5" t="inlineStr">
        <is>
          <t>263-2023-12-31</t>
        </is>
      </c>
    </row>
    <row r="661">
      <c r="A661" s="28" t="n">
        <v>263</v>
      </c>
      <c r="B661" s="5" t="inlineStr">
        <is>
          <t>Oportunidad de respuesta de PQRS</t>
        </is>
      </c>
      <c r="C661" s="5" t="inlineStr">
        <is>
          <t>GESTIÓN JURÍDICA Y NORMATIVA</t>
        </is>
      </c>
      <c r="D661" s="5" t="inlineStr">
        <is>
          <t>Trimestral</t>
        </is>
      </c>
      <c r="E661" s="5" t="inlineStr">
        <is>
          <t>Positivo</t>
        </is>
      </c>
      <c r="F661" s="107" t="n">
        <v>45473</v>
      </c>
      <c r="G661" s="5" t="n">
        <v>2024</v>
      </c>
      <c r="H661" s="5" t="inlineStr">
        <is>
          <t>Junio</t>
        </is>
      </c>
      <c r="I661" s="6" t="inlineStr">
        <is>
          <t>2024-1</t>
        </is>
      </c>
      <c r="J661" s="5" t="n">
        <v>100</v>
      </c>
      <c r="K661" s="5" t="n">
        <v>100</v>
      </c>
      <c r="L661" s="74">
        <f>IFERROR(IF(OR(J661=0,K661=""),"",IF(E661="Positivo",MIN(MAX(K661/J661,0),1.3),MIN(MAX(J661/K661,0),1.3))),"") </f>
        <v/>
      </c>
      <c r="M661" s="14">
        <f>IFERROR(IF(OR(J661=0,K661=""),"",IF(E661="Positivo",MAX(K661/J661,0),MAX(J661/K661,0))),"") </f>
        <v/>
      </c>
      <c r="N661" s="5" t="inlineStr">
        <is>
          <t>%</t>
        </is>
      </c>
      <c r="O661" s="5" t="inlineStr">
        <is>
          <t>%</t>
        </is>
      </c>
      <c r="P661" s="5" t="n">
        <v>0</v>
      </c>
      <c r="Q661" s="5" t="n">
        <v>0</v>
      </c>
      <c r="R661" s="5" t="inlineStr">
        <is>
          <t>263-2024-06-30</t>
        </is>
      </c>
    </row>
    <row r="662">
      <c r="A662" s="26" t="n">
        <v>263</v>
      </c>
      <c r="B662" s="5" t="inlineStr">
        <is>
          <t>Oportunidad de respuesta de PQRS</t>
        </is>
      </c>
      <c r="C662" s="5" t="inlineStr">
        <is>
          <t>GESTIÓN JURÍDICA Y NORMATIVA</t>
        </is>
      </c>
      <c r="D662" s="5" t="inlineStr">
        <is>
          <t>Trimestral</t>
        </is>
      </c>
      <c r="E662" s="5" t="inlineStr">
        <is>
          <t>Positivo</t>
        </is>
      </c>
      <c r="F662" s="107" t="n">
        <v>45657</v>
      </c>
      <c r="G662" s="5" t="n">
        <v>2024</v>
      </c>
      <c r="H662" s="5" t="inlineStr">
        <is>
          <t>Diciembre</t>
        </is>
      </c>
      <c r="I662" s="6" t="inlineStr">
        <is>
          <t>2024-2</t>
        </is>
      </c>
      <c r="J662" s="5" t="n">
        <v>100</v>
      </c>
      <c r="K662" s="5" t="n">
        <v>100</v>
      </c>
      <c r="L662" s="74">
        <f>IFERROR(IF(OR(J662=0,K662=""),"",IF(E662="Positivo",MIN(MAX(K662/J662,0),1.3),MIN(MAX(J662/K662,0),1.3))),"") </f>
        <v/>
      </c>
      <c r="M662" s="14">
        <f>IFERROR(IF(OR(J662=0,K662=""),"",IF(E662="Positivo",MAX(K662/J662,0),MAX(J662/K662,0))),"") </f>
        <v/>
      </c>
      <c r="N662" s="5" t="inlineStr">
        <is>
          <t>%</t>
        </is>
      </c>
      <c r="O662" s="5" t="inlineStr">
        <is>
          <t>%</t>
        </is>
      </c>
      <c r="P662" s="5" t="n">
        <v>0</v>
      </c>
      <c r="Q662" s="5" t="n">
        <v>0</v>
      </c>
      <c r="R662" s="5" t="inlineStr">
        <is>
          <t>263-2024-12-31</t>
        </is>
      </c>
    </row>
    <row r="663">
      <c r="A663" s="5" t="n">
        <v>263</v>
      </c>
      <c r="B663" s="5" t="inlineStr">
        <is>
          <t>Oportunidad de respuesta de PQRS</t>
        </is>
      </c>
      <c r="C663" s="5" t="inlineStr">
        <is>
          <t>GESTIÓN JURÍDICA Y NORMATIVA</t>
        </is>
      </c>
      <c r="D663" s="5" t="inlineStr">
        <is>
          <t>Trimestral</t>
        </is>
      </c>
      <c r="E663" s="5" t="inlineStr">
        <is>
          <t>Positivo</t>
        </is>
      </c>
      <c r="F663" s="107" t="n">
        <v>45838</v>
      </c>
      <c r="G663" s="5" t="n">
        <v>2025</v>
      </c>
      <c r="H663" s="5" t="inlineStr">
        <is>
          <t>Junio</t>
        </is>
      </c>
      <c r="I663" s="6" t="inlineStr">
        <is>
          <t>2025-1</t>
        </is>
      </c>
      <c r="J663" s="5" t="n">
        <v>100</v>
      </c>
      <c r="K663" s="5" t="n">
        <v>100</v>
      </c>
      <c r="L663" s="14">
        <f>IFERROR(IF(OR(J663=0,K663=""),"",IF(E663="Positivo",MIN(MAX(K663/J663,0),1.3),MIN(MAX(J663/K663,0),1.3))),"") </f>
        <v/>
      </c>
      <c r="M663" s="14">
        <f>IFERROR(IF(OR(J663=0,K663=""),"",IF(E663="Positivo",MAX(K663/J663,0),MAX(J663/K663,0))),"") </f>
        <v/>
      </c>
      <c r="N663" s="5" t="inlineStr">
        <is>
          <t>%</t>
        </is>
      </c>
      <c r="O663" s="5" t="inlineStr">
        <is>
          <t>%</t>
        </is>
      </c>
      <c r="P663" s="5" t="n">
        <v>0</v>
      </c>
      <c r="Q663" s="5" t="n">
        <v>0</v>
      </c>
      <c r="R663" s="5" t="inlineStr">
        <is>
          <t>263-2025-06-30</t>
        </is>
      </c>
    </row>
    <row r="664">
      <c r="A664" s="5" t="n">
        <v>263</v>
      </c>
      <c r="B664" s="5" t="inlineStr">
        <is>
          <t>Oportunidad de respuesta de PQRS</t>
        </is>
      </c>
      <c r="C664" s="5" t="inlineStr">
        <is>
          <t>GESTIÓN JURÍDICA Y NORMATIVA</t>
        </is>
      </c>
      <c r="D664" s="5" t="inlineStr">
        <is>
          <t>Semestral</t>
        </is>
      </c>
      <c r="E664" s="5" t="inlineStr">
        <is>
          <t>Positivo</t>
        </is>
      </c>
      <c r="F664" s="107" t="n">
        <v>46022</v>
      </c>
      <c r="G664" s="5" t="n">
        <v>2025</v>
      </c>
      <c r="H664" s="5" t="inlineStr">
        <is>
          <t>Diciembre</t>
        </is>
      </c>
      <c r="I664" s="6" t="inlineStr">
        <is>
          <t>2025-2</t>
        </is>
      </c>
      <c r="J664" s="5" t="n">
        <v>100</v>
      </c>
      <c r="K664" s="5" t="n">
        <v>100</v>
      </c>
      <c r="L664" s="14">
        <f>IFERROR(IF(OR(J664=0,K664=""),"",IF(E664="Positivo",MIN(MAX(K664/J664,0),1.3),MIN(MAX(J664/K664,0),1.3))),"") </f>
        <v/>
      </c>
      <c r="M664" s="14">
        <f>IFERROR(IF(OR(J664=0,K664=""),"",IF(E664="Positivo",MAX(K664/J664,0),MAX(J664/K664,0))),"") </f>
        <v/>
      </c>
      <c r="N664" s="5" t="inlineStr">
        <is>
          <t>%</t>
        </is>
      </c>
      <c r="O664" s="5" t="inlineStr">
        <is>
          <t>%</t>
        </is>
      </c>
      <c r="P664" s="5" t="n">
        <v>0</v>
      </c>
      <c r="Q664" s="5" t="n">
        <v>0</v>
      </c>
      <c r="R664" s="5" t="inlineStr">
        <is>
          <t>263-2025-12-31</t>
        </is>
      </c>
    </row>
    <row r="665">
      <c r="A665" s="28" t="n">
        <v>264</v>
      </c>
      <c r="B665" s="5" t="inlineStr">
        <is>
          <t>Emisión De Conceptos Jurídicos (Educación)</t>
        </is>
      </c>
      <c r="C665" s="5" t="inlineStr">
        <is>
          <t>GESTIÓN JURÍDICA Y NORMATIVA</t>
        </is>
      </c>
      <c r="D665" s="5" t="inlineStr">
        <is>
          <t>Semestral</t>
        </is>
      </c>
      <c r="E665" s="5" t="inlineStr">
        <is>
          <t>Positivo</t>
        </is>
      </c>
      <c r="F665" s="107" t="n">
        <v>45107</v>
      </c>
      <c r="G665" s="5" t="n">
        <v>2023</v>
      </c>
      <c r="H665" s="5" t="inlineStr">
        <is>
          <t>Junio</t>
        </is>
      </c>
      <c r="I665" s="6" t="inlineStr">
        <is>
          <t>2023-1</t>
        </is>
      </c>
      <c r="J665" s="5" t="n">
        <v>100</v>
      </c>
      <c r="K665" s="5" t="n">
        <v>100</v>
      </c>
      <c r="L665" s="74">
        <f>IFERROR(IF(OR(J665=0,K665=""),"",IF(E665="Positivo",MIN(MAX(K665/J665,0),1.3),MIN(MAX(J665/K665,0),1.3))),"") </f>
        <v/>
      </c>
      <c r="M665" s="14">
        <f>IFERROR(IF(OR(J665=0,K665=""),"",IF(E665="Positivo",MAX(K665/J665,0),MAX(J665/K665,0))),"") </f>
        <v/>
      </c>
      <c r="N665" s="5" t="inlineStr">
        <is>
          <t>%</t>
        </is>
      </c>
      <c r="O665" s="5" t="inlineStr">
        <is>
          <t>%</t>
        </is>
      </c>
      <c r="P665" s="5" t="n">
        <v>0</v>
      </c>
      <c r="Q665" s="5" t="n">
        <v>0</v>
      </c>
      <c r="R665" s="5" t="inlineStr">
        <is>
          <t>264-2023-06-30</t>
        </is>
      </c>
    </row>
    <row r="666">
      <c r="A666" s="26" t="n">
        <v>264</v>
      </c>
      <c r="B666" s="5" t="inlineStr">
        <is>
          <t>Emisión De Conceptos Jurídicos (Educación)</t>
        </is>
      </c>
      <c r="C666" s="5" t="inlineStr">
        <is>
          <t>GESTIÓN JURÍDICA Y NORMATIVA</t>
        </is>
      </c>
      <c r="D666" s="5" t="inlineStr">
        <is>
          <t>Semestral</t>
        </is>
      </c>
      <c r="E666" s="5" t="inlineStr">
        <is>
          <t>Positivo</t>
        </is>
      </c>
      <c r="F666" s="107" t="n">
        <v>45291</v>
      </c>
      <c r="G666" s="5" t="n">
        <v>2023</v>
      </c>
      <c r="H666" s="5" t="inlineStr">
        <is>
          <t>Diciembre</t>
        </is>
      </c>
      <c r="I666" s="6" t="inlineStr">
        <is>
          <t>2023-2</t>
        </is>
      </c>
      <c r="J666" s="5" t="n">
        <v>100</v>
      </c>
      <c r="K666" s="5" t="n">
        <v>100</v>
      </c>
      <c r="L666" s="74">
        <f>IFERROR(IF(OR(J666=0,K666=""),"",IF(E666="Positivo",MIN(MAX(K666/J666,0),1.3),MIN(MAX(J666/K666,0),1.3))),"") </f>
        <v/>
      </c>
      <c r="M666" s="14">
        <f>IFERROR(IF(OR(J666=0,K666=""),"",IF(E666="Positivo",MAX(K666/J666,0),MAX(J666/K666,0))),"") </f>
        <v/>
      </c>
      <c r="N666" s="5" t="inlineStr">
        <is>
          <t>%</t>
        </is>
      </c>
      <c r="O666" s="5" t="inlineStr">
        <is>
          <t>%</t>
        </is>
      </c>
      <c r="P666" s="5" t="n">
        <v>0</v>
      </c>
      <c r="Q666" s="5" t="n">
        <v>0</v>
      </c>
      <c r="R666" s="5" t="inlineStr">
        <is>
          <t>264-2023-12-31</t>
        </is>
      </c>
    </row>
    <row r="667">
      <c r="A667" s="28" t="n">
        <v>264</v>
      </c>
      <c r="B667" s="5" t="inlineStr">
        <is>
          <t>Eficiencia Emisión De Conceptos Jurídicos (Educación)</t>
        </is>
      </c>
      <c r="C667" s="5" t="inlineStr">
        <is>
          <t>GESTIÓN JURÍDICA Y NORMATIVA</t>
        </is>
      </c>
      <c r="D667" s="5" t="inlineStr">
        <is>
          <t>Semestral</t>
        </is>
      </c>
      <c r="E667" s="5" t="inlineStr">
        <is>
          <t>Positivo</t>
        </is>
      </c>
      <c r="F667" s="107" t="n">
        <v>45473</v>
      </c>
      <c r="G667" s="5" t="n">
        <v>2024</v>
      </c>
      <c r="H667" s="5" t="inlineStr">
        <is>
          <t>Junio</t>
        </is>
      </c>
      <c r="I667" s="6" t="inlineStr">
        <is>
          <t>2024-1</t>
        </is>
      </c>
      <c r="J667" s="5" t="n">
        <v>100</v>
      </c>
      <c r="K667" s="5" t="n">
        <v>100</v>
      </c>
      <c r="L667" s="74">
        <f>IFERROR(IF(OR(J667=0,K667=""),"",IF(E667="Positivo",MIN(MAX(K667/J667,0),1.3),MIN(MAX(J667/K667,0),1.3))),"") </f>
        <v/>
      </c>
      <c r="M667" s="14">
        <f>IFERROR(IF(OR(J667=0,K667=""),"",IF(E667="Positivo",MAX(K667/J667,0),MAX(J667/K667,0))),"") </f>
        <v/>
      </c>
      <c r="N667" s="5" t="n"/>
      <c r="O667" s="5" t="n"/>
      <c r="P667" s="5" t="n">
        <v>0</v>
      </c>
      <c r="Q667" s="5" t="n">
        <v>0</v>
      </c>
      <c r="R667" s="5" t="inlineStr">
        <is>
          <t>264-2024-06-30</t>
        </is>
      </c>
    </row>
    <row r="668">
      <c r="A668" s="28" t="n">
        <v>264</v>
      </c>
      <c r="B668" s="5" t="inlineStr">
        <is>
          <t>Eficiencia Emisión De Conceptos Jurídicos (Educación)</t>
        </is>
      </c>
      <c r="C668" s="5" t="inlineStr">
        <is>
          <t>GESTIÓN JURÍDICA Y NORMATIVA</t>
        </is>
      </c>
      <c r="D668" s="5" t="inlineStr">
        <is>
          <t>Semestral</t>
        </is>
      </c>
      <c r="E668" s="5" t="inlineStr">
        <is>
          <t>Positivo</t>
        </is>
      </c>
      <c r="F668" s="107" t="n">
        <v>45657</v>
      </c>
      <c r="G668" s="5" t="n">
        <v>2024</v>
      </c>
      <c r="H668" s="5" t="inlineStr">
        <is>
          <t>Diciembre</t>
        </is>
      </c>
      <c r="I668" s="6" t="inlineStr">
        <is>
          <t>2024-2</t>
        </is>
      </c>
      <c r="J668" s="5" t="n">
        <v>100</v>
      </c>
      <c r="K668" s="5" t="n">
        <v>100</v>
      </c>
      <c r="L668" s="74">
        <f>IFERROR(IF(OR(J668=0,K668=""),"",IF(E668="Positivo",MIN(MAX(K668/J668,0),1.3),MIN(MAX(J668/K668,0),1.3))),"") </f>
        <v/>
      </c>
      <c r="M668" s="14">
        <f>IFERROR(IF(OR(J668=0,K668=""),"",IF(E668="Positivo",MAX(K668/J668,0),MAX(J668/K668,0))),"") </f>
        <v/>
      </c>
      <c r="N668" s="5" t="n"/>
      <c r="O668" s="5" t="n"/>
      <c r="P668" s="5" t="n">
        <v>0</v>
      </c>
      <c r="Q668" s="5" t="n">
        <v>0</v>
      </c>
      <c r="R668" s="5" t="inlineStr">
        <is>
          <t>264-2024-12-31</t>
        </is>
      </c>
    </row>
    <row r="669">
      <c r="A669" s="26" t="n">
        <v>265</v>
      </c>
      <c r="B669" s="5" t="inlineStr">
        <is>
          <t>Emisión De Conceptos Jurídicos (Jurídicos)</t>
        </is>
      </c>
      <c r="C669" s="5" t="inlineStr">
        <is>
          <t>GESTIÓN JURÍDICA Y NORMATIVA</t>
        </is>
      </c>
      <c r="D669" s="5" t="inlineStr">
        <is>
          <t>Semestral</t>
        </is>
      </c>
      <c r="E669" s="5" t="inlineStr">
        <is>
          <t>Positivo</t>
        </is>
      </c>
      <c r="F669" s="107" t="n">
        <v>45107</v>
      </c>
      <c r="G669" s="5" t="n">
        <v>2023</v>
      </c>
      <c r="H669" s="5" t="inlineStr">
        <is>
          <t>Junio</t>
        </is>
      </c>
      <c r="I669" s="6" t="inlineStr">
        <is>
          <t>2023-1</t>
        </is>
      </c>
      <c r="J669" s="5" t="n">
        <v>100</v>
      </c>
      <c r="K669" s="5" t="n">
        <v>80</v>
      </c>
      <c r="L669" s="14">
        <f>IFERROR(IF(OR(J669=0,K669=""),"",IF(E669="Positivo",MIN(MAX(K669/J669,0),1.3),MIN(MAX(J669/K669,0),1.3))),"") </f>
        <v/>
      </c>
      <c r="M669" s="14">
        <f>IFERROR(IF(OR(J669=0,K669=""),"",IF(E669="Positivo",MAX(K669/J669,0),MAX(J669/K669,0))),"") </f>
        <v/>
      </c>
      <c r="N669" s="5" t="inlineStr">
        <is>
          <t>%</t>
        </is>
      </c>
      <c r="O669" s="5" t="inlineStr">
        <is>
          <t>%</t>
        </is>
      </c>
      <c r="P669" s="5" t="n">
        <v>0</v>
      </c>
      <c r="Q669" s="5" t="n">
        <v>0</v>
      </c>
      <c r="R669" s="5" t="inlineStr">
        <is>
          <t>265-2023-06-30</t>
        </is>
      </c>
    </row>
    <row r="670">
      <c r="A670" s="5" t="n">
        <v>265</v>
      </c>
      <c r="B670" s="5" t="inlineStr">
        <is>
          <t>Emisión De Conceptos Jurídicos (Jurídicos)</t>
        </is>
      </c>
      <c r="C670" s="5" t="inlineStr">
        <is>
          <t>GESTIÓN JURÍDICA Y NORMATIVA</t>
        </is>
      </c>
      <c r="D670" s="5" t="inlineStr">
        <is>
          <t>Semestral</t>
        </is>
      </c>
      <c r="E670" s="5" t="inlineStr">
        <is>
          <t>Positivo</t>
        </is>
      </c>
      <c r="F670" s="107" t="n">
        <v>45291</v>
      </c>
      <c r="G670" s="5" t="n">
        <v>2023</v>
      </c>
      <c r="H670" s="5" t="inlineStr">
        <is>
          <t>Diciembre</t>
        </is>
      </c>
      <c r="I670" s="6" t="inlineStr">
        <is>
          <t>2023-2</t>
        </is>
      </c>
      <c r="J670" s="5" t="n">
        <v>100</v>
      </c>
      <c r="K670" s="5" t="n">
        <v>97.13</v>
      </c>
      <c r="L670" s="14">
        <f>IFERROR(IF(OR(J670=0,K670=""),"",IF(E670="Positivo",MIN(MAX(K670/J670,0),1.3),MIN(MAX(J670/K670,0),1.3))),"") </f>
        <v/>
      </c>
      <c r="M670" s="14">
        <f>IFERROR(IF(OR(J670=0,K670=""),"",IF(E670="Positivo",MAX(K670/J670,0),MAX(J670/K670,0))),"") </f>
        <v/>
      </c>
      <c r="N670" s="5" t="inlineStr">
        <is>
          <t>%</t>
        </is>
      </c>
      <c r="O670" s="5" t="inlineStr">
        <is>
          <t>%</t>
        </is>
      </c>
      <c r="P670" s="5" t="n">
        <v>0</v>
      </c>
      <c r="Q670" s="5" t="n">
        <v>0</v>
      </c>
      <c r="R670" s="5" t="inlineStr">
        <is>
          <t>265-2023-12-31</t>
        </is>
      </c>
    </row>
    <row r="671">
      <c r="A671" s="26" t="n">
        <v>265</v>
      </c>
      <c r="B671" s="5" t="inlineStr">
        <is>
          <t>Eficiencia Emisión De Conceptos Jurídicos (Jurídicos)</t>
        </is>
      </c>
      <c r="C671" s="5" t="inlineStr">
        <is>
          <t>GESTIÓN JURÍDICA Y NORMATIVA</t>
        </is>
      </c>
      <c r="D671" s="5" t="inlineStr">
        <is>
          <t>Semestral</t>
        </is>
      </c>
      <c r="E671" s="5" t="inlineStr">
        <is>
          <t>Positivo</t>
        </is>
      </c>
      <c r="F671" s="107" t="n">
        <v>45473</v>
      </c>
      <c r="G671" s="5" t="n">
        <v>2024</v>
      </c>
      <c r="H671" s="5" t="inlineStr">
        <is>
          <t>Junio</t>
        </is>
      </c>
      <c r="I671" s="6" t="inlineStr">
        <is>
          <t>2024-1</t>
        </is>
      </c>
      <c r="J671" s="5" t="n">
        <v>95</v>
      </c>
      <c r="K671" s="5" t="n">
        <v>100</v>
      </c>
      <c r="L671" s="14">
        <f>IFERROR(IF(OR(J671=0,K671=""),"",IF(E671="Positivo",MIN(MAX(K671/J671,0),1.3),MIN(MAX(J671/K671,0),1.3))),"") </f>
        <v/>
      </c>
      <c r="M671" s="14">
        <f>IFERROR(IF(OR(J671=0,K671=""),"",IF(E671="Positivo",MAX(K671/J671,0),MAX(J671/K671,0))),"") </f>
        <v/>
      </c>
      <c r="N671" s="5" t="inlineStr">
        <is>
          <t>%</t>
        </is>
      </c>
      <c r="O671" s="5" t="inlineStr">
        <is>
          <t>%</t>
        </is>
      </c>
      <c r="P671" s="5" t="n">
        <v>0</v>
      </c>
      <c r="Q671" s="5" t="n">
        <v>0</v>
      </c>
      <c r="R671" s="5" t="inlineStr">
        <is>
          <t>265-2024-06-30</t>
        </is>
      </c>
    </row>
    <row r="672">
      <c r="A672" s="26" t="n">
        <v>265</v>
      </c>
      <c r="B672" s="5" t="inlineStr">
        <is>
          <t>Eficiencia Emisión De Conceptos Jurídicos (Jurídicos)</t>
        </is>
      </c>
      <c r="C672" s="5" t="inlineStr">
        <is>
          <t>GESTIÓN JURÍDICA Y NORMATIVA</t>
        </is>
      </c>
      <c r="D672" s="5" t="inlineStr">
        <is>
          <t>Semestral</t>
        </is>
      </c>
      <c r="E672" s="5" t="inlineStr">
        <is>
          <t>Positivo</t>
        </is>
      </c>
      <c r="F672" s="107" t="n">
        <v>45657</v>
      </c>
      <c r="G672" s="5" t="n">
        <v>2024</v>
      </c>
      <c r="H672" s="5" t="inlineStr">
        <is>
          <t>Diciembre</t>
        </is>
      </c>
      <c r="I672" s="6" t="inlineStr">
        <is>
          <t>2024-2</t>
        </is>
      </c>
      <c r="J672" s="5" t="n">
        <v>95</v>
      </c>
      <c r="K672" s="5" t="n">
        <v>100</v>
      </c>
      <c r="L672" s="14">
        <f>IFERROR(IF(OR(J672=0,K672=""),"",IF(E672="Positivo",MIN(MAX(K672/J672,0),1.3),MIN(MAX(J672/K672,0),1.3))),"") </f>
        <v/>
      </c>
      <c r="M672" s="14">
        <f>IFERROR(IF(OR(J672=0,K672=""),"",IF(E672="Positivo",MAX(K672/J672,0),MAX(J672/K672,0))),"") </f>
        <v/>
      </c>
      <c r="N672" s="5" t="inlineStr">
        <is>
          <t>%</t>
        </is>
      </c>
      <c r="O672" s="5" t="inlineStr">
        <is>
          <t>%</t>
        </is>
      </c>
      <c r="P672" s="5" t="n">
        <v>0</v>
      </c>
      <c r="Q672" s="5" t="n">
        <v>0</v>
      </c>
      <c r="R672" s="5" t="inlineStr">
        <is>
          <t>265-2024-12-31</t>
        </is>
      </c>
    </row>
    <row r="673">
      <c r="A673" s="5" t="n">
        <v>265</v>
      </c>
      <c r="B673" s="5" t="inlineStr">
        <is>
          <t>Eficiencia Emisión De Conceptos Jurídicos (Jurídicos)</t>
        </is>
      </c>
      <c r="C673" s="5" t="inlineStr">
        <is>
          <t>GESTIÓN JURÍDICA Y NORMATIVA</t>
        </is>
      </c>
      <c r="D673" s="5" t="inlineStr">
        <is>
          <t>Semestral</t>
        </is>
      </c>
      <c r="E673" s="5" t="inlineStr">
        <is>
          <t>Positivo</t>
        </is>
      </c>
      <c r="F673" s="107" t="n">
        <v>45838</v>
      </c>
      <c r="G673" s="5" t="n">
        <v>2025</v>
      </c>
      <c r="H673" s="5" t="inlineStr">
        <is>
          <t>Junio</t>
        </is>
      </c>
      <c r="I673" s="6" t="inlineStr">
        <is>
          <t>2025-1</t>
        </is>
      </c>
      <c r="J673" s="5" t="n">
        <v>95</v>
      </c>
      <c r="K673" s="5" t="n">
        <v>100</v>
      </c>
      <c r="L673" s="14">
        <f>IFERROR(IF(OR(J673=0,K673=""),"",IF(E673="Positivo",MIN(MAX(K673/J673,0),1.3),MIN(MAX(J673/K673,0),1.3))),"") </f>
        <v/>
      </c>
      <c r="M673" s="14">
        <f>IFERROR(IF(OR(J673=0,K673=""),"",IF(E673="Positivo",MAX(K673/J673,0),MAX(J673/K673,0))),"") </f>
        <v/>
      </c>
      <c r="N673" s="5" t="inlineStr">
        <is>
          <t>%</t>
        </is>
      </c>
      <c r="O673" s="5" t="inlineStr">
        <is>
          <t>%</t>
        </is>
      </c>
      <c r="P673" s="5" t="n">
        <v>0</v>
      </c>
      <c r="Q673" s="5" t="n">
        <v>0</v>
      </c>
      <c r="R673" s="5" t="inlineStr">
        <is>
          <t>265-2025-06-30</t>
        </is>
      </c>
    </row>
    <row r="674">
      <c r="A674" s="5" t="n">
        <v>265</v>
      </c>
      <c r="B674" s="5" t="inlineStr">
        <is>
          <t>Eficiencia Emisión De Conceptos Jurídicos (Jurídicos)</t>
        </is>
      </c>
      <c r="C674" s="5" t="inlineStr">
        <is>
          <t>GESTIÓN JURÍDICA Y NORMATIVA</t>
        </is>
      </c>
      <c r="D674" s="5" t="inlineStr">
        <is>
          <t>Semestral</t>
        </is>
      </c>
      <c r="E674" s="5" t="inlineStr">
        <is>
          <t>Positivo</t>
        </is>
      </c>
      <c r="F674" s="107" t="n">
        <v>46022</v>
      </c>
      <c r="G674" s="5" t="n">
        <v>2025</v>
      </c>
      <c r="H674" s="5" t="inlineStr">
        <is>
          <t>Diciembre</t>
        </is>
      </c>
      <c r="I674" s="6" t="inlineStr">
        <is>
          <t>2025-2</t>
        </is>
      </c>
      <c r="J674" s="5" t="n">
        <v>95</v>
      </c>
      <c r="K674" s="5" t="n">
        <v>100</v>
      </c>
      <c r="L674" s="14">
        <f>IFERROR(IF(OR(J674=0,K674=""),"",IF(E674="Positivo",MIN(MAX(K674/J674,0),1.3),MIN(MAX(J674/K674,0),1.3))),"") </f>
        <v/>
      </c>
      <c r="M674" s="14">
        <f>IFERROR(IF(OR(J674=0,K674=""),"",IF(E674="Positivo",MAX(K674/J674,0),MAX(J674/K674,0))),"") </f>
        <v/>
      </c>
      <c r="N674" s="5" t="inlineStr">
        <is>
          <t>%</t>
        </is>
      </c>
      <c r="O674" s="5" t="inlineStr">
        <is>
          <t>%</t>
        </is>
      </c>
      <c r="P674" s="5" t="n">
        <v>0</v>
      </c>
      <c r="Q674" s="5" t="n">
        <v>0</v>
      </c>
      <c r="R674" s="5" t="inlineStr">
        <is>
          <t>265-2025-12-31</t>
        </is>
      </c>
    </row>
    <row r="675">
      <c r="A675" s="28" t="n">
        <v>266</v>
      </c>
      <c r="B675" s="5" t="inlineStr">
        <is>
          <t>Oportunidad en la elaboración de contratos</t>
        </is>
      </c>
      <c r="C675" s="5" t="inlineStr">
        <is>
          <t>GESTIÓN JURÍDICA Y NORMATIVA</t>
        </is>
      </c>
      <c r="D675" s="5" t="inlineStr">
        <is>
          <t>Semestral</t>
        </is>
      </c>
      <c r="E675" s="5" t="inlineStr">
        <is>
          <t>Positivo</t>
        </is>
      </c>
      <c r="F675" s="107" t="n">
        <v>45107</v>
      </c>
      <c r="G675" s="5" t="n">
        <v>2023</v>
      </c>
      <c r="H675" s="5" t="inlineStr">
        <is>
          <t>Junio</t>
        </is>
      </c>
      <c r="I675" s="6" t="inlineStr">
        <is>
          <t>2023-1</t>
        </is>
      </c>
      <c r="J675" s="5" t="n">
        <v>95</v>
      </c>
      <c r="K675" s="11" t="n">
        <v>89.907038512616</v>
      </c>
      <c r="L675" s="14">
        <f>IFERROR(IF(OR(J675=0,K675=""),"",IF(E675="Positivo",MIN(MAX(K675/J675,0),1.3),MIN(MAX(J675/K675,0),1.3))),"") </f>
        <v/>
      </c>
      <c r="M675" s="14">
        <f>IFERROR(IF(OR(J675=0,K675=""),"",IF(E675="Positivo",MAX(K675/J675,0),MAX(J675/K675,0))),"") </f>
        <v/>
      </c>
      <c r="N675" s="5" t="inlineStr">
        <is>
          <t>%</t>
        </is>
      </c>
      <c r="O675" s="5" t="inlineStr">
        <is>
          <t>%</t>
        </is>
      </c>
      <c r="P675" s="5" t="n">
        <v>0</v>
      </c>
      <c r="Q675" s="5" t="n">
        <v>0</v>
      </c>
      <c r="R675" s="5" t="inlineStr">
        <is>
          <t>266-2023-06-30</t>
        </is>
      </c>
    </row>
    <row r="676">
      <c r="A676" s="26" t="n">
        <v>266</v>
      </c>
      <c r="B676" s="5" t="inlineStr">
        <is>
          <t>Oportunidad en la elaboración de contratos</t>
        </is>
      </c>
      <c r="C676" s="5" t="inlineStr">
        <is>
          <t>GESTIÓN JURÍDICA Y NORMATIVA</t>
        </is>
      </c>
      <c r="D676" s="5" t="inlineStr">
        <is>
          <t>Semestral</t>
        </is>
      </c>
      <c r="E676" s="5" t="inlineStr">
        <is>
          <t>Positivo</t>
        </is>
      </c>
      <c r="F676" s="107" t="n">
        <v>45291</v>
      </c>
      <c r="G676" s="5" t="n">
        <v>2023</v>
      </c>
      <c r="H676" s="5" t="inlineStr">
        <is>
          <t>Diciembre</t>
        </is>
      </c>
      <c r="I676" s="6" t="inlineStr">
        <is>
          <t>2023-2</t>
        </is>
      </c>
      <c r="J676" s="5" t="n">
        <v>95</v>
      </c>
      <c r="K676" s="11" t="n">
        <v>97.06999999999999</v>
      </c>
      <c r="L676" s="14">
        <f>IFERROR(IF(OR(J676=0,K676=""),"",IF(E676="Positivo",MIN(MAX(K676/J676,0),1.3),MIN(MAX(J676/K676,0),1.3))),"") </f>
        <v/>
      </c>
      <c r="M676" s="14">
        <f>IFERROR(IF(OR(J676=0,K676=""),"",IF(E676="Positivo",MAX(K676/J676,0),MAX(J676/K676,0))),"") </f>
        <v/>
      </c>
      <c r="N676" s="5" t="inlineStr">
        <is>
          <t>%</t>
        </is>
      </c>
      <c r="O676" s="5" t="inlineStr">
        <is>
          <t>%</t>
        </is>
      </c>
      <c r="P676" s="5" t="n">
        <v>0</v>
      </c>
      <c r="Q676" s="5" t="n">
        <v>0</v>
      </c>
      <c r="R676" s="5" t="inlineStr">
        <is>
          <t>266-2023-12-31</t>
        </is>
      </c>
    </row>
    <row r="677">
      <c r="A677" s="5" t="n">
        <v>266</v>
      </c>
      <c r="B677" s="5" t="inlineStr">
        <is>
          <t>Oportunidad en la elaboración de contratos</t>
        </is>
      </c>
      <c r="C677" s="5" t="inlineStr">
        <is>
          <t>GESTIÓN JURÍDICA Y NORMATIVA</t>
        </is>
      </c>
      <c r="D677" s="5" t="inlineStr">
        <is>
          <t>Semestral</t>
        </is>
      </c>
      <c r="E677" s="5" t="inlineStr">
        <is>
          <t>Positivo</t>
        </is>
      </c>
      <c r="F677" s="107" t="n">
        <v>45473</v>
      </c>
      <c r="G677" s="5" t="n">
        <v>2024</v>
      </c>
      <c r="H677" s="5" t="inlineStr">
        <is>
          <t>Junio</t>
        </is>
      </c>
      <c r="I677" s="6" t="inlineStr">
        <is>
          <t>2024-1</t>
        </is>
      </c>
      <c r="J677" s="73" t="n">
        <v>95</v>
      </c>
      <c r="K677" s="9" t="n">
        <v>95.02</v>
      </c>
      <c r="L677" s="14">
        <f>IFERROR(IF(OR(J677=0,K677=""),"",IF(E677="Positivo",MIN(MAX(K677/J677,0),1.3),MIN(MAX(J677/K677,0),1.3))),"") </f>
        <v/>
      </c>
      <c r="M677" s="14">
        <f>IFERROR(IF(OR(J677=0,K677=""),"",IF(E677="Positivo",MAX(K677/J677,0),MAX(J677/K677,0))),"") </f>
        <v/>
      </c>
      <c r="N677" s="5" t="inlineStr">
        <is>
          <t>%</t>
        </is>
      </c>
      <c r="O677" s="5" t="inlineStr">
        <is>
          <t>%</t>
        </is>
      </c>
      <c r="P677" s="5" t="n">
        <v>0</v>
      </c>
      <c r="Q677" s="5" t="n">
        <v>0</v>
      </c>
      <c r="R677" s="5" t="inlineStr">
        <is>
          <t>266-2024-06-30</t>
        </is>
      </c>
    </row>
    <row r="678">
      <c r="A678" s="5" t="n">
        <v>266</v>
      </c>
      <c r="B678" s="5" t="inlineStr">
        <is>
          <t>Oportunidad en la elaboración de contratos</t>
        </is>
      </c>
      <c r="C678" s="5" t="inlineStr">
        <is>
          <t>GESTIÓN JURÍDICA Y NORMATIVA</t>
        </is>
      </c>
      <c r="D678" s="5" t="inlineStr">
        <is>
          <t>Semestral</t>
        </is>
      </c>
      <c r="E678" s="5" t="inlineStr">
        <is>
          <t>Positivo</t>
        </is>
      </c>
      <c r="F678" s="107" t="n">
        <v>45657</v>
      </c>
      <c r="G678" s="5" t="n">
        <v>2024</v>
      </c>
      <c r="H678" s="5" t="inlineStr">
        <is>
          <t>Diciembre</t>
        </is>
      </c>
      <c r="I678" s="6" t="inlineStr">
        <is>
          <t>2024-2</t>
        </is>
      </c>
      <c r="J678" s="73" t="n">
        <v>95</v>
      </c>
      <c r="K678" s="9" t="n">
        <v>81.93000000000001</v>
      </c>
      <c r="L678" s="14">
        <f>IFERROR(IF(OR(J678=0,K678=""),"",IF(E678="Positivo",MIN(MAX(K678/J678,0),1.3),MIN(MAX(J678/K678,0),1.3))),"") </f>
        <v/>
      </c>
      <c r="M678" s="14">
        <f>IFERROR(IF(OR(J678=0,K678=""),"",IF(E678="Positivo",MAX(K678/J678,0),MAX(J678/K678,0))),"") </f>
        <v/>
      </c>
      <c r="N678" s="5" t="inlineStr">
        <is>
          <t>%</t>
        </is>
      </c>
      <c r="O678" s="5" t="inlineStr">
        <is>
          <t>%</t>
        </is>
      </c>
      <c r="P678" s="5" t="n">
        <v>0</v>
      </c>
      <c r="Q678" s="5" t="n">
        <v>0</v>
      </c>
      <c r="R678" s="5" t="inlineStr">
        <is>
          <t>266-2024-12-31</t>
        </is>
      </c>
    </row>
    <row r="679">
      <c r="A679" s="28" t="n">
        <v>266</v>
      </c>
      <c r="B679" s="5" t="inlineStr">
        <is>
          <t>Oportunidad en la elaboración de contratos</t>
        </is>
      </c>
      <c r="C679" s="5" t="inlineStr">
        <is>
          <t>GESTIÓN JURÍDICA Y NORMATIVA</t>
        </is>
      </c>
      <c r="D679" s="5" t="inlineStr">
        <is>
          <t>Semestral</t>
        </is>
      </c>
      <c r="E679" s="5" t="inlineStr">
        <is>
          <t>Positivo</t>
        </is>
      </c>
      <c r="F679" s="107" t="n">
        <v>45838</v>
      </c>
      <c r="G679" s="5" t="n">
        <v>2025</v>
      </c>
      <c r="H679" s="5" t="inlineStr">
        <is>
          <t>Junio</t>
        </is>
      </c>
      <c r="I679" s="6" t="inlineStr">
        <is>
          <t>2025-1</t>
        </is>
      </c>
      <c r="J679" s="5" t="n">
        <v>95</v>
      </c>
      <c r="K679" s="5" t="n">
        <v>53.15</v>
      </c>
      <c r="L679" s="74">
        <f>IFERROR(IF(OR(J679=0,K679=""),"",IF(E679="Positivo",MIN(MAX(K679/J679,0),1.3),MIN(MAX(J679/K679,0),1.3))),"") </f>
        <v/>
      </c>
      <c r="M679" s="14">
        <f>IFERROR(IF(OR(J679=0,K679=""),"",IF(E679="Positivo",MAX(K679/J679,0),MAX(J679/K679,0))),"") </f>
        <v/>
      </c>
      <c r="N679" s="5" t="inlineStr">
        <is>
          <t>%</t>
        </is>
      </c>
      <c r="O679" s="5" t="inlineStr">
        <is>
          <t>%</t>
        </is>
      </c>
      <c r="P679" s="5" t="n">
        <v>0</v>
      </c>
      <c r="Q679" s="5" t="n">
        <v>0</v>
      </c>
      <c r="R679" s="5" t="inlineStr">
        <is>
          <t>266-2025-06-30</t>
        </is>
      </c>
    </row>
    <row r="680">
      <c r="A680" s="26" t="n">
        <v>266</v>
      </c>
      <c r="B680" s="5" t="inlineStr">
        <is>
          <t>Oportunidad en la elaboración de contratos</t>
        </is>
      </c>
      <c r="C680" s="5" t="inlineStr">
        <is>
          <t>GESTIÓN JURÍDICA Y NORMATIVA</t>
        </is>
      </c>
      <c r="D680" s="5" t="inlineStr">
        <is>
          <t>Semestral</t>
        </is>
      </c>
      <c r="E680" s="5" t="inlineStr">
        <is>
          <t>Positivo</t>
        </is>
      </c>
      <c r="F680" s="107" t="n">
        <v>46022</v>
      </c>
      <c r="G680" s="5" t="n">
        <v>2025</v>
      </c>
      <c r="H680" s="5" t="inlineStr">
        <is>
          <t>Diciembre</t>
        </is>
      </c>
      <c r="I680" s="6" t="inlineStr">
        <is>
          <t>2025-2</t>
        </is>
      </c>
      <c r="J680" s="5" t="n">
        <v>95</v>
      </c>
      <c r="K680" s="5" t="n">
        <v>88.09999999999999</v>
      </c>
      <c r="L680" s="74">
        <f>IFERROR(IF(OR(J680=0,K680=""),"",IF(E680="Positivo",MIN(MAX(K680/J680,0),1.3),MIN(MAX(J680/K680,0),1.3))),"") </f>
        <v/>
      </c>
      <c r="M680" s="14">
        <f>IFERROR(IF(OR(J680=0,K680=""),"",IF(E680="Positivo",MAX(K680/J680,0),MAX(J680/K680,0))),"") </f>
        <v/>
      </c>
      <c r="N680" s="5" t="inlineStr">
        <is>
          <t>%</t>
        </is>
      </c>
      <c r="O680" s="5" t="inlineStr">
        <is>
          <t>%</t>
        </is>
      </c>
      <c r="P680" s="5" t="n">
        <v>0</v>
      </c>
      <c r="Q680" s="5" t="n">
        <v>0</v>
      </c>
      <c r="R680" s="5" t="inlineStr">
        <is>
          <t>266-2025-12-31</t>
        </is>
      </c>
    </row>
    <row r="681">
      <c r="A681" s="5" t="n">
        <v>267</v>
      </c>
      <c r="B681" s="5" t="inlineStr">
        <is>
          <t>Satisfacción procesos de Homologaciones</t>
        </is>
      </c>
      <c r="C681" s="5" t="inlineStr">
        <is>
          <t>Registro y Control</t>
        </is>
      </c>
      <c r="D681" s="5" t="inlineStr">
        <is>
          <t>Anual</t>
        </is>
      </c>
      <c r="E681" s="5" t="inlineStr">
        <is>
          <t>Positivo</t>
        </is>
      </c>
      <c r="F681" s="107" t="n">
        <v>45291</v>
      </c>
      <c r="G681" s="5" t="n">
        <v>2023</v>
      </c>
      <c r="H681" s="5" t="inlineStr">
        <is>
          <t>Diciembre</t>
        </is>
      </c>
      <c r="I681" s="6" t="inlineStr">
        <is>
          <t>2023-2</t>
        </is>
      </c>
      <c r="J681" s="5" t="n"/>
      <c r="K681" s="5" t="n">
        <v>0</v>
      </c>
      <c r="L681" s="14" t="n"/>
      <c r="M681" s="14" t="n"/>
      <c r="N681" s="5" t="n"/>
      <c r="O681" s="5" t="n"/>
      <c r="P681" s="5" t="n">
        <v>0</v>
      </c>
      <c r="Q681" s="5" t="n">
        <v>0</v>
      </c>
      <c r="R681" s="5" t="inlineStr">
        <is>
          <t>267-2023-12-31</t>
        </is>
      </c>
    </row>
    <row r="682">
      <c r="A682" s="5" t="n">
        <v>268</v>
      </c>
      <c r="B682" s="5" t="inlineStr">
        <is>
          <t>Cantidad de usuarios</t>
        </is>
      </c>
      <c r="C682" s="5" t="inlineStr">
        <is>
          <t>Centro de Medios Audiovisuales</t>
        </is>
      </c>
      <c r="D682" s="5" t="inlineStr">
        <is>
          <t>Semestral</t>
        </is>
      </c>
      <c r="E682" s="5" t="inlineStr">
        <is>
          <t>Positivo</t>
        </is>
      </c>
      <c r="F682" s="107" t="n">
        <v>45107</v>
      </c>
      <c r="G682" s="5" t="n">
        <v>2023</v>
      </c>
      <c r="H682" s="5" t="inlineStr">
        <is>
          <t>Junio</t>
        </is>
      </c>
      <c r="I682" s="6" t="inlineStr">
        <is>
          <t>2023-1</t>
        </is>
      </c>
      <c r="J682" s="5" t="n">
        <v>0</v>
      </c>
      <c r="K682" s="5" t="n">
        <v>661</v>
      </c>
      <c r="L682" s="14">
        <f>IFERROR(IF(OR(J682=0,K682=""),"",IF(E682="Positivo",MIN(MAX(K682/J682,0),1.3),MIN(MAX(J682/K682,0),1.3))),"") </f>
        <v/>
      </c>
      <c r="M682" s="14">
        <f>IFERROR(IF(OR(J682=0,K682=""),"",IF(E682="Positivo",MAX(K682/J682,0),MAX(J682/K682,0))),"") </f>
        <v/>
      </c>
      <c r="N682" s="5" t="n"/>
      <c r="O682" s="5" t="n"/>
      <c r="P682" s="5" t="n">
        <v>0</v>
      </c>
      <c r="Q682" s="5" t="n">
        <v>0</v>
      </c>
      <c r="R682" s="5" t="inlineStr">
        <is>
          <t>268-2023-06-30</t>
        </is>
      </c>
    </row>
    <row r="683">
      <c r="A683" s="26" t="n">
        <v>268</v>
      </c>
      <c r="B683" s="5" t="inlineStr">
        <is>
          <t>Cantidad de usuarios</t>
        </is>
      </c>
      <c r="C683" s="5" t="inlineStr">
        <is>
          <t>Centro de Medios Audiovisuales</t>
        </is>
      </c>
      <c r="D683" s="5" t="inlineStr">
        <is>
          <t>Semestral</t>
        </is>
      </c>
      <c r="E683" s="5" t="inlineStr">
        <is>
          <t>Positivo</t>
        </is>
      </c>
      <c r="F683" s="107" t="n">
        <v>45291</v>
      </c>
      <c r="G683" s="5" t="n">
        <v>2023</v>
      </c>
      <c r="H683" s="5" t="inlineStr">
        <is>
          <t>Diciembre</t>
        </is>
      </c>
      <c r="I683" s="6" t="inlineStr">
        <is>
          <t>2023-2</t>
        </is>
      </c>
      <c r="J683" s="5" t="n">
        <v>0</v>
      </c>
      <c r="K683" s="5" t="n">
        <v>727</v>
      </c>
      <c r="L683" s="14">
        <f>IFERROR(IF(OR(J683=0,K683=""),"",IF(E683="Positivo",MIN(MAX(K683/J683,0),1.3),MIN(MAX(J683/K683,0),1.3))),"") </f>
        <v/>
      </c>
      <c r="M683" s="14">
        <f>IFERROR(IF(OR(J683=0,K683=""),"",IF(E683="Positivo",MAX(K683/J683,0),MAX(J683/K683,0))),"") </f>
        <v/>
      </c>
      <c r="N683" s="5" t="n"/>
      <c r="O683" s="5" t="n"/>
      <c r="P683" s="5" t="n">
        <v>0</v>
      </c>
      <c r="Q683" s="5" t="n">
        <v>0</v>
      </c>
      <c r="R683" s="5" t="inlineStr">
        <is>
          <t>268-2023-12-31</t>
        </is>
      </c>
    </row>
    <row r="684">
      <c r="A684" s="26" t="n">
        <v>268</v>
      </c>
      <c r="B684" s="5" t="inlineStr">
        <is>
          <t>Cantidad de usuarios</t>
        </is>
      </c>
      <c r="C684" s="5" t="inlineStr">
        <is>
          <t>Centro de Medios Audiovisuales</t>
        </is>
      </c>
      <c r="D684" s="5" t="inlineStr">
        <is>
          <t>Semestral</t>
        </is>
      </c>
      <c r="E684" s="5" t="inlineStr">
        <is>
          <t>Positivo</t>
        </is>
      </c>
      <c r="F684" s="107" t="n">
        <v>45473</v>
      </c>
      <c r="G684" s="5" t="n">
        <v>2024</v>
      </c>
      <c r="H684" s="5" t="inlineStr">
        <is>
          <t>Junio</t>
        </is>
      </c>
      <c r="I684" s="6" t="inlineStr">
        <is>
          <t>2024-1</t>
        </is>
      </c>
      <c r="J684" s="5" t="n">
        <v>0</v>
      </c>
      <c r="K684" s="5" t="n">
        <v>743</v>
      </c>
      <c r="L684" s="74">
        <f>IFERROR(IF(OR(J684=0,K684=""),"",IF(E684="Positivo",MIN(MAX(K684/J684,0),1.3),MIN(MAX(J684/K684,0),1.3))),"") </f>
        <v/>
      </c>
      <c r="M684" s="14">
        <f>IFERROR(IF(OR(J684=0,K684=""),"",IF(E684="Positivo",MAX(K684/J684,0),MAX(J684/K684,0))),"") </f>
        <v/>
      </c>
      <c r="N684" s="5" t="n"/>
      <c r="O684" s="5" t="n"/>
      <c r="P684" s="5" t="n">
        <v>0</v>
      </c>
      <c r="Q684" s="5" t="n">
        <v>0</v>
      </c>
      <c r="R684" s="5" t="inlineStr">
        <is>
          <t>268-2024-06-30</t>
        </is>
      </c>
    </row>
    <row r="685">
      <c r="A685" s="5" t="n">
        <v>268</v>
      </c>
      <c r="B685" s="5" t="inlineStr">
        <is>
          <t>Cantidad de usuarios</t>
        </is>
      </c>
      <c r="C685" s="5" t="inlineStr">
        <is>
          <t>Centro de Medios Audiovisuales</t>
        </is>
      </c>
      <c r="D685" s="5" t="inlineStr">
        <is>
          <t>Semestral</t>
        </is>
      </c>
      <c r="E685" s="5" t="inlineStr">
        <is>
          <t>Positivo</t>
        </is>
      </c>
      <c r="F685" s="107" t="n">
        <v>45657</v>
      </c>
      <c r="G685" s="5" t="n">
        <v>2024</v>
      </c>
      <c r="H685" s="5" t="inlineStr">
        <is>
          <t>Diciembre</t>
        </is>
      </c>
      <c r="I685" s="6" t="inlineStr">
        <is>
          <t>2024-2</t>
        </is>
      </c>
      <c r="J685" s="5" t="n">
        <v>0</v>
      </c>
      <c r="K685" s="5" t="n">
        <v>732</v>
      </c>
      <c r="L685" s="14">
        <f>IFERROR(IF(OR(J685=0,K685=""),"",IF(E685="Positivo",MIN(MAX(K685/J685,0),1.3),MIN(MAX(J685/K685,0),1.3))),"") </f>
        <v/>
      </c>
      <c r="M685" s="14">
        <f>IFERROR(IF(OR(J685=0,K685=""),"",IF(E685="Positivo",MAX(K685/J685,0),MAX(J685/K685,0))),"") </f>
        <v/>
      </c>
      <c r="N685" s="5" t="n"/>
      <c r="O685" s="5" t="n"/>
      <c r="P685" s="5" t="n">
        <v>0</v>
      </c>
      <c r="Q685" s="5" t="n">
        <v>0</v>
      </c>
      <c r="R685" s="5" t="inlineStr">
        <is>
          <t>268-2024-12-31</t>
        </is>
      </c>
    </row>
    <row r="686">
      <c r="A686" s="26" t="n">
        <v>268</v>
      </c>
      <c r="B686" s="5" t="inlineStr">
        <is>
          <t>Cantidad de usuarios - (Metrica)</t>
        </is>
      </c>
      <c r="C686" s="5" t="inlineStr">
        <is>
          <t>Centro de Medios Audiovisuales</t>
        </is>
      </c>
      <c r="D686" s="5" t="inlineStr">
        <is>
          <t>Trimestral</t>
        </is>
      </c>
      <c r="E686" s="5" t="inlineStr">
        <is>
          <t>Positivo</t>
        </is>
      </c>
      <c r="F686" s="107" t="n">
        <v>45838</v>
      </c>
      <c r="G686" s="5" t="n">
        <v>2025</v>
      </c>
      <c r="H686" s="5" t="inlineStr">
        <is>
          <t>Junio</t>
        </is>
      </c>
      <c r="I686" s="6" t="inlineStr">
        <is>
          <t>2025-1</t>
        </is>
      </c>
      <c r="J686" s="5" t="n"/>
      <c r="K686" s="5" t="n">
        <v>765</v>
      </c>
      <c r="L686" s="14" t="n"/>
      <c r="M686" s="14" t="n"/>
      <c r="N686" s="5" t="inlineStr">
        <is>
          <t>%</t>
        </is>
      </c>
      <c r="O686" s="5" t="inlineStr">
        <is>
          <t>ENT</t>
        </is>
      </c>
      <c r="P686" s="5" t="n">
        <v>0</v>
      </c>
      <c r="Q686" s="5" t="n">
        <v>0</v>
      </c>
      <c r="R686" s="5" t="inlineStr">
        <is>
          <t>268-2025-06-30</t>
        </is>
      </c>
      <c r="S686" t="inlineStr">
        <is>
          <t>Metrica</t>
        </is>
      </c>
    </row>
    <row r="687">
      <c r="A687" s="26" t="n">
        <v>268</v>
      </c>
      <c r="B687" s="5" t="inlineStr">
        <is>
          <t>Cantidad de usuarios - (Metrica)</t>
        </is>
      </c>
      <c r="C687" s="5" t="inlineStr">
        <is>
          <t>Centro de Medios Audiovisuales</t>
        </is>
      </c>
      <c r="D687" s="5" t="inlineStr">
        <is>
          <t>Trimestral</t>
        </is>
      </c>
      <c r="E687" s="5" t="inlineStr">
        <is>
          <t>Positivo</t>
        </is>
      </c>
      <c r="F687" s="107" t="n">
        <v>46022</v>
      </c>
      <c r="G687" s="5" t="n">
        <v>2025</v>
      </c>
      <c r="H687" s="5" t="inlineStr">
        <is>
          <t>Diciembre</t>
        </is>
      </c>
      <c r="I687" s="6" t="inlineStr">
        <is>
          <t>2025-2</t>
        </is>
      </c>
      <c r="J687" s="5" t="n"/>
      <c r="K687" s="5" t="n">
        <v>877</v>
      </c>
      <c r="L687" s="14" t="n"/>
      <c r="M687" s="14" t="n"/>
      <c r="N687" s="5" t="inlineStr">
        <is>
          <t>%</t>
        </is>
      </c>
      <c r="O687" s="5" t="inlineStr">
        <is>
          <t>ENT</t>
        </is>
      </c>
      <c r="P687" s="5" t="n">
        <v>0</v>
      </c>
      <c r="Q687" s="5" t="n">
        <v>0</v>
      </c>
      <c r="R687" s="5" t="inlineStr">
        <is>
          <t>268-2025-12-31</t>
        </is>
      </c>
      <c r="S687" t="inlineStr">
        <is>
          <t>Metrica</t>
        </is>
      </c>
    </row>
    <row r="688">
      <c r="A688" s="5" t="n">
        <v>269</v>
      </c>
      <c r="B688" s="5" t="inlineStr">
        <is>
          <t>N de personas promedio por evento</t>
        </is>
      </c>
      <c r="C688" s="5" t="inlineStr">
        <is>
          <t>Centro de Medios Audiovisuales</t>
        </is>
      </c>
      <c r="D688" s="5" t="inlineStr">
        <is>
          <t>Semestral</t>
        </is>
      </c>
      <c r="E688" s="5" t="inlineStr">
        <is>
          <t>Positivo</t>
        </is>
      </c>
      <c r="F688" s="107" t="n">
        <v>45107</v>
      </c>
      <c r="G688" s="5" t="n">
        <v>2023</v>
      </c>
      <c r="H688" s="5" t="inlineStr">
        <is>
          <t>Junio</t>
        </is>
      </c>
      <c r="I688" s="6" t="inlineStr">
        <is>
          <t>2023-1</t>
        </is>
      </c>
      <c r="J688" s="5" t="n">
        <v>0</v>
      </c>
      <c r="K688" s="5" t="n">
        <v>0.4</v>
      </c>
      <c r="L688" s="14">
        <f>IFERROR(IF(OR(J688=0,K688=""),"",IF(E688="Positivo",MIN(MAX(K688/J688,0),1.3),MIN(MAX(J688/K688,0),1.3))),"") </f>
        <v/>
      </c>
      <c r="M688" s="14">
        <f>IFERROR(IF(OR(J688=0,K688=""),"",IF(E688="Positivo",MAX(K688/J688,0),MAX(J688/K688,0))),"") </f>
        <v/>
      </c>
      <c r="N688" s="5" t="inlineStr">
        <is>
          <t>DEC</t>
        </is>
      </c>
      <c r="O688" s="5" t="inlineStr">
        <is>
          <t>DEC</t>
        </is>
      </c>
      <c r="P688" s="5" t="n">
        <v>2</v>
      </c>
      <c r="Q688" s="5" t="n">
        <v>2</v>
      </c>
      <c r="R688" s="5" t="inlineStr">
        <is>
          <t>269-2023-06-30</t>
        </is>
      </c>
    </row>
    <row r="689">
      <c r="A689" s="5" t="n">
        <v>269</v>
      </c>
      <c r="B689" s="5" t="inlineStr">
        <is>
          <t>N de personas promedio por evento</t>
        </is>
      </c>
      <c r="C689" s="5" t="inlineStr">
        <is>
          <t>Centro de Medios Audiovisuales</t>
        </is>
      </c>
      <c r="D689" s="5" t="inlineStr">
        <is>
          <t>Semestral</t>
        </is>
      </c>
      <c r="E689" s="5" t="inlineStr">
        <is>
          <t>Positivo</t>
        </is>
      </c>
      <c r="F689" s="107" t="n">
        <v>45291</v>
      </c>
      <c r="G689" s="5" t="n">
        <v>2023</v>
      </c>
      <c r="H689" s="5" t="inlineStr">
        <is>
          <t>Diciembre</t>
        </is>
      </c>
      <c r="I689" s="6" t="inlineStr">
        <is>
          <t>2023-2</t>
        </is>
      </c>
      <c r="J689" s="5" t="n">
        <v>0</v>
      </c>
      <c r="K689" s="5" t="n">
        <v>1.276978417266187</v>
      </c>
      <c r="L689" s="14">
        <f>IFERROR(IF(OR(J689=0,K689=""),"",IF(E689="Positivo",MIN(MAX(K689/J689,0),1.3),MIN(MAX(J689/K689,0),1.3))),"") </f>
        <v/>
      </c>
      <c r="M689" s="14">
        <f>IFERROR(IF(OR(J689=0,K689=""),"",IF(E689="Positivo",MAX(K689/J689,0),MAX(J689/K689,0))),"") </f>
        <v/>
      </c>
      <c r="N689" s="5" t="inlineStr">
        <is>
          <t>DEC</t>
        </is>
      </c>
      <c r="O689" s="5" t="inlineStr">
        <is>
          <t>DEC</t>
        </is>
      </c>
      <c r="P689" s="5" t="n">
        <v>2</v>
      </c>
      <c r="Q689" s="5" t="n">
        <v>2</v>
      </c>
      <c r="R689" s="5" t="inlineStr">
        <is>
          <t>269-2023-12-31</t>
        </is>
      </c>
    </row>
    <row r="690">
      <c r="A690" s="34" t="n">
        <v>269</v>
      </c>
      <c r="B690" s="5" t="inlineStr">
        <is>
          <t>N de personas promedio por evento</t>
        </is>
      </c>
      <c r="C690" s="5" t="inlineStr">
        <is>
          <t>Centro de Medios Audiovisuales</t>
        </is>
      </c>
      <c r="D690" s="5" t="inlineStr">
        <is>
          <t>Semestral</t>
        </is>
      </c>
      <c r="E690" s="5" t="inlineStr">
        <is>
          <t>Positivo</t>
        </is>
      </c>
      <c r="F690" s="107" t="n">
        <v>45473</v>
      </c>
      <c r="G690" s="5" t="n">
        <v>2024</v>
      </c>
      <c r="H690" s="5" t="inlineStr">
        <is>
          <t>Junio</t>
        </is>
      </c>
      <c r="I690" s="6" t="inlineStr">
        <is>
          <t>2024-1</t>
        </is>
      </c>
      <c r="J690" s="5" t="n">
        <v>0</v>
      </c>
      <c r="K690" s="5" t="n">
        <v>3</v>
      </c>
      <c r="L690" s="74">
        <f>IFERROR(IF(OR(J690=0,K690=""),"",IF(E690="Positivo",MIN(MAX(K690/J690,0),1.3),MIN(MAX(J690/K690,0),1.3))),"") </f>
        <v/>
      </c>
      <c r="M690" s="14">
        <f>IFERROR(IF(OR(J690=0,K690=""),"",IF(E690="Positivo",MAX(K690/J690,0),MAX(J690/K690,0))),"") </f>
        <v/>
      </c>
      <c r="N690" s="5" t="n"/>
      <c r="O690" s="5" t="n"/>
      <c r="P690" s="5" t="n">
        <v>0</v>
      </c>
      <c r="Q690" s="5" t="n">
        <v>0</v>
      </c>
      <c r="R690" s="5" t="inlineStr">
        <is>
          <t>269-2024-06-30</t>
        </is>
      </c>
    </row>
    <row r="691">
      <c r="A691" s="26" t="n">
        <v>269</v>
      </c>
      <c r="B691" s="5" t="inlineStr">
        <is>
          <t>N de personas promedio por evento</t>
        </is>
      </c>
      <c r="C691" s="5" t="inlineStr">
        <is>
          <t>Centro de Medios Audiovisuales</t>
        </is>
      </c>
      <c r="D691" s="5" t="inlineStr">
        <is>
          <t>Semestral</t>
        </is>
      </c>
      <c r="E691" s="5" t="inlineStr">
        <is>
          <t>Positivo</t>
        </is>
      </c>
      <c r="F691" s="107" t="n">
        <v>45657</v>
      </c>
      <c r="G691" s="5" t="n">
        <v>2024</v>
      </c>
      <c r="H691" s="5" t="inlineStr">
        <is>
          <t>Diciembre</t>
        </is>
      </c>
      <c r="I691" s="6" t="inlineStr">
        <is>
          <t>2024-2</t>
        </is>
      </c>
      <c r="J691" s="5" t="n"/>
      <c r="K691" s="5" t="n">
        <v>1.28</v>
      </c>
      <c r="L691" s="74" t="n"/>
      <c r="M691" s="14" t="n"/>
      <c r="N691" s="5" t="n"/>
      <c r="O691" s="5" t="n"/>
      <c r="P691" s="5" t="n">
        <v>0</v>
      </c>
      <c r="Q691" s="5" t="n">
        <v>0</v>
      </c>
      <c r="R691" s="5" t="inlineStr">
        <is>
          <t>269-2024-12-31</t>
        </is>
      </c>
    </row>
    <row r="692">
      <c r="A692" s="28" t="n">
        <v>269</v>
      </c>
      <c r="B692" s="5" t="inlineStr">
        <is>
          <t>N de personas promedio por evento - (Metrica)</t>
        </is>
      </c>
      <c r="C692" s="5" t="inlineStr">
        <is>
          <t>Centro de Medios Audiovisuales</t>
        </is>
      </c>
      <c r="D692" s="5" t="inlineStr">
        <is>
          <t>Trimestral</t>
        </is>
      </c>
      <c r="E692" s="5" t="inlineStr">
        <is>
          <t>Positivo</t>
        </is>
      </c>
      <c r="F692" s="107" t="n">
        <v>45838</v>
      </c>
      <c r="G692" s="5" t="n">
        <v>2025</v>
      </c>
      <c r="H692" s="5" t="inlineStr">
        <is>
          <t>Junio</t>
        </is>
      </c>
      <c r="I692" s="6" t="inlineStr">
        <is>
          <t>2025-1</t>
        </is>
      </c>
      <c r="J692" s="5" t="n">
        <v>368</v>
      </c>
      <c r="K692" s="5" t="n">
        <v>1.83</v>
      </c>
      <c r="L692" s="74" t="n"/>
      <c r="M692" s="14" t="n"/>
      <c r="N692" s="5" t="inlineStr">
        <is>
          <t>DEC</t>
        </is>
      </c>
      <c r="O692" s="5" t="inlineStr">
        <is>
          <t>DEC</t>
        </is>
      </c>
      <c r="P692" s="5" t="n">
        <v>2</v>
      </c>
      <c r="Q692" s="5" t="n">
        <v>2</v>
      </c>
      <c r="R692" s="5" t="inlineStr">
        <is>
          <t>269-2025-06-30</t>
        </is>
      </c>
      <c r="S692" t="inlineStr">
        <is>
          <t>Metrica</t>
        </is>
      </c>
    </row>
    <row r="693">
      <c r="A693" s="26" t="n">
        <v>269</v>
      </c>
      <c r="B693" s="5" t="inlineStr">
        <is>
          <t>N de personas promedio por evento - (Metrica)</t>
        </is>
      </c>
      <c r="C693" s="5" t="inlineStr">
        <is>
          <t>Centro de Medios Audiovisuales</t>
        </is>
      </c>
      <c r="D693" s="5" t="inlineStr">
        <is>
          <t>Trimestral</t>
        </is>
      </c>
      <c r="E693" s="5" t="inlineStr">
        <is>
          <t>Positivo</t>
        </is>
      </c>
      <c r="F693" s="107" t="n">
        <v>46022</v>
      </c>
      <c r="G693" s="5" t="n">
        <v>2025</v>
      </c>
      <c r="H693" s="5" t="inlineStr">
        <is>
          <t>Diciembre</t>
        </is>
      </c>
      <c r="I693" s="6" t="inlineStr">
        <is>
          <t>2025-2</t>
        </is>
      </c>
      <c r="J693" s="5" t="n">
        <v>545</v>
      </c>
      <c r="K693" s="5" t="n">
        <v>1.65</v>
      </c>
      <c r="L693" s="74" t="n"/>
      <c r="M693" s="14" t="n"/>
      <c r="N693" s="5" t="inlineStr">
        <is>
          <t>DEC</t>
        </is>
      </c>
      <c r="O693" s="5" t="inlineStr">
        <is>
          <t>DEC</t>
        </is>
      </c>
      <c r="P693" s="5" t="n">
        <v>2</v>
      </c>
      <c r="Q693" s="5" t="n">
        <v>2</v>
      </c>
      <c r="R693" s="5" t="inlineStr">
        <is>
          <t>269-2025-12-31</t>
        </is>
      </c>
      <c r="S693" t="inlineStr">
        <is>
          <t>Metrica</t>
        </is>
      </c>
    </row>
    <row r="694">
      <c r="A694" s="5" t="n">
        <v>270</v>
      </c>
      <c r="B694" s="5" t="inlineStr">
        <is>
          <t>N de horas promedio por evento</t>
        </is>
      </c>
      <c r="C694" s="5" t="inlineStr">
        <is>
          <t>Centro de Medios Audiovisuales</t>
        </is>
      </c>
      <c r="D694" s="5" t="inlineStr">
        <is>
          <t>Semestral</t>
        </is>
      </c>
      <c r="E694" s="5" t="inlineStr">
        <is>
          <t>Positivo</t>
        </is>
      </c>
      <c r="F694" s="107" t="n">
        <v>45107</v>
      </c>
      <c r="G694" s="5" t="n">
        <v>2023</v>
      </c>
      <c r="H694" s="5" t="inlineStr">
        <is>
          <t>Junio</t>
        </is>
      </c>
      <c r="I694" s="6" t="inlineStr">
        <is>
          <t>2023-1</t>
        </is>
      </c>
      <c r="J694" s="5" t="n">
        <v>0</v>
      </c>
      <c r="K694" s="5" t="n">
        <v>6.55</v>
      </c>
      <c r="L694" s="14">
        <f>IFERROR(IF(OR(J694=0,K694=""),"",IF(E694="Positivo",MIN(MAX(K694/J694,0),1.3),MIN(MAX(J694/K694,0),1.3))),"") </f>
        <v/>
      </c>
      <c r="M694" s="14">
        <f>IFERROR(IF(OR(J694=0,K694=""),"",IF(E694="Positivo",MAX(K694/J694,0),MAX(J694/K694,0))),"") </f>
        <v/>
      </c>
      <c r="N694" s="5" t="n"/>
      <c r="O694" s="5" t="n"/>
      <c r="P694" s="5" t="n">
        <v>1</v>
      </c>
      <c r="Q694" s="5" t="n">
        <v>1</v>
      </c>
      <c r="R694" s="5" t="inlineStr">
        <is>
          <t>270-2023-06-30</t>
        </is>
      </c>
    </row>
    <row r="695">
      <c r="A695" s="5" t="n">
        <v>270</v>
      </c>
      <c r="B695" s="5" t="inlineStr">
        <is>
          <t>N de horas promedio por evento</t>
        </is>
      </c>
      <c r="C695" s="5" t="inlineStr">
        <is>
          <t>Centro de Medios Audiovisuales</t>
        </is>
      </c>
      <c r="D695" s="5" t="inlineStr">
        <is>
          <t>Semestral</t>
        </is>
      </c>
      <c r="E695" s="5" t="inlineStr">
        <is>
          <t>Positivo</t>
        </is>
      </c>
      <c r="F695" s="107" t="n">
        <v>45291</v>
      </c>
      <c r="G695" s="5" t="n">
        <v>2023</v>
      </c>
      <c r="H695" s="5" t="inlineStr">
        <is>
          <t>Diciembre</t>
        </is>
      </c>
      <c r="I695" s="6" t="inlineStr">
        <is>
          <t>2023-2</t>
        </is>
      </c>
      <c r="J695" s="5" t="n">
        <v>0</v>
      </c>
      <c r="K695" s="5" t="n">
        <v>3.83</v>
      </c>
      <c r="L695" s="14">
        <f>IFERROR(IF(OR(J695=0,K695=""),"",IF(E695="Positivo",MIN(MAX(K695/J695,0),1.3),MIN(MAX(J695/K695,0),1.3))),"") </f>
        <v/>
      </c>
      <c r="M695" s="14">
        <f>IFERROR(IF(OR(J695=0,K695=""),"",IF(E695="Positivo",MAX(K695/J695,0),MAX(J695/K695,0))),"") </f>
        <v/>
      </c>
      <c r="N695" s="5" t="n"/>
      <c r="O695" s="5" t="n"/>
      <c r="P695" s="5" t="n">
        <v>1</v>
      </c>
      <c r="Q695" s="5" t="n">
        <v>1</v>
      </c>
      <c r="R695" s="5" t="inlineStr">
        <is>
          <t>270-2023-12-31</t>
        </is>
      </c>
    </row>
    <row r="696">
      <c r="A696" s="26" t="n">
        <v>270</v>
      </c>
      <c r="B696" s="5" t="inlineStr">
        <is>
          <t>N de horas promedio por evento</t>
        </is>
      </c>
      <c r="C696" s="5" t="inlineStr">
        <is>
          <t>Centro de Medios Audiovisuales</t>
        </is>
      </c>
      <c r="D696" s="5" t="inlineStr">
        <is>
          <t>Semestral</t>
        </is>
      </c>
      <c r="E696" s="5" t="inlineStr">
        <is>
          <t>Positivo</t>
        </is>
      </c>
      <c r="F696" s="107" t="n">
        <v>45473</v>
      </c>
      <c r="G696" s="5" t="n">
        <v>2024</v>
      </c>
      <c r="H696" s="5" t="inlineStr">
        <is>
          <t>Junio</t>
        </is>
      </c>
      <c r="I696" s="6" t="inlineStr">
        <is>
          <t>2024-1</t>
        </is>
      </c>
      <c r="J696" s="5" t="n">
        <v>0</v>
      </c>
      <c r="K696" s="5" t="n">
        <v>4.88</v>
      </c>
      <c r="L696" s="74">
        <f>IFERROR(IF(OR(J696=0,K696=""),"",IF(E696="Positivo",MIN(MAX(K696/J696,0),1.3),MIN(MAX(J696/K696,0),1.3))),"") </f>
        <v/>
      </c>
      <c r="M696" s="14">
        <f>IFERROR(IF(OR(J696=0,K696=""),"",IF(E696="Positivo",MAX(K696/J696,0),MAX(J696/K696,0))),"") </f>
        <v/>
      </c>
      <c r="N696" s="5" t="n"/>
      <c r="O696" s="5" t="n"/>
      <c r="P696" s="5" t="n">
        <v>0</v>
      </c>
      <c r="Q696" s="5" t="n">
        <v>0</v>
      </c>
      <c r="R696" s="5" t="inlineStr">
        <is>
          <t>270-2024-06-30</t>
        </is>
      </c>
    </row>
    <row r="697">
      <c r="A697" s="26" t="n">
        <v>270</v>
      </c>
      <c r="B697" s="5" t="inlineStr">
        <is>
          <t>N de horas promedio por evento</t>
        </is>
      </c>
      <c r="C697" s="5" t="inlineStr">
        <is>
          <t>Centro de Medios Audiovisuales</t>
        </is>
      </c>
      <c r="D697" s="5" t="inlineStr">
        <is>
          <t>Semestral</t>
        </is>
      </c>
      <c r="E697" s="5" t="inlineStr">
        <is>
          <t>Positivo</t>
        </is>
      </c>
      <c r="F697" s="107" t="n">
        <v>45657</v>
      </c>
      <c r="G697" s="5" t="n">
        <v>2024</v>
      </c>
      <c r="H697" s="5" t="inlineStr">
        <is>
          <t>Diciembre</t>
        </is>
      </c>
      <c r="I697" s="6" t="inlineStr">
        <is>
          <t>2024-2</t>
        </is>
      </c>
      <c r="J697" s="5" t="n">
        <v>0</v>
      </c>
      <c r="K697" s="5" t="n">
        <v>4.57</v>
      </c>
      <c r="L697" s="74">
        <f>IFERROR(IF(OR(J697=0,K697=""),"",IF(E697="Positivo",MIN(MAX(K697/J697,0),1.3),MIN(MAX(J697/K697,0),1.3))),"") </f>
        <v/>
      </c>
      <c r="M697" s="14">
        <f>IFERROR(IF(OR(J697=0,K697=""),"",IF(E697="Positivo",MAX(K697/J697,0),MAX(J697/K697,0))),"") </f>
        <v/>
      </c>
      <c r="N697" s="5" t="n"/>
      <c r="O697" s="5" t="n"/>
      <c r="P697" s="5" t="n">
        <v>0</v>
      </c>
      <c r="Q697" s="5" t="n">
        <v>0</v>
      </c>
      <c r="R697" s="5" t="inlineStr">
        <is>
          <t>270-2024-12-31</t>
        </is>
      </c>
    </row>
    <row r="698">
      <c r="A698" s="26" t="n">
        <v>270</v>
      </c>
      <c r="B698" s="5" t="inlineStr">
        <is>
          <t>N de horas promedio por evento - (Metrica)</t>
        </is>
      </c>
      <c r="C698" s="5" t="inlineStr">
        <is>
          <t>Centro de Medios Audiovisuales</t>
        </is>
      </c>
      <c r="D698" s="5" t="inlineStr">
        <is>
          <t>Trimestral</t>
        </is>
      </c>
      <c r="E698" s="5" t="inlineStr">
        <is>
          <t>Positivo</t>
        </is>
      </c>
      <c r="F698" s="107" t="n">
        <v>45838</v>
      </c>
      <c r="G698" s="5" t="n">
        <v>2025</v>
      </c>
      <c r="H698" s="5" t="inlineStr">
        <is>
          <t>Junio</t>
        </is>
      </c>
      <c r="I698" s="6" t="inlineStr">
        <is>
          <t>2025-1</t>
        </is>
      </c>
      <c r="J698" s="5" t="n">
        <v>368</v>
      </c>
      <c r="K698" s="5" t="n">
        <v>4.17</v>
      </c>
      <c r="L698" s="14" t="n"/>
      <c r="M698" s="14" t="n"/>
      <c r="N698" s="5" t="inlineStr">
        <is>
          <t>DEC</t>
        </is>
      </c>
      <c r="O698" s="5" t="inlineStr">
        <is>
          <t>ENT</t>
        </is>
      </c>
      <c r="P698" s="5" t="n">
        <v>0</v>
      </c>
      <c r="Q698" s="5" t="n">
        <v>0</v>
      </c>
      <c r="R698" s="5" t="inlineStr">
        <is>
          <t>270-2025-06-30</t>
        </is>
      </c>
      <c r="S698" t="inlineStr">
        <is>
          <t>Metrica</t>
        </is>
      </c>
    </row>
    <row r="699">
      <c r="A699" s="26" t="n">
        <v>270</v>
      </c>
      <c r="B699" s="5" t="inlineStr">
        <is>
          <t>N de horas promedio por evento - (Metrica)</t>
        </is>
      </c>
      <c r="C699" s="5" t="inlineStr">
        <is>
          <t>Centro de Medios Audiovisuales</t>
        </is>
      </c>
      <c r="D699" s="5" t="inlineStr">
        <is>
          <t>Trimestral</t>
        </is>
      </c>
      <c r="E699" s="5" t="inlineStr">
        <is>
          <t>Positivo</t>
        </is>
      </c>
      <c r="F699" s="107" t="n">
        <v>46022</v>
      </c>
      <c r="G699" s="5" t="n">
        <v>2025</v>
      </c>
      <c r="H699" s="5" t="inlineStr">
        <is>
          <t>Diciembre</t>
        </is>
      </c>
      <c r="I699" s="6" t="inlineStr">
        <is>
          <t>2025-2</t>
        </is>
      </c>
      <c r="J699" s="5" t="n">
        <v>545</v>
      </c>
      <c r="K699" s="5" t="n">
        <v>4.3</v>
      </c>
      <c r="L699" s="14" t="n"/>
      <c r="M699" s="14" t="n"/>
      <c r="N699" s="5" t="inlineStr">
        <is>
          <t>DEC</t>
        </is>
      </c>
      <c r="O699" s="5" t="inlineStr">
        <is>
          <t>ENT</t>
        </is>
      </c>
      <c r="P699" s="5" t="n">
        <v>0</v>
      </c>
      <c r="Q699" s="5" t="n">
        <v>0</v>
      </c>
      <c r="R699" s="5" t="inlineStr">
        <is>
          <t>270-2025-12-31</t>
        </is>
      </c>
      <c r="S699" t="inlineStr">
        <is>
          <t>Metrica</t>
        </is>
      </c>
    </row>
    <row r="700">
      <c r="A700" s="5" t="n">
        <v>271</v>
      </c>
      <c r="B700" s="5" t="inlineStr">
        <is>
          <t>N de horas por solicitud</t>
        </is>
      </c>
      <c r="C700" s="5" t="inlineStr">
        <is>
          <t>Centro de Medios Audiovisuales</t>
        </is>
      </c>
      <c r="D700" s="5" t="inlineStr">
        <is>
          <t>Semestral</t>
        </is>
      </c>
      <c r="E700" s="5" t="inlineStr">
        <is>
          <t>Positivo</t>
        </is>
      </c>
      <c r="F700" s="107" t="n">
        <v>45107</v>
      </c>
      <c r="G700" s="5" t="n">
        <v>2023</v>
      </c>
      <c r="H700" s="5" t="inlineStr">
        <is>
          <t>Junio</t>
        </is>
      </c>
      <c r="I700" s="6" t="inlineStr">
        <is>
          <t>2023-1</t>
        </is>
      </c>
      <c r="J700" s="5" t="n">
        <v>0</v>
      </c>
      <c r="K700" s="5" t="n">
        <v>63.29113924050633</v>
      </c>
      <c r="L700" s="14">
        <f>IFERROR(IF(OR(J700=0,K700=""),"",IF(E700="Positivo",MIN(MAX(K700/J700,0),1.3),MIN(MAX(J700/K700,0),1.3))),"") </f>
        <v/>
      </c>
      <c r="M700" s="14">
        <f>IFERROR(IF(OR(J700=0,K700=""),"",IF(E700="Positivo",MAX(K700/J700,0),MAX(J700/K700,0))),"") </f>
        <v/>
      </c>
      <c r="N700" s="5" t="n"/>
      <c r="O700" s="5" t="n"/>
      <c r="P700" s="5" t="n">
        <v>1</v>
      </c>
      <c r="Q700" s="5" t="n">
        <v>1</v>
      </c>
      <c r="R700" s="5" t="inlineStr">
        <is>
          <t>271-2023-06-30</t>
        </is>
      </c>
    </row>
    <row r="701">
      <c r="A701" s="5" t="n">
        <v>271</v>
      </c>
      <c r="B701" s="5" t="inlineStr">
        <is>
          <t>N de horas por solicitud</t>
        </is>
      </c>
      <c r="C701" s="5" t="inlineStr">
        <is>
          <t>Centro de Medios Audiovisuales</t>
        </is>
      </c>
      <c r="D701" s="5" t="inlineStr">
        <is>
          <t>Semestral</t>
        </is>
      </c>
      <c r="E701" s="5" t="inlineStr">
        <is>
          <t>Positivo</t>
        </is>
      </c>
      <c r="F701" s="107" t="n">
        <v>45291</v>
      </c>
      <c r="G701" s="5" t="n">
        <v>2023</v>
      </c>
      <c r="H701" s="5" t="inlineStr">
        <is>
          <t>Diciembre</t>
        </is>
      </c>
      <c r="I701" s="6" t="inlineStr">
        <is>
          <t>2023-2</t>
        </is>
      </c>
      <c r="J701" s="5" t="n">
        <v>0</v>
      </c>
      <c r="K701" s="5" t="n">
        <v>16.17233646643447</v>
      </c>
      <c r="L701" s="14">
        <f>IFERROR(IF(OR(J701=0,K701=""),"",IF(E701="Positivo",MIN(MAX(K701/J701,0),1.3),MIN(MAX(J701/K701,0),1.3))),"") </f>
        <v/>
      </c>
      <c r="M701" s="14">
        <f>IFERROR(IF(OR(J701=0,K701=""),"",IF(E701="Positivo",MAX(K701/J701,0),MAX(J701/K701,0))),"") </f>
        <v/>
      </c>
      <c r="N701" s="5" t="n"/>
      <c r="O701" s="5" t="n"/>
      <c r="P701" s="5" t="n">
        <v>1</v>
      </c>
      <c r="Q701" s="5" t="n">
        <v>1</v>
      </c>
      <c r="R701" s="5" t="inlineStr">
        <is>
          <t>271-2023-12-31</t>
        </is>
      </c>
    </row>
    <row r="702">
      <c r="A702" s="26" t="n">
        <v>271</v>
      </c>
      <c r="B702" s="5" t="inlineStr">
        <is>
          <t>N de horas por solicitud</t>
        </is>
      </c>
      <c r="C702" s="5" t="inlineStr">
        <is>
          <t>Centro de Medios Audiovisuales</t>
        </is>
      </c>
      <c r="D702" s="5" t="inlineStr">
        <is>
          <t>Semestral</t>
        </is>
      </c>
      <c r="E702" s="5" t="inlineStr">
        <is>
          <t>Positivo</t>
        </is>
      </c>
      <c r="F702" s="107" t="n">
        <v>45473</v>
      </c>
      <c r="G702" s="5" t="n">
        <v>2024</v>
      </c>
      <c r="H702" s="5" t="inlineStr">
        <is>
          <t>Junio</t>
        </is>
      </c>
      <c r="I702" s="6" t="inlineStr">
        <is>
          <t>2024-1</t>
        </is>
      </c>
      <c r="J702" s="5" t="n">
        <v>0</v>
      </c>
      <c r="K702" s="5" t="n">
        <v>19.39471652327377</v>
      </c>
      <c r="L702" s="14">
        <f>IFERROR(IF(OR(J702=0,K702=""),"",IF(E702="Positivo",MIN(MAX(K702/J702,0),1.3),MIN(MAX(J702/K702,0),1.3))),"") </f>
        <v/>
      </c>
      <c r="M702" s="14">
        <f>IFERROR(IF(OR(J702=0,K702=""),"",IF(E702="Positivo",MAX(K702/J702,0),MAX(J702/K702,0))),"") </f>
        <v/>
      </c>
      <c r="N702" s="5" t="n"/>
      <c r="O702" s="5" t="n"/>
      <c r="P702" s="5" t="n">
        <v>0</v>
      </c>
      <c r="Q702" s="5" t="n">
        <v>0</v>
      </c>
      <c r="R702" s="5" t="inlineStr">
        <is>
          <t>271-2024-06-30</t>
        </is>
      </c>
    </row>
    <row r="703">
      <c r="A703" s="26" t="n">
        <v>271</v>
      </c>
      <c r="B703" s="5" t="inlineStr">
        <is>
          <t>N de horas por solicitud</t>
        </is>
      </c>
      <c r="C703" s="5" t="inlineStr">
        <is>
          <t>Centro de Medios Audiovisuales</t>
        </is>
      </c>
      <c r="D703" s="5" t="inlineStr">
        <is>
          <t>Semestral</t>
        </is>
      </c>
      <c r="E703" s="5" t="inlineStr">
        <is>
          <t>Positivo</t>
        </is>
      </c>
      <c r="F703" s="107" t="n">
        <v>45657</v>
      </c>
      <c r="G703" s="5" t="n">
        <v>2024</v>
      </c>
      <c r="H703" s="5" t="inlineStr">
        <is>
          <t>Diciembre</t>
        </is>
      </c>
      <c r="I703" s="6" t="inlineStr">
        <is>
          <t>2024-2</t>
        </is>
      </c>
      <c r="J703" s="5" t="n"/>
      <c r="K703" s="5" t="n">
        <v>16.86</v>
      </c>
      <c r="L703" s="14" t="n"/>
      <c r="M703" s="14" t="n"/>
      <c r="N703" s="5" t="n"/>
      <c r="O703" s="5" t="n"/>
      <c r="P703" s="5" t="n">
        <v>0</v>
      </c>
      <c r="Q703" s="5" t="n">
        <v>0</v>
      </c>
      <c r="R703" s="5" t="inlineStr">
        <is>
          <t>271-2024-12-31</t>
        </is>
      </c>
    </row>
    <row r="704">
      <c r="A704" s="5" t="n">
        <v>271</v>
      </c>
      <c r="B704" s="5" t="inlineStr">
        <is>
          <t>N de horas por solicitud - (Metrica)</t>
        </is>
      </c>
      <c r="C704" s="5" t="inlineStr">
        <is>
          <t>Centro de Medios Audiovisuales</t>
        </is>
      </c>
      <c r="D704" s="5" t="inlineStr">
        <is>
          <t>Trimestral</t>
        </is>
      </c>
      <c r="E704" s="5" t="inlineStr">
        <is>
          <t>Positivo</t>
        </is>
      </c>
      <c r="F704" s="107" t="n">
        <v>45838</v>
      </c>
      <c r="G704" s="5" t="n">
        <v>2025</v>
      </c>
      <c r="H704" s="5" t="inlineStr">
        <is>
          <t>Junio</t>
        </is>
      </c>
      <c r="I704" s="6" t="inlineStr">
        <is>
          <t>2025-1</t>
        </is>
      </c>
      <c r="J704" s="5" t="n">
        <v>21346</v>
      </c>
      <c r="K704" s="5" t="n">
        <v>23.85</v>
      </c>
      <c r="L704" s="14" t="n"/>
      <c r="M704" s="14" t="n"/>
      <c r="N704" s="5" t="n">
        <v>0</v>
      </c>
      <c r="O704" s="5" t="inlineStr">
        <is>
          <t>ENT</t>
        </is>
      </c>
      <c r="P704" s="5" t="n">
        <v>0</v>
      </c>
      <c r="Q704" s="5" t="n">
        <v>0</v>
      </c>
      <c r="R704" s="5" t="inlineStr">
        <is>
          <t>271-2025-06-30</t>
        </is>
      </c>
      <c r="S704" t="inlineStr">
        <is>
          <t>Metrica</t>
        </is>
      </c>
    </row>
    <row r="705">
      <c r="A705" s="5" t="n">
        <v>271</v>
      </c>
      <c r="B705" s="5" t="inlineStr">
        <is>
          <t>N de horas por solicitud - (Metrica)</t>
        </is>
      </c>
      <c r="C705" s="5" t="inlineStr">
        <is>
          <t>Centro de Medios Audiovisuales</t>
        </is>
      </c>
      <c r="D705" s="5" t="inlineStr">
        <is>
          <t>Trimestral</t>
        </is>
      </c>
      <c r="E705" s="5" t="inlineStr">
        <is>
          <t>Positivo</t>
        </is>
      </c>
      <c r="F705" s="107" t="n">
        <v>46022</v>
      </c>
      <c r="G705" s="5" t="n">
        <v>2025</v>
      </c>
      <c r="H705" s="5" t="inlineStr">
        <is>
          <t>Diciembre</t>
        </is>
      </c>
      <c r="I705" s="6" t="inlineStr">
        <is>
          <t>2025-2</t>
        </is>
      </c>
      <c r="J705" s="5" t="n">
        <v>30907</v>
      </c>
      <c r="K705" s="5" t="n">
        <v>19.93</v>
      </c>
      <c r="L705" s="14" t="n"/>
      <c r="M705" s="14" t="n"/>
      <c r="N705" s="5" t="n">
        <v>0</v>
      </c>
      <c r="O705" s="5" t="inlineStr">
        <is>
          <t>ENT</t>
        </is>
      </c>
      <c r="P705" s="5" t="n">
        <v>0</v>
      </c>
      <c r="Q705" s="5" t="n">
        <v>0</v>
      </c>
      <c r="R705" s="5" t="inlineStr">
        <is>
          <t>271-2025-12-31</t>
        </is>
      </c>
      <c r="S705" t="inlineStr">
        <is>
          <t>Metrica</t>
        </is>
      </c>
    </row>
    <row r="706">
      <c r="A706" s="5" t="n">
        <v>272</v>
      </c>
      <c r="B706" s="5" t="inlineStr">
        <is>
          <t>Proporción de accidentes de trabajo mortales</t>
        </is>
      </c>
      <c r="C706" s="5" t="inlineStr">
        <is>
          <t>GESTIÓN DE SEGURIDAD Y SALUD EN EL TRABAJO</t>
        </is>
      </c>
      <c r="D706" s="5" t="inlineStr">
        <is>
          <t>Anual</t>
        </is>
      </c>
      <c r="E706" s="5" t="inlineStr">
        <is>
          <t>Negativo</t>
        </is>
      </c>
      <c r="F706" s="106" t="n">
        <v>45291</v>
      </c>
      <c r="G706" s="15" t="n">
        <v>2023</v>
      </c>
      <c r="H706" s="6" t="inlineStr">
        <is>
          <t>Diciembre</t>
        </is>
      </c>
      <c r="I706" s="27" t="inlineStr">
        <is>
          <t>2023-2</t>
        </is>
      </c>
      <c r="J706" s="5" t="n">
        <v>0</v>
      </c>
      <c r="K706" s="5" t="n">
        <v>0</v>
      </c>
      <c r="L706" s="14">
        <f>IFERROR(IF(OR(J706=0,K706=""),"",IF(E706="Positivo",MIN(MAX(K706/J706,0),1.3),MIN(MAX(J706/K706,0),1.3))),"") </f>
        <v/>
      </c>
      <c r="M706" s="14">
        <f>IFERROR(IF(OR(J706=0,K706=""),"",IF(E706="Positivo",MAX(K706/J706,0),MAX(J706/K706,0))),"") </f>
        <v/>
      </c>
      <c r="N706" s="5" t="n"/>
      <c r="O706" s="5" t="n"/>
      <c r="P706" s="5" t="n">
        <v>0</v>
      </c>
      <c r="Q706" s="5" t="n">
        <v>0</v>
      </c>
      <c r="R706" s="5" t="inlineStr">
        <is>
          <t>272-2023-12-31</t>
        </is>
      </c>
    </row>
    <row r="707">
      <c r="A707" s="26" t="n">
        <v>272</v>
      </c>
      <c r="B707" s="5" t="inlineStr">
        <is>
          <t>Proporción de accidentes de trabajo mortales</t>
        </is>
      </c>
      <c r="C707" s="5" t="inlineStr">
        <is>
          <t>GESTIÓN DE SEGURIDAD Y SALUD EN EL TRABAJO</t>
        </is>
      </c>
      <c r="D707" s="5" t="inlineStr">
        <is>
          <t>Anual</t>
        </is>
      </c>
      <c r="E707" s="5" t="inlineStr">
        <is>
          <t>Negativo</t>
        </is>
      </c>
      <c r="F707" s="107" t="n">
        <v>45657</v>
      </c>
      <c r="G707" s="5" t="n">
        <v>2024</v>
      </c>
      <c r="H707" s="5" t="inlineStr">
        <is>
          <t>Diciembre</t>
        </is>
      </c>
      <c r="I707" s="6" t="inlineStr">
        <is>
          <t>2024-2</t>
        </is>
      </c>
      <c r="J707" s="5" t="n">
        <v>0</v>
      </c>
      <c r="K707" s="5" t="n">
        <v>0</v>
      </c>
      <c r="L707" s="14">
        <f>IFERROR(IF(OR(J707=0,K707=""),"",IF(E707="Positivo",MIN(MAX(K707/J707,0),1.3),MIN(MAX(J707/K707,0),1.3))),"") </f>
        <v/>
      </c>
      <c r="M707" s="14">
        <f>IFERROR(IF(OR(J707=0,K707=""),"",IF(E707="Positivo",MAX(K707/J707,0),MAX(J707/K707,0))),"") </f>
        <v/>
      </c>
      <c r="N707" s="5" t="n"/>
      <c r="O707" s="5" t="n"/>
      <c r="P707" s="5" t="n">
        <v>0</v>
      </c>
      <c r="Q707" s="5" t="n">
        <v>0</v>
      </c>
      <c r="R707" s="5" t="inlineStr">
        <is>
          <t>272-2024-12-31</t>
        </is>
      </c>
    </row>
    <row r="708">
      <c r="A708" s="28" t="n">
        <v>272</v>
      </c>
      <c r="B708" s="5" t="inlineStr">
        <is>
          <t>Proporción de accidentes de trabajo mortales</t>
        </is>
      </c>
      <c r="C708" s="5" t="inlineStr">
        <is>
          <t>GESTIÓN DE SEGURIDAD Y SALUD EN EL TRABAJO</t>
        </is>
      </c>
      <c r="D708" s="5" t="inlineStr">
        <is>
          <t>Anual</t>
        </is>
      </c>
      <c r="E708" s="5" t="inlineStr">
        <is>
          <t>Negativo</t>
        </is>
      </c>
      <c r="F708" s="107" t="n">
        <v>46022</v>
      </c>
      <c r="G708" s="5" t="n">
        <v>2025</v>
      </c>
      <c r="H708" s="5" t="inlineStr">
        <is>
          <t>Diciembre</t>
        </is>
      </c>
      <c r="I708" s="6" t="inlineStr">
        <is>
          <t>2025-2</t>
        </is>
      </c>
      <c r="J708" s="5" t="n">
        <v>0</v>
      </c>
      <c r="K708" s="5" t="n">
        <v>0</v>
      </c>
      <c r="L708" s="74">
        <f>IFERROR(IF(OR(J708=0,K708=""),"",IF(E708="Positivo",MIN(MAX(K708/J708,0),1.3),MIN(MAX(J708/K708,0),1.3))),"") </f>
        <v/>
      </c>
      <c r="M708" s="14">
        <f>IFERROR(IF(OR(J708=0,K708=""),"",IF(E708="Positivo",MAX(K708/J708,0),MAX(J708/K708,0))),"") </f>
        <v/>
      </c>
      <c r="N708" s="5" t="n">
        <v>0</v>
      </c>
      <c r="O708" s="5" t="inlineStr">
        <is>
          <t>ENT</t>
        </is>
      </c>
      <c r="P708" s="5" t="n">
        <v>0</v>
      </c>
      <c r="Q708" s="5" t="n">
        <v>0</v>
      </c>
      <c r="R708" s="5" t="inlineStr">
        <is>
          <t>272-2025-12-31</t>
        </is>
      </c>
    </row>
    <row r="709">
      <c r="A709" s="26" t="n">
        <v>273</v>
      </c>
      <c r="B709" s="5" t="inlineStr">
        <is>
          <t>Número de programas con condiciones iniciales elaboradas y analizadas institucionalmente</t>
        </is>
      </c>
      <c r="C709" s="5" t="inlineStr">
        <is>
          <t>Autoevaluación de programas académicos</t>
        </is>
      </c>
      <c r="D709" s="5" t="inlineStr">
        <is>
          <t>Semestral</t>
        </is>
      </c>
      <c r="E709" s="5" t="inlineStr">
        <is>
          <t>Positivo</t>
        </is>
      </c>
      <c r="F709" s="107" t="n">
        <v>45107</v>
      </c>
      <c r="G709" s="5" t="n">
        <v>2023</v>
      </c>
      <c r="H709" s="5" t="inlineStr">
        <is>
          <t>Junio</t>
        </is>
      </c>
      <c r="I709" s="6" t="inlineStr">
        <is>
          <t>2023-1</t>
        </is>
      </c>
      <c r="J709" s="5" t="n">
        <v>100</v>
      </c>
      <c r="K709" s="5" t="n">
        <v>100</v>
      </c>
      <c r="L709" s="74">
        <f>IFERROR(IF(OR(J709=0,K709=""),"",IF(E709="Positivo",MIN(MAX(K709/J709,0),1.3),MIN(MAX(J709/K709,0),1.3))),"") </f>
        <v/>
      </c>
      <c r="M709" s="14">
        <f>IFERROR(IF(OR(J709=0,K709=""),"",IF(E709="Positivo",MAX(K709/J709,0),MAX(J709/K709,0))),"") </f>
        <v/>
      </c>
      <c r="N709" s="5" t="inlineStr">
        <is>
          <t>ENT</t>
        </is>
      </c>
      <c r="O709" s="5" t="inlineStr">
        <is>
          <t>ENT</t>
        </is>
      </c>
      <c r="P709" s="5" t="n">
        <v>0</v>
      </c>
      <c r="Q709" s="5" t="n">
        <v>0</v>
      </c>
      <c r="R709" s="5" t="inlineStr">
        <is>
          <t>273-2023-06-30</t>
        </is>
      </c>
    </row>
    <row r="710">
      <c r="A710" s="26" t="n">
        <v>273</v>
      </c>
      <c r="B710" s="5" t="inlineStr">
        <is>
          <t>Número de programas con condiciones iniciales elaboradas y analizadas institucionalmente</t>
        </is>
      </c>
      <c r="C710" s="5" t="inlineStr">
        <is>
          <t>Autoevaluación de programas académicos</t>
        </is>
      </c>
      <c r="D710" s="5" t="inlineStr">
        <is>
          <t>Semestral</t>
        </is>
      </c>
      <c r="E710" s="5" t="inlineStr">
        <is>
          <t>Positivo</t>
        </is>
      </c>
      <c r="F710" s="107" t="n">
        <v>45291</v>
      </c>
      <c r="G710" s="5" t="n">
        <v>2023</v>
      </c>
      <c r="H710" s="5" t="inlineStr">
        <is>
          <t>Diciembre</t>
        </is>
      </c>
      <c r="I710" s="6" t="inlineStr">
        <is>
          <t>2023-2</t>
        </is>
      </c>
      <c r="J710" s="5" t="n">
        <v>100</v>
      </c>
      <c r="K710" s="5" t="n">
        <v>100</v>
      </c>
      <c r="L710" s="74">
        <f>IFERROR(IF(OR(J710=0,K710=""),"",IF(E710="Positivo",MIN(MAX(K710/J710,0),1.3),MIN(MAX(J710/K710,0),1.3))),"") </f>
        <v/>
      </c>
      <c r="M710" s="14">
        <f>IFERROR(IF(OR(J710=0,K710=""),"",IF(E710="Positivo",MAX(K710/J710,0),MAX(J710/K710,0))),"") </f>
        <v/>
      </c>
      <c r="N710" s="5" t="inlineStr">
        <is>
          <t>ENT</t>
        </is>
      </c>
      <c r="O710" s="5" t="inlineStr">
        <is>
          <t>ENT</t>
        </is>
      </c>
      <c r="P710" s="5" t="n">
        <v>0</v>
      </c>
      <c r="Q710" s="5" t="n">
        <v>0</v>
      </c>
      <c r="R710" s="5" t="inlineStr">
        <is>
          <t>273-2023-12-31</t>
        </is>
      </c>
    </row>
    <row r="711">
      <c r="A711" s="5" t="n">
        <v>273</v>
      </c>
      <c r="B711" s="5" t="inlineStr">
        <is>
          <t>Número de programas con condiciones iniciales elaboradas y analizadas institucionalmente</t>
        </is>
      </c>
      <c r="C711" s="5" t="inlineStr">
        <is>
          <t>Autoevaluación de programas académicos</t>
        </is>
      </c>
      <c r="D711" s="5" t="inlineStr">
        <is>
          <t>Semestral</t>
        </is>
      </c>
      <c r="E711" s="5" t="inlineStr">
        <is>
          <t>Positivo</t>
        </is>
      </c>
      <c r="F711" s="107" t="n">
        <v>45473</v>
      </c>
      <c r="G711" s="5" t="n">
        <v>2024</v>
      </c>
      <c r="H711" s="5" t="inlineStr">
        <is>
          <t>Junio</t>
        </is>
      </c>
      <c r="I711" s="6" t="inlineStr">
        <is>
          <t>2024-1</t>
        </is>
      </c>
      <c r="J711" s="5" t="n">
        <v>100</v>
      </c>
      <c r="K711" s="5" t="n">
        <v>100</v>
      </c>
      <c r="L711" s="14">
        <f>IFERROR(IF(OR(J711=0,K711=""),"",IF(E711="Positivo",MIN(MAX(K711/J711,0),1.3),MIN(MAX(J711/K711,0),1.3))),"") </f>
        <v/>
      </c>
      <c r="M711" s="14">
        <f>IFERROR(IF(OR(J711=0,K711=""),"",IF(E711="Positivo",MAX(K711/J711,0),MAX(J711/K711,0))),"") </f>
        <v/>
      </c>
      <c r="N711" s="5" t="inlineStr">
        <is>
          <t>ENT</t>
        </is>
      </c>
      <c r="O711" s="5" t="inlineStr">
        <is>
          <t>ENT</t>
        </is>
      </c>
      <c r="P711" s="5" t="n">
        <v>0</v>
      </c>
      <c r="Q711" s="5" t="n">
        <v>0</v>
      </c>
      <c r="R711" s="5" t="inlineStr">
        <is>
          <t>273-2024-06-30</t>
        </is>
      </c>
    </row>
    <row r="712">
      <c r="A712" s="28" t="n">
        <v>273</v>
      </c>
      <c r="B712" s="5" t="inlineStr">
        <is>
          <t>Número de programas con condiciones iniciales elaboradas y analizadas institucionalmente</t>
        </is>
      </c>
      <c r="C712" s="5" t="inlineStr">
        <is>
          <t>Autoevaluación de programas académicos</t>
        </is>
      </c>
      <c r="D712" s="5" t="inlineStr">
        <is>
          <t>Semestral</t>
        </is>
      </c>
      <c r="E712" s="5" t="inlineStr">
        <is>
          <t>Positivo</t>
        </is>
      </c>
      <c r="F712" s="107" t="n">
        <v>45657</v>
      </c>
      <c r="G712" s="5" t="n">
        <v>2024</v>
      </c>
      <c r="H712" s="5" t="inlineStr">
        <is>
          <t>Diciembre</t>
        </is>
      </c>
      <c r="I712" s="6" t="inlineStr">
        <is>
          <t>2024-2</t>
        </is>
      </c>
      <c r="J712" s="5" t="n">
        <v>100</v>
      </c>
      <c r="K712" s="5" t="n">
        <v>100</v>
      </c>
      <c r="L712" s="14">
        <f>IFERROR(IF(OR(J712=0,K712=""),"",IF(E712="Positivo",MIN(MAX(K712/J712,0),1.3),MIN(MAX(J712/K712,0),1.3))),"") </f>
        <v/>
      </c>
      <c r="M712" s="14">
        <f>IFERROR(IF(OR(J712=0,K712=""),"",IF(E712="Positivo",MAX(K712/J712,0),MAX(J712/K712,0))),"") </f>
        <v/>
      </c>
      <c r="N712" s="5" t="inlineStr">
        <is>
          <t>ENT</t>
        </is>
      </c>
      <c r="O712" s="5" t="inlineStr">
        <is>
          <t>ENT</t>
        </is>
      </c>
      <c r="P712" s="5" t="n">
        <v>0</v>
      </c>
      <c r="Q712" s="5" t="n">
        <v>0</v>
      </c>
      <c r="R712" s="5" t="inlineStr">
        <is>
          <t>273-2024-12-31</t>
        </is>
      </c>
    </row>
    <row r="713">
      <c r="A713" s="26" t="n">
        <v>273</v>
      </c>
      <c r="B713" s="5" t="inlineStr">
        <is>
          <t>Número de programas con condiciones iniciales elaboradas y analizadas institucionalmente</t>
        </is>
      </c>
      <c r="C713" s="5" t="inlineStr">
        <is>
          <t>Autoevaluación de programas académicos</t>
        </is>
      </c>
      <c r="D713" s="5" t="inlineStr">
        <is>
          <t>Semestral</t>
        </is>
      </c>
      <c r="E713" s="5" t="inlineStr">
        <is>
          <t>Positivo</t>
        </is>
      </c>
      <c r="F713" s="107" t="n">
        <v>45838</v>
      </c>
      <c r="G713" s="5" t="n">
        <v>2025</v>
      </c>
      <c r="H713" s="5" t="inlineStr">
        <is>
          <t>Junio</t>
        </is>
      </c>
      <c r="I713" s="6" t="inlineStr">
        <is>
          <t>2025-1</t>
        </is>
      </c>
      <c r="J713" s="5" t="n">
        <v>100</v>
      </c>
      <c r="K713" s="5" t="n">
        <v>150</v>
      </c>
      <c r="L713" s="14">
        <f>IFERROR(IF(OR(J713=0,K713=""),"",IF(E713="Positivo",MIN(MAX(K713/J713,0),1.3),MIN(MAX(J713/K713,0),1.3))),"") </f>
        <v/>
      </c>
      <c r="M713" s="14">
        <f>IFERROR(IF(OR(J713=0,K713=""),"",IF(E713="Positivo",MAX(K713/J713,0),MAX(J713/K713,0))),"") </f>
        <v/>
      </c>
      <c r="N713" s="5" t="inlineStr">
        <is>
          <t>ENT</t>
        </is>
      </c>
      <c r="O713" s="5" t="inlineStr">
        <is>
          <t>ENT</t>
        </is>
      </c>
      <c r="P713" s="5" t="n">
        <v>0</v>
      </c>
      <c r="Q713" s="5" t="n">
        <v>0</v>
      </c>
      <c r="R713" s="5" t="inlineStr">
        <is>
          <t>273-2025-06-30</t>
        </is>
      </c>
    </row>
    <row r="714">
      <c r="A714" s="5" t="n">
        <v>273</v>
      </c>
      <c r="B714" s="5" t="inlineStr">
        <is>
          <t>Número de programas con condiciones iniciales elaboradas y analizadas institucionalmente</t>
        </is>
      </c>
      <c r="C714" s="5" t="inlineStr">
        <is>
          <t>Autoevaluación de programas académicos</t>
        </is>
      </c>
      <c r="D714" s="5" t="inlineStr">
        <is>
          <t>Trimestral</t>
        </is>
      </c>
      <c r="E714" s="5" t="inlineStr">
        <is>
          <t>Positivo</t>
        </is>
      </c>
      <c r="F714" s="107" t="n">
        <v>46022</v>
      </c>
      <c r="G714" s="5" t="n">
        <v>2025</v>
      </c>
      <c r="H714" s="5" t="inlineStr">
        <is>
          <t>Diciembre</t>
        </is>
      </c>
      <c r="I714" s="6" t="inlineStr">
        <is>
          <t>2025-2</t>
        </is>
      </c>
      <c r="J714" s="5" t="n">
        <v>100</v>
      </c>
      <c r="K714" s="5" t="n">
        <v>100</v>
      </c>
      <c r="L714" s="14">
        <f>IFERROR(IF(OR(J714=0,K714=""),"",IF(E714="Positivo",MIN(MAX(K714/J714,0),1.3),MIN(MAX(J714/K714,0),1.3))),"") </f>
        <v/>
      </c>
      <c r="M714" s="14">
        <f>IFERROR(IF(OR(J714=0,K714=""),"",IF(E714="Positivo",MAX(K714/J714,0),MAX(J714/K714,0))),"") </f>
        <v/>
      </c>
      <c r="N714" s="5" t="inlineStr">
        <is>
          <t>ENT</t>
        </is>
      </c>
      <c r="O714" s="5" t="inlineStr">
        <is>
          <t>ENT</t>
        </is>
      </c>
      <c r="P714" s="5" t="n">
        <v>0</v>
      </c>
      <c r="Q714" s="5" t="n">
        <v>0</v>
      </c>
      <c r="R714" s="5" t="inlineStr">
        <is>
          <t>273-2025-12-31</t>
        </is>
      </c>
    </row>
    <row r="715">
      <c r="A715" s="5" t="n">
        <v>274</v>
      </c>
      <c r="B715" s="5" t="inlineStr">
        <is>
          <t>Cumplimiento total estudiantes antiguos</t>
        </is>
      </c>
      <c r="C715" s="5" t="inlineStr">
        <is>
          <t>Rematrícula</t>
        </is>
      </c>
      <c r="D715" s="5" t="inlineStr">
        <is>
          <t>Semestral</t>
        </is>
      </c>
      <c r="E715" s="5" t="inlineStr">
        <is>
          <t>Positivo</t>
        </is>
      </c>
      <c r="F715" s="107" t="n">
        <v>45107</v>
      </c>
      <c r="G715" s="5" t="n">
        <v>2023</v>
      </c>
      <c r="H715" s="5" t="inlineStr">
        <is>
          <t>Junio</t>
        </is>
      </c>
      <c r="I715" s="6" t="inlineStr">
        <is>
          <t>2023-1</t>
        </is>
      </c>
      <c r="J715" s="5" t="n">
        <v>100</v>
      </c>
      <c r="K715" s="10" t="n">
        <v>97.85502035108701</v>
      </c>
      <c r="L715" s="14">
        <f>IFERROR(IF(OR(J715=0,K715=""),"",IF(E715="Positivo",MIN(MAX(K715/J715,0),1.3),MIN(MAX(J715/K715,0),1.3))),"") </f>
        <v/>
      </c>
      <c r="M715" s="14">
        <f>IFERROR(IF(OR(J715=0,K715=""),"",IF(E715="Positivo",MAX(K715/J715,0),MAX(J715/K715,0))),"") </f>
        <v/>
      </c>
      <c r="N715" s="5" t="inlineStr">
        <is>
          <t>ENT</t>
        </is>
      </c>
      <c r="O715" s="5" t="inlineStr">
        <is>
          <t>ENT</t>
        </is>
      </c>
      <c r="P715" s="5" t="n">
        <v>0</v>
      </c>
      <c r="Q715" s="5" t="n">
        <v>0</v>
      </c>
      <c r="R715" s="5" t="inlineStr">
        <is>
          <t>274-2023-06-30</t>
        </is>
      </c>
    </row>
    <row r="716">
      <c r="A716" s="28" t="n">
        <v>274</v>
      </c>
      <c r="B716" s="5" t="inlineStr">
        <is>
          <t>Cumplimiento total estudiantes antiguos</t>
        </is>
      </c>
      <c r="C716" s="5" t="inlineStr">
        <is>
          <t>Rematrícula</t>
        </is>
      </c>
      <c r="D716" s="5" t="inlineStr">
        <is>
          <t>Semestral</t>
        </is>
      </c>
      <c r="E716" s="5" t="inlineStr">
        <is>
          <t>Positivo</t>
        </is>
      </c>
      <c r="F716" s="107" t="n">
        <v>45291</v>
      </c>
      <c r="G716" s="5" t="n">
        <v>2023</v>
      </c>
      <c r="H716" s="5" t="inlineStr">
        <is>
          <t>Diciembre</t>
        </is>
      </c>
      <c r="I716" s="6" t="inlineStr">
        <is>
          <t>2023-2</t>
        </is>
      </c>
      <c r="J716" s="5" t="n">
        <v>100</v>
      </c>
      <c r="K716" s="5" t="n">
        <v>97.50550081316401</v>
      </c>
      <c r="L716" s="74">
        <f>IFERROR(IF(OR(J716=0,K716=""),"",IF(E716="Positivo",MIN(MAX(K716/J716,0),1.3),MIN(MAX(J716/K716,0),1.3))),"") </f>
        <v/>
      </c>
      <c r="M716" s="14">
        <f>IFERROR(IF(OR(J716=0,K716=""),"",IF(E716="Positivo",MAX(K716/J716,0),MAX(J716/K716,0))),"") </f>
        <v/>
      </c>
      <c r="N716" s="5" t="inlineStr">
        <is>
          <t>ENT</t>
        </is>
      </c>
      <c r="O716" s="5" t="inlineStr">
        <is>
          <t>ENT</t>
        </is>
      </c>
      <c r="P716" s="5" t="n">
        <v>0</v>
      </c>
      <c r="Q716" s="5" t="n">
        <v>0</v>
      </c>
      <c r="R716" s="5" t="inlineStr">
        <is>
          <t>274-2023-12-31</t>
        </is>
      </c>
    </row>
    <row r="717">
      <c r="A717" s="26" t="n">
        <v>274</v>
      </c>
      <c r="B717" s="5" t="inlineStr">
        <is>
          <t>Cumplimiento total estudiantes antiguos</t>
        </is>
      </c>
      <c r="C717" s="5" t="inlineStr">
        <is>
          <t>Rematrícula</t>
        </is>
      </c>
      <c r="D717" s="5" t="inlineStr">
        <is>
          <t>Semestral</t>
        </is>
      </c>
      <c r="E717" s="5" t="inlineStr">
        <is>
          <t>Positivo</t>
        </is>
      </c>
      <c r="F717" s="107" t="n">
        <v>45473</v>
      </c>
      <c r="G717" s="5" t="n">
        <v>2024</v>
      </c>
      <c r="H717" s="5" t="inlineStr">
        <is>
          <t>Junio</t>
        </is>
      </c>
      <c r="I717" s="6" t="inlineStr">
        <is>
          <t>2024-1</t>
        </is>
      </c>
      <c r="J717" s="5" t="n">
        <v>100</v>
      </c>
      <c r="K717" s="5" t="n">
        <v>102.33930181631</v>
      </c>
      <c r="L717" s="74">
        <f>IFERROR(IF(OR(J717=0,K717=""),"",IF(E717="Positivo",MIN(MAX(K717/J717,0),1.3),MIN(MAX(J717/K717,0),1.3))),"") </f>
        <v/>
      </c>
      <c r="M717" s="14">
        <f>IFERROR(IF(OR(J717=0,K717=""),"",IF(E717="Positivo",MAX(K717/J717,0),MAX(J717/K717,0))),"") </f>
        <v/>
      </c>
      <c r="N717" s="5" t="inlineStr">
        <is>
          <t>ENT</t>
        </is>
      </c>
      <c r="O717" s="5" t="inlineStr">
        <is>
          <t>ENT</t>
        </is>
      </c>
      <c r="P717" s="5" t="n">
        <v>0</v>
      </c>
      <c r="Q717" s="5" t="n">
        <v>0</v>
      </c>
      <c r="R717" s="5" t="inlineStr">
        <is>
          <t>274-2024-06-30</t>
        </is>
      </c>
    </row>
    <row r="718">
      <c r="A718" s="5" t="n">
        <v>274</v>
      </c>
      <c r="B718" s="5" t="inlineStr">
        <is>
          <t>Cumplimiento total estudiantes antiguos</t>
        </is>
      </c>
      <c r="C718" s="5" t="inlineStr">
        <is>
          <t>Rematrícula</t>
        </is>
      </c>
      <c r="D718" s="5" t="inlineStr">
        <is>
          <t>Semestral</t>
        </is>
      </c>
      <c r="E718" s="5" t="inlineStr">
        <is>
          <t>Positivo</t>
        </is>
      </c>
      <c r="F718" s="107" t="n">
        <v>45657</v>
      </c>
      <c r="G718" s="5" t="n">
        <v>2024</v>
      </c>
      <c r="H718" s="5" t="inlineStr">
        <is>
          <t>Diciembre</t>
        </is>
      </c>
      <c r="I718" s="6" t="inlineStr">
        <is>
          <t>2024-2</t>
        </is>
      </c>
      <c r="J718" s="5" t="n">
        <v>100</v>
      </c>
      <c r="K718" s="5" t="n">
        <v>101.6087500306545</v>
      </c>
      <c r="L718" s="14">
        <f>IFERROR(IF(OR(J718=0,K718=""),"",IF(E718="Positivo",MIN(MAX(K718/J718,0),1.3),MIN(MAX(J718/K718,0),1.3))),"") </f>
        <v/>
      </c>
      <c r="M718" s="14">
        <f>IFERROR(IF(OR(J718=0,K718=""),"",IF(E718="Positivo",MAX(K718/J718,0),MAX(J718/K718,0))),"") </f>
        <v/>
      </c>
      <c r="N718" s="5" t="inlineStr">
        <is>
          <t>ENT</t>
        </is>
      </c>
      <c r="O718" s="5" t="inlineStr">
        <is>
          <t>ENT</t>
        </is>
      </c>
      <c r="P718" s="5" t="n">
        <v>0</v>
      </c>
      <c r="Q718" s="5" t="n">
        <v>0</v>
      </c>
      <c r="R718" s="5" t="inlineStr">
        <is>
          <t>274-2024-12-31</t>
        </is>
      </c>
    </row>
    <row r="719">
      <c r="A719" s="5" t="n">
        <v>274</v>
      </c>
      <c r="B719" s="5" t="inlineStr">
        <is>
          <t>Cumplimiento total estudiantes antiguos</t>
        </is>
      </c>
      <c r="C719" s="5" t="inlineStr">
        <is>
          <t>Rematrícula</t>
        </is>
      </c>
      <c r="D719" s="5" t="inlineStr">
        <is>
          <t>Semestral</t>
        </is>
      </c>
      <c r="E719" s="5" t="inlineStr">
        <is>
          <t>Positivo</t>
        </is>
      </c>
      <c r="F719" s="107" t="n">
        <v>45838</v>
      </c>
      <c r="G719" s="5" t="n">
        <v>2025</v>
      </c>
      <c r="H719" s="5" t="inlineStr">
        <is>
          <t>Junio</t>
        </is>
      </c>
      <c r="I719" s="6" t="inlineStr">
        <is>
          <t>2025-1</t>
        </is>
      </c>
      <c r="J719" s="5" t="n">
        <v>100</v>
      </c>
      <c r="K719" s="5" t="n">
        <v>105.8</v>
      </c>
      <c r="L719" s="14">
        <f>IFERROR(IF(OR(J719=0,K719=""),"",IF(E719="Positivo",MIN(MAX(K719/J719,0),1.3),MIN(MAX(J719/K719,0),1.3))),"") </f>
        <v/>
      </c>
      <c r="M719" s="14">
        <f>IFERROR(IF(OR(J719=0,K719=""),"",IF(E719="Positivo",MAX(K719/J719,0),MAX(J719/K719,0))),"") </f>
        <v/>
      </c>
      <c r="N719" s="5" t="inlineStr">
        <is>
          <t>ENT</t>
        </is>
      </c>
      <c r="O719" s="5" t="inlineStr">
        <is>
          <t>ENT</t>
        </is>
      </c>
      <c r="P719" s="5" t="n">
        <v>0</v>
      </c>
      <c r="Q719" s="5" t="n">
        <v>0</v>
      </c>
      <c r="R719" s="5" t="inlineStr">
        <is>
          <t>274-2025-06-30</t>
        </is>
      </c>
    </row>
    <row r="720">
      <c r="A720" s="28" t="n">
        <v>274</v>
      </c>
      <c r="B720" s="5" t="inlineStr">
        <is>
          <t>Cumplimiento total estudiantes antiguos</t>
        </is>
      </c>
      <c r="C720" s="5" t="inlineStr">
        <is>
          <t>Rematrícula</t>
        </is>
      </c>
      <c r="D720" s="5" t="inlineStr">
        <is>
          <t>Semestral</t>
        </is>
      </c>
      <c r="E720" s="5" t="inlineStr">
        <is>
          <t>Positivo</t>
        </is>
      </c>
      <c r="F720" s="107" t="n">
        <v>46022</v>
      </c>
      <c r="G720" s="5" t="n">
        <v>2025</v>
      </c>
      <c r="H720" s="5" t="inlineStr">
        <is>
          <t>Diciembre</t>
        </is>
      </c>
      <c r="I720" s="6" t="inlineStr">
        <is>
          <t>2025-2</t>
        </is>
      </c>
      <c r="J720" s="5" t="n">
        <v>100</v>
      </c>
      <c r="K720" s="5" t="n">
        <v>102.03</v>
      </c>
      <c r="L720" s="74">
        <f>IFERROR(IF(OR(J720=0,K720=""),"",IF(E720="Positivo",MIN(MAX(K720/J720,0),1.3),MIN(MAX(J720/K720,0),1.3))),"") </f>
        <v/>
      </c>
      <c r="M720" s="14">
        <f>IFERROR(IF(OR(J720=0,K720=""),"",IF(E720="Positivo",MAX(K720/J720,0),MAX(J720/K720,0))),"") </f>
        <v/>
      </c>
      <c r="N720" s="5" t="inlineStr">
        <is>
          <t>ENT</t>
        </is>
      </c>
      <c r="O720" s="5" t="inlineStr">
        <is>
          <t>ENT</t>
        </is>
      </c>
      <c r="P720" s="5" t="n">
        <v>0</v>
      </c>
      <c r="Q720" s="5" t="n">
        <v>0</v>
      </c>
      <c r="R720" s="5" t="inlineStr">
        <is>
          <t>274-2025-12-31</t>
        </is>
      </c>
    </row>
    <row r="721">
      <c r="A721" s="26" t="n">
        <v>275</v>
      </c>
      <c r="B721" s="5" t="inlineStr">
        <is>
          <t>Satisfacción Institucional por grupo de interes</t>
        </is>
      </c>
      <c r="C721" s="5" t="inlineStr">
        <is>
          <t>EXPERIENCIA INSTITUCIONAL</t>
        </is>
      </c>
      <c r="D721" s="5" t="inlineStr">
        <is>
          <t>Trimestral</t>
        </is>
      </c>
      <c r="E721" s="5" t="inlineStr">
        <is>
          <t>Positivo</t>
        </is>
      </c>
      <c r="F721" s="107" t="n">
        <v>45107</v>
      </c>
      <c r="G721" s="5" t="n">
        <v>2023</v>
      </c>
      <c r="H721" s="5" t="inlineStr">
        <is>
          <t>Junio</t>
        </is>
      </c>
      <c r="I721" s="6" t="inlineStr">
        <is>
          <t>2023-1</t>
        </is>
      </c>
      <c r="J721" s="5" t="n">
        <v>80</v>
      </c>
      <c r="K721" s="5" t="n"/>
      <c r="L721" s="74" t="n"/>
      <c r="M721" s="14" t="n"/>
      <c r="N721" s="5" t="inlineStr">
        <is>
          <t>%</t>
        </is>
      </c>
      <c r="O721" s="5" t="inlineStr">
        <is>
          <t>No Aplica</t>
        </is>
      </c>
      <c r="P721" s="5" t="n">
        <v>0</v>
      </c>
      <c r="Q721" s="5" t="n">
        <v>0</v>
      </c>
      <c r="R721" s="5" t="inlineStr">
        <is>
          <t>275-2023-06-30</t>
        </is>
      </c>
      <c r="S721" t="inlineStr">
        <is>
          <t>No Aplica</t>
        </is>
      </c>
    </row>
    <row r="722">
      <c r="A722" s="5" t="n">
        <v>275</v>
      </c>
      <c r="B722" s="5" t="inlineStr">
        <is>
          <t>Satisfacción Institucional por grupo de interes</t>
        </is>
      </c>
      <c r="C722" s="5" t="inlineStr">
        <is>
          <t>EXPERIENCIA INSTITUCIONAL</t>
        </is>
      </c>
      <c r="D722" s="5" t="inlineStr">
        <is>
          <t>Anual</t>
        </is>
      </c>
      <c r="E722" s="5" t="inlineStr">
        <is>
          <t>Positivo</t>
        </is>
      </c>
      <c r="F722" s="107" t="n">
        <v>45291</v>
      </c>
      <c r="G722" s="5" t="n">
        <v>2023</v>
      </c>
      <c r="H722" s="5" t="inlineStr">
        <is>
          <t>Diciembre</t>
        </is>
      </c>
      <c r="I722" s="6" t="inlineStr">
        <is>
          <t>2023-2</t>
        </is>
      </c>
      <c r="J722" s="5" t="n">
        <v>80</v>
      </c>
      <c r="K722" s="5" t="n">
        <v>0</v>
      </c>
      <c r="L722" s="14">
        <f>IFERROR(IF(OR(J722=0,K722=""),"",IF(E722="Positivo",MIN(MAX(K722/J722,0),1.3),MIN(MAX(J722/K722,0),1.3))),"") </f>
        <v/>
      </c>
      <c r="M722" s="14">
        <f>IFERROR(IF(OR(J722=0,K722=""),"",IF(E722="Positivo",MAX(K722/J722,0),MAX(J722/K722,0))),"") </f>
        <v/>
      </c>
      <c r="N722" s="5" t="inlineStr">
        <is>
          <t>%</t>
        </is>
      </c>
      <c r="O722" s="5" t="inlineStr">
        <is>
          <t>%</t>
        </is>
      </c>
      <c r="P722" s="5" t="n">
        <v>0</v>
      </c>
      <c r="Q722" s="5" t="n">
        <v>0</v>
      </c>
      <c r="R722" s="5" t="inlineStr">
        <is>
          <t>275-2023-12-31</t>
        </is>
      </c>
    </row>
    <row r="723">
      <c r="A723" s="5" t="n">
        <v>275</v>
      </c>
      <c r="B723" s="5" t="inlineStr">
        <is>
          <t>Satisfacción Institucional por grupo de interes</t>
        </is>
      </c>
      <c r="C723" s="5" t="inlineStr">
        <is>
          <t>EXPERIENCIA INSTITUCIONAL</t>
        </is>
      </c>
      <c r="D723" s="5" t="inlineStr">
        <is>
          <t>Semestral</t>
        </is>
      </c>
      <c r="E723" s="5" t="inlineStr">
        <is>
          <t>Positivo</t>
        </is>
      </c>
      <c r="F723" s="107" t="n">
        <v>45473</v>
      </c>
      <c r="G723" s="5" t="n">
        <v>2024</v>
      </c>
      <c r="H723" s="5" t="inlineStr">
        <is>
          <t>Junio</t>
        </is>
      </c>
      <c r="I723" s="6" t="inlineStr">
        <is>
          <t>2024-1</t>
        </is>
      </c>
      <c r="J723" s="5" t="n">
        <v>80</v>
      </c>
      <c r="K723" s="5" t="n">
        <v>103.75</v>
      </c>
      <c r="L723" s="14">
        <f>IFERROR(IF(OR(J723=0,K723=""),"",IF(E723="Positivo",MIN(MAX(K723/J723,0),1.3),MIN(MAX(J723/K723,0),1.3))),"") </f>
        <v/>
      </c>
      <c r="M723" s="14">
        <f>IFERROR(IF(OR(J723=0,K723=""),"",IF(E723="Positivo",MAX(K723/J723,0),MAX(J723/K723,0))),"") </f>
        <v/>
      </c>
      <c r="N723" s="5" t="inlineStr">
        <is>
          <t>%</t>
        </is>
      </c>
      <c r="O723" s="5" t="inlineStr">
        <is>
          <t>%</t>
        </is>
      </c>
      <c r="P723" s="5" t="n">
        <v>0</v>
      </c>
      <c r="Q723" s="5" t="n">
        <v>0</v>
      </c>
      <c r="R723" s="5" t="inlineStr">
        <is>
          <t>275-2024-06-30</t>
        </is>
      </c>
    </row>
    <row r="724">
      <c r="A724" s="26" t="n">
        <v>275</v>
      </c>
      <c r="B724" s="5" t="inlineStr">
        <is>
          <t>Satisfacción Institucional por grupo de interes</t>
        </is>
      </c>
      <c r="C724" s="5" t="inlineStr">
        <is>
          <t>EXPERIENCIA INSTITUCIONAL</t>
        </is>
      </c>
      <c r="D724" s="5" t="inlineStr">
        <is>
          <t>Semestral</t>
        </is>
      </c>
      <c r="E724" s="5" t="inlineStr">
        <is>
          <t>Positivo</t>
        </is>
      </c>
      <c r="F724" s="107" t="n">
        <v>45657</v>
      </c>
      <c r="G724" s="5" t="n">
        <v>2024</v>
      </c>
      <c r="H724" s="5" t="inlineStr">
        <is>
          <t>Diciembre</t>
        </is>
      </c>
      <c r="I724" s="6" t="inlineStr">
        <is>
          <t>2024-2</t>
        </is>
      </c>
      <c r="J724" s="5" t="n">
        <v>80</v>
      </c>
      <c r="K724" s="5" t="n">
        <v>109.58</v>
      </c>
      <c r="L724" s="74">
        <f>IFERROR(IF(OR(J724=0,K724=""),"",IF(E724="Positivo",MIN(MAX(K724/J724,0),1.3),MIN(MAX(J724/K724,0),1.3))),"") </f>
        <v/>
      </c>
      <c r="M724" s="14">
        <f>IFERROR(IF(OR(J724=0,K724=""),"",IF(E724="Positivo",MAX(K724/J724,0),MAX(J724/K724,0))),"") </f>
        <v/>
      </c>
      <c r="N724" s="5" t="inlineStr">
        <is>
          <t>%</t>
        </is>
      </c>
      <c r="O724" s="5" t="inlineStr">
        <is>
          <t>%</t>
        </is>
      </c>
      <c r="P724" s="5" t="n">
        <v>0</v>
      </c>
      <c r="Q724" s="5" t="n">
        <v>0</v>
      </c>
      <c r="R724" s="5" t="inlineStr">
        <is>
          <t>275-2024-12-31</t>
        </is>
      </c>
    </row>
    <row r="725">
      <c r="A725" s="5" t="n">
        <v>275</v>
      </c>
      <c r="B725" s="5" t="inlineStr">
        <is>
          <t>Satisfacción Institucional por grupo de interes</t>
        </is>
      </c>
      <c r="C725" s="5" t="inlineStr">
        <is>
          <t>EXPERIENCIA INSTITUCIONAL</t>
        </is>
      </c>
      <c r="D725" s="5" t="inlineStr">
        <is>
          <t>Trimestral</t>
        </is>
      </c>
      <c r="E725" s="5" t="inlineStr">
        <is>
          <t>Positivo</t>
        </is>
      </c>
      <c r="F725" s="107" t="n">
        <v>45838</v>
      </c>
      <c r="G725" s="5" t="n">
        <v>2025</v>
      </c>
      <c r="H725" s="5" t="inlineStr">
        <is>
          <t>Junio</t>
        </is>
      </c>
      <c r="I725" s="6" t="inlineStr">
        <is>
          <t>2025-1</t>
        </is>
      </c>
      <c r="J725" s="5" t="n">
        <v>80</v>
      </c>
      <c r="K725" s="5" t="n">
        <v>90</v>
      </c>
      <c r="L725" s="14">
        <f>IFERROR(IF(OR(J725=0,K725=""),"",IF(E725="Positivo",MIN(MAX(K725/J725,0),1.3),MIN(MAX(J725/K725,0),1.3))),"") </f>
        <v/>
      </c>
      <c r="M725" s="14">
        <f>IFERROR(IF(OR(J725=0,K725=""),"",IF(E725="Positivo",MAX(K725/J725,0),MAX(J725/K725,0))),"") </f>
        <v/>
      </c>
      <c r="N725" s="5" t="inlineStr">
        <is>
          <t>%</t>
        </is>
      </c>
      <c r="O725" s="5" t="inlineStr">
        <is>
          <t>%</t>
        </is>
      </c>
      <c r="P725" s="5" t="n">
        <v>0</v>
      </c>
      <c r="Q725" s="5" t="n">
        <v>0</v>
      </c>
      <c r="R725" s="5" t="inlineStr">
        <is>
          <t>275-2025-06-30</t>
        </is>
      </c>
    </row>
    <row r="726">
      <c r="A726" s="28" t="n">
        <v>275</v>
      </c>
      <c r="B726" s="5" t="inlineStr">
        <is>
          <t>Satisfacción Institucional por grupo de interes</t>
        </is>
      </c>
      <c r="C726" s="5" t="inlineStr">
        <is>
          <t>EXPERIENCIA INSTITUCIONAL</t>
        </is>
      </c>
      <c r="D726" s="5" t="inlineStr">
        <is>
          <t>Trimestral</t>
        </is>
      </c>
      <c r="E726" s="5" t="inlineStr">
        <is>
          <t>Positivo</t>
        </is>
      </c>
      <c r="F726" s="107" t="n">
        <v>46022</v>
      </c>
      <c r="G726" s="5" t="n">
        <v>2025</v>
      </c>
      <c r="H726" s="5" t="inlineStr">
        <is>
          <t>Diciembre</t>
        </is>
      </c>
      <c r="I726" s="6" t="inlineStr">
        <is>
          <t>2025-2</t>
        </is>
      </c>
      <c r="J726" s="5" t="n">
        <v>80</v>
      </c>
      <c r="K726" s="5" t="n">
        <v>91.67</v>
      </c>
      <c r="L726" s="14">
        <f>IFERROR(IF(OR(J726=0,K726=""),"",IF(E726="Positivo",MIN(MAX(K726/J726,0),1.3),MIN(MAX(J726/K726,0),1.3))),"") </f>
        <v/>
      </c>
      <c r="M726" s="14">
        <f>IFERROR(IF(OR(J726=0,K726=""),"",IF(E726="Positivo",MAX(K726/J726,0),MAX(J726/K726,0))),"") </f>
        <v/>
      </c>
      <c r="N726" s="5" t="inlineStr">
        <is>
          <t>%</t>
        </is>
      </c>
      <c r="O726" s="5" t="inlineStr">
        <is>
          <t>%</t>
        </is>
      </c>
      <c r="P726" s="5" t="n">
        <v>0</v>
      </c>
      <c r="Q726" s="5" t="n">
        <v>0</v>
      </c>
      <c r="R726" s="5" t="inlineStr">
        <is>
          <t>275-2025-12-31</t>
        </is>
      </c>
    </row>
    <row r="727">
      <c r="A727" s="26" t="n">
        <v>276</v>
      </c>
      <c r="B727" s="5" t="inlineStr">
        <is>
          <t>Relación Estudiante-Docente Tiempo completo</t>
        </is>
      </c>
      <c r="C727" s="5" t="inlineStr">
        <is>
          <t>Gestión Docente</t>
        </is>
      </c>
      <c r="D727" s="5" t="inlineStr">
        <is>
          <t>Semestral</t>
        </is>
      </c>
      <c r="E727" s="5" t="inlineStr">
        <is>
          <t>Negativo</t>
        </is>
      </c>
      <c r="F727" s="107" t="n">
        <v>45107</v>
      </c>
      <c r="G727" s="5" t="n">
        <v>2023</v>
      </c>
      <c r="H727" s="5" t="inlineStr">
        <is>
          <t>Junio</t>
        </is>
      </c>
      <c r="I727" s="6" t="inlineStr">
        <is>
          <t>2023-1</t>
        </is>
      </c>
      <c r="J727" s="5" t="n">
        <v>85</v>
      </c>
      <c r="K727" s="5" t="n">
        <v>89.98999999999999</v>
      </c>
      <c r="L727" s="14">
        <f>IFERROR(IF(OR(J727=0,K727=""),"",IF(E727="Positivo",MIN(MAX(K727/J727,0),1.3),MIN(MAX(J727/K727,0),1.3))),"") </f>
        <v/>
      </c>
      <c r="M727" s="14">
        <f>IFERROR(IF(OR(J727=0,K727=""),"",IF(E727="Positivo",MAX(K727/J727,0),MAX(J727/K727,0))),"") </f>
        <v/>
      </c>
      <c r="N727" s="5" t="n"/>
      <c r="O727" s="5" t="n"/>
      <c r="P727" s="5" t="n">
        <v>0</v>
      </c>
      <c r="Q727" s="5" t="n">
        <v>1</v>
      </c>
      <c r="R727" s="5" t="inlineStr">
        <is>
          <t>276-2023-06-30</t>
        </is>
      </c>
    </row>
    <row r="728">
      <c r="A728" s="26" t="n">
        <v>276</v>
      </c>
      <c r="B728" s="5" t="inlineStr">
        <is>
          <t>Relación Estudiante-Docente Tiempo completo</t>
        </is>
      </c>
      <c r="C728" s="5" t="inlineStr">
        <is>
          <t>Gestión Docente</t>
        </is>
      </c>
      <c r="D728" s="5" t="inlineStr">
        <is>
          <t>Semestral</t>
        </is>
      </c>
      <c r="E728" s="5" t="inlineStr">
        <is>
          <t>Negativo</t>
        </is>
      </c>
      <c r="F728" s="107" t="n">
        <v>45291</v>
      </c>
      <c r="G728" s="5" t="n">
        <v>2023</v>
      </c>
      <c r="H728" s="5" t="inlineStr">
        <is>
          <t>Diciembre</t>
        </is>
      </c>
      <c r="I728" s="6" t="inlineStr">
        <is>
          <t>2023-2</t>
        </is>
      </c>
      <c r="J728" s="5" t="n">
        <v>85</v>
      </c>
      <c r="K728" s="5" t="n">
        <v>84.5</v>
      </c>
      <c r="L728" s="14">
        <f>IFERROR(IF(OR(J728=0,K728=""),"",IF(E728="Positivo",MIN(MAX(K728/J728,0),1.3),MIN(MAX(J728/K728,0),1.3))),"") </f>
        <v/>
      </c>
      <c r="M728" s="14">
        <f>IFERROR(IF(OR(J728=0,K728=""),"",IF(E728="Positivo",MAX(K728/J728,0),MAX(J728/K728,0))),"") </f>
        <v/>
      </c>
      <c r="N728" s="5" t="n"/>
      <c r="O728" s="5" t="n"/>
      <c r="P728" s="5" t="n">
        <v>0</v>
      </c>
      <c r="Q728" s="5" t="n">
        <v>1</v>
      </c>
      <c r="R728" s="5" t="inlineStr">
        <is>
          <t>276-2023-12-31</t>
        </is>
      </c>
    </row>
    <row r="729">
      <c r="A729" s="5" t="n">
        <v>276</v>
      </c>
      <c r="B729" s="5" t="inlineStr">
        <is>
          <t>Relación Estudiante-Docente Tiempo completo</t>
        </is>
      </c>
      <c r="C729" s="5" t="inlineStr">
        <is>
          <t>Gestión Docente</t>
        </is>
      </c>
      <c r="D729" s="5" t="inlineStr">
        <is>
          <t>Semestral</t>
        </is>
      </c>
      <c r="E729" s="5" t="inlineStr">
        <is>
          <t>Negativo</t>
        </is>
      </c>
      <c r="F729" s="107" t="n">
        <v>45473</v>
      </c>
      <c r="G729" s="5" t="n">
        <v>2024</v>
      </c>
      <c r="H729" s="5" t="inlineStr">
        <is>
          <t>Junio</t>
        </is>
      </c>
      <c r="I729" s="6" t="inlineStr">
        <is>
          <t>2024-1</t>
        </is>
      </c>
      <c r="J729" s="5" t="n">
        <v>75</v>
      </c>
      <c r="K729" s="5" t="n">
        <v>83.65000000000001</v>
      </c>
      <c r="L729" s="14">
        <f>IFERROR(IF(OR(J729=0,K729=""),"",IF(E729="Positivo",MIN(MAX(K729/J729,0),1.3),MIN(MAX(J729/K729,0),1.3))),"") </f>
        <v/>
      </c>
      <c r="M729" s="14">
        <f>IFERROR(IF(OR(J729=0,K729=""),"",IF(E729="Positivo",MAX(K729/J729,0),MAX(J729/K729,0))),"") </f>
        <v/>
      </c>
      <c r="N729" s="5" t="n"/>
      <c r="O729" s="5" t="n"/>
      <c r="P729" s="5" t="n">
        <v>0</v>
      </c>
      <c r="Q729" s="5" t="n">
        <v>1</v>
      </c>
      <c r="R729" s="5" t="inlineStr">
        <is>
          <t>276-2024-06-30</t>
        </is>
      </c>
    </row>
    <row r="730">
      <c r="A730" s="26" t="n">
        <v>276</v>
      </c>
      <c r="B730" s="5" t="inlineStr">
        <is>
          <t>Relación Estudiante-Docente Tiempo completo</t>
        </is>
      </c>
      <c r="C730" s="5" t="inlineStr">
        <is>
          <t>Gestión Docente</t>
        </is>
      </c>
      <c r="D730" s="5" t="inlineStr">
        <is>
          <t>Semestral</t>
        </is>
      </c>
      <c r="E730" s="5" t="inlineStr">
        <is>
          <t>Negativo</t>
        </is>
      </c>
      <c r="F730" s="107" t="n">
        <v>45657</v>
      </c>
      <c r="G730" s="5" t="n">
        <v>2024</v>
      </c>
      <c r="H730" s="5" t="inlineStr">
        <is>
          <t>Diciembre</t>
        </is>
      </c>
      <c r="I730" s="6" t="inlineStr">
        <is>
          <t>2024-2</t>
        </is>
      </c>
      <c r="J730" s="5" t="n">
        <v>75</v>
      </c>
      <c r="K730" s="5" t="n">
        <v>82.68000000000001</v>
      </c>
      <c r="L730" s="74">
        <f>IFERROR(IF(OR(J730=0,K730=""),"",IF(E730="Positivo",MIN(MAX(K730/J730,0),1.3),MIN(MAX(J730/K730,0),1.3))),"") </f>
        <v/>
      </c>
      <c r="M730" s="14">
        <f>IFERROR(IF(OR(J730=0,K730=""),"",IF(E730="Positivo",MAX(K730/J730,0),MAX(J730/K730,0))),"") </f>
        <v/>
      </c>
      <c r="N730" s="5" t="n"/>
      <c r="O730" s="5" t="n"/>
      <c r="P730" s="5" t="n">
        <v>0</v>
      </c>
      <c r="Q730" s="5" t="n">
        <v>1</v>
      </c>
      <c r="R730" s="5" t="inlineStr">
        <is>
          <t>276-2024-12-31</t>
        </is>
      </c>
    </row>
    <row r="731">
      <c r="A731" s="5" t="n">
        <v>276</v>
      </c>
      <c r="B731" s="5" t="inlineStr">
        <is>
          <t>Relación Estudiante-Docente Tiempo completo</t>
        </is>
      </c>
      <c r="C731" s="5" t="inlineStr">
        <is>
          <t>Gestión Docente</t>
        </is>
      </c>
      <c r="D731" s="5" t="inlineStr">
        <is>
          <t>Trimestral</t>
        </is>
      </c>
      <c r="E731" s="5" t="inlineStr">
        <is>
          <t>Negativo</t>
        </is>
      </c>
      <c r="F731" s="107" t="n">
        <v>45838</v>
      </c>
      <c r="G731" s="5" t="n">
        <v>2025</v>
      </c>
      <c r="H731" s="5" t="inlineStr">
        <is>
          <t>Junio</t>
        </is>
      </c>
      <c r="I731" s="6" t="inlineStr">
        <is>
          <t>2025-1</t>
        </is>
      </c>
      <c r="J731" s="5" t="n">
        <v>81</v>
      </c>
      <c r="K731" s="5" t="n">
        <v>84.18000000000001</v>
      </c>
      <c r="L731" s="14">
        <f>IFERROR(IF(OR(J731=0,K731=""),"",IF(E731="Positivo",MIN(MAX(K731/J731,0),1.3),MIN(MAX(J731/K731,0),1.3))),"") </f>
        <v/>
      </c>
      <c r="M731" s="14">
        <f>IFERROR(IF(OR(J731=0,K731=""),"",IF(E731="Positivo",MAX(K731/J731,0),MAX(J731/K731,0))),"") </f>
        <v/>
      </c>
      <c r="N731" s="5" t="inlineStr">
        <is>
          <t>ENT</t>
        </is>
      </c>
      <c r="O731" s="5" t="inlineStr">
        <is>
          <t>DEC</t>
        </is>
      </c>
      <c r="P731" s="5" t="n">
        <v>0</v>
      </c>
      <c r="Q731" s="5" t="n">
        <v>1</v>
      </c>
      <c r="R731" s="5" t="inlineStr">
        <is>
          <t>276-2025-06-30</t>
        </is>
      </c>
    </row>
    <row r="732">
      <c r="A732" s="5" t="n">
        <v>276</v>
      </c>
      <c r="B732" s="5" t="inlineStr">
        <is>
          <t>Relación Estudiante-Docente Tiempo completo</t>
        </is>
      </c>
      <c r="C732" s="5" t="inlineStr">
        <is>
          <t>Gestión Docente</t>
        </is>
      </c>
      <c r="D732" s="5" t="inlineStr">
        <is>
          <t>Trimestral</t>
        </is>
      </c>
      <c r="E732" s="5" t="inlineStr">
        <is>
          <t>Negativo</t>
        </is>
      </c>
      <c r="F732" s="107" t="n">
        <v>46022</v>
      </c>
      <c r="G732" s="5" t="n">
        <v>2025</v>
      </c>
      <c r="H732" s="5" t="inlineStr">
        <is>
          <t>Diciembre</t>
        </is>
      </c>
      <c r="I732" s="6" t="inlineStr">
        <is>
          <t>2025-2</t>
        </is>
      </c>
      <c r="J732" s="5" t="n">
        <v>81</v>
      </c>
      <c r="K732" s="5" t="n">
        <v>82.81</v>
      </c>
      <c r="L732" s="14">
        <f>IFERROR(IF(OR(J732=0,K732=""),"",IF(E732="Positivo",MIN(MAX(K732/J732,0),1.3),MIN(MAX(J732/K732,0),1.3))),"") </f>
        <v/>
      </c>
      <c r="M732" s="14">
        <f>IFERROR(IF(OR(J732=0,K732=""),"",IF(E732="Positivo",MAX(K732/J732,0),MAX(J732/K732,0))),"") </f>
        <v/>
      </c>
      <c r="N732" s="5" t="inlineStr">
        <is>
          <t>ENT</t>
        </is>
      </c>
      <c r="O732" s="5" t="inlineStr">
        <is>
          <t>DEC</t>
        </is>
      </c>
      <c r="P732" s="5" t="n">
        <v>0</v>
      </c>
      <c r="Q732" s="5" t="n">
        <v>1</v>
      </c>
      <c r="R732" s="5" t="inlineStr">
        <is>
          <t>276-2025-12-31</t>
        </is>
      </c>
    </row>
    <row r="733">
      <c r="A733" s="28" t="n">
        <v>277</v>
      </c>
      <c r="B733" s="5" t="inlineStr">
        <is>
          <t>Relación estudiante docente Tiempo Completo Equivalente</t>
        </is>
      </c>
      <c r="C733" s="5" t="inlineStr">
        <is>
          <t>Gestión Docente</t>
        </is>
      </c>
      <c r="D733" s="5" t="inlineStr">
        <is>
          <t>Semestral</t>
        </is>
      </c>
      <c r="E733" s="5" t="inlineStr">
        <is>
          <t>Negativo</t>
        </is>
      </c>
      <c r="F733" s="107" t="n">
        <v>45107</v>
      </c>
      <c r="G733" s="5" t="n">
        <v>2023</v>
      </c>
      <c r="H733" s="5" t="inlineStr">
        <is>
          <t>Junio</t>
        </is>
      </c>
      <c r="I733" s="6" t="inlineStr">
        <is>
          <t>2023-1</t>
        </is>
      </c>
      <c r="J733" s="5" t="n">
        <v>85</v>
      </c>
      <c r="K733" s="5" t="n">
        <v>76.48</v>
      </c>
      <c r="L733" s="74">
        <f>IFERROR(IF(OR(J733=0,K733=""),"",IF(E733="Positivo",MIN(MAX(K733/J733,0),1.3),MIN(MAX(J733/K733,0),1.3))),"") </f>
        <v/>
      </c>
      <c r="M733" s="14">
        <f>IFERROR(IF(OR(J733=0,K733=""),"",IF(E733="Positivo",MAX(K733/J733,0),MAX(J733/K733,0))),"") </f>
        <v/>
      </c>
      <c r="N733" s="5" t="n"/>
      <c r="O733" s="5" t="n"/>
      <c r="P733" s="5" t="n">
        <v>0</v>
      </c>
      <c r="Q733" s="5" t="n">
        <v>1</v>
      </c>
      <c r="R733" s="5" t="inlineStr">
        <is>
          <t>277-2023-06-30</t>
        </is>
      </c>
    </row>
    <row r="734">
      <c r="A734" s="26" t="n">
        <v>277</v>
      </c>
      <c r="B734" s="5" t="inlineStr">
        <is>
          <t>Relación estudiante docente Tiempo Completo Equivalente</t>
        </is>
      </c>
      <c r="C734" s="5" t="inlineStr">
        <is>
          <t>Gestión Docente</t>
        </is>
      </c>
      <c r="D734" s="5" t="inlineStr">
        <is>
          <t>Semestral</t>
        </is>
      </c>
      <c r="E734" s="5" t="inlineStr">
        <is>
          <t>Negativo</t>
        </is>
      </c>
      <c r="F734" s="107" t="n">
        <v>45291</v>
      </c>
      <c r="G734" s="5" t="n">
        <v>2023</v>
      </c>
      <c r="H734" s="5" t="inlineStr">
        <is>
          <t>Diciembre</t>
        </is>
      </c>
      <c r="I734" s="6" t="inlineStr">
        <is>
          <t>2023-2</t>
        </is>
      </c>
      <c r="J734" s="5" t="n">
        <v>85</v>
      </c>
      <c r="K734" s="5" t="n">
        <v>73.29000000000001</v>
      </c>
      <c r="L734" s="74">
        <f>IFERROR(IF(OR(J734=0,K734=""),"",IF(E734="Positivo",MIN(MAX(K734/J734,0),1.3),MIN(MAX(J734/K734,0),1.3))),"") </f>
        <v/>
      </c>
      <c r="M734" s="14">
        <f>IFERROR(IF(OR(J734=0,K734=""),"",IF(E734="Positivo",MAX(K734/J734,0),MAX(J734/K734,0))),"") </f>
        <v/>
      </c>
      <c r="N734" s="5" t="n"/>
      <c r="O734" s="5" t="n"/>
      <c r="P734" s="5" t="n">
        <v>0</v>
      </c>
      <c r="Q734" s="5" t="n">
        <v>1</v>
      </c>
      <c r="R734" s="5" t="inlineStr">
        <is>
          <t>277-2023-12-31</t>
        </is>
      </c>
    </row>
    <row r="735">
      <c r="A735" s="5" t="n">
        <v>277</v>
      </c>
      <c r="B735" s="5" t="inlineStr">
        <is>
          <t>Relación estudiante docente Tiempo Completo Equivalente</t>
        </is>
      </c>
      <c r="C735" s="5" t="inlineStr">
        <is>
          <t>Gestión Docente</t>
        </is>
      </c>
      <c r="D735" s="5" t="inlineStr">
        <is>
          <t>Semestral</t>
        </is>
      </c>
      <c r="E735" s="5" t="inlineStr">
        <is>
          <t>Negativo</t>
        </is>
      </c>
      <c r="F735" s="107" t="n">
        <v>45473</v>
      </c>
      <c r="G735" s="5" t="n">
        <v>2024</v>
      </c>
      <c r="H735" s="5" t="inlineStr">
        <is>
          <t>Junio</t>
        </is>
      </c>
      <c r="I735" s="6" t="inlineStr">
        <is>
          <t>2024-1</t>
        </is>
      </c>
      <c r="J735" s="5" t="n">
        <v>73</v>
      </c>
      <c r="K735" s="5" t="n">
        <v>71.18000000000001</v>
      </c>
      <c r="L735" s="14">
        <f>IFERROR(IF(OR(J735=0,K735=""),"",IF(E735="Positivo",MIN(MAX(K735/J735,0),1.3),MIN(MAX(J735/K735,0),1.3))),"") </f>
        <v/>
      </c>
      <c r="M735" s="14">
        <f>IFERROR(IF(OR(J735=0,K735=""),"",IF(E735="Positivo",MAX(K735/J735,0),MAX(J735/K735,0))),"") </f>
        <v/>
      </c>
      <c r="N735" s="5" t="n"/>
      <c r="O735" s="5" t="n"/>
      <c r="P735" s="5" t="n">
        <v>0</v>
      </c>
      <c r="Q735" s="5" t="n">
        <v>1</v>
      </c>
      <c r="R735" s="5" t="inlineStr">
        <is>
          <t>277-2024-06-30</t>
        </is>
      </c>
    </row>
    <row r="736">
      <c r="A736" s="5" t="n">
        <v>277</v>
      </c>
      <c r="B736" s="5" t="inlineStr">
        <is>
          <t>Relación estudiante docente Tiempo Completo Equivalente</t>
        </is>
      </c>
      <c r="C736" s="5" t="inlineStr">
        <is>
          <t>Gestión Docente</t>
        </is>
      </c>
      <c r="D736" s="5" t="inlineStr">
        <is>
          <t>Semestral</t>
        </is>
      </c>
      <c r="E736" s="5" t="inlineStr">
        <is>
          <t>Negativo</t>
        </is>
      </c>
      <c r="F736" s="107" t="n">
        <v>45657</v>
      </c>
      <c r="G736" s="5" t="n">
        <v>2024</v>
      </c>
      <c r="H736" s="5" t="inlineStr">
        <is>
          <t>Diciembre</t>
        </is>
      </c>
      <c r="I736" s="6" t="inlineStr">
        <is>
          <t>2024-2</t>
        </is>
      </c>
      <c r="J736" s="5" t="n">
        <v>73</v>
      </c>
      <c r="K736" s="5" t="n">
        <v>71.23999999999999</v>
      </c>
      <c r="L736" s="14">
        <f>IFERROR(IF(OR(J736=0,K736=""),"",IF(E736="Positivo",MIN(MAX(K736/J736,0),1.3),MIN(MAX(J736/K736,0),1.3))),"") </f>
        <v/>
      </c>
      <c r="M736" s="14">
        <f>IFERROR(IF(OR(J736=0,K736=""),"",IF(E736="Positivo",MAX(K736/J736,0),MAX(J736/K736,0))),"") </f>
        <v/>
      </c>
      <c r="N736" s="5" t="n"/>
      <c r="O736" s="5" t="n"/>
      <c r="P736" s="5" t="n">
        <v>0</v>
      </c>
      <c r="Q736" s="5" t="n">
        <v>1</v>
      </c>
      <c r="R736" s="5" t="inlineStr">
        <is>
          <t>277-2024-12-31</t>
        </is>
      </c>
    </row>
    <row r="737">
      <c r="A737" s="5" t="n">
        <v>277</v>
      </c>
      <c r="B737" s="5" t="inlineStr">
        <is>
          <t>Relación estudiante docente Tiempo Completo Equivalente</t>
        </is>
      </c>
      <c r="C737" s="5" t="inlineStr">
        <is>
          <t>Gestión Docente</t>
        </is>
      </c>
      <c r="D737" s="5" t="inlineStr">
        <is>
          <t>Semestral</t>
        </is>
      </c>
      <c r="E737" s="5" t="inlineStr">
        <is>
          <t>Negativo</t>
        </is>
      </c>
      <c r="F737" s="106" t="n">
        <v>45838</v>
      </c>
      <c r="G737" s="15" t="n">
        <v>2025</v>
      </c>
      <c r="H737" s="6" t="inlineStr">
        <is>
          <t>Junio</t>
        </is>
      </c>
      <c r="I737" s="27" t="inlineStr">
        <is>
          <t>2025-1</t>
        </is>
      </c>
      <c r="J737" s="5" t="n">
        <v>71</v>
      </c>
      <c r="K737" s="5" t="n">
        <v>69.39</v>
      </c>
      <c r="L737" s="14">
        <f>IFERROR(IF(OR(J737=0,K737=""),"",IF(E737="Positivo",MIN(MAX(K737/J737,0),1.3),MIN(MAX(J737/K737,0),1.3))),"") </f>
        <v/>
      </c>
      <c r="M737" s="14">
        <f>IFERROR(IF(OR(J737=0,K737=""),"",IF(E737="Positivo",MAX(K737/J737,0),MAX(J737/K737,0))),"") </f>
        <v/>
      </c>
      <c r="N737" s="5" t="n"/>
      <c r="O737" s="5" t="n"/>
      <c r="P737" s="5" t="n">
        <v>0</v>
      </c>
      <c r="Q737" s="5" t="n">
        <v>1</v>
      </c>
      <c r="R737" s="5" t="inlineStr">
        <is>
          <t>277-2025-06-30</t>
        </is>
      </c>
    </row>
    <row r="738">
      <c r="A738" s="26" t="n">
        <v>277</v>
      </c>
      <c r="B738" s="5" t="inlineStr">
        <is>
          <t>Relación estudiante docente TCE (Tiempo Completo Equivalente)</t>
        </is>
      </c>
      <c r="C738" s="5" t="inlineStr">
        <is>
          <t>Gestión Docente</t>
        </is>
      </c>
      <c r="D738" s="5" t="inlineStr">
        <is>
          <t>Trimestral</t>
        </is>
      </c>
      <c r="E738" s="5" t="inlineStr">
        <is>
          <t>Negativo</t>
        </is>
      </c>
      <c r="F738" s="107" t="n">
        <v>46022</v>
      </c>
      <c r="G738" s="5" t="n">
        <v>2025</v>
      </c>
      <c r="H738" s="5" t="inlineStr">
        <is>
          <t>Diciembre</t>
        </is>
      </c>
      <c r="I738" s="6" t="inlineStr">
        <is>
          <t>2025-2</t>
        </is>
      </c>
      <c r="J738" s="5" t="n">
        <v>71</v>
      </c>
      <c r="K738" s="5" t="n">
        <v>68.40000000000001</v>
      </c>
      <c r="L738" s="14">
        <f>IFERROR(IF(OR(J738=0,K738=""),"",IF(E738="Positivo",MIN(MAX(K738/J738,0),1.3),MIN(MAX(J738/K738,0),1.3))),"") </f>
        <v/>
      </c>
      <c r="M738" s="14">
        <f>IFERROR(IF(OR(J738=0,K738=""),"",IF(E738="Positivo",MAX(K738/J738,0),MAX(J738/K738,0))),"") </f>
        <v/>
      </c>
      <c r="N738" s="5" t="inlineStr">
        <is>
          <t>ENT</t>
        </is>
      </c>
      <c r="O738" s="5" t="inlineStr">
        <is>
          <t>DEC</t>
        </is>
      </c>
      <c r="P738" s="5" t="n">
        <v>1</v>
      </c>
      <c r="Q738" s="5" t="n">
        <v>1</v>
      </c>
      <c r="R738" s="5" t="inlineStr">
        <is>
          <t>277-2025-12-31</t>
        </is>
      </c>
    </row>
    <row r="739">
      <c r="A739" s="5" t="n">
        <v>278</v>
      </c>
      <c r="B739" s="5" t="inlineStr">
        <is>
          <t>Docentes contratados</t>
        </is>
      </c>
      <c r="C739" s="5" t="inlineStr">
        <is>
          <t>Gestión Docente</t>
        </is>
      </c>
      <c r="D739" s="5" t="inlineStr">
        <is>
          <t>Semestral</t>
        </is>
      </c>
      <c r="E739" s="5" t="inlineStr">
        <is>
          <t>Positivo</t>
        </is>
      </c>
      <c r="F739" s="107" t="n">
        <v>45107</v>
      </c>
      <c r="G739" s="5" t="n">
        <v>2023</v>
      </c>
      <c r="H739" s="5" t="inlineStr">
        <is>
          <t>Junio</t>
        </is>
      </c>
      <c r="I739" s="6" t="inlineStr">
        <is>
          <t>2023-1</t>
        </is>
      </c>
      <c r="J739" s="5" t="n">
        <v>0</v>
      </c>
      <c r="K739" s="10" t="n">
        <v>0</v>
      </c>
      <c r="L739" s="14">
        <f>IFERROR(IF(OR(J739=0,K739=""),"",IF(E739="Positivo",MIN(MAX(K739/J739,0),1.3),MIN(MAX(J739/K739,0),1.3))),"") </f>
        <v/>
      </c>
      <c r="M739" s="14">
        <f>IFERROR(IF(OR(J739=0,K739=""),"",IF(E739="Positivo",MAX(K739/J739,0),MAX(J739/K739,0))),"") </f>
        <v/>
      </c>
      <c r="N739" s="5" t="n"/>
      <c r="O739" s="5" t="n"/>
      <c r="P739" s="5" t="n">
        <v>0</v>
      </c>
      <c r="Q739" s="5" t="n">
        <v>0</v>
      </c>
      <c r="R739" s="5" t="inlineStr">
        <is>
          <t>278-2023-06-30</t>
        </is>
      </c>
    </row>
    <row r="740">
      <c r="A740" s="5" t="n">
        <v>278</v>
      </c>
      <c r="B740" s="5" t="inlineStr">
        <is>
          <t>Docentes contratados</t>
        </is>
      </c>
      <c r="C740" s="5" t="inlineStr">
        <is>
          <t>Gestión Docente</t>
        </is>
      </c>
      <c r="D740" s="5" t="inlineStr">
        <is>
          <t>Semestral</t>
        </is>
      </c>
      <c r="E740" s="5" t="inlineStr">
        <is>
          <t>Positivo</t>
        </is>
      </c>
      <c r="F740" s="107" t="n">
        <v>45291</v>
      </c>
      <c r="G740" s="5" t="n">
        <v>2023</v>
      </c>
      <c r="H740" s="5" t="inlineStr">
        <is>
          <t>Diciembre</t>
        </is>
      </c>
      <c r="I740" s="6" t="inlineStr">
        <is>
          <t>2023-2</t>
        </is>
      </c>
      <c r="J740" s="5" t="n">
        <v>0</v>
      </c>
      <c r="K740" s="10" t="n">
        <v>1017</v>
      </c>
      <c r="L740" s="14">
        <f>IFERROR(IF(OR(J740=0,K740=""),"",IF(E740="Positivo",MIN(MAX(K740/J740,0),1.3),MIN(MAX(J740/K740,0),1.3))),"") </f>
        <v/>
      </c>
      <c r="M740" s="14">
        <f>IFERROR(IF(OR(J740=0,K740=""),"",IF(E740="Positivo",MAX(K740/J740,0),MAX(J740/K740,0))),"") </f>
        <v/>
      </c>
      <c r="N740" s="5" t="n"/>
      <c r="O740" s="5" t="n"/>
      <c r="P740" s="5" t="n">
        <v>0</v>
      </c>
      <c r="Q740" s="5" t="n">
        <v>0</v>
      </c>
      <c r="R740" s="5" t="inlineStr">
        <is>
          <t>278-2023-12-31</t>
        </is>
      </c>
    </row>
    <row r="741">
      <c r="A741" s="26" t="n">
        <v>278</v>
      </c>
      <c r="B741" s="5" t="inlineStr">
        <is>
          <t>Docentes contratados</t>
        </is>
      </c>
      <c r="C741" s="5" t="inlineStr">
        <is>
          <t>Gestión Docente</t>
        </is>
      </c>
      <c r="D741" s="5" t="inlineStr">
        <is>
          <t>Semestral</t>
        </is>
      </c>
      <c r="E741" s="5" t="inlineStr">
        <is>
          <t>Positivo</t>
        </is>
      </c>
      <c r="F741" s="107" t="n">
        <v>45473</v>
      </c>
      <c r="G741" s="5" t="n">
        <v>2024</v>
      </c>
      <c r="H741" s="5" t="inlineStr">
        <is>
          <t>Junio</t>
        </is>
      </c>
      <c r="I741" s="6" t="inlineStr">
        <is>
          <t>2024-1</t>
        </is>
      </c>
      <c r="J741" s="5" t="n">
        <v>0</v>
      </c>
      <c r="K741" s="5" t="n">
        <v>1080</v>
      </c>
      <c r="L741" s="74">
        <f>IFERROR(IF(OR(J741=0,K741=""),"",IF(E741="Positivo",MIN(MAX(K741/J741,0),1.3),MIN(MAX(J741/K741,0),1.3))),"") </f>
        <v/>
      </c>
      <c r="M741" s="14">
        <f>IFERROR(IF(OR(J741=0,K741=""),"",IF(E741="Positivo",MAX(K741/J741,0),MAX(J741/K741,0))),"") </f>
        <v/>
      </c>
      <c r="N741" s="5" t="n"/>
      <c r="O741" s="5" t="n"/>
      <c r="P741" s="5" t="n">
        <v>0</v>
      </c>
      <c r="Q741" s="5" t="n">
        <v>0</v>
      </c>
      <c r="R741" s="5" t="inlineStr">
        <is>
          <t>278-2024-06-30</t>
        </is>
      </c>
    </row>
    <row r="742">
      <c r="A742" s="26" t="n">
        <v>278</v>
      </c>
      <c r="B742" s="5" t="inlineStr">
        <is>
          <t>Docentes contratados</t>
        </is>
      </c>
      <c r="C742" s="5" t="inlineStr">
        <is>
          <t>Gestión Docente</t>
        </is>
      </c>
      <c r="D742" s="5" t="inlineStr">
        <is>
          <t>Semestral</t>
        </is>
      </c>
      <c r="E742" s="5" t="inlineStr">
        <is>
          <t>Positivo</t>
        </is>
      </c>
      <c r="F742" s="107" t="n">
        <v>45657</v>
      </c>
      <c r="G742" s="5" t="n">
        <v>2024</v>
      </c>
      <c r="H742" s="5" t="inlineStr">
        <is>
          <t>Diciembre</t>
        </is>
      </c>
      <c r="I742" s="6" t="inlineStr">
        <is>
          <t>2024-2</t>
        </is>
      </c>
      <c r="J742" s="5" t="n">
        <v>0</v>
      </c>
      <c r="K742" s="5" t="n">
        <v>1018</v>
      </c>
      <c r="L742" s="74">
        <f>IFERROR(IF(OR(J742=0,K742=""),"",IF(E742="Positivo",MIN(MAX(K742/J742,0),1.3),MIN(MAX(J742/K742,0),1.3))),"") </f>
        <v/>
      </c>
      <c r="M742" s="14">
        <f>IFERROR(IF(OR(J742=0,K742=""),"",IF(E742="Positivo",MAX(K742/J742,0),MAX(J742/K742,0))),"") </f>
        <v/>
      </c>
      <c r="N742" s="5" t="n"/>
      <c r="O742" s="5" t="n"/>
      <c r="P742" s="5" t="n">
        <v>0</v>
      </c>
      <c r="Q742" s="5" t="n">
        <v>0</v>
      </c>
      <c r="R742" s="5" t="inlineStr">
        <is>
          <t>278-2024-12-31</t>
        </is>
      </c>
    </row>
    <row r="743">
      <c r="A743" s="5" t="n">
        <v>278</v>
      </c>
      <c r="B743" s="5" t="inlineStr">
        <is>
          <t>Docentes contratados - Metrica</t>
        </is>
      </c>
      <c r="C743" s="5" t="inlineStr">
        <is>
          <t>Gestión Docente</t>
        </is>
      </c>
      <c r="D743" s="5" t="inlineStr">
        <is>
          <t>Trimestral</t>
        </is>
      </c>
      <c r="E743" s="5" t="inlineStr">
        <is>
          <t>Positivo</t>
        </is>
      </c>
      <c r="F743" s="107" t="n">
        <v>45838</v>
      </c>
      <c r="G743" s="5" t="n">
        <v>2025</v>
      </c>
      <c r="H743" s="5" t="inlineStr">
        <is>
          <t>Junio</t>
        </is>
      </c>
      <c r="I743" s="6" t="inlineStr">
        <is>
          <t>2025-1</t>
        </is>
      </c>
      <c r="J743" s="5" t="n"/>
      <c r="K743" s="5" t="n">
        <v>1099</v>
      </c>
      <c r="L743" s="14" t="n"/>
      <c r="M743" s="14" t="n"/>
      <c r="N743" s="5" t="inlineStr">
        <is>
          <t>Metrica</t>
        </is>
      </c>
      <c r="O743" s="5" t="inlineStr">
        <is>
          <t>Metrica</t>
        </is>
      </c>
      <c r="P743" s="5" t="n">
        <v>0</v>
      </c>
      <c r="Q743" s="5" t="n">
        <v>0</v>
      </c>
      <c r="R743" s="5" t="inlineStr">
        <is>
          <t>278-2025-06-30</t>
        </is>
      </c>
      <c r="S743" t="inlineStr">
        <is>
          <t>Metrica</t>
        </is>
      </c>
    </row>
    <row r="744">
      <c r="A744" s="26" t="n">
        <v>278</v>
      </c>
      <c r="B744" s="5" t="inlineStr">
        <is>
          <t>Docentes contratados - Metrica</t>
        </is>
      </c>
      <c r="C744" s="5" t="inlineStr">
        <is>
          <t>Gestión Docente</t>
        </is>
      </c>
      <c r="D744" s="5" t="inlineStr">
        <is>
          <t>Trimestral</t>
        </is>
      </c>
      <c r="E744" s="5" t="inlineStr">
        <is>
          <t>Positivo</t>
        </is>
      </c>
      <c r="F744" s="107" t="n">
        <v>46022</v>
      </c>
      <c r="G744" s="5" t="n">
        <v>2025</v>
      </c>
      <c r="H744" s="5" t="inlineStr">
        <is>
          <t>Diciembre</t>
        </is>
      </c>
      <c r="I744" s="6" t="inlineStr">
        <is>
          <t>2025-2</t>
        </is>
      </c>
      <c r="J744" s="5" t="n"/>
      <c r="K744" s="5" t="n">
        <v>1071</v>
      </c>
      <c r="L744" s="74" t="n"/>
      <c r="M744" s="14" t="n"/>
      <c r="N744" s="5" t="inlineStr">
        <is>
          <t>Metrica</t>
        </is>
      </c>
      <c r="O744" s="5" t="inlineStr">
        <is>
          <t>Metrica</t>
        </is>
      </c>
      <c r="P744" s="5" t="n">
        <v>0</v>
      </c>
      <c r="Q744" s="5" t="n">
        <v>0</v>
      </c>
      <c r="R744" s="5" t="inlineStr">
        <is>
          <t>278-2025-12-31</t>
        </is>
      </c>
      <c r="S744" t="inlineStr">
        <is>
          <t>Metrica</t>
        </is>
      </c>
    </row>
    <row r="745">
      <c r="A745" s="26" t="n">
        <v>279</v>
      </c>
      <c r="B745" s="5" t="inlineStr">
        <is>
          <t>Docentes tiempo completo</t>
        </is>
      </c>
      <c r="C745" s="5" t="inlineStr">
        <is>
          <t>Gestión Docente</t>
        </is>
      </c>
      <c r="D745" s="5" t="inlineStr">
        <is>
          <t>Semestral</t>
        </is>
      </c>
      <c r="E745" s="5" t="inlineStr">
        <is>
          <t>Positivo</t>
        </is>
      </c>
      <c r="F745" s="107" t="n">
        <v>45107</v>
      </c>
      <c r="G745" s="5" t="n">
        <v>2023</v>
      </c>
      <c r="H745" s="5" t="inlineStr">
        <is>
          <t>Junio</t>
        </is>
      </c>
      <c r="I745" s="6" t="inlineStr">
        <is>
          <t>2023-1</t>
        </is>
      </c>
      <c r="J745" s="5" t="n">
        <v>0</v>
      </c>
      <c r="K745" s="5" t="n">
        <v>572</v>
      </c>
      <c r="L745" s="74">
        <f>IFERROR(IF(OR(J745=0,K745=""),"",IF(E745="Positivo",MIN(MAX(K745/J745,0),1.3),MIN(MAX(J745/K745,0),1.3))),"") </f>
        <v/>
      </c>
      <c r="M745" s="14">
        <f>IFERROR(IF(OR(J745=0,K745=""),"",IF(E745="Positivo",MAX(K745/J745,0),MAX(J745/K745,0))),"") </f>
        <v/>
      </c>
      <c r="N745" s="5" t="n"/>
      <c r="O745" s="5" t="n"/>
      <c r="P745" s="5" t="n">
        <v>0</v>
      </c>
      <c r="Q745" s="5" t="n">
        <v>0</v>
      </c>
      <c r="R745" s="5" t="inlineStr">
        <is>
          <t>279-2023-06-30</t>
        </is>
      </c>
    </row>
    <row r="746">
      <c r="A746" s="26" t="n">
        <v>279</v>
      </c>
      <c r="B746" s="5" t="inlineStr">
        <is>
          <t>Docentes tiempo completo</t>
        </is>
      </c>
      <c r="C746" s="5" t="inlineStr">
        <is>
          <t>Gestión Docente</t>
        </is>
      </c>
      <c r="D746" s="5" t="inlineStr">
        <is>
          <t>Semestral</t>
        </is>
      </c>
      <c r="E746" s="5" t="inlineStr">
        <is>
          <t>Positivo</t>
        </is>
      </c>
      <c r="F746" s="107" t="n">
        <v>45291</v>
      </c>
      <c r="G746" s="5" t="n">
        <v>2023</v>
      </c>
      <c r="H746" s="5" t="inlineStr">
        <is>
          <t>Diciembre</t>
        </is>
      </c>
      <c r="I746" s="6" t="inlineStr">
        <is>
          <t>2023-2</t>
        </is>
      </c>
      <c r="J746" s="5" t="n">
        <v>0</v>
      </c>
      <c r="K746" s="5" t="n">
        <v>608</v>
      </c>
      <c r="L746" s="74">
        <f>IFERROR(IF(OR(J746=0,K746=""),"",IF(E746="Positivo",MIN(MAX(K746/J746,0),1.3),MIN(MAX(J746/K746,0),1.3))),"") </f>
        <v/>
      </c>
      <c r="M746" s="14">
        <f>IFERROR(IF(OR(J746=0,K746=""),"",IF(E746="Positivo",MAX(K746/J746,0),MAX(J746/K746,0))),"") </f>
        <v/>
      </c>
      <c r="N746" s="5" t="n"/>
      <c r="O746" s="5" t="n"/>
      <c r="P746" s="5" t="n">
        <v>0</v>
      </c>
      <c r="Q746" s="5" t="n">
        <v>0</v>
      </c>
      <c r="R746" s="5" t="inlineStr">
        <is>
          <t>279-2023-12-31</t>
        </is>
      </c>
    </row>
    <row r="747">
      <c r="A747" s="5" t="n">
        <v>280</v>
      </c>
      <c r="B747" s="5" t="inlineStr">
        <is>
          <t>Docentes medio tiempo</t>
        </is>
      </c>
      <c r="C747" s="5" t="inlineStr">
        <is>
          <t>Gestión Docente</t>
        </is>
      </c>
      <c r="D747" s="5" t="inlineStr">
        <is>
          <t>Semestral</t>
        </is>
      </c>
      <c r="E747" s="5" t="inlineStr">
        <is>
          <t>Positivo</t>
        </is>
      </c>
      <c r="F747" s="107" t="n">
        <v>45107</v>
      </c>
      <c r="G747" s="5" t="n">
        <v>2023</v>
      </c>
      <c r="H747" s="5" t="inlineStr">
        <is>
          <t>Junio</t>
        </is>
      </c>
      <c r="I747" s="6" t="inlineStr">
        <is>
          <t>2023-1</t>
        </is>
      </c>
      <c r="J747" s="5" t="n">
        <v>0</v>
      </c>
      <c r="K747" s="5" t="n">
        <v>203</v>
      </c>
      <c r="L747" s="14">
        <f>IFERROR(IF(OR(J747=0,K747=""),"",IF(E747="Positivo",MIN(MAX(K747/J747,0),1.3),MIN(MAX(J747/K747,0),1.3))),"") </f>
        <v/>
      </c>
      <c r="M747" s="14">
        <f>IFERROR(IF(OR(J747=0,K747=""),"",IF(E747="Positivo",MAX(K747/J747,0),MAX(J747/K747,0))),"") </f>
        <v/>
      </c>
      <c r="N747" s="5" t="n"/>
      <c r="O747" s="5" t="n"/>
      <c r="P747" s="5" t="n">
        <v>0</v>
      </c>
      <c r="Q747" s="5" t="n">
        <v>0</v>
      </c>
      <c r="R747" s="5" t="inlineStr">
        <is>
          <t>280-2023-06-30</t>
        </is>
      </c>
    </row>
    <row r="748">
      <c r="A748" s="5" t="n">
        <v>280</v>
      </c>
      <c r="B748" s="5" t="inlineStr">
        <is>
          <t>Docentes medio tiempo</t>
        </is>
      </c>
      <c r="C748" s="5" t="inlineStr">
        <is>
          <t>Gestión Docente</t>
        </is>
      </c>
      <c r="D748" s="5" t="inlineStr">
        <is>
          <t>Semestral</t>
        </is>
      </c>
      <c r="E748" s="5" t="inlineStr">
        <is>
          <t>Positivo</t>
        </is>
      </c>
      <c r="F748" s="107" t="n">
        <v>45291</v>
      </c>
      <c r="G748" s="5" t="n">
        <v>2023</v>
      </c>
      <c r="H748" s="5" t="inlineStr">
        <is>
          <t>Diciembre</t>
        </is>
      </c>
      <c r="I748" s="6" t="inlineStr">
        <is>
          <t>2023-2</t>
        </is>
      </c>
      <c r="J748" s="5" t="n">
        <v>0</v>
      </c>
      <c r="K748" s="5" t="n">
        <v>186</v>
      </c>
      <c r="L748" s="14">
        <f>IFERROR(IF(OR(J748=0,K748=""),"",IF(E748="Positivo",MIN(MAX(K748/J748,0),1.3),MIN(MAX(J748/K748,0),1.3))),"") </f>
        <v/>
      </c>
      <c r="M748" s="14">
        <f>IFERROR(IF(OR(J748=0,K748=""),"",IF(E748="Positivo",MAX(K748/J748,0),MAX(J748/K748,0))),"") </f>
        <v/>
      </c>
      <c r="N748" s="5" t="n"/>
      <c r="O748" s="5" t="n"/>
      <c r="P748" s="5" t="n">
        <v>0</v>
      </c>
      <c r="Q748" s="5" t="n">
        <v>0</v>
      </c>
      <c r="R748" s="5" t="inlineStr">
        <is>
          <t>280-2023-12-31</t>
        </is>
      </c>
    </row>
    <row r="749">
      <c r="A749" s="5" t="n">
        <v>281</v>
      </c>
      <c r="B749" s="5" t="inlineStr">
        <is>
          <t>Docentes cátedra</t>
        </is>
      </c>
      <c r="C749" s="5" t="inlineStr">
        <is>
          <t>Gestión Docente</t>
        </is>
      </c>
      <c r="D749" s="5" t="inlineStr">
        <is>
          <t>Semestral</t>
        </is>
      </c>
      <c r="E749" s="5" t="inlineStr">
        <is>
          <t>Positivo</t>
        </is>
      </c>
      <c r="F749" s="106" t="n">
        <v>45107</v>
      </c>
      <c r="G749" s="15" t="n">
        <v>2023</v>
      </c>
      <c r="H749" s="6" t="inlineStr">
        <is>
          <t>Junio</t>
        </is>
      </c>
      <c r="I749" s="27" t="inlineStr">
        <is>
          <t>2023-1</t>
        </is>
      </c>
      <c r="J749" s="5" t="n"/>
      <c r="K749" s="5" t="n">
        <v>240</v>
      </c>
      <c r="L749" s="14" t="n"/>
      <c r="M749" s="14" t="n"/>
      <c r="N749" s="5" t="n"/>
      <c r="O749" s="5" t="n"/>
      <c r="P749" s="5" t="n">
        <v>0</v>
      </c>
      <c r="Q749" s="5" t="n">
        <v>0</v>
      </c>
      <c r="R749" s="5" t="inlineStr">
        <is>
          <t>281-2023-06-30</t>
        </is>
      </c>
    </row>
    <row r="750">
      <c r="A750" s="26" t="n">
        <v>281</v>
      </c>
      <c r="B750" s="5" t="inlineStr">
        <is>
          <t>Docentes cátedra</t>
        </is>
      </c>
      <c r="C750" s="5" t="inlineStr">
        <is>
          <t>Gestión Docente</t>
        </is>
      </c>
      <c r="D750" s="5" t="inlineStr">
        <is>
          <t>Semestral</t>
        </is>
      </c>
      <c r="E750" s="5" t="inlineStr">
        <is>
          <t>Positivo</t>
        </is>
      </c>
      <c r="F750" s="107" t="n">
        <v>45291</v>
      </c>
      <c r="G750" s="5" t="n">
        <v>2023</v>
      </c>
      <c r="H750" s="5" t="inlineStr">
        <is>
          <t>Diciembre</t>
        </is>
      </c>
      <c r="I750" s="6" t="inlineStr">
        <is>
          <t>2023-2</t>
        </is>
      </c>
      <c r="J750" s="5" t="n"/>
      <c r="K750" s="5" t="n">
        <v>223</v>
      </c>
      <c r="L750" s="14" t="n"/>
      <c r="M750" s="14" t="n"/>
      <c r="N750" s="5" t="n"/>
      <c r="O750" s="5" t="n"/>
      <c r="P750" s="5" t="n">
        <v>0</v>
      </c>
      <c r="Q750" s="5" t="n">
        <v>0</v>
      </c>
      <c r="R750" s="5" t="inlineStr">
        <is>
          <t>281-2023-12-31</t>
        </is>
      </c>
    </row>
    <row r="751">
      <c r="A751" s="5" t="n">
        <v>282</v>
      </c>
      <c r="B751" s="5" t="inlineStr">
        <is>
          <t>Docentes evaluados</t>
        </is>
      </c>
      <c r="C751" s="5" t="inlineStr">
        <is>
          <t>Gestión Docente</t>
        </is>
      </c>
      <c r="D751" s="5" t="inlineStr">
        <is>
          <t>Semestral</t>
        </is>
      </c>
      <c r="E751" s="5" t="inlineStr">
        <is>
          <t>Positivo</t>
        </is>
      </c>
      <c r="F751" s="106" t="n">
        <v>45107</v>
      </c>
      <c r="G751" s="15" t="n">
        <v>2023</v>
      </c>
      <c r="H751" s="6" t="inlineStr">
        <is>
          <t>Junio</t>
        </is>
      </c>
      <c r="I751" s="6" t="inlineStr">
        <is>
          <t>2023-1</t>
        </is>
      </c>
      <c r="J751" s="5" t="n">
        <v>96</v>
      </c>
      <c r="K751" s="5" t="n">
        <v>97.02</v>
      </c>
      <c r="L751" s="14">
        <f>IFERROR(IF(OR(J751=0,K751=""),"",IF(E751="Positivo",MIN(MAX(K751/J751,0),1.3),MIN(MAX(J751/K751,0),1.3))),"") </f>
        <v/>
      </c>
      <c r="M751" s="14">
        <f>IFERROR(IF(OR(J751=0,K751=""),"",IF(E751="Positivo",MAX(K751/J751,0),MAX(J751/K751,0))),"") </f>
        <v/>
      </c>
      <c r="N751" s="5" t="inlineStr">
        <is>
          <t>%</t>
        </is>
      </c>
      <c r="O751" s="5" t="inlineStr">
        <is>
          <t>%</t>
        </is>
      </c>
      <c r="P751" s="5" t="n">
        <v>0</v>
      </c>
      <c r="Q751" s="5" t="n">
        <v>0</v>
      </c>
      <c r="R751" s="5" t="inlineStr">
        <is>
          <t>282-2023-06-30</t>
        </is>
      </c>
    </row>
    <row r="752">
      <c r="A752" s="5" t="n">
        <v>282</v>
      </c>
      <c r="B752" s="5" t="inlineStr">
        <is>
          <t>Docentes evaluados</t>
        </is>
      </c>
      <c r="C752" s="5" t="inlineStr">
        <is>
          <t>Gestión Docente</t>
        </is>
      </c>
      <c r="D752" s="5" t="inlineStr">
        <is>
          <t>Semestral</t>
        </is>
      </c>
      <c r="E752" s="5" t="inlineStr">
        <is>
          <t>Positivo</t>
        </is>
      </c>
      <c r="F752" s="107" t="n">
        <v>45291</v>
      </c>
      <c r="G752" s="15" t="n">
        <v>2023</v>
      </c>
      <c r="H752" s="6" t="inlineStr">
        <is>
          <t>Diciembre</t>
        </is>
      </c>
      <c r="I752" s="6" t="inlineStr">
        <is>
          <t>2023-2</t>
        </is>
      </c>
      <c r="J752" s="5" t="n">
        <v>96</v>
      </c>
      <c r="K752" s="5" t="n">
        <v>97.34</v>
      </c>
      <c r="L752" s="14">
        <f>IFERROR(IF(OR(J752=0,K752=""),"",IF(E752="Positivo",MIN(MAX(K752/J752,0),1.3),MIN(MAX(J752/K752,0),1.3))),"") </f>
        <v/>
      </c>
      <c r="M752" s="14">
        <f>IFERROR(IF(OR(J752=0,K752=""),"",IF(E752="Positivo",MAX(K752/J752,0),MAX(J752/K752,0))),"") </f>
        <v/>
      </c>
      <c r="N752" s="5" t="inlineStr">
        <is>
          <t>%</t>
        </is>
      </c>
      <c r="O752" s="5" t="inlineStr">
        <is>
          <t>%</t>
        </is>
      </c>
      <c r="P752" s="5" t="n">
        <v>0</v>
      </c>
      <c r="Q752" s="5" t="n">
        <v>0</v>
      </c>
      <c r="R752" s="5" t="inlineStr">
        <is>
          <t>282-2023-12-31</t>
        </is>
      </c>
    </row>
    <row r="753">
      <c r="A753" s="28" t="n">
        <v>282</v>
      </c>
      <c r="B753" s="5" t="inlineStr">
        <is>
          <t>Docentes evaluados</t>
        </is>
      </c>
      <c r="C753" s="5" t="inlineStr">
        <is>
          <t>Gestión Docente</t>
        </is>
      </c>
      <c r="D753" s="5" t="inlineStr">
        <is>
          <t>Semestral</t>
        </is>
      </c>
      <c r="E753" s="5" t="inlineStr">
        <is>
          <t>Positivo</t>
        </is>
      </c>
      <c r="F753" s="107" t="n">
        <v>45473</v>
      </c>
      <c r="G753" s="5" t="n">
        <v>2024</v>
      </c>
      <c r="H753" s="5" t="inlineStr">
        <is>
          <t>Junio</t>
        </is>
      </c>
      <c r="I753" s="6" t="inlineStr">
        <is>
          <t>2024-1</t>
        </is>
      </c>
      <c r="J753" s="5" t="n">
        <v>97</v>
      </c>
      <c r="K753" s="5" t="n">
        <v>97.02</v>
      </c>
      <c r="L753" s="74">
        <f>IFERROR(IF(OR(J753=0,K753=""),"",IF(E753="Positivo",MIN(MAX(K753/J753,0),1.3),MIN(MAX(J753/K753,0),1.3))),"") </f>
        <v/>
      </c>
      <c r="M753" s="14">
        <f>IFERROR(IF(OR(J753=0,K753=""),"",IF(E753="Positivo",MAX(K753/J753,0),MAX(J753/K753,0))),"") </f>
        <v/>
      </c>
      <c r="N753" s="5" t="inlineStr">
        <is>
          <t>%</t>
        </is>
      </c>
      <c r="O753" s="5" t="inlineStr">
        <is>
          <t>%</t>
        </is>
      </c>
      <c r="P753" s="5" t="n">
        <v>0</v>
      </c>
      <c r="Q753" s="5" t="n">
        <v>0</v>
      </c>
      <c r="R753" s="5" t="inlineStr">
        <is>
          <t>282-2024-06-30</t>
        </is>
      </c>
    </row>
    <row r="754">
      <c r="A754" s="26" t="n">
        <v>282</v>
      </c>
      <c r="B754" s="5" t="inlineStr">
        <is>
          <t>Docentes evaluados</t>
        </is>
      </c>
      <c r="C754" s="5" t="inlineStr">
        <is>
          <t>Gestión Docente</t>
        </is>
      </c>
      <c r="D754" s="5" t="inlineStr">
        <is>
          <t>Semestral</t>
        </is>
      </c>
      <c r="E754" s="5" t="inlineStr">
        <is>
          <t>Positivo</t>
        </is>
      </c>
      <c r="F754" s="107" t="n">
        <v>45657</v>
      </c>
      <c r="G754" s="5" t="n">
        <v>2024</v>
      </c>
      <c r="H754" s="5" t="inlineStr">
        <is>
          <t>Diciembre</t>
        </is>
      </c>
      <c r="I754" s="6" t="inlineStr">
        <is>
          <t>2024-2</t>
        </is>
      </c>
      <c r="J754" s="5" t="n">
        <v>97</v>
      </c>
      <c r="K754" s="5" t="n">
        <v>96.84</v>
      </c>
      <c r="L754" s="74">
        <f>IFERROR(IF(OR(J754=0,K754=""),"",IF(E754="Positivo",MIN(MAX(K754/J754,0),1.3),MIN(MAX(J754/K754,0),1.3))),"") </f>
        <v/>
      </c>
      <c r="M754" s="14">
        <f>IFERROR(IF(OR(J754=0,K754=""),"",IF(E754="Positivo",MAX(K754/J754,0),MAX(J754/K754,0))),"") </f>
        <v/>
      </c>
      <c r="N754" s="5" t="inlineStr">
        <is>
          <t>%</t>
        </is>
      </c>
      <c r="O754" s="5" t="inlineStr">
        <is>
          <t>%</t>
        </is>
      </c>
      <c r="P754" s="5" t="n">
        <v>0</v>
      </c>
      <c r="Q754" s="5" t="n">
        <v>0</v>
      </c>
      <c r="R754" s="5" t="inlineStr">
        <is>
          <t>282-2024-12-31</t>
        </is>
      </c>
    </row>
    <row r="755">
      <c r="A755" s="28" t="n">
        <v>282</v>
      </c>
      <c r="B755" s="5" t="inlineStr">
        <is>
          <t>Docentes evaluados</t>
        </is>
      </c>
      <c r="C755" s="5" t="inlineStr">
        <is>
          <t>Gestión Docente</t>
        </is>
      </c>
      <c r="D755" s="5" t="inlineStr">
        <is>
          <t>Semestral</t>
        </is>
      </c>
      <c r="E755" s="5" t="inlineStr">
        <is>
          <t>Positivo</t>
        </is>
      </c>
      <c r="F755" s="107" t="n">
        <v>45838</v>
      </c>
      <c r="G755" s="5" t="n">
        <v>2025</v>
      </c>
      <c r="H755" s="5" t="inlineStr">
        <is>
          <t>Junio</t>
        </is>
      </c>
      <c r="I755" s="6" t="inlineStr">
        <is>
          <t>2025-1</t>
        </is>
      </c>
      <c r="J755" s="73" t="n">
        <v>97</v>
      </c>
      <c r="K755" s="9" t="n">
        <v>97.41</v>
      </c>
      <c r="L755" s="74">
        <f>IFERROR(IF(OR(J755=0,K755=""),"",IF(E755="Positivo",MIN(MAX(K755/J755,0),1.3),MIN(MAX(J755/K755,0),1.3))),"") </f>
        <v/>
      </c>
      <c r="M755" s="14">
        <f>IFERROR(IF(OR(J755=0,K755=""),"",IF(E755="Positivo",MAX(K755/J755,0),MAX(J755/K755,0))),"") </f>
        <v/>
      </c>
      <c r="N755" s="5" t="inlineStr">
        <is>
          <t>%</t>
        </is>
      </c>
      <c r="O755" s="5" t="inlineStr">
        <is>
          <t>%</t>
        </is>
      </c>
      <c r="P755" s="5" t="n">
        <v>0</v>
      </c>
      <c r="Q755" s="5" t="n">
        <v>0</v>
      </c>
      <c r="R755" s="5" t="inlineStr">
        <is>
          <t>282-2025-06-30</t>
        </is>
      </c>
    </row>
    <row r="756">
      <c r="A756" s="26" t="n">
        <v>282</v>
      </c>
      <c r="B756" s="5" t="inlineStr">
        <is>
          <t>Docentes evaluados</t>
        </is>
      </c>
      <c r="C756" s="5" t="inlineStr">
        <is>
          <t>Gestión Docente</t>
        </is>
      </c>
      <c r="D756" s="5" t="inlineStr">
        <is>
          <t>Trimestral</t>
        </is>
      </c>
      <c r="E756" s="5" t="inlineStr">
        <is>
          <t>Positivo</t>
        </is>
      </c>
      <c r="F756" s="107" t="n">
        <v>46022</v>
      </c>
      <c r="G756" s="5" t="n">
        <v>2025</v>
      </c>
      <c r="H756" s="5" t="inlineStr">
        <is>
          <t>Diciembre</t>
        </is>
      </c>
      <c r="I756" s="6" t="inlineStr">
        <is>
          <t>2025-2</t>
        </is>
      </c>
      <c r="J756" s="73" t="n">
        <v>97</v>
      </c>
      <c r="K756" s="9" t="n">
        <v>97.56</v>
      </c>
      <c r="L756" s="74">
        <f>IFERROR(IF(OR(J756=0,K756=""),"",IF(E756="Positivo",MIN(MAX(K756/J756,0),1.3),MIN(MAX(J756/K756,0),1.3))),"") </f>
        <v/>
      </c>
      <c r="M756" s="14">
        <f>IFERROR(IF(OR(J756=0,K756=""),"",IF(E756="Positivo",MAX(K756/J756,0),MAX(J756/K756,0))),"") </f>
        <v/>
      </c>
      <c r="N756" s="5" t="inlineStr">
        <is>
          <t>%</t>
        </is>
      </c>
      <c r="O756" s="5" t="inlineStr">
        <is>
          <t>%</t>
        </is>
      </c>
      <c r="P756" s="5" t="n">
        <v>0</v>
      </c>
      <c r="Q756" s="5" t="n">
        <v>0</v>
      </c>
      <c r="R756" s="5" t="inlineStr">
        <is>
          <t>282-2025-12-31</t>
        </is>
      </c>
    </row>
    <row r="757">
      <c r="A757" s="5" t="n">
        <v>283</v>
      </c>
      <c r="B757" s="5" t="inlineStr">
        <is>
          <t>Resultado evaluación docente</t>
        </is>
      </c>
      <c r="C757" s="5" t="inlineStr">
        <is>
          <t>Gestión Docente</t>
        </is>
      </c>
      <c r="D757" s="5" t="inlineStr">
        <is>
          <t>Semestral</t>
        </is>
      </c>
      <c r="E757" s="5" t="inlineStr">
        <is>
          <t>Positivo</t>
        </is>
      </c>
      <c r="F757" s="107" t="n">
        <v>45107</v>
      </c>
      <c r="G757" s="5" t="n">
        <v>2023</v>
      </c>
      <c r="H757" s="5" t="inlineStr">
        <is>
          <t>Junio</t>
        </is>
      </c>
      <c r="I757" s="6" t="inlineStr">
        <is>
          <t>2023-1</t>
        </is>
      </c>
      <c r="J757" s="5" t="n">
        <v>4.5</v>
      </c>
      <c r="K757" s="11" t="n">
        <v>4.6</v>
      </c>
      <c r="L757" s="14">
        <f>IFERROR(IF(OR(J757=0,K757=""),"",IF(E757="Positivo",MIN(MAX(K757/J757,0),1.3),MIN(MAX(J757/K757,0),1.3))),"") </f>
        <v/>
      </c>
      <c r="M757" s="14">
        <f>IFERROR(IF(OR(J757=0,K757=""),"",IF(E757="Positivo",MAX(K757/J757,0),MAX(J757/K757,0))),"") </f>
        <v/>
      </c>
      <c r="N757" s="5" t="n"/>
      <c r="O757" s="5" t="n"/>
      <c r="P757" s="5" t="n">
        <v>2</v>
      </c>
      <c r="Q757" s="5" t="n">
        <v>2</v>
      </c>
      <c r="R757" s="5" t="inlineStr">
        <is>
          <t>283-2023-06-30</t>
        </is>
      </c>
    </row>
    <row r="758">
      <c r="A758" s="5" t="n">
        <v>283</v>
      </c>
      <c r="B758" s="5" t="inlineStr">
        <is>
          <t>Resultado evaluación docente</t>
        </is>
      </c>
      <c r="C758" s="5" t="inlineStr">
        <is>
          <t>Gestión Docente</t>
        </is>
      </c>
      <c r="D758" s="5" t="inlineStr">
        <is>
          <t>Semestral</t>
        </is>
      </c>
      <c r="E758" s="5" t="inlineStr">
        <is>
          <t>Positivo</t>
        </is>
      </c>
      <c r="F758" s="107" t="n">
        <v>45291</v>
      </c>
      <c r="G758" s="5" t="n">
        <v>2023</v>
      </c>
      <c r="H758" s="5" t="inlineStr">
        <is>
          <t>Diciembre</t>
        </is>
      </c>
      <c r="I758" s="6" t="inlineStr">
        <is>
          <t>2023-2</t>
        </is>
      </c>
      <c r="J758" s="5" t="n">
        <v>4.5</v>
      </c>
      <c r="K758" s="5" t="n">
        <v>4.55</v>
      </c>
      <c r="L758" s="14">
        <f>IFERROR(IF(OR(J758=0,K758=""),"",IF(E758="Positivo",MIN(MAX(K758/J758,0),1.3),MIN(MAX(J758/K758,0),1.3))),"") </f>
        <v/>
      </c>
      <c r="M758" s="14">
        <f>IFERROR(IF(OR(J758=0,K758=""),"",IF(E758="Positivo",MAX(K758/J758,0),MAX(J758/K758,0))),"") </f>
        <v/>
      </c>
      <c r="N758" s="5" t="n"/>
      <c r="O758" s="5" t="n"/>
      <c r="P758" s="5" t="n">
        <v>2</v>
      </c>
      <c r="Q758" s="5" t="n">
        <v>2</v>
      </c>
      <c r="R758" s="5" t="inlineStr">
        <is>
          <t>283-2023-12-31</t>
        </is>
      </c>
    </row>
    <row r="759">
      <c r="A759" s="28" t="n">
        <v>283</v>
      </c>
      <c r="B759" s="5" t="inlineStr">
        <is>
          <t>Resultado evaluación docente</t>
        </is>
      </c>
      <c r="C759" s="5" t="inlineStr">
        <is>
          <t>Gestión Docente</t>
        </is>
      </c>
      <c r="D759" s="5" t="inlineStr">
        <is>
          <t>Semestral</t>
        </is>
      </c>
      <c r="E759" s="5" t="inlineStr">
        <is>
          <t>Positivo</t>
        </is>
      </c>
      <c r="F759" s="107" t="n">
        <v>45473</v>
      </c>
      <c r="G759" s="5" t="n">
        <v>2024</v>
      </c>
      <c r="H759" s="5" t="inlineStr">
        <is>
          <t>Junio</t>
        </is>
      </c>
      <c r="I759" s="6" t="inlineStr">
        <is>
          <t>2024-1</t>
        </is>
      </c>
      <c r="J759" s="5" t="n">
        <v>4.5</v>
      </c>
      <c r="K759" s="5" t="n">
        <v>4.57</v>
      </c>
      <c r="L759" s="74">
        <f>IFERROR(IF(OR(J759=0,K759=""),"",IF(E759="Positivo",MIN(MAX(K759/J759,0),1.3),MIN(MAX(J759/K759,0),1.3))),"") </f>
        <v/>
      </c>
      <c r="M759" s="14">
        <f>IFERROR(IF(OR(J759=0,K759=""),"",IF(E759="Positivo",MAX(K759/J759,0),MAX(J759/K759,0))),"") </f>
        <v/>
      </c>
      <c r="N759" s="5" t="n"/>
      <c r="O759" s="5" t="n"/>
      <c r="P759" s="5" t="n">
        <v>0</v>
      </c>
      <c r="Q759" s="5" t="n">
        <v>0</v>
      </c>
      <c r="R759" s="5" t="inlineStr">
        <is>
          <t>283-2024-06-30</t>
        </is>
      </c>
    </row>
    <row r="760">
      <c r="A760" s="26" t="n">
        <v>283</v>
      </c>
      <c r="B760" s="5" t="inlineStr">
        <is>
          <t>Resultado evaluación docente</t>
        </is>
      </c>
      <c r="C760" s="5" t="inlineStr">
        <is>
          <t>Gestión Docente</t>
        </is>
      </c>
      <c r="D760" s="5" t="inlineStr">
        <is>
          <t>Semestral</t>
        </is>
      </c>
      <c r="E760" s="5" t="inlineStr">
        <is>
          <t>Positivo</t>
        </is>
      </c>
      <c r="F760" s="107" t="n">
        <v>45657</v>
      </c>
      <c r="G760" s="5" t="n">
        <v>2024</v>
      </c>
      <c r="H760" s="5" t="inlineStr">
        <is>
          <t>Diciembre</t>
        </is>
      </c>
      <c r="I760" s="6" t="inlineStr">
        <is>
          <t>2024-2</t>
        </is>
      </c>
      <c r="J760" s="5" t="n">
        <v>4.5</v>
      </c>
      <c r="K760" s="5" t="n">
        <v>4.64</v>
      </c>
      <c r="L760" s="74">
        <f>IFERROR(IF(OR(J760=0,K760=""),"",IF(E760="Positivo",MIN(MAX(K760/J760,0),1.3),MIN(MAX(J760/K760,0),1.3))),"") </f>
        <v/>
      </c>
      <c r="M760" s="14">
        <f>IFERROR(IF(OR(J760=0,K760=""),"",IF(E760="Positivo",MAX(K760/J760,0),MAX(J760/K760,0))),"") </f>
        <v/>
      </c>
      <c r="N760" s="5" t="n"/>
      <c r="O760" s="5" t="n"/>
      <c r="P760" s="5" t="n">
        <v>0</v>
      </c>
      <c r="Q760" s="5" t="n">
        <v>0</v>
      </c>
      <c r="R760" s="5" t="inlineStr">
        <is>
          <t>283-2024-12-31</t>
        </is>
      </c>
    </row>
    <row r="761">
      <c r="A761" s="5" t="n">
        <v>283</v>
      </c>
      <c r="B761" s="5" t="inlineStr">
        <is>
          <t>Resultado evaluación docente</t>
        </is>
      </c>
      <c r="C761" s="5" t="inlineStr">
        <is>
          <t>Gestión Docente</t>
        </is>
      </c>
      <c r="D761" s="5" t="inlineStr">
        <is>
          <t>Semestral</t>
        </is>
      </c>
      <c r="E761" s="5" t="inlineStr">
        <is>
          <t>Positivo</t>
        </is>
      </c>
      <c r="F761" s="107" t="n">
        <v>45838</v>
      </c>
      <c r="G761" s="5" t="n">
        <v>2025</v>
      </c>
      <c r="H761" s="5" t="inlineStr">
        <is>
          <t>Junio</t>
        </is>
      </c>
      <c r="I761" s="6" t="inlineStr">
        <is>
          <t>2025-1</t>
        </is>
      </c>
      <c r="J761" s="5" t="n">
        <v>4.6</v>
      </c>
      <c r="K761" s="5" t="n">
        <v>4.66</v>
      </c>
      <c r="L761" s="14">
        <f>IFERROR(IF(OR(J761=0,K761=""),"",IF(E761="Positivo",MIN(MAX(K761/J761,0),1.3),MIN(MAX(J761/K761,0),1.3))),"") </f>
        <v/>
      </c>
      <c r="M761" s="14">
        <f>IFERROR(IF(OR(J761=0,K761=""),"",IF(E761="Positivo",MAX(K761/J761,0),MAX(J761/K761,0))),"") </f>
        <v/>
      </c>
      <c r="N761" s="5" t="inlineStr">
        <is>
          <t>DEC</t>
        </is>
      </c>
      <c r="O761" s="5" t="inlineStr">
        <is>
          <t>DEC</t>
        </is>
      </c>
      <c r="P761" s="5" t="n">
        <v>0</v>
      </c>
      <c r="Q761" s="5" t="n">
        <v>0</v>
      </c>
      <c r="R761" s="5" t="inlineStr">
        <is>
          <t>283-2025-06-30</t>
        </is>
      </c>
    </row>
    <row r="762">
      <c r="A762" s="5" t="n">
        <v>283</v>
      </c>
      <c r="B762" s="5" t="inlineStr">
        <is>
          <t>Resultado evaluación docente</t>
        </is>
      </c>
      <c r="C762" s="5" t="inlineStr">
        <is>
          <t>Gestión Docente</t>
        </is>
      </c>
      <c r="D762" s="5" t="inlineStr">
        <is>
          <t>Trimestral</t>
        </is>
      </c>
      <c r="E762" s="5" t="inlineStr">
        <is>
          <t>Positivo</t>
        </is>
      </c>
      <c r="F762" s="107" t="n">
        <v>46022</v>
      </c>
      <c r="G762" s="5" t="n">
        <v>2025</v>
      </c>
      <c r="H762" s="5" t="inlineStr">
        <is>
          <t>Diciembre</t>
        </is>
      </c>
      <c r="I762" s="6" t="inlineStr">
        <is>
          <t>2025-2</t>
        </is>
      </c>
      <c r="J762" s="5" t="n">
        <v>4.6</v>
      </c>
      <c r="K762" s="5" t="n">
        <v>4.67</v>
      </c>
      <c r="L762" s="14">
        <f>IFERROR(IF(OR(J762=0,K762=""),"",IF(E762="Positivo",MIN(MAX(K762/J762,0),1.3),MIN(MAX(J762/K762,0),1.3))),"") </f>
        <v/>
      </c>
      <c r="M762" s="14">
        <f>IFERROR(IF(OR(J762=0,K762=""),"",IF(E762="Positivo",MAX(K762/J762,0),MAX(J762/K762,0))),"") </f>
        <v/>
      </c>
      <c r="N762" s="5" t="inlineStr">
        <is>
          <t>DEC</t>
        </is>
      </c>
      <c r="O762" s="5" t="inlineStr">
        <is>
          <t>DEC</t>
        </is>
      </c>
      <c r="P762" s="5" t="n">
        <v>1</v>
      </c>
      <c r="Q762" s="5" t="n">
        <v>2</v>
      </c>
      <c r="R762" s="5" t="inlineStr">
        <is>
          <t>283-2025-12-31</t>
        </is>
      </c>
    </row>
    <row r="763">
      <c r="A763" s="34" t="n">
        <v>284</v>
      </c>
      <c r="B763" s="5" t="inlineStr">
        <is>
          <t>Número Horas semanales docentes</t>
        </is>
      </c>
      <c r="C763" s="5" t="inlineStr">
        <is>
          <t>Gestión Docente</t>
        </is>
      </c>
      <c r="D763" s="5" t="inlineStr">
        <is>
          <t>Semestral</t>
        </is>
      </c>
      <c r="E763" s="5" t="inlineStr">
        <is>
          <t>Positivo</t>
        </is>
      </c>
      <c r="F763" s="107" t="n">
        <v>45107</v>
      </c>
      <c r="G763" s="5" t="n">
        <v>2023</v>
      </c>
      <c r="H763" s="5" t="inlineStr">
        <is>
          <t>Junio</t>
        </is>
      </c>
      <c r="I763" s="6" t="inlineStr">
        <is>
          <t>2023-1</t>
        </is>
      </c>
      <c r="J763" s="5" t="n"/>
      <c r="K763" s="5" t="n">
        <v>15047</v>
      </c>
      <c r="L763" s="74" t="n"/>
      <c r="M763" s="14" t="n"/>
      <c r="N763" s="5" t="n"/>
      <c r="O763" s="5" t="n"/>
      <c r="P763" s="5" t="n">
        <v>0</v>
      </c>
      <c r="Q763" s="5" t="n">
        <v>0</v>
      </c>
      <c r="R763" s="5" t="inlineStr">
        <is>
          <t>284-2023-06-30</t>
        </is>
      </c>
    </row>
    <row r="764">
      <c r="A764" s="26" t="n">
        <v>284</v>
      </c>
      <c r="B764" s="5" t="inlineStr">
        <is>
          <t>Número Horas semanales docentes</t>
        </is>
      </c>
      <c r="C764" s="5" t="inlineStr">
        <is>
          <t>Gestión Docente</t>
        </is>
      </c>
      <c r="D764" s="5" t="inlineStr">
        <is>
          <t>Semestral</t>
        </is>
      </c>
      <c r="E764" s="5" t="inlineStr">
        <is>
          <t>Positivo</t>
        </is>
      </c>
      <c r="F764" s="107" t="n">
        <v>45291</v>
      </c>
      <c r="G764" s="5" t="n">
        <v>2023</v>
      </c>
      <c r="H764" s="5" t="inlineStr">
        <is>
          <t>Diciembre</t>
        </is>
      </c>
      <c r="I764" s="6" t="inlineStr">
        <is>
          <t>2023-2</t>
        </is>
      </c>
      <c r="J764" s="5" t="n"/>
      <c r="K764" s="5" t="n">
        <v>16281</v>
      </c>
      <c r="L764" s="74" t="n"/>
      <c r="M764" s="14" t="n"/>
      <c r="N764" s="5" t="n"/>
      <c r="O764" s="5" t="n"/>
      <c r="P764" s="5" t="n">
        <v>0</v>
      </c>
      <c r="Q764" s="5" t="n">
        <v>0</v>
      </c>
      <c r="R764" s="5" t="inlineStr">
        <is>
          <t>284-2023-12-31</t>
        </is>
      </c>
    </row>
    <row r="765">
      <c r="A765" s="28" t="n">
        <v>285</v>
      </c>
      <c r="B765" s="5" t="inlineStr">
        <is>
          <t>Docentes con plan de trabajo asignado</t>
        </is>
      </c>
      <c r="C765" s="5" t="inlineStr">
        <is>
          <t>Gestión Docente</t>
        </is>
      </c>
      <c r="D765" s="5" t="inlineStr">
        <is>
          <t>Semestral</t>
        </is>
      </c>
      <c r="E765" s="5" t="inlineStr">
        <is>
          <t>Positivo</t>
        </is>
      </c>
      <c r="F765" s="107" t="n">
        <v>45107</v>
      </c>
      <c r="G765" s="5" t="n">
        <v>2023</v>
      </c>
      <c r="H765" s="5" t="inlineStr">
        <is>
          <t>Junio</t>
        </is>
      </c>
      <c r="I765" s="6" t="inlineStr">
        <is>
          <t>2023-1</t>
        </is>
      </c>
      <c r="J765" s="5" t="n">
        <v>100</v>
      </c>
      <c r="K765" s="5" t="n">
        <v>100</v>
      </c>
      <c r="L765" s="74">
        <f>IFERROR(IF(OR(J765=0,K765=""),"",IF(E765="Positivo",MIN(MAX(K765/J765,0),1.3),MIN(MAX(J765/K765,0),1.3))),"") </f>
        <v/>
      </c>
      <c r="M765" s="14">
        <f>IFERROR(IF(OR(J765=0,K765=""),"",IF(E765="Positivo",MAX(K765/J765,0),MAX(J765/K765,0))),"") </f>
        <v/>
      </c>
      <c r="N765" s="5" t="inlineStr">
        <is>
          <t>%</t>
        </is>
      </c>
      <c r="O765" s="5" t="inlineStr">
        <is>
          <t>%</t>
        </is>
      </c>
      <c r="P765" s="5" t="n">
        <v>0</v>
      </c>
      <c r="Q765" s="5" t="n">
        <v>0</v>
      </c>
      <c r="R765" s="5" t="inlineStr">
        <is>
          <t>285-2023-06-30</t>
        </is>
      </c>
    </row>
    <row r="766">
      <c r="A766" s="26" t="n">
        <v>285</v>
      </c>
      <c r="B766" s="5" t="inlineStr">
        <is>
          <t>Docentes con plan de trabajo asignado</t>
        </is>
      </c>
      <c r="C766" s="5" t="inlineStr">
        <is>
          <t>Gestión Docente</t>
        </is>
      </c>
      <c r="D766" s="5" t="inlineStr">
        <is>
          <t>Semestral</t>
        </is>
      </c>
      <c r="E766" s="5" t="inlineStr">
        <is>
          <t>Positivo</t>
        </is>
      </c>
      <c r="F766" s="107" t="n">
        <v>45291</v>
      </c>
      <c r="G766" s="5" t="n">
        <v>2023</v>
      </c>
      <c r="H766" s="5" t="inlineStr">
        <is>
          <t>Diciembre</t>
        </is>
      </c>
      <c r="I766" s="6" t="inlineStr">
        <is>
          <t>2023-2</t>
        </is>
      </c>
      <c r="J766" s="5" t="n">
        <v>100</v>
      </c>
      <c r="K766" s="5" t="n">
        <v>100</v>
      </c>
      <c r="L766" s="74">
        <f>IFERROR(IF(OR(J766=0,K766=""),"",IF(E766="Positivo",MIN(MAX(K766/J766,0),1.3),MIN(MAX(J766/K766,0),1.3))),"") </f>
        <v/>
      </c>
      <c r="M766" s="14">
        <f>IFERROR(IF(OR(J766=0,K766=""),"",IF(E766="Positivo",MAX(K766/J766,0),MAX(J766/K766,0))),"") </f>
        <v/>
      </c>
      <c r="N766" s="5" t="inlineStr">
        <is>
          <t>%</t>
        </is>
      </c>
      <c r="O766" s="5" t="inlineStr">
        <is>
          <t>%</t>
        </is>
      </c>
      <c r="P766" s="5" t="n">
        <v>0</v>
      </c>
      <c r="Q766" s="5" t="n">
        <v>0</v>
      </c>
      <c r="R766" s="5" t="inlineStr">
        <is>
          <t>285-2023-12-31</t>
        </is>
      </c>
    </row>
    <row r="767">
      <c r="A767" s="5" t="n">
        <v>285</v>
      </c>
      <c r="B767" s="5" t="inlineStr">
        <is>
          <t>Docentes con plan de trabajo asignado</t>
        </is>
      </c>
      <c r="C767" s="5" t="inlineStr">
        <is>
          <t>Gestión Docente</t>
        </is>
      </c>
      <c r="D767" s="5" t="inlineStr">
        <is>
          <t>Semestral</t>
        </is>
      </c>
      <c r="E767" s="5" t="inlineStr">
        <is>
          <t>Positivo</t>
        </is>
      </c>
      <c r="F767" s="107" t="n">
        <v>45473</v>
      </c>
      <c r="G767" s="5" t="n">
        <v>2024</v>
      </c>
      <c r="H767" s="5" t="inlineStr">
        <is>
          <t>Junio</t>
        </is>
      </c>
      <c r="I767" s="6" t="inlineStr">
        <is>
          <t>2024-1</t>
        </is>
      </c>
      <c r="J767" s="5" t="n">
        <v>100</v>
      </c>
      <c r="K767" s="5" t="n">
        <v>100</v>
      </c>
      <c r="L767" s="14">
        <f>IFERROR(IF(OR(J767=0,K767=""),"",IF(E767="Positivo",MIN(MAX(K767/J767,0),1.3),MIN(MAX(J767/K767,0),1.3))),"") </f>
        <v/>
      </c>
      <c r="M767" s="14">
        <f>IFERROR(IF(OR(J767=0,K767=""),"",IF(E767="Positivo",MAX(K767/J767,0),MAX(J767/K767,0))),"") </f>
        <v/>
      </c>
      <c r="N767" s="5" t="inlineStr">
        <is>
          <t>%</t>
        </is>
      </c>
      <c r="O767" s="5" t="inlineStr">
        <is>
          <t>%</t>
        </is>
      </c>
      <c r="P767" s="5" t="n">
        <v>0</v>
      </c>
      <c r="Q767" s="5" t="n">
        <v>0</v>
      </c>
      <c r="R767" s="5" t="inlineStr">
        <is>
          <t>285-2024-06-30</t>
        </is>
      </c>
    </row>
    <row r="768">
      <c r="A768" s="5" t="n">
        <v>285</v>
      </c>
      <c r="B768" s="5" t="inlineStr">
        <is>
          <t>Docentes con plan de trabajo asignado</t>
        </is>
      </c>
      <c r="C768" s="5" t="inlineStr">
        <is>
          <t>Gestión Docente</t>
        </is>
      </c>
      <c r="D768" s="5" t="inlineStr">
        <is>
          <t>Semestral</t>
        </is>
      </c>
      <c r="E768" s="5" t="inlineStr">
        <is>
          <t>Positivo</t>
        </is>
      </c>
      <c r="F768" s="107" t="n">
        <v>45657</v>
      </c>
      <c r="G768" s="5" t="n">
        <v>2024</v>
      </c>
      <c r="H768" s="5" t="inlineStr">
        <is>
          <t>Diciembre</t>
        </is>
      </c>
      <c r="I768" s="6" t="inlineStr">
        <is>
          <t>2024-2</t>
        </is>
      </c>
      <c r="J768" s="5" t="n">
        <v>100</v>
      </c>
      <c r="K768" s="5" t="n">
        <v>100</v>
      </c>
      <c r="L768" s="14">
        <f>IFERROR(IF(OR(J768=0,K768=""),"",IF(E768="Positivo",MIN(MAX(K768/J768,0),1.3),MIN(MAX(J768/K768,0),1.3))),"") </f>
        <v/>
      </c>
      <c r="M768" s="14">
        <f>IFERROR(IF(OR(J768=0,K768=""),"",IF(E768="Positivo",MAX(K768/J768,0),MAX(J768/K768,0))),"") </f>
        <v/>
      </c>
      <c r="N768" s="5" t="inlineStr">
        <is>
          <t>%</t>
        </is>
      </c>
      <c r="O768" s="5" t="inlineStr">
        <is>
          <t>%</t>
        </is>
      </c>
      <c r="P768" s="5" t="n">
        <v>0</v>
      </c>
      <c r="Q768" s="5" t="n">
        <v>0</v>
      </c>
      <c r="R768" s="5" t="inlineStr">
        <is>
          <t>285-2024-12-31</t>
        </is>
      </c>
    </row>
    <row r="769">
      <c r="A769" s="26" t="n">
        <v>285</v>
      </c>
      <c r="B769" s="5" t="inlineStr">
        <is>
          <t>Docentes con plan de trabajo asignado</t>
        </is>
      </c>
      <c r="C769" s="5" t="inlineStr">
        <is>
          <t>Gestión Docente</t>
        </is>
      </c>
      <c r="D769" s="5" t="inlineStr">
        <is>
          <t>Semestral</t>
        </is>
      </c>
      <c r="E769" s="5" t="inlineStr">
        <is>
          <t>Positivo</t>
        </is>
      </c>
      <c r="F769" s="107" t="n">
        <v>45838</v>
      </c>
      <c r="G769" s="5" t="n">
        <v>2025</v>
      </c>
      <c r="H769" s="5" t="inlineStr">
        <is>
          <t>Junio</t>
        </is>
      </c>
      <c r="I769" s="6" t="inlineStr">
        <is>
          <t>2025-1</t>
        </is>
      </c>
      <c r="J769" s="5" t="n">
        <v>100</v>
      </c>
      <c r="K769" s="5" t="n">
        <v>100</v>
      </c>
      <c r="L769" s="74">
        <f>IFERROR(IF(OR(J769=0,K769=""),"",IF(E769="Positivo",MIN(MAX(K769/J769,0),1.3),MIN(MAX(J769/K769,0),1.3))),"") </f>
        <v/>
      </c>
      <c r="M769" s="14">
        <f>IFERROR(IF(OR(J769=0,K769=""),"",IF(E769="Positivo",MAX(K769/J769,0),MAX(J769/K769,0))),"") </f>
        <v/>
      </c>
      <c r="N769" s="5" t="inlineStr">
        <is>
          <t>%</t>
        </is>
      </c>
      <c r="O769" s="5" t="inlineStr">
        <is>
          <t>%</t>
        </is>
      </c>
      <c r="P769" s="5" t="n">
        <v>0</v>
      </c>
      <c r="Q769" s="5" t="n">
        <v>0</v>
      </c>
      <c r="R769" s="5" t="inlineStr">
        <is>
          <t>285-2025-06-30</t>
        </is>
      </c>
    </row>
    <row r="770">
      <c r="A770" s="26" t="n">
        <v>285</v>
      </c>
      <c r="B770" s="5" t="inlineStr">
        <is>
          <t>Docentes con plan de trabajo asignado</t>
        </is>
      </c>
      <c r="C770" s="5" t="inlineStr">
        <is>
          <t>Gestión Docente</t>
        </is>
      </c>
      <c r="D770" s="5" t="inlineStr">
        <is>
          <t>Trimestral</t>
        </is>
      </c>
      <c r="E770" s="5" t="inlineStr">
        <is>
          <t>Positivo</t>
        </is>
      </c>
      <c r="F770" s="107" t="n">
        <v>46022</v>
      </c>
      <c r="G770" s="5" t="n">
        <v>2025</v>
      </c>
      <c r="H770" s="5" t="inlineStr">
        <is>
          <t>Diciembre</t>
        </is>
      </c>
      <c r="I770" s="6" t="inlineStr">
        <is>
          <t>2025-2</t>
        </is>
      </c>
      <c r="J770" s="5" t="n">
        <v>100</v>
      </c>
      <c r="K770" s="5" t="n">
        <v>100</v>
      </c>
      <c r="L770" s="74">
        <f>IFERROR(IF(OR(J770=0,K770=""),"",IF(E770="Positivo",MIN(MAX(K770/J770,0),1.3),MIN(MAX(J770/K770,0),1.3))),"") </f>
        <v/>
      </c>
      <c r="M770" s="14">
        <f>IFERROR(IF(OR(J770=0,K770=""),"",IF(E770="Positivo",MAX(K770/J770,0),MAX(J770/K770,0))),"") </f>
        <v/>
      </c>
      <c r="N770" s="5" t="inlineStr">
        <is>
          <t>%</t>
        </is>
      </c>
      <c r="O770" s="5" t="inlineStr">
        <is>
          <t>%</t>
        </is>
      </c>
      <c r="P770" s="5" t="n">
        <v>0</v>
      </c>
      <c r="Q770" s="5" t="n">
        <v>0</v>
      </c>
      <c r="R770" s="5" t="inlineStr">
        <is>
          <t>285-2025-12-31</t>
        </is>
      </c>
    </row>
    <row r="771">
      <c r="A771" s="5" t="n">
        <v>286</v>
      </c>
      <c r="B771" s="5" t="inlineStr">
        <is>
          <t>Total docentes por nivel de estudios</t>
        </is>
      </c>
      <c r="C771" s="5" t="inlineStr">
        <is>
          <t>Gestión Docente</t>
        </is>
      </c>
      <c r="D771" s="5" t="inlineStr">
        <is>
          <t>Semestral</t>
        </is>
      </c>
      <c r="E771" s="5" t="inlineStr">
        <is>
          <t>Positivo</t>
        </is>
      </c>
      <c r="F771" s="107" t="n">
        <v>45107</v>
      </c>
      <c r="G771" s="5" t="n">
        <v>2023</v>
      </c>
      <c r="H771" s="5" t="inlineStr">
        <is>
          <t>Junio</t>
        </is>
      </c>
      <c r="I771" s="6" t="inlineStr">
        <is>
          <t>2023-1</t>
        </is>
      </c>
      <c r="J771" s="5" t="n"/>
      <c r="K771" s="5" t="n">
        <v>0</v>
      </c>
      <c r="L771" s="14" t="n"/>
      <c r="M771" s="14" t="n"/>
      <c r="N771" s="5" t="n"/>
      <c r="O771" s="5" t="n"/>
      <c r="P771" s="5" t="n">
        <v>0</v>
      </c>
      <c r="Q771" s="5" t="n">
        <v>0</v>
      </c>
      <c r="R771" s="5" t="inlineStr">
        <is>
          <t>286-2023-06-30</t>
        </is>
      </c>
    </row>
    <row r="772">
      <c r="A772" s="5" t="n">
        <v>286</v>
      </c>
      <c r="B772" s="5" t="inlineStr">
        <is>
          <t>Total docentes por nivel de estudios</t>
        </is>
      </c>
      <c r="C772" s="5" t="inlineStr">
        <is>
          <t>Gestión Docente</t>
        </is>
      </c>
      <c r="D772" s="5" t="inlineStr">
        <is>
          <t>Semestral</t>
        </is>
      </c>
      <c r="E772" s="5" t="inlineStr">
        <is>
          <t>Positivo</t>
        </is>
      </c>
      <c r="F772" s="107" t="n">
        <v>45291</v>
      </c>
      <c r="G772" s="5" t="n">
        <v>2023</v>
      </c>
      <c r="H772" s="5" t="inlineStr">
        <is>
          <t>Diciembre</t>
        </is>
      </c>
      <c r="I772" s="6" t="inlineStr">
        <is>
          <t>2023-2</t>
        </is>
      </c>
      <c r="J772" s="5" t="n"/>
      <c r="K772" s="5" t="n">
        <v>1017</v>
      </c>
      <c r="L772" s="14" t="n"/>
      <c r="M772" s="14" t="n"/>
      <c r="N772" s="5" t="n"/>
      <c r="O772" s="5" t="n"/>
      <c r="P772" s="5" t="n">
        <v>0</v>
      </c>
      <c r="Q772" s="5" t="n">
        <v>0</v>
      </c>
      <c r="R772" s="5" t="inlineStr">
        <is>
          <t>286-2023-12-31</t>
        </is>
      </c>
    </row>
    <row r="773">
      <c r="A773" s="5" t="n">
        <v>286</v>
      </c>
      <c r="B773" s="5" t="inlineStr">
        <is>
          <t>Total docentes por nivel de estudios</t>
        </is>
      </c>
      <c r="C773" s="5" t="inlineStr">
        <is>
          <t>Gestión Docente</t>
        </is>
      </c>
      <c r="D773" s="5" t="inlineStr">
        <is>
          <t>Semestral</t>
        </is>
      </c>
      <c r="E773" s="5" t="inlineStr">
        <is>
          <t>Positivo</t>
        </is>
      </c>
      <c r="F773" s="106" t="n">
        <v>45473</v>
      </c>
      <c r="G773" s="15" t="n">
        <v>2024</v>
      </c>
      <c r="H773" s="6" t="inlineStr">
        <is>
          <t>Junio</t>
        </is>
      </c>
      <c r="I773" s="27" t="inlineStr">
        <is>
          <t>2024-1</t>
        </is>
      </c>
      <c r="J773" s="5" t="n">
        <v>0</v>
      </c>
      <c r="K773" s="11" t="n">
        <v>1080</v>
      </c>
      <c r="L773" s="14">
        <f>IFERROR(IF(OR(J773=0,K773=""),"",IF(E773="Positivo",MIN(MAX(K773/J773,0),1.3),MIN(MAX(J773/K773,0),1.3))),"") </f>
        <v/>
      </c>
      <c r="M773" s="14">
        <f>IFERROR(IF(OR(J773=0,K773=""),"",IF(E773="Positivo",MAX(K773/J773,0),MAX(J773/K773,0))),"") </f>
        <v/>
      </c>
      <c r="N773" s="5" t="n"/>
      <c r="O773" s="5" t="n"/>
      <c r="P773" s="5" t="n">
        <v>0</v>
      </c>
      <c r="Q773" s="5" t="n">
        <v>0</v>
      </c>
      <c r="R773" s="5" t="inlineStr">
        <is>
          <t>286-2024-06-30</t>
        </is>
      </c>
    </row>
    <row r="774">
      <c r="A774" s="26" t="n">
        <v>286</v>
      </c>
      <c r="B774" s="5" t="inlineStr">
        <is>
          <t>Total docentes por nivel de estudios</t>
        </is>
      </c>
      <c r="C774" s="5" t="inlineStr">
        <is>
          <t>Gestión Docente</t>
        </is>
      </c>
      <c r="D774" s="5" t="inlineStr">
        <is>
          <t>Semestral</t>
        </is>
      </c>
      <c r="E774" s="5" t="inlineStr">
        <is>
          <t>Positivo</t>
        </is>
      </c>
      <c r="F774" s="107" t="n">
        <v>45657</v>
      </c>
      <c r="G774" s="5" t="n">
        <v>2024</v>
      </c>
      <c r="H774" s="5" t="inlineStr">
        <is>
          <t>Diciembre</t>
        </is>
      </c>
      <c r="I774" s="6" t="inlineStr">
        <is>
          <t>2024-2</t>
        </is>
      </c>
      <c r="J774" s="5" t="n">
        <v>0</v>
      </c>
      <c r="K774" s="11" t="n">
        <v>1018</v>
      </c>
      <c r="L774" s="14">
        <f>IFERROR(IF(OR(J774=0,K774=""),"",IF(E774="Positivo",MIN(MAX(K774/J774,0),1.3),MIN(MAX(J774/K774,0),1.3))),"") </f>
        <v/>
      </c>
      <c r="M774" s="14">
        <f>IFERROR(IF(OR(J774=0,K774=""),"",IF(E774="Positivo",MAX(K774/J774,0),MAX(J774/K774,0))),"") </f>
        <v/>
      </c>
      <c r="N774" s="5" t="n"/>
      <c r="O774" s="5" t="n"/>
      <c r="P774" s="5" t="n">
        <v>0</v>
      </c>
      <c r="Q774" s="5" t="n">
        <v>0</v>
      </c>
      <c r="R774" s="5" t="inlineStr">
        <is>
          <t>286-2024-12-31</t>
        </is>
      </c>
    </row>
    <row r="775">
      <c r="A775" s="5" t="n">
        <v>286</v>
      </c>
      <c r="B775" s="5" t="inlineStr">
        <is>
          <t>Total docentes por nivel de estudios - Metrica</t>
        </is>
      </c>
      <c r="C775" s="5" t="inlineStr">
        <is>
          <t>Gestión Docente</t>
        </is>
      </c>
      <c r="D775" s="5" t="inlineStr">
        <is>
          <t>Trimestral</t>
        </is>
      </c>
      <c r="E775" s="5" t="inlineStr">
        <is>
          <t>Positivo</t>
        </is>
      </c>
      <c r="F775" s="107" t="n">
        <v>45838</v>
      </c>
      <c r="G775" s="5" t="n">
        <v>2025</v>
      </c>
      <c r="H775" s="5" t="inlineStr">
        <is>
          <t>Junio</t>
        </is>
      </c>
      <c r="I775" s="6" t="inlineStr">
        <is>
          <t>2025-1</t>
        </is>
      </c>
      <c r="J775" s="5" t="n"/>
      <c r="K775" s="11" t="n">
        <v>1099</v>
      </c>
      <c r="L775" s="14" t="n"/>
      <c r="M775" s="14" t="n"/>
      <c r="N775" s="5" t="inlineStr">
        <is>
          <t>Metrica</t>
        </is>
      </c>
      <c r="O775" s="5" t="inlineStr">
        <is>
          <t>Metrica</t>
        </is>
      </c>
      <c r="P775" s="5" t="n">
        <v>0</v>
      </c>
      <c r="Q775" s="5" t="n">
        <v>0</v>
      </c>
      <c r="R775" s="5" t="inlineStr">
        <is>
          <t>286-2025-06-30</t>
        </is>
      </c>
      <c r="S775" t="inlineStr">
        <is>
          <t>Metrica</t>
        </is>
      </c>
    </row>
    <row r="776">
      <c r="A776" s="5" t="n">
        <v>286</v>
      </c>
      <c r="B776" s="5" t="inlineStr">
        <is>
          <t>Total docentes por nivel de estudios - Metrica</t>
        </is>
      </c>
      <c r="C776" s="5" t="inlineStr">
        <is>
          <t>Gestión Docente</t>
        </is>
      </c>
      <c r="D776" s="5" t="inlineStr">
        <is>
          <t>Trimestral</t>
        </is>
      </c>
      <c r="E776" s="5" t="inlineStr">
        <is>
          <t>Positivo</t>
        </is>
      </c>
      <c r="F776" s="107" t="n">
        <v>46022</v>
      </c>
      <c r="G776" s="5" t="n">
        <v>2025</v>
      </c>
      <c r="H776" s="5" t="inlineStr">
        <is>
          <t>Diciembre</t>
        </is>
      </c>
      <c r="I776" s="6" t="inlineStr">
        <is>
          <t>2025-2</t>
        </is>
      </c>
      <c r="J776" s="5" t="n"/>
      <c r="K776" s="11" t="n">
        <v>1071</v>
      </c>
      <c r="L776" s="14" t="n"/>
      <c r="M776" s="14" t="n"/>
      <c r="N776" s="5" t="inlineStr">
        <is>
          <t>Metrica</t>
        </is>
      </c>
      <c r="O776" s="5" t="inlineStr">
        <is>
          <t>Metrica</t>
        </is>
      </c>
      <c r="P776" s="5" t="n">
        <v>0</v>
      </c>
      <c r="Q776" s="5" t="n">
        <v>0</v>
      </c>
      <c r="R776" s="5" t="inlineStr">
        <is>
          <t>286-2025-12-31</t>
        </is>
      </c>
      <c r="S776" t="inlineStr">
        <is>
          <t>Metrica</t>
        </is>
      </c>
    </row>
    <row r="777">
      <c r="A777" s="5" t="n">
        <v>288</v>
      </c>
      <c r="B777" s="5" t="inlineStr">
        <is>
          <t>Número docentes escalafonados presentados en convocatoria</t>
        </is>
      </c>
      <c r="C777" s="5" t="inlineStr">
        <is>
          <t>Gestión Docente</t>
        </is>
      </c>
      <c r="D777" s="5" t="inlineStr">
        <is>
          <t>Semestral</t>
        </is>
      </c>
      <c r="E777" s="5" t="inlineStr">
        <is>
          <t>Positivo</t>
        </is>
      </c>
      <c r="F777" s="106" t="n">
        <v>45107</v>
      </c>
      <c r="G777" s="15" t="n">
        <v>2023</v>
      </c>
      <c r="H777" s="6" t="inlineStr">
        <is>
          <t>Junio</t>
        </is>
      </c>
      <c r="I777" s="27" t="inlineStr">
        <is>
          <t>2023-1</t>
        </is>
      </c>
      <c r="J777" s="73" t="n">
        <v>85</v>
      </c>
      <c r="K777" s="94" t="n">
        <v>112.5</v>
      </c>
      <c r="L777" s="14">
        <f>IFERROR(IF(OR(J777=0,K777=""),"",IF(E777="Positivo",MIN(MAX(K777/J777,0),1.3),MIN(MAX(J777/K777,0),1.3))),"") </f>
        <v/>
      </c>
      <c r="M777" s="14">
        <f>IFERROR(IF(OR(J777=0,K777=""),"",IF(E777="Positivo",MAX(K777/J777,0),MAX(J777/K777,0))),"") </f>
        <v/>
      </c>
      <c r="N777" s="5" t="n"/>
      <c r="O777" s="5" t="n"/>
      <c r="P777" s="5" t="n">
        <v>0</v>
      </c>
      <c r="Q777" s="5" t="n">
        <v>0</v>
      </c>
      <c r="R777" s="5" t="inlineStr">
        <is>
          <t>288-2023-06-30</t>
        </is>
      </c>
    </row>
    <row r="778">
      <c r="A778" s="26" t="n">
        <v>288</v>
      </c>
      <c r="B778" s="5" t="inlineStr">
        <is>
          <t>Número docentes escalafonados presentados en convocatoria</t>
        </is>
      </c>
      <c r="C778" s="5" t="inlineStr">
        <is>
          <t>Gestión Docente</t>
        </is>
      </c>
      <c r="D778" s="5" t="inlineStr">
        <is>
          <t>Semestral</t>
        </is>
      </c>
      <c r="E778" s="5" t="inlineStr">
        <is>
          <t>Positivo</t>
        </is>
      </c>
      <c r="F778" s="107" t="n">
        <v>45291</v>
      </c>
      <c r="G778" s="5" t="n">
        <v>2023</v>
      </c>
      <c r="H778" s="5" t="inlineStr">
        <is>
          <t>Diciembre</t>
        </is>
      </c>
      <c r="I778" s="6" t="inlineStr">
        <is>
          <t>2023-2</t>
        </is>
      </c>
      <c r="J778" s="73" t="n">
        <v>85</v>
      </c>
      <c r="K778" s="9" t="n">
        <v>112.5</v>
      </c>
      <c r="L778" s="14">
        <f>IFERROR(IF(OR(J778=0,K778=""),"",IF(E778="Positivo",MIN(MAX(K778/J778,0),1.3),MIN(MAX(J778/K778,0),1.3))),"") </f>
        <v/>
      </c>
      <c r="M778" s="14">
        <f>IFERROR(IF(OR(J778=0,K778=""),"",IF(E778="Positivo",MAX(K778/J778,0),MAX(J778/K778,0))),"") </f>
        <v/>
      </c>
      <c r="N778" s="5" t="n"/>
      <c r="O778" s="5" t="n"/>
      <c r="P778" s="5" t="n">
        <v>0</v>
      </c>
      <c r="Q778" s="5" t="n">
        <v>0</v>
      </c>
      <c r="R778" s="5" t="inlineStr">
        <is>
          <t>288-2023-12-31</t>
        </is>
      </c>
    </row>
    <row r="779">
      <c r="A779" s="5" t="n">
        <v>288</v>
      </c>
      <c r="B779" s="5" t="inlineStr">
        <is>
          <t>Número docentes escalafonados presentados en convocatoria</t>
        </is>
      </c>
      <c r="C779" s="5" t="inlineStr">
        <is>
          <t>Gestión Docente</t>
        </is>
      </c>
      <c r="D779" s="5" t="inlineStr">
        <is>
          <t>Semestral</t>
        </is>
      </c>
      <c r="E779" s="5" t="inlineStr">
        <is>
          <t>Positivo</t>
        </is>
      </c>
      <c r="F779" s="107" t="n">
        <v>45473</v>
      </c>
      <c r="G779" s="5" t="n">
        <v>2024</v>
      </c>
      <c r="H779" s="5" t="inlineStr">
        <is>
          <t>Junio</t>
        </is>
      </c>
      <c r="I779" s="6" t="inlineStr">
        <is>
          <t>2024-1</t>
        </is>
      </c>
      <c r="J779" s="5" t="n">
        <v>85</v>
      </c>
      <c r="K779" s="11" t="n">
        <v>185.71428571429</v>
      </c>
      <c r="L779" s="14">
        <f>IFERROR(IF(OR(J779=0,K779=""),"",IF(E779="Positivo",MIN(MAX(K779/J779,0),1.3),MIN(MAX(J779/K779,0),1.3))),"") </f>
        <v/>
      </c>
      <c r="M779" s="14">
        <f>IFERROR(IF(OR(J779=0,K779=""),"",IF(E779="Positivo",MAX(K779/J779,0),MAX(J779/K779,0))),"") </f>
        <v/>
      </c>
      <c r="N779" s="5" t="n"/>
      <c r="O779" s="5" t="n"/>
      <c r="P779" s="5" t="n">
        <v>0</v>
      </c>
      <c r="Q779" s="5" t="n">
        <v>0</v>
      </c>
      <c r="R779" s="5" t="inlineStr">
        <is>
          <t>288-2024-06-30</t>
        </is>
      </c>
    </row>
    <row r="780">
      <c r="A780" s="5" t="n">
        <v>288</v>
      </c>
      <c r="B780" s="5" t="inlineStr">
        <is>
          <t>Número docentes escalafonados presentados en convocatoria</t>
        </is>
      </c>
      <c r="C780" s="5" t="inlineStr">
        <is>
          <t>Gestión Docente</t>
        </is>
      </c>
      <c r="D780" s="5" t="inlineStr">
        <is>
          <t>Semestral</t>
        </is>
      </c>
      <c r="E780" s="5" t="inlineStr">
        <is>
          <t>Positivo</t>
        </is>
      </c>
      <c r="F780" s="107" t="n">
        <v>45657</v>
      </c>
      <c r="G780" s="5" t="n">
        <v>2024</v>
      </c>
      <c r="H780" s="5" t="inlineStr">
        <is>
          <t>Diciembre</t>
        </is>
      </c>
      <c r="I780" s="6" t="inlineStr">
        <is>
          <t>2024-2</t>
        </is>
      </c>
      <c r="J780" s="5" t="n">
        <v>85</v>
      </c>
      <c r="K780" s="11" t="n"/>
      <c r="L780" s="14" t="n"/>
      <c r="M780" s="14" t="n"/>
      <c r="N780" s="5" t="inlineStr">
        <is>
          <t>ENT</t>
        </is>
      </c>
      <c r="O780" s="5" t="inlineStr">
        <is>
          <t>N/A</t>
        </is>
      </c>
      <c r="P780" s="5" t="n">
        <v>0</v>
      </c>
      <c r="Q780" s="5" t="n">
        <v>0</v>
      </c>
      <c r="R780" s="5" t="inlineStr">
        <is>
          <t>288-2024-12-31</t>
        </is>
      </c>
    </row>
    <row r="781">
      <c r="A781" s="26" t="n">
        <v>288</v>
      </c>
      <c r="B781" s="5" t="inlineStr">
        <is>
          <t>Número docentes escalafonados presentados en convocatoria</t>
        </is>
      </c>
      <c r="C781" s="5" t="inlineStr">
        <is>
          <t>Gestión Docente</t>
        </is>
      </c>
      <c r="D781" s="5" t="inlineStr">
        <is>
          <t>Anual</t>
        </is>
      </c>
      <c r="E781" s="5" t="inlineStr">
        <is>
          <t>Positivo</t>
        </is>
      </c>
      <c r="F781" s="107" t="n">
        <v>45838</v>
      </c>
      <c r="G781" s="5" t="n">
        <v>2025</v>
      </c>
      <c r="H781" s="5" t="inlineStr">
        <is>
          <t>Junio</t>
        </is>
      </c>
      <c r="I781" s="6" t="inlineStr">
        <is>
          <t>2025-1</t>
        </is>
      </c>
      <c r="J781" s="5" t="n">
        <v>100</v>
      </c>
      <c r="K781" s="5" t="n">
        <v>100</v>
      </c>
      <c r="L781" s="74">
        <f>IFERROR(IF(OR(J781=0,K781=""),"",IF(E781="Positivo",MIN(MAX(K781/J781,0),1.3),MIN(MAX(J781/K781,0),1.3))),"") </f>
        <v/>
      </c>
      <c r="M781" s="14">
        <f>IFERROR(IF(OR(J781=0,K781=""),"",IF(E781="Positivo",MAX(K781/J781,0),MAX(J781/K781,0))),"") </f>
        <v/>
      </c>
      <c r="N781" s="5" t="inlineStr">
        <is>
          <t>ENT</t>
        </is>
      </c>
      <c r="O781" s="5" t="inlineStr">
        <is>
          <t>ENT</t>
        </is>
      </c>
      <c r="P781" s="5" t="n">
        <v>0</v>
      </c>
      <c r="Q781" s="5" t="n">
        <v>0</v>
      </c>
      <c r="R781" s="5" t="inlineStr">
        <is>
          <t>288-2025-06-30</t>
        </is>
      </c>
    </row>
    <row r="782">
      <c r="A782" s="26" t="n">
        <v>289</v>
      </c>
      <c r="B782" s="5" t="inlineStr">
        <is>
          <t>Cumplimiento plan de comunicaciones SGC</t>
        </is>
      </c>
      <c r="C782" s="5" t="inlineStr">
        <is>
          <t>Gestión de calidad</t>
        </is>
      </c>
      <c r="D782" s="5" t="inlineStr">
        <is>
          <t>Trimestral</t>
        </is>
      </c>
      <c r="E782" s="5" t="inlineStr">
        <is>
          <t>Positivo</t>
        </is>
      </c>
      <c r="F782" s="107" t="n">
        <v>45016</v>
      </c>
      <c r="G782" s="5" t="n">
        <v>2023</v>
      </c>
      <c r="H782" s="5" t="inlineStr">
        <is>
          <t>Marzo</t>
        </is>
      </c>
      <c r="I782" s="6" t="inlineStr">
        <is>
          <t>2023-1</t>
        </is>
      </c>
      <c r="J782" s="5" t="n">
        <v>95</v>
      </c>
      <c r="K782" s="5" t="n">
        <v>0</v>
      </c>
      <c r="L782" s="74">
        <f>IFERROR(IF(OR(J782=0,K782=""),"",IF(E782="Positivo",MIN(MAX(K782/J782,0),1.3),MIN(MAX(J782/K782,0),1.3))),"") </f>
        <v/>
      </c>
      <c r="M782" s="14">
        <f>IFERROR(IF(OR(J782=0,K782=""),"",IF(E782="Positivo",MAX(K782/J782,0),MAX(J782/K782,0))),"") </f>
        <v/>
      </c>
      <c r="N782" s="5" t="inlineStr">
        <is>
          <t>N/A</t>
        </is>
      </c>
      <c r="O782" s="5" t="inlineStr">
        <is>
          <t>N/A</t>
        </is>
      </c>
      <c r="P782" s="5" t="n">
        <v>0</v>
      </c>
      <c r="Q782" s="5" t="n">
        <v>0</v>
      </c>
      <c r="R782" s="5" t="inlineStr">
        <is>
          <t>289-2023-03-31</t>
        </is>
      </c>
    </row>
    <row r="783">
      <c r="A783" s="5" t="n">
        <v>289</v>
      </c>
      <c r="B783" s="5" t="inlineStr">
        <is>
          <t>Cumplimiento plan de comunicaciones SGC</t>
        </is>
      </c>
      <c r="C783" s="5" t="inlineStr">
        <is>
          <t>Gestión de calidad</t>
        </is>
      </c>
      <c r="D783" s="5" t="inlineStr">
        <is>
          <t>Trimestral</t>
        </is>
      </c>
      <c r="E783" s="5" t="inlineStr">
        <is>
          <t>Positivo</t>
        </is>
      </c>
      <c r="F783" s="107" t="n">
        <v>45107</v>
      </c>
      <c r="G783" s="5" t="n">
        <v>2023</v>
      </c>
      <c r="H783" s="5" t="inlineStr">
        <is>
          <t>Junio</t>
        </is>
      </c>
      <c r="I783" s="6" t="inlineStr">
        <is>
          <t>2023-1</t>
        </is>
      </c>
      <c r="J783" s="5" t="n">
        <v>95</v>
      </c>
      <c r="K783" s="5" t="n">
        <v>85.71428571428601</v>
      </c>
      <c r="L783" s="14">
        <f>IFERROR(IF(OR(J783=0,K783=""),"",IF(E783="Positivo",MIN(MAX(K783/J783,0),1.3),MIN(MAX(J783/K783,0),1.3))),"") </f>
        <v/>
      </c>
      <c r="M783" s="14">
        <f>IFERROR(IF(OR(J783=0,K783=""),"",IF(E783="Positivo",MAX(K783/J783,0),MAX(J783/K783,0))),"") </f>
        <v/>
      </c>
      <c r="N783" s="5" t="inlineStr">
        <is>
          <t>%</t>
        </is>
      </c>
      <c r="O783" s="5" t="inlineStr">
        <is>
          <t>%</t>
        </is>
      </c>
      <c r="P783" s="5" t="n">
        <v>0</v>
      </c>
      <c r="Q783" s="5" t="n">
        <v>0</v>
      </c>
      <c r="R783" s="5" t="inlineStr">
        <is>
          <t>289-2023-06-30</t>
        </is>
      </c>
    </row>
    <row r="784">
      <c r="A784" s="5" t="n">
        <v>289</v>
      </c>
      <c r="B784" s="5" t="inlineStr">
        <is>
          <t>Cumplimiento plan de comunicaciones SGC</t>
        </is>
      </c>
      <c r="C784" s="5" t="inlineStr">
        <is>
          <t>Gestión de calidad</t>
        </is>
      </c>
      <c r="D784" s="5" t="inlineStr">
        <is>
          <t>Trimestral</t>
        </is>
      </c>
      <c r="E784" s="5" t="inlineStr">
        <is>
          <t>Positivo</t>
        </is>
      </c>
      <c r="F784" s="107" t="n">
        <v>45199</v>
      </c>
      <c r="G784" s="5" t="n">
        <v>2023</v>
      </c>
      <c r="H784" s="5" t="inlineStr">
        <is>
          <t>Septiembre</t>
        </is>
      </c>
      <c r="I784" s="6" t="inlineStr">
        <is>
          <t>2023-2</t>
        </is>
      </c>
      <c r="J784" s="5" t="n">
        <v>95</v>
      </c>
      <c r="K784" s="5" t="n">
        <v>87.5</v>
      </c>
      <c r="L784" s="14">
        <f>IFERROR(IF(OR(J784=0,K784=""),"",IF(E784="Positivo",MIN(MAX(K784/J784,0),1.3),MIN(MAX(J784/K784,0),1.3))),"") </f>
        <v/>
      </c>
      <c r="M784" s="14">
        <f>IFERROR(IF(OR(J784=0,K784=""),"",IF(E784="Positivo",MAX(K784/J784,0),MAX(J784/K784,0))),"") </f>
        <v/>
      </c>
      <c r="N784" s="5" t="inlineStr">
        <is>
          <t>%</t>
        </is>
      </c>
      <c r="O784" s="5" t="inlineStr">
        <is>
          <t>%</t>
        </is>
      </c>
      <c r="P784" s="5" t="n">
        <v>0</v>
      </c>
      <c r="Q784" s="5" t="n">
        <v>0</v>
      </c>
      <c r="R784" s="5" t="inlineStr">
        <is>
          <t>289-2023-09-30</t>
        </is>
      </c>
    </row>
    <row r="785">
      <c r="A785" s="5" t="n">
        <v>289</v>
      </c>
      <c r="B785" s="5" t="inlineStr">
        <is>
          <t>Cumplimiento plan de comunicaciones SGC</t>
        </is>
      </c>
      <c r="C785" s="5" t="inlineStr">
        <is>
          <t>Gestión de calidad</t>
        </is>
      </c>
      <c r="D785" s="5" t="inlineStr">
        <is>
          <t>Trimestral</t>
        </is>
      </c>
      <c r="E785" s="5" t="inlineStr">
        <is>
          <t>Positivo</t>
        </is>
      </c>
      <c r="F785" s="106" t="n">
        <v>45291</v>
      </c>
      <c r="G785" s="15" t="n">
        <v>2023</v>
      </c>
      <c r="H785" s="6" t="inlineStr">
        <is>
          <t>Diciembre</t>
        </is>
      </c>
      <c r="I785" s="27" t="inlineStr">
        <is>
          <t>2023-2</t>
        </is>
      </c>
      <c r="J785" s="5" t="n">
        <v>95</v>
      </c>
      <c r="K785" s="23" t="n">
        <v>87.5</v>
      </c>
      <c r="L785" s="14">
        <f>IFERROR(IF(OR(J785=0,K785=""),"",IF(E785="Positivo",MIN(MAX(K785/J785,0),1.3),MIN(MAX(J785/K785,0),1.3))),"") </f>
        <v/>
      </c>
      <c r="M785" s="14">
        <f>IFERROR(IF(OR(J785=0,K785=""),"",IF(E785="Positivo",MAX(K785/J785,0),MAX(J785/K785,0))),"") </f>
        <v/>
      </c>
      <c r="N785" s="5" t="inlineStr">
        <is>
          <t>%</t>
        </is>
      </c>
      <c r="O785" s="5" t="inlineStr">
        <is>
          <t>%</t>
        </is>
      </c>
      <c r="P785" s="5" t="n">
        <v>0</v>
      </c>
      <c r="Q785" s="5" t="n">
        <v>0</v>
      </c>
      <c r="R785" s="5" t="inlineStr">
        <is>
          <t>289-2023-12-31</t>
        </is>
      </c>
    </row>
    <row r="786">
      <c r="A786" s="26" t="n">
        <v>289</v>
      </c>
      <c r="B786" s="5" t="inlineStr">
        <is>
          <t>Cumplimiento plan de comunicaciones SGC</t>
        </is>
      </c>
      <c r="C786" s="5" t="inlineStr">
        <is>
          <t>Gestión de calidad</t>
        </is>
      </c>
      <c r="D786" s="5" t="inlineStr">
        <is>
          <t>Trimestral</t>
        </is>
      </c>
      <c r="E786" s="5" t="inlineStr">
        <is>
          <t>Positivo</t>
        </is>
      </c>
      <c r="F786" s="107" t="n">
        <v>45473</v>
      </c>
      <c r="G786" s="5" t="n">
        <v>2024</v>
      </c>
      <c r="H786" s="5" t="inlineStr">
        <is>
          <t>Junio</t>
        </is>
      </c>
      <c r="I786" s="6" t="inlineStr">
        <is>
          <t>2024-1</t>
        </is>
      </c>
      <c r="J786" s="73" t="n">
        <v>95</v>
      </c>
      <c r="K786" s="9" t="n">
        <v>100</v>
      </c>
      <c r="L786" s="14">
        <f>IFERROR(IF(OR(J786=0,K786=""),"",IF(E786="Positivo",MIN(MAX(K786/J786,0),1.3),MIN(MAX(J786/K786,0),1.3))),"") </f>
        <v/>
      </c>
      <c r="M786" s="14">
        <f>IFERROR(IF(OR(J786=0,K786=""),"",IF(E786="Positivo",MAX(K786/J786,0),MAX(J786/K786,0))),"") </f>
        <v/>
      </c>
      <c r="N786" s="5" t="n"/>
      <c r="O786" s="5" t="n"/>
      <c r="P786" s="5" t="n">
        <v>0</v>
      </c>
      <c r="Q786" s="5" t="n">
        <v>0</v>
      </c>
      <c r="R786" s="5" t="inlineStr">
        <is>
          <t>289-2024-06-30</t>
        </is>
      </c>
    </row>
    <row r="787">
      <c r="A787" s="5" t="n">
        <v>289</v>
      </c>
      <c r="B787" s="5" t="inlineStr">
        <is>
          <t>Cumplimiento plan de comunicaciones SGC</t>
        </is>
      </c>
      <c r="C787" s="5" t="inlineStr">
        <is>
          <t>Gestión de calidad</t>
        </is>
      </c>
      <c r="D787" s="5" t="inlineStr">
        <is>
          <t>Trimestral</t>
        </is>
      </c>
      <c r="E787" s="5" t="inlineStr">
        <is>
          <t>Positivo</t>
        </is>
      </c>
      <c r="F787" s="107" t="n">
        <v>45657</v>
      </c>
      <c r="G787" s="5" t="n">
        <v>2024</v>
      </c>
      <c r="H787" s="5" t="inlineStr">
        <is>
          <t>Diciembre</t>
        </is>
      </c>
      <c r="I787" s="6" t="inlineStr">
        <is>
          <t>2024-2</t>
        </is>
      </c>
      <c r="J787" s="73" t="n">
        <v>95</v>
      </c>
      <c r="K787" s="9" t="n">
        <v>100</v>
      </c>
      <c r="L787" s="14">
        <f>IFERROR(IF(OR(J787=0,K787=""),"",IF(E787="Positivo",MIN(MAX(K787/J787,0),1.3),MIN(MAX(J787/K787,0),1.3))),"") </f>
        <v/>
      </c>
      <c r="M787" s="14">
        <f>IFERROR(IF(OR(J787=0,K787=""),"",IF(E787="Positivo",MAX(K787/J787,0),MAX(J787/K787,0))),"") </f>
        <v/>
      </c>
      <c r="N787" s="5" t="n"/>
      <c r="O787" s="5" t="n"/>
      <c r="P787" s="5" t="n">
        <v>0</v>
      </c>
      <c r="Q787" s="5" t="n">
        <v>0</v>
      </c>
      <c r="R787" s="5" t="inlineStr">
        <is>
          <t>289-2024-12-31</t>
        </is>
      </c>
    </row>
    <row r="788">
      <c r="A788" s="5" t="n">
        <v>290</v>
      </c>
      <c r="B788" s="5" t="inlineStr">
        <is>
          <t>Cierre eficaz de las oportunidades de mejora</t>
        </is>
      </c>
      <c r="C788" s="5" t="inlineStr">
        <is>
          <t>Planificación POLISIGS</t>
        </is>
      </c>
      <c r="D788" s="5" t="inlineStr">
        <is>
          <t>Bimestral</t>
        </is>
      </c>
      <c r="E788" s="5" t="inlineStr">
        <is>
          <t>Positivo</t>
        </is>
      </c>
      <c r="F788" s="107" t="n">
        <v>45107</v>
      </c>
      <c r="G788" s="5" t="n">
        <v>2023</v>
      </c>
      <c r="H788" s="5" t="inlineStr">
        <is>
          <t>Junio</t>
        </is>
      </c>
      <c r="I788" s="6" t="inlineStr">
        <is>
          <t>2023-1</t>
        </is>
      </c>
      <c r="J788" s="73" t="n">
        <v>90</v>
      </c>
      <c r="K788" s="9" t="n">
        <v>100</v>
      </c>
      <c r="L788" s="14">
        <f>IFERROR(IF(OR(J788=0,K788=""),"",IF(E788="Positivo",MIN(MAX(K788/J788,0),1.3),MIN(MAX(J788/K788,0),1.3))),"") </f>
        <v/>
      </c>
      <c r="M788" s="14">
        <f>IFERROR(IF(OR(J788=0,K788=""),"",IF(E788="Positivo",MAX(K788/J788,0),MAX(J788/K788,0))),"") </f>
        <v/>
      </c>
      <c r="N788" s="5" t="n"/>
      <c r="O788" s="5" t="n"/>
      <c r="P788" s="5" t="n">
        <v>1</v>
      </c>
      <c r="Q788" s="5" t="n">
        <v>1</v>
      </c>
      <c r="R788" s="5" t="inlineStr">
        <is>
          <t>290-2023-06-30</t>
        </is>
      </c>
    </row>
    <row r="789">
      <c r="A789" s="28" t="n">
        <v>290</v>
      </c>
      <c r="B789" s="5" t="inlineStr">
        <is>
          <t>Cierre eficaz de las oportunidades de mejora</t>
        </is>
      </c>
      <c r="C789" s="5" t="inlineStr">
        <is>
          <t>Planificación POLISIGS</t>
        </is>
      </c>
      <c r="D789" s="5" t="inlineStr">
        <is>
          <t>Bimestral</t>
        </is>
      </c>
      <c r="E789" s="5" t="inlineStr">
        <is>
          <t>Positivo</t>
        </is>
      </c>
      <c r="F789" s="107" t="n">
        <v>45168</v>
      </c>
      <c r="G789" s="5" t="n">
        <v>2023</v>
      </c>
      <c r="H789" s="5" t="inlineStr">
        <is>
          <t>Agosto</t>
        </is>
      </c>
      <c r="I789" s="6" t="inlineStr">
        <is>
          <t>2023-2</t>
        </is>
      </c>
      <c r="J789" s="9" t="n">
        <v>90</v>
      </c>
      <c r="K789" s="9" t="n">
        <v>81.81999999999999</v>
      </c>
      <c r="L789" s="74">
        <f>IFERROR(IF(OR(J789=0,K789=""),"",IF(E789="Positivo",MIN(MAX(K789/J789,0),1.3),MIN(MAX(J789/K789,0),1.3))),"") </f>
        <v/>
      </c>
      <c r="M789" s="14">
        <f>IFERROR(IF(OR(J789=0,K789=""),"",IF(E789="Positivo",MAX(K789/J789,0),MAX(J789/K789,0))),"") </f>
        <v/>
      </c>
      <c r="N789" s="5" t="n"/>
      <c r="O789" s="5" t="n"/>
      <c r="P789" s="5" t="n">
        <v>1</v>
      </c>
      <c r="Q789" s="5" t="n">
        <v>1</v>
      </c>
      <c r="R789" s="5" t="inlineStr">
        <is>
          <t>290-2023-08-30</t>
        </is>
      </c>
    </row>
    <row r="790">
      <c r="A790" s="26" t="n">
        <v>290</v>
      </c>
      <c r="B790" s="5" t="inlineStr">
        <is>
          <t>Cierre eficaz de las oportunidades de mejora</t>
        </is>
      </c>
      <c r="C790" s="5" t="inlineStr">
        <is>
          <t>Planificación POLISIGS</t>
        </is>
      </c>
      <c r="D790" s="5" t="inlineStr">
        <is>
          <t>Bimestral</t>
        </is>
      </c>
      <c r="E790" s="5" t="inlineStr">
        <is>
          <t>Positivo</t>
        </is>
      </c>
      <c r="F790" s="107" t="n">
        <v>45230</v>
      </c>
      <c r="G790" s="5" t="n">
        <v>2023</v>
      </c>
      <c r="H790" s="5" t="inlineStr">
        <is>
          <t>Octubre</t>
        </is>
      </c>
      <c r="I790" s="6" t="inlineStr">
        <is>
          <t>2023-2</t>
        </is>
      </c>
      <c r="J790" s="9" t="n">
        <v>90</v>
      </c>
      <c r="K790" s="23" t="n">
        <v>90.91</v>
      </c>
      <c r="L790" s="74">
        <f>IFERROR(IF(OR(J790=0,K790=""),"",IF(E790="Positivo",MIN(MAX(K790/J790,0),1.3),MIN(MAX(J790/K790,0),1.3))),"") </f>
        <v/>
      </c>
      <c r="M790" s="14">
        <f>IFERROR(IF(OR(J790=0,K790=""),"",IF(E790="Positivo",MAX(K790/J790,0),MAX(J790/K790,0))),"") </f>
        <v/>
      </c>
      <c r="N790" s="5" t="n"/>
      <c r="O790" s="5" t="n"/>
      <c r="P790" s="5" t="n">
        <v>1</v>
      </c>
      <c r="Q790" s="5" t="n">
        <v>1</v>
      </c>
      <c r="R790" s="5" t="inlineStr">
        <is>
          <t>290-2023-10-31</t>
        </is>
      </c>
    </row>
    <row r="791">
      <c r="A791" s="26" t="n">
        <v>290</v>
      </c>
      <c r="B791" s="5" t="inlineStr">
        <is>
          <t>Cierre eficaz de las oportunidades de mejora</t>
        </is>
      </c>
      <c r="C791" s="5" t="inlineStr">
        <is>
          <t>Planificación POLISIGS</t>
        </is>
      </c>
      <c r="D791" s="5" t="inlineStr">
        <is>
          <t>Bimestral</t>
        </is>
      </c>
      <c r="E791" s="5" t="inlineStr">
        <is>
          <t>Positivo</t>
        </is>
      </c>
      <c r="F791" s="107" t="n">
        <v>45291</v>
      </c>
      <c r="G791" s="5" t="n">
        <v>2023</v>
      </c>
      <c r="H791" s="5" t="inlineStr">
        <is>
          <t>Diciembre</t>
        </is>
      </c>
      <c r="I791" s="6" t="inlineStr">
        <is>
          <t>2023-2</t>
        </is>
      </c>
      <c r="J791" s="94" t="n">
        <v>90</v>
      </c>
      <c r="K791" s="94" t="n"/>
      <c r="L791" s="74" t="n"/>
      <c r="M791" s="14" t="n"/>
      <c r="N791" s="5" t="n"/>
      <c r="O791" s="5" t="n"/>
      <c r="P791" s="5" t="n">
        <v>1</v>
      </c>
      <c r="Q791" s="5" t="n">
        <v>1</v>
      </c>
      <c r="R791" s="5" t="inlineStr">
        <is>
          <t>290-2023-12-31</t>
        </is>
      </c>
    </row>
    <row r="792">
      <c r="A792" s="5" t="n">
        <v>290</v>
      </c>
      <c r="B792" s="5" t="inlineStr">
        <is>
          <t>Cierre eficaz de las oportunidades de mejora</t>
        </is>
      </c>
      <c r="C792" s="5" t="inlineStr">
        <is>
          <t>Planificación POLISIGS</t>
        </is>
      </c>
      <c r="D792" s="5" t="inlineStr">
        <is>
          <t>Bimestral</t>
        </is>
      </c>
      <c r="E792" s="5" t="inlineStr">
        <is>
          <t>Positivo</t>
        </is>
      </c>
      <c r="F792" s="107" t="n">
        <v>45473</v>
      </c>
      <c r="G792" s="5" t="n">
        <v>2024</v>
      </c>
      <c r="H792" s="5" t="inlineStr">
        <is>
          <t>Junio</t>
        </is>
      </c>
      <c r="I792" s="6" t="inlineStr">
        <is>
          <t>2024-1</t>
        </is>
      </c>
      <c r="J792" s="5" t="n">
        <v>90</v>
      </c>
      <c r="K792" s="5" t="n">
        <v>100</v>
      </c>
      <c r="L792" s="14">
        <f>IFERROR(IF(OR(J792=0,K792=""),"",IF(E792="Positivo",MIN(MAX(K792/J792,0),1.3),MIN(MAX(J792/K792,0),1.3))),"") </f>
        <v/>
      </c>
      <c r="M792" s="14">
        <f>IFERROR(IF(OR(J792=0,K792=""),"",IF(E792="Positivo",MAX(K792/J792,0),MAX(J792/K792,0))),"") </f>
        <v/>
      </c>
      <c r="N792" s="5" t="n"/>
      <c r="O792" s="5" t="n"/>
      <c r="P792" s="5" t="n">
        <v>0</v>
      </c>
      <c r="Q792" s="5" t="n">
        <v>0</v>
      </c>
      <c r="R792" s="5" t="inlineStr">
        <is>
          <t>290-2024-06-30</t>
        </is>
      </c>
    </row>
    <row r="793">
      <c r="A793" s="26" t="n">
        <v>290</v>
      </c>
      <c r="B793" s="5" t="inlineStr">
        <is>
          <t>Cierre eficaz de las oportunidades de mejora</t>
        </is>
      </c>
      <c r="C793" s="5" t="inlineStr">
        <is>
          <t>Planificación POLISIGS</t>
        </is>
      </c>
      <c r="D793" s="5" t="inlineStr">
        <is>
          <t>Bimestral</t>
        </is>
      </c>
      <c r="E793" s="5" t="inlineStr">
        <is>
          <t>Positivo</t>
        </is>
      </c>
      <c r="F793" s="107" t="n">
        <v>45657</v>
      </c>
      <c r="G793" s="5" t="n">
        <v>2024</v>
      </c>
      <c r="H793" s="5" t="inlineStr">
        <is>
          <t>Diciembre</t>
        </is>
      </c>
      <c r="I793" s="6" t="inlineStr">
        <is>
          <t>2024-2</t>
        </is>
      </c>
      <c r="J793" s="5" t="n">
        <v>90</v>
      </c>
      <c r="K793" s="5" t="n">
        <v>100</v>
      </c>
      <c r="L793" s="74">
        <f>IFERROR(IF(OR(J793=0,K793=""),"",IF(E793="Positivo",MIN(MAX(K793/J793,0),1.3),MIN(MAX(J793/K793,0),1.3))),"") </f>
        <v/>
      </c>
      <c r="M793" s="14">
        <f>IFERROR(IF(OR(J793=0,K793=""),"",IF(E793="Positivo",MAX(K793/J793,0),MAX(J793/K793,0))),"") </f>
        <v/>
      </c>
      <c r="N793" s="5" t="n"/>
      <c r="O793" s="5" t="n"/>
      <c r="P793" s="5" t="n">
        <v>0</v>
      </c>
      <c r="Q793" s="5" t="n">
        <v>0</v>
      </c>
      <c r="R793" s="5" t="inlineStr">
        <is>
          <t>290-2024-12-31</t>
        </is>
      </c>
    </row>
    <row r="794">
      <c r="A794" s="26" t="n">
        <v>290</v>
      </c>
      <c r="B794" s="5" t="inlineStr">
        <is>
          <t>Cierre eficaz de las oportunidades de mejora</t>
        </is>
      </c>
      <c r="C794" s="5" t="inlineStr">
        <is>
          <t>Planificación POLISIGS</t>
        </is>
      </c>
      <c r="D794" s="5" t="inlineStr">
        <is>
          <t>Bimestral</t>
        </is>
      </c>
      <c r="E794" s="5" t="inlineStr">
        <is>
          <t>Positivo</t>
        </is>
      </c>
      <c r="F794" s="107" t="n">
        <v>45838</v>
      </c>
      <c r="G794" s="5" t="n">
        <v>2025</v>
      </c>
      <c r="H794" s="5" t="inlineStr">
        <is>
          <t>Junio</t>
        </is>
      </c>
      <c r="I794" s="6" t="inlineStr">
        <is>
          <t>2025-1</t>
        </is>
      </c>
      <c r="J794" s="5" t="n">
        <v>90</v>
      </c>
      <c r="K794" s="5" t="n">
        <v>93.33</v>
      </c>
      <c r="L794" s="74">
        <f>IFERROR(IF(OR(J794=0,K794=""),"",IF(E794="Positivo",MIN(MAX(K794/J794,0),1.3),MIN(MAX(J794/K794,0),1.3))),"") </f>
        <v/>
      </c>
      <c r="M794" s="14">
        <f>IFERROR(IF(OR(J794=0,K794=""),"",IF(E794="Positivo",MAX(K794/J794,0),MAX(J794/K794,0))),"") </f>
        <v/>
      </c>
      <c r="N794" s="5" t="inlineStr">
        <is>
          <t>%</t>
        </is>
      </c>
      <c r="O794" s="5" t="inlineStr">
        <is>
          <t>%</t>
        </is>
      </c>
      <c r="P794" s="5" t="n">
        <v>0</v>
      </c>
      <c r="Q794" s="5" t="n">
        <v>0</v>
      </c>
      <c r="R794" s="5" t="inlineStr">
        <is>
          <t>290-2025-06-30</t>
        </is>
      </c>
    </row>
    <row r="795">
      <c r="A795" s="26" t="n">
        <v>291</v>
      </c>
      <c r="B795" s="5" t="inlineStr">
        <is>
          <t>Cumplimiento del cronograma de actividades deportivas</t>
        </is>
      </c>
      <c r="C795" s="5" t="inlineStr">
        <is>
          <t>Cultura y Deporte</t>
        </is>
      </c>
      <c r="D795" s="5" t="inlineStr">
        <is>
          <t>Semestral</t>
        </is>
      </c>
      <c r="E795" s="5" t="inlineStr">
        <is>
          <t>Positivo</t>
        </is>
      </c>
      <c r="F795" s="107" t="n">
        <v>45107</v>
      </c>
      <c r="G795" s="5" t="n">
        <v>2023</v>
      </c>
      <c r="H795" s="5" t="inlineStr">
        <is>
          <t>Junio</t>
        </is>
      </c>
      <c r="I795" s="6" t="inlineStr">
        <is>
          <t>2023-1</t>
        </is>
      </c>
      <c r="J795" s="5" t="n">
        <v>100</v>
      </c>
      <c r="K795" s="5" t="n">
        <v>100</v>
      </c>
      <c r="L795" s="74">
        <f>IFERROR(IF(OR(J795=0,K795=""),"",IF(E795="Positivo",MIN(MAX(K795/J795,0),1.3),MIN(MAX(J795/K795,0),1.3))),"") </f>
        <v/>
      </c>
      <c r="M795" s="14">
        <f>IFERROR(IF(OR(J795=0,K795=""),"",IF(E795="Positivo",MAX(K795/J795,0),MAX(J795/K795,0))),"") </f>
        <v/>
      </c>
      <c r="N795" s="5" t="inlineStr">
        <is>
          <t>%</t>
        </is>
      </c>
      <c r="O795" s="5" t="inlineStr">
        <is>
          <t>%</t>
        </is>
      </c>
      <c r="P795" s="5" t="n">
        <v>0</v>
      </c>
      <c r="Q795" s="5" t="n">
        <v>0</v>
      </c>
      <c r="R795" s="5" t="inlineStr">
        <is>
          <t>291-2023-06-30</t>
        </is>
      </c>
    </row>
    <row r="796">
      <c r="A796" s="5" t="n">
        <v>291</v>
      </c>
      <c r="B796" s="5" t="inlineStr">
        <is>
          <t>Cumplimiento del cronograma de actividades deportivas</t>
        </is>
      </c>
      <c r="C796" s="5" t="inlineStr">
        <is>
          <t>Cultura y Deporte</t>
        </is>
      </c>
      <c r="D796" s="5" t="inlineStr">
        <is>
          <t>Semestral</t>
        </is>
      </c>
      <c r="E796" s="5" t="inlineStr">
        <is>
          <t>Positivo</t>
        </is>
      </c>
      <c r="F796" s="107" t="n">
        <v>45291</v>
      </c>
      <c r="G796" s="5" t="n">
        <v>2023</v>
      </c>
      <c r="H796" s="5" t="inlineStr">
        <is>
          <t>Diciembre</t>
        </is>
      </c>
      <c r="I796" s="6" t="inlineStr">
        <is>
          <t>2023-2</t>
        </is>
      </c>
      <c r="J796" s="5" t="n">
        <v>100</v>
      </c>
      <c r="K796" s="5" t="n">
        <v>100</v>
      </c>
      <c r="L796" s="74">
        <f>IFERROR(IF(OR(J796=0,K796=""),"",IF(E796="Positivo",MIN(MAX(K796/J796,0),1.3),MIN(MAX(J796/K796,0),1.3))),"") </f>
        <v/>
      </c>
      <c r="M796" s="14">
        <f>IFERROR(IF(OR(J796=0,K796=""),"",IF(E796="Positivo",MAX(K796/J796,0),MAX(J796/K796,0))),"") </f>
        <v/>
      </c>
      <c r="N796" s="5" t="inlineStr">
        <is>
          <t>%</t>
        </is>
      </c>
      <c r="O796" s="5" t="inlineStr">
        <is>
          <t>%</t>
        </is>
      </c>
      <c r="P796" s="5" t="n">
        <v>0</v>
      </c>
      <c r="Q796" s="5" t="n">
        <v>0</v>
      </c>
      <c r="R796" s="5" t="inlineStr">
        <is>
          <t>291-2023-12-31</t>
        </is>
      </c>
    </row>
    <row r="797">
      <c r="A797" s="26" t="n">
        <v>291</v>
      </c>
      <c r="B797" s="5" t="inlineStr">
        <is>
          <t>Cumplimiento del cronograma de actividades deportivas</t>
        </is>
      </c>
      <c r="C797" s="5" t="inlineStr">
        <is>
          <t>Cultura y Deporte</t>
        </is>
      </c>
      <c r="D797" s="5" t="inlineStr">
        <is>
          <t>Semestral</t>
        </is>
      </c>
      <c r="E797" s="5" t="inlineStr">
        <is>
          <t>Positivo</t>
        </is>
      </c>
      <c r="F797" s="107" t="n">
        <v>45473</v>
      </c>
      <c r="G797" s="5" t="n">
        <v>2024</v>
      </c>
      <c r="H797" s="5" t="inlineStr">
        <is>
          <t>Junio</t>
        </is>
      </c>
      <c r="I797" s="6" t="inlineStr">
        <is>
          <t>2024-1</t>
        </is>
      </c>
      <c r="J797" s="5" t="n">
        <v>100</v>
      </c>
      <c r="K797" s="5" t="n">
        <v>100</v>
      </c>
      <c r="L797" s="74">
        <f>IFERROR(IF(OR(J797=0,K797=""),"",IF(E797="Positivo",MIN(MAX(K797/J797,0),1.3),MIN(MAX(J797/K797,0),1.3))),"") </f>
        <v/>
      </c>
      <c r="M797" s="14">
        <f>IFERROR(IF(OR(J797=0,K797=""),"",IF(E797="Positivo",MAX(K797/J797,0),MAX(J797/K797,0))),"") </f>
        <v/>
      </c>
      <c r="N797" s="5" t="n"/>
      <c r="O797" s="5" t="n"/>
      <c r="P797" s="5" t="n">
        <v>0</v>
      </c>
      <c r="Q797" s="5" t="n">
        <v>0</v>
      </c>
      <c r="R797" s="5" t="inlineStr">
        <is>
          <t>291-2024-06-30</t>
        </is>
      </c>
    </row>
    <row r="798">
      <c r="A798" s="26" t="n">
        <v>291</v>
      </c>
      <c r="B798" s="5" t="inlineStr">
        <is>
          <t>Cumplimiento del cronograma de actividades deportivas</t>
        </is>
      </c>
      <c r="C798" s="5" t="inlineStr">
        <is>
          <t>Cultura y Deporte</t>
        </is>
      </c>
      <c r="D798" s="5" t="inlineStr">
        <is>
          <t>Semestral</t>
        </is>
      </c>
      <c r="E798" s="5" t="inlineStr">
        <is>
          <t>Positivo</t>
        </is>
      </c>
      <c r="F798" s="107" t="n">
        <v>45657</v>
      </c>
      <c r="G798" s="5" t="n">
        <v>2024</v>
      </c>
      <c r="H798" s="5" t="inlineStr">
        <is>
          <t>Diciembre</t>
        </is>
      </c>
      <c r="I798" s="6" t="inlineStr">
        <is>
          <t>2024-2</t>
        </is>
      </c>
      <c r="J798" s="5" t="n">
        <v>100</v>
      </c>
      <c r="K798" s="5" t="n">
        <v>100</v>
      </c>
      <c r="L798" s="74">
        <f>IFERROR(IF(OR(J798=0,K798=""),"",IF(E798="Positivo",MIN(MAX(K798/J798,0),1.3),MIN(MAX(J798/K798,0),1.3))),"") </f>
        <v/>
      </c>
      <c r="M798" s="14">
        <f>IFERROR(IF(OR(J798=0,K798=""),"",IF(E798="Positivo",MAX(K798/J798,0),MAX(J798/K798,0))),"") </f>
        <v/>
      </c>
      <c r="N798" s="5" t="n"/>
      <c r="O798" s="5" t="n"/>
      <c r="P798" s="5" t="n">
        <v>0</v>
      </c>
      <c r="Q798" s="5" t="n">
        <v>0</v>
      </c>
      <c r="R798" s="5" t="inlineStr">
        <is>
          <t>291-2024-12-31</t>
        </is>
      </c>
    </row>
    <row r="799">
      <c r="A799" s="26" t="n">
        <v>292</v>
      </c>
      <c r="B799" s="5" t="inlineStr">
        <is>
          <t>Participación en Actividades deportivas presenciales</t>
        </is>
      </c>
      <c r="C799" s="5" t="inlineStr">
        <is>
          <t>Cultura y Deporte</t>
        </is>
      </c>
      <c r="D799" s="5" t="inlineStr">
        <is>
          <t>Semestral</t>
        </is>
      </c>
      <c r="E799" s="5" t="inlineStr">
        <is>
          <t>Positivo</t>
        </is>
      </c>
      <c r="F799" s="107" t="n">
        <v>45107</v>
      </c>
      <c r="G799" s="5" t="n">
        <v>2023</v>
      </c>
      <c r="H799" s="5" t="inlineStr">
        <is>
          <t>Junio</t>
        </is>
      </c>
      <c r="I799" s="6" t="inlineStr">
        <is>
          <t>2023-1</t>
        </is>
      </c>
      <c r="J799" s="5" t="n">
        <v>3</v>
      </c>
      <c r="K799" s="5" t="n">
        <v>10.990099009901</v>
      </c>
      <c r="L799" s="74">
        <f>IFERROR(IF(OR(J799=0,K799=""),"",IF(E799="Positivo",MIN(MAX(K799/J799,0),1.3),MIN(MAX(J799/K799,0),1.3))),"") </f>
        <v/>
      </c>
      <c r="M799" s="14">
        <f>IFERROR(IF(OR(J799=0,K799=""),"",IF(E799="Positivo",MAX(K799/J799,0),MAX(J799/K799,0))),"") </f>
        <v/>
      </c>
      <c r="N799" s="5" t="inlineStr">
        <is>
          <t>%</t>
        </is>
      </c>
      <c r="O799" s="5" t="inlineStr">
        <is>
          <t>%</t>
        </is>
      </c>
      <c r="P799" s="5" t="n">
        <v>0</v>
      </c>
      <c r="Q799" s="5" t="n">
        <v>0</v>
      </c>
      <c r="R799" s="5" t="inlineStr">
        <is>
          <t>292-2023-06-30</t>
        </is>
      </c>
    </row>
    <row r="800">
      <c r="A800" s="5" t="n">
        <v>292</v>
      </c>
      <c r="B800" s="5" t="inlineStr">
        <is>
          <t>Participación en Actividades deportivas presenciales</t>
        </is>
      </c>
      <c r="C800" s="5" t="inlineStr">
        <is>
          <t>Cultura y Deporte</t>
        </is>
      </c>
      <c r="D800" s="5" t="inlineStr">
        <is>
          <t>Semestral</t>
        </is>
      </c>
      <c r="E800" s="5" t="inlineStr">
        <is>
          <t>Positivo</t>
        </is>
      </c>
      <c r="F800" s="107" t="n">
        <v>45291</v>
      </c>
      <c r="G800" s="5" t="n">
        <v>2023</v>
      </c>
      <c r="H800" s="5" t="inlineStr">
        <is>
          <t>Diciembre</t>
        </is>
      </c>
      <c r="I800" s="6" t="inlineStr">
        <is>
          <t>2023-2</t>
        </is>
      </c>
      <c r="J800" s="5" t="n">
        <v>3</v>
      </c>
      <c r="K800" s="5" t="n">
        <v>27.659574468085</v>
      </c>
      <c r="L800" s="74">
        <f>IFERROR(IF(OR(J800=0,K800=""),"",IF(E800="Positivo",MIN(MAX(K800/J800,0),1.3),MIN(MAX(J800/K800,0),1.3))),"") </f>
        <v/>
      </c>
      <c r="M800" s="14">
        <f>IFERROR(IF(OR(J800=0,K800=""),"",IF(E800="Positivo",MAX(K800/J800,0),MAX(J800/K800,0))),"") </f>
        <v/>
      </c>
      <c r="N800" s="5" t="inlineStr">
        <is>
          <t>%</t>
        </is>
      </c>
      <c r="O800" s="5" t="inlineStr">
        <is>
          <t>%</t>
        </is>
      </c>
      <c r="P800" s="5" t="n">
        <v>0</v>
      </c>
      <c r="Q800" s="5" t="n">
        <v>0</v>
      </c>
      <c r="R800" s="5" t="inlineStr">
        <is>
          <t>292-2023-12-31</t>
        </is>
      </c>
    </row>
    <row r="801">
      <c r="A801" s="26" t="n">
        <v>292</v>
      </c>
      <c r="B801" s="5" t="inlineStr">
        <is>
          <t>Participación en Actividades deportivas</t>
        </is>
      </c>
      <c r="C801" s="5" t="inlineStr">
        <is>
          <t>Cultura y Deporte</t>
        </is>
      </c>
      <c r="D801" s="5" t="inlineStr">
        <is>
          <t>Semestral</t>
        </is>
      </c>
      <c r="E801" s="5" t="inlineStr">
        <is>
          <t>Positivo</t>
        </is>
      </c>
      <c r="F801" s="107" t="n">
        <v>45473</v>
      </c>
      <c r="G801" s="5" t="n">
        <v>2024</v>
      </c>
      <c r="H801" s="5" t="inlineStr">
        <is>
          <t>Junio</t>
        </is>
      </c>
      <c r="I801" s="6" t="inlineStr">
        <is>
          <t>2024-1</t>
        </is>
      </c>
      <c r="J801" s="5" t="n">
        <v>3</v>
      </c>
      <c r="K801" s="5" t="n">
        <v>23.31390507910074</v>
      </c>
      <c r="L801" s="74">
        <f>IFERROR(IF(OR(J801=0,K801=""),"",IF(E801="Positivo",MIN(MAX(K801/J801,0),1.3),MIN(MAX(J801/K801,0),1.3))),"") </f>
        <v/>
      </c>
      <c r="M801" s="14">
        <f>IFERROR(IF(OR(J801=0,K801=""),"",IF(E801="Positivo",MAX(K801/J801,0),MAX(J801/K801,0))),"") </f>
        <v/>
      </c>
      <c r="N801" s="5" t="inlineStr">
        <is>
          <t>%</t>
        </is>
      </c>
      <c r="O801" s="5" t="inlineStr">
        <is>
          <t>%</t>
        </is>
      </c>
      <c r="P801" s="5" t="n">
        <v>0</v>
      </c>
      <c r="Q801" s="5" t="n">
        <v>0</v>
      </c>
      <c r="R801" s="5" t="inlineStr">
        <is>
          <t>292-2024-06-30</t>
        </is>
      </c>
    </row>
    <row r="802">
      <c r="A802" s="26" t="n">
        <v>292</v>
      </c>
      <c r="B802" s="5" t="inlineStr">
        <is>
          <t>Participación en Actividades deportivas</t>
        </is>
      </c>
      <c r="C802" s="5" t="inlineStr">
        <is>
          <t>Cultura y Deporte</t>
        </is>
      </c>
      <c r="D802" s="5" t="inlineStr">
        <is>
          <t>Semestral</t>
        </is>
      </c>
      <c r="E802" s="5" t="inlineStr">
        <is>
          <t>Positivo</t>
        </is>
      </c>
      <c r="F802" s="107" t="n">
        <v>45657</v>
      </c>
      <c r="G802" s="5" t="n">
        <v>2024</v>
      </c>
      <c r="H802" s="5" t="inlineStr">
        <is>
          <t>Diciembre</t>
        </is>
      </c>
      <c r="I802" s="6" t="inlineStr">
        <is>
          <t>2024-2</t>
        </is>
      </c>
      <c r="J802" s="5" t="n">
        <v>3</v>
      </c>
      <c r="K802" s="5" t="n">
        <v>14.26386233269599</v>
      </c>
      <c r="L802" s="74">
        <f>IFERROR(IF(OR(J802=0,K802=""),"",IF(E802="Positivo",MIN(MAX(K802/J802,0),1.3),MIN(MAX(J802/K802,0),1.3))),"") </f>
        <v/>
      </c>
      <c r="M802" s="14">
        <f>IFERROR(IF(OR(J802=0,K802=""),"",IF(E802="Positivo",MAX(K802/J802,0),MAX(J802/K802,0))),"") </f>
        <v/>
      </c>
      <c r="N802" s="5" t="inlineStr">
        <is>
          <t>%</t>
        </is>
      </c>
      <c r="O802" s="5" t="inlineStr">
        <is>
          <t>%</t>
        </is>
      </c>
      <c r="P802" s="5" t="n">
        <v>0</v>
      </c>
      <c r="Q802" s="5" t="n">
        <v>0</v>
      </c>
      <c r="R802" s="5" t="inlineStr">
        <is>
          <t>292-2024-12-31</t>
        </is>
      </c>
    </row>
    <row r="803">
      <c r="A803" s="26" t="n">
        <v>292</v>
      </c>
      <c r="B803" s="5" t="inlineStr">
        <is>
          <t>Participación en Actividades deportivas</t>
        </is>
      </c>
      <c r="C803" s="5" t="inlineStr">
        <is>
          <t>Cultura y Deporte</t>
        </is>
      </c>
      <c r="D803" s="5" t="inlineStr">
        <is>
          <t>Semestral</t>
        </is>
      </c>
      <c r="E803" s="5" t="inlineStr">
        <is>
          <t>Positivo</t>
        </is>
      </c>
      <c r="F803" s="107" t="n">
        <v>45838</v>
      </c>
      <c r="G803" s="5" t="n">
        <v>2025</v>
      </c>
      <c r="H803" s="5" t="inlineStr">
        <is>
          <t>Junio</t>
        </is>
      </c>
      <c r="I803" s="6" t="inlineStr">
        <is>
          <t>2025-1</t>
        </is>
      </c>
      <c r="J803" s="3" t="n">
        <v>8</v>
      </c>
      <c r="K803" s="9" t="n">
        <v>9.789999999999999</v>
      </c>
      <c r="L803" s="74">
        <f>IFERROR(IF(OR(J803=0,K803=""),"",IF(E803="Positivo",MIN(MAX(K803/J803,0),1.3),MIN(MAX(J803/K803,0),1.3))),"") </f>
        <v/>
      </c>
      <c r="M803" s="14">
        <f>IFERROR(IF(OR(J803=0,K803=""),"",IF(E803="Positivo",MAX(K803/J803,0),MAX(J803/K803,0))),"") </f>
        <v/>
      </c>
      <c r="N803" s="5" t="inlineStr">
        <is>
          <t>%</t>
        </is>
      </c>
      <c r="O803" s="5" t="inlineStr">
        <is>
          <t>%</t>
        </is>
      </c>
      <c r="P803" s="5" t="n">
        <v>0</v>
      </c>
      <c r="Q803" s="5" t="n">
        <v>0</v>
      </c>
      <c r="R803" s="5" t="inlineStr">
        <is>
          <t>292-2025-06-30</t>
        </is>
      </c>
    </row>
    <row r="804">
      <c r="A804" s="5" t="n">
        <v>292</v>
      </c>
      <c r="B804" s="5" t="inlineStr">
        <is>
          <t>Participación en Actividades deportivas</t>
        </is>
      </c>
      <c r="C804" s="5" t="inlineStr">
        <is>
          <t>Cultura y Deporte</t>
        </is>
      </c>
      <c r="D804" s="5" t="inlineStr">
        <is>
          <t>Trimestral</t>
        </is>
      </c>
      <c r="E804" s="5" t="inlineStr">
        <is>
          <t>Positivo</t>
        </is>
      </c>
      <c r="F804" s="107" t="n">
        <v>46022</v>
      </c>
      <c r="G804" s="5" t="n">
        <v>2025</v>
      </c>
      <c r="H804" s="5" t="inlineStr">
        <is>
          <t>Diciembre</t>
        </is>
      </c>
      <c r="I804" s="6" t="inlineStr">
        <is>
          <t>2025-2</t>
        </is>
      </c>
      <c r="J804" s="3" t="n">
        <v>8</v>
      </c>
      <c r="K804" s="9" t="n">
        <v>11.21</v>
      </c>
      <c r="L804" s="14">
        <f>IFERROR(IF(OR(J804=0,K804=""),"",IF(E804="Positivo",MIN(MAX(K804/J804,0),1.3),MIN(MAX(J804/K804,0),1.3))),"") </f>
        <v/>
      </c>
      <c r="M804" s="14">
        <f>IFERROR(IF(OR(J804=0,K804=""),"",IF(E804="Positivo",MAX(K804/J804,0),MAX(J804/K804,0))),"") </f>
        <v/>
      </c>
      <c r="N804" s="5" t="inlineStr">
        <is>
          <t>%</t>
        </is>
      </c>
      <c r="O804" s="5" t="inlineStr">
        <is>
          <t>%</t>
        </is>
      </c>
      <c r="P804" s="5" t="n">
        <v>0</v>
      </c>
      <c r="Q804" s="5" t="n">
        <v>0</v>
      </c>
      <c r="R804" s="5" t="inlineStr">
        <is>
          <t>292-2025-12-31</t>
        </is>
      </c>
    </row>
    <row r="805">
      <c r="A805" s="26" t="n">
        <v>293</v>
      </c>
      <c r="B805" s="5" t="inlineStr">
        <is>
          <t>Cumplimiento del cronograma de actividades culturales</t>
        </is>
      </c>
      <c r="C805" s="5" t="inlineStr">
        <is>
          <t>Cultura y Deporte</t>
        </is>
      </c>
      <c r="D805" s="5" t="inlineStr">
        <is>
          <t>Semestral</t>
        </is>
      </c>
      <c r="E805" s="5" t="inlineStr">
        <is>
          <t>Positivo</t>
        </is>
      </c>
      <c r="F805" s="107" t="n">
        <v>45107</v>
      </c>
      <c r="G805" s="5" t="n">
        <v>2023</v>
      </c>
      <c r="H805" s="5" t="inlineStr">
        <is>
          <t>Junio</t>
        </is>
      </c>
      <c r="I805" s="6" t="inlineStr">
        <is>
          <t>2023-1</t>
        </is>
      </c>
      <c r="J805" s="5" t="n">
        <v>100</v>
      </c>
      <c r="K805" s="9" t="n">
        <v>100</v>
      </c>
      <c r="L805" s="14">
        <f>IFERROR(IF(OR(J805=0,K805=""),"",IF(E805="Positivo",MIN(MAX(K805/J805,0),1.3),MIN(MAX(J805/K805,0),1.3))),"") </f>
        <v/>
      </c>
      <c r="M805" s="14">
        <f>IFERROR(IF(OR(J805=0,K805=""),"",IF(E805="Positivo",MAX(K805/J805,0),MAX(J805/K805,0))),"") </f>
        <v/>
      </c>
      <c r="N805" s="5" t="inlineStr">
        <is>
          <t>%</t>
        </is>
      </c>
      <c r="O805" s="5" t="inlineStr">
        <is>
          <t>%</t>
        </is>
      </c>
      <c r="P805" s="5" t="n">
        <v>0</v>
      </c>
      <c r="Q805" s="5" t="n">
        <v>0</v>
      </c>
      <c r="R805" s="5" t="inlineStr">
        <is>
          <t>293-2023-06-30</t>
        </is>
      </c>
    </row>
    <row r="806">
      <c r="A806" s="26" t="n">
        <v>293</v>
      </c>
      <c r="B806" s="5" t="inlineStr">
        <is>
          <t>Cumplimiento del cronograma de actividades culturales</t>
        </is>
      </c>
      <c r="C806" s="5" t="inlineStr">
        <is>
          <t>Cultura y Deporte</t>
        </is>
      </c>
      <c r="D806" s="5" t="inlineStr">
        <is>
          <t>Semestral</t>
        </is>
      </c>
      <c r="E806" s="5" t="inlineStr">
        <is>
          <t>Positivo</t>
        </is>
      </c>
      <c r="F806" s="107" t="n">
        <v>45291</v>
      </c>
      <c r="G806" s="5" t="n">
        <v>2023</v>
      </c>
      <c r="H806" s="5" t="inlineStr">
        <is>
          <t>Diciembre</t>
        </is>
      </c>
      <c r="I806" s="6" t="inlineStr">
        <is>
          <t>2023-2</t>
        </is>
      </c>
      <c r="J806" s="5" t="n">
        <v>100</v>
      </c>
      <c r="K806" s="9" t="n">
        <v>100</v>
      </c>
      <c r="L806" s="14">
        <f>IFERROR(IF(OR(J806=0,K806=""),"",IF(E806="Positivo",MIN(MAX(K806/J806,0),1.3),MIN(MAX(J806/K806,0),1.3))),"") </f>
        <v/>
      </c>
      <c r="M806" s="14">
        <f>IFERROR(IF(OR(J806=0,K806=""),"",IF(E806="Positivo",MAX(K806/J806,0),MAX(J806/K806,0))),"") </f>
        <v/>
      </c>
      <c r="N806" s="5" t="inlineStr">
        <is>
          <t>%</t>
        </is>
      </c>
      <c r="O806" s="5" t="inlineStr">
        <is>
          <t>%</t>
        </is>
      </c>
      <c r="P806" s="5" t="n">
        <v>0</v>
      </c>
      <c r="Q806" s="5" t="n">
        <v>0</v>
      </c>
      <c r="R806" s="5" t="inlineStr">
        <is>
          <t>293-2023-12-31</t>
        </is>
      </c>
    </row>
    <row r="807">
      <c r="A807" s="26" t="n">
        <v>293</v>
      </c>
      <c r="B807" s="5" t="inlineStr">
        <is>
          <t>Cumplimiento del cronograma de actividades culturales</t>
        </is>
      </c>
      <c r="C807" s="5" t="inlineStr">
        <is>
          <t>Cultura y Deporte</t>
        </is>
      </c>
      <c r="D807" s="5" t="inlineStr">
        <is>
          <t>Semestral</t>
        </is>
      </c>
      <c r="E807" s="5" t="inlineStr">
        <is>
          <t>Positivo</t>
        </is>
      </c>
      <c r="F807" s="107" t="n">
        <v>45473</v>
      </c>
      <c r="G807" s="5" t="n">
        <v>2024</v>
      </c>
      <c r="H807" s="5" t="inlineStr">
        <is>
          <t>Junio</t>
        </is>
      </c>
      <c r="I807" s="6" t="inlineStr">
        <is>
          <t>2024-1</t>
        </is>
      </c>
      <c r="J807" s="5" t="n">
        <v>100</v>
      </c>
      <c r="K807" s="9" t="n">
        <v>100</v>
      </c>
      <c r="L807" s="14">
        <f>IFERROR(IF(OR(J807=0,K807=""),"",IF(E807="Positivo",MIN(MAX(K807/J807,0),1.3),MIN(MAX(J807/K807,0),1.3))),"") </f>
        <v/>
      </c>
      <c r="M807" s="14">
        <f>IFERROR(IF(OR(J807=0,K807=""),"",IF(E807="Positivo",MAX(K807/J807,0),MAX(J807/K807,0))),"") </f>
        <v/>
      </c>
      <c r="N807" s="5" t="n"/>
      <c r="O807" s="5" t="n"/>
      <c r="P807" s="5" t="n">
        <v>0</v>
      </c>
      <c r="Q807" s="5" t="n">
        <v>0</v>
      </c>
      <c r="R807" s="5" t="inlineStr">
        <is>
          <t>293-2024-06-30</t>
        </is>
      </c>
    </row>
    <row r="808">
      <c r="A808" s="5" t="n">
        <v>293</v>
      </c>
      <c r="B808" s="5" t="inlineStr">
        <is>
          <t>Cumplimiento del cronograma de actividades culturales</t>
        </is>
      </c>
      <c r="C808" s="5" t="inlineStr">
        <is>
          <t>Cultura y Deporte</t>
        </is>
      </c>
      <c r="D808" s="5" t="inlineStr">
        <is>
          <t>Semestral</t>
        </is>
      </c>
      <c r="E808" s="5" t="inlineStr">
        <is>
          <t>Positivo</t>
        </is>
      </c>
      <c r="F808" s="107" t="n">
        <v>45657</v>
      </c>
      <c r="G808" s="5" t="n">
        <v>2024</v>
      </c>
      <c r="H808" s="5" t="inlineStr">
        <is>
          <t>Diciembre</t>
        </is>
      </c>
      <c r="I808" s="6" t="inlineStr">
        <is>
          <t>2024-2</t>
        </is>
      </c>
      <c r="J808" s="5" t="n">
        <v>100</v>
      </c>
      <c r="K808" s="10" t="n">
        <v>100</v>
      </c>
      <c r="L808" s="14">
        <f>IFERROR(IF(OR(J808=0,K808=""),"",IF(E808="Positivo",MIN(MAX(K808/J808,0),1.3),MIN(MAX(J808/K808,0),1.3))),"") </f>
        <v/>
      </c>
      <c r="M808" s="14">
        <f>IFERROR(IF(OR(J808=0,K808=""),"",IF(E808="Positivo",MAX(K808/J808,0),MAX(J808/K808,0))),"") </f>
        <v/>
      </c>
      <c r="N808" s="5" t="n"/>
      <c r="O808" s="5" t="n"/>
      <c r="P808" s="5" t="n">
        <v>0</v>
      </c>
      <c r="Q808" s="5" t="n">
        <v>0</v>
      </c>
      <c r="R808" s="5" t="inlineStr">
        <is>
          <t>293-2024-12-31</t>
        </is>
      </c>
    </row>
    <row r="809">
      <c r="A809" s="5" t="n">
        <v>294</v>
      </c>
      <c r="B809" s="5" t="inlineStr">
        <is>
          <t>Participación en actividades culturales presenciales</t>
        </is>
      </c>
      <c r="C809" s="5" t="inlineStr">
        <is>
          <t>Cultura y Deporte</t>
        </is>
      </c>
      <c r="D809" s="5" t="inlineStr">
        <is>
          <t>Semestral</t>
        </is>
      </c>
      <c r="E809" s="5" t="inlineStr">
        <is>
          <t>Positivo</t>
        </is>
      </c>
      <c r="F809" s="106" t="n">
        <v>45107</v>
      </c>
      <c r="G809" s="15" t="n">
        <v>2023</v>
      </c>
      <c r="H809" s="6" t="inlineStr">
        <is>
          <t>Junio</t>
        </is>
      </c>
      <c r="I809" s="27" t="inlineStr">
        <is>
          <t>2023-1</t>
        </is>
      </c>
      <c r="J809" s="5" t="n">
        <v>3</v>
      </c>
      <c r="K809" s="11" t="n">
        <v>30.15873015873</v>
      </c>
      <c r="L809" s="14">
        <f>IFERROR(IF(OR(J809=0,K809=""),"",IF(E809="Positivo",MIN(MAX(K809/J809,0),1.3),MIN(MAX(J809/K809,0),1.3))),"") </f>
        <v/>
      </c>
      <c r="M809" s="14">
        <f>IFERROR(IF(OR(J809=0,K809=""),"",IF(E809="Positivo",MAX(K809/J809,0),MAX(J809/K809,0))),"") </f>
        <v/>
      </c>
      <c r="N809" s="5" t="inlineStr">
        <is>
          <t>%</t>
        </is>
      </c>
      <c r="O809" s="5" t="inlineStr">
        <is>
          <t>%</t>
        </is>
      </c>
      <c r="P809" s="5" t="n">
        <v>0</v>
      </c>
      <c r="Q809" s="5" t="n">
        <v>0</v>
      </c>
      <c r="R809" s="5" t="inlineStr">
        <is>
          <t>294-2023-06-30</t>
        </is>
      </c>
    </row>
    <row r="810">
      <c r="A810" s="26" t="n">
        <v>294</v>
      </c>
      <c r="B810" s="5" t="inlineStr">
        <is>
          <t>Participación en actividades culturales presenciales</t>
        </is>
      </c>
      <c r="C810" s="5" t="inlineStr">
        <is>
          <t>Cultura y Deporte</t>
        </is>
      </c>
      <c r="D810" s="5" t="inlineStr">
        <is>
          <t>Semestral</t>
        </is>
      </c>
      <c r="E810" s="5" t="inlineStr">
        <is>
          <t>Positivo</t>
        </is>
      </c>
      <c r="F810" s="107" t="n">
        <v>45291</v>
      </c>
      <c r="G810" s="5" t="n">
        <v>2023</v>
      </c>
      <c r="H810" s="5" t="inlineStr">
        <is>
          <t>Diciembre</t>
        </is>
      </c>
      <c r="I810" s="6" t="inlineStr">
        <is>
          <t>2023-2</t>
        </is>
      </c>
      <c r="J810" s="5" t="n">
        <v>3</v>
      </c>
      <c r="K810" s="5" t="n">
        <v>41.986754966887</v>
      </c>
      <c r="L810" s="14">
        <f>IFERROR(IF(OR(J810=0,K810=""),"",IF(E810="Positivo",MIN(MAX(K810/J810,0),1.3),MIN(MAX(J810/K810,0),1.3))),"") </f>
        <v/>
      </c>
      <c r="M810" s="14">
        <f>IFERROR(IF(OR(J810=0,K810=""),"",IF(E810="Positivo",MAX(K810/J810,0),MAX(J810/K810,0))),"") </f>
        <v/>
      </c>
      <c r="N810" s="5" t="inlineStr">
        <is>
          <t>%</t>
        </is>
      </c>
      <c r="O810" s="5" t="inlineStr">
        <is>
          <t>%</t>
        </is>
      </c>
      <c r="P810" s="5" t="n">
        <v>0</v>
      </c>
      <c r="Q810" s="5" t="n">
        <v>0</v>
      </c>
      <c r="R810" s="5" t="inlineStr">
        <is>
          <t>294-2023-12-31</t>
        </is>
      </c>
    </row>
    <row r="811">
      <c r="A811" s="5" t="n">
        <v>294</v>
      </c>
      <c r="B811" s="5" t="inlineStr">
        <is>
          <t>Participación en actividades culturales</t>
        </is>
      </c>
      <c r="C811" s="5" t="inlineStr">
        <is>
          <t>Cultura y Deporte</t>
        </is>
      </c>
      <c r="D811" s="5" t="inlineStr">
        <is>
          <t>Semestral</t>
        </is>
      </c>
      <c r="E811" s="5" t="inlineStr">
        <is>
          <t>Positivo</t>
        </is>
      </c>
      <c r="F811" s="107" t="n">
        <v>45473</v>
      </c>
      <c r="G811" s="5" t="n">
        <v>2024</v>
      </c>
      <c r="H811" s="5" t="inlineStr">
        <is>
          <t>Junio</t>
        </is>
      </c>
      <c r="I811" s="6" t="inlineStr">
        <is>
          <t>2024-1</t>
        </is>
      </c>
      <c r="J811" s="5" t="n">
        <v>3</v>
      </c>
      <c r="K811" s="5" t="n">
        <v>26.27669452181987</v>
      </c>
      <c r="L811" s="14">
        <f>IFERROR(IF(OR(J811=0,K811=""),"",IF(E811="Positivo",MIN(MAX(K811/J811,0),1.3),MIN(MAX(J811/K811,0),1.3))),"") </f>
        <v/>
      </c>
      <c r="M811" s="14">
        <f>IFERROR(IF(OR(J811=0,K811=""),"",IF(E811="Positivo",MAX(K811/J811,0),MAX(J811/K811,0))),"") </f>
        <v/>
      </c>
      <c r="N811" s="5" t="inlineStr">
        <is>
          <t>%</t>
        </is>
      </c>
      <c r="O811" s="5" t="inlineStr">
        <is>
          <t>%</t>
        </is>
      </c>
      <c r="P811" s="5" t="n">
        <v>0</v>
      </c>
      <c r="Q811" s="5" t="n">
        <v>0</v>
      </c>
      <c r="R811" s="5" t="inlineStr">
        <is>
          <t>294-2024-06-30</t>
        </is>
      </c>
    </row>
    <row r="812">
      <c r="A812" s="5" t="n">
        <v>294</v>
      </c>
      <c r="B812" s="5" t="inlineStr">
        <is>
          <t>Participación en actividades culturales</t>
        </is>
      </c>
      <c r="C812" s="5" t="inlineStr">
        <is>
          <t>Cultura y Deporte</t>
        </is>
      </c>
      <c r="D812" s="5" t="inlineStr">
        <is>
          <t>Semestral</t>
        </is>
      </c>
      <c r="E812" s="5" t="inlineStr">
        <is>
          <t>Positivo</t>
        </is>
      </c>
      <c r="F812" s="107" t="n">
        <v>45657</v>
      </c>
      <c r="G812" s="5" t="n">
        <v>2024</v>
      </c>
      <c r="H812" s="5" t="inlineStr">
        <is>
          <t>Diciembre</t>
        </is>
      </c>
      <c r="I812" s="6" t="inlineStr">
        <is>
          <t>2024-2</t>
        </is>
      </c>
      <c r="J812" s="5" t="n">
        <v>3</v>
      </c>
      <c r="K812" s="94" t="n">
        <v>5.5</v>
      </c>
      <c r="L812" s="14">
        <f>IFERROR(IF(OR(J812=0,K812=""),"",IF(E812="Positivo",MIN(MAX(K812/J812,0),1.3),MIN(MAX(J812/K812,0),1.3))),"") </f>
        <v/>
      </c>
      <c r="M812" s="14">
        <f>IFERROR(IF(OR(J812=0,K812=""),"",IF(E812="Positivo",MAX(K812/J812,0),MAX(J812/K812,0))),"") </f>
        <v/>
      </c>
      <c r="N812" s="5" t="inlineStr">
        <is>
          <t>%</t>
        </is>
      </c>
      <c r="O812" s="5" t="inlineStr">
        <is>
          <t>%</t>
        </is>
      </c>
      <c r="P812" s="5" t="n">
        <v>0</v>
      </c>
      <c r="Q812" s="5" t="n">
        <v>0</v>
      </c>
      <c r="R812" s="5" t="inlineStr">
        <is>
          <t>294-2024-12-31</t>
        </is>
      </c>
    </row>
    <row r="813">
      <c r="A813" s="28" t="n">
        <v>294</v>
      </c>
      <c r="B813" s="5" t="inlineStr">
        <is>
          <t>Participación en actividades culturales</t>
        </is>
      </c>
      <c r="C813" s="5" t="inlineStr">
        <is>
          <t>Cultura y Deporte</t>
        </is>
      </c>
      <c r="D813" s="5" t="inlineStr">
        <is>
          <t>Semestral</t>
        </is>
      </c>
      <c r="E813" s="5" t="inlineStr">
        <is>
          <t>Positivo</t>
        </is>
      </c>
      <c r="F813" s="107" t="n">
        <v>45838</v>
      </c>
      <c r="G813" s="5" t="n">
        <v>2025</v>
      </c>
      <c r="H813" s="5" t="inlineStr">
        <is>
          <t>Junio</t>
        </is>
      </c>
      <c r="I813" s="6" t="inlineStr">
        <is>
          <t>2025-1</t>
        </is>
      </c>
      <c r="J813" s="73" t="n">
        <v>8</v>
      </c>
      <c r="K813" s="9" t="n">
        <v>-9.19</v>
      </c>
      <c r="L813" s="14">
        <f>IFERROR(IF(OR(J813=0,K813=""),"",IF(E813="Positivo",MIN(MAX(K813/J813,0),1.3),MIN(MAX(J813/K813,0),1.3))),"") </f>
        <v/>
      </c>
      <c r="M813" s="14">
        <f>IFERROR(IF(OR(J813=0,K813=""),"",IF(E813="Positivo",MAX(K813/J813,0),MAX(J813/K813,0))),"") </f>
        <v/>
      </c>
      <c r="N813" s="5" t="inlineStr">
        <is>
          <t>%</t>
        </is>
      </c>
      <c r="O813" s="5" t="inlineStr">
        <is>
          <t>%</t>
        </is>
      </c>
      <c r="P813" s="5" t="n">
        <v>0</v>
      </c>
      <c r="Q813" s="5" t="n">
        <v>0</v>
      </c>
      <c r="R813" s="5" t="inlineStr">
        <is>
          <t>294-2025-06-30</t>
        </is>
      </c>
    </row>
    <row r="814">
      <c r="A814" s="26" t="n">
        <v>294</v>
      </c>
      <c r="B814" s="5" t="inlineStr">
        <is>
          <t>Participación en actividades culturales</t>
        </is>
      </c>
      <c r="C814" s="5" t="inlineStr">
        <is>
          <t>Cultura y Deporte</t>
        </is>
      </c>
      <c r="D814" s="5" t="inlineStr">
        <is>
          <t>Trimestral</t>
        </is>
      </c>
      <c r="E814" s="5" t="inlineStr">
        <is>
          <t>Positivo</t>
        </is>
      </c>
      <c r="F814" s="107" t="n">
        <v>46022</v>
      </c>
      <c r="G814" s="5" t="n">
        <v>2025</v>
      </c>
      <c r="H814" s="5" t="inlineStr">
        <is>
          <t>Diciembre</t>
        </is>
      </c>
      <c r="I814" s="6" t="inlineStr">
        <is>
          <t>2025-2</t>
        </is>
      </c>
      <c r="J814" s="73" t="n">
        <v>8</v>
      </c>
      <c r="K814" s="9" t="n">
        <v>54.02</v>
      </c>
      <c r="L814" s="14">
        <f>IFERROR(IF(OR(J814=0,K814=""),"",IF(E814="Positivo",MIN(MAX(K814/J814,0),1.3),MIN(MAX(J814/K814,0),1.3))),"") </f>
        <v/>
      </c>
      <c r="M814" s="14">
        <f>IFERROR(IF(OR(J814=0,K814=""),"",IF(E814="Positivo",MAX(K814/J814,0),MAX(J814/K814,0))),"") </f>
        <v/>
      </c>
      <c r="N814" s="5" t="inlineStr">
        <is>
          <t>%</t>
        </is>
      </c>
      <c r="O814" s="5" t="inlineStr">
        <is>
          <t>%</t>
        </is>
      </c>
      <c r="P814" s="5" t="n">
        <v>0</v>
      </c>
      <c r="Q814" s="5" t="n">
        <v>0</v>
      </c>
      <c r="R814" s="5" t="inlineStr">
        <is>
          <t>294-2025-12-31</t>
        </is>
      </c>
    </row>
    <row r="815">
      <c r="A815" s="5" t="n">
        <v>295</v>
      </c>
      <c r="B815" s="5" t="inlineStr">
        <is>
          <t>Cumplimiento Del Cierre De Oportunidades De Mejora De Auditoria</t>
        </is>
      </c>
      <c r="C815" s="5" t="inlineStr">
        <is>
          <t>AUDITORÍA INTERNA</t>
        </is>
      </c>
      <c r="D815" s="5" t="inlineStr">
        <is>
          <t>Semestral</t>
        </is>
      </c>
      <c r="E815" s="5" t="inlineStr">
        <is>
          <t>Positivo</t>
        </is>
      </c>
      <c r="F815" s="107" t="n">
        <v>45107</v>
      </c>
      <c r="G815" s="5" t="n">
        <v>2023</v>
      </c>
      <c r="H815" s="5" t="inlineStr">
        <is>
          <t>Junio</t>
        </is>
      </c>
      <c r="I815" s="6" t="inlineStr">
        <is>
          <t>2023-1</t>
        </is>
      </c>
      <c r="J815" s="73" t="n">
        <v>11</v>
      </c>
      <c r="K815" s="9" t="n">
        <v>5</v>
      </c>
      <c r="L815" s="14">
        <f>IFERROR(IF(OR(J815=0,K815=""),"",IF(E815="Positivo",MIN(MAX(K815/J815,0),1.3),MIN(MAX(J815/K815,0),1.3))),"") </f>
        <v/>
      </c>
      <c r="M815" s="14">
        <f>IFERROR(IF(OR(J815=0,K815=""),"",IF(E815="Positivo",MAX(K815/J815,0),MAX(J815/K815,0))),"") </f>
        <v/>
      </c>
      <c r="N815" s="5" t="n"/>
      <c r="O815" s="5" t="n"/>
      <c r="P815" s="5" t="n">
        <v>0</v>
      </c>
      <c r="Q815" s="5" t="n">
        <v>0</v>
      </c>
      <c r="R815" s="5" t="inlineStr">
        <is>
          <t>295-2023-06-30</t>
        </is>
      </c>
    </row>
    <row r="816">
      <c r="A816" s="5" t="n">
        <v>295</v>
      </c>
      <c r="B816" s="5" t="inlineStr">
        <is>
          <t>Cumplimiento Del Cierre De Oportunidades De Mejora De Auditoria</t>
        </is>
      </c>
      <c r="C816" s="5" t="inlineStr">
        <is>
          <t>AUDITORÍA INTERNA</t>
        </is>
      </c>
      <c r="D816" s="5" t="inlineStr">
        <is>
          <t>Semestral</t>
        </is>
      </c>
      <c r="E816" s="5" t="inlineStr">
        <is>
          <t>Positivo</t>
        </is>
      </c>
      <c r="F816" s="107" t="n">
        <v>45291</v>
      </c>
      <c r="G816" s="5" t="n">
        <v>2023</v>
      </c>
      <c r="H816" s="5" t="inlineStr">
        <is>
          <t>Diciembre</t>
        </is>
      </c>
      <c r="I816" s="6" t="inlineStr">
        <is>
          <t>2023-2</t>
        </is>
      </c>
      <c r="J816" s="73" t="n">
        <v>21</v>
      </c>
      <c r="K816" s="9" t="n">
        <v>9</v>
      </c>
      <c r="L816" s="14">
        <f>IFERROR(IF(OR(J816=0,K816=""),"",IF(E816="Positivo",MIN(MAX(K816/J816,0),1.3),MIN(MAX(J816/K816,0),1.3))),"") </f>
        <v/>
      </c>
      <c r="M816" s="14">
        <f>IFERROR(IF(OR(J816=0,K816=""),"",IF(E816="Positivo",MAX(K816/J816,0),MAX(J816/K816,0))),"") </f>
        <v/>
      </c>
      <c r="N816" s="5" t="n"/>
      <c r="O816" s="5" t="n"/>
      <c r="P816" s="5" t="n">
        <v>0</v>
      </c>
      <c r="Q816" s="5" t="n">
        <v>0</v>
      </c>
      <c r="R816" s="5" t="inlineStr">
        <is>
          <t>295-2023-12-31</t>
        </is>
      </c>
    </row>
    <row r="817">
      <c r="A817" s="28" t="n">
        <v>296</v>
      </c>
      <c r="B817" s="5" t="inlineStr">
        <is>
          <t>Gestión de riesgos por subprocesos</t>
        </is>
      </c>
      <c r="C817" s="5" t="inlineStr">
        <is>
          <t>GESTIÓN DE RIESGOS</t>
        </is>
      </c>
      <c r="D817" s="5" t="inlineStr">
        <is>
          <t>Bimestral</t>
        </is>
      </c>
      <c r="E817" s="5" t="inlineStr">
        <is>
          <t>Positivo</t>
        </is>
      </c>
      <c r="F817" s="107" t="n">
        <v>45291</v>
      </c>
      <c r="G817" s="5" t="n">
        <v>2023</v>
      </c>
      <c r="H817" s="5" t="inlineStr">
        <is>
          <t>Diciembre</t>
        </is>
      </c>
      <c r="I817" s="6" t="inlineStr">
        <is>
          <t>2023-2</t>
        </is>
      </c>
      <c r="J817" s="5" t="n">
        <v>100</v>
      </c>
      <c r="K817" s="5" t="n">
        <v>85.45</v>
      </c>
      <c r="L817" s="74">
        <f>IFERROR(IF(OR(J817=0,K817=""),"",IF(E817="Positivo",MIN(MAX(K817/J817,0),1.3),MIN(MAX(J817/K817,0),1.3))),"") </f>
        <v/>
      </c>
      <c r="M817" s="14">
        <f>IFERROR(IF(OR(J817=0,K817=""),"",IF(E817="Positivo",MAX(K817/J817,0),MAX(J817/K817,0))),"") </f>
        <v/>
      </c>
      <c r="N817" s="5" t="n"/>
      <c r="O817" s="5" t="n"/>
      <c r="P817" s="5" t="n">
        <v>1</v>
      </c>
      <c r="Q817" s="5" t="n">
        <v>1</v>
      </c>
      <c r="R817" s="5" t="inlineStr">
        <is>
          <t>296-2023-12-31</t>
        </is>
      </c>
    </row>
    <row r="818">
      <c r="A818" s="26" t="n">
        <v>297</v>
      </c>
      <c r="B818" s="5" t="inlineStr">
        <is>
          <t>N de riesgos operacionales intervenidos</t>
        </is>
      </c>
      <c r="C818" s="5" t="inlineStr">
        <is>
          <t>GESTIÓN DE RIESGOS</t>
        </is>
      </c>
      <c r="D818" s="5" t="inlineStr">
        <is>
          <t>Bimestral</t>
        </is>
      </c>
      <c r="E818" s="5" t="inlineStr">
        <is>
          <t>Negativo</t>
        </is>
      </c>
      <c r="F818" s="107" t="n">
        <v>45291</v>
      </c>
      <c r="G818" s="5" t="n">
        <v>2023</v>
      </c>
      <c r="H818" s="5" t="inlineStr">
        <is>
          <t>Diciembre</t>
        </is>
      </c>
      <c r="I818" s="6" t="inlineStr">
        <is>
          <t>2023-2</t>
        </is>
      </c>
      <c r="J818" s="5" t="n">
        <v>20</v>
      </c>
      <c r="K818" s="5" t="n">
        <v>0.93</v>
      </c>
      <c r="L818" s="74">
        <f>IFERROR(IF(OR(J818=0,K818=""),"",IF(E818="Positivo",MIN(MAX(K818/J818,0),1.3),MIN(MAX(J818/K818,0),1.3))),"") </f>
        <v/>
      </c>
      <c r="M818" s="14">
        <f>IFERROR(IF(OR(J818=0,K818=""),"",IF(E818="Positivo",MAX(K818/J818,0),MAX(J818/K818,0))),"") </f>
        <v/>
      </c>
      <c r="N818" s="5" t="n"/>
      <c r="O818" s="5" t="n"/>
      <c r="P818" s="5" t="n">
        <v>1</v>
      </c>
      <c r="Q818" s="5" t="n">
        <v>1</v>
      </c>
      <c r="R818" s="5" t="inlineStr">
        <is>
          <t>297-2023-12-31</t>
        </is>
      </c>
    </row>
    <row r="819">
      <c r="A819" s="28" t="n">
        <v>298</v>
      </c>
      <c r="B819" s="5" t="inlineStr">
        <is>
          <t>N de riesgos materializados</t>
        </is>
      </c>
      <c r="C819" s="5" t="inlineStr">
        <is>
          <t>GESTIÓN DE RIESGOS</t>
        </is>
      </c>
      <c r="D819" s="5" t="inlineStr">
        <is>
          <t>Semestral</t>
        </is>
      </c>
      <c r="E819" s="5" t="inlineStr">
        <is>
          <t>Negativo</t>
        </is>
      </c>
      <c r="F819" s="107" t="n">
        <v>45291</v>
      </c>
      <c r="G819" s="5" t="n">
        <v>2023</v>
      </c>
      <c r="H819" s="5" t="inlineStr">
        <is>
          <t>Diciembre</t>
        </is>
      </c>
      <c r="I819" s="6" t="inlineStr">
        <is>
          <t>2023-2</t>
        </is>
      </c>
      <c r="J819" s="5" t="n"/>
      <c r="K819" s="5" t="n">
        <v>1</v>
      </c>
      <c r="L819" s="74" t="n"/>
      <c r="M819" s="14" t="n"/>
      <c r="N819" s="5" t="inlineStr">
        <is>
          <t>Linea base</t>
        </is>
      </c>
      <c r="O819" s="5" t="n"/>
      <c r="P819" s="5" t="n">
        <v>0</v>
      </c>
      <c r="Q819" s="5" t="n">
        <v>0</v>
      </c>
      <c r="R819" s="5" t="inlineStr">
        <is>
          <t>298-2023-12-31</t>
        </is>
      </c>
    </row>
    <row r="820">
      <c r="A820" s="26" t="n">
        <v>300</v>
      </c>
      <c r="B820" s="5" t="inlineStr">
        <is>
          <t>Cumplimiento de Inspecciones de control</t>
        </is>
      </c>
      <c r="C820" s="5" t="inlineStr">
        <is>
          <t>Administración de Servicios Generales</t>
        </is>
      </c>
      <c r="D820" s="5" t="inlineStr">
        <is>
          <t>Trimestral</t>
        </is>
      </c>
      <c r="E820" s="5" t="inlineStr">
        <is>
          <t>Positivo</t>
        </is>
      </c>
      <c r="F820" s="107" t="n">
        <v>45016</v>
      </c>
      <c r="G820" s="5" t="n">
        <v>2023</v>
      </c>
      <c r="H820" s="5" t="inlineStr">
        <is>
          <t>Marzo</t>
        </is>
      </c>
      <c r="I820" s="6" t="inlineStr">
        <is>
          <t>2023-1</t>
        </is>
      </c>
      <c r="J820" s="5" t="n">
        <v>100</v>
      </c>
      <c r="K820" s="5" t="n">
        <v>100</v>
      </c>
      <c r="L820" s="74">
        <f>IFERROR(IF(OR(J820=0,K820=""),"",IF(E820="Positivo",MIN(MAX(K820/J820,0),1.3),MIN(MAX(J820/K820,0),1.3))),"") </f>
        <v/>
      </c>
      <c r="M820" s="14">
        <f>IFERROR(IF(OR(J820=0,K820=""),"",IF(E820="Positivo",MAX(K820/J820,0),MAX(J820/K820,0))),"") </f>
        <v/>
      </c>
      <c r="N820" s="5" t="inlineStr">
        <is>
          <t>%</t>
        </is>
      </c>
      <c r="O820" s="5" t="inlineStr">
        <is>
          <t>%</t>
        </is>
      </c>
      <c r="P820" s="5" t="n">
        <v>0</v>
      </c>
      <c r="Q820" s="5" t="n">
        <v>0</v>
      </c>
      <c r="R820" s="5" t="inlineStr">
        <is>
          <t>300-2023-03-31</t>
        </is>
      </c>
    </row>
    <row r="821">
      <c r="A821" s="28" t="n">
        <v>300</v>
      </c>
      <c r="B821" s="5" t="inlineStr">
        <is>
          <t>Cumplimiento de Inspecciones de control</t>
        </is>
      </c>
      <c r="C821" s="5" t="inlineStr">
        <is>
          <t>Administración de Servicios Generales</t>
        </is>
      </c>
      <c r="D821" s="5" t="inlineStr">
        <is>
          <t>Trimestral</t>
        </is>
      </c>
      <c r="E821" s="5" t="inlineStr">
        <is>
          <t>Positivo</t>
        </is>
      </c>
      <c r="F821" s="107" t="n">
        <v>45107</v>
      </c>
      <c r="G821" s="5" t="n">
        <v>2023</v>
      </c>
      <c r="H821" s="5" t="inlineStr">
        <is>
          <t>Junio</t>
        </is>
      </c>
      <c r="I821" s="6" t="inlineStr">
        <is>
          <t>2023-1</t>
        </is>
      </c>
      <c r="J821" s="5" t="n">
        <v>100</v>
      </c>
      <c r="K821" s="5" t="n">
        <v>100</v>
      </c>
      <c r="L821" s="74">
        <f>IFERROR(IF(OR(J821=0,K821=""),"",IF(E821="Positivo",MIN(MAX(K821/J821,0),1.3),MIN(MAX(J821/K821,0),1.3))),"") </f>
        <v/>
      </c>
      <c r="M821" s="14">
        <f>IFERROR(IF(OR(J821=0,K821=""),"",IF(E821="Positivo",MAX(K821/J821,0),MAX(J821/K821,0))),"") </f>
        <v/>
      </c>
      <c r="N821" s="5" t="inlineStr">
        <is>
          <t>%</t>
        </is>
      </c>
      <c r="O821" s="5" t="inlineStr">
        <is>
          <t>%</t>
        </is>
      </c>
      <c r="P821" s="5" t="n">
        <v>0</v>
      </c>
      <c r="Q821" s="5" t="n">
        <v>0</v>
      </c>
      <c r="R821" s="5" t="inlineStr">
        <is>
          <t>300-2023-06-30</t>
        </is>
      </c>
    </row>
    <row r="822">
      <c r="A822" s="26" t="n">
        <v>300</v>
      </c>
      <c r="B822" s="5" t="inlineStr">
        <is>
          <t>Cumplimiento de Inspecciones de control</t>
        </is>
      </c>
      <c r="C822" s="5" t="inlineStr">
        <is>
          <t>Administración de Servicios Generales</t>
        </is>
      </c>
      <c r="D822" s="5" t="inlineStr">
        <is>
          <t>Trimestral</t>
        </is>
      </c>
      <c r="E822" s="5" t="inlineStr">
        <is>
          <t>Positivo</t>
        </is>
      </c>
      <c r="F822" s="107" t="n">
        <v>45199</v>
      </c>
      <c r="G822" s="5" t="n">
        <v>2023</v>
      </c>
      <c r="H822" s="5" t="inlineStr">
        <is>
          <t>Septiembre</t>
        </is>
      </c>
      <c r="I822" s="6" t="inlineStr">
        <is>
          <t>2023-2</t>
        </is>
      </c>
      <c r="J822" s="5" t="n">
        <v>100</v>
      </c>
      <c r="K822" s="5" t="n">
        <v>100</v>
      </c>
      <c r="L822" s="74">
        <f>IFERROR(IF(OR(J822=0,K822=""),"",IF(E822="Positivo",MIN(MAX(K822/J822,0),1.3),MIN(MAX(J822/K822,0),1.3))),"") </f>
        <v/>
      </c>
      <c r="M822" s="14">
        <f>IFERROR(IF(OR(J822=0,K822=""),"",IF(E822="Positivo",MAX(K822/J822,0),MAX(J822/K822,0))),"") </f>
        <v/>
      </c>
      <c r="N822" s="5" t="inlineStr">
        <is>
          <t>%</t>
        </is>
      </c>
      <c r="O822" s="5" t="inlineStr">
        <is>
          <t>%</t>
        </is>
      </c>
      <c r="P822" s="5" t="n">
        <v>0</v>
      </c>
      <c r="Q822" s="5" t="n">
        <v>0</v>
      </c>
      <c r="R822" s="5" t="inlineStr">
        <is>
          <t>300-2023-09-30</t>
        </is>
      </c>
    </row>
    <row r="823">
      <c r="A823" s="5" t="n">
        <v>300</v>
      </c>
      <c r="B823" s="5" t="inlineStr">
        <is>
          <t>Cumplimiento de Inspecciones de control</t>
        </is>
      </c>
      <c r="C823" s="5" t="inlineStr">
        <is>
          <t>Administración de Servicios Generales</t>
        </is>
      </c>
      <c r="D823" s="5" t="inlineStr">
        <is>
          <t>Trimestral</t>
        </is>
      </c>
      <c r="E823" s="5" t="inlineStr">
        <is>
          <t>Positivo</t>
        </is>
      </c>
      <c r="F823" s="107" t="n">
        <v>45291</v>
      </c>
      <c r="G823" s="5" t="n">
        <v>2023</v>
      </c>
      <c r="H823" s="5" t="inlineStr">
        <is>
          <t>Diciembre</t>
        </is>
      </c>
      <c r="I823" s="6" t="inlineStr">
        <is>
          <t>2023-2</t>
        </is>
      </c>
      <c r="J823" s="5" t="n">
        <v>100</v>
      </c>
      <c r="K823" s="5" t="n">
        <v>100</v>
      </c>
      <c r="L823" s="14">
        <f>IFERROR(IF(OR(J823=0,K823=""),"",IF(E823="Positivo",MIN(MAX(K823/J823,0),1.3),MIN(MAX(J823/K823,0),1.3))),"") </f>
        <v/>
      </c>
      <c r="M823" s="14">
        <f>IFERROR(IF(OR(J823=0,K823=""),"",IF(E823="Positivo",MAX(K823/J823,0),MAX(J823/K823,0))),"") </f>
        <v/>
      </c>
      <c r="N823" s="5" t="inlineStr">
        <is>
          <t>%</t>
        </is>
      </c>
      <c r="O823" s="5" t="inlineStr">
        <is>
          <t>%</t>
        </is>
      </c>
      <c r="P823" s="5" t="n">
        <v>0</v>
      </c>
      <c r="Q823" s="5" t="n">
        <v>0</v>
      </c>
      <c r="R823" s="5" t="inlineStr">
        <is>
          <t>300-2023-12-31</t>
        </is>
      </c>
    </row>
    <row r="824">
      <c r="A824" s="5" t="n">
        <v>300</v>
      </c>
      <c r="B824" s="5" t="inlineStr">
        <is>
          <t>Cumplimiento de Inspecciones de control</t>
        </is>
      </c>
      <c r="C824" s="5" t="inlineStr">
        <is>
          <t>Administración de Servicios Generales</t>
        </is>
      </c>
      <c r="D824" s="5" t="inlineStr">
        <is>
          <t>Trimestral</t>
        </is>
      </c>
      <c r="E824" s="5" t="inlineStr">
        <is>
          <t>Positivo</t>
        </is>
      </c>
      <c r="F824" s="107" t="n">
        <v>45473</v>
      </c>
      <c r="G824" s="5" t="n">
        <v>2024</v>
      </c>
      <c r="H824" s="5" t="inlineStr">
        <is>
          <t>Junio</t>
        </is>
      </c>
      <c r="I824" s="6" t="inlineStr">
        <is>
          <t>2024-1</t>
        </is>
      </c>
      <c r="J824" s="5" t="n">
        <v>100</v>
      </c>
      <c r="K824" s="5" t="n">
        <v>100</v>
      </c>
      <c r="L824" s="14">
        <f>IFERROR(IF(OR(J824=0,K824=""),"",IF(E824="Positivo",MIN(MAX(K824/J824,0),1.3),MIN(MAX(J824/K824,0),1.3))),"") </f>
        <v/>
      </c>
      <c r="M824" s="14">
        <f>IFERROR(IF(OR(J824=0,K824=""),"",IF(E824="Positivo",MAX(K824/J824,0),MAX(J824/K824,0))),"") </f>
        <v/>
      </c>
      <c r="N824" s="5" t="inlineStr">
        <is>
          <t>%</t>
        </is>
      </c>
      <c r="O824" s="5" t="inlineStr">
        <is>
          <t>%</t>
        </is>
      </c>
      <c r="P824" s="5" t="n">
        <v>0</v>
      </c>
      <c r="Q824" s="5" t="n">
        <v>0</v>
      </c>
      <c r="R824" s="5" t="inlineStr">
        <is>
          <t>300-2024-06-30</t>
        </is>
      </c>
    </row>
    <row r="825">
      <c r="A825" s="34" t="n">
        <v>300</v>
      </c>
      <c r="B825" s="5" t="inlineStr">
        <is>
          <t>Cumplimiento de Inspecciones de control</t>
        </is>
      </c>
      <c r="C825" s="5" t="inlineStr">
        <is>
          <t>Administración de Servicios Generales</t>
        </is>
      </c>
      <c r="D825" s="5" t="inlineStr">
        <is>
          <t>Trimestral</t>
        </is>
      </c>
      <c r="E825" s="5" t="inlineStr">
        <is>
          <t>Positivo</t>
        </is>
      </c>
      <c r="F825" s="107" t="n">
        <v>45657</v>
      </c>
      <c r="G825" s="5" t="n">
        <v>2024</v>
      </c>
      <c r="H825" s="5" t="inlineStr">
        <is>
          <t>Diciembre</t>
        </is>
      </c>
      <c r="I825" s="6" t="inlineStr">
        <is>
          <t>2024-2</t>
        </is>
      </c>
      <c r="J825" s="5" t="n">
        <v>100</v>
      </c>
      <c r="K825" s="5" t="n">
        <v>100</v>
      </c>
      <c r="L825" s="74">
        <f>IFERROR(IF(OR(J825=0,K825=""),"",IF(E825="Positivo",MIN(MAX(K825/J825,0),1.3),MIN(MAX(J825/K825,0),1.3))),"") </f>
        <v/>
      </c>
      <c r="M825" s="14">
        <f>IFERROR(IF(OR(J825=0,K825=""),"",IF(E825="Positivo",MAX(K825/J825,0),MAX(J825/K825,0))),"") </f>
        <v/>
      </c>
      <c r="N825" s="5" t="inlineStr">
        <is>
          <t>%</t>
        </is>
      </c>
      <c r="O825" s="5" t="inlineStr">
        <is>
          <t>%</t>
        </is>
      </c>
      <c r="P825" s="5" t="n">
        <v>0</v>
      </c>
      <c r="Q825" s="5" t="n">
        <v>0</v>
      </c>
      <c r="R825" s="5" t="inlineStr">
        <is>
          <t>300-2024-12-31</t>
        </is>
      </c>
    </row>
    <row r="826">
      <c r="A826" s="26" t="n">
        <v>300</v>
      </c>
      <c r="B826" s="5" t="inlineStr">
        <is>
          <t>Cumplimiento de Inspecciones de control</t>
        </is>
      </c>
      <c r="C826" s="5" t="inlineStr">
        <is>
          <t>Administración de Servicios Generales</t>
        </is>
      </c>
      <c r="D826" s="5" t="inlineStr">
        <is>
          <t>Trimestral</t>
        </is>
      </c>
      <c r="E826" s="5" t="inlineStr">
        <is>
          <t>Positivo</t>
        </is>
      </c>
      <c r="F826" s="107" t="n">
        <v>45838</v>
      </c>
      <c r="G826" s="5" t="n">
        <v>2025</v>
      </c>
      <c r="H826" s="5" t="inlineStr">
        <is>
          <t>Junio</t>
        </is>
      </c>
      <c r="I826" s="6" t="inlineStr">
        <is>
          <t>2025-1</t>
        </is>
      </c>
      <c r="J826" s="5" t="n">
        <v>100</v>
      </c>
      <c r="K826" s="5" t="n">
        <v>100</v>
      </c>
      <c r="L826" s="74">
        <f>IFERROR(IF(OR(J826=0,K826=""),"",IF(E826="Positivo",MIN(MAX(K826/J826,0),1.3),MIN(MAX(J826/K826,0),1.3))),"") </f>
        <v/>
      </c>
      <c r="M826" s="14">
        <f>IFERROR(IF(OR(J826=0,K826=""),"",IF(E826="Positivo",MAX(K826/J826,0),MAX(J826/K826,0))),"") </f>
        <v/>
      </c>
      <c r="N826" s="5" t="inlineStr">
        <is>
          <t>%</t>
        </is>
      </c>
      <c r="O826" s="5" t="inlineStr">
        <is>
          <t>%</t>
        </is>
      </c>
      <c r="P826" s="5" t="n">
        <v>0</v>
      </c>
      <c r="Q826" s="5" t="n">
        <v>0</v>
      </c>
      <c r="R826" s="5" t="inlineStr">
        <is>
          <t>300-2025-06-30</t>
        </is>
      </c>
    </row>
    <row r="827">
      <c r="A827" s="28" t="n">
        <v>300</v>
      </c>
      <c r="B827" s="5" t="inlineStr">
        <is>
          <t>Cumplimiento de Inspecciones de control</t>
        </is>
      </c>
      <c r="C827" s="5" t="inlineStr">
        <is>
          <t>Administración de Servicios Generales</t>
        </is>
      </c>
      <c r="D827" s="5" t="inlineStr">
        <is>
          <t>Semestral</t>
        </is>
      </c>
      <c r="E827" s="5" t="inlineStr">
        <is>
          <t>Positivo</t>
        </is>
      </c>
      <c r="F827" s="107" t="n">
        <v>46022</v>
      </c>
      <c r="G827" s="5" t="n">
        <v>2025</v>
      </c>
      <c r="H827" s="5" t="inlineStr">
        <is>
          <t>Diciembre</t>
        </is>
      </c>
      <c r="I827" s="6" t="inlineStr">
        <is>
          <t>2025-2</t>
        </is>
      </c>
      <c r="J827" s="5" t="n">
        <v>100</v>
      </c>
      <c r="K827" s="5" t="n">
        <v>100</v>
      </c>
      <c r="L827" s="74">
        <f>IFERROR(IF(OR(J827=0,K827=""),"",IF(E827="Positivo",MIN(MAX(K827/J827,0),1.3),MIN(MAX(J827/K827,0),1.3))),"") </f>
        <v/>
      </c>
      <c r="M827" s="14">
        <f>IFERROR(IF(OR(J827=0,K827=""),"",IF(E827="Positivo",MAX(K827/J827,0),MAX(J827/K827,0))),"") </f>
        <v/>
      </c>
      <c r="N827" s="5" t="inlineStr">
        <is>
          <t>%</t>
        </is>
      </c>
      <c r="O827" s="5" t="inlineStr">
        <is>
          <t>%</t>
        </is>
      </c>
      <c r="P827" s="5" t="n">
        <v>0</v>
      </c>
      <c r="Q827" s="5" t="n">
        <v>0</v>
      </c>
      <c r="R827" s="5" t="inlineStr">
        <is>
          <t>300-2025-12-31</t>
        </is>
      </c>
    </row>
    <row r="828">
      <c r="A828" s="26" t="n">
        <v>301</v>
      </c>
      <c r="B828" s="5" t="inlineStr">
        <is>
          <t>Cumplimiento plan de trabajo</t>
        </is>
      </c>
      <c r="C828" s="5" t="inlineStr">
        <is>
          <t>Administración de Servicios Generales</t>
        </is>
      </c>
      <c r="D828" s="5" t="inlineStr">
        <is>
          <t>Trimestral</t>
        </is>
      </c>
      <c r="E828" s="5" t="inlineStr">
        <is>
          <t>Positivo</t>
        </is>
      </c>
      <c r="F828" s="107" t="n">
        <v>45016</v>
      </c>
      <c r="G828" s="5" t="n">
        <v>2023</v>
      </c>
      <c r="H828" s="5" t="inlineStr">
        <is>
          <t>Marzo</t>
        </is>
      </c>
      <c r="I828" s="6" t="inlineStr">
        <is>
          <t>2023-1</t>
        </is>
      </c>
      <c r="J828" s="5" t="n">
        <v>100</v>
      </c>
      <c r="K828" s="5" t="n">
        <v>100</v>
      </c>
      <c r="L828" s="74">
        <f>IFERROR(IF(OR(J828=0,K828=""),"",IF(E828="Positivo",MIN(MAX(K828/J828,0),1.3),MIN(MAX(J828/K828,0),1.3))),"") </f>
        <v/>
      </c>
      <c r="M828" s="14">
        <f>IFERROR(IF(OR(J828=0,K828=""),"",IF(E828="Positivo",MAX(K828/J828,0),MAX(J828/K828,0))),"") </f>
        <v/>
      </c>
      <c r="N828" s="5" t="inlineStr">
        <is>
          <t>%</t>
        </is>
      </c>
      <c r="O828" s="5" t="inlineStr">
        <is>
          <t>%</t>
        </is>
      </c>
      <c r="P828" s="5" t="n">
        <v>0</v>
      </c>
      <c r="Q828" s="5" t="n">
        <v>0</v>
      </c>
      <c r="R828" s="5" t="inlineStr">
        <is>
          <t>301-2023-03-31</t>
        </is>
      </c>
    </row>
    <row r="829">
      <c r="A829" s="5" t="n">
        <v>301</v>
      </c>
      <c r="B829" s="5" t="inlineStr">
        <is>
          <t>Cumplimiento plan de trabajo</t>
        </is>
      </c>
      <c r="C829" s="5" t="inlineStr">
        <is>
          <t>Administración de Servicios Generales</t>
        </is>
      </c>
      <c r="D829" s="5" t="inlineStr">
        <is>
          <t>Trimestral</t>
        </is>
      </c>
      <c r="E829" s="5" t="inlineStr">
        <is>
          <t>Positivo</t>
        </is>
      </c>
      <c r="F829" s="107" t="n">
        <v>45107</v>
      </c>
      <c r="G829" s="5" t="n">
        <v>2023</v>
      </c>
      <c r="H829" s="5" t="inlineStr">
        <is>
          <t>Junio</t>
        </is>
      </c>
      <c r="I829" s="6" t="inlineStr">
        <is>
          <t>2023-1</t>
        </is>
      </c>
      <c r="J829" s="5" t="n">
        <v>100</v>
      </c>
      <c r="K829" s="5" t="n">
        <v>100</v>
      </c>
      <c r="L829" s="14">
        <f>IFERROR(IF(OR(J829=0,K829=""),"",IF(E829="Positivo",MIN(MAX(K829/J829,0),1.3),MIN(MAX(J829/K829,0),1.3))),"") </f>
        <v/>
      </c>
      <c r="M829" s="14">
        <f>IFERROR(IF(OR(J829=0,K829=""),"",IF(E829="Positivo",MAX(K829/J829,0),MAX(J829/K829,0))),"") </f>
        <v/>
      </c>
      <c r="N829" s="5" t="inlineStr">
        <is>
          <t>%</t>
        </is>
      </c>
      <c r="O829" s="5" t="inlineStr">
        <is>
          <t>%</t>
        </is>
      </c>
      <c r="P829" s="5" t="n">
        <v>0</v>
      </c>
      <c r="Q829" s="5" t="n">
        <v>0</v>
      </c>
      <c r="R829" s="5" t="inlineStr">
        <is>
          <t>301-2023-06-30</t>
        </is>
      </c>
    </row>
    <row r="830">
      <c r="A830" s="5" t="n">
        <v>301</v>
      </c>
      <c r="B830" s="5" t="inlineStr">
        <is>
          <t>Cumplimiento plan de trabajo</t>
        </is>
      </c>
      <c r="C830" s="5" t="inlineStr">
        <is>
          <t>Administración de Servicios Generales</t>
        </is>
      </c>
      <c r="D830" s="5" t="inlineStr">
        <is>
          <t>Trimestral</t>
        </is>
      </c>
      <c r="E830" s="5" t="inlineStr">
        <is>
          <t>Positivo</t>
        </is>
      </c>
      <c r="F830" s="107" t="n">
        <v>45199</v>
      </c>
      <c r="G830" s="5" t="n">
        <v>2023</v>
      </c>
      <c r="H830" s="5" t="inlineStr">
        <is>
          <t>Septiembre</t>
        </is>
      </c>
      <c r="I830" s="6" t="inlineStr">
        <is>
          <t>2023-2</t>
        </is>
      </c>
      <c r="J830" s="5" t="n">
        <v>100</v>
      </c>
      <c r="K830" s="5" t="n">
        <v>100</v>
      </c>
      <c r="L830" s="14">
        <f>IFERROR(IF(OR(J830=0,K830=""),"",IF(E830="Positivo",MIN(MAX(K830/J830,0),1.3),MIN(MAX(J830/K830,0),1.3))),"") </f>
        <v/>
      </c>
      <c r="M830" s="14">
        <f>IFERROR(IF(OR(J830=0,K830=""),"",IF(E830="Positivo",MAX(K830/J830,0),MAX(J830/K830,0))),"") </f>
        <v/>
      </c>
      <c r="N830" s="5" t="inlineStr">
        <is>
          <t>%</t>
        </is>
      </c>
      <c r="O830" s="5" t="inlineStr">
        <is>
          <t>%</t>
        </is>
      </c>
      <c r="P830" s="5" t="n">
        <v>0</v>
      </c>
      <c r="Q830" s="5" t="n">
        <v>0</v>
      </c>
      <c r="R830" s="5" t="inlineStr">
        <is>
          <t>301-2023-09-30</t>
        </is>
      </c>
    </row>
    <row r="831">
      <c r="A831" s="28" t="n">
        <v>301</v>
      </c>
      <c r="B831" s="5" t="inlineStr">
        <is>
          <t>Cumplimiento plan de trabajo</t>
        </is>
      </c>
      <c r="C831" s="5" t="inlineStr">
        <is>
          <t>Administración de Servicios Generales</t>
        </is>
      </c>
      <c r="D831" s="5" t="inlineStr">
        <is>
          <t>Trimestral</t>
        </is>
      </c>
      <c r="E831" s="5" t="inlineStr">
        <is>
          <t>Positivo</t>
        </is>
      </c>
      <c r="F831" s="107" t="n">
        <v>45291</v>
      </c>
      <c r="G831" s="5" t="n">
        <v>2023</v>
      </c>
      <c r="H831" s="5" t="inlineStr">
        <is>
          <t>Diciembre</t>
        </is>
      </c>
      <c r="I831" s="6" t="inlineStr">
        <is>
          <t>2023-2</t>
        </is>
      </c>
      <c r="J831" s="5" t="n">
        <v>100</v>
      </c>
      <c r="K831" s="5" t="n">
        <v>100</v>
      </c>
      <c r="L831" s="74">
        <f>IFERROR(IF(OR(J831=0,K831=""),"",IF(E831="Positivo",MIN(MAX(K831/J831,0),1.3),MIN(MAX(J831/K831,0),1.3))),"") </f>
        <v/>
      </c>
      <c r="M831" s="14">
        <f>IFERROR(IF(OR(J831=0,K831=""),"",IF(E831="Positivo",MAX(K831/J831,0),MAX(J831/K831,0))),"") </f>
        <v/>
      </c>
      <c r="N831" s="5" t="inlineStr">
        <is>
          <t>%</t>
        </is>
      </c>
      <c r="O831" s="5" t="inlineStr">
        <is>
          <t>%</t>
        </is>
      </c>
      <c r="P831" s="5" t="n">
        <v>0</v>
      </c>
      <c r="Q831" s="5" t="n">
        <v>0</v>
      </c>
      <c r="R831" s="5" t="inlineStr">
        <is>
          <t>301-2023-12-31</t>
        </is>
      </c>
    </row>
    <row r="832">
      <c r="A832" s="26" t="n">
        <v>301</v>
      </c>
      <c r="B832" s="5" t="inlineStr">
        <is>
          <t>Cumplimiento plan de trabajo</t>
        </is>
      </c>
      <c r="C832" s="5" t="inlineStr">
        <is>
          <t>Administración de Servicios Generales</t>
        </is>
      </c>
      <c r="D832" s="5" t="inlineStr">
        <is>
          <t>Trimestral</t>
        </is>
      </c>
      <c r="E832" s="5" t="inlineStr">
        <is>
          <t>Positivo</t>
        </is>
      </c>
      <c r="F832" s="107" t="n">
        <v>45473</v>
      </c>
      <c r="G832" s="5" t="n">
        <v>2024</v>
      </c>
      <c r="H832" s="5" t="inlineStr">
        <is>
          <t>Junio</t>
        </is>
      </c>
      <c r="I832" s="6" t="inlineStr">
        <is>
          <t>2024-1</t>
        </is>
      </c>
      <c r="J832" s="5" t="n">
        <v>100</v>
      </c>
      <c r="K832" s="5" t="n">
        <v>100</v>
      </c>
      <c r="L832" s="74">
        <f>IFERROR(IF(OR(J832=0,K832=""),"",IF(E832="Positivo",MIN(MAX(K832/J832,0),1.3),MIN(MAX(J832/K832,0),1.3))),"") </f>
        <v/>
      </c>
      <c r="M832" s="14">
        <f>IFERROR(IF(OR(J832=0,K832=""),"",IF(E832="Positivo",MAX(K832/J832,0),MAX(J832/K832,0))),"") </f>
        <v/>
      </c>
      <c r="N832" s="5" t="inlineStr">
        <is>
          <t>%</t>
        </is>
      </c>
      <c r="O832" s="5" t="inlineStr">
        <is>
          <t>%</t>
        </is>
      </c>
      <c r="P832" s="5" t="n">
        <v>0</v>
      </c>
      <c r="Q832" s="5" t="n">
        <v>0</v>
      </c>
      <c r="R832" s="5" t="inlineStr">
        <is>
          <t>301-2024-06-30</t>
        </is>
      </c>
    </row>
    <row r="833">
      <c r="A833" s="5" t="n">
        <v>301</v>
      </c>
      <c r="B833" s="5" t="inlineStr">
        <is>
          <t>Cumplimiento plan de trabajo</t>
        </is>
      </c>
      <c r="C833" s="5" t="inlineStr">
        <is>
          <t>Administración de Servicios Generales</t>
        </is>
      </c>
      <c r="D833" s="5" t="inlineStr">
        <is>
          <t>Trimestral</t>
        </is>
      </c>
      <c r="E833" s="5" t="inlineStr">
        <is>
          <t>Positivo</t>
        </is>
      </c>
      <c r="F833" s="107" t="n">
        <v>45657</v>
      </c>
      <c r="G833" s="5" t="n">
        <v>2024</v>
      </c>
      <c r="H833" s="5" t="inlineStr">
        <is>
          <t>Diciembre</t>
        </is>
      </c>
      <c r="I833" s="6" t="inlineStr">
        <is>
          <t>2024-2</t>
        </is>
      </c>
      <c r="J833" s="5" t="n">
        <v>100</v>
      </c>
      <c r="K833" s="5" t="n">
        <v>100</v>
      </c>
      <c r="L833" s="14">
        <f>IFERROR(IF(OR(J833=0,K833=""),"",IF(E833="Positivo",MIN(MAX(K833/J833,0),1.3),MIN(MAX(J833/K833,0),1.3))),"") </f>
        <v/>
      </c>
      <c r="M833" s="14">
        <f>IFERROR(IF(OR(J833=0,K833=""),"",IF(E833="Positivo",MAX(K833/J833,0),MAX(J833/K833,0))),"") </f>
        <v/>
      </c>
      <c r="N833" s="5" t="inlineStr">
        <is>
          <t>%</t>
        </is>
      </c>
      <c r="O833" s="5" t="inlineStr">
        <is>
          <t>%</t>
        </is>
      </c>
      <c r="P833" s="5" t="n">
        <v>0</v>
      </c>
      <c r="Q833" s="5" t="n">
        <v>0</v>
      </c>
      <c r="R833" s="5" t="inlineStr">
        <is>
          <t>301-2024-12-31</t>
        </is>
      </c>
    </row>
    <row r="834">
      <c r="A834" s="5" t="n">
        <v>301</v>
      </c>
      <c r="B834" s="5" t="inlineStr">
        <is>
          <t>Cumplimiento plan de trabajo</t>
        </is>
      </c>
      <c r="C834" s="5" t="inlineStr">
        <is>
          <t>Administración de Servicios Generales</t>
        </is>
      </c>
      <c r="D834" s="5" t="inlineStr">
        <is>
          <t>Trimestral</t>
        </is>
      </c>
      <c r="E834" s="5" t="inlineStr">
        <is>
          <t>Positivo</t>
        </is>
      </c>
      <c r="F834" s="107" t="n">
        <v>45838</v>
      </c>
      <c r="G834" s="5" t="n">
        <v>2025</v>
      </c>
      <c r="H834" s="5" t="inlineStr">
        <is>
          <t>Junio</t>
        </is>
      </c>
      <c r="I834" s="6" t="inlineStr">
        <is>
          <t>2025-1</t>
        </is>
      </c>
      <c r="J834" s="5" t="n">
        <v>100</v>
      </c>
      <c r="K834" s="5" t="n">
        <v>100</v>
      </c>
      <c r="L834" s="14">
        <f>IFERROR(IF(OR(J834=0,K834=""),"",IF(E834="Positivo",MIN(MAX(K834/J834,0),1.3),MIN(MAX(J834/K834,0),1.3))),"") </f>
        <v/>
      </c>
      <c r="M834" s="14">
        <f>IFERROR(IF(OR(J834=0,K834=""),"",IF(E834="Positivo",MAX(K834/J834,0),MAX(J834/K834,0))),"") </f>
        <v/>
      </c>
      <c r="N834" s="5" t="inlineStr">
        <is>
          <t>%</t>
        </is>
      </c>
      <c r="O834" s="5" t="inlineStr">
        <is>
          <t>%</t>
        </is>
      </c>
      <c r="P834" s="5" t="n">
        <v>0</v>
      </c>
      <c r="Q834" s="5" t="n">
        <v>0</v>
      </c>
      <c r="R834" s="5" t="inlineStr">
        <is>
          <t>301-2025-06-30</t>
        </is>
      </c>
    </row>
    <row r="835">
      <c r="A835" s="28" t="n">
        <v>301</v>
      </c>
      <c r="B835" s="5" t="inlineStr">
        <is>
          <t>Cumplimiento plan de trabajo</t>
        </is>
      </c>
      <c r="C835" s="5" t="inlineStr">
        <is>
          <t>Administración de Servicios Generales</t>
        </is>
      </c>
      <c r="D835" s="5" t="inlineStr">
        <is>
          <t>Semestral</t>
        </is>
      </c>
      <c r="E835" s="5" t="inlineStr">
        <is>
          <t>Positivo</t>
        </is>
      </c>
      <c r="F835" s="107" t="n">
        <v>46022</v>
      </c>
      <c r="G835" s="5" t="n">
        <v>2025</v>
      </c>
      <c r="H835" s="5" t="inlineStr">
        <is>
          <t>Diciembre</t>
        </is>
      </c>
      <c r="I835" s="6" t="inlineStr">
        <is>
          <t>2025-2</t>
        </is>
      </c>
      <c r="J835" s="5" t="n">
        <v>100</v>
      </c>
      <c r="K835" s="23" t="n">
        <v>100</v>
      </c>
      <c r="L835" s="74">
        <f>IFERROR(IF(OR(J835=0,K835=""),"",IF(E835="Positivo",MIN(MAX(K835/J835,0),1.3),MIN(MAX(J835/K835,0),1.3))),"") </f>
        <v/>
      </c>
      <c r="M835" s="14">
        <f>IFERROR(IF(OR(J835=0,K835=""),"",IF(E835="Positivo",MAX(K835/J835,0),MAX(J835/K835,0))),"") </f>
        <v/>
      </c>
      <c r="N835" s="5" t="inlineStr">
        <is>
          <t>%</t>
        </is>
      </c>
      <c r="O835" s="5" t="inlineStr">
        <is>
          <t>%</t>
        </is>
      </c>
      <c r="P835" s="5" t="n">
        <v>0</v>
      </c>
      <c r="Q835" s="5" t="n">
        <v>0</v>
      </c>
      <c r="R835" s="5" t="inlineStr">
        <is>
          <t>301-2025-12-31</t>
        </is>
      </c>
    </row>
    <row r="836">
      <c r="A836" s="26" t="n">
        <v>302</v>
      </c>
      <c r="B836" s="5" t="inlineStr">
        <is>
          <t>N de solicitudes radicadas</t>
        </is>
      </c>
      <c r="C836" s="5" t="inlineStr">
        <is>
          <t>Centro de Medios Audiovisuales</t>
        </is>
      </c>
      <c r="D836" s="5" t="inlineStr">
        <is>
          <t>Semestral</t>
        </is>
      </c>
      <c r="E836" s="5" t="inlineStr">
        <is>
          <t>Positivo</t>
        </is>
      </c>
      <c r="F836" s="107" t="n">
        <v>45107</v>
      </c>
      <c r="G836" s="5" t="n">
        <v>2023</v>
      </c>
      <c r="H836" s="5" t="inlineStr">
        <is>
          <t>Junio</t>
        </is>
      </c>
      <c r="I836" s="6" t="inlineStr">
        <is>
          <t>2023-1</t>
        </is>
      </c>
      <c r="J836" s="5" t="n">
        <v>0</v>
      </c>
      <c r="K836" s="23" t="n">
        <v>0</v>
      </c>
      <c r="L836" s="74">
        <f>IFERROR(IF(OR(J836=0,K836=""),"",IF(E836="Positivo",MIN(MAX(K836/J836,0),1.3),MIN(MAX(J836/K836,0),1.3))),"") </f>
        <v/>
      </c>
      <c r="M836" s="14">
        <f>IFERROR(IF(OR(J836=0,K836=""),"",IF(E836="Positivo",MAX(K836/J836,0),MAX(J836/K836,0))),"") </f>
        <v/>
      </c>
      <c r="N836" s="5" t="n"/>
      <c r="O836" s="5" t="n"/>
      <c r="P836" s="5" t="n">
        <v>0</v>
      </c>
      <c r="Q836" s="5" t="n">
        <v>0</v>
      </c>
      <c r="R836" s="5" t="inlineStr">
        <is>
          <t>302-2023-06-30</t>
        </is>
      </c>
    </row>
    <row r="837">
      <c r="A837" s="5" t="n">
        <v>302</v>
      </c>
      <c r="B837" s="5" t="inlineStr">
        <is>
          <t>N de solicitudes radicadas</t>
        </is>
      </c>
      <c r="C837" s="5" t="inlineStr">
        <is>
          <t>Centro de Medios Audiovisuales</t>
        </is>
      </c>
      <c r="D837" s="5" t="inlineStr">
        <is>
          <t>Semestral</t>
        </is>
      </c>
      <c r="E837" s="5" t="inlineStr">
        <is>
          <t>Positivo</t>
        </is>
      </c>
      <c r="F837" s="107" t="n">
        <v>45291</v>
      </c>
      <c r="G837" s="5" t="n">
        <v>2023</v>
      </c>
      <c r="H837" s="5" t="inlineStr">
        <is>
          <t>Diciembre</t>
        </is>
      </c>
      <c r="I837" s="6" t="inlineStr">
        <is>
          <t>2023-2</t>
        </is>
      </c>
      <c r="J837" s="5" t="n">
        <v>0</v>
      </c>
      <c r="K837" s="5" t="n">
        <v>0</v>
      </c>
      <c r="L837" s="14">
        <f>IFERROR(IF(OR(J837=0,K837=""),"",IF(E837="Positivo",MIN(MAX(K837/J837,0),1.3),MIN(MAX(J837/K837,0),1.3))),"") </f>
        <v/>
      </c>
      <c r="M837" s="14">
        <f>IFERROR(IF(OR(J837=0,K837=""),"",IF(E837="Positivo",MAX(K837/J837,0),MAX(J837/K837,0))),"") </f>
        <v/>
      </c>
      <c r="N837" s="5" t="n"/>
      <c r="O837" s="5" t="n"/>
      <c r="P837" s="5" t="n">
        <v>0</v>
      </c>
      <c r="Q837" s="5" t="n">
        <v>0</v>
      </c>
      <c r="R837" s="5" t="inlineStr">
        <is>
          <t>302-2023-12-31</t>
        </is>
      </c>
    </row>
    <row r="838">
      <c r="A838" s="5" t="n">
        <v>302</v>
      </c>
      <c r="B838" s="5" t="inlineStr">
        <is>
          <t>N de solicitudes radicadas</t>
        </is>
      </c>
      <c r="C838" s="5" t="inlineStr">
        <is>
          <t>Centro de Medios Audiovisuales</t>
        </is>
      </c>
      <c r="D838" s="5" t="inlineStr">
        <is>
          <t>Semestral</t>
        </is>
      </c>
      <c r="E838" s="5" t="inlineStr">
        <is>
          <t>Positivo</t>
        </is>
      </c>
      <c r="F838" s="107" t="n">
        <v>45473</v>
      </c>
      <c r="G838" s="5" t="n">
        <v>2024</v>
      </c>
      <c r="H838" s="5" t="inlineStr">
        <is>
          <t>Junio</t>
        </is>
      </c>
      <c r="I838" s="6" t="inlineStr">
        <is>
          <t>2024-1</t>
        </is>
      </c>
      <c r="J838" s="5" t="n">
        <v>0</v>
      </c>
      <c r="K838" s="5" t="n">
        <v>17878</v>
      </c>
      <c r="L838" s="14">
        <f>IFERROR(IF(OR(J838=0,K838=""),"",IF(E838="Positivo",MIN(MAX(K838/J838,0),1.3),MIN(MAX(J838/K838,0),1.3))),"") </f>
        <v/>
      </c>
      <c r="M838" s="14">
        <f>IFERROR(IF(OR(J838=0,K838=""),"",IF(E838="Positivo",MAX(K838/J838,0),MAX(J838/K838,0))),"") </f>
        <v/>
      </c>
      <c r="N838" s="5" t="n"/>
      <c r="O838" s="5" t="n"/>
      <c r="P838" s="5" t="n">
        <v>0</v>
      </c>
      <c r="Q838" s="5" t="n">
        <v>0</v>
      </c>
      <c r="R838" s="5" t="inlineStr">
        <is>
          <t>302-2024-06-30</t>
        </is>
      </c>
    </row>
    <row r="839">
      <c r="A839" s="26" t="n">
        <v>302</v>
      </c>
      <c r="B839" s="5" t="inlineStr">
        <is>
          <t>N de solicitudes radicadas</t>
        </is>
      </c>
      <c r="C839" s="5" t="inlineStr">
        <is>
          <t>Centro de Medios Audiovisuales</t>
        </is>
      </c>
      <c r="D839" s="5" t="inlineStr">
        <is>
          <t>Semestral</t>
        </is>
      </c>
      <c r="E839" s="5" t="inlineStr">
        <is>
          <t>Positivo</t>
        </is>
      </c>
      <c r="F839" s="107" t="n">
        <v>45657</v>
      </c>
      <c r="G839" s="5" t="n">
        <v>2024</v>
      </c>
      <c r="H839" s="5" t="inlineStr">
        <is>
          <t>Diciembre</t>
        </is>
      </c>
      <c r="I839" s="6" t="inlineStr">
        <is>
          <t>2024-2</t>
        </is>
      </c>
      <c r="J839" s="5" t="n">
        <v>0</v>
      </c>
      <c r="K839" s="5" t="n">
        <v>19142</v>
      </c>
      <c r="L839" s="74">
        <f>IFERROR(IF(OR(J839=0,K839=""),"",IF(E839="Positivo",MIN(MAX(K839/J839,0),1.3),MIN(MAX(J839/K839,0),1.3))),"") </f>
        <v/>
      </c>
      <c r="M839" s="14">
        <f>IFERROR(IF(OR(J839=0,K839=""),"",IF(E839="Positivo",MAX(K839/J839,0),MAX(J839/K839,0))),"") </f>
        <v/>
      </c>
      <c r="N839" s="5" t="n"/>
      <c r="O839" s="5" t="n"/>
      <c r="P839" s="5" t="n">
        <v>0</v>
      </c>
      <c r="Q839" s="5" t="n">
        <v>0</v>
      </c>
      <c r="R839" s="5" t="inlineStr">
        <is>
          <t>302-2024-12-31</t>
        </is>
      </c>
    </row>
    <row r="840">
      <c r="A840" s="5" t="n">
        <v>302</v>
      </c>
      <c r="B840" s="5" t="inlineStr">
        <is>
          <t>N de solicitudes radicadas - (Metrica)</t>
        </is>
      </c>
      <c r="C840" s="5" t="inlineStr">
        <is>
          <t>Centro de Medios Audiovisuales</t>
        </is>
      </c>
      <c r="D840" s="5" t="inlineStr">
        <is>
          <t>Trimestral</t>
        </is>
      </c>
      <c r="E840" s="5" t="inlineStr">
        <is>
          <t>Positivo</t>
        </is>
      </c>
      <c r="F840" s="107" t="n">
        <v>45838</v>
      </c>
      <c r="G840" s="5" t="n">
        <v>2025</v>
      </c>
      <c r="H840" s="5" t="inlineStr">
        <is>
          <t>Junio</t>
        </is>
      </c>
      <c r="I840" s="6" t="inlineStr">
        <is>
          <t>2025-1</t>
        </is>
      </c>
      <c r="J840" s="5" t="n"/>
      <c r="K840" s="5" t="n">
        <v>21712</v>
      </c>
      <c r="L840" s="14" t="n"/>
      <c r="M840" s="14" t="n"/>
      <c r="N840" s="5" t="inlineStr">
        <is>
          <t>%</t>
        </is>
      </c>
      <c r="O840" s="5" t="inlineStr">
        <is>
          <t>ENT</t>
        </is>
      </c>
      <c r="P840" s="5" t="n">
        <v>0</v>
      </c>
      <c r="Q840" s="5" t="n">
        <v>0</v>
      </c>
      <c r="R840" s="5" t="inlineStr">
        <is>
          <t>302-2025-06-30</t>
        </is>
      </c>
      <c r="S840" t="inlineStr">
        <is>
          <t>Metrica</t>
        </is>
      </c>
    </row>
    <row r="841">
      <c r="A841" s="28" t="n">
        <v>302</v>
      </c>
      <c r="B841" s="5" t="inlineStr">
        <is>
          <t>N de solicitudes radicadas - (Metrica)</t>
        </is>
      </c>
      <c r="C841" s="5" t="inlineStr">
        <is>
          <t>Centro de Medios Audiovisuales</t>
        </is>
      </c>
      <c r="D841" s="5" t="inlineStr">
        <is>
          <t>Trimestral</t>
        </is>
      </c>
      <c r="E841" s="5" t="inlineStr">
        <is>
          <t>Positivo</t>
        </is>
      </c>
      <c r="F841" s="107" t="n">
        <v>46022</v>
      </c>
      <c r="G841" s="5" t="n">
        <v>2025</v>
      </c>
      <c r="H841" s="5" t="inlineStr">
        <is>
          <t>Diciembre</t>
        </is>
      </c>
      <c r="I841" s="6" t="inlineStr">
        <is>
          <t>2025-2</t>
        </is>
      </c>
      <c r="J841" s="5" t="n"/>
      <c r="K841" s="5" t="n">
        <v>31371</v>
      </c>
      <c r="L841" s="14" t="n"/>
      <c r="M841" s="14" t="n"/>
      <c r="N841" s="5" t="inlineStr">
        <is>
          <t>%</t>
        </is>
      </c>
      <c r="O841" s="5" t="inlineStr">
        <is>
          <t>ENT</t>
        </is>
      </c>
      <c r="P841" s="5" t="n">
        <v>0</v>
      </c>
      <c r="Q841" s="5" t="n">
        <v>0</v>
      </c>
      <c r="R841" s="5" t="inlineStr">
        <is>
          <t>302-2025-12-31</t>
        </is>
      </c>
      <c r="S841" t="inlineStr">
        <is>
          <t>Metrica</t>
        </is>
      </c>
    </row>
    <row r="842">
      <c r="A842" s="26" t="n">
        <v>303</v>
      </c>
      <c r="B842" s="5" t="inlineStr">
        <is>
          <t>Cumplimiento del cronograma de actividades de salud</t>
        </is>
      </c>
      <c r="C842" s="5" t="inlineStr">
        <is>
          <t>Servicio de Salud</t>
        </is>
      </c>
      <c r="D842" s="5" t="inlineStr">
        <is>
          <t>Semestral</t>
        </is>
      </c>
      <c r="E842" s="5" t="inlineStr">
        <is>
          <t>Positivo</t>
        </is>
      </c>
      <c r="F842" s="107" t="n">
        <v>45107</v>
      </c>
      <c r="G842" s="5" t="n">
        <v>2023</v>
      </c>
      <c r="H842" s="5" t="inlineStr">
        <is>
          <t>Junio</t>
        </is>
      </c>
      <c r="I842" s="6" t="inlineStr">
        <is>
          <t>2023-1</t>
        </is>
      </c>
      <c r="J842" s="5" t="n">
        <v>100</v>
      </c>
      <c r="K842" s="5" t="n">
        <v>75.75757575757601</v>
      </c>
      <c r="L842" s="14">
        <f>IFERROR(IF(OR(J842=0,K842=""),"",IF(E842="Positivo",MIN(MAX(K842/J842,0),1.3),MIN(MAX(J842/K842,0),1.3))),"") </f>
        <v/>
      </c>
      <c r="M842" s="14">
        <f>IFERROR(IF(OR(J842=0,K842=""),"",IF(E842="Positivo",MAX(K842/J842,0),MAX(J842/K842,0))),"") </f>
        <v/>
      </c>
      <c r="N842" s="5" t="inlineStr">
        <is>
          <t>%</t>
        </is>
      </c>
      <c r="O842" s="5" t="inlineStr">
        <is>
          <t>%</t>
        </is>
      </c>
      <c r="P842" s="5" t="n">
        <v>0</v>
      </c>
      <c r="Q842" s="5" t="n">
        <v>0</v>
      </c>
      <c r="R842" s="5" t="inlineStr">
        <is>
          <t>303-2023-06-30</t>
        </is>
      </c>
    </row>
    <row r="843">
      <c r="A843" s="5" t="n">
        <v>303</v>
      </c>
      <c r="B843" s="5" t="inlineStr">
        <is>
          <t>Cumplimiento del cronograma de actividades de salud</t>
        </is>
      </c>
      <c r="C843" s="5" t="inlineStr">
        <is>
          <t>Servicio de Salud</t>
        </is>
      </c>
      <c r="D843" s="5" t="inlineStr">
        <is>
          <t>Semestral</t>
        </is>
      </c>
      <c r="E843" s="5" t="inlineStr">
        <is>
          <t>Positivo</t>
        </is>
      </c>
      <c r="F843" s="107" t="n">
        <v>45291</v>
      </c>
      <c r="G843" s="5" t="n">
        <v>2023</v>
      </c>
      <c r="H843" s="5" t="inlineStr">
        <is>
          <t>Diciembre</t>
        </is>
      </c>
      <c r="I843" s="6" t="inlineStr">
        <is>
          <t>2023-2</t>
        </is>
      </c>
      <c r="J843" s="5" t="n">
        <v>100</v>
      </c>
      <c r="K843" s="5" t="n">
        <v>79.54545454545455</v>
      </c>
      <c r="L843" s="14">
        <f>IFERROR(IF(OR(J843=0,K843=""),"",IF(E843="Positivo",MIN(MAX(K843/J843,0),1.3),MIN(MAX(J843/K843,0),1.3))),"") </f>
        <v/>
      </c>
      <c r="M843" s="14">
        <f>IFERROR(IF(OR(J843=0,K843=""),"",IF(E843="Positivo",MAX(K843/J843,0),MAX(J843/K843,0))),"") </f>
        <v/>
      </c>
      <c r="N843" s="5" t="inlineStr">
        <is>
          <t>%</t>
        </is>
      </c>
      <c r="O843" s="5" t="inlineStr">
        <is>
          <t>%</t>
        </is>
      </c>
      <c r="P843" s="5" t="n">
        <v>0</v>
      </c>
      <c r="Q843" s="5" t="n">
        <v>0</v>
      </c>
      <c r="R843" s="5" t="inlineStr">
        <is>
          <t>303-2023-12-31</t>
        </is>
      </c>
    </row>
    <row r="844">
      <c r="A844" s="5" t="n">
        <v>303</v>
      </c>
      <c r="B844" s="5" t="inlineStr">
        <is>
          <t>Cumplimiento del cronograma de actividades de salud</t>
        </is>
      </c>
      <c r="C844" s="5" t="inlineStr">
        <is>
          <t>Servicio de Salud</t>
        </is>
      </c>
      <c r="D844" s="5" t="inlineStr">
        <is>
          <t>Semestral</t>
        </is>
      </c>
      <c r="E844" s="5" t="inlineStr">
        <is>
          <t>Positivo</t>
        </is>
      </c>
      <c r="F844" s="107" t="n">
        <v>45473</v>
      </c>
      <c r="G844" s="5" t="n">
        <v>2024</v>
      </c>
      <c r="H844" s="5" t="inlineStr">
        <is>
          <t>Junio</t>
        </is>
      </c>
      <c r="I844" s="6" t="inlineStr">
        <is>
          <t>2024-1</t>
        </is>
      </c>
      <c r="J844" s="5" t="n">
        <v>95</v>
      </c>
      <c r="K844" s="10" t="n">
        <v>100</v>
      </c>
      <c r="L844" s="14">
        <f>IFERROR(IF(OR(J844=0,K844=""),"",IF(E844="Positivo",MIN(MAX(K844/J844,0),1.3),MIN(MAX(J844/K844,0),1.3))),"") </f>
        <v/>
      </c>
      <c r="M844" s="14">
        <f>IFERROR(IF(OR(J844=0,K844=""),"",IF(E844="Positivo",MAX(K844/J844,0),MAX(J844/K844,0))),"") </f>
        <v/>
      </c>
      <c r="N844" s="5" t="inlineStr">
        <is>
          <t>%</t>
        </is>
      </c>
      <c r="O844" s="5" t="inlineStr">
        <is>
          <t>%</t>
        </is>
      </c>
      <c r="P844" s="5" t="n">
        <v>0</v>
      </c>
      <c r="Q844" s="5" t="n">
        <v>0</v>
      </c>
      <c r="R844" s="5" t="inlineStr">
        <is>
          <t>303-2024-06-30</t>
        </is>
      </c>
    </row>
    <row r="845">
      <c r="A845" s="28" t="n">
        <v>303</v>
      </c>
      <c r="B845" s="5" t="inlineStr">
        <is>
          <t>Cumplimiento del cronograma de actividades de salud</t>
        </is>
      </c>
      <c r="C845" s="5" t="inlineStr">
        <is>
          <t>Servicio de Salud</t>
        </is>
      </c>
      <c r="D845" s="5" t="inlineStr">
        <is>
          <t>Semestral</t>
        </is>
      </c>
      <c r="E845" s="5" t="inlineStr">
        <is>
          <t>Positivo</t>
        </is>
      </c>
      <c r="F845" s="107" t="n">
        <v>45657</v>
      </c>
      <c r="G845" s="5" t="n">
        <v>2024</v>
      </c>
      <c r="H845" s="5" t="inlineStr">
        <is>
          <t>Diciembre</t>
        </is>
      </c>
      <c r="I845" s="6" t="inlineStr">
        <is>
          <t>2024-2</t>
        </is>
      </c>
      <c r="J845" s="5" t="n">
        <v>95</v>
      </c>
      <c r="K845" s="5" t="n">
        <v>95.65217391304348</v>
      </c>
      <c r="L845" s="14">
        <f>IFERROR(IF(OR(J845=0,K845=""),"",IF(E845="Positivo",MIN(MAX(K845/J845,0),1.3),MIN(MAX(J845/K845,0),1.3))),"") </f>
        <v/>
      </c>
      <c r="M845" s="14">
        <f>IFERROR(IF(OR(J845=0,K845=""),"",IF(E845="Positivo",MAX(K845/J845,0),MAX(J845/K845,0))),"") </f>
        <v/>
      </c>
      <c r="N845" s="5" t="inlineStr">
        <is>
          <t>%</t>
        </is>
      </c>
      <c r="O845" s="5" t="inlineStr">
        <is>
          <t>%</t>
        </is>
      </c>
      <c r="P845" s="5" t="n">
        <v>0</v>
      </c>
      <c r="Q845" s="5" t="n">
        <v>0</v>
      </c>
      <c r="R845" s="5" t="inlineStr">
        <is>
          <t>303-2024-12-31</t>
        </is>
      </c>
    </row>
    <row r="846">
      <c r="A846" s="26" t="n">
        <v>303</v>
      </c>
      <c r="B846" s="5" t="inlineStr">
        <is>
          <t>Cumplimiento del cronograma de actividades de salud</t>
        </is>
      </c>
      <c r="C846" s="5" t="inlineStr">
        <is>
          <t>Servicio de Salud</t>
        </is>
      </c>
      <c r="D846" s="5" t="inlineStr">
        <is>
          <t>Semestral</t>
        </is>
      </c>
      <c r="E846" s="5" t="inlineStr">
        <is>
          <t>Positivo</t>
        </is>
      </c>
      <c r="F846" s="107" t="n">
        <v>45838</v>
      </c>
      <c r="G846" s="5" t="n">
        <v>2025</v>
      </c>
      <c r="H846" s="5" t="inlineStr">
        <is>
          <t>Junio</t>
        </is>
      </c>
      <c r="I846" s="6" t="inlineStr">
        <is>
          <t>2025-1</t>
        </is>
      </c>
      <c r="J846" s="5" t="n">
        <v>95</v>
      </c>
      <c r="K846" s="5" t="n">
        <v>90.31999999999999</v>
      </c>
      <c r="L846" s="14">
        <f>IFERROR(IF(OR(J846=0,K846=""),"",IF(E846="Positivo",MIN(MAX(K846/J846,0),1.3),MIN(MAX(J846/K846,0),1.3))),"") </f>
        <v/>
      </c>
      <c r="M846" s="14">
        <f>IFERROR(IF(OR(J846=0,K846=""),"",IF(E846="Positivo",MAX(K846/J846,0),MAX(J846/K846,0))),"") </f>
        <v/>
      </c>
      <c r="N846" s="5" t="inlineStr">
        <is>
          <t>%</t>
        </is>
      </c>
      <c r="O846" s="5" t="inlineStr">
        <is>
          <t>%</t>
        </is>
      </c>
      <c r="P846" s="5" t="n">
        <v>0</v>
      </c>
      <c r="Q846" s="5" t="n">
        <v>0</v>
      </c>
      <c r="R846" s="5" t="inlineStr">
        <is>
          <t>303-2025-06-30</t>
        </is>
      </c>
    </row>
    <row r="847">
      <c r="A847" s="5" t="n">
        <v>303</v>
      </c>
      <c r="B847" s="5" t="inlineStr">
        <is>
          <t>Cumplimiento del cronograma de actividades de salud</t>
        </is>
      </c>
      <c r="C847" s="5" t="inlineStr">
        <is>
          <t>Servicio de Salud</t>
        </is>
      </c>
      <c r="D847" s="5" t="inlineStr">
        <is>
          <t>Trimestral</t>
        </is>
      </c>
      <c r="E847" s="5" t="inlineStr">
        <is>
          <t>Positivo</t>
        </is>
      </c>
      <c r="F847" s="107" t="n">
        <v>46022</v>
      </c>
      <c r="G847" s="5" t="n">
        <v>2025</v>
      </c>
      <c r="H847" s="5" t="inlineStr">
        <is>
          <t>Diciembre</t>
        </is>
      </c>
      <c r="I847" s="6" t="inlineStr">
        <is>
          <t>2025-2</t>
        </is>
      </c>
      <c r="J847" s="5" t="n">
        <v>95</v>
      </c>
      <c r="K847" s="5" t="n">
        <v>100</v>
      </c>
      <c r="L847" s="14">
        <f>IFERROR(IF(OR(J847=0,K847=""),"",IF(E847="Positivo",MIN(MAX(K847/J847,0),1.3),MIN(MAX(J847/K847,0),1.3))),"") </f>
        <v/>
      </c>
      <c r="M847" s="14">
        <f>IFERROR(IF(OR(J847=0,K847=""),"",IF(E847="Positivo",MAX(K847/J847,0),MAX(J847/K847,0))),"") </f>
        <v/>
      </c>
      <c r="N847" s="5" t="inlineStr">
        <is>
          <t>%</t>
        </is>
      </c>
      <c r="O847" s="5" t="inlineStr">
        <is>
          <t>%</t>
        </is>
      </c>
      <c r="P847" s="5" t="n">
        <v>0</v>
      </c>
      <c r="Q847" s="5" t="n">
        <v>0</v>
      </c>
      <c r="R847" s="5" t="inlineStr">
        <is>
          <t>303-2025-12-31</t>
        </is>
      </c>
    </row>
    <row r="848">
      <c r="A848" s="5" t="n">
        <v>304</v>
      </c>
      <c r="B848" s="5" t="inlineStr">
        <is>
          <t>Impacto de Campañas de promoción y prevención</t>
        </is>
      </c>
      <c r="C848" s="5" t="inlineStr">
        <is>
          <t>Servicio de Salud</t>
        </is>
      </c>
      <c r="D848" s="5" t="inlineStr">
        <is>
          <t>Semestral</t>
        </is>
      </c>
      <c r="E848" s="5" t="inlineStr">
        <is>
          <t>Positivo</t>
        </is>
      </c>
      <c r="F848" s="107" t="n">
        <v>45107</v>
      </c>
      <c r="G848" s="5" t="n">
        <v>2023</v>
      </c>
      <c r="H848" s="5" t="inlineStr">
        <is>
          <t>Junio</t>
        </is>
      </c>
      <c r="I848" s="6" t="inlineStr">
        <is>
          <t>2023-1</t>
        </is>
      </c>
      <c r="J848" s="5" t="n">
        <v>100</v>
      </c>
      <c r="K848" s="15" t="n">
        <v>189.86</v>
      </c>
      <c r="L848" s="14">
        <f>IFERROR(IF(OR(J848=0,K848=""),"",IF(E848="Positivo",MIN(MAX(K848/J848,0),1.3),MIN(MAX(J848/K848,0),1.3))),"") </f>
        <v/>
      </c>
      <c r="M848" s="14">
        <f>IFERROR(IF(OR(J848=0,K848=""),"",IF(E848="Positivo",MAX(K848/J848,0),MAX(J848/K848,0))),"") </f>
        <v/>
      </c>
      <c r="N848" s="5" t="inlineStr">
        <is>
          <t>ENT</t>
        </is>
      </c>
      <c r="O848" s="5" t="inlineStr">
        <is>
          <t>ENT</t>
        </is>
      </c>
      <c r="P848" s="5" t="n">
        <v>0</v>
      </c>
      <c r="Q848" s="5" t="n">
        <v>0</v>
      </c>
      <c r="R848" s="5" t="inlineStr">
        <is>
          <t>304-2023-06-30</t>
        </is>
      </c>
    </row>
    <row r="849">
      <c r="A849" s="26" t="n">
        <v>304</v>
      </c>
      <c r="B849" s="5" t="inlineStr">
        <is>
          <t>Impacto de Campañas de promoción y prevención</t>
        </is>
      </c>
      <c r="C849" s="5" t="inlineStr">
        <is>
          <t>Servicio de Salud</t>
        </is>
      </c>
      <c r="D849" s="5" t="inlineStr">
        <is>
          <t>Semestral</t>
        </is>
      </c>
      <c r="E849" s="5" t="inlineStr">
        <is>
          <t>Positivo</t>
        </is>
      </c>
      <c r="F849" s="107" t="n">
        <v>45291</v>
      </c>
      <c r="G849" s="5" t="n">
        <v>2023</v>
      </c>
      <c r="H849" s="5" t="inlineStr">
        <is>
          <t>Diciembre</t>
        </is>
      </c>
      <c r="I849" s="6" t="inlineStr">
        <is>
          <t>2023-2</t>
        </is>
      </c>
      <c r="J849" s="5" t="n">
        <v>100</v>
      </c>
      <c r="K849" s="96" t="n">
        <v>176.33</v>
      </c>
      <c r="L849" s="74">
        <f>IFERROR(IF(OR(J849=0,K849=""),"",IF(E849="Positivo",MIN(MAX(K849/J849,0),1.3),MIN(MAX(J849/K849,0),1.3))),"") </f>
        <v/>
      </c>
      <c r="M849" s="14">
        <f>IFERROR(IF(OR(J849=0,K849=""),"",IF(E849="Positivo",MAX(K849/J849,0),MAX(J849/K849,0))),"") </f>
        <v/>
      </c>
      <c r="N849" s="5" t="inlineStr">
        <is>
          <t>ENT</t>
        </is>
      </c>
      <c r="O849" s="5" t="inlineStr">
        <is>
          <t>ENT</t>
        </is>
      </c>
      <c r="P849" s="5" t="n">
        <v>0</v>
      </c>
      <c r="Q849" s="5" t="n">
        <v>0</v>
      </c>
      <c r="R849" s="5" t="inlineStr">
        <is>
          <t>304-2023-12-31</t>
        </is>
      </c>
    </row>
    <row r="850">
      <c r="A850" s="28" t="n">
        <v>304</v>
      </c>
      <c r="B850" t="inlineStr">
        <is>
          <t>Impacto de Campañas de promoción y prevención</t>
        </is>
      </c>
      <c r="C850" s="5" t="inlineStr">
        <is>
          <t>Servicio de Salud</t>
        </is>
      </c>
      <c r="D850" s="5" t="inlineStr">
        <is>
          <t>Semestral</t>
        </is>
      </c>
      <c r="E850" s="5" t="inlineStr">
        <is>
          <t>Positivo</t>
        </is>
      </c>
      <c r="F850" s="107" t="n">
        <v>45473</v>
      </c>
      <c r="G850" s="5" t="n">
        <v>2024</v>
      </c>
      <c r="H850" s="5" t="inlineStr">
        <is>
          <t>Junio</t>
        </is>
      </c>
      <c r="I850" s="6" t="inlineStr">
        <is>
          <t>2024-1</t>
        </is>
      </c>
      <c r="J850" s="5" t="n">
        <v>100</v>
      </c>
      <c r="K850" s="5" t="n">
        <v>100.12</v>
      </c>
      <c r="L850" s="74">
        <f>IFERROR(IF(OR(J850=0,K850=""),"",IF(E850="Positivo",MIN(MAX(K850/J850,0),1.3),MIN(MAX(J850/K850,0),1.3))),"") </f>
        <v/>
      </c>
      <c r="M850" s="14">
        <f>IFERROR(IF(OR(J850=0,K850=""),"",IF(E850="Positivo",MAX(K850/J850,0),MAX(J850/K850,0))),"") </f>
        <v/>
      </c>
      <c r="N850" s="5" t="inlineStr">
        <is>
          <t>ENT</t>
        </is>
      </c>
      <c r="O850" s="5" t="inlineStr">
        <is>
          <t>ENT</t>
        </is>
      </c>
      <c r="P850" s="5" t="n">
        <v>0</v>
      </c>
      <c r="Q850" s="5" t="n">
        <v>0</v>
      </c>
      <c r="R850" s="5" t="inlineStr">
        <is>
          <t>304-2024-06-30</t>
        </is>
      </c>
    </row>
    <row r="851">
      <c r="A851" s="26" t="n">
        <v>304</v>
      </c>
      <c r="B851" t="inlineStr">
        <is>
          <t>Impacto de Campañas de promoción y prevención</t>
        </is>
      </c>
      <c r="C851" s="5" t="inlineStr">
        <is>
          <t>Servicio de Salud</t>
        </is>
      </c>
      <c r="D851" s="5" t="inlineStr">
        <is>
          <t>Semestral</t>
        </is>
      </c>
      <c r="E851" s="5" t="inlineStr">
        <is>
          <t>Positivo</t>
        </is>
      </c>
      <c r="F851" s="107" t="n">
        <v>45657</v>
      </c>
      <c r="G851" s="5" t="n">
        <v>2024</v>
      </c>
      <c r="H851" s="5" t="inlineStr">
        <is>
          <t>Diciembre</t>
        </is>
      </c>
      <c r="I851" s="6" t="inlineStr">
        <is>
          <t>2024-2</t>
        </is>
      </c>
      <c r="J851" s="5" t="n">
        <v>100</v>
      </c>
      <c r="K851" s="5" t="n">
        <v>83.56</v>
      </c>
      <c r="L851" s="74">
        <f>IFERROR(IF(OR(J851=0,K851=""),"",IF(E851="Positivo",MIN(MAX(K851/J851,0),1.3),MIN(MAX(J851/K851,0),1.3))),"") </f>
        <v/>
      </c>
      <c r="M851" s="14">
        <f>IFERROR(IF(OR(J851=0,K851=""),"",IF(E851="Positivo",MAX(K851/J851,0),MAX(J851/K851,0))),"") </f>
        <v/>
      </c>
      <c r="N851" s="5" t="inlineStr">
        <is>
          <t>ENT</t>
        </is>
      </c>
      <c r="O851" s="5" t="inlineStr">
        <is>
          <t>ENT</t>
        </is>
      </c>
      <c r="P851" s="5" t="n">
        <v>0</v>
      </c>
      <c r="Q851" s="5" t="n">
        <v>0</v>
      </c>
      <c r="R851" s="5" t="inlineStr">
        <is>
          <t>304-2024-12-31</t>
        </is>
      </c>
    </row>
    <row r="852">
      <c r="A852" s="5" t="n">
        <v>304</v>
      </c>
      <c r="B852" t="inlineStr">
        <is>
          <t>Impacto de Campañas de promoción y prevención</t>
        </is>
      </c>
      <c r="C852" s="5" t="inlineStr">
        <is>
          <t>Servicio de Salud</t>
        </is>
      </c>
      <c r="D852" s="5" t="inlineStr">
        <is>
          <t>Semestral</t>
        </is>
      </c>
      <c r="E852" s="5" t="inlineStr">
        <is>
          <t>Positivo</t>
        </is>
      </c>
      <c r="F852" s="107" t="n">
        <v>45838</v>
      </c>
      <c r="G852" s="5" t="n">
        <v>2025</v>
      </c>
      <c r="H852" s="5" t="inlineStr">
        <is>
          <t>Junio</t>
        </is>
      </c>
      <c r="I852" s="6" t="inlineStr">
        <is>
          <t>2025-1</t>
        </is>
      </c>
      <c r="J852" s="5" t="n">
        <v>100</v>
      </c>
      <c r="K852" s="5" t="n">
        <v>98.47</v>
      </c>
      <c r="L852" s="14">
        <f>IFERROR(IF(OR(J852=0,K852=""),"",IF(E852="Positivo",MIN(MAX(K852/J852,0),1.3),MIN(MAX(J852/K852,0),1.3))),"") </f>
        <v/>
      </c>
      <c r="M852" s="14">
        <f>IFERROR(IF(OR(J852=0,K852=""),"",IF(E852="Positivo",MAX(K852/J852,0),MAX(J852/K852,0))),"") </f>
        <v/>
      </c>
      <c r="N852" s="5" t="inlineStr">
        <is>
          <t>ENT</t>
        </is>
      </c>
      <c r="O852" s="5" t="inlineStr">
        <is>
          <t>ENT</t>
        </is>
      </c>
      <c r="P852" s="5" t="n">
        <v>0</v>
      </c>
      <c r="Q852" s="5" t="n">
        <v>0</v>
      </c>
      <c r="R852" s="5" t="inlineStr">
        <is>
          <t>304-2025-06-30</t>
        </is>
      </c>
    </row>
    <row r="853">
      <c r="A853" s="5" t="n">
        <v>304</v>
      </c>
      <c r="B853" t="inlineStr">
        <is>
          <t>Impacto de Campañas de promoción y prevención</t>
        </is>
      </c>
      <c r="C853" s="5" t="inlineStr">
        <is>
          <t>Servicio de Salud</t>
        </is>
      </c>
      <c r="D853" s="5" t="inlineStr">
        <is>
          <t>Trimestral</t>
        </is>
      </c>
      <c r="E853" s="5" t="inlineStr">
        <is>
          <t>Positivo</t>
        </is>
      </c>
      <c r="F853" s="107" t="n">
        <v>46022</v>
      </c>
      <c r="G853" s="5" t="n">
        <v>2025</v>
      </c>
      <c r="H853" s="5" t="inlineStr">
        <is>
          <t>Diciembre</t>
        </is>
      </c>
      <c r="I853" s="6" t="inlineStr">
        <is>
          <t>2025-2</t>
        </is>
      </c>
      <c r="J853" s="5" t="n">
        <v>100</v>
      </c>
      <c r="K853" s="5" t="n">
        <v>116.09</v>
      </c>
      <c r="L853" s="14">
        <f>IFERROR(IF(OR(J853=0,K853=""),"",IF(E853="Positivo",MIN(MAX(K853/J853,0),1.3),MIN(MAX(J853/K853,0),1.3))),"") </f>
        <v/>
      </c>
      <c r="M853" s="14">
        <f>IFERROR(IF(OR(J853=0,K853=""),"",IF(E853="Positivo",MAX(K853/J853,0),MAX(J853/K853,0))),"") </f>
        <v/>
      </c>
      <c r="N853" s="5" t="inlineStr">
        <is>
          <t>ENT</t>
        </is>
      </c>
      <c r="O853" s="5" t="inlineStr">
        <is>
          <t>ENT</t>
        </is>
      </c>
      <c r="P853" s="5" t="n">
        <v>0</v>
      </c>
      <c r="Q853" s="5" t="n">
        <v>0</v>
      </c>
      <c r="R853" s="5" t="inlineStr">
        <is>
          <t>304-2025-12-31</t>
        </is>
      </c>
    </row>
    <row r="854">
      <c r="A854" s="28" t="n">
        <v>305</v>
      </c>
      <c r="B854" s="5" t="inlineStr">
        <is>
          <t>Cumplimiento del plan anual de mantenimiento de equipos médicos</t>
        </is>
      </c>
      <c r="C854" s="5" t="inlineStr">
        <is>
          <t>Servicio de Salud</t>
        </is>
      </c>
      <c r="D854" s="5" t="inlineStr">
        <is>
          <t>Anual</t>
        </is>
      </c>
      <c r="E854" s="5" t="inlineStr">
        <is>
          <t>Positivo</t>
        </is>
      </c>
      <c r="F854" s="107" t="n">
        <v>45291</v>
      </c>
      <c r="G854" s="5" t="n">
        <v>2023</v>
      </c>
      <c r="H854" s="5" t="inlineStr">
        <is>
          <t>Diciembre</t>
        </is>
      </c>
      <c r="I854" s="6" t="inlineStr">
        <is>
          <t>2023-2</t>
        </is>
      </c>
      <c r="J854" s="5" t="n">
        <v>100</v>
      </c>
      <c r="K854" s="5" t="n">
        <v>100</v>
      </c>
      <c r="L854" s="14">
        <f>IFERROR(IF(OR(J854=0,K854=""),"",IF(E854="Positivo",MIN(MAX(K854/J854,0),1.3),MIN(MAX(J854/K854,0),1.3))),"") </f>
        <v/>
      </c>
      <c r="M854" s="14">
        <f>IFERROR(IF(OR(J854=0,K854=""),"",IF(E854="Positivo",MAX(K854/J854,0),MAX(J854/K854,0))),"") </f>
        <v/>
      </c>
      <c r="N854" s="5" t="inlineStr">
        <is>
          <t>%</t>
        </is>
      </c>
      <c r="O854" s="5" t="inlineStr">
        <is>
          <t>%</t>
        </is>
      </c>
      <c r="P854" s="5" t="n">
        <v>0</v>
      </c>
      <c r="Q854" s="5" t="n">
        <v>0</v>
      </c>
      <c r="R854" s="5" t="inlineStr">
        <is>
          <t>305-2023-12-31</t>
        </is>
      </c>
    </row>
    <row r="855">
      <c r="A855" s="26" t="n">
        <v>305</v>
      </c>
      <c r="B855" s="5" t="inlineStr">
        <is>
          <t>Cumplimiento del plan anual de mantenimiento de equipos médicos</t>
        </is>
      </c>
      <c r="C855" s="5" t="inlineStr">
        <is>
          <t>Servicio de Salud</t>
        </is>
      </c>
      <c r="D855" s="5" t="inlineStr">
        <is>
          <t>Anual</t>
        </is>
      </c>
      <c r="E855" s="5" t="inlineStr">
        <is>
          <t>Positivo</t>
        </is>
      </c>
      <c r="F855" s="107" t="n">
        <v>45657</v>
      </c>
      <c r="G855" s="5" t="n">
        <v>2024</v>
      </c>
      <c r="H855" s="5" t="inlineStr">
        <is>
          <t>Diciembre</t>
        </is>
      </c>
      <c r="I855" s="6" t="inlineStr">
        <is>
          <t>2024-2</t>
        </is>
      </c>
      <c r="J855" s="5" t="n">
        <v>100</v>
      </c>
      <c r="K855" s="5" t="n">
        <v>100</v>
      </c>
      <c r="L855" s="14">
        <f>IFERROR(IF(OR(J855=0,K855=""),"",IF(E855="Positivo",MIN(MAX(K855/J855,0),1.3),MIN(MAX(J855/K855,0),1.3))),"") </f>
        <v/>
      </c>
      <c r="M855" s="14">
        <f>IFERROR(IF(OR(J855=0,K855=""),"",IF(E855="Positivo",MAX(K855/J855,0),MAX(J855/K855,0))),"") </f>
        <v/>
      </c>
      <c r="N855" s="5" t="n"/>
      <c r="O855" s="5" t="n"/>
      <c r="P855" s="5" t="n">
        <v>0</v>
      </c>
      <c r="Q855" s="5" t="n">
        <v>0</v>
      </c>
      <c r="R855" s="5" t="inlineStr">
        <is>
          <t>305-2024-12-31</t>
        </is>
      </c>
    </row>
    <row r="856">
      <c r="A856" s="5" t="n">
        <v>306</v>
      </c>
      <c r="B856" s="5" t="inlineStr">
        <is>
          <t>Seguimiento KPI Plan de Desarrollo Institucional</t>
        </is>
      </c>
      <c r="C856" s="5" t="inlineStr">
        <is>
          <t>Desempeño Institucional</t>
        </is>
      </c>
      <c r="D856" s="5" t="inlineStr">
        <is>
          <t>Trimestral</t>
        </is>
      </c>
      <c r="E856" s="5" t="inlineStr">
        <is>
          <t>Positivo</t>
        </is>
      </c>
      <c r="F856" s="107" t="n">
        <v>45107</v>
      </c>
      <c r="G856" s="5" t="n">
        <v>2023</v>
      </c>
      <c r="H856" s="5" t="inlineStr">
        <is>
          <t>Junio</t>
        </is>
      </c>
      <c r="I856" s="6" t="inlineStr">
        <is>
          <t>2023-1</t>
        </is>
      </c>
      <c r="J856" s="5" t="n">
        <v>100</v>
      </c>
      <c r="K856" s="5" t="n">
        <v>0</v>
      </c>
      <c r="L856" s="14">
        <f>IFERROR(IF(OR(J856=0,K856=""),"",IF(E856="Positivo",MIN(MAX(K856/J856,0),1.3),MIN(MAX(J856/K856,0),1.3))),"") </f>
        <v/>
      </c>
      <c r="M856" s="14">
        <f>IFERROR(IF(OR(J856=0,K856=""),"",IF(E856="Positivo",MAX(K856/J856,0),MAX(J856/K856,0))),"") </f>
        <v/>
      </c>
      <c r="N856" s="5" t="inlineStr">
        <is>
          <t>%</t>
        </is>
      </c>
      <c r="O856" s="5" t="inlineStr">
        <is>
          <t>%</t>
        </is>
      </c>
      <c r="P856" s="5" t="n">
        <v>0</v>
      </c>
      <c r="Q856" s="5" t="n">
        <v>0</v>
      </c>
      <c r="R856" s="5" t="inlineStr">
        <is>
          <t>306-2023-06-30</t>
        </is>
      </c>
    </row>
    <row r="857">
      <c r="A857" s="5" t="n">
        <v>306</v>
      </c>
      <c r="B857" s="5" t="inlineStr">
        <is>
          <t>Seguimiento KPI Plan de Desarrollo Institucional</t>
        </is>
      </c>
      <c r="C857" s="5" t="inlineStr">
        <is>
          <t>Desempeño Institucional</t>
        </is>
      </c>
      <c r="D857" s="5" t="inlineStr">
        <is>
          <t>Trimestral</t>
        </is>
      </c>
      <c r="E857" s="5" t="inlineStr">
        <is>
          <t>Positivo</t>
        </is>
      </c>
      <c r="F857" s="107" t="n">
        <v>45199</v>
      </c>
      <c r="G857" s="5" t="n">
        <v>2023</v>
      </c>
      <c r="H857" s="5" t="inlineStr">
        <is>
          <t>Septiembre</t>
        </is>
      </c>
      <c r="I857" s="6" t="inlineStr">
        <is>
          <t>2023-2</t>
        </is>
      </c>
      <c r="J857" s="5" t="n">
        <v>100</v>
      </c>
      <c r="K857" s="10" t="n">
        <v>313</v>
      </c>
      <c r="L857" s="14">
        <f>IFERROR(IF(OR(J857=0,K857=""),"",IF(E857="Positivo",MIN(MAX(K857/J857,0),1.3),MIN(MAX(J857/K857,0),1.3))),"") </f>
        <v/>
      </c>
      <c r="M857" s="14">
        <f>IFERROR(IF(OR(J857=0,K857=""),"",IF(E857="Positivo",MAX(K857/J857,0),MAX(J857/K857,0))),"") </f>
        <v/>
      </c>
      <c r="N857" s="5" t="inlineStr">
        <is>
          <t>%</t>
        </is>
      </c>
      <c r="O857" s="5" t="inlineStr">
        <is>
          <t>%</t>
        </is>
      </c>
      <c r="P857" s="5" t="n">
        <v>0</v>
      </c>
      <c r="Q857" s="5" t="n">
        <v>0</v>
      </c>
      <c r="R857" s="5" t="inlineStr">
        <is>
          <t>306-2023-09-30</t>
        </is>
      </c>
    </row>
    <row r="858">
      <c r="A858" s="5" t="n">
        <v>306</v>
      </c>
      <c r="B858" s="5" t="inlineStr">
        <is>
          <t>Seguimiento KPI Plan de Desarrollo Institucional</t>
        </is>
      </c>
      <c r="C858" s="5" t="inlineStr">
        <is>
          <t>Desempeño Institucional</t>
        </is>
      </c>
      <c r="D858" s="5" t="inlineStr">
        <is>
          <t>Trimestral</t>
        </is>
      </c>
      <c r="E858" s="5" t="inlineStr">
        <is>
          <t>Positivo</t>
        </is>
      </c>
      <c r="F858" s="106" t="n">
        <v>45291</v>
      </c>
      <c r="G858" s="15" t="n">
        <v>2023</v>
      </c>
      <c r="H858" s="6" t="inlineStr">
        <is>
          <t>Diciembre</t>
        </is>
      </c>
      <c r="I858" s="27" t="inlineStr">
        <is>
          <t>2023-2</t>
        </is>
      </c>
      <c r="J858" s="5" t="n">
        <v>100</v>
      </c>
      <c r="K858" s="5" t="n">
        <v>313</v>
      </c>
      <c r="L858" s="14">
        <f>IFERROR(IF(OR(J858=0,K858=""),"",IF(E858="Positivo",MIN(MAX(K858/J858,0),1.3),MIN(MAX(J858/K858,0),1.3))),"") </f>
        <v/>
      </c>
      <c r="M858" s="14">
        <f>IFERROR(IF(OR(J858=0,K858=""),"",IF(E858="Positivo",MAX(K858/J858,0),MAX(J858/K858,0))),"") </f>
        <v/>
      </c>
      <c r="N858" s="5" t="inlineStr">
        <is>
          <t>%</t>
        </is>
      </c>
      <c r="O858" s="5" t="inlineStr">
        <is>
          <t>%</t>
        </is>
      </c>
      <c r="P858" s="5" t="n">
        <v>0</v>
      </c>
      <c r="Q858" s="5" t="n">
        <v>0</v>
      </c>
      <c r="R858" s="5" t="inlineStr">
        <is>
          <t>306-2023-12-31</t>
        </is>
      </c>
    </row>
    <row r="859">
      <c r="A859" s="26" t="n">
        <v>306</v>
      </c>
      <c r="B859" s="5" t="inlineStr">
        <is>
          <t>Seguimiento KPI Plan de Desarrollo Institucional</t>
        </is>
      </c>
      <c r="C859" s="5" t="inlineStr">
        <is>
          <t>Desempeño Institucional</t>
        </is>
      </c>
      <c r="D859" s="5" t="inlineStr">
        <is>
          <t>Trimestral</t>
        </is>
      </c>
      <c r="E859" s="5" t="inlineStr">
        <is>
          <t>Positivo</t>
        </is>
      </c>
      <c r="F859" s="107" t="n">
        <v>45473</v>
      </c>
      <c r="G859" s="5" t="n">
        <v>2024</v>
      </c>
      <c r="H859" s="5" t="inlineStr">
        <is>
          <t>Junio</t>
        </is>
      </c>
      <c r="I859" s="6" t="inlineStr">
        <is>
          <t>2024-1</t>
        </is>
      </c>
      <c r="J859" s="5" t="n">
        <v>100</v>
      </c>
      <c r="K859" s="5" t="n">
        <v>300.5</v>
      </c>
      <c r="L859" s="14">
        <f>IFERROR(IF(OR(J859=0,K859=""),"",IF(E859="Positivo",MIN(MAX(K859/J859,0),1.3),MIN(MAX(J859/K859,0),1.3))),"") </f>
        <v/>
      </c>
      <c r="M859" s="14">
        <f>IFERROR(IF(OR(J859=0,K859=""),"",IF(E859="Positivo",MAX(K859/J859,0),MAX(J859/K859,0))),"") </f>
        <v/>
      </c>
      <c r="N859" s="5" t="n"/>
      <c r="O859" s="5" t="n"/>
      <c r="P859" s="5" t="n">
        <v>0</v>
      </c>
      <c r="Q859" s="5" t="n">
        <v>0</v>
      </c>
      <c r="R859" s="5" t="inlineStr">
        <is>
          <t>306-2024-06-30</t>
        </is>
      </c>
    </row>
    <row r="860">
      <c r="A860" s="5" t="n">
        <v>306</v>
      </c>
      <c r="B860" s="5" t="inlineStr">
        <is>
          <t>Seguimiento KPI Plan de Desarrollo Institucional</t>
        </is>
      </c>
      <c r="C860" s="5" t="inlineStr">
        <is>
          <t>Desempeño Institucional</t>
        </is>
      </c>
      <c r="D860" s="5" t="inlineStr">
        <is>
          <t>Trimestral</t>
        </is>
      </c>
      <c r="E860" s="5" t="inlineStr">
        <is>
          <t>Positivo</t>
        </is>
      </c>
      <c r="F860" s="107" t="n">
        <v>45657</v>
      </c>
      <c r="G860" s="5" t="n">
        <v>2024</v>
      </c>
      <c r="H860" s="5" t="inlineStr">
        <is>
          <t>Diciembre</t>
        </is>
      </c>
      <c r="I860" s="6" t="inlineStr">
        <is>
          <t>2024-2</t>
        </is>
      </c>
      <c r="J860" s="5" t="n">
        <v>100</v>
      </c>
      <c r="K860" s="5" t="n">
        <v>50.5</v>
      </c>
      <c r="L860" s="14">
        <f>IFERROR(IF(OR(J860=0,K860=""),"",IF(E860="Positivo",MIN(MAX(K860/J860,0),1.3),MIN(MAX(J860/K860,0),1.3))),"") </f>
        <v/>
      </c>
      <c r="M860" s="14">
        <f>IFERROR(IF(OR(J860=0,K860=""),"",IF(E860="Positivo",MAX(K860/J860,0),MAX(J860/K860,0))),"") </f>
        <v/>
      </c>
      <c r="N860" s="5" t="n"/>
      <c r="O860" s="5" t="n"/>
      <c r="P860" s="5" t="n">
        <v>0</v>
      </c>
      <c r="Q860" s="5" t="n">
        <v>0</v>
      </c>
      <c r="R860" s="5" t="inlineStr">
        <is>
          <t>306-2024-12-31</t>
        </is>
      </c>
    </row>
    <row r="861">
      <c r="A861" s="5" t="n">
        <v>306</v>
      </c>
      <c r="B861" s="5" t="inlineStr">
        <is>
          <t>Seguimiento KPI Plan de Desarrollo Institucional</t>
        </is>
      </c>
      <c r="C861" s="5" t="inlineStr">
        <is>
          <t>Desempeño Institucional</t>
        </is>
      </c>
      <c r="D861" s="5" t="inlineStr">
        <is>
          <t>Semestral</t>
        </is>
      </c>
      <c r="E861" s="5" t="inlineStr">
        <is>
          <t>Positivo</t>
        </is>
      </c>
      <c r="F861" s="107" t="n">
        <v>45838</v>
      </c>
      <c r="G861" s="5" t="n">
        <v>2025</v>
      </c>
      <c r="H861" s="5" t="inlineStr">
        <is>
          <t>Junio</t>
        </is>
      </c>
      <c r="I861" s="6" t="inlineStr">
        <is>
          <t>2025-1</t>
        </is>
      </c>
      <c r="J861" s="5" t="n">
        <v>100</v>
      </c>
      <c r="K861" s="5" t="n">
        <v>108.67</v>
      </c>
      <c r="L861" s="14">
        <f>IFERROR(IF(OR(J861=0,K861=""),"",IF(E861="Positivo",MIN(MAX(K861/J861,0),1.3),MIN(MAX(J861/K861,0),1.3))),"") </f>
        <v/>
      </c>
      <c r="M861" s="14">
        <f>IFERROR(IF(OR(J861=0,K861=""),"",IF(E861="Positivo",MAX(K861/J861,0),MAX(J861/K861,0))),"") </f>
        <v/>
      </c>
      <c r="N861" s="5" t="inlineStr">
        <is>
          <t>%</t>
        </is>
      </c>
      <c r="O861" s="5" t="inlineStr">
        <is>
          <t>%</t>
        </is>
      </c>
      <c r="P861" s="5" t="n">
        <v>0</v>
      </c>
      <c r="Q861" s="5" t="n">
        <v>0</v>
      </c>
      <c r="R861" s="5" t="inlineStr">
        <is>
          <t>306-2025-06-30</t>
        </is>
      </c>
    </row>
    <row r="862">
      <c r="A862" s="28" t="n">
        <v>306</v>
      </c>
      <c r="B862" s="5" t="inlineStr">
        <is>
          <t>Seguimiento KPI Plan de Desarrollo Institucional</t>
        </is>
      </c>
      <c r="C862" s="5" t="inlineStr">
        <is>
          <t>Desempeño Institucional</t>
        </is>
      </c>
      <c r="D862" s="5" t="inlineStr">
        <is>
          <t>Semestral</t>
        </is>
      </c>
      <c r="E862" s="5" t="inlineStr">
        <is>
          <t>Positivo</t>
        </is>
      </c>
      <c r="F862" s="107" t="n">
        <v>46022</v>
      </c>
      <c r="G862" s="5" t="n">
        <v>2025</v>
      </c>
      <c r="H862" s="5" t="inlineStr">
        <is>
          <t>Diciembre</t>
        </is>
      </c>
      <c r="I862" s="6" t="inlineStr">
        <is>
          <t>2025-2</t>
        </is>
      </c>
      <c r="J862" s="5" t="n">
        <v>100</v>
      </c>
      <c r="K862" s="5" t="n">
        <v>106.725</v>
      </c>
      <c r="L862" s="14">
        <f>IFERROR(IF(OR(J862=0,K862=""),"",IF(E862="Positivo",MIN(MAX(K862/J862,0),1.3),MIN(MAX(J862/K862,0),1.3))),"") </f>
        <v/>
      </c>
      <c r="M862" s="14">
        <f>IFERROR(IF(OR(J862=0,K862=""),"",IF(E862="Positivo",MAX(K862/J862,0),MAX(J862/K862,0))),"") </f>
        <v/>
      </c>
      <c r="N862" s="5" t="inlineStr">
        <is>
          <t>%</t>
        </is>
      </c>
      <c r="O862" s="5" t="inlineStr">
        <is>
          <t>%</t>
        </is>
      </c>
      <c r="P862" s="5" t="n">
        <v>0</v>
      </c>
      <c r="Q862" s="5" t="n">
        <v>0</v>
      </c>
      <c r="R862" s="5" t="inlineStr">
        <is>
          <t>306-2025-12-31</t>
        </is>
      </c>
    </row>
    <row r="863">
      <c r="A863" s="26" t="n">
        <v>307</v>
      </c>
      <c r="B863" s="5" t="inlineStr">
        <is>
          <t>Organización de escenarios de visibilidad nacional e internacional</t>
        </is>
      </c>
      <c r="C863" s="5" t="inlineStr">
        <is>
          <t>VISIBILIDAD NACIONAL E INTERNACIONAL</t>
        </is>
      </c>
      <c r="D863" s="5" t="inlineStr">
        <is>
          <t>Semestral</t>
        </is>
      </c>
      <c r="E863" s="5" t="inlineStr">
        <is>
          <t>Positivo</t>
        </is>
      </c>
      <c r="F863" s="107" t="n">
        <v>45107</v>
      </c>
      <c r="G863" s="5" t="n">
        <v>2023</v>
      </c>
      <c r="H863" s="5" t="inlineStr">
        <is>
          <t>Junio</t>
        </is>
      </c>
      <c r="I863" s="6" t="inlineStr">
        <is>
          <t>2023-1</t>
        </is>
      </c>
      <c r="J863" s="5" t="n">
        <v>20</v>
      </c>
      <c r="K863" s="5" t="n">
        <v>25</v>
      </c>
      <c r="L863" s="14">
        <f>IFERROR(IF(OR(J863=0,K863=""),"",IF(E863="Positivo",MIN(MAX(K863/J863,0),1.3),MIN(MAX(J863/K863,0),1.3))),"") </f>
        <v/>
      </c>
      <c r="M863" s="14">
        <f>IFERROR(IF(OR(J863=0,K863=""),"",IF(E863="Positivo",MAX(K863/J863,0),MAX(J863/K863,0))),"") </f>
        <v/>
      </c>
      <c r="N863" s="5" t="n"/>
      <c r="O863" s="5" t="n"/>
      <c r="P863" s="5" t="n">
        <v>0</v>
      </c>
      <c r="Q863" s="5" t="n">
        <v>0</v>
      </c>
      <c r="R863" s="5" t="inlineStr">
        <is>
          <t>307-2023-06-30</t>
        </is>
      </c>
    </row>
    <row r="864">
      <c r="A864" s="5" t="n">
        <v>307</v>
      </c>
      <c r="B864" s="5" t="inlineStr">
        <is>
          <t>Organización de escenarios de visibilidad nacional e internacional</t>
        </is>
      </c>
      <c r="C864" s="5" t="inlineStr">
        <is>
          <t>VISIBILIDAD NACIONAL E INTERNACIONAL</t>
        </is>
      </c>
      <c r="D864" s="5" t="inlineStr">
        <is>
          <t>Semestral</t>
        </is>
      </c>
      <c r="E864" s="5" t="inlineStr">
        <is>
          <t>Positivo</t>
        </is>
      </c>
      <c r="F864" s="107" t="n">
        <v>45291</v>
      </c>
      <c r="G864" s="5" t="n">
        <v>2023</v>
      </c>
      <c r="H864" s="5" t="inlineStr">
        <is>
          <t>Diciembre</t>
        </is>
      </c>
      <c r="I864" s="6" t="inlineStr">
        <is>
          <t>2023-2</t>
        </is>
      </c>
      <c r="J864" s="5" t="n">
        <v>26</v>
      </c>
      <c r="K864" s="5" t="n">
        <v>82</v>
      </c>
      <c r="L864" s="14">
        <f>IFERROR(IF(OR(J864=0,K864=""),"",IF(E864="Positivo",MIN(MAX(K864/J864,0),1.3),MIN(MAX(J864/K864,0),1.3))),"") </f>
        <v/>
      </c>
      <c r="M864" s="14">
        <f>IFERROR(IF(OR(J864=0,K864=""),"",IF(E864="Positivo",MAX(K864/J864,0),MAX(J864/K864,0))),"") </f>
        <v/>
      </c>
      <c r="N864" s="5" t="n"/>
      <c r="O864" s="5" t="n"/>
      <c r="P864" s="5" t="n">
        <v>0</v>
      </c>
      <c r="Q864" s="5" t="n">
        <v>0</v>
      </c>
      <c r="R864" s="5" t="inlineStr">
        <is>
          <t>307-2023-12-31</t>
        </is>
      </c>
    </row>
    <row r="865">
      <c r="A865" s="5" t="n">
        <v>307</v>
      </c>
      <c r="B865" s="5" t="inlineStr">
        <is>
          <t>Organización de escenarios de visibilidad nacional e internacional</t>
        </is>
      </c>
      <c r="C865" s="5" t="inlineStr">
        <is>
          <t>VISIBILIDAD NACIONAL E INTERNACIONAL</t>
        </is>
      </c>
      <c r="D865" s="5" t="inlineStr">
        <is>
          <t>Semestral</t>
        </is>
      </c>
      <c r="E865" s="5" t="inlineStr">
        <is>
          <t>Positivo</t>
        </is>
      </c>
      <c r="F865" s="107" t="n">
        <v>45473</v>
      </c>
      <c r="G865" s="5" t="n">
        <v>2024</v>
      </c>
      <c r="H865" s="5" t="inlineStr">
        <is>
          <t>Junio</t>
        </is>
      </c>
      <c r="I865" s="6" t="inlineStr">
        <is>
          <t>2024-1</t>
        </is>
      </c>
      <c r="J865" s="5" t="n">
        <v>100</v>
      </c>
      <c r="K865" s="10" t="n">
        <v>112</v>
      </c>
      <c r="L865" s="14">
        <f>IFERROR(IF(OR(J865=0,K865=""),"",IF(E865="Positivo",MIN(MAX(K865/J865,0),1.3),MIN(MAX(J865/K865,0),1.3))),"") </f>
        <v/>
      </c>
      <c r="M865" s="14">
        <f>IFERROR(IF(OR(J865=0,K865=""),"",IF(E865="Positivo",MAX(K865/J865,0),MAX(J865/K865,0))),"") </f>
        <v/>
      </c>
      <c r="N865" s="5" t="n"/>
      <c r="O865" s="5" t="n"/>
      <c r="P865" s="5" t="n">
        <v>0</v>
      </c>
      <c r="Q865" s="5" t="n">
        <v>0</v>
      </c>
      <c r="R865" s="5" t="inlineStr">
        <is>
          <t>307-2024-06-30</t>
        </is>
      </c>
    </row>
    <row r="866">
      <c r="A866" s="28" t="n">
        <v>307</v>
      </c>
      <c r="B866" s="5" t="inlineStr">
        <is>
          <t>Organización de escenarios de visibilidad nacional e internacional</t>
        </is>
      </c>
      <c r="C866" s="5" t="inlineStr">
        <is>
          <t>VISIBILIDAD NACIONAL E INTERNACIONAL</t>
        </is>
      </c>
      <c r="D866" s="5" t="inlineStr">
        <is>
          <t>Semestral</t>
        </is>
      </c>
      <c r="E866" s="5" t="inlineStr">
        <is>
          <t>Positivo</t>
        </is>
      </c>
      <c r="F866" s="107" t="n">
        <v>45657</v>
      </c>
      <c r="G866" s="5" t="n">
        <v>2024</v>
      </c>
      <c r="H866" s="5" t="inlineStr">
        <is>
          <t>Diciembre</t>
        </is>
      </c>
      <c r="I866" s="6" t="inlineStr">
        <is>
          <t>2024-2</t>
        </is>
      </c>
      <c r="J866" s="5" t="n">
        <v>100</v>
      </c>
      <c r="K866" s="5" t="n">
        <v>413.33</v>
      </c>
      <c r="L866" s="14">
        <f>IFERROR(IF(OR(J866=0,K866=""),"",IF(E866="Positivo",MIN(MAX(K866/J866,0),1.3),MIN(MAX(J866/K866,0),1.3))),"") </f>
        <v/>
      </c>
      <c r="M866" s="14">
        <f>IFERROR(IF(OR(J866=0,K866=""),"",IF(E866="Positivo",MAX(K866/J866,0),MAX(J866/K866,0))),"") </f>
        <v/>
      </c>
      <c r="N866" s="5" t="n"/>
      <c r="O866" s="5" t="n"/>
      <c r="P866" s="5" t="n">
        <v>0</v>
      </c>
      <c r="Q866" s="5" t="n">
        <v>0</v>
      </c>
      <c r="R866" s="5" t="inlineStr">
        <is>
          <t>307-2024-12-31</t>
        </is>
      </c>
    </row>
    <row r="867">
      <c r="A867" s="26" t="n">
        <v>308</v>
      </c>
      <c r="B867" s="5" t="inlineStr">
        <is>
          <t>Movilidad Física Entrantes Profesores</t>
        </is>
      </c>
      <c r="C867" s="5" t="inlineStr">
        <is>
          <t>VISIBILIDAD NACIONAL E INTERNACIONAL</t>
        </is>
      </c>
      <c r="D867" s="5" t="inlineStr">
        <is>
          <t>Semestral</t>
        </is>
      </c>
      <c r="E867" s="5" t="inlineStr">
        <is>
          <t>Positivo</t>
        </is>
      </c>
      <c r="F867" s="107" t="n">
        <v>45107</v>
      </c>
      <c r="G867" s="5" t="n">
        <v>2023</v>
      </c>
      <c r="H867" s="5" t="inlineStr">
        <is>
          <t>Junio</t>
        </is>
      </c>
      <c r="I867" s="6" t="inlineStr">
        <is>
          <t>2023-1</t>
        </is>
      </c>
      <c r="J867" s="5" t="n">
        <v>12</v>
      </c>
      <c r="K867" s="5" t="n">
        <v>27</v>
      </c>
      <c r="L867" s="14">
        <f>IFERROR(IF(OR(J867=0,K867=""),"",IF(E867="Positivo",MIN(MAX(K867/J867,0),1.3),MIN(MAX(J867/K867,0),1.3))),"") </f>
        <v/>
      </c>
      <c r="M867" s="14">
        <f>IFERROR(IF(OR(J867=0,K867=""),"",IF(E867="Positivo",MAX(K867/J867,0),MAX(J867/K867,0))),"") </f>
        <v/>
      </c>
      <c r="N867" s="5" t="n"/>
      <c r="O867" s="5" t="n"/>
      <c r="P867" s="5" t="n">
        <v>0</v>
      </c>
      <c r="Q867" s="5" t="n">
        <v>0</v>
      </c>
      <c r="R867" s="5" t="inlineStr">
        <is>
          <t>308-2023-06-30</t>
        </is>
      </c>
    </row>
    <row r="868">
      <c r="A868" s="5" t="n">
        <v>308</v>
      </c>
      <c r="B868" s="5" t="inlineStr">
        <is>
          <t>Movilidad Física Entrantes Profesores</t>
        </is>
      </c>
      <c r="C868" s="5" t="inlineStr">
        <is>
          <t>VISIBILIDAD NACIONAL E INTERNACIONAL</t>
        </is>
      </c>
      <c r="D868" s="5" t="inlineStr">
        <is>
          <t>Semestral</t>
        </is>
      </c>
      <c r="E868" s="5" t="inlineStr">
        <is>
          <t>Positivo</t>
        </is>
      </c>
      <c r="F868" s="107" t="n">
        <v>45291</v>
      </c>
      <c r="G868" s="5" t="n">
        <v>2023</v>
      </c>
      <c r="H868" s="5" t="inlineStr">
        <is>
          <t>Diciembre</t>
        </is>
      </c>
      <c r="I868" s="6" t="inlineStr">
        <is>
          <t>2023-2</t>
        </is>
      </c>
      <c r="J868" s="5" t="n">
        <v>20</v>
      </c>
      <c r="K868" s="5" t="n">
        <v>54</v>
      </c>
      <c r="L868" s="14">
        <f>IFERROR(IF(OR(J868=0,K868=""),"",IF(E868="Positivo",MIN(MAX(K868/J868,0),1.3),MIN(MAX(J868/K868,0),1.3))),"") </f>
        <v/>
      </c>
      <c r="M868" s="14">
        <f>IFERROR(IF(OR(J868=0,K868=""),"",IF(E868="Positivo",MAX(K868/J868,0),MAX(J868/K868,0))),"") </f>
        <v/>
      </c>
      <c r="N868" s="5" t="n"/>
      <c r="O868" s="5" t="n"/>
      <c r="P868" s="5" t="n">
        <v>0</v>
      </c>
      <c r="Q868" s="5" t="n">
        <v>0</v>
      </c>
      <c r="R868" s="5" t="inlineStr">
        <is>
          <t>308-2023-12-31</t>
        </is>
      </c>
    </row>
    <row r="869">
      <c r="A869" s="5" t="n">
        <v>308</v>
      </c>
      <c r="B869" s="5" t="inlineStr">
        <is>
          <t>Movilidad Física Entrantes Profesores</t>
        </is>
      </c>
      <c r="C869" s="5" t="inlineStr">
        <is>
          <t>VISIBILIDAD NACIONAL E INTERNACIONAL</t>
        </is>
      </c>
      <c r="D869" s="5" t="inlineStr">
        <is>
          <t>Semestral</t>
        </is>
      </c>
      <c r="E869" s="5" t="inlineStr">
        <is>
          <t>Positivo</t>
        </is>
      </c>
      <c r="F869" s="107" t="n">
        <v>45473</v>
      </c>
      <c r="G869" s="5" t="n">
        <v>2024</v>
      </c>
      <c r="H869" s="5" t="inlineStr">
        <is>
          <t>Junio</t>
        </is>
      </c>
      <c r="I869" s="6" t="inlineStr">
        <is>
          <t>2024-1</t>
        </is>
      </c>
      <c r="J869" s="5" t="n">
        <v>100</v>
      </c>
      <c r="K869" s="5" t="n">
        <v>100</v>
      </c>
      <c r="L869" s="14">
        <f>IFERROR(IF(OR(J869=0,K869=""),"",IF(E869="Positivo",MIN(MAX(K869/J869,0),1.3),MIN(MAX(J869/K869,0),1.3))),"") </f>
        <v/>
      </c>
      <c r="M869" s="14">
        <f>IFERROR(IF(OR(J869=0,K869=""),"",IF(E869="Positivo",MAX(K869/J869,0),MAX(J869/K869,0))),"") </f>
        <v/>
      </c>
      <c r="N869" s="5" t="n"/>
      <c r="O869" s="5" t="n"/>
      <c r="P869" s="5" t="n">
        <v>0</v>
      </c>
      <c r="Q869" s="5" t="n">
        <v>0</v>
      </c>
      <c r="R869" s="5" t="inlineStr">
        <is>
          <t>308-2024-06-30</t>
        </is>
      </c>
    </row>
    <row r="870">
      <c r="A870" s="26" t="n">
        <v>308</v>
      </c>
      <c r="B870" s="5" t="inlineStr">
        <is>
          <t>Movilidad Física Entrantes Profesores</t>
        </is>
      </c>
      <c r="C870" s="5" t="inlineStr">
        <is>
          <t>VISIBILIDAD NACIONAL E INTERNACIONAL</t>
        </is>
      </c>
      <c r="D870" s="5" t="inlineStr">
        <is>
          <t>Semestral</t>
        </is>
      </c>
      <c r="E870" s="5" t="inlineStr">
        <is>
          <t>Positivo</t>
        </is>
      </c>
      <c r="F870" s="107" t="n">
        <v>45657</v>
      </c>
      <c r="G870" s="5" t="n">
        <v>2024</v>
      </c>
      <c r="H870" s="5" t="inlineStr">
        <is>
          <t>Diciembre</t>
        </is>
      </c>
      <c r="I870" s="6" t="inlineStr">
        <is>
          <t>2024-2</t>
        </is>
      </c>
      <c r="J870" s="5" t="n">
        <v>100</v>
      </c>
      <c r="K870" s="5" t="n">
        <v>100</v>
      </c>
      <c r="L870" s="74">
        <f>IFERROR(IF(OR(J870=0,K870=""),"",IF(E870="Positivo",MIN(MAX(K870/J870,0),1.3),MIN(MAX(J870/K870,0),1.3))),"") </f>
        <v/>
      </c>
      <c r="M870" s="14">
        <f>IFERROR(IF(OR(J870=0,K870=""),"",IF(E870="Positivo",MAX(K870/J870,0),MAX(J870/K870,0))),"") </f>
        <v/>
      </c>
      <c r="N870" s="5" t="n"/>
      <c r="O870" s="5" t="n"/>
      <c r="P870" s="5" t="n">
        <v>0</v>
      </c>
      <c r="Q870" s="5" t="n">
        <v>0</v>
      </c>
      <c r="R870" s="5" t="inlineStr">
        <is>
          <t>308-2024-12-31</t>
        </is>
      </c>
    </row>
    <row r="871">
      <c r="A871" s="5" t="n">
        <v>309</v>
      </c>
      <c r="B871" s="5" t="inlineStr">
        <is>
          <t>Movilidad Física Profesores Salientes</t>
        </is>
      </c>
      <c r="C871" s="5" t="inlineStr">
        <is>
          <t>VISIBILIDAD NACIONAL E INTERNACIONAL</t>
        </is>
      </c>
      <c r="D871" s="5" t="inlineStr">
        <is>
          <t>Semestral</t>
        </is>
      </c>
      <c r="E871" s="5" t="inlineStr">
        <is>
          <t>Positivo</t>
        </is>
      </c>
      <c r="F871" s="107" t="n">
        <v>45107</v>
      </c>
      <c r="G871" s="5" t="n">
        <v>2023</v>
      </c>
      <c r="H871" s="5" t="inlineStr">
        <is>
          <t>Junio</t>
        </is>
      </c>
      <c r="I871" s="6" t="inlineStr">
        <is>
          <t>2023-1</t>
        </is>
      </c>
      <c r="J871" s="5" t="n">
        <v>19</v>
      </c>
      <c r="K871" s="5" t="n">
        <v>27</v>
      </c>
      <c r="L871" s="14">
        <f>IFERROR(IF(OR(J871=0,K871=""),"",IF(E871="Positivo",MIN(MAX(K871/J871,0),1.3),MIN(MAX(J871/K871,0),1.3))),"") </f>
        <v/>
      </c>
      <c r="M871" s="14">
        <f>IFERROR(IF(OR(J871=0,K871=""),"",IF(E871="Positivo",MAX(K871/J871,0),MAX(J871/K871,0))),"") </f>
        <v/>
      </c>
      <c r="N871" s="5" t="n"/>
      <c r="O871" s="5" t="n"/>
      <c r="P871" s="5" t="n">
        <v>0</v>
      </c>
      <c r="Q871" s="5" t="n">
        <v>0</v>
      </c>
      <c r="R871" s="5" t="inlineStr">
        <is>
          <t>309-2023-06-30</t>
        </is>
      </c>
    </row>
    <row r="872">
      <c r="A872" s="28" t="n">
        <v>309</v>
      </c>
      <c r="B872" s="5" t="inlineStr">
        <is>
          <t>Movilidad Física Profesores Salientes</t>
        </is>
      </c>
      <c r="C872" s="5" t="inlineStr">
        <is>
          <t>VISIBILIDAD NACIONAL E INTERNACIONAL</t>
        </is>
      </c>
      <c r="D872" s="5" t="inlineStr">
        <is>
          <t>Semestral</t>
        </is>
      </c>
      <c r="E872" s="5" t="inlineStr">
        <is>
          <t>Positivo</t>
        </is>
      </c>
      <c r="F872" s="107" t="n">
        <v>45291</v>
      </c>
      <c r="G872" s="5" t="n">
        <v>2023</v>
      </c>
      <c r="H872" s="5" t="inlineStr">
        <is>
          <t>Diciembre</t>
        </is>
      </c>
      <c r="I872" s="6" t="inlineStr">
        <is>
          <t>2023-2</t>
        </is>
      </c>
      <c r="J872" s="5" t="n">
        <v>45</v>
      </c>
      <c r="K872" s="5" t="n">
        <v>76</v>
      </c>
      <c r="L872" s="74">
        <f>IFERROR(IF(OR(J872=0,K872=""),"",IF(E872="Positivo",MIN(MAX(K872/J872,0),1.3),MIN(MAX(J872/K872,0),1.3))),"") </f>
        <v/>
      </c>
      <c r="M872" s="14">
        <f>IFERROR(IF(OR(J872=0,K872=""),"",IF(E872="Positivo",MAX(K872/J872,0),MAX(J872/K872,0))),"") </f>
        <v/>
      </c>
      <c r="N872" s="5" t="n"/>
      <c r="O872" s="5" t="n"/>
      <c r="P872" s="5" t="n">
        <v>0</v>
      </c>
      <c r="Q872" s="5" t="n">
        <v>0</v>
      </c>
      <c r="R872" s="5" t="inlineStr">
        <is>
          <t>309-2023-12-31</t>
        </is>
      </c>
    </row>
    <row r="873">
      <c r="A873" s="26" t="n">
        <v>309</v>
      </c>
      <c r="B873" s="5" t="inlineStr">
        <is>
          <t>Movilidad Física Salientes Profesores</t>
        </is>
      </c>
      <c r="C873" s="5" t="inlineStr">
        <is>
          <t>VISIBILIDAD NACIONAL E INTERNACIONAL</t>
        </is>
      </c>
      <c r="D873" s="5" t="inlineStr">
        <is>
          <t>Semestral</t>
        </is>
      </c>
      <c r="E873" s="5" t="inlineStr">
        <is>
          <t>Positivo</t>
        </is>
      </c>
      <c r="F873" s="107" t="n">
        <v>45473</v>
      </c>
      <c r="G873" s="5" t="n">
        <v>2024</v>
      </c>
      <c r="H873" s="5" t="inlineStr">
        <is>
          <t>Junio</t>
        </is>
      </c>
      <c r="I873" s="6" t="inlineStr">
        <is>
          <t>2024-1</t>
        </is>
      </c>
      <c r="J873" s="5" t="n">
        <v>100</v>
      </c>
      <c r="K873" s="5" t="n">
        <v>216</v>
      </c>
      <c r="L873" s="74">
        <f>IFERROR(IF(OR(J873=0,K873=""),"",IF(E873="Positivo",MIN(MAX(K873/J873,0),1.3),MIN(MAX(J873/K873,0),1.3))),"") </f>
        <v/>
      </c>
      <c r="M873" s="14">
        <f>IFERROR(IF(OR(J873=0,K873=""),"",IF(E873="Positivo",MAX(K873/J873,0),MAX(J873/K873,0))),"") </f>
        <v/>
      </c>
      <c r="N873" s="5" t="n"/>
      <c r="O873" s="5" t="n"/>
      <c r="P873" s="5" t="n">
        <v>0</v>
      </c>
      <c r="Q873" s="5" t="n">
        <v>0</v>
      </c>
      <c r="R873" s="5" t="inlineStr">
        <is>
          <t>309-2024-06-30</t>
        </is>
      </c>
    </row>
    <row r="874">
      <c r="A874" s="5" t="n">
        <v>309</v>
      </c>
      <c r="B874" s="5" t="inlineStr">
        <is>
          <t>Movilidad Física Salientes Profesores</t>
        </is>
      </c>
      <c r="C874" s="5" t="inlineStr">
        <is>
          <t>VISIBILIDAD NACIONAL E INTERNACIONAL</t>
        </is>
      </c>
      <c r="D874" s="5" t="inlineStr">
        <is>
          <t>Semestral</t>
        </is>
      </c>
      <c r="E874" s="5" t="inlineStr">
        <is>
          <t>Positivo</t>
        </is>
      </c>
      <c r="F874" s="107" t="n">
        <v>45657</v>
      </c>
      <c r="G874" s="5" t="n">
        <v>2024</v>
      </c>
      <c r="H874" s="5" t="inlineStr">
        <is>
          <t>Diciembre</t>
        </is>
      </c>
      <c r="I874" s="6" t="inlineStr">
        <is>
          <t>2024-2</t>
        </is>
      </c>
      <c r="J874" s="5" t="n">
        <v>100</v>
      </c>
      <c r="K874" s="5" t="n">
        <v>154.67</v>
      </c>
      <c r="L874" s="14">
        <f>IFERROR(IF(OR(J874=0,K874=""),"",IF(E874="Positivo",MIN(MAX(K874/J874,0),1.3),MIN(MAX(J874/K874,0),1.3))),"") </f>
        <v/>
      </c>
      <c r="M874" s="14">
        <f>IFERROR(IF(OR(J874=0,K874=""),"",IF(E874="Positivo",MAX(K874/J874,0),MAX(J874/K874,0))),"") </f>
        <v/>
      </c>
      <c r="N874" s="5" t="n"/>
      <c r="O874" s="5" t="n"/>
      <c r="P874" s="5" t="n">
        <v>0</v>
      </c>
      <c r="Q874" s="5" t="n">
        <v>0</v>
      </c>
      <c r="R874" s="5" t="inlineStr">
        <is>
          <t>309-2024-12-31</t>
        </is>
      </c>
    </row>
    <row r="875">
      <c r="A875" s="5" t="n">
        <v>310</v>
      </c>
      <c r="B875" s="5" t="inlineStr">
        <is>
          <t>Movilidad Física Entrante Estudiantes</t>
        </is>
      </c>
      <c r="C875" s="5" t="inlineStr">
        <is>
          <t>VISIBILIDAD NACIONAL E INTERNACIONAL</t>
        </is>
      </c>
      <c r="D875" s="5" t="inlineStr">
        <is>
          <t>Semestral</t>
        </is>
      </c>
      <c r="E875" s="5" t="inlineStr">
        <is>
          <t>Positivo</t>
        </is>
      </c>
      <c r="F875" s="107" t="n">
        <v>45107</v>
      </c>
      <c r="G875" s="5" t="n">
        <v>2023</v>
      </c>
      <c r="H875" s="5" t="inlineStr">
        <is>
          <t>Junio</t>
        </is>
      </c>
      <c r="I875" s="6" t="inlineStr">
        <is>
          <t>2023-1</t>
        </is>
      </c>
      <c r="J875" s="5" t="n">
        <v>14</v>
      </c>
      <c r="K875" s="5" t="n">
        <v>48</v>
      </c>
      <c r="L875" s="14">
        <f>IFERROR(IF(OR(J875=0,K875=""),"",IF(E875="Positivo",MIN(MAX(K875/J875,0),1.3),MIN(MAX(J875/K875,0),1.3))),"") </f>
        <v/>
      </c>
      <c r="M875" s="14">
        <f>IFERROR(IF(OR(J875=0,K875=""),"",IF(E875="Positivo",MAX(K875/J875,0),MAX(J875/K875,0))),"") </f>
        <v/>
      </c>
      <c r="N875" s="5" t="n"/>
      <c r="O875" s="5" t="n"/>
      <c r="P875" s="5" t="n">
        <v>0</v>
      </c>
      <c r="Q875" s="5" t="n">
        <v>0</v>
      </c>
      <c r="R875" s="5" t="inlineStr">
        <is>
          <t>310-2023-06-30</t>
        </is>
      </c>
    </row>
    <row r="876">
      <c r="A876" s="28" t="n">
        <v>310</v>
      </c>
      <c r="B876" s="5" t="inlineStr">
        <is>
          <t>Movilidad Física Entrante Estudiantes</t>
        </is>
      </c>
      <c r="C876" s="5" t="inlineStr">
        <is>
          <t>VISIBILIDAD NACIONAL E INTERNACIONAL</t>
        </is>
      </c>
      <c r="D876" s="5" t="inlineStr">
        <is>
          <t>Semestral</t>
        </is>
      </c>
      <c r="E876" s="5" t="inlineStr">
        <is>
          <t>Positivo</t>
        </is>
      </c>
      <c r="F876" s="107" t="n">
        <v>45291</v>
      </c>
      <c r="G876" s="5" t="n">
        <v>2023</v>
      </c>
      <c r="H876" s="5" t="inlineStr">
        <is>
          <t>Diciembre</t>
        </is>
      </c>
      <c r="I876" s="6" t="inlineStr">
        <is>
          <t>2023-2</t>
        </is>
      </c>
      <c r="J876" s="5" t="n">
        <v>70</v>
      </c>
      <c r="K876" s="5" t="n">
        <v>118</v>
      </c>
      <c r="L876" s="14">
        <f>IFERROR(IF(OR(J876=0,K876=""),"",IF(E876="Positivo",MIN(MAX(K876/J876,0),1.3),MIN(MAX(J876/K876,0),1.3))),"") </f>
        <v/>
      </c>
      <c r="M876" s="14">
        <f>IFERROR(IF(OR(J876=0,K876=""),"",IF(E876="Positivo",MAX(K876/J876,0),MAX(J876/K876,0))),"") </f>
        <v/>
      </c>
      <c r="N876" s="5" t="n"/>
      <c r="O876" s="5" t="n"/>
      <c r="P876" s="5" t="n">
        <v>0</v>
      </c>
      <c r="Q876" s="5" t="n">
        <v>0</v>
      </c>
      <c r="R876" s="5" t="inlineStr">
        <is>
          <t>310-2023-12-31</t>
        </is>
      </c>
    </row>
    <row r="877">
      <c r="A877" s="26" t="n">
        <v>310</v>
      </c>
      <c r="B877" s="5" t="inlineStr">
        <is>
          <t>Movilidad Física Entrante Estudiantes</t>
        </is>
      </c>
      <c r="C877" s="5" t="inlineStr">
        <is>
          <t>VISIBILIDAD NACIONAL E INTERNACIONAL</t>
        </is>
      </c>
      <c r="D877" s="5" t="inlineStr">
        <is>
          <t>Semestral</t>
        </is>
      </c>
      <c r="E877" s="5" t="inlineStr">
        <is>
          <t>Positivo</t>
        </is>
      </c>
      <c r="F877" s="107" t="n">
        <v>45473</v>
      </c>
      <c r="G877" s="5" t="n">
        <v>2024</v>
      </c>
      <c r="H877" s="5" t="inlineStr">
        <is>
          <t>Junio</t>
        </is>
      </c>
      <c r="I877" s="6" t="inlineStr">
        <is>
          <t>2024-1</t>
        </is>
      </c>
      <c r="J877" s="5" t="n">
        <v>100</v>
      </c>
      <c r="K877" s="5" t="n">
        <v>95.56</v>
      </c>
      <c r="L877" s="14">
        <f>IFERROR(IF(OR(J877=0,K877=""),"",IF(E877="Positivo",MIN(MAX(K877/J877,0),1.3),MIN(MAX(J877/K877,0),1.3))),"") </f>
        <v/>
      </c>
      <c r="M877" s="14">
        <f>IFERROR(IF(OR(J877=0,K877=""),"",IF(E877="Positivo",MAX(K877/J877,0),MAX(J877/K877,0))),"") </f>
        <v/>
      </c>
      <c r="N877" s="5" t="n"/>
      <c r="O877" s="5" t="n"/>
      <c r="P877" s="5" t="n">
        <v>0</v>
      </c>
      <c r="Q877" s="5" t="n">
        <v>0</v>
      </c>
      <c r="R877" s="5" t="inlineStr">
        <is>
          <t>310-2024-06-30</t>
        </is>
      </c>
    </row>
    <row r="878">
      <c r="A878" s="5" t="n">
        <v>310</v>
      </c>
      <c r="B878" s="5" t="inlineStr">
        <is>
          <t>Movilidad Física Entrante Estudiantes</t>
        </is>
      </c>
      <c r="C878" s="5" t="inlineStr">
        <is>
          <t>VISIBILIDAD NACIONAL E INTERNACIONAL</t>
        </is>
      </c>
      <c r="D878" s="5" t="inlineStr">
        <is>
          <t>Semestral</t>
        </is>
      </c>
      <c r="E878" s="5" t="inlineStr">
        <is>
          <t>Positivo</t>
        </is>
      </c>
      <c r="F878" s="107" t="n">
        <v>45657</v>
      </c>
      <c r="G878" s="5" t="n">
        <v>2024</v>
      </c>
      <c r="H878" s="5" t="inlineStr">
        <is>
          <t>Diciembre</t>
        </is>
      </c>
      <c r="I878" s="6" t="inlineStr">
        <is>
          <t>2024-2</t>
        </is>
      </c>
      <c r="J878" s="5" t="n">
        <v>100</v>
      </c>
      <c r="K878" s="5" t="n">
        <v>79.13</v>
      </c>
      <c r="L878" s="14">
        <f>IFERROR(IF(OR(J878=0,K878=""),"",IF(E878="Positivo",MIN(MAX(K878/J878,0),1.3),MIN(MAX(J878/K878,0),1.3))),"") </f>
        <v/>
      </c>
      <c r="M878" s="14">
        <f>IFERROR(IF(OR(J878=0,K878=""),"",IF(E878="Positivo",MAX(K878/J878,0),MAX(J878/K878,0))),"") </f>
        <v/>
      </c>
      <c r="N878" s="5" t="n"/>
      <c r="O878" s="5" t="n"/>
      <c r="P878" s="5" t="n">
        <v>0</v>
      </c>
      <c r="Q878" s="5" t="n">
        <v>0</v>
      </c>
      <c r="R878" s="5" t="inlineStr">
        <is>
          <t>310-2024-12-31</t>
        </is>
      </c>
    </row>
    <row r="879">
      <c r="A879" s="5" t="n">
        <v>311</v>
      </c>
      <c r="B879" s="5" t="inlineStr">
        <is>
          <t>Movilidad Física Saliente Estudiantes</t>
        </is>
      </c>
      <c r="C879" s="5" t="inlineStr">
        <is>
          <t>VISIBILIDAD NACIONAL E INTERNACIONAL</t>
        </is>
      </c>
      <c r="D879" s="5" t="inlineStr">
        <is>
          <t>Semestral</t>
        </is>
      </c>
      <c r="E879" s="5" t="inlineStr">
        <is>
          <t>Positivo</t>
        </is>
      </c>
      <c r="F879" s="107" t="n">
        <v>45107</v>
      </c>
      <c r="G879" s="5" t="n">
        <v>2023</v>
      </c>
      <c r="H879" s="5" t="inlineStr">
        <is>
          <t>Junio</t>
        </is>
      </c>
      <c r="I879" s="6" t="inlineStr">
        <is>
          <t>2023-1</t>
        </is>
      </c>
      <c r="J879" s="5" t="n">
        <v>22</v>
      </c>
      <c r="K879" s="5" t="n">
        <v>85</v>
      </c>
      <c r="L879" s="14">
        <f>IFERROR(IF(OR(J879=0,K879=""),"",IF(E879="Positivo",MIN(MAX(K879/J879,0),1.3),MIN(MAX(J879/K879,0),1.3))),"") </f>
        <v/>
      </c>
      <c r="M879" s="14">
        <f>IFERROR(IF(OR(J879=0,K879=""),"",IF(E879="Positivo",MAX(K879/J879,0),MAX(J879/K879,0))),"") </f>
        <v/>
      </c>
      <c r="N879" s="5" t="n"/>
      <c r="O879" s="5" t="n"/>
      <c r="P879" s="5" t="n">
        <v>0</v>
      </c>
      <c r="Q879" s="5" t="n">
        <v>0</v>
      </c>
      <c r="R879" s="5" t="inlineStr">
        <is>
          <t>311-2023-06-30</t>
        </is>
      </c>
    </row>
    <row r="880">
      <c r="A880" s="28" t="n">
        <v>311</v>
      </c>
      <c r="B880" s="5" t="inlineStr">
        <is>
          <t>Movilidad Física Saliente Estudiantes</t>
        </is>
      </c>
      <c r="C880" s="5" t="inlineStr">
        <is>
          <t>VISIBILIDAD NACIONAL E INTERNACIONAL</t>
        </is>
      </c>
      <c r="D880" s="5" t="inlineStr">
        <is>
          <t>Semestral</t>
        </is>
      </c>
      <c r="E880" s="5" t="inlineStr">
        <is>
          <t>Positivo</t>
        </is>
      </c>
      <c r="F880" s="107" t="n">
        <v>45291</v>
      </c>
      <c r="G880" s="5" t="n">
        <v>2023</v>
      </c>
      <c r="H880" s="5" t="inlineStr">
        <is>
          <t>Diciembre</t>
        </is>
      </c>
      <c r="I880" s="6" t="inlineStr">
        <is>
          <t>2023-2</t>
        </is>
      </c>
      <c r="J880" s="5" t="n">
        <v>245</v>
      </c>
      <c r="K880" s="5" t="n">
        <v>247</v>
      </c>
      <c r="L880" s="74">
        <f>IFERROR(IF(OR(J880=0,K880=""),"",IF(E880="Positivo",MIN(MAX(K880/J880,0),1.3),MIN(MAX(J880/K880,0),1.3))),"") </f>
        <v/>
      </c>
      <c r="M880" s="14">
        <f>IFERROR(IF(OR(J880=0,K880=""),"",IF(E880="Positivo",MAX(K880/J880,0),MAX(J880/K880,0))),"") </f>
        <v/>
      </c>
      <c r="N880" s="5" t="n"/>
      <c r="O880" s="5" t="n"/>
      <c r="P880" s="5" t="n">
        <v>0</v>
      </c>
      <c r="Q880" s="5" t="n">
        <v>0</v>
      </c>
      <c r="R880" s="5" t="inlineStr">
        <is>
          <t>311-2023-12-31</t>
        </is>
      </c>
    </row>
    <row r="881">
      <c r="A881" s="26" t="n">
        <v>311</v>
      </c>
      <c r="B881" s="5" t="inlineStr">
        <is>
          <t>Movilidad Física Saliente Estudiantes</t>
        </is>
      </c>
      <c r="C881" s="5" t="inlineStr">
        <is>
          <t>VISIBILIDAD NACIONAL E INTERNACIONAL</t>
        </is>
      </c>
      <c r="D881" s="5" t="inlineStr">
        <is>
          <t>Semestral</t>
        </is>
      </c>
      <c r="E881" s="5" t="inlineStr">
        <is>
          <t>Positivo</t>
        </is>
      </c>
      <c r="F881" s="107" t="n">
        <v>45473</v>
      </c>
      <c r="G881" s="5" t="n">
        <v>2024</v>
      </c>
      <c r="H881" s="5" t="inlineStr">
        <is>
          <t>Junio</t>
        </is>
      </c>
      <c r="I881" s="6" t="inlineStr">
        <is>
          <t>2024-1</t>
        </is>
      </c>
      <c r="J881" s="5" t="n">
        <v>100</v>
      </c>
      <c r="K881" s="5" t="n">
        <v>117.65</v>
      </c>
      <c r="L881" s="74">
        <f>IFERROR(IF(OR(J881=0,K881=""),"",IF(E881="Positivo",MIN(MAX(K881/J881,0),1.3),MIN(MAX(J881/K881,0),1.3))),"") </f>
        <v/>
      </c>
      <c r="M881" s="14">
        <f>IFERROR(IF(OR(J881=0,K881=""),"",IF(E881="Positivo",MAX(K881/J881,0),MAX(J881/K881,0))),"") </f>
        <v/>
      </c>
      <c r="N881" s="5" t="n"/>
      <c r="O881" s="5" t="n"/>
      <c r="P881" s="5" t="n">
        <v>0</v>
      </c>
      <c r="Q881" s="5" t="n">
        <v>0</v>
      </c>
      <c r="R881" s="5" t="inlineStr">
        <is>
          <t>311-2024-06-30</t>
        </is>
      </c>
    </row>
    <row r="882">
      <c r="A882" s="5" t="n">
        <v>311</v>
      </c>
      <c r="B882" s="5" t="inlineStr">
        <is>
          <t>Movilidad Física Saliente Estudiantes</t>
        </is>
      </c>
      <c r="C882" s="5" t="inlineStr">
        <is>
          <t>VISIBILIDAD NACIONAL E INTERNACIONAL</t>
        </is>
      </c>
      <c r="D882" s="5" t="inlineStr">
        <is>
          <t>Semestral</t>
        </is>
      </c>
      <c r="E882" s="5" t="inlineStr">
        <is>
          <t>Positivo</t>
        </is>
      </c>
      <c r="F882" s="107" t="n">
        <v>45657</v>
      </c>
      <c r="G882" s="5" t="n">
        <v>2024</v>
      </c>
      <c r="H882" s="5" t="inlineStr">
        <is>
          <t>Diciembre</t>
        </is>
      </c>
      <c r="I882" s="6" t="inlineStr">
        <is>
          <t>2024-2</t>
        </is>
      </c>
      <c r="J882" s="5" t="n">
        <v>100</v>
      </c>
      <c r="K882" s="5" t="n">
        <v>67.76000000000001</v>
      </c>
      <c r="L882" s="14">
        <f>IFERROR(IF(OR(J882=0,K882=""),"",IF(E882="Positivo",MIN(MAX(K882/J882,0),1.3),MIN(MAX(J882/K882,0),1.3))),"") </f>
        <v/>
      </c>
      <c r="M882" s="14">
        <f>IFERROR(IF(OR(J882=0,K882=""),"",IF(E882="Positivo",MAX(K882/J882,0),MAX(J882/K882,0))),"") </f>
        <v/>
      </c>
      <c r="N882" s="5" t="n"/>
      <c r="O882" s="5" t="n"/>
      <c r="P882" s="5" t="n">
        <v>0</v>
      </c>
      <c r="Q882" s="5" t="n">
        <v>0</v>
      </c>
      <c r="R882" s="5" t="inlineStr">
        <is>
          <t>311-2024-12-31</t>
        </is>
      </c>
    </row>
    <row r="883">
      <c r="A883" s="5" t="n">
        <v>312</v>
      </c>
      <c r="B883" s="5" t="inlineStr">
        <is>
          <t>Clases espejo</t>
        </is>
      </c>
      <c r="C883" s="5" t="inlineStr">
        <is>
          <t>VISIBILIDAD NACIONAL E INTERNACIONAL</t>
        </is>
      </c>
      <c r="D883" s="5" t="inlineStr">
        <is>
          <t>Semestral</t>
        </is>
      </c>
      <c r="E883" s="5" t="inlineStr">
        <is>
          <t>Positivo</t>
        </is>
      </c>
      <c r="F883" s="107" t="n">
        <v>45107</v>
      </c>
      <c r="G883" s="5" t="n">
        <v>2023</v>
      </c>
      <c r="H883" s="5" t="inlineStr">
        <is>
          <t>Junio</t>
        </is>
      </c>
      <c r="I883" s="6" t="inlineStr">
        <is>
          <t>2023-1</t>
        </is>
      </c>
      <c r="J883" s="5" t="n">
        <v>113</v>
      </c>
      <c r="K883" s="5" t="n">
        <v>125</v>
      </c>
      <c r="L883" s="14">
        <f>IFERROR(IF(OR(J883=0,K883=""),"",IF(E883="Positivo",MIN(MAX(K883/J883,0),1.3),MIN(MAX(J883/K883,0),1.3))),"") </f>
        <v/>
      </c>
      <c r="M883" s="14">
        <f>IFERROR(IF(OR(J883=0,K883=""),"",IF(E883="Positivo",MAX(K883/J883,0),MAX(J883/K883,0))),"") </f>
        <v/>
      </c>
      <c r="N883" s="5" t="n"/>
      <c r="O883" s="5" t="n"/>
      <c r="P883" s="5" t="n">
        <v>0</v>
      </c>
      <c r="Q883" s="5" t="n">
        <v>0</v>
      </c>
      <c r="R883" s="5" t="inlineStr">
        <is>
          <t>312-2023-06-30</t>
        </is>
      </c>
    </row>
    <row r="884">
      <c r="A884" s="26" t="n">
        <v>312</v>
      </c>
      <c r="B884" s="5" t="inlineStr">
        <is>
          <t>Clases espejo</t>
        </is>
      </c>
      <c r="C884" s="5" t="inlineStr">
        <is>
          <t>VISIBILIDAD NACIONAL E INTERNACIONAL</t>
        </is>
      </c>
      <c r="D884" s="5" t="inlineStr">
        <is>
          <t>Semestral</t>
        </is>
      </c>
      <c r="E884" s="5" t="inlineStr">
        <is>
          <t>Positivo</t>
        </is>
      </c>
      <c r="F884" s="107" t="n">
        <v>45291</v>
      </c>
      <c r="G884" s="5" t="n">
        <v>2023</v>
      </c>
      <c r="H884" s="5" t="inlineStr">
        <is>
          <t>Diciembre</t>
        </is>
      </c>
      <c r="I884" s="6" t="inlineStr">
        <is>
          <t>2023-2</t>
        </is>
      </c>
      <c r="J884" s="5" t="n">
        <v>108</v>
      </c>
      <c r="K884" s="5" t="n">
        <v>118</v>
      </c>
      <c r="L884" s="74">
        <f>IFERROR(IF(OR(J884=0,K884=""),"",IF(E884="Positivo",MIN(MAX(K884/J884,0),1.3),MIN(MAX(J884/K884,0),1.3))),"") </f>
        <v/>
      </c>
      <c r="M884" s="14">
        <f>IFERROR(IF(OR(J884=0,K884=""),"",IF(E884="Positivo",MAX(K884/J884,0),MAX(J884/K884,0))),"") </f>
        <v/>
      </c>
      <c r="N884" s="5" t="n"/>
      <c r="O884" s="5" t="n"/>
      <c r="P884" s="5" t="n">
        <v>0</v>
      </c>
      <c r="Q884" s="5" t="n">
        <v>0</v>
      </c>
      <c r="R884" s="5" t="inlineStr">
        <is>
          <t>312-2023-12-31</t>
        </is>
      </c>
    </row>
    <row r="885">
      <c r="A885" s="5" t="n">
        <v>312</v>
      </c>
      <c r="B885" s="5" t="inlineStr">
        <is>
          <t>Clases espejo</t>
        </is>
      </c>
      <c r="C885" s="5" t="inlineStr">
        <is>
          <t>VISIBILIDAD NACIONAL E INTERNACIONAL</t>
        </is>
      </c>
      <c r="D885" s="5" t="inlineStr">
        <is>
          <t>Semestral</t>
        </is>
      </c>
      <c r="E885" s="5" t="inlineStr">
        <is>
          <t>Positivo</t>
        </is>
      </c>
      <c r="F885" s="107" t="n">
        <v>45473</v>
      </c>
      <c r="G885" s="5" t="n">
        <v>2024</v>
      </c>
      <c r="H885" s="5" t="inlineStr">
        <is>
          <t>Junio</t>
        </is>
      </c>
      <c r="I885" s="6" t="inlineStr">
        <is>
          <t>2024-1</t>
        </is>
      </c>
      <c r="J885" s="5" t="n">
        <v>100</v>
      </c>
      <c r="K885" s="5" t="n">
        <v>126</v>
      </c>
      <c r="L885" s="14">
        <f>IFERROR(IF(OR(J885=0,K885=""),"",IF(E885="Positivo",MIN(MAX(K885/J885,0),1.3),MIN(MAX(J885/K885,0),1.3))),"") </f>
        <v/>
      </c>
      <c r="M885" s="14">
        <f>IFERROR(IF(OR(J885=0,K885=""),"",IF(E885="Positivo",MAX(K885/J885,0),MAX(J885/K885,0))),"") </f>
        <v/>
      </c>
      <c r="N885" s="5" t="n"/>
      <c r="O885" s="5" t="n"/>
      <c r="P885" s="5" t="n">
        <v>0</v>
      </c>
      <c r="Q885" s="5" t="n">
        <v>0</v>
      </c>
      <c r="R885" s="5" t="inlineStr">
        <is>
          <t>312-2024-06-30</t>
        </is>
      </c>
    </row>
    <row r="886">
      <c r="A886" s="5" t="n">
        <v>312</v>
      </c>
      <c r="B886" s="5" t="inlineStr">
        <is>
          <t>Clases espejo</t>
        </is>
      </c>
      <c r="C886" s="5" t="inlineStr">
        <is>
          <t>VISIBILIDAD NACIONAL E INTERNACIONAL</t>
        </is>
      </c>
      <c r="D886" s="5" t="inlineStr">
        <is>
          <t>Semestral</t>
        </is>
      </c>
      <c r="E886" s="5" t="inlineStr">
        <is>
          <t>Positivo</t>
        </is>
      </c>
      <c r="F886" s="107" t="n">
        <v>45657</v>
      </c>
      <c r="G886" s="5" t="n">
        <v>2024</v>
      </c>
      <c r="H886" s="5" t="inlineStr">
        <is>
          <t>Diciembre</t>
        </is>
      </c>
      <c r="I886" s="6" t="inlineStr">
        <is>
          <t>2024-2</t>
        </is>
      </c>
      <c r="J886" s="5" t="n">
        <v>100</v>
      </c>
      <c r="K886" s="5" t="n">
        <v>137</v>
      </c>
      <c r="L886" s="14">
        <f>IFERROR(IF(OR(J886=0,K886=""),"",IF(E886="Positivo",MIN(MAX(K886/J886,0),1.3),MIN(MAX(J886/K886,0),1.3))),"") </f>
        <v/>
      </c>
      <c r="M886" s="14">
        <f>IFERROR(IF(OR(J886=0,K886=""),"",IF(E886="Positivo",MAX(K886/J886,0),MAX(J886/K886,0))),"") </f>
        <v/>
      </c>
      <c r="N886" s="5" t="n"/>
      <c r="O886" s="5" t="n"/>
      <c r="P886" s="5" t="n">
        <v>0</v>
      </c>
      <c r="Q886" s="5" t="n">
        <v>0</v>
      </c>
      <c r="R886" s="5" t="inlineStr">
        <is>
          <t>312-2024-12-31</t>
        </is>
      </c>
    </row>
    <row r="887">
      <c r="A887" s="26" t="n">
        <v>313</v>
      </c>
      <c r="B887" s="5" t="inlineStr">
        <is>
          <t>Seminarios y cursos internacionales virtuales impartidos y certificados por entidades externas</t>
        </is>
      </c>
      <c r="C887" s="5" t="inlineStr">
        <is>
          <t>VISIBILIDAD NACIONAL E INTERNACIONAL</t>
        </is>
      </c>
      <c r="D887" s="5" t="inlineStr">
        <is>
          <t>Semestral</t>
        </is>
      </c>
      <c r="E887" s="5" t="inlineStr">
        <is>
          <t>Positivo</t>
        </is>
      </c>
      <c r="F887" s="107" t="n">
        <v>45107</v>
      </c>
      <c r="G887" s="5" t="n">
        <v>2023</v>
      </c>
      <c r="H887" s="5" t="inlineStr">
        <is>
          <t>Junio</t>
        </is>
      </c>
      <c r="I887" s="6" t="inlineStr">
        <is>
          <t>2023-1</t>
        </is>
      </c>
      <c r="J887" s="5" t="n">
        <v>13</v>
      </c>
      <c r="K887" s="5" t="n">
        <v>13</v>
      </c>
      <c r="L887" s="74">
        <f>IFERROR(IF(OR(J887=0,K887=""),"",IF(E887="Positivo",MIN(MAX(K887/J887,0),1.3),MIN(MAX(J887/K887,0),1.3))),"") </f>
        <v/>
      </c>
      <c r="M887" s="14">
        <f>IFERROR(IF(OR(J887=0,K887=""),"",IF(E887="Positivo",MAX(K887/J887,0),MAX(J887/K887,0))),"") </f>
        <v/>
      </c>
      <c r="N887" s="5" t="n"/>
      <c r="O887" s="5" t="n"/>
      <c r="P887" s="5" t="n">
        <v>0</v>
      </c>
      <c r="Q887" s="5" t="n">
        <v>0</v>
      </c>
      <c r="R887" s="5" t="inlineStr">
        <is>
          <t>313-2023-06-30</t>
        </is>
      </c>
    </row>
    <row r="888">
      <c r="A888" s="5" t="n">
        <v>313</v>
      </c>
      <c r="B888" s="5" t="inlineStr">
        <is>
          <t>Seminarios y cursos internacionales virtuales impartidos y certificados por entidades externas</t>
        </is>
      </c>
      <c r="C888" s="5" t="inlineStr">
        <is>
          <t>VISIBILIDAD NACIONAL E INTERNACIONAL</t>
        </is>
      </c>
      <c r="D888" s="5" t="inlineStr">
        <is>
          <t>Semestral</t>
        </is>
      </c>
      <c r="E888" s="5" t="inlineStr">
        <is>
          <t>Positivo</t>
        </is>
      </c>
      <c r="F888" s="107" t="n">
        <v>45291</v>
      </c>
      <c r="G888" s="5" t="n">
        <v>2023</v>
      </c>
      <c r="H888" s="5" t="inlineStr">
        <is>
          <t>Diciembre</t>
        </is>
      </c>
      <c r="I888" s="6" t="inlineStr">
        <is>
          <t>2023-2</t>
        </is>
      </c>
      <c r="J888" s="5" t="n">
        <v>15</v>
      </c>
      <c r="K888" s="5" t="n">
        <v>12</v>
      </c>
      <c r="L888" s="14">
        <f>IFERROR(IF(OR(J888=0,K888=""),"",IF(E888="Positivo",MIN(MAX(K888/J888,0),1.3),MIN(MAX(J888/K888,0),1.3))),"") </f>
        <v/>
      </c>
      <c r="M888" s="14">
        <f>IFERROR(IF(OR(J888=0,K888=""),"",IF(E888="Positivo",MAX(K888/J888,0),MAX(J888/K888,0))),"") </f>
        <v/>
      </c>
      <c r="N888" s="5" t="n"/>
      <c r="O888" s="5" t="n"/>
      <c r="P888" s="5" t="n">
        <v>0</v>
      </c>
      <c r="Q888" s="5" t="n">
        <v>0</v>
      </c>
      <c r="R888" s="5" t="inlineStr">
        <is>
          <t>313-2023-12-31</t>
        </is>
      </c>
    </row>
    <row r="889">
      <c r="A889" s="5" t="n">
        <v>313</v>
      </c>
      <c r="B889" s="5" t="inlineStr">
        <is>
          <t>Seminarios y cursos internacionales virtuales impartidos y certificados por entidades externas</t>
        </is>
      </c>
      <c r="C889" s="5" t="inlineStr">
        <is>
          <t>VISIBILIDAD NACIONAL E INTERNACIONAL</t>
        </is>
      </c>
      <c r="D889" s="5" t="inlineStr">
        <is>
          <t>Semestral</t>
        </is>
      </c>
      <c r="E889" s="5" t="inlineStr">
        <is>
          <t>Positivo</t>
        </is>
      </c>
      <c r="F889" s="107" t="n">
        <v>45473</v>
      </c>
      <c r="G889" s="5" t="n">
        <v>2024</v>
      </c>
      <c r="H889" s="5" t="inlineStr">
        <is>
          <t>Junio</t>
        </is>
      </c>
      <c r="I889" s="6" t="inlineStr">
        <is>
          <t>2024-1</t>
        </is>
      </c>
      <c r="J889" s="5" t="n">
        <v>100</v>
      </c>
      <c r="K889" s="5" t="n">
        <v>100</v>
      </c>
      <c r="L889" s="14">
        <f>IFERROR(IF(OR(J889=0,K889=""),"",IF(E889="Positivo",MIN(MAX(K889/J889,0),1.3),MIN(MAX(J889/K889,0),1.3))),"") </f>
        <v/>
      </c>
      <c r="M889" s="14">
        <f>IFERROR(IF(OR(J889=0,K889=""),"",IF(E889="Positivo",MAX(K889/J889,0),MAX(J889/K889,0))),"") </f>
        <v/>
      </c>
      <c r="N889" s="5" t="n"/>
      <c r="O889" s="5" t="n"/>
      <c r="P889" s="5" t="n">
        <v>0</v>
      </c>
      <c r="Q889" s="5" t="n">
        <v>0</v>
      </c>
      <c r="R889" s="5" t="inlineStr">
        <is>
          <t>313-2024-06-30</t>
        </is>
      </c>
    </row>
    <row r="890">
      <c r="A890" s="26" t="n">
        <v>313</v>
      </c>
      <c r="B890" s="5" t="inlineStr">
        <is>
          <t>Seminarios y cursos internacionales virtuales impartidos y certificados por entidades externas</t>
        </is>
      </c>
      <c r="C890" s="5" t="inlineStr">
        <is>
          <t>VISIBILIDAD NACIONAL E INTERNACIONAL</t>
        </is>
      </c>
      <c r="D890" s="5" t="inlineStr">
        <is>
          <t>Semestral</t>
        </is>
      </c>
      <c r="E890" s="5" t="inlineStr">
        <is>
          <t>Positivo</t>
        </is>
      </c>
      <c r="F890" s="107" t="n">
        <v>45657</v>
      </c>
      <c r="G890" s="5" t="n">
        <v>2024</v>
      </c>
      <c r="H890" s="5" t="inlineStr">
        <is>
          <t>Diciembre</t>
        </is>
      </c>
      <c r="I890" s="6" t="inlineStr">
        <is>
          <t>2024-2</t>
        </is>
      </c>
      <c r="J890" s="5" t="n">
        <v>100</v>
      </c>
      <c r="K890" s="5" t="n">
        <v>100</v>
      </c>
      <c r="L890" s="74">
        <f>IFERROR(IF(OR(J890=0,K890=""),"",IF(E890="Positivo",MIN(MAX(K890/J890,0),1.3),MIN(MAX(J890/K890,0),1.3))),"") </f>
        <v/>
      </c>
      <c r="M890" s="14">
        <f>IFERROR(IF(OR(J890=0,K890=""),"",IF(E890="Positivo",MAX(K890/J890,0),MAX(J890/K890,0))),"") </f>
        <v/>
      </c>
      <c r="N890" s="5" t="n"/>
      <c r="O890" s="5" t="n"/>
      <c r="P890" s="5" t="n">
        <v>0</v>
      </c>
      <c r="Q890" s="5" t="n">
        <v>0</v>
      </c>
      <c r="R890" s="5" t="inlineStr">
        <is>
          <t>313-2024-12-31</t>
        </is>
      </c>
    </row>
    <row r="891">
      <c r="A891" s="5" t="n">
        <v>314</v>
      </c>
      <c r="B891" s="5" t="inlineStr">
        <is>
          <t>N de asignaturas COIL - (Collaborative Online International Learning)</t>
        </is>
      </c>
      <c r="C891" s="5" t="inlineStr">
        <is>
          <t>VISIBILIDAD NACIONAL E INTERNACIONAL</t>
        </is>
      </c>
      <c r="D891" s="5" t="inlineStr">
        <is>
          <t>Semestral</t>
        </is>
      </c>
      <c r="E891" s="5" t="inlineStr">
        <is>
          <t>Positivo</t>
        </is>
      </c>
      <c r="F891" s="107" t="n">
        <v>45107</v>
      </c>
      <c r="G891" s="5" t="n">
        <v>2023</v>
      </c>
      <c r="H891" s="5" t="inlineStr">
        <is>
          <t>Junio</t>
        </is>
      </c>
      <c r="I891" s="6" t="inlineStr">
        <is>
          <t>2023-1</t>
        </is>
      </c>
      <c r="J891" s="5" t="n">
        <v>9</v>
      </c>
      <c r="K891" s="5" t="n">
        <v>13</v>
      </c>
      <c r="L891" s="14">
        <f>IFERROR(IF(OR(J891=0,K891=""),"",IF(E891="Positivo",MIN(MAX(K891/J891,0),1.3),MIN(MAX(J891/K891,0),1.3))),"") </f>
        <v/>
      </c>
      <c r="M891" s="14">
        <f>IFERROR(IF(OR(J891=0,K891=""),"",IF(E891="Positivo",MAX(K891/J891,0),MAX(J891/K891,0))),"") </f>
        <v/>
      </c>
      <c r="N891" s="5" t="n"/>
      <c r="O891" s="5" t="n"/>
      <c r="P891" s="5" t="n">
        <v>0</v>
      </c>
      <c r="Q891" s="5" t="n">
        <v>0</v>
      </c>
      <c r="R891" s="5" t="inlineStr">
        <is>
          <t>314-2023-06-30</t>
        </is>
      </c>
    </row>
    <row r="892">
      <c r="A892" s="5" t="n">
        <v>314</v>
      </c>
      <c r="B892" s="5" t="inlineStr">
        <is>
          <t>N de asignaturas COIL - (Collaborative Online International Learning)</t>
        </is>
      </c>
      <c r="C892" s="5" t="inlineStr">
        <is>
          <t>VISIBILIDAD NACIONAL E INTERNACIONAL</t>
        </is>
      </c>
      <c r="D892" s="5" t="inlineStr">
        <is>
          <t>Semestral</t>
        </is>
      </c>
      <c r="E892" s="5" t="inlineStr">
        <is>
          <t>Positivo</t>
        </is>
      </c>
      <c r="F892" s="107" t="n">
        <v>45291</v>
      </c>
      <c r="G892" s="5" t="n">
        <v>2023</v>
      </c>
      <c r="H892" s="5" t="inlineStr">
        <is>
          <t>Diciembre</t>
        </is>
      </c>
      <c r="I892" s="6" t="inlineStr">
        <is>
          <t>2023-2</t>
        </is>
      </c>
      <c r="J892" s="5" t="n">
        <v>14</v>
      </c>
      <c r="K892" s="5" t="n">
        <v>16</v>
      </c>
      <c r="L892" s="14">
        <f>IFERROR(IF(OR(J892=0,K892=""),"",IF(E892="Positivo",MIN(MAX(K892/J892,0),1.3),MIN(MAX(J892/K892,0),1.3))),"") </f>
        <v/>
      </c>
      <c r="M892" s="14">
        <f>IFERROR(IF(OR(J892=0,K892=""),"",IF(E892="Positivo",MAX(K892/J892,0),MAX(J892/K892,0))),"") </f>
        <v/>
      </c>
      <c r="N892" s="5" t="n"/>
      <c r="O892" s="5" t="n"/>
      <c r="P892" s="5" t="n">
        <v>0</v>
      </c>
      <c r="Q892" s="5" t="n">
        <v>0</v>
      </c>
      <c r="R892" s="5" t="inlineStr">
        <is>
          <t>314-2023-12-31</t>
        </is>
      </c>
    </row>
    <row r="893">
      <c r="A893" s="26" t="n">
        <v>314</v>
      </c>
      <c r="B893" s="5" t="inlineStr">
        <is>
          <t>N de asignaturas COIL - (Collaborative Online International Learning)</t>
        </is>
      </c>
      <c r="C893" s="5" t="inlineStr">
        <is>
          <t>VISIBILIDAD NACIONAL E INTERNACIONAL</t>
        </is>
      </c>
      <c r="D893" s="5" t="inlineStr">
        <is>
          <t>Semestral</t>
        </is>
      </c>
      <c r="E893" s="5" t="inlineStr">
        <is>
          <t>Positivo</t>
        </is>
      </c>
      <c r="F893" s="107" t="n">
        <v>45473</v>
      </c>
      <c r="G893" s="5" t="n">
        <v>2024</v>
      </c>
      <c r="H893" s="5" t="inlineStr">
        <is>
          <t>Junio</t>
        </is>
      </c>
      <c r="I893" s="6" t="inlineStr">
        <is>
          <t>2024-1</t>
        </is>
      </c>
      <c r="J893" s="5" t="n">
        <v>100</v>
      </c>
      <c r="K893" s="5" t="n">
        <v>140</v>
      </c>
      <c r="L893" s="74">
        <f>IFERROR(IF(OR(J893=0,K893=""),"",IF(E893="Positivo",MIN(MAX(K893/J893,0),1.3),MIN(MAX(J893/K893,0),1.3))),"") </f>
        <v/>
      </c>
      <c r="M893" s="14">
        <f>IFERROR(IF(OR(J893=0,K893=""),"",IF(E893="Positivo",MAX(K893/J893,0),MAX(J893/K893,0))),"") </f>
        <v/>
      </c>
      <c r="N893" s="5" t="n"/>
      <c r="O893" s="5" t="n"/>
      <c r="P893" s="5" t="n">
        <v>0</v>
      </c>
      <c r="Q893" s="5" t="n">
        <v>0</v>
      </c>
      <c r="R893" s="5" t="inlineStr">
        <is>
          <t>314-2024-06-30</t>
        </is>
      </c>
    </row>
    <row r="894">
      <c r="A894" s="26" t="n">
        <v>314</v>
      </c>
      <c r="B894" s="5" t="inlineStr">
        <is>
          <t>N de asignaturas COIL - (Collaborative Online International Learning)</t>
        </is>
      </c>
      <c r="C894" s="5" t="inlineStr">
        <is>
          <t>VISIBILIDAD NACIONAL E INTERNACIONAL</t>
        </is>
      </c>
      <c r="D894" s="5" t="inlineStr">
        <is>
          <t>Semestral</t>
        </is>
      </c>
      <c r="E894" s="5" t="inlineStr">
        <is>
          <t>Positivo</t>
        </is>
      </c>
      <c r="F894" s="107" t="n">
        <v>45657</v>
      </c>
      <c r="G894" s="5" t="n">
        <v>2024</v>
      </c>
      <c r="H894" s="5" t="inlineStr">
        <is>
          <t>Diciembre</t>
        </is>
      </c>
      <c r="I894" s="6" t="inlineStr">
        <is>
          <t>2024-2</t>
        </is>
      </c>
      <c r="J894" s="5" t="n">
        <v>100</v>
      </c>
      <c r="K894" s="5" t="n">
        <v>145</v>
      </c>
      <c r="L894" s="74">
        <f>IFERROR(IF(OR(J894=0,K894=""),"",IF(E894="Positivo",MIN(MAX(K894/J894,0),1.3),MIN(MAX(J894/K894,0),1.3))),"") </f>
        <v/>
      </c>
      <c r="M894" s="14">
        <f>IFERROR(IF(OR(J894=0,K894=""),"",IF(E894="Positivo",MAX(K894/J894,0),MAX(J894/K894,0))),"") </f>
        <v/>
      </c>
      <c r="N894" s="5" t="n"/>
      <c r="O894" s="5" t="n"/>
      <c r="P894" s="5" t="n">
        <v>0</v>
      </c>
      <c r="Q894" s="5" t="n">
        <v>0</v>
      </c>
      <c r="R894" s="5" t="inlineStr">
        <is>
          <t>314-2024-12-31</t>
        </is>
      </c>
    </row>
    <row r="895">
      <c r="A895" s="5" t="n">
        <v>315</v>
      </c>
      <c r="B895" s="5" t="inlineStr">
        <is>
          <t>Convenios con doble titulación</t>
        </is>
      </c>
      <c r="C895" s="5" t="inlineStr">
        <is>
          <t>VISIBILIDAD NACIONAL E INTERNACIONAL</t>
        </is>
      </c>
      <c r="D895" s="5" t="inlineStr">
        <is>
          <t>Semestral</t>
        </is>
      </c>
      <c r="E895" s="5" t="inlineStr">
        <is>
          <t>Positivo</t>
        </is>
      </c>
      <c r="F895" s="107" t="n">
        <v>45107</v>
      </c>
      <c r="G895" s="5" t="n">
        <v>2023</v>
      </c>
      <c r="H895" s="5" t="inlineStr">
        <is>
          <t>Junio</t>
        </is>
      </c>
      <c r="I895" s="6" t="inlineStr">
        <is>
          <t>2023-1</t>
        </is>
      </c>
      <c r="J895" s="5" t="n">
        <v>5</v>
      </c>
      <c r="K895" s="5" t="n">
        <v>7</v>
      </c>
      <c r="L895" s="14">
        <f>IFERROR(IF(OR(J895=0,K895=""),"",IF(E895="Positivo",MIN(MAX(K895/J895,0),1.3),MIN(MAX(J895/K895,0),1.3))),"") </f>
        <v/>
      </c>
      <c r="M895" s="14">
        <f>IFERROR(IF(OR(J895=0,K895=""),"",IF(E895="Positivo",MAX(K895/J895,0),MAX(J895/K895,0))),"") </f>
        <v/>
      </c>
      <c r="N895" s="5" t="n"/>
      <c r="O895" s="5" t="n"/>
      <c r="P895" s="5" t="n">
        <v>0</v>
      </c>
      <c r="Q895" s="5" t="n">
        <v>0</v>
      </c>
      <c r="R895" s="5" t="inlineStr">
        <is>
          <t>315-2023-06-30</t>
        </is>
      </c>
    </row>
    <row r="896">
      <c r="A896" s="5" t="n">
        <v>315</v>
      </c>
      <c r="B896" s="5" t="inlineStr">
        <is>
          <t>Convenios con doble titulación</t>
        </is>
      </c>
      <c r="C896" s="5" t="inlineStr">
        <is>
          <t>VISIBILIDAD NACIONAL E INTERNACIONAL</t>
        </is>
      </c>
      <c r="D896" s="5" t="inlineStr">
        <is>
          <t>Semestral</t>
        </is>
      </c>
      <c r="E896" s="5" t="inlineStr">
        <is>
          <t>Positivo</t>
        </is>
      </c>
      <c r="F896" s="107" t="n">
        <v>45291</v>
      </c>
      <c r="G896" s="5" t="n">
        <v>2023</v>
      </c>
      <c r="H896" s="5" t="inlineStr">
        <is>
          <t>Diciembre</t>
        </is>
      </c>
      <c r="I896" s="6" t="inlineStr">
        <is>
          <t>2023-2</t>
        </is>
      </c>
      <c r="J896" s="5" t="n">
        <v>0</v>
      </c>
      <c r="K896" s="5" t="n">
        <v>0</v>
      </c>
      <c r="L896" s="14">
        <f>IFERROR(IF(OR(J896=0,K896=""),"",IF(E896="Positivo",MIN(MAX(K896/J896,0),1.3),MIN(MAX(J896/K896,0),1.3))),"") </f>
        <v/>
      </c>
      <c r="M896" s="14">
        <f>IFERROR(IF(OR(J896=0,K896=""),"",IF(E896="Positivo",MAX(K896/J896,0),MAX(J896/K896,0))),"") </f>
        <v/>
      </c>
      <c r="N896" s="5" t="n"/>
      <c r="O896" s="5" t="n"/>
      <c r="P896" s="5" t="n">
        <v>0</v>
      </c>
      <c r="Q896" s="5" t="n">
        <v>0</v>
      </c>
      <c r="R896" s="5" t="inlineStr">
        <is>
          <t>315-2023-12-31</t>
        </is>
      </c>
    </row>
    <row r="897">
      <c r="A897" s="26" t="n">
        <v>315</v>
      </c>
      <c r="B897" s="5" t="inlineStr">
        <is>
          <t>Num de programas con convenios de doble titulación</t>
        </is>
      </c>
      <c r="C897" s="5" t="inlineStr">
        <is>
          <t>VISIBILIDAD NACIONAL E INTERNACIONAL</t>
        </is>
      </c>
      <c r="D897" s="5" t="inlineStr">
        <is>
          <t>Semestral</t>
        </is>
      </c>
      <c r="E897" s="5" t="inlineStr">
        <is>
          <t>Positivo</t>
        </is>
      </c>
      <c r="F897" s="107" t="n">
        <v>45473</v>
      </c>
      <c r="G897" s="5" t="n">
        <v>2024</v>
      </c>
      <c r="H897" s="5" t="inlineStr">
        <is>
          <t>Junio</t>
        </is>
      </c>
      <c r="I897" s="6" t="inlineStr">
        <is>
          <t>2024-1</t>
        </is>
      </c>
      <c r="J897" s="5" t="n"/>
      <c r="K897" s="5" t="n"/>
      <c r="L897" s="74" t="n"/>
      <c r="M897" s="14" t="n"/>
      <c r="N897" s="5" t="n"/>
      <c r="O897" s="5" t="n"/>
      <c r="P897" s="5" t="n">
        <v>0</v>
      </c>
      <c r="Q897" s="5" t="n">
        <v>0</v>
      </c>
      <c r="R897" s="5" t="inlineStr">
        <is>
          <t>315-2024-06-30</t>
        </is>
      </c>
    </row>
    <row r="898">
      <c r="A898" s="28" t="n">
        <v>315</v>
      </c>
      <c r="B898" s="5" t="inlineStr">
        <is>
          <t>Num de programas con convenios de doble titulación</t>
        </is>
      </c>
      <c r="C898" s="5" t="inlineStr">
        <is>
          <t>VISIBILIDAD NACIONAL E INTERNACIONAL</t>
        </is>
      </c>
      <c r="D898" s="5" t="inlineStr">
        <is>
          <t>Semestral</t>
        </is>
      </c>
      <c r="E898" s="5" t="inlineStr">
        <is>
          <t>Positivo</t>
        </is>
      </c>
      <c r="F898" s="107" t="n">
        <v>45657</v>
      </c>
      <c r="G898" s="5" t="n">
        <v>2024</v>
      </c>
      <c r="H898" s="5" t="inlineStr">
        <is>
          <t>Diciembre</t>
        </is>
      </c>
      <c r="I898" s="6" t="inlineStr">
        <is>
          <t>2024-2</t>
        </is>
      </c>
      <c r="J898" s="5" t="n"/>
      <c r="K898" s="5" t="n"/>
      <c r="L898" s="74" t="n"/>
      <c r="M898" s="14" t="n"/>
      <c r="N898" s="5" t="n"/>
      <c r="O898" s="5" t="n"/>
      <c r="P898" s="5" t="n">
        <v>0</v>
      </c>
      <c r="Q898" s="5" t="n">
        <v>0</v>
      </c>
      <c r="R898" s="5" t="inlineStr">
        <is>
          <t>315-2024-12-31</t>
        </is>
      </c>
    </row>
    <row r="899">
      <c r="A899" s="26" t="n">
        <v>316</v>
      </c>
      <c r="B899" s="5" t="inlineStr">
        <is>
          <t>Asignaturas con sesiones en segundo idioma</t>
        </is>
      </c>
      <c r="C899" s="5" t="inlineStr">
        <is>
          <t>VISIBILIDAD NACIONAL E INTERNACIONAL</t>
        </is>
      </c>
      <c r="D899" s="5" t="inlineStr">
        <is>
          <t>Semestral</t>
        </is>
      </c>
      <c r="E899" s="5" t="inlineStr">
        <is>
          <t>Positivo</t>
        </is>
      </c>
      <c r="F899" s="107" t="n">
        <v>45107</v>
      </c>
      <c r="G899" s="5" t="n">
        <v>2023</v>
      </c>
      <c r="H899" s="5" t="inlineStr">
        <is>
          <t>Junio</t>
        </is>
      </c>
      <c r="I899" s="6" t="inlineStr">
        <is>
          <t>2023-1</t>
        </is>
      </c>
      <c r="J899" s="5" t="n">
        <v>9</v>
      </c>
      <c r="K899" s="5" t="n">
        <v>11</v>
      </c>
      <c r="L899" s="74">
        <f>IFERROR(IF(OR(J899=0,K899=""),"",IF(E899="Positivo",MIN(MAX(K899/J899,0),1.3),MIN(MAX(J899/K899,0),1.3))),"") </f>
        <v/>
      </c>
      <c r="M899" s="14">
        <f>IFERROR(IF(OR(J899=0,K899=""),"",IF(E899="Positivo",MAX(K899/J899,0),MAX(J899/K899,0))),"") </f>
        <v/>
      </c>
      <c r="N899" s="5" t="n"/>
      <c r="O899" s="5" t="n"/>
      <c r="P899" s="5" t="n">
        <v>0</v>
      </c>
      <c r="Q899" s="5" t="n">
        <v>0</v>
      </c>
      <c r="R899" s="5" t="inlineStr">
        <is>
          <t>316-2023-06-30</t>
        </is>
      </c>
    </row>
    <row r="900">
      <c r="A900" s="26" t="n">
        <v>316</v>
      </c>
      <c r="B900" s="5" t="inlineStr">
        <is>
          <t>Asignaturas con sesiones en segundo idioma</t>
        </is>
      </c>
      <c r="C900" s="5" t="inlineStr">
        <is>
          <t>VISIBILIDAD NACIONAL E INTERNACIONAL</t>
        </is>
      </c>
      <c r="D900" s="5" t="inlineStr">
        <is>
          <t>Semestral</t>
        </is>
      </c>
      <c r="E900" s="5" t="inlineStr">
        <is>
          <t>Positivo</t>
        </is>
      </c>
      <c r="F900" s="107" t="n">
        <v>45291</v>
      </c>
      <c r="G900" s="5" t="n">
        <v>2023</v>
      </c>
      <c r="H900" s="5" t="inlineStr">
        <is>
          <t>Diciembre</t>
        </is>
      </c>
      <c r="I900" s="6" t="inlineStr">
        <is>
          <t>2023-2</t>
        </is>
      </c>
      <c r="J900" s="5" t="n">
        <v>12</v>
      </c>
      <c r="K900" s="5" t="n">
        <v>11</v>
      </c>
      <c r="L900" s="74">
        <f>IFERROR(IF(OR(J900=0,K900=""),"",IF(E900="Positivo",MIN(MAX(K900/J900,0),1.3),MIN(MAX(J900/K900,0),1.3))),"") </f>
        <v/>
      </c>
      <c r="M900" s="14">
        <f>IFERROR(IF(OR(J900=0,K900=""),"",IF(E900="Positivo",MAX(K900/J900,0),MAX(J900/K900,0))),"") </f>
        <v/>
      </c>
      <c r="N900" s="5" t="n"/>
      <c r="O900" s="5" t="n"/>
      <c r="P900" s="5" t="n">
        <v>0</v>
      </c>
      <c r="Q900" s="5" t="n">
        <v>0</v>
      </c>
      <c r="R900" s="5" t="inlineStr">
        <is>
          <t>316-2023-12-31</t>
        </is>
      </c>
    </row>
    <row r="901">
      <c r="A901" s="5" t="n">
        <v>317</v>
      </c>
      <c r="B901" s="5" t="inlineStr">
        <is>
          <t>Plan De Internacionalización A 7 Años</t>
        </is>
      </c>
      <c r="C901" s="5" t="inlineStr">
        <is>
          <t>VISIBILIDAD NACIONAL E INTERNACIONAL</t>
        </is>
      </c>
      <c r="D901" s="5" t="inlineStr">
        <is>
          <t>Anual</t>
        </is>
      </c>
      <c r="E901" s="5" t="inlineStr">
        <is>
          <t>Positivo</t>
        </is>
      </c>
      <c r="F901" s="107" t="n">
        <v>45291</v>
      </c>
      <c r="G901" s="5" t="n">
        <v>2023</v>
      </c>
      <c r="H901" s="5" t="inlineStr">
        <is>
          <t>Diciembre</t>
        </is>
      </c>
      <c r="I901" s="6" t="inlineStr">
        <is>
          <t>2023-2</t>
        </is>
      </c>
      <c r="J901" s="5" t="n">
        <v>12</v>
      </c>
      <c r="K901" s="5" t="n">
        <v>12</v>
      </c>
      <c r="L901" s="14">
        <f>IFERROR(IF(OR(J901=0,K901=""),"",IF(E901="Positivo",MIN(MAX(K901/J901,0),1.3),MIN(MAX(J901/K901,0),1.3))),"") </f>
        <v/>
      </c>
      <c r="M901" s="14">
        <f>IFERROR(IF(OR(J901=0,K901=""),"",IF(E901="Positivo",MAX(K901/J901,0),MAX(J901/K901,0))),"") </f>
        <v/>
      </c>
      <c r="N901" s="5" t="n"/>
      <c r="O901" s="5" t="n"/>
      <c r="P901" s="5" t="n">
        <v>0</v>
      </c>
      <c r="Q901" s="5" t="n">
        <v>0</v>
      </c>
      <c r="R901" s="5" t="inlineStr">
        <is>
          <t>317-2023-12-31</t>
        </is>
      </c>
    </row>
    <row r="902">
      <c r="A902" s="26" t="n">
        <v>317</v>
      </c>
      <c r="B902" s="5" t="inlineStr">
        <is>
          <t>Plan De Internacionalización A 7 Años</t>
        </is>
      </c>
      <c r="C902" s="5" t="inlineStr">
        <is>
          <t>VISIBILIDAD NACIONAL E INTERNACIONAL</t>
        </is>
      </c>
      <c r="D902" s="5" t="inlineStr">
        <is>
          <t>Anual</t>
        </is>
      </c>
      <c r="E902" s="5" t="inlineStr">
        <is>
          <t>Positivo</t>
        </is>
      </c>
      <c r="F902" s="107" t="n">
        <v>45657</v>
      </c>
      <c r="G902" s="5" t="n">
        <v>2024</v>
      </c>
      <c r="H902" s="5" t="inlineStr">
        <is>
          <t>Diciembre</t>
        </is>
      </c>
      <c r="I902" s="6" t="inlineStr">
        <is>
          <t>2024-2</t>
        </is>
      </c>
      <c r="J902" s="5" t="n">
        <v>100</v>
      </c>
      <c r="K902" s="5" t="n">
        <v>100</v>
      </c>
      <c r="L902" s="74">
        <f>IFERROR(IF(OR(J902=0,K902=""),"",IF(E902="Positivo",MIN(MAX(K902/J902,0),1.3),MIN(MAX(J902/K902,0),1.3))),"") </f>
        <v/>
      </c>
      <c r="M902" s="14">
        <f>IFERROR(IF(OR(J902=0,K902=""),"",IF(E902="Positivo",MAX(K902/J902,0),MAX(J902/K902,0))),"") </f>
        <v/>
      </c>
      <c r="N902" s="5" t="n"/>
      <c r="O902" s="5" t="n"/>
      <c r="P902" s="5" t="n">
        <v>0</v>
      </c>
      <c r="Q902" s="5" t="n">
        <v>0</v>
      </c>
      <c r="R902" s="5" t="inlineStr">
        <is>
          <t>317-2024-12-31</t>
        </is>
      </c>
    </row>
    <row r="903">
      <c r="A903" s="5" t="n">
        <v>318</v>
      </c>
      <c r="B903" s="5" t="inlineStr">
        <is>
          <t>Convenios, alianzas activas con actividades desde 2018</t>
        </is>
      </c>
      <c r="C903" s="5" t="inlineStr">
        <is>
          <t>VISIBILIDAD NACIONAL E INTERNACIONAL</t>
        </is>
      </c>
      <c r="D903" s="5" t="inlineStr">
        <is>
          <t>Semestral</t>
        </is>
      </c>
      <c r="E903" s="5" t="inlineStr">
        <is>
          <t>Positivo</t>
        </is>
      </c>
      <c r="F903" s="107" t="n">
        <v>45107</v>
      </c>
      <c r="G903" s="5" t="n">
        <v>2023</v>
      </c>
      <c r="H903" s="5" t="inlineStr">
        <is>
          <t>Junio</t>
        </is>
      </c>
      <c r="I903" s="6" t="inlineStr">
        <is>
          <t>2023-1</t>
        </is>
      </c>
      <c r="J903" s="5" t="n">
        <v>80</v>
      </c>
      <c r="K903" s="5" t="n">
        <v>85.981308411215</v>
      </c>
      <c r="L903" s="14">
        <f>IFERROR(IF(OR(J903=0,K903=""),"",IF(E903="Positivo",MIN(MAX(K903/J903,0),1.3),MIN(MAX(J903/K903,0),1.3))),"") </f>
        <v/>
      </c>
      <c r="M903" s="14">
        <f>IFERROR(IF(OR(J903=0,K903=""),"",IF(E903="Positivo",MAX(K903/J903,0),MAX(J903/K903,0))),"") </f>
        <v/>
      </c>
      <c r="N903" s="5" t="inlineStr">
        <is>
          <t>%</t>
        </is>
      </c>
      <c r="O903" s="5" t="inlineStr">
        <is>
          <t>%</t>
        </is>
      </c>
      <c r="P903" s="5" t="n">
        <v>0</v>
      </c>
      <c r="Q903" s="5" t="n">
        <v>0</v>
      </c>
      <c r="R903" s="5" t="inlineStr">
        <is>
          <t>318-2023-06-30</t>
        </is>
      </c>
    </row>
    <row r="904">
      <c r="A904" s="34" t="n">
        <v>318</v>
      </c>
      <c r="B904" s="5" t="inlineStr">
        <is>
          <t>Convenios, alianzas activas con actividades desde 2018</t>
        </is>
      </c>
      <c r="C904" s="5" t="inlineStr">
        <is>
          <t>VISIBILIDAD NACIONAL E INTERNACIONAL</t>
        </is>
      </c>
      <c r="D904" s="5" t="inlineStr">
        <is>
          <t>Semestral</t>
        </is>
      </c>
      <c r="E904" s="5" t="inlineStr">
        <is>
          <t>Positivo</t>
        </is>
      </c>
      <c r="F904" s="107" t="n">
        <v>45291</v>
      </c>
      <c r="G904" s="5" t="n">
        <v>2023</v>
      </c>
      <c r="H904" s="5" t="inlineStr">
        <is>
          <t>Diciembre</t>
        </is>
      </c>
      <c r="I904" s="6" t="inlineStr">
        <is>
          <t>2023-2</t>
        </is>
      </c>
      <c r="J904" s="5" t="n">
        <v>80</v>
      </c>
      <c r="K904" s="5" t="n">
        <v>90.90909090909091</v>
      </c>
      <c r="L904" s="74">
        <f>IFERROR(IF(OR(J904=0,K904=""),"",IF(E904="Positivo",MIN(MAX(K904/J904,0),1.3),MIN(MAX(J904/K904,0),1.3))),"") </f>
        <v/>
      </c>
      <c r="M904" s="14">
        <f>IFERROR(IF(OR(J904=0,K904=""),"",IF(E904="Positivo",MAX(K904/J904,0),MAX(J904/K904,0))),"") </f>
        <v/>
      </c>
      <c r="N904" s="5" t="inlineStr">
        <is>
          <t>%</t>
        </is>
      </c>
      <c r="O904" s="5" t="inlineStr">
        <is>
          <t>%</t>
        </is>
      </c>
      <c r="P904" s="5" t="n">
        <v>0</v>
      </c>
      <c r="Q904" s="5" t="n">
        <v>0</v>
      </c>
      <c r="R904" s="5" t="inlineStr">
        <is>
          <t>318-2023-12-31</t>
        </is>
      </c>
    </row>
    <row r="905">
      <c r="A905" s="26" t="n">
        <v>318</v>
      </c>
      <c r="B905" s="5" t="inlineStr">
        <is>
          <t>Convenios, alianzas activas con actividades en los últimos 5 años</t>
        </is>
      </c>
      <c r="C905" s="5" t="inlineStr">
        <is>
          <t>VISIBILIDAD NACIONAL E INTERNACIONAL</t>
        </is>
      </c>
      <c r="D905" s="5" t="inlineStr">
        <is>
          <t>Anual</t>
        </is>
      </c>
      <c r="E905" s="5" t="inlineStr">
        <is>
          <t>Positivo</t>
        </is>
      </c>
      <c r="F905" s="107" t="n">
        <v>45657</v>
      </c>
      <c r="G905" s="5" t="n">
        <v>2024</v>
      </c>
      <c r="H905" s="5" t="inlineStr">
        <is>
          <t>Diciembre</t>
        </is>
      </c>
      <c r="I905" s="6" t="inlineStr">
        <is>
          <t>2024-2</t>
        </is>
      </c>
      <c r="J905" s="5" t="n">
        <v>80</v>
      </c>
      <c r="K905" s="5" t="n">
        <v>90.28</v>
      </c>
      <c r="L905" s="74">
        <f>IFERROR(IF(OR(J905=0,K905=""),"",IF(E905="Positivo",MIN(MAX(K905/J905,0),1.3),MIN(MAX(J905/K905,0),1.3))),"") </f>
        <v/>
      </c>
      <c r="M905" s="14">
        <f>IFERROR(IF(OR(J905=0,K905=""),"",IF(E905="Positivo",MAX(K905/J905,0),MAX(J905/K905,0))),"") </f>
        <v/>
      </c>
      <c r="N905" s="5" t="n"/>
      <c r="O905" s="5" t="n"/>
      <c r="P905" s="5" t="n">
        <v>0</v>
      </c>
      <c r="Q905" s="5" t="n">
        <v>0</v>
      </c>
      <c r="R905" s="5" t="inlineStr">
        <is>
          <t>318-2024-12-31</t>
        </is>
      </c>
    </row>
    <row r="906">
      <c r="A906" s="28" t="n">
        <v>318</v>
      </c>
      <c r="B906" s="5" t="inlineStr">
        <is>
          <t>Convenios, alianzas activas con actividades en los últimos 5 años</t>
        </is>
      </c>
      <c r="C906" s="5" t="inlineStr">
        <is>
          <t>VISIBILIDAD NACIONAL E INTERNACIONAL</t>
        </is>
      </c>
      <c r="D906" s="5" t="inlineStr">
        <is>
          <t>Anual</t>
        </is>
      </c>
      <c r="E906" s="5" t="inlineStr">
        <is>
          <t>Positivo</t>
        </is>
      </c>
      <c r="F906" s="107" t="n">
        <v>46022</v>
      </c>
      <c r="G906" s="5" t="n">
        <v>2025</v>
      </c>
      <c r="H906" s="5" t="inlineStr">
        <is>
          <t>Diciembre</t>
        </is>
      </c>
      <c r="I906" s="6" t="inlineStr">
        <is>
          <t>2025-2</t>
        </is>
      </c>
      <c r="J906" s="5" t="n">
        <v>85</v>
      </c>
      <c r="K906" s="5" t="n">
        <v>86.16</v>
      </c>
      <c r="L906" s="74">
        <f>IFERROR(IF(OR(J906=0,K906=""),"",IF(E906="Positivo",MIN(MAX(K906/J906,0),1.3),MIN(MAX(J906/K906,0),1.3))),"") </f>
        <v/>
      </c>
      <c r="M906" s="14">
        <f>IFERROR(IF(OR(J906=0,K906=""),"",IF(E906="Positivo",MAX(K906/J906,0),MAX(J906/K906,0))),"") </f>
        <v/>
      </c>
      <c r="N906" s="5" t="inlineStr">
        <is>
          <t>%</t>
        </is>
      </c>
      <c r="O906" s="5" t="inlineStr">
        <is>
          <t>%</t>
        </is>
      </c>
      <c r="P906" s="5" t="n">
        <v>0</v>
      </c>
      <c r="Q906" s="5" t="n">
        <v>0</v>
      </c>
      <c r="R906" s="5" t="inlineStr">
        <is>
          <t>318-2025-12-31</t>
        </is>
      </c>
    </row>
    <row r="907">
      <c r="A907" s="26" t="n">
        <v>319</v>
      </c>
      <c r="B907" s="5" t="inlineStr">
        <is>
          <t>Nivel de cumplimiento de la gestión de internacionalización descrito en el plan de trabajo de la ORNI</t>
        </is>
      </c>
      <c r="C907" s="5" t="inlineStr">
        <is>
          <t>VISIBILIDAD NACIONAL E INTERNACIONAL</t>
        </is>
      </c>
      <c r="D907" s="5" t="inlineStr">
        <is>
          <t>Semestral</t>
        </is>
      </c>
      <c r="E907" s="5" t="inlineStr">
        <is>
          <t>Positivo</t>
        </is>
      </c>
      <c r="F907" s="107" t="n">
        <v>45107</v>
      </c>
      <c r="G907" s="5" t="n">
        <v>2023</v>
      </c>
      <c r="H907" s="5" t="inlineStr">
        <is>
          <t>Junio</t>
        </is>
      </c>
      <c r="I907" s="6" t="inlineStr">
        <is>
          <t>2023-1</t>
        </is>
      </c>
      <c r="J907" s="5" t="n">
        <v>100</v>
      </c>
      <c r="K907" s="5" t="n">
        <v>80</v>
      </c>
      <c r="L907" s="74">
        <f>IFERROR(IF(OR(J907=0,K907=""),"",IF(E907="Positivo",MIN(MAX(K907/J907,0),1.3),MIN(MAX(J907/K907,0),1.3))),"") </f>
        <v/>
      </c>
      <c r="M907" s="14">
        <f>IFERROR(IF(OR(J907=0,K907=""),"",IF(E907="Positivo",MAX(K907/J907,0),MAX(J907/K907,0))),"") </f>
        <v/>
      </c>
      <c r="N907" s="5" t="inlineStr">
        <is>
          <t>%</t>
        </is>
      </c>
      <c r="O907" s="5" t="inlineStr">
        <is>
          <t>%</t>
        </is>
      </c>
      <c r="P907" s="5" t="n">
        <v>0</v>
      </c>
      <c r="Q907" s="5" t="n">
        <v>0</v>
      </c>
      <c r="R907" s="5" t="inlineStr">
        <is>
          <t>319-2023-06-30</t>
        </is>
      </c>
    </row>
    <row r="908">
      <c r="A908" s="5" t="n">
        <v>319</v>
      </c>
      <c r="B908" s="5" t="inlineStr">
        <is>
          <t>Nivel de cumplimiento de la gestión de internacionalización descrito en el plan de trabajo de la ORNI</t>
        </is>
      </c>
      <c r="C908" s="5" t="inlineStr">
        <is>
          <t>VISIBILIDAD NACIONAL E INTERNACIONAL</t>
        </is>
      </c>
      <c r="D908" s="5" t="inlineStr">
        <is>
          <t>Semestral</t>
        </is>
      </c>
      <c r="E908" s="5" t="inlineStr">
        <is>
          <t>Positivo</t>
        </is>
      </c>
      <c r="F908" s="107" t="n">
        <v>45291</v>
      </c>
      <c r="G908" s="5" t="n">
        <v>2023</v>
      </c>
      <c r="H908" s="5" t="inlineStr">
        <is>
          <t>Diciembre</t>
        </is>
      </c>
      <c r="I908" s="6" t="inlineStr">
        <is>
          <t>2023-2</t>
        </is>
      </c>
      <c r="J908" s="5" t="n">
        <v>100</v>
      </c>
      <c r="K908" s="5" t="n">
        <v>100</v>
      </c>
      <c r="L908" s="14">
        <f>IFERROR(IF(OR(J908=0,K908=""),"",IF(E908="Positivo",MIN(MAX(K908/J908,0),1.3),MIN(MAX(J908/K908,0),1.3))),"") </f>
        <v/>
      </c>
      <c r="M908" s="14">
        <f>IFERROR(IF(OR(J908=0,K908=""),"",IF(E908="Positivo",MAX(K908/J908,0),MAX(J908/K908,0))),"") </f>
        <v/>
      </c>
      <c r="N908" s="5" t="inlineStr">
        <is>
          <t>%</t>
        </is>
      </c>
      <c r="O908" s="5" t="inlineStr">
        <is>
          <t>%</t>
        </is>
      </c>
      <c r="P908" s="5" t="n">
        <v>0</v>
      </c>
      <c r="Q908" s="5" t="n">
        <v>0</v>
      </c>
      <c r="R908" s="5" t="inlineStr">
        <is>
          <t>319-2023-12-31</t>
        </is>
      </c>
    </row>
    <row r="909">
      <c r="A909" s="5" t="n">
        <v>319</v>
      </c>
      <c r="B909" s="5" t="inlineStr">
        <is>
          <t>Nivel de cumplimiento de la gestión de internacionalización descrito en el plan de trabajo de la ORNI</t>
        </is>
      </c>
      <c r="C909" s="5" t="inlineStr">
        <is>
          <t>VISIBILIDAD NACIONAL E INTERNACIONAL</t>
        </is>
      </c>
      <c r="D909" s="5" t="inlineStr">
        <is>
          <t>Semestral</t>
        </is>
      </c>
      <c r="E909" s="5" t="inlineStr">
        <is>
          <t>Positivo</t>
        </is>
      </c>
      <c r="F909" s="107" t="n">
        <v>45473</v>
      </c>
      <c r="G909" s="5" t="n">
        <v>2024</v>
      </c>
      <c r="H909" s="5" t="inlineStr">
        <is>
          <t>Junio</t>
        </is>
      </c>
      <c r="I909" s="6" t="inlineStr">
        <is>
          <t>2024-1</t>
        </is>
      </c>
      <c r="J909" s="5" t="n">
        <v>100</v>
      </c>
      <c r="K909" s="5" t="n">
        <v>100</v>
      </c>
      <c r="L909" s="14">
        <f>IFERROR(IF(OR(J909=0,K909=""),"",IF(E909="Positivo",MIN(MAX(K909/J909,0),1.3),MIN(MAX(J909/K909,0),1.3))),"") </f>
        <v/>
      </c>
      <c r="M909" s="14">
        <f>IFERROR(IF(OR(J909=0,K909=""),"",IF(E909="Positivo",MAX(K909/J909,0),MAX(J909/K909,0))),"") </f>
        <v/>
      </c>
      <c r="N909" s="5" t="n"/>
      <c r="O909" s="5" t="n"/>
      <c r="P909" s="5" t="n">
        <v>0</v>
      </c>
      <c r="Q909" s="5" t="n">
        <v>0</v>
      </c>
      <c r="R909" s="5" t="inlineStr">
        <is>
          <t>319-2024-06-30</t>
        </is>
      </c>
    </row>
    <row r="910">
      <c r="A910" s="34" t="n">
        <v>319</v>
      </c>
      <c r="B910" s="5" t="inlineStr">
        <is>
          <t>Nivel de cumplimiento de la gestión de internacionalización descrito en el plan de trabajo de la ORNI</t>
        </is>
      </c>
      <c r="C910" s="5" t="inlineStr">
        <is>
          <t>VISIBILIDAD NACIONAL E INTERNACIONAL</t>
        </is>
      </c>
      <c r="D910" s="5" t="inlineStr">
        <is>
          <t>Semestral</t>
        </is>
      </c>
      <c r="E910" s="5" t="inlineStr">
        <is>
          <t>Positivo</t>
        </is>
      </c>
      <c r="F910" s="107" t="n">
        <v>45657</v>
      </c>
      <c r="G910" s="5" t="n">
        <v>2024</v>
      </c>
      <c r="H910" s="5" t="inlineStr">
        <is>
          <t>Diciembre</t>
        </is>
      </c>
      <c r="I910" s="6" t="inlineStr">
        <is>
          <t>2024-2</t>
        </is>
      </c>
      <c r="J910" s="5" t="n">
        <v>100</v>
      </c>
      <c r="K910" s="5" t="n">
        <v>100</v>
      </c>
      <c r="L910" s="74">
        <f>IFERROR(IF(OR(J910=0,K910=""),"",IF(E910="Positivo",MIN(MAX(K910/J910,0),1.3),MIN(MAX(J910/K910,0),1.3))),"") </f>
        <v/>
      </c>
      <c r="M910" s="14">
        <f>IFERROR(IF(OR(J910=0,K910=""),"",IF(E910="Positivo",MAX(K910/J910,0),MAX(J910/K910,0))),"") </f>
        <v/>
      </c>
      <c r="N910" s="5" t="n"/>
      <c r="O910" s="5" t="n"/>
      <c r="P910" s="5" t="n">
        <v>0</v>
      </c>
      <c r="Q910" s="5" t="n">
        <v>0</v>
      </c>
      <c r="R910" s="5" t="inlineStr">
        <is>
          <t>319-2024-12-31</t>
        </is>
      </c>
    </row>
    <row r="911">
      <c r="A911" s="26" t="n">
        <v>320</v>
      </c>
      <c r="B911" s="5" t="inlineStr">
        <is>
          <t>Participación docentes eventos académicos internacionales virtuales</t>
        </is>
      </c>
      <c r="C911" s="5" t="inlineStr">
        <is>
          <t>VISIBILIDAD NACIONAL E INTERNACIONAL</t>
        </is>
      </c>
      <c r="D911" s="5" t="inlineStr">
        <is>
          <t>Semestral</t>
        </is>
      </c>
      <c r="E911" s="5" t="inlineStr">
        <is>
          <t>Positivo</t>
        </is>
      </c>
      <c r="F911" s="107" t="n">
        <v>45107</v>
      </c>
      <c r="G911" s="5" t="n">
        <v>2023</v>
      </c>
      <c r="H911" s="5" t="inlineStr">
        <is>
          <t>Junio</t>
        </is>
      </c>
      <c r="I911" s="6" t="inlineStr">
        <is>
          <t>2023-1</t>
        </is>
      </c>
      <c r="J911" s="5" t="n">
        <v>26</v>
      </c>
      <c r="K911" s="5" t="n">
        <v>12</v>
      </c>
      <c r="L911" s="74">
        <f>IFERROR(IF(OR(J911=0,K911=""),"",IF(E911="Positivo",MIN(MAX(K911/J911,0),1.3),MIN(MAX(J911/K911,0),1.3))),"") </f>
        <v/>
      </c>
      <c r="M911" s="14">
        <f>IFERROR(IF(OR(J911=0,K911=""),"",IF(E911="Positivo",MAX(K911/J911,0),MAX(J911/K911,0))),"") </f>
        <v/>
      </c>
      <c r="N911" s="5" t="n"/>
      <c r="O911" s="5" t="n"/>
      <c r="P911" s="5" t="n">
        <v>0</v>
      </c>
      <c r="Q911" s="5" t="n">
        <v>0</v>
      </c>
      <c r="R911" s="5" t="inlineStr">
        <is>
          <t>320-2023-06-30</t>
        </is>
      </c>
    </row>
    <row r="912">
      <c r="A912" s="28" t="n">
        <v>320</v>
      </c>
      <c r="B912" s="5" t="inlineStr">
        <is>
          <t>Participación docentes eventos académicos internacionales virtuales</t>
        </is>
      </c>
      <c r="C912" s="5" t="inlineStr">
        <is>
          <t>VISIBILIDAD NACIONAL E INTERNACIONAL</t>
        </is>
      </c>
      <c r="D912" s="5" t="inlineStr">
        <is>
          <t>Semestral</t>
        </is>
      </c>
      <c r="E912" s="5" t="inlineStr">
        <is>
          <t>Positivo</t>
        </is>
      </c>
      <c r="F912" s="107" t="n">
        <v>45291</v>
      </c>
      <c r="G912" s="5" t="n">
        <v>2023</v>
      </c>
      <c r="H912" s="5" t="inlineStr">
        <is>
          <t>Diciembre</t>
        </is>
      </c>
      <c r="I912" s="6" t="inlineStr">
        <is>
          <t>2023-2</t>
        </is>
      </c>
      <c r="J912" s="5" t="n">
        <v>15</v>
      </c>
      <c r="K912" s="5" t="n">
        <v>17</v>
      </c>
      <c r="L912" s="74">
        <f>IFERROR(IF(OR(J912=0,K912=""),"",IF(E912="Positivo",MIN(MAX(K912/J912,0),1.3),MIN(MAX(J912/K912,0),1.3))),"") </f>
        <v/>
      </c>
      <c r="M912" s="14">
        <f>IFERROR(IF(OR(J912=0,K912=""),"",IF(E912="Positivo",MAX(K912/J912,0),MAX(J912/K912,0))),"") </f>
        <v/>
      </c>
      <c r="N912" s="5" t="n"/>
      <c r="O912" s="5" t="n"/>
      <c r="P912" s="5" t="n">
        <v>0</v>
      </c>
      <c r="Q912" s="5" t="n">
        <v>0</v>
      </c>
      <c r="R912" s="5" t="inlineStr">
        <is>
          <t>320-2023-12-31</t>
        </is>
      </c>
    </row>
    <row r="913">
      <c r="A913" s="26" t="n">
        <v>320</v>
      </c>
      <c r="B913" s="5" t="inlineStr">
        <is>
          <t>Participación docentes Poli en eventos académicos internacionales virtuales</t>
        </is>
      </c>
      <c r="C913" s="5" t="inlineStr">
        <is>
          <t>VISIBILIDAD NACIONAL E INTERNACIONAL</t>
        </is>
      </c>
      <c r="D913" s="5" t="inlineStr">
        <is>
          <t>Semestral</t>
        </is>
      </c>
      <c r="E913" s="5" t="inlineStr">
        <is>
          <t>Positivo</t>
        </is>
      </c>
      <c r="F913" s="107" t="n">
        <v>45473</v>
      </c>
      <c r="G913" s="5" t="n">
        <v>2024</v>
      </c>
      <c r="H913" s="5" t="inlineStr">
        <is>
          <t>Junio</t>
        </is>
      </c>
      <c r="I913" s="6" t="inlineStr">
        <is>
          <t>2024-1</t>
        </is>
      </c>
      <c r="J913" s="5" t="n">
        <v>100</v>
      </c>
      <c r="K913" s="5" t="n">
        <v>140</v>
      </c>
      <c r="L913" s="74">
        <f>IFERROR(IF(OR(J913=0,K913=""),"",IF(E913="Positivo",MIN(MAX(K913/J913,0),1.3),MIN(MAX(J913/K913,0),1.3))),"") </f>
        <v/>
      </c>
      <c r="M913" s="14">
        <f>IFERROR(IF(OR(J913=0,K913=""),"",IF(E913="Positivo",MAX(K913/J913,0),MAX(J913/K913,0))),"") </f>
        <v/>
      </c>
      <c r="N913" s="5" t="n"/>
      <c r="O913" s="5" t="n"/>
      <c r="P913" s="5" t="n">
        <v>0</v>
      </c>
      <c r="Q913" s="5" t="n">
        <v>0</v>
      </c>
      <c r="R913" s="5" t="inlineStr">
        <is>
          <t>320-2024-06-30</t>
        </is>
      </c>
    </row>
    <row r="914">
      <c r="A914" s="5" t="n">
        <v>320</v>
      </c>
      <c r="B914" s="5" t="inlineStr">
        <is>
          <t>Participación docentes Poli en eventos académicos internacionales virtuales</t>
        </is>
      </c>
      <c r="C914" s="5" t="inlineStr">
        <is>
          <t>VISIBILIDAD NACIONAL E INTERNACIONAL</t>
        </is>
      </c>
      <c r="D914" s="5" t="inlineStr">
        <is>
          <t>Semestral</t>
        </is>
      </c>
      <c r="E914" s="5" t="inlineStr">
        <is>
          <t>Positivo</t>
        </is>
      </c>
      <c r="F914" s="107" t="n">
        <v>45657</v>
      </c>
      <c r="G914" s="5" t="n">
        <v>2024</v>
      </c>
      <c r="H914" s="5" t="inlineStr">
        <is>
          <t>Diciembre</t>
        </is>
      </c>
      <c r="I914" s="6" t="inlineStr">
        <is>
          <t>2024-2</t>
        </is>
      </c>
      <c r="J914" s="5" t="n">
        <v>100</v>
      </c>
      <c r="K914" s="5" t="n">
        <v>115</v>
      </c>
      <c r="L914" s="14">
        <f>IFERROR(IF(OR(J914=0,K914=""),"",IF(E914="Positivo",MIN(MAX(K914/J914,0),1.3),MIN(MAX(J914/K914,0),1.3))),"") </f>
        <v/>
      </c>
      <c r="M914" s="14">
        <f>IFERROR(IF(OR(J914=0,K914=""),"",IF(E914="Positivo",MAX(K914/J914,0),MAX(J914/K914,0))),"") </f>
        <v/>
      </c>
      <c r="N914" s="5" t="n"/>
      <c r="O914" s="5" t="n"/>
      <c r="P914" s="5" t="n">
        <v>0</v>
      </c>
      <c r="Q914" s="5" t="n">
        <v>0</v>
      </c>
      <c r="R914" s="5" t="inlineStr">
        <is>
          <t>320-2024-12-31</t>
        </is>
      </c>
    </row>
    <row r="915">
      <c r="A915" s="5" t="n">
        <v>321</v>
      </c>
      <c r="B915" s="5" t="inlineStr">
        <is>
          <t>Participación estudiantes eventos académicos internacionales virtuales</t>
        </is>
      </c>
      <c r="C915" s="5" t="inlineStr">
        <is>
          <t>VISIBILIDAD NACIONAL E INTERNACIONAL</t>
        </is>
      </c>
      <c r="D915" s="5" t="inlineStr">
        <is>
          <t>Semestral</t>
        </is>
      </c>
      <c r="E915" s="5" t="inlineStr">
        <is>
          <t>Positivo</t>
        </is>
      </c>
      <c r="F915" s="107" t="n">
        <v>45107</v>
      </c>
      <c r="G915" s="5" t="n">
        <v>2023</v>
      </c>
      <c r="H915" s="5" t="inlineStr">
        <is>
          <t>Junio</t>
        </is>
      </c>
      <c r="I915" s="6" t="inlineStr">
        <is>
          <t>2023-1</t>
        </is>
      </c>
      <c r="J915" s="5" t="n">
        <v>180</v>
      </c>
      <c r="K915" s="5" t="n">
        <v>236</v>
      </c>
      <c r="L915" s="14">
        <f>IFERROR(IF(OR(J915=0,K915=""),"",IF(E915="Positivo",MIN(MAX(K915/J915,0),1.3),MIN(MAX(J915/K915,0),1.3))),"") </f>
        <v/>
      </c>
      <c r="M915" s="14">
        <f>IFERROR(IF(OR(J915=0,K915=""),"",IF(E915="Positivo",MAX(K915/J915,0),MAX(J915/K915,0))),"") </f>
        <v/>
      </c>
      <c r="N915" s="5" t="n"/>
      <c r="O915" s="5" t="n"/>
      <c r="P915" s="5" t="n">
        <v>0</v>
      </c>
      <c r="Q915" s="5" t="n">
        <v>0</v>
      </c>
      <c r="R915" s="5" t="inlineStr">
        <is>
          <t>321-2023-06-30</t>
        </is>
      </c>
    </row>
    <row r="916">
      <c r="A916" s="34" t="n">
        <v>321</v>
      </c>
      <c r="B916" s="5" t="inlineStr">
        <is>
          <t>Participación estudiantes eventos académicos internacionales virtuales</t>
        </is>
      </c>
      <c r="C916" s="5" t="inlineStr">
        <is>
          <t>VISIBILIDAD NACIONAL E INTERNACIONAL</t>
        </is>
      </c>
      <c r="D916" s="5" t="inlineStr">
        <is>
          <t>Semestral</t>
        </is>
      </c>
      <c r="E916" s="5" t="inlineStr">
        <is>
          <t>Positivo</t>
        </is>
      </c>
      <c r="F916" s="107" t="n">
        <v>45291</v>
      </c>
      <c r="G916" s="5" t="n">
        <v>2023</v>
      </c>
      <c r="H916" s="5" t="inlineStr">
        <is>
          <t>Diciembre</t>
        </is>
      </c>
      <c r="I916" s="6" t="inlineStr">
        <is>
          <t>2023-2</t>
        </is>
      </c>
      <c r="J916" s="5" t="n">
        <v>180</v>
      </c>
      <c r="K916" s="5" t="n">
        <v>231</v>
      </c>
      <c r="L916" s="74">
        <f>IFERROR(IF(OR(J916=0,K916=""),"",IF(E916="Positivo",MIN(MAX(K916/J916,0),1.3),MIN(MAX(J916/K916,0),1.3))),"") </f>
        <v/>
      </c>
      <c r="M916" s="14">
        <f>IFERROR(IF(OR(J916=0,K916=""),"",IF(E916="Positivo",MAX(K916/J916,0),MAX(J916/K916,0))),"") </f>
        <v/>
      </c>
      <c r="N916" s="5" t="n"/>
      <c r="O916" s="5" t="n"/>
      <c r="P916" s="5" t="n">
        <v>0</v>
      </c>
      <c r="Q916" s="5" t="n">
        <v>0</v>
      </c>
      <c r="R916" s="5" t="inlineStr">
        <is>
          <t>321-2023-12-31</t>
        </is>
      </c>
    </row>
    <row r="917">
      <c r="A917" s="26" t="n">
        <v>321</v>
      </c>
      <c r="B917" s="5" t="inlineStr">
        <is>
          <t>Participación estudiantes Poli en eventos académicos internacionales virtuales</t>
        </is>
      </c>
      <c r="C917" s="5" t="inlineStr">
        <is>
          <t>VISIBILIDAD NACIONAL E INTERNACIONAL</t>
        </is>
      </c>
      <c r="D917" s="5" t="inlineStr">
        <is>
          <t>Semestral</t>
        </is>
      </c>
      <c r="E917" s="5" t="inlineStr">
        <is>
          <t>Positivo</t>
        </is>
      </c>
      <c r="F917" s="107" t="n">
        <v>45473</v>
      </c>
      <c r="G917" s="5" t="n">
        <v>2024</v>
      </c>
      <c r="H917" s="5" t="inlineStr">
        <is>
          <t>Junio</t>
        </is>
      </c>
      <c r="I917" s="6" t="inlineStr">
        <is>
          <t>2024-1</t>
        </is>
      </c>
      <c r="J917" s="5" t="n">
        <v>100</v>
      </c>
      <c r="K917" s="5" t="n">
        <v>106.52</v>
      </c>
      <c r="L917" s="74">
        <f>IFERROR(IF(OR(J917=0,K917=""),"",IF(E917="Positivo",MIN(MAX(K917/J917,0),1.3),MIN(MAX(J917/K917,0),1.3))),"") </f>
        <v/>
      </c>
      <c r="M917" s="14">
        <f>IFERROR(IF(OR(J917=0,K917=""),"",IF(E917="Positivo",MAX(K917/J917,0),MAX(J917/K917,0))),"") </f>
        <v/>
      </c>
      <c r="N917" s="5" t="n"/>
      <c r="O917" s="5" t="n"/>
      <c r="P917" s="5" t="n">
        <v>0</v>
      </c>
      <c r="Q917" s="5" t="n">
        <v>0</v>
      </c>
      <c r="R917" s="5" t="inlineStr">
        <is>
          <t>321-2024-06-30</t>
        </is>
      </c>
    </row>
    <row r="918">
      <c r="A918" s="28" t="n">
        <v>321</v>
      </c>
      <c r="B918" s="5" t="inlineStr">
        <is>
          <t>Participación estudiantes Poli en eventos académicos internacionales virtuales</t>
        </is>
      </c>
      <c r="C918" s="5" t="inlineStr">
        <is>
          <t>VISIBILIDAD NACIONAL E INTERNACIONAL</t>
        </is>
      </c>
      <c r="D918" s="5" t="inlineStr">
        <is>
          <t>Semestral</t>
        </is>
      </c>
      <c r="E918" s="5" t="inlineStr">
        <is>
          <t>Positivo</t>
        </is>
      </c>
      <c r="F918" s="107" t="n">
        <v>45657</v>
      </c>
      <c r="G918" s="5" t="n">
        <v>2024</v>
      </c>
      <c r="H918" s="5" t="inlineStr">
        <is>
          <t>Diciembre</t>
        </is>
      </c>
      <c r="I918" s="6" t="inlineStr">
        <is>
          <t>2024-2</t>
        </is>
      </c>
      <c r="J918" s="5" t="n">
        <v>100</v>
      </c>
      <c r="K918" s="5" t="n">
        <v>502.17</v>
      </c>
      <c r="L918" s="74">
        <f>IFERROR(IF(OR(J918=0,K918=""),"",IF(E918="Positivo",MIN(MAX(K918/J918,0),1.3),MIN(MAX(J918/K918,0),1.3))),"") </f>
        <v/>
      </c>
      <c r="M918" s="14">
        <f>IFERROR(IF(OR(J918=0,K918=""),"",IF(E918="Positivo",MAX(K918/J918,0),MAX(J918/K918,0))),"") </f>
        <v/>
      </c>
      <c r="N918" s="5" t="n"/>
      <c r="O918" s="5" t="n"/>
      <c r="P918" s="5" t="n">
        <v>0</v>
      </c>
      <c r="Q918" s="5" t="n">
        <v>0</v>
      </c>
      <c r="R918" s="5" t="inlineStr">
        <is>
          <t>321-2024-12-31</t>
        </is>
      </c>
    </row>
    <row r="919">
      <c r="A919" s="26" t="n">
        <v>323</v>
      </c>
      <c r="B919" s="5" t="inlineStr">
        <is>
          <t>Número de renovaciones de registro calificado</t>
        </is>
      </c>
      <c r="C919" s="5" t="inlineStr">
        <is>
          <t>Creación, modificación y cierre de programas académicos</t>
        </is>
      </c>
      <c r="D919" s="5" t="inlineStr">
        <is>
          <t>Semestral</t>
        </is>
      </c>
      <c r="E919" s="5" t="inlineStr">
        <is>
          <t>Positivo</t>
        </is>
      </c>
      <c r="F919" s="107" t="n">
        <v>45107</v>
      </c>
      <c r="G919" s="5" t="n">
        <v>2023</v>
      </c>
      <c r="H919" s="5" t="inlineStr">
        <is>
          <t>Junio</t>
        </is>
      </c>
      <c r="I919" s="6" t="inlineStr">
        <is>
          <t>2023-1</t>
        </is>
      </c>
      <c r="J919" s="5" t="n">
        <v>100</v>
      </c>
      <c r="K919" s="5" t="n">
        <v>100</v>
      </c>
      <c r="L919" s="74">
        <f>IFERROR(IF(OR(J919=0,K919=""),"",IF(E919="Positivo",MIN(MAX(K919/J919,0),1.3),MIN(MAX(J919/K919,0),1.3))),"") </f>
        <v/>
      </c>
      <c r="M919" s="14">
        <f>IFERROR(IF(OR(J919=0,K919=""),"",IF(E919="Positivo",MAX(K919/J919,0),MAX(J919/K919,0))),"") </f>
        <v/>
      </c>
      <c r="N919" s="5" t="n"/>
      <c r="O919" s="5" t="n"/>
      <c r="P919" s="5" t="n">
        <v>0</v>
      </c>
      <c r="Q919" s="5" t="n">
        <v>0</v>
      </c>
      <c r="R919" s="5" t="inlineStr">
        <is>
          <t>323-2023-06-30</t>
        </is>
      </c>
    </row>
    <row r="920">
      <c r="A920" s="5" t="n">
        <v>323</v>
      </c>
      <c r="B920" s="5" t="inlineStr">
        <is>
          <t>Número de renovaciones de registro calificado</t>
        </is>
      </c>
      <c r="C920" s="5" t="inlineStr">
        <is>
          <t>Creación, modificación y cierre de programas académicos</t>
        </is>
      </c>
      <c r="D920" s="5" t="inlineStr">
        <is>
          <t>Semestral</t>
        </is>
      </c>
      <c r="E920" s="5" t="inlineStr">
        <is>
          <t>Positivo</t>
        </is>
      </c>
      <c r="F920" s="107" t="n">
        <v>45291</v>
      </c>
      <c r="G920" s="5" t="n">
        <v>2023</v>
      </c>
      <c r="H920" s="5" t="inlineStr">
        <is>
          <t>Diciembre</t>
        </is>
      </c>
      <c r="I920" s="6" t="inlineStr">
        <is>
          <t>2023-2</t>
        </is>
      </c>
      <c r="J920" s="5" t="n">
        <v>100</v>
      </c>
      <c r="K920" s="5" t="n">
        <v>100</v>
      </c>
      <c r="L920" s="14">
        <f>IFERROR(IF(OR(J920=0,K920=""),"",IF(E920="Positivo",MIN(MAX(K920/J920,0),1.3),MIN(MAX(J920/K920,0),1.3))),"") </f>
        <v/>
      </c>
      <c r="M920" s="14">
        <f>IFERROR(IF(OR(J920=0,K920=""),"",IF(E920="Positivo",MAX(K920/J920,0),MAX(J920/K920,0))),"") </f>
        <v/>
      </c>
      <c r="N920" s="5" t="n"/>
      <c r="O920" s="5" t="n"/>
      <c r="P920" s="5" t="n">
        <v>0</v>
      </c>
      <c r="Q920" s="5" t="n">
        <v>0</v>
      </c>
      <c r="R920" s="5" t="inlineStr">
        <is>
          <t>323-2023-12-31</t>
        </is>
      </c>
    </row>
    <row r="921">
      <c r="A921" s="5" t="n">
        <v>323</v>
      </c>
      <c r="B921" s="5" t="inlineStr">
        <is>
          <t>Número de renovaciones de registro calificado</t>
        </is>
      </c>
      <c r="C921" s="5" t="inlineStr">
        <is>
          <t>Creación, modificación y cierre de programas académicos</t>
        </is>
      </c>
      <c r="D921" s="5" t="inlineStr">
        <is>
          <t>Semestral</t>
        </is>
      </c>
      <c r="E921" s="5" t="inlineStr">
        <is>
          <t>Positivo</t>
        </is>
      </c>
      <c r="F921" s="107" t="n">
        <v>45473</v>
      </c>
      <c r="G921" s="5" t="n">
        <v>2024</v>
      </c>
      <c r="H921" s="5" t="inlineStr">
        <is>
          <t>Junio</t>
        </is>
      </c>
      <c r="I921" s="6" t="inlineStr">
        <is>
          <t>2024-1</t>
        </is>
      </c>
      <c r="J921" s="5" t="n">
        <v>100</v>
      </c>
      <c r="K921" s="5" t="n">
        <v>100</v>
      </c>
      <c r="L921" s="14">
        <f>IFERROR(IF(OR(J921=0,K921=""),"",IF(E921="Positivo",MIN(MAX(K921/J921,0),1.3),MIN(MAX(J921/K921,0),1.3))),"") </f>
        <v/>
      </c>
      <c r="M921" s="14">
        <f>IFERROR(IF(OR(J921=0,K921=""),"",IF(E921="Positivo",MAX(K921/J921,0),MAX(J921/K921,0))),"") </f>
        <v/>
      </c>
      <c r="N921" s="5" t="n"/>
      <c r="O921" s="5" t="n"/>
      <c r="P921" s="5" t="n">
        <v>0</v>
      </c>
      <c r="Q921" s="5" t="n">
        <v>0</v>
      </c>
      <c r="R921" s="5" t="inlineStr">
        <is>
          <t>323-2024-06-30</t>
        </is>
      </c>
    </row>
    <row r="922">
      <c r="A922" s="34" t="n">
        <v>323</v>
      </c>
      <c r="B922" s="5" t="inlineStr">
        <is>
          <t>Número de renovaciones de registro calificado</t>
        </is>
      </c>
      <c r="C922" s="5" t="inlineStr">
        <is>
          <t>Creación, modificación y cierre de programas académicos</t>
        </is>
      </c>
      <c r="D922" s="5" t="inlineStr">
        <is>
          <t>Semestral</t>
        </is>
      </c>
      <c r="E922" s="5" t="inlineStr">
        <is>
          <t>Positivo</t>
        </is>
      </c>
      <c r="F922" s="107" t="n">
        <v>45657</v>
      </c>
      <c r="G922" s="5" t="n">
        <v>2024</v>
      </c>
      <c r="H922" s="5" t="inlineStr">
        <is>
          <t>Diciembre</t>
        </is>
      </c>
      <c r="I922" s="6" t="inlineStr">
        <is>
          <t>2024-2</t>
        </is>
      </c>
      <c r="J922" s="5" t="n">
        <v>100</v>
      </c>
      <c r="K922" s="5" t="n">
        <v>0</v>
      </c>
      <c r="L922" s="74">
        <f>IFERROR(IF(OR(J922=0,K922=""),"",IF(E922="Positivo",MIN(MAX(K922/J922,0),1.3),MIN(MAX(J922/K922,0),1.3))),"") </f>
        <v/>
      </c>
      <c r="M922" s="14">
        <f>IFERROR(IF(OR(J922=0,K922=""),"",IF(E922="Positivo",MAX(K922/J922,0),MAX(J922/K922,0))),"") </f>
        <v/>
      </c>
      <c r="N922" s="5" t="n"/>
      <c r="O922" s="5" t="n"/>
      <c r="P922" s="5" t="n">
        <v>0</v>
      </c>
      <c r="Q922" s="5" t="n">
        <v>0</v>
      </c>
      <c r="R922" s="5" t="inlineStr">
        <is>
          <t>323-2024-12-31</t>
        </is>
      </c>
    </row>
    <row r="923">
      <c r="A923" s="26" t="n">
        <v>323</v>
      </c>
      <c r="B923" s="5" t="inlineStr">
        <is>
          <t>Número de renovaciones de registro calificado</t>
        </is>
      </c>
      <c r="C923" s="5" t="inlineStr">
        <is>
          <t>Creación, modificación y cierre de programas académicos</t>
        </is>
      </c>
      <c r="D923" s="5" t="inlineStr">
        <is>
          <t>Semestral</t>
        </is>
      </c>
      <c r="E923" s="5" t="inlineStr">
        <is>
          <t>Positivo</t>
        </is>
      </c>
      <c r="F923" s="107" t="n">
        <v>45838</v>
      </c>
      <c r="G923" s="5" t="n">
        <v>2025</v>
      </c>
      <c r="H923" s="5" t="inlineStr">
        <is>
          <t>Junio</t>
        </is>
      </c>
      <c r="I923" s="6" t="inlineStr">
        <is>
          <t>2025-1</t>
        </is>
      </c>
      <c r="J923" s="5" t="n">
        <v>100</v>
      </c>
      <c r="K923" s="5" t="n">
        <v>100</v>
      </c>
      <c r="L923" s="74">
        <f>IFERROR(IF(OR(J923=0,K923=""),"",IF(E923="Positivo",MIN(MAX(K923/J923,0),1.3),MIN(MAX(J923/K923,0),1.3))),"") </f>
        <v/>
      </c>
      <c r="M923" s="14">
        <f>IFERROR(IF(OR(J923=0,K923=""),"",IF(E923="Positivo",MAX(K923/J923,0),MAX(J923/K923,0))),"") </f>
        <v/>
      </c>
      <c r="N923" s="5" t="inlineStr">
        <is>
          <t>ENT</t>
        </is>
      </c>
      <c r="O923" s="5" t="inlineStr">
        <is>
          <t>ENT</t>
        </is>
      </c>
      <c r="P923" s="5" t="n">
        <v>0</v>
      </c>
      <c r="Q923" s="5" t="n">
        <v>0</v>
      </c>
      <c r="R923" s="5" t="inlineStr">
        <is>
          <t>323-2025-06-30</t>
        </is>
      </c>
    </row>
    <row r="924">
      <c r="A924" s="28" t="n">
        <v>323</v>
      </c>
      <c r="B924" s="5" t="inlineStr">
        <is>
          <t>Número de renovaciones de registro calificado</t>
        </is>
      </c>
      <c r="C924" s="5" t="inlineStr">
        <is>
          <t>Creación, modificación y cierre de programas académicos</t>
        </is>
      </c>
      <c r="D924" s="5" t="inlineStr">
        <is>
          <t>Trimestral</t>
        </is>
      </c>
      <c r="E924" s="5" t="inlineStr">
        <is>
          <t>Positivo</t>
        </is>
      </c>
      <c r="F924" s="107" t="n">
        <v>46022</v>
      </c>
      <c r="G924" s="5" t="n">
        <v>2025</v>
      </c>
      <c r="H924" s="5" t="inlineStr">
        <is>
          <t>Diciembre</t>
        </is>
      </c>
      <c r="I924" s="6" t="inlineStr">
        <is>
          <t>2025-2</t>
        </is>
      </c>
      <c r="J924" s="5" t="n">
        <v>100</v>
      </c>
      <c r="K924" s="5" t="n">
        <v>100</v>
      </c>
      <c r="L924" s="74">
        <f>IFERROR(IF(OR(J924=0,K924=""),"",IF(E924="Positivo",MIN(MAX(K924/J924,0),1.3),MIN(MAX(J924/K924,0),1.3))),"") </f>
        <v/>
      </c>
      <c r="M924" s="14">
        <f>IFERROR(IF(OR(J924=0,K924=""),"",IF(E924="Positivo",MAX(K924/J924,0),MAX(J924/K924,0))),"") </f>
        <v/>
      </c>
      <c r="N924" s="5" t="inlineStr">
        <is>
          <t>ENT</t>
        </is>
      </c>
      <c r="O924" s="5" t="inlineStr">
        <is>
          <t>ENT</t>
        </is>
      </c>
      <c r="P924" s="5" t="n">
        <v>0</v>
      </c>
      <c r="Q924" s="5" t="n">
        <v>0</v>
      </c>
      <c r="R924" s="5" t="inlineStr">
        <is>
          <t>323-2025-12-31</t>
        </is>
      </c>
    </row>
    <row r="925">
      <c r="A925" s="26" t="n">
        <v>324</v>
      </c>
      <c r="B925" s="5" t="inlineStr">
        <is>
          <t>Número de programas nuevos radicados en el Ministerio de Educación</t>
        </is>
      </c>
      <c r="C925" s="5" t="inlineStr">
        <is>
          <t>Creación, modificación y cierre de programas académicos</t>
        </is>
      </c>
      <c r="D925" s="5" t="inlineStr">
        <is>
          <t>Semestral</t>
        </is>
      </c>
      <c r="E925" s="5" t="inlineStr">
        <is>
          <t>Positivo</t>
        </is>
      </c>
      <c r="F925" s="107" t="n">
        <v>45107</v>
      </c>
      <c r="G925" s="5" t="n">
        <v>2023</v>
      </c>
      <c r="H925" s="5" t="inlineStr">
        <is>
          <t>Junio</t>
        </is>
      </c>
      <c r="I925" s="6" t="inlineStr">
        <is>
          <t>2023-1</t>
        </is>
      </c>
      <c r="J925" s="5" t="n">
        <v>100</v>
      </c>
      <c r="K925" s="5" t="n">
        <v>0</v>
      </c>
      <c r="L925" s="74">
        <f>IFERROR(IF(OR(J925=0,K925=""),"",IF(E925="Positivo",MIN(MAX(K925/J925,0),1.3),MIN(MAX(J925/K925,0),1.3))),"") </f>
        <v/>
      </c>
      <c r="M925" s="14">
        <f>IFERROR(IF(OR(J925=0,K925=""),"",IF(E925="Positivo",MAX(K925/J925,0),MAX(J925/K925,0))),"") </f>
        <v/>
      </c>
      <c r="N925" s="5" t="n"/>
      <c r="O925" s="5" t="n"/>
      <c r="P925" s="5" t="n">
        <v>0</v>
      </c>
      <c r="Q925" s="5" t="n">
        <v>0</v>
      </c>
      <c r="R925" s="5" t="inlineStr">
        <is>
          <t>324-2023-06-30</t>
        </is>
      </c>
    </row>
    <row r="926">
      <c r="A926" s="5" t="n">
        <v>324</v>
      </c>
      <c r="B926" s="5" t="inlineStr">
        <is>
          <t>Número de programas nuevos radicados en el Ministerio de Educación</t>
        </is>
      </c>
      <c r="C926" s="5" t="inlineStr">
        <is>
          <t>Creación, modificación y cierre de programas académicos</t>
        </is>
      </c>
      <c r="D926" s="5" t="inlineStr">
        <is>
          <t>Semestral</t>
        </is>
      </c>
      <c r="E926" s="5" t="inlineStr">
        <is>
          <t>Positivo</t>
        </is>
      </c>
      <c r="F926" s="107" t="n">
        <v>45291</v>
      </c>
      <c r="G926" s="5" t="n">
        <v>2023</v>
      </c>
      <c r="H926" s="5" t="inlineStr">
        <is>
          <t>Diciembre</t>
        </is>
      </c>
      <c r="I926" s="6" t="inlineStr">
        <is>
          <t>2023-2</t>
        </is>
      </c>
      <c r="J926" s="5" t="n">
        <v>100</v>
      </c>
      <c r="K926" s="5" t="n">
        <v>100</v>
      </c>
      <c r="L926" s="14">
        <f>IFERROR(IF(OR(J926=0,K926=""),"",IF(E926="Positivo",MIN(MAX(K926/J926,0),1.3),MIN(MAX(J926/K926,0),1.3))),"") </f>
        <v/>
      </c>
      <c r="M926" s="14">
        <f>IFERROR(IF(OR(J926=0,K926=""),"",IF(E926="Positivo",MAX(K926/J926,0),MAX(J926/K926,0))),"") </f>
        <v/>
      </c>
      <c r="N926" s="5" t="inlineStr">
        <is>
          <t>ENT</t>
        </is>
      </c>
      <c r="O926" s="5" t="inlineStr">
        <is>
          <t>ENT</t>
        </is>
      </c>
      <c r="P926" s="5" t="n">
        <v>0</v>
      </c>
      <c r="Q926" s="5" t="n">
        <v>0</v>
      </c>
      <c r="R926" s="5" t="inlineStr">
        <is>
          <t>324-2023-12-31</t>
        </is>
      </c>
    </row>
    <row r="927">
      <c r="A927" s="5" t="n">
        <v>324</v>
      </c>
      <c r="B927" s="5" t="inlineStr">
        <is>
          <t>Número de programas nuevos radicados en el Ministerio de Educación</t>
        </is>
      </c>
      <c r="C927" s="5" t="inlineStr">
        <is>
          <t>Creación, modificación y cierre de programas académicos</t>
        </is>
      </c>
      <c r="D927" s="5" t="inlineStr">
        <is>
          <t>Semestral</t>
        </is>
      </c>
      <c r="E927" s="5" t="inlineStr">
        <is>
          <t>Positivo</t>
        </is>
      </c>
      <c r="F927" s="107" t="n">
        <v>45473</v>
      </c>
      <c r="G927" s="5" t="n">
        <v>2024</v>
      </c>
      <c r="H927" s="5" t="inlineStr">
        <is>
          <t>Junio</t>
        </is>
      </c>
      <c r="I927" s="6" t="inlineStr">
        <is>
          <t>2024-1</t>
        </is>
      </c>
      <c r="J927" s="5" t="n">
        <v>100</v>
      </c>
      <c r="K927" s="5" t="n"/>
      <c r="L927" s="14" t="n"/>
      <c r="M927" s="14" t="n"/>
      <c r="N927" s="5" t="n"/>
      <c r="O927" s="5" t="n"/>
      <c r="P927" s="5" t="n">
        <v>0</v>
      </c>
      <c r="Q927" s="5" t="n">
        <v>0</v>
      </c>
      <c r="R927" s="5" t="inlineStr">
        <is>
          <t>324-2024-06-30</t>
        </is>
      </c>
    </row>
    <row r="928">
      <c r="A928" s="34" t="n">
        <v>324</v>
      </c>
      <c r="B928" s="5" t="inlineStr">
        <is>
          <t>Número de programas nuevos radicados en el Ministerio de Educación</t>
        </is>
      </c>
      <c r="C928" s="5" t="inlineStr">
        <is>
          <t>Creación, modificación y cierre de programas académicos</t>
        </is>
      </c>
      <c r="D928" s="5" t="inlineStr">
        <is>
          <t>Semestral</t>
        </is>
      </c>
      <c r="E928" s="5" t="inlineStr">
        <is>
          <t>Positivo</t>
        </is>
      </c>
      <c r="F928" s="107" t="n">
        <v>45657</v>
      </c>
      <c r="G928" s="5" t="n">
        <v>2024</v>
      </c>
      <c r="H928" s="5" t="inlineStr">
        <is>
          <t>Diciembre</t>
        </is>
      </c>
      <c r="I928" s="6" t="inlineStr">
        <is>
          <t>2024-2</t>
        </is>
      </c>
      <c r="J928" s="5" t="n">
        <v>100</v>
      </c>
      <c r="K928" s="5" t="n">
        <v>100</v>
      </c>
      <c r="L928" s="74">
        <f>IFERROR(IF(OR(J928=0,K928=""),"",IF(E928="Positivo",MIN(MAX(K928/J928,0),1.3),MIN(MAX(J928/K928,0),1.3))),"") </f>
        <v/>
      </c>
      <c r="M928" s="14">
        <f>IFERROR(IF(OR(J928=0,K928=""),"",IF(E928="Positivo",MAX(K928/J928,0),MAX(J928/K928,0))),"") </f>
        <v/>
      </c>
      <c r="N928" s="5" t="inlineStr">
        <is>
          <t>ENT</t>
        </is>
      </c>
      <c r="O928" s="5" t="inlineStr">
        <is>
          <t>ENT</t>
        </is>
      </c>
      <c r="P928" s="5" t="n">
        <v>0</v>
      </c>
      <c r="Q928" s="5" t="n">
        <v>0</v>
      </c>
      <c r="R928" s="5" t="inlineStr">
        <is>
          <t>324-2024-12-31</t>
        </is>
      </c>
    </row>
    <row r="929">
      <c r="A929" s="26" t="n">
        <v>324</v>
      </c>
      <c r="B929" s="5" t="inlineStr">
        <is>
          <t>Número de programas nuevos radicados en el Ministerio de Educación</t>
        </is>
      </c>
      <c r="C929" s="5" t="inlineStr">
        <is>
          <t>Creación, modificación y cierre de programas académicos</t>
        </is>
      </c>
      <c r="D929" s="5" t="inlineStr">
        <is>
          <t>Semestral</t>
        </is>
      </c>
      <c r="E929" s="5" t="inlineStr">
        <is>
          <t>Positivo</t>
        </is>
      </c>
      <c r="F929" s="107" t="n">
        <v>45838</v>
      </c>
      <c r="G929" s="5" t="n">
        <v>2025</v>
      </c>
      <c r="H929" s="5" t="inlineStr">
        <is>
          <t>Junio</t>
        </is>
      </c>
      <c r="I929" s="6" t="inlineStr">
        <is>
          <t>2025-1</t>
        </is>
      </c>
      <c r="J929" s="5" t="n">
        <v>100</v>
      </c>
      <c r="K929" s="5" t="n">
        <v>100</v>
      </c>
      <c r="L929" s="74">
        <f>IFERROR(IF(OR(J929=0,K929=""),"",IF(E929="Positivo",MIN(MAX(K929/J929,0),1.3),MIN(MAX(J929/K929,0),1.3))),"") </f>
        <v/>
      </c>
      <c r="M929" s="14">
        <f>IFERROR(IF(OR(J929=0,K929=""),"",IF(E929="Positivo",MAX(K929/J929,0),MAX(J929/K929,0))),"") </f>
        <v/>
      </c>
      <c r="N929" s="5" t="inlineStr">
        <is>
          <t>ENT</t>
        </is>
      </c>
      <c r="O929" s="5" t="inlineStr">
        <is>
          <t>ENT</t>
        </is>
      </c>
      <c r="P929" s="5" t="n">
        <v>0</v>
      </c>
      <c r="Q929" s="5" t="n">
        <v>0</v>
      </c>
      <c r="R929" s="5" t="inlineStr">
        <is>
          <t>324-2025-06-30</t>
        </is>
      </c>
    </row>
    <row r="930">
      <c r="A930" s="28" t="n">
        <v>324</v>
      </c>
      <c r="B930" s="5" t="inlineStr">
        <is>
          <t>Número de programas nuevos radicados en el Ministerio de Educación</t>
        </is>
      </c>
      <c r="C930" s="5" t="inlineStr">
        <is>
          <t>Creación, modificación y cierre de programas académicos</t>
        </is>
      </c>
      <c r="D930" s="5" t="inlineStr">
        <is>
          <t>Trimestral</t>
        </is>
      </c>
      <c r="E930" s="5" t="inlineStr">
        <is>
          <t>Positivo</t>
        </is>
      </c>
      <c r="F930" s="107" t="n">
        <v>46022</v>
      </c>
      <c r="G930" s="5" t="n">
        <v>2025</v>
      </c>
      <c r="H930" s="5" t="inlineStr">
        <is>
          <t>Diciembre</t>
        </is>
      </c>
      <c r="I930" s="6" t="inlineStr">
        <is>
          <t>2025-2</t>
        </is>
      </c>
      <c r="J930" s="5" t="n">
        <v>100</v>
      </c>
      <c r="K930" s="5" t="n">
        <v>200</v>
      </c>
      <c r="L930" s="74">
        <f>IFERROR(IF(OR(J930=0,K930=""),"",IF(E930="Positivo",MIN(MAX(K930/J930,0),1.3),MIN(MAX(J930/K930,0),1.3))),"") </f>
        <v/>
      </c>
      <c r="M930" s="14">
        <f>IFERROR(IF(OR(J930=0,K930=""),"",IF(E930="Positivo",MAX(K930/J930,0),MAX(J930/K930,0))),"") </f>
        <v/>
      </c>
      <c r="N930" s="5" t="inlineStr">
        <is>
          <t>ENT</t>
        </is>
      </c>
      <c r="O930" s="5" t="inlineStr">
        <is>
          <t>ENT</t>
        </is>
      </c>
      <c r="P930" s="5" t="n">
        <v>0</v>
      </c>
      <c r="Q930" s="5" t="n">
        <v>0</v>
      </c>
      <c r="R930" s="5" t="inlineStr">
        <is>
          <t>324-2025-12-31</t>
        </is>
      </c>
    </row>
    <row r="931">
      <c r="A931" s="26" t="n">
        <v>325</v>
      </c>
      <c r="B931" s="5" t="inlineStr">
        <is>
          <t>Número de programas nuevos con registro calificado aprobado</t>
        </is>
      </c>
      <c r="C931" s="5" t="inlineStr">
        <is>
          <t>Creación, modificación y cierre de programas académicos</t>
        </is>
      </c>
      <c r="D931" s="5" t="inlineStr">
        <is>
          <t>Semestral</t>
        </is>
      </c>
      <c r="E931" s="5" t="inlineStr">
        <is>
          <t>Positivo</t>
        </is>
      </c>
      <c r="F931" s="107" t="n">
        <v>45107</v>
      </c>
      <c r="G931" s="5" t="n">
        <v>2023</v>
      </c>
      <c r="H931" s="5" t="inlineStr">
        <is>
          <t>Junio</t>
        </is>
      </c>
      <c r="I931" s="6" t="inlineStr">
        <is>
          <t>2023-1</t>
        </is>
      </c>
      <c r="J931" s="5" t="n">
        <v>100</v>
      </c>
      <c r="K931" s="5" t="n">
        <v>100</v>
      </c>
      <c r="L931" s="74">
        <f>IFERROR(IF(OR(J931=0,K931=""),"",IF(E931="Positivo",MIN(MAX(K931/J931,0),1.3),MIN(MAX(J931/K931,0),1.3))),"") </f>
        <v/>
      </c>
      <c r="M931" s="14">
        <f>IFERROR(IF(OR(J931=0,K931=""),"",IF(E931="Positivo",MAX(K931/J931,0),MAX(J931/K931,0))),"") </f>
        <v/>
      </c>
      <c r="N931" s="5" t="inlineStr">
        <is>
          <t>ENT</t>
        </is>
      </c>
      <c r="O931" s="5" t="inlineStr">
        <is>
          <t>ENT</t>
        </is>
      </c>
      <c r="P931" s="5" t="n">
        <v>0</v>
      </c>
      <c r="Q931" s="5" t="n">
        <v>0</v>
      </c>
      <c r="R931" s="5" t="inlineStr">
        <is>
          <t>325-2023-06-30</t>
        </is>
      </c>
    </row>
    <row r="932">
      <c r="A932" s="5" t="n">
        <v>325</v>
      </c>
      <c r="B932" s="5" t="inlineStr">
        <is>
          <t>Número de programas nuevos con registro calificado aprobado</t>
        </is>
      </c>
      <c r="C932" s="5" t="inlineStr">
        <is>
          <t>Creación, modificación y cierre de programas académicos</t>
        </is>
      </c>
      <c r="D932" s="5" t="inlineStr">
        <is>
          <t>Semestral</t>
        </is>
      </c>
      <c r="E932" s="5" t="inlineStr">
        <is>
          <t>Positivo</t>
        </is>
      </c>
      <c r="F932" s="107" t="n">
        <v>45291</v>
      </c>
      <c r="G932" s="5" t="n">
        <v>2023</v>
      </c>
      <c r="H932" s="5" t="inlineStr">
        <is>
          <t>Diciembre</t>
        </is>
      </c>
      <c r="I932" s="6" t="inlineStr">
        <is>
          <t>2023-2</t>
        </is>
      </c>
      <c r="J932" s="5" t="n">
        <v>100</v>
      </c>
      <c r="K932" s="5" t="n">
        <v>0</v>
      </c>
      <c r="L932" s="14">
        <f>IFERROR(IF(OR(J932=0,K932=""),"",IF(E932="Positivo",MIN(MAX(K932/J932,0),1.3),MIN(MAX(J932/K932,0),1.3))),"") </f>
        <v/>
      </c>
      <c r="M932" s="14">
        <f>IFERROR(IF(OR(J932=0,K932=""),"",IF(E932="Positivo",MAX(K932/J932,0),MAX(J932/K932,0))),"") </f>
        <v/>
      </c>
      <c r="N932" s="5" t="n"/>
      <c r="O932" s="5" t="n"/>
      <c r="P932" s="5" t="n">
        <v>0</v>
      </c>
      <c r="Q932" s="5" t="n">
        <v>0</v>
      </c>
      <c r="R932" s="5" t="inlineStr">
        <is>
          <t>325-2023-12-31</t>
        </is>
      </c>
    </row>
    <row r="933">
      <c r="A933" s="5" t="n">
        <v>325</v>
      </c>
      <c r="B933" s="5" t="inlineStr">
        <is>
          <t>Número de programas nuevos con registro calificado aprobado</t>
        </is>
      </c>
      <c r="C933" s="5" t="inlineStr">
        <is>
          <t>Creación, modificación y cierre de programas académicos</t>
        </is>
      </c>
      <c r="D933" s="5" t="inlineStr">
        <is>
          <t>Semestral</t>
        </is>
      </c>
      <c r="E933" s="5" t="inlineStr">
        <is>
          <t>Positivo</t>
        </is>
      </c>
      <c r="F933" s="107" t="n">
        <v>45473</v>
      </c>
      <c r="G933" s="5" t="n">
        <v>2024</v>
      </c>
      <c r="H933" s="5" t="inlineStr">
        <is>
          <t>Junio</t>
        </is>
      </c>
      <c r="I933" s="6" t="inlineStr">
        <is>
          <t>2024-1</t>
        </is>
      </c>
      <c r="J933" s="5" t="n">
        <v>100</v>
      </c>
      <c r="K933" s="5" t="n">
        <v>100</v>
      </c>
      <c r="L933" s="14">
        <f>IFERROR(IF(OR(J933=0,K933=""),"",IF(E933="Positivo",MIN(MAX(K933/J933,0),1.3),MIN(MAX(J933/K933,0),1.3))),"") </f>
        <v/>
      </c>
      <c r="M933" s="14">
        <f>IFERROR(IF(OR(J933=0,K933=""),"",IF(E933="Positivo",MAX(K933/J933,0),MAX(J933/K933,0))),"") </f>
        <v/>
      </c>
      <c r="N933" s="5" t="inlineStr">
        <is>
          <t>ENT</t>
        </is>
      </c>
      <c r="O933" s="5" t="inlineStr">
        <is>
          <t>ENT</t>
        </is>
      </c>
      <c r="P933" s="5" t="n">
        <v>0</v>
      </c>
      <c r="Q933" s="5" t="n">
        <v>0</v>
      </c>
      <c r="R933" s="5" t="inlineStr">
        <is>
          <t>325-2024-06-30</t>
        </is>
      </c>
    </row>
    <row r="934">
      <c r="A934" s="34" t="n">
        <v>325</v>
      </c>
      <c r="B934" s="5" t="inlineStr">
        <is>
          <t>Número de programas nuevos con registro calificado aprobado</t>
        </is>
      </c>
      <c r="C934" s="5" t="inlineStr">
        <is>
          <t>Creación, modificación y cierre de programas académicos</t>
        </is>
      </c>
      <c r="D934" s="5" t="inlineStr">
        <is>
          <t>Semestral</t>
        </is>
      </c>
      <c r="E934" s="5" t="inlineStr">
        <is>
          <t>Positivo</t>
        </is>
      </c>
      <c r="F934" s="107" t="n">
        <v>45657</v>
      </c>
      <c r="G934" s="5" t="n">
        <v>2024</v>
      </c>
      <c r="H934" s="5" t="inlineStr">
        <is>
          <t>Diciembre</t>
        </is>
      </c>
      <c r="I934" s="6" t="inlineStr">
        <is>
          <t>2024-2</t>
        </is>
      </c>
      <c r="J934" s="5" t="n">
        <v>100</v>
      </c>
      <c r="K934" s="5" t="n">
        <v>100</v>
      </c>
      <c r="L934" s="74">
        <f>IFERROR(IF(OR(J934=0,K934=""),"",IF(E934="Positivo",MIN(MAX(K934/J934,0),1.3),MIN(MAX(J934/K934,0),1.3))),"") </f>
        <v/>
      </c>
      <c r="M934" s="14">
        <f>IFERROR(IF(OR(J934=0,K934=""),"",IF(E934="Positivo",MAX(K934/J934,0),MAX(J934/K934,0))),"") </f>
        <v/>
      </c>
      <c r="N934" s="5" t="inlineStr">
        <is>
          <t>ENT</t>
        </is>
      </c>
      <c r="O934" s="5" t="inlineStr">
        <is>
          <t>ENT</t>
        </is>
      </c>
      <c r="P934" s="5" t="n">
        <v>0</v>
      </c>
      <c r="Q934" s="5" t="n">
        <v>0</v>
      </c>
      <c r="R934" s="5" t="inlineStr">
        <is>
          <t>325-2024-12-31</t>
        </is>
      </c>
    </row>
    <row r="935">
      <c r="A935" s="26" t="n">
        <v>325</v>
      </c>
      <c r="B935" s="5" t="inlineStr">
        <is>
          <t>Número de programas nuevos con registro calificado aprobado</t>
        </is>
      </c>
      <c r="C935" s="5" t="inlineStr">
        <is>
          <t>Creación, modificación y cierre de programas académicos</t>
        </is>
      </c>
      <c r="D935" s="5" t="inlineStr">
        <is>
          <t>Semestral</t>
        </is>
      </c>
      <c r="E935" s="5" t="inlineStr">
        <is>
          <t>Positivo</t>
        </is>
      </c>
      <c r="F935" s="107" t="n">
        <v>45838</v>
      </c>
      <c r="G935" s="5" t="n">
        <v>2025</v>
      </c>
      <c r="H935" s="5" t="inlineStr">
        <is>
          <t>Junio</t>
        </is>
      </c>
      <c r="I935" s="6" t="inlineStr">
        <is>
          <t>2025-1</t>
        </is>
      </c>
      <c r="J935" s="5" t="n">
        <v>8</v>
      </c>
      <c r="K935" s="5" t="n">
        <v>100</v>
      </c>
      <c r="L935" s="74">
        <f>IFERROR(IF(OR(J935=0,K935=""),"",IF(E935="Positivo",MIN(MAX(K935/J935,0),1.3),MIN(MAX(J935/K935,0),1.3))),"") </f>
        <v/>
      </c>
      <c r="M935" s="14">
        <f>IFERROR(IF(OR(J935=0,K935=""),"",IF(E935="Positivo",MAX(K935/J935,0),MAX(J935/K935,0))),"") </f>
        <v/>
      </c>
      <c r="N935" s="5" t="inlineStr">
        <is>
          <t>ENT</t>
        </is>
      </c>
      <c r="O935" s="5" t="inlineStr">
        <is>
          <t>ENT</t>
        </is>
      </c>
      <c r="P935" s="5" t="n">
        <v>0</v>
      </c>
      <c r="Q935" s="5" t="n">
        <v>0</v>
      </c>
      <c r="R935" s="5" t="inlineStr">
        <is>
          <t>325-2025-06-30</t>
        </is>
      </c>
    </row>
    <row r="936">
      <c r="A936" s="28" t="n">
        <v>325</v>
      </c>
      <c r="B936" s="5" t="inlineStr">
        <is>
          <t>Número de programas nuevos con registro calificado aprobado - Metrica</t>
        </is>
      </c>
      <c r="C936" s="5" t="inlineStr">
        <is>
          <t>Creación, modificación y cierre de programas académicos</t>
        </is>
      </c>
      <c r="D936" s="5" t="inlineStr">
        <is>
          <t>Trimestral</t>
        </is>
      </c>
      <c r="E936" s="5" t="inlineStr">
        <is>
          <t>Positivo</t>
        </is>
      </c>
      <c r="F936" s="107" t="n">
        <v>46022</v>
      </c>
      <c r="G936" s="5" t="n">
        <v>2025</v>
      </c>
      <c r="H936" s="5" t="inlineStr">
        <is>
          <t>Diciembre</t>
        </is>
      </c>
      <c r="I936" s="6" t="inlineStr">
        <is>
          <t>2025-2</t>
        </is>
      </c>
      <c r="J936" s="5" t="n"/>
      <c r="K936" s="5" t="n">
        <v>100</v>
      </c>
      <c r="L936" s="74" t="n"/>
      <c r="M936" s="14" t="n"/>
      <c r="N936" s="5" t="inlineStr">
        <is>
          <t>ENT</t>
        </is>
      </c>
      <c r="O936" s="5" t="inlineStr">
        <is>
          <t>ENT</t>
        </is>
      </c>
      <c r="P936" s="5" t="n">
        <v>0</v>
      </c>
      <c r="Q936" s="5" t="n">
        <v>0</v>
      </c>
      <c r="R936" s="5" t="inlineStr">
        <is>
          <t>325-2025-12-31</t>
        </is>
      </c>
      <c r="S936" t="inlineStr">
        <is>
          <t>Metrica</t>
        </is>
      </c>
    </row>
    <row r="937">
      <c r="A937" s="26" t="n">
        <v>326</v>
      </c>
      <c r="B937" s="5" t="inlineStr">
        <is>
          <t>Número de informes de autoevaluación con fines de acreditación en alta calidad radicados</t>
        </is>
      </c>
      <c r="C937" s="5" t="inlineStr">
        <is>
          <t>Autoevaluación de programas académicos</t>
        </is>
      </c>
      <c r="D937" s="5" t="inlineStr">
        <is>
          <t>Anual</t>
        </is>
      </c>
      <c r="E937" s="5" t="inlineStr">
        <is>
          <t>Positivo</t>
        </is>
      </c>
      <c r="F937" s="107" t="n">
        <v>45291</v>
      </c>
      <c r="G937" s="5" t="n">
        <v>2023</v>
      </c>
      <c r="H937" s="5" t="inlineStr">
        <is>
          <t>Diciembre</t>
        </is>
      </c>
      <c r="I937" s="6" t="inlineStr">
        <is>
          <t>2023-2</t>
        </is>
      </c>
      <c r="J937" s="5" t="n">
        <v>100</v>
      </c>
      <c r="K937" s="5" t="n">
        <v>100</v>
      </c>
      <c r="L937" s="74">
        <f>IFERROR(IF(OR(J937=0,K937=""),"",IF(E937="Positivo",MIN(MAX(K937/J937,0),1.3),MIN(MAX(J937/K937,0),1.3))),"") </f>
        <v/>
      </c>
      <c r="M937" s="14">
        <f>IFERROR(IF(OR(J937=0,K937=""),"",IF(E937="Positivo",MAX(K937/J937,0),MAX(J937/K937,0))),"") </f>
        <v/>
      </c>
      <c r="N937" s="5" t="n"/>
      <c r="O937" s="5" t="n"/>
      <c r="P937" s="5" t="n">
        <v>0</v>
      </c>
      <c r="Q937" s="5" t="n">
        <v>0</v>
      </c>
      <c r="R937" s="5" t="inlineStr">
        <is>
          <t>326-2023-12-31</t>
        </is>
      </c>
    </row>
    <row r="938">
      <c r="A938" s="34" t="n">
        <v>326</v>
      </c>
      <c r="B938" s="5" t="inlineStr">
        <is>
          <t>Número de informes de autoevaluación con fines de acreditación en alta calidad radicados</t>
        </is>
      </c>
      <c r="C938" s="5" t="inlineStr">
        <is>
          <t>Autoevaluación de programas académicos</t>
        </is>
      </c>
      <c r="D938" s="5" t="inlineStr">
        <is>
          <t>Anual</t>
        </is>
      </c>
      <c r="E938" s="5" t="inlineStr">
        <is>
          <t>Positivo</t>
        </is>
      </c>
      <c r="F938" s="107" t="n">
        <v>45657</v>
      </c>
      <c r="G938" s="5" t="n">
        <v>2024</v>
      </c>
      <c r="H938" s="5" t="inlineStr">
        <is>
          <t>Diciembre</t>
        </is>
      </c>
      <c r="I938" s="6" t="inlineStr">
        <is>
          <t>2024-2</t>
        </is>
      </c>
      <c r="J938" s="5" t="n">
        <v>0</v>
      </c>
      <c r="K938" s="5" t="n"/>
      <c r="L938" s="74" t="n"/>
      <c r="M938" s="14" t="n"/>
      <c r="N938" s="5" t="inlineStr">
        <is>
          <t>ENT</t>
        </is>
      </c>
      <c r="O938" s="5" t="inlineStr">
        <is>
          <t>N/A</t>
        </is>
      </c>
      <c r="P938" s="5" t="n">
        <v>0</v>
      </c>
      <c r="Q938" s="5" t="n">
        <v>0</v>
      </c>
      <c r="R938" s="5" t="inlineStr">
        <is>
          <t>326-2024-12-31</t>
        </is>
      </c>
    </row>
    <row r="939">
      <c r="A939" s="26" t="n">
        <v>326</v>
      </c>
      <c r="B939" s="5" t="inlineStr">
        <is>
          <t>Número de informes de autoevaluación con fines de acreditación en alta calidad radicados- Metrica</t>
        </is>
      </c>
      <c r="C939" s="5" t="inlineStr">
        <is>
          <t>Autoevaluación de programas académicos</t>
        </is>
      </c>
      <c r="D939" s="5" t="inlineStr">
        <is>
          <t>Anual</t>
        </is>
      </c>
      <c r="E939" s="5" t="inlineStr">
        <is>
          <t>Positivo</t>
        </is>
      </c>
      <c r="F939" s="107" t="n">
        <v>46022</v>
      </c>
      <c r="G939" s="5" t="n">
        <v>2025</v>
      </c>
      <c r="H939" s="5" t="inlineStr">
        <is>
          <t>Diciembre</t>
        </is>
      </c>
      <c r="I939" s="6" t="inlineStr">
        <is>
          <t>2025-2</t>
        </is>
      </c>
      <c r="J939" s="5" t="n">
        <v>3</v>
      </c>
      <c r="K939" s="5" t="n">
        <v>100</v>
      </c>
      <c r="L939" s="74" t="n"/>
      <c r="M939" s="14" t="n"/>
      <c r="N939" s="5" t="inlineStr">
        <is>
          <t>ENT</t>
        </is>
      </c>
      <c r="O939" s="5" t="inlineStr">
        <is>
          <t>ENT</t>
        </is>
      </c>
      <c r="P939" s="5" t="n">
        <v>0</v>
      </c>
      <c r="Q939" s="5" t="n">
        <v>0</v>
      </c>
      <c r="R939" s="5" t="inlineStr">
        <is>
          <t>326-2025-12-31</t>
        </is>
      </c>
      <c r="S939" t="inlineStr">
        <is>
          <t>Metrica</t>
        </is>
      </c>
    </row>
    <row r="940">
      <c r="A940" s="28" t="n">
        <v>327</v>
      </c>
      <c r="B940" s="5" t="inlineStr">
        <is>
          <t>Número de programas con obtención de acreditación por primera vez</t>
        </is>
      </c>
      <c r="C940" s="5" t="inlineStr">
        <is>
          <t>Autoevaluación de programas académicos</t>
        </is>
      </c>
      <c r="D940" s="5" t="inlineStr">
        <is>
          <t>Semestral</t>
        </is>
      </c>
      <c r="E940" s="5" t="inlineStr">
        <is>
          <t>Positivo</t>
        </is>
      </c>
      <c r="F940" s="107" t="n">
        <v>45107</v>
      </c>
      <c r="G940" s="5" t="n">
        <v>2023</v>
      </c>
      <c r="H940" s="5" t="inlineStr">
        <is>
          <t>Junio</t>
        </is>
      </c>
      <c r="I940" s="6" t="inlineStr">
        <is>
          <t>2023-1</t>
        </is>
      </c>
      <c r="J940" s="5" t="n">
        <v>100</v>
      </c>
      <c r="K940" s="5" t="n">
        <v>0</v>
      </c>
      <c r="L940" s="74">
        <f>IFERROR(IF(OR(J940=0,K940=""),"",IF(E940="Positivo",MIN(MAX(K940/J940,0),1.3),MIN(MAX(J940/K940,0),1.3))),"") </f>
        <v/>
      </c>
      <c r="M940" s="14">
        <f>IFERROR(IF(OR(J940=0,K940=""),"",IF(E940="Positivo",MAX(K940/J940,0),MAX(J940/K940,0))),"") </f>
        <v/>
      </c>
      <c r="N940" s="5" t="n"/>
      <c r="O940" s="5" t="n"/>
      <c r="P940" s="5" t="n">
        <v>0</v>
      </c>
      <c r="Q940" s="5" t="n">
        <v>0</v>
      </c>
      <c r="R940" s="5" t="inlineStr">
        <is>
          <t>327-2023-06-30</t>
        </is>
      </c>
    </row>
    <row r="941">
      <c r="A941" s="26" t="n">
        <v>327</v>
      </c>
      <c r="B941" s="5" t="inlineStr">
        <is>
          <t>Número de programas con obtención de acreditación por primera vez</t>
        </is>
      </c>
      <c r="C941" s="5" t="inlineStr">
        <is>
          <t>Autoevaluación de programas académicos</t>
        </is>
      </c>
      <c r="D941" s="5" t="inlineStr">
        <is>
          <t>Semestral</t>
        </is>
      </c>
      <c r="E941" s="5" t="inlineStr">
        <is>
          <t>Positivo</t>
        </is>
      </c>
      <c r="F941" s="107" t="n">
        <v>45291</v>
      </c>
      <c r="G941" s="5" t="n">
        <v>2023</v>
      </c>
      <c r="H941" s="5" t="inlineStr">
        <is>
          <t>Diciembre</t>
        </is>
      </c>
      <c r="I941" s="6" t="inlineStr">
        <is>
          <t>2023-2</t>
        </is>
      </c>
      <c r="J941" s="5" t="n">
        <v>100</v>
      </c>
      <c r="K941" s="5" t="n">
        <v>100</v>
      </c>
      <c r="L941" s="74">
        <f>IFERROR(IF(OR(J941=0,K941=""),"",IF(E941="Positivo",MIN(MAX(K941/J941,0),1.3),MIN(MAX(J941/K941,0),1.3))),"") </f>
        <v/>
      </c>
      <c r="M941" s="14">
        <f>IFERROR(IF(OR(J941=0,K941=""),"",IF(E941="Positivo",MAX(K941/J941,0),MAX(J941/K941,0))),"") </f>
        <v/>
      </c>
      <c r="N941" s="5" t="inlineStr">
        <is>
          <t>ENT</t>
        </is>
      </c>
      <c r="O941" s="5" t="inlineStr">
        <is>
          <t>ENT</t>
        </is>
      </c>
      <c r="P941" s="5" t="n">
        <v>0</v>
      </c>
      <c r="Q941" s="5" t="n">
        <v>0</v>
      </c>
      <c r="R941" s="5" t="inlineStr">
        <is>
          <t>327-2023-12-31</t>
        </is>
      </c>
    </row>
    <row r="942">
      <c r="A942" s="5" t="n">
        <v>327</v>
      </c>
      <c r="B942" s="5" t="inlineStr">
        <is>
          <t>Número de programas con obtención de acreditación por primera vez</t>
        </is>
      </c>
      <c r="C942" s="5" t="inlineStr">
        <is>
          <t>Autoevaluación de programas académicos</t>
        </is>
      </c>
      <c r="D942" s="5" t="inlineStr">
        <is>
          <t>Semestral</t>
        </is>
      </c>
      <c r="E942" s="5" t="inlineStr">
        <is>
          <t>Positivo</t>
        </is>
      </c>
      <c r="F942" s="107" t="n">
        <v>45473</v>
      </c>
      <c r="G942" s="5" t="n">
        <v>2024</v>
      </c>
      <c r="H942" s="5" t="inlineStr">
        <is>
          <t>Junio</t>
        </is>
      </c>
      <c r="I942" s="6" t="inlineStr">
        <is>
          <t>2024-1</t>
        </is>
      </c>
      <c r="J942" s="5" t="n">
        <v>100</v>
      </c>
      <c r="K942" s="5" t="n">
        <v>0</v>
      </c>
      <c r="L942" s="14">
        <f>IFERROR(IF(OR(J942=0,K942=""),"",IF(E942="Positivo",MIN(MAX(K942/J942,0),1.3),MIN(MAX(J942/K942,0),1.3))),"") </f>
        <v/>
      </c>
      <c r="M942" s="14">
        <f>IFERROR(IF(OR(J942=0,K942=""),"",IF(E942="Positivo",MAX(K942/J942,0),MAX(J942/K942,0))),"") </f>
        <v/>
      </c>
      <c r="N942" s="5" t="n"/>
      <c r="O942" s="5" t="n"/>
      <c r="P942" s="5" t="n">
        <v>0</v>
      </c>
      <c r="Q942" s="5" t="n">
        <v>0</v>
      </c>
      <c r="R942" s="5" t="inlineStr">
        <is>
          <t>327-2024-06-30</t>
        </is>
      </c>
    </row>
    <row r="943">
      <c r="A943" s="5" t="n">
        <v>327</v>
      </c>
      <c r="B943" s="5" t="inlineStr">
        <is>
          <t>Número de programas con obtención de acreditación por primera vez</t>
        </is>
      </c>
      <c r="C943" s="5" t="inlineStr">
        <is>
          <t>Autoevaluación de programas académicos</t>
        </is>
      </c>
      <c r="D943" s="5" t="inlineStr">
        <is>
          <t>Semestral</t>
        </is>
      </c>
      <c r="E943" s="5" t="inlineStr">
        <is>
          <t>Positivo</t>
        </is>
      </c>
      <c r="F943" s="107" t="n">
        <v>45657</v>
      </c>
      <c r="G943" s="5" t="n">
        <v>2024</v>
      </c>
      <c r="H943" s="5" t="inlineStr">
        <is>
          <t>Diciembre</t>
        </is>
      </c>
      <c r="I943" s="6" t="inlineStr">
        <is>
          <t>2024-2</t>
        </is>
      </c>
      <c r="J943" s="5" t="n">
        <v>100</v>
      </c>
      <c r="K943" s="5" t="n">
        <v>0</v>
      </c>
      <c r="L943" s="14">
        <f>IFERROR(IF(OR(J943=0,K943=""),"",IF(E943="Positivo",MIN(MAX(K943/J943,0),1.3),MIN(MAX(J943/K943,0),1.3))),"") </f>
        <v/>
      </c>
      <c r="M943" s="14">
        <f>IFERROR(IF(OR(J943=0,K943=""),"",IF(E943="Positivo",MAX(K943/J943,0),MAX(J943/K943,0))),"") </f>
        <v/>
      </c>
      <c r="N943" s="5" t="n"/>
      <c r="O943" s="5" t="n"/>
      <c r="P943" s="5" t="n">
        <v>0</v>
      </c>
      <c r="Q943" s="5" t="n">
        <v>0</v>
      </c>
      <c r="R943" s="5" t="inlineStr">
        <is>
          <t>327-2024-12-31</t>
        </is>
      </c>
    </row>
    <row r="944">
      <c r="A944" s="28" t="n">
        <v>327</v>
      </c>
      <c r="B944" s="5" t="inlineStr">
        <is>
          <t>Número de programas con obtención de acreditación por primera vez</t>
        </is>
      </c>
      <c r="C944" s="5" t="inlineStr">
        <is>
          <t>Autoevaluación de programas académicos</t>
        </is>
      </c>
      <c r="D944" s="5" t="inlineStr">
        <is>
          <t>Semestral</t>
        </is>
      </c>
      <c r="E944" s="5" t="inlineStr">
        <is>
          <t>Positivo</t>
        </is>
      </c>
      <c r="F944" s="107" t="n">
        <v>45838</v>
      </c>
      <c r="G944" s="5" t="n">
        <v>2025</v>
      </c>
      <c r="H944" s="5" t="inlineStr">
        <is>
          <t>Junio</t>
        </is>
      </c>
      <c r="I944" s="6" t="inlineStr">
        <is>
          <t>2025-1</t>
        </is>
      </c>
      <c r="J944" s="5" t="n">
        <v>100</v>
      </c>
      <c r="K944" s="5" t="n">
        <v>100</v>
      </c>
      <c r="L944" s="14">
        <f>IFERROR(IF(OR(J944=0,K944=""),"",IF(E944="Positivo",MIN(MAX(K944/J944,0),1.3),MIN(MAX(J944/K944,0),1.3))),"") </f>
        <v/>
      </c>
      <c r="M944" s="14">
        <f>IFERROR(IF(OR(J944=0,K944=""),"",IF(E944="Positivo",MAX(K944/J944,0),MAX(J944/K944,0))),"") </f>
        <v/>
      </c>
      <c r="N944" s="5" t="inlineStr">
        <is>
          <t>ENT</t>
        </is>
      </c>
      <c r="O944" s="5" t="inlineStr">
        <is>
          <t>ENT</t>
        </is>
      </c>
      <c r="P944" s="5" t="n">
        <v>0</v>
      </c>
      <c r="Q944" s="5" t="n">
        <v>0</v>
      </c>
      <c r="R944" s="5" t="inlineStr">
        <is>
          <t>327-2025-06-30</t>
        </is>
      </c>
    </row>
    <row r="945">
      <c r="A945" s="26" t="n">
        <v>327</v>
      </c>
      <c r="B945" s="5" t="inlineStr">
        <is>
          <t>Número de programas con obtención de acreditación por primera vez- Metrica</t>
        </is>
      </c>
      <c r="C945" s="5" t="inlineStr">
        <is>
          <t>Autoevaluación de programas académicos</t>
        </is>
      </c>
      <c r="D945" s="5" t="inlineStr">
        <is>
          <t>Trimestral</t>
        </is>
      </c>
      <c r="E945" s="5" t="inlineStr">
        <is>
          <t>Positivo</t>
        </is>
      </c>
      <c r="F945" s="107" t="n">
        <v>46022</v>
      </c>
      <c r="G945" s="5" t="n">
        <v>2025</v>
      </c>
      <c r="H945" s="5" t="inlineStr">
        <is>
          <t>Diciembre</t>
        </is>
      </c>
      <c r="I945" s="6" t="inlineStr">
        <is>
          <t>2025-2</t>
        </is>
      </c>
      <c r="J945" s="5" t="n">
        <v>100</v>
      </c>
      <c r="K945" s="5" t="n">
        <v>100</v>
      </c>
      <c r="L945" s="14" t="n"/>
      <c r="M945" s="14" t="n"/>
      <c r="N945" s="5" t="inlineStr">
        <is>
          <t>ENT</t>
        </is>
      </c>
      <c r="O945" s="5" t="inlineStr">
        <is>
          <t>ENT</t>
        </is>
      </c>
      <c r="P945" s="5" t="n">
        <v>0</v>
      </c>
      <c r="Q945" s="5" t="n">
        <v>0</v>
      </c>
      <c r="R945" s="5" t="inlineStr">
        <is>
          <t>327-2025-12-31</t>
        </is>
      </c>
      <c r="S945" t="inlineStr">
        <is>
          <t>Metrica</t>
        </is>
      </c>
    </row>
    <row r="946">
      <c r="A946" s="26" t="n">
        <v>328</v>
      </c>
      <c r="B946" s="5" t="inlineStr">
        <is>
          <t>Nivel de encuestas obtenidas en el encuentro institucional de graduados</t>
        </is>
      </c>
      <c r="C946" s="5" t="inlineStr">
        <is>
          <t>Gestión de Graduados</t>
        </is>
      </c>
      <c r="D946" s="5" t="inlineStr">
        <is>
          <t>Anual</t>
        </is>
      </c>
      <c r="E946" s="5" t="inlineStr">
        <is>
          <t>Positivo</t>
        </is>
      </c>
      <c r="F946" s="107" t="n">
        <v>45291</v>
      </c>
      <c r="G946" s="5" t="n">
        <v>2023</v>
      </c>
      <c r="H946" s="5" t="inlineStr">
        <is>
          <t>Diciembre</t>
        </is>
      </c>
      <c r="I946" s="6" t="inlineStr">
        <is>
          <t>2023-2</t>
        </is>
      </c>
      <c r="J946" s="5" t="n">
        <v>800</v>
      </c>
      <c r="K946" s="5" t="n">
        <v>1035</v>
      </c>
      <c r="L946" s="14">
        <f>IFERROR(IF(OR(J946=0,K946=""),"",IF(E946="Positivo",MIN(MAX(K946/J946,0),1.3),MIN(MAX(J946/K946,0),1.3))),"") </f>
        <v/>
      </c>
      <c r="M946" s="14">
        <f>IFERROR(IF(OR(J946=0,K946=""),"",IF(E946="Positivo",MAX(K946/J946,0),MAX(J946/K946,0))),"") </f>
        <v/>
      </c>
      <c r="N946" s="5" t="n"/>
      <c r="O946" s="5" t="n"/>
      <c r="P946" s="5" t="n">
        <v>0</v>
      </c>
      <c r="Q946" s="5" t="n">
        <v>0</v>
      </c>
      <c r="R946" s="5" t="inlineStr">
        <is>
          <t>328-2023-12-31</t>
        </is>
      </c>
    </row>
    <row r="947">
      <c r="A947" s="5" t="n">
        <v>328</v>
      </c>
      <c r="B947" s="5" t="inlineStr">
        <is>
          <t>Nivel de encuestas obtenidas en el encuentro institucional de graduados</t>
        </is>
      </c>
      <c r="C947" s="5" t="inlineStr">
        <is>
          <t>Gestión de Graduados</t>
        </is>
      </c>
      <c r="D947" s="5" t="inlineStr">
        <is>
          <t>Anual</t>
        </is>
      </c>
      <c r="E947" s="5" t="inlineStr">
        <is>
          <t>Positivo</t>
        </is>
      </c>
      <c r="F947" s="107" t="n">
        <v>45657</v>
      </c>
      <c r="G947" s="5" t="n">
        <v>2024</v>
      </c>
      <c r="H947" s="5" t="inlineStr">
        <is>
          <t>Diciembre</t>
        </is>
      </c>
      <c r="I947" s="6" t="inlineStr">
        <is>
          <t>2024-2</t>
        </is>
      </c>
      <c r="J947" s="5" t="n">
        <v>100</v>
      </c>
      <c r="K947" s="5" t="n">
        <v>157</v>
      </c>
      <c r="L947" s="14">
        <f>IFERROR(IF(OR(J947=0,K947=""),"",IF(E947="Positivo",MIN(MAX(K947/J947,0),1.3),MIN(MAX(J947/K947,0),1.3))),"") </f>
        <v/>
      </c>
      <c r="M947" s="14">
        <f>IFERROR(IF(OR(J947=0,K947=""),"",IF(E947="Positivo",MAX(K947/J947,0),MAX(J947/K947,0))),"") </f>
        <v/>
      </c>
      <c r="N947" s="5" t="n"/>
      <c r="O947" s="5" t="n"/>
      <c r="P947" s="5" t="n">
        <v>0</v>
      </c>
      <c r="Q947" s="5" t="n">
        <v>0</v>
      </c>
      <c r="R947" s="5" t="inlineStr">
        <is>
          <t>328-2024-12-31</t>
        </is>
      </c>
    </row>
    <row r="948">
      <c r="A948" s="28" t="n">
        <v>329</v>
      </c>
      <c r="B948" s="5" t="inlineStr">
        <is>
          <t>Participación en actividades diseñadas para graduados</t>
        </is>
      </c>
      <c r="C948" s="5" t="inlineStr">
        <is>
          <t>Gestión de Graduados</t>
        </is>
      </c>
      <c r="D948" s="5" t="inlineStr">
        <is>
          <t>Anual</t>
        </is>
      </c>
      <c r="E948" s="5" t="inlineStr">
        <is>
          <t>Positivo</t>
        </is>
      </c>
      <c r="F948" s="107" t="n">
        <v>45291</v>
      </c>
      <c r="G948" s="5" t="n">
        <v>2023</v>
      </c>
      <c r="H948" s="5" t="inlineStr">
        <is>
          <t>Diciembre</t>
        </is>
      </c>
      <c r="I948" s="6" t="inlineStr">
        <is>
          <t>2023-2</t>
        </is>
      </c>
      <c r="J948" s="11" t="n">
        <v>3000</v>
      </c>
      <c r="K948" s="11" t="n">
        <v>3315</v>
      </c>
      <c r="L948" s="74">
        <f>IFERROR(IF(OR(J948=0,K948=""),"",IF(E948="Positivo",MIN(MAX(K948/J948,0),1.3),MIN(MAX(J948/K948,0),1.3))),"") </f>
        <v/>
      </c>
      <c r="M948" s="14">
        <f>IFERROR(IF(OR(J948=0,K948=""),"",IF(E948="Positivo",MAX(K948/J948,0),MAX(J948/K948,0))),"") </f>
        <v/>
      </c>
      <c r="N948" s="5" t="n"/>
      <c r="O948" s="5" t="n"/>
      <c r="P948" s="5" t="n">
        <v>0</v>
      </c>
      <c r="Q948" s="5" t="n">
        <v>0</v>
      </c>
      <c r="R948" s="5" t="inlineStr">
        <is>
          <t>329-2023-12-31</t>
        </is>
      </c>
    </row>
    <row r="949">
      <c r="A949" s="26" t="n">
        <v>329</v>
      </c>
      <c r="B949" s="5" t="inlineStr">
        <is>
          <t>Participación en actividades diseñadas para graduados</t>
        </is>
      </c>
      <c r="C949" s="5" t="inlineStr">
        <is>
          <t>Gestión de Graduados</t>
        </is>
      </c>
      <c r="D949" s="5" t="inlineStr">
        <is>
          <t>Anual</t>
        </is>
      </c>
      <c r="E949" s="5" t="inlineStr">
        <is>
          <t>Positivo</t>
        </is>
      </c>
      <c r="F949" s="107" t="n">
        <v>45657</v>
      </c>
      <c r="G949" s="5" t="n">
        <v>2024</v>
      </c>
      <c r="H949" s="5" t="inlineStr">
        <is>
          <t>Diciembre</t>
        </is>
      </c>
      <c r="I949" s="6" t="inlineStr">
        <is>
          <t>2024-2</t>
        </is>
      </c>
      <c r="J949" s="5" t="n">
        <v>100</v>
      </c>
      <c r="K949" s="5" t="n">
        <v>106.63</v>
      </c>
      <c r="L949" s="74">
        <f>IFERROR(IF(OR(J949=0,K949=""),"",IF(E949="Positivo",MIN(MAX(K949/J949,0),1.3),MIN(MAX(J949/K949,0),1.3))),"") </f>
        <v/>
      </c>
      <c r="M949" s="14">
        <f>IFERROR(IF(OR(J949=0,K949=""),"",IF(E949="Positivo",MAX(K949/J949,0),MAX(J949/K949,0))),"") </f>
        <v/>
      </c>
      <c r="N949" s="5" t="n"/>
      <c r="O949" s="5" t="n"/>
      <c r="P949" s="5" t="n">
        <v>0</v>
      </c>
      <c r="Q949" s="5" t="n">
        <v>0</v>
      </c>
      <c r="R949" s="5" t="inlineStr">
        <is>
          <t>329-2024-12-31</t>
        </is>
      </c>
    </row>
    <row r="950">
      <c r="A950" s="5" t="n">
        <v>331</v>
      </c>
      <c r="B950" s="5" t="inlineStr">
        <is>
          <t>Nivel de empleabilidad del graduado</t>
        </is>
      </c>
      <c r="C950" s="5" t="inlineStr">
        <is>
          <t>Gestión de Graduados</t>
        </is>
      </c>
      <c r="D950" s="5" t="inlineStr">
        <is>
          <t>Anual</t>
        </is>
      </c>
      <c r="E950" s="5" t="inlineStr">
        <is>
          <t>Positivo</t>
        </is>
      </c>
      <c r="F950" s="107" t="n">
        <v>45291</v>
      </c>
      <c r="G950" s="5" t="n">
        <v>2023</v>
      </c>
      <c r="H950" s="5" t="inlineStr">
        <is>
          <t>Diciembre</t>
        </is>
      </c>
      <c r="I950" s="6" t="inlineStr">
        <is>
          <t>2023-2</t>
        </is>
      </c>
      <c r="J950" s="5" t="n">
        <v>0</v>
      </c>
      <c r="K950" s="5" t="n">
        <v>81</v>
      </c>
      <c r="L950" s="14">
        <f>IFERROR(IF(OR(J950=0,K950=""),"",IF(E950="Positivo",MIN(MAX(K950/J950,0),1.3),MIN(MAX(J950/K950,0),1.3))),"") </f>
        <v/>
      </c>
      <c r="M950" s="14">
        <f>IFERROR(IF(OR(J950=0,K950=""),"",IF(E950="Positivo",MAX(K950/J950,0),MAX(J950/K950,0))),"") </f>
        <v/>
      </c>
      <c r="N950" s="5" t="inlineStr">
        <is>
          <t>Metrica</t>
        </is>
      </c>
      <c r="O950" s="5" t="inlineStr">
        <is>
          <t>%</t>
        </is>
      </c>
      <c r="P950" s="5" t="n">
        <v>0</v>
      </c>
      <c r="Q950" s="5" t="n">
        <v>0</v>
      </c>
      <c r="R950" s="5" t="inlineStr">
        <is>
          <t>331-2023-12-31</t>
        </is>
      </c>
    </row>
    <row r="951">
      <c r="A951" s="5" t="n">
        <v>331</v>
      </c>
      <c r="B951" s="5" t="inlineStr">
        <is>
          <t>Nivel de empleabilidad del graduado</t>
        </is>
      </c>
      <c r="C951" s="5" t="inlineStr">
        <is>
          <t>Gestión de Graduados</t>
        </is>
      </c>
      <c r="D951" s="5" t="inlineStr">
        <is>
          <t>Anual</t>
        </is>
      </c>
      <c r="E951" s="5" t="inlineStr">
        <is>
          <t>Positivo</t>
        </is>
      </c>
      <c r="F951" s="107" t="n">
        <v>45657</v>
      </c>
      <c r="G951" s="5" t="n">
        <v>2024</v>
      </c>
      <c r="H951" s="5" t="inlineStr">
        <is>
          <t>Diciembre</t>
        </is>
      </c>
      <c r="I951" s="6" t="inlineStr">
        <is>
          <t>2024-2</t>
        </is>
      </c>
      <c r="J951" s="5" t="n">
        <v>0</v>
      </c>
      <c r="K951" s="5" t="n">
        <v>82</v>
      </c>
      <c r="L951" s="14">
        <f>IFERROR(IF(OR(J951=0,K951=""),"",IF(E951="Positivo",MIN(MAX(K951/J951,0),1.3),MIN(MAX(J951/K951,0),1.3))),"") </f>
        <v/>
      </c>
      <c r="M951" s="14">
        <f>IFERROR(IF(OR(J951=0,K951=""),"",IF(E951="Positivo",MAX(K951/J951,0),MAX(J951/K951,0))),"") </f>
        <v/>
      </c>
      <c r="N951" s="5" t="inlineStr">
        <is>
          <t>Metrica</t>
        </is>
      </c>
      <c r="O951" s="5" t="inlineStr">
        <is>
          <t>%</t>
        </is>
      </c>
      <c r="P951" s="5" t="n">
        <v>0</v>
      </c>
      <c r="Q951" s="5" t="n">
        <v>0</v>
      </c>
      <c r="R951" s="5" t="inlineStr">
        <is>
          <t>331-2024-12-31</t>
        </is>
      </c>
    </row>
    <row r="952">
      <c r="A952" s="26" t="n">
        <v>332</v>
      </c>
      <c r="B952" s="5" t="inlineStr">
        <is>
          <t>Índice de rotación</t>
        </is>
      </c>
      <c r="C952" s="5" t="inlineStr">
        <is>
          <t>GESTIÓN Y DESARROLLO DEL TALENTO HUMANO</t>
        </is>
      </c>
      <c r="D952" s="5" t="inlineStr">
        <is>
          <t>Semestral</t>
        </is>
      </c>
      <c r="E952" s="5" t="inlineStr">
        <is>
          <t>Negativo</t>
        </is>
      </c>
      <c r="F952" s="107" t="n">
        <v>45107</v>
      </c>
      <c r="G952" s="5" t="n">
        <v>2023</v>
      </c>
      <c r="H952" s="5" t="inlineStr">
        <is>
          <t>Junio</t>
        </is>
      </c>
      <c r="I952" s="6" t="inlineStr">
        <is>
          <t>2023-1</t>
        </is>
      </c>
      <c r="J952" s="5" t="n">
        <v>1.8</v>
      </c>
      <c r="K952" s="5" t="n">
        <v>1.57</v>
      </c>
      <c r="L952" s="14">
        <f>IFERROR(IF(OR(J952=0,K952=""),"",IF(E952="Positivo",MIN(MAX(K952/J952,0),1.3),MIN(MAX(J952/K952,0),1.3))),"") </f>
        <v/>
      </c>
      <c r="M952" s="14">
        <f>IFERROR(IF(OR(J952=0,K952=""),"",IF(E952="Positivo",MAX(K952/J952,0),MAX(J952/K952,0))),"") </f>
        <v/>
      </c>
      <c r="N952" s="5" t="inlineStr">
        <is>
          <t>DEC</t>
        </is>
      </c>
      <c r="O952" s="5" t="inlineStr">
        <is>
          <t>DEC</t>
        </is>
      </c>
      <c r="P952" s="5" t="n">
        <v>1</v>
      </c>
      <c r="Q952" s="5" t="n">
        <v>2</v>
      </c>
      <c r="R952" s="5" t="inlineStr">
        <is>
          <t>332-2023-06-30</t>
        </is>
      </c>
    </row>
    <row r="953">
      <c r="A953" s="5" t="n">
        <v>332</v>
      </c>
      <c r="B953" s="5" t="inlineStr">
        <is>
          <t>Índice de rotación</t>
        </is>
      </c>
      <c r="C953" s="5" t="inlineStr">
        <is>
          <t>GESTIÓN Y DESARROLLO DEL TALENTO HUMANO</t>
        </is>
      </c>
      <c r="D953" s="5" t="inlineStr">
        <is>
          <t>Semestral</t>
        </is>
      </c>
      <c r="E953" s="5" t="inlineStr">
        <is>
          <t>Negativo</t>
        </is>
      </c>
      <c r="F953" s="107" t="n">
        <v>45291</v>
      </c>
      <c r="G953" s="5" t="n">
        <v>2023</v>
      </c>
      <c r="H953" s="5" t="inlineStr">
        <is>
          <t>Diciembre</t>
        </is>
      </c>
      <c r="I953" s="6" t="inlineStr">
        <is>
          <t>2023-2</t>
        </is>
      </c>
      <c r="J953" s="5" t="n">
        <v>1.8</v>
      </c>
      <c r="K953" s="5" t="n">
        <v>1.3</v>
      </c>
      <c r="L953" s="14">
        <f>IFERROR(IF(OR(J953=0,K953=""),"",IF(E953="Positivo",MIN(MAX(K953/J953,0),1.3),MIN(MAX(J953/K953,0),1.3))),"") </f>
        <v/>
      </c>
      <c r="M953" s="14">
        <f>IFERROR(IF(OR(J953=0,K953=""),"",IF(E953="Positivo",MAX(K953/J953,0),MAX(J953/K953,0))),"") </f>
        <v/>
      </c>
      <c r="N953" s="5" t="inlineStr">
        <is>
          <t>DEC</t>
        </is>
      </c>
      <c r="O953" s="5" t="inlineStr">
        <is>
          <t>DEC</t>
        </is>
      </c>
      <c r="P953" s="5" t="n">
        <v>1</v>
      </c>
      <c r="Q953" s="5" t="n">
        <v>1</v>
      </c>
      <c r="R953" s="5" t="inlineStr">
        <is>
          <t>332-2023-12-31</t>
        </is>
      </c>
    </row>
    <row r="954">
      <c r="A954" s="26" t="n">
        <v>332</v>
      </c>
      <c r="B954" s="5" t="inlineStr">
        <is>
          <t>Índice de rotación</t>
        </is>
      </c>
      <c r="C954" s="5" t="inlineStr">
        <is>
          <t>GESTIÓN Y DESARROLLO DEL TALENTO HUMANO</t>
        </is>
      </c>
      <c r="D954" s="5" t="inlineStr">
        <is>
          <t>Semestral</t>
        </is>
      </c>
      <c r="E954" s="5" t="inlineStr">
        <is>
          <t>Negativo</t>
        </is>
      </c>
      <c r="F954" s="107" t="n">
        <v>45473</v>
      </c>
      <c r="G954" s="5" t="n">
        <v>2024</v>
      </c>
      <c r="H954" s="5" t="inlineStr">
        <is>
          <t>Junio</t>
        </is>
      </c>
      <c r="I954" s="6" t="inlineStr">
        <is>
          <t>2024-1</t>
        </is>
      </c>
      <c r="J954" s="5" t="n">
        <v>1.5</v>
      </c>
      <c r="K954" s="5" t="n">
        <v>1.48</v>
      </c>
      <c r="L954" s="14">
        <f>IFERROR(IF(OR(J954=0,K954=""),"",IF(E954="Positivo",MIN(MAX(K954/J954,0),1.3),MIN(MAX(J954/K954,0),1.3))),"") </f>
        <v/>
      </c>
      <c r="M954" s="14">
        <f>IFERROR(IF(OR(J954=0,K954=""),"",IF(E954="Positivo",MAX(K954/J954,0),MAX(J954/K954,0))),"") </f>
        <v/>
      </c>
      <c r="N954" s="5" t="inlineStr">
        <is>
          <t>DEC</t>
        </is>
      </c>
      <c r="O954" s="5" t="inlineStr">
        <is>
          <t>DEC</t>
        </is>
      </c>
      <c r="P954" s="5" t="n">
        <v>1</v>
      </c>
      <c r="Q954" s="5" t="n">
        <v>2</v>
      </c>
      <c r="R954" s="5" t="inlineStr">
        <is>
          <t>332-2024-06-30</t>
        </is>
      </c>
    </row>
    <row r="955">
      <c r="A955" s="5" t="n">
        <v>332</v>
      </c>
      <c r="B955" s="5" t="inlineStr">
        <is>
          <t>Índice de rotación</t>
        </is>
      </c>
      <c r="C955" s="5" t="inlineStr">
        <is>
          <t>GESTIÓN Y DESARROLLO DEL TALENTO HUMANO</t>
        </is>
      </c>
      <c r="D955" s="5" t="inlineStr">
        <is>
          <t>Semestral</t>
        </is>
      </c>
      <c r="E955" s="5" t="inlineStr">
        <is>
          <t>Negativo</t>
        </is>
      </c>
      <c r="F955" s="107" t="n">
        <v>45657</v>
      </c>
      <c r="G955" s="5" t="n">
        <v>2024</v>
      </c>
      <c r="H955" s="5" t="inlineStr">
        <is>
          <t>Diciembre</t>
        </is>
      </c>
      <c r="I955" s="6" t="inlineStr">
        <is>
          <t>2024-2</t>
        </is>
      </c>
      <c r="J955" s="5" t="n">
        <v>1.8</v>
      </c>
      <c r="K955" s="5" t="n">
        <v>0.82</v>
      </c>
      <c r="L955" s="14">
        <f>IFERROR(IF(OR(J955=0,K955=""),"",IF(E955="Positivo",MIN(MAX(K955/J955,0),1.3),MIN(MAX(J955/K955,0),1.3))),"") </f>
        <v/>
      </c>
      <c r="M955" s="14">
        <f>IFERROR(IF(OR(J955=0,K955=""),"",IF(E955="Positivo",MAX(K955/J955,0),MAX(J955/K955,0))),"") </f>
        <v/>
      </c>
      <c r="N955" s="5" t="inlineStr">
        <is>
          <t>DEC</t>
        </is>
      </c>
      <c r="O955" s="5" t="inlineStr">
        <is>
          <t>DEC</t>
        </is>
      </c>
      <c r="P955" s="5" t="n">
        <v>1</v>
      </c>
      <c r="Q955" s="5" t="n">
        <v>2</v>
      </c>
      <c r="R955" s="5" t="inlineStr">
        <is>
          <t>332-2024-12-31</t>
        </is>
      </c>
    </row>
    <row r="956">
      <c r="A956" s="26" t="n">
        <v>332</v>
      </c>
      <c r="B956" s="5" t="inlineStr">
        <is>
          <t>Índice de rotación</t>
        </is>
      </c>
      <c r="C956" s="5" t="inlineStr">
        <is>
          <t>GESTIÓN Y DESARROLLO DEL TALENTO HUMANO</t>
        </is>
      </c>
      <c r="D956" s="5" t="inlineStr">
        <is>
          <t>Semestral</t>
        </is>
      </c>
      <c r="E956" s="5" t="inlineStr">
        <is>
          <t>Negativo</t>
        </is>
      </c>
      <c r="F956" s="107" t="n">
        <v>45838</v>
      </c>
      <c r="G956" s="5" t="n">
        <v>2025</v>
      </c>
      <c r="H956" s="5" t="inlineStr">
        <is>
          <t>Junio</t>
        </is>
      </c>
      <c r="I956" s="6" t="inlineStr">
        <is>
          <t>2025-1</t>
        </is>
      </c>
      <c r="J956" s="5" t="n">
        <v>1.18</v>
      </c>
      <c r="K956" s="5" t="n">
        <v>0.85</v>
      </c>
      <c r="L956" s="74">
        <f>IFERROR(IF(OR(J956=0,K956=""),"",IF(E956="Positivo",MIN(MAX(K956/J956,0),1.3),MIN(MAX(J956/K956,0),1.3))),"") </f>
        <v/>
      </c>
      <c r="M956" s="14">
        <f>IFERROR(IF(OR(J956=0,K956=""),"",IF(E956="Positivo",MAX(K956/J956,0),MAX(J956/K956,0))),"") </f>
        <v/>
      </c>
      <c r="N956" s="5" t="inlineStr">
        <is>
          <t>DEC</t>
        </is>
      </c>
      <c r="O956" s="5" t="inlineStr">
        <is>
          <t>DEC</t>
        </is>
      </c>
      <c r="P956" s="5" t="n">
        <v>2</v>
      </c>
      <c r="Q956" s="5" t="n">
        <v>2</v>
      </c>
      <c r="R956" s="5" t="inlineStr">
        <is>
          <t>332-2025-06-30</t>
        </is>
      </c>
    </row>
    <row r="957">
      <c r="A957" s="5" t="n">
        <v>332</v>
      </c>
      <c r="B957" s="5" t="inlineStr">
        <is>
          <t>Índice de rotación</t>
        </is>
      </c>
      <c r="C957" s="5" t="inlineStr">
        <is>
          <t>GESTIÓN Y DESARROLLO DEL TALENTO HUMANO</t>
        </is>
      </c>
      <c r="D957" s="5" t="inlineStr">
        <is>
          <t>Trimestral</t>
        </is>
      </c>
      <c r="E957" s="5" t="inlineStr">
        <is>
          <t>Negativo</t>
        </is>
      </c>
      <c r="F957" s="107" t="n">
        <v>46022</v>
      </c>
      <c r="G957" s="5" t="n">
        <v>2025</v>
      </c>
      <c r="H957" s="5" t="inlineStr">
        <is>
          <t>Diciembre</t>
        </is>
      </c>
      <c r="I957" s="6" t="inlineStr">
        <is>
          <t>2025-2</t>
        </is>
      </c>
      <c r="J957" s="5" t="n">
        <v>1.18</v>
      </c>
      <c r="K957" s="5" t="n">
        <v>0.93</v>
      </c>
      <c r="L957" s="14">
        <f>IFERROR(IF(OR(J957=0,K957=""),"",IF(E957="Positivo",MIN(MAX(K957/J957,0),1.3),MIN(MAX(J957/K957,0),1.3))),"") </f>
        <v/>
      </c>
      <c r="M957" s="14">
        <f>IFERROR(IF(OR(J957=0,K957=""),"",IF(E957="Positivo",MAX(K957/J957,0),MAX(J957/K957,0))),"") </f>
        <v/>
      </c>
      <c r="N957" s="5" t="inlineStr">
        <is>
          <t>DEC</t>
        </is>
      </c>
      <c r="O957" s="5" t="inlineStr">
        <is>
          <t>DEC</t>
        </is>
      </c>
      <c r="P957" s="5" t="n">
        <v>2</v>
      </c>
      <c r="Q957" s="5" t="n">
        <v>2</v>
      </c>
      <c r="R957" s="5" t="inlineStr">
        <is>
          <t>332-2025-12-31</t>
        </is>
      </c>
    </row>
    <row r="958">
      <c r="A958" s="5" t="n">
        <v>334</v>
      </c>
      <c r="B958" s="5" t="inlineStr">
        <is>
          <t>Resultado de la evaluación 360 (evaluación por competencias)</t>
        </is>
      </c>
      <c r="C958" s="5" t="inlineStr">
        <is>
          <t>GESTIÓN Y DESARROLLO DEL TALENTO HUMANO</t>
        </is>
      </c>
      <c r="D958" s="5" t="inlineStr">
        <is>
          <t>Anual</t>
        </is>
      </c>
      <c r="E958" s="5" t="inlineStr">
        <is>
          <t>Positivo</t>
        </is>
      </c>
      <c r="F958" s="107" t="n">
        <v>45291</v>
      </c>
      <c r="G958" s="5" t="n">
        <v>2023</v>
      </c>
      <c r="H958" s="5" t="inlineStr">
        <is>
          <t>Diciembre</t>
        </is>
      </c>
      <c r="I958" s="6" t="inlineStr">
        <is>
          <t>2023-2</t>
        </is>
      </c>
      <c r="J958" s="5" t="n">
        <v>88</v>
      </c>
      <c r="K958" s="5" t="n">
        <v>88.39</v>
      </c>
      <c r="L958" s="14">
        <f>IFERROR(IF(OR(J958=0,K958=""),"",IF(E958="Positivo",MIN(MAX(K958/J958,0),1.3),MIN(MAX(J958/K958,0),1.3))),"") </f>
        <v/>
      </c>
      <c r="M958" s="14">
        <f>IFERROR(IF(OR(J958=0,K958=""),"",IF(E958="Positivo",MAX(K958/J958,0),MAX(J958/K958,0))),"") </f>
        <v/>
      </c>
      <c r="N958" s="5" t="n"/>
      <c r="O958" s="5" t="n"/>
      <c r="P958" s="5" t="n">
        <v>0</v>
      </c>
      <c r="Q958" s="5" t="n">
        <v>0</v>
      </c>
      <c r="R958" s="5" t="inlineStr">
        <is>
          <t>334-2023-12-31</t>
        </is>
      </c>
    </row>
    <row r="959">
      <c r="A959" s="28" t="n">
        <v>334</v>
      </c>
      <c r="B959" s="5" t="inlineStr">
        <is>
          <t>Resultado de la evaluación 360 (evaluación por competencias)</t>
        </is>
      </c>
      <c r="C959" s="5" t="inlineStr">
        <is>
          <t>GESTIÓN Y DESARROLLO DEL TALENTO HUMANO</t>
        </is>
      </c>
      <c r="D959" s="5" t="inlineStr">
        <is>
          <t>Anual</t>
        </is>
      </c>
      <c r="E959" s="5" t="inlineStr">
        <is>
          <t>Positivo</t>
        </is>
      </c>
      <c r="F959" s="107" t="n">
        <v>45657</v>
      </c>
      <c r="G959" s="5" t="n">
        <v>2024</v>
      </c>
      <c r="H959" s="5" t="inlineStr">
        <is>
          <t>Diciembre</t>
        </is>
      </c>
      <c r="I959" s="6" t="inlineStr">
        <is>
          <t>2024-2</t>
        </is>
      </c>
      <c r="J959" s="5" t="n">
        <v>88</v>
      </c>
      <c r="K959" s="5" t="n">
        <v>88.84</v>
      </c>
      <c r="L959" s="74">
        <f>IFERROR(IF(OR(J959=0,K959=""),"",IF(E959="Positivo",MIN(MAX(K959/J959,0),1.3),MIN(MAX(J959/K959,0),1.3))),"") </f>
        <v/>
      </c>
      <c r="M959" s="14">
        <f>IFERROR(IF(OR(J959=0,K959=""),"",IF(E959="Positivo",MAX(K959/J959,0),MAX(J959/K959,0))),"") </f>
        <v/>
      </c>
      <c r="N959" s="5" t="n"/>
      <c r="O959" s="5" t="n"/>
      <c r="P959" s="5" t="n">
        <v>0</v>
      </c>
      <c r="Q959" s="5" t="n">
        <v>0</v>
      </c>
      <c r="R959" s="5" t="inlineStr">
        <is>
          <t>334-2024-12-31</t>
        </is>
      </c>
    </row>
    <row r="960">
      <c r="A960" s="26" t="n">
        <v>334</v>
      </c>
      <c r="B960" s="5" t="inlineStr">
        <is>
          <t>Resultado de la evaluación 360 (evaluación por competencias)</t>
        </is>
      </c>
      <c r="C960" s="5" t="inlineStr">
        <is>
          <t>GESTIÓN Y DESARROLLO DEL TALENTO HUMANO</t>
        </is>
      </c>
      <c r="D960" s="5" t="inlineStr">
        <is>
          <t>Anual</t>
        </is>
      </c>
      <c r="E960" s="5" t="inlineStr">
        <is>
          <t>Positivo</t>
        </is>
      </c>
      <c r="F960" s="107" t="n">
        <v>46022</v>
      </c>
      <c r="G960" s="5" t="n">
        <v>2025</v>
      </c>
      <c r="H960" s="5" t="inlineStr">
        <is>
          <t>Diciembre</t>
        </is>
      </c>
      <c r="I960" s="6" t="inlineStr">
        <is>
          <t>2025-2</t>
        </is>
      </c>
      <c r="J960" s="5" t="n">
        <v>89</v>
      </c>
      <c r="K960" s="5" t="n">
        <v>90.09999999999999</v>
      </c>
      <c r="L960" s="74">
        <f>IFERROR(IF(OR(J960=0,K960=""),"",IF(E960="Positivo",MIN(MAX(K960/J960,0),1.3),MIN(MAX(J960/K960,0),1.3))),"") </f>
        <v/>
      </c>
      <c r="M960" s="14">
        <f>IFERROR(IF(OR(J960=0,K960=""),"",IF(E960="Positivo",MAX(K960/J960,0),MAX(J960/K960,0))),"") </f>
        <v/>
      </c>
      <c r="N960" s="5" t="inlineStr">
        <is>
          <t>ENT</t>
        </is>
      </c>
      <c r="O960" s="5" t="inlineStr">
        <is>
          <t>DEC</t>
        </is>
      </c>
      <c r="P960" s="5" t="n">
        <v>0</v>
      </c>
      <c r="Q960" s="5" t="n">
        <v>1</v>
      </c>
      <c r="R960" s="5" t="inlineStr">
        <is>
          <t>334-2025-12-31</t>
        </is>
      </c>
    </row>
    <row r="961">
      <c r="A961" s="5" t="n">
        <v>335</v>
      </c>
      <c r="B961" s="5" t="inlineStr">
        <is>
          <t>Cumplimiento de diagnóstico necesidades de capacitación por área</t>
        </is>
      </c>
      <c r="C961" s="5" t="inlineStr">
        <is>
          <t>GESTIÓN Y DESARROLLO DEL TALENTO HUMANO</t>
        </is>
      </c>
      <c r="D961" s="5" t="inlineStr">
        <is>
          <t>Anual</t>
        </is>
      </c>
      <c r="E961" s="5" t="inlineStr">
        <is>
          <t>Positivo</t>
        </is>
      </c>
      <c r="F961" s="107" t="n">
        <v>45291</v>
      </c>
      <c r="G961" s="5" t="n">
        <v>2023</v>
      </c>
      <c r="H961" s="5" t="inlineStr">
        <is>
          <t>Diciembre</t>
        </is>
      </c>
      <c r="I961" s="6" t="inlineStr">
        <is>
          <t>2023-2</t>
        </is>
      </c>
      <c r="J961" s="5" t="n">
        <v>80</v>
      </c>
      <c r="K961" s="5" t="n">
        <v>93.84999999999999</v>
      </c>
      <c r="L961" s="14">
        <f>IFERROR(IF(OR(J961=0,K961=""),"",IF(E961="Positivo",MIN(MAX(K961/J961,0),1.3),MIN(MAX(J961/K961,0),1.3))),"") </f>
        <v/>
      </c>
      <c r="M961" s="14">
        <f>IFERROR(IF(OR(J961=0,K961=""),"",IF(E961="Positivo",MAX(K961/J961,0),MAX(J961/K961,0))),"") </f>
        <v/>
      </c>
      <c r="N961" s="5" t="inlineStr">
        <is>
          <t>%</t>
        </is>
      </c>
      <c r="O961" s="5" t="inlineStr">
        <is>
          <t>%</t>
        </is>
      </c>
      <c r="P961" s="5" t="n">
        <v>0</v>
      </c>
      <c r="Q961" s="5" t="n">
        <v>0</v>
      </c>
      <c r="R961" s="5" t="inlineStr">
        <is>
          <t>335-2023-12-31</t>
        </is>
      </c>
    </row>
    <row r="962">
      <c r="A962" s="5" t="n">
        <v>335</v>
      </c>
      <c r="B962" s="5" t="inlineStr">
        <is>
          <t>Cumplimiento de diagnóstico necesidades de capacitación por área</t>
        </is>
      </c>
      <c r="C962" s="5" t="inlineStr">
        <is>
          <t>GESTIÓN Y DESARROLLO DEL TALENTO HUMANO</t>
        </is>
      </c>
      <c r="D962" s="5" t="inlineStr">
        <is>
          <t>Anual</t>
        </is>
      </c>
      <c r="E962" s="5" t="inlineStr">
        <is>
          <t>Positivo</t>
        </is>
      </c>
      <c r="F962" s="107" t="n">
        <v>45657</v>
      </c>
      <c r="G962" s="5" t="n">
        <v>2024</v>
      </c>
      <c r="H962" s="5" t="inlineStr">
        <is>
          <t>Diciembre</t>
        </is>
      </c>
      <c r="I962" s="6" t="inlineStr">
        <is>
          <t>2024-2</t>
        </is>
      </c>
      <c r="J962" s="5" t="n">
        <v>82</v>
      </c>
      <c r="K962" s="5" t="n">
        <v>80.95</v>
      </c>
      <c r="L962" s="14">
        <f>IFERROR(IF(OR(J962=0,K962=""),"",IF(E962="Positivo",MIN(MAX(K962/J962,0),1.3),MIN(MAX(J962/K962,0),1.3))),"") </f>
        <v/>
      </c>
      <c r="M962" s="14">
        <f>IFERROR(IF(OR(J962=0,K962=""),"",IF(E962="Positivo",MAX(K962/J962,0),MAX(J962/K962,0))),"") </f>
        <v/>
      </c>
      <c r="N962" s="5" t="n"/>
      <c r="O962" s="5" t="n"/>
      <c r="P962" s="5" t="n">
        <v>0</v>
      </c>
      <c r="Q962" s="5" t="n">
        <v>0</v>
      </c>
      <c r="R962" s="5" t="inlineStr">
        <is>
          <t>335-2024-12-31</t>
        </is>
      </c>
    </row>
    <row r="963">
      <c r="A963" s="28" t="n">
        <v>336</v>
      </c>
      <c r="B963" s="5" t="inlineStr">
        <is>
          <t>Materiales bibliográficos en formato físico con estado de perdida</t>
        </is>
      </c>
      <c r="C963" s="5" t="inlineStr">
        <is>
          <t>Biblioteca Institucional</t>
        </is>
      </c>
      <c r="D963" s="5" t="inlineStr">
        <is>
          <t>Anual</t>
        </is>
      </c>
      <c r="E963" s="5" t="inlineStr">
        <is>
          <t>Negativo</t>
        </is>
      </c>
      <c r="F963" s="107" t="n">
        <v>45291</v>
      </c>
      <c r="G963" s="5" t="n">
        <v>2023</v>
      </c>
      <c r="H963" s="5" t="inlineStr">
        <is>
          <t>Diciembre</t>
        </is>
      </c>
      <c r="I963" s="6" t="inlineStr">
        <is>
          <t>2023-2</t>
        </is>
      </c>
      <c r="J963" s="5" t="n">
        <v>2</v>
      </c>
      <c r="K963" s="5" t="n">
        <v>1.742198218602321</v>
      </c>
      <c r="L963" s="14">
        <f>IFERROR(IF(OR(J963=0,K963=""),"",IF(E963="Positivo",MIN(MAX(K963/J963,0),1.3),MIN(MAX(J963/K963,0),1.3))),"") </f>
        <v/>
      </c>
      <c r="M963" s="14">
        <f>IFERROR(IF(OR(J963=0,K963=""),"",IF(E963="Positivo",MAX(K963/J963,0),MAX(J963/K963,0))),"") </f>
        <v/>
      </c>
      <c r="N963" s="5" t="n"/>
      <c r="O963" s="5" t="n"/>
      <c r="P963" s="5" t="n">
        <v>0</v>
      </c>
      <c r="Q963" s="5" t="n">
        <v>0</v>
      </c>
      <c r="R963" s="5" t="inlineStr">
        <is>
          <t>336-2023-12-31</t>
        </is>
      </c>
    </row>
    <row r="964">
      <c r="A964" s="26" t="n">
        <v>336</v>
      </c>
      <c r="B964" s="5" t="inlineStr">
        <is>
          <t>Materiales bibliográficos en formato físico con estado de perdida</t>
        </is>
      </c>
      <c r="C964" s="5" t="inlineStr">
        <is>
          <t>Biblioteca Institucional</t>
        </is>
      </c>
      <c r="D964" s="5" t="inlineStr">
        <is>
          <t>Anual</t>
        </is>
      </c>
      <c r="E964" s="5" t="inlineStr">
        <is>
          <t>Negativo</t>
        </is>
      </c>
      <c r="F964" s="107" t="n">
        <v>45657</v>
      </c>
      <c r="G964" s="5" t="n">
        <v>2024</v>
      </c>
      <c r="H964" s="5" t="inlineStr">
        <is>
          <t>Diciembre</t>
        </is>
      </c>
      <c r="I964" s="6" t="inlineStr">
        <is>
          <t>2024-2</t>
        </is>
      </c>
      <c r="J964" s="5" t="n">
        <v>2</v>
      </c>
      <c r="K964" s="5" t="n">
        <v>0.79</v>
      </c>
      <c r="L964" s="14">
        <f>IFERROR(IF(OR(J964=0,K964=""),"",IF(E964="Positivo",MIN(MAX(K964/J964,0),1.3),MIN(MAX(J964/K964,0),1.3))),"") </f>
        <v/>
      </c>
      <c r="M964" s="14">
        <f>IFERROR(IF(OR(J964=0,K964=""),"",IF(E964="Positivo",MAX(K964/J964,0),MAX(J964/K964,0))),"") </f>
        <v/>
      </c>
      <c r="N964" s="5" t="n"/>
      <c r="O964" s="5" t="n"/>
      <c r="P964" s="5" t="n">
        <v>0</v>
      </c>
      <c r="Q964" s="5" t="n">
        <v>0</v>
      </c>
      <c r="R964" s="5" t="inlineStr">
        <is>
          <t>336-2024-12-31</t>
        </is>
      </c>
    </row>
    <row r="965">
      <c r="A965" s="5" t="n">
        <v>336</v>
      </c>
      <c r="B965" s="5" t="inlineStr">
        <is>
          <t>Materiales bibliográficos en formato físico con estado de perdida</t>
        </is>
      </c>
      <c r="C965" s="5" t="inlineStr">
        <is>
          <t>Biblioteca Institucional</t>
        </is>
      </c>
      <c r="D965" s="5" t="inlineStr">
        <is>
          <t>Anual</t>
        </is>
      </c>
      <c r="E965" s="5" t="inlineStr">
        <is>
          <t>Negativo</t>
        </is>
      </c>
      <c r="F965" s="107" t="n">
        <v>46022</v>
      </c>
      <c r="G965" s="5" t="n">
        <v>2025</v>
      </c>
      <c r="H965" s="5" t="inlineStr">
        <is>
          <t>Diciembre</t>
        </is>
      </c>
      <c r="I965" s="6" t="inlineStr">
        <is>
          <t>2025-2</t>
        </is>
      </c>
      <c r="J965" s="5" t="n">
        <v>2</v>
      </c>
      <c r="K965" s="5" t="n">
        <v>0.36</v>
      </c>
      <c r="L965" s="14">
        <f>IFERROR(IF(OR(J965=0,K965=""),"",IF(E965="Positivo",MIN(MAX(K965/J965,0),1.3),MIN(MAX(J965/K965,0),1.3))),"") </f>
        <v/>
      </c>
      <c r="M965" s="14">
        <f>IFERROR(IF(OR(J965=0,K965=""),"",IF(E965="Positivo",MAX(K965/J965,0),MAX(J965/K965,0))),"") </f>
        <v/>
      </c>
      <c r="N965" s="5" t="inlineStr">
        <is>
          <t>%</t>
        </is>
      </c>
      <c r="O965" s="5" t="inlineStr">
        <is>
          <t>%</t>
        </is>
      </c>
      <c r="P965" s="5" t="n">
        <v>0</v>
      </c>
      <c r="Q965" s="5" t="n">
        <v>0</v>
      </c>
      <c r="R965" s="5" t="inlineStr">
        <is>
          <t>336-2025-12-31</t>
        </is>
      </c>
    </row>
    <row r="966">
      <c r="A966" s="5" t="n">
        <v>337</v>
      </c>
      <c r="B966" s="5" t="inlineStr">
        <is>
          <t>Número de programas con renovación de acreditación en alta calidad</t>
        </is>
      </c>
      <c r="C966" s="5" t="inlineStr">
        <is>
          <t>Autoevaluación de programas académicos</t>
        </is>
      </c>
      <c r="D966" s="5" t="inlineStr">
        <is>
          <t>Semestral</t>
        </is>
      </c>
      <c r="E966" s="5" t="inlineStr">
        <is>
          <t>Positivo</t>
        </is>
      </c>
      <c r="F966" s="107" t="n">
        <v>45107</v>
      </c>
      <c r="G966" s="5" t="n">
        <v>2023</v>
      </c>
      <c r="H966" s="5" t="inlineStr">
        <is>
          <t>Junio</t>
        </is>
      </c>
      <c r="I966" s="6" t="inlineStr">
        <is>
          <t>2023-1</t>
        </is>
      </c>
      <c r="J966" s="5" t="n">
        <v>100</v>
      </c>
      <c r="K966" s="5" t="n"/>
      <c r="L966" s="14" t="n"/>
      <c r="M966" s="14" t="n"/>
      <c r="N966" s="5" t="n"/>
      <c r="O966" s="5" t="n"/>
      <c r="P966" s="5" t="n">
        <v>0</v>
      </c>
      <c r="Q966" s="5" t="n">
        <v>0</v>
      </c>
      <c r="R966" s="5" t="inlineStr">
        <is>
          <t>337-2023-06-30</t>
        </is>
      </c>
    </row>
    <row r="967">
      <c r="A967" s="28" t="n">
        <v>337</v>
      </c>
      <c r="B967" s="5" t="inlineStr">
        <is>
          <t>Número de programas con renovación de acreditación en alta calidad</t>
        </is>
      </c>
      <c r="C967" s="5" t="inlineStr">
        <is>
          <t>Autoevaluación de programas académicos</t>
        </is>
      </c>
      <c r="D967" s="5" t="inlineStr">
        <is>
          <t>Semestral</t>
        </is>
      </c>
      <c r="E967" s="5" t="inlineStr">
        <is>
          <t>Positivo</t>
        </is>
      </c>
      <c r="F967" s="107" t="n">
        <v>45291</v>
      </c>
      <c r="G967" s="5" t="n">
        <v>2023</v>
      </c>
      <c r="H967" s="5" t="inlineStr">
        <is>
          <t>Diciembre</t>
        </is>
      </c>
      <c r="I967" s="6" t="inlineStr">
        <is>
          <t>2023-2</t>
        </is>
      </c>
      <c r="J967" s="5" t="n">
        <v>100</v>
      </c>
      <c r="K967" s="5" t="n">
        <v>100</v>
      </c>
      <c r="L967" s="14">
        <f>IFERROR(IF(OR(J967=0,K967=""),"",IF(E967="Positivo",MIN(MAX(K967/J967,0),1.3),MIN(MAX(J967/K967,0),1.3))),"") </f>
        <v/>
      </c>
      <c r="M967" s="14">
        <f>IFERROR(IF(OR(J967=0,K967=""),"",IF(E967="Positivo",MAX(K967/J967,0),MAX(J967/K967,0))),"") </f>
        <v/>
      </c>
      <c r="N967" s="5" t="inlineStr">
        <is>
          <t>ENT</t>
        </is>
      </c>
      <c r="O967" s="5" t="inlineStr">
        <is>
          <t>ENT</t>
        </is>
      </c>
      <c r="P967" s="5" t="n">
        <v>0</v>
      </c>
      <c r="Q967" s="5" t="n">
        <v>0</v>
      </c>
      <c r="R967" s="5" t="inlineStr">
        <is>
          <t>337-2023-12-31</t>
        </is>
      </c>
    </row>
    <row r="968">
      <c r="A968" s="26" t="n">
        <v>337</v>
      </c>
      <c r="B968" s="5" t="inlineStr">
        <is>
          <t>Número de programas con renovación de acreditación en alta calidad</t>
        </is>
      </c>
      <c r="C968" s="5" t="inlineStr">
        <is>
          <t>Autoevaluación de programas académicos</t>
        </is>
      </c>
      <c r="D968" s="5" t="inlineStr">
        <is>
          <t>Semestral</t>
        </is>
      </c>
      <c r="E968" s="5" t="inlineStr">
        <is>
          <t>Positivo</t>
        </is>
      </c>
      <c r="F968" s="107" t="n">
        <v>45473</v>
      </c>
      <c r="G968" s="5" t="n">
        <v>2024</v>
      </c>
      <c r="H968" s="5" t="inlineStr">
        <is>
          <t>Junio</t>
        </is>
      </c>
      <c r="I968" s="6" t="inlineStr">
        <is>
          <t>2024-1</t>
        </is>
      </c>
      <c r="J968" s="5" t="n">
        <v>100</v>
      </c>
      <c r="K968" s="5" t="n">
        <v>100</v>
      </c>
      <c r="L968" s="14">
        <f>IFERROR(IF(OR(J968=0,K968=""),"",IF(E968="Positivo",MIN(MAX(K968/J968,0),1.3),MIN(MAX(J968/K968,0),1.3))),"") </f>
        <v/>
      </c>
      <c r="M968" s="14">
        <f>IFERROR(IF(OR(J968=0,K968=""),"",IF(E968="Positivo",MAX(K968/J968,0),MAX(J968/K968,0))),"") </f>
        <v/>
      </c>
      <c r="N968" s="5" t="inlineStr">
        <is>
          <t>ENT</t>
        </is>
      </c>
      <c r="O968" s="5" t="inlineStr">
        <is>
          <t>ENT</t>
        </is>
      </c>
      <c r="P968" s="5" t="n">
        <v>0</v>
      </c>
      <c r="Q968" s="5" t="n">
        <v>0</v>
      </c>
      <c r="R968" s="5" t="inlineStr">
        <is>
          <t>337-2024-06-30</t>
        </is>
      </c>
    </row>
    <row r="969">
      <c r="A969" s="5" t="n">
        <v>337</v>
      </c>
      <c r="B969" s="5" t="inlineStr">
        <is>
          <t>Número de programas con renovación de acreditación en alta calidad</t>
        </is>
      </c>
      <c r="C969" s="5" t="inlineStr">
        <is>
          <t>Autoevaluación de programas académicos</t>
        </is>
      </c>
      <c r="D969" s="5" t="inlineStr">
        <is>
          <t>Semestral</t>
        </is>
      </c>
      <c r="E969" s="5" t="inlineStr">
        <is>
          <t>Positivo</t>
        </is>
      </c>
      <c r="F969" s="107" t="n">
        <v>45657</v>
      </c>
      <c r="G969" s="5" t="n">
        <v>2024</v>
      </c>
      <c r="H969" s="5" t="inlineStr">
        <is>
          <t>Diciembre</t>
        </is>
      </c>
      <c r="I969" s="6" t="inlineStr">
        <is>
          <t>2024-2</t>
        </is>
      </c>
      <c r="J969" s="5" t="n">
        <v>100</v>
      </c>
      <c r="K969" s="5" t="n"/>
      <c r="L969" s="14" t="n"/>
      <c r="M969" s="14" t="n"/>
      <c r="N969" s="5" t="n"/>
      <c r="O969" s="5" t="n"/>
      <c r="P969" s="5" t="n">
        <v>0</v>
      </c>
      <c r="Q969" s="5" t="n">
        <v>0</v>
      </c>
      <c r="R969" s="5" t="inlineStr">
        <is>
          <t>337-2024-12-31</t>
        </is>
      </c>
    </row>
    <row r="970">
      <c r="A970" s="5" t="n">
        <v>337</v>
      </c>
      <c r="B970" s="5" t="inlineStr">
        <is>
          <t>Número de programas con renovación de acreditación en alta calidad - Metrica</t>
        </is>
      </c>
      <c r="C970" s="5" t="inlineStr">
        <is>
          <t>Autoevaluación de programas académicos</t>
        </is>
      </c>
      <c r="D970" s="5" t="inlineStr">
        <is>
          <t>Trimestral</t>
        </is>
      </c>
      <c r="E970" s="5" t="inlineStr">
        <is>
          <t>Positivo</t>
        </is>
      </c>
      <c r="F970" s="107" t="n">
        <v>45838</v>
      </c>
      <c r="G970" s="5" t="n">
        <v>2025</v>
      </c>
      <c r="H970" s="5" t="inlineStr">
        <is>
          <t>Junio</t>
        </is>
      </c>
      <c r="I970" s="6" t="inlineStr">
        <is>
          <t>2025-1</t>
        </is>
      </c>
      <c r="J970" s="5" t="n">
        <v>100</v>
      </c>
      <c r="K970" s="5" t="n"/>
      <c r="L970" s="14" t="n"/>
      <c r="M970" s="14" t="n"/>
      <c r="N970" s="5" t="n"/>
      <c r="O970" s="5" t="inlineStr">
        <is>
          <t>No Aplica</t>
        </is>
      </c>
      <c r="P970" s="5" t="n">
        <v>0</v>
      </c>
      <c r="Q970" s="5" t="n">
        <v>0</v>
      </c>
      <c r="R970" s="5" t="inlineStr">
        <is>
          <t>337-2025-06-30</t>
        </is>
      </c>
      <c r="S970" t="inlineStr">
        <is>
          <t>Metrica</t>
        </is>
      </c>
    </row>
    <row r="971">
      <c r="A971" s="28" t="n">
        <v>337</v>
      </c>
      <c r="B971" s="5" t="inlineStr">
        <is>
          <t>Número de programas con renovación de acreditación en alta calidad - Metrica</t>
        </is>
      </c>
      <c r="C971" s="5" t="inlineStr">
        <is>
          <t>Autoevaluación de programas académicos</t>
        </is>
      </c>
      <c r="D971" s="5" t="inlineStr">
        <is>
          <t>Trimestral</t>
        </is>
      </c>
      <c r="E971" s="5" t="inlineStr">
        <is>
          <t>Positivo</t>
        </is>
      </c>
      <c r="F971" s="107" t="n">
        <v>46022</v>
      </c>
      <c r="G971" s="5" t="n">
        <v>2025</v>
      </c>
      <c r="H971" s="5" t="inlineStr">
        <is>
          <t>Diciembre</t>
        </is>
      </c>
      <c r="I971" s="6" t="inlineStr">
        <is>
          <t>2025-2</t>
        </is>
      </c>
      <c r="J971" s="5" t="n">
        <v>100</v>
      </c>
      <c r="K971" s="5" t="n"/>
      <c r="L971" s="14" t="n"/>
      <c r="M971" s="14" t="n"/>
      <c r="N971" s="5" t="n"/>
      <c r="O971" s="5" t="inlineStr">
        <is>
          <t>No Aplica</t>
        </is>
      </c>
      <c r="P971" s="5" t="n">
        <v>0</v>
      </c>
      <c r="Q971" s="5" t="n">
        <v>0</v>
      </c>
      <c r="R971" s="5" t="inlineStr">
        <is>
          <t>337-2025-12-31</t>
        </is>
      </c>
      <c r="S971" t="inlineStr">
        <is>
          <t>Metrica</t>
        </is>
      </c>
    </row>
    <row r="972">
      <c r="A972" s="26" t="n">
        <v>338</v>
      </c>
      <c r="B972" s="5" t="inlineStr">
        <is>
          <t>Número de programas con condiciones iniciales aprobadas (indicador externo)</t>
        </is>
      </c>
      <c r="C972" s="5" t="inlineStr">
        <is>
          <t>Autoevaluación de programas académicos</t>
        </is>
      </c>
      <c r="D972" s="5" t="inlineStr">
        <is>
          <t>Semestral</t>
        </is>
      </c>
      <c r="E972" s="5" t="inlineStr">
        <is>
          <t>Positivo</t>
        </is>
      </c>
      <c r="F972" s="107" t="n">
        <v>45107</v>
      </c>
      <c r="G972" s="5" t="n">
        <v>2023</v>
      </c>
      <c r="H972" s="5" t="inlineStr">
        <is>
          <t>Junio</t>
        </is>
      </c>
      <c r="I972" s="6" t="inlineStr">
        <is>
          <t>2023-1</t>
        </is>
      </c>
      <c r="J972" s="5" t="n">
        <v>100</v>
      </c>
      <c r="K972" s="5" t="n">
        <v>100</v>
      </c>
      <c r="L972" s="14">
        <f>IFERROR(IF(OR(J972=0,K972=""),"",IF(E972="Positivo",MIN(MAX(K972/J972,0),1.3),MIN(MAX(J972/K972,0),1.3))),"") </f>
        <v/>
      </c>
      <c r="M972" s="14">
        <f>IFERROR(IF(OR(J972=0,K972=""),"",IF(E972="Positivo",MAX(K972/J972,0),MAX(J972/K972,0))),"") </f>
        <v/>
      </c>
      <c r="N972" s="5" t="inlineStr">
        <is>
          <t>ENT</t>
        </is>
      </c>
      <c r="O972" s="5" t="inlineStr">
        <is>
          <t>ENT</t>
        </is>
      </c>
      <c r="P972" s="5" t="n">
        <v>0</v>
      </c>
      <c r="Q972" s="5" t="n">
        <v>0</v>
      </c>
      <c r="R972" s="5" t="inlineStr">
        <is>
          <t>338-2023-06-30</t>
        </is>
      </c>
    </row>
    <row r="973">
      <c r="A973" s="5" t="n">
        <v>338</v>
      </c>
      <c r="B973" s="5" t="inlineStr">
        <is>
          <t>Número de programas con condiciones iniciales aprobadas (indicador externo)</t>
        </is>
      </c>
      <c r="C973" s="5" t="inlineStr">
        <is>
          <t>Autoevaluación de programas académicos</t>
        </is>
      </c>
      <c r="D973" s="5" t="inlineStr">
        <is>
          <t>Semestral</t>
        </is>
      </c>
      <c r="E973" s="5" t="inlineStr">
        <is>
          <t>Positivo</t>
        </is>
      </c>
      <c r="F973" s="107" t="n">
        <v>45291</v>
      </c>
      <c r="G973" s="5" t="n">
        <v>2023</v>
      </c>
      <c r="H973" s="5" t="inlineStr">
        <is>
          <t>Diciembre</t>
        </is>
      </c>
      <c r="I973" s="6" t="inlineStr">
        <is>
          <t>2023-2</t>
        </is>
      </c>
      <c r="J973" s="5" t="n">
        <v>100</v>
      </c>
      <c r="K973" s="5" t="n">
        <v>0</v>
      </c>
      <c r="L973" s="14">
        <f>IFERROR(IF(OR(J973=0,K973=""),"",IF(E973="Positivo",MIN(MAX(K973/J973,0),1.3),MIN(MAX(J973/K973,0),1.3))),"") </f>
        <v/>
      </c>
      <c r="M973" s="14">
        <f>IFERROR(IF(OR(J973=0,K973=""),"",IF(E973="Positivo",MAX(K973/J973,0),MAX(J973/K973,0))),"") </f>
        <v/>
      </c>
      <c r="N973" s="5" t="n"/>
      <c r="O973" s="5" t="n"/>
      <c r="P973" s="5" t="n">
        <v>0</v>
      </c>
      <c r="Q973" s="5" t="n">
        <v>0</v>
      </c>
      <c r="R973" s="5" t="inlineStr">
        <is>
          <t>338-2023-12-31</t>
        </is>
      </c>
    </row>
    <row r="974">
      <c r="A974" s="5" t="n">
        <v>338</v>
      </c>
      <c r="B974" s="5" t="inlineStr">
        <is>
          <t>Número de programas con condiciones iniciales aprobadas (indicador externo)</t>
        </is>
      </c>
      <c r="C974" s="5" t="inlineStr">
        <is>
          <t>Autoevaluación de programas académicos</t>
        </is>
      </c>
      <c r="D974" s="5" t="inlineStr">
        <is>
          <t>Semestral</t>
        </is>
      </c>
      <c r="E974" s="5" t="inlineStr">
        <is>
          <t>Positivo</t>
        </is>
      </c>
      <c r="F974" s="107" t="n">
        <v>45473</v>
      </c>
      <c r="G974" s="5" t="n">
        <v>2024</v>
      </c>
      <c r="H974" s="5" t="inlineStr">
        <is>
          <t>Junio</t>
        </is>
      </c>
      <c r="I974" s="6" t="inlineStr">
        <is>
          <t>2024-1</t>
        </is>
      </c>
      <c r="J974" s="5" t="n">
        <v>100</v>
      </c>
      <c r="K974" s="5" t="n">
        <v>100</v>
      </c>
      <c r="L974" s="14">
        <f>IFERROR(IF(OR(J974=0,K974=""),"",IF(E974="Positivo",MIN(MAX(K974/J974,0),1.3),MIN(MAX(J974/K974,0),1.3))),"") </f>
        <v/>
      </c>
      <c r="M974" s="14">
        <f>IFERROR(IF(OR(J974=0,K974=""),"",IF(E974="Positivo",MAX(K974/J974,0),MAX(J974/K974,0))),"") </f>
        <v/>
      </c>
      <c r="N974" s="5" t="inlineStr">
        <is>
          <t>ENT</t>
        </is>
      </c>
      <c r="O974" s="5" t="inlineStr">
        <is>
          <t>ENT</t>
        </is>
      </c>
      <c r="P974" s="5" t="n">
        <v>0</v>
      </c>
      <c r="Q974" s="5" t="n">
        <v>0</v>
      </c>
      <c r="R974" s="5" t="inlineStr">
        <is>
          <t>338-2024-06-30</t>
        </is>
      </c>
    </row>
    <row r="975">
      <c r="A975" s="26" t="n">
        <v>338</v>
      </c>
      <c r="B975" s="5" t="inlineStr">
        <is>
          <t>Número de programas con condiciones iniciales aprobadas (indicador externo)</t>
        </is>
      </c>
      <c r="C975" s="5" t="inlineStr">
        <is>
          <t>Autoevaluación de programas académicos</t>
        </is>
      </c>
      <c r="D975" s="5" t="inlineStr">
        <is>
          <t>Semestral</t>
        </is>
      </c>
      <c r="E975" s="5" t="inlineStr">
        <is>
          <t>Positivo</t>
        </is>
      </c>
      <c r="F975" s="107" t="n">
        <v>45657</v>
      </c>
      <c r="G975" s="5" t="n">
        <v>2024</v>
      </c>
      <c r="H975" s="5" t="inlineStr">
        <is>
          <t>Diciembre</t>
        </is>
      </c>
      <c r="I975" s="6" t="inlineStr">
        <is>
          <t>2024-2</t>
        </is>
      </c>
      <c r="J975" s="73" t="n">
        <v>100</v>
      </c>
      <c r="K975" s="94" t="n">
        <v>0</v>
      </c>
      <c r="L975" s="74">
        <f>IFERROR(IF(OR(J975=0,K975=""),"",IF(E975="Positivo",MIN(MAX(K975/J975,0),1.3),MIN(MAX(J975/K975,0),1.3))),"") </f>
        <v/>
      </c>
      <c r="M975" s="14">
        <f>IFERROR(IF(OR(J975=0,K975=""),"",IF(E975="Positivo",MAX(K975/J975,0),MAX(J975/K975,0))),"") </f>
        <v/>
      </c>
      <c r="N975" s="5" t="n"/>
      <c r="O975" s="5" t="n"/>
      <c r="P975" s="5" t="n">
        <v>0</v>
      </c>
      <c r="Q975" s="5" t="n">
        <v>0</v>
      </c>
      <c r="R975" s="5" t="inlineStr">
        <is>
          <t>338-2024-12-31</t>
        </is>
      </c>
    </row>
    <row r="976">
      <c r="A976" s="26" t="n">
        <v>338</v>
      </c>
      <c r="B976" s="5" t="inlineStr">
        <is>
          <t>Número de programas con condiciones iniciales aprobadas (indicador externo)</t>
        </is>
      </c>
      <c r="C976" s="5" t="inlineStr">
        <is>
          <t>Autoevaluación de programas académicos</t>
        </is>
      </c>
      <c r="D976" s="5" t="inlineStr">
        <is>
          <t>Semestral</t>
        </is>
      </c>
      <c r="E976" s="5" t="inlineStr">
        <is>
          <t>Positivo</t>
        </is>
      </c>
      <c r="F976" s="107" t="n">
        <v>45838</v>
      </c>
      <c r="G976" s="5" t="n">
        <v>2025</v>
      </c>
      <c r="H976" s="5" t="inlineStr">
        <is>
          <t>Junio</t>
        </is>
      </c>
      <c r="I976" s="6" t="inlineStr">
        <is>
          <t>2025-1</t>
        </is>
      </c>
      <c r="J976" s="73" t="n">
        <v>100</v>
      </c>
      <c r="K976" s="94" t="n">
        <v>100</v>
      </c>
      <c r="L976" s="74">
        <f>IFERROR(IF(OR(J976=0,K976=""),"",IF(E976="Positivo",MIN(MAX(K976/J976,0),1.3),MIN(MAX(J976/K976,0),1.3))),"") </f>
        <v/>
      </c>
      <c r="M976" s="14">
        <f>IFERROR(IF(OR(J976=0,K976=""),"",IF(E976="Positivo",MAX(K976/J976,0),MAX(J976/K976,0))),"") </f>
        <v/>
      </c>
      <c r="N976" s="5" t="inlineStr">
        <is>
          <t>ENT</t>
        </is>
      </c>
      <c r="O976" s="5" t="inlineStr">
        <is>
          <t>ENT</t>
        </is>
      </c>
      <c r="P976" s="5" t="n">
        <v>0</v>
      </c>
      <c r="Q976" s="5" t="n">
        <v>0</v>
      </c>
      <c r="R976" s="5" t="inlineStr">
        <is>
          <t>338-2025-06-30</t>
        </is>
      </c>
    </row>
    <row r="977">
      <c r="A977" s="26" t="n">
        <v>338</v>
      </c>
      <c r="B977" s="5" t="inlineStr">
        <is>
          <t>Número de programas con condiciones iniciales aprobadas (indicador externo)- Metrica</t>
        </is>
      </c>
      <c r="C977" s="5" t="inlineStr">
        <is>
          <t>Autoevaluación de programas académicos</t>
        </is>
      </c>
      <c r="D977" s="5" t="inlineStr">
        <is>
          <t>Trimestral</t>
        </is>
      </c>
      <c r="E977" s="5" t="inlineStr">
        <is>
          <t>Positivo</t>
        </is>
      </c>
      <c r="F977" s="107" t="n">
        <v>46022</v>
      </c>
      <c r="G977" s="5" t="n">
        <v>2025</v>
      </c>
      <c r="H977" s="5" t="inlineStr">
        <is>
          <t>Diciembre</t>
        </is>
      </c>
      <c r="I977" s="6" t="inlineStr">
        <is>
          <t>2025-2</t>
        </is>
      </c>
      <c r="J977" s="73" t="n">
        <v>100</v>
      </c>
      <c r="K977" s="94" t="n">
        <v>100</v>
      </c>
      <c r="L977" s="74" t="n"/>
      <c r="M977" s="14" t="n"/>
      <c r="N977" s="5" t="inlineStr">
        <is>
          <t>ENT</t>
        </is>
      </c>
      <c r="O977" s="5" t="inlineStr">
        <is>
          <t>ENT</t>
        </is>
      </c>
      <c r="P977" s="5" t="n">
        <v>0</v>
      </c>
      <c r="Q977" s="5" t="n">
        <v>0</v>
      </c>
      <c r="R977" s="5" t="inlineStr">
        <is>
          <t>338-2025-12-31</t>
        </is>
      </c>
      <c r="S977" t="inlineStr">
        <is>
          <t>Metrica</t>
        </is>
      </c>
    </row>
    <row r="978">
      <c r="A978" s="5" t="n">
        <v>339</v>
      </c>
      <c r="B978" s="5" t="inlineStr">
        <is>
          <t>Programas acreditables acreditados Sede Bogotá</t>
        </is>
      </c>
      <c r="C978" s="5" t="inlineStr">
        <is>
          <t>Autoevaluación institucional</t>
        </is>
      </c>
      <c r="D978" s="5" t="inlineStr">
        <is>
          <t>Anual</t>
        </is>
      </c>
      <c r="E978" s="5" t="inlineStr">
        <is>
          <t>Positivo</t>
        </is>
      </c>
      <c r="F978" s="107" t="n">
        <v>45291</v>
      </c>
      <c r="G978" s="5" t="n">
        <v>2023</v>
      </c>
      <c r="H978" s="5" t="inlineStr">
        <is>
          <t>Diciembre</t>
        </is>
      </c>
      <c r="I978" s="6" t="inlineStr">
        <is>
          <t>2023-2</t>
        </is>
      </c>
      <c r="J978" s="5" t="n">
        <v>30</v>
      </c>
      <c r="K978" s="5" t="n">
        <v>28.57142857142857</v>
      </c>
      <c r="L978" s="14">
        <f>IFERROR(IF(OR(J978=0,K978=""),"",IF(E978="Positivo",MIN(MAX(K978/J978,0),1.3),MIN(MAX(J978/K978,0),1.3))),"") </f>
        <v/>
      </c>
      <c r="M978" s="14">
        <f>IFERROR(IF(OR(J978=0,K978=""),"",IF(E978="Positivo",MAX(K978/J978,0),MAX(J978/K978,0))),"") </f>
        <v/>
      </c>
      <c r="N978" s="5" t="inlineStr">
        <is>
          <t>%</t>
        </is>
      </c>
      <c r="O978" s="5" t="inlineStr">
        <is>
          <t>%</t>
        </is>
      </c>
      <c r="P978" s="5" t="n">
        <v>0</v>
      </c>
      <c r="Q978" s="5" t="n">
        <v>1</v>
      </c>
      <c r="R978" s="5" t="inlineStr">
        <is>
          <t>339-2023-12-31</t>
        </is>
      </c>
    </row>
    <row r="979">
      <c r="A979" s="5" t="n">
        <v>339</v>
      </c>
      <c r="B979" s="5" t="inlineStr">
        <is>
          <t>Programas acreditables acreditados Sede Bogotá</t>
        </is>
      </c>
      <c r="C979" s="5" t="inlineStr">
        <is>
          <t>Autoevaluación institucional</t>
        </is>
      </c>
      <c r="D979" s="5" t="inlineStr">
        <is>
          <t>Anual</t>
        </is>
      </c>
      <c r="E979" s="5" t="inlineStr">
        <is>
          <t>Positivo</t>
        </is>
      </c>
      <c r="F979" s="107" t="n">
        <v>45657</v>
      </c>
      <c r="G979" s="15" t="n">
        <v>2024</v>
      </c>
      <c r="H979" s="6" t="inlineStr">
        <is>
          <t>Diciembre</t>
        </is>
      </c>
      <c r="I979" s="6" t="inlineStr">
        <is>
          <t>2024-2</t>
        </is>
      </c>
      <c r="J979" s="5" t="n">
        <v>30</v>
      </c>
      <c r="K979" s="5" t="n">
        <v>30.3</v>
      </c>
      <c r="L979" s="74">
        <f>IFERROR(IF(OR(J979=0,K979=""),"",IF(E979="Positivo",MIN(MAX(K979/J979,0),1.3),MIN(MAX(J979/K979,0),1.3))),"") </f>
        <v/>
      </c>
      <c r="M979" s="14">
        <f>IFERROR(IF(OR(J979=0,K979=""),"",IF(E979="Positivo",MAX(K979/J979,0),MAX(J979/K979,0))),"") </f>
        <v/>
      </c>
      <c r="N979" s="5" t="inlineStr">
        <is>
          <t>%</t>
        </is>
      </c>
      <c r="O979" s="5" t="inlineStr">
        <is>
          <t>%</t>
        </is>
      </c>
      <c r="P979" s="5" t="n">
        <v>0</v>
      </c>
      <c r="Q979" s="5" t="n">
        <v>1</v>
      </c>
      <c r="R979" s="5" t="inlineStr">
        <is>
          <t>339-2024-12-31</t>
        </is>
      </c>
    </row>
    <row r="980">
      <c r="A980" s="26" t="n">
        <v>339</v>
      </c>
      <c r="B980" s="5" t="inlineStr">
        <is>
          <t>Programas acreditables acreditados Sede Bogotá</t>
        </is>
      </c>
      <c r="C980" s="5" t="inlineStr">
        <is>
          <t>Autoevaluación institucional</t>
        </is>
      </c>
      <c r="D980" s="5" t="inlineStr">
        <is>
          <t>Anual</t>
        </is>
      </c>
      <c r="E980" s="5" t="inlineStr">
        <is>
          <t>Positivo</t>
        </is>
      </c>
      <c r="F980" s="107" t="n">
        <v>46022</v>
      </c>
      <c r="G980" s="5" t="n">
        <v>2025</v>
      </c>
      <c r="H980" s="5" t="inlineStr">
        <is>
          <t>Diciembre</t>
        </is>
      </c>
      <c r="I980" s="6" t="inlineStr">
        <is>
          <t>2025-2</t>
        </is>
      </c>
      <c r="J980" s="5" t="n">
        <v>30</v>
      </c>
      <c r="K980" s="5" t="n">
        <v>35.29</v>
      </c>
      <c r="L980" s="74">
        <f>IFERROR(IF(OR(J980=0,K980=""),"",IF(E980="Positivo",MIN(MAX(K980/J980,0),1.3),MIN(MAX(J980/K980,0),1.3))),"") </f>
        <v/>
      </c>
      <c r="M980" s="14">
        <f>IFERROR(IF(OR(J980=0,K980=""),"",IF(E980="Positivo",MAX(K980/J980,0),MAX(J980/K980,0))),"") </f>
        <v/>
      </c>
      <c r="N980" s="5" t="inlineStr">
        <is>
          <t>%</t>
        </is>
      </c>
      <c r="O980" s="5" t="inlineStr">
        <is>
          <t>%</t>
        </is>
      </c>
      <c r="P980" s="5" t="n">
        <v>0</v>
      </c>
      <c r="Q980" s="5" t="n">
        <v>1</v>
      </c>
      <c r="R980" s="5" t="inlineStr">
        <is>
          <t>339-2025-12-31</t>
        </is>
      </c>
    </row>
    <row r="981">
      <c r="A981" s="5" t="n">
        <v>340</v>
      </c>
      <c r="B981" s="5" t="inlineStr">
        <is>
          <t>Cumplimiento cronograma revisiones locativas</t>
        </is>
      </c>
      <c r="C981" s="5" t="inlineStr">
        <is>
          <t>Gestión Infraestructura Física</t>
        </is>
      </c>
      <c r="D981" s="5" t="inlineStr">
        <is>
          <t>Trimestral</t>
        </is>
      </c>
      <c r="E981" s="5" t="inlineStr">
        <is>
          <t>Positivo</t>
        </is>
      </c>
      <c r="F981" s="107" t="n">
        <v>45107</v>
      </c>
      <c r="G981" s="5" t="n">
        <v>2023</v>
      </c>
      <c r="H981" s="5" t="inlineStr">
        <is>
          <t>Junio</t>
        </is>
      </c>
      <c r="I981" s="6" t="inlineStr">
        <is>
          <t>2023-1</t>
        </is>
      </c>
      <c r="J981" s="5" t="n">
        <v>90</v>
      </c>
      <c r="K981" s="5" t="n">
        <v>100</v>
      </c>
      <c r="L981" s="14">
        <f>IFERROR(IF(OR(J981=0,K981=""),"",IF(E981="Positivo",MIN(MAX(K981/J981,0),1.3),MIN(MAX(J981/K981,0),1.3))),"") </f>
        <v/>
      </c>
      <c r="M981" s="14">
        <f>IFERROR(IF(OR(J981=0,K981=""),"",IF(E981="Positivo",MAX(K981/J981,0),MAX(J981/K981,0))),"") </f>
        <v/>
      </c>
      <c r="N981" s="5" t="inlineStr">
        <is>
          <t>%</t>
        </is>
      </c>
      <c r="O981" s="5" t="inlineStr">
        <is>
          <t>%</t>
        </is>
      </c>
      <c r="P981" s="5" t="n">
        <v>0</v>
      </c>
      <c r="Q981" s="5" t="n">
        <v>0</v>
      </c>
      <c r="R981" s="5" t="inlineStr">
        <is>
          <t>340-2023-06-30</t>
        </is>
      </c>
    </row>
    <row r="982">
      <c r="A982" s="5" t="n">
        <v>340</v>
      </c>
      <c r="B982" s="5" t="inlineStr">
        <is>
          <t>Cumplimiento cronograma revisiones locativas</t>
        </is>
      </c>
      <c r="C982" s="5" t="inlineStr">
        <is>
          <t>Gestión Infraestructura Física</t>
        </is>
      </c>
      <c r="D982" s="5" t="inlineStr">
        <is>
          <t>Trimestral</t>
        </is>
      </c>
      <c r="E982" s="5" t="inlineStr">
        <is>
          <t>Positivo</t>
        </is>
      </c>
      <c r="F982" s="107" t="n">
        <v>45291</v>
      </c>
      <c r="G982" s="5" t="n">
        <v>2023</v>
      </c>
      <c r="H982" s="5" t="inlineStr">
        <is>
          <t>Diciembre</t>
        </is>
      </c>
      <c r="I982" s="6" t="inlineStr">
        <is>
          <t>2023-2</t>
        </is>
      </c>
      <c r="J982" s="5" t="n">
        <v>90</v>
      </c>
      <c r="K982" s="5" t="n">
        <v>100</v>
      </c>
      <c r="L982" s="14">
        <f>IFERROR(IF(OR(J982=0,K982=""),"",IF(E982="Positivo",MIN(MAX(K982/J982,0),1.3),MIN(MAX(J982/K982,0),1.3))),"") </f>
        <v/>
      </c>
      <c r="M982" s="14">
        <f>IFERROR(IF(OR(J982=0,K982=""),"",IF(E982="Positivo",MAX(K982/J982,0),MAX(J982/K982,0))),"") </f>
        <v/>
      </c>
      <c r="N982" s="5" t="inlineStr">
        <is>
          <t>%</t>
        </is>
      </c>
      <c r="O982" s="5" t="inlineStr">
        <is>
          <t>%</t>
        </is>
      </c>
      <c r="P982" s="5" t="n">
        <v>0</v>
      </c>
      <c r="Q982" s="5" t="n">
        <v>0</v>
      </c>
      <c r="R982" s="5" t="inlineStr">
        <is>
          <t>340-2023-12-31</t>
        </is>
      </c>
    </row>
    <row r="983">
      <c r="A983" s="26" t="n">
        <v>340</v>
      </c>
      <c r="B983" s="5" t="inlineStr">
        <is>
          <t>Cumplimiento cronograma revisiones locativas</t>
        </is>
      </c>
      <c r="C983" s="5" t="inlineStr">
        <is>
          <t>Gestión Infraestructura Física</t>
        </is>
      </c>
      <c r="D983" s="5" t="inlineStr">
        <is>
          <t>Trimestral</t>
        </is>
      </c>
      <c r="E983" s="5" t="inlineStr">
        <is>
          <t>Positivo</t>
        </is>
      </c>
      <c r="F983" s="107" t="n">
        <v>45473</v>
      </c>
      <c r="G983" s="5" t="n">
        <v>2024</v>
      </c>
      <c r="H983" s="5" t="inlineStr">
        <is>
          <t>Junio</t>
        </is>
      </c>
      <c r="I983" s="6" t="inlineStr">
        <is>
          <t>2024-1</t>
        </is>
      </c>
      <c r="J983" s="5" t="n">
        <v>95</v>
      </c>
      <c r="K983" s="5" t="n">
        <v>100</v>
      </c>
      <c r="L983" s="74">
        <f>IFERROR(IF(OR(J983=0,K983=""),"",IF(E983="Positivo",MIN(MAX(K983/J983,0),1.3),MIN(MAX(J983/K983,0),1.3))),"") </f>
        <v/>
      </c>
      <c r="M983" s="14">
        <f>IFERROR(IF(OR(J983=0,K983=""),"",IF(E983="Positivo",MAX(K983/J983,0),MAX(J983/K983,0))),"") </f>
        <v/>
      </c>
      <c r="N983" s="5" t="inlineStr">
        <is>
          <t>%</t>
        </is>
      </c>
      <c r="O983" s="5" t="inlineStr">
        <is>
          <t>%</t>
        </is>
      </c>
      <c r="P983" s="5" t="n">
        <v>0</v>
      </c>
      <c r="Q983" s="5" t="n">
        <v>0</v>
      </c>
      <c r="R983" s="5" t="inlineStr">
        <is>
          <t>340-2024-06-30</t>
        </is>
      </c>
    </row>
    <row r="984">
      <c r="A984" s="5" t="n">
        <v>340</v>
      </c>
      <c r="B984" s="5" t="inlineStr">
        <is>
          <t>Cumplimiento cronograma revisiones locativas</t>
        </is>
      </c>
      <c r="C984" s="5" t="inlineStr">
        <is>
          <t>Gestión Infraestructura Física</t>
        </is>
      </c>
      <c r="D984" s="5" t="inlineStr">
        <is>
          <t>Trimestral</t>
        </is>
      </c>
      <c r="E984" s="5" t="inlineStr">
        <is>
          <t>Positivo</t>
        </is>
      </c>
      <c r="F984" s="107" t="n">
        <v>45657</v>
      </c>
      <c r="G984" s="5" t="n">
        <v>2024</v>
      </c>
      <c r="H984" s="5" t="inlineStr">
        <is>
          <t>Diciembre</t>
        </is>
      </c>
      <c r="I984" s="6" t="inlineStr">
        <is>
          <t>2024-2</t>
        </is>
      </c>
      <c r="J984" s="5" t="n">
        <v>95</v>
      </c>
      <c r="K984" s="5" t="n">
        <v>100</v>
      </c>
      <c r="L984" s="14">
        <f>IFERROR(IF(OR(J984=0,K984=""),"",IF(E984="Positivo",MIN(MAX(K984/J984,0),1.3),MIN(MAX(J984/K984,0),1.3))),"") </f>
        <v/>
      </c>
      <c r="M984" s="14">
        <f>IFERROR(IF(OR(J984=0,K984=""),"",IF(E984="Positivo",MAX(K984/J984,0),MAX(J984/K984,0))),"") </f>
        <v/>
      </c>
      <c r="N984" s="5" t="inlineStr">
        <is>
          <t>%</t>
        </is>
      </c>
      <c r="O984" s="5" t="inlineStr">
        <is>
          <t>%</t>
        </is>
      </c>
      <c r="P984" s="5" t="n">
        <v>0</v>
      </c>
      <c r="Q984" s="5" t="n">
        <v>0</v>
      </c>
      <c r="R984" s="5" t="inlineStr">
        <is>
          <t>340-2024-12-31</t>
        </is>
      </c>
    </row>
    <row r="985">
      <c r="A985" s="5" t="n">
        <v>341</v>
      </c>
      <c r="B985" s="5" t="inlineStr">
        <is>
          <t>Monto total de ahorro en gestión de abastecimiento</t>
        </is>
      </c>
      <c r="C985" s="5" t="inlineStr">
        <is>
          <t>GESTIÓN DE ABASTECIMIENTO</t>
        </is>
      </c>
      <c r="D985" s="5" t="inlineStr">
        <is>
          <t>Semestral</t>
        </is>
      </c>
      <c r="E985" s="5" t="inlineStr">
        <is>
          <t>Positivo</t>
        </is>
      </c>
      <c r="F985" s="107" t="n">
        <v>45107</v>
      </c>
      <c r="G985" s="5" t="n">
        <v>2023</v>
      </c>
      <c r="H985" s="5" t="inlineStr">
        <is>
          <t>Junio</t>
        </is>
      </c>
      <c r="I985" s="6" t="inlineStr">
        <is>
          <t>2023-1</t>
        </is>
      </c>
      <c r="J985" s="5" t="n">
        <v>100</v>
      </c>
      <c r="K985" s="5" t="n">
        <v>123.86966666667</v>
      </c>
      <c r="L985" s="14">
        <f>IFERROR(IF(OR(J985=0,K985=""),"",IF(E985="Positivo",MIN(MAX(K985/J985,0),1.3),MIN(MAX(J985/K985,0),1.3))),"") </f>
        <v/>
      </c>
      <c r="M985" s="14">
        <f>IFERROR(IF(OR(J985=0,K985=""),"",IF(E985="Positivo",MAX(K985/J985,0),MAX(J985/K985,0))),"") </f>
        <v/>
      </c>
      <c r="N985" s="5" t="inlineStr">
        <is>
          <t>$</t>
        </is>
      </c>
      <c r="O985" s="5" t="inlineStr">
        <is>
          <t>$</t>
        </is>
      </c>
      <c r="P985" s="5" t="n">
        <v>0</v>
      </c>
      <c r="Q985" s="5" t="n">
        <v>0</v>
      </c>
      <c r="R985" s="5" t="inlineStr">
        <is>
          <t>341-2023-06-30</t>
        </is>
      </c>
    </row>
    <row r="986">
      <c r="A986" s="28" t="n">
        <v>341</v>
      </c>
      <c r="B986" s="5" t="inlineStr">
        <is>
          <t>Monto total de ahorro en gestión de abastecimiento</t>
        </is>
      </c>
      <c r="C986" s="5" t="inlineStr">
        <is>
          <t>GESTIÓN DE ABASTECIMIENTO</t>
        </is>
      </c>
      <c r="D986" s="5" t="inlineStr">
        <is>
          <t>Semestral</t>
        </is>
      </c>
      <c r="E986" s="5" t="inlineStr">
        <is>
          <t>Positivo</t>
        </is>
      </c>
      <c r="F986" s="107" t="n">
        <v>45291</v>
      </c>
      <c r="G986" s="5" t="n">
        <v>2023</v>
      </c>
      <c r="H986" s="5" t="inlineStr">
        <is>
          <t>Diciembre</t>
        </is>
      </c>
      <c r="I986" s="6" t="inlineStr">
        <is>
          <t>2023-2</t>
        </is>
      </c>
      <c r="J986" s="5" t="n">
        <v>100</v>
      </c>
      <c r="K986" s="5" t="n">
        <v>130.57</v>
      </c>
      <c r="L986" s="14">
        <f>IFERROR(IF(OR(J986=0,K986=""),"",IF(E986="Positivo",MIN(MAX(K986/J986,0),1.3),MIN(MAX(J986/K986,0),1.3))),"") </f>
        <v/>
      </c>
      <c r="M986" s="14">
        <f>IFERROR(IF(OR(J986=0,K986=""),"",IF(E986="Positivo",MAX(K986/J986,0),MAX(J986/K986,0))),"") </f>
        <v/>
      </c>
      <c r="N986" s="5" t="inlineStr">
        <is>
          <t>$</t>
        </is>
      </c>
      <c r="O986" s="5" t="inlineStr">
        <is>
          <t>$</t>
        </is>
      </c>
      <c r="P986" s="5" t="n">
        <v>0</v>
      </c>
      <c r="Q986" s="5" t="n">
        <v>0</v>
      </c>
      <c r="R986" s="5" t="inlineStr">
        <is>
          <t>341-2023-12-31</t>
        </is>
      </c>
    </row>
    <row r="987">
      <c r="A987" s="26" t="n">
        <v>341</v>
      </c>
      <c r="B987" s="5" t="inlineStr">
        <is>
          <t>Reducción de costos en gestión de abastecimiento</t>
        </is>
      </c>
      <c r="C987" s="5" t="inlineStr">
        <is>
          <t>GESTIÓN DE ABASTECIMIENTO</t>
        </is>
      </c>
      <c r="D987" s="5" t="inlineStr">
        <is>
          <t>Semestral</t>
        </is>
      </c>
      <c r="E987" s="5" t="inlineStr">
        <is>
          <t>Positivo</t>
        </is>
      </c>
      <c r="F987" s="107" t="n">
        <v>45473</v>
      </c>
      <c r="G987" s="5" t="n">
        <v>2024</v>
      </c>
      <c r="H987" s="5" t="inlineStr">
        <is>
          <t>Junio</t>
        </is>
      </c>
      <c r="I987" s="6" t="inlineStr">
        <is>
          <t>2024-1</t>
        </is>
      </c>
      <c r="J987" s="5" t="n">
        <v>100</v>
      </c>
      <c r="K987" s="5" t="n">
        <v>125</v>
      </c>
      <c r="L987" s="14">
        <f>IFERROR(IF(OR(J987=0,K987=""),"",IF(E987="Positivo",MIN(MAX(K987/J987,0),1.3),MIN(MAX(J987/K987,0),1.3))),"") </f>
        <v/>
      </c>
      <c r="M987" s="14">
        <f>IFERROR(IF(OR(J987=0,K987=""),"",IF(E987="Positivo",MAX(K987/J987,0),MAX(J987/K987,0))),"") </f>
        <v/>
      </c>
      <c r="N987" s="5" t="inlineStr">
        <is>
          <t>$</t>
        </is>
      </c>
      <c r="O987" s="5" t="inlineStr">
        <is>
          <t>$</t>
        </is>
      </c>
      <c r="P987" s="5" t="n">
        <v>0</v>
      </c>
      <c r="Q987" s="5" t="n">
        <v>0</v>
      </c>
      <c r="R987" s="5" t="inlineStr">
        <is>
          <t>341-2024-06-30</t>
        </is>
      </c>
    </row>
    <row r="988">
      <c r="A988" s="5" t="n">
        <v>341</v>
      </c>
      <c r="B988" s="5" t="inlineStr">
        <is>
          <t>Reducción de costos en gestión de abastecimiento</t>
        </is>
      </c>
      <c r="C988" s="5" t="inlineStr">
        <is>
          <t>GESTIÓN DE ABASTECIMIENTO</t>
        </is>
      </c>
      <c r="D988" s="5" t="inlineStr">
        <is>
          <t>Semestral</t>
        </is>
      </c>
      <c r="E988" s="5" t="inlineStr">
        <is>
          <t>Positivo</t>
        </is>
      </c>
      <c r="F988" s="107" t="n">
        <v>45657</v>
      </c>
      <c r="G988" s="5" t="n">
        <v>2024</v>
      </c>
      <c r="H988" s="5" t="inlineStr">
        <is>
          <t>Diciembre</t>
        </is>
      </c>
      <c r="I988" s="6" t="inlineStr">
        <is>
          <t>2024-2</t>
        </is>
      </c>
      <c r="J988" s="5" t="n">
        <v>100</v>
      </c>
      <c r="K988" s="5" t="n">
        <v>102.44</v>
      </c>
      <c r="L988" s="14">
        <f>IFERROR(IF(OR(J988=0,K988=""),"",IF(E988="Positivo",MIN(MAX(K988/J988,0),1.3),MIN(MAX(J988/K988,0),1.3))),"") </f>
        <v/>
      </c>
      <c r="M988" s="14">
        <f>IFERROR(IF(OR(J988=0,K988=""),"",IF(E988="Positivo",MAX(K988/J988,0),MAX(J988/K988,0))),"") </f>
        <v/>
      </c>
      <c r="N988" s="5" t="inlineStr">
        <is>
          <t>$</t>
        </is>
      </c>
      <c r="O988" s="5" t="inlineStr">
        <is>
          <t>$</t>
        </is>
      </c>
      <c r="P988" s="5" t="n">
        <v>0</v>
      </c>
      <c r="Q988" s="5" t="n">
        <v>0</v>
      </c>
      <c r="R988" s="5" t="inlineStr">
        <is>
          <t>341-2024-12-31</t>
        </is>
      </c>
    </row>
    <row r="989">
      <c r="A989" s="5" t="n">
        <v>341</v>
      </c>
      <c r="B989" s="5" t="inlineStr">
        <is>
          <t>Reducción de costos en gestión de abastecimiento</t>
        </is>
      </c>
      <c r="C989" s="5" t="inlineStr">
        <is>
          <t>GESTIÓN DE ABASTECIMIENTO</t>
        </is>
      </c>
      <c r="D989" s="5" t="inlineStr">
        <is>
          <t>Semestral</t>
        </is>
      </c>
      <c r="E989" s="5" t="inlineStr">
        <is>
          <t>Positivo</t>
        </is>
      </c>
      <c r="F989" s="107" t="n">
        <v>45838</v>
      </c>
      <c r="G989" s="5" t="n">
        <v>2025</v>
      </c>
      <c r="H989" s="5" t="inlineStr">
        <is>
          <t>Junio</t>
        </is>
      </c>
      <c r="I989" s="6" t="inlineStr">
        <is>
          <t>2025-1</t>
        </is>
      </c>
      <c r="J989" s="5" t="n">
        <v>100</v>
      </c>
      <c r="K989" s="5" t="n">
        <v>102.25</v>
      </c>
      <c r="L989" s="14">
        <f>IFERROR(IF(OR(J989=0,K989=""),"",IF(E989="Positivo",MIN(MAX(K989/J989,0),1.3),MIN(MAX(J989/K989,0),1.3))),"") </f>
        <v/>
      </c>
      <c r="M989" s="14">
        <f>IFERROR(IF(OR(J989=0,K989=""),"",IF(E989="Positivo",MAX(K989/J989,0),MAX(J989/K989,0))),"") </f>
        <v/>
      </c>
      <c r="N989" s="5" t="inlineStr">
        <is>
          <t>$</t>
        </is>
      </c>
      <c r="O989" s="5" t="inlineStr">
        <is>
          <t>$</t>
        </is>
      </c>
      <c r="P989" s="5" t="n">
        <v>0</v>
      </c>
      <c r="Q989" s="5" t="n">
        <v>0</v>
      </c>
      <c r="R989" s="5" t="inlineStr">
        <is>
          <t>341-2025-06-30</t>
        </is>
      </c>
    </row>
    <row r="990">
      <c r="A990" s="26" t="n">
        <v>341</v>
      </c>
      <c r="B990" s="5" t="inlineStr">
        <is>
          <t>Eficiencia en la reducción de costos en la gestión del abastecimiento</t>
        </is>
      </c>
      <c r="C990" s="5" t="inlineStr">
        <is>
          <t>GESTIÓN DE ABASTECIMIENTO</t>
        </is>
      </c>
      <c r="D990" s="5" t="inlineStr">
        <is>
          <t>Trimestral</t>
        </is>
      </c>
      <c r="E990" s="5" t="inlineStr">
        <is>
          <t>Positivo</t>
        </is>
      </c>
      <c r="F990" s="107" t="n">
        <v>46022</v>
      </c>
      <c r="G990" s="5" t="n">
        <v>2025</v>
      </c>
      <c r="H990" s="5" t="inlineStr">
        <is>
          <t>Diciembre</t>
        </is>
      </c>
      <c r="I990" s="6" t="inlineStr">
        <is>
          <t>2025-2</t>
        </is>
      </c>
      <c r="J990" s="5" t="n">
        <v>100</v>
      </c>
      <c r="K990" s="5" t="n">
        <v>102.65</v>
      </c>
      <c r="L990" s="14">
        <f>IFERROR(IF(OR(J990=0,K990=""),"",IF(E990="Positivo",MIN(MAX(K990/J990,0),1.3),MIN(MAX(J990/K990,0),1.3))),"") </f>
        <v/>
      </c>
      <c r="M990" s="14">
        <f>IFERROR(IF(OR(J990=0,K990=""),"",IF(E990="Positivo",MAX(K990/J990,0),MAX(J990/K990,0))),"") </f>
        <v/>
      </c>
      <c r="N990" s="5" t="inlineStr">
        <is>
          <t>$</t>
        </is>
      </c>
      <c r="O990" s="5" t="inlineStr">
        <is>
          <t>$</t>
        </is>
      </c>
      <c r="P990" s="5" t="n">
        <v>0</v>
      </c>
      <c r="Q990" s="5" t="n">
        <v>0</v>
      </c>
      <c r="R990" s="5" t="inlineStr">
        <is>
          <t>341-2025-12-31</t>
        </is>
      </c>
    </row>
    <row r="991">
      <c r="A991" s="26" t="n">
        <v>344</v>
      </c>
      <c r="B991" s="5" t="inlineStr">
        <is>
          <t>Cumplimiento del plan de Inducción institucional</t>
        </is>
      </c>
      <c r="C991" s="5" t="inlineStr">
        <is>
          <t>GESTIÓN Y DESARROLLO DEL TALENTO HUMANO</t>
        </is>
      </c>
      <c r="D991" s="5" t="inlineStr">
        <is>
          <t>Semestral</t>
        </is>
      </c>
      <c r="E991" s="5" t="inlineStr">
        <is>
          <t>Positivo</t>
        </is>
      </c>
      <c r="F991" s="107" t="n">
        <v>45107</v>
      </c>
      <c r="G991" s="5" t="n">
        <v>2023</v>
      </c>
      <c r="H991" s="5" t="inlineStr">
        <is>
          <t>Junio</t>
        </is>
      </c>
      <c r="I991" s="6" t="inlineStr">
        <is>
          <t>2023-1</t>
        </is>
      </c>
      <c r="J991" s="5" t="n">
        <v>90</v>
      </c>
      <c r="K991" s="5" t="n">
        <v>97.74436090225601</v>
      </c>
      <c r="L991" s="14">
        <f>IFERROR(IF(OR(J991=0,K991=""),"",IF(E991="Positivo",MIN(MAX(K991/J991,0),1.3),MIN(MAX(J991/K991,0),1.3))),"") </f>
        <v/>
      </c>
      <c r="M991" s="14">
        <f>IFERROR(IF(OR(J991=0,K991=""),"",IF(E991="Positivo",MAX(K991/J991,0),MAX(J991/K991,0))),"") </f>
        <v/>
      </c>
      <c r="N991" s="5" t="inlineStr">
        <is>
          <t>%</t>
        </is>
      </c>
      <c r="O991" s="5" t="inlineStr">
        <is>
          <t>%</t>
        </is>
      </c>
      <c r="P991" s="5" t="n">
        <v>0</v>
      </c>
      <c r="Q991" s="5" t="n">
        <v>0</v>
      </c>
      <c r="R991" s="5" t="inlineStr">
        <is>
          <t>344-2023-06-30</t>
        </is>
      </c>
    </row>
    <row r="992">
      <c r="A992" s="26" t="n">
        <v>344</v>
      </c>
      <c r="B992" s="5" t="inlineStr">
        <is>
          <t>Cumplimiento del plan de Inducción institucional</t>
        </is>
      </c>
      <c r="C992" s="5" t="inlineStr">
        <is>
          <t>GESTIÓN Y DESARROLLO DEL TALENTO HUMANO</t>
        </is>
      </c>
      <c r="D992" s="5" t="inlineStr">
        <is>
          <t>Semestral</t>
        </is>
      </c>
      <c r="E992" s="5" t="inlineStr">
        <is>
          <t>Positivo</t>
        </is>
      </c>
      <c r="F992" s="107" t="n">
        <v>45291</v>
      </c>
      <c r="G992" s="5" t="n">
        <v>2023</v>
      </c>
      <c r="H992" s="5" t="inlineStr">
        <is>
          <t>Diciembre</t>
        </is>
      </c>
      <c r="I992" s="6" t="inlineStr">
        <is>
          <t>2023-2</t>
        </is>
      </c>
      <c r="J992" s="5" t="n">
        <v>90</v>
      </c>
      <c r="K992" s="5" t="n">
        <v>97.76000000000001</v>
      </c>
      <c r="L992" s="14">
        <f>IFERROR(IF(OR(J992=0,K992=""),"",IF(E992="Positivo",MIN(MAX(K992/J992,0),1.3),MIN(MAX(J992/K992,0),1.3))),"") </f>
        <v/>
      </c>
      <c r="M992" s="14">
        <f>IFERROR(IF(OR(J992=0,K992=""),"",IF(E992="Positivo",MAX(K992/J992,0),MAX(J992/K992,0))),"") </f>
        <v/>
      </c>
      <c r="N992" s="5" t="inlineStr">
        <is>
          <t>%</t>
        </is>
      </c>
      <c r="O992" s="5" t="inlineStr">
        <is>
          <t>%</t>
        </is>
      </c>
      <c r="P992" s="5" t="n">
        <v>0</v>
      </c>
      <c r="Q992" s="5" t="n">
        <v>0</v>
      </c>
      <c r="R992" s="5" t="inlineStr">
        <is>
          <t>344-2023-12-31</t>
        </is>
      </c>
    </row>
    <row r="993">
      <c r="A993" s="26" t="n">
        <v>344</v>
      </c>
      <c r="B993" s="5" t="inlineStr">
        <is>
          <t>Cumplimiento del plan de Inducción institucional</t>
        </is>
      </c>
      <c r="C993" s="5" t="inlineStr">
        <is>
          <t>GESTIÓN Y DESARROLLO DEL TALENTO HUMANO</t>
        </is>
      </c>
      <c r="D993" s="5" t="inlineStr">
        <is>
          <t>Semestral</t>
        </is>
      </c>
      <c r="E993" s="5" t="inlineStr">
        <is>
          <t>Positivo</t>
        </is>
      </c>
      <c r="F993" s="107" t="n">
        <v>45473</v>
      </c>
      <c r="G993" s="5" t="n">
        <v>2024</v>
      </c>
      <c r="H993" s="5" t="inlineStr">
        <is>
          <t>Junio</t>
        </is>
      </c>
      <c r="I993" s="6" t="inlineStr">
        <is>
          <t>2024-1</t>
        </is>
      </c>
      <c r="J993" s="5" t="n">
        <v>93</v>
      </c>
      <c r="K993" s="5" t="n">
        <v>97.34</v>
      </c>
      <c r="L993" s="14">
        <f>IFERROR(IF(OR(J993=0,K993=""),"",IF(E993="Positivo",MIN(MAX(K993/J993,0),1.3),MIN(MAX(J993/K993,0),1.3))),"") </f>
        <v/>
      </c>
      <c r="M993" s="14">
        <f>IFERROR(IF(OR(J993=0,K993=""),"",IF(E993="Positivo",MAX(K993/J993,0),MAX(J993/K993,0))),"") </f>
        <v/>
      </c>
      <c r="N993" s="5" t="inlineStr">
        <is>
          <t>%</t>
        </is>
      </c>
      <c r="O993" s="5" t="inlineStr">
        <is>
          <t>%</t>
        </is>
      </c>
      <c r="P993" s="5" t="n">
        <v>0</v>
      </c>
      <c r="Q993" s="5" t="n">
        <v>0</v>
      </c>
      <c r="R993" s="5" t="inlineStr">
        <is>
          <t>344-2024-06-30</t>
        </is>
      </c>
    </row>
    <row r="994">
      <c r="A994" s="5" t="n">
        <v>344</v>
      </c>
      <c r="B994" s="5" t="inlineStr">
        <is>
          <t>Cumplimiento del plan de Inducción institucional</t>
        </is>
      </c>
      <c r="C994" s="5" t="inlineStr">
        <is>
          <t>GESTIÓN Y DESARROLLO DEL TALENTO HUMANO</t>
        </is>
      </c>
      <c r="D994" s="5" t="inlineStr">
        <is>
          <t>Semestral</t>
        </is>
      </c>
      <c r="E994" s="5" t="inlineStr">
        <is>
          <t>Positivo</t>
        </is>
      </c>
      <c r="F994" s="107" t="n">
        <v>45657</v>
      </c>
      <c r="G994" s="5" t="n">
        <v>2024</v>
      </c>
      <c r="H994" s="5" t="inlineStr">
        <is>
          <t>Diciembre</t>
        </is>
      </c>
      <c r="I994" s="6" t="inlineStr">
        <is>
          <t>2024-2</t>
        </is>
      </c>
      <c r="J994" s="5" t="n">
        <v>93</v>
      </c>
      <c r="K994" s="5" t="n">
        <v>99.19</v>
      </c>
      <c r="L994" s="14">
        <f>IFERROR(IF(OR(J994=0,K994=""),"",IF(E994="Positivo",MIN(MAX(K994/J994,0),1.3),MIN(MAX(J994/K994,0),1.3))),"") </f>
        <v/>
      </c>
      <c r="M994" s="14">
        <f>IFERROR(IF(OR(J994=0,K994=""),"",IF(E994="Positivo",MAX(K994/J994,0),MAX(J994/K994,0))),"") </f>
        <v/>
      </c>
      <c r="N994" s="5" t="inlineStr">
        <is>
          <t>%</t>
        </is>
      </c>
      <c r="O994" s="5" t="inlineStr">
        <is>
          <t>%</t>
        </is>
      </c>
      <c r="P994" s="5" t="n">
        <v>0</v>
      </c>
      <c r="Q994" s="5" t="n">
        <v>0</v>
      </c>
      <c r="R994" s="5" t="inlineStr">
        <is>
          <t>344-2024-12-31</t>
        </is>
      </c>
    </row>
    <row r="995">
      <c r="A995" s="5" t="n">
        <v>344</v>
      </c>
      <c r="B995" s="5" t="inlineStr">
        <is>
          <t>Cumplimiento del plan de Inducción institucional</t>
        </is>
      </c>
      <c r="C995" s="5" t="inlineStr">
        <is>
          <t>GESTIÓN Y DESARROLLO DEL TALENTO HUMANO</t>
        </is>
      </c>
      <c r="D995" s="5" t="inlineStr">
        <is>
          <t>Trimestral</t>
        </is>
      </c>
      <c r="E995" s="5" t="inlineStr">
        <is>
          <t>Positivo</t>
        </is>
      </c>
      <c r="F995" s="107" t="n">
        <v>45838</v>
      </c>
      <c r="G995" s="5" t="n">
        <v>2025</v>
      </c>
      <c r="H995" s="5" t="inlineStr">
        <is>
          <t>Junio</t>
        </is>
      </c>
      <c r="I995" s="6" t="inlineStr">
        <is>
          <t>2025-1</t>
        </is>
      </c>
      <c r="J995" s="5" t="n">
        <v>93</v>
      </c>
      <c r="K995" s="5" t="n">
        <v>99.43000000000001</v>
      </c>
      <c r="L995" s="14">
        <f>IFERROR(IF(OR(J995=0,K995=""),"",IF(E995="Positivo",MIN(MAX(K995/J995,0),1.3),MIN(MAX(J995/K995,0),1.3))),"") </f>
        <v/>
      </c>
      <c r="M995" s="14">
        <f>IFERROR(IF(OR(J995=0,K995=""),"",IF(E995="Positivo",MAX(K995/J995,0),MAX(J995/K995,0))),"") </f>
        <v/>
      </c>
      <c r="N995" s="5" t="inlineStr">
        <is>
          <t>%</t>
        </is>
      </c>
      <c r="O995" s="5" t="inlineStr">
        <is>
          <t>%</t>
        </is>
      </c>
      <c r="P995" s="5" t="n">
        <v>0</v>
      </c>
      <c r="Q995" s="5" t="n">
        <v>0</v>
      </c>
      <c r="R995" s="5" t="inlineStr">
        <is>
          <t>344-2025-06-30</t>
        </is>
      </c>
    </row>
    <row r="996">
      <c r="A996" s="28" t="n">
        <v>344</v>
      </c>
      <c r="B996" s="5" t="inlineStr">
        <is>
          <t>Cumplimiento del plan de Inducción institucional</t>
        </is>
      </c>
      <c r="C996" s="5" t="inlineStr">
        <is>
          <t>GESTIÓN Y DESARROLLO DEL TALENTO HUMANO</t>
        </is>
      </c>
      <c r="D996" s="5" t="inlineStr">
        <is>
          <t>Trimestral</t>
        </is>
      </c>
      <c r="E996" s="5" t="inlineStr">
        <is>
          <t>Positivo</t>
        </is>
      </c>
      <c r="F996" s="107" t="n">
        <v>46022</v>
      </c>
      <c r="G996" s="5" t="n">
        <v>2025</v>
      </c>
      <c r="H996" s="5" t="inlineStr">
        <is>
          <t>Diciembre</t>
        </is>
      </c>
      <c r="I996" s="6" t="inlineStr">
        <is>
          <t>2025-2</t>
        </is>
      </c>
      <c r="J996" s="5" t="n">
        <v>93</v>
      </c>
      <c r="K996" s="5" t="n">
        <v>100</v>
      </c>
      <c r="L996" s="74">
        <f>IFERROR(IF(OR(J996=0,K996=""),"",IF(E996="Positivo",MIN(MAX(K996/J996,0),1.3),MIN(MAX(J996/K996,0),1.3))),"") </f>
        <v/>
      </c>
      <c r="M996" s="14">
        <f>IFERROR(IF(OR(J996=0,K996=""),"",IF(E996="Positivo",MAX(K996/J996,0),MAX(J996/K996,0))),"") </f>
        <v/>
      </c>
      <c r="N996" s="5" t="inlineStr">
        <is>
          <t>%</t>
        </is>
      </c>
      <c r="O996" s="5" t="inlineStr">
        <is>
          <t>%</t>
        </is>
      </c>
      <c r="P996" s="5" t="n">
        <v>0</v>
      </c>
      <c r="Q996" s="5" t="n">
        <v>0</v>
      </c>
      <c r="R996" s="5" t="inlineStr">
        <is>
          <t>344-2025-12-31</t>
        </is>
      </c>
    </row>
    <row r="997">
      <c r="A997" s="26" t="n">
        <v>345</v>
      </c>
      <c r="B997" s="5" t="inlineStr">
        <is>
          <t>% de profesores impactados plan de desarrollo docente</t>
        </is>
      </c>
      <c r="C997" s="5" t="inlineStr">
        <is>
          <t>GESTIÓN Y DESARROLLO DEL TALENTO HUMANO</t>
        </is>
      </c>
      <c r="D997" s="5" t="inlineStr">
        <is>
          <t>Anual</t>
        </is>
      </c>
      <c r="E997" s="5" t="inlineStr">
        <is>
          <t>Positivo</t>
        </is>
      </c>
      <c r="F997" s="107" t="n">
        <v>45291</v>
      </c>
      <c r="G997" s="5" t="n">
        <v>2023</v>
      </c>
      <c r="H997" s="5" t="inlineStr">
        <is>
          <t>Diciembre</t>
        </is>
      </c>
      <c r="I997" s="6" t="inlineStr">
        <is>
          <t>2023-2</t>
        </is>
      </c>
      <c r="J997" s="5" t="n"/>
      <c r="K997" s="5" t="n">
        <v>94.84999999999999</v>
      </c>
      <c r="L997" s="74" t="n"/>
      <c r="M997" s="14" t="n"/>
      <c r="N997" s="5" t="inlineStr">
        <is>
          <t>Linea base</t>
        </is>
      </c>
      <c r="O997" s="5" t="inlineStr">
        <is>
          <t>%</t>
        </is>
      </c>
      <c r="P997" s="5" t="n">
        <v>0</v>
      </c>
      <c r="Q997" s="5" t="n">
        <v>0</v>
      </c>
      <c r="R997" s="5" t="inlineStr">
        <is>
          <t>345-2023-12-31</t>
        </is>
      </c>
    </row>
    <row r="998">
      <c r="A998" s="5" t="n">
        <v>346</v>
      </c>
      <c r="B998" s="5" t="inlineStr">
        <is>
          <t>% de profesores impactados en actividades de Bienestar</t>
        </is>
      </c>
      <c r="C998" s="5" t="inlineStr">
        <is>
          <t>GESTIÓN Y DESARROLLO DEL TALENTO HUMANO</t>
        </is>
      </c>
      <c r="D998" s="5" t="inlineStr">
        <is>
          <t>Anual</t>
        </is>
      </c>
      <c r="E998" s="5" t="inlineStr">
        <is>
          <t>Positivo</t>
        </is>
      </c>
      <c r="F998" s="107" t="n">
        <v>45291</v>
      </c>
      <c r="G998" s="5" t="n">
        <v>2023</v>
      </c>
      <c r="H998" s="5" t="inlineStr">
        <is>
          <t>Diciembre</t>
        </is>
      </c>
      <c r="I998" s="6" t="inlineStr">
        <is>
          <t>2023-2</t>
        </is>
      </c>
      <c r="J998" s="5" t="n"/>
      <c r="K998" s="5" t="n">
        <v>83.91608391608392</v>
      </c>
      <c r="L998" s="14" t="n"/>
      <c r="M998" s="14" t="n"/>
      <c r="N998" s="5" t="inlineStr">
        <is>
          <t>Linea base</t>
        </is>
      </c>
      <c r="O998" s="5" t="inlineStr">
        <is>
          <t>%</t>
        </is>
      </c>
      <c r="P998" s="5" t="n">
        <v>0</v>
      </c>
      <c r="Q998" s="5" t="n">
        <v>0</v>
      </c>
      <c r="R998" s="5" t="inlineStr">
        <is>
          <t>346-2023-12-31</t>
        </is>
      </c>
    </row>
    <row r="999">
      <c r="A999" s="5" t="n">
        <v>346</v>
      </c>
      <c r="B999" s="5" t="inlineStr">
        <is>
          <t>% de profesores impactados en actividades de Bienestar</t>
        </is>
      </c>
      <c r="C999" s="5" t="inlineStr">
        <is>
          <t>GESTIÓN Y DESARROLLO DEL TALENTO HUMANO</t>
        </is>
      </c>
      <c r="D999" s="5" t="inlineStr">
        <is>
          <t>Anual</t>
        </is>
      </c>
      <c r="E999" s="5" t="inlineStr">
        <is>
          <t>Positivo</t>
        </is>
      </c>
      <c r="F999" s="107" t="n">
        <v>45657</v>
      </c>
      <c r="G999" s="5" t="n">
        <v>2024</v>
      </c>
      <c r="H999" s="5" t="inlineStr">
        <is>
          <t>Diciembre</t>
        </is>
      </c>
      <c r="I999" s="6" t="inlineStr">
        <is>
          <t>2024-2</t>
        </is>
      </c>
      <c r="J999" s="5" t="n">
        <v>85</v>
      </c>
      <c r="K999" s="5" t="n">
        <v>91.88</v>
      </c>
      <c r="L999" s="14">
        <f>IFERROR(IF(OR(J999=0,K999=""),"",IF(E999="Positivo",MIN(MAX(K999/J999,0),1.3),MIN(MAX(J999/K999,0),1.3))),"") </f>
        <v/>
      </c>
      <c r="M999" s="14">
        <f>IFERROR(IF(OR(J999=0,K999=""),"",IF(E999="Positivo",MAX(K999/J999,0),MAX(J999/K999,0))),"") </f>
        <v/>
      </c>
      <c r="N999" s="5" t="n"/>
      <c r="O999" s="5" t="n"/>
      <c r="P999" s="5" t="n">
        <v>0</v>
      </c>
      <c r="Q999" s="5" t="n">
        <v>0</v>
      </c>
      <c r="R999" s="5" t="inlineStr">
        <is>
          <t>346-2024-12-31</t>
        </is>
      </c>
    </row>
    <row r="1000">
      <c r="A1000" s="26" t="n">
        <v>346</v>
      </c>
      <c r="B1000" s="5" t="inlineStr">
        <is>
          <t>% de profesores impactados en actividades de Bienestar</t>
        </is>
      </c>
      <c r="C1000" s="5" t="inlineStr">
        <is>
          <t>GESTIÓN Y DESARROLLO DEL TALENTO HUMANO</t>
        </is>
      </c>
      <c r="D1000" s="5" t="inlineStr">
        <is>
          <t>Anual</t>
        </is>
      </c>
      <c r="E1000" s="5" t="inlineStr">
        <is>
          <t>Positivo</t>
        </is>
      </c>
      <c r="F1000" s="107" t="n">
        <v>46022</v>
      </c>
      <c r="G1000" s="5" t="n">
        <v>2025</v>
      </c>
      <c r="H1000" s="5" t="inlineStr">
        <is>
          <t>Diciembre</t>
        </is>
      </c>
      <c r="I1000" s="6" t="inlineStr">
        <is>
          <t>2025-2</t>
        </is>
      </c>
      <c r="J1000" s="5" t="n">
        <v>85</v>
      </c>
      <c r="K1000" s="5" t="n">
        <v>97.28</v>
      </c>
      <c r="L1000" s="14">
        <f>IFERROR(IF(OR(J1000=0,K1000=""),"",IF(E1000="Positivo",MIN(MAX(K1000/J1000,0),1.3),MIN(MAX(J1000/K1000,0),1.3))),"") </f>
        <v/>
      </c>
      <c r="M1000" s="14">
        <f>IFERROR(IF(OR(J1000=0,K1000=""),"",IF(E1000="Positivo",MAX(K1000/J1000,0),MAX(J1000/K1000,0))),"") </f>
        <v/>
      </c>
      <c r="N1000" s="5" t="inlineStr">
        <is>
          <t>Linea Base</t>
        </is>
      </c>
      <c r="O1000" s="5" t="inlineStr">
        <is>
          <t>%</t>
        </is>
      </c>
      <c r="P1000" s="5" t="n">
        <v>0</v>
      </c>
      <c r="Q1000" s="5" t="n">
        <v>0</v>
      </c>
      <c r="R1000" s="5" t="inlineStr">
        <is>
          <t>346-2025-12-31</t>
        </is>
      </c>
    </row>
    <row r="1001">
      <c r="A1001" s="5" t="n">
        <v>347</v>
      </c>
      <c r="B1001" s="5" t="inlineStr">
        <is>
          <t>Legalizaciones y anticipos</t>
        </is>
      </c>
      <c r="C1001" s="5" t="inlineStr">
        <is>
          <t>Contabilidad</t>
        </is>
      </c>
      <c r="D1001" s="5" t="inlineStr">
        <is>
          <t>Trimestral</t>
        </is>
      </c>
      <c r="E1001" s="5" t="inlineStr">
        <is>
          <t>Negativo</t>
        </is>
      </c>
      <c r="F1001" s="107" t="n">
        <v>45107</v>
      </c>
      <c r="G1001" s="5" t="n">
        <v>2023</v>
      </c>
      <c r="H1001" s="5" t="inlineStr">
        <is>
          <t>Junio</t>
        </is>
      </c>
      <c r="I1001" s="6" t="inlineStr">
        <is>
          <t>2023-1</t>
        </is>
      </c>
      <c r="J1001" s="5" t="n">
        <v>0</v>
      </c>
      <c r="K1001" s="5" t="n">
        <v>6.5</v>
      </c>
      <c r="L1001" s="14">
        <f>IFERROR(IF(OR(J1001=0,K1001=""),"",IF(E1001="Positivo",MIN(MAX(K1001/J1001,0),1.3),MIN(MAX(J1001/K1001,0),1.3))),"") </f>
        <v/>
      </c>
      <c r="M1001" s="14">
        <f>IFERROR(IF(OR(J1001=0,K1001=""),"",IF(E1001="Positivo",MAX(K1001/J1001,0),MAX(J1001/K1001,0))),"") </f>
        <v/>
      </c>
      <c r="N1001" s="5" t="inlineStr">
        <is>
          <t>ENT</t>
        </is>
      </c>
      <c r="O1001" s="5" t="inlineStr">
        <is>
          <t>ENT</t>
        </is>
      </c>
      <c r="P1001" s="5" t="n">
        <v>0</v>
      </c>
      <c r="Q1001" s="5" t="n">
        <v>0</v>
      </c>
      <c r="R1001" s="5" t="inlineStr">
        <is>
          <t>347-2023-06-30</t>
        </is>
      </c>
    </row>
    <row r="1002">
      <c r="A1002" s="5" t="n">
        <v>347</v>
      </c>
      <c r="B1002" s="5" t="inlineStr">
        <is>
          <t>Legalizaciones y anticipos</t>
        </is>
      </c>
      <c r="C1002" s="5" t="inlineStr">
        <is>
          <t>Contabilidad</t>
        </is>
      </c>
      <c r="D1002" s="5" t="inlineStr">
        <is>
          <t>Trimestral</t>
        </is>
      </c>
      <c r="E1002" s="5" t="inlineStr">
        <is>
          <t>Negativo</t>
        </is>
      </c>
      <c r="F1002" s="107" t="n">
        <v>45291</v>
      </c>
      <c r="G1002" s="5" t="n">
        <v>2023</v>
      </c>
      <c r="H1002" s="5" t="inlineStr">
        <is>
          <t>Diciembre</t>
        </is>
      </c>
      <c r="I1002" s="6" t="inlineStr">
        <is>
          <t>2023-2</t>
        </is>
      </c>
      <c r="J1002" s="5" t="n">
        <v>0</v>
      </c>
      <c r="K1002" s="5" t="n">
        <v>7</v>
      </c>
      <c r="L1002" s="14">
        <f>IFERROR(IF(OR(J1002=0,K1002=""),"",IF(E1002="Positivo",MIN(MAX(K1002/J1002,0),1.3),MIN(MAX(J1002/K1002,0),1.3))),"") </f>
        <v/>
      </c>
      <c r="M1002" s="14">
        <f>IFERROR(IF(OR(J1002=0,K1002=""),"",IF(E1002="Positivo",MAX(K1002/J1002,0),MAX(J1002/K1002,0))),"") </f>
        <v/>
      </c>
      <c r="N1002" s="5" t="inlineStr">
        <is>
          <t>ENT</t>
        </is>
      </c>
      <c r="O1002" s="5" t="inlineStr">
        <is>
          <t>ENT</t>
        </is>
      </c>
      <c r="P1002" s="5" t="n">
        <v>0</v>
      </c>
      <c r="Q1002" s="5" t="n">
        <v>0</v>
      </c>
      <c r="R1002" s="5" t="inlineStr">
        <is>
          <t>347-2023-12-31</t>
        </is>
      </c>
    </row>
    <row r="1003">
      <c r="A1003" s="26" t="n">
        <v>347</v>
      </c>
      <c r="B1003" s="5" t="inlineStr">
        <is>
          <t>Legalizaciones y anticipos</t>
        </is>
      </c>
      <c r="C1003" s="5" t="inlineStr">
        <is>
          <t>Contabilidad</t>
        </is>
      </c>
      <c r="D1003" s="5" t="inlineStr">
        <is>
          <t>Trimestral</t>
        </is>
      </c>
      <c r="E1003" s="5" t="inlineStr">
        <is>
          <t>Negativo</t>
        </is>
      </c>
      <c r="F1003" s="107" t="n">
        <v>45473</v>
      </c>
      <c r="G1003" s="5" t="n">
        <v>2024</v>
      </c>
      <c r="H1003" s="5" t="inlineStr">
        <is>
          <t>Junio</t>
        </is>
      </c>
      <c r="I1003" s="6" t="inlineStr">
        <is>
          <t>2024-1</t>
        </is>
      </c>
      <c r="J1003" s="5" t="n">
        <v>5</v>
      </c>
      <c r="K1003" s="5" t="n">
        <v>1.5</v>
      </c>
      <c r="L1003" s="74">
        <f>IFERROR(IF(OR(J1003=0,K1003=""),"",IF(E1003="Positivo",MIN(MAX(K1003/J1003,0),1.3),MIN(MAX(J1003/K1003,0),1.3))),"") </f>
        <v/>
      </c>
      <c r="M1003" s="14">
        <f>IFERROR(IF(OR(J1003=0,K1003=""),"",IF(E1003="Positivo",MAX(K1003/J1003,0),MAX(J1003/K1003,0))),"") </f>
        <v/>
      </c>
      <c r="N1003" s="5" t="inlineStr">
        <is>
          <t>ENT</t>
        </is>
      </c>
      <c r="O1003" s="5" t="inlineStr">
        <is>
          <t>ENT</t>
        </is>
      </c>
      <c r="P1003" s="5" t="n">
        <v>0</v>
      </c>
      <c r="Q1003" s="5" t="n">
        <v>0</v>
      </c>
      <c r="R1003" s="5" t="inlineStr">
        <is>
          <t>347-2024-06-30</t>
        </is>
      </c>
    </row>
    <row r="1004">
      <c r="A1004" s="5" t="n">
        <v>347</v>
      </c>
      <c r="B1004" s="5" t="inlineStr">
        <is>
          <t>Legalizaciones y anticipos</t>
        </is>
      </c>
      <c r="C1004" s="5" t="inlineStr">
        <is>
          <t>Contabilidad</t>
        </is>
      </c>
      <c r="D1004" s="5" t="inlineStr">
        <is>
          <t>Trimestral</t>
        </is>
      </c>
      <c r="E1004" s="5" t="inlineStr">
        <is>
          <t>Negativo</t>
        </is>
      </c>
      <c r="F1004" s="107" t="n">
        <v>45657</v>
      </c>
      <c r="G1004" s="5" t="n">
        <v>2024</v>
      </c>
      <c r="H1004" s="5" t="inlineStr">
        <is>
          <t>Diciembre</t>
        </is>
      </c>
      <c r="I1004" s="6" t="inlineStr">
        <is>
          <t>2024-2</t>
        </is>
      </c>
      <c r="J1004" s="5" t="n">
        <v>5</v>
      </c>
      <c r="K1004" s="5" t="n">
        <v>0</v>
      </c>
      <c r="L1004" s="14">
        <f>IFERROR(IF(OR(J1004=0,K1004=""),"",IF(E1004="Positivo",MIN(MAX(K1004/J1004,0),1.3),MIN(MAX(J1004/K1004,0),1.3))),"") </f>
        <v/>
      </c>
      <c r="M1004" s="14">
        <f>IFERROR(IF(OR(J1004=0,K1004=""),"",IF(E1004="Positivo",MAX(K1004/J1004,0),MAX(J1004/K1004,0))),"") </f>
        <v/>
      </c>
      <c r="N1004" s="5" t="inlineStr">
        <is>
          <t>ENT</t>
        </is>
      </c>
      <c r="O1004" s="5" t="inlineStr">
        <is>
          <t>ENT</t>
        </is>
      </c>
      <c r="P1004" s="5" t="n">
        <v>0</v>
      </c>
      <c r="Q1004" s="5" t="n">
        <v>0</v>
      </c>
      <c r="R1004" s="5" t="inlineStr">
        <is>
          <t>347-2024-12-31</t>
        </is>
      </c>
    </row>
    <row r="1005">
      <c r="A1005" s="26" t="n">
        <v>347</v>
      </c>
      <c r="B1005" s="5" t="inlineStr">
        <is>
          <t>Legalizaciones y anticipos</t>
        </is>
      </c>
      <c r="C1005" s="5" t="inlineStr">
        <is>
          <t>Contabilidad</t>
        </is>
      </c>
      <c r="D1005" s="5" t="inlineStr">
        <is>
          <t>Trimestral</t>
        </is>
      </c>
      <c r="E1005" s="5" t="inlineStr">
        <is>
          <t>Negativo</t>
        </is>
      </c>
      <c r="F1005" s="107" t="n">
        <v>45838</v>
      </c>
      <c r="G1005" s="5" t="n">
        <v>2025</v>
      </c>
      <c r="H1005" s="5" t="inlineStr">
        <is>
          <t>Junio</t>
        </is>
      </c>
      <c r="I1005" s="6" t="inlineStr">
        <is>
          <t>2025-1</t>
        </is>
      </c>
      <c r="J1005" s="5" t="n">
        <v>5</v>
      </c>
      <c r="K1005" s="5" t="n">
        <v>1</v>
      </c>
      <c r="L1005" s="74">
        <f>IFERROR(IF(OR(J1005=0,K1005=""),"",IF(E1005="Positivo",MIN(MAX(K1005/J1005,0),1.3),MIN(MAX(J1005/K1005,0),1.3))),"") </f>
        <v/>
      </c>
      <c r="M1005" s="14">
        <f>IFERROR(IF(OR(J1005=0,K1005=""),"",IF(E1005="Positivo",MAX(K1005/J1005,0),MAX(J1005/K1005,0))),"") </f>
        <v/>
      </c>
      <c r="N1005" s="5" t="inlineStr">
        <is>
          <t>ENT</t>
        </is>
      </c>
      <c r="O1005" s="5" t="inlineStr">
        <is>
          <t>ENT</t>
        </is>
      </c>
      <c r="P1005" s="5" t="n">
        <v>0</v>
      </c>
      <c r="Q1005" s="5" t="n">
        <v>0</v>
      </c>
      <c r="R1005" s="5" t="inlineStr">
        <is>
          <t>347-2025-06-30</t>
        </is>
      </c>
    </row>
    <row r="1006">
      <c r="A1006" s="26" t="n">
        <v>347</v>
      </c>
      <c r="B1006" s="5" t="inlineStr">
        <is>
          <t>Legalizaciones y anticipos</t>
        </is>
      </c>
      <c r="C1006" s="5" t="inlineStr">
        <is>
          <t>Contabilidad</t>
        </is>
      </c>
      <c r="D1006" s="5" t="inlineStr">
        <is>
          <t>Semestral</t>
        </is>
      </c>
      <c r="E1006" s="5" t="inlineStr">
        <is>
          <t>Negativo</t>
        </is>
      </c>
      <c r="F1006" s="107" t="n">
        <v>46022</v>
      </c>
      <c r="G1006" s="5" t="n">
        <v>2025</v>
      </c>
      <c r="H1006" s="5" t="inlineStr">
        <is>
          <t>Diciembre</t>
        </is>
      </c>
      <c r="I1006" s="6" t="inlineStr">
        <is>
          <t>2025-2</t>
        </is>
      </c>
      <c r="J1006" s="5" t="n">
        <v>5</v>
      </c>
      <c r="K1006" s="5" t="n">
        <v>3.5</v>
      </c>
      <c r="L1006" s="74">
        <f>IFERROR(IF(OR(J1006=0,K1006=""),"",IF(E1006="Positivo",MIN(MAX(K1006/J1006,0),1.3),MIN(MAX(J1006/K1006,0),1.3))),"") </f>
        <v/>
      </c>
      <c r="M1006" s="14">
        <f>IFERROR(IF(OR(J1006=0,K1006=""),"",IF(E1006="Positivo",MAX(K1006/J1006,0),MAX(J1006/K1006,0))),"") </f>
        <v/>
      </c>
      <c r="N1006" s="5" t="inlineStr">
        <is>
          <t>ENT</t>
        </is>
      </c>
      <c r="O1006" s="5" t="inlineStr">
        <is>
          <t>ENT</t>
        </is>
      </c>
      <c r="P1006" s="5" t="n">
        <v>0</v>
      </c>
      <c r="Q1006" s="5" t="n">
        <v>0</v>
      </c>
      <c r="R1006" s="5" t="inlineStr">
        <is>
          <t>347-2025-12-31</t>
        </is>
      </c>
    </row>
    <row r="1007">
      <c r="A1007" s="5" t="n">
        <v>348</v>
      </c>
      <c r="B1007" s="5" t="inlineStr">
        <is>
          <t>Cuentas por pagar</t>
        </is>
      </c>
      <c r="C1007" s="5" t="inlineStr">
        <is>
          <t>Contabilidad</t>
        </is>
      </c>
      <c r="D1007" s="5" t="inlineStr">
        <is>
          <t>Trimestral</t>
        </is>
      </c>
      <c r="E1007" s="5" t="inlineStr">
        <is>
          <t>Positivo</t>
        </is>
      </c>
      <c r="F1007" s="107" t="n">
        <v>45016</v>
      </c>
      <c r="G1007" s="5" t="n">
        <v>2023</v>
      </c>
      <c r="H1007" s="5" t="inlineStr">
        <is>
          <t>Marzo</t>
        </is>
      </c>
      <c r="I1007" s="6" t="inlineStr">
        <is>
          <t>2023-1</t>
        </is>
      </c>
      <c r="J1007" s="5" t="n">
        <v>99</v>
      </c>
      <c r="K1007" s="5" t="n">
        <v>99.81769557994599</v>
      </c>
      <c r="L1007" s="14">
        <f>IFERROR(IF(OR(J1007=0,K1007=""),"",IF(E1007="Positivo",MIN(MAX(K1007/J1007,0),1.3),MIN(MAX(J1007/K1007,0),1.3))),"") </f>
        <v/>
      </c>
      <c r="M1007" s="14">
        <f>IFERROR(IF(OR(J1007=0,K1007=""),"",IF(E1007="Positivo",MAX(K1007/J1007,0),MAX(J1007/K1007,0))),"") </f>
        <v/>
      </c>
      <c r="N1007" s="5" t="inlineStr">
        <is>
          <t>%</t>
        </is>
      </c>
      <c r="O1007" s="5" t="inlineStr">
        <is>
          <t>%</t>
        </is>
      </c>
      <c r="P1007" s="5" t="n">
        <v>0</v>
      </c>
      <c r="Q1007" s="5" t="n">
        <v>1</v>
      </c>
      <c r="R1007" s="5" t="inlineStr">
        <is>
          <t>348-2023-03-31</t>
        </is>
      </c>
    </row>
    <row r="1008">
      <c r="A1008" s="5" t="n">
        <v>348</v>
      </c>
      <c r="B1008" s="5" t="inlineStr">
        <is>
          <t>Cuentas por pagar</t>
        </is>
      </c>
      <c r="C1008" s="5" t="inlineStr">
        <is>
          <t>Contabilidad</t>
        </is>
      </c>
      <c r="D1008" s="5" t="inlineStr">
        <is>
          <t>Trimestral</t>
        </is>
      </c>
      <c r="E1008" s="5" t="inlineStr">
        <is>
          <t>Positivo</t>
        </is>
      </c>
      <c r="F1008" s="107" t="n">
        <v>45107</v>
      </c>
      <c r="G1008" s="5" t="n">
        <v>2023</v>
      </c>
      <c r="H1008" s="5" t="inlineStr">
        <is>
          <t>Junio</t>
        </is>
      </c>
      <c r="I1008" s="6" t="inlineStr">
        <is>
          <t>2023-1</t>
        </is>
      </c>
      <c r="J1008" s="5" t="n">
        <v>99</v>
      </c>
      <c r="K1008" s="5" t="n">
        <v>99.81769557994599</v>
      </c>
      <c r="L1008" s="14">
        <f>IFERROR(IF(OR(J1008=0,K1008=""),"",IF(E1008="Positivo",MIN(MAX(K1008/J1008,0),1.3),MIN(MAX(J1008/K1008,0),1.3))),"") </f>
        <v/>
      </c>
      <c r="M1008" s="14">
        <f>IFERROR(IF(OR(J1008=0,K1008=""),"",IF(E1008="Positivo",MAX(K1008/J1008,0),MAX(J1008/K1008,0))),"") </f>
        <v/>
      </c>
      <c r="N1008" s="5" t="inlineStr">
        <is>
          <t>%</t>
        </is>
      </c>
      <c r="O1008" s="5" t="inlineStr">
        <is>
          <t>%</t>
        </is>
      </c>
      <c r="P1008" s="5" t="n">
        <v>0</v>
      </c>
      <c r="Q1008" s="5" t="n">
        <v>1</v>
      </c>
      <c r="R1008" s="5" t="inlineStr">
        <is>
          <t>348-2023-06-30</t>
        </is>
      </c>
    </row>
    <row r="1009">
      <c r="A1009" s="26" t="n">
        <v>348</v>
      </c>
      <c r="B1009" s="5" t="inlineStr">
        <is>
          <t>Cuentas por pagar</t>
        </is>
      </c>
      <c r="C1009" s="5" t="inlineStr">
        <is>
          <t>Contabilidad</t>
        </is>
      </c>
      <c r="D1009" s="5" t="inlineStr">
        <is>
          <t>Trimestral</t>
        </is>
      </c>
      <c r="E1009" s="5" t="inlineStr">
        <is>
          <t>Positivo</t>
        </is>
      </c>
      <c r="F1009" s="107" t="n">
        <v>45199</v>
      </c>
      <c r="G1009" s="5" t="n">
        <v>2023</v>
      </c>
      <c r="H1009" s="5" t="inlineStr">
        <is>
          <t>Septiembre</t>
        </is>
      </c>
      <c r="I1009" s="6" t="inlineStr">
        <is>
          <t>2023-2</t>
        </is>
      </c>
      <c r="J1009" s="5" t="n">
        <v>99</v>
      </c>
      <c r="K1009" s="5" t="n">
        <v>100</v>
      </c>
      <c r="L1009" s="74">
        <f>IFERROR(IF(OR(J1009=0,K1009=""),"",IF(E1009="Positivo",MIN(MAX(K1009/J1009,0),1.3),MIN(MAX(J1009/K1009,0),1.3))),"") </f>
        <v/>
      </c>
      <c r="M1009" s="14">
        <f>IFERROR(IF(OR(J1009=0,K1009=""),"",IF(E1009="Positivo",MAX(K1009/J1009,0),MAX(J1009/K1009,0))),"") </f>
        <v/>
      </c>
      <c r="N1009" s="5" t="inlineStr">
        <is>
          <t>%</t>
        </is>
      </c>
      <c r="O1009" s="5" t="inlineStr">
        <is>
          <t>%</t>
        </is>
      </c>
      <c r="P1009" s="5" t="n">
        <v>0</v>
      </c>
      <c r="Q1009" s="5" t="n">
        <v>1</v>
      </c>
      <c r="R1009" s="5" t="inlineStr">
        <is>
          <t>348-2023-09-30</t>
        </is>
      </c>
    </row>
    <row r="1010">
      <c r="A1010" s="5" t="n">
        <v>348</v>
      </c>
      <c r="B1010" s="5" t="inlineStr">
        <is>
          <t>Cuentas por pagar</t>
        </is>
      </c>
      <c r="C1010" s="5" t="inlineStr">
        <is>
          <t>Contabilidad</t>
        </is>
      </c>
      <c r="D1010" s="5" t="inlineStr">
        <is>
          <t>Trimestral</t>
        </is>
      </c>
      <c r="E1010" s="5" t="inlineStr">
        <is>
          <t>Positivo</t>
        </is>
      </c>
      <c r="F1010" s="107" t="n">
        <v>45291</v>
      </c>
      <c r="G1010" s="5" t="n">
        <v>2023</v>
      </c>
      <c r="H1010" s="5" t="inlineStr">
        <is>
          <t>Diciembre</t>
        </is>
      </c>
      <c r="I1010" s="6" t="inlineStr">
        <is>
          <t>2023-2</t>
        </is>
      </c>
      <c r="J1010" s="5" t="n">
        <v>99</v>
      </c>
      <c r="K1010" s="5" t="n">
        <v>100</v>
      </c>
      <c r="L1010" s="14">
        <f>IFERROR(IF(OR(J1010=0,K1010=""),"",IF(E1010="Positivo",MIN(MAX(K1010/J1010,0),1.3),MIN(MAX(J1010/K1010,0),1.3))),"") </f>
        <v/>
      </c>
      <c r="M1010" s="14">
        <f>IFERROR(IF(OR(J1010=0,K1010=""),"",IF(E1010="Positivo",MAX(K1010/J1010,0),MAX(J1010/K1010,0))),"") </f>
        <v/>
      </c>
      <c r="N1010" s="5" t="inlineStr">
        <is>
          <t>%</t>
        </is>
      </c>
      <c r="O1010" s="5" t="inlineStr">
        <is>
          <t>%</t>
        </is>
      </c>
      <c r="P1010" s="5" t="n">
        <v>0</v>
      </c>
      <c r="Q1010" s="5" t="n">
        <v>1</v>
      </c>
      <c r="R1010" s="5" t="inlineStr">
        <is>
          <t>348-2023-12-31</t>
        </is>
      </c>
    </row>
    <row r="1011">
      <c r="A1011" s="5" t="n">
        <v>348</v>
      </c>
      <c r="B1011" s="5" t="inlineStr">
        <is>
          <t>Cuentas por pagar</t>
        </is>
      </c>
      <c r="C1011" s="5" t="inlineStr">
        <is>
          <t>Contabilidad</t>
        </is>
      </c>
      <c r="D1011" s="5" t="inlineStr">
        <is>
          <t>Trimestral</t>
        </is>
      </c>
      <c r="E1011" s="5" t="inlineStr">
        <is>
          <t>Positivo</t>
        </is>
      </c>
      <c r="F1011" s="107" t="n">
        <v>45473</v>
      </c>
      <c r="G1011" s="5" t="n">
        <v>2024</v>
      </c>
      <c r="H1011" s="5" t="inlineStr">
        <is>
          <t>Junio</t>
        </is>
      </c>
      <c r="I1011" s="6" t="inlineStr">
        <is>
          <t>2024-1</t>
        </is>
      </c>
      <c r="J1011" s="5" t="n">
        <v>99</v>
      </c>
      <c r="K1011" s="5" t="n">
        <v>99.92500000000001</v>
      </c>
      <c r="L1011" s="14">
        <f>IFERROR(IF(OR(J1011=0,K1011=""),"",IF(E1011="Positivo",MIN(MAX(K1011/J1011,0),1.3),MIN(MAX(J1011/K1011,0),1.3))),"") </f>
        <v/>
      </c>
      <c r="M1011" s="14">
        <f>IFERROR(IF(OR(J1011=0,K1011=""),"",IF(E1011="Positivo",MAX(K1011/J1011,0),MAX(J1011/K1011,0))),"") </f>
        <v/>
      </c>
      <c r="N1011" s="5" t="inlineStr">
        <is>
          <t>%</t>
        </is>
      </c>
      <c r="O1011" s="5" t="inlineStr">
        <is>
          <t>%</t>
        </is>
      </c>
      <c r="P1011" s="5" t="n">
        <v>0</v>
      </c>
      <c r="Q1011" s="5" t="n">
        <v>0</v>
      </c>
      <c r="R1011" s="5" t="inlineStr">
        <is>
          <t>348-2024-06-30</t>
        </is>
      </c>
    </row>
    <row r="1012">
      <c r="A1012" s="5" t="n">
        <v>348</v>
      </c>
      <c r="B1012" s="5" t="inlineStr">
        <is>
          <t>Cuentas por pagar</t>
        </is>
      </c>
      <c r="C1012" s="5" t="inlineStr">
        <is>
          <t>Contabilidad</t>
        </is>
      </c>
      <c r="D1012" s="5" t="inlineStr">
        <is>
          <t>Trimestral</t>
        </is>
      </c>
      <c r="E1012" s="5" t="inlineStr">
        <is>
          <t>Positivo</t>
        </is>
      </c>
      <c r="F1012" s="107" t="n">
        <v>45657</v>
      </c>
      <c r="G1012" s="5" t="n">
        <v>2024</v>
      </c>
      <c r="H1012" s="5" t="inlineStr">
        <is>
          <t>Diciembre</t>
        </is>
      </c>
      <c r="I1012" s="6" t="inlineStr">
        <is>
          <t>2024-2</t>
        </is>
      </c>
      <c r="J1012" s="5" t="n">
        <v>99</v>
      </c>
      <c r="K1012" s="5" t="n">
        <v>100</v>
      </c>
      <c r="L1012" s="14">
        <f>IFERROR(IF(OR(J1012=0,K1012=""),"",IF(E1012="Positivo",MIN(MAX(K1012/J1012,0),1.3),MIN(MAX(J1012/K1012,0),1.3))),"") </f>
        <v/>
      </c>
      <c r="M1012" s="14">
        <f>IFERROR(IF(OR(J1012=0,K1012=""),"",IF(E1012="Positivo",MAX(K1012/J1012,0),MAX(J1012/K1012,0))),"") </f>
        <v/>
      </c>
      <c r="N1012" s="5" t="inlineStr">
        <is>
          <t>%</t>
        </is>
      </c>
      <c r="O1012" s="5" t="inlineStr">
        <is>
          <t>%</t>
        </is>
      </c>
      <c r="P1012" s="5" t="n">
        <v>0</v>
      </c>
      <c r="Q1012" s="5" t="n">
        <v>0</v>
      </c>
      <c r="R1012" s="5" t="inlineStr">
        <is>
          <t>348-2024-12-31</t>
        </is>
      </c>
    </row>
    <row r="1013">
      <c r="A1013" s="5" t="n">
        <v>348</v>
      </c>
      <c r="B1013" s="5" t="inlineStr">
        <is>
          <t>Cuentas por pagar</t>
        </is>
      </c>
      <c r="C1013" s="5" t="inlineStr">
        <is>
          <t>Contabilidad</t>
        </is>
      </c>
      <c r="D1013" s="5" t="inlineStr">
        <is>
          <t>Trimestral</t>
        </is>
      </c>
      <c r="E1013" s="5" t="inlineStr">
        <is>
          <t>Positivo</t>
        </is>
      </c>
      <c r="F1013" s="107" t="n">
        <v>45838</v>
      </c>
      <c r="G1013" s="5" t="n">
        <v>2025</v>
      </c>
      <c r="H1013" s="5" t="inlineStr">
        <is>
          <t>Junio</t>
        </is>
      </c>
      <c r="I1013" s="6" t="inlineStr">
        <is>
          <t>2025-1</t>
        </is>
      </c>
      <c r="J1013" s="5" t="n">
        <v>99</v>
      </c>
      <c r="K1013" s="5" t="n">
        <v>100</v>
      </c>
      <c r="L1013" s="14">
        <f>IFERROR(IF(OR(J1013=0,K1013=""),"",IF(E1013="Positivo",MIN(MAX(K1013/J1013,0),1.3),MIN(MAX(J1013/K1013,0),1.3))),"") </f>
        <v/>
      </c>
      <c r="M1013" s="14">
        <f>IFERROR(IF(OR(J1013=0,K1013=""),"",IF(E1013="Positivo",MAX(K1013/J1013,0),MAX(J1013/K1013,0))),"") </f>
        <v/>
      </c>
      <c r="N1013" s="5" t="inlineStr">
        <is>
          <t>%</t>
        </is>
      </c>
      <c r="O1013" s="5" t="inlineStr">
        <is>
          <t>%</t>
        </is>
      </c>
      <c r="P1013" s="5" t="n">
        <v>0</v>
      </c>
      <c r="Q1013" s="5" t="n">
        <v>0</v>
      </c>
      <c r="R1013" s="5" t="inlineStr">
        <is>
          <t>348-2025-06-30</t>
        </is>
      </c>
    </row>
    <row r="1014">
      <c r="A1014" s="5" t="n">
        <v>348</v>
      </c>
      <c r="B1014" s="5" t="inlineStr">
        <is>
          <t>Cuentas por pagar</t>
        </is>
      </c>
      <c r="C1014" s="5" t="inlineStr">
        <is>
          <t>Contabilidad</t>
        </is>
      </c>
      <c r="D1014" s="5" t="inlineStr">
        <is>
          <t>Semestral</t>
        </is>
      </c>
      <c r="E1014" s="5" t="inlineStr">
        <is>
          <t>Positivo</t>
        </is>
      </c>
      <c r="F1014" s="107" t="n">
        <v>46022</v>
      </c>
      <c r="G1014" s="5" t="n">
        <v>2025</v>
      </c>
      <c r="H1014" s="5" t="inlineStr">
        <is>
          <t>Diciembre</t>
        </is>
      </c>
      <c r="I1014" s="6" t="inlineStr">
        <is>
          <t>2025-2</t>
        </is>
      </c>
      <c r="J1014" s="5" t="n">
        <v>99</v>
      </c>
      <c r="K1014" s="5" t="n">
        <v>100</v>
      </c>
      <c r="L1014" s="14">
        <f>IFERROR(IF(OR(J1014=0,K1014=""),"",IF(E1014="Positivo",MIN(MAX(K1014/J1014,0),1.3),MIN(MAX(J1014/K1014,0),1.3))),"") </f>
        <v/>
      </c>
      <c r="M1014" s="14">
        <f>IFERROR(IF(OR(J1014=0,K1014=""),"",IF(E1014="Positivo",MAX(K1014/J1014,0),MAX(J1014/K1014,0))),"") </f>
        <v/>
      </c>
      <c r="N1014" s="5" t="inlineStr">
        <is>
          <t>%</t>
        </is>
      </c>
      <c r="O1014" s="5" t="inlineStr">
        <is>
          <t>%</t>
        </is>
      </c>
      <c r="P1014" s="5" t="n">
        <v>0</v>
      </c>
      <c r="Q1014" s="5" t="n">
        <v>0</v>
      </c>
      <c r="R1014" s="5" t="inlineStr">
        <is>
          <t>348-2025-12-31</t>
        </is>
      </c>
    </row>
    <row r="1015">
      <c r="A1015" s="5" t="n">
        <v>349</v>
      </c>
      <c r="B1015" s="5" t="inlineStr">
        <is>
          <t>Número de redes de investigación</t>
        </is>
      </c>
      <c r="C1015" s="5" t="inlineStr">
        <is>
          <t>Investigación, desarrollo tecnológico, innovación y creación</t>
        </is>
      </c>
      <c r="D1015" s="5" t="inlineStr">
        <is>
          <t>Anual</t>
        </is>
      </c>
      <c r="E1015" s="5" t="inlineStr">
        <is>
          <t>Positivo</t>
        </is>
      </c>
      <c r="F1015" s="107" t="n">
        <v>45291</v>
      </c>
      <c r="G1015" s="5" t="n">
        <v>2023</v>
      </c>
      <c r="H1015" s="5" t="inlineStr">
        <is>
          <t>Diciembre</t>
        </is>
      </c>
      <c r="I1015" s="6" t="inlineStr">
        <is>
          <t>2023-2</t>
        </is>
      </c>
      <c r="J1015" s="5" t="n"/>
      <c r="K1015" s="5" t="n">
        <v>0</v>
      </c>
      <c r="L1015" s="14" t="n"/>
      <c r="M1015" s="14" t="n"/>
      <c r="N1015" s="5" t="n"/>
      <c r="O1015" s="5" t="n"/>
      <c r="P1015" s="5" t="n">
        <v>0</v>
      </c>
      <c r="Q1015" s="5" t="n">
        <v>0</v>
      </c>
      <c r="R1015" s="5" t="inlineStr">
        <is>
          <t>349-2023-12-31</t>
        </is>
      </c>
    </row>
    <row r="1016">
      <c r="A1016" s="5" t="n">
        <v>350</v>
      </c>
      <c r="B1016" s="5" t="inlineStr">
        <is>
          <t>Centros de investigación, ciencia y de apoyo a CTI en consolidación</t>
        </is>
      </c>
      <c r="C1016" s="5" t="inlineStr">
        <is>
          <t>Investigación, desarrollo tecnológico, innovación y creación</t>
        </is>
      </c>
      <c r="D1016" s="5" t="inlineStr">
        <is>
          <t>Anual</t>
        </is>
      </c>
      <c r="E1016" s="5" t="inlineStr">
        <is>
          <t>Positivo</t>
        </is>
      </c>
      <c r="F1016" s="107" t="n">
        <v>45291</v>
      </c>
      <c r="G1016" s="5" t="n">
        <v>2023</v>
      </c>
      <c r="H1016" s="5" t="inlineStr">
        <is>
          <t>Diciembre</t>
        </is>
      </c>
      <c r="I1016" s="6" t="inlineStr">
        <is>
          <t>2023-2</t>
        </is>
      </c>
      <c r="J1016" s="5" t="n"/>
      <c r="K1016" s="5" t="n">
        <v>0</v>
      </c>
      <c r="L1016" s="14" t="n"/>
      <c r="M1016" s="14" t="n"/>
      <c r="N1016" s="5" t="n"/>
      <c r="O1016" s="5" t="n"/>
      <c r="P1016" s="5" t="n">
        <v>0</v>
      </c>
      <c r="Q1016" s="5" t="n">
        <v>0</v>
      </c>
      <c r="R1016" s="5" t="inlineStr">
        <is>
          <t>350-2023-12-31</t>
        </is>
      </c>
    </row>
    <row r="1017">
      <c r="A1017" s="5" t="n">
        <v>351</v>
      </c>
      <c r="B1017" s="5" t="inlineStr">
        <is>
          <t>Partidas conciliatorias de bancos</t>
        </is>
      </c>
      <c r="C1017" s="5" t="inlineStr">
        <is>
          <t>Contabilidad</t>
        </is>
      </c>
      <c r="D1017" s="5" t="inlineStr">
        <is>
          <t>Trimestral</t>
        </is>
      </c>
      <c r="E1017" s="5" t="inlineStr">
        <is>
          <t>Negativo</t>
        </is>
      </c>
      <c r="F1017" s="107" t="n">
        <v>45107</v>
      </c>
      <c r="G1017" s="5" t="n">
        <v>2023</v>
      </c>
      <c r="H1017" s="5" t="inlineStr">
        <is>
          <t>Junio</t>
        </is>
      </c>
      <c r="I1017" s="6" t="inlineStr">
        <is>
          <t>2023-1</t>
        </is>
      </c>
      <c r="J1017" s="5" t="n">
        <v>0</v>
      </c>
      <c r="K1017" s="5" t="n">
        <v>9.826042041491526</v>
      </c>
      <c r="L1017" s="14">
        <f>IFERROR(IF(OR(J1017=0,K1017=""),"",IF(E1017="Positivo",MIN(MAX(K1017/J1017,0),1.3),MIN(MAX(J1017/K1017,0),1.3))),"") </f>
        <v/>
      </c>
      <c r="M1017" s="14">
        <f>IFERROR(IF(OR(J1017=0,K1017=""),"",IF(E1017="Positivo",MAX(K1017/J1017,0),MAX(J1017/K1017,0))),"") </f>
        <v/>
      </c>
      <c r="N1017" s="5" t="inlineStr">
        <is>
          <t>ENT</t>
        </is>
      </c>
      <c r="O1017" s="5" t="inlineStr">
        <is>
          <t>ENT</t>
        </is>
      </c>
      <c r="P1017" s="5" t="n">
        <v>0</v>
      </c>
      <c r="Q1017" s="5" t="n">
        <v>1</v>
      </c>
      <c r="R1017" s="5" t="inlineStr">
        <is>
          <t>351-2023-06-30</t>
        </is>
      </c>
    </row>
    <row r="1018">
      <c r="A1018" s="5" t="n">
        <v>351</v>
      </c>
      <c r="B1018" s="5" t="inlineStr">
        <is>
          <t>Partidas conciliatorias de bancos</t>
        </is>
      </c>
      <c r="C1018" s="5" t="inlineStr">
        <is>
          <t>Contabilidad</t>
        </is>
      </c>
      <c r="D1018" s="5" t="inlineStr">
        <is>
          <t>Trimestral</t>
        </is>
      </c>
      <c r="E1018" s="5" t="inlineStr">
        <is>
          <t>Negativo</t>
        </is>
      </c>
      <c r="F1018" s="107" t="n">
        <v>45291</v>
      </c>
      <c r="G1018" s="5" t="n">
        <v>2023</v>
      </c>
      <c r="H1018" s="5" t="inlineStr">
        <is>
          <t>Diciembre</t>
        </is>
      </c>
      <c r="I1018" s="6" t="inlineStr">
        <is>
          <t>2023-2</t>
        </is>
      </c>
      <c r="J1018" s="5" t="n">
        <v>0</v>
      </c>
      <c r="K1018" s="5" t="n">
        <v>6.921122099497337</v>
      </c>
      <c r="L1018" s="14">
        <f>IFERROR(IF(OR(J1018=0,K1018=""),"",IF(E1018="Positivo",MIN(MAX(K1018/J1018,0),1.3),MIN(MAX(J1018/K1018,0),1.3))),"") </f>
        <v/>
      </c>
      <c r="M1018" s="14">
        <f>IFERROR(IF(OR(J1018=0,K1018=""),"",IF(E1018="Positivo",MAX(K1018/J1018,0),MAX(J1018/K1018,0))),"") </f>
        <v/>
      </c>
      <c r="N1018" s="5" t="inlineStr">
        <is>
          <t>ENT</t>
        </is>
      </c>
      <c r="O1018" s="5" t="inlineStr">
        <is>
          <t>ENT</t>
        </is>
      </c>
      <c r="P1018" s="5" t="n">
        <v>0</v>
      </c>
      <c r="Q1018" s="5" t="n">
        <v>1</v>
      </c>
      <c r="R1018" s="5" t="inlineStr">
        <is>
          <t>351-2023-12-31</t>
        </is>
      </c>
    </row>
    <row r="1019">
      <c r="A1019" s="5" t="n">
        <v>351</v>
      </c>
      <c r="B1019" s="5" t="inlineStr">
        <is>
          <t>Partidas conciliatorias de bancos</t>
        </is>
      </c>
      <c r="C1019" s="5" t="inlineStr">
        <is>
          <t>Contabilidad</t>
        </is>
      </c>
      <c r="D1019" s="5" t="inlineStr">
        <is>
          <t>Trimestral</t>
        </is>
      </c>
      <c r="E1019" s="5" t="inlineStr">
        <is>
          <t>Negativo</t>
        </is>
      </c>
      <c r="F1019" s="107" t="n">
        <v>45473</v>
      </c>
      <c r="G1019" s="5" t="n">
        <v>2024</v>
      </c>
      <c r="H1019" s="5" t="inlineStr">
        <is>
          <t>Junio</t>
        </is>
      </c>
      <c r="I1019" s="6" t="inlineStr">
        <is>
          <t>2024-1</t>
        </is>
      </c>
      <c r="J1019" s="5" t="n">
        <v>0</v>
      </c>
      <c r="K1019" s="5" t="n">
        <v>8.764600983830958</v>
      </c>
      <c r="L1019" s="14">
        <f>IFERROR(IF(OR(J1019=0,K1019=""),"",IF(E1019="Positivo",MIN(MAX(K1019/J1019,0),1.3),MIN(MAX(J1019/K1019,0),1.3))),"") </f>
        <v/>
      </c>
      <c r="M1019" s="14">
        <f>IFERROR(IF(OR(J1019=0,K1019=""),"",IF(E1019="Positivo",MAX(K1019/J1019,0),MAX(J1019/K1019,0))),"") </f>
        <v/>
      </c>
      <c r="N1019" s="5" t="inlineStr">
        <is>
          <t>ENT</t>
        </is>
      </c>
      <c r="O1019" s="5" t="inlineStr">
        <is>
          <t>ENT</t>
        </is>
      </c>
      <c r="P1019" s="5" t="n">
        <v>0</v>
      </c>
      <c r="Q1019" s="5" t="n">
        <v>1</v>
      </c>
      <c r="R1019" s="5" t="inlineStr">
        <is>
          <t>351-2024-06-30</t>
        </is>
      </c>
    </row>
    <row r="1020">
      <c r="A1020" s="5" t="n">
        <v>351</v>
      </c>
      <c r="B1020" s="5" t="inlineStr">
        <is>
          <t>Partidas conciliatorias de bancos</t>
        </is>
      </c>
      <c r="C1020" s="5" t="inlineStr">
        <is>
          <t>Contabilidad</t>
        </is>
      </c>
      <c r="D1020" s="5" t="inlineStr">
        <is>
          <t>Trimestral</t>
        </is>
      </c>
      <c r="E1020" s="5" t="inlineStr">
        <is>
          <t>Negativo</t>
        </is>
      </c>
      <c r="F1020" s="107" t="n">
        <v>45657</v>
      </c>
      <c r="G1020" s="5" t="n">
        <v>2024</v>
      </c>
      <c r="H1020" s="5" t="inlineStr">
        <is>
          <t>Diciembre</t>
        </is>
      </c>
      <c r="I1020" s="6" t="inlineStr">
        <is>
          <t>2024-2</t>
        </is>
      </c>
      <c r="J1020" s="5" t="n">
        <v>0</v>
      </c>
      <c r="K1020" s="5" t="n">
        <v>2.338777826654054</v>
      </c>
      <c r="L1020" s="14">
        <f>IFERROR(IF(OR(J1020=0,K1020=""),"",IF(E1020="Positivo",MIN(MAX(K1020/J1020,0),1.3),MIN(MAX(J1020/K1020,0),1.3))),"") </f>
        <v/>
      </c>
      <c r="M1020" s="14">
        <f>IFERROR(IF(OR(J1020=0,K1020=""),"",IF(E1020="Positivo",MAX(K1020/J1020,0),MAX(J1020/K1020,0))),"") </f>
        <v/>
      </c>
      <c r="N1020" s="5" t="inlineStr">
        <is>
          <t>ENT</t>
        </is>
      </c>
      <c r="O1020" s="5" t="inlineStr">
        <is>
          <t>ENT</t>
        </is>
      </c>
      <c r="P1020" s="5" t="n">
        <v>0</v>
      </c>
      <c r="Q1020" s="5" t="n">
        <v>1</v>
      </c>
      <c r="R1020" s="5" t="inlineStr">
        <is>
          <t>351-2024-12-31</t>
        </is>
      </c>
    </row>
    <row r="1021">
      <c r="A1021" s="5" t="n">
        <v>351</v>
      </c>
      <c r="B1021" s="5" t="inlineStr">
        <is>
          <t>Partidas conciliatorias de bancos</t>
        </is>
      </c>
      <c r="C1021" s="5" t="inlineStr">
        <is>
          <t>Contabilidad</t>
        </is>
      </c>
      <c r="D1021" s="5" t="inlineStr">
        <is>
          <t>Trimestral</t>
        </is>
      </c>
      <c r="E1021" s="5" t="inlineStr">
        <is>
          <t>Negativo</t>
        </is>
      </c>
      <c r="F1021" s="107" t="n">
        <v>45838</v>
      </c>
      <c r="G1021" s="5" t="n">
        <v>2025</v>
      </c>
      <c r="H1021" s="5" t="inlineStr">
        <is>
          <t>Junio</t>
        </is>
      </c>
      <c r="I1021" s="6" t="inlineStr">
        <is>
          <t>2025-1</t>
        </is>
      </c>
      <c r="J1021" s="5" t="n">
        <v>0</v>
      </c>
      <c r="K1021" s="5" t="n">
        <v>0.5600000000000001</v>
      </c>
      <c r="L1021" s="14">
        <f>IFERROR(IF(OR(J1021=0,K1021=""),"",IF(E1021="Positivo",MIN(MAX(K1021/J1021,0),1.3),MIN(MAX(J1021/K1021,0),1.3))),"") </f>
        <v/>
      </c>
      <c r="M1021" s="14">
        <f>IFERROR(IF(OR(J1021=0,K1021=""),"",IF(E1021="Positivo",MAX(K1021/J1021,0),MAX(J1021/K1021,0))),"") </f>
        <v/>
      </c>
      <c r="N1021" s="5" t="inlineStr">
        <is>
          <t>ENT</t>
        </is>
      </c>
      <c r="O1021" s="5" t="inlineStr">
        <is>
          <t>ENT</t>
        </is>
      </c>
      <c r="P1021" s="5" t="n">
        <v>0</v>
      </c>
      <c r="Q1021" s="5" t="n">
        <v>1</v>
      </c>
      <c r="R1021" s="5" t="inlineStr">
        <is>
          <t>351-2025-06-30</t>
        </is>
      </c>
    </row>
    <row r="1022">
      <c r="A1022" s="5" t="n">
        <v>351</v>
      </c>
      <c r="B1022" s="5" t="inlineStr">
        <is>
          <t>Partidas conciliatorias de bancos</t>
        </is>
      </c>
      <c r="C1022" s="5" t="inlineStr">
        <is>
          <t>Contabilidad</t>
        </is>
      </c>
      <c r="D1022" s="5" t="inlineStr">
        <is>
          <t>Semestral</t>
        </is>
      </c>
      <c r="E1022" s="5" t="inlineStr">
        <is>
          <t>Negativo</t>
        </is>
      </c>
      <c r="F1022" s="107" t="n">
        <v>46022</v>
      </c>
      <c r="G1022" s="5" t="n">
        <v>2025</v>
      </c>
      <c r="H1022" s="5" t="inlineStr">
        <is>
          <t>Diciembre</t>
        </is>
      </c>
      <c r="I1022" s="6" t="inlineStr">
        <is>
          <t>2025-2</t>
        </is>
      </c>
      <c r="J1022" s="5" t="n">
        <v>0</v>
      </c>
      <c r="K1022" s="5" t="n">
        <v>0.26</v>
      </c>
      <c r="L1022" s="14">
        <f>IFERROR(IF(OR(J1022=0,K1022=""),"",IF(E1022="Positivo",MIN(MAX(K1022/J1022,0),1.3),MIN(MAX(J1022/K1022,0),1.3))),"") </f>
        <v/>
      </c>
      <c r="M1022" s="14">
        <f>IFERROR(IF(OR(J1022=0,K1022=""),"",IF(E1022="Positivo",MAX(K1022/J1022,0),MAX(J1022/K1022,0))),"") </f>
        <v/>
      </c>
      <c r="N1022" s="5" t="inlineStr">
        <is>
          <t>ENT</t>
        </is>
      </c>
      <c r="O1022" s="5" t="inlineStr">
        <is>
          <t>DEC</t>
        </is>
      </c>
      <c r="P1022" s="5" t="n">
        <v>0</v>
      </c>
      <c r="Q1022" s="5" t="n">
        <v>1</v>
      </c>
      <c r="R1022" s="5" t="inlineStr">
        <is>
          <t>351-2025-12-31</t>
        </is>
      </c>
    </row>
    <row r="1023">
      <c r="A1023" s="5" t="n">
        <v>352</v>
      </c>
      <c r="B1023" s="5" t="inlineStr">
        <is>
          <t>Nivel de facturas generadas con error</t>
        </is>
      </c>
      <c r="C1023" s="5" t="inlineStr">
        <is>
          <t>Contabilidad</t>
        </is>
      </c>
      <c r="D1023" s="5" t="inlineStr">
        <is>
          <t>Trimestral</t>
        </is>
      </c>
      <c r="E1023" s="5" t="inlineStr">
        <is>
          <t>Negativo</t>
        </is>
      </c>
      <c r="F1023" s="107" t="n">
        <v>45107</v>
      </c>
      <c r="G1023" s="5" t="n">
        <v>2023</v>
      </c>
      <c r="H1023" s="5" t="inlineStr">
        <is>
          <t>Junio</t>
        </is>
      </c>
      <c r="I1023" s="6" t="inlineStr">
        <is>
          <t>2023-1</t>
        </is>
      </c>
      <c r="J1023" s="5" t="n">
        <v>0</v>
      </c>
      <c r="K1023" s="5" t="n">
        <v>0.01904339979070545</v>
      </c>
      <c r="L1023" s="14">
        <f>IFERROR(IF(OR(J1023=0,K1023=""),"",IF(E1023="Positivo",MIN(MAX(K1023/J1023,0),1.3),MIN(MAX(J1023/K1023,0),1.3))),"") </f>
        <v/>
      </c>
      <c r="M1023" s="14">
        <f>IFERROR(IF(OR(J1023=0,K1023=""),"",IF(E1023="Positivo",MAX(K1023/J1023,0),MAX(J1023/K1023,0))),"") </f>
        <v/>
      </c>
      <c r="N1023" s="5" t="inlineStr">
        <is>
          <t>%</t>
        </is>
      </c>
      <c r="O1023" s="5" t="inlineStr">
        <is>
          <t>%</t>
        </is>
      </c>
      <c r="P1023" s="5" t="n">
        <v>2</v>
      </c>
      <c r="Q1023" s="5" t="n">
        <v>2</v>
      </c>
      <c r="R1023" s="5" t="inlineStr">
        <is>
          <t>352-2023-06-30</t>
        </is>
      </c>
    </row>
    <row r="1024">
      <c r="A1024" s="5" t="n">
        <v>352</v>
      </c>
      <c r="B1024" s="5" t="inlineStr">
        <is>
          <t>Nivel de facturas generadas con error</t>
        </is>
      </c>
      <c r="C1024" s="5" t="inlineStr">
        <is>
          <t>Contabilidad</t>
        </is>
      </c>
      <c r="D1024" s="5" t="inlineStr">
        <is>
          <t>Trimestral</t>
        </is>
      </c>
      <c r="E1024" s="5" t="inlineStr">
        <is>
          <t>Negativo</t>
        </is>
      </c>
      <c r="F1024" s="107" t="n">
        <v>45291</v>
      </c>
      <c r="G1024" s="5" t="n">
        <v>2023</v>
      </c>
      <c r="H1024" s="5" t="inlineStr">
        <is>
          <t>Diciembre</t>
        </is>
      </c>
      <c r="I1024" s="6" t="inlineStr">
        <is>
          <t>2023-2</t>
        </is>
      </c>
      <c r="J1024" s="5" t="n">
        <v>0</v>
      </c>
      <c r="K1024" s="5" t="n">
        <v>0.1541960807832302</v>
      </c>
      <c r="L1024" s="14">
        <f>IFERROR(IF(OR(J1024=0,K1024=""),"",IF(E1024="Positivo",MIN(MAX(K1024/J1024,0),1.3),MIN(MAX(J1024/K1024,0),1.3))),"") </f>
        <v/>
      </c>
      <c r="M1024" s="14">
        <f>IFERROR(IF(OR(J1024=0,K1024=""),"",IF(E1024="Positivo",MAX(K1024/J1024,0),MAX(J1024/K1024,0))),"") </f>
        <v/>
      </c>
      <c r="N1024" s="5" t="inlineStr">
        <is>
          <t>%</t>
        </is>
      </c>
      <c r="O1024" s="5" t="inlineStr">
        <is>
          <t>%</t>
        </is>
      </c>
      <c r="P1024" s="5" t="n">
        <v>2</v>
      </c>
      <c r="Q1024" s="5" t="n">
        <v>2</v>
      </c>
      <c r="R1024" s="5" t="inlineStr">
        <is>
          <t>352-2023-12-31</t>
        </is>
      </c>
    </row>
    <row r="1025">
      <c r="A1025" s="5" t="n">
        <v>352</v>
      </c>
      <c r="B1025" s="5" t="inlineStr">
        <is>
          <t>Nivel de facturas generadas con error</t>
        </is>
      </c>
      <c r="C1025" s="5" t="inlineStr">
        <is>
          <t>Contabilidad</t>
        </is>
      </c>
      <c r="D1025" s="5" t="inlineStr">
        <is>
          <t>Trimestral</t>
        </is>
      </c>
      <c r="E1025" s="5" t="inlineStr">
        <is>
          <t>Negativo</t>
        </is>
      </c>
      <c r="F1025" s="107" t="n">
        <v>45473</v>
      </c>
      <c r="G1025" s="5" t="n">
        <v>2024</v>
      </c>
      <c r="H1025" s="5" t="inlineStr">
        <is>
          <t>Junio</t>
        </is>
      </c>
      <c r="I1025" s="6" t="inlineStr">
        <is>
          <t>2024-1</t>
        </is>
      </c>
      <c r="J1025" s="5" t="n">
        <v>0</v>
      </c>
      <c r="K1025" s="5" t="n">
        <v>0.0866016801252273</v>
      </c>
      <c r="L1025" s="14">
        <f>IFERROR(IF(OR(J1025=0,K1025=""),"",IF(E1025="Positivo",MIN(MAX(K1025/J1025,0),1.3),MIN(MAX(J1025/K1025,0),1.3))),"") </f>
        <v/>
      </c>
      <c r="M1025" s="14">
        <f>IFERROR(IF(OR(J1025=0,K1025=""),"",IF(E1025="Positivo",MAX(K1025/J1025,0),MAX(J1025/K1025,0))),"") </f>
        <v/>
      </c>
      <c r="N1025" s="5" t="inlineStr">
        <is>
          <t>%</t>
        </is>
      </c>
      <c r="O1025" s="5" t="inlineStr">
        <is>
          <t>%</t>
        </is>
      </c>
      <c r="P1025" s="5" t="n">
        <v>0</v>
      </c>
      <c r="Q1025" s="5" t="n">
        <v>0</v>
      </c>
      <c r="R1025" s="5" t="inlineStr">
        <is>
          <t>352-2024-06-30</t>
        </is>
      </c>
    </row>
    <row r="1026">
      <c r="A1026" s="5" t="n">
        <v>352</v>
      </c>
      <c r="B1026" s="5" t="inlineStr">
        <is>
          <t>Nivel de facturas generadas con error</t>
        </is>
      </c>
      <c r="C1026" s="5" t="inlineStr">
        <is>
          <t>Contabilidad</t>
        </is>
      </c>
      <c r="D1026" s="5" t="inlineStr">
        <is>
          <t>Trimestral</t>
        </is>
      </c>
      <c r="E1026" s="5" t="inlineStr">
        <is>
          <t>Negativo</t>
        </is>
      </c>
      <c r="F1026" s="107" t="n">
        <v>45657</v>
      </c>
      <c r="G1026" s="5" t="n">
        <v>2024</v>
      </c>
      <c r="H1026" s="5" t="inlineStr">
        <is>
          <t>Diciembre</t>
        </is>
      </c>
      <c r="I1026" s="6" t="inlineStr">
        <is>
          <t>2024-2</t>
        </is>
      </c>
      <c r="J1026" s="5" t="n">
        <v>0</v>
      </c>
      <c r="K1026" s="5" t="n">
        <v>0.00048259287499875</v>
      </c>
      <c r="L1026" s="14">
        <f>IFERROR(IF(OR(J1026=0,K1026=""),"",IF(E1026="Positivo",MIN(MAX(K1026/J1026,0),1.3),MIN(MAX(J1026/K1026,0),1.3))),"") </f>
        <v/>
      </c>
      <c r="M1026" s="14">
        <f>IFERROR(IF(OR(J1026=0,K1026=""),"",IF(E1026="Positivo",MAX(K1026/J1026,0),MAX(J1026/K1026,0))),"") </f>
        <v/>
      </c>
      <c r="N1026" s="5" t="inlineStr">
        <is>
          <t>%</t>
        </is>
      </c>
      <c r="O1026" s="5" t="inlineStr">
        <is>
          <t>%</t>
        </is>
      </c>
      <c r="P1026" s="5" t="n">
        <v>0</v>
      </c>
      <c r="Q1026" s="5" t="n">
        <v>0</v>
      </c>
      <c r="R1026" s="5" t="inlineStr">
        <is>
          <t>352-2024-12-31</t>
        </is>
      </c>
    </row>
    <row r="1027">
      <c r="A1027" s="5" t="n">
        <v>352</v>
      </c>
      <c r="B1027" s="5" t="inlineStr">
        <is>
          <t>Nivel de facturas generadas con error</t>
        </is>
      </c>
      <c r="C1027" s="5" t="inlineStr">
        <is>
          <t>Contabilidad</t>
        </is>
      </c>
      <c r="D1027" s="5" t="inlineStr">
        <is>
          <t>Trimestral</t>
        </is>
      </c>
      <c r="E1027" s="5" t="inlineStr">
        <is>
          <t>Negativo</t>
        </is>
      </c>
      <c r="F1027" s="107" t="n">
        <v>45838</v>
      </c>
      <c r="G1027" s="5" t="n">
        <v>2025</v>
      </c>
      <c r="H1027" s="5" t="inlineStr">
        <is>
          <t>Junio</t>
        </is>
      </c>
      <c r="I1027" s="6" t="inlineStr">
        <is>
          <t>2025-1</t>
        </is>
      </c>
      <c r="J1027" s="5" t="n">
        <v>0</v>
      </c>
      <c r="K1027" s="5" t="n">
        <v>0.005</v>
      </c>
      <c r="L1027" s="14">
        <f>IFERROR(IF(OR(J1027=0,K1027=""),"",IF(E1027="Positivo",MIN(MAX(K1027/J1027,0),1.3),MIN(MAX(J1027/K1027,0),1.3))),"") </f>
        <v/>
      </c>
      <c r="M1027" s="14">
        <f>IFERROR(IF(OR(J1027=0,K1027=""),"",IF(E1027="Positivo",MAX(K1027/J1027,0),MAX(J1027/K1027,0))),"") </f>
        <v/>
      </c>
      <c r="N1027" s="5" t="inlineStr">
        <is>
          <t>%</t>
        </is>
      </c>
      <c r="O1027" s="5" t="inlineStr">
        <is>
          <t>%</t>
        </is>
      </c>
      <c r="P1027" s="5" t="n">
        <v>0</v>
      </c>
      <c r="Q1027" s="5" t="n">
        <v>0</v>
      </c>
      <c r="R1027" s="5" t="inlineStr">
        <is>
          <t>352-2025-06-30</t>
        </is>
      </c>
    </row>
    <row r="1028">
      <c r="A1028" s="5" t="n">
        <v>352</v>
      </c>
      <c r="B1028" s="5" t="inlineStr">
        <is>
          <t>Nivel de facturas generadas con error</t>
        </is>
      </c>
      <c r="C1028" s="5" t="inlineStr">
        <is>
          <t>Contabilidad</t>
        </is>
      </c>
      <c r="D1028" s="5" t="inlineStr">
        <is>
          <t>Semestral</t>
        </is>
      </c>
      <c r="E1028" s="5" t="inlineStr">
        <is>
          <t>Negativo</t>
        </is>
      </c>
      <c r="F1028" s="107" t="n">
        <v>46022</v>
      </c>
      <c r="G1028" s="5" t="n">
        <v>2025</v>
      </c>
      <c r="H1028" s="5" t="inlineStr">
        <is>
          <t>Diciembre</t>
        </is>
      </c>
      <c r="I1028" s="6" t="inlineStr">
        <is>
          <t>2025-2</t>
        </is>
      </c>
      <c r="J1028" s="5" t="n">
        <v>0</v>
      </c>
      <c r="K1028" s="5" t="n">
        <v>0.01</v>
      </c>
      <c r="L1028" s="14">
        <f>IFERROR(IF(OR(J1028=0,K1028=""),"",IF(E1028="Positivo",MIN(MAX(K1028/J1028,0),1.3),MIN(MAX(J1028/K1028,0),1.3))),"") </f>
        <v/>
      </c>
      <c r="M1028" s="14">
        <f>IFERROR(IF(OR(J1028=0,K1028=""),"",IF(E1028="Positivo",MAX(K1028/J1028,0),MAX(J1028/K1028,0))),"") </f>
        <v/>
      </c>
      <c r="N1028" s="5" t="inlineStr">
        <is>
          <t>%</t>
        </is>
      </c>
      <c r="O1028" s="5" t="inlineStr">
        <is>
          <t>%</t>
        </is>
      </c>
      <c r="P1028" s="5" t="n">
        <v>0</v>
      </c>
      <c r="Q1028" s="5" t="n">
        <v>2</v>
      </c>
      <c r="R1028" s="5" t="inlineStr">
        <is>
          <t>352-2025-12-31</t>
        </is>
      </c>
    </row>
    <row r="1029">
      <c r="A1029" s="5" t="n">
        <v>353</v>
      </c>
      <c r="B1029" s="5" t="inlineStr">
        <is>
          <t>Cobertura de tableros BI en procesos</t>
        </is>
      </c>
      <c r="C1029" s="5" t="inlineStr">
        <is>
          <t>DATOS Y ANALÍTICA</t>
        </is>
      </c>
      <c r="D1029" s="5" t="inlineStr">
        <is>
          <t>Semestral</t>
        </is>
      </c>
      <c r="E1029" s="5" t="inlineStr">
        <is>
          <t>Positivo</t>
        </is>
      </c>
      <c r="F1029" s="107" t="n">
        <v>45107</v>
      </c>
      <c r="G1029" s="5" t="n">
        <v>2023</v>
      </c>
      <c r="H1029" s="5" t="inlineStr">
        <is>
          <t>Junio</t>
        </is>
      </c>
      <c r="I1029" s="6" t="inlineStr">
        <is>
          <t>2023-1</t>
        </is>
      </c>
      <c r="J1029" s="5" t="n">
        <v>25</v>
      </c>
      <c r="K1029" s="5" t="n">
        <v>40.3846153846154</v>
      </c>
      <c r="L1029" s="14">
        <f>IFERROR(IF(OR(J1029=0,K1029=""),"",IF(E1029="Positivo",MIN(MAX(K1029/J1029,0),1.3),MIN(MAX(J1029/K1029,0),1.3))),"") </f>
        <v/>
      </c>
      <c r="M1029" s="14">
        <f>IFERROR(IF(OR(J1029=0,K1029=""),"",IF(E1029="Positivo",MAX(K1029/J1029,0),MAX(J1029/K1029,0))),"") </f>
        <v/>
      </c>
      <c r="N1029" s="5" t="n"/>
      <c r="O1029" s="5" t="n"/>
      <c r="P1029" s="5" t="n">
        <v>1</v>
      </c>
      <c r="Q1029" s="5" t="n">
        <v>1</v>
      </c>
      <c r="R1029" s="5" t="inlineStr">
        <is>
          <t>353-2023-06-30</t>
        </is>
      </c>
    </row>
    <row r="1030">
      <c r="A1030" s="5" t="n">
        <v>353</v>
      </c>
      <c r="B1030" s="5" t="inlineStr">
        <is>
          <t>Cobertura de tableros BI en procesos</t>
        </is>
      </c>
      <c r="C1030" s="5" t="inlineStr">
        <is>
          <t>DATOS Y ANALÍTICA</t>
        </is>
      </c>
      <c r="D1030" s="5" t="inlineStr">
        <is>
          <t>Semestral</t>
        </is>
      </c>
      <c r="E1030" s="5" t="inlineStr">
        <is>
          <t>Positivo</t>
        </is>
      </c>
      <c r="F1030" s="107" t="n">
        <v>45291</v>
      </c>
      <c r="G1030" s="5" t="n">
        <v>2023</v>
      </c>
      <c r="H1030" s="5" t="inlineStr">
        <is>
          <t>Diciembre</t>
        </is>
      </c>
      <c r="I1030" s="6" t="inlineStr">
        <is>
          <t>2023-2</t>
        </is>
      </c>
      <c r="J1030" s="5" t="n">
        <v>35</v>
      </c>
      <c r="K1030" s="5" t="n">
        <v>40.3846153846154</v>
      </c>
      <c r="L1030" s="14">
        <f>IFERROR(IF(OR(J1030=0,K1030=""),"",IF(E1030="Positivo",MIN(MAX(K1030/J1030,0),1.3),MIN(MAX(J1030/K1030,0),1.3))),"") </f>
        <v/>
      </c>
      <c r="M1030" s="14">
        <f>IFERROR(IF(OR(J1030=0,K1030=""),"",IF(E1030="Positivo",MAX(K1030/J1030,0),MAX(J1030/K1030,0))),"") </f>
        <v/>
      </c>
      <c r="N1030" s="5" t="n"/>
      <c r="O1030" s="5" t="n"/>
      <c r="P1030" s="5" t="n">
        <v>1</v>
      </c>
      <c r="Q1030" s="5" t="n">
        <v>1</v>
      </c>
      <c r="R1030" s="5" t="inlineStr">
        <is>
          <t>353-2023-12-31</t>
        </is>
      </c>
    </row>
    <row r="1031">
      <c r="A1031" s="5" t="n">
        <v>354</v>
      </c>
      <c r="B1031" s="5" t="inlineStr">
        <is>
          <t>Plan de formación en analitica</t>
        </is>
      </c>
      <c r="C1031" s="5" t="inlineStr">
        <is>
          <t>DATOS Y ANALÍTICA</t>
        </is>
      </c>
      <c r="D1031" s="5" t="inlineStr">
        <is>
          <t>Semestral</t>
        </is>
      </c>
      <c r="E1031" s="5" t="inlineStr">
        <is>
          <t>Positivo</t>
        </is>
      </c>
      <c r="F1031" s="107" t="n">
        <v>45107</v>
      </c>
      <c r="G1031" s="5" t="n">
        <v>2023</v>
      </c>
      <c r="H1031" s="5" t="inlineStr">
        <is>
          <t>Junio</t>
        </is>
      </c>
      <c r="I1031" s="6" t="inlineStr">
        <is>
          <t>2023-1</t>
        </is>
      </c>
      <c r="J1031" s="5" t="n">
        <v>10</v>
      </c>
      <c r="K1031" s="5" t="n">
        <v>5.07</v>
      </c>
      <c r="L1031" s="14">
        <f>IFERROR(IF(OR(J1031=0,K1031=""),"",IF(E1031="Positivo",MIN(MAX(K1031/J1031,0),1.3),MIN(MAX(J1031/K1031,0),1.3))),"") </f>
        <v/>
      </c>
      <c r="M1031" s="14">
        <f>IFERROR(IF(OR(J1031=0,K1031=""),"",IF(E1031="Positivo",MAX(K1031/J1031,0),MAX(J1031/K1031,0))),"") </f>
        <v/>
      </c>
      <c r="N1031" s="5" t="n"/>
      <c r="O1031" s="5" t="n"/>
      <c r="P1031" s="5" t="n">
        <v>1</v>
      </c>
      <c r="Q1031" s="5" t="n">
        <v>1</v>
      </c>
      <c r="R1031" s="5" t="inlineStr">
        <is>
          <t>354-2023-06-30</t>
        </is>
      </c>
    </row>
    <row r="1032">
      <c r="A1032" s="5" t="n">
        <v>354</v>
      </c>
      <c r="B1032" s="5" t="inlineStr">
        <is>
          <t>Plan de formación en analitica</t>
        </is>
      </c>
      <c r="C1032" s="5" t="inlineStr">
        <is>
          <t>DATOS Y ANALÍTICA</t>
        </is>
      </c>
      <c r="D1032" s="5" t="inlineStr">
        <is>
          <t>Semestral</t>
        </is>
      </c>
      <c r="E1032" s="5" t="inlineStr">
        <is>
          <t>Positivo</t>
        </is>
      </c>
      <c r="F1032" s="107" t="n">
        <v>45291</v>
      </c>
      <c r="G1032" s="5" t="n">
        <v>2023</v>
      </c>
      <c r="H1032" s="5" t="inlineStr">
        <is>
          <t>Diciembre</t>
        </is>
      </c>
      <c r="I1032" s="6" t="inlineStr">
        <is>
          <t>2023-2</t>
        </is>
      </c>
      <c r="J1032" s="5" t="n">
        <v>10</v>
      </c>
      <c r="K1032" s="5" t="n">
        <v>31.77</v>
      </c>
      <c r="L1032" s="14">
        <f>IFERROR(IF(OR(J1032=0,K1032=""),"",IF(E1032="Positivo",MIN(MAX(K1032/J1032,0),1.3),MIN(MAX(J1032/K1032,0),1.3))),"") </f>
        <v/>
      </c>
      <c r="M1032" s="14">
        <f>IFERROR(IF(OR(J1032=0,K1032=""),"",IF(E1032="Positivo",MAX(K1032/J1032,0),MAX(J1032/K1032,0))),"") </f>
        <v/>
      </c>
      <c r="N1032" s="5" t="n"/>
      <c r="O1032" s="5" t="n"/>
      <c r="P1032" s="5" t="n">
        <v>1</v>
      </c>
      <c r="Q1032" s="5" t="n">
        <v>1</v>
      </c>
      <c r="R1032" s="5" t="inlineStr">
        <is>
          <t>354-2023-12-31</t>
        </is>
      </c>
    </row>
    <row r="1033">
      <c r="A1033" s="5" t="n">
        <v>355</v>
      </c>
      <c r="B1033" s="5" t="inlineStr">
        <is>
          <t>Indice de liquidez</t>
        </is>
      </c>
      <c r="C1033" s="5" t="inlineStr">
        <is>
          <t>Tesorería</t>
        </is>
      </c>
      <c r="D1033" s="5" t="inlineStr">
        <is>
          <t>Anual</t>
        </is>
      </c>
      <c r="E1033" s="5" t="inlineStr">
        <is>
          <t>Positivo</t>
        </is>
      </c>
      <c r="F1033" s="107" t="n">
        <v>45107</v>
      </c>
      <c r="G1033" s="5" t="n">
        <v>2023</v>
      </c>
      <c r="H1033" s="5" t="inlineStr">
        <is>
          <t>Junio</t>
        </is>
      </c>
      <c r="I1033" s="6" t="inlineStr">
        <is>
          <t>2023-1</t>
        </is>
      </c>
      <c r="J1033" s="5" t="n">
        <v>1</v>
      </c>
      <c r="K1033" s="5" t="n">
        <v>0.31754780991781</v>
      </c>
      <c r="L1033" s="14">
        <f>IFERROR(IF(OR(J1033=0,K1033=""),"",IF(E1033="Positivo",MIN(MAX(K1033/J1033,0),1.3),MIN(MAX(J1033/K1033,0),1.3))),"") </f>
        <v/>
      </c>
      <c r="M1033" s="14">
        <f>IFERROR(IF(OR(J1033=0,K1033=""),"",IF(E1033="Positivo",MAX(K1033/J1033,0),MAX(J1033/K1033,0))),"") </f>
        <v/>
      </c>
      <c r="N1033" s="5" t="inlineStr">
        <is>
          <t>ENT</t>
        </is>
      </c>
      <c r="O1033" s="5" t="inlineStr">
        <is>
          <t>DEC</t>
        </is>
      </c>
      <c r="P1033" s="5" t="n">
        <v>1</v>
      </c>
      <c r="Q1033" s="5" t="n">
        <v>1</v>
      </c>
      <c r="R1033" s="5" t="inlineStr">
        <is>
          <t>355-2023-06-30</t>
        </is>
      </c>
    </row>
    <row r="1034">
      <c r="A1034" s="5" t="n">
        <v>355</v>
      </c>
      <c r="B1034" s="5" t="inlineStr">
        <is>
          <t>Indice de liquidez</t>
        </is>
      </c>
      <c r="C1034" s="5" t="inlineStr">
        <is>
          <t>Tesorería</t>
        </is>
      </c>
      <c r="D1034" s="5" t="inlineStr">
        <is>
          <t>Anual</t>
        </is>
      </c>
      <c r="E1034" s="5" t="inlineStr">
        <is>
          <t>Positivo</t>
        </is>
      </c>
      <c r="F1034" s="107" t="n">
        <v>45291</v>
      </c>
      <c r="G1034" s="5" t="n">
        <v>2023</v>
      </c>
      <c r="H1034" s="5" t="inlineStr">
        <is>
          <t>Diciembre</t>
        </is>
      </c>
      <c r="I1034" s="6" t="inlineStr">
        <is>
          <t>2023-2</t>
        </is>
      </c>
      <c r="J1034" s="5" t="n">
        <v>1</v>
      </c>
      <c r="K1034" s="5" t="n">
        <v>1.64916004403234</v>
      </c>
      <c r="L1034" s="14">
        <f>IFERROR(IF(OR(J1034=0,K1034=""),"",IF(E1034="Positivo",MIN(MAX(K1034/J1034,0),1.3),MIN(MAX(J1034/K1034,0),1.3))),"") </f>
        <v/>
      </c>
      <c r="M1034" s="14">
        <f>IFERROR(IF(OR(J1034=0,K1034=""),"",IF(E1034="Positivo",MAX(K1034/J1034,0),MAX(J1034/K1034,0))),"") </f>
        <v/>
      </c>
      <c r="N1034" s="5" t="n"/>
      <c r="O1034" s="5" t="n"/>
      <c r="P1034" s="5" t="n">
        <v>1</v>
      </c>
      <c r="Q1034" s="5" t="n">
        <v>1</v>
      </c>
      <c r="R1034" s="5" t="inlineStr">
        <is>
          <t>355-2023-12-31</t>
        </is>
      </c>
    </row>
    <row r="1035">
      <c r="A1035" s="5" t="n">
        <v>355</v>
      </c>
      <c r="B1035" s="5" t="inlineStr">
        <is>
          <t>Indice de liquidez</t>
        </is>
      </c>
      <c r="C1035" s="5" t="inlineStr">
        <is>
          <t>Tesorería</t>
        </is>
      </c>
      <c r="D1035" s="5" t="inlineStr">
        <is>
          <t>Anual</t>
        </is>
      </c>
      <c r="E1035" s="5" t="inlineStr">
        <is>
          <t>Positivo</t>
        </is>
      </c>
      <c r="F1035" s="107" t="n">
        <v>45657</v>
      </c>
      <c r="G1035" s="5" t="n">
        <v>2024</v>
      </c>
      <c r="H1035" s="5" t="inlineStr">
        <is>
          <t>Diciembre</t>
        </is>
      </c>
      <c r="I1035" s="6" t="inlineStr">
        <is>
          <t>2024-2</t>
        </is>
      </c>
      <c r="J1035" s="5" t="n">
        <v>1.7</v>
      </c>
      <c r="K1035" s="5" t="n">
        <v>1.69</v>
      </c>
      <c r="L1035" s="14">
        <f>IFERROR(IF(OR(J1035=0,K1035=""),"",IF(E1035="Positivo",MIN(MAX(K1035/J1035,0),1.3),MIN(MAX(J1035/K1035,0),1.3))),"") </f>
        <v/>
      </c>
      <c r="M1035" s="14">
        <f>IFERROR(IF(OR(J1035=0,K1035=""),"",IF(E1035="Positivo",MAX(K1035/J1035,0),MAX(J1035/K1035,0))),"") </f>
        <v/>
      </c>
      <c r="N1035" s="5" t="n"/>
      <c r="O1035" s="5" t="n"/>
      <c r="P1035" s="5" t="n">
        <v>0</v>
      </c>
      <c r="Q1035" s="5" t="n">
        <v>0</v>
      </c>
      <c r="R1035" s="5" t="inlineStr">
        <is>
          <t>355-2024-12-31</t>
        </is>
      </c>
    </row>
    <row r="1036">
      <c r="A1036" s="5" t="n">
        <v>355</v>
      </c>
      <c r="B1036" s="5" t="inlineStr">
        <is>
          <t>Indice de liquidez</t>
        </is>
      </c>
      <c r="C1036" s="5" t="inlineStr">
        <is>
          <t>Tesorería</t>
        </is>
      </c>
      <c r="D1036" s="5" t="inlineStr">
        <is>
          <t>Anual</t>
        </is>
      </c>
      <c r="E1036" s="5" t="inlineStr">
        <is>
          <t>Positivo</t>
        </is>
      </c>
      <c r="F1036" s="107" t="n">
        <v>46022</v>
      </c>
      <c r="G1036" s="5" t="n">
        <v>2025</v>
      </c>
      <c r="H1036" s="5" t="inlineStr">
        <is>
          <t>Diciembre</t>
        </is>
      </c>
      <c r="I1036" s="6" t="inlineStr">
        <is>
          <t>2025-2</t>
        </is>
      </c>
      <c r="J1036" s="5" t="n">
        <v>1.4</v>
      </c>
      <c r="K1036" s="5" t="n">
        <v>1.56</v>
      </c>
      <c r="L1036" s="14">
        <f>IFERROR(IF(OR(J1036=0,K1036=""),"",IF(E1036="Positivo",MIN(MAX(K1036/J1036,0),1.3),MIN(MAX(J1036/K1036,0),1.3))),"") </f>
        <v/>
      </c>
      <c r="M1036" s="14">
        <f>IFERROR(IF(OR(J1036=0,K1036=""),"",IF(E1036="Positivo",MAX(K1036/J1036,0),MAX(J1036/K1036,0))),"") </f>
        <v/>
      </c>
      <c r="N1036" s="5" t="inlineStr">
        <is>
          <t>ENT</t>
        </is>
      </c>
      <c r="O1036" s="5" t="inlineStr">
        <is>
          <t>DEC</t>
        </is>
      </c>
      <c r="P1036" s="5" t="n">
        <v>1</v>
      </c>
      <c r="Q1036" s="5" t="n">
        <v>1</v>
      </c>
      <c r="R1036" s="5" t="inlineStr">
        <is>
          <t>355-2025-12-31</t>
        </is>
      </c>
    </row>
    <row r="1037">
      <c r="A1037" s="5" t="n">
        <v>356</v>
      </c>
      <c r="B1037" s="5" t="inlineStr">
        <is>
          <t>Indice de Endeudamiento</t>
        </is>
      </c>
      <c r="C1037" s="5" t="inlineStr">
        <is>
          <t>Tesorería</t>
        </is>
      </c>
      <c r="D1037" s="5" t="inlineStr">
        <is>
          <t>Semestral</t>
        </is>
      </c>
      <c r="E1037" s="5" t="inlineStr">
        <is>
          <t>Negativo</t>
        </is>
      </c>
      <c r="F1037" s="107" t="n">
        <v>45107</v>
      </c>
      <c r="G1037" s="5" t="n">
        <v>2023</v>
      </c>
      <c r="H1037" s="5" t="inlineStr">
        <is>
          <t>Junio</t>
        </is>
      </c>
      <c r="I1037" s="6" t="inlineStr">
        <is>
          <t>2023-1</t>
        </is>
      </c>
      <c r="J1037" s="5" t="n">
        <v>60</v>
      </c>
      <c r="K1037" s="5" t="n">
        <v>49.213961407602</v>
      </c>
      <c r="L1037" s="14">
        <f>IFERROR(IF(OR(J1037=0,K1037=""),"",IF(E1037="Positivo",MIN(MAX(K1037/J1037,0),1.3),MIN(MAX(J1037/K1037,0),1.3))),"") </f>
        <v/>
      </c>
      <c r="M1037" s="14">
        <f>IFERROR(IF(OR(J1037=0,K1037=""),"",IF(E1037="Positivo",MAX(K1037/J1037,0),MAX(J1037/K1037,0))),"") </f>
        <v/>
      </c>
      <c r="N1037" s="5" t="inlineStr">
        <is>
          <t>%</t>
        </is>
      </c>
      <c r="O1037" s="5" t="inlineStr">
        <is>
          <t>%</t>
        </is>
      </c>
      <c r="P1037" s="5" t="n">
        <v>1</v>
      </c>
      <c r="Q1037" s="5" t="n">
        <v>1</v>
      </c>
      <c r="R1037" s="5" t="inlineStr">
        <is>
          <t>356-2023-06-30</t>
        </is>
      </c>
    </row>
    <row r="1038">
      <c r="A1038" s="5" t="n">
        <v>356</v>
      </c>
      <c r="B1038" s="5" t="inlineStr">
        <is>
          <t>Indice de Endeudamiento</t>
        </is>
      </c>
      <c r="C1038" s="5" t="inlineStr">
        <is>
          <t>Tesorería</t>
        </is>
      </c>
      <c r="D1038" s="5" t="inlineStr">
        <is>
          <t>Semestral</t>
        </is>
      </c>
      <c r="E1038" s="5" t="inlineStr">
        <is>
          <t>Negativo</t>
        </is>
      </c>
      <c r="F1038" s="107" t="n">
        <v>45291</v>
      </c>
      <c r="G1038" s="5" t="n">
        <v>2023</v>
      </c>
      <c r="H1038" s="5" t="inlineStr">
        <is>
          <t>Diciembre</t>
        </is>
      </c>
      <c r="I1038" s="6" t="inlineStr">
        <is>
          <t>2023-2</t>
        </is>
      </c>
      <c r="J1038" s="5" t="n">
        <v>60</v>
      </c>
      <c r="K1038" s="5" t="n">
        <v>61.54</v>
      </c>
      <c r="L1038" s="14">
        <f>IFERROR(IF(OR(J1038=0,K1038=""),"",IF(E1038="Positivo",MIN(MAX(K1038/J1038,0),1.3),MIN(MAX(J1038/K1038,0),1.3))),"") </f>
        <v/>
      </c>
      <c r="M1038" s="14">
        <f>IFERROR(IF(OR(J1038=0,K1038=""),"",IF(E1038="Positivo",MAX(K1038/J1038,0),MAX(J1038/K1038,0))),"") </f>
        <v/>
      </c>
      <c r="N1038" s="5" t="inlineStr">
        <is>
          <t>%</t>
        </is>
      </c>
      <c r="O1038" s="5" t="inlineStr">
        <is>
          <t>%</t>
        </is>
      </c>
      <c r="P1038" s="5" t="n">
        <v>1</v>
      </c>
      <c r="Q1038" s="5" t="n">
        <v>1</v>
      </c>
      <c r="R1038" s="5" t="inlineStr">
        <is>
          <t>356-2023-12-31</t>
        </is>
      </c>
    </row>
    <row r="1039">
      <c r="A1039" s="5" t="n">
        <v>356</v>
      </c>
      <c r="B1039" s="5" t="inlineStr">
        <is>
          <t>Indice de Endeudamiento</t>
        </is>
      </c>
      <c r="C1039" s="5" t="inlineStr">
        <is>
          <t>Tesorería</t>
        </is>
      </c>
      <c r="D1039" s="5" t="inlineStr">
        <is>
          <t>Semestral</t>
        </is>
      </c>
      <c r="E1039" s="5" t="inlineStr">
        <is>
          <t>Negativo</t>
        </is>
      </c>
      <c r="F1039" s="107" t="n">
        <v>45473</v>
      </c>
      <c r="G1039" s="5" t="n">
        <v>2024</v>
      </c>
      <c r="H1039" s="5" t="inlineStr">
        <is>
          <t>Junio</t>
        </is>
      </c>
      <c r="I1039" s="6" t="inlineStr">
        <is>
          <t>2024-1</t>
        </is>
      </c>
      <c r="J1039" s="5" t="n">
        <v>60</v>
      </c>
      <c r="K1039" s="5" t="n">
        <v>54.08</v>
      </c>
      <c r="L1039" s="14">
        <f>IFERROR(IF(OR(J1039=0,K1039=""),"",IF(E1039="Positivo",MIN(MAX(K1039/J1039,0),1.3),MIN(MAX(J1039/K1039,0),1.3))),"") </f>
        <v/>
      </c>
      <c r="M1039" s="14">
        <f>IFERROR(IF(OR(J1039=0,K1039=""),"",IF(E1039="Positivo",MAX(K1039/J1039,0),MAX(J1039/K1039,0))),"") </f>
        <v/>
      </c>
      <c r="N1039" s="5" t="inlineStr">
        <is>
          <t>%</t>
        </is>
      </c>
      <c r="O1039" s="5" t="inlineStr">
        <is>
          <t>%</t>
        </is>
      </c>
      <c r="P1039" s="5" t="n">
        <v>0</v>
      </c>
      <c r="Q1039" s="5" t="n">
        <v>0</v>
      </c>
      <c r="R1039" s="5" t="inlineStr">
        <is>
          <t>356-2024-06-30</t>
        </is>
      </c>
    </row>
    <row r="1040">
      <c r="A1040" s="5" t="n">
        <v>356</v>
      </c>
      <c r="B1040" s="5" t="inlineStr">
        <is>
          <t>Indice de Endeudamiento</t>
        </is>
      </c>
      <c r="C1040" s="5" t="inlineStr">
        <is>
          <t>Tesorería</t>
        </is>
      </c>
      <c r="D1040" s="5" t="inlineStr">
        <is>
          <t>Semestral</t>
        </is>
      </c>
      <c r="E1040" s="5" t="inlineStr">
        <is>
          <t>Negativo</t>
        </is>
      </c>
      <c r="F1040" s="107" t="n">
        <v>45657</v>
      </c>
      <c r="G1040" s="5" t="n">
        <v>2024</v>
      </c>
      <c r="H1040" s="5" t="inlineStr">
        <is>
          <t>Diciembre</t>
        </is>
      </c>
      <c r="I1040" s="6" t="inlineStr">
        <is>
          <t>2024-2</t>
        </is>
      </c>
      <c r="J1040" s="5" t="n">
        <v>60</v>
      </c>
      <c r="K1040" s="5" t="n">
        <v>65.55</v>
      </c>
      <c r="L1040" s="14">
        <f>IFERROR(IF(OR(J1040=0,K1040=""),"",IF(E1040="Positivo",MIN(MAX(K1040/J1040,0),1.3),MIN(MAX(J1040/K1040,0),1.3))),"") </f>
        <v/>
      </c>
      <c r="M1040" s="14">
        <f>IFERROR(IF(OR(J1040=0,K1040=""),"",IF(E1040="Positivo",MAX(K1040/J1040,0),MAX(J1040/K1040,0))),"") </f>
        <v/>
      </c>
      <c r="N1040" s="5" t="inlineStr">
        <is>
          <t>%</t>
        </is>
      </c>
      <c r="O1040" s="5" t="inlineStr">
        <is>
          <t>%</t>
        </is>
      </c>
      <c r="P1040" s="5" t="n">
        <v>0</v>
      </c>
      <c r="Q1040" s="5" t="n">
        <v>0</v>
      </c>
      <c r="R1040" s="5" t="inlineStr">
        <is>
          <t>356-2024-12-31</t>
        </is>
      </c>
    </row>
    <row r="1041">
      <c r="A1041" s="5" t="n">
        <v>356</v>
      </c>
      <c r="B1041" s="5" t="inlineStr">
        <is>
          <t>Indice de Endeudamiento</t>
        </is>
      </c>
      <c r="C1041" s="5" t="inlineStr">
        <is>
          <t>Tesorería</t>
        </is>
      </c>
      <c r="D1041" s="5" t="inlineStr">
        <is>
          <t>Semestral</t>
        </is>
      </c>
      <c r="E1041" s="5" t="inlineStr">
        <is>
          <t>Negativo</t>
        </is>
      </c>
      <c r="F1041" s="107" t="n">
        <v>45838</v>
      </c>
      <c r="G1041" s="5" t="n">
        <v>2025</v>
      </c>
      <c r="H1041" s="5" t="inlineStr">
        <is>
          <t>Junio</t>
        </is>
      </c>
      <c r="I1041" s="6" t="inlineStr">
        <is>
          <t>2025-1</t>
        </is>
      </c>
      <c r="J1041" s="5" t="n">
        <v>60</v>
      </c>
      <c r="K1041" s="5" t="n">
        <v>49.14</v>
      </c>
      <c r="L1041" s="14">
        <f>IFERROR(IF(OR(J1041=0,K1041=""),"",IF(E1041="Positivo",MIN(MAX(K1041/J1041,0),1.3),MIN(MAX(J1041/K1041,0),1.3))),"") </f>
        <v/>
      </c>
      <c r="M1041" s="14">
        <f>IFERROR(IF(OR(J1041=0,K1041=""),"",IF(E1041="Positivo",MAX(K1041/J1041,0),MAX(J1041/K1041,0))),"") </f>
        <v/>
      </c>
      <c r="N1041" s="5" t="inlineStr">
        <is>
          <t>%</t>
        </is>
      </c>
      <c r="O1041" s="5" t="inlineStr">
        <is>
          <t>%</t>
        </is>
      </c>
      <c r="P1041" s="5" t="n">
        <v>0</v>
      </c>
      <c r="Q1041" s="5" t="n">
        <v>0</v>
      </c>
      <c r="R1041" s="5" t="inlineStr">
        <is>
          <t>356-2025-06-30</t>
        </is>
      </c>
    </row>
    <row r="1042">
      <c r="A1042" s="5" t="n">
        <v>356</v>
      </c>
      <c r="B1042" s="5" t="inlineStr">
        <is>
          <t>Indice de Endeudamiento</t>
        </is>
      </c>
      <c r="C1042" s="5" t="inlineStr">
        <is>
          <t>Tesorería</t>
        </is>
      </c>
      <c r="D1042" s="5" t="inlineStr">
        <is>
          <t>Trimestral</t>
        </is>
      </c>
      <c r="E1042" s="5" t="inlineStr">
        <is>
          <t>Negativo</t>
        </is>
      </c>
      <c r="F1042" s="107" t="n">
        <v>46022</v>
      </c>
      <c r="G1042" s="5" t="n">
        <v>2025</v>
      </c>
      <c r="H1042" s="5" t="inlineStr">
        <is>
          <t>Diciembre</t>
        </is>
      </c>
      <c r="I1042" s="6" t="inlineStr">
        <is>
          <t>2025-2</t>
        </is>
      </c>
      <c r="J1042" s="5" t="n">
        <v>60</v>
      </c>
      <c r="K1042" s="5" t="n">
        <v>64.77</v>
      </c>
      <c r="L1042" s="14">
        <f>IFERROR(IF(OR(J1042=0,K1042=""),"",IF(E1042="Positivo",MIN(MAX(K1042/J1042,0),1.3),MIN(MAX(J1042/K1042,0),1.3))),"") </f>
        <v/>
      </c>
      <c r="M1042" s="14">
        <f>IFERROR(IF(OR(J1042=0,K1042=""),"",IF(E1042="Positivo",MAX(K1042/J1042,0),MAX(J1042/K1042,0))),"") </f>
        <v/>
      </c>
      <c r="N1042" s="5" t="inlineStr">
        <is>
          <t>%</t>
        </is>
      </c>
      <c r="O1042" s="5" t="inlineStr">
        <is>
          <t>%</t>
        </is>
      </c>
      <c r="P1042" s="5" t="n">
        <v>0</v>
      </c>
      <c r="Q1042" s="5" t="n">
        <v>1</v>
      </c>
      <c r="R1042" s="5" t="inlineStr">
        <is>
          <t>356-2025-12-31</t>
        </is>
      </c>
    </row>
    <row r="1043">
      <c r="A1043" s="5" t="n">
        <v>357</v>
      </c>
      <c r="B1043" s="5" t="inlineStr">
        <is>
          <t>Cartera</t>
        </is>
      </c>
      <c r="C1043" s="5" t="inlineStr">
        <is>
          <t>Tesorería</t>
        </is>
      </c>
      <c r="D1043" s="5" t="inlineStr">
        <is>
          <t>Semestral</t>
        </is>
      </c>
      <c r="E1043" s="5" t="inlineStr">
        <is>
          <t>Positivo</t>
        </is>
      </c>
      <c r="F1043" s="107" t="n">
        <v>45107</v>
      </c>
      <c r="G1043" s="5" t="n">
        <v>2023</v>
      </c>
      <c r="H1043" s="5" t="inlineStr">
        <is>
          <t>Junio</t>
        </is>
      </c>
      <c r="I1043" s="6" t="inlineStr">
        <is>
          <t>2023-1</t>
        </is>
      </c>
      <c r="J1043" s="5" t="n"/>
      <c r="K1043" s="5" t="n">
        <v>3.0055354363176</v>
      </c>
      <c r="L1043" s="14" t="n"/>
      <c r="M1043" s="14" t="n"/>
      <c r="N1043" s="5" t="inlineStr">
        <is>
          <t>Metrica</t>
        </is>
      </c>
      <c r="O1043" s="5" t="n"/>
      <c r="P1043" s="5" t="n">
        <v>0</v>
      </c>
      <c r="Q1043" s="5" t="n">
        <v>2</v>
      </c>
      <c r="R1043" s="5" t="inlineStr">
        <is>
          <t>357-2023-06-30</t>
        </is>
      </c>
    </row>
    <row r="1044">
      <c r="A1044" s="5" t="n">
        <v>357</v>
      </c>
      <c r="B1044" s="5" t="inlineStr">
        <is>
          <t>Cartera</t>
        </is>
      </c>
      <c r="C1044" s="5" t="inlineStr">
        <is>
          <t>Tesorería</t>
        </is>
      </c>
      <c r="D1044" s="5" t="inlineStr">
        <is>
          <t>Semestral</t>
        </is>
      </c>
      <c r="E1044" s="5" t="inlineStr">
        <is>
          <t>Positivo</t>
        </is>
      </c>
      <c r="F1044" s="107" t="n">
        <v>45291</v>
      </c>
      <c r="G1044" s="5" t="n">
        <v>2023</v>
      </c>
      <c r="H1044" s="5" t="inlineStr">
        <is>
          <t>Diciembre</t>
        </is>
      </c>
      <c r="I1044" s="6" t="inlineStr">
        <is>
          <t>2023-2</t>
        </is>
      </c>
      <c r="J1044" s="5" t="n"/>
      <c r="K1044" s="5" t="n">
        <v>4.45</v>
      </c>
      <c r="L1044" s="14" t="n"/>
      <c r="M1044" s="14" t="n"/>
      <c r="N1044" s="5" t="inlineStr">
        <is>
          <t>Metrica</t>
        </is>
      </c>
      <c r="O1044" s="5" t="n"/>
      <c r="P1044" s="5" t="n">
        <v>0</v>
      </c>
      <c r="Q1044" s="5" t="n">
        <v>2</v>
      </c>
      <c r="R1044" s="5" t="inlineStr">
        <is>
          <t>357-2023-12-31</t>
        </is>
      </c>
    </row>
    <row r="1045">
      <c r="A1045" s="5" t="n">
        <v>357</v>
      </c>
      <c r="B1045" s="5" t="inlineStr">
        <is>
          <t>Cartera</t>
        </is>
      </c>
      <c r="C1045" s="5" t="inlineStr">
        <is>
          <t>Tesorería</t>
        </is>
      </c>
      <c r="D1045" s="5" t="inlineStr">
        <is>
          <t>Semestral</t>
        </is>
      </c>
      <c r="E1045" s="5" t="inlineStr">
        <is>
          <t>Positivo</t>
        </is>
      </c>
      <c r="F1045" s="107" t="n">
        <v>45473</v>
      </c>
      <c r="G1045" s="5" t="n">
        <v>2024</v>
      </c>
      <c r="H1045" s="5" t="inlineStr">
        <is>
          <t>Junio</t>
        </is>
      </c>
      <c r="I1045" s="6" t="inlineStr">
        <is>
          <t>2024-1</t>
        </is>
      </c>
      <c r="J1045" s="5" t="n"/>
      <c r="K1045" s="5" t="n">
        <v>3.87</v>
      </c>
      <c r="L1045" s="14" t="n"/>
      <c r="M1045" s="14" t="n"/>
      <c r="N1045" s="5" t="inlineStr">
        <is>
          <t>Metrica</t>
        </is>
      </c>
      <c r="O1045" s="5" t="n"/>
      <c r="P1045" s="5" t="n">
        <v>0</v>
      </c>
      <c r="Q1045" s="5" t="n">
        <v>2</v>
      </c>
      <c r="R1045" s="5" t="inlineStr">
        <is>
          <t>357-2024-06-30</t>
        </is>
      </c>
    </row>
    <row r="1046">
      <c r="A1046" s="5" t="n">
        <v>357</v>
      </c>
      <c r="B1046" s="5" t="inlineStr">
        <is>
          <t>Cartera</t>
        </is>
      </c>
      <c r="C1046" s="5" t="inlineStr">
        <is>
          <t>Tesorería</t>
        </is>
      </c>
      <c r="D1046" s="5" t="inlineStr">
        <is>
          <t>Semestral</t>
        </is>
      </c>
      <c r="E1046" s="5" t="inlineStr">
        <is>
          <t>Positivo</t>
        </is>
      </c>
      <c r="F1046" s="107" t="n">
        <v>45657</v>
      </c>
      <c r="G1046" s="5" t="n">
        <v>2024</v>
      </c>
      <c r="H1046" s="5" t="inlineStr">
        <is>
          <t>Diciembre</t>
        </is>
      </c>
      <c r="I1046" s="6" t="inlineStr">
        <is>
          <t>2024-2</t>
        </is>
      </c>
      <c r="J1046" s="5" t="n"/>
      <c r="K1046" s="5" t="n">
        <v>0.51</v>
      </c>
      <c r="L1046" s="14" t="n"/>
      <c r="M1046" s="14" t="n"/>
      <c r="N1046" s="5" t="inlineStr">
        <is>
          <t>Metrica</t>
        </is>
      </c>
      <c r="O1046" s="5" t="n"/>
      <c r="P1046" s="5" t="n">
        <v>0</v>
      </c>
      <c r="Q1046" s="5" t="n">
        <v>2</v>
      </c>
      <c r="R1046" s="5" t="inlineStr">
        <is>
          <t>357-2024-12-31</t>
        </is>
      </c>
    </row>
    <row r="1047">
      <c r="A1047" s="5" t="n">
        <v>357</v>
      </c>
      <c r="B1047" s="5" t="inlineStr">
        <is>
          <t>Cartera</t>
        </is>
      </c>
      <c r="C1047" s="5" t="inlineStr">
        <is>
          <t>Tesorería</t>
        </is>
      </c>
      <c r="D1047" s="5" t="inlineStr">
        <is>
          <t>Semestral</t>
        </is>
      </c>
      <c r="E1047" s="5" t="inlineStr">
        <is>
          <t>Positivo</t>
        </is>
      </c>
      <c r="F1047" s="107" t="n">
        <v>45838</v>
      </c>
      <c r="G1047" s="5" t="n">
        <v>2025</v>
      </c>
      <c r="H1047" s="5" t="inlineStr">
        <is>
          <t>Junio</t>
        </is>
      </c>
      <c r="I1047" s="6" t="inlineStr">
        <is>
          <t>2025-1</t>
        </is>
      </c>
      <c r="J1047" s="5" t="n"/>
      <c r="K1047" s="5" t="n">
        <v>0.85</v>
      </c>
      <c r="L1047" s="14" t="n"/>
      <c r="M1047" s="14" t="n"/>
      <c r="N1047" s="5" t="inlineStr">
        <is>
          <t>Metrica</t>
        </is>
      </c>
      <c r="O1047" s="5" t="n"/>
      <c r="P1047" s="5" t="n">
        <v>0</v>
      </c>
      <c r="Q1047" s="5" t="n">
        <v>2</v>
      </c>
      <c r="R1047" s="5" t="inlineStr">
        <is>
          <t>357-2025-06-30</t>
        </is>
      </c>
    </row>
    <row r="1048">
      <c r="A1048" s="5" t="n">
        <v>357</v>
      </c>
      <c r="B1048" s="5" t="inlineStr">
        <is>
          <t>Cartera - Metrica</t>
        </is>
      </c>
      <c r="C1048" s="5" t="inlineStr">
        <is>
          <t>Tesorería</t>
        </is>
      </c>
      <c r="D1048" s="5" t="inlineStr">
        <is>
          <t>Trimestral</t>
        </is>
      </c>
      <c r="E1048" s="5" t="inlineStr">
        <is>
          <t>Positivo</t>
        </is>
      </c>
      <c r="F1048" s="107" t="n">
        <v>46022</v>
      </c>
      <c r="G1048" s="5" t="n">
        <v>2025</v>
      </c>
      <c r="H1048" s="5" t="inlineStr">
        <is>
          <t>Diciembre</t>
        </is>
      </c>
      <c r="I1048" s="6" t="inlineStr">
        <is>
          <t>2025-2</t>
        </is>
      </c>
      <c r="J1048" s="5" t="n">
        <v>10049277970</v>
      </c>
      <c r="K1048" s="5" t="n">
        <v>0.44</v>
      </c>
      <c r="L1048" s="14" t="n"/>
      <c r="M1048" s="14" t="n"/>
      <c r="N1048" s="5" t="inlineStr">
        <is>
          <t>Metrica</t>
        </is>
      </c>
      <c r="O1048" s="5" t="n"/>
      <c r="P1048" s="5" t="n">
        <v>0</v>
      </c>
      <c r="Q1048" s="5" t="n">
        <v>2</v>
      </c>
      <c r="R1048" s="5" t="inlineStr">
        <is>
          <t>357-2025-12-31</t>
        </is>
      </c>
      <c r="S1048" t="inlineStr">
        <is>
          <t>Metrica</t>
        </is>
      </c>
    </row>
    <row r="1049">
      <c r="A1049" s="5" t="n">
        <v>358</v>
      </c>
      <c r="B1049" s="5" t="inlineStr">
        <is>
          <t>Acompañamiento a estudiantes en practicas</t>
        </is>
      </c>
      <c r="C1049" s="5" t="inlineStr">
        <is>
          <t>Prácticas</t>
        </is>
      </c>
      <c r="D1049" s="5" t="inlineStr">
        <is>
          <t>Semestral</t>
        </is>
      </c>
      <c r="E1049" s="5" t="inlineStr">
        <is>
          <t>Positivo</t>
        </is>
      </c>
      <c r="F1049" s="107" t="n">
        <v>45107</v>
      </c>
      <c r="G1049" s="5" t="n">
        <v>2023</v>
      </c>
      <c r="H1049" s="5" t="inlineStr">
        <is>
          <t>Junio</t>
        </is>
      </c>
      <c r="I1049" s="6" t="inlineStr">
        <is>
          <t>2023-1</t>
        </is>
      </c>
      <c r="J1049" s="5" t="n">
        <v>87</v>
      </c>
      <c r="K1049" s="5" t="n">
        <v>86.98453608247399</v>
      </c>
      <c r="L1049" s="14">
        <f>IFERROR(IF(OR(J1049=0,K1049=""),"",IF(E1049="Positivo",MIN(MAX(K1049/J1049,0),1.3),MIN(MAX(J1049/K1049,0),1.3))),"") </f>
        <v/>
      </c>
      <c r="M1049" s="14">
        <f>IFERROR(IF(OR(J1049=0,K1049=""),"",IF(E1049="Positivo",MAX(K1049/J1049,0),MAX(J1049/K1049,0))),"") </f>
        <v/>
      </c>
      <c r="N1049" s="5" t="inlineStr">
        <is>
          <t>%</t>
        </is>
      </c>
      <c r="O1049" s="5" t="inlineStr">
        <is>
          <t>%</t>
        </is>
      </c>
      <c r="P1049" s="5" t="n">
        <v>0</v>
      </c>
      <c r="Q1049" s="5" t="n">
        <v>0</v>
      </c>
      <c r="R1049" s="5" t="inlineStr">
        <is>
          <t>358-2023-06-30</t>
        </is>
      </c>
    </row>
    <row r="1050">
      <c r="A1050" s="5" t="n">
        <v>358</v>
      </c>
      <c r="B1050" s="5" t="inlineStr">
        <is>
          <t>Acompañamiento a estudiantes en practicas</t>
        </is>
      </c>
      <c r="C1050" s="5" t="inlineStr">
        <is>
          <t>Prácticas</t>
        </is>
      </c>
      <c r="D1050" s="5" t="inlineStr">
        <is>
          <t>Semestral</t>
        </is>
      </c>
      <c r="E1050" s="5" t="inlineStr">
        <is>
          <t>Positivo</t>
        </is>
      </c>
      <c r="F1050" s="107" t="n">
        <v>45291</v>
      </c>
      <c r="G1050" s="5" t="n">
        <v>2023</v>
      </c>
      <c r="H1050" s="5" t="inlineStr">
        <is>
          <t>Diciembre</t>
        </is>
      </c>
      <c r="I1050" s="6" t="inlineStr">
        <is>
          <t>2023-2</t>
        </is>
      </c>
      <c r="J1050" s="5" t="n">
        <v>87</v>
      </c>
      <c r="K1050" s="5" t="n">
        <v>95</v>
      </c>
      <c r="L1050" s="14">
        <f>IFERROR(IF(OR(J1050=0,K1050=""),"",IF(E1050="Positivo",MIN(MAX(K1050/J1050,0),1.3),MIN(MAX(J1050/K1050,0),1.3))),"") </f>
        <v/>
      </c>
      <c r="M1050" s="14">
        <f>IFERROR(IF(OR(J1050=0,K1050=""),"",IF(E1050="Positivo",MAX(K1050/J1050,0),MAX(J1050/K1050,0))),"") </f>
        <v/>
      </c>
      <c r="N1050" s="5" t="inlineStr">
        <is>
          <t>%</t>
        </is>
      </c>
      <c r="O1050" s="5" t="inlineStr">
        <is>
          <t>%</t>
        </is>
      </c>
      <c r="P1050" s="5" t="n">
        <v>0</v>
      </c>
      <c r="Q1050" s="5" t="n">
        <v>0</v>
      </c>
      <c r="R1050" s="5" t="inlineStr">
        <is>
          <t>358-2023-12-31</t>
        </is>
      </c>
    </row>
    <row r="1051">
      <c r="A1051" s="5" t="n">
        <v>358</v>
      </c>
      <c r="B1051" s="5" t="inlineStr">
        <is>
          <t>Acompañamiento a estudiantes en practicas</t>
        </is>
      </c>
      <c r="C1051" s="5" t="inlineStr">
        <is>
          <t>Prácticas</t>
        </is>
      </c>
      <c r="D1051" s="5" t="inlineStr">
        <is>
          <t>Semestral</t>
        </is>
      </c>
      <c r="E1051" s="5" t="inlineStr">
        <is>
          <t>Positivo</t>
        </is>
      </c>
      <c r="F1051" s="107" t="n">
        <v>45473</v>
      </c>
      <c r="G1051" s="5" t="n">
        <v>2024</v>
      </c>
      <c r="H1051" s="5" t="inlineStr">
        <is>
          <t>Junio</t>
        </is>
      </c>
      <c r="I1051" s="6" t="inlineStr">
        <is>
          <t>2024-1</t>
        </is>
      </c>
      <c r="J1051" s="5" t="n">
        <v>87</v>
      </c>
      <c r="K1051" s="5" t="n">
        <v>97.98999999999999</v>
      </c>
      <c r="L1051" s="14">
        <f>IFERROR(IF(OR(J1051=0,K1051=""),"",IF(E1051="Positivo",MIN(MAX(K1051/J1051,0),1.3),MIN(MAX(J1051/K1051,0),1.3))),"") </f>
        <v/>
      </c>
      <c r="M1051" s="14">
        <f>IFERROR(IF(OR(J1051=0,K1051=""),"",IF(E1051="Positivo",MAX(K1051/J1051,0),MAX(J1051/K1051,0))),"") </f>
        <v/>
      </c>
      <c r="N1051" s="5" t="inlineStr">
        <is>
          <t>%</t>
        </is>
      </c>
      <c r="O1051" s="5" t="inlineStr">
        <is>
          <t>%</t>
        </is>
      </c>
      <c r="P1051" s="5" t="n">
        <v>0</v>
      </c>
      <c r="Q1051" s="5" t="n">
        <v>0</v>
      </c>
      <c r="R1051" s="5" t="inlineStr">
        <is>
          <t>358-2024-06-30</t>
        </is>
      </c>
    </row>
    <row r="1052">
      <c r="A1052" s="5" t="n">
        <v>358</v>
      </c>
      <c r="B1052" s="5" t="inlineStr">
        <is>
          <t>Acompañamiento a estudiantes en practicas</t>
        </is>
      </c>
      <c r="C1052" s="5" t="inlineStr">
        <is>
          <t>Prácticas</t>
        </is>
      </c>
      <c r="D1052" s="5" t="inlineStr">
        <is>
          <t>Semestral</t>
        </is>
      </c>
      <c r="E1052" s="5" t="inlineStr">
        <is>
          <t>Positivo</t>
        </is>
      </c>
      <c r="F1052" s="107" t="n">
        <v>45657</v>
      </c>
      <c r="G1052" s="5" t="n">
        <v>2024</v>
      </c>
      <c r="H1052" s="5" t="inlineStr">
        <is>
          <t>Diciembre</t>
        </is>
      </c>
      <c r="I1052" s="6" t="inlineStr">
        <is>
          <t>2024-2</t>
        </is>
      </c>
      <c r="J1052" s="5" t="n">
        <v>87</v>
      </c>
      <c r="K1052" s="5" t="n">
        <v>100</v>
      </c>
      <c r="L1052" s="14">
        <f>IFERROR(IF(OR(J1052=0,K1052=""),"",IF(E1052="Positivo",MIN(MAX(K1052/J1052,0),1.3),MIN(MAX(J1052/K1052,0),1.3))),"") </f>
        <v/>
      </c>
      <c r="M1052" s="14">
        <f>IFERROR(IF(OR(J1052=0,K1052=""),"",IF(E1052="Positivo",MAX(K1052/J1052,0),MAX(J1052/K1052,0))),"") </f>
        <v/>
      </c>
      <c r="N1052" s="5" t="inlineStr">
        <is>
          <t>%</t>
        </is>
      </c>
      <c r="O1052" s="5" t="inlineStr">
        <is>
          <t>%</t>
        </is>
      </c>
      <c r="P1052" s="5" t="n">
        <v>0</v>
      </c>
      <c r="Q1052" s="5" t="n">
        <v>0</v>
      </c>
      <c r="R1052" s="5" t="inlineStr">
        <is>
          <t>358-2024-12-31</t>
        </is>
      </c>
    </row>
    <row r="1053">
      <c r="A1053" s="5" t="n">
        <v>358</v>
      </c>
      <c r="B1053" s="5" t="inlineStr">
        <is>
          <t>Acompañamiento a estudiantes en practicas</t>
        </is>
      </c>
      <c r="C1053" s="5" t="inlineStr">
        <is>
          <t>Prácticas</t>
        </is>
      </c>
      <c r="D1053" s="5" t="inlineStr">
        <is>
          <t>Semestral</t>
        </is>
      </c>
      <c r="E1053" s="5" t="inlineStr">
        <is>
          <t>Positivo</t>
        </is>
      </c>
      <c r="F1053" s="107" t="n">
        <v>45838</v>
      </c>
      <c r="G1053" s="5" t="n">
        <v>2025</v>
      </c>
      <c r="H1053" s="5" t="inlineStr">
        <is>
          <t>Junio</t>
        </is>
      </c>
      <c r="I1053" s="6" t="inlineStr">
        <is>
          <t>2025-1</t>
        </is>
      </c>
      <c r="J1053" s="5" t="n">
        <v>100</v>
      </c>
      <c r="K1053" s="5" t="n">
        <v>100</v>
      </c>
      <c r="L1053" s="14">
        <f>IFERROR(IF(OR(J1053=0,K1053=""),"",IF(E1053="Positivo",MIN(MAX(K1053/J1053,0),1.3),MIN(MAX(J1053/K1053,0),1.3))),"") </f>
        <v/>
      </c>
      <c r="M1053" s="14">
        <f>IFERROR(IF(OR(J1053=0,K1053=""),"",IF(E1053="Positivo",MAX(K1053/J1053,0),MAX(J1053/K1053,0))),"") </f>
        <v/>
      </c>
      <c r="N1053" s="5" t="inlineStr">
        <is>
          <t>%</t>
        </is>
      </c>
      <c r="O1053" s="5" t="inlineStr">
        <is>
          <t>%</t>
        </is>
      </c>
      <c r="P1053" s="5" t="n">
        <v>0</v>
      </c>
      <c r="Q1053" s="5" t="n">
        <v>0</v>
      </c>
      <c r="R1053" s="5" t="inlineStr">
        <is>
          <t>358-2025-06-30</t>
        </is>
      </c>
    </row>
    <row r="1054">
      <c r="A1054" s="5" t="n">
        <v>358</v>
      </c>
      <c r="B1054" s="5" t="inlineStr">
        <is>
          <t>Nivel de acompañamiento a estudiantes en práctica</t>
        </is>
      </c>
      <c r="C1054" s="5" t="inlineStr">
        <is>
          <t>Prácticas</t>
        </is>
      </c>
      <c r="D1054" s="5" t="inlineStr">
        <is>
          <t>Trimestral</t>
        </is>
      </c>
      <c r="E1054" s="5" t="inlineStr">
        <is>
          <t>Positivo</t>
        </is>
      </c>
      <c r="F1054" s="107" t="n">
        <v>46022</v>
      </c>
      <c r="G1054" s="5" t="n">
        <v>2025</v>
      </c>
      <c r="H1054" s="5" t="inlineStr">
        <is>
          <t>Diciembre</t>
        </is>
      </c>
      <c r="I1054" s="6" t="inlineStr">
        <is>
          <t>2025-2</t>
        </is>
      </c>
      <c r="J1054" s="5" t="n">
        <v>100</v>
      </c>
      <c r="K1054" s="5" t="n">
        <v>100</v>
      </c>
      <c r="L1054" s="14">
        <f>IFERROR(IF(OR(J1054=0,K1054=""),"",IF(E1054="Positivo",MIN(MAX(K1054/J1054,0),1.3),MIN(MAX(J1054/K1054,0),1.3))),"") </f>
        <v/>
      </c>
      <c r="M1054" s="14">
        <f>IFERROR(IF(OR(J1054=0,K1054=""),"",IF(E1054="Positivo",MAX(K1054/J1054,0),MAX(J1054/K1054,0))),"") </f>
        <v/>
      </c>
      <c r="N1054" s="5" t="inlineStr">
        <is>
          <t>%</t>
        </is>
      </c>
      <c r="O1054" s="5" t="inlineStr">
        <is>
          <t>%</t>
        </is>
      </c>
      <c r="P1054" s="5" t="n">
        <v>0</v>
      </c>
      <c r="Q1054" s="5" t="n">
        <v>0</v>
      </c>
      <c r="R1054" s="5" t="inlineStr">
        <is>
          <t>358-2025-12-31</t>
        </is>
      </c>
    </row>
    <row r="1055">
      <c r="A1055" s="5" t="n">
        <v>359</v>
      </c>
      <c r="B1055" s="5" t="inlineStr">
        <is>
          <t>Porcentaje Iniciativas aprobadas</t>
        </is>
      </c>
      <c r="C1055" s="5" t="inlineStr">
        <is>
          <t>EXPERIENCIA INSTITUCIONAL</t>
        </is>
      </c>
      <c r="D1055" s="5" t="inlineStr">
        <is>
          <t>Anual</t>
        </is>
      </c>
      <c r="E1055" s="5" t="inlineStr">
        <is>
          <t>Positivo</t>
        </is>
      </c>
      <c r="F1055" s="107" t="n">
        <v>45291</v>
      </c>
      <c r="G1055" s="5" t="n">
        <v>2023</v>
      </c>
      <c r="H1055" s="5" t="inlineStr">
        <is>
          <t>Diciembre</t>
        </is>
      </c>
      <c r="I1055" s="6" t="inlineStr">
        <is>
          <t>2023-2</t>
        </is>
      </c>
      <c r="J1055" s="5" t="n"/>
      <c r="K1055" s="5" t="n">
        <v>0</v>
      </c>
      <c r="L1055" s="14" t="n"/>
      <c r="M1055" s="14" t="n"/>
      <c r="N1055" s="5" t="n"/>
      <c r="O1055" s="5" t="n"/>
      <c r="P1055" s="5" t="n">
        <v>0</v>
      </c>
      <c r="Q1055" s="5" t="n">
        <v>0</v>
      </c>
      <c r="R1055" s="5" t="inlineStr">
        <is>
          <t>359-2023-12-31</t>
        </is>
      </c>
    </row>
    <row r="1056">
      <c r="A1056" s="5" t="n">
        <v>359</v>
      </c>
      <c r="B1056" s="5" t="inlineStr">
        <is>
          <t>Satisfacción Institucional CSAT</t>
        </is>
      </c>
      <c r="C1056" s="5" t="inlineStr">
        <is>
          <t>EXPERIENCIA INSTITUCIONAL</t>
        </is>
      </c>
      <c r="D1056" s="5" t="inlineStr">
        <is>
          <t>Trimestral</t>
        </is>
      </c>
      <c r="E1056" s="5" t="inlineStr">
        <is>
          <t>Positivo</t>
        </is>
      </c>
      <c r="F1056" s="107" t="n">
        <v>45473</v>
      </c>
      <c r="G1056" s="5" t="n">
        <v>2024</v>
      </c>
      <c r="H1056" s="5" t="inlineStr">
        <is>
          <t>Junio</t>
        </is>
      </c>
      <c r="I1056" s="6" t="inlineStr">
        <is>
          <t>2024-1</t>
        </is>
      </c>
      <c r="J1056" s="5" t="n">
        <v>80</v>
      </c>
      <c r="K1056" s="5" t="n">
        <v>0</v>
      </c>
      <c r="L1056" s="14">
        <f>IFERROR(IF(OR(J1056=0,K1056=""),"",IF(E1056="Positivo",MIN(MAX(K1056/J1056,0),1.3),MIN(MAX(J1056/K1056,0),1.3))),"") </f>
        <v/>
      </c>
      <c r="M1056" s="14">
        <f>IFERROR(IF(OR(J1056=0,K1056=""),"",IF(E1056="Positivo",MAX(K1056/J1056,0),MAX(J1056/K1056,0))),"") </f>
        <v/>
      </c>
      <c r="N1056" s="5" t="inlineStr">
        <is>
          <t>%</t>
        </is>
      </c>
      <c r="O1056" s="5" t="inlineStr">
        <is>
          <t>%</t>
        </is>
      </c>
      <c r="P1056" s="5" t="n">
        <v>0</v>
      </c>
      <c r="Q1056" s="5" t="n">
        <v>0</v>
      </c>
      <c r="R1056" s="5" t="inlineStr">
        <is>
          <t>359-2024-06-30</t>
        </is>
      </c>
    </row>
    <row r="1057">
      <c r="A1057" s="5" t="n">
        <v>359</v>
      </c>
      <c r="B1057" s="5" t="inlineStr">
        <is>
          <t>Satisfacción Institucional</t>
        </is>
      </c>
      <c r="C1057" s="5" t="inlineStr">
        <is>
          <t>EXPERIENCIA INSTITUCIONAL</t>
        </is>
      </c>
      <c r="D1057" s="5" t="inlineStr">
        <is>
          <t>Semestral</t>
        </is>
      </c>
      <c r="E1057" s="5" t="inlineStr">
        <is>
          <t>Positivo</t>
        </is>
      </c>
      <c r="F1057" s="107" t="n">
        <v>45657</v>
      </c>
      <c r="G1057" s="5" t="n">
        <v>2024</v>
      </c>
      <c r="H1057" s="5" t="inlineStr">
        <is>
          <t>Diciembre</t>
        </is>
      </c>
      <c r="I1057" s="6" t="inlineStr">
        <is>
          <t>2024-2</t>
        </is>
      </c>
      <c r="J1057" s="5" t="n">
        <v>80</v>
      </c>
      <c r="K1057" s="5" t="n">
        <v>86</v>
      </c>
      <c r="L1057" s="14">
        <f>IFERROR(IF(OR(J1057=0,K1057=""),"",IF(E1057="Positivo",MIN(MAX(K1057/J1057,0),1.3),MIN(MAX(J1057/K1057,0),1.3))),"") </f>
        <v/>
      </c>
      <c r="M1057" s="14">
        <f>IFERROR(IF(OR(J1057=0,K1057=""),"",IF(E1057="Positivo",MAX(K1057/J1057,0),MAX(J1057/K1057,0))),"") </f>
        <v/>
      </c>
      <c r="N1057" s="5" t="inlineStr">
        <is>
          <t>%</t>
        </is>
      </c>
      <c r="O1057" s="5" t="inlineStr">
        <is>
          <t>%</t>
        </is>
      </c>
      <c r="P1057" s="5" t="n">
        <v>0</v>
      </c>
      <c r="Q1057" s="5" t="n">
        <v>0</v>
      </c>
      <c r="R1057" s="5" t="inlineStr">
        <is>
          <t>359-2024-12-31</t>
        </is>
      </c>
    </row>
    <row r="1058">
      <c r="A1058" s="5" t="n">
        <v>359</v>
      </c>
      <c r="B1058" s="5" t="inlineStr">
        <is>
          <t>Satisfacción Institucional</t>
        </is>
      </c>
      <c r="C1058" s="5" t="inlineStr">
        <is>
          <t>EXPERIENCIA INSTITUCIONAL</t>
        </is>
      </c>
      <c r="D1058" s="5" t="inlineStr">
        <is>
          <t>Semestral</t>
        </is>
      </c>
      <c r="E1058" s="5" t="inlineStr">
        <is>
          <t>Positivo</t>
        </is>
      </c>
      <c r="F1058" s="107" t="n">
        <v>45838</v>
      </c>
      <c r="G1058" s="5" t="n">
        <v>2025</v>
      </c>
      <c r="H1058" s="5" t="inlineStr">
        <is>
          <t>Junio</t>
        </is>
      </c>
      <c r="I1058" s="6" t="inlineStr">
        <is>
          <t>2025-1</t>
        </is>
      </c>
      <c r="J1058" s="5" t="n">
        <v>80</v>
      </c>
      <c r="K1058" s="5" t="n">
        <v>90</v>
      </c>
      <c r="L1058" s="14">
        <f>IFERROR(IF(OR(J1058=0,K1058=""),"",IF(E1058="Positivo",MIN(MAX(K1058/J1058,0),1.3),MIN(MAX(J1058/K1058,0),1.3))),"") </f>
        <v/>
      </c>
      <c r="M1058" s="14">
        <f>IFERROR(IF(OR(J1058=0,K1058=""),"",IF(E1058="Positivo",MAX(K1058/J1058,0),MAX(J1058/K1058,0))),"") </f>
        <v/>
      </c>
      <c r="N1058" s="5" t="inlineStr">
        <is>
          <t>%</t>
        </is>
      </c>
      <c r="O1058" s="5" t="inlineStr">
        <is>
          <t>%</t>
        </is>
      </c>
      <c r="P1058" s="5" t="n">
        <v>0</v>
      </c>
      <c r="Q1058" s="5" t="n">
        <v>0</v>
      </c>
      <c r="R1058" s="5" t="inlineStr">
        <is>
          <t>359-2025-06-30</t>
        </is>
      </c>
    </row>
    <row r="1059">
      <c r="A1059" s="5" t="n">
        <v>359</v>
      </c>
      <c r="B1059" s="5" t="inlineStr">
        <is>
          <t>Satisfacción Institucional CSAT</t>
        </is>
      </c>
      <c r="C1059" s="5" t="inlineStr">
        <is>
          <t>EXPERIENCIA INSTITUCIONAL</t>
        </is>
      </c>
      <c r="D1059" s="5" t="inlineStr">
        <is>
          <t>Trimestral</t>
        </is>
      </c>
      <c r="E1059" s="5" t="inlineStr">
        <is>
          <t>Positivo</t>
        </is>
      </c>
      <c r="F1059" s="107" t="n">
        <v>46022</v>
      </c>
      <c r="G1059" s="5" t="n">
        <v>2025</v>
      </c>
      <c r="H1059" s="5" t="inlineStr">
        <is>
          <t>Diciembre</t>
        </is>
      </c>
      <c r="I1059" s="6" t="inlineStr">
        <is>
          <t>2025-2</t>
        </is>
      </c>
      <c r="J1059" s="5" t="n">
        <v>85</v>
      </c>
      <c r="K1059" s="5" t="n">
        <v>89.90000000000001</v>
      </c>
      <c r="L1059" s="14">
        <f>IFERROR(IF(OR(J1059=0,K1059=""),"",IF(E1059="Positivo",MIN(MAX(K1059/J1059,0),1.3),MIN(MAX(J1059/K1059,0),1.3))),"") </f>
        <v/>
      </c>
      <c r="M1059" s="14">
        <f>IFERROR(IF(OR(J1059=0,K1059=""),"",IF(E1059="Positivo",MAX(K1059/J1059,0),MAX(J1059/K1059,0))),"") </f>
        <v/>
      </c>
      <c r="N1059" s="5" t="inlineStr">
        <is>
          <t>%</t>
        </is>
      </c>
      <c r="O1059" s="5" t="inlineStr">
        <is>
          <t>%</t>
        </is>
      </c>
      <c r="P1059" s="5" t="n">
        <v>0</v>
      </c>
      <c r="Q1059" s="5" t="n">
        <v>0</v>
      </c>
      <c r="R1059" s="5" t="inlineStr">
        <is>
          <t>359-2025-12-31</t>
        </is>
      </c>
    </row>
    <row r="1060">
      <c r="A1060" s="5" t="n">
        <v>360</v>
      </c>
      <c r="B1060" s="5" t="inlineStr">
        <is>
          <t>Cumplimiento de cronogramas</t>
        </is>
      </c>
      <c r="C1060" s="5" t="inlineStr">
        <is>
          <t>EXPERIENCIA INSTITUCIONAL</t>
        </is>
      </c>
      <c r="D1060" s="5" t="inlineStr">
        <is>
          <t>Semestral</t>
        </is>
      </c>
      <c r="E1060" s="5" t="inlineStr">
        <is>
          <t>Positivo</t>
        </is>
      </c>
      <c r="F1060" s="107" t="n">
        <v>45107</v>
      </c>
      <c r="G1060" s="5" t="n">
        <v>2023</v>
      </c>
      <c r="H1060" s="5" t="inlineStr">
        <is>
          <t>Junio</t>
        </is>
      </c>
      <c r="I1060" s="6" t="inlineStr">
        <is>
          <t>2023-1</t>
        </is>
      </c>
      <c r="J1060" s="5" t="n">
        <v>0</v>
      </c>
      <c r="K1060" s="5" t="n">
        <v>0</v>
      </c>
      <c r="L1060" s="14">
        <f>IFERROR(IF(OR(J1060=0,K1060=""),"",IF(E1060="Positivo",MIN(MAX(K1060/J1060,0),1.3),MIN(MAX(J1060/K1060,0),1.3))),"") </f>
        <v/>
      </c>
      <c r="M1060" s="14">
        <f>IFERROR(IF(OR(J1060=0,K1060=""),"",IF(E1060="Positivo",MAX(K1060/J1060,0),MAX(J1060/K1060,0))),"") </f>
        <v/>
      </c>
      <c r="N1060" s="5" t="n"/>
      <c r="O1060" s="5" t="n"/>
      <c r="P1060" s="5" t="n">
        <v>0</v>
      </c>
      <c r="Q1060" s="5" t="n">
        <v>0</v>
      </c>
      <c r="R1060" s="5" t="inlineStr">
        <is>
          <t>360-2023-06-30</t>
        </is>
      </c>
    </row>
    <row r="1061">
      <c r="A1061" s="5" t="n">
        <v>360</v>
      </c>
      <c r="B1061" s="5" t="inlineStr">
        <is>
          <t>Cumplimiento de cronogramas</t>
        </is>
      </c>
      <c r="C1061" s="5" t="inlineStr">
        <is>
          <t>EXPERIENCIA INSTITUCIONAL</t>
        </is>
      </c>
      <c r="D1061" s="5" t="inlineStr">
        <is>
          <t>Semestral</t>
        </is>
      </c>
      <c r="E1061" s="5" t="inlineStr">
        <is>
          <t>Positivo</t>
        </is>
      </c>
      <c r="F1061" s="107" t="n">
        <v>45291</v>
      </c>
      <c r="G1061" s="5" t="n">
        <v>2023</v>
      </c>
      <c r="H1061" s="5" t="inlineStr">
        <is>
          <t>Diciembre</t>
        </is>
      </c>
      <c r="I1061" s="6" t="inlineStr">
        <is>
          <t>2023-2</t>
        </is>
      </c>
      <c r="J1061" s="5" t="n">
        <v>0</v>
      </c>
      <c r="K1061" s="5" t="n">
        <v>0</v>
      </c>
      <c r="L1061" s="14">
        <f>IFERROR(IF(OR(J1061=0,K1061=""),"",IF(E1061="Positivo",MIN(MAX(K1061/J1061,0),1.3),MIN(MAX(J1061/K1061,0),1.3))),"") </f>
        <v/>
      </c>
      <c r="M1061" s="14">
        <f>IFERROR(IF(OR(J1061=0,K1061=""),"",IF(E1061="Positivo",MAX(K1061/J1061,0),MAX(J1061/K1061,0))),"") </f>
        <v/>
      </c>
      <c r="N1061" s="5" t="n"/>
      <c r="O1061" s="5" t="n"/>
      <c r="P1061" s="5" t="n">
        <v>0</v>
      </c>
      <c r="Q1061" s="5" t="n">
        <v>0</v>
      </c>
      <c r="R1061" s="5" t="inlineStr">
        <is>
          <t>360-2023-12-31</t>
        </is>
      </c>
    </row>
    <row r="1062">
      <c r="A1062" s="5" t="n">
        <v>361</v>
      </c>
      <c r="B1062" s="5" t="inlineStr">
        <is>
          <t>Inclusión</t>
        </is>
      </c>
      <c r="C1062" s="5" t="inlineStr">
        <is>
          <t>Gestión de la Responsabilidad Social</t>
        </is>
      </c>
      <c r="D1062" s="5" t="inlineStr">
        <is>
          <t>Anual</t>
        </is>
      </c>
      <c r="E1062" s="5" t="inlineStr">
        <is>
          <t>Positivo</t>
        </is>
      </c>
      <c r="F1062" s="107" t="n">
        <v>45291</v>
      </c>
      <c r="G1062" s="5" t="n">
        <v>2023</v>
      </c>
      <c r="H1062" s="5" t="inlineStr">
        <is>
          <t>Diciembre</t>
        </is>
      </c>
      <c r="I1062" s="6" t="inlineStr">
        <is>
          <t>2023-2</t>
        </is>
      </c>
      <c r="J1062" s="5" t="n">
        <v>4.5</v>
      </c>
      <c r="K1062" s="5" t="n">
        <v>4.56</v>
      </c>
      <c r="L1062" s="14">
        <f>IFERROR(IF(OR(J1062=0,K1062=""),"",IF(E1062="Positivo",MIN(MAX(K1062/J1062,0),1.3),MIN(MAX(J1062/K1062,0),1.3))),"") </f>
        <v/>
      </c>
      <c r="M1062" s="14">
        <f>IFERROR(IF(OR(J1062=0,K1062=""),"",IF(E1062="Positivo",MAX(K1062/J1062,0),MAX(J1062/K1062,0))),"") </f>
        <v/>
      </c>
      <c r="N1062" s="5" t="n"/>
      <c r="O1062" s="5" t="n"/>
      <c r="P1062" s="5" t="n">
        <v>2</v>
      </c>
      <c r="Q1062" s="5" t="n">
        <v>2</v>
      </c>
      <c r="R1062" s="5" t="inlineStr">
        <is>
          <t>361-2023-12-31</t>
        </is>
      </c>
    </row>
    <row r="1063">
      <c r="A1063" s="5" t="n">
        <v>361</v>
      </c>
      <c r="B1063" s="5" t="inlineStr">
        <is>
          <t>Inclusión</t>
        </is>
      </c>
      <c r="C1063" s="5" t="inlineStr">
        <is>
          <t>Gestión de la Responsabilidad Social</t>
        </is>
      </c>
      <c r="D1063" s="5" t="inlineStr">
        <is>
          <t>Anual</t>
        </is>
      </c>
      <c r="E1063" s="5" t="inlineStr">
        <is>
          <t>Positivo</t>
        </is>
      </c>
      <c r="F1063" s="107" t="n">
        <v>45657</v>
      </c>
      <c r="G1063" s="5" t="n">
        <v>2024</v>
      </c>
      <c r="H1063" s="5" t="inlineStr">
        <is>
          <t>Diciembre</t>
        </is>
      </c>
      <c r="I1063" s="6" t="inlineStr">
        <is>
          <t>2024-2</t>
        </is>
      </c>
      <c r="J1063" s="5" t="n">
        <v>0</v>
      </c>
      <c r="K1063" s="5" t="n"/>
      <c r="L1063" s="14" t="n"/>
      <c r="M1063" s="14" t="n"/>
      <c r="N1063" s="5" t="inlineStr">
        <is>
          <t>ENT</t>
        </is>
      </c>
      <c r="O1063" s="5" t="inlineStr">
        <is>
          <t>N/A</t>
        </is>
      </c>
      <c r="P1063" s="5" t="n">
        <v>0</v>
      </c>
      <c r="Q1063" s="5" t="n">
        <v>0</v>
      </c>
      <c r="R1063" s="5" t="inlineStr">
        <is>
          <t>361-2024-12-31</t>
        </is>
      </c>
    </row>
    <row r="1064">
      <c r="A1064" s="21" t="n">
        <v>361</v>
      </c>
      <c r="B1064" s="20" t="inlineStr">
        <is>
          <t>Índice de Inclusión</t>
        </is>
      </c>
      <c r="C1064" s="5" t="inlineStr">
        <is>
          <t>Gestión de la Responsabilidad Social</t>
        </is>
      </c>
      <c r="D1064" s="5" t="inlineStr">
        <is>
          <t>Anual</t>
        </is>
      </c>
      <c r="E1064" s="5" t="inlineStr">
        <is>
          <t>Positivo</t>
        </is>
      </c>
      <c r="F1064" s="107" t="n">
        <v>46022</v>
      </c>
      <c r="G1064" s="5" t="n">
        <v>2025</v>
      </c>
      <c r="H1064" s="5" t="inlineStr">
        <is>
          <t>Diciembre</t>
        </is>
      </c>
      <c r="I1064" s="6" t="inlineStr">
        <is>
          <t>2025-2</t>
        </is>
      </c>
      <c r="J1064" s="5" t="n">
        <v>4.6</v>
      </c>
      <c r="K1064" s="52" t="n">
        <v>4.78</v>
      </c>
      <c r="L1064" s="14">
        <f>IFERROR(IF(OR(J1064=0,K1064=""),"",IF(E1064="Positivo",MIN(MAX(K1064/J1064,0),1.3),MIN(MAX(J1064/K1064,0),1.3))),"") </f>
        <v/>
      </c>
      <c r="M1064" s="14">
        <f>IFERROR(IF(OR(J1064=0,K1064=""),"",IF(E1064="Positivo",MAX(K1064/J1064,0),MAX(J1064/K1064,0))),"") </f>
        <v/>
      </c>
      <c r="N1064" s="5" t="inlineStr">
        <is>
          <t>DEC</t>
        </is>
      </c>
      <c r="O1064" s="5" t="inlineStr">
        <is>
          <t>DEC</t>
        </is>
      </c>
      <c r="P1064" s="5" t="n">
        <v>1</v>
      </c>
      <c r="Q1064" s="5" t="n">
        <v>2</v>
      </c>
      <c r="R1064" s="5" t="inlineStr">
        <is>
          <t>361-2025-12-31</t>
        </is>
      </c>
    </row>
    <row r="1065">
      <c r="A1065" s="5" t="n">
        <v>362</v>
      </c>
      <c r="B1065" s="5" t="inlineStr">
        <is>
          <t>Aseguramiento de matricula académica presencial</t>
        </is>
      </c>
      <c r="C1065" s="5" t="inlineStr">
        <is>
          <t>Operaciones Académicas</t>
        </is>
      </c>
      <c r="D1065" s="5" t="inlineStr">
        <is>
          <t>Trimestral</t>
        </is>
      </c>
      <c r="E1065" s="5" t="inlineStr">
        <is>
          <t>Positivo</t>
        </is>
      </c>
      <c r="F1065" s="107" t="n">
        <v>45107</v>
      </c>
      <c r="G1065" s="5" t="n">
        <v>2023</v>
      </c>
      <c r="H1065" s="5" t="inlineStr">
        <is>
          <t>Junio</t>
        </is>
      </c>
      <c r="I1065" s="6" t="inlineStr">
        <is>
          <t>2023-1</t>
        </is>
      </c>
      <c r="J1065" s="5" t="n"/>
      <c r="K1065" s="15" t="n"/>
      <c r="L1065" s="14" t="n"/>
      <c r="M1065" s="14" t="n"/>
      <c r="N1065" s="5" t="inlineStr">
        <is>
          <t>%</t>
        </is>
      </c>
      <c r="O1065" s="5" t="inlineStr">
        <is>
          <t>No Aplica</t>
        </is>
      </c>
      <c r="P1065" s="5" t="n">
        <v>0</v>
      </c>
      <c r="Q1065" s="5" t="n">
        <v>0</v>
      </c>
      <c r="R1065" s="5" t="inlineStr">
        <is>
          <t>362-2023-06-30</t>
        </is>
      </c>
      <c r="S1065" t="inlineStr">
        <is>
          <t>No Aplica</t>
        </is>
      </c>
    </row>
    <row r="1066">
      <c r="A1066" s="5" t="n">
        <v>362</v>
      </c>
      <c r="B1066" s="5" t="inlineStr">
        <is>
          <t>Aseguramiento de matricula académica presencial</t>
        </is>
      </c>
      <c r="C1066" s="5" t="inlineStr">
        <is>
          <t>Operaciones Académica pregrado y posgrado presencial.</t>
        </is>
      </c>
      <c r="D1066" s="5" t="inlineStr">
        <is>
          <t>Semestral</t>
        </is>
      </c>
      <c r="E1066" s="5" t="inlineStr">
        <is>
          <t>Positivo</t>
        </is>
      </c>
      <c r="F1066" s="107" t="n">
        <v>45291</v>
      </c>
      <c r="G1066" s="5" t="n">
        <v>2023</v>
      </c>
      <c r="H1066" s="5" t="inlineStr">
        <is>
          <t>Diciembre</t>
        </is>
      </c>
      <c r="I1066" s="6" t="inlineStr">
        <is>
          <t>2023-2</t>
        </is>
      </c>
      <c r="J1066" s="5" t="n">
        <v>100</v>
      </c>
      <c r="K1066" s="5" t="n">
        <v>99.156641448592</v>
      </c>
      <c r="L1066" s="14">
        <f>IFERROR(IF(OR(J1066=0,K1066=""),"",IF(E1066="Positivo",MIN(MAX(K1066/J1066,0),1.3),MIN(MAX(J1066/K1066,0),1.3))),"") </f>
        <v/>
      </c>
      <c r="M1066" s="14">
        <f>IFERROR(IF(OR(J1066=0,K1066=""),"",IF(E1066="Positivo",MAX(K1066/J1066,0),MAX(J1066/K1066,0))),"") </f>
        <v/>
      </c>
      <c r="N1066" s="5" t="inlineStr">
        <is>
          <t>%</t>
        </is>
      </c>
      <c r="O1066" s="5" t="inlineStr">
        <is>
          <t>%</t>
        </is>
      </c>
      <c r="P1066" s="5" t="n">
        <v>0</v>
      </c>
      <c r="Q1066" s="5" t="n">
        <v>0</v>
      </c>
      <c r="R1066" s="5" t="inlineStr">
        <is>
          <t>362-2023-12-31</t>
        </is>
      </c>
    </row>
    <row r="1067">
      <c r="A1067" s="5" t="n">
        <v>362</v>
      </c>
      <c r="B1067" s="5" t="inlineStr">
        <is>
          <t>Aseguramiento de matricula académica presencial</t>
        </is>
      </c>
      <c r="C1067" s="5" t="inlineStr">
        <is>
          <t>Operaciones Académicas</t>
        </is>
      </c>
      <c r="D1067" s="5" t="inlineStr">
        <is>
          <t>Semestral</t>
        </is>
      </c>
      <c r="E1067" s="5" t="inlineStr">
        <is>
          <t>Positivo</t>
        </is>
      </c>
      <c r="F1067" s="107" t="n">
        <v>45473</v>
      </c>
      <c r="G1067" s="5" t="n">
        <v>2024</v>
      </c>
      <c r="H1067" s="5" t="inlineStr">
        <is>
          <t>Junio</t>
        </is>
      </c>
      <c r="I1067" s="6" t="inlineStr">
        <is>
          <t>2024-1</t>
        </is>
      </c>
      <c r="J1067" s="5" t="n">
        <v>98</v>
      </c>
      <c r="K1067" s="5" t="n">
        <v>99.58432304038006</v>
      </c>
      <c r="L1067" s="14">
        <f>IFERROR(IF(OR(J1067=0,K1067=""),"",IF(E1067="Positivo",MIN(MAX(K1067/J1067,0),1.3),MIN(MAX(J1067/K1067,0),1.3))),"") </f>
        <v/>
      </c>
      <c r="M1067" s="14">
        <f>IFERROR(IF(OR(J1067=0,K1067=""),"",IF(E1067="Positivo",MAX(K1067/J1067,0),MAX(J1067/K1067,0))),"") </f>
        <v/>
      </c>
      <c r="N1067" s="5" t="inlineStr">
        <is>
          <t>%</t>
        </is>
      </c>
      <c r="O1067" s="5" t="inlineStr">
        <is>
          <t>%</t>
        </is>
      </c>
      <c r="P1067" s="5" t="n">
        <v>0</v>
      </c>
      <c r="Q1067" s="5" t="n">
        <v>0</v>
      </c>
      <c r="R1067" s="5" t="inlineStr">
        <is>
          <t>362-2024-06-30</t>
        </is>
      </c>
    </row>
    <row r="1068">
      <c r="A1068" s="5" t="n">
        <v>362</v>
      </c>
      <c r="B1068" s="5" t="inlineStr">
        <is>
          <t>Aseguramiento de matricula académica presencial</t>
        </is>
      </c>
      <c r="C1068" s="5" t="inlineStr">
        <is>
          <t>Operaciones Académicas</t>
        </is>
      </c>
      <c r="D1068" s="5" t="inlineStr">
        <is>
          <t>Semestral</t>
        </is>
      </c>
      <c r="E1068" s="5" t="inlineStr">
        <is>
          <t>Positivo</t>
        </is>
      </c>
      <c r="F1068" s="107" t="n">
        <v>45657</v>
      </c>
      <c r="G1068" s="5" t="n">
        <v>2024</v>
      </c>
      <c r="H1068" s="5" t="inlineStr">
        <is>
          <t>Diciembre</t>
        </is>
      </c>
      <c r="I1068" s="6" t="inlineStr">
        <is>
          <t>2024-2</t>
        </is>
      </c>
      <c r="J1068" s="5" t="n">
        <v>98</v>
      </c>
      <c r="K1068" s="5" t="n">
        <v>99.48999999999999</v>
      </c>
      <c r="L1068" s="14">
        <f>IFERROR(IF(OR(J1068=0,K1068=""),"",IF(E1068="Positivo",MIN(MAX(K1068/J1068,0),1.3),MIN(MAX(J1068/K1068,0),1.3))),"") </f>
        <v/>
      </c>
      <c r="M1068" s="14">
        <f>IFERROR(IF(OR(J1068=0,K1068=""),"",IF(E1068="Positivo",MAX(K1068/J1068,0),MAX(J1068/K1068,0))),"") </f>
        <v/>
      </c>
      <c r="N1068" s="5" t="inlineStr">
        <is>
          <t>%</t>
        </is>
      </c>
      <c r="O1068" s="5" t="inlineStr">
        <is>
          <t>%</t>
        </is>
      </c>
      <c r="P1068" s="5" t="n">
        <v>0</v>
      </c>
      <c r="Q1068" s="5" t="n">
        <v>0</v>
      </c>
      <c r="R1068" s="5" t="inlineStr">
        <is>
          <t>362-2024-12-31</t>
        </is>
      </c>
    </row>
    <row r="1069">
      <c r="A1069" s="5" t="n">
        <v>362</v>
      </c>
      <c r="B1069" s="5" t="inlineStr">
        <is>
          <t>Aseguramiento de matricula académica presencial</t>
        </is>
      </c>
      <c r="C1069" s="5" t="inlineStr">
        <is>
          <t>Operaciones Académicas</t>
        </is>
      </c>
      <c r="D1069" s="5" t="inlineStr">
        <is>
          <t>Semestral</t>
        </is>
      </c>
      <c r="E1069" s="5" t="inlineStr">
        <is>
          <t>Positivo</t>
        </is>
      </c>
      <c r="F1069" s="107" t="n">
        <v>45838</v>
      </c>
      <c r="G1069" s="5" t="n">
        <v>2025</v>
      </c>
      <c r="H1069" s="5" t="inlineStr">
        <is>
          <t>Junio</t>
        </is>
      </c>
      <c r="I1069" s="6" t="inlineStr">
        <is>
          <t>2025-1</t>
        </is>
      </c>
      <c r="J1069" s="5" t="n">
        <v>98</v>
      </c>
      <c r="K1069" s="5" t="n">
        <v>99.63</v>
      </c>
      <c r="L1069" s="14">
        <f>IFERROR(IF(OR(J1069=0,K1069=""),"",IF(E1069="Positivo",MIN(MAX(K1069/J1069,0),1.3),MIN(MAX(J1069/K1069,0),1.3))),"") </f>
        <v/>
      </c>
      <c r="M1069" s="14">
        <f>IFERROR(IF(OR(J1069=0,K1069=""),"",IF(E1069="Positivo",MAX(K1069/J1069,0),MAX(J1069/K1069,0))),"") </f>
        <v/>
      </c>
      <c r="N1069" s="5" t="inlineStr">
        <is>
          <t>%</t>
        </is>
      </c>
      <c r="O1069" s="5" t="inlineStr">
        <is>
          <t>%</t>
        </is>
      </c>
      <c r="P1069" s="5" t="n">
        <v>0</v>
      </c>
      <c r="Q1069" s="5" t="n">
        <v>0</v>
      </c>
      <c r="R1069" s="5" t="inlineStr">
        <is>
          <t>362-2025-06-30</t>
        </is>
      </c>
    </row>
    <row r="1070">
      <c r="A1070" s="5" t="n">
        <v>362</v>
      </c>
      <c r="B1070" s="5" t="inlineStr">
        <is>
          <t>Aseguramiento de matricula académica presencial</t>
        </is>
      </c>
      <c r="C1070" s="5" t="inlineStr">
        <is>
          <t>Operaciones Académicas</t>
        </is>
      </c>
      <c r="D1070" s="5" t="inlineStr">
        <is>
          <t>Trimestral</t>
        </is>
      </c>
      <c r="E1070" s="5" t="inlineStr">
        <is>
          <t>Positivo</t>
        </is>
      </c>
      <c r="F1070" s="107" t="n">
        <v>46022</v>
      </c>
      <c r="G1070" s="5" t="n">
        <v>2025</v>
      </c>
      <c r="H1070" s="5" t="inlineStr">
        <is>
          <t>Diciembre</t>
        </is>
      </c>
      <c r="I1070" s="6" t="inlineStr">
        <is>
          <t>2025-2</t>
        </is>
      </c>
      <c r="J1070" s="5" t="n">
        <v>98</v>
      </c>
      <c r="K1070" s="5" t="n">
        <v>99.7</v>
      </c>
      <c r="L1070" s="14">
        <f>IFERROR(IF(OR(J1070=0,K1070=""),"",IF(E1070="Positivo",MIN(MAX(K1070/J1070,0),1.3),MIN(MAX(J1070/K1070,0),1.3))),"") </f>
        <v/>
      </c>
      <c r="M1070" s="14">
        <f>IFERROR(IF(OR(J1070=0,K1070=""),"",IF(E1070="Positivo",MAX(K1070/J1070,0),MAX(J1070/K1070,0))),"") </f>
        <v/>
      </c>
      <c r="N1070" s="5" t="inlineStr">
        <is>
          <t>%</t>
        </is>
      </c>
      <c r="O1070" s="5" t="inlineStr">
        <is>
          <t>%</t>
        </is>
      </c>
      <c r="P1070" s="5" t="n">
        <v>0</v>
      </c>
      <c r="Q1070" s="5" t="n">
        <v>0</v>
      </c>
      <c r="R1070" s="5" t="inlineStr">
        <is>
          <t>362-2025-12-31</t>
        </is>
      </c>
    </row>
    <row r="1071">
      <c r="A1071" s="5" t="n">
        <v>363</v>
      </c>
      <c r="B1071" s="5" t="inlineStr">
        <is>
          <t>Seguimiento a la parametrización de aulas master y secciones de asignaturas</t>
        </is>
      </c>
      <c r="C1071" s="5" t="inlineStr">
        <is>
          <t>Operaciones Académica pregrado y posgrado virtual</t>
        </is>
      </c>
      <c r="D1071" s="5" t="inlineStr">
        <is>
          <t>Semestral</t>
        </is>
      </c>
      <c r="E1071" s="5" t="inlineStr">
        <is>
          <t>Positivo</t>
        </is>
      </c>
      <c r="F1071" s="107" t="n">
        <v>45107</v>
      </c>
      <c r="G1071" s="5" t="n">
        <v>2023</v>
      </c>
      <c r="H1071" s="5" t="inlineStr">
        <is>
          <t>Junio</t>
        </is>
      </c>
      <c r="I1071" s="6" t="inlineStr">
        <is>
          <t>2023-1</t>
        </is>
      </c>
      <c r="J1071" s="5" t="n">
        <v>0</v>
      </c>
      <c r="K1071" s="5" t="n">
        <v>0</v>
      </c>
      <c r="L1071" s="14">
        <f>IFERROR(IF(OR(J1071=0,K1071=""),"",IF(E1071="Positivo",MIN(MAX(K1071/J1071,0),1.3),MIN(MAX(J1071/K1071,0),1.3))),"") </f>
        <v/>
      </c>
      <c r="M1071" s="14">
        <f>IFERROR(IF(OR(J1071=0,K1071=""),"",IF(E1071="Positivo",MAX(K1071/J1071,0),MAX(J1071/K1071,0))),"") </f>
        <v/>
      </c>
      <c r="N1071" s="5" t="n"/>
      <c r="O1071" s="5" t="n"/>
      <c r="P1071" s="5" t="n">
        <v>0</v>
      </c>
      <c r="Q1071" s="5" t="n">
        <v>0</v>
      </c>
      <c r="R1071" s="5" t="inlineStr">
        <is>
          <t>363-2023-06-30</t>
        </is>
      </c>
    </row>
    <row r="1072">
      <c r="A1072" s="5" t="n">
        <v>363</v>
      </c>
      <c r="B1072" s="5" t="inlineStr">
        <is>
          <t>Seguimiento a la parametrización de aulas master y secciones de asignaturas</t>
        </is>
      </c>
      <c r="C1072" s="5" t="inlineStr">
        <is>
          <t>Operaciones Académica pregrado y posgrado virtual</t>
        </is>
      </c>
      <c r="D1072" s="5" t="inlineStr">
        <is>
          <t>Semestral</t>
        </is>
      </c>
      <c r="E1072" s="5" t="inlineStr">
        <is>
          <t>Positivo</t>
        </is>
      </c>
      <c r="F1072" s="107" t="n">
        <v>45291</v>
      </c>
      <c r="G1072" s="5" t="n">
        <v>2023</v>
      </c>
      <c r="H1072" s="5" t="inlineStr">
        <is>
          <t>Diciembre</t>
        </is>
      </c>
      <c r="I1072" s="6" t="inlineStr">
        <is>
          <t>2023-2</t>
        </is>
      </c>
      <c r="J1072" s="5" t="n">
        <v>100</v>
      </c>
      <c r="K1072" s="5" t="n">
        <v>100</v>
      </c>
      <c r="L1072" s="14">
        <f>IFERROR(IF(OR(J1072=0,K1072=""),"",IF(E1072="Positivo",MIN(MAX(K1072/J1072,0),1.3),MIN(MAX(J1072/K1072,0),1.3))),"") </f>
        <v/>
      </c>
      <c r="M1072" s="14">
        <f>IFERROR(IF(OR(J1072=0,K1072=""),"",IF(E1072="Positivo",MAX(K1072/J1072,0),MAX(J1072/K1072,0))),"") </f>
        <v/>
      </c>
      <c r="N1072" s="5" t="n"/>
      <c r="O1072" s="5" t="n"/>
      <c r="P1072" s="5" t="n">
        <v>0</v>
      </c>
      <c r="Q1072" s="5" t="n">
        <v>0</v>
      </c>
      <c r="R1072" s="5" t="inlineStr">
        <is>
          <t>363-2023-12-31</t>
        </is>
      </c>
    </row>
    <row r="1073">
      <c r="A1073" s="5" t="n">
        <v>363</v>
      </c>
      <c r="B1073" s="5" t="inlineStr">
        <is>
          <t>Seguimiento a la parametrización de aulas master y secciones de asignaturas</t>
        </is>
      </c>
      <c r="C1073" s="5" t="inlineStr">
        <is>
          <t>Operaciones Académicas</t>
        </is>
      </c>
      <c r="D1073" s="5" t="inlineStr">
        <is>
          <t>Semestral</t>
        </is>
      </c>
      <c r="E1073" s="5" t="inlineStr">
        <is>
          <t>Positivo</t>
        </is>
      </c>
      <c r="F1073" s="107" t="n">
        <v>45473</v>
      </c>
      <c r="G1073" s="5" t="n">
        <v>2024</v>
      </c>
      <c r="H1073" s="5" t="inlineStr">
        <is>
          <t>Junio</t>
        </is>
      </c>
      <c r="I1073" s="6" t="inlineStr">
        <is>
          <t>2024-1</t>
        </is>
      </c>
      <c r="J1073" s="5" t="n">
        <v>100</v>
      </c>
      <c r="K1073" s="5" t="n">
        <v>100</v>
      </c>
      <c r="L1073" s="14">
        <f>IFERROR(IF(OR(J1073=0,K1073=""),"",IF(E1073="Positivo",MIN(MAX(K1073/J1073,0),1.3),MIN(MAX(J1073/K1073,0),1.3))),"") </f>
        <v/>
      </c>
      <c r="M1073" s="14">
        <f>IFERROR(IF(OR(J1073=0,K1073=""),"",IF(E1073="Positivo",MAX(K1073/J1073,0),MAX(J1073/K1073,0))),"") </f>
        <v/>
      </c>
      <c r="N1073" s="5" t="n"/>
      <c r="O1073" s="5" t="n"/>
      <c r="P1073" s="5" t="n">
        <v>0</v>
      </c>
      <c r="Q1073" s="5" t="n">
        <v>0</v>
      </c>
      <c r="R1073" s="5" t="inlineStr">
        <is>
          <t>363-2024-06-30</t>
        </is>
      </c>
    </row>
    <row r="1074">
      <c r="A1074" s="5" t="n">
        <v>363</v>
      </c>
      <c r="B1074" s="5" t="inlineStr">
        <is>
          <t>Seguimiento a la parametrización de aulas master y secciones de asignaturas</t>
        </is>
      </c>
      <c r="C1074" s="5" t="inlineStr">
        <is>
          <t>Operaciones Académicas</t>
        </is>
      </c>
      <c r="D1074" s="5" t="inlineStr">
        <is>
          <t>Semestral</t>
        </is>
      </c>
      <c r="E1074" s="5" t="inlineStr">
        <is>
          <t>Positivo</t>
        </is>
      </c>
      <c r="F1074" s="107" t="n">
        <v>45657</v>
      </c>
      <c r="G1074" s="5" t="n">
        <v>2024</v>
      </c>
      <c r="H1074" s="5" t="inlineStr">
        <is>
          <t>Diciembre</t>
        </is>
      </c>
      <c r="I1074" s="6" t="inlineStr">
        <is>
          <t>2024-2</t>
        </is>
      </c>
      <c r="J1074" s="5" t="n">
        <v>100</v>
      </c>
      <c r="K1074" s="5" t="n">
        <v>100</v>
      </c>
      <c r="L1074" s="14">
        <f>IFERROR(IF(OR(J1074=0,K1074=""),"",IF(E1074="Positivo",MIN(MAX(K1074/J1074,0),1.3),MIN(MAX(J1074/K1074,0),1.3))),"") </f>
        <v/>
      </c>
      <c r="M1074" s="14">
        <f>IFERROR(IF(OR(J1074=0,K1074=""),"",IF(E1074="Positivo",MAX(K1074/J1074,0),MAX(J1074/K1074,0))),"") </f>
        <v/>
      </c>
      <c r="N1074" s="5" t="n"/>
      <c r="O1074" s="5" t="n"/>
      <c r="P1074" s="5" t="n">
        <v>0</v>
      </c>
      <c r="Q1074" s="5" t="n">
        <v>0</v>
      </c>
      <c r="R1074" s="5" t="inlineStr">
        <is>
          <t>363-2024-12-31</t>
        </is>
      </c>
    </row>
    <row r="1075">
      <c r="A1075" s="5" t="n">
        <v>363</v>
      </c>
      <c r="B1075" s="5" t="inlineStr">
        <is>
          <t>Seguimiento a la parametrización de aulas master y secciones de asignaturas</t>
        </is>
      </c>
      <c r="C1075" s="5" t="inlineStr">
        <is>
          <t>Operaciones Académicas</t>
        </is>
      </c>
      <c r="D1075" s="5" t="inlineStr">
        <is>
          <t>Semestral</t>
        </is>
      </c>
      <c r="E1075" s="5" t="inlineStr">
        <is>
          <t>Positivo</t>
        </is>
      </c>
      <c r="F1075" s="107" t="n">
        <v>45838</v>
      </c>
      <c r="G1075" s="5" t="n">
        <v>2025</v>
      </c>
      <c r="H1075" s="5" t="inlineStr">
        <is>
          <t>Junio</t>
        </is>
      </c>
      <c r="I1075" s="6" t="inlineStr">
        <is>
          <t>2025-1</t>
        </is>
      </c>
      <c r="J1075" s="5" t="n">
        <v>100</v>
      </c>
      <c r="K1075" s="5" t="n">
        <v>100</v>
      </c>
      <c r="L1075" s="14">
        <f>IFERROR(IF(OR(J1075=0,K1075=""),"",IF(E1075="Positivo",MIN(MAX(K1075/J1075,0),1.3),MIN(MAX(J1075/K1075,0),1.3))),"") </f>
        <v/>
      </c>
      <c r="M1075" s="14">
        <f>IFERROR(IF(OR(J1075=0,K1075=""),"",IF(E1075="Positivo",MAX(K1075/J1075,0),MAX(J1075/K1075,0))),"") </f>
        <v/>
      </c>
      <c r="N1075" s="5" t="n"/>
      <c r="O1075" s="5" t="n"/>
      <c r="P1075" s="5" t="n">
        <v>0</v>
      </c>
      <c r="Q1075" s="5" t="n">
        <v>0</v>
      </c>
      <c r="R1075" s="5" t="inlineStr">
        <is>
          <t>363-2025-06-30</t>
        </is>
      </c>
    </row>
    <row r="1076">
      <c r="A1076" s="5" t="n">
        <v>363</v>
      </c>
      <c r="B1076" s="5" t="inlineStr">
        <is>
          <t>Seguimiento a la parametrización de aulas master y secciones de asignaturas</t>
        </is>
      </c>
      <c r="C1076" s="5" t="inlineStr">
        <is>
          <t>Operaciones Académicas</t>
        </is>
      </c>
      <c r="D1076" s="5" t="inlineStr">
        <is>
          <t>Trimestral</t>
        </is>
      </c>
      <c r="E1076" s="5" t="inlineStr">
        <is>
          <t>Positivo</t>
        </is>
      </c>
      <c r="F1076" s="107" t="n">
        <v>46022</v>
      </c>
      <c r="G1076" s="5" t="n">
        <v>2025</v>
      </c>
      <c r="H1076" s="5" t="inlineStr">
        <is>
          <t>Diciembre</t>
        </is>
      </c>
      <c r="I1076" s="6" t="inlineStr">
        <is>
          <t>2025-2</t>
        </is>
      </c>
      <c r="J1076" s="5" t="n">
        <v>100</v>
      </c>
      <c r="K1076" s="5" t="n">
        <v>100</v>
      </c>
      <c r="L1076" s="14">
        <f>IFERROR(IF(OR(J1076=0,K1076=""),"",IF(E1076="Positivo",MIN(MAX(K1076/J1076,0),1.3),MIN(MAX(J1076/K1076,0),1.3))),"") </f>
        <v/>
      </c>
      <c r="M1076" s="14">
        <f>IFERROR(IF(OR(J1076=0,K1076=""),"",IF(E1076="Positivo",MAX(K1076/J1076,0),MAX(J1076/K1076,0))),"") </f>
        <v/>
      </c>
      <c r="N1076" s="5" t="inlineStr">
        <is>
          <t>%</t>
        </is>
      </c>
      <c r="O1076" s="5" t="inlineStr">
        <is>
          <t>%</t>
        </is>
      </c>
      <c r="P1076" s="5" t="n">
        <v>0</v>
      </c>
      <c r="Q1076" s="5" t="n">
        <v>0</v>
      </c>
      <c r="R1076" s="5" t="inlineStr">
        <is>
          <t>363-2025-12-31</t>
        </is>
      </c>
    </row>
    <row r="1077">
      <c r="A1077" s="5" t="n">
        <v>364</v>
      </c>
      <c r="B1077" s="5" t="inlineStr">
        <is>
          <t>Impacto de actividades de Responsabilidad y proyección</t>
        </is>
      </c>
      <c r="C1077" s="5" t="inlineStr">
        <is>
          <t>Gestión de la Responsabilidad Social</t>
        </is>
      </c>
      <c r="D1077" s="5" t="inlineStr">
        <is>
          <t>Semestral</t>
        </is>
      </c>
      <c r="E1077" s="5" t="inlineStr">
        <is>
          <t>Negativo</t>
        </is>
      </c>
      <c r="F1077" s="107" t="n">
        <v>45107</v>
      </c>
      <c r="G1077" s="5" t="n">
        <v>2023</v>
      </c>
      <c r="H1077" s="5" t="inlineStr">
        <is>
          <t>Junio</t>
        </is>
      </c>
      <c r="I1077" s="6" t="inlineStr">
        <is>
          <t>2023-1</t>
        </is>
      </c>
      <c r="J1077" s="5" t="n">
        <v>0</v>
      </c>
      <c r="K1077" s="5" t="n">
        <v>30244</v>
      </c>
      <c r="L1077" s="14">
        <f>IFERROR(IF(OR(J1077=0,K1077=""),"",IF(E1077="Positivo",MIN(MAX(K1077/J1077,0),1.3),MIN(MAX(J1077/K1077,0),1.3))),"") </f>
        <v/>
      </c>
      <c r="M1077" s="14">
        <f>IFERROR(IF(OR(J1077=0,K1077=""),"",IF(E1077="Positivo",MAX(K1077/J1077,0),MAX(J1077/K1077,0))),"") </f>
        <v/>
      </c>
      <c r="N1077" s="5" t="inlineStr">
        <is>
          <t>Linea base</t>
        </is>
      </c>
      <c r="O1077" s="5" t="inlineStr">
        <is>
          <t>ENT</t>
        </is>
      </c>
      <c r="P1077" s="5" t="n">
        <v>0</v>
      </c>
      <c r="Q1077" s="5" t="n">
        <v>0</v>
      </c>
      <c r="R1077" s="5" t="inlineStr">
        <is>
          <t>364-2023-06-30</t>
        </is>
      </c>
    </row>
    <row r="1078">
      <c r="A1078" s="5" t="n">
        <v>364</v>
      </c>
      <c r="B1078" s="5" t="inlineStr">
        <is>
          <t>Impacto de actividades de Responsabilidad y proyección</t>
        </is>
      </c>
      <c r="C1078" s="5" t="inlineStr">
        <is>
          <t>Gestión de la Responsabilidad Social</t>
        </is>
      </c>
      <c r="D1078" s="5" t="inlineStr">
        <is>
          <t>Semestral</t>
        </is>
      </c>
      <c r="E1078" s="5" t="inlineStr">
        <is>
          <t>Negativo</t>
        </is>
      </c>
      <c r="F1078" s="107" t="n">
        <v>45291</v>
      </c>
      <c r="G1078" s="5" t="n">
        <v>2023</v>
      </c>
      <c r="H1078" s="5" t="inlineStr">
        <is>
          <t>Diciembre</t>
        </is>
      </c>
      <c r="I1078" s="6" t="inlineStr">
        <is>
          <t>2023-2</t>
        </is>
      </c>
      <c r="J1078" s="5" t="n">
        <v>0</v>
      </c>
      <c r="K1078" s="5" t="n">
        <v>78450</v>
      </c>
      <c r="L1078" s="14">
        <f>IFERROR(IF(OR(J1078=0,K1078=""),"",IF(E1078="Positivo",MIN(MAX(K1078/J1078,0),1.3),MIN(MAX(J1078/K1078,0),1.3))),"") </f>
        <v/>
      </c>
      <c r="M1078" s="14">
        <f>IFERROR(IF(OR(J1078=0,K1078=""),"",IF(E1078="Positivo",MAX(K1078/J1078,0),MAX(J1078/K1078,0))),"") </f>
        <v/>
      </c>
      <c r="N1078" s="5" t="inlineStr">
        <is>
          <t>Linea base</t>
        </is>
      </c>
      <c r="O1078" s="5" t="inlineStr">
        <is>
          <t>ENT</t>
        </is>
      </c>
      <c r="P1078" s="5" t="n">
        <v>0</v>
      </c>
      <c r="Q1078" s="5" t="n">
        <v>0</v>
      </c>
      <c r="R1078" s="5" t="inlineStr">
        <is>
          <t>364-2023-12-31</t>
        </is>
      </c>
    </row>
    <row r="1079">
      <c r="A1079" s="5" t="n">
        <v>364</v>
      </c>
      <c r="B1079" s="5" t="inlineStr">
        <is>
          <t>Impacto de actividades de Responsabilidad y proyección</t>
        </is>
      </c>
      <c r="C1079" s="5" t="inlineStr">
        <is>
          <t>Gestión de la Responsabilidad Social</t>
        </is>
      </c>
      <c r="D1079" s="5" t="inlineStr">
        <is>
          <t>Semestral</t>
        </is>
      </c>
      <c r="E1079" s="5" t="inlineStr">
        <is>
          <t>Positivo</t>
        </is>
      </c>
      <c r="F1079" s="107" t="n">
        <v>45473</v>
      </c>
      <c r="G1079" s="5" t="n">
        <v>2024</v>
      </c>
      <c r="H1079" s="5" t="inlineStr">
        <is>
          <t>Junio</t>
        </is>
      </c>
      <c r="I1079" s="6" t="inlineStr">
        <is>
          <t>2024-1</t>
        </is>
      </c>
      <c r="J1079" s="5" t="n">
        <v>100</v>
      </c>
      <c r="K1079" s="5" t="n">
        <v>132.73</v>
      </c>
      <c r="L1079" s="14">
        <f>IFERROR(IF(OR(J1079=0,K1079=""),"",IF(E1079="Positivo",MIN(MAX(K1079/J1079,0),1.3),MIN(MAX(J1079/K1079,0),1.3))),"") </f>
        <v/>
      </c>
      <c r="M1079" s="14">
        <f>IFERROR(IF(OR(J1079=0,K1079=""),"",IF(E1079="Positivo",MAX(K1079/J1079,0),MAX(J1079/K1079,0))),"") </f>
        <v/>
      </c>
      <c r="N1079" s="5" t="inlineStr">
        <is>
          <t>ENT</t>
        </is>
      </c>
      <c r="O1079" s="5" t="inlineStr">
        <is>
          <t>ENT</t>
        </is>
      </c>
      <c r="P1079" s="5" t="n">
        <v>0</v>
      </c>
      <c r="Q1079" s="5" t="n">
        <v>0</v>
      </c>
      <c r="R1079" s="5" t="inlineStr">
        <is>
          <t>364-2024-06-30</t>
        </is>
      </c>
    </row>
    <row r="1080">
      <c r="A1080" s="5" t="n">
        <v>364</v>
      </c>
      <c r="B1080" s="5" t="inlineStr">
        <is>
          <t>Impacto de actividades de Responsabilidad y proyección</t>
        </is>
      </c>
      <c r="C1080" s="5" t="inlineStr">
        <is>
          <t>Gestión de la Responsabilidad Social</t>
        </is>
      </c>
      <c r="D1080" s="5" t="inlineStr">
        <is>
          <t>Semestral</t>
        </is>
      </c>
      <c r="E1080" s="5" t="inlineStr">
        <is>
          <t>Positivo</t>
        </is>
      </c>
      <c r="F1080" s="107" t="n">
        <v>45657</v>
      </c>
      <c r="G1080" s="5" t="n">
        <v>2024</v>
      </c>
      <c r="H1080" s="5" t="inlineStr">
        <is>
          <t>Diciembre</t>
        </is>
      </c>
      <c r="I1080" s="6" t="inlineStr">
        <is>
          <t>2024-2</t>
        </is>
      </c>
      <c r="J1080" s="5" t="n">
        <v>100</v>
      </c>
      <c r="K1080" s="5" t="n">
        <v>98.09</v>
      </c>
      <c r="L1080" s="14">
        <f>IFERROR(IF(OR(J1080=0,K1080=""),"",IF(E1080="Positivo",MIN(MAX(K1080/J1080,0),1.3),MIN(MAX(J1080/K1080,0),1.3))),"") </f>
        <v/>
      </c>
      <c r="M1080" s="14">
        <f>IFERROR(IF(OR(J1080=0,K1080=""),"",IF(E1080="Positivo",MAX(K1080/J1080,0),MAX(J1080/K1080,0))),"") </f>
        <v/>
      </c>
      <c r="N1080" s="5" t="inlineStr">
        <is>
          <t>ENT</t>
        </is>
      </c>
      <c r="O1080" s="5" t="inlineStr">
        <is>
          <t>ENT</t>
        </is>
      </c>
      <c r="P1080" s="5" t="n">
        <v>0</v>
      </c>
      <c r="Q1080" s="5" t="n">
        <v>0</v>
      </c>
      <c r="R1080" s="5" t="inlineStr">
        <is>
          <t>364-2024-12-31</t>
        </is>
      </c>
    </row>
    <row r="1081">
      <c r="A1081" s="5" t="n">
        <v>364</v>
      </c>
      <c r="B1081" s="5" t="inlineStr">
        <is>
          <t>Impacto de actividades de Responsabilidad y proyección</t>
        </is>
      </c>
      <c r="C1081" s="5" t="inlineStr">
        <is>
          <t>Gestión de la Responsabilidad Social</t>
        </is>
      </c>
      <c r="D1081" s="5" t="inlineStr">
        <is>
          <t>Trimestral</t>
        </is>
      </c>
      <c r="E1081" s="5" t="inlineStr">
        <is>
          <t>Positivo</t>
        </is>
      </c>
      <c r="F1081" s="107" t="n">
        <v>45838</v>
      </c>
      <c r="G1081" s="5" t="n">
        <v>2025</v>
      </c>
      <c r="H1081" s="5" t="inlineStr">
        <is>
          <t>Junio</t>
        </is>
      </c>
      <c r="I1081" s="6" t="inlineStr">
        <is>
          <t>2025-1</t>
        </is>
      </c>
      <c r="J1081" s="5" t="n">
        <v>100</v>
      </c>
      <c r="K1081" s="5" t="n">
        <v>93.89</v>
      </c>
      <c r="L1081" s="14">
        <f>IFERROR(IF(OR(J1081=0,K1081=""),"",IF(E1081="Positivo",MIN(MAX(K1081/J1081,0),1.3),MIN(MAX(J1081/K1081,0),1.3))),"") </f>
        <v/>
      </c>
      <c r="M1081" s="14">
        <f>IFERROR(IF(OR(J1081=0,K1081=""),"",IF(E1081="Positivo",MAX(K1081/J1081,0),MAX(J1081/K1081,0))),"") </f>
        <v/>
      </c>
      <c r="N1081" s="5" t="inlineStr">
        <is>
          <t>ENT</t>
        </is>
      </c>
      <c r="O1081" s="5" t="inlineStr">
        <is>
          <t>ENT</t>
        </is>
      </c>
      <c r="P1081" s="5" t="n">
        <v>0</v>
      </c>
      <c r="Q1081" s="5" t="n">
        <v>0</v>
      </c>
      <c r="R1081" s="5" t="inlineStr">
        <is>
          <t>364-2025-06-30</t>
        </is>
      </c>
    </row>
    <row r="1082">
      <c r="A1082" s="5" t="n">
        <v>364</v>
      </c>
      <c r="B1082" s="5" t="inlineStr">
        <is>
          <t>Impacto de actividades de Responsabilidad y proyección</t>
        </is>
      </c>
      <c r="C1082" s="5" t="inlineStr">
        <is>
          <t>Gestión de la Responsabilidad Social</t>
        </is>
      </c>
      <c r="D1082" s="5" t="inlineStr">
        <is>
          <t>Trimestral</t>
        </is>
      </c>
      <c r="E1082" s="5" t="inlineStr">
        <is>
          <t>Positivo</t>
        </is>
      </c>
      <c r="F1082" s="107" t="n">
        <v>46022</v>
      </c>
      <c r="G1082" s="5" t="n">
        <v>2025</v>
      </c>
      <c r="H1082" s="5" t="inlineStr">
        <is>
          <t>Diciembre</t>
        </is>
      </c>
      <c r="I1082" s="6" t="inlineStr">
        <is>
          <t>2025-2</t>
        </is>
      </c>
      <c r="J1082" s="5" t="n">
        <v>100</v>
      </c>
      <c r="K1082" s="5" t="n">
        <v>78.11</v>
      </c>
      <c r="L1082" s="14">
        <f>IFERROR(IF(OR(J1082=0,K1082=""),"",IF(E1082="Positivo",MIN(MAX(K1082/J1082,0),1.3),MIN(MAX(J1082/K1082,0),1.3))),"") </f>
        <v/>
      </c>
      <c r="M1082" s="14">
        <f>IFERROR(IF(OR(J1082=0,K1082=""),"",IF(E1082="Positivo",MAX(K1082/J1082,0),MAX(J1082/K1082,0))),"") </f>
        <v/>
      </c>
      <c r="N1082" s="5" t="inlineStr">
        <is>
          <t>ENT</t>
        </is>
      </c>
      <c r="O1082" s="5" t="inlineStr">
        <is>
          <t>ENT</t>
        </is>
      </c>
      <c r="P1082" s="5" t="n">
        <v>0</v>
      </c>
      <c r="Q1082" s="5" t="n">
        <v>0</v>
      </c>
      <c r="R1082" s="5" t="inlineStr">
        <is>
          <t>364-2025-12-31</t>
        </is>
      </c>
    </row>
    <row r="1083">
      <c r="A1083" s="5" t="n">
        <v>365</v>
      </c>
      <c r="B1083" s="5" t="inlineStr">
        <is>
          <t>Seguimiento de asignación docente a NRC Pregrado-Posgrado Presencial</t>
        </is>
      </c>
      <c r="C1083" s="5" t="inlineStr">
        <is>
          <t>Operaciones Académica pregrado y posgrado presencial.</t>
        </is>
      </c>
      <c r="D1083" s="5" t="inlineStr">
        <is>
          <t>Semestral</t>
        </is>
      </c>
      <c r="E1083" s="5" t="inlineStr">
        <is>
          <t>Positivo</t>
        </is>
      </c>
      <c r="F1083" s="107" t="n">
        <v>45291</v>
      </c>
      <c r="G1083" s="5" t="n">
        <v>2023</v>
      </c>
      <c r="H1083" s="5" t="inlineStr">
        <is>
          <t>Diciembre</t>
        </is>
      </c>
      <c r="I1083" s="6" t="inlineStr">
        <is>
          <t>2023-2</t>
        </is>
      </c>
      <c r="J1083" s="5" t="n">
        <v>100</v>
      </c>
      <c r="K1083" s="5" t="n">
        <v>100</v>
      </c>
      <c r="L1083" s="14">
        <f>IFERROR(IF(OR(J1083=0,K1083=""),"",IF(E1083="Positivo",MIN(MAX(K1083/J1083,0),1.3),MIN(MAX(J1083/K1083,0),1.3))),"") </f>
        <v/>
      </c>
      <c r="M1083" s="14">
        <f>IFERROR(IF(OR(J1083=0,K1083=""),"",IF(E1083="Positivo",MAX(K1083/J1083,0),MAX(J1083/K1083,0))),"") </f>
        <v/>
      </c>
      <c r="N1083" s="5" t="inlineStr">
        <is>
          <t>%</t>
        </is>
      </c>
      <c r="O1083" s="5" t="inlineStr">
        <is>
          <t>%</t>
        </is>
      </c>
      <c r="P1083" s="5" t="n">
        <v>0</v>
      </c>
      <c r="Q1083" s="5" t="n">
        <v>0</v>
      </c>
      <c r="R1083" s="5" t="inlineStr">
        <is>
          <t>365-2023-12-31</t>
        </is>
      </c>
    </row>
    <row r="1084">
      <c r="A1084" s="5" t="n">
        <v>366</v>
      </c>
      <c r="B1084" s="5" t="inlineStr">
        <is>
          <t>Normalización de cobros pecuniarios</t>
        </is>
      </c>
      <c r="C1084" s="5" t="inlineStr">
        <is>
          <t>Operaciones Académica pregrado y posgrado presencial.</t>
        </is>
      </c>
      <c r="D1084" s="5" t="inlineStr">
        <is>
          <t>Anual</t>
        </is>
      </c>
      <c r="E1084" s="5" t="inlineStr">
        <is>
          <t>Positivo</t>
        </is>
      </c>
      <c r="F1084" s="107" t="n">
        <v>45291</v>
      </c>
      <c r="G1084" s="5" t="n">
        <v>2023</v>
      </c>
      <c r="H1084" s="5" t="inlineStr">
        <is>
          <t>Diciembre</t>
        </is>
      </c>
      <c r="I1084" s="6" t="inlineStr">
        <is>
          <t>2023-2</t>
        </is>
      </c>
      <c r="J1084" s="5" t="n">
        <v>100</v>
      </c>
      <c r="K1084" s="5" t="n">
        <v>100</v>
      </c>
      <c r="L1084" s="14">
        <f>IFERROR(IF(OR(J1084=0,K1084=""),"",IF(E1084="Positivo",MIN(MAX(K1084/J1084,0),1.3),MIN(MAX(J1084/K1084,0),1.3))),"") </f>
        <v/>
      </c>
      <c r="M1084" s="14">
        <f>IFERROR(IF(OR(J1084=0,K1084=""),"",IF(E1084="Positivo",MAX(K1084/J1084,0),MAX(J1084/K1084,0))),"") </f>
        <v/>
      </c>
      <c r="N1084" s="5" t="n"/>
      <c r="O1084" s="5" t="n"/>
      <c r="P1084" s="5" t="n">
        <v>0</v>
      </c>
      <c r="Q1084" s="5" t="n">
        <v>0</v>
      </c>
      <c r="R1084" s="5" t="inlineStr">
        <is>
          <t>366-2023-12-31</t>
        </is>
      </c>
    </row>
    <row r="1085">
      <c r="A1085" s="5" t="n">
        <v>366</v>
      </c>
      <c r="B1085" s="5" t="inlineStr">
        <is>
          <t>Normalización de cobros pecuniarios</t>
        </is>
      </c>
      <c r="C1085" s="5" t="inlineStr">
        <is>
          <t>Operaciones Académicas</t>
        </is>
      </c>
      <c r="D1085" s="5" t="inlineStr">
        <is>
          <t>Anual</t>
        </is>
      </c>
      <c r="E1085" s="5" t="inlineStr">
        <is>
          <t>Positivo</t>
        </is>
      </c>
      <c r="F1085" s="107" t="n">
        <v>45657</v>
      </c>
      <c r="G1085" s="5" t="n">
        <v>2024</v>
      </c>
      <c r="H1085" s="5" t="inlineStr">
        <is>
          <t>Diciembre</t>
        </is>
      </c>
      <c r="I1085" s="6" t="inlineStr">
        <is>
          <t>2024-2</t>
        </is>
      </c>
      <c r="J1085" s="5" t="n">
        <v>100</v>
      </c>
      <c r="K1085" s="5" t="n">
        <v>100</v>
      </c>
      <c r="L1085" s="14">
        <f>IFERROR(IF(OR(J1085=0,K1085=""),"",IF(E1085="Positivo",MIN(MAX(K1085/J1085,0),1.3),MIN(MAX(J1085/K1085,0),1.3))),"") </f>
        <v/>
      </c>
      <c r="M1085" s="14">
        <f>IFERROR(IF(OR(J1085=0,K1085=""),"",IF(E1085="Positivo",MAX(K1085/J1085,0),MAX(J1085/K1085,0))),"") </f>
        <v/>
      </c>
      <c r="N1085" s="5" t="n"/>
      <c r="O1085" s="5" t="n"/>
      <c r="P1085" s="5" t="n">
        <v>0</v>
      </c>
      <c r="Q1085" s="5" t="n">
        <v>0</v>
      </c>
      <c r="R1085" s="5" t="inlineStr">
        <is>
          <t>366-2024-12-31</t>
        </is>
      </c>
    </row>
    <row r="1086">
      <c r="A1086" s="5" t="n">
        <v>366</v>
      </c>
      <c r="B1086" s="5" t="inlineStr">
        <is>
          <t>Normalización de cobros pecuniarios</t>
        </is>
      </c>
      <c r="C1086" s="5" t="inlineStr">
        <is>
          <t>Operaciones Académicas</t>
        </is>
      </c>
      <c r="D1086" s="5" t="inlineStr">
        <is>
          <t>Anual</t>
        </is>
      </c>
      <c r="E1086" s="5" t="inlineStr">
        <is>
          <t>Positivo</t>
        </is>
      </c>
      <c r="F1086" s="107" t="n">
        <v>46022</v>
      </c>
      <c r="G1086" s="5" t="n">
        <v>2025</v>
      </c>
      <c r="H1086" s="5" t="inlineStr">
        <is>
          <t>Diciembre</t>
        </is>
      </c>
      <c r="I1086" s="6" t="inlineStr">
        <is>
          <t>2025-2</t>
        </is>
      </c>
      <c r="J1086" s="5" t="n">
        <v>100</v>
      </c>
      <c r="K1086" s="5" t="n">
        <v>100</v>
      </c>
      <c r="L1086" s="14">
        <f>IFERROR(IF(OR(J1086=0,K1086=""),"",IF(E1086="Positivo",MIN(MAX(K1086/J1086,0),1.3),MIN(MAX(J1086/K1086,0),1.3))),"") </f>
        <v/>
      </c>
      <c r="M1086" s="14">
        <f>IFERROR(IF(OR(J1086=0,K1086=""),"",IF(E1086="Positivo",MAX(K1086/J1086,0),MAX(J1086/K1086,0))),"") </f>
        <v/>
      </c>
      <c r="N1086" s="5" t="inlineStr">
        <is>
          <t>ENT</t>
        </is>
      </c>
      <c r="O1086" s="5" t="inlineStr">
        <is>
          <t>ENT</t>
        </is>
      </c>
      <c r="P1086" s="5" t="n">
        <v>0</v>
      </c>
      <c r="Q1086" s="5" t="n">
        <v>0</v>
      </c>
      <c r="R1086" s="5" t="inlineStr">
        <is>
          <t>366-2025-12-31</t>
        </is>
      </c>
    </row>
    <row r="1087">
      <c r="A1087" s="5" t="n">
        <v>367</v>
      </c>
      <c r="B1087" s="5" t="inlineStr">
        <is>
          <t>Estudiantes con Becas</t>
        </is>
      </c>
      <c r="C1087" s="5" t="inlineStr">
        <is>
          <t>Gestión de la Responsabilidad Social</t>
        </is>
      </c>
      <c r="D1087" s="5" t="inlineStr">
        <is>
          <t>Anual</t>
        </is>
      </c>
      <c r="E1087" s="5" t="inlineStr">
        <is>
          <t>Positivo</t>
        </is>
      </c>
      <c r="F1087" s="107" t="n">
        <v>45291</v>
      </c>
      <c r="G1087" s="5" t="n">
        <v>2023</v>
      </c>
      <c r="H1087" s="5" t="inlineStr">
        <is>
          <t>Diciembre</t>
        </is>
      </c>
      <c r="I1087" s="6" t="inlineStr">
        <is>
          <t>2023-2</t>
        </is>
      </c>
      <c r="J1087" s="5" t="n">
        <v>5</v>
      </c>
      <c r="K1087" s="5" t="n">
        <v>6.249756705204562</v>
      </c>
      <c r="L1087" s="14">
        <f>IFERROR(IF(OR(J1087=0,K1087=""),"",IF(E1087="Positivo",MIN(MAX(K1087/J1087,0),1.3),MIN(MAX(J1087/K1087,0),1.3))),"") </f>
        <v/>
      </c>
      <c r="M1087" s="14">
        <f>IFERROR(IF(OR(J1087=0,K1087=""),"",IF(E1087="Positivo",MAX(K1087/J1087,0),MAX(J1087/K1087,0))),"") </f>
        <v/>
      </c>
      <c r="N1087" s="5" t="inlineStr">
        <is>
          <t>%</t>
        </is>
      </c>
      <c r="O1087" s="5" t="inlineStr">
        <is>
          <t>%</t>
        </is>
      </c>
      <c r="P1087" s="5" t="n">
        <v>2</v>
      </c>
      <c r="Q1087" s="5" t="n">
        <v>2</v>
      </c>
      <c r="R1087" s="5" t="inlineStr">
        <is>
          <t>367-2023-12-31</t>
        </is>
      </c>
    </row>
    <row r="1088">
      <c r="A1088" s="5" t="n">
        <v>367</v>
      </c>
      <c r="B1088" s="5" t="inlineStr">
        <is>
          <t>Estudiantes con Becas</t>
        </is>
      </c>
      <c r="C1088" s="5" t="inlineStr">
        <is>
          <t>Gestión de la Responsabilidad Social</t>
        </is>
      </c>
      <c r="D1088" s="5" t="inlineStr">
        <is>
          <t>Anual</t>
        </is>
      </c>
      <c r="E1088" s="5" t="inlineStr">
        <is>
          <t>Positivo</t>
        </is>
      </c>
      <c r="F1088" s="107" t="n">
        <v>45657</v>
      </c>
      <c r="G1088" s="5" t="n">
        <v>2024</v>
      </c>
      <c r="H1088" s="5" t="inlineStr">
        <is>
          <t>Diciembre</t>
        </is>
      </c>
      <c r="I1088" s="6" t="inlineStr">
        <is>
          <t>2024-2</t>
        </is>
      </c>
      <c r="J1088" s="5" t="n">
        <v>5</v>
      </c>
      <c r="K1088" s="5" t="n">
        <v>4.96</v>
      </c>
      <c r="L1088" s="14">
        <f>IFERROR(IF(OR(J1088=0,K1088=""),"",IF(E1088="Positivo",MIN(MAX(K1088/J1088,0),1.3),MIN(MAX(J1088/K1088,0),1.3))),"") </f>
        <v/>
      </c>
      <c r="M1088" s="14">
        <f>IFERROR(IF(OR(J1088=0,K1088=""),"",IF(E1088="Positivo",MAX(K1088/J1088,0),MAX(J1088/K1088,0))),"") </f>
        <v/>
      </c>
      <c r="N1088" s="5" t="inlineStr">
        <is>
          <t>%</t>
        </is>
      </c>
      <c r="O1088" s="5" t="inlineStr">
        <is>
          <t>%</t>
        </is>
      </c>
      <c r="P1088" s="5" t="n">
        <v>2</v>
      </c>
      <c r="Q1088" s="5" t="n">
        <v>2</v>
      </c>
      <c r="R1088" s="5" t="inlineStr">
        <is>
          <t>367-2024-12-31</t>
        </is>
      </c>
    </row>
    <row r="1089">
      <c r="A1089" s="5" t="n">
        <v>367</v>
      </c>
      <c r="B1089" s="5" t="inlineStr">
        <is>
          <t>Estudiantes con Becas</t>
        </is>
      </c>
      <c r="C1089" s="5" t="inlineStr">
        <is>
          <t>Gestión de la Responsabilidad Social</t>
        </is>
      </c>
      <c r="D1089" s="5" t="inlineStr">
        <is>
          <t>Anual</t>
        </is>
      </c>
      <c r="E1089" s="5" t="inlineStr">
        <is>
          <t>Positivo</t>
        </is>
      </c>
      <c r="F1089" s="107" t="n">
        <v>46022</v>
      </c>
      <c r="G1089" s="5" t="n">
        <v>2025</v>
      </c>
      <c r="H1089" s="5" t="inlineStr">
        <is>
          <t>Diciembre</t>
        </is>
      </c>
      <c r="I1089" s="6" t="inlineStr">
        <is>
          <t>2025-2</t>
        </is>
      </c>
      <c r="J1089" s="5" t="n">
        <v>5</v>
      </c>
      <c r="K1089" s="5" t="n">
        <v>3.82</v>
      </c>
      <c r="L1089" s="14">
        <f>IFERROR(IF(OR(J1089=0,K1089=""),"",IF(E1089="Positivo",MIN(MAX(K1089/J1089,0),1.3),MIN(MAX(J1089/K1089,0),1.3))),"") </f>
        <v/>
      </c>
      <c r="M1089" s="14">
        <f>IFERROR(IF(OR(J1089=0,K1089=""),"",IF(E1089="Positivo",MAX(K1089/J1089,0),MAX(J1089/K1089,0))),"") </f>
        <v/>
      </c>
      <c r="N1089" s="5" t="inlineStr">
        <is>
          <t>%</t>
        </is>
      </c>
      <c r="O1089" s="5" t="inlineStr">
        <is>
          <t>%</t>
        </is>
      </c>
      <c r="P1089" s="5" t="n">
        <v>0</v>
      </c>
      <c r="Q1089" s="5" t="n">
        <v>2</v>
      </c>
      <c r="R1089" s="5" t="inlineStr">
        <is>
          <t>367-2025-12-31</t>
        </is>
      </c>
    </row>
    <row r="1090">
      <c r="A1090" s="5" t="n">
        <v>368</v>
      </c>
      <c r="B1090" s="5" t="inlineStr">
        <is>
          <t>Satisfacción de los estudiantes de Educación para toda la vida</t>
        </is>
      </c>
      <c r="C1090" s="5" t="inlineStr">
        <is>
          <t>Operación de Educación no Formal</t>
        </is>
      </c>
      <c r="D1090" s="5" t="inlineStr">
        <is>
          <t>Trimestral</t>
        </is>
      </c>
      <c r="E1090" s="5" t="inlineStr">
        <is>
          <t>Positivo</t>
        </is>
      </c>
      <c r="F1090" s="107" t="n">
        <v>45291</v>
      </c>
      <c r="G1090" s="5" t="n">
        <v>2023</v>
      </c>
      <c r="H1090" s="5" t="inlineStr">
        <is>
          <t>Diciembre</t>
        </is>
      </c>
      <c r="I1090" s="6" t="inlineStr">
        <is>
          <t>2023-2</t>
        </is>
      </c>
      <c r="J1090" s="5" t="n">
        <v>90</v>
      </c>
      <c r="K1090" s="5" t="n">
        <v>94.5</v>
      </c>
      <c r="L1090" s="14">
        <f>IFERROR(IF(OR(J1090=0,K1090=""),"",IF(E1090="Positivo",MIN(MAX(K1090/J1090,0),1.3),MIN(MAX(J1090/K1090,0),1.3))),"") </f>
        <v/>
      </c>
      <c r="M1090" s="14">
        <f>IFERROR(IF(OR(J1090=0,K1090=""),"",IF(E1090="Positivo",MAX(K1090/J1090,0),MAX(J1090/K1090,0))),"") </f>
        <v/>
      </c>
      <c r="N1090" s="5" t="inlineStr">
        <is>
          <t>%</t>
        </is>
      </c>
      <c r="O1090" s="5" t="inlineStr">
        <is>
          <t>%</t>
        </is>
      </c>
      <c r="P1090" s="5" t="n">
        <v>0</v>
      </c>
      <c r="Q1090" s="5" t="n">
        <v>0</v>
      </c>
      <c r="R1090" s="5" t="inlineStr">
        <is>
          <t>368-2023-12-31</t>
        </is>
      </c>
    </row>
    <row r="1091">
      <c r="A1091" s="5" t="n">
        <v>368</v>
      </c>
      <c r="B1091" s="5" t="inlineStr">
        <is>
          <t>Satisfacción de los estudiantes de Educación para toda la vida</t>
        </is>
      </c>
      <c r="C1091" s="5" t="inlineStr">
        <is>
          <t>Operación de Educación no Formal</t>
        </is>
      </c>
      <c r="D1091" s="5" t="inlineStr">
        <is>
          <t>Trimestral</t>
        </is>
      </c>
      <c r="E1091" s="5" t="inlineStr">
        <is>
          <t>Positivo</t>
        </is>
      </c>
      <c r="F1091" s="107" t="n">
        <v>45473</v>
      </c>
      <c r="G1091" s="5" t="n">
        <v>2024</v>
      </c>
      <c r="H1091" s="5" t="inlineStr">
        <is>
          <t>Junio</t>
        </is>
      </c>
      <c r="I1091" s="6" t="inlineStr">
        <is>
          <t>2024-1</t>
        </is>
      </c>
      <c r="J1091" s="5" t="n">
        <v>90</v>
      </c>
      <c r="K1091" s="5" t="n">
        <v>94.5</v>
      </c>
      <c r="L1091" s="14">
        <f>IFERROR(IF(OR(J1091=0,K1091=""),"",IF(E1091="Positivo",MIN(MAX(K1091/J1091,0),1.3),MIN(MAX(J1091/K1091,0),1.3))),"") </f>
        <v/>
      </c>
      <c r="M1091" s="14">
        <f>IFERROR(IF(OR(J1091=0,K1091=""),"",IF(E1091="Positivo",MAX(K1091/J1091,0),MAX(J1091/K1091,0))),"") </f>
        <v/>
      </c>
      <c r="N1091" s="5" t="inlineStr">
        <is>
          <t>%</t>
        </is>
      </c>
      <c r="O1091" s="5" t="inlineStr">
        <is>
          <t>%</t>
        </is>
      </c>
      <c r="P1091" s="5" t="n">
        <v>0</v>
      </c>
      <c r="Q1091" s="5" t="n">
        <v>0</v>
      </c>
      <c r="R1091" s="5" t="inlineStr">
        <is>
          <t>368-2024-06-30</t>
        </is>
      </c>
    </row>
    <row r="1092">
      <c r="A1092" s="5" t="n">
        <v>368</v>
      </c>
      <c r="B1092" s="5" t="inlineStr">
        <is>
          <t>Satisfacción de los estudiantes de Educación para toda la vida</t>
        </is>
      </c>
      <c r="C1092" s="5" t="inlineStr">
        <is>
          <t>Operación de Educación no Formal</t>
        </is>
      </c>
      <c r="D1092" s="5" t="inlineStr">
        <is>
          <t>Trimestral</t>
        </is>
      </c>
      <c r="E1092" s="5" t="inlineStr">
        <is>
          <t>Positivo</t>
        </is>
      </c>
      <c r="F1092" s="107" t="n">
        <v>45657</v>
      </c>
      <c r="G1092" s="5" t="n">
        <v>2024</v>
      </c>
      <c r="H1092" s="5" t="inlineStr">
        <is>
          <t>Diciembre</t>
        </is>
      </c>
      <c r="I1092" s="6" t="inlineStr">
        <is>
          <t>2024-2</t>
        </is>
      </c>
      <c r="J1092" s="5" t="n">
        <v>90</v>
      </c>
      <c r="K1092" s="5" t="n">
        <v>94</v>
      </c>
      <c r="L1092" s="14">
        <f>IFERROR(IF(OR(J1092=0,K1092=""),"",IF(E1092="Positivo",MIN(MAX(K1092/J1092,0),1.3),MIN(MAX(J1092/K1092,0),1.3))),"") </f>
        <v/>
      </c>
      <c r="M1092" s="14">
        <f>IFERROR(IF(OR(J1092=0,K1092=""),"",IF(E1092="Positivo",MAX(K1092/J1092,0),MAX(J1092/K1092,0))),"") </f>
        <v/>
      </c>
      <c r="N1092" s="5" t="inlineStr">
        <is>
          <t>%</t>
        </is>
      </c>
      <c r="O1092" s="5" t="inlineStr">
        <is>
          <t>%</t>
        </is>
      </c>
      <c r="P1092" s="5" t="n">
        <v>0</v>
      </c>
      <c r="Q1092" s="5" t="n">
        <v>0</v>
      </c>
      <c r="R1092" s="5" t="inlineStr">
        <is>
          <t>368-2024-12-31</t>
        </is>
      </c>
    </row>
    <row r="1093">
      <c r="A1093" s="5" t="n">
        <v>368</v>
      </c>
      <c r="B1093" s="5" t="inlineStr">
        <is>
          <t>Satisfacción de los estudiantes de Educación para toda la vida</t>
        </is>
      </c>
      <c r="C1093" s="5" t="inlineStr">
        <is>
          <t>Operación de Educación no Formal</t>
        </is>
      </c>
      <c r="D1093" s="5" t="inlineStr">
        <is>
          <t>Trimestral</t>
        </is>
      </c>
      <c r="E1093" s="5" t="inlineStr">
        <is>
          <t>Positivo</t>
        </is>
      </c>
      <c r="F1093" s="107" t="n">
        <v>45838</v>
      </c>
      <c r="G1093" s="5" t="n">
        <v>2025</v>
      </c>
      <c r="H1093" s="5" t="inlineStr">
        <is>
          <t>Junio</t>
        </is>
      </c>
      <c r="I1093" s="6" t="inlineStr">
        <is>
          <t>2025-1</t>
        </is>
      </c>
      <c r="J1093" s="5" t="n">
        <v>93</v>
      </c>
      <c r="K1093" s="5" t="n">
        <v>95</v>
      </c>
      <c r="L1093" s="14">
        <f>IFERROR(IF(OR(J1093=0,K1093=""),"",IF(E1093="Positivo",MIN(MAX(K1093/J1093,0),1.3),MIN(MAX(J1093/K1093,0),1.3))),"") </f>
        <v/>
      </c>
      <c r="M1093" s="14">
        <f>IFERROR(IF(OR(J1093=0,K1093=""),"",IF(E1093="Positivo",MAX(K1093/J1093,0),MAX(J1093/K1093,0))),"") </f>
        <v/>
      </c>
      <c r="N1093" s="5" t="inlineStr">
        <is>
          <t>%</t>
        </is>
      </c>
      <c r="O1093" s="5" t="inlineStr">
        <is>
          <t>%</t>
        </is>
      </c>
      <c r="P1093" s="5" t="n">
        <v>0</v>
      </c>
      <c r="Q1093" s="5" t="n">
        <v>0</v>
      </c>
      <c r="R1093" s="5" t="inlineStr">
        <is>
          <t>368-2025-06-30</t>
        </is>
      </c>
    </row>
    <row r="1094">
      <c r="A1094" s="5" t="n">
        <v>368</v>
      </c>
      <c r="B1094" s="5" t="inlineStr">
        <is>
          <t>Satisfacción de los estudiantes de Educación para toda la vida</t>
        </is>
      </c>
      <c r="C1094" s="5" t="inlineStr">
        <is>
          <t>Operación de nuevos negocios y CI</t>
        </is>
      </c>
      <c r="D1094" s="5" t="inlineStr">
        <is>
          <t>Semestral</t>
        </is>
      </c>
      <c r="E1094" s="5" t="inlineStr">
        <is>
          <t>Positivo</t>
        </is>
      </c>
      <c r="F1094" s="107" t="n">
        <v>46022</v>
      </c>
      <c r="G1094" s="5" t="n">
        <v>2025</v>
      </c>
      <c r="H1094" s="5" t="inlineStr">
        <is>
          <t>Diciembre</t>
        </is>
      </c>
      <c r="I1094" s="6" t="inlineStr">
        <is>
          <t>2025-2</t>
        </is>
      </c>
      <c r="J1094" s="5" t="n">
        <v>93</v>
      </c>
      <c r="K1094" s="5" t="n">
        <v>95</v>
      </c>
      <c r="L1094" s="14">
        <f>IFERROR(IF(OR(J1094=0,K1094=""),"",IF(E1094="Positivo",MIN(MAX(K1094/J1094,0),1.3),MIN(MAX(J1094/K1094,0),1.3))),"") </f>
        <v/>
      </c>
      <c r="M1094" s="14">
        <f>IFERROR(IF(OR(J1094=0,K1094=""),"",IF(E1094="Positivo",MAX(K1094/J1094,0),MAX(J1094/K1094,0))),"") </f>
        <v/>
      </c>
      <c r="N1094" s="5" t="inlineStr">
        <is>
          <t>%</t>
        </is>
      </c>
      <c r="O1094" s="5" t="inlineStr">
        <is>
          <t>%</t>
        </is>
      </c>
      <c r="P1094" s="5" t="n">
        <v>0</v>
      </c>
      <c r="Q1094" s="5" t="n">
        <v>0</v>
      </c>
      <c r="R1094" s="5" t="inlineStr">
        <is>
          <t>368-2025-12-31</t>
        </is>
      </c>
    </row>
    <row r="1095">
      <c r="A1095" s="5" t="n">
        <v>369</v>
      </c>
      <c r="B1095" s="5" t="inlineStr">
        <is>
          <t>Participación de POLI- voluntariados (Estudiantes- Colaboradores)</t>
        </is>
      </c>
      <c r="C1095" s="5" t="inlineStr">
        <is>
          <t>Gestión de la Responsabilidad Social</t>
        </is>
      </c>
      <c r="D1095" s="5" t="inlineStr">
        <is>
          <t>Semestral</t>
        </is>
      </c>
      <c r="E1095" s="5" t="inlineStr">
        <is>
          <t>Positivo</t>
        </is>
      </c>
      <c r="F1095" s="107" t="n">
        <v>45107</v>
      </c>
      <c r="G1095" s="5" t="n">
        <v>2023</v>
      </c>
      <c r="H1095" s="5" t="inlineStr">
        <is>
          <t>Junio</t>
        </is>
      </c>
      <c r="I1095" s="6" t="inlineStr">
        <is>
          <t>2023-1</t>
        </is>
      </c>
      <c r="J1095" s="5" t="n">
        <v>0</v>
      </c>
      <c r="K1095" s="5" t="n">
        <v>78</v>
      </c>
      <c r="L1095" s="14">
        <f>IFERROR(IF(OR(J1095=0,K1095=""),"",IF(E1095="Positivo",MIN(MAX(K1095/J1095,0),1.3),MIN(MAX(J1095/K1095,0),1.3))),"") </f>
        <v/>
      </c>
      <c r="M1095" s="14">
        <f>IFERROR(IF(OR(J1095=0,K1095=""),"",IF(E1095="Positivo",MAX(K1095/J1095,0),MAX(J1095/K1095,0))),"") </f>
        <v/>
      </c>
      <c r="N1095" s="5" t="inlineStr">
        <is>
          <t>Linea Base</t>
        </is>
      </c>
      <c r="O1095" s="5" t="inlineStr">
        <is>
          <t>ENT</t>
        </is>
      </c>
      <c r="P1095" s="5" t="n">
        <v>0</v>
      </c>
      <c r="Q1095" s="5" t="n">
        <v>0</v>
      </c>
      <c r="R1095" s="5" t="inlineStr">
        <is>
          <t>369-2023-06-30</t>
        </is>
      </c>
    </row>
    <row r="1096">
      <c r="A1096" s="5" t="n">
        <v>369</v>
      </c>
      <c r="B1096" s="5" t="inlineStr">
        <is>
          <t>Participación de POLI- voluntariados (Estudiantes- Colaboradores)</t>
        </is>
      </c>
      <c r="C1096" s="5" t="inlineStr">
        <is>
          <t>Gestión de la Responsabilidad Social</t>
        </is>
      </c>
      <c r="D1096" s="5" t="inlineStr">
        <is>
          <t>Semestral</t>
        </is>
      </c>
      <c r="E1096" s="5" t="inlineStr">
        <is>
          <t>Positivo</t>
        </is>
      </c>
      <c r="F1096" s="107" t="n">
        <v>45291</v>
      </c>
      <c r="G1096" s="5" t="n">
        <v>2023</v>
      </c>
      <c r="H1096" s="5" t="inlineStr">
        <is>
          <t>Diciembre</t>
        </is>
      </c>
      <c r="I1096" s="6" t="inlineStr">
        <is>
          <t>2023-2</t>
        </is>
      </c>
      <c r="J1096" s="5" t="n">
        <v>0</v>
      </c>
      <c r="K1096" s="5" t="n">
        <v>96</v>
      </c>
      <c r="L1096" s="14">
        <f>IFERROR(IF(OR(J1096=0,K1096=""),"",IF(E1096="Positivo",MIN(MAX(K1096/J1096,0),1.3),MIN(MAX(J1096/K1096,0),1.3))),"") </f>
        <v/>
      </c>
      <c r="M1096" s="14">
        <f>IFERROR(IF(OR(J1096=0,K1096=""),"",IF(E1096="Positivo",MAX(K1096/J1096,0),MAX(J1096/K1096,0))),"") </f>
        <v/>
      </c>
      <c r="N1096" s="5" t="inlineStr">
        <is>
          <t>Linea Base</t>
        </is>
      </c>
      <c r="O1096" s="5" t="inlineStr">
        <is>
          <t>ENT</t>
        </is>
      </c>
      <c r="P1096" s="5" t="n">
        <v>0</v>
      </c>
      <c r="Q1096" s="5" t="n">
        <v>0</v>
      </c>
      <c r="R1096" s="5" t="inlineStr">
        <is>
          <t>369-2023-12-31</t>
        </is>
      </c>
    </row>
    <row r="1097">
      <c r="A1097" s="5" t="n">
        <v>369</v>
      </c>
      <c r="B1097" s="5" t="inlineStr">
        <is>
          <t>Participación de POLI- voluntariados (Estudiantes- Colaboradores)</t>
        </is>
      </c>
      <c r="C1097" s="5" t="inlineStr">
        <is>
          <t>Gestión de la Responsabilidad Social</t>
        </is>
      </c>
      <c r="D1097" s="5" t="inlineStr">
        <is>
          <t>Semestral</t>
        </is>
      </c>
      <c r="E1097" s="5" t="inlineStr">
        <is>
          <t>Positivo</t>
        </is>
      </c>
      <c r="F1097" s="107" t="n">
        <v>45473</v>
      </c>
      <c r="G1097" s="5" t="n">
        <v>2024</v>
      </c>
      <c r="H1097" s="5" t="inlineStr">
        <is>
          <t>Junio</t>
        </is>
      </c>
      <c r="I1097" s="6" t="inlineStr">
        <is>
          <t>2024-1</t>
        </is>
      </c>
      <c r="J1097" s="5" t="n">
        <v>100</v>
      </c>
      <c r="K1097" s="5" t="n">
        <v>76.25</v>
      </c>
      <c r="L1097" s="14">
        <f>IFERROR(IF(OR(J1097=0,K1097=""),"",IF(E1097="Positivo",MIN(MAX(K1097/J1097,0),1.3),MIN(MAX(J1097/K1097,0),1.3))),"") </f>
        <v/>
      </c>
      <c r="M1097" s="14">
        <f>IFERROR(IF(OR(J1097=0,K1097=""),"",IF(E1097="Positivo",MAX(K1097/J1097,0),MAX(J1097/K1097,0))),"") </f>
        <v/>
      </c>
      <c r="N1097" s="5" t="inlineStr">
        <is>
          <t>ENT</t>
        </is>
      </c>
      <c r="O1097" s="5" t="inlineStr">
        <is>
          <t>ENT</t>
        </is>
      </c>
      <c r="P1097" s="5" t="n">
        <v>0</v>
      </c>
      <c r="Q1097" s="5" t="n">
        <v>0</v>
      </c>
      <c r="R1097" s="5" t="inlineStr">
        <is>
          <t>369-2024-06-30</t>
        </is>
      </c>
    </row>
    <row r="1098">
      <c r="A1098" s="5" t="n">
        <v>369</v>
      </c>
      <c r="B1098" s="5" t="inlineStr">
        <is>
          <t>Participación de POLI- voluntariados (Estudiantes- Colaboradores)</t>
        </is>
      </c>
      <c r="C1098" s="5" t="inlineStr">
        <is>
          <t>Gestión de la Responsabilidad Social</t>
        </is>
      </c>
      <c r="D1098" s="5" t="inlineStr">
        <is>
          <t>Semestral</t>
        </is>
      </c>
      <c r="E1098" s="5" t="inlineStr">
        <is>
          <t>Positivo</t>
        </is>
      </c>
      <c r="F1098" s="107" t="n">
        <v>45657</v>
      </c>
      <c r="G1098" s="5" t="n">
        <v>2024</v>
      </c>
      <c r="H1098" s="5" t="inlineStr">
        <is>
          <t>Diciembre</t>
        </is>
      </c>
      <c r="I1098" s="6" t="inlineStr">
        <is>
          <t>2024-2</t>
        </is>
      </c>
      <c r="J1098" s="5" t="n">
        <v>100</v>
      </c>
      <c r="K1098" s="5" t="n">
        <v>71.3</v>
      </c>
      <c r="L1098" s="14">
        <f>IFERROR(IF(OR(J1098=0,K1098=""),"",IF(E1098="Positivo",MIN(MAX(K1098/J1098,0),1.3),MIN(MAX(J1098/K1098,0),1.3))),"") </f>
        <v/>
      </c>
      <c r="M1098" s="14">
        <f>IFERROR(IF(OR(J1098=0,K1098=""),"",IF(E1098="Positivo",MAX(K1098/J1098,0),MAX(J1098/K1098,0))),"") </f>
        <v/>
      </c>
      <c r="N1098" s="5" t="inlineStr">
        <is>
          <t>ENT</t>
        </is>
      </c>
      <c r="O1098" s="5" t="inlineStr">
        <is>
          <t>ENT</t>
        </is>
      </c>
      <c r="P1098" s="5" t="n">
        <v>0</v>
      </c>
      <c r="Q1098" s="5" t="n">
        <v>0</v>
      </c>
      <c r="R1098" s="5" t="inlineStr">
        <is>
          <t>369-2024-12-31</t>
        </is>
      </c>
    </row>
    <row r="1099">
      <c r="A1099" s="5" t="n">
        <v>369</v>
      </c>
      <c r="B1099" s="5" t="inlineStr">
        <is>
          <t>Participación de POLI- voluntariados (Estudiantes- Colaboradores)</t>
        </is>
      </c>
      <c r="C1099" s="5" t="inlineStr">
        <is>
          <t>Gestión de la Responsabilidad Social</t>
        </is>
      </c>
      <c r="D1099" s="5" t="inlineStr">
        <is>
          <t>Trimestral</t>
        </is>
      </c>
      <c r="E1099" s="5" t="inlineStr">
        <is>
          <t>Positivo</t>
        </is>
      </c>
      <c r="F1099" s="107" t="n">
        <v>45838</v>
      </c>
      <c r="G1099" s="5" t="n">
        <v>2025</v>
      </c>
      <c r="H1099" s="5" t="inlineStr">
        <is>
          <t>Junio</t>
        </is>
      </c>
      <c r="I1099" s="6" t="inlineStr">
        <is>
          <t>2025-1</t>
        </is>
      </c>
      <c r="J1099" s="5" t="n">
        <v>100</v>
      </c>
      <c r="K1099" s="5" t="n">
        <v>88.89</v>
      </c>
      <c r="L1099" s="14">
        <f>IFERROR(IF(OR(J1099=0,K1099=""),"",IF(E1099="Positivo",MIN(MAX(K1099/J1099,0),1.3),MIN(MAX(J1099/K1099,0),1.3))),"") </f>
        <v/>
      </c>
      <c r="M1099" s="14">
        <f>IFERROR(IF(OR(J1099=0,K1099=""),"",IF(E1099="Positivo",MAX(K1099/J1099,0),MAX(J1099/K1099,0))),"") </f>
        <v/>
      </c>
      <c r="N1099" s="5" t="inlineStr">
        <is>
          <t>ENT</t>
        </is>
      </c>
      <c r="O1099" s="5" t="inlineStr">
        <is>
          <t>ENT</t>
        </is>
      </c>
      <c r="P1099" s="5" t="n">
        <v>0</v>
      </c>
      <c r="Q1099" s="5" t="n">
        <v>0</v>
      </c>
      <c r="R1099" s="5" t="inlineStr">
        <is>
          <t>369-2025-06-30</t>
        </is>
      </c>
    </row>
    <row r="1100">
      <c r="A1100" s="5" t="n">
        <v>369</v>
      </c>
      <c r="B1100" s="5" t="inlineStr">
        <is>
          <t>Participación de POLI- voluntariados (Estudiantes- Colaboradores)</t>
        </is>
      </c>
      <c r="C1100" s="5" t="inlineStr">
        <is>
          <t>Gestión de la Responsabilidad Social</t>
        </is>
      </c>
      <c r="D1100" s="5" t="inlineStr">
        <is>
          <t>Trimestral</t>
        </is>
      </c>
      <c r="E1100" s="5" t="inlineStr">
        <is>
          <t>Positivo</t>
        </is>
      </c>
      <c r="F1100" s="107" t="n">
        <v>46022</v>
      </c>
      <c r="G1100" s="5" t="n">
        <v>2025</v>
      </c>
      <c r="H1100" s="5" t="inlineStr">
        <is>
          <t>Diciembre</t>
        </is>
      </c>
      <c r="I1100" s="6" t="inlineStr">
        <is>
          <t>2025-2</t>
        </is>
      </c>
      <c r="J1100" s="5" t="n">
        <v>100</v>
      </c>
      <c r="K1100" s="5" t="n">
        <v>108.26</v>
      </c>
      <c r="L1100" s="14">
        <f>IFERROR(IF(OR(J1100=0,K1100=""),"",IF(E1100="Positivo",MIN(MAX(K1100/J1100,0),1.3),MIN(MAX(J1100/K1100,0),1.3))),"") </f>
        <v/>
      </c>
      <c r="M1100" s="14">
        <f>IFERROR(IF(OR(J1100=0,K1100=""),"",IF(E1100="Positivo",MAX(K1100/J1100,0),MAX(J1100/K1100,0))),"") </f>
        <v/>
      </c>
      <c r="N1100" s="5" t="inlineStr">
        <is>
          <t>ENT</t>
        </is>
      </c>
      <c r="O1100" s="5" t="inlineStr">
        <is>
          <t>ENT</t>
        </is>
      </c>
      <c r="P1100" s="5" t="n">
        <v>0</v>
      </c>
      <c r="Q1100" s="5" t="n">
        <v>0</v>
      </c>
      <c r="R1100" s="5" t="inlineStr">
        <is>
          <t>369-2025-12-31</t>
        </is>
      </c>
    </row>
    <row r="1101">
      <c r="A1101" s="5" t="n">
        <v>370</v>
      </c>
      <c r="B1101" s="5" t="inlineStr">
        <is>
          <t>Oportunidades de mejora - Huella Verde</t>
        </is>
      </c>
      <c r="C1101" s="5" t="inlineStr">
        <is>
          <t>Gestión de la Responsabilidad Social</t>
        </is>
      </c>
      <c r="D1101" s="5" t="inlineStr">
        <is>
          <t>Semestral</t>
        </is>
      </c>
      <c r="E1101" s="5" t="inlineStr">
        <is>
          <t>Positivo</t>
        </is>
      </c>
      <c r="F1101" s="107" t="n">
        <v>45107</v>
      </c>
      <c r="G1101" s="5" t="n">
        <v>2023</v>
      </c>
      <c r="H1101" s="5" t="inlineStr">
        <is>
          <t>Junio</t>
        </is>
      </c>
      <c r="I1101" s="6" t="inlineStr">
        <is>
          <t>2023-1</t>
        </is>
      </c>
      <c r="J1101" s="5" t="n">
        <v>0</v>
      </c>
      <c r="K1101" s="5" t="n">
        <v>0</v>
      </c>
      <c r="L1101" s="14">
        <f>IFERROR(IF(OR(J1101=0,K1101=""),"",IF(E1101="Positivo",MIN(MAX(K1101/J1101,0),1.3),MIN(MAX(J1101/K1101,0),1.3))),"") </f>
        <v/>
      </c>
      <c r="M1101" s="14">
        <f>IFERROR(IF(OR(J1101=0,K1101=""),"",IF(E1101="Positivo",MAX(K1101/J1101,0),MAX(J1101/K1101,0))),"") </f>
        <v/>
      </c>
      <c r="N1101" s="5" t="n"/>
      <c r="O1101" s="5" t="n"/>
      <c r="P1101" s="5" t="n">
        <v>0</v>
      </c>
      <c r="Q1101" s="5" t="n">
        <v>0</v>
      </c>
      <c r="R1101" s="5" t="inlineStr">
        <is>
          <t>370-2023-06-30</t>
        </is>
      </c>
    </row>
    <row r="1102">
      <c r="A1102" s="5" t="n">
        <v>370</v>
      </c>
      <c r="B1102" s="5" t="inlineStr">
        <is>
          <t>Oportunidades de mejora - Huella Verde</t>
        </is>
      </c>
      <c r="C1102" s="5" t="inlineStr">
        <is>
          <t>Gestión de la Responsabilidad Social</t>
        </is>
      </c>
      <c r="D1102" s="5" t="inlineStr">
        <is>
          <t>Semestral</t>
        </is>
      </c>
      <c r="E1102" s="5" t="inlineStr">
        <is>
          <t>Positivo</t>
        </is>
      </c>
      <c r="F1102" s="107" t="n">
        <v>45291</v>
      </c>
      <c r="G1102" s="5" t="n">
        <v>2023</v>
      </c>
      <c r="H1102" s="5" t="inlineStr">
        <is>
          <t>Diciembre</t>
        </is>
      </c>
      <c r="I1102" s="6" t="inlineStr">
        <is>
          <t>2023-2</t>
        </is>
      </c>
      <c r="J1102" s="5" t="n">
        <v>0</v>
      </c>
      <c r="K1102" s="5" t="n">
        <v>0</v>
      </c>
      <c r="L1102" s="14">
        <f>IFERROR(IF(OR(J1102=0,K1102=""),"",IF(E1102="Positivo",MIN(MAX(K1102/J1102,0),1.3),MIN(MAX(J1102/K1102,0),1.3))),"") </f>
        <v/>
      </c>
      <c r="M1102" s="14">
        <f>IFERROR(IF(OR(J1102=0,K1102=""),"",IF(E1102="Positivo",MAX(K1102/J1102,0),MAX(J1102/K1102,0))),"") </f>
        <v/>
      </c>
      <c r="N1102" s="5" t="n"/>
      <c r="O1102" s="5" t="n"/>
      <c r="P1102" s="5" t="n">
        <v>0</v>
      </c>
      <c r="Q1102" s="5" t="n">
        <v>0</v>
      </c>
      <c r="R1102" s="5" t="inlineStr">
        <is>
          <t>370-2023-12-31</t>
        </is>
      </c>
    </row>
    <row r="1103">
      <c r="A1103" s="5" t="n">
        <v>371</v>
      </c>
      <c r="B1103" s="5" t="inlineStr">
        <is>
          <t>Recaudación de fondos</t>
        </is>
      </c>
      <c r="C1103" s="5" t="inlineStr">
        <is>
          <t>Gestión de la Responsabilidad Social</t>
        </is>
      </c>
      <c r="D1103" s="5" t="inlineStr">
        <is>
          <t>Semestral</t>
        </is>
      </c>
      <c r="E1103" s="5" t="inlineStr">
        <is>
          <t>Positivo</t>
        </is>
      </c>
      <c r="F1103" s="107" t="n">
        <v>45107</v>
      </c>
      <c r="G1103" s="5" t="n">
        <v>2023</v>
      </c>
      <c r="H1103" s="5" t="inlineStr">
        <is>
          <t>Junio</t>
        </is>
      </c>
      <c r="I1103" s="6" t="inlineStr">
        <is>
          <t>2023-1</t>
        </is>
      </c>
      <c r="J1103" s="5" t="n">
        <v>100</v>
      </c>
      <c r="K1103" s="5" t="n">
        <v>157.50274243636</v>
      </c>
      <c r="L1103" s="14">
        <f>IFERROR(IF(OR(J1103=0,K1103=""),"",IF(E1103="Positivo",MIN(MAX(K1103/J1103,0),1.3),MIN(MAX(J1103/K1103,0),1.3))),"") </f>
        <v/>
      </c>
      <c r="M1103" s="14">
        <f>IFERROR(IF(OR(J1103=0,K1103=""),"",IF(E1103="Positivo",MAX(K1103/J1103,0),MAX(J1103/K1103,0))),"") </f>
        <v/>
      </c>
      <c r="N1103" s="5" t="inlineStr">
        <is>
          <t>$</t>
        </is>
      </c>
      <c r="O1103" s="5" t="inlineStr">
        <is>
          <t>$</t>
        </is>
      </c>
      <c r="P1103" s="5" t="n">
        <v>0</v>
      </c>
      <c r="Q1103" s="5" t="n">
        <v>0</v>
      </c>
      <c r="R1103" s="5" t="inlineStr">
        <is>
          <t>371-2023-06-30</t>
        </is>
      </c>
    </row>
    <row r="1104">
      <c r="A1104" s="5" t="n">
        <v>371</v>
      </c>
      <c r="B1104" s="5" t="inlineStr">
        <is>
          <t>Recaudación de fondos</t>
        </is>
      </c>
      <c r="C1104" s="5" t="inlineStr">
        <is>
          <t>Gestión de la Responsabilidad Social</t>
        </is>
      </c>
      <c r="D1104" s="5" t="inlineStr">
        <is>
          <t>Semestral</t>
        </is>
      </c>
      <c r="E1104" s="5" t="inlineStr">
        <is>
          <t>Positivo</t>
        </is>
      </c>
      <c r="F1104" s="107" t="n">
        <v>45291</v>
      </c>
      <c r="G1104" s="5" t="n">
        <v>2023</v>
      </c>
      <c r="H1104" s="5" t="inlineStr">
        <is>
          <t>Diciembre</t>
        </is>
      </c>
      <c r="I1104" s="6" t="inlineStr">
        <is>
          <t>2023-2</t>
        </is>
      </c>
      <c r="J1104" s="5" t="n">
        <v>100</v>
      </c>
      <c r="K1104" s="5" t="n">
        <v>173.07</v>
      </c>
      <c r="L1104" s="14">
        <f>IFERROR(IF(OR(J1104=0,K1104=""),"",IF(E1104="Positivo",MIN(MAX(K1104/J1104,0),1.3),MIN(MAX(J1104/K1104,0),1.3))),"") </f>
        <v/>
      </c>
      <c r="M1104" s="14">
        <f>IFERROR(IF(OR(J1104=0,K1104=""),"",IF(E1104="Positivo",MAX(K1104/J1104,0),MAX(J1104/K1104,0))),"") </f>
        <v/>
      </c>
      <c r="N1104" s="5" t="inlineStr">
        <is>
          <t>$</t>
        </is>
      </c>
      <c r="O1104" s="5" t="inlineStr">
        <is>
          <t>$</t>
        </is>
      </c>
      <c r="P1104" s="5" t="n">
        <v>0</v>
      </c>
      <c r="Q1104" s="5" t="n">
        <v>0</v>
      </c>
      <c r="R1104" s="5" t="inlineStr">
        <is>
          <t>371-2023-12-31</t>
        </is>
      </c>
    </row>
    <row r="1105">
      <c r="A1105" s="5" t="n">
        <v>371</v>
      </c>
      <c r="B1105" s="5" t="inlineStr">
        <is>
          <t>Recaudación de fondos</t>
        </is>
      </c>
      <c r="C1105" s="5" t="inlineStr">
        <is>
          <t>Gestión de la Responsabilidad Social</t>
        </is>
      </c>
      <c r="D1105" s="5" t="inlineStr">
        <is>
          <t>Semestral</t>
        </is>
      </c>
      <c r="E1105" s="5" t="inlineStr">
        <is>
          <t>Positivo</t>
        </is>
      </c>
      <c r="F1105" s="107" t="n">
        <v>45473</v>
      </c>
      <c r="G1105" s="5" t="n">
        <v>2024</v>
      </c>
      <c r="H1105" s="5" t="inlineStr">
        <is>
          <t>Junio</t>
        </is>
      </c>
      <c r="I1105" s="6" t="inlineStr">
        <is>
          <t>2024-1</t>
        </is>
      </c>
      <c r="J1105" s="5" t="n">
        <v>100</v>
      </c>
      <c r="K1105" s="5" t="n">
        <v>149.72</v>
      </c>
      <c r="L1105" s="14">
        <f>IFERROR(IF(OR(J1105=0,K1105=""),"",IF(E1105="Positivo",MIN(MAX(K1105/J1105,0),1.3),MIN(MAX(J1105/K1105,0),1.3))),"") </f>
        <v/>
      </c>
      <c r="M1105" s="14">
        <f>IFERROR(IF(OR(J1105=0,K1105=""),"",IF(E1105="Positivo",MAX(K1105/J1105,0),MAX(J1105/K1105,0))),"") </f>
        <v/>
      </c>
      <c r="N1105" s="5" t="inlineStr">
        <is>
          <t>$</t>
        </is>
      </c>
      <c r="O1105" s="5" t="inlineStr">
        <is>
          <t>$</t>
        </is>
      </c>
      <c r="P1105" s="5" t="n">
        <v>0</v>
      </c>
      <c r="Q1105" s="5" t="n">
        <v>0</v>
      </c>
      <c r="R1105" s="5" t="inlineStr">
        <is>
          <t>371-2024-06-30</t>
        </is>
      </c>
    </row>
    <row r="1106">
      <c r="A1106" s="5" t="n">
        <v>371</v>
      </c>
      <c r="B1106" s="5" t="inlineStr">
        <is>
          <t>Recaudación de fondos</t>
        </is>
      </c>
      <c r="C1106" s="5" t="inlineStr">
        <is>
          <t>Gestión de la Responsabilidad Social</t>
        </is>
      </c>
      <c r="D1106" s="5" t="inlineStr">
        <is>
          <t>Semestral</t>
        </is>
      </c>
      <c r="E1106" s="5" t="inlineStr">
        <is>
          <t>Positivo</t>
        </is>
      </c>
      <c r="F1106" s="107" t="n">
        <v>45657</v>
      </c>
      <c r="G1106" s="5" t="n">
        <v>2024</v>
      </c>
      <c r="H1106" s="5" t="inlineStr">
        <is>
          <t>Diciembre</t>
        </is>
      </c>
      <c r="I1106" s="6" t="inlineStr">
        <is>
          <t>2024-2</t>
        </is>
      </c>
      <c r="J1106" s="5" t="n">
        <v>100</v>
      </c>
      <c r="K1106" s="5" t="n">
        <v>96.98999999999999</v>
      </c>
      <c r="L1106" s="14">
        <f>IFERROR(IF(OR(J1106=0,K1106=""),"",IF(E1106="Positivo",MIN(MAX(K1106/J1106,0),1.3),MIN(MAX(J1106/K1106,0),1.3))),"") </f>
        <v/>
      </c>
      <c r="M1106" s="14">
        <f>IFERROR(IF(OR(J1106=0,K1106=""),"",IF(E1106="Positivo",MAX(K1106/J1106,0),MAX(J1106/K1106,0))),"") </f>
        <v/>
      </c>
      <c r="N1106" s="5" t="inlineStr">
        <is>
          <t>$</t>
        </is>
      </c>
      <c r="O1106" s="5" t="inlineStr">
        <is>
          <t>$</t>
        </is>
      </c>
      <c r="P1106" s="5" t="n">
        <v>0</v>
      </c>
      <c r="Q1106" s="5" t="n">
        <v>0</v>
      </c>
      <c r="R1106" s="5" t="inlineStr">
        <is>
          <t>371-2024-12-31</t>
        </is>
      </c>
    </row>
    <row r="1107">
      <c r="A1107" s="5" t="n">
        <v>371</v>
      </c>
      <c r="B1107" s="5" t="inlineStr">
        <is>
          <t>Recaudación de fondos</t>
        </is>
      </c>
      <c r="C1107" s="5" t="inlineStr">
        <is>
          <t>Gestión de la Responsabilidad Social</t>
        </is>
      </c>
      <c r="D1107" s="5" t="inlineStr">
        <is>
          <t>Semestral</t>
        </is>
      </c>
      <c r="E1107" s="5" t="inlineStr">
        <is>
          <t>Positivo</t>
        </is>
      </c>
      <c r="F1107" s="107" t="n">
        <v>45838</v>
      </c>
      <c r="G1107" s="5" t="n">
        <v>2025</v>
      </c>
      <c r="H1107" s="5" t="inlineStr">
        <is>
          <t>Junio</t>
        </is>
      </c>
      <c r="I1107" s="6" t="inlineStr">
        <is>
          <t>2025-1</t>
        </is>
      </c>
      <c r="J1107" s="5" t="n">
        <v>100</v>
      </c>
      <c r="K1107" s="5" t="n">
        <v>73.69</v>
      </c>
      <c r="L1107" s="14">
        <f>IFERROR(IF(OR(J1107=0,K1107=""),"",IF(E1107="Positivo",MIN(MAX(K1107/J1107,0),1.3),MIN(MAX(J1107/K1107,0),1.3))),"") </f>
        <v/>
      </c>
      <c r="M1107" s="14">
        <f>IFERROR(IF(OR(J1107=0,K1107=""),"",IF(E1107="Positivo",MAX(K1107/J1107,0),MAX(J1107/K1107,0))),"") </f>
        <v/>
      </c>
      <c r="N1107" s="5" t="inlineStr">
        <is>
          <t>$</t>
        </is>
      </c>
      <c r="O1107" s="5" t="inlineStr">
        <is>
          <t>$</t>
        </is>
      </c>
      <c r="P1107" s="5" t="n">
        <v>0</v>
      </c>
      <c r="Q1107" s="5" t="n">
        <v>0</v>
      </c>
      <c r="R1107" s="5" t="inlineStr">
        <is>
          <t>371-2025-06-30</t>
        </is>
      </c>
    </row>
    <row r="1108">
      <c r="A1108" s="5" t="n">
        <v>371</v>
      </c>
      <c r="B1108" s="5" t="inlineStr">
        <is>
          <t>Recaudación de fondos</t>
        </is>
      </c>
      <c r="C1108" s="5" t="inlineStr">
        <is>
          <t>Gestión de la Responsabilidad Social</t>
        </is>
      </c>
      <c r="D1108" s="5" t="inlineStr">
        <is>
          <t>Trimestral</t>
        </is>
      </c>
      <c r="E1108" s="5" t="inlineStr">
        <is>
          <t>Positivo</t>
        </is>
      </c>
      <c r="F1108" s="107" t="n">
        <v>46022</v>
      </c>
      <c r="G1108" s="5" t="n">
        <v>2025</v>
      </c>
      <c r="H1108" s="5" t="inlineStr">
        <is>
          <t>Diciembre</t>
        </is>
      </c>
      <c r="I1108" s="6" t="inlineStr">
        <is>
          <t>2025-2</t>
        </is>
      </c>
      <c r="J1108" s="5" t="n">
        <v>100</v>
      </c>
      <c r="K1108" s="5" t="n">
        <v>83.42</v>
      </c>
      <c r="L1108" s="14">
        <f>IFERROR(IF(OR(J1108=0,K1108=""),"",IF(E1108="Positivo",MIN(MAX(K1108/J1108,0),1.3),MIN(MAX(J1108/K1108,0),1.3))),"") </f>
        <v/>
      </c>
      <c r="M1108" s="14">
        <f>IFERROR(IF(OR(J1108=0,K1108=""),"",IF(E1108="Positivo",MAX(K1108/J1108,0),MAX(J1108/K1108,0))),"") </f>
        <v/>
      </c>
      <c r="N1108" s="5" t="inlineStr">
        <is>
          <t>$</t>
        </is>
      </c>
      <c r="O1108" s="5" t="inlineStr">
        <is>
          <t>$</t>
        </is>
      </c>
      <c r="P1108" s="5" t="n">
        <v>0</v>
      </c>
      <c r="Q1108" s="5" t="n">
        <v>0</v>
      </c>
      <c r="R1108" s="5" t="inlineStr">
        <is>
          <t>371-2025-12-31</t>
        </is>
      </c>
    </row>
    <row r="1109">
      <c r="A1109" s="5" t="n">
        <v>372</v>
      </c>
      <c r="B1109" s="5" t="inlineStr">
        <is>
          <t>Satisfacción de los clientes corporativos Educación para toda la vida</t>
        </is>
      </c>
      <c r="C1109" s="5" t="inlineStr">
        <is>
          <t>Operación de Educación no Formal</t>
        </is>
      </c>
      <c r="D1109" s="5" t="inlineStr">
        <is>
          <t>Trimestral</t>
        </is>
      </c>
      <c r="E1109" s="5" t="inlineStr">
        <is>
          <t>Positivo</t>
        </is>
      </c>
      <c r="F1109" s="107" t="n">
        <v>45199</v>
      </c>
      <c r="G1109" s="5" t="n">
        <v>2023</v>
      </c>
      <c r="H1109" s="5" t="inlineStr">
        <is>
          <t>Septiembre</t>
        </is>
      </c>
      <c r="I1109" s="6" t="inlineStr">
        <is>
          <t>2023-2</t>
        </is>
      </c>
      <c r="J1109" s="5" t="n">
        <v>87</v>
      </c>
      <c r="K1109" s="5" t="n">
        <v>95.5</v>
      </c>
      <c r="L1109" s="14">
        <f>IFERROR(IF(OR(J1109=0,K1109=""),"",IF(E1109="Positivo",MIN(MAX(K1109/J1109,0),1.3),MIN(MAX(J1109/K1109,0),1.3))),"") </f>
        <v/>
      </c>
      <c r="M1109" s="14">
        <f>IFERROR(IF(OR(J1109=0,K1109=""),"",IF(E1109="Positivo",MAX(K1109/J1109,0),MAX(J1109/K1109,0))),"") </f>
        <v/>
      </c>
      <c r="N1109" s="5" t="inlineStr">
        <is>
          <t>%</t>
        </is>
      </c>
      <c r="O1109" s="5" t="inlineStr">
        <is>
          <t>%</t>
        </is>
      </c>
      <c r="P1109" s="5" t="n">
        <v>0</v>
      </c>
      <c r="Q1109" s="5" t="n">
        <v>0</v>
      </c>
      <c r="R1109" s="5" t="inlineStr">
        <is>
          <t>372-2023-09-30</t>
        </is>
      </c>
    </row>
    <row r="1110">
      <c r="A1110" s="5" t="n">
        <v>372</v>
      </c>
      <c r="B1110" s="5" t="inlineStr">
        <is>
          <t>Satisfacción de los clientes corporativos Educación para toda la vida</t>
        </is>
      </c>
      <c r="C1110" s="5" t="inlineStr">
        <is>
          <t>Operación de Educación no Formal</t>
        </is>
      </c>
      <c r="D1110" s="5" t="inlineStr">
        <is>
          <t>Trimestral</t>
        </is>
      </c>
      <c r="E1110" s="5" t="inlineStr">
        <is>
          <t>Positivo</t>
        </is>
      </c>
      <c r="F1110" s="107" t="n">
        <v>45291</v>
      </c>
      <c r="G1110" s="5" t="n">
        <v>2023</v>
      </c>
      <c r="H1110" s="5" t="inlineStr">
        <is>
          <t>Diciembre</t>
        </is>
      </c>
      <c r="I1110" s="6" t="inlineStr">
        <is>
          <t>2023-2</t>
        </is>
      </c>
      <c r="J1110" s="5" t="n">
        <v>87</v>
      </c>
      <c r="K1110" s="5" t="n">
        <v>95.5</v>
      </c>
      <c r="L1110" s="14">
        <f>IFERROR(IF(OR(J1110=0,K1110=""),"",IF(E1110="Positivo",MIN(MAX(K1110/J1110,0),1.3),MIN(MAX(J1110/K1110,0),1.3))),"") </f>
        <v/>
      </c>
      <c r="M1110" s="14">
        <f>IFERROR(IF(OR(J1110=0,K1110=""),"",IF(E1110="Positivo",MAX(K1110/J1110,0),MAX(J1110/K1110,0))),"") </f>
        <v/>
      </c>
      <c r="N1110" s="5" t="inlineStr">
        <is>
          <t>%</t>
        </is>
      </c>
      <c r="O1110" s="5" t="inlineStr">
        <is>
          <t>%</t>
        </is>
      </c>
      <c r="P1110" s="5" t="n">
        <v>0</v>
      </c>
      <c r="Q1110" s="5" t="n">
        <v>0</v>
      </c>
      <c r="R1110" s="5" t="inlineStr">
        <is>
          <t>372-2023-12-31</t>
        </is>
      </c>
    </row>
    <row r="1111">
      <c r="A1111" s="5" t="n">
        <v>372</v>
      </c>
      <c r="B1111" s="5" t="inlineStr">
        <is>
          <t>Satisfacción de los clientes corporativos Educación para toda la vida</t>
        </is>
      </c>
      <c r="C1111" s="5" t="inlineStr">
        <is>
          <t>Operación de Educación no Formal</t>
        </is>
      </c>
      <c r="D1111" s="5" t="inlineStr">
        <is>
          <t>Trimestral</t>
        </is>
      </c>
      <c r="E1111" s="5" t="inlineStr">
        <is>
          <t>Positivo</t>
        </is>
      </c>
      <c r="F1111" s="107" t="n">
        <v>45473</v>
      </c>
      <c r="G1111" s="5" t="n">
        <v>2024</v>
      </c>
      <c r="H1111" s="5" t="inlineStr">
        <is>
          <t>Junio</t>
        </is>
      </c>
      <c r="I1111" s="6" t="inlineStr">
        <is>
          <t>2024-1</t>
        </is>
      </c>
      <c r="J1111" s="5" t="n">
        <v>87</v>
      </c>
      <c r="K1111" s="5" t="n">
        <v>91.5</v>
      </c>
      <c r="L1111" s="14">
        <f>IFERROR(IF(OR(J1111=0,K1111=""),"",IF(E1111="Positivo",MIN(MAX(K1111/J1111,0),1.3),MIN(MAX(J1111/K1111,0),1.3))),"") </f>
        <v/>
      </c>
      <c r="M1111" s="14">
        <f>IFERROR(IF(OR(J1111=0,K1111=""),"",IF(E1111="Positivo",MAX(K1111/J1111,0),MAX(J1111/K1111,0))),"") </f>
        <v/>
      </c>
      <c r="N1111" s="5" t="inlineStr">
        <is>
          <t>%</t>
        </is>
      </c>
      <c r="O1111" s="5" t="inlineStr">
        <is>
          <t>%</t>
        </is>
      </c>
      <c r="P1111" s="5" t="n">
        <v>0</v>
      </c>
      <c r="Q1111" s="5" t="n">
        <v>0</v>
      </c>
      <c r="R1111" s="5" t="inlineStr">
        <is>
          <t>372-2024-06-30</t>
        </is>
      </c>
    </row>
    <row r="1112">
      <c r="A1112" s="5" t="n">
        <v>372</v>
      </c>
      <c r="B1112" s="5" t="inlineStr">
        <is>
          <t>Satisfacción de los clientes corporativos Educación para toda la vida</t>
        </is>
      </c>
      <c r="C1112" s="5" t="inlineStr">
        <is>
          <t>Operación de Educación no Formal</t>
        </is>
      </c>
      <c r="D1112" s="5" t="inlineStr">
        <is>
          <t>Trimestral</t>
        </is>
      </c>
      <c r="E1112" s="5" t="inlineStr">
        <is>
          <t>Positivo</t>
        </is>
      </c>
      <c r="F1112" s="107" t="n">
        <v>45657</v>
      </c>
      <c r="G1112" s="5" t="n">
        <v>2024</v>
      </c>
      <c r="H1112" s="5" t="inlineStr">
        <is>
          <t>Diciembre</t>
        </is>
      </c>
      <c r="I1112" s="6" t="inlineStr">
        <is>
          <t>2024-2</t>
        </is>
      </c>
      <c r="J1112" s="5" t="n">
        <v>87</v>
      </c>
      <c r="K1112" s="5" t="n">
        <v>92</v>
      </c>
      <c r="L1112" s="14">
        <f>IFERROR(IF(OR(J1112=0,K1112=""),"",IF(E1112="Positivo",MIN(MAX(K1112/J1112,0),1.3),MIN(MAX(J1112/K1112,0),1.3))),"") </f>
        <v/>
      </c>
      <c r="M1112" s="14">
        <f>IFERROR(IF(OR(J1112=0,K1112=""),"",IF(E1112="Positivo",MAX(K1112/J1112,0),MAX(J1112/K1112,0))),"") </f>
        <v/>
      </c>
      <c r="N1112" s="5" t="inlineStr">
        <is>
          <t>%</t>
        </is>
      </c>
      <c r="O1112" s="5" t="inlineStr">
        <is>
          <t>%</t>
        </is>
      </c>
      <c r="P1112" s="5" t="n">
        <v>0</v>
      </c>
      <c r="Q1112" s="5" t="n">
        <v>0</v>
      </c>
      <c r="R1112" s="5" t="inlineStr">
        <is>
          <t>372-2024-12-31</t>
        </is>
      </c>
    </row>
    <row r="1113">
      <c r="A1113" s="5" t="n">
        <v>372</v>
      </c>
      <c r="B1113" s="5" t="inlineStr">
        <is>
          <t>Satisfacción de los clientes corporativos Educación para toda la vida</t>
        </is>
      </c>
      <c r="C1113" s="5" t="inlineStr">
        <is>
          <t>Operación de Educación no Formal</t>
        </is>
      </c>
      <c r="D1113" s="5" t="inlineStr">
        <is>
          <t>Trimestral</t>
        </is>
      </c>
      <c r="E1113" s="5" t="inlineStr">
        <is>
          <t>Positivo</t>
        </is>
      </c>
      <c r="F1113" s="107" t="n">
        <v>45838</v>
      </c>
      <c r="G1113" s="5" t="n">
        <v>2025</v>
      </c>
      <c r="H1113" s="5" t="inlineStr">
        <is>
          <t>Junio</t>
        </is>
      </c>
      <c r="I1113" s="6" t="inlineStr">
        <is>
          <t>2025-1</t>
        </is>
      </c>
      <c r="J1113" s="5" t="n">
        <v>90</v>
      </c>
      <c r="K1113" s="10" t="n">
        <v>94</v>
      </c>
      <c r="L1113" s="14">
        <f>IFERROR(IF(OR(J1113=0,K1113=""),"",IF(E1113="Positivo",MIN(MAX(K1113/J1113,0),1.3),MIN(MAX(J1113/K1113,0),1.3))),"") </f>
        <v/>
      </c>
      <c r="M1113" s="14">
        <f>IFERROR(IF(OR(J1113=0,K1113=""),"",IF(E1113="Positivo",MAX(K1113/J1113,0),MAX(J1113/K1113,0))),"") </f>
        <v/>
      </c>
      <c r="N1113" s="5" t="inlineStr">
        <is>
          <t>%</t>
        </is>
      </c>
      <c r="O1113" s="5" t="inlineStr">
        <is>
          <t>%</t>
        </is>
      </c>
      <c r="P1113" s="5" t="n">
        <v>0</v>
      </c>
      <c r="Q1113" s="5" t="n">
        <v>0</v>
      </c>
      <c r="R1113" s="5" t="inlineStr">
        <is>
          <t>372-2025-06-30</t>
        </is>
      </c>
    </row>
    <row r="1114">
      <c r="A1114" s="5" t="n">
        <v>372</v>
      </c>
      <c r="B1114" s="5" t="inlineStr">
        <is>
          <t>Satisfacción de los clientes corporativos Educación para toda la vida</t>
        </is>
      </c>
      <c r="C1114" s="5" t="inlineStr">
        <is>
          <t>Operación de nuevos negocios y CI</t>
        </is>
      </c>
      <c r="D1114" s="5" t="inlineStr">
        <is>
          <t>Semestral</t>
        </is>
      </c>
      <c r="E1114" s="5" t="inlineStr">
        <is>
          <t>Positivo</t>
        </is>
      </c>
      <c r="F1114" s="107" t="n">
        <v>46022</v>
      </c>
      <c r="G1114" s="5" t="n">
        <v>2025</v>
      </c>
      <c r="H1114" s="5" t="inlineStr">
        <is>
          <t>Diciembre</t>
        </is>
      </c>
      <c r="I1114" s="6" t="inlineStr">
        <is>
          <t>2025-2</t>
        </is>
      </c>
      <c r="J1114" s="5" t="n">
        <v>90</v>
      </c>
      <c r="K1114" s="10" t="n">
        <v>97</v>
      </c>
      <c r="L1114" s="14">
        <f>IFERROR(IF(OR(J1114=0,K1114=""),"",IF(E1114="Positivo",MIN(MAX(K1114/J1114,0),1.3),MIN(MAX(J1114/K1114,0),1.3))),"") </f>
        <v/>
      </c>
      <c r="M1114" s="14">
        <f>IFERROR(IF(OR(J1114=0,K1114=""),"",IF(E1114="Positivo",MAX(K1114/J1114,0),MAX(J1114/K1114,0))),"") </f>
        <v/>
      </c>
      <c r="N1114" s="5" t="inlineStr">
        <is>
          <t>%</t>
        </is>
      </c>
      <c r="O1114" s="5" t="inlineStr">
        <is>
          <t>%</t>
        </is>
      </c>
      <c r="P1114" s="5" t="n">
        <v>0</v>
      </c>
      <c r="Q1114" s="5" t="n">
        <v>0</v>
      </c>
      <c r="R1114" s="5" t="inlineStr">
        <is>
          <t>372-2025-12-31</t>
        </is>
      </c>
    </row>
    <row r="1115">
      <c r="A1115" s="26" t="n">
        <v>373</v>
      </c>
      <c r="B1115" s="5" t="inlineStr">
        <is>
          <t>Cumplimiento de planes anuales por líneas</t>
        </is>
      </c>
      <c r="C1115" s="5" t="inlineStr">
        <is>
          <t>Planeación Estratégica</t>
        </is>
      </c>
      <c r="D1115" s="5" t="inlineStr">
        <is>
          <t>Trimestral</t>
        </is>
      </c>
      <c r="E1115" s="5" t="inlineStr">
        <is>
          <t>Positivo</t>
        </is>
      </c>
      <c r="F1115" s="107" t="n">
        <v>45016</v>
      </c>
      <c r="G1115" s="15" t="n">
        <v>2023</v>
      </c>
      <c r="H1115" s="6" t="inlineStr">
        <is>
          <t>Marzo</t>
        </is>
      </c>
      <c r="I1115" s="6" t="inlineStr">
        <is>
          <t>2023-1</t>
        </is>
      </c>
      <c r="J1115" s="5" t="n">
        <v>100</v>
      </c>
      <c r="K1115" s="5" t="n">
        <v>53.585833333335</v>
      </c>
      <c r="L1115" s="14">
        <f>IFERROR(IF(OR(J1115=0,K1115=""),"",IF(E1115="Positivo",MIN(MAX(K1115/J1115,0),1.0),MIN(MAX(J1115/K1115,0),1.0))),"") </f>
        <v/>
      </c>
      <c r="M1115" s="14">
        <f>IFERROR(IF(OR(J1115=0,K1115=""),"",IF(E1115="Positivo",MAX(K1115/J1115,0),MAX(J1115/K1115,0))),"") </f>
        <v/>
      </c>
      <c r="N1115" s="5" t="inlineStr">
        <is>
          <t>%</t>
        </is>
      </c>
      <c r="O1115" s="5" t="inlineStr">
        <is>
          <t>%</t>
        </is>
      </c>
      <c r="P1115" s="5" t="n">
        <v>0</v>
      </c>
      <c r="Q1115" s="5" t="n">
        <v>0</v>
      </c>
      <c r="R1115" s="5" t="inlineStr">
        <is>
          <t>373-2023-03-31</t>
        </is>
      </c>
    </row>
    <row r="1116">
      <c r="A1116" s="26" t="n">
        <v>373</v>
      </c>
      <c r="B1116" s="5" t="inlineStr">
        <is>
          <t>Cumplimiento de planes anuales por líneas</t>
        </is>
      </c>
      <c r="C1116" s="5" t="inlineStr">
        <is>
          <t>Planeación Estratégica</t>
        </is>
      </c>
      <c r="D1116" s="5" t="inlineStr">
        <is>
          <t>Trimestral</t>
        </is>
      </c>
      <c r="E1116" s="5" t="inlineStr">
        <is>
          <t>Positivo</t>
        </is>
      </c>
      <c r="F1116" s="107" t="n">
        <v>45107</v>
      </c>
      <c r="G1116" s="15" t="n">
        <v>2023</v>
      </c>
      <c r="H1116" s="6" t="inlineStr">
        <is>
          <t>Junio</t>
        </is>
      </c>
      <c r="I1116" s="6" t="inlineStr">
        <is>
          <t>2023-1</t>
        </is>
      </c>
      <c r="J1116" s="5" t="n">
        <v>100</v>
      </c>
      <c r="K1116" s="5" t="n">
        <v>53.585833333335</v>
      </c>
      <c r="L1116" s="14">
        <f>IFERROR(IF(OR(J1116=0,K1116=""),"",IF(E1116="Positivo",MIN(MAX(K1116/J1116,0),1.0),MIN(MAX(J1116/K1116,0),1.0))),"") </f>
        <v/>
      </c>
      <c r="M1116" s="14">
        <f>IFERROR(IF(OR(J1116=0,K1116=""),"",IF(E1116="Positivo",MAX(K1116/J1116,0),MAX(J1116/K1116,0))),"") </f>
        <v/>
      </c>
      <c r="N1116" s="5" t="inlineStr">
        <is>
          <t>%</t>
        </is>
      </c>
      <c r="O1116" s="5" t="inlineStr">
        <is>
          <t>%</t>
        </is>
      </c>
      <c r="P1116" s="5" t="n">
        <v>0</v>
      </c>
      <c r="Q1116" s="5" t="n">
        <v>0</v>
      </c>
      <c r="R1116" s="5" t="inlineStr">
        <is>
          <t>373-2023-06-30</t>
        </is>
      </c>
    </row>
    <row r="1117">
      <c r="A1117" s="5" t="n">
        <v>373</v>
      </c>
      <c r="B1117" s="5" t="inlineStr">
        <is>
          <t>Cumplimiento de planes anuales por líneas</t>
        </is>
      </c>
      <c r="C1117" s="5" t="inlineStr">
        <is>
          <t>Planeación Estratégica</t>
        </is>
      </c>
      <c r="D1117" s="5" t="inlineStr">
        <is>
          <t>Trimestral</t>
        </is>
      </c>
      <c r="E1117" s="5" t="inlineStr">
        <is>
          <t>Positivo</t>
        </is>
      </c>
      <c r="F1117" s="107" t="n">
        <v>45199</v>
      </c>
      <c r="G1117" s="15" t="n">
        <v>2023</v>
      </c>
      <c r="H1117" s="6" t="inlineStr">
        <is>
          <t>Septiembre</t>
        </is>
      </c>
      <c r="I1117" s="6" t="inlineStr">
        <is>
          <t>2023-2</t>
        </is>
      </c>
      <c r="J1117" s="5" t="n">
        <v>100</v>
      </c>
      <c r="K1117" s="5" t="n">
        <v>94.33750000000001</v>
      </c>
      <c r="L1117" s="14">
        <f>IFERROR(IF(OR(J1117=0,K1117=""),"",IF(E1117="Positivo",MIN(MAX(K1117/J1117,0),1.0),MIN(MAX(J1117/K1117,0),1.0))),"") </f>
        <v/>
      </c>
      <c r="M1117" s="14">
        <f>IFERROR(IF(OR(J1117=0,K1117=""),"",IF(E1117="Positivo",MAX(K1117/J1117,0),MAX(J1117/K1117,0))),"") </f>
        <v/>
      </c>
      <c r="N1117" s="5" t="inlineStr">
        <is>
          <t>%</t>
        </is>
      </c>
      <c r="O1117" s="5" t="inlineStr">
        <is>
          <t>%</t>
        </is>
      </c>
      <c r="P1117" s="5" t="n">
        <v>0</v>
      </c>
      <c r="Q1117" s="5" t="n">
        <v>0</v>
      </c>
      <c r="R1117" s="5" t="inlineStr">
        <is>
          <t>373-2023-09-30</t>
        </is>
      </c>
    </row>
    <row r="1118">
      <c r="A1118" s="5" t="n">
        <v>373</v>
      </c>
      <c r="B1118" s="5" t="inlineStr">
        <is>
          <t>Cumplimiento de planes anuales por líneas</t>
        </is>
      </c>
      <c r="C1118" s="5" t="inlineStr">
        <is>
          <t>Planeación Estratégica</t>
        </is>
      </c>
      <c r="D1118" s="5" t="inlineStr">
        <is>
          <t>Trimestral</t>
        </is>
      </c>
      <c r="E1118" s="5" t="inlineStr">
        <is>
          <t>Positivo</t>
        </is>
      </c>
      <c r="F1118" s="107" t="n">
        <v>45291</v>
      </c>
      <c r="G1118" s="15" t="n">
        <v>2023</v>
      </c>
      <c r="H1118" s="6" t="inlineStr">
        <is>
          <t>Diciembre</t>
        </is>
      </c>
      <c r="I1118" s="6" t="inlineStr">
        <is>
          <t>2023-2</t>
        </is>
      </c>
      <c r="J1118" s="5" t="n">
        <v>100</v>
      </c>
      <c r="K1118" s="5" t="n">
        <v>94.33750000000001</v>
      </c>
      <c r="L1118" s="14">
        <f>IFERROR(IF(OR(J1118=0,K1118=""),"",IF(E1118="Positivo",MIN(MAX(K1118/J1118,0),1.0),MIN(MAX(J1118/K1118,0),1.0))),"") </f>
        <v/>
      </c>
      <c r="M1118" s="14">
        <f>IFERROR(IF(OR(J1118=0,K1118=""),"",IF(E1118="Positivo",MAX(K1118/J1118,0),MAX(J1118/K1118,0))),"") </f>
        <v/>
      </c>
      <c r="N1118" s="5" t="inlineStr">
        <is>
          <t>%</t>
        </is>
      </c>
      <c r="O1118" s="5" t="inlineStr">
        <is>
          <t>%</t>
        </is>
      </c>
      <c r="P1118" s="5" t="n">
        <v>0</v>
      </c>
      <c r="Q1118" s="5" t="n">
        <v>0</v>
      </c>
      <c r="R1118" s="5" t="inlineStr">
        <is>
          <t>373-2023-12-31</t>
        </is>
      </c>
    </row>
    <row r="1119">
      <c r="A1119" s="5" t="n">
        <v>373</v>
      </c>
      <c r="B1119" s="5" t="inlineStr">
        <is>
          <t>Cumplimiento de planes anuales por líneas</t>
        </is>
      </c>
      <c r="C1119" s="5" t="inlineStr">
        <is>
          <t>Planeación Estratégica</t>
        </is>
      </c>
      <c r="D1119" s="5" t="inlineStr">
        <is>
          <t>Trimestral</t>
        </is>
      </c>
      <c r="E1119" s="5" t="inlineStr">
        <is>
          <t>Positivo</t>
        </is>
      </c>
      <c r="F1119" s="107" t="n">
        <v>45473</v>
      </c>
      <c r="G1119" s="15" t="n">
        <v>2024</v>
      </c>
      <c r="H1119" s="6" t="inlineStr">
        <is>
          <t>Junio</t>
        </is>
      </c>
      <c r="I1119" s="6" t="inlineStr">
        <is>
          <t>2024-1</t>
        </is>
      </c>
      <c r="J1119" s="5" t="n">
        <v>100</v>
      </c>
      <c r="K1119" s="5" t="n">
        <v>97.91</v>
      </c>
      <c r="L1119" s="14">
        <f>IFERROR(IF(OR(J1119=0,K1119=""),"",IF(E1119="Positivo",MIN(MAX(K1119/J1119,0),1.0),MIN(MAX(J1119/K1119,0),1.0))),"") </f>
        <v/>
      </c>
      <c r="M1119" s="14">
        <f>IFERROR(IF(OR(J1119=0,K1119=""),"",IF(E1119="Positivo",MAX(K1119/J1119,0),MAX(J1119/K1119,0))),"") </f>
        <v/>
      </c>
      <c r="N1119" s="5" t="n"/>
      <c r="O1119" s="5" t="n"/>
      <c r="P1119" s="5" t="n">
        <v>0</v>
      </c>
      <c r="Q1119" s="5" t="n">
        <v>0</v>
      </c>
      <c r="R1119" s="5" t="inlineStr">
        <is>
          <t>373-2024-06-30</t>
        </is>
      </c>
    </row>
    <row r="1120">
      <c r="A1120" s="5" t="n">
        <v>373</v>
      </c>
      <c r="B1120" s="5" t="inlineStr">
        <is>
          <t>Cumplimiento de planes anuales por líneas</t>
        </is>
      </c>
      <c r="C1120" s="5" t="inlineStr">
        <is>
          <t>Planeación Estratégica</t>
        </is>
      </c>
      <c r="D1120" s="5" t="inlineStr">
        <is>
          <t>Trimestral</t>
        </is>
      </c>
      <c r="E1120" s="5" t="inlineStr">
        <is>
          <t>Positivo</t>
        </is>
      </c>
      <c r="F1120" s="107" t="n">
        <v>45657</v>
      </c>
      <c r="G1120" s="15" t="n">
        <v>2024</v>
      </c>
      <c r="H1120" s="6" t="inlineStr">
        <is>
          <t>Diciembre</t>
        </is>
      </c>
      <c r="I1120" s="6" t="inlineStr">
        <is>
          <t>2024-2</t>
        </is>
      </c>
      <c r="J1120" s="5" t="n">
        <v>100</v>
      </c>
      <c r="K1120" s="5" t="n">
        <v>99.14</v>
      </c>
      <c r="L1120" s="14">
        <f>IFERROR(IF(OR(J1120=0,K1120=""),"",IF(E1120="Positivo",MIN(MAX(K1120/J1120,0),1.0),MIN(MAX(J1120/K1120,0),1.0))),"") </f>
        <v/>
      </c>
      <c r="M1120" s="14">
        <f>IFERROR(IF(OR(J1120=0,K1120=""),"",IF(E1120="Positivo",MAX(K1120/J1120,0),MAX(J1120/K1120,0))),"") </f>
        <v/>
      </c>
      <c r="N1120" s="5" t="n"/>
      <c r="O1120" s="5" t="n"/>
      <c r="P1120" s="5" t="n">
        <v>0</v>
      </c>
      <c r="Q1120" s="5" t="n">
        <v>0</v>
      </c>
      <c r="R1120" s="5" t="inlineStr">
        <is>
          <t>373-2024-12-31</t>
        </is>
      </c>
    </row>
    <row r="1121">
      <c r="A1121" s="5" t="n">
        <v>373</v>
      </c>
      <c r="B1121" s="5" t="inlineStr">
        <is>
          <t>Cumplimiento de planes anuales por líneas</t>
        </is>
      </c>
      <c r="C1121" s="5" t="inlineStr">
        <is>
          <t>Planeación Estratégica</t>
        </is>
      </c>
      <c r="D1121" s="5" t="inlineStr">
        <is>
          <t>Semestral</t>
        </is>
      </c>
      <c r="E1121" s="5" t="inlineStr">
        <is>
          <t>Positivo</t>
        </is>
      </c>
      <c r="F1121" s="107" t="n">
        <v>45838</v>
      </c>
      <c r="G1121" s="15" t="n">
        <v>2025</v>
      </c>
      <c r="H1121" s="6" t="inlineStr">
        <is>
          <t>Junio</t>
        </is>
      </c>
      <c r="I1121" s="6" t="inlineStr">
        <is>
          <t>2025-1</t>
        </is>
      </c>
      <c r="J1121" s="5" t="n">
        <v>100</v>
      </c>
      <c r="K1121" s="5" t="n">
        <v>104.605</v>
      </c>
      <c r="L1121" s="14">
        <f>IFERROR(IF(OR(J1121=0,K1121=""),"",IF(E1121="Positivo",MIN(MAX(K1121/J1121,0),1.0),MIN(MAX(J1121/K1121,0),1.0))),"") </f>
        <v/>
      </c>
      <c r="M1121" s="14">
        <f>IFERROR(IF(OR(J1121=0,K1121=""),"",IF(E1121="Positivo",MAX(K1121/J1121,0),MAX(J1121/K1121,0))),"") </f>
        <v/>
      </c>
      <c r="N1121" s="5" t="inlineStr">
        <is>
          <t>%</t>
        </is>
      </c>
      <c r="O1121" s="5" t="inlineStr">
        <is>
          <t>%</t>
        </is>
      </c>
      <c r="P1121" s="5" t="n">
        <v>0</v>
      </c>
      <c r="Q1121" s="5" t="n">
        <v>0</v>
      </c>
      <c r="R1121" s="5" t="inlineStr">
        <is>
          <t>373-2025-06-30</t>
        </is>
      </c>
    </row>
    <row r="1122">
      <c r="A1122" s="5" t="n">
        <v>373</v>
      </c>
      <c r="B1122" s="5" t="inlineStr">
        <is>
          <t>Cumplimiento de planes anuales por líneas</t>
        </is>
      </c>
      <c r="C1122" s="5" t="inlineStr">
        <is>
          <t>Planeación Estratégica</t>
        </is>
      </c>
      <c r="D1122" s="5" t="inlineStr">
        <is>
          <t>Semestral</t>
        </is>
      </c>
      <c r="E1122" s="5" t="inlineStr">
        <is>
          <t>Positivo</t>
        </is>
      </c>
      <c r="F1122" s="107" t="n">
        <v>46022</v>
      </c>
      <c r="G1122" s="15" t="n">
        <v>2025</v>
      </c>
      <c r="H1122" s="6" t="inlineStr">
        <is>
          <t>Diciembre</t>
        </is>
      </c>
      <c r="I1122" s="6" t="inlineStr">
        <is>
          <t>2025-2</t>
        </is>
      </c>
      <c r="J1122" s="5" t="n">
        <v>100</v>
      </c>
      <c r="K1122" s="5" t="n">
        <v>97.82499999999999</v>
      </c>
      <c r="L1122" s="14">
        <f>IFERROR(IF(OR(J1122=0,K1122=""),"",IF(E1122="Positivo",MIN(MAX(K1122/J1122,0),1.0),MIN(MAX(J1122/K1122,0),1.0))),"") </f>
        <v/>
      </c>
      <c r="M1122" s="14">
        <f>IFERROR(IF(OR(J1122=0,K1122=""),"",IF(E1122="Positivo",MAX(K1122/J1122,0),MAX(J1122/K1122,0))),"") </f>
        <v/>
      </c>
      <c r="N1122" s="5" t="inlineStr">
        <is>
          <t>%</t>
        </is>
      </c>
      <c r="O1122" s="5" t="inlineStr">
        <is>
          <t>%</t>
        </is>
      </c>
      <c r="P1122" s="5" t="n">
        <v>0</v>
      </c>
      <c r="Q1122" s="5" t="n">
        <v>0</v>
      </c>
      <c r="R1122" s="5" t="inlineStr">
        <is>
          <t>373-2025-12-31</t>
        </is>
      </c>
    </row>
    <row r="1123">
      <c r="A1123" s="5" t="n">
        <v>374</v>
      </c>
      <c r="B1123" s="5" t="inlineStr">
        <is>
          <t>Disponibilidad de máster modalidad virtual</t>
        </is>
      </c>
      <c r="C1123" s="5" t="inlineStr">
        <is>
          <t>Operaciones Académica pregrado y posgrado virtual</t>
        </is>
      </c>
      <c r="D1123" s="5" t="inlineStr">
        <is>
          <t>Semestral</t>
        </is>
      </c>
      <c r="E1123" s="5" t="inlineStr">
        <is>
          <t>Positivo</t>
        </is>
      </c>
      <c r="F1123" s="107" t="n">
        <v>45291</v>
      </c>
      <c r="G1123" s="15" t="n">
        <v>2023</v>
      </c>
      <c r="H1123" s="6" t="inlineStr">
        <is>
          <t>Diciembre</t>
        </is>
      </c>
      <c r="I1123" s="6" t="inlineStr">
        <is>
          <t>2023-2</t>
        </is>
      </c>
      <c r="J1123" s="5" t="n">
        <v>100</v>
      </c>
      <c r="K1123" s="5" t="n">
        <v>100</v>
      </c>
      <c r="L1123" s="14">
        <f>IFERROR(IF(OR(J1123=0,K1123=""),"",IF(E1123="Positivo",MIN(MAX(K1123/J1123,0),1.3),MIN(MAX(J1123/K1123,0),1.3))),"") </f>
        <v/>
      </c>
      <c r="M1123" s="14">
        <f>IFERROR(IF(OR(J1123=0,K1123=""),"",IF(E1123="Positivo",MAX(K1123/J1123,0),MAX(J1123/K1123,0))),"") </f>
        <v/>
      </c>
      <c r="N1123" s="5" t="n"/>
      <c r="O1123" s="5" t="n"/>
      <c r="P1123" s="5" t="n">
        <v>0</v>
      </c>
      <c r="Q1123" s="5" t="n">
        <v>0</v>
      </c>
      <c r="R1123" s="5" t="inlineStr">
        <is>
          <t>374-2023-12-31</t>
        </is>
      </c>
    </row>
    <row r="1124">
      <c r="A1124" s="5" t="n">
        <v>375</v>
      </c>
      <c r="B1124" s="5" t="inlineStr">
        <is>
          <t>Disponibilidad de catálogo de asignaturas pregrado y posgrado presencial</t>
        </is>
      </c>
      <c r="C1124" s="5" t="inlineStr">
        <is>
          <t>Operaciones Académicas</t>
        </is>
      </c>
      <c r="D1124" s="5" t="inlineStr">
        <is>
          <t>Trimestral</t>
        </is>
      </c>
      <c r="E1124" s="5" t="inlineStr">
        <is>
          <t>Positivo</t>
        </is>
      </c>
      <c r="F1124" s="107" t="n">
        <v>45107</v>
      </c>
      <c r="G1124" s="15" t="n">
        <v>2023</v>
      </c>
      <c r="H1124" s="6" t="inlineStr">
        <is>
          <t>Junio</t>
        </is>
      </c>
      <c r="I1124" s="6" t="inlineStr">
        <is>
          <t>2023-1</t>
        </is>
      </c>
      <c r="J1124" s="5" t="n">
        <v>100</v>
      </c>
      <c r="K1124" s="5" t="n">
        <v>0</v>
      </c>
      <c r="L1124" s="14">
        <f>IFERROR(IF(OR(J1124=0,K1124=""),"",IF(E1124="Positivo",MIN(MAX(K1124/J1124,0),1.3),MIN(MAX(J1124/K1124,0),1.3))),"") </f>
        <v/>
      </c>
      <c r="M1124" s="14">
        <f>IFERROR(IF(OR(J1124=0,K1124=""),"",IF(E1124="Positivo",MAX(K1124/J1124,0),MAX(J1124/K1124,0))),"") </f>
        <v/>
      </c>
      <c r="N1124" s="5" t="inlineStr">
        <is>
          <t>%</t>
        </is>
      </c>
      <c r="O1124" s="5" t="inlineStr">
        <is>
          <t>%</t>
        </is>
      </c>
      <c r="P1124" s="5" t="n">
        <v>0</v>
      </c>
      <c r="Q1124" s="5" t="n">
        <v>0</v>
      </c>
      <c r="R1124" s="5" t="inlineStr">
        <is>
          <t>375-2023-06-30</t>
        </is>
      </c>
    </row>
    <row r="1125">
      <c r="A1125" s="5" t="n">
        <v>375</v>
      </c>
      <c r="B1125" s="5" t="inlineStr">
        <is>
          <t>Disponibilidad de catálogo de asignaturas pregrado y posgrado presencial</t>
        </is>
      </c>
      <c r="C1125" s="5" t="inlineStr">
        <is>
          <t>Operaciones Académica pregrado y posgrado presencial.</t>
        </is>
      </c>
      <c r="D1125" s="5" t="inlineStr">
        <is>
          <t>Semestral</t>
        </is>
      </c>
      <c r="E1125" s="5" t="inlineStr">
        <is>
          <t>Positivo</t>
        </is>
      </c>
      <c r="F1125" s="107" t="n">
        <v>45291</v>
      </c>
      <c r="G1125" s="15" t="n">
        <v>2023</v>
      </c>
      <c r="H1125" s="6" t="inlineStr">
        <is>
          <t>Diciembre</t>
        </is>
      </c>
      <c r="I1125" s="6" t="inlineStr">
        <is>
          <t>2023-2</t>
        </is>
      </c>
      <c r="J1125" s="5" t="n">
        <v>100</v>
      </c>
      <c r="K1125" s="10" t="n">
        <v>100</v>
      </c>
      <c r="L1125" s="14">
        <f>IFERROR(IF(OR(J1125=0,K1125=""),"",IF(E1125="Positivo",MIN(MAX(K1125/J1125,0),1.3),MIN(MAX(J1125/K1125,0),1.3))),"") </f>
        <v/>
      </c>
      <c r="M1125" s="14">
        <f>IFERROR(IF(OR(J1125=0,K1125=""),"",IF(E1125="Positivo",MAX(K1125/J1125,0),MAX(J1125/K1125,0))),"") </f>
        <v/>
      </c>
      <c r="N1125" s="5" t="inlineStr">
        <is>
          <t>%</t>
        </is>
      </c>
      <c r="O1125" s="5" t="inlineStr">
        <is>
          <t>%</t>
        </is>
      </c>
      <c r="P1125" s="5" t="n">
        <v>0</v>
      </c>
      <c r="Q1125" s="5" t="n">
        <v>0</v>
      </c>
      <c r="R1125" s="5" t="inlineStr">
        <is>
          <t>375-2023-12-31</t>
        </is>
      </c>
    </row>
    <row r="1126">
      <c r="A1126" s="5" t="n">
        <v>375</v>
      </c>
      <c r="B1126" s="5" t="inlineStr">
        <is>
          <t>Disponibilidad de catálogo de asignaturas pregrado y posgrado presencial</t>
        </is>
      </c>
      <c r="C1126" s="5" t="inlineStr">
        <is>
          <t>Operaciones Académicas</t>
        </is>
      </c>
      <c r="D1126" s="5" t="inlineStr">
        <is>
          <t>Semestral</t>
        </is>
      </c>
      <c r="E1126" s="5" t="inlineStr">
        <is>
          <t>Positivo</t>
        </is>
      </c>
      <c r="F1126" s="107" t="n">
        <v>45473</v>
      </c>
      <c r="G1126" s="15" t="n">
        <v>2024</v>
      </c>
      <c r="H1126" s="6" t="inlineStr">
        <is>
          <t>Junio</t>
        </is>
      </c>
      <c r="I1126" s="6" t="inlineStr">
        <is>
          <t>2024-1</t>
        </is>
      </c>
      <c r="J1126" s="5" t="n">
        <v>100</v>
      </c>
      <c r="K1126" s="5" t="n">
        <v>100</v>
      </c>
      <c r="L1126" s="14">
        <f>IFERROR(IF(OR(J1126=0,K1126=""),"",IF(E1126="Positivo",MIN(MAX(K1126/J1126,0),1.3),MIN(MAX(J1126/K1126,0),1.3))),"") </f>
        <v/>
      </c>
      <c r="M1126" s="14">
        <f>IFERROR(IF(OR(J1126=0,K1126=""),"",IF(E1126="Positivo",MAX(K1126/J1126,0),MAX(J1126/K1126,0))),"") </f>
        <v/>
      </c>
      <c r="N1126" s="5" t="inlineStr">
        <is>
          <t>%</t>
        </is>
      </c>
      <c r="O1126" s="5" t="inlineStr">
        <is>
          <t>%</t>
        </is>
      </c>
      <c r="P1126" s="5" t="n">
        <v>0</v>
      </c>
      <c r="Q1126" s="5" t="n">
        <v>0</v>
      </c>
      <c r="R1126" s="5" t="inlineStr">
        <is>
          <t>375-2024-06-30</t>
        </is>
      </c>
    </row>
    <row r="1127">
      <c r="A1127" s="5" t="n">
        <v>375</v>
      </c>
      <c r="B1127" s="5" t="inlineStr">
        <is>
          <t>Disponibilidad de catálogo de asignaturas pregrado y posgrado presencial</t>
        </is>
      </c>
      <c r="C1127" s="5" t="inlineStr">
        <is>
          <t>Operaciones Académicas</t>
        </is>
      </c>
      <c r="D1127" s="5" t="inlineStr">
        <is>
          <t>Semestral</t>
        </is>
      </c>
      <c r="E1127" s="5" t="inlineStr">
        <is>
          <t>Positivo</t>
        </is>
      </c>
      <c r="F1127" s="107" t="n">
        <v>45657</v>
      </c>
      <c r="G1127" s="15" t="n">
        <v>2024</v>
      </c>
      <c r="H1127" s="6" t="inlineStr">
        <is>
          <t>Diciembre</t>
        </is>
      </c>
      <c r="I1127" s="6" t="inlineStr">
        <is>
          <t>2024-2</t>
        </is>
      </c>
      <c r="J1127" s="5" t="n">
        <v>100</v>
      </c>
      <c r="K1127" s="10" t="n">
        <v>100</v>
      </c>
      <c r="L1127" s="14">
        <f>IFERROR(IF(OR(J1127=0,K1127=""),"",IF(E1127="Positivo",MIN(MAX(K1127/J1127,0),1.3),MIN(MAX(J1127/K1127,0),1.3))),"") </f>
        <v/>
      </c>
      <c r="M1127" s="14">
        <f>IFERROR(IF(OR(J1127=0,K1127=""),"",IF(E1127="Positivo",MAX(K1127/J1127,0),MAX(J1127/K1127,0))),"") </f>
        <v/>
      </c>
      <c r="N1127" s="5" t="inlineStr">
        <is>
          <t>%</t>
        </is>
      </c>
      <c r="O1127" s="5" t="inlineStr">
        <is>
          <t>%</t>
        </is>
      </c>
      <c r="P1127" s="5" t="n">
        <v>0</v>
      </c>
      <c r="Q1127" s="5" t="n">
        <v>0</v>
      </c>
      <c r="R1127" s="5" t="inlineStr">
        <is>
          <t>375-2024-12-31</t>
        </is>
      </c>
    </row>
    <row r="1128">
      <c r="A1128" s="26" t="n">
        <v>375</v>
      </c>
      <c r="B1128" s="5" t="inlineStr">
        <is>
          <t>Disponibilidad de catálogo de asignaturas pregrado y posgrado presencial</t>
        </is>
      </c>
      <c r="C1128" s="5" t="inlineStr">
        <is>
          <t>Operaciones Académicas</t>
        </is>
      </c>
      <c r="D1128" s="5" t="inlineStr">
        <is>
          <t>Semestral</t>
        </is>
      </c>
      <c r="E1128" s="5" t="inlineStr">
        <is>
          <t>Positivo</t>
        </is>
      </c>
      <c r="F1128" s="106" t="n">
        <v>45838</v>
      </c>
      <c r="G1128" s="15" t="n">
        <v>2025</v>
      </c>
      <c r="H1128" s="6" t="inlineStr">
        <is>
          <t>Junio</t>
        </is>
      </c>
      <c r="I1128" s="6" t="inlineStr">
        <is>
          <t>2025-1</t>
        </is>
      </c>
      <c r="J1128" s="5" t="n">
        <v>100</v>
      </c>
      <c r="K1128" s="5" t="n">
        <v>100</v>
      </c>
      <c r="L1128" s="14">
        <f>IFERROR(IF(OR(J1128=0,K1128=""),"",IF(E1128="Positivo",MIN(MAX(K1128/J1128,0),1.3),MIN(MAX(J1128/K1128,0),1.3))),"") </f>
        <v/>
      </c>
      <c r="M1128" s="14">
        <f>IFERROR(IF(OR(J1128=0,K1128=""),"",IF(E1128="Positivo",MAX(K1128/J1128,0),MAX(J1128/K1128,0))),"") </f>
        <v/>
      </c>
      <c r="N1128" s="5" t="inlineStr">
        <is>
          <t>%</t>
        </is>
      </c>
      <c r="O1128" s="5" t="inlineStr">
        <is>
          <t>%</t>
        </is>
      </c>
      <c r="P1128" s="5" t="n">
        <v>0</v>
      </c>
      <c r="Q1128" s="5" t="n">
        <v>0</v>
      </c>
      <c r="R1128" s="5" t="inlineStr">
        <is>
          <t>375-2025-06-30</t>
        </is>
      </c>
    </row>
    <row r="1129">
      <c r="A1129" s="5" t="n">
        <v>375</v>
      </c>
      <c r="B1129" s="5" t="inlineStr">
        <is>
          <t>Disponibilidad de catálogo de asignaturas pregrado y posgrado presencial</t>
        </is>
      </c>
      <c r="C1129" s="5" t="inlineStr">
        <is>
          <t>Operaciones Académicas</t>
        </is>
      </c>
      <c r="D1129" s="5" t="inlineStr">
        <is>
          <t>Trimestral</t>
        </is>
      </c>
      <c r="E1129" s="5" t="inlineStr">
        <is>
          <t>Positivo</t>
        </is>
      </c>
      <c r="F1129" s="107" t="n">
        <v>46022</v>
      </c>
      <c r="G1129" s="15" t="n">
        <v>2025</v>
      </c>
      <c r="H1129" s="6" t="inlineStr">
        <is>
          <t>Diciembre</t>
        </is>
      </c>
      <c r="I1129" s="6" t="inlineStr">
        <is>
          <t>2025-2</t>
        </is>
      </c>
      <c r="J1129" s="5" t="n">
        <v>100</v>
      </c>
      <c r="K1129" s="5" t="n">
        <v>100</v>
      </c>
      <c r="L1129" s="14">
        <f>IFERROR(IF(OR(J1129=0,K1129=""),"",IF(E1129="Positivo",MIN(MAX(K1129/J1129,0),1.3),MIN(MAX(J1129/K1129,0),1.3))),"") </f>
        <v/>
      </c>
      <c r="M1129" s="14">
        <f>IFERROR(IF(OR(J1129=0,K1129=""),"",IF(E1129="Positivo",MAX(K1129/J1129,0),MAX(J1129/K1129,0))),"") </f>
        <v/>
      </c>
      <c r="N1129" s="5" t="inlineStr">
        <is>
          <t>%</t>
        </is>
      </c>
      <c r="O1129" s="5" t="inlineStr">
        <is>
          <t>%</t>
        </is>
      </c>
      <c r="P1129" s="5" t="n">
        <v>0</v>
      </c>
      <c r="Q1129" s="5" t="n">
        <v>0</v>
      </c>
      <c r="R1129" s="5" t="inlineStr">
        <is>
          <t>375-2025-12-31</t>
        </is>
      </c>
    </row>
    <row r="1130">
      <c r="A1130" s="5" t="n">
        <v>376</v>
      </c>
      <c r="B1130" s="5" t="inlineStr">
        <is>
          <t>Cumplimiento EBIDTA</t>
        </is>
      </c>
      <c r="C1130" s="5" t="inlineStr">
        <is>
          <t>Planeación Financiera</t>
        </is>
      </c>
      <c r="D1130" s="5" t="inlineStr">
        <is>
          <t>Semestral</t>
        </is>
      </c>
      <c r="E1130" s="5" t="inlineStr">
        <is>
          <t>Positivo</t>
        </is>
      </c>
      <c r="F1130" s="107" t="n">
        <v>45107</v>
      </c>
      <c r="G1130" s="15" t="n">
        <v>2023</v>
      </c>
      <c r="H1130" s="6" t="inlineStr">
        <is>
          <t>Junio</t>
        </is>
      </c>
      <c r="I1130" s="6" t="inlineStr">
        <is>
          <t>2023-1</t>
        </is>
      </c>
      <c r="J1130" s="5" t="n">
        <v>95</v>
      </c>
      <c r="K1130" s="10" t="n">
        <v>149.7223763395</v>
      </c>
      <c r="L1130" s="14">
        <f>IFERROR(IF(OR(J1130=0,K1130=""),"",IF(E1130="Positivo",MIN(MAX(K1130/J1130,0),1.3),MIN(MAX(J1130/K1130,0),1.3))),"") </f>
        <v/>
      </c>
      <c r="M1130" s="14">
        <f>IFERROR(IF(OR(J1130=0,K1130=""),"",IF(E1130="Positivo",MAX(K1130/J1130,0),MAX(J1130/K1130,0))),"") </f>
        <v/>
      </c>
      <c r="N1130" s="5" t="inlineStr">
        <is>
          <t>$</t>
        </is>
      </c>
      <c r="O1130" s="5" t="inlineStr">
        <is>
          <t>$</t>
        </is>
      </c>
      <c r="P1130" s="5" t="n">
        <v>0</v>
      </c>
      <c r="Q1130" s="5" t="n">
        <v>0</v>
      </c>
      <c r="R1130" s="5" t="inlineStr">
        <is>
          <t>376-2023-06-30</t>
        </is>
      </c>
    </row>
    <row r="1131">
      <c r="A1131" s="5" t="n">
        <v>376</v>
      </c>
      <c r="B1131" s="5" t="inlineStr">
        <is>
          <t>Cumplimiento EBIDTA</t>
        </is>
      </c>
      <c r="C1131" s="5" t="inlineStr">
        <is>
          <t>Planeación Financiera</t>
        </is>
      </c>
      <c r="D1131" s="5" t="inlineStr">
        <is>
          <t>Semestral</t>
        </is>
      </c>
      <c r="E1131" s="5" t="inlineStr">
        <is>
          <t>Positivo</t>
        </is>
      </c>
      <c r="F1131" s="107" t="n">
        <v>45291</v>
      </c>
      <c r="G1131" s="15" t="n">
        <v>2023</v>
      </c>
      <c r="H1131" s="6" t="inlineStr">
        <is>
          <t>Diciembre</t>
        </is>
      </c>
      <c r="I1131" s="6" t="inlineStr">
        <is>
          <t>2023-2</t>
        </is>
      </c>
      <c r="J1131" s="5" t="n">
        <v>95</v>
      </c>
      <c r="K1131" s="15" t="n">
        <v>101.26</v>
      </c>
      <c r="L1131" s="14">
        <f>IFERROR(IF(OR(J1131=0,K1131=""),"",IF(E1131="Positivo",MIN(MAX(K1131/J1131,0),1.3),MIN(MAX(J1131/K1131,0),1.3))),"") </f>
        <v/>
      </c>
      <c r="M1131" s="14">
        <f>IFERROR(IF(OR(J1131=0,K1131=""),"",IF(E1131="Positivo",MAX(K1131/J1131,0),MAX(J1131/K1131,0))),"") </f>
        <v/>
      </c>
      <c r="N1131" s="5" t="inlineStr">
        <is>
          <t>$</t>
        </is>
      </c>
      <c r="O1131" s="5" t="inlineStr">
        <is>
          <t>$</t>
        </is>
      </c>
      <c r="P1131" s="5" t="n">
        <v>0</v>
      </c>
      <c r="Q1131" s="5" t="n">
        <v>0</v>
      </c>
      <c r="R1131" s="5" t="inlineStr">
        <is>
          <t>376-2023-12-31</t>
        </is>
      </c>
    </row>
    <row r="1132">
      <c r="A1132" s="5" t="n">
        <v>376</v>
      </c>
      <c r="B1132" s="5" t="inlineStr">
        <is>
          <t>Cumplimiento EBIDTA</t>
        </is>
      </c>
      <c r="C1132" s="5" t="inlineStr">
        <is>
          <t>Planeación Financiera</t>
        </is>
      </c>
      <c r="D1132" s="5" t="inlineStr">
        <is>
          <t>Semestral</t>
        </is>
      </c>
      <c r="E1132" s="5" t="inlineStr">
        <is>
          <t>Positivo</t>
        </is>
      </c>
      <c r="F1132" s="107" t="n">
        <v>45473</v>
      </c>
      <c r="G1132" s="15" t="n">
        <v>2024</v>
      </c>
      <c r="H1132" s="6" t="inlineStr">
        <is>
          <t>Junio</t>
        </is>
      </c>
      <c r="I1132" s="6" t="inlineStr">
        <is>
          <t>2024-1</t>
        </is>
      </c>
      <c r="J1132" s="5" t="n">
        <v>95</v>
      </c>
      <c r="K1132" s="5" t="n">
        <v>104</v>
      </c>
      <c r="L1132" s="14">
        <f>IFERROR(IF(OR(J1132=0,K1132=""),"",IF(E1132="Positivo",MIN(MAX(K1132/J1132,0),1.3),MIN(MAX(J1132/K1132,0),1.3))),"") </f>
        <v/>
      </c>
      <c r="M1132" s="14">
        <f>IFERROR(IF(OR(J1132=0,K1132=""),"",IF(E1132="Positivo",MAX(K1132/J1132,0),MAX(J1132/K1132,0))),"") </f>
        <v/>
      </c>
      <c r="N1132" s="5" t="inlineStr">
        <is>
          <t>$</t>
        </is>
      </c>
      <c r="O1132" s="5" t="inlineStr">
        <is>
          <t>$</t>
        </is>
      </c>
      <c r="P1132" s="5" t="n">
        <v>0</v>
      </c>
      <c r="Q1132" s="5" t="n">
        <v>0</v>
      </c>
      <c r="R1132" s="5" t="inlineStr">
        <is>
          <t>376-2024-06-30</t>
        </is>
      </c>
    </row>
    <row r="1133">
      <c r="A1133" s="5" t="n">
        <v>376</v>
      </c>
      <c r="B1133" s="5" t="inlineStr">
        <is>
          <t>Cumplimiento EBIDTA</t>
        </is>
      </c>
      <c r="C1133" s="5" t="inlineStr">
        <is>
          <t>Planeación Financiera</t>
        </is>
      </c>
      <c r="D1133" s="5" t="inlineStr">
        <is>
          <t>Semestral</t>
        </is>
      </c>
      <c r="E1133" s="5" t="inlineStr">
        <is>
          <t>Positivo</t>
        </is>
      </c>
      <c r="F1133" s="107" t="n">
        <v>45657</v>
      </c>
      <c r="G1133" s="15" t="n">
        <v>2024</v>
      </c>
      <c r="H1133" s="6" t="inlineStr">
        <is>
          <t>Diciembre</t>
        </is>
      </c>
      <c r="I1133" s="6" t="inlineStr">
        <is>
          <t>2024-2</t>
        </is>
      </c>
      <c r="J1133" s="5" t="n">
        <v>95</v>
      </c>
      <c r="K1133" s="5" t="n">
        <v>109.1</v>
      </c>
      <c r="L1133" s="14">
        <f>IFERROR(IF(OR(J1133=0,K1133=""),"",IF(E1133="Positivo",MIN(MAX(K1133/J1133,0),1.3),MIN(MAX(J1133/K1133,0),1.3))),"") </f>
        <v/>
      </c>
      <c r="M1133" s="14">
        <f>IFERROR(IF(OR(J1133=0,K1133=""),"",IF(E1133="Positivo",MAX(K1133/J1133,0),MAX(J1133/K1133,0))),"") </f>
        <v/>
      </c>
      <c r="N1133" s="5" t="inlineStr">
        <is>
          <t>$</t>
        </is>
      </c>
      <c r="O1133" s="5" t="inlineStr">
        <is>
          <t>$</t>
        </is>
      </c>
      <c r="P1133" s="5" t="n">
        <v>0</v>
      </c>
      <c r="Q1133" s="5" t="n">
        <v>0</v>
      </c>
      <c r="R1133" s="5" t="inlineStr">
        <is>
          <t>376-2024-12-31</t>
        </is>
      </c>
    </row>
    <row r="1134">
      <c r="A1134" s="5" t="n">
        <v>376</v>
      </c>
      <c r="B1134" s="5" t="inlineStr">
        <is>
          <t>Cumplimiento EBIDTA</t>
        </is>
      </c>
      <c r="C1134" s="5" t="inlineStr">
        <is>
          <t>Planeación Financiera</t>
        </is>
      </c>
      <c r="D1134" s="5" t="inlineStr">
        <is>
          <t>Semestral</t>
        </is>
      </c>
      <c r="E1134" s="5" t="inlineStr">
        <is>
          <t>Positivo</t>
        </is>
      </c>
      <c r="F1134" s="107" t="n">
        <v>45838</v>
      </c>
      <c r="G1134" s="15" t="n">
        <v>2025</v>
      </c>
      <c r="H1134" s="6" t="inlineStr">
        <is>
          <t>Junio</t>
        </is>
      </c>
      <c r="I1134" s="6" t="inlineStr">
        <is>
          <t>2025-1</t>
        </is>
      </c>
      <c r="J1134" s="5" t="n">
        <v>95</v>
      </c>
      <c r="K1134" s="5" t="n">
        <v>117.87</v>
      </c>
      <c r="L1134" s="14">
        <f>IFERROR(IF(OR(J1134=0,K1134=""),"",IF(E1134="Positivo",MIN(MAX(K1134/J1134,0),1.3),MIN(MAX(J1134/K1134,0),1.3))),"") </f>
        <v/>
      </c>
      <c r="M1134" s="14">
        <f>IFERROR(IF(OR(J1134=0,K1134=""),"",IF(E1134="Positivo",MAX(K1134/J1134,0),MAX(J1134/K1134,0))),"") </f>
        <v/>
      </c>
      <c r="N1134" s="5" t="inlineStr">
        <is>
          <t>$</t>
        </is>
      </c>
      <c r="O1134" s="5" t="inlineStr">
        <is>
          <t>$</t>
        </is>
      </c>
      <c r="P1134" s="5" t="n">
        <v>0</v>
      </c>
      <c r="Q1134" s="5" t="n">
        <v>0</v>
      </c>
      <c r="R1134" s="5" t="inlineStr">
        <is>
          <t>376-2025-06-30</t>
        </is>
      </c>
    </row>
    <row r="1135">
      <c r="A1135" s="5" t="n">
        <v>376</v>
      </c>
      <c r="B1135" s="5" t="inlineStr">
        <is>
          <t>Cumplimiento EBITDA</t>
        </is>
      </c>
      <c r="C1135" s="5" t="inlineStr">
        <is>
          <t>Planeación Financiera</t>
        </is>
      </c>
      <c r="D1135" s="5" t="inlineStr">
        <is>
          <t>Trimestral</t>
        </is>
      </c>
      <c r="E1135" s="5" t="inlineStr">
        <is>
          <t>Positivo</t>
        </is>
      </c>
      <c r="F1135" s="107" t="n">
        <v>46022</v>
      </c>
      <c r="G1135" s="15" t="n">
        <v>2025</v>
      </c>
      <c r="H1135" s="6" t="inlineStr">
        <is>
          <t>Diciembre</t>
        </is>
      </c>
      <c r="I1135" s="6" t="inlineStr">
        <is>
          <t>2025-2</t>
        </is>
      </c>
      <c r="J1135" s="5" t="n">
        <v>95</v>
      </c>
      <c r="K1135" s="5" t="n">
        <v>117.51</v>
      </c>
      <c r="L1135" s="14">
        <f>IFERROR(IF(OR(J1135=0,K1135=""),"",IF(E1135="Positivo",MIN(MAX(K1135/J1135,0),1.3),MIN(MAX(J1135/K1135,0),1.3))),"") </f>
        <v/>
      </c>
      <c r="M1135" s="14">
        <f>IFERROR(IF(OR(J1135=0,K1135=""),"",IF(E1135="Positivo",MAX(K1135/J1135,0),MAX(J1135/K1135,0))),"") </f>
        <v/>
      </c>
      <c r="N1135" s="5" t="inlineStr">
        <is>
          <t>$</t>
        </is>
      </c>
      <c r="O1135" s="5" t="inlineStr">
        <is>
          <t>$</t>
        </is>
      </c>
      <c r="P1135" s="5" t="n">
        <v>0</v>
      </c>
      <c r="Q1135" s="5" t="n">
        <v>0</v>
      </c>
      <c r="R1135" s="5" t="inlineStr">
        <is>
          <t>376-2025-12-31</t>
        </is>
      </c>
    </row>
    <row r="1136">
      <c r="A1136" s="5" t="n">
        <v>377</v>
      </c>
      <c r="B1136" s="5" t="inlineStr">
        <is>
          <t>CAPEX</t>
        </is>
      </c>
      <c r="C1136" s="5" t="inlineStr">
        <is>
          <t>Planeación Financiera</t>
        </is>
      </c>
      <c r="D1136" s="5" t="inlineStr">
        <is>
          <t>Semestral</t>
        </is>
      </c>
      <c r="E1136" s="5" t="inlineStr">
        <is>
          <t>Negativo</t>
        </is>
      </c>
      <c r="F1136" s="107" t="n">
        <v>45107</v>
      </c>
      <c r="G1136" s="15" t="n">
        <v>2023</v>
      </c>
      <c r="H1136" s="6" t="inlineStr">
        <is>
          <t>Junio</t>
        </is>
      </c>
      <c r="I1136" s="6" t="inlineStr">
        <is>
          <t>2023-1</t>
        </is>
      </c>
      <c r="J1136" s="5" t="n">
        <v>100</v>
      </c>
      <c r="K1136" s="5" t="n">
        <v>22.314798348502</v>
      </c>
      <c r="L1136" s="14">
        <f>IFERROR(IF(OR(J1136=0,K1136=""),"",IF(E1136="Positivo",MIN(MAX(K1136/J1136,0),1.3),MIN(MAX(J1136/K1136,0),1.3))),"") </f>
        <v/>
      </c>
      <c r="M1136" s="14">
        <f>IFERROR(IF(OR(J1136=0,K1136=""),"",IF(E1136="Positivo",MAX(K1136/J1136,0),MAX(J1136/K1136,0))),"") </f>
        <v/>
      </c>
      <c r="N1136" s="5" t="inlineStr">
        <is>
          <t>$</t>
        </is>
      </c>
      <c r="O1136" s="5" t="inlineStr">
        <is>
          <t>$</t>
        </is>
      </c>
      <c r="P1136" s="5" t="n">
        <v>0</v>
      </c>
      <c r="Q1136" s="5" t="n">
        <v>0</v>
      </c>
      <c r="R1136" s="5" t="inlineStr">
        <is>
          <t>377-2023-06-30</t>
        </is>
      </c>
    </row>
    <row r="1137">
      <c r="A1137" s="5" t="n">
        <v>377</v>
      </c>
      <c r="B1137" s="5" t="inlineStr">
        <is>
          <t>CAPEX</t>
        </is>
      </c>
      <c r="C1137" s="5" t="inlineStr">
        <is>
          <t>Planeación Financiera</t>
        </is>
      </c>
      <c r="D1137" s="5" t="inlineStr">
        <is>
          <t>Semestral</t>
        </is>
      </c>
      <c r="E1137" s="5" t="inlineStr">
        <is>
          <t>Negativo</t>
        </is>
      </c>
      <c r="F1137" s="107" t="n">
        <v>45291</v>
      </c>
      <c r="G1137" s="15" t="n">
        <v>2023</v>
      </c>
      <c r="H1137" s="6" t="inlineStr">
        <is>
          <t>Diciembre</t>
        </is>
      </c>
      <c r="I1137" s="6" t="inlineStr">
        <is>
          <t>2023-2</t>
        </is>
      </c>
      <c r="J1137" s="5" t="n">
        <v>100</v>
      </c>
      <c r="K1137" s="5" t="n">
        <v>60.77</v>
      </c>
      <c r="L1137" s="14">
        <f>IFERROR(IF(OR(J1137=0,K1137=""),"",IF(E1137="Positivo",MIN(MAX(K1137/J1137,0),1.3),MIN(MAX(J1137/K1137,0),1.3))),"") </f>
        <v/>
      </c>
      <c r="M1137" s="14">
        <f>IFERROR(IF(OR(J1137=0,K1137=""),"",IF(E1137="Positivo",MAX(K1137/J1137,0),MAX(J1137/K1137,0))),"") </f>
        <v/>
      </c>
      <c r="N1137" s="5" t="inlineStr">
        <is>
          <t>$</t>
        </is>
      </c>
      <c r="O1137" s="5" t="inlineStr">
        <is>
          <t>$</t>
        </is>
      </c>
      <c r="P1137" s="5" t="n">
        <v>0</v>
      </c>
      <c r="Q1137" s="5" t="n">
        <v>0</v>
      </c>
      <c r="R1137" s="5" t="inlineStr">
        <is>
          <t>377-2023-12-31</t>
        </is>
      </c>
    </row>
    <row r="1138">
      <c r="A1138" s="5" t="n">
        <v>377</v>
      </c>
      <c r="B1138" s="5" t="inlineStr">
        <is>
          <t>CAPEX</t>
        </is>
      </c>
      <c r="C1138" s="5" t="inlineStr">
        <is>
          <t>Planeación Financiera</t>
        </is>
      </c>
      <c r="D1138" s="5" t="inlineStr">
        <is>
          <t>Semestral</t>
        </is>
      </c>
      <c r="E1138" s="5" t="inlineStr">
        <is>
          <t>Negativo</t>
        </is>
      </c>
      <c r="F1138" s="107" t="n">
        <v>45473</v>
      </c>
      <c r="G1138" s="15" t="n">
        <v>2024</v>
      </c>
      <c r="H1138" s="6" t="inlineStr">
        <is>
          <t>Junio</t>
        </is>
      </c>
      <c r="I1138" s="6" t="inlineStr">
        <is>
          <t>2024-1</t>
        </is>
      </c>
      <c r="J1138" s="5" t="n">
        <v>100</v>
      </c>
      <c r="K1138" s="5" t="n">
        <v>48.24</v>
      </c>
      <c r="L1138" s="14">
        <f>IFERROR(IF(OR(J1138=0,K1138=""),"",IF(E1138="Positivo",MIN(MAX(K1138/J1138,0),1.3),MIN(MAX(J1138/K1138,0),1.3))),"") </f>
        <v/>
      </c>
      <c r="M1138" s="14">
        <f>IFERROR(IF(OR(J1138=0,K1138=""),"",IF(E1138="Positivo",MAX(K1138/J1138,0),MAX(J1138/K1138,0))),"") </f>
        <v/>
      </c>
      <c r="N1138" s="5" t="inlineStr">
        <is>
          <t>$</t>
        </is>
      </c>
      <c r="O1138" s="5" t="inlineStr">
        <is>
          <t>$</t>
        </is>
      </c>
      <c r="P1138" s="5" t="n">
        <v>0</v>
      </c>
      <c r="Q1138" s="5" t="n">
        <v>0</v>
      </c>
      <c r="R1138" s="5" t="inlineStr">
        <is>
          <t>377-2024-06-30</t>
        </is>
      </c>
    </row>
    <row r="1139">
      <c r="A1139" s="5" t="n">
        <v>377</v>
      </c>
      <c r="B1139" s="5" t="inlineStr">
        <is>
          <t>CAPEX</t>
        </is>
      </c>
      <c r="C1139" s="5" t="inlineStr">
        <is>
          <t>Planeación Financiera</t>
        </is>
      </c>
      <c r="D1139" s="5" t="inlineStr">
        <is>
          <t>Semestral</t>
        </is>
      </c>
      <c r="E1139" s="5" t="inlineStr">
        <is>
          <t>Negativo</t>
        </is>
      </c>
      <c r="F1139" s="107" t="n">
        <v>45657</v>
      </c>
      <c r="G1139" s="15" t="n">
        <v>2024</v>
      </c>
      <c r="H1139" s="6" t="inlineStr">
        <is>
          <t>Diciembre</t>
        </is>
      </c>
      <c r="I1139" s="6" t="inlineStr">
        <is>
          <t>2024-2</t>
        </is>
      </c>
      <c r="J1139" s="5" t="n">
        <v>100</v>
      </c>
      <c r="K1139" s="5" t="n">
        <v>125.01</v>
      </c>
      <c r="L1139" s="14">
        <f>IFERROR(IF(OR(J1139=0,K1139=""),"",IF(E1139="Positivo",MIN(MAX(K1139/J1139,0),1.3),MIN(MAX(J1139/K1139,0),1.3))),"") </f>
        <v/>
      </c>
      <c r="M1139" s="14">
        <f>IFERROR(IF(OR(J1139=0,K1139=""),"",IF(E1139="Positivo",MAX(K1139/J1139,0),MAX(J1139/K1139,0))),"") </f>
        <v/>
      </c>
      <c r="N1139" s="5" t="inlineStr">
        <is>
          <t>$</t>
        </is>
      </c>
      <c r="O1139" s="5" t="inlineStr">
        <is>
          <t>$</t>
        </is>
      </c>
      <c r="P1139" s="5" t="n">
        <v>0</v>
      </c>
      <c r="Q1139" s="5" t="n">
        <v>0</v>
      </c>
      <c r="R1139" s="5" t="inlineStr">
        <is>
          <t>377-2024-12-31</t>
        </is>
      </c>
    </row>
    <row r="1140">
      <c r="A1140" s="5" t="n">
        <v>377</v>
      </c>
      <c r="B1140" s="5" t="inlineStr">
        <is>
          <t>CAPEX</t>
        </is>
      </c>
      <c r="C1140" s="5" t="inlineStr">
        <is>
          <t>Planeación Financiera</t>
        </is>
      </c>
      <c r="D1140" s="5" t="inlineStr">
        <is>
          <t>Anual</t>
        </is>
      </c>
      <c r="E1140" s="5" t="inlineStr">
        <is>
          <t>Positivo</t>
        </is>
      </c>
      <c r="F1140" s="107" t="n">
        <v>46022</v>
      </c>
      <c r="G1140" s="5" t="n">
        <v>2025</v>
      </c>
      <c r="H1140" s="5" t="inlineStr">
        <is>
          <t>Diciembre</t>
        </is>
      </c>
      <c r="I1140" s="6" t="inlineStr">
        <is>
          <t>2025-2</t>
        </is>
      </c>
      <c r="J1140" s="5" t="n">
        <v>100</v>
      </c>
      <c r="K1140" s="10" t="n">
        <v>107.11</v>
      </c>
      <c r="L1140" s="14">
        <f>IFERROR(IF(OR(J1140=0,K1140=""),"",IF(E1140="Positivo",MIN(MAX(K1140/J1140,0),1.3),MIN(MAX(J1140/K1140,0),1.3))),"") </f>
        <v/>
      </c>
      <c r="M1140" s="14">
        <f>IFERROR(IF(OR(J1140=0,K1140=""),"",IF(E1140="Positivo",MAX(K1140/J1140,0),MAX(J1140/K1140,0))),"") </f>
        <v/>
      </c>
      <c r="N1140" s="5" t="inlineStr">
        <is>
          <t>$</t>
        </is>
      </c>
      <c r="O1140" s="5" t="inlineStr">
        <is>
          <t>$</t>
        </is>
      </c>
      <c r="P1140" s="5" t="n">
        <v>0</v>
      </c>
      <c r="Q1140" s="5" t="n">
        <v>0</v>
      </c>
      <c r="R1140" s="5" t="inlineStr">
        <is>
          <t>377-2025-12-31</t>
        </is>
      </c>
    </row>
    <row r="1141">
      <c r="A1141" s="5" t="n">
        <v>378</v>
      </c>
      <c r="B1141" s="5" t="inlineStr">
        <is>
          <t>Proyectos tecnológicos</t>
        </is>
      </c>
      <c r="C1141" s="5" t="inlineStr">
        <is>
          <t>GESTIÓN DE LA TECNOLOGÍA E INNOVACIÓN DIGITAL</t>
        </is>
      </c>
      <c r="D1141" s="5" t="inlineStr">
        <is>
          <t>Mensual</t>
        </is>
      </c>
      <c r="E1141" s="5" t="inlineStr">
        <is>
          <t>Positivo</t>
        </is>
      </c>
      <c r="F1141" s="107" t="n">
        <v>45107</v>
      </c>
      <c r="G1141" s="5" t="n">
        <v>2023</v>
      </c>
      <c r="H1141" s="5" t="inlineStr">
        <is>
          <t>Junio</t>
        </is>
      </c>
      <c r="I1141" s="6" t="inlineStr">
        <is>
          <t>2023-1</t>
        </is>
      </c>
      <c r="J1141" s="5" t="n">
        <v>92</v>
      </c>
      <c r="K1141" s="5" t="n">
        <v>93.83</v>
      </c>
      <c r="L1141" s="14">
        <f>IFERROR(IF(OR(J1141=0,K1141=""),"",IF(E1141="Positivo",MIN(MAX(K1141/J1141,0),1.3),MIN(MAX(J1141/K1141,0),1.3))),"") </f>
        <v/>
      </c>
      <c r="M1141" s="14">
        <f>IFERROR(IF(OR(J1141=0,K1141=""),"",IF(E1141="Positivo",MAX(K1141/J1141,0),MAX(J1141/K1141,0))),"") </f>
        <v/>
      </c>
      <c r="N1141" s="5" t="inlineStr">
        <is>
          <t>%</t>
        </is>
      </c>
      <c r="O1141" s="5" t="inlineStr">
        <is>
          <t>%</t>
        </is>
      </c>
      <c r="P1141" s="5" t="n">
        <v>0</v>
      </c>
      <c r="Q1141" s="5" t="n">
        <v>0</v>
      </c>
      <c r="R1141" s="5" t="inlineStr">
        <is>
          <t>378-2023-06-30</t>
        </is>
      </c>
    </row>
    <row r="1142">
      <c r="A1142" s="5" t="n">
        <v>378</v>
      </c>
      <c r="B1142" s="5" t="inlineStr">
        <is>
          <t>Proyectos tecnológicos</t>
        </is>
      </c>
      <c r="C1142" s="5" t="inlineStr">
        <is>
          <t>GESTIÓN DE LA TECNOLOGÍA E INNOVACIÓN DIGITAL</t>
        </is>
      </c>
      <c r="D1142" s="5" t="inlineStr">
        <is>
          <t>Mensual</t>
        </is>
      </c>
      <c r="E1142" s="5" t="inlineStr">
        <is>
          <t>Positivo</t>
        </is>
      </c>
      <c r="F1142" s="107" t="n">
        <v>45291</v>
      </c>
      <c r="G1142" s="5" t="n">
        <v>2023</v>
      </c>
      <c r="H1142" s="5" t="inlineStr">
        <is>
          <t>Diciembre</t>
        </is>
      </c>
      <c r="I1142" s="6" t="inlineStr">
        <is>
          <t>2023-2</t>
        </is>
      </c>
      <c r="J1142" s="5" t="n">
        <v>92</v>
      </c>
      <c r="K1142" s="5" t="n">
        <v>97.3</v>
      </c>
      <c r="L1142" s="74">
        <f>IFERROR(IF(OR(J1142=0,K1142=""),"",IF(E1142="Positivo",MIN(MAX(K1142/J1142,0),1.3),MIN(MAX(J1142/K1142,0),1.3))),"") </f>
        <v/>
      </c>
      <c r="M1142" s="14">
        <f>IFERROR(IF(OR(J1142=0,K1142=""),"",IF(E1142="Positivo",MAX(K1142/J1142,0),MAX(J1142/K1142,0))),"") </f>
        <v/>
      </c>
      <c r="N1142" s="5" t="inlineStr">
        <is>
          <t>%</t>
        </is>
      </c>
      <c r="O1142" s="5" t="inlineStr">
        <is>
          <t>%</t>
        </is>
      </c>
      <c r="P1142" s="5" t="n">
        <v>0</v>
      </c>
      <c r="Q1142" s="5" t="n">
        <v>0</v>
      </c>
      <c r="R1142" s="5" t="inlineStr">
        <is>
          <t>378-2023-12-31</t>
        </is>
      </c>
    </row>
    <row r="1143">
      <c r="A1143" s="5" t="n">
        <v>378</v>
      </c>
      <c r="B1143" s="5" t="inlineStr">
        <is>
          <t>Proyectos tecnológicos</t>
        </is>
      </c>
      <c r="C1143" s="5" t="inlineStr">
        <is>
          <t>GESTIÓN DE LA TECNOLOGÍA E INNOVACIÓN DIGITAL</t>
        </is>
      </c>
      <c r="D1143" s="5" t="inlineStr">
        <is>
          <t>Mensual</t>
        </is>
      </c>
      <c r="E1143" s="5" t="inlineStr">
        <is>
          <t>Positivo</t>
        </is>
      </c>
      <c r="F1143" s="107" t="n">
        <v>45473</v>
      </c>
      <c r="G1143" s="5" t="n">
        <v>2024</v>
      </c>
      <c r="H1143" s="5" t="inlineStr">
        <is>
          <t>Junio</t>
        </is>
      </c>
      <c r="I1143" s="6" t="inlineStr">
        <is>
          <t>2024-1</t>
        </is>
      </c>
      <c r="J1143" s="5" t="n">
        <v>92</v>
      </c>
      <c r="K1143" s="10" t="n">
        <v>98.5</v>
      </c>
      <c r="L1143" s="14">
        <f>IFERROR(IF(OR(J1143=0,K1143=""),"",IF(E1143="Positivo",MIN(MAX(K1143/J1143,0),1.3),MIN(MAX(J1143/K1143,0),1.3))),"") </f>
        <v/>
      </c>
      <c r="M1143" s="14">
        <f>IFERROR(IF(OR(J1143=0,K1143=""),"",IF(E1143="Positivo",MAX(K1143/J1143,0),MAX(J1143/K1143,0))),"") </f>
        <v/>
      </c>
      <c r="N1143" s="5" t="n"/>
      <c r="O1143" s="5" t="n"/>
      <c r="P1143" s="5" t="n">
        <v>0</v>
      </c>
      <c r="Q1143" s="5" t="n">
        <v>0</v>
      </c>
      <c r="R1143" s="5" t="inlineStr">
        <is>
          <t>378-2024-06-30</t>
        </is>
      </c>
    </row>
    <row r="1144">
      <c r="A1144" s="5" t="n">
        <v>378</v>
      </c>
      <c r="B1144" s="5" t="inlineStr">
        <is>
          <t>Proyectos tecnológicos</t>
        </is>
      </c>
      <c r="C1144" s="5" t="inlineStr">
        <is>
          <t>GESTIÓN DE LA TECNOLOGÍA E INNOVACIÓN DIGITAL</t>
        </is>
      </c>
      <c r="D1144" s="5" t="inlineStr">
        <is>
          <t>Mensual</t>
        </is>
      </c>
      <c r="E1144" s="5" t="inlineStr">
        <is>
          <t>Positivo</t>
        </is>
      </c>
      <c r="F1144" s="107" t="n">
        <v>45657</v>
      </c>
      <c r="G1144" s="5" t="n">
        <v>2024</v>
      </c>
      <c r="H1144" s="5" t="inlineStr">
        <is>
          <t>Diciembre</t>
        </is>
      </c>
      <c r="I1144" s="6" t="inlineStr">
        <is>
          <t>2024-2</t>
        </is>
      </c>
      <c r="J1144" s="73" t="n">
        <v>0</v>
      </c>
      <c r="K1144" s="9" t="n">
        <v>0</v>
      </c>
      <c r="L1144" s="14">
        <f>IFERROR(IF(OR(J1144=0,K1144=""),"",IF(E1144="Positivo",MIN(MAX(K1144/J1144,0),1.3),MIN(MAX(J1144/K1144,0),1.3))),"") </f>
        <v/>
      </c>
      <c r="M1144" s="14">
        <f>IFERROR(IF(OR(J1144=0,K1144=""),"",IF(E1144="Positivo",MAX(K1144/J1144,0),MAX(J1144/K1144,0))),"") </f>
        <v/>
      </c>
      <c r="N1144" s="9" t="n"/>
      <c r="O1144" s="9" t="n"/>
      <c r="P1144" s="5" t="n">
        <v>0</v>
      </c>
      <c r="Q1144" s="5" t="n">
        <v>0</v>
      </c>
      <c r="R1144" s="5" t="inlineStr">
        <is>
          <t>378-2024-12-31</t>
        </is>
      </c>
    </row>
    <row r="1145">
      <c r="A1145" s="5" t="n">
        <v>379</v>
      </c>
      <c r="B1145" s="5" t="inlineStr">
        <is>
          <t>Total estudiantes nuevos</t>
        </is>
      </c>
      <c r="C1145" s="5" t="inlineStr">
        <is>
          <t>Inscripción, admisión y matrícula de estudiantes nuevos</t>
        </is>
      </c>
      <c r="D1145" s="5" t="inlineStr">
        <is>
          <t>Semestral</t>
        </is>
      </c>
      <c r="E1145" s="5" t="inlineStr">
        <is>
          <t>Positivo</t>
        </is>
      </c>
      <c r="F1145" s="107" t="n">
        <v>45107</v>
      </c>
      <c r="G1145" s="5" t="n">
        <v>2023</v>
      </c>
      <c r="H1145" s="5" t="inlineStr">
        <is>
          <t>Junio</t>
        </is>
      </c>
      <c r="I1145" s="6" t="inlineStr">
        <is>
          <t>2023-1</t>
        </is>
      </c>
      <c r="J1145" s="5" t="n">
        <v>100</v>
      </c>
      <c r="K1145" s="5" t="n">
        <v>102.72877164056</v>
      </c>
      <c r="L1145" s="14">
        <f>IFERROR(IF(OR(J1145=0,K1145=""),"",IF(E1145="Positivo",MIN(MAX(K1145/J1145,0),1.3),MIN(MAX(J1145/K1145,0),1.3))),"") </f>
        <v/>
      </c>
      <c r="M1145" s="14">
        <f>IFERROR(IF(OR(J1145=0,K1145=""),"",IF(E1145="Positivo",MAX(K1145/J1145,0),MAX(J1145/K1145,0))),"") </f>
        <v/>
      </c>
      <c r="N1145" s="5" t="inlineStr">
        <is>
          <t>ENT</t>
        </is>
      </c>
      <c r="O1145" s="5" t="inlineStr">
        <is>
          <t>ENT</t>
        </is>
      </c>
      <c r="P1145" s="5" t="n">
        <v>0</v>
      </c>
      <c r="Q1145" s="5" t="n">
        <v>0</v>
      </c>
      <c r="R1145" s="5" t="inlineStr">
        <is>
          <t>379-2023-06-30</t>
        </is>
      </c>
    </row>
    <row r="1146">
      <c r="A1146" s="5" t="n">
        <v>379</v>
      </c>
      <c r="B1146" s="5" t="inlineStr">
        <is>
          <t>Total estudiantes nuevos</t>
        </is>
      </c>
      <c r="C1146" s="5" t="inlineStr">
        <is>
          <t>Inscripción, admisión y matrícula de estudiantes nuevos</t>
        </is>
      </c>
      <c r="D1146" s="5" t="inlineStr">
        <is>
          <t>Semestral</t>
        </is>
      </c>
      <c r="E1146" s="5" t="inlineStr">
        <is>
          <t>Positivo</t>
        </is>
      </c>
      <c r="F1146" s="107" t="n">
        <v>45291</v>
      </c>
      <c r="G1146" s="5" t="n">
        <v>2023</v>
      </c>
      <c r="H1146" s="5" t="inlineStr">
        <is>
          <t>Diciembre</t>
        </is>
      </c>
      <c r="I1146" s="6" t="inlineStr">
        <is>
          <t>2023-2</t>
        </is>
      </c>
      <c r="J1146" s="5" t="n">
        <v>100</v>
      </c>
      <c r="K1146" s="5" t="n">
        <v>108.65</v>
      </c>
      <c r="L1146" s="14">
        <f>IFERROR(IF(OR(J1146=0,K1146=""),"",IF(E1146="Positivo",MIN(MAX(K1146/J1146,0),1.3),MIN(MAX(J1146/K1146,0),1.3))),"") </f>
        <v/>
      </c>
      <c r="M1146" s="14">
        <f>IFERROR(IF(OR(J1146=0,K1146=""),"",IF(E1146="Positivo",MAX(K1146/J1146,0),MAX(J1146/K1146,0))),"") </f>
        <v/>
      </c>
      <c r="N1146" s="5" t="inlineStr">
        <is>
          <t>ENT</t>
        </is>
      </c>
      <c r="O1146" s="5" t="inlineStr">
        <is>
          <t>ENT</t>
        </is>
      </c>
      <c r="P1146" s="5" t="n">
        <v>0</v>
      </c>
      <c r="Q1146" s="5" t="n">
        <v>0</v>
      </c>
      <c r="R1146" s="5" t="inlineStr">
        <is>
          <t>379-2023-12-31</t>
        </is>
      </c>
    </row>
    <row r="1147">
      <c r="A1147" s="5" t="n">
        <v>379</v>
      </c>
      <c r="B1147" s="5" t="inlineStr">
        <is>
          <t>Total estudiantes nuevos</t>
        </is>
      </c>
      <c r="C1147" s="5" t="inlineStr">
        <is>
          <t>Inscripción, admisión y matrícula de estudiantes nuevos</t>
        </is>
      </c>
      <c r="D1147" s="5" t="inlineStr">
        <is>
          <t>Semestral</t>
        </is>
      </c>
      <c r="E1147" s="5" t="inlineStr">
        <is>
          <t>Positivo</t>
        </is>
      </c>
      <c r="F1147" s="107" t="n">
        <v>45473</v>
      </c>
      <c r="G1147" s="5" t="n">
        <v>2024</v>
      </c>
      <c r="H1147" s="5" t="inlineStr">
        <is>
          <t>Junio</t>
        </is>
      </c>
      <c r="I1147" s="6" t="inlineStr">
        <is>
          <t>2024-1</t>
        </is>
      </c>
      <c r="J1147" s="5" t="n">
        <v>100</v>
      </c>
      <c r="K1147" s="5" t="n">
        <v>95.92</v>
      </c>
      <c r="L1147" s="14">
        <f>IFERROR(IF(OR(J1147=0,K1147=""),"",IF(E1147="Positivo",MIN(MAX(K1147/J1147,0),1.3),MIN(MAX(J1147/K1147,0),1.3))),"") </f>
        <v/>
      </c>
      <c r="M1147" s="14">
        <f>IFERROR(IF(OR(J1147=0,K1147=""),"",IF(E1147="Positivo",MAX(K1147/J1147,0),MAX(J1147/K1147,0))),"") </f>
        <v/>
      </c>
      <c r="N1147" s="5" t="inlineStr">
        <is>
          <t>ENT</t>
        </is>
      </c>
      <c r="O1147" s="5" t="inlineStr">
        <is>
          <t>ENT</t>
        </is>
      </c>
      <c r="P1147" s="5" t="n">
        <v>0</v>
      </c>
      <c r="Q1147" s="5" t="n">
        <v>0</v>
      </c>
      <c r="R1147" s="5" t="inlineStr">
        <is>
          <t>379-2024-06-30</t>
        </is>
      </c>
    </row>
    <row r="1148">
      <c r="A1148" s="5" t="n">
        <v>379</v>
      </c>
      <c r="B1148" s="5" t="inlineStr">
        <is>
          <t>Total estudiantes nuevos</t>
        </is>
      </c>
      <c r="C1148" s="5" t="inlineStr">
        <is>
          <t>Inscripción, admisión y matrícula de estudiantes nuevos</t>
        </is>
      </c>
      <c r="D1148" s="5" t="inlineStr">
        <is>
          <t>Semestral</t>
        </is>
      </c>
      <c r="E1148" s="5" t="inlineStr">
        <is>
          <t>Positivo</t>
        </is>
      </c>
      <c r="F1148" s="107" t="n">
        <v>45657</v>
      </c>
      <c r="G1148" s="5" t="n">
        <v>2024</v>
      </c>
      <c r="H1148" s="5" t="inlineStr">
        <is>
          <t>Diciembre</t>
        </is>
      </c>
      <c r="I1148" s="6" t="inlineStr">
        <is>
          <t>2024-2</t>
        </is>
      </c>
      <c r="J1148" s="5" t="n">
        <v>100</v>
      </c>
      <c r="K1148" s="5" t="n">
        <v>99.31</v>
      </c>
      <c r="L1148" s="14">
        <f>IFERROR(IF(OR(J1148=0,K1148=""),"",IF(E1148="Positivo",MIN(MAX(K1148/J1148,0),1.3),MIN(MAX(J1148/K1148,0),1.3))),"") </f>
        <v/>
      </c>
      <c r="M1148" s="14">
        <f>IFERROR(IF(OR(J1148=0,K1148=""),"",IF(E1148="Positivo",MAX(K1148/J1148,0),MAX(J1148/K1148,0))),"") </f>
        <v/>
      </c>
      <c r="N1148" s="5" t="inlineStr">
        <is>
          <t>ENT</t>
        </is>
      </c>
      <c r="O1148" s="5" t="inlineStr">
        <is>
          <t>ENT</t>
        </is>
      </c>
      <c r="P1148" s="5" t="n">
        <v>0</v>
      </c>
      <c r="Q1148" s="5" t="n">
        <v>0</v>
      </c>
      <c r="R1148" s="5" t="inlineStr">
        <is>
          <t>379-2024-12-31</t>
        </is>
      </c>
    </row>
    <row r="1149">
      <c r="A1149" s="5" t="n">
        <v>379</v>
      </c>
      <c r="B1149" s="5" t="inlineStr">
        <is>
          <t>Total estudiantes nuevos</t>
        </is>
      </c>
      <c r="C1149" s="5" t="inlineStr">
        <is>
          <t>Inscripción, admisión y matrícula de estudiantes nuevos</t>
        </is>
      </c>
      <c r="D1149" s="5" t="inlineStr">
        <is>
          <t>Semestral</t>
        </is>
      </c>
      <c r="E1149" s="5" t="inlineStr">
        <is>
          <t>Positivo</t>
        </is>
      </c>
      <c r="F1149" s="107" t="n">
        <v>45838</v>
      </c>
      <c r="G1149" s="5" t="n">
        <v>2025</v>
      </c>
      <c r="H1149" s="5" t="inlineStr">
        <is>
          <t>Junio</t>
        </is>
      </c>
      <c r="I1149" s="6" t="inlineStr">
        <is>
          <t>2025-1</t>
        </is>
      </c>
      <c r="J1149" s="5" t="n">
        <v>100</v>
      </c>
      <c r="K1149" s="5" t="n">
        <v>104.11</v>
      </c>
      <c r="L1149" s="14">
        <f>IFERROR(IF(OR(J1149=0,K1149=""),"",IF(E1149="Positivo",MIN(MAX(K1149/J1149,0),1.3),MIN(MAX(J1149/K1149,0),1.3))),"") </f>
        <v/>
      </c>
      <c r="M1149" s="14">
        <f>IFERROR(IF(OR(J1149=0,K1149=""),"",IF(E1149="Positivo",MAX(K1149/J1149,0),MAX(J1149/K1149,0))),"") </f>
        <v/>
      </c>
      <c r="N1149" s="5" t="inlineStr">
        <is>
          <t>ENT</t>
        </is>
      </c>
      <c r="O1149" s="5" t="inlineStr">
        <is>
          <t>ENT</t>
        </is>
      </c>
      <c r="P1149" s="5" t="n">
        <v>0</v>
      </c>
      <c r="Q1149" s="5" t="n">
        <v>0</v>
      </c>
      <c r="R1149" s="5" t="inlineStr">
        <is>
          <t>379-2025-06-30</t>
        </is>
      </c>
    </row>
    <row r="1150">
      <c r="A1150" s="5" t="n">
        <v>379</v>
      </c>
      <c r="B1150" s="5" t="inlineStr">
        <is>
          <t>Total estudiantes nuevos</t>
        </is>
      </c>
      <c r="C1150" s="5" t="inlineStr">
        <is>
          <t>Inscripción, admisión y matrícula de estudiantes nuevos</t>
        </is>
      </c>
      <c r="D1150" s="5" t="inlineStr">
        <is>
          <t>Trimestral</t>
        </is>
      </c>
      <c r="E1150" s="5" t="inlineStr">
        <is>
          <t>Positivo</t>
        </is>
      </c>
      <c r="F1150" s="107" t="n">
        <v>46022</v>
      </c>
      <c r="G1150" s="5" t="n">
        <v>2025</v>
      </c>
      <c r="H1150" s="5" t="inlineStr">
        <is>
          <t>Diciembre</t>
        </is>
      </c>
      <c r="I1150" s="6" t="inlineStr">
        <is>
          <t>2025-2</t>
        </is>
      </c>
      <c r="J1150" s="5" t="n">
        <v>100</v>
      </c>
      <c r="K1150" s="5" t="n">
        <v>102.41</v>
      </c>
      <c r="L1150" s="14">
        <f>IFERROR(IF(OR(J1150=0,K1150=""),"",IF(E1150="Positivo",MIN(MAX(K1150/J1150,0),1.3),MIN(MAX(J1150/K1150,0),1.3))),"") </f>
        <v/>
      </c>
      <c r="M1150" s="14">
        <f>IFERROR(IF(OR(J1150=0,K1150=""),"",IF(E1150="Positivo",MAX(K1150/J1150,0),MAX(J1150/K1150,0))),"") </f>
        <v/>
      </c>
      <c r="N1150" s="5" t="inlineStr">
        <is>
          <t>ENT</t>
        </is>
      </c>
      <c r="O1150" s="5" t="inlineStr">
        <is>
          <t>ENT</t>
        </is>
      </c>
      <c r="P1150" s="5" t="n">
        <v>0</v>
      </c>
      <c r="Q1150" s="5" t="n">
        <v>0</v>
      </c>
      <c r="R1150" s="5" t="inlineStr">
        <is>
          <t>379-2025-12-31</t>
        </is>
      </c>
    </row>
    <row r="1151">
      <c r="A1151" s="5" t="n">
        <v>380</v>
      </c>
      <c r="B1151" s="5" t="inlineStr">
        <is>
          <t>Ingresos de matriculas de estudiantes nuevos</t>
        </is>
      </c>
      <c r="C1151" s="5" t="inlineStr">
        <is>
          <t>Inscripción, admisión y matrícula de estudiantes nuevos</t>
        </is>
      </c>
      <c r="D1151" s="5" t="inlineStr">
        <is>
          <t>Semestral</t>
        </is>
      </c>
      <c r="E1151" s="5" t="inlineStr">
        <is>
          <t>Positivo</t>
        </is>
      </c>
      <c r="F1151" s="107" t="n">
        <v>45107</v>
      </c>
      <c r="G1151" s="5" t="n">
        <v>2023</v>
      </c>
      <c r="H1151" s="5" t="inlineStr">
        <is>
          <t>Junio</t>
        </is>
      </c>
      <c r="I1151" s="6" t="inlineStr">
        <is>
          <t>2023-1</t>
        </is>
      </c>
      <c r="J1151" s="5" t="n">
        <v>24659.314309</v>
      </c>
      <c r="K1151" s="5" t="n">
        <v>25754.085546</v>
      </c>
      <c r="L1151" s="14">
        <f>IFERROR(IF(OR(J1151=0,K1151=""),"",IF(E1151="Positivo",MIN(MAX(K1151/J1151,0),1.3),MIN(MAX(J1151/K1151,0),1.3))),"") </f>
        <v/>
      </c>
      <c r="M1151" s="14">
        <f>IFERROR(IF(OR(J1151=0,K1151=""),"",IF(E1151="Positivo",MAX(K1151/J1151,0),MAX(J1151/K1151,0))),"") </f>
        <v/>
      </c>
      <c r="N1151" s="5" t="inlineStr">
        <is>
          <t>$</t>
        </is>
      </c>
      <c r="O1151" s="5" t="inlineStr">
        <is>
          <t>$</t>
        </is>
      </c>
      <c r="P1151" s="5" t="n">
        <v>0</v>
      </c>
      <c r="Q1151" s="5" t="n">
        <v>0</v>
      </c>
      <c r="R1151" s="5" t="inlineStr">
        <is>
          <t>380-2023-06-30</t>
        </is>
      </c>
    </row>
    <row r="1152">
      <c r="A1152" s="5" t="n">
        <v>380</v>
      </c>
      <c r="B1152" s="5" t="inlineStr">
        <is>
          <t>Ingresos de matriculas de estudiantes nuevos</t>
        </is>
      </c>
      <c r="C1152" s="5" t="inlineStr">
        <is>
          <t>Inscripción, admisión y matrícula de estudiantes nuevos</t>
        </is>
      </c>
      <c r="D1152" s="5" t="inlineStr">
        <is>
          <t>Semestral</t>
        </is>
      </c>
      <c r="E1152" s="5" t="inlineStr">
        <is>
          <t>Positivo</t>
        </is>
      </c>
      <c r="F1152" s="107" t="n">
        <v>45291</v>
      </c>
      <c r="G1152" s="5" t="n">
        <v>2023</v>
      </c>
      <c r="H1152" s="5" t="inlineStr">
        <is>
          <t>Diciembre</t>
        </is>
      </c>
      <c r="I1152" s="6" t="inlineStr">
        <is>
          <t>2023-2</t>
        </is>
      </c>
      <c r="J1152" s="5" t="n">
        <v>24724.802794</v>
      </c>
      <c r="K1152" s="5" t="n">
        <v>25340.546506</v>
      </c>
      <c r="L1152" s="14">
        <f>IFERROR(IF(OR(J1152=0,K1152=""),"",IF(E1152="Positivo",MIN(MAX(K1152/J1152,0),1.3),MIN(MAX(J1152/K1152,0),1.3))),"") </f>
        <v/>
      </c>
      <c r="M1152" s="14">
        <f>IFERROR(IF(OR(J1152=0,K1152=""),"",IF(E1152="Positivo",MAX(K1152/J1152,0),MAX(J1152/K1152,0))),"") </f>
        <v/>
      </c>
      <c r="N1152" s="5" t="inlineStr">
        <is>
          <t>$</t>
        </is>
      </c>
      <c r="O1152" s="5" t="inlineStr">
        <is>
          <t>$</t>
        </is>
      </c>
      <c r="P1152" s="5" t="n">
        <v>0</v>
      </c>
      <c r="Q1152" s="5" t="n">
        <v>0</v>
      </c>
      <c r="R1152" s="5" t="inlineStr">
        <is>
          <t>380-2023-12-31</t>
        </is>
      </c>
    </row>
    <row r="1153">
      <c r="A1153" s="5" t="n">
        <v>380</v>
      </c>
      <c r="B1153" s="5" t="inlineStr">
        <is>
          <t>Ingresos de matriculas de estudiantes nuevos</t>
        </is>
      </c>
      <c r="C1153" s="5" t="inlineStr">
        <is>
          <t>Inscripción, admisión y matrícula de estudiantes nuevos</t>
        </is>
      </c>
      <c r="D1153" s="5" t="inlineStr">
        <is>
          <t>Semestral</t>
        </is>
      </c>
      <c r="E1153" s="5" t="inlineStr">
        <is>
          <t>Positivo</t>
        </is>
      </c>
      <c r="F1153" s="107" t="n">
        <v>45473</v>
      </c>
      <c r="G1153" s="5" t="n">
        <v>2024</v>
      </c>
      <c r="H1153" s="5" t="inlineStr">
        <is>
          <t>Junio</t>
        </is>
      </c>
      <c r="I1153" s="6" t="inlineStr">
        <is>
          <t>2024-1</t>
        </is>
      </c>
      <c r="J1153" s="5" t="n">
        <v>29596.26987</v>
      </c>
      <c r="K1153" s="10" t="n">
        <v>28449.632913</v>
      </c>
      <c r="L1153" s="14">
        <f>IFERROR(IF(OR(J1153=0,K1153=""),"",IF(E1153="Positivo",MIN(MAX(K1153/J1153,0),1.3),MIN(MAX(J1153/K1153,0),1.3))),"") </f>
        <v/>
      </c>
      <c r="M1153" s="14">
        <f>IFERROR(IF(OR(J1153=0,K1153=""),"",IF(E1153="Positivo",MAX(K1153/J1153,0),MAX(J1153/K1153,0))),"") </f>
        <v/>
      </c>
      <c r="N1153" s="5" t="inlineStr">
        <is>
          <t>$</t>
        </is>
      </c>
      <c r="O1153" s="5" t="inlineStr">
        <is>
          <t>$</t>
        </is>
      </c>
      <c r="P1153" s="5" t="n">
        <v>0</v>
      </c>
      <c r="Q1153" s="5" t="n">
        <v>0</v>
      </c>
      <c r="R1153" s="5" t="inlineStr">
        <is>
          <t>380-2024-06-30</t>
        </is>
      </c>
    </row>
    <row r="1154">
      <c r="A1154" s="5" t="n">
        <v>380</v>
      </c>
      <c r="B1154" s="5" t="inlineStr">
        <is>
          <t>Ingresos de matriculas de estudiantes nuevos</t>
        </is>
      </c>
      <c r="C1154" s="5" t="inlineStr">
        <is>
          <t>Inscripción, admisión y matrícula de estudiantes nuevos</t>
        </is>
      </c>
      <c r="D1154" s="5" t="inlineStr">
        <is>
          <t>Semestral</t>
        </is>
      </c>
      <c r="E1154" s="5" t="inlineStr">
        <is>
          <t>Positivo</t>
        </is>
      </c>
      <c r="F1154" s="107" t="n">
        <v>45657</v>
      </c>
      <c r="G1154" s="5" t="n">
        <v>2024</v>
      </c>
      <c r="H1154" s="5" t="inlineStr">
        <is>
          <t>Diciembre</t>
        </is>
      </c>
      <c r="I1154" s="6" t="inlineStr">
        <is>
          <t>2024-2</t>
        </is>
      </c>
      <c r="J1154" s="5" t="n">
        <v>100</v>
      </c>
      <c r="K1154" s="5" t="n">
        <v>78.92</v>
      </c>
      <c r="L1154" s="14">
        <f>IFERROR(IF(OR(J1154=0,K1154=""),"",IF(E1154="Positivo",MIN(MAX(K1154/J1154,0),1.3),MIN(MAX(J1154/K1154,0),1.3))),"") </f>
        <v/>
      </c>
      <c r="M1154" s="14">
        <f>IFERROR(IF(OR(J1154=0,K1154=""),"",IF(E1154="Positivo",MAX(K1154/J1154,0),MAX(J1154/K1154,0))),"") </f>
        <v/>
      </c>
      <c r="N1154" s="5" t="n"/>
      <c r="O1154" s="5" t="n"/>
      <c r="P1154" s="5" t="n">
        <v>0</v>
      </c>
      <c r="Q1154" s="5" t="n">
        <v>0</v>
      </c>
      <c r="R1154" s="5" t="inlineStr">
        <is>
          <t>380-2024-12-31</t>
        </is>
      </c>
    </row>
    <row r="1155">
      <c r="A1155" s="5" t="n">
        <v>381</v>
      </c>
      <c r="B1155" s="5" t="inlineStr">
        <is>
          <t>Cumplimiento de matrículas pregrado presencial nuevos</t>
        </is>
      </c>
      <c r="C1155" s="5" t="inlineStr">
        <is>
          <t>Inscripción, admisión y matrícula de estudiantes nuevos</t>
        </is>
      </c>
      <c r="D1155" s="5" t="inlineStr">
        <is>
          <t>Semestral</t>
        </is>
      </c>
      <c r="E1155" s="5" t="inlineStr">
        <is>
          <t>Positivo</t>
        </is>
      </c>
      <c r="F1155" s="107" t="n">
        <v>45107</v>
      </c>
      <c r="G1155" s="5" t="n">
        <v>2023</v>
      </c>
      <c r="H1155" s="5" t="inlineStr">
        <is>
          <t>Junio</t>
        </is>
      </c>
      <c r="I1155" s="6" t="inlineStr">
        <is>
          <t>2023-1</t>
        </is>
      </c>
      <c r="J1155" s="76" t="n">
        <v>100</v>
      </c>
      <c r="K1155" s="10" t="n">
        <v>104.27170868347</v>
      </c>
      <c r="L1155" s="14">
        <f>IFERROR(IF(OR(J1155=0,K1155=""),"",IF(E1155="Positivo",MIN(MAX(K1155/J1155,0),1.3),MIN(MAX(J1155/K1155,0),1.3))),"") </f>
        <v/>
      </c>
      <c r="M1155" s="14">
        <f>IFERROR(IF(OR(J1155=0,K1155=""),"",IF(E1155="Positivo",MAX(K1155/J1155,0),MAX(J1155/K1155,0))),"") </f>
        <v/>
      </c>
      <c r="N1155" s="5" t="inlineStr">
        <is>
          <t>ENT</t>
        </is>
      </c>
      <c r="O1155" s="5" t="inlineStr">
        <is>
          <t>ENT</t>
        </is>
      </c>
      <c r="P1155" s="5" t="n">
        <v>0</v>
      </c>
      <c r="Q1155" s="5" t="n">
        <v>0</v>
      </c>
      <c r="R1155" s="5" t="inlineStr">
        <is>
          <t>381-2023-06-30</t>
        </is>
      </c>
    </row>
    <row r="1156">
      <c r="A1156" s="5" t="n">
        <v>381</v>
      </c>
      <c r="B1156" s="5" t="inlineStr">
        <is>
          <t>Cumplimiento de matrículas pregrado presencial nuevos</t>
        </is>
      </c>
      <c r="C1156" s="5" t="inlineStr">
        <is>
          <t>Inscripción, admisión y matrícula de estudiantes nuevos</t>
        </is>
      </c>
      <c r="D1156" s="5" t="inlineStr">
        <is>
          <t>Semestral</t>
        </is>
      </c>
      <c r="E1156" s="5" t="inlineStr">
        <is>
          <t>Positivo</t>
        </is>
      </c>
      <c r="F1156" s="107" t="n">
        <v>45291</v>
      </c>
      <c r="G1156" s="5" t="n">
        <v>2023</v>
      </c>
      <c r="H1156" s="5" t="inlineStr">
        <is>
          <t>Diciembre</t>
        </is>
      </c>
      <c r="I1156" s="6" t="inlineStr">
        <is>
          <t>2023-2</t>
        </is>
      </c>
      <c r="J1156" s="5" t="n">
        <v>100</v>
      </c>
      <c r="K1156" s="9" t="n">
        <v>113.7</v>
      </c>
      <c r="L1156" s="14">
        <f>IFERROR(IF(OR(J1156=0,K1156=""),"",IF(E1156="Positivo",MIN(MAX(K1156/J1156,0),1.3),MIN(MAX(J1156/K1156,0),1.3))),"") </f>
        <v/>
      </c>
      <c r="M1156" s="14">
        <f>IFERROR(IF(OR(J1156=0,K1156=""),"",IF(E1156="Positivo",MAX(K1156/J1156,0),MAX(J1156/K1156,0))),"") </f>
        <v/>
      </c>
      <c r="N1156" s="5" t="inlineStr">
        <is>
          <t>ENT</t>
        </is>
      </c>
      <c r="O1156" s="5" t="inlineStr">
        <is>
          <t>ENT</t>
        </is>
      </c>
      <c r="P1156" s="5" t="n">
        <v>0</v>
      </c>
      <c r="Q1156" s="5" t="n">
        <v>0</v>
      </c>
      <c r="R1156" s="5" t="inlineStr">
        <is>
          <t>381-2023-12-31</t>
        </is>
      </c>
    </row>
    <row r="1157">
      <c r="A1157" s="5" t="n">
        <v>381</v>
      </c>
      <c r="B1157" s="5" t="inlineStr">
        <is>
          <t>Cumplimiento de matrículas pregrado presencial nuevos</t>
        </is>
      </c>
      <c r="C1157" s="5" t="inlineStr">
        <is>
          <t>Inscripción, admisión y matrícula de estudiantes nuevos</t>
        </is>
      </c>
      <c r="D1157" s="5" t="inlineStr">
        <is>
          <t>Semestral</t>
        </is>
      </c>
      <c r="E1157" s="5" t="inlineStr">
        <is>
          <t>Positivo</t>
        </is>
      </c>
      <c r="F1157" s="107" t="n">
        <v>45473</v>
      </c>
      <c r="G1157" s="5" t="n">
        <v>2024</v>
      </c>
      <c r="H1157" s="5" t="inlineStr">
        <is>
          <t>Junio</t>
        </is>
      </c>
      <c r="I1157" s="6" t="inlineStr">
        <is>
          <t>2024-1</t>
        </is>
      </c>
      <c r="J1157" s="5" t="n">
        <v>100</v>
      </c>
      <c r="K1157" s="10" t="n">
        <v>105.26</v>
      </c>
      <c r="L1157" s="14">
        <f>IFERROR(IF(OR(J1157=0,K1157=""),"",IF(E1157="Positivo",MIN(MAX(K1157/J1157,0),1.3),MIN(MAX(J1157/K1157,0),1.3))),"") </f>
        <v/>
      </c>
      <c r="M1157" s="14">
        <f>IFERROR(IF(OR(J1157=0,K1157=""),"",IF(E1157="Positivo",MAX(K1157/J1157,0),MAX(J1157/K1157,0))),"") </f>
        <v/>
      </c>
      <c r="N1157" s="5" t="inlineStr">
        <is>
          <t>ENT</t>
        </is>
      </c>
      <c r="O1157" s="5" t="inlineStr">
        <is>
          <t>ENT</t>
        </is>
      </c>
      <c r="P1157" s="5" t="n">
        <v>0</v>
      </c>
      <c r="Q1157" s="5" t="n">
        <v>0</v>
      </c>
      <c r="R1157" s="5" t="inlineStr">
        <is>
          <t>381-2024-06-30</t>
        </is>
      </c>
    </row>
    <row r="1158">
      <c r="A1158" s="5" t="n">
        <v>381</v>
      </c>
      <c r="B1158" s="5" t="inlineStr">
        <is>
          <t>Cumplimiento de matrículas pregrado presencial nuevos</t>
        </is>
      </c>
      <c r="C1158" s="5" t="inlineStr">
        <is>
          <t>Inscripción, admisión y matrícula de estudiantes nuevos</t>
        </is>
      </c>
      <c r="D1158" s="5" t="inlineStr">
        <is>
          <t>Semestral</t>
        </is>
      </c>
      <c r="E1158" s="5" t="inlineStr">
        <is>
          <t>Positivo</t>
        </is>
      </c>
      <c r="F1158" s="107" t="n">
        <v>45657</v>
      </c>
      <c r="G1158" s="5" t="n">
        <v>2024</v>
      </c>
      <c r="H1158" s="5" t="inlineStr">
        <is>
          <t>Diciembre</t>
        </is>
      </c>
      <c r="I1158" s="6" t="inlineStr">
        <is>
          <t>2024-2</t>
        </is>
      </c>
      <c r="J1158" s="5" t="n">
        <v>100</v>
      </c>
      <c r="K1158" s="11" t="n">
        <v>89.19</v>
      </c>
      <c r="L1158" s="14">
        <f>IFERROR(IF(OR(J1158=0,K1158=""),"",IF(E1158="Positivo",MIN(MAX(K1158/J1158,0),1.3),MIN(MAX(J1158/K1158,0),1.3))),"") </f>
        <v/>
      </c>
      <c r="M1158" s="14">
        <f>IFERROR(IF(OR(J1158=0,K1158=""),"",IF(E1158="Positivo",MAX(K1158/J1158,0),MAX(J1158/K1158,0))),"") </f>
        <v/>
      </c>
      <c r="N1158" s="5" t="inlineStr">
        <is>
          <t>ENT</t>
        </is>
      </c>
      <c r="O1158" s="5" t="inlineStr">
        <is>
          <t>ENT</t>
        </is>
      </c>
      <c r="P1158" s="5" t="n">
        <v>0</v>
      </c>
      <c r="Q1158" s="5" t="n">
        <v>0</v>
      </c>
      <c r="R1158" s="5" t="inlineStr">
        <is>
          <t>381-2024-12-31</t>
        </is>
      </c>
    </row>
    <row r="1159">
      <c r="A1159" s="5" t="n">
        <v>381</v>
      </c>
      <c r="B1159" s="5" t="inlineStr">
        <is>
          <t>Cumplimiento de matrículas pregrado presencial nuevos</t>
        </is>
      </c>
      <c r="C1159" s="5" t="inlineStr">
        <is>
          <t>Inscripción, admisión y matrícula de estudiantes nuevos</t>
        </is>
      </c>
      <c r="D1159" s="5" t="inlineStr">
        <is>
          <t>Semestral</t>
        </is>
      </c>
      <c r="E1159" s="5" t="inlineStr">
        <is>
          <t>Positivo</t>
        </is>
      </c>
      <c r="F1159" s="107" t="n">
        <v>45838</v>
      </c>
      <c r="G1159" s="5" t="n">
        <v>2025</v>
      </c>
      <c r="H1159" s="5" t="inlineStr">
        <is>
          <t>Junio</t>
        </is>
      </c>
      <c r="I1159" s="6" t="inlineStr">
        <is>
          <t>2025-1</t>
        </is>
      </c>
      <c r="J1159" s="5" t="n">
        <v>100</v>
      </c>
      <c r="K1159" s="5" t="n">
        <v>98.22</v>
      </c>
      <c r="L1159" s="14">
        <f>IFERROR(IF(OR(J1159=0,K1159=""),"",IF(E1159="Positivo",MIN(MAX(K1159/J1159,0),1.3),MIN(MAX(J1159/K1159,0),1.3))),"") </f>
        <v/>
      </c>
      <c r="M1159" s="14">
        <f>IFERROR(IF(OR(J1159=0,K1159=""),"",IF(E1159="Positivo",MAX(K1159/J1159,0),MAX(J1159/K1159,0))),"") </f>
        <v/>
      </c>
      <c r="N1159" s="5" t="inlineStr">
        <is>
          <t>ENT</t>
        </is>
      </c>
      <c r="O1159" s="5" t="inlineStr">
        <is>
          <t>ENT</t>
        </is>
      </c>
      <c r="P1159" s="5" t="n">
        <v>0</v>
      </c>
      <c r="Q1159" s="5" t="n">
        <v>0</v>
      </c>
      <c r="R1159" s="5" t="inlineStr">
        <is>
          <t>381-2025-06-30</t>
        </is>
      </c>
    </row>
    <row r="1160">
      <c r="A1160" s="5" t="n">
        <v>381</v>
      </c>
      <c r="B1160" s="5" t="inlineStr">
        <is>
          <t>Cumplimiento de matrículas pregrado presencial nuevos</t>
        </is>
      </c>
      <c r="C1160" s="5" t="inlineStr">
        <is>
          <t>Inscripción, admisión y matrícula de estudiantes nuevos</t>
        </is>
      </c>
      <c r="D1160" s="5" t="inlineStr">
        <is>
          <t>Trimestral</t>
        </is>
      </c>
      <c r="E1160" s="5" t="inlineStr">
        <is>
          <t>Positivo</t>
        </is>
      </c>
      <c r="F1160" s="107" t="n">
        <v>46022</v>
      </c>
      <c r="G1160" s="5" t="n">
        <v>2025</v>
      </c>
      <c r="H1160" s="5" t="inlineStr">
        <is>
          <t>Diciembre</t>
        </is>
      </c>
      <c r="I1160" s="6" t="inlineStr">
        <is>
          <t>2025-2</t>
        </is>
      </c>
      <c r="J1160" s="5" t="n">
        <v>100</v>
      </c>
      <c r="K1160" s="5" t="n">
        <v>113.66</v>
      </c>
      <c r="L1160" s="14">
        <f>IFERROR(IF(OR(J1160=0,K1160=""),"",IF(E1160="Positivo",MIN(MAX(K1160/J1160,0),1.3),MIN(MAX(J1160/K1160,0),1.3))),"") </f>
        <v/>
      </c>
      <c r="M1160" s="14">
        <f>IFERROR(IF(OR(J1160=0,K1160=""),"",IF(E1160="Positivo",MAX(K1160/J1160,0),MAX(J1160/K1160,0))),"") </f>
        <v/>
      </c>
      <c r="N1160" s="5" t="inlineStr">
        <is>
          <t>ENT</t>
        </is>
      </c>
      <c r="O1160" s="5" t="inlineStr">
        <is>
          <t>ENT</t>
        </is>
      </c>
      <c r="P1160" s="5" t="n">
        <v>0</v>
      </c>
      <c r="Q1160" s="5" t="n">
        <v>0</v>
      </c>
      <c r="R1160" s="5" t="inlineStr">
        <is>
          <t>381-2025-12-31</t>
        </is>
      </c>
    </row>
    <row r="1161">
      <c r="A1161" s="5" t="n">
        <v>382</v>
      </c>
      <c r="B1161" s="5" t="inlineStr">
        <is>
          <t>Cumplimiento de matrículas pregrado virtual nuevos</t>
        </is>
      </c>
      <c r="C1161" s="5" t="inlineStr">
        <is>
          <t>Inscripción, admisión y matrícula de estudiantes nuevos</t>
        </is>
      </c>
      <c r="D1161" s="5" t="inlineStr">
        <is>
          <t>Semestral</t>
        </is>
      </c>
      <c r="E1161" s="5" t="inlineStr">
        <is>
          <t>Positivo</t>
        </is>
      </c>
      <c r="F1161" s="107" t="n">
        <v>45107</v>
      </c>
      <c r="G1161" s="5" t="n">
        <v>2023</v>
      </c>
      <c r="H1161" s="5" t="inlineStr">
        <is>
          <t>Junio</t>
        </is>
      </c>
      <c r="I1161" s="6" t="inlineStr">
        <is>
          <t>2023-1</t>
        </is>
      </c>
      <c r="J1161" s="5" t="n">
        <v>100</v>
      </c>
      <c r="K1161" s="5" t="n">
        <v>101.25041131951</v>
      </c>
      <c r="L1161" s="14">
        <f>IFERROR(IF(OR(J1161=0,K1161=""),"",IF(E1161="Positivo",MIN(MAX(K1161/J1161,0),1.3),MIN(MAX(J1161/K1161,0),1.3))),"") </f>
        <v/>
      </c>
      <c r="M1161" s="14">
        <f>IFERROR(IF(OR(J1161=0,K1161=""),"",IF(E1161="Positivo",MAX(K1161/J1161,0),MAX(J1161/K1161,0))),"") </f>
        <v/>
      </c>
      <c r="N1161" s="5" t="inlineStr">
        <is>
          <t>ENT</t>
        </is>
      </c>
      <c r="O1161" s="5" t="inlineStr">
        <is>
          <t>ENT</t>
        </is>
      </c>
      <c r="P1161" s="5" t="n">
        <v>0</v>
      </c>
      <c r="Q1161" s="5" t="n">
        <v>0</v>
      </c>
      <c r="R1161" s="5" t="inlineStr">
        <is>
          <t>382-2023-06-30</t>
        </is>
      </c>
    </row>
    <row r="1162">
      <c r="A1162" s="5" t="n">
        <v>382</v>
      </c>
      <c r="B1162" s="5" t="inlineStr">
        <is>
          <t>Cumplimiento de matrículas pregrado virtual nuevos</t>
        </is>
      </c>
      <c r="C1162" s="5" t="inlineStr">
        <is>
          <t>Inscripción, admisión y matrícula de estudiantes nuevos</t>
        </is>
      </c>
      <c r="D1162" s="5" t="inlineStr">
        <is>
          <t>Semestral</t>
        </is>
      </c>
      <c r="E1162" s="5" t="inlineStr">
        <is>
          <t>Positivo</t>
        </is>
      </c>
      <c r="F1162" s="107" t="n">
        <v>45291</v>
      </c>
      <c r="G1162" s="5" t="n">
        <v>2023</v>
      </c>
      <c r="H1162" s="5" t="inlineStr">
        <is>
          <t>Diciembre</t>
        </is>
      </c>
      <c r="I1162" s="6" t="inlineStr">
        <is>
          <t>2023-2</t>
        </is>
      </c>
      <c r="J1162" s="5" t="n">
        <v>100</v>
      </c>
      <c r="K1162" s="5" t="n">
        <v>103.01</v>
      </c>
      <c r="L1162" s="14">
        <f>IFERROR(IF(OR(J1162=0,K1162=""),"",IF(E1162="Positivo",MIN(MAX(K1162/J1162,0),1.3),MIN(MAX(J1162/K1162,0),1.3))),"") </f>
        <v/>
      </c>
      <c r="M1162" s="14">
        <f>IFERROR(IF(OR(J1162=0,K1162=""),"",IF(E1162="Positivo",MAX(K1162/J1162,0),MAX(J1162/K1162,0))),"") </f>
        <v/>
      </c>
      <c r="N1162" s="5" t="inlineStr">
        <is>
          <t>ENT</t>
        </is>
      </c>
      <c r="O1162" s="5" t="inlineStr">
        <is>
          <t>ENT</t>
        </is>
      </c>
      <c r="P1162" s="5" t="n">
        <v>0</v>
      </c>
      <c r="Q1162" s="5" t="n">
        <v>0</v>
      </c>
      <c r="R1162" s="5" t="inlineStr">
        <is>
          <t>382-2023-12-31</t>
        </is>
      </c>
    </row>
    <row r="1163">
      <c r="A1163" s="5" t="n">
        <v>382</v>
      </c>
      <c r="B1163" s="5" t="inlineStr">
        <is>
          <t>Cumplimiento de matrículas pregrado virtual nuevos</t>
        </is>
      </c>
      <c r="C1163" s="5" t="inlineStr">
        <is>
          <t>Inscripción, admisión y matrícula de estudiantes nuevos</t>
        </is>
      </c>
      <c r="D1163" s="5" t="inlineStr">
        <is>
          <t>Semestral</t>
        </is>
      </c>
      <c r="E1163" s="5" t="inlineStr">
        <is>
          <t>Positivo</t>
        </is>
      </c>
      <c r="F1163" s="107" t="n">
        <v>45473</v>
      </c>
      <c r="G1163" s="5" t="n">
        <v>2024</v>
      </c>
      <c r="H1163" s="5" t="inlineStr">
        <is>
          <t>Junio</t>
        </is>
      </c>
      <c r="I1163" s="6" t="inlineStr">
        <is>
          <t>2024-1</t>
        </is>
      </c>
      <c r="J1163" s="5" t="n">
        <v>100</v>
      </c>
      <c r="K1163" s="5" t="n">
        <v>93.7</v>
      </c>
      <c r="L1163" s="14">
        <f>IFERROR(IF(OR(J1163=0,K1163=""),"",IF(E1163="Positivo",MIN(MAX(K1163/J1163,0),1.3),MIN(MAX(J1163/K1163,0),1.3))),"") </f>
        <v/>
      </c>
      <c r="M1163" s="14">
        <f>IFERROR(IF(OR(J1163=0,K1163=""),"",IF(E1163="Positivo",MAX(K1163/J1163,0),MAX(J1163/K1163,0))),"") </f>
        <v/>
      </c>
      <c r="N1163" s="5" t="inlineStr">
        <is>
          <t>ENT</t>
        </is>
      </c>
      <c r="O1163" s="5" t="inlineStr">
        <is>
          <t>ENT</t>
        </is>
      </c>
      <c r="P1163" s="5" t="n">
        <v>0</v>
      </c>
      <c r="Q1163" s="5" t="n">
        <v>0</v>
      </c>
      <c r="R1163" s="5" t="inlineStr">
        <is>
          <t>382-2024-06-30</t>
        </is>
      </c>
    </row>
    <row r="1164">
      <c r="A1164" s="26" t="n">
        <v>382</v>
      </c>
      <c r="B1164" s="5" t="inlineStr">
        <is>
          <t>Cumplimiento de matrículas pregrado virtual nuevos</t>
        </is>
      </c>
      <c r="C1164" s="5" t="inlineStr">
        <is>
          <t>Inscripción, admisión y matrícula de estudiantes nuevos</t>
        </is>
      </c>
      <c r="D1164" s="5" t="inlineStr">
        <is>
          <t>Semestral</t>
        </is>
      </c>
      <c r="E1164" s="5" t="inlineStr">
        <is>
          <t>Positivo</t>
        </is>
      </c>
      <c r="F1164" s="107" t="n">
        <v>45657</v>
      </c>
      <c r="G1164" s="5" t="n">
        <v>2024</v>
      </c>
      <c r="H1164" s="5" t="inlineStr">
        <is>
          <t>Diciembre</t>
        </is>
      </c>
      <c r="I1164" s="6" t="inlineStr">
        <is>
          <t>2024-2</t>
        </is>
      </c>
      <c r="J1164" s="5" t="n">
        <v>100</v>
      </c>
      <c r="K1164" s="5" t="n">
        <v>98.13</v>
      </c>
      <c r="L1164" s="14">
        <f>IFERROR(IF(OR(J1164=0,K1164=""),"",IF(E1164="Positivo",MIN(MAX(K1164/J1164,0),1.3),MIN(MAX(J1164/K1164,0),1.3))),"") </f>
        <v/>
      </c>
      <c r="M1164" s="14">
        <f>IFERROR(IF(OR(J1164=0,K1164=""),"",IF(E1164="Positivo",MAX(K1164/J1164,0),MAX(J1164/K1164,0))),"") </f>
        <v/>
      </c>
      <c r="N1164" s="5" t="inlineStr">
        <is>
          <t>ENT</t>
        </is>
      </c>
      <c r="O1164" s="5" t="inlineStr">
        <is>
          <t>ENT</t>
        </is>
      </c>
      <c r="P1164" s="5" t="n">
        <v>0</v>
      </c>
      <c r="Q1164" s="5" t="n">
        <v>0</v>
      </c>
      <c r="R1164" s="5" t="inlineStr">
        <is>
          <t>382-2024-12-31</t>
        </is>
      </c>
    </row>
    <row r="1165">
      <c r="A1165" s="5" t="n">
        <v>382</v>
      </c>
      <c r="B1165" s="5" t="inlineStr">
        <is>
          <t>Cumplimiento de matrículas pregrado virtual nuevos</t>
        </is>
      </c>
      <c r="C1165" s="5" t="inlineStr">
        <is>
          <t>Inscripción, admisión y matrícula de estudiantes nuevos</t>
        </is>
      </c>
      <c r="D1165" s="5" t="inlineStr">
        <is>
          <t>Semestral</t>
        </is>
      </c>
      <c r="E1165" s="5" t="inlineStr">
        <is>
          <t>Positivo</t>
        </is>
      </c>
      <c r="F1165" s="107" t="n">
        <v>45838</v>
      </c>
      <c r="G1165" s="5" t="n">
        <v>2025</v>
      </c>
      <c r="H1165" s="5" t="inlineStr">
        <is>
          <t>Junio</t>
        </is>
      </c>
      <c r="I1165" s="6" t="inlineStr">
        <is>
          <t>2025-1</t>
        </is>
      </c>
      <c r="J1165" s="5" t="n">
        <v>100</v>
      </c>
      <c r="K1165" s="10" t="n">
        <v>99.84999999999999</v>
      </c>
      <c r="L1165" s="14">
        <f>IFERROR(IF(OR(J1165=0,K1165=""),"",IF(E1165="Positivo",MIN(MAX(K1165/J1165,0),1.3),MIN(MAX(J1165/K1165,0),1.3))),"") </f>
        <v/>
      </c>
      <c r="M1165" s="14">
        <f>IFERROR(IF(OR(J1165=0,K1165=""),"",IF(E1165="Positivo",MAX(K1165/J1165,0),MAX(J1165/K1165,0))),"") </f>
        <v/>
      </c>
      <c r="N1165" s="5" t="inlineStr">
        <is>
          <t>ENT</t>
        </is>
      </c>
      <c r="O1165" s="5" t="inlineStr">
        <is>
          <t>ENT</t>
        </is>
      </c>
      <c r="P1165" s="5" t="n">
        <v>0</v>
      </c>
      <c r="Q1165" s="5" t="n">
        <v>0</v>
      </c>
      <c r="R1165" s="5" t="inlineStr">
        <is>
          <t>382-2025-06-30</t>
        </is>
      </c>
    </row>
    <row r="1166">
      <c r="A1166" s="5" t="n">
        <v>382</v>
      </c>
      <c r="B1166" s="5" t="inlineStr">
        <is>
          <t>Cumplimiento de matrículas pregrado virtual nuevos</t>
        </is>
      </c>
      <c r="C1166" s="5" t="inlineStr">
        <is>
          <t>Inscripción, admisión y matrícula de estudiantes nuevos</t>
        </is>
      </c>
      <c r="D1166" s="5" t="inlineStr">
        <is>
          <t>Trimestral</t>
        </is>
      </c>
      <c r="E1166" s="5" t="inlineStr">
        <is>
          <t>Positivo</t>
        </is>
      </c>
      <c r="F1166" s="107" t="n">
        <v>46022</v>
      </c>
      <c r="G1166" s="5" t="n">
        <v>2025</v>
      </c>
      <c r="H1166" s="5" t="inlineStr">
        <is>
          <t>Diciembre</t>
        </is>
      </c>
      <c r="I1166" s="6" t="inlineStr">
        <is>
          <t>2025-2</t>
        </is>
      </c>
      <c r="J1166" s="5" t="n">
        <v>100</v>
      </c>
      <c r="K1166" s="5" t="n">
        <v>97.20999999999999</v>
      </c>
      <c r="L1166" s="14">
        <f>IFERROR(IF(OR(J1166=0,K1166=""),"",IF(E1166="Positivo",MIN(MAX(K1166/J1166,0),1.3),MIN(MAX(J1166/K1166,0),1.3))),"") </f>
        <v/>
      </c>
      <c r="M1166" s="14">
        <f>IFERROR(IF(OR(J1166=0,K1166=""),"",IF(E1166="Positivo",MAX(K1166/J1166,0),MAX(J1166/K1166,0))),"") </f>
        <v/>
      </c>
      <c r="N1166" s="5" t="inlineStr">
        <is>
          <t>ENT</t>
        </is>
      </c>
      <c r="O1166" s="5" t="inlineStr">
        <is>
          <t>ENT</t>
        </is>
      </c>
      <c r="P1166" s="5" t="n">
        <v>0</v>
      </c>
      <c r="Q1166" s="5" t="n">
        <v>0</v>
      </c>
      <c r="R1166" s="5" t="inlineStr">
        <is>
          <t>382-2025-12-31</t>
        </is>
      </c>
    </row>
    <row r="1167">
      <c r="A1167" s="5" t="n">
        <v>383</v>
      </c>
      <c r="B1167" s="5" t="inlineStr">
        <is>
          <t>Cumplimiento de matrículas posgrado virtual nuevos</t>
        </is>
      </c>
      <c r="C1167" s="5" t="inlineStr">
        <is>
          <t>Inscripción, admisión y matrícula de estudiantes nuevos</t>
        </is>
      </c>
      <c r="D1167" s="5" t="inlineStr">
        <is>
          <t>Semestral</t>
        </is>
      </c>
      <c r="E1167" s="5" t="inlineStr">
        <is>
          <t>Positivo</t>
        </is>
      </c>
      <c r="F1167" s="107" t="n">
        <v>45107</v>
      </c>
      <c r="G1167" s="5" t="n">
        <v>2023</v>
      </c>
      <c r="H1167" s="5" t="inlineStr">
        <is>
          <t>Junio</t>
        </is>
      </c>
      <c r="I1167" s="6" t="inlineStr">
        <is>
          <t>2023-1</t>
        </is>
      </c>
      <c r="J1167" s="5" t="n">
        <v>100</v>
      </c>
      <c r="K1167" s="10" t="n">
        <v>109.38232994527</v>
      </c>
      <c r="L1167" s="14">
        <f>IFERROR(IF(OR(J1167=0,K1167=""),"",IF(E1167="Positivo",MIN(MAX(K1167/J1167,0),1.3),MIN(MAX(J1167/K1167,0),1.3))),"") </f>
        <v/>
      </c>
      <c r="M1167" s="14">
        <f>IFERROR(IF(OR(J1167=0,K1167=""),"",IF(E1167="Positivo",MAX(K1167/J1167,0),MAX(J1167/K1167,0))),"") </f>
        <v/>
      </c>
      <c r="N1167" s="5" t="inlineStr">
        <is>
          <t>ENT</t>
        </is>
      </c>
      <c r="O1167" s="5" t="inlineStr">
        <is>
          <t>ENT</t>
        </is>
      </c>
      <c r="P1167" s="5" t="n">
        <v>0</v>
      </c>
      <c r="Q1167" s="5" t="n">
        <v>0</v>
      </c>
      <c r="R1167" s="5" t="inlineStr">
        <is>
          <t>383-2023-06-30</t>
        </is>
      </c>
    </row>
    <row r="1168">
      <c r="A1168" s="5" t="n">
        <v>383</v>
      </c>
      <c r="B1168" s="5" t="inlineStr">
        <is>
          <t>Cumplimiento de matrículas posgrado virtual nuevos</t>
        </is>
      </c>
      <c r="C1168" s="5" t="inlineStr">
        <is>
          <t>Inscripción, admisión y matrícula de estudiantes nuevos</t>
        </is>
      </c>
      <c r="D1168" s="5" t="inlineStr">
        <is>
          <t>Semestral</t>
        </is>
      </c>
      <c r="E1168" s="5" t="inlineStr">
        <is>
          <t>Positivo</t>
        </is>
      </c>
      <c r="F1168" s="107" t="n">
        <v>45291</v>
      </c>
      <c r="G1168" s="5" t="n">
        <v>2023</v>
      </c>
      <c r="H1168" s="5" t="inlineStr">
        <is>
          <t>Diciembre</t>
        </is>
      </c>
      <c r="I1168" s="6" t="inlineStr">
        <is>
          <t>2023-2</t>
        </is>
      </c>
      <c r="J1168" s="5" t="n">
        <v>100</v>
      </c>
      <c r="K1168" s="5" t="n">
        <v>148.66</v>
      </c>
      <c r="L1168" s="14">
        <f>IFERROR(IF(OR(J1168=0,K1168=""),"",IF(E1168="Positivo",MIN(MAX(K1168/J1168,0),1.3),MIN(MAX(J1168/K1168,0),1.3))),"") </f>
        <v/>
      </c>
      <c r="M1168" s="14">
        <f>IFERROR(IF(OR(J1168=0,K1168=""),"",IF(E1168="Positivo",MAX(K1168/J1168,0),MAX(J1168/K1168,0))),"") </f>
        <v/>
      </c>
      <c r="N1168" s="5" t="inlineStr">
        <is>
          <t>ENT</t>
        </is>
      </c>
      <c r="O1168" s="5" t="inlineStr">
        <is>
          <t>ENT</t>
        </is>
      </c>
      <c r="P1168" s="5" t="n">
        <v>0</v>
      </c>
      <c r="Q1168" s="5" t="n">
        <v>0</v>
      </c>
      <c r="R1168" s="5" t="inlineStr">
        <is>
          <t>383-2023-12-31</t>
        </is>
      </c>
    </row>
    <row r="1169">
      <c r="A1169" s="5" t="n">
        <v>383</v>
      </c>
      <c r="B1169" s="5" t="inlineStr">
        <is>
          <t>Cumplimiento de matrículas posgrado virtual nuevos</t>
        </is>
      </c>
      <c r="C1169" s="5" t="inlineStr">
        <is>
          <t>Inscripción, admisión y matrícula de estudiantes nuevos</t>
        </is>
      </c>
      <c r="D1169" s="5" t="inlineStr">
        <is>
          <t>Semestral</t>
        </is>
      </c>
      <c r="E1169" s="5" t="inlineStr">
        <is>
          <t>Positivo</t>
        </is>
      </c>
      <c r="F1169" s="107" t="n">
        <v>45473</v>
      </c>
      <c r="G1169" s="5" t="n">
        <v>2024</v>
      </c>
      <c r="H1169" s="5" t="inlineStr">
        <is>
          <t>Junio</t>
        </is>
      </c>
      <c r="I1169" s="6" t="inlineStr">
        <is>
          <t>2024-1</t>
        </is>
      </c>
      <c r="J1169" s="5" t="n">
        <v>100</v>
      </c>
      <c r="K1169" s="5" t="n">
        <v>100.2</v>
      </c>
      <c r="L1169" s="14">
        <f>IFERROR(IF(OR(J1169=0,K1169=""),"",IF(E1169="Positivo",MIN(MAX(K1169/J1169,0),1.3),MIN(MAX(J1169/K1169,0),1.3))),"") </f>
        <v/>
      </c>
      <c r="M1169" s="14">
        <f>IFERROR(IF(OR(J1169=0,K1169=""),"",IF(E1169="Positivo",MAX(K1169/J1169,0),MAX(J1169/K1169,0))),"") </f>
        <v/>
      </c>
      <c r="N1169" s="5" t="inlineStr">
        <is>
          <t>ENT</t>
        </is>
      </c>
      <c r="O1169" s="5" t="inlineStr">
        <is>
          <t>ENT</t>
        </is>
      </c>
      <c r="P1169" s="5" t="n">
        <v>0</v>
      </c>
      <c r="Q1169" s="5" t="n">
        <v>0</v>
      </c>
      <c r="R1169" s="5" t="inlineStr">
        <is>
          <t>383-2024-06-30</t>
        </is>
      </c>
    </row>
    <row r="1170">
      <c r="A1170" s="5" t="n">
        <v>383</v>
      </c>
      <c r="B1170" s="5" t="inlineStr">
        <is>
          <t>Cumplimiento de matrículas posgrado virtual nuevos</t>
        </is>
      </c>
      <c r="C1170" s="5" t="inlineStr">
        <is>
          <t>Inscripción, admisión y matrícula de estudiantes nuevos</t>
        </is>
      </c>
      <c r="D1170" s="5" t="inlineStr">
        <is>
          <t>Semestral</t>
        </is>
      </c>
      <c r="E1170" s="5" t="inlineStr">
        <is>
          <t>Positivo</t>
        </is>
      </c>
      <c r="F1170" s="107" t="n">
        <v>45657</v>
      </c>
      <c r="G1170" s="5" t="n">
        <v>2024</v>
      </c>
      <c r="H1170" s="5" t="inlineStr">
        <is>
          <t>Diciembre</t>
        </is>
      </c>
      <c r="I1170" s="6" t="inlineStr">
        <is>
          <t>2024-2</t>
        </is>
      </c>
      <c r="J1170" s="5" t="n">
        <v>100</v>
      </c>
      <c r="K1170" s="5" t="n">
        <v>120.71</v>
      </c>
      <c r="L1170" s="14">
        <f>IFERROR(IF(OR(J1170=0,K1170=""),"",IF(E1170="Positivo",MIN(MAX(K1170/J1170,0),1.3),MIN(MAX(J1170/K1170,0),1.3))),"") </f>
        <v/>
      </c>
      <c r="M1170" s="14">
        <f>IFERROR(IF(OR(J1170=0,K1170=""),"",IF(E1170="Positivo",MAX(K1170/J1170,0),MAX(J1170/K1170,0))),"") </f>
        <v/>
      </c>
      <c r="N1170" s="5" t="inlineStr">
        <is>
          <t>ENT</t>
        </is>
      </c>
      <c r="O1170" s="5" t="inlineStr">
        <is>
          <t>ENT</t>
        </is>
      </c>
      <c r="P1170" s="5" t="n">
        <v>0</v>
      </c>
      <c r="Q1170" s="5" t="n">
        <v>0</v>
      </c>
      <c r="R1170" s="5" t="inlineStr">
        <is>
          <t>383-2024-12-31</t>
        </is>
      </c>
    </row>
    <row r="1171">
      <c r="A1171" s="5" t="n">
        <v>383</v>
      </c>
      <c r="B1171" s="5" t="inlineStr">
        <is>
          <t>Cumplimiento de matrículas posgrado virtual nuevos</t>
        </is>
      </c>
      <c r="C1171" s="5" t="inlineStr">
        <is>
          <t>Inscripción, admisión y matrícula de estudiantes nuevos</t>
        </is>
      </c>
      <c r="D1171" s="5" t="inlineStr">
        <is>
          <t>Trimestral</t>
        </is>
      </c>
      <c r="E1171" s="5" t="inlineStr">
        <is>
          <t>Positivo</t>
        </is>
      </c>
      <c r="F1171" s="107" t="n">
        <v>45838</v>
      </c>
      <c r="G1171" s="5" t="n">
        <v>2025</v>
      </c>
      <c r="H1171" s="5" t="inlineStr">
        <is>
          <t>Junio</t>
        </is>
      </c>
      <c r="I1171" s="6" t="inlineStr">
        <is>
          <t>2025-1</t>
        </is>
      </c>
      <c r="J1171" s="5" t="n">
        <v>100</v>
      </c>
      <c r="K1171" s="5" t="n">
        <v>136.96</v>
      </c>
      <c r="L1171" s="14">
        <f>IFERROR(IF(OR(J1171=0,K1171=""),"",IF(E1171="Positivo",MIN(MAX(K1171/J1171,0),1.3),MIN(MAX(J1171/K1171,0),1.3))),"") </f>
        <v/>
      </c>
      <c r="M1171" s="14">
        <f>IFERROR(IF(OR(J1171=0,K1171=""),"",IF(E1171="Positivo",MAX(K1171/J1171,0),MAX(J1171/K1171,0))),"") </f>
        <v/>
      </c>
      <c r="N1171" s="5" t="inlineStr">
        <is>
          <t>ENT</t>
        </is>
      </c>
      <c r="O1171" s="5" t="inlineStr">
        <is>
          <t>ENT</t>
        </is>
      </c>
      <c r="P1171" s="5" t="n">
        <v>0</v>
      </c>
      <c r="Q1171" s="5" t="n">
        <v>0</v>
      </c>
      <c r="R1171" s="5" t="inlineStr">
        <is>
          <t>383-2025-06-30</t>
        </is>
      </c>
    </row>
    <row r="1172">
      <c r="A1172" s="5" t="n">
        <v>383</v>
      </c>
      <c r="B1172" s="5" t="inlineStr">
        <is>
          <t>Cumplimiento de matrículas posgrado virtual nuevos</t>
        </is>
      </c>
      <c r="C1172" s="5" t="inlineStr">
        <is>
          <t>Inscripción, admisión y matrícula de estudiantes nuevos</t>
        </is>
      </c>
      <c r="D1172" s="5" t="inlineStr">
        <is>
          <t>Trimestral</t>
        </is>
      </c>
      <c r="E1172" s="5" t="inlineStr">
        <is>
          <t>Positivo</t>
        </is>
      </c>
      <c r="F1172" s="107" t="n">
        <v>46022</v>
      </c>
      <c r="G1172" s="5" t="n">
        <v>2025</v>
      </c>
      <c r="H1172" s="5" t="inlineStr">
        <is>
          <t>Diciembre</t>
        </is>
      </c>
      <c r="I1172" s="6" t="inlineStr">
        <is>
          <t>2025-2</t>
        </is>
      </c>
      <c r="J1172" s="5" t="n">
        <v>100</v>
      </c>
      <c r="K1172" s="5" t="n">
        <v>127.87</v>
      </c>
      <c r="L1172" s="14">
        <f>IFERROR(IF(OR(J1172=0,K1172=""),"",IF(E1172="Positivo",MIN(MAX(K1172/J1172,0),1.3),MIN(MAX(J1172/K1172,0),1.3))),"") </f>
        <v/>
      </c>
      <c r="M1172" s="14">
        <f>IFERROR(IF(OR(J1172=0,K1172=""),"",IF(E1172="Positivo",MAX(K1172/J1172,0),MAX(J1172/K1172,0))),"") </f>
        <v/>
      </c>
      <c r="N1172" s="5" t="inlineStr">
        <is>
          <t>ENT</t>
        </is>
      </c>
      <c r="O1172" s="5" t="inlineStr">
        <is>
          <t>ENT</t>
        </is>
      </c>
      <c r="P1172" s="5" t="n">
        <v>0</v>
      </c>
      <c r="Q1172" s="5" t="n">
        <v>0</v>
      </c>
      <c r="R1172" s="5" t="inlineStr">
        <is>
          <t>383-2025-12-31</t>
        </is>
      </c>
    </row>
    <row r="1173">
      <c r="A1173" s="5" t="n">
        <v>384</v>
      </c>
      <c r="B1173" s="5" t="inlineStr">
        <is>
          <t>Cumplimiento de matrículas posgrado presencial nuevos</t>
        </is>
      </c>
      <c r="C1173" s="5" t="inlineStr">
        <is>
          <t>Inscripción, admisión y matrícula de estudiantes nuevos</t>
        </is>
      </c>
      <c r="D1173" s="5" t="inlineStr">
        <is>
          <t>Semestral</t>
        </is>
      </c>
      <c r="E1173" s="5" t="inlineStr">
        <is>
          <t>Positivo</t>
        </is>
      </c>
      <c r="F1173" s="107" t="n">
        <v>45107</v>
      </c>
      <c r="G1173" s="5" t="n">
        <v>2023</v>
      </c>
      <c r="H1173" s="5" t="inlineStr">
        <is>
          <t>Junio</t>
        </is>
      </c>
      <c r="I1173" s="6" t="inlineStr">
        <is>
          <t>2023-1</t>
        </is>
      </c>
      <c r="J1173" s="81" t="n">
        <v>100</v>
      </c>
      <c r="K1173" s="51" t="n">
        <v>111.76470588235</v>
      </c>
      <c r="L1173" s="14">
        <f>IFERROR(IF(OR(J1173=0,K1173=""),"",IF(E1173="Positivo",MIN(MAX(K1173/J1173,0),1.3),MIN(MAX(J1173/K1173,0),1.3))),"") </f>
        <v/>
      </c>
      <c r="M1173" s="14">
        <f>IFERROR(IF(OR(J1173=0,K1173=""),"",IF(E1173="Positivo",MAX(K1173/J1173,0),MAX(J1173/K1173,0))),"") </f>
        <v/>
      </c>
      <c r="N1173" s="5" t="inlineStr">
        <is>
          <t>ENT</t>
        </is>
      </c>
      <c r="O1173" s="5" t="inlineStr">
        <is>
          <t>ENT</t>
        </is>
      </c>
      <c r="P1173" s="5" t="n">
        <v>0</v>
      </c>
      <c r="Q1173" s="5" t="n">
        <v>0</v>
      </c>
      <c r="R1173" s="5" t="inlineStr">
        <is>
          <t>384-2023-06-30</t>
        </is>
      </c>
    </row>
    <row r="1174">
      <c r="A1174" s="26" t="n">
        <v>384</v>
      </c>
      <c r="B1174" s="5" t="inlineStr">
        <is>
          <t>Cumplimiento de matrículas posgrado presencial nuevos</t>
        </is>
      </c>
      <c r="C1174" s="5" t="inlineStr">
        <is>
          <t>Inscripción, admisión y matrícula de estudiantes nuevos</t>
        </is>
      </c>
      <c r="D1174" s="5" t="inlineStr">
        <is>
          <t>Semestral</t>
        </is>
      </c>
      <c r="E1174" s="5" t="inlineStr">
        <is>
          <t>Positivo</t>
        </is>
      </c>
      <c r="F1174" s="106" t="n">
        <v>45291</v>
      </c>
      <c r="G1174" s="5" t="n">
        <v>2023</v>
      </c>
      <c r="H1174" s="5" t="inlineStr">
        <is>
          <t>Diciembre</t>
        </is>
      </c>
      <c r="I1174" s="6" t="inlineStr">
        <is>
          <t>2023-2</t>
        </is>
      </c>
      <c r="J1174" s="5" t="n">
        <v>100</v>
      </c>
      <c r="K1174" s="5" t="n">
        <v>115.38</v>
      </c>
      <c r="L1174" s="14">
        <f>IFERROR(IF(OR(J1174=0,K1174=""),"",IF(E1174="Positivo",MIN(MAX(K1174/J1174,0),1.3),MIN(MAX(J1174/K1174,0),1.3))),"") </f>
        <v/>
      </c>
      <c r="M1174" s="14">
        <f>IFERROR(IF(OR(J1174=0,K1174=""),"",IF(E1174="Positivo",MAX(K1174/J1174,0),MAX(J1174/K1174,0))),"") </f>
        <v/>
      </c>
      <c r="N1174" s="5" t="inlineStr">
        <is>
          <t>ENT</t>
        </is>
      </c>
      <c r="O1174" s="5" t="inlineStr">
        <is>
          <t>ENT</t>
        </is>
      </c>
      <c r="P1174" s="5" t="n">
        <v>0</v>
      </c>
      <c r="Q1174" s="5" t="n">
        <v>0</v>
      </c>
      <c r="R1174" s="5" t="inlineStr">
        <is>
          <t>384-2023-12-31</t>
        </is>
      </c>
    </row>
    <row r="1175">
      <c r="A1175" s="5" t="n">
        <v>384</v>
      </c>
      <c r="B1175" s="5" t="inlineStr">
        <is>
          <t>Cumplimiento de matrículas posgrado presencial nuevos</t>
        </is>
      </c>
      <c r="C1175" s="5" t="inlineStr">
        <is>
          <t>Inscripción, admisión y matrícula de estudiantes nuevos</t>
        </is>
      </c>
      <c r="D1175" s="5" t="inlineStr">
        <is>
          <t>Semestral</t>
        </is>
      </c>
      <c r="E1175" s="5" t="inlineStr">
        <is>
          <t>Positivo</t>
        </is>
      </c>
      <c r="F1175" s="107" t="n">
        <v>45473</v>
      </c>
      <c r="G1175" s="5" t="n">
        <v>2024</v>
      </c>
      <c r="H1175" s="5" t="inlineStr">
        <is>
          <t>Junio</t>
        </is>
      </c>
      <c r="I1175" s="6" t="inlineStr">
        <is>
          <t>2024-1</t>
        </is>
      </c>
      <c r="J1175" s="5" t="n">
        <v>100</v>
      </c>
      <c r="K1175" s="5" t="n">
        <v>102.2</v>
      </c>
      <c r="L1175" s="14">
        <f>IFERROR(IF(OR(J1175=0,K1175=""),"",IF(E1175="Positivo",MIN(MAX(K1175/J1175,0),1.3),MIN(MAX(J1175/K1175,0),1.3))),"") </f>
        <v/>
      </c>
      <c r="M1175" s="14">
        <f>IFERROR(IF(OR(J1175=0,K1175=""),"",IF(E1175="Positivo",MAX(K1175/J1175,0),MAX(J1175/K1175,0))),"") </f>
        <v/>
      </c>
      <c r="N1175" s="11" t="inlineStr">
        <is>
          <t>ENT</t>
        </is>
      </c>
      <c r="O1175" s="11" t="inlineStr">
        <is>
          <t>ENT</t>
        </is>
      </c>
      <c r="P1175" s="5" t="n">
        <v>0</v>
      </c>
      <c r="Q1175" s="5" t="n">
        <v>0</v>
      </c>
      <c r="R1175" s="5" t="inlineStr">
        <is>
          <t>384-2024-06-30</t>
        </is>
      </c>
    </row>
    <row r="1176">
      <c r="A1176" s="5" t="n">
        <v>384</v>
      </c>
      <c r="B1176" s="5" t="inlineStr">
        <is>
          <t>Cumplimiento de matrículas posgrado presencial nuevos</t>
        </is>
      </c>
      <c r="C1176" s="5" t="inlineStr">
        <is>
          <t>Inscripción, admisión y matrícula de estudiantes nuevos</t>
        </is>
      </c>
      <c r="D1176" s="5" t="inlineStr">
        <is>
          <t>Semestral</t>
        </is>
      </c>
      <c r="E1176" s="5" t="inlineStr">
        <is>
          <t>Positivo</t>
        </is>
      </c>
      <c r="F1176" s="107" t="n">
        <v>45657</v>
      </c>
      <c r="G1176" s="5" t="n">
        <v>2024</v>
      </c>
      <c r="H1176" s="5" t="inlineStr">
        <is>
          <t>Diciembre</t>
        </is>
      </c>
      <c r="I1176" s="6" t="inlineStr">
        <is>
          <t>2024-2</t>
        </is>
      </c>
      <c r="J1176" s="5" t="n">
        <v>100</v>
      </c>
      <c r="K1176" s="5" t="n">
        <v>87.90000000000001</v>
      </c>
      <c r="L1176" s="14">
        <f>IFERROR(IF(OR(J1176=0,K1176=""),"",IF(E1176="Positivo",MIN(MAX(K1176/J1176,0),1.3),MIN(MAX(J1176/K1176,0),1.3))),"") </f>
        <v/>
      </c>
      <c r="M1176" s="14">
        <f>IFERROR(IF(OR(J1176=0,K1176=""),"",IF(E1176="Positivo",MAX(K1176/J1176,0),MAX(J1176/K1176,0))),"") </f>
        <v/>
      </c>
      <c r="N1176" s="5" t="inlineStr">
        <is>
          <t>ENT</t>
        </is>
      </c>
      <c r="O1176" s="5" t="inlineStr">
        <is>
          <t>ENT</t>
        </is>
      </c>
      <c r="P1176" s="5" t="n">
        <v>0</v>
      </c>
      <c r="Q1176" s="5" t="n">
        <v>0</v>
      </c>
      <c r="R1176" s="5" t="inlineStr">
        <is>
          <t>384-2024-12-31</t>
        </is>
      </c>
    </row>
    <row r="1177">
      <c r="A1177" s="5" t="n">
        <v>384</v>
      </c>
      <c r="B1177" s="5" t="inlineStr">
        <is>
          <t>Cumplimiento de matrículas posgrado presencial nuevos</t>
        </is>
      </c>
      <c r="C1177" s="5" t="inlineStr">
        <is>
          <t>Inscripción, admisión y matrícula de estudiantes nuevos</t>
        </is>
      </c>
      <c r="D1177" s="5" t="inlineStr">
        <is>
          <t>Semestral</t>
        </is>
      </c>
      <c r="E1177" s="5" t="inlineStr">
        <is>
          <t>Positivo</t>
        </is>
      </c>
      <c r="F1177" s="107" t="n">
        <v>45838</v>
      </c>
      <c r="G1177" s="5" t="n">
        <v>2025</v>
      </c>
      <c r="H1177" s="5" t="inlineStr">
        <is>
          <t>Junio</t>
        </is>
      </c>
      <c r="I1177" s="6" t="inlineStr">
        <is>
          <t>2025-1</t>
        </is>
      </c>
      <c r="J1177" s="5" t="n">
        <v>100</v>
      </c>
      <c r="K1177" s="5" t="n">
        <v>103.23</v>
      </c>
      <c r="L1177" s="14">
        <f>IFERROR(IF(OR(J1177=0,K1177=""),"",IF(E1177="Positivo",MIN(MAX(K1177/J1177,0),1.3),MIN(MAX(J1177/K1177,0),1.3))),"") </f>
        <v/>
      </c>
      <c r="M1177" s="14">
        <f>IFERROR(IF(OR(J1177=0,K1177=""),"",IF(E1177="Positivo",MAX(K1177/J1177,0),MAX(J1177/K1177,0))),"") </f>
        <v/>
      </c>
      <c r="N1177" s="5" t="inlineStr">
        <is>
          <t>ENT</t>
        </is>
      </c>
      <c r="O1177" s="5" t="inlineStr">
        <is>
          <t>ENT</t>
        </is>
      </c>
      <c r="P1177" s="5" t="n">
        <v>0</v>
      </c>
      <c r="Q1177" s="5" t="n">
        <v>0</v>
      </c>
      <c r="R1177" s="5" t="inlineStr">
        <is>
          <t>384-2025-06-30</t>
        </is>
      </c>
    </row>
    <row r="1178">
      <c r="A1178" s="5" t="n">
        <v>384</v>
      </c>
      <c r="B1178" s="5" t="inlineStr">
        <is>
          <t>Cumplimiento de matrículas posgrado presencial nuevos</t>
        </is>
      </c>
      <c r="C1178" s="5" t="inlineStr">
        <is>
          <t>Inscripción, admisión y matrícula de estudiantes nuevos</t>
        </is>
      </c>
      <c r="D1178" s="5" t="inlineStr">
        <is>
          <t>Trimestral</t>
        </is>
      </c>
      <c r="E1178" s="5" t="inlineStr">
        <is>
          <t>Positivo</t>
        </is>
      </c>
      <c r="F1178" s="107" t="n">
        <v>46022</v>
      </c>
      <c r="G1178" s="5" t="n">
        <v>2025</v>
      </c>
      <c r="H1178" s="5" t="inlineStr">
        <is>
          <t>Diciembre</t>
        </is>
      </c>
      <c r="I1178" s="6" t="inlineStr">
        <is>
          <t>2025-2</t>
        </is>
      </c>
      <c r="J1178" s="5" t="n">
        <v>100</v>
      </c>
      <c r="K1178" s="10" t="n">
        <v>100.93</v>
      </c>
      <c r="L1178" s="14">
        <f>IFERROR(IF(OR(J1178=0,K1178=""),"",IF(E1178="Positivo",MIN(MAX(K1178/J1178,0),1.3),MIN(MAX(J1178/K1178,0),1.3))),"") </f>
        <v/>
      </c>
      <c r="M1178" s="14">
        <f>IFERROR(IF(OR(J1178=0,K1178=""),"",IF(E1178="Positivo",MAX(K1178/J1178,0),MAX(J1178/K1178,0))),"") </f>
        <v/>
      </c>
      <c r="N1178" s="5" t="inlineStr">
        <is>
          <t>ENT</t>
        </is>
      </c>
      <c r="O1178" s="5" t="inlineStr">
        <is>
          <t>ENT</t>
        </is>
      </c>
      <c r="P1178" s="5" t="n">
        <v>0</v>
      </c>
      <c r="Q1178" s="5" t="n">
        <v>0</v>
      </c>
      <c r="R1178" s="5" t="inlineStr">
        <is>
          <t>384-2025-12-31</t>
        </is>
      </c>
    </row>
    <row r="1179">
      <c r="A1179" s="5" t="n">
        <v>385</v>
      </c>
      <c r="B1179" s="5" t="inlineStr">
        <is>
          <t>Ingresos totales de educación para la vida</t>
        </is>
      </c>
      <c r="C1179" s="5" t="inlineStr">
        <is>
          <t>Mercadeo y venta de educación para la vida</t>
        </is>
      </c>
      <c r="D1179" s="5" t="inlineStr">
        <is>
          <t>Semestral</t>
        </is>
      </c>
      <c r="E1179" s="5" t="inlineStr">
        <is>
          <t>Positivo</t>
        </is>
      </c>
      <c r="F1179" s="107" t="n">
        <v>45107</v>
      </c>
      <c r="G1179" s="5" t="n">
        <v>2023</v>
      </c>
      <c r="H1179" s="5" t="inlineStr">
        <is>
          <t>Junio</t>
        </is>
      </c>
      <c r="I1179" s="6" t="inlineStr">
        <is>
          <t>2023-1</t>
        </is>
      </c>
      <c r="J1179" s="5" t="n">
        <v>100</v>
      </c>
      <c r="K1179" s="5" t="n">
        <v>102.98486566654</v>
      </c>
      <c r="L1179" s="14">
        <f>IFERROR(IF(OR(J1179=0,K1179=""),"",IF(E1179="Positivo",MIN(MAX(K1179/J1179,0),1.3),MIN(MAX(J1179/K1179,0),1.3))),"") </f>
        <v/>
      </c>
      <c r="M1179" s="14">
        <f>IFERROR(IF(OR(J1179=0,K1179=""),"",IF(E1179="Positivo",MAX(K1179/J1179,0),MAX(J1179/K1179,0))),"") </f>
        <v/>
      </c>
      <c r="N1179" s="5" t="inlineStr">
        <is>
          <t>$</t>
        </is>
      </c>
      <c r="O1179" s="5" t="inlineStr">
        <is>
          <t>$</t>
        </is>
      </c>
      <c r="P1179" s="5" t="n">
        <v>0</v>
      </c>
      <c r="Q1179" s="5" t="n">
        <v>0</v>
      </c>
      <c r="R1179" s="5" t="inlineStr">
        <is>
          <t>385-2023-06-30</t>
        </is>
      </c>
    </row>
    <row r="1180">
      <c r="A1180" s="5" t="n">
        <v>385</v>
      </c>
      <c r="B1180" s="5" t="inlineStr">
        <is>
          <t>Ingresos totales de educación para la vida</t>
        </is>
      </c>
      <c r="C1180" s="5" t="inlineStr">
        <is>
          <t>Mercadeo y venta de educación para la vida</t>
        </is>
      </c>
      <c r="D1180" s="5" t="inlineStr">
        <is>
          <t>Semestral</t>
        </is>
      </c>
      <c r="E1180" s="5" t="inlineStr">
        <is>
          <t>Positivo</t>
        </is>
      </c>
      <c r="F1180" s="107" t="n">
        <v>45291</v>
      </c>
      <c r="G1180" s="5" t="n">
        <v>2023</v>
      </c>
      <c r="H1180" s="5" t="inlineStr">
        <is>
          <t>Diciembre</t>
        </is>
      </c>
      <c r="I1180" s="6" t="inlineStr">
        <is>
          <t>2023-2</t>
        </is>
      </c>
      <c r="J1180" s="5" t="n">
        <v>100</v>
      </c>
      <c r="K1180" s="5" t="n">
        <v>124.93</v>
      </c>
      <c r="L1180" s="14">
        <f>IFERROR(IF(OR(J1180=0,K1180=""),"",IF(E1180="Positivo",MIN(MAX(K1180/J1180,0),1.3),MIN(MAX(J1180/K1180,0),1.3))),"") </f>
        <v/>
      </c>
      <c r="M1180" s="14">
        <f>IFERROR(IF(OR(J1180=0,K1180=""),"",IF(E1180="Positivo",MAX(K1180/J1180,0),MAX(J1180/K1180,0))),"") </f>
        <v/>
      </c>
      <c r="N1180" s="5" t="inlineStr">
        <is>
          <t>$</t>
        </is>
      </c>
      <c r="O1180" s="5" t="inlineStr">
        <is>
          <t>$</t>
        </is>
      </c>
      <c r="P1180" s="5" t="n">
        <v>0</v>
      </c>
      <c r="Q1180" s="5" t="n">
        <v>0</v>
      </c>
      <c r="R1180" s="5" t="inlineStr">
        <is>
          <t>385-2023-12-31</t>
        </is>
      </c>
    </row>
    <row r="1181">
      <c r="A1181" s="5" t="n">
        <v>385</v>
      </c>
      <c r="B1181" s="5" t="inlineStr">
        <is>
          <t>Ingresos totales de educación para la vida</t>
        </is>
      </c>
      <c r="C1181" s="5" t="inlineStr">
        <is>
          <t>Mercadeo y venta de educación para la vida</t>
        </is>
      </c>
      <c r="D1181" s="5" t="inlineStr">
        <is>
          <t>Semestral</t>
        </is>
      </c>
      <c r="E1181" s="5" t="inlineStr">
        <is>
          <t>Positivo</t>
        </is>
      </c>
      <c r="F1181" s="107" t="n">
        <v>45473</v>
      </c>
      <c r="G1181" s="5" t="n">
        <v>2024</v>
      </c>
      <c r="H1181" s="5" t="inlineStr">
        <is>
          <t>Junio</t>
        </is>
      </c>
      <c r="I1181" s="6" t="inlineStr">
        <is>
          <t>2024-1</t>
        </is>
      </c>
      <c r="J1181" s="5" t="n">
        <v>100</v>
      </c>
      <c r="K1181" s="5" t="n">
        <v>113.63</v>
      </c>
      <c r="L1181" s="14">
        <f>IFERROR(IF(OR(J1181=0,K1181=""),"",IF(E1181="Positivo",MIN(MAX(K1181/J1181,0),1.3),MIN(MAX(J1181/K1181,0),1.3))),"") </f>
        <v/>
      </c>
      <c r="M1181" s="14">
        <f>IFERROR(IF(OR(J1181=0,K1181=""),"",IF(E1181="Positivo",MAX(K1181/J1181,0),MAX(J1181/K1181,0))),"") </f>
        <v/>
      </c>
      <c r="N1181" s="5" t="inlineStr">
        <is>
          <t>$</t>
        </is>
      </c>
      <c r="O1181" s="5" t="inlineStr">
        <is>
          <t>$</t>
        </is>
      </c>
      <c r="P1181" s="5" t="n">
        <v>0</v>
      </c>
      <c r="Q1181" s="5" t="n">
        <v>0</v>
      </c>
      <c r="R1181" s="5" t="inlineStr">
        <is>
          <t>385-2024-06-30</t>
        </is>
      </c>
    </row>
    <row r="1182">
      <c r="A1182" s="5" t="n">
        <v>385</v>
      </c>
      <c r="B1182" s="5" t="inlineStr">
        <is>
          <t>Ingresos totales de educación para la vida</t>
        </is>
      </c>
      <c r="C1182" s="5" t="inlineStr">
        <is>
          <t>Mercadeo y venta de educación para la vida</t>
        </is>
      </c>
      <c r="D1182" s="5" t="inlineStr">
        <is>
          <t>Semestral</t>
        </is>
      </c>
      <c r="E1182" s="5" t="inlineStr">
        <is>
          <t>Positivo</t>
        </is>
      </c>
      <c r="F1182" s="107" t="n">
        <v>45657</v>
      </c>
      <c r="G1182" s="5" t="n">
        <v>2024</v>
      </c>
      <c r="H1182" s="5" t="inlineStr">
        <is>
          <t>Diciembre</t>
        </is>
      </c>
      <c r="I1182" s="6" t="inlineStr">
        <is>
          <t>2024-2</t>
        </is>
      </c>
      <c r="J1182" s="5" t="n">
        <v>100</v>
      </c>
      <c r="K1182" s="5" t="n">
        <v>88.56</v>
      </c>
      <c r="L1182" s="14">
        <f>IFERROR(IF(OR(J1182=0,K1182=""),"",IF(E1182="Positivo",MIN(MAX(K1182/J1182,0),1.3),MIN(MAX(J1182/K1182,0),1.3))),"") </f>
        <v/>
      </c>
      <c r="M1182" s="14">
        <f>IFERROR(IF(OR(J1182=0,K1182=""),"",IF(E1182="Positivo",MAX(K1182/J1182,0),MAX(J1182/K1182,0))),"") </f>
        <v/>
      </c>
      <c r="N1182" s="5" t="inlineStr">
        <is>
          <t>$</t>
        </is>
      </c>
      <c r="O1182" s="5" t="inlineStr">
        <is>
          <t>$</t>
        </is>
      </c>
      <c r="P1182" s="5" t="n">
        <v>0</v>
      </c>
      <c r="Q1182" s="5" t="n">
        <v>0</v>
      </c>
      <c r="R1182" s="5" t="inlineStr">
        <is>
          <t>385-2024-12-31</t>
        </is>
      </c>
    </row>
    <row r="1183">
      <c r="A1183" s="5" t="n">
        <v>385</v>
      </c>
      <c r="B1183" s="5" t="inlineStr">
        <is>
          <t>Ingresos totales de educación para la vida</t>
        </is>
      </c>
      <c r="C1183" s="5" t="inlineStr">
        <is>
          <t>Mercadeo y venta de educación para la vida</t>
        </is>
      </c>
      <c r="D1183" s="5" t="inlineStr">
        <is>
          <t>Semestral</t>
        </is>
      </c>
      <c r="E1183" s="5" t="inlineStr">
        <is>
          <t>Positivo</t>
        </is>
      </c>
      <c r="F1183" s="107" t="n">
        <v>45838</v>
      </c>
      <c r="G1183" s="5" t="n">
        <v>2025</v>
      </c>
      <c r="H1183" s="5" t="inlineStr">
        <is>
          <t>Junio</t>
        </is>
      </c>
      <c r="I1183" s="6" t="inlineStr">
        <is>
          <t>2025-1</t>
        </is>
      </c>
      <c r="J1183" s="5" t="n">
        <v>100</v>
      </c>
      <c r="K1183" s="10" t="n">
        <v>118.92</v>
      </c>
      <c r="L1183" s="14">
        <f>IFERROR(IF(OR(J1183=0,K1183=""),"",IF(E1183="Positivo",MIN(MAX(K1183/J1183,0),1.3),MIN(MAX(J1183/K1183,0),1.3))),"") </f>
        <v/>
      </c>
      <c r="M1183" s="14">
        <f>IFERROR(IF(OR(J1183=0,K1183=""),"",IF(E1183="Positivo",MAX(K1183/J1183,0),MAX(J1183/K1183,0))),"") </f>
        <v/>
      </c>
      <c r="N1183" s="5" t="inlineStr">
        <is>
          <t>$</t>
        </is>
      </c>
      <c r="O1183" s="5" t="inlineStr">
        <is>
          <t>$</t>
        </is>
      </c>
      <c r="P1183" s="5" t="n">
        <v>0</v>
      </c>
      <c r="Q1183" s="5" t="n">
        <v>0</v>
      </c>
      <c r="R1183" s="5" t="inlineStr">
        <is>
          <t>385-2025-06-30</t>
        </is>
      </c>
    </row>
    <row r="1184">
      <c r="A1184" s="5" t="n">
        <v>385</v>
      </c>
      <c r="B1184" s="5" t="inlineStr">
        <is>
          <t>Ingresos totales de educación para la vida</t>
        </is>
      </c>
      <c r="C1184" s="5" t="inlineStr">
        <is>
          <t>Mercadeo y venta de educación para la vida</t>
        </is>
      </c>
      <c r="D1184" s="5" t="inlineStr">
        <is>
          <t>Trimestral</t>
        </is>
      </c>
      <c r="E1184" s="5" t="inlineStr">
        <is>
          <t>Positivo</t>
        </is>
      </c>
      <c r="F1184" s="107" t="n">
        <v>46022</v>
      </c>
      <c r="G1184" s="5" t="n">
        <v>2025</v>
      </c>
      <c r="H1184" s="5" t="inlineStr">
        <is>
          <t>Diciembre</t>
        </is>
      </c>
      <c r="I1184" s="6" t="inlineStr">
        <is>
          <t>2025-2</t>
        </is>
      </c>
      <c r="J1184" s="5" t="n">
        <v>100</v>
      </c>
      <c r="K1184" s="5" t="n">
        <v>108.89</v>
      </c>
      <c r="L1184" s="14">
        <f>IFERROR(IF(OR(J1184=0,K1184=""),"",IF(E1184="Positivo",MIN(MAX(K1184/J1184,0),1.3),MIN(MAX(J1184/K1184,0),1.3))),"") </f>
        <v/>
      </c>
      <c r="M1184" s="14">
        <f>IFERROR(IF(OR(J1184=0,K1184=""),"",IF(E1184="Positivo",MAX(K1184/J1184,0),MAX(J1184/K1184,0))),"") </f>
        <v/>
      </c>
      <c r="N1184" s="5" t="inlineStr">
        <is>
          <t>$</t>
        </is>
      </c>
      <c r="O1184" s="5" t="inlineStr">
        <is>
          <t>$</t>
        </is>
      </c>
      <c r="P1184" s="5" t="n">
        <v>0</v>
      </c>
      <c r="Q1184" s="5" t="n">
        <v>0</v>
      </c>
      <c r="R1184" s="5" t="inlineStr">
        <is>
          <t>385-2025-12-31</t>
        </is>
      </c>
    </row>
    <row r="1185">
      <c r="A1185" s="28" t="n">
        <v>386</v>
      </c>
      <c r="B1185" s="5" t="inlineStr">
        <is>
          <t>Cumplimiento Meta comercial Educación para toda la vida por linea</t>
        </is>
      </c>
      <c r="C1185" s="5" t="inlineStr">
        <is>
          <t>Mercadeo y venta de educación para la vida</t>
        </is>
      </c>
      <c r="D1185" s="5" t="inlineStr">
        <is>
          <t>Semestral</t>
        </is>
      </c>
      <c r="E1185" s="5" t="inlineStr">
        <is>
          <t>Positivo</t>
        </is>
      </c>
      <c r="F1185" s="107" t="n">
        <v>45107</v>
      </c>
      <c r="G1185" s="5" t="n">
        <v>2023</v>
      </c>
      <c r="H1185" s="5" t="inlineStr">
        <is>
          <t>Junio</t>
        </is>
      </c>
      <c r="I1185" s="6" t="inlineStr">
        <is>
          <t>2023-1</t>
        </is>
      </c>
      <c r="J1185" s="5" t="n">
        <v>100</v>
      </c>
      <c r="K1185" s="5" t="n">
        <v>102.98486566654</v>
      </c>
      <c r="L1185" s="74">
        <f>IFERROR(IF(OR(J1185=0,K1185=""),"",IF(E1185="Positivo",MIN(MAX(K1185/J1185,0),1.3),MIN(MAX(J1185/K1185,0),1.3))),"") </f>
        <v/>
      </c>
      <c r="M1185" s="14">
        <f>IFERROR(IF(OR(J1185=0,K1185=""),"",IF(E1185="Positivo",MAX(K1185/J1185,0),MAX(J1185/K1185,0))),"") </f>
        <v/>
      </c>
      <c r="N1185" s="5" t="inlineStr">
        <is>
          <t>$</t>
        </is>
      </c>
      <c r="O1185" s="5" t="inlineStr">
        <is>
          <t>$</t>
        </is>
      </c>
      <c r="P1185" s="5" t="n">
        <v>0</v>
      </c>
      <c r="Q1185" s="5" t="n">
        <v>0</v>
      </c>
      <c r="R1185" s="5" t="inlineStr">
        <is>
          <t>386-2023-06-30</t>
        </is>
      </c>
    </row>
    <row r="1186">
      <c r="A1186" s="5" t="n">
        <v>386</v>
      </c>
      <c r="B1186" s="5" t="inlineStr">
        <is>
          <t>Cumplimiento Meta comercial Educación para toda la vida por linea</t>
        </is>
      </c>
      <c r="C1186" s="5" t="inlineStr">
        <is>
          <t>Mercadeo y venta de educación para la vida</t>
        </is>
      </c>
      <c r="D1186" s="5" t="inlineStr">
        <is>
          <t>Semestral</t>
        </is>
      </c>
      <c r="E1186" s="5" t="inlineStr">
        <is>
          <t>Positivo</t>
        </is>
      </c>
      <c r="F1186" s="107" t="n">
        <v>45291</v>
      </c>
      <c r="G1186" s="5" t="n">
        <v>2023</v>
      </c>
      <c r="H1186" s="5" t="inlineStr">
        <is>
          <t>Diciembre</t>
        </is>
      </c>
      <c r="I1186" s="6" t="inlineStr">
        <is>
          <t>2023-2</t>
        </is>
      </c>
      <c r="J1186" s="73" t="n">
        <v>100</v>
      </c>
      <c r="K1186" s="9" t="n">
        <v>138.22</v>
      </c>
      <c r="L1186" s="14">
        <f>IFERROR(IF(OR(J1186=0,K1186=""),"",IF(E1186="Positivo",MIN(MAX(K1186/J1186,0),1.3),MIN(MAX(J1186/K1186,0),1.3))),"") </f>
        <v/>
      </c>
      <c r="M1186" s="14">
        <f>IFERROR(IF(OR(J1186=0,K1186=""),"",IF(E1186="Positivo",MAX(K1186/J1186,0),MAX(J1186/K1186,0))),"") </f>
        <v/>
      </c>
      <c r="N1186" s="5" t="inlineStr">
        <is>
          <t>$</t>
        </is>
      </c>
      <c r="O1186" s="5" t="inlineStr">
        <is>
          <t>$</t>
        </is>
      </c>
      <c r="P1186" s="5" t="n">
        <v>0</v>
      </c>
      <c r="Q1186" s="5" t="n">
        <v>0</v>
      </c>
      <c r="R1186" s="5" t="inlineStr">
        <is>
          <t>386-2023-12-31</t>
        </is>
      </c>
    </row>
    <row r="1187">
      <c r="A1187" s="5" t="n">
        <v>386</v>
      </c>
      <c r="B1187" s="5" t="inlineStr">
        <is>
          <t>Cumplimiento Meta comercial Educación para toda la vida por linea</t>
        </is>
      </c>
      <c r="C1187" s="5" t="inlineStr">
        <is>
          <t>Mercadeo y venta de educación para la vida</t>
        </is>
      </c>
      <c r="D1187" s="5" t="inlineStr">
        <is>
          <t>Semestral</t>
        </is>
      </c>
      <c r="E1187" s="5" t="inlineStr">
        <is>
          <t>Positivo</t>
        </is>
      </c>
      <c r="F1187" s="107" t="n">
        <v>45473</v>
      </c>
      <c r="G1187" s="5" t="n">
        <v>2024</v>
      </c>
      <c r="H1187" s="5" t="inlineStr">
        <is>
          <t>Junio</t>
        </is>
      </c>
      <c r="I1187" s="6" t="inlineStr">
        <is>
          <t>2024-1</t>
        </is>
      </c>
      <c r="J1187" s="5" t="n">
        <v>100</v>
      </c>
      <c r="K1187" s="5" t="n">
        <v>113.63</v>
      </c>
      <c r="L1187" s="14">
        <f>IFERROR(IF(OR(J1187=0,K1187=""),"",IF(E1187="Positivo",MIN(MAX(K1187/J1187,0),1.3),MIN(MAX(J1187/K1187,0),1.3))),"") </f>
        <v/>
      </c>
      <c r="M1187" s="14">
        <f>IFERROR(IF(OR(J1187=0,K1187=""),"",IF(E1187="Positivo",MAX(K1187/J1187,0),MAX(J1187/K1187,0))),"") </f>
        <v/>
      </c>
      <c r="N1187" s="5" t="inlineStr">
        <is>
          <t>$</t>
        </is>
      </c>
      <c r="O1187" s="5" t="inlineStr">
        <is>
          <t>$</t>
        </is>
      </c>
      <c r="P1187" s="5" t="n">
        <v>0</v>
      </c>
      <c r="Q1187" s="5" t="n">
        <v>0</v>
      </c>
      <c r="R1187" s="5" t="inlineStr">
        <is>
          <t>386-2024-06-30</t>
        </is>
      </c>
    </row>
    <row r="1188">
      <c r="A1188" s="5" t="n">
        <v>386</v>
      </c>
      <c r="B1188" s="5" t="inlineStr">
        <is>
          <t>Cumplimiento Meta comercial Educación para toda la vida por linea</t>
        </is>
      </c>
      <c r="C1188" s="5" t="inlineStr">
        <is>
          <t>Mercadeo y venta de educación para la vida</t>
        </is>
      </c>
      <c r="D1188" s="5" t="inlineStr">
        <is>
          <t>Semestral</t>
        </is>
      </c>
      <c r="E1188" s="5" t="inlineStr">
        <is>
          <t>Positivo</t>
        </is>
      </c>
      <c r="F1188" s="107" t="n">
        <v>45657</v>
      </c>
      <c r="G1188" s="5" t="n">
        <v>2024</v>
      </c>
      <c r="H1188" s="5" t="inlineStr">
        <is>
          <t>Diciembre</t>
        </is>
      </c>
      <c r="I1188" s="6" t="inlineStr">
        <is>
          <t>2024-2</t>
        </is>
      </c>
      <c r="J1188" s="5" t="n">
        <v>100</v>
      </c>
      <c r="K1188" s="5" t="n">
        <v>75.01000000000001</v>
      </c>
      <c r="L1188" s="14">
        <f>IFERROR(IF(OR(J1188=0,K1188=""),"",IF(E1188="Positivo",MIN(MAX(K1188/J1188,0),1.3),MIN(MAX(J1188/K1188,0),1.3))),"") </f>
        <v/>
      </c>
      <c r="M1188" s="14">
        <f>IFERROR(IF(OR(J1188=0,K1188=""),"",IF(E1188="Positivo",MAX(K1188/J1188,0),MAX(J1188/K1188,0))),"") </f>
        <v/>
      </c>
      <c r="N1188" s="5" t="inlineStr">
        <is>
          <t>$</t>
        </is>
      </c>
      <c r="O1188" s="5" t="inlineStr">
        <is>
          <t>$</t>
        </is>
      </c>
      <c r="P1188" s="5" t="n">
        <v>0</v>
      </c>
      <c r="Q1188" s="5" t="n">
        <v>0</v>
      </c>
      <c r="R1188" s="5" t="inlineStr">
        <is>
          <t>386-2024-12-31</t>
        </is>
      </c>
    </row>
    <row r="1189">
      <c r="A1189" s="5" t="n">
        <v>386</v>
      </c>
      <c r="B1189" s="5" t="inlineStr">
        <is>
          <t>Cumplimiento Meta comercial Educación para toda la vida por linea</t>
        </is>
      </c>
      <c r="C1189" s="5" t="inlineStr">
        <is>
          <t>Mercadeo y venta de educación para la vida</t>
        </is>
      </c>
      <c r="D1189" s="5" t="inlineStr">
        <is>
          <t>Semestral</t>
        </is>
      </c>
      <c r="E1189" s="5" t="inlineStr">
        <is>
          <t>Positivo</t>
        </is>
      </c>
      <c r="F1189" s="107" t="n">
        <v>45838</v>
      </c>
      <c r="G1189" s="5" t="n">
        <v>2025</v>
      </c>
      <c r="H1189" s="5" t="inlineStr">
        <is>
          <t>Junio</t>
        </is>
      </c>
      <c r="I1189" s="6" t="inlineStr">
        <is>
          <t>2025-1</t>
        </is>
      </c>
      <c r="J1189" s="5" t="n">
        <v>100</v>
      </c>
      <c r="K1189" s="5" t="n">
        <v>118.92</v>
      </c>
      <c r="L1189" s="14">
        <f>IFERROR(IF(OR(J1189=0,K1189=""),"",IF(E1189="Positivo",MIN(MAX(K1189/J1189,0),1.3),MIN(MAX(J1189/K1189,0),1.3))),"") </f>
        <v/>
      </c>
      <c r="M1189" s="14">
        <f>IFERROR(IF(OR(J1189=0,K1189=""),"",IF(E1189="Positivo",MAX(K1189/J1189,0),MAX(J1189/K1189,0))),"") </f>
        <v/>
      </c>
      <c r="N1189" s="5" t="inlineStr">
        <is>
          <t>$</t>
        </is>
      </c>
      <c r="O1189" s="5" t="inlineStr">
        <is>
          <t>$</t>
        </is>
      </c>
      <c r="P1189" s="5" t="n">
        <v>0</v>
      </c>
      <c r="Q1189" s="5" t="n">
        <v>0</v>
      </c>
      <c r="R1189" s="5" t="inlineStr">
        <is>
          <t>386-2025-06-30</t>
        </is>
      </c>
    </row>
    <row r="1190">
      <c r="A1190" s="5" t="n">
        <v>386</v>
      </c>
      <c r="B1190" s="5" t="inlineStr">
        <is>
          <t>Cumplimiento Meta comercial Educación para toda la vida por linea</t>
        </is>
      </c>
      <c r="C1190" s="5" t="inlineStr">
        <is>
          <t>Mercadeo y venta de educación para la vida</t>
        </is>
      </c>
      <c r="D1190" s="5" t="inlineStr">
        <is>
          <t>Trimestral</t>
        </is>
      </c>
      <c r="E1190" s="5" t="inlineStr">
        <is>
          <t>Positivo</t>
        </is>
      </c>
      <c r="F1190" s="107" t="n">
        <v>46022</v>
      </c>
      <c r="G1190" s="5" t="n">
        <v>2025</v>
      </c>
      <c r="H1190" s="5" t="inlineStr">
        <is>
          <t>Diciembre</t>
        </is>
      </c>
      <c r="I1190" s="6" t="inlineStr">
        <is>
          <t>2025-2</t>
        </is>
      </c>
      <c r="J1190" s="5" t="n">
        <v>100</v>
      </c>
      <c r="K1190" s="5" t="n">
        <v>106.54</v>
      </c>
      <c r="L1190" s="14">
        <f>IFERROR(IF(OR(J1190=0,K1190=""),"",IF(E1190="Positivo",MIN(MAX(K1190/J1190,0),1.3),MIN(MAX(J1190/K1190,0),1.3))),"") </f>
        <v/>
      </c>
      <c r="M1190" s="14">
        <f>IFERROR(IF(OR(J1190=0,K1190=""),"",IF(E1190="Positivo",MAX(K1190/J1190,0),MAX(J1190/K1190,0))),"") </f>
        <v/>
      </c>
      <c r="N1190" s="5" t="inlineStr">
        <is>
          <t>%</t>
        </is>
      </c>
      <c r="O1190" s="5" t="inlineStr">
        <is>
          <t>%</t>
        </is>
      </c>
      <c r="P1190" s="5" t="n">
        <v>0</v>
      </c>
      <c r="Q1190" s="5" t="n">
        <v>0</v>
      </c>
      <c r="R1190" s="5" t="inlineStr">
        <is>
          <t>386-2025-12-31</t>
        </is>
      </c>
    </row>
    <row r="1191">
      <c r="A1191" s="5" t="n">
        <v>387</v>
      </c>
      <c r="B1191" s="5" t="inlineStr">
        <is>
          <t>Programas con reforzamiento curricular por escuela</t>
        </is>
      </c>
      <c r="C1191" s="5" t="inlineStr">
        <is>
          <t>Gestión, Evaluación e Innovación Curricular</t>
        </is>
      </c>
      <c r="D1191" s="5" t="inlineStr">
        <is>
          <t>Semestral</t>
        </is>
      </c>
      <c r="E1191" s="5" t="inlineStr">
        <is>
          <t>Positivo</t>
        </is>
      </c>
      <c r="F1191" s="107" t="n">
        <v>45107</v>
      </c>
      <c r="G1191" s="5" t="n">
        <v>2023</v>
      </c>
      <c r="H1191" s="5" t="inlineStr">
        <is>
          <t>Junio</t>
        </is>
      </c>
      <c r="I1191" s="6" t="inlineStr">
        <is>
          <t>2023-1</t>
        </is>
      </c>
      <c r="J1191" s="5" t="n">
        <v>38</v>
      </c>
      <c r="K1191" s="5" t="n">
        <v>38</v>
      </c>
      <c r="L1191" s="14">
        <f>IFERROR(IF(OR(J1191=0,K1191=""),"",IF(E1191="Positivo",MIN(MAX(K1191/J1191,0),1.3),MIN(MAX(J1191/K1191,0),1.3))),"") </f>
        <v/>
      </c>
      <c r="M1191" s="14">
        <f>IFERROR(IF(OR(J1191=0,K1191=""),"",IF(E1191="Positivo",MAX(K1191/J1191,0),MAX(J1191/K1191,0))),"") </f>
        <v/>
      </c>
      <c r="N1191" s="5" t="n"/>
      <c r="O1191" s="5" t="n"/>
      <c r="P1191" s="5" t="n">
        <v>0</v>
      </c>
      <c r="Q1191" s="5" t="n">
        <v>0</v>
      </c>
      <c r="R1191" s="5" t="inlineStr">
        <is>
          <t>387-2023-06-30</t>
        </is>
      </c>
    </row>
    <row r="1192">
      <c r="A1192" s="5" t="n">
        <v>387</v>
      </c>
      <c r="B1192" s="5" t="inlineStr">
        <is>
          <t>Programas con reforzamiento curricular por escuela</t>
        </is>
      </c>
      <c r="C1192" s="5" t="inlineStr">
        <is>
          <t>Gestión, Evaluación e Innovación Curricular</t>
        </is>
      </c>
      <c r="D1192" s="5" t="inlineStr">
        <is>
          <t>Semestral</t>
        </is>
      </c>
      <c r="E1192" s="5" t="inlineStr">
        <is>
          <t>Positivo</t>
        </is>
      </c>
      <c r="F1192" s="107" t="n">
        <v>45291</v>
      </c>
      <c r="G1192" s="5" t="n">
        <v>2023</v>
      </c>
      <c r="H1192" s="5" t="inlineStr">
        <is>
          <t>Diciembre</t>
        </is>
      </c>
      <c r="I1192" s="6" t="inlineStr">
        <is>
          <t>2023-2</t>
        </is>
      </c>
      <c r="J1192" s="5" t="n"/>
      <c r="K1192" s="5" t="n"/>
      <c r="L1192" s="14" t="n"/>
      <c r="M1192" s="14" t="n"/>
      <c r="N1192" s="5" t="n"/>
      <c r="O1192" s="5" t="n"/>
      <c r="P1192" s="5" t="n">
        <v>0</v>
      </c>
      <c r="Q1192" s="5" t="n">
        <v>0</v>
      </c>
      <c r="R1192" s="5" t="inlineStr">
        <is>
          <t>387-2023-12-31</t>
        </is>
      </c>
    </row>
    <row r="1193">
      <c r="A1193" s="5" t="n">
        <v>388</v>
      </c>
      <c r="B1193" s="5" t="inlineStr">
        <is>
          <t>Programas con matriz de resultados de aprendizaje por escuela</t>
        </is>
      </c>
      <c r="C1193" s="5" t="inlineStr">
        <is>
          <t>Gestión, Evaluación e Innovación Curricular</t>
        </is>
      </c>
      <c r="D1193" s="5" t="inlineStr">
        <is>
          <t>Semestral</t>
        </is>
      </c>
      <c r="E1193" s="5" t="inlineStr">
        <is>
          <t>Positivo</t>
        </is>
      </c>
      <c r="F1193" s="107" t="n">
        <v>45107</v>
      </c>
      <c r="G1193" s="5" t="n">
        <v>2023</v>
      </c>
      <c r="H1193" s="5" t="inlineStr">
        <is>
          <t>Junio</t>
        </is>
      </c>
      <c r="I1193" s="6" t="inlineStr">
        <is>
          <t>2023-1</t>
        </is>
      </c>
      <c r="J1193" s="5" t="n">
        <v>77</v>
      </c>
      <c r="K1193" s="5" t="n">
        <v>77</v>
      </c>
      <c r="L1193" s="14">
        <f>IFERROR(IF(OR(J1193=0,K1193=""),"",IF(E1193="Positivo",MIN(MAX(K1193/J1193,0),1.3),MIN(MAX(J1193/K1193,0),1.3))),"") </f>
        <v/>
      </c>
      <c r="M1193" s="14">
        <f>IFERROR(IF(OR(J1193=0,K1193=""),"",IF(E1193="Positivo",MAX(K1193/J1193,0),MAX(J1193/K1193,0))),"") </f>
        <v/>
      </c>
      <c r="N1193" s="5" t="n"/>
      <c r="O1193" s="5" t="n"/>
      <c r="P1193" s="5" t="n">
        <v>0</v>
      </c>
      <c r="Q1193" s="5" t="n">
        <v>0</v>
      </c>
      <c r="R1193" s="5" t="inlineStr">
        <is>
          <t>388-2023-06-30</t>
        </is>
      </c>
    </row>
    <row r="1194">
      <c r="A1194" s="5" t="n">
        <v>388</v>
      </c>
      <c r="B1194" s="5" t="inlineStr">
        <is>
          <t>Programas con matriz de resultados de aprendizaje por escuela</t>
        </is>
      </c>
      <c r="C1194" s="5" t="inlineStr">
        <is>
          <t>Gestión, Evaluación e Innovación Curricular</t>
        </is>
      </c>
      <c r="D1194" s="5" t="inlineStr">
        <is>
          <t>Semestral</t>
        </is>
      </c>
      <c r="E1194" s="5" t="inlineStr">
        <is>
          <t>Positivo</t>
        </is>
      </c>
      <c r="F1194" s="107" t="n">
        <v>45291</v>
      </c>
      <c r="G1194" s="5" t="n">
        <v>2023</v>
      </c>
      <c r="H1194" s="5" t="inlineStr">
        <is>
          <t>Diciembre</t>
        </is>
      </c>
      <c r="I1194" s="6" t="inlineStr">
        <is>
          <t>2023-2</t>
        </is>
      </c>
      <c r="J1194" s="5" t="n">
        <v>16</v>
      </c>
      <c r="K1194" s="5" t="n">
        <v>16</v>
      </c>
      <c r="L1194" s="14">
        <f>IFERROR(IF(OR(J1194=0,K1194=""),"",IF(E1194="Positivo",MIN(MAX(K1194/J1194,0),1.3),MIN(MAX(J1194/K1194,0),1.3))),"") </f>
        <v/>
      </c>
      <c r="M1194" s="14">
        <f>IFERROR(IF(OR(J1194=0,K1194=""),"",IF(E1194="Positivo",MAX(K1194/J1194,0),MAX(J1194/K1194,0))),"") </f>
        <v/>
      </c>
      <c r="N1194" s="5" t="n"/>
      <c r="O1194" s="5" t="n"/>
      <c r="P1194" s="5" t="n">
        <v>0</v>
      </c>
      <c r="Q1194" s="5" t="n">
        <v>0</v>
      </c>
      <c r="R1194" s="5" t="inlineStr">
        <is>
          <t>388-2023-12-31</t>
        </is>
      </c>
    </row>
    <row r="1195">
      <c r="A1195" s="5" t="n">
        <v>389</v>
      </c>
      <c r="B1195" s="5" t="inlineStr">
        <is>
          <t>Permanencia por escuela</t>
        </is>
      </c>
      <c r="C1195" s="5" t="inlineStr">
        <is>
          <t>Permanencia</t>
        </is>
      </c>
      <c r="D1195" s="5" t="inlineStr">
        <is>
          <t>Semestral</t>
        </is>
      </c>
      <c r="E1195" s="5" t="inlineStr">
        <is>
          <t>Positivo</t>
        </is>
      </c>
      <c r="F1195" s="107" t="n">
        <v>45107</v>
      </c>
      <c r="G1195" s="5" t="n">
        <v>2023</v>
      </c>
      <c r="H1195" s="5" t="inlineStr">
        <is>
          <t>Junio</t>
        </is>
      </c>
      <c r="I1195" s="6" t="inlineStr">
        <is>
          <t>2023-1</t>
        </is>
      </c>
      <c r="J1195" s="5" t="n">
        <v>91</v>
      </c>
      <c r="K1195" s="5" t="n">
        <v>0</v>
      </c>
      <c r="L1195" s="14">
        <f>IFERROR(IF(OR(J1195=0,K1195=""),"",IF(E1195="Positivo",MIN(MAX(K1195/J1195,0),1.3),MIN(MAX(J1195/K1195,0),1.3))),"") </f>
        <v/>
      </c>
      <c r="M1195" s="14">
        <f>IFERROR(IF(OR(J1195=0,K1195=""),"",IF(E1195="Positivo",MAX(K1195/J1195,0),MAX(J1195/K1195,0))),"") </f>
        <v/>
      </c>
      <c r="N1195" s="5" t="inlineStr">
        <is>
          <t>%</t>
        </is>
      </c>
      <c r="O1195" s="5" t="inlineStr">
        <is>
          <t>%</t>
        </is>
      </c>
      <c r="P1195" s="5" t="n">
        <v>0</v>
      </c>
      <c r="Q1195" s="5" t="n">
        <v>0</v>
      </c>
      <c r="R1195" s="5" t="inlineStr">
        <is>
          <t>389-2023-06-30</t>
        </is>
      </c>
    </row>
    <row r="1196">
      <c r="A1196" s="5" t="n">
        <v>389</v>
      </c>
      <c r="B1196" s="5" t="inlineStr">
        <is>
          <t>Permanencia por escuela</t>
        </is>
      </c>
      <c r="C1196" s="5" t="inlineStr">
        <is>
          <t>Permanencia</t>
        </is>
      </c>
      <c r="D1196" s="5" t="inlineStr">
        <is>
          <t>Semestral</t>
        </is>
      </c>
      <c r="E1196" s="5" t="inlineStr">
        <is>
          <t>Positivo</t>
        </is>
      </c>
      <c r="F1196" s="107" t="n">
        <v>45291</v>
      </c>
      <c r="G1196" s="5" t="n">
        <v>2023</v>
      </c>
      <c r="H1196" s="5" t="inlineStr">
        <is>
          <t>Diciembre</t>
        </is>
      </c>
      <c r="I1196" s="6" t="inlineStr">
        <is>
          <t>2023-2</t>
        </is>
      </c>
      <c r="J1196" s="5" t="n">
        <v>91</v>
      </c>
      <c r="K1196" s="5" t="n">
        <v>0</v>
      </c>
      <c r="L1196" s="14">
        <f>IFERROR(IF(OR(J1196=0,K1196=""),"",IF(E1196="Positivo",MIN(MAX(K1196/J1196,0),1.3),MIN(MAX(J1196/K1196,0),1.3))),"") </f>
        <v/>
      </c>
      <c r="M1196" s="14">
        <f>IFERROR(IF(OR(J1196=0,K1196=""),"",IF(E1196="Positivo",MAX(K1196/J1196,0),MAX(J1196/K1196,0))),"") </f>
        <v/>
      </c>
      <c r="N1196" s="5" t="inlineStr">
        <is>
          <t>%</t>
        </is>
      </c>
      <c r="O1196" s="5" t="inlineStr">
        <is>
          <t>%</t>
        </is>
      </c>
      <c r="P1196" s="5" t="n">
        <v>0</v>
      </c>
      <c r="Q1196" s="5" t="n">
        <v>0</v>
      </c>
      <c r="R1196" s="5" t="inlineStr">
        <is>
          <t>389-2023-12-31</t>
        </is>
      </c>
    </row>
    <row r="1197">
      <c r="A1197" s="5" t="n">
        <v>389</v>
      </c>
      <c r="B1197" s="5" t="inlineStr">
        <is>
          <t>Permanencia por escuela</t>
        </is>
      </c>
      <c r="C1197" s="5" t="inlineStr">
        <is>
          <t>Permanencia</t>
        </is>
      </c>
      <c r="D1197" s="5" t="inlineStr">
        <is>
          <t>Semestral</t>
        </is>
      </c>
      <c r="E1197" s="5" t="inlineStr">
        <is>
          <t>Positivo</t>
        </is>
      </c>
      <c r="F1197" s="107" t="n">
        <v>45473</v>
      </c>
      <c r="G1197" s="5" t="n">
        <v>2024</v>
      </c>
      <c r="H1197" s="5" t="inlineStr">
        <is>
          <t>Junio</t>
        </is>
      </c>
      <c r="I1197" s="6" t="inlineStr">
        <is>
          <t>2024-1</t>
        </is>
      </c>
      <c r="J1197" s="5" t="n">
        <v>85</v>
      </c>
      <c r="K1197" s="5" t="n">
        <v>84.43333333333332</v>
      </c>
      <c r="L1197" s="14">
        <f>IFERROR(IF(OR(J1197=0,K1197=""),"",IF(E1197="Positivo",MIN(MAX(K1197/J1197,0),1.3),MIN(MAX(J1197/K1197,0),1.3))),"") </f>
        <v/>
      </c>
      <c r="M1197" s="14">
        <f>IFERROR(IF(OR(J1197=0,K1197=""),"",IF(E1197="Positivo",MAX(K1197/J1197,0),MAX(J1197/K1197,0))),"") </f>
        <v/>
      </c>
      <c r="N1197" s="5" t="n"/>
      <c r="O1197" s="5" t="n"/>
      <c r="P1197" s="5" t="n">
        <v>0</v>
      </c>
      <c r="Q1197" s="5" t="n">
        <v>0</v>
      </c>
      <c r="R1197" s="5" t="inlineStr">
        <is>
          <t>389-2024-06-30</t>
        </is>
      </c>
    </row>
    <row r="1198">
      <c r="A1198" s="5" t="n">
        <v>389</v>
      </c>
      <c r="B1198" s="5" t="inlineStr">
        <is>
          <t>Permanencia por escuela</t>
        </is>
      </c>
      <c r="C1198" s="5" t="inlineStr">
        <is>
          <t>Permanencia</t>
        </is>
      </c>
      <c r="D1198" s="5" t="inlineStr">
        <is>
          <t>Semestral</t>
        </is>
      </c>
      <c r="E1198" s="5" t="inlineStr">
        <is>
          <t>Positivo</t>
        </is>
      </c>
      <c r="F1198" s="107" t="n">
        <v>45657</v>
      </c>
      <c r="G1198" s="5" t="n">
        <v>2024</v>
      </c>
      <c r="H1198" s="5" t="inlineStr">
        <is>
          <t>Diciembre</t>
        </is>
      </c>
      <c r="I1198" s="6" t="inlineStr">
        <is>
          <t>2024-2</t>
        </is>
      </c>
      <c r="J1198" s="5" t="n">
        <v>85</v>
      </c>
      <c r="K1198" s="10" t="n">
        <v>0</v>
      </c>
      <c r="L1198" s="14">
        <f>IFERROR(IF(OR(J1198=0,K1198=""),"",IF(E1198="Positivo",MIN(MAX(K1198/J1198,0),1.3),MIN(MAX(J1198/K1198,0),1.3))),"") </f>
        <v/>
      </c>
      <c r="M1198" s="14">
        <f>IFERROR(IF(OR(J1198=0,K1198=""),"",IF(E1198="Positivo",MAX(K1198/J1198,0),MAX(J1198/K1198,0))),"") </f>
        <v/>
      </c>
      <c r="N1198" s="5" t="n"/>
      <c r="O1198" s="5" t="n"/>
      <c r="P1198" s="5" t="n">
        <v>0</v>
      </c>
      <c r="Q1198" s="5" t="n">
        <v>0</v>
      </c>
      <c r="R1198" s="5" t="inlineStr">
        <is>
          <t>389-2024-12-31</t>
        </is>
      </c>
    </row>
    <row r="1199">
      <c r="A1199" s="5" t="n">
        <v>389</v>
      </c>
      <c r="B1199" s="5" t="inlineStr">
        <is>
          <t>Permanencia por escuela</t>
        </is>
      </c>
      <c r="C1199" s="5" t="inlineStr">
        <is>
          <t>Gestión de Unidades Académicas</t>
        </is>
      </c>
      <c r="D1199" s="5" t="inlineStr">
        <is>
          <t>Trimestral</t>
        </is>
      </c>
      <c r="E1199" s="5" t="inlineStr">
        <is>
          <t>Positivo</t>
        </is>
      </c>
      <c r="F1199" s="107" t="n">
        <v>45838</v>
      </c>
      <c r="G1199" s="5" t="n">
        <v>2025</v>
      </c>
      <c r="H1199" s="5" t="inlineStr">
        <is>
          <t>Junio</t>
        </is>
      </c>
      <c r="I1199" s="6" t="inlineStr">
        <is>
          <t>2025-1</t>
        </is>
      </c>
      <c r="J1199" s="5" t="n"/>
      <c r="K1199" s="5" t="n">
        <v>0</v>
      </c>
      <c r="L1199" s="14" t="n"/>
      <c r="M1199" s="14" t="n"/>
      <c r="N1199" s="5" t="inlineStr">
        <is>
          <t>%</t>
        </is>
      </c>
      <c r="O1199" s="5" t="inlineStr">
        <is>
          <t>%</t>
        </is>
      </c>
      <c r="P1199" s="5" t="n">
        <v>0</v>
      </c>
      <c r="Q1199" s="5" t="n">
        <v>0</v>
      </c>
      <c r="R1199" s="5" t="inlineStr">
        <is>
          <t>389-2025-06-30</t>
        </is>
      </c>
    </row>
    <row r="1200">
      <c r="A1200" s="5" t="n">
        <v>389</v>
      </c>
      <c r="B1200" s="5" t="inlineStr">
        <is>
          <t>Permanencia por escuela</t>
        </is>
      </c>
      <c r="C1200" s="5" t="inlineStr">
        <is>
          <t>Gestión de Unidades Académicas</t>
        </is>
      </c>
      <c r="D1200" s="5" t="inlineStr">
        <is>
          <t>Trimestral</t>
        </is>
      </c>
      <c r="E1200" s="5" t="inlineStr">
        <is>
          <t>Positivo</t>
        </is>
      </c>
      <c r="F1200" s="107" t="n">
        <v>46022</v>
      </c>
      <c r="G1200" s="5" t="n">
        <v>2025</v>
      </c>
      <c r="H1200" s="5" t="inlineStr">
        <is>
          <t>Diciembre</t>
        </is>
      </c>
      <c r="I1200" s="6" t="inlineStr">
        <is>
          <t>2025-2</t>
        </is>
      </c>
      <c r="J1200" s="5" t="n"/>
      <c r="K1200" s="5" t="n"/>
      <c r="L1200" s="14" t="n"/>
      <c r="M1200" s="14" t="n"/>
      <c r="N1200" s="5" t="inlineStr">
        <is>
          <t>%</t>
        </is>
      </c>
      <c r="O1200" s="5" t="inlineStr">
        <is>
          <t>No Aplica</t>
        </is>
      </c>
      <c r="P1200" s="5" t="n">
        <v>0</v>
      </c>
      <c r="Q1200" s="5" t="n">
        <v>0</v>
      </c>
      <c r="R1200" s="5" t="inlineStr">
        <is>
          <t>389-2025-12-31</t>
        </is>
      </c>
      <c r="S1200" t="inlineStr">
        <is>
          <t>No Aplica</t>
        </is>
      </c>
    </row>
    <row r="1201">
      <c r="A1201" s="5" t="n">
        <v>390</v>
      </c>
      <c r="B1201" s="5" t="inlineStr">
        <is>
          <t>Cumplimiento Plan Anual por escuela</t>
        </is>
      </c>
      <c r="C1201" s="5" t="inlineStr">
        <is>
          <t>Planeación Estratégica</t>
        </is>
      </c>
      <c r="D1201" s="5" t="inlineStr">
        <is>
          <t>Trimestral</t>
        </is>
      </c>
      <c r="E1201" s="5" t="inlineStr">
        <is>
          <t>Positivo</t>
        </is>
      </c>
      <c r="F1201" s="107" t="n">
        <v>45016</v>
      </c>
      <c r="G1201" s="5" t="n">
        <v>2023</v>
      </c>
      <c r="H1201" s="5" t="inlineStr">
        <is>
          <t>Marzo</t>
        </is>
      </c>
      <c r="I1201" s="6" t="inlineStr">
        <is>
          <t>2023-1</t>
        </is>
      </c>
      <c r="J1201" s="5" t="n">
        <v>100</v>
      </c>
      <c r="K1201" s="11" t="n">
        <v>0</v>
      </c>
      <c r="L1201" s="14">
        <f>IFERROR(IF(OR(J1201=0,K1201=""),"",IF(E1201="Positivo",MIN(MAX(K1201/J1201,0),1.0),MIN(MAX(J1201/K1201,0),1.0))),"") </f>
        <v/>
      </c>
      <c r="M1201" s="14">
        <f>IFERROR(IF(OR(J1201=0,K1201=""),"",IF(E1201="Positivo",MAX(K1201/J1201,0),MAX(J1201/K1201,0))),"") </f>
        <v/>
      </c>
      <c r="N1201" s="5" t="n"/>
      <c r="O1201" s="5" t="n"/>
      <c r="P1201" s="5" t="n">
        <v>0</v>
      </c>
      <c r="Q1201" s="5" t="n">
        <v>0</v>
      </c>
      <c r="R1201" s="5" t="inlineStr">
        <is>
          <t>390-2023-03-31</t>
        </is>
      </c>
    </row>
    <row r="1202">
      <c r="A1202" s="5" t="n">
        <v>390</v>
      </c>
      <c r="B1202" s="5" t="inlineStr">
        <is>
          <t>Cumplimiento Plan Anual por escuela</t>
        </is>
      </c>
      <c r="C1202" s="5" t="inlineStr">
        <is>
          <t>Planeación Estratégica</t>
        </is>
      </c>
      <c r="D1202" s="5" t="inlineStr">
        <is>
          <t>Trimestral</t>
        </is>
      </c>
      <c r="E1202" s="5" t="inlineStr">
        <is>
          <t>Positivo</t>
        </is>
      </c>
      <c r="F1202" s="107" t="n">
        <v>45107</v>
      </c>
      <c r="G1202" s="5" t="n">
        <v>2023</v>
      </c>
      <c r="H1202" s="5" t="inlineStr">
        <is>
          <t>Junio</t>
        </is>
      </c>
      <c r="I1202" s="6" t="inlineStr">
        <is>
          <t>2023-1</t>
        </is>
      </c>
      <c r="J1202" s="5" t="n">
        <v>100</v>
      </c>
      <c r="K1202" s="5" t="n">
        <v>110.38416666667</v>
      </c>
      <c r="L1202" s="14">
        <f>IFERROR(IF(OR(J1202=0,K1202=""),"",IF(E1202="Positivo",MIN(MAX(K1202/J1202,0),1.0),MIN(MAX(J1202/K1202,0),1.0))),"") </f>
        <v/>
      </c>
      <c r="M1202" s="14">
        <f>IFERROR(IF(OR(J1202=0,K1202=""),"",IF(E1202="Positivo",MAX(K1202/J1202,0),MAX(J1202/K1202,0))),"") </f>
        <v/>
      </c>
      <c r="N1202" s="5" t="n"/>
      <c r="O1202" s="5" t="n"/>
      <c r="P1202" s="5" t="n">
        <v>0</v>
      </c>
      <c r="Q1202" s="5" t="n">
        <v>0</v>
      </c>
      <c r="R1202" s="5" t="inlineStr">
        <is>
          <t>390-2023-06-30</t>
        </is>
      </c>
    </row>
    <row r="1203">
      <c r="A1203" s="26" t="n">
        <v>390</v>
      </c>
      <c r="B1203" s="5" t="inlineStr">
        <is>
          <t>Cumplimiento Plan Anual por escuela</t>
        </is>
      </c>
      <c r="C1203" s="5" t="inlineStr">
        <is>
          <t>Planeación Estratégica</t>
        </is>
      </c>
      <c r="D1203" s="5" t="inlineStr">
        <is>
          <t>Trimestral</t>
        </is>
      </c>
      <c r="E1203" s="5" t="inlineStr">
        <is>
          <t>Positivo</t>
        </is>
      </c>
      <c r="F1203" s="107" t="n">
        <v>45199</v>
      </c>
      <c r="G1203" s="5" t="n">
        <v>2023</v>
      </c>
      <c r="H1203" s="5" t="inlineStr">
        <is>
          <t>Septiembre</t>
        </is>
      </c>
      <c r="I1203" s="6" t="inlineStr">
        <is>
          <t>2023-2</t>
        </is>
      </c>
      <c r="J1203" s="5" t="n">
        <v>100</v>
      </c>
      <c r="K1203" s="5" t="n">
        <v>95.34416666666699</v>
      </c>
      <c r="L1203" s="74">
        <f>IFERROR(IF(OR(J1203=0,K1203=""),"",IF(E1203="Positivo",MIN(MAX(K1203/J1203,0),1.0),MIN(MAX(J1203/K1203,0),1.0))),"") </f>
        <v/>
      </c>
      <c r="M1203" s="14">
        <f>IFERROR(IF(OR(J1203=0,K1203=""),"",IF(E1203="Positivo",MAX(K1203/J1203,0),MAX(J1203/K1203,0))),"") </f>
        <v/>
      </c>
      <c r="N1203" s="5" t="n"/>
      <c r="O1203" s="5" t="n"/>
      <c r="P1203" s="5" t="n">
        <v>0</v>
      </c>
      <c r="Q1203" s="5" t="n">
        <v>0</v>
      </c>
      <c r="R1203" s="5" t="inlineStr">
        <is>
          <t>390-2023-09-30</t>
        </is>
      </c>
    </row>
    <row r="1204">
      <c r="A1204" s="26" t="n">
        <v>390</v>
      </c>
      <c r="B1204" s="5" t="inlineStr">
        <is>
          <t>Cumplimiento Plan Anual por escuela</t>
        </is>
      </c>
      <c r="C1204" s="5" t="inlineStr">
        <is>
          <t>Planeación Estratégica</t>
        </is>
      </c>
      <c r="D1204" s="5" t="inlineStr">
        <is>
          <t>Trimestral</t>
        </is>
      </c>
      <c r="E1204" s="5" t="inlineStr">
        <is>
          <t>Positivo</t>
        </is>
      </c>
      <c r="F1204" s="107" t="n">
        <v>45291</v>
      </c>
      <c r="G1204" s="5" t="n">
        <v>2023</v>
      </c>
      <c r="H1204" s="5" t="inlineStr">
        <is>
          <t>Diciembre</t>
        </is>
      </c>
      <c r="I1204" s="6" t="inlineStr">
        <is>
          <t>2023-2</t>
        </is>
      </c>
      <c r="J1204" s="5" t="n">
        <v>100</v>
      </c>
      <c r="K1204" s="9" t="n">
        <v>99.24916666666699</v>
      </c>
      <c r="L1204" s="74">
        <f>IFERROR(IF(OR(J1204=0,K1204=""),"",IF(E1204="Positivo",MIN(MAX(K1204/J1204,0),1.0),MIN(MAX(J1204/K1204,0),1.0))),"") </f>
        <v/>
      </c>
      <c r="M1204" s="14">
        <f>IFERROR(IF(OR(J1204=0,K1204=""),"",IF(E1204="Positivo",MAX(K1204/J1204,0),MAX(J1204/K1204,0))),"") </f>
        <v/>
      </c>
      <c r="N1204" s="5" t="n"/>
      <c r="O1204" s="5" t="n"/>
      <c r="P1204" s="5" t="n">
        <v>0</v>
      </c>
      <c r="Q1204" s="5" t="n">
        <v>0</v>
      </c>
      <c r="R1204" s="5" t="inlineStr">
        <is>
          <t>390-2023-12-31</t>
        </is>
      </c>
    </row>
    <row r="1205">
      <c r="A1205" s="26" t="n">
        <v>390</v>
      </c>
      <c r="B1205" s="5" t="inlineStr">
        <is>
          <t>Cumplimiento Plan Anual por escuela</t>
        </is>
      </c>
      <c r="C1205" s="5" t="inlineStr">
        <is>
          <t>Planeación Estratégica</t>
        </is>
      </c>
      <c r="D1205" s="5" t="inlineStr">
        <is>
          <t>Trimestral</t>
        </is>
      </c>
      <c r="E1205" s="5" t="inlineStr">
        <is>
          <t>Positivo</t>
        </is>
      </c>
      <c r="F1205" s="107" t="n">
        <v>45473</v>
      </c>
      <c r="G1205" s="5" t="n">
        <v>2024</v>
      </c>
      <c r="H1205" s="5" t="inlineStr">
        <is>
          <t>Junio</t>
        </is>
      </c>
      <c r="I1205" s="6" t="inlineStr">
        <is>
          <t>2024-1</t>
        </is>
      </c>
      <c r="J1205" s="5" t="n">
        <v>100</v>
      </c>
      <c r="K1205" s="10" t="n">
        <v>110.59</v>
      </c>
      <c r="L1205" s="14">
        <f>IFERROR(IF(OR(J1205=0,K1205=""),"",IF(E1205="Positivo",MIN(MAX(K1205/J1205,0),1.0),MIN(MAX(J1205/K1205,0),1.0))),"") </f>
        <v/>
      </c>
      <c r="M1205" s="14">
        <f>IFERROR(IF(OR(J1205=0,K1205=""),"",IF(E1205="Positivo",MAX(K1205/J1205,0),MAX(J1205/K1205,0))),"") </f>
        <v/>
      </c>
      <c r="N1205" s="5" t="n"/>
      <c r="O1205" s="5" t="n"/>
      <c r="P1205" s="5" t="n">
        <v>0</v>
      </c>
      <c r="Q1205" s="5" t="n">
        <v>0</v>
      </c>
      <c r="R1205" s="5" t="inlineStr">
        <is>
          <t>390-2024-06-30</t>
        </is>
      </c>
    </row>
    <row r="1206">
      <c r="A1206" s="5" t="n">
        <v>390</v>
      </c>
      <c r="B1206" s="5" t="inlineStr">
        <is>
          <t>Cumplimiento Plan Anual por escuela</t>
        </is>
      </c>
      <c r="C1206" s="5" t="inlineStr">
        <is>
          <t>Planeación Estratégica</t>
        </is>
      </c>
      <c r="D1206" s="5" t="inlineStr">
        <is>
          <t>Trimestral</t>
        </is>
      </c>
      <c r="E1206" s="5" t="inlineStr">
        <is>
          <t>Positivo</t>
        </is>
      </c>
      <c r="F1206" s="107" t="n">
        <v>45657</v>
      </c>
      <c r="G1206" s="5" t="n">
        <v>2024</v>
      </c>
      <c r="H1206" s="5" t="inlineStr">
        <is>
          <t>Diciembre</t>
        </is>
      </c>
      <c r="I1206" s="6" t="inlineStr">
        <is>
          <t>2024-2</t>
        </is>
      </c>
      <c r="J1206" s="73" t="n">
        <v>100</v>
      </c>
      <c r="K1206" s="9" t="n">
        <v>99.92</v>
      </c>
      <c r="L1206" s="14">
        <f>IFERROR(IF(OR(J1206=0,K1206=""),"",IF(E1206="Positivo",MIN(MAX(K1206/J1206,0),1.0),MIN(MAX(J1206/K1206,0),1.0))),"") </f>
        <v/>
      </c>
      <c r="M1206" s="14">
        <f>IFERROR(IF(OR(J1206=0,K1206=""),"",IF(E1206="Positivo",MAX(K1206/J1206,0),MAX(J1206/K1206,0))),"") </f>
        <v/>
      </c>
      <c r="N1206" s="5" t="n"/>
      <c r="O1206" s="5" t="n"/>
      <c r="P1206" s="5" t="n">
        <v>0</v>
      </c>
      <c r="Q1206" s="5" t="n">
        <v>0</v>
      </c>
      <c r="R1206" s="5" t="inlineStr">
        <is>
          <t>390-2024-12-31</t>
        </is>
      </c>
    </row>
    <row r="1207">
      <c r="A1207" s="5" t="n">
        <v>390</v>
      </c>
      <c r="B1207" s="5" t="inlineStr">
        <is>
          <t>Cumplimiento Plan Anual por escuela</t>
        </is>
      </c>
      <c r="C1207" s="5" t="inlineStr">
        <is>
          <t>Planeación Estratégica</t>
        </is>
      </c>
      <c r="D1207" s="5" t="inlineStr">
        <is>
          <t>Semestral</t>
        </is>
      </c>
      <c r="E1207" s="5" t="inlineStr">
        <is>
          <t>Positivo</t>
        </is>
      </c>
      <c r="F1207" s="107" t="n">
        <v>45838</v>
      </c>
      <c r="G1207" s="5" t="n">
        <v>2025</v>
      </c>
      <c r="H1207" s="5" t="inlineStr">
        <is>
          <t>Junio</t>
        </is>
      </c>
      <c r="I1207" s="6" t="inlineStr">
        <is>
          <t>2025-1</t>
        </is>
      </c>
      <c r="J1207" s="5" t="n">
        <v>100</v>
      </c>
      <c r="K1207" s="10" t="n">
        <v>103.55</v>
      </c>
      <c r="L1207" s="14">
        <f>IFERROR(IF(OR(J1207=0,K1207=""),"",IF(E1207="Positivo",MIN(MAX(K1207/J1207,0),1.0),MIN(MAX(J1207/K1207,0),1.0))),"") </f>
        <v/>
      </c>
      <c r="M1207" s="14">
        <f>IFERROR(IF(OR(J1207=0,K1207=""),"",IF(E1207="Positivo",MAX(K1207/J1207,0),MAX(J1207/K1207,0))),"") </f>
        <v/>
      </c>
      <c r="N1207" s="5" t="inlineStr">
        <is>
          <t>%</t>
        </is>
      </c>
      <c r="O1207" s="5" t="inlineStr">
        <is>
          <t>%</t>
        </is>
      </c>
      <c r="P1207" s="5" t="n">
        <v>0</v>
      </c>
      <c r="Q1207" s="5" t="n">
        <v>0</v>
      </c>
      <c r="R1207" s="5" t="inlineStr">
        <is>
          <t>390-2025-06-30</t>
        </is>
      </c>
    </row>
    <row r="1208">
      <c r="A1208" s="5" t="n">
        <v>390</v>
      </c>
      <c r="B1208" s="5" t="inlineStr">
        <is>
          <t>Cumplimiento Plan Anual por escuela</t>
        </is>
      </c>
      <c r="C1208" s="5" t="inlineStr">
        <is>
          <t>Planeación Estratégica</t>
        </is>
      </c>
      <c r="D1208" s="5" t="inlineStr">
        <is>
          <t>Semestral</t>
        </is>
      </c>
      <c r="E1208" s="5" t="inlineStr">
        <is>
          <t>Positivo</t>
        </is>
      </c>
      <c r="F1208" s="107" t="n">
        <v>46022</v>
      </c>
      <c r="G1208" s="5" t="n">
        <v>2025</v>
      </c>
      <c r="H1208" s="5" t="inlineStr">
        <is>
          <t>Diciembre</t>
        </is>
      </c>
      <c r="I1208" s="6" t="inlineStr">
        <is>
          <t>2025-2</t>
        </is>
      </c>
      <c r="J1208" s="5" t="n">
        <v>100</v>
      </c>
      <c r="K1208" s="5" t="n">
        <v>99.78</v>
      </c>
      <c r="L1208" s="14">
        <f>IFERROR(IF(OR(J1208=0,K1208=""),"",IF(E1208="Positivo",MIN(MAX(K1208/J1208,0),1.0),MIN(MAX(J1208/K1208,0),1.0))),"") </f>
        <v/>
      </c>
      <c r="M1208" s="14">
        <f>IFERROR(IF(OR(J1208=0,K1208=""),"",IF(E1208="Positivo",MAX(K1208/J1208,0),MAX(J1208/K1208,0))),"") </f>
        <v/>
      </c>
      <c r="N1208" s="5" t="inlineStr">
        <is>
          <t>%</t>
        </is>
      </c>
      <c r="O1208" s="5" t="inlineStr">
        <is>
          <t>%</t>
        </is>
      </c>
      <c r="P1208" s="5" t="n">
        <v>0</v>
      </c>
      <c r="Q1208" s="5" t="n">
        <v>0</v>
      </c>
      <c r="R1208" s="5" t="inlineStr">
        <is>
          <t>390-2025-12-31</t>
        </is>
      </c>
    </row>
    <row r="1209">
      <c r="A1209" s="26" t="n">
        <v>391</v>
      </c>
      <c r="B1209" s="5" t="inlineStr">
        <is>
          <t>Satisfacción del cliente con campañas integradas de marketing</t>
        </is>
      </c>
      <c r="C1209" s="5" t="inlineStr">
        <is>
          <t>Gestión de campañas integradas de marketing</t>
        </is>
      </c>
      <c r="D1209" s="5" t="inlineStr">
        <is>
          <t>Semestral</t>
        </is>
      </c>
      <c r="E1209" s="5" t="inlineStr">
        <is>
          <t>Positivo</t>
        </is>
      </c>
      <c r="F1209" s="107" t="n">
        <v>45107</v>
      </c>
      <c r="G1209" s="5" t="n">
        <v>2023</v>
      </c>
      <c r="H1209" s="5" t="inlineStr">
        <is>
          <t>Junio</t>
        </is>
      </c>
      <c r="I1209" s="6" t="inlineStr">
        <is>
          <t>2023-1</t>
        </is>
      </c>
      <c r="J1209" s="5" t="n">
        <v>100</v>
      </c>
      <c r="K1209" s="96" t="n">
        <v>100</v>
      </c>
      <c r="L1209" s="74">
        <f>IFERROR(IF(OR(J1209=0,K1209=""),"",IF(E1209="Positivo",MIN(MAX(K1209/J1209,0),1.3),MIN(MAX(J1209/K1209,0),1.3))),"") </f>
        <v/>
      </c>
      <c r="M1209" s="14">
        <f>IFERROR(IF(OR(J1209=0,K1209=""),"",IF(E1209="Positivo",MAX(K1209/J1209,0),MAX(J1209/K1209,0))),"") </f>
        <v/>
      </c>
      <c r="N1209" s="5" t="inlineStr">
        <is>
          <t>%</t>
        </is>
      </c>
      <c r="O1209" s="5" t="inlineStr">
        <is>
          <t>%</t>
        </is>
      </c>
      <c r="P1209" s="5" t="n">
        <v>0</v>
      </c>
      <c r="Q1209" s="5" t="n">
        <v>0</v>
      </c>
      <c r="R1209" s="5" t="inlineStr">
        <is>
          <t>391-2023-06-30</t>
        </is>
      </c>
    </row>
    <row r="1210">
      <c r="A1210" s="26" t="n">
        <v>391</v>
      </c>
      <c r="B1210" s="5" t="inlineStr">
        <is>
          <t>Satisfacción del cliente con campañas integradas de marketing</t>
        </is>
      </c>
      <c r="C1210" s="5" t="inlineStr">
        <is>
          <t>Gestión de campañas integradas de marketing</t>
        </is>
      </c>
      <c r="D1210" s="5" t="inlineStr">
        <is>
          <t>Semestral</t>
        </is>
      </c>
      <c r="E1210" s="5" t="inlineStr">
        <is>
          <t>Positivo</t>
        </is>
      </c>
      <c r="F1210" s="107" t="n">
        <v>45291</v>
      </c>
      <c r="G1210" s="5" t="n">
        <v>2023</v>
      </c>
      <c r="H1210" s="5" t="inlineStr">
        <is>
          <t>Diciembre</t>
        </is>
      </c>
      <c r="I1210" s="6" t="inlineStr">
        <is>
          <t>2023-2</t>
        </is>
      </c>
      <c r="J1210" s="5" t="n">
        <v>100</v>
      </c>
      <c r="K1210" s="5" t="n">
        <v>100</v>
      </c>
      <c r="L1210" s="74">
        <f>IFERROR(IF(OR(J1210=0,K1210=""),"",IF(E1210="Positivo",MIN(MAX(K1210/J1210,0),1.3),MIN(MAX(J1210/K1210,0),1.3))),"") </f>
        <v/>
      </c>
      <c r="M1210" s="14">
        <f>IFERROR(IF(OR(J1210=0,K1210=""),"",IF(E1210="Positivo",MAX(K1210/J1210,0),MAX(J1210/K1210,0))),"") </f>
        <v/>
      </c>
      <c r="N1210" s="5" t="inlineStr">
        <is>
          <t>%</t>
        </is>
      </c>
      <c r="O1210" s="5" t="inlineStr">
        <is>
          <t>%</t>
        </is>
      </c>
      <c r="P1210" s="5" t="n">
        <v>0</v>
      </c>
      <c r="Q1210" s="5" t="n">
        <v>0</v>
      </c>
      <c r="R1210" s="5" t="inlineStr">
        <is>
          <t>391-2023-12-31</t>
        </is>
      </c>
    </row>
    <row r="1211">
      <c r="A1211" s="26" t="n">
        <v>391</v>
      </c>
      <c r="B1211" s="5" t="inlineStr">
        <is>
          <t>Satisfacción del cliente con campañas integradas de marketing</t>
        </is>
      </c>
      <c r="C1211" s="5" t="inlineStr">
        <is>
          <t>Gestión de campañas integradas de marketing</t>
        </is>
      </c>
      <c r="D1211" s="5" t="inlineStr">
        <is>
          <t>Semestral</t>
        </is>
      </c>
      <c r="E1211" s="5" t="inlineStr">
        <is>
          <t>Positivo</t>
        </is>
      </c>
      <c r="F1211" s="107" t="n">
        <v>45473</v>
      </c>
      <c r="G1211" s="5" t="n">
        <v>2024</v>
      </c>
      <c r="H1211" s="5" t="inlineStr">
        <is>
          <t>Junio</t>
        </is>
      </c>
      <c r="I1211" s="6" t="inlineStr">
        <is>
          <t>2024-1</t>
        </is>
      </c>
      <c r="J1211" s="5" t="n">
        <v>96</v>
      </c>
      <c r="K1211" s="10" t="n">
        <v>100</v>
      </c>
      <c r="L1211" s="74">
        <f>IFERROR(IF(OR(J1211=0,K1211=""),"",IF(E1211="Positivo",MIN(MAX(K1211/J1211,0),1.3),MIN(MAX(J1211/K1211,0),1.3))),"") </f>
        <v/>
      </c>
      <c r="M1211" s="14">
        <f>IFERROR(IF(OR(J1211=0,K1211=""),"",IF(E1211="Positivo",MAX(K1211/J1211,0),MAX(J1211/K1211,0))),"") </f>
        <v/>
      </c>
      <c r="N1211" s="5" t="n"/>
      <c r="O1211" s="5" t="n"/>
      <c r="P1211" s="5" t="n">
        <v>0</v>
      </c>
      <c r="Q1211" s="5" t="n">
        <v>0</v>
      </c>
      <c r="R1211" s="5" t="inlineStr">
        <is>
          <t>391-2024-06-30</t>
        </is>
      </c>
    </row>
    <row r="1212">
      <c r="A1212" s="5" t="n">
        <v>391</v>
      </c>
      <c r="B1212" t="inlineStr">
        <is>
          <t>Satisfacción del cliente con campañas integradas de marketing</t>
        </is>
      </c>
      <c r="C1212" s="5" t="inlineStr">
        <is>
          <t>Gestión de campañas integradas de marketing</t>
        </is>
      </c>
      <c r="D1212" s="5" t="inlineStr">
        <is>
          <t>Semestral</t>
        </is>
      </c>
      <c r="E1212" s="5" t="inlineStr">
        <is>
          <t>Positivo</t>
        </is>
      </c>
      <c r="F1212" s="107" t="n">
        <v>45657</v>
      </c>
      <c r="G1212" s="5" t="n">
        <v>2024</v>
      </c>
      <c r="H1212" s="5" t="inlineStr">
        <is>
          <t>Diciembre</t>
        </is>
      </c>
      <c r="I1212" s="6" t="inlineStr">
        <is>
          <t>2024-2</t>
        </is>
      </c>
      <c r="J1212" s="5" t="n">
        <v>96</v>
      </c>
      <c r="K1212" s="5" t="n">
        <v>100</v>
      </c>
      <c r="L1212" s="14">
        <f>IFERROR(IF(OR(J1212=0,K1212=""),"",IF(E1212="Positivo",MIN(MAX(K1212/J1212,0),1.3),MIN(MAX(J1212/K1212,0),1.3))),"") </f>
        <v/>
      </c>
      <c r="M1212" s="14">
        <f>IFERROR(IF(OR(J1212=0,K1212=""),"",IF(E1212="Positivo",MAX(K1212/J1212,0),MAX(J1212/K1212,0))),"") </f>
        <v/>
      </c>
      <c r="N1212" s="5" t="n"/>
      <c r="O1212" s="5" t="n"/>
      <c r="P1212" s="5" t="n">
        <v>0</v>
      </c>
      <c r="Q1212" s="5" t="n">
        <v>0</v>
      </c>
      <c r="R1212" s="5" t="inlineStr">
        <is>
          <t>391-2024-12-31</t>
        </is>
      </c>
    </row>
    <row r="1213">
      <c r="A1213" s="5" t="n">
        <v>392</v>
      </c>
      <c r="B1213" s="5" t="inlineStr">
        <is>
          <t>Ahorro institucional con base en la monetización de los servicios</t>
        </is>
      </c>
      <c r="C1213" s="5" t="inlineStr">
        <is>
          <t>Gestión de campañas integradas de marketing</t>
        </is>
      </c>
      <c r="D1213" s="5" t="inlineStr">
        <is>
          <t>Semestral</t>
        </is>
      </c>
      <c r="E1213" s="5" t="inlineStr">
        <is>
          <t>Positivo</t>
        </is>
      </c>
      <c r="F1213" s="107" t="n">
        <v>45107</v>
      </c>
      <c r="G1213" s="5" t="n">
        <v>2023</v>
      </c>
      <c r="H1213" s="5" t="inlineStr">
        <is>
          <t>Junio</t>
        </is>
      </c>
      <c r="I1213" s="6" t="inlineStr">
        <is>
          <t>2023-1</t>
        </is>
      </c>
      <c r="J1213" s="5" t="n">
        <v>100</v>
      </c>
      <c r="K1213" s="5" t="n">
        <v>110.09198322581</v>
      </c>
      <c r="L1213" s="14">
        <f>IFERROR(IF(OR(J1213=0,K1213=""),"",IF(E1213="Positivo",MIN(MAX(K1213/J1213,0),1.3),MIN(MAX(J1213/K1213,0),1.3))),"") </f>
        <v/>
      </c>
      <c r="M1213" s="14">
        <f>IFERROR(IF(OR(J1213=0,K1213=""),"",IF(E1213="Positivo",MAX(K1213/J1213,0),MAX(J1213/K1213,0))),"") </f>
        <v/>
      </c>
      <c r="N1213" s="5" t="n"/>
      <c r="O1213" s="5" t="n"/>
      <c r="P1213" s="5" t="n">
        <v>0</v>
      </c>
      <c r="Q1213" s="5" t="n">
        <v>0</v>
      </c>
      <c r="R1213" s="5" t="inlineStr">
        <is>
          <t>392-2023-06-30</t>
        </is>
      </c>
    </row>
    <row r="1214">
      <c r="A1214" s="5" t="n">
        <v>392</v>
      </c>
      <c r="B1214" s="5" t="inlineStr">
        <is>
          <t>Ahorro institucional con base en la monetización de los servicios</t>
        </is>
      </c>
      <c r="C1214" s="5" t="inlineStr">
        <is>
          <t>Gestión de campañas integradas de marketing</t>
        </is>
      </c>
      <c r="D1214" s="5" t="inlineStr">
        <is>
          <t>Semestral</t>
        </is>
      </c>
      <c r="E1214" s="5" t="inlineStr">
        <is>
          <t>Positivo</t>
        </is>
      </c>
      <c r="F1214" s="107" t="n">
        <v>45291</v>
      </c>
      <c r="G1214" s="5" t="n">
        <v>2023</v>
      </c>
      <c r="H1214" s="5" t="inlineStr">
        <is>
          <t>Diciembre</t>
        </is>
      </c>
      <c r="I1214" s="6" t="inlineStr">
        <is>
          <t>2023-2</t>
        </is>
      </c>
      <c r="J1214" s="5" t="n">
        <v>100</v>
      </c>
      <c r="K1214" s="5" t="n">
        <v>147.38</v>
      </c>
      <c r="L1214" s="14">
        <f>IFERROR(IF(OR(J1214=0,K1214=""),"",IF(E1214="Positivo",MIN(MAX(K1214/J1214,0),1.3),MIN(MAX(J1214/K1214,0),1.3))),"") </f>
        <v/>
      </c>
      <c r="M1214" s="14">
        <f>IFERROR(IF(OR(J1214=0,K1214=""),"",IF(E1214="Positivo",MAX(K1214/J1214,0),MAX(J1214/K1214,0))),"") </f>
        <v/>
      </c>
      <c r="N1214" s="5" t="n"/>
      <c r="O1214" s="5" t="n"/>
      <c r="P1214" s="5" t="n">
        <v>0</v>
      </c>
      <c r="Q1214" s="5" t="n">
        <v>0</v>
      </c>
      <c r="R1214" s="5" t="inlineStr">
        <is>
          <t>392-2023-12-31</t>
        </is>
      </c>
    </row>
    <row r="1215">
      <c r="A1215" s="5" t="n">
        <v>392</v>
      </c>
      <c r="B1215" s="5" t="inlineStr">
        <is>
          <t>Ahorro institucional con base en la monetización de los servicios</t>
        </is>
      </c>
      <c r="C1215" s="5" t="inlineStr">
        <is>
          <t>Gestión de campañas integradas de marketing</t>
        </is>
      </c>
      <c r="D1215" s="5" t="inlineStr">
        <is>
          <t>Semestral</t>
        </is>
      </c>
      <c r="E1215" s="5" t="inlineStr">
        <is>
          <t>Positivo</t>
        </is>
      </c>
      <c r="F1215" s="107" t="n">
        <v>45473</v>
      </c>
      <c r="G1215" s="5" t="n">
        <v>2024</v>
      </c>
      <c r="H1215" s="5" t="inlineStr">
        <is>
          <t>Junio</t>
        </is>
      </c>
      <c r="I1215" s="6" t="inlineStr">
        <is>
          <t>2024-1</t>
        </is>
      </c>
      <c r="J1215" s="5" t="n">
        <v>100</v>
      </c>
      <c r="K1215" s="10" t="n">
        <v>98.11</v>
      </c>
      <c r="L1215" s="14">
        <f>IFERROR(IF(OR(J1215=0,K1215=""),"",IF(E1215="Positivo",MIN(MAX(K1215/J1215,0),1.3),MIN(MAX(J1215/K1215,0),1.3))),"") </f>
        <v/>
      </c>
      <c r="M1215" s="14">
        <f>IFERROR(IF(OR(J1215=0,K1215=""),"",IF(E1215="Positivo",MAX(K1215/J1215,0),MAX(J1215/K1215,0))),"") </f>
        <v/>
      </c>
      <c r="N1215" s="5" t="n"/>
      <c r="O1215" s="5" t="n"/>
      <c r="P1215" s="5" t="n">
        <v>0</v>
      </c>
      <c r="Q1215" s="5" t="n">
        <v>0</v>
      </c>
      <c r="R1215" s="5" t="inlineStr">
        <is>
          <t>392-2024-06-30</t>
        </is>
      </c>
    </row>
    <row r="1216">
      <c r="A1216" s="5" t="n">
        <v>392</v>
      </c>
      <c r="B1216" s="5" t="inlineStr">
        <is>
          <t>Ahorro institucional con base en la monetización de los servicios</t>
        </is>
      </c>
      <c r="C1216" s="5" t="inlineStr">
        <is>
          <t>Gestión de campañas integradas de marketing</t>
        </is>
      </c>
      <c r="D1216" s="5" t="inlineStr">
        <is>
          <t>Semestral</t>
        </is>
      </c>
      <c r="E1216" s="5" t="inlineStr">
        <is>
          <t>Positivo</t>
        </is>
      </c>
      <c r="F1216" s="107" t="n">
        <v>45657</v>
      </c>
      <c r="G1216" s="5" t="n">
        <v>2024</v>
      </c>
      <c r="H1216" s="5" t="inlineStr">
        <is>
          <t>Diciembre</t>
        </is>
      </c>
      <c r="I1216" s="6" t="inlineStr">
        <is>
          <t>2024-2</t>
        </is>
      </c>
      <c r="J1216" s="5" t="n">
        <v>100</v>
      </c>
      <c r="K1216" s="5" t="n">
        <v>145.21</v>
      </c>
      <c r="L1216" s="14">
        <f>IFERROR(IF(OR(J1216=0,K1216=""),"",IF(E1216="Positivo",MIN(MAX(K1216/J1216,0),1.3),MIN(MAX(J1216/K1216,0),1.3))),"") </f>
        <v/>
      </c>
      <c r="M1216" s="14">
        <f>IFERROR(IF(OR(J1216=0,K1216=""),"",IF(E1216="Positivo",MAX(K1216/J1216,0),MAX(J1216/K1216,0))),"") </f>
        <v/>
      </c>
      <c r="N1216" s="5" t="n"/>
      <c r="O1216" s="5" t="n"/>
      <c r="P1216" s="5" t="n">
        <v>0</v>
      </c>
      <c r="Q1216" s="5" t="n">
        <v>0</v>
      </c>
      <c r="R1216" s="5" t="inlineStr">
        <is>
          <t>392-2024-12-31</t>
        </is>
      </c>
    </row>
    <row r="1217">
      <c r="A1217" s="5" t="n">
        <v>392</v>
      </c>
      <c r="B1217" s="5" t="inlineStr">
        <is>
          <t>Ahorro institucional con base en la monetización de los servicios</t>
        </is>
      </c>
      <c r="C1217" s="5" t="inlineStr">
        <is>
          <t>Gestión de campañas integradas de marketing</t>
        </is>
      </c>
      <c r="D1217" s="5" t="inlineStr">
        <is>
          <t>Anual</t>
        </is>
      </c>
      <c r="E1217" s="5" t="inlineStr">
        <is>
          <t>Positivo</t>
        </is>
      </c>
      <c r="F1217" s="107" t="n">
        <v>46022</v>
      </c>
      <c r="G1217" s="5" t="n">
        <v>2025</v>
      </c>
      <c r="H1217" s="5" t="inlineStr">
        <is>
          <t>Diciembre</t>
        </is>
      </c>
      <c r="I1217" s="6" t="inlineStr">
        <is>
          <t>2025-2</t>
        </is>
      </c>
      <c r="J1217" s="5" t="n">
        <v>100</v>
      </c>
      <c r="K1217" s="5" t="n">
        <v>100.8</v>
      </c>
      <c r="L1217" s="14">
        <f>IFERROR(IF(OR(J1217=0,K1217=""),"",IF(E1217="Positivo",MIN(MAX(K1217/J1217,0),1.3),MIN(MAX(J1217/K1217,0),1.3))),"") </f>
        <v/>
      </c>
      <c r="M1217" s="14">
        <f>IFERROR(IF(OR(J1217=0,K1217=""),"",IF(E1217="Positivo",MAX(K1217/J1217,0),MAX(J1217/K1217,0))),"") </f>
        <v/>
      </c>
      <c r="N1217" s="5" t="inlineStr">
        <is>
          <t>$</t>
        </is>
      </c>
      <c r="O1217" s="5" t="inlineStr">
        <is>
          <t>$</t>
        </is>
      </c>
      <c r="P1217" s="5" t="n">
        <v>0</v>
      </c>
      <c r="Q1217" s="5" t="n">
        <v>0</v>
      </c>
      <c r="R1217" s="5" t="inlineStr">
        <is>
          <t>392-2025-12-31</t>
        </is>
      </c>
    </row>
    <row r="1218">
      <c r="A1218" s="5" t="n">
        <v>393</v>
      </c>
      <c r="B1218" s="5" t="inlineStr">
        <is>
          <t>Disminución de los tiempos empleados en el desarrollo de las solicitudes</t>
        </is>
      </c>
      <c r="C1218" s="5" t="inlineStr">
        <is>
          <t>Gestión de campañas integradas de marketing</t>
        </is>
      </c>
      <c r="D1218" s="5" t="inlineStr">
        <is>
          <t>Anual</t>
        </is>
      </c>
      <c r="E1218" s="5" t="inlineStr">
        <is>
          <t>Positivo</t>
        </is>
      </c>
      <c r="F1218" s="107" t="n">
        <v>45291</v>
      </c>
      <c r="G1218" s="5" t="n">
        <v>2023</v>
      </c>
      <c r="H1218" s="5" t="inlineStr">
        <is>
          <t>Diciembre</t>
        </is>
      </c>
      <c r="I1218" s="6" t="inlineStr">
        <is>
          <t>2023-2</t>
        </is>
      </c>
      <c r="J1218" s="5" t="n">
        <v>15</v>
      </c>
      <c r="K1218" s="5" t="n">
        <v>15.45</v>
      </c>
      <c r="L1218" s="14">
        <f>IFERROR(IF(OR(J1218=0,K1218=""),"",IF(E1218="Positivo",MIN(MAX(K1218/J1218,0),1.3),MIN(MAX(J1218/K1218,0),1.3))),"") </f>
        <v/>
      </c>
      <c r="M1218" s="14">
        <f>IFERROR(IF(OR(J1218=0,K1218=""),"",IF(E1218="Positivo",MAX(K1218/J1218,0),MAX(J1218/K1218,0))),"") </f>
        <v/>
      </c>
      <c r="N1218" s="5" t="n"/>
      <c r="O1218" s="5" t="n"/>
      <c r="P1218" s="5" t="n">
        <v>1</v>
      </c>
      <c r="Q1218" s="5" t="n">
        <v>1</v>
      </c>
      <c r="R1218" s="5" t="inlineStr">
        <is>
          <t>393-2023-12-31</t>
        </is>
      </c>
    </row>
    <row r="1219">
      <c r="A1219" s="5" t="n">
        <v>393</v>
      </c>
      <c r="B1219" s="5" t="inlineStr">
        <is>
          <t>Disminución de los tiempos empleados en el desarrollo de las solicitudes</t>
        </is>
      </c>
      <c r="C1219" s="5" t="inlineStr">
        <is>
          <t>Gestión de campañas integradas de marketing</t>
        </is>
      </c>
      <c r="D1219" s="5" t="inlineStr">
        <is>
          <t>Anual</t>
        </is>
      </c>
      <c r="E1219" s="5" t="inlineStr">
        <is>
          <t>Negativo</t>
        </is>
      </c>
      <c r="F1219" s="107" t="n">
        <v>45657</v>
      </c>
      <c r="G1219" s="5" t="n">
        <v>2024</v>
      </c>
      <c r="H1219" s="5" t="inlineStr">
        <is>
          <t>Diciembre</t>
        </is>
      </c>
      <c r="I1219" s="6" t="inlineStr">
        <is>
          <t>2024-2</t>
        </is>
      </c>
      <c r="J1219" s="82" t="n">
        <v>15</v>
      </c>
      <c r="K1219" s="9" t="n">
        <v>13</v>
      </c>
      <c r="L1219" s="14">
        <f>IFERROR(IF(OR(J1219=0,K1219=""),"",IF(E1219="Positivo",MIN(MAX(K1219/J1219,0),1.3),MIN(MAX(J1219/K1219,0),1.3))),"") </f>
        <v/>
      </c>
      <c r="M1219" s="14">
        <f>IFERROR(IF(OR(J1219=0,K1219=""),"",IF(E1219="Positivo",MAX(K1219/J1219,0),MAX(J1219/K1219,0))),"") </f>
        <v/>
      </c>
      <c r="N1219" s="5" t="n"/>
      <c r="O1219" s="5" t="n"/>
      <c r="P1219" s="5" t="n">
        <v>0</v>
      </c>
      <c r="Q1219" s="5" t="n">
        <v>0</v>
      </c>
      <c r="R1219" s="5" t="inlineStr">
        <is>
          <t>393-2024-12-31</t>
        </is>
      </c>
    </row>
    <row r="1220">
      <c r="A1220" s="5" t="n">
        <v>393</v>
      </c>
      <c r="B1220" s="5" t="inlineStr">
        <is>
          <t>Disminución de los tiempos empleados en el desarrollo de las solicitudes</t>
        </is>
      </c>
      <c r="C1220" s="5" t="inlineStr">
        <is>
          <t>Gestión de campañas integradas de marketing</t>
        </is>
      </c>
      <c r="D1220" s="5" t="inlineStr">
        <is>
          <t>Anual</t>
        </is>
      </c>
      <c r="E1220" s="5" t="inlineStr">
        <is>
          <t>Negativo</t>
        </is>
      </c>
      <c r="F1220" s="107" t="n">
        <v>46022</v>
      </c>
      <c r="G1220" s="5" t="n">
        <v>2025</v>
      </c>
      <c r="H1220" s="5" t="inlineStr">
        <is>
          <t>Diciembre</t>
        </is>
      </c>
      <c r="I1220" s="6" t="inlineStr">
        <is>
          <t>2025-2</t>
        </is>
      </c>
      <c r="J1220" s="5" t="n"/>
      <c r="K1220" s="5" t="n">
        <v>12</v>
      </c>
      <c r="L1220" s="14" t="n"/>
      <c r="M1220" s="14" t="n"/>
      <c r="N1220" s="5" t="inlineStr">
        <is>
          <t>ENT</t>
        </is>
      </c>
      <c r="O1220" s="5" t="inlineStr">
        <is>
          <t>DEC</t>
        </is>
      </c>
      <c r="P1220" s="5" t="n">
        <v>1</v>
      </c>
      <c r="Q1220" s="5" t="n">
        <v>1</v>
      </c>
      <c r="R1220" s="5" t="inlineStr">
        <is>
          <t>393-2025-12-31</t>
        </is>
      </c>
    </row>
    <row r="1221">
      <c r="A1221" s="5" t="n">
        <v>394</v>
      </c>
      <c r="B1221" s="5" t="inlineStr">
        <is>
          <t>Publicaciones en medios de comunicación Tier 1 y Tier 2</t>
        </is>
      </c>
      <c r="C1221" s="5" t="inlineStr">
        <is>
          <t>Comunicaciones Externas</t>
        </is>
      </c>
      <c r="D1221" s="5" t="inlineStr">
        <is>
          <t>Semestral</t>
        </is>
      </c>
      <c r="E1221" s="5" t="inlineStr">
        <is>
          <t>Positivo</t>
        </is>
      </c>
      <c r="F1221" s="107" t="n">
        <v>45107</v>
      </c>
      <c r="G1221" s="5" t="n">
        <v>2023</v>
      </c>
      <c r="H1221" s="5" t="inlineStr">
        <is>
          <t>Junio</t>
        </is>
      </c>
      <c r="I1221" s="6" t="inlineStr">
        <is>
          <t>2023-1</t>
        </is>
      </c>
      <c r="J1221" s="5" t="n">
        <v>100</v>
      </c>
      <c r="K1221" s="5" t="n">
        <v>275.42857142857</v>
      </c>
      <c r="L1221" s="14">
        <f>IFERROR(IF(OR(J1221=0,K1221=""),"",IF(E1221="Positivo",MIN(MAX(K1221/J1221,0),1.3),MIN(MAX(J1221/K1221,0),1.3))),"") </f>
        <v/>
      </c>
      <c r="M1221" s="14">
        <f>IFERROR(IF(OR(J1221=0,K1221=""),"",IF(E1221="Positivo",MAX(K1221/J1221,0),MAX(J1221/K1221,0))),"") </f>
        <v/>
      </c>
      <c r="N1221" s="5" t="inlineStr">
        <is>
          <t>ENT</t>
        </is>
      </c>
      <c r="O1221" s="5" t="inlineStr">
        <is>
          <t>ENT</t>
        </is>
      </c>
      <c r="P1221" s="5" t="n">
        <v>0</v>
      </c>
      <c r="Q1221" s="5" t="n">
        <v>0</v>
      </c>
      <c r="R1221" s="5" t="inlineStr">
        <is>
          <t>394-2023-06-30</t>
        </is>
      </c>
    </row>
    <row r="1222">
      <c r="A1222" s="5" t="n">
        <v>394</v>
      </c>
      <c r="B1222" s="5" t="inlineStr">
        <is>
          <t>Publicaciones en medios de comunicación Tier 1 y Tier 2</t>
        </is>
      </c>
      <c r="C1222" s="5" t="inlineStr">
        <is>
          <t>Comunicaciones Externas</t>
        </is>
      </c>
      <c r="D1222" s="5" t="inlineStr">
        <is>
          <t>Semestral</t>
        </is>
      </c>
      <c r="E1222" s="5" t="inlineStr">
        <is>
          <t>Positivo</t>
        </is>
      </c>
      <c r="F1222" s="107" t="n">
        <v>45291</v>
      </c>
      <c r="G1222" s="5" t="n">
        <v>2023</v>
      </c>
      <c r="H1222" s="5" t="inlineStr">
        <is>
          <t>Diciembre</t>
        </is>
      </c>
      <c r="I1222" s="6" t="inlineStr">
        <is>
          <t>2023-2</t>
        </is>
      </c>
      <c r="J1222" s="5" t="n">
        <v>100</v>
      </c>
      <c r="K1222" s="5" t="n">
        <v>349.71</v>
      </c>
      <c r="L1222" s="14">
        <f>IFERROR(IF(OR(J1222=0,K1222=""),"",IF(E1222="Positivo",MIN(MAX(K1222/J1222,0),1.3),MIN(MAX(J1222/K1222,0),1.3))),"") </f>
        <v/>
      </c>
      <c r="M1222" s="14">
        <f>IFERROR(IF(OR(J1222=0,K1222=""),"",IF(E1222="Positivo",MAX(K1222/J1222,0),MAX(J1222/K1222,0))),"") </f>
        <v/>
      </c>
      <c r="N1222" s="5" t="inlineStr">
        <is>
          <t>ENT</t>
        </is>
      </c>
      <c r="O1222" s="5" t="inlineStr">
        <is>
          <t>ENT</t>
        </is>
      </c>
      <c r="P1222" s="5" t="n">
        <v>0</v>
      </c>
      <c r="Q1222" s="5" t="n">
        <v>0</v>
      </c>
      <c r="R1222" s="5" t="inlineStr">
        <is>
          <t>394-2023-12-31</t>
        </is>
      </c>
    </row>
    <row r="1223">
      <c r="A1223" s="5" t="n">
        <v>394</v>
      </c>
      <c r="B1223" s="5" t="inlineStr">
        <is>
          <t>Publicaciones en medios de comunicación Tier 1 y Tier 2</t>
        </is>
      </c>
      <c r="C1223" s="5" t="inlineStr">
        <is>
          <t>Comunicaciones Externas</t>
        </is>
      </c>
      <c r="D1223" s="5" t="inlineStr">
        <is>
          <t>Semestral</t>
        </is>
      </c>
      <c r="E1223" s="5" t="inlineStr">
        <is>
          <t>Positivo</t>
        </is>
      </c>
      <c r="F1223" s="107" t="n">
        <v>45473</v>
      </c>
      <c r="G1223" s="5" t="n">
        <v>2024</v>
      </c>
      <c r="H1223" s="5" t="inlineStr">
        <is>
          <t>Junio</t>
        </is>
      </c>
      <c r="I1223" s="6" t="inlineStr">
        <is>
          <t>2024-1</t>
        </is>
      </c>
      <c r="J1223" s="5" t="n">
        <v>100</v>
      </c>
      <c r="K1223" s="5" t="n">
        <v>118.6</v>
      </c>
      <c r="L1223" s="14">
        <f>IFERROR(IF(OR(J1223=0,K1223=""),"",IF(E1223="Positivo",MIN(MAX(K1223/J1223,0),1.3),MIN(MAX(J1223/K1223,0),1.3))),"") </f>
        <v/>
      </c>
      <c r="M1223" s="14">
        <f>IFERROR(IF(OR(J1223=0,K1223=""),"",IF(E1223="Positivo",MAX(K1223/J1223,0),MAX(J1223/K1223,0))),"") </f>
        <v/>
      </c>
      <c r="N1223" s="5" t="inlineStr">
        <is>
          <t>ENT</t>
        </is>
      </c>
      <c r="O1223" s="5" t="inlineStr">
        <is>
          <t>ENT</t>
        </is>
      </c>
      <c r="P1223" s="5" t="n">
        <v>0</v>
      </c>
      <c r="Q1223" s="5" t="n">
        <v>0</v>
      </c>
      <c r="R1223" s="5" t="inlineStr">
        <is>
          <t>394-2024-06-30</t>
        </is>
      </c>
    </row>
    <row r="1224">
      <c r="A1224" t="n">
        <v>394</v>
      </c>
      <c r="B1224" t="inlineStr">
        <is>
          <t>Publicaciones en medios de comunicación Tier 1 y Tier 2</t>
        </is>
      </c>
      <c r="C1224" t="inlineStr">
        <is>
          <t>Comunicaciones Externas</t>
        </is>
      </c>
      <c r="D1224" t="inlineStr">
        <is>
          <t>Semestral</t>
        </is>
      </c>
      <c r="E1224" t="inlineStr">
        <is>
          <t>Positivo</t>
        </is>
      </c>
      <c r="F1224" s="111" t="n">
        <v>45657</v>
      </c>
      <c r="G1224" t="n">
        <v>2024</v>
      </c>
      <c r="H1224" t="inlineStr">
        <is>
          <t>Diciembre</t>
        </is>
      </c>
      <c r="I1224" t="inlineStr">
        <is>
          <t>2024-2</t>
        </is>
      </c>
      <c r="J1224" t="n">
        <v>100</v>
      </c>
      <c r="K1224" t="n">
        <v>192</v>
      </c>
      <c r="L1224" s="39">
        <f>IFERROR(IF(OR(J1224=0,K1224=""),"",IF(E1224="Positivo",MIN(MAX(K1224/J1224,0),1.3),MIN(MAX(J1224/K1224,0),1.3))),"") </f>
        <v/>
      </c>
      <c r="M1224" s="39">
        <f>IFERROR(IF(OR(J1224=0,K1224=""),"",IF(E1224="Positivo",MAX(K1224/J1224,0),MAX(J1224/K1224,0))),"") </f>
        <v/>
      </c>
      <c r="N1224" t="inlineStr">
        <is>
          <t>ENT</t>
        </is>
      </c>
      <c r="O1224" t="inlineStr">
        <is>
          <t>ENT</t>
        </is>
      </c>
      <c r="P1224" t="n">
        <v>0</v>
      </c>
      <c r="Q1224" t="n">
        <v>0</v>
      </c>
      <c r="R1224" t="inlineStr">
        <is>
          <t>394-2024-12-31</t>
        </is>
      </c>
    </row>
    <row r="1225">
      <c r="A1225" t="n">
        <v>394</v>
      </c>
      <c r="B1225" t="inlineStr">
        <is>
          <t>Publicaciones en medios de comunicación Tier 1 y Tier 2</t>
        </is>
      </c>
      <c r="C1225" t="inlineStr">
        <is>
          <t>Comunicaciones Externas</t>
        </is>
      </c>
      <c r="D1225" t="inlineStr">
        <is>
          <t>Semestral</t>
        </is>
      </c>
      <c r="E1225" t="inlineStr">
        <is>
          <t>Positivo</t>
        </is>
      </c>
      <c r="F1225" s="111" t="n">
        <v>45838</v>
      </c>
      <c r="G1225" t="n">
        <v>2025</v>
      </c>
      <c r="H1225" t="inlineStr">
        <is>
          <t>Junio</t>
        </is>
      </c>
      <c r="I1225" t="inlineStr">
        <is>
          <t>2025-1</t>
        </is>
      </c>
      <c r="J1225" t="n">
        <v>100</v>
      </c>
      <c r="K1225" t="n">
        <v>162.18</v>
      </c>
      <c r="L1225" s="39">
        <f>IFERROR(IF(OR(J1225=0,K1225=""),"",IF(E1225="Positivo",MIN(MAX(K1225/J1225,0),1.3),MIN(MAX(J1225/K1225,0),1.3))),"") </f>
        <v/>
      </c>
      <c r="M1225" s="39">
        <f>IFERROR(IF(OR(J1225=0,K1225=""),"",IF(E1225="Positivo",MAX(K1225/J1225,0),MAX(J1225/K1225,0))),"") </f>
        <v/>
      </c>
      <c r="N1225" t="inlineStr">
        <is>
          <t>ENT</t>
        </is>
      </c>
      <c r="O1225" t="inlineStr">
        <is>
          <t>ENT</t>
        </is>
      </c>
      <c r="P1225" t="n">
        <v>0</v>
      </c>
      <c r="Q1225" t="n">
        <v>0</v>
      </c>
      <c r="R1225" t="inlineStr">
        <is>
          <t>394-2025-06-30</t>
        </is>
      </c>
    </row>
    <row r="1226">
      <c r="A1226" t="n">
        <v>394</v>
      </c>
      <c r="B1226" t="inlineStr">
        <is>
          <t>Publicaciones en medios de comunicación Tier 1 y Tier 2</t>
        </is>
      </c>
      <c r="C1226" t="inlineStr">
        <is>
          <t>Comunicaciones Externas</t>
        </is>
      </c>
      <c r="D1226" t="inlineStr">
        <is>
          <t>Semestral</t>
        </is>
      </c>
      <c r="E1226" t="inlineStr">
        <is>
          <t>Positivo</t>
        </is>
      </c>
      <c r="F1226" s="111" t="n">
        <v>46022</v>
      </c>
      <c r="G1226" t="n">
        <v>2025</v>
      </c>
      <c r="H1226" t="inlineStr">
        <is>
          <t>Diciembre</t>
        </is>
      </c>
      <c r="I1226" t="inlineStr">
        <is>
          <t>2025-2</t>
        </is>
      </c>
      <c r="J1226" t="n">
        <v>100</v>
      </c>
      <c r="K1226" t="n">
        <v>114.605</v>
      </c>
      <c r="L1226" s="39">
        <f>IFERROR(IF(OR(J1226=0,K1226=""),"",IF(E1226="Positivo",MIN(MAX(K1226/J1226,0),1.3),MIN(MAX(J1226/K1226,0),1.3))),"") </f>
        <v/>
      </c>
      <c r="M1226" s="39">
        <f>IFERROR(IF(OR(J1226=0,K1226=""),"",IF(E1226="Positivo",MAX(K1226/J1226,0),MAX(J1226/K1226,0))),"") </f>
        <v/>
      </c>
      <c r="N1226" t="inlineStr">
        <is>
          <t>ENT</t>
        </is>
      </c>
      <c r="O1226" t="inlineStr">
        <is>
          <t>ENT</t>
        </is>
      </c>
      <c r="P1226" t="n">
        <v>0</v>
      </c>
      <c r="Q1226" t="n">
        <v>0</v>
      </c>
      <c r="R1226" t="inlineStr">
        <is>
          <t>394-2025-12-31</t>
        </is>
      </c>
    </row>
    <row r="1227">
      <c r="A1227" t="n">
        <v>395</v>
      </c>
      <c r="B1227" t="inlineStr">
        <is>
          <t>Publicaciones en medios de comunicación Tier 1 y Tier 2 de la región Antioquia</t>
        </is>
      </c>
      <c r="C1227" t="inlineStr">
        <is>
          <t>Comunicaciones Externas</t>
        </is>
      </c>
      <c r="D1227" t="inlineStr">
        <is>
          <t>Semestral</t>
        </is>
      </c>
      <c r="E1227" t="inlineStr">
        <is>
          <t>Positivo</t>
        </is>
      </c>
      <c r="F1227" s="111" t="n">
        <v>45107</v>
      </c>
      <c r="G1227" t="n">
        <v>2023</v>
      </c>
      <c r="H1227" t="inlineStr">
        <is>
          <t>Junio</t>
        </is>
      </c>
      <c r="I1227" t="inlineStr">
        <is>
          <t>2023-1</t>
        </is>
      </c>
      <c r="J1227" t="n">
        <v>100</v>
      </c>
      <c r="K1227" t="n">
        <v>294.11764705882</v>
      </c>
      <c r="L1227" s="39">
        <f>IFERROR(IF(OR(J1227=0,K1227=""),"",IF(E1227="Positivo",MIN(MAX(K1227/J1227,0),1.3),MIN(MAX(J1227/K1227,0),1.3))),"") </f>
        <v/>
      </c>
      <c r="M1227" s="39">
        <f>IFERROR(IF(OR(J1227=0,K1227=""),"",IF(E1227="Positivo",MAX(K1227/J1227,0),MAX(J1227/K1227,0))),"") </f>
        <v/>
      </c>
      <c r="N1227" t="inlineStr">
        <is>
          <t>ENT</t>
        </is>
      </c>
      <c r="O1227" t="inlineStr">
        <is>
          <t>ENT</t>
        </is>
      </c>
      <c r="P1227" t="n">
        <v>0</v>
      </c>
      <c r="Q1227" t="n">
        <v>0</v>
      </c>
      <c r="R1227" t="inlineStr">
        <is>
          <t>395-2023-06-30</t>
        </is>
      </c>
    </row>
    <row r="1228">
      <c r="A1228" t="n">
        <v>395</v>
      </c>
      <c r="B1228" t="inlineStr">
        <is>
          <t>Publicaciones en medios de comunicación Tier 1 y Tier 2 de la región Antioquia</t>
        </is>
      </c>
      <c r="C1228" t="inlineStr">
        <is>
          <t>Comunicaciones Externas</t>
        </is>
      </c>
      <c r="D1228" t="inlineStr">
        <is>
          <t>Semestral</t>
        </is>
      </c>
      <c r="E1228" t="inlineStr">
        <is>
          <t>Positivo</t>
        </is>
      </c>
      <c r="F1228" s="111" t="n">
        <v>45291</v>
      </c>
      <c r="G1228" t="n">
        <v>2023</v>
      </c>
      <c r="H1228" t="inlineStr">
        <is>
          <t>Diciembre</t>
        </is>
      </c>
      <c r="I1228" t="inlineStr">
        <is>
          <t>2023-2</t>
        </is>
      </c>
      <c r="J1228" t="n">
        <v>100</v>
      </c>
      <c r="K1228" t="n">
        <v>266.67</v>
      </c>
      <c r="L1228" s="39">
        <f>IFERROR(IF(OR(J1228=0,K1228=""),"",IF(E1228="Positivo",MIN(MAX(K1228/J1228,0),1.3),MIN(MAX(J1228/K1228,0),1.3))),"") </f>
        <v/>
      </c>
      <c r="M1228" s="39">
        <f>IFERROR(IF(OR(J1228=0,K1228=""),"",IF(E1228="Positivo",MAX(K1228/J1228,0),MAX(J1228/K1228,0))),"") </f>
        <v/>
      </c>
      <c r="N1228" t="inlineStr">
        <is>
          <t>ENT</t>
        </is>
      </c>
      <c r="O1228" t="inlineStr">
        <is>
          <t>ENT</t>
        </is>
      </c>
      <c r="P1228" t="n">
        <v>0</v>
      </c>
      <c r="Q1228" t="n">
        <v>0</v>
      </c>
      <c r="R1228" t="inlineStr">
        <is>
          <t>395-2023-12-31</t>
        </is>
      </c>
    </row>
    <row r="1229">
      <c r="A1229" t="n">
        <v>395</v>
      </c>
      <c r="B1229" t="inlineStr">
        <is>
          <t>Publicaciones en medios de comunicación de la región Antioquia</t>
        </is>
      </c>
      <c r="C1229" t="inlineStr">
        <is>
          <t>Comunicaciones Externas</t>
        </is>
      </c>
      <c r="D1229" t="inlineStr">
        <is>
          <t>Semestral</t>
        </is>
      </c>
      <c r="E1229" t="inlineStr">
        <is>
          <t>Positivo</t>
        </is>
      </c>
      <c r="F1229" s="111" t="n">
        <v>45473</v>
      </c>
      <c r="G1229" t="n">
        <v>2024</v>
      </c>
      <c r="H1229" t="inlineStr">
        <is>
          <t>Junio</t>
        </is>
      </c>
      <c r="I1229" t="inlineStr">
        <is>
          <t>2024-1</t>
        </is>
      </c>
      <c r="J1229" t="n">
        <v>100</v>
      </c>
      <c r="K1229" t="n">
        <v>110</v>
      </c>
      <c r="L1229" s="39">
        <f>IFERROR(IF(OR(J1229=0,K1229=""),"",IF(E1229="Positivo",MIN(MAX(K1229/J1229,0),1.3),MIN(MAX(J1229/K1229,0),1.3))),"") </f>
        <v/>
      </c>
      <c r="M1229" s="39">
        <f>IFERROR(IF(OR(J1229=0,K1229=""),"",IF(E1229="Positivo",MAX(K1229/J1229,0),MAX(J1229/K1229,0))),"") </f>
        <v/>
      </c>
      <c r="N1229" t="inlineStr">
        <is>
          <t>ENT</t>
        </is>
      </c>
      <c r="O1229" t="inlineStr">
        <is>
          <t>ENT</t>
        </is>
      </c>
      <c r="P1229" t="n">
        <v>0</v>
      </c>
      <c r="Q1229" t="n">
        <v>0</v>
      </c>
      <c r="R1229" t="inlineStr">
        <is>
          <t>395-2024-06-30</t>
        </is>
      </c>
    </row>
    <row r="1230">
      <c r="A1230" t="n">
        <v>395</v>
      </c>
      <c r="B1230" t="inlineStr">
        <is>
          <t>Publicaciones en medios de comunicación de la región Antioquia</t>
        </is>
      </c>
      <c r="C1230" t="inlineStr">
        <is>
          <t>Comunicaciones Externas</t>
        </is>
      </c>
      <c r="D1230" t="inlineStr">
        <is>
          <t>Semestral</t>
        </is>
      </c>
      <c r="E1230" t="inlineStr">
        <is>
          <t>Positivo</t>
        </is>
      </c>
      <c r="F1230" s="111" t="n">
        <v>45657</v>
      </c>
      <c r="G1230" t="n">
        <v>2024</v>
      </c>
      <c r="H1230" t="inlineStr">
        <is>
          <t>Diciembre</t>
        </is>
      </c>
      <c r="I1230" t="inlineStr">
        <is>
          <t>2024-2</t>
        </is>
      </c>
      <c r="J1230" t="n">
        <v>100</v>
      </c>
      <c r="K1230" t="n">
        <v>148.89</v>
      </c>
      <c r="L1230" s="39">
        <f>IFERROR(IF(OR(J1230=0,K1230=""),"",IF(E1230="Positivo",MIN(MAX(K1230/J1230,0),1.3),MIN(MAX(J1230/K1230,0),1.3))),"") </f>
        <v/>
      </c>
      <c r="M1230" s="39">
        <f>IFERROR(IF(OR(J1230=0,K1230=""),"",IF(E1230="Positivo",MAX(K1230/J1230,0),MAX(J1230/K1230,0))),"") </f>
        <v/>
      </c>
      <c r="N1230" t="inlineStr">
        <is>
          <t>ENT</t>
        </is>
      </c>
      <c r="O1230" t="inlineStr">
        <is>
          <t>ENT</t>
        </is>
      </c>
      <c r="P1230" t="n">
        <v>0</v>
      </c>
      <c r="Q1230" t="n">
        <v>0</v>
      </c>
      <c r="R1230" t="inlineStr">
        <is>
          <t>395-2024-12-31</t>
        </is>
      </c>
    </row>
    <row r="1231">
      <c r="A1231" t="n">
        <v>395</v>
      </c>
      <c r="B1231" t="inlineStr">
        <is>
          <t>Publicaciones en medios de comunicación de la región Antioquia</t>
        </is>
      </c>
      <c r="C1231" t="inlineStr">
        <is>
          <t>Comunicaciones Externas</t>
        </is>
      </c>
      <c r="D1231" t="inlineStr">
        <is>
          <t>Semestral</t>
        </is>
      </c>
      <c r="E1231" t="inlineStr">
        <is>
          <t>Positivo</t>
        </is>
      </c>
      <c r="F1231" s="111" t="n">
        <v>45838</v>
      </c>
      <c r="G1231" t="n">
        <v>2025</v>
      </c>
      <c r="H1231" t="inlineStr">
        <is>
          <t>Junio</t>
        </is>
      </c>
      <c r="I1231" t="inlineStr">
        <is>
          <t>2025-1</t>
        </is>
      </c>
      <c r="J1231" t="n">
        <v>100</v>
      </c>
      <c r="K1231" t="n">
        <v>226.625</v>
      </c>
      <c r="L1231" s="39">
        <f>IFERROR(IF(OR(J1231=0,K1231=""),"",IF(E1231="Positivo",MIN(MAX(K1231/J1231,0),1.3),MIN(MAX(J1231/K1231,0),1.3))),"") </f>
        <v/>
      </c>
      <c r="M1231" s="39">
        <f>IFERROR(IF(OR(J1231=0,K1231=""),"",IF(E1231="Positivo",MAX(K1231/J1231,0),MAX(J1231/K1231,0))),"") </f>
        <v/>
      </c>
      <c r="N1231" t="inlineStr">
        <is>
          <t>ENT</t>
        </is>
      </c>
      <c r="O1231" t="inlineStr">
        <is>
          <t>ENT</t>
        </is>
      </c>
      <c r="P1231" t="n">
        <v>0</v>
      </c>
      <c r="Q1231" t="n">
        <v>0</v>
      </c>
      <c r="R1231" t="inlineStr">
        <is>
          <t>395-2025-06-30</t>
        </is>
      </c>
    </row>
    <row r="1232">
      <c r="A1232" t="n">
        <v>395</v>
      </c>
      <c r="B1232" t="inlineStr">
        <is>
          <t>Publicaciones en medios de comunicación de la región Antioquia</t>
        </is>
      </c>
      <c r="C1232" t="inlineStr">
        <is>
          <t>Comunicaciones Externas</t>
        </is>
      </c>
      <c r="D1232" t="inlineStr">
        <is>
          <t>Semestral</t>
        </is>
      </c>
      <c r="E1232" t="inlineStr">
        <is>
          <t>Positivo</t>
        </is>
      </c>
      <c r="F1232" s="111" t="n">
        <v>46022</v>
      </c>
      <c r="G1232" t="n">
        <v>2025</v>
      </c>
      <c r="H1232" t="inlineStr">
        <is>
          <t>Diciembre</t>
        </is>
      </c>
      <c r="I1232" t="inlineStr">
        <is>
          <t>2025-2</t>
        </is>
      </c>
      <c r="J1232" t="n">
        <v>100</v>
      </c>
      <c r="K1232" t="n">
        <v>182.205</v>
      </c>
      <c r="L1232" s="39">
        <f>IFERROR(IF(OR(J1232=0,K1232=""),"",IF(E1232="Positivo",MIN(MAX(K1232/J1232,0),1.3),MIN(MAX(J1232/K1232,0),1.3))),"") </f>
        <v/>
      </c>
      <c r="M1232" s="39">
        <f>IFERROR(IF(OR(J1232=0,K1232=""),"",IF(E1232="Positivo",MAX(K1232/J1232,0),MAX(J1232/K1232,0))),"") </f>
        <v/>
      </c>
      <c r="N1232" t="inlineStr">
        <is>
          <t>ENT</t>
        </is>
      </c>
      <c r="O1232" t="inlineStr">
        <is>
          <t>ENT</t>
        </is>
      </c>
      <c r="P1232" t="n">
        <v>0</v>
      </c>
      <c r="Q1232" t="n">
        <v>0</v>
      </c>
      <c r="R1232" t="inlineStr">
        <is>
          <t>395-2025-12-31</t>
        </is>
      </c>
    </row>
    <row r="1233">
      <c r="A1233" t="n">
        <v>396</v>
      </c>
      <c r="B1233" t="inlineStr">
        <is>
          <t>Publicaciones en el Campus Virtual</t>
        </is>
      </c>
      <c r="C1233" t="inlineStr">
        <is>
          <t>Gestión de campañas integradas de marketing</t>
        </is>
      </c>
      <c r="D1233" t="inlineStr">
        <is>
          <t>Semestral</t>
        </is>
      </c>
      <c r="E1233" t="inlineStr">
        <is>
          <t>Positivo</t>
        </is>
      </c>
      <c r="F1233" s="111" t="n">
        <v>45107</v>
      </c>
      <c r="G1233" t="n">
        <v>2023</v>
      </c>
      <c r="H1233" t="inlineStr">
        <is>
          <t>Junio</t>
        </is>
      </c>
      <c r="I1233" t="inlineStr">
        <is>
          <t>2023-1</t>
        </is>
      </c>
      <c r="J1233" t="n">
        <v>80</v>
      </c>
      <c r="K1233" t="n">
        <v>91.06999999999999</v>
      </c>
      <c r="L1233" s="39">
        <f>IFERROR(IF(OR(J1233=0,K1233=""),"",IF(E1233="Positivo",MIN(MAX(K1233/J1233,0),1.3),MIN(MAX(J1233/K1233,0),1.3))),"") </f>
        <v/>
      </c>
      <c r="M1233" s="39">
        <f>IFERROR(IF(OR(J1233=0,K1233=""),"",IF(E1233="Positivo",MAX(K1233/J1233,0),MAX(J1233/K1233,0))),"") </f>
        <v/>
      </c>
      <c r="N1233" t="inlineStr">
        <is>
          <t>%</t>
        </is>
      </c>
      <c r="O1233" t="inlineStr">
        <is>
          <t>%</t>
        </is>
      </c>
      <c r="P1233" t="n">
        <v>0</v>
      </c>
      <c r="Q1233" t="n">
        <v>1</v>
      </c>
      <c r="R1233" t="inlineStr">
        <is>
          <t>396-2023-06-30</t>
        </is>
      </c>
    </row>
    <row r="1234">
      <c r="A1234" t="n">
        <v>396</v>
      </c>
      <c r="B1234" t="inlineStr">
        <is>
          <t>Publicaciones en el Campus Virtual</t>
        </is>
      </c>
      <c r="C1234" t="inlineStr">
        <is>
          <t>Gestión de campañas integradas de marketing</t>
        </is>
      </c>
      <c r="D1234" t="inlineStr">
        <is>
          <t>Semestral</t>
        </is>
      </c>
      <c r="E1234" t="inlineStr">
        <is>
          <t>Positivo</t>
        </is>
      </c>
      <c r="F1234" s="111" t="n">
        <v>45291</v>
      </c>
      <c r="G1234" t="n">
        <v>2023</v>
      </c>
      <c r="H1234" t="inlineStr">
        <is>
          <t>Diciembre</t>
        </is>
      </c>
      <c r="I1234" t="inlineStr">
        <is>
          <t>2023-2</t>
        </is>
      </c>
      <c r="J1234" t="n">
        <v>80</v>
      </c>
      <c r="K1234" t="n">
        <v>92.95999999999999</v>
      </c>
      <c r="L1234" s="39">
        <f>IFERROR(IF(OR(J1234=0,K1234=""),"",IF(E1234="Positivo",MIN(MAX(K1234/J1234,0),1.3),MIN(MAX(J1234/K1234,0),1.3))),"") </f>
        <v/>
      </c>
      <c r="M1234" s="39">
        <f>IFERROR(IF(OR(J1234=0,K1234=""),"",IF(E1234="Positivo",MAX(K1234/J1234,0),MAX(J1234/K1234,0))),"") </f>
        <v/>
      </c>
      <c r="N1234" t="inlineStr">
        <is>
          <t>%</t>
        </is>
      </c>
      <c r="O1234" t="inlineStr">
        <is>
          <t>%</t>
        </is>
      </c>
      <c r="P1234" t="n">
        <v>0</v>
      </c>
      <c r="Q1234" t="n">
        <v>1</v>
      </c>
      <c r="R1234" t="inlineStr">
        <is>
          <t>396-2023-12-31</t>
        </is>
      </c>
    </row>
    <row r="1235">
      <c r="A1235" t="n">
        <v>396</v>
      </c>
      <c r="B1235" t="inlineStr">
        <is>
          <t>Publicaciones en el Campus Virtual</t>
        </is>
      </c>
      <c r="C1235" t="inlineStr">
        <is>
          <t>Gestión de campañas integradas de marketing</t>
        </is>
      </c>
      <c r="D1235" t="inlineStr">
        <is>
          <t>Semestral</t>
        </is>
      </c>
      <c r="E1235" t="inlineStr">
        <is>
          <t>Positivo</t>
        </is>
      </c>
      <c r="F1235" s="111" t="n">
        <v>45473</v>
      </c>
      <c r="G1235" t="n">
        <v>2024</v>
      </c>
      <c r="H1235" t="inlineStr">
        <is>
          <t>Junio</t>
        </is>
      </c>
      <c r="I1235" t="inlineStr">
        <is>
          <t>2024-1</t>
        </is>
      </c>
      <c r="J1235" t="n">
        <v>80</v>
      </c>
      <c r="K1235" t="n">
        <v>88.08</v>
      </c>
      <c r="L1235" s="39">
        <f>IFERROR(IF(OR(J1235=0,K1235=""),"",IF(E1235="Positivo",MIN(MAX(K1235/J1235,0),1.3),MIN(MAX(J1235/K1235,0),1.3))),"") </f>
        <v/>
      </c>
      <c r="M1235" s="39">
        <f>IFERROR(IF(OR(J1235=0,K1235=""),"",IF(E1235="Positivo",MAX(K1235/J1235,0),MAX(J1235/K1235,0))),"") </f>
        <v/>
      </c>
      <c r="N1235" t="inlineStr">
        <is>
          <t>%</t>
        </is>
      </c>
      <c r="O1235" t="inlineStr">
        <is>
          <t>%</t>
        </is>
      </c>
      <c r="P1235" t="n">
        <v>0</v>
      </c>
      <c r="Q1235" t="n">
        <v>1</v>
      </c>
      <c r="R1235" t="inlineStr">
        <is>
          <t>396-2024-06-30</t>
        </is>
      </c>
    </row>
    <row r="1236">
      <c r="A1236" t="n">
        <v>396</v>
      </c>
      <c r="B1236" t="inlineStr">
        <is>
          <t>Publicaciones en el Campus Virtual</t>
        </is>
      </c>
      <c r="C1236" t="inlineStr">
        <is>
          <t>Gestión de campañas integradas de marketing</t>
        </is>
      </c>
      <c r="D1236" t="inlineStr">
        <is>
          <t>Semestral</t>
        </is>
      </c>
      <c r="E1236" t="inlineStr">
        <is>
          <t>Positivo</t>
        </is>
      </c>
      <c r="F1236" s="111" t="n">
        <v>45657</v>
      </c>
      <c r="G1236" t="n">
        <v>2024</v>
      </c>
      <c r="H1236" t="inlineStr">
        <is>
          <t>Diciembre</t>
        </is>
      </c>
      <c r="I1236" t="inlineStr">
        <is>
          <t>2024-2</t>
        </is>
      </c>
      <c r="J1236" t="n">
        <v>80</v>
      </c>
      <c r="K1236" t="n">
        <v>94.88</v>
      </c>
      <c r="L1236" s="39">
        <f>IFERROR(IF(OR(J1236=0,K1236=""),"",IF(E1236="Positivo",MIN(MAX(K1236/J1236,0),1.3),MIN(MAX(J1236/K1236,0),1.3))),"") </f>
        <v/>
      </c>
      <c r="M1236" s="39">
        <f>IFERROR(IF(OR(J1236=0,K1236=""),"",IF(E1236="Positivo",MAX(K1236/J1236,0),MAX(J1236/K1236,0))),"") </f>
        <v/>
      </c>
      <c r="N1236" t="inlineStr">
        <is>
          <t>%</t>
        </is>
      </c>
      <c r="O1236" t="inlineStr">
        <is>
          <t>%</t>
        </is>
      </c>
      <c r="P1236" t="n">
        <v>0</v>
      </c>
      <c r="Q1236" t="n">
        <v>1</v>
      </c>
      <c r="R1236" t="inlineStr">
        <is>
          <t>396-2024-12-31</t>
        </is>
      </c>
    </row>
    <row r="1237">
      <c r="A1237" t="n">
        <v>397</v>
      </c>
      <c r="B1237" t="inlineStr">
        <is>
          <t>Gestión de casos del Estudio de Grabación Virtual</t>
        </is>
      </c>
      <c r="C1237" t="inlineStr">
        <is>
          <t>Diseño de Contenido Virtual</t>
        </is>
      </c>
      <c r="D1237" t="inlineStr">
        <is>
          <t>Semestral</t>
        </is>
      </c>
      <c r="E1237" t="inlineStr">
        <is>
          <t>Positivo</t>
        </is>
      </c>
      <c r="F1237" s="111" t="n">
        <v>45107</v>
      </c>
      <c r="G1237" t="n">
        <v>2023</v>
      </c>
      <c r="H1237" t="inlineStr">
        <is>
          <t>Junio</t>
        </is>
      </c>
      <c r="I1237" t="inlineStr">
        <is>
          <t>2023-1</t>
        </is>
      </c>
      <c r="J1237" t="n">
        <v>80</v>
      </c>
      <c r="K1237" t="n">
        <v>91.071428571429</v>
      </c>
      <c r="L1237" s="39">
        <f>IFERROR(IF(OR(J1237=0,K1237=""),"",IF(E1237="Positivo",MIN(MAX(K1237/J1237,0),1.3),MIN(MAX(J1237/K1237,0),1.3))),"") </f>
        <v/>
      </c>
      <c r="M1237" s="39">
        <f>IFERROR(IF(OR(J1237=0,K1237=""),"",IF(E1237="Positivo",MAX(K1237/J1237,0),MAX(J1237/K1237,0))),"") </f>
        <v/>
      </c>
      <c r="N1237" t="inlineStr">
        <is>
          <t>%</t>
        </is>
      </c>
      <c r="O1237" t="inlineStr">
        <is>
          <t>%</t>
        </is>
      </c>
      <c r="P1237" t="n">
        <v>1</v>
      </c>
      <c r="Q1237" t="n">
        <v>1</v>
      </c>
      <c r="R1237" t="inlineStr">
        <is>
          <t>397-2023-06-30</t>
        </is>
      </c>
    </row>
    <row r="1238">
      <c r="A1238" t="n">
        <v>397</v>
      </c>
      <c r="B1238" t="inlineStr">
        <is>
          <t>Gestión de casos del Estudio de Grabación Virtual</t>
        </is>
      </c>
      <c r="C1238" t="inlineStr">
        <is>
          <t>Diseño de Contenido Virtual</t>
        </is>
      </c>
      <c r="D1238" t="inlineStr">
        <is>
          <t>Semestral</t>
        </is>
      </c>
      <c r="E1238" t="inlineStr">
        <is>
          <t>Positivo</t>
        </is>
      </c>
      <c r="F1238" s="111" t="n">
        <v>45291</v>
      </c>
      <c r="G1238" t="n">
        <v>2023</v>
      </c>
      <c r="H1238" t="inlineStr">
        <is>
          <t>Diciembre</t>
        </is>
      </c>
      <c r="I1238" t="inlineStr">
        <is>
          <t>2023-2</t>
        </is>
      </c>
      <c r="J1238" t="n">
        <v>80</v>
      </c>
      <c r="K1238" t="n">
        <v>92.95999999999999</v>
      </c>
      <c r="L1238" s="39">
        <f>IFERROR(IF(OR(J1238=0,K1238=""),"",IF(E1238="Positivo",MIN(MAX(K1238/J1238,0),1.3),MIN(MAX(J1238/K1238,0),1.3))),"") </f>
        <v/>
      </c>
      <c r="M1238" s="39">
        <f>IFERROR(IF(OR(J1238=0,K1238=""),"",IF(E1238="Positivo",MAX(K1238/J1238,0),MAX(J1238/K1238,0))),"") </f>
        <v/>
      </c>
      <c r="N1238" t="inlineStr">
        <is>
          <t>%</t>
        </is>
      </c>
      <c r="O1238" t="inlineStr">
        <is>
          <t>%</t>
        </is>
      </c>
      <c r="P1238" t="n">
        <v>1</v>
      </c>
      <c r="Q1238" t="n">
        <v>1</v>
      </c>
      <c r="R1238" t="inlineStr">
        <is>
          <t>397-2023-12-31</t>
        </is>
      </c>
    </row>
    <row r="1239">
      <c r="A1239" t="n">
        <v>397</v>
      </c>
      <c r="B1239" t="inlineStr">
        <is>
          <t>Gestión de casos del Estudio de Grabación Virtual</t>
        </is>
      </c>
      <c r="C1239" t="inlineStr">
        <is>
          <t>Diseño de Contenido Virtual</t>
        </is>
      </c>
      <c r="D1239" t="inlineStr">
        <is>
          <t>Semestral</t>
        </is>
      </c>
      <c r="E1239" t="inlineStr">
        <is>
          <t>Positivo</t>
        </is>
      </c>
      <c r="F1239" s="111" t="n">
        <v>45473</v>
      </c>
      <c r="G1239" t="n">
        <v>2024</v>
      </c>
      <c r="H1239" t="inlineStr">
        <is>
          <t>Junio</t>
        </is>
      </c>
      <c r="I1239" t="inlineStr">
        <is>
          <t>2024-1</t>
        </is>
      </c>
      <c r="J1239" t="n">
        <v>80</v>
      </c>
      <c r="K1239" t="n">
        <v>88.08</v>
      </c>
      <c r="L1239" s="39">
        <f>IFERROR(IF(OR(J1239=0,K1239=""),"",IF(E1239="Positivo",MIN(MAX(K1239/J1239,0),1.3),MIN(MAX(J1239/K1239,0),1.3))),"") </f>
        <v/>
      </c>
      <c r="M1239" s="39">
        <f>IFERROR(IF(OR(J1239=0,K1239=""),"",IF(E1239="Positivo",MAX(K1239/J1239,0),MAX(J1239/K1239,0))),"") </f>
        <v/>
      </c>
      <c r="N1239" t="inlineStr">
        <is>
          <t>%</t>
        </is>
      </c>
      <c r="O1239" t="inlineStr">
        <is>
          <t>%</t>
        </is>
      </c>
      <c r="P1239" t="n">
        <v>0</v>
      </c>
      <c r="Q1239" t="n">
        <v>0</v>
      </c>
      <c r="R1239" t="inlineStr">
        <is>
          <t>397-2024-06-30</t>
        </is>
      </c>
    </row>
    <row r="1240">
      <c r="A1240" t="n">
        <v>397</v>
      </c>
      <c r="B1240" t="inlineStr">
        <is>
          <t>Gestión de casos del Estudio de Grabación Virtual</t>
        </is>
      </c>
      <c r="C1240" t="inlineStr">
        <is>
          <t>Diseño de Contenido Virtual</t>
        </is>
      </c>
      <c r="D1240" t="inlineStr">
        <is>
          <t>Semestral</t>
        </is>
      </c>
      <c r="E1240" t="inlineStr">
        <is>
          <t>Positivo</t>
        </is>
      </c>
      <c r="F1240" s="111" t="n">
        <v>45657</v>
      </c>
      <c r="G1240" t="n">
        <v>2024</v>
      </c>
      <c r="H1240" t="inlineStr">
        <is>
          <t>Diciembre</t>
        </is>
      </c>
      <c r="I1240" t="inlineStr">
        <is>
          <t>2024-2</t>
        </is>
      </c>
      <c r="J1240" t="n">
        <v>80</v>
      </c>
      <c r="K1240" t="n">
        <v>94.88</v>
      </c>
      <c r="L1240" s="39">
        <f>IFERROR(IF(OR(J1240=0,K1240=""),"",IF(E1240="Positivo",MIN(MAX(K1240/J1240,0),1.3),MIN(MAX(J1240/K1240,0),1.3))),"") </f>
        <v/>
      </c>
      <c r="M1240" s="39">
        <f>IFERROR(IF(OR(J1240=0,K1240=""),"",IF(E1240="Positivo",MAX(K1240/J1240,0),MAX(J1240/K1240,0))),"") </f>
        <v/>
      </c>
      <c r="N1240" t="inlineStr">
        <is>
          <t>%</t>
        </is>
      </c>
      <c r="O1240" t="inlineStr">
        <is>
          <t>%</t>
        </is>
      </c>
      <c r="P1240" t="n">
        <v>0</v>
      </c>
      <c r="Q1240" t="n">
        <v>0</v>
      </c>
      <c r="R1240" t="inlineStr">
        <is>
          <t>397-2024-12-31</t>
        </is>
      </c>
    </row>
    <row r="1241">
      <c r="A1241" t="n">
        <v>397</v>
      </c>
      <c r="B1241" t="inlineStr">
        <is>
          <t>Gestión de casos del Estudio de Grabación Virtual</t>
        </is>
      </c>
      <c r="C1241" t="inlineStr">
        <is>
          <t>Diseño de Contenido Virtual</t>
        </is>
      </c>
      <c r="D1241" t="inlineStr">
        <is>
          <t>Semestral</t>
        </is>
      </c>
      <c r="E1241" t="inlineStr">
        <is>
          <t>Positivo</t>
        </is>
      </c>
      <c r="F1241" s="111" t="n">
        <v>45838</v>
      </c>
      <c r="G1241" t="n">
        <v>2025</v>
      </c>
      <c r="H1241" t="inlineStr">
        <is>
          <t>Junio</t>
        </is>
      </c>
      <c r="I1241" t="inlineStr">
        <is>
          <t>2025-1</t>
        </is>
      </c>
      <c r="J1241" t="n">
        <v>90</v>
      </c>
      <c r="K1241" t="n">
        <v>95.26000000000001</v>
      </c>
      <c r="L1241" s="39">
        <f>IFERROR(IF(OR(J1241=0,K1241=""),"",IF(E1241="Positivo",MIN(MAX(K1241/J1241,0),1.3),MIN(MAX(J1241/K1241,0),1.3))),"") </f>
        <v/>
      </c>
      <c r="M1241" s="39">
        <f>IFERROR(IF(OR(J1241=0,K1241=""),"",IF(E1241="Positivo",MAX(K1241/J1241,0),MAX(J1241/K1241,0))),"") </f>
        <v/>
      </c>
      <c r="N1241" t="inlineStr">
        <is>
          <t>%</t>
        </is>
      </c>
      <c r="O1241" t="inlineStr">
        <is>
          <t>%</t>
        </is>
      </c>
      <c r="P1241" t="n">
        <v>0</v>
      </c>
      <c r="Q1241" t="n">
        <v>0</v>
      </c>
      <c r="R1241" t="inlineStr">
        <is>
          <t>397-2025-06-30</t>
        </is>
      </c>
    </row>
    <row r="1242">
      <c r="A1242" t="n">
        <v>397</v>
      </c>
      <c r="B1242" t="inlineStr">
        <is>
          <t>Gestión de casos del Estudio de Grabación Virtual</t>
        </is>
      </c>
      <c r="C1242" t="inlineStr">
        <is>
          <t>Diseño de Contenido Virtual</t>
        </is>
      </c>
      <c r="D1242" t="inlineStr">
        <is>
          <t>Trimestral</t>
        </is>
      </c>
      <c r="E1242" t="inlineStr">
        <is>
          <t>Positivo</t>
        </is>
      </c>
      <c r="F1242" s="111" t="n">
        <v>46022</v>
      </c>
      <c r="G1242" t="n">
        <v>2025</v>
      </c>
      <c r="H1242" t="inlineStr">
        <is>
          <t>Diciembre</t>
        </is>
      </c>
      <c r="I1242" t="inlineStr">
        <is>
          <t>2025-2</t>
        </is>
      </c>
      <c r="J1242" t="n">
        <v>90</v>
      </c>
      <c r="K1242" t="n">
        <v>96.14</v>
      </c>
      <c r="L1242" s="39">
        <f>IFERROR(IF(OR(J1242=0,K1242=""),"",IF(E1242="Positivo",MIN(MAX(K1242/J1242,0),1.3),MIN(MAX(J1242/K1242,0),1.3))),"") </f>
        <v/>
      </c>
      <c r="M1242" s="39">
        <f>IFERROR(IF(OR(J1242=0,K1242=""),"",IF(E1242="Positivo",MAX(K1242/J1242,0),MAX(J1242/K1242,0))),"") </f>
        <v/>
      </c>
      <c r="N1242" t="inlineStr">
        <is>
          <t>%</t>
        </is>
      </c>
      <c r="O1242" t="inlineStr">
        <is>
          <t>%</t>
        </is>
      </c>
      <c r="P1242" t="n">
        <v>0</v>
      </c>
      <c r="Q1242" t="n">
        <v>1</v>
      </c>
      <c r="R1242" t="inlineStr">
        <is>
          <t>397-2025-12-31</t>
        </is>
      </c>
    </row>
    <row r="1243">
      <c r="A1243" t="n">
        <v>398</v>
      </c>
      <c r="B1243" t="inlineStr">
        <is>
          <t>Participación en actividades de desarrollo de Cultura y Formación Emprendedora</t>
        </is>
      </c>
      <c r="C1243" t="inlineStr">
        <is>
          <t>Emprendimiento</t>
        </is>
      </c>
      <c r="D1243" t="inlineStr">
        <is>
          <t>Semestral</t>
        </is>
      </c>
      <c r="E1243" t="inlineStr">
        <is>
          <t>Positivo</t>
        </is>
      </c>
      <c r="F1243" s="111" t="n">
        <v>45107</v>
      </c>
      <c r="G1243" t="n">
        <v>2023</v>
      </c>
      <c r="H1243" t="inlineStr">
        <is>
          <t>Junio</t>
        </is>
      </c>
      <c r="I1243" t="inlineStr">
        <is>
          <t>2023-1</t>
        </is>
      </c>
      <c r="J1243" t="n">
        <v>100</v>
      </c>
      <c r="K1243" t="n">
        <v>256.8</v>
      </c>
      <c r="L1243" s="39">
        <f>IFERROR(IF(OR(J1243=0,K1243=""),"",IF(E1243="Positivo",MIN(MAX(K1243/J1243,0),1.3),MIN(MAX(J1243/K1243,0),1.3))),"") </f>
        <v/>
      </c>
      <c r="M1243" s="39">
        <f>IFERROR(IF(OR(J1243=0,K1243=""),"",IF(E1243="Positivo",MAX(K1243/J1243,0),MAX(J1243/K1243,0))),"") </f>
        <v/>
      </c>
      <c r="N1243" t="inlineStr">
        <is>
          <t>ENT</t>
        </is>
      </c>
      <c r="O1243" t="inlineStr">
        <is>
          <t>ENT</t>
        </is>
      </c>
      <c r="P1243" t="n">
        <v>0</v>
      </c>
      <c r="Q1243" t="n">
        <v>0</v>
      </c>
      <c r="R1243" t="inlineStr">
        <is>
          <t>398-2023-06-30</t>
        </is>
      </c>
    </row>
    <row r="1244">
      <c r="A1244" t="n">
        <v>398</v>
      </c>
      <c r="B1244" t="inlineStr">
        <is>
          <t>Participación en actividades de desarrollo de Cultura y Formación Emprendedora</t>
        </is>
      </c>
      <c r="C1244" t="inlineStr">
        <is>
          <t>Emprendimiento</t>
        </is>
      </c>
      <c r="D1244" t="inlineStr">
        <is>
          <t>Semestral</t>
        </is>
      </c>
      <c r="E1244" t="inlineStr">
        <is>
          <t>Positivo</t>
        </is>
      </c>
      <c r="F1244" s="111" t="n">
        <v>45291</v>
      </c>
      <c r="G1244" t="n">
        <v>2023</v>
      </c>
      <c r="H1244" t="inlineStr">
        <is>
          <t>Diciembre</t>
        </is>
      </c>
      <c r="I1244" t="inlineStr">
        <is>
          <t>2023-2</t>
        </is>
      </c>
      <c r="J1244" t="n">
        <v>100</v>
      </c>
      <c r="K1244" t="n">
        <v>234.4</v>
      </c>
      <c r="L1244" s="39">
        <f>IFERROR(IF(OR(J1244=0,K1244=""),"",IF(E1244="Positivo",MIN(MAX(K1244/J1244,0),1.3),MIN(MAX(J1244/K1244,0),1.3))),"") </f>
        <v/>
      </c>
      <c r="M1244" s="39">
        <f>IFERROR(IF(OR(J1244=0,K1244=""),"",IF(E1244="Positivo",MAX(K1244/J1244,0),MAX(J1244/K1244,0))),"") </f>
        <v/>
      </c>
      <c r="N1244" t="inlineStr">
        <is>
          <t>ENT</t>
        </is>
      </c>
      <c r="O1244" t="inlineStr">
        <is>
          <t>ENT</t>
        </is>
      </c>
      <c r="P1244" t="n">
        <v>0</v>
      </c>
      <c r="Q1244" t="n">
        <v>0</v>
      </c>
      <c r="R1244" t="inlineStr">
        <is>
          <t>398-2023-12-31</t>
        </is>
      </c>
    </row>
    <row r="1245">
      <c r="A1245" t="n">
        <v>398</v>
      </c>
      <c r="B1245" t="inlineStr">
        <is>
          <t>Participación en actividades de desarrollo de Cultura y Formación Emprendedora</t>
        </is>
      </c>
      <c r="C1245" t="inlineStr">
        <is>
          <t>Emprendimiento</t>
        </is>
      </c>
      <c r="D1245" t="inlineStr">
        <is>
          <t>Semestral</t>
        </is>
      </c>
      <c r="E1245" t="inlineStr">
        <is>
          <t>Positivo</t>
        </is>
      </c>
      <c r="F1245" s="111" t="n">
        <v>45473</v>
      </c>
      <c r="G1245" t="n">
        <v>2024</v>
      </c>
      <c r="H1245" t="inlineStr">
        <is>
          <t>Junio</t>
        </is>
      </c>
      <c r="I1245" t="inlineStr">
        <is>
          <t>2024-1</t>
        </is>
      </c>
      <c r="J1245" t="n">
        <v>100</v>
      </c>
      <c r="K1245" t="n">
        <v>283.92</v>
      </c>
      <c r="L1245" s="39">
        <f>IFERROR(IF(OR(J1245=0,K1245=""),"",IF(E1245="Positivo",MIN(MAX(K1245/J1245,0),1.3),MIN(MAX(J1245/K1245,0),1.3))),"") </f>
        <v/>
      </c>
      <c r="M1245" s="39">
        <f>IFERROR(IF(OR(J1245=0,K1245=""),"",IF(E1245="Positivo",MAX(K1245/J1245,0),MAX(J1245/K1245,0))),"") </f>
        <v/>
      </c>
      <c r="N1245" t="inlineStr">
        <is>
          <t>ENT</t>
        </is>
      </c>
      <c r="O1245" t="inlineStr">
        <is>
          <t>ENT</t>
        </is>
      </c>
      <c r="P1245" t="n">
        <v>0</v>
      </c>
      <c r="Q1245" t="n">
        <v>0</v>
      </c>
      <c r="R1245" t="inlineStr">
        <is>
          <t>398-2024-06-30</t>
        </is>
      </c>
    </row>
    <row r="1246">
      <c r="A1246" t="n">
        <v>398</v>
      </c>
      <c r="B1246" t="inlineStr">
        <is>
          <t>Participación en actividades de desarrollo de Cultura y Formación Emprendedora</t>
        </is>
      </c>
      <c r="C1246" t="inlineStr">
        <is>
          <t>Emprendimiento</t>
        </is>
      </c>
      <c r="D1246" t="inlineStr">
        <is>
          <t>Semestral</t>
        </is>
      </c>
      <c r="E1246" t="inlineStr">
        <is>
          <t>Positivo</t>
        </is>
      </c>
      <c r="F1246" s="111" t="n">
        <v>45657</v>
      </c>
      <c r="G1246" t="n">
        <v>2024</v>
      </c>
      <c r="H1246" t="inlineStr">
        <is>
          <t>Diciembre</t>
        </is>
      </c>
      <c r="I1246" t="inlineStr">
        <is>
          <t>2024-2</t>
        </is>
      </c>
      <c r="J1246" t="n">
        <v>100</v>
      </c>
      <c r="K1246" t="n">
        <v>160</v>
      </c>
      <c r="L1246" s="39">
        <f>IFERROR(IF(OR(J1246=0,K1246=""),"",IF(E1246="Positivo",MIN(MAX(K1246/J1246,0),1.3),MIN(MAX(J1246/K1246,0),1.3))),"") </f>
        <v/>
      </c>
      <c r="M1246" s="39">
        <f>IFERROR(IF(OR(J1246=0,K1246=""),"",IF(E1246="Positivo",MAX(K1246/J1246,0),MAX(J1246/K1246,0))),"") </f>
        <v/>
      </c>
      <c r="N1246" t="inlineStr">
        <is>
          <t>ENT</t>
        </is>
      </c>
      <c r="O1246" t="inlineStr">
        <is>
          <t>ENT</t>
        </is>
      </c>
      <c r="P1246" t="n">
        <v>0</v>
      </c>
      <c r="Q1246" t="n">
        <v>0</v>
      </c>
      <c r="R1246" t="inlineStr">
        <is>
          <t>398-2024-12-31</t>
        </is>
      </c>
    </row>
    <row r="1247">
      <c r="A1247" t="n">
        <v>398</v>
      </c>
      <c r="B1247" t="inlineStr">
        <is>
          <t>Participación en actividades de desarrollo de Cultura y Formación Emprendedora</t>
        </is>
      </c>
      <c r="C1247" t="inlineStr">
        <is>
          <t>Emprendimiento</t>
        </is>
      </c>
      <c r="D1247" t="inlineStr">
        <is>
          <t>Semestral</t>
        </is>
      </c>
      <c r="E1247" t="inlineStr">
        <is>
          <t>Positivo</t>
        </is>
      </c>
      <c r="F1247" s="111" t="n">
        <v>45838</v>
      </c>
      <c r="G1247" t="n">
        <v>2025</v>
      </c>
      <c r="H1247" t="inlineStr">
        <is>
          <t>Junio</t>
        </is>
      </c>
      <c r="I1247" t="inlineStr">
        <is>
          <t>2025-1</t>
        </is>
      </c>
      <c r="J1247" t="n">
        <v>100</v>
      </c>
      <c r="K1247" t="n">
        <v>159.5</v>
      </c>
      <c r="L1247" s="39">
        <f>IFERROR(IF(OR(J1247=0,K1247=""),"",IF(E1247="Positivo",MIN(MAX(K1247/J1247,0),1.3),MIN(MAX(J1247/K1247,0),1.3))),"") </f>
        <v/>
      </c>
      <c r="M1247" s="39">
        <f>IFERROR(IF(OR(J1247=0,K1247=""),"",IF(E1247="Positivo",MAX(K1247/J1247,0),MAX(J1247/K1247,0))),"") </f>
        <v/>
      </c>
      <c r="N1247" t="inlineStr">
        <is>
          <t>ENT</t>
        </is>
      </c>
      <c r="O1247" t="inlineStr">
        <is>
          <t>ENT</t>
        </is>
      </c>
      <c r="P1247" t="n">
        <v>0</v>
      </c>
      <c r="Q1247" t="n">
        <v>0</v>
      </c>
      <c r="R1247" t="inlineStr">
        <is>
          <t>398-2025-06-30</t>
        </is>
      </c>
    </row>
    <row r="1248">
      <c r="A1248" t="n">
        <v>398</v>
      </c>
      <c r="B1248" t="inlineStr">
        <is>
          <t>Participación en actividades de desarrollo de Cultura y Formación Emprendedora</t>
        </is>
      </c>
      <c r="C1248" t="inlineStr">
        <is>
          <t>Emprendimiento</t>
        </is>
      </c>
      <c r="D1248" t="inlineStr">
        <is>
          <t>Trimestral</t>
        </is>
      </c>
      <c r="E1248" t="inlineStr">
        <is>
          <t>Positivo</t>
        </is>
      </c>
      <c r="F1248" s="111" t="n">
        <v>46022</v>
      </c>
      <c r="G1248" t="n">
        <v>2025</v>
      </c>
      <c r="H1248" t="inlineStr">
        <is>
          <t>Diciembre</t>
        </is>
      </c>
      <c r="I1248" t="inlineStr">
        <is>
          <t>2025-2</t>
        </is>
      </c>
      <c r="J1248" t="n">
        <v>100</v>
      </c>
      <c r="K1248" t="n">
        <v>168.71</v>
      </c>
      <c r="L1248" s="39">
        <f>IFERROR(IF(OR(J1248=0,K1248=""),"",IF(E1248="Positivo",MIN(MAX(K1248/J1248,0),1.3),MIN(MAX(J1248/K1248,0),1.3))),"") </f>
        <v/>
      </c>
      <c r="M1248" s="39">
        <f>IFERROR(IF(OR(J1248=0,K1248=""),"",IF(E1248="Positivo",MAX(K1248/J1248,0),MAX(J1248/K1248,0))),"") </f>
        <v/>
      </c>
      <c r="N1248" t="inlineStr">
        <is>
          <t>ENT</t>
        </is>
      </c>
      <c r="O1248" t="inlineStr">
        <is>
          <t>ENT</t>
        </is>
      </c>
      <c r="P1248" t="n">
        <v>0</v>
      </c>
      <c r="Q1248" t="n">
        <v>0</v>
      </c>
      <c r="R1248" t="inlineStr">
        <is>
          <t>398-2025-12-31</t>
        </is>
      </c>
    </row>
    <row r="1249">
      <c r="A1249" t="n">
        <v>399</v>
      </c>
      <c r="B1249" t="inlineStr">
        <is>
          <t>Acompañamiento a emprendedores en creación de empresas</t>
        </is>
      </c>
      <c r="C1249" t="inlineStr">
        <is>
          <t>Emprendimiento</t>
        </is>
      </c>
      <c r="D1249" t="inlineStr">
        <is>
          <t>Semestral</t>
        </is>
      </c>
      <c r="E1249" t="inlineStr">
        <is>
          <t>Positivo</t>
        </is>
      </c>
      <c r="F1249" s="111" t="n">
        <v>45107</v>
      </c>
      <c r="G1249" t="n">
        <v>2023</v>
      </c>
      <c r="H1249" t="inlineStr">
        <is>
          <t>Junio</t>
        </is>
      </c>
      <c r="I1249" t="inlineStr">
        <is>
          <t>2023-1</t>
        </is>
      </c>
      <c r="J1249" t="n">
        <v>100</v>
      </c>
      <c r="K1249" t="n">
        <v>117.8</v>
      </c>
      <c r="L1249" s="39">
        <f>IFERROR(IF(OR(J1249=0,K1249=""),"",IF(E1249="Positivo",MIN(MAX(K1249/J1249,0),1.3),MIN(MAX(J1249/K1249,0),1.3))),"") </f>
        <v/>
      </c>
      <c r="M1249" s="39">
        <f>IFERROR(IF(OR(J1249=0,K1249=""),"",IF(E1249="Positivo",MAX(K1249/J1249,0),MAX(J1249/K1249,0))),"") </f>
        <v/>
      </c>
      <c r="N1249" t="inlineStr">
        <is>
          <t>ENT</t>
        </is>
      </c>
      <c r="O1249" t="inlineStr">
        <is>
          <t>ENT</t>
        </is>
      </c>
      <c r="P1249" t="n">
        <v>0</v>
      </c>
      <c r="Q1249" t="n">
        <v>0</v>
      </c>
      <c r="R1249" t="inlineStr">
        <is>
          <t>399-2023-06-30</t>
        </is>
      </c>
    </row>
    <row r="1250">
      <c r="A1250" t="n">
        <v>399</v>
      </c>
      <c r="B1250" t="inlineStr">
        <is>
          <t>Acompañamiento a emprendedores en creación de empresas</t>
        </is>
      </c>
      <c r="C1250" t="inlineStr">
        <is>
          <t>Emprendimiento</t>
        </is>
      </c>
      <c r="D1250" t="inlineStr">
        <is>
          <t>Semestral</t>
        </is>
      </c>
      <c r="E1250" t="inlineStr">
        <is>
          <t>Positivo</t>
        </is>
      </c>
      <c r="F1250" s="111" t="n">
        <v>45291</v>
      </c>
      <c r="G1250" t="n">
        <v>2023</v>
      </c>
      <c r="H1250" t="inlineStr">
        <is>
          <t>Diciembre</t>
        </is>
      </c>
      <c r="I1250" t="inlineStr">
        <is>
          <t>2023-2</t>
        </is>
      </c>
      <c r="J1250" t="n">
        <v>100</v>
      </c>
      <c r="K1250" t="n">
        <v>149</v>
      </c>
      <c r="L1250" s="39">
        <f>IFERROR(IF(OR(J1250=0,K1250=""),"",IF(E1250="Positivo",MIN(MAX(K1250/J1250,0),1.3),MIN(MAX(J1250/K1250,0),1.3))),"") </f>
        <v/>
      </c>
      <c r="M1250" s="39">
        <f>IFERROR(IF(OR(J1250=0,K1250=""),"",IF(E1250="Positivo",MAX(K1250/J1250,0),MAX(J1250/K1250,0))),"") </f>
        <v/>
      </c>
      <c r="N1250" t="inlineStr">
        <is>
          <t>ENT</t>
        </is>
      </c>
      <c r="O1250" t="inlineStr">
        <is>
          <t>ENT</t>
        </is>
      </c>
      <c r="P1250" t="n">
        <v>0</v>
      </c>
      <c r="Q1250" t="n">
        <v>0</v>
      </c>
      <c r="R1250" t="inlineStr">
        <is>
          <t>399-2023-12-31</t>
        </is>
      </c>
    </row>
    <row r="1251">
      <c r="A1251" t="n">
        <v>399</v>
      </c>
      <c r="B1251" t="inlineStr">
        <is>
          <t>Sesiones de Acompañamiento a emprendedores en creación de empresas</t>
        </is>
      </c>
      <c r="C1251" t="inlineStr">
        <is>
          <t>Emprendimiento</t>
        </is>
      </c>
      <c r="D1251" t="inlineStr">
        <is>
          <t>Semestral</t>
        </is>
      </c>
      <c r="E1251" t="inlineStr">
        <is>
          <t>Positivo</t>
        </is>
      </c>
      <c r="F1251" s="111" t="n">
        <v>45473</v>
      </c>
      <c r="G1251" t="n">
        <v>2024</v>
      </c>
      <c r="H1251" t="inlineStr">
        <is>
          <t>Junio</t>
        </is>
      </c>
      <c r="I1251" t="inlineStr">
        <is>
          <t>2024-1</t>
        </is>
      </c>
      <c r="J1251" t="n">
        <v>100</v>
      </c>
      <c r="K1251" t="n">
        <v>111.36</v>
      </c>
      <c r="L1251" s="39">
        <f>IFERROR(IF(OR(J1251=0,K1251=""),"",IF(E1251="Positivo",MIN(MAX(K1251/J1251,0),1.3),MIN(MAX(J1251/K1251,0),1.3))),"") </f>
        <v/>
      </c>
      <c r="M1251" s="39">
        <f>IFERROR(IF(OR(J1251=0,K1251=""),"",IF(E1251="Positivo",MAX(K1251/J1251,0),MAX(J1251/K1251,0))),"") </f>
        <v/>
      </c>
      <c r="N1251" t="inlineStr">
        <is>
          <t>ENT</t>
        </is>
      </c>
      <c r="O1251" t="inlineStr">
        <is>
          <t>ENT</t>
        </is>
      </c>
      <c r="P1251" t="n">
        <v>0</v>
      </c>
      <c r="Q1251" t="n">
        <v>0</v>
      </c>
      <c r="R1251" t="inlineStr">
        <is>
          <t>399-2024-06-30</t>
        </is>
      </c>
    </row>
    <row r="1252">
      <c r="A1252" t="n">
        <v>399</v>
      </c>
      <c r="B1252" t="inlineStr">
        <is>
          <t>Sesiones de Acompañamiento a emprendedores en creación de empresas</t>
        </is>
      </c>
      <c r="C1252" t="inlineStr">
        <is>
          <t>Emprendimiento</t>
        </is>
      </c>
      <c r="D1252" t="inlineStr">
        <is>
          <t>Semestral</t>
        </is>
      </c>
      <c r="E1252" t="inlineStr">
        <is>
          <t>Positivo</t>
        </is>
      </c>
      <c r="F1252" s="111" t="n">
        <v>45657</v>
      </c>
      <c r="G1252" t="n">
        <v>2024</v>
      </c>
      <c r="H1252" t="inlineStr">
        <is>
          <t>Diciembre</t>
        </is>
      </c>
      <c r="I1252" t="inlineStr">
        <is>
          <t>2024-2</t>
        </is>
      </c>
      <c r="J1252" t="n">
        <v>100</v>
      </c>
      <c r="K1252" t="n">
        <v>111.36</v>
      </c>
      <c r="L1252" s="39">
        <f>IFERROR(IF(OR(J1252=0,K1252=""),"",IF(E1252="Positivo",MIN(MAX(K1252/J1252,0),1.3),MIN(MAX(J1252/K1252,0),1.3))),"") </f>
        <v/>
      </c>
      <c r="M1252" s="39">
        <f>IFERROR(IF(OR(J1252=0,K1252=""),"",IF(E1252="Positivo",MAX(K1252/J1252,0),MAX(J1252/K1252,0))),"") </f>
        <v/>
      </c>
      <c r="N1252" t="inlineStr">
        <is>
          <t>ENT</t>
        </is>
      </c>
      <c r="O1252" t="inlineStr">
        <is>
          <t>ENT</t>
        </is>
      </c>
      <c r="P1252" t="n">
        <v>0</v>
      </c>
      <c r="Q1252" t="n">
        <v>0</v>
      </c>
      <c r="R1252" t="inlineStr">
        <is>
          <t>399-2024-12-31</t>
        </is>
      </c>
    </row>
    <row r="1253">
      <c r="A1253" t="n">
        <v>399</v>
      </c>
      <c r="B1253" t="inlineStr">
        <is>
          <t>Sesiones de Acompañamiento a emprendedores en creación de empresas</t>
        </is>
      </c>
      <c r="C1253" t="inlineStr">
        <is>
          <t>Emprendimiento</t>
        </is>
      </c>
      <c r="D1253" t="inlineStr">
        <is>
          <t>Semestral</t>
        </is>
      </c>
      <c r="E1253" t="inlineStr">
        <is>
          <t>Positivo</t>
        </is>
      </c>
      <c r="F1253" s="111" t="n">
        <v>45838</v>
      </c>
      <c r="G1253" t="n">
        <v>2025</v>
      </c>
      <c r="H1253" t="inlineStr">
        <is>
          <t>Junio</t>
        </is>
      </c>
      <c r="I1253" t="inlineStr">
        <is>
          <t>2025-1</t>
        </is>
      </c>
      <c r="J1253" t="n">
        <v>100</v>
      </c>
      <c r="K1253" t="n">
        <v>102.93</v>
      </c>
      <c r="L1253" s="39">
        <f>IFERROR(IF(OR(J1253=0,K1253=""),"",IF(E1253="Positivo",MIN(MAX(K1253/J1253,0),1.3),MIN(MAX(J1253/K1253,0),1.3))),"") </f>
        <v/>
      </c>
      <c r="M1253" s="39">
        <f>IFERROR(IF(OR(J1253=0,K1253=""),"",IF(E1253="Positivo",MAX(K1253/J1253,0),MAX(J1253/K1253,0))),"") </f>
        <v/>
      </c>
      <c r="N1253" t="inlineStr">
        <is>
          <t>ENT</t>
        </is>
      </c>
      <c r="O1253" t="inlineStr">
        <is>
          <t>ENT</t>
        </is>
      </c>
      <c r="P1253" t="n">
        <v>0</v>
      </c>
      <c r="Q1253" t="n">
        <v>0</v>
      </c>
      <c r="R1253" t="inlineStr">
        <is>
          <t>399-2025-06-30</t>
        </is>
      </c>
    </row>
    <row r="1254">
      <c r="A1254" t="n">
        <v>399</v>
      </c>
      <c r="B1254" t="inlineStr">
        <is>
          <t>Sesiones de Acompañamiento a emprendedores en creación de empresas</t>
        </is>
      </c>
      <c r="C1254" t="inlineStr">
        <is>
          <t>Emprendimiento</t>
        </is>
      </c>
      <c r="D1254" t="inlineStr">
        <is>
          <t>Trimestral</t>
        </is>
      </c>
      <c r="E1254" t="inlineStr">
        <is>
          <t>Positivo</t>
        </is>
      </c>
      <c r="F1254" s="111" t="n">
        <v>46022</v>
      </c>
      <c r="G1254" t="n">
        <v>2025</v>
      </c>
      <c r="H1254" t="inlineStr">
        <is>
          <t>Diciembre</t>
        </is>
      </c>
      <c r="I1254" t="inlineStr">
        <is>
          <t>2025-2</t>
        </is>
      </c>
      <c r="J1254" t="n">
        <v>100</v>
      </c>
      <c r="K1254" t="n">
        <v>106.13</v>
      </c>
      <c r="L1254" s="39">
        <f>IFERROR(IF(OR(J1254=0,K1254=""),"",IF(E1254="Positivo",MIN(MAX(K1254/J1254,0),1.3),MIN(MAX(J1254/K1254,0),1.3))),"") </f>
        <v/>
      </c>
      <c r="M1254" s="39">
        <f>IFERROR(IF(OR(J1254=0,K1254=""),"",IF(E1254="Positivo",MAX(K1254/J1254,0),MAX(J1254/K1254,0))),"") </f>
        <v/>
      </c>
      <c r="N1254" t="inlineStr">
        <is>
          <t>ENT</t>
        </is>
      </c>
      <c r="O1254" t="inlineStr">
        <is>
          <t>ENT</t>
        </is>
      </c>
      <c r="P1254" t="n">
        <v>0</v>
      </c>
      <c r="Q1254" t="n">
        <v>0</v>
      </c>
      <c r="R1254" t="inlineStr">
        <is>
          <t>399-2025-12-31</t>
        </is>
      </c>
    </row>
    <row r="1255">
      <c r="A1255" t="n">
        <v>400</v>
      </c>
      <c r="B1255" t="inlineStr">
        <is>
          <t>Puesta en marcha de proyectos de emprendimiento</t>
        </is>
      </c>
      <c r="C1255" t="inlineStr">
        <is>
          <t>Emprendimiento</t>
        </is>
      </c>
      <c r="D1255" t="inlineStr">
        <is>
          <t>Semestral</t>
        </is>
      </c>
      <c r="E1255" t="inlineStr">
        <is>
          <t>Positivo</t>
        </is>
      </c>
      <c r="F1255" s="111" t="n">
        <v>45107</v>
      </c>
      <c r="G1255" t="n">
        <v>2023</v>
      </c>
      <c r="H1255" t="inlineStr">
        <is>
          <t>Junio</t>
        </is>
      </c>
      <c r="I1255" t="inlineStr">
        <is>
          <t>2023-1</t>
        </is>
      </c>
      <c r="J1255" t="n">
        <v>100</v>
      </c>
      <c r="K1255" t="n">
        <v>220</v>
      </c>
      <c r="L1255" s="39">
        <f>IFERROR(IF(OR(J1255=0,K1255=""),"",IF(E1255="Positivo",MIN(MAX(K1255/J1255,0),1.3),MIN(MAX(J1255/K1255,0),1.3))),"") </f>
        <v/>
      </c>
      <c r="M1255" s="39">
        <f>IFERROR(IF(OR(J1255=0,K1255=""),"",IF(E1255="Positivo",MAX(K1255/J1255,0),MAX(J1255/K1255,0))),"") </f>
        <v/>
      </c>
      <c r="N1255" t="inlineStr">
        <is>
          <t>ENT</t>
        </is>
      </c>
      <c r="O1255" t="inlineStr">
        <is>
          <t>ENT</t>
        </is>
      </c>
      <c r="P1255" t="n">
        <v>0</v>
      </c>
      <c r="Q1255" t="n">
        <v>0</v>
      </c>
      <c r="R1255" t="inlineStr">
        <is>
          <t>400-2023-06-30</t>
        </is>
      </c>
    </row>
    <row r="1256">
      <c r="A1256" t="n">
        <v>400</v>
      </c>
      <c r="B1256" t="inlineStr">
        <is>
          <t>Puesta en marcha de proyectos de emprendimiento</t>
        </is>
      </c>
      <c r="C1256" t="inlineStr">
        <is>
          <t>Emprendimiento</t>
        </is>
      </c>
      <c r="D1256" t="inlineStr">
        <is>
          <t>Semestral</t>
        </is>
      </c>
      <c r="E1256" t="inlineStr">
        <is>
          <t>Positivo</t>
        </is>
      </c>
      <c r="F1256" s="111" t="n">
        <v>45291</v>
      </c>
      <c r="G1256" t="n">
        <v>2023</v>
      </c>
      <c r="H1256" t="inlineStr">
        <is>
          <t>Diciembre</t>
        </is>
      </c>
      <c r="I1256" t="inlineStr">
        <is>
          <t>2023-2</t>
        </is>
      </c>
      <c r="J1256" t="n">
        <v>100</v>
      </c>
      <c r="K1256" t="n">
        <v>282.86</v>
      </c>
      <c r="L1256" s="39">
        <f>IFERROR(IF(OR(J1256=0,K1256=""),"",IF(E1256="Positivo",MIN(MAX(K1256/J1256,0),1.3),MIN(MAX(J1256/K1256,0),1.3))),"") </f>
        <v/>
      </c>
      <c r="M1256" s="39">
        <f>IFERROR(IF(OR(J1256=0,K1256=""),"",IF(E1256="Positivo",MAX(K1256/J1256,0),MAX(J1256/K1256,0))),"") </f>
        <v/>
      </c>
      <c r="N1256" t="inlineStr">
        <is>
          <t>ENT</t>
        </is>
      </c>
      <c r="O1256" t="inlineStr">
        <is>
          <t>ENT</t>
        </is>
      </c>
      <c r="P1256" t="n">
        <v>0</v>
      </c>
      <c r="Q1256" t="n">
        <v>0</v>
      </c>
      <c r="R1256" t="inlineStr">
        <is>
          <t>400-2023-12-31</t>
        </is>
      </c>
    </row>
    <row r="1257">
      <c r="A1257" t="n">
        <v>400</v>
      </c>
      <c r="B1257" t="inlineStr">
        <is>
          <t>Puesta en marcha de proyectos de emprendimiento</t>
        </is>
      </c>
      <c r="C1257" t="inlineStr">
        <is>
          <t>Emprendimiento</t>
        </is>
      </c>
      <c r="D1257" t="inlineStr">
        <is>
          <t>Semestral</t>
        </is>
      </c>
      <c r="E1257" t="inlineStr">
        <is>
          <t>Positivo</t>
        </is>
      </c>
      <c r="F1257" s="111" t="n">
        <v>45473</v>
      </c>
      <c r="G1257" t="n">
        <v>2024</v>
      </c>
      <c r="H1257" t="inlineStr">
        <is>
          <t>Junio</t>
        </is>
      </c>
      <c r="I1257" t="inlineStr">
        <is>
          <t>2024-1</t>
        </is>
      </c>
      <c r="J1257" t="n">
        <v>100</v>
      </c>
      <c r="K1257" t="n">
        <v>270.45</v>
      </c>
      <c r="L1257" s="39">
        <f>IFERROR(IF(OR(J1257=0,K1257=""),"",IF(E1257="Positivo",MIN(MAX(K1257/J1257,0),1.3),MIN(MAX(J1257/K1257,0),1.3))),"") </f>
        <v/>
      </c>
      <c r="M1257" s="39">
        <f>IFERROR(IF(OR(J1257=0,K1257=""),"",IF(E1257="Positivo",MAX(K1257/J1257,0),MAX(J1257/K1257,0))),"") </f>
        <v/>
      </c>
      <c r="N1257" t="inlineStr">
        <is>
          <t>ENT</t>
        </is>
      </c>
      <c r="O1257" t="inlineStr">
        <is>
          <t>ENT</t>
        </is>
      </c>
      <c r="P1257" t="n">
        <v>0</v>
      </c>
      <c r="Q1257" t="n">
        <v>0</v>
      </c>
      <c r="R1257" t="inlineStr">
        <is>
          <t>400-2024-06-30</t>
        </is>
      </c>
    </row>
    <row r="1258">
      <c r="A1258" t="n">
        <v>400</v>
      </c>
      <c r="B1258" t="inlineStr">
        <is>
          <t>Puesta en marcha de proyectos de emprendimiento</t>
        </is>
      </c>
      <c r="C1258" t="inlineStr">
        <is>
          <t>Emprendimiento</t>
        </is>
      </c>
      <c r="D1258" t="inlineStr">
        <is>
          <t>Semestral</t>
        </is>
      </c>
      <c r="E1258" t="inlineStr">
        <is>
          <t>Positivo</t>
        </is>
      </c>
      <c r="F1258" s="111" t="n">
        <v>45657</v>
      </c>
      <c r="G1258" t="n">
        <v>2024</v>
      </c>
      <c r="H1258" t="inlineStr">
        <is>
          <t>Diciembre</t>
        </is>
      </c>
      <c r="I1258" t="inlineStr">
        <is>
          <t>2024-2</t>
        </is>
      </c>
      <c r="J1258" t="n">
        <v>100</v>
      </c>
      <c r="K1258" t="n">
        <v>397.73</v>
      </c>
      <c r="L1258" s="39">
        <f>IFERROR(IF(OR(J1258=0,K1258=""),"",IF(E1258="Positivo",MIN(MAX(K1258/J1258,0),1.3),MIN(MAX(J1258/K1258,0),1.3))),"") </f>
        <v/>
      </c>
      <c r="M1258" s="39">
        <f>IFERROR(IF(OR(J1258=0,K1258=""),"",IF(E1258="Positivo",MAX(K1258/J1258,0),MAX(J1258/K1258,0))),"") </f>
        <v/>
      </c>
      <c r="N1258" t="inlineStr">
        <is>
          <t>ENT</t>
        </is>
      </c>
      <c r="O1258" t="inlineStr">
        <is>
          <t>ENT</t>
        </is>
      </c>
      <c r="P1258" t="n">
        <v>0</v>
      </c>
      <c r="Q1258" t="n">
        <v>0</v>
      </c>
      <c r="R1258" t="inlineStr">
        <is>
          <t>400-2024-12-31</t>
        </is>
      </c>
    </row>
    <row r="1259">
      <c r="A1259" t="n">
        <v>400</v>
      </c>
      <c r="B1259" t="inlineStr">
        <is>
          <t>Puesta en marcha de proyectos de emprendimiento</t>
        </is>
      </c>
      <c r="C1259" t="inlineStr">
        <is>
          <t>Emprendimiento</t>
        </is>
      </c>
      <c r="D1259" t="inlineStr">
        <is>
          <t>Semestral</t>
        </is>
      </c>
      <c r="E1259" t="inlineStr">
        <is>
          <t>Positivo</t>
        </is>
      </c>
      <c r="F1259" s="111" t="n">
        <v>45838</v>
      </c>
      <c r="G1259" t="n">
        <v>2025</v>
      </c>
      <c r="H1259" t="inlineStr">
        <is>
          <t>Junio</t>
        </is>
      </c>
      <c r="I1259" t="inlineStr">
        <is>
          <t>2025-1</t>
        </is>
      </c>
      <c r="J1259" t="n">
        <v>100</v>
      </c>
      <c r="K1259" t="n">
        <v>123</v>
      </c>
      <c r="L1259" s="39">
        <f>IFERROR(IF(OR(J1259=0,K1259=""),"",IF(E1259="Positivo",MIN(MAX(K1259/J1259,0),1.3),MIN(MAX(J1259/K1259,0),1.3))),"") </f>
        <v/>
      </c>
      <c r="M1259" s="39">
        <f>IFERROR(IF(OR(J1259=0,K1259=""),"",IF(E1259="Positivo",MAX(K1259/J1259,0),MAX(J1259/K1259,0))),"") </f>
        <v/>
      </c>
      <c r="N1259" t="inlineStr">
        <is>
          <t>ENT</t>
        </is>
      </c>
      <c r="O1259" t="inlineStr">
        <is>
          <t>ENT</t>
        </is>
      </c>
      <c r="P1259" t="n">
        <v>0</v>
      </c>
      <c r="Q1259" t="n">
        <v>0</v>
      </c>
      <c r="R1259" t="inlineStr">
        <is>
          <t>400-2025-06-30</t>
        </is>
      </c>
    </row>
    <row r="1260">
      <c r="A1260" t="n">
        <v>400</v>
      </c>
      <c r="B1260" t="inlineStr">
        <is>
          <t>Puesta en marcha de proyectos de emprendimiento</t>
        </is>
      </c>
      <c r="C1260" t="inlineStr">
        <is>
          <t>Emprendimiento</t>
        </is>
      </c>
      <c r="D1260" t="inlineStr">
        <is>
          <t>Trimestral</t>
        </is>
      </c>
      <c r="E1260" t="inlineStr">
        <is>
          <t>Positivo</t>
        </is>
      </c>
      <c r="F1260" s="111" t="n">
        <v>46022</v>
      </c>
      <c r="G1260" t="n">
        <v>2025</v>
      </c>
      <c r="H1260" t="inlineStr">
        <is>
          <t>Diciembre</t>
        </is>
      </c>
      <c r="I1260" t="inlineStr">
        <is>
          <t>2025-2</t>
        </is>
      </c>
      <c r="J1260" t="n">
        <v>100</v>
      </c>
      <c r="K1260" t="n">
        <v>127.14</v>
      </c>
      <c r="L1260" s="39">
        <f>IFERROR(IF(OR(J1260=0,K1260=""),"",IF(E1260="Positivo",MIN(MAX(K1260/J1260,0),1.3),MIN(MAX(J1260/K1260,0),1.3))),"") </f>
        <v/>
      </c>
      <c r="M1260" s="39">
        <f>IFERROR(IF(OR(J1260=0,K1260=""),"",IF(E1260="Positivo",MAX(K1260/J1260,0),MAX(J1260/K1260,0))),"") </f>
        <v/>
      </c>
      <c r="N1260" t="inlineStr">
        <is>
          <t>ENT</t>
        </is>
      </c>
      <c r="O1260" t="inlineStr">
        <is>
          <t>ENT</t>
        </is>
      </c>
      <c r="P1260" t="n">
        <v>0</v>
      </c>
      <c r="Q1260" t="n">
        <v>0</v>
      </c>
      <c r="R1260" t="inlineStr">
        <is>
          <t>400-2025-12-31</t>
        </is>
      </c>
    </row>
    <row r="1261">
      <c r="A1261" t="n">
        <v>401</v>
      </c>
      <c r="B1261" t="inlineStr">
        <is>
          <t>Producción de nuevos MI-Books</t>
        </is>
      </c>
      <c r="C1261" t="inlineStr">
        <is>
          <t>LEI</t>
        </is>
      </c>
      <c r="D1261" t="inlineStr">
        <is>
          <t>Semestral</t>
        </is>
      </c>
      <c r="E1261" t="inlineStr">
        <is>
          <t>Positivo</t>
        </is>
      </c>
      <c r="F1261" s="111" t="n">
        <v>45107</v>
      </c>
      <c r="G1261" t="n">
        <v>2023</v>
      </c>
      <c r="H1261" t="inlineStr">
        <is>
          <t>Junio</t>
        </is>
      </c>
      <c r="I1261" t="inlineStr">
        <is>
          <t>2023-1</t>
        </is>
      </c>
      <c r="J1261" t="n">
        <v>90</v>
      </c>
      <c r="K1261" t="n">
        <v>87.5</v>
      </c>
      <c r="L1261" s="39">
        <f>IFERROR(IF(OR(J1261=0,K1261=""),"",IF(E1261="Positivo",MIN(MAX(K1261/J1261,0),1.3),MIN(MAX(J1261/K1261,0),1.3))),"") </f>
        <v/>
      </c>
      <c r="M1261" s="39">
        <f>IFERROR(IF(OR(J1261=0,K1261=""),"",IF(E1261="Positivo",MAX(K1261/J1261,0),MAX(J1261/K1261,0))),"") </f>
        <v/>
      </c>
      <c r="N1261" t="inlineStr">
        <is>
          <t>ENT</t>
        </is>
      </c>
      <c r="O1261" t="inlineStr">
        <is>
          <t>ENT</t>
        </is>
      </c>
      <c r="P1261" t="n">
        <v>0</v>
      </c>
      <c r="Q1261" t="n">
        <v>0</v>
      </c>
      <c r="R1261" t="inlineStr">
        <is>
          <t>401-2023-06-30</t>
        </is>
      </c>
    </row>
    <row r="1262">
      <c r="A1262" t="n">
        <v>401</v>
      </c>
      <c r="B1262" t="inlineStr">
        <is>
          <t>Producción de nuevos MI-Books</t>
        </is>
      </c>
      <c r="C1262" t="inlineStr">
        <is>
          <t>LEI</t>
        </is>
      </c>
      <c r="D1262" t="inlineStr">
        <is>
          <t>Semestral</t>
        </is>
      </c>
      <c r="E1262" t="inlineStr">
        <is>
          <t>Positivo</t>
        </is>
      </c>
      <c r="F1262" s="111" t="n">
        <v>45291</v>
      </c>
      <c r="G1262" t="n">
        <v>2023</v>
      </c>
      <c r="H1262" t="inlineStr">
        <is>
          <t>Diciembre</t>
        </is>
      </c>
      <c r="I1262" t="inlineStr">
        <is>
          <t>2023-2</t>
        </is>
      </c>
      <c r="J1262" t="n">
        <v>90</v>
      </c>
      <c r="K1262" t="n">
        <v>125</v>
      </c>
      <c r="L1262" s="39">
        <f>IFERROR(IF(OR(J1262=0,K1262=""),"",IF(E1262="Positivo",MIN(MAX(K1262/J1262,0),1.3),MIN(MAX(J1262/K1262,0),1.3))),"") </f>
        <v/>
      </c>
      <c r="M1262" s="39">
        <f>IFERROR(IF(OR(J1262=0,K1262=""),"",IF(E1262="Positivo",MAX(K1262/J1262,0),MAX(J1262/K1262,0))),"") </f>
        <v/>
      </c>
      <c r="N1262" t="inlineStr">
        <is>
          <t>ENT</t>
        </is>
      </c>
      <c r="O1262" t="inlineStr">
        <is>
          <t>ENT</t>
        </is>
      </c>
      <c r="P1262" t="n">
        <v>0</v>
      </c>
      <c r="Q1262" t="n">
        <v>0</v>
      </c>
      <c r="R1262" t="inlineStr">
        <is>
          <t>401-2023-12-31</t>
        </is>
      </c>
    </row>
    <row r="1263">
      <c r="A1263" t="n">
        <v>401</v>
      </c>
      <c r="B1263" t="inlineStr">
        <is>
          <t>Producción de nuevos MI-Books</t>
        </is>
      </c>
      <c r="C1263" t="inlineStr">
        <is>
          <t>LEI</t>
        </is>
      </c>
      <c r="D1263" t="inlineStr">
        <is>
          <t>Semestral</t>
        </is>
      </c>
      <c r="E1263" t="inlineStr">
        <is>
          <t>Positivo</t>
        </is>
      </c>
      <c r="F1263" s="111" t="n">
        <v>45473</v>
      </c>
      <c r="G1263" t="n">
        <v>2024</v>
      </c>
      <c r="H1263" t="inlineStr">
        <is>
          <t>Junio</t>
        </is>
      </c>
      <c r="I1263" t="inlineStr">
        <is>
          <t>2024-1</t>
        </is>
      </c>
      <c r="J1263" t="n">
        <v>90</v>
      </c>
      <c r="K1263" t="n">
        <v>112.5</v>
      </c>
      <c r="L1263" s="39">
        <f>IFERROR(IF(OR(J1263=0,K1263=""),"",IF(E1263="Positivo",MIN(MAX(K1263/J1263,0),1.3),MIN(MAX(J1263/K1263,0),1.3))),"") </f>
        <v/>
      </c>
      <c r="M1263" s="39">
        <f>IFERROR(IF(OR(J1263=0,K1263=""),"",IF(E1263="Positivo",MAX(K1263/J1263,0),MAX(J1263/K1263,0))),"") </f>
        <v/>
      </c>
      <c r="N1263" t="inlineStr">
        <is>
          <t>ENT</t>
        </is>
      </c>
      <c r="O1263" t="inlineStr">
        <is>
          <t>ENT</t>
        </is>
      </c>
      <c r="P1263" t="n">
        <v>0</v>
      </c>
      <c r="Q1263" t="n">
        <v>0</v>
      </c>
      <c r="R1263" t="inlineStr">
        <is>
          <t>401-2024-06-30</t>
        </is>
      </c>
    </row>
    <row r="1264">
      <c r="A1264" t="n">
        <v>401</v>
      </c>
      <c r="B1264" t="inlineStr">
        <is>
          <t>Producción de nuevos MI-Books</t>
        </is>
      </c>
      <c r="C1264" t="inlineStr">
        <is>
          <t>LEI</t>
        </is>
      </c>
      <c r="D1264" t="inlineStr">
        <is>
          <t>Semestral</t>
        </is>
      </c>
      <c r="E1264" t="inlineStr">
        <is>
          <t>Positivo</t>
        </is>
      </c>
      <c r="F1264" s="111" t="n">
        <v>45657</v>
      </c>
      <c r="G1264" t="n">
        <v>2024</v>
      </c>
      <c r="H1264" t="inlineStr">
        <is>
          <t>Diciembre</t>
        </is>
      </c>
      <c r="I1264" t="inlineStr">
        <is>
          <t>2024-2</t>
        </is>
      </c>
      <c r="J1264" t="n">
        <v>90</v>
      </c>
      <c r="K1264" t="n">
        <v>100</v>
      </c>
      <c r="L1264" s="39">
        <f>IFERROR(IF(OR(J1264=0,K1264=""),"",IF(E1264="Positivo",MIN(MAX(K1264/J1264,0),1.3),MIN(MAX(J1264/K1264,0),1.3))),"") </f>
        <v/>
      </c>
      <c r="M1264" s="39">
        <f>IFERROR(IF(OR(J1264=0,K1264=""),"",IF(E1264="Positivo",MAX(K1264/J1264,0),MAX(J1264/K1264,0))),"") </f>
        <v/>
      </c>
      <c r="N1264" t="inlineStr">
        <is>
          <t>ENT</t>
        </is>
      </c>
      <c r="O1264" t="inlineStr">
        <is>
          <t>ENT</t>
        </is>
      </c>
      <c r="P1264" t="n">
        <v>0</v>
      </c>
      <c r="Q1264" t="n">
        <v>0</v>
      </c>
      <c r="R1264" t="inlineStr">
        <is>
          <t>401-2024-12-31</t>
        </is>
      </c>
    </row>
    <row r="1265">
      <c r="A1265" t="n">
        <v>401</v>
      </c>
      <c r="B1265" t="inlineStr">
        <is>
          <t>Producción de nuevos MI-Books</t>
        </is>
      </c>
      <c r="C1265" t="inlineStr">
        <is>
          <t>LEI</t>
        </is>
      </c>
      <c r="D1265" t="inlineStr">
        <is>
          <t>Semestral</t>
        </is>
      </c>
      <c r="E1265" t="inlineStr">
        <is>
          <t>Positivo</t>
        </is>
      </c>
      <c r="F1265" s="111" t="n">
        <v>45838</v>
      </c>
      <c r="G1265" t="n">
        <v>2025</v>
      </c>
      <c r="H1265" t="inlineStr">
        <is>
          <t>Junio</t>
        </is>
      </c>
      <c r="I1265" t="inlineStr">
        <is>
          <t>2025-1</t>
        </is>
      </c>
      <c r="J1265" t="n">
        <v>100</v>
      </c>
      <c r="K1265" t="n">
        <v>100</v>
      </c>
      <c r="L1265" s="39">
        <f>IFERROR(IF(OR(J1265=0,K1265=""),"",IF(E1265="Positivo",MIN(MAX(K1265/J1265,0),1.3),MIN(MAX(J1265/K1265,0),1.3))),"") </f>
        <v/>
      </c>
      <c r="M1265" s="39">
        <f>IFERROR(IF(OR(J1265=0,K1265=""),"",IF(E1265="Positivo",MAX(K1265/J1265,0),MAX(J1265/K1265,0))),"") </f>
        <v/>
      </c>
      <c r="N1265" t="inlineStr">
        <is>
          <t>ENT</t>
        </is>
      </c>
      <c r="O1265" t="inlineStr">
        <is>
          <t>ENT</t>
        </is>
      </c>
      <c r="P1265" t="n">
        <v>0</v>
      </c>
      <c r="Q1265" t="n">
        <v>0</v>
      </c>
      <c r="R1265" t="inlineStr">
        <is>
          <t>401-2025-06-30</t>
        </is>
      </c>
    </row>
    <row r="1266">
      <c r="A1266" t="n">
        <v>401</v>
      </c>
      <c r="B1266" t="inlineStr">
        <is>
          <t>Producción de nuevos MI-Books</t>
        </is>
      </c>
      <c r="C1266" t="inlineStr">
        <is>
          <t>LEI</t>
        </is>
      </c>
      <c r="D1266" t="inlineStr">
        <is>
          <t>Trimestral</t>
        </is>
      </c>
      <c r="E1266" t="inlineStr">
        <is>
          <t>Positivo</t>
        </is>
      </c>
      <c r="F1266" s="111" t="n">
        <v>46022</v>
      </c>
      <c r="G1266" t="n">
        <v>2025</v>
      </c>
      <c r="H1266" t="inlineStr">
        <is>
          <t>Diciembre</t>
        </is>
      </c>
      <c r="I1266" t="inlineStr">
        <is>
          <t>2025-2</t>
        </is>
      </c>
      <c r="J1266" t="n">
        <v>100</v>
      </c>
      <c r="K1266" t="n">
        <v>100</v>
      </c>
      <c r="L1266" s="39">
        <f>IFERROR(IF(OR(J1266=0,K1266=""),"",IF(E1266="Positivo",MIN(MAX(K1266/J1266,0),1.3),MIN(MAX(J1266/K1266,0),1.3))),"") </f>
        <v/>
      </c>
      <c r="M1266" s="39">
        <f>IFERROR(IF(OR(J1266=0,K1266=""),"",IF(E1266="Positivo",MAX(K1266/J1266,0),MAX(J1266/K1266,0))),"") </f>
        <v/>
      </c>
      <c r="N1266" t="inlineStr">
        <is>
          <t>ENT</t>
        </is>
      </c>
      <c r="O1266" t="inlineStr">
        <is>
          <t>ENT</t>
        </is>
      </c>
      <c r="P1266" t="n">
        <v>0</v>
      </c>
      <c r="Q1266" t="n">
        <v>0</v>
      </c>
      <c r="R1266" t="inlineStr">
        <is>
          <t>401-2025-12-31</t>
        </is>
      </c>
    </row>
    <row r="1267">
      <c r="A1267" t="n">
        <v>402</v>
      </c>
      <c r="B1267" t="inlineStr">
        <is>
          <t>Informe anual de consulta de MI-Books</t>
        </is>
      </c>
      <c r="C1267" t="inlineStr">
        <is>
          <t>LEI</t>
        </is>
      </c>
      <c r="D1267" t="inlineStr">
        <is>
          <t>Anual</t>
        </is>
      </c>
      <c r="E1267" t="inlineStr">
        <is>
          <t>Positivo</t>
        </is>
      </c>
      <c r="F1267" s="111" t="n">
        <v>45291</v>
      </c>
      <c r="G1267" t="n">
        <v>2023</v>
      </c>
      <c r="H1267" t="inlineStr">
        <is>
          <t>Diciembre</t>
        </is>
      </c>
      <c r="I1267" t="inlineStr">
        <is>
          <t>2023-2</t>
        </is>
      </c>
      <c r="K1267" t="n">
        <v>21000</v>
      </c>
      <c r="L1267" s="39" t="n"/>
      <c r="M1267" s="39" t="n"/>
      <c r="P1267" t="n">
        <v>0</v>
      </c>
      <c r="Q1267" t="n">
        <v>0</v>
      </c>
      <c r="R1267" t="inlineStr">
        <is>
          <t>402-2023-12-31</t>
        </is>
      </c>
    </row>
    <row r="1268">
      <c r="A1268" t="n">
        <v>402</v>
      </c>
      <c r="B1268" t="inlineStr">
        <is>
          <t>Informe anual de consulta de MI-Books</t>
        </is>
      </c>
      <c r="C1268" t="inlineStr">
        <is>
          <t>LEI</t>
        </is>
      </c>
      <c r="D1268" t="inlineStr">
        <is>
          <t>Anual</t>
        </is>
      </c>
      <c r="E1268" t="inlineStr">
        <is>
          <t>Positivo</t>
        </is>
      </c>
      <c r="F1268" s="111" t="n">
        <v>45657</v>
      </c>
      <c r="G1268" t="n">
        <v>2024</v>
      </c>
      <c r="H1268" t="inlineStr">
        <is>
          <t>Diciembre</t>
        </is>
      </c>
      <c r="I1268" t="inlineStr">
        <is>
          <t>2024-2</t>
        </is>
      </c>
      <c r="J1268" t="n">
        <v>3</v>
      </c>
      <c r="K1268" t="n">
        <v>4.76</v>
      </c>
      <c r="L1268" s="39">
        <f>IFERROR(IF(OR(J1268=0,K1268=""),"",IF(E1268="Positivo",MIN(MAX(K1268/J1268,0),1.3),MIN(MAX(J1268/K1268,0),1.3))),"") </f>
        <v/>
      </c>
      <c r="M1268" s="39">
        <f>IFERROR(IF(OR(J1268=0,K1268=""),"",IF(E1268="Positivo",MAX(K1268/J1268,0),MAX(J1268/K1268,0))),"") </f>
        <v/>
      </c>
      <c r="P1268" t="n">
        <v>0</v>
      </c>
      <c r="Q1268" t="n">
        <v>0</v>
      </c>
      <c r="R1268" t="inlineStr">
        <is>
          <t>402-2024-12-31</t>
        </is>
      </c>
    </row>
    <row r="1269">
      <c r="A1269" t="n">
        <v>402</v>
      </c>
      <c r="B1269" t="inlineStr">
        <is>
          <t>Informe anual de consulta de MI-Books</t>
        </is>
      </c>
      <c r="C1269" t="inlineStr">
        <is>
          <t>LEI</t>
        </is>
      </c>
      <c r="D1269" t="inlineStr">
        <is>
          <t>Anual</t>
        </is>
      </c>
      <c r="E1269" t="inlineStr">
        <is>
          <t>Positivo</t>
        </is>
      </c>
      <c r="F1269" s="111" t="n">
        <v>46022</v>
      </c>
      <c r="G1269" t="n">
        <v>2025</v>
      </c>
      <c r="H1269" t="inlineStr">
        <is>
          <t>Diciembre</t>
        </is>
      </c>
      <c r="I1269" t="inlineStr">
        <is>
          <t>2025-2</t>
        </is>
      </c>
      <c r="K1269" t="n">
        <v>22.73</v>
      </c>
      <c r="L1269" s="39" t="n"/>
      <c r="M1269" s="39" t="n"/>
      <c r="N1269" t="inlineStr">
        <is>
          <t>ENT</t>
        </is>
      </c>
      <c r="O1269" t="inlineStr">
        <is>
          <t>ENT</t>
        </is>
      </c>
      <c r="P1269" t="n">
        <v>0</v>
      </c>
      <c r="Q1269" t="n">
        <v>0</v>
      </c>
      <c r="R1269" t="inlineStr">
        <is>
          <t>402-2025-12-31</t>
        </is>
      </c>
    </row>
    <row r="1270">
      <c r="A1270" t="n">
        <v>403</v>
      </c>
      <c r="B1270" t="inlineStr">
        <is>
          <t>Número de estudiantes que ha realizado la simulación</t>
        </is>
      </c>
      <c r="C1270" t="inlineStr">
        <is>
          <t>LEI</t>
        </is>
      </c>
      <c r="D1270" t="inlineStr">
        <is>
          <t>Semestral</t>
        </is>
      </c>
      <c r="E1270" t="inlineStr">
        <is>
          <t>Positivo</t>
        </is>
      </c>
      <c r="F1270" s="111" t="n">
        <v>45107</v>
      </c>
      <c r="G1270" t="n">
        <v>2023</v>
      </c>
      <c r="H1270" t="inlineStr">
        <is>
          <t>Junio</t>
        </is>
      </c>
      <c r="I1270" t="inlineStr">
        <is>
          <t>2023-1</t>
        </is>
      </c>
      <c r="K1270" t="n">
        <v>14370</v>
      </c>
      <c r="L1270" s="39" t="n"/>
      <c r="M1270" s="39" t="n"/>
      <c r="N1270" t="inlineStr">
        <is>
          <t>Metrica</t>
        </is>
      </c>
      <c r="P1270" t="n">
        <v>0</v>
      </c>
      <c r="Q1270" t="n">
        <v>0</v>
      </c>
      <c r="R1270" t="inlineStr">
        <is>
          <t>403-2023-06-30</t>
        </is>
      </c>
    </row>
    <row r="1271">
      <c r="A1271" t="n">
        <v>403</v>
      </c>
      <c r="B1271" t="inlineStr">
        <is>
          <t>Número de estudiantes que ha realizado la simulación</t>
        </is>
      </c>
      <c r="C1271" t="inlineStr">
        <is>
          <t>LEI</t>
        </is>
      </c>
      <c r="D1271" t="inlineStr">
        <is>
          <t>Semestral</t>
        </is>
      </c>
      <c r="E1271" t="inlineStr">
        <is>
          <t>Positivo</t>
        </is>
      </c>
      <c r="F1271" s="111" t="n">
        <v>45291</v>
      </c>
      <c r="G1271" t="n">
        <v>2023</v>
      </c>
      <c r="H1271" t="inlineStr">
        <is>
          <t>Diciembre</t>
        </is>
      </c>
      <c r="I1271" t="inlineStr">
        <is>
          <t>2023-2</t>
        </is>
      </c>
      <c r="K1271" t="n">
        <v>28639</v>
      </c>
      <c r="L1271" s="39" t="n"/>
      <c r="M1271" s="39" t="n"/>
      <c r="N1271" t="inlineStr">
        <is>
          <t>Metrica</t>
        </is>
      </c>
      <c r="P1271" t="n">
        <v>0</v>
      </c>
      <c r="Q1271" t="n">
        <v>0</v>
      </c>
      <c r="R1271" t="inlineStr">
        <is>
          <t>403-2023-12-31</t>
        </is>
      </c>
    </row>
    <row r="1272">
      <c r="A1272" t="n">
        <v>403</v>
      </c>
      <c r="B1272" t="inlineStr">
        <is>
          <t>Número de estudiantes que ha realizado la simulación</t>
        </is>
      </c>
      <c r="C1272" t="inlineStr">
        <is>
          <t>LEI</t>
        </is>
      </c>
      <c r="D1272" t="inlineStr">
        <is>
          <t>Semestral</t>
        </is>
      </c>
      <c r="E1272" t="inlineStr">
        <is>
          <t>Positivo</t>
        </is>
      </c>
      <c r="F1272" s="111" t="n">
        <v>45473</v>
      </c>
      <c r="G1272" t="n">
        <v>2024</v>
      </c>
      <c r="H1272" t="inlineStr">
        <is>
          <t>Junio</t>
        </is>
      </c>
      <c r="I1272" t="inlineStr">
        <is>
          <t>2024-1</t>
        </is>
      </c>
      <c r="K1272" t="n">
        <v>14923</v>
      </c>
      <c r="L1272" s="39" t="n"/>
      <c r="M1272" s="39" t="n"/>
      <c r="N1272" t="inlineStr">
        <is>
          <t>Metrica</t>
        </is>
      </c>
      <c r="P1272" t="n">
        <v>0</v>
      </c>
      <c r="Q1272" t="n">
        <v>0</v>
      </c>
      <c r="R1272" t="inlineStr">
        <is>
          <t>403-2024-06-30</t>
        </is>
      </c>
    </row>
    <row r="1273">
      <c r="A1273" t="n">
        <v>403</v>
      </c>
      <c r="B1273" t="inlineStr">
        <is>
          <t>Número de estudiantes que ha realizado la simulación</t>
        </is>
      </c>
      <c r="C1273" t="inlineStr">
        <is>
          <t>LEI</t>
        </is>
      </c>
      <c r="D1273" t="inlineStr">
        <is>
          <t>Semestral</t>
        </is>
      </c>
      <c r="E1273" t="inlineStr">
        <is>
          <t>Positivo</t>
        </is>
      </c>
      <c r="F1273" s="111" t="n">
        <v>45657</v>
      </c>
      <c r="G1273" t="n">
        <v>2024</v>
      </c>
      <c r="H1273" t="inlineStr">
        <is>
          <t>Diciembre</t>
        </is>
      </c>
      <c r="I1273" t="inlineStr">
        <is>
          <t>2024-2</t>
        </is>
      </c>
      <c r="K1273" t="n">
        <v>14495</v>
      </c>
      <c r="L1273" s="39" t="n"/>
      <c r="M1273" s="39" t="n"/>
      <c r="N1273" t="inlineStr">
        <is>
          <t>Metrica</t>
        </is>
      </c>
      <c r="P1273" t="n">
        <v>0</v>
      </c>
      <c r="Q1273" t="n">
        <v>0</v>
      </c>
      <c r="R1273" t="inlineStr">
        <is>
          <t>403-2024-12-31</t>
        </is>
      </c>
    </row>
    <row r="1274">
      <c r="A1274" t="n">
        <v>403</v>
      </c>
      <c r="B1274" t="inlineStr">
        <is>
          <t>Número de estudiantes que ha realizado la simulación</t>
        </is>
      </c>
      <c r="C1274" t="inlineStr">
        <is>
          <t>LEI</t>
        </is>
      </c>
      <c r="D1274" t="inlineStr">
        <is>
          <t>Semestral</t>
        </is>
      </c>
      <c r="E1274" t="inlineStr">
        <is>
          <t>Positivo</t>
        </is>
      </c>
      <c r="F1274" s="111" t="n">
        <v>45838</v>
      </c>
      <c r="G1274" t="n">
        <v>2025</v>
      </c>
      <c r="H1274" t="inlineStr">
        <is>
          <t>Junio</t>
        </is>
      </c>
      <c r="I1274" t="inlineStr">
        <is>
          <t>2025-1</t>
        </is>
      </c>
      <c r="K1274" t="n">
        <v>14410</v>
      </c>
      <c r="L1274" s="39" t="n"/>
      <c r="M1274" s="39" t="n"/>
      <c r="N1274" t="inlineStr">
        <is>
          <t>Metrica</t>
        </is>
      </c>
      <c r="P1274" t="n">
        <v>0</v>
      </c>
      <c r="Q1274" t="n">
        <v>0</v>
      </c>
      <c r="R1274" t="inlineStr">
        <is>
          <t>403-2025-06-30</t>
        </is>
      </c>
    </row>
    <row r="1275">
      <c r="A1275" t="n">
        <v>403</v>
      </c>
      <c r="B1275" t="inlineStr">
        <is>
          <t>Número de estudiantes que ha realizado la simulación (Metrica)</t>
        </is>
      </c>
      <c r="C1275" t="inlineStr">
        <is>
          <t>LEI</t>
        </is>
      </c>
      <c r="D1275" t="inlineStr">
        <is>
          <t>Trimestral</t>
        </is>
      </c>
      <c r="E1275" t="inlineStr">
        <is>
          <t>Positivo</t>
        </is>
      </c>
      <c r="F1275" s="111" t="n">
        <v>46022</v>
      </c>
      <c r="G1275" t="n">
        <v>2025</v>
      </c>
      <c r="H1275" t="inlineStr">
        <is>
          <t>Diciembre</t>
        </is>
      </c>
      <c r="I1275" t="inlineStr">
        <is>
          <t>2025-2</t>
        </is>
      </c>
      <c r="K1275" t="n">
        <v>12510</v>
      </c>
      <c r="L1275" s="39" t="n"/>
      <c r="M1275" s="39" t="n"/>
      <c r="N1275" t="inlineStr">
        <is>
          <t>Metrica</t>
        </is>
      </c>
      <c r="O1275" t="inlineStr">
        <is>
          <t>ENT</t>
        </is>
      </c>
      <c r="P1275" t="n">
        <v>0</v>
      </c>
      <c r="Q1275" t="n">
        <v>0</v>
      </c>
      <c r="R1275" t="inlineStr">
        <is>
          <t>403-2025-12-31</t>
        </is>
      </c>
      <c r="S1275" t="inlineStr">
        <is>
          <t>Metrica</t>
        </is>
      </c>
    </row>
    <row r="1276">
      <c r="A1276" t="n">
        <v>404</v>
      </c>
      <c r="B1276" t="inlineStr">
        <is>
          <t>Casos presentados y solucionados</t>
        </is>
      </c>
      <c r="C1276" t="inlineStr">
        <is>
          <t>LEI</t>
        </is>
      </c>
      <c r="D1276" t="inlineStr">
        <is>
          <t>Semestral</t>
        </is>
      </c>
      <c r="E1276" t="inlineStr">
        <is>
          <t>Negativo</t>
        </is>
      </c>
      <c r="F1276" s="111" t="n">
        <v>45107</v>
      </c>
      <c r="G1276" t="n">
        <v>2023</v>
      </c>
      <c r="H1276" t="inlineStr">
        <is>
          <t>Junio</t>
        </is>
      </c>
      <c r="I1276" t="inlineStr">
        <is>
          <t>2023-1</t>
        </is>
      </c>
      <c r="J1276" t="n">
        <v>20</v>
      </c>
      <c r="K1276" t="n">
        <v>2</v>
      </c>
      <c r="L1276" s="39">
        <f>IFERROR(IF(OR(J1276=0,K1276=""),"",IF(E1276="Positivo",MIN(MAX(K1276/J1276,0),1.3),MIN(MAX(J1276/K1276,0),1.3))),"") </f>
        <v/>
      </c>
      <c r="M1276" s="39">
        <f>IFERROR(IF(OR(J1276=0,K1276=""),"",IF(E1276="Positivo",MAX(K1276/J1276,0),MAX(J1276/K1276,0))),"") </f>
        <v/>
      </c>
      <c r="N1276" t="inlineStr">
        <is>
          <t>%</t>
        </is>
      </c>
      <c r="O1276" t="inlineStr">
        <is>
          <t>%</t>
        </is>
      </c>
      <c r="P1276" t="n">
        <v>0</v>
      </c>
      <c r="Q1276" t="n">
        <v>0</v>
      </c>
      <c r="R1276" t="inlineStr">
        <is>
          <t>404-2023-06-30</t>
        </is>
      </c>
    </row>
    <row r="1277">
      <c r="A1277" t="n">
        <v>404</v>
      </c>
      <c r="B1277" t="inlineStr">
        <is>
          <t>Casos presentados y solucionados</t>
        </is>
      </c>
      <c r="C1277" t="inlineStr">
        <is>
          <t>LEI</t>
        </is>
      </c>
      <c r="D1277" t="inlineStr">
        <is>
          <t>Semestral</t>
        </is>
      </c>
      <c r="E1277" t="inlineStr">
        <is>
          <t>Negativo</t>
        </is>
      </c>
      <c r="F1277" s="111" t="n">
        <v>45291</v>
      </c>
      <c r="G1277" t="n">
        <v>2023</v>
      </c>
      <c r="H1277" t="inlineStr">
        <is>
          <t>Diciembre</t>
        </is>
      </c>
      <c r="I1277" t="inlineStr">
        <is>
          <t>2023-2</t>
        </is>
      </c>
      <c r="J1277" t="n">
        <v>20</v>
      </c>
      <c r="K1277" t="n">
        <v>1.31</v>
      </c>
      <c r="L1277" s="39">
        <f>IFERROR(IF(OR(J1277=0,K1277=""),"",IF(E1277="Positivo",MIN(MAX(K1277/J1277,0),1.3),MIN(MAX(J1277/K1277,0),1.3))),"") </f>
        <v/>
      </c>
      <c r="M1277" s="39">
        <f>IFERROR(IF(OR(J1277=0,K1277=""),"",IF(E1277="Positivo",MAX(K1277/J1277,0),MAX(J1277/K1277,0))),"") </f>
        <v/>
      </c>
      <c r="N1277" t="inlineStr">
        <is>
          <t>%</t>
        </is>
      </c>
      <c r="O1277" t="inlineStr">
        <is>
          <t>%</t>
        </is>
      </c>
      <c r="P1277" t="n">
        <v>0</v>
      </c>
      <c r="Q1277" t="n">
        <v>0</v>
      </c>
      <c r="R1277" t="inlineStr">
        <is>
          <t>404-2023-12-31</t>
        </is>
      </c>
    </row>
    <row r="1278">
      <c r="A1278" t="n">
        <v>404</v>
      </c>
      <c r="B1278" t="inlineStr">
        <is>
          <t>Casos presentados y solucionados</t>
        </is>
      </c>
      <c r="C1278" t="inlineStr">
        <is>
          <t>LEI</t>
        </is>
      </c>
      <c r="D1278" t="inlineStr">
        <is>
          <t>Semestral</t>
        </is>
      </c>
      <c r="E1278" t="inlineStr">
        <is>
          <t>Negativo</t>
        </is>
      </c>
      <c r="F1278" s="111" t="n">
        <v>45473</v>
      </c>
      <c r="G1278" t="n">
        <v>2024</v>
      </c>
      <c r="H1278" t="inlineStr">
        <is>
          <t>Junio</t>
        </is>
      </c>
      <c r="I1278" t="inlineStr">
        <is>
          <t>2024-1</t>
        </is>
      </c>
      <c r="J1278" t="n">
        <v>10</v>
      </c>
      <c r="K1278" t="n">
        <v>5.85</v>
      </c>
      <c r="L1278" s="39">
        <f>IFERROR(IF(OR(J1278=0,K1278=""),"",IF(E1278="Positivo",MIN(MAX(K1278/J1278,0),1.3),MIN(MAX(J1278/K1278,0),1.3))),"") </f>
        <v/>
      </c>
      <c r="M1278" s="39">
        <f>IFERROR(IF(OR(J1278=0,K1278=""),"",IF(E1278="Positivo",MAX(K1278/J1278,0),MAX(J1278/K1278,0))),"") </f>
        <v/>
      </c>
      <c r="P1278" t="n">
        <v>0</v>
      </c>
      <c r="Q1278" t="n">
        <v>0</v>
      </c>
      <c r="R1278" t="inlineStr">
        <is>
          <t>404-2024-06-30</t>
        </is>
      </c>
    </row>
    <row r="1279">
      <c r="A1279" t="n">
        <v>404</v>
      </c>
      <c r="B1279" t="inlineStr">
        <is>
          <t>Casos presentados y solucionados</t>
        </is>
      </c>
      <c r="C1279" t="inlineStr">
        <is>
          <t>LEI</t>
        </is>
      </c>
      <c r="D1279" t="inlineStr">
        <is>
          <t>Semestral</t>
        </is>
      </c>
      <c r="E1279" t="inlineStr">
        <is>
          <t>Negativo</t>
        </is>
      </c>
      <c r="F1279" s="111" t="n">
        <v>45657</v>
      </c>
      <c r="G1279" t="n">
        <v>2024</v>
      </c>
      <c r="H1279" t="inlineStr">
        <is>
          <t>Diciembre</t>
        </is>
      </c>
      <c r="I1279" t="inlineStr">
        <is>
          <t>2024-2</t>
        </is>
      </c>
      <c r="J1279" t="n">
        <v>10</v>
      </c>
      <c r="K1279" t="n">
        <v>6.02</v>
      </c>
      <c r="L1279" s="39">
        <f>IFERROR(IF(OR(J1279=0,K1279=""),"",IF(E1279="Positivo",MIN(MAX(K1279/J1279,0),1.3),MIN(MAX(J1279/K1279,0),1.3))),"") </f>
        <v/>
      </c>
      <c r="M1279" s="39">
        <f>IFERROR(IF(OR(J1279=0,K1279=""),"",IF(E1279="Positivo",MAX(K1279/J1279,0),MAX(J1279/K1279,0))),"") </f>
        <v/>
      </c>
      <c r="P1279" t="n">
        <v>0</v>
      </c>
      <c r="Q1279" t="n">
        <v>0</v>
      </c>
      <c r="R1279" t="inlineStr">
        <is>
          <t>404-2024-12-31</t>
        </is>
      </c>
    </row>
    <row r="1280">
      <c r="A1280" t="n">
        <v>405</v>
      </c>
      <c r="B1280" t="inlineStr">
        <is>
          <t>Proyecto de reingenieria y arquitectura de software LEI</t>
        </is>
      </c>
      <c r="C1280" t="inlineStr">
        <is>
          <t>LEI</t>
        </is>
      </c>
      <c r="D1280" t="inlineStr">
        <is>
          <t>Semestral</t>
        </is>
      </c>
      <c r="E1280" t="inlineStr">
        <is>
          <t>Positivo</t>
        </is>
      </c>
      <c r="F1280" s="111" t="n">
        <v>45107</v>
      </c>
      <c r="G1280" t="n">
        <v>2023</v>
      </c>
      <c r="H1280" t="inlineStr">
        <is>
          <t>Junio</t>
        </is>
      </c>
      <c r="I1280" t="inlineStr">
        <is>
          <t>2023-1</t>
        </is>
      </c>
      <c r="J1280" t="n">
        <v>25</v>
      </c>
      <c r="K1280" t="n">
        <v>30</v>
      </c>
      <c r="L1280" s="39">
        <f>IFERROR(IF(OR(J1280=0,K1280=""),"",IF(E1280="Positivo",MIN(MAX(K1280/J1280,0),1.3),MIN(MAX(J1280/K1280,0),1.3))),"") </f>
        <v/>
      </c>
      <c r="M1280" s="39">
        <f>IFERROR(IF(OR(J1280=0,K1280=""),"",IF(E1280="Positivo",MAX(K1280/J1280,0),MAX(J1280/K1280,0))),"") </f>
        <v/>
      </c>
      <c r="N1280" t="inlineStr">
        <is>
          <t>%</t>
        </is>
      </c>
      <c r="O1280" t="inlineStr">
        <is>
          <t>%</t>
        </is>
      </c>
      <c r="P1280" t="n">
        <v>0</v>
      </c>
      <c r="Q1280" t="n">
        <v>0</v>
      </c>
      <c r="R1280" t="inlineStr">
        <is>
          <t>405-2023-06-30</t>
        </is>
      </c>
    </row>
    <row r="1281">
      <c r="A1281" t="n">
        <v>405</v>
      </c>
      <c r="B1281" t="inlineStr">
        <is>
          <t>Proyecto de reingenieria y arquitectura de software LEI</t>
        </is>
      </c>
      <c r="C1281" t="inlineStr">
        <is>
          <t>LEI</t>
        </is>
      </c>
      <c r="D1281" t="inlineStr">
        <is>
          <t>Semestral</t>
        </is>
      </c>
      <c r="E1281" t="inlineStr">
        <is>
          <t>Positivo</t>
        </is>
      </c>
      <c r="F1281" s="111" t="n">
        <v>45291</v>
      </c>
      <c r="G1281" t="n">
        <v>2023</v>
      </c>
      <c r="H1281" t="inlineStr">
        <is>
          <t>Diciembre</t>
        </is>
      </c>
      <c r="I1281" t="inlineStr">
        <is>
          <t>2023-2</t>
        </is>
      </c>
      <c r="J1281" t="n">
        <v>50</v>
      </c>
      <c r="K1281" t="n">
        <v>62</v>
      </c>
      <c r="L1281" s="39">
        <f>IFERROR(IF(OR(J1281=0,K1281=""),"",IF(E1281="Positivo",MIN(MAX(K1281/J1281,0),1.3),MIN(MAX(J1281/K1281,0),1.3))),"") </f>
        <v/>
      </c>
      <c r="M1281" s="39">
        <f>IFERROR(IF(OR(J1281=0,K1281=""),"",IF(E1281="Positivo",MAX(K1281/J1281,0),MAX(J1281/K1281,0))),"") </f>
        <v/>
      </c>
      <c r="N1281" t="inlineStr">
        <is>
          <t>%</t>
        </is>
      </c>
      <c r="O1281" t="inlineStr">
        <is>
          <t>%</t>
        </is>
      </c>
      <c r="P1281" t="n">
        <v>0</v>
      </c>
      <c r="Q1281" t="n">
        <v>0</v>
      </c>
      <c r="R1281" t="inlineStr">
        <is>
          <t>405-2023-12-31</t>
        </is>
      </c>
    </row>
    <row r="1282">
      <c r="A1282" t="n">
        <v>405</v>
      </c>
      <c r="B1282" t="inlineStr">
        <is>
          <t>Proyecto de reingenieria y arquitectura de software LEI</t>
        </is>
      </c>
      <c r="C1282" t="inlineStr">
        <is>
          <t>LEI</t>
        </is>
      </c>
      <c r="D1282" t="inlineStr">
        <is>
          <t>Semestral</t>
        </is>
      </c>
      <c r="E1282" t="inlineStr">
        <is>
          <t>Positivo</t>
        </is>
      </c>
      <c r="F1282" s="111" t="n">
        <v>45473</v>
      </c>
      <c r="G1282" t="n">
        <v>2024</v>
      </c>
      <c r="H1282" t="inlineStr">
        <is>
          <t>Junio</t>
        </is>
      </c>
      <c r="I1282" t="inlineStr">
        <is>
          <t>2024-1</t>
        </is>
      </c>
      <c r="J1282" t="n">
        <v>100</v>
      </c>
      <c r="K1282" t="n">
        <v>97.39</v>
      </c>
      <c r="L1282" s="39">
        <f>IFERROR(IF(OR(J1282=0,K1282=""),"",IF(E1282="Positivo",MIN(MAX(K1282/J1282,0),1.3),MIN(MAX(J1282/K1282,0),1.3))),"") </f>
        <v/>
      </c>
      <c r="M1282" s="39">
        <f>IFERROR(IF(OR(J1282=0,K1282=""),"",IF(E1282="Positivo",MAX(K1282/J1282,0),MAX(J1282/K1282,0))),"") </f>
        <v/>
      </c>
      <c r="P1282" t="n">
        <v>0</v>
      </c>
      <c r="Q1282" t="n">
        <v>0</v>
      </c>
      <c r="R1282" t="inlineStr">
        <is>
          <t>405-2024-06-30</t>
        </is>
      </c>
    </row>
    <row r="1283">
      <c r="A1283" t="n">
        <v>405</v>
      </c>
      <c r="B1283" t="inlineStr">
        <is>
          <t>Proyecto de reingenieria y arquitectura de software LEI</t>
        </is>
      </c>
      <c r="C1283" t="inlineStr">
        <is>
          <t>LEI</t>
        </is>
      </c>
      <c r="D1283" t="inlineStr">
        <is>
          <t>Semestral</t>
        </is>
      </c>
      <c r="E1283" t="inlineStr">
        <is>
          <t>Positivo</t>
        </is>
      </c>
      <c r="F1283" s="111" t="n">
        <v>45657</v>
      </c>
      <c r="G1283" t="n">
        <v>2024</v>
      </c>
      <c r="H1283" t="inlineStr">
        <is>
          <t>Diciembre</t>
        </is>
      </c>
      <c r="I1283" t="inlineStr">
        <is>
          <t>2024-2</t>
        </is>
      </c>
      <c r="J1283" t="n">
        <v>100</v>
      </c>
      <c r="K1283" t="n">
        <v>98</v>
      </c>
      <c r="L1283" s="39">
        <f>IFERROR(IF(OR(J1283=0,K1283=""),"",IF(E1283="Positivo",MIN(MAX(K1283/J1283,0),1.3),MIN(MAX(J1283/K1283,0),1.3))),"") </f>
        <v/>
      </c>
      <c r="M1283" s="39">
        <f>IFERROR(IF(OR(J1283=0,K1283=""),"",IF(E1283="Positivo",MAX(K1283/J1283,0),MAX(J1283/K1283,0))),"") </f>
        <v/>
      </c>
      <c r="P1283" t="n">
        <v>0</v>
      </c>
      <c r="Q1283" t="n">
        <v>0</v>
      </c>
      <c r="R1283" t="inlineStr">
        <is>
          <t>405-2024-12-31</t>
        </is>
      </c>
    </row>
    <row r="1284">
      <c r="A1284" t="n">
        <v>406</v>
      </c>
      <c r="B1284" t="inlineStr">
        <is>
          <t>Programas con condiciones iniciales aprobadas por facultad</t>
        </is>
      </c>
      <c r="C1284" t="inlineStr">
        <is>
          <t>Creación, modificación y cierre de programas académicos</t>
        </is>
      </c>
      <c r="D1284" t="inlineStr">
        <is>
          <t>Semestral</t>
        </is>
      </c>
      <c r="E1284" t="inlineStr">
        <is>
          <t>Positivo</t>
        </is>
      </c>
      <c r="F1284" s="111" t="n">
        <v>45291</v>
      </c>
      <c r="G1284" t="n">
        <v>2023</v>
      </c>
      <c r="H1284" t="inlineStr">
        <is>
          <t>Diciembre</t>
        </is>
      </c>
      <c r="I1284" t="inlineStr">
        <is>
          <t>2023-2</t>
        </is>
      </c>
      <c r="J1284" t="n">
        <v>5</v>
      </c>
      <c r="K1284" t="n">
        <v>5</v>
      </c>
      <c r="L1284" s="39">
        <f>IFERROR(IF(OR(J1284=0,K1284=""),"",IF(E1284="Positivo",MIN(MAX(K1284/J1284,0),1.3),MIN(MAX(J1284/K1284,0),1.3))),"") </f>
        <v/>
      </c>
      <c r="M1284" s="39">
        <f>IFERROR(IF(OR(J1284=0,K1284=""),"",IF(E1284="Positivo",MAX(K1284/J1284,0),MAX(J1284/K1284,0))),"") </f>
        <v/>
      </c>
      <c r="P1284" t="n">
        <v>0</v>
      </c>
      <c r="Q1284" t="n">
        <v>0</v>
      </c>
      <c r="R1284" t="inlineStr">
        <is>
          <t>406-2023-12-31</t>
        </is>
      </c>
    </row>
    <row r="1285">
      <c r="A1285" t="n">
        <v>406</v>
      </c>
      <c r="B1285" t="inlineStr">
        <is>
          <t>Programas con condiciones iniciales aprobadas por facultad</t>
        </is>
      </c>
      <c r="C1285" t="inlineStr">
        <is>
          <t>Autoevaluación de programas académicos</t>
        </is>
      </c>
      <c r="D1285" t="inlineStr">
        <is>
          <t>Semestral</t>
        </is>
      </c>
      <c r="E1285" t="inlineStr">
        <is>
          <t>Positivo</t>
        </is>
      </c>
      <c r="F1285" s="111" t="n">
        <v>45473</v>
      </c>
      <c r="G1285" t="n">
        <v>2024</v>
      </c>
      <c r="H1285" t="inlineStr">
        <is>
          <t>Junio</t>
        </is>
      </c>
      <c r="I1285" t="inlineStr">
        <is>
          <t>2024-1</t>
        </is>
      </c>
      <c r="J1285" t="n">
        <v>0</v>
      </c>
      <c r="K1285" t="n">
        <v>3</v>
      </c>
      <c r="L1285" s="39">
        <f>IFERROR(IF(OR(J1285=0,K1285=""),"",IF(E1285="Positivo",MIN(MAX(K1285/J1285,0),1.3),MIN(MAX(J1285/K1285,0),1.3))),"") </f>
        <v/>
      </c>
      <c r="M1285" s="39">
        <f>IFERROR(IF(OR(J1285=0,K1285=""),"",IF(E1285="Positivo",MAX(K1285/J1285,0),MAX(J1285/K1285,0))),"") </f>
        <v/>
      </c>
      <c r="P1285" t="n">
        <v>0</v>
      </c>
      <c r="Q1285" t="n">
        <v>0</v>
      </c>
      <c r="R1285" t="inlineStr">
        <is>
          <t>406-2024-06-30</t>
        </is>
      </c>
    </row>
    <row r="1286">
      <c r="A1286" t="n">
        <v>406</v>
      </c>
      <c r="B1286" t="inlineStr">
        <is>
          <t>Programas con condiciones iniciales aprobadas por facultad</t>
        </is>
      </c>
      <c r="C1286" t="inlineStr">
        <is>
          <t>Autoevaluación de programas académicos</t>
        </is>
      </c>
      <c r="D1286" t="inlineStr">
        <is>
          <t>Semestral</t>
        </is>
      </c>
      <c r="E1286" t="inlineStr">
        <is>
          <t>Positivo</t>
        </is>
      </c>
      <c r="F1286" s="111" t="n">
        <v>45657</v>
      </c>
      <c r="G1286" t="n">
        <v>2024</v>
      </c>
      <c r="H1286" t="inlineStr">
        <is>
          <t>Diciembre</t>
        </is>
      </c>
      <c r="I1286" t="inlineStr">
        <is>
          <t>2024-2</t>
        </is>
      </c>
      <c r="J1286" t="n">
        <v>0</v>
      </c>
      <c r="L1286" s="39" t="n"/>
      <c r="M1286" s="39" t="n"/>
      <c r="N1286" t="inlineStr">
        <is>
          <t>ENT</t>
        </is>
      </c>
      <c r="O1286" t="inlineStr">
        <is>
          <t>N/A</t>
        </is>
      </c>
      <c r="P1286" t="n">
        <v>0</v>
      </c>
      <c r="Q1286" t="n">
        <v>0</v>
      </c>
      <c r="R1286" t="inlineStr">
        <is>
          <t>406-2024-12-31</t>
        </is>
      </c>
    </row>
    <row r="1287">
      <c r="A1287" t="n">
        <v>407</v>
      </c>
      <c r="B1287" t="inlineStr">
        <is>
          <t>Programas 1ra fase de condiciones iniciales radicadas por facultad</t>
        </is>
      </c>
      <c r="C1287" t="inlineStr">
        <is>
          <t>Creación, modificación y cierre de programas académicos</t>
        </is>
      </c>
      <c r="D1287" t="inlineStr">
        <is>
          <t>Semestral</t>
        </is>
      </c>
      <c r="E1287" t="inlineStr">
        <is>
          <t>Positivo</t>
        </is>
      </c>
      <c r="F1287" s="111" t="n">
        <v>45291</v>
      </c>
      <c r="G1287" t="n">
        <v>2023</v>
      </c>
      <c r="H1287" t="inlineStr">
        <is>
          <t>Diciembre</t>
        </is>
      </c>
      <c r="I1287" t="inlineStr">
        <is>
          <t>2023-2</t>
        </is>
      </c>
      <c r="J1287" t="n">
        <v>3</v>
      </c>
      <c r="K1287" t="n">
        <v>3</v>
      </c>
      <c r="L1287" s="39">
        <f>IFERROR(IF(OR(J1287=0,K1287=""),"",IF(E1287="Positivo",MIN(MAX(K1287/J1287,0),1.3),MIN(MAX(J1287/K1287,0),1.3))),"") </f>
        <v/>
      </c>
      <c r="M1287" s="39">
        <f>IFERROR(IF(OR(J1287=0,K1287=""),"",IF(E1287="Positivo",MAX(K1287/J1287,0),MAX(J1287/K1287,0))),"") </f>
        <v/>
      </c>
      <c r="P1287" t="n">
        <v>0</v>
      </c>
      <c r="Q1287" t="n">
        <v>0</v>
      </c>
      <c r="R1287" t="inlineStr">
        <is>
          <t>407-2023-12-31</t>
        </is>
      </c>
    </row>
    <row r="1288">
      <c r="A1288" t="n">
        <v>407</v>
      </c>
      <c r="B1288" t="inlineStr">
        <is>
          <t>Programas 1ra fase de condiciones iniciales radicadas por facultad</t>
        </is>
      </c>
      <c r="C1288" t="inlineStr">
        <is>
          <t>Autoevaluación de programas académicos</t>
        </is>
      </c>
      <c r="D1288" t="inlineStr">
        <is>
          <t>Semestral</t>
        </is>
      </c>
      <c r="E1288" t="inlineStr">
        <is>
          <t>Positivo</t>
        </is>
      </c>
      <c r="F1288" s="111" t="n">
        <v>45473</v>
      </c>
      <c r="G1288" t="n">
        <v>2024</v>
      </c>
      <c r="H1288" t="inlineStr">
        <is>
          <t>Junio</t>
        </is>
      </c>
      <c r="I1288" t="inlineStr">
        <is>
          <t>2024-1</t>
        </is>
      </c>
      <c r="L1288" s="39" t="n"/>
      <c r="M1288" s="39" t="n"/>
      <c r="P1288" t="n">
        <v>0</v>
      </c>
      <c r="Q1288" t="n">
        <v>0</v>
      </c>
      <c r="R1288" t="inlineStr">
        <is>
          <t>407-2024-06-30</t>
        </is>
      </c>
    </row>
    <row r="1289">
      <c r="A1289" t="n">
        <v>407</v>
      </c>
      <c r="B1289" t="inlineStr">
        <is>
          <t>Programas 1ra fase de condiciones iniciales radicadas por facultad</t>
        </is>
      </c>
      <c r="C1289" t="inlineStr">
        <is>
          <t>Autoevaluación de programas académicos</t>
        </is>
      </c>
      <c r="D1289" t="inlineStr">
        <is>
          <t>Semestral</t>
        </is>
      </c>
      <c r="E1289" t="inlineStr">
        <is>
          <t>Positivo</t>
        </is>
      </c>
      <c r="F1289" s="111" t="n">
        <v>45657</v>
      </c>
      <c r="G1289" t="n">
        <v>2024</v>
      </c>
      <c r="H1289" t="inlineStr">
        <is>
          <t>Diciembre</t>
        </is>
      </c>
      <c r="I1289" t="inlineStr">
        <is>
          <t>2024-2</t>
        </is>
      </c>
      <c r="J1289" t="n">
        <v>100</v>
      </c>
      <c r="L1289" s="39" t="n"/>
      <c r="M1289" s="39" t="n"/>
      <c r="N1289" t="inlineStr">
        <is>
          <t>ENT</t>
        </is>
      </c>
      <c r="O1289" t="inlineStr">
        <is>
          <t>N/A</t>
        </is>
      </c>
      <c r="P1289" t="n">
        <v>0</v>
      </c>
      <c r="Q1289" t="n">
        <v>0</v>
      </c>
      <c r="R1289" t="inlineStr">
        <is>
          <t>407-2024-12-31</t>
        </is>
      </c>
    </row>
    <row r="1290">
      <c r="A1290" t="n">
        <v>408</v>
      </c>
      <c r="B1290" t="inlineStr">
        <is>
          <t>Programas nuevos radicados por facultad</t>
        </is>
      </c>
      <c r="C1290" t="inlineStr">
        <is>
          <t>Creación, modificación y cierre de programas académicos</t>
        </is>
      </c>
      <c r="D1290" t="inlineStr">
        <is>
          <t>Trimestral</t>
        </is>
      </c>
      <c r="E1290" t="inlineStr">
        <is>
          <t>Positivo</t>
        </is>
      </c>
      <c r="F1290" s="111" t="n">
        <v>45107</v>
      </c>
      <c r="G1290" t="n">
        <v>2023</v>
      </c>
      <c r="H1290" t="inlineStr">
        <is>
          <t>Junio</t>
        </is>
      </c>
      <c r="I1290" t="inlineStr">
        <is>
          <t>2023-1</t>
        </is>
      </c>
      <c r="J1290" t="n">
        <v>100</v>
      </c>
      <c r="L1290" s="39" t="n"/>
      <c r="M1290" s="39" t="n"/>
      <c r="N1290" t="inlineStr">
        <is>
          <t>ENT</t>
        </is>
      </c>
      <c r="O1290" t="inlineStr">
        <is>
          <t>No Aplica</t>
        </is>
      </c>
      <c r="P1290" t="n">
        <v>0</v>
      </c>
      <c r="Q1290" t="n">
        <v>0</v>
      </c>
      <c r="R1290" t="inlineStr">
        <is>
          <t>408-2023-06-30</t>
        </is>
      </c>
      <c r="S1290" t="inlineStr">
        <is>
          <t>No Aplica</t>
        </is>
      </c>
    </row>
    <row r="1291">
      <c r="A1291" t="n">
        <v>408</v>
      </c>
      <c r="B1291" t="inlineStr">
        <is>
          <t>Programas nuevos radicados por facultad</t>
        </is>
      </c>
      <c r="C1291" t="inlineStr">
        <is>
          <t>Creación, modificación y cierre de programas académicos</t>
        </is>
      </c>
      <c r="D1291" t="inlineStr">
        <is>
          <t>Semestral</t>
        </is>
      </c>
      <c r="E1291" t="inlineStr">
        <is>
          <t>Positivo</t>
        </is>
      </c>
      <c r="F1291" s="111" t="n">
        <v>45291</v>
      </c>
      <c r="G1291" t="n">
        <v>2023</v>
      </c>
      <c r="H1291" t="inlineStr">
        <is>
          <t>Diciembre</t>
        </is>
      </c>
      <c r="I1291" t="inlineStr">
        <is>
          <t>2023-2</t>
        </is>
      </c>
      <c r="J1291" t="n">
        <v>100</v>
      </c>
      <c r="K1291" t="n">
        <v>100</v>
      </c>
      <c r="L1291" s="39">
        <f>IFERROR(IF(OR(J1291=0,K1291=""),"",IF(E1291="Positivo",MIN(MAX(K1291/J1291,0),1.3),MIN(MAX(J1291/K1291,0),1.3))),"") </f>
        <v/>
      </c>
      <c r="M1291" s="39">
        <f>IFERROR(IF(OR(J1291=0,K1291=""),"",IF(E1291="Positivo",MAX(K1291/J1291,0),MAX(J1291/K1291,0))),"") </f>
        <v/>
      </c>
      <c r="P1291" t="n">
        <v>0</v>
      </c>
      <c r="Q1291" t="n">
        <v>0</v>
      </c>
      <c r="R1291" t="inlineStr">
        <is>
          <t>408-2023-12-31</t>
        </is>
      </c>
    </row>
    <row r="1292">
      <c r="A1292" t="n">
        <v>408</v>
      </c>
      <c r="B1292" t="inlineStr">
        <is>
          <t>Programas nuevos radicados por facultad</t>
        </is>
      </c>
      <c r="C1292" t="inlineStr">
        <is>
          <t>Creación, modificación y cierre de programas académicos</t>
        </is>
      </c>
      <c r="D1292" t="inlineStr">
        <is>
          <t>Semestral</t>
        </is>
      </c>
      <c r="E1292" t="inlineStr">
        <is>
          <t>Positivo</t>
        </is>
      </c>
      <c r="F1292" s="111" t="n">
        <v>45473</v>
      </c>
      <c r="G1292" t="n">
        <v>2024</v>
      </c>
      <c r="H1292" t="inlineStr">
        <is>
          <t>Junio</t>
        </is>
      </c>
      <c r="I1292" t="inlineStr">
        <is>
          <t>2024-1</t>
        </is>
      </c>
      <c r="J1292" t="n">
        <v>100</v>
      </c>
      <c r="L1292" s="39" t="n"/>
      <c r="M1292" s="39" t="n"/>
      <c r="P1292" t="n">
        <v>0</v>
      </c>
      <c r="Q1292" t="n">
        <v>0</v>
      </c>
      <c r="R1292" t="inlineStr">
        <is>
          <t>408-2024-06-30</t>
        </is>
      </c>
    </row>
    <row r="1293">
      <c r="A1293" t="n">
        <v>408</v>
      </c>
      <c r="B1293" t="inlineStr">
        <is>
          <t>Programas nuevos radicados por facultad</t>
        </is>
      </c>
      <c r="C1293" t="inlineStr">
        <is>
          <t>Creación, modificación y cierre de programas académicos</t>
        </is>
      </c>
      <c r="D1293" t="inlineStr">
        <is>
          <t>Semestral</t>
        </is>
      </c>
      <c r="E1293" t="inlineStr">
        <is>
          <t>Positivo</t>
        </is>
      </c>
      <c r="F1293" s="111" t="n">
        <v>45657</v>
      </c>
      <c r="G1293" t="n">
        <v>2024</v>
      </c>
      <c r="H1293" t="inlineStr">
        <is>
          <t>Diciembre</t>
        </is>
      </c>
      <c r="I1293" t="inlineStr">
        <is>
          <t>2024-2</t>
        </is>
      </c>
      <c r="J1293" t="n">
        <v>100</v>
      </c>
      <c r="K1293" t="n">
        <v>100</v>
      </c>
      <c r="L1293" s="39">
        <f>IFERROR(IF(OR(J1293=0,K1293=""),"",IF(E1293="Positivo",MIN(MAX(K1293/J1293,0),1.3),MIN(MAX(J1293/K1293,0),1.3))),"") </f>
        <v/>
      </c>
      <c r="M1293" s="39">
        <f>IFERROR(IF(OR(J1293=0,K1293=""),"",IF(E1293="Positivo",MAX(K1293/J1293,0),MAX(J1293/K1293,0))),"") </f>
        <v/>
      </c>
      <c r="P1293" t="n">
        <v>0</v>
      </c>
      <c r="Q1293" t="n">
        <v>0</v>
      </c>
      <c r="R1293" t="inlineStr">
        <is>
          <t>408-2024-12-31</t>
        </is>
      </c>
    </row>
    <row r="1294">
      <c r="A1294" t="n">
        <v>408</v>
      </c>
      <c r="B1294" t="inlineStr">
        <is>
          <t>Programas nuevos radicados por facultad</t>
        </is>
      </c>
      <c r="C1294" t="inlineStr">
        <is>
          <t>Creación, modificación y cierre de programas académicos</t>
        </is>
      </c>
      <c r="D1294" t="inlineStr">
        <is>
          <t>Trimestral</t>
        </is>
      </c>
      <c r="E1294" t="inlineStr">
        <is>
          <t>Positivo</t>
        </is>
      </c>
      <c r="F1294" s="111" t="n">
        <v>45838</v>
      </c>
      <c r="G1294" t="n">
        <v>2025</v>
      </c>
      <c r="H1294" t="inlineStr">
        <is>
          <t>Junio</t>
        </is>
      </c>
      <c r="I1294" t="inlineStr">
        <is>
          <t>2025-1</t>
        </is>
      </c>
      <c r="J1294" t="n">
        <v>100</v>
      </c>
      <c r="K1294" t="n">
        <v>100</v>
      </c>
      <c r="L1294" s="39">
        <f>IFERROR(IF(OR(J1294=0,K1294=""),"",IF(E1294="Positivo",MIN(MAX(K1294/J1294,0),1.3),MIN(MAX(J1294/K1294,0),1.3))),"") </f>
        <v/>
      </c>
      <c r="M1294" s="39">
        <f>IFERROR(IF(OR(J1294=0,K1294=""),"",IF(E1294="Positivo",MAX(K1294/J1294,0),MAX(J1294/K1294,0))),"") </f>
        <v/>
      </c>
      <c r="N1294" t="inlineStr">
        <is>
          <t>ENT</t>
        </is>
      </c>
      <c r="O1294" t="inlineStr">
        <is>
          <t>ENT</t>
        </is>
      </c>
      <c r="P1294" t="n">
        <v>0</v>
      </c>
      <c r="Q1294" t="n">
        <v>0</v>
      </c>
      <c r="R1294" t="inlineStr">
        <is>
          <t>408-2025-06-30</t>
        </is>
      </c>
    </row>
    <row r="1295">
      <c r="A1295" t="n">
        <v>408</v>
      </c>
      <c r="B1295" t="inlineStr">
        <is>
          <t>Programas nuevos radicados por facultad</t>
        </is>
      </c>
      <c r="C1295" t="inlineStr">
        <is>
          <t>Creación, modificación y cierre de programas académicos</t>
        </is>
      </c>
      <c r="D1295" t="inlineStr">
        <is>
          <t>Trimestral</t>
        </is>
      </c>
      <c r="E1295" t="inlineStr">
        <is>
          <t>Positivo</t>
        </is>
      </c>
      <c r="F1295" s="111" t="n">
        <v>46022</v>
      </c>
      <c r="G1295" t="n">
        <v>2025</v>
      </c>
      <c r="H1295" t="inlineStr">
        <is>
          <t>Diciembre</t>
        </is>
      </c>
      <c r="I1295" t="inlineStr">
        <is>
          <t>2025-2</t>
        </is>
      </c>
      <c r="J1295" t="n">
        <v>100</v>
      </c>
      <c r="K1295" t="n">
        <v>100</v>
      </c>
      <c r="L1295" s="39">
        <f>IFERROR(IF(OR(J1295=0,K1295=""),"",IF(E1295="Positivo",MIN(MAX(K1295/J1295,0),1.3),MIN(MAX(J1295/K1295,0),1.3))),"") </f>
        <v/>
      </c>
      <c r="M1295" s="39">
        <f>IFERROR(IF(OR(J1295=0,K1295=""),"",IF(E1295="Positivo",MAX(K1295/J1295,0),MAX(J1295/K1295,0))),"") </f>
        <v/>
      </c>
      <c r="N1295" t="inlineStr">
        <is>
          <t>ENT</t>
        </is>
      </c>
      <c r="O1295" t="inlineStr">
        <is>
          <t>ENT</t>
        </is>
      </c>
      <c r="P1295" t="n">
        <v>0</v>
      </c>
      <c r="Q1295" t="n">
        <v>0</v>
      </c>
      <c r="R1295" t="inlineStr">
        <is>
          <t>408-2025-12-31</t>
        </is>
      </c>
    </row>
    <row r="1296">
      <c r="A1296" t="n">
        <v>409</v>
      </c>
      <c r="B1296" t="inlineStr">
        <is>
          <t>Oportunidad en tiempo de envios</t>
        </is>
      </c>
      <c r="C1296" t="inlineStr">
        <is>
          <t>GESTIÓN JURÍDICA Y NORMATIVA</t>
        </is>
      </c>
      <c r="D1296" t="inlineStr">
        <is>
          <t>Trimestral</t>
        </is>
      </c>
      <c r="E1296" t="inlineStr">
        <is>
          <t>Positivo</t>
        </is>
      </c>
      <c r="F1296" s="111" t="n">
        <v>45107</v>
      </c>
      <c r="G1296" t="n">
        <v>2023</v>
      </c>
      <c r="H1296" t="inlineStr">
        <is>
          <t>Junio</t>
        </is>
      </c>
      <c r="I1296" t="inlineStr">
        <is>
          <t>2023-1</t>
        </is>
      </c>
      <c r="J1296" t="n">
        <v>80</v>
      </c>
      <c r="K1296" t="n">
        <v>103.718854592785</v>
      </c>
      <c r="L1296" s="39">
        <f>IFERROR(IF(OR(J1296=0,K1296=""),"",IF(E1296="Positivo",MIN(MAX(K1296/J1296,0),1.3),MIN(MAX(J1296/K1296,0),1.3))),"") </f>
        <v/>
      </c>
      <c r="M1296" s="39">
        <f>IFERROR(IF(OR(J1296=0,K1296=""),"",IF(E1296="Positivo",MAX(K1296/J1296,0),MAX(J1296/K1296,0))),"") </f>
        <v/>
      </c>
      <c r="N1296" t="inlineStr">
        <is>
          <t>%</t>
        </is>
      </c>
      <c r="O1296" t="inlineStr">
        <is>
          <t>%</t>
        </is>
      </c>
      <c r="P1296" t="n">
        <v>0</v>
      </c>
      <c r="Q1296" t="n">
        <v>0</v>
      </c>
      <c r="R1296" t="inlineStr">
        <is>
          <t>409-2023-06-30</t>
        </is>
      </c>
    </row>
    <row r="1297">
      <c r="A1297" t="n">
        <v>409</v>
      </c>
      <c r="B1297" t="inlineStr">
        <is>
          <t>Oportunidad en tiempo de envios</t>
        </is>
      </c>
      <c r="C1297" t="inlineStr">
        <is>
          <t>GESTIÓN JURÍDICA Y NORMATIVA</t>
        </is>
      </c>
      <c r="D1297" t="inlineStr">
        <is>
          <t>Trimestral</t>
        </is>
      </c>
      <c r="E1297" t="inlineStr">
        <is>
          <t>Positivo</t>
        </is>
      </c>
      <c r="F1297" s="111" t="n">
        <v>45291</v>
      </c>
      <c r="G1297" t="n">
        <v>2023</v>
      </c>
      <c r="H1297" t="inlineStr">
        <is>
          <t>Diciembre</t>
        </is>
      </c>
      <c r="I1297" t="inlineStr">
        <is>
          <t>2023-2</t>
        </is>
      </c>
      <c r="J1297" t="n">
        <v>160</v>
      </c>
      <c r="K1297" t="n">
        <v>203.7188545927854</v>
      </c>
      <c r="L1297" s="39">
        <f>IFERROR(IF(OR(J1297=0,K1297=""),"",IF(E1297="Positivo",MIN(MAX(K1297/J1297,0),1.3),MIN(MAX(J1297/K1297,0),1.3))),"") </f>
        <v/>
      </c>
      <c r="M1297" s="39">
        <f>IFERROR(IF(OR(J1297=0,K1297=""),"",IF(E1297="Positivo",MAX(K1297/J1297,0),MAX(J1297/K1297,0))),"") </f>
        <v/>
      </c>
      <c r="N1297" t="inlineStr">
        <is>
          <t>%</t>
        </is>
      </c>
      <c r="O1297" t="inlineStr">
        <is>
          <t>%</t>
        </is>
      </c>
      <c r="P1297" t="n">
        <v>0</v>
      </c>
      <c r="Q1297" t="n">
        <v>0</v>
      </c>
      <c r="R1297" t="inlineStr">
        <is>
          <t>409-2023-12-31</t>
        </is>
      </c>
    </row>
    <row r="1298">
      <c r="A1298" t="n">
        <v>409</v>
      </c>
      <c r="B1298" t="inlineStr">
        <is>
          <t>Oportunidad en tiempo de envios</t>
        </is>
      </c>
      <c r="C1298" t="inlineStr">
        <is>
          <t>GESTIÓN JURÍDICA Y NORMATIVA</t>
        </is>
      </c>
      <c r="D1298" t="inlineStr">
        <is>
          <t>Trimestral</t>
        </is>
      </c>
      <c r="E1298" t="inlineStr">
        <is>
          <t>Positivo</t>
        </is>
      </c>
      <c r="F1298" s="111" t="n">
        <v>45473</v>
      </c>
      <c r="G1298" t="n">
        <v>2024</v>
      </c>
      <c r="H1298" t="inlineStr">
        <is>
          <t>Junio</t>
        </is>
      </c>
      <c r="I1298" t="inlineStr">
        <is>
          <t>2024-1</t>
        </is>
      </c>
      <c r="J1298" t="n">
        <v>190</v>
      </c>
      <c r="K1298" t="n">
        <v>196.5188394715603</v>
      </c>
      <c r="L1298" s="39">
        <f>IFERROR(IF(OR(J1298=0,K1298=""),"",IF(E1298="Positivo",MIN(MAX(K1298/J1298,0),1.3),MIN(MAX(J1298/K1298,0),1.3))),"") </f>
        <v/>
      </c>
      <c r="M1298" s="39">
        <f>IFERROR(IF(OR(J1298=0,K1298=""),"",IF(E1298="Positivo",MAX(K1298/J1298,0),MAX(J1298/K1298,0))),"") </f>
        <v/>
      </c>
      <c r="P1298" t="n">
        <v>0</v>
      </c>
      <c r="Q1298" t="n">
        <v>0</v>
      </c>
      <c r="R1298" t="inlineStr">
        <is>
          <t>409-2024-06-30</t>
        </is>
      </c>
    </row>
    <row r="1299">
      <c r="A1299" t="n">
        <v>409</v>
      </c>
      <c r="B1299" t="inlineStr">
        <is>
          <t>Oportunidad en tiempo de envios</t>
        </is>
      </c>
      <c r="C1299" t="inlineStr">
        <is>
          <t>GESTIÓN JURÍDICA Y NORMATIVA</t>
        </is>
      </c>
      <c r="D1299" t="inlineStr">
        <is>
          <t>Trimestral</t>
        </is>
      </c>
      <c r="E1299" t="inlineStr">
        <is>
          <t>Positivo</t>
        </is>
      </c>
      <c r="F1299" s="111" t="n">
        <v>45657</v>
      </c>
      <c r="G1299" t="n">
        <v>2024</v>
      </c>
      <c r="H1299" t="inlineStr">
        <is>
          <t>Diciembre</t>
        </is>
      </c>
      <c r="I1299" t="inlineStr">
        <is>
          <t>2024-2</t>
        </is>
      </c>
      <c r="J1299" t="n">
        <v>190</v>
      </c>
      <c r="K1299" t="n">
        <v>193.5796290503828</v>
      </c>
      <c r="L1299" s="39">
        <f>IFERROR(IF(OR(J1299=0,K1299=""),"",IF(E1299="Positivo",MIN(MAX(K1299/J1299,0),1.3),MIN(MAX(J1299/K1299,0),1.3))),"") </f>
        <v/>
      </c>
      <c r="M1299" s="39">
        <f>IFERROR(IF(OR(J1299=0,K1299=""),"",IF(E1299="Positivo",MAX(K1299/J1299,0),MAX(J1299/K1299,0))),"") </f>
        <v/>
      </c>
      <c r="P1299" t="n">
        <v>0</v>
      </c>
      <c r="Q1299" t="n">
        <v>0</v>
      </c>
      <c r="R1299" t="inlineStr">
        <is>
          <t>409-2024-12-31</t>
        </is>
      </c>
    </row>
    <row r="1300">
      <c r="A1300" t="n">
        <v>409</v>
      </c>
      <c r="B1300" t="inlineStr">
        <is>
          <t>Oportunidad en tiempo de envios</t>
        </is>
      </c>
      <c r="C1300" t="inlineStr">
        <is>
          <t>GESTIÓN JURÍDICA Y NORMATIVA</t>
        </is>
      </c>
      <c r="D1300" t="inlineStr">
        <is>
          <t>Semestral</t>
        </is>
      </c>
      <c r="E1300" t="inlineStr">
        <is>
          <t>Positivo</t>
        </is>
      </c>
      <c r="F1300" s="111" t="n">
        <v>45838</v>
      </c>
      <c r="G1300" t="n">
        <v>2025</v>
      </c>
      <c r="H1300" t="inlineStr">
        <is>
          <t>Junio</t>
        </is>
      </c>
      <c r="I1300" t="inlineStr">
        <is>
          <t>2025-1</t>
        </is>
      </c>
      <c r="J1300" t="n">
        <v>190</v>
      </c>
      <c r="K1300" t="n">
        <v>100</v>
      </c>
      <c r="L1300" s="39">
        <f>IFERROR(IF(OR(J1300=0,K1300=""),"",IF(E1300="Positivo",MIN(MAX(K1300/J1300,0),1.3),MIN(MAX(J1300/K1300,0),1.3))),"") </f>
        <v/>
      </c>
      <c r="M1300" s="39">
        <f>IFERROR(IF(OR(J1300=0,K1300=""),"",IF(E1300="Positivo",MAX(K1300/J1300,0),MAX(J1300/K1300,0))),"") </f>
        <v/>
      </c>
      <c r="N1300" t="inlineStr">
        <is>
          <t>%</t>
        </is>
      </c>
      <c r="O1300" t="inlineStr">
        <is>
          <t>%</t>
        </is>
      </c>
      <c r="P1300" t="n">
        <v>0</v>
      </c>
      <c r="Q1300" t="n">
        <v>0</v>
      </c>
      <c r="R1300" t="inlineStr">
        <is>
          <t>409-2025-06-30</t>
        </is>
      </c>
    </row>
    <row r="1301">
      <c r="A1301" t="n">
        <v>410</v>
      </c>
      <c r="B1301" t="inlineStr">
        <is>
          <t>Solicitudes de gestión documental</t>
        </is>
      </c>
      <c r="C1301" t="inlineStr">
        <is>
          <t>GESTIÓN JURÍDICA Y NORMATIVA</t>
        </is>
      </c>
      <c r="D1301" t="inlineStr">
        <is>
          <t>Trimestral</t>
        </is>
      </c>
      <c r="E1301" t="inlineStr">
        <is>
          <t>Positivo</t>
        </is>
      </c>
      <c r="F1301" s="111" t="n">
        <v>45291</v>
      </c>
      <c r="G1301" t="n">
        <v>2023</v>
      </c>
      <c r="H1301" t="inlineStr">
        <is>
          <t>Diciembre</t>
        </is>
      </c>
      <c r="I1301" t="inlineStr">
        <is>
          <t>2023-2</t>
        </is>
      </c>
      <c r="J1301" t="n">
        <v>90</v>
      </c>
      <c r="K1301" t="n">
        <v>100</v>
      </c>
      <c r="L1301" s="39">
        <f>IFERROR(IF(OR(J1301=0,K1301=""),"",IF(E1301="Positivo",MIN(MAX(K1301/J1301,0),1.3),MIN(MAX(J1301/K1301,0),1.3))),"") </f>
        <v/>
      </c>
      <c r="M1301" s="39">
        <f>IFERROR(IF(OR(J1301=0,K1301=""),"",IF(E1301="Positivo",MAX(K1301/J1301,0),MAX(J1301/K1301,0))),"") </f>
        <v/>
      </c>
      <c r="N1301" t="inlineStr">
        <is>
          <t>%</t>
        </is>
      </c>
      <c r="O1301" t="inlineStr">
        <is>
          <t>%</t>
        </is>
      </c>
      <c r="P1301" t="n">
        <v>0</v>
      </c>
      <c r="Q1301" t="n">
        <v>0</v>
      </c>
      <c r="R1301" t="inlineStr">
        <is>
          <t>410-2023-12-31</t>
        </is>
      </c>
    </row>
    <row r="1302">
      <c r="A1302" t="n">
        <v>411</v>
      </c>
      <c r="B1302" t="inlineStr">
        <is>
          <t>Cumplimiento Planes De Relacionamiento</t>
        </is>
      </c>
      <c r="C1302" t="inlineStr">
        <is>
          <t>Comunicaciones Externas</t>
        </is>
      </c>
      <c r="D1302" t="inlineStr">
        <is>
          <t>Semestral</t>
        </is>
      </c>
      <c r="E1302" t="inlineStr">
        <is>
          <t>Positivo</t>
        </is>
      </c>
      <c r="F1302" s="111" t="n">
        <v>45107</v>
      </c>
      <c r="G1302" t="n">
        <v>2023</v>
      </c>
      <c r="H1302" t="inlineStr">
        <is>
          <t>Junio</t>
        </is>
      </c>
      <c r="I1302" t="inlineStr">
        <is>
          <t>2023-1</t>
        </is>
      </c>
      <c r="L1302" s="39" t="n"/>
      <c r="M1302" s="39" t="n"/>
      <c r="P1302" t="n">
        <v>0</v>
      </c>
      <c r="Q1302" t="n">
        <v>0</v>
      </c>
      <c r="R1302" t="inlineStr">
        <is>
          <t>411-2023-06-30</t>
        </is>
      </c>
    </row>
    <row r="1303">
      <c r="A1303" t="n">
        <v>411</v>
      </c>
      <c r="B1303" t="inlineStr">
        <is>
          <t>Cumplimiento Planes De Relacionamiento</t>
        </is>
      </c>
      <c r="C1303" t="inlineStr">
        <is>
          <t>Comunicaciones Externas</t>
        </is>
      </c>
      <c r="D1303" t="inlineStr">
        <is>
          <t>Semestral</t>
        </is>
      </c>
      <c r="E1303" t="inlineStr">
        <is>
          <t>Positivo</t>
        </is>
      </c>
      <c r="F1303" s="111" t="n">
        <v>45291</v>
      </c>
      <c r="G1303" t="n">
        <v>2023</v>
      </c>
      <c r="H1303" t="inlineStr">
        <is>
          <t>Diciembre</t>
        </is>
      </c>
      <c r="I1303" t="inlineStr">
        <is>
          <t>2023-2</t>
        </is>
      </c>
      <c r="J1303" t="n">
        <v>100</v>
      </c>
      <c r="K1303" t="n">
        <v>100</v>
      </c>
      <c r="L1303" s="39">
        <f>IFERROR(IF(OR(J1303=0,K1303=""),"",IF(E1303="Positivo",MIN(MAX(K1303/J1303,0),1.3),MIN(MAX(J1303/K1303,0),1.3))),"") </f>
        <v/>
      </c>
      <c r="M1303" s="39">
        <f>IFERROR(IF(OR(J1303=0,K1303=""),"",IF(E1303="Positivo",MAX(K1303/J1303,0),MAX(J1303/K1303,0))),"") </f>
        <v/>
      </c>
      <c r="N1303" t="inlineStr">
        <is>
          <t>%</t>
        </is>
      </c>
      <c r="O1303" t="inlineStr">
        <is>
          <t>%</t>
        </is>
      </c>
      <c r="P1303" t="n">
        <v>0</v>
      </c>
      <c r="Q1303" t="n">
        <v>0</v>
      </c>
      <c r="R1303" t="inlineStr">
        <is>
          <t>411-2023-12-31</t>
        </is>
      </c>
    </row>
    <row r="1304">
      <c r="A1304" t="n">
        <v>412</v>
      </c>
      <c r="B1304" t="inlineStr">
        <is>
          <t>Participaciones en 2 eventos externos de impacto</t>
        </is>
      </c>
      <c r="C1304" t="inlineStr">
        <is>
          <t>Comunicaciones Externas</t>
        </is>
      </c>
      <c r="D1304" t="inlineStr">
        <is>
          <t>Anual</t>
        </is>
      </c>
      <c r="E1304" t="inlineStr">
        <is>
          <t>Positivo</t>
        </is>
      </c>
      <c r="F1304" s="111" t="n">
        <v>45291</v>
      </c>
      <c r="G1304" t="n">
        <v>2023</v>
      </c>
      <c r="H1304" t="inlineStr">
        <is>
          <t>Diciembre</t>
        </is>
      </c>
      <c r="I1304" t="inlineStr">
        <is>
          <t>2023-2</t>
        </is>
      </c>
      <c r="J1304" t="n">
        <v>100</v>
      </c>
      <c r="K1304" t="n">
        <v>100</v>
      </c>
      <c r="L1304" s="39">
        <f>IFERROR(IF(OR(J1304=0,K1304=""),"",IF(E1304="Positivo",MIN(MAX(K1304/J1304,0),1.3),MIN(MAX(J1304/K1304,0),1.3))),"") </f>
        <v/>
      </c>
      <c r="M1304" s="39">
        <f>IFERROR(IF(OR(J1304=0,K1304=""),"",IF(E1304="Positivo",MAX(K1304/J1304,0),MAX(J1304/K1304,0))),"") </f>
        <v/>
      </c>
      <c r="N1304" t="inlineStr">
        <is>
          <t>%</t>
        </is>
      </c>
      <c r="O1304" t="inlineStr">
        <is>
          <t>%</t>
        </is>
      </c>
      <c r="P1304" t="n">
        <v>0</v>
      </c>
      <c r="Q1304" t="n">
        <v>0</v>
      </c>
      <c r="R1304" t="inlineStr">
        <is>
          <t>412-2023-12-31</t>
        </is>
      </c>
    </row>
    <row r="1305">
      <c r="A1305" t="n">
        <v>412</v>
      </c>
      <c r="B1305" t="inlineStr">
        <is>
          <t>Participación en eventos externos de impacto</t>
        </is>
      </c>
      <c r="C1305" t="inlineStr">
        <is>
          <t>Comunicaciones Externas</t>
        </is>
      </c>
      <c r="D1305" t="inlineStr">
        <is>
          <t>Anual</t>
        </is>
      </c>
      <c r="E1305" t="inlineStr">
        <is>
          <t>Positivo</t>
        </is>
      </c>
      <c r="F1305" s="111" t="n">
        <v>45657</v>
      </c>
      <c r="G1305" t="n">
        <v>2024</v>
      </c>
      <c r="H1305" t="inlineStr">
        <is>
          <t>Diciembre</t>
        </is>
      </c>
      <c r="I1305" t="inlineStr">
        <is>
          <t>2024-2</t>
        </is>
      </c>
      <c r="J1305" t="n">
        <v>100</v>
      </c>
      <c r="K1305" t="n">
        <v>100</v>
      </c>
      <c r="L1305" s="39">
        <f>IFERROR(IF(OR(J1305=0,K1305=""),"",IF(E1305="Positivo",MIN(MAX(K1305/J1305,0),1.3),MIN(MAX(J1305/K1305,0),1.3))),"") </f>
        <v/>
      </c>
      <c r="M1305" s="39">
        <f>IFERROR(IF(OR(J1305=0,K1305=""),"",IF(E1305="Positivo",MAX(K1305/J1305,0),MAX(J1305/K1305,0))),"") </f>
        <v/>
      </c>
      <c r="P1305" t="n">
        <v>0</v>
      </c>
      <c r="Q1305" t="n">
        <v>0</v>
      </c>
      <c r="R1305" t="inlineStr">
        <is>
          <t>412-2024-12-31</t>
        </is>
      </c>
    </row>
    <row r="1306">
      <c r="A1306" t="n">
        <v>413</v>
      </c>
      <c r="B1306" t="inlineStr">
        <is>
          <t>Participaciones del Poli como sede o patrocinador</t>
        </is>
      </c>
      <c r="C1306" t="inlineStr">
        <is>
          <t>Comunicaciones Externas</t>
        </is>
      </c>
      <c r="D1306" t="inlineStr">
        <is>
          <t>Anual</t>
        </is>
      </c>
      <c r="E1306" t="inlineStr">
        <is>
          <t>Positivo</t>
        </is>
      </c>
      <c r="F1306" s="111" t="n">
        <v>45291</v>
      </c>
      <c r="G1306" t="n">
        <v>2023</v>
      </c>
      <c r="H1306" t="inlineStr">
        <is>
          <t>Diciembre</t>
        </is>
      </c>
      <c r="I1306" t="inlineStr">
        <is>
          <t>2023-2</t>
        </is>
      </c>
      <c r="K1306" t="n">
        <v>100</v>
      </c>
      <c r="L1306" s="39" t="n"/>
      <c r="M1306" s="39" t="n"/>
      <c r="N1306" t="inlineStr">
        <is>
          <t>Linea base</t>
        </is>
      </c>
      <c r="P1306" t="n">
        <v>0</v>
      </c>
      <c r="Q1306" t="n">
        <v>0</v>
      </c>
      <c r="R1306" t="inlineStr">
        <is>
          <t>413-2023-12-31</t>
        </is>
      </c>
    </row>
    <row r="1307">
      <c r="A1307" t="n">
        <v>413</v>
      </c>
      <c r="B1307" t="inlineStr">
        <is>
          <t>Participación del Poli como sede o patrocinador</t>
        </is>
      </c>
      <c r="C1307" t="inlineStr">
        <is>
          <t>Comunicaciones Externas</t>
        </is>
      </c>
      <c r="D1307" t="inlineStr">
        <is>
          <t>Anual</t>
        </is>
      </c>
      <c r="E1307" t="inlineStr">
        <is>
          <t>Positivo</t>
        </is>
      </c>
      <c r="F1307" s="111" t="n">
        <v>45657</v>
      </c>
      <c r="G1307" t="n">
        <v>2024</v>
      </c>
      <c r="H1307" t="inlineStr">
        <is>
          <t>Diciembre</t>
        </is>
      </c>
      <c r="I1307" t="inlineStr">
        <is>
          <t>2024-2</t>
        </is>
      </c>
      <c r="J1307" t="n">
        <v>100</v>
      </c>
      <c r="K1307" t="n">
        <v>100</v>
      </c>
      <c r="L1307" s="39">
        <f>IFERROR(IF(OR(J1307=0,K1307=""),"",IF(E1307="Positivo",MIN(MAX(K1307/J1307,0),1.3),MIN(MAX(J1307/K1307,0),1.3))),"") </f>
        <v/>
      </c>
      <c r="M1307" s="39">
        <f>IFERROR(IF(OR(J1307=0,K1307=""),"",IF(E1307="Positivo",MAX(K1307/J1307,0),MAX(J1307/K1307,0))),"") </f>
        <v/>
      </c>
      <c r="P1307" t="n">
        <v>0</v>
      </c>
      <c r="Q1307" t="n">
        <v>0</v>
      </c>
      <c r="R1307" t="inlineStr">
        <is>
          <t>413-2024-12-31</t>
        </is>
      </c>
    </row>
    <row r="1308">
      <c r="A1308" t="n">
        <v>413</v>
      </c>
      <c r="B1308" t="inlineStr">
        <is>
          <t>Participación del Poli como sede o patrocinador</t>
        </is>
      </c>
      <c r="C1308" t="inlineStr">
        <is>
          <t>Comunicaciones Externas</t>
        </is>
      </c>
      <c r="D1308" t="inlineStr">
        <is>
          <t>Anual</t>
        </is>
      </c>
      <c r="E1308" t="inlineStr">
        <is>
          <t>Positivo</t>
        </is>
      </c>
      <c r="F1308" s="111" t="n">
        <v>46022</v>
      </c>
      <c r="G1308" t="n">
        <v>2025</v>
      </c>
      <c r="H1308" t="inlineStr">
        <is>
          <t>Diciembre</t>
        </is>
      </c>
      <c r="I1308" t="inlineStr">
        <is>
          <t>2025-2</t>
        </is>
      </c>
      <c r="J1308" t="n">
        <v>100</v>
      </c>
      <c r="K1308" t="n">
        <v>100</v>
      </c>
      <c r="L1308" s="39">
        <f>IFERROR(IF(OR(J1308=0,K1308=""),"",IF(E1308="Positivo",MIN(MAX(K1308/J1308,0),1.3),MIN(MAX(J1308/K1308,0),1.3))),"") </f>
        <v/>
      </c>
      <c r="M1308" s="39">
        <f>IFERROR(IF(OR(J1308=0,K1308=""),"",IF(E1308="Positivo",MAX(K1308/J1308,0),MAX(J1308/K1308,0))),"") </f>
        <v/>
      </c>
      <c r="N1308" t="inlineStr">
        <is>
          <t>Linea Base</t>
        </is>
      </c>
      <c r="O1308" t="inlineStr">
        <is>
          <t>ENT</t>
        </is>
      </c>
      <c r="P1308" t="n">
        <v>0</v>
      </c>
      <c r="Q1308" t="n">
        <v>0</v>
      </c>
      <c r="R1308" t="inlineStr">
        <is>
          <t>413-2025-12-31</t>
        </is>
      </c>
    </row>
    <row r="1309">
      <c r="A1309" t="n">
        <v>414</v>
      </c>
      <c r="B1309" t="inlineStr">
        <is>
          <t>Cumplimiento Plan Anual Rectoría</t>
        </is>
      </c>
      <c r="C1309" t="inlineStr">
        <is>
          <t>Planeación Estratégica</t>
        </is>
      </c>
      <c r="D1309" t="inlineStr">
        <is>
          <t>Trimestral</t>
        </is>
      </c>
      <c r="E1309" t="inlineStr">
        <is>
          <t>Positivo</t>
        </is>
      </c>
      <c r="F1309" s="111" t="n">
        <v>45016</v>
      </c>
      <c r="G1309" t="n">
        <v>2023</v>
      </c>
      <c r="H1309" t="inlineStr">
        <is>
          <t>Marzo</t>
        </is>
      </c>
      <c r="I1309" t="inlineStr">
        <is>
          <t>2023-1</t>
        </is>
      </c>
      <c r="J1309" t="n">
        <v>100</v>
      </c>
      <c r="K1309" t="n">
        <v>0</v>
      </c>
      <c r="L1309" s="39">
        <f>IFERROR(IF(OR(J1309=0,K1309=""),"",IF(E1309="Positivo",MIN(MAX(K1309/J1309,0),1.0),MIN(MAX(J1309/K1309,0),1.0))),"") </f>
        <v/>
      </c>
      <c r="M1309" s="39">
        <f>IFERROR(IF(OR(J1309=0,K1309=""),"",IF(E1309="Positivo",MAX(K1309/J1309,0),MAX(J1309/K1309,0))),"") </f>
        <v/>
      </c>
      <c r="P1309" t="n">
        <v>0</v>
      </c>
      <c r="Q1309" t="n">
        <v>0</v>
      </c>
      <c r="R1309" t="inlineStr">
        <is>
          <t>414-2023-03-31</t>
        </is>
      </c>
    </row>
    <row r="1310">
      <c r="A1310" t="n">
        <v>414</v>
      </c>
      <c r="B1310" t="inlineStr">
        <is>
          <t>Cumplimiento Plan Anual Rectoría</t>
        </is>
      </c>
      <c r="C1310" t="inlineStr">
        <is>
          <t>Planeación Estratégica</t>
        </is>
      </c>
      <c r="D1310" t="inlineStr">
        <is>
          <t>Trimestral</t>
        </is>
      </c>
      <c r="E1310" t="inlineStr">
        <is>
          <t>Positivo</t>
        </is>
      </c>
      <c r="F1310" s="111" t="n">
        <v>45107</v>
      </c>
      <c r="G1310" t="n">
        <v>2023</v>
      </c>
      <c r="H1310" t="inlineStr">
        <is>
          <t>Junio</t>
        </is>
      </c>
      <c r="I1310" t="inlineStr">
        <is>
          <t>2023-1</t>
        </is>
      </c>
      <c r="J1310" t="n">
        <v>100</v>
      </c>
      <c r="K1310" t="n">
        <v>110.01</v>
      </c>
      <c r="L1310" s="39">
        <f>IFERROR(IF(OR(J1310=0,K1310=""),"",IF(E1310="Positivo",MIN(MAX(K1310/J1310,0),1.0),MIN(MAX(J1310/K1310,0),1.0))),"") </f>
        <v/>
      </c>
      <c r="M1310" s="39">
        <f>IFERROR(IF(OR(J1310=0,K1310=""),"",IF(E1310="Positivo",MAX(K1310/J1310,0),MAX(J1310/K1310,0))),"") </f>
        <v/>
      </c>
      <c r="P1310" t="n">
        <v>0</v>
      </c>
      <c r="Q1310" t="n">
        <v>0</v>
      </c>
      <c r="R1310" t="inlineStr">
        <is>
          <t>414-2023-06-30</t>
        </is>
      </c>
    </row>
    <row r="1311">
      <c r="A1311" t="n">
        <v>414</v>
      </c>
      <c r="B1311" t="inlineStr">
        <is>
          <t>Cumplimiento Plan Anual Rectoría</t>
        </is>
      </c>
      <c r="C1311" t="inlineStr">
        <is>
          <t>Planeación Estratégica</t>
        </is>
      </c>
      <c r="D1311" t="inlineStr">
        <is>
          <t>Trimestral</t>
        </is>
      </c>
      <c r="E1311" t="inlineStr">
        <is>
          <t>Positivo</t>
        </is>
      </c>
      <c r="F1311" s="111" t="n">
        <v>45199</v>
      </c>
      <c r="G1311" t="n">
        <v>2023</v>
      </c>
      <c r="H1311" t="inlineStr">
        <is>
          <t>Septiembre</t>
        </is>
      </c>
      <c r="I1311" t="inlineStr">
        <is>
          <t>2023-2</t>
        </is>
      </c>
      <c r="J1311" t="n">
        <v>100</v>
      </c>
      <c r="K1311" t="n">
        <v>93.54000000000001</v>
      </c>
      <c r="L1311" s="39">
        <f>IFERROR(IF(OR(J1311=0,K1311=""),"",IF(E1311="Positivo",MIN(MAX(K1311/J1311,0),1.0),MIN(MAX(J1311/K1311,0),1.0))),"") </f>
        <v/>
      </c>
      <c r="M1311" s="39">
        <f>IFERROR(IF(OR(J1311=0,K1311=""),"",IF(E1311="Positivo",MAX(K1311/J1311,0),MAX(J1311/K1311,0))),"") </f>
        <v/>
      </c>
      <c r="P1311" t="n">
        <v>0</v>
      </c>
      <c r="Q1311" t="n">
        <v>0</v>
      </c>
      <c r="R1311" t="inlineStr">
        <is>
          <t>414-2023-09-30</t>
        </is>
      </c>
    </row>
    <row r="1312">
      <c r="A1312" t="n">
        <v>414</v>
      </c>
      <c r="B1312" t="inlineStr">
        <is>
          <t>Cumplimiento Plan Anual Rectoría</t>
        </is>
      </c>
      <c r="C1312" t="inlineStr">
        <is>
          <t>Planeación Estratégica</t>
        </is>
      </c>
      <c r="D1312" t="inlineStr">
        <is>
          <t>Trimestral</t>
        </is>
      </c>
      <c r="E1312" t="inlineStr">
        <is>
          <t>Positivo</t>
        </is>
      </c>
      <c r="F1312" s="111" t="n">
        <v>45291</v>
      </c>
      <c r="G1312" t="n">
        <v>2023</v>
      </c>
      <c r="H1312" t="inlineStr">
        <is>
          <t>Diciembre</t>
        </is>
      </c>
      <c r="I1312" t="inlineStr">
        <is>
          <t>2023-2</t>
        </is>
      </c>
      <c r="J1312" t="n">
        <v>100</v>
      </c>
      <c r="K1312" t="n">
        <v>96.28</v>
      </c>
      <c r="L1312" s="39">
        <f>IFERROR(IF(OR(J1312=0,K1312=""),"",IF(E1312="Positivo",MIN(MAX(K1312/J1312,0),1.0),MIN(MAX(J1312/K1312,0),1.0))),"") </f>
        <v/>
      </c>
      <c r="M1312" s="39">
        <f>IFERROR(IF(OR(J1312=0,K1312=""),"",IF(E1312="Positivo",MAX(K1312/J1312,0),MAX(J1312/K1312,0))),"") </f>
        <v/>
      </c>
      <c r="P1312" t="n">
        <v>0</v>
      </c>
      <c r="Q1312" t="n">
        <v>0</v>
      </c>
      <c r="R1312" t="inlineStr">
        <is>
          <t>414-2023-12-31</t>
        </is>
      </c>
    </row>
    <row r="1313">
      <c r="A1313" t="n">
        <v>414</v>
      </c>
      <c r="B1313" t="inlineStr">
        <is>
          <t>Cumplimiento Plan Anual Rectoría</t>
        </is>
      </c>
      <c r="C1313" t="inlineStr">
        <is>
          <t>Planeación Estratégica</t>
        </is>
      </c>
      <c r="D1313" t="inlineStr">
        <is>
          <t>Trimestral</t>
        </is>
      </c>
      <c r="E1313" t="inlineStr">
        <is>
          <t>Positivo</t>
        </is>
      </c>
      <c r="F1313" s="111" t="n">
        <v>45473</v>
      </c>
      <c r="G1313" t="n">
        <v>2024</v>
      </c>
      <c r="H1313" t="inlineStr">
        <is>
          <t>Junio</t>
        </is>
      </c>
      <c r="I1313" t="inlineStr">
        <is>
          <t>2024-1</t>
        </is>
      </c>
      <c r="J1313" t="n">
        <v>100</v>
      </c>
      <c r="K1313" t="n">
        <v>100.06</v>
      </c>
      <c r="L1313" s="39">
        <f>IFERROR(IF(OR(J1313=0,K1313=""),"",IF(E1313="Positivo",MIN(MAX(K1313/J1313,0),1.0),MIN(MAX(J1313/K1313,0),1.0))),"") </f>
        <v/>
      </c>
      <c r="M1313" s="39">
        <f>IFERROR(IF(OR(J1313=0,K1313=""),"",IF(E1313="Positivo",MAX(K1313/J1313,0),MAX(J1313/K1313,0))),"") </f>
        <v/>
      </c>
      <c r="P1313" t="n">
        <v>0</v>
      </c>
      <c r="Q1313" t="n">
        <v>0</v>
      </c>
      <c r="R1313" t="inlineStr">
        <is>
          <t>414-2024-06-30</t>
        </is>
      </c>
    </row>
    <row r="1314">
      <c r="A1314" t="n">
        <v>414</v>
      </c>
      <c r="B1314" t="inlineStr">
        <is>
          <t>Cumplimiento Plan Anual Rectoría</t>
        </is>
      </c>
      <c r="C1314" t="inlineStr">
        <is>
          <t>Planeación Estratégica</t>
        </is>
      </c>
      <c r="D1314" t="inlineStr">
        <is>
          <t>Trimestral</t>
        </is>
      </c>
      <c r="E1314" t="inlineStr">
        <is>
          <t>Positivo</t>
        </is>
      </c>
      <c r="F1314" s="111" t="n">
        <v>45657</v>
      </c>
      <c r="G1314" t="n">
        <v>2024</v>
      </c>
      <c r="H1314" t="inlineStr">
        <is>
          <t>Diciembre</t>
        </is>
      </c>
      <c r="I1314" t="inlineStr">
        <is>
          <t>2024-2</t>
        </is>
      </c>
      <c r="J1314" t="n">
        <v>100</v>
      </c>
      <c r="K1314" t="n">
        <v>98.78</v>
      </c>
      <c r="L1314" s="39">
        <f>IFERROR(IF(OR(J1314=0,K1314=""),"",IF(E1314="Positivo",MIN(MAX(K1314/J1314,0),1.0),MIN(MAX(J1314/K1314,0),1.0))),"") </f>
        <v/>
      </c>
      <c r="M1314" s="39">
        <f>IFERROR(IF(OR(J1314=0,K1314=""),"",IF(E1314="Positivo",MAX(K1314/J1314,0),MAX(J1314/K1314,0))),"") </f>
        <v/>
      </c>
      <c r="P1314" t="n">
        <v>0</v>
      </c>
      <c r="Q1314" t="n">
        <v>0</v>
      </c>
      <c r="R1314" t="inlineStr">
        <is>
          <t>414-2024-12-31</t>
        </is>
      </c>
    </row>
    <row r="1315">
      <c r="A1315" t="n">
        <v>414</v>
      </c>
      <c r="B1315" t="inlineStr">
        <is>
          <t>Cumplimiento Plan Anual Rectoría</t>
        </is>
      </c>
      <c r="C1315" t="inlineStr">
        <is>
          <t>Planeación Estratégica</t>
        </is>
      </c>
      <c r="D1315" t="inlineStr">
        <is>
          <t>Semestral</t>
        </is>
      </c>
      <c r="E1315" t="inlineStr">
        <is>
          <t>Positivo</t>
        </is>
      </c>
      <c r="F1315" s="111" t="n">
        <v>45838</v>
      </c>
      <c r="G1315" t="n">
        <v>2025</v>
      </c>
      <c r="H1315" t="inlineStr">
        <is>
          <t>Junio</t>
        </is>
      </c>
      <c r="I1315" t="inlineStr">
        <is>
          <t>2025-1</t>
        </is>
      </c>
      <c r="J1315" t="n">
        <v>100</v>
      </c>
      <c r="K1315" t="n">
        <v>108.55</v>
      </c>
      <c r="L1315" s="39">
        <f>IFERROR(IF(OR(J1315=0,K1315=""),"",IF(E1315="Positivo",MIN(MAX(K1315/J1315,0),1.0),MIN(MAX(J1315/K1315,0),1.0))),"") </f>
        <v/>
      </c>
      <c r="M1315" s="39">
        <f>IFERROR(IF(OR(J1315=0,K1315=""),"",IF(E1315="Positivo",MAX(K1315/J1315,0),MAX(J1315/K1315,0))),"") </f>
        <v/>
      </c>
      <c r="N1315" t="inlineStr">
        <is>
          <t>%</t>
        </is>
      </c>
      <c r="O1315" t="inlineStr">
        <is>
          <t>%</t>
        </is>
      </c>
      <c r="P1315" t="n">
        <v>0</v>
      </c>
      <c r="Q1315" t="n">
        <v>0</v>
      </c>
      <c r="R1315" t="inlineStr">
        <is>
          <t>414-2025-06-30</t>
        </is>
      </c>
    </row>
    <row r="1316">
      <c r="A1316" t="n">
        <v>414</v>
      </c>
      <c r="B1316" t="inlineStr">
        <is>
          <t>Cumplimiento Plan Anual Rectoría</t>
        </is>
      </c>
      <c r="C1316" t="inlineStr">
        <is>
          <t>Planeación Estratégica</t>
        </is>
      </c>
      <c r="D1316" t="inlineStr">
        <is>
          <t>Semestral</t>
        </is>
      </c>
      <c r="E1316" t="inlineStr">
        <is>
          <t>Positivo</t>
        </is>
      </c>
      <c r="F1316" s="111" t="n">
        <v>46022</v>
      </c>
      <c r="G1316" t="n">
        <v>2025</v>
      </c>
      <c r="H1316" t="inlineStr">
        <is>
          <t>Diciembre</t>
        </is>
      </c>
      <c r="I1316" t="inlineStr">
        <is>
          <t>2025-2</t>
        </is>
      </c>
      <c r="J1316" t="n">
        <v>100</v>
      </c>
      <c r="K1316" t="n">
        <v>98.87</v>
      </c>
      <c r="L1316" s="39">
        <f>IFERROR(IF(OR(J1316=0,K1316=""),"",IF(E1316="Positivo",MIN(MAX(K1316/J1316,0),1.0),MIN(MAX(J1316/K1316,0),1.0))),"") </f>
        <v/>
      </c>
      <c r="M1316" s="39">
        <f>IFERROR(IF(OR(J1316=0,K1316=""),"",IF(E1316="Positivo",MAX(K1316/J1316,0),MAX(J1316/K1316,0))),"") </f>
        <v/>
      </c>
      <c r="N1316" t="inlineStr">
        <is>
          <t>%</t>
        </is>
      </c>
      <c r="O1316" t="inlineStr">
        <is>
          <t>%</t>
        </is>
      </c>
      <c r="P1316" t="n">
        <v>0</v>
      </c>
      <c r="Q1316" t="n">
        <v>0</v>
      </c>
      <c r="R1316" t="inlineStr">
        <is>
          <t>414-2025-12-31</t>
        </is>
      </c>
    </row>
    <row r="1317">
      <c r="A1317" t="n">
        <v>415</v>
      </c>
      <c r="B1317" t="inlineStr">
        <is>
          <t>Cumplimiento Plan Anual Vicerrectoría del estudiante</t>
        </is>
      </c>
      <c r="C1317" t="inlineStr">
        <is>
          <t>Planeación Estratégica</t>
        </is>
      </c>
      <c r="D1317" t="inlineStr">
        <is>
          <t>Trimestral</t>
        </is>
      </c>
      <c r="E1317" t="inlineStr">
        <is>
          <t>Positivo</t>
        </is>
      </c>
      <c r="F1317" s="111" t="n">
        <v>45016</v>
      </c>
      <c r="G1317" t="n">
        <v>2023</v>
      </c>
      <c r="H1317" t="inlineStr">
        <is>
          <t>Marzo</t>
        </is>
      </c>
      <c r="I1317" t="inlineStr">
        <is>
          <t>2023-1</t>
        </is>
      </c>
      <c r="J1317" t="n">
        <v>100</v>
      </c>
      <c r="K1317" t="n">
        <v>0</v>
      </c>
      <c r="L1317" s="39">
        <f>IFERROR(IF(OR(J1317=0,K1317=""),"",IF(E1317="Positivo",MIN(MAX(K1317/J1317,0),1.0),MIN(MAX(J1317/K1317,0),1.0))),"") </f>
        <v/>
      </c>
      <c r="M1317" s="39">
        <f>IFERROR(IF(OR(J1317=0,K1317=""),"",IF(E1317="Positivo",MAX(K1317/J1317,0),MAX(J1317/K1317,0))),"") </f>
        <v/>
      </c>
      <c r="P1317" t="n">
        <v>0</v>
      </c>
      <c r="Q1317" t="n">
        <v>0</v>
      </c>
      <c r="R1317" t="inlineStr">
        <is>
          <t>415-2023-03-31</t>
        </is>
      </c>
    </row>
    <row r="1318">
      <c r="A1318" t="n">
        <v>415</v>
      </c>
      <c r="B1318" t="inlineStr">
        <is>
          <t>Cumplimiento Plan Anual Vicerrectoría del estudiante</t>
        </is>
      </c>
      <c r="C1318" t="inlineStr">
        <is>
          <t>Planeación Estratégica</t>
        </is>
      </c>
      <c r="D1318" t="inlineStr">
        <is>
          <t>Trimestral</t>
        </is>
      </c>
      <c r="E1318" t="inlineStr">
        <is>
          <t>Positivo</t>
        </is>
      </c>
      <c r="F1318" s="111" t="n">
        <v>45107</v>
      </c>
      <c r="G1318" t="n">
        <v>2023</v>
      </c>
      <c r="H1318" t="inlineStr">
        <is>
          <t>Junio</t>
        </is>
      </c>
      <c r="I1318" t="inlineStr">
        <is>
          <t>2023-1</t>
        </is>
      </c>
      <c r="J1318" t="n">
        <v>100</v>
      </c>
      <c r="K1318" t="n">
        <v>94.04000000000001</v>
      </c>
      <c r="L1318" s="39">
        <f>IFERROR(IF(OR(J1318=0,K1318=""),"",IF(E1318="Positivo",MIN(MAX(K1318/J1318,0),1.0),MIN(MAX(J1318/K1318,0),1.0))),"") </f>
        <v/>
      </c>
      <c r="M1318" s="39">
        <f>IFERROR(IF(OR(J1318=0,K1318=""),"",IF(E1318="Positivo",MAX(K1318/J1318,0),MAX(J1318/K1318,0))),"") </f>
        <v/>
      </c>
      <c r="P1318" t="n">
        <v>0</v>
      </c>
      <c r="Q1318" t="n">
        <v>0</v>
      </c>
      <c r="R1318" t="inlineStr">
        <is>
          <t>415-2023-06-30</t>
        </is>
      </c>
    </row>
    <row r="1319">
      <c r="A1319" t="n">
        <v>415</v>
      </c>
      <c r="B1319" t="inlineStr">
        <is>
          <t>Cumplimiento Plan Anual Vicerrectoría del estudiante</t>
        </is>
      </c>
      <c r="C1319" t="inlineStr">
        <is>
          <t>Planeación Estratégica</t>
        </is>
      </c>
      <c r="D1319" t="inlineStr">
        <is>
          <t>Trimestral</t>
        </is>
      </c>
      <c r="E1319" t="inlineStr">
        <is>
          <t>Positivo</t>
        </is>
      </c>
      <c r="F1319" s="111" t="n">
        <v>45199</v>
      </c>
      <c r="G1319" t="n">
        <v>2023</v>
      </c>
      <c r="H1319" t="inlineStr">
        <is>
          <t>Septiembre</t>
        </is>
      </c>
      <c r="I1319" t="inlineStr">
        <is>
          <t>2023-2</t>
        </is>
      </c>
      <c r="J1319" t="n">
        <v>100</v>
      </c>
      <c r="K1319" t="n">
        <v>93.94</v>
      </c>
      <c r="L1319" s="39">
        <f>IFERROR(IF(OR(J1319=0,K1319=""),"",IF(E1319="Positivo",MIN(MAX(K1319/J1319,0),1.0),MIN(MAX(J1319/K1319,0),1.0))),"") </f>
        <v/>
      </c>
      <c r="M1319" s="39">
        <f>IFERROR(IF(OR(J1319=0,K1319=""),"",IF(E1319="Positivo",MAX(K1319/J1319,0),MAX(J1319/K1319,0))),"") </f>
        <v/>
      </c>
      <c r="P1319" t="n">
        <v>0</v>
      </c>
      <c r="Q1319" t="n">
        <v>0</v>
      </c>
      <c r="R1319" t="inlineStr">
        <is>
          <t>415-2023-09-30</t>
        </is>
      </c>
    </row>
    <row r="1320">
      <c r="A1320" t="n">
        <v>415</v>
      </c>
      <c r="B1320" t="inlineStr">
        <is>
          <t>Cumplimiento Plan Anual Vicerrectoría del estudiante</t>
        </is>
      </c>
      <c r="C1320" t="inlineStr">
        <is>
          <t>Planeación Estratégica</t>
        </is>
      </c>
      <c r="D1320" t="inlineStr">
        <is>
          <t>Trimestral</t>
        </is>
      </c>
      <c r="E1320" t="inlineStr">
        <is>
          <t>Positivo</t>
        </is>
      </c>
      <c r="F1320" s="111" t="n">
        <v>45291</v>
      </c>
      <c r="G1320" t="n">
        <v>2023</v>
      </c>
      <c r="H1320" t="inlineStr">
        <is>
          <t>Diciembre</t>
        </is>
      </c>
      <c r="I1320" t="inlineStr">
        <is>
          <t>2023-2</t>
        </is>
      </c>
      <c r="J1320" t="n">
        <v>100</v>
      </c>
      <c r="K1320" t="n">
        <v>96</v>
      </c>
      <c r="L1320" s="39">
        <f>IFERROR(IF(OR(J1320=0,K1320=""),"",IF(E1320="Positivo",MIN(MAX(K1320/J1320,0),1.0),MIN(MAX(J1320/K1320,0),1.0))),"") </f>
        <v/>
      </c>
      <c r="M1320" s="39">
        <f>IFERROR(IF(OR(J1320=0,K1320=""),"",IF(E1320="Positivo",MAX(K1320/J1320,0),MAX(J1320/K1320,0))),"") </f>
        <v/>
      </c>
      <c r="P1320" t="n">
        <v>0</v>
      </c>
      <c r="Q1320" t="n">
        <v>0</v>
      </c>
      <c r="R1320" t="inlineStr">
        <is>
          <t>415-2023-12-31</t>
        </is>
      </c>
    </row>
    <row r="1321">
      <c r="A1321" t="n">
        <v>415</v>
      </c>
      <c r="B1321" t="inlineStr">
        <is>
          <t>Cumplimiento Plan Anual Vicerrectoría del estudiante</t>
        </is>
      </c>
      <c r="C1321" t="inlineStr">
        <is>
          <t>Planeación Estratégica</t>
        </is>
      </c>
      <c r="D1321" t="inlineStr">
        <is>
          <t>Trimestral</t>
        </is>
      </c>
      <c r="E1321" t="inlineStr">
        <is>
          <t>Positivo</t>
        </is>
      </c>
      <c r="F1321" s="111" t="n">
        <v>45473</v>
      </c>
      <c r="G1321" t="n">
        <v>2024</v>
      </c>
      <c r="H1321" t="inlineStr">
        <is>
          <t>Junio</t>
        </is>
      </c>
      <c r="I1321" t="inlineStr">
        <is>
          <t>2024-1</t>
        </is>
      </c>
      <c r="J1321" t="n">
        <v>100</v>
      </c>
      <c r="K1321" t="n">
        <v>93.04000000000001</v>
      </c>
      <c r="L1321" s="39">
        <f>IFERROR(IF(OR(J1321=0,K1321=""),"",IF(E1321="Positivo",MIN(MAX(K1321/J1321,0),1.0),MIN(MAX(J1321/K1321,0),1.0))),"") </f>
        <v/>
      </c>
      <c r="M1321" s="39">
        <f>IFERROR(IF(OR(J1321=0,K1321=""),"",IF(E1321="Positivo",MAX(K1321/J1321,0),MAX(J1321/K1321,0))),"") </f>
        <v/>
      </c>
      <c r="P1321" t="n">
        <v>0</v>
      </c>
      <c r="Q1321" t="n">
        <v>0</v>
      </c>
      <c r="R1321" t="inlineStr">
        <is>
          <t>415-2024-06-30</t>
        </is>
      </c>
    </row>
    <row r="1322">
      <c r="A1322" t="n">
        <v>415</v>
      </c>
      <c r="B1322" t="inlineStr">
        <is>
          <t>Cumplimiento Plan Anual Vicerrectoría del estudiante</t>
        </is>
      </c>
      <c r="C1322" t="inlineStr">
        <is>
          <t>Planeación Estratégica</t>
        </is>
      </c>
      <c r="D1322" t="inlineStr">
        <is>
          <t>Trimestral</t>
        </is>
      </c>
      <c r="E1322" t="inlineStr">
        <is>
          <t>Positivo</t>
        </is>
      </c>
      <c r="F1322" s="111" t="n">
        <v>45657</v>
      </c>
      <c r="G1322" t="n">
        <v>2024</v>
      </c>
      <c r="H1322" t="inlineStr">
        <is>
          <t>Diciembre</t>
        </is>
      </c>
      <c r="I1322" t="inlineStr">
        <is>
          <t>2024-2</t>
        </is>
      </c>
      <c r="J1322" t="n">
        <v>100</v>
      </c>
      <c r="K1322" t="n">
        <v>98.36</v>
      </c>
      <c r="L1322" s="39">
        <f>IFERROR(IF(OR(J1322=0,K1322=""),"",IF(E1322="Positivo",MIN(MAX(K1322/J1322,0),1.0),MIN(MAX(J1322/K1322,0),1.0))),"") </f>
        <v/>
      </c>
      <c r="M1322" s="39">
        <f>IFERROR(IF(OR(J1322=0,K1322=""),"",IF(E1322="Positivo",MAX(K1322/J1322,0),MAX(J1322/K1322,0))),"") </f>
        <v/>
      </c>
      <c r="P1322" t="n">
        <v>0</v>
      </c>
      <c r="Q1322" t="n">
        <v>0</v>
      </c>
      <c r="R1322" t="inlineStr">
        <is>
          <t>415-2024-12-31</t>
        </is>
      </c>
    </row>
    <row r="1323">
      <c r="A1323" t="n">
        <v>415</v>
      </c>
      <c r="B1323" t="inlineStr">
        <is>
          <t>Cumplimiento Plan Anual Vicerrectoría del estudiante</t>
        </is>
      </c>
      <c r="C1323" t="inlineStr">
        <is>
          <t>Planeación Estratégica</t>
        </is>
      </c>
      <c r="D1323" t="inlineStr">
        <is>
          <t>Semestral</t>
        </is>
      </c>
      <c r="E1323" t="inlineStr">
        <is>
          <t>Positivo</t>
        </is>
      </c>
      <c r="F1323" s="111" t="n">
        <v>45838</v>
      </c>
      <c r="G1323" t="n">
        <v>2025</v>
      </c>
      <c r="H1323" t="inlineStr">
        <is>
          <t>Junio</t>
        </is>
      </c>
      <c r="I1323" t="inlineStr">
        <is>
          <t>2025-1</t>
        </is>
      </c>
      <c r="J1323" t="n">
        <v>100</v>
      </c>
      <c r="K1323" t="n">
        <v>96.44</v>
      </c>
      <c r="L1323" s="39">
        <f>IFERROR(IF(OR(J1323=0,K1323=""),"",IF(E1323="Positivo",MIN(MAX(K1323/J1323,0),1.0),MIN(MAX(J1323/K1323,0),1.0))),"") </f>
        <v/>
      </c>
      <c r="M1323" s="39">
        <f>IFERROR(IF(OR(J1323=0,K1323=""),"",IF(E1323="Positivo",MAX(K1323/J1323,0),MAX(J1323/K1323,0))),"") </f>
        <v/>
      </c>
      <c r="N1323" t="inlineStr">
        <is>
          <t>%</t>
        </is>
      </c>
      <c r="O1323" t="inlineStr">
        <is>
          <t>%</t>
        </is>
      </c>
      <c r="P1323" t="n">
        <v>0</v>
      </c>
      <c r="Q1323" t="n">
        <v>0</v>
      </c>
      <c r="R1323" t="inlineStr">
        <is>
          <t>415-2025-06-30</t>
        </is>
      </c>
    </row>
    <row r="1324">
      <c r="A1324" t="n">
        <v>415</v>
      </c>
      <c r="B1324" t="inlineStr">
        <is>
          <t>Cumplimiento Plan Anual Vicerrectoría del estudiante</t>
        </is>
      </c>
      <c r="C1324" t="inlineStr">
        <is>
          <t>Planeación Estratégica</t>
        </is>
      </c>
      <c r="D1324" t="inlineStr">
        <is>
          <t>Semestral</t>
        </is>
      </c>
      <c r="E1324" t="inlineStr">
        <is>
          <t>Positivo</t>
        </is>
      </c>
      <c r="F1324" s="111" t="n">
        <v>46022</v>
      </c>
      <c r="G1324" t="n">
        <v>2025</v>
      </c>
      <c r="H1324" t="inlineStr">
        <is>
          <t>Diciembre</t>
        </is>
      </c>
      <c r="I1324" t="inlineStr">
        <is>
          <t>2025-2</t>
        </is>
      </c>
      <c r="J1324" t="n">
        <v>100</v>
      </c>
      <c r="K1324" t="n">
        <v>99.3</v>
      </c>
      <c r="L1324" s="39">
        <f>IFERROR(IF(OR(J1324=0,K1324=""),"",IF(E1324="Positivo",MIN(MAX(K1324/J1324,0),1.0),MIN(MAX(J1324/K1324,0),1.0))),"") </f>
        <v/>
      </c>
      <c r="M1324" s="39">
        <f>IFERROR(IF(OR(J1324=0,K1324=""),"",IF(E1324="Positivo",MAX(K1324/J1324,0),MAX(J1324/K1324,0))),"") </f>
        <v/>
      </c>
      <c r="N1324" t="inlineStr">
        <is>
          <t>%</t>
        </is>
      </c>
      <c r="O1324" t="inlineStr">
        <is>
          <t>%</t>
        </is>
      </c>
      <c r="P1324" t="n">
        <v>0</v>
      </c>
      <c r="Q1324" t="n">
        <v>0</v>
      </c>
      <c r="R1324" t="inlineStr">
        <is>
          <t>415-2025-12-31</t>
        </is>
      </c>
    </row>
    <row r="1325">
      <c r="A1325" t="n">
        <v>416</v>
      </c>
      <c r="B1325" t="inlineStr">
        <is>
          <t>Cumplimiento Plan Anual Vicerrectoría de crecimiento</t>
        </is>
      </c>
      <c r="C1325" t="inlineStr">
        <is>
          <t>Planeación Estratégica</t>
        </is>
      </c>
      <c r="D1325" t="inlineStr">
        <is>
          <t>Trimestral</t>
        </is>
      </c>
      <c r="E1325" t="inlineStr">
        <is>
          <t>Positivo</t>
        </is>
      </c>
      <c r="F1325" s="111" t="n">
        <v>45016</v>
      </c>
      <c r="G1325" t="n">
        <v>2023</v>
      </c>
      <c r="H1325" t="inlineStr">
        <is>
          <t>Marzo</t>
        </is>
      </c>
      <c r="I1325" t="inlineStr">
        <is>
          <t>2023-1</t>
        </is>
      </c>
      <c r="J1325" t="n">
        <v>100</v>
      </c>
      <c r="K1325" t="n">
        <v>0</v>
      </c>
      <c r="L1325" s="39">
        <f>IFERROR(IF(OR(J1325=0,K1325=""),"",IF(E1325="Positivo",MIN(MAX(K1325/J1325,0),1.0),MIN(MAX(J1325/K1325,0),1.0))),"") </f>
        <v/>
      </c>
      <c r="M1325" s="39">
        <f>IFERROR(IF(OR(J1325=0,K1325=""),"",IF(E1325="Positivo",MAX(K1325/J1325,0),MAX(J1325/K1325,0))),"") </f>
        <v/>
      </c>
      <c r="P1325" t="n">
        <v>0</v>
      </c>
      <c r="Q1325" t="n">
        <v>0</v>
      </c>
      <c r="R1325" t="inlineStr">
        <is>
          <t>416-2023-03-31</t>
        </is>
      </c>
    </row>
    <row r="1326">
      <c r="A1326" t="n">
        <v>416</v>
      </c>
      <c r="B1326" t="inlineStr">
        <is>
          <t>Cumplimiento Plan Anual Vicerrectoría de crecimiento</t>
        </is>
      </c>
      <c r="C1326" t="inlineStr">
        <is>
          <t>Planeación Estratégica</t>
        </is>
      </c>
      <c r="D1326" t="inlineStr">
        <is>
          <t>Trimestral</t>
        </is>
      </c>
      <c r="E1326" t="inlineStr">
        <is>
          <t>Positivo</t>
        </is>
      </c>
      <c r="F1326" s="111" t="n">
        <v>45107</v>
      </c>
      <c r="G1326" t="n">
        <v>2023</v>
      </c>
      <c r="H1326" t="inlineStr">
        <is>
          <t>Junio</t>
        </is>
      </c>
      <c r="I1326" t="inlineStr">
        <is>
          <t>2023-1</t>
        </is>
      </c>
      <c r="J1326" t="n">
        <v>100</v>
      </c>
      <c r="K1326" t="n">
        <v>95.73999999999999</v>
      </c>
      <c r="L1326" s="39">
        <f>IFERROR(IF(OR(J1326=0,K1326=""),"",IF(E1326="Positivo",MIN(MAX(K1326/J1326,0),1.0),MIN(MAX(J1326/K1326,0),1.0))),"") </f>
        <v/>
      </c>
      <c r="M1326" s="39">
        <f>IFERROR(IF(OR(J1326=0,K1326=""),"",IF(E1326="Positivo",MAX(K1326/J1326,0),MAX(J1326/K1326,0))),"") </f>
        <v/>
      </c>
      <c r="P1326" t="n">
        <v>0</v>
      </c>
      <c r="Q1326" t="n">
        <v>0</v>
      </c>
      <c r="R1326" t="inlineStr">
        <is>
          <t>416-2023-06-30</t>
        </is>
      </c>
    </row>
    <row r="1327">
      <c r="A1327" t="n">
        <v>416</v>
      </c>
      <c r="B1327" t="inlineStr">
        <is>
          <t>Cumplimiento Plan Anual Vicerrectoría de crecimiento</t>
        </is>
      </c>
      <c r="C1327" t="inlineStr">
        <is>
          <t>Planeación Estratégica</t>
        </is>
      </c>
      <c r="D1327" t="inlineStr">
        <is>
          <t>Trimestral</t>
        </is>
      </c>
      <c r="E1327" t="inlineStr">
        <is>
          <t>Positivo</t>
        </is>
      </c>
      <c r="F1327" s="111" t="n">
        <v>45199</v>
      </c>
      <c r="G1327" t="n">
        <v>2023</v>
      </c>
      <c r="H1327" t="inlineStr">
        <is>
          <t>Septiembre</t>
        </is>
      </c>
      <c r="I1327" t="inlineStr">
        <is>
          <t>2023-2</t>
        </is>
      </c>
      <c r="J1327" t="n">
        <v>100</v>
      </c>
      <c r="K1327" t="n">
        <v>87.94</v>
      </c>
      <c r="L1327" s="39">
        <f>IFERROR(IF(OR(J1327=0,K1327=""),"",IF(E1327="Positivo",MIN(MAX(K1327/J1327,0),1.0),MIN(MAX(J1327/K1327,0),1.0))),"") </f>
        <v/>
      </c>
      <c r="M1327" s="39">
        <f>IFERROR(IF(OR(J1327=0,K1327=""),"",IF(E1327="Positivo",MAX(K1327/J1327,0),MAX(J1327/K1327,0))),"") </f>
        <v/>
      </c>
      <c r="P1327" t="n">
        <v>0</v>
      </c>
      <c r="Q1327" t="n">
        <v>0</v>
      </c>
      <c r="R1327" t="inlineStr">
        <is>
          <t>416-2023-09-30</t>
        </is>
      </c>
    </row>
    <row r="1328">
      <c r="A1328" t="n">
        <v>416</v>
      </c>
      <c r="B1328" t="inlineStr">
        <is>
          <t>Cumplimiento Plan Anual Vicerrectoría de crecimiento</t>
        </is>
      </c>
      <c r="C1328" t="inlineStr">
        <is>
          <t>Planeación Estratégica</t>
        </is>
      </c>
      <c r="D1328" t="inlineStr">
        <is>
          <t>Trimestral</t>
        </is>
      </c>
      <c r="E1328" t="inlineStr">
        <is>
          <t>Positivo</t>
        </is>
      </c>
      <c r="F1328" s="111" t="n">
        <v>45291</v>
      </c>
      <c r="G1328" t="n">
        <v>2023</v>
      </c>
      <c r="H1328" t="inlineStr">
        <is>
          <t>Diciembre</t>
        </is>
      </c>
      <c r="I1328" t="inlineStr">
        <is>
          <t>2023-2</t>
        </is>
      </c>
      <c r="J1328" t="n">
        <v>100</v>
      </c>
      <c r="K1328" t="n">
        <v>98</v>
      </c>
      <c r="L1328" s="39">
        <f>IFERROR(IF(OR(J1328=0,K1328=""),"",IF(E1328="Positivo",MIN(MAX(K1328/J1328,0),1.0),MIN(MAX(J1328/K1328,0),1.0))),"") </f>
        <v/>
      </c>
      <c r="M1328" s="39">
        <f>IFERROR(IF(OR(J1328=0,K1328=""),"",IF(E1328="Positivo",MAX(K1328/J1328,0),MAX(J1328/K1328,0))),"") </f>
        <v/>
      </c>
      <c r="P1328" t="n">
        <v>0</v>
      </c>
      <c r="Q1328" t="n">
        <v>0</v>
      </c>
      <c r="R1328" t="inlineStr">
        <is>
          <t>416-2023-12-31</t>
        </is>
      </c>
    </row>
    <row r="1329">
      <c r="A1329" t="n">
        <v>416</v>
      </c>
      <c r="B1329" t="inlineStr">
        <is>
          <t>Cumplimiento Plan Anual Vicerrectoría de crecimiento</t>
        </is>
      </c>
      <c r="C1329" t="inlineStr">
        <is>
          <t>Planeación Estratégica</t>
        </is>
      </c>
      <c r="D1329" t="inlineStr">
        <is>
          <t>Trimestral</t>
        </is>
      </c>
      <c r="E1329" t="inlineStr">
        <is>
          <t>Positivo</t>
        </is>
      </c>
      <c r="F1329" s="111" t="n">
        <v>45473</v>
      </c>
      <c r="G1329" t="n">
        <v>2024</v>
      </c>
      <c r="H1329" t="inlineStr">
        <is>
          <t>Junio</t>
        </is>
      </c>
      <c r="I1329" t="inlineStr">
        <is>
          <t>2024-1</t>
        </is>
      </c>
      <c r="J1329" t="n">
        <v>100</v>
      </c>
      <c r="K1329" t="n">
        <v>117.1</v>
      </c>
      <c r="L1329" s="39">
        <f>IFERROR(IF(OR(J1329=0,K1329=""),"",IF(E1329="Positivo",MIN(MAX(K1329/J1329,0),1.0),MIN(MAX(J1329/K1329,0),1.0))),"") </f>
        <v/>
      </c>
      <c r="M1329" s="39">
        <f>IFERROR(IF(OR(J1329=0,K1329=""),"",IF(E1329="Positivo",MAX(K1329/J1329,0),MAX(J1329/K1329,0))),"") </f>
        <v/>
      </c>
      <c r="P1329" t="n">
        <v>0</v>
      </c>
      <c r="Q1329" t="n">
        <v>0</v>
      </c>
      <c r="R1329" t="inlineStr">
        <is>
          <t>416-2024-06-30</t>
        </is>
      </c>
    </row>
    <row r="1330">
      <c r="A1330" t="n">
        <v>416</v>
      </c>
      <c r="B1330" t="inlineStr">
        <is>
          <t>Cumplimiento Plan Anual Vicerrectoría de crecimiento</t>
        </is>
      </c>
      <c r="C1330" t="inlineStr">
        <is>
          <t>Planeación Estratégica</t>
        </is>
      </c>
      <c r="D1330" t="inlineStr">
        <is>
          <t>Trimestral</t>
        </is>
      </c>
      <c r="E1330" t="inlineStr">
        <is>
          <t>Positivo</t>
        </is>
      </c>
      <c r="F1330" s="111" t="n">
        <v>45657</v>
      </c>
      <c r="G1330" t="n">
        <v>2024</v>
      </c>
      <c r="H1330" t="inlineStr">
        <is>
          <t>Diciembre</t>
        </is>
      </c>
      <c r="I1330" t="inlineStr">
        <is>
          <t>2024-2</t>
        </is>
      </c>
      <c r="J1330" t="n">
        <v>100</v>
      </c>
      <c r="K1330" t="n">
        <v>100</v>
      </c>
      <c r="L1330" s="39">
        <f>IFERROR(IF(OR(J1330=0,K1330=""),"",IF(E1330="Positivo",MIN(MAX(K1330/J1330,0),1.0),MIN(MAX(J1330/K1330,0),1.0))),"") </f>
        <v/>
      </c>
      <c r="M1330" s="39">
        <f>IFERROR(IF(OR(J1330=0,K1330=""),"",IF(E1330="Positivo",MAX(K1330/J1330,0),MAX(J1330/K1330,0))),"") </f>
        <v/>
      </c>
      <c r="P1330" t="n">
        <v>0</v>
      </c>
      <c r="Q1330" t="n">
        <v>0</v>
      </c>
      <c r="R1330" t="inlineStr">
        <is>
          <t>416-2024-12-31</t>
        </is>
      </c>
    </row>
    <row r="1331">
      <c r="A1331" t="n">
        <v>416</v>
      </c>
      <c r="B1331" t="inlineStr">
        <is>
          <t>Cumplimiento Plan Anual Vicerrectoría de crecimiento</t>
        </is>
      </c>
      <c r="C1331" t="inlineStr">
        <is>
          <t>Planeación Estratégica</t>
        </is>
      </c>
      <c r="D1331" t="inlineStr">
        <is>
          <t>Semestral</t>
        </is>
      </c>
      <c r="E1331" t="inlineStr">
        <is>
          <t>Positivo</t>
        </is>
      </c>
      <c r="F1331" s="111" t="n">
        <v>45838</v>
      </c>
      <c r="G1331" t="n">
        <v>2025</v>
      </c>
      <c r="H1331" t="inlineStr">
        <is>
          <t>Junio</t>
        </is>
      </c>
      <c r="I1331" t="inlineStr">
        <is>
          <t>2025-1</t>
        </is>
      </c>
      <c r="J1331" t="n">
        <v>100</v>
      </c>
      <c r="K1331" t="n">
        <v>109.24</v>
      </c>
      <c r="L1331" s="39">
        <f>IFERROR(IF(OR(J1331=0,K1331=""),"",IF(E1331="Positivo",MIN(MAX(K1331/J1331,0),1.0),MIN(MAX(J1331/K1331,0),1.0))),"") </f>
        <v/>
      </c>
      <c r="M1331" s="39">
        <f>IFERROR(IF(OR(J1331=0,K1331=""),"",IF(E1331="Positivo",MAX(K1331/J1331,0),MAX(J1331/K1331,0))),"") </f>
        <v/>
      </c>
      <c r="N1331" t="inlineStr">
        <is>
          <t>%</t>
        </is>
      </c>
      <c r="O1331" t="inlineStr">
        <is>
          <t>%</t>
        </is>
      </c>
      <c r="P1331" t="n">
        <v>0</v>
      </c>
      <c r="Q1331" t="n">
        <v>0</v>
      </c>
      <c r="R1331" t="inlineStr">
        <is>
          <t>416-2025-06-30</t>
        </is>
      </c>
    </row>
    <row r="1332">
      <c r="A1332" t="n">
        <v>416</v>
      </c>
      <c r="B1332" t="inlineStr">
        <is>
          <t>Cumplimiento Plan Anual Vicerrectoría de crecimiento</t>
        </is>
      </c>
      <c r="C1332" t="inlineStr">
        <is>
          <t>Planeación Estratégica</t>
        </is>
      </c>
      <c r="D1332" t="inlineStr">
        <is>
          <t>Semestral</t>
        </is>
      </c>
      <c r="E1332" t="inlineStr">
        <is>
          <t>Positivo</t>
        </is>
      </c>
      <c r="F1332" s="111" t="n">
        <v>46022</v>
      </c>
      <c r="G1332" t="n">
        <v>2025</v>
      </c>
      <c r="H1332" t="inlineStr">
        <is>
          <t>Diciembre</t>
        </is>
      </c>
      <c r="I1332" t="inlineStr">
        <is>
          <t>2025-2</t>
        </is>
      </c>
      <c r="J1332" t="n">
        <v>100</v>
      </c>
      <c r="K1332" t="n">
        <v>100</v>
      </c>
      <c r="L1332" s="39">
        <f>IFERROR(IF(OR(J1332=0,K1332=""),"",IF(E1332="Positivo",MIN(MAX(K1332/J1332,0),1.0),MIN(MAX(J1332/K1332,0),1.0))),"") </f>
        <v/>
      </c>
      <c r="M1332" s="39">
        <f>IFERROR(IF(OR(J1332=0,K1332=""),"",IF(E1332="Positivo",MAX(K1332/J1332,0),MAX(J1332/K1332,0))),"") </f>
        <v/>
      </c>
      <c r="N1332" t="inlineStr">
        <is>
          <t>%</t>
        </is>
      </c>
      <c r="O1332" t="inlineStr">
        <is>
          <t>%</t>
        </is>
      </c>
      <c r="P1332" t="n">
        <v>0</v>
      </c>
      <c r="Q1332" t="n">
        <v>0</v>
      </c>
      <c r="R1332" t="inlineStr">
        <is>
          <t>416-2025-12-31</t>
        </is>
      </c>
    </row>
    <row r="1333">
      <c r="A1333" t="n">
        <v>417</v>
      </c>
      <c r="B1333" t="inlineStr">
        <is>
          <t>Cumplimiento Plan Anual Vicerrectoría Financiera</t>
        </is>
      </c>
      <c r="C1333" t="inlineStr">
        <is>
          <t>Planeación Estratégica</t>
        </is>
      </c>
      <c r="D1333" t="inlineStr">
        <is>
          <t>Trimestral</t>
        </is>
      </c>
      <c r="E1333" t="inlineStr">
        <is>
          <t>Positivo</t>
        </is>
      </c>
      <c r="F1333" s="111" t="n">
        <v>45016</v>
      </c>
      <c r="G1333" t="n">
        <v>2023</v>
      </c>
      <c r="H1333" t="inlineStr">
        <is>
          <t>Marzo</t>
        </is>
      </c>
      <c r="I1333" t="inlineStr">
        <is>
          <t>2023-1</t>
        </is>
      </c>
      <c r="J1333" t="n">
        <v>100</v>
      </c>
      <c r="K1333" t="n">
        <v>0</v>
      </c>
      <c r="L1333" s="39">
        <f>IFERROR(IF(OR(J1333=0,K1333=""),"",IF(E1333="Positivo",MIN(MAX(K1333/J1333,0),1.0),MIN(MAX(J1333/K1333,0),1.0))),"") </f>
        <v/>
      </c>
      <c r="M1333" s="39">
        <f>IFERROR(IF(OR(J1333=0,K1333=""),"",IF(E1333="Positivo",MAX(K1333/J1333,0),MAX(J1333/K1333,0))),"") </f>
        <v/>
      </c>
      <c r="P1333" t="n">
        <v>0</v>
      </c>
      <c r="Q1333" t="n">
        <v>0</v>
      </c>
      <c r="R1333" t="inlineStr">
        <is>
          <t>417-2023-03-31</t>
        </is>
      </c>
    </row>
    <row r="1334">
      <c r="A1334" t="n">
        <v>417</v>
      </c>
      <c r="B1334" t="inlineStr">
        <is>
          <t>Cumplimiento Plan Anual Vicerrectoría Financiera</t>
        </is>
      </c>
      <c r="C1334" t="inlineStr">
        <is>
          <t>Planeación Estratégica</t>
        </is>
      </c>
      <c r="D1334" t="inlineStr">
        <is>
          <t>Trimestral</t>
        </is>
      </c>
      <c r="E1334" t="inlineStr">
        <is>
          <t>Positivo</t>
        </is>
      </c>
      <c r="F1334" s="111" t="n">
        <v>45107</v>
      </c>
      <c r="G1334" t="n">
        <v>2023</v>
      </c>
      <c r="H1334" t="inlineStr">
        <is>
          <t>Junio</t>
        </is>
      </c>
      <c r="I1334" t="inlineStr">
        <is>
          <t>2023-1</t>
        </is>
      </c>
      <c r="J1334" t="n">
        <v>100</v>
      </c>
      <c r="K1334" t="n">
        <v>110.66833333333</v>
      </c>
      <c r="L1334" s="39">
        <f>IFERROR(IF(OR(J1334=0,K1334=""),"",IF(E1334="Positivo",MIN(MAX(K1334/J1334,0),1.0),MIN(MAX(J1334/K1334,0),1.0))),"") </f>
        <v/>
      </c>
      <c r="M1334" s="39">
        <f>IFERROR(IF(OR(J1334=0,K1334=""),"",IF(E1334="Positivo",MAX(K1334/J1334,0),MAX(J1334/K1334,0))),"") </f>
        <v/>
      </c>
      <c r="P1334" t="n">
        <v>0</v>
      </c>
      <c r="Q1334" t="n">
        <v>0</v>
      </c>
      <c r="R1334" t="inlineStr">
        <is>
          <t>417-2023-06-30</t>
        </is>
      </c>
    </row>
    <row r="1335">
      <c r="A1335" t="n">
        <v>417</v>
      </c>
      <c r="B1335" t="inlineStr">
        <is>
          <t>Cumplimiento Plan Anual Vicerrectoría Financiera</t>
        </is>
      </c>
      <c r="C1335" t="inlineStr">
        <is>
          <t>Planeación Estratégica</t>
        </is>
      </c>
      <c r="D1335" t="inlineStr">
        <is>
          <t>Trimestral</t>
        </is>
      </c>
      <c r="E1335" t="inlineStr">
        <is>
          <t>Positivo</t>
        </is>
      </c>
      <c r="F1335" s="111" t="n">
        <v>45199</v>
      </c>
      <c r="G1335" t="n">
        <v>2023</v>
      </c>
      <c r="H1335" t="inlineStr">
        <is>
          <t>Septiembre</t>
        </is>
      </c>
      <c r="I1335" t="inlineStr">
        <is>
          <t>2023-2</t>
        </is>
      </c>
      <c r="J1335" t="n">
        <v>100</v>
      </c>
      <c r="K1335" t="n">
        <v>93.756666666667</v>
      </c>
      <c r="L1335" s="39">
        <f>IFERROR(IF(OR(J1335=0,K1335=""),"",IF(E1335="Positivo",MIN(MAX(K1335/J1335,0),1.0),MIN(MAX(J1335/K1335,0),1.0))),"") </f>
        <v/>
      </c>
      <c r="M1335" s="39">
        <f>IFERROR(IF(OR(J1335=0,K1335=""),"",IF(E1335="Positivo",MAX(K1335/J1335,0),MAX(J1335/K1335,0))),"") </f>
        <v/>
      </c>
      <c r="P1335" t="n">
        <v>0</v>
      </c>
      <c r="Q1335" t="n">
        <v>0</v>
      </c>
      <c r="R1335" t="inlineStr">
        <is>
          <t>417-2023-09-30</t>
        </is>
      </c>
    </row>
    <row r="1336">
      <c r="A1336" t="n">
        <v>417</v>
      </c>
      <c r="B1336" t="inlineStr">
        <is>
          <t>Cumplimiento Plan Anual Vicerrectoría Financiera</t>
        </is>
      </c>
      <c r="C1336" t="inlineStr">
        <is>
          <t>Planeación Estratégica</t>
        </is>
      </c>
      <c r="D1336" t="inlineStr">
        <is>
          <t>Trimestral</t>
        </is>
      </c>
      <c r="E1336" t="inlineStr">
        <is>
          <t>Positivo</t>
        </is>
      </c>
      <c r="F1336" s="111" t="n">
        <v>45291</v>
      </c>
      <c r="G1336" t="n">
        <v>2023</v>
      </c>
      <c r="H1336" t="inlineStr">
        <is>
          <t>Diciembre</t>
        </is>
      </c>
      <c r="I1336" t="inlineStr">
        <is>
          <t>2023-2</t>
        </is>
      </c>
      <c r="J1336" t="n">
        <v>100</v>
      </c>
      <c r="K1336" t="n">
        <v>94.39</v>
      </c>
      <c r="L1336" s="39">
        <f>IFERROR(IF(OR(J1336=0,K1336=""),"",IF(E1336="Positivo",MIN(MAX(K1336/J1336,0),1.0),MIN(MAX(J1336/K1336,0),1.0))),"") </f>
        <v/>
      </c>
      <c r="M1336" s="39">
        <f>IFERROR(IF(OR(J1336=0,K1336=""),"",IF(E1336="Positivo",MAX(K1336/J1336,0),MAX(J1336/K1336,0))),"") </f>
        <v/>
      </c>
      <c r="P1336" t="n">
        <v>0</v>
      </c>
      <c r="Q1336" t="n">
        <v>0</v>
      </c>
      <c r="R1336" t="inlineStr">
        <is>
          <t>417-2023-12-31</t>
        </is>
      </c>
    </row>
    <row r="1337">
      <c r="A1337" t="n">
        <v>417</v>
      </c>
      <c r="B1337" t="inlineStr">
        <is>
          <t>Cumplimiento Plan Anual Vicerrectoría Financiera</t>
        </is>
      </c>
      <c r="C1337" t="inlineStr">
        <is>
          <t>Planeación Estratégica</t>
        </is>
      </c>
      <c r="D1337" t="inlineStr">
        <is>
          <t>Trimestral</t>
        </is>
      </c>
      <c r="E1337" t="inlineStr">
        <is>
          <t>Positivo</t>
        </is>
      </c>
      <c r="F1337" s="111" t="n">
        <v>45473</v>
      </c>
      <c r="G1337" t="n">
        <v>2024</v>
      </c>
      <c r="H1337" t="inlineStr">
        <is>
          <t>Junio</t>
        </is>
      </c>
      <c r="I1337" t="inlineStr">
        <is>
          <t>2024-1</t>
        </is>
      </c>
      <c r="J1337" t="n">
        <v>100</v>
      </c>
      <c r="K1337" t="n">
        <v>112.12</v>
      </c>
      <c r="L1337" s="39">
        <f>IFERROR(IF(OR(J1337=0,K1337=""),"",IF(E1337="Positivo",MIN(MAX(K1337/J1337,0),1.0),MIN(MAX(J1337/K1337,0),1.0))),"") </f>
        <v/>
      </c>
      <c r="M1337" s="39">
        <f>IFERROR(IF(OR(J1337=0,K1337=""),"",IF(E1337="Positivo",MAX(K1337/J1337,0),MAX(J1337/K1337,0))),"") </f>
        <v/>
      </c>
      <c r="P1337" t="n">
        <v>0</v>
      </c>
      <c r="Q1337" t="n">
        <v>0</v>
      </c>
      <c r="R1337" t="inlineStr">
        <is>
          <t>417-2024-06-30</t>
        </is>
      </c>
    </row>
    <row r="1338">
      <c r="A1338" t="n">
        <v>417</v>
      </c>
      <c r="B1338" t="inlineStr">
        <is>
          <t>Cumplimiento Plan Anual Vicerrectoría Financiera</t>
        </is>
      </c>
      <c r="C1338" t="inlineStr">
        <is>
          <t>Planeación Estratégica</t>
        </is>
      </c>
      <c r="D1338" t="inlineStr">
        <is>
          <t>Trimestral</t>
        </is>
      </c>
      <c r="E1338" t="inlineStr">
        <is>
          <t>Positivo</t>
        </is>
      </c>
      <c r="F1338" s="111" t="n">
        <v>45657</v>
      </c>
      <c r="G1338" t="n">
        <v>2024</v>
      </c>
      <c r="H1338" t="inlineStr">
        <is>
          <t>Diciembre</t>
        </is>
      </c>
      <c r="I1338" t="inlineStr">
        <is>
          <t>2024-2</t>
        </is>
      </c>
      <c r="J1338" t="n">
        <v>100</v>
      </c>
      <c r="K1338" t="n">
        <v>98.83</v>
      </c>
      <c r="L1338" s="39">
        <f>IFERROR(IF(OR(J1338=0,K1338=""),"",IF(E1338="Positivo",MIN(MAX(K1338/J1338,0),1.0),MIN(MAX(J1338/K1338,0),1.0))),"") </f>
        <v/>
      </c>
      <c r="M1338" s="39">
        <f>IFERROR(IF(OR(J1338=0,K1338=""),"",IF(E1338="Positivo",MAX(K1338/J1338,0),MAX(J1338/K1338,0))),"") </f>
        <v/>
      </c>
      <c r="P1338" t="n">
        <v>0</v>
      </c>
      <c r="Q1338" t="n">
        <v>0</v>
      </c>
      <c r="R1338" t="inlineStr">
        <is>
          <t>417-2024-12-31</t>
        </is>
      </c>
    </row>
    <row r="1339">
      <c r="A1339" t="n">
        <v>417</v>
      </c>
      <c r="B1339" t="inlineStr">
        <is>
          <t>Cumplimiento Plan Anual Vicerrectoría Financiera</t>
        </is>
      </c>
      <c r="C1339" t="inlineStr">
        <is>
          <t>Planeación Estratégica</t>
        </is>
      </c>
      <c r="D1339" t="inlineStr">
        <is>
          <t>Semestral</t>
        </is>
      </c>
      <c r="E1339" t="inlineStr">
        <is>
          <t>Positivo</t>
        </is>
      </c>
      <c r="F1339" s="111" t="n">
        <v>45838</v>
      </c>
      <c r="G1339" t="n">
        <v>2025</v>
      </c>
      <c r="H1339" t="inlineStr">
        <is>
          <t>Junio</t>
        </is>
      </c>
      <c r="I1339" t="inlineStr">
        <is>
          <t>2025-1</t>
        </is>
      </c>
      <c r="J1339" t="n">
        <v>100</v>
      </c>
      <c r="K1339" t="n">
        <v>101.28</v>
      </c>
      <c r="L1339" s="39">
        <f>IFERROR(IF(OR(J1339=0,K1339=""),"",IF(E1339="Positivo",MIN(MAX(K1339/J1339,0),1.0),MIN(MAX(J1339/K1339,0),1.0))),"") </f>
        <v/>
      </c>
      <c r="M1339" s="39">
        <f>IFERROR(IF(OR(J1339=0,K1339=""),"",IF(E1339="Positivo",MAX(K1339/J1339,0),MAX(J1339/K1339,0))),"") </f>
        <v/>
      </c>
      <c r="N1339" t="inlineStr">
        <is>
          <t>%</t>
        </is>
      </c>
      <c r="O1339" t="inlineStr">
        <is>
          <t>%</t>
        </is>
      </c>
      <c r="P1339" t="n">
        <v>0</v>
      </c>
      <c r="Q1339" t="n">
        <v>0</v>
      </c>
      <c r="R1339" t="inlineStr">
        <is>
          <t>417-2025-06-30</t>
        </is>
      </c>
    </row>
    <row r="1340">
      <c r="A1340" t="n">
        <v>417</v>
      </c>
      <c r="B1340" t="inlineStr">
        <is>
          <t>Cumplimiento Plan Anual Vicerrectoría Financiera</t>
        </is>
      </c>
      <c r="C1340" t="inlineStr">
        <is>
          <t>Planeación Estratégica</t>
        </is>
      </c>
      <c r="D1340" t="inlineStr">
        <is>
          <t>Semestral</t>
        </is>
      </c>
      <c r="E1340" t="inlineStr">
        <is>
          <t>Positivo</t>
        </is>
      </c>
      <c r="F1340" s="111" t="n">
        <v>46022</v>
      </c>
      <c r="G1340" t="n">
        <v>2025</v>
      </c>
      <c r="H1340" t="inlineStr">
        <is>
          <t>Diciembre</t>
        </is>
      </c>
      <c r="I1340" t="inlineStr">
        <is>
          <t>2025-2</t>
        </is>
      </c>
      <c r="J1340" t="n">
        <v>100</v>
      </c>
      <c r="K1340" t="n">
        <v>97.98999999999999</v>
      </c>
      <c r="L1340" s="39">
        <f>IFERROR(IF(OR(J1340=0,K1340=""),"",IF(E1340="Positivo",MIN(MAX(K1340/J1340,0),1.0),MIN(MAX(J1340/K1340,0),1.0))),"") </f>
        <v/>
      </c>
      <c r="M1340" s="39">
        <f>IFERROR(IF(OR(J1340=0,K1340=""),"",IF(E1340="Positivo",MAX(K1340/J1340,0),MAX(J1340/K1340,0))),"") </f>
        <v/>
      </c>
      <c r="N1340" t="inlineStr">
        <is>
          <t>%</t>
        </is>
      </c>
      <c r="O1340" t="inlineStr">
        <is>
          <t>%</t>
        </is>
      </c>
      <c r="P1340" t="n">
        <v>0</v>
      </c>
      <c r="Q1340" t="n">
        <v>0</v>
      </c>
      <c r="R1340" t="inlineStr">
        <is>
          <t>417-2025-12-31</t>
        </is>
      </c>
    </row>
    <row r="1341">
      <c r="A1341" t="n">
        <v>418</v>
      </c>
      <c r="B1341" t="inlineStr">
        <is>
          <t>Cumplimiento Plan Anual Vicerrectoría Académica</t>
        </is>
      </c>
      <c r="C1341" t="inlineStr">
        <is>
          <t>Planeación Estratégica</t>
        </is>
      </c>
      <c r="D1341" t="inlineStr">
        <is>
          <t>Trimestral</t>
        </is>
      </c>
      <c r="E1341" t="inlineStr">
        <is>
          <t>Positivo</t>
        </is>
      </c>
      <c r="F1341" s="111" t="n">
        <v>45016</v>
      </c>
      <c r="G1341" t="n">
        <v>2023</v>
      </c>
      <c r="H1341" t="inlineStr">
        <is>
          <t>Marzo</t>
        </is>
      </c>
      <c r="I1341" t="inlineStr">
        <is>
          <t>2023-1</t>
        </is>
      </c>
      <c r="J1341" t="n">
        <v>100</v>
      </c>
      <c r="K1341" t="n">
        <v>0</v>
      </c>
      <c r="L1341" s="39">
        <f>IFERROR(IF(OR(J1341=0,K1341=""),"",IF(E1341="Positivo",MIN(MAX(K1341/J1341,0),1.0),MIN(MAX(J1341/K1341,0),1.0))),"") </f>
        <v/>
      </c>
      <c r="M1341" s="39">
        <f>IFERROR(IF(OR(J1341=0,K1341=""),"",IF(E1341="Positivo",MAX(K1341/J1341,0),MAX(J1341/K1341,0))),"") </f>
        <v/>
      </c>
      <c r="P1341" t="n">
        <v>0</v>
      </c>
      <c r="Q1341" t="n">
        <v>0</v>
      </c>
      <c r="R1341" t="inlineStr">
        <is>
          <t>418-2023-03-31</t>
        </is>
      </c>
    </row>
    <row r="1342">
      <c r="A1342" t="n">
        <v>418</v>
      </c>
      <c r="B1342" t="inlineStr">
        <is>
          <t>Cumplimiento Plan Anual Vicerrectoría Académica</t>
        </is>
      </c>
      <c r="C1342" t="inlineStr">
        <is>
          <t>Planeación Estratégica</t>
        </is>
      </c>
      <c r="D1342" t="inlineStr">
        <is>
          <t>Trimestral</t>
        </is>
      </c>
      <c r="E1342" t="inlineStr">
        <is>
          <t>Positivo</t>
        </is>
      </c>
      <c r="F1342" s="111" t="n">
        <v>45107</v>
      </c>
      <c r="G1342" t="n">
        <v>2023</v>
      </c>
      <c r="H1342" t="inlineStr">
        <is>
          <t>Junio</t>
        </is>
      </c>
      <c r="I1342" t="inlineStr">
        <is>
          <t>2023-1</t>
        </is>
      </c>
      <c r="J1342" t="n">
        <v>100</v>
      </c>
      <c r="K1342" t="n">
        <v>104.35666666667</v>
      </c>
      <c r="L1342" s="39">
        <f>IFERROR(IF(OR(J1342=0,K1342=""),"",IF(E1342="Positivo",MIN(MAX(K1342/J1342,0),1.0),MIN(MAX(J1342/K1342,0),1.0))),"") </f>
        <v/>
      </c>
      <c r="M1342" s="39">
        <f>IFERROR(IF(OR(J1342=0,K1342=""),"",IF(E1342="Positivo",MAX(K1342/J1342,0),MAX(J1342/K1342,0))),"") </f>
        <v/>
      </c>
      <c r="P1342" t="n">
        <v>0</v>
      </c>
      <c r="Q1342" t="n">
        <v>0</v>
      </c>
      <c r="R1342" t="inlineStr">
        <is>
          <t>418-2023-06-30</t>
        </is>
      </c>
    </row>
    <row r="1343">
      <c r="A1343" t="n">
        <v>418</v>
      </c>
      <c r="B1343" t="inlineStr">
        <is>
          <t>Cumplimiento Plan Anual Vicerrectoría Académica</t>
        </is>
      </c>
      <c r="C1343" t="inlineStr">
        <is>
          <t>Planeación Estratégica</t>
        </is>
      </c>
      <c r="D1343" t="inlineStr">
        <is>
          <t>Trimestral</t>
        </is>
      </c>
      <c r="E1343" t="inlineStr">
        <is>
          <t>Positivo</t>
        </is>
      </c>
      <c r="F1343" s="111" t="n">
        <v>45199</v>
      </c>
      <c r="G1343" t="n">
        <v>2023</v>
      </c>
      <c r="H1343" t="inlineStr">
        <is>
          <t>Septiembre</t>
        </is>
      </c>
      <c r="I1343" t="inlineStr">
        <is>
          <t>2023-2</t>
        </is>
      </c>
      <c r="J1343" t="n">
        <v>100</v>
      </c>
      <c r="K1343" t="n">
        <v>85.611111111111</v>
      </c>
      <c r="L1343" s="39">
        <f>IFERROR(IF(OR(J1343=0,K1343=""),"",IF(E1343="Positivo",MIN(MAX(K1343/J1343,0),1.0),MIN(MAX(J1343/K1343,0),1.0))),"") </f>
        <v/>
      </c>
      <c r="M1343" s="39">
        <f>IFERROR(IF(OR(J1343=0,K1343=""),"",IF(E1343="Positivo",MAX(K1343/J1343,0),MAX(J1343/K1343,0))),"") </f>
        <v/>
      </c>
      <c r="P1343" t="n">
        <v>0</v>
      </c>
      <c r="Q1343" t="n">
        <v>0</v>
      </c>
      <c r="R1343" t="inlineStr">
        <is>
          <t>418-2023-09-30</t>
        </is>
      </c>
    </row>
    <row r="1344">
      <c r="A1344" t="n">
        <v>418</v>
      </c>
      <c r="B1344" t="inlineStr">
        <is>
          <t>Cumplimiento Plan Anual Vicerrectoría Académica</t>
        </is>
      </c>
      <c r="C1344" t="inlineStr">
        <is>
          <t>Planeación Estratégica</t>
        </is>
      </c>
      <c r="D1344" t="inlineStr">
        <is>
          <t>Trimestral</t>
        </is>
      </c>
      <c r="E1344" t="inlineStr">
        <is>
          <t>Positivo</t>
        </is>
      </c>
      <c r="F1344" s="111" t="n">
        <v>45291</v>
      </c>
      <c r="G1344" t="n">
        <v>2023</v>
      </c>
      <c r="H1344" t="inlineStr">
        <is>
          <t>Diciembre</t>
        </is>
      </c>
      <c r="I1344" t="inlineStr">
        <is>
          <t>2023-2</t>
        </is>
      </c>
      <c r="J1344" t="n">
        <v>100</v>
      </c>
      <c r="K1344" t="n">
        <v>95.802222222222</v>
      </c>
      <c r="L1344" s="39">
        <f>IFERROR(IF(OR(J1344=0,K1344=""),"",IF(E1344="Positivo",MIN(MAX(K1344/J1344,0),1.0),MIN(MAX(J1344/K1344,0),1.0))),"") </f>
        <v/>
      </c>
      <c r="M1344" s="39">
        <f>IFERROR(IF(OR(J1344=0,K1344=""),"",IF(E1344="Positivo",MAX(K1344/J1344,0),MAX(J1344/K1344,0))),"") </f>
        <v/>
      </c>
      <c r="P1344" t="n">
        <v>0</v>
      </c>
      <c r="Q1344" t="n">
        <v>0</v>
      </c>
      <c r="R1344" t="inlineStr">
        <is>
          <t>418-2023-12-31</t>
        </is>
      </c>
    </row>
    <row r="1345">
      <c r="A1345" t="n">
        <v>418</v>
      </c>
      <c r="B1345" t="inlineStr">
        <is>
          <t>Cumplimiento Plan Anual Vicerrectoría Académica</t>
        </is>
      </c>
      <c r="C1345" t="inlineStr">
        <is>
          <t>Planeación Estratégica</t>
        </is>
      </c>
      <c r="D1345" t="inlineStr">
        <is>
          <t>Trimestral</t>
        </is>
      </c>
      <c r="E1345" t="inlineStr">
        <is>
          <t>Positivo</t>
        </is>
      </c>
      <c r="F1345" s="111" t="n">
        <v>45473</v>
      </c>
      <c r="G1345" t="n">
        <v>2024</v>
      </c>
      <c r="H1345" t="inlineStr">
        <is>
          <t>Junio</t>
        </is>
      </c>
      <c r="I1345" t="inlineStr">
        <is>
          <t>2024-1</t>
        </is>
      </c>
      <c r="J1345" t="n">
        <v>100</v>
      </c>
      <c r="K1345" t="n">
        <v>100.79</v>
      </c>
      <c r="L1345" s="39">
        <f>IFERROR(IF(OR(J1345=0,K1345=""),"",IF(E1345="Positivo",MIN(MAX(K1345/J1345,0),1.0),MIN(MAX(J1345/K1345,0),1.0))),"") </f>
        <v/>
      </c>
      <c r="M1345" s="39">
        <f>IFERROR(IF(OR(J1345=0,K1345=""),"",IF(E1345="Positivo",MAX(K1345/J1345,0),MAX(J1345/K1345,0))),"") </f>
        <v/>
      </c>
      <c r="P1345" t="n">
        <v>0</v>
      </c>
      <c r="Q1345" t="n">
        <v>0</v>
      </c>
      <c r="R1345" t="inlineStr">
        <is>
          <t>418-2024-06-30</t>
        </is>
      </c>
    </row>
    <row r="1346">
      <c r="A1346" t="n">
        <v>418</v>
      </c>
      <c r="B1346" t="inlineStr">
        <is>
          <t>Cumplimiento Plan Anual Vicerrectoría Académica</t>
        </is>
      </c>
      <c r="C1346" t="inlineStr">
        <is>
          <t>Planeación Estratégica</t>
        </is>
      </c>
      <c r="D1346" t="inlineStr">
        <is>
          <t>Trimestral</t>
        </is>
      </c>
      <c r="E1346" t="inlineStr">
        <is>
          <t>Positivo</t>
        </is>
      </c>
      <c r="F1346" s="111" t="n">
        <v>45657</v>
      </c>
      <c r="G1346" t="n">
        <v>2024</v>
      </c>
      <c r="H1346" t="inlineStr">
        <is>
          <t>Diciembre</t>
        </is>
      </c>
      <c r="I1346" t="inlineStr">
        <is>
          <t>2024-2</t>
        </is>
      </c>
      <c r="J1346" t="n">
        <v>100</v>
      </c>
      <c r="K1346" t="n">
        <v>97.78</v>
      </c>
      <c r="L1346" s="39">
        <f>IFERROR(IF(OR(J1346=0,K1346=""),"",IF(E1346="Positivo",MIN(MAX(K1346/J1346,0),1.0),MIN(MAX(J1346/K1346,0),1.0))),"") </f>
        <v/>
      </c>
      <c r="M1346" s="39">
        <f>IFERROR(IF(OR(J1346=0,K1346=""),"",IF(E1346="Positivo",MAX(K1346/J1346,0),MAX(J1346/K1346,0))),"") </f>
        <v/>
      </c>
      <c r="P1346" t="n">
        <v>0</v>
      </c>
      <c r="Q1346" t="n">
        <v>0</v>
      </c>
      <c r="R1346" t="inlineStr">
        <is>
          <t>418-2024-12-31</t>
        </is>
      </c>
    </row>
    <row r="1347">
      <c r="A1347" t="n">
        <v>418</v>
      </c>
      <c r="B1347" t="inlineStr">
        <is>
          <t>Cumplimiento Plan Anual Vicerrectoría Académica</t>
        </is>
      </c>
      <c r="C1347" t="inlineStr">
        <is>
          <t>Planeación Estratégica</t>
        </is>
      </c>
      <c r="D1347" t="inlineStr">
        <is>
          <t>Semestral</t>
        </is>
      </c>
      <c r="E1347" t="inlineStr">
        <is>
          <t>Positivo</t>
        </is>
      </c>
      <c r="F1347" s="111" t="n">
        <v>45838</v>
      </c>
      <c r="G1347" t="n">
        <v>2025</v>
      </c>
      <c r="H1347" t="inlineStr">
        <is>
          <t>Junio</t>
        </is>
      </c>
      <c r="I1347" t="inlineStr">
        <is>
          <t>2025-1</t>
        </is>
      </c>
      <c r="J1347" t="n">
        <v>100</v>
      </c>
      <c r="K1347" t="n">
        <v>105.83</v>
      </c>
      <c r="L1347" s="39">
        <f>IFERROR(IF(OR(J1347=0,K1347=""),"",IF(E1347="Positivo",MIN(MAX(K1347/J1347,0),1.0),MIN(MAX(J1347/K1347,0),1.0))),"") </f>
        <v/>
      </c>
      <c r="M1347" s="39">
        <f>IFERROR(IF(OR(J1347=0,K1347=""),"",IF(E1347="Positivo",MAX(K1347/J1347,0),MAX(J1347/K1347,0))),"") </f>
        <v/>
      </c>
      <c r="N1347" t="inlineStr">
        <is>
          <t>%</t>
        </is>
      </c>
      <c r="O1347" t="inlineStr">
        <is>
          <t>%</t>
        </is>
      </c>
      <c r="P1347" t="n">
        <v>0</v>
      </c>
      <c r="Q1347" t="n">
        <v>0</v>
      </c>
      <c r="R1347" t="inlineStr">
        <is>
          <t>418-2025-06-30</t>
        </is>
      </c>
    </row>
    <row r="1348">
      <c r="A1348" t="n">
        <v>418</v>
      </c>
      <c r="B1348" t="inlineStr">
        <is>
          <t>Cumplimiento Plan Anual Vicerrectoría Académica</t>
        </is>
      </c>
      <c r="C1348" t="inlineStr">
        <is>
          <t>Planeación Estratégica</t>
        </is>
      </c>
      <c r="D1348" t="inlineStr">
        <is>
          <t>Semestral</t>
        </is>
      </c>
      <c r="E1348" t="inlineStr">
        <is>
          <t>Positivo</t>
        </is>
      </c>
      <c r="F1348" s="111" t="n">
        <v>46022</v>
      </c>
      <c r="G1348" t="n">
        <v>2025</v>
      </c>
      <c r="H1348" t="inlineStr">
        <is>
          <t>Diciembre</t>
        </is>
      </c>
      <c r="I1348" t="inlineStr">
        <is>
          <t>2025-2</t>
        </is>
      </c>
      <c r="J1348" t="n">
        <v>100</v>
      </c>
      <c r="K1348" t="n">
        <v>99.61</v>
      </c>
      <c r="L1348" s="39">
        <f>IFERROR(IF(OR(J1348=0,K1348=""),"",IF(E1348="Positivo",MIN(MAX(K1348/J1348,0),1.0),MIN(MAX(J1348/K1348,0),1.0))),"") </f>
        <v/>
      </c>
      <c r="M1348" s="39">
        <f>IFERROR(IF(OR(J1348=0,K1348=""),"",IF(E1348="Positivo",MAX(K1348/J1348,0),MAX(J1348/K1348,0))),"") </f>
        <v/>
      </c>
      <c r="N1348" t="inlineStr">
        <is>
          <t>%</t>
        </is>
      </c>
      <c r="O1348" t="inlineStr">
        <is>
          <t>%</t>
        </is>
      </c>
      <c r="P1348" t="n">
        <v>0</v>
      </c>
      <c r="Q1348" t="n">
        <v>0</v>
      </c>
      <c r="R1348" t="inlineStr">
        <is>
          <t>418-2025-12-31</t>
        </is>
      </c>
    </row>
    <row r="1349">
      <c r="A1349" t="n">
        <v>419</v>
      </c>
      <c r="B1349" t="inlineStr">
        <is>
          <t>Cumplimiento Plan Anual Áreas sede Medellín</t>
        </is>
      </c>
      <c r="C1349" t="inlineStr">
        <is>
          <t>Planeación Estratégica</t>
        </is>
      </c>
      <c r="D1349" t="inlineStr">
        <is>
          <t>Trimestral</t>
        </is>
      </c>
      <c r="E1349" t="inlineStr">
        <is>
          <t>Positivo</t>
        </is>
      </c>
      <c r="F1349" s="111" t="n">
        <v>45016</v>
      </c>
      <c r="G1349" t="n">
        <v>2023</v>
      </c>
      <c r="H1349" t="inlineStr">
        <is>
          <t>Marzo</t>
        </is>
      </c>
      <c r="I1349" t="inlineStr">
        <is>
          <t>2023-1</t>
        </is>
      </c>
      <c r="L1349" s="39" t="n"/>
      <c r="M1349" s="39" t="n"/>
      <c r="N1349" t="inlineStr">
        <is>
          <t>%</t>
        </is>
      </c>
      <c r="O1349" t="inlineStr">
        <is>
          <t>%</t>
        </is>
      </c>
      <c r="P1349" t="n">
        <v>0</v>
      </c>
      <c r="Q1349" t="n">
        <v>0</v>
      </c>
      <c r="R1349" t="inlineStr">
        <is>
          <t>419-2023-03-31</t>
        </is>
      </c>
    </row>
    <row r="1350">
      <c r="A1350" t="n">
        <v>419</v>
      </c>
      <c r="B1350" t="inlineStr">
        <is>
          <t>Cumplimiento Plan Anual Áreas sede Medellín</t>
        </is>
      </c>
      <c r="C1350" t="inlineStr">
        <is>
          <t>Planeación Estratégica</t>
        </is>
      </c>
      <c r="D1350" t="inlineStr">
        <is>
          <t>Trimestral</t>
        </is>
      </c>
      <c r="E1350" t="inlineStr">
        <is>
          <t>Positivo</t>
        </is>
      </c>
      <c r="F1350" s="111" t="n">
        <v>45107</v>
      </c>
      <c r="G1350" t="n">
        <v>2023</v>
      </c>
      <c r="H1350" t="inlineStr">
        <is>
          <t>Junio</t>
        </is>
      </c>
      <c r="I1350" t="inlineStr">
        <is>
          <t>2023-1</t>
        </is>
      </c>
      <c r="J1350" t="n">
        <v>100</v>
      </c>
      <c r="K1350" t="n">
        <v>108.3</v>
      </c>
      <c r="L1350" s="39">
        <f>IFERROR(IF(OR(J1350=0,K1350=""),"",IF(E1350="Positivo",MIN(MAX(K1350/J1350,0),1.3),MIN(MAX(J1350/K1350,0),1.3))),"") </f>
        <v/>
      </c>
      <c r="M1350" s="39">
        <f>IFERROR(IF(OR(J1350=0,K1350=""),"",IF(E1350="Positivo",MAX(K1350/J1350,0),MAX(J1350/K1350,0))),"") </f>
        <v/>
      </c>
      <c r="N1350" t="inlineStr">
        <is>
          <t>%</t>
        </is>
      </c>
      <c r="O1350" t="inlineStr">
        <is>
          <t>%</t>
        </is>
      </c>
      <c r="P1350" t="n">
        <v>0</v>
      </c>
      <c r="Q1350" t="n">
        <v>0</v>
      </c>
      <c r="R1350" t="inlineStr">
        <is>
          <t>419-2023-06-30</t>
        </is>
      </c>
    </row>
    <row r="1351">
      <c r="A1351" t="n">
        <v>419</v>
      </c>
      <c r="B1351" t="inlineStr">
        <is>
          <t>Cumplimiento Plan Anual Áreas sede Medellín</t>
        </is>
      </c>
      <c r="C1351" t="inlineStr">
        <is>
          <t>Planeación Estratégica</t>
        </is>
      </c>
      <c r="D1351" t="inlineStr">
        <is>
          <t>Trimestral</t>
        </is>
      </c>
      <c r="E1351" t="inlineStr">
        <is>
          <t>Positivo</t>
        </is>
      </c>
      <c r="F1351" s="111" t="n">
        <v>45199</v>
      </c>
      <c r="G1351" t="n">
        <v>2023</v>
      </c>
      <c r="H1351" t="inlineStr">
        <is>
          <t>Septiembre</t>
        </is>
      </c>
      <c r="I1351" t="inlineStr">
        <is>
          <t>2023-2</t>
        </is>
      </c>
      <c r="J1351" t="n">
        <v>100</v>
      </c>
      <c r="K1351" t="n">
        <v>88.34999999999999</v>
      </c>
      <c r="L1351" s="39">
        <f>IFERROR(IF(OR(J1351=0,K1351=""),"",IF(E1351="Positivo",MIN(MAX(K1351/J1351,0),1.3),MIN(MAX(J1351/K1351,0),1.3))),"") </f>
        <v/>
      </c>
      <c r="M1351" s="39">
        <f>IFERROR(IF(OR(J1351=0,K1351=""),"",IF(E1351="Positivo",MAX(K1351/J1351,0),MAX(J1351/K1351,0))),"") </f>
        <v/>
      </c>
      <c r="N1351" t="inlineStr">
        <is>
          <t>%</t>
        </is>
      </c>
      <c r="O1351" t="inlineStr">
        <is>
          <t>%</t>
        </is>
      </c>
      <c r="P1351" t="n">
        <v>0</v>
      </c>
      <c r="Q1351" t="n">
        <v>0</v>
      </c>
      <c r="R1351" t="inlineStr">
        <is>
          <t>419-2023-09-30</t>
        </is>
      </c>
    </row>
    <row r="1352">
      <c r="A1352" t="n">
        <v>419</v>
      </c>
      <c r="B1352" t="inlineStr">
        <is>
          <t>Cumplimiento Plan Anual Áreas sede Medellín</t>
        </is>
      </c>
      <c r="C1352" t="inlineStr">
        <is>
          <t>Planeación Estratégica</t>
        </is>
      </c>
      <c r="D1352" t="inlineStr">
        <is>
          <t>Trimestral</t>
        </is>
      </c>
      <c r="E1352" t="inlineStr">
        <is>
          <t>Positivo</t>
        </is>
      </c>
      <c r="F1352" s="111" t="n">
        <v>45291</v>
      </c>
      <c r="G1352" t="n">
        <v>2023</v>
      </c>
      <c r="H1352" t="inlineStr">
        <is>
          <t>Diciembre</t>
        </is>
      </c>
      <c r="I1352" t="inlineStr">
        <is>
          <t>2023-2</t>
        </is>
      </c>
      <c r="J1352" t="n">
        <v>100</v>
      </c>
      <c r="K1352" t="n">
        <v>93.56</v>
      </c>
      <c r="L1352" s="39">
        <f>IFERROR(IF(OR(J1352=0,K1352=""),"",IF(E1352="Positivo",MIN(MAX(K1352/J1352,0),1.3),MIN(MAX(J1352/K1352,0),1.3))),"") </f>
        <v/>
      </c>
      <c r="M1352" s="39">
        <f>IFERROR(IF(OR(J1352=0,K1352=""),"",IF(E1352="Positivo",MAX(K1352/J1352,0),MAX(J1352/K1352,0))),"") </f>
        <v/>
      </c>
      <c r="N1352" t="inlineStr">
        <is>
          <t>%</t>
        </is>
      </c>
      <c r="O1352" t="inlineStr">
        <is>
          <t>%</t>
        </is>
      </c>
      <c r="P1352" t="n">
        <v>0</v>
      </c>
      <c r="Q1352" t="n">
        <v>0</v>
      </c>
      <c r="R1352" t="inlineStr">
        <is>
          <t>419-2023-12-31</t>
        </is>
      </c>
    </row>
    <row r="1353">
      <c r="A1353" t="n">
        <v>420</v>
      </c>
      <c r="B1353" t="inlineStr">
        <is>
          <t>Cumplimiento Plan Anual Gerencia de estrategia</t>
        </is>
      </c>
      <c r="C1353" t="inlineStr">
        <is>
          <t>Planeación Estratégica</t>
        </is>
      </c>
      <c r="D1353" t="inlineStr">
        <is>
          <t>Trimestral</t>
        </is>
      </c>
      <c r="E1353" t="inlineStr">
        <is>
          <t>Positivo</t>
        </is>
      </c>
      <c r="F1353" s="111" t="n">
        <v>45016</v>
      </c>
      <c r="G1353" t="n">
        <v>2023</v>
      </c>
      <c r="H1353" t="inlineStr">
        <is>
          <t>Marzo</t>
        </is>
      </c>
      <c r="I1353" t="inlineStr">
        <is>
          <t>2023-1</t>
        </is>
      </c>
      <c r="J1353" t="n">
        <v>100</v>
      </c>
      <c r="K1353" t="n">
        <v>0</v>
      </c>
      <c r="L1353" s="39">
        <f>IFERROR(IF(OR(J1353=0,K1353=""),"",IF(E1353="Positivo",MIN(MAX(K1353/J1353,0),1.0),MIN(MAX(J1353/K1353,0),1.0))),"") </f>
        <v/>
      </c>
      <c r="M1353" s="39">
        <f>IFERROR(IF(OR(J1353=0,K1353=""),"",IF(E1353="Positivo",MAX(K1353/J1353,0),MAX(J1353/K1353,0))),"") </f>
        <v/>
      </c>
      <c r="N1353" t="inlineStr">
        <is>
          <t>%</t>
        </is>
      </c>
      <c r="O1353" t="inlineStr">
        <is>
          <t>%</t>
        </is>
      </c>
      <c r="P1353" t="n">
        <v>0</v>
      </c>
      <c r="Q1353" t="n">
        <v>0</v>
      </c>
      <c r="R1353" t="inlineStr">
        <is>
          <t>420-2023-03-31</t>
        </is>
      </c>
    </row>
    <row r="1354">
      <c r="A1354" t="n">
        <v>420</v>
      </c>
      <c r="B1354" t="inlineStr">
        <is>
          <t>Cumplimiento Plan Anual Gerencia de estrategia</t>
        </is>
      </c>
      <c r="C1354" t="inlineStr">
        <is>
          <t>Planeación Estratégica</t>
        </is>
      </c>
      <c r="D1354" t="inlineStr">
        <is>
          <t>Trimestral</t>
        </is>
      </c>
      <c r="E1354" t="inlineStr">
        <is>
          <t>Positivo</t>
        </is>
      </c>
      <c r="F1354" s="111" t="n">
        <v>45107</v>
      </c>
      <c r="G1354" t="n">
        <v>2023</v>
      </c>
      <c r="H1354" t="inlineStr">
        <is>
          <t>Junio</t>
        </is>
      </c>
      <c r="I1354" t="inlineStr">
        <is>
          <t>2023-1</t>
        </is>
      </c>
      <c r="J1354" t="n">
        <v>100</v>
      </c>
      <c r="K1354" t="n">
        <v>106.53</v>
      </c>
      <c r="L1354" s="39">
        <f>IFERROR(IF(OR(J1354=0,K1354=""),"",IF(E1354="Positivo",MIN(MAX(K1354/J1354,0),1.0),MIN(MAX(J1354/K1354,0),1.0))),"") </f>
        <v/>
      </c>
      <c r="M1354" s="39">
        <f>IFERROR(IF(OR(J1354=0,K1354=""),"",IF(E1354="Positivo",MAX(K1354/J1354,0),MAX(J1354/K1354,0))),"") </f>
        <v/>
      </c>
      <c r="N1354" t="inlineStr">
        <is>
          <t>%</t>
        </is>
      </c>
      <c r="O1354" t="inlineStr">
        <is>
          <t>%</t>
        </is>
      </c>
      <c r="P1354" t="n">
        <v>0</v>
      </c>
      <c r="Q1354" t="n">
        <v>0</v>
      </c>
      <c r="R1354" t="inlineStr">
        <is>
          <t>420-2023-06-30</t>
        </is>
      </c>
    </row>
    <row r="1355">
      <c r="A1355" t="n">
        <v>420</v>
      </c>
      <c r="B1355" t="inlineStr">
        <is>
          <t>Cumplimiento Plan Anual Gerencia de estrategia</t>
        </is>
      </c>
      <c r="C1355" t="inlineStr">
        <is>
          <t>Planeación Estratégica</t>
        </is>
      </c>
      <c r="D1355" t="inlineStr">
        <is>
          <t>Trimestral</t>
        </is>
      </c>
      <c r="E1355" t="inlineStr">
        <is>
          <t>Positivo</t>
        </is>
      </c>
      <c r="F1355" s="111" t="n">
        <v>45199</v>
      </c>
      <c r="G1355" t="n">
        <v>2023</v>
      </c>
      <c r="H1355" t="inlineStr">
        <is>
          <t>Septiembre</t>
        </is>
      </c>
      <c r="I1355" t="inlineStr">
        <is>
          <t>2023-2</t>
        </is>
      </c>
      <c r="J1355" t="n">
        <v>100</v>
      </c>
      <c r="K1355" t="n">
        <v>94.69</v>
      </c>
      <c r="L1355" s="39">
        <f>IFERROR(IF(OR(J1355=0,K1355=""),"",IF(E1355="Positivo",MIN(MAX(K1355/J1355,0),1.0),MIN(MAX(J1355/K1355,0),1.0))),"") </f>
        <v/>
      </c>
      <c r="M1355" s="39">
        <f>IFERROR(IF(OR(J1355=0,K1355=""),"",IF(E1355="Positivo",MAX(K1355/J1355,0),MAX(J1355/K1355,0))),"") </f>
        <v/>
      </c>
      <c r="N1355" t="inlineStr">
        <is>
          <t>%</t>
        </is>
      </c>
      <c r="O1355" t="inlineStr">
        <is>
          <t>%</t>
        </is>
      </c>
      <c r="P1355" t="n">
        <v>0</v>
      </c>
      <c r="Q1355" t="n">
        <v>0</v>
      </c>
      <c r="R1355" t="inlineStr">
        <is>
          <t>420-2023-09-30</t>
        </is>
      </c>
    </row>
    <row r="1356">
      <c r="A1356" t="n">
        <v>420</v>
      </c>
      <c r="B1356" t="inlineStr">
        <is>
          <t>Cumplimiento Plan Anual Gerencia de estrategia</t>
        </is>
      </c>
      <c r="C1356" t="inlineStr">
        <is>
          <t>Planeación Estratégica</t>
        </is>
      </c>
      <c r="D1356" t="inlineStr">
        <is>
          <t>Trimestral</t>
        </is>
      </c>
      <c r="E1356" t="inlineStr">
        <is>
          <t>Positivo</t>
        </is>
      </c>
      <c r="F1356" s="111" t="n">
        <v>45291</v>
      </c>
      <c r="G1356" t="n">
        <v>2023</v>
      </c>
      <c r="H1356" t="inlineStr">
        <is>
          <t>Diciembre</t>
        </is>
      </c>
      <c r="I1356" t="inlineStr">
        <is>
          <t>2023-2</t>
        </is>
      </c>
      <c r="J1356" t="n">
        <v>100</v>
      </c>
      <c r="K1356" t="n">
        <v>100</v>
      </c>
      <c r="L1356" s="39">
        <f>IFERROR(IF(OR(J1356=0,K1356=""),"",IF(E1356="Positivo",MIN(MAX(K1356/J1356,0),1.0),MIN(MAX(J1356/K1356,0),1.0))),"") </f>
        <v/>
      </c>
      <c r="M1356" s="39">
        <f>IFERROR(IF(OR(J1356=0,K1356=""),"",IF(E1356="Positivo",MAX(K1356/J1356,0),MAX(J1356/K1356,0))),"") </f>
        <v/>
      </c>
      <c r="N1356" t="inlineStr">
        <is>
          <t>%</t>
        </is>
      </c>
      <c r="O1356" t="inlineStr">
        <is>
          <t>%</t>
        </is>
      </c>
      <c r="P1356" t="n">
        <v>0</v>
      </c>
      <c r="Q1356" t="n">
        <v>0</v>
      </c>
      <c r="R1356" t="inlineStr">
        <is>
          <t>420-2023-12-31</t>
        </is>
      </c>
    </row>
    <row r="1357">
      <c r="A1357" t="n">
        <v>420</v>
      </c>
      <c r="B1357" t="inlineStr">
        <is>
          <t>Cumplimiento Plan Anual Gerencia de estrategia</t>
        </is>
      </c>
      <c r="C1357" t="inlineStr">
        <is>
          <t>Planeación Estratégica</t>
        </is>
      </c>
      <c r="D1357" t="inlineStr">
        <is>
          <t>Trimestral</t>
        </is>
      </c>
      <c r="E1357" t="inlineStr">
        <is>
          <t>Positivo</t>
        </is>
      </c>
      <c r="F1357" s="111" t="n">
        <v>45473</v>
      </c>
      <c r="G1357" t="n">
        <v>2024</v>
      </c>
      <c r="H1357" t="inlineStr">
        <is>
          <t>Junio</t>
        </is>
      </c>
      <c r="I1357" t="inlineStr">
        <is>
          <t>2024-1</t>
        </is>
      </c>
      <c r="J1357" t="n">
        <v>100</v>
      </c>
      <c r="K1357" t="n">
        <v>89.33</v>
      </c>
      <c r="L1357" s="39">
        <f>IFERROR(IF(OR(J1357=0,K1357=""),"",IF(E1357="Positivo",MIN(MAX(K1357/J1357,0),1.0),MIN(MAX(J1357/K1357,0),1.0))),"") </f>
        <v/>
      </c>
      <c r="M1357" s="39">
        <f>IFERROR(IF(OR(J1357=0,K1357=""),"",IF(E1357="Positivo",MAX(K1357/J1357,0),MAX(J1357/K1357,0))),"") </f>
        <v/>
      </c>
      <c r="P1357" t="n">
        <v>0</v>
      </c>
      <c r="Q1357" t="n">
        <v>0</v>
      </c>
      <c r="R1357" t="inlineStr">
        <is>
          <t>420-2024-06-30</t>
        </is>
      </c>
    </row>
    <row r="1358">
      <c r="A1358" t="n">
        <v>420</v>
      </c>
      <c r="B1358" t="inlineStr">
        <is>
          <t>Cumplimiento Plan Anual Gerencia de estrategia</t>
        </is>
      </c>
      <c r="C1358" t="inlineStr">
        <is>
          <t>Planeación Estratégica</t>
        </is>
      </c>
      <c r="D1358" t="inlineStr">
        <is>
          <t>Trimestral</t>
        </is>
      </c>
      <c r="E1358" t="inlineStr">
        <is>
          <t>Positivo</t>
        </is>
      </c>
      <c r="F1358" s="111" t="n">
        <v>45657</v>
      </c>
      <c r="G1358" t="n">
        <v>2024</v>
      </c>
      <c r="H1358" t="inlineStr">
        <is>
          <t>Diciembre</t>
        </is>
      </c>
      <c r="I1358" t="inlineStr">
        <is>
          <t>2024-2</t>
        </is>
      </c>
      <c r="J1358" t="n">
        <v>100</v>
      </c>
      <c r="K1358" t="n">
        <v>96.67</v>
      </c>
      <c r="L1358" s="39">
        <f>IFERROR(IF(OR(J1358=0,K1358=""),"",IF(E1358="Positivo",MIN(MAX(K1358/J1358,0),1.0),MIN(MAX(J1358/K1358,0),1.0))),"") </f>
        <v/>
      </c>
      <c r="M1358" s="39">
        <f>IFERROR(IF(OR(J1358=0,K1358=""),"",IF(E1358="Positivo",MAX(K1358/J1358,0),MAX(J1358/K1358,0))),"") </f>
        <v/>
      </c>
      <c r="P1358" t="n">
        <v>0</v>
      </c>
      <c r="Q1358" t="n">
        <v>0</v>
      </c>
      <c r="R1358" t="inlineStr">
        <is>
          <t>420-2024-12-31</t>
        </is>
      </c>
    </row>
    <row r="1359">
      <c r="A1359" t="n">
        <v>420</v>
      </c>
      <c r="B1359" t="inlineStr">
        <is>
          <t>Cumplimiento Plan Anual Gerencia de estrategia</t>
        </is>
      </c>
      <c r="C1359" t="inlineStr">
        <is>
          <t>Planeación Estratégica</t>
        </is>
      </c>
      <c r="D1359" t="inlineStr">
        <is>
          <t>Semestral</t>
        </is>
      </c>
      <c r="E1359" t="inlineStr">
        <is>
          <t>Positivo</t>
        </is>
      </c>
      <c r="F1359" s="111" t="n">
        <v>45838</v>
      </c>
      <c r="G1359" t="n">
        <v>2025</v>
      </c>
      <c r="H1359" t="inlineStr">
        <is>
          <t>Junio</t>
        </is>
      </c>
      <c r="I1359" t="inlineStr">
        <is>
          <t>2025-1</t>
        </is>
      </c>
      <c r="J1359" t="n">
        <v>100</v>
      </c>
      <c r="K1359" t="n">
        <v>108.52</v>
      </c>
      <c r="L1359" s="39">
        <f>IFERROR(IF(OR(J1359=0,K1359=""),"",IF(E1359="Positivo",MIN(MAX(K1359/J1359,0),1.0),MIN(MAX(J1359/K1359,0),1.0))),"") </f>
        <v/>
      </c>
      <c r="M1359" s="39">
        <f>IFERROR(IF(OR(J1359=0,K1359=""),"",IF(E1359="Positivo",MAX(K1359/J1359,0),MAX(J1359/K1359,0))),"") </f>
        <v/>
      </c>
      <c r="N1359" t="inlineStr">
        <is>
          <t>%</t>
        </is>
      </c>
      <c r="O1359" t="inlineStr">
        <is>
          <t>%</t>
        </is>
      </c>
      <c r="P1359" t="n">
        <v>0</v>
      </c>
      <c r="Q1359" t="n">
        <v>0</v>
      </c>
      <c r="R1359" t="inlineStr">
        <is>
          <t>420-2025-06-30</t>
        </is>
      </c>
    </row>
    <row r="1360">
      <c r="A1360" t="n">
        <v>420</v>
      </c>
      <c r="B1360" t="inlineStr">
        <is>
          <t>Cumplimiento Plan Anual Gerencia de estrategia</t>
        </is>
      </c>
      <c r="C1360" t="inlineStr">
        <is>
          <t>Planeación Estratégica</t>
        </is>
      </c>
      <c r="D1360" t="inlineStr">
        <is>
          <t>Semestral</t>
        </is>
      </c>
      <c r="E1360" t="inlineStr">
        <is>
          <t>Positivo</t>
        </is>
      </c>
      <c r="F1360" s="111" t="n">
        <v>46022</v>
      </c>
      <c r="G1360" t="n">
        <v>2025</v>
      </c>
      <c r="H1360" t="inlineStr">
        <is>
          <t>Diciembre</t>
        </is>
      </c>
      <c r="I1360" t="inlineStr">
        <is>
          <t>2025-2</t>
        </is>
      </c>
      <c r="J1360" t="n">
        <v>100</v>
      </c>
      <c r="K1360" t="n">
        <v>100</v>
      </c>
      <c r="L1360" s="39">
        <f>IFERROR(IF(OR(J1360=0,K1360=""),"",IF(E1360="Positivo",MIN(MAX(K1360/J1360,0),1.0),MIN(MAX(J1360/K1360,0),1.0))),"") </f>
        <v/>
      </c>
      <c r="M1360" s="39">
        <f>IFERROR(IF(OR(J1360=0,K1360=""),"",IF(E1360="Positivo",MAX(K1360/J1360,0),MAX(J1360/K1360,0))),"") </f>
        <v/>
      </c>
      <c r="N1360" t="inlineStr">
        <is>
          <t>%</t>
        </is>
      </c>
      <c r="O1360" t="inlineStr">
        <is>
          <t>%</t>
        </is>
      </c>
      <c r="P1360" t="n">
        <v>0</v>
      </c>
      <c r="Q1360" t="n">
        <v>0</v>
      </c>
      <c r="R1360" t="inlineStr">
        <is>
          <t>420-2025-12-31</t>
        </is>
      </c>
    </row>
    <row r="1361">
      <c r="A1361" t="n">
        <v>421</v>
      </c>
      <c r="B1361" t="inlineStr">
        <is>
          <t>Total Leads por canales de captación</t>
        </is>
      </c>
      <c r="C1361" t="inlineStr">
        <is>
          <t>Mercadeo de programas académicos</t>
        </is>
      </c>
      <c r="D1361" t="inlineStr">
        <is>
          <t>Semestral</t>
        </is>
      </c>
      <c r="E1361" t="inlineStr">
        <is>
          <t>Positivo</t>
        </is>
      </c>
      <c r="F1361" s="111" t="n">
        <v>45107</v>
      </c>
      <c r="G1361" t="n">
        <v>2023</v>
      </c>
      <c r="H1361" t="inlineStr">
        <is>
          <t>Junio</t>
        </is>
      </c>
      <c r="I1361" t="inlineStr">
        <is>
          <t>2023-1</t>
        </is>
      </c>
      <c r="J1361" t="n">
        <v>104072</v>
      </c>
      <c r="K1361" t="n">
        <v>140002</v>
      </c>
      <c r="L1361" s="39">
        <f>IFERROR(IF(OR(J1361=0,K1361=""),"",IF(E1361="Positivo",MIN(MAX(K1361/J1361,0),1.3),MIN(MAX(J1361/K1361,0),1.3))),"") </f>
        <v/>
      </c>
      <c r="M1361" s="39">
        <f>IFERROR(IF(OR(J1361=0,K1361=""),"",IF(E1361="Positivo",MAX(K1361/J1361,0),MAX(J1361/K1361,0))),"") </f>
        <v/>
      </c>
      <c r="P1361" t="n">
        <v>0</v>
      </c>
      <c r="Q1361" t="n">
        <v>0</v>
      </c>
      <c r="R1361" t="inlineStr">
        <is>
          <t>421-2023-06-30</t>
        </is>
      </c>
    </row>
    <row r="1362">
      <c r="A1362" t="n">
        <v>421</v>
      </c>
      <c r="B1362" t="inlineStr">
        <is>
          <t>Total Leads por canales de captación</t>
        </is>
      </c>
      <c r="C1362" t="inlineStr">
        <is>
          <t>Mercadeo de programas académicos</t>
        </is>
      </c>
      <c r="D1362" t="inlineStr">
        <is>
          <t>Semestral</t>
        </is>
      </c>
      <c r="E1362" t="inlineStr">
        <is>
          <t>Positivo</t>
        </is>
      </c>
      <c r="F1362" s="111" t="n">
        <v>45291</v>
      </c>
      <c r="G1362" t="n">
        <v>2023</v>
      </c>
      <c r="H1362" t="inlineStr">
        <is>
          <t>Diciembre</t>
        </is>
      </c>
      <c r="I1362" t="inlineStr">
        <is>
          <t>2023-2</t>
        </is>
      </c>
      <c r="J1362" t="n">
        <v>97200</v>
      </c>
      <c r="K1362" t="n">
        <v>136199</v>
      </c>
      <c r="L1362" s="39">
        <f>IFERROR(IF(OR(J1362=0,K1362=""),"",IF(E1362="Positivo",MIN(MAX(K1362/J1362,0),1.3),MIN(MAX(J1362/K1362,0),1.3))),"") </f>
        <v/>
      </c>
      <c r="M1362" s="39">
        <f>IFERROR(IF(OR(J1362=0,K1362=""),"",IF(E1362="Positivo",MAX(K1362/J1362,0),MAX(J1362/K1362,0))),"") </f>
        <v/>
      </c>
      <c r="P1362" t="n">
        <v>0</v>
      </c>
      <c r="Q1362" t="n">
        <v>0</v>
      </c>
      <c r="R1362" t="inlineStr">
        <is>
          <t>421-2023-12-31</t>
        </is>
      </c>
    </row>
    <row r="1363">
      <c r="A1363" t="n">
        <v>421</v>
      </c>
      <c r="B1363" t="inlineStr">
        <is>
          <t>Total Leads por canales de captación</t>
        </is>
      </c>
      <c r="C1363" t="inlineStr">
        <is>
          <t>Mercadeo de programas académicos</t>
        </is>
      </c>
      <c r="D1363" t="inlineStr">
        <is>
          <t>Semestral</t>
        </is>
      </c>
      <c r="E1363" t="inlineStr">
        <is>
          <t>Positivo</t>
        </is>
      </c>
      <c r="F1363" s="111" t="n">
        <v>45473</v>
      </c>
      <c r="G1363" t="n">
        <v>2024</v>
      </c>
      <c r="H1363" t="inlineStr">
        <is>
          <t>Junio</t>
        </is>
      </c>
      <c r="I1363" t="inlineStr">
        <is>
          <t>2024-1</t>
        </is>
      </c>
      <c r="J1363" t="n">
        <v>147043</v>
      </c>
      <c r="K1363" t="n">
        <v>177740</v>
      </c>
      <c r="L1363" s="39">
        <f>IFERROR(IF(OR(J1363=0,K1363=""),"",IF(E1363="Positivo",MIN(MAX(K1363/J1363,0),1.3),MIN(MAX(J1363/K1363,0),1.3))),"") </f>
        <v/>
      </c>
      <c r="M1363" s="39">
        <f>IFERROR(IF(OR(J1363=0,K1363=""),"",IF(E1363="Positivo",MAX(K1363/J1363,0),MAX(J1363/K1363,0))),"") </f>
        <v/>
      </c>
      <c r="P1363" t="n">
        <v>0</v>
      </c>
      <c r="Q1363" t="n">
        <v>0</v>
      </c>
      <c r="R1363" t="inlineStr">
        <is>
          <t>421-2024-06-30</t>
        </is>
      </c>
    </row>
    <row r="1364">
      <c r="A1364" t="n">
        <v>421</v>
      </c>
      <c r="B1364" t="inlineStr">
        <is>
          <t>Total Leads por canales de captación</t>
        </is>
      </c>
      <c r="C1364" t="inlineStr">
        <is>
          <t>Mercadeo de programas académicos</t>
        </is>
      </c>
      <c r="D1364" t="inlineStr">
        <is>
          <t>Semestral</t>
        </is>
      </c>
      <c r="E1364" t="inlineStr">
        <is>
          <t>Positivo</t>
        </is>
      </c>
      <c r="F1364" s="111" t="n">
        <v>45657</v>
      </c>
      <c r="G1364" t="n">
        <v>2024</v>
      </c>
      <c r="H1364" t="inlineStr">
        <is>
          <t>Diciembre</t>
        </is>
      </c>
      <c r="I1364" t="inlineStr">
        <is>
          <t>2024-2</t>
        </is>
      </c>
      <c r="J1364" t="n">
        <v>100</v>
      </c>
      <c r="K1364" t="n">
        <v>121.44</v>
      </c>
      <c r="L1364" s="39">
        <f>IFERROR(IF(OR(J1364=0,K1364=""),"",IF(E1364="Positivo",MIN(MAX(K1364/J1364,0),1.3),MIN(MAX(J1364/K1364,0),1.3))),"") </f>
        <v/>
      </c>
      <c r="M1364" s="39">
        <f>IFERROR(IF(OR(J1364=0,K1364=""),"",IF(E1364="Positivo",MAX(K1364/J1364,0),MAX(J1364/K1364,0))),"") </f>
        <v/>
      </c>
      <c r="P1364" t="n">
        <v>0</v>
      </c>
      <c r="Q1364" t="n">
        <v>0</v>
      </c>
      <c r="R1364" t="inlineStr">
        <is>
          <t>421-2024-12-31</t>
        </is>
      </c>
    </row>
    <row r="1365">
      <c r="A1365" t="n">
        <v>422</v>
      </c>
      <c r="B1365" t="inlineStr">
        <is>
          <t>Total conversión</t>
        </is>
      </c>
      <c r="C1365" t="inlineStr">
        <is>
          <t>Mercadeo de programas académicos</t>
        </is>
      </c>
      <c r="D1365" t="inlineStr">
        <is>
          <t>Semestral</t>
        </is>
      </c>
      <c r="E1365" t="inlineStr">
        <is>
          <t>Positivo</t>
        </is>
      </c>
      <c r="F1365" s="111" t="n">
        <v>45107</v>
      </c>
      <c r="G1365" t="n">
        <v>2023</v>
      </c>
      <c r="H1365" t="inlineStr">
        <is>
          <t>Junio</t>
        </is>
      </c>
      <c r="I1365" t="inlineStr">
        <is>
          <t>2023-1</t>
        </is>
      </c>
      <c r="J1365" t="n">
        <v>11.7</v>
      </c>
      <c r="K1365" t="n">
        <v>11.973211368834</v>
      </c>
      <c r="L1365" s="39">
        <f>IFERROR(IF(OR(J1365=0,K1365=""),"",IF(E1365="Positivo",MIN(MAX(K1365/J1365,0),1.3),MIN(MAX(J1365/K1365,0),1.3))),"") </f>
        <v/>
      </c>
      <c r="M1365" s="39">
        <f>IFERROR(IF(OR(J1365=0,K1365=""),"",IF(E1365="Positivo",MAX(K1365/J1365,0),MAX(J1365/K1365,0))),"") </f>
        <v/>
      </c>
      <c r="N1365" t="inlineStr">
        <is>
          <t>%</t>
        </is>
      </c>
      <c r="O1365" t="inlineStr">
        <is>
          <t>%</t>
        </is>
      </c>
      <c r="P1365" t="n">
        <v>2</v>
      </c>
      <c r="Q1365" t="n">
        <v>2</v>
      </c>
      <c r="R1365" t="inlineStr">
        <is>
          <t>422-2023-06-30</t>
        </is>
      </c>
    </row>
    <row r="1366">
      <c r="A1366" t="n">
        <v>422</v>
      </c>
      <c r="B1366" t="inlineStr">
        <is>
          <t>Total conversión</t>
        </is>
      </c>
      <c r="C1366" t="inlineStr">
        <is>
          <t>Mercadeo de programas académicos</t>
        </is>
      </c>
      <c r="D1366" t="inlineStr">
        <is>
          <t>Semestral</t>
        </is>
      </c>
      <c r="E1366" t="inlineStr">
        <is>
          <t>Positivo</t>
        </is>
      </c>
      <c r="F1366" s="111" t="n">
        <v>45291</v>
      </c>
      <c r="G1366" t="n">
        <v>2023</v>
      </c>
      <c r="H1366" t="inlineStr">
        <is>
          <t>Diciembre</t>
        </is>
      </c>
      <c r="I1366" t="inlineStr">
        <is>
          <t>2023-2</t>
        </is>
      </c>
      <c r="J1366" t="n">
        <v>10.5</v>
      </c>
      <c r="K1366" t="n">
        <v>11.04</v>
      </c>
      <c r="L1366" s="39">
        <f>IFERROR(IF(OR(J1366=0,K1366=""),"",IF(E1366="Positivo",MIN(MAX(K1366/J1366,0),1.3),MIN(MAX(J1366/K1366,0),1.3))),"") </f>
        <v/>
      </c>
      <c r="M1366" s="39">
        <f>IFERROR(IF(OR(J1366=0,K1366=""),"",IF(E1366="Positivo",MAX(K1366/J1366,0),MAX(J1366/K1366,0))),"") </f>
        <v/>
      </c>
      <c r="N1366" t="inlineStr">
        <is>
          <t>%</t>
        </is>
      </c>
      <c r="O1366" t="inlineStr">
        <is>
          <t>%</t>
        </is>
      </c>
      <c r="P1366" t="n">
        <v>2</v>
      </c>
      <c r="Q1366" t="n">
        <v>2</v>
      </c>
      <c r="R1366" t="inlineStr">
        <is>
          <t>422-2023-12-31</t>
        </is>
      </c>
    </row>
    <row r="1367">
      <c r="A1367" t="n">
        <v>422</v>
      </c>
      <c r="B1367" t="inlineStr">
        <is>
          <t>Total conversión</t>
        </is>
      </c>
      <c r="C1367" t="inlineStr">
        <is>
          <t>Mercadeo de programas académicos</t>
        </is>
      </c>
      <c r="D1367" t="inlineStr">
        <is>
          <t>Semestral</t>
        </is>
      </c>
      <c r="E1367" t="inlineStr">
        <is>
          <t>Positivo</t>
        </is>
      </c>
      <c r="F1367" s="111" t="n">
        <v>45473</v>
      </c>
      <c r="G1367" t="n">
        <v>2024</v>
      </c>
      <c r="H1367" t="inlineStr">
        <is>
          <t>Junio</t>
        </is>
      </c>
      <c r="I1367" t="inlineStr">
        <is>
          <t>2024-1</t>
        </is>
      </c>
      <c r="J1367" t="n">
        <v>9.25</v>
      </c>
      <c r="K1367" t="n">
        <v>8.859999999999999</v>
      </c>
      <c r="L1367" s="39">
        <f>IFERROR(IF(OR(J1367=0,K1367=""),"",IF(E1367="Positivo",MIN(MAX(K1367/J1367,0),1.3),MIN(MAX(J1367/K1367,0),1.3))),"") </f>
        <v/>
      </c>
      <c r="M1367" s="39">
        <f>IFERROR(IF(OR(J1367=0,K1367=""),"",IF(E1367="Positivo",MAX(K1367/J1367,0),MAX(J1367/K1367,0))),"") </f>
        <v/>
      </c>
      <c r="P1367" t="n">
        <v>0</v>
      </c>
      <c r="Q1367" t="n">
        <v>0</v>
      </c>
      <c r="R1367" t="inlineStr">
        <is>
          <t>422-2024-06-30</t>
        </is>
      </c>
    </row>
    <row r="1368">
      <c r="A1368" t="n">
        <v>422</v>
      </c>
      <c r="B1368" t="inlineStr">
        <is>
          <t>Total conversión</t>
        </is>
      </c>
      <c r="C1368" t="inlineStr">
        <is>
          <t>Mercadeo de programas académicos</t>
        </is>
      </c>
      <c r="D1368" t="inlineStr">
        <is>
          <t>Semestral</t>
        </is>
      </c>
      <c r="E1368" t="inlineStr">
        <is>
          <t>Positivo</t>
        </is>
      </c>
      <c r="F1368" s="111" t="n">
        <v>45657</v>
      </c>
      <c r="G1368" t="n">
        <v>2024</v>
      </c>
      <c r="H1368" t="inlineStr">
        <is>
          <t>Diciembre</t>
        </is>
      </c>
      <c r="I1368" t="inlineStr">
        <is>
          <t>2024-2</t>
        </is>
      </c>
      <c r="J1368" t="n">
        <v>8.01</v>
      </c>
      <c r="K1368" t="n">
        <v>7.91</v>
      </c>
      <c r="L1368" s="39">
        <f>IFERROR(IF(OR(J1368=0,K1368=""),"",IF(E1368="Positivo",MIN(MAX(K1368/J1368,0),1.3),MIN(MAX(J1368/K1368,0),1.3))),"") </f>
        <v/>
      </c>
      <c r="M1368" s="39">
        <f>IFERROR(IF(OR(J1368=0,K1368=""),"",IF(E1368="Positivo",MAX(K1368/J1368,0),MAX(J1368/K1368,0))),"") </f>
        <v/>
      </c>
      <c r="P1368" t="n">
        <v>0</v>
      </c>
      <c r="Q1368" t="n">
        <v>0</v>
      </c>
      <c r="R1368" t="inlineStr">
        <is>
          <t>422-2024-12-31</t>
        </is>
      </c>
    </row>
    <row r="1369">
      <c r="A1369" t="n">
        <v>422</v>
      </c>
      <c r="B1369" t="inlineStr">
        <is>
          <t>Total conversión</t>
        </is>
      </c>
      <c r="C1369" t="inlineStr">
        <is>
          <t>Mercadeo de programas académicos</t>
        </is>
      </c>
      <c r="D1369" t="inlineStr">
        <is>
          <t>Trimestral</t>
        </is>
      </c>
      <c r="E1369" t="inlineStr">
        <is>
          <t>Positivo</t>
        </is>
      </c>
      <c r="F1369" s="111" t="n">
        <v>45838</v>
      </c>
      <c r="G1369" t="n">
        <v>2025</v>
      </c>
      <c r="H1369" t="inlineStr">
        <is>
          <t>Junio</t>
        </is>
      </c>
      <c r="I1369" t="inlineStr">
        <is>
          <t>2025-1</t>
        </is>
      </c>
      <c r="J1369" t="n">
        <v>7.83</v>
      </c>
      <c r="K1369" t="n">
        <v>8.199999999999999</v>
      </c>
      <c r="L1369" s="39">
        <f>IFERROR(IF(OR(J1369=0,K1369=""),"",IF(E1369="Positivo",MIN(MAX(K1369/J1369,0),1.3),MIN(MAX(J1369/K1369,0),1.3))),"") </f>
        <v/>
      </c>
      <c r="M1369" s="39">
        <f>IFERROR(IF(OR(J1369=0,K1369=""),"",IF(E1369="Positivo",MAX(K1369/J1369,0),MAX(J1369/K1369,0))),"") </f>
        <v/>
      </c>
      <c r="N1369" t="inlineStr">
        <is>
          <t>%</t>
        </is>
      </c>
      <c r="O1369" t="inlineStr">
        <is>
          <t>%</t>
        </is>
      </c>
      <c r="P1369" t="n">
        <v>2</v>
      </c>
      <c r="Q1369" t="n">
        <v>2</v>
      </c>
      <c r="R1369" t="inlineStr">
        <is>
          <t>422-2025-06-30</t>
        </is>
      </c>
    </row>
    <row r="1370">
      <c r="A1370" t="n">
        <v>422</v>
      </c>
      <c r="B1370" t="inlineStr">
        <is>
          <t>Total conversión</t>
        </is>
      </c>
      <c r="C1370" t="inlineStr">
        <is>
          <t>Mercadeo de programas académicos</t>
        </is>
      </c>
      <c r="D1370" t="inlineStr">
        <is>
          <t>Trimestral</t>
        </is>
      </c>
      <c r="E1370" t="inlineStr">
        <is>
          <t>Positivo</t>
        </is>
      </c>
      <c r="F1370" s="111" t="n">
        <v>46022</v>
      </c>
      <c r="G1370" t="n">
        <v>2025</v>
      </c>
      <c r="H1370" t="inlineStr">
        <is>
          <t>Diciembre</t>
        </is>
      </c>
      <c r="I1370" t="inlineStr">
        <is>
          <t>2025-2</t>
        </is>
      </c>
      <c r="J1370" t="n">
        <v>7.68</v>
      </c>
      <c r="K1370" t="n">
        <v>7.87</v>
      </c>
      <c r="L1370" s="39">
        <f>IFERROR(IF(OR(J1370=0,K1370=""),"",IF(E1370="Positivo",MIN(MAX(K1370/J1370,0),1.3),MIN(MAX(J1370/K1370,0),1.3))),"") </f>
        <v/>
      </c>
      <c r="M1370" s="39">
        <f>IFERROR(IF(OR(J1370=0,K1370=""),"",IF(E1370="Positivo",MAX(K1370/J1370,0),MAX(J1370/K1370,0))),"") </f>
        <v/>
      </c>
      <c r="N1370" t="inlineStr">
        <is>
          <t>%</t>
        </is>
      </c>
      <c r="O1370" t="inlineStr">
        <is>
          <t>%</t>
        </is>
      </c>
      <c r="P1370" t="n">
        <v>2</v>
      </c>
      <c r="Q1370" t="n">
        <v>2</v>
      </c>
      <c r="R1370" t="inlineStr">
        <is>
          <t>422-2025-12-31</t>
        </is>
      </c>
    </row>
    <row r="1371">
      <c r="A1371" t="n">
        <v>423</v>
      </c>
      <c r="B1371" t="inlineStr">
        <is>
          <t>Brand equity</t>
        </is>
      </c>
      <c r="C1371" t="inlineStr">
        <is>
          <t>Mercadeo de programas académicos</t>
        </is>
      </c>
      <c r="D1371" t="inlineStr">
        <is>
          <t>Anual</t>
        </is>
      </c>
      <c r="E1371" t="inlineStr">
        <is>
          <t>Positivo</t>
        </is>
      </c>
      <c r="F1371" s="111" t="n">
        <v>45291</v>
      </c>
      <c r="G1371" t="n">
        <v>2023</v>
      </c>
      <c r="H1371" t="inlineStr">
        <is>
          <t>Diciembre</t>
        </is>
      </c>
      <c r="I1371" t="inlineStr">
        <is>
          <t>2023-2</t>
        </is>
      </c>
      <c r="J1371" t="n">
        <v>8.4</v>
      </c>
      <c r="K1371" t="n">
        <v>7.9</v>
      </c>
      <c r="L1371" s="39">
        <f>IFERROR(IF(OR(J1371=0,K1371=""),"",IF(E1371="Positivo",MIN(MAX(K1371/J1371,0),1.3),MIN(MAX(J1371/K1371,0),1.3))),"") </f>
        <v/>
      </c>
      <c r="M1371" s="39">
        <f>IFERROR(IF(OR(J1371=0,K1371=""),"",IF(E1371="Positivo",MAX(K1371/J1371,0),MAX(J1371/K1371,0))),"") </f>
        <v/>
      </c>
      <c r="N1371" t="inlineStr">
        <is>
          <t>DEC</t>
        </is>
      </c>
      <c r="O1371" t="inlineStr">
        <is>
          <t>DEC</t>
        </is>
      </c>
      <c r="P1371" t="n">
        <v>1</v>
      </c>
      <c r="Q1371" t="n">
        <v>1</v>
      </c>
      <c r="R1371" t="inlineStr">
        <is>
          <t>423-2023-12-31</t>
        </is>
      </c>
    </row>
    <row r="1372">
      <c r="A1372" t="n">
        <v>423</v>
      </c>
      <c r="B1372" t="inlineStr">
        <is>
          <t>Brand equity</t>
        </is>
      </c>
      <c r="C1372" t="inlineStr">
        <is>
          <t>Mercadeo de programas académicos</t>
        </is>
      </c>
      <c r="D1372" t="inlineStr">
        <is>
          <t>Anual</t>
        </is>
      </c>
      <c r="E1372" t="inlineStr">
        <is>
          <t>Positivo</t>
        </is>
      </c>
      <c r="F1372" s="111" t="n">
        <v>45657</v>
      </c>
      <c r="G1372" t="n">
        <v>2024</v>
      </c>
      <c r="H1372" t="inlineStr">
        <is>
          <t>Diciembre</t>
        </is>
      </c>
      <c r="I1372" t="inlineStr">
        <is>
          <t>2024-2</t>
        </is>
      </c>
      <c r="J1372" t="n">
        <v>8.300000000000001</v>
      </c>
      <c r="K1372" t="n">
        <v>12.3</v>
      </c>
      <c r="L1372" s="39">
        <f>IFERROR(IF(OR(J1372=0,K1372=""),"",IF(E1372="Positivo",MIN(MAX(K1372/J1372,0),1.3),MIN(MAX(J1372/K1372,0),1.3))),"") </f>
        <v/>
      </c>
      <c r="M1372" s="39">
        <f>IFERROR(IF(OR(J1372=0,K1372=""),"",IF(E1372="Positivo",MAX(K1372/J1372,0),MAX(J1372/K1372,0))),"") </f>
        <v/>
      </c>
      <c r="N1372" t="inlineStr">
        <is>
          <t>DEC</t>
        </is>
      </c>
      <c r="O1372" t="inlineStr">
        <is>
          <t>DEC</t>
        </is>
      </c>
      <c r="P1372" t="n">
        <v>1</v>
      </c>
      <c r="Q1372" t="n">
        <v>1</v>
      </c>
      <c r="R1372" t="inlineStr">
        <is>
          <t>423-2024-12-31</t>
        </is>
      </c>
    </row>
    <row r="1373">
      <c r="A1373" t="n">
        <v>423</v>
      </c>
      <c r="B1373" t="inlineStr">
        <is>
          <t>Brand equity</t>
        </is>
      </c>
      <c r="C1373" t="inlineStr">
        <is>
          <t>Mercadeo de programas académicos</t>
        </is>
      </c>
      <c r="D1373" t="inlineStr">
        <is>
          <t>Anual</t>
        </is>
      </c>
      <c r="E1373" t="inlineStr">
        <is>
          <t>Positivo</t>
        </is>
      </c>
      <c r="F1373" s="111" t="n">
        <v>46022</v>
      </c>
      <c r="G1373" t="n">
        <v>2025</v>
      </c>
      <c r="H1373" t="inlineStr">
        <is>
          <t>Diciembre</t>
        </is>
      </c>
      <c r="I1373" t="inlineStr">
        <is>
          <t>2025-2</t>
        </is>
      </c>
      <c r="J1373" t="n">
        <v>12.3</v>
      </c>
      <c r="K1373" t="n">
        <v>15.1</v>
      </c>
      <c r="L1373" s="39">
        <f>IFERROR(IF(OR(J1373=0,K1373=""),"",IF(E1373="Positivo",MIN(MAX(K1373/J1373,0),1.3),MIN(MAX(J1373/K1373,0),1.3))),"") </f>
        <v/>
      </c>
      <c r="M1373" s="39">
        <f>IFERROR(IF(OR(J1373=0,K1373=""),"",IF(E1373="Positivo",MAX(K1373/J1373,0),MAX(J1373/K1373,0))),"") </f>
        <v/>
      </c>
      <c r="N1373" t="inlineStr">
        <is>
          <t>DEC</t>
        </is>
      </c>
      <c r="O1373" t="inlineStr">
        <is>
          <t>DEC</t>
        </is>
      </c>
      <c r="P1373" t="n">
        <v>1</v>
      </c>
      <c r="Q1373" t="n">
        <v>1</v>
      </c>
      <c r="R1373" t="inlineStr">
        <is>
          <t>423-2025-12-31</t>
        </is>
      </c>
    </row>
    <row r="1374">
      <c r="A1374" t="n">
        <v>424</v>
      </c>
      <c r="B1374" t="inlineStr">
        <is>
          <t>Conocimiento espontaneo</t>
        </is>
      </c>
      <c r="C1374" t="inlineStr">
        <is>
          <t>Mercadeo de programas académicos</t>
        </is>
      </c>
      <c r="D1374" t="inlineStr">
        <is>
          <t>Anual</t>
        </is>
      </c>
      <c r="E1374" t="inlineStr">
        <is>
          <t>Positivo</t>
        </is>
      </c>
      <c r="F1374" s="111" t="n">
        <v>45291</v>
      </c>
      <c r="G1374" t="n">
        <v>2023</v>
      </c>
      <c r="H1374" t="inlineStr">
        <is>
          <t>Diciembre</t>
        </is>
      </c>
      <c r="I1374" t="inlineStr">
        <is>
          <t>2023-2</t>
        </is>
      </c>
      <c r="J1374" t="n">
        <v>92</v>
      </c>
      <c r="K1374" t="n">
        <v>6</v>
      </c>
      <c r="L1374" s="39">
        <f>IFERROR(IF(OR(J1374=0,K1374=""),"",IF(E1374="Positivo",MIN(MAX(K1374/J1374,0),1.3),MIN(MAX(J1374/K1374,0),1.3))),"") </f>
        <v/>
      </c>
      <c r="M1374" s="39">
        <f>IFERROR(IF(OR(J1374=0,K1374=""),"",IF(E1374="Positivo",MAX(K1374/J1374,0),MAX(J1374/K1374,0))),"") </f>
        <v/>
      </c>
      <c r="N1374" t="inlineStr">
        <is>
          <t>ENT</t>
        </is>
      </c>
      <c r="O1374" t="inlineStr">
        <is>
          <t>ENT</t>
        </is>
      </c>
      <c r="P1374" t="n">
        <v>0</v>
      </c>
      <c r="Q1374" t="n">
        <v>0</v>
      </c>
      <c r="R1374" t="inlineStr">
        <is>
          <t>424-2023-12-31</t>
        </is>
      </c>
    </row>
    <row r="1375">
      <c r="A1375" t="n">
        <v>424</v>
      </c>
      <c r="B1375" t="inlineStr">
        <is>
          <t>Conocimiento espontaneo</t>
        </is>
      </c>
      <c r="C1375" t="inlineStr">
        <is>
          <t>Mercadeo de programas académicos</t>
        </is>
      </c>
      <c r="D1375" t="inlineStr">
        <is>
          <t>Anual</t>
        </is>
      </c>
      <c r="E1375" t="inlineStr">
        <is>
          <t>Positivo</t>
        </is>
      </c>
      <c r="F1375" s="111" t="n">
        <v>45657</v>
      </c>
      <c r="G1375" t="n">
        <v>2024</v>
      </c>
      <c r="H1375" t="inlineStr">
        <is>
          <t>Diciembre</t>
        </is>
      </c>
      <c r="I1375" t="inlineStr">
        <is>
          <t>2024-2</t>
        </is>
      </c>
      <c r="J1375" t="n">
        <v>7</v>
      </c>
      <c r="K1375" t="n">
        <v>9</v>
      </c>
      <c r="L1375" s="39">
        <f>IFERROR(IF(OR(J1375=0,K1375=""),"",IF(E1375="Positivo",MIN(MAX(K1375/J1375,0),1.3),MIN(MAX(J1375/K1375,0),1.3))),"") </f>
        <v/>
      </c>
      <c r="M1375" s="39">
        <f>IFERROR(IF(OR(J1375=0,K1375=""),"",IF(E1375="Positivo",MAX(K1375/J1375,0),MAX(J1375/K1375,0))),"") </f>
        <v/>
      </c>
      <c r="N1375" t="inlineStr">
        <is>
          <t>ENT</t>
        </is>
      </c>
      <c r="O1375" t="inlineStr">
        <is>
          <t>ENT</t>
        </is>
      </c>
      <c r="P1375" t="n">
        <v>0</v>
      </c>
      <c r="Q1375" t="n">
        <v>0</v>
      </c>
      <c r="R1375" t="inlineStr">
        <is>
          <t>424-2024-12-31</t>
        </is>
      </c>
    </row>
    <row r="1376">
      <c r="A1376" t="n">
        <v>424</v>
      </c>
      <c r="B1376" t="inlineStr">
        <is>
          <t>Conocimiento espontaneo</t>
        </is>
      </c>
      <c r="C1376" t="inlineStr">
        <is>
          <t>Mercadeo de programas académicos</t>
        </is>
      </c>
      <c r="D1376" t="inlineStr">
        <is>
          <t>Anual</t>
        </is>
      </c>
      <c r="E1376" t="inlineStr">
        <is>
          <t>Positivo</t>
        </is>
      </c>
      <c r="F1376" s="111" t="n">
        <v>46022</v>
      </c>
      <c r="G1376" t="n">
        <v>2025</v>
      </c>
      <c r="H1376" t="inlineStr">
        <is>
          <t>Diciembre</t>
        </is>
      </c>
      <c r="I1376" t="inlineStr">
        <is>
          <t>2025-2</t>
        </is>
      </c>
      <c r="J1376" t="n">
        <v>9</v>
      </c>
      <c r="K1376" t="n">
        <v>11</v>
      </c>
      <c r="L1376" s="39">
        <f>IFERROR(IF(OR(J1376=0,K1376=""),"",IF(E1376="Positivo",MIN(MAX(K1376/J1376,0),1.3),MIN(MAX(J1376/K1376,0),1.3))),"") </f>
        <v/>
      </c>
      <c r="M1376" s="39">
        <f>IFERROR(IF(OR(J1376=0,K1376=""),"",IF(E1376="Positivo",MAX(K1376/J1376,0),MAX(J1376/K1376,0))),"") </f>
        <v/>
      </c>
      <c r="N1376" t="inlineStr">
        <is>
          <t>ENT</t>
        </is>
      </c>
      <c r="O1376" t="inlineStr">
        <is>
          <t>ENT</t>
        </is>
      </c>
      <c r="P1376" t="n">
        <v>0</v>
      </c>
      <c r="Q1376" t="n">
        <v>0</v>
      </c>
      <c r="R1376" t="inlineStr">
        <is>
          <t>424-2025-12-31</t>
        </is>
      </c>
    </row>
    <row r="1377">
      <c r="A1377" t="n">
        <v>425</v>
      </c>
      <c r="B1377" t="inlineStr">
        <is>
          <t>Cumplimiento Leads Educación para la vida</t>
        </is>
      </c>
      <c r="C1377" t="inlineStr">
        <is>
          <t>Mercadeo y venta de educación para la vida</t>
        </is>
      </c>
      <c r="D1377" t="inlineStr">
        <is>
          <t>Anual</t>
        </is>
      </c>
      <c r="E1377" t="inlineStr">
        <is>
          <t>Positivo</t>
        </is>
      </c>
      <c r="F1377" s="111" t="n">
        <v>45291</v>
      </c>
      <c r="G1377" t="n">
        <v>2023</v>
      </c>
      <c r="H1377" t="inlineStr">
        <is>
          <t>Diciembre</t>
        </is>
      </c>
      <c r="I1377" t="inlineStr">
        <is>
          <t>2023-2</t>
        </is>
      </c>
      <c r="J1377" t="n">
        <v>5500</v>
      </c>
      <c r="K1377" t="n">
        <v>5785</v>
      </c>
      <c r="L1377" s="39">
        <f>IFERROR(IF(OR(J1377=0,K1377=""),"",IF(E1377="Positivo",MIN(MAX(K1377/J1377,0),1.3),MIN(MAX(J1377/K1377,0),1.3))),"") </f>
        <v/>
      </c>
      <c r="M1377" s="39">
        <f>IFERROR(IF(OR(J1377=0,K1377=""),"",IF(E1377="Positivo",MAX(K1377/J1377,0),MAX(J1377/K1377,0))),"") </f>
        <v/>
      </c>
      <c r="P1377" t="n">
        <v>0</v>
      </c>
      <c r="Q1377" t="n">
        <v>0</v>
      </c>
      <c r="R1377" t="inlineStr">
        <is>
          <t>425-2023-12-31</t>
        </is>
      </c>
    </row>
    <row r="1378">
      <c r="A1378" t="n">
        <v>425</v>
      </c>
      <c r="B1378" t="inlineStr">
        <is>
          <t>Cumplimiento Leads Educación para la vida</t>
        </is>
      </c>
      <c r="C1378" t="inlineStr">
        <is>
          <t>Mercadeo y venta de educación para la vida</t>
        </is>
      </c>
      <c r="D1378" t="inlineStr">
        <is>
          <t>Semestral</t>
        </is>
      </c>
      <c r="E1378" t="inlineStr">
        <is>
          <t>Positivo</t>
        </is>
      </c>
      <c r="F1378" s="111" t="n">
        <v>45473</v>
      </c>
      <c r="G1378" t="n">
        <v>2024</v>
      </c>
      <c r="H1378" t="inlineStr">
        <is>
          <t>Junio</t>
        </is>
      </c>
      <c r="I1378" t="inlineStr">
        <is>
          <t>2024-1</t>
        </is>
      </c>
      <c r="J1378" t="n">
        <v>100</v>
      </c>
      <c r="K1378" t="n">
        <v>60.69</v>
      </c>
      <c r="L1378" s="39">
        <f>IFERROR(IF(OR(J1378=0,K1378=""),"",IF(E1378="Positivo",MIN(MAX(K1378/J1378,0),1.3),MIN(MAX(J1378/K1378,0),1.3))),"") </f>
        <v/>
      </c>
      <c r="M1378" s="39">
        <f>IFERROR(IF(OR(J1378=0,K1378=""),"",IF(E1378="Positivo",MAX(K1378/J1378,0),MAX(J1378/K1378,0))),"") </f>
        <v/>
      </c>
      <c r="P1378" t="n">
        <v>0</v>
      </c>
      <c r="Q1378" t="n">
        <v>0</v>
      </c>
      <c r="R1378" t="inlineStr">
        <is>
          <t>425-2024-06-30</t>
        </is>
      </c>
    </row>
    <row r="1379">
      <c r="A1379" t="n">
        <v>425</v>
      </c>
      <c r="B1379" t="inlineStr">
        <is>
          <t>Cumplimiento Leads Educación para la vida</t>
        </is>
      </c>
      <c r="C1379" t="inlineStr">
        <is>
          <t>Mercadeo y venta de educación para la vida</t>
        </is>
      </c>
      <c r="D1379" t="inlineStr">
        <is>
          <t>Semestral</t>
        </is>
      </c>
      <c r="E1379" t="inlineStr">
        <is>
          <t>Positivo</t>
        </is>
      </c>
      <c r="F1379" s="111" t="n">
        <v>45657</v>
      </c>
      <c r="G1379" t="n">
        <v>2024</v>
      </c>
      <c r="H1379" t="inlineStr">
        <is>
          <t>Diciembre</t>
        </is>
      </c>
      <c r="I1379" t="inlineStr">
        <is>
          <t>2024-2</t>
        </is>
      </c>
      <c r="J1379" t="n">
        <v>100</v>
      </c>
      <c r="K1379" t="n">
        <v>164.69</v>
      </c>
      <c r="L1379" s="39">
        <f>IFERROR(IF(OR(J1379=0,K1379=""),"",IF(E1379="Positivo",MIN(MAX(K1379/J1379,0),1.3),MIN(MAX(J1379/K1379,0),1.3))),"") </f>
        <v/>
      </c>
      <c r="M1379" s="39">
        <f>IFERROR(IF(OR(J1379=0,K1379=""),"",IF(E1379="Positivo",MAX(K1379/J1379,0),MAX(J1379/K1379,0))),"") </f>
        <v/>
      </c>
      <c r="P1379" t="n">
        <v>0</v>
      </c>
      <c r="Q1379" t="n">
        <v>0</v>
      </c>
      <c r="R1379" t="inlineStr">
        <is>
          <t>425-2024-12-31</t>
        </is>
      </c>
    </row>
    <row r="1380">
      <c r="A1380" t="n">
        <v>426</v>
      </c>
      <c r="B1380" t="inlineStr">
        <is>
          <t>Cumplimiento en la respuesta a solicitudes de comunicaciones internas</t>
        </is>
      </c>
      <c r="C1380" t="inlineStr">
        <is>
          <t>Comunicaciones Internas</t>
        </is>
      </c>
      <c r="D1380" t="inlineStr">
        <is>
          <t>Semestral</t>
        </is>
      </c>
      <c r="E1380" t="inlineStr">
        <is>
          <t>Positivo</t>
        </is>
      </c>
      <c r="F1380" s="111" t="n">
        <v>45107</v>
      </c>
      <c r="G1380" t="n">
        <v>2023</v>
      </c>
      <c r="H1380" t="inlineStr">
        <is>
          <t>Junio</t>
        </is>
      </c>
      <c r="I1380" t="inlineStr">
        <is>
          <t>2023-1</t>
        </is>
      </c>
      <c r="K1380" t="n">
        <v>86.98</v>
      </c>
      <c r="L1380" s="39" t="n"/>
      <c r="M1380" s="39" t="n"/>
      <c r="N1380" t="inlineStr">
        <is>
          <t>Linea Base</t>
        </is>
      </c>
      <c r="O1380" t="inlineStr">
        <is>
          <t>%</t>
        </is>
      </c>
      <c r="P1380" t="n">
        <v>0</v>
      </c>
      <c r="Q1380" t="n">
        <v>0</v>
      </c>
      <c r="R1380" t="inlineStr">
        <is>
          <t>426-2023-06-30</t>
        </is>
      </c>
    </row>
    <row r="1381">
      <c r="A1381" t="n">
        <v>426</v>
      </c>
      <c r="B1381" t="inlineStr">
        <is>
          <t>Cumplimiento en la respuesta a solicitudes de comunicaciones internas</t>
        </is>
      </c>
      <c r="C1381" t="inlineStr">
        <is>
          <t>Comunicaciones Internas</t>
        </is>
      </c>
      <c r="D1381" t="inlineStr">
        <is>
          <t>Semestral</t>
        </is>
      </c>
      <c r="E1381" t="inlineStr">
        <is>
          <t>Positivo</t>
        </is>
      </c>
      <c r="F1381" s="111" t="n">
        <v>45291</v>
      </c>
      <c r="G1381" t="n">
        <v>2023</v>
      </c>
      <c r="H1381" t="inlineStr">
        <is>
          <t>Diciembre</t>
        </is>
      </c>
      <c r="I1381" t="inlineStr">
        <is>
          <t>2023-2</t>
        </is>
      </c>
      <c r="K1381" t="n">
        <v>92.31</v>
      </c>
      <c r="L1381" s="39" t="n"/>
      <c r="M1381" s="39" t="n"/>
      <c r="N1381" t="inlineStr">
        <is>
          <t>Linea Base</t>
        </is>
      </c>
      <c r="O1381" t="inlineStr">
        <is>
          <t>%</t>
        </is>
      </c>
      <c r="P1381" t="n">
        <v>0</v>
      </c>
      <c r="Q1381" t="n">
        <v>0</v>
      </c>
      <c r="R1381" t="inlineStr">
        <is>
          <t>426-2023-12-31</t>
        </is>
      </c>
    </row>
    <row r="1382">
      <c r="A1382" t="n">
        <v>426</v>
      </c>
      <c r="B1382" t="inlineStr">
        <is>
          <t>Cumplimiento en la respuesta a solicitudes de comunicaciones internas</t>
        </is>
      </c>
      <c r="C1382" t="inlineStr">
        <is>
          <t>Comunicaciones Internas</t>
        </is>
      </c>
      <c r="D1382" t="inlineStr">
        <is>
          <t>Semestral</t>
        </is>
      </c>
      <c r="E1382" t="inlineStr">
        <is>
          <t>Positivo</t>
        </is>
      </c>
      <c r="F1382" s="111" t="n">
        <v>45473</v>
      </c>
      <c r="G1382" t="n">
        <v>2024</v>
      </c>
      <c r="H1382" t="inlineStr">
        <is>
          <t>Junio</t>
        </is>
      </c>
      <c r="I1382" t="inlineStr">
        <is>
          <t>2024-1</t>
        </is>
      </c>
      <c r="J1382" t="n">
        <v>80</v>
      </c>
      <c r="K1382" t="n">
        <v>60.27</v>
      </c>
      <c r="L1382" s="39">
        <f>IFERROR(IF(OR(J1382=0,K1382=""),"",IF(E1382="Positivo",MIN(MAX(K1382/J1382,0),1.3),MIN(MAX(J1382/K1382,0),1.3))),"") </f>
        <v/>
      </c>
      <c r="M1382" s="39">
        <f>IFERROR(IF(OR(J1382=0,K1382=""),"",IF(E1382="Positivo",MAX(K1382/J1382,0),MAX(J1382/K1382,0))),"") </f>
        <v/>
      </c>
      <c r="P1382" t="n">
        <v>0</v>
      </c>
      <c r="Q1382" t="n">
        <v>0</v>
      </c>
      <c r="R1382" t="inlineStr">
        <is>
          <t>426-2024-06-30</t>
        </is>
      </c>
    </row>
    <row r="1383">
      <c r="A1383" t="n">
        <v>426</v>
      </c>
      <c r="B1383" t="inlineStr">
        <is>
          <t>Cumplimiento en la respuesta a solicitudes de comunicaciones internas</t>
        </is>
      </c>
      <c r="C1383" t="inlineStr">
        <is>
          <t>Comunicaciones Internas</t>
        </is>
      </c>
      <c r="D1383" t="inlineStr">
        <is>
          <t>Semestral</t>
        </is>
      </c>
      <c r="E1383" t="inlineStr">
        <is>
          <t>Positivo</t>
        </is>
      </c>
      <c r="F1383" s="111" t="n">
        <v>45657</v>
      </c>
      <c r="G1383" t="n">
        <v>2024</v>
      </c>
      <c r="H1383" t="inlineStr">
        <is>
          <t>Diciembre</t>
        </is>
      </c>
      <c r="I1383" t="inlineStr">
        <is>
          <t>2024-2</t>
        </is>
      </c>
      <c r="J1383" t="n">
        <v>80</v>
      </c>
      <c r="K1383" t="n">
        <v>86.72</v>
      </c>
      <c r="L1383" s="39">
        <f>IFERROR(IF(OR(J1383=0,K1383=""),"",IF(E1383="Positivo",MIN(MAX(K1383/J1383,0),1.3),MIN(MAX(J1383/K1383,0),1.3))),"") </f>
        <v/>
      </c>
      <c r="M1383" s="39">
        <f>IFERROR(IF(OR(J1383=0,K1383=""),"",IF(E1383="Positivo",MAX(K1383/J1383,0),MAX(J1383/K1383,0))),"") </f>
        <v/>
      </c>
      <c r="P1383" t="n">
        <v>0</v>
      </c>
      <c r="Q1383" t="n">
        <v>0</v>
      </c>
      <c r="R1383" t="inlineStr">
        <is>
          <t>426-2024-12-31</t>
        </is>
      </c>
    </row>
    <row r="1384">
      <c r="A1384" t="n">
        <v>427</v>
      </c>
      <c r="B1384" t="inlineStr">
        <is>
          <t>Consumo de Agua per Cápita Semestral</t>
        </is>
      </c>
      <c r="C1384" t="inlineStr">
        <is>
          <t>GESTIÓN AMBIENTAL</t>
        </is>
      </c>
      <c r="D1384" t="inlineStr">
        <is>
          <t>Semestral</t>
        </is>
      </c>
      <c r="E1384" t="inlineStr">
        <is>
          <t>Negativo</t>
        </is>
      </c>
      <c r="F1384" s="111" t="n">
        <v>45107</v>
      </c>
      <c r="G1384" t="n">
        <v>2023</v>
      </c>
      <c r="H1384" t="inlineStr">
        <is>
          <t>Junio</t>
        </is>
      </c>
      <c r="I1384" t="inlineStr">
        <is>
          <t>2023-1</t>
        </is>
      </c>
      <c r="J1384" t="n">
        <v>0.2</v>
      </c>
      <c r="K1384" t="n">
        <v>0.13666666666667</v>
      </c>
      <c r="L1384" s="39">
        <f>IFERROR(IF(OR(J1384=0,K1384=""),"",IF(E1384="Positivo",MIN(MAX(K1384/J1384,0),1.3),MIN(MAX(J1384/K1384,0),1.3))),"") </f>
        <v/>
      </c>
      <c r="M1384" s="39">
        <f>IFERROR(IF(OR(J1384=0,K1384=""),"",IF(E1384="Positivo",MAX(K1384/J1384,0),MAX(J1384/K1384,0))),"") </f>
        <v/>
      </c>
      <c r="N1384" t="inlineStr">
        <is>
          <t>DEC</t>
        </is>
      </c>
      <c r="O1384" t="inlineStr">
        <is>
          <t>DEC</t>
        </is>
      </c>
      <c r="P1384" t="n">
        <v>2</v>
      </c>
      <c r="Q1384" t="n">
        <v>2</v>
      </c>
      <c r="R1384" t="inlineStr">
        <is>
          <t>427-2023-06-30</t>
        </is>
      </c>
    </row>
    <row r="1385">
      <c r="A1385" t="n">
        <v>427</v>
      </c>
      <c r="B1385" t="inlineStr">
        <is>
          <t>Consumo de Agua per Cápita Semestral</t>
        </is>
      </c>
      <c r="C1385" t="inlineStr">
        <is>
          <t>GESTIÓN AMBIENTAL</t>
        </is>
      </c>
      <c r="D1385" t="inlineStr">
        <is>
          <t>Semestral</t>
        </is>
      </c>
      <c r="E1385" t="inlineStr">
        <is>
          <t>Negativo</t>
        </is>
      </c>
      <c r="F1385" s="111" t="n">
        <v>45291</v>
      </c>
      <c r="G1385" t="n">
        <v>2023</v>
      </c>
      <c r="H1385" t="inlineStr">
        <is>
          <t>Diciembre</t>
        </is>
      </c>
      <c r="I1385" t="inlineStr">
        <is>
          <t>2023-2</t>
        </is>
      </c>
      <c r="J1385" t="n">
        <v>0.2</v>
      </c>
      <c r="K1385" t="n">
        <v>0.2</v>
      </c>
      <c r="L1385" s="39">
        <f>IFERROR(IF(OR(J1385=0,K1385=""),"",IF(E1385="Positivo",MIN(MAX(K1385/J1385,0),1.3),MIN(MAX(J1385/K1385,0),1.3))),"") </f>
        <v/>
      </c>
      <c r="M1385" s="39">
        <f>IFERROR(IF(OR(J1385=0,K1385=""),"",IF(E1385="Positivo",MAX(K1385/J1385,0),MAX(J1385/K1385,0))),"") </f>
        <v/>
      </c>
      <c r="N1385" t="inlineStr">
        <is>
          <t>DEC</t>
        </is>
      </c>
      <c r="O1385" t="inlineStr">
        <is>
          <t>DEC</t>
        </is>
      </c>
      <c r="P1385" t="n">
        <v>2</v>
      </c>
      <c r="Q1385" t="n">
        <v>2</v>
      </c>
      <c r="R1385" t="inlineStr">
        <is>
          <t>427-2023-12-31</t>
        </is>
      </c>
    </row>
    <row r="1386">
      <c r="A1386" t="n">
        <v>427</v>
      </c>
      <c r="B1386" t="inlineStr">
        <is>
          <t>Consumo de Agua per Cápita Semestral</t>
        </is>
      </c>
      <c r="C1386" t="inlineStr">
        <is>
          <t>GESTIÓN AMBIENTAL</t>
        </is>
      </c>
      <c r="D1386" t="inlineStr">
        <is>
          <t>Semestral</t>
        </is>
      </c>
      <c r="E1386" t="inlineStr">
        <is>
          <t>Negativo</t>
        </is>
      </c>
      <c r="F1386" s="111" t="n">
        <v>45473</v>
      </c>
      <c r="G1386" t="n">
        <v>2024</v>
      </c>
      <c r="H1386" t="inlineStr">
        <is>
          <t>Junio</t>
        </is>
      </c>
      <c r="I1386" t="inlineStr">
        <is>
          <t>2024-1</t>
        </is>
      </c>
      <c r="J1386" t="n">
        <v>0.2</v>
      </c>
      <c r="K1386" t="n">
        <v>0.17</v>
      </c>
      <c r="L1386" s="39">
        <f>IFERROR(IF(OR(J1386=0,K1386=""),"",IF(E1386="Positivo",MIN(MAX(K1386/J1386,0),1.3),MIN(MAX(J1386/K1386,0),1.3))),"") </f>
        <v/>
      </c>
      <c r="M1386" s="39">
        <f>IFERROR(IF(OR(J1386=0,K1386=""),"",IF(E1386="Positivo",MAX(K1386/J1386,0),MAX(J1386/K1386,0))),"") </f>
        <v/>
      </c>
      <c r="P1386" t="n">
        <v>0</v>
      </c>
      <c r="Q1386" t="n">
        <v>0</v>
      </c>
      <c r="R1386" t="inlineStr">
        <is>
          <t>427-2024-06-30</t>
        </is>
      </c>
    </row>
    <row r="1387">
      <c r="A1387" t="n">
        <v>427</v>
      </c>
      <c r="B1387" t="inlineStr">
        <is>
          <t>Consumo de Agua per Cápita Semestral</t>
        </is>
      </c>
      <c r="C1387" t="inlineStr">
        <is>
          <t>GESTIÓN AMBIENTAL</t>
        </is>
      </c>
      <c r="D1387" t="inlineStr">
        <is>
          <t>Semestral</t>
        </is>
      </c>
      <c r="E1387" t="inlineStr">
        <is>
          <t>Negativo</t>
        </is>
      </c>
      <c r="F1387" s="111" t="n">
        <v>45657</v>
      </c>
      <c r="G1387" t="n">
        <v>2024</v>
      </c>
      <c r="H1387" t="inlineStr">
        <is>
          <t>Diciembre</t>
        </is>
      </c>
      <c r="I1387" t="inlineStr">
        <is>
          <t>2024-2</t>
        </is>
      </c>
      <c r="J1387" t="n">
        <v>0.2</v>
      </c>
      <c r="K1387" t="n">
        <v>0.17</v>
      </c>
      <c r="L1387" s="39">
        <f>IFERROR(IF(OR(J1387=0,K1387=""),"",IF(E1387="Positivo",MIN(MAX(K1387/J1387,0),1.3),MIN(MAX(J1387/K1387,0),1.3))),"") </f>
        <v/>
      </c>
      <c r="M1387" s="39">
        <f>IFERROR(IF(OR(J1387=0,K1387=""),"",IF(E1387="Positivo",MAX(K1387/J1387,0),MAX(J1387/K1387,0))),"") </f>
        <v/>
      </c>
      <c r="P1387" t="n">
        <v>0</v>
      </c>
      <c r="Q1387" t="n">
        <v>0</v>
      </c>
      <c r="R1387" t="inlineStr">
        <is>
          <t>427-2024-12-31</t>
        </is>
      </c>
    </row>
    <row r="1388">
      <c r="A1388" t="n">
        <v>427</v>
      </c>
      <c r="B1388" t="inlineStr">
        <is>
          <t>Consumo de Agua per Cápita Semestral</t>
        </is>
      </c>
      <c r="C1388" t="inlineStr">
        <is>
          <t>GESTIÓN AMBIENTAL</t>
        </is>
      </c>
      <c r="D1388" t="inlineStr">
        <is>
          <t>Trimestral</t>
        </is>
      </c>
      <c r="E1388" t="inlineStr">
        <is>
          <t>Negativo</t>
        </is>
      </c>
      <c r="F1388" s="111" t="n">
        <v>45838</v>
      </c>
      <c r="G1388" t="n">
        <v>2025</v>
      </c>
      <c r="H1388" t="inlineStr">
        <is>
          <t>Junio</t>
        </is>
      </c>
      <c r="I1388" t="inlineStr">
        <is>
          <t>2025-1</t>
        </is>
      </c>
      <c r="J1388" t="n">
        <v>0.2</v>
      </c>
      <c r="K1388" t="n">
        <v>0.14</v>
      </c>
      <c r="L1388" s="39">
        <f>IFERROR(IF(OR(J1388=0,K1388=""),"",IF(E1388="Positivo",MIN(MAX(K1388/J1388,0),1.3),MIN(MAX(J1388/K1388,0),1.3))),"") </f>
        <v/>
      </c>
      <c r="M1388" s="39">
        <f>IFERROR(IF(OR(J1388=0,K1388=""),"",IF(E1388="Positivo",MAX(K1388/J1388,0),MAX(J1388/K1388,0))),"") </f>
        <v/>
      </c>
      <c r="N1388" t="inlineStr">
        <is>
          <t>DEC</t>
        </is>
      </c>
      <c r="O1388" t="inlineStr">
        <is>
          <t>DEC</t>
        </is>
      </c>
      <c r="P1388" t="n">
        <v>2</v>
      </c>
      <c r="Q1388" t="n">
        <v>2</v>
      </c>
      <c r="R1388" t="inlineStr">
        <is>
          <t>427-2025-06-30</t>
        </is>
      </c>
    </row>
    <row r="1389">
      <c r="A1389" t="n">
        <v>427</v>
      </c>
      <c r="B1389" t="inlineStr">
        <is>
          <t>Consumo de Agua per Cápita Semestral</t>
        </is>
      </c>
      <c r="C1389" t="inlineStr">
        <is>
          <t>GESTIÓN AMBIENTAL</t>
        </is>
      </c>
      <c r="D1389" t="inlineStr">
        <is>
          <t>Trimestral</t>
        </is>
      </c>
      <c r="E1389" t="inlineStr">
        <is>
          <t>Negativo</t>
        </is>
      </c>
      <c r="F1389" s="111" t="n">
        <v>46022</v>
      </c>
      <c r="G1389" t="n">
        <v>2025</v>
      </c>
      <c r="H1389" t="inlineStr">
        <is>
          <t>Diciembre</t>
        </is>
      </c>
      <c r="I1389" t="inlineStr">
        <is>
          <t>2025-2</t>
        </is>
      </c>
      <c r="J1389" t="n">
        <v>0.2</v>
      </c>
      <c r="K1389" t="n">
        <v>0.15</v>
      </c>
      <c r="L1389" s="39">
        <f>IFERROR(IF(OR(J1389=0,K1389=""),"",IF(E1389="Positivo",MIN(MAX(K1389/J1389,0),1.3),MIN(MAX(J1389/K1389,0),1.3))),"") </f>
        <v/>
      </c>
      <c r="M1389" s="39">
        <f>IFERROR(IF(OR(J1389=0,K1389=""),"",IF(E1389="Positivo",MAX(K1389/J1389,0),MAX(J1389/K1389,0))),"") </f>
        <v/>
      </c>
      <c r="N1389" t="inlineStr">
        <is>
          <t>DEC</t>
        </is>
      </c>
      <c r="O1389" t="inlineStr">
        <is>
          <t>DEC</t>
        </is>
      </c>
      <c r="P1389" t="n">
        <v>2</v>
      </c>
      <c r="Q1389" t="n">
        <v>2</v>
      </c>
      <c r="R1389" t="inlineStr">
        <is>
          <t>427-2025-12-31</t>
        </is>
      </c>
    </row>
    <row r="1390">
      <c r="A1390" t="n">
        <v>428</v>
      </c>
      <c r="B1390" t="inlineStr">
        <is>
          <t>Consumo de Energía Eléctrica per Cápita Semestral</t>
        </is>
      </c>
      <c r="C1390" t="inlineStr">
        <is>
          <t>GESTIÓN AMBIENTAL</t>
        </is>
      </c>
      <c r="D1390" t="inlineStr">
        <is>
          <t>Semestral</t>
        </is>
      </c>
      <c r="E1390" t="inlineStr">
        <is>
          <t>Negativo</t>
        </is>
      </c>
      <c r="F1390" s="111" t="n">
        <v>45107</v>
      </c>
      <c r="G1390" t="n">
        <v>2023</v>
      </c>
      <c r="H1390" t="inlineStr">
        <is>
          <t>Junio</t>
        </is>
      </c>
      <c r="I1390" t="inlineStr">
        <is>
          <t>2023-1</t>
        </is>
      </c>
      <c r="J1390" t="n">
        <v>1</v>
      </c>
      <c r="K1390" t="n">
        <v>17.59</v>
      </c>
      <c r="L1390" s="39">
        <f>IFERROR(IF(OR(J1390=0,K1390=""),"",IF(E1390="Positivo",MIN(MAX(K1390/J1390,0),1.3),MIN(MAX(J1390/K1390,0),1.3))),"") </f>
        <v/>
      </c>
      <c r="M1390" s="39">
        <f>IFERROR(IF(OR(J1390=0,K1390=""),"",IF(E1390="Positivo",MAX(K1390/J1390,0),MAX(J1390/K1390,0))),"") </f>
        <v/>
      </c>
      <c r="P1390" t="n">
        <v>0</v>
      </c>
      <c r="Q1390" t="n">
        <v>0</v>
      </c>
      <c r="R1390" t="inlineStr">
        <is>
          <t>428-2023-06-30</t>
        </is>
      </c>
    </row>
    <row r="1391">
      <c r="A1391" t="n">
        <v>428</v>
      </c>
      <c r="B1391" t="inlineStr">
        <is>
          <t>Consumo de Energía Eléctrica per Cápita Semestral</t>
        </is>
      </c>
      <c r="C1391" t="inlineStr">
        <is>
          <t>GESTIÓN AMBIENTAL</t>
        </is>
      </c>
      <c r="D1391" t="inlineStr">
        <is>
          <t>Semestral</t>
        </is>
      </c>
      <c r="E1391" t="inlineStr">
        <is>
          <t>Negativo</t>
        </is>
      </c>
      <c r="F1391" s="111" t="n">
        <v>45291</v>
      </c>
      <c r="G1391" t="n">
        <v>2023</v>
      </c>
      <c r="H1391" t="inlineStr">
        <is>
          <t>Diciembre</t>
        </is>
      </c>
      <c r="I1391" t="inlineStr">
        <is>
          <t>2023-2</t>
        </is>
      </c>
      <c r="J1391" t="n">
        <v>1</v>
      </c>
      <c r="K1391" t="n">
        <v>18.63</v>
      </c>
      <c r="L1391" s="39">
        <f>IFERROR(IF(OR(J1391=0,K1391=""),"",IF(E1391="Positivo",MIN(MAX(K1391/J1391,0),1.3),MIN(MAX(J1391/K1391,0),1.3))),"") </f>
        <v/>
      </c>
      <c r="M1391" s="39">
        <f>IFERROR(IF(OR(J1391=0,K1391=""),"",IF(E1391="Positivo",MAX(K1391/J1391,0),MAX(J1391/K1391,0))),"") </f>
        <v/>
      </c>
      <c r="P1391" t="n">
        <v>0</v>
      </c>
      <c r="Q1391" t="n">
        <v>0</v>
      </c>
      <c r="R1391" t="inlineStr">
        <is>
          <t>428-2023-12-31</t>
        </is>
      </c>
    </row>
    <row r="1392">
      <c r="A1392" t="n">
        <v>428</v>
      </c>
      <c r="B1392" t="inlineStr">
        <is>
          <t>Consumo de Energía Eléctrica per Cápita Semestral</t>
        </is>
      </c>
      <c r="C1392" t="inlineStr">
        <is>
          <t>GESTIÓN AMBIENTAL</t>
        </is>
      </c>
      <c r="D1392" t="inlineStr">
        <is>
          <t>Semestral</t>
        </is>
      </c>
      <c r="E1392" t="inlineStr">
        <is>
          <t>Negativo</t>
        </is>
      </c>
      <c r="F1392" s="111" t="n">
        <v>45473</v>
      </c>
      <c r="G1392" t="n">
        <v>2024</v>
      </c>
      <c r="H1392" t="inlineStr">
        <is>
          <t>Junio</t>
        </is>
      </c>
      <c r="I1392" t="inlineStr">
        <is>
          <t>2024-1</t>
        </is>
      </c>
      <c r="J1392" t="n">
        <v>1</v>
      </c>
      <c r="K1392" t="n">
        <v>16.58</v>
      </c>
      <c r="L1392" s="39">
        <f>IFERROR(IF(OR(J1392=0,K1392=""),"",IF(E1392="Positivo",MIN(MAX(K1392/J1392,0),1.3),MIN(MAX(J1392/K1392,0),1.3))),"") </f>
        <v/>
      </c>
      <c r="M1392" s="39">
        <f>IFERROR(IF(OR(J1392=0,K1392=""),"",IF(E1392="Positivo",MAX(K1392/J1392,0),MAX(J1392/K1392,0))),"") </f>
        <v/>
      </c>
      <c r="P1392" t="n">
        <v>0</v>
      </c>
      <c r="Q1392" t="n">
        <v>0</v>
      </c>
      <c r="R1392" t="inlineStr">
        <is>
          <t>428-2024-06-30</t>
        </is>
      </c>
    </row>
    <row r="1393">
      <c r="A1393" t="n">
        <v>428</v>
      </c>
      <c r="B1393" t="inlineStr">
        <is>
          <t>Consumo de Energía Eléctrica per Cápita Semestral</t>
        </is>
      </c>
      <c r="C1393" t="inlineStr">
        <is>
          <t>GESTIÓN AMBIENTAL</t>
        </is>
      </c>
      <c r="D1393" t="inlineStr">
        <is>
          <t>Semestral</t>
        </is>
      </c>
      <c r="E1393" t="inlineStr">
        <is>
          <t>Negativo</t>
        </is>
      </c>
      <c r="F1393" s="111" t="n">
        <v>45657</v>
      </c>
      <c r="G1393" t="n">
        <v>2024</v>
      </c>
      <c r="H1393" t="inlineStr">
        <is>
          <t>Diciembre</t>
        </is>
      </c>
      <c r="I1393" t="inlineStr">
        <is>
          <t>2024-2</t>
        </is>
      </c>
      <c r="J1393" t="n">
        <v>1</v>
      </c>
      <c r="K1393" t="n">
        <v>18.53</v>
      </c>
      <c r="L1393" s="39">
        <f>IFERROR(IF(OR(J1393=0,K1393=""),"",IF(E1393="Positivo",MIN(MAX(K1393/J1393,0),1.3),MIN(MAX(J1393/K1393,0),1.3))),"") </f>
        <v/>
      </c>
      <c r="M1393" s="39">
        <f>IFERROR(IF(OR(J1393=0,K1393=""),"",IF(E1393="Positivo",MAX(K1393/J1393,0),MAX(J1393/K1393,0))),"") </f>
        <v/>
      </c>
      <c r="P1393" t="n">
        <v>0</v>
      </c>
      <c r="Q1393" t="n">
        <v>0</v>
      </c>
      <c r="R1393" t="inlineStr">
        <is>
          <t>428-2024-12-31</t>
        </is>
      </c>
    </row>
    <row r="1394">
      <c r="A1394" t="n">
        <v>428</v>
      </c>
      <c r="B1394" t="inlineStr">
        <is>
          <t>Consumo de Energía Eléctrica per Cápita Semestral</t>
        </is>
      </c>
      <c r="C1394" t="inlineStr">
        <is>
          <t>GESTIÓN AMBIENTAL</t>
        </is>
      </c>
      <c r="D1394" t="inlineStr">
        <is>
          <t>Trimestral</t>
        </is>
      </c>
      <c r="E1394" t="inlineStr">
        <is>
          <t>Negativo</t>
        </is>
      </c>
      <c r="F1394" s="111" t="n">
        <v>45838</v>
      </c>
      <c r="G1394" t="n">
        <v>2025</v>
      </c>
      <c r="H1394" t="inlineStr">
        <is>
          <t>Junio</t>
        </is>
      </c>
      <c r="I1394" t="inlineStr">
        <is>
          <t>2025-1</t>
        </is>
      </c>
      <c r="J1394" t="n">
        <v>1</v>
      </c>
      <c r="K1394" t="n">
        <v>15.12</v>
      </c>
      <c r="L1394" s="39">
        <f>IFERROR(IF(OR(J1394=0,K1394=""),"",IF(E1394="Positivo",MIN(MAX(K1394/J1394,0),1.3),MIN(MAX(J1394/K1394,0),1.3))),"") </f>
        <v/>
      </c>
      <c r="M1394" s="39">
        <f>IFERROR(IF(OR(J1394=0,K1394=""),"",IF(E1394="Positivo",MAX(K1394/J1394,0),MAX(J1394/K1394,0))),"") </f>
        <v/>
      </c>
      <c r="N1394" t="inlineStr">
        <is>
          <t>kWh</t>
        </is>
      </c>
      <c r="O1394" t="inlineStr">
        <is>
          <t>kWh</t>
        </is>
      </c>
      <c r="P1394" t="n">
        <v>0</v>
      </c>
      <c r="Q1394" t="n">
        <v>1</v>
      </c>
      <c r="R1394" t="inlineStr">
        <is>
          <t>428-2025-06-30</t>
        </is>
      </c>
    </row>
    <row r="1395">
      <c r="A1395" t="n">
        <v>428</v>
      </c>
      <c r="B1395" t="inlineStr">
        <is>
          <t>Consumo de Energía Eléctrica per Cápita Semestral</t>
        </is>
      </c>
      <c r="C1395" t="inlineStr">
        <is>
          <t>GESTIÓN AMBIENTAL</t>
        </is>
      </c>
      <c r="D1395" t="inlineStr">
        <is>
          <t>Trimestral</t>
        </is>
      </c>
      <c r="E1395" t="inlineStr">
        <is>
          <t>Negativo</t>
        </is>
      </c>
      <c r="F1395" s="111" t="n">
        <v>46022</v>
      </c>
      <c r="G1395" t="n">
        <v>2025</v>
      </c>
      <c r="H1395" t="inlineStr">
        <is>
          <t>Diciembre</t>
        </is>
      </c>
      <c r="I1395" t="inlineStr">
        <is>
          <t>2025-2</t>
        </is>
      </c>
      <c r="J1395" t="n">
        <v>1</v>
      </c>
      <c r="K1395" t="n">
        <v>17.88</v>
      </c>
      <c r="L1395" s="39">
        <f>IFERROR(IF(OR(J1395=0,K1395=""),"",IF(E1395="Positivo",MIN(MAX(K1395/J1395,0),1.3),MIN(MAX(J1395/K1395,0),1.3))),"") </f>
        <v/>
      </c>
      <c r="M1395" s="39">
        <f>IFERROR(IF(OR(J1395=0,K1395=""),"",IF(E1395="Positivo",MAX(K1395/J1395,0),MAX(J1395/K1395,0))),"") </f>
        <v/>
      </c>
      <c r="N1395" t="inlineStr">
        <is>
          <t>kWh</t>
        </is>
      </c>
      <c r="O1395" t="inlineStr">
        <is>
          <t>kWh</t>
        </is>
      </c>
      <c r="P1395" t="n">
        <v>0</v>
      </c>
      <c r="Q1395" t="n">
        <v>1</v>
      </c>
      <c r="R1395" t="inlineStr">
        <is>
          <t>428-2025-12-31</t>
        </is>
      </c>
    </row>
    <row r="1396">
      <c r="A1396" t="n">
        <v>429</v>
      </c>
      <c r="B1396" t="inlineStr">
        <is>
          <t>Generación de Residuos Sólidos per Cápita Semestral</t>
        </is>
      </c>
      <c r="C1396" t="inlineStr">
        <is>
          <t>GESTIÓN AMBIENTAL</t>
        </is>
      </c>
      <c r="D1396" t="inlineStr">
        <is>
          <t>Semestral</t>
        </is>
      </c>
      <c r="E1396" t="inlineStr">
        <is>
          <t>Negativo</t>
        </is>
      </c>
      <c r="F1396" s="111" t="n">
        <v>45107</v>
      </c>
      <c r="G1396" t="n">
        <v>2023</v>
      </c>
      <c r="H1396" t="inlineStr">
        <is>
          <t>Junio</t>
        </is>
      </c>
      <c r="I1396" t="inlineStr">
        <is>
          <t>2023-1</t>
        </is>
      </c>
      <c r="J1396" t="n">
        <v>0.76</v>
      </c>
      <c r="K1396" t="n">
        <v>0.3</v>
      </c>
      <c r="L1396" s="39">
        <f>IFERROR(IF(OR(J1396=0,K1396=""),"",IF(E1396="Positivo",MIN(MAX(K1396/J1396,0),1.3),MIN(MAX(J1396/K1396,0),1.3))),"") </f>
        <v/>
      </c>
      <c r="M1396" s="39">
        <f>IFERROR(IF(OR(J1396=0,K1396=""),"",IF(E1396="Positivo",MAX(K1396/J1396,0),MAX(J1396/K1396,0))),"") </f>
        <v/>
      </c>
      <c r="N1396" t="inlineStr">
        <is>
          <t>DEC</t>
        </is>
      </c>
      <c r="O1396" t="inlineStr">
        <is>
          <t>DEC</t>
        </is>
      </c>
      <c r="P1396" t="n">
        <v>1</v>
      </c>
      <c r="Q1396" t="n">
        <v>1</v>
      </c>
      <c r="R1396" t="inlineStr">
        <is>
          <t>429-2023-06-30</t>
        </is>
      </c>
    </row>
    <row r="1397">
      <c r="A1397" t="n">
        <v>429</v>
      </c>
      <c r="B1397" t="inlineStr">
        <is>
          <t>Generación de Residuos Sólidos per Cápita Semestral</t>
        </is>
      </c>
      <c r="C1397" t="inlineStr">
        <is>
          <t>GESTIÓN AMBIENTAL</t>
        </is>
      </c>
      <c r="D1397" t="inlineStr">
        <is>
          <t>Semestral</t>
        </is>
      </c>
      <c r="E1397" t="inlineStr">
        <is>
          <t>Negativo</t>
        </is>
      </c>
      <c r="F1397" s="111" t="n">
        <v>45291</v>
      </c>
      <c r="G1397" t="n">
        <v>2023</v>
      </c>
      <c r="H1397" t="inlineStr">
        <is>
          <t>Diciembre</t>
        </is>
      </c>
      <c r="I1397" t="inlineStr">
        <is>
          <t>2023-2</t>
        </is>
      </c>
      <c r="J1397" t="n">
        <v>0.76</v>
      </c>
      <c r="K1397" t="n">
        <v>0.76</v>
      </c>
      <c r="L1397" s="39">
        <f>IFERROR(IF(OR(J1397=0,K1397=""),"",IF(E1397="Positivo",MIN(MAX(K1397/J1397,0),1.3),MIN(MAX(J1397/K1397,0),1.3))),"") </f>
        <v/>
      </c>
      <c r="M1397" s="39">
        <f>IFERROR(IF(OR(J1397=0,K1397=""),"",IF(E1397="Positivo",MAX(K1397/J1397,0),MAX(J1397/K1397,0))),"") </f>
        <v/>
      </c>
      <c r="N1397" t="inlineStr">
        <is>
          <t>DEC</t>
        </is>
      </c>
      <c r="O1397" t="inlineStr">
        <is>
          <t>DEC</t>
        </is>
      </c>
      <c r="P1397" t="n">
        <v>1</v>
      </c>
      <c r="Q1397" t="n">
        <v>1</v>
      </c>
      <c r="R1397" t="inlineStr">
        <is>
          <t>429-2023-12-31</t>
        </is>
      </c>
    </row>
    <row r="1398">
      <c r="A1398" t="n">
        <v>429</v>
      </c>
      <c r="B1398" t="inlineStr">
        <is>
          <t>Generación de Residuos Sólidos per Cápita Semestral</t>
        </is>
      </c>
      <c r="C1398" t="inlineStr">
        <is>
          <t>GESTIÓN AMBIENTAL</t>
        </is>
      </c>
      <c r="D1398" t="inlineStr">
        <is>
          <t>Semestral</t>
        </is>
      </c>
      <c r="E1398" t="inlineStr">
        <is>
          <t>Negativo</t>
        </is>
      </c>
      <c r="F1398" s="111" t="n">
        <v>45473</v>
      </c>
      <c r="G1398" t="n">
        <v>2024</v>
      </c>
      <c r="H1398" t="inlineStr">
        <is>
          <t>Junio</t>
        </is>
      </c>
      <c r="I1398" t="inlineStr">
        <is>
          <t>2024-1</t>
        </is>
      </c>
      <c r="J1398" t="n">
        <v>0.76</v>
      </c>
      <c r="K1398" t="n">
        <v>0.66</v>
      </c>
      <c r="L1398" s="39">
        <f>IFERROR(IF(OR(J1398=0,K1398=""),"",IF(E1398="Positivo",MIN(MAX(K1398/J1398,0),1.3),MIN(MAX(J1398/K1398,0),1.3))),"") </f>
        <v/>
      </c>
      <c r="M1398" s="39">
        <f>IFERROR(IF(OR(J1398=0,K1398=""),"",IF(E1398="Positivo",MAX(K1398/J1398,0),MAX(J1398/K1398,0))),"") </f>
        <v/>
      </c>
      <c r="P1398" t="n">
        <v>0</v>
      </c>
      <c r="Q1398" t="n">
        <v>0</v>
      </c>
      <c r="R1398" t="inlineStr">
        <is>
          <t>429-2024-06-30</t>
        </is>
      </c>
    </row>
    <row r="1399">
      <c r="A1399" t="n">
        <v>429</v>
      </c>
      <c r="B1399" t="inlineStr">
        <is>
          <t>Generación de Residuos Sólidos per Cápita Semestral</t>
        </is>
      </c>
      <c r="C1399" t="inlineStr">
        <is>
          <t>GESTIÓN AMBIENTAL</t>
        </is>
      </c>
      <c r="D1399" t="inlineStr">
        <is>
          <t>Semestral</t>
        </is>
      </c>
      <c r="E1399" t="inlineStr">
        <is>
          <t>Negativo</t>
        </is>
      </c>
      <c r="F1399" s="111" t="n">
        <v>45657</v>
      </c>
      <c r="G1399" t="n">
        <v>2024</v>
      </c>
      <c r="H1399" t="inlineStr">
        <is>
          <t>Diciembre</t>
        </is>
      </c>
      <c r="I1399" t="inlineStr">
        <is>
          <t>2024-2</t>
        </is>
      </c>
      <c r="J1399" t="n">
        <v>0.76</v>
      </c>
      <c r="K1399" t="n">
        <v>0.67</v>
      </c>
      <c r="L1399" s="39">
        <f>IFERROR(IF(OR(J1399=0,K1399=""),"",IF(E1399="Positivo",MIN(MAX(K1399/J1399,0),1.3),MIN(MAX(J1399/K1399,0),1.3))),"") </f>
        <v/>
      </c>
      <c r="M1399" s="39">
        <f>IFERROR(IF(OR(J1399=0,K1399=""),"",IF(E1399="Positivo",MAX(K1399/J1399,0),MAX(J1399/K1399,0))),"") </f>
        <v/>
      </c>
      <c r="P1399" t="n">
        <v>0</v>
      </c>
      <c r="Q1399" t="n">
        <v>0</v>
      </c>
      <c r="R1399" t="inlineStr">
        <is>
          <t>429-2024-12-31</t>
        </is>
      </c>
    </row>
    <row r="1400">
      <c r="A1400" t="n">
        <v>429</v>
      </c>
      <c r="B1400" t="inlineStr">
        <is>
          <t>Generación de Residuos Sólidos per Cápita Semestral</t>
        </is>
      </c>
      <c r="C1400" t="inlineStr">
        <is>
          <t>GESTIÓN AMBIENTAL</t>
        </is>
      </c>
      <c r="D1400" t="inlineStr">
        <is>
          <t>Trimestral</t>
        </is>
      </c>
      <c r="E1400" t="inlineStr">
        <is>
          <t>Negativo</t>
        </is>
      </c>
      <c r="F1400" s="111" t="n">
        <v>45838</v>
      </c>
      <c r="G1400" t="n">
        <v>2025</v>
      </c>
      <c r="H1400" t="inlineStr">
        <is>
          <t>Junio</t>
        </is>
      </c>
      <c r="I1400" t="inlineStr">
        <is>
          <t>2025-1</t>
        </is>
      </c>
      <c r="J1400" t="n">
        <v>0.76</v>
      </c>
      <c r="K1400" t="n">
        <v>0.59</v>
      </c>
      <c r="L1400" s="39">
        <f>IFERROR(IF(OR(J1400=0,K1400=""),"",IF(E1400="Positivo",MIN(MAX(K1400/J1400,0),1.3),MIN(MAX(J1400/K1400,0),1.3))),"") </f>
        <v/>
      </c>
      <c r="M1400" s="39">
        <f>IFERROR(IF(OR(J1400=0,K1400=""),"",IF(E1400="Positivo",MAX(K1400/J1400,0),MAX(J1400/K1400,0))),"") </f>
        <v/>
      </c>
      <c r="N1400" t="inlineStr">
        <is>
          <t>DEC</t>
        </is>
      </c>
      <c r="O1400" t="inlineStr">
        <is>
          <t>DEC</t>
        </is>
      </c>
      <c r="P1400" t="n">
        <v>2</v>
      </c>
      <c r="Q1400" t="n">
        <v>2</v>
      </c>
      <c r="R1400" t="inlineStr">
        <is>
          <t>429-2025-06-30</t>
        </is>
      </c>
    </row>
    <row r="1401">
      <c r="A1401" t="n">
        <v>429</v>
      </c>
      <c r="B1401" t="inlineStr">
        <is>
          <t>Generación de Residuos Sólidos per Cápita Semestral</t>
        </is>
      </c>
      <c r="C1401" t="inlineStr">
        <is>
          <t>GESTIÓN AMBIENTAL</t>
        </is>
      </c>
      <c r="D1401" t="inlineStr">
        <is>
          <t>Trimestral</t>
        </is>
      </c>
      <c r="E1401" t="inlineStr">
        <is>
          <t>Negativo</t>
        </is>
      </c>
      <c r="F1401" s="111" t="n">
        <v>46022</v>
      </c>
      <c r="G1401" t="n">
        <v>2025</v>
      </c>
      <c r="H1401" t="inlineStr">
        <is>
          <t>Diciembre</t>
        </is>
      </c>
      <c r="I1401" t="inlineStr">
        <is>
          <t>2025-2</t>
        </is>
      </c>
      <c r="J1401" t="n">
        <v>0.76</v>
      </c>
      <c r="K1401" t="n">
        <v>0.52</v>
      </c>
      <c r="L1401" s="39">
        <f>IFERROR(IF(OR(J1401=0,K1401=""),"",IF(E1401="Positivo",MIN(MAX(K1401/J1401,0),1.3),MIN(MAX(J1401/K1401,0),1.3))),"") </f>
        <v/>
      </c>
      <c r="M1401" s="39">
        <f>IFERROR(IF(OR(J1401=0,K1401=""),"",IF(E1401="Positivo",MAX(K1401/J1401,0),MAX(J1401/K1401,0))),"") </f>
        <v/>
      </c>
      <c r="N1401" t="inlineStr">
        <is>
          <t>DEC</t>
        </is>
      </c>
      <c r="O1401" t="inlineStr">
        <is>
          <t>DEC</t>
        </is>
      </c>
      <c r="P1401" t="n">
        <v>2</v>
      </c>
      <c r="Q1401" t="n">
        <v>2</v>
      </c>
      <c r="R1401" t="inlineStr">
        <is>
          <t>429-2025-12-31</t>
        </is>
      </c>
    </row>
    <row r="1402">
      <c r="A1402" t="n">
        <v>430</v>
      </c>
      <c r="B1402" t="inlineStr">
        <is>
          <t>Cumplimiento ingresos por matriculas</t>
        </is>
      </c>
      <c r="C1402" t="inlineStr">
        <is>
          <t>Planeación Financiera</t>
        </is>
      </c>
      <c r="D1402" t="inlineStr">
        <is>
          <t>Semestral</t>
        </is>
      </c>
      <c r="E1402" t="inlineStr">
        <is>
          <t>Positivo</t>
        </is>
      </c>
      <c r="F1402" s="111" t="n">
        <v>45107</v>
      </c>
      <c r="G1402" t="n">
        <v>2023</v>
      </c>
      <c r="H1402" t="inlineStr">
        <is>
          <t>Junio</t>
        </is>
      </c>
      <c r="I1402" t="inlineStr">
        <is>
          <t>2023-1</t>
        </is>
      </c>
      <c r="J1402" t="n">
        <v>95</v>
      </c>
      <c r="K1402" t="n">
        <v>104.59563552424</v>
      </c>
      <c r="L1402" s="39">
        <f>IFERROR(IF(OR(J1402=0,K1402=""),"",IF(E1402="Positivo",MIN(MAX(K1402/J1402,0),1.3),MIN(MAX(J1402/K1402,0),1.3))),"") </f>
        <v/>
      </c>
      <c r="M1402" s="39">
        <f>IFERROR(IF(OR(J1402=0,K1402=""),"",IF(E1402="Positivo",MAX(K1402/J1402,0),MAX(J1402/K1402,0))),"") </f>
        <v/>
      </c>
      <c r="N1402" t="inlineStr">
        <is>
          <t>$</t>
        </is>
      </c>
      <c r="O1402" t="inlineStr">
        <is>
          <t>$</t>
        </is>
      </c>
      <c r="P1402" t="n">
        <v>0</v>
      </c>
      <c r="Q1402" t="n">
        <v>0</v>
      </c>
      <c r="R1402" t="inlineStr">
        <is>
          <t>430-2023-06-30</t>
        </is>
      </c>
    </row>
    <row r="1403">
      <c r="A1403" t="n">
        <v>430</v>
      </c>
      <c r="B1403" t="inlineStr">
        <is>
          <t>Cumplimiento ingresos por matriculas</t>
        </is>
      </c>
      <c r="C1403" t="inlineStr">
        <is>
          <t>Planeación Financiera</t>
        </is>
      </c>
      <c r="D1403" t="inlineStr">
        <is>
          <t>Semestral</t>
        </is>
      </c>
      <c r="E1403" t="inlineStr">
        <is>
          <t>Positivo</t>
        </is>
      </c>
      <c r="F1403" s="111" t="n">
        <v>45291</v>
      </c>
      <c r="G1403" t="n">
        <v>2023</v>
      </c>
      <c r="H1403" t="inlineStr">
        <is>
          <t>Diciembre</t>
        </is>
      </c>
      <c r="I1403" t="inlineStr">
        <is>
          <t>2023-2</t>
        </is>
      </c>
      <c r="J1403" t="n">
        <v>95</v>
      </c>
      <c r="K1403" t="n">
        <v>101.39526345983</v>
      </c>
      <c r="L1403" s="39">
        <f>IFERROR(IF(OR(J1403=0,K1403=""),"",IF(E1403="Positivo",MIN(MAX(K1403/J1403,0),1.3),MIN(MAX(J1403/K1403,0),1.3))),"") </f>
        <v/>
      </c>
      <c r="M1403" s="39">
        <f>IFERROR(IF(OR(J1403=0,K1403=""),"",IF(E1403="Positivo",MAX(K1403/J1403,0),MAX(J1403/K1403,0))),"") </f>
        <v/>
      </c>
      <c r="N1403" t="inlineStr">
        <is>
          <t>$</t>
        </is>
      </c>
      <c r="O1403" t="inlineStr">
        <is>
          <t>$</t>
        </is>
      </c>
      <c r="P1403" t="n">
        <v>0</v>
      </c>
      <c r="Q1403" t="n">
        <v>0</v>
      </c>
      <c r="R1403" t="inlineStr">
        <is>
          <t>430-2023-12-31</t>
        </is>
      </c>
    </row>
    <row r="1404">
      <c r="A1404" t="n">
        <v>430</v>
      </c>
      <c r="B1404" t="inlineStr">
        <is>
          <t>Cumplimiento ingresos por matriculas</t>
        </is>
      </c>
      <c r="C1404" t="inlineStr">
        <is>
          <t>Planeación Financiera</t>
        </is>
      </c>
      <c r="D1404" t="inlineStr">
        <is>
          <t>Semestral</t>
        </is>
      </c>
      <c r="E1404" t="inlineStr">
        <is>
          <t>Positivo</t>
        </is>
      </c>
      <c r="F1404" s="111" t="n">
        <v>45473</v>
      </c>
      <c r="G1404" t="n">
        <v>2024</v>
      </c>
      <c r="H1404" t="inlineStr">
        <is>
          <t>Junio</t>
        </is>
      </c>
      <c r="I1404" t="inlineStr">
        <is>
          <t>2024-1</t>
        </is>
      </c>
      <c r="J1404" t="n">
        <v>95</v>
      </c>
      <c r="K1404" t="n">
        <v>101.88</v>
      </c>
      <c r="L1404" s="39">
        <f>IFERROR(IF(OR(J1404=0,K1404=""),"",IF(E1404="Positivo",MIN(MAX(K1404/J1404,0),1.3),MIN(MAX(J1404/K1404,0),1.3))),"") </f>
        <v/>
      </c>
      <c r="M1404" s="39">
        <f>IFERROR(IF(OR(J1404=0,K1404=""),"",IF(E1404="Positivo",MAX(K1404/J1404,0),MAX(J1404/K1404,0))),"") </f>
        <v/>
      </c>
      <c r="N1404" t="inlineStr">
        <is>
          <t>$</t>
        </is>
      </c>
      <c r="O1404" t="inlineStr">
        <is>
          <t>$</t>
        </is>
      </c>
      <c r="P1404" t="n">
        <v>0</v>
      </c>
      <c r="Q1404" t="n">
        <v>0</v>
      </c>
      <c r="R1404" t="inlineStr">
        <is>
          <t>430-2024-06-30</t>
        </is>
      </c>
    </row>
    <row r="1405">
      <c r="A1405" t="n">
        <v>430</v>
      </c>
      <c r="B1405" t="inlineStr">
        <is>
          <t>Cumplimiento ingresos por matriculas</t>
        </is>
      </c>
      <c r="C1405" t="inlineStr">
        <is>
          <t>Planeación Financiera</t>
        </is>
      </c>
      <c r="D1405" t="inlineStr">
        <is>
          <t>Semestral</t>
        </is>
      </c>
      <c r="E1405" t="inlineStr">
        <is>
          <t>Positivo</t>
        </is>
      </c>
      <c r="F1405" s="111" t="n">
        <v>45657</v>
      </c>
      <c r="G1405" t="n">
        <v>2024</v>
      </c>
      <c r="H1405" t="inlineStr">
        <is>
          <t>Diciembre</t>
        </is>
      </c>
      <c r="I1405" t="inlineStr">
        <is>
          <t>2024-2</t>
        </is>
      </c>
      <c r="J1405" t="n">
        <v>95</v>
      </c>
      <c r="K1405" t="n">
        <v>102.9374919710379</v>
      </c>
      <c r="L1405" s="39">
        <f>IFERROR(IF(OR(J1405=0,K1405=""),"",IF(E1405="Positivo",MIN(MAX(K1405/J1405,0),1.3),MIN(MAX(J1405/K1405,0),1.3))),"") </f>
        <v/>
      </c>
      <c r="M1405" s="39">
        <f>IFERROR(IF(OR(J1405=0,K1405=""),"",IF(E1405="Positivo",MAX(K1405/J1405,0),MAX(J1405/K1405,0))),"") </f>
        <v/>
      </c>
      <c r="P1405" t="n">
        <v>0</v>
      </c>
      <c r="Q1405" t="n">
        <v>0</v>
      </c>
      <c r="R1405" t="inlineStr">
        <is>
          <t>430-2024-12-31</t>
        </is>
      </c>
    </row>
    <row r="1406">
      <c r="A1406" t="n">
        <v>430</v>
      </c>
      <c r="B1406" t="inlineStr">
        <is>
          <t>Cumplimiento ingresos por matriculas</t>
        </is>
      </c>
      <c r="C1406" t="inlineStr">
        <is>
          <t>Planeación Financiera</t>
        </is>
      </c>
      <c r="D1406" t="inlineStr">
        <is>
          <t>Trimestral</t>
        </is>
      </c>
      <c r="E1406" t="inlineStr">
        <is>
          <t>Positivo</t>
        </is>
      </c>
      <c r="F1406" s="111" t="n">
        <v>45838</v>
      </c>
      <c r="G1406" t="n">
        <v>2025</v>
      </c>
      <c r="H1406" t="inlineStr">
        <is>
          <t>Junio</t>
        </is>
      </c>
      <c r="I1406" t="inlineStr">
        <is>
          <t>2025-1</t>
        </is>
      </c>
      <c r="J1406" t="n">
        <v>95</v>
      </c>
      <c r="K1406" t="n">
        <v>110.79</v>
      </c>
      <c r="L1406" s="39">
        <f>IFERROR(IF(OR(J1406=0,K1406=""),"",IF(E1406="Positivo",MIN(MAX(K1406/J1406,0),1.3),MIN(MAX(J1406/K1406,0),1.3))),"") </f>
        <v/>
      </c>
      <c r="M1406" s="39">
        <f>IFERROR(IF(OR(J1406=0,K1406=""),"",IF(E1406="Positivo",MAX(K1406/J1406,0),MAX(J1406/K1406,0))),"") </f>
        <v/>
      </c>
      <c r="N1406" t="inlineStr">
        <is>
          <t>%</t>
        </is>
      </c>
      <c r="O1406" t="inlineStr">
        <is>
          <t>%</t>
        </is>
      </c>
      <c r="P1406" t="n">
        <v>0</v>
      </c>
      <c r="Q1406" t="n">
        <v>0</v>
      </c>
      <c r="R1406" t="inlineStr">
        <is>
          <t>430-2025-06-30</t>
        </is>
      </c>
    </row>
    <row r="1407">
      <c r="A1407" t="n">
        <v>430</v>
      </c>
      <c r="B1407" t="inlineStr">
        <is>
          <t>Cumplimiento ingresos por matriculas</t>
        </is>
      </c>
      <c r="C1407" t="inlineStr">
        <is>
          <t>Planeación Financiera</t>
        </is>
      </c>
      <c r="D1407" t="inlineStr">
        <is>
          <t>Trimestral</t>
        </is>
      </c>
      <c r="E1407" t="inlineStr">
        <is>
          <t>Positivo</t>
        </is>
      </c>
      <c r="F1407" s="111" t="n">
        <v>46022</v>
      </c>
      <c r="G1407" t="n">
        <v>2025</v>
      </c>
      <c r="H1407" t="inlineStr">
        <is>
          <t>Diciembre</t>
        </is>
      </c>
      <c r="I1407" t="inlineStr">
        <is>
          <t>2025-2</t>
        </is>
      </c>
      <c r="J1407" t="n">
        <v>95</v>
      </c>
      <c r="K1407" t="n">
        <v>111.76</v>
      </c>
      <c r="L1407" s="39">
        <f>IFERROR(IF(OR(J1407=0,K1407=""),"",IF(E1407="Positivo",MIN(MAX(K1407/J1407,0),1.3),MIN(MAX(J1407/K1407,0),1.3))),"") </f>
        <v/>
      </c>
      <c r="M1407" s="39">
        <f>IFERROR(IF(OR(J1407=0,K1407=""),"",IF(E1407="Positivo",MAX(K1407/J1407,0),MAX(J1407/K1407,0))),"") </f>
        <v/>
      </c>
      <c r="N1407" t="inlineStr">
        <is>
          <t>%</t>
        </is>
      </c>
      <c r="O1407" t="inlineStr">
        <is>
          <t>%</t>
        </is>
      </c>
      <c r="P1407" t="n">
        <v>0</v>
      </c>
      <c r="Q1407" t="n">
        <v>0</v>
      </c>
      <c r="R1407" t="inlineStr">
        <is>
          <t>430-2025-12-31</t>
        </is>
      </c>
    </row>
    <row r="1408">
      <c r="A1408" t="n">
        <v>431</v>
      </c>
      <c r="B1408" t="inlineStr">
        <is>
          <t>Gestión de casos de salud que impactan a los colaboradores</t>
        </is>
      </c>
      <c r="C1408" t="inlineStr">
        <is>
          <t>GESTIÓN DE SEGURIDAD Y SALUD EN EL TRABAJO</t>
        </is>
      </c>
      <c r="D1408" t="inlineStr">
        <is>
          <t>Trimestral</t>
        </is>
      </c>
      <c r="E1408" t="inlineStr">
        <is>
          <t>Positivo</t>
        </is>
      </c>
      <c r="F1408" s="111" t="n">
        <v>45199</v>
      </c>
      <c r="G1408" t="n">
        <v>2023</v>
      </c>
      <c r="H1408" t="inlineStr">
        <is>
          <t>Septiembre</t>
        </is>
      </c>
      <c r="I1408" t="inlineStr">
        <is>
          <t>2023-2</t>
        </is>
      </c>
      <c r="J1408" t="n">
        <v>100</v>
      </c>
      <c r="K1408" t="n">
        <v>100</v>
      </c>
      <c r="L1408" s="39">
        <f>IFERROR(IF(OR(J1408=0,K1408=""),"",IF(E1408="Positivo",MIN(MAX(K1408/J1408,0),1.3),MIN(MAX(J1408/K1408,0),1.3))),"") </f>
        <v/>
      </c>
      <c r="M1408" s="39">
        <f>IFERROR(IF(OR(J1408=0,K1408=""),"",IF(E1408="Positivo",MAX(K1408/J1408,0),MAX(J1408/K1408,0))),"") </f>
        <v/>
      </c>
      <c r="N1408" t="inlineStr">
        <is>
          <t>%</t>
        </is>
      </c>
      <c r="O1408" t="inlineStr">
        <is>
          <t>%</t>
        </is>
      </c>
      <c r="P1408" t="n">
        <v>0</v>
      </c>
      <c r="Q1408" t="n">
        <v>0</v>
      </c>
      <c r="R1408" t="inlineStr">
        <is>
          <t>431-2023-09-30</t>
        </is>
      </c>
    </row>
    <row r="1409">
      <c r="A1409" t="n">
        <v>431</v>
      </c>
      <c r="B1409" t="inlineStr">
        <is>
          <t>Gestión de casos de salud que impactan a los colaboradores</t>
        </is>
      </c>
      <c r="C1409" t="inlineStr">
        <is>
          <t>GESTIÓN DE SEGURIDAD Y SALUD EN EL TRABAJO</t>
        </is>
      </c>
      <c r="D1409" t="inlineStr">
        <is>
          <t>Trimestral</t>
        </is>
      </c>
      <c r="E1409" t="inlineStr">
        <is>
          <t>Positivo</t>
        </is>
      </c>
      <c r="F1409" s="111" t="n">
        <v>45291</v>
      </c>
      <c r="G1409" t="n">
        <v>2023</v>
      </c>
      <c r="H1409" t="inlineStr">
        <is>
          <t>Diciembre</t>
        </is>
      </c>
      <c r="I1409" t="inlineStr">
        <is>
          <t>2023-2</t>
        </is>
      </c>
      <c r="J1409" t="n">
        <v>100</v>
      </c>
      <c r="K1409" t="n">
        <v>100</v>
      </c>
      <c r="L1409" s="39">
        <f>IFERROR(IF(OR(J1409=0,K1409=""),"",IF(E1409="Positivo",MIN(MAX(K1409/J1409,0),1.3),MIN(MAX(J1409/K1409,0),1.3))),"") </f>
        <v/>
      </c>
      <c r="M1409" s="39">
        <f>IFERROR(IF(OR(J1409=0,K1409=""),"",IF(E1409="Positivo",MAX(K1409/J1409,0),MAX(J1409/K1409,0))),"") </f>
        <v/>
      </c>
      <c r="N1409" t="inlineStr">
        <is>
          <t>%</t>
        </is>
      </c>
      <c r="O1409" t="inlineStr">
        <is>
          <t>%</t>
        </is>
      </c>
      <c r="P1409" t="n">
        <v>0</v>
      </c>
      <c r="Q1409" t="n">
        <v>0</v>
      </c>
      <c r="R1409" t="inlineStr">
        <is>
          <t>431-2023-12-31</t>
        </is>
      </c>
    </row>
    <row r="1410">
      <c r="A1410" t="n">
        <v>431</v>
      </c>
      <c r="B1410" t="inlineStr">
        <is>
          <t>Gestión de casos de salud que impactan a los colaboradores</t>
        </is>
      </c>
      <c r="C1410" t="inlineStr">
        <is>
          <t>GESTIÓN DE SEGURIDAD Y SALUD EN EL TRABAJO</t>
        </is>
      </c>
      <c r="D1410" t="inlineStr">
        <is>
          <t>Trimestral</t>
        </is>
      </c>
      <c r="E1410" t="inlineStr">
        <is>
          <t>Positivo</t>
        </is>
      </c>
      <c r="F1410" s="111" t="n">
        <v>45473</v>
      </c>
      <c r="G1410" t="n">
        <v>2024</v>
      </c>
      <c r="H1410" t="inlineStr">
        <is>
          <t>Junio</t>
        </is>
      </c>
      <c r="I1410" t="inlineStr">
        <is>
          <t>2024-1</t>
        </is>
      </c>
      <c r="J1410" t="n">
        <v>100</v>
      </c>
      <c r="K1410" t="n">
        <v>100</v>
      </c>
      <c r="L1410" s="39">
        <f>IFERROR(IF(OR(J1410=0,K1410=""),"",IF(E1410="Positivo",MIN(MAX(K1410/J1410,0),1.3),MIN(MAX(J1410/K1410,0),1.3))),"") </f>
        <v/>
      </c>
      <c r="M1410" s="39">
        <f>IFERROR(IF(OR(J1410=0,K1410=""),"",IF(E1410="Positivo",MAX(K1410/J1410,0),MAX(J1410/K1410,0))),"") </f>
        <v/>
      </c>
      <c r="P1410" t="n">
        <v>0</v>
      </c>
      <c r="Q1410" t="n">
        <v>0</v>
      </c>
      <c r="R1410" t="inlineStr">
        <is>
          <t>431-2024-06-30</t>
        </is>
      </c>
    </row>
    <row r="1411">
      <c r="A1411" t="n">
        <v>431</v>
      </c>
      <c r="B1411" t="inlineStr">
        <is>
          <t>Gestión de casos de salud que impactan a los colaboradores</t>
        </is>
      </c>
      <c r="C1411" t="inlineStr">
        <is>
          <t>GESTIÓN DE SEGURIDAD Y SALUD EN EL TRABAJO</t>
        </is>
      </c>
      <c r="D1411" t="inlineStr">
        <is>
          <t>Trimestral</t>
        </is>
      </c>
      <c r="E1411" t="inlineStr">
        <is>
          <t>Positivo</t>
        </is>
      </c>
      <c r="F1411" s="111" t="n">
        <v>45657</v>
      </c>
      <c r="G1411" t="n">
        <v>2024</v>
      </c>
      <c r="H1411" t="inlineStr">
        <is>
          <t>Diciembre</t>
        </is>
      </c>
      <c r="I1411" t="inlineStr">
        <is>
          <t>2024-2</t>
        </is>
      </c>
      <c r="J1411" t="n">
        <v>100</v>
      </c>
      <c r="K1411" t="n">
        <v>100</v>
      </c>
      <c r="L1411" s="39">
        <f>IFERROR(IF(OR(J1411=0,K1411=""),"",IF(E1411="Positivo",MIN(MAX(K1411/J1411,0),1.3),MIN(MAX(J1411/K1411,0),1.3))),"") </f>
        <v/>
      </c>
      <c r="M1411" s="39">
        <f>IFERROR(IF(OR(J1411=0,K1411=""),"",IF(E1411="Positivo",MAX(K1411/J1411,0),MAX(J1411/K1411,0))),"") </f>
        <v/>
      </c>
      <c r="P1411" t="n">
        <v>0</v>
      </c>
      <c r="Q1411" t="n">
        <v>0</v>
      </c>
      <c r="R1411" t="inlineStr">
        <is>
          <t>431-2024-12-31</t>
        </is>
      </c>
    </row>
    <row r="1412">
      <c r="A1412" t="n">
        <v>431</v>
      </c>
      <c r="B1412" t="inlineStr">
        <is>
          <t>Gestión de casos de salud que impactan a los colaboradores</t>
        </is>
      </c>
      <c r="C1412" t="inlineStr">
        <is>
          <t>GESTIÓN DE SEGURIDAD Y SALUD EN EL TRABAJO</t>
        </is>
      </c>
      <c r="D1412" t="inlineStr">
        <is>
          <t>Trimestral</t>
        </is>
      </c>
      <c r="E1412" t="inlineStr">
        <is>
          <t>Positivo</t>
        </is>
      </c>
      <c r="F1412" s="111" t="n">
        <v>45838</v>
      </c>
      <c r="G1412" t="n">
        <v>2025</v>
      </c>
      <c r="H1412" t="inlineStr">
        <is>
          <t>Junio</t>
        </is>
      </c>
      <c r="I1412" t="inlineStr">
        <is>
          <t>2025-1</t>
        </is>
      </c>
      <c r="J1412" t="n">
        <v>100</v>
      </c>
      <c r="K1412" t="n">
        <v>100</v>
      </c>
      <c r="L1412" s="39">
        <f>IFERROR(IF(OR(J1412=0,K1412=""),"",IF(E1412="Positivo",MIN(MAX(K1412/J1412,0),1.3),MIN(MAX(J1412/K1412,0),1.3))),"") </f>
        <v/>
      </c>
      <c r="M1412" s="39">
        <f>IFERROR(IF(OR(J1412=0,K1412=""),"",IF(E1412="Positivo",MAX(K1412/J1412,0),MAX(J1412/K1412,0))),"") </f>
        <v/>
      </c>
      <c r="N1412" t="inlineStr">
        <is>
          <t>%</t>
        </is>
      </c>
      <c r="O1412" t="inlineStr">
        <is>
          <t>%</t>
        </is>
      </c>
      <c r="P1412" t="n">
        <v>0</v>
      </c>
      <c r="Q1412" t="n">
        <v>0</v>
      </c>
      <c r="R1412" t="inlineStr">
        <is>
          <t>431-2025-06-30</t>
        </is>
      </c>
    </row>
    <row r="1413">
      <c r="A1413" t="n">
        <v>431</v>
      </c>
      <c r="B1413" t="inlineStr">
        <is>
          <t>Gestión de casos de salud que impactan a los colaboradores</t>
        </is>
      </c>
      <c r="C1413" t="inlineStr">
        <is>
          <t>GESTIÓN DE SEGURIDAD Y SALUD EN EL TRABAJO</t>
        </is>
      </c>
      <c r="D1413" t="inlineStr">
        <is>
          <t>Semestral</t>
        </is>
      </c>
      <c r="E1413" t="inlineStr">
        <is>
          <t>Positivo</t>
        </is>
      </c>
      <c r="F1413" s="111" t="n">
        <v>46022</v>
      </c>
      <c r="G1413" t="n">
        <v>2025</v>
      </c>
      <c r="H1413" t="inlineStr">
        <is>
          <t>Diciembre</t>
        </is>
      </c>
      <c r="I1413" t="inlineStr">
        <is>
          <t>2025-2</t>
        </is>
      </c>
      <c r="J1413" t="n">
        <v>100</v>
      </c>
      <c r="K1413" t="n">
        <v>100</v>
      </c>
      <c r="L1413" s="39">
        <f>IFERROR(IF(OR(J1413=0,K1413=""),"",IF(E1413="Positivo",MIN(MAX(K1413/J1413,0),1.3),MIN(MAX(J1413/K1413,0),1.3))),"") </f>
        <v/>
      </c>
      <c r="M1413" s="39">
        <f>IFERROR(IF(OR(J1413=0,K1413=""),"",IF(E1413="Positivo",MAX(K1413/J1413,0),MAX(J1413/K1413,0))),"") </f>
        <v/>
      </c>
      <c r="N1413" t="inlineStr">
        <is>
          <t>%</t>
        </is>
      </c>
      <c r="O1413" t="inlineStr">
        <is>
          <t>%</t>
        </is>
      </c>
      <c r="P1413" t="n">
        <v>0</v>
      </c>
      <c r="Q1413" t="n">
        <v>0</v>
      </c>
      <c r="R1413" t="inlineStr">
        <is>
          <t>431-2025-12-31</t>
        </is>
      </c>
    </row>
    <row r="1414">
      <c r="A1414" t="n">
        <v>432</v>
      </c>
      <c r="B1414" t="inlineStr">
        <is>
          <t>Intervención a la gestión del riesgo de los colaboradores</t>
        </is>
      </c>
      <c r="C1414" t="inlineStr">
        <is>
          <t>GESTIÓN DE SEGURIDAD Y SALUD EN EL TRABAJO</t>
        </is>
      </c>
      <c r="D1414" t="inlineStr">
        <is>
          <t>Semestral</t>
        </is>
      </c>
      <c r="E1414" t="inlineStr">
        <is>
          <t>Positivo</t>
        </is>
      </c>
      <c r="F1414" s="111" t="n">
        <v>45107</v>
      </c>
      <c r="G1414" t="n">
        <v>2023</v>
      </c>
      <c r="H1414" t="inlineStr">
        <is>
          <t>Junio</t>
        </is>
      </c>
      <c r="I1414" t="inlineStr">
        <is>
          <t>2023-1</t>
        </is>
      </c>
      <c r="L1414" s="39" t="n"/>
      <c r="M1414" s="39" t="n"/>
      <c r="N1414" t="inlineStr">
        <is>
          <t>%</t>
        </is>
      </c>
      <c r="O1414" t="inlineStr">
        <is>
          <t>No Aplica</t>
        </is>
      </c>
      <c r="P1414" t="n">
        <v>0</v>
      </c>
      <c r="Q1414" t="n">
        <v>0</v>
      </c>
      <c r="R1414" t="inlineStr">
        <is>
          <t>432-2023-06-30</t>
        </is>
      </c>
      <c r="S1414" t="inlineStr">
        <is>
          <t>No Aplica</t>
        </is>
      </c>
    </row>
    <row r="1415">
      <c r="A1415" t="n">
        <v>432</v>
      </c>
      <c r="B1415" t="inlineStr">
        <is>
          <t>Intervención a la gestión del riesgo de los colaboradores</t>
        </is>
      </c>
      <c r="C1415" t="inlineStr">
        <is>
          <t>GESTIÓN DE SEGURIDAD Y SALUD EN EL TRABAJO</t>
        </is>
      </c>
      <c r="D1415" t="inlineStr">
        <is>
          <t>Trimestral</t>
        </is>
      </c>
      <c r="E1415" t="inlineStr">
        <is>
          <t>Positivo</t>
        </is>
      </c>
      <c r="F1415" s="111" t="n">
        <v>45291</v>
      </c>
      <c r="G1415" t="n">
        <v>2023</v>
      </c>
      <c r="H1415" t="inlineStr">
        <is>
          <t>Diciembre</t>
        </is>
      </c>
      <c r="I1415" t="inlineStr">
        <is>
          <t>2023-2</t>
        </is>
      </c>
      <c r="J1415" t="n">
        <v>90</v>
      </c>
      <c r="K1415" t="n">
        <v>99.382777777778</v>
      </c>
      <c r="L1415" s="39">
        <f>IFERROR(IF(OR(J1415=0,K1415=""),"",IF(E1415="Positivo",MIN(MAX(K1415/J1415,0),1.3),MIN(MAX(J1415/K1415,0),1.3))),"") </f>
        <v/>
      </c>
      <c r="M1415" s="39">
        <f>IFERROR(IF(OR(J1415=0,K1415=""),"",IF(E1415="Positivo",MAX(K1415/J1415,0),MAX(J1415/K1415,0))),"") </f>
        <v/>
      </c>
      <c r="N1415" t="inlineStr">
        <is>
          <t>%</t>
        </is>
      </c>
      <c r="O1415" t="inlineStr">
        <is>
          <t>%</t>
        </is>
      </c>
      <c r="P1415" t="n">
        <v>0</v>
      </c>
      <c r="Q1415" t="n">
        <v>0</v>
      </c>
      <c r="R1415" t="inlineStr">
        <is>
          <t>432-2023-12-31</t>
        </is>
      </c>
    </row>
    <row r="1416">
      <c r="A1416" t="n">
        <v>432</v>
      </c>
      <c r="B1416" t="inlineStr">
        <is>
          <t>Intervención a la gestión del riesgo de los colaboradores</t>
        </is>
      </c>
      <c r="C1416" t="inlineStr">
        <is>
          <t>GESTIÓN DE SEGURIDAD Y SALUD EN EL TRABAJO</t>
        </is>
      </c>
      <c r="D1416" t="inlineStr">
        <is>
          <t>Trimestral</t>
        </is>
      </c>
      <c r="E1416" t="inlineStr">
        <is>
          <t>Positivo</t>
        </is>
      </c>
      <c r="F1416" s="111" t="n">
        <v>45473</v>
      </c>
      <c r="G1416" t="n">
        <v>2024</v>
      </c>
      <c r="H1416" t="inlineStr">
        <is>
          <t>Junio</t>
        </is>
      </c>
      <c r="I1416" t="inlineStr">
        <is>
          <t>2024-1</t>
        </is>
      </c>
      <c r="J1416" t="n">
        <v>90</v>
      </c>
      <c r="K1416" t="n">
        <v>100</v>
      </c>
      <c r="L1416" s="39">
        <f>IFERROR(IF(OR(J1416=0,K1416=""),"",IF(E1416="Positivo",MIN(MAX(K1416/J1416,0),1.3),MIN(MAX(J1416/K1416,0),1.3))),"") </f>
        <v/>
      </c>
      <c r="M1416" s="39">
        <f>IFERROR(IF(OR(J1416=0,K1416=""),"",IF(E1416="Positivo",MAX(K1416/J1416,0),MAX(J1416/K1416,0))),"") </f>
        <v/>
      </c>
      <c r="P1416" t="n">
        <v>0</v>
      </c>
      <c r="Q1416" t="n">
        <v>0</v>
      </c>
      <c r="R1416" t="inlineStr">
        <is>
          <t>432-2024-06-30</t>
        </is>
      </c>
    </row>
    <row r="1417">
      <c r="A1417" t="n">
        <v>432</v>
      </c>
      <c r="B1417" t="inlineStr">
        <is>
          <t>Intervención a la gestión del riesgo de los colaboradores</t>
        </is>
      </c>
      <c r="C1417" t="inlineStr">
        <is>
          <t>GESTIÓN DE SEGURIDAD Y SALUD EN EL TRABAJO</t>
        </is>
      </c>
      <c r="D1417" t="inlineStr">
        <is>
          <t>Trimestral</t>
        </is>
      </c>
      <c r="E1417" t="inlineStr">
        <is>
          <t>Positivo</t>
        </is>
      </c>
      <c r="F1417" s="111" t="n">
        <v>45657</v>
      </c>
      <c r="G1417" t="n">
        <v>2024</v>
      </c>
      <c r="H1417" t="inlineStr">
        <is>
          <t>Diciembre</t>
        </is>
      </c>
      <c r="I1417" t="inlineStr">
        <is>
          <t>2024-2</t>
        </is>
      </c>
      <c r="J1417" t="n">
        <v>90</v>
      </c>
      <c r="K1417" t="n">
        <v>50</v>
      </c>
      <c r="L1417" s="39">
        <f>IFERROR(IF(OR(J1417=0,K1417=""),"",IF(E1417="Positivo",MIN(MAX(K1417/J1417,0),1.3),MIN(MAX(J1417/K1417,0),1.3))),"") </f>
        <v/>
      </c>
      <c r="M1417" s="39">
        <f>IFERROR(IF(OR(J1417=0,K1417=""),"",IF(E1417="Positivo",MAX(K1417/J1417,0),MAX(J1417/K1417,0))),"") </f>
        <v/>
      </c>
      <c r="P1417" t="n">
        <v>0</v>
      </c>
      <c r="Q1417" t="n">
        <v>0</v>
      </c>
      <c r="R1417" t="inlineStr">
        <is>
          <t>432-2024-12-31</t>
        </is>
      </c>
    </row>
    <row r="1418">
      <c r="A1418" t="n">
        <v>432</v>
      </c>
      <c r="B1418" t="inlineStr">
        <is>
          <t>Intervención a la gestión del riesgo de los colaboradores</t>
        </is>
      </c>
      <c r="C1418" t="inlineStr">
        <is>
          <t>GESTIÓN DE SEGURIDAD Y SALUD EN EL TRABAJO</t>
        </is>
      </c>
      <c r="D1418" t="inlineStr">
        <is>
          <t>Trimestral</t>
        </is>
      </c>
      <c r="E1418" t="inlineStr">
        <is>
          <t>Positivo</t>
        </is>
      </c>
      <c r="F1418" s="111" t="n">
        <v>45838</v>
      </c>
      <c r="G1418" t="n">
        <v>2025</v>
      </c>
      <c r="H1418" t="inlineStr">
        <is>
          <t>Junio</t>
        </is>
      </c>
      <c r="I1418" t="inlineStr">
        <is>
          <t>2025-1</t>
        </is>
      </c>
      <c r="J1418" t="n">
        <v>90</v>
      </c>
      <c r="K1418" t="n">
        <v>100</v>
      </c>
      <c r="L1418" s="39">
        <f>IFERROR(IF(OR(J1418=0,K1418=""),"",IF(E1418="Positivo",MIN(MAX(K1418/J1418,0),1.3),MIN(MAX(J1418/K1418,0),1.3))),"") </f>
        <v/>
      </c>
      <c r="M1418" s="39">
        <f>IFERROR(IF(OR(J1418=0,K1418=""),"",IF(E1418="Positivo",MAX(K1418/J1418,0),MAX(J1418/K1418,0))),"") </f>
        <v/>
      </c>
      <c r="N1418" t="inlineStr">
        <is>
          <t>%</t>
        </is>
      </c>
      <c r="O1418" t="inlineStr">
        <is>
          <t>%</t>
        </is>
      </c>
      <c r="P1418" t="n">
        <v>0</v>
      </c>
      <c r="Q1418" t="n">
        <v>0</v>
      </c>
      <c r="R1418" t="inlineStr">
        <is>
          <t>432-2025-06-30</t>
        </is>
      </c>
    </row>
    <row r="1419">
      <c r="A1419" t="n">
        <v>432</v>
      </c>
      <c r="B1419" t="inlineStr">
        <is>
          <t>Intervención a la gestión del riesgo de los colaboradores</t>
        </is>
      </c>
      <c r="C1419" t="inlineStr">
        <is>
          <t>GESTIÓN DE SEGURIDAD Y SALUD EN EL TRABAJO</t>
        </is>
      </c>
      <c r="D1419" t="inlineStr">
        <is>
          <t>Semestral</t>
        </is>
      </c>
      <c r="E1419" t="inlineStr">
        <is>
          <t>Positivo</t>
        </is>
      </c>
      <c r="F1419" s="111" t="n">
        <v>46022</v>
      </c>
      <c r="G1419" t="n">
        <v>2025</v>
      </c>
      <c r="H1419" t="inlineStr">
        <is>
          <t>Diciembre</t>
        </is>
      </c>
      <c r="I1419" t="inlineStr">
        <is>
          <t>2025-2</t>
        </is>
      </c>
      <c r="J1419" t="n">
        <v>90</v>
      </c>
      <c r="K1419" t="n">
        <v>100</v>
      </c>
      <c r="L1419" s="39">
        <f>IFERROR(IF(OR(J1419=0,K1419=""),"",IF(E1419="Positivo",MIN(MAX(K1419/J1419,0),1.3),MIN(MAX(J1419/K1419,0),1.3))),"") </f>
        <v/>
      </c>
      <c r="M1419" s="39">
        <f>IFERROR(IF(OR(J1419=0,K1419=""),"",IF(E1419="Positivo",MAX(K1419/J1419,0),MAX(J1419/K1419,0))),"") </f>
        <v/>
      </c>
      <c r="N1419" t="inlineStr">
        <is>
          <t>%</t>
        </is>
      </c>
      <c r="O1419" t="inlineStr">
        <is>
          <t>%</t>
        </is>
      </c>
      <c r="P1419" t="n">
        <v>0</v>
      </c>
      <c r="Q1419" t="n">
        <v>0</v>
      </c>
      <c r="R1419" t="inlineStr">
        <is>
          <t>432-2025-12-31</t>
        </is>
      </c>
    </row>
    <row r="1420">
      <c r="A1420" t="n">
        <v>433</v>
      </c>
      <c r="B1420" t="inlineStr">
        <is>
          <t>Generación de Residuos Peligrosos per Cápita Semestral</t>
        </is>
      </c>
      <c r="C1420" t="inlineStr">
        <is>
          <t>GESTIÓN AMBIENTAL</t>
        </is>
      </c>
      <c r="D1420" t="inlineStr">
        <is>
          <t>Semestral</t>
        </is>
      </c>
      <c r="E1420" t="inlineStr">
        <is>
          <t>Negativo</t>
        </is>
      </c>
      <c r="F1420" s="111" t="n">
        <v>45107</v>
      </c>
      <c r="G1420" t="n">
        <v>2023</v>
      </c>
      <c r="H1420" t="inlineStr">
        <is>
          <t>Junio</t>
        </is>
      </c>
      <c r="I1420" t="inlineStr">
        <is>
          <t>2023-1</t>
        </is>
      </c>
      <c r="J1420" t="n">
        <v>0.05</v>
      </c>
      <c r="K1420" t="n">
        <v>0.02</v>
      </c>
      <c r="L1420" s="39">
        <f>IFERROR(IF(OR(J1420=0,K1420=""),"",IF(E1420="Positivo",MIN(MAX(K1420/J1420,0),1.3),MIN(MAX(J1420/K1420,0),1.3))),"") </f>
        <v/>
      </c>
      <c r="M1420" s="39">
        <f>IFERROR(IF(OR(J1420=0,K1420=""),"",IF(E1420="Positivo",MAX(K1420/J1420,0),MAX(J1420/K1420,0))),"") </f>
        <v/>
      </c>
      <c r="N1420" t="inlineStr">
        <is>
          <t>DEC</t>
        </is>
      </c>
      <c r="O1420" t="inlineStr">
        <is>
          <t>DEC</t>
        </is>
      </c>
      <c r="P1420" t="n">
        <v>2</v>
      </c>
      <c r="Q1420" t="n">
        <v>2</v>
      </c>
      <c r="R1420" t="inlineStr">
        <is>
          <t>433-2023-06-30</t>
        </is>
      </c>
    </row>
    <row r="1421">
      <c r="A1421" t="n">
        <v>433</v>
      </c>
      <c r="B1421" t="inlineStr">
        <is>
          <t>Generación de Residuos Peligrosos per Cápita Semestral</t>
        </is>
      </c>
      <c r="C1421" t="inlineStr">
        <is>
          <t>GESTIÓN AMBIENTAL</t>
        </is>
      </c>
      <c r="D1421" t="inlineStr">
        <is>
          <t>Semestral</t>
        </is>
      </c>
      <c r="E1421" t="inlineStr">
        <is>
          <t>Negativo</t>
        </is>
      </c>
      <c r="F1421" s="111" t="n">
        <v>45291</v>
      </c>
      <c r="G1421" t="n">
        <v>2023</v>
      </c>
      <c r="H1421" t="inlineStr">
        <is>
          <t>Diciembre</t>
        </is>
      </c>
      <c r="I1421" t="inlineStr">
        <is>
          <t>2023-2</t>
        </is>
      </c>
      <c r="J1421" t="n">
        <v>0.05</v>
      </c>
      <c r="K1421" t="n">
        <v>0.05</v>
      </c>
      <c r="L1421" s="39">
        <f>IFERROR(IF(OR(J1421=0,K1421=""),"",IF(E1421="Positivo",MIN(MAX(K1421/J1421,0),1.3),MIN(MAX(J1421/K1421,0),1.3))),"") </f>
        <v/>
      </c>
      <c r="M1421" s="39">
        <f>IFERROR(IF(OR(J1421=0,K1421=""),"",IF(E1421="Positivo",MAX(K1421/J1421,0),MAX(J1421/K1421,0))),"") </f>
        <v/>
      </c>
      <c r="N1421" t="inlineStr">
        <is>
          <t>DEC</t>
        </is>
      </c>
      <c r="O1421" t="inlineStr">
        <is>
          <t>DEC</t>
        </is>
      </c>
      <c r="P1421" t="n">
        <v>2</v>
      </c>
      <c r="Q1421" t="n">
        <v>2</v>
      </c>
      <c r="R1421" t="inlineStr">
        <is>
          <t>433-2023-12-31</t>
        </is>
      </c>
    </row>
    <row r="1422">
      <c r="A1422" t="n">
        <v>433</v>
      </c>
      <c r="B1422" t="inlineStr">
        <is>
          <t>Generación de Residuos Peligrosos per Cápita Semestral</t>
        </is>
      </c>
      <c r="C1422" t="inlineStr">
        <is>
          <t>GESTIÓN AMBIENTAL</t>
        </is>
      </c>
      <c r="D1422" t="inlineStr">
        <is>
          <t>Semestral</t>
        </is>
      </c>
      <c r="E1422" t="inlineStr">
        <is>
          <t>Negativo</t>
        </is>
      </c>
      <c r="F1422" s="111" t="n">
        <v>45473</v>
      </c>
      <c r="G1422" t="n">
        <v>2024</v>
      </c>
      <c r="H1422" t="inlineStr">
        <is>
          <t>Junio</t>
        </is>
      </c>
      <c r="I1422" t="inlineStr">
        <is>
          <t>2024-1</t>
        </is>
      </c>
      <c r="J1422" t="n">
        <v>0.05</v>
      </c>
      <c r="K1422" t="n">
        <v>0.07000000000000001</v>
      </c>
      <c r="L1422" s="39">
        <f>IFERROR(IF(OR(J1422=0,K1422=""),"",IF(E1422="Positivo",MIN(MAX(K1422/J1422,0),1.3),MIN(MAX(J1422/K1422,0),1.3))),"") </f>
        <v/>
      </c>
      <c r="M1422" s="39">
        <f>IFERROR(IF(OR(J1422=0,K1422=""),"",IF(E1422="Positivo",MAX(K1422/J1422,0),MAX(J1422/K1422,0))),"") </f>
        <v/>
      </c>
      <c r="P1422" t="n">
        <v>0</v>
      </c>
      <c r="Q1422" t="n">
        <v>0</v>
      </c>
      <c r="R1422" t="inlineStr">
        <is>
          <t>433-2024-06-30</t>
        </is>
      </c>
    </row>
    <row r="1423">
      <c r="A1423" t="n">
        <v>433</v>
      </c>
      <c r="B1423" t="inlineStr">
        <is>
          <t>Generación de Residuos Peligrosos per Cápita Semestral</t>
        </is>
      </c>
      <c r="C1423" t="inlineStr">
        <is>
          <t>GESTIÓN AMBIENTAL</t>
        </is>
      </c>
      <c r="D1423" t="inlineStr">
        <is>
          <t>Semestral</t>
        </is>
      </c>
      <c r="E1423" t="inlineStr">
        <is>
          <t>Negativo</t>
        </is>
      </c>
      <c r="F1423" s="111" t="n">
        <v>45657</v>
      </c>
      <c r="G1423" t="n">
        <v>2024</v>
      </c>
      <c r="H1423" t="inlineStr">
        <is>
          <t>Diciembre</t>
        </is>
      </c>
      <c r="I1423" t="inlineStr">
        <is>
          <t>2024-2</t>
        </is>
      </c>
      <c r="J1423" t="n">
        <v>0.05</v>
      </c>
      <c r="K1423" t="n">
        <v>0.14</v>
      </c>
      <c r="L1423" s="39">
        <f>IFERROR(IF(OR(J1423=0,K1423=""),"",IF(E1423="Positivo",MIN(MAX(K1423/J1423,0),1.3),MIN(MAX(J1423/K1423,0),1.3))),"") </f>
        <v/>
      </c>
      <c r="M1423" s="39">
        <f>IFERROR(IF(OR(J1423=0,K1423=""),"",IF(E1423="Positivo",MAX(K1423/J1423,0),MAX(J1423/K1423,0))),"") </f>
        <v/>
      </c>
      <c r="P1423" t="n">
        <v>0</v>
      </c>
      <c r="Q1423" t="n">
        <v>0</v>
      </c>
      <c r="R1423" t="inlineStr">
        <is>
          <t>433-2024-12-31</t>
        </is>
      </c>
    </row>
    <row r="1424">
      <c r="A1424" t="n">
        <v>433</v>
      </c>
      <c r="B1424" t="inlineStr">
        <is>
          <t>Generación de Residuos Peligrosos per Cápita Semestral</t>
        </is>
      </c>
      <c r="C1424" t="inlineStr">
        <is>
          <t>GESTIÓN AMBIENTAL</t>
        </is>
      </c>
      <c r="D1424" t="inlineStr">
        <is>
          <t>Trimestral</t>
        </is>
      </c>
      <c r="E1424" t="inlineStr">
        <is>
          <t>Negativo</t>
        </is>
      </c>
      <c r="F1424" s="111" t="n">
        <v>45838</v>
      </c>
      <c r="G1424" t="n">
        <v>2025</v>
      </c>
      <c r="H1424" t="inlineStr">
        <is>
          <t>Junio</t>
        </is>
      </c>
      <c r="I1424" t="inlineStr">
        <is>
          <t>2025-1</t>
        </is>
      </c>
      <c r="J1424" t="n">
        <v>0.05</v>
      </c>
      <c r="K1424" t="n">
        <v>0.02</v>
      </c>
      <c r="L1424" s="39">
        <f>IFERROR(IF(OR(J1424=0,K1424=""),"",IF(E1424="Positivo",MIN(MAX(K1424/J1424,0),1.3),MIN(MAX(J1424/K1424,0),1.3))),"") </f>
        <v/>
      </c>
      <c r="M1424" s="39">
        <f>IFERROR(IF(OR(J1424=0,K1424=""),"",IF(E1424="Positivo",MAX(K1424/J1424,0),MAX(J1424/K1424,0))),"") </f>
        <v/>
      </c>
      <c r="N1424" t="inlineStr">
        <is>
          <t>DEC</t>
        </is>
      </c>
      <c r="O1424" t="inlineStr">
        <is>
          <t>DEC</t>
        </is>
      </c>
      <c r="P1424" t="n">
        <v>2</v>
      </c>
      <c r="Q1424" t="n">
        <v>2</v>
      </c>
      <c r="R1424" t="inlineStr">
        <is>
          <t>433-2025-06-30</t>
        </is>
      </c>
    </row>
    <row r="1425">
      <c r="A1425" t="n">
        <v>433</v>
      </c>
      <c r="B1425" t="inlineStr">
        <is>
          <t>Generación de Residuos Peligrosos per Cápita Semestral</t>
        </is>
      </c>
      <c r="C1425" t="inlineStr">
        <is>
          <t>GESTIÓN AMBIENTAL</t>
        </is>
      </c>
      <c r="D1425" t="inlineStr">
        <is>
          <t>Trimestral</t>
        </is>
      </c>
      <c r="E1425" t="inlineStr">
        <is>
          <t>Negativo</t>
        </is>
      </c>
      <c r="F1425" s="111" t="n">
        <v>46022</v>
      </c>
      <c r="G1425" t="n">
        <v>2025</v>
      </c>
      <c r="H1425" t="inlineStr">
        <is>
          <t>Diciembre</t>
        </is>
      </c>
      <c r="I1425" t="inlineStr">
        <is>
          <t>2025-2</t>
        </is>
      </c>
      <c r="J1425" t="n">
        <v>0.05</v>
      </c>
      <c r="K1425" t="n">
        <v>0.17</v>
      </c>
      <c r="L1425" s="39">
        <f>IFERROR(IF(OR(J1425=0,K1425=""),"",IF(E1425="Positivo",MIN(MAX(K1425/J1425,0),1.3),MIN(MAX(J1425/K1425,0),1.3))),"") </f>
        <v/>
      </c>
      <c r="M1425" s="39">
        <f>IFERROR(IF(OR(J1425=0,K1425=""),"",IF(E1425="Positivo",MAX(K1425/J1425,0),MAX(J1425/K1425,0))),"") </f>
        <v/>
      </c>
      <c r="N1425" t="inlineStr">
        <is>
          <t>DEC</t>
        </is>
      </c>
      <c r="O1425" t="inlineStr">
        <is>
          <t>DEC</t>
        </is>
      </c>
      <c r="P1425" t="n">
        <v>2</v>
      </c>
      <c r="Q1425" t="n">
        <v>2</v>
      </c>
      <c r="R1425" t="inlineStr">
        <is>
          <t>433-2025-12-31</t>
        </is>
      </c>
    </row>
    <row r="1426">
      <c r="A1426" t="n">
        <v>434</v>
      </c>
      <c r="B1426" t="inlineStr">
        <is>
          <t>Generación de Residuos Peligrosos Mensual</t>
        </is>
      </c>
      <c r="C1426" t="inlineStr">
        <is>
          <t>GESTIÓN AMBIENTAL</t>
        </is>
      </c>
      <c r="D1426" t="inlineStr">
        <is>
          <t>Mensual</t>
        </is>
      </c>
      <c r="E1426" t="inlineStr">
        <is>
          <t>Negativo</t>
        </is>
      </c>
      <c r="F1426" s="111" t="n">
        <v>45107</v>
      </c>
      <c r="G1426" t="n">
        <v>2023</v>
      </c>
      <c r="H1426" t="inlineStr">
        <is>
          <t>Junio</t>
        </is>
      </c>
      <c r="I1426" t="inlineStr">
        <is>
          <t>2023-1</t>
        </is>
      </c>
      <c r="J1426" t="n">
        <v>1200</v>
      </c>
      <c r="K1426" t="n">
        <v>18.5</v>
      </c>
      <c r="L1426" s="39">
        <f>IFERROR(IF(OR(J1426=0,K1426=""),"",IF(E1426="Positivo",MIN(MAX(K1426/J1426,0),1.3),MIN(MAX(J1426/K1426,0),1.3))),"") </f>
        <v/>
      </c>
      <c r="M1426" s="39">
        <f>IFERROR(IF(OR(J1426=0,K1426=""),"",IF(E1426="Positivo",MAX(K1426/J1426,0),MAX(J1426/K1426,0))),"") </f>
        <v/>
      </c>
      <c r="N1426" t="inlineStr">
        <is>
          <t>Kg</t>
        </is>
      </c>
      <c r="O1426" t="inlineStr">
        <is>
          <t>Kg</t>
        </is>
      </c>
      <c r="P1426" t="n">
        <v>0</v>
      </c>
      <c r="Q1426" t="n">
        <v>0</v>
      </c>
      <c r="R1426" t="inlineStr">
        <is>
          <t>434-2023-06-30</t>
        </is>
      </c>
    </row>
    <row r="1427">
      <c r="A1427" t="n">
        <v>434</v>
      </c>
      <c r="B1427" t="inlineStr">
        <is>
          <t>Generación de Residuos Peligroso Mensual</t>
        </is>
      </c>
      <c r="C1427" t="inlineStr">
        <is>
          <t>GESTIÓN AMBIENTAL</t>
        </is>
      </c>
      <c r="D1427" t="inlineStr">
        <is>
          <t>Mensual</t>
        </is>
      </c>
      <c r="E1427" t="inlineStr">
        <is>
          <t>Negativo</t>
        </is>
      </c>
      <c r="F1427" s="111" t="n">
        <v>45199</v>
      </c>
      <c r="G1427" t="n">
        <v>2023</v>
      </c>
      <c r="H1427" t="inlineStr">
        <is>
          <t>Septiembre</t>
        </is>
      </c>
      <c r="I1427" t="inlineStr">
        <is>
          <t>2023-2</t>
        </is>
      </c>
      <c r="J1427" t="n">
        <v>1200</v>
      </c>
      <c r="K1427" t="n">
        <v>2275.63</v>
      </c>
      <c r="L1427" s="39">
        <f>IFERROR(IF(OR(J1427=0,K1427=""),"",IF(E1427="Positivo",MIN(MAX(K1427/J1427,0),1.3),MIN(MAX(J1427/K1427,0),1.3))),"") </f>
        <v/>
      </c>
      <c r="M1427" s="39">
        <f>IFERROR(IF(OR(J1427=0,K1427=""),"",IF(E1427="Positivo",MAX(K1427/J1427,0),MAX(J1427/K1427,0))),"") </f>
        <v/>
      </c>
      <c r="P1427" t="n">
        <v>1</v>
      </c>
      <c r="Q1427" t="n">
        <v>1</v>
      </c>
      <c r="R1427" t="inlineStr">
        <is>
          <t>434-2023-09-30</t>
        </is>
      </c>
    </row>
    <row r="1428">
      <c r="A1428" t="n">
        <v>434</v>
      </c>
      <c r="B1428" t="inlineStr">
        <is>
          <t>Generación de Residuos Peligroso Mensual</t>
        </is>
      </c>
      <c r="C1428" t="inlineStr">
        <is>
          <t>GESTIÓN AMBIENTAL</t>
        </is>
      </c>
      <c r="D1428" t="inlineStr">
        <is>
          <t>Mensual</t>
        </is>
      </c>
      <c r="E1428" t="inlineStr">
        <is>
          <t>Negativo</t>
        </is>
      </c>
      <c r="F1428" s="111" t="n">
        <v>45230</v>
      </c>
      <c r="G1428" t="n">
        <v>2023</v>
      </c>
      <c r="H1428" t="inlineStr">
        <is>
          <t>Octubre</t>
        </is>
      </c>
      <c r="I1428" t="inlineStr">
        <is>
          <t>2023-2</t>
        </is>
      </c>
      <c r="J1428" t="n">
        <v>1200</v>
      </c>
      <c r="K1428" t="n">
        <v>2275.63</v>
      </c>
      <c r="L1428" s="39">
        <f>IFERROR(IF(OR(J1428=0,K1428=""),"",IF(E1428="Positivo",MIN(MAX(K1428/J1428,0),1.3),MIN(MAX(J1428/K1428,0),1.3))),"") </f>
        <v/>
      </c>
      <c r="M1428" s="39">
        <f>IFERROR(IF(OR(J1428=0,K1428=""),"",IF(E1428="Positivo",MAX(K1428/J1428,0),MAX(J1428/K1428,0))),"") </f>
        <v/>
      </c>
      <c r="P1428" t="n">
        <v>1</v>
      </c>
      <c r="Q1428" t="n">
        <v>1</v>
      </c>
      <c r="R1428" t="inlineStr">
        <is>
          <t>434-2023-10-31</t>
        </is>
      </c>
    </row>
    <row r="1429">
      <c r="A1429" t="n">
        <v>434</v>
      </c>
      <c r="B1429" t="inlineStr">
        <is>
          <t>Generación de Residuos Peligroso Mensual</t>
        </is>
      </c>
      <c r="C1429" t="inlineStr">
        <is>
          <t>GESTIÓN AMBIENTAL</t>
        </is>
      </c>
      <c r="D1429" t="inlineStr">
        <is>
          <t>Mensual</t>
        </is>
      </c>
      <c r="E1429" t="inlineStr">
        <is>
          <t>Negativo</t>
        </is>
      </c>
      <c r="F1429" s="111" t="n">
        <v>45260</v>
      </c>
      <c r="G1429" t="n">
        <v>2023</v>
      </c>
      <c r="H1429" t="inlineStr">
        <is>
          <t>Noviembre</t>
        </is>
      </c>
      <c r="I1429" t="inlineStr">
        <is>
          <t>2023-2</t>
        </is>
      </c>
      <c r="J1429" t="n">
        <v>1200</v>
      </c>
      <c r="K1429" t="n">
        <v>2275.63</v>
      </c>
      <c r="L1429" s="39">
        <f>IFERROR(IF(OR(J1429=0,K1429=""),"",IF(E1429="Positivo",MIN(MAX(K1429/J1429,0),1.3),MIN(MAX(J1429/K1429,0),1.3))),"") </f>
        <v/>
      </c>
      <c r="M1429" s="39">
        <f>IFERROR(IF(OR(J1429=0,K1429=""),"",IF(E1429="Positivo",MAX(K1429/J1429,0),MAX(J1429/K1429,0))),"") </f>
        <v/>
      </c>
      <c r="P1429" t="n">
        <v>1</v>
      </c>
      <c r="Q1429" t="n">
        <v>1</v>
      </c>
      <c r="R1429" t="inlineStr">
        <is>
          <t>434-2023-11-30</t>
        </is>
      </c>
    </row>
    <row r="1430">
      <c r="A1430" t="n">
        <v>434</v>
      </c>
      <c r="B1430" t="inlineStr">
        <is>
          <t>Generación de Residuos Peligroso Mensual</t>
        </is>
      </c>
      <c r="C1430" t="inlineStr">
        <is>
          <t>GESTIÓN AMBIENTAL</t>
        </is>
      </c>
      <c r="D1430" t="inlineStr">
        <is>
          <t>Mensual</t>
        </is>
      </c>
      <c r="E1430" t="inlineStr">
        <is>
          <t>Negativo</t>
        </is>
      </c>
      <c r="F1430" s="111" t="n">
        <v>45291</v>
      </c>
      <c r="G1430" t="n">
        <v>2023</v>
      </c>
      <c r="H1430" t="inlineStr">
        <is>
          <t>Diciembre</t>
        </is>
      </c>
      <c r="I1430" t="inlineStr">
        <is>
          <t>2023-2</t>
        </is>
      </c>
      <c r="J1430" t="n">
        <v>1200</v>
      </c>
      <c r="K1430" t="n">
        <v>2275.63</v>
      </c>
      <c r="L1430" s="39">
        <f>IFERROR(IF(OR(J1430=0,K1430=""),"",IF(E1430="Positivo",MIN(MAX(K1430/J1430,0),1.3),MIN(MAX(J1430/K1430,0),1.3))),"") </f>
        <v/>
      </c>
      <c r="M1430" s="39">
        <f>IFERROR(IF(OR(J1430=0,K1430=""),"",IF(E1430="Positivo",MAX(K1430/J1430,0),MAX(J1430/K1430,0))),"") </f>
        <v/>
      </c>
      <c r="P1430" t="n">
        <v>1</v>
      </c>
      <c r="Q1430" t="n">
        <v>1</v>
      </c>
      <c r="R1430" t="inlineStr">
        <is>
          <t>434-2023-12-31</t>
        </is>
      </c>
    </row>
    <row r="1431">
      <c r="A1431" t="n">
        <v>434</v>
      </c>
      <c r="B1431" t="inlineStr">
        <is>
          <t>Generación de Residuos Peligrosos Mensual</t>
        </is>
      </c>
      <c r="C1431" t="inlineStr">
        <is>
          <t>GESTIÓN AMBIENTAL</t>
        </is>
      </c>
      <c r="D1431" t="inlineStr">
        <is>
          <t>Mensual</t>
        </is>
      </c>
      <c r="E1431" t="inlineStr">
        <is>
          <t>Negativo</t>
        </is>
      </c>
      <c r="F1431" s="111" t="n">
        <v>45473</v>
      </c>
      <c r="G1431" t="n">
        <v>2024</v>
      </c>
      <c r="H1431" t="inlineStr">
        <is>
          <t>Junio</t>
        </is>
      </c>
      <c r="I1431" t="inlineStr">
        <is>
          <t>2024-1</t>
        </is>
      </c>
      <c r="J1431" t="n">
        <v>1200</v>
      </c>
      <c r="K1431" t="n">
        <v>3489.51</v>
      </c>
      <c r="L1431" s="39">
        <f>IFERROR(IF(OR(J1431=0,K1431=""),"",IF(E1431="Positivo",MIN(MAX(K1431/J1431,0),1.3),MIN(MAX(J1431/K1431,0),1.3))),"") </f>
        <v/>
      </c>
      <c r="M1431" s="39">
        <f>IFERROR(IF(OR(J1431=0,K1431=""),"",IF(E1431="Positivo",MAX(K1431/J1431,0),MAX(J1431/K1431,0))),"") </f>
        <v/>
      </c>
      <c r="P1431" t="n">
        <v>0</v>
      </c>
      <c r="Q1431" t="n">
        <v>0</v>
      </c>
      <c r="R1431" t="inlineStr">
        <is>
          <t>434-2024-06-30</t>
        </is>
      </c>
    </row>
    <row r="1432">
      <c r="A1432" t="n">
        <v>434</v>
      </c>
      <c r="B1432" t="inlineStr">
        <is>
          <t>Generación de Residuos Peligrosos Mensual</t>
        </is>
      </c>
      <c r="C1432" t="inlineStr">
        <is>
          <t>GESTIÓN AMBIENTAL</t>
        </is>
      </c>
      <c r="D1432" t="inlineStr">
        <is>
          <t>Mensual</t>
        </is>
      </c>
      <c r="E1432" t="inlineStr">
        <is>
          <t>Negativo</t>
        </is>
      </c>
      <c r="F1432" s="111" t="n">
        <v>45657</v>
      </c>
      <c r="G1432" t="n">
        <v>2024</v>
      </c>
      <c r="H1432" t="inlineStr">
        <is>
          <t>Diciembre</t>
        </is>
      </c>
      <c r="I1432" t="inlineStr">
        <is>
          <t>2024-2</t>
        </is>
      </c>
      <c r="J1432" t="n">
        <v>1200</v>
      </c>
      <c r="K1432" t="n">
        <v>1937.73</v>
      </c>
      <c r="L1432" s="39">
        <f>IFERROR(IF(OR(J1432=0,K1432=""),"",IF(E1432="Positivo",MIN(MAX(K1432/J1432,0),1.3),MIN(MAX(J1432/K1432,0),1.3))),"") </f>
        <v/>
      </c>
      <c r="M1432" s="39">
        <f>IFERROR(IF(OR(J1432=0,K1432=""),"",IF(E1432="Positivo",MAX(K1432/J1432,0),MAX(J1432/K1432,0))),"") </f>
        <v/>
      </c>
      <c r="P1432" t="n">
        <v>0</v>
      </c>
      <c r="Q1432" t="n">
        <v>0</v>
      </c>
      <c r="R1432" t="inlineStr">
        <is>
          <t>434-2024-12-31</t>
        </is>
      </c>
    </row>
    <row r="1433">
      <c r="A1433" t="n">
        <v>434</v>
      </c>
      <c r="B1433" t="inlineStr">
        <is>
          <t>Generación de Residuos Peligrosos Mensual</t>
        </is>
      </c>
      <c r="C1433" t="inlineStr">
        <is>
          <t>GESTIÓN AMBIENTAL</t>
        </is>
      </c>
      <c r="D1433" t="inlineStr">
        <is>
          <t>Mensual</t>
        </is>
      </c>
      <c r="E1433" t="inlineStr">
        <is>
          <t>Negativo</t>
        </is>
      </c>
      <c r="F1433" s="111" t="n">
        <v>45838</v>
      </c>
      <c r="G1433" t="n">
        <v>2025</v>
      </c>
      <c r="H1433" t="inlineStr">
        <is>
          <t>Junio</t>
        </is>
      </c>
      <c r="I1433" t="inlineStr">
        <is>
          <t>2025-1</t>
        </is>
      </c>
      <c r="J1433" t="n">
        <v>1200</v>
      </c>
      <c r="K1433" t="n">
        <v>2467.36</v>
      </c>
      <c r="L1433" s="39">
        <f>IFERROR(IF(OR(J1433=0,K1433=""),"",IF(E1433="Positivo",MIN(MAX(K1433/J1433,0),1.3),MIN(MAX(J1433/K1433,0),1.3))),"") </f>
        <v/>
      </c>
      <c r="M1433" s="39">
        <f>IFERROR(IF(OR(J1433=0,K1433=""),"",IF(E1433="Positivo",MAX(K1433/J1433,0),MAX(J1433/K1433,0))),"") </f>
        <v/>
      </c>
      <c r="N1433" t="inlineStr">
        <is>
          <t>Kg</t>
        </is>
      </c>
      <c r="O1433" t="inlineStr">
        <is>
          <t>Kg</t>
        </is>
      </c>
      <c r="P1433" t="n">
        <v>0</v>
      </c>
      <c r="Q1433" t="n">
        <v>0</v>
      </c>
      <c r="R1433" t="inlineStr">
        <is>
          <t>434-2025-06-30</t>
        </is>
      </c>
    </row>
    <row r="1434">
      <c r="A1434" t="n">
        <v>434</v>
      </c>
      <c r="B1434" t="inlineStr">
        <is>
          <t>Generación de Residuos Peligrosos Mensual</t>
        </is>
      </c>
      <c r="C1434" t="inlineStr">
        <is>
          <t>GESTIÓN AMBIENTAL</t>
        </is>
      </c>
      <c r="D1434" t="inlineStr">
        <is>
          <t>Mensual</t>
        </is>
      </c>
      <c r="E1434" t="inlineStr">
        <is>
          <t>Negativo</t>
        </is>
      </c>
      <c r="F1434" s="111" t="n">
        <v>46022</v>
      </c>
      <c r="G1434" t="n">
        <v>2025</v>
      </c>
      <c r="H1434" t="inlineStr">
        <is>
          <t>Diciembre</t>
        </is>
      </c>
      <c r="I1434" t="inlineStr">
        <is>
          <t>2025-2</t>
        </is>
      </c>
      <c r="J1434" t="n">
        <v>1200</v>
      </c>
      <c r="K1434" t="n">
        <v>5316.2</v>
      </c>
      <c r="L1434" s="39">
        <f>IFERROR(IF(OR(J1434=0,K1434=""),"",IF(E1434="Positivo",MIN(MAX(K1434/J1434,0),1.3),MIN(MAX(J1434/K1434,0),1.3))),"") </f>
        <v/>
      </c>
      <c r="M1434" s="39">
        <f>IFERROR(IF(OR(J1434=0,K1434=""),"",IF(E1434="Positivo",MAX(K1434/J1434,0),MAX(J1434/K1434,0))),"") </f>
        <v/>
      </c>
      <c r="N1434" t="inlineStr">
        <is>
          <t>Kg</t>
        </is>
      </c>
      <c r="O1434" t="inlineStr">
        <is>
          <t>Kg</t>
        </is>
      </c>
      <c r="P1434" t="n">
        <v>0</v>
      </c>
      <c r="Q1434" t="n">
        <v>0</v>
      </c>
      <c r="R1434" t="inlineStr">
        <is>
          <t>434-2025-12-31</t>
        </is>
      </c>
    </row>
    <row r="1435">
      <c r="A1435" t="n">
        <v>435</v>
      </c>
      <c r="B1435" t="inlineStr">
        <is>
          <t>Disminución de la Generación de Residuos Peligrosos per Cápita</t>
        </is>
      </c>
      <c r="C1435" t="inlineStr">
        <is>
          <t>GESTIÓN AMBIENTAL</t>
        </is>
      </c>
      <c r="D1435" t="inlineStr">
        <is>
          <t>Semestral</t>
        </is>
      </c>
      <c r="E1435" t="inlineStr">
        <is>
          <t>Positivo</t>
        </is>
      </c>
      <c r="F1435" s="111" t="n">
        <v>45107</v>
      </c>
      <c r="G1435" t="n">
        <v>2023</v>
      </c>
      <c r="H1435" t="inlineStr">
        <is>
          <t>Junio</t>
        </is>
      </c>
      <c r="I1435" t="inlineStr">
        <is>
          <t>2023-1</t>
        </is>
      </c>
      <c r="J1435" t="n">
        <v>100</v>
      </c>
      <c r="K1435" t="n">
        <v>0.43352601156069</v>
      </c>
      <c r="L1435" s="39">
        <f>IFERROR(IF(OR(J1435=0,K1435=""),"",IF(E1435="Positivo",MIN(MAX(K1435/J1435,0),1.3),MIN(MAX(J1435/K1435,0),1.3))),"") </f>
        <v/>
      </c>
      <c r="M1435" s="39">
        <f>IFERROR(IF(OR(J1435=0,K1435=""),"",IF(E1435="Positivo",MAX(K1435/J1435,0),MAX(J1435/K1435,0))),"") </f>
        <v/>
      </c>
      <c r="N1435" t="inlineStr">
        <is>
          <t>DEC</t>
        </is>
      </c>
      <c r="O1435" t="inlineStr">
        <is>
          <t>DEC</t>
        </is>
      </c>
      <c r="P1435" t="n">
        <v>2</v>
      </c>
      <c r="Q1435" t="n">
        <v>2</v>
      </c>
      <c r="R1435" t="inlineStr">
        <is>
          <t>435-2023-06-30</t>
        </is>
      </c>
    </row>
    <row r="1436">
      <c r="A1436" t="n">
        <v>435</v>
      </c>
      <c r="B1436" t="inlineStr">
        <is>
          <t>Disminución de la Generación de Residuos Peligrosos per Cápita</t>
        </is>
      </c>
      <c r="C1436" t="inlineStr">
        <is>
          <t>GESTIÓN AMBIENTAL</t>
        </is>
      </c>
      <c r="D1436" t="inlineStr">
        <is>
          <t>Semestral</t>
        </is>
      </c>
      <c r="E1436" t="inlineStr">
        <is>
          <t>Positivo</t>
        </is>
      </c>
      <c r="F1436" s="111" t="n">
        <v>45291</v>
      </c>
      <c r="G1436" t="n">
        <v>2023</v>
      </c>
      <c r="H1436" t="inlineStr">
        <is>
          <t>Diciembre</t>
        </is>
      </c>
      <c r="I1436" t="inlineStr">
        <is>
          <t>2023-2</t>
        </is>
      </c>
      <c r="J1436" t="n">
        <v>100</v>
      </c>
      <c r="K1436" t="n">
        <v>-111.57</v>
      </c>
      <c r="L1436" s="39">
        <f>IFERROR(IF(OR(J1436=0,K1436=""),"",IF(E1436="Positivo",MIN(MAX(K1436/J1436,0),1.3),MIN(MAX(J1436/K1436,0),1.3))),"") </f>
        <v/>
      </c>
      <c r="M1436" s="39">
        <f>IFERROR(IF(OR(J1436=0,K1436=""),"",IF(E1436="Positivo",MAX(K1436/J1436,0),MAX(J1436/K1436,0))),"") </f>
        <v/>
      </c>
      <c r="N1436" t="inlineStr">
        <is>
          <t>DEC</t>
        </is>
      </c>
      <c r="O1436" t="inlineStr">
        <is>
          <t>DEC</t>
        </is>
      </c>
      <c r="P1436" t="n">
        <v>2</v>
      </c>
      <c r="Q1436" t="n">
        <v>2</v>
      </c>
      <c r="R1436" t="inlineStr">
        <is>
          <t>435-2023-12-31</t>
        </is>
      </c>
    </row>
    <row r="1437">
      <c r="A1437" t="n">
        <v>435</v>
      </c>
      <c r="B1437" t="inlineStr">
        <is>
          <t>Disminución de la Generación de Residuos Peligrosos per Cápita</t>
        </is>
      </c>
      <c r="C1437" t="inlineStr">
        <is>
          <t>GESTIÓN AMBIENTAL</t>
        </is>
      </c>
      <c r="D1437" t="inlineStr">
        <is>
          <t>Semestral</t>
        </is>
      </c>
      <c r="E1437" t="inlineStr">
        <is>
          <t>Positivo</t>
        </is>
      </c>
      <c r="F1437" s="111" t="n">
        <v>45473</v>
      </c>
      <c r="G1437" t="n">
        <v>2024</v>
      </c>
      <c r="H1437" t="inlineStr">
        <is>
          <t>Junio</t>
        </is>
      </c>
      <c r="I1437" t="inlineStr">
        <is>
          <t>2024-1</t>
        </is>
      </c>
      <c r="J1437" t="n">
        <v>100</v>
      </c>
      <c r="K1437" t="n">
        <v>-20.67</v>
      </c>
      <c r="L1437" s="39">
        <f>IFERROR(IF(OR(J1437=0,K1437=""),"",IF(E1437="Positivo",MIN(MAX(K1437/J1437,0),1.3),MIN(MAX(J1437/K1437,0),1.3))),"") </f>
        <v/>
      </c>
      <c r="M1437" s="39">
        <f>IFERROR(IF(OR(J1437=0,K1437=""),"",IF(E1437="Positivo",MAX(K1437/J1437,0),MAX(J1437/K1437,0))),"") </f>
        <v/>
      </c>
      <c r="P1437" t="n">
        <v>0</v>
      </c>
      <c r="Q1437" t="n">
        <v>0</v>
      </c>
      <c r="R1437" t="inlineStr">
        <is>
          <t>435-2024-06-30</t>
        </is>
      </c>
    </row>
    <row r="1438">
      <c r="A1438" t="n">
        <v>435</v>
      </c>
      <c r="B1438" t="inlineStr">
        <is>
          <t>Disminución de la Generación de Residuos Peligrosos per Cápita</t>
        </is>
      </c>
      <c r="C1438" t="inlineStr">
        <is>
          <t>GESTIÓN AMBIENTAL</t>
        </is>
      </c>
      <c r="D1438" t="inlineStr">
        <is>
          <t>Semestral</t>
        </is>
      </c>
      <c r="E1438" t="inlineStr">
        <is>
          <t>Positivo</t>
        </is>
      </c>
      <c r="F1438" s="111" t="n">
        <v>45657</v>
      </c>
      <c r="G1438" t="n">
        <v>2024</v>
      </c>
      <c r="H1438" t="inlineStr">
        <is>
          <t>Diciembre</t>
        </is>
      </c>
      <c r="I1438" t="inlineStr">
        <is>
          <t>2024-2</t>
        </is>
      </c>
      <c r="J1438" t="n">
        <v>100</v>
      </c>
      <c r="K1438" t="n">
        <v>71.09</v>
      </c>
      <c r="L1438" s="39">
        <f>IFERROR(IF(OR(J1438=0,K1438=""),"",IF(E1438="Positivo",MIN(MAX(K1438/J1438,0),1.3),MIN(MAX(J1438/K1438,0),1.3))),"") </f>
        <v/>
      </c>
      <c r="M1438" s="39">
        <f>IFERROR(IF(OR(J1438=0,K1438=""),"",IF(E1438="Positivo",MAX(K1438/J1438,0),MAX(J1438/K1438,0))),"") </f>
        <v/>
      </c>
      <c r="P1438" t="n">
        <v>0</v>
      </c>
      <c r="Q1438" t="n">
        <v>0</v>
      </c>
      <c r="R1438" t="inlineStr">
        <is>
          <t>435-2024-12-31</t>
        </is>
      </c>
    </row>
    <row r="1439">
      <c r="A1439" t="n">
        <v>435</v>
      </c>
      <c r="B1439" t="inlineStr">
        <is>
          <t>Disminución de la Generación de Residuos Peligrosos per Cápita</t>
        </is>
      </c>
      <c r="C1439" t="inlineStr">
        <is>
          <t>GESTIÓN AMBIENTAL</t>
        </is>
      </c>
      <c r="D1439" t="inlineStr">
        <is>
          <t>Trimestral</t>
        </is>
      </c>
      <c r="E1439" t="inlineStr">
        <is>
          <t>Positivo</t>
        </is>
      </c>
      <c r="F1439" s="111" t="n">
        <v>45838</v>
      </c>
      <c r="G1439" t="n">
        <v>2025</v>
      </c>
      <c r="H1439" t="inlineStr">
        <is>
          <t>Junio</t>
        </is>
      </c>
      <c r="I1439" t="inlineStr">
        <is>
          <t>2025-1</t>
        </is>
      </c>
      <c r="J1439" t="n">
        <v>100</v>
      </c>
      <c r="K1439" t="n">
        <v>96.09</v>
      </c>
      <c r="L1439" s="39">
        <f>IFERROR(IF(OR(J1439=0,K1439=""),"",IF(E1439="Positivo",MIN(MAX(K1439/J1439,0),1.3),MIN(MAX(J1439/K1439,0),1.3))),"") </f>
        <v/>
      </c>
      <c r="M1439" s="39">
        <f>IFERROR(IF(OR(J1439=0,K1439=""),"",IF(E1439="Positivo",MAX(K1439/J1439,0),MAX(J1439/K1439,0))),"") </f>
        <v/>
      </c>
      <c r="N1439" t="inlineStr">
        <is>
          <t>%</t>
        </is>
      </c>
      <c r="O1439" t="inlineStr">
        <is>
          <t>%</t>
        </is>
      </c>
      <c r="P1439" t="n">
        <v>2</v>
      </c>
      <c r="Q1439" t="n">
        <v>2</v>
      </c>
      <c r="R1439" t="inlineStr">
        <is>
          <t>435-2025-06-30</t>
        </is>
      </c>
    </row>
    <row r="1440">
      <c r="A1440" t="n">
        <v>435</v>
      </c>
      <c r="B1440" t="inlineStr">
        <is>
          <t>Disminución de la Generación de Residuos Peligrosos per Cápita</t>
        </is>
      </c>
      <c r="C1440" t="inlineStr">
        <is>
          <t>GESTIÓN AMBIENTAL</t>
        </is>
      </c>
      <c r="D1440" t="inlineStr">
        <is>
          <t>Trimestral</t>
        </is>
      </c>
      <c r="E1440" t="inlineStr">
        <is>
          <t>Positivo</t>
        </is>
      </c>
      <c r="F1440" s="111" t="n">
        <v>46022</v>
      </c>
      <c r="G1440" t="n">
        <v>2025</v>
      </c>
      <c r="H1440" t="inlineStr">
        <is>
          <t>Diciembre</t>
        </is>
      </c>
      <c r="I1440" t="inlineStr">
        <is>
          <t>2025-2</t>
        </is>
      </c>
      <c r="J1440" t="n">
        <v>100</v>
      </c>
      <c r="K1440" t="n">
        <v>-732.08</v>
      </c>
      <c r="L1440" s="39">
        <f>IFERROR(IF(OR(J1440=0,K1440=""),"",IF(E1440="Positivo",MIN(MAX(K1440/J1440,0),1.3),MIN(MAX(J1440/K1440,0),1.3))),"") </f>
        <v/>
      </c>
      <c r="M1440" s="39">
        <f>IFERROR(IF(OR(J1440=0,K1440=""),"",IF(E1440="Positivo",MAX(K1440/J1440,0),MAX(J1440/K1440,0))),"") </f>
        <v/>
      </c>
      <c r="N1440" t="inlineStr">
        <is>
          <t>%</t>
        </is>
      </c>
      <c r="O1440" t="inlineStr">
        <is>
          <t>%</t>
        </is>
      </c>
      <c r="P1440" t="n">
        <v>2</v>
      </c>
      <c r="Q1440" t="n">
        <v>2</v>
      </c>
      <c r="R1440" t="inlineStr">
        <is>
          <t>435-2025-12-31</t>
        </is>
      </c>
    </row>
    <row r="1441">
      <c r="A1441" t="n">
        <v>436</v>
      </c>
      <c r="B1441" t="inlineStr">
        <is>
          <t>ANS documentos operativos</t>
        </is>
      </c>
      <c r="C1441" t="inlineStr">
        <is>
          <t>Gestión de calidad</t>
        </is>
      </c>
      <c r="D1441" t="inlineStr">
        <is>
          <t>Mensual</t>
        </is>
      </c>
      <c r="E1441" t="inlineStr">
        <is>
          <t>Negativo</t>
        </is>
      </c>
      <c r="F1441" s="111" t="n">
        <v>45107</v>
      </c>
      <c r="G1441" t="n">
        <v>2023</v>
      </c>
      <c r="H1441" t="inlineStr">
        <is>
          <t>Junio</t>
        </is>
      </c>
      <c r="I1441" t="inlineStr">
        <is>
          <t>2023-1</t>
        </is>
      </c>
      <c r="J1441" t="n">
        <v>14</v>
      </c>
      <c r="L1441" s="39" t="n"/>
      <c r="M1441" s="39" t="n"/>
      <c r="N1441" t="inlineStr">
        <is>
          <t>Días</t>
        </is>
      </c>
      <c r="O1441" t="inlineStr">
        <is>
          <t>No Aplica</t>
        </is>
      </c>
      <c r="P1441" t="n">
        <v>0</v>
      </c>
      <c r="Q1441" t="n">
        <v>1</v>
      </c>
      <c r="R1441" t="inlineStr">
        <is>
          <t>436-2023-06-30</t>
        </is>
      </c>
      <c r="S1441" t="inlineStr">
        <is>
          <t>No Aplica</t>
        </is>
      </c>
    </row>
    <row r="1442">
      <c r="A1442" t="n">
        <v>436</v>
      </c>
      <c r="B1442" t="inlineStr">
        <is>
          <t>ANS documentos operativos</t>
        </is>
      </c>
      <c r="C1442" t="inlineStr">
        <is>
          <t>Gestión de calidad</t>
        </is>
      </c>
      <c r="D1442" t="inlineStr">
        <is>
          <t>Mensual</t>
        </is>
      </c>
      <c r="E1442" t="inlineStr">
        <is>
          <t>Negativo</t>
        </is>
      </c>
      <c r="F1442" s="111" t="n">
        <v>45291</v>
      </c>
      <c r="G1442" t="n">
        <v>2023</v>
      </c>
      <c r="H1442" t="inlineStr">
        <is>
          <t>Diciembre</t>
        </is>
      </c>
      <c r="I1442" t="inlineStr">
        <is>
          <t>2023-2</t>
        </is>
      </c>
      <c r="J1442" t="n">
        <v>21</v>
      </c>
      <c r="K1442" t="n">
        <v>11.06833333333333</v>
      </c>
      <c r="L1442" s="39">
        <f>IFERROR(IF(OR(J1442=0,K1442=""),"",IF(E1442="Positivo",MIN(MAX(K1442/J1442,0),1.3),MIN(MAX(J1442/K1442,0),1.3))),"") </f>
        <v/>
      </c>
      <c r="M1442" s="39">
        <f>IFERROR(IF(OR(J1442=0,K1442=""),"",IF(E1442="Positivo",MAX(K1442/J1442,0),MAX(J1442/K1442,0))),"") </f>
        <v/>
      </c>
      <c r="N1442" t="inlineStr">
        <is>
          <t>Días</t>
        </is>
      </c>
      <c r="O1442" t="inlineStr">
        <is>
          <t>Días</t>
        </is>
      </c>
      <c r="P1442" t="n">
        <v>1</v>
      </c>
      <c r="Q1442" t="n">
        <v>1</v>
      </c>
      <c r="R1442" t="inlineStr">
        <is>
          <t>436-2023-12-31</t>
        </is>
      </c>
    </row>
    <row r="1443">
      <c r="A1443" t="n">
        <v>436</v>
      </c>
      <c r="B1443" t="inlineStr">
        <is>
          <t>ANS documentos operativos</t>
        </is>
      </c>
      <c r="C1443" t="inlineStr">
        <is>
          <t>Gestión de calidad</t>
        </is>
      </c>
      <c r="D1443" t="inlineStr">
        <is>
          <t>Mensual</t>
        </is>
      </c>
      <c r="E1443" t="inlineStr">
        <is>
          <t>Negativo</t>
        </is>
      </c>
      <c r="F1443" s="111" t="n">
        <v>45473</v>
      </c>
      <c r="G1443" t="n">
        <v>2024</v>
      </c>
      <c r="H1443" t="inlineStr">
        <is>
          <t>Junio</t>
        </is>
      </c>
      <c r="I1443" t="inlineStr">
        <is>
          <t>2024-1</t>
        </is>
      </c>
      <c r="J1443" t="n">
        <v>14</v>
      </c>
      <c r="K1443" t="n">
        <v>11.56666666666667</v>
      </c>
      <c r="L1443" s="39">
        <f>IFERROR(IF(OR(J1443=0,K1443=""),"",IF(E1443="Positivo",MIN(MAX(K1443/J1443,0),1.3),MIN(MAX(J1443/K1443,0),1.3))),"") </f>
        <v/>
      </c>
      <c r="M1443" s="39">
        <f>IFERROR(IF(OR(J1443=0,K1443=""),"",IF(E1443="Positivo",MAX(K1443/J1443,0),MAX(J1443/K1443,0))),"") </f>
        <v/>
      </c>
      <c r="P1443" t="n">
        <v>0</v>
      </c>
      <c r="Q1443" t="n">
        <v>0</v>
      </c>
      <c r="R1443" t="inlineStr">
        <is>
          <t>436-2024-06-30</t>
        </is>
      </c>
    </row>
    <row r="1444">
      <c r="A1444" t="n">
        <v>436</v>
      </c>
      <c r="B1444" t="inlineStr">
        <is>
          <t>ANS documentos operativos</t>
        </is>
      </c>
      <c r="C1444" t="inlineStr">
        <is>
          <t>Gestión de calidad</t>
        </is>
      </c>
      <c r="D1444" t="inlineStr">
        <is>
          <t>Mensual</t>
        </is>
      </c>
      <c r="E1444" t="inlineStr">
        <is>
          <t>Negativo</t>
        </is>
      </c>
      <c r="F1444" s="111" t="n">
        <v>45657</v>
      </c>
      <c r="G1444" t="n">
        <v>2024</v>
      </c>
      <c r="H1444" t="inlineStr">
        <is>
          <t>Diciembre</t>
        </is>
      </c>
      <c r="I1444" t="inlineStr">
        <is>
          <t>2024-2</t>
        </is>
      </c>
      <c r="J1444" t="n">
        <v>14</v>
      </c>
      <c r="K1444" t="n">
        <v>10.56166666666667</v>
      </c>
      <c r="L1444" s="39">
        <f>IFERROR(IF(OR(J1444=0,K1444=""),"",IF(E1444="Positivo",MIN(MAX(K1444/J1444,0),1.3),MIN(MAX(J1444/K1444,0),1.3))),"") </f>
        <v/>
      </c>
      <c r="M1444" s="39">
        <f>IFERROR(IF(OR(J1444=0,K1444=""),"",IF(E1444="Positivo",MAX(K1444/J1444,0),MAX(J1444/K1444,0))),"") </f>
        <v/>
      </c>
      <c r="P1444" t="n">
        <v>0</v>
      </c>
      <c r="Q1444" t="n">
        <v>0</v>
      </c>
      <c r="R1444" t="inlineStr">
        <is>
          <t>436-2024-12-31</t>
        </is>
      </c>
    </row>
    <row r="1445">
      <c r="A1445" t="n">
        <v>436</v>
      </c>
      <c r="B1445" t="inlineStr">
        <is>
          <t>ANS documentos operativos</t>
        </is>
      </c>
      <c r="C1445" t="inlineStr">
        <is>
          <t>Gestión de calidad</t>
        </is>
      </c>
      <c r="D1445" t="inlineStr">
        <is>
          <t>Mensual</t>
        </is>
      </c>
      <c r="E1445" t="inlineStr">
        <is>
          <t>Negativo</t>
        </is>
      </c>
      <c r="F1445" s="111" t="n">
        <v>45838</v>
      </c>
      <c r="G1445" t="n">
        <v>2025</v>
      </c>
      <c r="H1445" t="inlineStr">
        <is>
          <t>Junio</t>
        </is>
      </c>
      <c r="I1445" t="inlineStr">
        <is>
          <t>2025-1</t>
        </is>
      </c>
      <c r="J1445" t="n">
        <v>14</v>
      </c>
      <c r="K1445" t="n">
        <v>8.606666666666667</v>
      </c>
      <c r="L1445" s="39">
        <f>IFERROR(IF(OR(J1445=0,K1445=""),"",IF(E1445="Positivo",MIN(MAX(K1445/J1445,0),1.3),MIN(MAX(J1445/K1445,0),1.3))),"") </f>
        <v/>
      </c>
      <c r="M1445" s="39">
        <f>IFERROR(IF(OR(J1445=0,K1445=""),"",IF(E1445="Positivo",MAX(K1445/J1445,0),MAX(J1445/K1445,0))),"") </f>
        <v/>
      </c>
      <c r="N1445" t="inlineStr">
        <is>
          <t>Días</t>
        </is>
      </c>
      <c r="O1445" t="inlineStr">
        <is>
          <t>Días</t>
        </is>
      </c>
      <c r="P1445" t="n">
        <v>0</v>
      </c>
      <c r="Q1445" t="n">
        <v>1</v>
      </c>
      <c r="R1445" t="inlineStr">
        <is>
          <t>436-2025-06-30</t>
        </is>
      </c>
    </row>
    <row r="1446">
      <c r="A1446" t="n">
        <v>436</v>
      </c>
      <c r="B1446" t="inlineStr">
        <is>
          <t>ANS documentos operativos</t>
        </is>
      </c>
      <c r="C1446" t="inlineStr">
        <is>
          <t>Gestión de calidad</t>
        </is>
      </c>
      <c r="D1446" t="inlineStr">
        <is>
          <t>Mensual</t>
        </is>
      </c>
      <c r="E1446" t="inlineStr">
        <is>
          <t>Negativo</t>
        </is>
      </c>
      <c r="F1446" s="111" t="n">
        <v>46022</v>
      </c>
      <c r="G1446" t="n">
        <v>2025</v>
      </c>
      <c r="H1446" t="inlineStr">
        <is>
          <t>Diciembre</t>
        </is>
      </c>
      <c r="I1446" t="inlineStr">
        <is>
          <t>2025-2</t>
        </is>
      </c>
      <c r="J1446" t="n">
        <v>14</v>
      </c>
      <c r="K1446" t="n">
        <v>11.67333333333333</v>
      </c>
      <c r="L1446" s="39">
        <f>IFERROR(IF(OR(J1446=0,K1446=""),"",IF(E1446="Positivo",MIN(MAX(K1446/J1446,0),1.3),MIN(MAX(J1446/K1446,0),1.3))),"") </f>
        <v/>
      </c>
      <c r="M1446" s="39">
        <f>IFERROR(IF(OR(J1446=0,K1446=""),"",IF(E1446="Positivo",MAX(K1446/J1446,0),MAX(J1446/K1446,0))),"") </f>
        <v/>
      </c>
      <c r="N1446" t="inlineStr">
        <is>
          <t>Días</t>
        </is>
      </c>
      <c r="O1446" t="inlineStr">
        <is>
          <t>Días</t>
        </is>
      </c>
      <c r="P1446" t="n">
        <v>0</v>
      </c>
      <c r="Q1446" t="n">
        <v>1</v>
      </c>
      <c r="R1446" t="inlineStr">
        <is>
          <t>436-2025-12-31</t>
        </is>
      </c>
    </row>
    <row r="1447">
      <c r="A1447" t="n">
        <v>437</v>
      </c>
      <c r="B1447" t="inlineStr">
        <is>
          <t>Nivel de Satisfacción Servicios Prestados - Riesgos</t>
        </is>
      </c>
      <c r="C1447" t="inlineStr">
        <is>
          <t>GESTIÓN DE RIESGOS</t>
        </is>
      </c>
      <c r="D1447" t="inlineStr">
        <is>
          <t>Anual</t>
        </is>
      </c>
      <c r="E1447" t="inlineStr">
        <is>
          <t>Positivo</t>
        </is>
      </c>
      <c r="F1447" s="111" t="n">
        <v>45291</v>
      </c>
      <c r="G1447" t="n">
        <v>2023</v>
      </c>
      <c r="H1447" t="inlineStr">
        <is>
          <t>Diciembre</t>
        </is>
      </c>
      <c r="I1447" t="inlineStr">
        <is>
          <t>2023-2</t>
        </is>
      </c>
      <c r="J1447" t="n">
        <v>80</v>
      </c>
      <c r="K1447" t="n">
        <v>96</v>
      </c>
      <c r="L1447" s="39">
        <f>IFERROR(IF(OR(J1447=0,K1447=""),"",IF(E1447="Positivo",MIN(MAX(K1447/J1447,0),1.3),MIN(MAX(J1447/K1447,0),1.3))),"") </f>
        <v/>
      </c>
      <c r="M1447" s="39">
        <f>IFERROR(IF(OR(J1447=0,K1447=""),"",IF(E1447="Positivo",MAX(K1447/J1447,0),MAX(J1447/K1447,0))),"") </f>
        <v/>
      </c>
      <c r="N1447" t="inlineStr">
        <is>
          <t>%</t>
        </is>
      </c>
      <c r="O1447" t="inlineStr">
        <is>
          <t>%</t>
        </is>
      </c>
      <c r="P1447" t="n">
        <v>0</v>
      </c>
      <c r="Q1447" t="n">
        <v>0</v>
      </c>
      <c r="R1447" t="inlineStr">
        <is>
          <t>437-2023-12-31</t>
        </is>
      </c>
    </row>
    <row r="1448">
      <c r="A1448" t="n">
        <v>437</v>
      </c>
      <c r="B1448" t="inlineStr">
        <is>
          <t>Nivel de Satisfacción Servicios Prestados - Riesgos</t>
        </is>
      </c>
      <c r="C1448" t="inlineStr">
        <is>
          <t>GESTIÓN DE RIESGOS</t>
        </is>
      </c>
      <c r="D1448" t="inlineStr">
        <is>
          <t>Anual</t>
        </is>
      </c>
      <c r="E1448" t="inlineStr">
        <is>
          <t>Positivo</t>
        </is>
      </c>
      <c r="F1448" s="111" t="n">
        <v>45657</v>
      </c>
      <c r="G1448" t="n">
        <v>2024</v>
      </c>
      <c r="H1448" t="inlineStr">
        <is>
          <t>Diciembre</t>
        </is>
      </c>
      <c r="I1448" t="inlineStr">
        <is>
          <t>2024-2</t>
        </is>
      </c>
      <c r="J1448" t="n">
        <v>80</v>
      </c>
      <c r="K1448" t="n">
        <v>84</v>
      </c>
      <c r="L1448" s="39">
        <f>IFERROR(IF(OR(J1448=0,K1448=""),"",IF(E1448="Positivo",MIN(MAX(K1448/J1448,0),1.3),MIN(MAX(J1448/K1448,0),1.3))),"") </f>
        <v/>
      </c>
      <c r="M1448" s="39">
        <f>IFERROR(IF(OR(J1448=0,K1448=""),"",IF(E1448="Positivo",MAX(K1448/J1448,0),MAX(J1448/K1448,0))),"") </f>
        <v/>
      </c>
      <c r="P1448" t="n">
        <v>0</v>
      </c>
      <c r="Q1448" t="n">
        <v>0</v>
      </c>
      <c r="R1448" t="inlineStr">
        <is>
          <t>437-2024-12-31</t>
        </is>
      </c>
    </row>
    <row r="1449">
      <c r="A1449" t="n">
        <v>437</v>
      </c>
      <c r="B1449" t="inlineStr">
        <is>
          <t>Nivel de Satisfacción Servicios Prestados - Riesgos</t>
        </is>
      </c>
      <c r="C1449" t="inlineStr">
        <is>
          <t>GESTIÓN DE RIESGOS</t>
        </is>
      </c>
      <c r="D1449" t="inlineStr">
        <is>
          <t>Anual</t>
        </is>
      </c>
      <c r="E1449" t="inlineStr">
        <is>
          <t>Positivo</t>
        </is>
      </c>
      <c r="F1449" s="111" t="n">
        <v>46022</v>
      </c>
      <c r="G1449" t="n">
        <v>2025</v>
      </c>
      <c r="H1449" t="inlineStr">
        <is>
          <t>Diciembre</t>
        </is>
      </c>
      <c r="I1449" t="inlineStr">
        <is>
          <t>2025-2</t>
        </is>
      </c>
      <c r="J1449" t="n">
        <v>80</v>
      </c>
      <c r="K1449" t="n">
        <v>99</v>
      </c>
      <c r="L1449" s="39">
        <f>IFERROR(IF(OR(J1449=0,K1449=""),"",IF(E1449="Positivo",MIN(MAX(K1449/J1449,0),1.3),MIN(MAX(J1449/K1449,0),1.3))),"") </f>
        <v/>
      </c>
      <c r="M1449" s="39">
        <f>IFERROR(IF(OR(J1449=0,K1449=""),"",IF(E1449="Positivo",MAX(K1449/J1449,0),MAX(J1449/K1449,0))),"") </f>
        <v/>
      </c>
      <c r="N1449" t="inlineStr">
        <is>
          <t>%</t>
        </is>
      </c>
      <c r="O1449" t="inlineStr">
        <is>
          <t>%</t>
        </is>
      </c>
      <c r="P1449" t="n">
        <v>0</v>
      </c>
      <c r="Q1449" t="n">
        <v>0</v>
      </c>
      <c r="R1449" t="inlineStr">
        <is>
          <t>437-2025-12-31</t>
        </is>
      </c>
    </row>
    <row r="1450">
      <c r="A1450" t="n">
        <v>438</v>
      </c>
      <c r="B1450" t="inlineStr">
        <is>
          <t>Seguimiento de asignación docente a NRC Pregrado-Posgrado Virtual</t>
        </is>
      </c>
      <c r="C1450" t="inlineStr">
        <is>
          <t>Operaciones Académica pregrado y posgrado virtual</t>
        </is>
      </c>
      <c r="D1450" t="inlineStr">
        <is>
          <t>Semestral</t>
        </is>
      </c>
      <c r="E1450" t="inlineStr">
        <is>
          <t>Positivo</t>
        </is>
      </c>
      <c r="F1450" s="111" t="n">
        <v>45291</v>
      </c>
      <c r="G1450" t="n">
        <v>2023</v>
      </c>
      <c r="H1450" t="inlineStr">
        <is>
          <t>Diciembre</t>
        </is>
      </c>
      <c r="I1450" t="inlineStr">
        <is>
          <t>2023-2</t>
        </is>
      </c>
      <c r="J1450" t="n">
        <v>100</v>
      </c>
      <c r="K1450" t="n">
        <v>100</v>
      </c>
      <c r="L1450" s="39">
        <f>IFERROR(IF(OR(J1450=0,K1450=""),"",IF(E1450="Positivo",MIN(MAX(K1450/J1450,0),1.3),MIN(MAX(J1450/K1450,0),1.3))),"") </f>
        <v/>
      </c>
      <c r="M1450" s="39">
        <f>IFERROR(IF(OR(J1450=0,K1450=""),"",IF(E1450="Positivo",MAX(K1450/J1450,0),MAX(J1450/K1450,0))),"") </f>
        <v/>
      </c>
      <c r="P1450" t="n">
        <v>0</v>
      </c>
      <c r="Q1450" t="n">
        <v>0</v>
      </c>
      <c r="R1450" t="inlineStr">
        <is>
          <t>438-2023-12-31</t>
        </is>
      </c>
    </row>
    <row r="1451">
      <c r="A1451" t="n">
        <v>439</v>
      </c>
      <c r="B1451" t="inlineStr">
        <is>
          <t>Disponibilidad de catálogo de asignaturas pregrado y posgrado virtual</t>
        </is>
      </c>
      <c r="C1451" t="inlineStr">
        <is>
          <t>Operaciones Académicas</t>
        </is>
      </c>
      <c r="D1451" t="inlineStr">
        <is>
          <t>Trimestral</t>
        </is>
      </c>
      <c r="E1451" t="inlineStr">
        <is>
          <t>Positivo</t>
        </is>
      </c>
      <c r="F1451" s="111" t="n">
        <v>45107</v>
      </c>
      <c r="G1451" t="n">
        <v>2023</v>
      </c>
      <c r="H1451" t="inlineStr">
        <is>
          <t>Junio</t>
        </is>
      </c>
      <c r="I1451" t="inlineStr">
        <is>
          <t>2023-1</t>
        </is>
      </c>
      <c r="L1451" s="39" t="n"/>
      <c r="M1451" s="39" t="n"/>
      <c r="N1451" t="inlineStr">
        <is>
          <t>%</t>
        </is>
      </c>
      <c r="O1451" t="inlineStr">
        <is>
          <t>No Aplica</t>
        </is>
      </c>
      <c r="P1451" t="n">
        <v>0</v>
      </c>
      <c r="Q1451" t="n">
        <v>0</v>
      </c>
      <c r="R1451" t="inlineStr">
        <is>
          <t>439-2023-06-30</t>
        </is>
      </c>
      <c r="S1451" t="inlineStr">
        <is>
          <t>No Aplica</t>
        </is>
      </c>
    </row>
    <row r="1452">
      <c r="A1452" t="n">
        <v>439</v>
      </c>
      <c r="B1452" t="inlineStr">
        <is>
          <t>Disponibilidad de catálogo de asignaturas pregrado y posgrado virtual</t>
        </is>
      </c>
      <c r="C1452" t="inlineStr">
        <is>
          <t>Operaciones Académica pregrado y posgrado virtual</t>
        </is>
      </c>
      <c r="D1452" t="inlineStr">
        <is>
          <t>Semestral</t>
        </is>
      </c>
      <c r="E1452" t="inlineStr">
        <is>
          <t>Positivo</t>
        </is>
      </c>
      <c r="F1452" s="111" t="n">
        <v>45291</v>
      </c>
      <c r="G1452" t="n">
        <v>2023</v>
      </c>
      <c r="H1452" t="inlineStr">
        <is>
          <t>Diciembre</t>
        </is>
      </c>
      <c r="I1452" t="inlineStr">
        <is>
          <t>2023-2</t>
        </is>
      </c>
      <c r="J1452" t="n">
        <v>100</v>
      </c>
      <c r="K1452" t="n">
        <v>100</v>
      </c>
      <c r="L1452" s="39">
        <f>IFERROR(IF(OR(J1452=0,K1452=""),"",IF(E1452="Positivo",MIN(MAX(K1452/J1452,0),1.3),MIN(MAX(J1452/K1452,0),1.3))),"") </f>
        <v/>
      </c>
      <c r="M1452" s="39">
        <f>IFERROR(IF(OR(J1452=0,K1452=""),"",IF(E1452="Positivo",MAX(K1452/J1452,0),MAX(J1452/K1452,0))),"") </f>
        <v/>
      </c>
      <c r="P1452" t="n">
        <v>0</v>
      </c>
      <c r="Q1452" t="n">
        <v>0</v>
      </c>
      <c r="R1452" t="inlineStr">
        <is>
          <t>439-2023-12-31</t>
        </is>
      </c>
    </row>
    <row r="1453">
      <c r="A1453" t="n">
        <v>439</v>
      </c>
      <c r="B1453" t="inlineStr">
        <is>
          <t>Disponibilidad de catálogo de asignaturas pregrado y posgrado virtual</t>
        </is>
      </c>
      <c r="C1453" t="inlineStr">
        <is>
          <t>Operaciones Académicas</t>
        </is>
      </c>
      <c r="D1453" t="inlineStr">
        <is>
          <t>Semestral</t>
        </is>
      </c>
      <c r="E1453" t="inlineStr">
        <is>
          <t>Positivo</t>
        </is>
      </c>
      <c r="F1453" s="111" t="n">
        <v>45473</v>
      </c>
      <c r="G1453" t="n">
        <v>2024</v>
      </c>
      <c r="H1453" t="inlineStr">
        <is>
          <t>Junio</t>
        </is>
      </c>
      <c r="I1453" t="inlineStr">
        <is>
          <t>2024-1</t>
        </is>
      </c>
      <c r="J1453" t="n">
        <v>100</v>
      </c>
      <c r="K1453" t="n">
        <v>100</v>
      </c>
      <c r="L1453" s="39">
        <f>IFERROR(IF(OR(J1453=0,K1453=""),"",IF(E1453="Positivo",MIN(MAX(K1453/J1453,0),1.3),MIN(MAX(J1453/K1453,0),1.3))),"") </f>
        <v/>
      </c>
      <c r="M1453" s="39">
        <f>IFERROR(IF(OR(J1453=0,K1453=""),"",IF(E1453="Positivo",MAX(K1453/J1453,0),MAX(J1453/K1453,0))),"") </f>
        <v/>
      </c>
      <c r="P1453" t="n">
        <v>0</v>
      </c>
      <c r="Q1453" t="n">
        <v>0</v>
      </c>
      <c r="R1453" t="inlineStr">
        <is>
          <t>439-2024-06-30</t>
        </is>
      </c>
    </row>
    <row r="1454">
      <c r="A1454" t="n">
        <v>439</v>
      </c>
      <c r="B1454" t="inlineStr">
        <is>
          <t>Disponibilidad de catálogo de asignaturas pregrado y posgrado virtual</t>
        </is>
      </c>
      <c r="C1454" t="inlineStr">
        <is>
          <t>Operaciones Académicas</t>
        </is>
      </c>
      <c r="D1454" t="inlineStr">
        <is>
          <t>Semestral</t>
        </is>
      </c>
      <c r="E1454" t="inlineStr">
        <is>
          <t>Positivo</t>
        </is>
      </c>
      <c r="F1454" s="111" t="n">
        <v>45657</v>
      </c>
      <c r="G1454" t="n">
        <v>2024</v>
      </c>
      <c r="H1454" t="inlineStr">
        <is>
          <t>Diciembre</t>
        </is>
      </c>
      <c r="I1454" t="inlineStr">
        <is>
          <t>2024-2</t>
        </is>
      </c>
      <c r="J1454" t="n">
        <v>100</v>
      </c>
      <c r="K1454" t="n">
        <v>100</v>
      </c>
      <c r="L1454" s="39">
        <f>IFERROR(IF(OR(J1454=0,K1454=""),"",IF(E1454="Positivo",MIN(MAX(K1454/J1454,0),1.3),MIN(MAX(J1454/K1454,0),1.3))),"") </f>
        <v/>
      </c>
      <c r="M1454" s="39">
        <f>IFERROR(IF(OR(J1454=0,K1454=""),"",IF(E1454="Positivo",MAX(K1454/J1454,0),MAX(J1454/K1454,0))),"") </f>
        <v/>
      </c>
      <c r="P1454" t="n">
        <v>0</v>
      </c>
      <c r="Q1454" t="n">
        <v>0</v>
      </c>
      <c r="R1454" t="inlineStr">
        <is>
          <t>439-2024-12-31</t>
        </is>
      </c>
    </row>
    <row r="1455">
      <c r="A1455" t="n">
        <v>439</v>
      </c>
      <c r="B1455" t="inlineStr">
        <is>
          <t>Disponibilidad de catálogo de asignaturas pregrado y posgrado virtual</t>
        </is>
      </c>
      <c r="C1455" t="inlineStr">
        <is>
          <t>Operaciones Académicas</t>
        </is>
      </c>
      <c r="D1455" t="inlineStr">
        <is>
          <t>Trimestral</t>
        </is>
      </c>
      <c r="E1455" t="inlineStr">
        <is>
          <t>Positivo</t>
        </is>
      </c>
      <c r="F1455" s="111" t="n">
        <v>45838</v>
      </c>
      <c r="G1455" t="n">
        <v>2025</v>
      </c>
      <c r="H1455" t="inlineStr">
        <is>
          <t>Junio</t>
        </is>
      </c>
      <c r="I1455" t="inlineStr">
        <is>
          <t>2025-1</t>
        </is>
      </c>
      <c r="J1455" t="n">
        <v>100</v>
      </c>
      <c r="K1455" t="n">
        <v>100</v>
      </c>
      <c r="L1455" s="39">
        <f>IFERROR(IF(OR(J1455=0,K1455=""),"",IF(E1455="Positivo",MIN(MAX(K1455/J1455,0),1.3),MIN(MAX(J1455/K1455,0),1.3))),"") </f>
        <v/>
      </c>
      <c r="M1455" s="39">
        <f>IFERROR(IF(OR(J1455=0,K1455=""),"",IF(E1455="Positivo",MAX(K1455/J1455,0),MAX(J1455/K1455,0))),"") </f>
        <v/>
      </c>
      <c r="N1455" t="inlineStr">
        <is>
          <t>%</t>
        </is>
      </c>
      <c r="O1455" t="inlineStr">
        <is>
          <t>%</t>
        </is>
      </c>
      <c r="P1455" t="n">
        <v>0</v>
      </c>
      <c r="Q1455" t="n">
        <v>0</v>
      </c>
      <c r="R1455" t="inlineStr">
        <is>
          <t>439-2025-06-30</t>
        </is>
      </c>
    </row>
    <row r="1456">
      <c r="A1456" t="n">
        <v>439</v>
      </c>
      <c r="B1456" t="inlineStr">
        <is>
          <t>Disponibilidad de catálogo de asignaturas pregrado y posgrado virtual</t>
        </is>
      </c>
      <c r="C1456" t="inlineStr">
        <is>
          <t>Operaciones Académicas</t>
        </is>
      </c>
      <c r="D1456" t="inlineStr">
        <is>
          <t>Trimestral</t>
        </is>
      </c>
      <c r="E1456" t="inlineStr">
        <is>
          <t>Positivo</t>
        </is>
      </c>
      <c r="F1456" s="111" t="n">
        <v>46022</v>
      </c>
      <c r="G1456" t="n">
        <v>2025</v>
      </c>
      <c r="H1456" t="inlineStr">
        <is>
          <t>Diciembre</t>
        </is>
      </c>
      <c r="I1456" t="inlineStr">
        <is>
          <t>2025-2</t>
        </is>
      </c>
      <c r="J1456" t="n">
        <v>100</v>
      </c>
      <c r="K1456" t="n">
        <v>100</v>
      </c>
      <c r="L1456" s="39">
        <f>IFERROR(IF(OR(J1456=0,K1456=""),"",IF(E1456="Positivo",MIN(MAX(K1456/J1456,0),1.3),MIN(MAX(J1456/K1456,0),1.3))),"") </f>
        <v/>
      </c>
      <c r="M1456" s="39">
        <f>IFERROR(IF(OR(J1456=0,K1456=""),"",IF(E1456="Positivo",MAX(K1456/J1456,0),MAX(J1456/K1456,0))),"") </f>
        <v/>
      </c>
      <c r="N1456" t="inlineStr">
        <is>
          <t>%</t>
        </is>
      </c>
      <c r="O1456" t="inlineStr">
        <is>
          <t>%</t>
        </is>
      </c>
      <c r="P1456" t="n">
        <v>0</v>
      </c>
      <c r="Q1456" t="n">
        <v>0</v>
      </c>
      <c r="R1456" t="inlineStr">
        <is>
          <t>439-2025-12-31</t>
        </is>
      </c>
    </row>
    <row r="1457">
      <c r="A1457" t="n">
        <v>440</v>
      </c>
      <c r="B1457" t="inlineStr">
        <is>
          <t>Aseguramiento de matricula académica virtual</t>
        </is>
      </c>
      <c r="C1457" t="inlineStr">
        <is>
          <t>Operaciones Académicas</t>
        </is>
      </c>
      <c r="D1457" t="inlineStr">
        <is>
          <t>Trimestral</t>
        </is>
      </c>
      <c r="E1457" t="inlineStr">
        <is>
          <t>Positivo</t>
        </is>
      </c>
      <c r="F1457" s="111" t="n">
        <v>45107</v>
      </c>
      <c r="G1457" t="n">
        <v>2023</v>
      </c>
      <c r="H1457" t="inlineStr">
        <is>
          <t>Junio</t>
        </is>
      </c>
      <c r="I1457" t="inlineStr">
        <is>
          <t>2023-1</t>
        </is>
      </c>
      <c r="L1457" s="39" t="n"/>
      <c r="M1457" s="39" t="n"/>
      <c r="N1457" t="inlineStr">
        <is>
          <t>%</t>
        </is>
      </c>
      <c r="O1457" t="inlineStr">
        <is>
          <t>No Aplica</t>
        </is>
      </c>
      <c r="P1457" t="n">
        <v>0</v>
      </c>
      <c r="Q1457" t="n">
        <v>1</v>
      </c>
      <c r="R1457" t="inlineStr">
        <is>
          <t>440-2023-06-30</t>
        </is>
      </c>
      <c r="S1457" t="inlineStr">
        <is>
          <t>No Aplica</t>
        </is>
      </c>
    </row>
    <row r="1458">
      <c r="A1458" t="n">
        <v>440</v>
      </c>
      <c r="B1458" t="inlineStr">
        <is>
          <t>Aseguramiento de matricula académica virtual</t>
        </is>
      </c>
      <c r="C1458" t="inlineStr">
        <is>
          <t>Operaciones Académica pregrado y posgrado virtual</t>
        </is>
      </c>
      <c r="D1458" t="inlineStr">
        <is>
          <t>Semestral</t>
        </is>
      </c>
      <c r="E1458" t="inlineStr">
        <is>
          <t>Positivo</t>
        </is>
      </c>
      <c r="F1458" s="111" t="n">
        <v>45291</v>
      </c>
      <c r="G1458" t="n">
        <v>2023</v>
      </c>
      <c r="H1458" t="inlineStr">
        <is>
          <t>Diciembre</t>
        </is>
      </c>
      <c r="I1458" t="inlineStr">
        <is>
          <t>2023-2</t>
        </is>
      </c>
      <c r="J1458" t="n">
        <v>98</v>
      </c>
      <c r="K1458" t="n">
        <v>97.746062537527</v>
      </c>
      <c r="L1458" s="39">
        <f>IFERROR(IF(OR(J1458=0,K1458=""),"",IF(E1458="Positivo",MIN(MAX(K1458/J1458,0),1.3),MIN(MAX(J1458/K1458,0),1.3))),"") </f>
        <v/>
      </c>
      <c r="M1458" s="39">
        <f>IFERROR(IF(OR(J1458=0,K1458=""),"",IF(E1458="Positivo",MAX(K1458/J1458,0),MAX(J1458/K1458,0))),"") </f>
        <v/>
      </c>
      <c r="P1458" t="n">
        <v>1</v>
      </c>
      <c r="Q1458" t="n">
        <v>1</v>
      </c>
      <c r="R1458" t="inlineStr">
        <is>
          <t>440-2023-12-31</t>
        </is>
      </c>
    </row>
    <row r="1459">
      <c r="A1459" t="n">
        <v>440</v>
      </c>
      <c r="B1459" t="inlineStr">
        <is>
          <t>Aseguramiento de matricula académica virtual</t>
        </is>
      </c>
      <c r="C1459" t="inlineStr">
        <is>
          <t>Operaciones Académicas</t>
        </is>
      </c>
      <c r="D1459" t="inlineStr">
        <is>
          <t>Semestral</t>
        </is>
      </c>
      <c r="E1459" t="inlineStr">
        <is>
          <t>Positivo</t>
        </is>
      </c>
      <c r="F1459" s="111" t="n">
        <v>45473</v>
      </c>
      <c r="G1459" t="n">
        <v>2024</v>
      </c>
      <c r="H1459" t="inlineStr">
        <is>
          <t>Junio</t>
        </is>
      </c>
      <c r="I1459" t="inlineStr">
        <is>
          <t>2024-1</t>
        </is>
      </c>
      <c r="J1459" t="n">
        <v>98</v>
      </c>
      <c r="K1459" t="n">
        <v>99.73</v>
      </c>
      <c r="L1459" s="39">
        <f>IFERROR(IF(OR(J1459=0,K1459=""),"",IF(E1459="Positivo",MIN(MAX(K1459/J1459,0),1.3),MIN(MAX(J1459/K1459,0),1.3))),"") </f>
        <v/>
      </c>
      <c r="M1459" s="39">
        <f>IFERROR(IF(OR(J1459=0,K1459=""),"",IF(E1459="Positivo",MAX(K1459/J1459,0),MAX(J1459/K1459,0))),"") </f>
        <v/>
      </c>
      <c r="P1459" t="n">
        <v>0</v>
      </c>
      <c r="Q1459" t="n">
        <v>0</v>
      </c>
      <c r="R1459" t="inlineStr">
        <is>
          <t>440-2024-06-30</t>
        </is>
      </c>
    </row>
    <row r="1460">
      <c r="A1460" t="n">
        <v>440</v>
      </c>
      <c r="B1460" t="inlineStr">
        <is>
          <t>Aseguramiento de matricula académica virtual</t>
        </is>
      </c>
      <c r="C1460" t="inlineStr">
        <is>
          <t>Operaciones Académicas</t>
        </is>
      </c>
      <c r="D1460" t="inlineStr">
        <is>
          <t>Semestral</t>
        </is>
      </c>
      <c r="E1460" t="inlineStr">
        <is>
          <t>Positivo</t>
        </is>
      </c>
      <c r="F1460" s="111" t="n">
        <v>45657</v>
      </c>
      <c r="G1460" t="n">
        <v>2024</v>
      </c>
      <c r="H1460" t="inlineStr">
        <is>
          <t>Diciembre</t>
        </is>
      </c>
      <c r="I1460" t="inlineStr">
        <is>
          <t>2024-2</t>
        </is>
      </c>
      <c r="J1460" t="n">
        <v>98</v>
      </c>
      <c r="K1460" t="n">
        <v>99.23999999999999</v>
      </c>
      <c r="L1460" s="39">
        <f>IFERROR(IF(OR(J1460=0,K1460=""),"",IF(E1460="Positivo",MIN(MAX(K1460/J1460,0),1.3),MIN(MAX(J1460/K1460,0),1.3))),"") </f>
        <v/>
      </c>
      <c r="M1460" s="39">
        <f>IFERROR(IF(OR(J1460=0,K1460=""),"",IF(E1460="Positivo",MAX(K1460/J1460,0),MAX(J1460/K1460,0))),"") </f>
        <v/>
      </c>
      <c r="P1460" t="n">
        <v>0</v>
      </c>
      <c r="Q1460" t="n">
        <v>0</v>
      </c>
      <c r="R1460" t="inlineStr">
        <is>
          <t>440-2024-12-31</t>
        </is>
      </c>
    </row>
    <row r="1461">
      <c r="A1461" t="n">
        <v>440</v>
      </c>
      <c r="B1461" t="inlineStr">
        <is>
          <t>Aseguramiento de matricula académica virtual</t>
        </is>
      </c>
      <c r="C1461" t="inlineStr">
        <is>
          <t>Operaciones Académicas</t>
        </is>
      </c>
      <c r="D1461" t="inlineStr">
        <is>
          <t>Trimestral</t>
        </is>
      </c>
      <c r="E1461" t="inlineStr">
        <is>
          <t>Positivo</t>
        </is>
      </c>
      <c r="F1461" s="111" t="n">
        <v>45838</v>
      </c>
      <c r="G1461" t="n">
        <v>2025</v>
      </c>
      <c r="H1461" t="inlineStr">
        <is>
          <t>Junio</t>
        </is>
      </c>
      <c r="I1461" t="inlineStr">
        <is>
          <t>2025-1</t>
        </is>
      </c>
      <c r="J1461" t="n">
        <v>98</v>
      </c>
      <c r="K1461" t="n">
        <v>99.77</v>
      </c>
      <c r="L1461" s="39">
        <f>IFERROR(IF(OR(J1461=0,K1461=""),"",IF(E1461="Positivo",MIN(MAX(K1461/J1461,0),1.3),MIN(MAX(J1461/K1461,0),1.3))),"") </f>
        <v/>
      </c>
      <c r="M1461" s="39">
        <f>IFERROR(IF(OR(J1461=0,K1461=""),"",IF(E1461="Positivo",MAX(K1461/J1461,0),MAX(J1461/K1461,0))),"") </f>
        <v/>
      </c>
      <c r="N1461" t="inlineStr">
        <is>
          <t>%</t>
        </is>
      </c>
      <c r="O1461" t="inlineStr">
        <is>
          <t>%</t>
        </is>
      </c>
      <c r="P1461" t="n">
        <v>0</v>
      </c>
      <c r="Q1461" t="n">
        <v>1</v>
      </c>
      <c r="R1461" t="inlineStr">
        <is>
          <t>440-2025-06-30</t>
        </is>
      </c>
    </row>
    <row r="1462">
      <c r="A1462" t="n">
        <v>440</v>
      </c>
      <c r="B1462" t="inlineStr">
        <is>
          <t>Aseguramiento de matricula académica virtual</t>
        </is>
      </c>
      <c r="C1462" t="inlineStr">
        <is>
          <t>Operaciones Académicas</t>
        </is>
      </c>
      <c r="D1462" t="inlineStr">
        <is>
          <t>Trimestral</t>
        </is>
      </c>
      <c r="E1462" t="inlineStr">
        <is>
          <t>Positivo</t>
        </is>
      </c>
      <c r="F1462" s="111" t="n">
        <v>46022</v>
      </c>
      <c r="G1462" t="n">
        <v>2025</v>
      </c>
      <c r="H1462" t="inlineStr">
        <is>
          <t>Diciembre</t>
        </is>
      </c>
      <c r="I1462" t="inlineStr">
        <is>
          <t>2025-2</t>
        </is>
      </c>
      <c r="J1462" t="n">
        <v>98</v>
      </c>
      <c r="K1462" t="n">
        <v>99.73999999999999</v>
      </c>
      <c r="L1462" s="39">
        <f>IFERROR(IF(OR(J1462=0,K1462=""),"",IF(E1462="Positivo",MIN(MAX(K1462/J1462,0),1.3),MIN(MAX(J1462/K1462,0),1.3))),"") </f>
        <v/>
      </c>
      <c r="M1462" s="39">
        <f>IFERROR(IF(OR(J1462=0,K1462=""),"",IF(E1462="Positivo",MAX(K1462/J1462,0),MAX(J1462/K1462,0))),"") </f>
        <v/>
      </c>
      <c r="N1462" t="inlineStr">
        <is>
          <t>%</t>
        </is>
      </c>
      <c r="O1462" t="inlineStr">
        <is>
          <t>%</t>
        </is>
      </c>
      <c r="P1462" t="n">
        <v>0</v>
      </c>
      <c r="Q1462" t="n">
        <v>1</v>
      </c>
      <c r="R1462" t="inlineStr">
        <is>
          <t>440-2025-12-31</t>
        </is>
      </c>
    </row>
    <row r="1463">
      <c r="A1463" t="n">
        <v>441</v>
      </c>
      <c r="B1463" t="inlineStr">
        <is>
          <t>Cumplimiento a cronograma de proyectos 2024</t>
        </is>
      </c>
      <c r="C1463" t="inlineStr">
        <is>
          <t>Gestión de Proyectos</t>
        </is>
      </c>
      <c r="D1463" t="inlineStr">
        <is>
          <t>Mensual</t>
        </is>
      </c>
      <c r="E1463" t="inlineStr">
        <is>
          <t>Positivo</t>
        </is>
      </c>
      <c r="F1463" s="111" t="n">
        <v>45473</v>
      </c>
      <c r="G1463" t="n">
        <v>2024</v>
      </c>
      <c r="H1463" t="inlineStr">
        <is>
          <t>Junio</t>
        </is>
      </c>
      <c r="I1463" t="inlineStr">
        <is>
          <t>2024-1</t>
        </is>
      </c>
      <c r="J1463" t="n">
        <v>90</v>
      </c>
      <c r="K1463" t="n">
        <v>97.31</v>
      </c>
      <c r="L1463" s="39">
        <f>IFERROR(IF(OR(J1463=0,K1463=""),"",IF(E1463="Positivo",MIN(MAX(K1463/J1463,0),1.3),MIN(MAX(J1463/K1463,0),1.3))),"") </f>
        <v/>
      </c>
      <c r="M1463" s="39">
        <f>IFERROR(IF(OR(J1463=0,K1463=""),"",IF(E1463="Positivo",MAX(K1463/J1463,0),MAX(J1463/K1463,0))),"") </f>
        <v/>
      </c>
      <c r="P1463" t="n">
        <v>0</v>
      </c>
      <c r="Q1463" t="n">
        <v>0</v>
      </c>
      <c r="R1463" t="inlineStr">
        <is>
          <t>441-2024-06-30</t>
        </is>
      </c>
    </row>
    <row r="1464">
      <c r="A1464" t="n">
        <v>441</v>
      </c>
      <c r="B1464" t="inlineStr">
        <is>
          <t>Cumplimiento a cronograma de proyectos 2024</t>
        </is>
      </c>
      <c r="C1464" t="inlineStr">
        <is>
          <t>Gestión de Proyectos</t>
        </is>
      </c>
      <c r="D1464" t="inlineStr">
        <is>
          <t>Mensual</t>
        </is>
      </c>
      <c r="E1464" t="inlineStr">
        <is>
          <t>Positivo</t>
        </is>
      </c>
      <c r="F1464" s="111" t="n">
        <v>45657</v>
      </c>
      <c r="G1464" t="n">
        <v>2024</v>
      </c>
      <c r="H1464" t="inlineStr">
        <is>
          <t>Diciembre</t>
        </is>
      </c>
      <c r="I1464" t="inlineStr">
        <is>
          <t>2024-2</t>
        </is>
      </c>
      <c r="J1464" t="n">
        <v>90</v>
      </c>
      <c r="K1464" t="n">
        <v>99.919935948759</v>
      </c>
      <c r="L1464" s="39">
        <f>IFERROR(IF(OR(J1464=0,K1464=""),"",IF(E1464="Positivo",MIN(MAX(K1464/J1464,0),1.3),MIN(MAX(J1464/K1464,0),1.3))),"") </f>
        <v/>
      </c>
      <c r="M1464" s="39">
        <f>IFERROR(IF(OR(J1464=0,K1464=""),"",IF(E1464="Positivo",MAX(K1464/J1464,0),MAX(J1464/K1464,0))),"") </f>
        <v/>
      </c>
      <c r="P1464" t="n">
        <v>0</v>
      </c>
      <c r="Q1464" t="n">
        <v>0</v>
      </c>
      <c r="R1464" t="inlineStr">
        <is>
          <t>441-2024-12-31</t>
        </is>
      </c>
    </row>
    <row r="1465">
      <c r="A1465" t="n">
        <v>442</v>
      </c>
      <c r="B1465" t="inlineStr">
        <is>
          <t>Participación de docentes invitados en eventos académicos virtuales en Poli</t>
        </is>
      </c>
      <c r="C1465" t="inlineStr">
        <is>
          <t>VISIBILIDAD NACIONAL E INTERNACIONAL</t>
        </is>
      </c>
      <c r="D1465" t="inlineStr">
        <is>
          <t>Semestral</t>
        </is>
      </c>
      <c r="E1465" t="inlineStr">
        <is>
          <t>Positivo</t>
        </is>
      </c>
      <c r="F1465" s="111" t="n">
        <v>45473</v>
      </c>
      <c r="G1465" t="n">
        <v>2024</v>
      </c>
      <c r="H1465" t="inlineStr">
        <is>
          <t>Junio</t>
        </is>
      </c>
      <c r="I1465" t="inlineStr">
        <is>
          <t>2024-1</t>
        </is>
      </c>
      <c r="J1465" t="n">
        <v>100</v>
      </c>
      <c r="K1465" t="n">
        <v>80</v>
      </c>
      <c r="L1465" s="39">
        <f>IFERROR(IF(OR(J1465=0,K1465=""),"",IF(E1465="Positivo",MIN(MAX(K1465/J1465,0),1.3),MIN(MAX(J1465/K1465,0),1.3))),"") </f>
        <v/>
      </c>
      <c r="M1465" s="39">
        <f>IFERROR(IF(OR(J1465=0,K1465=""),"",IF(E1465="Positivo",MAX(K1465/J1465,0),MAX(J1465/K1465,0))),"") </f>
        <v/>
      </c>
      <c r="P1465" t="n">
        <v>0</v>
      </c>
      <c r="Q1465" t="n">
        <v>0</v>
      </c>
      <c r="R1465" t="inlineStr">
        <is>
          <t>442-2024-06-30</t>
        </is>
      </c>
    </row>
    <row r="1466">
      <c r="A1466" t="n">
        <v>442</v>
      </c>
      <c r="B1466" t="inlineStr">
        <is>
          <t>Participación de docentes invitados en eventos académicos virtuales en Poli</t>
        </is>
      </c>
      <c r="C1466" t="inlineStr">
        <is>
          <t>VISIBILIDAD NACIONAL E INTERNACIONAL</t>
        </is>
      </c>
      <c r="D1466" t="inlineStr">
        <is>
          <t>Semestral</t>
        </is>
      </c>
      <c r="E1466" t="inlineStr">
        <is>
          <t>Positivo</t>
        </is>
      </c>
      <c r="F1466" s="111" t="n">
        <v>45657</v>
      </c>
      <c r="G1466" t="n">
        <v>2024</v>
      </c>
      <c r="H1466" t="inlineStr">
        <is>
          <t>Diciembre</t>
        </is>
      </c>
      <c r="I1466" t="inlineStr">
        <is>
          <t>2024-2</t>
        </is>
      </c>
      <c r="J1466" t="n">
        <v>100</v>
      </c>
      <c r="K1466" t="n">
        <v>145</v>
      </c>
      <c r="L1466" s="39">
        <f>IFERROR(IF(OR(J1466=0,K1466=""),"",IF(E1466="Positivo",MIN(MAX(K1466/J1466,0),1.3),MIN(MAX(J1466/K1466,0),1.3))),"") </f>
        <v/>
      </c>
      <c r="M1466" s="39">
        <f>IFERROR(IF(OR(J1466=0,K1466=""),"",IF(E1466="Positivo",MAX(K1466/J1466,0),MAX(J1466/K1466,0))),"") </f>
        <v/>
      </c>
      <c r="P1466" t="n">
        <v>0</v>
      </c>
      <c r="Q1466" t="n">
        <v>0</v>
      </c>
      <c r="R1466" t="inlineStr">
        <is>
          <t>442-2024-12-31</t>
        </is>
      </c>
    </row>
    <row r="1467">
      <c r="A1467" t="n">
        <v>443</v>
      </c>
      <c r="B1467" t="inlineStr">
        <is>
          <t>Participación de estudiantes invitados en eventos académicos virtuales en Poli</t>
        </is>
      </c>
      <c r="C1467" t="inlineStr">
        <is>
          <t>VISIBILIDAD NACIONAL E INTERNACIONAL</t>
        </is>
      </c>
      <c r="D1467" t="inlineStr">
        <is>
          <t>Semestral</t>
        </is>
      </c>
      <c r="E1467" t="inlineStr">
        <is>
          <t>Positivo</t>
        </is>
      </c>
      <c r="F1467" s="111" t="n">
        <v>45473</v>
      </c>
      <c r="G1467" t="n">
        <v>2024</v>
      </c>
      <c r="H1467" t="inlineStr">
        <is>
          <t>Junio</t>
        </is>
      </c>
      <c r="I1467" t="inlineStr">
        <is>
          <t>2024-1</t>
        </is>
      </c>
      <c r="J1467" t="n">
        <v>100</v>
      </c>
      <c r="K1467" t="n">
        <v>114.33</v>
      </c>
      <c r="L1467" s="39">
        <f>IFERROR(IF(OR(J1467=0,K1467=""),"",IF(E1467="Positivo",MIN(MAX(K1467/J1467,0),1.3),MIN(MAX(J1467/K1467,0),1.3))),"") </f>
        <v/>
      </c>
      <c r="M1467" s="39">
        <f>IFERROR(IF(OR(J1467=0,K1467=""),"",IF(E1467="Positivo",MAX(K1467/J1467,0),MAX(J1467/K1467,0))),"") </f>
        <v/>
      </c>
      <c r="P1467" t="n">
        <v>0</v>
      </c>
      <c r="Q1467" t="n">
        <v>0</v>
      </c>
      <c r="R1467" t="inlineStr">
        <is>
          <t>443-2024-06-30</t>
        </is>
      </c>
    </row>
    <row r="1468">
      <c r="A1468" t="n">
        <v>443</v>
      </c>
      <c r="B1468" t="inlineStr">
        <is>
          <t>Participación de estudiantes invitados en eventos académicos virtuales en Poli</t>
        </is>
      </c>
      <c r="C1468" t="inlineStr">
        <is>
          <t>VISIBILIDAD NACIONAL E INTERNACIONAL</t>
        </is>
      </c>
      <c r="D1468" t="inlineStr">
        <is>
          <t>Semestral</t>
        </is>
      </c>
      <c r="E1468" t="inlineStr">
        <is>
          <t>Positivo</t>
        </is>
      </c>
      <c r="F1468" s="111" t="n">
        <v>45657</v>
      </c>
      <c r="G1468" t="n">
        <v>2024</v>
      </c>
      <c r="H1468" t="inlineStr">
        <is>
          <t>Diciembre</t>
        </is>
      </c>
      <c r="I1468" t="inlineStr">
        <is>
          <t>2024-2</t>
        </is>
      </c>
      <c r="J1468" t="n">
        <v>100</v>
      </c>
      <c r="K1468" t="n">
        <v>209</v>
      </c>
      <c r="L1468" s="39">
        <f>IFERROR(IF(OR(J1468=0,K1468=""),"",IF(E1468="Positivo",MIN(MAX(K1468/J1468,0),1.3),MIN(MAX(J1468/K1468,0),1.3))),"") </f>
        <v/>
      </c>
      <c r="M1468" s="39">
        <f>IFERROR(IF(OR(J1468=0,K1468=""),"",IF(E1468="Positivo",MAX(K1468/J1468,0),MAX(J1468/K1468,0))),"") </f>
        <v/>
      </c>
      <c r="P1468" t="n">
        <v>0</v>
      </c>
      <c r="Q1468" t="n">
        <v>0</v>
      </c>
      <c r="R1468" t="inlineStr">
        <is>
          <t>443-2024-12-31</t>
        </is>
      </c>
    </row>
    <row r="1469">
      <c r="A1469" t="n">
        <v>444</v>
      </c>
      <c r="B1469" t="inlineStr">
        <is>
          <t>CES Proceso de grados</t>
        </is>
      </c>
      <c r="C1469" t="inlineStr">
        <is>
          <t>Registro y Control</t>
        </is>
      </c>
      <c r="D1469" t="inlineStr">
        <is>
          <t>Semestral</t>
        </is>
      </c>
      <c r="E1469" t="inlineStr">
        <is>
          <t>Positivo</t>
        </is>
      </c>
      <c r="F1469" s="111" t="n">
        <v>45473</v>
      </c>
      <c r="G1469" t="n">
        <v>2024</v>
      </c>
      <c r="H1469" t="inlineStr">
        <is>
          <t>Junio</t>
        </is>
      </c>
      <c r="I1469" t="inlineStr">
        <is>
          <t>2024-1</t>
        </is>
      </c>
      <c r="L1469" s="39" t="n"/>
      <c r="M1469" s="39" t="n"/>
      <c r="P1469" t="n">
        <v>0</v>
      </c>
      <c r="Q1469" t="n">
        <v>0</v>
      </c>
      <c r="R1469" t="inlineStr">
        <is>
          <t>444-2024-06-30</t>
        </is>
      </c>
    </row>
    <row r="1470">
      <c r="A1470" t="n">
        <v>444</v>
      </c>
      <c r="B1470" t="inlineStr">
        <is>
          <t>CES Proceso de grados</t>
        </is>
      </c>
      <c r="C1470" t="inlineStr">
        <is>
          <t>Registro y Control</t>
        </is>
      </c>
      <c r="D1470" t="inlineStr">
        <is>
          <t>Semestral</t>
        </is>
      </c>
      <c r="E1470" t="inlineStr">
        <is>
          <t>Positivo</t>
        </is>
      </c>
      <c r="F1470" s="111" t="n">
        <v>45657</v>
      </c>
      <c r="G1470" t="n">
        <v>2024</v>
      </c>
      <c r="H1470" t="inlineStr">
        <is>
          <t>Diciembre</t>
        </is>
      </c>
      <c r="I1470" t="inlineStr">
        <is>
          <t>2024-2</t>
        </is>
      </c>
      <c r="J1470" t="n">
        <v>0</v>
      </c>
      <c r="K1470" t="n">
        <v>2.1</v>
      </c>
      <c r="L1470" s="39">
        <f>IFERROR(IF(OR(J1470=0,K1470=""),"",IF(E1470="Positivo",MIN(MAX(K1470/J1470,0),1.3),MIN(MAX(J1470/K1470,0),1.3))),"") </f>
        <v/>
      </c>
      <c r="M1470" s="39">
        <f>IFERROR(IF(OR(J1470=0,K1470=""),"",IF(E1470="Positivo",MAX(K1470/J1470,0),MAX(J1470/K1470,0))),"") </f>
        <v/>
      </c>
      <c r="P1470" t="n">
        <v>0</v>
      </c>
      <c r="Q1470" t="n">
        <v>0</v>
      </c>
      <c r="R1470" t="inlineStr">
        <is>
          <t>444-2024-12-31</t>
        </is>
      </c>
    </row>
    <row r="1471">
      <c r="A1471" t="n">
        <v>444</v>
      </c>
      <c r="B1471" t="inlineStr">
        <is>
          <t>CES Proceso de grados</t>
        </is>
      </c>
      <c r="C1471" t="inlineStr">
        <is>
          <t>Registro y Control</t>
        </is>
      </c>
      <c r="D1471" t="inlineStr">
        <is>
          <t>Trimestral</t>
        </is>
      </c>
      <c r="E1471" t="inlineStr">
        <is>
          <t>Negativo</t>
        </is>
      </c>
      <c r="F1471" s="111" t="n">
        <v>45838</v>
      </c>
      <c r="G1471" t="n">
        <v>2025</v>
      </c>
      <c r="H1471" t="inlineStr">
        <is>
          <t>Junio</t>
        </is>
      </c>
      <c r="I1471" t="inlineStr">
        <is>
          <t>2025-1</t>
        </is>
      </c>
      <c r="J1471" t="n">
        <v>3</v>
      </c>
      <c r="K1471" t="n">
        <v>1.6</v>
      </c>
      <c r="L1471" s="39">
        <f>IFERROR(IF(OR(J1471=0,K1471=""),"",IF(E1471="Positivo",MIN(MAX(K1471/J1471,0),1.3),MIN(MAX(J1471/K1471,0),1.3))),"") </f>
        <v/>
      </c>
      <c r="M1471" s="39">
        <f>IFERROR(IF(OR(J1471=0,K1471=""),"",IF(E1471="Positivo",MAX(K1471/J1471,0),MAX(J1471/K1471,0))),"") </f>
        <v/>
      </c>
      <c r="N1471" t="inlineStr">
        <is>
          <t>ENT</t>
        </is>
      </c>
      <c r="O1471" t="inlineStr">
        <is>
          <t>DEC</t>
        </is>
      </c>
      <c r="P1471" t="n">
        <v>0</v>
      </c>
      <c r="Q1471" t="n">
        <v>1</v>
      </c>
      <c r="R1471" t="inlineStr">
        <is>
          <t>444-2025-06-30</t>
        </is>
      </c>
    </row>
    <row r="1472">
      <c r="A1472" t="n">
        <v>444</v>
      </c>
      <c r="B1472" t="inlineStr">
        <is>
          <t>CES Proceso de grados</t>
        </is>
      </c>
      <c r="C1472" t="inlineStr">
        <is>
          <t>Registro y Control</t>
        </is>
      </c>
      <c r="D1472" t="inlineStr">
        <is>
          <t>Trimestral</t>
        </is>
      </c>
      <c r="E1472" t="inlineStr">
        <is>
          <t>Negativo</t>
        </is>
      </c>
      <c r="F1472" s="111" t="n">
        <v>46022</v>
      </c>
      <c r="G1472" t="n">
        <v>2025</v>
      </c>
      <c r="H1472" t="inlineStr">
        <is>
          <t>Diciembre</t>
        </is>
      </c>
      <c r="I1472" t="inlineStr">
        <is>
          <t>2025-2</t>
        </is>
      </c>
      <c r="J1472" t="n">
        <v>3</v>
      </c>
      <c r="K1472" t="n">
        <v>1.7</v>
      </c>
      <c r="L1472" s="39">
        <f>IFERROR(IF(OR(J1472=0,K1472=""),"",IF(E1472="Positivo",MIN(MAX(K1472/J1472,0),1.3),MIN(MAX(J1472/K1472,0),1.3))),"") </f>
        <v/>
      </c>
      <c r="M1472" s="39">
        <f>IFERROR(IF(OR(J1472=0,K1472=""),"",IF(E1472="Positivo",MAX(K1472/J1472,0),MAX(J1472/K1472,0))),"") </f>
        <v/>
      </c>
      <c r="N1472" t="inlineStr">
        <is>
          <t>ENT</t>
        </is>
      </c>
      <c r="O1472" t="inlineStr">
        <is>
          <t>DEC</t>
        </is>
      </c>
      <c r="P1472" t="n">
        <v>0</v>
      </c>
      <c r="Q1472" t="n">
        <v>1</v>
      </c>
      <c r="R1472" t="inlineStr">
        <is>
          <t>444-2025-12-31</t>
        </is>
      </c>
    </row>
    <row r="1473">
      <c r="A1473" t="n">
        <v>445</v>
      </c>
      <c r="B1473" t="inlineStr">
        <is>
          <t>Satisfacción del proceso de grados virtual</t>
        </is>
      </c>
      <c r="C1473" t="inlineStr">
        <is>
          <t>Registro y Control</t>
        </is>
      </c>
      <c r="D1473" t="inlineStr">
        <is>
          <t>Semestral</t>
        </is>
      </c>
      <c r="E1473" t="inlineStr">
        <is>
          <t>Positivo</t>
        </is>
      </c>
      <c r="F1473" s="111" t="n">
        <v>45473</v>
      </c>
      <c r="G1473" t="n">
        <v>2024</v>
      </c>
      <c r="H1473" t="inlineStr">
        <is>
          <t>Junio</t>
        </is>
      </c>
      <c r="I1473" t="inlineStr">
        <is>
          <t>2024-1</t>
        </is>
      </c>
      <c r="J1473" t="n">
        <v>67.5</v>
      </c>
      <c r="K1473" t="n">
        <v>55.2</v>
      </c>
      <c r="L1473" s="39">
        <f>IFERROR(IF(OR(J1473=0,K1473=""),"",IF(E1473="Positivo",MIN(MAX(K1473/J1473,0),1.3),MIN(MAX(J1473/K1473,0),1.3))),"") </f>
        <v/>
      </c>
      <c r="M1473" s="39">
        <f>IFERROR(IF(OR(J1473=0,K1473=""),"",IF(E1473="Positivo",MAX(K1473/J1473,0),MAX(J1473/K1473,0))),"") </f>
        <v/>
      </c>
      <c r="P1473" t="n">
        <v>0</v>
      </c>
      <c r="Q1473" t="n">
        <v>0</v>
      </c>
      <c r="R1473" t="inlineStr">
        <is>
          <t>445-2024-06-30</t>
        </is>
      </c>
    </row>
    <row r="1474">
      <c r="A1474" t="n">
        <v>445</v>
      </c>
      <c r="B1474" t="inlineStr">
        <is>
          <t>Satisfacción del proceso de grados virtual</t>
        </is>
      </c>
      <c r="C1474" t="inlineStr">
        <is>
          <t>Registro y Control</t>
        </is>
      </c>
      <c r="D1474" t="inlineStr">
        <is>
          <t>Semestral</t>
        </is>
      </c>
      <c r="E1474" t="inlineStr">
        <is>
          <t>Positivo</t>
        </is>
      </c>
      <c r="F1474" s="111" t="n">
        <v>45657</v>
      </c>
      <c r="G1474" t="n">
        <v>2024</v>
      </c>
      <c r="H1474" t="inlineStr">
        <is>
          <t>Diciembre</t>
        </is>
      </c>
      <c r="I1474" t="inlineStr">
        <is>
          <t>2024-2</t>
        </is>
      </c>
      <c r="J1474" t="n">
        <v>67.5</v>
      </c>
      <c r="K1474" t="n">
        <v>86.5</v>
      </c>
      <c r="L1474" s="39">
        <f>IFERROR(IF(OR(J1474=0,K1474=""),"",IF(E1474="Positivo",MIN(MAX(K1474/J1474,0),1.3),MIN(MAX(J1474/K1474,0),1.3))),"") </f>
        <v/>
      </c>
      <c r="M1474" s="39">
        <f>IFERROR(IF(OR(J1474=0,K1474=""),"",IF(E1474="Positivo",MAX(K1474/J1474,0),MAX(J1474/K1474,0))),"") </f>
        <v/>
      </c>
      <c r="P1474" t="n">
        <v>0</v>
      </c>
      <c r="Q1474" t="n">
        <v>0</v>
      </c>
      <c r="R1474" t="inlineStr">
        <is>
          <t>445-2024-12-31</t>
        </is>
      </c>
    </row>
    <row r="1475">
      <c r="A1475" t="n">
        <v>445</v>
      </c>
      <c r="B1475" t="inlineStr">
        <is>
          <t>Satisfacción del proceso de grados virtual</t>
        </is>
      </c>
      <c r="C1475" t="inlineStr">
        <is>
          <t>Registro y Control</t>
        </is>
      </c>
      <c r="D1475" t="inlineStr">
        <is>
          <t>Trimestral</t>
        </is>
      </c>
      <c r="E1475" t="inlineStr">
        <is>
          <t>Positivo</t>
        </is>
      </c>
      <c r="F1475" s="111" t="n">
        <v>45838</v>
      </c>
      <c r="G1475" t="n">
        <v>2025</v>
      </c>
      <c r="H1475" t="inlineStr">
        <is>
          <t>Junio</t>
        </is>
      </c>
      <c r="I1475" t="inlineStr">
        <is>
          <t>2025-1</t>
        </is>
      </c>
      <c r="J1475" t="n">
        <v>70</v>
      </c>
      <c r="K1475" t="n">
        <v>75.7</v>
      </c>
      <c r="L1475" s="39">
        <f>IFERROR(IF(OR(J1475=0,K1475=""),"",IF(E1475="Positivo",MIN(MAX(K1475/J1475,0),1.3),MIN(MAX(J1475/K1475,0),1.3))),"") </f>
        <v/>
      </c>
      <c r="M1475" s="39">
        <f>IFERROR(IF(OR(J1475=0,K1475=""),"",IF(E1475="Positivo",MAX(K1475/J1475,0),MAX(J1475/K1475,0))),"") </f>
        <v/>
      </c>
      <c r="N1475" t="inlineStr">
        <is>
          <t>%</t>
        </is>
      </c>
      <c r="O1475" t="inlineStr">
        <is>
          <t>%</t>
        </is>
      </c>
      <c r="P1475" t="n">
        <v>0</v>
      </c>
      <c r="Q1475" t="n">
        <v>0</v>
      </c>
      <c r="R1475" t="inlineStr">
        <is>
          <t>445-2025-06-30</t>
        </is>
      </c>
    </row>
    <row r="1476">
      <c r="A1476" t="n">
        <v>445</v>
      </c>
      <c r="B1476" t="inlineStr">
        <is>
          <t>Satisfacción del proceso de grados virtual</t>
        </is>
      </c>
      <c r="C1476" t="inlineStr">
        <is>
          <t>Registro y Control</t>
        </is>
      </c>
      <c r="D1476" t="inlineStr">
        <is>
          <t>Trimestral</t>
        </is>
      </c>
      <c r="E1476" t="inlineStr">
        <is>
          <t>Positivo</t>
        </is>
      </c>
      <c r="F1476" s="111" t="n">
        <v>46022</v>
      </c>
      <c r="G1476" t="n">
        <v>2025</v>
      </c>
      <c r="H1476" t="inlineStr">
        <is>
          <t>Diciembre</t>
        </is>
      </c>
      <c r="I1476" t="inlineStr">
        <is>
          <t>2025-2</t>
        </is>
      </c>
      <c r="J1476" t="n">
        <v>70</v>
      </c>
      <c r="K1476" t="n">
        <v>85.3</v>
      </c>
      <c r="L1476" s="39">
        <f>IFERROR(IF(OR(J1476=0,K1476=""),"",IF(E1476="Positivo",MIN(MAX(K1476/J1476,0),1.3),MIN(MAX(J1476/K1476,0),1.3))),"") </f>
        <v/>
      </c>
      <c r="M1476" s="39">
        <f>IFERROR(IF(OR(J1476=0,K1476=""),"",IF(E1476="Positivo",MAX(K1476/J1476,0),MAX(J1476/K1476,0))),"") </f>
        <v/>
      </c>
      <c r="N1476" t="inlineStr">
        <is>
          <t>%</t>
        </is>
      </c>
      <c r="O1476" t="inlineStr">
        <is>
          <t>%</t>
        </is>
      </c>
      <c r="P1476" t="n">
        <v>0</v>
      </c>
      <c r="Q1476" t="n">
        <v>0</v>
      </c>
      <c r="R1476" t="inlineStr">
        <is>
          <t>445-2025-12-31</t>
        </is>
      </c>
    </row>
    <row r="1477">
      <c r="A1477" t="n">
        <v>447</v>
      </c>
      <c r="B1477" t="inlineStr">
        <is>
          <t>Participación en actividades culturales</t>
        </is>
      </c>
      <c r="C1477" t="inlineStr">
        <is>
          <t>Biblioteca Institucional</t>
        </is>
      </c>
      <c r="D1477" t="inlineStr">
        <is>
          <t>Semestral</t>
        </is>
      </c>
      <c r="E1477" t="inlineStr">
        <is>
          <t>Positivo</t>
        </is>
      </c>
      <c r="F1477" s="111" t="n">
        <v>45473</v>
      </c>
      <c r="G1477" t="n">
        <v>2024</v>
      </c>
      <c r="H1477" t="inlineStr">
        <is>
          <t>Junio</t>
        </is>
      </c>
      <c r="I1477" t="inlineStr">
        <is>
          <t>2024-1</t>
        </is>
      </c>
      <c r="J1477" t="n">
        <v>15</v>
      </c>
      <c r="K1477" t="n">
        <v>31.04</v>
      </c>
      <c r="L1477" s="39">
        <f>IFERROR(IF(OR(J1477=0,K1477=""),"",IF(E1477="Positivo",MIN(MAX(K1477/J1477,0),1.3),MIN(MAX(J1477/K1477,0),1.3))),"") </f>
        <v/>
      </c>
      <c r="M1477" s="39">
        <f>IFERROR(IF(OR(J1477=0,K1477=""),"",IF(E1477="Positivo",MAX(K1477/J1477,0),MAX(J1477/K1477,0))),"") </f>
        <v/>
      </c>
      <c r="P1477" t="n">
        <v>0</v>
      </c>
      <c r="Q1477" t="n">
        <v>0</v>
      </c>
      <c r="R1477" t="inlineStr">
        <is>
          <t>447-2024-06-30</t>
        </is>
      </c>
    </row>
    <row r="1478">
      <c r="A1478" t="n">
        <v>447</v>
      </c>
      <c r="B1478" t="inlineStr">
        <is>
          <t>Participación en actividades culturales</t>
        </is>
      </c>
      <c r="C1478" t="inlineStr">
        <is>
          <t>Biblioteca Institucional</t>
        </is>
      </c>
      <c r="D1478" t="inlineStr">
        <is>
          <t>Semestral</t>
        </is>
      </c>
      <c r="E1478" t="inlineStr">
        <is>
          <t>Positivo</t>
        </is>
      </c>
      <c r="F1478" s="111" t="n">
        <v>45657</v>
      </c>
      <c r="G1478" t="n">
        <v>2024</v>
      </c>
      <c r="H1478" t="inlineStr">
        <is>
          <t>Diciembre</t>
        </is>
      </c>
      <c r="I1478" t="inlineStr">
        <is>
          <t>2024-2</t>
        </is>
      </c>
      <c r="J1478" t="n">
        <v>15</v>
      </c>
      <c r="K1478" t="n">
        <v>16.16</v>
      </c>
      <c r="L1478" s="39">
        <f>IFERROR(IF(OR(J1478=0,K1478=""),"",IF(E1478="Positivo",MIN(MAX(K1478/J1478,0),1.3),MIN(MAX(J1478/K1478,0),1.3))),"") </f>
        <v/>
      </c>
      <c r="M1478" s="39">
        <f>IFERROR(IF(OR(J1478=0,K1478=""),"",IF(E1478="Positivo",MAX(K1478/J1478,0),MAX(J1478/K1478,0))),"") </f>
        <v/>
      </c>
      <c r="P1478" t="n">
        <v>0</v>
      </c>
      <c r="Q1478" t="n">
        <v>0</v>
      </c>
      <c r="R1478" t="inlineStr">
        <is>
          <t>447-2024-12-31</t>
        </is>
      </c>
    </row>
    <row r="1479">
      <c r="A1479" t="n">
        <v>447</v>
      </c>
      <c r="B1479" t="inlineStr">
        <is>
          <t>Participación en actividades culturales</t>
        </is>
      </c>
      <c r="C1479" t="inlineStr">
        <is>
          <t>Biblioteca Institucional</t>
        </is>
      </c>
      <c r="D1479" t="inlineStr">
        <is>
          <t>Trimestral</t>
        </is>
      </c>
      <c r="E1479" t="inlineStr">
        <is>
          <t>Positivo</t>
        </is>
      </c>
      <c r="F1479" s="111" t="n">
        <v>45838</v>
      </c>
      <c r="G1479" t="n">
        <v>2025</v>
      </c>
      <c r="H1479" t="inlineStr">
        <is>
          <t>Junio</t>
        </is>
      </c>
      <c r="I1479" t="inlineStr">
        <is>
          <t>2025-1</t>
        </is>
      </c>
      <c r="J1479" t="n">
        <v>15</v>
      </c>
      <c r="K1479" t="n">
        <v>16.54</v>
      </c>
      <c r="L1479" s="39">
        <f>IFERROR(IF(OR(J1479=0,K1479=""),"",IF(E1479="Positivo",MIN(MAX(K1479/J1479,0),1.3),MIN(MAX(J1479/K1479,0),1.3))),"") </f>
        <v/>
      </c>
      <c r="M1479" s="39">
        <f>IFERROR(IF(OR(J1479=0,K1479=""),"",IF(E1479="Positivo",MAX(K1479/J1479,0),MAX(J1479/K1479,0))),"") </f>
        <v/>
      </c>
      <c r="N1479" t="inlineStr">
        <is>
          <t>%</t>
        </is>
      </c>
      <c r="O1479" t="inlineStr">
        <is>
          <t>%</t>
        </is>
      </c>
      <c r="P1479" t="n">
        <v>0</v>
      </c>
      <c r="Q1479" t="n">
        <v>0</v>
      </c>
      <c r="R1479" t="inlineStr">
        <is>
          <t>447-2025-06-30</t>
        </is>
      </c>
    </row>
    <row r="1480">
      <c r="A1480" t="n">
        <v>447</v>
      </c>
      <c r="B1480" t="inlineStr">
        <is>
          <t>Participación en actividades culturales</t>
        </is>
      </c>
      <c r="C1480" t="inlineStr">
        <is>
          <t>Biblioteca Institucional</t>
        </is>
      </c>
      <c r="D1480" t="inlineStr">
        <is>
          <t>Trimestral</t>
        </is>
      </c>
      <c r="E1480" t="inlineStr">
        <is>
          <t>Positivo</t>
        </is>
      </c>
      <c r="F1480" s="111" t="n">
        <v>46022</v>
      </c>
      <c r="G1480" t="n">
        <v>2025</v>
      </c>
      <c r="H1480" t="inlineStr">
        <is>
          <t>Diciembre</t>
        </is>
      </c>
      <c r="I1480" t="inlineStr">
        <is>
          <t>2025-2</t>
        </is>
      </c>
      <c r="J1480" t="n">
        <v>15</v>
      </c>
      <c r="K1480" t="n">
        <v>15.01</v>
      </c>
      <c r="L1480" s="39">
        <f>IFERROR(IF(OR(J1480=0,K1480=""),"",IF(E1480="Positivo",MIN(MAX(K1480/J1480,0),1.3),MIN(MAX(J1480/K1480,0),1.3))),"") </f>
        <v/>
      </c>
      <c r="M1480" s="39">
        <f>IFERROR(IF(OR(J1480=0,K1480=""),"",IF(E1480="Positivo",MAX(K1480/J1480,0),MAX(J1480/K1480,0))),"") </f>
        <v/>
      </c>
      <c r="N1480" t="inlineStr">
        <is>
          <t>%</t>
        </is>
      </c>
      <c r="O1480" t="inlineStr">
        <is>
          <t>%</t>
        </is>
      </c>
      <c r="P1480" t="n">
        <v>0</v>
      </c>
      <c r="Q1480" t="n">
        <v>0</v>
      </c>
      <c r="R1480" t="inlineStr">
        <is>
          <t>447-2025-12-31</t>
        </is>
      </c>
    </row>
    <row r="1481">
      <c r="A1481" t="n">
        <v>448</v>
      </c>
      <c r="B1481" t="inlineStr">
        <is>
          <t>Participación en actividades de formación</t>
        </is>
      </c>
      <c r="C1481" t="inlineStr">
        <is>
          <t>Biblioteca Institucional</t>
        </is>
      </c>
      <c r="D1481" t="inlineStr">
        <is>
          <t>Semestral</t>
        </is>
      </c>
      <c r="E1481" t="inlineStr">
        <is>
          <t>Positivo</t>
        </is>
      </c>
      <c r="F1481" s="111" t="n">
        <v>45473</v>
      </c>
      <c r="G1481" t="n">
        <v>2024</v>
      </c>
      <c r="H1481" t="inlineStr">
        <is>
          <t>Junio</t>
        </is>
      </c>
      <c r="I1481" t="inlineStr">
        <is>
          <t>2024-1</t>
        </is>
      </c>
      <c r="J1481" t="n">
        <v>9</v>
      </c>
      <c r="K1481" t="n">
        <v>18.93</v>
      </c>
      <c r="L1481" s="39">
        <f>IFERROR(IF(OR(J1481=0,K1481=""),"",IF(E1481="Positivo",MIN(MAX(K1481/J1481,0),1.3),MIN(MAX(J1481/K1481,0),1.3))),"") </f>
        <v/>
      </c>
      <c r="M1481" s="39">
        <f>IFERROR(IF(OR(J1481=0,K1481=""),"",IF(E1481="Positivo",MAX(K1481/J1481,0),MAX(J1481/K1481,0))),"") </f>
        <v/>
      </c>
      <c r="P1481" t="n">
        <v>0</v>
      </c>
      <c r="Q1481" t="n">
        <v>0</v>
      </c>
      <c r="R1481" t="inlineStr">
        <is>
          <t>448-2024-06-30</t>
        </is>
      </c>
    </row>
    <row r="1482">
      <c r="A1482" t="n">
        <v>448</v>
      </c>
      <c r="B1482" t="inlineStr">
        <is>
          <t>Participación en actividades de formación</t>
        </is>
      </c>
      <c r="C1482" t="inlineStr">
        <is>
          <t>Biblioteca Institucional</t>
        </is>
      </c>
      <c r="D1482" t="inlineStr">
        <is>
          <t>Semestral</t>
        </is>
      </c>
      <c r="E1482" t="inlineStr">
        <is>
          <t>Positivo</t>
        </is>
      </c>
      <c r="F1482" s="111" t="n">
        <v>45657</v>
      </c>
      <c r="G1482" t="n">
        <v>2024</v>
      </c>
      <c r="H1482" t="inlineStr">
        <is>
          <t>Diciembre</t>
        </is>
      </c>
      <c r="I1482" t="inlineStr">
        <is>
          <t>2024-2</t>
        </is>
      </c>
      <c r="J1482" t="n">
        <v>9</v>
      </c>
      <c r="K1482" t="n">
        <v>9.32</v>
      </c>
      <c r="L1482" s="39">
        <f>IFERROR(IF(OR(J1482=0,K1482=""),"",IF(E1482="Positivo",MIN(MAX(K1482/J1482,0),1.3),MIN(MAX(J1482/K1482,0),1.3))),"") </f>
        <v/>
      </c>
      <c r="M1482" s="39">
        <f>IFERROR(IF(OR(J1482=0,K1482=""),"",IF(E1482="Positivo",MAX(K1482/J1482,0),MAX(J1482/K1482,0))),"") </f>
        <v/>
      </c>
      <c r="P1482" t="n">
        <v>0</v>
      </c>
      <c r="Q1482" t="n">
        <v>0</v>
      </c>
      <c r="R1482" t="inlineStr">
        <is>
          <t>448-2024-12-31</t>
        </is>
      </c>
    </row>
    <row r="1483">
      <c r="A1483" t="n">
        <v>448</v>
      </c>
      <c r="B1483" t="inlineStr">
        <is>
          <t>Participación en actividades de formación</t>
        </is>
      </c>
      <c r="C1483" t="inlineStr">
        <is>
          <t>Biblioteca Institucional</t>
        </is>
      </c>
      <c r="D1483" t="inlineStr">
        <is>
          <t>Trimestral</t>
        </is>
      </c>
      <c r="E1483" t="inlineStr">
        <is>
          <t>Positivo</t>
        </is>
      </c>
      <c r="F1483" s="111" t="n">
        <v>45838</v>
      </c>
      <c r="G1483" t="n">
        <v>2025</v>
      </c>
      <c r="H1483" t="inlineStr">
        <is>
          <t>Junio</t>
        </is>
      </c>
      <c r="I1483" t="inlineStr">
        <is>
          <t>2025-1</t>
        </is>
      </c>
      <c r="J1483" t="n">
        <v>17</v>
      </c>
      <c r="K1483" t="n">
        <v>39.62</v>
      </c>
      <c r="L1483" s="39">
        <f>IFERROR(IF(OR(J1483=0,K1483=""),"",IF(E1483="Positivo",MIN(MAX(K1483/J1483,0),1.3),MIN(MAX(J1483/K1483,0),1.3))),"") </f>
        <v/>
      </c>
      <c r="M1483" s="39">
        <f>IFERROR(IF(OR(J1483=0,K1483=""),"",IF(E1483="Positivo",MAX(K1483/J1483,0),MAX(J1483/K1483,0))),"") </f>
        <v/>
      </c>
      <c r="N1483" t="inlineStr">
        <is>
          <t>%</t>
        </is>
      </c>
      <c r="O1483" t="inlineStr">
        <is>
          <t>%</t>
        </is>
      </c>
      <c r="P1483" t="n">
        <v>0</v>
      </c>
      <c r="Q1483" t="n">
        <v>1</v>
      </c>
      <c r="R1483" t="inlineStr">
        <is>
          <t>448-2025-06-30</t>
        </is>
      </c>
    </row>
    <row r="1484">
      <c r="A1484" t="n">
        <v>448</v>
      </c>
      <c r="B1484" t="inlineStr">
        <is>
          <t>Participación en actividades de formación</t>
        </is>
      </c>
      <c r="C1484" t="inlineStr">
        <is>
          <t>Biblioteca Institucional</t>
        </is>
      </c>
      <c r="D1484" t="inlineStr">
        <is>
          <t>Trimestral</t>
        </is>
      </c>
      <c r="E1484" t="inlineStr">
        <is>
          <t>Positivo</t>
        </is>
      </c>
      <c r="F1484" s="111" t="n">
        <v>46022</v>
      </c>
      <c r="G1484" t="n">
        <v>2025</v>
      </c>
      <c r="H1484" t="inlineStr">
        <is>
          <t>Diciembre</t>
        </is>
      </c>
      <c r="I1484" t="inlineStr">
        <is>
          <t>2025-2</t>
        </is>
      </c>
      <c r="J1484" t="n">
        <v>17</v>
      </c>
      <c r="K1484" t="n">
        <v>59.36</v>
      </c>
      <c r="L1484" s="39">
        <f>IFERROR(IF(OR(J1484=0,K1484=""),"",IF(E1484="Positivo",MIN(MAX(K1484/J1484,0),1.3),MIN(MAX(J1484/K1484,0),1.3))),"") </f>
        <v/>
      </c>
      <c r="M1484" s="39">
        <f>IFERROR(IF(OR(J1484=0,K1484=""),"",IF(E1484="Positivo",MAX(K1484/J1484,0),MAX(J1484/K1484,0))),"") </f>
        <v/>
      </c>
      <c r="N1484" t="inlineStr">
        <is>
          <t>%</t>
        </is>
      </c>
      <c r="O1484" t="inlineStr">
        <is>
          <t>%</t>
        </is>
      </c>
      <c r="P1484" t="n">
        <v>0</v>
      </c>
      <c r="Q1484" t="n">
        <v>1</v>
      </c>
      <c r="R1484" t="inlineStr">
        <is>
          <t>448-2025-12-31</t>
        </is>
      </c>
    </row>
    <row r="1485">
      <c r="A1485" t="n">
        <v>449</v>
      </c>
      <c r="B1485" t="inlineStr">
        <is>
          <t>Cumplimiento en la supervisión y monitoreo a los planes de tratamiento de los riesgos institucionales en nivel alto y extremo</t>
        </is>
      </c>
      <c r="C1485" t="inlineStr">
        <is>
          <t>GESTIÓN DE RIESGOS</t>
        </is>
      </c>
      <c r="D1485" t="inlineStr">
        <is>
          <t>Trimestral</t>
        </is>
      </c>
      <c r="E1485" t="inlineStr">
        <is>
          <t>Positivo</t>
        </is>
      </c>
      <c r="F1485" s="111" t="n">
        <v>45473</v>
      </c>
      <c r="G1485" t="n">
        <v>2024</v>
      </c>
      <c r="H1485" t="inlineStr">
        <is>
          <t>Junio</t>
        </is>
      </c>
      <c r="I1485" t="inlineStr">
        <is>
          <t>2024-1</t>
        </is>
      </c>
      <c r="J1485" t="n">
        <v>40</v>
      </c>
      <c r="K1485" t="n">
        <v>53.85</v>
      </c>
      <c r="L1485" s="39">
        <f>IFERROR(IF(OR(J1485=0,K1485=""),"",IF(E1485="Positivo",MIN(MAX(K1485/J1485,0),1.3),MIN(MAX(J1485/K1485,0),1.3))),"") </f>
        <v/>
      </c>
      <c r="M1485" s="39">
        <f>IFERROR(IF(OR(J1485=0,K1485=""),"",IF(E1485="Positivo",MAX(K1485/J1485,0),MAX(J1485/K1485,0))),"") </f>
        <v/>
      </c>
      <c r="P1485" t="n">
        <v>0</v>
      </c>
      <c r="Q1485" t="n">
        <v>0</v>
      </c>
      <c r="R1485" t="inlineStr">
        <is>
          <t>449-2024-06-30</t>
        </is>
      </c>
    </row>
    <row r="1486">
      <c r="A1486" t="n">
        <v>449</v>
      </c>
      <c r="B1486" t="inlineStr">
        <is>
          <t>Cumplimiento en la supervisión y monitoreo a los planes de tratamiento de los riesgos institucionales en nivel alto y extremo</t>
        </is>
      </c>
      <c r="C1486" t="inlineStr">
        <is>
          <t>GESTIÓN DE RIESGOS</t>
        </is>
      </c>
      <c r="D1486" t="inlineStr">
        <is>
          <t>Trimestral</t>
        </is>
      </c>
      <c r="E1486" t="inlineStr">
        <is>
          <t>Positivo</t>
        </is>
      </c>
      <c r="F1486" s="111" t="n">
        <v>45657</v>
      </c>
      <c r="G1486" t="n">
        <v>2024</v>
      </c>
      <c r="H1486" t="inlineStr">
        <is>
          <t>Diciembre</t>
        </is>
      </c>
      <c r="I1486" t="inlineStr">
        <is>
          <t>2024-2</t>
        </is>
      </c>
      <c r="J1486" t="n">
        <v>100</v>
      </c>
      <c r="K1486" t="n">
        <v>100</v>
      </c>
      <c r="L1486" s="39">
        <f>IFERROR(IF(OR(J1486=0,K1486=""),"",IF(E1486="Positivo",MIN(MAX(K1486/J1486,0),1.3),MIN(MAX(J1486/K1486,0),1.3))),"") </f>
        <v/>
      </c>
      <c r="M1486" s="39">
        <f>IFERROR(IF(OR(J1486=0,K1486=""),"",IF(E1486="Positivo",MAX(K1486/J1486,0),MAX(J1486/K1486,0))),"") </f>
        <v/>
      </c>
      <c r="P1486" t="n">
        <v>0</v>
      </c>
      <c r="Q1486" t="n">
        <v>0</v>
      </c>
      <c r="R1486" t="inlineStr">
        <is>
          <t>449-2024-12-31</t>
        </is>
      </c>
    </row>
    <row r="1487">
      <c r="A1487" t="n">
        <v>451</v>
      </c>
      <c r="B1487" t="inlineStr">
        <is>
          <t>% Participación de publicaciones positiva</t>
        </is>
      </c>
      <c r="C1487" t="inlineStr">
        <is>
          <t>Comunicaciones Externas</t>
        </is>
      </c>
      <c r="D1487" t="inlineStr">
        <is>
          <t>Semestral</t>
        </is>
      </c>
      <c r="E1487" t="inlineStr">
        <is>
          <t>Positivo</t>
        </is>
      </c>
      <c r="F1487" s="111" t="n">
        <v>45473</v>
      </c>
      <c r="G1487" t="n">
        <v>2024</v>
      </c>
      <c r="H1487" t="inlineStr">
        <is>
          <t>Junio</t>
        </is>
      </c>
      <c r="I1487" t="inlineStr">
        <is>
          <t>2024-1</t>
        </is>
      </c>
      <c r="J1487" t="n">
        <v>0</v>
      </c>
      <c r="K1487" t="n">
        <v>34.9</v>
      </c>
      <c r="L1487" s="39">
        <f>IFERROR(IF(OR(J1487=0,K1487=""),"",IF(E1487="Positivo",MIN(MAX(K1487/J1487,0),1.3),MIN(MAX(J1487/K1487,0),1.3))),"") </f>
        <v/>
      </c>
      <c r="M1487" s="39">
        <f>IFERROR(IF(OR(J1487=0,K1487=""),"",IF(E1487="Positivo",MAX(K1487/J1487,0),MAX(J1487/K1487,0))),"") </f>
        <v/>
      </c>
      <c r="P1487" t="n">
        <v>0</v>
      </c>
      <c r="Q1487" t="n">
        <v>0</v>
      </c>
      <c r="R1487" t="inlineStr">
        <is>
          <t>451-2024-06-30</t>
        </is>
      </c>
    </row>
    <row r="1488">
      <c r="A1488" t="n">
        <v>451</v>
      </c>
      <c r="B1488" t="inlineStr">
        <is>
          <t>% Participación de publicaciones positiva</t>
        </is>
      </c>
      <c r="C1488" t="inlineStr">
        <is>
          <t>Comunicaciones Externas</t>
        </is>
      </c>
      <c r="D1488" t="inlineStr">
        <is>
          <t>Semestral</t>
        </is>
      </c>
      <c r="E1488" t="inlineStr">
        <is>
          <t>Positivo</t>
        </is>
      </c>
      <c r="F1488" s="111" t="n">
        <v>45657</v>
      </c>
      <c r="G1488" t="n">
        <v>2024</v>
      </c>
      <c r="H1488" t="inlineStr">
        <is>
          <t>Diciembre</t>
        </is>
      </c>
      <c r="I1488" t="inlineStr">
        <is>
          <t>2024-2</t>
        </is>
      </c>
      <c r="J1488" t="n">
        <v>0</v>
      </c>
      <c r="K1488" t="n">
        <v>42.7</v>
      </c>
      <c r="L1488" s="39">
        <f>IFERROR(IF(OR(J1488=0,K1488=""),"",IF(E1488="Positivo",MIN(MAX(K1488/J1488,0),1.3),MIN(MAX(J1488/K1488,0),1.3))),"") </f>
        <v/>
      </c>
      <c r="M1488" s="39">
        <f>IFERROR(IF(OR(J1488=0,K1488=""),"",IF(E1488="Positivo",MAX(K1488/J1488,0),MAX(J1488/K1488,0))),"") </f>
        <v/>
      </c>
      <c r="P1488" t="n">
        <v>0</v>
      </c>
      <c r="Q1488" t="n">
        <v>0</v>
      </c>
      <c r="R1488" t="inlineStr">
        <is>
          <t>451-2024-12-31</t>
        </is>
      </c>
    </row>
    <row r="1489">
      <c r="A1489" t="n">
        <v>451</v>
      </c>
      <c r="B1489" t="inlineStr">
        <is>
          <t>% de publicaciones con sentimiento positivo</t>
        </is>
      </c>
      <c r="C1489" t="inlineStr">
        <is>
          <t>Comunicaciones Externas</t>
        </is>
      </c>
      <c r="D1489" t="inlineStr">
        <is>
          <t>Trimestral</t>
        </is>
      </c>
      <c r="E1489" t="inlineStr">
        <is>
          <t>Positivo</t>
        </is>
      </c>
      <c r="F1489" s="111" t="n">
        <v>45838</v>
      </c>
      <c r="G1489" t="n">
        <v>2025</v>
      </c>
      <c r="H1489" t="inlineStr">
        <is>
          <t>Junio</t>
        </is>
      </c>
      <c r="I1489" t="inlineStr">
        <is>
          <t>2025-1</t>
        </is>
      </c>
      <c r="J1489" t="n">
        <v>100</v>
      </c>
      <c r="K1489" t="n">
        <v>119.5</v>
      </c>
      <c r="L1489" s="39">
        <f>IFERROR(IF(OR(J1489=0,K1489=""),"",IF(E1489="Positivo",MIN(MAX(K1489/J1489,0),1.3),MIN(MAX(J1489/K1489,0),1.3))),"") </f>
        <v/>
      </c>
      <c r="M1489" s="39">
        <f>IFERROR(IF(OR(J1489=0,K1489=""),"",IF(E1489="Positivo",MAX(K1489/J1489,0),MAX(J1489/K1489,0))),"") </f>
        <v/>
      </c>
      <c r="N1489" t="inlineStr">
        <is>
          <t>%</t>
        </is>
      </c>
      <c r="O1489" t="inlineStr">
        <is>
          <t>%</t>
        </is>
      </c>
      <c r="P1489" t="n">
        <v>0</v>
      </c>
      <c r="Q1489" t="n">
        <v>0</v>
      </c>
      <c r="R1489" t="inlineStr">
        <is>
          <t>451-2025-06-30</t>
        </is>
      </c>
    </row>
    <row r="1490">
      <c r="A1490" t="n">
        <v>451</v>
      </c>
      <c r="B1490" t="inlineStr">
        <is>
          <t>% de publicaciones con sentimiento positivo</t>
        </is>
      </c>
      <c r="C1490" t="inlineStr">
        <is>
          <t>Comunicaciones Externas</t>
        </is>
      </c>
      <c r="D1490" t="inlineStr">
        <is>
          <t>Trimestral</t>
        </is>
      </c>
      <c r="E1490" t="inlineStr">
        <is>
          <t>Positivo</t>
        </is>
      </c>
      <c r="F1490" s="111" t="n">
        <v>46022</v>
      </c>
      <c r="G1490" t="n">
        <v>2025</v>
      </c>
      <c r="H1490" t="inlineStr">
        <is>
          <t>Diciembre</t>
        </is>
      </c>
      <c r="I1490" t="inlineStr">
        <is>
          <t>2025-2</t>
        </is>
      </c>
      <c r="J1490" t="n">
        <v>100</v>
      </c>
      <c r="K1490" t="n">
        <v>130.8</v>
      </c>
      <c r="L1490" s="39">
        <f>IFERROR(IF(OR(J1490=0,K1490=""),"",IF(E1490="Positivo",MIN(MAX(K1490/J1490,0),1.3),MIN(MAX(J1490/K1490,0),1.3))),"") </f>
        <v/>
      </c>
      <c r="M1490" s="39">
        <f>IFERROR(IF(OR(J1490=0,K1490=""),"",IF(E1490="Positivo",MAX(K1490/J1490,0),MAX(J1490/K1490,0))),"") </f>
        <v/>
      </c>
      <c r="N1490" t="inlineStr">
        <is>
          <t>%</t>
        </is>
      </c>
      <c r="O1490" t="inlineStr">
        <is>
          <t>%</t>
        </is>
      </c>
      <c r="P1490" t="n">
        <v>0</v>
      </c>
      <c r="Q1490" t="n">
        <v>0</v>
      </c>
      <c r="R1490" t="inlineStr">
        <is>
          <t>451-2025-12-31</t>
        </is>
      </c>
    </row>
    <row r="1491">
      <c r="A1491" t="n">
        <v>452</v>
      </c>
      <c r="B1491" t="inlineStr">
        <is>
          <t>Seguimiento a eventos internos y externos institucionales</t>
        </is>
      </c>
      <c r="C1491" t="inlineStr">
        <is>
          <t>Comunicaciones Externas</t>
        </is>
      </c>
      <c r="D1491" t="inlineStr">
        <is>
          <t>Semestral</t>
        </is>
      </c>
      <c r="E1491" t="inlineStr">
        <is>
          <t>Positivo</t>
        </is>
      </c>
      <c r="F1491" s="111" t="n">
        <v>45473</v>
      </c>
      <c r="G1491" t="n">
        <v>2024</v>
      </c>
      <c r="H1491" t="inlineStr">
        <is>
          <t>Junio</t>
        </is>
      </c>
      <c r="I1491" t="inlineStr">
        <is>
          <t>2024-1</t>
        </is>
      </c>
      <c r="J1491" t="n">
        <v>100</v>
      </c>
      <c r="K1491" t="n">
        <v>100</v>
      </c>
      <c r="L1491" s="39">
        <f>IFERROR(IF(OR(J1491=0,K1491=""),"",IF(E1491="Positivo",MIN(MAX(K1491/J1491,0),1.3),MIN(MAX(J1491/K1491,0),1.3))),"") </f>
        <v/>
      </c>
      <c r="M1491" s="39">
        <f>IFERROR(IF(OR(J1491=0,K1491=""),"",IF(E1491="Positivo",MAX(K1491/J1491,0),MAX(J1491/K1491,0))),"") </f>
        <v/>
      </c>
      <c r="P1491" t="n">
        <v>0</v>
      </c>
      <c r="Q1491" t="n">
        <v>0</v>
      </c>
      <c r="R1491" t="inlineStr">
        <is>
          <t>452-2024-06-30</t>
        </is>
      </c>
    </row>
    <row r="1492">
      <c r="A1492" t="n">
        <v>452</v>
      </c>
      <c r="B1492" t="inlineStr">
        <is>
          <t>Seguimiento a eventos internos y externos institucionales</t>
        </is>
      </c>
      <c r="C1492" t="inlineStr">
        <is>
          <t>Comunicaciones Externas</t>
        </is>
      </c>
      <c r="D1492" t="inlineStr">
        <is>
          <t>Semestral</t>
        </is>
      </c>
      <c r="E1492" t="inlineStr">
        <is>
          <t>Positivo</t>
        </is>
      </c>
      <c r="F1492" s="111" t="n">
        <v>45657</v>
      </c>
      <c r="G1492" t="n">
        <v>2024</v>
      </c>
      <c r="H1492" t="inlineStr">
        <is>
          <t>Diciembre</t>
        </is>
      </c>
      <c r="I1492" t="inlineStr">
        <is>
          <t>2024-2</t>
        </is>
      </c>
      <c r="J1492" t="n">
        <v>100</v>
      </c>
      <c r="K1492" t="n">
        <v>160</v>
      </c>
      <c r="L1492" s="39">
        <f>IFERROR(IF(OR(J1492=0,K1492=""),"",IF(E1492="Positivo",MIN(MAX(K1492/J1492,0),1.3),MIN(MAX(J1492/K1492,0),1.3))),"") </f>
        <v/>
      </c>
      <c r="M1492" s="39">
        <f>IFERROR(IF(OR(J1492=0,K1492=""),"",IF(E1492="Positivo",MAX(K1492/J1492,0),MAX(J1492/K1492,0))),"") </f>
        <v/>
      </c>
      <c r="P1492" t="n">
        <v>0</v>
      </c>
      <c r="Q1492" t="n">
        <v>0</v>
      </c>
      <c r="R1492" t="inlineStr">
        <is>
          <t>452-2024-12-31</t>
        </is>
      </c>
    </row>
    <row r="1493">
      <c r="A1493" t="n">
        <v>452</v>
      </c>
      <c r="B1493" t="inlineStr">
        <is>
          <t>Seguimiento a eventos internos y externos institucionales</t>
        </is>
      </c>
      <c r="C1493" t="inlineStr">
        <is>
          <t>Comunicaciones Externas</t>
        </is>
      </c>
      <c r="D1493" t="inlineStr">
        <is>
          <t>Trimestral</t>
        </is>
      </c>
      <c r="E1493" t="inlineStr">
        <is>
          <t>Positivo</t>
        </is>
      </c>
      <c r="F1493" s="111" t="n">
        <v>45838</v>
      </c>
      <c r="G1493" t="n">
        <v>2025</v>
      </c>
      <c r="H1493" t="inlineStr">
        <is>
          <t>Junio</t>
        </is>
      </c>
      <c r="I1493" t="inlineStr">
        <is>
          <t>2025-1</t>
        </is>
      </c>
      <c r="J1493" t="n">
        <v>100</v>
      </c>
      <c r="K1493" t="n">
        <v>102.27</v>
      </c>
      <c r="L1493" s="39">
        <f>IFERROR(IF(OR(J1493=0,K1493=""),"",IF(E1493="Positivo",MIN(MAX(K1493/J1493,0),1.3),MIN(MAX(J1493/K1493,0),1.3))),"") </f>
        <v/>
      </c>
      <c r="M1493" s="39">
        <f>IFERROR(IF(OR(J1493=0,K1493=""),"",IF(E1493="Positivo",MAX(K1493/J1493,0),MAX(J1493/K1493,0))),"") </f>
        <v/>
      </c>
      <c r="N1493" t="inlineStr">
        <is>
          <t>%</t>
        </is>
      </c>
      <c r="O1493" t="inlineStr">
        <is>
          <t>%</t>
        </is>
      </c>
      <c r="P1493" t="n">
        <v>0</v>
      </c>
      <c r="Q1493" t="n">
        <v>0</v>
      </c>
      <c r="R1493" t="inlineStr">
        <is>
          <t>452-2025-06-30</t>
        </is>
      </c>
    </row>
    <row r="1494">
      <c r="A1494" t="n">
        <v>452</v>
      </c>
      <c r="B1494" t="inlineStr">
        <is>
          <t>Seguimiento a eventos internos y externos institucionales</t>
        </is>
      </c>
      <c r="C1494" t="inlineStr">
        <is>
          <t>Comunicaciones Externas</t>
        </is>
      </c>
      <c r="D1494" t="inlineStr">
        <is>
          <t>Trimestral</t>
        </is>
      </c>
      <c r="E1494" t="inlineStr">
        <is>
          <t>Positivo</t>
        </is>
      </c>
      <c r="F1494" s="111" t="n">
        <v>46022</v>
      </c>
      <c r="G1494" t="n">
        <v>2025</v>
      </c>
      <c r="H1494" t="inlineStr">
        <is>
          <t>Diciembre</t>
        </is>
      </c>
      <c r="I1494" t="inlineStr">
        <is>
          <t>2025-2</t>
        </is>
      </c>
      <c r="J1494" t="n">
        <v>100</v>
      </c>
      <c r="K1494" t="n">
        <v>200</v>
      </c>
      <c r="L1494" s="39">
        <f>IFERROR(IF(OR(J1494=0,K1494=""),"",IF(E1494="Positivo",MIN(MAX(K1494/J1494,0),1.3),MIN(MAX(J1494/K1494,0),1.3))),"") </f>
        <v/>
      </c>
      <c r="M1494" s="39">
        <f>IFERROR(IF(OR(J1494=0,K1494=""),"",IF(E1494="Positivo",MAX(K1494/J1494,0),MAX(J1494/K1494,0))),"") </f>
        <v/>
      </c>
      <c r="N1494" t="inlineStr">
        <is>
          <t>%</t>
        </is>
      </c>
      <c r="O1494" t="inlineStr">
        <is>
          <t>%</t>
        </is>
      </c>
      <c r="P1494" t="n">
        <v>0</v>
      </c>
      <c r="Q1494" t="n">
        <v>0</v>
      </c>
      <c r="R1494" t="inlineStr">
        <is>
          <t>452-2025-12-31</t>
        </is>
      </c>
    </row>
    <row r="1495">
      <c r="A1495" t="n">
        <v>453</v>
      </c>
      <c r="B1495" t="inlineStr">
        <is>
          <t>Número de cursos diseñados</t>
        </is>
      </c>
      <c r="C1495" t="inlineStr">
        <is>
          <t>Diseño de Contenido Virtual</t>
        </is>
      </c>
      <c r="D1495" t="inlineStr">
        <is>
          <t>Trimestral</t>
        </is>
      </c>
      <c r="E1495" t="inlineStr">
        <is>
          <t>Positivo</t>
        </is>
      </c>
      <c r="F1495" s="111" t="n">
        <v>45473</v>
      </c>
      <c r="G1495" t="n">
        <v>2024</v>
      </c>
      <c r="H1495" t="inlineStr">
        <is>
          <t>Junio</t>
        </is>
      </c>
      <c r="I1495" t="inlineStr">
        <is>
          <t>2024-1</t>
        </is>
      </c>
      <c r="J1495" t="n">
        <v>100</v>
      </c>
      <c r="K1495" t="n">
        <v>192</v>
      </c>
      <c r="L1495" s="39">
        <f>IFERROR(IF(OR(J1495=0,K1495=""),"",IF(E1495="Positivo",MIN(MAX(K1495/J1495,0),1.3),MIN(MAX(J1495/K1495,0),1.3))),"") </f>
        <v/>
      </c>
      <c r="M1495" s="39">
        <f>IFERROR(IF(OR(J1495=0,K1495=""),"",IF(E1495="Positivo",MAX(K1495/J1495,0),MAX(J1495/K1495,0))),"") </f>
        <v/>
      </c>
      <c r="P1495" t="n">
        <v>0</v>
      </c>
      <c r="Q1495" t="n">
        <v>0</v>
      </c>
      <c r="R1495" t="inlineStr">
        <is>
          <t>453-2024-06-30</t>
        </is>
      </c>
    </row>
    <row r="1496">
      <c r="A1496" t="n">
        <v>453</v>
      </c>
      <c r="B1496" t="inlineStr">
        <is>
          <t>Número de cursos diseñados</t>
        </is>
      </c>
      <c r="C1496" t="inlineStr">
        <is>
          <t>Diseño de Contenido Virtual</t>
        </is>
      </c>
      <c r="D1496" t="inlineStr">
        <is>
          <t>Trimestral</t>
        </is>
      </c>
      <c r="E1496" t="inlineStr">
        <is>
          <t>Positivo</t>
        </is>
      </c>
      <c r="F1496" s="111" t="n">
        <v>45657</v>
      </c>
      <c r="G1496" t="n">
        <v>2024</v>
      </c>
      <c r="H1496" t="inlineStr">
        <is>
          <t>Diciembre</t>
        </is>
      </c>
      <c r="I1496" t="inlineStr">
        <is>
          <t>2024-2</t>
        </is>
      </c>
      <c r="J1496" t="n">
        <v>200</v>
      </c>
      <c r="K1496" t="n">
        <v>448</v>
      </c>
      <c r="L1496" s="39">
        <f>IFERROR(IF(OR(J1496=0,K1496=""),"",IF(E1496="Positivo",MIN(MAX(K1496/J1496,0),1.3),MIN(MAX(J1496/K1496,0),1.3))),"") </f>
        <v/>
      </c>
      <c r="M1496" s="39">
        <f>IFERROR(IF(OR(J1496=0,K1496=""),"",IF(E1496="Positivo",MAX(K1496/J1496,0),MAX(J1496/K1496,0))),"") </f>
        <v/>
      </c>
      <c r="P1496" t="n">
        <v>0</v>
      </c>
      <c r="Q1496" t="n">
        <v>0</v>
      </c>
      <c r="R1496" t="inlineStr">
        <is>
          <t>453-2024-12-31</t>
        </is>
      </c>
    </row>
    <row r="1497">
      <c r="A1497" t="n">
        <v>453</v>
      </c>
      <c r="B1497" t="inlineStr">
        <is>
          <t>Número de cursos diseñados</t>
        </is>
      </c>
      <c r="C1497" t="inlineStr">
        <is>
          <t>Diseño de Contenido Virtual</t>
        </is>
      </c>
      <c r="D1497" t="inlineStr">
        <is>
          <t>Semestral</t>
        </is>
      </c>
      <c r="E1497" t="inlineStr">
        <is>
          <t>Positivo</t>
        </is>
      </c>
      <c r="F1497" s="111" t="n">
        <v>45838</v>
      </c>
      <c r="G1497" t="n">
        <v>2025</v>
      </c>
      <c r="H1497" t="inlineStr">
        <is>
          <t>Junio</t>
        </is>
      </c>
      <c r="I1497" t="inlineStr">
        <is>
          <t>2025-1</t>
        </is>
      </c>
      <c r="J1497" t="n">
        <v>200</v>
      </c>
      <c r="K1497" t="n">
        <v>148</v>
      </c>
      <c r="L1497" s="39">
        <f>IFERROR(IF(OR(J1497=0,K1497=""),"",IF(E1497="Positivo",MIN(MAX(K1497/J1497,0),1.3),MIN(MAX(J1497/K1497,0),1.3))),"") </f>
        <v/>
      </c>
      <c r="M1497" s="39">
        <f>IFERROR(IF(OR(J1497=0,K1497=""),"",IF(E1497="Positivo",MAX(K1497/J1497,0),MAX(J1497/K1497,0))),"") </f>
        <v/>
      </c>
      <c r="N1497" t="inlineStr">
        <is>
          <t>%</t>
        </is>
      </c>
      <c r="O1497" t="inlineStr">
        <is>
          <t>%</t>
        </is>
      </c>
      <c r="P1497" t="n">
        <v>0</v>
      </c>
      <c r="Q1497" t="n">
        <v>0</v>
      </c>
      <c r="R1497" t="inlineStr">
        <is>
          <t>453-2025-06-30</t>
        </is>
      </c>
    </row>
    <row r="1498">
      <c r="A1498" t="n">
        <v>453</v>
      </c>
      <c r="B1498" t="inlineStr">
        <is>
          <t>Número de cursos diseñados</t>
        </is>
      </c>
      <c r="C1498" t="inlineStr">
        <is>
          <t>Diseño de Contenido Virtual</t>
        </is>
      </c>
      <c r="D1498" t="inlineStr">
        <is>
          <t>Semestral</t>
        </is>
      </c>
      <c r="E1498" t="inlineStr">
        <is>
          <t>Positivo</t>
        </is>
      </c>
      <c r="F1498" s="111" t="n">
        <v>46022</v>
      </c>
      <c r="G1498" t="n">
        <v>2025</v>
      </c>
      <c r="H1498" t="inlineStr">
        <is>
          <t>Diciembre</t>
        </is>
      </c>
      <c r="I1498" t="inlineStr">
        <is>
          <t>2025-2</t>
        </is>
      </c>
      <c r="J1498" t="n">
        <v>200</v>
      </c>
      <c r="K1498" t="n">
        <v>200</v>
      </c>
      <c r="L1498" s="39">
        <f>IFERROR(IF(OR(J1498=0,K1498=""),"",IF(E1498="Positivo",MIN(MAX(K1498/J1498,0),1.3),MIN(MAX(J1498/K1498,0),1.3))),"") </f>
        <v/>
      </c>
      <c r="M1498" s="39">
        <f>IFERROR(IF(OR(J1498=0,K1498=""),"",IF(E1498="Positivo",MAX(K1498/J1498,0),MAX(J1498/K1498,0))),"") </f>
        <v/>
      </c>
      <c r="N1498" t="inlineStr">
        <is>
          <t>%</t>
        </is>
      </c>
      <c r="O1498" t="inlineStr">
        <is>
          <t>%</t>
        </is>
      </c>
      <c r="P1498" t="n">
        <v>0</v>
      </c>
      <c r="Q1498" t="n">
        <v>0</v>
      </c>
      <c r="R1498" t="inlineStr">
        <is>
          <t>453-2025-12-31</t>
        </is>
      </c>
    </row>
    <row r="1499">
      <c r="A1499" t="n">
        <v>454</v>
      </c>
      <c r="B1499" t="inlineStr">
        <is>
          <t>Satisfacción de la calidad del contenido</t>
        </is>
      </c>
      <c r="C1499" t="inlineStr">
        <is>
          <t>Diseño de Contenido Virtual</t>
        </is>
      </c>
      <c r="D1499" t="inlineStr">
        <is>
          <t>Trimestral</t>
        </is>
      </c>
      <c r="E1499" t="inlineStr">
        <is>
          <t>Positivo</t>
        </is>
      </c>
      <c r="F1499" s="111" t="n">
        <v>45473</v>
      </c>
      <c r="G1499" t="n">
        <v>2024</v>
      </c>
      <c r="H1499" t="inlineStr">
        <is>
          <t>Junio</t>
        </is>
      </c>
      <c r="I1499" t="inlineStr">
        <is>
          <t>2024-1</t>
        </is>
      </c>
      <c r="L1499" s="39" t="n"/>
      <c r="M1499" s="39" t="n"/>
      <c r="P1499" t="n">
        <v>0</v>
      </c>
      <c r="Q1499" t="n">
        <v>0</v>
      </c>
      <c r="R1499" t="inlineStr">
        <is>
          <t>454-2024-06-30</t>
        </is>
      </c>
    </row>
    <row r="1500">
      <c r="A1500" t="n">
        <v>454</v>
      </c>
      <c r="B1500" t="inlineStr">
        <is>
          <t>Satisfacción de la calidad del contenido</t>
        </is>
      </c>
      <c r="C1500" t="inlineStr">
        <is>
          <t>Diseño de Contenido Virtual</t>
        </is>
      </c>
      <c r="D1500" t="inlineStr">
        <is>
          <t>Trimestral</t>
        </is>
      </c>
      <c r="E1500" t="inlineStr">
        <is>
          <t>Positivo</t>
        </is>
      </c>
      <c r="F1500" s="111" t="n">
        <v>45657</v>
      </c>
      <c r="G1500" t="n">
        <v>2024</v>
      </c>
      <c r="H1500" t="inlineStr">
        <is>
          <t>Diciembre</t>
        </is>
      </c>
      <c r="I1500" t="inlineStr">
        <is>
          <t>2024-2</t>
        </is>
      </c>
      <c r="J1500" t="n">
        <v>0</v>
      </c>
      <c r="K1500" t="n">
        <v>88</v>
      </c>
      <c r="L1500" s="39">
        <f>IFERROR(IF(OR(J1500=0,K1500=""),"",IF(E1500="Positivo",MIN(MAX(K1500/J1500,0),1.3),MIN(MAX(J1500/K1500,0),1.3))),"") </f>
        <v/>
      </c>
      <c r="M1500" s="39">
        <f>IFERROR(IF(OR(J1500=0,K1500=""),"",IF(E1500="Positivo",MAX(K1500/J1500,0),MAX(J1500/K1500,0))),"") </f>
        <v/>
      </c>
      <c r="P1500" t="n">
        <v>0</v>
      </c>
      <c r="Q1500" t="n">
        <v>0</v>
      </c>
      <c r="R1500" t="inlineStr">
        <is>
          <t>454-2024-12-31</t>
        </is>
      </c>
    </row>
    <row r="1501">
      <c r="A1501" t="n">
        <v>455</v>
      </c>
      <c r="B1501" t="inlineStr">
        <is>
          <t>ANS Diseño de contenidos virtuales</t>
        </is>
      </c>
      <c r="C1501" t="inlineStr">
        <is>
          <t>Diseño de Contenido Virtual</t>
        </is>
      </c>
      <c r="D1501" t="inlineStr">
        <is>
          <t>Trimestral</t>
        </is>
      </c>
      <c r="E1501" t="inlineStr">
        <is>
          <t>Positivo</t>
        </is>
      </c>
      <c r="F1501" s="111" t="n">
        <v>45473</v>
      </c>
      <c r="G1501" t="n">
        <v>2024</v>
      </c>
      <c r="H1501" t="inlineStr">
        <is>
          <t>Junio</t>
        </is>
      </c>
      <c r="I1501" t="inlineStr">
        <is>
          <t>2024-1</t>
        </is>
      </c>
      <c r="L1501" s="39" t="n"/>
      <c r="M1501" s="39" t="n"/>
      <c r="P1501" t="n">
        <v>0</v>
      </c>
      <c r="Q1501" t="n">
        <v>0</v>
      </c>
      <c r="R1501" t="inlineStr">
        <is>
          <t>455-2024-06-30</t>
        </is>
      </c>
    </row>
    <row r="1502">
      <c r="A1502" t="n">
        <v>455</v>
      </c>
      <c r="B1502" t="inlineStr">
        <is>
          <t>ANS Diseño de contenidos virtuales</t>
        </is>
      </c>
      <c r="C1502" t="inlineStr">
        <is>
          <t>Diseño de Contenido Virtual</t>
        </is>
      </c>
      <c r="D1502" t="inlineStr">
        <is>
          <t>Trimestral</t>
        </is>
      </c>
      <c r="E1502" t="inlineStr">
        <is>
          <t>Positivo</t>
        </is>
      </c>
      <c r="F1502" s="111" t="n">
        <v>45657</v>
      </c>
      <c r="G1502" t="n">
        <v>2024</v>
      </c>
      <c r="H1502" t="inlineStr">
        <is>
          <t>Diciembre</t>
        </is>
      </c>
      <c r="I1502" t="inlineStr">
        <is>
          <t>2024-2</t>
        </is>
      </c>
      <c r="J1502" t="n">
        <v>90</v>
      </c>
      <c r="K1502" t="n">
        <v>100</v>
      </c>
      <c r="L1502" s="39">
        <f>IFERROR(IF(OR(J1502=0,K1502=""),"",IF(E1502="Positivo",MIN(MAX(K1502/J1502,0),1.3),MIN(MAX(J1502/K1502,0),1.3))),"") </f>
        <v/>
      </c>
      <c r="M1502" s="39">
        <f>IFERROR(IF(OR(J1502=0,K1502=""),"",IF(E1502="Positivo",MAX(K1502/J1502,0),MAX(J1502/K1502,0))),"") </f>
        <v/>
      </c>
      <c r="P1502" t="n">
        <v>0</v>
      </c>
      <c r="Q1502" t="n">
        <v>0</v>
      </c>
      <c r="R1502" t="inlineStr">
        <is>
          <t>455-2024-12-31</t>
        </is>
      </c>
    </row>
    <row r="1503">
      <c r="A1503" t="n">
        <v>455</v>
      </c>
      <c r="B1503" t="inlineStr">
        <is>
          <t>ANS Diseño de contenidos virtuales</t>
        </is>
      </c>
      <c r="C1503" t="inlineStr">
        <is>
          <t>Diseño de Contenido Virtual</t>
        </is>
      </c>
      <c r="D1503" t="inlineStr">
        <is>
          <t>Semestral</t>
        </is>
      </c>
      <c r="E1503" t="inlineStr">
        <is>
          <t>Positivo</t>
        </is>
      </c>
      <c r="F1503" s="111" t="n">
        <v>45838</v>
      </c>
      <c r="G1503" t="n">
        <v>2025</v>
      </c>
      <c r="H1503" t="inlineStr">
        <is>
          <t>Junio</t>
        </is>
      </c>
      <c r="I1503" t="inlineStr">
        <is>
          <t>2025-1</t>
        </is>
      </c>
      <c r="J1503" t="n">
        <v>100</v>
      </c>
      <c r="K1503" t="n">
        <v>100</v>
      </c>
      <c r="L1503" s="39">
        <f>IFERROR(IF(OR(J1503=0,K1503=""),"",IF(E1503="Positivo",MIN(MAX(K1503/J1503,0),1.3),MIN(MAX(J1503/K1503,0),1.3))),"") </f>
        <v/>
      </c>
      <c r="M1503" s="39">
        <f>IFERROR(IF(OR(J1503=0,K1503=""),"",IF(E1503="Positivo",MAX(K1503/J1503,0),MAX(J1503/K1503,0))),"") </f>
        <v/>
      </c>
      <c r="N1503" t="inlineStr">
        <is>
          <t>%</t>
        </is>
      </c>
      <c r="O1503" t="inlineStr">
        <is>
          <t>%</t>
        </is>
      </c>
      <c r="P1503" t="n">
        <v>0</v>
      </c>
      <c r="Q1503" t="n">
        <v>0</v>
      </c>
      <c r="R1503" t="inlineStr">
        <is>
          <t>455-2025-06-30</t>
        </is>
      </c>
    </row>
    <row r="1504">
      <c r="A1504" t="n">
        <v>455</v>
      </c>
      <c r="B1504" t="inlineStr">
        <is>
          <t>ANS Diseño de contenidos virtuales</t>
        </is>
      </c>
      <c r="C1504" t="inlineStr">
        <is>
          <t>Diseño de Contenido Virtual</t>
        </is>
      </c>
      <c r="D1504" t="inlineStr">
        <is>
          <t>Semestral</t>
        </is>
      </c>
      <c r="E1504" t="inlineStr">
        <is>
          <t>Positivo</t>
        </is>
      </c>
      <c r="F1504" s="111" t="n">
        <v>46022</v>
      </c>
      <c r="G1504" t="n">
        <v>2025</v>
      </c>
      <c r="H1504" t="inlineStr">
        <is>
          <t>Diciembre</t>
        </is>
      </c>
      <c r="I1504" t="inlineStr">
        <is>
          <t>2025-2</t>
        </is>
      </c>
      <c r="J1504" t="n">
        <v>100</v>
      </c>
      <c r="K1504" t="n">
        <v>100</v>
      </c>
      <c r="L1504" s="39">
        <f>IFERROR(IF(OR(J1504=0,K1504=""),"",IF(E1504="Positivo",MIN(MAX(K1504/J1504,0),1.3),MIN(MAX(J1504/K1504,0),1.3))),"") </f>
        <v/>
      </c>
      <c r="M1504" s="39">
        <f>IFERROR(IF(OR(J1504=0,K1504=""),"",IF(E1504="Positivo",MAX(K1504/J1504,0),MAX(J1504/K1504,0))),"") </f>
        <v/>
      </c>
      <c r="N1504" t="inlineStr">
        <is>
          <t>%</t>
        </is>
      </c>
      <c r="O1504" t="inlineStr">
        <is>
          <t>%</t>
        </is>
      </c>
      <c r="P1504" t="n">
        <v>0</v>
      </c>
      <c r="Q1504" t="n">
        <v>0</v>
      </c>
      <c r="R1504" t="inlineStr">
        <is>
          <t>455-2025-12-31</t>
        </is>
      </c>
    </row>
    <row r="1505">
      <c r="A1505" t="n">
        <v>456</v>
      </c>
      <c r="B1505" t="inlineStr">
        <is>
          <t>Impacto de campañas de Mailing</t>
        </is>
      </c>
      <c r="C1505" t="inlineStr">
        <is>
          <t>Comunicaciones Internas</t>
        </is>
      </c>
      <c r="D1505" t="inlineStr">
        <is>
          <t>Semestral</t>
        </is>
      </c>
      <c r="E1505" t="inlineStr">
        <is>
          <t>Positivo</t>
        </is>
      </c>
      <c r="F1505" s="111" t="n">
        <v>45473</v>
      </c>
      <c r="G1505" t="n">
        <v>2024</v>
      </c>
      <c r="H1505" t="inlineStr">
        <is>
          <t>Junio</t>
        </is>
      </c>
      <c r="I1505" t="inlineStr">
        <is>
          <t>2024-1</t>
        </is>
      </c>
      <c r="J1505" t="n">
        <v>100</v>
      </c>
      <c r="K1505" t="n">
        <v>100</v>
      </c>
      <c r="L1505" s="39">
        <f>IFERROR(IF(OR(J1505=0,K1505=""),"",IF(E1505="Positivo",MIN(MAX(K1505/J1505,0),1.3),MIN(MAX(J1505/K1505,0),1.3))),"") </f>
        <v/>
      </c>
      <c r="M1505" s="39">
        <f>IFERROR(IF(OR(J1505=0,K1505=""),"",IF(E1505="Positivo",MAX(K1505/J1505,0),MAX(J1505/K1505,0))),"") </f>
        <v/>
      </c>
      <c r="P1505" t="n">
        <v>0</v>
      </c>
      <c r="Q1505" t="n">
        <v>0</v>
      </c>
      <c r="R1505" t="inlineStr">
        <is>
          <t>456-2024-06-30</t>
        </is>
      </c>
    </row>
    <row r="1506">
      <c r="A1506" t="n">
        <v>456</v>
      </c>
      <c r="B1506" t="inlineStr">
        <is>
          <t>Impacto de campañas de Mailing</t>
        </is>
      </c>
      <c r="C1506" t="inlineStr">
        <is>
          <t>Comunicaciones Internas</t>
        </is>
      </c>
      <c r="D1506" t="inlineStr">
        <is>
          <t>Semestral</t>
        </is>
      </c>
      <c r="E1506" t="inlineStr">
        <is>
          <t>Positivo</t>
        </is>
      </c>
      <c r="F1506" s="111" t="n">
        <v>45657</v>
      </c>
      <c r="G1506" t="n">
        <v>2024</v>
      </c>
      <c r="H1506" t="inlineStr">
        <is>
          <t>Diciembre</t>
        </is>
      </c>
      <c r="I1506" t="inlineStr">
        <is>
          <t>2024-2</t>
        </is>
      </c>
      <c r="J1506" t="n">
        <v>100</v>
      </c>
      <c r="K1506" t="n">
        <v>94.69</v>
      </c>
      <c r="L1506" s="39">
        <f>IFERROR(IF(OR(J1506=0,K1506=""),"",IF(E1506="Positivo",MIN(MAX(K1506/J1506,0),1.3),MIN(MAX(J1506/K1506,0),1.3))),"") </f>
        <v/>
      </c>
      <c r="M1506" s="39">
        <f>IFERROR(IF(OR(J1506=0,K1506=""),"",IF(E1506="Positivo",MAX(K1506/J1506,0),MAX(J1506/K1506,0))),"") </f>
        <v/>
      </c>
      <c r="P1506" t="n">
        <v>0</v>
      </c>
      <c r="Q1506" t="n">
        <v>0</v>
      </c>
      <c r="R1506" t="inlineStr">
        <is>
          <t>456-2024-12-31</t>
        </is>
      </c>
    </row>
    <row r="1507">
      <c r="A1507" t="n">
        <v>456</v>
      </c>
      <c r="B1507" t="inlineStr">
        <is>
          <t>Impacto de campañas de Mailing</t>
        </is>
      </c>
      <c r="C1507" t="inlineStr">
        <is>
          <t>Comunicaciones Internas</t>
        </is>
      </c>
      <c r="D1507" t="inlineStr">
        <is>
          <t>Semestral</t>
        </is>
      </c>
      <c r="E1507" t="inlineStr">
        <is>
          <t>Positivo</t>
        </is>
      </c>
      <c r="F1507" s="111" t="n">
        <v>45838</v>
      </c>
      <c r="G1507" t="n">
        <v>2025</v>
      </c>
      <c r="H1507" t="inlineStr">
        <is>
          <t>Junio</t>
        </is>
      </c>
      <c r="I1507" t="inlineStr">
        <is>
          <t>2025-1</t>
        </is>
      </c>
      <c r="J1507" t="n">
        <v>100</v>
      </c>
      <c r="K1507" t="n">
        <v>105.185</v>
      </c>
      <c r="L1507" s="39">
        <f>IFERROR(IF(OR(J1507=0,K1507=""),"",IF(E1507="Positivo",MIN(MAX(K1507/J1507,0),1.3),MIN(MAX(J1507/K1507,0),1.3))),"") </f>
        <v/>
      </c>
      <c r="M1507" s="39">
        <f>IFERROR(IF(OR(J1507=0,K1507=""),"",IF(E1507="Positivo",MAX(K1507/J1507,0),MAX(J1507/K1507,0))),"") </f>
        <v/>
      </c>
      <c r="N1507" t="inlineStr">
        <is>
          <t>%</t>
        </is>
      </c>
      <c r="O1507" t="inlineStr">
        <is>
          <t>%</t>
        </is>
      </c>
      <c r="P1507" t="n">
        <v>0</v>
      </c>
      <c r="Q1507" t="n">
        <v>0</v>
      </c>
      <c r="R1507" t="inlineStr">
        <is>
          <t>456-2025-06-30</t>
        </is>
      </c>
    </row>
    <row r="1508">
      <c r="A1508" t="n">
        <v>456</v>
      </c>
      <c r="B1508" t="inlineStr">
        <is>
          <t>Impacto de campañas de Mailing</t>
        </is>
      </c>
      <c r="C1508" t="inlineStr">
        <is>
          <t>Comunicaciones Internas</t>
        </is>
      </c>
      <c r="D1508" t="inlineStr">
        <is>
          <t>Semestral</t>
        </is>
      </c>
      <c r="E1508" t="inlineStr">
        <is>
          <t>Positivo</t>
        </is>
      </c>
      <c r="F1508" s="111" t="n">
        <v>46022</v>
      </c>
      <c r="G1508" t="n">
        <v>2025</v>
      </c>
      <c r="H1508" t="inlineStr">
        <is>
          <t>Diciembre</t>
        </is>
      </c>
      <c r="I1508" t="inlineStr">
        <is>
          <t>2025-2</t>
        </is>
      </c>
      <c r="J1508" t="n">
        <v>100</v>
      </c>
      <c r="K1508" t="n">
        <v>118</v>
      </c>
      <c r="L1508" s="39">
        <f>IFERROR(IF(OR(J1508=0,K1508=""),"",IF(E1508="Positivo",MIN(MAX(K1508/J1508,0),1.3),MIN(MAX(J1508/K1508,0),1.3))),"") </f>
        <v/>
      </c>
      <c r="M1508" s="39">
        <f>IFERROR(IF(OR(J1508=0,K1508=""),"",IF(E1508="Positivo",MAX(K1508/J1508,0),MAX(J1508/K1508,0))),"") </f>
        <v/>
      </c>
      <c r="N1508" t="inlineStr">
        <is>
          <t>%</t>
        </is>
      </c>
      <c r="O1508" t="inlineStr">
        <is>
          <t>%</t>
        </is>
      </c>
      <c r="P1508" t="n">
        <v>0</v>
      </c>
      <c r="Q1508" t="n">
        <v>0</v>
      </c>
      <c r="R1508" t="inlineStr">
        <is>
          <t>456-2025-12-31</t>
        </is>
      </c>
    </row>
    <row r="1509">
      <c r="A1509" t="n">
        <v>457</v>
      </c>
      <c r="B1509" t="inlineStr">
        <is>
          <t>Apertura de enlaces en mensajes de texto</t>
        </is>
      </c>
      <c r="C1509" t="inlineStr">
        <is>
          <t>Comunicaciones Internas</t>
        </is>
      </c>
      <c r="D1509" t="inlineStr">
        <is>
          <t>Semestral</t>
        </is>
      </c>
      <c r="E1509" t="inlineStr">
        <is>
          <t>Positivo</t>
        </is>
      </c>
      <c r="F1509" s="111" t="n">
        <v>45473</v>
      </c>
      <c r="G1509" t="n">
        <v>2024</v>
      </c>
      <c r="H1509" t="inlineStr">
        <is>
          <t>Junio</t>
        </is>
      </c>
      <c r="I1509" t="inlineStr">
        <is>
          <t>2024-1</t>
        </is>
      </c>
      <c r="J1509" t="n">
        <v>100</v>
      </c>
      <c r="K1509" t="n">
        <v>90</v>
      </c>
      <c r="L1509" s="39">
        <f>IFERROR(IF(OR(J1509=0,K1509=""),"",IF(E1509="Positivo",MIN(MAX(K1509/J1509,0),1.3),MIN(MAX(J1509/K1509,0),1.3))),"") </f>
        <v/>
      </c>
      <c r="M1509" s="39">
        <f>IFERROR(IF(OR(J1509=0,K1509=""),"",IF(E1509="Positivo",MAX(K1509/J1509,0),MAX(J1509/K1509,0))),"") </f>
        <v/>
      </c>
      <c r="P1509" t="n">
        <v>0</v>
      </c>
      <c r="Q1509" t="n">
        <v>0</v>
      </c>
      <c r="R1509" t="inlineStr">
        <is>
          <t>457-2024-06-30</t>
        </is>
      </c>
    </row>
    <row r="1510">
      <c r="A1510" t="n">
        <v>457</v>
      </c>
      <c r="B1510" t="inlineStr">
        <is>
          <t>Apertura de enlaces en mensajes de texto</t>
        </is>
      </c>
      <c r="C1510" t="inlineStr">
        <is>
          <t>Comunicaciones Internas</t>
        </is>
      </c>
      <c r="D1510" t="inlineStr">
        <is>
          <t>Semestral</t>
        </is>
      </c>
      <c r="E1510" t="inlineStr">
        <is>
          <t>Positivo</t>
        </is>
      </c>
      <c r="F1510" s="111" t="n">
        <v>45657</v>
      </c>
      <c r="G1510" t="n">
        <v>2024</v>
      </c>
      <c r="H1510" t="inlineStr">
        <is>
          <t>Diciembre</t>
        </is>
      </c>
      <c r="I1510" t="inlineStr">
        <is>
          <t>2024-2</t>
        </is>
      </c>
      <c r="J1510" t="n">
        <v>100</v>
      </c>
      <c r="K1510" t="n">
        <v>70</v>
      </c>
      <c r="L1510" s="39">
        <f>IFERROR(IF(OR(J1510=0,K1510=""),"",IF(E1510="Positivo",MIN(MAX(K1510/J1510,0),1.3),MIN(MAX(J1510/K1510,0),1.3))),"") </f>
        <v/>
      </c>
      <c r="M1510" s="39">
        <f>IFERROR(IF(OR(J1510=0,K1510=""),"",IF(E1510="Positivo",MAX(K1510/J1510,0),MAX(J1510/K1510,0))),"") </f>
        <v/>
      </c>
      <c r="P1510" t="n">
        <v>0</v>
      </c>
      <c r="Q1510" t="n">
        <v>0</v>
      </c>
      <c r="R1510" t="inlineStr">
        <is>
          <t>457-2024-12-31</t>
        </is>
      </c>
    </row>
    <row r="1511">
      <c r="A1511" t="n">
        <v>457</v>
      </c>
      <c r="B1511" t="inlineStr">
        <is>
          <t>Apertura de enlaces en mensajes de texto</t>
        </is>
      </c>
      <c r="C1511" t="inlineStr">
        <is>
          <t>Comunicaciones Internas</t>
        </is>
      </c>
      <c r="D1511" t="inlineStr">
        <is>
          <t>Semestral</t>
        </is>
      </c>
      <c r="E1511" t="inlineStr">
        <is>
          <t>Positivo</t>
        </is>
      </c>
      <c r="F1511" s="111" t="n">
        <v>45838</v>
      </c>
      <c r="G1511" t="n">
        <v>2025</v>
      </c>
      <c r="H1511" t="inlineStr">
        <is>
          <t>Junio</t>
        </is>
      </c>
      <c r="I1511" t="inlineStr">
        <is>
          <t>2025-1</t>
        </is>
      </c>
      <c r="J1511" t="n">
        <v>100</v>
      </c>
      <c r="K1511" t="n">
        <v>141.665</v>
      </c>
      <c r="L1511" s="39">
        <f>IFERROR(IF(OR(J1511=0,K1511=""),"",IF(E1511="Positivo",MIN(MAX(K1511/J1511,0),1.3),MIN(MAX(J1511/K1511,0),1.3))),"") </f>
        <v/>
      </c>
      <c r="M1511" s="39">
        <f>IFERROR(IF(OR(J1511=0,K1511=""),"",IF(E1511="Positivo",MAX(K1511/J1511,0),MAX(J1511/K1511,0))),"") </f>
        <v/>
      </c>
      <c r="N1511" t="inlineStr">
        <is>
          <t>%</t>
        </is>
      </c>
      <c r="O1511" t="inlineStr">
        <is>
          <t>%</t>
        </is>
      </c>
      <c r="P1511" t="n">
        <v>0</v>
      </c>
      <c r="Q1511" t="n">
        <v>0</v>
      </c>
      <c r="R1511" t="inlineStr">
        <is>
          <t>457-2025-06-30</t>
        </is>
      </c>
    </row>
    <row r="1512">
      <c r="A1512" t="n">
        <v>457</v>
      </c>
      <c r="B1512" t="inlineStr">
        <is>
          <t>Apertura de enlaces en mensajes de texto</t>
        </is>
      </c>
      <c r="C1512" t="inlineStr">
        <is>
          <t>Comunicaciones Internas</t>
        </is>
      </c>
      <c r="D1512" t="inlineStr">
        <is>
          <t>Semestral</t>
        </is>
      </c>
      <c r="E1512" t="inlineStr">
        <is>
          <t>Positivo</t>
        </is>
      </c>
      <c r="F1512" s="111" t="n">
        <v>46022</v>
      </c>
      <c r="G1512" t="n">
        <v>2025</v>
      </c>
      <c r="H1512" t="inlineStr">
        <is>
          <t>Diciembre</t>
        </is>
      </c>
      <c r="I1512" t="inlineStr">
        <is>
          <t>2025-2</t>
        </is>
      </c>
      <c r="J1512" t="n">
        <v>100</v>
      </c>
      <c r="K1512" t="n">
        <v>84.52</v>
      </c>
      <c r="L1512" s="39">
        <f>IFERROR(IF(OR(J1512=0,K1512=""),"",IF(E1512="Positivo",MIN(MAX(K1512/J1512,0),1.3),MIN(MAX(J1512/K1512,0),1.3))),"") </f>
        <v/>
      </c>
      <c r="M1512" s="39">
        <f>IFERROR(IF(OR(J1512=0,K1512=""),"",IF(E1512="Positivo",MAX(K1512/J1512,0),MAX(J1512/K1512,0))),"") </f>
        <v/>
      </c>
      <c r="N1512" t="inlineStr">
        <is>
          <t>%</t>
        </is>
      </c>
      <c r="O1512" t="inlineStr">
        <is>
          <t>%</t>
        </is>
      </c>
      <c r="P1512" t="n">
        <v>0</v>
      </c>
      <c r="Q1512" t="n">
        <v>0</v>
      </c>
      <c r="R1512" t="inlineStr">
        <is>
          <t>457-2025-12-31</t>
        </is>
      </c>
    </row>
    <row r="1513">
      <c r="A1513" t="n">
        <v>459</v>
      </c>
      <c r="B1513" t="inlineStr">
        <is>
          <t>Número de publicaciones e historias</t>
        </is>
      </c>
      <c r="C1513" t="inlineStr">
        <is>
          <t>Comunicaciones Externas</t>
        </is>
      </c>
      <c r="D1513" t="inlineStr">
        <is>
          <t>Trimestral</t>
        </is>
      </c>
      <c r="E1513" t="inlineStr">
        <is>
          <t>Positivo</t>
        </is>
      </c>
      <c r="F1513" s="111" t="n">
        <v>45473</v>
      </c>
      <c r="G1513" t="n">
        <v>2024</v>
      </c>
      <c r="H1513" t="inlineStr">
        <is>
          <t>Junio</t>
        </is>
      </c>
      <c r="I1513" t="inlineStr">
        <is>
          <t>2024-1</t>
        </is>
      </c>
      <c r="J1513" t="n">
        <v>100</v>
      </c>
      <c r="K1513" t="n">
        <v>130.43</v>
      </c>
      <c r="L1513" s="39">
        <f>IFERROR(IF(OR(J1513=0,K1513=""),"",IF(E1513="Positivo",MIN(MAX(K1513/J1513,0),1.3),MIN(MAX(J1513/K1513,0),1.3))),"") </f>
        <v/>
      </c>
      <c r="M1513" s="39">
        <f>IFERROR(IF(OR(J1513=0,K1513=""),"",IF(E1513="Positivo",MAX(K1513/J1513,0),MAX(J1513/K1513,0))),"") </f>
        <v/>
      </c>
      <c r="P1513" t="n">
        <v>0</v>
      </c>
      <c r="Q1513" t="n">
        <v>0</v>
      </c>
      <c r="R1513" t="inlineStr">
        <is>
          <t>459-2024-06-30</t>
        </is>
      </c>
    </row>
    <row r="1514">
      <c r="A1514" t="n">
        <v>459</v>
      </c>
      <c r="B1514" t="inlineStr">
        <is>
          <t>Número de publicaciones e historias</t>
        </is>
      </c>
      <c r="C1514" t="inlineStr">
        <is>
          <t>Comunicaciones Externas</t>
        </is>
      </c>
      <c r="D1514" t="inlineStr">
        <is>
          <t>Trimestral</t>
        </is>
      </c>
      <c r="E1514" t="inlineStr">
        <is>
          <t>Positivo</t>
        </is>
      </c>
      <c r="F1514" s="111" t="n">
        <v>45657</v>
      </c>
      <c r="G1514" t="n">
        <v>2024</v>
      </c>
      <c r="H1514" t="inlineStr">
        <is>
          <t>Diciembre</t>
        </is>
      </c>
      <c r="I1514" t="inlineStr">
        <is>
          <t>2024-2</t>
        </is>
      </c>
      <c r="J1514" t="n">
        <v>100</v>
      </c>
      <c r="L1514" s="39" t="n"/>
      <c r="M1514" s="39" t="n"/>
      <c r="N1514" t="inlineStr">
        <is>
          <t>ENT</t>
        </is>
      </c>
      <c r="O1514" t="inlineStr">
        <is>
          <t>N/A</t>
        </is>
      </c>
      <c r="P1514" t="n">
        <v>0</v>
      </c>
      <c r="Q1514" t="n">
        <v>0</v>
      </c>
      <c r="R1514" t="inlineStr">
        <is>
          <t>459-2024-12-31</t>
        </is>
      </c>
    </row>
    <row r="1515">
      <c r="A1515" t="n">
        <v>460</v>
      </c>
      <c r="B1515" t="inlineStr">
        <is>
          <t>% de profesores (Contrato Indefinido- Fijo) impactados plan de desarrollo docente</t>
        </is>
      </c>
      <c r="C1515" t="inlineStr">
        <is>
          <t>GESTIÓN Y DESARROLLO DEL TALENTO HUMANO</t>
        </is>
      </c>
      <c r="D1515" t="inlineStr">
        <is>
          <t>Anual</t>
        </is>
      </c>
      <c r="E1515" t="inlineStr">
        <is>
          <t>Positivo</t>
        </is>
      </c>
      <c r="F1515" s="111" t="n">
        <v>45657</v>
      </c>
      <c r="G1515" t="n">
        <v>2024</v>
      </c>
      <c r="H1515" t="inlineStr">
        <is>
          <t>Diciembre</t>
        </is>
      </c>
      <c r="I1515" t="inlineStr">
        <is>
          <t>2024-2</t>
        </is>
      </c>
      <c r="J1515" t="n">
        <v>80</v>
      </c>
      <c r="K1515" t="n">
        <v>91.43968871595332</v>
      </c>
      <c r="L1515" s="39">
        <f>IFERROR(IF(OR(J1515=0,K1515=""),"",IF(E1515="Positivo",MIN(MAX(K1515/J1515,0),1.3),MIN(MAX(J1515/K1515,0),1.3))),"") </f>
        <v/>
      </c>
      <c r="M1515" s="39">
        <f>IFERROR(IF(OR(J1515=0,K1515=""),"",IF(E1515="Positivo",MAX(K1515/J1515,0),MAX(J1515/K1515,0))),"") </f>
        <v/>
      </c>
      <c r="P1515" t="n">
        <v>0</v>
      </c>
      <c r="Q1515" t="n">
        <v>0</v>
      </c>
      <c r="R1515" t="inlineStr">
        <is>
          <t>460-2024-12-31</t>
        </is>
      </c>
    </row>
    <row r="1516">
      <c r="A1516" t="n">
        <v>460</v>
      </c>
      <c r="B1516" t="inlineStr">
        <is>
          <t>% de profesores (Contrato Indefinido- Fijo) impactados plan de desarrollo docente</t>
        </is>
      </c>
      <c r="C1516" t="inlineStr">
        <is>
          <t>GESTIÓN Y DESARROLLO DEL TALENTO HUMANO</t>
        </is>
      </c>
      <c r="D1516" t="inlineStr">
        <is>
          <t>Anual</t>
        </is>
      </c>
      <c r="E1516" t="inlineStr">
        <is>
          <t>Positivo</t>
        </is>
      </c>
      <c r="F1516" s="111" t="n">
        <v>46022</v>
      </c>
      <c r="G1516" t="n">
        <v>2025</v>
      </c>
      <c r="H1516" t="inlineStr">
        <is>
          <t>Diciembre</t>
        </is>
      </c>
      <c r="I1516" t="inlineStr">
        <is>
          <t>2025-2</t>
        </is>
      </c>
      <c r="J1516" t="n">
        <v>80</v>
      </c>
      <c r="K1516" t="n">
        <v>84.18000000000001</v>
      </c>
      <c r="L1516" s="39">
        <f>IFERROR(IF(OR(J1516=0,K1516=""),"",IF(E1516="Positivo",MIN(MAX(K1516/J1516,0),1.3),MIN(MAX(J1516/K1516,0),1.3))),"") </f>
        <v/>
      </c>
      <c r="M1516" s="39">
        <f>IFERROR(IF(OR(J1516=0,K1516=""),"",IF(E1516="Positivo",MAX(K1516/J1516,0),MAX(J1516/K1516,0))),"") </f>
        <v/>
      </c>
      <c r="N1516" t="inlineStr">
        <is>
          <t>%</t>
        </is>
      </c>
      <c r="O1516" t="inlineStr">
        <is>
          <t>%</t>
        </is>
      </c>
      <c r="P1516" t="n">
        <v>0</v>
      </c>
      <c r="Q1516" t="n">
        <v>1</v>
      </c>
      <c r="R1516" t="inlineStr">
        <is>
          <t>460-2025-12-31</t>
        </is>
      </c>
    </row>
    <row r="1517">
      <c r="A1517" t="n">
        <v>462</v>
      </c>
      <c r="B1517" t="inlineStr">
        <is>
          <t>Nivel Esfuerzo Editorial</t>
        </is>
      </c>
      <c r="C1517" t="inlineStr">
        <is>
          <t>Editorial y Publicaciones</t>
        </is>
      </c>
      <c r="D1517" t="inlineStr">
        <is>
          <t>Semestral</t>
        </is>
      </c>
      <c r="E1517" t="inlineStr">
        <is>
          <t>Positivo</t>
        </is>
      </c>
      <c r="F1517" s="111" t="n">
        <v>45473</v>
      </c>
      <c r="G1517" t="n">
        <v>2024</v>
      </c>
      <c r="H1517" t="inlineStr">
        <is>
          <t>Junio</t>
        </is>
      </c>
      <c r="I1517" t="inlineStr">
        <is>
          <t>2024-1</t>
        </is>
      </c>
      <c r="J1517" t="n">
        <v>85</v>
      </c>
      <c r="K1517" t="n">
        <v>100</v>
      </c>
      <c r="L1517" s="39">
        <f>IFERROR(IF(OR(J1517=0,K1517=""),"",IF(E1517="Positivo",MIN(MAX(K1517/J1517,0),1.3),MIN(MAX(J1517/K1517,0),1.3))),"") </f>
        <v/>
      </c>
      <c r="M1517" s="39">
        <f>IFERROR(IF(OR(J1517=0,K1517=""),"",IF(E1517="Positivo",MAX(K1517/J1517,0),MAX(J1517/K1517,0))),"") </f>
        <v/>
      </c>
      <c r="P1517" t="n">
        <v>0</v>
      </c>
      <c r="Q1517" t="n">
        <v>0</v>
      </c>
      <c r="R1517" t="inlineStr">
        <is>
          <t>462-2024-06-30</t>
        </is>
      </c>
    </row>
    <row r="1518">
      <c r="A1518" t="n">
        <v>462</v>
      </c>
      <c r="B1518" t="inlineStr">
        <is>
          <t>Nivel Esfuerzo Editorial</t>
        </is>
      </c>
      <c r="C1518" t="inlineStr">
        <is>
          <t>Editorial y Publicaciones</t>
        </is>
      </c>
      <c r="D1518" t="inlineStr">
        <is>
          <t>Semestral</t>
        </is>
      </c>
      <c r="E1518" t="inlineStr">
        <is>
          <t>Positivo</t>
        </is>
      </c>
      <c r="F1518" s="111" t="n">
        <v>45657</v>
      </c>
      <c r="G1518" t="n">
        <v>2024</v>
      </c>
      <c r="H1518" t="inlineStr">
        <is>
          <t>Diciembre</t>
        </is>
      </c>
      <c r="I1518" t="inlineStr">
        <is>
          <t>2024-2</t>
        </is>
      </c>
      <c r="J1518" t="n">
        <v>85</v>
      </c>
      <c r="K1518" t="n">
        <v>100</v>
      </c>
      <c r="L1518" s="39">
        <f>IFERROR(IF(OR(J1518=0,K1518=""),"",IF(E1518="Positivo",MIN(MAX(K1518/J1518,0),1.3),MIN(MAX(J1518/K1518,0),1.3))),"") </f>
        <v/>
      </c>
      <c r="M1518" s="39">
        <f>IFERROR(IF(OR(J1518=0,K1518=""),"",IF(E1518="Positivo",MAX(K1518/J1518,0),MAX(J1518/K1518,0))),"") </f>
        <v/>
      </c>
      <c r="P1518" t="n">
        <v>0</v>
      </c>
      <c r="Q1518" t="n">
        <v>0</v>
      </c>
      <c r="R1518" t="inlineStr">
        <is>
          <t>462-2024-12-31</t>
        </is>
      </c>
    </row>
    <row r="1519">
      <c r="A1519" t="n">
        <v>463</v>
      </c>
      <c r="B1519" t="inlineStr">
        <is>
          <t>Cumplimiento de las acciones del Plan de mejoramiento GPW</t>
        </is>
      </c>
      <c r="C1519" t="inlineStr">
        <is>
          <t>GESTIÓN Y DESARROLLO DEL TALENTO HUMANO</t>
        </is>
      </c>
      <c r="D1519" t="inlineStr">
        <is>
          <t>Semestral</t>
        </is>
      </c>
      <c r="E1519" t="inlineStr">
        <is>
          <t>Positivo</t>
        </is>
      </c>
      <c r="F1519" s="111" t="n">
        <v>45473</v>
      </c>
      <c r="G1519" t="n">
        <v>2024</v>
      </c>
      <c r="H1519" t="inlineStr">
        <is>
          <t>Junio</t>
        </is>
      </c>
      <c r="I1519" t="inlineStr">
        <is>
          <t>2024-1</t>
        </is>
      </c>
      <c r="J1519" t="n">
        <v>100</v>
      </c>
      <c r="K1519" t="n">
        <v>95</v>
      </c>
      <c r="L1519" s="39">
        <f>IFERROR(IF(OR(J1519=0,K1519=""),"",IF(E1519="Positivo",MIN(MAX(K1519/J1519,0),1.3),MIN(MAX(J1519/K1519,0),1.3))),"") </f>
        <v/>
      </c>
      <c r="M1519" s="39">
        <f>IFERROR(IF(OR(J1519=0,K1519=""),"",IF(E1519="Positivo",MAX(K1519/J1519,0),MAX(J1519/K1519,0))),"") </f>
        <v/>
      </c>
      <c r="P1519" t="n">
        <v>0</v>
      </c>
      <c r="Q1519" t="n">
        <v>0</v>
      </c>
      <c r="R1519" t="inlineStr">
        <is>
          <t>463-2024-06-30</t>
        </is>
      </c>
    </row>
    <row r="1520">
      <c r="A1520" t="n">
        <v>463</v>
      </c>
      <c r="B1520" t="inlineStr">
        <is>
          <t>Cumplimiento de las acciones del Plan de mejoramiento GPW</t>
        </is>
      </c>
      <c r="C1520" t="inlineStr">
        <is>
          <t>GESTIÓN Y DESARROLLO DEL TALENTO HUMANO</t>
        </is>
      </c>
      <c r="D1520" t="inlineStr">
        <is>
          <t>Semestral</t>
        </is>
      </c>
      <c r="E1520" t="inlineStr">
        <is>
          <t>Positivo</t>
        </is>
      </c>
      <c r="F1520" s="111" t="n">
        <v>45657</v>
      </c>
      <c r="G1520" t="n">
        <v>2024</v>
      </c>
      <c r="H1520" t="inlineStr">
        <is>
          <t>Diciembre</t>
        </is>
      </c>
      <c r="I1520" t="inlineStr">
        <is>
          <t>2024-2</t>
        </is>
      </c>
      <c r="J1520" t="n">
        <v>100</v>
      </c>
      <c r="K1520" t="n">
        <v>100</v>
      </c>
      <c r="L1520" s="39">
        <f>IFERROR(IF(OR(J1520=0,K1520=""),"",IF(E1520="Positivo",MIN(MAX(K1520/J1520,0),1.3),MIN(MAX(J1520/K1520,0),1.3))),"") </f>
        <v/>
      </c>
      <c r="M1520" s="39">
        <f>IFERROR(IF(OR(J1520=0,K1520=""),"",IF(E1520="Positivo",MAX(K1520/J1520,0),MAX(J1520/K1520,0))),"") </f>
        <v/>
      </c>
      <c r="P1520" t="n">
        <v>0</v>
      </c>
      <c r="Q1520" t="n">
        <v>0</v>
      </c>
      <c r="R1520" t="inlineStr">
        <is>
          <t>463-2024-12-31</t>
        </is>
      </c>
    </row>
    <row r="1521">
      <c r="A1521" t="n">
        <v>465</v>
      </c>
      <c r="B1521" t="inlineStr">
        <is>
          <t>% de depuración histórico  SNIES</t>
        </is>
      </c>
      <c r="C1521" t="inlineStr">
        <is>
          <t>DATOS Y ANALÍTICA</t>
        </is>
      </c>
      <c r="D1521" t="inlineStr">
        <is>
          <t>Semestral</t>
        </is>
      </c>
      <c r="E1521" t="inlineStr">
        <is>
          <t>Positivo</t>
        </is>
      </c>
      <c r="F1521" s="111" t="n">
        <v>45473</v>
      </c>
      <c r="G1521" t="n">
        <v>2024</v>
      </c>
      <c r="H1521" t="inlineStr">
        <is>
          <t>Junio</t>
        </is>
      </c>
      <c r="I1521" t="inlineStr">
        <is>
          <t>2024-1</t>
        </is>
      </c>
      <c r="J1521" t="n">
        <v>70</v>
      </c>
      <c r="K1521" t="n">
        <v>57.86</v>
      </c>
      <c r="L1521" s="39">
        <f>IFERROR(IF(OR(J1521=0,K1521=""),"",IF(E1521="Positivo",MIN(MAX(K1521/J1521,0),1.3),MIN(MAX(J1521/K1521,0),1.3))),"") </f>
        <v/>
      </c>
      <c r="M1521" s="39">
        <f>IFERROR(IF(OR(J1521=0,K1521=""),"",IF(E1521="Positivo",MAX(K1521/J1521,0),MAX(J1521/K1521,0))),"") </f>
        <v/>
      </c>
      <c r="P1521" t="n">
        <v>0</v>
      </c>
      <c r="Q1521" t="n">
        <v>0</v>
      </c>
      <c r="R1521" t="inlineStr">
        <is>
          <t>465-2024-06-30</t>
        </is>
      </c>
    </row>
    <row r="1522">
      <c r="A1522" t="n">
        <v>465</v>
      </c>
      <c r="B1522" t="inlineStr">
        <is>
          <t>% de depuración histórico  SNIES</t>
        </is>
      </c>
      <c r="C1522" t="inlineStr">
        <is>
          <t>DATOS Y ANALÍTICA</t>
        </is>
      </c>
      <c r="D1522" t="inlineStr">
        <is>
          <t>Semestral</t>
        </is>
      </c>
      <c r="E1522" t="inlineStr">
        <is>
          <t>Positivo</t>
        </is>
      </c>
      <c r="F1522" s="111" t="n">
        <v>45657</v>
      </c>
      <c r="G1522" t="n">
        <v>2024</v>
      </c>
      <c r="H1522" t="inlineStr">
        <is>
          <t>Diciembre</t>
        </is>
      </c>
      <c r="I1522" t="inlineStr">
        <is>
          <t>2024-2</t>
        </is>
      </c>
      <c r="J1522" t="n">
        <v>100</v>
      </c>
      <c r="K1522" t="n">
        <v>56.83</v>
      </c>
      <c r="L1522" s="39">
        <f>IFERROR(IF(OR(J1522=0,K1522=""),"",IF(E1522="Positivo",MIN(MAX(K1522/J1522,0),1.3),MIN(MAX(J1522/K1522,0),1.3))),"") </f>
        <v/>
      </c>
      <c r="M1522" s="39">
        <f>IFERROR(IF(OR(J1522=0,K1522=""),"",IF(E1522="Positivo",MAX(K1522/J1522,0),MAX(J1522/K1522,0))),"") </f>
        <v/>
      </c>
      <c r="P1522" t="n">
        <v>0</v>
      </c>
      <c r="Q1522" t="n">
        <v>0</v>
      </c>
      <c r="R1522" t="inlineStr">
        <is>
          <t>465-2024-12-31</t>
        </is>
      </c>
    </row>
    <row r="1523">
      <c r="A1523" t="n">
        <v>466</v>
      </c>
      <c r="B1523" t="inlineStr">
        <is>
          <t>NPS Estudiantes</t>
        </is>
      </c>
      <c r="C1523" t="inlineStr">
        <is>
          <t>Servicio</t>
        </is>
      </c>
      <c r="D1523" t="inlineStr">
        <is>
          <t>Semestral</t>
        </is>
      </c>
      <c r="E1523" t="inlineStr">
        <is>
          <t>Positivo</t>
        </is>
      </c>
      <c r="F1523" s="111" t="n">
        <v>45473</v>
      </c>
      <c r="G1523" t="n">
        <v>2024</v>
      </c>
      <c r="H1523" t="inlineStr">
        <is>
          <t>Junio</t>
        </is>
      </c>
      <c r="I1523" t="inlineStr">
        <is>
          <t>2024-1</t>
        </is>
      </c>
      <c r="J1523" t="n">
        <v>100</v>
      </c>
      <c r="K1523" t="n">
        <v>119.2</v>
      </c>
      <c r="L1523" s="39">
        <f>IFERROR(IF(OR(J1523=0,K1523=""),"",IF(E1523="Positivo",MIN(MAX(K1523/J1523,0),1.3),MIN(MAX(J1523/K1523,0),1.3))),"") </f>
        <v/>
      </c>
      <c r="M1523" s="39">
        <f>IFERROR(IF(OR(J1523=0,K1523=""),"",IF(E1523="Positivo",MAX(K1523/J1523,0),MAX(J1523/K1523,0))),"") </f>
        <v/>
      </c>
      <c r="N1523" t="inlineStr">
        <is>
          <t>ENT</t>
        </is>
      </c>
      <c r="O1523" t="inlineStr">
        <is>
          <t>DEC</t>
        </is>
      </c>
      <c r="P1523" t="n">
        <v>1</v>
      </c>
      <c r="Q1523" t="n">
        <v>1</v>
      </c>
      <c r="R1523" t="inlineStr">
        <is>
          <t>466-2024-06-30</t>
        </is>
      </c>
    </row>
    <row r="1524">
      <c r="A1524" t="n">
        <v>466</v>
      </c>
      <c r="B1524" t="inlineStr">
        <is>
          <t>NPS Estudiantes</t>
        </is>
      </c>
      <c r="C1524" t="inlineStr">
        <is>
          <t>EXPERIENCIA INSTITUCIONAL</t>
        </is>
      </c>
      <c r="D1524" t="inlineStr">
        <is>
          <t>Semestral</t>
        </is>
      </c>
      <c r="E1524" t="inlineStr">
        <is>
          <t>Positivo</t>
        </is>
      </c>
      <c r="F1524" s="111" t="n">
        <v>45657</v>
      </c>
      <c r="G1524" t="n">
        <v>2024</v>
      </c>
      <c r="H1524" t="inlineStr">
        <is>
          <t>Diciembre</t>
        </is>
      </c>
      <c r="I1524" t="inlineStr">
        <is>
          <t>2024-2</t>
        </is>
      </c>
      <c r="J1524" t="n">
        <v>100</v>
      </c>
      <c r="K1524" t="n">
        <v>107.6</v>
      </c>
      <c r="L1524" s="39">
        <f>IFERROR(IF(OR(J1524=0,K1524=""),"",IF(E1524="Positivo",MIN(MAX(K1524/J1524,0),1.3),MIN(MAX(J1524/K1524,0),1.3))),"") </f>
        <v/>
      </c>
      <c r="M1524" s="39">
        <f>IFERROR(IF(OR(J1524=0,K1524=""),"",IF(E1524="Positivo",MAX(K1524/J1524,0),MAX(J1524/K1524,0))),"") </f>
        <v/>
      </c>
      <c r="O1524" t="inlineStr">
        <is>
          <t>DEC</t>
        </is>
      </c>
      <c r="P1524" t="n">
        <v>0</v>
      </c>
      <c r="Q1524" t="n">
        <v>0</v>
      </c>
      <c r="R1524" t="inlineStr">
        <is>
          <t>466-2024-12-31</t>
        </is>
      </c>
    </row>
    <row r="1525">
      <c r="A1525" t="n">
        <v>466</v>
      </c>
      <c r="B1525" t="inlineStr">
        <is>
          <t>NPS Estudiantes</t>
        </is>
      </c>
      <c r="C1525" t="inlineStr">
        <is>
          <t>EXPERIENCIA INSTITUCIONAL</t>
        </is>
      </c>
      <c r="D1525" t="inlineStr">
        <is>
          <t>Trimestral</t>
        </is>
      </c>
      <c r="E1525" t="inlineStr">
        <is>
          <t>Positivo</t>
        </is>
      </c>
      <c r="F1525" s="111" t="n">
        <v>45838</v>
      </c>
      <c r="G1525" t="n">
        <v>2025</v>
      </c>
      <c r="H1525" t="inlineStr">
        <is>
          <t>Junio</t>
        </is>
      </c>
      <c r="I1525" t="inlineStr">
        <is>
          <t>2025-1</t>
        </is>
      </c>
      <c r="J1525" t="n">
        <v>100</v>
      </c>
      <c r="L1525" s="39" t="n"/>
      <c r="M1525" s="39" t="n"/>
      <c r="N1525" t="inlineStr">
        <is>
          <t>ENT</t>
        </is>
      </c>
      <c r="O1525" t="inlineStr">
        <is>
          <t>No Aplica</t>
        </is>
      </c>
      <c r="P1525" t="n">
        <v>1</v>
      </c>
      <c r="Q1525" t="n">
        <v>1</v>
      </c>
      <c r="R1525" t="inlineStr">
        <is>
          <t>466-2025-06-30</t>
        </is>
      </c>
      <c r="S1525" t="inlineStr">
        <is>
          <t>No Aplica</t>
        </is>
      </c>
    </row>
    <row r="1526">
      <c r="A1526" t="n">
        <v>466</v>
      </c>
      <c r="B1526" t="inlineStr">
        <is>
          <t>NPS Estudiantes</t>
        </is>
      </c>
      <c r="C1526" t="inlineStr">
        <is>
          <t>EXPERIENCIA INSTITUCIONAL</t>
        </is>
      </c>
      <c r="D1526" t="inlineStr">
        <is>
          <t>Semestral</t>
        </is>
      </c>
      <c r="E1526" t="inlineStr">
        <is>
          <t>Positivo</t>
        </is>
      </c>
      <c r="F1526" s="111" t="n">
        <v>46022</v>
      </c>
      <c r="G1526" t="n">
        <v>2025</v>
      </c>
      <c r="H1526" t="inlineStr">
        <is>
          <t>Diciembre</t>
        </is>
      </c>
      <c r="I1526" t="inlineStr">
        <is>
          <t>2025-2</t>
        </is>
      </c>
      <c r="J1526" t="n">
        <v>100</v>
      </c>
      <c r="K1526" t="n">
        <v>106.55</v>
      </c>
      <c r="L1526" s="39">
        <f>IFERROR(IF(OR(J1526=0,K1526=""),"",IF(E1526="Positivo",MIN(MAX(K1526/J1526,0),1.3),MIN(MAX(J1526/K1526,0),1.3))),"") </f>
        <v/>
      </c>
      <c r="M1526" s="39">
        <f>IFERROR(IF(OR(J1526=0,K1526=""),"",IF(E1526="Positivo",MAX(K1526/J1526,0),MAX(J1526/K1526,0))),"") </f>
        <v/>
      </c>
      <c r="O1526" t="inlineStr">
        <is>
          <t>DEC</t>
        </is>
      </c>
      <c r="P1526" t="n">
        <v>0</v>
      </c>
      <c r="Q1526" t="n">
        <v>0</v>
      </c>
      <c r="R1526" t="inlineStr">
        <is>
          <t>466-2025-12-31</t>
        </is>
      </c>
    </row>
    <row r="1527">
      <c r="A1527" t="n">
        <v>467</v>
      </c>
      <c r="B1527" t="inlineStr">
        <is>
          <t>NPS Graduados</t>
        </is>
      </c>
      <c r="C1527" t="inlineStr">
        <is>
          <t>EXPERIENCIA INSTITUCIONAL</t>
        </is>
      </c>
      <c r="D1527" t="inlineStr">
        <is>
          <t>Semestral</t>
        </is>
      </c>
      <c r="E1527" t="inlineStr">
        <is>
          <t>Positivo</t>
        </is>
      </c>
      <c r="F1527" s="111" t="n">
        <v>45473</v>
      </c>
      <c r="G1527" t="n">
        <v>2024</v>
      </c>
      <c r="H1527" t="inlineStr">
        <is>
          <t>Junio</t>
        </is>
      </c>
      <c r="I1527" t="inlineStr">
        <is>
          <t>2024-1</t>
        </is>
      </c>
      <c r="J1527" t="n">
        <v>100</v>
      </c>
      <c r="K1527" t="n">
        <v>121.25</v>
      </c>
      <c r="L1527" s="39">
        <f>IFERROR(IF(OR(J1527=0,K1527=""),"",IF(E1527="Positivo",MIN(MAX(K1527/J1527,0),1.3),MIN(MAX(J1527/K1527,0),1.3))),"") </f>
        <v/>
      </c>
      <c r="M1527" s="39">
        <f>IFERROR(IF(OR(J1527=0,K1527=""),"",IF(E1527="Positivo",MAX(K1527/J1527,0),MAX(J1527/K1527,0))),"") </f>
        <v/>
      </c>
      <c r="P1527" t="n">
        <v>0</v>
      </c>
      <c r="Q1527" t="n">
        <v>0</v>
      </c>
      <c r="R1527" t="inlineStr">
        <is>
          <t>467-2024-06-30</t>
        </is>
      </c>
    </row>
    <row r="1528">
      <c r="A1528" t="n">
        <v>467</v>
      </c>
      <c r="B1528" t="inlineStr">
        <is>
          <t>NPS Graduados</t>
        </is>
      </c>
      <c r="C1528" t="inlineStr">
        <is>
          <t>EXPERIENCIA INSTITUCIONAL</t>
        </is>
      </c>
      <c r="D1528" t="inlineStr">
        <is>
          <t>Semestral</t>
        </is>
      </c>
      <c r="E1528" t="inlineStr">
        <is>
          <t>Positivo</t>
        </is>
      </c>
      <c r="F1528" s="111" t="n">
        <v>45657</v>
      </c>
      <c r="G1528" t="n">
        <v>2024</v>
      </c>
      <c r="H1528" t="inlineStr">
        <is>
          <t>Diciembre</t>
        </is>
      </c>
      <c r="I1528" t="inlineStr">
        <is>
          <t>2024-2</t>
        </is>
      </c>
      <c r="J1528" t="n">
        <v>100</v>
      </c>
      <c r="K1528" t="n">
        <v>121.83</v>
      </c>
      <c r="L1528" s="39">
        <f>IFERROR(IF(OR(J1528=0,K1528=""),"",IF(E1528="Positivo",MIN(MAX(K1528/J1528,0),1.3),MIN(MAX(J1528/K1528,0),1.3))),"") </f>
        <v/>
      </c>
      <c r="M1528" s="39">
        <f>IFERROR(IF(OR(J1528=0,K1528=""),"",IF(E1528="Positivo",MAX(K1528/J1528,0),MAX(J1528/K1528,0))),"") </f>
        <v/>
      </c>
      <c r="P1528" t="n">
        <v>0</v>
      </c>
      <c r="Q1528" t="n">
        <v>0</v>
      </c>
      <c r="R1528" t="inlineStr">
        <is>
          <t>467-2024-12-31</t>
        </is>
      </c>
    </row>
    <row r="1529">
      <c r="A1529" t="n">
        <v>467</v>
      </c>
      <c r="B1529" t="inlineStr">
        <is>
          <t>NPS Graduados</t>
        </is>
      </c>
      <c r="C1529" t="inlineStr">
        <is>
          <t>EXPERIENCIA INSTITUCIONAL</t>
        </is>
      </c>
      <c r="D1529" t="inlineStr">
        <is>
          <t>Trimestral</t>
        </is>
      </c>
      <c r="E1529" t="inlineStr">
        <is>
          <t>Positivo</t>
        </is>
      </c>
      <c r="F1529" s="111" t="n">
        <v>45838</v>
      </c>
      <c r="G1529" t="n">
        <v>2025</v>
      </c>
      <c r="H1529" t="inlineStr">
        <is>
          <t>Junio</t>
        </is>
      </c>
      <c r="I1529" t="inlineStr">
        <is>
          <t>2025-1</t>
        </is>
      </c>
      <c r="J1529" t="n">
        <v>100</v>
      </c>
      <c r="K1529" t="n">
        <v>118</v>
      </c>
      <c r="L1529" s="39">
        <f>IFERROR(IF(OR(J1529=0,K1529=""),"",IF(E1529="Positivo",MIN(MAX(K1529/J1529,0),1.3),MIN(MAX(J1529/K1529,0),1.3))),"") </f>
        <v/>
      </c>
      <c r="M1529" s="39">
        <f>IFERROR(IF(OR(J1529=0,K1529=""),"",IF(E1529="Positivo",MAX(K1529/J1529,0),MAX(J1529/K1529,0))),"") </f>
        <v/>
      </c>
      <c r="N1529" t="inlineStr">
        <is>
          <t>ENT</t>
        </is>
      </c>
      <c r="O1529" t="inlineStr">
        <is>
          <t>DEC</t>
        </is>
      </c>
      <c r="P1529" t="n">
        <v>0</v>
      </c>
      <c r="Q1529" t="n">
        <v>1</v>
      </c>
      <c r="R1529" t="inlineStr">
        <is>
          <t>467-2025-06-30</t>
        </is>
      </c>
    </row>
    <row r="1530">
      <c r="A1530" t="n">
        <v>467</v>
      </c>
      <c r="B1530" t="inlineStr">
        <is>
          <t>NPS Graduados</t>
        </is>
      </c>
      <c r="C1530" t="inlineStr">
        <is>
          <t>EXPERIENCIA INSTITUCIONAL</t>
        </is>
      </c>
      <c r="D1530" t="inlineStr">
        <is>
          <t>Trimestral</t>
        </is>
      </c>
      <c r="E1530" t="inlineStr">
        <is>
          <t>Positivo</t>
        </is>
      </c>
      <c r="F1530" s="111" t="n">
        <v>46022</v>
      </c>
      <c r="G1530" t="n">
        <v>2025</v>
      </c>
      <c r="H1530" t="inlineStr">
        <is>
          <t>Diciembre</t>
        </is>
      </c>
      <c r="I1530" t="inlineStr">
        <is>
          <t>2025-2</t>
        </is>
      </c>
      <c r="J1530" t="n">
        <v>100</v>
      </c>
      <c r="K1530" t="n">
        <v>99.5</v>
      </c>
      <c r="L1530" s="39">
        <f>IFERROR(IF(OR(J1530=0,K1530=""),"",IF(E1530="Positivo",MIN(MAX(K1530/J1530,0),1.3),MIN(MAX(J1530/K1530,0),1.3))),"") </f>
        <v/>
      </c>
      <c r="M1530" s="39">
        <f>IFERROR(IF(OR(J1530=0,K1530=""),"",IF(E1530="Positivo",MAX(K1530/J1530,0),MAX(J1530/K1530,0))),"") </f>
        <v/>
      </c>
      <c r="N1530" t="inlineStr">
        <is>
          <t>ENT</t>
        </is>
      </c>
      <c r="O1530" t="inlineStr">
        <is>
          <t>DEC</t>
        </is>
      </c>
      <c r="P1530" t="n">
        <v>0</v>
      </c>
      <c r="Q1530" t="n">
        <v>1</v>
      </c>
      <c r="R1530" t="inlineStr">
        <is>
          <t>467-2025-12-31</t>
        </is>
      </c>
    </row>
    <row r="1531">
      <c r="A1531" t="n">
        <v>468</v>
      </c>
      <c r="B1531" t="inlineStr">
        <is>
          <t>CES General</t>
        </is>
      </c>
      <c r="C1531" t="inlineStr">
        <is>
          <t>EXPERIENCIA INSTITUCIONAL</t>
        </is>
      </c>
      <c r="D1531" t="inlineStr">
        <is>
          <t>Semestral</t>
        </is>
      </c>
      <c r="E1531" t="inlineStr">
        <is>
          <t>Negativo</t>
        </is>
      </c>
      <c r="F1531" s="111" t="n">
        <v>45473</v>
      </c>
      <c r="G1531" t="n">
        <v>2024</v>
      </c>
      <c r="H1531" t="inlineStr">
        <is>
          <t>Junio</t>
        </is>
      </c>
      <c r="I1531" t="inlineStr">
        <is>
          <t>2024-1</t>
        </is>
      </c>
      <c r="J1531" t="n">
        <v>3</v>
      </c>
      <c r="K1531" t="n">
        <v>2.85</v>
      </c>
      <c r="L1531" s="39">
        <f>IFERROR(IF(OR(J1531=0,K1531=""),"",IF(E1531="Positivo",MIN(MAX(K1531/J1531,0),1.3),MIN(MAX(J1531/K1531,0),1.3))),"") </f>
        <v/>
      </c>
      <c r="M1531" s="39">
        <f>IFERROR(IF(OR(J1531=0,K1531=""),"",IF(E1531="Positivo",MAX(K1531/J1531,0),MAX(J1531/K1531,0))),"") </f>
        <v/>
      </c>
      <c r="P1531" t="n">
        <v>0</v>
      </c>
      <c r="Q1531" t="n">
        <v>0</v>
      </c>
      <c r="R1531" t="inlineStr">
        <is>
          <t>468-2024-06-30</t>
        </is>
      </c>
    </row>
    <row r="1532">
      <c r="A1532" t="n">
        <v>468</v>
      </c>
      <c r="B1532" t="inlineStr">
        <is>
          <t>CES General</t>
        </is>
      </c>
      <c r="C1532" t="inlineStr">
        <is>
          <t>EXPERIENCIA INSTITUCIONAL</t>
        </is>
      </c>
      <c r="D1532" t="inlineStr">
        <is>
          <t>Semestral</t>
        </is>
      </c>
      <c r="E1532" t="inlineStr">
        <is>
          <t>Negativo</t>
        </is>
      </c>
      <c r="F1532" s="111" t="n">
        <v>45657</v>
      </c>
      <c r="G1532" t="n">
        <v>2024</v>
      </c>
      <c r="H1532" t="inlineStr">
        <is>
          <t>Diciembre</t>
        </is>
      </c>
      <c r="I1532" t="inlineStr">
        <is>
          <t>2024-2</t>
        </is>
      </c>
      <c r="J1532" t="n">
        <v>3</v>
      </c>
      <c r="K1532" t="n">
        <v>2.6</v>
      </c>
      <c r="L1532" s="39">
        <f>IFERROR(IF(OR(J1532=0,K1532=""),"",IF(E1532="Positivo",MIN(MAX(K1532/J1532,0),1.3),MIN(MAX(J1532/K1532,0),1.3))),"") </f>
        <v/>
      </c>
      <c r="M1532" s="39">
        <f>IFERROR(IF(OR(J1532=0,K1532=""),"",IF(E1532="Positivo",MAX(K1532/J1532,0),MAX(J1532/K1532,0))),"") </f>
        <v/>
      </c>
      <c r="P1532" t="n">
        <v>0</v>
      </c>
      <c r="Q1532" t="n">
        <v>0</v>
      </c>
      <c r="R1532" t="inlineStr">
        <is>
          <t>468-2024-12-31</t>
        </is>
      </c>
    </row>
    <row r="1533">
      <c r="A1533" t="n">
        <v>468</v>
      </c>
      <c r="B1533" t="inlineStr">
        <is>
          <t>CES General</t>
        </is>
      </c>
      <c r="C1533" t="inlineStr">
        <is>
          <t>EXPERIENCIA INSTITUCIONAL</t>
        </is>
      </c>
      <c r="D1533" t="inlineStr">
        <is>
          <t>Trimestral</t>
        </is>
      </c>
      <c r="E1533" t="inlineStr">
        <is>
          <t>Negativo</t>
        </is>
      </c>
      <c r="F1533" s="111" t="n">
        <v>45838</v>
      </c>
      <c r="G1533" t="n">
        <v>2025</v>
      </c>
      <c r="H1533" t="inlineStr">
        <is>
          <t>Junio</t>
        </is>
      </c>
      <c r="I1533" t="inlineStr">
        <is>
          <t>2025-1</t>
        </is>
      </c>
      <c r="J1533" t="n">
        <v>2.5</v>
      </c>
      <c r="K1533" t="n">
        <v>2.4</v>
      </c>
      <c r="L1533" s="39">
        <f>IFERROR(IF(OR(J1533=0,K1533=""),"",IF(E1533="Positivo",MIN(MAX(K1533/J1533,0),1.3),MIN(MAX(J1533/K1533,0),1.3))),"") </f>
        <v/>
      </c>
      <c r="M1533" s="39">
        <f>IFERROR(IF(OR(J1533=0,K1533=""),"",IF(E1533="Positivo",MAX(K1533/J1533,0),MAX(J1533/K1533,0))),"") </f>
        <v/>
      </c>
      <c r="N1533" t="inlineStr">
        <is>
          <t>DEC</t>
        </is>
      </c>
      <c r="O1533" t="inlineStr">
        <is>
          <t>DEC</t>
        </is>
      </c>
      <c r="P1533" t="n">
        <v>1</v>
      </c>
      <c r="Q1533" t="n">
        <v>1</v>
      </c>
      <c r="R1533" t="inlineStr">
        <is>
          <t>468-2025-06-30</t>
        </is>
      </c>
    </row>
    <row r="1534">
      <c r="A1534" t="n">
        <v>468</v>
      </c>
      <c r="B1534" t="inlineStr">
        <is>
          <t>CES General</t>
        </is>
      </c>
      <c r="C1534" t="inlineStr">
        <is>
          <t>EXPERIENCIA INSTITUCIONAL</t>
        </is>
      </c>
      <c r="D1534" t="inlineStr">
        <is>
          <t>Trimestral</t>
        </is>
      </c>
      <c r="E1534" t="inlineStr">
        <is>
          <t>Negativo</t>
        </is>
      </c>
      <c r="F1534" s="111" t="n">
        <v>46022</v>
      </c>
      <c r="G1534" t="n">
        <v>2025</v>
      </c>
      <c r="H1534" t="inlineStr">
        <is>
          <t>Diciembre</t>
        </is>
      </c>
      <c r="I1534" t="inlineStr">
        <is>
          <t>2025-2</t>
        </is>
      </c>
      <c r="J1534" t="n">
        <v>2.5</v>
      </c>
      <c r="K1534" t="n">
        <v>2.1</v>
      </c>
      <c r="L1534" s="39">
        <f>IFERROR(IF(OR(J1534=0,K1534=""),"",IF(E1534="Positivo",MIN(MAX(K1534/J1534,0),1.3),MIN(MAX(J1534/K1534,0),1.3))),"") </f>
        <v/>
      </c>
      <c r="M1534" s="39">
        <f>IFERROR(IF(OR(J1534=0,K1534=""),"",IF(E1534="Positivo",MAX(K1534/J1534,0),MAX(J1534/K1534,0))),"") </f>
        <v/>
      </c>
      <c r="N1534" t="inlineStr">
        <is>
          <t>DEC</t>
        </is>
      </c>
      <c r="O1534" t="inlineStr">
        <is>
          <t>DEC</t>
        </is>
      </c>
      <c r="P1534" t="n">
        <v>1</v>
      </c>
      <c r="Q1534" t="n">
        <v>1</v>
      </c>
      <c r="R1534" t="inlineStr">
        <is>
          <t>468-2025-12-31</t>
        </is>
      </c>
    </row>
    <row r="1535">
      <c r="A1535" t="n">
        <v>469</v>
      </c>
      <c r="B1535" t="inlineStr">
        <is>
          <t>Cumplimiento Plan Anual Áreas sede Medellín</t>
        </is>
      </c>
      <c r="C1535" t="inlineStr">
        <is>
          <t>Planeación Estratégica</t>
        </is>
      </c>
      <c r="D1535" t="inlineStr">
        <is>
          <t>Trimestral</t>
        </is>
      </c>
      <c r="E1535" t="inlineStr">
        <is>
          <t>Positivo</t>
        </is>
      </c>
      <c r="F1535" s="111" t="n">
        <v>45473</v>
      </c>
      <c r="G1535" t="n">
        <v>2024</v>
      </c>
      <c r="H1535" t="inlineStr">
        <is>
          <t>Junio</t>
        </is>
      </c>
      <c r="I1535" t="inlineStr">
        <is>
          <t>2024-1</t>
        </is>
      </c>
      <c r="J1535" t="n">
        <v>100</v>
      </c>
      <c r="K1535" t="n">
        <v>114.33</v>
      </c>
      <c r="L1535" s="39">
        <f>IFERROR(IF(OR(J1535=0,K1535=""),"",IF(E1535="Positivo",MIN(MAX(K1535/J1535,0),1.0),MIN(MAX(J1535/K1535,0),1.0))),"") </f>
        <v/>
      </c>
      <c r="M1535" s="39">
        <f>IFERROR(IF(OR(J1535=0,K1535=""),"",IF(E1535="Positivo",MAX(K1535/J1535,0),MAX(J1535/K1535,0))),"") </f>
        <v/>
      </c>
      <c r="P1535" t="n">
        <v>0</v>
      </c>
      <c r="Q1535" t="n">
        <v>0</v>
      </c>
      <c r="R1535" t="inlineStr">
        <is>
          <t>469-2024-06-30</t>
        </is>
      </c>
    </row>
    <row r="1536">
      <c r="A1536" t="n">
        <v>469</v>
      </c>
      <c r="B1536" t="inlineStr">
        <is>
          <t>Cumplimiento Plan Anual Áreas sede Medellín</t>
        </is>
      </c>
      <c r="C1536" t="inlineStr">
        <is>
          <t>Planeación Estratégica</t>
        </is>
      </c>
      <c r="D1536" t="inlineStr">
        <is>
          <t>Trimestral</t>
        </is>
      </c>
      <c r="E1536" t="inlineStr">
        <is>
          <t>Positivo</t>
        </is>
      </c>
      <c r="F1536" s="111" t="n">
        <v>45657</v>
      </c>
      <c r="G1536" t="n">
        <v>2024</v>
      </c>
      <c r="H1536" t="inlineStr">
        <is>
          <t>Diciembre</t>
        </is>
      </c>
      <c r="I1536" t="inlineStr">
        <is>
          <t>2024-2</t>
        </is>
      </c>
      <c r="J1536" t="n">
        <v>100</v>
      </c>
      <c r="K1536" t="n">
        <v>99.7</v>
      </c>
      <c r="L1536" s="39">
        <f>IFERROR(IF(OR(J1536=0,K1536=""),"",IF(E1536="Positivo",MIN(MAX(K1536/J1536,0),1.0),MIN(MAX(J1536/K1536,0),1.0))),"") </f>
        <v/>
      </c>
      <c r="M1536" s="39">
        <f>IFERROR(IF(OR(J1536=0,K1536=""),"",IF(E1536="Positivo",MAX(K1536/J1536,0),MAX(J1536/K1536,0))),"") </f>
        <v/>
      </c>
      <c r="P1536" t="n">
        <v>0</v>
      </c>
      <c r="Q1536" t="n">
        <v>0</v>
      </c>
      <c r="R1536" t="inlineStr">
        <is>
          <t>469-2024-12-31</t>
        </is>
      </c>
    </row>
    <row r="1537">
      <c r="A1537" t="n">
        <v>469</v>
      </c>
      <c r="B1537" t="inlineStr">
        <is>
          <t>Cumplimiento Plan Anual Áreas sede Medellín</t>
        </is>
      </c>
      <c r="C1537" t="inlineStr">
        <is>
          <t>Planeación Estratégica</t>
        </is>
      </c>
      <c r="D1537" t="inlineStr">
        <is>
          <t>Semestral</t>
        </is>
      </c>
      <c r="E1537" t="inlineStr">
        <is>
          <t>Positivo</t>
        </is>
      </c>
      <c r="F1537" s="111" t="n">
        <v>45838</v>
      </c>
      <c r="G1537" t="n">
        <v>2025</v>
      </c>
      <c r="H1537" t="inlineStr">
        <is>
          <t>Junio</t>
        </is>
      </c>
      <c r="I1537" t="inlineStr">
        <is>
          <t>2025-1</t>
        </is>
      </c>
      <c r="J1537" t="n">
        <v>100</v>
      </c>
      <c r="K1537" t="n">
        <v>103.52</v>
      </c>
      <c r="L1537" s="39">
        <f>IFERROR(IF(OR(J1537=0,K1537=""),"",IF(E1537="Positivo",MIN(MAX(K1537/J1537,0),1.0),MIN(MAX(J1537/K1537,0),1.0))),"") </f>
        <v/>
      </c>
      <c r="M1537" s="39">
        <f>IFERROR(IF(OR(J1537=0,K1537=""),"",IF(E1537="Positivo",MAX(K1537/J1537,0),MAX(J1537/K1537,0))),"") </f>
        <v/>
      </c>
      <c r="N1537" t="inlineStr">
        <is>
          <t>%</t>
        </is>
      </c>
      <c r="O1537" t="inlineStr">
        <is>
          <t>%</t>
        </is>
      </c>
      <c r="P1537" t="n">
        <v>0</v>
      </c>
      <c r="Q1537" t="n">
        <v>0</v>
      </c>
      <c r="R1537" t="inlineStr">
        <is>
          <t>469-2025-06-30</t>
        </is>
      </c>
    </row>
    <row r="1538">
      <c r="A1538" t="n">
        <v>469</v>
      </c>
      <c r="B1538" t="inlineStr">
        <is>
          <t>Cumplimiento Plan Anual Áreas sede Medellín</t>
        </is>
      </c>
      <c r="C1538" t="inlineStr">
        <is>
          <t>Planeación Estratégica</t>
        </is>
      </c>
      <c r="D1538" t="inlineStr">
        <is>
          <t>Semestral</t>
        </is>
      </c>
      <c r="E1538" t="inlineStr">
        <is>
          <t>Positivo</t>
        </is>
      </c>
      <c r="F1538" s="111" t="n">
        <v>46022</v>
      </c>
      <c r="G1538" t="n">
        <v>2025</v>
      </c>
      <c r="H1538" t="inlineStr">
        <is>
          <t>Diciembre</t>
        </is>
      </c>
      <c r="I1538" t="inlineStr">
        <is>
          <t>2025-2</t>
        </is>
      </c>
      <c r="J1538" t="n">
        <v>100</v>
      </c>
      <c r="K1538" t="n">
        <v>99.13</v>
      </c>
      <c r="L1538" s="39">
        <f>IFERROR(IF(OR(J1538=0,K1538=""),"",IF(E1538="Positivo",MIN(MAX(K1538/J1538,0),1.0),MIN(MAX(J1538/K1538,0),1.0))),"") </f>
        <v/>
      </c>
      <c r="M1538" s="39">
        <f>IFERROR(IF(OR(J1538=0,K1538=""),"",IF(E1538="Positivo",MAX(K1538/J1538,0),MAX(J1538/K1538,0))),"") </f>
        <v/>
      </c>
      <c r="N1538" t="inlineStr">
        <is>
          <t>%</t>
        </is>
      </c>
      <c r="O1538" t="inlineStr">
        <is>
          <t>%</t>
        </is>
      </c>
      <c r="P1538" t="n">
        <v>0</v>
      </c>
      <c r="Q1538" t="n">
        <v>0</v>
      </c>
      <c r="R1538" t="inlineStr">
        <is>
          <t>469-2025-12-31</t>
        </is>
      </c>
    </row>
    <row r="1539">
      <c r="A1539" t="n">
        <v>470</v>
      </c>
      <c r="B1539" t="inlineStr">
        <is>
          <t>Cumplimiento plan anual Secretaria académica y de extensión</t>
        </is>
      </c>
      <c r="C1539" t="inlineStr">
        <is>
          <t>Planeación Estratégica</t>
        </is>
      </c>
      <c r="D1539" t="inlineStr">
        <is>
          <t>Trimestral</t>
        </is>
      </c>
      <c r="E1539" t="inlineStr">
        <is>
          <t>Positivo</t>
        </is>
      </c>
      <c r="F1539" s="111" t="n">
        <v>45473</v>
      </c>
      <c r="G1539" t="n">
        <v>2024</v>
      </c>
      <c r="H1539" t="inlineStr">
        <is>
          <t>Junio</t>
        </is>
      </c>
      <c r="I1539" t="inlineStr">
        <is>
          <t>2024-1</t>
        </is>
      </c>
      <c r="J1539" t="n">
        <v>100</v>
      </c>
      <c r="K1539" t="n">
        <v>118.1</v>
      </c>
      <c r="L1539" s="39">
        <f>IFERROR(IF(OR(J1539=0,K1539=""),"",IF(E1539="Positivo",MIN(MAX(K1539/J1539,0),1.0),MIN(MAX(J1539/K1539,0),1.0))),"") </f>
        <v/>
      </c>
      <c r="M1539" s="39">
        <f>IFERROR(IF(OR(J1539=0,K1539=""),"",IF(E1539="Positivo",MAX(K1539/J1539,0),MAX(J1539/K1539,0))),"") </f>
        <v/>
      </c>
      <c r="P1539" t="n">
        <v>0</v>
      </c>
      <c r="Q1539" t="n">
        <v>0</v>
      </c>
      <c r="R1539" t="inlineStr">
        <is>
          <t>470-2024-06-30</t>
        </is>
      </c>
    </row>
    <row r="1540">
      <c r="A1540" t="n">
        <v>470</v>
      </c>
      <c r="B1540" t="inlineStr">
        <is>
          <t>Cumplimiento plan anual Secretaria académica y de extensión</t>
        </is>
      </c>
      <c r="C1540" t="inlineStr">
        <is>
          <t>Planeación Estratégica</t>
        </is>
      </c>
      <c r="D1540" t="inlineStr">
        <is>
          <t>Trimestral</t>
        </is>
      </c>
      <c r="E1540" t="inlineStr">
        <is>
          <t>Positivo</t>
        </is>
      </c>
      <c r="F1540" s="111" t="n">
        <v>45657</v>
      </c>
      <c r="G1540" t="n">
        <v>2024</v>
      </c>
      <c r="H1540" t="inlineStr">
        <is>
          <t>Diciembre</t>
        </is>
      </c>
      <c r="I1540" t="inlineStr">
        <is>
          <t>2024-2</t>
        </is>
      </c>
      <c r="J1540" t="n">
        <v>100</v>
      </c>
      <c r="K1540" t="n">
        <v>100</v>
      </c>
      <c r="L1540" s="39">
        <f>IFERROR(IF(OR(J1540=0,K1540=""),"",IF(E1540="Positivo",MIN(MAX(K1540/J1540,0),1.0),MIN(MAX(J1540/K1540,0),1.0))),"") </f>
        <v/>
      </c>
      <c r="M1540" s="39">
        <f>IFERROR(IF(OR(J1540=0,K1540=""),"",IF(E1540="Positivo",MAX(K1540/J1540,0),MAX(J1540/K1540,0))),"") </f>
        <v/>
      </c>
      <c r="P1540" t="n">
        <v>0</v>
      </c>
      <c r="Q1540" t="n">
        <v>0</v>
      </c>
      <c r="R1540" t="inlineStr">
        <is>
          <t>470-2024-12-31</t>
        </is>
      </c>
    </row>
    <row r="1541">
      <c r="A1541" t="n">
        <v>470</v>
      </c>
      <c r="B1541" t="inlineStr">
        <is>
          <t>Cumplimiento plan anual Secretaria académica y de extensión</t>
        </is>
      </c>
      <c r="C1541" t="inlineStr">
        <is>
          <t>Planeación Estratégica</t>
        </is>
      </c>
      <c r="D1541" t="inlineStr">
        <is>
          <t>Semestral</t>
        </is>
      </c>
      <c r="E1541" t="inlineStr">
        <is>
          <t>Positivo</t>
        </is>
      </c>
      <c r="F1541" s="111" t="n">
        <v>45838</v>
      </c>
      <c r="G1541" t="n">
        <v>2025</v>
      </c>
      <c r="H1541" t="inlineStr">
        <is>
          <t>Junio</t>
        </is>
      </c>
      <c r="I1541" t="inlineStr">
        <is>
          <t>2025-1</t>
        </is>
      </c>
      <c r="J1541" t="n">
        <v>100</v>
      </c>
      <c r="K1541" t="n">
        <v>148.38</v>
      </c>
      <c r="L1541" s="39">
        <f>IFERROR(IF(OR(J1541=0,K1541=""),"",IF(E1541="Positivo",MIN(MAX(K1541/J1541,0),1.0),MIN(MAX(J1541/K1541,0),1.0))),"") </f>
        <v/>
      </c>
      <c r="M1541" s="39">
        <f>IFERROR(IF(OR(J1541=0,K1541=""),"",IF(E1541="Positivo",MAX(K1541/J1541,0),MAX(J1541/K1541,0))),"") </f>
        <v/>
      </c>
      <c r="N1541" t="inlineStr">
        <is>
          <t>%</t>
        </is>
      </c>
      <c r="O1541" t="inlineStr">
        <is>
          <t>%</t>
        </is>
      </c>
      <c r="P1541" t="n">
        <v>0</v>
      </c>
      <c r="Q1541" t="n">
        <v>0</v>
      </c>
      <c r="R1541" t="inlineStr">
        <is>
          <t>470-2025-06-30</t>
        </is>
      </c>
    </row>
    <row r="1542">
      <c r="A1542" t="n">
        <v>470</v>
      </c>
      <c r="B1542" t="inlineStr">
        <is>
          <t>Cumplimiento plan anual Secretaria académica y de extensión</t>
        </is>
      </c>
      <c r="C1542" t="inlineStr">
        <is>
          <t>Planeación Estratégica</t>
        </is>
      </c>
      <c r="D1542" t="inlineStr">
        <is>
          <t>Semestral</t>
        </is>
      </c>
      <c r="E1542" t="inlineStr">
        <is>
          <t>Positivo</t>
        </is>
      </c>
      <c r="F1542" s="111" t="n">
        <v>46022</v>
      </c>
      <c r="G1542" t="n">
        <v>2025</v>
      </c>
      <c r="H1542" t="inlineStr">
        <is>
          <t>Diciembre</t>
        </is>
      </c>
      <c r="I1542" t="inlineStr">
        <is>
          <t>2025-2</t>
        </is>
      </c>
      <c r="J1542" t="n">
        <v>100</v>
      </c>
      <c r="K1542" t="n">
        <v>100</v>
      </c>
      <c r="L1542" s="39">
        <f>IFERROR(IF(OR(J1542=0,K1542=""),"",IF(E1542="Positivo",MIN(MAX(K1542/J1542,0),1.0),MIN(MAX(J1542/K1542,0),1.0))),"") </f>
        <v/>
      </c>
      <c r="M1542" s="39">
        <f>IFERROR(IF(OR(J1542=0,K1542=""),"",IF(E1542="Positivo",MAX(K1542/J1542,0),MAX(J1542/K1542,0))),"") </f>
        <v/>
      </c>
      <c r="N1542" t="inlineStr">
        <is>
          <t>%</t>
        </is>
      </c>
      <c r="O1542" t="inlineStr">
        <is>
          <t>%</t>
        </is>
      </c>
      <c r="P1542" t="n">
        <v>0</v>
      </c>
      <c r="Q1542" t="n">
        <v>0</v>
      </c>
      <c r="R1542" t="inlineStr">
        <is>
          <t>470-2025-12-31</t>
        </is>
      </c>
    </row>
    <row r="1543">
      <c r="A1543" t="n">
        <v>471</v>
      </c>
      <c r="B1543" t="inlineStr">
        <is>
          <t>Cumplimiento plan anual Gerencia de Talento Humano</t>
        </is>
      </c>
      <c r="C1543" t="inlineStr">
        <is>
          <t>Planeación Estratégica</t>
        </is>
      </c>
      <c r="D1543" t="inlineStr">
        <is>
          <t>Trimestral</t>
        </is>
      </c>
      <c r="E1543" t="inlineStr">
        <is>
          <t>Positivo</t>
        </is>
      </c>
      <c r="F1543" s="111" t="n">
        <v>45473</v>
      </c>
      <c r="G1543" t="n">
        <v>2024</v>
      </c>
      <c r="H1543" t="inlineStr">
        <is>
          <t>Junio</t>
        </is>
      </c>
      <c r="I1543" t="inlineStr">
        <is>
          <t>2024-1</t>
        </is>
      </c>
      <c r="J1543" t="n">
        <v>100</v>
      </c>
      <c r="K1543" t="n">
        <v>105.56</v>
      </c>
      <c r="L1543" s="39">
        <f>IFERROR(IF(OR(J1543=0,K1543=""),"",IF(E1543="Positivo",MIN(MAX(K1543/J1543,0),1.0),MIN(MAX(J1543/K1543,0),1.0))),"") </f>
        <v/>
      </c>
      <c r="M1543" s="39">
        <f>IFERROR(IF(OR(J1543=0,K1543=""),"",IF(E1543="Positivo",MAX(K1543/J1543,0),MAX(J1543/K1543,0))),"") </f>
        <v/>
      </c>
      <c r="P1543" t="n">
        <v>0</v>
      </c>
      <c r="Q1543" t="n">
        <v>0</v>
      </c>
      <c r="R1543" t="inlineStr">
        <is>
          <t>471-2024-06-30</t>
        </is>
      </c>
    </row>
    <row r="1544">
      <c r="A1544" t="n">
        <v>471</v>
      </c>
      <c r="B1544" t="inlineStr">
        <is>
          <t>Cumplimiento plan anual Gerencia de Talento Humano</t>
        </is>
      </c>
      <c r="C1544" t="inlineStr">
        <is>
          <t>Planeación Estratégica</t>
        </is>
      </c>
      <c r="D1544" t="inlineStr">
        <is>
          <t>Trimestral</t>
        </is>
      </c>
      <c r="E1544" t="inlineStr">
        <is>
          <t>Positivo</t>
        </is>
      </c>
      <c r="F1544" s="111" t="n">
        <v>45657</v>
      </c>
      <c r="G1544" t="n">
        <v>2024</v>
      </c>
      <c r="H1544" t="inlineStr">
        <is>
          <t>Diciembre</t>
        </is>
      </c>
      <c r="I1544" t="inlineStr">
        <is>
          <t>2024-2</t>
        </is>
      </c>
      <c r="J1544" t="n">
        <v>100</v>
      </c>
      <c r="K1544" t="n">
        <v>99</v>
      </c>
      <c r="L1544" s="39">
        <f>IFERROR(IF(OR(J1544=0,K1544=""),"",IF(E1544="Positivo",MIN(MAX(K1544/J1544,0),1.0),MIN(MAX(J1544/K1544,0),1.0))),"") </f>
        <v/>
      </c>
      <c r="M1544" s="39">
        <f>IFERROR(IF(OR(J1544=0,K1544=""),"",IF(E1544="Positivo",MAX(K1544/J1544,0),MAX(J1544/K1544,0))),"") </f>
        <v/>
      </c>
      <c r="P1544" t="n">
        <v>0</v>
      </c>
      <c r="Q1544" t="n">
        <v>0</v>
      </c>
      <c r="R1544" t="inlineStr">
        <is>
          <t>471-2024-12-31</t>
        </is>
      </c>
    </row>
    <row r="1545">
      <c r="A1545" t="n">
        <v>471</v>
      </c>
      <c r="B1545" t="inlineStr">
        <is>
          <t>Cumplimiento plan anual Gerencia de Talento Humano</t>
        </is>
      </c>
      <c r="C1545" t="inlineStr">
        <is>
          <t>Planeación Estratégica</t>
        </is>
      </c>
      <c r="D1545" t="inlineStr">
        <is>
          <t>Semestral</t>
        </is>
      </c>
      <c r="E1545" t="inlineStr">
        <is>
          <t>Positivo</t>
        </is>
      </c>
      <c r="F1545" s="111" t="n">
        <v>45838</v>
      </c>
      <c r="G1545" t="n">
        <v>2025</v>
      </c>
      <c r="H1545" t="inlineStr">
        <is>
          <t>Junio</t>
        </is>
      </c>
      <c r="I1545" t="inlineStr">
        <is>
          <t>2025-1</t>
        </is>
      </c>
      <c r="J1545" t="n">
        <v>100</v>
      </c>
      <c r="K1545" t="n">
        <v>94.02</v>
      </c>
      <c r="L1545" s="39">
        <f>IFERROR(IF(OR(J1545=0,K1545=""),"",IF(E1545="Positivo",MIN(MAX(K1545/J1545,0),1.0),MIN(MAX(J1545/K1545,0),1.0))),"") </f>
        <v/>
      </c>
      <c r="M1545" s="39">
        <f>IFERROR(IF(OR(J1545=0,K1545=""),"",IF(E1545="Positivo",MAX(K1545/J1545,0),MAX(J1545/K1545,0))),"") </f>
        <v/>
      </c>
      <c r="N1545" t="inlineStr">
        <is>
          <t>%</t>
        </is>
      </c>
      <c r="O1545" t="inlineStr">
        <is>
          <t>%</t>
        </is>
      </c>
      <c r="P1545" t="n">
        <v>0</v>
      </c>
      <c r="Q1545" t="n">
        <v>0</v>
      </c>
      <c r="R1545" t="inlineStr">
        <is>
          <t>471-2025-06-30</t>
        </is>
      </c>
    </row>
    <row r="1546">
      <c r="A1546" t="n">
        <v>471</v>
      </c>
      <c r="B1546" t="inlineStr">
        <is>
          <t>Cumplimiento plan anual Gerencia de Talento Humano</t>
        </is>
      </c>
      <c r="C1546" t="inlineStr">
        <is>
          <t>Planeación Estratégica</t>
        </is>
      </c>
      <c r="D1546" t="inlineStr">
        <is>
          <t>Semestral</t>
        </is>
      </c>
      <c r="E1546" t="inlineStr">
        <is>
          <t>Positivo</t>
        </is>
      </c>
      <c r="F1546" s="111" t="n">
        <v>46022</v>
      </c>
      <c r="G1546" t="n">
        <v>2025</v>
      </c>
      <c r="H1546" t="inlineStr">
        <is>
          <t>Diciembre</t>
        </is>
      </c>
      <c r="I1546" t="inlineStr">
        <is>
          <t>2025-2</t>
        </is>
      </c>
      <c r="J1546" t="n">
        <v>100</v>
      </c>
      <c r="K1546" t="n">
        <v>99.86</v>
      </c>
      <c r="L1546" s="39">
        <f>IFERROR(IF(OR(J1546=0,K1546=""),"",IF(E1546="Positivo",MIN(MAX(K1546/J1546,0),1.0),MIN(MAX(J1546/K1546,0),1.0))),"") </f>
        <v/>
      </c>
      <c r="M1546" s="39">
        <f>IFERROR(IF(OR(J1546=0,K1546=""),"",IF(E1546="Positivo",MAX(K1546/J1546,0),MAX(J1546/K1546,0))),"") </f>
        <v/>
      </c>
      <c r="N1546" t="inlineStr">
        <is>
          <t>%</t>
        </is>
      </c>
      <c r="O1546" t="inlineStr">
        <is>
          <t>%</t>
        </is>
      </c>
      <c r="P1546" t="n">
        <v>0</v>
      </c>
      <c r="Q1546" t="n">
        <v>0</v>
      </c>
      <c r="R1546" t="inlineStr">
        <is>
          <t>471-2025-12-31</t>
        </is>
      </c>
    </row>
    <row r="1547">
      <c r="A1547" t="n">
        <v>472</v>
      </c>
      <c r="B1547" t="inlineStr">
        <is>
          <t>Cobertura de Recolección de Variables ADA (Arquitectura de datos para la analitica)</t>
        </is>
      </c>
      <c r="C1547" t="inlineStr">
        <is>
          <t>DATOS Y ANALÍTICA</t>
        </is>
      </c>
      <c r="D1547" t="inlineStr">
        <is>
          <t>Semestral</t>
        </is>
      </c>
      <c r="E1547" t="inlineStr">
        <is>
          <t>Positivo</t>
        </is>
      </c>
      <c r="F1547" s="111" t="n">
        <v>45473</v>
      </c>
      <c r="G1547" t="n">
        <v>2024</v>
      </c>
      <c r="H1547" t="inlineStr">
        <is>
          <t>Junio</t>
        </is>
      </c>
      <c r="I1547" t="inlineStr">
        <is>
          <t>2024-1</t>
        </is>
      </c>
      <c r="J1547" t="n">
        <v>100</v>
      </c>
      <c r="K1547" t="n">
        <v>82.09999999999999</v>
      </c>
      <c r="L1547" s="39">
        <f>IFERROR(IF(OR(J1547=0,K1547=""),"",IF(E1547="Positivo",MIN(MAX(K1547/J1547,0),1.3),MIN(MAX(J1547/K1547,0),1.3))),"") </f>
        <v/>
      </c>
      <c r="M1547" s="39">
        <f>IFERROR(IF(OR(J1547=0,K1547=""),"",IF(E1547="Positivo",MAX(K1547/J1547,0),MAX(J1547/K1547,0))),"") </f>
        <v/>
      </c>
      <c r="P1547" t="n">
        <v>0</v>
      </c>
      <c r="Q1547" t="n">
        <v>0</v>
      </c>
      <c r="R1547" t="inlineStr">
        <is>
          <t>472-2024-06-30</t>
        </is>
      </c>
    </row>
    <row r="1548">
      <c r="A1548" t="n">
        <v>472</v>
      </c>
      <c r="B1548" t="inlineStr">
        <is>
          <t>Cobertura de Recolección de Variables ADA (Arquitectura de datos para la analitica)</t>
        </is>
      </c>
      <c r="C1548" t="inlineStr">
        <is>
          <t>DATOS Y ANALÍTICA</t>
        </is>
      </c>
      <c r="D1548" t="inlineStr">
        <is>
          <t>Semestral</t>
        </is>
      </c>
      <c r="E1548" t="inlineStr">
        <is>
          <t>Positivo</t>
        </is>
      </c>
      <c r="F1548" s="111" t="n">
        <v>45657</v>
      </c>
      <c r="G1548" t="n">
        <v>2024</v>
      </c>
      <c r="H1548" t="inlineStr">
        <is>
          <t>Diciembre</t>
        </is>
      </c>
      <c r="I1548" t="inlineStr">
        <is>
          <t>2024-2</t>
        </is>
      </c>
      <c r="J1548" t="n">
        <v>100</v>
      </c>
      <c r="K1548" t="n">
        <v>100</v>
      </c>
      <c r="L1548" s="39">
        <f>IFERROR(IF(OR(J1548=0,K1548=""),"",IF(E1548="Positivo",MIN(MAX(K1548/J1548,0),1.3),MIN(MAX(J1548/K1548,0),1.3))),"") </f>
        <v/>
      </c>
      <c r="M1548" s="39">
        <f>IFERROR(IF(OR(J1548=0,K1548=""),"",IF(E1548="Positivo",MAX(K1548/J1548,0),MAX(J1548/K1548,0))),"") </f>
        <v/>
      </c>
      <c r="P1548" t="n">
        <v>0</v>
      </c>
      <c r="Q1548" t="n">
        <v>0</v>
      </c>
      <c r="R1548" t="inlineStr">
        <is>
          <t>472-2024-12-31</t>
        </is>
      </c>
    </row>
    <row r="1549">
      <c r="A1549" t="n">
        <v>473</v>
      </c>
      <c r="B1549" t="inlineStr">
        <is>
          <t>Programas con alineación curricular</t>
        </is>
      </c>
      <c r="C1549" t="inlineStr">
        <is>
          <t>Gestión, Evaluación e Innovación Curricular</t>
        </is>
      </c>
      <c r="D1549" t="inlineStr">
        <is>
          <t>Semestral</t>
        </is>
      </c>
      <c r="E1549" t="inlineStr">
        <is>
          <t>Positivo</t>
        </is>
      </c>
      <c r="F1549" s="111" t="n">
        <v>45473</v>
      </c>
      <c r="G1549" t="n">
        <v>2024</v>
      </c>
      <c r="H1549" t="inlineStr">
        <is>
          <t>Junio</t>
        </is>
      </c>
      <c r="I1549" t="inlineStr">
        <is>
          <t>2024-1</t>
        </is>
      </c>
      <c r="J1549" t="n">
        <v>100</v>
      </c>
      <c r="K1549" t="n">
        <v>100</v>
      </c>
      <c r="L1549" s="39">
        <f>IFERROR(IF(OR(J1549=0,K1549=""),"",IF(E1549="Positivo",MIN(MAX(K1549/J1549,0),1.3),MIN(MAX(J1549/K1549,0),1.3))),"") </f>
        <v/>
      </c>
      <c r="M1549" s="39">
        <f>IFERROR(IF(OR(J1549=0,K1549=""),"",IF(E1549="Positivo",MAX(K1549/J1549,0),MAX(J1549/K1549,0))),"") </f>
        <v/>
      </c>
      <c r="P1549" t="n">
        <v>0</v>
      </c>
      <c r="Q1549" t="n">
        <v>0</v>
      </c>
      <c r="R1549" t="inlineStr">
        <is>
          <t>473-2024-06-30</t>
        </is>
      </c>
    </row>
    <row r="1550">
      <c r="A1550" t="n">
        <v>473</v>
      </c>
      <c r="B1550" t="inlineStr">
        <is>
          <t>Programas con planes de estudios definidos</t>
        </is>
      </c>
      <c r="C1550" t="inlineStr">
        <is>
          <t>Gestión, Evaluación e Innovación Curricular</t>
        </is>
      </c>
      <c r="D1550" t="inlineStr">
        <is>
          <t>Semestral</t>
        </is>
      </c>
      <c r="E1550" t="inlineStr">
        <is>
          <t>Positivo</t>
        </is>
      </c>
      <c r="F1550" s="111" t="n">
        <v>45657</v>
      </c>
      <c r="G1550" t="n">
        <v>2024</v>
      </c>
      <c r="H1550" t="inlineStr">
        <is>
          <t>Diciembre</t>
        </is>
      </c>
      <c r="I1550" t="inlineStr">
        <is>
          <t>2024-2</t>
        </is>
      </c>
      <c r="J1550" t="n">
        <v>100</v>
      </c>
      <c r="K1550" t="n">
        <v>100</v>
      </c>
      <c r="L1550" s="39">
        <f>IFERROR(IF(OR(J1550=0,K1550=""),"",IF(E1550="Positivo",MIN(MAX(K1550/J1550,0),1.3),MIN(MAX(J1550/K1550,0),1.3))),"") </f>
        <v/>
      </c>
      <c r="M1550" s="39">
        <f>IFERROR(IF(OR(J1550=0,K1550=""),"",IF(E1550="Positivo",MAX(K1550/J1550,0),MAX(J1550/K1550,0))),"") </f>
        <v/>
      </c>
      <c r="P1550" t="n">
        <v>0</v>
      </c>
      <c r="Q1550" t="n">
        <v>0</v>
      </c>
      <c r="R1550" t="inlineStr">
        <is>
          <t>473-2024-12-31</t>
        </is>
      </c>
    </row>
    <row r="1551">
      <c r="A1551" t="n">
        <v>473</v>
      </c>
      <c r="B1551" t="inlineStr">
        <is>
          <t>Programas con planes de estudios definidos</t>
        </is>
      </c>
      <c r="C1551" t="inlineStr">
        <is>
          <t>Gestión, Evaluación e Innovación Curricular</t>
        </is>
      </c>
      <c r="D1551" t="inlineStr">
        <is>
          <t>Semestral</t>
        </is>
      </c>
      <c r="E1551" t="inlineStr">
        <is>
          <t>Positivo</t>
        </is>
      </c>
      <c r="F1551" s="111" t="n">
        <v>45838</v>
      </c>
      <c r="G1551" t="n">
        <v>2025</v>
      </c>
      <c r="H1551" t="inlineStr">
        <is>
          <t>Junio</t>
        </is>
      </c>
      <c r="I1551" t="inlineStr">
        <is>
          <t>2025-1</t>
        </is>
      </c>
      <c r="J1551" t="n">
        <v>100</v>
      </c>
      <c r="K1551" t="n">
        <v>100</v>
      </c>
      <c r="L1551" s="39">
        <f>IFERROR(IF(OR(J1551=0,K1551=""),"",IF(E1551="Positivo",MIN(MAX(K1551/J1551,0),1.3),MIN(MAX(J1551/K1551,0),1.3))),"") </f>
        <v/>
      </c>
      <c r="M1551" s="39">
        <f>IFERROR(IF(OR(J1551=0,K1551=""),"",IF(E1551="Positivo",MAX(K1551/J1551,0),MAX(J1551/K1551,0))),"") </f>
        <v/>
      </c>
      <c r="P1551" t="n">
        <v>0</v>
      </c>
      <c r="Q1551" t="n">
        <v>0</v>
      </c>
      <c r="R1551" t="inlineStr">
        <is>
          <t>473-2025-06-30</t>
        </is>
      </c>
    </row>
    <row r="1552">
      <c r="A1552" t="n">
        <v>473</v>
      </c>
      <c r="B1552" t="inlineStr">
        <is>
          <t>Programas con planes de estudios definidos</t>
        </is>
      </c>
      <c r="C1552" t="inlineStr">
        <is>
          <t>Gestión, Evaluación e Innovación Curricular</t>
        </is>
      </c>
      <c r="D1552" t="inlineStr">
        <is>
          <t>Trimestral</t>
        </is>
      </c>
      <c r="E1552" t="inlineStr">
        <is>
          <t>Positivo</t>
        </is>
      </c>
      <c r="F1552" s="111" t="n">
        <v>46022</v>
      </c>
      <c r="G1552" t="n">
        <v>2025</v>
      </c>
      <c r="H1552" t="inlineStr">
        <is>
          <t>Diciembre</t>
        </is>
      </c>
      <c r="I1552" t="inlineStr">
        <is>
          <t>2025-2</t>
        </is>
      </c>
      <c r="J1552" t="n">
        <v>100</v>
      </c>
      <c r="L1552" s="39" t="n"/>
      <c r="M1552" s="39" t="n"/>
      <c r="N1552" t="inlineStr">
        <is>
          <t>ENT</t>
        </is>
      </c>
      <c r="O1552" t="inlineStr">
        <is>
          <t>No Aplica</t>
        </is>
      </c>
      <c r="P1552" t="n">
        <v>0</v>
      </c>
      <c r="Q1552" t="n">
        <v>0</v>
      </c>
      <c r="R1552" t="inlineStr">
        <is>
          <t>473-2025-12-31</t>
        </is>
      </c>
      <c r="S1552" t="inlineStr">
        <is>
          <t>No Aplica</t>
        </is>
      </c>
    </row>
    <row r="1553">
      <c r="A1553" t="n">
        <v>474</v>
      </c>
      <c r="B1553" t="inlineStr">
        <is>
          <t>Programas con planes de estudios definidos por escuela (Nuevos Programas)</t>
        </is>
      </c>
      <c r="C1553" t="inlineStr">
        <is>
          <t>Gestión de Unidades Académicas</t>
        </is>
      </c>
      <c r="D1553" t="inlineStr">
        <is>
          <t>Semestral</t>
        </is>
      </c>
      <c r="E1553" t="inlineStr">
        <is>
          <t>Positivo</t>
        </is>
      </c>
      <c r="F1553" s="111" t="n">
        <v>45473</v>
      </c>
      <c r="G1553" t="n">
        <v>2024</v>
      </c>
      <c r="H1553" t="inlineStr">
        <is>
          <t>Junio</t>
        </is>
      </c>
      <c r="I1553" t="inlineStr">
        <is>
          <t>2024-1</t>
        </is>
      </c>
      <c r="J1553" t="n">
        <v>100</v>
      </c>
      <c r="K1553" t="n">
        <v>100</v>
      </c>
      <c r="L1553" s="39">
        <f>IFERROR(IF(OR(J1553=0,K1553=""),"",IF(E1553="Positivo",MIN(MAX(K1553/J1553,0),1.3),MIN(MAX(J1553/K1553,0),1.3))),"") </f>
        <v/>
      </c>
      <c r="M1553" s="39">
        <f>IFERROR(IF(OR(J1553=0,K1553=""),"",IF(E1553="Positivo",MAX(K1553/J1553,0),MAX(J1553/K1553,0))),"") </f>
        <v/>
      </c>
      <c r="P1553" t="n">
        <v>0</v>
      </c>
      <c r="Q1553" t="n">
        <v>0</v>
      </c>
      <c r="R1553" t="inlineStr">
        <is>
          <t>474-2024-06-30</t>
        </is>
      </c>
    </row>
    <row r="1554">
      <c r="A1554" t="n">
        <v>474</v>
      </c>
      <c r="B1554" t="inlineStr">
        <is>
          <t>Programas con planes de estudios definidos por escuela (Nuevos Programas)</t>
        </is>
      </c>
      <c r="C1554" t="inlineStr">
        <is>
          <t>Gestión de Unidades Académicas</t>
        </is>
      </c>
      <c r="D1554" t="inlineStr">
        <is>
          <t>Semestral</t>
        </is>
      </c>
      <c r="E1554" t="inlineStr">
        <is>
          <t>Positivo</t>
        </is>
      </c>
      <c r="F1554" s="111" t="n">
        <v>45657</v>
      </c>
      <c r="G1554" t="n">
        <v>2024</v>
      </c>
      <c r="H1554" t="inlineStr">
        <is>
          <t>Diciembre</t>
        </is>
      </c>
      <c r="I1554" t="inlineStr">
        <is>
          <t>2024-2</t>
        </is>
      </c>
      <c r="J1554" t="n">
        <v>100</v>
      </c>
      <c r="K1554" t="n">
        <v>100</v>
      </c>
      <c r="L1554" s="39">
        <f>IFERROR(IF(OR(J1554=0,K1554=""),"",IF(E1554="Positivo",MIN(MAX(K1554/J1554,0),1.3),MIN(MAX(J1554/K1554,0),1.3))),"") </f>
        <v/>
      </c>
      <c r="M1554" s="39">
        <f>IFERROR(IF(OR(J1554=0,K1554=""),"",IF(E1554="Positivo",MAX(K1554/J1554,0),MAX(J1554/K1554,0))),"") </f>
        <v/>
      </c>
      <c r="P1554" t="n">
        <v>0</v>
      </c>
      <c r="Q1554" t="n">
        <v>0</v>
      </c>
      <c r="R1554" t="inlineStr">
        <is>
          <t>474-2024-12-31</t>
        </is>
      </c>
    </row>
    <row r="1555">
      <c r="A1555" t="n">
        <v>474</v>
      </c>
      <c r="B1555" t="inlineStr">
        <is>
          <t>Programas con planes de estudios definidos por escuela (Nuevos Programas)</t>
        </is>
      </c>
      <c r="C1555" t="inlineStr">
        <is>
          <t>Gestión de Unidades Académicas</t>
        </is>
      </c>
      <c r="D1555" t="inlineStr">
        <is>
          <t>Trimestral</t>
        </is>
      </c>
      <c r="E1555" t="inlineStr">
        <is>
          <t>Positivo</t>
        </is>
      </c>
      <c r="F1555" s="111" t="n">
        <v>45838</v>
      </c>
      <c r="G1555" t="n">
        <v>2025</v>
      </c>
      <c r="H1555" t="inlineStr">
        <is>
          <t>Junio</t>
        </is>
      </c>
      <c r="I1555" t="inlineStr">
        <is>
          <t>2025-1</t>
        </is>
      </c>
      <c r="K1555" t="n">
        <v>0</v>
      </c>
      <c r="L1555" s="39" t="n"/>
      <c r="M1555" s="39" t="n"/>
      <c r="N1555" t="inlineStr">
        <is>
          <t>ENT</t>
        </is>
      </c>
      <c r="O1555" t="inlineStr">
        <is>
          <t>ENT</t>
        </is>
      </c>
      <c r="P1555" t="n">
        <v>0</v>
      </c>
      <c r="Q1555" t="n">
        <v>0</v>
      </c>
      <c r="R1555" t="inlineStr">
        <is>
          <t>474-2025-06-30</t>
        </is>
      </c>
    </row>
    <row r="1556">
      <c r="A1556" t="n">
        <v>474</v>
      </c>
      <c r="B1556" t="inlineStr">
        <is>
          <t>Programas con planes de estudios definidos por escuela (Nuevos Programas)</t>
        </is>
      </c>
      <c r="C1556" t="inlineStr">
        <is>
          <t>Gestión de Unidades Académicas</t>
        </is>
      </c>
      <c r="D1556" t="inlineStr">
        <is>
          <t>Trimestral</t>
        </is>
      </c>
      <c r="E1556" t="inlineStr">
        <is>
          <t>Positivo</t>
        </is>
      </c>
      <c r="F1556" s="111" t="n">
        <v>46022</v>
      </c>
      <c r="G1556" t="n">
        <v>2025</v>
      </c>
      <c r="H1556" t="inlineStr">
        <is>
          <t>Diciembre</t>
        </is>
      </c>
      <c r="I1556" t="inlineStr">
        <is>
          <t>2025-2</t>
        </is>
      </c>
      <c r="L1556" s="39" t="n"/>
      <c r="M1556" s="39" t="n"/>
      <c r="N1556" t="inlineStr">
        <is>
          <t>ENT</t>
        </is>
      </c>
      <c r="O1556" t="inlineStr">
        <is>
          <t>No Aplica</t>
        </is>
      </c>
      <c r="P1556" t="n">
        <v>0</v>
      </c>
      <c r="Q1556" t="n">
        <v>0</v>
      </c>
      <c r="R1556" t="inlineStr">
        <is>
          <t>474-2025-12-31</t>
        </is>
      </c>
      <c r="S1556" t="inlineStr">
        <is>
          <t>No Aplica</t>
        </is>
      </c>
    </row>
    <row r="1557">
      <c r="A1557" t="n">
        <v>475</v>
      </c>
      <c r="B1557" t="inlineStr">
        <is>
          <t>Número de renovaciones de registro calificado radicadas al MEN</t>
        </is>
      </c>
      <c r="C1557" t="inlineStr">
        <is>
          <t>Creación, modificación y cierre de programas académicos</t>
        </is>
      </c>
      <c r="D1557" t="inlineStr">
        <is>
          <t>Semestral</t>
        </is>
      </c>
      <c r="E1557" t="inlineStr">
        <is>
          <t>Positivo</t>
        </is>
      </c>
      <c r="F1557" s="111" t="n">
        <v>45473</v>
      </c>
      <c r="G1557" t="n">
        <v>2024</v>
      </c>
      <c r="H1557" t="inlineStr">
        <is>
          <t>Junio</t>
        </is>
      </c>
      <c r="I1557" t="inlineStr">
        <is>
          <t>2024-1</t>
        </is>
      </c>
      <c r="J1557" t="n">
        <v>100</v>
      </c>
      <c r="L1557" s="39" t="n"/>
      <c r="M1557" s="39" t="n"/>
      <c r="P1557" t="n">
        <v>0</v>
      </c>
      <c r="Q1557" t="n">
        <v>0</v>
      </c>
      <c r="R1557" t="inlineStr">
        <is>
          <t>475-2024-06-30</t>
        </is>
      </c>
    </row>
    <row r="1558">
      <c r="A1558" t="n">
        <v>475</v>
      </c>
      <c r="B1558" t="inlineStr">
        <is>
          <t>Número de renovaciones de registro calificado radicadas al MEN</t>
        </is>
      </c>
      <c r="C1558" t="inlineStr">
        <is>
          <t>Creación, modificación y cierre de programas académicos</t>
        </is>
      </c>
      <c r="D1558" t="inlineStr">
        <is>
          <t>Semestral</t>
        </is>
      </c>
      <c r="E1558" t="inlineStr">
        <is>
          <t>Positivo</t>
        </is>
      </c>
      <c r="F1558" s="111" t="n">
        <v>45657</v>
      </c>
      <c r="G1558" t="n">
        <v>2024</v>
      </c>
      <c r="H1558" t="inlineStr">
        <is>
          <t>Diciembre</t>
        </is>
      </c>
      <c r="I1558" t="inlineStr">
        <is>
          <t>2024-2</t>
        </is>
      </c>
      <c r="J1558" t="n">
        <v>100</v>
      </c>
      <c r="K1558" t="n">
        <v>140</v>
      </c>
      <c r="L1558" s="39">
        <f>IFERROR(IF(OR(J1558=0,K1558=""),"",IF(E1558="Positivo",MIN(MAX(K1558/J1558,0),1.3),MIN(MAX(J1558/K1558,0),1.3))),"") </f>
        <v/>
      </c>
      <c r="M1558" s="39">
        <f>IFERROR(IF(OR(J1558=0,K1558=""),"",IF(E1558="Positivo",MAX(K1558/J1558,0),MAX(J1558/K1558,0))),"") </f>
        <v/>
      </c>
      <c r="P1558" t="n">
        <v>0</v>
      </c>
      <c r="Q1558" t="n">
        <v>0</v>
      </c>
      <c r="R1558" t="inlineStr">
        <is>
          <t>475-2024-12-31</t>
        </is>
      </c>
    </row>
    <row r="1559">
      <c r="A1559" t="n">
        <v>475</v>
      </c>
      <c r="B1559" t="inlineStr">
        <is>
          <t>Número de renovaciones de registro calificado radicadas al MEN</t>
        </is>
      </c>
      <c r="C1559" t="inlineStr">
        <is>
          <t>Creación, modificación y cierre de programas académicos</t>
        </is>
      </c>
      <c r="D1559" t="inlineStr">
        <is>
          <t>Trimestral</t>
        </is>
      </c>
      <c r="E1559" t="inlineStr">
        <is>
          <t>Positivo</t>
        </is>
      </c>
      <c r="F1559" s="111" t="n">
        <v>45838</v>
      </c>
      <c r="G1559" t="n">
        <v>2025</v>
      </c>
      <c r="H1559" t="inlineStr">
        <is>
          <t>Junio</t>
        </is>
      </c>
      <c r="I1559" t="inlineStr">
        <is>
          <t>2025-1</t>
        </is>
      </c>
      <c r="J1559" t="n">
        <v>100</v>
      </c>
      <c r="L1559" s="39" t="n"/>
      <c r="M1559" s="39" t="n"/>
      <c r="N1559" t="inlineStr">
        <is>
          <t>ENT</t>
        </is>
      </c>
      <c r="O1559" t="inlineStr">
        <is>
          <t>No Aplica</t>
        </is>
      </c>
      <c r="P1559" t="n">
        <v>0</v>
      </c>
      <c r="Q1559" t="n">
        <v>0</v>
      </c>
      <c r="R1559" t="inlineStr">
        <is>
          <t>475-2025-06-30</t>
        </is>
      </c>
      <c r="S1559" t="inlineStr">
        <is>
          <t>No Aplica</t>
        </is>
      </c>
    </row>
    <row r="1560">
      <c r="A1560" t="n">
        <v>475</v>
      </c>
      <c r="B1560" t="inlineStr">
        <is>
          <t>Número de renovaciones de registro calificado radicadas al MEN</t>
        </is>
      </c>
      <c r="C1560" t="inlineStr">
        <is>
          <t>Creación, modificación y cierre de programas académicos</t>
        </is>
      </c>
      <c r="D1560" t="inlineStr">
        <is>
          <t>Trimestral</t>
        </is>
      </c>
      <c r="E1560" t="inlineStr">
        <is>
          <t>Positivo</t>
        </is>
      </c>
      <c r="F1560" s="111" t="n">
        <v>46022</v>
      </c>
      <c r="G1560" t="n">
        <v>2025</v>
      </c>
      <c r="H1560" t="inlineStr">
        <is>
          <t>Diciembre</t>
        </is>
      </c>
      <c r="I1560" t="inlineStr">
        <is>
          <t>2025-2</t>
        </is>
      </c>
      <c r="J1560" t="n">
        <v>100</v>
      </c>
      <c r="K1560" t="n">
        <v>100</v>
      </c>
      <c r="L1560" s="39">
        <f>IFERROR(IF(OR(J1560=0,K1560=""),"",IF(E1560="Positivo",MIN(MAX(K1560/J1560,0),1.3),MIN(MAX(J1560/K1560,0),1.3))),"") </f>
        <v/>
      </c>
      <c r="M1560" s="39">
        <f>IFERROR(IF(OR(J1560=0,K1560=""),"",IF(E1560="Positivo",MAX(K1560/J1560,0),MAX(J1560/K1560,0))),"") </f>
        <v/>
      </c>
      <c r="N1560" t="inlineStr">
        <is>
          <t>ENT</t>
        </is>
      </c>
      <c r="O1560" t="inlineStr">
        <is>
          <t>ENT</t>
        </is>
      </c>
      <c r="P1560" t="n">
        <v>0</v>
      </c>
      <c r="Q1560" t="n">
        <v>0</v>
      </c>
      <c r="R1560" t="inlineStr">
        <is>
          <t>475-2025-12-31</t>
        </is>
      </c>
    </row>
    <row r="1561">
      <c r="A1561" t="n">
        <v>476</v>
      </c>
      <c r="B1561" t="inlineStr">
        <is>
          <t>Programas con resultados de aprendizaje definidos</t>
        </is>
      </c>
      <c r="C1561" t="inlineStr">
        <is>
          <t>Gestión, Evaluación e Innovación Curricular</t>
        </is>
      </c>
      <c r="D1561" t="inlineStr">
        <is>
          <t>Semestral</t>
        </is>
      </c>
      <c r="E1561" t="inlineStr">
        <is>
          <t>Positivo</t>
        </is>
      </c>
      <c r="F1561" s="111" t="n">
        <v>45473</v>
      </c>
      <c r="G1561" t="n">
        <v>2024</v>
      </c>
      <c r="H1561" t="inlineStr">
        <is>
          <t>Junio</t>
        </is>
      </c>
      <c r="I1561" t="inlineStr">
        <is>
          <t>2024-1</t>
        </is>
      </c>
      <c r="J1561" t="n">
        <v>100</v>
      </c>
      <c r="K1561" t="n">
        <v>100</v>
      </c>
      <c r="L1561" s="39">
        <f>IFERROR(IF(OR(J1561=0,K1561=""),"",IF(E1561="Positivo",MIN(MAX(K1561/J1561,0),1.3),MIN(MAX(J1561/K1561,0),1.3))),"") </f>
        <v/>
      </c>
      <c r="M1561" s="39">
        <f>IFERROR(IF(OR(J1561=0,K1561=""),"",IF(E1561="Positivo",MAX(K1561/J1561,0),MAX(J1561/K1561,0))),"") </f>
        <v/>
      </c>
      <c r="P1561" t="n">
        <v>0</v>
      </c>
      <c r="Q1561" t="n">
        <v>0</v>
      </c>
      <c r="R1561" t="inlineStr">
        <is>
          <t>476-2024-06-30</t>
        </is>
      </c>
    </row>
    <row r="1562">
      <c r="A1562" t="n">
        <v>476</v>
      </c>
      <c r="B1562" t="inlineStr">
        <is>
          <t>Programas con resultados de aprendizaje definidos</t>
        </is>
      </c>
      <c r="C1562" t="inlineStr">
        <is>
          <t>Gestión, Evaluación e Innovación Curricular</t>
        </is>
      </c>
      <c r="D1562" t="inlineStr">
        <is>
          <t>Semestral</t>
        </is>
      </c>
      <c r="E1562" t="inlineStr">
        <is>
          <t>Positivo</t>
        </is>
      </c>
      <c r="F1562" s="111" t="n">
        <v>45657</v>
      </c>
      <c r="G1562" t="n">
        <v>2024</v>
      </c>
      <c r="H1562" t="inlineStr">
        <is>
          <t>Diciembre</t>
        </is>
      </c>
      <c r="I1562" t="inlineStr">
        <is>
          <t>2024-2</t>
        </is>
      </c>
      <c r="J1562" t="n">
        <v>100</v>
      </c>
      <c r="K1562" t="n">
        <v>100</v>
      </c>
      <c r="L1562" s="39">
        <f>IFERROR(IF(OR(J1562=0,K1562=""),"",IF(E1562="Positivo",MIN(MAX(K1562/J1562,0),1.3),MIN(MAX(J1562/K1562,0),1.3))),"") </f>
        <v/>
      </c>
      <c r="M1562" s="39">
        <f>IFERROR(IF(OR(J1562=0,K1562=""),"",IF(E1562="Positivo",MAX(K1562/J1562,0),MAX(J1562/K1562,0))),"") </f>
        <v/>
      </c>
      <c r="P1562" t="n">
        <v>0</v>
      </c>
      <c r="Q1562" t="n">
        <v>0</v>
      </c>
      <c r="R1562" t="inlineStr">
        <is>
          <t>476-2024-12-31</t>
        </is>
      </c>
    </row>
    <row r="1563">
      <c r="A1563" t="n">
        <v>476</v>
      </c>
      <c r="B1563" t="inlineStr">
        <is>
          <t>Programas con resultados de aprendizaje definidos</t>
        </is>
      </c>
      <c r="C1563" t="inlineStr">
        <is>
          <t>Gestión, Evaluación e Innovación Curricular</t>
        </is>
      </c>
      <c r="D1563" t="inlineStr">
        <is>
          <t>Semestral</t>
        </is>
      </c>
      <c r="E1563" t="inlineStr">
        <is>
          <t>Positivo</t>
        </is>
      </c>
      <c r="F1563" s="111" t="n">
        <v>45838</v>
      </c>
      <c r="G1563" t="n">
        <v>2025</v>
      </c>
      <c r="H1563" t="inlineStr">
        <is>
          <t>Junio</t>
        </is>
      </c>
      <c r="I1563" t="inlineStr">
        <is>
          <t>2025-1</t>
        </is>
      </c>
      <c r="J1563" t="n">
        <v>100</v>
      </c>
      <c r="K1563" t="n">
        <v>100</v>
      </c>
      <c r="L1563" s="39">
        <f>IFERROR(IF(OR(J1563=0,K1563=""),"",IF(E1563="Positivo",MIN(MAX(K1563/J1563,0),1.3),MIN(MAX(J1563/K1563,0),1.3))),"") </f>
        <v/>
      </c>
      <c r="M1563" s="39">
        <f>IFERROR(IF(OR(J1563=0,K1563=""),"",IF(E1563="Positivo",MAX(K1563/J1563,0),MAX(J1563/K1563,0))),"") </f>
        <v/>
      </c>
      <c r="N1563" t="inlineStr">
        <is>
          <t>ENT</t>
        </is>
      </c>
      <c r="O1563" t="inlineStr">
        <is>
          <t>ENT</t>
        </is>
      </c>
      <c r="P1563" t="n">
        <v>0</v>
      </c>
      <c r="Q1563" t="n">
        <v>0</v>
      </c>
      <c r="R1563" t="inlineStr">
        <is>
          <t>476-2025-06-30</t>
        </is>
      </c>
    </row>
    <row r="1564">
      <c r="A1564" t="n">
        <v>476</v>
      </c>
      <c r="B1564" t="inlineStr">
        <is>
          <t>Programas con resultados de aprendizaje definidos</t>
        </is>
      </c>
      <c r="C1564" t="inlineStr">
        <is>
          <t>Gestión, Evaluación e Innovación Curricular</t>
        </is>
      </c>
      <c r="D1564" t="inlineStr">
        <is>
          <t>Trimestral</t>
        </is>
      </c>
      <c r="E1564" t="inlineStr">
        <is>
          <t>Positivo</t>
        </is>
      </c>
      <c r="F1564" s="111" t="n">
        <v>46022</v>
      </c>
      <c r="G1564" t="n">
        <v>2025</v>
      </c>
      <c r="H1564" t="inlineStr">
        <is>
          <t>Diciembre</t>
        </is>
      </c>
      <c r="I1564" t="inlineStr">
        <is>
          <t>2025-2</t>
        </is>
      </c>
      <c r="J1564" t="n">
        <v>100</v>
      </c>
      <c r="K1564" t="n">
        <v>100</v>
      </c>
      <c r="L1564" s="39">
        <f>IFERROR(IF(OR(J1564=0,K1564=""),"",IF(E1564="Positivo",MIN(MAX(K1564/J1564,0),1.3),MIN(MAX(J1564/K1564,0),1.3))),"") </f>
        <v/>
      </c>
      <c r="M1564" s="39">
        <f>IFERROR(IF(OR(J1564=0,K1564=""),"",IF(E1564="Positivo",MAX(K1564/J1564,0),MAX(J1564/K1564,0))),"") </f>
        <v/>
      </c>
      <c r="N1564" t="inlineStr">
        <is>
          <t>ENT</t>
        </is>
      </c>
      <c r="O1564" t="inlineStr">
        <is>
          <t>ENT</t>
        </is>
      </c>
      <c r="P1564" t="n">
        <v>0</v>
      </c>
      <c r="Q1564" t="n">
        <v>0</v>
      </c>
      <c r="R1564" t="inlineStr">
        <is>
          <t>476-2025-12-31</t>
        </is>
      </c>
    </row>
    <row r="1565">
      <c r="A1565" t="n">
        <v>477</v>
      </c>
      <c r="B1565" t="inlineStr">
        <is>
          <t>Programas con planes de estudios definidos por escuela (Programas Renovación, modificación y acreditación)</t>
        </is>
      </c>
      <c r="C1565" t="inlineStr">
        <is>
          <t>Gestión de Unidades Académicas</t>
        </is>
      </c>
      <c r="D1565" t="inlineStr">
        <is>
          <t>Semestral</t>
        </is>
      </c>
      <c r="E1565" t="inlineStr">
        <is>
          <t>Positivo</t>
        </is>
      </c>
      <c r="F1565" s="111" t="n">
        <v>45473</v>
      </c>
      <c r="G1565" t="n">
        <v>2024</v>
      </c>
      <c r="H1565" t="inlineStr">
        <is>
          <t>Junio</t>
        </is>
      </c>
      <c r="I1565" t="inlineStr">
        <is>
          <t>2024-1</t>
        </is>
      </c>
      <c r="J1565" t="n">
        <v>100</v>
      </c>
      <c r="K1565" t="n">
        <v>100</v>
      </c>
      <c r="L1565" s="39">
        <f>IFERROR(IF(OR(J1565=0,K1565=""),"",IF(E1565="Positivo",MIN(MAX(K1565/J1565,0),1.3),MIN(MAX(J1565/K1565,0),1.3))),"") </f>
        <v/>
      </c>
      <c r="M1565" s="39">
        <f>IFERROR(IF(OR(J1565=0,K1565=""),"",IF(E1565="Positivo",MAX(K1565/J1565,0),MAX(J1565/K1565,0))),"") </f>
        <v/>
      </c>
      <c r="P1565" t="n">
        <v>0</v>
      </c>
      <c r="Q1565" t="n">
        <v>0</v>
      </c>
      <c r="R1565" t="inlineStr">
        <is>
          <t>477-2024-06-30</t>
        </is>
      </c>
    </row>
    <row r="1566">
      <c r="A1566" t="n">
        <v>477</v>
      </c>
      <c r="B1566" t="inlineStr">
        <is>
          <t>Programas con planes de estudios definidos por escuela (Programas Renovación, modificación y acreditación)</t>
        </is>
      </c>
      <c r="C1566" t="inlineStr">
        <is>
          <t>Gestión de Unidades Académicas</t>
        </is>
      </c>
      <c r="D1566" t="inlineStr">
        <is>
          <t>Semestral</t>
        </is>
      </c>
      <c r="E1566" t="inlineStr">
        <is>
          <t>Positivo</t>
        </is>
      </c>
      <c r="F1566" s="111" t="n">
        <v>45657</v>
      </c>
      <c r="G1566" t="n">
        <v>2024</v>
      </c>
      <c r="H1566" t="inlineStr">
        <is>
          <t>Diciembre</t>
        </is>
      </c>
      <c r="I1566" t="inlineStr">
        <is>
          <t>2024-2</t>
        </is>
      </c>
      <c r="J1566" t="n">
        <v>100</v>
      </c>
      <c r="K1566" t="n">
        <v>100</v>
      </c>
      <c r="L1566" s="39">
        <f>IFERROR(IF(OR(J1566=0,K1566=""),"",IF(E1566="Positivo",MIN(MAX(K1566/J1566,0),1.3),MIN(MAX(J1566/K1566,0),1.3))),"") </f>
        <v/>
      </c>
      <c r="M1566" s="39">
        <f>IFERROR(IF(OR(J1566=0,K1566=""),"",IF(E1566="Positivo",MAX(K1566/J1566,0),MAX(J1566/K1566,0))),"") </f>
        <v/>
      </c>
      <c r="P1566" t="n">
        <v>0</v>
      </c>
      <c r="Q1566" t="n">
        <v>0</v>
      </c>
      <c r="R1566" t="inlineStr">
        <is>
          <t>477-2024-12-31</t>
        </is>
      </c>
    </row>
    <row r="1567">
      <c r="A1567" t="n">
        <v>477</v>
      </c>
      <c r="B1567" t="inlineStr">
        <is>
          <t>Programas con planes de estudios definidos por escuela (Programas Renovación, modificación y acreditación)</t>
        </is>
      </c>
      <c r="C1567" t="inlineStr">
        <is>
          <t>Gestión de Unidades Académicas</t>
        </is>
      </c>
      <c r="D1567" t="inlineStr">
        <is>
          <t>Trimestral</t>
        </is>
      </c>
      <c r="E1567" t="inlineStr">
        <is>
          <t>Positivo</t>
        </is>
      </c>
      <c r="F1567" s="111" t="n">
        <v>45838</v>
      </c>
      <c r="G1567" t="n">
        <v>2025</v>
      </c>
      <c r="H1567" t="inlineStr">
        <is>
          <t>Junio</t>
        </is>
      </c>
      <c r="I1567" t="inlineStr">
        <is>
          <t>2025-1</t>
        </is>
      </c>
      <c r="L1567" s="39" t="n"/>
      <c r="M1567" s="39" t="n"/>
      <c r="N1567" t="inlineStr">
        <is>
          <t>ENT</t>
        </is>
      </c>
      <c r="O1567" t="inlineStr">
        <is>
          <t>No Aplica</t>
        </is>
      </c>
      <c r="P1567" t="n">
        <v>0</v>
      </c>
      <c r="Q1567" t="n">
        <v>0</v>
      </c>
      <c r="R1567" t="inlineStr">
        <is>
          <t>477-2025-06-30</t>
        </is>
      </c>
      <c r="S1567" t="inlineStr">
        <is>
          <t>No Aplica</t>
        </is>
      </c>
    </row>
    <row r="1568">
      <c r="A1568" t="n">
        <v>478</v>
      </c>
      <c r="B1568" t="inlineStr">
        <is>
          <t>Programas con planes de estudios definidos por escuela (Mantenimiento de programas)</t>
        </is>
      </c>
      <c r="C1568" t="inlineStr">
        <is>
          <t>Gestión de Unidades Académicas</t>
        </is>
      </c>
      <c r="D1568" t="inlineStr">
        <is>
          <t>Semestral</t>
        </is>
      </c>
      <c r="E1568" t="inlineStr">
        <is>
          <t>Positivo</t>
        </is>
      </c>
      <c r="F1568" s="111" t="n">
        <v>45473</v>
      </c>
      <c r="G1568" t="n">
        <v>2024</v>
      </c>
      <c r="H1568" t="inlineStr">
        <is>
          <t>Junio</t>
        </is>
      </c>
      <c r="I1568" t="inlineStr">
        <is>
          <t>2024-1</t>
        </is>
      </c>
      <c r="J1568" t="n">
        <v>100</v>
      </c>
      <c r="L1568" s="39" t="n"/>
      <c r="M1568" s="39" t="n"/>
      <c r="N1568" t="inlineStr">
        <is>
          <t>ENT</t>
        </is>
      </c>
      <c r="O1568" t="inlineStr">
        <is>
          <t>N/A</t>
        </is>
      </c>
      <c r="P1568" t="n">
        <v>0</v>
      </c>
      <c r="Q1568" t="n">
        <v>0</v>
      </c>
      <c r="R1568" t="inlineStr">
        <is>
          <t>478-2024-06-30</t>
        </is>
      </c>
    </row>
    <row r="1569">
      <c r="A1569" t="n">
        <v>478</v>
      </c>
      <c r="B1569" t="inlineStr">
        <is>
          <t>Programas con planes de estudios definidos por escuela (Mantenimiento de programas)</t>
        </is>
      </c>
      <c r="C1569" t="inlineStr">
        <is>
          <t>Gestión de Unidades Académicas</t>
        </is>
      </c>
      <c r="D1569" t="inlineStr">
        <is>
          <t>Semestral</t>
        </is>
      </c>
      <c r="E1569" t="inlineStr">
        <is>
          <t>Positivo</t>
        </is>
      </c>
      <c r="F1569" s="111" t="n">
        <v>45657</v>
      </c>
      <c r="G1569" t="n">
        <v>2024</v>
      </c>
      <c r="H1569" t="inlineStr">
        <is>
          <t>Diciembre</t>
        </is>
      </c>
      <c r="I1569" t="inlineStr">
        <is>
          <t>2024-2</t>
        </is>
      </c>
      <c r="J1569" t="n">
        <v>100</v>
      </c>
      <c r="K1569" t="n">
        <v>100</v>
      </c>
      <c r="L1569" s="39">
        <f>IFERROR(IF(OR(J1569=0,K1569=""),"",IF(E1569="Positivo",MIN(MAX(K1569/J1569,0),1.3),MIN(MAX(J1569/K1569,0),1.3))),"") </f>
        <v/>
      </c>
      <c r="M1569" s="39">
        <f>IFERROR(IF(OR(J1569=0,K1569=""),"",IF(E1569="Positivo",MAX(K1569/J1569,0),MAX(J1569/K1569,0))),"") </f>
        <v/>
      </c>
      <c r="P1569" t="n">
        <v>0</v>
      </c>
      <c r="Q1569" t="n">
        <v>0</v>
      </c>
      <c r="R1569" t="inlineStr">
        <is>
          <t>478-2024-12-31</t>
        </is>
      </c>
    </row>
    <row r="1570">
      <c r="A1570" t="n">
        <v>478</v>
      </c>
      <c r="B1570" t="inlineStr">
        <is>
          <t>Programas con planes de estudios definidos por escuela (Mantenimiento de programas)</t>
        </is>
      </c>
      <c r="C1570" t="inlineStr">
        <is>
          <t>Gestión de Unidades Académicas</t>
        </is>
      </c>
      <c r="D1570" t="inlineStr">
        <is>
          <t>Trimestral</t>
        </is>
      </c>
      <c r="E1570" t="inlineStr">
        <is>
          <t>Positivo</t>
        </is>
      </c>
      <c r="F1570" s="111" t="n">
        <v>45838</v>
      </c>
      <c r="G1570" t="n">
        <v>2025</v>
      </c>
      <c r="H1570" t="inlineStr">
        <is>
          <t>Junio</t>
        </is>
      </c>
      <c r="I1570" t="inlineStr">
        <is>
          <t>2025-1</t>
        </is>
      </c>
      <c r="K1570" t="n">
        <v>0</v>
      </c>
      <c r="L1570" s="39" t="n"/>
      <c r="M1570" s="39" t="n"/>
      <c r="N1570" t="inlineStr">
        <is>
          <t>ENT</t>
        </is>
      </c>
      <c r="O1570" t="inlineStr">
        <is>
          <t>ENT</t>
        </is>
      </c>
      <c r="P1570" t="n">
        <v>0</v>
      </c>
      <c r="Q1570" t="n">
        <v>0</v>
      </c>
      <c r="R1570" t="inlineStr">
        <is>
          <t>478-2025-06-30</t>
        </is>
      </c>
    </row>
    <row r="1571">
      <c r="A1571" t="n">
        <v>478</v>
      </c>
      <c r="B1571" t="inlineStr">
        <is>
          <t>Programas con planes de estudios definidos por escuela (Mantenimiento de programas)</t>
        </is>
      </c>
      <c r="C1571" t="inlineStr">
        <is>
          <t>Gestión de Unidades Académicas</t>
        </is>
      </c>
      <c r="D1571" t="inlineStr">
        <is>
          <t>Trimestral</t>
        </is>
      </c>
      <c r="E1571" t="inlineStr">
        <is>
          <t>Positivo</t>
        </is>
      </c>
      <c r="F1571" s="111" t="n">
        <v>46022</v>
      </c>
      <c r="G1571" t="n">
        <v>2025</v>
      </c>
      <c r="H1571" t="inlineStr">
        <is>
          <t>Diciembre</t>
        </is>
      </c>
      <c r="I1571" t="inlineStr">
        <is>
          <t>2025-2</t>
        </is>
      </c>
      <c r="L1571" s="39" t="n"/>
      <c r="M1571" s="39" t="n"/>
      <c r="N1571" t="inlineStr">
        <is>
          <t>ENT</t>
        </is>
      </c>
      <c r="O1571" t="inlineStr">
        <is>
          <t>No Aplica</t>
        </is>
      </c>
      <c r="P1571" t="n">
        <v>0</v>
      </c>
      <c r="Q1571" t="n">
        <v>0</v>
      </c>
      <c r="R1571" t="inlineStr">
        <is>
          <t>478-2025-12-31</t>
        </is>
      </c>
      <c r="S1571" t="inlineStr">
        <is>
          <t>No Aplica</t>
        </is>
      </c>
    </row>
    <row r="1572">
      <c r="A1572" t="n">
        <v>479</v>
      </c>
      <c r="B1572" t="inlineStr">
        <is>
          <t>Programas con resultados de aprendizaje definidos por escuela (Nuevos Programas)</t>
        </is>
      </c>
      <c r="C1572" t="inlineStr">
        <is>
          <t>Gestión de Unidades Académicas</t>
        </is>
      </c>
      <c r="D1572" t="inlineStr">
        <is>
          <t>Semestral</t>
        </is>
      </c>
      <c r="E1572" t="inlineStr">
        <is>
          <t>Positivo</t>
        </is>
      </c>
      <c r="F1572" s="111" t="n">
        <v>45473</v>
      </c>
      <c r="G1572" t="n">
        <v>2024</v>
      </c>
      <c r="H1572" t="inlineStr">
        <is>
          <t>Junio</t>
        </is>
      </c>
      <c r="I1572" t="inlineStr">
        <is>
          <t>2024-1</t>
        </is>
      </c>
      <c r="J1572" t="n">
        <v>100</v>
      </c>
      <c r="K1572" t="n">
        <v>100</v>
      </c>
      <c r="L1572" s="39">
        <f>IFERROR(IF(OR(J1572=0,K1572=""),"",IF(E1572="Positivo",MIN(MAX(K1572/J1572,0),1.3),MIN(MAX(J1572/K1572,0),1.3))),"") </f>
        <v/>
      </c>
      <c r="M1572" s="39">
        <f>IFERROR(IF(OR(J1572=0,K1572=""),"",IF(E1572="Positivo",MAX(K1572/J1572,0),MAX(J1572/K1572,0))),"") </f>
        <v/>
      </c>
      <c r="P1572" t="n">
        <v>0</v>
      </c>
      <c r="Q1572" t="n">
        <v>0</v>
      </c>
      <c r="R1572" t="inlineStr">
        <is>
          <t>479-2024-06-30</t>
        </is>
      </c>
    </row>
    <row r="1573">
      <c r="A1573" t="n">
        <v>479</v>
      </c>
      <c r="B1573" t="inlineStr">
        <is>
          <t>Programas con resultados de aprendizaje definidos por escuela (Nuevos Programas)</t>
        </is>
      </c>
      <c r="C1573" t="inlineStr">
        <is>
          <t>Gestión de Unidades Académicas</t>
        </is>
      </c>
      <c r="D1573" t="inlineStr">
        <is>
          <t>Semestral</t>
        </is>
      </c>
      <c r="E1573" t="inlineStr">
        <is>
          <t>Positivo</t>
        </is>
      </c>
      <c r="F1573" s="111" t="n">
        <v>45657</v>
      </c>
      <c r="G1573" t="n">
        <v>2024</v>
      </c>
      <c r="H1573" t="inlineStr">
        <is>
          <t>Diciembre</t>
        </is>
      </c>
      <c r="I1573" t="inlineStr">
        <is>
          <t>2024-2</t>
        </is>
      </c>
      <c r="J1573" t="n">
        <v>100</v>
      </c>
      <c r="K1573" t="n">
        <v>100</v>
      </c>
      <c r="L1573" s="39">
        <f>IFERROR(IF(OR(J1573=0,K1573=""),"",IF(E1573="Positivo",MIN(MAX(K1573/J1573,0),1.3),MIN(MAX(J1573/K1573,0),1.3))),"") </f>
        <v/>
      </c>
      <c r="M1573" s="39">
        <f>IFERROR(IF(OR(J1573=0,K1573=""),"",IF(E1573="Positivo",MAX(K1573/J1573,0),MAX(J1573/K1573,0))),"") </f>
        <v/>
      </c>
      <c r="P1573" t="n">
        <v>0</v>
      </c>
      <c r="Q1573" t="n">
        <v>0</v>
      </c>
      <c r="R1573" t="inlineStr">
        <is>
          <t>479-2024-12-31</t>
        </is>
      </c>
    </row>
    <row r="1574">
      <c r="A1574" t="n">
        <v>479</v>
      </c>
      <c r="B1574" t="inlineStr">
        <is>
          <t>Programas con resultados de aprendizaje definidos por escuela (Nuevos Programas)</t>
        </is>
      </c>
      <c r="C1574" t="inlineStr">
        <is>
          <t>Gestión de Unidades Académicas</t>
        </is>
      </c>
      <c r="D1574" t="inlineStr">
        <is>
          <t>Trimestral</t>
        </is>
      </c>
      <c r="E1574" t="inlineStr">
        <is>
          <t>Positivo</t>
        </is>
      </c>
      <c r="F1574" s="111" t="n">
        <v>45838</v>
      </c>
      <c r="G1574" t="n">
        <v>2025</v>
      </c>
      <c r="H1574" t="inlineStr">
        <is>
          <t>Junio</t>
        </is>
      </c>
      <c r="I1574" t="inlineStr">
        <is>
          <t>2025-1</t>
        </is>
      </c>
      <c r="J1574" t="n">
        <v>100</v>
      </c>
      <c r="L1574" s="39" t="n"/>
      <c r="M1574" s="39" t="n"/>
      <c r="N1574" t="inlineStr">
        <is>
          <t>ENT</t>
        </is>
      </c>
      <c r="O1574" t="inlineStr">
        <is>
          <t>No Aplica</t>
        </is>
      </c>
      <c r="P1574" t="n">
        <v>0</v>
      </c>
      <c r="Q1574" t="n">
        <v>0</v>
      </c>
      <c r="R1574" t="inlineStr">
        <is>
          <t>479-2025-06-30</t>
        </is>
      </c>
      <c r="S1574" t="inlineStr">
        <is>
          <t>No Aplica</t>
        </is>
      </c>
    </row>
    <row r="1575">
      <c r="A1575" t="n">
        <v>480</v>
      </c>
      <c r="B1575" t="inlineStr">
        <is>
          <t>Programas con resultados de aprendizaje definidos por escuela (Programas Renovación, modificación y acreditación)</t>
        </is>
      </c>
      <c r="C1575" t="inlineStr">
        <is>
          <t>Gestión de Unidades Académicas</t>
        </is>
      </c>
      <c r="D1575" t="inlineStr">
        <is>
          <t>Semestral</t>
        </is>
      </c>
      <c r="E1575" t="inlineStr">
        <is>
          <t>Positivo</t>
        </is>
      </c>
      <c r="F1575" s="111" t="n">
        <v>45473</v>
      </c>
      <c r="G1575" t="n">
        <v>2024</v>
      </c>
      <c r="H1575" t="inlineStr">
        <is>
          <t>Junio</t>
        </is>
      </c>
      <c r="I1575" t="inlineStr">
        <is>
          <t>2024-1</t>
        </is>
      </c>
      <c r="J1575" t="n">
        <v>100</v>
      </c>
      <c r="K1575" t="n">
        <v>100</v>
      </c>
      <c r="L1575" s="39">
        <f>IFERROR(IF(OR(J1575=0,K1575=""),"",IF(E1575="Positivo",MIN(MAX(K1575/J1575,0),1.3),MIN(MAX(J1575/K1575,0),1.3))),"") </f>
        <v/>
      </c>
      <c r="M1575" s="39">
        <f>IFERROR(IF(OR(J1575=0,K1575=""),"",IF(E1575="Positivo",MAX(K1575/J1575,0),MAX(J1575/K1575,0))),"") </f>
        <v/>
      </c>
      <c r="P1575" t="n">
        <v>0</v>
      </c>
      <c r="Q1575" t="n">
        <v>0</v>
      </c>
      <c r="R1575" t="inlineStr">
        <is>
          <t>480-2024-06-30</t>
        </is>
      </c>
    </row>
    <row r="1576">
      <c r="A1576" t="n">
        <v>480</v>
      </c>
      <c r="B1576" t="inlineStr">
        <is>
          <t>Programas con resultados de aprendizaje definidos por escuela (Programas Renovación, modificación y acreditación)</t>
        </is>
      </c>
      <c r="C1576" t="inlineStr">
        <is>
          <t>Gestión de Unidades Académicas</t>
        </is>
      </c>
      <c r="D1576" t="inlineStr">
        <is>
          <t>Semestral</t>
        </is>
      </c>
      <c r="E1576" t="inlineStr">
        <is>
          <t>Positivo</t>
        </is>
      </c>
      <c r="F1576" s="111" t="n">
        <v>45657</v>
      </c>
      <c r="G1576" t="n">
        <v>2024</v>
      </c>
      <c r="H1576" t="inlineStr">
        <is>
          <t>Diciembre</t>
        </is>
      </c>
      <c r="I1576" t="inlineStr">
        <is>
          <t>2024-2</t>
        </is>
      </c>
      <c r="J1576" t="n">
        <v>100</v>
      </c>
      <c r="K1576" t="n">
        <v>100</v>
      </c>
      <c r="L1576" s="39">
        <f>IFERROR(IF(OR(J1576=0,K1576=""),"",IF(E1576="Positivo",MIN(MAX(K1576/J1576,0),1.3),MIN(MAX(J1576/K1576,0),1.3))),"") </f>
        <v/>
      </c>
      <c r="M1576" s="39">
        <f>IFERROR(IF(OR(J1576=0,K1576=""),"",IF(E1576="Positivo",MAX(K1576/J1576,0),MAX(J1576/K1576,0))),"") </f>
        <v/>
      </c>
      <c r="P1576" t="n">
        <v>0</v>
      </c>
      <c r="Q1576" t="n">
        <v>0</v>
      </c>
      <c r="R1576" t="inlineStr">
        <is>
          <t>480-2024-12-31</t>
        </is>
      </c>
    </row>
    <row r="1577">
      <c r="A1577" t="n">
        <v>480</v>
      </c>
      <c r="B1577" t="inlineStr">
        <is>
          <t>Programas con resultados de aprendizaje definidos por escuela (Programas Renovación, modificación y acreditación)</t>
        </is>
      </c>
      <c r="C1577" t="inlineStr">
        <is>
          <t>Gestión de Unidades Académicas</t>
        </is>
      </c>
      <c r="D1577" t="inlineStr">
        <is>
          <t>Trimestral</t>
        </is>
      </c>
      <c r="E1577" t="inlineStr">
        <is>
          <t>Positivo</t>
        </is>
      </c>
      <c r="F1577" s="111" t="n">
        <v>45838</v>
      </c>
      <c r="G1577" t="n">
        <v>2025</v>
      </c>
      <c r="H1577" t="inlineStr">
        <is>
          <t>Junio</t>
        </is>
      </c>
      <c r="I1577" t="inlineStr">
        <is>
          <t>2025-1</t>
        </is>
      </c>
      <c r="J1577" t="n">
        <v>100</v>
      </c>
      <c r="L1577" s="39" t="n"/>
      <c r="M1577" s="39" t="n"/>
      <c r="N1577" t="inlineStr">
        <is>
          <t>ENT</t>
        </is>
      </c>
      <c r="O1577" t="inlineStr">
        <is>
          <t>No Aplica</t>
        </is>
      </c>
      <c r="P1577" t="n">
        <v>0</v>
      </c>
      <c r="Q1577" t="n">
        <v>0</v>
      </c>
      <c r="R1577" t="inlineStr">
        <is>
          <t>480-2025-06-30</t>
        </is>
      </c>
      <c r="S1577" t="inlineStr">
        <is>
          <t>No Aplica</t>
        </is>
      </c>
    </row>
    <row r="1578">
      <c r="A1578" t="n">
        <v>481</v>
      </c>
      <c r="B1578" t="inlineStr">
        <is>
          <t>Solicitudes de documentación completadas</t>
        </is>
      </c>
      <c r="C1578" t="inlineStr">
        <is>
          <t>Gestión, Evaluación e Innovación Curricular</t>
        </is>
      </c>
      <c r="D1578" t="inlineStr">
        <is>
          <t>Semestral</t>
        </is>
      </c>
      <c r="E1578" t="inlineStr">
        <is>
          <t>Positivo</t>
        </is>
      </c>
      <c r="F1578" s="111" t="n">
        <v>45473</v>
      </c>
      <c r="G1578" t="n">
        <v>2024</v>
      </c>
      <c r="H1578" t="inlineStr">
        <is>
          <t>Junio</t>
        </is>
      </c>
      <c r="I1578" t="inlineStr">
        <is>
          <t>2024-1</t>
        </is>
      </c>
      <c r="J1578" t="n">
        <v>100</v>
      </c>
      <c r="K1578" t="n">
        <v>100</v>
      </c>
      <c r="L1578" s="39">
        <f>IFERROR(IF(OR(J1578=0,K1578=""),"",IF(E1578="Positivo",MIN(MAX(K1578/J1578,0),1.3),MIN(MAX(J1578/K1578,0),1.3))),"") </f>
        <v/>
      </c>
      <c r="M1578" s="39">
        <f>IFERROR(IF(OR(J1578=0,K1578=""),"",IF(E1578="Positivo",MAX(K1578/J1578,0),MAX(J1578/K1578,0))),"") </f>
        <v/>
      </c>
      <c r="P1578" t="n">
        <v>0</v>
      </c>
      <c r="Q1578" t="n">
        <v>0</v>
      </c>
      <c r="R1578" t="inlineStr">
        <is>
          <t>481-2024-06-30</t>
        </is>
      </c>
    </row>
    <row r="1579">
      <c r="A1579" t="n">
        <v>481</v>
      </c>
      <c r="B1579" t="inlineStr">
        <is>
          <t>Solicitudes de documentación completadas</t>
        </is>
      </c>
      <c r="C1579" t="inlineStr">
        <is>
          <t>Gestión, Evaluación e Innovación Curricular</t>
        </is>
      </c>
      <c r="D1579" t="inlineStr">
        <is>
          <t>Semestral</t>
        </is>
      </c>
      <c r="E1579" t="inlineStr">
        <is>
          <t>Positivo</t>
        </is>
      </c>
      <c r="F1579" s="111" t="n">
        <v>45657</v>
      </c>
      <c r="G1579" t="n">
        <v>2024</v>
      </c>
      <c r="H1579" t="inlineStr">
        <is>
          <t>Diciembre</t>
        </is>
      </c>
      <c r="I1579" t="inlineStr">
        <is>
          <t>2024-2</t>
        </is>
      </c>
      <c r="J1579" t="n">
        <v>100</v>
      </c>
      <c r="L1579" s="39" t="n"/>
      <c r="M1579" s="39" t="n"/>
      <c r="N1579" t="inlineStr">
        <is>
          <t>ENT</t>
        </is>
      </c>
      <c r="O1579" t="inlineStr">
        <is>
          <t>N/A</t>
        </is>
      </c>
      <c r="P1579" t="n">
        <v>0</v>
      </c>
      <c r="Q1579" t="n">
        <v>0</v>
      </c>
      <c r="R1579" t="inlineStr">
        <is>
          <t>481-2024-12-31</t>
        </is>
      </c>
    </row>
    <row r="1580">
      <c r="A1580" t="n">
        <v>481</v>
      </c>
      <c r="B1580" t="inlineStr">
        <is>
          <t>Solicitudes de documentación completadas</t>
        </is>
      </c>
      <c r="C1580" t="inlineStr">
        <is>
          <t>Gestión, Evaluación e Innovación Curricular</t>
        </is>
      </c>
      <c r="D1580" t="inlineStr">
        <is>
          <t>Trimestral</t>
        </is>
      </c>
      <c r="E1580" t="inlineStr">
        <is>
          <t>Positivo</t>
        </is>
      </c>
      <c r="F1580" s="111" t="n">
        <v>45838</v>
      </c>
      <c r="G1580" t="n">
        <v>2025</v>
      </c>
      <c r="H1580" t="inlineStr">
        <is>
          <t>Junio</t>
        </is>
      </c>
      <c r="I1580" t="inlineStr">
        <is>
          <t>2025-1</t>
        </is>
      </c>
      <c r="J1580" t="n">
        <v>100</v>
      </c>
      <c r="K1580" t="n">
        <v>100</v>
      </c>
      <c r="L1580" s="39">
        <f>IFERROR(IF(OR(J1580=0,K1580=""),"",IF(E1580="Positivo",MIN(MAX(K1580/J1580,0),1.3),MIN(MAX(J1580/K1580,0),1.3))),"") </f>
        <v/>
      </c>
      <c r="M1580" s="39">
        <f>IFERROR(IF(OR(J1580=0,K1580=""),"",IF(E1580="Positivo",MAX(K1580/J1580,0),MAX(J1580/K1580,0))),"") </f>
        <v/>
      </c>
      <c r="N1580" t="inlineStr">
        <is>
          <t>%</t>
        </is>
      </c>
      <c r="O1580" t="inlineStr">
        <is>
          <t>%</t>
        </is>
      </c>
      <c r="P1580" t="n">
        <v>0</v>
      </c>
      <c r="Q1580" t="n">
        <v>0</v>
      </c>
      <c r="R1580" t="inlineStr">
        <is>
          <t>481-2025-06-30</t>
        </is>
      </c>
    </row>
    <row r="1581">
      <c r="A1581" t="n">
        <v>481</v>
      </c>
      <c r="B1581" t="inlineStr">
        <is>
          <t>Solicitudes de documentación completadas</t>
        </is>
      </c>
      <c r="C1581" t="inlineStr">
        <is>
          <t>Gestión, Evaluación e Innovación Curricular</t>
        </is>
      </c>
      <c r="D1581" t="inlineStr">
        <is>
          <t>Trimestral</t>
        </is>
      </c>
      <c r="E1581" t="inlineStr">
        <is>
          <t>Positivo</t>
        </is>
      </c>
      <c r="F1581" s="111" t="n">
        <v>46022</v>
      </c>
      <c r="G1581" t="n">
        <v>2025</v>
      </c>
      <c r="H1581" t="inlineStr">
        <is>
          <t>Diciembre</t>
        </is>
      </c>
      <c r="I1581" t="inlineStr">
        <is>
          <t>2025-2</t>
        </is>
      </c>
      <c r="J1581" t="n">
        <v>100</v>
      </c>
      <c r="L1581" s="39" t="n"/>
      <c r="M1581" s="39" t="n"/>
      <c r="N1581" t="inlineStr">
        <is>
          <t>%</t>
        </is>
      </c>
      <c r="O1581" t="inlineStr">
        <is>
          <t>No Aplica</t>
        </is>
      </c>
      <c r="P1581" t="n">
        <v>0</v>
      </c>
      <c r="Q1581" t="n">
        <v>0</v>
      </c>
      <c r="R1581" t="inlineStr">
        <is>
          <t>481-2025-12-31</t>
        </is>
      </c>
      <c r="S1581" t="inlineStr">
        <is>
          <t>No Aplica</t>
        </is>
      </c>
    </row>
    <row r="1582">
      <c r="A1582" t="n">
        <v>483</v>
      </c>
      <c r="B1582" t="inlineStr">
        <is>
          <t>Tasa de incremento en la resolución de solicitudes de la vicerrectoría de crecimiento</t>
        </is>
      </c>
      <c r="C1582" t="inlineStr">
        <is>
          <t>Gestión de campañas integradas de marketing</t>
        </is>
      </c>
      <c r="D1582" t="inlineStr">
        <is>
          <t>Anual</t>
        </is>
      </c>
      <c r="E1582" t="inlineStr">
        <is>
          <t>Positivo</t>
        </is>
      </c>
      <c r="F1582" s="111" t="n">
        <v>45657</v>
      </c>
      <c r="G1582" t="n">
        <v>2024</v>
      </c>
      <c r="H1582" t="inlineStr">
        <is>
          <t>Diciembre</t>
        </is>
      </c>
      <c r="I1582" t="inlineStr">
        <is>
          <t>2024-2</t>
        </is>
      </c>
      <c r="J1582" t="n">
        <v>10</v>
      </c>
      <c r="K1582" t="n">
        <v>91.65000000000001</v>
      </c>
      <c r="L1582" s="39">
        <f>IFERROR(IF(OR(J1582=0,K1582=""),"",IF(E1582="Positivo",MIN(MAX(K1582/J1582,0),1.3),MIN(MAX(J1582/K1582,0),1.3))),"") </f>
        <v/>
      </c>
      <c r="M1582" s="39">
        <f>IFERROR(IF(OR(J1582=0,K1582=""),"",IF(E1582="Positivo",MAX(K1582/J1582,0),MAX(J1582/K1582,0))),"") </f>
        <v/>
      </c>
      <c r="P1582" t="n">
        <v>0</v>
      </c>
      <c r="Q1582" t="n">
        <v>0</v>
      </c>
      <c r="R1582" t="inlineStr">
        <is>
          <t>483-2024-12-31</t>
        </is>
      </c>
    </row>
    <row r="1583">
      <c r="A1583" t="n">
        <v>484</v>
      </c>
      <c r="B1583" t="inlineStr">
        <is>
          <t>Cumplimiento del Programa de la Cultura del Autocuidado</t>
        </is>
      </c>
      <c r="C1583" t="inlineStr">
        <is>
          <t>GESTIÓN DE SEGURIDAD Y SALUD EN EL TRABAJO</t>
        </is>
      </c>
      <c r="D1583" t="inlineStr">
        <is>
          <t>Trimestral</t>
        </is>
      </c>
      <c r="E1583" t="inlineStr">
        <is>
          <t>Positivo</t>
        </is>
      </c>
      <c r="F1583" s="111" t="n">
        <v>45473</v>
      </c>
      <c r="G1583" t="n">
        <v>2024</v>
      </c>
      <c r="H1583" t="inlineStr">
        <is>
          <t>Junio</t>
        </is>
      </c>
      <c r="I1583" t="inlineStr">
        <is>
          <t>2024-1</t>
        </is>
      </c>
      <c r="J1583" t="n">
        <v>90</v>
      </c>
      <c r="K1583" t="n">
        <v>100</v>
      </c>
      <c r="L1583" s="39">
        <f>IFERROR(IF(OR(J1583=0,K1583=""),"",IF(E1583="Positivo",MIN(MAX(K1583/J1583,0),1.3),MIN(MAX(J1583/K1583,0),1.3))),"") </f>
        <v/>
      </c>
      <c r="M1583" s="39">
        <f>IFERROR(IF(OR(J1583=0,K1583=""),"",IF(E1583="Positivo",MAX(K1583/J1583,0),MAX(J1583/K1583,0))),"") </f>
        <v/>
      </c>
      <c r="P1583" t="n">
        <v>0</v>
      </c>
      <c r="Q1583" t="n">
        <v>0</v>
      </c>
      <c r="R1583" t="inlineStr">
        <is>
          <t>484-2024-06-30</t>
        </is>
      </c>
    </row>
    <row r="1584">
      <c r="A1584" t="n">
        <v>484</v>
      </c>
      <c r="B1584" t="inlineStr">
        <is>
          <t>Cumplimiento del Programa de la Cultura del Autocuidado</t>
        </is>
      </c>
      <c r="C1584" t="inlineStr">
        <is>
          <t>GESTIÓN DE SEGURIDAD Y SALUD EN EL TRABAJO</t>
        </is>
      </c>
      <c r="D1584" t="inlineStr">
        <is>
          <t>Trimestral</t>
        </is>
      </c>
      <c r="E1584" t="inlineStr">
        <is>
          <t>Positivo</t>
        </is>
      </c>
      <c r="F1584" s="111" t="n">
        <v>45657</v>
      </c>
      <c r="G1584" t="n">
        <v>2024</v>
      </c>
      <c r="H1584" t="inlineStr">
        <is>
          <t>Diciembre</t>
        </is>
      </c>
      <c r="I1584" t="inlineStr">
        <is>
          <t>2024-2</t>
        </is>
      </c>
      <c r="J1584" t="n">
        <v>90</v>
      </c>
      <c r="K1584" t="n">
        <v>100</v>
      </c>
      <c r="L1584" s="39">
        <f>IFERROR(IF(OR(J1584=0,K1584=""),"",IF(E1584="Positivo",MIN(MAX(K1584/J1584,0),1.3),MIN(MAX(J1584/K1584,0),1.3))),"") </f>
        <v/>
      </c>
      <c r="M1584" s="39">
        <f>IFERROR(IF(OR(J1584=0,K1584=""),"",IF(E1584="Positivo",MAX(K1584/J1584,0),MAX(J1584/K1584,0))),"") </f>
        <v/>
      </c>
      <c r="P1584" t="n">
        <v>0</v>
      </c>
      <c r="Q1584" t="n">
        <v>0</v>
      </c>
      <c r="R1584" t="inlineStr">
        <is>
          <t>484-2024-12-31</t>
        </is>
      </c>
    </row>
    <row r="1585">
      <c r="A1585" t="n">
        <v>484</v>
      </c>
      <c r="B1585" t="inlineStr">
        <is>
          <t>Cumplimiento del Programa de la Cultura del Autocuidado</t>
        </is>
      </c>
      <c r="C1585" t="inlineStr">
        <is>
          <t>GESTIÓN DE SEGURIDAD Y SALUD EN EL TRABAJO</t>
        </is>
      </c>
      <c r="D1585" t="inlineStr">
        <is>
          <t>Trimestral</t>
        </is>
      </c>
      <c r="E1585" t="inlineStr">
        <is>
          <t>Positivo</t>
        </is>
      </c>
      <c r="F1585" s="111" t="n">
        <v>45838</v>
      </c>
      <c r="G1585" t="n">
        <v>2025</v>
      </c>
      <c r="H1585" t="inlineStr">
        <is>
          <t>Junio</t>
        </is>
      </c>
      <c r="I1585" t="inlineStr">
        <is>
          <t>2025-1</t>
        </is>
      </c>
      <c r="J1585" t="n">
        <v>90</v>
      </c>
      <c r="K1585" t="n">
        <v>100</v>
      </c>
      <c r="L1585" s="39">
        <f>IFERROR(IF(OR(J1585=0,K1585=""),"",IF(E1585="Positivo",MIN(MAX(K1585/J1585,0),1.3),MIN(MAX(J1585/K1585,0),1.3))),"") </f>
        <v/>
      </c>
      <c r="M1585" s="39">
        <f>IFERROR(IF(OR(J1585=0,K1585=""),"",IF(E1585="Positivo",MAX(K1585/J1585,0),MAX(J1585/K1585,0))),"") </f>
        <v/>
      </c>
      <c r="N1585" t="inlineStr">
        <is>
          <t>%</t>
        </is>
      </c>
      <c r="O1585" t="inlineStr">
        <is>
          <t>%</t>
        </is>
      </c>
      <c r="P1585" t="n">
        <v>0</v>
      </c>
      <c r="Q1585" t="n">
        <v>0</v>
      </c>
      <c r="R1585" t="inlineStr">
        <is>
          <t>484-2025-06-30</t>
        </is>
      </c>
    </row>
    <row r="1586">
      <c r="A1586" t="n">
        <v>484</v>
      </c>
      <c r="B1586" t="inlineStr">
        <is>
          <t>Cumplimiento del Programa de la Cultura del Autocuidado</t>
        </is>
      </c>
      <c r="C1586" t="inlineStr">
        <is>
          <t>GESTIÓN DE SEGURIDAD Y SALUD EN EL TRABAJO</t>
        </is>
      </c>
      <c r="D1586" t="inlineStr">
        <is>
          <t>Semestral</t>
        </is>
      </c>
      <c r="E1586" t="inlineStr">
        <is>
          <t>Positivo</t>
        </is>
      </c>
      <c r="F1586" s="111" t="n">
        <v>46022</v>
      </c>
      <c r="G1586" t="n">
        <v>2025</v>
      </c>
      <c r="H1586" t="inlineStr">
        <is>
          <t>Diciembre</t>
        </is>
      </c>
      <c r="I1586" t="inlineStr">
        <is>
          <t>2025-2</t>
        </is>
      </c>
      <c r="J1586" t="n">
        <v>90</v>
      </c>
      <c r="K1586" t="n">
        <v>100</v>
      </c>
      <c r="L1586" s="39">
        <f>IFERROR(IF(OR(J1586=0,K1586=""),"",IF(E1586="Positivo",MIN(MAX(K1586/J1586,0),1.3),MIN(MAX(J1586/K1586,0),1.3))),"") </f>
        <v/>
      </c>
      <c r="M1586" s="39">
        <f>IFERROR(IF(OR(J1586=0,K1586=""),"",IF(E1586="Positivo",MAX(K1586/J1586,0),MAX(J1586/K1586,0))),"") </f>
        <v/>
      </c>
      <c r="N1586" t="inlineStr">
        <is>
          <t>%</t>
        </is>
      </c>
      <c r="O1586" t="inlineStr">
        <is>
          <t>%</t>
        </is>
      </c>
      <c r="P1586" t="n">
        <v>0</v>
      </c>
      <c r="Q1586" t="n">
        <v>0</v>
      </c>
      <c r="R1586" t="inlineStr">
        <is>
          <t>484-2025-12-31</t>
        </is>
      </c>
    </row>
    <row r="1587">
      <c r="A1587" t="n">
        <v>485</v>
      </c>
      <c r="B1587" t="inlineStr">
        <is>
          <t>Oportunidad en el cierre de acciones</t>
        </is>
      </c>
      <c r="C1587" t="inlineStr">
        <is>
          <t>Gestión de calidad</t>
        </is>
      </c>
      <c r="D1587" t="inlineStr">
        <is>
          <t>Mensual</t>
        </is>
      </c>
      <c r="E1587" t="inlineStr">
        <is>
          <t>Positivo</t>
        </is>
      </c>
      <c r="F1587" s="111" t="n">
        <v>45473</v>
      </c>
      <c r="G1587" t="n">
        <v>2024</v>
      </c>
      <c r="H1587" t="inlineStr">
        <is>
          <t>Junio</t>
        </is>
      </c>
      <c r="I1587" t="inlineStr">
        <is>
          <t>2024-1</t>
        </is>
      </c>
      <c r="L1587" s="39" t="n"/>
      <c r="M1587" s="39" t="n"/>
      <c r="P1587" t="n">
        <v>0</v>
      </c>
      <c r="Q1587" t="n">
        <v>0</v>
      </c>
      <c r="R1587" t="inlineStr">
        <is>
          <t>485-2024-06-30</t>
        </is>
      </c>
    </row>
    <row r="1588">
      <c r="A1588" t="n">
        <v>485</v>
      </c>
      <c r="B1588" t="inlineStr">
        <is>
          <t>Oportunidad en el cierre de acciones</t>
        </is>
      </c>
      <c r="C1588" t="inlineStr">
        <is>
          <t>Gestión de calidad</t>
        </is>
      </c>
      <c r="D1588" t="inlineStr">
        <is>
          <t>Mensual</t>
        </is>
      </c>
      <c r="E1588" t="inlineStr">
        <is>
          <t>Positivo</t>
        </is>
      </c>
      <c r="F1588" s="111" t="n">
        <v>45657</v>
      </c>
      <c r="G1588" t="n">
        <v>2024</v>
      </c>
      <c r="H1588" t="inlineStr">
        <is>
          <t>Diciembre</t>
        </is>
      </c>
      <c r="I1588" t="inlineStr">
        <is>
          <t>2024-2</t>
        </is>
      </c>
      <c r="J1588" t="n">
        <v>80</v>
      </c>
      <c r="K1588" t="n">
        <v>91.66666666666666</v>
      </c>
      <c r="L1588" s="39">
        <f>IFERROR(IF(OR(J1588=0,K1588=""),"",IF(E1588="Positivo",MIN(MAX(K1588/J1588,0),1.3),MIN(MAX(J1588/K1588,0),1.3))),"") </f>
        <v/>
      </c>
      <c r="M1588" s="39">
        <f>IFERROR(IF(OR(J1588=0,K1588=""),"",IF(E1588="Positivo",MAX(K1588/J1588,0),MAX(J1588/K1588,0))),"") </f>
        <v/>
      </c>
      <c r="P1588" t="n">
        <v>0</v>
      </c>
      <c r="Q1588" t="n">
        <v>0</v>
      </c>
      <c r="R1588" t="inlineStr">
        <is>
          <t>485-2024-12-31</t>
        </is>
      </c>
    </row>
    <row r="1589">
      <c r="A1589" t="n">
        <v>485</v>
      </c>
      <c r="B1589" t="inlineStr">
        <is>
          <t>Oportunidad en el cierre de acciones</t>
        </is>
      </c>
      <c r="C1589" t="inlineStr">
        <is>
          <t>Gestión de calidad</t>
        </is>
      </c>
      <c r="D1589" t="inlineStr">
        <is>
          <t>Mensual</t>
        </is>
      </c>
      <c r="E1589" t="inlineStr">
        <is>
          <t>Positivo</t>
        </is>
      </c>
      <c r="F1589" s="111" t="n">
        <v>45838</v>
      </c>
      <c r="G1589" t="n">
        <v>2025</v>
      </c>
      <c r="H1589" t="inlineStr">
        <is>
          <t>Junio</t>
        </is>
      </c>
      <c r="I1589" t="inlineStr">
        <is>
          <t>2025-1</t>
        </is>
      </c>
      <c r="J1589" t="n">
        <v>80</v>
      </c>
      <c r="K1589" t="n">
        <v>86.11166666666666</v>
      </c>
      <c r="L1589" s="39">
        <f>IFERROR(IF(OR(J1589=0,K1589=""),"",IF(E1589="Positivo",MIN(MAX(K1589/J1589,0),1.3),MIN(MAX(J1589/K1589,0),1.3))),"") </f>
        <v/>
      </c>
      <c r="M1589" s="39">
        <f>IFERROR(IF(OR(J1589=0,K1589=""),"",IF(E1589="Positivo",MAX(K1589/J1589,0),MAX(J1589/K1589,0))),"") </f>
        <v/>
      </c>
      <c r="N1589" t="inlineStr">
        <is>
          <t>%</t>
        </is>
      </c>
      <c r="O1589" t="inlineStr">
        <is>
          <t>%</t>
        </is>
      </c>
      <c r="P1589" t="n">
        <v>0</v>
      </c>
      <c r="Q1589" t="n">
        <v>0</v>
      </c>
      <c r="R1589" t="inlineStr">
        <is>
          <t>485-2025-06-30</t>
        </is>
      </c>
    </row>
    <row r="1590">
      <c r="A1590" t="n">
        <v>485</v>
      </c>
      <c r="B1590" t="inlineStr">
        <is>
          <t>Oportunidad en el cierre de acciones</t>
        </is>
      </c>
      <c r="C1590" t="inlineStr">
        <is>
          <t>Gestión de calidad</t>
        </is>
      </c>
      <c r="D1590" t="inlineStr">
        <is>
          <t>Mensual</t>
        </is>
      </c>
      <c r="E1590" t="inlineStr">
        <is>
          <t>Positivo</t>
        </is>
      </c>
      <c r="F1590" s="111" t="n">
        <v>46022</v>
      </c>
      <c r="G1590" t="n">
        <v>2025</v>
      </c>
      <c r="H1590" t="inlineStr">
        <is>
          <t>Diciembre</t>
        </is>
      </c>
      <c r="I1590" t="inlineStr">
        <is>
          <t>2025-2</t>
        </is>
      </c>
      <c r="J1590" t="n">
        <v>80</v>
      </c>
      <c r="K1590" t="n">
        <v>78.72</v>
      </c>
      <c r="L1590" s="39">
        <f>IFERROR(IF(OR(J1590=0,K1590=""),"",IF(E1590="Positivo",MIN(MAX(K1590/J1590,0),1.3),MIN(MAX(J1590/K1590,0),1.3))),"") </f>
        <v/>
      </c>
      <c r="M1590" s="39">
        <f>IFERROR(IF(OR(J1590=0,K1590=""),"",IF(E1590="Positivo",MAX(K1590/J1590,0),MAX(J1590/K1590,0))),"") </f>
        <v/>
      </c>
      <c r="N1590" t="inlineStr">
        <is>
          <t>%</t>
        </is>
      </c>
      <c r="O1590" t="inlineStr">
        <is>
          <t>%</t>
        </is>
      </c>
      <c r="P1590" t="n">
        <v>0</v>
      </c>
      <c r="Q1590" t="n">
        <v>0</v>
      </c>
      <c r="R1590" t="inlineStr">
        <is>
          <t>485-2025-12-31</t>
        </is>
      </c>
    </row>
    <row r="1591">
      <c r="A1591" t="n">
        <v>486</v>
      </c>
      <c r="B1591" t="inlineStr">
        <is>
          <t>Número de visitas a la página web</t>
        </is>
      </c>
      <c r="C1591" t="inlineStr">
        <is>
          <t>Comunicaciones Internas</t>
        </is>
      </c>
      <c r="D1591" t="inlineStr">
        <is>
          <t>Semestral</t>
        </is>
      </c>
      <c r="E1591" t="inlineStr">
        <is>
          <t>Positivo</t>
        </is>
      </c>
      <c r="F1591" s="111" t="n">
        <v>45473</v>
      </c>
      <c r="G1591" t="n">
        <v>2024</v>
      </c>
      <c r="H1591" t="inlineStr">
        <is>
          <t>Junio</t>
        </is>
      </c>
      <c r="I1591" t="inlineStr">
        <is>
          <t>2024-1</t>
        </is>
      </c>
      <c r="J1591" t="n">
        <v>0</v>
      </c>
      <c r="K1591" t="n">
        <v>4900000</v>
      </c>
      <c r="L1591" s="39">
        <f>IFERROR(IF(OR(J1591=0,K1591=""),"",IF(E1591="Positivo",MIN(MAX(K1591/J1591,0),1.3),MIN(MAX(J1591/K1591,0),1.3))),"") </f>
        <v/>
      </c>
      <c r="M1591" s="39">
        <f>IFERROR(IF(OR(J1591=0,K1591=""),"",IF(E1591="Positivo",MAX(K1591/J1591,0),MAX(J1591/K1591,0))),"") </f>
        <v/>
      </c>
      <c r="P1591" t="n">
        <v>0</v>
      </c>
      <c r="Q1591" t="n">
        <v>0</v>
      </c>
      <c r="R1591" t="inlineStr">
        <is>
          <t>486-2024-06-30</t>
        </is>
      </c>
    </row>
    <row r="1592">
      <c r="A1592" t="n">
        <v>486</v>
      </c>
      <c r="B1592" t="inlineStr">
        <is>
          <t>Número de visitas a la página web</t>
        </is>
      </c>
      <c r="C1592" t="inlineStr">
        <is>
          <t>Comunicaciones Internas</t>
        </is>
      </c>
      <c r="D1592" t="inlineStr">
        <is>
          <t>Semestral</t>
        </is>
      </c>
      <c r="E1592" t="inlineStr">
        <is>
          <t>Positivo</t>
        </is>
      </c>
      <c r="F1592" s="111" t="n">
        <v>45657</v>
      </c>
      <c r="G1592" t="n">
        <v>2024</v>
      </c>
      <c r="H1592" t="inlineStr">
        <is>
          <t>Diciembre</t>
        </is>
      </c>
      <c r="I1592" t="inlineStr">
        <is>
          <t>2024-2</t>
        </is>
      </c>
      <c r="J1592" t="n">
        <v>0</v>
      </c>
      <c r="K1592" t="n">
        <v>2700000</v>
      </c>
      <c r="L1592" s="39">
        <f>IFERROR(IF(OR(J1592=0,K1592=""),"",IF(E1592="Positivo",MIN(MAX(K1592/J1592,0),1.3),MIN(MAX(J1592/K1592,0),1.3))),"") </f>
        <v/>
      </c>
      <c r="M1592" s="39">
        <f>IFERROR(IF(OR(J1592=0,K1592=""),"",IF(E1592="Positivo",MAX(K1592/J1592,0),MAX(J1592/K1592,0))),"") </f>
        <v/>
      </c>
      <c r="P1592" t="n">
        <v>0</v>
      </c>
      <c r="Q1592" t="n">
        <v>0</v>
      </c>
      <c r="R1592" t="inlineStr">
        <is>
          <t>486-2024-12-31</t>
        </is>
      </c>
    </row>
    <row r="1593">
      <c r="A1593" t="n">
        <v>486</v>
      </c>
      <c r="B1593" t="inlineStr">
        <is>
          <t>Número de visitas a la página web</t>
        </is>
      </c>
      <c r="C1593" t="inlineStr">
        <is>
          <t>Comunicaciones Internas</t>
        </is>
      </c>
      <c r="D1593" t="inlineStr">
        <is>
          <t>Trimestral</t>
        </is>
      </c>
      <c r="E1593" t="inlineStr">
        <is>
          <t>Positivo</t>
        </is>
      </c>
      <c r="F1593" s="111" t="n">
        <v>45838</v>
      </c>
      <c r="G1593" t="n">
        <v>2025</v>
      </c>
      <c r="H1593" t="inlineStr">
        <is>
          <t>Junio</t>
        </is>
      </c>
      <c r="I1593" t="inlineStr">
        <is>
          <t>2025-1</t>
        </is>
      </c>
      <c r="K1593" t="n">
        <v>2890610</v>
      </c>
      <c r="L1593" s="39" t="n"/>
      <c r="M1593" s="39" t="n"/>
      <c r="N1593" t="inlineStr">
        <is>
          <t>%</t>
        </is>
      </c>
      <c r="O1593" t="inlineStr">
        <is>
          <t>%</t>
        </is>
      </c>
      <c r="P1593" t="n">
        <v>0</v>
      </c>
      <c r="Q1593" t="n">
        <v>0</v>
      </c>
      <c r="R1593" t="inlineStr">
        <is>
          <t>486-2025-06-30</t>
        </is>
      </c>
    </row>
    <row r="1594">
      <c r="A1594" t="n">
        <v>486</v>
      </c>
      <c r="B1594" t="inlineStr">
        <is>
          <t>Número de visitas a la página web</t>
        </is>
      </c>
      <c r="C1594" t="inlineStr">
        <is>
          <t>Comunicaciones Internas</t>
        </is>
      </c>
      <c r="D1594" t="inlineStr">
        <is>
          <t>Trimestral</t>
        </is>
      </c>
      <c r="E1594" t="inlineStr">
        <is>
          <t>Positivo</t>
        </is>
      </c>
      <c r="F1594" s="111" t="n">
        <v>46022</v>
      </c>
      <c r="G1594" t="n">
        <v>2025</v>
      </c>
      <c r="H1594" t="inlineStr">
        <is>
          <t>Diciembre</t>
        </is>
      </c>
      <c r="I1594" t="inlineStr">
        <is>
          <t>2025-2</t>
        </is>
      </c>
      <c r="K1594" t="n">
        <v>2703941</v>
      </c>
      <c r="L1594" s="39" t="n"/>
      <c r="M1594" s="39" t="n"/>
      <c r="N1594" t="inlineStr">
        <is>
          <t>%</t>
        </is>
      </c>
      <c r="O1594" t="inlineStr">
        <is>
          <t>%</t>
        </is>
      </c>
      <c r="P1594" t="n">
        <v>0</v>
      </c>
      <c r="Q1594" t="n">
        <v>0</v>
      </c>
      <c r="R1594" t="inlineStr">
        <is>
          <t>486-2025-12-31</t>
        </is>
      </c>
    </row>
    <row r="1595">
      <c r="A1595" t="n">
        <v>487</v>
      </c>
      <c r="B1595" t="inlineStr">
        <is>
          <t>Impactados Talleres de formación</t>
        </is>
      </c>
      <c r="C1595" t="inlineStr">
        <is>
          <t>Centro de Medios Audiovisuales</t>
        </is>
      </c>
      <c r="D1595" t="inlineStr">
        <is>
          <t>Anual</t>
        </is>
      </c>
      <c r="E1595" t="inlineStr">
        <is>
          <t>Positivo</t>
        </is>
      </c>
      <c r="F1595" s="111" t="n">
        <v>45657</v>
      </c>
      <c r="G1595" t="n">
        <v>2024</v>
      </c>
      <c r="H1595" t="inlineStr">
        <is>
          <t>Diciembre</t>
        </is>
      </c>
      <c r="I1595" t="inlineStr">
        <is>
          <t>2024-2</t>
        </is>
      </c>
      <c r="J1595" t="n">
        <v>20</v>
      </c>
      <c r="K1595" t="n">
        <v>6.06</v>
      </c>
      <c r="L1595" s="39">
        <f>IFERROR(IF(OR(J1595=0,K1595=""),"",IF(E1595="Positivo",MIN(MAX(K1595/J1595,0),1.3),MIN(MAX(J1595/K1595,0),1.3))),"") </f>
        <v/>
      </c>
      <c r="M1595" s="39">
        <f>IFERROR(IF(OR(J1595=0,K1595=""),"",IF(E1595="Positivo",MAX(K1595/J1595,0),MAX(J1595/K1595,0))),"") </f>
        <v/>
      </c>
      <c r="P1595" t="n">
        <v>0</v>
      </c>
      <c r="Q1595" t="n">
        <v>0</v>
      </c>
      <c r="R1595" t="inlineStr">
        <is>
          <t>487-2024-12-31</t>
        </is>
      </c>
    </row>
    <row r="1596">
      <c r="A1596" t="n">
        <v>487</v>
      </c>
      <c r="B1596" t="inlineStr">
        <is>
          <t>Número Impactados Talleres de formación</t>
        </is>
      </c>
      <c r="C1596" t="inlineStr">
        <is>
          <t>Centro de Medios Audiovisuales</t>
        </is>
      </c>
      <c r="D1596" t="inlineStr">
        <is>
          <t>Anual</t>
        </is>
      </c>
      <c r="E1596" t="inlineStr">
        <is>
          <t>Positivo</t>
        </is>
      </c>
      <c r="F1596" s="111" t="n">
        <v>46022</v>
      </c>
      <c r="G1596" t="n">
        <v>2025</v>
      </c>
      <c r="H1596" t="inlineStr">
        <is>
          <t>Diciembre</t>
        </is>
      </c>
      <c r="I1596" t="inlineStr">
        <is>
          <t>2025-2</t>
        </is>
      </c>
      <c r="J1596" t="n">
        <v>20</v>
      </c>
      <c r="K1596" t="n">
        <v>58.86</v>
      </c>
      <c r="L1596" s="39">
        <f>IFERROR(IF(OR(J1596=0,K1596=""),"",IF(E1596="Positivo",MIN(MAX(K1596/J1596,0),1.3),MIN(MAX(J1596/K1596,0),1.3))),"") </f>
        <v/>
      </c>
      <c r="M1596" s="39">
        <f>IFERROR(IF(OR(J1596=0,K1596=""),"",IF(E1596="Positivo",MAX(K1596/J1596,0),MAX(J1596/K1596,0))),"") </f>
        <v/>
      </c>
      <c r="N1596" t="inlineStr">
        <is>
          <t>%</t>
        </is>
      </c>
      <c r="O1596" t="inlineStr">
        <is>
          <t>%</t>
        </is>
      </c>
      <c r="P1596" t="n">
        <v>0</v>
      </c>
      <c r="Q1596" t="n">
        <v>0</v>
      </c>
      <c r="R1596" t="inlineStr">
        <is>
          <t>487-2025-12-31</t>
        </is>
      </c>
    </row>
    <row r="1597">
      <c r="A1597" t="n">
        <v>488</v>
      </c>
      <c r="B1597" t="inlineStr">
        <is>
          <t>Oportunidad en el cierre de actividades de los planes de mejora</t>
        </is>
      </c>
      <c r="C1597" t="inlineStr">
        <is>
          <t>Gestión de calidad</t>
        </is>
      </c>
      <c r="D1597" t="inlineStr">
        <is>
          <t>Mensual</t>
        </is>
      </c>
      <c r="E1597" t="inlineStr">
        <is>
          <t>Positivo</t>
        </is>
      </c>
      <c r="F1597" s="111" t="n">
        <v>45473</v>
      </c>
      <c r="G1597" t="n">
        <v>2024</v>
      </c>
      <c r="H1597" t="inlineStr">
        <is>
          <t>Junio</t>
        </is>
      </c>
      <c r="I1597" t="inlineStr">
        <is>
          <t>2024-1</t>
        </is>
      </c>
      <c r="L1597" s="39" t="n"/>
      <c r="M1597" s="39" t="n"/>
      <c r="P1597" t="n">
        <v>0</v>
      </c>
      <c r="Q1597" t="n">
        <v>0</v>
      </c>
      <c r="R1597" t="inlineStr">
        <is>
          <t>488-2024-06-30</t>
        </is>
      </c>
    </row>
    <row r="1598">
      <c r="A1598" t="n">
        <v>488</v>
      </c>
      <c r="B1598" t="inlineStr">
        <is>
          <t>Oportunidad en el cierre de actividades de los planes de mejora</t>
        </is>
      </c>
      <c r="C1598" t="inlineStr">
        <is>
          <t>Gestión de calidad</t>
        </is>
      </c>
      <c r="D1598" t="inlineStr">
        <is>
          <t>Mensual</t>
        </is>
      </c>
      <c r="E1598" t="inlineStr">
        <is>
          <t>Positivo</t>
        </is>
      </c>
      <c r="F1598" s="111" t="n">
        <v>45657</v>
      </c>
      <c r="G1598" t="n">
        <v>2024</v>
      </c>
      <c r="H1598" t="inlineStr">
        <is>
          <t>Diciembre</t>
        </is>
      </c>
      <c r="I1598" t="inlineStr">
        <is>
          <t>2024-2</t>
        </is>
      </c>
      <c r="J1598" t="n">
        <v>85</v>
      </c>
      <c r="K1598" t="n">
        <v>92.96128846079502</v>
      </c>
      <c r="L1598" s="39">
        <f>IFERROR(IF(OR(J1598=0,K1598=""),"",IF(E1598="Positivo",MIN(MAX(K1598/J1598,0),1.3),MIN(MAX(J1598/K1598,0),1.3))),"") </f>
        <v/>
      </c>
      <c r="M1598" s="39">
        <f>IFERROR(IF(OR(J1598=0,K1598=""),"",IF(E1598="Positivo",MAX(K1598/J1598,0),MAX(J1598/K1598,0))),"") </f>
        <v/>
      </c>
      <c r="P1598" t="n">
        <v>0</v>
      </c>
      <c r="Q1598" t="n">
        <v>0</v>
      </c>
      <c r="R1598" t="inlineStr">
        <is>
          <t>488-2024-12-31</t>
        </is>
      </c>
    </row>
    <row r="1599">
      <c r="A1599" t="n">
        <v>488</v>
      </c>
      <c r="B1599" t="inlineStr">
        <is>
          <t>Oportunidad en el cierre de actividades de los planes de mejora</t>
        </is>
      </c>
      <c r="C1599" t="inlineStr">
        <is>
          <t>Gestión de calidad</t>
        </is>
      </c>
      <c r="D1599" t="inlineStr">
        <is>
          <t>Mensual</t>
        </is>
      </c>
      <c r="E1599" t="inlineStr">
        <is>
          <t>Positivo</t>
        </is>
      </c>
      <c r="F1599" s="111" t="n">
        <v>45838</v>
      </c>
      <c r="G1599" t="n">
        <v>2025</v>
      </c>
      <c r="H1599" t="inlineStr">
        <is>
          <t>Junio</t>
        </is>
      </c>
      <c r="I1599" t="inlineStr">
        <is>
          <t>2025-1</t>
        </is>
      </c>
      <c r="J1599" t="n">
        <v>85</v>
      </c>
      <c r="K1599" t="n">
        <v>72.08693256814921</v>
      </c>
      <c r="L1599" s="39">
        <f>IFERROR(IF(OR(J1599=0,K1599=""),"",IF(E1599="Positivo",MIN(MAX(K1599/J1599,0),1.3),MIN(MAX(J1599/K1599,0),1.3))),"") </f>
        <v/>
      </c>
      <c r="M1599" s="39">
        <f>IFERROR(IF(OR(J1599=0,K1599=""),"",IF(E1599="Positivo",MAX(K1599/J1599,0),MAX(J1599/K1599,0))),"") </f>
        <v/>
      </c>
      <c r="N1599" t="inlineStr">
        <is>
          <t>%</t>
        </is>
      </c>
      <c r="O1599" t="inlineStr">
        <is>
          <t>%</t>
        </is>
      </c>
      <c r="P1599" t="n">
        <v>0</v>
      </c>
      <c r="Q1599" t="n">
        <v>0</v>
      </c>
      <c r="R1599" t="inlineStr">
        <is>
          <t>488-2025-06-30</t>
        </is>
      </c>
    </row>
    <row r="1600">
      <c r="A1600" t="n">
        <v>488</v>
      </c>
      <c r="B1600" t="inlineStr">
        <is>
          <t>Oportunidad en el cierre de actividades de los planes de mejora</t>
        </is>
      </c>
      <c r="C1600" t="inlineStr">
        <is>
          <t>Gestión de calidad</t>
        </is>
      </c>
      <c r="D1600" t="inlineStr">
        <is>
          <t>Mensual</t>
        </is>
      </c>
      <c r="E1600" t="inlineStr">
        <is>
          <t>Positivo</t>
        </is>
      </c>
      <c r="F1600" s="111" t="n">
        <v>46022</v>
      </c>
      <c r="G1600" t="n">
        <v>2025</v>
      </c>
      <c r="H1600" t="inlineStr">
        <is>
          <t>Diciembre</t>
        </is>
      </c>
      <c r="I1600" t="inlineStr">
        <is>
          <t>2025-2</t>
        </is>
      </c>
      <c r="J1600" t="n">
        <v>85</v>
      </c>
      <c r="K1600" t="n">
        <v>81.46166666666666</v>
      </c>
      <c r="L1600" s="39">
        <f>IFERROR(IF(OR(J1600=0,K1600=""),"",IF(E1600="Positivo",MIN(MAX(K1600/J1600,0),1.3),MIN(MAX(J1600/K1600,0),1.3))),"") </f>
        <v/>
      </c>
      <c r="M1600" s="39">
        <f>IFERROR(IF(OR(J1600=0,K1600=""),"",IF(E1600="Positivo",MAX(K1600/J1600,0),MAX(J1600/K1600,0))),"") </f>
        <v/>
      </c>
      <c r="N1600" t="inlineStr">
        <is>
          <t>%</t>
        </is>
      </c>
      <c r="O1600" t="inlineStr">
        <is>
          <t>%</t>
        </is>
      </c>
      <c r="P1600" t="n">
        <v>0</v>
      </c>
      <c r="Q1600" t="n">
        <v>0</v>
      </c>
      <c r="R1600" t="inlineStr">
        <is>
          <t>488-2025-12-31</t>
        </is>
      </c>
    </row>
    <row r="1601">
      <c r="A1601" t="n">
        <v>489</v>
      </c>
      <c r="B1601" t="inlineStr">
        <is>
          <t>Cumplimiento en la evaluación de las oportunidades de mejora (OM)</t>
        </is>
      </c>
      <c r="C1601" t="inlineStr">
        <is>
          <t>Gestión de calidad</t>
        </is>
      </c>
      <c r="D1601" t="inlineStr">
        <is>
          <t>Mensual</t>
        </is>
      </c>
      <c r="E1601" t="inlineStr">
        <is>
          <t>Positivo</t>
        </is>
      </c>
      <c r="F1601" s="111" t="n">
        <v>45473</v>
      </c>
      <c r="G1601" t="n">
        <v>2024</v>
      </c>
      <c r="H1601" t="inlineStr">
        <is>
          <t>Junio</t>
        </is>
      </c>
      <c r="I1601" t="inlineStr">
        <is>
          <t>2024-1</t>
        </is>
      </c>
      <c r="L1601" s="39" t="n"/>
      <c r="M1601" s="39" t="n"/>
      <c r="P1601" t="n">
        <v>0</v>
      </c>
      <c r="Q1601" t="n">
        <v>0</v>
      </c>
      <c r="R1601" t="inlineStr">
        <is>
          <t>489-2024-06-30</t>
        </is>
      </c>
    </row>
    <row r="1602">
      <c r="A1602" t="n">
        <v>489</v>
      </c>
      <c r="B1602" t="inlineStr">
        <is>
          <t>Cumplimiento en la evaluación de las oportunidades de mejora (OM)</t>
        </is>
      </c>
      <c r="C1602" t="inlineStr">
        <is>
          <t>Gestión de calidad</t>
        </is>
      </c>
      <c r="D1602" t="inlineStr">
        <is>
          <t>Mensual</t>
        </is>
      </c>
      <c r="E1602" t="inlineStr">
        <is>
          <t>Positivo</t>
        </is>
      </c>
      <c r="F1602" s="111" t="n">
        <v>45657</v>
      </c>
      <c r="G1602" t="n">
        <v>2024</v>
      </c>
      <c r="H1602" t="inlineStr">
        <is>
          <t>Diciembre</t>
        </is>
      </c>
      <c r="I1602" t="inlineStr">
        <is>
          <t>2024-2</t>
        </is>
      </c>
      <c r="J1602" t="n">
        <v>80</v>
      </c>
      <c r="K1602" t="n">
        <v>100</v>
      </c>
      <c r="L1602" s="39">
        <f>IFERROR(IF(OR(J1602=0,K1602=""),"",IF(E1602="Positivo",MIN(MAX(K1602/J1602,0),1.3),MIN(MAX(J1602/K1602,0),1.3))),"") </f>
        <v/>
      </c>
      <c r="M1602" s="39">
        <f>IFERROR(IF(OR(J1602=0,K1602=""),"",IF(E1602="Positivo",MAX(K1602/J1602,0),MAX(J1602/K1602,0))),"") </f>
        <v/>
      </c>
      <c r="P1602" t="n">
        <v>0</v>
      </c>
      <c r="Q1602" t="n">
        <v>0</v>
      </c>
      <c r="R1602" t="inlineStr">
        <is>
          <t>489-2024-12-31</t>
        </is>
      </c>
    </row>
    <row r="1603">
      <c r="A1603" t="n">
        <v>490</v>
      </c>
      <c r="B1603" t="inlineStr">
        <is>
          <t>Nivel de Satisfacción Servicios Prestados - Planeación Estratégica</t>
        </is>
      </c>
      <c r="C1603" t="inlineStr">
        <is>
          <t>Planeación Estratégica</t>
        </is>
      </c>
      <c r="D1603" t="inlineStr">
        <is>
          <t>Anual</t>
        </is>
      </c>
      <c r="E1603" t="inlineStr">
        <is>
          <t>Positivo</t>
        </is>
      </c>
      <c r="F1603" s="111" t="n">
        <v>45657</v>
      </c>
      <c r="G1603" t="n">
        <v>2024</v>
      </c>
      <c r="H1603" t="inlineStr">
        <is>
          <t>Diciembre</t>
        </is>
      </c>
      <c r="I1603" t="inlineStr">
        <is>
          <t>2024-2</t>
        </is>
      </c>
      <c r="J1603" t="n">
        <v>80</v>
      </c>
      <c r="K1603" t="n">
        <v>88</v>
      </c>
      <c r="L1603" s="39">
        <f>IFERROR(IF(OR(J1603=0,K1603=""),"",IF(E1603="Positivo",MIN(MAX(K1603/J1603,0),1.3),MIN(MAX(J1603/K1603,0),1.3))),"") </f>
        <v/>
      </c>
      <c r="M1603" s="39">
        <f>IFERROR(IF(OR(J1603=0,K1603=""),"",IF(E1603="Positivo",MAX(K1603/J1603,0),MAX(J1603/K1603,0))),"") </f>
        <v/>
      </c>
      <c r="P1603" t="n">
        <v>0</v>
      </c>
      <c r="Q1603" t="n">
        <v>0</v>
      </c>
      <c r="R1603" t="inlineStr">
        <is>
          <t>490-2024-12-31</t>
        </is>
      </c>
    </row>
    <row r="1604">
      <c r="A1604" t="n">
        <v>490</v>
      </c>
      <c r="B1604" t="inlineStr">
        <is>
          <t>Nivel de Satisfacción Servicios Prestados - Planeación Estratégica</t>
        </is>
      </c>
      <c r="C1604" t="inlineStr">
        <is>
          <t>Planeación Estratégica</t>
        </is>
      </c>
      <c r="D1604" t="inlineStr">
        <is>
          <t>Anual</t>
        </is>
      </c>
      <c r="E1604" t="inlineStr">
        <is>
          <t>Positivo</t>
        </is>
      </c>
      <c r="F1604" s="111" t="n">
        <v>46022</v>
      </c>
      <c r="G1604" t="n">
        <v>2025</v>
      </c>
      <c r="H1604" t="inlineStr">
        <is>
          <t>Diciembre</t>
        </is>
      </c>
      <c r="I1604" t="inlineStr">
        <is>
          <t>2025-2</t>
        </is>
      </c>
      <c r="J1604" t="n">
        <v>80</v>
      </c>
      <c r="K1604" t="n">
        <v>100</v>
      </c>
      <c r="L1604" s="39">
        <f>IFERROR(IF(OR(J1604=0,K1604=""),"",IF(E1604="Positivo",MIN(MAX(K1604/J1604,0),1.3),MIN(MAX(J1604/K1604,0),1.3))),"") </f>
        <v/>
      </c>
      <c r="M1604" s="39">
        <f>IFERROR(IF(OR(J1604=0,K1604=""),"",IF(E1604="Positivo",MAX(K1604/J1604,0),MAX(J1604/K1604,0))),"") </f>
        <v/>
      </c>
      <c r="N1604" t="inlineStr">
        <is>
          <t>%</t>
        </is>
      </c>
      <c r="O1604" t="inlineStr">
        <is>
          <t>%</t>
        </is>
      </c>
      <c r="P1604" t="n">
        <v>0</v>
      </c>
      <c r="Q1604" t="n">
        <v>0</v>
      </c>
      <c r="R1604" t="inlineStr">
        <is>
          <t>490-2025-12-31</t>
        </is>
      </c>
    </row>
    <row r="1605">
      <c r="A1605" t="n">
        <v>491</v>
      </c>
      <c r="B1605" t="inlineStr">
        <is>
          <t>Nivel de Satisfacción Servicios Prestados - Gestión de proyectos</t>
        </is>
      </c>
      <c r="C1605" t="inlineStr">
        <is>
          <t>Gestión de Proyectos</t>
        </is>
      </c>
      <c r="D1605" t="inlineStr">
        <is>
          <t>Anual</t>
        </is>
      </c>
      <c r="E1605" t="inlineStr">
        <is>
          <t>Positivo</t>
        </is>
      </c>
      <c r="F1605" s="111" t="n">
        <v>45657</v>
      </c>
      <c r="G1605" t="n">
        <v>2024</v>
      </c>
      <c r="H1605" t="inlineStr">
        <is>
          <t>Diciembre</t>
        </is>
      </c>
      <c r="I1605" t="inlineStr">
        <is>
          <t>2024-2</t>
        </is>
      </c>
      <c r="J1605" t="n">
        <v>80</v>
      </c>
      <c r="K1605" t="n">
        <v>88</v>
      </c>
      <c r="L1605" s="39">
        <f>IFERROR(IF(OR(J1605=0,K1605=""),"",IF(E1605="Positivo",MIN(MAX(K1605/J1605,0),1.3),MIN(MAX(J1605/K1605,0),1.3))),"") </f>
        <v/>
      </c>
      <c r="M1605" s="39">
        <f>IFERROR(IF(OR(J1605=0,K1605=""),"",IF(E1605="Positivo",MAX(K1605/J1605,0),MAX(J1605/K1605,0))),"") </f>
        <v/>
      </c>
      <c r="P1605" t="n">
        <v>0</v>
      </c>
      <c r="Q1605" t="n">
        <v>0</v>
      </c>
      <c r="R1605" t="inlineStr">
        <is>
          <t>491-2024-12-31</t>
        </is>
      </c>
    </row>
    <row r="1606">
      <c r="A1606" t="n">
        <v>491</v>
      </c>
      <c r="B1606" t="inlineStr">
        <is>
          <t>Nivel de Satisfacción Servicios Prestados - Gestión de proyectos</t>
        </is>
      </c>
      <c r="C1606" t="inlineStr">
        <is>
          <t>Gestión de Proyectos</t>
        </is>
      </c>
      <c r="D1606" t="inlineStr">
        <is>
          <t>Anual</t>
        </is>
      </c>
      <c r="E1606" t="inlineStr">
        <is>
          <t>Positivo</t>
        </is>
      </c>
      <c r="F1606" s="111" t="n">
        <v>46022</v>
      </c>
      <c r="G1606" t="n">
        <v>2025</v>
      </c>
      <c r="H1606" t="inlineStr">
        <is>
          <t>Diciembre</t>
        </is>
      </c>
      <c r="I1606" t="inlineStr">
        <is>
          <t>2025-2</t>
        </is>
      </c>
      <c r="J1606" t="n">
        <v>80</v>
      </c>
      <c r="K1606" t="n">
        <v>100</v>
      </c>
      <c r="L1606" s="39">
        <f>IFERROR(IF(OR(J1606=0,K1606=""),"",IF(E1606="Positivo",MIN(MAX(K1606/J1606,0),1.3),MIN(MAX(J1606/K1606,0),1.3))),"") </f>
        <v/>
      </c>
      <c r="M1606" s="39">
        <f>IFERROR(IF(OR(J1606=0,K1606=""),"",IF(E1606="Positivo",MAX(K1606/J1606,0),MAX(J1606/K1606,0))),"") </f>
        <v/>
      </c>
      <c r="N1606" t="inlineStr">
        <is>
          <t>%</t>
        </is>
      </c>
      <c r="O1606" t="inlineStr">
        <is>
          <t>%</t>
        </is>
      </c>
      <c r="P1606" t="n">
        <v>0</v>
      </c>
      <c r="Q1606" t="n">
        <v>0</v>
      </c>
      <c r="R1606" t="inlineStr">
        <is>
          <t>491-2025-12-31</t>
        </is>
      </c>
    </row>
    <row r="1607">
      <c r="A1607" t="n">
        <v>492</v>
      </c>
      <c r="B1607" t="inlineStr">
        <is>
          <t>Nivel de Satisfacción Servicios Prestados - Desempeño Institucional</t>
        </is>
      </c>
      <c r="C1607" t="inlineStr">
        <is>
          <t>Desempeño Institucional</t>
        </is>
      </c>
      <c r="D1607" t="inlineStr">
        <is>
          <t>Anual</t>
        </is>
      </c>
      <c r="E1607" t="inlineStr">
        <is>
          <t>Positivo</t>
        </is>
      </c>
      <c r="F1607" s="111" t="n">
        <v>45657</v>
      </c>
      <c r="G1607" t="n">
        <v>2024</v>
      </c>
      <c r="H1607" t="inlineStr">
        <is>
          <t>Diciembre</t>
        </is>
      </c>
      <c r="I1607" t="inlineStr">
        <is>
          <t>2024-2</t>
        </is>
      </c>
      <c r="J1607" t="n">
        <v>80</v>
      </c>
      <c r="K1607" t="n">
        <v>83</v>
      </c>
      <c r="L1607" s="39">
        <f>IFERROR(IF(OR(J1607=0,K1607=""),"",IF(E1607="Positivo",MIN(MAX(K1607/J1607,0),1.3),MIN(MAX(J1607/K1607,0),1.3))),"") </f>
        <v/>
      </c>
      <c r="M1607" s="39">
        <f>IFERROR(IF(OR(J1607=0,K1607=""),"",IF(E1607="Positivo",MAX(K1607/J1607,0),MAX(J1607/K1607,0))),"") </f>
        <v/>
      </c>
      <c r="P1607" t="n">
        <v>0</v>
      </c>
      <c r="Q1607" t="n">
        <v>0</v>
      </c>
      <c r="R1607" t="inlineStr">
        <is>
          <t>492-2024-12-31</t>
        </is>
      </c>
    </row>
    <row r="1608">
      <c r="A1608" t="n">
        <v>492</v>
      </c>
      <c r="B1608" t="inlineStr">
        <is>
          <t>Nivel de Satisfacción Servicios Prestados - Desempeño Institucional</t>
        </is>
      </c>
      <c r="C1608" t="inlineStr">
        <is>
          <t>Desempeño Institucional</t>
        </is>
      </c>
      <c r="D1608" t="inlineStr">
        <is>
          <t>Anual</t>
        </is>
      </c>
      <c r="E1608" t="inlineStr">
        <is>
          <t>Positivo</t>
        </is>
      </c>
      <c r="F1608" s="111" t="n">
        <v>46022</v>
      </c>
      <c r="G1608" t="n">
        <v>2025</v>
      </c>
      <c r="H1608" t="inlineStr">
        <is>
          <t>Diciembre</t>
        </is>
      </c>
      <c r="I1608" t="inlineStr">
        <is>
          <t>2025-2</t>
        </is>
      </c>
      <c r="J1608" t="n">
        <v>80</v>
      </c>
      <c r="K1608" t="n">
        <v>95</v>
      </c>
      <c r="L1608" s="39">
        <f>IFERROR(IF(OR(J1608=0,K1608=""),"",IF(E1608="Positivo",MIN(MAX(K1608/J1608,0),1.3),MIN(MAX(J1608/K1608,0),1.3))),"") </f>
        <v/>
      </c>
      <c r="M1608" s="39">
        <f>IFERROR(IF(OR(J1608=0,K1608=""),"",IF(E1608="Positivo",MAX(K1608/J1608,0),MAX(J1608/K1608,0))),"") </f>
        <v/>
      </c>
      <c r="N1608" t="inlineStr">
        <is>
          <t>%</t>
        </is>
      </c>
      <c r="O1608" t="inlineStr">
        <is>
          <t>%</t>
        </is>
      </c>
      <c r="P1608" t="n">
        <v>0</v>
      </c>
      <c r="Q1608" t="n">
        <v>0</v>
      </c>
      <c r="R1608" t="inlineStr">
        <is>
          <t>492-2025-12-31</t>
        </is>
      </c>
    </row>
    <row r="1609">
      <c r="A1609" t="n">
        <v>493</v>
      </c>
      <c r="B1609" t="inlineStr">
        <is>
          <t>Nivel de Satisfacción Servicios Prestados - Gestión Jurídica Y Normativa</t>
        </is>
      </c>
      <c r="C1609" t="inlineStr">
        <is>
          <t>GESTIÓN JURÍDICA Y NORMATIVA</t>
        </is>
      </c>
      <c r="D1609" t="inlineStr">
        <is>
          <t>Anual</t>
        </is>
      </c>
      <c r="E1609" t="inlineStr">
        <is>
          <t>Positivo</t>
        </is>
      </c>
      <c r="F1609" s="111" t="n">
        <v>45657</v>
      </c>
      <c r="G1609" t="n">
        <v>2024</v>
      </c>
      <c r="H1609" t="inlineStr">
        <is>
          <t>Diciembre</t>
        </is>
      </c>
      <c r="I1609" t="inlineStr">
        <is>
          <t>2024-2</t>
        </is>
      </c>
      <c r="J1609" t="n">
        <v>80</v>
      </c>
      <c r="K1609" t="n">
        <v>81</v>
      </c>
      <c r="L1609" s="39">
        <f>IFERROR(IF(OR(J1609=0,K1609=""),"",IF(E1609="Positivo",MIN(MAX(K1609/J1609,0),1.3),MIN(MAX(J1609/K1609,0),1.3))),"") </f>
        <v/>
      </c>
      <c r="M1609" s="39">
        <f>IFERROR(IF(OR(J1609=0,K1609=""),"",IF(E1609="Positivo",MAX(K1609/J1609,0),MAX(J1609/K1609,0))),"") </f>
        <v/>
      </c>
      <c r="P1609" t="n">
        <v>0</v>
      </c>
      <c r="Q1609" t="n">
        <v>0</v>
      </c>
      <c r="R1609" t="inlineStr">
        <is>
          <t>493-2024-12-31</t>
        </is>
      </c>
    </row>
    <row r="1610">
      <c r="A1610" t="n">
        <v>493</v>
      </c>
      <c r="B1610" t="inlineStr">
        <is>
          <t>Nivel de Satisfacción Servicios Prestados - Gestión Jurídica Y Normativa</t>
        </is>
      </c>
      <c r="C1610" t="inlineStr">
        <is>
          <t>GESTIÓN JURÍDICA Y NORMATIVA</t>
        </is>
      </c>
      <c r="D1610" t="inlineStr">
        <is>
          <t>Anual</t>
        </is>
      </c>
      <c r="E1610" t="inlineStr">
        <is>
          <t>Positivo</t>
        </is>
      </c>
      <c r="F1610" s="111" t="n">
        <v>46022</v>
      </c>
      <c r="G1610" t="n">
        <v>2025</v>
      </c>
      <c r="H1610" t="inlineStr">
        <is>
          <t>Diciembre</t>
        </is>
      </c>
      <c r="I1610" t="inlineStr">
        <is>
          <t>2025-2</t>
        </is>
      </c>
      <c r="J1610" t="n">
        <v>80</v>
      </c>
      <c r="K1610" t="n">
        <v>77</v>
      </c>
      <c r="L1610" s="39">
        <f>IFERROR(IF(OR(J1610=0,K1610=""),"",IF(E1610="Positivo",MIN(MAX(K1610/J1610,0),1.3),MIN(MAX(J1610/K1610,0),1.3))),"") </f>
        <v/>
      </c>
      <c r="M1610" s="39">
        <f>IFERROR(IF(OR(J1610=0,K1610=""),"",IF(E1610="Positivo",MAX(K1610/J1610,0),MAX(J1610/K1610,0))),"") </f>
        <v/>
      </c>
      <c r="N1610" t="inlineStr">
        <is>
          <t>%</t>
        </is>
      </c>
      <c r="O1610" t="inlineStr">
        <is>
          <t>%</t>
        </is>
      </c>
      <c r="P1610" t="n">
        <v>0</v>
      </c>
      <c r="Q1610" t="n">
        <v>0</v>
      </c>
      <c r="R1610" t="inlineStr">
        <is>
          <t>493-2025-12-31</t>
        </is>
      </c>
    </row>
    <row r="1611">
      <c r="A1611" t="n">
        <v>494</v>
      </c>
      <c r="B1611" t="inlineStr">
        <is>
          <t>Nivel de Satisfacción Servicios Prestados - Administración De Servicios Generales</t>
        </is>
      </c>
      <c r="C1611" t="inlineStr">
        <is>
          <t>Administración de Servicios Generales</t>
        </is>
      </c>
      <c r="D1611" t="inlineStr">
        <is>
          <t>Anual</t>
        </is>
      </c>
      <c r="E1611" t="inlineStr">
        <is>
          <t>Positivo</t>
        </is>
      </c>
      <c r="F1611" s="111" t="n">
        <v>45657</v>
      </c>
      <c r="G1611" t="n">
        <v>2024</v>
      </c>
      <c r="H1611" t="inlineStr">
        <is>
          <t>Diciembre</t>
        </is>
      </c>
      <c r="I1611" t="inlineStr">
        <is>
          <t>2024-2</t>
        </is>
      </c>
      <c r="J1611" t="n">
        <v>80</v>
      </c>
      <c r="K1611" t="n">
        <v>89</v>
      </c>
      <c r="L1611" s="39">
        <f>IFERROR(IF(OR(J1611=0,K1611=""),"",IF(E1611="Positivo",MIN(MAX(K1611/J1611,0),1.3),MIN(MAX(J1611/K1611,0),1.3))),"") </f>
        <v/>
      </c>
      <c r="M1611" s="39">
        <f>IFERROR(IF(OR(J1611=0,K1611=""),"",IF(E1611="Positivo",MAX(K1611/J1611,0),MAX(J1611/K1611,0))),"") </f>
        <v/>
      </c>
      <c r="P1611" t="n">
        <v>0</v>
      </c>
      <c r="Q1611" t="n">
        <v>0</v>
      </c>
      <c r="R1611" t="inlineStr">
        <is>
          <t>494-2024-12-31</t>
        </is>
      </c>
    </row>
    <row r="1612">
      <c r="A1612" t="n">
        <v>494</v>
      </c>
      <c r="B1612" t="inlineStr">
        <is>
          <t>Nivel de Satisfacción Servicios Prestados - Administración De Servicios Generales</t>
        </is>
      </c>
      <c r="C1612" t="inlineStr">
        <is>
          <t>Administración de Servicios Generales</t>
        </is>
      </c>
      <c r="D1612" t="inlineStr">
        <is>
          <t>Anual</t>
        </is>
      </c>
      <c r="E1612" t="inlineStr">
        <is>
          <t>Positivo</t>
        </is>
      </c>
      <c r="F1612" s="111" t="n">
        <v>46022</v>
      </c>
      <c r="G1612" t="n">
        <v>2025</v>
      </c>
      <c r="H1612" t="inlineStr">
        <is>
          <t>Diciembre</t>
        </is>
      </c>
      <c r="I1612" t="inlineStr">
        <is>
          <t>2025-2</t>
        </is>
      </c>
      <c r="J1612" t="n">
        <v>80</v>
      </c>
      <c r="K1612" t="n">
        <v>93</v>
      </c>
      <c r="L1612" s="39">
        <f>IFERROR(IF(OR(J1612=0,K1612=""),"",IF(E1612="Positivo",MIN(MAX(K1612/J1612,0),1.3),MIN(MAX(J1612/K1612,0),1.3))),"") </f>
        <v/>
      </c>
      <c r="M1612" s="39">
        <f>IFERROR(IF(OR(J1612=0,K1612=""),"",IF(E1612="Positivo",MAX(K1612/J1612,0),MAX(J1612/K1612,0))),"") </f>
        <v/>
      </c>
      <c r="N1612" t="inlineStr">
        <is>
          <t>%</t>
        </is>
      </c>
      <c r="O1612" t="inlineStr">
        <is>
          <t>%</t>
        </is>
      </c>
      <c r="P1612" t="n">
        <v>0</v>
      </c>
      <c r="Q1612" t="n">
        <v>0</v>
      </c>
      <c r="R1612" t="inlineStr">
        <is>
          <t>494-2025-12-31</t>
        </is>
      </c>
    </row>
    <row r="1613">
      <c r="A1613" t="n">
        <v>495</v>
      </c>
      <c r="B1613" t="inlineStr">
        <is>
          <t>Nivel de Satisfacción Servicios Prestados - Contabilidad</t>
        </is>
      </c>
      <c r="C1613" t="inlineStr">
        <is>
          <t>Contabilidad</t>
        </is>
      </c>
      <c r="D1613" t="inlineStr">
        <is>
          <t>Anual</t>
        </is>
      </c>
      <c r="E1613" t="inlineStr">
        <is>
          <t>Positivo</t>
        </is>
      </c>
      <c r="F1613" s="111" t="n">
        <v>45657</v>
      </c>
      <c r="G1613" t="n">
        <v>2024</v>
      </c>
      <c r="H1613" t="inlineStr">
        <is>
          <t>Diciembre</t>
        </is>
      </c>
      <c r="I1613" t="inlineStr">
        <is>
          <t>2024-2</t>
        </is>
      </c>
      <c r="J1613" t="n">
        <v>80</v>
      </c>
      <c r="K1613" t="n">
        <v>92</v>
      </c>
      <c r="L1613" s="39">
        <f>IFERROR(IF(OR(J1613=0,K1613=""),"",IF(E1613="Positivo",MIN(MAX(K1613/J1613,0),1.3),MIN(MAX(J1613/K1613,0),1.3))),"") </f>
        <v/>
      </c>
      <c r="M1613" s="39">
        <f>IFERROR(IF(OR(J1613=0,K1613=""),"",IF(E1613="Positivo",MAX(K1613/J1613,0),MAX(J1613/K1613,0))),"") </f>
        <v/>
      </c>
      <c r="P1613" t="n">
        <v>0</v>
      </c>
      <c r="Q1613" t="n">
        <v>0</v>
      </c>
      <c r="R1613" t="inlineStr">
        <is>
          <t>495-2024-12-31</t>
        </is>
      </c>
    </row>
    <row r="1614">
      <c r="A1614" t="n">
        <v>495</v>
      </c>
      <c r="B1614" t="inlineStr">
        <is>
          <t>Nivel de Satisfacción Servicios Prestados - Contabilidad</t>
        </is>
      </c>
      <c r="C1614" t="inlineStr">
        <is>
          <t>Contabilidad</t>
        </is>
      </c>
      <c r="D1614" t="inlineStr">
        <is>
          <t>Anual</t>
        </is>
      </c>
      <c r="E1614" t="inlineStr">
        <is>
          <t>Positivo</t>
        </is>
      </c>
      <c r="F1614" s="111" t="n">
        <v>46022</v>
      </c>
      <c r="G1614" t="n">
        <v>2025</v>
      </c>
      <c r="H1614" t="inlineStr">
        <is>
          <t>Diciembre</t>
        </is>
      </c>
      <c r="I1614" t="inlineStr">
        <is>
          <t>2025-2</t>
        </is>
      </c>
      <c r="J1614" t="n">
        <v>80</v>
      </c>
      <c r="K1614" t="n">
        <v>63</v>
      </c>
      <c r="L1614" s="39">
        <f>IFERROR(IF(OR(J1614=0,K1614=""),"",IF(E1614="Positivo",MIN(MAX(K1614/J1614,0),1.3),MIN(MAX(J1614/K1614,0),1.3))),"") </f>
        <v/>
      </c>
      <c r="M1614" s="39">
        <f>IFERROR(IF(OR(J1614=0,K1614=""),"",IF(E1614="Positivo",MAX(K1614/J1614,0),MAX(J1614/K1614,0))),"") </f>
        <v/>
      </c>
      <c r="N1614" t="inlineStr">
        <is>
          <t>%</t>
        </is>
      </c>
      <c r="O1614" t="inlineStr">
        <is>
          <t>%</t>
        </is>
      </c>
      <c r="P1614" t="n">
        <v>0</v>
      </c>
      <c r="Q1614" t="n">
        <v>0</v>
      </c>
      <c r="R1614" t="inlineStr">
        <is>
          <t>495-2025-12-31</t>
        </is>
      </c>
    </row>
    <row r="1615">
      <c r="A1615" t="n">
        <v>496</v>
      </c>
      <c r="B1615" t="inlineStr">
        <is>
          <t>Nivel de Satisfacción Servicios Prestados - Planeación Financiera</t>
        </is>
      </c>
      <c r="C1615" t="inlineStr">
        <is>
          <t>Planeación Financiera</t>
        </is>
      </c>
      <c r="D1615" t="inlineStr">
        <is>
          <t>Anual</t>
        </is>
      </c>
      <c r="E1615" t="inlineStr">
        <is>
          <t>Positivo</t>
        </is>
      </c>
      <c r="F1615" s="111" t="n">
        <v>45657</v>
      </c>
      <c r="G1615" t="n">
        <v>2024</v>
      </c>
      <c r="H1615" t="inlineStr">
        <is>
          <t>Diciembre</t>
        </is>
      </c>
      <c r="I1615" t="inlineStr">
        <is>
          <t>2024-2</t>
        </is>
      </c>
      <c r="J1615" t="n">
        <v>80</v>
      </c>
      <c r="K1615" t="n">
        <v>88</v>
      </c>
      <c r="L1615" s="39">
        <f>IFERROR(IF(OR(J1615=0,K1615=""),"",IF(E1615="Positivo",MIN(MAX(K1615/J1615,0),1.3),MIN(MAX(J1615/K1615,0),1.3))),"") </f>
        <v/>
      </c>
      <c r="M1615" s="39">
        <f>IFERROR(IF(OR(J1615=0,K1615=""),"",IF(E1615="Positivo",MAX(K1615/J1615,0),MAX(J1615/K1615,0))),"") </f>
        <v/>
      </c>
      <c r="P1615" t="n">
        <v>0</v>
      </c>
      <c r="Q1615" t="n">
        <v>0</v>
      </c>
      <c r="R1615" t="inlineStr">
        <is>
          <t>496-2024-12-31</t>
        </is>
      </c>
    </row>
    <row r="1616">
      <c r="A1616" t="n">
        <v>496</v>
      </c>
      <c r="B1616" t="inlineStr">
        <is>
          <t>Nivel de Satisfacción Servicios Prestados - Planeación Financiera</t>
        </is>
      </c>
      <c r="C1616" t="inlineStr">
        <is>
          <t>Planeación Financiera</t>
        </is>
      </c>
      <c r="D1616" t="inlineStr">
        <is>
          <t>Anual</t>
        </is>
      </c>
      <c r="E1616" t="inlineStr">
        <is>
          <t>Positivo</t>
        </is>
      </c>
      <c r="F1616" s="111" t="n">
        <v>46022</v>
      </c>
      <c r="G1616" t="n">
        <v>2025</v>
      </c>
      <c r="H1616" t="inlineStr">
        <is>
          <t>Diciembre</t>
        </is>
      </c>
      <c r="I1616" t="inlineStr">
        <is>
          <t>2025-2</t>
        </is>
      </c>
      <c r="J1616" t="n">
        <v>80</v>
      </c>
      <c r="K1616" t="n">
        <v>100</v>
      </c>
      <c r="L1616" s="39">
        <f>IFERROR(IF(OR(J1616=0,K1616=""),"",IF(E1616="Positivo",MIN(MAX(K1616/J1616,0),1.3),MIN(MAX(J1616/K1616,0),1.3))),"") </f>
        <v/>
      </c>
      <c r="M1616" s="39">
        <f>IFERROR(IF(OR(J1616=0,K1616=""),"",IF(E1616="Positivo",MAX(K1616/J1616,0),MAX(J1616/K1616,0))),"") </f>
        <v/>
      </c>
      <c r="N1616" t="inlineStr">
        <is>
          <t>%</t>
        </is>
      </c>
      <c r="O1616" t="inlineStr">
        <is>
          <t>%</t>
        </is>
      </c>
      <c r="P1616" t="n">
        <v>0</v>
      </c>
      <c r="Q1616" t="n">
        <v>0</v>
      </c>
      <c r="R1616" t="inlineStr">
        <is>
          <t>496-2025-12-31</t>
        </is>
      </c>
    </row>
    <row r="1617">
      <c r="A1617" t="n">
        <v>497</v>
      </c>
      <c r="B1617" t="inlineStr">
        <is>
          <t>Nivel de Satisfacción Servicios Prestados - Tesorería</t>
        </is>
      </c>
      <c r="C1617" t="inlineStr">
        <is>
          <t>Tesorería</t>
        </is>
      </c>
      <c r="D1617" t="inlineStr">
        <is>
          <t>Anual</t>
        </is>
      </c>
      <c r="E1617" t="inlineStr">
        <is>
          <t>Positivo</t>
        </is>
      </c>
      <c r="F1617" s="111" t="n">
        <v>45657</v>
      </c>
      <c r="G1617" t="n">
        <v>2024</v>
      </c>
      <c r="H1617" t="inlineStr">
        <is>
          <t>Diciembre</t>
        </is>
      </c>
      <c r="I1617" t="inlineStr">
        <is>
          <t>2024-2</t>
        </is>
      </c>
      <c r="J1617" t="n">
        <v>80</v>
      </c>
      <c r="K1617" t="n">
        <v>83</v>
      </c>
      <c r="L1617" s="39">
        <f>IFERROR(IF(OR(J1617=0,K1617=""),"",IF(E1617="Positivo",MIN(MAX(K1617/J1617,0),1.3),MIN(MAX(J1617/K1617,0),1.3))),"") </f>
        <v/>
      </c>
      <c r="M1617" s="39">
        <f>IFERROR(IF(OR(J1617=0,K1617=""),"",IF(E1617="Positivo",MAX(K1617/J1617,0),MAX(J1617/K1617,0))),"") </f>
        <v/>
      </c>
      <c r="P1617" t="n">
        <v>0</v>
      </c>
      <c r="Q1617" t="n">
        <v>0</v>
      </c>
      <c r="R1617" t="inlineStr">
        <is>
          <t>497-2024-12-31</t>
        </is>
      </c>
    </row>
    <row r="1618">
      <c r="A1618" t="n">
        <v>498</v>
      </c>
      <c r="B1618" t="inlineStr">
        <is>
          <t>Nivel de Satisfacción Servicios Prestados - Centro de Medios Audiovisuales</t>
        </is>
      </c>
      <c r="C1618" t="inlineStr">
        <is>
          <t>Centro de Medios Audiovisuales</t>
        </is>
      </c>
      <c r="D1618" t="inlineStr">
        <is>
          <t>Anual</t>
        </is>
      </c>
      <c r="E1618" t="inlineStr">
        <is>
          <t>Positivo</t>
        </is>
      </c>
      <c r="F1618" s="111" t="n">
        <v>45657</v>
      </c>
      <c r="G1618" t="n">
        <v>2024</v>
      </c>
      <c r="H1618" t="inlineStr">
        <is>
          <t>Diciembre</t>
        </is>
      </c>
      <c r="I1618" t="inlineStr">
        <is>
          <t>2024-2</t>
        </is>
      </c>
      <c r="J1618" t="n">
        <v>80</v>
      </c>
      <c r="K1618" t="n">
        <v>92</v>
      </c>
      <c r="L1618" s="39">
        <f>IFERROR(IF(OR(J1618=0,K1618=""),"",IF(E1618="Positivo",MIN(MAX(K1618/J1618,0),1.3),MIN(MAX(J1618/K1618,0),1.3))),"") </f>
        <v/>
      </c>
      <c r="M1618" s="39">
        <f>IFERROR(IF(OR(J1618=0,K1618=""),"",IF(E1618="Positivo",MAX(K1618/J1618,0),MAX(J1618/K1618,0))),"") </f>
        <v/>
      </c>
      <c r="P1618" t="n">
        <v>0</v>
      </c>
      <c r="Q1618" t="n">
        <v>0</v>
      </c>
      <c r="R1618" t="inlineStr">
        <is>
          <t>498-2024-12-31</t>
        </is>
      </c>
    </row>
    <row r="1619">
      <c r="A1619" t="n">
        <v>498</v>
      </c>
      <c r="B1619" t="inlineStr">
        <is>
          <t>Nivel de Satisfacción Servicios Prestados - Centro de Medios Audiovisuales</t>
        </is>
      </c>
      <c r="C1619" t="inlineStr">
        <is>
          <t>Centro de Medios Audiovisuales</t>
        </is>
      </c>
      <c r="D1619" t="inlineStr">
        <is>
          <t>Anual</t>
        </is>
      </c>
      <c r="E1619" t="inlineStr">
        <is>
          <t>Positivo</t>
        </is>
      </c>
      <c r="F1619" s="111" t="n">
        <v>46022</v>
      </c>
      <c r="G1619" t="n">
        <v>2025</v>
      </c>
      <c r="H1619" t="inlineStr">
        <is>
          <t>Diciembre</t>
        </is>
      </c>
      <c r="I1619" t="inlineStr">
        <is>
          <t>2025-2</t>
        </is>
      </c>
      <c r="J1619" t="n">
        <v>80</v>
      </c>
      <c r="K1619" t="n">
        <v>95</v>
      </c>
      <c r="L1619" s="39">
        <f>IFERROR(IF(OR(J1619=0,K1619=""),"",IF(E1619="Positivo",MIN(MAX(K1619/J1619,0),1.3),MIN(MAX(J1619/K1619,0),1.3))),"") </f>
        <v/>
      </c>
      <c r="M1619" s="39">
        <f>IFERROR(IF(OR(J1619=0,K1619=""),"",IF(E1619="Positivo",MAX(K1619/J1619,0),MAX(J1619/K1619,0))),"") </f>
        <v/>
      </c>
      <c r="N1619" t="inlineStr">
        <is>
          <t>%</t>
        </is>
      </c>
      <c r="O1619" t="inlineStr">
        <is>
          <t>%</t>
        </is>
      </c>
      <c r="P1619" t="n">
        <v>0</v>
      </c>
      <c r="Q1619" t="n">
        <v>0</v>
      </c>
      <c r="R1619" t="inlineStr">
        <is>
          <t>498-2025-12-31</t>
        </is>
      </c>
    </row>
    <row r="1620">
      <c r="A1620" t="n">
        <v>499</v>
      </c>
      <c r="B1620" t="inlineStr">
        <is>
          <t>Nivel de Satisfacción Servicios Prestados - Datos y analítica</t>
        </is>
      </c>
      <c r="C1620" t="inlineStr">
        <is>
          <t>DATOS Y ANALÍTICA</t>
        </is>
      </c>
      <c r="D1620" t="inlineStr">
        <is>
          <t>Anual</t>
        </is>
      </c>
      <c r="E1620" t="inlineStr">
        <is>
          <t>Positivo</t>
        </is>
      </c>
      <c r="F1620" s="111" t="n">
        <v>45657</v>
      </c>
      <c r="G1620" t="n">
        <v>2024</v>
      </c>
      <c r="H1620" t="inlineStr">
        <is>
          <t>Diciembre</t>
        </is>
      </c>
      <c r="I1620" t="inlineStr">
        <is>
          <t>2024-2</t>
        </is>
      </c>
      <c r="J1620" t="n">
        <v>80</v>
      </c>
      <c r="K1620" t="n">
        <v>87</v>
      </c>
      <c r="L1620" s="39">
        <f>IFERROR(IF(OR(J1620=0,K1620=""),"",IF(E1620="Positivo",MIN(MAX(K1620/J1620,0),1.3),MIN(MAX(J1620/K1620,0),1.3))),"") </f>
        <v/>
      </c>
      <c r="M1620" s="39">
        <f>IFERROR(IF(OR(J1620=0,K1620=""),"",IF(E1620="Positivo",MAX(K1620/J1620,0),MAX(J1620/K1620,0))),"") </f>
        <v/>
      </c>
      <c r="P1620" t="n">
        <v>0</v>
      </c>
      <c r="Q1620" t="n">
        <v>0</v>
      </c>
      <c r="R1620" t="inlineStr">
        <is>
          <t>499-2024-12-31</t>
        </is>
      </c>
    </row>
    <row r="1621">
      <c r="A1621" t="n">
        <v>499</v>
      </c>
      <c r="B1621" t="inlineStr">
        <is>
          <t>Nivel de Satisfacción Servicios Prestados - Datos y analítica</t>
        </is>
      </c>
      <c r="C1621" t="inlineStr">
        <is>
          <t>DATOS Y ANALÍTICA</t>
        </is>
      </c>
      <c r="D1621" t="inlineStr">
        <is>
          <t>Anual</t>
        </is>
      </c>
      <c r="E1621" t="inlineStr">
        <is>
          <t>Positivo</t>
        </is>
      </c>
      <c r="F1621" s="111" t="n">
        <v>46022</v>
      </c>
      <c r="G1621" t="n">
        <v>2025</v>
      </c>
      <c r="H1621" t="inlineStr">
        <is>
          <t>Diciembre</t>
        </is>
      </c>
      <c r="I1621" t="inlineStr">
        <is>
          <t>2025-2</t>
        </is>
      </c>
      <c r="J1621" t="n">
        <v>80</v>
      </c>
      <c r="K1621" t="n">
        <v>0</v>
      </c>
      <c r="L1621" s="39">
        <f>IFERROR(IF(OR(J1621=0,K1621=""),"",IF(E1621="Positivo",MIN(MAX(K1621/J1621,0),1.3),MIN(MAX(J1621/K1621,0),1.3))),"") </f>
        <v/>
      </c>
      <c r="M1621" s="39">
        <f>IFERROR(IF(OR(J1621=0,K1621=""),"",IF(E1621="Positivo",MAX(K1621/J1621,0),MAX(J1621/K1621,0))),"") </f>
        <v/>
      </c>
      <c r="N1621" t="inlineStr">
        <is>
          <t>%</t>
        </is>
      </c>
      <c r="O1621" t="inlineStr">
        <is>
          <t>%</t>
        </is>
      </c>
      <c r="P1621" t="n">
        <v>0</v>
      </c>
      <c r="Q1621" t="n">
        <v>0</v>
      </c>
      <c r="R1621" t="inlineStr">
        <is>
          <t>499-2025-12-31</t>
        </is>
      </c>
    </row>
    <row r="1622">
      <c r="A1622" t="n">
        <v>500</v>
      </c>
      <c r="B1622" t="inlineStr">
        <is>
          <t>Nivel de Satisfacción Servicios Prestados -Servicio de Salud</t>
        </is>
      </c>
      <c r="C1622" t="inlineStr">
        <is>
          <t>Servicio de Salud</t>
        </is>
      </c>
      <c r="D1622" t="inlineStr">
        <is>
          <t>Anual</t>
        </is>
      </c>
      <c r="E1622" t="inlineStr">
        <is>
          <t>Positivo</t>
        </is>
      </c>
      <c r="F1622" s="111" t="n">
        <v>45657</v>
      </c>
      <c r="G1622" t="n">
        <v>2024</v>
      </c>
      <c r="H1622" t="inlineStr">
        <is>
          <t>Diciembre</t>
        </is>
      </c>
      <c r="I1622" t="inlineStr">
        <is>
          <t>2024-2</t>
        </is>
      </c>
      <c r="J1622" t="n">
        <v>80</v>
      </c>
      <c r="K1622" t="n">
        <v>89</v>
      </c>
      <c r="L1622" s="39">
        <f>IFERROR(IF(OR(J1622=0,K1622=""),"",IF(E1622="Positivo",MIN(MAX(K1622/J1622,0),1.3),MIN(MAX(J1622/K1622,0),1.3))),"") </f>
        <v/>
      </c>
      <c r="M1622" s="39">
        <f>IFERROR(IF(OR(J1622=0,K1622=""),"",IF(E1622="Positivo",MAX(K1622/J1622,0),MAX(J1622/K1622,0))),"") </f>
        <v/>
      </c>
      <c r="P1622" t="n">
        <v>0</v>
      </c>
      <c r="Q1622" t="n">
        <v>0</v>
      </c>
      <c r="R1622" t="inlineStr">
        <is>
          <t>500-2024-12-31</t>
        </is>
      </c>
    </row>
    <row r="1623">
      <c r="A1623" t="n">
        <v>500</v>
      </c>
      <c r="B1623" t="inlineStr">
        <is>
          <t>Nivel de Satisfacción Servicios Prestados -Servicio de Salud</t>
        </is>
      </c>
      <c r="C1623" t="inlineStr">
        <is>
          <t>Servicio de Salud</t>
        </is>
      </c>
      <c r="D1623" t="inlineStr">
        <is>
          <t>Anual</t>
        </is>
      </c>
      <c r="E1623" t="inlineStr">
        <is>
          <t>Positivo</t>
        </is>
      </c>
      <c r="F1623" s="111" t="n">
        <v>46022</v>
      </c>
      <c r="G1623" t="n">
        <v>2025</v>
      </c>
      <c r="H1623" t="inlineStr">
        <is>
          <t>Diciembre</t>
        </is>
      </c>
      <c r="I1623" t="inlineStr">
        <is>
          <t>2025-2</t>
        </is>
      </c>
      <c r="J1623" t="n">
        <v>80</v>
      </c>
      <c r="K1623" t="n">
        <v>100</v>
      </c>
      <c r="L1623" s="39">
        <f>IFERROR(IF(OR(J1623=0,K1623=""),"",IF(E1623="Positivo",MIN(MAX(K1623/J1623,0),1.3),MIN(MAX(J1623/K1623,0),1.3))),"") </f>
        <v/>
      </c>
      <c r="M1623" s="39">
        <f>IFERROR(IF(OR(J1623=0,K1623=""),"",IF(E1623="Positivo",MAX(K1623/J1623,0),MAX(J1623/K1623,0))),"") </f>
        <v/>
      </c>
      <c r="N1623" t="inlineStr">
        <is>
          <t>%</t>
        </is>
      </c>
      <c r="O1623" t="inlineStr">
        <is>
          <t>%</t>
        </is>
      </c>
      <c r="P1623" t="n">
        <v>0</v>
      </c>
      <c r="Q1623" t="n">
        <v>0</v>
      </c>
      <c r="R1623" t="inlineStr">
        <is>
          <t>500-2025-12-31</t>
        </is>
      </c>
    </row>
    <row r="1624">
      <c r="A1624" t="n">
        <v>501</v>
      </c>
      <c r="B1624" t="inlineStr">
        <is>
          <t>Nivel de Satisfacción Servicios Prestados -Gestión, evaluación e innovación curricular</t>
        </is>
      </c>
      <c r="C1624" t="inlineStr">
        <is>
          <t>Gestión, Evaluación e Innovación Curricular</t>
        </is>
      </c>
      <c r="D1624" t="inlineStr">
        <is>
          <t>Anual</t>
        </is>
      </c>
      <c r="E1624" t="inlineStr">
        <is>
          <t>Positivo</t>
        </is>
      </c>
      <c r="F1624" s="111" t="n">
        <v>45657</v>
      </c>
      <c r="G1624" t="n">
        <v>2024</v>
      </c>
      <c r="H1624" t="inlineStr">
        <is>
          <t>Diciembre</t>
        </is>
      </c>
      <c r="I1624" t="inlineStr">
        <is>
          <t>2024-2</t>
        </is>
      </c>
      <c r="J1624" t="n">
        <v>80</v>
      </c>
      <c r="K1624" t="n">
        <v>88</v>
      </c>
      <c r="L1624" s="39">
        <f>IFERROR(IF(OR(J1624=0,K1624=""),"",IF(E1624="Positivo",MIN(MAX(K1624/J1624,0),1.3),MIN(MAX(J1624/K1624,0),1.3))),"") </f>
        <v/>
      </c>
      <c r="M1624" s="39">
        <f>IFERROR(IF(OR(J1624=0,K1624=""),"",IF(E1624="Positivo",MAX(K1624/J1624,0),MAX(J1624/K1624,0))),"") </f>
        <v/>
      </c>
      <c r="P1624" t="n">
        <v>0</v>
      </c>
      <c r="Q1624" t="n">
        <v>0</v>
      </c>
      <c r="R1624" t="inlineStr">
        <is>
          <t>501-2024-12-31</t>
        </is>
      </c>
    </row>
    <row r="1625">
      <c r="A1625" t="n">
        <v>501</v>
      </c>
      <c r="B1625" t="inlineStr">
        <is>
          <t>Nivel de Satisfacción Servicios Prestados -Gestión, evaluación e innovación curricular</t>
        </is>
      </c>
      <c r="C1625" t="inlineStr">
        <is>
          <t>Gestión, Evaluación e Innovación Curricular</t>
        </is>
      </c>
      <c r="D1625" t="inlineStr">
        <is>
          <t>Anual</t>
        </is>
      </c>
      <c r="E1625" t="inlineStr">
        <is>
          <t>Positivo</t>
        </is>
      </c>
      <c r="F1625" s="111" t="n">
        <v>46022</v>
      </c>
      <c r="G1625" t="n">
        <v>2025</v>
      </c>
      <c r="H1625" t="inlineStr">
        <is>
          <t>Diciembre</t>
        </is>
      </c>
      <c r="I1625" t="inlineStr">
        <is>
          <t>2025-2</t>
        </is>
      </c>
      <c r="J1625" t="n">
        <v>80</v>
      </c>
      <c r="K1625" t="n">
        <v>100</v>
      </c>
      <c r="L1625" s="39">
        <f>IFERROR(IF(OR(J1625=0,K1625=""),"",IF(E1625="Positivo",MIN(MAX(K1625/J1625,0),1.3),MIN(MAX(J1625/K1625,0),1.3))),"") </f>
        <v/>
      </c>
      <c r="M1625" s="39">
        <f>IFERROR(IF(OR(J1625=0,K1625=""),"",IF(E1625="Positivo",MAX(K1625/J1625,0),MAX(J1625/K1625,0))),"") </f>
        <v/>
      </c>
      <c r="N1625" t="inlineStr">
        <is>
          <t>%</t>
        </is>
      </c>
      <c r="O1625" t="inlineStr">
        <is>
          <t>%</t>
        </is>
      </c>
      <c r="P1625" t="n">
        <v>0</v>
      </c>
      <c r="Q1625" t="n">
        <v>0</v>
      </c>
      <c r="R1625" t="inlineStr">
        <is>
          <t>501-2025-12-31</t>
        </is>
      </c>
    </row>
    <row r="1626">
      <c r="A1626" t="n">
        <v>502</v>
      </c>
      <c r="B1626" t="inlineStr">
        <is>
          <t>Nivel de Satisfacción Servicios Prestados -Formación para la investigación, creación e innovación</t>
        </is>
      </c>
      <c r="C1626" t="inlineStr">
        <is>
          <t>Formación para la investigación, creación e innovación</t>
        </is>
      </c>
      <c r="D1626" t="inlineStr">
        <is>
          <t>Anual</t>
        </is>
      </c>
      <c r="E1626" t="inlineStr">
        <is>
          <t>Positivo</t>
        </is>
      </c>
      <c r="F1626" s="111" t="n">
        <v>45657</v>
      </c>
      <c r="G1626" t="n">
        <v>2024</v>
      </c>
      <c r="H1626" t="inlineStr">
        <is>
          <t>Diciembre</t>
        </is>
      </c>
      <c r="I1626" t="inlineStr">
        <is>
          <t>2024-2</t>
        </is>
      </c>
      <c r="J1626" t="n">
        <v>80</v>
      </c>
      <c r="K1626" t="n">
        <v>90</v>
      </c>
      <c r="L1626" s="39">
        <f>IFERROR(IF(OR(J1626=0,K1626=""),"",IF(E1626="Positivo",MIN(MAX(K1626/J1626,0),1.3),MIN(MAX(J1626/K1626,0),1.3))),"") </f>
        <v/>
      </c>
      <c r="M1626" s="39">
        <f>IFERROR(IF(OR(J1626=0,K1626=""),"",IF(E1626="Positivo",MAX(K1626/J1626,0),MAX(J1626/K1626,0))),"") </f>
        <v/>
      </c>
      <c r="P1626" t="n">
        <v>0</v>
      </c>
      <c r="Q1626" t="n">
        <v>0</v>
      </c>
      <c r="R1626" t="inlineStr">
        <is>
          <t>502-2024-12-31</t>
        </is>
      </c>
    </row>
    <row r="1627">
      <c r="A1627" t="n">
        <v>502</v>
      </c>
      <c r="B1627" t="inlineStr">
        <is>
          <t>Nivel de Satisfacción Servicios Prestados -Formación para la investigación, creación e innovación</t>
        </is>
      </c>
      <c r="C1627" t="inlineStr">
        <is>
          <t>Formación para la investigación, creación e innovación</t>
        </is>
      </c>
      <c r="D1627" t="inlineStr">
        <is>
          <t>Anual</t>
        </is>
      </c>
      <c r="E1627" t="inlineStr">
        <is>
          <t>Positivo</t>
        </is>
      </c>
      <c r="F1627" s="111" t="n">
        <v>46022</v>
      </c>
      <c r="G1627" t="n">
        <v>2025</v>
      </c>
      <c r="H1627" t="inlineStr">
        <is>
          <t>Diciembre</t>
        </is>
      </c>
      <c r="I1627" t="inlineStr">
        <is>
          <t>2025-2</t>
        </is>
      </c>
      <c r="J1627" t="n">
        <v>80</v>
      </c>
      <c r="K1627" t="n">
        <v>97</v>
      </c>
      <c r="L1627" s="39">
        <f>IFERROR(IF(OR(J1627=0,K1627=""),"",IF(E1627="Positivo",MIN(MAX(K1627/J1627,0),1.3),MIN(MAX(J1627/K1627,0),1.3))),"") </f>
        <v/>
      </c>
      <c r="M1627" s="39">
        <f>IFERROR(IF(OR(J1627=0,K1627=""),"",IF(E1627="Positivo",MAX(K1627/J1627,0),MAX(J1627/K1627,0))),"") </f>
        <v/>
      </c>
      <c r="N1627" t="inlineStr">
        <is>
          <t>%</t>
        </is>
      </c>
      <c r="O1627" t="inlineStr">
        <is>
          <t>%</t>
        </is>
      </c>
      <c r="P1627" t="n">
        <v>0</v>
      </c>
      <c r="Q1627" t="n">
        <v>0</v>
      </c>
      <c r="R1627" t="inlineStr">
        <is>
          <t>502-2025-12-31</t>
        </is>
      </c>
    </row>
    <row r="1628">
      <c r="A1628" t="n">
        <v>503</v>
      </c>
      <c r="B1628" t="inlineStr">
        <is>
          <t>Nivel de Satisfacción Servicios Prestados -Gestión de Unidades Académicas</t>
        </is>
      </c>
      <c r="C1628" t="inlineStr">
        <is>
          <t>Gestión de Unidades Académicas</t>
        </is>
      </c>
      <c r="D1628" t="inlineStr">
        <is>
          <t>Anual</t>
        </is>
      </c>
      <c r="E1628" t="inlineStr">
        <is>
          <t>Positivo</t>
        </is>
      </c>
      <c r="F1628" s="111" t="n">
        <v>45657</v>
      </c>
      <c r="G1628" t="n">
        <v>2024</v>
      </c>
      <c r="H1628" t="inlineStr">
        <is>
          <t>Diciembre</t>
        </is>
      </c>
      <c r="I1628" t="inlineStr">
        <is>
          <t>2024-2</t>
        </is>
      </c>
      <c r="J1628" t="n">
        <v>80</v>
      </c>
      <c r="K1628" t="n">
        <v>86</v>
      </c>
      <c r="L1628" s="39">
        <f>IFERROR(IF(OR(J1628=0,K1628=""),"",IF(E1628="Positivo",MIN(MAX(K1628/J1628,0),1.3),MIN(MAX(J1628/K1628,0),1.3))),"") </f>
        <v/>
      </c>
      <c r="M1628" s="39">
        <f>IFERROR(IF(OR(J1628=0,K1628=""),"",IF(E1628="Positivo",MAX(K1628/J1628,0),MAX(J1628/K1628,0))),"") </f>
        <v/>
      </c>
      <c r="P1628" t="n">
        <v>0</v>
      </c>
      <c r="Q1628" t="n">
        <v>0</v>
      </c>
      <c r="R1628" t="inlineStr">
        <is>
          <t>503-2024-12-31</t>
        </is>
      </c>
    </row>
    <row r="1629">
      <c r="A1629" t="n">
        <v>503</v>
      </c>
      <c r="B1629" t="inlineStr">
        <is>
          <t>Nivel de Satisfacción Servicios Prestados -Gestión de Unidades Académicas</t>
        </is>
      </c>
      <c r="C1629" t="inlineStr">
        <is>
          <t>Gestión de Unidades Académicas</t>
        </is>
      </c>
      <c r="D1629" t="inlineStr">
        <is>
          <t>Anual</t>
        </is>
      </c>
      <c r="E1629" t="inlineStr">
        <is>
          <t>Positivo</t>
        </is>
      </c>
      <c r="F1629" s="111" t="n">
        <v>46022</v>
      </c>
      <c r="G1629" t="n">
        <v>2025</v>
      </c>
      <c r="H1629" t="inlineStr">
        <is>
          <t>Diciembre</t>
        </is>
      </c>
      <c r="I1629" t="inlineStr">
        <is>
          <t>2025-2</t>
        </is>
      </c>
      <c r="J1629" t="n">
        <v>80</v>
      </c>
      <c r="K1629" t="n">
        <v>94</v>
      </c>
      <c r="L1629" s="39">
        <f>IFERROR(IF(OR(J1629=0,K1629=""),"",IF(E1629="Positivo",MIN(MAX(K1629/J1629,0),1.3),MIN(MAX(J1629/K1629,0),1.3))),"") </f>
        <v/>
      </c>
      <c r="M1629" s="39">
        <f>IFERROR(IF(OR(J1629=0,K1629=""),"",IF(E1629="Positivo",MAX(K1629/J1629,0),MAX(J1629/K1629,0))),"") </f>
        <v/>
      </c>
      <c r="N1629" t="inlineStr">
        <is>
          <t>%</t>
        </is>
      </c>
      <c r="O1629" t="inlineStr">
        <is>
          <t>%</t>
        </is>
      </c>
      <c r="P1629" t="n">
        <v>0</v>
      </c>
      <c r="Q1629" t="n">
        <v>0</v>
      </c>
      <c r="R1629" t="inlineStr">
        <is>
          <t>503-2025-12-31</t>
        </is>
      </c>
    </row>
    <row r="1630">
      <c r="A1630" t="n">
        <v>504</v>
      </c>
      <c r="B1630" t="inlineStr">
        <is>
          <t>Nivel de Satisfacción Servicios Prestados - LEI</t>
        </is>
      </c>
      <c r="C1630" t="inlineStr">
        <is>
          <t>LEI</t>
        </is>
      </c>
      <c r="D1630" t="inlineStr">
        <is>
          <t>Anual</t>
        </is>
      </c>
      <c r="E1630" t="inlineStr">
        <is>
          <t>Positivo</t>
        </is>
      </c>
      <c r="F1630" s="111" t="n">
        <v>45657</v>
      </c>
      <c r="G1630" t="n">
        <v>2024</v>
      </c>
      <c r="H1630" t="inlineStr">
        <is>
          <t>Diciembre</t>
        </is>
      </c>
      <c r="I1630" t="inlineStr">
        <is>
          <t>2024-2</t>
        </is>
      </c>
      <c r="J1630" t="n">
        <v>80</v>
      </c>
      <c r="K1630" t="n">
        <v>88</v>
      </c>
      <c r="L1630" s="39">
        <f>IFERROR(IF(OR(J1630=0,K1630=""),"",IF(E1630="Positivo",MIN(MAX(K1630/J1630,0),1.3),MIN(MAX(J1630/K1630,0),1.3))),"") </f>
        <v/>
      </c>
      <c r="M1630" s="39">
        <f>IFERROR(IF(OR(J1630=0,K1630=""),"",IF(E1630="Positivo",MAX(K1630/J1630,0),MAX(J1630/K1630,0))),"") </f>
        <v/>
      </c>
      <c r="P1630" t="n">
        <v>0</v>
      </c>
      <c r="Q1630" t="n">
        <v>0</v>
      </c>
      <c r="R1630" t="inlineStr">
        <is>
          <t>504-2024-12-31</t>
        </is>
      </c>
    </row>
    <row r="1631">
      <c r="A1631" t="n">
        <v>504</v>
      </c>
      <c r="B1631" t="inlineStr">
        <is>
          <t>Nivel de Satisfacción Servicios Prestados - LEI</t>
        </is>
      </c>
      <c r="C1631" t="inlineStr">
        <is>
          <t>LEI</t>
        </is>
      </c>
      <c r="D1631" t="inlineStr">
        <is>
          <t>Anual</t>
        </is>
      </c>
      <c r="E1631" t="inlineStr">
        <is>
          <t>Positivo</t>
        </is>
      </c>
      <c r="F1631" s="111" t="n">
        <v>46022</v>
      </c>
      <c r="G1631" t="n">
        <v>2025</v>
      </c>
      <c r="H1631" t="inlineStr">
        <is>
          <t>Diciembre</t>
        </is>
      </c>
      <c r="I1631" t="inlineStr">
        <is>
          <t>2025-2</t>
        </is>
      </c>
      <c r="J1631" t="n">
        <v>80</v>
      </c>
      <c r="K1631" t="n">
        <v>88</v>
      </c>
      <c r="L1631" s="39">
        <f>IFERROR(IF(OR(J1631=0,K1631=""),"",IF(E1631="Positivo",MIN(MAX(K1631/J1631,0),1.3),MIN(MAX(J1631/K1631,0),1.3))),"") </f>
        <v/>
      </c>
      <c r="M1631" s="39">
        <f>IFERROR(IF(OR(J1631=0,K1631=""),"",IF(E1631="Positivo",MAX(K1631/J1631,0),MAX(J1631/K1631,0))),"") </f>
        <v/>
      </c>
      <c r="N1631" t="inlineStr">
        <is>
          <t>%</t>
        </is>
      </c>
      <c r="O1631" t="inlineStr">
        <is>
          <t>%</t>
        </is>
      </c>
      <c r="P1631" t="n">
        <v>0</v>
      </c>
      <c r="Q1631" t="n">
        <v>0</v>
      </c>
      <c r="R1631" t="inlineStr">
        <is>
          <t>504-2025-12-31</t>
        </is>
      </c>
    </row>
    <row r="1632">
      <c r="A1632" t="n">
        <v>505</v>
      </c>
      <c r="B1632" t="inlineStr">
        <is>
          <t>Nivel de Satisfacción Servicios Prestados - Mercadeo de programas académicos</t>
        </is>
      </c>
      <c r="C1632" t="inlineStr">
        <is>
          <t>Mercadeo de programas académicos</t>
        </is>
      </c>
      <c r="D1632" t="inlineStr">
        <is>
          <t>Anual</t>
        </is>
      </c>
      <c r="E1632" t="inlineStr">
        <is>
          <t>Positivo</t>
        </is>
      </c>
      <c r="F1632" s="111" t="n">
        <v>45657</v>
      </c>
      <c r="G1632" t="n">
        <v>2024</v>
      </c>
      <c r="H1632" t="inlineStr">
        <is>
          <t>Diciembre</t>
        </is>
      </c>
      <c r="I1632" t="inlineStr">
        <is>
          <t>2024-2</t>
        </is>
      </c>
      <c r="J1632" t="n">
        <v>80</v>
      </c>
      <c r="K1632" t="n">
        <v>85</v>
      </c>
      <c r="L1632" s="39">
        <f>IFERROR(IF(OR(J1632=0,K1632=""),"",IF(E1632="Positivo",MIN(MAX(K1632/J1632,0),1.3),MIN(MAX(J1632/K1632,0),1.3))),"") </f>
        <v/>
      </c>
      <c r="M1632" s="39">
        <f>IFERROR(IF(OR(J1632=0,K1632=""),"",IF(E1632="Positivo",MAX(K1632/J1632,0),MAX(J1632/K1632,0))),"") </f>
        <v/>
      </c>
      <c r="P1632" t="n">
        <v>0</v>
      </c>
      <c r="Q1632" t="n">
        <v>0</v>
      </c>
      <c r="R1632" t="inlineStr">
        <is>
          <t>505-2024-12-31</t>
        </is>
      </c>
    </row>
    <row r="1633">
      <c r="A1633" t="n">
        <v>505</v>
      </c>
      <c r="B1633" t="inlineStr">
        <is>
          <t>Nivel de Satisfacción Servicios Prestados - Mercadeo de programas académicos</t>
        </is>
      </c>
      <c r="C1633" t="inlineStr">
        <is>
          <t>Mercadeo de programas académicos</t>
        </is>
      </c>
      <c r="D1633" t="inlineStr">
        <is>
          <t>Anual</t>
        </is>
      </c>
      <c r="E1633" t="inlineStr">
        <is>
          <t>Positivo</t>
        </is>
      </c>
      <c r="F1633" s="111" t="n">
        <v>46022</v>
      </c>
      <c r="G1633" t="n">
        <v>2025</v>
      </c>
      <c r="H1633" t="inlineStr">
        <is>
          <t>Diciembre</t>
        </is>
      </c>
      <c r="I1633" t="inlineStr">
        <is>
          <t>2025-2</t>
        </is>
      </c>
      <c r="J1633" t="n">
        <v>80</v>
      </c>
      <c r="K1633" t="n">
        <v>86</v>
      </c>
      <c r="L1633" s="39">
        <f>IFERROR(IF(OR(J1633=0,K1633=""),"",IF(E1633="Positivo",MIN(MAX(K1633/J1633,0),1.3),MIN(MAX(J1633/K1633,0),1.3))),"") </f>
        <v/>
      </c>
      <c r="M1633" s="39">
        <f>IFERROR(IF(OR(J1633=0,K1633=""),"",IF(E1633="Positivo",MAX(K1633/J1633,0),MAX(J1633/K1633,0))),"") </f>
        <v/>
      </c>
      <c r="N1633" t="inlineStr">
        <is>
          <t>%</t>
        </is>
      </c>
      <c r="O1633" t="inlineStr">
        <is>
          <t>%</t>
        </is>
      </c>
      <c r="P1633" t="n">
        <v>0</v>
      </c>
      <c r="Q1633" t="n">
        <v>0</v>
      </c>
      <c r="R1633" t="inlineStr">
        <is>
          <t>505-2025-12-31</t>
        </is>
      </c>
    </row>
    <row r="1634">
      <c r="A1634" t="n">
        <v>506</v>
      </c>
      <c r="B1634" t="inlineStr">
        <is>
          <t>Nivel de Satisfacción Servicios Prestados - Prácticas</t>
        </is>
      </c>
      <c r="C1634" t="inlineStr">
        <is>
          <t>Prácticas</t>
        </is>
      </c>
      <c r="D1634" t="inlineStr">
        <is>
          <t>Anual</t>
        </is>
      </c>
      <c r="E1634" t="inlineStr">
        <is>
          <t>Positivo</t>
        </is>
      </c>
      <c r="F1634" s="111" t="n">
        <v>45657</v>
      </c>
      <c r="G1634" t="n">
        <v>2024</v>
      </c>
      <c r="H1634" t="inlineStr">
        <is>
          <t>Diciembre</t>
        </is>
      </c>
      <c r="I1634" t="inlineStr">
        <is>
          <t>2024-2</t>
        </is>
      </c>
      <c r="J1634" t="n">
        <v>80</v>
      </c>
      <c r="K1634" t="n">
        <v>67</v>
      </c>
      <c r="L1634" s="39">
        <f>IFERROR(IF(OR(J1634=0,K1634=""),"",IF(E1634="Positivo",MIN(MAX(K1634/J1634,0),1.3),MIN(MAX(J1634/K1634,0),1.3))),"") </f>
        <v/>
      </c>
      <c r="M1634" s="39">
        <f>IFERROR(IF(OR(J1634=0,K1634=""),"",IF(E1634="Positivo",MAX(K1634/J1634,0),MAX(J1634/K1634,0))),"") </f>
        <v/>
      </c>
      <c r="P1634" t="n">
        <v>0</v>
      </c>
      <c r="Q1634" t="n">
        <v>0</v>
      </c>
      <c r="R1634" t="inlineStr">
        <is>
          <t>506-2024-12-31</t>
        </is>
      </c>
    </row>
    <row r="1635">
      <c r="A1635" t="n">
        <v>506</v>
      </c>
      <c r="B1635" t="inlineStr">
        <is>
          <t>Nivel de Satisfacción Servicios Prestados - Prácticas</t>
        </is>
      </c>
      <c r="C1635" t="inlineStr">
        <is>
          <t>Prácticas</t>
        </is>
      </c>
      <c r="D1635" t="inlineStr">
        <is>
          <t>Trimestral</t>
        </is>
      </c>
      <c r="E1635" t="inlineStr">
        <is>
          <t>Positivo</t>
        </is>
      </c>
      <c r="F1635" s="111" t="n">
        <v>45838</v>
      </c>
      <c r="G1635" t="n">
        <v>2025</v>
      </c>
      <c r="H1635" t="inlineStr">
        <is>
          <t>Junio</t>
        </is>
      </c>
      <c r="I1635" t="inlineStr">
        <is>
          <t>2025-1</t>
        </is>
      </c>
      <c r="J1635" t="n">
        <v>80</v>
      </c>
      <c r="K1635" t="n">
        <v>95</v>
      </c>
      <c r="L1635" s="39">
        <f>IFERROR(IF(OR(J1635=0,K1635=""),"",IF(E1635="Positivo",MIN(MAX(K1635/J1635,0),1.3),MIN(MAX(J1635/K1635,0),1.3))),"") </f>
        <v/>
      </c>
      <c r="M1635" s="39">
        <f>IFERROR(IF(OR(J1635=0,K1635=""),"",IF(E1635="Positivo",MAX(K1635/J1635,0),MAX(J1635/K1635,0))),"") </f>
        <v/>
      </c>
      <c r="N1635" t="inlineStr">
        <is>
          <t>%</t>
        </is>
      </c>
      <c r="O1635" t="inlineStr">
        <is>
          <t>%</t>
        </is>
      </c>
      <c r="P1635" t="n">
        <v>0</v>
      </c>
      <c r="Q1635" t="n">
        <v>0</v>
      </c>
      <c r="R1635" t="inlineStr">
        <is>
          <t>506-2025-06-30</t>
        </is>
      </c>
    </row>
    <row r="1636">
      <c r="A1636" t="n">
        <v>506</v>
      </c>
      <c r="B1636" t="inlineStr">
        <is>
          <t>Nivel de Satisfacción Servicios Prestados - Prácticas</t>
        </is>
      </c>
      <c r="C1636" t="inlineStr">
        <is>
          <t>Prácticas</t>
        </is>
      </c>
      <c r="D1636" t="inlineStr">
        <is>
          <t>Trimestral</t>
        </is>
      </c>
      <c r="E1636" t="inlineStr">
        <is>
          <t>Positivo</t>
        </is>
      </c>
      <c r="F1636" s="111" t="n">
        <v>46022</v>
      </c>
      <c r="G1636" t="n">
        <v>2025</v>
      </c>
      <c r="H1636" t="inlineStr">
        <is>
          <t>Diciembre</t>
        </is>
      </c>
      <c r="I1636" t="inlineStr">
        <is>
          <t>2025-2</t>
        </is>
      </c>
      <c r="J1636" t="n">
        <v>80</v>
      </c>
      <c r="K1636" t="n">
        <v>92.5</v>
      </c>
      <c r="L1636" s="39">
        <f>IFERROR(IF(OR(J1636=0,K1636=""),"",IF(E1636="Positivo",MIN(MAX(K1636/J1636,0),1.3),MIN(MAX(J1636/K1636,0),1.3))),"") </f>
        <v/>
      </c>
      <c r="M1636" s="39">
        <f>IFERROR(IF(OR(J1636=0,K1636=""),"",IF(E1636="Positivo",MAX(K1636/J1636,0),MAX(J1636/K1636,0))),"") </f>
        <v/>
      </c>
      <c r="N1636" t="inlineStr">
        <is>
          <t>%</t>
        </is>
      </c>
      <c r="O1636" t="inlineStr">
        <is>
          <t>%</t>
        </is>
      </c>
      <c r="P1636" t="n">
        <v>0</v>
      </c>
      <c r="Q1636" t="n">
        <v>0</v>
      </c>
      <c r="R1636" t="inlineStr">
        <is>
          <t>506-2025-12-31</t>
        </is>
      </c>
    </row>
    <row r="1637">
      <c r="A1637" t="n">
        <v>507</v>
      </c>
      <c r="B1637" t="inlineStr">
        <is>
          <t>Nivel de Satisfacción Servicios Prestados -Cultura y Deporte</t>
        </is>
      </c>
      <c r="C1637" t="inlineStr">
        <is>
          <t>Cultura y Deporte</t>
        </is>
      </c>
      <c r="D1637" t="inlineStr">
        <is>
          <t>Anual</t>
        </is>
      </c>
      <c r="E1637" t="inlineStr">
        <is>
          <t>Positivo</t>
        </is>
      </c>
      <c r="F1637" s="111" t="n">
        <v>45657</v>
      </c>
      <c r="G1637" t="n">
        <v>2024</v>
      </c>
      <c r="H1637" t="inlineStr">
        <is>
          <t>Diciembre</t>
        </is>
      </c>
      <c r="I1637" t="inlineStr">
        <is>
          <t>2024-2</t>
        </is>
      </c>
      <c r="J1637" t="n">
        <v>80</v>
      </c>
      <c r="K1637" t="n">
        <v>77</v>
      </c>
      <c r="L1637" s="39">
        <f>IFERROR(IF(OR(J1637=0,K1637=""),"",IF(E1637="Positivo",MIN(MAX(K1637/J1637,0),1.3),MIN(MAX(J1637/K1637,0),1.3))),"") </f>
        <v/>
      </c>
      <c r="M1637" s="39">
        <f>IFERROR(IF(OR(J1637=0,K1637=""),"",IF(E1637="Positivo",MAX(K1637/J1637,0),MAX(J1637/K1637,0))),"") </f>
        <v/>
      </c>
      <c r="P1637" t="n">
        <v>0</v>
      </c>
      <c r="Q1637" t="n">
        <v>0</v>
      </c>
      <c r="R1637" t="inlineStr">
        <is>
          <t>507-2024-12-31</t>
        </is>
      </c>
    </row>
    <row r="1638">
      <c r="A1638" t="n">
        <v>507</v>
      </c>
      <c r="B1638" t="inlineStr">
        <is>
          <t>Nivel de Satisfacción Servicios Prestados -Cultura y Deporte</t>
        </is>
      </c>
      <c r="C1638" t="inlineStr">
        <is>
          <t>Cultura y Deporte</t>
        </is>
      </c>
      <c r="D1638" t="inlineStr">
        <is>
          <t>Trimestral</t>
        </is>
      </c>
      <c r="E1638" t="inlineStr">
        <is>
          <t>Positivo</t>
        </is>
      </c>
      <c r="F1638" s="111" t="n">
        <v>45838</v>
      </c>
      <c r="G1638" t="n">
        <v>2025</v>
      </c>
      <c r="H1638" t="inlineStr">
        <is>
          <t>Junio</t>
        </is>
      </c>
      <c r="I1638" t="inlineStr">
        <is>
          <t>2025-1</t>
        </is>
      </c>
      <c r="J1638" t="n">
        <v>80</v>
      </c>
      <c r="K1638" t="n">
        <v>98.75</v>
      </c>
      <c r="L1638" s="39">
        <f>IFERROR(IF(OR(J1638=0,K1638=""),"",IF(E1638="Positivo",MIN(MAX(K1638/J1638,0),1.3),MIN(MAX(J1638/K1638,0),1.3))),"") </f>
        <v/>
      </c>
      <c r="M1638" s="39">
        <f>IFERROR(IF(OR(J1638=0,K1638=""),"",IF(E1638="Positivo",MAX(K1638/J1638,0),MAX(J1638/K1638,0))),"") </f>
        <v/>
      </c>
      <c r="N1638" t="inlineStr">
        <is>
          <t>%</t>
        </is>
      </c>
      <c r="O1638" t="inlineStr">
        <is>
          <t>%</t>
        </is>
      </c>
      <c r="P1638" t="n">
        <v>0</v>
      </c>
      <c r="Q1638" t="n">
        <v>0</v>
      </c>
      <c r="R1638" t="inlineStr">
        <is>
          <t>507-2025-06-30</t>
        </is>
      </c>
    </row>
    <row r="1639">
      <c r="A1639" t="n">
        <v>507</v>
      </c>
      <c r="B1639" t="inlineStr">
        <is>
          <t>Nivel de Satisfacción Servicios Prestados -Cultura y Deporte</t>
        </is>
      </c>
      <c r="C1639" t="inlineStr">
        <is>
          <t>Cultura y Deporte</t>
        </is>
      </c>
      <c r="D1639" t="inlineStr">
        <is>
          <t>Trimestral</t>
        </is>
      </c>
      <c r="E1639" t="inlineStr">
        <is>
          <t>Positivo</t>
        </is>
      </c>
      <c r="F1639" s="111" t="n">
        <v>46022</v>
      </c>
      <c r="G1639" t="n">
        <v>2025</v>
      </c>
      <c r="H1639" t="inlineStr">
        <is>
          <t>Diciembre</t>
        </is>
      </c>
      <c r="I1639" t="inlineStr">
        <is>
          <t>2025-2</t>
        </is>
      </c>
      <c r="J1639" t="n">
        <v>80</v>
      </c>
      <c r="K1639" t="n">
        <v>99</v>
      </c>
      <c r="L1639" s="39">
        <f>IFERROR(IF(OR(J1639=0,K1639=""),"",IF(E1639="Positivo",MIN(MAX(K1639/J1639,0),1.3),MIN(MAX(J1639/K1639,0),1.3))),"") </f>
        <v/>
      </c>
      <c r="M1639" s="39">
        <f>IFERROR(IF(OR(J1639=0,K1639=""),"",IF(E1639="Positivo",MAX(K1639/J1639,0),MAX(J1639/K1639,0))),"") </f>
        <v/>
      </c>
      <c r="N1639" t="inlineStr">
        <is>
          <t>%</t>
        </is>
      </c>
      <c r="O1639" t="inlineStr">
        <is>
          <t>%</t>
        </is>
      </c>
      <c r="P1639" t="n">
        <v>0</v>
      </c>
      <c r="Q1639" t="n">
        <v>0</v>
      </c>
      <c r="R1639" t="inlineStr">
        <is>
          <t>507-2025-12-31</t>
        </is>
      </c>
    </row>
    <row r="1640">
      <c r="A1640" t="n">
        <v>508</v>
      </c>
      <c r="B1640" t="inlineStr">
        <is>
          <t>Nivel de Satisfacción Servicios Prestados - Diseño y contenido virtual</t>
        </is>
      </c>
      <c r="C1640" t="inlineStr">
        <is>
          <t>Diseño de Contenido Virtual</t>
        </is>
      </c>
      <c r="D1640" t="inlineStr">
        <is>
          <t>Anual</t>
        </is>
      </c>
      <c r="E1640" t="inlineStr">
        <is>
          <t>Positivo</t>
        </is>
      </c>
      <c r="F1640" s="111" t="n">
        <v>45657</v>
      </c>
      <c r="G1640" t="n">
        <v>2024</v>
      </c>
      <c r="H1640" t="inlineStr">
        <is>
          <t>Diciembre</t>
        </is>
      </c>
      <c r="I1640" t="inlineStr">
        <is>
          <t>2024-2</t>
        </is>
      </c>
      <c r="J1640" t="n">
        <v>80</v>
      </c>
      <c r="K1640" t="n">
        <v>88</v>
      </c>
      <c r="L1640" s="39">
        <f>IFERROR(IF(OR(J1640=0,K1640=""),"",IF(E1640="Positivo",MIN(MAX(K1640/J1640,0),1.3),MIN(MAX(J1640/K1640,0),1.3))),"") </f>
        <v/>
      </c>
      <c r="M1640" s="39">
        <f>IFERROR(IF(OR(J1640=0,K1640=""),"",IF(E1640="Positivo",MAX(K1640/J1640,0),MAX(J1640/K1640,0))),"") </f>
        <v/>
      </c>
      <c r="P1640" t="n">
        <v>0</v>
      </c>
      <c r="Q1640" t="n">
        <v>0</v>
      </c>
      <c r="R1640" t="inlineStr">
        <is>
          <t>508-2024-12-31</t>
        </is>
      </c>
    </row>
    <row r="1641">
      <c r="A1641" t="n">
        <v>508</v>
      </c>
      <c r="B1641" t="inlineStr">
        <is>
          <t>Nivel de Satisfacción Servicios Prestados - Diseño y contenido virtual</t>
        </is>
      </c>
      <c r="C1641" t="inlineStr">
        <is>
          <t>Diseño de Contenido Virtual</t>
        </is>
      </c>
      <c r="D1641" t="inlineStr">
        <is>
          <t>Anual</t>
        </is>
      </c>
      <c r="E1641" t="inlineStr">
        <is>
          <t>Positivo</t>
        </is>
      </c>
      <c r="F1641" s="111" t="n">
        <v>46022</v>
      </c>
      <c r="G1641" t="n">
        <v>2025</v>
      </c>
      <c r="H1641" t="inlineStr">
        <is>
          <t>Diciembre</t>
        </is>
      </c>
      <c r="I1641" t="inlineStr">
        <is>
          <t>2025-2</t>
        </is>
      </c>
      <c r="J1641" t="n">
        <v>80</v>
      </c>
      <c r="K1641" t="n">
        <v>89</v>
      </c>
      <c r="L1641" s="39">
        <f>IFERROR(IF(OR(J1641=0,K1641=""),"",IF(E1641="Positivo",MIN(MAX(K1641/J1641,0),1.3),MIN(MAX(J1641/K1641,0),1.3))),"") </f>
        <v/>
      </c>
      <c r="M1641" s="39">
        <f>IFERROR(IF(OR(J1641=0,K1641=""),"",IF(E1641="Positivo",MAX(K1641/J1641,0),MAX(J1641/K1641,0))),"") </f>
        <v/>
      </c>
      <c r="N1641" t="inlineStr">
        <is>
          <t>%</t>
        </is>
      </c>
      <c r="O1641" t="inlineStr">
        <is>
          <t>%</t>
        </is>
      </c>
      <c r="P1641" t="n">
        <v>0</v>
      </c>
      <c r="Q1641" t="n">
        <v>0</v>
      </c>
      <c r="R1641" t="inlineStr">
        <is>
          <t>508-2025-12-31</t>
        </is>
      </c>
    </row>
    <row r="1642">
      <c r="A1642" t="n">
        <v>509</v>
      </c>
      <c r="B1642" t="inlineStr">
        <is>
          <t>Cumplimiento a cronograma de proyectos 2025</t>
        </is>
      </c>
      <c r="C1642" t="inlineStr">
        <is>
          <t>Gestión de Proyectos</t>
        </is>
      </c>
      <c r="D1642" t="inlineStr">
        <is>
          <t>Mensual</t>
        </is>
      </c>
      <c r="E1642" t="inlineStr">
        <is>
          <t>Positivo</t>
        </is>
      </c>
      <c r="F1642" s="111" t="n">
        <v>45838</v>
      </c>
      <c r="G1642" t="n">
        <v>2025</v>
      </c>
      <c r="H1642" t="inlineStr">
        <is>
          <t>Junio</t>
        </is>
      </c>
      <c r="I1642" t="inlineStr">
        <is>
          <t>2025-1</t>
        </is>
      </c>
      <c r="J1642" t="n">
        <v>90</v>
      </c>
      <c r="K1642" t="n">
        <v>100.59</v>
      </c>
      <c r="L1642" s="39">
        <f>IFERROR(IF(OR(J1642=0,K1642=""),"",IF(E1642="Positivo",MIN(MAX(K1642/J1642,0),1.3),MIN(MAX(J1642/K1642,0),1.3))),"") </f>
        <v/>
      </c>
      <c r="M1642" s="39">
        <f>IFERROR(IF(OR(J1642=0,K1642=""),"",IF(E1642="Positivo",MAX(K1642/J1642,0),MAX(J1642/K1642,0))),"") </f>
        <v/>
      </c>
      <c r="N1642" t="inlineStr">
        <is>
          <t>%</t>
        </is>
      </c>
      <c r="O1642" t="inlineStr">
        <is>
          <t>%</t>
        </is>
      </c>
      <c r="P1642" t="n">
        <v>0</v>
      </c>
      <c r="Q1642" t="n">
        <v>0</v>
      </c>
      <c r="R1642" t="inlineStr">
        <is>
          <t>509-2025-06-30</t>
        </is>
      </c>
    </row>
    <row r="1643">
      <c r="A1643" t="n">
        <v>509</v>
      </c>
      <c r="B1643" t="inlineStr">
        <is>
          <t>Cumplimiento a cronograma de proyectos 2025</t>
        </is>
      </c>
      <c r="C1643" t="inlineStr">
        <is>
          <t>Gestión de Proyectos</t>
        </is>
      </c>
      <c r="D1643" t="inlineStr">
        <is>
          <t>Mensual</t>
        </is>
      </c>
      <c r="E1643" t="inlineStr">
        <is>
          <t>Positivo</t>
        </is>
      </c>
      <c r="F1643" s="111" t="n">
        <v>46022</v>
      </c>
      <c r="G1643" t="n">
        <v>2025</v>
      </c>
      <c r="H1643" t="inlineStr">
        <is>
          <t>Diciembre</t>
        </is>
      </c>
      <c r="I1643" t="inlineStr">
        <is>
          <t>2025-2</t>
        </is>
      </c>
      <c r="J1643" t="n">
        <v>90</v>
      </c>
      <c r="K1643" t="n">
        <v>97.33</v>
      </c>
      <c r="L1643" s="39">
        <f>IFERROR(IF(OR(J1643=0,K1643=""),"",IF(E1643="Positivo",MIN(MAX(K1643/J1643,0),1.3),MIN(MAX(J1643/K1643,0),1.3))),"") </f>
        <v/>
      </c>
      <c r="M1643" s="39">
        <f>IFERROR(IF(OR(J1643=0,K1643=""),"",IF(E1643="Positivo",MAX(K1643/J1643,0),MAX(J1643/K1643,0))),"") </f>
        <v/>
      </c>
      <c r="N1643" t="inlineStr">
        <is>
          <t>%</t>
        </is>
      </c>
      <c r="O1643" t="inlineStr">
        <is>
          <t>%</t>
        </is>
      </c>
      <c r="P1643" t="n">
        <v>0</v>
      </c>
      <c r="Q1643" t="n">
        <v>0</v>
      </c>
      <c r="R1643" t="inlineStr">
        <is>
          <t>509-2025-12-31</t>
        </is>
      </c>
    </row>
    <row r="1644">
      <c r="A1644" t="n">
        <v>510</v>
      </c>
      <c r="B1644" t="inlineStr">
        <is>
          <t>Frecuencia de incidentes de riesgos</t>
        </is>
      </c>
      <c r="C1644" t="inlineStr">
        <is>
          <t>GESTIÓN DE RIESGOS</t>
        </is>
      </c>
      <c r="D1644" t="inlineStr">
        <is>
          <t>Semestral</t>
        </is>
      </c>
      <c r="E1644" t="inlineStr">
        <is>
          <t>Positivo</t>
        </is>
      </c>
      <c r="F1644" s="111" t="n">
        <v>45838</v>
      </c>
      <c r="G1644" t="n">
        <v>2025</v>
      </c>
      <c r="H1644" t="inlineStr">
        <is>
          <t>Junio</t>
        </is>
      </c>
      <c r="I1644" t="inlineStr">
        <is>
          <t>2025-1</t>
        </is>
      </c>
      <c r="K1644" t="n">
        <v>0</v>
      </c>
      <c r="L1644" s="39" t="n"/>
      <c r="M1644" s="39" t="n"/>
      <c r="N1644" t="inlineStr">
        <is>
          <t>Linea Base</t>
        </is>
      </c>
      <c r="O1644" t="inlineStr">
        <is>
          <t>%</t>
        </is>
      </c>
      <c r="P1644" t="n">
        <v>0</v>
      </c>
      <c r="Q1644" t="n">
        <v>0</v>
      </c>
      <c r="R1644" t="inlineStr">
        <is>
          <t>510-2025-06-30</t>
        </is>
      </c>
    </row>
    <row r="1645">
      <c r="A1645" t="n">
        <v>510</v>
      </c>
      <c r="B1645" t="inlineStr">
        <is>
          <t>Frecuencia de incidentes de riesgos</t>
        </is>
      </c>
      <c r="C1645" t="inlineStr">
        <is>
          <t>GESTIÓN DE RIESGOS</t>
        </is>
      </c>
      <c r="D1645" t="inlineStr">
        <is>
          <t>Semestral</t>
        </is>
      </c>
      <c r="E1645" t="inlineStr">
        <is>
          <t>Positivo</t>
        </is>
      </c>
      <c r="F1645" s="111" t="n">
        <v>46022</v>
      </c>
      <c r="G1645" t="n">
        <v>2025</v>
      </c>
      <c r="H1645" t="inlineStr">
        <is>
          <t>Diciembre</t>
        </is>
      </c>
      <c r="I1645" t="inlineStr">
        <is>
          <t>2025-2</t>
        </is>
      </c>
      <c r="K1645" t="n">
        <v>0</v>
      </c>
      <c r="L1645" s="39" t="n"/>
      <c r="M1645" s="39" t="n"/>
      <c r="N1645" t="inlineStr">
        <is>
          <t>Linea Base</t>
        </is>
      </c>
      <c r="O1645" t="inlineStr">
        <is>
          <t>%</t>
        </is>
      </c>
      <c r="P1645" t="n">
        <v>0</v>
      </c>
      <c r="Q1645" t="n">
        <v>0</v>
      </c>
      <c r="R1645" t="inlineStr">
        <is>
          <t>510-2025-12-31</t>
        </is>
      </c>
    </row>
    <row r="1646">
      <c r="A1646" t="n">
        <v>511</v>
      </c>
      <c r="B1646" t="inlineStr">
        <is>
          <t>Eficacia de controles</t>
        </is>
      </c>
      <c r="C1646" t="inlineStr">
        <is>
          <t>GESTIÓN DE RIESGOS</t>
        </is>
      </c>
      <c r="D1646" t="inlineStr">
        <is>
          <t>Semestral</t>
        </is>
      </c>
      <c r="E1646" t="inlineStr">
        <is>
          <t>Positivo</t>
        </is>
      </c>
      <c r="F1646" s="111" t="n">
        <v>45838</v>
      </c>
      <c r="G1646" t="n">
        <v>2025</v>
      </c>
      <c r="H1646" t="inlineStr">
        <is>
          <t>Junio</t>
        </is>
      </c>
      <c r="I1646" t="inlineStr">
        <is>
          <t>2025-1</t>
        </is>
      </c>
      <c r="K1646" t="n">
        <v>86.36</v>
      </c>
      <c r="L1646" s="39" t="n"/>
      <c r="M1646" s="39" t="n"/>
      <c r="N1646" t="inlineStr">
        <is>
          <t>Linea Base</t>
        </is>
      </c>
      <c r="O1646" t="inlineStr">
        <is>
          <t>%</t>
        </is>
      </c>
      <c r="P1646" t="n">
        <v>0</v>
      </c>
      <c r="Q1646" t="n">
        <v>0</v>
      </c>
      <c r="R1646" t="inlineStr">
        <is>
          <t>511-2025-06-30</t>
        </is>
      </c>
    </row>
    <row r="1647">
      <c r="A1647" t="n">
        <v>511</v>
      </c>
      <c r="B1647" t="inlineStr">
        <is>
          <t>Eficacia de controles</t>
        </is>
      </c>
      <c r="C1647" t="inlineStr">
        <is>
          <t>GESTIÓN DE RIESGOS</t>
        </is>
      </c>
      <c r="D1647" t="inlineStr">
        <is>
          <t>Semestral</t>
        </is>
      </c>
      <c r="E1647" t="inlineStr">
        <is>
          <t>Positivo</t>
        </is>
      </c>
      <c r="F1647" s="111" t="n">
        <v>46022</v>
      </c>
      <c r="G1647" t="n">
        <v>2025</v>
      </c>
      <c r="H1647" t="inlineStr">
        <is>
          <t>Diciembre</t>
        </is>
      </c>
      <c r="I1647" t="inlineStr">
        <is>
          <t>2025-2</t>
        </is>
      </c>
      <c r="K1647" t="n">
        <v>171.12</v>
      </c>
      <c r="L1647" s="39" t="n"/>
      <c r="M1647" s="39" t="n"/>
      <c r="N1647" t="inlineStr">
        <is>
          <t>Linea Base</t>
        </is>
      </c>
      <c r="O1647" t="inlineStr">
        <is>
          <t>%</t>
        </is>
      </c>
      <c r="P1647" t="n">
        <v>0</v>
      </c>
      <c r="Q1647" t="n">
        <v>0</v>
      </c>
      <c r="R1647" t="inlineStr">
        <is>
          <t>511-2025-12-31</t>
        </is>
      </c>
    </row>
    <row r="1648">
      <c r="A1648" t="n">
        <v>513</v>
      </c>
      <c r="B1648" t="inlineStr">
        <is>
          <t>Nivel de cumplimiento del plan de seguimiento a controles</t>
        </is>
      </c>
      <c r="C1648" t="inlineStr">
        <is>
          <t>GESTIÓN DE RIESGOS</t>
        </is>
      </c>
      <c r="D1648" t="inlineStr">
        <is>
          <t>Semestral</t>
        </is>
      </c>
      <c r="E1648" t="inlineStr">
        <is>
          <t>Positivo</t>
        </is>
      </c>
      <c r="F1648" s="111" t="n">
        <v>45838</v>
      </c>
      <c r="G1648" t="n">
        <v>2025</v>
      </c>
      <c r="H1648" t="inlineStr">
        <is>
          <t>Junio</t>
        </is>
      </c>
      <c r="I1648" t="inlineStr">
        <is>
          <t>2025-1</t>
        </is>
      </c>
      <c r="K1648" t="n">
        <v>100</v>
      </c>
      <c r="L1648" s="39" t="n"/>
      <c r="M1648" s="39" t="n"/>
      <c r="N1648" t="inlineStr">
        <is>
          <t>Linea Base</t>
        </is>
      </c>
      <c r="O1648" t="inlineStr">
        <is>
          <t>%</t>
        </is>
      </c>
      <c r="P1648" t="n">
        <v>0</v>
      </c>
      <c r="Q1648" t="n">
        <v>0</v>
      </c>
      <c r="R1648" t="inlineStr">
        <is>
          <t>513-2025-06-30</t>
        </is>
      </c>
    </row>
    <row r="1649">
      <c r="A1649" t="n">
        <v>513</v>
      </c>
      <c r="B1649" t="inlineStr">
        <is>
          <t>Nivel de cumplimiento del plan de seguimiento a controles</t>
        </is>
      </c>
      <c r="C1649" t="inlineStr">
        <is>
          <t>GESTIÓN DE RIESGOS</t>
        </is>
      </c>
      <c r="D1649" t="inlineStr">
        <is>
          <t>Semestral</t>
        </is>
      </c>
      <c r="E1649" t="inlineStr">
        <is>
          <t>Positivo</t>
        </is>
      </c>
      <c r="F1649" s="111" t="n">
        <v>46022</v>
      </c>
      <c r="G1649" t="n">
        <v>2025</v>
      </c>
      <c r="H1649" t="inlineStr">
        <is>
          <t>Diciembre</t>
        </is>
      </c>
      <c r="I1649" t="inlineStr">
        <is>
          <t>2025-2</t>
        </is>
      </c>
      <c r="L1649" s="39" t="n"/>
      <c r="M1649" s="39" t="n"/>
      <c r="N1649" t="inlineStr">
        <is>
          <t>Linea Base</t>
        </is>
      </c>
      <c r="O1649" t="inlineStr">
        <is>
          <t>No Aplica</t>
        </is>
      </c>
      <c r="P1649" t="n">
        <v>0</v>
      </c>
      <c r="Q1649" t="n">
        <v>0</v>
      </c>
      <c r="R1649" t="inlineStr">
        <is>
          <t>513-2025-12-31</t>
        </is>
      </c>
      <c r="S1649" t="inlineStr">
        <is>
          <t>No Aplica</t>
        </is>
      </c>
    </row>
    <row r="1650">
      <c r="A1650" t="n">
        <v>514</v>
      </c>
      <c r="B1650" t="inlineStr">
        <is>
          <t>Respuesta ante nuevas necesidades de control</t>
        </is>
      </c>
      <c r="C1650" t="inlineStr">
        <is>
          <t>GESTIÓN DE RIESGOS</t>
        </is>
      </c>
      <c r="D1650" t="inlineStr">
        <is>
          <t>Trimestral</t>
        </is>
      </c>
      <c r="E1650" t="inlineStr">
        <is>
          <t>Positivo</t>
        </is>
      </c>
      <c r="F1650" s="111" t="n">
        <v>45838</v>
      </c>
      <c r="G1650" t="n">
        <v>2025</v>
      </c>
      <c r="H1650" t="inlineStr">
        <is>
          <t>Junio</t>
        </is>
      </c>
      <c r="I1650" t="inlineStr">
        <is>
          <t>2025-1</t>
        </is>
      </c>
      <c r="J1650" t="n">
        <v>70</v>
      </c>
      <c r="K1650" t="n">
        <v>91.81999999999999</v>
      </c>
      <c r="L1650" s="39">
        <f>IFERROR(IF(OR(J1650=0,K1650=""),"",IF(E1650="Positivo",MIN(MAX(K1650/J1650,0),1.3),MIN(MAX(J1650/K1650,0),1.3))),"") </f>
        <v/>
      </c>
      <c r="M1650" s="39">
        <f>IFERROR(IF(OR(J1650=0,K1650=""),"",IF(E1650="Positivo",MAX(K1650/J1650,0),MAX(J1650/K1650,0))),"") </f>
        <v/>
      </c>
      <c r="N1650" t="inlineStr">
        <is>
          <t>%</t>
        </is>
      </c>
      <c r="O1650" t="inlineStr">
        <is>
          <t>%</t>
        </is>
      </c>
      <c r="P1650" t="n">
        <v>0</v>
      </c>
      <c r="Q1650" t="n">
        <v>0</v>
      </c>
      <c r="R1650" t="inlineStr">
        <is>
          <t>514-2025-06-30</t>
        </is>
      </c>
    </row>
    <row r="1651">
      <c r="A1651" t="n">
        <v>514</v>
      </c>
      <c r="B1651" t="inlineStr">
        <is>
          <t>Respuesta ante nuevas necesidades de control</t>
        </is>
      </c>
      <c r="C1651" t="inlineStr">
        <is>
          <t>GESTIÓN DE RIESGOS</t>
        </is>
      </c>
      <c r="D1651" t="inlineStr">
        <is>
          <t>Trimestral</t>
        </is>
      </c>
      <c r="E1651" t="inlineStr">
        <is>
          <t>Positivo</t>
        </is>
      </c>
      <c r="F1651" s="111" t="n">
        <v>46022</v>
      </c>
      <c r="G1651" t="n">
        <v>2025</v>
      </c>
      <c r="H1651" t="inlineStr">
        <is>
          <t>Diciembre</t>
        </is>
      </c>
      <c r="I1651" t="inlineStr">
        <is>
          <t>2025-2</t>
        </is>
      </c>
      <c r="J1651" t="n">
        <v>70</v>
      </c>
      <c r="K1651" t="n">
        <v>45.96</v>
      </c>
      <c r="L1651" s="39">
        <f>IFERROR(IF(OR(J1651=0,K1651=""),"",IF(E1651="Positivo",MIN(MAX(K1651/J1651,0),1.3),MIN(MAX(J1651/K1651,0),1.3))),"") </f>
        <v/>
      </c>
      <c r="M1651" s="39">
        <f>IFERROR(IF(OR(J1651=0,K1651=""),"",IF(E1651="Positivo",MAX(K1651/J1651,0),MAX(J1651/K1651,0))),"") </f>
        <v/>
      </c>
      <c r="N1651" t="inlineStr">
        <is>
          <t>%</t>
        </is>
      </c>
      <c r="O1651" t="inlineStr">
        <is>
          <t>%</t>
        </is>
      </c>
      <c r="P1651" t="n">
        <v>0</v>
      </c>
      <c r="Q1651" t="n">
        <v>0</v>
      </c>
      <c r="R1651" t="inlineStr">
        <is>
          <t>514-2025-12-31</t>
        </is>
      </c>
    </row>
    <row r="1652">
      <c r="A1652" t="n">
        <v>515</v>
      </c>
      <c r="B1652" t="inlineStr">
        <is>
          <t>Porcentaje de procesos de control implementados</t>
        </is>
      </c>
      <c r="C1652" t="inlineStr">
        <is>
          <t>GESTIÓN DE LA TECNOLOGÍA E INNOVACIÓN DIGITAL</t>
        </is>
      </c>
      <c r="D1652" t="inlineStr">
        <is>
          <t>Trimestral</t>
        </is>
      </c>
      <c r="E1652" t="inlineStr">
        <is>
          <t>Positivo</t>
        </is>
      </c>
      <c r="F1652" s="111" t="n">
        <v>46022</v>
      </c>
      <c r="G1652" t="n">
        <v>2025</v>
      </c>
      <c r="H1652" t="inlineStr">
        <is>
          <t>Diciembre</t>
        </is>
      </c>
      <c r="I1652" t="inlineStr">
        <is>
          <t>2025-2</t>
        </is>
      </c>
      <c r="J1652" t="n">
        <v>97</v>
      </c>
      <c r="K1652" t="n">
        <v>66.67</v>
      </c>
      <c r="L1652" s="39">
        <f>IFERROR(IF(OR(J1652=0,K1652=""),"",IF(E1652="Positivo",MIN(MAX(K1652/J1652,0),1.3),MIN(MAX(J1652/K1652,0),1.3))),"") </f>
        <v/>
      </c>
      <c r="M1652" s="39">
        <f>IFERROR(IF(OR(J1652=0,K1652=""),"",IF(E1652="Positivo",MAX(K1652/J1652,0),MAX(J1652/K1652,0))),"") </f>
        <v/>
      </c>
      <c r="N1652" t="inlineStr">
        <is>
          <t>%</t>
        </is>
      </c>
      <c r="O1652" t="inlineStr">
        <is>
          <t>%</t>
        </is>
      </c>
      <c r="P1652" t="n">
        <v>0</v>
      </c>
      <c r="Q1652" t="n">
        <v>0</v>
      </c>
      <c r="R1652" t="inlineStr">
        <is>
          <t>515-2025-12-31</t>
        </is>
      </c>
    </row>
    <row r="1653">
      <c r="A1653" t="n">
        <v>516</v>
      </c>
      <c r="B1653" t="inlineStr">
        <is>
          <t>Porcentaje de colaboradores formados en ciberseguridad</t>
        </is>
      </c>
      <c r="C1653" t="inlineStr">
        <is>
          <t>GESTIÓN DE LA TECNOLOGÍA E INNOVACIÓN DIGITAL</t>
        </is>
      </c>
      <c r="D1653" t="inlineStr">
        <is>
          <t>Trimestral</t>
        </is>
      </c>
      <c r="E1653" t="inlineStr">
        <is>
          <t>Positivo</t>
        </is>
      </c>
      <c r="F1653" s="111" t="n">
        <v>46022</v>
      </c>
      <c r="G1653" t="n">
        <v>2025</v>
      </c>
      <c r="H1653" t="inlineStr">
        <is>
          <t>Diciembre</t>
        </is>
      </c>
      <c r="I1653" t="inlineStr">
        <is>
          <t>2025-2</t>
        </is>
      </c>
      <c r="J1653" t="n">
        <v>97</v>
      </c>
      <c r="K1653" t="n">
        <v>315.79</v>
      </c>
      <c r="L1653" s="39">
        <f>IFERROR(IF(OR(J1653=0,K1653=""),"",IF(E1653="Positivo",MIN(MAX(K1653/J1653,0),1.3),MIN(MAX(J1653/K1653,0),1.3))),"") </f>
        <v/>
      </c>
      <c r="M1653" s="39">
        <f>IFERROR(IF(OR(J1653=0,K1653=""),"",IF(E1653="Positivo",MAX(K1653/J1653,0),MAX(J1653/K1653,0))),"") </f>
        <v/>
      </c>
      <c r="N1653" t="inlineStr">
        <is>
          <t>%</t>
        </is>
      </c>
      <c r="O1653" t="inlineStr">
        <is>
          <t>%</t>
        </is>
      </c>
      <c r="P1653" t="n">
        <v>0</v>
      </c>
      <c r="Q1653" t="n">
        <v>0</v>
      </c>
      <c r="R1653" t="inlineStr">
        <is>
          <t>516-2025-12-31</t>
        </is>
      </c>
    </row>
    <row r="1654">
      <c r="A1654" t="n">
        <v>518</v>
      </c>
      <c r="B1654" t="inlineStr">
        <is>
          <t>Cumplimiento programa de auditoría</t>
        </is>
      </c>
      <c r="C1654" t="inlineStr">
        <is>
          <t>AUDITORÍA INTERNA</t>
        </is>
      </c>
      <c r="D1654" t="inlineStr">
        <is>
          <t>Bimestral</t>
        </is>
      </c>
      <c r="E1654" t="inlineStr">
        <is>
          <t>Positivo</t>
        </is>
      </c>
      <c r="F1654" s="111" t="n">
        <v>45838</v>
      </c>
      <c r="G1654" t="n">
        <v>2025</v>
      </c>
      <c r="H1654" t="inlineStr">
        <is>
          <t>Junio</t>
        </is>
      </c>
      <c r="I1654" t="inlineStr">
        <is>
          <t>2025-1</t>
        </is>
      </c>
      <c r="J1654" t="n">
        <v>100</v>
      </c>
      <c r="K1654" t="n">
        <v>87.5</v>
      </c>
      <c r="L1654" s="39">
        <f>IFERROR(IF(OR(J1654=0,K1654=""),"",IF(E1654="Positivo",MIN(MAX(K1654/J1654,0),1.3),MIN(MAX(J1654/K1654,0),1.3))),"") </f>
        <v/>
      </c>
      <c r="M1654" s="39">
        <f>IFERROR(IF(OR(J1654=0,K1654=""),"",IF(E1654="Positivo",MAX(K1654/J1654,0),MAX(J1654/K1654,0))),"") </f>
        <v/>
      </c>
      <c r="N1654" t="inlineStr">
        <is>
          <t>%</t>
        </is>
      </c>
      <c r="O1654" t="inlineStr">
        <is>
          <t>%</t>
        </is>
      </c>
      <c r="P1654" t="n">
        <v>0</v>
      </c>
      <c r="Q1654" t="n">
        <v>0</v>
      </c>
      <c r="R1654" t="inlineStr">
        <is>
          <t>518-2025-06-30</t>
        </is>
      </c>
    </row>
    <row r="1655">
      <c r="A1655" t="n">
        <v>518</v>
      </c>
      <c r="B1655" t="inlineStr">
        <is>
          <t>Cumplimiento programa de auditoría</t>
        </is>
      </c>
      <c r="C1655" t="inlineStr">
        <is>
          <t>AUDITORÍA INTERNA</t>
        </is>
      </c>
      <c r="D1655" t="inlineStr">
        <is>
          <t>Semestral</t>
        </is>
      </c>
      <c r="E1655" t="inlineStr">
        <is>
          <t>Positivo</t>
        </is>
      </c>
      <c r="F1655" s="111" t="n">
        <v>46022</v>
      </c>
      <c r="G1655" t="n">
        <v>2025</v>
      </c>
      <c r="H1655" t="inlineStr">
        <is>
          <t>Diciembre</t>
        </is>
      </c>
      <c r="I1655" t="inlineStr">
        <is>
          <t>2025-2</t>
        </is>
      </c>
      <c r="J1655" t="n">
        <v>100</v>
      </c>
      <c r="K1655" t="n">
        <v>137.5</v>
      </c>
      <c r="L1655" s="39">
        <f>IFERROR(IF(OR(J1655=0,K1655=""),"",IF(E1655="Positivo",MIN(MAX(K1655/J1655,0),1.3),MIN(MAX(J1655/K1655,0),1.3))),"") </f>
        <v/>
      </c>
      <c r="M1655" s="39">
        <f>IFERROR(IF(OR(J1655=0,K1655=""),"",IF(E1655="Positivo",MAX(K1655/J1655,0),MAX(J1655/K1655,0))),"") </f>
        <v/>
      </c>
      <c r="N1655" t="inlineStr">
        <is>
          <t>%</t>
        </is>
      </c>
      <c r="O1655" t="inlineStr">
        <is>
          <t>%</t>
        </is>
      </c>
      <c r="P1655" t="n">
        <v>0</v>
      </c>
      <c r="Q1655" t="n">
        <v>0</v>
      </c>
      <c r="R1655" t="inlineStr">
        <is>
          <t>518-2025-12-31</t>
        </is>
      </c>
    </row>
    <row r="1656">
      <c r="A1656" t="n">
        <v>519</v>
      </c>
      <c r="B1656" t="inlineStr">
        <is>
          <t>% de publicaciones con sentimiento neutro o negativo</t>
        </is>
      </c>
      <c r="C1656" t="inlineStr">
        <is>
          <t>Comunicaciones Externas</t>
        </is>
      </c>
      <c r="D1656" t="inlineStr">
        <is>
          <t>Trimestral</t>
        </is>
      </c>
      <c r="E1656" t="inlineStr">
        <is>
          <t>Positivo</t>
        </is>
      </c>
      <c r="F1656" s="111" t="n">
        <v>45838</v>
      </c>
      <c r="G1656" t="n">
        <v>2025</v>
      </c>
      <c r="H1656" t="inlineStr">
        <is>
          <t>Junio</t>
        </is>
      </c>
      <c r="I1656" t="inlineStr">
        <is>
          <t>2025-1</t>
        </is>
      </c>
      <c r="J1656" t="n">
        <v>100</v>
      </c>
      <c r="K1656" t="n">
        <v>431.45</v>
      </c>
      <c r="L1656" s="39">
        <f>IFERROR(IF(OR(J1656=0,K1656=""),"",IF(E1656="Positivo",MIN(MAX(K1656/J1656,0),1.3),MIN(MAX(J1656/K1656,0),1.3))),"") </f>
        <v/>
      </c>
      <c r="M1656" s="39">
        <f>IFERROR(IF(OR(J1656=0,K1656=""),"",IF(E1656="Positivo",MAX(K1656/J1656,0),MAX(J1656/K1656,0))),"") </f>
        <v/>
      </c>
      <c r="N1656" t="inlineStr">
        <is>
          <t>%</t>
        </is>
      </c>
      <c r="O1656" t="inlineStr">
        <is>
          <t>%</t>
        </is>
      </c>
      <c r="P1656" t="n">
        <v>0</v>
      </c>
      <c r="Q1656" t="n">
        <v>0</v>
      </c>
      <c r="R1656" t="inlineStr">
        <is>
          <t>519-2025-06-30</t>
        </is>
      </c>
    </row>
    <row r="1657">
      <c r="A1657" t="n">
        <v>519</v>
      </c>
      <c r="B1657" t="inlineStr">
        <is>
          <t>% de publicaciones con sentimiento neutro o negativo</t>
        </is>
      </c>
      <c r="C1657" t="inlineStr">
        <is>
          <t>Comunicaciones Externas</t>
        </is>
      </c>
      <c r="D1657" t="inlineStr">
        <is>
          <t>Trimestral</t>
        </is>
      </c>
      <c r="E1657" t="inlineStr">
        <is>
          <t>Positivo</t>
        </is>
      </c>
      <c r="F1657" s="111" t="n">
        <v>46022</v>
      </c>
      <c r="G1657" t="n">
        <v>2025</v>
      </c>
      <c r="H1657" t="inlineStr">
        <is>
          <t>Diciembre</t>
        </is>
      </c>
      <c r="I1657" t="inlineStr">
        <is>
          <t>2025-2</t>
        </is>
      </c>
      <c r="J1657" t="n">
        <v>100</v>
      </c>
      <c r="K1657" t="n">
        <v>131.13</v>
      </c>
      <c r="L1657" s="39">
        <f>IFERROR(IF(OR(J1657=0,K1657=""),"",IF(E1657="Positivo",MIN(MAX(K1657/J1657,0),1.3),MIN(MAX(J1657/K1657,0),1.3))),"") </f>
        <v/>
      </c>
      <c r="M1657" s="39">
        <f>IFERROR(IF(OR(J1657=0,K1657=""),"",IF(E1657="Positivo",MAX(K1657/J1657,0),MAX(J1657/K1657,0))),"") </f>
        <v/>
      </c>
      <c r="N1657" t="inlineStr">
        <is>
          <t>%</t>
        </is>
      </c>
      <c r="O1657" t="inlineStr">
        <is>
          <t>%</t>
        </is>
      </c>
      <c r="P1657" t="n">
        <v>0</v>
      </c>
      <c r="Q1657" t="n">
        <v>0</v>
      </c>
      <c r="R1657" t="inlineStr">
        <is>
          <t>519-2025-12-31</t>
        </is>
      </c>
    </row>
    <row r="1658">
      <c r="A1658" t="n">
        <v>522</v>
      </c>
      <c r="B1658" t="inlineStr">
        <is>
          <t>Asignaturas o modulos con mecanismos de evaluación implementados</t>
        </is>
      </c>
      <c r="C1658" t="inlineStr">
        <is>
          <t>Gestión, Evaluación e Innovación Curricular</t>
        </is>
      </c>
      <c r="D1658" t="inlineStr">
        <is>
          <t>Anual</t>
        </is>
      </c>
      <c r="E1658" t="inlineStr">
        <is>
          <t>Positivo</t>
        </is>
      </c>
      <c r="F1658" s="111" t="n">
        <v>46022</v>
      </c>
      <c r="G1658" t="n">
        <v>2025</v>
      </c>
      <c r="H1658" t="inlineStr">
        <is>
          <t>Diciembre</t>
        </is>
      </c>
      <c r="I1658" t="inlineStr">
        <is>
          <t>2025-2</t>
        </is>
      </c>
      <c r="J1658" t="n">
        <v>20</v>
      </c>
      <c r="K1658" t="n">
        <v>100</v>
      </c>
      <c r="L1658" s="39">
        <f>IFERROR(IF(OR(J1658=0,K1658=""),"",IF(E1658="Positivo",MIN(MAX(K1658/J1658,0),1.3),MIN(MAX(J1658/K1658,0),1.3))),"") </f>
        <v/>
      </c>
      <c r="M1658" s="39">
        <f>IFERROR(IF(OR(J1658=0,K1658=""),"",IF(E1658="Positivo",MAX(K1658/J1658,0),MAX(J1658/K1658,0))),"") </f>
        <v/>
      </c>
      <c r="N1658" t="inlineStr">
        <is>
          <t>%</t>
        </is>
      </c>
      <c r="O1658" t="inlineStr">
        <is>
          <t>%</t>
        </is>
      </c>
      <c r="P1658" t="n">
        <v>0</v>
      </c>
      <c r="Q1658" t="n">
        <v>0</v>
      </c>
      <c r="R1658" t="inlineStr">
        <is>
          <t>522-2025-12-31</t>
        </is>
      </c>
    </row>
    <row r="1659">
      <c r="A1659" t="n">
        <v>523</v>
      </c>
      <c r="B1659" t="inlineStr">
        <is>
          <t>Ingresos totales de educación para la vida</t>
        </is>
      </c>
      <c r="C1659" t="inlineStr">
        <is>
          <t>Planeación Financiera</t>
        </is>
      </c>
      <c r="D1659" t="inlineStr">
        <is>
          <t>Trimestral</t>
        </is>
      </c>
      <c r="E1659" t="inlineStr">
        <is>
          <t>Positivo</t>
        </is>
      </c>
      <c r="F1659" s="111" t="n">
        <v>45838</v>
      </c>
      <c r="G1659" t="n">
        <v>2025</v>
      </c>
      <c r="H1659" t="inlineStr">
        <is>
          <t>Junio</t>
        </is>
      </c>
      <c r="I1659" t="inlineStr">
        <is>
          <t>2025-1</t>
        </is>
      </c>
      <c r="J1659" t="n">
        <v>95</v>
      </c>
      <c r="K1659" t="n">
        <v>125.74</v>
      </c>
      <c r="L1659" s="39">
        <f>IFERROR(IF(OR(J1659=0,K1659=""),"",IF(E1659="Positivo",MIN(MAX(K1659/J1659,0),1.3),MIN(MAX(J1659/K1659,0),1.3))),"") </f>
        <v/>
      </c>
      <c r="M1659" s="39">
        <f>IFERROR(IF(OR(J1659=0,K1659=""),"",IF(E1659="Positivo",MAX(K1659/J1659,0),MAX(J1659/K1659,0))),"") </f>
        <v/>
      </c>
      <c r="N1659" t="inlineStr">
        <is>
          <t>%</t>
        </is>
      </c>
      <c r="O1659" t="inlineStr">
        <is>
          <t>%</t>
        </is>
      </c>
      <c r="P1659" t="n">
        <v>0</v>
      </c>
      <c r="Q1659" t="n">
        <v>0</v>
      </c>
      <c r="R1659" t="inlineStr">
        <is>
          <t>523-2025-06-30</t>
        </is>
      </c>
    </row>
    <row r="1660">
      <c r="A1660" t="n">
        <v>523</v>
      </c>
      <c r="B1660" t="inlineStr">
        <is>
          <t>Ingresos totales de educación para la vida</t>
        </is>
      </c>
      <c r="C1660" t="inlineStr">
        <is>
          <t>Planeación Financiera</t>
        </is>
      </c>
      <c r="D1660" t="inlineStr">
        <is>
          <t>Trimestral</t>
        </is>
      </c>
      <c r="E1660" t="inlineStr">
        <is>
          <t>Positivo</t>
        </is>
      </c>
      <c r="F1660" s="111" t="n">
        <v>46022</v>
      </c>
      <c r="G1660" t="n">
        <v>2025</v>
      </c>
      <c r="H1660" t="inlineStr">
        <is>
          <t>Diciembre</t>
        </is>
      </c>
      <c r="I1660" t="inlineStr">
        <is>
          <t>2025-2</t>
        </is>
      </c>
      <c r="J1660" t="n">
        <v>95</v>
      </c>
      <c r="K1660" t="n">
        <v>95.81999999999999</v>
      </c>
      <c r="L1660" s="39">
        <f>IFERROR(IF(OR(J1660=0,K1660=""),"",IF(E1660="Positivo",MIN(MAX(K1660/J1660,0),1.3),MIN(MAX(J1660/K1660,0),1.3))),"") </f>
        <v/>
      </c>
      <c r="M1660" s="39">
        <f>IFERROR(IF(OR(J1660=0,K1660=""),"",IF(E1660="Positivo",MAX(K1660/J1660,0),MAX(J1660/K1660,0))),"") </f>
        <v/>
      </c>
      <c r="N1660" t="inlineStr">
        <is>
          <t>%</t>
        </is>
      </c>
      <c r="O1660" t="inlineStr">
        <is>
          <t>%</t>
        </is>
      </c>
      <c r="P1660" t="n">
        <v>0</v>
      </c>
      <c r="Q1660" t="n">
        <v>0</v>
      </c>
      <c r="R1660" t="inlineStr">
        <is>
          <t>523-2025-12-31</t>
        </is>
      </c>
    </row>
    <row r="1661">
      <c r="A1661" t="n">
        <v>524</v>
      </c>
      <c r="B1661" t="inlineStr">
        <is>
          <t>Total Leads por canales de captación</t>
        </is>
      </c>
      <c r="C1661" t="inlineStr">
        <is>
          <t>Mercadeo de programas académicos</t>
        </is>
      </c>
      <c r="D1661" t="inlineStr">
        <is>
          <t>Trimestral</t>
        </is>
      </c>
      <c r="E1661" t="inlineStr">
        <is>
          <t>Positivo</t>
        </is>
      </c>
      <c r="F1661" s="111" t="n">
        <v>45838</v>
      </c>
      <c r="G1661" t="n">
        <v>2025</v>
      </c>
      <c r="H1661" t="inlineStr">
        <is>
          <t>Junio</t>
        </is>
      </c>
      <c r="I1661" t="inlineStr">
        <is>
          <t>2025-1</t>
        </is>
      </c>
      <c r="J1661" t="n">
        <v>100</v>
      </c>
      <c r="K1661" t="n">
        <v>99.38</v>
      </c>
      <c r="L1661" s="39">
        <f>IFERROR(IF(OR(J1661=0,K1661=""),"",IF(E1661="Positivo",MIN(MAX(K1661/J1661,0),1.3),MIN(MAX(J1661/K1661,0),1.3))),"") </f>
        <v/>
      </c>
      <c r="M1661" s="39">
        <f>IFERROR(IF(OR(J1661=0,K1661=""),"",IF(E1661="Positivo",MAX(K1661/J1661,0),MAX(J1661/K1661,0))),"") </f>
        <v/>
      </c>
      <c r="N1661" t="inlineStr">
        <is>
          <t>ENT</t>
        </is>
      </c>
      <c r="O1661" t="inlineStr">
        <is>
          <t>ENT</t>
        </is>
      </c>
      <c r="P1661" t="n">
        <v>0</v>
      </c>
      <c r="Q1661" t="n">
        <v>0</v>
      </c>
      <c r="R1661" t="inlineStr">
        <is>
          <t>524-2025-06-30</t>
        </is>
      </c>
    </row>
    <row r="1662">
      <c r="A1662" t="n">
        <v>524</v>
      </c>
      <c r="B1662" t="inlineStr">
        <is>
          <t>Total Leads por canales de captación</t>
        </is>
      </c>
      <c r="C1662" t="inlineStr">
        <is>
          <t>Mercadeo de programas académicos</t>
        </is>
      </c>
      <c r="D1662" t="inlineStr">
        <is>
          <t>Trimestral</t>
        </is>
      </c>
      <c r="E1662" t="inlineStr">
        <is>
          <t>Positivo</t>
        </is>
      </c>
      <c r="F1662" s="111" t="n">
        <v>46022</v>
      </c>
      <c r="G1662" t="n">
        <v>2025</v>
      </c>
      <c r="H1662" t="inlineStr">
        <is>
          <t>Diciembre</t>
        </is>
      </c>
      <c r="I1662" t="inlineStr">
        <is>
          <t>2025-2</t>
        </is>
      </c>
      <c r="J1662" t="n">
        <v>143.412</v>
      </c>
      <c r="K1662" t="n">
        <v>106.07</v>
      </c>
      <c r="L1662" s="39">
        <f>IFERROR(IF(OR(J1662=0,K1662=""),"",IF(E1662="Positivo",MIN(MAX(K1662/J1662,0),1.3),MIN(MAX(J1662/K1662,0),1.3))),"") </f>
        <v/>
      </c>
      <c r="M1662" s="39">
        <f>IFERROR(IF(OR(J1662=0,K1662=""),"",IF(E1662="Positivo",MAX(K1662/J1662,0),MAX(J1662/K1662,0))),"") </f>
        <v/>
      </c>
      <c r="N1662" t="inlineStr">
        <is>
          <t>ENT</t>
        </is>
      </c>
      <c r="O1662" t="inlineStr">
        <is>
          <t>ENT</t>
        </is>
      </c>
      <c r="P1662" t="n">
        <v>0</v>
      </c>
      <c r="Q1662" t="n">
        <v>0</v>
      </c>
      <c r="R1662" t="inlineStr">
        <is>
          <t>524-2025-12-31</t>
        </is>
      </c>
    </row>
    <row r="1663">
      <c r="A1663" t="n">
        <v>526</v>
      </c>
      <c r="B1663" t="inlineStr">
        <is>
          <t>Cumplimiento Politica Polisigs</t>
        </is>
      </c>
      <c r="C1663" t="inlineStr">
        <is>
          <t>Planificación POLISIGS</t>
        </is>
      </c>
      <c r="D1663" t="inlineStr">
        <is>
          <t>Semestral</t>
        </is>
      </c>
      <c r="E1663" t="inlineStr">
        <is>
          <t>Positivo</t>
        </is>
      </c>
      <c r="F1663" s="111" t="n">
        <v>45838</v>
      </c>
      <c r="G1663" t="n">
        <v>2025</v>
      </c>
      <c r="H1663" t="inlineStr">
        <is>
          <t>Junio</t>
        </is>
      </c>
      <c r="I1663" t="inlineStr">
        <is>
          <t>2025-1</t>
        </is>
      </c>
      <c r="J1663" t="n">
        <v>95</v>
      </c>
      <c r="L1663" s="39" t="n"/>
      <c r="M1663" s="39" t="n"/>
      <c r="N1663" t="inlineStr">
        <is>
          <t>%</t>
        </is>
      </c>
      <c r="O1663" t="inlineStr">
        <is>
          <t>No Aplica</t>
        </is>
      </c>
      <c r="P1663" t="n">
        <v>0</v>
      </c>
      <c r="Q1663" t="n">
        <v>0</v>
      </c>
      <c r="R1663" t="inlineStr">
        <is>
          <t>526-2025-06-30</t>
        </is>
      </c>
      <c r="S1663" t="inlineStr">
        <is>
          <t>No Aplica</t>
        </is>
      </c>
    </row>
    <row r="1664">
      <c r="A1664" t="n">
        <v>526</v>
      </c>
      <c r="B1664" t="inlineStr">
        <is>
          <t>Cumplimiento Politica Polisigs</t>
        </is>
      </c>
      <c r="C1664" t="inlineStr">
        <is>
          <t>Planificación POLISIGS</t>
        </is>
      </c>
      <c r="D1664" t="inlineStr">
        <is>
          <t>Semestral</t>
        </is>
      </c>
      <c r="E1664" t="inlineStr">
        <is>
          <t>Positivo</t>
        </is>
      </c>
      <c r="F1664" s="111" t="n">
        <v>46022</v>
      </c>
      <c r="G1664" t="n">
        <v>2025</v>
      </c>
      <c r="H1664" t="inlineStr">
        <is>
          <t>Diciembre</t>
        </is>
      </c>
      <c r="I1664" t="inlineStr">
        <is>
          <t>2025-2</t>
        </is>
      </c>
      <c r="J1664" t="n">
        <v>95</v>
      </c>
      <c r="K1664" t="n">
        <v>96.59999999999999</v>
      </c>
      <c r="L1664" s="39">
        <f>IFERROR(IF(OR(J1664=0,K1664=""),"",IF(E1664="Positivo",MIN(MAX(K1664/J1664,0),1.3),MIN(MAX(J1664/K1664,0),1.3))),"") </f>
        <v/>
      </c>
      <c r="M1664" s="39">
        <f>IFERROR(IF(OR(J1664=0,K1664=""),"",IF(E1664="Positivo",MAX(K1664/J1664,0),MAX(J1664/K1664,0))),"") </f>
        <v/>
      </c>
      <c r="N1664" t="inlineStr">
        <is>
          <t>%</t>
        </is>
      </c>
      <c r="O1664" t="inlineStr">
        <is>
          <t>%</t>
        </is>
      </c>
      <c r="P1664" t="n">
        <v>0</v>
      </c>
      <c r="Q1664" t="n">
        <v>0</v>
      </c>
      <c r="R1664" t="inlineStr">
        <is>
          <t>526-2025-12-31</t>
        </is>
      </c>
    </row>
    <row r="1665">
      <c r="A1665" t="n">
        <v>527</v>
      </c>
      <c r="B1665" t="inlineStr">
        <is>
          <t>Participación de Grupos de Interés en la construcción del nuevo plan de desarrollo (PDI)</t>
        </is>
      </c>
      <c r="C1665" t="inlineStr">
        <is>
          <t>Planeación Estratégica</t>
        </is>
      </c>
      <c r="D1665" t="inlineStr">
        <is>
          <t>Anual</t>
        </is>
      </c>
      <c r="E1665" t="inlineStr">
        <is>
          <t>Positivo</t>
        </is>
      </c>
      <c r="F1665" s="111" t="n">
        <v>46022</v>
      </c>
      <c r="G1665" t="n">
        <v>2025</v>
      </c>
      <c r="H1665" t="inlineStr">
        <is>
          <t>Diciembre</t>
        </is>
      </c>
      <c r="I1665" t="inlineStr">
        <is>
          <t>2025-2</t>
        </is>
      </c>
      <c r="J1665" t="n">
        <v>100</v>
      </c>
      <c r="K1665" t="n">
        <v>197.94</v>
      </c>
      <c r="L1665" s="39">
        <f>IFERROR(IF(OR(J1665=0,K1665=""),"",IF(E1665="Positivo",MIN(MAX(K1665/J1665,0),1.3),MIN(MAX(J1665/K1665,0),1.3))),"") </f>
        <v/>
      </c>
      <c r="M1665" s="39">
        <f>IFERROR(IF(OR(J1665=0,K1665=""),"",IF(E1665="Positivo",MAX(K1665/J1665,0),MAX(J1665/K1665,0))),"") </f>
        <v/>
      </c>
      <c r="N1665" t="inlineStr">
        <is>
          <t>%</t>
        </is>
      </c>
      <c r="O1665" t="inlineStr">
        <is>
          <t>%</t>
        </is>
      </c>
      <c r="P1665" t="n">
        <v>0</v>
      </c>
      <c r="Q1665" t="n">
        <v>0</v>
      </c>
      <c r="R1665" t="inlineStr">
        <is>
          <t>527-2025-12-31</t>
        </is>
      </c>
    </row>
    <row r="1666">
      <c r="A1666" t="n">
        <v>528</v>
      </c>
      <c r="B1666" t="inlineStr">
        <is>
          <t>Participación de la comunidad en la Rendición de Cuentas</t>
        </is>
      </c>
      <c r="C1666" t="inlineStr">
        <is>
          <t>Planeación Estratégica</t>
        </is>
      </c>
      <c r="D1666" t="inlineStr">
        <is>
          <t>Anual</t>
        </is>
      </c>
      <c r="E1666" t="inlineStr">
        <is>
          <t>Positivo</t>
        </is>
      </c>
      <c r="F1666" s="111" t="n">
        <v>45838</v>
      </c>
      <c r="G1666" t="n">
        <v>2025</v>
      </c>
      <c r="H1666" t="inlineStr">
        <is>
          <t>Junio</t>
        </is>
      </c>
      <c r="I1666" t="inlineStr">
        <is>
          <t>2025-1</t>
        </is>
      </c>
      <c r="J1666" t="n">
        <v>100</v>
      </c>
      <c r="K1666" t="n">
        <v>173.92055267703</v>
      </c>
      <c r="L1666" s="39">
        <f>IFERROR(IF(OR(J1666=0,K1666=""),"",IF(E1666="Positivo",MIN(MAX(K1666/J1666,0),1.3),MIN(MAX(J1666/K1666,0),1.3))),"") </f>
        <v/>
      </c>
      <c r="M1666" s="39">
        <f>IFERROR(IF(OR(J1666=0,K1666=""),"",IF(E1666="Positivo",MAX(K1666/J1666,0),MAX(J1666/K1666,0))),"") </f>
        <v/>
      </c>
      <c r="N1666" t="inlineStr">
        <is>
          <t>ENT</t>
        </is>
      </c>
      <c r="O1666" t="inlineStr">
        <is>
          <t>ENT</t>
        </is>
      </c>
      <c r="P1666" t="n">
        <v>0</v>
      </c>
      <c r="Q1666" t="n">
        <v>0</v>
      </c>
      <c r="R1666" t="inlineStr">
        <is>
          <t>528-2025-06-30</t>
        </is>
      </c>
    </row>
    <row r="1667">
      <c r="A1667" t="n">
        <v>528</v>
      </c>
      <c r="B1667" t="inlineStr">
        <is>
          <t>Participación de la comunidad en la Rendición de Cuentas</t>
        </is>
      </c>
      <c r="C1667" t="inlineStr">
        <is>
          <t>Planeación Estratégica</t>
        </is>
      </c>
      <c r="D1667" t="inlineStr">
        <is>
          <t>Anual</t>
        </is>
      </c>
      <c r="E1667" t="inlineStr">
        <is>
          <t>Positivo</t>
        </is>
      </c>
      <c r="F1667" s="111" t="n">
        <v>46022</v>
      </c>
      <c r="G1667" t="n">
        <v>2025</v>
      </c>
      <c r="H1667" t="inlineStr">
        <is>
          <t>Diciembre</t>
        </is>
      </c>
      <c r="I1667" t="inlineStr">
        <is>
          <t>2025-2</t>
        </is>
      </c>
      <c r="J1667" t="n">
        <v>100</v>
      </c>
      <c r="K1667" t="n">
        <v>1158</v>
      </c>
      <c r="L1667" s="39">
        <f>IFERROR(IF(OR(J1667=0,K1667=""),"",IF(E1667="Positivo",MIN(MAX(K1667/J1667,0),1.3),MIN(MAX(J1667/K1667,0),1.3))),"") </f>
        <v/>
      </c>
      <c r="M1667" s="39">
        <f>IFERROR(IF(OR(J1667=0,K1667=""),"",IF(E1667="Positivo",MAX(K1667/J1667,0),MAX(J1667/K1667,0))),"") </f>
        <v/>
      </c>
      <c r="N1667" t="inlineStr">
        <is>
          <t>ENT</t>
        </is>
      </c>
      <c r="O1667" t="inlineStr">
        <is>
          <t>ENT</t>
        </is>
      </c>
      <c r="P1667" t="n">
        <v>0</v>
      </c>
      <c r="Q1667" t="n">
        <v>0</v>
      </c>
      <c r="R1667" t="inlineStr">
        <is>
          <t>528-2025-12-31</t>
        </is>
      </c>
    </row>
    <row r="1668">
      <c r="A1668" t="n">
        <v>529</v>
      </c>
      <c r="B1668" t="inlineStr">
        <is>
          <t>Oportunidad en la solución de solicitudes de infraestructura</t>
        </is>
      </c>
      <c r="C1668" t="inlineStr">
        <is>
          <t>Gestión Infraestructura Física</t>
        </is>
      </c>
      <c r="D1668" t="inlineStr">
        <is>
          <t>Semestral</t>
        </is>
      </c>
      <c r="E1668" t="inlineStr">
        <is>
          <t>Positivo</t>
        </is>
      </c>
      <c r="F1668" s="111" t="n">
        <v>45838</v>
      </c>
      <c r="G1668" t="n">
        <v>2025</v>
      </c>
      <c r="H1668" t="inlineStr">
        <is>
          <t>Junio</t>
        </is>
      </c>
      <c r="I1668" t="inlineStr">
        <is>
          <t>2025-1</t>
        </is>
      </c>
      <c r="L1668" s="39" t="n"/>
      <c r="M1668" s="39" t="n"/>
      <c r="N1668" t="inlineStr">
        <is>
          <t>%</t>
        </is>
      </c>
      <c r="O1668" t="inlineStr">
        <is>
          <t>No Aplica</t>
        </is>
      </c>
      <c r="P1668" t="n">
        <v>0</v>
      </c>
      <c r="Q1668" t="n">
        <v>0</v>
      </c>
      <c r="R1668" t="inlineStr">
        <is>
          <t>529-2025-06-30</t>
        </is>
      </c>
      <c r="S1668" t="inlineStr">
        <is>
          <t>No Aplica</t>
        </is>
      </c>
    </row>
    <row r="1669">
      <c r="A1669" t="n">
        <v>529</v>
      </c>
      <c r="B1669" t="inlineStr">
        <is>
          <t>Oportunidad en la solución de solicitudes de infraestructura</t>
        </is>
      </c>
      <c r="C1669" t="inlineStr">
        <is>
          <t>Gestión Infraestructura Física</t>
        </is>
      </c>
      <c r="D1669" t="inlineStr">
        <is>
          <t>Semestral</t>
        </is>
      </c>
      <c r="E1669" t="inlineStr">
        <is>
          <t>Positivo</t>
        </is>
      </c>
      <c r="F1669" s="111" t="n">
        <v>46022</v>
      </c>
      <c r="G1669" t="n">
        <v>2025</v>
      </c>
      <c r="H1669" t="inlineStr">
        <is>
          <t>Diciembre</t>
        </is>
      </c>
      <c r="I1669" t="inlineStr">
        <is>
          <t>2025-2</t>
        </is>
      </c>
      <c r="J1669" t="n">
        <v>180</v>
      </c>
      <c r="K1669" t="n">
        <v>294.16</v>
      </c>
      <c r="L1669" s="39">
        <f>IFERROR(IF(OR(J1669=0,K1669=""),"",IF(E1669="Positivo",MIN(MAX(K1669/J1669,0),1.3),MIN(MAX(J1669/K1669,0),1.3))),"") </f>
        <v/>
      </c>
      <c r="M1669" s="39">
        <f>IFERROR(IF(OR(J1669=0,K1669=""),"",IF(E1669="Positivo",MAX(K1669/J1669,0),MAX(J1669/K1669,0))),"") </f>
        <v/>
      </c>
      <c r="N1669" t="inlineStr">
        <is>
          <t>%</t>
        </is>
      </c>
      <c r="O1669" t="inlineStr">
        <is>
          <t>%</t>
        </is>
      </c>
      <c r="P1669" t="n">
        <v>0</v>
      </c>
      <c r="Q1669" t="n">
        <v>0</v>
      </c>
      <c r="R1669" t="inlineStr">
        <is>
          <t>529-2025-12-31</t>
        </is>
      </c>
    </row>
    <row r="1670">
      <c r="A1670" t="n">
        <v>530</v>
      </c>
      <c r="B1670" t="inlineStr">
        <is>
          <t>Índice de Cumplimiento del Sprint</t>
        </is>
      </c>
      <c r="C1670" t="inlineStr">
        <is>
          <t>GESTIÓN DE LA TECNOLOGÍA E INNOVACIÓN DIGITAL</t>
        </is>
      </c>
      <c r="D1670" t="inlineStr">
        <is>
          <t>Trimestral</t>
        </is>
      </c>
      <c r="E1670" t="inlineStr">
        <is>
          <t>Positivo</t>
        </is>
      </c>
      <c r="F1670" s="111" t="n">
        <v>46022</v>
      </c>
      <c r="G1670" t="n">
        <v>2025</v>
      </c>
      <c r="H1670" t="inlineStr">
        <is>
          <t>Diciembre</t>
        </is>
      </c>
      <c r="I1670" t="inlineStr">
        <is>
          <t>2025-2</t>
        </is>
      </c>
      <c r="J1670" t="n">
        <v>97</v>
      </c>
      <c r="K1670" t="n">
        <v>85.56</v>
      </c>
      <c r="L1670" s="39">
        <f>IFERROR(IF(OR(J1670=0,K1670=""),"",IF(E1670="Positivo",MIN(MAX(K1670/J1670,0),1.3),MIN(MAX(J1670/K1670,0),1.3))),"") </f>
        <v/>
      </c>
      <c r="M1670" s="39">
        <f>IFERROR(IF(OR(J1670=0,K1670=""),"",IF(E1670="Positivo",MAX(K1670/J1670,0),MAX(J1670/K1670,0))),"") </f>
        <v/>
      </c>
      <c r="N1670" t="inlineStr">
        <is>
          <t>%</t>
        </is>
      </c>
      <c r="O1670" t="inlineStr">
        <is>
          <t>%</t>
        </is>
      </c>
      <c r="P1670" t="n">
        <v>0</v>
      </c>
      <c r="Q1670" t="n">
        <v>0</v>
      </c>
      <c r="R1670" t="inlineStr">
        <is>
          <t>530-2025-12-31</t>
        </is>
      </c>
    </row>
    <row r="1671">
      <c r="A1671" t="n">
        <v>531</v>
      </c>
      <c r="B1671" t="inlineStr">
        <is>
          <t>Eficiencia de capacidad instalada</t>
        </is>
      </c>
      <c r="C1671" t="inlineStr">
        <is>
          <t>GESTIÓN DE LA TECNOLOGÍA E INNOVACIÓN DIGITAL</t>
        </is>
      </c>
      <c r="D1671" t="inlineStr">
        <is>
          <t>Trimestral</t>
        </is>
      </c>
      <c r="E1671" t="inlineStr">
        <is>
          <t>Positivo</t>
        </is>
      </c>
      <c r="F1671" s="111" t="n">
        <v>46022</v>
      </c>
      <c r="G1671" t="n">
        <v>2025</v>
      </c>
      <c r="H1671" t="inlineStr">
        <is>
          <t>Diciembre</t>
        </is>
      </c>
      <c r="I1671" t="inlineStr">
        <is>
          <t>2025-2</t>
        </is>
      </c>
      <c r="J1671" t="n">
        <v>90</v>
      </c>
      <c r="K1671" t="n">
        <v>93.94</v>
      </c>
      <c r="L1671" s="39">
        <f>IFERROR(IF(OR(J1671=0,K1671=""),"",IF(E1671="Positivo",MIN(MAX(K1671/J1671,0),1.3),MIN(MAX(J1671/K1671,0),1.3))),"") </f>
        <v/>
      </c>
      <c r="M1671" s="39">
        <f>IFERROR(IF(OR(J1671=0,K1671=""),"",IF(E1671="Positivo",MAX(K1671/J1671,0),MAX(J1671/K1671,0))),"") </f>
        <v/>
      </c>
      <c r="N1671" t="inlineStr">
        <is>
          <t>%</t>
        </is>
      </c>
      <c r="O1671" t="inlineStr">
        <is>
          <t>%</t>
        </is>
      </c>
      <c r="P1671" t="n">
        <v>0</v>
      </c>
      <c r="Q1671" t="n">
        <v>0</v>
      </c>
      <c r="R1671" t="inlineStr">
        <is>
          <t>531-2025-12-31</t>
        </is>
      </c>
    </row>
    <row r="1672">
      <c r="A1672" t="n">
        <v>532</v>
      </c>
      <c r="B1672" t="inlineStr">
        <is>
          <t>Actividades de Cooperación en Internacionalización</t>
        </is>
      </c>
      <c r="C1672" t="inlineStr">
        <is>
          <t>VISIBILIDAD NACIONAL E INTERNACIONAL</t>
        </is>
      </c>
      <c r="D1672" t="inlineStr">
        <is>
          <t>Trimestral</t>
        </is>
      </c>
      <c r="E1672" t="inlineStr">
        <is>
          <t>Positivo</t>
        </is>
      </c>
      <c r="F1672" s="111" t="n">
        <v>45838</v>
      </c>
      <c r="G1672" t="n">
        <v>2025</v>
      </c>
      <c r="H1672" t="inlineStr">
        <is>
          <t>Junio</t>
        </is>
      </c>
      <c r="I1672" t="inlineStr">
        <is>
          <t>2025-1</t>
        </is>
      </c>
      <c r="J1672" t="n">
        <v>100</v>
      </c>
      <c r="K1672" t="n">
        <v>133.15</v>
      </c>
      <c r="L1672" s="39">
        <f>IFERROR(IF(OR(J1672=0,K1672=""),"",IF(E1672="Positivo",MIN(MAX(K1672/J1672,0),1.3),MIN(MAX(J1672/K1672,0),1.3))),"") </f>
        <v/>
      </c>
      <c r="M1672" s="39">
        <f>IFERROR(IF(OR(J1672=0,K1672=""),"",IF(E1672="Positivo",MAX(K1672/J1672,0),MAX(J1672/K1672,0))),"") </f>
        <v/>
      </c>
      <c r="N1672" t="inlineStr">
        <is>
          <t>%</t>
        </is>
      </c>
      <c r="O1672" t="inlineStr">
        <is>
          <t>%</t>
        </is>
      </c>
      <c r="P1672" t="n">
        <v>0</v>
      </c>
      <c r="Q1672" t="n">
        <v>0</v>
      </c>
      <c r="R1672" t="inlineStr">
        <is>
          <t>532-2025-06-30</t>
        </is>
      </c>
    </row>
    <row r="1673">
      <c r="A1673" t="n">
        <v>532</v>
      </c>
      <c r="B1673" t="inlineStr">
        <is>
          <t>Actividades de Cooperación en Internacionalización</t>
        </is>
      </c>
      <c r="C1673" t="inlineStr">
        <is>
          <t>VISIBILIDAD NACIONAL E INTERNACIONAL</t>
        </is>
      </c>
      <c r="D1673" t="inlineStr">
        <is>
          <t>Trimestral</t>
        </is>
      </c>
      <c r="E1673" t="inlineStr">
        <is>
          <t>Positivo</t>
        </is>
      </c>
      <c r="F1673" s="111" t="n">
        <v>46022</v>
      </c>
      <c r="G1673" t="n">
        <v>2025</v>
      </c>
      <c r="H1673" t="inlineStr">
        <is>
          <t>Diciembre</t>
        </is>
      </c>
      <c r="I1673" t="inlineStr">
        <is>
          <t>2025-2</t>
        </is>
      </c>
      <c r="J1673" t="n">
        <v>100</v>
      </c>
      <c r="K1673" t="n">
        <v>134.78</v>
      </c>
      <c r="L1673" s="39">
        <f>IFERROR(IF(OR(J1673=0,K1673=""),"",IF(E1673="Positivo",MIN(MAX(K1673/J1673,0),1.3),MIN(MAX(J1673/K1673,0),1.3))),"") </f>
        <v/>
      </c>
      <c r="M1673" s="39">
        <f>IFERROR(IF(OR(J1673=0,K1673=""),"",IF(E1673="Positivo",MAX(K1673/J1673,0),MAX(J1673/K1673,0))),"") </f>
        <v/>
      </c>
      <c r="N1673" t="inlineStr">
        <is>
          <t>%</t>
        </is>
      </c>
      <c r="O1673" t="inlineStr">
        <is>
          <t>%</t>
        </is>
      </c>
      <c r="P1673" t="n">
        <v>0</v>
      </c>
      <c r="Q1673" t="n">
        <v>0</v>
      </c>
      <c r="R1673" t="inlineStr">
        <is>
          <t>532-2025-12-31</t>
        </is>
      </c>
    </row>
    <row r="1674">
      <c r="A1674" t="n">
        <v>533</v>
      </c>
      <c r="B1674" t="inlineStr">
        <is>
          <t>Participación de estudiantes externos invitados a actividades de cooperación nacional e internacional</t>
        </is>
      </c>
      <c r="C1674" t="inlineStr">
        <is>
          <t>VISIBILIDAD NACIONAL E INTERNACIONAL</t>
        </is>
      </c>
      <c r="D1674" t="inlineStr">
        <is>
          <t>Trimestral</t>
        </is>
      </c>
      <c r="E1674" t="inlineStr">
        <is>
          <t>Positivo</t>
        </is>
      </c>
      <c r="F1674" s="111" t="n">
        <v>45838</v>
      </c>
      <c r="G1674" t="n">
        <v>2025</v>
      </c>
      <c r="H1674" t="inlineStr">
        <is>
          <t>Junio</t>
        </is>
      </c>
      <c r="I1674" t="inlineStr">
        <is>
          <t>2025-1</t>
        </is>
      </c>
      <c r="J1674" t="n">
        <v>100</v>
      </c>
      <c r="K1674" t="n">
        <v>124.89</v>
      </c>
      <c r="L1674" s="39">
        <f>IFERROR(IF(OR(J1674=0,K1674=""),"",IF(E1674="Positivo",MIN(MAX(K1674/J1674,0),1.3),MIN(MAX(J1674/K1674,0),1.3))),"") </f>
        <v/>
      </c>
      <c r="M1674" s="39">
        <f>IFERROR(IF(OR(J1674=0,K1674=""),"",IF(E1674="Positivo",MAX(K1674/J1674,0),MAX(J1674/K1674,0))),"") </f>
        <v/>
      </c>
      <c r="N1674" t="inlineStr">
        <is>
          <t>%</t>
        </is>
      </c>
      <c r="O1674" t="inlineStr">
        <is>
          <t>%</t>
        </is>
      </c>
      <c r="P1674" t="n">
        <v>0</v>
      </c>
      <c r="Q1674" t="n">
        <v>0</v>
      </c>
      <c r="R1674" t="inlineStr">
        <is>
          <t>533-2025-06-30</t>
        </is>
      </c>
    </row>
    <row r="1675">
      <c r="A1675" t="n">
        <v>533</v>
      </c>
      <c r="B1675" t="inlineStr">
        <is>
          <t>Participación de estudiantes externos invitados a actividades de cooperación nacional e internacional</t>
        </is>
      </c>
      <c r="C1675" t="inlineStr">
        <is>
          <t>VISIBILIDAD NACIONAL E INTERNACIONAL</t>
        </is>
      </c>
      <c r="D1675" t="inlineStr">
        <is>
          <t>Trimestral</t>
        </is>
      </c>
      <c r="E1675" t="inlineStr">
        <is>
          <t>Positivo</t>
        </is>
      </c>
      <c r="F1675" s="111" t="n">
        <v>46022</v>
      </c>
      <c r="G1675" t="n">
        <v>2025</v>
      </c>
      <c r="H1675" t="inlineStr">
        <is>
          <t>Diciembre</t>
        </is>
      </c>
      <c r="I1675" t="inlineStr">
        <is>
          <t>2025-2</t>
        </is>
      </c>
      <c r="J1675" t="n">
        <v>100</v>
      </c>
      <c r="K1675" t="n">
        <v>177.95</v>
      </c>
      <c r="L1675" s="39">
        <f>IFERROR(IF(OR(J1675=0,K1675=""),"",IF(E1675="Positivo",MIN(MAX(K1675/J1675,0),1.3),MIN(MAX(J1675/K1675,0),1.3))),"") </f>
        <v/>
      </c>
      <c r="M1675" s="39">
        <f>IFERROR(IF(OR(J1675=0,K1675=""),"",IF(E1675="Positivo",MAX(K1675/J1675,0),MAX(J1675/K1675,0))),"") </f>
        <v/>
      </c>
      <c r="N1675" t="inlineStr">
        <is>
          <t>%</t>
        </is>
      </c>
      <c r="O1675" t="inlineStr">
        <is>
          <t>%</t>
        </is>
      </c>
      <c r="P1675" t="n">
        <v>0</v>
      </c>
      <c r="Q1675" t="n">
        <v>0</v>
      </c>
      <c r="R1675" t="inlineStr">
        <is>
          <t>533-2025-12-31</t>
        </is>
      </c>
    </row>
    <row r="1676">
      <c r="A1676" t="n">
        <v>534</v>
      </c>
      <c r="B1676" t="inlineStr">
        <is>
          <t>Participación de estudiantes POLI en actividades de cooperación nacional e internacional</t>
        </is>
      </c>
      <c r="C1676" t="inlineStr">
        <is>
          <t>VISIBILIDAD NACIONAL E INTERNACIONAL</t>
        </is>
      </c>
      <c r="D1676" t="inlineStr">
        <is>
          <t>Trimestral</t>
        </is>
      </c>
      <c r="E1676" t="inlineStr">
        <is>
          <t>Positivo</t>
        </is>
      </c>
      <c r="F1676" s="111" t="n">
        <v>45838</v>
      </c>
      <c r="G1676" t="n">
        <v>2025</v>
      </c>
      <c r="H1676" t="inlineStr">
        <is>
          <t>Junio</t>
        </is>
      </c>
      <c r="I1676" t="inlineStr">
        <is>
          <t>2025-1</t>
        </is>
      </c>
      <c r="J1676" t="n">
        <v>100</v>
      </c>
      <c r="K1676" t="n">
        <v>134.09</v>
      </c>
      <c r="L1676" s="39">
        <f>IFERROR(IF(OR(J1676=0,K1676=""),"",IF(E1676="Positivo",MIN(MAX(K1676/J1676,0),1.3),MIN(MAX(J1676/K1676,0),1.3))),"") </f>
        <v/>
      </c>
      <c r="M1676" s="39">
        <f>IFERROR(IF(OR(J1676=0,K1676=""),"",IF(E1676="Positivo",MAX(K1676/J1676,0),MAX(J1676/K1676,0))),"") </f>
        <v/>
      </c>
      <c r="N1676" t="inlineStr">
        <is>
          <t>%</t>
        </is>
      </c>
      <c r="O1676" t="inlineStr">
        <is>
          <t>%</t>
        </is>
      </c>
      <c r="P1676" t="n">
        <v>0</v>
      </c>
      <c r="Q1676" t="n">
        <v>0</v>
      </c>
      <c r="R1676" t="inlineStr">
        <is>
          <t>534-2025-06-30</t>
        </is>
      </c>
    </row>
    <row r="1677">
      <c r="A1677" t="n">
        <v>534</v>
      </c>
      <c r="B1677" t="inlineStr">
        <is>
          <t>Participación de estudiantes POLI en actividades de cooperación nacional e internacional</t>
        </is>
      </c>
      <c r="C1677" t="inlineStr">
        <is>
          <t>VISIBILIDAD NACIONAL E INTERNACIONAL</t>
        </is>
      </c>
      <c r="D1677" t="inlineStr">
        <is>
          <t>Trimestral</t>
        </is>
      </c>
      <c r="E1677" t="inlineStr">
        <is>
          <t>Positivo</t>
        </is>
      </c>
      <c r="F1677" s="111" t="n">
        <v>46022</v>
      </c>
      <c r="G1677" t="n">
        <v>2025</v>
      </c>
      <c r="H1677" t="inlineStr">
        <is>
          <t>Diciembre</t>
        </is>
      </c>
      <c r="I1677" t="inlineStr">
        <is>
          <t>2025-2</t>
        </is>
      </c>
      <c r="J1677" t="n">
        <v>100</v>
      </c>
      <c r="K1677" t="n">
        <v>134.53</v>
      </c>
      <c r="L1677" s="39">
        <f>IFERROR(IF(OR(J1677=0,K1677=""),"",IF(E1677="Positivo",MIN(MAX(K1677/J1677,0),1.3),MIN(MAX(J1677/K1677,0),1.3))),"") </f>
        <v/>
      </c>
      <c r="M1677" s="39">
        <f>IFERROR(IF(OR(J1677=0,K1677=""),"",IF(E1677="Positivo",MAX(K1677/J1677,0),MAX(J1677/K1677,0))),"") </f>
        <v/>
      </c>
      <c r="N1677" t="inlineStr">
        <is>
          <t>%</t>
        </is>
      </c>
      <c r="O1677" t="inlineStr">
        <is>
          <t>%</t>
        </is>
      </c>
      <c r="P1677" t="n">
        <v>0</v>
      </c>
      <c r="Q1677" t="n">
        <v>0</v>
      </c>
      <c r="R1677" t="inlineStr">
        <is>
          <t>534-2025-12-31</t>
        </is>
      </c>
    </row>
    <row r="1678">
      <c r="A1678" t="n">
        <v>535</v>
      </c>
      <c r="B1678" t="inlineStr">
        <is>
          <t>Participación de profesores externos invitados a actividades de cooperación nacional e internacional</t>
        </is>
      </c>
      <c r="C1678" t="inlineStr">
        <is>
          <t>VISIBILIDAD NACIONAL E INTERNACIONAL</t>
        </is>
      </c>
      <c r="D1678" t="inlineStr">
        <is>
          <t>Trimestral</t>
        </is>
      </c>
      <c r="E1678" t="inlineStr">
        <is>
          <t>Positivo</t>
        </is>
      </c>
      <c r="F1678" s="111" t="n">
        <v>45838</v>
      </c>
      <c r="G1678" t="n">
        <v>2025</v>
      </c>
      <c r="H1678" t="inlineStr">
        <is>
          <t>Junio</t>
        </is>
      </c>
      <c r="I1678" t="inlineStr">
        <is>
          <t>2025-1</t>
        </is>
      </c>
      <c r="J1678" t="n">
        <v>100</v>
      </c>
      <c r="K1678" t="n">
        <v>132.67</v>
      </c>
      <c r="L1678" s="39">
        <f>IFERROR(IF(OR(J1678=0,K1678=""),"",IF(E1678="Positivo",MIN(MAX(K1678/J1678,0),1.3),MIN(MAX(J1678/K1678,0),1.3))),"") </f>
        <v/>
      </c>
      <c r="M1678" s="39">
        <f>IFERROR(IF(OR(J1678=0,K1678=""),"",IF(E1678="Positivo",MAX(K1678/J1678,0),MAX(J1678/K1678,0))),"") </f>
        <v/>
      </c>
      <c r="N1678" t="inlineStr">
        <is>
          <t>%</t>
        </is>
      </c>
      <c r="O1678" t="inlineStr">
        <is>
          <t>%</t>
        </is>
      </c>
      <c r="P1678" t="n">
        <v>0</v>
      </c>
      <c r="Q1678" t="n">
        <v>0</v>
      </c>
      <c r="R1678" t="inlineStr">
        <is>
          <t>535-2025-06-30</t>
        </is>
      </c>
    </row>
    <row r="1679">
      <c r="A1679" t="n">
        <v>535</v>
      </c>
      <c r="B1679" t="inlineStr">
        <is>
          <t>Participación de profesores externos invitados a actividades de cooperación nacional e internacional</t>
        </is>
      </c>
      <c r="C1679" t="inlineStr">
        <is>
          <t>VISIBILIDAD NACIONAL E INTERNACIONAL</t>
        </is>
      </c>
      <c r="D1679" t="inlineStr">
        <is>
          <t>Trimestral</t>
        </is>
      </c>
      <c r="E1679" t="inlineStr">
        <is>
          <t>Positivo</t>
        </is>
      </c>
      <c r="F1679" s="111" t="n">
        <v>46022</v>
      </c>
      <c r="G1679" t="n">
        <v>2025</v>
      </c>
      <c r="H1679" t="inlineStr">
        <is>
          <t>Diciembre</t>
        </is>
      </c>
      <c r="I1679" t="inlineStr">
        <is>
          <t>2025-2</t>
        </is>
      </c>
      <c r="J1679" t="n">
        <v>100</v>
      </c>
      <c r="K1679" t="n">
        <v>209.63</v>
      </c>
      <c r="L1679" s="39">
        <f>IFERROR(IF(OR(J1679=0,K1679=""),"",IF(E1679="Positivo",MIN(MAX(K1679/J1679,0),1.3),MIN(MAX(J1679/K1679,0),1.3))),"") </f>
        <v/>
      </c>
      <c r="M1679" s="39">
        <f>IFERROR(IF(OR(J1679=0,K1679=""),"",IF(E1679="Positivo",MAX(K1679/J1679,0),MAX(J1679/K1679,0))),"") </f>
        <v/>
      </c>
      <c r="N1679" t="inlineStr">
        <is>
          <t>%</t>
        </is>
      </c>
      <c r="O1679" t="inlineStr">
        <is>
          <t>%</t>
        </is>
      </c>
      <c r="P1679" t="n">
        <v>0</v>
      </c>
      <c r="Q1679" t="n">
        <v>0</v>
      </c>
      <c r="R1679" t="inlineStr">
        <is>
          <t>535-2025-12-31</t>
        </is>
      </c>
    </row>
    <row r="1680">
      <c r="A1680" t="n">
        <v>536</v>
      </c>
      <c r="B1680" t="inlineStr">
        <is>
          <t>Participación de profesores POLI en actividades de cooperación nacional e internacional</t>
        </is>
      </c>
      <c r="C1680" t="inlineStr">
        <is>
          <t>VISIBILIDAD NACIONAL E INTERNACIONAL</t>
        </is>
      </c>
      <c r="D1680" t="inlineStr">
        <is>
          <t>Trimestral</t>
        </is>
      </c>
      <c r="E1680" t="inlineStr">
        <is>
          <t>Positivo</t>
        </is>
      </c>
      <c r="F1680" s="111" t="n">
        <v>45838</v>
      </c>
      <c r="G1680" t="n">
        <v>2025</v>
      </c>
      <c r="H1680" t="inlineStr">
        <is>
          <t>Junio</t>
        </is>
      </c>
      <c r="I1680" t="inlineStr">
        <is>
          <t>2025-1</t>
        </is>
      </c>
      <c r="J1680" t="n">
        <v>100</v>
      </c>
      <c r="K1680" t="n">
        <v>109.33</v>
      </c>
      <c r="L1680" s="39">
        <f>IFERROR(IF(OR(J1680=0,K1680=""),"",IF(E1680="Positivo",MIN(MAX(K1680/J1680,0),1.3),MIN(MAX(J1680/K1680,0),1.3))),"") </f>
        <v/>
      </c>
      <c r="M1680" s="39">
        <f>IFERROR(IF(OR(J1680=0,K1680=""),"",IF(E1680="Positivo",MAX(K1680/J1680,0),MAX(J1680/K1680,0))),"") </f>
        <v/>
      </c>
      <c r="N1680" t="inlineStr">
        <is>
          <t>%</t>
        </is>
      </c>
      <c r="O1680" t="inlineStr">
        <is>
          <t>%</t>
        </is>
      </c>
      <c r="P1680" t="n">
        <v>0</v>
      </c>
      <c r="Q1680" t="n">
        <v>0</v>
      </c>
      <c r="R1680" t="inlineStr">
        <is>
          <t>536-2025-06-30</t>
        </is>
      </c>
    </row>
    <row r="1681">
      <c r="A1681" t="n">
        <v>536</v>
      </c>
      <c r="B1681" t="inlineStr">
        <is>
          <t>Participación de profesores POLI en actividades de cooperación nacional e internacional</t>
        </is>
      </c>
      <c r="C1681" t="inlineStr">
        <is>
          <t>VISIBILIDAD NACIONAL E INTERNACIONAL</t>
        </is>
      </c>
      <c r="D1681" t="inlineStr">
        <is>
          <t>Trimestral</t>
        </is>
      </c>
      <c r="E1681" t="inlineStr">
        <is>
          <t>Positivo</t>
        </is>
      </c>
      <c r="F1681" s="111" t="n">
        <v>46022</v>
      </c>
      <c r="G1681" t="n">
        <v>2025</v>
      </c>
      <c r="H1681" t="inlineStr">
        <is>
          <t>Diciembre</t>
        </is>
      </c>
      <c r="I1681" t="inlineStr">
        <is>
          <t>2025-2</t>
        </is>
      </c>
      <c r="J1681" t="n">
        <v>100</v>
      </c>
      <c r="K1681" t="n">
        <v>260.75</v>
      </c>
      <c r="L1681" s="39">
        <f>IFERROR(IF(OR(J1681=0,K1681=""),"",IF(E1681="Positivo",MIN(MAX(K1681/J1681,0),1.3),MIN(MAX(J1681/K1681,0),1.3))),"") </f>
        <v/>
      </c>
      <c r="M1681" s="39">
        <f>IFERROR(IF(OR(J1681=0,K1681=""),"",IF(E1681="Positivo",MAX(K1681/J1681,0),MAX(J1681/K1681,0))),"") </f>
        <v/>
      </c>
      <c r="N1681" t="inlineStr">
        <is>
          <t>%</t>
        </is>
      </c>
      <c r="O1681" t="inlineStr">
        <is>
          <t>%</t>
        </is>
      </c>
      <c r="P1681" t="n">
        <v>0</v>
      </c>
      <c r="Q1681" t="n">
        <v>0</v>
      </c>
      <c r="R1681" t="inlineStr">
        <is>
          <t>536-2025-12-31</t>
        </is>
      </c>
    </row>
    <row r="1682">
      <c r="A1682" t="n">
        <v>537</v>
      </c>
      <c r="B1682" t="inlineStr">
        <is>
          <t>FCR- Resolución en primer contacto</t>
        </is>
      </c>
      <c r="C1682" t="inlineStr">
        <is>
          <t>Servicio</t>
        </is>
      </c>
      <c r="D1682" t="inlineStr">
        <is>
          <t>Trimestral</t>
        </is>
      </c>
      <c r="E1682" t="inlineStr">
        <is>
          <t>Positivo</t>
        </is>
      </c>
      <c r="F1682" s="111" t="n">
        <v>45838</v>
      </c>
      <c r="G1682" t="n">
        <v>2025</v>
      </c>
      <c r="H1682" t="inlineStr">
        <is>
          <t>Junio</t>
        </is>
      </c>
      <c r="I1682" t="inlineStr">
        <is>
          <t>2025-1</t>
        </is>
      </c>
      <c r="J1682" t="n">
        <v>93</v>
      </c>
      <c r="K1682" t="n">
        <v>58.9</v>
      </c>
      <c r="L1682" s="39">
        <f>IFERROR(IF(OR(J1682=0,K1682=""),"",IF(E1682="Positivo",MIN(MAX(K1682/J1682,0),1.3),MIN(MAX(J1682/K1682,0),1.3))),"") </f>
        <v/>
      </c>
      <c r="M1682" s="39">
        <f>IFERROR(IF(OR(J1682=0,K1682=""),"",IF(E1682="Positivo",MAX(K1682/J1682,0),MAX(J1682/K1682,0))),"") </f>
        <v/>
      </c>
      <c r="N1682" t="inlineStr">
        <is>
          <t>ENT</t>
        </is>
      </c>
      <c r="O1682" t="inlineStr">
        <is>
          <t>ENT</t>
        </is>
      </c>
      <c r="P1682" t="n">
        <v>0</v>
      </c>
      <c r="Q1682" t="n">
        <v>0</v>
      </c>
      <c r="R1682" t="inlineStr">
        <is>
          <t>537-2025-06-30</t>
        </is>
      </c>
    </row>
    <row r="1683">
      <c r="A1683" t="n">
        <v>537</v>
      </c>
      <c r="B1683" t="inlineStr">
        <is>
          <t>FCR- Resolución en primer contacto</t>
        </is>
      </c>
      <c r="C1683" t="inlineStr">
        <is>
          <t>Servicio</t>
        </is>
      </c>
      <c r="D1683" t="inlineStr">
        <is>
          <t>Trimestral</t>
        </is>
      </c>
      <c r="E1683" t="inlineStr">
        <is>
          <t>Positivo</t>
        </is>
      </c>
      <c r="F1683" s="111" t="n">
        <v>46022</v>
      </c>
      <c r="G1683" t="n">
        <v>2025</v>
      </c>
      <c r="H1683" t="inlineStr">
        <is>
          <t>Diciembre</t>
        </is>
      </c>
      <c r="I1683" t="inlineStr">
        <is>
          <t>2025-2</t>
        </is>
      </c>
      <c r="J1683" t="n">
        <v>94</v>
      </c>
      <c r="K1683" t="n">
        <v>64.3</v>
      </c>
      <c r="L1683" s="39">
        <f>IFERROR(IF(OR(J1683=0,K1683=""),"",IF(E1683="Positivo",MIN(MAX(K1683/J1683,0),1.3),MIN(MAX(J1683/K1683,0),1.3))),"") </f>
        <v/>
      </c>
      <c r="M1683" s="39">
        <f>IFERROR(IF(OR(J1683=0,K1683=""),"",IF(E1683="Positivo",MAX(K1683/J1683,0),MAX(J1683/K1683,0))),"") </f>
        <v/>
      </c>
      <c r="N1683" t="inlineStr">
        <is>
          <t>ENT</t>
        </is>
      </c>
      <c r="O1683" t="inlineStr">
        <is>
          <t>ENT</t>
        </is>
      </c>
      <c r="P1683" t="n">
        <v>0</v>
      </c>
      <c r="Q1683" t="n">
        <v>0</v>
      </c>
      <c r="R1683" t="inlineStr">
        <is>
          <t>537-2025-12-31</t>
        </is>
      </c>
    </row>
    <row r="1684">
      <c r="A1684" t="n">
        <v>538</v>
      </c>
      <c r="B1684" t="inlineStr">
        <is>
          <t>Cumplimiento de sesiones de socialización de planeación académica</t>
        </is>
      </c>
      <c r="C1684" t="inlineStr">
        <is>
          <t>Registro y Control</t>
        </is>
      </c>
      <c r="D1684" t="inlineStr">
        <is>
          <t>Trimestral</t>
        </is>
      </c>
      <c r="E1684" t="inlineStr">
        <is>
          <t>Positivo</t>
        </is>
      </c>
      <c r="F1684" s="111" t="n">
        <v>46022</v>
      </c>
      <c r="G1684" t="n">
        <v>2025</v>
      </c>
      <c r="H1684" t="inlineStr">
        <is>
          <t>Diciembre</t>
        </is>
      </c>
      <c r="I1684" t="inlineStr">
        <is>
          <t>2025-2</t>
        </is>
      </c>
      <c r="J1684" t="n">
        <v>90</v>
      </c>
      <c r="K1684" t="n">
        <v>100</v>
      </c>
      <c r="L1684" s="39">
        <f>IFERROR(IF(OR(J1684=0,K1684=""),"",IF(E1684="Positivo",MIN(MAX(K1684/J1684,0),1.3),MIN(MAX(J1684/K1684,0),1.3))),"") </f>
        <v/>
      </c>
      <c r="M1684" s="39">
        <f>IFERROR(IF(OR(J1684=0,K1684=""),"",IF(E1684="Positivo",MAX(K1684/J1684,0),MAX(J1684/K1684,0))),"") </f>
        <v/>
      </c>
      <c r="N1684" t="inlineStr">
        <is>
          <t>%</t>
        </is>
      </c>
      <c r="O1684" t="inlineStr">
        <is>
          <t>%</t>
        </is>
      </c>
      <c r="P1684" t="n">
        <v>0</v>
      </c>
      <c r="Q1684" t="n">
        <v>0</v>
      </c>
      <c r="R1684" t="inlineStr">
        <is>
          <t>538-2025-12-31</t>
        </is>
      </c>
    </row>
    <row r="1685">
      <c r="A1685" t="n">
        <v>539</v>
      </c>
      <c r="B1685" t="inlineStr">
        <is>
          <t>CES emisión de certificados</t>
        </is>
      </c>
      <c r="C1685" t="inlineStr">
        <is>
          <t>Registro y Control</t>
        </is>
      </c>
      <c r="D1685" t="inlineStr">
        <is>
          <t>Trimestral</t>
        </is>
      </c>
      <c r="E1685" t="inlineStr">
        <is>
          <t>Negativo</t>
        </is>
      </c>
      <c r="F1685" s="111" t="n">
        <v>46022</v>
      </c>
      <c r="G1685" t="n">
        <v>2025</v>
      </c>
      <c r="H1685" t="inlineStr">
        <is>
          <t>Diciembre</t>
        </is>
      </c>
      <c r="I1685" t="inlineStr">
        <is>
          <t>2025-2</t>
        </is>
      </c>
      <c r="J1685" t="n">
        <v>2.5</v>
      </c>
      <c r="K1685" t="n">
        <v>2.5</v>
      </c>
      <c r="L1685" s="39">
        <f>IFERROR(IF(OR(J1685=0,K1685=""),"",IF(E1685="Positivo",MIN(MAX(K1685/J1685,0),1.3),MIN(MAX(J1685/K1685,0),1.3))),"") </f>
        <v/>
      </c>
      <c r="M1685" s="39">
        <f>IFERROR(IF(OR(J1685=0,K1685=""),"",IF(E1685="Positivo",MAX(K1685/J1685,0),MAX(J1685/K1685,0))),"") </f>
        <v/>
      </c>
      <c r="N1685" t="inlineStr">
        <is>
          <t>%</t>
        </is>
      </c>
      <c r="O1685" t="inlineStr">
        <is>
          <t>%</t>
        </is>
      </c>
      <c r="P1685" t="n">
        <v>0</v>
      </c>
      <c r="Q1685" t="n">
        <v>0</v>
      </c>
      <c r="R1685" t="inlineStr">
        <is>
          <t>539-2025-12-31</t>
        </is>
      </c>
    </row>
    <row r="1686">
      <c r="A1686" t="n">
        <v>540</v>
      </c>
      <c r="B1686" t="inlineStr">
        <is>
          <t>Nivel de Calidad de los Datos Cargados al SNIES</t>
        </is>
      </c>
      <c r="C1686" t="inlineStr">
        <is>
          <t>DATOS Y ANALÍTICA</t>
        </is>
      </c>
      <c r="D1686" t="inlineStr">
        <is>
          <t>Trimestral</t>
        </is>
      </c>
      <c r="E1686" t="inlineStr">
        <is>
          <t>Positivo</t>
        </is>
      </c>
      <c r="F1686" s="111" t="n">
        <v>45838</v>
      </c>
      <c r="G1686" t="n">
        <v>2025</v>
      </c>
      <c r="H1686" t="inlineStr">
        <is>
          <t>Junio</t>
        </is>
      </c>
      <c r="I1686" t="inlineStr">
        <is>
          <t>2025-1</t>
        </is>
      </c>
      <c r="J1686" t="n">
        <v>97</v>
      </c>
      <c r="K1686" t="n">
        <v>97.33</v>
      </c>
      <c r="L1686" s="39">
        <f>IFERROR(IF(OR(J1686=0,K1686=""),"",IF(E1686="Positivo",MIN(MAX(K1686/J1686,0),1.3),MIN(MAX(J1686/K1686,0),1.3))),"") </f>
        <v/>
      </c>
      <c r="M1686" s="39">
        <f>IFERROR(IF(OR(J1686=0,K1686=""),"",IF(E1686="Positivo",MAX(K1686/J1686,0),MAX(J1686/K1686,0))),"") </f>
        <v/>
      </c>
      <c r="N1686" t="inlineStr">
        <is>
          <t>%</t>
        </is>
      </c>
      <c r="O1686" t="inlineStr">
        <is>
          <t>%</t>
        </is>
      </c>
      <c r="P1686" t="n">
        <v>0</v>
      </c>
      <c r="Q1686" t="n">
        <v>0</v>
      </c>
      <c r="R1686" t="inlineStr">
        <is>
          <t>540-2025-06-30</t>
        </is>
      </c>
    </row>
    <row r="1687">
      <c r="A1687" t="n">
        <v>540</v>
      </c>
      <c r="B1687" t="inlineStr">
        <is>
          <t>Nivel de Calidad de los Datos Cargados al SNIES</t>
        </is>
      </c>
      <c r="C1687" t="inlineStr">
        <is>
          <t>DATOS Y ANALÍTICA</t>
        </is>
      </c>
      <c r="D1687" t="inlineStr">
        <is>
          <t>Trimestral</t>
        </is>
      </c>
      <c r="E1687" t="inlineStr">
        <is>
          <t>Positivo</t>
        </is>
      </c>
      <c r="F1687" s="111" t="n">
        <v>46022</v>
      </c>
      <c r="G1687" t="n">
        <v>2025</v>
      </c>
      <c r="H1687" t="inlineStr">
        <is>
          <t>Diciembre</t>
        </is>
      </c>
      <c r="I1687" t="inlineStr">
        <is>
          <t>2025-2</t>
        </is>
      </c>
      <c r="J1687" t="n">
        <v>97</v>
      </c>
      <c r="K1687" t="n">
        <v>97.90000000000001</v>
      </c>
      <c r="L1687" s="39">
        <f>IFERROR(IF(OR(J1687=0,K1687=""),"",IF(E1687="Positivo",MIN(MAX(K1687/J1687,0),1.3),MIN(MAX(J1687/K1687,0),1.3))),"") </f>
        <v/>
      </c>
      <c r="M1687" s="39">
        <f>IFERROR(IF(OR(J1687=0,K1687=""),"",IF(E1687="Positivo",MAX(K1687/J1687,0),MAX(J1687/K1687,0))),"") </f>
        <v/>
      </c>
      <c r="N1687" t="inlineStr">
        <is>
          <t>%</t>
        </is>
      </c>
      <c r="O1687" t="inlineStr">
        <is>
          <t>%</t>
        </is>
      </c>
      <c r="P1687" t="n">
        <v>0</v>
      </c>
      <c r="Q1687" t="n">
        <v>0</v>
      </c>
      <c r="R1687" t="inlineStr">
        <is>
          <t>540-2025-12-31</t>
        </is>
      </c>
    </row>
    <row r="1688">
      <c r="A1688" t="n">
        <v>541</v>
      </c>
      <c r="B1688" t="inlineStr">
        <is>
          <t>Participación de graduados en actividades de empleabilidad y relacionamiento</t>
        </is>
      </c>
      <c r="C1688" t="inlineStr">
        <is>
          <t>Gestión de Graduados</t>
        </is>
      </c>
      <c r="D1688" t="inlineStr">
        <is>
          <t>Anual</t>
        </is>
      </c>
      <c r="E1688" t="inlineStr">
        <is>
          <t>Positivo</t>
        </is>
      </c>
      <c r="F1688" s="111" t="n">
        <v>46022</v>
      </c>
      <c r="G1688" t="n">
        <v>2025</v>
      </c>
      <c r="H1688" t="inlineStr">
        <is>
          <t>Diciembre</t>
        </is>
      </c>
      <c r="I1688" t="inlineStr">
        <is>
          <t>2025-2</t>
        </is>
      </c>
      <c r="J1688" t="n">
        <v>4</v>
      </c>
      <c r="K1688" t="n">
        <v>6.99</v>
      </c>
      <c r="L1688" s="39">
        <f>IFERROR(IF(OR(J1688=0,K1688=""),"",IF(E1688="Positivo",MIN(MAX(K1688/J1688,0),1.3),MIN(MAX(J1688/K1688,0),1.3))),"") </f>
        <v/>
      </c>
      <c r="M1688" s="39">
        <f>IFERROR(IF(OR(J1688=0,K1688=""),"",IF(E1688="Positivo",MAX(K1688/J1688,0),MAX(J1688/K1688,0))),"") </f>
        <v/>
      </c>
      <c r="N1688" t="inlineStr">
        <is>
          <t>%</t>
        </is>
      </c>
      <c r="O1688" t="inlineStr">
        <is>
          <t>%</t>
        </is>
      </c>
      <c r="P1688" t="n">
        <v>0</v>
      </c>
      <c r="Q1688" t="n">
        <v>0</v>
      </c>
      <c r="R1688" t="inlineStr">
        <is>
          <t>541-2025-12-31</t>
        </is>
      </c>
    </row>
    <row r="1689">
      <c r="A1689" t="n">
        <v>542</v>
      </c>
      <c r="B1689" t="inlineStr">
        <is>
          <t>Tasa de cotización del graduado - Metrica</t>
        </is>
      </c>
      <c r="C1689" t="inlineStr">
        <is>
          <t>Gestión de Graduados</t>
        </is>
      </c>
      <c r="D1689" t="inlineStr">
        <is>
          <t>Anual</t>
        </is>
      </c>
      <c r="E1689" t="inlineStr">
        <is>
          <t>Positivo</t>
        </is>
      </c>
      <c r="F1689" s="111" t="n">
        <v>46022</v>
      </c>
      <c r="G1689" t="n">
        <v>2025</v>
      </c>
      <c r="H1689" t="inlineStr">
        <is>
          <t>Diciembre</t>
        </is>
      </c>
      <c r="I1689" t="inlineStr">
        <is>
          <t>2025-2</t>
        </is>
      </c>
      <c r="K1689" t="n">
        <v>81.23999999999999</v>
      </c>
      <c r="L1689" s="39" t="n"/>
      <c r="M1689" s="39" t="n"/>
      <c r="N1689" t="inlineStr">
        <is>
          <t>%</t>
        </is>
      </c>
      <c r="O1689" t="inlineStr">
        <is>
          <t>%</t>
        </is>
      </c>
      <c r="P1689" t="n">
        <v>0</v>
      </c>
      <c r="Q1689" t="n">
        <v>0</v>
      </c>
      <c r="R1689" t="inlineStr">
        <is>
          <t>542-2025-12-31</t>
        </is>
      </c>
      <c r="S1689" t="inlineStr">
        <is>
          <t>Metrica</t>
        </is>
      </c>
    </row>
    <row r="1690">
      <c r="A1690" t="n">
        <v>543</v>
      </c>
      <c r="B1690" t="inlineStr">
        <is>
          <t>Tasa de interacción por usuario</t>
        </is>
      </c>
      <c r="C1690" t="inlineStr">
        <is>
          <t>Editorial y Publicaciones</t>
        </is>
      </c>
      <c r="D1690" t="inlineStr">
        <is>
          <t>Trimestral</t>
        </is>
      </c>
      <c r="E1690" t="inlineStr">
        <is>
          <t>Positivo</t>
        </is>
      </c>
      <c r="F1690" s="111" t="n">
        <v>45838</v>
      </c>
      <c r="G1690" t="n">
        <v>2025</v>
      </c>
      <c r="H1690" t="inlineStr">
        <is>
          <t>Junio</t>
        </is>
      </c>
      <c r="I1690" t="inlineStr">
        <is>
          <t>2025-1</t>
        </is>
      </c>
      <c r="K1690" t="n">
        <v>7.29</v>
      </c>
      <c r="L1690" s="39" t="n"/>
      <c r="M1690" s="39" t="n"/>
      <c r="N1690" t="inlineStr">
        <is>
          <t>ENT</t>
        </is>
      </c>
      <c r="O1690" t="inlineStr">
        <is>
          <t>ENT</t>
        </is>
      </c>
      <c r="P1690" t="n">
        <v>0</v>
      </c>
      <c r="Q1690" t="n">
        <v>0</v>
      </c>
      <c r="R1690" t="inlineStr">
        <is>
          <t>543-2025-06-30</t>
        </is>
      </c>
    </row>
    <row r="1691">
      <c r="A1691" t="n">
        <v>544</v>
      </c>
      <c r="B1691" t="inlineStr">
        <is>
          <t>Producción de ambientes inmersivos LEI</t>
        </is>
      </c>
      <c r="C1691" t="inlineStr">
        <is>
          <t>LEI</t>
        </is>
      </c>
      <c r="D1691" t="inlineStr">
        <is>
          <t>Trimestral</t>
        </is>
      </c>
      <c r="E1691" t="inlineStr">
        <is>
          <t>Positivo</t>
        </is>
      </c>
      <c r="F1691" s="111" t="n">
        <v>45838</v>
      </c>
      <c r="G1691" t="n">
        <v>2025</v>
      </c>
      <c r="H1691" t="inlineStr">
        <is>
          <t>Junio</t>
        </is>
      </c>
      <c r="I1691" t="inlineStr">
        <is>
          <t>2025-1</t>
        </is>
      </c>
      <c r="J1691" t="n">
        <v>100</v>
      </c>
      <c r="K1691" t="n">
        <v>250</v>
      </c>
      <c r="L1691" s="39">
        <f>IFERROR(IF(OR(J1691=0,K1691=""),"",IF(E1691="Positivo",MIN(MAX(K1691/J1691,0),1.3),MIN(MAX(J1691/K1691,0),1.3))),"") </f>
        <v/>
      </c>
      <c r="M1691" s="39">
        <f>IFERROR(IF(OR(J1691=0,K1691=""),"",IF(E1691="Positivo",MAX(K1691/J1691,0),MAX(J1691/K1691,0))),"") </f>
        <v/>
      </c>
      <c r="N1691" t="inlineStr">
        <is>
          <t>ENT</t>
        </is>
      </c>
      <c r="O1691" t="inlineStr">
        <is>
          <t>ENT</t>
        </is>
      </c>
      <c r="P1691" t="n">
        <v>0</v>
      </c>
      <c r="Q1691" t="n">
        <v>0</v>
      </c>
      <c r="R1691" t="inlineStr">
        <is>
          <t>544-2025-06-30</t>
        </is>
      </c>
    </row>
    <row r="1692">
      <c r="A1692" t="n">
        <v>544</v>
      </c>
      <c r="B1692" t="inlineStr">
        <is>
          <t>Producción de ambientes inmersivos LEI</t>
        </is>
      </c>
      <c r="C1692" t="inlineStr">
        <is>
          <t>LEI</t>
        </is>
      </c>
      <c r="D1692" t="inlineStr">
        <is>
          <t>Trimestral</t>
        </is>
      </c>
      <c r="E1692" t="inlineStr">
        <is>
          <t>Positivo</t>
        </is>
      </c>
      <c r="F1692" s="111" t="n">
        <v>46022</v>
      </c>
      <c r="G1692" t="n">
        <v>2025</v>
      </c>
      <c r="H1692" t="inlineStr">
        <is>
          <t>Diciembre</t>
        </is>
      </c>
      <c r="I1692" t="inlineStr">
        <is>
          <t>2025-2</t>
        </is>
      </c>
      <c r="J1692" t="n">
        <v>100</v>
      </c>
      <c r="K1692" t="n">
        <v>162.5</v>
      </c>
      <c r="L1692" s="39">
        <f>IFERROR(IF(OR(J1692=0,K1692=""),"",IF(E1692="Positivo",MIN(MAX(K1692/J1692,0),1.3),MIN(MAX(J1692/K1692,0),1.3))),"") </f>
        <v/>
      </c>
      <c r="M1692" s="39">
        <f>IFERROR(IF(OR(J1692=0,K1692=""),"",IF(E1692="Positivo",MAX(K1692/J1692,0),MAX(J1692/K1692,0))),"") </f>
        <v/>
      </c>
      <c r="N1692" t="inlineStr">
        <is>
          <t>ENT</t>
        </is>
      </c>
      <c r="O1692" t="inlineStr">
        <is>
          <t>ENT</t>
        </is>
      </c>
      <c r="P1692" t="n">
        <v>0</v>
      </c>
      <c r="Q1692" t="n">
        <v>0</v>
      </c>
      <c r="R1692" t="inlineStr">
        <is>
          <t>544-2025-12-31</t>
        </is>
      </c>
    </row>
    <row r="1693">
      <c r="A1693" t="n">
        <v>546</v>
      </c>
      <c r="B1693" t="inlineStr">
        <is>
          <t>Tasa de participación de graduados en instrumentos de seguimiento (M0, M1, M5)</t>
        </is>
      </c>
      <c r="C1693" t="inlineStr">
        <is>
          <t>Gestión de Graduados</t>
        </is>
      </c>
      <c r="D1693" t="inlineStr">
        <is>
          <t>Anual</t>
        </is>
      </c>
      <c r="E1693" t="inlineStr">
        <is>
          <t>Positivo</t>
        </is>
      </c>
      <c r="F1693" s="111" t="n">
        <v>46022</v>
      </c>
      <c r="G1693" t="n">
        <v>2025</v>
      </c>
      <c r="H1693" t="inlineStr">
        <is>
          <t>Diciembre</t>
        </is>
      </c>
      <c r="I1693" t="inlineStr">
        <is>
          <t>2025-2</t>
        </is>
      </c>
      <c r="J1693" t="n">
        <v>100</v>
      </c>
      <c r="K1693" t="n">
        <v>37.79</v>
      </c>
      <c r="L1693" s="39">
        <f>IFERROR(IF(OR(J1693=0,K1693=""),"",IF(E1693="Positivo",MIN(MAX(K1693/J1693,0),1.3),MIN(MAX(J1693/K1693,0),1.3))),"") </f>
        <v/>
      </c>
      <c r="M1693" s="39">
        <f>IFERROR(IF(OR(J1693=0,K1693=""),"",IF(E1693="Positivo",MAX(K1693/J1693,0),MAX(J1693/K1693,0))),"") </f>
        <v/>
      </c>
      <c r="N1693" t="inlineStr">
        <is>
          <t>%</t>
        </is>
      </c>
      <c r="O1693" t="inlineStr">
        <is>
          <t>%</t>
        </is>
      </c>
      <c r="P1693" t="n">
        <v>0</v>
      </c>
      <c r="Q1693" t="n">
        <v>0</v>
      </c>
      <c r="R1693" t="inlineStr">
        <is>
          <t>546-2025-12-31</t>
        </is>
      </c>
    </row>
    <row r="1694">
      <c r="A1694" t="n">
        <v>547</v>
      </c>
      <c r="B1694" t="inlineStr">
        <is>
          <t>Nivel de satisfacción del graduado con la institución</t>
        </is>
      </c>
      <c r="C1694" t="inlineStr">
        <is>
          <t>Gestión de Graduados</t>
        </is>
      </c>
      <c r="D1694" t="inlineStr">
        <is>
          <t>Anual</t>
        </is>
      </c>
      <c r="E1694" t="inlineStr">
        <is>
          <t>Positivo</t>
        </is>
      </c>
      <c r="F1694" s="111" t="n">
        <v>46022</v>
      </c>
      <c r="G1694" t="n">
        <v>2025</v>
      </c>
      <c r="H1694" t="inlineStr">
        <is>
          <t>Diciembre</t>
        </is>
      </c>
      <c r="I1694" t="inlineStr">
        <is>
          <t>2025-2</t>
        </is>
      </c>
      <c r="K1694" t="n">
        <v>92</v>
      </c>
      <c r="L1694" s="39" t="n"/>
      <c r="M1694" s="39" t="n"/>
      <c r="N1694" t="inlineStr">
        <is>
          <t>%</t>
        </is>
      </c>
      <c r="O1694" t="inlineStr">
        <is>
          <t>%</t>
        </is>
      </c>
      <c r="P1694" t="n">
        <v>0</v>
      </c>
      <c r="Q1694" t="n">
        <v>0</v>
      </c>
      <c r="R1694" t="inlineStr">
        <is>
          <t>547-2025-12-31</t>
        </is>
      </c>
    </row>
    <row r="1695">
      <c r="A1695" t="n">
        <v>550</v>
      </c>
      <c r="B1695" t="inlineStr">
        <is>
          <t>Nivel de satisfacción con las actividades de formación</t>
        </is>
      </c>
      <c r="C1695" t="inlineStr">
        <is>
          <t>Emprendimiento</t>
        </is>
      </c>
      <c r="D1695" t="inlineStr">
        <is>
          <t>Trimestral</t>
        </is>
      </c>
      <c r="E1695" t="inlineStr">
        <is>
          <t>Positivo</t>
        </is>
      </c>
      <c r="F1695" s="111" t="n">
        <v>45838</v>
      </c>
      <c r="G1695" t="n">
        <v>2025</v>
      </c>
      <c r="H1695" t="inlineStr">
        <is>
          <t>Junio</t>
        </is>
      </c>
      <c r="I1695" t="inlineStr">
        <is>
          <t>2025-1</t>
        </is>
      </c>
      <c r="J1695" t="n">
        <v>100</v>
      </c>
      <c r="K1695" t="n">
        <v>95</v>
      </c>
      <c r="L1695" s="39">
        <f>IFERROR(IF(OR(J1695=0,K1695=""),"",IF(E1695="Positivo",MIN(MAX(K1695/J1695,0),1.3),MIN(MAX(J1695/K1695,0),1.3))),"") </f>
        <v/>
      </c>
      <c r="M1695" s="39">
        <f>IFERROR(IF(OR(J1695=0,K1695=""),"",IF(E1695="Positivo",MAX(K1695/J1695,0),MAX(J1695/K1695,0))),"") </f>
        <v/>
      </c>
      <c r="N1695" t="inlineStr">
        <is>
          <t>%</t>
        </is>
      </c>
      <c r="O1695" t="inlineStr">
        <is>
          <t>%</t>
        </is>
      </c>
      <c r="P1695" t="n">
        <v>0</v>
      </c>
      <c r="Q1695" t="n">
        <v>0</v>
      </c>
      <c r="R1695" t="inlineStr">
        <is>
          <t>550-2025-06-30</t>
        </is>
      </c>
    </row>
    <row r="1696">
      <c r="A1696" t="n">
        <v>550</v>
      </c>
      <c r="B1696" t="inlineStr">
        <is>
          <t>Nivel de satisfacción con las actividades de formación</t>
        </is>
      </c>
      <c r="C1696" t="inlineStr">
        <is>
          <t>Emprendimiento</t>
        </is>
      </c>
      <c r="D1696" t="inlineStr">
        <is>
          <t>Trimestral</t>
        </is>
      </c>
      <c r="E1696" t="inlineStr">
        <is>
          <t>Positivo</t>
        </is>
      </c>
      <c r="F1696" s="111" t="n">
        <v>46022</v>
      </c>
      <c r="G1696" t="n">
        <v>2025</v>
      </c>
      <c r="H1696" t="inlineStr">
        <is>
          <t>Diciembre</t>
        </is>
      </c>
      <c r="I1696" t="inlineStr">
        <is>
          <t>2025-2</t>
        </is>
      </c>
      <c r="J1696" t="n">
        <v>100</v>
      </c>
      <c r="K1696" t="n">
        <v>95.5</v>
      </c>
      <c r="L1696" s="39">
        <f>IFERROR(IF(OR(J1696=0,K1696=""),"",IF(E1696="Positivo",MIN(MAX(K1696/J1696,0),1.3),MIN(MAX(J1696/K1696,0),1.3))),"") </f>
        <v/>
      </c>
      <c r="M1696" s="39">
        <f>IFERROR(IF(OR(J1696=0,K1696=""),"",IF(E1696="Positivo",MAX(K1696/J1696,0),MAX(J1696/K1696,0))),"") </f>
        <v/>
      </c>
      <c r="N1696" t="inlineStr">
        <is>
          <t>%</t>
        </is>
      </c>
      <c r="O1696" t="inlineStr">
        <is>
          <t>%</t>
        </is>
      </c>
      <c r="P1696" t="n">
        <v>0</v>
      </c>
      <c r="Q1696" t="n">
        <v>0</v>
      </c>
      <c r="R1696" t="inlineStr">
        <is>
          <t>550-2025-12-31</t>
        </is>
      </c>
    </row>
    <row r="1697">
      <c r="A1697" t="n">
        <v>551</v>
      </c>
      <c r="B1697" t="inlineStr">
        <is>
          <t>Evaluación del desempeño de los mentores</t>
        </is>
      </c>
      <c r="C1697" t="inlineStr">
        <is>
          <t>Emprendimiento</t>
        </is>
      </c>
      <c r="D1697" t="inlineStr">
        <is>
          <t>Trimestral</t>
        </is>
      </c>
      <c r="E1697" t="inlineStr">
        <is>
          <t>Positivo</t>
        </is>
      </c>
      <c r="F1697" s="111" t="n">
        <v>45838</v>
      </c>
      <c r="G1697" t="n">
        <v>2025</v>
      </c>
      <c r="H1697" t="inlineStr">
        <is>
          <t>Junio</t>
        </is>
      </c>
      <c r="I1697" t="inlineStr">
        <is>
          <t>2025-1</t>
        </is>
      </c>
      <c r="J1697" t="n">
        <v>4</v>
      </c>
      <c r="K1697" t="n">
        <v>5</v>
      </c>
      <c r="L1697" s="39">
        <f>IFERROR(IF(OR(J1697=0,K1697=""),"",IF(E1697="Positivo",MIN(MAX(K1697/J1697,0),1.3),MIN(MAX(J1697/K1697,0),1.3))),"") </f>
        <v/>
      </c>
      <c r="M1697" s="39">
        <f>IFERROR(IF(OR(J1697=0,K1697=""),"",IF(E1697="Positivo",MAX(K1697/J1697,0),MAX(J1697/K1697,0))),"") </f>
        <v/>
      </c>
      <c r="N1697" t="inlineStr">
        <is>
          <t>%</t>
        </is>
      </c>
      <c r="O1697" t="inlineStr">
        <is>
          <t>%</t>
        </is>
      </c>
      <c r="P1697" t="n">
        <v>0</v>
      </c>
      <c r="Q1697" t="n">
        <v>0</v>
      </c>
      <c r="R1697" t="inlineStr">
        <is>
          <t>551-2025-06-30</t>
        </is>
      </c>
    </row>
    <row r="1698">
      <c r="A1698" t="n">
        <v>551</v>
      </c>
      <c r="B1698" t="inlineStr">
        <is>
          <t>Evaluación del desempeño de los mentores</t>
        </is>
      </c>
      <c r="C1698" t="inlineStr">
        <is>
          <t>Emprendimiento</t>
        </is>
      </c>
      <c r="D1698" t="inlineStr">
        <is>
          <t>Trimestral</t>
        </is>
      </c>
      <c r="E1698" t="inlineStr">
        <is>
          <t>Positivo</t>
        </is>
      </c>
      <c r="F1698" s="111" t="n">
        <v>46022</v>
      </c>
      <c r="G1698" t="n">
        <v>2025</v>
      </c>
      <c r="H1698" t="inlineStr">
        <is>
          <t>Diciembre</t>
        </is>
      </c>
      <c r="I1698" t="inlineStr">
        <is>
          <t>2025-2</t>
        </is>
      </c>
      <c r="J1698" t="n">
        <v>4</v>
      </c>
      <c r="K1698" t="n">
        <v>5</v>
      </c>
      <c r="L1698" s="39">
        <f>IFERROR(IF(OR(J1698=0,K1698=""),"",IF(E1698="Positivo",MIN(MAX(K1698/J1698,0),1.3),MIN(MAX(J1698/K1698,0),1.3))),"") </f>
        <v/>
      </c>
      <c r="M1698" s="39">
        <f>IFERROR(IF(OR(J1698=0,K1698=""),"",IF(E1698="Positivo",MAX(K1698/J1698,0),MAX(J1698/K1698,0))),"") </f>
        <v/>
      </c>
      <c r="N1698" t="inlineStr">
        <is>
          <t>%</t>
        </is>
      </c>
      <c r="O1698" t="inlineStr">
        <is>
          <t>%</t>
        </is>
      </c>
      <c r="P1698" t="n">
        <v>0</v>
      </c>
      <c r="Q1698" t="n">
        <v>0</v>
      </c>
      <c r="R1698" t="inlineStr">
        <is>
          <t>551-2025-12-31</t>
        </is>
      </c>
    </row>
    <row r="1699">
      <c r="A1699" t="n">
        <v>552</v>
      </c>
      <c r="B1699" t="inlineStr">
        <is>
          <t>Nivel de Satisfacción Servicios Prestados -Gestión de la Responsabilidad Social</t>
        </is>
      </c>
      <c r="C1699" t="inlineStr">
        <is>
          <t>Gestión de la Responsabilidad Social</t>
        </is>
      </c>
      <c r="D1699" t="inlineStr">
        <is>
          <t>Anual</t>
        </is>
      </c>
      <c r="E1699" t="inlineStr">
        <is>
          <t>Positivo</t>
        </is>
      </c>
      <c r="F1699" s="111" t="n">
        <v>45838</v>
      </c>
      <c r="G1699" t="n">
        <v>2025</v>
      </c>
      <c r="H1699" t="inlineStr">
        <is>
          <t>Junio</t>
        </is>
      </c>
      <c r="I1699" t="inlineStr">
        <is>
          <t>2025-1</t>
        </is>
      </c>
      <c r="J1699" t="n">
        <v>80</v>
      </c>
      <c r="K1699" t="n">
        <v>92</v>
      </c>
      <c r="L1699" s="39">
        <f>IFERROR(IF(OR(J1699=0,K1699=""),"",IF(E1699="Positivo",MIN(MAX(K1699/J1699,0),1.3),MIN(MAX(J1699/K1699,0),1.3))),"") </f>
        <v/>
      </c>
      <c r="M1699" s="39">
        <f>IFERROR(IF(OR(J1699=0,K1699=""),"",IF(E1699="Positivo",MAX(K1699/J1699,0),MAX(J1699/K1699,0))),"") </f>
        <v/>
      </c>
      <c r="N1699" t="inlineStr">
        <is>
          <t>%</t>
        </is>
      </c>
      <c r="O1699" t="inlineStr">
        <is>
          <t>%</t>
        </is>
      </c>
      <c r="P1699" t="n">
        <v>0</v>
      </c>
      <c r="Q1699" t="n">
        <v>0</v>
      </c>
      <c r="R1699" t="inlineStr">
        <is>
          <t>552-2025-06-30</t>
        </is>
      </c>
    </row>
    <row r="1700">
      <c r="A1700" t="n">
        <v>552</v>
      </c>
      <c r="B1700" t="inlineStr">
        <is>
          <t>Nivel de Satisfacción Servicios Prestados -Gestión de la Responsabilidad Social</t>
        </is>
      </c>
      <c r="C1700" t="inlineStr">
        <is>
          <t>Gestión de la Responsabilidad Social</t>
        </is>
      </c>
      <c r="D1700" t="inlineStr">
        <is>
          <t>Anual</t>
        </is>
      </c>
      <c r="E1700" t="inlineStr">
        <is>
          <t>Positivo</t>
        </is>
      </c>
      <c r="F1700" s="111" t="n">
        <v>46022</v>
      </c>
      <c r="G1700" t="n">
        <v>2025</v>
      </c>
      <c r="H1700" t="inlineStr">
        <is>
          <t>Diciembre</t>
        </is>
      </c>
      <c r="I1700" t="inlineStr">
        <is>
          <t>2025-2</t>
        </is>
      </c>
      <c r="J1700" t="n">
        <v>80</v>
      </c>
      <c r="K1700" t="n">
        <v>92</v>
      </c>
      <c r="L1700" s="39">
        <f>IFERROR(IF(OR(J1700=0,K1700=""),"",IF(E1700="Positivo",MIN(MAX(K1700/J1700,0),1.3),MIN(MAX(J1700/K1700,0),1.3))),"") </f>
        <v/>
      </c>
      <c r="M1700" s="39">
        <f>IFERROR(IF(OR(J1700=0,K1700=""),"",IF(E1700="Positivo",MAX(K1700/J1700,0),MAX(J1700/K1700,0))),"") </f>
        <v/>
      </c>
      <c r="N1700" t="inlineStr">
        <is>
          <t>%</t>
        </is>
      </c>
      <c r="O1700" t="inlineStr">
        <is>
          <t>%</t>
        </is>
      </c>
      <c r="P1700" t="n">
        <v>0</v>
      </c>
      <c r="Q1700" t="n">
        <v>0</v>
      </c>
      <c r="R1700" t="inlineStr">
        <is>
          <t>552-2025-12-31</t>
        </is>
      </c>
    </row>
    <row r="1701">
      <c r="A1701" t="n">
        <v>553</v>
      </c>
      <c r="B1701" t="inlineStr">
        <is>
          <t>Nivel de Satisfacción Servicios Prestados -Inscripción, admisión y matrícula de estudiantes nuevos</t>
        </is>
      </c>
      <c r="C1701" t="inlineStr">
        <is>
          <t>Inscripción, admisión y matrícula de estudiantes nuevos</t>
        </is>
      </c>
      <c r="D1701" t="inlineStr">
        <is>
          <t>Anual</t>
        </is>
      </c>
      <c r="E1701" t="inlineStr">
        <is>
          <t>Positivo</t>
        </is>
      </c>
      <c r="F1701" s="111" t="n">
        <v>46022</v>
      </c>
      <c r="G1701" t="n">
        <v>2025</v>
      </c>
      <c r="H1701" t="inlineStr">
        <is>
          <t>Diciembre</t>
        </is>
      </c>
      <c r="I1701" t="inlineStr">
        <is>
          <t>2025-2</t>
        </is>
      </c>
      <c r="J1701" t="n">
        <v>80</v>
      </c>
      <c r="K1701" t="n">
        <v>83</v>
      </c>
      <c r="L1701" s="39">
        <f>IFERROR(IF(OR(J1701=0,K1701=""),"",IF(E1701="Positivo",MIN(MAX(K1701/J1701,0),1.3),MIN(MAX(J1701/K1701,0),1.3))),"") </f>
        <v/>
      </c>
      <c r="M1701" s="39">
        <f>IFERROR(IF(OR(J1701=0,K1701=""),"",IF(E1701="Positivo",MAX(K1701/J1701,0),MAX(J1701/K1701,0))),"") </f>
        <v/>
      </c>
      <c r="N1701" t="inlineStr">
        <is>
          <t>%</t>
        </is>
      </c>
      <c r="O1701" t="inlineStr">
        <is>
          <t>%</t>
        </is>
      </c>
      <c r="P1701" t="n">
        <v>0</v>
      </c>
      <c r="Q1701" t="n">
        <v>0</v>
      </c>
      <c r="R1701" t="inlineStr">
        <is>
          <t>553-2025-12-31</t>
        </is>
      </c>
    </row>
    <row r="1702">
      <c r="A1702" t="n">
        <v>554</v>
      </c>
      <c r="B1702" t="inlineStr">
        <is>
          <t>Nivel de Satisfacción Servicios Prestados -Permanencia</t>
        </is>
      </c>
      <c r="C1702" t="inlineStr">
        <is>
          <t>Permanencia</t>
        </is>
      </c>
      <c r="D1702" t="inlineStr">
        <is>
          <t>Trimestral</t>
        </is>
      </c>
      <c r="E1702" t="inlineStr">
        <is>
          <t>Positivo</t>
        </is>
      </c>
      <c r="F1702" s="111" t="n">
        <v>46022</v>
      </c>
      <c r="G1702" t="n">
        <v>2025</v>
      </c>
      <c r="H1702" t="inlineStr">
        <is>
          <t>Diciembre</t>
        </is>
      </c>
      <c r="I1702" t="inlineStr">
        <is>
          <t>2025-2</t>
        </is>
      </c>
      <c r="J1702" t="n">
        <v>80</v>
      </c>
      <c r="K1702" t="n">
        <v>95</v>
      </c>
      <c r="L1702" s="39">
        <f>IFERROR(IF(OR(J1702=0,K1702=""),"",IF(E1702="Positivo",MIN(MAX(K1702/J1702,0),1.3),MIN(MAX(J1702/K1702,0),1.3))),"") </f>
        <v/>
      </c>
      <c r="M1702" s="39">
        <f>IFERROR(IF(OR(J1702=0,K1702=""),"",IF(E1702="Positivo",MAX(K1702/J1702,0),MAX(J1702/K1702,0))),"") </f>
        <v/>
      </c>
      <c r="N1702" t="inlineStr">
        <is>
          <t>%</t>
        </is>
      </c>
      <c r="O1702" t="inlineStr">
        <is>
          <t>%</t>
        </is>
      </c>
      <c r="P1702" t="n">
        <v>0</v>
      </c>
      <c r="Q1702" t="n">
        <v>0</v>
      </c>
      <c r="R1702" t="inlineStr">
        <is>
          <t>554-2025-12-31</t>
        </is>
      </c>
    </row>
    <row r="1703">
      <c r="A1703" t="n">
        <v>555</v>
      </c>
      <c r="B1703" t="inlineStr">
        <is>
          <t>Nivel de Satisfacción Servicios Prestados -Mercadeo y venta de educación para la vida</t>
        </is>
      </c>
      <c r="C1703" t="inlineStr">
        <is>
          <t>Mercadeo y venta de educación para la vida</t>
        </is>
      </c>
      <c r="D1703" t="inlineStr">
        <is>
          <t>Trimestral</t>
        </is>
      </c>
      <c r="E1703" t="inlineStr">
        <is>
          <t>Positivo</t>
        </is>
      </c>
      <c r="F1703" s="111" t="n">
        <v>46022</v>
      </c>
      <c r="G1703" t="n">
        <v>2025</v>
      </c>
      <c r="H1703" t="inlineStr">
        <is>
          <t>Diciembre</t>
        </is>
      </c>
      <c r="I1703" t="inlineStr">
        <is>
          <t>2025-2</t>
        </is>
      </c>
      <c r="J1703" t="n">
        <v>80</v>
      </c>
      <c r="K1703" t="n">
        <v>100</v>
      </c>
      <c r="L1703" s="39">
        <f>IFERROR(IF(OR(J1703=0,K1703=""),"",IF(E1703="Positivo",MIN(MAX(K1703/J1703,0),1.3),MIN(MAX(J1703/K1703,0),1.3))),"") </f>
        <v/>
      </c>
      <c r="M1703" s="39">
        <f>IFERROR(IF(OR(J1703=0,K1703=""),"",IF(E1703="Positivo",MAX(K1703/J1703,0),MAX(J1703/K1703,0))),"") </f>
        <v/>
      </c>
      <c r="N1703" t="inlineStr">
        <is>
          <t>%</t>
        </is>
      </c>
      <c r="O1703" t="inlineStr">
        <is>
          <t>%</t>
        </is>
      </c>
      <c r="P1703" t="n">
        <v>0</v>
      </c>
      <c r="Q1703" t="n">
        <v>0</v>
      </c>
      <c r="R1703" t="inlineStr">
        <is>
          <t>555-2025-12-31</t>
        </is>
      </c>
    </row>
    <row r="1704">
      <c r="A1704" t="n">
        <v>556</v>
      </c>
      <c r="B1704" t="inlineStr">
        <is>
          <t>Cumplimiento Plan de formación Institucional</t>
        </is>
      </c>
      <c r="C1704" t="inlineStr">
        <is>
          <t>GESTIÓN Y DESARROLLO DEL TALENTO HUMANO</t>
        </is>
      </c>
      <c r="D1704" t="inlineStr">
        <is>
          <t>Anual</t>
        </is>
      </c>
      <c r="E1704" t="inlineStr">
        <is>
          <t>Positivo</t>
        </is>
      </c>
      <c r="F1704" s="111" t="n">
        <v>46022</v>
      </c>
      <c r="G1704" t="n">
        <v>2025</v>
      </c>
      <c r="H1704" t="inlineStr">
        <is>
          <t>Diciembre</t>
        </is>
      </c>
      <c r="I1704" t="inlineStr">
        <is>
          <t>2025-2</t>
        </is>
      </c>
      <c r="J1704" t="n">
        <v>70</v>
      </c>
      <c r="K1704" t="n">
        <v>113.75</v>
      </c>
      <c r="L1704" s="39">
        <f>IFERROR(IF(OR(J1704=0,K1704=""),"",IF(E1704="Positivo",MIN(MAX(K1704/J1704,0),1.3),MIN(MAX(J1704/K1704,0),1.3))),"") </f>
        <v/>
      </c>
      <c r="M1704" s="39">
        <f>IFERROR(IF(OR(J1704=0,K1704=""),"",IF(E1704="Positivo",MAX(K1704/J1704,0),MAX(J1704/K1704,0))),"") </f>
        <v/>
      </c>
      <c r="N1704" t="inlineStr">
        <is>
          <t>%</t>
        </is>
      </c>
      <c r="O1704" t="inlineStr">
        <is>
          <t>%</t>
        </is>
      </c>
      <c r="P1704" t="n">
        <v>0</v>
      </c>
      <c r="Q1704" t="n">
        <v>0</v>
      </c>
      <c r="R1704" t="inlineStr">
        <is>
          <t>556-2025-12-31</t>
        </is>
      </c>
    </row>
  </sheetData>
  <conditionalFormatting sqref="A36:A40">
    <cfRule type="duplicateValues" priority="27" dxfId="0"/>
    <cfRule type="duplicateValues" priority="28" dxfId="0"/>
    <cfRule type="duplicateValues" priority="29" dxfId="0"/>
  </conditionalFormatting>
  <conditionalFormatting sqref="A42:A53">
    <cfRule type="duplicateValues" priority="10" dxfId="0"/>
  </conditionalFormatting>
  <conditionalFormatting sqref="A611">
    <cfRule type="duplicateValues" priority="4" dxfId="0"/>
    <cfRule type="duplicateValues" priority="5" dxfId="0"/>
    <cfRule type="duplicateValues" priority="6" dxfId="0"/>
  </conditionalFormatting>
  <conditionalFormatting sqref="A1552">
    <cfRule type="duplicateValues" priority="2" dxfId="0"/>
    <cfRule type="duplicateValues" priority="3" dxfId="0"/>
  </conditionalFormatting>
  <conditionalFormatting sqref="A1558:A1559">
    <cfRule type="duplicateValues" priority="1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Hoja4">
    <outlinePr summaryBelow="1" summaryRight="1"/>
    <pageSetUpPr/>
  </sheetPr>
  <dimension ref="A1:S992"/>
  <sheetViews>
    <sheetView tabSelected="1" zoomScaleNormal="100" workbookViewId="0">
      <selection activeCell="B1" sqref="B1"/>
    </sheetView>
  </sheetViews>
  <sheetFormatPr baseColWidth="10" defaultColWidth="11.44140625" defaultRowHeight="14.4"/>
  <cols>
    <col width="47.109375" customWidth="1" min="2" max="2"/>
    <col outlineLevel="1" width="17.6640625" customWidth="1" min="3" max="3"/>
    <col outlineLevel="1" width="10.88671875" customWidth="1" min="4" max="5"/>
    <col width="11.33203125" customWidth="1" min="6" max="6"/>
    <col width="10.88671875" customWidth="1" min="7" max="9"/>
    <col width="18.33203125" customWidth="1" min="10" max="11"/>
    <col width="12.88671875" customWidth="1" min="12" max="12"/>
    <col width="12.88671875" customWidth="1" style="39" min="13" max="13"/>
    <col width="11.5546875" customWidth="1" min="14" max="16"/>
    <col width="13.109375" customWidth="1" min="17" max="17"/>
    <col width="11.5546875" customWidth="1" min="18" max="18"/>
  </cols>
  <sheetData>
    <row r="1" ht="28.8" customHeight="1">
      <c r="A1" s="29" t="inlineStr">
        <is>
          <t>Id</t>
        </is>
      </c>
      <c r="B1" s="25" t="inlineStr">
        <is>
          <t>Indicador</t>
        </is>
      </c>
      <c r="C1" s="25" t="inlineStr">
        <is>
          <t>Proceso</t>
        </is>
      </c>
      <c r="D1" s="25" t="inlineStr">
        <is>
          <t>Periodicidad</t>
        </is>
      </c>
      <c r="E1" s="25" t="inlineStr">
        <is>
          <t>Sentido</t>
        </is>
      </c>
      <c r="F1" s="25" t="inlineStr">
        <is>
          <t>Fecha</t>
        </is>
      </c>
      <c r="G1" s="25" t="inlineStr">
        <is>
          <t>Año</t>
        </is>
      </c>
      <c r="H1" s="25" t="inlineStr">
        <is>
          <t>Mes</t>
        </is>
      </c>
      <c r="I1" s="25" t="inlineStr">
        <is>
          <t>Periodo</t>
        </is>
      </c>
      <c r="J1" s="1" t="inlineStr">
        <is>
          <t>Meta</t>
        </is>
      </c>
      <c r="K1" s="1" t="inlineStr">
        <is>
          <t>Ejecucion</t>
        </is>
      </c>
      <c r="L1" s="4" t="inlineStr">
        <is>
          <t>Cumplimiento</t>
        </is>
      </c>
      <c r="M1" s="1" t="inlineStr">
        <is>
          <t>Cumplimiento Real</t>
        </is>
      </c>
      <c r="N1" s="1" t="inlineStr">
        <is>
          <t>Meta_Signo</t>
        </is>
      </c>
      <c r="O1" s="1" t="inlineStr">
        <is>
          <t>Ejecucion_Signo</t>
        </is>
      </c>
      <c r="P1" s="36" t="inlineStr">
        <is>
          <t>Decimales_Meta</t>
        </is>
      </c>
      <c r="Q1" s="36" t="inlineStr">
        <is>
          <t>Decimales_Ejecucion</t>
        </is>
      </c>
      <c r="R1" s="1" t="inlineStr">
        <is>
          <t>Llave</t>
        </is>
      </c>
      <c r="S1" t="inlineStr">
        <is>
          <t>Tipo_Registro</t>
        </is>
      </c>
    </row>
    <row r="2">
      <c r="A2" s="5" t="n">
        <v>68</v>
      </c>
      <c r="B2" s="5" t="inlineStr">
        <is>
          <t>Evaluación de desempeño a proveedores críticos</t>
        </is>
      </c>
      <c r="C2" s="5" t="inlineStr">
        <is>
          <t>GESTIÓN DE ABASTECIMIENTO</t>
        </is>
      </c>
      <c r="D2" s="5" t="inlineStr">
        <is>
          <t>Trimestral</t>
        </is>
      </c>
      <c r="E2" s="5" t="inlineStr">
        <is>
          <t>Positivo</t>
        </is>
      </c>
      <c r="F2" s="107" t="n">
        <v>44926</v>
      </c>
      <c r="G2" s="5" t="n">
        <v>2022</v>
      </c>
      <c r="H2" s="5" t="inlineStr">
        <is>
          <t>Diciembre</t>
        </is>
      </c>
      <c r="I2" s="6" t="inlineStr">
        <is>
          <t>2022-2</t>
        </is>
      </c>
      <c r="J2" s="5" t="n">
        <v>80</v>
      </c>
      <c r="K2" s="5" t="n">
        <v>91</v>
      </c>
      <c r="L2" s="14">
        <f>IFERROR(IF(OR(J2=0,K2=""),"",IF(E2="Positivo",MIN(MAX(K2/J2,0),1.3),MIN(MAX(J2/K2,0),1.3))),"") </f>
        <v/>
      </c>
      <c r="M2" s="14">
        <f>IFERROR(IF(OR(J2=0,K2=""),"",IF(E2="Positivo",MAX(K2/J2,0),MAX(J2/K2,0))),"") </f>
        <v/>
      </c>
      <c r="N2" s="5" t="inlineStr">
        <is>
          <t>%</t>
        </is>
      </c>
      <c r="O2" s="5" t="inlineStr">
        <is>
          <t>%</t>
        </is>
      </c>
      <c r="P2" s="5" t="n">
        <v>0</v>
      </c>
      <c r="Q2" s="5" t="n">
        <v>1</v>
      </c>
      <c r="R2" s="5" t="inlineStr">
        <is>
          <t>68-2022-12-31</t>
        </is>
      </c>
    </row>
    <row r="3">
      <c r="A3" s="5" t="n">
        <v>68</v>
      </c>
      <c r="B3" s="5" t="inlineStr">
        <is>
          <t>Evaluación de desempeño a proveedores críticos</t>
        </is>
      </c>
      <c r="C3" s="5" t="inlineStr">
        <is>
          <t>GESTIÓN DE ABASTECIMIENTO</t>
        </is>
      </c>
      <c r="D3" s="5" t="inlineStr">
        <is>
          <t>Semestral</t>
        </is>
      </c>
      <c r="E3" s="5" t="inlineStr">
        <is>
          <t>Positivo</t>
        </is>
      </c>
      <c r="F3" s="107" t="n">
        <v>45291</v>
      </c>
      <c r="G3" s="5" t="n">
        <v>2023</v>
      </c>
      <c r="H3" s="5" t="inlineStr">
        <is>
          <t>Diciembre</t>
        </is>
      </c>
      <c r="I3" s="6" t="inlineStr">
        <is>
          <t>2023-2</t>
        </is>
      </c>
      <c r="J3" s="5" t="n">
        <v>80</v>
      </c>
      <c r="K3" s="5" t="n">
        <v>88.25</v>
      </c>
      <c r="L3" s="14">
        <f>IFERROR(IF(OR(J3=0,K3=""),"",IF(E3="Positivo",MIN(MAX(K3/J3,0),1.3),MIN(MAX(J3/K3,0),1.3))),"") </f>
        <v/>
      </c>
      <c r="M3" s="14">
        <f>IFERROR(IF(OR(J3=0,K3=""),"",IF(E3="Positivo",MAX(K3/J3,0),MAX(J3/K3,0))),"") </f>
        <v/>
      </c>
      <c r="N3" s="5" t="inlineStr">
        <is>
          <t>%</t>
        </is>
      </c>
      <c r="O3" s="5" t="inlineStr">
        <is>
          <t>%</t>
        </is>
      </c>
      <c r="P3" s="5" t="n">
        <v>0</v>
      </c>
      <c r="Q3" s="5" t="n">
        <v>1</v>
      </c>
      <c r="R3" s="5" t="inlineStr">
        <is>
          <t>68-2023-12-31</t>
        </is>
      </c>
    </row>
    <row r="4">
      <c r="A4" s="5" t="n">
        <v>68</v>
      </c>
      <c r="B4" s="5" t="inlineStr">
        <is>
          <t>Evaluación de desempeño a proveedores críticos</t>
        </is>
      </c>
      <c r="C4" s="5" t="inlineStr">
        <is>
          <t>GESTIÓN DE ABASTECIMIENTO</t>
        </is>
      </c>
      <c r="D4" s="5" t="inlineStr">
        <is>
          <t>Semestral</t>
        </is>
      </c>
      <c r="E4" s="5" t="inlineStr">
        <is>
          <t>Positivo</t>
        </is>
      </c>
      <c r="F4" s="107" t="n">
        <v>45657</v>
      </c>
      <c r="G4" s="5" t="n">
        <v>2024</v>
      </c>
      <c r="H4" s="5" t="inlineStr">
        <is>
          <t>Diciembre</t>
        </is>
      </c>
      <c r="I4" s="6" t="inlineStr">
        <is>
          <t>2024-2</t>
        </is>
      </c>
      <c r="J4" s="5" t="n">
        <v>80</v>
      </c>
      <c r="K4" s="5" t="n">
        <v>86.75</v>
      </c>
      <c r="L4" s="14">
        <f>IFERROR(IF(OR(J4=0,K4=""),"",IF(E4="Positivo",MIN(MAX(K4/J4,0),1.3),MIN(MAX(J4/K4,0),1.3))),"") </f>
        <v/>
      </c>
      <c r="M4" s="14">
        <f>IFERROR(IF(OR(J4=0,K4=""),"",IF(E4="Positivo",MAX(K4/J4,0),MAX(J4/K4,0))),"") </f>
        <v/>
      </c>
      <c r="N4" s="5" t="inlineStr">
        <is>
          <t>%</t>
        </is>
      </c>
      <c r="O4" s="5" t="inlineStr">
        <is>
          <t>%</t>
        </is>
      </c>
      <c r="P4" s="5" t="n">
        <v>0</v>
      </c>
      <c r="Q4" s="5" t="n">
        <v>1</v>
      </c>
      <c r="R4" s="5" t="inlineStr">
        <is>
          <t>68-2024-12-31</t>
        </is>
      </c>
    </row>
    <row r="5">
      <c r="A5" s="5" t="n">
        <v>68</v>
      </c>
      <c r="B5" s="5" t="inlineStr">
        <is>
          <t>Evaluación de desempeño a proveedores críticos</t>
        </is>
      </c>
      <c r="C5" s="5" t="inlineStr">
        <is>
          <t>GESTIÓN DE ABASTECIMIENTO</t>
        </is>
      </c>
      <c r="D5" s="5" t="inlineStr">
        <is>
          <t>Semestral</t>
        </is>
      </c>
      <c r="E5" s="5" t="inlineStr">
        <is>
          <t>Positivo</t>
        </is>
      </c>
      <c r="F5" s="107" t="n">
        <v>45838</v>
      </c>
      <c r="G5" s="5" t="n">
        <v>2025</v>
      </c>
      <c r="H5" s="5" t="inlineStr">
        <is>
          <t>Junio</t>
        </is>
      </c>
      <c r="I5" s="6" t="inlineStr">
        <is>
          <t>2025-1</t>
        </is>
      </c>
      <c r="J5" s="5" t="n">
        <v>85</v>
      </c>
      <c r="K5" s="5" t="n">
        <v>85.3</v>
      </c>
      <c r="L5" s="14">
        <f>IFERROR(IF(OR(J5=0,K5=""),"",IF(E5="Positivo",MIN(MAX(K5/J5,0),1.3),MIN(MAX(J5/K5,0),1.3))),"") </f>
        <v/>
      </c>
      <c r="M5" s="14">
        <f>IFERROR(IF(OR(J5=0,K5=""),"",IF(E5="Positivo",MAX(K5/J5,0),MAX(J5/K5,0))),"") </f>
        <v/>
      </c>
      <c r="N5" s="5" t="inlineStr">
        <is>
          <t>%</t>
        </is>
      </c>
      <c r="O5" s="5" t="inlineStr">
        <is>
          <t>%</t>
        </is>
      </c>
      <c r="P5" s="5" t="n">
        <v>0</v>
      </c>
      <c r="Q5" s="5" t="n">
        <v>1</v>
      </c>
      <c r="R5" s="5" t="inlineStr">
        <is>
          <t>68-2025-06-30</t>
        </is>
      </c>
    </row>
    <row r="6">
      <c r="A6" s="5" t="n">
        <v>69</v>
      </c>
      <c r="B6" s="5" t="inlineStr">
        <is>
          <t>Oportunidad de Respuesta Solicitudes de Compra No Licitadas</t>
        </is>
      </c>
      <c r="C6" s="5" t="inlineStr">
        <is>
          <t>GESTIÓN DE ABASTECIMIENTO</t>
        </is>
      </c>
      <c r="D6" s="5" t="inlineStr">
        <is>
          <t>Semestral</t>
        </is>
      </c>
      <c r="E6" s="5" t="inlineStr">
        <is>
          <t>Positivo</t>
        </is>
      </c>
      <c r="F6" s="107" t="n">
        <v>44926</v>
      </c>
      <c r="G6" s="5" t="n">
        <v>2022</v>
      </c>
      <c r="H6" s="5" t="inlineStr">
        <is>
          <t>Diciembre</t>
        </is>
      </c>
      <c r="I6" s="6" t="inlineStr">
        <is>
          <t>2022-2</t>
        </is>
      </c>
      <c r="J6" s="5" t="n">
        <v>80</v>
      </c>
      <c r="K6" s="5" t="n">
        <v>83.94706916940325</v>
      </c>
      <c r="L6" s="14">
        <f>IFERROR(IF(OR(J6=0,K6=""),"",IF(E6="Positivo",MIN(MAX(K6/J6,0),1.3),MIN(MAX(J6/K6,0),1.3))),"") </f>
        <v/>
      </c>
      <c r="M6" s="14">
        <f>IFERROR(IF(OR(J6=0,K6=""),"",IF(E6="Positivo",MAX(K6/J6,0),MAX(J6/K6,0))),"") </f>
        <v/>
      </c>
      <c r="N6" s="5" t="inlineStr">
        <is>
          <t>%</t>
        </is>
      </c>
      <c r="O6" s="5" t="inlineStr">
        <is>
          <t>%</t>
        </is>
      </c>
      <c r="P6" s="5" t="n">
        <v>0</v>
      </c>
      <c r="Q6" s="5" t="n">
        <v>1</v>
      </c>
      <c r="R6" s="5" t="inlineStr">
        <is>
          <t>69-2022-12-31</t>
        </is>
      </c>
    </row>
    <row r="7">
      <c r="A7" s="5" t="n">
        <v>69</v>
      </c>
      <c r="B7" s="5" t="inlineStr">
        <is>
          <t>Oportunidad de Respuesta Solicitudes de Compra No Licitadas</t>
        </is>
      </c>
      <c r="C7" s="5" t="inlineStr">
        <is>
          <t>GESTIÓN DE ABASTECIMIENTO</t>
        </is>
      </c>
      <c r="D7" s="5" t="inlineStr">
        <is>
          <t>Trimestral</t>
        </is>
      </c>
      <c r="E7" s="5" t="inlineStr">
        <is>
          <t>Positivo</t>
        </is>
      </c>
      <c r="F7" s="107" t="n">
        <v>45291</v>
      </c>
      <c r="G7" s="5" t="n">
        <v>2023</v>
      </c>
      <c r="H7" s="5" t="inlineStr">
        <is>
          <t>Diciembre</t>
        </is>
      </c>
      <c r="I7" s="6" t="inlineStr">
        <is>
          <t>2023-2</t>
        </is>
      </c>
      <c r="J7" s="5" t="n">
        <v>90</v>
      </c>
      <c r="K7" s="5" t="n">
        <v>91.65486340345525</v>
      </c>
      <c r="L7" s="14">
        <f>IFERROR(IF(OR(J7=0,K7=""),"",IF(E7="Positivo",MIN(MAX(K7/J7,0),1.3),MIN(MAX(J7/K7,0),1.3))),"") </f>
        <v/>
      </c>
      <c r="M7" s="14">
        <f>IFERROR(IF(OR(J7=0,K7=""),"",IF(E7="Positivo",MAX(K7/J7,0),MAX(J7/K7,0))),"") </f>
        <v/>
      </c>
      <c r="N7" s="5" t="inlineStr">
        <is>
          <t>%</t>
        </is>
      </c>
      <c r="O7" s="5" t="inlineStr">
        <is>
          <t>%</t>
        </is>
      </c>
      <c r="P7" s="5" t="n">
        <v>0</v>
      </c>
      <c r="Q7" s="5" t="n">
        <v>1</v>
      </c>
      <c r="R7" s="5" t="inlineStr">
        <is>
          <t>69-2023-12-31</t>
        </is>
      </c>
    </row>
    <row r="8">
      <c r="A8" s="5" t="n">
        <v>69</v>
      </c>
      <c r="B8" s="5" t="inlineStr">
        <is>
          <t>Oportunidad de Respuesta Solicitudes de Compra No Licitadas</t>
        </is>
      </c>
      <c r="C8" s="5" t="inlineStr">
        <is>
          <t>GESTIÓN DE ABASTECIMIENTO</t>
        </is>
      </c>
      <c r="D8" s="5" t="inlineStr">
        <is>
          <t>Trimestral</t>
        </is>
      </c>
      <c r="E8" s="5" t="inlineStr">
        <is>
          <t>Positivo</t>
        </is>
      </c>
      <c r="F8" s="107" t="n">
        <v>45657</v>
      </c>
      <c r="G8" s="5" t="n">
        <v>2024</v>
      </c>
      <c r="H8" s="5" t="inlineStr">
        <is>
          <t>Diciembre</t>
        </is>
      </c>
      <c r="I8" s="6" t="inlineStr">
        <is>
          <t>2024-2</t>
        </is>
      </c>
      <c r="J8" s="5" t="n">
        <v>90</v>
      </c>
      <c r="K8" s="5" t="n">
        <v>91.205</v>
      </c>
      <c r="L8" s="14">
        <f>IFERROR(IF(OR(J8=0,K8=""),"",IF(E8="Positivo",MIN(MAX(K8/J8,0),1.3),MIN(MAX(J8/K8,0),1.3))),"") </f>
        <v/>
      </c>
      <c r="M8" s="14">
        <f>IFERROR(IF(OR(J8=0,K8=""),"",IF(E8="Positivo",MAX(K8/J8,0),MAX(J8/K8,0))),"") </f>
        <v/>
      </c>
      <c r="N8" s="5" t="inlineStr">
        <is>
          <t>%</t>
        </is>
      </c>
      <c r="O8" s="5" t="inlineStr">
        <is>
          <t>%</t>
        </is>
      </c>
      <c r="P8" s="5" t="n">
        <v>0</v>
      </c>
      <c r="Q8" s="5" t="n">
        <v>1</v>
      </c>
      <c r="R8" s="5" t="inlineStr">
        <is>
          <t>69-2024-12-31</t>
        </is>
      </c>
    </row>
    <row r="9">
      <c r="A9" s="5" t="n">
        <v>69</v>
      </c>
      <c r="B9" s="5" t="inlineStr">
        <is>
          <t>Oportunidad de Respuesta Solicitudes de Compra No Licitadas</t>
        </is>
      </c>
      <c r="C9" s="5" t="inlineStr">
        <is>
          <t>GESTIÓN DE ABASTECIMIENTO</t>
        </is>
      </c>
      <c r="D9" s="5" t="inlineStr">
        <is>
          <t>Semestral</t>
        </is>
      </c>
      <c r="E9" s="5" t="inlineStr">
        <is>
          <t>Positivo</t>
        </is>
      </c>
      <c r="F9" s="106" t="n">
        <v>46022</v>
      </c>
      <c r="G9" s="15" t="n">
        <v>2025</v>
      </c>
      <c r="H9" s="6" t="inlineStr">
        <is>
          <t>Diciembre</t>
        </is>
      </c>
      <c r="I9" s="6" t="inlineStr">
        <is>
          <t>2025-2</t>
        </is>
      </c>
      <c r="J9" s="11" t="n">
        <v>90</v>
      </c>
      <c r="K9" s="11" t="n">
        <v>90.7975</v>
      </c>
      <c r="L9" s="14">
        <f>IFERROR(IF(OR(J9=0,K9=""),"",IF(E9="Positivo",MIN(MAX(K9/J9,0),1.3),MIN(MAX(J9/K9,0),1.3))),"") </f>
        <v/>
      </c>
      <c r="M9" s="14">
        <f>IFERROR(IF(OR(J9=0,K9=""),"",IF(E9="Positivo",MAX(K9/J9,0),MAX(J9/K9,0))),"") </f>
        <v/>
      </c>
      <c r="N9" s="5" t="inlineStr">
        <is>
          <t>%</t>
        </is>
      </c>
      <c r="O9" s="5" t="inlineStr">
        <is>
          <t>%</t>
        </is>
      </c>
      <c r="P9" s="5" t="n">
        <v>0</v>
      </c>
      <c r="Q9" s="5" t="n">
        <v>1</v>
      </c>
      <c r="R9" s="5" t="inlineStr">
        <is>
          <t>69-2025-12-31</t>
        </is>
      </c>
    </row>
    <row r="10">
      <c r="A10" s="5" t="n">
        <v>73</v>
      </c>
      <c r="B10" s="5" t="inlineStr">
        <is>
          <t>Tiempo respuesta selección y contratación de colaboradores de planta</t>
        </is>
      </c>
      <c r="C10" s="5" t="inlineStr">
        <is>
          <t>GESTIÓN Y DESARROLLO DEL TALENTO HUMANO</t>
        </is>
      </c>
      <c r="D10" s="5" t="inlineStr">
        <is>
          <t>Trimestral</t>
        </is>
      </c>
      <c r="E10" s="5" t="inlineStr">
        <is>
          <t>Negativo</t>
        </is>
      </c>
      <c r="F10" s="107" t="n">
        <v>44926</v>
      </c>
      <c r="G10" s="15" t="n">
        <v>2022</v>
      </c>
      <c r="H10" s="6" t="inlineStr">
        <is>
          <t>Diciembre</t>
        </is>
      </c>
      <c r="I10" s="6" t="inlineStr">
        <is>
          <t>2022-2</t>
        </is>
      </c>
      <c r="J10" s="5" t="n">
        <v>20</v>
      </c>
      <c r="K10" s="5" t="n">
        <v>18.835</v>
      </c>
      <c r="L10" s="14">
        <f>IFERROR(IF(OR(J10=0,K10=""),"",IF(E10="Positivo",MIN(MAX(K10/J10,0),1.3),MIN(MAX(J10/K10,0),1.3))),"") </f>
        <v/>
      </c>
      <c r="M10" s="14">
        <f>IFERROR(IF(OR(J10=0,K10=""),"",IF(E10="Positivo",MAX(K10/J10,0),MAX(J10/K10,0))),"") </f>
        <v/>
      </c>
      <c r="N10" s="5" t="inlineStr">
        <is>
          <t>Días</t>
        </is>
      </c>
      <c r="O10" s="5" t="inlineStr">
        <is>
          <t>Días</t>
        </is>
      </c>
      <c r="P10" s="5" t="n">
        <v>0</v>
      </c>
      <c r="Q10" s="5" t="n">
        <v>0</v>
      </c>
      <c r="R10" s="5" t="inlineStr">
        <is>
          <t>73-2022-12-31</t>
        </is>
      </c>
    </row>
    <row r="11">
      <c r="A11" s="5" t="n">
        <v>73</v>
      </c>
      <c r="B11" s="20" t="inlineStr">
        <is>
          <t>Tiempo respuesta selección y contratación de colaboradores de planta</t>
        </is>
      </c>
      <c r="C11" s="5" t="inlineStr">
        <is>
          <t>GESTIÓN Y DESARROLLO DEL TALENTO HUMANO</t>
        </is>
      </c>
      <c r="D11" s="5" t="inlineStr">
        <is>
          <t>Semestral</t>
        </is>
      </c>
      <c r="E11" s="5" t="inlineStr">
        <is>
          <t>Negativo</t>
        </is>
      </c>
      <c r="F11" s="107" t="n">
        <v>45291</v>
      </c>
      <c r="G11" s="15" t="n">
        <v>2023</v>
      </c>
      <c r="H11" s="6" t="inlineStr">
        <is>
          <t>Diciembre</t>
        </is>
      </c>
      <c r="I11" s="6" t="inlineStr">
        <is>
          <t>2023-2</t>
        </is>
      </c>
      <c r="J11" s="5" t="n">
        <v>20</v>
      </c>
      <c r="K11" s="5" t="n">
        <v>18</v>
      </c>
      <c r="L11" s="14">
        <f>IFERROR(IF(OR(J11=0,K11=""),"",IF(E11="Positivo",MIN(MAX(K11/J11,0),1.3),MIN(MAX(J11/K11,0),1.3))),"") </f>
        <v/>
      </c>
      <c r="M11" s="14">
        <f>IFERROR(IF(OR(J11=0,K11=""),"",IF(E11="Positivo",MAX(K11/J11,0),MAX(J11/K11,0))),"") </f>
        <v/>
      </c>
      <c r="N11" s="5" t="inlineStr">
        <is>
          <t>Días</t>
        </is>
      </c>
      <c r="O11" s="5" t="inlineStr">
        <is>
          <t>Días</t>
        </is>
      </c>
      <c r="P11" s="5" t="n">
        <v>0</v>
      </c>
      <c r="Q11" s="5" t="n">
        <v>0</v>
      </c>
      <c r="R11" s="5" t="inlineStr">
        <is>
          <t>73-2023-12-31</t>
        </is>
      </c>
    </row>
    <row r="12">
      <c r="A12" s="5" t="n">
        <v>73</v>
      </c>
      <c r="B12" s="5" t="inlineStr">
        <is>
          <t>Tiempo respuesta selección y contratación de colaboradores de planta</t>
        </is>
      </c>
      <c r="C12" s="5" t="inlineStr">
        <is>
          <t>GESTIÓN Y DESARROLLO DEL TALENTO HUMANO</t>
        </is>
      </c>
      <c r="D12" s="5" t="inlineStr">
        <is>
          <t>Semestral</t>
        </is>
      </c>
      <c r="E12" s="5" t="inlineStr">
        <is>
          <t>Negativo</t>
        </is>
      </c>
      <c r="F12" s="107" t="n">
        <v>45657</v>
      </c>
      <c r="G12" s="5" t="n">
        <v>2024</v>
      </c>
      <c r="H12" s="5" t="inlineStr">
        <is>
          <t>Diciembre</t>
        </is>
      </c>
      <c r="I12" s="6" t="inlineStr">
        <is>
          <t>2024-2</t>
        </is>
      </c>
      <c r="J12" s="73" t="n">
        <v>20</v>
      </c>
      <c r="K12" s="9" t="n">
        <v>18.5</v>
      </c>
      <c r="L12" s="14">
        <f>IFERROR(IF(OR(J12=0,K12=""),"",IF(E12="Positivo",MIN(MAX(K12/J12,0),1.3),MIN(MAX(J12/K12,0),1.3))),"") </f>
        <v/>
      </c>
      <c r="M12" s="14">
        <f>IFERROR(IF(OR(J12=0,K12=""),"",IF(E12="Positivo",MAX(K12/J12,0),MAX(J12/K12,0))),"") </f>
        <v/>
      </c>
      <c r="N12" s="5" t="inlineStr">
        <is>
          <t>Días</t>
        </is>
      </c>
      <c r="O12" s="5" t="inlineStr">
        <is>
          <t>Días</t>
        </is>
      </c>
      <c r="P12" s="5" t="n">
        <v>0</v>
      </c>
      <c r="Q12" s="5" t="n">
        <v>0</v>
      </c>
      <c r="R12" s="5" t="inlineStr">
        <is>
          <t>73-2024-12-31</t>
        </is>
      </c>
    </row>
    <row r="13">
      <c r="A13" s="5" t="n">
        <v>73</v>
      </c>
      <c r="B13" s="5" t="inlineStr">
        <is>
          <t>Tiempo respuesta selección y contratación de colaboradores de planta</t>
        </is>
      </c>
      <c r="C13" s="5" t="inlineStr">
        <is>
          <t>GESTIÓN Y DESARROLLO DEL TALENTO HUMANO</t>
        </is>
      </c>
      <c r="D13" s="5" t="inlineStr">
        <is>
          <t>Trimestral</t>
        </is>
      </c>
      <c r="E13" s="5" t="inlineStr">
        <is>
          <t>Negativo</t>
        </is>
      </c>
      <c r="F13" s="107" t="n">
        <v>46022</v>
      </c>
      <c r="G13" s="5" t="n">
        <v>2025</v>
      </c>
      <c r="H13" s="5" t="inlineStr">
        <is>
          <t>Diciembre</t>
        </is>
      </c>
      <c r="I13" s="6" t="inlineStr">
        <is>
          <t>2025-2</t>
        </is>
      </c>
      <c r="J13" s="5" t="n">
        <v>20</v>
      </c>
      <c r="K13" s="5" t="n">
        <v>19.5</v>
      </c>
      <c r="L13" s="14">
        <f>IFERROR(IF(OR(J13=0,K13=""),"",IF(E13="Positivo",MIN(MAX(K13/J13,0),1.3),MIN(MAX(J13/K13,0),1.3))),"") </f>
        <v/>
      </c>
      <c r="M13" s="14">
        <f>IFERROR(IF(OR(J13=0,K13=""),"",IF(E13="Positivo",MAX(K13/J13,0),MAX(J13/K13,0))),"") </f>
        <v/>
      </c>
      <c r="N13" s="5" t="inlineStr">
        <is>
          <t>Días</t>
        </is>
      </c>
      <c r="O13" s="5" t="inlineStr">
        <is>
          <t>Días</t>
        </is>
      </c>
      <c r="P13" s="5" t="n">
        <v>0</v>
      </c>
      <c r="Q13" s="5" t="n">
        <v>0</v>
      </c>
      <c r="R13" s="5" t="inlineStr">
        <is>
          <t>73-2025-12-31</t>
        </is>
      </c>
    </row>
    <row r="14">
      <c r="A14" s="5" t="n">
        <v>74</v>
      </c>
      <c r="B14" s="5" t="inlineStr">
        <is>
          <t>Efectividad en las contrataciones</t>
        </is>
      </c>
      <c r="C14" s="5" t="inlineStr">
        <is>
          <t>GESTIÓN Y DESARROLLO DEL TALENTO HUMANO</t>
        </is>
      </c>
      <c r="D14" s="5" t="inlineStr">
        <is>
          <t>Trimestral</t>
        </is>
      </c>
      <c r="E14" s="5" t="inlineStr">
        <is>
          <t>Positivo</t>
        </is>
      </c>
      <c r="F14" s="107" t="n">
        <v>44926</v>
      </c>
      <c r="G14" s="5" t="n">
        <v>2022</v>
      </c>
      <c r="H14" s="5" t="inlineStr">
        <is>
          <t>Diciembre</t>
        </is>
      </c>
      <c r="I14" s="6" t="inlineStr">
        <is>
          <t>2022-2</t>
        </is>
      </c>
      <c r="J14" s="5" t="n">
        <v>80</v>
      </c>
      <c r="K14" s="5" t="n">
        <v>85.4473684210525</v>
      </c>
      <c r="L14" s="14">
        <f>IFERROR(IF(OR(J14=0,K14=""),"",IF(E14="Positivo",MIN(MAX(K14/J14,0),1.3),MIN(MAX(J14/K14,0),1.3))),"") </f>
        <v/>
      </c>
      <c r="M14" s="14">
        <f>IFERROR(IF(OR(J14=0,K14=""),"",IF(E14="Positivo",MAX(K14/J14,0),MAX(J14/K14,0))),"") </f>
        <v/>
      </c>
      <c r="N14" s="5" t="inlineStr">
        <is>
          <t>%</t>
        </is>
      </c>
      <c r="O14" s="5" t="inlineStr">
        <is>
          <t>%</t>
        </is>
      </c>
      <c r="P14" s="5" t="n">
        <v>0</v>
      </c>
      <c r="Q14" s="5" t="n">
        <v>0</v>
      </c>
      <c r="R14" s="5" t="inlineStr">
        <is>
          <t>74-2022-12-31</t>
        </is>
      </c>
    </row>
    <row r="15">
      <c r="A15" s="5" t="n">
        <v>74</v>
      </c>
      <c r="B15" s="5" t="inlineStr">
        <is>
          <t>Efectividad en las contrataciones</t>
        </is>
      </c>
      <c r="C15" s="5" t="inlineStr">
        <is>
          <t>GESTIÓN Y DESARROLLO DEL TALENTO HUMANO</t>
        </is>
      </c>
      <c r="D15" s="5" t="inlineStr">
        <is>
          <t>Semestral</t>
        </is>
      </c>
      <c r="E15" s="5" t="inlineStr">
        <is>
          <t>Positivo</t>
        </is>
      </c>
      <c r="F15" s="107" t="n">
        <v>45291</v>
      </c>
      <c r="G15" s="5" t="n">
        <v>2023</v>
      </c>
      <c r="H15" s="5" t="inlineStr">
        <is>
          <t>Diciembre</t>
        </is>
      </c>
      <c r="I15" s="6" t="inlineStr">
        <is>
          <t>2023-2</t>
        </is>
      </c>
      <c r="J15" s="5" t="n">
        <v>80</v>
      </c>
      <c r="K15" s="15" t="n">
        <v>90.9097435897435</v>
      </c>
      <c r="L15" s="14">
        <f>IFERROR(IF(OR(J15=0,K15=""),"",IF(E15="Positivo",MIN(MAX(K15/J15,0),1.3),MIN(MAX(J15/K15,0),1.3))),"") </f>
        <v/>
      </c>
      <c r="M15" s="14">
        <f>IFERROR(IF(OR(J15=0,K15=""),"",IF(E15="Positivo",MAX(K15/J15,0),MAX(J15/K15,0))),"") </f>
        <v/>
      </c>
      <c r="N15" s="5" t="inlineStr">
        <is>
          <t>%</t>
        </is>
      </c>
      <c r="O15" s="5" t="inlineStr">
        <is>
          <t>%</t>
        </is>
      </c>
      <c r="P15" s="5" t="n">
        <v>0</v>
      </c>
      <c r="Q15" s="5" t="n">
        <v>0</v>
      </c>
      <c r="R15" s="5" t="inlineStr">
        <is>
          <t>74-2023-12-31</t>
        </is>
      </c>
    </row>
    <row r="16">
      <c r="A16" s="5" t="n">
        <v>74</v>
      </c>
      <c r="B16" s="5" t="inlineStr">
        <is>
          <t>Efectividad en las contrataciones</t>
        </is>
      </c>
      <c r="C16" s="5" t="inlineStr">
        <is>
          <t>GESTIÓN Y DESARROLLO DEL TALENTO HUMANO</t>
        </is>
      </c>
      <c r="D16" s="5" t="inlineStr">
        <is>
          <t>Semestral</t>
        </is>
      </c>
      <c r="E16" s="5" t="inlineStr">
        <is>
          <t>Positivo</t>
        </is>
      </c>
      <c r="F16" s="107" t="n">
        <v>45657</v>
      </c>
      <c r="G16" s="5" t="n">
        <v>2024</v>
      </c>
      <c r="H16" s="5" t="inlineStr">
        <is>
          <t>Diciembre</t>
        </is>
      </c>
      <c r="I16" s="6" t="inlineStr">
        <is>
          <t>2024-2</t>
        </is>
      </c>
      <c r="J16" s="5" t="n">
        <v>80</v>
      </c>
      <c r="K16" s="5" t="n">
        <v>93.49000000000001</v>
      </c>
      <c r="L16" s="14">
        <f>IFERROR(IF(OR(J16=0,K16=""),"",IF(E16="Positivo",MIN(MAX(K16/J16,0),1.3),MIN(MAX(J16/K16,0),1.3))),"") </f>
        <v/>
      </c>
      <c r="M16" s="14">
        <f>IFERROR(IF(OR(J16=0,K16=""),"",IF(E16="Positivo",MAX(K16/J16,0),MAX(J16/K16,0))),"") </f>
        <v/>
      </c>
      <c r="N16" s="5" t="inlineStr">
        <is>
          <t>%</t>
        </is>
      </c>
      <c r="O16" s="5" t="inlineStr">
        <is>
          <t>%</t>
        </is>
      </c>
      <c r="P16" s="5" t="n">
        <v>0</v>
      </c>
      <c r="Q16" s="5" t="n">
        <v>0</v>
      </c>
      <c r="R16" s="5" t="inlineStr">
        <is>
          <t>74-2024-12-31</t>
        </is>
      </c>
    </row>
    <row r="17">
      <c r="A17" s="5" t="n">
        <v>74</v>
      </c>
      <c r="B17" s="5" t="inlineStr">
        <is>
          <t>Efectividad en las contrataciones</t>
        </is>
      </c>
      <c r="C17" s="5" t="inlineStr">
        <is>
          <t>GESTIÓN Y DESARROLLO DEL TALENTO HUMANO</t>
        </is>
      </c>
      <c r="D17" s="5" t="inlineStr">
        <is>
          <t>Trimestral</t>
        </is>
      </c>
      <c r="E17" s="5" t="inlineStr">
        <is>
          <t>Positivo</t>
        </is>
      </c>
      <c r="F17" s="107" t="n">
        <v>46022</v>
      </c>
      <c r="G17" s="5" t="n">
        <v>2025</v>
      </c>
      <c r="H17" s="5" t="inlineStr">
        <is>
          <t>Diciembre</t>
        </is>
      </c>
      <c r="I17" s="6" t="inlineStr">
        <is>
          <t>2025-2</t>
        </is>
      </c>
      <c r="J17" s="5" t="n">
        <v>80</v>
      </c>
      <c r="K17" s="5" t="n">
        <v>90.905</v>
      </c>
      <c r="L17" s="14">
        <f>IFERROR(IF(OR(J17=0,K17=""),"",IF(E17="Positivo",MIN(MAX(K17/J17,0),1.3),MIN(MAX(J17/K17,0),1.3))),"") </f>
        <v/>
      </c>
      <c r="M17" s="14">
        <f>IFERROR(IF(OR(J17=0,K17=""),"",IF(E17="Positivo",MAX(K17/J17,0),MAX(J17/K17,0))),"") </f>
        <v/>
      </c>
      <c r="N17" s="5" t="inlineStr">
        <is>
          <t>%</t>
        </is>
      </c>
      <c r="O17" s="5" t="inlineStr">
        <is>
          <t>%</t>
        </is>
      </c>
      <c r="P17" s="5" t="n">
        <v>0</v>
      </c>
      <c r="Q17" s="5" t="n">
        <v>0</v>
      </c>
      <c r="R17" s="5" t="inlineStr">
        <is>
          <t>74-2025-12-31</t>
        </is>
      </c>
    </row>
    <row r="18">
      <c r="A18" s="5" t="n">
        <v>77</v>
      </c>
      <c r="B18" s="61" t="inlineStr">
        <is>
          <t>Disponibilidad de servicios tecnológicos</t>
        </is>
      </c>
      <c r="C18" s="5" t="inlineStr">
        <is>
          <t>GESTIÓN DE LA TECNOLOGÍA E INNOVACIÓN DIGITAL</t>
        </is>
      </c>
      <c r="D18" s="5" t="inlineStr">
        <is>
          <t>Mensual</t>
        </is>
      </c>
      <c r="E18" s="5" t="inlineStr">
        <is>
          <t>Positivo</t>
        </is>
      </c>
      <c r="F18" s="106" t="n">
        <v>44926</v>
      </c>
      <c r="G18" s="15" t="n">
        <v>2022</v>
      </c>
      <c r="H18" s="6" t="inlineStr">
        <is>
          <t>Diciembre</t>
        </is>
      </c>
      <c r="I18" s="6" t="inlineStr">
        <is>
          <t>2022-2</t>
        </is>
      </c>
      <c r="J18" s="5" t="n">
        <v>97</v>
      </c>
      <c r="K18" s="5" t="n">
        <v>97.89999999999999</v>
      </c>
      <c r="L18" s="14">
        <f>IFERROR(IF(OR(J18=0,K18=""),"",IF(E18="Positivo",MIN(MAX(K18/J18,0),1.3),MIN(MAX(J18/K18,0),1.3))),"") </f>
        <v/>
      </c>
      <c r="M18" s="14">
        <f>IFERROR(IF(OR(J18=0,K18=""),"",IF(E18="Positivo",MAX(K18/J18,0),MAX(J18/K18,0))),"") </f>
        <v/>
      </c>
      <c r="N18" s="5" t="inlineStr">
        <is>
          <t>%</t>
        </is>
      </c>
      <c r="O18" s="5" t="inlineStr">
        <is>
          <t>%</t>
        </is>
      </c>
      <c r="P18" s="5" t="n">
        <v>0</v>
      </c>
      <c r="Q18" s="5" t="n">
        <v>1</v>
      </c>
      <c r="R18" s="5" t="inlineStr">
        <is>
          <t>77-2022-12-31</t>
        </is>
      </c>
    </row>
    <row r="19">
      <c r="A19" s="5" t="n">
        <v>77</v>
      </c>
      <c r="B19" s="5" t="inlineStr">
        <is>
          <t>Disponibilidad de servicios tecnológicos</t>
        </is>
      </c>
      <c r="C19" s="5" t="inlineStr">
        <is>
          <t>GESTIÓN DE LA TECNOLOGÍA E INNOVACIÓN DIGITAL</t>
        </is>
      </c>
      <c r="D19" s="5" t="inlineStr">
        <is>
          <t>Mensual</t>
        </is>
      </c>
      <c r="E19" s="5" t="inlineStr">
        <is>
          <t>Positivo</t>
        </is>
      </c>
      <c r="F19" s="106" t="n">
        <v>45291</v>
      </c>
      <c r="G19" s="15" t="n">
        <v>2023</v>
      </c>
      <c r="H19" s="6" t="inlineStr">
        <is>
          <t>Diciembre</t>
        </is>
      </c>
      <c r="I19" s="6" t="inlineStr">
        <is>
          <t>2023-2</t>
        </is>
      </c>
      <c r="J19" s="5" t="n">
        <v>97</v>
      </c>
      <c r="K19" s="5" t="n">
        <v>97.63333333333333</v>
      </c>
      <c r="L19" s="14">
        <f>IFERROR(IF(OR(J19=0,K19=""),"",IF(E19="Positivo",MIN(MAX(K19/J19,0),1.3),MIN(MAX(J19/K19,0),1.3))),"") </f>
        <v/>
      </c>
      <c r="M19" s="14">
        <f>IFERROR(IF(OR(J19=0,K19=""),"",IF(E19="Positivo",MAX(K19/J19,0),MAX(J19/K19,0))),"") </f>
        <v/>
      </c>
      <c r="N19" s="5" t="inlineStr">
        <is>
          <t>%</t>
        </is>
      </c>
      <c r="O19" s="5" t="inlineStr">
        <is>
          <t>%</t>
        </is>
      </c>
      <c r="P19" s="5" t="n">
        <v>0</v>
      </c>
      <c r="Q19" s="5" t="n">
        <v>1</v>
      </c>
      <c r="R19" s="5" t="inlineStr">
        <is>
          <t>77-2023-12-31</t>
        </is>
      </c>
    </row>
    <row r="20">
      <c r="A20" s="5" t="n">
        <v>77</v>
      </c>
      <c r="B20" s="5" t="inlineStr">
        <is>
          <t>Disponibilidad de servicios tecnológicos</t>
        </is>
      </c>
      <c r="C20" s="5" t="inlineStr">
        <is>
          <t>GESTIÓN DE LA TECNOLOGÍA E INNOVACIÓN DIGITAL</t>
        </is>
      </c>
      <c r="D20" s="5" t="inlineStr">
        <is>
          <t>Mensual</t>
        </is>
      </c>
      <c r="E20" s="5" t="inlineStr">
        <is>
          <t>Positivo</t>
        </is>
      </c>
      <c r="F20" s="106" t="n">
        <v>45657</v>
      </c>
      <c r="G20" s="15" t="n">
        <v>2024</v>
      </c>
      <c r="H20" s="6" t="inlineStr">
        <is>
          <t>Diciembre</t>
        </is>
      </c>
      <c r="I20" s="6" t="inlineStr">
        <is>
          <t>2024-2</t>
        </is>
      </c>
      <c r="J20" s="94" t="n">
        <v>97</v>
      </c>
      <c r="K20" s="94" t="n">
        <v>97.4325</v>
      </c>
      <c r="L20" s="14">
        <f>IFERROR(IF(OR(J20=0,K20=""),"",IF(E20="Positivo",MIN(MAX(K20/J20,0),1.3),MIN(MAX(J20/K20,0),1.3))),"") </f>
        <v/>
      </c>
      <c r="M20" s="14">
        <f>IFERROR(IF(OR(J20=0,K20=""),"",IF(E20="Positivo",MAX(K20/J20,0),MAX(J20/K20,0))),"") </f>
        <v/>
      </c>
      <c r="N20" s="5" t="inlineStr">
        <is>
          <t>%</t>
        </is>
      </c>
      <c r="O20" s="5" t="inlineStr">
        <is>
          <t>%</t>
        </is>
      </c>
      <c r="P20" s="5" t="n">
        <v>0</v>
      </c>
      <c r="Q20" s="5" t="n">
        <v>1</v>
      </c>
      <c r="R20" s="5" t="inlineStr">
        <is>
          <t>77-2024-12-31</t>
        </is>
      </c>
    </row>
    <row r="21">
      <c r="A21" s="5" t="n">
        <v>77</v>
      </c>
      <c r="B21" s="5" t="inlineStr">
        <is>
          <t>Disponibilidad de servicios tecnológicos</t>
        </is>
      </c>
      <c r="C21" s="5" t="inlineStr">
        <is>
          <t>GESTIÓN DE LA TECNOLOGÍA E INNOVACIÓN DIGITAL</t>
        </is>
      </c>
      <c r="D21" s="5" t="inlineStr">
        <is>
          <t>Mensual</t>
        </is>
      </c>
      <c r="E21" s="5" t="inlineStr">
        <is>
          <t>Positivo</t>
        </is>
      </c>
      <c r="F21" s="107" t="n">
        <v>46022</v>
      </c>
      <c r="G21" s="5" t="n">
        <v>2025</v>
      </c>
      <c r="H21" s="5" t="inlineStr">
        <is>
          <t>Diciembre</t>
        </is>
      </c>
      <c r="I21" s="6" t="inlineStr">
        <is>
          <t>2025-2</t>
        </is>
      </c>
      <c r="J21" s="9" t="n">
        <v>97</v>
      </c>
      <c r="K21" s="9" t="n">
        <v>95.71666666666665</v>
      </c>
      <c r="L21" s="14">
        <f>IFERROR(IF(OR(J21=0,K21=""),"",IF(E21="Positivo",MIN(MAX(K21/J21,0),1.3),MIN(MAX(J21/K21,0),1.3))),"") </f>
        <v/>
      </c>
      <c r="M21" s="14">
        <f>IFERROR(IF(OR(J21=0,K21=""),"",IF(E21="Positivo",MAX(K21/J21,0),MAX(J21/K21,0))),"") </f>
        <v/>
      </c>
      <c r="N21" s="5" t="inlineStr">
        <is>
          <t>%</t>
        </is>
      </c>
      <c r="O21" s="5" t="inlineStr">
        <is>
          <t>%</t>
        </is>
      </c>
      <c r="P21" s="5" t="n">
        <v>0</v>
      </c>
      <c r="Q21" s="5" t="n">
        <v>1</v>
      </c>
      <c r="R21" s="5" t="inlineStr">
        <is>
          <t>77-2025-12-31</t>
        </is>
      </c>
    </row>
    <row r="22">
      <c r="A22" s="5" t="n">
        <v>77</v>
      </c>
      <c r="B22" s="5" t="inlineStr">
        <is>
          <t>Disponibilidad de servicios tecnológicos</t>
        </is>
      </c>
      <c r="C22" s="5" t="inlineStr">
        <is>
          <t>GESTIÓN DE LA TECNOLOGÍA E INNOVACIÓN DIGITAL</t>
        </is>
      </c>
      <c r="D22" s="5" t="inlineStr">
        <is>
          <t>Mensual</t>
        </is>
      </c>
      <c r="E22" s="5" t="inlineStr">
        <is>
          <t>Positivo</t>
        </is>
      </c>
      <c r="F22" s="107" t="n">
        <v>46053</v>
      </c>
      <c r="G22" s="5" t="n">
        <v>2026</v>
      </c>
      <c r="H22" s="5" t="inlineStr">
        <is>
          <t>Enero</t>
        </is>
      </c>
      <c r="I22" s="6" t="inlineStr">
        <is>
          <t>2026-1</t>
        </is>
      </c>
      <c r="J22" s="5" t="n">
        <v>97</v>
      </c>
      <c r="K22" s="5" t="n">
        <v>94.90000000000001</v>
      </c>
      <c r="L22" s="14">
        <f>IFERROR(IF(OR(J22=0,K22=""),"",IF(E22="Positivo",MIN(MAX(K22/J22,0),1.3),MIN(MAX(J22/K22,0),1.3))),"") </f>
        <v/>
      </c>
      <c r="M22" s="14">
        <f>IFERROR(IF(OR(J22=0,K22=""),"",IF(E22="Positivo",MAX(K22/J22,0),MAX(J22/K22,0))),"") </f>
        <v/>
      </c>
      <c r="N22" s="5" t="inlineStr">
        <is>
          <t>%</t>
        </is>
      </c>
      <c r="O22" s="5" t="inlineStr">
        <is>
          <t>%</t>
        </is>
      </c>
      <c r="P22" s="5" t="n">
        <v>0</v>
      </c>
      <c r="Q22" s="5" t="n">
        <v>1</v>
      </c>
      <c r="R22" s="5" t="inlineStr">
        <is>
          <t>77-2026-01-31</t>
        </is>
      </c>
      <c r="S22" t="inlineStr"/>
    </row>
    <row r="23">
      <c r="A23" s="5" t="n">
        <v>78</v>
      </c>
      <c r="B23" s="5" t="inlineStr">
        <is>
          <t>Cumplimiento programa de auditoría</t>
        </is>
      </c>
      <c r="C23" s="5" t="inlineStr">
        <is>
          <t>AUDITORÍA INTERNA</t>
        </is>
      </c>
      <c r="D23" s="5" t="inlineStr">
        <is>
          <t>Bimestral</t>
        </is>
      </c>
      <c r="E23" s="5" t="inlineStr">
        <is>
          <t>Positivo</t>
        </is>
      </c>
      <c r="F23" s="107" t="n">
        <v>45291</v>
      </c>
      <c r="G23" s="5" t="n">
        <v>2023</v>
      </c>
      <c r="H23" s="5" t="inlineStr">
        <is>
          <t>Diciembre</t>
        </is>
      </c>
      <c r="I23" s="6" t="inlineStr">
        <is>
          <t>2023-2</t>
        </is>
      </c>
      <c r="J23" s="5" t="n">
        <v>100</v>
      </c>
      <c r="K23" s="5" t="n">
        <v>122</v>
      </c>
      <c r="L23" s="14">
        <f>IFERROR(IF(OR(J23=0,K23=""),"",IF(E23="Positivo",MIN(MAX(K23/J23,0),1.3),MIN(MAX(J23/K23,0),1.3))),"") </f>
        <v/>
      </c>
      <c r="M23" s="14">
        <f>IFERROR(IF(OR(J23=0,K23=""),"",IF(E23="Positivo",MAX(K23/J23,0),MAX(J23/K23,0))),"") </f>
        <v/>
      </c>
      <c r="N23" s="5" t="inlineStr">
        <is>
          <t>%</t>
        </is>
      </c>
      <c r="O23" s="5" t="inlineStr">
        <is>
          <t>%</t>
        </is>
      </c>
      <c r="P23" s="5" t="n">
        <v>0</v>
      </c>
      <c r="Q23" s="5" t="n">
        <v>0</v>
      </c>
      <c r="R23" s="5" t="inlineStr">
        <is>
          <t>78-2023-12-31</t>
        </is>
      </c>
    </row>
    <row r="24">
      <c r="A24" s="5" t="n">
        <v>78</v>
      </c>
      <c r="B24" s="5" t="inlineStr">
        <is>
          <t>Cumplimiento programa de auditoría</t>
        </is>
      </c>
      <c r="C24" s="5" t="inlineStr">
        <is>
          <t>AUDITORÍA INTERNA</t>
        </is>
      </c>
      <c r="D24" s="5" t="inlineStr">
        <is>
          <t>Bimestral</t>
        </is>
      </c>
      <c r="E24" s="5" t="inlineStr">
        <is>
          <t>Positivo</t>
        </is>
      </c>
      <c r="F24" s="107" t="n">
        <v>45657</v>
      </c>
      <c r="G24" s="15" t="n">
        <v>2024</v>
      </c>
      <c r="H24" s="6" t="inlineStr">
        <is>
          <t>Diciembre</t>
        </is>
      </c>
      <c r="I24" s="6" t="inlineStr">
        <is>
          <t>2024-2</t>
        </is>
      </c>
      <c r="J24" s="5" t="n">
        <v>100</v>
      </c>
      <c r="K24" s="5" t="n">
        <v>112.5</v>
      </c>
      <c r="L24" s="14">
        <f>IFERROR(IF(OR(J24=0,K24=""),"",IF(E24="Positivo",MIN(MAX(K24/J24,0),1.3),MIN(MAX(J24/K24,0),1.3))),"") </f>
        <v/>
      </c>
      <c r="M24" s="14">
        <f>IFERROR(IF(OR(J24=0,K24=""),"",IF(E24="Positivo",MAX(K24/J24,0),MAX(J24/K24,0))),"") </f>
        <v/>
      </c>
      <c r="N24" s="5" t="inlineStr">
        <is>
          <t>%</t>
        </is>
      </c>
      <c r="O24" s="5" t="inlineStr">
        <is>
          <t>%</t>
        </is>
      </c>
      <c r="P24" s="5" t="n">
        <v>0</v>
      </c>
      <c r="Q24" s="5" t="n">
        <v>0</v>
      </c>
      <c r="R24" s="5" t="inlineStr">
        <is>
          <t>78-2024-12-31</t>
        </is>
      </c>
    </row>
    <row r="25">
      <c r="A25" s="5" t="n">
        <v>79</v>
      </c>
      <c r="B25" s="5" t="inlineStr">
        <is>
          <t>Cierre Eficaz De Oportunidades De Mejora De Auditoria Interna</t>
        </is>
      </c>
      <c r="C25" s="5" t="inlineStr">
        <is>
          <t>AUDITORÍA INTERNA</t>
        </is>
      </c>
      <c r="D25" s="5" t="inlineStr">
        <is>
          <t>Bimestral</t>
        </is>
      </c>
      <c r="E25" s="5" t="inlineStr">
        <is>
          <t>Positivo</t>
        </is>
      </c>
      <c r="F25" s="107" t="n">
        <v>45291</v>
      </c>
      <c r="G25" s="5" t="n">
        <v>2023</v>
      </c>
      <c r="H25" s="5" t="inlineStr">
        <is>
          <t>Diciembre</t>
        </is>
      </c>
      <c r="I25" s="6" t="inlineStr">
        <is>
          <t>2023-2</t>
        </is>
      </c>
      <c r="J25" s="5" t="n">
        <v>85</v>
      </c>
      <c r="K25" s="5" t="n">
        <v>98.8625</v>
      </c>
      <c r="L25" s="14">
        <f>IFERROR(IF(OR(J25=0,K25=""),"",IF(E25="Positivo",MIN(MAX(K25/J25,0),1.3),MIN(MAX(J25/K25,0),1.3))),"") </f>
        <v/>
      </c>
      <c r="M25" s="14">
        <f>IFERROR(IF(OR(J25=0,K25=""),"",IF(E25="Positivo",MAX(K25/J25,0),MAX(J25/K25,0))),"") </f>
        <v/>
      </c>
      <c r="N25" s="5" t="inlineStr">
        <is>
          <t>%</t>
        </is>
      </c>
      <c r="O25" s="5" t="inlineStr">
        <is>
          <t>%</t>
        </is>
      </c>
      <c r="P25" s="5" t="n">
        <v>0</v>
      </c>
      <c r="Q25" s="5" t="n">
        <v>0</v>
      </c>
      <c r="R25" s="5" t="inlineStr">
        <is>
          <t>79-2023-12-31</t>
        </is>
      </c>
    </row>
    <row r="26">
      <c r="A26" s="5" t="n">
        <v>84</v>
      </c>
      <c r="B26" s="5" t="inlineStr">
        <is>
          <t>Funcionamiento del COPASST</t>
        </is>
      </c>
      <c r="C26" s="5" t="inlineStr">
        <is>
          <t>GESTIÓN DE SEGURIDAD Y SALUD EN EL TRABAJO</t>
        </is>
      </c>
      <c r="D26" s="5" t="inlineStr">
        <is>
          <t>Anual</t>
        </is>
      </c>
      <c r="E26" s="5" t="inlineStr">
        <is>
          <t>Positivo</t>
        </is>
      </c>
      <c r="F26" s="107" t="n">
        <v>44926</v>
      </c>
      <c r="G26" s="5" t="n">
        <v>2022</v>
      </c>
      <c r="H26" s="5" t="inlineStr">
        <is>
          <t>Diciembre</t>
        </is>
      </c>
      <c r="I26" s="6" t="inlineStr">
        <is>
          <t>2022-2</t>
        </is>
      </c>
      <c r="J26" s="5" t="n">
        <v>100</v>
      </c>
      <c r="K26" s="5" t="n">
        <v>100</v>
      </c>
      <c r="L26" s="14">
        <f>IFERROR(IF(OR(J26=0,K26=""),"",IF(E26="Positivo",MIN(MAX(K26/J26,0),1.3),MIN(MAX(J26/K26,0),1.3))),"") </f>
        <v/>
      </c>
      <c r="M26" s="14">
        <f>IFERROR(IF(OR(J26=0,K26=""),"",IF(E26="Positivo",MAX(K26/J26,0),MAX(J26/K26,0))),"") </f>
        <v/>
      </c>
      <c r="N26" s="5" t="inlineStr">
        <is>
          <t>%</t>
        </is>
      </c>
      <c r="O26" s="5" t="inlineStr">
        <is>
          <t>%</t>
        </is>
      </c>
      <c r="P26" s="5" t="n">
        <v>0</v>
      </c>
      <c r="Q26" s="5" t="n">
        <v>0</v>
      </c>
      <c r="R26" s="5" t="inlineStr">
        <is>
          <t>84-2022-12-31</t>
        </is>
      </c>
    </row>
    <row r="27">
      <c r="A27" s="5" t="n">
        <v>84</v>
      </c>
      <c r="B27" s="5" t="inlineStr">
        <is>
          <t>Funcionamiento del COPASST</t>
        </is>
      </c>
      <c r="C27" s="5" t="inlineStr">
        <is>
          <t>GESTIÓN DE SEGURIDAD Y SALUD EN EL TRABAJO</t>
        </is>
      </c>
      <c r="D27" s="5" t="inlineStr">
        <is>
          <t>Anual</t>
        </is>
      </c>
      <c r="E27" s="5" t="inlineStr">
        <is>
          <t>Positivo</t>
        </is>
      </c>
      <c r="F27" s="107" t="n">
        <v>45291</v>
      </c>
      <c r="G27" s="5" t="n">
        <v>2023</v>
      </c>
      <c r="H27" s="5" t="inlineStr">
        <is>
          <t>Diciembre</t>
        </is>
      </c>
      <c r="I27" s="6" t="inlineStr">
        <is>
          <t>2023-2</t>
        </is>
      </c>
      <c r="J27" s="5" t="n">
        <v>100</v>
      </c>
      <c r="K27" s="5" t="n">
        <v>100</v>
      </c>
      <c r="L27" s="14">
        <f>IFERROR(IF(OR(J27=0,K27=""),"",IF(E27="Positivo",MIN(MAX(K27/J27,0),1.3),MIN(MAX(J27/K27,0),1.3))),"") </f>
        <v/>
      </c>
      <c r="M27" s="14">
        <f>IFERROR(IF(OR(J27=0,K27=""),"",IF(E27="Positivo",MAX(K27/J27,0),MAX(J27/K27,0))),"") </f>
        <v/>
      </c>
      <c r="N27" s="5" t="inlineStr">
        <is>
          <t>%</t>
        </is>
      </c>
      <c r="O27" s="5" t="inlineStr">
        <is>
          <t>%</t>
        </is>
      </c>
      <c r="P27" s="5" t="n">
        <v>0</v>
      </c>
      <c r="Q27" s="5" t="n">
        <v>0</v>
      </c>
      <c r="R27" s="5" t="inlineStr">
        <is>
          <t>84-2023-12-31</t>
        </is>
      </c>
    </row>
    <row r="28">
      <c r="A28" s="5" t="n">
        <v>84</v>
      </c>
      <c r="B28" s="5" t="inlineStr">
        <is>
          <t>Funcionamiento del COPASST</t>
        </is>
      </c>
      <c r="C28" s="5" t="inlineStr">
        <is>
          <t>GESTIÓN DE SEGURIDAD Y SALUD EN EL TRABAJO</t>
        </is>
      </c>
      <c r="D28" s="5" t="inlineStr">
        <is>
          <t>Anual</t>
        </is>
      </c>
      <c r="E28" s="5" t="inlineStr">
        <is>
          <t>Positivo</t>
        </is>
      </c>
      <c r="F28" s="107" t="n">
        <v>45657</v>
      </c>
      <c r="G28" s="15" t="n">
        <v>2024</v>
      </c>
      <c r="H28" s="6" t="inlineStr">
        <is>
          <t>Diciembre</t>
        </is>
      </c>
      <c r="I28" s="6" t="inlineStr">
        <is>
          <t>2024-2</t>
        </is>
      </c>
      <c r="J28" s="5" t="n">
        <v>100</v>
      </c>
      <c r="K28" s="10" t="n">
        <v>100</v>
      </c>
      <c r="L28" s="14">
        <f>IFERROR(IF(OR(J28=0,K28=""),"",IF(E28="Positivo",MIN(MAX(K28/J28,0),1.3),MIN(MAX(J28/K28,0),1.3))),"") </f>
        <v/>
      </c>
      <c r="M28" s="14">
        <f>IFERROR(IF(OR(J28=0,K28=""),"",IF(E28="Positivo",MAX(K28/J28,0),MAX(J28/K28,0))),"") </f>
        <v/>
      </c>
      <c r="N28" s="5" t="inlineStr">
        <is>
          <t>%</t>
        </is>
      </c>
      <c r="O28" s="5" t="inlineStr">
        <is>
          <t>%</t>
        </is>
      </c>
      <c r="P28" s="5" t="n">
        <v>0</v>
      </c>
      <c r="Q28" s="5" t="n">
        <v>0</v>
      </c>
      <c r="R28" s="5" t="inlineStr">
        <is>
          <t>84-2024-12-31</t>
        </is>
      </c>
    </row>
    <row r="29">
      <c r="A29" s="5" t="n">
        <v>84</v>
      </c>
      <c r="B29" s="5" t="inlineStr">
        <is>
          <t>Funcionamiento del COPASST</t>
        </is>
      </c>
      <c r="C29" s="5" t="inlineStr">
        <is>
          <t>GESTIÓN DE SEGURIDAD Y SALUD EN EL TRABAJO</t>
        </is>
      </c>
      <c r="D29" s="5" t="inlineStr">
        <is>
          <t>Anual</t>
        </is>
      </c>
      <c r="E29" s="5" t="inlineStr">
        <is>
          <t>Positivo</t>
        </is>
      </c>
      <c r="F29" s="107" t="n">
        <v>46022</v>
      </c>
      <c r="G29" s="5" t="n">
        <v>2025</v>
      </c>
      <c r="H29" s="5" t="inlineStr">
        <is>
          <t>Diciembre</t>
        </is>
      </c>
      <c r="I29" s="6" t="inlineStr">
        <is>
          <t>2025-2</t>
        </is>
      </c>
      <c r="J29" s="5" t="n">
        <v>100</v>
      </c>
      <c r="K29" s="5" t="n">
        <v>100</v>
      </c>
      <c r="L29" s="14">
        <f>IFERROR(IF(OR(J29=0,K29=""),"",IF(E29="Positivo",MIN(MAX(K29/J29,0),1.3),MIN(MAX(J29/K29,0),1.3))),"") </f>
        <v/>
      </c>
      <c r="M29" s="14">
        <f>IFERROR(IF(OR(J29=0,K29=""),"",IF(E29="Positivo",MAX(K29/J29,0),MAX(J29/K29,0))),"") </f>
        <v/>
      </c>
      <c r="N29" s="5" t="inlineStr">
        <is>
          <t>%</t>
        </is>
      </c>
      <c r="O29" s="5" t="inlineStr">
        <is>
          <t>%</t>
        </is>
      </c>
      <c r="P29" s="5" t="n">
        <v>0</v>
      </c>
      <c r="Q29" s="5" t="n">
        <v>0</v>
      </c>
      <c r="R29" s="5" t="inlineStr">
        <is>
          <t>84-2025-12-31</t>
        </is>
      </c>
    </row>
    <row r="30">
      <c r="A30" s="5" t="n">
        <v>85</v>
      </c>
      <c r="B30" s="5" t="inlineStr">
        <is>
          <t>Plan de Emergencias</t>
        </is>
      </c>
      <c r="C30" s="5" t="inlineStr">
        <is>
          <t>GESTIÓN DE SEGURIDAD Y SALUD EN EL TRABAJO</t>
        </is>
      </c>
      <c r="D30" s="5" t="inlineStr">
        <is>
          <t>Anual</t>
        </is>
      </c>
      <c r="E30" s="5" t="inlineStr">
        <is>
          <t>Positivo</t>
        </is>
      </c>
      <c r="F30" s="107" t="n">
        <v>44926</v>
      </c>
      <c r="G30" s="5" t="n">
        <v>2022</v>
      </c>
      <c r="H30" s="5" t="inlineStr">
        <is>
          <t>Diciembre</t>
        </is>
      </c>
      <c r="I30" s="6" t="inlineStr">
        <is>
          <t>2022-2</t>
        </is>
      </c>
      <c r="J30" s="5" t="n">
        <v>100</v>
      </c>
      <c r="K30" s="5" t="n">
        <v>100</v>
      </c>
      <c r="L30" s="14">
        <f>IFERROR(IF(OR(J30=0,K30=""),"",IF(E30="Positivo",MIN(MAX(K30/J30,0),1.3),MIN(MAX(J30/K30,0),1.3))),"") </f>
        <v/>
      </c>
      <c r="M30" s="14">
        <f>IFERROR(IF(OR(J30=0,K30=""),"",IF(E30="Positivo",MAX(K30/J30,0),MAX(J30/K30,0))),"") </f>
        <v/>
      </c>
      <c r="N30" s="5" t="inlineStr">
        <is>
          <t>%</t>
        </is>
      </c>
      <c r="O30" s="5" t="inlineStr">
        <is>
          <t>%</t>
        </is>
      </c>
      <c r="P30" s="5" t="n">
        <v>0</v>
      </c>
      <c r="Q30" s="5" t="n">
        <v>0</v>
      </c>
      <c r="R30" s="5" t="inlineStr">
        <is>
          <t>85-2022-12-31</t>
        </is>
      </c>
    </row>
    <row r="31">
      <c r="A31" s="5" t="n">
        <v>85</v>
      </c>
      <c r="B31" s="5" t="inlineStr">
        <is>
          <t>Plan de Emergencias</t>
        </is>
      </c>
      <c r="C31" s="5" t="inlineStr">
        <is>
          <t>GESTIÓN DE SEGURIDAD Y SALUD EN EL TRABAJO</t>
        </is>
      </c>
      <c r="D31" s="5" t="inlineStr">
        <is>
          <t>Anual</t>
        </is>
      </c>
      <c r="E31" s="5" t="inlineStr">
        <is>
          <t>Positivo</t>
        </is>
      </c>
      <c r="F31" s="107" t="n">
        <v>45291</v>
      </c>
      <c r="G31" s="5" t="n">
        <v>2023</v>
      </c>
      <c r="H31" s="5" t="inlineStr">
        <is>
          <t>Diciembre</t>
        </is>
      </c>
      <c r="I31" s="6" t="inlineStr">
        <is>
          <t>2023-2</t>
        </is>
      </c>
      <c r="J31" s="5" t="n">
        <v>100</v>
      </c>
      <c r="K31" s="5" t="n">
        <v>100</v>
      </c>
      <c r="L31" s="14">
        <f>IFERROR(IF(OR(J31=0,K31=""),"",IF(E31="Positivo",MIN(MAX(K31/J31,0),1.3),MIN(MAX(J31/K31,0),1.3))),"") </f>
        <v/>
      </c>
      <c r="M31" s="14">
        <f>IFERROR(IF(OR(J31=0,K31=""),"",IF(E31="Positivo",MAX(K31/J31,0),MAX(J31/K31,0))),"") </f>
        <v/>
      </c>
      <c r="N31" s="5" t="inlineStr">
        <is>
          <t>%</t>
        </is>
      </c>
      <c r="O31" s="5" t="inlineStr">
        <is>
          <t>%</t>
        </is>
      </c>
      <c r="P31" s="5" t="n">
        <v>0</v>
      </c>
      <c r="Q31" s="5" t="n">
        <v>0</v>
      </c>
      <c r="R31" s="5" t="inlineStr">
        <is>
          <t>85-2023-12-31</t>
        </is>
      </c>
    </row>
    <row r="32">
      <c r="A32" s="5" t="n">
        <v>85</v>
      </c>
      <c r="B32" s="5" t="inlineStr">
        <is>
          <t>Plan de Emergencias</t>
        </is>
      </c>
      <c r="C32" s="5" t="inlineStr">
        <is>
          <t>GESTIÓN DE SEGURIDAD Y SALUD EN EL TRABAJO</t>
        </is>
      </c>
      <c r="D32" s="5" t="inlineStr">
        <is>
          <t>Anual</t>
        </is>
      </c>
      <c r="E32" s="5" t="inlineStr">
        <is>
          <t>Positivo</t>
        </is>
      </c>
      <c r="F32" s="107" t="n">
        <v>45657</v>
      </c>
      <c r="G32" s="5" t="n">
        <v>2024</v>
      </c>
      <c r="H32" s="5" t="inlineStr">
        <is>
          <t>Diciembre</t>
        </is>
      </c>
      <c r="I32" s="6" t="inlineStr">
        <is>
          <t>2024-2</t>
        </is>
      </c>
      <c r="J32" s="5" t="n">
        <v>100</v>
      </c>
      <c r="K32" s="5" t="n">
        <v>100</v>
      </c>
      <c r="L32" s="14">
        <f>IFERROR(IF(OR(J32=0,K32=""),"",IF(E32="Positivo",MIN(MAX(K32/J32,0),1.3),MIN(MAX(J32/K32,0),1.3))),"") </f>
        <v/>
      </c>
      <c r="M32" s="14">
        <f>IFERROR(IF(OR(J32=0,K32=""),"",IF(E32="Positivo",MAX(K32/J32,0),MAX(J32/K32,0))),"") </f>
        <v/>
      </c>
      <c r="N32" s="5" t="inlineStr">
        <is>
          <t>%</t>
        </is>
      </c>
      <c r="O32" s="5" t="inlineStr">
        <is>
          <t>%</t>
        </is>
      </c>
      <c r="P32" s="5" t="n">
        <v>0</v>
      </c>
      <c r="Q32" s="5" t="n">
        <v>0</v>
      </c>
      <c r="R32" s="5" t="inlineStr">
        <is>
          <t>85-2024-12-31</t>
        </is>
      </c>
    </row>
    <row r="33">
      <c r="A33" s="5" t="n">
        <v>85</v>
      </c>
      <c r="B33" s="5" t="inlineStr">
        <is>
          <t>Plan de Emergencias</t>
        </is>
      </c>
      <c r="C33" s="5" t="inlineStr">
        <is>
          <t>GESTIÓN DE SEGURIDAD Y SALUD EN EL TRABAJO</t>
        </is>
      </c>
      <c r="D33" s="5" t="inlineStr">
        <is>
          <t>Anual</t>
        </is>
      </c>
      <c r="E33" s="5" t="inlineStr">
        <is>
          <t>Positivo</t>
        </is>
      </c>
      <c r="F33" s="107" t="n">
        <v>46022</v>
      </c>
      <c r="G33" s="5" t="n">
        <v>2025</v>
      </c>
      <c r="H33" s="5" t="inlineStr">
        <is>
          <t>Diciembre</t>
        </is>
      </c>
      <c r="I33" s="6" t="inlineStr">
        <is>
          <t>2025-2</t>
        </is>
      </c>
      <c r="J33" s="5" t="n">
        <v>100</v>
      </c>
      <c r="K33" s="5" t="n">
        <v>100</v>
      </c>
      <c r="L33" s="14">
        <f>IFERROR(IF(OR(J33=0,K33=""),"",IF(E33="Positivo",MIN(MAX(K33/J33,0),1.3),MIN(MAX(J33/K33,0),1.3))),"") </f>
        <v/>
      </c>
      <c r="M33" s="14">
        <f>IFERROR(IF(OR(J33=0,K33=""),"",IF(E33="Positivo",MAX(K33/J33,0),MAX(J33/K33,0))),"") </f>
        <v/>
      </c>
      <c r="N33" s="5" t="inlineStr">
        <is>
          <t>%</t>
        </is>
      </c>
      <c r="O33" s="5" t="inlineStr">
        <is>
          <t>%</t>
        </is>
      </c>
      <c r="P33" s="5" t="n">
        <v>0</v>
      </c>
      <c r="Q33" s="5" t="n">
        <v>0</v>
      </c>
      <c r="R33" s="5" t="inlineStr">
        <is>
          <t>85-2025-12-31</t>
        </is>
      </c>
    </row>
    <row r="34">
      <c r="A34" s="5" t="n">
        <v>86</v>
      </c>
      <c r="B34" s="5" t="inlineStr">
        <is>
          <t>Reporte e investigación</t>
        </is>
      </c>
      <c r="C34" s="5" t="inlineStr">
        <is>
          <t>GESTIÓN DE SEGURIDAD Y SALUD EN EL TRABAJO</t>
        </is>
      </c>
      <c r="D34" s="5" t="inlineStr">
        <is>
          <t>Trimestral</t>
        </is>
      </c>
      <c r="E34" s="5" t="inlineStr">
        <is>
          <t>Positivo</t>
        </is>
      </c>
      <c r="F34" s="107" t="n">
        <v>44926</v>
      </c>
      <c r="G34" s="5" t="n">
        <v>2022</v>
      </c>
      <c r="H34" s="5" t="inlineStr">
        <is>
          <t>Diciembre</t>
        </is>
      </c>
      <c r="I34" s="6" t="inlineStr">
        <is>
          <t>2022-2</t>
        </is>
      </c>
      <c r="J34" s="5" t="n">
        <v>100</v>
      </c>
      <c r="K34" s="5" t="n">
        <v>100</v>
      </c>
      <c r="L34" s="14">
        <f>IFERROR(IF(OR(J34=0,K34=""),"",IF(E34="Positivo",MIN(MAX(K34/J34,0),1.3),MIN(MAX(J34/K34,0),1.3))),"") </f>
        <v/>
      </c>
      <c r="M34" s="14">
        <f>IFERROR(IF(OR(J34=0,K34=""),"",IF(E34="Positivo",MAX(K34/J34,0),MAX(J34/K34,0))),"") </f>
        <v/>
      </c>
      <c r="N34" s="5" t="inlineStr">
        <is>
          <t>%</t>
        </is>
      </c>
      <c r="O34" s="5" t="inlineStr">
        <is>
          <t>%</t>
        </is>
      </c>
      <c r="P34" s="5" t="n">
        <v>0</v>
      </c>
      <c r="Q34" s="5" t="n">
        <v>0</v>
      </c>
      <c r="R34" s="5" t="inlineStr">
        <is>
          <t>86-2022-12-31</t>
        </is>
      </c>
    </row>
    <row r="35">
      <c r="A35" s="5" t="n">
        <v>86</v>
      </c>
      <c r="B35" s="5" t="inlineStr">
        <is>
          <t>Reporte e investigación</t>
        </is>
      </c>
      <c r="C35" s="5" t="inlineStr">
        <is>
          <t>GESTIÓN DE SEGURIDAD Y SALUD EN EL TRABAJO</t>
        </is>
      </c>
      <c r="D35" s="5" t="inlineStr">
        <is>
          <t>Semestral</t>
        </is>
      </c>
      <c r="E35" s="5" t="inlineStr">
        <is>
          <t>Positivo</t>
        </is>
      </c>
      <c r="F35" s="107" t="n">
        <v>45291</v>
      </c>
      <c r="G35" s="5" t="n">
        <v>2023</v>
      </c>
      <c r="H35" s="5" t="inlineStr">
        <is>
          <t>Diciembre</t>
        </is>
      </c>
      <c r="I35" s="6" t="inlineStr">
        <is>
          <t>2023-2</t>
        </is>
      </c>
      <c r="J35" s="5" t="n">
        <v>100</v>
      </c>
      <c r="K35" s="5" t="n">
        <v>100</v>
      </c>
      <c r="L35" s="14">
        <f>IFERROR(IF(OR(J35=0,K35=""),"",IF(E35="Positivo",MIN(MAX(K35/J35,0),1.3),MIN(MAX(J35/K35,0),1.3))),"") </f>
        <v/>
      </c>
      <c r="M35" s="14">
        <f>IFERROR(IF(OR(J35=0,K35=""),"",IF(E35="Positivo",MAX(K35/J35,0),MAX(J35/K35,0))),"") </f>
        <v/>
      </c>
      <c r="N35" s="5" t="inlineStr">
        <is>
          <t>%</t>
        </is>
      </c>
      <c r="O35" s="5" t="inlineStr">
        <is>
          <t>%</t>
        </is>
      </c>
      <c r="P35" s="5" t="n">
        <v>0</v>
      </c>
      <c r="Q35" s="5" t="n">
        <v>0</v>
      </c>
      <c r="R35" s="5" t="inlineStr">
        <is>
          <t>86-2023-12-31</t>
        </is>
      </c>
    </row>
    <row r="36">
      <c r="A36" s="5" t="n">
        <v>86</v>
      </c>
      <c r="B36" s="5" t="inlineStr">
        <is>
          <t>Reporte e investigación</t>
        </is>
      </c>
      <c r="C36" s="5" t="inlineStr">
        <is>
          <t>GESTIÓN DE SEGURIDAD Y SALUD EN EL TRABAJO</t>
        </is>
      </c>
      <c r="D36" s="5" t="inlineStr">
        <is>
          <t>Semestral</t>
        </is>
      </c>
      <c r="E36" s="5" t="inlineStr">
        <is>
          <t>Positivo</t>
        </is>
      </c>
      <c r="F36" s="107" t="n">
        <v>45657</v>
      </c>
      <c r="G36" s="5" t="n">
        <v>2024</v>
      </c>
      <c r="H36" s="5" t="inlineStr">
        <is>
          <t>Diciembre</t>
        </is>
      </c>
      <c r="I36" s="6" t="inlineStr">
        <is>
          <t>2024-2</t>
        </is>
      </c>
      <c r="J36" s="5" t="n">
        <v>100</v>
      </c>
      <c r="K36" s="5" t="n">
        <v>100</v>
      </c>
      <c r="L36" s="14">
        <f>IFERROR(IF(OR(J36=0,K36=""),"",IF(E36="Positivo",MIN(MAX(K36/J36,0),1.3),MIN(MAX(J36/K36,0),1.3))),"") </f>
        <v/>
      </c>
      <c r="M36" s="14">
        <f>IFERROR(IF(OR(J36=0,K36=""),"",IF(E36="Positivo",MAX(K36/J36,0),MAX(J36/K36,0))),"") </f>
        <v/>
      </c>
      <c r="N36" s="5" t="inlineStr">
        <is>
          <t>%</t>
        </is>
      </c>
      <c r="O36" s="5" t="inlineStr">
        <is>
          <t>%</t>
        </is>
      </c>
      <c r="P36" s="5" t="n">
        <v>0</v>
      </c>
      <c r="Q36" s="5" t="n">
        <v>0</v>
      </c>
      <c r="R36" s="5" t="inlineStr">
        <is>
          <t>86-2024-12-31</t>
        </is>
      </c>
    </row>
    <row r="37">
      <c r="A37" s="5" t="n">
        <v>86</v>
      </c>
      <c r="B37" s="5" t="inlineStr">
        <is>
          <t>Reporte e investigación</t>
        </is>
      </c>
      <c r="C37" s="5" t="inlineStr">
        <is>
          <t>GESTIÓN DE SEGURIDAD Y SALUD EN EL TRABAJO</t>
        </is>
      </c>
      <c r="D37" s="5" t="inlineStr">
        <is>
          <t>Trimestral</t>
        </is>
      </c>
      <c r="E37" s="5" t="inlineStr">
        <is>
          <t>Positivo</t>
        </is>
      </c>
      <c r="F37" s="107" t="n">
        <v>46022</v>
      </c>
      <c r="G37" s="5" t="n">
        <v>2025</v>
      </c>
      <c r="H37" s="5" t="inlineStr">
        <is>
          <t>Diciembre</t>
        </is>
      </c>
      <c r="I37" s="6" t="inlineStr">
        <is>
          <t>2025-2</t>
        </is>
      </c>
      <c r="J37" s="5" t="n">
        <v>100</v>
      </c>
      <c r="K37" s="5" t="n">
        <v>100</v>
      </c>
      <c r="L37" s="14">
        <f>IFERROR(IF(OR(J37=0,K37=""),"",IF(E37="Positivo",MIN(MAX(K37/J37,0),1.3),MIN(MAX(J37/K37,0),1.3))),"") </f>
        <v/>
      </c>
      <c r="M37" s="14">
        <f>IFERROR(IF(OR(J37=0,K37=""),"",IF(E37="Positivo",MAX(K37/J37,0),MAX(J37/K37,0))),"") </f>
        <v/>
      </c>
      <c r="N37" s="5" t="inlineStr">
        <is>
          <t>%</t>
        </is>
      </c>
      <c r="O37" s="5" t="inlineStr">
        <is>
          <t>%</t>
        </is>
      </c>
      <c r="P37" s="5" t="n">
        <v>0</v>
      </c>
      <c r="Q37" s="5" t="n">
        <v>0</v>
      </c>
      <c r="R37" s="5" t="inlineStr">
        <is>
          <t>86-2025-12-31</t>
        </is>
      </c>
    </row>
    <row r="38">
      <c r="A38" s="5" t="n">
        <v>87</v>
      </c>
      <c r="B38" s="5" t="inlineStr">
        <is>
          <t>Autoevaluación</t>
        </is>
      </c>
      <c r="C38" s="5" t="inlineStr">
        <is>
          <t>GESTIÓN DE SEGURIDAD Y SALUD EN EL TRABAJO</t>
        </is>
      </c>
      <c r="D38" s="5" t="inlineStr">
        <is>
          <t>Anual</t>
        </is>
      </c>
      <c r="E38" s="5" t="inlineStr">
        <is>
          <t>Positivo</t>
        </is>
      </c>
      <c r="F38" s="107" t="n">
        <v>44926</v>
      </c>
      <c r="G38" s="5" t="n">
        <v>2022</v>
      </c>
      <c r="H38" s="5" t="inlineStr">
        <is>
          <t>Diciembre</t>
        </is>
      </c>
      <c r="I38" s="6" t="inlineStr">
        <is>
          <t>2022-2</t>
        </is>
      </c>
      <c r="J38" s="5" t="n">
        <v>80</v>
      </c>
      <c r="K38" s="5" t="n">
        <v>99</v>
      </c>
      <c r="L38" s="14">
        <f>IFERROR(IF(OR(J38=0,K38=""),"",IF(E38="Positivo",MIN(MAX(K38/J38,0),1.3),MIN(MAX(J38/K38,0),1.3))),"") </f>
        <v/>
      </c>
      <c r="M38" s="14">
        <f>IFERROR(IF(OR(J38=0,K38=""),"",IF(E38="Positivo",MAX(K38/J38,0),MAX(J38/K38,0))),"") </f>
        <v/>
      </c>
      <c r="N38" s="5" t="inlineStr">
        <is>
          <t>%</t>
        </is>
      </c>
      <c r="O38" s="5" t="inlineStr">
        <is>
          <t>%</t>
        </is>
      </c>
      <c r="P38" s="5" t="n">
        <v>0</v>
      </c>
      <c r="Q38" s="5" t="n">
        <v>0</v>
      </c>
      <c r="R38" s="5" t="inlineStr">
        <is>
          <t>87-2022-12-31</t>
        </is>
      </c>
    </row>
    <row r="39">
      <c r="A39" s="5" t="n">
        <v>87</v>
      </c>
      <c r="B39" s="5" t="inlineStr">
        <is>
          <t>Autoevaluación</t>
        </is>
      </c>
      <c r="C39" s="5" t="inlineStr">
        <is>
          <t>GESTIÓN DE SEGURIDAD Y SALUD EN EL TRABAJO</t>
        </is>
      </c>
      <c r="D39" s="5" t="inlineStr">
        <is>
          <t>Anual</t>
        </is>
      </c>
      <c r="E39" s="5" t="inlineStr">
        <is>
          <t>Positivo</t>
        </is>
      </c>
      <c r="F39" s="107" t="n">
        <v>45291</v>
      </c>
      <c r="G39" s="5" t="n">
        <v>2023</v>
      </c>
      <c r="H39" s="5" t="inlineStr">
        <is>
          <t>Diciembre</t>
        </is>
      </c>
      <c r="I39" s="6" t="inlineStr">
        <is>
          <t>2023-2</t>
        </is>
      </c>
      <c r="J39" s="5" t="n">
        <v>90</v>
      </c>
      <c r="K39" s="5" t="n">
        <v>100</v>
      </c>
      <c r="L39" s="14">
        <f>IFERROR(IF(OR(J39=0,K39=""),"",IF(E39="Positivo",MIN(MAX(K39/J39,0),1.3),MIN(MAX(J39/K39,0),1.3))),"") </f>
        <v/>
      </c>
      <c r="M39" s="14">
        <f>IFERROR(IF(OR(J39=0,K39=""),"",IF(E39="Positivo",MAX(K39/J39,0),MAX(J39/K39,0))),"") </f>
        <v/>
      </c>
      <c r="N39" s="5" t="inlineStr">
        <is>
          <t>%</t>
        </is>
      </c>
      <c r="O39" s="5" t="inlineStr">
        <is>
          <t>%</t>
        </is>
      </c>
      <c r="P39" s="5" t="n">
        <v>0</v>
      </c>
      <c r="Q39" s="5" t="n">
        <v>0</v>
      </c>
      <c r="R39" s="5" t="inlineStr">
        <is>
          <t>87-2023-12-31</t>
        </is>
      </c>
    </row>
    <row r="40">
      <c r="A40" s="5" t="n">
        <v>87</v>
      </c>
      <c r="B40" s="5" t="inlineStr">
        <is>
          <t>Autoevaluación</t>
        </is>
      </c>
      <c r="C40" s="5" t="inlineStr">
        <is>
          <t>GESTIÓN DE SEGURIDAD Y SALUD EN EL TRABAJO</t>
        </is>
      </c>
      <c r="D40" s="5" t="inlineStr">
        <is>
          <t>Anual</t>
        </is>
      </c>
      <c r="E40" s="5" t="inlineStr">
        <is>
          <t>Positivo</t>
        </is>
      </c>
      <c r="F40" s="107" t="n">
        <v>45657</v>
      </c>
      <c r="G40" s="5" t="n">
        <v>2024</v>
      </c>
      <c r="H40" s="5" t="inlineStr">
        <is>
          <t>Diciembre</t>
        </is>
      </c>
      <c r="I40" s="6" t="inlineStr">
        <is>
          <t>2024-2</t>
        </is>
      </c>
      <c r="J40" s="5" t="n">
        <v>90</v>
      </c>
      <c r="K40" s="5" t="n">
        <v>100</v>
      </c>
      <c r="L40" s="14">
        <f>IFERROR(IF(OR(J40=0,K40=""),"",IF(E40="Positivo",MIN(MAX(K40/J40,0),1.3),MIN(MAX(J40/K40,0),1.3))),"") </f>
        <v/>
      </c>
      <c r="M40" s="14">
        <f>IFERROR(IF(OR(J40=0,K40=""),"",IF(E40="Positivo",MAX(K40/J40,0),MAX(J40/K40,0))),"") </f>
        <v/>
      </c>
      <c r="N40" s="5" t="inlineStr">
        <is>
          <t>%</t>
        </is>
      </c>
      <c r="O40" s="5" t="inlineStr">
        <is>
          <t>%</t>
        </is>
      </c>
      <c r="P40" s="5" t="n">
        <v>0</v>
      </c>
      <c r="Q40" s="5" t="n">
        <v>0</v>
      </c>
      <c r="R40" s="5" t="inlineStr">
        <is>
          <t>87-2024-12-31</t>
        </is>
      </c>
    </row>
    <row r="41">
      <c r="A41" s="5" t="n">
        <v>87</v>
      </c>
      <c r="B41" s="5" t="inlineStr">
        <is>
          <t>Autoevaluación</t>
        </is>
      </c>
      <c r="C41" s="5" t="inlineStr">
        <is>
          <t>GESTIÓN DE SEGURIDAD Y SALUD EN EL TRABAJO</t>
        </is>
      </c>
      <c r="D41" s="5" t="inlineStr">
        <is>
          <t>Anual</t>
        </is>
      </c>
      <c r="E41" s="5" t="inlineStr">
        <is>
          <t>Positivo</t>
        </is>
      </c>
      <c r="F41" s="107" t="n">
        <v>46022</v>
      </c>
      <c r="G41" s="5" t="n">
        <v>2025</v>
      </c>
      <c r="H41" s="5" t="inlineStr">
        <is>
          <t>Diciembre</t>
        </is>
      </c>
      <c r="I41" s="6" t="inlineStr">
        <is>
          <t>2025-2</t>
        </is>
      </c>
      <c r="J41" s="5" t="n">
        <v>80</v>
      </c>
      <c r="K41" s="5" t="n">
        <v>100</v>
      </c>
      <c r="L41" s="14">
        <f>IFERROR(IF(OR(J41=0,K41=""),"",IF(E41="Positivo",MIN(MAX(K41/J41,0),1.3),MIN(MAX(J41/K41,0),1.3))),"") </f>
        <v/>
      </c>
      <c r="M41" s="14">
        <f>IFERROR(IF(OR(J41=0,K41=""),"",IF(E41="Positivo",MAX(K41/J41,0),MAX(J41/K41,0))),"") </f>
        <v/>
      </c>
      <c r="N41" s="5" t="inlineStr">
        <is>
          <t>%</t>
        </is>
      </c>
      <c r="O41" s="5" t="inlineStr">
        <is>
          <t>%</t>
        </is>
      </c>
      <c r="P41" s="5" t="n">
        <v>0</v>
      </c>
      <c r="Q41" s="5" t="n">
        <v>0</v>
      </c>
      <c r="R41" s="5" t="inlineStr">
        <is>
          <t>87-2025-12-31</t>
        </is>
      </c>
    </row>
    <row r="42">
      <c r="A42" s="5" t="n">
        <v>88</v>
      </c>
      <c r="B42" s="5" t="inlineStr">
        <is>
          <t>Ejecución del plan de trabajo</t>
        </is>
      </c>
      <c r="C42" s="5" t="inlineStr">
        <is>
          <t>GESTIÓN DE SEGURIDAD Y SALUD EN EL TRABAJO</t>
        </is>
      </c>
      <c r="D42" s="5" t="inlineStr">
        <is>
          <t>Anual</t>
        </is>
      </c>
      <c r="E42" s="5" t="inlineStr">
        <is>
          <t>Positivo</t>
        </is>
      </c>
      <c r="F42" s="107" t="n">
        <v>44926</v>
      </c>
      <c r="G42" s="5" t="n">
        <v>2022</v>
      </c>
      <c r="H42" s="5" t="inlineStr">
        <is>
          <t>Diciembre</t>
        </is>
      </c>
      <c r="I42" s="6" t="inlineStr">
        <is>
          <t>2022-2</t>
        </is>
      </c>
      <c r="J42" s="5" t="n">
        <v>100</v>
      </c>
      <c r="K42" s="5" t="n">
        <v>99.344262295082</v>
      </c>
      <c r="L42" s="14">
        <f>IFERROR(IF(OR(J42=0,K42=""),"",IF(E42="Positivo",MIN(MAX(K42/J42,0),1.3),MIN(MAX(J42/K42,0),1.3))),"") </f>
        <v/>
      </c>
      <c r="M42" s="14">
        <f>IFERROR(IF(OR(J42=0,K42=""),"",IF(E42="Positivo",MAX(K42/J42,0),MAX(J42/K42,0))),"") </f>
        <v/>
      </c>
      <c r="N42" s="5" t="inlineStr">
        <is>
          <t>%</t>
        </is>
      </c>
      <c r="O42" s="5" t="inlineStr">
        <is>
          <t>%</t>
        </is>
      </c>
      <c r="P42" s="5" t="n">
        <v>0</v>
      </c>
      <c r="Q42" s="5" t="n">
        <v>0</v>
      </c>
      <c r="R42" s="5" t="inlineStr">
        <is>
          <t>88-2022-12-31</t>
        </is>
      </c>
    </row>
    <row r="43">
      <c r="A43" s="5" t="n">
        <v>88</v>
      </c>
      <c r="B43" s="5" t="inlineStr">
        <is>
          <t>Ejecución del plan de trabajo</t>
        </is>
      </c>
      <c r="C43" s="5" t="inlineStr">
        <is>
          <t>GESTIÓN DE SEGURIDAD Y SALUD EN EL TRABAJO</t>
        </is>
      </c>
      <c r="D43" s="5" t="inlineStr">
        <is>
          <t>Anual</t>
        </is>
      </c>
      <c r="E43" s="5" t="inlineStr">
        <is>
          <t>Positivo</t>
        </is>
      </c>
      <c r="F43" s="107" t="n">
        <v>45291</v>
      </c>
      <c r="G43" s="5" t="n">
        <v>2023</v>
      </c>
      <c r="H43" s="5" t="inlineStr">
        <is>
          <t>Diciembre</t>
        </is>
      </c>
      <c r="I43" s="6" t="inlineStr">
        <is>
          <t>2023-2</t>
        </is>
      </c>
      <c r="J43" s="5" t="n">
        <v>100</v>
      </c>
      <c r="K43" s="5" t="n">
        <v>100</v>
      </c>
      <c r="L43" s="14">
        <f>IFERROR(IF(OR(J43=0,K43=""),"",IF(E43="Positivo",MIN(MAX(K43/J43,0),1.3),MIN(MAX(J43/K43,0),1.3))),"") </f>
        <v/>
      </c>
      <c r="M43" s="14">
        <f>IFERROR(IF(OR(J43=0,K43=""),"",IF(E43="Positivo",MAX(K43/J43,0),MAX(J43/K43,0))),"") </f>
        <v/>
      </c>
      <c r="N43" s="5" t="inlineStr">
        <is>
          <t>%</t>
        </is>
      </c>
      <c r="O43" s="5" t="inlineStr">
        <is>
          <t>%</t>
        </is>
      </c>
      <c r="P43" s="5" t="n">
        <v>0</v>
      </c>
      <c r="Q43" s="5" t="n">
        <v>0</v>
      </c>
      <c r="R43" s="5" t="inlineStr">
        <is>
          <t>88-2023-12-31</t>
        </is>
      </c>
    </row>
    <row r="44">
      <c r="A44" s="5" t="n">
        <v>88</v>
      </c>
      <c r="B44" s="5" t="inlineStr">
        <is>
          <t>Ejecución del plan de trabajo</t>
        </is>
      </c>
      <c r="C44" s="5" t="inlineStr">
        <is>
          <t>GESTIÓN DE SEGURIDAD Y SALUD EN EL TRABAJO</t>
        </is>
      </c>
      <c r="D44" s="5" t="inlineStr">
        <is>
          <t>Anual</t>
        </is>
      </c>
      <c r="E44" s="5" t="inlineStr">
        <is>
          <t>Positivo</t>
        </is>
      </c>
      <c r="F44" s="107" t="n">
        <v>45657</v>
      </c>
      <c r="G44" s="5" t="n">
        <v>2024</v>
      </c>
      <c r="H44" s="5" t="inlineStr">
        <is>
          <t>Diciembre</t>
        </is>
      </c>
      <c r="I44" s="6" t="inlineStr">
        <is>
          <t>2024-2</t>
        </is>
      </c>
      <c r="J44" s="5" t="n">
        <v>100</v>
      </c>
      <c r="K44" s="5" t="n">
        <v>100</v>
      </c>
      <c r="L44" s="14">
        <f>IFERROR(IF(OR(J44=0,K44=""),"",IF(E44="Positivo",MIN(MAX(K44/J44,0),1.3),MIN(MAX(J44/K44,0),1.3))),"") </f>
        <v/>
      </c>
      <c r="M44" s="14">
        <f>IFERROR(IF(OR(J44=0,K44=""),"",IF(E44="Positivo",MAX(K44/J44,0),MAX(J44/K44,0))),"") </f>
        <v/>
      </c>
      <c r="N44" s="5" t="inlineStr">
        <is>
          <t>%</t>
        </is>
      </c>
      <c r="O44" s="5" t="inlineStr">
        <is>
          <t>%</t>
        </is>
      </c>
      <c r="P44" s="5" t="n">
        <v>0</v>
      </c>
      <c r="Q44" s="5" t="n">
        <v>0</v>
      </c>
      <c r="R44" s="5" t="inlineStr">
        <is>
          <t>88-2024-12-31</t>
        </is>
      </c>
    </row>
    <row r="45">
      <c r="A45" s="5" t="n">
        <v>88</v>
      </c>
      <c r="B45" s="5" t="inlineStr">
        <is>
          <t>Ejecución del plan de trabajo</t>
        </is>
      </c>
      <c r="C45" s="5" t="inlineStr">
        <is>
          <t>GESTIÓN DE SEGURIDAD Y SALUD EN EL TRABAJO</t>
        </is>
      </c>
      <c r="D45" s="5" t="inlineStr">
        <is>
          <t>Anual</t>
        </is>
      </c>
      <c r="E45" s="5" t="inlineStr">
        <is>
          <t>Positivo</t>
        </is>
      </c>
      <c r="F45" s="107" t="n">
        <v>46022</v>
      </c>
      <c r="G45" s="5" t="n">
        <v>2025</v>
      </c>
      <c r="H45" s="5" t="inlineStr">
        <is>
          <t>Diciembre</t>
        </is>
      </c>
      <c r="I45" s="6" t="inlineStr">
        <is>
          <t>2025-2</t>
        </is>
      </c>
      <c r="J45" s="5" t="n">
        <v>100</v>
      </c>
      <c r="K45" s="5" t="n">
        <v>100</v>
      </c>
      <c r="L45" s="14">
        <f>IFERROR(IF(OR(J45=0,K45=""),"",IF(E45="Positivo",MIN(MAX(K45/J45,0),1.3),MIN(MAX(J45/K45,0),1.3))),"") </f>
        <v/>
      </c>
      <c r="M45" s="14">
        <f>IFERROR(IF(OR(J45=0,K45=""),"",IF(E45="Positivo",MAX(K45/J45,0),MAX(J45/K45,0))),"") </f>
        <v/>
      </c>
      <c r="N45" s="5" t="inlineStr">
        <is>
          <t>%</t>
        </is>
      </c>
      <c r="O45" s="5" t="inlineStr">
        <is>
          <t>%</t>
        </is>
      </c>
      <c r="P45" s="5" t="n">
        <v>0</v>
      </c>
      <c r="Q45" s="5" t="n">
        <v>0</v>
      </c>
      <c r="R45" s="5" t="inlineStr">
        <is>
          <t>88-2025-12-31</t>
        </is>
      </c>
    </row>
    <row r="46">
      <c r="A46" s="5" t="n">
        <v>89</v>
      </c>
      <c r="B46" s="5" t="inlineStr">
        <is>
          <t>Ejecución plan de capacitación</t>
        </is>
      </c>
      <c r="C46" s="5" t="inlineStr">
        <is>
          <t>GESTIÓN DE SEGURIDAD Y SALUD EN EL TRABAJO</t>
        </is>
      </c>
      <c r="D46" s="5" t="inlineStr">
        <is>
          <t>Anual</t>
        </is>
      </c>
      <c r="E46" s="5" t="inlineStr">
        <is>
          <t>Positivo</t>
        </is>
      </c>
      <c r="F46" s="107" t="n">
        <v>44926</v>
      </c>
      <c r="G46" s="5" t="n">
        <v>2022</v>
      </c>
      <c r="H46" s="5" t="inlineStr">
        <is>
          <t>Diciembre</t>
        </is>
      </c>
      <c r="I46" s="6" t="inlineStr">
        <is>
          <t>2022-2</t>
        </is>
      </c>
      <c r="J46" s="5" t="n">
        <v>100</v>
      </c>
      <c r="K46" s="5" t="n">
        <v>100</v>
      </c>
      <c r="L46" s="14">
        <f>IFERROR(IF(OR(J46=0,K46=""),"",IF(E46="Positivo",MIN(MAX(K46/J46,0),1.3),MIN(MAX(J46/K46,0),1.3))),"") </f>
        <v/>
      </c>
      <c r="M46" s="14">
        <f>IFERROR(IF(OR(J46=0,K46=""),"",IF(E46="Positivo",MAX(K46/J46,0),MAX(J46/K46,0))),"") </f>
        <v/>
      </c>
      <c r="N46" s="5" t="inlineStr">
        <is>
          <t>%</t>
        </is>
      </c>
      <c r="O46" s="5" t="inlineStr">
        <is>
          <t>%</t>
        </is>
      </c>
      <c r="P46" s="5" t="n">
        <v>0</v>
      </c>
      <c r="Q46" s="5" t="n">
        <v>0</v>
      </c>
      <c r="R46" s="5" t="inlineStr">
        <is>
          <t>89-2022-12-31</t>
        </is>
      </c>
    </row>
    <row r="47">
      <c r="A47" s="5" t="n">
        <v>89</v>
      </c>
      <c r="B47" s="5" t="inlineStr">
        <is>
          <t>Ejecución plan de capacitación</t>
        </is>
      </c>
      <c r="C47" s="5" t="inlineStr">
        <is>
          <t>GESTIÓN DE SEGURIDAD Y SALUD EN EL TRABAJO</t>
        </is>
      </c>
      <c r="D47" s="5" t="inlineStr">
        <is>
          <t>Anual</t>
        </is>
      </c>
      <c r="E47" s="5" t="inlineStr">
        <is>
          <t>Positivo</t>
        </is>
      </c>
      <c r="F47" s="107" t="n">
        <v>45291</v>
      </c>
      <c r="G47" s="5" t="n">
        <v>2023</v>
      </c>
      <c r="H47" s="5" t="inlineStr">
        <is>
          <t>Diciembre</t>
        </is>
      </c>
      <c r="I47" s="6" t="inlineStr">
        <is>
          <t>2023-2</t>
        </is>
      </c>
      <c r="J47" s="5" t="n">
        <v>100</v>
      </c>
      <c r="K47" s="5" t="n">
        <v>100</v>
      </c>
      <c r="L47" s="14">
        <f>IFERROR(IF(OR(J47=0,K47=""),"",IF(E47="Positivo",MIN(MAX(K47/J47,0),1.3),MIN(MAX(J47/K47,0),1.3))),"") </f>
        <v/>
      </c>
      <c r="M47" s="14">
        <f>IFERROR(IF(OR(J47=0,K47=""),"",IF(E47="Positivo",MAX(K47/J47,0),MAX(J47/K47,0))),"") </f>
        <v/>
      </c>
      <c r="N47" s="5" t="inlineStr">
        <is>
          <t>%</t>
        </is>
      </c>
      <c r="O47" s="5" t="inlineStr">
        <is>
          <t>%</t>
        </is>
      </c>
      <c r="P47" s="5" t="n">
        <v>0</v>
      </c>
      <c r="Q47" s="5" t="n">
        <v>0</v>
      </c>
      <c r="R47" s="5" t="inlineStr">
        <is>
          <t>89-2023-12-31</t>
        </is>
      </c>
    </row>
    <row r="48">
      <c r="A48" s="5" t="n">
        <v>89</v>
      </c>
      <c r="B48" s="5" t="inlineStr">
        <is>
          <t>Ejecución plan de capacitación</t>
        </is>
      </c>
      <c r="C48" s="5" t="inlineStr">
        <is>
          <t>GESTIÓN DE SEGURIDAD Y SALUD EN EL TRABAJO</t>
        </is>
      </c>
      <c r="D48" s="5" t="inlineStr">
        <is>
          <t>Anual</t>
        </is>
      </c>
      <c r="E48" s="5" t="inlineStr">
        <is>
          <t>Positivo</t>
        </is>
      </c>
      <c r="F48" s="107" t="n">
        <v>45657</v>
      </c>
      <c r="G48" s="5" t="n">
        <v>2024</v>
      </c>
      <c r="H48" s="5" t="inlineStr">
        <is>
          <t>Diciembre</t>
        </is>
      </c>
      <c r="I48" s="6" t="inlineStr">
        <is>
          <t>2024-2</t>
        </is>
      </c>
      <c r="J48" s="5" t="n">
        <v>100</v>
      </c>
      <c r="K48" s="5" t="n">
        <v>100</v>
      </c>
      <c r="L48" s="14">
        <f>IFERROR(IF(OR(J48=0,K48=""),"",IF(E48="Positivo",MIN(MAX(K48/J48,0),1.3),MIN(MAX(J48/K48,0),1.3))),"") </f>
        <v/>
      </c>
      <c r="M48" s="14">
        <f>IFERROR(IF(OR(J48=0,K48=""),"",IF(E48="Positivo",MAX(K48/J48,0),MAX(J48/K48,0))),"") </f>
        <v/>
      </c>
      <c r="N48" s="5" t="inlineStr">
        <is>
          <t>%</t>
        </is>
      </c>
      <c r="O48" s="5" t="inlineStr">
        <is>
          <t>%</t>
        </is>
      </c>
      <c r="P48" s="5" t="n">
        <v>0</v>
      </c>
      <c r="Q48" s="5" t="n">
        <v>0</v>
      </c>
      <c r="R48" s="5" t="inlineStr">
        <is>
          <t>89-2024-12-31</t>
        </is>
      </c>
    </row>
    <row r="49">
      <c r="A49" s="5" t="n">
        <v>89</v>
      </c>
      <c r="B49" s="5" t="inlineStr">
        <is>
          <t>Ejecución plan de capacitación</t>
        </is>
      </c>
      <c r="C49" s="5" t="inlineStr">
        <is>
          <t>GESTIÓN DE SEGURIDAD Y SALUD EN EL TRABAJO</t>
        </is>
      </c>
      <c r="D49" s="5" t="inlineStr">
        <is>
          <t>Anual</t>
        </is>
      </c>
      <c r="E49" s="5" t="inlineStr">
        <is>
          <t>Positivo</t>
        </is>
      </c>
      <c r="F49" s="107" t="n">
        <v>46022</v>
      </c>
      <c r="G49" s="5" t="n">
        <v>2025</v>
      </c>
      <c r="H49" s="5" t="inlineStr">
        <is>
          <t>Diciembre</t>
        </is>
      </c>
      <c r="I49" s="6" t="inlineStr">
        <is>
          <t>2025-2</t>
        </is>
      </c>
      <c r="J49" s="73" t="n">
        <v>100</v>
      </c>
      <c r="K49" s="9" t="n">
        <v>100</v>
      </c>
      <c r="L49" s="14">
        <f>IFERROR(IF(OR(J49=0,K49=""),"",IF(E49="Positivo",MIN(MAX(K49/J49,0),1.3),MIN(MAX(J49/K49,0),1.3))),"") </f>
        <v/>
      </c>
      <c r="M49" s="14">
        <f>IFERROR(IF(OR(J49=0,K49=""),"",IF(E49="Positivo",MAX(K49/J49,0),MAX(J49/K49,0))),"") </f>
        <v/>
      </c>
      <c r="N49" s="5" t="inlineStr">
        <is>
          <t>%</t>
        </is>
      </c>
      <c r="O49" s="5" t="inlineStr">
        <is>
          <t>%</t>
        </is>
      </c>
      <c r="P49" s="5" t="n">
        <v>0</v>
      </c>
      <c r="Q49" s="5" t="n">
        <v>0</v>
      </c>
      <c r="R49" s="5" t="inlineStr">
        <is>
          <t>89-2025-12-31</t>
        </is>
      </c>
    </row>
    <row r="50">
      <c r="A50" s="5" t="n">
        <v>90</v>
      </c>
      <c r="B50" s="5" t="inlineStr">
        <is>
          <t>Ejecución de Simulacros</t>
        </is>
      </c>
      <c r="C50" s="5" t="inlineStr">
        <is>
          <t>GESTIÓN DE SEGURIDAD Y SALUD EN EL TRABAJO</t>
        </is>
      </c>
      <c r="D50" s="5" t="inlineStr">
        <is>
          <t>Anual</t>
        </is>
      </c>
      <c r="E50" s="5" t="inlineStr">
        <is>
          <t>Positivo</t>
        </is>
      </c>
      <c r="F50" s="107" t="n">
        <v>44926</v>
      </c>
      <c r="G50" s="15" t="n">
        <v>2022</v>
      </c>
      <c r="H50" s="6" t="inlineStr">
        <is>
          <t>Diciembre</t>
        </is>
      </c>
      <c r="I50" s="6" t="inlineStr">
        <is>
          <t>2022-2</t>
        </is>
      </c>
      <c r="J50" s="5" t="n">
        <v>100</v>
      </c>
      <c r="K50" s="5" t="n">
        <v>100</v>
      </c>
      <c r="L50" s="14">
        <f>IFERROR(IF(OR(J50=0,K50=""),"",IF(E50="Positivo",MIN(MAX(K50/J50,0),1.3),MIN(MAX(J50/K50,0),1.3))),"") </f>
        <v/>
      </c>
      <c r="M50" s="14">
        <f>IFERROR(IF(OR(J50=0,K50=""),"",IF(E50="Positivo",MAX(K50/J50,0),MAX(J50/K50,0))),"") </f>
        <v/>
      </c>
      <c r="N50" s="5" t="inlineStr">
        <is>
          <t>%</t>
        </is>
      </c>
      <c r="O50" s="5" t="inlineStr">
        <is>
          <t>%</t>
        </is>
      </c>
      <c r="P50" s="5" t="n">
        <v>0</v>
      </c>
      <c r="Q50" s="5" t="n">
        <v>0</v>
      </c>
      <c r="R50" s="5" t="inlineStr">
        <is>
          <t>90-2022-12-31</t>
        </is>
      </c>
    </row>
    <row r="51">
      <c r="A51" s="5" t="n">
        <v>90</v>
      </c>
      <c r="B51" s="5" t="inlineStr">
        <is>
          <t>Ejecución de Simulacros</t>
        </is>
      </c>
      <c r="C51" s="5" t="inlineStr">
        <is>
          <t>GESTIÓN DE SEGURIDAD Y SALUD EN EL TRABAJO</t>
        </is>
      </c>
      <c r="D51" s="5" t="inlineStr">
        <is>
          <t>Anual</t>
        </is>
      </c>
      <c r="E51" s="5" t="inlineStr">
        <is>
          <t>Positivo</t>
        </is>
      </c>
      <c r="F51" s="107" t="n">
        <v>45291</v>
      </c>
      <c r="G51" s="5" t="n">
        <v>2023</v>
      </c>
      <c r="H51" s="5" t="inlineStr">
        <is>
          <t>Diciembre</t>
        </is>
      </c>
      <c r="I51" s="6" t="inlineStr">
        <is>
          <t>2023-2</t>
        </is>
      </c>
      <c r="J51" s="5" t="n">
        <v>100</v>
      </c>
      <c r="K51" s="5" t="n">
        <v>100</v>
      </c>
      <c r="L51" s="14">
        <f>IFERROR(IF(OR(J51=0,K51=""),"",IF(E51="Positivo",MIN(MAX(K51/J51,0),1.3),MIN(MAX(J51/K51,0),1.3))),"") </f>
        <v/>
      </c>
      <c r="M51" s="14">
        <f>IFERROR(IF(OR(J51=0,K51=""),"",IF(E51="Positivo",MAX(K51/J51,0),MAX(J51/K51,0))),"") </f>
        <v/>
      </c>
      <c r="N51" s="5" t="inlineStr">
        <is>
          <t>%</t>
        </is>
      </c>
      <c r="O51" s="5" t="inlineStr">
        <is>
          <t>%</t>
        </is>
      </c>
      <c r="P51" s="5" t="n">
        <v>0</v>
      </c>
      <c r="Q51" s="5" t="n">
        <v>0</v>
      </c>
      <c r="R51" s="5" t="inlineStr">
        <is>
          <t>90-2023-12-31</t>
        </is>
      </c>
    </row>
    <row r="52">
      <c r="A52" s="5" t="n">
        <v>90</v>
      </c>
      <c r="B52" s="5" t="inlineStr">
        <is>
          <t>Ejecución de Simulacros</t>
        </is>
      </c>
      <c r="C52" s="5" t="inlineStr">
        <is>
          <t>GESTIÓN DE SEGURIDAD Y SALUD EN EL TRABAJO</t>
        </is>
      </c>
      <c r="D52" s="5" t="inlineStr">
        <is>
          <t>Anual</t>
        </is>
      </c>
      <c r="E52" s="5" t="inlineStr">
        <is>
          <t>Positivo</t>
        </is>
      </c>
      <c r="F52" s="107" t="n">
        <v>45657</v>
      </c>
      <c r="G52" s="5" t="n">
        <v>2024</v>
      </c>
      <c r="H52" s="5" t="inlineStr">
        <is>
          <t>Diciembre</t>
        </is>
      </c>
      <c r="I52" s="6" t="inlineStr">
        <is>
          <t>2024-2</t>
        </is>
      </c>
      <c r="J52" s="5" t="n">
        <v>100</v>
      </c>
      <c r="K52" s="10" t="n">
        <v>100</v>
      </c>
      <c r="L52" s="14">
        <f>IFERROR(IF(OR(J52=0,K52=""),"",IF(E52="Positivo",MIN(MAX(K52/J52,0),1.3),MIN(MAX(J52/K52,0),1.3))),"") </f>
        <v/>
      </c>
      <c r="M52" s="14">
        <f>IFERROR(IF(OR(J52=0,K52=""),"",IF(E52="Positivo",MAX(K52/J52,0),MAX(J52/K52,0))),"") </f>
        <v/>
      </c>
      <c r="N52" s="5" t="inlineStr">
        <is>
          <t>%</t>
        </is>
      </c>
      <c r="O52" s="5" t="inlineStr">
        <is>
          <t>%</t>
        </is>
      </c>
      <c r="P52" s="5" t="n">
        <v>0</v>
      </c>
      <c r="Q52" s="5" t="n">
        <v>0</v>
      </c>
      <c r="R52" s="5" t="inlineStr">
        <is>
          <t>90-2024-12-31</t>
        </is>
      </c>
    </row>
    <row r="53">
      <c r="A53" s="5" t="n">
        <v>90</v>
      </c>
      <c r="B53" s="5" t="inlineStr">
        <is>
          <t>Ejecución de Simulacros</t>
        </is>
      </c>
      <c r="C53" s="5" t="inlineStr">
        <is>
          <t>GESTIÓN DE SEGURIDAD Y SALUD EN EL TRABAJO</t>
        </is>
      </c>
      <c r="D53" s="5" t="inlineStr">
        <is>
          <t>Anual</t>
        </is>
      </c>
      <c r="E53" s="5" t="inlineStr">
        <is>
          <t>Positivo</t>
        </is>
      </c>
      <c r="F53" s="107" t="n">
        <v>46022</v>
      </c>
      <c r="G53" s="5" t="n">
        <v>2025</v>
      </c>
      <c r="H53" s="5" t="inlineStr">
        <is>
          <t>Diciembre</t>
        </is>
      </c>
      <c r="I53" s="6" t="inlineStr">
        <is>
          <t>2025-2</t>
        </is>
      </c>
      <c r="J53" s="5" t="n">
        <v>100</v>
      </c>
      <c r="K53" s="5" t="n">
        <v>100</v>
      </c>
      <c r="L53" s="14">
        <f>IFERROR(IF(OR(J53=0,K53=""),"",IF(E53="Positivo",MIN(MAX(K53/J53,0),1.3),MIN(MAX(J53/K53,0),1.3))),"") </f>
        <v/>
      </c>
      <c r="M53" s="14">
        <f>IFERROR(IF(OR(J53=0,K53=""),"",IF(E53="Positivo",MAX(K53/J53,0),MAX(J53/K53,0))),"") </f>
        <v/>
      </c>
      <c r="N53" s="5" t="inlineStr">
        <is>
          <t>%</t>
        </is>
      </c>
      <c r="O53" s="5" t="inlineStr">
        <is>
          <t>%</t>
        </is>
      </c>
      <c r="P53" s="5" t="n">
        <v>0</v>
      </c>
      <c r="Q53" s="5" t="n">
        <v>0</v>
      </c>
      <c r="R53" s="5" t="inlineStr">
        <is>
          <t>90-2025-12-31</t>
        </is>
      </c>
    </row>
    <row r="54">
      <c r="A54" s="5" t="n">
        <v>91</v>
      </c>
      <c r="B54" s="5" t="inlineStr">
        <is>
          <t>Participación en capacitaciones SST</t>
        </is>
      </c>
      <c r="C54" s="5" t="inlineStr">
        <is>
          <t>GESTIÓN DE SEGURIDAD Y SALUD EN EL TRABAJO</t>
        </is>
      </c>
      <c r="D54" s="5" t="inlineStr">
        <is>
          <t>Anual</t>
        </is>
      </c>
      <c r="E54" s="5" t="inlineStr">
        <is>
          <t>Positivo</t>
        </is>
      </c>
      <c r="F54" s="107" t="n">
        <v>44926</v>
      </c>
      <c r="G54" s="5" t="n">
        <v>2022</v>
      </c>
      <c r="H54" s="5" t="inlineStr">
        <is>
          <t>Diciembre</t>
        </is>
      </c>
      <c r="I54" s="6" t="inlineStr">
        <is>
          <t>2022-2</t>
        </is>
      </c>
      <c r="J54" s="5" t="n">
        <v>100</v>
      </c>
      <c r="K54" s="5" t="n">
        <v>100</v>
      </c>
      <c r="L54" s="14">
        <f>IFERROR(IF(OR(J54=0,K54=""),"",IF(E54="Positivo",MIN(MAX(K54/J54,0),1.3),MIN(MAX(J54/K54,0),1.3))),"") </f>
        <v/>
      </c>
      <c r="M54" s="14">
        <f>IFERROR(IF(OR(J54=0,K54=""),"",IF(E54="Positivo",MAX(K54/J54,0),MAX(J54/K54,0))),"") </f>
        <v/>
      </c>
      <c r="N54" s="5" t="inlineStr">
        <is>
          <t>%</t>
        </is>
      </c>
      <c r="O54" s="5" t="inlineStr">
        <is>
          <t>%</t>
        </is>
      </c>
      <c r="P54" s="5" t="n">
        <v>0</v>
      </c>
      <c r="Q54" s="5" t="n">
        <v>0</v>
      </c>
      <c r="R54" s="5" t="inlineStr">
        <is>
          <t>91-2022-12-31</t>
        </is>
      </c>
    </row>
    <row r="55">
      <c r="A55" s="5" t="n">
        <v>91</v>
      </c>
      <c r="B55" s="5" t="inlineStr">
        <is>
          <t>Participación en capacitaciones SST</t>
        </is>
      </c>
      <c r="C55" s="5" t="inlineStr">
        <is>
          <t>GESTIÓN DE SEGURIDAD Y SALUD EN EL TRABAJO</t>
        </is>
      </c>
      <c r="D55" s="5" t="inlineStr">
        <is>
          <t>Anual</t>
        </is>
      </c>
      <c r="E55" s="5" t="inlineStr">
        <is>
          <t>Positivo</t>
        </is>
      </c>
      <c r="F55" s="107" t="n">
        <v>45291</v>
      </c>
      <c r="G55" s="5" t="n">
        <v>2023</v>
      </c>
      <c r="H55" s="5" t="inlineStr">
        <is>
          <t>Diciembre</t>
        </is>
      </c>
      <c r="I55" s="6" t="inlineStr">
        <is>
          <t>2023-2</t>
        </is>
      </c>
      <c r="J55" s="73" t="n">
        <v>100</v>
      </c>
      <c r="K55" s="9" t="n">
        <v>100</v>
      </c>
      <c r="L55" s="14">
        <f>IFERROR(IF(OR(J55=0,K55=""),"",IF(E55="Positivo",MIN(MAX(K55/J55,0),1.3),MIN(MAX(J55/K55,0),1.3))),"") </f>
        <v/>
      </c>
      <c r="M55" s="14">
        <f>IFERROR(IF(OR(J55=0,K55=""),"",IF(E55="Positivo",MAX(K55/J55,0),MAX(J55/K55,0))),"") </f>
        <v/>
      </c>
      <c r="N55" s="5" t="inlineStr">
        <is>
          <t>%</t>
        </is>
      </c>
      <c r="O55" s="5" t="inlineStr">
        <is>
          <t>%</t>
        </is>
      </c>
      <c r="P55" s="5" t="n">
        <v>0</v>
      </c>
      <c r="Q55" s="5" t="n">
        <v>0</v>
      </c>
      <c r="R55" s="5" t="inlineStr">
        <is>
          <t>91-2023-12-31</t>
        </is>
      </c>
    </row>
    <row r="56">
      <c r="A56" s="5" t="n">
        <v>91</v>
      </c>
      <c r="B56" s="5" t="inlineStr">
        <is>
          <t>Participación en capacitaciones SST</t>
        </is>
      </c>
      <c r="C56" s="5" t="inlineStr">
        <is>
          <t>GESTIÓN DE SEGURIDAD Y SALUD EN EL TRABAJO</t>
        </is>
      </c>
      <c r="D56" s="5" t="inlineStr">
        <is>
          <t>Anual</t>
        </is>
      </c>
      <c r="E56" s="5" t="inlineStr">
        <is>
          <t>Positivo</t>
        </is>
      </c>
      <c r="F56" s="107" t="n">
        <v>45657</v>
      </c>
      <c r="G56" s="5" t="n">
        <v>2024</v>
      </c>
      <c r="H56" s="5" t="inlineStr">
        <is>
          <t>Diciembre</t>
        </is>
      </c>
      <c r="I56" s="6" t="inlineStr">
        <is>
          <t>2024-2</t>
        </is>
      </c>
      <c r="J56" s="5" t="n">
        <v>100</v>
      </c>
      <c r="K56" s="5" t="n">
        <v>100</v>
      </c>
      <c r="L56" s="14">
        <f>IFERROR(IF(OR(J56=0,K56=""),"",IF(E56="Positivo",MIN(MAX(K56/J56,0),1.3),MIN(MAX(J56/K56,0),1.3))),"") </f>
        <v/>
      </c>
      <c r="M56" s="14">
        <f>IFERROR(IF(OR(J56=0,K56=""),"",IF(E56="Positivo",MAX(K56/J56,0),MAX(J56/K56,0))),"") </f>
        <v/>
      </c>
      <c r="N56" s="5" t="inlineStr">
        <is>
          <t>%</t>
        </is>
      </c>
      <c r="O56" s="5" t="inlineStr">
        <is>
          <t>%</t>
        </is>
      </c>
      <c r="P56" s="5" t="n">
        <v>0</v>
      </c>
      <c r="Q56" s="5" t="n">
        <v>0</v>
      </c>
      <c r="R56" s="5" t="inlineStr">
        <is>
          <t>91-2024-12-31</t>
        </is>
      </c>
    </row>
    <row r="57">
      <c r="A57" s="5" t="n">
        <v>91</v>
      </c>
      <c r="B57" s="5" t="inlineStr">
        <is>
          <t>Participación en capacitaciones SST</t>
        </is>
      </c>
      <c r="C57" s="5" t="inlineStr">
        <is>
          <t>GESTIÓN DE SEGURIDAD Y SALUD EN EL TRABAJO</t>
        </is>
      </c>
      <c r="D57" s="5" t="inlineStr">
        <is>
          <t>Anual</t>
        </is>
      </c>
      <c r="E57" s="5" t="inlineStr">
        <is>
          <t>Positivo</t>
        </is>
      </c>
      <c r="F57" s="107" t="n">
        <v>46022</v>
      </c>
      <c r="G57" s="5" t="n">
        <v>2025</v>
      </c>
      <c r="H57" s="5" t="inlineStr">
        <is>
          <t>Diciembre</t>
        </is>
      </c>
      <c r="I57" s="6" t="inlineStr">
        <is>
          <t>2025-2</t>
        </is>
      </c>
      <c r="J57" s="5" t="n">
        <v>100</v>
      </c>
      <c r="K57" s="5" t="n">
        <v>100</v>
      </c>
      <c r="L57" s="14">
        <f>IFERROR(IF(OR(J57=0,K57=""),"",IF(E57="Positivo",MIN(MAX(K57/J57,0),1.3),MIN(MAX(J57/K57,0),1.3))),"") </f>
        <v/>
      </c>
      <c r="M57" s="14">
        <f>IFERROR(IF(OR(J57=0,K57=""),"",IF(E57="Positivo",MAX(K57/J57,0),MAX(J57/K57,0))),"") </f>
        <v/>
      </c>
      <c r="N57" s="5" t="inlineStr">
        <is>
          <t>%</t>
        </is>
      </c>
      <c r="O57" s="5" t="inlineStr">
        <is>
          <t>%</t>
        </is>
      </c>
      <c r="P57" s="5" t="n">
        <v>0</v>
      </c>
      <c r="Q57" s="5" t="n">
        <v>0</v>
      </c>
      <c r="R57" s="5" t="inlineStr">
        <is>
          <t>91-2025-12-31</t>
        </is>
      </c>
    </row>
    <row r="58">
      <c r="A58" s="5" t="n">
        <v>92</v>
      </c>
      <c r="B58" s="5" t="inlineStr">
        <is>
          <t>Evaluación condiciones de salud (examen médico)</t>
        </is>
      </c>
      <c r="C58" s="5" t="inlineStr">
        <is>
          <t>GESTIÓN DE SEGURIDAD Y SALUD EN EL TRABAJO</t>
        </is>
      </c>
      <c r="D58" s="5" t="inlineStr">
        <is>
          <t>Anual</t>
        </is>
      </c>
      <c r="E58" s="5" t="inlineStr">
        <is>
          <t>Positivo</t>
        </is>
      </c>
      <c r="F58" s="107" t="n">
        <v>44926</v>
      </c>
      <c r="G58" s="5" t="n">
        <v>2022</v>
      </c>
      <c r="H58" s="5" t="inlineStr">
        <is>
          <t>Diciembre</t>
        </is>
      </c>
      <c r="I58" s="6" t="inlineStr">
        <is>
          <t>2022-2</t>
        </is>
      </c>
      <c r="J58" s="5" t="n">
        <v>100</v>
      </c>
      <c r="K58" s="5" t="n">
        <v>100</v>
      </c>
      <c r="L58" s="14">
        <f>IFERROR(IF(OR(J58=0,K58=""),"",IF(E58="Positivo",MIN(MAX(K58/J58,0),1.3),MIN(MAX(J58/K58,0),1.3))),"") </f>
        <v/>
      </c>
      <c r="M58" s="14">
        <f>IFERROR(IF(OR(J58=0,K58=""),"",IF(E58="Positivo",MAX(K58/J58,0),MAX(J58/K58,0))),"") </f>
        <v/>
      </c>
      <c r="N58" s="5" t="inlineStr">
        <is>
          <t>%</t>
        </is>
      </c>
      <c r="O58" s="5" t="inlineStr">
        <is>
          <t>%</t>
        </is>
      </c>
      <c r="P58" s="5" t="n">
        <v>0</v>
      </c>
      <c r="Q58" s="5" t="n">
        <v>0</v>
      </c>
      <c r="R58" s="5" t="inlineStr">
        <is>
          <t>92-2022-12-31</t>
        </is>
      </c>
    </row>
    <row r="59">
      <c r="A59" s="5" t="n">
        <v>92</v>
      </c>
      <c r="B59" s="5" t="inlineStr">
        <is>
          <t>Evaluación condiciones de salud (examen médico)</t>
        </is>
      </c>
      <c r="C59" s="5" t="inlineStr">
        <is>
          <t>GESTIÓN DE SEGURIDAD Y SALUD EN EL TRABAJO</t>
        </is>
      </c>
      <c r="D59" s="5" t="inlineStr">
        <is>
          <t>Anual</t>
        </is>
      </c>
      <c r="E59" s="5" t="inlineStr">
        <is>
          <t>Positivo</t>
        </is>
      </c>
      <c r="F59" s="107" t="n">
        <v>45291</v>
      </c>
      <c r="G59" s="5" t="n">
        <v>2023</v>
      </c>
      <c r="H59" s="5" t="inlineStr">
        <is>
          <t>Diciembre</t>
        </is>
      </c>
      <c r="I59" s="6" t="inlineStr">
        <is>
          <t>2023-2</t>
        </is>
      </c>
      <c r="J59" s="5" t="n">
        <v>100</v>
      </c>
      <c r="K59" s="5" t="n">
        <v>100</v>
      </c>
      <c r="L59" s="14">
        <f>IFERROR(IF(OR(J59=0,K59=""),"",IF(E59="Positivo",MIN(MAX(K59/J59,0),1.3),MIN(MAX(J59/K59,0),1.3))),"") </f>
        <v/>
      </c>
      <c r="M59" s="14">
        <f>IFERROR(IF(OR(J59=0,K59=""),"",IF(E59="Positivo",MAX(K59/J59,0),MAX(J59/K59,0))),"") </f>
        <v/>
      </c>
      <c r="N59" s="5" t="inlineStr">
        <is>
          <t>%</t>
        </is>
      </c>
      <c r="O59" s="5" t="inlineStr">
        <is>
          <t>%</t>
        </is>
      </c>
      <c r="P59" s="5" t="n">
        <v>0</v>
      </c>
      <c r="Q59" s="5" t="n">
        <v>0</v>
      </c>
      <c r="R59" s="5" t="inlineStr">
        <is>
          <t>92-2023-12-31</t>
        </is>
      </c>
    </row>
    <row r="60">
      <c r="A60" s="5" t="n">
        <v>92</v>
      </c>
      <c r="B60" s="5" t="inlineStr">
        <is>
          <t>Evaluación condiciones de salud (examen médico)</t>
        </is>
      </c>
      <c r="C60" s="5" t="inlineStr">
        <is>
          <t>GESTIÓN DE SEGURIDAD Y SALUD EN EL TRABAJO</t>
        </is>
      </c>
      <c r="D60" s="5" t="inlineStr">
        <is>
          <t>Anual</t>
        </is>
      </c>
      <c r="E60" s="5" t="inlineStr">
        <is>
          <t>Positivo</t>
        </is>
      </c>
      <c r="F60" s="107" t="n">
        <v>45657</v>
      </c>
      <c r="G60" s="5" t="n">
        <v>2024</v>
      </c>
      <c r="H60" s="5" t="inlineStr">
        <is>
          <t>Diciembre</t>
        </is>
      </c>
      <c r="I60" s="6" t="inlineStr">
        <is>
          <t>2024-2</t>
        </is>
      </c>
      <c r="J60" s="5" t="n">
        <v>98</v>
      </c>
      <c r="K60" s="15" t="n">
        <v>100</v>
      </c>
      <c r="L60" s="14">
        <f>IFERROR(IF(OR(J60=0,K60=""),"",IF(E60="Positivo",MIN(MAX(K60/J60,0),1.3),MIN(MAX(J60/K60,0),1.3))),"") </f>
        <v/>
      </c>
      <c r="M60" s="14">
        <f>IFERROR(IF(OR(J60=0,K60=""),"",IF(E60="Positivo",MAX(K60/J60,0),MAX(J60/K60,0))),"") </f>
        <v/>
      </c>
      <c r="N60" s="5" t="inlineStr">
        <is>
          <t>%</t>
        </is>
      </c>
      <c r="O60" s="5" t="inlineStr">
        <is>
          <t>%</t>
        </is>
      </c>
      <c r="P60" s="5" t="n">
        <v>0</v>
      </c>
      <c r="Q60" s="5" t="n">
        <v>0</v>
      </c>
      <c r="R60" s="5" t="inlineStr">
        <is>
          <t>92-2024-12-31</t>
        </is>
      </c>
    </row>
    <row r="61">
      <c r="A61" s="5" t="n">
        <v>92</v>
      </c>
      <c r="B61" s="5" t="inlineStr">
        <is>
          <t>Evaluación condiciones de salud (examen médico)</t>
        </is>
      </c>
      <c r="C61" s="5" t="inlineStr">
        <is>
          <t>GESTIÓN DE SEGURIDAD Y SALUD EN EL TRABAJO</t>
        </is>
      </c>
      <c r="D61" s="5" t="inlineStr">
        <is>
          <t>Anual</t>
        </is>
      </c>
      <c r="E61" s="5" t="inlineStr">
        <is>
          <t>Positivo</t>
        </is>
      </c>
      <c r="F61" s="107" t="n">
        <v>46022</v>
      </c>
      <c r="G61" s="5" t="n">
        <v>2025</v>
      </c>
      <c r="H61" s="5" t="inlineStr">
        <is>
          <t>Diciembre</t>
        </is>
      </c>
      <c r="I61" s="6" t="inlineStr">
        <is>
          <t>2025-2</t>
        </is>
      </c>
      <c r="J61" s="5" t="n">
        <v>98</v>
      </c>
      <c r="K61" s="5" t="n">
        <v>100</v>
      </c>
      <c r="L61" s="14">
        <f>IFERROR(IF(OR(J61=0,K61=""),"",IF(E61="Positivo",MIN(MAX(K61/J61,0),1.3),MIN(MAX(J61/K61,0),1.3))),"") </f>
        <v/>
      </c>
      <c r="M61" s="14">
        <f>IFERROR(IF(OR(J61=0,K61=""),"",IF(E61="Positivo",MAX(K61/J61,0),MAX(J61/K61,0))),"") </f>
        <v/>
      </c>
      <c r="N61" s="5" t="inlineStr">
        <is>
          <t>%</t>
        </is>
      </c>
      <c r="O61" s="5" t="inlineStr">
        <is>
          <t>%</t>
        </is>
      </c>
      <c r="P61" s="5" t="n">
        <v>0</v>
      </c>
      <c r="Q61" s="5" t="n">
        <v>0</v>
      </c>
      <c r="R61" s="5" t="inlineStr">
        <is>
          <t>92-2025-12-31</t>
        </is>
      </c>
    </row>
    <row r="62">
      <c r="A62" s="5" t="n">
        <v>94</v>
      </c>
      <c r="B62" s="5" t="inlineStr">
        <is>
          <t>Cobertura Elementos de Protección Personal</t>
        </is>
      </c>
      <c r="C62" s="5" t="inlineStr">
        <is>
          <t>GESTIÓN DE SEGURIDAD Y SALUD EN EL TRABAJO</t>
        </is>
      </c>
      <c r="D62" s="5" t="inlineStr">
        <is>
          <t>Anual</t>
        </is>
      </c>
      <c r="E62" s="5" t="inlineStr">
        <is>
          <t>Positivo</t>
        </is>
      </c>
      <c r="F62" s="107" t="n">
        <v>44926</v>
      </c>
      <c r="G62" s="5" t="n">
        <v>2022</v>
      </c>
      <c r="H62" s="5" t="inlineStr">
        <is>
          <t>Diciembre</t>
        </is>
      </c>
      <c r="I62" s="6" t="inlineStr">
        <is>
          <t>2022-2</t>
        </is>
      </c>
      <c r="J62" s="5" t="n">
        <v>100</v>
      </c>
      <c r="K62" s="5" t="n">
        <v>100</v>
      </c>
      <c r="L62" s="14">
        <f>IFERROR(IF(OR(J62=0,K62=""),"",IF(E62="Positivo",MIN(MAX(K62/J62,0),1.3),MIN(MAX(J62/K62,0),1.3))),"") </f>
        <v/>
      </c>
      <c r="M62" s="14">
        <f>IFERROR(IF(OR(J62=0,K62=""),"",IF(E62="Positivo",MAX(K62/J62,0),MAX(J62/K62,0))),"") </f>
        <v/>
      </c>
      <c r="N62" s="5" t="inlineStr">
        <is>
          <t>%</t>
        </is>
      </c>
      <c r="O62" s="5" t="inlineStr">
        <is>
          <t>%</t>
        </is>
      </c>
      <c r="P62" s="5" t="n">
        <v>0</v>
      </c>
      <c r="Q62" s="5" t="n">
        <v>0</v>
      </c>
      <c r="R62" s="5" t="inlineStr">
        <is>
          <t>94-2022-12-31</t>
        </is>
      </c>
    </row>
    <row r="63">
      <c r="A63" s="5" t="n">
        <v>94</v>
      </c>
      <c r="B63" s="5" t="inlineStr">
        <is>
          <t>Cobertura Elementos de Protección Personal</t>
        </is>
      </c>
      <c r="C63" s="5" t="inlineStr">
        <is>
          <t>GESTIÓN DE SEGURIDAD Y SALUD EN EL TRABAJO</t>
        </is>
      </c>
      <c r="D63" s="5" t="inlineStr">
        <is>
          <t>Anual</t>
        </is>
      </c>
      <c r="E63" s="5" t="inlineStr">
        <is>
          <t>Positivo</t>
        </is>
      </c>
      <c r="F63" s="107" t="n">
        <v>45291</v>
      </c>
      <c r="G63" s="5" t="n">
        <v>2023</v>
      </c>
      <c r="H63" s="5" t="inlineStr">
        <is>
          <t>Diciembre</t>
        </is>
      </c>
      <c r="I63" s="6" t="inlineStr">
        <is>
          <t>2023-2</t>
        </is>
      </c>
      <c r="J63" s="5" t="n">
        <v>100</v>
      </c>
      <c r="K63" s="5" t="n">
        <v>100</v>
      </c>
      <c r="L63" s="14">
        <f>IFERROR(IF(OR(J63=0,K63=""),"",IF(E63="Positivo",MIN(MAX(K63/J63,0),1.3),MIN(MAX(J63/K63,0),1.3))),"") </f>
        <v/>
      </c>
      <c r="M63" s="14">
        <f>IFERROR(IF(OR(J63=0,K63=""),"",IF(E63="Positivo",MAX(K63/J63,0),MAX(J63/K63,0))),"") </f>
        <v/>
      </c>
      <c r="N63" s="5" t="inlineStr">
        <is>
          <t>%</t>
        </is>
      </c>
      <c r="O63" s="5" t="inlineStr">
        <is>
          <t>%</t>
        </is>
      </c>
      <c r="P63" s="5" t="n">
        <v>0</v>
      </c>
      <c r="Q63" s="5" t="n">
        <v>0</v>
      </c>
      <c r="R63" s="5" t="inlineStr">
        <is>
          <t>94-2023-12-31</t>
        </is>
      </c>
    </row>
    <row r="64">
      <c r="A64" s="5" t="n">
        <v>94</v>
      </c>
      <c r="B64" s="5" t="inlineStr">
        <is>
          <t>Cobertura Elementos de Protección Personal</t>
        </is>
      </c>
      <c r="C64" s="5" t="inlineStr">
        <is>
          <t>GESTIÓN DE SEGURIDAD Y SALUD EN EL TRABAJO</t>
        </is>
      </c>
      <c r="D64" s="5" t="inlineStr">
        <is>
          <t>Anual</t>
        </is>
      </c>
      <c r="E64" s="5" t="inlineStr">
        <is>
          <t>Positivo</t>
        </is>
      </c>
      <c r="F64" s="107" t="n">
        <v>45657</v>
      </c>
      <c r="G64" s="5" t="n">
        <v>2024</v>
      </c>
      <c r="H64" s="5" t="inlineStr">
        <is>
          <t>Diciembre</t>
        </is>
      </c>
      <c r="I64" s="6" t="inlineStr">
        <is>
          <t>2024-2</t>
        </is>
      </c>
      <c r="J64" s="5" t="n">
        <v>100</v>
      </c>
      <c r="K64" s="5" t="n">
        <v>100</v>
      </c>
      <c r="L64" s="14">
        <f>IFERROR(IF(OR(J64=0,K64=""),"",IF(E64="Positivo",MIN(MAX(K64/J64,0),1.3),MIN(MAX(J64/K64,0),1.3))),"") </f>
        <v/>
      </c>
      <c r="M64" s="14">
        <f>IFERROR(IF(OR(J64=0,K64=""),"",IF(E64="Positivo",MAX(K64/J64,0),MAX(J64/K64,0))),"") </f>
        <v/>
      </c>
      <c r="N64" s="5" t="inlineStr">
        <is>
          <t>%</t>
        </is>
      </c>
      <c r="O64" s="5" t="inlineStr">
        <is>
          <t>%</t>
        </is>
      </c>
      <c r="P64" s="5" t="n">
        <v>0</v>
      </c>
      <c r="Q64" s="5" t="n">
        <v>0</v>
      </c>
      <c r="R64" s="5" t="inlineStr">
        <is>
          <t>94-2024-12-31</t>
        </is>
      </c>
    </row>
    <row r="65">
      <c r="A65" s="5" t="n">
        <v>94</v>
      </c>
      <c r="B65" s="5" t="inlineStr">
        <is>
          <t>Cobertura Elementos de Protección Personal</t>
        </is>
      </c>
      <c r="C65" s="5" t="inlineStr">
        <is>
          <t>GESTIÓN DE SEGURIDAD Y SALUD EN EL TRABAJO</t>
        </is>
      </c>
      <c r="D65" s="5" t="inlineStr">
        <is>
          <t>Anual</t>
        </is>
      </c>
      <c r="E65" s="5" t="inlineStr">
        <is>
          <t>Positivo</t>
        </is>
      </c>
      <c r="F65" s="107" t="n">
        <v>46022</v>
      </c>
      <c r="G65" s="5" t="n">
        <v>2025</v>
      </c>
      <c r="H65" s="5" t="inlineStr">
        <is>
          <t>Diciembre</t>
        </is>
      </c>
      <c r="I65" s="6" t="inlineStr">
        <is>
          <t>2025-2</t>
        </is>
      </c>
      <c r="J65" s="94" t="n">
        <v>100</v>
      </c>
      <c r="K65" s="94" t="n">
        <v>100</v>
      </c>
      <c r="L65" s="14">
        <f>IFERROR(IF(OR(J65=0,K65=""),"",IF(E65="Positivo",MIN(MAX(K65/J65,0),1.3),MIN(MAX(J65/K65,0),1.3))),"") </f>
        <v/>
      </c>
      <c r="M65" s="14">
        <f>IFERROR(IF(OR(J65=0,K65=""),"",IF(E65="Positivo",MAX(K65/J65,0),MAX(J65/K65,0))),"") </f>
        <v/>
      </c>
      <c r="N65" s="5" t="inlineStr">
        <is>
          <t>%</t>
        </is>
      </c>
      <c r="O65" s="5" t="inlineStr">
        <is>
          <t>%</t>
        </is>
      </c>
      <c r="P65" s="5" t="n">
        <v>0</v>
      </c>
      <c r="Q65" s="5" t="n">
        <v>0</v>
      </c>
      <c r="R65" s="5" t="inlineStr">
        <is>
          <t>94-2025-12-31</t>
        </is>
      </c>
    </row>
    <row r="66">
      <c r="A66" s="5" t="n">
        <v>95</v>
      </c>
      <c r="B66" s="5" t="inlineStr">
        <is>
          <t>Inspecciones de seguridad</t>
        </is>
      </c>
      <c r="C66" s="5" t="inlineStr">
        <is>
          <t>GESTIÓN DE SEGURIDAD Y SALUD EN EL TRABAJO</t>
        </is>
      </c>
      <c r="D66" s="5" t="inlineStr">
        <is>
          <t>Trimestral</t>
        </is>
      </c>
      <c r="E66" s="5" t="inlineStr">
        <is>
          <t>Positivo</t>
        </is>
      </c>
      <c r="F66" s="107" t="n">
        <v>44926</v>
      </c>
      <c r="G66" s="5" t="n">
        <v>2022</v>
      </c>
      <c r="H66" s="5" t="inlineStr">
        <is>
          <t>Diciembre</t>
        </is>
      </c>
      <c r="I66" s="6" t="inlineStr">
        <is>
          <t>2022-2</t>
        </is>
      </c>
      <c r="J66" s="5" t="n">
        <v>100</v>
      </c>
      <c r="K66" s="5" t="n">
        <v>100</v>
      </c>
      <c r="L66" s="14">
        <f>IFERROR(IF(OR(J66=0,K66=""),"",IF(E66="Positivo",MIN(MAX(K66/J66,0),1.3),MIN(MAX(J66/K66,0),1.3))),"") </f>
        <v/>
      </c>
      <c r="M66" s="14">
        <f>IFERROR(IF(OR(J66=0,K66=""),"",IF(E66="Positivo",MAX(K66/J66,0),MAX(J66/K66,0))),"") </f>
        <v/>
      </c>
      <c r="N66" s="5" t="inlineStr">
        <is>
          <t>%</t>
        </is>
      </c>
      <c r="O66" s="5" t="inlineStr">
        <is>
          <t>%</t>
        </is>
      </c>
      <c r="P66" s="5" t="n">
        <v>0</v>
      </c>
      <c r="Q66" s="5" t="n">
        <v>0</v>
      </c>
      <c r="R66" s="5" t="inlineStr">
        <is>
          <t>95-2022-12-31</t>
        </is>
      </c>
    </row>
    <row r="67">
      <c r="A67" s="5" t="n">
        <v>95</v>
      </c>
      <c r="B67" s="5" t="inlineStr">
        <is>
          <t>Inspecciones de seguridad</t>
        </is>
      </c>
      <c r="C67" s="5" t="inlineStr">
        <is>
          <t>GESTIÓN DE SEGURIDAD Y SALUD EN EL TRABAJO</t>
        </is>
      </c>
      <c r="D67" s="5" t="inlineStr">
        <is>
          <t>Semestral</t>
        </is>
      </c>
      <c r="E67" s="5" t="inlineStr">
        <is>
          <t>Positivo</t>
        </is>
      </c>
      <c r="F67" s="107" t="n">
        <v>45291</v>
      </c>
      <c r="G67" s="5" t="n">
        <v>2023</v>
      </c>
      <c r="H67" s="5" t="inlineStr">
        <is>
          <t>Diciembre</t>
        </is>
      </c>
      <c r="I67" s="6" t="inlineStr">
        <is>
          <t>2023-2</t>
        </is>
      </c>
      <c r="J67" s="5" t="n">
        <v>100</v>
      </c>
      <c r="K67" s="5" t="n">
        <v>100</v>
      </c>
      <c r="L67" s="14">
        <f>IFERROR(IF(OR(J67=0,K67=""),"",IF(E67="Positivo",MIN(MAX(K67/J67,0),1.3),MIN(MAX(J67/K67,0),1.3))),"") </f>
        <v/>
      </c>
      <c r="M67" s="14">
        <f>IFERROR(IF(OR(J67=0,K67=""),"",IF(E67="Positivo",MAX(K67/J67,0),MAX(J67/K67,0))),"") </f>
        <v/>
      </c>
      <c r="N67" s="5" t="inlineStr">
        <is>
          <t>%</t>
        </is>
      </c>
      <c r="O67" s="5" t="inlineStr">
        <is>
          <t>%</t>
        </is>
      </c>
      <c r="P67" s="5" t="n">
        <v>0</v>
      </c>
      <c r="Q67" s="5" t="n">
        <v>0</v>
      </c>
      <c r="R67" s="5" t="inlineStr">
        <is>
          <t>95-2023-12-31</t>
        </is>
      </c>
    </row>
    <row r="68">
      <c r="A68" s="5" t="n">
        <v>95</v>
      </c>
      <c r="B68" s="5" t="inlineStr">
        <is>
          <t>Inspecciones de seguridad</t>
        </is>
      </c>
      <c r="C68" s="5" t="inlineStr">
        <is>
          <t>GESTIÓN DE SEGURIDAD Y SALUD EN EL TRABAJO</t>
        </is>
      </c>
      <c r="D68" s="5" t="inlineStr">
        <is>
          <t>Semestral</t>
        </is>
      </c>
      <c r="E68" s="5" t="inlineStr">
        <is>
          <t>Positivo</t>
        </is>
      </c>
      <c r="F68" s="107" t="n">
        <v>45657</v>
      </c>
      <c r="G68" s="5" t="n">
        <v>2024</v>
      </c>
      <c r="H68" s="5" t="inlineStr">
        <is>
          <t>Diciembre</t>
        </is>
      </c>
      <c r="I68" s="6" t="inlineStr">
        <is>
          <t>2024-2</t>
        </is>
      </c>
      <c r="J68" s="5" t="n">
        <v>100</v>
      </c>
      <c r="K68" s="5" t="n">
        <v>100</v>
      </c>
      <c r="L68" s="14">
        <f>IFERROR(IF(OR(J68=0,K68=""),"",IF(E68="Positivo",MIN(MAX(K68/J68,0),1.3),MIN(MAX(J68/K68,0),1.3))),"") </f>
        <v/>
      </c>
      <c r="M68" s="14">
        <f>IFERROR(IF(OR(J68=0,K68=""),"",IF(E68="Positivo",MAX(K68/J68,0),MAX(J68/K68,0))),"") </f>
        <v/>
      </c>
      <c r="N68" s="5" t="inlineStr">
        <is>
          <t>%</t>
        </is>
      </c>
      <c r="O68" s="5" t="inlineStr">
        <is>
          <t>%</t>
        </is>
      </c>
      <c r="P68" s="5" t="n">
        <v>0</v>
      </c>
      <c r="Q68" s="5" t="n">
        <v>0</v>
      </c>
      <c r="R68" s="5" t="inlineStr">
        <is>
          <t>95-2024-12-31</t>
        </is>
      </c>
    </row>
    <row r="69">
      <c r="A69" s="5" t="n">
        <v>95</v>
      </c>
      <c r="B69" s="5" t="inlineStr">
        <is>
          <t>Inspecciones de seguridad</t>
        </is>
      </c>
      <c r="C69" s="5" t="inlineStr">
        <is>
          <t>GESTIÓN DE SEGURIDAD Y SALUD EN EL TRABAJO</t>
        </is>
      </c>
      <c r="D69" s="5" t="inlineStr">
        <is>
          <t>Trimestral</t>
        </is>
      </c>
      <c r="E69" s="5" t="inlineStr">
        <is>
          <t>Positivo</t>
        </is>
      </c>
      <c r="F69" s="107" t="n">
        <v>46022</v>
      </c>
      <c r="G69" s="5" t="n">
        <v>2025</v>
      </c>
      <c r="H69" s="5" t="inlineStr">
        <is>
          <t>Diciembre</t>
        </is>
      </c>
      <c r="I69" s="6" t="inlineStr">
        <is>
          <t>2025-2</t>
        </is>
      </c>
      <c r="J69" s="5" t="n">
        <v>100</v>
      </c>
      <c r="K69" s="5" t="n">
        <v>100</v>
      </c>
      <c r="L69" s="14">
        <f>IFERROR(IF(OR(J69=0,K69=""),"",IF(E69="Positivo",MIN(MAX(K69/J69,0),1.3),MIN(MAX(J69/K69,0),1.3))),"") </f>
        <v/>
      </c>
      <c r="M69" s="14">
        <f>IFERROR(IF(OR(J69=0,K69=""),"",IF(E69="Positivo",MAX(K69/J69,0),MAX(J69/K69,0))),"") </f>
        <v/>
      </c>
      <c r="N69" s="5" t="inlineStr">
        <is>
          <t>%</t>
        </is>
      </c>
      <c r="O69" s="5" t="inlineStr">
        <is>
          <t>%</t>
        </is>
      </c>
      <c r="P69" s="5" t="n">
        <v>0</v>
      </c>
      <c r="Q69" s="5" t="n">
        <v>0</v>
      </c>
      <c r="R69" s="5" t="inlineStr">
        <is>
          <t>95-2025-12-31</t>
        </is>
      </c>
    </row>
    <row r="70">
      <c r="A70" s="5" t="n">
        <v>96</v>
      </c>
      <c r="B70" s="5" t="inlineStr">
        <is>
          <t>Productos de investigación, innovación y creación</t>
        </is>
      </c>
      <c r="C70" s="5" t="inlineStr">
        <is>
          <t>Investigación, desarrollo tecnológico, innovación y creación</t>
        </is>
      </c>
      <c r="D70" s="5" t="inlineStr">
        <is>
          <t>Semestral</t>
        </is>
      </c>
      <c r="E70" s="5" t="inlineStr">
        <is>
          <t>Positivo</t>
        </is>
      </c>
      <c r="F70" s="107" t="n">
        <v>44926</v>
      </c>
      <c r="G70" s="15" t="n">
        <v>2022</v>
      </c>
      <c r="H70" s="6" t="inlineStr">
        <is>
          <t>Diciembre</t>
        </is>
      </c>
      <c r="I70" s="6" t="inlineStr">
        <is>
          <t>2022-2</t>
        </is>
      </c>
      <c r="J70" s="5" t="n">
        <v>509</v>
      </c>
      <c r="K70" s="5" t="n">
        <v>565</v>
      </c>
      <c r="L70" s="14">
        <f>IFERROR(IF(OR(J70=0,K70=""),"",IF(E70="Positivo",MIN(MAX(K70/J70,0),1.3),MIN(MAX(J70/K70,0),1.3))),"") </f>
        <v/>
      </c>
      <c r="M70" s="14">
        <f>IFERROR(IF(OR(J70=0,K70=""),"",IF(E70="Positivo",MAX(K70/J70,0),MAX(J70/K70,0))),"") </f>
        <v/>
      </c>
      <c r="N70" s="5" t="inlineStr">
        <is>
          <t>ENT</t>
        </is>
      </c>
      <c r="O70" s="5" t="inlineStr">
        <is>
          <t>ENT</t>
        </is>
      </c>
      <c r="P70" s="5" t="n">
        <v>0</v>
      </c>
      <c r="Q70" s="5" t="n">
        <v>0</v>
      </c>
      <c r="R70" s="5" t="inlineStr">
        <is>
          <t>96-2022-12-31</t>
        </is>
      </c>
    </row>
    <row r="71">
      <c r="A71" s="5" t="n">
        <v>100</v>
      </c>
      <c r="B71" s="5" t="inlineStr">
        <is>
          <t>Cumplimiento de requisitos legales SST</t>
        </is>
      </c>
      <c r="C71" s="5" t="inlineStr">
        <is>
          <t>GESTIÓN DE SEGURIDAD Y SALUD EN EL TRABAJO</t>
        </is>
      </c>
      <c r="D71" s="5" t="inlineStr">
        <is>
          <t>Anual</t>
        </is>
      </c>
      <c r="E71" s="5" t="inlineStr">
        <is>
          <t>Positivo</t>
        </is>
      </c>
      <c r="F71" s="107" t="n">
        <v>44926</v>
      </c>
      <c r="G71" s="5" t="n">
        <v>2022</v>
      </c>
      <c r="H71" s="5" t="inlineStr">
        <is>
          <t>Diciembre</t>
        </is>
      </c>
      <c r="I71" s="6" t="inlineStr">
        <is>
          <t>2022-2</t>
        </is>
      </c>
      <c r="J71" s="5" t="n">
        <v>100</v>
      </c>
      <c r="K71" s="5" t="n">
        <v>98.3</v>
      </c>
      <c r="L71" s="14">
        <f>IFERROR(IF(OR(J71=0,K71=""),"",IF(E71="Positivo",MIN(MAX(K71/J71,0),1.3),MIN(MAX(J71/K71,0),1.3))),"") </f>
        <v/>
      </c>
      <c r="M71" s="14">
        <f>IFERROR(IF(OR(J71=0,K71=""),"",IF(E71="Positivo",MAX(K71/J71,0),MAX(J71/K71,0))),"") </f>
        <v/>
      </c>
      <c r="N71" s="5" t="inlineStr">
        <is>
          <t>%</t>
        </is>
      </c>
      <c r="O71" s="5" t="inlineStr">
        <is>
          <t>%</t>
        </is>
      </c>
      <c r="P71" s="5" t="n">
        <v>0</v>
      </c>
      <c r="Q71" s="5" t="n">
        <v>0</v>
      </c>
      <c r="R71" s="5" t="inlineStr">
        <is>
          <t>100-2022-12-31</t>
        </is>
      </c>
    </row>
    <row r="72">
      <c r="A72" s="5" t="n">
        <v>100</v>
      </c>
      <c r="B72" s="5" t="inlineStr">
        <is>
          <t>Cumplimiento de requisitos legales SST</t>
        </is>
      </c>
      <c r="C72" s="5" t="inlineStr">
        <is>
          <t>GESTIÓN DE SEGURIDAD Y SALUD EN EL TRABAJO</t>
        </is>
      </c>
      <c r="D72" s="5" t="inlineStr">
        <is>
          <t>Anual</t>
        </is>
      </c>
      <c r="E72" s="5" t="inlineStr">
        <is>
          <t>Positivo</t>
        </is>
      </c>
      <c r="F72" s="107" t="n">
        <v>45291</v>
      </c>
      <c r="G72" s="5" t="n">
        <v>2023</v>
      </c>
      <c r="H72" s="5" t="inlineStr">
        <is>
          <t>Diciembre</t>
        </is>
      </c>
      <c r="I72" s="6" t="inlineStr">
        <is>
          <t>2023-2</t>
        </is>
      </c>
      <c r="J72" s="5" t="n">
        <v>100</v>
      </c>
      <c r="K72" s="5" t="n">
        <v>99</v>
      </c>
      <c r="L72" s="14">
        <f>IFERROR(IF(OR(J72=0,K72=""),"",IF(E72="Positivo",MIN(MAX(K72/J72,0),1.3),MIN(MAX(J72/K72,0),1.3))),"") </f>
        <v/>
      </c>
      <c r="M72" s="14">
        <f>IFERROR(IF(OR(J72=0,K72=""),"",IF(E72="Positivo",MAX(K72/J72,0),MAX(J72/K72,0))),"") </f>
        <v/>
      </c>
      <c r="N72" s="5" t="inlineStr">
        <is>
          <t>%</t>
        </is>
      </c>
      <c r="O72" s="5" t="inlineStr">
        <is>
          <t>%</t>
        </is>
      </c>
      <c r="P72" s="5" t="n">
        <v>0</v>
      </c>
      <c r="Q72" s="5" t="n">
        <v>0</v>
      </c>
      <c r="R72" s="5" t="inlineStr">
        <is>
          <t>100-2023-12-31</t>
        </is>
      </c>
    </row>
    <row r="73">
      <c r="A73" s="5" t="n">
        <v>100</v>
      </c>
      <c r="B73" s="5" t="inlineStr">
        <is>
          <t>Cumplimiento de requisitos legales SST</t>
        </is>
      </c>
      <c r="C73" s="5" t="inlineStr">
        <is>
          <t>GESTIÓN DE SEGURIDAD Y SALUD EN EL TRABAJO</t>
        </is>
      </c>
      <c r="D73" s="5" t="inlineStr">
        <is>
          <t>Anual</t>
        </is>
      </c>
      <c r="E73" s="5" t="inlineStr">
        <is>
          <t>Positivo</t>
        </is>
      </c>
      <c r="F73" s="107" t="n">
        <v>45657</v>
      </c>
      <c r="G73" s="5" t="n">
        <v>2024</v>
      </c>
      <c r="H73" s="5" t="inlineStr">
        <is>
          <t>Diciembre</t>
        </is>
      </c>
      <c r="I73" s="6" t="inlineStr">
        <is>
          <t>2024-2</t>
        </is>
      </c>
      <c r="J73" s="5" t="n">
        <v>100</v>
      </c>
      <c r="K73" s="5" t="n">
        <v>99</v>
      </c>
      <c r="L73" s="14">
        <f>IFERROR(IF(OR(J73=0,K73=""),"",IF(E73="Positivo",MIN(MAX(K73/J73,0),1.3),MIN(MAX(J73/K73,0),1.3))),"") </f>
        <v/>
      </c>
      <c r="M73" s="14">
        <f>IFERROR(IF(OR(J73=0,K73=""),"",IF(E73="Positivo",MAX(K73/J73,0),MAX(J73/K73,0))),"") </f>
        <v/>
      </c>
      <c r="N73" s="5" t="inlineStr">
        <is>
          <t>%</t>
        </is>
      </c>
      <c r="O73" s="5" t="inlineStr">
        <is>
          <t>%</t>
        </is>
      </c>
      <c r="P73" s="5" t="n">
        <v>0</v>
      </c>
      <c r="Q73" s="5" t="n">
        <v>0</v>
      </c>
      <c r="R73" s="5" t="inlineStr">
        <is>
          <t>100-2024-12-31</t>
        </is>
      </c>
    </row>
    <row r="74">
      <c r="A74" s="5" t="n">
        <v>100</v>
      </c>
      <c r="B74" s="5" t="inlineStr">
        <is>
          <t>Cumplimiento de requisitos legales SST</t>
        </is>
      </c>
      <c r="C74" s="5" t="inlineStr">
        <is>
          <t>GESTIÓN DE SEGURIDAD Y SALUD EN EL TRABAJO</t>
        </is>
      </c>
      <c r="D74" s="5" t="inlineStr">
        <is>
          <t>Anual</t>
        </is>
      </c>
      <c r="E74" s="5" t="inlineStr">
        <is>
          <t>Positivo</t>
        </is>
      </c>
      <c r="F74" s="107" t="n">
        <v>46022</v>
      </c>
      <c r="G74" s="5" t="n">
        <v>2025</v>
      </c>
      <c r="H74" s="5" t="inlineStr">
        <is>
          <t>Diciembre</t>
        </is>
      </c>
      <c r="I74" s="6" t="inlineStr">
        <is>
          <t>2025-2</t>
        </is>
      </c>
      <c r="J74" s="5" t="n">
        <v>100</v>
      </c>
      <c r="K74" s="5" t="n">
        <v>100</v>
      </c>
      <c r="L74" s="14">
        <f>IFERROR(IF(OR(J74=0,K74=""),"",IF(E74="Positivo",MIN(MAX(K74/J74,0),1.3),MIN(MAX(J74/K74,0),1.3))),"") </f>
        <v/>
      </c>
      <c r="M74" s="14">
        <f>IFERROR(IF(OR(J74=0,K74=""),"",IF(E74="Positivo",MAX(K74/J74,0),MAX(J74/K74,0))),"") </f>
        <v/>
      </c>
      <c r="N74" s="5" t="inlineStr">
        <is>
          <t>%</t>
        </is>
      </c>
      <c r="O74" s="5" t="inlineStr">
        <is>
          <t>%</t>
        </is>
      </c>
      <c r="P74" s="5" t="n">
        <v>0</v>
      </c>
      <c r="Q74" s="5" t="n">
        <v>0</v>
      </c>
      <c r="R74" s="5" t="inlineStr">
        <is>
          <t>100-2025-12-31</t>
        </is>
      </c>
    </row>
    <row r="75">
      <c r="A75" s="5" t="n">
        <v>104</v>
      </c>
      <c r="B75" s="5" t="inlineStr">
        <is>
          <t>Tasa de accidentalidad</t>
        </is>
      </c>
      <c r="C75" s="5" t="inlineStr">
        <is>
          <t>GESTIÓN DE SEGURIDAD Y SALUD EN EL TRABAJO</t>
        </is>
      </c>
      <c r="D75" s="5" t="inlineStr">
        <is>
          <t>Anual</t>
        </is>
      </c>
      <c r="E75" s="5" t="inlineStr">
        <is>
          <t>Negativo</t>
        </is>
      </c>
      <c r="F75" s="107" t="n">
        <v>44926</v>
      </c>
      <c r="G75" s="5" t="n">
        <v>2022</v>
      </c>
      <c r="H75" s="5" t="inlineStr">
        <is>
          <t>Diciembre</t>
        </is>
      </c>
      <c r="I75" s="6" t="inlineStr">
        <is>
          <t>2022-2</t>
        </is>
      </c>
      <c r="J75" s="5" t="n">
        <v>2.14</v>
      </c>
      <c r="K75" s="5" t="n">
        <v>0.37174721189591</v>
      </c>
      <c r="L75" s="14">
        <f>IFERROR(IF(OR(J75=0,K75=""),"",IF(E75="Positivo",MIN(MAX(K75/J75,0),1.3),MIN(MAX(J75/K75,0),1.3))),"") </f>
        <v/>
      </c>
      <c r="M75" s="14">
        <f>IFERROR(IF(OR(J75=0,K75=""),"",IF(E75="Positivo",MAX(K75/J75,0),MAX(J75/K75,0))),"") </f>
        <v/>
      </c>
      <c r="N75" s="5" t="inlineStr">
        <is>
          <t>DEC</t>
        </is>
      </c>
      <c r="O75" s="5" t="inlineStr">
        <is>
          <t>DEC</t>
        </is>
      </c>
      <c r="P75" s="5" t="n">
        <v>1</v>
      </c>
      <c r="Q75" s="5" t="n">
        <v>2</v>
      </c>
      <c r="R75" s="5" t="inlineStr">
        <is>
          <t>104-2022-12-31</t>
        </is>
      </c>
    </row>
    <row r="76">
      <c r="A76" s="5" t="n">
        <v>104</v>
      </c>
      <c r="B76" s="5" t="inlineStr">
        <is>
          <t>Tasa de accidentalidad</t>
        </is>
      </c>
      <c r="C76" s="5" t="inlineStr">
        <is>
          <t>GESTIÓN DE SEGURIDAD Y SALUD EN EL TRABAJO</t>
        </is>
      </c>
      <c r="D76" s="5" t="inlineStr">
        <is>
          <t>Anual</t>
        </is>
      </c>
      <c r="E76" s="5" t="inlineStr">
        <is>
          <t>Negativo</t>
        </is>
      </c>
      <c r="F76" s="107" t="n">
        <v>45291</v>
      </c>
      <c r="G76" s="5" t="n">
        <v>2023</v>
      </c>
      <c r="H76" s="5" t="inlineStr">
        <is>
          <t>Diciembre</t>
        </is>
      </c>
      <c r="I76" s="6" t="inlineStr">
        <is>
          <t>2023-2</t>
        </is>
      </c>
      <c r="J76" s="5" t="n">
        <v>2.14</v>
      </c>
      <c r="K76" s="5" t="n">
        <v>0.47</v>
      </c>
      <c r="L76" s="14">
        <f>IFERROR(IF(OR(J76=0,K76=""),"",IF(E76="Positivo",MIN(MAX(K76/J76,0),1.3),MIN(MAX(J76/K76,0),1.3))),"") </f>
        <v/>
      </c>
      <c r="M76" s="14">
        <f>IFERROR(IF(OR(J76=0,K76=""),"",IF(E76="Positivo",MAX(K76/J76,0),MAX(J76/K76,0))),"") </f>
        <v/>
      </c>
      <c r="N76" s="5" t="inlineStr">
        <is>
          <t>DEC</t>
        </is>
      </c>
      <c r="O76" s="5" t="inlineStr">
        <is>
          <t>DEC</t>
        </is>
      </c>
      <c r="P76" s="5" t="n">
        <v>2</v>
      </c>
      <c r="Q76" s="5" t="n">
        <v>2</v>
      </c>
      <c r="R76" s="5" t="inlineStr">
        <is>
          <t>104-2023-12-31</t>
        </is>
      </c>
    </row>
    <row r="77">
      <c r="A77" s="5" t="n">
        <v>104</v>
      </c>
      <c r="B77" s="5" t="inlineStr">
        <is>
          <t>Tasa de accidentalidad</t>
        </is>
      </c>
      <c r="C77" s="5" t="inlineStr">
        <is>
          <t>GESTIÓN DE SEGURIDAD Y SALUD EN EL TRABAJO</t>
        </is>
      </c>
      <c r="D77" s="5" t="inlineStr">
        <is>
          <t>Anual</t>
        </is>
      </c>
      <c r="E77" s="5" t="inlineStr">
        <is>
          <t>Negativo</t>
        </is>
      </c>
      <c r="F77" s="107" t="n">
        <v>45657</v>
      </c>
      <c r="G77" s="5" t="n">
        <v>2024</v>
      </c>
      <c r="H77" s="5" t="inlineStr">
        <is>
          <t>Diciembre</t>
        </is>
      </c>
      <c r="I77" s="6" t="inlineStr">
        <is>
          <t>2024-2</t>
        </is>
      </c>
      <c r="J77" s="5" t="n">
        <v>1.2</v>
      </c>
      <c r="K77" s="5" t="n">
        <v>0.11</v>
      </c>
      <c r="L77" s="14">
        <f>IFERROR(IF(OR(J77=0,K77=""),"",IF(E77="Positivo",MIN(MAX(K77/J77,0),1.3),MIN(MAX(J77/K77,0),1.3))),"") </f>
        <v/>
      </c>
      <c r="M77" s="14">
        <f>IFERROR(IF(OR(J77=0,K77=""),"",IF(E77="Positivo",MAX(K77/J77,0),MAX(J77/K77,0))),"") </f>
        <v/>
      </c>
      <c r="N77" s="5" t="inlineStr">
        <is>
          <t>DEC</t>
        </is>
      </c>
      <c r="O77" s="5" t="inlineStr">
        <is>
          <t>DEC</t>
        </is>
      </c>
      <c r="P77" s="5" t="n">
        <v>1</v>
      </c>
      <c r="Q77" s="5" t="n">
        <v>2</v>
      </c>
      <c r="R77" s="5" t="inlineStr">
        <is>
          <t>104-2024-12-31</t>
        </is>
      </c>
    </row>
    <row r="78">
      <c r="A78" s="5" t="n">
        <v>104</v>
      </c>
      <c r="B78" s="5" t="inlineStr">
        <is>
          <t>Tasa de accidentalidad</t>
        </is>
      </c>
      <c r="C78" s="5" t="inlineStr">
        <is>
          <t>GESTIÓN DE SEGURIDAD Y SALUD EN EL TRABAJO</t>
        </is>
      </c>
      <c r="D78" s="5" t="inlineStr">
        <is>
          <t>Anual</t>
        </is>
      </c>
      <c r="E78" s="5" t="inlineStr">
        <is>
          <t>Negativo</t>
        </is>
      </c>
      <c r="F78" s="107" t="n">
        <v>46022</v>
      </c>
      <c r="G78" s="5" t="n">
        <v>2025</v>
      </c>
      <c r="H78" s="5" t="inlineStr">
        <is>
          <t>Diciembre</t>
        </is>
      </c>
      <c r="I78" s="6" t="inlineStr">
        <is>
          <t>2025-2</t>
        </is>
      </c>
      <c r="J78" s="5" t="n">
        <v>2.14</v>
      </c>
      <c r="K78" s="5" t="n">
        <v>0.21</v>
      </c>
      <c r="L78" s="14">
        <f>IFERROR(IF(OR(J78=0,K78=""),"",IF(E78="Positivo",MIN(MAX(K78/J78,0),1.3),MIN(MAX(J78/K78,0),1.3))),"") </f>
        <v/>
      </c>
      <c r="M78" s="14">
        <f>IFERROR(IF(OR(J78=0,K78=""),"",IF(E78="Positivo",MAX(K78/J78,0),MAX(J78/K78,0))),"") </f>
        <v/>
      </c>
      <c r="N78" s="5" t="inlineStr">
        <is>
          <t>DEC</t>
        </is>
      </c>
      <c r="O78" s="5" t="inlineStr">
        <is>
          <t>DEC</t>
        </is>
      </c>
      <c r="P78" s="5" t="n">
        <v>1</v>
      </c>
      <c r="Q78" s="5" t="n">
        <v>2</v>
      </c>
      <c r="R78" s="5" t="inlineStr">
        <is>
          <t>104-2025-12-31</t>
        </is>
      </c>
    </row>
    <row r="79">
      <c r="A79" s="5" t="n">
        <v>106</v>
      </c>
      <c r="B79" s="61" t="inlineStr">
        <is>
          <t>Mortalidad de los accidentes laborales</t>
        </is>
      </c>
      <c r="C79" s="5" t="inlineStr">
        <is>
          <t>GESTIÓN DE SEGURIDAD Y SALUD EN EL TRABAJO</t>
        </is>
      </c>
      <c r="D79" s="5" t="inlineStr">
        <is>
          <t>Anual</t>
        </is>
      </c>
      <c r="E79" s="5" t="inlineStr">
        <is>
          <t>Negativo</t>
        </is>
      </c>
      <c r="F79" s="107" t="n">
        <v>44926</v>
      </c>
      <c r="G79" s="5" t="n">
        <v>2022</v>
      </c>
      <c r="H79" s="5" t="inlineStr">
        <is>
          <t>Diciembre</t>
        </is>
      </c>
      <c r="I79" s="6" t="inlineStr">
        <is>
          <t>2022-2</t>
        </is>
      </c>
      <c r="J79" s="5" t="n">
        <v>0</v>
      </c>
      <c r="K79" s="5" t="n">
        <v>0</v>
      </c>
      <c r="L79" s="14">
        <f>IFERROR(IF(OR(J79=0,K79=""),"",IF(E79="Positivo",MIN(MAX(K79/J79,0),1.3),MIN(MAX(J79/K79,0),1.3))),"") </f>
        <v/>
      </c>
      <c r="M79" s="14">
        <f>IFERROR(IF(OR(J79=0,K79=""),"",IF(E79="Positivo",MAX(K79/J79,0),MAX(J79/K79,0))),"") </f>
        <v/>
      </c>
      <c r="N79" s="5" t="inlineStr">
        <is>
          <t>DEC</t>
        </is>
      </c>
      <c r="O79" s="5" t="inlineStr">
        <is>
          <t>DEC</t>
        </is>
      </c>
      <c r="P79" s="5" t="n">
        <v>0</v>
      </c>
      <c r="Q79" s="5" t="n">
        <v>0</v>
      </c>
      <c r="R79" s="5" t="inlineStr">
        <is>
          <t>106-2022-12-31</t>
        </is>
      </c>
    </row>
    <row r="80">
      <c r="A80" s="5" t="n">
        <v>106</v>
      </c>
      <c r="B80" s="5" t="inlineStr">
        <is>
          <t>Mortalidad de los accidentes laborales</t>
        </is>
      </c>
      <c r="C80" s="5" t="inlineStr">
        <is>
          <t>GESTIÓN DE SEGURIDAD Y SALUD EN EL TRABAJO</t>
        </is>
      </c>
      <c r="D80" s="5" t="inlineStr">
        <is>
          <t>Anual</t>
        </is>
      </c>
      <c r="E80" s="5" t="inlineStr">
        <is>
          <t>Negativo</t>
        </is>
      </c>
      <c r="F80" s="107" t="n">
        <v>45291</v>
      </c>
      <c r="G80" s="5" t="n">
        <v>2023</v>
      </c>
      <c r="H80" s="5" t="inlineStr">
        <is>
          <t>Diciembre</t>
        </is>
      </c>
      <c r="I80" s="6" t="inlineStr">
        <is>
          <t>2023-2</t>
        </is>
      </c>
      <c r="J80" s="5" t="n">
        <v>0</v>
      </c>
      <c r="K80" s="5" t="n">
        <v>0</v>
      </c>
      <c r="L80" s="14">
        <f>IFERROR(IF(OR(J80=0,K80=""),"",IF(E80="Positivo",MIN(MAX(K80/J80,0),1.3),MIN(MAX(J80/K80,0),1.3))),"") </f>
        <v/>
      </c>
      <c r="M80" s="14">
        <f>IFERROR(IF(OR(J80=0,K80=""),"",IF(E80="Positivo",MAX(K80/J80,0),MAX(J80/K80,0))),"") </f>
        <v/>
      </c>
      <c r="N80" s="5" t="inlineStr">
        <is>
          <t>DEC</t>
        </is>
      </c>
      <c r="O80" s="5" t="inlineStr">
        <is>
          <t>DEC</t>
        </is>
      </c>
      <c r="P80" s="5" t="n">
        <v>0</v>
      </c>
      <c r="Q80" s="5" t="n">
        <v>0</v>
      </c>
      <c r="R80" s="5" t="inlineStr">
        <is>
          <t>106-2023-12-31</t>
        </is>
      </c>
    </row>
    <row r="81">
      <c r="A81" s="5" t="n">
        <v>106</v>
      </c>
      <c r="B81" s="5" t="inlineStr">
        <is>
          <t>Mortalidad de los accidentes laborales</t>
        </is>
      </c>
      <c r="C81" s="5" t="inlineStr">
        <is>
          <t>GESTIÓN DE SEGURIDAD Y SALUD EN EL TRABAJO</t>
        </is>
      </c>
      <c r="D81" s="5" t="inlineStr">
        <is>
          <t>Anual</t>
        </is>
      </c>
      <c r="E81" s="5" t="inlineStr">
        <is>
          <t>Negativo</t>
        </is>
      </c>
      <c r="F81" s="107" t="n">
        <v>45657</v>
      </c>
      <c r="G81" s="5" t="n">
        <v>2024</v>
      </c>
      <c r="H81" s="5" t="inlineStr">
        <is>
          <t>Diciembre</t>
        </is>
      </c>
      <c r="I81" s="6" t="inlineStr">
        <is>
          <t>2024-2</t>
        </is>
      </c>
      <c r="J81" s="5" t="n">
        <v>0</v>
      </c>
      <c r="K81" s="5" t="n">
        <v>0</v>
      </c>
      <c r="L81" s="14">
        <f>IFERROR(IF(OR(J81=0,K81=""),"",IF(E81="Positivo",MIN(MAX(K81/J81,0),1.3),MIN(MAX(J81/K81,0),1.3))),"") </f>
        <v/>
      </c>
      <c r="M81" s="14">
        <f>IFERROR(IF(OR(J81=0,K81=""),"",IF(E81="Positivo",MAX(K81/J81,0),MAX(J81/K81,0))),"") </f>
        <v/>
      </c>
      <c r="N81" s="5" t="inlineStr">
        <is>
          <t>DEC</t>
        </is>
      </c>
      <c r="O81" s="5" t="inlineStr">
        <is>
          <t>DEC</t>
        </is>
      </c>
      <c r="P81" s="5" t="n">
        <v>0</v>
      </c>
      <c r="Q81" s="5" t="n">
        <v>0</v>
      </c>
      <c r="R81" s="5" t="inlineStr">
        <is>
          <t>106-2024-12-31</t>
        </is>
      </c>
    </row>
    <row r="82">
      <c r="A82" s="5" t="n">
        <v>106</v>
      </c>
      <c r="B82" s="5" t="inlineStr">
        <is>
          <t>Mortalidad de los accidentes laborales</t>
        </is>
      </c>
      <c r="C82" s="5" t="inlineStr">
        <is>
          <t>GESTIÓN DE SEGURIDAD Y SALUD EN EL TRABAJO</t>
        </is>
      </c>
      <c r="D82" s="5" t="inlineStr">
        <is>
          <t>Anual</t>
        </is>
      </c>
      <c r="E82" s="5" t="inlineStr">
        <is>
          <t>Negativo</t>
        </is>
      </c>
      <c r="F82" s="107" t="n">
        <v>46022</v>
      </c>
      <c r="G82" s="5" t="n">
        <v>2025</v>
      </c>
      <c r="H82" s="5" t="inlineStr">
        <is>
          <t>Diciembre</t>
        </is>
      </c>
      <c r="I82" s="6" t="inlineStr">
        <is>
          <t>2025-2</t>
        </is>
      </c>
      <c r="J82" s="73" t="n">
        <v>0</v>
      </c>
      <c r="K82" s="94" t="n">
        <v>0</v>
      </c>
      <c r="L82" s="14">
        <f>IFERROR(IF(OR(J82=0,K82=""),"",IF(E82="Positivo",MIN(MAX(K82/J82,0),1.3),MIN(MAX(J82/K82,0),1.3))),"") </f>
        <v/>
      </c>
      <c r="M82" s="14">
        <f>IFERROR(IF(OR(J82=0,K82=""),"",IF(E82="Positivo",MAX(K82/J82,0),MAX(J82/K82,0))),"") </f>
        <v/>
      </c>
      <c r="N82" s="5" t="inlineStr">
        <is>
          <t>DEC</t>
        </is>
      </c>
      <c r="O82" s="5" t="inlineStr">
        <is>
          <t>DEC</t>
        </is>
      </c>
      <c r="P82" s="5" t="n">
        <v>0</v>
      </c>
      <c r="Q82" s="5" t="n">
        <v>0</v>
      </c>
      <c r="R82" s="5" t="inlineStr">
        <is>
          <t>106-2025-12-31</t>
        </is>
      </c>
    </row>
    <row r="83">
      <c r="A83" s="5" t="n">
        <v>108</v>
      </c>
      <c r="B83" s="5" t="inlineStr">
        <is>
          <t>Nivel de Satisfacción Servicios Prestados</t>
        </is>
      </c>
      <c r="C83" s="5" t="inlineStr">
        <is>
          <t>DIRECCIONAMIENTO ESTRATÉGICO</t>
        </is>
      </c>
      <c r="D83" s="5" t="inlineStr">
        <is>
          <t>Anual</t>
        </is>
      </c>
      <c r="E83" s="5" t="inlineStr">
        <is>
          <t>Positivo</t>
        </is>
      </c>
      <c r="F83" s="107" t="n">
        <v>45657</v>
      </c>
      <c r="G83" s="5" t="n">
        <v>2024</v>
      </c>
      <c r="H83" s="5" t="inlineStr">
        <is>
          <t>Diciembre</t>
        </is>
      </c>
      <c r="I83" s="6" t="inlineStr">
        <is>
          <t>2024-2</t>
        </is>
      </c>
      <c r="J83" s="73" t="n"/>
      <c r="K83" s="9" t="n"/>
      <c r="L83" s="14" t="n"/>
      <c r="M83" s="14" t="n"/>
      <c r="N83" s="5" t="inlineStr">
        <is>
          <t>%</t>
        </is>
      </c>
      <c r="O83" s="5" t="inlineStr">
        <is>
          <t>%</t>
        </is>
      </c>
      <c r="P83" s="5" t="n">
        <v>0</v>
      </c>
      <c r="Q83" s="5" t="n">
        <v>0</v>
      </c>
      <c r="R83" s="5" t="inlineStr">
        <is>
          <t>108-2024-12-31</t>
        </is>
      </c>
    </row>
    <row r="84">
      <c r="A84" s="5" t="n">
        <v>109</v>
      </c>
      <c r="B84" s="5" t="inlineStr">
        <is>
          <t>Nivel de Satisfacción Servicios Prestados</t>
        </is>
      </c>
      <c r="C84" s="5" t="inlineStr">
        <is>
          <t>Comunicaciones Internas</t>
        </is>
      </c>
      <c r="D84" s="5" t="inlineStr">
        <is>
          <t>Anual</t>
        </is>
      </c>
      <c r="E84" s="5" t="inlineStr">
        <is>
          <t>Positivo</t>
        </is>
      </c>
      <c r="F84" s="107" t="n">
        <v>45230</v>
      </c>
      <c r="G84" s="5" t="n">
        <v>2023</v>
      </c>
      <c r="H84" s="5" t="inlineStr">
        <is>
          <t>Octubre</t>
        </is>
      </c>
      <c r="I84" s="6" t="inlineStr">
        <is>
          <t>2023-2</t>
        </is>
      </c>
      <c r="J84" s="5" t="n">
        <v>80</v>
      </c>
      <c r="K84" s="5" t="n">
        <v>0</v>
      </c>
      <c r="L84" s="14">
        <f>IFERROR(IF(OR(J84=0,K84=""),"",IF(E84="Positivo",MIN(MAX(K84/J84,0),1.3),MIN(MAX(J84/K84,0),1.3))),"") </f>
        <v/>
      </c>
      <c r="M84" s="14">
        <f>IFERROR(IF(OR(J84=0,K84=""),"",IF(E84="Positivo",MAX(K84/J84,0),MAX(J84/K84,0))),"") </f>
        <v/>
      </c>
      <c r="N84" s="5" t="inlineStr">
        <is>
          <t>%</t>
        </is>
      </c>
      <c r="O84" s="5" t="inlineStr">
        <is>
          <t>%</t>
        </is>
      </c>
      <c r="P84" s="5" t="n">
        <v>0</v>
      </c>
      <c r="Q84" s="5" t="n">
        <v>0</v>
      </c>
      <c r="R84" s="5" t="inlineStr">
        <is>
          <t>109-2023-10-31</t>
        </is>
      </c>
      <c r="S84" t="inlineStr"/>
    </row>
    <row r="85">
      <c r="A85" s="5" t="n">
        <v>109</v>
      </c>
      <c r="B85" s="5" t="inlineStr">
        <is>
          <t>Nivel de Satisfacción -Comunicaciones internas</t>
        </is>
      </c>
      <c r="C85" s="5" t="inlineStr">
        <is>
          <t>Comunicaciones Internas</t>
        </is>
      </c>
      <c r="D85" s="5" t="inlineStr">
        <is>
          <t>Anual</t>
        </is>
      </c>
      <c r="E85" s="5" t="inlineStr">
        <is>
          <t>Positivo</t>
        </is>
      </c>
      <c r="F85" s="107" t="n">
        <v>45291</v>
      </c>
      <c r="G85" s="5" t="n">
        <v>2023</v>
      </c>
      <c r="H85" s="5" t="inlineStr">
        <is>
          <t>Diciembre</t>
        </is>
      </c>
      <c r="I85" s="6" t="inlineStr">
        <is>
          <t>2023-2</t>
        </is>
      </c>
      <c r="J85" s="5" t="n">
        <v>80</v>
      </c>
      <c r="K85" s="5" t="n">
        <v>87.3927677036683</v>
      </c>
      <c r="L85" s="14">
        <f>IFERROR(IF(OR(J85=0,K85=""),"",IF(E85="Positivo",MIN(MAX(K85/J85,0),1.3),MIN(MAX(J85/K85,0),1.3))),"") </f>
        <v/>
      </c>
      <c r="M85" s="14">
        <f>IFERROR(IF(OR(J85=0,K85=""),"",IF(E85="Positivo",MAX(K85/J85,0),MAX(J85/K85,0))),"") </f>
        <v/>
      </c>
      <c r="N85" s="5" t="inlineStr">
        <is>
          <t>%</t>
        </is>
      </c>
      <c r="O85" s="5" t="inlineStr">
        <is>
          <t>%</t>
        </is>
      </c>
      <c r="P85" s="5" t="n">
        <v>0</v>
      </c>
      <c r="Q85" s="5" t="n">
        <v>0</v>
      </c>
      <c r="R85" s="5" t="inlineStr">
        <is>
          <t>109-2023-12-31</t>
        </is>
      </c>
    </row>
    <row r="86">
      <c r="A86" s="5" t="n">
        <v>109</v>
      </c>
      <c r="B86" s="5" t="inlineStr">
        <is>
          <t>Nivel de Satisfacción Servicios Prestados</t>
        </is>
      </c>
      <c r="C86" s="5" t="inlineStr">
        <is>
          <t>Comunicaciones Internas</t>
        </is>
      </c>
      <c r="D86" s="5" t="inlineStr">
        <is>
          <t>Anual</t>
        </is>
      </c>
      <c r="E86" s="5" t="inlineStr">
        <is>
          <t>Positivo</t>
        </is>
      </c>
      <c r="F86" s="107" t="n">
        <v>45596</v>
      </c>
      <c r="G86" s="5" t="n">
        <v>2024</v>
      </c>
      <c r="H86" s="5" t="inlineStr">
        <is>
          <t>Octubre</t>
        </is>
      </c>
      <c r="I86" s="6" t="inlineStr">
        <is>
          <t>2024-2</t>
        </is>
      </c>
      <c r="J86" s="5" t="n">
        <v>80</v>
      </c>
      <c r="K86" s="5" t="n">
        <v>85</v>
      </c>
      <c r="L86" s="14">
        <f>IFERROR(IF(OR(J86=0,K86=""),"",IF(E86="Positivo",MIN(MAX(K86/J86,0),1.3),MIN(MAX(J86/K86,0),1.3))),"") </f>
        <v/>
      </c>
      <c r="M86" s="14">
        <f>IFERROR(IF(OR(J86=0,K86=""),"",IF(E86="Positivo",MAX(K86/J86,0),MAX(J86/K86,0))),"") </f>
        <v/>
      </c>
      <c r="N86" s="5" t="inlineStr">
        <is>
          <t>%</t>
        </is>
      </c>
      <c r="O86" s="5" t="inlineStr">
        <is>
          <t>%</t>
        </is>
      </c>
      <c r="P86" s="5" t="n">
        <v>0</v>
      </c>
      <c r="Q86" s="5" t="n">
        <v>0</v>
      </c>
      <c r="R86" s="5" t="inlineStr">
        <is>
          <t>109-2024-10-31</t>
        </is>
      </c>
      <c r="S86" t="inlineStr"/>
    </row>
    <row r="87">
      <c r="A87" s="5" t="n">
        <v>109</v>
      </c>
      <c r="B87" s="5" t="inlineStr">
        <is>
          <t>Nivel de Satisfacción -Comunicaciones internas</t>
        </is>
      </c>
      <c r="C87" s="5" t="inlineStr">
        <is>
          <t>Comunicaciones Internas</t>
        </is>
      </c>
      <c r="D87" s="5" t="inlineStr">
        <is>
          <t>Anual</t>
        </is>
      </c>
      <c r="E87" s="5" t="inlineStr">
        <is>
          <t>Positivo</t>
        </is>
      </c>
      <c r="F87" s="107" t="n">
        <v>45657</v>
      </c>
      <c r="G87" s="5" t="n">
        <v>2024</v>
      </c>
      <c r="H87" s="5" t="inlineStr">
        <is>
          <t>Diciembre</t>
        </is>
      </c>
      <c r="I87" s="6" t="inlineStr">
        <is>
          <t>2024-2</t>
        </is>
      </c>
      <c r="J87" s="3" t="n">
        <v>80</v>
      </c>
      <c r="K87" s="3" t="n">
        <v>85</v>
      </c>
      <c r="L87" s="14">
        <f>IFERROR(IF(OR(J87=0,K87=""),"",IF(E87="Positivo",MIN(MAX(K87/J87,0),1.3),MIN(MAX(J87/K87,0),1.3))),"") </f>
        <v/>
      </c>
      <c r="M87" s="14">
        <f>IFERROR(IF(OR(J87=0,K87=""),"",IF(E87="Positivo",MAX(K87/J87,0),MAX(J87/K87,0))),"") </f>
        <v/>
      </c>
      <c r="N87" s="5" t="inlineStr">
        <is>
          <t>%</t>
        </is>
      </c>
      <c r="O87" s="5" t="inlineStr">
        <is>
          <t>%</t>
        </is>
      </c>
      <c r="P87" s="5" t="n">
        <v>0</v>
      </c>
      <c r="Q87" s="5" t="n">
        <v>0</v>
      </c>
      <c r="R87" s="5" t="inlineStr">
        <is>
          <t>109-2024-12-31</t>
        </is>
      </c>
    </row>
    <row r="88">
      <c r="A88" s="5" t="n">
        <v>109</v>
      </c>
      <c r="B88" s="5" t="inlineStr">
        <is>
          <t>Nivel de Satisfacción Servicios Prestados</t>
        </is>
      </c>
      <c r="C88" s="5" t="inlineStr">
        <is>
          <t>Comunicaciones Internas</t>
        </is>
      </c>
      <c r="D88" s="5" t="inlineStr">
        <is>
          <t>Anual</t>
        </is>
      </c>
      <c r="E88" s="5" t="inlineStr">
        <is>
          <t>Positivo</t>
        </is>
      </c>
      <c r="F88" s="107" t="n">
        <v>45961</v>
      </c>
      <c r="G88" s="5" t="n">
        <v>2025</v>
      </c>
      <c r="H88" s="5" t="inlineStr">
        <is>
          <t>Octubre</t>
        </is>
      </c>
      <c r="I88" s="6" t="inlineStr">
        <is>
          <t>2025-2</t>
        </is>
      </c>
      <c r="J88" s="73" t="n">
        <v>80</v>
      </c>
      <c r="K88" s="9" t="n">
        <v>94</v>
      </c>
      <c r="L88" s="14">
        <f>IFERROR(IF(OR(J88=0,K88=""),"",IF(E88="Positivo",MIN(MAX(K88/J88,0),1.3),MIN(MAX(J88/K88,0),1.3))),"") </f>
        <v/>
      </c>
      <c r="M88" s="14">
        <f>IFERROR(IF(OR(J88=0,K88=""),"",IF(E88="Positivo",MAX(K88/J88,0),MAX(J88/K88,0))),"") </f>
        <v/>
      </c>
      <c r="N88" s="5" t="inlineStr">
        <is>
          <t>%</t>
        </is>
      </c>
      <c r="O88" s="5" t="inlineStr">
        <is>
          <t>%</t>
        </is>
      </c>
      <c r="P88" s="5" t="n">
        <v>0</v>
      </c>
      <c r="Q88" s="5" t="n">
        <v>0</v>
      </c>
      <c r="R88" s="5" t="inlineStr">
        <is>
          <t>109-2025-10-31</t>
        </is>
      </c>
      <c r="S88" t="inlineStr"/>
    </row>
    <row r="89">
      <c r="A89" s="5" t="n">
        <v>109</v>
      </c>
      <c r="B89" s="5" t="inlineStr">
        <is>
          <t>Nivel de Satisfacción Servicios Prestados - Comunicaciones Internas</t>
        </is>
      </c>
      <c r="C89" s="5" t="inlineStr">
        <is>
          <t>Comunicaciones Internas</t>
        </is>
      </c>
      <c r="D89" s="5" t="inlineStr">
        <is>
          <t>Anual</t>
        </is>
      </c>
      <c r="E89" s="5" t="inlineStr">
        <is>
          <t>Positivo</t>
        </is>
      </c>
      <c r="F89" s="107" t="n">
        <v>46022</v>
      </c>
      <c r="G89" s="5" t="n">
        <v>2025</v>
      </c>
      <c r="H89" s="5" t="inlineStr">
        <is>
          <t>Diciembre</t>
        </is>
      </c>
      <c r="I89" s="6" t="inlineStr">
        <is>
          <t>2025-2</t>
        </is>
      </c>
      <c r="J89" s="5" t="n">
        <v>80</v>
      </c>
      <c r="K89" s="5" t="n">
        <v>94</v>
      </c>
      <c r="L89" s="14">
        <f>IFERROR(IF(OR(J89=0,K89=""),"",IF(E89="Positivo",MIN(MAX(K89/J89,0),1.3),MIN(MAX(J89/K89,0),1.3))),"") </f>
        <v/>
      </c>
      <c r="M89" s="14">
        <f>IFERROR(IF(OR(J89=0,K89=""),"",IF(E89="Positivo",MAX(K89/J89,0),MAX(J89/K89,0))),"") </f>
        <v/>
      </c>
      <c r="N89" s="5" t="inlineStr">
        <is>
          <t>%</t>
        </is>
      </c>
      <c r="O89" s="5" t="inlineStr">
        <is>
          <t>%</t>
        </is>
      </c>
      <c r="P89" s="5" t="n">
        <v>0</v>
      </c>
      <c r="Q89" s="5" t="n">
        <v>0</v>
      </c>
      <c r="R89" s="5" t="inlineStr">
        <is>
          <t>109-2025-12-31</t>
        </is>
      </c>
    </row>
    <row r="90">
      <c r="A90" s="5" t="n">
        <v>110</v>
      </c>
      <c r="B90" s="5" t="inlineStr">
        <is>
          <t>Nivel de Satisfacción Servicios Prestados</t>
        </is>
      </c>
      <c r="C90" s="5" t="inlineStr">
        <is>
          <t>Planeación Financiera</t>
        </is>
      </c>
      <c r="D90" s="5" t="inlineStr">
        <is>
          <t>Anual</t>
        </is>
      </c>
      <c r="E90" s="5" t="inlineStr">
        <is>
          <t>Positivo</t>
        </is>
      </c>
      <c r="F90" s="107" t="n">
        <v>44865</v>
      </c>
      <c r="G90" s="5" t="n">
        <v>2022</v>
      </c>
      <c r="H90" s="5" t="inlineStr">
        <is>
          <t>Octubre</t>
        </is>
      </c>
      <c r="I90" s="6" t="inlineStr">
        <is>
          <t>2022-2</t>
        </is>
      </c>
      <c r="J90" s="5" t="n">
        <v>80</v>
      </c>
      <c r="K90" s="5" t="n">
        <v>73.4019151138716</v>
      </c>
      <c r="L90" s="14">
        <f>IFERROR(IF(OR(J90=0,K90=""),"",IF(E90="Positivo",MIN(MAX(K90/J90,0),1.3),MIN(MAX(J90/K90,0),1.3))),"") </f>
        <v/>
      </c>
      <c r="M90" s="14">
        <f>IFERROR(IF(OR(J90=0,K90=""),"",IF(E90="Positivo",MAX(K90/J90,0),MAX(J90/K90,0))),"") </f>
        <v/>
      </c>
      <c r="N90" s="5" t="inlineStr">
        <is>
          <t>%</t>
        </is>
      </c>
      <c r="O90" s="5" t="inlineStr">
        <is>
          <t>%</t>
        </is>
      </c>
      <c r="P90" s="5" t="n">
        <v>0</v>
      </c>
      <c r="Q90" s="5" t="n">
        <v>0</v>
      </c>
      <c r="R90" s="5" t="inlineStr">
        <is>
          <t>110-2022-10-31</t>
        </is>
      </c>
    </row>
    <row r="91">
      <c r="A91" s="5" t="n">
        <v>110</v>
      </c>
      <c r="B91" s="5" t="inlineStr">
        <is>
          <t>Nivel de Satisfacción Servicios Prestados</t>
        </is>
      </c>
      <c r="C91" s="5" t="inlineStr">
        <is>
          <t>Planeación Financiera</t>
        </is>
      </c>
      <c r="D91" s="5" t="inlineStr">
        <is>
          <t>Anual</t>
        </is>
      </c>
      <c r="E91" s="5" t="inlineStr">
        <is>
          <t>Positivo</t>
        </is>
      </c>
      <c r="F91" s="107" t="n">
        <v>45291</v>
      </c>
      <c r="G91" s="5" t="n">
        <v>2023</v>
      </c>
      <c r="H91" s="5" t="inlineStr">
        <is>
          <t>Diciembre</t>
        </is>
      </c>
      <c r="I91" s="6" t="inlineStr">
        <is>
          <t>2023-2</t>
        </is>
      </c>
      <c r="J91" s="5" t="n">
        <v>80</v>
      </c>
      <c r="K91" s="5" t="n">
        <v>78</v>
      </c>
      <c r="L91" s="14">
        <f>IFERROR(IF(OR(J91=0,K91=""),"",IF(E91="Positivo",MIN(MAX(K91/J91,0),1.3),MIN(MAX(J91/K91,0),1.3))),"") </f>
        <v/>
      </c>
      <c r="M91" s="14">
        <f>IFERROR(IF(OR(J91=0,K91=""),"",IF(E91="Positivo",MAX(K91/J91,0),MAX(J91/K91,0))),"") </f>
        <v/>
      </c>
      <c r="N91" s="5" t="inlineStr">
        <is>
          <t>%</t>
        </is>
      </c>
      <c r="O91" s="5" t="inlineStr">
        <is>
          <t>%</t>
        </is>
      </c>
      <c r="P91" s="5" t="n">
        <v>0</v>
      </c>
      <c r="Q91" s="5" t="n">
        <v>0</v>
      </c>
      <c r="R91" s="5" t="inlineStr">
        <is>
          <t>110-2023-12-31</t>
        </is>
      </c>
    </row>
    <row r="92">
      <c r="A92" s="5" t="n">
        <v>111</v>
      </c>
      <c r="B92" s="5" t="inlineStr">
        <is>
          <t>Nivel de Satisfacción Servicios Prestados</t>
        </is>
      </c>
      <c r="C92" s="5" t="inlineStr">
        <is>
          <t>GESTIÓN DE ABASTECIMIENTO</t>
        </is>
      </c>
      <c r="D92" s="5" t="inlineStr">
        <is>
          <t>Semestral</t>
        </is>
      </c>
      <c r="E92" s="5" t="inlineStr">
        <is>
          <t>Positivo</t>
        </is>
      </c>
      <c r="F92" s="107" t="n">
        <v>44834</v>
      </c>
      <c r="G92" s="5" t="n">
        <v>2022</v>
      </c>
      <c r="H92" s="5" t="inlineStr">
        <is>
          <t>Septiembre</t>
        </is>
      </c>
      <c r="I92" s="6" t="inlineStr">
        <is>
          <t>2022-2</t>
        </is>
      </c>
      <c r="J92" s="5" t="n">
        <v>80</v>
      </c>
      <c r="K92" s="5" t="n">
        <v>70</v>
      </c>
      <c r="L92" s="14">
        <f>IFERROR(IF(OR(J92=0,K92=""),"",IF(E92="Positivo",MIN(MAX(K92/J92,0),1.3),MIN(MAX(J92/K92,0),1.3))),"") </f>
        <v/>
      </c>
      <c r="M92" s="14">
        <f>IFERROR(IF(OR(J92=0,K92=""),"",IF(E92="Positivo",MAX(K92/J92,0),MAX(J92/K92,0))),"") </f>
        <v/>
      </c>
      <c r="N92" s="5" t="inlineStr">
        <is>
          <t>%</t>
        </is>
      </c>
      <c r="O92" s="5" t="inlineStr">
        <is>
          <t>%</t>
        </is>
      </c>
      <c r="P92" s="5" t="n">
        <v>0</v>
      </c>
      <c r="Q92" s="5" t="n">
        <v>0</v>
      </c>
      <c r="R92" s="5" t="inlineStr">
        <is>
          <t>111-2022-09-30</t>
        </is>
      </c>
    </row>
    <row r="93">
      <c r="A93" s="5" t="n">
        <v>111</v>
      </c>
      <c r="B93" s="5" t="inlineStr">
        <is>
          <t>Nivel de Satisfacción Servicios Prestados</t>
        </is>
      </c>
      <c r="C93" s="5" t="inlineStr">
        <is>
          <t>GESTIÓN DE ABASTECIMIENTO</t>
        </is>
      </c>
      <c r="D93" s="5" t="inlineStr">
        <is>
          <t>Trimestral</t>
        </is>
      </c>
      <c r="E93" s="5" t="inlineStr">
        <is>
          <t>Positivo</t>
        </is>
      </c>
      <c r="F93" s="107" t="n">
        <v>45291</v>
      </c>
      <c r="G93" s="5" t="n">
        <v>2023</v>
      </c>
      <c r="H93" s="5" t="inlineStr">
        <is>
          <t>Diciembre</t>
        </is>
      </c>
      <c r="I93" s="6" t="inlineStr">
        <is>
          <t>2023-2</t>
        </is>
      </c>
      <c r="J93" s="5" t="n">
        <v>80</v>
      </c>
      <c r="K93" s="5" t="n">
        <v>91.5</v>
      </c>
      <c r="L93" s="14">
        <f>IFERROR(IF(OR(J93=0,K93=""),"",IF(E93="Positivo",MIN(MAX(K93/J93,0),1.3),MIN(MAX(J93/K93,0),1.3))),"") </f>
        <v/>
      </c>
      <c r="M93" s="14">
        <f>IFERROR(IF(OR(J93=0,K93=""),"",IF(E93="Positivo",MAX(K93/J93,0),MAX(J93/K93,0))),"") </f>
        <v/>
      </c>
      <c r="N93" s="5" t="inlineStr">
        <is>
          <t>%</t>
        </is>
      </c>
      <c r="O93" s="5" t="inlineStr">
        <is>
          <t>%</t>
        </is>
      </c>
      <c r="P93" s="5" t="n">
        <v>0</v>
      </c>
      <c r="Q93" s="5" t="n">
        <v>0</v>
      </c>
      <c r="R93" s="5" t="inlineStr">
        <is>
          <t>111-2023-12-31</t>
        </is>
      </c>
    </row>
    <row r="94">
      <c r="A94" s="5" t="n">
        <v>111</v>
      </c>
      <c r="B94" s="5" t="inlineStr">
        <is>
          <t>Nivel de Satisfacción Servicios Prestados</t>
        </is>
      </c>
      <c r="C94" s="5" t="inlineStr">
        <is>
          <t>GESTIÓN DE ABASTECIMIENTO</t>
        </is>
      </c>
      <c r="D94" s="5" t="inlineStr">
        <is>
          <t>Trimestral</t>
        </is>
      </c>
      <c r="E94" s="5" t="inlineStr">
        <is>
          <t>Positivo</t>
        </is>
      </c>
      <c r="F94" s="107" t="n">
        <v>45657</v>
      </c>
      <c r="G94" s="5" t="n">
        <v>2024</v>
      </c>
      <c r="H94" s="5" t="inlineStr">
        <is>
          <t>Diciembre</t>
        </is>
      </c>
      <c r="I94" s="6" t="inlineStr">
        <is>
          <t>2024-2</t>
        </is>
      </c>
      <c r="J94" s="5" t="n">
        <v>80</v>
      </c>
      <c r="K94" s="5" t="n">
        <v>92.675</v>
      </c>
      <c r="L94" s="14">
        <f>IFERROR(IF(OR(J94=0,K94=""),"",IF(E94="Positivo",MIN(MAX(K94/J94,0),1.3),MIN(MAX(J94/K94,0),1.3))),"") </f>
        <v/>
      </c>
      <c r="M94" s="14">
        <f>IFERROR(IF(OR(J94=0,K94=""),"",IF(E94="Positivo",MAX(K94/J94,0),MAX(J94/K94,0))),"") </f>
        <v/>
      </c>
      <c r="N94" s="5" t="inlineStr">
        <is>
          <t>%</t>
        </is>
      </c>
      <c r="O94" s="5" t="inlineStr">
        <is>
          <t>%</t>
        </is>
      </c>
      <c r="P94" s="5" t="n">
        <v>0</v>
      </c>
      <c r="Q94" s="5" t="n">
        <v>0</v>
      </c>
      <c r="R94" s="5" t="inlineStr">
        <is>
          <t>111-2024-12-31</t>
        </is>
      </c>
    </row>
    <row r="95">
      <c r="A95" s="5" t="n">
        <v>111</v>
      </c>
      <c r="B95" s="5" t="inlineStr">
        <is>
          <t>Nivel de Satisfacción Servicios Prestados</t>
        </is>
      </c>
      <c r="C95" s="5" t="inlineStr">
        <is>
          <t>GESTIÓN DE ABASTECIMIENTO</t>
        </is>
      </c>
      <c r="D95" s="5" t="inlineStr">
        <is>
          <t>Semestral</t>
        </is>
      </c>
      <c r="E95" s="5" t="inlineStr">
        <is>
          <t>Positivo</t>
        </is>
      </c>
      <c r="F95" s="107" t="n">
        <v>46022</v>
      </c>
      <c r="G95" s="5" t="n">
        <v>2025</v>
      </c>
      <c r="H95" s="5" t="inlineStr">
        <is>
          <t>Diciembre</t>
        </is>
      </c>
      <c r="I95" s="6" t="inlineStr">
        <is>
          <t>2025-2</t>
        </is>
      </c>
      <c r="J95" s="5" t="n">
        <v>80</v>
      </c>
      <c r="K95" s="5" t="n">
        <v>95.45</v>
      </c>
      <c r="L95" s="14">
        <f>IFERROR(IF(OR(J95=0,K95=""),"",IF(E95="Positivo",MIN(MAX(K95/J95,0),1.3),MIN(MAX(J95/K95,0),1.3))),"") </f>
        <v/>
      </c>
      <c r="M95" s="14">
        <f>IFERROR(IF(OR(J95=0,K95=""),"",IF(E95="Positivo",MAX(K95/J95,0),MAX(J95/K95,0))),"") </f>
        <v/>
      </c>
      <c r="N95" s="5" t="inlineStr">
        <is>
          <t>%</t>
        </is>
      </c>
      <c r="O95" s="5" t="inlineStr">
        <is>
          <t>%</t>
        </is>
      </c>
      <c r="P95" s="5" t="n">
        <v>0</v>
      </c>
      <c r="Q95" s="5" t="n">
        <v>0</v>
      </c>
      <c r="R95" s="5" t="inlineStr">
        <is>
          <t>111-2025-12-31</t>
        </is>
      </c>
    </row>
    <row r="96">
      <c r="A96" s="5" t="n">
        <v>112</v>
      </c>
      <c r="B96" s="5" t="inlineStr">
        <is>
          <t>Nivel de Satisfacción Servicios Prestados</t>
        </is>
      </c>
      <c r="C96" s="5" t="inlineStr">
        <is>
          <t>Gestión Infraestructura Física</t>
        </is>
      </c>
      <c r="D96" s="5" t="inlineStr">
        <is>
          <t>Anual</t>
        </is>
      </c>
      <c r="E96" s="5" t="inlineStr">
        <is>
          <t>Positivo</t>
        </is>
      </c>
      <c r="F96" s="107" t="n">
        <v>44865</v>
      </c>
      <c r="G96" s="5" t="n">
        <v>2022</v>
      </c>
      <c r="H96" s="5" t="inlineStr">
        <is>
          <t>Octubre</t>
        </is>
      </c>
      <c r="I96" s="6" t="inlineStr">
        <is>
          <t>2022-2</t>
        </is>
      </c>
      <c r="J96" s="5" t="n">
        <v>80</v>
      </c>
      <c r="K96" s="5" t="n">
        <v>85</v>
      </c>
      <c r="L96" s="14">
        <f>IFERROR(IF(OR(J96=0,K96=""),"",IF(E96="Positivo",MIN(MAX(K96/J96,0),1.3),MIN(MAX(J96/K96,0),1.3))),"") </f>
        <v/>
      </c>
      <c r="M96" s="14">
        <f>IFERROR(IF(OR(J96=0,K96=""),"",IF(E96="Positivo",MAX(K96/J96,0),MAX(J96/K96,0))),"") </f>
        <v/>
      </c>
      <c r="N96" s="5" t="inlineStr">
        <is>
          <t>%</t>
        </is>
      </c>
      <c r="O96" s="5" t="inlineStr">
        <is>
          <t>%</t>
        </is>
      </c>
      <c r="P96" s="5" t="n">
        <v>0</v>
      </c>
      <c r="Q96" s="5" t="n">
        <v>0</v>
      </c>
      <c r="R96" s="5" t="inlineStr">
        <is>
          <t>112-2022-10-31</t>
        </is>
      </c>
    </row>
    <row r="97">
      <c r="A97" s="5" t="n">
        <v>112</v>
      </c>
      <c r="B97" s="5" t="inlineStr">
        <is>
          <t>Nivel de Satisfacción Servicios Prestados</t>
        </is>
      </c>
      <c r="C97" s="5" t="inlineStr">
        <is>
          <t>Gestión Infraestructura Física</t>
        </is>
      </c>
      <c r="D97" s="5" t="inlineStr">
        <is>
          <t>Anual</t>
        </is>
      </c>
      <c r="E97" s="5" t="inlineStr">
        <is>
          <t>Positivo</t>
        </is>
      </c>
      <c r="F97" s="107" t="n">
        <v>45230</v>
      </c>
      <c r="G97" s="5" t="n">
        <v>2023</v>
      </c>
      <c r="H97" s="5" t="inlineStr">
        <is>
          <t>Octubre</t>
        </is>
      </c>
      <c r="I97" s="6" t="inlineStr">
        <is>
          <t>2023-2</t>
        </is>
      </c>
      <c r="J97" s="5" t="n">
        <v>80</v>
      </c>
      <c r="K97" s="5" t="n">
        <v>90</v>
      </c>
      <c r="L97" s="14">
        <f>IFERROR(IF(OR(J97=0,K97=""),"",IF(E97="Positivo",MIN(MAX(K97/J97,0),1.3),MIN(MAX(J97/K97,0),1.3))),"") </f>
        <v/>
      </c>
      <c r="M97" s="14">
        <f>IFERROR(IF(OR(J97=0,K97=""),"",IF(E97="Positivo",MAX(K97/J97,0),MAX(J97/K97,0))),"") </f>
        <v/>
      </c>
      <c r="N97" s="5" t="inlineStr">
        <is>
          <t>%</t>
        </is>
      </c>
      <c r="O97" s="5" t="inlineStr">
        <is>
          <t>%</t>
        </is>
      </c>
      <c r="P97" s="5" t="n">
        <v>0</v>
      </c>
      <c r="Q97" s="5" t="n">
        <v>0</v>
      </c>
      <c r="R97" s="5" t="inlineStr">
        <is>
          <t>112-2023-10-31</t>
        </is>
      </c>
    </row>
    <row r="98">
      <c r="A98" s="5" t="n">
        <v>112</v>
      </c>
      <c r="B98" s="5" t="inlineStr">
        <is>
          <t>Nivel de Satisfacción Servicios Prestados</t>
        </is>
      </c>
      <c r="C98" s="5" t="inlineStr">
        <is>
          <t>Gestión Infraestructura Física</t>
        </is>
      </c>
      <c r="D98" s="5" t="inlineStr">
        <is>
          <t>Anual</t>
        </is>
      </c>
      <c r="E98" s="5" t="inlineStr">
        <is>
          <t>Positivo</t>
        </is>
      </c>
      <c r="F98" s="107" t="n">
        <v>45596</v>
      </c>
      <c r="G98" s="5" t="n">
        <v>2024</v>
      </c>
      <c r="H98" s="5" t="inlineStr">
        <is>
          <t>Octubre</t>
        </is>
      </c>
      <c r="I98" s="6" t="inlineStr">
        <is>
          <t>2024-2</t>
        </is>
      </c>
      <c r="J98" s="5" t="n">
        <v>80</v>
      </c>
      <c r="K98" s="5" t="n">
        <v>90</v>
      </c>
      <c r="L98" s="14">
        <f>IFERROR(IF(OR(J98=0,K98=""),"",IF(E98="Positivo",MIN(MAX(K98/J98,0),1.3),MIN(MAX(J98/K98,0),1.3))),"") </f>
        <v/>
      </c>
      <c r="M98" s="14">
        <f>IFERROR(IF(OR(J98=0,K98=""),"",IF(E98="Positivo",MAX(K98/J98,0),MAX(J98/K98,0))),"") </f>
        <v/>
      </c>
      <c r="N98" s="5" t="inlineStr">
        <is>
          <t>%</t>
        </is>
      </c>
      <c r="O98" s="5" t="inlineStr">
        <is>
          <t>%</t>
        </is>
      </c>
      <c r="P98" s="5" t="n">
        <v>0</v>
      </c>
      <c r="Q98" s="5" t="n">
        <v>0</v>
      </c>
      <c r="R98" s="5" t="inlineStr">
        <is>
          <t>112-2024-10-31</t>
        </is>
      </c>
    </row>
    <row r="99">
      <c r="A99" s="5" t="n">
        <v>112</v>
      </c>
      <c r="B99" s="5" t="inlineStr">
        <is>
          <t>Nivel de Satisfacción Servicios Prestados</t>
        </is>
      </c>
      <c r="C99" s="5" t="inlineStr">
        <is>
          <t>Gestión Infraestructura Física</t>
        </is>
      </c>
      <c r="D99" s="5" t="inlineStr">
        <is>
          <t>Anual</t>
        </is>
      </c>
      <c r="E99" s="5" t="inlineStr">
        <is>
          <t>Positivo</t>
        </is>
      </c>
      <c r="F99" s="107" t="n">
        <v>45961</v>
      </c>
      <c r="G99" s="5" t="n">
        <v>2025</v>
      </c>
      <c r="H99" s="5" t="inlineStr">
        <is>
          <t>Octubre</t>
        </is>
      </c>
      <c r="I99" s="6" t="inlineStr">
        <is>
          <t>2025-2</t>
        </is>
      </c>
      <c r="J99" s="5" t="n">
        <v>80</v>
      </c>
      <c r="K99" s="5" t="n">
        <v>90</v>
      </c>
      <c r="L99" s="14">
        <f>IFERROR(IF(OR(J99=0,K99=""),"",IF(E99="Positivo",MIN(MAX(K99/J99,0),1.3),MIN(MAX(J99/K99,0),1.3))),"") </f>
        <v/>
      </c>
      <c r="M99" s="14">
        <f>IFERROR(IF(OR(J99=0,K99=""),"",IF(E99="Positivo",MAX(K99/J99,0),MAX(J99/K99,0))),"") </f>
        <v/>
      </c>
      <c r="N99" s="5" t="inlineStr">
        <is>
          <t>%</t>
        </is>
      </c>
      <c r="O99" s="5" t="inlineStr">
        <is>
          <t>%</t>
        </is>
      </c>
      <c r="P99" s="5" t="n">
        <v>0</v>
      </c>
      <c r="Q99" s="5" t="n">
        <v>0</v>
      </c>
      <c r="R99" s="5" t="inlineStr">
        <is>
          <t>112-2025-10-31</t>
        </is>
      </c>
    </row>
    <row r="100">
      <c r="A100" s="5" t="n">
        <v>113</v>
      </c>
      <c r="B100" s="5" t="inlineStr">
        <is>
          <t>Nivel de Satisfacción Servicios Prestados</t>
        </is>
      </c>
      <c r="C100" s="5" t="inlineStr">
        <is>
          <t>Gestión y Desarrollo del Talento Humano</t>
        </is>
      </c>
      <c r="D100" s="5" t="inlineStr">
        <is>
          <t>Anual</t>
        </is>
      </c>
      <c r="E100" s="5" t="inlineStr">
        <is>
          <t>Positivo</t>
        </is>
      </c>
      <c r="F100" s="107" t="n">
        <v>44865</v>
      </c>
      <c r="G100" s="5" t="n">
        <v>2022</v>
      </c>
      <c r="H100" s="5" t="inlineStr">
        <is>
          <t>Octubre</t>
        </is>
      </c>
      <c r="I100" s="6" t="inlineStr">
        <is>
          <t>2022-2</t>
        </is>
      </c>
      <c r="J100" s="5" t="n">
        <v>80</v>
      </c>
      <c r="K100" s="5" t="n">
        <v>78</v>
      </c>
      <c r="L100" s="14">
        <f>IFERROR(IF(OR(J100=0,K100=""),"",IF(E100="Positivo",MIN(MAX(K100/J100,0),1.3),MIN(MAX(J100/K100,0),1.3))),"") </f>
        <v/>
      </c>
      <c r="M100" s="14">
        <f>IFERROR(IF(OR(J100=0,K100=""),"",IF(E100="Positivo",MAX(K100/J100,0),MAX(J100/K100,0))),"") </f>
        <v/>
      </c>
      <c r="N100" s="5" t="inlineStr">
        <is>
          <t>%</t>
        </is>
      </c>
      <c r="O100" s="5" t="inlineStr">
        <is>
          <t>%</t>
        </is>
      </c>
      <c r="P100" s="5" t="n">
        <v>0</v>
      </c>
      <c r="Q100" s="5" t="n">
        <v>0</v>
      </c>
      <c r="R100" s="5" t="inlineStr">
        <is>
          <t>113-2022-10-31</t>
        </is>
      </c>
    </row>
    <row r="101">
      <c r="A101" s="5" t="n">
        <v>113</v>
      </c>
      <c r="B101" s="5" t="inlineStr">
        <is>
          <t>Nivel de Satisfacción Servicios Prestados</t>
        </is>
      </c>
      <c r="C101" s="5" t="inlineStr">
        <is>
          <t>Gestión y Desarrollo del Talento Humano</t>
        </is>
      </c>
      <c r="D101" s="5" t="inlineStr">
        <is>
          <t>Anual</t>
        </is>
      </c>
      <c r="E101" s="5" t="inlineStr">
        <is>
          <t>Positivo</t>
        </is>
      </c>
      <c r="F101" s="107" t="n">
        <v>45230</v>
      </c>
      <c r="G101" s="5" t="n">
        <v>2023</v>
      </c>
      <c r="H101" s="5" t="inlineStr">
        <is>
          <t>Octubre</t>
        </is>
      </c>
      <c r="I101" s="6" t="inlineStr">
        <is>
          <t>2023-2</t>
        </is>
      </c>
      <c r="J101" s="5" t="n">
        <v>80</v>
      </c>
      <c r="K101" s="5" t="n">
        <v>88</v>
      </c>
      <c r="L101" s="14">
        <f>IFERROR(IF(OR(J101=0,K101=""),"",IF(E101="Positivo",MIN(MAX(K101/J101,0),1.3),MIN(MAX(J101/K101,0),1.3))),"") </f>
        <v/>
      </c>
      <c r="M101" s="14">
        <f>IFERROR(IF(OR(J101=0,K101=""),"",IF(E101="Positivo",MAX(K101/J101,0),MAX(J101/K101,0))),"") </f>
        <v/>
      </c>
      <c r="N101" s="5" t="inlineStr">
        <is>
          <t>%</t>
        </is>
      </c>
      <c r="O101" s="5" t="inlineStr">
        <is>
          <t>%</t>
        </is>
      </c>
      <c r="P101" s="5" t="n">
        <v>0</v>
      </c>
      <c r="Q101" s="5" t="n">
        <v>0</v>
      </c>
      <c r="R101" s="5" t="inlineStr">
        <is>
          <t>113-2023-10-31</t>
        </is>
      </c>
    </row>
    <row r="102">
      <c r="A102" s="5" t="n">
        <v>113</v>
      </c>
      <c r="B102" s="5" t="inlineStr">
        <is>
          <t>Nivel de Satisfacción Servicios Prestados</t>
        </is>
      </c>
      <c r="C102" s="5" t="inlineStr">
        <is>
          <t>Gestión y Desarrollo del Talento Humano</t>
        </is>
      </c>
      <c r="D102" s="5" t="inlineStr">
        <is>
          <t>Anual</t>
        </is>
      </c>
      <c r="E102" s="5" t="inlineStr">
        <is>
          <t>Positivo</t>
        </is>
      </c>
      <c r="F102" s="107" t="n">
        <v>45596</v>
      </c>
      <c r="G102" s="5" t="n">
        <v>2024</v>
      </c>
      <c r="H102" s="5" t="inlineStr">
        <is>
          <t>Octubre</t>
        </is>
      </c>
      <c r="I102" s="6" t="inlineStr">
        <is>
          <t>2024-2</t>
        </is>
      </c>
      <c r="J102" s="5" t="n">
        <v>80</v>
      </c>
      <c r="K102" s="5" t="n">
        <v>88</v>
      </c>
      <c r="L102" s="14">
        <f>IFERROR(IF(OR(J102=0,K102=""),"",IF(E102="Positivo",MIN(MAX(K102/J102,0),1.3),MIN(MAX(J102/K102,0),1.3))),"") </f>
        <v/>
      </c>
      <c r="M102" s="14">
        <f>IFERROR(IF(OR(J102=0,K102=""),"",IF(E102="Positivo",MAX(K102/J102,0),MAX(J102/K102,0))),"") </f>
        <v/>
      </c>
      <c r="N102" s="5" t="inlineStr">
        <is>
          <t>%</t>
        </is>
      </c>
      <c r="O102" s="5" t="inlineStr">
        <is>
          <t>%</t>
        </is>
      </c>
      <c r="P102" s="5" t="n">
        <v>0</v>
      </c>
      <c r="Q102" s="5" t="n">
        <v>0</v>
      </c>
      <c r="R102" s="5" t="inlineStr">
        <is>
          <t>113-2024-10-31</t>
        </is>
      </c>
    </row>
    <row r="103">
      <c r="A103" s="5" t="n">
        <v>113</v>
      </c>
      <c r="B103" s="5" t="inlineStr">
        <is>
          <t>Nivel de Satisfacción Servicios Prestados</t>
        </is>
      </c>
      <c r="C103" s="5" t="inlineStr">
        <is>
          <t>GESTIÓN Y DESARROLLO DEL TALENTO HUMANO</t>
        </is>
      </c>
      <c r="D103" s="5" t="inlineStr">
        <is>
          <t>Anual</t>
        </is>
      </c>
      <c r="E103" s="5" t="inlineStr">
        <is>
          <t>Positivo</t>
        </is>
      </c>
      <c r="F103" s="107" t="n">
        <v>45961</v>
      </c>
      <c r="G103" s="5" t="n">
        <v>2025</v>
      </c>
      <c r="H103" s="5" t="inlineStr">
        <is>
          <t>Octubre</t>
        </is>
      </c>
      <c r="I103" s="6" t="inlineStr">
        <is>
          <t>2025-2</t>
        </is>
      </c>
      <c r="J103" s="5" t="n">
        <v>80</v>
      </c>
      <c r="K103" s="5" t="n">
        <v>94</v>
      </c>
      <c r="L103" s="14">
        <f>IFERROR(IF(OR(J103=0,K103=""),"",IF(E103="Positivo",MIN(MAX(K103/J103,0),1.3),MIN(MAX(J103/K103,0),1.3))),"") </f>
        <v/>
      </c>
      <c r="M103" s="14">
        <f>IFERROR(IF(OR(J103=0,K103=""),"",IF(E103="Positivo",MAX(K103/J103,0),MAX(J103/K103,0))),"") </f>
        <v/>
      </c>
      <c r="N103" s="5" t="inlineStr">
        <is>
          <t>%</t>
        </is>
      </c>
      <c r="O103" s="5" t="inlineStr">
        <is>
          <t>%</t>
        </is>
      </c>
      <c r="P103" s="5" t="n">
        <v>0</v>
      </c>
      <c r="Q103" s="5" t="n">
        <v>0</v>
      </c>
      <c r="R103" s="5" t="inlineStr">
        <is>
          <t>113-2025-10-31</t>
        </is>
      </c>
    </row>
    <row r="104">
      <c r="A104" s="5" t="n">
        <v>114</v>
      </c>
      <c r="B104" s="5" t="inlineStr">
        <is>
          <t>Nivel de Satisfacción Servicios Prestados</t>
        </is>
      </c>
      <c r="C104" s="5" t="inlineStr">
        <is>
          <t>Gestión de la tecnología e innovación digital</t>
        </is>
      </c>
      <c r="D104" s="5" t="inlineStr">
        <is>
          <t>Anual</t>
        </is>
      </c>
      <c r="E104" s="5" t="inlineStr">
        <is>
          <t>Positivo</t>
        </is>
      </c>
      <c r="F104" s="107" t="n">
        <v>44865</v>
      </c>
      <c r="G104" s="5" t="n">
        <v>2022</v>
      </c>
      <c r="H104" s="5" t="inlineStr">
        <is>
          <t>Octubre</t>
        </is>
      </c>
      <c r="I104" s="6" t="inlineStr">
        <is>
          <t>2022-2</t>
        </is>
      </c>
      <c r="J104" s="5" t="n">
        <v>80</v>
      </c>
      <c r="K104" s="5" t="n">
        <v>82</v>
      </c>
      <c r="L104" s="14">
        <f>IFERROR(IF(OR(J104=0,K104=""),"",IF(E104="Positivo",MIN(MAX(K104/J104,0),1.3),MIN(MAX(J104/K104,0),1.3))),"") </f>
        <v/>
      </c>
      <c r="M104" s="14">
        <f>IFERROR(IF(OR(J104=0,K104=""),"",IF(E104="Positivo",MAX(K104/J104,0),MAX(J104/K104,0))),"") </f>
        <v/>
      </c>
      <c r="N104" s="5" t="inlineStr">
        <is>
          <t>%</t>
        </is>
      </c>
      <c r="O104" s="5" t="inlineStr">
        <is>
          <t>%</t>
        </is>
      </c>
      <c r="P104" s="5" t="n">
        <v>0</v>
      </c>
      <c r="Q104" s="5" t="n">
        <v>0</v>
      </c>
      <c r="R104" s="5" t="inlineStr">
        <is>
          <t>114-2022-10-31</t>
        </is>
      </c>
    </row>
    <row r="105">
      <c r="A105" s="5" t="n">
        <v>114</v>
      </c>
      <c r="B105" s="5" t="inlineStr">
        <is>
          <t>Nivel de Satisfacción Servicios Prestados</t>
        </is>
      </c>
      <c r="C105" s="5" t="inlineStr">
        <is>
          <t>Gestión de la tecnología e innovación digital</t>
        </is>
      </c>
      <c r="D105" s="5" t="inlineStr">
        <is>
          <t>Anual</t>
        </is>
      </c>
      <c r="E105" s="5" t="inlineStr">
        <is>
          <t>Positivo</t>
        </is>
      </c>
      <c r="F105" s="107" t="n">
        <v>45230</v>
      </c>
      <c r="G105" s="5" t="n">
        <v>2023</v>
      </c>
      <c r="H105" s="5" t="inlineStr">
        <is>
          <t>Octubre</t>
        </is>
      </c>
      <c r="I105" s="6" t="inlineStr">
        <is>
          <t>2023-2</t>
        </is>
      </c>
      <c r="J105" s="5" t="n">
        <v>80</v>
      </c>
      <c r="K105" s="5" t="n">
        <v>86</v>
      </c>
      <c r="L105" s="14">
        <f>IFERROR(IF(OR(J105=0,K105=""),"",IF(E105="Positivo",MIN(MAX(K105/J105,0),1.3),MIN(MAX(J105/K105,0),1.3))),"") </f>
        <v/>
      </c>
      <c r="M105" s="14">
        <f>IFERROR(IF(OR(J105=0,K105=""),"",IF(E105="Positivo",MAX(K105/J105,0),MAX(J105/K105,0))),"") </f>
        <v/>
      </c>
      <c r="N105" s="5" t="inlineStr">
        <is>
          <t>%</t>
        </is>
      </c>
      <c r="O105" s="5" t="inlineStr">
        <is>
          <t>%</t>
        </is>
      </c>
      <c r="P105" s="5" t="n">
        <v>0</v>
      </c>
      <c r="Q105" s="5" t="n">
        <v>0</v>
      </c>
      <c r="R105" s="5" t="inlineStr">
        <is>
          <t>114-2023-10-31</t>
        </is>
      </c>
    </row>
    <row r="106">
      <c r="A106" s="5" t="n">
        <v>114</v>
      </c>
      <c r="B106" s="5" t="inlineStr">
        <is>
          <t>Nivel de Satisfacción Servicios Prestados</t>
        </is>
      </c>
      <c r="C106" s="5" t="inlineStr">
        <is>
          <t>GESTIÓN DE LA TECNOLOGÍA E INNOVACIÓN DIGITAL</t>
        </is>
      </c>
      <c r="D106" s="5" t="inlineStr">
        <is>
          <t>Anual</t>
        </is>
      </c>
      <c r="E106" s="5" t="inlineStr">
        <is>
          <t>Positivo</t>
        </is>
      </c>
      <c r="F106" s="107" t="n">
        <v>45596</v>
      </c>
      <c r="G106" s="5" t="n">
        <v>2024</v>
      </c>
      <c r="H106" s="5" t="inlineStr">
        <is>
          <t>Octubre</t>
        </is>
      </c>
      <c r="I106" s="6" t="inlineStr">
        <is>
          <t>2024-2</t>
        </is>
      </c>
      <c r="J106" s="5" t="n">
        <v>80</v>
      </c>
      <c r="K106" s="5" t="n">
        <v>81</v>
      </c>
      <c r="L106" s="14">
        <f>IFERROR(IF(OR(J106=0,K106=""),"",IF(E106="Positivo",MIN(MAX(K106/J106,0),1.3),MIN(MAX(J106/K106,0),1.3))),"") </f>
        <v/>
      </c>
      <c r="M106" s="14">
        <f>IFERROR(IF(OR(J106=0,K106=""),"",IF(E106="Positivo",MAX(K106/J106,0),MAX(J106/K106,0))),"") </f>
        <v/>
      </c>
      <c r="N106" s="5" t="inlineStr">
        <is>
          <t>%</t>
        </is>
      </c>
      <c r="O106" s="5" t="inlineStr">
        <is>
          <t>%</t>
        </is>
      </c>
      <c r="P106" s="5" t="n">
        <v>0</v>
      </c>
      <c r="Q106" s="5" t="n">
        <v>0</v>
      </c>
      <c r="R106" s="5" t="inlineStr">
        <is>
          <t>114-2024-10-31</t>
        </is>
      </c>
    </row>
    <row r="107">
      <c r="A107" s="5" t="n">
        <v>114</v>
      </c>
      <c r="B107" s="5" t="inlineStr">
        <is>
          <t>Nivel de Satisfacción Servicios Prestados</t>
        </is>
      </c>
      <c r="C107" s="5" t="inlineStr">
        <is>
          <t>GESTIÓN DE LA TECNOLOGÍA E INNOVACIÓN DIGITAL</t>
        </is>
      </c>
      <c r="D107" s="5" t="inlineStr">
        <is>
          <t>Anual</t>
        </is>
      </c>
      <c r="E107" s="5" t="inlineStr">
        <is>
          <t>Positivo</t>
        </is>
      </c>
      <c r="F107" s="107" t="n">
        <v>45961</v>
      </c>
      <c r="G107" s="5" t="n">
        <v>2025</v>
      </c>
      <c r="H107" s="5" t="inlineStr">
        <is>
          <t>Octubre</t>
        </is>
      </c>
      <c r="I107" s="6" t="inlineStr">
        <is>
          <t>2025-2</t>
        </is>
      </c>
      <c r="J107" s="5" t="n">
        <v>80</v>
      </c>
      <c r="K107" s="5" t="n">
        <v>74</v>
      </c>
      <c r="L107" s="14">
        <f>IFERROR(IF(OR(J107=0,K107=""),"",IF(E107="Positivo",MIN(MAX(K107/J107,0),1.3),MIN(MAX(J107/K107,0),1.3))),"") </f>
        <v/>
      </c>
      <c r="M107" s="14">
        <f>IFERROR(IF(OR(J107=0,K107=""),"",IF(E107="Positivo",MAX(K107/J107,0),MAX(J107/K107,0))),"") </f>
        <v/>
      </c>
      <c r="N107" s="5" t="inlineStr">
        <is>
          <t>%</t>
        </is>
      </c>
      <c r="O107" s="5" t="inlineStr">
        <is>
          <t>%</t>
        </is>
      </c>
      <c r="P107" s="5" t="n">
        <v>0</v>
      </c>
      <c r="Q107" s="5" t="n">
        <v>0</v>
      </c>
      <c r="R107" s="5" t="inlineStr">
        <is>
          <t>114-2025-10-31</t>
        </is>
      </c>
    </row>
    <row r="108">
      <c r="A108" s="5" t="n">
        <v>115</v>
      </c>
      <c r="B108" s="5" t="inlineStr">
        <is>
          <t>Nivel de Satisfacción Servicios Prestados</t>
        </is>
      </c>
      <c r="C108" s="5" t="inlineStr">
        <is>
          <t>GESTIÓN DE SEGURIDAD Y SALUD EN EL TRABAJO</t>
        </is>
      </c>
      <c r="D108" s="5" t="inlineStr">
        <is>
          <t>Anual</t>
        </is>
      </c>
      <c r="E108" s="5" t="inlineStr">
        <is>
          <t>Positivo</t>
        </is>
      </c>
      <c r="F108" s="107" t="n">
        <v>44865</v>
      </c>
      <c r="G108" s="5" t="n">
        <v>2022</v>
      </c>
      <c r="H108" s="5" t="inlineStr">
        <is>
          <t>Octubre</t>
        </is>
      </c>
      <c r="I108" s="6" t="inlineStr">
        <is>
          <t>2022-2</t>
        </is>
      </c>
      <c r="J108" s="5" t="n">
        <v>80</v>
      </c>
      <c r="K108" s="5" t="n">
        <v>90</v>
      </c>
      <c r="L108" s="14">
        <f>IFERROR(IF(OR(J108=0,K108=""),"",IF(E108="Positivo",MIN(MAX(K108/J108,0),1.3),MIN(MAX(J108/K108,0),1.3))),"") </f>
        <v/>
      </c>
      <c r="M108" s="14">
        <f>IFERROR(IF(OR(J108=0,K108=""),"",IF(E108="Positivo",MAX(K108/J108,0),MAX(J108/K108,0))),"") </f>
        <v/>
      </c>
      <c r="N108" s="5" t="inlineStr">
        <is>
          <t>%</t>
        </is>
      </c>
      <c r="O108" s="5" t="inlineStr">
        <is>
          <t>%</t>
        </is>
      </c>
      <c r="P108" s="5" t="n">
        <v>0</v>
      </c>
      <c r="Q108" s="5" t="n">
        <v>0</v>
      </c>
      <c r="R108" s="5" t="inlineStr">
        <is>
          <t>115-2022-10-31</t>
        </is>
      </c>
    </row>
    <row r="109">
      <c r="A109" s="5" t="n">
        <v>115</v>
      </c>
      <c r="B109" s="5" t="inlineStr">
        <is>
          <t>Nivel de Satisfacción Servicios Prestados</t>
        </is>
      </c>
      <c r="C109" s="5" t="inlineStr">
        <is>
          <t>GESTIÓN DE SEGURIDAD Y SALUD EN EL TRABAJO</t>
        </is>
      </c>
      <c r="D109" s="5" t="inlineStr">
        <is>
          <t>Anual</t>
        </is>
      </c>
      <c r="E109" s="5" t="inlineStr">
        <is>
          <t>Positivo</t>
        </is>
      </c>
      <c r="F109" s="107" t="n">
        <v>45230</v>
      </c>
      <c r="G109" s="5" t="n">
        <v>2023</v>
      </c>
      <c r="H109" s="5" t="inlineStr">
        <is>
          <t>Octubre</t>
        </is>
      </c>
      <c r="I109" s="6" t="inlineStr">
        <is>
          <t>2023-2</t>
        </is>
      </c>
      <c r="J109" s="5" t="n">
        <v>80</v>
      </c>
      <c r="K109" s="5" t="n">
        <v>91</v>
      </c>
      <c r="L109" s="14">
        <f>IFERROR(IF(OR(J109=0,K109=""),"",IF(E109="Positivo",MIN(MAX(K109/J109,0),1.3),MIN(MAX(J109/K109,0),1.3))),"") </f>
        <v/>
      </c>
      <c r="M109" s="14">
        <f>IFERROR(IF(OR(J109=0,K109=""),"",IF(E109="Positivo",MAX(K109/J109,0),MAX(J109/K109,0))),"") </f>
        <v/>
      </c>
      <c r="N109" s="5" t="inlineStr">
        <is>
          <t>%</t>
        </is>
      </c>
      <c r="O109" s="5" t="inlineStr">
        <is>
          <t>%</t>
        </is>
      </c>
      <c r="P109" s="5" t="n">
        <v>0</v>
      </c>
      <c r="Q109" s="5" t="n">
        <v>0</v>
      </c>
      <c r="R109" s="5" t="inlineStr">
        <is>
          <t>115-2023-10-31</t>
        </is>
      </c>
    </row>
    <row r="110">
      <c r="A110" s="5" t="n">
        <v>115</v>
      </c>
      <c r="B110" s="5" t="inlineStr">
        <is>
          <t>Nivel de Satisfacción Servicios Prestados</t>
        </is>
      </c>
      <c r="C110" s="5" t="inlineStr">
        <is>
          <t>GESTIÓN DE SEGURIDAD Y SALUD EN EL TRABAJO</t>
        </is>
      </c>
      <c r="D110" s="5" t="inlineStr">
        <is>
          <t>Anual</t>
        </is>
      </c>
      <c r="E110" s="5" t="inlineStr">
        <is>
          <t>Positivo</t>
        </is>
      </c>
      <c r="F110" s="107" t="n">
        <v>45596</v>
      </c>
      <c r="G110" s="5" t="n">
        <v>2024</v>
      </c>
      <c r="H110" s="5" t="inlineStr">
        <is>
          <t>Octubre</t>
        </is>
      </c>
      <c r="I110" s="6" t="inlineStr">
        <is>
          <t>2024-2</t>
        </is>
      </c>
      <c r="J110" s="5" t="n">
        <v>80</v>
      </c>
      <c r="K110" s="5" t="n">
        <v>90</v>
      </c>
      <c r="L110" s="14">
        <f>IFERROR(IF(OR(J110=0,K110=""),"",IF(E110="Positivo",MIN(MAX(K110/J110,0),1.3),MIN(MAX(J110/K110,0),1.3))),"") </f>
        <v/>
      </c>
      <c r="M110" s="14">
        <f>IFERROR(IF(OR(J110=0,K110=""),"",IF(E110="Positivo",MAX(K110/J110,0),MAX(J110/K110,0))),"") </f>
        <v/>
      </c>
      <c r="N110" s="5" t="inlineStr">
        <is>
          <t>%</t>
        </is>
      </c>
      <c r="O110" s="5" t="inlineStr">
        <is>
          <t>%</t>
        </is>
      </c>
      <c r="P110" s="5" t="n">
        <v>0</v>
      </c>
      <c r="Q110" s="5" t="n">
        <v>0</v>
      </c>
      <c r="R110" s="5" t="inlineStr">
        <is>
          <t>115-2024-10-31</t>
        </is>
      </c>
      <c r="S110" t="inlineStr"/>
    </row>
    <row r="111">
      <c r="A111" s="5" t="n">
        <v>115</v>
      </c>
      <c r="B111" s="5" t="inlineStr">
        <is>
          <t>Nivel de Satisfacción Servicios Prestados</t>
        </is>
      </c>
      <c r="C111" s="5" t="inlineStr">
        <is>
          <t>GESTIÓN DE SEGURIDAD Y SALUD EN EL TRABAJO</t>
        </is>
      </c>
      <c r="D111" s="5" t="inlineStr">
        <is>
          <t>Anual</t>
        </is>
      </c>
      <c r="E111" s="5" t="inlineStr">
        <is>
          <t>Positivo</t>
        </is>
      </c>
      <c r="F111" s="107" t="n">
        <v>45657</v>
      </c>
      <c r="G111" s="5" t="n">
        <v>2024</v>
      </c>
      <c r="H111" s="5" t="inlineStr">
        <is>
          <t>Diciembre</t>
        </is>
      </c>
      <c r="I111" s="6" t="inlineStr">
        <is>
          <t>2024-2</t>
        </is>
      </c>
      <c r="J111" s="5" t="n"/>
      <c r="K111" s="5" t="n"/>
      <c r="L111" s="14" t="n"/>
      <c r="M111" s="14" t="n"/>
      <c r="N111" s="5" t="inlineStr">
        <is>
          <t>%</t>
        </is>
      </c>
      <c r="O111" s="5" t="inlineStr">
        <is>
          <t>%</t>
        </is>
      </c>
      <c r="P111" s="5" t="n">
        <v>0</v>
      </c>
      <c r="Q111" s="5" t="n">
        <v>0</v>
      </c>
      <c r="R111" s="5" t="inlineStr">
        <is>
          <t>115-2024-12-31</t>
        </is>
      </c>
    </row>
    <row r="112">
      <c r="A112" s="5" t="n">
        <v>115</v>
      </c>
      <c r="B112" s="5" t="inlineStr">
        <is>
          <t>Nivel de Satisfacción Servicios Prestados</t>
        </is>
      </c>
      <c r="C112" s="5" t="inlineStr">
        <is>
          <t>GESTIÓN DE SEGURIDAD Y SALUD EN EL TRABAJO</t>
        </is>
      </c>
      <c r="D112" s="5" t="inlineStr">
        <is>
          <t>Anual</t>
        </is>
      </c>
      <c r="E112" s="5" t="inlineStr">
        <is>
          <t>Positivo</t>
        </is>
      </c>
      <c r="F112" s="107" t="n">
        <v>45961</v>
      </c>
      <c r="G112" s="5" t="n">
        <v>2025</v>
      </c>
      <c r="H112" s="5" t="inlineStr">
        <is>
          <t>Octubre</t>
        </is>
      </c>
      <c r="I112" s="6" t="inlineStr">
        <is>
          <t>2025-2</t>
        </is>
      </c>
      <c r="J112" s="5" t="n">
        <v>80</v>
      </c>
      <c r="K112" s="5" t="n">
        <v>89</v>
      </c>
      <c r="L112" s="14">
        <f>IFERROR(IF(OR(J112=0,K112=""),"",IF(E112="Positivo",MIN(MAX(K112/J112,0),1.3),MIN(MAX(J112/K112,0),1.3))),"") </f>
        <v/>
      </c>
      <c r="M112" s="14">
        <f>IFERROR(IF(OR(J112=0,K112=""),"",IF(E112="Positivo",MAX(K112/J112,0),MAX(J112/K112,0))),"") </f>
        <v/>
      </c>
      <c r="N112" s="5" t="inlineStr">
        <is>
          <t>%</t>
        </is>
      </c>
      <c r="O112" s="5" t="inlineStr">
        <is>
          <t>%</t>
        </is>
      </c>
      <c r="P112" s="5" t="n">
        <v>0</v>
      </c>
      <c r="Q112" s="5" t="n">
        <v>0</v>
      </c>
      <c r="R112" s="5" t="inlineStr">
        <is>
          <t>115-2025-10-31</t>
        </is>
      </c>
    </row>
    <row r="113">
      <c r="A113" s="5" t="n">
        <v>116</v>
      </c>
      <c r="B113" s="5" t="inlineStr">
        <is>
          <t>Nivel de Satisfacción Servicios Prestados</t>
        </is>
      </c>
      <c r="C113" s="5" t="inlineStr">
        <is>
          <t>AUDITORÍA INTERNA</t>
        </is>
      </c>
      <c r="D113" s="5" t="inlineStr">
        <is>
          <t>Bimestral</t>
        </is>
      </c>
      <c r="E113" s="5" t="inlineStr">
        <is>
          <t>Positivo</t>
        </is>
      </c>
      <c r="F113" s="107" t="n">
        <v>45291</v>
      </c>
      <c r="G113" s="5" t="n">
        <v>2023</v>
      </c>
      <c r="H113" s="5" t="inlineStr">
        <is>
          <t>Diciembre</t>
        </is>
      </c>
      <c r="I113" s="6" t="inlineStr">
        <is>
          <t>2023-2</t>
        </is>
      </c>
      <c r="J113" s="5" t="n">
        <v>80</v>
      </c>
      <c r="K113" s="5" t="n">
        <v>88</v>
      </c>
      <c r="L113" s="14">
        <f>IFERROR(IF(OR(J113=0,K113=""),"",IF(E113="Positivo",MIN(MAX(K113/J113,0),1.3),MIN(MAX(J113/K113,0),1.3))),"") </f>
        <v/>
      </c>
      <c r="M113" s="14">
        <f>IFERROR(IF(OR(J113=0,K113=""),"",IF(E113="Positivo",MAX(K113/J113,0),MAX(J113/K113,0))),"") </f>
        <v/>
      </c>
      <c r="N113" s="5" t="inlineStr">
        <is>
          <t>%</t>
        </is>
      </c>
      <c r="O113" s="5" t="inlineStr">
        <is>
          <t>%</t>
        </is>
      </c>
      <c r="P113" s="5" t="n">
        <v>0</v>
      </c>
      <c r="Q113" s="5" t="n">
        <v>0</v>
      </c>
      <c r="R113" s="5" t="inlineStr">
        <is>
          <t>116-2023-12-31</t>
        </is>
      </c>
    </row>
    <row r="114">
      <c r="A114" s="5" t="n">
        <v>116</v>
      </c>
      <c r="B114" s="5" t="inlineStr">
        <is>
          <t>Nivel de Satisfacción Servicios Prestados</t>
        </is>
      </c>
      <c r="C114" s="5" t="inlineStr">
        <is>
          <t>AUDITORÍA INTERNA</t>
        </is>
      </c>
      <c r="D114" s="5" t="inlineStr">
        <is>
          <t>Bimestral</t>
        </is>
      </c>
      <c r="E114" s="5" t="inlineStr">
        <is>
          <t>Positivo</t>
        </is>
      </c>
      <c r="F114" s="107" t="n">
        <v>45657</v>
      </c>
      <c r="G114" s="5" t="n">
        <v>2024</v>
      </c>
      <c r="H114" s="5" t="inlineStr">
        <is>
          <t>Diciembre</t>
        </is>
      </c>
      <c r="I114" s="6" t="inlineStr">
        <is>
          <t>2024-2</t>
        </is>
      </c>
      <c r="J114" s="5" t="n">
        <v>80</v>
      </c>
      <c r="K114" s="5" t="n">
        <v>88</v>
      </c>
      <c r="L114" s="14">
        <f>IFERROR(IF(OR(J114=0,K114=""),"",IF(E114="Positivo",MIN(MAX(K114/J114,0),1.3),MIN(MAX(J114/K114,0),1.3))),"") </f>
        <v/>
      </c>
      <c r="M114" s="14">
        <f>IFERROR(IF(OR(J114=0,K114=""),"",IF(E114="Positivo",MAX(K114/J114,0),MAX(J114/K114,0))),"") </f>
        <v/>
      </c>
      <c r="N114" s="5" t="inlineStr">
        <is>
          <t>%</t>
        </is>
      </c>
      <c r="O114" s="5" t="inlineStr">
        <is>
          <t>%</t>
        </is>
      </c>
      <c r="P114" s="5" t="n">
        <v>0</v>
      </c>
      <c r="Q114" s="5" t="n">
        <v>0</v>
      </c>
      <c r="R114" s="5" t="inlineStr">
        <is>
          <t>116-2024-12-31</t>
        </is>
      </c>
    </row>
    <row r="115">
      <c r="A115" s="5" t="n">
        <v>116</v>
      </c>
      <c r="B115" s="5" t="inlineStr">
        <is>
          <t>Nivel de Satisfacción Servicios Prestados</t>
        </is>
      </c>
      <c r="C115" s="5" t="inlineStr">
        <is>
          <t>AUDITORÍA INTERNA</t>
        </is>
      </c>
      <c r="D115" s="5" t="inlineStr">
        <is>
          <t>Anual</t>
        </is>
      </c>
      <c r="E115" s="5" t="inlineStr">
        <is>
          <t>Positivo</t>
        </is>
      </c>
      <c r="F115" s="107" t="n">
        <v>46022</v>
      </c>
      <c r="G115" s="5" t="n">
        <v>2025</v>
      </c>
      <c r="H115" s="5" t="inlineStr">
        <is>
          <t>Diciembre</t>
        </is>
      </c>
      <c r="I115" s="6" t="inlineStr">
        <is>
          <t>2025-2</t>
        </is>
      </c>
      <c r="J115" s="5" t="n">
        <v>80</v>
      </c>
      <c r="K115" s="5" t="n">
        <v>100</v>
      </c>
      <c r="L115" s="14">
        <f>IFERROR(IF(OR(J115=0,K115=""),"",IF(E115="Positivo",MIN(MAX(K115/J115,0),1.3),MIN(MAX(J115/K115,0),1.3))),"") </f>
        <v/>
      </c>
      <c r="M115" s="14">
        <f>IFERROR(IF(OR(J115=0,K115=""),"",IF(E115="Positivo",MAX(K115/J115,0),MAX(J115/K115,0))),"") </f>
        <v/>
      </c>
      <c r="N115" s="5" t="inlineStr">
        <is>
          <t>%</t>
        </is>
      </c>
      <c r="O115" s="5" t="inlineStr">
        <is>
          <t>%</t>
        </is>
      </c>
      <c r="P115" s="5" t="n">
        <v>0</v>
      </c>
      <c r="Q115" s="5" t="n">
        <v>0</v>
      </c>
      <c r="R115" s="5" t="inlineStr">
        <is>
          <t>116-2025-12-31</t>
        </is>
      </c>
    </row>
    <row r="116">
      <c r="A116" s="5" t="n">
        <v>117</v>
      </c>
      <c r="B116" s="5" t="inlineStr">
        <is>
          <t>Nivel de Satisfacción Servicios Prestados</t>
        </is>
      </c>
      <c r="C116" s="5" t="inlineStr">
        <is>
          <t>GESTIÓN AMBIENTAL</t>
        </is>
      </c>
      <c r="D116" s="5" t="inlineStr">
        <is>
          <t>Anual</t>
        </is>
      </c>
      <c r="E116" s="5" t="inlineStr">
        <is>
          <t>Positivo</t>
        </is>
      </c>
      <c r="F116" s="107" t="n">
        <v>44865</v>
      </c>
      <c r="G116" s="5" t="n">
        <v>2022</v>
      </c>
      <c r="H116" s="5" t="inlineStr">
        <is>
          <t>Octubre</t>
        </is>
      </c>
      <c r="I116" s="6" t="inlineStr">
        <is>
          <t>2022-2</t>
        </is>
      </c>
      <c r="J116" s="5" t="n">
        <v>80</v>
      </c>
      <c r="K116" s="5" t="n">
        <v>93</v>
      </c>
      <c r="L116" s="14">
        <f>IFERROR(IF(OR(J116=0,K116=""),"",IF(E116="Positivo",MIN(MAX(K116/J116,0),1.3),MIN(MAX(J116/K116,0),1.3))),"") </f>
        <v/>
      </c>
      <c r="M116" s="14">
        <f>IFERROR(IF(OR(J116=0,K116=""),"",IF(E116="Positivo",MAX(K116/J116,0),MAX(J116/K116,0))),"") </f>
        <v/>
      </c>
      <c r="N116" s="5" t="inlineStr">
        <is>
          <t>%</t>
        </is>
      </c>
      <c r="O116" s="5" t="inlineStr">
        <is>
          <t>%</t>
        </is>
      </c>
      <c r="P116" s="5" t="n">
        <v>0</v>
      </c>
      <c r="Q116" s="5" t="n">
        <v>0</v>
      </c>
      <c r="R116" s="5" t="inlineStr">
        <is>
          <t>117-2022-10-31</t>
        </is>
      </c>
    </row>
    <row r="117">
      <c r="A117" s="5" t="n">
        <v>117</v>
      </c>
      <c r="B117" s="5" t="inlineStr">
        <is>
          <t>Nivel de Satisfacción Servicios Prestados</t>
        </is>
      </c>
      <c r="C117" s="5" t="inlineStr">
        <is>
          <t>GESTIÓN AMBIENTAL</t>
        </is>
      </c>
      <c r="D117" s="5" t="inlineStr">
        <is>
          <t>Anual</t>
        </is>
      </c>
      <c r="E117" s="5" t="inlineStr">
        <is>
          <t>Positivo</t>
        </is>
      </c>
      <c r="F117" s="107" t="n">
        <v>45230</v>
      </c>
      <c r="G117" s="5" t="n">
        <v>2023</v>
      </c>
      <c r="H117" s="5" t="inlineStr">
        <is>
          <t>Octubre</t>
        </is>
      </c>
      <c r="I117" s="6" t="inlineStr">
        <is>
          <t>2023-2</t>
        </is>
      </c>
      <c r="J117" s="5" t="n">
        <v>80</v>
      </c>
      <c r="K117" s="5" t="n">
        <v>90</v>
      </c>
      <c r="L117" s="14">
        <f>IFERROR(IF(OR(J117=0,K117=""),"",IF(E117="Positivo",MIN(MAX(K117/J117,0),1.3),MIN(MAX(J117/K117,0),1.3))),"") </f>
        <v/>
      </c>
      <c r="M117" s="14">
        <f>IFERROR(IF(OR(J117=0,K117=""),"",IF(E117="Positivo",MAX(K117/J117,0),MAX(J117/K117,0))),"") </f>
        <v/>
      </c>
      <c r="N117" s="5" t="inlineStr">
        <is>
          <t>%</t>
        </is>
      </c>
      <c r="O117" s="5" t="inlineStr">
        <is>
          <t>%</t>
        </is>
      </c>
      <c r="P117" s="5" t="n">
        <v>0</v>
      </c>
      <c r="Q117" s="5" t="n">
        <v>0</v>
      </c>
      <c r="R117" s="5" t="inlineStr">
        <is>
          <t>117-2023-10-31</t>
        </is>
      </c>
    </row>
    <row r="118">
      <c r="A118" s="5" t="n">
        <v>117</v>
      </c>
      <c r="B118" s="5" t="inlineStr">
        <is>
          <t>Nivel de Satisfacción Servicios Prestados</t>
        </is>
      </c>
      <c r="C118" s="5" t="inlineStr">
        <is>
          <t>GESTIÓN AMBIENTAL</t>
        </is>
      </c>
      <c r="D118" s="5" t="inlineStr">
        <is>
          <t>Anual</t>
        </is>
      </c>
      <c r="E118" s="5" t="inlineStr">
        <is>
          <t>Positivo</t>
        </is>
      </c>
      <c r="F118" s="107" t="n">
        <v>45596</v>
      </c>
      <c r="G118" s="5" t="n">
        <v>2024</v>
      </c>
      <c r="H118" s="5" t="inlineStr">
        <is>
          <t>Octubre</t>
        </is>
      </c>
      <c r="I118" s="6" t="inlineStr">
        <is>
          <t>2024-2</t>
        </is>
      </c>
      <c r="J118" s="5" t="n">
        <v>80</v>
      </c>
      <c r="K118" s="5" t="n">
        <v>89</v>
      </c>
      <c r="L118" s="14">
        <f>IFERROR(IF(OR(J118=0,K118=""),"",IF(E118="Positivo",MIN(MAX(K118/J118,0),1.3),MIN(MAX(J118/K118,0),1.3))),"") </f>
        <v/>
      </c>
      <c r="M118" s="14">
        <f>IFERROR(IF(OR(J118=0,K118=""),"",IF(E118="Positivo",MAX(K118/J118,0),MAX(J118/K118,0))),"") </f>
        <v/>
      </c>
      <c r="N118" s="5" t="inlineStr">
        <is>
          <t>%</t>
        </is>
      </c>
      <c r="O118" s="5" t="inlineStr">
        <is>
          <t>%</t>
        </is>
      </c>
      <c r="P118" s="5" t="n">
        <v>0</v>
      </c>
      <c r="Q118" s="5" t="n">
        <v>0</v>
      </c>
      <c r="R118" s="5" t="inlineStr">
        <is>
          <t>117-2024-10-31</t>
        </is>
      </c>
    </row>
    <row r="119">
      <c r="A119" s="5" t="n">
        <v>117</v>
      </c>
      <c r="B119" s="5" t="inlineStr">
        <is>
          <t>Nivel de Satisfacción Servicios Prestados</t>
        </is>
      </c>
      <c r="C119" s="5" t="inlineStr">
        <is>
          <t>GESTIÓN AMBIENTAL</t>
        </is>
      </c>
      <c r="D119" s="5" t="inlineStr">
        <is>
          <t>Anual</t>
        </is>
      </c>
      <c r="E119" s="5" t="inlineStr">
        <is>
          <t>Positivo</t>
        </is>
      </c>
      <c r="F119" s="107" t="n">
        <v>45961</v>
      </c>
      <c r="G119" s="5" t="n">
        <v>2025</v>
      </c>
      <c r="H119" s="5" t="inlineStr">
        <is>
          <t>Octubre</t>
        </is>
      </c>
      <c r="I119" s="6" t="inlineStr">
        <is>
          <t>2025-2</t>
        </is>
      </c>
      <c r="J119" s="5" t="n">
        <v>80</v>
      </c>
      <c r="K119" s="5" t="n">
        <v>100</v>
      </c>
      <c r="L119" s="14">
        <f>IFERROR(IF(OR(J119=0,K119=""),"",IF(E119="Positivo",MIN(MAX(K119/J119,0),1.3),MIN(MAX(J119/K119,0),1.3))),"") </f>
        <v/>
      </c>
      <c r="M119" s="14">
        <f>IFERROR(IF(OR(J119=0,K119=""),"",IF(E119="Positivo",MAX(K119/J119,0),MAX(J119/K119,0))),"") </f>
        <v/>
      </c>
      <c r="N119" s="5" t="inlineStr">
        <is>
          <t>%</t>
        </is>
      </c>
      <c r="O119" s="5" t="inlineStr">
        <is>
          <t>%</t>
        </is>
      </c>
      <c r="P119" s="5" t="n">
        <v>0</v>
      </c>
      <c r="Q119" s="5" t="n">
        <v>0</v>
      </c>
      <c r="R119" s="5" t="inlineStr">
        <is>
          <t>117-2025-10-31</t>
        </is>
      </c>
    </row>
    <row r="120">
      <c r="A120" s="5" t="n">
        <v>118</v>
      </c>
      <c r="B120" s="5" t="inlineStr">
        <is>
          <t>Nivel de Satisfacción del sistema de gestión de calidad</t>
        </is>
      </c>
      <c r="C120" s="5" t="inlineStr">
        <is>
          <t>Gestión de Calidad</t>
        </is>
      </c>
      <c r="D120" s="5" t="inlineStr">
        <is>
          <t>Anual</t>
        </is>
      </c>
      <c r="E120" s="5" t="inlineStr">
        <is>
          <t>Positivo</t>
        </is>
      </c>
      <c r="F120" s="107" t="n">
        <v>44865</v>
      </c>
      <c r="G120" s="5" t="n">
        <v>2022</v>
      </c>
      <c r="H120" s="5" t="inlineStr">
        <is>
          <t>Octubre</t>
        </is>
      </c>
      <c r="I120" s="6" t="inlineStr">
        <is>
          <t>2022-2</t>
        </is>
      </c>
      <c r="J120" s="5" t="n">
        <v>80</v>
      </c>
      <c r="K120" s="5" t="n">
        <v>88</v>
      </c>
      <c r="L120" s="14">
        <f>IFERROR(IF(OR(J120=0,K120=""),"",IF(E120="Positivo",MIN(MAX(K120/J120,0),1.3),MIN(MAX(J120/K120,0),1.3))),"") </f>
        <v/>
      </c>
      <c r="M120" s="14">
        <f>IFERROR(IF(OR(J120=0,K120=""),"",IF(E120="Positivo",MAX(K120/J120,0),MAX(J120/K120,0))),"") </f>
        <v/>
      </c>
      <c r="N120" s="5" t="inlineStr">
        <is>
          <t>%</t>
        </is>
      </c>
      <c r="O120" s="5" t="inlineStr">
        <is>
          <t>%</t>
        </is>
      </c>
      <c r="P120" s="5" t="n">
        <v>0</v>
      </c>
      <c r="Q120" s="5" t="n">
        <v>0</v>
      </c>
      <c r="R120" s="5" t="inlineStr">
        <is>
          <t>118-2022-10-31</t>
        </is>
      </c>
    </row>
    <row r="121">
      <c r="A121" s="5" t="n">
        <v>118</v>
      </c>
      <c r="B121" s="5" t="inlineStr">
        <is>
          <t>Nivel de Satisfacción del sistema de gestión de calidad</t>
        </is>
      </c>
      <c r="C121" s="5" t="inlineStr">
        <is>
          <t>Gestión de calidad</t>
        </is>
      </c>
      <c r="D121" s="5" t="inlineStr">
        <is>
          <t>Anual</t>
        </is>
      </c>
      <c r="E121" s="5" t="inlineStr">
        <is>
          <t>Positivo</t>
        </is>
      </c>
      <c r="F121" s="107" t="n">
        <v>45230</v>
      </c>
      <c r="G121" s="5" t="n">
        <v>2023</v>
      </c>
      <c r="H121" s="5" t="inlineStr">
        <is>
          <t>Octubre</t>
        </is>
      </c>
      <c r="I121" s="6" t="inlineStr">
        <is>
          <t>2023-2</t>
        </is>
      </c>
      <c r="J121" s="73" t="n">
        <v>80</v>
      </c>
      <c r="K121" s="9" t="n">
        <v>94</v>
      </c>
      <c r="L121" s="14">
        <f>IFERROR(IF(OR(J121=0,K121=""),"",IF(E121="Positivo",MIN(MAX(K121/J121,0),1.3),MIN(MAX(J121/K121,0),1.3))),"") </f>
        <v/>
      </c>
      <c r="M121" s="14">
        <f>IFERROR(IF(OR(J121=0,K121=""),"",IF(E121="Positivo",MAX(K121/J121,0),MAX(J121/K121,0))),"") </f>
        <v/>
      </c>
      <c r="N121" s="5" t="inlineStr">
        <is>
          <t>%</t>
        </is>
      </c>
      <c r="O121" s="5" t="inlineStr">
        <is>
          <t>%</t>
        </is>
      </c>
      <c r="P121" s="5" t="n">
        <v>0</v>
      </c>
      <c r="Q121" s="5" t="n">
        <v>0</v>
      </c>
      <c r="R121" s="5" t="inlineStr">
        <is>
          <t>118-2023-10-31</t>
        </is>
      </c>
      <c r="S121" t="inlineStr"/>
    </row>
    <row r="122">
      <c r="A122" s="5" t="n">
        <v>118</v>
      </c>
      <c r="B122" s="5" t="inlineStr">
        <is>
          <t>Nivel de Satisfacción del sistema de gestión de calidad</t>
        </is>
      </c>
      <c r="C122" s="5" t="inlineStr">
        <is>
          <t>Gestión de Calidad</t>
        </is>
      </c>
      <c r="D122" s="5" t="inlineStr">
        <is>
          <t>Anual</t>
        </is>
      </c>
      <c r="E122" s="5" t="inlineStr">
        <is>
          <t>Positivo</t>
        </is>
      </c>
      <c r="F122" s="107" t="n">
        <v>45291</v>
      </c>
      <c r="G122" s="5" t="n">
        <v>2023</v>
      </c>
      <c r="H122" s="5" t="inlineStr">
        <is>
          <t>Diciembre</t>
        </is>
      </c>
      <c r="I122" s="6" t="inlineStr">
        <is>
          <t>2023-2</t>
        </is>
      </c>
      <c r="J122" s="5" t="n">
        <v>80</v>
      </c>
      <c r="K122" s="5" t="n">
        <v>94.1385767790262</v>
      </c>
      <c r="L122" s="14">
        <f>IFERROR(IF(OR(J122=0,K122=""),"",IF(E122="Positivo",MIN(MAX(K122/J122,0),1.3),MIN(MAX(J122/K122,0),1.3))),"") </f>
        <v/>
      </c>
      <c r="M122" s="14">
        <f>IFERROR(IF(OR(J122=0,K122=""),"",IF(E122="Positivo",MAX(K122/J122,0),MAX(J122/K122,0))),"") </f>
        <v/>
      </c>
      <c r="N122" s="5" t="inlineStr">
        <is>
          <t>%</t>
        </is>
      </c>
      <c r="O122" s="5" t="inlineStr">
        <is>
          <t>%</t>
        </is>
      </c>
      <c r="P122" s="5" t="n">
        <v>0</v>
      </c>
      <c r="Q122" s="5" t="n">
        <v>0</v>
      </c>
      <c r="R122" s="5" t="inlineStr">
        <is>
          <t>118-2023-12-31</t>
        </is>
      </c>
    </row>
    <row r="123">
      <c r="A123" s="5" t="n">
        <v>118</v>
      </c>
      <c r="B123" s="5" t="inlineStr">
        <is>
          <t>Nivel de Satisfacción del sistema de gestión de calidad</t>
        </is>
      </c>
      <c r="C123" s="5" t="inlineStr">
        <is>
          <t>Gestión de calidad</t>
        </is>
      </c>
      <c r="D123" s="5" t="inlineStr">
        <is>
          <t>Anual</t>
        </is>
      </c>
      <c r="E123" s="5" t="inlineStr">
        <is>
          <t>Positivo</t>
        </is>
      </c>
      <c r="F123" s="107" t="n">
        <v>45596</v>
      </c>
      <c r="G123" s="5" t="n">
        <v>2024</v>
      </c>
      <c r="H123" s="5" t="inlineStr">
        <is>
          <t>Octubre</t>
        </is>
      </c>
      <c r="I123" s="6" t="inlineStr">
        <is>
          <t>2024-2</t>
        </is>
      </c>
      <c r="J123" s="5" t="n">
        <v>80</v>
      </c>
      <c r="K123" s="5" t="n">
        <v>86</v>
      </c>
      <c r="L123" s="14">
        <f>IFERROR(IF(OR(J123=0,K123=""),"",IF(E123="Positivo",MIN(MAX(K123/J123,0),1.3),MIN(MAX(J123/K123,0),1.3))),"") </f>
        <v/>
      </c>
      <c r="M123" s="14">
        <f>IFERROR(IF(OR(J123=0,K123=""),"",IF(E123="Positivo",MAX(K123/J123,0),MAX(J123/K123,0))),"") </f>
        <v/>
      </c>
      <c r="N123" s="5" t="inlineStr">
        <is>
          <t>%</t>
        </is>
      </c>
      <c r="O123" s="5" t="inlineStr">
        <is>
          <t>%</t>
        </is>
      </c>
      <c r="P123" s="5" t="n">
        <v>0</v>
      </c>
      <c r="Q123" s="5" t="n">
        <v>0</v>
      </c>
      <c r="R123" s="5" t="inlineStr">
        <is>
          <t>118-2024-10-31</t>
        </is>
      </c>
      <c r="S123" t="inlineStr"/>
    </row>
    <row r="124">
      <c r="A124" s="5" t="n">
        <v>118</v>
      </c>
      <c r="B124" s="5" t="inlineStr">
        <is>
          <t>Nivel de Satisfacción del sistema de gestión de calidad</t>
        </is>
      </c>
      <c r="C124" s="5" t="inlineStr">
        <is>
          <t>Gestión de calidad</t>
        </is>
      </c>
      <c r="D124" s="5" t="inlineStr">
        <is>
          <t>Anual</t>
        </is>
      </c>
      <c r="E124" s="5" t="inlineStr">
        <is>
          <t>Positivo</t>
        </is>
      </c>
      <c r="F124" s="107" t="n">
        <v>45657</v>
      </c>
      <c r="G124" s="5" t="n">
        <v>2024</v>
      </c>
      <c r="H124" s="5" t="inlineStr">
        <is>
          <t>Diciembre</t>
        </is>
      </c>
      <c r="I124" s="6" t="inlineStr">
        <is>
          <t>2024-2</t>
        </is>
      </c>
      <c r="J124" s="5" t="n">
        <v>80</v>
      </c>
      <c r="K124" s="5" t="n">
        <v>86</v>
      </c>
      <c r="L124" s="14">
        <f>IFERROR(IF(OR(J124=0,K124=""),"",IF(E124="Positivo",MIN(MAX(K124/J124,0),1.3),MIN(MAX(J124/K124,0),1.3))),"") </f>
        <v/>
      </c>
      <c r="M124" s="14">
        <f>IFERROR(IF(OR(J124=0,K124=""),"",IF(E124="Positivo",MAX(K124/J124,0),MAX(J124/K124,0))),"") </f>
        <v/>
      </c>
      <c r="N124" s="5" t="inlineStr">
        <is>
          <t>%</t>
        </is>
      </c>
      <c r="O124" s="5" t="inlineStr">
        <is>
          <t>%</t>
        </is>
      </c>
      <c r="P124" s="5" t="n">
        <v>0</v>
      </c>
      <c r="Q124" s="5" t="n">
        <v>0</v>
      </c>
      <c r="R124" s="5" t="inlineStr">
        <is>
          <t>118-2024-12-31</t>
        </is>
      </c>
    </row>
    <row r="125">
      <c r="A125" s="5" t="n">
        <v>118</v>
      </c>
      <c r="B125" s="5" t="inlineStr">
        <is>
          <t>Nivel de Satisfacción del sistema de gestión de calidad</t>
        </is>
      </c>
      <c r="C125" s="5" t="inlineStr">
        <is>
          <t>Gestión de calidad</t>
        </is>
      </c>
      <c r="D125" s="5" t="inlineStr">
        <is>
          <t>Anual</t>
        </is>
      </c>
      <c r="E125" s="5" t="inlineStr">
        <is>
          <t>Positivo</t>
        </is>
      </c>
      <c r="F125" s="107" t="n">
        <v>45961</v>
      </c>
      <c r="G125" s="5" t="n">
        <v>2025</v>
      </c>
      <c r="H125" s="5" t="inlineStr">
        <is>
          <t>Octubre</t>
        </is>
      </c>
      <c r="I125" s="6" t="inlineStr">
        <is>
          <t>2025-2</t>
        </is>
      </c>
      <c r="J125" s="5" t="n">
        <v>80</v>
      </c>
      <c r="K125" s="5" t="n">
        <v>98</v>
      </c>
      <c r="L125" s="14">
        <f>IFERROR(IF(OR(J125=0,K125=""),"",IF(E125="Positivo",MIN(MAX(K125/J125,0),1.3),MIN(MAX(J125/K125,0),1.3))),"") </f>
        <v/>
      </c>
      <c r="M125" s="14">
        <f>IFERROR(IF(OR(J125=0,K125=""),"",IF(E125="Positivo",MAX(K125/J125,0),MAX(J125/K125,0))),"") </f>
        <v/>
      </c>
      <c r="N125" s="5" t="inlineStr">
        <is>
          <t>%</t>
        </is>
      </c>
      <c r="O125" s="5" t="inlineStr">
        <is>
          <t>%</t>
        </is>
      </c>
      <c r="P125" s="5" t="n">
        <v>0</v>
      </c>
      <c r="Q125" s="5" t="n">
        <v>0</v>
      </c>
      <c r="R125" s="5" t="inlineStr">
        <is>
          <t>118-2025-10-31</t>
        </is>
      </c>
    </row>
    <row r="126">
      <c r="A126" s="5" t="n">
        <v>121</v>
      </c>
      <c r="B126" s="5" t="inlineStr">
        <is>
          <t>Ejecución presupuestal de la nómina acumulada</t>
        </is>
      </c>
      <c r="C126" s="5" t="inlineStr">
        <is>
          <t>GESTIÓN Y DESARROLLO DEL TALENTO HUMANO</t>
        </is>
      </c>
      <c r="D126" s="5" t="inlineStr">
        <is>
          <t>Mensual</t>
        </is>
      </c>
      <c r="E126" s="5" t="inlineStr">
        <is>
          <t>Negativo</t>
        </is>
      </c>
      <c r="F126" s="107" t="n">
        <v>44926</v>
      </c>
      <c r="G126" s="5" t="n">
        <v>2022</v>
      </c>
      <c r="H126" s="5" t="inlineStr">
        <is>
          <t>Diciembre</t>
        </is>
      </c>
      <c r="I126" s="6" t="inlineStr">
        <is>
          <t>2022-2</t>
        </is>
      </c>
      <c r="J126" s="5" t="n">
        <v>102</v>
      </c>
      <c r="K126" s="5" t="n">
        <v>99.868284606334</v>
      </c>
      <c r="L126" s="14">
        <f>IFERROR(IF(OR(J126=0,K126=""),"",IF(E126="Positivo",MIN(MAX(K126/J126,0),1.3),MIN(MAX(J126/K126,0),1.3))),"") </f>
        <v/>
      </c>
      <c r="M126" s="14">
        <f>IFERROR(IF(OR(J126=0,K126=""),"",IF(E126="Positivo",MAX(K126/J126,0),MAX(J126/K126,0))),"") </f>
        <v/>
      </c>
      <c r="N126" s="11" t="inlineStr">
        <is>
          <t>$</t>
        </is>
      </c>
      <c r="O126" s="11" t="inlineStr">
        <is>
          <t>$</t>
        </is>
      </c>
      <c r="P126" s="5" t="n">
        <v>0</v>
      </c>
      <c r="Q126" s="5" t="n">
        <v>0</v>
      </c>
      <c r="R126" s="5" t="inlineStr">
        <is>
          <t>121-2022-12-31</t>
        </is>
      </c>
    </row>
    <row r="127">
      <c r="A127" s="5" t="n">
        <v>121</v>
      </c>
      <c r="B127" s="5" t="inlineStr">
        <is>
          <t>Ejecución presupuestal de la nómina acumulada</t>
        </is>
      </c>
      <c r="C127" s="5" t="inlineStr">
        <is>
          <t>GESTIÓN Y DESARROLLO DEL TALENTO HUMANO</t>
        </is>
      </c>
      <c r="D127" s="5" t="inlineStr">
        <is>
          <t>Mensual</t>
        </is>
      </c>
      <c r="E127" s="5" t="inlineStr">
        <is>
          <t>Negativo</t>
        </is>
      </c>
      <c r="F127" s="107" t="n">
        <v>45291</v>
      </c>
      <c r="G127" s="5" t="n">
        <v>2023</v>
      </c>
      <c r="H127" s="5" t="inlineStr">
        <is>
          <t>Diciembre</t>
        </is>
      </c>
      <c r="I127" s="6" t="inlineStr">
        <is>
          <t>2023-2</t>
        </is>
      </c>
      <c r="J127" s="5" t="n">
        <v>102</v>
      </c>
      <c r="K127" s="5" t="n">
        <v>111.3</v>
      </c>
      <c r="L127" s="14">
        <f>IFERROR(IF(OR(J127=0,K127=""),"",IF(E127="Positivo",MIN(MAX(K127/J127,0),1.3),MIN(MAX(J127/K127,0),1.3))),"") </f>
        <v/>
      </c>
      <c r="M127" s="14">
        <f>IFERROR(IF(OR(J127=0,K127=""),"",IF(E127="Positivo",MAX(K127/J127,0),MAX(J127/K127,0))),"") </f>
        <v/>
      </c>
      <c r="N127" s="5" t="inlineStr">
        <is>
          <t>$</t>
        </is>
      </c>
      <c r="O127" s="5" t="inlineStr">
        <is>
          <t>$</t>
        </is>
      </c>
      <c r="P127" s="5" t="n">
        <v>0</v>
      </c>
      <c r="Q127" s="5" t="n">
        <v>0</v>
      </c>
      <c r="R127" s="5" t="inlineStr">
        <is>
          <t>121-2023-12-31</t>
        </is>
      </c>
    </row>
    <row r="128">
      <c r="A128" s="5" t="n">
        <v>121</v>
      </c>
      <c r="B128" s="5" t="inlineStr">
        <is>
          <t>Ejecución presupuestal de la nómina acumulada</t>
        </is>
      </c>
      <c r="C128" s="5" t="inlineStr">
        <is>
          <t>GESTIÓN Y DESARROLLO DEL TALENTO HUMANO</t>
        </is>
      </c>
      <c r="D128" s="5" t="inlineStr">
        <is>
          <t>Mensual</t>
        </is>
      </c>
      <c r="E128" s="5" t="inlineStr">
        <is>
          <t>Negativo</t>
        </is>
      </c>
      <c r="F128" s="107" t="n">
        <v>45657</v>
      </c>
      <c r="G128" s="5" t="n">
        <v>2024</v>
      </c>
      <c r="H128" s="5" t="inlineStr">
        <is>
          <t>Diciembre</t>
        </is>
      </c>
      <c r="I128" s="6" t="inlineStr">
        <is>
          <t>2024-2</t>
        </is>
      </c>
      <c r="J128" s="5" t="n">
        <v>102</v>
      </c>
      <c r="K128" s="5" t="n">
        <v>100.17</v>
      </c>
      <c r="L128" s="14">
        <f>IFERROR(IF(OR(J128=0,K128=""),"",IF(E128="Positivo",MIN(MAX(K128/J128,0),1.3),MIN(MAX(J128/K128,0),1.3))),"") </f>
        <v/>
      </c>
      <c r="M128" s="14">
        <f>IFERROR(IF(OR(J128=0,K128=""),"",IF(E128="Positivo",MAX(K128/J128,0),MAX(J128/K128,0))),"") </f>
        <v/>
      </c>
      <c r="N128" s="5" t="inlineStr">
        <is>
          <t>$</t>
        </is>
      </c>
      <c r="O128" s="5" t="inlineStr">
        <is>
          <t>$</t>
        </is>
      </c>
      <c r="P128" s="5" t="n">
        <v>0</v>
      </c>
      <c r="Q128" s="5" t="n">
        <v>0</v>
      </c>
      <c r="R128" s="5" t="inlineStr">
        <is>
          <t>121-2024-12-31</t>
        </is>
      </c>
    </row>
    <row r="129">
      <c r="A129" s="5" t="n">
        <v>121</v>
      </c>
      <c r="B129" s="5" t="inlineStr">
        <is>
          <t>Ejecución presupuestal de la nómina acumulada</t>
        </is>
      </c>
      <c r="C129" s="5" t="inlineStr">
        <is>
          <t>GESTIÓN Y DESARROLLO DEL TALENTO HUMANO</t>
        </is>
      </c>
      <c r="D129" s="5" t="inlineStr">
        <is>
          <t>Mensual</t>
        </is>
      </c>
      <c r="E129" s="5" t="inlineStr">
        <is>
          <t>Negativo</t>
        </is>
      </c>
      <c r="F129" s="107" t="n">
        <v>46022</v>
      </c>
      <c r="G129" s="5" t="n">
        <v>2025</v>
      </c>
      <c r="H129" s="5" t="inlineStr">
        <is>
          <t>Diciembre</t>
        </is>
      </c>
      <c r="I129" s="6" t="inlineStr">
        <is>
          <t>2025-2</t>
        </is>
      </c>
      <c r="J129" s="5" t="n">
        <v>102</v>
      </c>
      <c r="K129" s="5" t="n">
        <v>104.92</v>
      </c>
      <c r="L129" s="14">
        <f>IFERROR(IF(OR(J129=0,K129=""),"",IF(E129="Positivo",MIN(MAX(K129/J129,0),1.3),MIN(MAX(J129/K129,0),1.3))),"") </f>
        <v/>
      </c>
      <c r="M129" s="14">
        <f>IFERROR(IF(OR(J129=0,K129=""),"",IF(E129="Positivo",MAX(K129/J129,0),MAX(J129/K129,0))),"") </f>
        <v/>
      </c>
      <c r="N129" s="5" t="inlineStr">
        <is>
          <t>$</t>
        </is>
      </c>
      <c r="O129" s="5" t="inlineStr">
        <is>
          <t>$</t>
        </is>
      </c>
      <c r="P129" s="5" t="n">
        <v>0</v>
      </c>
      <c r="Q129" s="5" t="n">
        <v>0</v>
      </c>
      <c r="R129" s="5" t="inlineStr">
        <is>
          <t>121-2025-12-31</t>
        </is>
      </c>
    </row>
    <row r="130">
      <c r="A130" s="5" t="n">
        <v>121</v>
      </c>
      <c r="B130" s="5" t="inlineStr">
        <is>
          <t>Ejecución presupuestal de la nómina acumulada</t>
        </is>
      </c>
      <c r="C130" s="5" t="inlineStr">
        <is>
          <t>GESTIÓN Y DESARROLLO DEL TALENTO HUMANO</t>
        </is>
      </c>
      <c r="D130" s="5" t="inlineStr">
        <is>
          <t>Mensual</t>
        </is>
      </c>
      <c r="E130" s="5" t="inlineStr">
        <is>
          <t>Negativo</t>
        </is>
      </c>
      <c r="F130" s="107" t="n">
        <v>46081</v>
      </c>
      <c r="G130" s="5" t="n">
        <v>2026</v>
      </c>
      <c r="H130" s="5" t="inlineStr">
        <is>
          <t>Febrero</t>
        </is>
      </c>
      <c r="I130" s="6" t="inlineStr">
        <is>
          <t>2026-1</t>
        </is>
      </c>
      <c r="J130" s="5" t="n">
        <v>100</v>
      </c>
      <c r="K130" s="5" t="n">
        <v>111.62</v>
      </c>
      <c r="L130" s="14">
        <f>IFERROR(IF(OR(J130=0,K130=""),"",IF(E130="Positivo",MIN(MAX(K130/J130,0),1.3),MIN(MAX(J130/K130,0),1.3))),"") </f>
        <v/>
      </c>
      <c r="M130" s="14">
        <f>IFERROR(IF(OR(J130=0,K130=""),"",IF(E130="Positivo",MAX(K130/J130,0),MAX(J130/K130,0))),"") </f>
        <v/>
      </c>
      <c r="N130" s="5" t="inlineStr">
        <is>
          <t>$</t>
        </is>
      </c>
      <c r="O130" s="5" t="inlineStr">
        <is>
          <t>$</t>
        </is>
      </c>
      <c r="P130" s="5" t="n">
        <v>0</v>
      </c>
      <c r="Q130" s="5" t="n">
        <v>0</v>
      </c>
      <c r="R130" s="5" t="inlineStr">
        <is>
          <t>121-2026-02-28</t>
        </is>
      </c>
      <c r="S130" t="inlineStr"/>
    </row>
    <row r="131">
      <c r="A131" s="5" t="n">
        <v>122</v>
      </c>
      <c r="B131" s="5" t="inlineStr">
        <is>
          <t>Eficacia en la solicitud documental- por periodo</t>
        </is>
      </c>
      <c r="C131" s="5" t="inlineStr">
        <is>
          <t>Gestión de calidad</t>
        </is>
      </c>
      <c r="D131" s="5" t="inlineStr">
        <is>
          <t>Mensual</t>
        </is>
      </c>
      <c r="E131" s="5" t="inlineStr">
        <is>
          <t>Positivo</t>
        </is>
      </c>
      <c r="F131" s="107" t="n">
        <v>44926</v>
      </c>
      <c r="G131" s="5" t="n">
        <v>2022</v>
      </c>
      <c r="H131" s="5" t="inlineStr">
        <is>
          <t>Diciembre</t>
        </is>
      </c>
      <c r="I131" s="6" t="inlineStr">
        <is>
          <t>2022-2</t>
        </is>
      </c>
      <c r="J131" s="5" t="n">
        <v>80</v>
      </c>
      <c r="K131" s="5" t="n">
        <v>87.72283272283283</v>
      </c>
      <c r="L131" s="14">
        <f>IFERROR(IF(OR(J131=0,K131=""),"",IF(E131="Positivo",MIN(MAX(K131/J131,0),1.3),MIN(MAX(J131/K131,0),1.3))),"") </f>
        <v/>
      </c>
      <c r="M131" s="14">
        <f>IFERROR(IF(OR(J131=0,K131=""),"",IF(E131="Positivo",MAX(K131/J131,0),MAX(J131/K131,0))),"") </f>
        <v/>
      </c>
      <c r="N131" s="5" t="inlineStr">
        <is>
          <t>%</t>
        </is>
      </c>
      <c r="O131" s="5" t="inlineStr">
        <is>
          <t>%</t>
        </is>
      </c>
      <c r="P131" s="5" t="n">
        <v>0</v>
      </c>
      <c r="Q131" s="5" t="n">
        <v>0</v>
      </c>
      <c r="R131" s="5" t="inlineStr">
        <is>
          <t>122-2022-12-31</t>
        </is>
      </c>
    </row>
    <row r="132">
      <c r="A132" s="5" t="n">
        <v>122</v>
      </c>
      <c r="B132" s="5" t="inlineStr">
        <is>
          <t>Eficacia en la solicitud documental- por periodo</t>
        </is>
      </c>
      <c r="C132" s="5" t="inlineStr">
        <is>
          <t>Gestión de calidad</t>
        </is>
      </c>
      <c r="D132" s="5" t="inlineStr">
        <is>
          <t>Bimestral</t>
        </is>
      </c>
      <c r="E132" s="5" t="inlineStr">
        <is>
          <t>Positivo</t>
        </is>
      </c>
      <c r="F132" s="107" t="n">
        <v>45291</v>
      </c>
      <c r="G132" s="5" t="n">
        <v>2023</v>
      </c>
      <c r="H132" s="5" t="inlineStr">
        <is>
          <t>Diciembre</t>
        </is>
      </c>
      <c r="I132" s="6" t="inlineStr">
        <is>
          <t>2023-2</t>
        </is>
      </c>
      <c r="J132" s="5" t="n">
        <v>80</v>
      </c>
      <c r="K132" s="5" t="n">
        <v>90.985</v>
      </c>
      <c r="L132" s="14">
        <f>IFERROR(IF(OR(J132=0,K132=""),"",IF(E132="Positivo",MIN(MAX(K132/J132,0),1.3),MIN(MAX(J132/K132,0),1.3))),"") </f>
        <v/>
      </c>
      <c r="M132" s="14">
        <f>IFERROR(IF(OR(J132=0,K132=""),"",IF(E132="Positivo",MAX(K132/J132,0),MAX(J132/K132,0))),"") </f>
        <v/>
      </c>
      <c r="N132" s="5" t="inlineStr">
        <is>
          <t>%</t>
        </is>
      </c>
      <c r="O132" s="5" t="inlineStr">
        <is>
          <t>%</t>
        </is>
      </c>
      <c r="P132" s="5" t="n">
        <v>0</v>
      </c>
      <c r="Q132" s="5" t="n">
        <v>0</v>
      </c>
      <c r="R132" s="5" t="inlineStr">
        <is>
          <t>122-2023-12-31</t>
        </is>
      </c>
    </row>
    <row r="133">
      <c r="A133" s="5" t="n">
        <v>122</v>
      </c>
      <c r="B133" s="5" t="inlineStr">
        <is>
          <t>Eficacia en la solicitud documental- por periodo</t>
        </is>
      </c>
      <c r="C133" s="5" t="inlineStr">
        <is>
          <t>Gestión de calidad</t>
        </is>
      </c>
      <c r="D133" s="5" t="inlineStr">
        <is>
          <t>Bimestral</t>
        </is>
      </c>
      <c r="E133" s="5" t="inlineStr">
        <is>
          <t>Positivo</t>
        </is>
      </c>
      <c r="F133" s="107" t="n">
        <v>45657</v>
      </c>
      <c r="G133" s="5" t="n">
        <v>2024</v>
      </c>
      <c r="H133" s="5" t="inlineStr">
        <is>
          <t>Diciembre</t>
        </is>
      </c>
      <c r="I133" s="6" t="inlineStr">
        <is>
          <t>2024-2</t>
        </is>
      </c>
      <c r="J133" s="5" t="n">
        <v>80</v>
      </c>
      <c r="K133" s="5" t="n">
        <v>94.31833333333333</v>
      </c>
      <c r="L133" s="14">
        <f>IFERROR(IF(OR(J133=0,K133=""),"",IF(E133="Positivo",MIN(MAX(K133/J133,0),1.3),MIN(MAX(J133/K133,0),1.3))),"") </f>
        <v/>
      </c>
      <c r="M133" s="14">
        <f>IFERROR(IF(OR(J133=0,K133=""),"",IF(E133="Positivo",MAX(K133/J133,0),MAX(J133/K133,0))),"") </f>
        <v/>
      </c>
      <c r="N133" s="5" t="inlineStr">
        <is>
          <t>%</t>
        </is>
      </c>
      <c r="O133" s="5" t="inlineStr">
        <is>
          <t>%</t>
        </is>
      </c>
      <c r="P133" s="5" t="n">
        <v>0</v>
      </c>
      <c r="Q133" s="5" t="n">
        <v>0</v>
      </c>
      <c r="R133" s="5" t="inlineStr">
        <is>
          <t>122-2024-12-31</t>
        </is>
      </c>
    </row>
    <row r="134">
      <c r="A134" s="5" t="n">
        <v>122</v>
      </c>
      <c r="B134" s="5" t="inlineStr">
        <is>
          <t>Eficacia en la solicitud documental- por periodo</t>
        </is>
      </c>
      <c r="C134" s="5" t="inlineStr">
        <is>
          <t>Gestión de calidad</t>
        </is>
      </c>
      <c r="D134" s="5" t="inlineStr">
        <is>
          <t>Mensual</t>
        </is>
      </c>
      <c r="E134" s="5" t="inlineStr">
        <is>
          <t>Positivo</t>
        </is>
      </c>
      <c r="F134" s="107" t="n">
        <v>46022</v>
      </c>
      <c r="G134" s="5" t="n">
        <v>2025</v>
      </c>
      <c r="H134" s="5" t="inlineStr">
        <is>
          <t>Diciembre</t>
        </is>
      </c>
      <c r="I134" s="6" t="inlineStr">
        <is>
          <t>2025-2</t>
        </is>
      </c>
      <c r="J134" s="5" t="n">
        <v>90</v>
      </c>
      <c r="K134" s="5" t="n">
        <v>82.26000000000001</v>
      </c>
      <c r="L134" s="14">
        <f>IFERROR(IF(OR(J134=0,K134=""),"",IF(E134="Positivo",MIN(MAX(K134/J134,0),1.3),MIN(MAX(J134/K134,0),1.3))),"") </f>
        <v/>
      </c>
      <c r="M134" s="14">
        <f>IFERROR(IF(OR(J134=0,K134=""),"",IF(E134="Positivo",MAX(K134/J134,0),MAX(J134/K134,0))),"") </f>
        <v/>
      </c>
      <c r="N134" s="5" t="inlineStr">
        <is>
          <t>%</t>
        </is>
      </c>
      <c r="O134" s="5" t="inlineStr">
        <is>
          <t>%</t>
        </is>
      </c>
      <c r="P134" s="5" t="n">
        <v>0</v>
      </c>
      <c r="Q134" s="5" t="n">
        <v>0</v>
      </c>
      <c r="R134" s="5" t="inlineStr">
        <is>
          <t>122-2025-12-31</t>
        </is>
      </c>
    </row>
    <row r="135">
      <c r="A135" s="5" t="n">
        <v>122</v>
      </c>
      <c r="B135" s="5" t="inlineStr">
        <is>
          <t>Eficacia en la solicitud documental- por periodo</t>
        </is>
      </c>
      <c r="C135" s="5" t="inlineStr">
        <is>
          <t>Gestión de calidad</t>
        </is>
      </c>
      <c r="D135" s="5" t="inlineStr">
        <is>
          <t>Mensual</t>
        </is>
      </c>
      <c r="E135" s="5" t="inlineStr">
        <is>
          <t>Positivo</t>
        </is>
      </c>
      <c r="F135" s="107" t="n">
        <v>46081</v>
      </c>
      <c r="G135" s="5" t="n">
        <v>2026</v>
      </c>
      <c r="H135" s="5" t="inlineStr">
        <is>
          <t>Febrero</t>
        </is>
      </c>
      <c r="I135" s="6" t="inlineStr">
        <is>
          <t>2026-1</t>
        </is>
      </c>
      <c r="J135" s="5" t="n">
        <v>80</v>
      </c>
      <c r="K135" s="5" t="n">
        <v>35</v>
      </c>
      <c r="L135" s="14">
        <f>IFERROR(IF(OR(J135=0,K135=""),"",IF(E135="Positivo",MIN(MAX(K135/J135,0),1.3),MIN(MAX(J135/K135,0),1.3))),"") </f>
        <v/>
      </c>
      <c r="M135" s="14">
        <f>IFERROR(IF(OR(J135=0,K135=""),"",IF(E135="Positivo",MAX(K135/J135,0),MAX(J135/K135,0))),"") </f>
        <v/>
      </c>
      <c r="N135" s="5" t="inlineStr">
        <is>
          <t>%</t>
        </is>
      </c>
      <c r="O135" s="5" t="inlineStr">
        <is>
          <t>%</t>
        </is>
      </c>
      <c r="P135" s="5" t="n">
        <v>0</v>
      </c>
      <c r="Q135" s="5" t="n">
        <v>0</v>
      </c>
      <c r="R135" s="5" t="inlineStr">
        <is>
          <t>122-2026-02-28</t>
        </is>
      </c>
      <c r="S135" t="inlineStr"/>
    </row>
    <row r="136">
      <c r="A136" s="5" t="n">
        <v>124</v>
      </c>
      <c r="B136" s="5" t="inlineStr">
        <is>
          <t>Indice de Frecuencia de accidentalidad</t>
        </is>
      </c>
      <c r="C136" s="5" t="inlineStr">
        <is>
          <t>GESTIÓN DE SEGURIDAD Y SALUD EN EL TRABAJO</t>
        </is>
      </c>
      <c r="D136" s="5" t="inlineStr">
        <is>
          <t>Mensual</t>
        </is>
      </c>
      <c r="E136" s="5" t="inlineStr">
        <is>
          <t>Negativo</t>
        </is>
      </c>
      <c r="F136" s="107" t="n">
        <v>44926</v>
      </c>
      <c r="G136" s="5" t="n">
        <v>2022</v>
      </c>
      <c r="H136" s="5" t="inlineStr">
        <is>
          <t>Diciembre</t>
        </is>
      </c>
      <c r="I136" s="6" t="inlineStr">
        <is>
          <t>2022-2</t>
        </is>
      </c>
      <c r="J136" s="5" t="n">
        <v>1.6</v>
      </c>
      <c r="K136" s="5" t="n">
        <v>0.030416483088426</v>
      </c>
      <c r="L136" s="14">
        <f>IFERROR(IF(OR(J136=0,K136=""),"",IF(E136="Positivo",MIN(MAX(K136/J136,0),1.3),MIN(MAX(J136/K136,0),1.3))),"") </f>
        <v/>
      </c>
      <c r="M136" s="14">
        <f>IFERROR(IF(OR(J136=0,K136=""),"",IF(E136="Positivo",MAX(K136/J136,0),MAX(J136/K136,0))),"") </f>
        <v/>
      </c>
      <c r="N136" s="5" t="inlineStr">
        <is>
          <t>DEC</t>
        </is>
      </c>
      <c r="O136" s="5" t="inlineStr">
        <is>
          <t>DEC</t>
        </is>
      </c>
      <c r="P136" s="5" t="n">
        <v>1</v>
      </c>
      <c r="Q136" s="5" t="n">
        <v>2</v>
      </c>
      <c r="R136" s="5" t="inlineStr">
        <is>
          <t>124-2022-12-31</t>
        </is>
      </c>
    </row>
    <row r="137">
      <c r="A137" s="5" t="n">
        <v>124</v>
      </c>
      <c r="B137" s="5" t="inlineStr">
        <is>
          <t>Indice de Frecuencia de accidentalidad</t>
        </is>
      </c>
      <c r="C137" s="5" t="inlineStr">
        <is>
          <t>GESTIÓN DE SEGURIDAD Y SALUD EN EL TRABAJO</t>
        </is>
      </c>
      <c r="D137" s="5" t="inlineStr">
        <is>
          <t>Mensual</t>
        </is>
      </c>
      <c r="E137" s="5" t="inlineStr">
        <is>
          <t>Negativo</t>
        </is>
      </c>
      <c r="F137" s="107" t="n">
        <v>45291</v>
      </c>
      <c r="G137" s="5" t="n">
        <v>2023</v>
      </c>
      <c r="H137" s="5" t="inlineStr">
        <is>
          <t>Diciembre</t>
        </is>
      </c>
      <c r="I137" s="6" t="inlineStr">
        <is>
          <t>2023-2</t>
        </is>
      </c>
      <c r="J137" s="5" t="n">
        <v>1.6</v>
      </c>
      <c r="K137" s="5" t="n">
        <v>0.02840842680799108</v>
      </c>
      <c r="L137" s="14">
        <f>IFERROR(IF(OR(J137=0,K137=""),"",IF(E137="Positivo",MIN(MAX(K137/J137,0),1.3),MIN(MAX(J137/K137,0),1.3))),"") </f>
        <v/>
      </c>
      <c r="M137" s="14">
        <f>IFERROR(IF(OR(J137=0,K137=""),"",IF(E137="Positivo",MAX(K137/J137,0),MAX(J137/K137,0))),"") </f>
        <v/>
      </c>
      <c r="N137" s="5" t="inlineStr">
        <is>
          <t>DEC</t>
        </is>
      </c>
      <c r="O137" s="5" t="inlineStr">
        <is>
          <t>DEC</t>
        </is>
      </c>
      <c r="P137" s="5" t="n">
        <v>1</v>
      </c>
      <c r="Q137" s="5" t="n">
        <v>2</v>
      </c>
      <c r="R137" s="5" t="inlineStr">
        <is>
          <t>124-2023-12-31</t>
        </is>
      </c>
    </row>
    <row r="138">
      <c r="A138" s="5" t="n">
        <v>124</v>
      </c>
      <c r="B138" s="5" t="inlineStr">
        <is>
          <t>Indice de Frecuencia de accidentalidad</t>
        </is>
      </c>
      <c r="C138" s="5" t="inlineStr">
        <is>
          <t>GESTIÓN DE SEGURIDAD Y SALUD EN EL TRABAJO</t>
        </is>
      </c>
      <c r="D138" s="5" t="inlineStr">
        <is>
          <t>Mensual</t>
        </is>
      </c>
      <c r="E138" s="5" t="inlineStr">
        <is>
          <t>Negativo</t>
        </is>
      </c>
      <c r="F138" s="107" t="n">
        <v>45657</v>
      </c>
      <c r="G138" s="5" t="n">
        <v>2024</v>
      </c>
      <c r="H138" s="5" t="inlineStr">
        <is>
          <t>Diciembre</t>
        </is>
      </c>
      <c r="I138" s="6" t="inlineStr">
        <is>
          <t>2024-2</t>
        </is>
      </c>
      <c r="J138" s="5" t="n">
        <v>0.2</v>
      </c>
      <c r="K138" s="5" t="n">
        <v>0.01299822966260462</v>
      </c>
      <c r="L138" s="14">
        <f>IFERROR(IF(OR(J138=0,K138=""),"",IF(E138="Positivo",MIN(MAX(K138/J138,0),1.3),MIN(MAX(J138/K138,0),1.3))),"") </f>
        <v/>
      </c>
      <c r="M138" s="14">
        <f>IFERROR(IF(OR(J138=0,K138=""),"",IF(E138="Positivo",MAX(K138/J138,0),MAX(J138/K138,0))),"") </f>
        <v/>
      </c>
      <c r="N138" s="5" t="inlineStr">
        <is>
          <t>DEC</t>
        </is>
      </c>
      <c r="O138" s="5" t="inlineStr">
        <is>
          <t>DEC</t>
        </is>
      </c>
      <c r="P138" s="5" t="n">
        <v>1</v>
      </c>
      <c r="Q138" s="5" t="n">
        <v>2</v>
      </c>
      <c r="R138" s="5" t="inlineStr">
        <is>
          <t>124-2024-12-31</t>
        </is>
      </c>
    </row>
    <row r="139">
      <c r="A139" s="5" t="n">
        <v>124</v>
      </c>
      <c r="B139" s="5" t="inlineStr">
        <is>
          <t>Indice de Frecuencia de accidentalidad</t>
        </is>
      </c>
      <c r="C139" s="5" t="inlineStr">
        <is>
          <t>GESTIÓN DE SEGURIDAD Y SALUD EN EL TRABAJO</t>
        </is>
      </c>
      <c r="D139" s="5" t="inlineStr">
        <is>
          <t>Mensual</t>
        </is>
      </c>
      <c r="E139" s="5" t="inlineStr">
        <is>
          <t>Negativo</t>
        </is>
      </c>
      <c r="F139" s="107" t="n">
        <v>46022</v>
      </c>
      <c r="G139" s="5" t="n">
        <v>2025</v>
      </c>
      <c r="H139" s="5" t="inlineStr">
        <is>
          <t>Diciembre</t>
        </is>
      </c>
      <c r="I139" s="6" t="inlineStr">
        <is>
          <t>2025-2</t>
        </is>
      </c>
      <c r="J139" s="5" t="n">
        <v>0.2</v>
      </c>
      <c r="K139" s="5" t="n">
        <v>0.02426314190215739</v>
      </c>
      <c r="L139" s="14">
        <f>IFERROR(IF(OR(J139=0,K139=""),"",IF(E139="Positivo",MIN(MAX(K139/J139,0),1.3),MIN(MAX(J139/K139,0),1.3))),"") </f>
        <v/>
      </c>
      <c r="M139" s="14">
        <f>IFERROR(IF(OR(J139=0,K139=""),"",IF(E139="Positivo",MAX(K139/J139,0),MAX(J139/K139,0))),"") </f>
        <v/>
      </c>
      <c r="N139" s="5" t="inlineStr">
        <is>
          <t>DEC</t>
        </is>
      </c>
      <c r="O139" s="5" t="inlineStr">
        <is>
          <t>DEC</t>
        </is>
      </c>
      <c r="P139" s="5" t="n">
        <v>1</v>
      </c>
      <c r="Q139" s="5" t="n">
        <v>2</v>
      </c>
      <c r="R139" s="5" t="inlineStr">
        <is>
          <t>124-2025-12-31</t>
        </is>
      </c>
    </row>
    <row r="140">
      <c r="A140" s="5" t="n">
        <v>124</v>
      </c>
      <c r="B140" s="5" t="inlineStr">
        <is>
          <t>Indice de Frecuencia de accidentalidad</t>
        </is>
      </c>
      <c r="C140" s="5" t="inlineStr">
        <is>
          <t>GESTIÓN DE SEGURIDAD Y SALUD EN EL TRABAJO</t>
        </is>
      </c>
      <c r="D140" s="5" t="inlineStr">
        <is>
          <t>Mensual</t>
        </is>
      </c>
      <c r="E140" s="5" t="inlineStr">
        <is>
          <t>Negativo</t>
        </is>
      </c>
      <c r="F140" s="107" t="n">
        <v>46081</v>
      </c>
      <c r="G140" s="5" t="n">
        <v>2026</v>
      </c>
      <c r="H140" s="5" t="inlineStr">
        <is>
          <t>Febrero</t>
        </is>
      </c>
      <c r="I140" s="6" t="inlineStr">
        <is>
          <t>2026-1</t>
        </is>
      </c>
      <c r="J140" s="5" t="n">
        <v>0.2</v>
      </c>
      <c r="K140" s="5" t="n">
        <v>0.075</v>
      </c>
      <c r="L140" s="14">
        <f>IFERROR(IF(OR(J140=0,K140=""),"",IF(E140="Positivo",MIN(MAX(K140/J140,0),1.3),MIN(MAX(J140/K140,0),1.3))),"") </f>
        <v/>
      </c>
      <c r="M140" s="14">
        <f>IFERROR(IF(OR(J140=0,K140=""),"",IF(E140="Positivo",MAX(K140/J140,0),MAX(J140/K140,0))),"") </f>
        <v/>
      </c>
      <c r="N140" s="5" t="inlineStr">
        <is>
          <t>DEC</t>
        </is>
      </c>
      <c r="O140" s="5" t="inlineStr">
        <is>
          <t>DEC</t>
        </is>
      </c>
      <c r="P140" s="5" t="n">
        <v>1</v>
      </c>
      <c r="Q140" s="5" t="n">
        <v>2</v>
      </c>
      <c r="R140" s="5" t="inlineStr">
        <is>
          <t>124-2026-02-28</t>
        </is>
      </c>
      <c r="S140" t="inlineStr"/>
    </row>
    <row r="141">
      <c r="A141" s="5" t="n">
        <v>125</v>
      </c>
      <c r="B141" s="5" t="inlineStr">
        <is>
          <t>Indice de severidad</t>
        </is>
      </c>
      <c r="C141" s="5" t="inlineStr">
        <is>
          <t>GESTIÓN DE SEGURIDAD Y SALUD EN EL TRABAJO</t>
        </is>
      </c>
      <c r="D141" s="5" t="inlineStr">
        <is>
          <t>Mensual</t>
        </is>
      </c>
      <c r="E141" s="5" t="inlineStr">
        <is>
          <t>Negativo</t>
        </is>
      </c>
      <c r="F141" s="107" t="n">
        <v>44926</v>
      </c>
      <c r="G141" s="5" t="n">
        <v>2022</v>
      </c>
      <c r="H141" s="5" t="inlineStr">
        <is>
          <t>Diciembre</t>
        </is>
      </c>
      <c r="I141" s="6" t="inlineStr">
        <is>
          <t>2022-2</t>
        </is>
      </c>
      <c r="J141" s="5" t="n">
        <v>4.7</v>
      </c>
      <c r="K141" s="5" t="n">
        <v>0.07941339651586334</v>
      </c>
      <c r="L141" s="14">
        <f>IFERROR(IF(OR(J141=0,K141=""),"",IF(E141="Positivo",MIN(MAX(K141/J141,0),1.3),MIN(MAX(J141/K141,0),1.3))),"") </f>
        <v/>
      </c>
      <c r="M141" s="14">
        <f>IFERROR(IF(OR(J141=0,K141=""),"",IF(E141="Positivo",MAX(K141/J141,0),MAX(J141/K141,0))),"") </f>
        <v/>
      </c>
      <c r="N141" s="5" t="inlineStr">
        <is>
          <t>DEC</t>
        </is>
      </c>
      <c r="O141" s="5" t="inlineStr">
        <is>
          <t>DEC</t>
        </is>
      </c>
      <c r="P141" s="5" t="n">
        <v>1</v>
      </c>
      <c r="Q141" s="5" t="n">
        <v>2</v>
      </c>
      <c r="R141" s="5" t="inlineStr">
        <is>
          <t>125-2022-12-31</t>
        </is>
      </c>
    </row>
    <row r="142">
      <c r="A142" s="5" t="n">
        <v>125</v>
      </c>
      <c r="B142" s="5" t="inlineStr">
        <is>
          <t>Indice de severidad</t>
        </is>
      </c>
      <c r="C142" s="5" t="inlineStr">
        <is>
          <t>GESTIÓN DE SEGURIDAD Y SALUD EN EL TRABAJO</t>
        </is>
      </c>
      <c r="D142" s="5" t="inlineStr">
        <is>
          <t>Mensual</t>
        </is>
      </c>
      <c r="E142" s="5" t="inlineStr">
        <is>
          <t>Negativo</t>
        </is>
      </c>
      <c r="F142" s="107" t="n">
        <v>45291</v>
      </c>
      <c r="G142" s="5" t="n">
        <v>2023</v>
      </c>
      <c r="H142" s="5" t="inlineStr">
        <is>
          <t>Diciembre</t>
        </is>
      </c>
      <c r="I142" s="6" t="inlineStr">
        <is>
          <t>2023-2</t>
        </is>
      </c>
      <c r="J142" s="5" t="n">
        <v>4.7</v>
      </c>
      <c r="K142" s="5" t="n">
        <v>0.1755874916112475</v>
      </c>
      <c r="L142" s="14">
        <f>IFERROR(IF(OR(J142=0,K142=""),"",IF(E142="Positivo",MIN(MAX(K142/J142,0),1.3),MIN(MAX(J142/K142,0),1.3))),"") </f>
        <v/>
      </c>
      <c r="M142" s="14">
        <f>IFERROR(IF(OR(J142=0,K142=""),"",IF(E142="Positivo",MAX(K142/J142,0),MAX(J142/K142,0))),"") </f>
        <v/>
      </c>
      <c r="N142" s="5" t="inlineStr">
        <is>
          <t>DEC</t>
        </is>
      </c>
      <c r="O142" s="5" t="inlineStr">
        <is>
          <t>DEC</t>
        </is>
      </c>
      <c r="P142" s="5" t="n">
        <v>1</v>
      </c>
      <c r="Q142" s="5" t="n">
        <v>2</v>
      </c>
      <c r="R142" s="5" t="inlineStr">
        <is>
          <t>125-2023-12-31</t>
        </is>
      </c>
    </row>
    <row r="143">
      <c r="A143" s="5" t="n">
        <v>125</v>
      </c>
      <c r="B143" s="5" t="inlineStr">
        <is>
          <t>Indice de severidad</t>
        </is>
      </c>
      <c r="C143" s="5" t="inlineStr">
        <is>
          <t>GESTIÓN DE SEGURIDAD Y SALUD EN EL TRABAJO</t>
        </is>
      </c>
      <c r="D143" s="5" t="inlineStr">
        <is>
          <t>Mensual</t>
        </is>
      </c>
      <c r="E143" s="5" t="inlineStr">
        <is>
          <t>Negativo</t>
        </is>
      </c>
      <c r="F143" s="107" t="n">
        <v>45657</v>
      </c>
      <c r="G143" s="5" t="n">
        <v>2024</v>
      </c>
      <c r="H143" s="5" t="inlineStr">
        <is>
          <t>Diciembre</t>
        </is>
      </c>
      <c r="I143" s="6" t="inlineStr">
        <is>
          <t>2024-2</t>
        </is>
      </c>
      <c r="J143" s="5" t="n">
        <v>1.9</v>
      </c>
      <c r="K143" s="5" t="n">
        <v>0.09352996109841127</v>
      </c>
      <c r="L143" s="14">
        <f>IFERROR(IF(OR(J143=0,K143=""),"",IF(E143="Positivo",MIN(MAX(K143/J143,0),1.3),MIN(MAX(J143/K143,0),1.3))),"") </f>
        <v/>
      </c>
      <c r="M143" s="14">
        <f>IFERROR(IF(OR(J143=0,K143=""),"",IF(E143="Positivo",MAX(K143/J143,0),MAX(J143/K143,0))),"") </f>
        <v/>
      </c>
      <c r="N143" s="5" t="inlineStr">
        <is>
          <t>DEC</t>
        </is>
      </c>
      <c r="O143" s="5" t="inlineStr">
        <is>
          <t>DEC</t>
        </is>
      </c>
      <c r="P143" s="5" t="n">
        <v>1</v>
      </c>
      <c r="Q143" s="5" t="n">
        <v>2</v>
      </c>
      <c r="R143" s="5" t="inlineStr">
        <is>
          <t>125-2024-12-31</t>
        </is>
      </c>
    </row>
    <row r="144">
      <c r="A144" s="5" t="n">
        <v>125</v>
      </c>
      <c r="B144" s="5" t="inlineStr">
        <is>
          <t>Indice de severidad</t>
        </is>
      </c>
      <c r="C144" s="5" t="inlineStr">
        <is>
          <t>GESTIÓN DE SEGURIDAD Y SALUD EN EL TRABAJO</t>
        </is>
      </c>
      <c r="D144" s="5" t="inlineStr">
        <is>
          <t>Mensual</t>
        </is>
      </c>
      <c r="E144" s="5" t="inlineStr">
        <is>
          <t>Negativo</t>
        </is>
      </c>
      <c r="F144" s="107" t="n">
        <v>46022</v>
      </c>
      <c r="G144" s="5" t="n">
        <v>2025</v>
      </c>
      <c r="H144" s="5" t="inlineStr">
        <is>
          <t>Diciembre</t>
        </is>
      </c>
      <c r="I144" s="6" t="inlineStr">
        <is>
          <t>2025-2</t>
        </is>
      </c>
      <c r="J144" s="5" t="n">
        <v>1.9</v>
      </c>
      <c r="K144" s="5" t="n">
        <v>0.1011227590398055</v>
      </c>
      <c r="L144" s="14">
        <f>IFERROR(IF(OR(J144=0,K144=""),"",IF(E144="Positivo",MIN(MAX(K144/J144,0),1.3),MIN(MAX(J144/K144,0),1.3))),"") </f>
        <v/>
      </c>
      <c r="M144" s="14">
        <f>IFERROR(IF(OR(J144=0,K144=""),"",IF(E144="Positivo",MAX(K144/J144,0),MAX(J144/K144,0))),"") </f>
        <v/>
      </c>
      <c r="N144" s="5" t="inlineStr">
        <is>
          <t>DEC</t>
        </is>
      </c>
      <c r="O144" s="5" t="inlineStr">
        <is>
          <t>DEC</t>
        </is>
      </c>
      <c r="P144" s="5" t="n">
        <v>1</v>
      </c>
      <c r="Q144" s="5" t="n">
        <v>2</v>
      </c>
      <c r="R144" s="5" t="inlineStr">
        <is>
          <t>125-2025-12-31</t>
        </is>
      </c>
    </row>
    <row r="145">
      <c r="A145" s="5" t="n">
        <v>125</v>
      </c>
      <c r="B145" s="5" t="inlineStr">
        <is>
          <t>Indice de severidad</t>
        </is>
      </c>
      <c r="C145" s="5" t="inlineStr">
        <is>
          <t>GESTIÓN DE SEGURIDAD Y SALUD EN EL TRABAJO</t>
        </is>
      </c>
      <c r="D145" s="5" t="inlineStr">
        <is>
          <t>Mensual</t>
        </is>
      </c>
      <c r="E145" s="5" t="inlineStr">
        <is>
          <t>Negativo</t>
        </is>
      </c>
      <c r="F145" s="107" t="n">
        <v>46081</v>
      </c>
      <c r="G145" s="5" t="n">
        <v>2026</v>
      </c>
      <c r="H145" s="5" t="inlineStr">
        <is>
          <t>Febrero</t>
        </is>
      </c>
      <c r="I145" s="6" t="inlineStr">
        <is>
          <t>2026-1</t>
        </is>
      </c>
      <c r="J145" s="5" t="n">
        <v>4.7</v>
      </c>
      <c r="K145" s="5" t="n">
        <v>0.225</v>
      </c>
      <c r="L145" s="14">
        <f>IFERROR(IF(OR(J145=0,K145=""),"",IF(E145="Positivo",MIN(MAX(K145/J145,0),1.3),MIN(MAX(J145/K145,0),1.3))),"") </f>
        <v/>
      </c>
      <c r="M145" s="14">
        <f>IFERROR(IF(OR(J145=0,K145=""),"",IF(E145="Positivo",MAX(K145/J145,0),MAX(J145/K145,0))),"") </f>
        <v/>
      </c>
      <c r="N145" s="5" t="inlineStr">
        <is>
          <t>DEC</t>
        </is>
      </c>
      <c r="O145" s="5" t="inlineStr">
        <is>
          <t>DEC</t>
        </is>
      </c>
      <c r="P145" s="5" t="n">
        <v>1</v>
      </c>
      <c r="Q145" s="5" t="n">
        <v>2</v>
      </c>
      <c r="R145" s="5" t="inlineStr">
        <is>
          <t>125-2026-02-28</t>
        </is>
      </c>
      <c r="S145" t="inlineStr"/>
    </row>
    <row r="146">
      <c r="A146" s="5" t="n">
        <v>126</v>
      </c>
      <c r="B146" s="5" t="inlineStr">
        <is>
          <t>Indice de Prevalencia EL Enfermedad laboral</t>
        </is>
      </c>
      <c r="C146" s="5" t="inlineStr">
        <is>
          <t>GESTIÓN DE SEGURIDAD Y SALUD EN EL TRABAJO</t>
        </is>
      </c>
      <c r="D146" s="5" t="inlineStr">
        <is>
          <t>Anual</t>
        </is>
      </c>
      <c r="E146" s="5" t="inlineStr">
        <is>
          <t>Negativo</t>
        </is>
      </c>
      <c r="F146" s="107" t="n">
        <v>44926</v>
      </c>
      <c r="G146" s="5" t="n">
        <v>2022</v>
      </c>
      <c r="H146" s="5" t="inlineStr">
        <is>
          <t>Diciembre</t>
        </is>
      </c>
      <c r="I146" s="6" t="inlineStr">
        <is>
          <t>2022-2</t>
        </is>
      </c>
      <c r="J146" s="5" t="n">
        <v>2</v>
      </c>
      <c r="K146" s="5" t="n">
        <v>0.12391573729864</v>
      </c>
      <c r="L146" s="14">
        <f>IFERROR(IF(OR(J146=0,K146=""),"",IF(E146="Positivo",MIN(MAX(K146/J146,0),1.3),MIN(MAX(J146/K146,0),1.3))),"") </f>
        <v/>
      </c>
      <c r="M146" s="14">
        <f>IFERROR(IF(OR(J146=0,K146=""),"",IF(E146="Positivo",MAX(K146/J146,0),MAX(J146/K146,0))),"") </f>
        <v/>
      </c>
      <c r="N146" s="5" t="inlineStr">
        <is>
          <t>ENT</t>
        </is>
      </c>
      <c r="O146" s="5" t="inlineStr">
        <is>
          <t>DEC</t>
        </is>
      </c>
      <c r="P146" s="5" t="n">
        <v>0</v>
      </c>
      <c r="Q146" s="5" t="n">
        <v>2</v>
      </c>
      <c r="R146" s="5" t="inlineStr">
        <is>
          <t>126-2022-12-31</t>
        </is>
      </c>
    </row>
    <row r="147">
      <c r="A147" s="5" t="n">
        <v>126</v>
      </c>
      <c r="B147" s="5" t="inlineStr">
        <is>
          <t>Indice de Prevalencia EL Enfermedad laboral</t>
        </is>
      </c>
      <c r="C147" s="5" t="inlineStr">
        <is>
          <t>GESTIÓN DE SEGURIDAD Y SALUD EN EL TRABAJO</t>
        </is>
      </c>
      <c r="D147" s="5" t="inlineStr">
        <is>
          <t>Anual</t>
        </is>
      </c>
      <c r="E147" s="5" t="inlineStr">
        <is>
          <t>Negativo</t>
        </is>
      </c>
      <c r="F147" s="107" t="n">
        <v>45291</v>
      </c>
      <c r="G147" s="5" t="n">
        <v>2023</v>
      </c>
      <c r="H147" s="5" t="inlineStr">
        <is>
          <t>Diciembre</t>
        </is>
      </c>
      <c r="I147" s="6" t="inlineStr">
        <is>
          <t>2023-2</t>
        </is>
      </c>
      <c r="J147" s="5" t="n">
        <v>2</v>
      </c>
      <c r="K147" s="5" t="n">
        <v>0.12</v>
      </c>
      <c r="L147" s="14">
        <f>IFERROR(IF(OR(J147=0,K147=""),"",IF(E147="Positivo",MIN(MAX(K147/J147,0),1.3),MIN(MAX(J147/K147,0),1.3))),"") </f>
        <v/>
      </c>
      <c r="M147" s="14">
        <f>IFERROR(IF(OR(J147=0,K147=""),"",IF(E147="Positivo",MAX(K147/J147,0),MAX(J147/K147,0))),"") </f>
        <v/>
      </c>
      <c r="N147" s="5" t="inlineStr">
        <is>
          <t>ENT</t>
        </is>
      </c>
      <c r="O147" s="5" t="inlineStr">
        <is>
          <t>DEC</t>
        </is>
      </c>
      <c r="P147" s="5" t="n">
        <v>0</v>
      </c>
      <c r="Q147" s="5" t="n">
        <v>2</v>
      </c>
      <c r="R147" s="5" t="inlineStr">
        <is>
          <t>126-2023-12-31</t>
        </is>
      </c>
    </row>
    <row r="148">
      <c r="A148" s="5" t="n">
        <v>126</v>
      </c>
      <c r="B148" s="5" t="inlineStr">
        <is>
          <t>Indice de Prevalencia EL Enfermedad laboral</t>
        </is>
      </c>
      <c r="C148" s="5" t="inlineStr">
        <is>
          <t>GESTIÓN DE SEGURIDAD Y SALUD EN EL TRABAJO</t>
        </is>
      </c>
      <c r="D148" s="5" t="inlineStr">
        <is>
          <t>Anual</t>
        </is>
      </c>
      <c r="E148" s="5" t="inlineStr">
        <is>
          <t>Negativo</t>
        </is>
      </c>
      <c r="F148" s="107" t="n">
        <v>45657</v>
      </c>
      <c r="G148" s="5" t="n">
        <v>2024</v>
      </c>
      <c r="H148" s="5" t="inlineStr">
        <is>
          <t>Diciembre</t>
        </is>
      </c>
      <c r="I148" s="6" t="inlineStr">
        <is>
          <t>2024-2</t>
        </is>
      </c>
      <c r="J148" s="5" t="n">
        <v>2</v>
      </c>
      <c r="K148" s="5" t="n">
        <v>0.1</v>
      </c>
      <c r="L148" s="14">
        <f>IFERROR(IF(OR(J148=0,K148=""),"",IF(E148="Positivo",MIN(MAX(K148/J148,0),1.3),MIN(MAX(J148/K148,0),1.3))),"") </f>
        <v/>
      </c>
      <c r="M148" s="14">
        <f>IFERROR(IF(OR(J148=0,K148=""),"",IF(E148="Positivo",MAX(K148/J148,0),MAX(J148/K148,0))),"") </f>
        <v/>
      </c>
      <c r="N148" s="5" t="inlineStr">
        <is>
          <t>ENT</t>
        </is>
      </c>
      <c r="O148" s="5" t="inlineStr">
        <is>
          <t>DEC</t>
        </is>
      </c>
      <c r="P148" s="5" t="n">
        <v>0</v>
      </c>
      <c r="Q148" s="5" t="n">
        <v>1</v>
      </c>
      <c r="R148" s="5" t="inlineStr">
        <is>
          <t>126-2024-12-31</t>
        </is>
      </c>
    </row>
    <row r="149">
      <c r="A149" s="5" t="n">
        <v>126</v>
      </c>
      <c r="B149" s="5" t="inlineStr">
        <is>
          <t>Indice de Prevalencia EL Enfermedad laboral</t>
        </is>
      </c>
      <c r="C149" s="5" t="inlineStr">
        <is>
          <t>GESTIÓN DE SEGURIDAD Y SALUD EN EL TRABAJO</t>
        </is>
      </c>
      <c r="D149" s="5" t="inlineStr">
        <is>
          <t>Anual</t>
        </is>
      </c>
      <c r="E149" s="5" t="inlineStr">
        <is>
          <t>Negativo</t>
        </is>
      </c>
      <c r="F149" s="107" t="n">
        <v>46022</v>
      </c>
      <c r="G149" s="5" t="n">
        <v>2025</v>
      </c>
      <c r="H149" s="5" t="inlineStr">
        <is>
          <t>Diciembre</t>
        </is>
      </c>
      <c r="I149" s="6" t="inlineStr">
        <is>
          <t>2025-2</t>
        </is>
      </c>
      <c r="J149" s="5" t="n">
        <v>2</v>
      </c>
      <c r="K149" s="5" t="n">
        <v>0.16</v>
      </c>
      <c r="L149" s="14">
        <f>IFERROR(IF(OR(J149=0,K149=""),"",IF(E149="Positivo",MIN(MAX(K149/J149,0),1.3),MIN(MAX(J149/K149,0),1.3))),"") </f>
        <v/>
      </c>
      <c r="M149" s="14">
        <f>IFERROR(IF(OR(J149=0,K149=""),"",IF(E149="Positivo",MAX(K149/J149,0),MAX(J149/K149,0))),"") </f>
        <v/>
      </c>
      <c r="N149" s="5" t="inlineStr">
        <is>
          <t>ENT</t>
        </is>
      </c>
      <c r="O149" s="5" t="inlineStr">
        <is>
          <t>DEC</t>
        </is>
      </c>
      <c r="P149" s="5" t="n">
        <v>0</v>
      </c>
      <c r="Q149" s="5" t="n">
        <v>1</v>
      </c>
      <c r="R149" s="5" t="inlineStr">
        <is>
          <t>126-2025-12-31</t>
        </is>
      </c>
    </row>
    <row r="150">
      <c r="A150" s="5" t="n">
        <v>127</v>
      </c>
      <c r="B150" s="5" t="inlineStr">
        <is>
          <t>Indice de Incidencia EL Enfermedad laboral</t>
        </is>
      </c>
      <c r="C150" s="5" t="inlineStr">
        <is>
          <t>GESTIÓN DE SEGURIDAD Y SALUD EN EL TRABAJO</t>
        </is>
      </c>
      <c r="D150" s="5" t="inlineStr">
        <is>
          <t>Anual</t>
        </is>
      </c>
      <c r="E150" s="5" t="inlineStr">
        <is>
          <t>Negativo</t>
        </is>
      </c>
      <c r="F150" s="107" t="n">
        <v>44926</v>
      </c>
      <c r="G150" s="5" t="n">
        <v>2022</v>
      </c>
      <c r="H150" s="5" t="inlineStr">
        <is>
          <t>Diciembre</t>
        </is>
      </c>
      <c r="I150" s="6" t="inlineStr">
        <is>
          <t>2022-2</t>
        </is>
      </c>
      <c r="J150" s="5" t="n">
        <v>0</v>
      </c>
      <c r="K150" s="5" t="n">
        <v>0</v>
      </c>
      <c r="L150" s="14">
        <f>IFERROR(IF(OR(J150=0,K150=""),"",IF(E150="Positivo",MIN(MAX(K150/J150,0),1.3),MIN(MAX(J150/K150,0),1.3))),"") </f>
        <v/>
      </c>
      <c r="M150" s="14">
        <f>IFERROR(IF(OR(J150=0,K150=""),"",IF(E150="Positivo",MAX(K150/J150,0),MAX(J150/K150,0))),"") </f>
        <v/>
      </c>
      <c r="N150" s="5" t="inlineStr">
        <is>
          <t>ENT</t>
        </is>
      </c>
      <c r="O150" s="5" t="inlineStr">
        <is>
          <t>DEC</t>
        </is>
      </c>
      <c r="P150" s="5" t="n">
        <v>0</v>
      </c>
      <c r="Q150" s="5" t="n">
        <v>0</v>
      </c>
      <c r="R150" s="5" t="inlineStr">
        <is>
          <t>127-2022-12-31</t>
        </is>
      </c>
    </row>
    <row r="151">
      <c r="A151" s="5" t="n">
        <v>127</v>
      </c>
      <c r="B151" s="5" t="inlineStr">
        <is>
          <t>Indice de Incidencia EL Enfermedad laboral</t>
        </is>
      </c>
      <c r="C151" s="5" t="inlineStr">
        <is>
          <t>GESTIÓN DE SEGURIDAD Y SALUD EN EL TRABAJO</t>
        </is>
      </c>
      <c r="D151" s="5" t="inlineStr">
        <is>
          <t>Anual</t>
        </is>
      </c>
      <c r="E151" s="5" t="inlineStr">
        <is>
          <t>Negativo</t>
        </is>
      </c>
      <c r="F151" s="107" t="n">
        <v>45291</v>
      </c>
      <c r="G151" s="5" t="n">
        <v>2023</v>
      </c>
      <c r="H151" s="5" t="inlineStr">
        <is>
          <t>Diciembre</t>
        </is>
      </c>
      <c r="I151" s="6" t="inlineStr">
        <is>
          <t>2023-2</t>
        </is>
      </c>
      <c r="J151" s="5" t="n">
        <v>0</v>
      </c>
      <c r="K151" s="5" t="n">
        <v>0</v>
      </c>
      <c r="L151" s="14">
        <f>IFERROR(IF(OR(J151=0,K151=""),"",IF(E151="Positivo",MIN(MAX(K151/J151,0),1.3),MIN(MAX(J151/K151,0),1.3))),"") </f>
        <v/>
      </c>
      <c r="M151" s="14">
        <f>IFERROR(IF(OR(J151=0,K151=""),"",IF(E151="Positivo",MAX(K151/J151,0),MAX(J151/K151,0))),"") </f>
        <v/>
      </c>
      <c r="N151" s="5" t="inlineStr">
        <is>
          <t>ENT</t>
        </is>
      </c>
      <c r="O151" s="5" t="inlineStr">
        <is>
          <t>DEC</t>
        </is>
      </c>
      <c r="P151" s="5" t="n">
        <v>0</v>
      </c>
      <c r="Q151" s="5" t="n">
        <v>0</v>
      </c>
      <c r="R151" s="5" t="inlineStr">
        <is>
          <t>127-2023-12-31</t>
        </is>
      </c>
    </row>
    <row r="152">
      <c r="A152" s="5" t="n">
        <v>127</v>
      </c>
      <c r="B152" s="5" t="inlineStr">
        <is>
          <t>Indice de Incidencia EL Enfermedad laboral</t>
        </is>
      </c>
      <c r="C152" s="5" t="inlineStr">
        <is>
          <t>GESTIÓN DE SEGURIDAD Y SALUD EN EL TRABAJO</t>
        </is>
      </c>
      <c r="D152" s="5" t="inlineStr">
        <is>
          <t>Anual</t>
        </is>
      </c>
      <c r="E152" s="5" t="inlineStr">
        <is>
          <t>Negativo</t>
        </is>
      </c>
      <c r="F152" s="107" t="n">
        <v>45657</v>
      </c>
      <c r="G152" s="5" t="n">
        <v>2024</v>
      </c>
      <c r="H152" s="5" t="inlineStr">
        <is>
          <t>Diciembre</t>
        </is>
      </c>
      <c r="I152" s="6" t="inlineStr">
        <is>
          <t>2024-2</t>
        </is>
      </c>
      <c r="J152" s="5" t="n">
        <v>0</v>
      </c>
      <c r="K152" s="5" t="n">
        <v>0</v>
      </c>
      <c r="L152" s="14">
        <f>IFERROR(IF(OR(J152=0,K152=""),"",IF(E152="Positivo",MIN(MAX(K152/J152,0),1.3),MIN(MAX(J152/K152,0),1.3))),"") </f>
        <v/>
      </c>
      <c r="M152" s="14">
        <f>IFERROR(IF(OR(J152=0,K152=""),"",IF(E152="Positivo",MAX(K152/J152,0),MAX(J152/K152,0))),"") </f>
        <v/>
      </c>
      <c r="N152" s="5" t="inlineStr">
        <is>
          <t>ENT</t>
        </is>
      </c>
      <c r="O152" s="5" t="inlineStr">
        <is>
          <t>DEC</t>
        </is>
      </c>
      <c r="P152" s="5" t="n">
        <v>0</v>
      </c>
      <c r="Q152" s="5" t="n">
        <v>0</v>
      </c>
      <c r="R152" s="5" t="inlineStr">
        <is>
          <t>127-2024-12-31</t>
        </is>
      </c>
    </row>
    <row r="153">
      <c r="A153" s="5" t="n">
        <v>127</v>
      </c>
      <c r="B153" s="5" t="inlineStr">
        <is>
          <t>Indice de Incidencia EL Enfermedad laboral</t>
        </is>
      </c>
      <c r="C153" s="5" t="inlineStr">
        <is>
          <t>GESTIÓN DE SEGURIDAD Y SALUD EN EL TRABAJO</t>
        </is>
      </c>
      <c r="D153" s="5" t="inlineStr">
        <is>
          <t>Anual</t>
        </is>
      </c>
      <c r="E153" s="5" t="inlineStr">
        <is>
          <t>Negativo</t>
        </is>
      </c>
      <c r="F153" s="107" t="n">
        <v>46022</v>
      </c>
      <c r="G153" s="5" t="n">
        <v>2025</v>
      </c>
      <c r="H153" s="5" t="inlineStr">
        <is>
          <t>Diciembre</t>
        </is>
      </c>
      <c r="I153" s="6" t="inlineStr">
        <is>
          <t>2025-2</t>
        </is>
      </c>
      <c r="J153" s="5" t="n">
        <v>0</v>
      </c>
      <c r="K153" s="5" t="n">
        <v>0</v>
      </c>
      <c r="L153" s="14">
        <f>IFERROR(IF(OR(J153=0,K153=""),"",IF(E153="Positivo",MIN(MAX(K153/J153,0),1.3),MIN(MAX(J153/K153,0),1.3))),"") </f>
        <v/>
      </c>
      <c r="M153" s="14">
        <f>IFERROR(IF(OR(J153=0,K153=""),"",IF(E153="Positivo",MAX(K153/J153,0),MAX(J153/K153,0))),"") </f>
        <v/>
      </c>
      <c r="N153" s="5" t="inlineStr">
        <is>
          <t>ENT</t>
        </is>
      </c>
      <c r="O153" s="5" t="inlineStr">
        <is>
          <t>DEC</t>
        </is>
      </c>
      <c r="P153" s="5" t="n">
        <v>0</v>
      </c>
      <c r="Q153" s="5" t="n">
        <v>0</v>
      </c>
      <c r="R153" s="5" t="inlineStr">
        <is>
          <t>127-2025-12-31</t>
        </is>
      </c>
    </row>
    <row r="154">
      <c r="A154" s="5" t="n">
        <v>128</v>
      </c>
      <c r="B154" s="5" t="inlineStr">
        <is>
          <t>Ausentísmo por causa médica</t>
        </is>
      </c>
      <c r="C154" s="5" t="inlineStr">
        <is>
          <t>GESTIÓN DE SEGURIDAD Y SALUD EN EL TRABAJO</t>
        </is>
      </c>
      <c r="D154" s="5" t="inlineStr">
        <is>
          <t>Mensual</t>
        </is>
      </c>
      <c r="E154" s="5" t="inlineStr">
        <is>
          <t>Negativo</t>
        </is>
      </c>
      <c r="F154" s="107" t="n">
        <v>44926</v>
      </c>
      <c r="G154" s="5" t="n">
        <v>2022</v>
      </c>
      <c r="H154" s="5" t="inlineStr">
        <is>
          <t>Diciembre</t>
        </is>
      </c>
      <c r="I154" s="6" t="inlineStr">
        <is>
          <t>2022-2</t>
        </is>
      </c>
      <c r="J154" s="5" t="n">
        <v>1</v>
      </c>
      <c r="K154" s="5" t="n">
        <v>0.7848363272239824</v>
      </c>
      <c r="L154" s="14">
        <f>IFERROR(IF(OR(J154=0,K154=""),"",IF(E154="Positivo",MIN(MAX(K154/J154,0),1.3),MIN(MAX(J154/K154,0),1.3))),"") </f>
        <v/>
      </c>
      <c r="M154" s="14">
        <f>IFERROR(IF(OR(J154=0,K154=""),"",IF(E154="Positivo",MAX(K154/J154,0),MAX(J154/K154,0))),"") </f>
        <v/>
      </c>
      <c r="N154" s="5" t="inlineStr">
        <is>
          <t>ENT</t>
        </is>
      </c>
      <c r="O154" s="5" t="inlineStr">
        <is>
          <t>DEC</t>
        </is>
      </c>
      <c r="P154" s="5" t="n">
        <v>0</v>
      </c>
      <c r="Q154" s="5" t="n">
        <v>2</v>
      </c>
      <c r="R154" s="5" t="inlineStr">
        <is>
          <t>128-2022-12-31</t>
        </is>
      </c>
    </row>
    <row r="155">
      <c r="A155" s="5" t="n">
        <v>128</v>
      </c>
      <c r="B155" s="5" t="inlineStr">
        <is>
          <t>Ausentísmo por causa médica</t>
        </is>
      </c>
      <c r="C155" s="5" t="inlineStr">
        <is>
          <t>GESTIÓN DE SEGURIDAD Y SALUD EN EL TRABAJO</t>
        </is>
      </c>
      <c r="D155" s="5" t="inlineStr">
        <is>
          <t>Mensual</t>
        </is>
      </c>
      <c r="E155" s="5" t="inlineStr">
        <is>
          <t>Negativo</t>
        </is>
      </c>
      <c r="F155" s="107" t="n">
        <v>45291</v>
      </c>
      <c r="G155" s="5" t="n">
        <v>2023</v>
      </c>
      <c r="H155" s="5" t="inlineStr">
        <is>
          <t>Diciembre</t>
        </is>
      </c>
      <c r="I155" s="6" t="inlineStr">
        <is>
          <t>2023-2</t>
        </is>
      </c>
      <c r="J155" s="5" t="n">
        <v>1</v>
      </c>
      <c r="K155" s="5" t="n">
        <v>0.8470587408838942</v>
      </c>
      <c r="L155" s="14">
        <f>IFERROR(IF(OR(J155=0,K155=""),"",IF(E155="Positivo",MIN(MAX(K155/J155,0),1.3),MIN(MAX(J155/K155,0),1.3))),"") </f>
        <v/>
      </c>
      <c r="M155" s="14">
        <f>IFERROR(IF(OR(J155=0,K155=""),"",IF(E155="Positivo",MAX(K155/J155,0),MAX(J155/K155,0))),"") </f>
        <v/>
      </c>
      <c r="N155" s="5" t="inlineStr">
        <is>
          <t>ENT</t>
        </is>
      </c>
      <c r="O155" s="5" t="inlineStr">
        <is>
          <t>DEC</t>
        </is>
      </c>
      <c r="P155" s="5" t="n">
        <v>0</v>
      </c>
      <c r="Q155" s="5" t="n">
        <v>2</v>
      </c>
      <c r="R155" s="5" t="inlineStr">
        <is>
          <t>128-2023-12-31</t>
        </is>
      </c>
    </row>
    <row r="156">
      <c r="A156" s="5" t="n">
        <v>128</v>
      </c>
      <c r="B156" s="5" t="inlineStr">
        <is>
          <t>Ausentísmo por causa médica</t>
        </is>
      </c>
      <c r="C156" s="5" t="inlineStr">
        <is>
          <t>GESTIÓN DE SEGURIDAD Y SALUD EN EL TRABAJO</t>
        </is>
      </c>
      <c r="D156" s="5" t="inlineStr">
        <is>
          <t>Mensual</t>
        </is>
      </c>
      <c r="E156" s="5" t="inlineStr">
        <is>
          <t>Negativo</t>
        </is>
      </c>
      <c r="F156" s="107" t="n">
        <v>45657</v>
      </c>
      <c r="G156" s="5" t="n">
        <v>2024</v>
      </c>
      <c r="H156" s="5" t="inlineStr">
        <is>
          <t>Diciembre</t>
        </is>
      </c>
      <c r="I156" s="6" t="inlineStr">
        <is>
          <t>2024-2</t>
        </is>
      </c>
      <c r="J156" s="5" t="n">
        <v>1</v>
      </c>
      <c r="K156" s="5" t="n">
        <v>0.6809763596981077</v>
      </c>
      <c r="L156" s="14">
        <f>IFERROR(IF(OR(J156=0,K156=""),"",IF(E156="Positivo",MIN(MAX(K156/J156,0),1.3),MIN(MAX(J156/K156,0),1.3))),"") </f>
        <v/>
      </c>
      <c r="M156" s="14">
        <f>IFERROR(IF(OR(J156=0,K156=""),"",IF(E156="Positivo",MAX(K156/J156,0),MAX(J156/K156,0))),"") </f>
        <v/>
      </c>
      <c r="N156" s="5" t="inlineStr">
        <is>
          <t>ENT</t>
        </is>
      </c>
      <c r="O156" s="5" t="inlineStr">
        <is>
          <t>DEC</t>
        </is>
      </c>
      <c r="P156" s="5" t="n">
        <v>0</v>
      </c>
      <c r="Q156" s="5" t="n">
        <v>2</v>
      </c>
      <c r="R156" s="5" t="inlineStr">
        <is>
          <t>128-2024-12-31</t>
        </is>
      </c>
    </row>
    <row r="157">
      <c r="A157" s="5" t="n">
        <v>128</v>
      </c>
      <c r="B157" s="5" t="inlineStr">
        <is>
          <t>Ausentísmo por causa médica</t>
        </is>
      </c>
      <c r="C157" s="5" t="inlineStr">
        <is>
          <t>GESTIÓN DE SEGURIDAD Y SALUD EN EL TRABAJO</t>
        </is>
      </c>
      <c r="D157" s="5" t="inlineStr">
        <is>
          <t>Mensual</t>
        </is>
      </c>
      <c r="E157" s="5" t="inlineStr">
        <is>
          <t>Negativo</t>
        </is>
      </c>
      <c r="F157" s="107" t="n">
        <v>46022</v>
      </c>
      <c r="G157" s="5" t="n">
        <v>2025</v>
      </c>
      <c r="H157" s="5" t="inlineStr">
        <is>
          <t>Diciembre</t>
        </is>
      </c>
      <c r="I157" s="6" t="inlineStr">
        <is>
          <t>2025-2</t>
        </is>
      </c>
      <c r="J157" s="5" t="n">
        <v>1</v>
      </c>
      <c r="K157" s="5" t="n">
        <v>0.9066666666666666</v>
      </c>
      <c r="L157" s="14">
        <f>IFERROR(IF(OR(J157=0,K157=""),"",IF(E157="Positivo",MIN(MAX(K157/J157,0),1.3),MIN(MAX(J157/K157,0),1.3))),"") </f>
        <v/>
      </c>
      <c r="M157" s="14">
        <f>IFERROR(IF(OR(J157=0,K157=""),"",IF(E157="Positivo",MAX(K157/J157,0),MAX(J157/K157,0))),"") </f>
        <v/>
      </c>
      <c r="N157" s="5" t="inlineStr">
        <is>
          <t>ENT</t>
        </is>
      </c>
      <c r="O157" s="5" t="inlineStr">
        <is>
          <t>DEC</t>
        </is>
      </c>
      <c r="P157" s="5" t="n">
        <v>0</v>
      </c>
      <c r="Q157" s="5" t="n">
        <v>2</v>
      </c>
      <c r="R157" s="5" t="inlineStr">
        <is>
          <t>128-2025-12-31</t>
        </is>
      </c>
    </row>
    <row r="158">
      <c r="A158" s="5" t="n">
        <v>128</v>
      </c>
      <c r="B158" s="5" t="inlineStr">
        <is>
          <t>Ausentísmo por causa médica</t>
        </is>
      </c>
      <c r="C158" s="5" t="inlineStr">
        <is>
          <t>GESTIÓN DE SEGURIDAD Y SALUD EN EL TRABAJO</t>
        </is>
      </c>
      <c r="D158" s="5" t="inlineStr">
        <is>
          <t>Mensual</t>
        </is>
      </c>
      <c r="E158" s="5" t="inlineStr">
        <is>
          <t>Negativo</t>
        </is>
      </c>
      <c r="F158" s="107" t="n">
        <v>46081</v>
      </c>
      <c r="G158" s="5" t="n">
        <v>2026</v>
      </c>
      <c r="H158" s="5" t="inlineStr">
        <is>
          <t>Febrero</t>
        </is>
      </c>
      <c r="I158" s="6" t="inlineStr">
        <is>
          <t>2026-1</t>
        </is>
      </c>
      <c r="J158" s="5" t="n">
        <v>1</v>
      </c>
      <c r="K158" s="5" t="n">
        <v>0.8149999999999999</v>
      </c>
      <c r="L158" s="14">
        <f>IFERROR(IF(OR(J158=0,K158=""),"",IF(E158="Positivo",MIN(MAX(K158/J158,0),1.3),MIN(MAX(J158/K158,0),1.3))),"") </f>
        <v/>
      </c>
      <c r="M158" s="14">
        <f>IFERROR(IF(OR(J158=0,K158=""),"",IF(E158="Positivo",MAX(K158/J158,0),MAX(J158/K158,0))),"") </f>
        <v/>
      </c>
      <c r="N158" s="5" t="inlineStr">
        <is>
          <t>ENT</t>
        </is>
      </c>
      <c r="O158" s="5" t="inlineStr">
        <is>
          <t>DEC</t>
        </is>
      </c>
      <c r="P158" s="5" t="n">
        <v>0</v>
      </c>
      <c r="Q158" s="5" t="n">
        <v>2</v>
      </c>
      <c r="R158" s="5" t="inlineStr">
        <is>
          <t>128-2026-02-28</t>
        </is>
      </c>
      <c r="S158" t="inlineStr"/>
    </row>
    <row r="159">
      <c r="A159" s="5" t="n">
        <v>133</v>
      </c>
      <c r="B159" s="5" t="inlineStr">
        <is>
          <t>Nivel de Satisfacción Servicios Prestados</t>
        </is>
      </c>
      <c r="C159" s="5" t="inlineStr">
        <is>
          <t>VISIBILIDAD NACIONAL E INTERNACIONAL</t>
        </is>
      </c>
      <c r="D159" s="5" t="inlineStr">
        <is>
          <t>Anual</t>
        </is>
      </c>
      <c r="E159" s="5" t="inlineStr">
        <is>
          <t>Positivo</t>
        </is>
      </c>
      <c r="F159" s="107" t="n">
        <v>44865</v>
      </c>
      <c r="G159" s="5" t="n">
        <v>2022</v>
      </c>
      <c r="H159" s="5" t="inlineStr">
        <is>
          <t>Octubre</t>
        </is>
      </c>
      <c r="I159" s="6" t="inlineStr">
        <is>
          <t>2022-2</t>
        </is>
      </c>
      <c r="J159" s="73" t="n">
        <v>80</v>
      </c>
      <c r="K159" s="9" t="n">
        <v>90</v>
      </c>
      <c r="L159" s="14">
        <f>IFERROR(IF(OR(J159=0,K159=""),"",IF(E159="Positivo",MIN(MAX(K159/J159,0),1.3),MIN(MAX(J159/K159,0),1.3))),"") </f>
        <v/>
      </c>
      <c r="M159" s="14">
        <f>IFERROR(IF(OR(J159=0,K159=""),"",IF(E159="Positivo",MAX(K159/J159,0),MAX(J159/K159,0))),"") </f>
        <v/>
      </c>
      <c r="N159" s="5" t="inlineStr">
        <is>
          <t>%</t>
        </is>
      </c>
      <c r="O159" s="5" t="inlineStr">
        <is>
          <t>%</t>
        </is>
      </c>
      <c r="P159" s="5" t="n">
        <v>0</v>
      </c>
      <c r="Q159" s="5" t="n">
        <v>0</v>
      </c>
      <c r="R159" s="5" t="inlineStr">
        <is>
          <t>133-2022-10-31</t>
        </is>
      </c>
    </row>
    <row r="160">
      <c r="A160" s="5" t="n">
        <v>133</v>
      </c>
      <c r="B160" s="5" t="inlineStr">
        <is>
          <t>Nivel de Satisfacción Servicios Prestados</t>
        </is>
      </c>
      <c r="C160" s="5" t="inlineStr">
        <is>
          <t>VISIBILIDAD NACIONAL E INTERNACIONAL</t>
        </is>
      </c>
      <c r="D160" s="5" t="inlineStr">
        <is>
          <t>Anual</t>
        </is>
      </c>
      <c r="E160" s="5" t="inlineStr">
        <is>
          <t>Positivo</t>
        </is>
      </c>
      <c r="F160" s="107" t="n">
        <v>45230</v>
      </c>
      <c r="G160" s="5" t="n">
        <v>2023</v>
      </c>
      <c r="H160" s="5" t="inlineStr">
        <is>
          <t>Octubre</t>
        </is>
      </c>
      <c r="I160" s="6" t="inlineStr">
        <is>
          <t>2023-2</t>
        </is>
      </c>
      <c r="J160" s="5" t="n">
        <v>80</v>
      </c>
      <c r="K160" s="5" t="n">
        <v>93</v>
      </c>
      <c r="L160" s="14">
        <f>IFERROR(IF(OR(J160=0,K160=""),"",IF(E160="Positivo",MIN(MAX(K160/J160,0),1.3),MIN(MAX(J160/K160,0),1.3))),"") </f>
        <v/>
      </c>
      <c r="M160" s="14">
        <f>IFERROR(IF(OR(J160=0,K160=""),"",IF(E160="Positivo",MAX(K160/J160,0),MAX(J160/K160,0))),"") </f>
        <v/>
      </c>
      <c r="N160" s="5" t="inlineStr">
        <is>
          <t>%</t>
        </is>
      </c>
      <c r="O160" s="5" t="inlineStr">
        <is>
          <t>%</t>
        </is>
      </c>
      <c r="P160" s="5" t="n">
        <v>0</v>
      </c>
      <c r="Q160" s="5" t="n">
        <v>0</v>
      </c>
      <c r="R160" s="5" t="inlineStr">
        <is>
          <t>133-2023-10-31</t>
        </is>
      </c>
      <c r="S160" t="inlineStr"/>
    </row>
    <row r="161">
      <c r="A161" s="5" t="n">
        <v>133</v>
      </c>
      <c r="B161" s="5" t="inlineStr">
        <is>
          <t>Nivel de Satisfacción Servicios Prestados</t>
        </is>
      </c>
      <c r="C161" s="5" t="inlineStr">
        <is>
          <t>VISIBILIDAD NACIONAL E INTERNACIONAL</t>
        </is>
      </c>
      <c r="D161" s="5" t="inlineStr">
        <is>
          <t>Anual</t>
        </is>
      </c>
      <c r="E161" s="5" t="inlineStr">
        <is>
          <t>Positivo</t>
        </is>
      </c>
      <c r="F161" s="107" t="n">
        <v>45291</v>
      </c>
      <c r="G161" s="5" t="n">
        <v>2023</v>
      </c>
      <c r="H161" s="5" t="inlineStr">
        <is>
          <t>Diciembre</t>
        </is>
      </c>
      <c r="I161" s="6" t="inlineStr">
        <is>
          <t>2023-2</t>
        </is>
      </c>
      <c r="J161" s="5" t="n">
        <v>80</v>
      </c>
      <c r="K161" s="5" t="n">
        <v>92.78911564625851</v>
      </c>
      <c r="L161" s="14">
        <f>IFERROR(IF(OR(J161=0,K161=""),"",IF(E161="Positivo",MIN(MAX(K161/J161,0),1.3),MIN(MAX(J161/K161,0),1.3))),"") </f>
        <v/>
      </c>
      <c r="M161" s="14">
        <f>IFERROR(IF(OR(J161=0,K161=""),"",IF(E161="Positivo",MAX(K161/J161,0),MAX(J161/K161,0))),"") </f>
        <v/>
      </c>
      <c r="N161" s="5" t="inlineStr">
        <is>
          <t>%</t>
        </is>
      </c>
      <c r="O161" s="38" t="inlineStr">
        <is>
          <t>%</t>
        </is>
      </c>
      <c r="P161" s="5" t="n">
        <v>0</v>
      </c>
      <c r="Q161" s="5" t="n">
        <v>0</v>
      </c>
      <c r="R161" s="5" t="inlineStr">
        <is>
          <t>133-2023-12-31</t>
        </is>
      </c>
    </row>
    <row r="162">
      <c r="A162" s="5" t="n">
        <v>133</v>
      </c>
      <c r="B162" s="5" t="inlineStr">
        <is>
          <t>Nivel de Satisfacción Servicios Prestados</t>
        </is>
      </c>
      <c r="C162" s="5" t="inlineStr">
        <is>
          <t>VISIBILIDAD NACIONAL E INTERNACIONAL</t>
        </is>
      </c>
      <c r="D162" s="5" t="inlineStr">
        <is>
          <t>Anual</t>
        </is>
      </c>
      <c r="E162" s="5" t="inlineStr">
        <is>
          <t>Positivo</t>
        </is>
      </c>
      <c r="F162" s="107" t="n">
        <v>45596</v>
      </c>
      <c r="G162" s="5" t="n">
        <v>2024</v>
      </c>
      <c r="H162" s="5" t="inlineStr">
        <is>
          <t>Octubre</t>
        </is>
      </c>
      <c r="I162" s="6" t="inlineStr">
        <is>
          <t>2024-2</t>
        </is>
      </c>
      <c r="J162" s="5" t="n">
        <v>80</v>
      </c>
      <c r="K162" s="5" t="n">
        <v>91</v>
      </c>
      <c r="L162" s="14">
        <f>IFERROR(IF(OR(J162=0,K162=""),"",IF(E162="Positivo",MIN(MAX(K162/J162,0),1.3),MIN(MAX(J162/K162,0),1.3))),"") </f>
        <v/>
      </c>
      <c r="M162" s="14">
        <f>IFERROR(IF(OR(J162=0,K162=""),"",IF(E162="Positivo",MAX(K162/J162,0),MAX(J162/K162,0))),"") </f>
        <v/>
      </c>
      <c r="N162" s="5" t="inlineStr">
        <is>
          <t>%</t>
        </is>
      </c>
      <c r="O162" s="5" t="inlineStr">
        <is>
          <t>%</t>
        </is>
      </c>
      <c r="P162" s="5" t="n">
        <v>0</v>
      </c>
      <c r="Q162" s="5" t="n">
        <v>0</v>
      </c>
      <c r="R162" s="5" t="inlineStr">
        <is>
          <t>133-2024-10-31</t>
        </is>
      </c>
      <c r="S162" t="inlineStr"/>
    </row>
    <row r="163">
      <c r="A163" s="5" t="n">
        <v>133</v>
      </c>
      <c r="B163" s="5" t="inlineStr">
        <is>
          <t>Nivel de Satisfacción Servicios Prestados</t>
        </is>
      </c>
      <c r="C163" s="5" t="inlineStr">
        <is>
          <t>VISIBILIDAD NACIONAL E INTERNACIONAL</t>
        </is>
      </c>
      <c r="D163" s="5" t="inlineStr">
        <is>
          <t>Anual</t>
        </is>
      </c>
      <c r="E163" s="5" t="inlineStr">
        <is>
          <t>Positivo</t>
        </is>
      </c>
      <c r="F163" s="107" t="n">
        <v>45657</v>
      </c>
      <c r="G163" s="5" t="n">
        <v>2024</v>
      </c>
      <c r="H163" s="5" t="inlineStr">
        <is>
          <t>Diciembre</t>
        </is>
      </c>
      <c r="I163" s="6" t="inlineStr">
        <is>
          <t>2024-2</t>
        </is>
      </c>
      <c r="J163" s="5" t="n">
        <v>80</v>
      </c>
      <c r="K163" s="5" t="n">
        <v>91</v>
      </c>
      <c r="L163" s="14">
        <f>IFERROR(IF(OR(J163=0,K163=""),"",IF(E163="Positivo",MIN(MAX(K163/J163,0),1.3),MIN(MAX(J163/K163,0),1.3))),"") </f>
        <v/>
      </c>
      <c r="M163" s="14">
        <f>IFERROR(IF(OR(J163=0,K163=""),"",IF(E163="Positivo",MAX(K163/J163,0),MAX(J163/K163,0))),"") </f>
        <v/>
      </c>
      <c r="N163" s="5" t="inlineStr">
        <is>
          <t>%</t>
        </is>
      </c>
      <c r="O163" s="5" t="inlineStr">
        <is>
          <t>%</t>
        </is>
      </c>
      <c r="P163" s="5" t="n">
        <v>0</v>
      </c>
      <c r="Q163" s="5" t="n">
        <v>0</v>
      </c>
      <c r="R163" s="5" t="inlineStr">
        <is>
          <t>133-2024-12-31</t>
        </is>
      </c>
    </row>
    <row r="164">
      <c r="A164" s="5" t="n">
        <v>133</v>
      </c>
      <c r="B164" s="5" t="inlineStr">
        <is>
          <t>Nivel de Satisfacción Servicios Prestados</t>
        </is>
      </c>
      <c r="C164" s="5" t="inlineStr">
        <is>
          <t>VISIBILIDAD NACIONAL E INTERNACIONAL</t>
        </is>
      </c>
      <c r="D164" s="5" t="inlineStr">
        <is>
          <t>Anual</t>
        </is>
      </c>
      <c r="E164" s="5" t="inlineStr">
        <is>
          <t>Positivo</t>
        </is>
      </c>
      <c r="F164" s="107" t="n">
        <v>45961</v>
      </c>
      <c r="G164" s="5" t="n">
        <v>2025</v>
      </c>
      <c r="H164" s="5" t="inlineStr">
        <is>
          <t>Octubre</t>
        </is>
      </c>
      <c r="I164" s="6" t="inlineStr">
        <is>
          <t>2025-2</t>
        </is>
      </c>
      <c r="J164" s="5" t="n">
        <v>80</v>
      </c>
      <c r="K164" s="5" t="n">
        <v>96</v>
      </c>
      <c r="L164" s="14">
        <f>IFERROR(IF(OR(J164=0,K164=""),"",IF(E164="Positivo",MIN(MAX(K164/J164,0),1.3),MIN(MAX(J164/K164,0),1.3))),"") </f>
        <v/>
      </c>
      <c r="M164" s="14">
        <f>IFERROR(IF(OR(J164=0,K164=""),"",IF(E164="Positivo",MAX(K164/J164,0),MAX(J164/K164,0))),"") </f>
        <v/>
      </c>
      <c r="N164" s="5" t="inlineStr">
        <is>
          <t>%</t>
        </is>
      </c>
      <c r="O164" s="5" t="inlineStr">
        <is>
          <t>%</t>
        </is>
      </c>
      <c r="P164" s="5" t="n">
        <v>0</v>
      </c>
      <c r="Q164" s="5" t="n">
        <v>0</v>
      </c>
      <c r="R164" s="5" t="inlineStr">
        <is>
          <t>133-2025-10-31</t>
        </is>
      </c>
    </row>
    <row r="165">
      <c r="A165" s="5" t="n">
        <v>136</v>
      </c>
      <c r="B165" s="5" t="inlineStr">
        <is>
          <t>Ejecución de actividades culturales</t>
        </is>
      </c>
      <c r="C165" s="5" t="inlineStr">
        <is>
          <t>Biblioteca Institucional</t>
        </is>
      </c>
      <c r="D165" s="5" t="inlineStr">
        <is>
          <t>Semestral</t>
        </is>
      </c>
      <c r="E165" s="5" t="inlineStr">
        <is>
          <t>Positivo</t>
        </is>
      </c>
      <c r="F165" s="107" t="n">
        <v>45291</v>
      </c>
      <c r="G165" s="5" t="n">
        <v>2023</v>
      </c>
      <c r="H165" s="5" t="inlineStr">
        <is>
          <t>Diciembre</t>
        </is>
      </c>
      <c r="I165" s="6" t="inlineStr">
        <is>
          <t>2023-2</t>
        </is>
      </c>
      <c r="J165" s="5" t="n">
        <v>90</v>
      </c>
      <c r="K165" s="5" t="n">
        <v>100</v>
      </c>
      <c r="L165" s="14">
        <f>IFERROR(IF(OR(J165=0,K165=""),"",IF(E165="Positivo",MIN(MAX(K165/J165,0),1.3),MIN(MAX(J165/K165,0),1.3))),"") </f>
        <v/>
      </c>
      <c r="M165" s="14">
        <f>IFERROR(IF(OR(J165=0,K165=""),"",IF(E165="Positivo",MAX(K165/J165,0),MAX(J165/K165,0))),"") </f>
        <v/>
      </c>
      <c r="N165" s="5" t="inlineStr">
        <is>
          <t>%</t>
        </is>
      </c>
      <c r="O165" s="5" t="inlineStr">
        <is>
          <t>%</t>
        </is>
      </c>
      <c r="P165" s="5" t="n">
        <v>0</v>
      </c>
      <c r="Q165" s="5" t="n">
        <v>0</v>
      </c>
      <c r="R165" s="5" t="inlineStr">
        <is>
          <t>136-2023-12-31</t>
        </is>
      </c>
    </row>
    <row r="166">
      <c r="A166" s="5" t="n">
        <v>137</v>
      </c>
      <c r="B166" s="5" t="inlineStr">
        <is>
          <t>Ejecución de Talleres de formación</t>
        </is>
      </c>
      <c r="C166" s="5" t="inlineStr">
        <is>
          <t>Biblioteca Institucional</t>
        </is>
      </c>
      <c r="D166" s="5" t="inlineStr">
        <is>
          <t>Trimestral</t>
        </is>
      </c>
      <c r="E166" s="5" t="inlineStr">
        <is>
          <t>Positivo</t>
        </is>
      </c>
      <c r="F166" s="107" t="n">
        <v>45291</v>
      </c>
      <c r="G166" s="5" t="n">
        <v>2023</v>
      </c>
      <c r="H166" s="5" t="inlineStr">
        <is>
          <t>Diciembre</t>
        </is>
      </c>
      <c r="I166" s="6" t="inlineStr">
        <is>
          <t>2023-2</t>
        </is>
      </c>
      <c r="J166" s="5" t="n">
        <v>447</v>
      </c>
      <c r="K166" s="5" t="n">
        <v>448</v>
      </c>
      <c r="L166" s="14">
        <f>IFERROR(IF(OR(J166=0,K166=""),"",IF(E166="Positivo",MIN(MAX(K166/J166,0),1.3),MIN(MAX(J166/K166,0),1.3))),"") </f>
        <v/>
      </c>
      <c r="M166" s="14">
        <f>IFERROR(IF(OR(J166=0,K166=""),"",IF(E166="Positivo",MAX(K166/J166,0),MAX(J166/K166,0))),"") </f>
        <v/>
      </c>
      <c r="N166" s="5" t="inlineStr">
        <is>
          <t>ENT</t>
        </is>
      </c>
      <c r="O166" s="5" t="inlineStr">
        <is>
          <t>ENT</t>
        </is>
      </c>
      <c r="P166" s="5" t="n">
        <v>0</v>
      </c>
      <c r="Q166" s="5" t="n">
        <v>0</v>
      </c>
      <c r="R166" s="5" t="inlineStr">
        <is>
          <t>137-2023-12-31</t>
        </is>
      </c>
    </row>
    <row r="167">
      <c r="A167" s="5" t="n">
        <v>139</v>
      </c>
      <c r="B167" s="5" t="inlineStr">
        <is>
          <t>Ejecución presupuestal del gasto</t>
        </is>
      </c>
      <c r="C167" s="5" t="inlineStr">
        <is>
          <t>Biblioteca Institucional</t>
        </is>
      </c>
      <c r="D167" s="5" t="inlineStr">
        <is>
          <t>Mensual</t>
        </is>
      </c>
      <c r="E167" s="5" t="inlineStr">
        <is>
          <t>Negativo</t>
        </is>
      </c>
      <c r="F167" s="107" t="n">
        <v>45291</v>
      </c>
      <c r="G167" s="5" t="n">
        <v>2023</v>
      </c>
      <c r="H167" s="5" t="inlineStr">
        <is>
          <t>Diciembre</t>
        </is>
      </c>
      <c r="I167" s="6" t="inlineStr">
        <is>
          <t>2023-2</t>
        </is>
      </c>
      <c r="J167" s="5" t="n">
        <v>981.982</v>
      </c>
      <c r="K167" s="5" t="n">
        <v>964.284</v>
      </c>
      <c r="L167" s="14">
        <f>IFERROR(IF(OR(J167=0,K167=""),"",IF(E167="Positivo",MIN(MAX(K167/J167,0),1.3),MIN(MAX(J167/K167,0),1.3))),"") </f>
        <v/>
      </c>
      <c r="M167" s="14">
        <f>IFERROR(IF(OR(J167=0,K167=""),"",IF(E167="Positivo",MAX(K167/J167,0),MAX(J167/K167,0))),"") </f>
        <v/>
      </c>
      <c r="N167" s="5" t="inlineStr">
        <is>
          <t>$</t>
        </is>
      </c>
      <c r="O167" s="5" t="inlineStr">
        <is>
          <t>$</t>
        </is>
      </c>
      <c r="P167" s="5" t="n">
        <v>0</v>
      </c>
      <c r="Q167" s="5" t="n">
        <v>0</v>
      </c>
      <c r="R167" s="5" t="inlineStr">
        <is>
          <t>139-2023-12-31</t>
        </is>
      </c>
    </row>
    <row r="168">
      <c r="A168" s="5" t="n">
        <v>139</v>
      </c>
      <c r="B168" s="5" t="inlineStr">
        <is>
          <t>Ejecución presupuestal del gasto</t>
        </is>
      </c>
      <c r="C168" s="5" t="inlineStr">
        <is>
          <t>Biblioteca Institucional</t>
        </is>
      </c>
      <c r="D168" s="5" t="inlineStr">
        <is>
          <t>Mensual</t>
        </is>
      </c>
      <c r="E168" s="5" t="inlineStr">
        <is>
          <t>Negativo</t>
        </is>
      </c>
      <c r="F168" s="107" t="n">
        <v>45504</v>
      </c>
      <c r="G168" s="5" t="n">
        <v>2024</v>
      </c>
      <c r="H168" s="5" t="inlineStr">
        <is>
          <t>Julio</t>
        </is>
      </c>
      <c r="I168" s="6" t="inlineStr">
        <is>
          <t>2024-2</t>
        </is>
      </c>
      <c r="J168" s="5" t="n">
        <v>1338.614396</v>
      </c>
      <c r="K168" s="5" t="n">
        <v>1214.751881</v>
      </c>
      <c r="L168" s="14">
        <f>IFERROR(IF(OR(J168=0,K168=""),"",IF(E168="Positivo",MIN(MAX(K168/J168,0),1.3),MIN(MAX(J168/K168,0),1.3))),"") </f>
        <v/>
      </c>
      <c r="M168" s="14">
        <f>IFERROR(IF(OR(J168=0,K168=""),"",IF(E168="Positivo",MAX(K168/J168,0),MAX(J168/K168,0))),"") </f>
        <v/>
      </c>
      <c r="N168" s="5" t="inlineStr">
        <is>
          <t>$</t>
        </is>
      </c>
      <c r="O168" s="5" t="inlineStr">
        <is>
          <t>$</t>
        </is>
      </c>
      <c r="P168" s="5" t="n">
        <v>0</v>
      </c>
      <c r="Q168" s="5" t="n">
        <v>0</v>
      </c>
      <c r="R168" s="5" t="inlineStr">
        <is>
          <t>139-2024-07-31</t>
        </is>
      </c>
    </row>
    <row r="169">
      <c r="A169" s="5" t="n">
        <v>143</v>
      </c>
      <c r="B169" s="5" t="inlineStr">
        <is>
          <t>Proyectos de investigación e innovación- Metrica</t>
        </is>
      </c>
      <c r="C169" s="5" t="inlineStr">
        <is>
          <t>Investigación, desarrollo tecnológico, innovación y creación</t>
        </is>
      </c>
      <c r="D169" s="5" t="inlineStr">
        <is>
          <t>Trimestral</t>
        </is>
      </c>
      <c r="E169" s="5" t="inlineStr">
        <is>
          <t>Positivo</t>
        </is>
      </c>
      <c r="F169" s="107" t="n">
        <v>44926</v>
      </c>
      <c r="G169" s="5" t="n">
        <v>2022</v>
      </c>
      <c r="H169" s="5" t="inlineStr">
        <is>
          <t>Diciembre</t>
        </is>
      </c>
      <c r="I169" s="6" t="inlineStr">
        <is>
          <t>2022-2</t>
        </is>
      </c>
      <c r="J169" s="5" t="n">
        <v>100</v>
      </c>
      <c r="K169" s="5" t="n">
        <v>152.5</v>
      </c>
      <c r="L169" s="14" t="n"/>
      <c r="M169" s="14" t="n"/>
      <c r="N169" s="5" t="inlineStr">
        <is>
          <t>Metrica</t>
        </is>
      </c>
      <c r="O169" s="5" t="n"/>
      <c r="P169" s="5" t="n">
        <v>0</v>
      </c>
      <c r="Q169" s="5" t="n">
        <v>0</v>
      </c>
      <c r="R169" s="5" t="inlineStr">
        <is>
          <t>143-2022-12-31</t>
        </is>
      </c>
      <c r="S169" t="inlineStr">
        <is>
          <t>Metrica</t>
        </is>
      </c>
    </row>
    <row r="170">
      <c r="A170" s="5" t="n">
        <v>143</v>
      </c>
      <c r="B170" s="5" t="inlineStr">
        <is>
          <t>Proyectos de investigación e innovación- Metrica</t>
        </is>
      </c>
      <c r="C170" s="5" t="inlineStr">
        <is>
          <t>Investigación, desarrollo tecnológico, innovación y creación</t>
        </is>
      </c>
      <c r="D170" s="5" t="inlineStr">
        <is>
          <t>Semestral</t>
        </is>
      </c>
      <c r="E170" s="5" t="inlineStr">
        <is>
          <t>Positivo</t>
        </is>
      </c>
      <c r="F170" s="107" t="n">
        <v>45291</v>
      </c>
      <c r="G170" s="5" t="n">
        <v>2023</v>
      </c>
      <c r="H170" s="5" t="inlineStr">
        <is>
          <t>Diciembre</t>
        </is>
      </c>
      <c r="I170" s="6" t="inlineStr">
        <is>
          <t>2023-2</t>
        </is>
      </c>
      <c r="J170" s="5" t="n">
        <v>100</v>
      </c>
      <c r="K170" s="5" t="n">
        <v>146</v>
      </c>
      <c r="L170" s="14">
        <f>IFERROR(IF(OR(J170=0,K170=""),"",IF(E170="Positivo",MIN(MAX(K170/J170,0),1.3),MIN(MAX(J170/K170,0),1.3))),"") </f>
        <v/>
      </c>
      <c r="M170" s="14">
        <f>IFERROR(IF(OR(J170=0,K170=""),"",IF(E170="Positivo",MAX(K170/J170,0),MAX(J170/K170,0))),"") </f>
        <v/>
      </c>
      <c r="N170" s="5" t="inlineStr">
        <is>
          <t>Metrica</t>
        </is>
      </c>
      <c r="O170" s="5" t="n"/>
      <c r="P170" s="5" t="n">
        <v>0</v>
      </c>
      <c r="Q170" s="5" t="n">
        <v>0</v>
      </c>
      <c r="R170" s="5" t="inlineStr">
        <is>
          <t>143-2023-12-31</t>
        </is>
      </c>
    </row>
    <row r="171">
      <c r="A171" s="5" t="n">
        <v>143</v>
      </c>
      <c r="B171" s="5" t="inlineStr">
        <is>
          <t>Proyectos de investigación e innovación- Metrica</t>
        </is>
      </c>
      <c r="C171" s="5" t="inlineStr">
        <is>
          <t>Investigación, desarrollo tecnológico, innovación y creación</t>
        </is>
      </c>
      <c r="D171" s="5" t="inlineStr">
        <is>
          <t>Semestral</t>
        </is>
      </c>
      <c r="E171" s="5" t="inlineStr">
        <is>
          <t>Positivo</t>
        </is>
      </c>
      <c r="F171" s="107" t="n">
        <v>45657</v>
      </c>
      <c r="G171" s="5" t="n">
        <v>2024</v>
      </c>
      <c r="H171" s="5" t="inlineStr">
        <is>
          <t>Diciembre</t>
        </is>
      </c>
      <c r="I171" s="6" t="inlineStr">
        <is>
          <t>2024-2</t>
        </is>
      </c>
      <c r="J171" s="5" t="n">
        <v>100</v>
      </c>
      <c r="K171" s="5" t="n">
        <v>123.5</v>
      </c>
      <c r="L171" s="14">
        <f>IFERROR(IF(OR(J171=0,K171=""),"",IF(E171="Positivo",MIN(MAX(K171/J171,0),1.3),MIN(MAX(J171/K171,0),1.3))),"") </f>
        <v/>
      </c>
      <c r="M171" s="14">
        <f>IFERROR(IF(OR(J171=0,K171=""),"",IF(E171="Positivo",MAX(K171/J171,0),MAX(J171/K171,0))),"") </f>
        <v/>
      </c>
      <c r="N171" s="5" t="inlineStr">
        <is>
          <t>Metrica</t>
        </is>
      </c>
      <c r="O171" s="5" t="n"/>
      <c r="P171" s="5" t="n">
        <v>0</v>
      </c>
      <c r="Q171" s="5" t="n">
        <v>0</v>
      </c>
      <c r="R171" s="5" t="inlineStr">
        <is>
          <t>143-2024-12-31</t>
        </is>
      </c>
    </row>
    <row r="172">
      <c r="A172" s="5" t="n">
        <v>143</v>
      </c>
      <c r="B172" s="5" t="inlineStr">
        <is>
          <t>Proyectos de investigación e innovación- Metrica</t>
        </is>
      </c>
      <c r="C172" s="5" t="inlineStr">
        <is>
          <t>Investigación, desarrollo tecnológico, innovación y creación</t>
        </is>
      </c>
      <c r="D172" s="5" t="inlineStr">
        <is>
          <t>Trimestral</t>
        </is>
      </c>
      <c r="E172" s="5" t="inlineStr">
        <is>
          <t>Positivo</t>
        </is>
      </c>
      <c r="F172" s="107" t="n">
        <v>46022</v>
      </c>
      <c r="G172" s="5" t="n">
        <v>2025</v>
      </c>
      <c r="H172" s="5" t="inlineStr">
        <is>
          <t>Diciembre</t>
        </is>
      </c>
      <c r="I172" s="6" t="inlineStr">
        <is>
          <t>2025-2</t>
        </is>
      </c>
      <c r="J172" s="5" t="n">
        <v>100</v>
      </c>
      <c r="K172" s="5" t="n">
        <v>175</v>
      </c>
      <c r="L172" s="14" t="n"/>
      <c r="M172" s="14" t="n"/>
      <c r="N172" s="5" t="inlineStr">
        <is>
          <t>Metrica</t>
        </is>
      </c>
      <c r="O172" s="5" t="n"/>
      <c r="P172" s="5" t="n">
        <v>0</v>
      </c>
      <c r="Q172" s="5" t="n">
        <v>0</v>
      </c>
      <c r="R172" s="5" t="inlineStr">
        <is>
          <t>143-2025-12-31</t>
        </is>
      </c>
      <c r="S172" t="inlineStr">
        <is>
          <t>Metrica</t>
        </is>
      </c>
    </row>
    <row r="173">
      <c r="A173" s="5" t="n">
        <v>144</v>
      </c>
      <c r="B173" s="5" t="inlineStr">
        <is>
          <t>Productos de investigación</t>
        </is>
      </c>
      <c r="C173" s="5" t="inlineStr">
        <is>
          <t>Investigación, desarrollo tecnológico, innovación y creación</t>
        </is>
      </c>
      <c r="D173" s="5" t="inlineStr">
        <is>
          <t>Anual</t>
        </is>
      </c>
      <c r="E173" s="5" t="inlineStr">
        <is>
          <t>Positivo</t>
        </is>
      </c>
      <c r="F173" s="107" t="n">
        <v>44926</v>
      </c>
      <c r="G173" s="5" t="n">
        <v>2022</v>
      </c>
      <c r="H173" s="5" t="inlineStr">
        <is>
          <t>Diciembre</t>
        </is>
      </c>
      <c r="I173" s="6" t="inlineStr">
        <is>
          <t>2022-2</t>
        </is>
      </c>
      <c r="J173" s="5" t="n">
        <v>3</v>
      </c>
      <c r="K173" s="5" t="n">
        <v>3.55</v>
      </c>
      <c r="L173" s="14">
        <f>IFERROR(IF(OR(J173=0,K173=""),"",IF(E173="Positivo",MIN(MAX(K173/J173,0),1.3),MIN(MAX(J173/K173,0),1.3))),"") </f>
        <v/>
      </c>
      <c r="M173" s="14">
        <f>IFERROR(IF(OR(J173=0,K173=""),"",IF(E173="Positivo",MAX(K173/J173,0),MAX(J173/K173,0))),"") </f>
        <v/>
      </c>
      <c r="N173" s="5" t="inlineStr">
        <is>
          <t>ENT</t>
        </is>
      </c>
      <c r="O173" s="5" t="inlineStr">
        <is>
          <t>DEC</t>
        </is>
      </c>
      <c r="P173" s="5" t="n">
        <v>2</v>
      </c>
      <c r="Q173" s="5" t="n">
        <v>2</v>
      </c>
      <c r="R173" s="5" t="inlineStr">
        <is>
          <t>144-2022-12-31</t>
        </is>
      </c>
    </row>
    <row r="174">
      <c r="A174" s="5" t="n">
        <v>144</v>
      </c>
      <c r="B174" s="5" t="inlineStr">
        <is>
          <t>Productos de investigación</t>
        </is>
      </c>
      <c r="C174" s="5" t="inlineStr">
        <is>
          <t>Investigación, desarrollo tecnológico, innovación y creación</t>
        </is>
      </c>
      <c r="D174" s="5" t="inlineStr">
        <is>
          <t>Anual</t>
        </is>
      </c>
      <c r="E174" s="5" t="inlineStr">
        <is>
          <t>Positivo</t>
        </is>
      </c>
      <c r="F174" s="107" t="n">
        <v>45291</v>
      </c>
      <c r="G174" s="5" t="n">
        <v>2023</v>
      </c>
      <c r="H174" s="5" t="inlineStr">
        <is>
          <t>Diciembre</t>
        </is>
      </c>
      <c r="I174" s="6" t="inlineStr">
        <is>
          <t>2023-2</t>
        </is>
      </c>
      <c r="J174" s="5" t="n">
        <v>3</v>
      </c>
      <c r="K174" s="5" t="n">
        <v>4.83</v>
      </c>
      <c r="L174" s="14">
        <f>IFERROR(IF(OR(J174=0,K174=""),"",IF(E174="Positivo",MIN(MAX(K174/J174,0),1.3),MIN(MAX(J174/K174,0),1.3))),"") </f>
        <v/>
      </c>
      <c r="M174" s="14">
        <f>IFERROR(IF(OR(J174=0,K174=""),"",IF(E174="Positivo",MAX(K174/J174,0),MAX(J174/K174,0))),"") </f>
        <v/>
      </c>
      <c r="N174" s="5" t="inlineStr">
        <is>
          <t>ENT</t>
        </is>
      </c>
      <c r="O174" s="5" t="inlineStr">
        <is>
          <t>DEC</t>
        </is>
      </c>
      <c r="P174" s="5" t="n">
        <v>2</v>
      </c>
      <c r="Q174" s="5" t="n">
        <v>2</v>
      </c>
      <c r="R174" s="5" t="inlineStr">
        <is>
          <t>144-2023-12-31</t>
        </is>
      </c>
    </row>
    <row r="175">
      <c r="A175" s="5" t="n">
        <v>144</v>
      </c>
      <c r="B175" s="5" t="inlineStr">
        <is>
          <t>Productos de investigación</t>
        </is>
      </c>
      <c r="C175" s="5" t="inlineStr">
        <is>
          <t>Investigación, desarrollo tecnológico, innovación y creación</t>
        </is>
      </c>
      <c r="D175" s="5" t="inlineStr">
        <is>
          <t>Anual</t>
        </is>
      </c>
      <c r="E175" s="5" t="inlineStr">
        <is>
          <t>Positivo</t>
        </is>
      </c>
      <c r="F175" s="107" t="n">
        <v>45657</v>
      </c>
      <c r="G175" s="5" t="n">
        <v>2024</v>
      </c>
      <c r="H175" s="5" t="inlineStr">
        <is>
          <t>Diciembre</t>
        </is>
      </c>
      <c r="I175" s="6" t="inlineStr">
        <is>
          <t>2024-2</t>
        </is>
      </c>
      <c r="J175" s="5" t="n">
        <v>3</v>
      </c>
      <c r="K175" s="5" t="n">
        <v>4.6</v>
      </c>
      <c r="L175" s="14">
        <f>IFERROR(IF(OR(J175=0,K175=""),"",IF(E175="Positivo",MIN(MAX(K175/J175,0),1.3),MIN(MAX(J175/K175,0),1.3))),"") </f>
        <v/>
      </c>
      <c r="M175" s="14">
        <f>IFERROR(IF(OR(J175=0,K175=""),"",IF(E175="Positivo",MAX(K175/J175,0),MAX(J175/K175,0))),"") </f>
        <v/>
      </c>
      <c r="N175" s="5" t="inlineStr">
        <is>
          <t>ENT</t>
        </is>
      </c>
      <c r="O175" s="5" t="inlineStr">
        <is>
          <t>DEC</t>
        </is>
      </c>
      <c r="P175" s="5" t="n">
        <v>2</v>
      </c>
      <c r="Q175" s="5" t="n">
        <v>2</v>
      </c>
      <c r="R175" s="5" t="inlineStr">
        <is>
          <t>144-2024-12-31</t>
        </is>
      </c>
    </row>
    <row r="176">
      <c r="A176" s="5" t="n">
        <v>144</v>
      </c>
      <c r="B176" s="5" t="inlineStr">
        <is>
          <t>Productos de investigación</t>
        </is>
      </c>
      <c r="C176" s="5" t="inlineStr">
        <is>
          <t>Investigación, desarrollo tecnológico, innovación y creación</t>
        </is>
      </c>
      <c r="D176" s="5" t="inlineStr">
        <is>
          <t>Anual</t>
        </is>
      </c>
      <c r="E176" s="5" t="inlineStr">
        <is>
          <t>Positivo</t>
        </is>
      </c>
      <c r="F176" s="107" t="n">
        <v>46022</v>
      </c>
      <c r="G176" s="5" t="n">
        <v>2025</v>
      </c>
      <c r="H176" s="5" t="inlineStr">
        <is>
          <t>Diciembre</t>
        </is>
      </c>
      <c r="I176" s="6" t="inlineStr">
        <is>
          <t>2025-2</t>
        </is>
      </c>
      <c r="J176" s="5" t="n">
        <v>4</v>
      </c>
      <c r="K176" s="5" t="n">
        <v>1.95</v>
      </c>
      <c r="L176" s="14">
        <f>IFERROR(IF(OR(J176=0,K176=""),"",IF(E176="Positivo",MIN(MAX(K176/J176,0),1.3),MIN(MAX(J176/K176,0),1.3))),"") </f>
        <v/>
      </c>
      <c r="M176" s="14">
        <f>IFERROR(IF(OR(J176=0,K176=""),"",IF(E176="Positivo",MAX(K176/J176,0),MAX(J176/K176,0))),"") </f>
        <v/>
      </c>
      <c r="N176" s="5" t="inlineStr">
        <is>
          <t>ENT</t>
        </is>
      </c>
      <c r="O176" s="5" t="inlineStr">
        <is>
          <t>DEC</t>
        </is>
      </c>
      <c r="P176" s="5" t="n">
        <v>2</v>
      </c>
      <c r="Q176" s="5" t="n">
        <v>2</v>
      </c>
      <c r="R176" s="5" t="inlineStr">
        <is>
          <t>144-2025-12-31</t>
        </is>
      </c>
    </row>
    <row r="177">
      <c r="A177" s="5" t="n">
        <v>145</v>
      </c>
      <c r="B177" s="5" t="inlineStr">
        <is>
          <t>Semilleros de Investigación, Innovación y Creación</t>
        </is>
      </c>
      <c r="C177" s="5" t="inlineStr">
        <is>
          <t>Formación para la investigación, creación e innovación</t>
        </is>
      </c>
      <c r="D177" s="5" t="inlineStr">
        <is>
          <t>Trimestral</t>
        </is>
      </c>
      <c r="E177" s="5" t="inlineStr">
        <is>
          <t>Positivo</t>
        </is>
      </c>
      <c r="F177" s="107" t="n">
        <v>44926</v>
      </c>
      <c r="G177" s="5" t="n">
        <v>2022</v>
      </c>
      <c r="H177" s="5" t="inlineStr">
        <is>
          <t>Diciembre</t>
        </is>
      </c>
      <c r="I177" s="6" t="inlineStr">
        <is>
          <t>2022-2</t>
        </is>
      </c>
      <c r="J177" s="73" t="n">
        <v>1</v>
      </c>
      <c r="K177" s="94" t="n">
        <v>2.1186440677966</v>
      </c>
      <c r="L177" s="14">
        <f>IFERROR(IF(OR(J177=0,K177=""),"",IF(E177="Positivo",MIN(MAX(K177/J177,0),1.3),MIN(MAX(J177/K177,0),1.3))),"") </f>
        <v/>
      </c>
      <c r="M177" s="14">
        <f>IFERROR(IF(OR(J177=0,K177=""),"",IF(E177="Positivo",MAX(K177/J177,0),MAX(J177/K177,0))),"") </f>
        <v/>
      </c>
      <c r="N177" s="5" t="inlineStr">
        <is>
          <t>ENT</t>
        </is>
      </c>
      <c r="O177" s="5" t="inlineStr">
        <is>
          <t>DEC</t>
        </is>
      </c>
      <c r="P177" s="5" t="n">
        <v>0</v>
      </c>
      <c r="Q177" s="5" t="n">
        <v>2</v>
      </c>
      <c r="R177" s="5" t="inlineStr">
        <is>
          <t>145-2022-12-31</t>
        </is>
      </c>
    </row>
    <row r="178">
      <c r="A178" s="5" t="n">
        <v>145</v>
      </c>
      <c r="B178" s="5" t="inlineStr">
        <is>
          <t>Semilleros de Investigación, Innovación y Creación</t>
        </is>
      </c>
      <c r="C178" s="5" t="inlineStr">
        <is>
          <t>Formación para la investigación, creación e innovación</t>
        </is>
      </c>
      <c r="D178" s="5" t="inlineStr">
        <is>
          <t>Semestral</t>
        </is>
      </c>
      <c r="E178" s="5" t="inlineStr">
        <is>
          <t>Positivo</t>
        </is>
      </c>
      <c r="F178" s="107" t="n">
        <v>45291</v>
      </c>
      <c r="G178" s="5" t="n">
        <v>2023</v>
      </c>
      <c r="H178" s="5" t="inlineStr">
        <is>
          <t>Diciembre</t>
        </is>
      </c>
      <c r="I178" s="6" t="inlineStr">
        <is>
          <t>2023-2</t>
        </is>
      </c>
      <c r="J178" s="5" t="n">
        <v>1</v>
      </c>
      <c r="K178" s="5" t="n">
        <v>2</v>
      </c>
      <c r="L178" s="14">
        <f>IFERROR(IF(OR(J178=0,K178=""),"",IF(E178="Positivo",MIN(MAX(K178/J178,0),1.3),MIN(MAX(J178/K178,0),1.3))),"") </f>
        <v/>
      </c>
      <c r="M178" s="14">
        <f>IFERROR(IF(OR(J178=0,K178=""),"",IF(E178="Positivo",MAX(K178/J178,0),MAX(J178/K178,0))),"") </f>
        <v/>
      </c>
      <c r="N178" s="5" t="inlineStr">
        <is>
          <t>ENT</t>
        </is>
      </c>
      <c r="O178" s="5" t="inlineStr">
        <is>
          <t>ENT</t>
        </is>
      </c>
      <c r="P178" s="5" t="n">
        <v>0</v>
      </c>
      <c r="Q178" s="5" t="n">
        <v>0</v>
      </c>
      <c r="R178" s="5" t="inlineStr">
        <is>
          <t>145-2023-12-31</t>
        </is>
      </c>
    </row>
    <row r="179">
      <c r="A179" s="5" t="n">
        <v>145</v>
      </c>
      <c r="B179" s="5" t="inlineStr">
        <is>
          <t>Semilleros de Investigación, Innovación y Creación</t>
        </is>
      </c>
      <c r="C179" s="5" t="inlineStr">
        <is>
          <t>Formación para la investigación, creación e innovación</t>
        </is>
      </c>
      <c r="D179" s="5" t="inlineStr">
        <is>
          <t>Semestral</t>
        </is>
      </c>
      <c r="E179" s="5" t="inlineStr">
        <is>
          <t>Positivo</t>
        </is>
      </c>
      <c r="F179" s="107" t="n">
        <v>45657</v>
      </c>
      <c r="G179" s="5" t="n">
        <v>2024</v>
      </c>
      <c r="H179" s="5" t="inlineStr">
        <is>
          <t>Diciembre</t>
        </is>
      </c>
      <c r="I179" s="6" t="inlineStr">
        <is>
          <t>2024-2</t>
        </is>
      </c>
      <c r="J179" s="5" t="n">
        <v>1</v>
      </c>
      <c r="K179" s="5" t="n">
        <v>1.955</v>
      </c>
      <c r="L179" s="14">
        <f>IFERROR(IF(OR(J179=0,K179=""),"",IF(E179="Positivo",MIN(MAX(K179/J179,0),1.3),MIN(MAX(J179/K179,0),1.3))),"") </f>
        <v/>
      </c>
      <c r="M179" s="14">
        <f>IFERROR(IF(OR(J179=0,K179=""),"",IF(E179="Positivo",MAX(K179/J179,0),MAX(J179/K179,0))),"") </f>
        <v/>
      </c>
      <c r="N179" s="5" t="inlineStr">
        <is>
          <t>ENT</t>
        </is>
      </c>
      <c r="O179" s="5" t="inlineStr">
        <is>
          <t>DEC</t>
        </is>
      </c>
      <c r="P179" s="5" t="n">
        <v>0</v>
      </c>
      <c r="Q179" s="5" t="n">
        <v>2</v>
      </c>
      <c r="R179" s="5" t="inlineStr">
        <is>
          <t>145-2024-12-31</t>
        </is>
      </c>
    </row>
    <row r="180">
      <c r="A180" s="5" t="n">
        <v>145</v>
      </c>
      <c r="B180" s="5" t="inlineStr">
        <is>
          <t>Semilleros de Investigación, Innovación y Creación</t>
        </is>
      </c>
      <c r="C180" s="5" t="inlineStr">
        <is>
          <t>Formación para la investigación, creación e innovación</t>
        </is>
      </c>
      <c r="D180" s="5" t="inlineStr">
        <is>
          <t>Trimestral</t>
        </is>
      </c>
      <c r="E180" s="5" t="inlineStr">
        <is>
          <t>Positivo</t>
        </is>
      </c>
      <c r="F180" s="107" t="n">
        <v>46022</v>
      </c>
      <c r="G180" s="5" t="n">
        <v>2025</v>
      </c>
      <c r="H180" s="5" t="inlineStr">
        <is>
          <t>Diciembre</t>
        </is>
      </c>
      <c r="I180" s="6" t="inlineStr">
        <is>
          <t>2025-2</t>
        </is>
      </c>
      <c r="J180" s="5" t="n">
        <v>1</v>
      </c>
      <c r="K180" s="5" t="n">
        <v>1.68</v>
      </c>
      <c r="L180" s="14">
        <f>IFERROR(IF(OR(J180=0,K180=""),"",IF(E180="Positivo",MIN(MAX(K180/J180,0),1.3),MIN(MAX(J180/K180,0),1.3))),"") </f>
        <v/>
      </c>
      <c r="M180" s="14">
        <f>IFERROR(IF(OR(J180=0,K180=""),"",IF(E180="Positivo",MAX(K180/J180,0),MAX(J180/K180,0))),"") </f>
        <v/>
      </c>
      <c r="N180" s="5" t="inlineStr">
        <is>
          <t>ENT</t>
        </is>
      </c>
      <c r="O180" s="5" t="inlineStr">
        <is>
          <t>DEC</t>
        </is>
      </c>
      <c r="P180" s="5" t="n">
        <v>0</v>
      </c>
      <c r="Q180" s="5" t="n">
        <v>2</v>
      </c>
      <c r="R180" s="5" t="inlineStr">
        <is>
          <t>145-2025-12-31</t>
        </is>
      </c>
    </row>
    <row r="181">
      <c r="A181" s="5" t="n">
        <v>146</v>
      </c>
      <c r="B181" s="5" t="inlineStr">
        <is>
          <t>Docentes vinculados a investigación</t>
        </is>
      </c>
      <c r="C181" s="5" t="inlineStr">
        <is>
          <t>Investigación, desarrollo tecnológico, innovación y creación</t>
        </is>
      </c>
      <c r="D181" s="5" t="inlineStr">
        <is>
          <t>Trimestral</t>
        </is>
      </c>
      <c r="E181" s="5" t="inlineStr">
        <is>
          <t>Positivo</t>
        </is>
      </c>
      <c r="F181" s="107" t="n">
        <v>44926</v>
      </c>
      <c r="G181" s="5" t="n">
        <v>2022</v>
      </c>
      <c r="H181" s="5" t="inlineStr">
        <is>
          <t>Diciembre</t>
        </is>
      </c>
      <c r="I181" s="6" t="inlineStr">
        <is>
          <t>2022-2</t>
        </is>
      </c>
      <c r="J181" s="5" t="n">
        <v>230</v>
      </c>
      <c r="K181" s="5" t="n">
        <v>111.085</v>
      </c>
      <c r="L181" s="14">
        <f>IFERROR(IF(OR(J181=0,K181=""),"",IF(E181="Positivo",MIN(MAX(K181/J181,0),1.3),MIN(MAX(J181/K181,0),1.3))),"") </f>
        <v/>
      </c>
      <c r="M181" s="14">
        <f>IFERROR(IF(OR(J181=0,K181=""),"",IF(E181="Positivo",MAX(K181/J181,0),MAX(J181/K181,0))),"") </f>
        <v/>
      </c>
      <c r="N181" s="5" t="inlineStr">
        <is>
          <t>ENT</t>
        </is>
      </c>
      <c r="O181" s="5" t="inlineStr">
        <is>
          <t>ENT</t>
        </is>
      </c>
      <c r="P181" s="5" t="n">
        <v>0</v>
      </c>
      <c r="Q181" s="5" t="n">
        <v>0</v>
      </c>
      <c r="R181" s="5" t="inlineStr">
        <is>
          <t>146-2022-12-31</t>
        </is>
      </c>
    </row>
    <row r="182">
      <c r="A182" s="5" t="n">
        <v>146</v>
      </c>
      <c r="B182" s="5" t="inlineStr">
        <is>
          <t>Docentes vinculados a investigación</t>
        </is>
      </c>
      <c r="C182" s="5" t="inlineStr">
        <is>
          <t>Investigación, desarrollo tecnológico, innovación y creación</t>
        </is>
      </c>
      <c r="D182" s="5" t="inlineStr">
        <is>
          <t>Semestral</t>
        </is>
      </c>
      <c r="E182" s="5" t="inlineStr">
        <is>
          <t>Positivo</t>
        </is>
      </c>
      <c r="F182" s="107" t="n">
        <v>45291</v>
      </c>
      <c r="G182" s="5" t="n">
        <v>2023</v>
      </c>
      <c r="H182" s="5" t="inlineStr">
        <is>
          <t>Diciembre</t>
        </is>
      </c>
      <c r="I182" s="6" t="inlineStr">
        <is>
          <t>2023-2</t>
        </is>
      </c>
      <c r="J182" s="73" t="n">
        <v>230</v>
      </c>
      <c r="K182" s="9" t="n">
        <v>134.785</v>
      </c>
      <c r="L182" s="14">
        <f>IFERROR(IF(OR(J182=0,K182=""),"",IF(E182="Positivo",MIN(MAX(K182/J182,0),1.3),MIN(MAX(J182/K182,0),1.3))),"") </f>
        <v/>
      </c>
      <c r="M182" s="14">
        <f>IFERROR(IF(OR(J182=0,K182=""),"",IF(E182="Positivo",MAX(K182/J182,0),MAX(J182/K182,0))),"") </f>
        <v/>
      </c>
      <c r="N182" s="5" t="inlineStr">
        <is>
          <t>ENT</t>
        </is>
      </c>
      <c r="O182" s="5" t="inlineStr">
        <is>
          <t>ENT</t>
        </is>
      </c>
      <c r="P182" s="5" t="n">
        <v>0</v>
      </c>
      <c r="Q182" s="5" t="n">
        <v>0</v>
      </c>
      <c r="R182" s="5" t="inlineStr">
        <is>
          <t>146-2023-12-31</t>
        </is>
      </c>
    </row>
    <row r="183">
      <c r="A183" s="5" t="n">
        <v>146</v>
      </c>
      <c r="B183" s="5" t="inlineStr">
        <is>
          <t>Docentes vinculados a investigación</t>
        </is>
      </c>
      <c r="C183" s="5" t="inlineStr">
        <is>
          <t>Investigación, desarrollo tecnológico, innovación y creación</t>
        </is>
      </c>
      <c r="D183" s="5" t="inlineStr">
        <is>
          <t>Semestral</t>
        </is>
      </c>
      <c r="E183" s="5" t="inlineStr">
        <is>
          <t>Positivo</t>
        </is>
      </c>
      <c r="F183" s="107" t="n">
        <v>45657</v>
      </c>
      <c r="G183" s="5" t="n">
        <v>2024</v>
      </c>
      <c r="H183" s="5" t="inlineStr">
        <is>
          <t>Diciembre</t>
        </is>
      </c>
      <c r="I183" s="6" t="inlineStr">
        <is>
          <t>2024-2</t>
        </is>
      </c>
      <c r="J183" s="5" t="n">
        <v>294</v>
      </c>
      <c r="K183" s="5" t="n">
        <v>115.14</v>
      </c>
      <c r="L183" s="14">
        <f>IFERROR(IF(OR(J183=0,K183=""),"",IF(E183="Positivo",MIN(MAX(K183/J183,0),1.3),MIN(MAX(J183/K183,0),1.3))),"") </f>
        <v/>
      </c>
      <c r="M183" s="14">
        <f>IFERROR(IF(OR(J183=0,K183=""),"",IF(E183="Positivo",MAX(K183/J183,0),MAX(J183/K183,0))),"") </f>
        <v/>
      </c>
      <c r="N183" s="5" t="inlineStr">
        <is>
          <t>ENT</t>
        </is>
      </c>
      <c r="O183" s="5" t="inlineStr">
        <is>
          <t>ENT</t>
        </is>
      </c>
      <c r="P183" s="5" t="n">
        <v>0</v>
      </c>
      <c r="Q183" s="5" t="n">
        <v>0</v>
      </c>
      <c r="R183" s="5" t="inlineStr">
        <is>
          <t>146-2024-12-31</t>
        </is>
      </c>
    </row>
    <row r="184">
      <c r="A184" s="5" t="n">
        <v>146</v>
      </c>
      <c r="B184" s="5" t="inlineStr">
        <is>
          <t>Docentes vinculados a investigación</t>
        </is>
      </c>
      <c r="C184" s="5" t="inlineStr">
        <is>
          <t>Investigación, desarrollo tecnológico, innovación y creación</t>
        </is>
      </c>
      <c r="D184" s="5" t="inlineStr">
        <is>
          <t>Trimestral</t>
        </is>
      </c>
      <c r="E184" s="5" t="inlineStr">
        <is>
          <t>Positivo</t>
        </is>
      </c>
      <c r="F184" s="107" t="n">
        <v>46022</v>
      </c>
      <c r="G184" s="5" t="n">
        <v>2025</v>
      </c>
      <c r="H184" s="5" t="inlineStr">
        <is>
          <t>Diciembre</t>
        </is>
      </c>
      <c r="I184" s="6" t="inlineStr">
        <is>
          <t>2025-2</t>
        </is>
      </c>
      <c r="J184" s="5" t="n">
        <v>100</v>
      </c>
      <c r="K184" s="5" t="n">
        <v>120</v>
      </c>
      <c r="L184" s="14">
        <f>IFERROR(IF(OR(J184=0,K184=""),"",IF(E184="Positivo",MIN(MAX(K184/J184,0),1.3),MIN(MAX(J184/K184,0),1.3))),"") </f>
        <v/>
      </c>
      <c r="M184" s="14">
        <f>IFERROR(IF(OR(J184=0,K184=""),"",IF(E184="Positivo",MAX(K184/J184,0),MAX(J184/K184,0))),"") </f>
        <v/>
      </c>
      <c r="N184" s="5" t="inlineStr">
        <is>
          <t>ENT</t>
        </is>
      </c>
      <c r="O184" s="5" t="inlineStr">
        <is>
          <t>ENT</t>
        </is>
      </c>
      <c r="P184" s="5" t="n">
        <v>0</v>
      </c>
      <c r="Q184" s="5" t="n">
        <v>0</v>
      </c>
      <c r="R184" s="5" t="inlineStr">
        <is>
          <t>146-2025-12-31</t>
        </is>
      </c>
    </row>
    <row r="185">
      <c r="A185" s="5" t="n">
        <v>147</v>
      </c>
      <c r="B185" s="5" t="inlineStr">
        <is>
          <t>Grupos de investigación categorizados</t>
        </is>
      </c>
      <c r="C185" s="5" t="inlineStr">
        <is>
          <t>Investigación, desarrollo tecnológico, innovación y creación</t>
        </is>
      </c>
      <c r="D185" s="5" t="inlineStr">
        <is>
          <t>Anual</t>
        </is>
      </c>
      <c r="E185" s="5" t="inlineStr">
        <is>
          <t>Positivo</t>
        </is>
      </c>
      <c r="F185" s="107" t="n">
        <v>44926</v>
      </c>
      <c r="G185" s="5" t="n">
        <v>2022</v>
      </c>
      <c r="H185" s="5" t="inlineStr">
        <is>
          <t>Diciembre</t>
        </is>
      </c>
      <c r="I185" s="6" t="inlineStr">
        <is>
          <t>2022-2</t>
        </is>
      </c>
      <c r="J185" s="5" t="n">
        <v>18</v>
      </c>
      <c r="K185" s="52" t="n">
        <v>11</v>
      </c>
      <c r="L185" s="14">
        <f>IFERROR(IF(OR(J185=0,K185=""),"",IF(E185="Positivo",MIN(MAX(K185/J185,0),1.3),MIN(MAX(J185/K185,0),1.3))),"") </f>
        <v/>
      </c>
      <c r="M185" s="14">
        <f>IFERROR(IF(OR(J185=0,K185=""),"",IF(E185="Positivo",MAX(K185/J185,0),MAX(J185/K185,0))),"") </f>
        <v/>
      </c>
      <c r="N185" s="5" t="inlineStr">
        <is>
          <t>ENT</t>
        </is>
      </c>
      <c r="O185" s="5" t="inlineStr">
        <is>
          <t>ENT</t>
        </is>
      </c>
      <c r="P185" s="5" t="n">
        <v>0</v>
      </c>
      <c r="Q185" s="5" t="n">
        <v>0</v>
      </c>
      <c r="R185" s="5" t="inlineStr">
        <is>
          <t>147-2022-12-31</t>
        </is>
      </c>
    </row>
    <row r="186">
      <c r="A186" s="5" t="n">
        <v>147</v>
      </c>
      <c r="B186" s="5" t="inlineStr">
        <is>
          <t>Grupos de investigación categorizados</t>
        </is>
      </c>
      <c r="C186" s="5" t="inlineStr">
        <is>
          <t>Investigación, desarrollo tecnológico, innovación y creación</t>
        </is>
      </c>
      <c r="D186" s="5" t="inlineStr">
        <is>
          <t>Anual</t>
        </is>
      </c>
      <c r="E186" s="5" t="inlineStr">
        <is>
          <t>Positivo</t>
        </is>
      </c>
      <c r="F186" s="107" t="n">
        <v>45291</v>
      </c>
      <c r="G186" s="5" t="n">
        <v>2023</v>
      </c>
      <c r="H186" s="5" t="inlineStr">
        <is>
          <t>Diciembre</t>
        </is>
      </c>
      <c r="I186" s="6" t="inlineStr">
        <is>
          <t>2023-2</t>
        </is>
      </c>
      <c r="J186" s="5" t="n">
        <v>13</v>
      </c>
      <c r="K186" s="5" t="n">
        <v>12</v>
      </c>
      <c r="L186" s="14">
        <f>IFERROR(IF(OR(J186=0,K186=""),"",IF(E186="Positivo",MIN(MAX(K186/J186,0),1.3),MIN(MAX(J186/K186,0),1.3))),"") </f>
        <v/>
      </c>
      <c r="M186" s="14">
        <f>IFERROR(IF(OR(J186=0,K186=""),"",IF(E186="Positivo",MAX(K186/J186,0),MAX(J186/K186,0))),"") </f>
        <v/>
      </c>
      <c r="N186" s="5" t="inlineStr">
        <is>
          <t>ENT</t>
        </is>
      </c>
      <c r="O186" s="5" t="inlineStr">
        <is>
          <t>ENT</t>
        </is>
      </c>
      <c r="P186" s="5" t="n">
        <v>0</v>
      </c>
      <c r="Q186" s="5" t="n">
        <v>0</v>
      </c>
      <c r="R186" s="5" t="inlineStr">
        <is>
          <t>147-2023-12-31</t>
        </is>
      </c>
    </row>
    <row r="187">
      <c r="A187" s="5" t="n">
        <v>147</v>
      </c>
      <c r="B187" s="5" t="inlineStr">
        <is>
          <t>Grupos de investigación categorizados</t>
        </is>
      </c>
      <c r="C187" s="5" t="inlineStr">
        <is>
          <t>Investigación, desarrollo tecnológico, innovación y creación</t>
        </is>
      </c>
      <c r="D187" s="5" t="inlineStr">
        <is>
          <t>Anual</t>
        </is>
      </c>
      <c r="E187" s="5" t="inlineStr">
        <is>
          <t>Positivo</t>
        </is>
      </c>
      <c r="F187" s="107" t="n">
        <v>45657</v>
      </c>
      <c r="G187" s="5" t="n">
        <v>2024</v>
      </c>
      <c r="H187" s="5" t="inlineStr">
        <is>
          <t>Diciembre</t>
        </is>
      </c>
      <c r="I187" s="6" t="inlineStr">
        <is>
          <t>2024-2</t>
        </is>
      </c>
      <c r="J187" s="5" t="n">
        <v>0</v>
      </c>
      <c r="K187" s="5" t="n">
        <v>12</v>
      </c>
      <c r="L187" s="14">
        <f>IFERROR(IF(OR(J187=0,K187=""),"",IF(E187="Positivo",MIN(MAX(K187/J187,0),1.3),MIN(MAX(J187/K187,0),1.3))),"") </f>
        <v/>
      </c>
      <c r="M187" s="14">
        <f>IFERROR(IF(OR(J187=0,K187=""),"",IF(E187="Positivo",MAX(K187/J187,0),MAX(J187/K187,0))),"") </f>
        <v/>
      </c>
      <c r="N187" s="5" t="inlineStr">
        <is>
          <t>ENT</t>
        </is>
      </c>
      <c r="O187" s="5" t="inlineStr">
        <is>
          <t>ENT</t>
        </is>
      </c>
      <c r="P187" s="5" t="n">
        <v>0</v>
      </c>
      <c r="Q187" s="5" t="n">
        <v>0</v>
      </c>
      <c r="R187" s="5" t="inlineStr">
        <is>
          <t>147-2024-12-31</t>
        </is>
      </c>
    </row>
    <row r="188">
      <c r="A188" s="5" t="n">
        <v>147</v>
      </c>
      <c r="B188" s="5" t="inlineStr">
        <is>
          <t>Grupos de investigación categorizados</t>
        </is>
      </c>
      <c r="C188" s="5" t="inlineStr">
        <is>
          <t>Investigación, desarrollo tecnológico, innovación y creación</t>
        </is>
      </c>
      <c r="D188" s="5" t="inlineStr">
        <is>
          <t>Anual</t>
        </is>
      </c>
      <c r="E188" s="5" t="inlineStr">
        <is>
          <t>Positivo</t>
        </is>
      </c>
      <c r="F188" s="107" t="n">
        <v>46022</v>
      </c>
      <c r="G188" s="5" t="n">
        <v>2025</v>
      </c>
      <c r="H188" s="5" t="inlineStr">
        <is>
          <t>Diciembre</t>
        </is>
      </c>
      <c r="I188" s="6" t="inlineStr">
        <is>
          <t>2025-2</t>
        </is>
      </c>
      <c r="J188" s="5" t="n">
        <v>16</v>
      </c>
      <c r="K188" s="5" t="n">
        <v>16</v>
      </c>
      <c r="L188" s="14">
        <f>IFERROR(IF(OR(J188=0,K188=""),"",IF(E188="Positivo",MIN(MAX(K188/J188,0),1.3),MIN(MAX(J188/K188,0),1.3))),"") </f>
        <v/>
      </c>
      <c r="M188" s="14">
        <f>IFERROR(IF(OR(J188=0,K188=""),"",IF(E188="Positivo",MAX(K188/J188,0),MAX(J188/K188,0))),"") </f>
        <v/>
      </c>
      <c r="N188" s="5" t="inlineStr">
        <is>
          <t>ENT</t>
        </is>
      </c>
      <c r="O188" s="5" t="inlineStr">
        <is>
          <t>ENT</t>
        </is>
      </c>
      <c r="P188" s="5" t="n">
        <v>0</v>
      </c>
      <c r="Q188" s="5" t="n">
        <v>0</v>
      </c>
      <c r="R188" s="5" t="inlineStr">
        <is>
          <t>147-2025-12-31</t>
        </is>
      </c>
    </row>
    <row r="189">
      <c r="A189" s="5" t="n">
        <v>148</v>
      </c>
      <c r="B189" s="5" t="inlineStr">
        <is>
          <t>Estudiantes vinculados a investigación</t>
        </is>
      </c>
      <c r="C189" s="5" t="inlineStr">
        <is>
          <t>Formación para la investigación, creación e innovación</t>
        </is>
      </c>
      <c r="D189" s="5" t="inlineStr">
        <is>
          <t>Semestral</t>
        </is>
      </c>
      <c r="E189" s="5" t="inlineStr">
        <is>
          <t>Positivo</t>
        </is>
      </c>
      <c r="F189" s="107" t="n">
        <v>44926</v>
      </c>
      <c r="G189" s="5" t="n">
        <v>2022</v>
      </c>
      <c r="H189" s="5" t="inlineStr">
        <is>
          <t>Diciembre</t>
        </is>
      </c>
      <c r="I189" s="6" t="inlineStr">
        <is>
          <t>2022-2</t>
        </is>
      </c>
      <c r="J189" s="5" t="n">
        <v>2</v>
      </c>
      <c r="K189" s="5" t="n">
        <v>2.32863030353805</v>
      </c>
      <c r="L189" s="14">
        <f>IFERROR(IF(OR(J189=0,K189=""),"",IF(E189="Positivo",MIN(MAX(K189/J189,0),1.3),MIN(MAX(J189/K189,0),1.3))),"") </f>
        <v/>
      </c>
      <c r="M189" s="14">
        <f>IFERROR(IF(OR(J189=0,K189=""),"",IF(E189="Positivo",MAX(K189/J189,0),MAX(J189/K189,0))),"") </f>
        <v/>
      </c>
      <c r="N189" s="5" t="inlineStr">
        <is>
          <t>%</t>
        </is>
      </c>
      <c r="O189" s="5" t="inlineStr">
        <is>
          <t>%</t>
        </is>
      </c>
      <c r="P189" s="5" t="n">
        <v>0</v>
      </c>
      <c r="Q189" s="5" t="n">
        <v>1</v>
      </c>
      <c r="R189" s="5" t="inlineStr">
        <is>
          <t>148-2022-12-31</t>
        </is>
      </c>
    </row>
    <row r="190">
      <c r="A190" s="5" t="n">
        <v>148</v>
      </c>
      <c r="B190" s="5" t="inlineStr">
        <is>
          <t>Estudiantes vinculados a investigación</t>
        </is>
      </c>
      <c r="C190" s="5" t="inlineStr">
        <is>
          <t>Formación para la investigación, creación e innovación</t>
        </is>
      </c>
      <c r="D190" s="5" t="inlineStr">
        <is>
          <t>Semestral</t>
        </is>
      </c>
      <c r="E190" s="5" t="inlineStr">
        <is>
          <t>Positivo</t>
        </is>
      </c>
      <c r="F190" s="107" t="n">
        <v>45291</v>
      </c>
      <c r="G190" s="5" t="n">
        <v>2023</v>
      </c>
      <c r="H190" s="5" t="inlineStr">
        <is>
          <t>Diciembre</t>
        </is>
      </c>
      <c r="I190" s="6" t="inlineStr">
        <is>
          <t>2023-2</t>
        </is>
      </c>
      <c r="J190" s="5" t="n">
        <v>3.75</v>
      </c>
      <c r="K190" s="5" t="n">
        <v>4.91</v>
      </c>
      <c r="L190" s="14">
        <f>IFERROR(IF(OR(J190=0,K190=""),"",IF(E190="Positivo",MIN(MAX(K190/J190,0),1.3),MIN(MAX(J190/K190,0),1.3))),"") </f>
        <v/>
      </c>
      <c r="M190" s="14">
        <f>IFERROR(IF(OR(J190=0,K190=""),"",IF(E190="Positivo",MAX(K190/J190,0),MAX(J190/K190,0))),"") </f>
        <v/>
      </c>
      <c r="N190" s="5" t="inlineStr">
        <is>
          <t>%</t>
        </is>
      </c>
      <c r="O190" s="5" t="inlineStr">
        <is>
          <t>%</t>
        </is>
      </c>
      <c r="P190" s="5" t="n">
        <v>0</v>
      </c>
      <c r="Q190" s="5" t="n">
        <v>1</v>
      </c>
      <c r="R190" s="5" t="inlineStr">
        <is>
          <t>148-2023-12-31</t>
        </is>
      </c>
    </row>
    <row r="191">
      <c r="A191" s="5" t="n">
        <v>148</v>
      </c>
      <c r="B191" s="5" t="inlineStr">
        <is>
          <t>Estudiantes vinculados a investigación</t>
        </is>
      </c>
      <c r="C191" s="5" t="inlineStr">
        <is>
          <t>Formación para la investigación, creación e innovación</t>
        </is>
      </c>
      <c r="D191" s="5" t="inlineStr">
        <is>
          <t>Semestral</t>
        </is>
      </c>
      <c r="E191" s="5" t="inlineStr">
        <is>
          <t>Positivo</t>
        </is>
      </c>
      <c r="F191" s="107" t="n">
        <v>45657</v>
      </c>
      <c r="G191" s="5" t="n">
        <v>2024</v>
      </c>
      <c r="H191" s="5" t="inlineStr">
        <is>
          <t>Diciembre</t>
        </is>
      </c>
      <c r="I191" s="6" t="inlineStr">
        <is>
          <t>2024-2</t>
        </is>
      </c>
      <c r="J191" s="73" t="n">
        <v>5</v>
      </c>
      <c r="K191" s="9" t="n">
        <v>5.3</v>
      </c>
      <c r="L191" s="14">
        <f>IFERROR(IF(OR(J191=0,K191=""),"",IF(E191="Positivo",MIN(MAX(K191/J191,0),1.3),MIN(MAX(J191/K191,0),1.3))),"") </f>
        <v/>
      </c>
      <c r="M191" s="14">
        <f>IFERROR(IF(OR(J191=0,K191=""),"",IF(E191="Positivo",MAX(K191/J191,0),MAX(J191/K191,0))),"") </f>
        <v/>
      </c>
      <c r="N191" s="5" t="inlineStr">
        <is>
          <t>%</t>
        </is>
      </c>
      <c r="O191" s="5" t="inlineStr">
        <is>
          <t>%</t>
        </is>
      </c>
      <c r="P191" s="5" t="n">
        <v>0</v>
      </c>
      <c r="Q191" s="5" t="n">
        <v>1</v>
      </c>
      <c r="R191" s="5" t="inlineStr">
        <is>
          <t>148-2024-12-31</t>
        </is>
      </c>
    </row>
    <row r="192">
      <c r="A192" s="5" t="n">
        <v>148</v>
      </c>
      <c r="B192" s="5" t="inlineStr">
        <is>
          <t>Estudiantes vinculados a investigación</t>
        </is>
      </c>
      <c r="C192" s="5" t="inlineStr">
        <is>
          <t>Formación para la investigación, creación e innovación</t>
        </is>
      </c>
      <c r="D192" s="5" t="inlineStr">
        <is>
          <t>Semestral</t>
        </is>
      </c>
      <c r="E192" s="5" t="inlineStr">
        <is>
          <t>Positivo</t>
        </is>
      </c>
      <c r="F192" s="107" t="n">
        <v>46022</v>
      </c>
      <c r="G192" s="5" t="n">
        <v>2025</v>
      </c>
      <c r="H192" s="5" t="inlineStr">
        <is>
          <t>Diciembre</t>
        </is>
      </c>
      <c r="I192" s="6" t="inlineStr">
        <is>
          <t>2025-2</t>
        </is>
      </c>
      <c r="J192" s="5" t="n">
        <v>4.5</v>
      </c>
      <c r="K192" s="5" t="n">
        <v>5.43</v>
      </c>
      <c r="L192" s="14">
        <f>IFERROR(IF(OR(J192=0,K192=""),"",IF(E192="Positivo",MIN(MAX(K192/J192,0),1.3),MIN(MAX(J192/K192,0),1.3))),"") </f>
        <v/>
      </c>
      <c r="M192" s="14">
        <f>IFERROR(IF(OR(J192=0,K192=""),"",IF(E192="Positivo",MAX(K192/J192,0),MAX(J192/K192,0))),"") </f>
        <v/>
      </c>
      <c r="N192" s="5" t="inlineStr">
        <is>
          <t>%</t>
        </is>
      </c>
      <c r="O192" s="5" t="inlineStr">
        <is>
          <t>%</t>
        </is>
      </c>
      <c r="P192" s="5" t="n">
        <v>0</v>
      </c>
      <c r="Q192" s="5" t="n">
        <v>1</v>
      </c>
      <c r="R192" s="5" t="inlineStr">
        <is>
          <t>148-2025-12-31</t>
        </is>
      </c>
    </row>
    <row r="193">
      <c r="A193" s="5" t="n">
        <v>150</v>
      </c>
      <c r="B193" s="5" t="inlineStr">
        <is>
          <t>Nivel de Satisfacción Servicios Prestados</t>
        </is>
      </c>
      <c r="C193" s="5" t="inlineStr">
        <is>
          <t>Investigación, desarrollo tecnológico, innovación y creación</t>
        </is>
      </c>
      <c r="D193" s="5" t="inlineStr">
        <is>
          <t>Anual</t>
        </is>
      </c>
      <c r="E193" s="5" t="inlineStr">
        <is>
          <t>Positivo</t>
        </is>
      </c>
      <c r="F193" s="107" t="n">
        <v>44865</v>
      </c>
      <c r="G193" s="5" t="n">
        <v>2022</v>
      </c>
      <c r="H193" s="5" t="inlineStr">
        <is>
          <t>Octubre</t>
        </is>
      </c>
      <c r="I193" s="6" t="inlineStr">
        <is>
          <t>2022-2</t>
        </is>
      </c>
      <c r="J193" s="5" t="n">
        <v>80</v>
      </c>
      <c r="K193" s="5" t="n">
        <v>80</v>
      </c>
      <c r="L193" s="14">
        <f>IFERROR(IF(OR(J193=0,K193=""),"",IF(E193="Positivo",MIN(MAX(K193/J193,0),1.3),MIN(MAX(J193/K193,0),1.3))),"") </f>
        <v/>
      </c>
      <c r="M193" s="14">
        <f>IFERROR(IF(OR(J193=0,K193=""),"",IF(E193="Positivo",MAX(K193/J193,0),MAX(J193/K193,0))),"") </f>
        <v/>
      </c>
      <c r="N193" s="5" t="inlineStr">
        <is>
          <t>%</t>
        </is>
      </c>
      <c r="O193" s="5" t="inlineStr">
        <is>
          <t>%</t>
        </is>
      </c>
      <c r="P193" s="5" t="n">
        <v>0</v>
      </c>
      <c r="Q193" s="5" t="n">
        <v>0</v>
      </c>
      <c r="R193" s="5" t="inlineStr">
        <is>
          <t>150-2022-10-31</t>
        </is>
      </c>
    </row>
    <row r="194">
      <c r="A194" s="5" t="n">
        <v>150</v>
      </c>
      <c r="B194" s="5" t="inlineStr">
        <is>
          <t>Nivel de Satisfacción Servicios Prestados- Investigación, desarrollo tecnológico, innovación y creación</t>
        </is>
      </c>
      <c r="C194" s="5" t="inlineStr">
        <is>
          <t>Investigación, desarrollo tecnológico, innovación y creación</t>
        </is>
      </c>
      <c r="D194" s="5" t="inlineStr">
        <is>
          <t>Anual</t>
        </is>
      </c>
      <c r="E194" s="5" t="inlineStr">
        <is>
          <t>Positivo</t>
        </is>
      </c>
      <c r="F194" s="107" t="n">
        <v>45230</v>
      </c>
      <c r="G194" s="5" t="n">
        <v>2023</v>
      </c>
      <c r="H194" s="5" t="inlineStr">
        <is>
          <t>Octubre</t>
        </is>
      </c>
      <c r="I194" s="6" t="inlineStr">
        <is>
          <t>2023-2</t>
        </is>
      </c>
      <c r="J194" s="5" t="n">
        <v>80</v>
      </c>
      <c r="K194" s="5" t="n">
        <v>94</v>
      </c>
      <c r="L194" s="14">
        <f>IFERROR(IF(OR(J194=0,K194=""),"",IF(E194="Positivo",MIN(MAX(K194/J194,0),1.3),MIN(MAX(J194/K194,0),1.3))),"") </f>
        <v/>
      </c>
      <c r="M194" s="14">
        <f>IFERROR(IF(OR(J194=0,K194=""),"",IF(E194="Positivo",MAX(K194/J194,0),MAX(J194/K194,0))),"") </f>
        <v/>
      </c>
      <c r="N194" s="5" t="inlineStr">
        <is>
          <t>%</t>
        </is>
      </c>
      <c r="O194" s="5" t="inlineStr">
        <is>
          <t>%</t>
        </is>
      </c>
      <c r="P194" s="5" t="n">
        <v>0</v>
      </c>
      <c r="Q194" s="5" t="n">
        <v>0</v>
      </c>
      <c r="R194" s="5" t="inlineStr">
        <is>
          <t>150-2023-10-31</t>
        </is>
      </c>
      <c r="S194" t="inlineStr"/>
    </row>
    <row r="195">
      <c r="A195" s="5" t="n">
        <v>150</v>
      </c>
      <c r="B195" s="5" t="inlineStr">
        <is>
          <t>Nivel de Satisfacción Servicios Prestados</t>
        </is>
      </c>
      <c r="C195" s="5" t="inlineStr">
        <is>
          <t>Investigación, desarrollo tecnológico, innovación y creación</t>
        </is>
      </c>
      <c r="D195" s="5" t="inlineStr">
        <is>
          <t>Anual</t>
        </is>
      </c>
      <c r="E195" s="5" t="inlineStr">
        <is>
          <t>Positivo</t>
        </is>
      </c>
      <c r="F195" s="107" t="n">
        <v>45291</v>
      </c>
      <c r="G195" s="5" t="n">
        <v>2023</v>
      </c>
      <c r="H195" s="5" t="inlineStr">
        <is>
          <t>Diciembre</t>
        </is>
      </c>
      <c r="I195" s="6" t="inlineStr">
        <is>
          <t>2023-2</t>
        </is>
      </c>
      <c r="J195" s="5" t="n">
        <v>80</v>
      </c>
      <c r="K195" s="5" t="n">
        <v>84.34350070811109</v>
      </c>
      <c r="L195" s="14">
        <f>IFERROR(IF(OR(J195=0,K195=""),"",IF(E195="Positivo",MIN(MAX(K195/J195,0),1.3),MIN(MAX(J195/K195,0),1.3))),"") </f>
        <v/>
      </c>
      <c r="M195" s="14">
        <f>IFERROR(IF(OR(J195=0,K195=""),"",IF(E195="Positivo",MAX(K195/J195,0),MAX(J195/K195,0))),"") </f>
        <v/>
      </c>
      <c r="N195" s="5" t="inlineStr">
        <is>
          <t>%</t>
        </is>
      </c>
      <c r="O195" s="5" t="inlineStr">
        <is>
          <t>%</t>
        </is>
      </c>
      <c r="P195" s="5" t="n">
        <v>0</v>
      </c>
      <c r="Q195" s="5" t="n">
        <v>0</v>
      </c>
      <c r="R195" s="5" t="inlineStr">
        <is>
          <t>150-2023-12-31</t>
        </is>
      </c>
    </row>
    <row r="196">
      <c r="A196" s="5" t="n">
        <v>150</v>
      </c>
      <c r="B196" s="5" t="inlineStr">
        <is>
          <t>Nivel de Satisfacción Servicios Prestados- Investigación, desarrollo tecnológico, innovación y creación</t>
        </is>
      </c>
      <c r="C196" s="5" t="inlineStr">
        <is>
          <t>Investigación, desarrollo tecnológico, innovación y creación</t>
        </is>
      </c>
      <c r="D196" s="5" t="inlineStr">
        <is>
          <t>Anual</t>
        </is>
      </c>
      <c r="E196" s="5" t="inlineStr">
        <is>
          <t>Positivo</t>
        </is>
      </c>
      <c r="F196" s="107" t="n">
        <v>45596</v>
      </c>
      <c r="G196" s="5" t="n">
        <v>2024</v>
      </c>
      <c r="H196" s="5" t="inlineStr">
        <is>
          <t>Octubre</t>
        </is>
      </c>
      <c r="I196" s="6" t="inlineStr">
        <is>
          <t>2024-2</t>
        </is>
      </c>
      <c r="J196" s="5" t="n">
        <v>80</v>
      </c>
      <c r="K196" s="5" t="n">
        <v>89</v>
      </c>
      <c r="L196" s="14">
        <f>IFERROR(IF(OR(J196=0,K196=""),"",IF(E196="Positivo",MIN(MAX(K196/J196,0),1.3),MIN(MAX(J196/K196,0),1.3))),"") </f>
        <v/>
      </c>
      <c r="M196" s="14">
        <f>IFERROR(IF(OR(J196=0,K196=""),"",IF(E196="Positivo",MAX(K196/J196,0),MAX(J196/K196,0))),"") </f>
        <v/>
      </c>
      <c r="N196" s="5" t="inlineStr">
        <is>
          <t>%</t>
        </is>
      </c>
      <c r="O196" s="5" t="inlineStr">
        <is>
          <t>%</t>
        </is>
      </c>
      <c r="P196" s="5" t="n">
        <v>0</v>
      </c>
      <c r="Q196" s="5" t="n">
        <v>0</v>
      </c>
      <c r="R196" s="5" t="inlineStr">
        <is>
          <t>150-2024-10-31</t>
        </is>
      </c>
      <c r="S196" t="inlineStr"/>
    </row>
    <row r="197">
      <c r="A197" s="5" t="n">
        <v>150</v>
      </c>
      <c r="B197" s="5" t="inlineStr">
        <is>
          <t>Nivel de Satisfacción Servicios Prestados</t>
        </is>
      </c>
      <c r="C197" s="5" t="inlineStr">
        <is>
          <t>Investigación, desarrollo tecnológico, innovación y creación</t>
        </is>
      </c>
      <c r="D197" s="5" t="inlineStr">
        <is>
          <t>Anual</t>
        </is>
      </c>
      <c r="E197" s="5" t="inlineStr">
        <is>
          <t>Positivo</t>
        </is>
      </c>
      <c r="F197" s="107" t="n">
        <v>45657</v>
      </c>
      <c r="G197" s="5" t="n">
        <v>2024</v>
      </c>
      <c r="H197" s="5" t="inlineStr">
        <is>
          <t>Diciembre</t>
        </is>
      </c>
      <c r="I197" s="6" t="inlineStr">
        <is>
          <t>2024-2</t>
        </is>
      </c>
      <c r="J197" s="5" t="n">
        <v>80</v>
      </c>
      <c r="K197" s="5" t="n">
        <v>89</v>
      </c>
      <c r="L197" s="14">
        <f>IFERROR(IF(OR(J197=0,K197=""),"",IF(E197="Positivo",MIN(MAX(K197/J197,0),1.3),MIN(MAX(J197/K197,0),1.3))),"") </f>
        <v/>
      </c>
      <c r="M197" s="14">
        <f>IFERROR(IF(OR(J197=0,K197=""),"",IF(E197="Positivo",MAX(K197/J197,0),MAX(J197/K197,0))),"") </f>
        <v/>
      </c>
      <c r="N197" s="5" t="inlineStr">
        <is>
          <t>%</t>
        </is>
      </c>
      <c r="O197" s="5" t="inlineStr">
        <is>
          <t>%</t>
        </is>
      </c>
      <c r="P197" s="5" t="n">
        <v>0</v>
      </c>
      <c r="Q197" s="5" t="n">
        <v>0</v>
      </c>
      <c r="R197" s="5" t="inlineStr">
        <is>
          <t>150-2024-12-31</t>
        </is>
      </c>
    </row>
    <row r="198">
      <c r="A198" s="5" t="n">
        <v>151</v>
      </c>
      <c r="B198" s="5" t="inlineStr">
        <is>
          <t>Nivel de Satisfacción Servicios Prestados</t>
        </is>
      </c>
      <c r="C198" s="5" t="inlineStr">
        <is>
          <t>Biblioteca Institucional</t>
        </is>
      </c>
      <c r="D198" s="5" t="inlineStr">
        <is>
          <t>Anual</t>
        </is>
      </c>
      <c r="E198" s="5" t="inlineStr">
        <is>
          <t>Positivo</t>
        </is>
      </c>
      <c r="F198" s="107" t="n">
        <v>44865</v>
      </c>
      <c r="G198" s="5" t="n">
        <v>2022</v>
      </c>
      <c r="H198" s="5" t="inlineStr">
        <is>
          <t>Octubre</t>
        </is>
      </c>
      <c r="I198" s="6" t="inlineStr">
        <is>
          <t>2022-2</t>
        </is>
      </c>
      <c r="J198" s="5" t="n">
        <v>80</v>
      </c>
      <c r="K198" s="5" t="n">
        <v>83</v>
      </c>
      <c r="L198" s="14">
        <f>IFERROR(IF(OR(J198=0,K198=""),"",IF(E198="Positivo",MIN(MAX(K198/J198,0),1.3),MIN(MAX(J198/K198,0),1.3))),"") </f>
        <v/>
      </c>
      <c r="M198" s="14">
        <f>IFERROR(IF(OR(J198=0,K198=""),"",IF(E198="Positivo",MAX(K198/J198,0),MAX(J198/K198,0))),"") </f>
        <v/>
      </c>
      <c r="N198" s="5" t="inlineStr">
        <is>
          <t>%</t>
        </is>
      </c>
      <c r="O198" s="5" t="inlineStr">
        <is>
          <t>%</t>
        </is>
      </c>
      <c r="P198" s="5" t="n">
        <v>0</v>
      </c>
      <c r="Q198" s="5" t="n">
        <v>0</v>
      </c>
      <c r="R198" s="5" t="inlineStr">
        <is>
          <t>151-2022-10-31</t>
        </is>
      </c>
    </row>
    <row r="199">
      <c r="A199" s="5" t="n">
        <v>151</v>
      </c>
      <c r="B199" s="5" t="inlineStr">
        <is>
          <t>Nivel de Satisfacción Servicios Prestados</t>
        </is>
      </c>
      <c r="C199" s="5" t="inlineStr">
        <is>
          <t>Biblioteca Institucional</t>
        </is>
      </c>
      <c r="D199" s="5" t="inlineStr">
        <is>
          <t>Anual</t>
        </is>
      </c>
      <c r="E199" s="5" t="inlineStr">
        <is>
          <t>Positivo</t>
        </is>
      </c>
      <c r="F199" s="107" t="n">
        <v>45230</v>
      </c>
      <c r="G199" s="5" t="n">
        <v>2023</v>
      </c>
      <c r="H199" s="5" t="inlineStr">
        <is>
          <t>Octubre</t>
        </is>
      </c>
      <c r="I199" s="6" t="inlineStr">
        <is>
          <t>2023-2</t>
        </is>
      </c>
      <c r="J199" s="5" t="n">
        <v>80</v>
      </c>
      <c r="K199" s="5" t="n">
        <v>90.37</v>
      </c>
      <c r="L199" s="14">
        <f>IFERROR(IF(OR(J199=0,K199=""),"",IF(E199="Positivo",MIN(MAX(K199/J199,0),1.3),MIN(MAX(J199/K199,0),1.3))),"") </f>
        <v/>
      </c>
      <c r="M199" s="14">
        <f>IFERROR(IF(OR(J199=0,K199=""),"",IF(E199="Positivo",MAX(K199/J199,0),MAX(J199/K199,0))),"") </f>
        <v/>
      </c>
      <c r="N199" s="5" t="inlineStr">
        <is>
          <t>%</t>
        </is>
      </c>
      <c r="O199" s="5" t="inlineStr">
        <is>
          <t>%</t>
        </is>
      </c>
      <c r="P199" s="5" t="n">
        <v>0</v>
      </c>
      <c r="Q199" s="5" t="n">
        <v>0</v>
      </c>
      <c r="R199" s="5" t="inlineStr">
        <is>
          <t>151-2023-10-31</t>
        </is>
      </c>
      <c r="S199" t="inlineStr"/>
    </row>
    <row r="200">
      <c r="A200" s="5" t="n">
        <v>151</v>
      </c>
      <c r="B200" s="5" t="inlineStr">
        <is>
          <t>Nivel de Satisfacción Servicios Prestados</t>
        </is>
      </c>
      <c r="C200" s="5" t="inlineStr">
        <is>
          <t>Biblioteca Institucional</t>
        </is>
      </c>
      <c r="D200" s="5" t="inlineStr">
        <is>
          <t>Anual</t>
        </is>
      </c>
      <c r="E200" s="5" t="inlineStr">
        <is>
          <t>Positivo</t>
        </is>
      </c>
      <c r="F200" s="107" t="n">
        <v>45291</v>
      </c>
      <c r="G200" s="5" t="n">
        <v>2023</v>
      </c>
      <c r="H200" s="5" t="inlineStr">
        <is>
          <t>Diciembre</t>
        </is>
      </c>
      <c r="I200" s="6" t="inlineStr">
        <is>
          <t>2023-2</t>
        </is>
      </c>
      <c r="J200" s="5" t="n"/>
      <c r="K200" s="5" t="n"/>
      <c r="L200" s="14" t="n"/>
      <c r="M200" s="14" t="n"/>
      <c r="N200" s="5" t="inlineStr">
        <is>
          <t>No Aplica</t>
        </is>
      </c>
      <c r="O200" s="5" t="inlineStr">
        <is>
          <t>No Aplica</t>
        </is>
      </c>
      <c r="P200" s="5" t="n">
        <v>0</v>
      </c>
      <c r="Q200" s="5" t="n">
        <v>0</v>
      </c>
      <c r="R200" s="5" t="inlineStr">
        <is>
          <t>151-2023-12-31</t>
        </is>
      </c>
    </row>
    <row r="201">
      <c r="A201" s="5" t="n">
        <v>151</v>
      </c>
      <c r="B201" s="5" t="inlineStr">
        <is>
          <t>Nivel de Satisfacción Servicios Prestados</t>
        </is>
      </c>
      <c r="C201" s="5" t="inlineStr">
        <is>
          <t>Biblioteca Institucional</t>
        </is>
      </c>
      <c r="D201" s="5" t="inlineStr">
        <is>
          <t>Anual</t>
        </is>
      </c>
      <c r="E201" s="5" t="inlineStr">
        <is>
          <t>Positivo</t>
        </is>
      </c>
      <c r="F201" s="107" t="n">
        <v>45596</v>
      </c>
      <c r="G201" s="5" t="n">
        <v>2024</v>
      </c>
      <c r="H201" s="5" t="inlineStr">
        <is>
          <t>Octubre</t>
        </is>
      </c>
      <c r="I201" s="6" t="inlineStr">
        <is>
          <t>2024-2</t>
        </is>
      </c>
      <c r="J201" s="5" t="n">
        <v>80</v>
      </c>
      <c r="K201" s="5" t="n">
        <v>80</v>
      </c>
      <c r="L201" s="14">
        <f>IFERROR(IF(OR(J201=0,K201=""),"",IF(E201="Positivo",MIN(MAX(K201/J201,0),1.3),MIN(MAX(J201/K201,0),1.3))),"") </f>
        <v/>
      </c>
      <c r="M201" s="14">
        <f>IFERROR(IF(OR(J201=0,K201=""),"",IF(E201="Positivo",MAX(K201/J201,0),MAX(J201/K201,0))),"") </f>
        <v/>
      </c>
      <c r="N201" s="5" t="inlineStr">
        <is>
          <t>%</t>
        </is>
      </c>
      <c r="O201" s="5" t="inlineStr">
        <is>
          <t>%</t>
        </is>
      </c>
      <c r="P201" s="5" t="n">
        <v>0</v>
      </c>
      <c r="Q201" s="5" t="n">
        <v>0</v>
      </c>
      <c r="R201" s="5" t="inlineStr">
        <is>
          <t>151-2024-10-31</t>
        </is>
      </c>
      <c r="S201" t="inlineStr"/>
    </row>
    <row r="202">
      <c r="A202" s="5" t="n">
        <v>151</v>
      </c>
      <c r="B202" s="5" t="inlineStr">
        <is>
          <t>Nivel de Satisfacción Servicios Prestados</t>
        </is>
      </c>
      <c r="C202" s="5" t="inlineStr">
        <is>
          <t>Biblioteca Institucional</t>
        </is>
      </c>
      <c r="D202" s="5" t="inlineStr">
        <is>
          <t>Anual</t>
        </is>
      </c>
      <c r="E202" s="5" t="inlineStr">
        <is>
          <t>Positivo</t>
        </is>
      </c>
      <c r="F202" s="107" t="n">
        <v>45657</v>
      </c>
      <c r="G202" s="5" t="n">
        <v>2024</v>
      </c>
      <c r="H202" s="5" t="inlineStr">
        <is>
          <t>Diciembre</t>
        </is>
      </c>
      <c r="I202" s="6" t="inlineStr">
        <is>
          <t>2024-2</t>
        </is>
      </c>
      <c r="J202" s="5" t="n"/>
      <c r="K202" s="5" t="n"/>
      <c r="L202" s="14" t="n"/>
      <c r="M202" s="14" t="n"/>
      <c r="N202" s="5" t="inlineStr">
        <is>
          <t>%</t>
        </is>
      </c>
      <c r="O202" s="5" t="inlineStr">
        <is>
          <t>%</t>
        </is>
      </c>
      <c r="P202" s="5" t="n">
        <v>0</v>
      </c>
      <c r="Q202" s="5" t="n">
        <v>0</v>
      </c>
      <c r="R202" s="5" t="inlineStr">
        <is>
          <t>151-2024-12-31</t>
        </is>
      </c>
    </row>
    <row r="203">
      <c r="A203" s="5" t="n">
        <v>151</v>
      </c>
      <c r="B203" s="5" t="inlineStr">
        <is>
          <t>Nivel de Satisfacción Servicios Prestados</t>
        </is>
      </c>
      <c r="C203" s="5" t="inlineStr">
        <is>
          <t>Biblioteca Institucional</t>
        </is>
      </c>
      <c r="D203" s="5" t="inlineStr">
        <is>
          <t>Anual</t>
        </is>
      </c>
      <c r="E203" s="5" t="inlineStr">
        <is>
          <t>Positivo</t>
        </is>
      </c>
      <c r="F203" s="107" t="n">
        <v>45961</v>
      </c>
      <c r="G203" s="5" t="n">
        <v>2025</v>
      </c>
      <c r="H203" s="5" t="inlineStr">
        <is>
          <t>Octubre</t>
        </is>
      </c>
      <c r="I203" s="6" t="inlineStr">
        <is>
          <t>2025-2</t>
        </is>
      </c>
      <c r="J203" s="5" t="n">
        <v>80</v>
      </c>
      <c r="K203" s="5" t="n">
        <v>95</v>
      </c>
      <c r="L203" s="14">
        <f>IFERROR(IF(OR(J203=0,K203=""),"",IF(E203="Positivo",MIN(MAX(K203/J203,0),1.3),MIN(MAX(J203/K203,0),1.3))),"") </f>
        <v/>
      </c>
      <c r="M203" s="14">
        <f>IFERROR(IF(OR(J203=0,K203=""),"",IF(E203="Positivo",MAX(K203/J203,0),MAX(J203/K203,0))),"") </f>
        <v/>
      </c>
      <c r="N203" s="5" t="inlineStr">
        <is>
          <t>%</t>
        </is>
      </c>
      <c r="O203" s="5" t="inlineStr">
        <is>
          <t>%</t>
        </is>
      </c>
      <c r="P203" s="5" t="n">
        <v>0</v>
      </c>
      <c r="Q203" s="5" t="n">
        <v>0</v>
      </c>
      <c r="R203" s="5" t="inlineStr">
        <is>
          <t>151-2025-10-31</t>
        </is>
      </c>
    </row>
    <row r="204">
      <c r="A204" s="5" t="n">
        <v>157</v>
      </c>
      <c r="B204" s="5" t="inlineStr">
        <is>
          <t>Indexación de bases de datos o SIRES</t>
        </is>
      </c>
      <c r="C204" s="5" t="inlineStr">
        <is>
          <t>Editorial y Publicaciones</t>
        </is>
      </c>
      <c r="D204" s="5" t="inlineStr">
        <is>
          <t>Anual</t>
        </is>
      </c>
      <c r="E204" s="5" t="inlineStr">
        <is>
          <t>Positivo</t>
        </is>
      </c>
      <c r="F204" s="107" t="n">
        <v>45291</v>
      </c>
      <c r="G204" s="5" t="n">
        <v>2023</v>
      </c>
      <c r="H204" s="5" t="inlineStr">
        <is>
          <t>Diciembre</t>
        </is>
      </c>
      <c r="I204" s="6" t="inlineStr">
        <is>
          <t>2023-2</t>
        </is>
      </c>
      <c r="J204" s="5" t="n">
        <v>3</v>
      </c>
      <c r="K204" s="5" t="n">
        <v>7</v>
      </c>
      <c r="L204" s="14">
        <f>IFERROR(IF(OR(J204=0,K204=""),"",IF(E204="Positivo",MIN(MAX(K204/J204,0),1.3),MIN(MAX(J204/K204,0),1.3))),"") </f>
        <v/>
      </c>
      <c r="M204" s="14">
        <f>IFERROR(IF(OR(J204=0,K204=""),"",IF(E204="Positivo",MAX(K204/J204,0),MAX(J204/K204,0))),"") </f>
        <v/>
      </c>
      <c r="N204" s="5" t="inlineStr">
        <is>
          <t>ENT</t>
        </is>
      </c>
      <c r="O204" s="5" t="inlineStr">
        <is>
          <t>ENT</t>
        </is>
      </c>
      <c r="P204" s="5" t="n">
        <v>0</v>
      </c>
      <c r="Q204" s="5" t="n">
        <v>0</v>
      </c>
      <c r="R204" s="5" t="inlineStr">
        <is>
          <t>157-2023-12-31</t>
        </is>
      </c>
    </row>
    <row r="205">
      <c r="A205" s="5" t="n">
        <v>157</v>
      </c>
      <c r="B205" s="5" t="inlineStr">
        <is>
          <t>Indexación de bases de datos o SIRES</t>
        </is>
      </c>
      <c r="C205" s="5" t="inlineStr">
        <is>
          <t>Editorial y Publicaciones</t>
        </is>
      </c>
      <c r="D205" s="5" t="inlineStr">
        <is>
          <t>Anual</t>
        </is>
      </c>
      <c r="E205" s="5" t="inlineStr">
        <is>
          <t>Positivo</t>
        </is>
      </c>
      <c r="F205" s="107" t="n">
        <v>45657</v>
      </c>
      <c r="G205" s="5" t="n">
        <v>2024</v>
      </c>
      <c r="H205" s="5" t="inlineStr">
        <is>
          <t>Diciembre</t>
        </is>
      </c>
      <c r="I205" s="6" t="inlineStr">
        <is>
          <t>2024-2</t>
        </is>
      </c>
      <c r="J205" s="5" t="n">
        <v>100</v>
      </c>
      <c r="K205" s="5" t="n">
        <v>125</v>
      </c>
      <c r="L205" s="14">
        <f>IFERROR(IF(OR(J205=0,K205=""),"",IF(E205="Positivo",MIN(MAX(K205/J205,0),1.3),MIN(MAX(J205/K205,0),1.3))),"") </f>
        <v/>
      </c>
      <c r="M205" s="14">
        <f>IFERROR(IF(OR(J205=0,K205=""),"",IF(E205="Positivo",MAX(K205/J205,0),MAX(J205/K205,0))),"") </f>
        <v/>
      </c>
      <c r="N205" s="5" t="inlineStr">
        <is>
          <t>ENT</t>
        </is>
      </c>
      <c r="O205" s="5" t="inlineStr">
        <is>
          <t>ENT</t>
        </is>
      </c>
      <c r="P205" s="5" t="n">
        <v>0</v>
      </c>
      <c r="Q205" s="5" t="n">
        <v>0</v>
      </c>
      <c r="R205" s="5" t="inlineStr">
        <is>
          <t>157-2024-12-31</t>
        </is>
      </c>
    </row>
    <row r="206">
      <c r="A206" s="5" t="n">
        <v>159</v>
      </c>
      <c r="B206" s="5" t="inlineStr">
        <is>
          <t>Nivel de Satisfacción Servicios Prestados</t>
        </is>
      </c>
      <c r="C206" s="5" t="inlineStr">
        <is>
          <t>Editorial y Publicaciones</t>
        </is>
      </c>
      <c r="D206" s="5" t="inlineStr">
        <is>
          <t>Trimestral</t>
        </is>
      </c>
      <c r="E206" s="5" t="inlineStr">
        <is>
          <t>Positivo</t>
        </is>
      </c>
      <c r="F206" s="107" t="n">
        <v>44926</v>
      </c>
      <c r="G206" s="5" t="n">
        <v>2022</v>
      </c>
      <c r="H206" s="5" t="inlineStr">
        <is>
          <t>Diciembre</t>
        </is>
      </c>
      <c r="I206" s="6" t="inlineStr">
        <is>
          <t>2022-2</t>
        </is>
      </c>
      <c r="J206" s="5" t="n">
        <v>80</v>
      </c>
      <c r="K206" s="5" t="n">
        <v>70</v>
      </c>
      <c r="L206" s="74">
        <f>IFERROR(IF(OR(J206=0,K206=""),"",IF(E206="Positivo",MIN(MAX(K206/J206,0),1.3),MIN(MAX(J206/K206,0),1.3))),"") </f>
        <v/>
      </c>
      <c r="M206" s="14">
        <f>IFERROR(IF(OR(J206=0,K206=""),"",IF(E206="Positivo",MAX(K206/J206,0),MAX(J206/K206,0))),"") </f>
        <v/>
      </c>
      <c r="N206" s="5" t="inlineStr">
        <is>
          <t>%</t>
        </is>
      </c>
      <c r="O206" s="5" t="inlineStr">
        <is>
          <t>%</t>
        </is>
      </c>
      <c r="P206" s="5" t="n">
        <v>0</v>
      </c>
      <c r="Q206" s="5" t="n">
        <v>0</v>
      </c>
      <c r="R206" s="5" t="inlineStr">
        <is>
          <t>159-2022-12-31</t>
        </is>
      </c>
    </row>
    <row r="207">
      <c r="A207" s="5" t="n">
        <v>159</v>
      </c>
      <c r="B207" s="5" t="inlineStr">
        <is>
          <t>Nivel de Satisfacción Servicios Prestados</t>
        </is>
      </c>
      <c r="C207" s="5" t="inlineStr">
        <is>
          <t>Editorial y Publicaciones</t>
        </is>
      </c>
      <c r="D207" s="5" t="inlineStr">
        <is>
          <t>Semestral</t>
        </is>
      </c>
      <c r="E207" s="5" t="inlineStr">
        <is>
          <t>Positivo</t>
        </is>
      </c>
      <c r="F207" s="107" t="n">
        <v>45291</v>
      </c>
      <c r="G207" s="5" t="n">
        <v>2023</v>
      </c>
      <c r="H207" s="5" t="inlineStr">
        <is>
          <t>Diciembre</t>
        </is>
      </c>
      <c r="I207" s="6" t="inlineStr">
        <is>
          <t>2023-2</t>
        </is>
      </c>
      <c r="J207" s="5" t="n">
        <v>80</v>
      </c>
      <c r="K207" s="5" t="n">
        <v>98</v>
      </c>
      <c r="L207" s="14">
        <f>IFERROR(IF(OR(J207=0,K207=""),"",IF(E207="Positivo",MIN(MAX(K207/J207,0),1.3),MIN(MAX(J207/K207,0),1.3))),"") </f>
        <v/>
      </c>
      <c r="M207" s="14">
        <f>IFERROR(IF(OR(J207=0,K207=""),"",IF(E207="Positivo",MAX(K207/J207,0),MAX(J207/K207,0))),"") </f>
        <v/>
      </c>
      <c r="N207" s="5" t="inlineStr">
        <is>
          <t>%</t>
        </is>
      </c>
      <c r="O207" s="5" t="inlineStr">
        <is>
          <t>%</t>
        </is>
      </c>
      <c r="P207" s="5" t="n">
        <v>0</v>
      </c>
      <c r="Q207" s="5" t="n">
        <v>0</v>
      </c>
      <c r="R207" s="5" t="inlineStr">
        <is>
          <t>159-2023-12-31</t>
        </is>
      </c>
    </row>
    <row r="208">
      <c r="A208" s="5" t="n">
        <v>159</v>
      </c>
      <c r="B208" s="5" t="inlineStr">
        <is>
          <t>Nivel de Satisfacción Servicios Prestados</t>
        </is>
      </c>
      <c r="C208" s="5" t="inlineStr">
        <is>
          <t>Editorial y Publicaciones</t>
        </is>
      </c>
      <c r="D208" s="5" t="inlineStr">
        <is>
          <t>Semestral</t>
        </is>
      </c>
      <c r="E208" s="5" t="inlineStr">
        <is>
          <t>Positivo</t>
        </is>
      </c>
      <c r="F208" s="107" t="n">
        <v>45657</v>
      </c>
      <c r="G208" s="5" t="n">
        <v>2024</v>
      </c>
      <c r="H208" s="5" t="inlineStr">
        <is>
          <t>Diciembre</t>
        </is>
      </c>
      <c r="I208" s="6" t="inlineStr">
        <is>
          <t>2024-2</t>
        </is>
      </c>
      <c r="J208" s="5" t="n">
        <v>80</v>
      </c>
      <c r="K208" s="5" t="n">
        <v>96.40000000000001</v>
      </c>
      <c r="L208" s="14">
        <f>IFERROR(IF(OR(J208=0,K208=""),"",IF(E208="Positivo",MIN(MAX(K208/J208,0),1.3),MIN(MAX(J208/K208,0),1.3))),"") </f>
        <v/>
      </c>
      <c r="M208" s="14">
        <f>IFERROR(IF(OR(J208=0,K208=""),"",IF(E208="Positivo",MAX(K208/J208,0),MAX(J208/K208,0))),"") </f>
        <v/>
      </c>
      <c r="N208" s="5" t="inlineStr">
        <is>
          <t>%</t>
        </is>
      </c>
      <c r="O208" s="5" t="inlineStr">
        <is>
          <t>%</t>
        </is>
      </c>
      <c r="P208" s="5" t="n">
        <v>0</v>
      </c>
      <c r="Q208" s="5" t="n">
        <v>0</v>
      </c>
      <c r="R208" s="5" t="inlineStr">
        <is>
          <t>159-2024-12-31</t>
        </is>
      </c>
    </row>
    <row r="209">
      <c r="A209" s="5" t="n">
        <v>159</v>
      </c>
      <c r="B209" s="5" t="inlineStr">
        <is>
          <t>Nivel de Satisfacción Servicios Prestados</t>
        </is>
      </c>
      <c r="C209" s="5" t="inlineStr">
        <is>
          <t>Editorial y Publicaciones</t>
        </is>
      </c>
      <c r="D209" s="5" t="inlineStr">
        <is>
          <t>Trimestral</t>
        </is>
      </c>
      <c r="E209" s="5" t="inlineStr">
        <is>
          <t>Positivo</t>
        </is>
      </c>
      <c r="F209" s="107" t="n">
        <v>46022</v>
      </c>
      <c r="G209" s="5" t="n">
        <v>2025</v>
      </c>
      <c r="H209" s="5" t="inlineStr">
        <is>
          <t>Diciembre</t>
        </is>
      </c>
      <c r="I209" s="6" t="inlineStr">
        <is>
          <t>2025-2</t>
        </is>
      </c>
      <c r="J209" s="5" t="n">
        <v>80</v>
      </c>
      <c r="K209" s="5" t="n">
        <v>100</v>
      </c>
      <c r="L209" s="14">
        <f>IFERROR(IF(OR(J209=0,K209=""),"",IF(E209="Positivo",MIN(MAX(K209/J209,0),1.3),MIN(MAX(J209/K209,0),1.3))),"") </f>
        <v/>
      </c>
      <c r="M209" s="14">
        <f>IFERROR(IF(OR(J209=0,K209=""),"",IF(E209="Positivo",MAX(K209/J209,0),MAX(J209/K209,0))),"") </f>
        <v/>
      </c>
      <c r="N209" s="5" t="inlineStr">
        <is>
          <t>%</t>
        </is>
      </c>
      <c r="O209" s="5" t="inlineStr">
        <is>
          <t>%</t>
        </is>
      </c>
      <c r="P209" s="5" t="n">
        <v>0</v>
      </c>
      <c r="Q209" s="5" t="n">
        <v>0</v>
      </c>
      <c r="R209" s="5" t="inlineStr">
        <is>
          <t>159-2025-12-31</t>
        </is>
      </c>
    </row>
    <row r="210">
      <c r="A210" s="5" t="n">
        <v>167</v>
      </c>
      <c r="B210" s="5" t="inlineStr">
        <is>
          <t>Satisfacción actividades plan de bienestar</t>
        </is>
      </c>
      <c r="C210" s="5" t="inlineStr">
        <is>
          <t>GESTIÓN Y DESARROLLO DEL TALENTO HUMANO</t>
        </is>
      </c>
      <c r="D210" s="5" t="inlineStr">
        <is>
          <t>Trimestral</t>
        </is>
      </c>
      <c r="E210" s="5" t="inlineStr">
        <is>
          <t>Positivo</t>
        </is>
      </c>
      <c r="F210" s="107" t="n">
        <v>44926</v>
      </c>
      <c r="G210" s="5" t="n">
        <v>2022</v>
      </c>
      <c r="H210" s="5" t="inlineStr">
        <is>
          <t>Diciembre</t>
        </is>
      </c>
      <c r="I210" s="6" t="inlineStr">
        <is>
          <t>2022-2</t>
        </is>
      </c>
      <c r="J210" s="5" t="n">
        <v>80</v>
      </c>
      <c r="K210" s="5" t="n">
        <v>97.095</v>
      </c>
      <c r="L210" s="14">
        <f>IFERROR(IF(OR(J210=0,K210=""),"",IF(E210="Positivo",MIN(MAX(K210/J210,0),1.3),MIN(MAX(J210/K210,0),1.3))),"") </f>
        <v/>
      </c>
      <c r="M210" s="14">
        <f>IFERROR(IF(OR(J210=0,K210=""),"",IF(E210="Positivo",MAX(K210/J210,0),MAX(J210/K210,0))),"") </f>
        <v/>
      </c>
      <c r="N210" s="5" t="inlineStr">
        <is>
          <t>%</t>
        </is>
      </c>
      <c r="O210" s="5" t="inlineStr">
        <is>
          <t>%</t>
        </is>
      </c>
      <c r="P210" s="5" t="n">
        <v>0</v>
      </c>
      <c r="Q210" s="5" t="n">
        <v>1</v>
      </c>
      <c r="R210" s="5" t="inlineStr">
        <is>
          <t>167-2022-12-31</t>
        </is>
      </c>
    </row>
    <row r="211">
      <c r="A211" s="5" t="n">
        <v>167</v>
      </c>
      <c r="B211" s="5" t="inlineStr">
        <is>
          <t>Satisfacción actividades plan de bienestar</t>
        </is>
      </c>
      <c r="C211" s="5" t="inlineStr">
        <is>
          <t>GESTIÓN Y DESARROLLO DEL TALENTO HUMANO</t>
        </is>
      </c>
      <c r="D211" s="5" t="inlineStr">
        <is>
          <t>Semestral</t>
        </is>
      </c>
      <c r="E211" s="5" t="inlineStr">
        <is>
          <t>Positivo</t>
        </is>
      </c>
      <c r="F211" s="107" t="n">
        <v>45291</v>
      </c>
      <c r="G211" s="5" t="n">
        <v>2023</v>
      </c>
      <c r="H211" s="5" t="inlineStr">
        <is>
          <t>Diciembre</t>
        </is>
      </c>
      <c r="I211" s="6" t="inlineStr">
        <is>
          <t>2023-2</t>
        </is>
      </c>
      <c r="J211" s="5" t="n">
        <v>80</v>
      </c>
      <c r="K211" s="5" t="n">
        <v>96.92500000000001</v>
      </c>
      <c r="L211" s="14">
        <f>IFERROR(IF(OR(J211=0,K211=""),"",IF(E211="Positivo",MIN(MAX(K211/J211,0),1.3),MIN(MAX(J211/K211,0),1.3))),"") </f>
        <v/>
      </c>
      <c r="M211" s="14">
        <f>IFERROR(IF(OR(J211=0,K211=""),"",IF(E211="Positivo",MAX(K211/J211,0),MAX(J211/K211,0))),"") </f>
        <v/>
      </c>
      <c r="N211" s="5" t="inlineStr">
        <is>
          <t>%</t>
        </is>
      </c>
      <c r="O211" s="5" t="inlineStr">
        <is>
          <t>%</t>
        </is>
      </c>
      <c r="P211" s="5" t="n">
        <v>0</v>
      </c>
      <c r="Q211" s="5" t="n">
        <v>1</v>
      </c>
      <c r="R211" s="5" t="inlineStr">
        <is>
          <t>167-2023-12-31</t>
        </is>
      </c>
    </row>
    <row r="212">
      <c r="A212" s="5" t="n">
        <v>167</v>
      </c>
      <c r="B212" s="5" t="inlineStr">
        <is>
          <t>Satisfacción actividades plan de bienestar</t>
        </is>
      </c>
      <c r="C212" s="5" t="inlineStr">
        <is>
          <t>GESTIÓN Y DESARROLLO DEL TALENTO HUMANO</t>
        </is>
      </c>
      <c r="D212" s="5" t="inlineStr">
        <is>
          <t>Semestral</t>
        </is>
      </c>
      <c r="E212" s="5" t="inlineStr">
        <is>
          <t>Positivo</t>
        </is>
      </c>
      <c r="F212" s="107" t="n">
        <v>45657</v>
      </c>
      <c r="G212" s="5" t="n">
        <v>2024</v>
      </c>
      <c r="H212" s="5" t="inlineStr">
        <is>
          <t>Diciembre</t>
        </is>
      </c>
      <c r="I212" s="6" t="inlineStr">
        <is>
          <t>2024-2</t>
        </is>
      </c>
      <c r="J212" s="5" t="n">
        <v>85</v>
      </c>
      <c r="K212" s="5" t="n">
        <v>96.83</v>
      </c>
      <c r="L212" s="14">
        <f>IFERROR(IF(OR(J212=0,K212=""),"",IF(E212="Positivo",MIN(MAX(K212/J212,0),1.3),MIN(MAX(J212/K212,0),1.3))),"") </f>
        <v/>
      </c>
      <c r="M212" s="14">
        <f>IFERROR(IF(OR(J212=0,K212=""),"",IF(E212="Positivo",MAX(K212/J212,0),MAX(J212/K212,0))),"") </f>
        <v/>
      </c>
      <c r="N212" s="5" t="inlineStr">
        <is>
          <t>%</t>
        </is>
      </c>
      <c r="O212" s="5" t="inlineStr">
        <is>
          <t>%</t>
        </is>
      </c>
      <c r="P212" s="5" t="n">
        <v>0</v>
      </c>
      <c r="Q212" s="5" t="n">
        <v>1</v>
      </c>
      <c r="R212" s="5" t="inlineStr">
        <is>
          <t>167-2024-12-31</t>
        </is>
      </c>
    </row>
    <row r="213">
      <c r="A213" s="5" t="n">
        <v>167</v>
      </c>
      <c r="B213" s="5" t="inlineStr">
        <is>
          <t>Satisfacción actividades plan de bienestar</t>
        </is>
      </c>
      <c r="C213" s="5" t="inlineStr">
        <is>
          <t>GESTIÓN Y DESARROLLO DEL TALENTO HUMANO</t>
        </is>
      </c>
      <c r="D213" s="5" t="inlineStr">
        <is>
          <t>Trimestral</t>
        </is>
      </c>
      <c r="E213" s="5" t="inlineStr">
        <is>
          <t>Positivo</t>
        </is>
      </c>
      <c r="F213" s="107" t="n">
        <v>46022</v>
      </c>
      <c r="G213" s="5" t="n">
        <v>2025</v>
      </c>
      <c r="H213" s="5" t="inlineStr">
        <is>
          <t>Diciembre</t>
        </is>
      </c>
      <c r="I213" s="6" t="inlineStr">
        <is>
          <t>2025-2</t>
        </is>
      </c>
      <c r="J213" s="5" t="n">
        <v>90</v>
      </c>
      <c r="K213" s="5" t="n">
        <v>93.815</v>
      </c>
      <c r="L213" s="14">
        <f>IFERROR(IF(OR(J213=0,K213=""),"",IF(E213="Positivo",MIN(MAX(K213/J213,0),1.3),MIN(MAX(J213/K213,0),1.3))),"") </f>
        <v/>
      </c>
      <c r="M213" s="14">
        <f>IFERROR(IF(OR(J213=0,K213=""),"",IF(E213="Positivo",MAX(K213/J213,0),MAX(J213/K213,0))),"") </f>
        <v/>
      </c>
      <c r="N213" s="5" t="inlineStr">
        <is>
          <t>%</t>
        </is>
      </c>
      <c r="O213" s="5" t="inlineStr">
        <is>
          <t>%</t>
        </is>
      </c>
      <c r="P213" s="5" t="n">
        <v>0</v>
      </c>
      <c r="Q213" s="5" t="n">
        <v>1</v>
      </c>
      <c r="R213" s="5" t="inlineStr">
        <is>
          <t>167-2025-12-31</t>
        </is>
      </c>
    </row>
    <row r="214">
      <c r="A214" s="5" t="n">
        <v>172</v>
      </c>
      <c r="B214" s="5" t="inlineStr">
        <is>
          <t>Cumplimiento plan operativo del SGC</t>
        </is>
      </c>
      <c r="C214" s="5" t="inlineStr">
        <is>
          <t>Gestión de calidad</t>
        </is>
      </c>
      <c r="D214" s="5" t="inlineStr">
        <is>
          <t>Mensual</t>
        </is>
      </c>
      <c r="E214" s="5" t="inlineStr">
        <is>
          <t>Positivo</t>
        </is>
      </c>
      <c r="F214" s="107" t="n">
        <v>44926</v>
      </c>
      <c r="G214" s="5" t="n">
        <v>2022</v>
      </c>
      <c r="H214" s="5" t="inlineStr">
        <is>
          <t>Diciembre</t>
        </is>
      </c>
      <c r="I214" s="6" t="inlineStr">
        <is>
          <t>2022-2</t>
        </is>
      </c>
      <c r="J214" s="5" t="n">
        <v>90</v>
      </c>
      <c r="K214" s="5" t="n">
        <v>97.8793018866355</v>
      </c>
      <c r="L214" s="14">
        <f>IFERROR(IF(OR(J214=0,K214=""),"",IF(E214="Positivo",MIN(MAX(K214/J214,0),1.3),MIN(MAX(J214/K214,0),1.3))),"") </f>
        <v/>
      </c>
      <c r="M214" s="14">
        <f>IFERROR(IF(OR(J214=0,K214=""),"",IF(E214="Positivo",MAX(K214/J214,0),MAX(J214/K214,0))),"") </f>
        <v/>
      </c>
      <c r="N214" s="5" t="inlineStr">
        <is>
          <t>%</t>
        </is>
      </c>
      <c r="O214" s="5" t="inlineStr">
        <is>
          <t>%</t>
        </is>
      </c>
      <c r="P214" s="5" t="n">
        <v>0</v>
      </c>
      <c r="Q214" s="5" t="n">
        <v>0</v>
      </c>
      <c r="R214" s="5" t="inlineStr">
        <is>
          <t>172-2022-12-31</t>
        </is>
      </c>
    </row>
    <row r="215">
      <c r="A215" s="5" t="n">
        <v>172</v>
      </c>
      <c r="B215" s="5" t="inlineStr">
        <is>
          <t>Cumplimiento plan operativo del SGC</t>
        </is>
      </c>
      <c r="C215" s="5" t="inlineStr">
        <is>
          <t>Gestión de calidad</t>
        </is>
      </c>
      <c r="D215" s="5" t="inlineStr">
        <is>
          <t>Mensual</t>
        </is>
      </c>
      <c r="E215" s="5" t="inlineStr">
        <is>
          <t>Positivo</t>
        </is>
      </c>
      <c r="F215" s="107" t="n">
        <v>45291</v>
      </c>
      <c r="G215" s="5" t="n">
        <v>2023</v>
      </c>
      <c r="H215" s="5" t="inlineStr">
        <is>
          <t>Diciembre</t>
        </is>
      </c>
      <c r="I215" s="6" t="inlineStr">
        <is>
          <t>2023-2</t>
        </is>
      </c>
      <c r="J215" s="5" t="n">
        <v>95</v>
      </c>
      <c r="K215" s="5" t="n">
        <v>94.5154285714286</v>
      </c>
      <c r="L215" s="14">
        <f>IFERROR(IF(OR(J215=0,K215=""),"",IF(E215="Positivo",MIN(MAX(K215/J215,0),1.3),MIN(MAX(J215/K215,0),1.3))),"") </f>
        <v/>
      </c>
      <c r="M215" s="14">
        <f>IFERROR(IF(OR(J215=0,K215=""),"",IF(E215="Positivo",MAX(K215/J215,0),MAX(J215/K215,0))),"") </f>
        <v/>
      </c>
      <c r="N215" s="5" t="inlineStr">
        <is>
          <t>%</t>
        </is>
      </c>
      <c r="O215" s="5" t="inlineStr">
        <is>
          <t>%</t>
        </is>
      </c>
      <c r="P215" s="5" t="n">
        <v>0</v>
      </c>
      <c r="Q215" s="5" t="n">
        <v>0</v>
      </c>
      <c r="R215" s="5" t="inlineStr">
        <is>
          <t>172-2023-12-31</t>
        </is>
      </c>
    </row>
    <row r="216">
      <c r="A216" s="5" t="n">
        <v>172</v>
      </c>
      <c r="B216" s="5" t="inlineStr">
        <is>
          <t>Cumplimiento plan operativo del SGC</t>
        </is>
      </c>
      <c r="C216" s="5" t="inlineStr">
        <is>
          <t>Gestión de calidad</t>
        </is>
      </c>
      <c r="D216" s="5" t="inlineStr">
        <is>
          <t>Mensual</t>
        </is>
      </c>
      <c r="E216" s="5" t="inlineStr">
        <is>
          <t>Positivo</t>
        </is>
      </c>
      <c r="F216" s="107" t="n">
        <v>45657</v>
      </c>
      <c r="G216" s="5" t="n">
        <v>2024</v>
      </c>
      <c r="H216" s="5" t="inlineStr">
        <is>
          <t>Diciembre</t>
        </is>
      </c>
      <c r="I216" s="6" t="inlineStr">
        <is>
          <t>2024-2</t>
        </is>
      </c>
      <c r="J216" s="5" t="n">
        <v>95</v>
      </c>
      <c r="K216" s="5" t="n">
        <v>92.20395946789137</v>
      </c>
      <c r="L216" s="14">
        <f>IFERROR(IF(OR(J216=0,K216=""),"",IF(E216="Positivo",MIN(MAX(K216/J216,0),1.3),MIN(MAX(J216/K216,0),1.3))),"") </f>
        <v/>
      </c>
      <c r="M216" s="14">
        <f>IFERROR(IF(OR(J216=0,K216=""),"",IF(E216="Positivo",MAX(K216/J216,0),MAX(J216/K216,0))),"") </f>
        <v/>
      </c>
      <c r="N216" s="5" t="inlineStr">
        <is>
          <t>%</t>
        </is>
      </c>
      <c r="O216" s="5" t="inlineStr">
        <is>
          <t>%</t>
        </is>
      </c>
      <c r="P216" s="5" t="n">
        <v>0</v>
      </c>
      <c r="Q216" s="5" t="n">
        <v>0</v>
      </c>
      <c r="R216" s="5" t="inlineStr">
        <is>
          <t>172-2024-12-31</t>
        </is>
      </c>
    </row>
    <row r="217">
      <c r="A217" s="5" t="n">
        <v>172</v>
      </c>
      <c r="B217" s="5" t="inlineStr">
        <is>
          <t>Cumplimiento plan operativo del SGC</t>
        </is>
      </c>
      <c r="C217" s="5" t="inlineStr">
        <is>
          <t>Gestión de calidad</t>
        </is>
      </c>
      <c r="D217" s="5" t="inlineStr">
        <is>
          <t>Mensual</t>
        </is>
      </c>
      <c r="E217" s="5" t="inlineStr">
        <is>
          <t>Positivo</t>
        </is>
      </c>
      <c r="F217" s="107" t="n">
        <v>46022</v>
      </c>
      <c r="G217" s="5" t="n">
        <v>2025</v>
      </c>
      <c r="H217" s="5" t="inlineStr">
        <is>
          <t>Diciembre</t>
        </is>
      </c>
      <c r="I217" s="6" t="inlineStr">
        <is>
          <t>2025-2</t>
        </is>
      </c>
      <c r="J217" s="5" t="n">
        <v>95</v>
      </c>
      <c r="K217" s="5" t="n">
        <v>90.89166666666667</v>
      </c>
      <c r="L217" s="14">
        <f>IFERROR(IF(OR(J217=0,K217=""),"",IF(E217="Positivo",MIN(MAX(K217/J217,0),1.3),MIN(MAX(J217/K217,0),1.3))),"") </f>
        <v/>
      </c>
      <c r="M217" s="14">
        <f>IFERROR(IF(OR(J217=0,K217=""),"",IF(E217="Positivo",MAX(K217/J217,0),MAX(J217/K217,0))),"") </f>
        <v/>
      </c>
      <c r="N217" s="5" t="inlineStr">
        <is>
          <t>%</t>
        </is>
      </c>
      <c r="O217" s="5" t="inlineStr">
        <is>
          <t>%</t>
        </is>
      </c>
      <c r="P217" s="5" t="n">
        <v>0</v>
      </c>
      <c r="Q217" s="5" t="n">
        <v>0</v>
      </c>
      <c r="R217" s="5" t="inlineStr">
        <is>
          <t>172-2025-12-31</t>
        </is>
      </c>
    </row>
    <row r="218">
      <c r="A218" s="5" t="n">
        <v>172</v>
      </c>
      <c r="B218" s="5" t="inlineStr">
        <is>
          <t>Cumplimiento plan operativo del SGC</t>
        </is>
      </c>
      <c r="C218" s="5" t="inlineStr">
        <is>
          <t>Gestión de calidad</t>
        </is>
      </c>
      <c r="D218" s="5" t="inlineStr">
        <is>
          <t>Mensual</t>
        </is>
      </c>
      <c r="E218" s="5" t="inlineStr">
        <is>
          <t>Positivo</t>
        </is>
      </c>
      <c r="F218" s="107" t="n">
        <v>46081</v>
      </c>
      <c r="G218" s="5" t="n">
        <v>2026</v>
      </c>
      <c r="H218" s="5" t="inlineStr">
        <is>
          <t>Febrero</t>
        </is>
      </c>
      <c r="I218" s="6" t="inlineStr">
        <is>
          <t>2026-1</t>
        </is>
      </c>
      <c r="J218" s="5" t="n">
        <v>95</v>
      </c>
      <c r="K218" s="5" t="n">
        <v>90.91</v>
      </c>
      <c r="L218" s="14">
        <f>IFERROR(IF(OR(J218=0,K218=""),"",IF(E218="Positivo",MIN(MAX(K218/J218,0),1.3),MIN(MAX(J218/K218,0),1.3))),"") </f>
        <v/>
      </c>
      <c r="M218" s="14">
        <f>IFERROR(IF(OR(J218=0,K218=""),"",IF(E218="Positivo",MAX(K218/J218,0),MAX(J218/K218,0))),"") </f>
        <v/>
      </c>
      <c r="N218" s="5" t="inlineStr">
        <is>
          <t>%</t>
        </is>
      </c>
      <c r="O218" s="5" t="inlineStr">
        <is>
          <t>%</t>
        </is>
      </c>
      <c r="P218" s="5" t="n">
        <v>0</v>
      </c>
      <c r="Q218" s="5" t="n">
        <v>0</v>
      </c>
      <c r="R218" s="5" t="inlineStr">
        <is>
          <t>172-2026-02-28</t>
        </is>
      </c>
      <c r="S218" t="inlineStr"/>
    </row>
    <row r="219">
      <c r="A219" s="5" t="n">
        <v>174</v>
      </c>
      <c r="B219" s="5" t="inlineStr">
        <is>
          <t>Cumplimiento Plan de Formación SGC</t>
        </is>
      </c>
      <c r="C219" s="5" t="inlineStr">
        <is>
          <t>Gestión de calidad</t>
        </is>
      </c>
      <c r="D219" s="5" t="inlineStr">
        <is>
          <t>Semestral</t>
        </is>
      </c>
      <c r="E219" s="5" t="inlineStr">
        <is>
          <t>Positivo</t>
        </is>
      </c>
      <c r="F219" s="107" t="n">
        <v>45291</v>
      </c>
      <c r="G219" s="5" t="n">
        <v>2023</v>
      </c>
      <c r="H219" s="5" t="inlineStr">
        <is>
          <t>Diciembre</t>
        </is>
      </c>
      <c r="I219" s="6" t="inlineStr">
        <is>
          <t>2023-2</t>
        </is>
      </c>
      <c r="J219" s="5" t="n">
        <v>95</v>
      </c>
      <c r="K219" s="5" t="n">
        <v>100</v>
      </c>
      <c r="L219" s="14">
        <f>IFERROR(IF(OR(J219=0,K219=""),"",IF(E219="Positivo",MIN(MAX(K219/J219,0),1.3),MIN(MAX(J219/K219,0),1.3))),"") </f>
        <v/>
      </c>
      <c r="M219" s="14">
        <f>IFERROR(IF(OR(J219=0,K219=""),"",IF(E219="Positivo",MAX(K219/J219,0),MAX(J219/K219,0))),"") </f>
        <v/>
      </c>
      <c r="N219" s="5" t="inlineStr">
        <is>
          <t>%</t>
        </is>
      </c>
      <c r="O219" s="5" t="inlineStr">
        <is>
          <t>%</t>
        </is>
      </c>
      <c r="P219" s="5" t="n">
        <v>0</v>
      </c>
      <c r="Q219" s="5" t="n">
        <v>0</v>
      </c>
      <c r="R219" s="5" t="inlineStr">
        <is>
          <t>174-2023-12-31</t>
        </is>
      </c>
    </row>
    <row r="220">
      <c r="A220" s="5" t="n">
        <v>174</v>
      </c>
      <c r="B220" s="5" t="inlineStr">
        <is>
          <t>Cumplimiento Plan de Formación SGC</t>
        </is>
      </c>
      <c r="C220" s="5" t="inlineStr">
        <is>
          <t>Gestión de calidad</t>
        </is>
      </c>
      <c r="D220" s="5" t="inlineStr">
        <is>
          <t>Semestral</t>
        </is>
      </c>
      <c r="E220" s="5" t="inlineStr">
        <is>
          <t>Positivo</t>
        </is>
      </c>
      <c r="F220" s="107" t="n">
        <v>45657</v>
      </c>
      <c r="G220" s="5" t="n">
        <v>2024</v>
      </c>
      <c r="H220" s="5" t="inlineStr">
        <is>
          <t>Diciembre</t>
        </is>
      </c>
      <c r="I220" s="6" t="inlineStr">
        <is>
          <t>2024-2</t>
        </is>
      </c>
      <c r="J220" s="94" t="n">
        <v>95</v>
      </c>
      <c r="K220" s="94" t="n"/>
      <c r="L220" s="14" t="n"/>
      <c r="M220" s="14" t="n"/>
      <c r="N220" s="5" t="inlineStr">
        <is>
          <t>%</t>
        </is>
      </c>
      <c r="O220" s="5" t="inlineStr">
        <is>
          <t>%</t>
        </is>
      </c>
      <c r="P220" s="5" t="n">
        <v>0</v>
      </c>
      <c r="Q220" s="5" t="n">
        <v>0</v>
      </c>
      <c r="R220" s="5" t="inlineStr">
        <is>
          <t>174-2024-12-31</t>
        </is>
      </c>
    </row>
    <row r="221">
      <c r="A221" s="5" t="n">
        <v>176</v>
      </c>
      <c r="B221" s="5" t="inlineStr">
        <is>
          <t>Cumplimiento Planes de Mejora</t>
        </is>
      </c>
      <c r="C221" s="5" t="inlineStr">
        <is>
          <t>Gestión de calidad</t>
        </is>
      </c>
      <c r="D221" s="5" t="inlineStr">
        <is>
          <t>Mensual</t>
        </is>
      </c>
      <c r="E221" s="5" t="inlineStr">
        <is>
          <t>Positivo</t>
        </is>
      </c>
      <c r="F221" s="107" t="n">
        <v>45291</v>
      </c>
      <c r="G221" s="5" t="n">
        <v>2023</v>
      </c>
      <c r="H221" s="5" t="inlineStr">
        <is>
          <t>Diciembre</t>
        </is>
      </c>
      <c r="I221" s="6" t="inlineStr">
        <is>
          <t>2023-2</t>
        </is>
      </c>
      <c r="J221" s="5" t="n">
        <v>80</v>
      </c>
      <c r="K221" s="5" t="n">
        <v>81.37</v>
      </c>
      <c r="L221" s="14">
        <f>IFERROR(IF(OR(J221=0,K221=""),"",IF(E221="Positivo",MIN(MAX(K221/J221,0),1.3),MIN(MAX(J221/K221,0),1.3))),"") </f>
        <v/>
      </c>
      <c r="M221" s="14">
        <f>IFERROR(IF(OR(J221=0,K221=""),"",IF(E221="Positivo",MAX(K221/J221,0),MAX(J221/K221,0))),"") </f>
        <v/>
      </c>
      <c r="N221" s="5" t="inlineStr">
        <is>
          <t>%</t>
        </is>
      </c>
      <c r="O221" s="5" t="inlineStr">
        <is>
          <t>%</t>
        </is>
      </c>
      <c r="P221" s="5" t="n">
        <v>0</v>
      </c>
      <c r="Q221" s="5" t="n">
        <v>0</v>
      </c>
      <c r="R221" s="5" t="inlineStr">
        <is>
          <t>176-2023-12-31</t>
        </is>
      </c>
    </row>
    <row r="222">
      <c r="A222" s="5" t="n">
        <v>176</v>
      </c>
      <c r="B222" s="5" t="inlineStr">
        <is>
          <t>Cumplimiento Planes de Mejora</t>
        </is>
      </c>
      <c r="C222" s="5" t="inlineStr">
        <is>
          <t>Gestión de calidad</t>
        </is>
      </c>
      <c r="D222" s="5" t="inlineStr">
        <is>
          <t>Mensual</t>
        </is>
      </c>
      <c r="E222" s="5" t="inlineStr">
        <is>
          <t>Positivo</t>
        </is>
      </c>
      <c r="F222" s="107" t="n">
        <v>45657</v>
      </c>
      <c r="G222" s="5" t="n">
        <v>2024</v>
      </c>
      <c r="H222" s="5" t="inlineStr">
        <is>
          <t>Diciembre</t>
        </is>
      </c>
      <c r="I222" s="6" t="inlineStr">
        <is>
          <t>2024-2</t>
        </is>
      </c>
      <c r="J222" s="5" t="n">
        <v>85</v>
      </c>
      <c r="K222" s="5" t="n">
        <v>89.08</v>
      </c>
      <c r="L222" s="14">
        <f>IFERROR(IF(OR(J222=0,K222=""),"",IF(E222="Positivo",MIN(MAX(K222/J222,0),1.3),MIN(MAX(J222/K222,0),1.3))),"") </f>
        <v/>
      </c>
      <c r="M222" s="14">
        <f>IFERROR(IF(OR(J222=0,K222=""),"",IF(E222="Positivo",MAX(K222/J222,0),MAX(J222/K222,0))),"") </f>
        <v/>
      </c>
      <c r="N222" s="5" t="inlineStr">
        <is>
          <t>%</t>
        </is>
      </c>
      <c r="O222" s="5" t="inlineStr">
        <is>
          <t>%</t>
        </is>
      </c>
      <c r="P222" s="5" t="n">
        <v>0</v>
      </c>
      <c r="Q222" s="5" t="n">
        <v>0</v>
      </c>
      <c r="R222" s="5" t="inlineStr">
        <is>
          <t>176-2024-12-31</t>
        </is>
      </c>
    </row>
    <row r="223">
      <c r="A223" s="5" t="n">
        <v>193</v>
      </c>
      <c r="B223" s="5" t="inlineStr">
        <is>
          <t>Porcentaje de cumplimiento del Acuerdo de Nivel de Servicio (ANS)</t>
        </is>
      </c>
      <c r="C223" s="5" t="inlineStr">
        <is>
          <t>Servicio</t>
        </is>
      </c>
      <c r="D223" s="5" t="inlineStr">
        <is>
          <t>Semestral</t>
        </is>
      </c>
      <c r="E223" s="5" t="inlineStr">
        <is>
          <t>Positivo</t>
        </is>
      </c>
      <c r="F223" s="107" t="n">
        <v>44926</v>
      </c>
      <c r="G223" s="5" t="n">
        <v>2022</v>
      </c>
      <c r="H223" s="5" t="inlineStr">
        <is>
          <t>Diciembre</t>
        </is>
      </c>
      <c r="I223" s="6" t="inlineStr">
        <is>
          <t>2022-2</t>
        </is>
      </c>
      <c r="J223" s="5" t="n">
        <v>76</v>
      </c>
      <c r="K223" s="5" t="n">
        <v>92.40000000000001</v>
      </c>
      <c r="L223" s="14">
        <f>IFERROR(IF(OR(J223=0,K223=""),"",IF(E223="Positivo",MIN(MAX(K223/J223,0),1.3),MIN(MAX(J223/K223,0),1.3))),"") </f>
        <v/>
      </c>
      <c r="M223" s="14">
        <f>IFERROR(IF(OR(J223=0,K223=""),"",IF(E223="Positivo",MAX(K223/J223,0),MAX(J223/K223,0))),"") </f>
        <v/>
      </c>
      <c r="N223" s="5" t="inlineStr">
        <is>
          <t>%</t>
        </is>
      </c>
      <c r="O223" s="5" t="inlineStr">
        <is>
          <t>%</t>
        </is>
      </c>
      <c r="P223" s="5" t="n">
        <v>1</v>
      </c>
      <c r="Q223" s="5" t="n">
        <v>1</v>
      </c>
      <c r="R223" s="5" t="inlineStr">
        <is>
          <t>193-2022-12-31</t>
        </is>
      </c>
    </row>
    <row r="224">
      <c r="A224" s="5" t="n">
        <v>193</v>
      </c>
      <c r="B224" s="5" t="inlineStr">
        <is>
          <t>Porcentaje de cumplimiento del Acuerdo de Nivel de Servicio (ANS)</t>
        </is>
      </c>
      <c r="C224" s="5" t="inlineStr">
        <is>
          <t>Servicio</t>
        </is>
      </c>
      <c r="D224" s="5" t="inlineStr">
        <is>
          <t>Semestral</t>
        </is>
      </c>
      <c r="E224" s="5" t="inlineStr">
        <is>
          <t>Positivo</t>
        </is>
      </c>
      <c r="F224" s="107" t="n">
        <v>45291</v>
      </c>
      <c r="G224" s="5" t="n">
        <v>2023</v>
      </c>
      <c r="H224" s="5" t="inlineStr">
        <is>
          <t>Diciembre</t>
        </is>
      </c>
      <c r="I224" s="6" t="inlineStr">
        <is>
          <t>2023-2</t>
        </is>
      </c>
      <c r="J224" s="5" t="n">
        <v>92</v>
      </c>
      <c r="K224" s="5" t="n">
        <v>91.599839914621</v>
      </c>
      <c r="L224" s="14">
        <f>IFERROR(IF(OR(J224=0,K224=""),"",IF(E224="Positivo",MIN(MAX(K224/J224,0),1.3),MIN(MAX(J224/K224,0),1.3))),"") </f>
        <v/>
      </c>
      <c r="M224" s="50">
        <f>IFERROR(IF(OR(J224=0,K224=""),"",IF(E224="Positivo",MAX(K224/J224,0),MAX(J224/K224,0))),"") </f>
        <v/>
      </c>
      <c r="N224" s="5" t="inlineStr">
        <is>
          <t>%</t>
        </is>
      </c>
      <c r="O224" s="5" t="inlineStr">
        <is>
          <t>%</t>
        </is>
      </c>
      <c r="P224" s="5" t="n">
        <v>1</v>
      </c>
      <c r="Q224" s="5" t="n">
        <v>1</v>
      </c>
      <c r="R224" s="5" t="inlineStr">
        <is>
          <t>193-2023-12-31</t>
        </is>
      </c>
    </row>
    <row r="225">
      <c r="A225" s="5" t="n">
        <v>193</v>
      </c>
      <c r="B225" s="5" t="inlineStr">
        <is>
          <t>Porcentaje de cumplimiento del Acuerdo de Nivel de Servicio (ANS)</t>
        </is>
      </c>
      <c r="C225" s="5" t="inlineStr">
        <is>
          <t>Servicio</t>
        </is>
      </c>
      <c r="D225" s="5" t="inlineStr">
        <is>
          <t>Semestral</t>
        </is>
      </c>
      <c r="E225" s="5" t="inlineStr">
        <is>
          <t>Positivo</t>
        </is>
      </c>
      <c r="F225" s="107" t="n">
        <v>45657</v>
      </c>
      <c r="G225" s="5" t="n">
        <v>2024</v>
      </c>
      <c r="H225" s="5" t="inlineStr">
        <is>
          <t>Diciembre</t>
        </is>
      </c>
      <c r="I225" s="6" t="inlineStr">
        <is>
          <t>2024-2</t>
        </is>
      </c>
      <c r="J225" s="5" t="n">
        <v>90</v>
      </c>
      <c r="K225" s="5" t="n">
        <v>92.6001153810128</v>
      </c>
      <c r="L225" s="14">
        <f>IFERROR(IF(OR(J225=0,K225=""),"",IF(E225="Positivo",MIN(MAX(K225/J225,0),1.3),MIN(MAX(J225/K225,0),1.3))),"") </f>
        <v/>
      </c>
      <c r="M225" s="14">
        <f>IFERROR(IF(OR(J225=0,K225=""),"",IF(E225="Positivo",MAX(K225/J225,0),MAX(J225/K225,0))),"") </f>
        <v/>
      </c>
      <c r="N225" s="5" t="inlineStr">
        <is>
          <t>%</t>
        </is>
      </c>
      <c r="O225" s="5" t="inlineStr">
        <is>
          <t>%</t>
        </is>
      </c>
      <c r="P225" s="5" t="n">
        <v>1</v>
      </c>
      <c r="Q225" s="5" t="n">
        <v>1</v>
      </c>
      <c r="R225" s="5" t="inlineStr">
        <is>
          <t>193-2024-12-31</t>
        </is>
      </c>
    </row>
    <row r="226">
      <c r="A226" s="5" t="n">
        <v>193</v>
      </c>
      <c r="B226" s="5" t="inlineStr">
        <is>
          <t>Porcentaje de cumplimiento del Acuerdo de Nivel de Servicio (ANS)</t>
        </is>
      </c>
      <c r="C226" s="5" t="inlineStr">
        <is>
          <t>Servicio</t>
        </is>
      </c>
      <c r="D226" s="5" t="inlineStr">
        <is>
          <t>Semestral</t>
        </is>
      </c>
      <c r="E226" s="5" t="inlineStr">
        <is>
          <t>Positivo</t>
        </is>
      </c>
      <c r="F226" s="107" t="n">
        <v>46022</v>
      </c>
      <c r="G226" s="5" t="n">
        <v>2025</v>
      </c>
      <c r="H226" s="5" t="inlineStr">
        <is>
          <t>Diciembre</t>
        </is>
      </c>
      <c r="I226" s="6" t="inlineStr">
        <is>
          <t>2025-2</t>
        </is>
      </c>
      <c r="J226" s="5" t="n">
        <v>93.5</v>
      </c>
      <c r="K226" s="5" t="n">
        <v>95.60499999999999</v>
      </c>
      <c r="L226" s="14">
        <f>IFERROR(IF(OR(J226=0,K226=""),"",IF(E226="Positivo",MIN(MAX(K226/J226,0),1.3),MIN(MAX(J226/K226,0),1.3))),"") </f>
        <v/>
      </c>
      <c r="M226" s="14">
        <f>IFERROR(IF(OR(J226=0,K226=""),"",IF(E226="Positivo",MAX(K226/J226,0),MAX(J226/K226,0))),"") </f>
        <v/>
      </c>
      <c r="N226" s="5" t="inlineStr">
        <is>
          <t>%</t>
        </is>
      </c>
      <c r="O226" s="5" t="inlineStr">
        <is>
          <t>%</t>
        </is>
      </c>
      <c r="P226" s="5" t="n">
        <v>1</v>
      </c>
      <c r="Q226" s="5" t="n">
        <v>1</v>
      </c>
      <c r="R226" s="5" t="inlineStr">
        <is>
          <t>193-2025-12-31</t>
        </is>
      </c>
    </row>
    <row r="227">
      <c r="A227" s="5" t="n">
        <v>194</v>
      </c>
      <c r="B227" s="5" t="inlineStr">
        <is>
          <t>Índice de satisfacción del estudiante (SSI)</t>
        </is>
      </c>
      <c r="C227" s="5" t="inlineStr">
        <is>
          <t>Servicio</t>
        </is>
      </c>
      <c r="D227" s="5" t="inlineStr">
        <is>
          <t>Semestral</t>
        </is>
      </c>
      <c r="E227" s="5" t="inlineStr">
        <is>
          <t>Positivo</t>
        </is>
      </c>
      <c r="F227" s="107" t="n">
        <v>44926</v>
      </c>
      <c r="G227" s="5" t="n">
        <v>2022</v>
      </c>
      <c r="H227" s="5" t="inlineStr">
        <is>
          <t>Diciembre</t>
        </is>
      </c>
      <c r="I227" s="6" t="inlineStr">
        <is>
          <t>2022-2</t>
        </is>
      </c>
      <c r="J227" s="5" t="n">
        <v>73</v>
      </c>
      <c r="K227" s="5" t="n">
        <v>83.11</v>
      </c>
      <c r="L227" s="14">
        <f>IFERROR(IF(OR(J227=0,K227=""),"",IF(E227="Positivo",MIN(MAX(K227/J227,0),1.3),MIN(MAX(J227/K227,0),1.3))),"") </f>
        <v/>
      </c>
      <c r="M227" s="14">
        <f>IFERROR(IF(OR(J227=0,K227=""),"",IF(E227="Positivo",MAX(K227/J227,0),MAX(J227/K227,0))),"") </f>
        <v/>
      </c>
      <c r="N227" s="5" t="inlineStr">
        <is>
          <t>%</t>
        </is>
      </c>
      <c r="O227" s="5" t="inlineStr">
        <is>
          <t>%</t>
        </is>
      </c>
      <c r="P227" s="5" t="n">
        <v>0</v>
      </c>
      <c r="Q227" s="5" t="n">
        <v>0</v>
      </c>
      <c r="R227" s="5" t="inlineStr">
        <is>
          <t>194-2022-12-31</t>
        </is>
      </c>
    </row>
    <row r="228">
      <c r="A228" s="5" t="n">
        <v>194</v>
      </c>
      <c r="B228" s="5" t="inlineStr">
        <is>
          <t>Índice de satisfacción del estudiante (SSI)</t>
        </is>
      </c>
      <c r="C228" s="5" t="inlineStr">
        <is>
          <t>Servicio</t>
        </is>
      </c>
      <c r="D228" s="5" t="inlineStr">
        <is>
          <t>Semestral</t>
        </is>
      </c>
      <c r="E228" s="5" t="inlineStr">
        <is>
          <t>Positivo</t>
        </is>
      </c>
      <c r="F228" s="107" t="n">
        <v>45291</v>
      </c>
      <c r="G228" s="5" t="n">
        <v>2023</v>
      </c>
      <c r="H228" s="5" t="inlineStr">
        <is>
          <t>Diciembre</t>
        </is>
      </c>
      <c r="I228" s="6" t="inlineStr">
        <is>
          <t>2023-2</t>
        </is>
      </c>
      <c r="J228" s="9" t="n">
        <v>80</v>
      </c>
      <c r="K228" s="9" t="n">
        <v>81.91</v>
      </c>
      <c r="L228" s="14">
        <f>IFERROR(IF(OR(J228=0,K228=""),"",IF(E228="Positivo",MIN(MAX(K228/J228,0),1.3),MIN(MAX(J228/K228,0),1.3))),"") </f>
        <v/>
      </c>
      <c r="M228" s="14">
        <f>IFERROR(IF(OR(J228=0,K228=""),"",IF(E228="Positivo",MAX(K228/J228,0),MAX(J228/K228,0))),"") </f>
        <v/>
      </c>
      <c r="N228" s="5" t="inlineStr">
        <is>
          <t>%</t>
        </is>
      </c>
      <c r="O228" s="5" t="inlineStr">
        <is>
          <t>%</t>
        </is>
      </c>
      <c r="P228" s="5" t="n">
        <v>0</v>
      </c>
      <c r="Q228" s="5" t="n">
        <v>0</v>
      </c>
      <c r="R228" s="5" t="inlineStr">
        <is>
          <t>194-2023-12-31</t>
        </is>
      </c>
    </row>
    <row r="229">
      <c r="A229" s="5" t="n">
        <v>194</v>
      </c>
      <c r="B229" s="5" t="inlineStr">
        <is>
          <t>Índice de satisfacción del estudiante (SSI)</t>
        </is>
      </c>
      <c r="C229" s="5" t="inlineStr">
        <is>
          <t>Servicio</t>
        </is>
      </c>
      <c r="D229" s="5" t="inlineStr">
        <is>
          <t>Semestral</t>
        </is>
      </c>
      <c r="E229" s="5" t="inlineStr">
        <is>
          <t>Positivo</t>
        </is>
      </c>
      <c r="F229" s="107" t="n">
        <v>45657</v>
      </c>
      <c r="G229" s="5" t="n">
        <v>2024</v>
      </c>
      <c r="H229" s="5" t="inlineStr">
        <is>
          <t>Diciembre</t>
        </is>
      </c>
      <c r="I229" s="6" t="inlineStr">
        <is>
          <t>2024-2</t>
        </is>
      </c>
      <c r="J229" s="5" t="n">
        <v>81</v>
      </c>
      <c r="K229" s="5" t="n">
        <v>89</v>
      </c>
      <c r="L229" s="14">
        <f>IFERROR(IF(OR(J229=0,K229=""),"",IF(E229="Positivo",MIN(MAX(K229/J229,0),1.3),MIN(MAX(J229/K229,0),1.3))),"") </f>
        <v/>
      </c>
      <c r="M229" s="14">
        <f>IFERROR(IF(OR(J229=0,K229=""),"",IF(E229="Positivo",MAX(K229/J229,0),MAX(J229/K229,0))),"") </f>
        <v/>
      </c>
      <c r="N229" s="5" t="inlineStr">
        <is>
          <t>%</t>
        </is>
      </c>
      <c r="O229" s="5" t="inlineStr">
        <is>
          <t>%</t>
        </is>
      </c>
      <c r="P229" s="5" t="n">
        <v>0</v>
      </c>
      <c r="Q229" s="5" t="n">
        <v>0</v>
      </c>
      <c r="R229" s="5" t="inlineStr">
        <is>
          <t>194-2024-12-31</t>
        </is>
      </c>
    </row>
    <row r="230">
      <c r="A230" s="5" t="n">
        <v>196</v>
      </c>
      <c r="B230" s="5" t="inlineStr">
        <is>
          <t>(% de solicitudes procesos Pareto)</t>
        </is>
      </c>
      <c r="C230" s="5" t="inlineStr">
        <is>
          <t>Servicio</t>
        </is>
      </c>
      <c r="D230" s="5" t="inlineStr">
        <is>
          <t>Semestral</t>
        </is>
      </c>
      <c r="E230" s="5" t="inlineStr">
        <is>
          <t>Negativo</t>
        </is>
      </c>
      <c r="F230" s="107" t="n">
        <v>45291</v>
      </c>
      <c r="G230" s="5" t="n">
        <v>2023</v>
      </c>
      <c r="H230" s="5" t="inlineStr">
        <is>
          <t>Diciembre</t>
        </is>
      </c>
      <c r="I230" s="6" t="inlineStr">
        <is>
          <t>2023-2</t>
        </is>
      </c>
      <c r="J230" s="5" t="n">
        <v>37</v>
      </c>
      <c r="K230" s="5" t="n">
        <v>26.62</v>
      </c>
      <c r="L230" s="14">
        <f>IFERROR(IF(OR(J230=0,K230=""),"",IF(E230="Positivo",MIN(MAX(K230/J230,0),1.3),MIN(MAX(J230/K230,0),1.3))),"") </f>
        <v/>
      </c>
      <c r="M230" s="14">
        <f>IFERROR(IF(OR(J230=0,K230=""),"",IF(E230="Positivo",MAX(K230/J230,0),MAX(J230/K230,0))),"") </f>
        <v/>
      </c>
      <c r="N230" s="5" t="inlineStr">
        <is>
          <t>%</t>
        </is>
      </c>
      <c r="O230" s="5" t="inlineStr">
        <is>
          <t>%</t>
        </is>
      </c>
      <c r="P230" s="5" t="n">
        <v>0</v>
      </c>
      <c r="Q230" s="5" t="n">
        <v>0</v>
      </c>
      <c r="R230" s="5" t="inlineStr">
        <is>
          <t>196-2023-12-31</t>
        </is>
      </c>
    </row>
    <row r="231">
      <c r="A231" s="5" t="n">
        <v>197</v>
      </c>
      <c r="B231" s="5" t="inlineStr">
        <is>
          <t>Cumplimiento cronograma Mantenimiento de Equipos</t>
        </is>
      </c>
      <c r="C231" s="5" t="inlineStr">
        <is>
          <t>Gestión Infraestructura Física</t>
        </is>
      </c>
      <c r="D231" s="5" t="inlineStr">
        <is>
          <t>Semestral</t>
        </is>
      </c>
      <c r="E231" s="5" t="inlineStr">
        <is>
          <t>Positivo</t>
        </is>
      </c>
      <c r="F231" s="107" t="n">
        <v>44926</v>
      </c>
      <c r="G231" s="5" t="n">
        <v>2022</v>
      </c>
      <c r="H231" s="5" t="inlineStr">
        <is>
          <t>Diciembre</t>
        </is>
      </c>
      <c r="I231" s="6" t="inlineStr">
        <is>
          <t>2022-2</t>
        </is>
      </c>
      <c r="J231" s="5" t="n">
        <v>87.5</v>
      </c>
      <c r="K231" s="5" t="n">
        <v>100</v>
      </c>
      <c r="L231" s="14">
        <f>IFERROR(IF(OR(J231=0,K231=""),"",IF(E231="Positivo",MIN(MAX(K231/J231,0),1.3),MIN(MAX(J231/K231,0),1.3))),"") </f>
        <v/>
      </c>
      <c r="M231" s="14">
        <f>IFERROR(IF(OR(J231=0,K231=""),"",IF(E231="Positivo",MAX(K231/J231,0),MAX(J231/K231,0))),"") </f>
        <v/>
      </c>
      <c r="N231" s="5" t="inlineStr">
        <is>
          <t>%</t>
        </is>
      </c>
      <c r="O231" s="5" t="inlineStr">
        <is>
          <t>%</t>
        </is>
      </c>
      <c r="P231" s="5" t="n">
        <v>0</v>
      </c>
      <c r="Q231" s="5" t="n">
        <v>0</v>
      </c>
      <c r="R231" s="5" t="inlineStr">
        <is>
          <t>197-2022-12-31</t>
        </is>
      </c>
    </row>
    <row r="232">
      <c r="A232" s="5" t="n">
        <v>197</v>
      </c>
      <c r="B232" s="5" t="inlineStr">
        <is>
          <t>Cumplimiento cronograma Mantenimiento de Equipos</t>
        </is>
      </c>
      <c r="C232" s="5" t="inlineStr">
        <is>
          <t>Gestión Infraestructura Física</t>
        </is>
      </c>
      <c r="D232" s="5" t="inlineStr">
        <is>
          <t>Trimestral</t>
        </is>
      </c>
      <c r="E232" s="5" t="inlineStr">
        <is>
          <t>Positivo</t>
        </is>
      </c>
      <c r="F232" s="107" t="n">
        <v>45291</v>
      </c>
      <c r="G232" s="5" t="n">
        <v>2023</v>
      </c>
      <c r="H232" s="5" t="inlineStr">
        <is>
          <t>Diciembre</t>
        </is>
      </c>
      <c r="I232" s="6" t="inlineStr">
        <is>
          <t>2023-2</t>
        </is>
      </c>
      <c r="J232" s="5" t="n">
        <v>90</v>
      </c>
      <c r="K232" s="5" t="n">
        <v>100</v>
      </c>
      <c r="L232" s="14">
        <f>IFERROR(IF(OR(J232=0,K232=""),"",IF(E232="Positivo",MIN(MAX(K232/J232,0),1.3),MIN(MAX(J232/K232,0),1.3))),"") </f>
        <v/>
      </c>
      <c r="M232" s="14">
        <f>IFERROR(IF(OR(J232=0,K232=""),"",IF(E232="Positivo",MAX(K232/J232,0),MAX(J232/K232,0))),"") </f>
        <v/>
      </c>
      <c r="N232" s="5" t="inlineStr">
        <is>
          <t>%</t>
        </is>
      </c>
      <c r="O232" s="5" t="inlineStr">
        <is>
          <t>%</t>
        </is>
      </c>
      <c r="P232" s="5" t="n">
        <v>0</v>
      </c>
      <c r="Q232" s="5" t="n">
        <v>0</v>
      </c>
      <c r="R232" s="5" t="inlineStr">
        <is>
          <t>197-2023-12-31</t>
        </is>
      </c>
    </row>
    <row r="233">
      <c r="A233" s="5" t="n">
        <v>197</v>
      </c>
      <c r="B233" s="5" t="inlineStr">
        <is>
          <t>Cumplimiento cronograma Mantenimiento de Equipos</t>
        </is>
      </c>
      <c r="C233" s="5" t="inlineStr">
        <is>
          <t>Gestión Infraestructura Física</t>
        </is>
      </c>
      <c r="D233" s="5" t="inlineStr">
        <is>
          <t>Trimestral</t>
        </is>
      </c>
      <c r="E233" s="5" t="inlineStr">
        <is>
          <t>Positivo</t>
        </is>
      </c>
      <c r="F233" s="107" t="n">
        <v>45657</v>
      </c>
      <c r="G233" s="5" t="n">
        <v>2024</v>
      </c>
      <c r="H233" s="5" t="inlineStr">
        <is>
          <t>Diciembre</t>
        </is>
      </c>
      <c r="I233" s="6" t="inlineStr">
        <is>
          <t>2024-2</t>
        </is>
      </c>
      <c r="J233" s="5" t="n">
        <v>95</v>
      </c>
      <c r="K233" s="5" t="n">
        <v>100</v>
      </c>
      <c r="L233" s="14">
        <f>IFERROR(IF(OR(J233=0,K233=""),"",IF(E233="Positivo",MIN(MAX(K233/J233,0),1.3),MIN(MAX(J233/K233,0),1.3))),"") </f>
        <v/>
      </c>
      <c r="M233" s="14">
        <f>IFERROR(IF(OR(J233=0,K233=""),"",IF(E233="Positivo",MAX(K233/J233,0),MAX(J233/K233,0))),"") </f>
        <v/>
      </c>
      <c r="N233" s="5" t="inlineStr">
        <is>
          <t>%</t>
        </is>
      </c>
      <c r="O233" s="5" t="inlineStr">
        <is>
          <t>%</t>
        </is>
      </c>
      <c r="P233" s="5" t="n">
        <v>0</v>
      </c>
      <c r="Q233" s="5" t="n">
        <v>0</v>
      </c>
      <c r="R233" s="5" t="inlineStr">
        <is>
          <t>197-2024-12-31</t>
        </is>
      </c>
    </row>
    <row r="234">
      <c r="A234" s="5" t="n">
        <v>197</v>
      </c>
      <c r="B234" s="5" t="inlineStr">
        <is>
          <t>Cumplimiento cronograma Mantenimiento de Equipos</t>
        </is>
      </c>
      <c r="C234" s="5" t="inlineStr">
        <is>
          <t>Gestión Infraestructura Física</t>
        </is>
      </c>
      <c r="D234" s="5" t="inlineStr">
        <is>
          <t>Semestral</t>
        </is>
      </c>
      <c r="E234" s="5" t="inlineStr">
        <is>
          <t>Positivo</t>
        </is>
      </c>
      <c r="F234" s="107" t="n">
        <v>46022</v>
      </c>
      <c r="G234" s="5" t="n">
        <v>2025</v>
      </c>
      <c r="H234" s="5" t="inlineStr">
        <is>
          <t>Diciembre</t>
        </is>
      </c>
      <c r="I234" s="6" t="inlineStr">
        <is>
          <t>2025-2</t>
        </is>
      </c>
      <c r="J234" s="5" t="n">
        <v>97</v>
      </c>
      <c r="K234" s="10" t="n">
        <v>100.1075</v>
      </c>
      <c r="L234" s="14">
        <f>IFERROR(IF(OR(J234=0,K234=""),"",IF(E234="Positivo",MIN(MAX(K234/J234,0),1.3),MIN(MAX(J234/K234,0),1.3))),"") </f>
        <v/>
      </c>
      <c r="M234" s="14">
        <f>IFERROR(IF(OR(J234=0,K234=""),"",IF(E234="Positivo",MAX(K234/J234,0),MAX(J234/K234,0))),"") </f>
        <v/>
      </c>
      <c r="N234" s="5" t="inlineStr">
        <is>
          <t>%</t>
        </is>
      </c>
      <c r="O234" s="5" t="inlineStr">
        <is>
          <t>%</t>
        </is>
      </c>
      <c r="P234" s="5" t="n">
        <v>0</v>
      </c>
      <c r="Q234" s="5" t="n">
        <v>0</v>
      </c>
      <c r="R234" s="5" t="inlineStr">
        <is>
          <t>197-2025-12-31</t>
        </is>
      </c>
    </row>
    <row r="235">
      <c r="A235" s="5" t="n">
        <v>199</v>
      </c>
      <c r="B235" s="5" t="inlineStr">
        <is>
          <t>Nivel de cumplimiento de eficacia las capacitaciones</t>
        </is>
      </c>
      <c r="C235" s="5" t="inlineStr">
        <is>
          <t>GESTIÓN Y DESARROLLO DEL TALENTO HUMANO</t>
        </is>
      </c>
      <c r="D235" s="5" t="inlineStr">
        <is>
          <t>Trimestral</t>
        </is>
      </c>
      <c r="E235" s="5" t="inlineStr">
        <is>
          <t>Positivo</t>
        </is>
      </c>
      <c r="F235" s="107" t="n">
        <v>44926</v>
      </c>
      <c r="G235" s="5" t="n">
        <v>2022</v>
      </c>
      <c r="H235" s="5" t="inlineStr">
        <is>
          <t>Diciembre</t>
        </is>
      </c>
      <c r="I235" s="6" t="inlineStr">
        <is>
          <t>2022-2</t>
        </is>
      </c>
      <c r="J235" s="5" t="n">
        <v>80</v>
      </c>
      <c r="K235" s="5" t="n"/>
      <c r="L235" s="14" t="n"/>
      <c r="M235" s="14" t="n"/>
      <c r="N235" s="5" t="inlineStr">
        <is>
          <t>%</t>
        </is>
      </c>
      <c r="O235" s="5" t="inlineStr">
        <is>
          <t>No Aplica</t>
        </is>
      </c>
      <c r="P235" s="5" t="n">
        <v>0</v>
      </c>
      <c r="Q235" s="5" t="n">
        <v>0</v>
      </c>
      <c r="R235" s="5" t="inlineStr">
        <is>
          <t>199-2022-12-31</t>
        </is>
      </c>
      <c r="S235" t="inlineStr">
        <is>
          <t>No Aplica</t>
        </is>
      </c>
    </row>
    <row r="236">
      <c r="A236" s="5" t="n">
        <v>199</v>
      </c>
      <c r="B236" s="5" t="inlineStr">
        <is>
          <t>Nivel de cumplimiento de eficacia las capacitaciones</t>
        </is>
      </c>
      <c r="C236" s="5" t="inlineStr">
        <is>
          <t>GESTIÓN Y DESARROLLO DEL TALENTO HUMANO</t>
        </is>
      </c>
      <c r="D236" s="5" t="inlineStr">
        <is>
          <t>Semestral</t>
        </is>
      </c>
      <c r="E236" s="5" t="inlineStr">
        <is>
          <t>Positivo</t>
        </is>
      </c>
      <c r="F236" s="107" t="n">
        <v>45291</v>
      </c>
      <c r="G236" s="5" t="n">
        <v>2023</v>
      </c>
      <c r="H236" s="5" t="inlineStr">
        <is>
          <t>Diciembre</t>
        </is>
      </c>
      <c r="I236" s="6" t="inlineStr">
        <is>
          <t>2023-2</t>
        </is>
      </c>
      <c r="J236" s="5" t="n">
        <v>95</v>
      </c>
      <c r="K236" s="5" t="n">
        <v>87.66833333333349</v>
      </c>
      <c r="L236" s="14">
        <f>IFERROR(IF(OR(J236=0,K236=""),"",IF(E236="Positivo",MIN(MAX(K236/J236,0),1.3),MIN(MAX(J236/K236,0),1.3))),"") </f>
        <v/>
      </c>
      <c r="M236" s="14">
        <f>IFERROR(IF(OR(J236=0,K236=""),"",IF(E236="Positivo",MAX(K236/J236,0),MAX(J236/K236,0))),"") </f>
        <v/>
      </c>
      <c r="N236" s="5" t="inlineStr">
        <is>
          <t>%</t>
        </is>
      </c>
      <c r="O236" s="5" t="inlineStr">
        <is>
          <t>%</t>
        </is>
      </c>
      <c r="P236" s="5" t="n">
        <v>0</v>
      </c>
      <c r="Q236" s="5" t="n">
        <v>0</v>
      </c>
      <c r="R236" s="5" t="inlineStr">
        <is>
          <t>199-2023-12-31</t>
        </is>
      </c>
    </row>
    <row r="237">
      <c r="A237" s="5" t="n">
        <v>199</v>
      </c>
      <c r="B237" s="5" t="inlineStr">
        <is>
          <t>Nivel de cumplimiento de eficacia las capacitaciones</t>
        </is>
      </c>
      <c r="C237" s="5" t="inlineStr">
        <is>
          <t>GESTIÓN Y DESARROLLO DEL TALENTO HUMANO</t>
        </is>
      </c>
      <c r="D237" s="5" t="inlineStr">
        <is>
          <t>Semestral</t>
        </is>
      </c>
      <c r="E237" s="5" t="inlineStr">
        <is>
          <t>Positivo</t>
        </is>
      </c>
      <c r="F237" s="107" t="n">
        <v>45657</v>
      </c>
      <c r="G237" s="5" t="n">
        <v>2024</v>
      </c>
      <c r="H237" s="5" t="inlineStr">
        <is>
          <t>Diciembre</t>
        </is>
      </c>
      <c r="I237" s="6" t="inlineStr">
        <is>
          <t>2024-2</t>
        </is>
      </c>
      <c r="J237" s="5" t="n">
        <v>70</v>
      </c>
      <c r="K237" s="5" t="n">
        <v>92.5</v>
      </c>
      <c r="L237" s="14">
        <f>IFERROR(IF(OR(J237=0,K237=""),"",IF(E237="Positivo",MIN(MAX(K237/J237,0),1.3),MIN(MAX(J237/K237,0),1.3))),"") </f>
        <v/>
      </c>
      <c r="M237" s="14">
        <f>IFERROR(IF(OR(J237=0,K237=""),"",IF(E237="Positivo",MAX(K237/J237,0),MAX(J237/K237,0))),"") </f>
        <v/>
      </c>
      <c r="N237" s="5" t="inlineStr">
        <is>
          <t>%</t>
        </is>
      </c>
      <c r="O237" s="5" t="inlineStr">
        <is>
          <t>%</t>
        </is>
      </c>
      <c r="P237" s="5" t="n">
        <v>0</v>
      </c>
      <c r="Q237" s="5" t="n">
        <v>0</v>
      </c>
      <c r="R237" s="5" t="inlineStr">
        <is>
          <t>199-2024-12-31</t>
        </is>
      </c>
    </row>
    <row r="238">
      <c r="A238" s="5" t="n">
        <v>199</v>
      </c>
      <c r="B238" s="5" t="inlineStr">
        <is>
          <t>Nivel de cumplimiento de eficacia las capacitaciones</t>
        </is>
      </c>
      <c r="C238" s="5" t="inlineStr">
        <is>
          <t>GESTIÓN Y DESARROLLO DEL TALENTO HUMANO</t>
        </is>
      </c>
      <c r="D238" s="5" t="inlineStr">
        <is>
          <t>Trimestral</t>
        </is>
      </c>
      <c r="E238" s="5" t="inlineStr">
        <is>
          <t>Positivo</t>
        </is>
      </c>
      <c r="F238" s="107" t="n">
        <v>46022</v>
      </c>
      <c r="G238" s="5" t="n">
        <v>2025</v>
      </c>
      <c r="H238" s="5" t="inlineStr">
        <is>
          <t>Diciembre</t>
        </is>
      </c>
      <c r="I238" s="6" t="inlineStr">
        <is>
          <t>2025-2</t>
        </is>
      </c>
      <c r="J238" s="5" t="n">
        <v>80</v>
      </c>
      <c r="K238" s="5" t="n">
        <v>92.495</v>
      </c>
      <c r="L238" s="14">
        <f>IFERROR(IF(OR(J238=0,K238=""),"",IF(E238="Positivo",MIN(MAX(K238/J238,0),1.3),MIN(MAX(J238/K238,0),1.3))),"") </f>
        <v/>
      </c>
      <c r="M238" s="14">
        <f>IFERROR(IF(OR(J238=0,K238=""),"",IF(E238="Positivo",MAX(K238/J238,0),MAX(J238/K238,0))),"") </f>
        <v/>
      </c>
      <c r="N238" s="5" t="inlineStr">
        <is>
          <t>%</t>
        </is>
      </c>
      <c r="O238" s="5" t="inlineStr">
        <is>
          <t>%</t>
        </is>
      </c>
      <c r="P238" s="5" t="n">
        <v>0</v>
      </c>
      <c r="Q238" s="5" t="n">
        <v>0</v>
      </c>
      <c r="R238" s="5" t="inlineStr">
        <is>
          <t>199-2025-12-31</t>
        </is>
      </c>
    </row>
    <row r="239">
      <c r="A239" s="5" t="n">
        <v>200</v>
      </c>
      <c r="B239" s="5" t="inlineStr">
        <is>
          <t>Nivel de efectividad de las capacitaciones</t>
        </is>
      </c>
      <c r="C239" s="5" t="inlineStr">
        <is>
          <t>GESTIÓN Y DESARROLLO DEL TALENTO HUMANO</t>
        </is>
      </c>
      <c r="D239" s="5" t="inlineStr">
        <is>
          <t>Anual</t>
        </is>
      </c>
      <c r="E239" s="5" t="inlineStr">
        <is>
          <t>Positivo</t>
        </is>
      </c>
      <c r="F239" s="107" t="n">
        <v>44926</v>
      </c>
      <c r="G239" s="5" t="n">
        <v>2022</v>
      </c>
      <c r="H239" s="5" t="inlineStr">
        <is>
          <t>Diciembre</t>
        </is>
      </c>
      <c r="I239" s="6" t="inlineStr">
        <is>
          <t>2022-2</t>
        </is>
      </c>
      <c r="J239" s="5" t="n">
        <v>70</v>
      </c>
      <c r="K239" s="5" t="n"/>
      <c r="L239" s="14" t="n"/>
      <c r="M239" s="14" t="n"/>
      <c r="N239" s="5" t="inlineStr">
        <is>
          <t>%</t>
        </is>
      </c>
      <c r="O239" s="5" t="inlineStr">
        <is>
          <t>No Aplica</t>
        </is>
      </c>
      <c r="P239" s="5" t="n">
        <v>0</v>
      </c>
      <c r="Q239" s="5" t="n">
        <v>1</v>
      </c>
      <c r="R239" s="5" t="inlineStr">
        <is>
          <t>200-2022-12-31</t>
        </is>
      </c>
      <c r="S239" t="inlineStr">
        <is>
          <t>No Aplica</t>
        </is>
      </c>
    </row>
    <row r="240">
      <c r="A240" s="5" t="n">
        <v>200</v>
      </c>
      <c r="B240" s="5" t="inlineStr">
        <is>
          <t>Nivel de efectividad de las capacitaciones</t>
        </is>
      </c>
      <c r="C240" s="5" t="inlineStr">
        <is>
          <t>GESTIÓN Y DESARROLLO DEL TALENTO HUMANO</t>
        </is>
      </c>
      <c r="D240" s="5" t="inlineStr">
        <is>
          <t>Anual</t>
        </is>
      </c>
      <c r="E240" s="5" t="inlineStr">
        <is>
          <t>Positivo</t>
        </is>
      </c>
      <c r="F240" s="107" t="n">
        <v>45291</v>
      </c>
      <c r="G240" s="5" t="n">
        <v>2023</v>
      </c>
      <c r="H240" s="5" t="inlineStr">
        <is>
          <t>Diciembre</t>
        </is>
      </c>
      <c r="I240" s="6" t="inlineStr">
        <is>
          <t>2023-2</t>
        </is>
      </c>
      <c r="J240" s="5" t="n">
        <v>70</v>
      </c>
      <c r="K240" s="5" t="n">
        <v>90</v>
      </c>
      <c r="L240" s="14">
        <f>IFERROR(IF(OR(J240=0,K240=""),"",IF(E240="Positivo",MIN(MAX(K240/J240,0),1.3),MIN(MAX(J240/K240,0),1.3))),"") </f>
        <v/>
      </c>
      <c r="M240" s="14">
        <f>IFERROR(IF(OR(J240=0,K240=""),"",IF(E240="Positivo",MAX(K240/J240,0),MAX(J240/K240,0))),"") </f>
        <v/>
      </c>
      <c r="N240" s="5" t="inlineStr">
        <is>
          <t>Linea Base</t>
        </is>
      </c>
      <c r="O240" s="5" t="inlineStr">
        <is>
          <t>%</t>
        </is>
      </c>
      <c r="P240" s="5" t="n">
        <v>0</v>
      </c>
      <c r="Q240" s="5" t="n">
        <v>0</v>
      </c>
      <c r="R240" s="5" t="inlineStr">
        <is>
          <t>200-2023-12-31</t>
        </is>
      </c>
    </row>
    <row r="241">
      <c r="A241" s="5" t="n">
        <v>200</v>
      </c>
      <c r="B241" s="5" t="inlineStr">
        <is>
          <t>Nivel de efectividad de las capacitaciones</t>
        </is>
      </c>
      <c r="C241" s="5" t="inlineStr">
        <is>
          <t>GESTIÓN Y DESARROLLO DEL TALENTO HUMANO</t>
        </is>
      </c>
      <c r="D241" s="5" t="inlineStr">
        <is>
          <t>Anual</t>
        </is>
      </c>
      <c r="E241" s="5" t="inlineStr">
        <is>
          <t>Positivo</t>
        </is>
      </c>
      <c r="F241" s="107" t="n">
        <v>45657</v>
      </c>
      <c r="G241" s="5" t="n">
        <v>2024</v>
      </c>
      <c r="H241" s="5" t="inlineStr">
        <is>
          <t>Diciembre</t>
        </is>
      </c>
      <c r="I241" s="6" t="inlineStr">
        <is>
          <t>2024-2</t>
        </is>
      </c>
      <c r="J241" s="5" t="n">
        <v>80</v>
      </c>
      <c r="K241" s="5" t="n">
        <v>87.40000000000001</v>
      </c>
      <c r="L241" s="14">
        <f>IFERROR(IF(OR(J241=0,K241=""),"",IF(E241="Positivo",MIN(MAX(K241/J241,0),1.3),MIN(MAX(J241/K241,0),1.3))),"") </f>
        <v/>
      </c>
      <c r="M241" s="14">
        <f>IFERROR(IF(OR(J241=0,K241=""),"",IF(E241="Positivo",MAX(K241/J241,0),MAX(J241/K241,0))),"") </f>
        <v/>
      </c>
      <c r="N241" s="5" t="inlineStr">
        <is>
          <t>%</t>
        </is>
      </c>
      <c r="O241" s="5" t="inlineStr">
        <is>
          <t>%</t>
        </is>
      </c>
      <c r="P241" s="5" t="n">
        <v>0</v>
      </c>
      <c r="Q241" s="5" t="n">
        <v>1</v>
      </c>
      <c r="R241" s="5" t="inlineStr">
        <is>
          <t>200-2024-12-31</t>
        </is>
      </c>
    </row>
    <row r="242">
      <c r="A242" s="5" t="n">
        <v>200</v>
      </c>
      <c r="B242" s="5" t="inlineStr">
        <is>
          <t>Nivel de efectividad de las capacitaciones</t>
        </is>
      </c>
      <c r="C242" s="5" t="inlineStr">
        <is>
          <t>GESTIÓN Y DESARROLLO DEL TALENTO HUMANO</t>
        </is>
      </c>
      <c r="D242" s="5" t="inlineStr">
        <is>
          <t>Anual</t>
        </is>
      </c>
      <c r="E242" s="5" t="inlineStr">
        <is>
          <t>Positivo</t>
        </is>
      </c>
      <c r="F242" s="107" t="n">
        <v>46022</v>
      </c>
      <c r="G242" s="5" t="n">
        <v>2025</v>
      </c>
      <c r="H242" s="5" t="inlineStr">
        <is>
          <t>Diciembre</t>
        </is>
      </c>
      <c r="I242" s="6" t="inlineStr">
        <is>
          <t>2025-2</t>
        </is>
      </c>
      <c r="J242" s="5" t="n">
        <v>87</v>
      </c>
      <c r="K242" s="5" t="n">
        <v>90.84999999999999</v>
      </c>
      <c r="L242" s="14">
        <f>IFERROR(IF(OR(J242=0,K242=""),"",IF(E242="Positivo",MIN(MAX(K242/J242,0),1.3),MIN(MAX(J242/K242,0),1.3))),"") </f>
        <v/>
      </c>
      <c r="M242" s="14">
        <f>IFERROR(IF(OR(J242=0,K242=""),"",IF(E242="Positivo",MAX(K242/J242,0),MAX(J242/K242,0))),"") </f>
        <v/>
      </c>
      <c r="N242" s="5" t="inlineStr">
        <is>
          <t>%</t>
        </is>
      </c>
      <c r="O242" s="5" t="inlineStr">
        <is>
          <t>%</t>
        </is>
      </c>
      <c r="P242" s="5" t="n">
        <v>0</v>
      </c>
      <c r="Q242" s="5" t="n">
        <v>1</v>
      </c>
      <c r="R242" s="5" t="inlineStr">
        <is>
          <t>200-2025-12-31</t>
        </is>
      </c>
    </row>
    <row r="243">
      <c r="A243" s="5" t="n">
        <v>202</v>
      </c>
      <c r="B243" s="5" t="inlineStr">
        <is>
          <t>Great Place to Work</t>
        </is>
      </c>
      <c r="C243" s="5" t="inlineStr">
        <is>
          <t>GESTIÓN Y DESARROLLO DEL TALENTO HUMANO</t>
        </is>
      </c>
      <c r="D243" s="5" t="inlineStr">
        <is>
          <t>Anual</t>
        </is>
      </c>
      <c r="E243" s="5" t="inlineStr">
        <is>
          <t>Positivo</t>
        </is>
      </c>
      <c r="F243" s="107" t="n">
        <v>45291</v>
      </c>
      <c r="G243" s="5" t="n">
        <v>2023</v>
      </c>
      <c r="H243" s="5" t="inlineStr">
        <is>
          <t>Diciembre</t>
        </is>
      </c>
      <c r="I243" s="6" t="inlineStr">
        <is>
          <t>2023-2</t>
        </is>
      </c>
      <c r="J243" s="5" t="n">
        <v>66</v>
      </c>
      <c r="K243" s="5" t="n">
        <v>64.7</v>
      </c>
      <c r="L243" s="14">
        <f>IFERROR(IF(OR(J243=0,K243=""),"",IF(E243="Positivo",MIN(MAX(K243/J243,0),1.3),MIN(MAX(J243/K243,0),1.3))),"") </f>
        <v/>
      </c>
      <c r="M243" s="14">
        <f>IFERROR(IF(OR(J243=0,K243=""),"",IF(E243="Positivo",MAX(K243/J243,0),MAX(J243/K243,0))),"") </f>
        <v/>
      </c>
      <c r="N243" s="5" t="inlineStr">
        <is>
          <t>ENT</t>
        </is>
      </c>
      <c r="O243" s="5" t="inlineStr">
        <is>
          <t>DEC</t>
        </is>
      </c>
      <c r="P243" s="5" t="n">
        <v>0</v>
      </c>
      <c r="Q243" s="5" t="n">
        <v>1</v>
      </c>
      <c r="R243" s="5" t="inlineStr">
        <is>
          <t>202-2023-12-31</t>
        </is>
      </c>
    </row>
    <row r="244">
      <c r="A244" s="5" t="n">
        <v>202</v>
      </c>
      <c r="B244" s="5" t="inlineStr">
        <is>
          <t>Great Place to Work</t>
        </is>
      </c>
      <c r="C244" s="5" t="inlineStr">
        <is>
          <t>GESTIÓN Y DESARROLLO DEL TALENTO HUMANO</t>
        </is>
      </c>
      <c r="D244" s="5" t="inlineStr">
        <is>
          <t>Anual</t>
        </is>
      </c>
      <c r="E244" s="5" t="inlineStr">
        <is>
          <t>Positivo</t>
        </is>
      </c>
      <c r="F244" s="107" t="n">
        <v>45657</v>
      </c>
      <c r="G244" s="5" t="n">
        <v>2024</v>
      </c>
      <c r="H244" s="5" t="inlineStr">
        <is>
          <t>Diciembre</t>
        </is>
      </c>
      <c r="I244" s="6" t="inlineStr">
        <is>
          <t>2024-2</t>
        </is>
      </c>
      <c r="J244" s="5" t="n"/>
      <c r="K244" s="5" t="n">
        <v>0</v>
      </c>
      <c r="L244" s="14" t="n"/>
      <c r="M244" s="14" t="n"/>
      <c r="N244" s="5" t="inlineStr">
        <is>
          <t>DEC</t>
        </is>
      </c>
      <c r="O244" s="5" t="inlineStr">
        <is>
          <t>DEC</t>
        </is>
      </c>
      <c r="P244" s="5" t="n">
        <v>1</v>
      </c>
      <c r="Q244" s="5" t="n">
        <v>0</v>
      </c>
      <c r="R244" s="5" t="inlineStr">
        <is>
          <t>202-2024-12-31</t>
        </is>
      </c>
    </row>
    <row r="245">
      <c r="A245" s="5" t="n">
        <v>202</v>
      </c>
      <c r="B245" s="5" t="inlineStr">
        <is>
          <t>Great Place to Work</t>
        </is>
      </c>
      <c r="C245" s="5" t="inlineStr">
        <is>
          <t>GESTIÓN Y DESARROLLO DEL TALENTO HUMANO</t>
        </is>
      </c>
      <c r="D245" s="5" t="inlineStr">
        <is>
          <t>Anual</t>
        </is>
      </c>
      <c r="E245" s="5" t="inlineStr">
        <is>
          <t>Positivo</t>
        </is>
      </c>
      <c r="F245" s="107" t="n">
        <v>46022</v>
      </c>
      <c r="G245" s="5" t="n">
        <v>2025</v>
      </c>
      <c r="H245" s="5" t="inlineStr">
        <is>
          <t>Diciembre</t>
        </is>
      </c>
      <c r="I245" s="6" t="inlineStr">
        <is>
          <t>2025-2</t>
        </is>
      </c>
      <c r="J245" s="73" t="n">
        <v>68.7</v>
      </c>
      <c r="K245" s="9" t="n">
        <v>81</v>
      </c>
      <c r="L245" s="14">
        <f>IFERROR(IF(OR(J245=0,K245=""),"",IF(E245="Positivo",MIN(MAX(K245/J245,0),1.3),MIN(MAX(J245/K245,0),1.3))),"") </f>
        <v/>
      </c>
      <c r="M245" s="14">
        <f>IFERROR(IF(OR(J245=0,K245=""),"",IF(E245="Positivo",MAX(K245/J245,0),MAX(J245/K245,0))),"") </f>
        <v/>
      </c>
      <c r="N245" s="5" t="inlineStr">
        <is>
          <t>DEC</t>
        </is>
      </c>
      <c r="O245" s="5" t="inlineStr">
        <is>
          <t>DEC</t>
        </is>
      </c>
      <c r="P245" s="5" t="n">
        <v>1</v>
      </c>
      <c r="Q245" s="5" t="n">
        <v>0</v>
      </c>
      <c r="R245" s="5" t="inlineStr">
        <is>
          <t>202-2025-12-31</t>
        </is>
      </c>
    </row>
    <row r="246">
      <c r="A246" s="5" t="n">
        <v>203</v>
      </c>
      <c r="B246" s="5" t="inlineStr">
        <is>
          <t>Cumplimiento de Ingresos</t>
        </is>
      </c>
      <c r="C246" s="5" t="inlineStr">
        <is>
          <t>Planeación Financiera</t>
        </is>
      </c>
      <c r="D246" s="5" t="inlineStr">
        <is>
          <t>Semestral</t>
        </is>
      </c>
      <c r="E246" s="5" t="inlineStr">
        <is>
          <t>Positivo</t>
        </is>
      </c>
      <c r="F246" s="107" t="n">
        <v>44926</v>
      </c>
      <c r="G246" s="5" t="n">
        <v>2022</v>
      </c>
      <c r="H246" s="5" t="inlineStr">
        <is>
          <t>Diciembre</t>
        </is>
      </c>
      <c r="I246" s="6" t="inlineStr">
        <is>
          <t>2022-2</t>
        </is>
      </c>
      <c r="J246" s="5" t="n">
        <v>224440</v>
      </c>
      <c r="K246" s="5" t="n">
        <v>241706</v>
      </c>
      <c r="L246" s="14">
        <f>IFERROR(IF(OR(J246=0,K246=""),"",IF(E246="Positivo",MIN(MAX(K246/J246,0),1.3),MIN(MAX(J246/K246,0),1.3))),"") </f>
        <v/>
      </c>
      <c r="M246" s="14">
        <f>IFERROR(IF(OR(J246=0,K246=""),"",IF(E246="Positivo",MAX(K246/J246,0),MAX(J246/K246,0))),"") </f>
        <v/>
      </c>
      <c r="N246" s="5" t="inlineStr">
        <is>
          <t>$</t>
        </is>
      </c>
      <c r="O246" s="5" t="inlineStr">
        <is>
          <t>$</t>
        </is>
      </c>
      <c r="P246" s="5" t="n">
        <v>0</v>
      </c>
      <c r="Q246" s="5" t="n">
        <v>0</v>
      </c>
      <c r="R246" s="5" t="inlineStr">
        <is>
          <t>203-2022-12-31</t>
        </is>
      </c>
    </row>
    <row r="247">
      <c r="A247" s="5" t="n">
        <v>203</v>
      </c>
      <c r="B247" s="5" t="inlineStr">
        <is>
          <t>Cumplimiento de Ingresos</t>
        </is>
      </c>
      <c r="C247" s="5" t="inlineStr">
        <is>
          <t>Planeación Financiera</t>
        </is>
      </c>
      <c r="D247" s="5" t="inlineStr">
        <is>
          <t>Semestral</t>
        </is>
      </c>
      <c r="E247" s="5" t="inlineStr">
        <is>
          <t>Positivo</t>
        </is>
      </c>
      <c r="F247" s="107" t="n">
        <v>45291</v>
      </c>
      <c r="G247" s="5" t="n">
        <v>2023</v>
      </c>
      <c r="H247" s="5" t="inlineStr">
        <is>
          <t>Diciembre</t>
        </is>
      </c>
      <c r="I247" s="6" t="inlineStr">
        <is>
          <t>2023-2</t>
        </is>
      </c>
      <c r="J247" s="5" t="n">
        <v>95</v>
      </c>
      <c r="K247" s="5" t="n">
        <v>103.36740380481</v>
      </c>
      <c r="L247" s="14">
        <f>IFERROR(IF(OR(J247=0,K247=""),"",IF(E247="Positivo",MIN(MAX(K247/J247,0),1.3),MIN(MAX(J247/K247,0),1.3))),"") </f>
        <v/>
      </c>
      <c r="M247" s="14">
        <f>IFERROR(IF(OR(J247=0,K247=""),"",IF(E247="Positivo",MAX(K247/J247,0),MAX(J247/K247,0))),"") </f>
        <v/>
      </c>
      <c r="N247" s="5" t="inlineStr">
        <is>
          <t>$</t>
        </is>
      </c>
      <c r="O247" s="5" t="inlineStr">
        <is>
          <t>$</t>
        </is>
      </c>
      <c r="P247" s="5" t="n">
        <v>0</v>
      </c>
      <c r="Q247" s="5" t="n">
        <v>0</v>
      </c>
      <c r="R247" s="5" t="inlineStr">
        <is>
          <t>203-2023-12-31</t>
        </is>
      </c>
    </row>
    <row r="248">
      <c r="A248" s="5" t="n">
        <v>203</v>
      </c>
      <c r="B248" s="5" t="inlineStr">
        <is>
          <t>Cumplimiento de Ingresos</t>
        </is>
      </c>
      <c r="C248" s="5" t="inlineStr">
        <is>
          <t>Planeación Financiera</t>
        </is>
      </c>
      <c r="D248" s="5" t="inlineStr">
        <is>
          <t>Semestral</t>
        </is>
      </c>
      <c r="E248" s="5" t="inlineStr">
        <is>
          <t>Positivo</t>
        </is>
      </c>
      <c r="F248" s="107" t="n">
        <v>45657</v>
      </c>
      <c r="G248" s="5" t="n">
        <v>2024</v>
      </c>
      <c r="H248" s="5" t="inlineStr">
        <is>
          <t>Diciembre</t>
        </is>
      </c>
      <c r="I248" s="6" t="inlineStr">
        <is>
          <t>2024-2</t>
        </is>
      </c>
      <c r="J248" s="5" t="n">
        <v>95</v>
      </c>
      <c r="K248" s="10" t="n">
        <v>102.84</v>
      </c>
      <c r="L248" s="14">
        <f>IFERROR(IF(OR(J248=0,K248=""),"",IF(E248="Positivo",MIN(MAX(K248/J248,0),1.3),MIN(MAX(J248/K248,0),1.3))),"") </f>
        <v/>
      </c>
      <c r="M248" s="14">
        <f>IFERROR(IF(OR(J248=0,K248=""),"",IF(E248="Positivo",MAX(K248/J248,0),MAX(J248/K248,0))),"") </f>
        <v/>
      </c>
      <c r="N248" s="5" t="inlineStr">
        <is>
          <t>$</t>
        </is>
      </c>
      <c r="O248" s="5" t="inlineStr">
        <is>
          <t>$</t>
        </is>
      </c>
      <c r="P248" s="5" t="n">
        <v>0</v>
      </c>
      <c r="Q248" s="5" t="n">
        <v>0</v>
      </c>
      <c r="R248" s="5" t="inlineStr">
        <is>
          <t>203-2024-12-31</t>
        </is>
      </c>
    </row>
    <row r="249">
      <c r="A249" s="5" t="n">
        <v>203</v>
      </c>
      <c r="B249" s="5" t="inlineStr">
        <is>
          <t>Cumplimiento de Ingresos</t>
        </is>
      </c>
      <c r="C249" s="5" t="inlineStr">
        <is>
          <t>Planeación Financiera</t>
        </is>
      </c>
      <c r="D249" s="5" t="inlineStr">
        <is>
          <t>Semestral</t>
        </is>
      </c>
      <c r="E249" s="5" t="inlineStr">
        <is>
          <t>Positivo</t>
        </is>
      </c>
      <c r="F249" s="107" t="n">
        <v>46022</v>
      </c>
      <c r="G249" s="5" t="n">
        <v>2025</v>
      </c>
      <c r="H249" s="5" t="inlineStr">
        <is>
          <t>Diciembre</t>
        </is>
      </c>
      <c r="I249" s="6" t="inlineStr">
        <is>
          <t>2025-2</t>
        </is>
      </c>
      <c r="J249" s="5" t="n">
        <v>95</v>
      </c>
      <c r="K249" s="5" t="n">
        <v>111.33</v>
      </c>
      <c r="L249" s="14">
        <f>IFERROR(IF(OR(J249=0,K249=""),"",IF(E249="Positivo",MIN(MAX(K249/J249,0),1.3),MIN(MAX(J249/K249,0),1.3))),"") </f>
        <v/>
      </c>
      <c r="M249" s="14">
        <f>IFERROR(IF(OR(J249=0,K249=""),"",IF(E249="Positivo",MAX(K249/J249,0),MAX(J249/K249,0))),"") </f>
        <v/>
      </c>
      <c r="N249" s="5" t="inlineStr">
        <is>
          <t>$</t>
        </is>
      </c>
      <c r="O249" s="5" t="inlineStr">
        <is>
          <t>$</t>
        </is>
      </c>
      <c r="P249" s="5" t="n">
        <v>0</v>
      </c>
      <c r="Q249" s="5" t="n">
        <v>0</v>
      </c>
      <c r="R249" s="5" t="inlineStr">
        <is>
          <t>203-2025-12-31</t>
        </is>
      </c>
    </row>
    <row r="250">
      <c r="A250" s="5" t="n">
        <v>204</v>
      </c>
      <c r="B250" s="5" t="inlineStr">
        <is>
          <t>Caja</t>
        </is>
      </c>
      <c r="C250" s="5" t="inlineStr">
        <is>
          <t>Planeación Financiera</t>
        </is>
      </c>
      <c r="D250" s="5" t="inlineStr">
        <is>
          <t>Semestral</t>
        </is>
      </c>
      <c r="E250" s="5" t="inlineStr">
        <is>
          <t>Positivo</t>
        </is>
      </c>
      <c r="F250" s="107" t="n">
        <v>44925</v>
      </c>
      <c r="G250" s="5" t="n">
        <v>2022</v>
      </c>
      <c r="H250" s="5" t="inlineStr">
        <is>
          <t>Diciembre</t>
        </is>
      </c>
      <c r="I250" s="6" t="inlineStr">
        <is>
          <t>2022-2</t>
        </is>
      </c>
      <c r="J250" s="5" t="n">
        <v>82987</v>
      </c>
      <c r="K250" s="5" t="n">
        <v>18386</v>
      </c>
      <c r="L250" s="14">
        <f>IFERROR(IF(OR(J250=0,K250=""),"",IF(E250="Positivo",MIN(MAX(K250/J250,0),1.3),MIN(MAX(J250/K250,0),1.3))),"") </f>
        <v/>
      </c>
      <c r="M250" s="14">
        <f>IFERROR(IF(OR(J250=0,K250=""),"",IF(E250="Positivo",MAX(K250/J250,0),MAX(J250/K250,0))),"") </f>
        <v/>
      </c>
      <c r="N250" s="5" t="inlineStr">
        <is>
          <t>$</t>
        </is>
      </c>
      <c r="O250" s="5" t="inlineStr">
        <is>
          <t>$</t>
        </is>
      </c>
      <c r="P250" s="5" t="n">
        <v>0</v>
      </c>
      <c r="Q250" s="5" t="n">
        <v>0</v>
      </c>
      <c r="R250" s="5" t="inlineStr">
        <is>
          <t>204-2022-12-30</t>
        </is>
      </c>
    </row>
    <row r="251">
      <c r="A251" s="5" t="n">
        <v>204</v>
      </c>
      <c r="B251" s="5" t="inlineStr">
        <is>
          <t>Caja</t>
        </is>
      </c>
      <c r="C251" s="5" t="inlineStr">
        <is>
          <t>Planeación Financiera</t>
        </is>
      </c>
      <c r="D251" s="5" t="inlineStr">
        <is>
          <t>Semestral</t>
        </is>
      </c>
      <c r="E251" s="5" t="inlineStr">
        <is>
          <t>Positivo</t>
        </is>
      </c>
      <c r="F251" s="107" t="n">
        <v>45291</v>
      </c>
      <c r="G251" s="5" t="n">
        <v>2023</v>
      </c>
      <c r="H251" s="5" t="inlineStr">
        <is>
          <t>Diciembre</t>
        </is>
      </c>
      <c r="I251" s="6" t="inlineStr">
        <is>
          <t>2023-2</t>
        </is>
      </c>
      <c r="J251" s="73" t="n">
        <v>95</v>
      </c>
      <c r="K251" s="9" t="n">
        <v>162.37</v>
      </c>
      <c r="L251" s="14">
        <f>IFERROR(IF(OR(J251=0,K251=""),"",IF(E251="Positivo",MIN(MAX(K251/J251,0),1.3),MIN(MAX(J251/K251,0),1.3))),"") </f>
        <v/>
      </c>
      <c r="M251" s="14">
        <f>IFERROR(IF(OR(J251=0,K251=""),"",IF(E251="Positivo",MAX(K251/J251,0),MAX(J251/K251,0))),"") </f>
        <v/>
      </c>
      <c r="N251" s="5" t="inlineStr">
        <is>
          <t>$</t>
        </is>
      </c>
      <c r="O251" s="5" t="inlineStr">
        <is>
          <t>$</t>
        </is>
      </c>
      <c r="P251" s="5" t="n">
        <v>0</v>
      </c>
      <c r="Q251" s="5" t="n">
        <v>0</v>
      </c>
      <c r="R251" s="5" t="inlineStr">
        <is>
          <t>204-2023-12-31</t>
        </is>
      </c>
    </row>
    <row r="252">
      <c r="A252" s="5" t="n">
        <v>204</v>
      </c>
      <c r="B252" s="5" t="inlineStr">
        <is>
          <t>Caja</t>
        </is>
      </c>
      <c r="C252" s="5" t="inlineStr">
        <is>
          <t>Planeación Financiera</t>
        </is>
      </c>
      <c r="D252" s="5" t="inlineStr">
        <is>
          <t>Semestral</t>
        </is>
      </c>
      <c r="E252" s="5" t="inlineStr">
        <is>
          <t>Positivo</t>
        </is>
      </c>
      <c r="F252" s="107" t="n">
        <v>45657</v>
      </c>
      <c r="G252" s="5" t="n">
        <v>2024</v>
      </c>
      <c r="H252" s="5" t="inlineStr">
        <is>
          <t>Diciembre</t>
        </is>
      </c>
      <c r="I252" s="6" t="inlineStr">
        <is>
          <t>2024-2</t>
        </is>
      </c>
      <c r="J252" s="5" t="n">
        <v>95</v>
      </c>
      <c r="K252" s="5" t="n">
        <v>144.53</v>
      </c>
      <c r="L252" s="14">
        <f>IFERROR(IF(OR(J252=0,K252=""),"",IF(E252="Positivo",MIN(MAX(K252/J252,0),1.3),MIN(MAX(J252/K252,0),1.3))),"") </f>
        <v/>
      </c>
      <c r="M252" s="14">
        <f>IFERROR(IF(OR(J252=0,K252=""),"",IF(E252="Positivo",MAX(K252/J252,0),MAX(J252/K252,0))),"") </f>
        <v/>
      </c>
      <c r="N252" s="5" t="inlineStr">
        <is>
          <t>$</t>
        </is>
      </c>
      <c r="O252" s="5" t="inlineStr">
        <is>
          <t>$</t>
        </is>
      </c>
      <c r="P252" s="5" t="n">
        <v>0</v>
      </c>
      <c r="Q252" s="5" t="n">
        <v>0</v>
      </c>
      <c r="R252" s="5" t="inlineStr">
        <is>
          <t>204-2024-12-31</t>
        </is>
      </c>
    </row>
    <row r="253">
      <c r="A253" s="5" t="n">
        <v>204</v>
      </c>
      <c r="B253" s="5" t="inlineStr">
        <is>
          <t>Caja</t>
        </is>
      </c>
      <c r="C253" s="5" t="inlineStr">
        <is>
          <t>Planeación Financiera</t>
        </is>
      </c>
      <c r="D253" s="5" t="inlineStr">
        <is>
          <t>Semestral</t>
        </is>
      </c>
      <c r="E253" s="5" t="inlineStr">
        <is>
          <t>Positivo</t>
        </is>
      </c>
      <c r="F253" s="107" t="n">
        <v>46022</v>
      </c>
      <c r="G253" s="5" t="n">
        <v>2025</v>
      </c>
      <c r="H253" s="5" t="inlineStr">
        <is>
          <t>Diciembre</t>
        </is>
      </c>
      <c r="I253" s="6" t="inlineStr">
        <is>
          <t>2025-2</t>
        </is>
      </c>
      <c r="J253" s="5" t="n">
        <v>95</v>
      </c>
      <c r="K253" s="5" t="n">
        <v>152.24</v>
      </c>
      <c r="L253" s="14">
        <f>IFERROR(IF(OR(J253=0,K253=""),"",IF(E253="Positivo",MIN(MAX(K253/J253,0),1.3),MIN(MAX(J253/K253,0),1.3))),"") </f>
        <v/>
      </c>
      <c r="M253" s="14">
        <f>IFERROR(IF(OR(J253=0,K253=""),"",IF(E253="Positivo",MAX(K253/J253,0),MAX(J253/K253,0))),"") </f>
        <v/>
      </c>
      <c r="N253" s="5" t="inlineStr">
        <is>
          <t>$</t>
        </is>
      </c>
      <c r="O253" s="5" t="inlineStr">
        <is>
          <t>$</t>
        </is>
      </c>
      <c r="P253" s="5" t="n">
        <v>0</v>
      </c>
      <c r="Q253" s="5" t="n">
        <v>0</v>
      </c>
      <c r="R253" s="5" t="inlineStr">
        <is>
          <t>204-2025-12-31</t>
        </is>
      </c>
    </row>
    <row r="254">
      <c r="A254" s="5" t="n">
        <v>205</v>
      </c>
      <c r="B254" s="5" t="inlineStr">
        <is>
          <t>Utilidad Neta</t>
        </is>
      </c>
      <c r="C254" s="5" t="inlineStr">
        <is>
          <t>Planeación Financiera</t>
        </is>
      </c>
      <c r="D254" s="5" t="inlineStr">
        <is>
          <t>Semestral</t>
        </is>
      </c>
      <c r="E254" s="5" t="inlineStr">
        <is>
          <t>Positivo</t>
        </is>
      </c>
      <c r="F254" s="107" t="n">
        <v>44926</v>
      </c>
      <c r="G254" s="5" t="n">
        <v>2022</v>
      </c>
      <c r="H254" s="5" t="inlineStr">
        <is>
          <t>Diciembre</t>
        </is>
      </c>
      <c r="I254" s="6" t="inlineStr">
        <is>
          <t>2022-2</t>
        </is>
      </c>
      <c r="J254" s="5" t="n">
        <v>2605</v>
      </c>
      <c r="K254" s="5" t="n">
        <v>2605</v>
      </c>
      <c r="L254" s="14">
        <f>IFERROR(IF(OR(J254=0,K254=""),"",IF(E254="Positivo",MIN(MAX(K254/J254,0),1.3),MIN(MAX(J254/K254,0),1.3))),"") </f>
        <v/>
      </c>
      <c r="M254" s="14">
        <f>IFERROR(IF(OR(J254=0,K254=""),"",IF(E254="Positivo",MAX(K254/J254,0),MAX(J254/K254,0))),"") </f>
        <v/>
      </c>
      <c r="N254" s="5" t="inlineStr">
        <is>
          <t>$</t>
        </is>
      </c>
      <c r="O254" s="5" t="inlineStr">
        <is>
          <t>$</t>
        </is>
      </c>
      <c r="P254" s="5" t="n">
        <v>0</v>
      </c>
      <c r="Q254" s="5" t="n">
        <v>0</v>
      </c>
      <c r="R254" s="5" t="inlineStr">
        <is>
          <t>205-2022-12-31</t>
        </is>
      </c>
    </row>
    <row r="255">
      <c r="A255" s="5" t="n">
        <v>205</v>
      </c>
      <c r="B255" s="5" t="inlineStr">
        <is>
          <t>Utilidad Neta</t>
        </is>
      </c>
      <c r="C255" s="5" t="inlineStr">
        <is>
          <t>Planeación Financiera</t>
        </is>
      </c>
      <c r="D255" s="5" t="inlineStr">
        <is>
          <t>Semestral</t>
        </is>
      </c>
      <c r="E255" s="5" t="inlineStr">
        <is>
          <t>Positivo</t>
        </is>
      </c>
      <c r="F255" s="107" t="n">
        <v>45291</v>
      </c>
      <c r="G255" s="5" t="n">
        <v>2023</v>
      </c>
      <c r="H255" s="5" t="inlineStr">
        <is>
          <t>Diciembre</t>
        </is>
      </c>
      <c r="I255" s="6" t="inlineStr">
        <is>
          <t>2023-2</t>
        </is>
      </c>
      <c r="J255" s="5" t="n">
        <v>95</v>
      </c>
      <c r="K255" s="5" t="n">
        <v>426.51</v>
      </c>
      <c r="L255" s="14">
        <f>IFERROR(IF(OR(J255=0,K255=""),"",IF(E255="Positivo",MIN(MAX(K255/J255,0),1.3),MIN(MAX(J255/K255,0),1.3))),"") </f>
        <v/>
      </c>
      <c r="M255" s="14">
        <f>IFERROR(IF(OR(J255=0,K255=""),"",IF(E255="Positivo",MAX(K255/J255,0),MAX(J255/K255,0))),"") </f>
        <v/>
      </c>
      <c r="N255" s="5" t="inlineStr">
        <is>
          <t>$</t>
        </is>
      </c>
      <c r="O255" s="5" t="inlineStr">
        <is>
          <t>$</t>
        </is>
      </c>
      <c r="P255" s="5" t="n">
        <v>0</v>
      </c>
      <c r="Q255" s="5" t="n">
        <v>0</v>
      </c>
      <c r="R255" s="5" t="inlineStr">
        <is>
          <t>205-2023-12-31</t>
        </is>
      </c>
    </row>
    <row r="256">
      <c r="A256" s="5" t="n">
        <v>205</v>
      </c>
      <c r="B256" s="5" t="inlineStr">
        <is>
          <t>Utilidad Neta</t>
        </is>
      </c>
      <c r="C256" s="5" t="inlineStr">
        <is>
          <t>Planeación Financiera</t>
        </is>
      </c>
      <c r="D256" s="5" t="inlineStr">
        <is>
          <t>Semestral</t>
        </is>
      </c>
      <c r="E256" s="5" t="inlineStr">
        <is>
          <t>Positivo</t>
        </is>
      </c>
      <c r="F256" s="107" t="n">
        <v>45657</v>
      </c>
      <c r="G256" s="5" t="n">
        <v>2024</v>
      </c>
      <c r="H256" s="5" t="inlineStr">
        <is>
          <t>Diciembre</t>
        </is>
      </c>
      <c r="I256" s="6" t="inlineStr">
        <is>
          <t>2024-2</t>
        </is>
      </c>
      <c r="J256" s="5" t="n">
        <v>95</v>
      </c>
      <c r="K256" s="5" t="n">
        <v>184.72</v>
      </c>
      <c r="L256" s="14">
        <f>IFERROR(IF(OR(J256=0,K256=""),"",IF(E256="Positivo",MIN(MAX(K256/J256,0),1.3),MIN(MAX(J256/K256,0),1.3))),"") </f>
        <v/>
      </c>
      <c r="M256" s="14">
        <f>IFERROR(IF(OR(J256=0,K256=""),"",IF(E256="Positivo",MAX(K256/J256,0),MAX(J256/K256,0))),"") </f>
        <v/>
      </c>
      <c r="N256" s="5" t="inlineStr">
        <is>
          <t>$</t>
        </is>
      </c>
      <c r="O256" s="5" t="inlineStr">
        <is>
          <t>$</t>
        </is>
      </c>
      <c r="P256" s="5" t="n">
        <v>0</v>
      </c>
      <c r="Q256" s="5" t="n">
        <v>0</v>
      </c>
      <c r="R256" s="5" t="inlineStr">
        <is>
          <t>205-2024-12-31</t>
        </is>
      </c>
    </row>
    <row r="257">
      <c r="A257" s="5" t="n">
        <v>205</v>
      </c>
      <c r="B257" s="5" t="inlineStr">
        <is>
          <t>Utilidad Neta</t>
        </is>
      </c>
      <c r="C257" s="5" t="inlineStr">
        <is>
          <t>Planeación Financiera</t>
        </is>
      </c>
      <c r="D257" s="5" t="inlineStr">
        <is>
          <t>Semestral</t>
        </is>
      </c>
      <c r="E257" s="5" t="inlineStr">
        <is>
          <t>Positivo</t>
        </is>
      </c>
      <c r="F257" s="107" t="n">
        <v>46022</v>
      </c>
      <c r="G257" s="5" t="n">
        <v>2025</v>
      </c>
      <c r="H257" s="5" t="inlineStr">
        <is>
          <t>Diciembre</t>
        </is>
      </c>
      <c r="I257" s="6" t="inlineStr">
        <is>
          <t>2025-2</t>
        </is>
      </c>
      <c r="J257" s="5" t="n">
        <v>95</v>
      </c>
      <c r="K257" s="5" t="n">
        <v>123.05</v>
      </c>
      <c r="L257" s="14">
        <f>IFERROR(IF(OR(J257=0,K257=""),"",IF(E257="Positivo",MIN(MAX(K257/J257,0),1.3),MIN(MAX(J257/K257,0),1.3))),"") </f>
        <v/>
      </c>
      <c r="M257" s="14">
        <f>IFERROR(IF(OR(J257=0,K257=""),"",IF(E257="Positivo",MAX(K257/J257,0),MAX(J257/K257,0))),"") </f>
        <v/>
      </c>
      <c r="N257" s="5" t="inlineStr">
        <is>
          <t>$</t>
        </is>
      </c>
      <c r="O257" s="5" t="inlineStr">
        <is>
          <t>$</t>
        </is>
      </c>
      <c r="P257" s="5" t="n">
        <v>0</v>
      </c>
      <c r="Q257" s="5" t="n">
        <v>0</v>
      </c>
      <c r="R257" s="5" t="inlineStr">
        <is>
          <t>205-2025-12-31</t>
        </is>
      </c>
    </row>
    <row r="258">
      <c r="A258" s="5" t="n">
        <v>206</v>
      </c>
      <c r="B258" s="5" t="inlineStr">
        <is>
          <t>Inversión en CAPEX de la utilidad anterior (veces)</t>
        </is>
      </c>
      <c r="C258" s="5" t="inlineStr">
        <is>
          <t>Planeación Financiera</t>
        </is>
      </c>
      <c r="D258" s="5" t="inlineStr">
        <is>
          <t>Semestral</t>
        </is>
      </c>
      <c r="E258" s="5" t="inlineStr">
        <is>
          <t>Positivo</t>
        </is>
      </c>
      <c r="F258" s="107" t="n">
        <v>45291</v>
      </c>
      <c r="G258" s="5" t="n">
        <v>2023</v>
      </c>
      <c r="H258" s="5" t="inlineStr">
        <is>
          <t>Diciembre</t>
        </is>
      </c>
      <c r="I258" s="6" t="inlineStr">
        <is>
          <t>2023-2</t>
        </is>
      </c>
      <c r="J258" s="5" t="n">
        <v>1</v>
      </c>
      <c r="K258" s="5" t="n">
        <v>4.606790289121734</v>
      </c>
      <c r="L258" s="14">
        <f>IFERROR(IF(OR(J258=0,K258=""),"",IF(E258="Positivo",MIN(MAX(K258/J258,0),1.3),MIN(MAX(J258/K258,0),1.3))),"") </f>
        <v/>
      </c>
      <c r="M258" s="14">
        <f>IFERROR(IF(OR(J258=0,K258=""),"",IF(E258="Positivo",MAX(K258/J258,0),MAX(J258/K258,0))),"") </f>
        <v/>
      </c>
      <c r="N258" s="5" t="inlineStr">
        <is>
          <t>%</t>
        </is>
      </c>
      <c r="O258" s="5" t="inlineStr">
        <is>
          <t>%</t>
        </is>
      </c>
      <c r="P258" s="5" t="n">
        <v>0</v>
      </c>
      <c r="Q258" s="5" t="n">
        <v>2</v>
      </c>
      <c r="R258" s="5" t="inlineStr">
        <is>
          <t>206-2023-12-31</t>
        </is>
      </c>
    </row>
    <row r="259">
      <c r="A259" s="5" t="n">
        <v>206</v>
      </c>
      <c r="B259" s="5" t="inlineStr">
        <is>
          <t>Inversión en CAPEX de la utilidad anterior (veces)</t>
        </is>
      </c>
      <c r="C259" s="5" t="inlineStr">
        <is>
          <t>Planeación Financiera</t>
        </is>
      </c>
      <c r="D259" s="5" t="inlineStr">
        <is>
          <t>Semestral</t>
        </is>
      </c>
      <c r="E259" s="5" t="inlineStr">
        <is>
          <t>Positivo</t>
        </is>
      </c>
      <c r="F259" s="107" t="n">
        <v>45657</v>
      </c>
      <c r="G259" s="5" t="n">
        <v>2024</v>
      </c>
      <c r="H259" s="5" t="inlineStr">
        <is>
          <t>Diciembre</t>
        </is>
      </c>
      <c r="I259" s="6" t="inlineStr">
        <is>
          <t>2024-2</t>
        </is>
      </c>
      <c r="J259" s="5" t="n">
        <v>1</v>
      </c>
      <c r="K259" s="5" t="n">
        <v>1.37</v>
      </c>
      <c r="L259" s="14">
        <f>IFERROR(IF(OR(J259=0,K259=""),"",IF(E259="Positivo",MIN(MAX(K259/J259,0),1.3),MIN(MAX(J259/K259,0),1.3))),"") </f>
        <v/>
      </c>
      <c r="M259" s="14">
        <f>IFERROR(IF(OR(J259=0,K259=""),"",IF(E259="Positivo",MAX(K259/J259,0),MAX(J259/K259,0))),"") </f>
        <v/>
      </c>
      <c r="N259" s="5" t="inlineStr">
        <is>
          <t>%</t>
        </is>
      </c>
      <c r="O259" s="5" t="inlineStr">
        <is>
          <t>%</t>
        </is>
      </c>
      <c r="P259" s="5" t="n">
        <v>0</v>
      </c>
      <c r="Q259" s="5" t="n">
        <v>2</v>
      </c>
      <c r="R259" s="5" t="inlineStr">
        <is>
          <t>206-2024-12-31</t>
        </is>
      </c>
    </row>
    <row r="260">
      <c r="A260" s="5" t="n">
        <v>206</v>
      </c>
      <c r="B260" s="5" t="inlineStr">
        <is>
          <t>Inversión en CAPEX de la utilidad anterior</t>
        </is>
      </c>
      <c r="C260" s="5" t="inlineStr">
        <is>
          <t>Planeación Financiera</t>
        </is>
      </c>
      <c r="D260" s="5" t="inlineStr">
        <is>
          <t>Anual</t>
        </is>
      </c>
      <c r="E260" s="5" t="inlineStr">
        <is>
          <t>Positivo</t>
        </is>
      </c>
      <c r="F260" s="107" t="n">
        <v>46022</v>
      </c>
      <c r="G260" s="5" t="n">
        <v>2025</v>
      </c>
      <c r="H260" s="5" t="inlineStr">
        <is>
          <t>Diciembre</t>
        </is>
      </c>
      <c r="I260" s="6" t="inlineStr">
        <is>
          <t>2025-2</t>
        </is>
      </c>
      <c r="J260" s="5" t="n">
        <v>1</v>
      </c>
      <c r="K260" s="5" t="n">
        <v>2.14</v>
      </c>
      <c r="L260" s="14">
        <f>IFERROR(IF(OR(J260=0,K260=""),"",IF(E260="Positivo",MIN(MAX(K260/J260,0),1.3),MIN(MAX(J260/K260,0),1.3))),"") </f>
        <v/>
      </c>
      <c r="M260" s="14">
        <f>IFERROR(IF(OR(J260=0,K260=""),"",IF(E260="Positivo",MAX(K260/J260,0),MAX(J260/K260,0))),"") </f>
        <v/>
      </c>
      <c r="N260" s="5" t="inlineStr">
        <is>
          <t>%</t>
        </is>
      </c>
      <c r="O260" s="5" t="inlineStr">
        <is>
          <t>%</t>
        </is>
      </c>
      <c r="P260" s="5" t="n">
        <v>0</v>
      </c>
      <c r="Q260" s="5" t="n">
        <v>2</v>
      </c>
      <c r="R260" s="5" t="inlineStr">
        <is>
          <t>206-2025-12-31</t>
        </is>
      </c>
    </row>
    <row r="261">
      <c r="A261" s="5" t="n">
        <v>207</v>
      </c>
      <c r="B261" s="5" t="inlineStr">
        <is>
          <t>Nivel de Cumplimiento Opex</t>
        </is>
      </c>
      <c r="C261" s="5" t="inlineStr">
        <is>
          <t>Planeación Financiera</t>
        </is>
      </c>
      <c r="D261" s="5" t="inlineStr">
        <is>
          <t>Semestral</t>
        </is>
      </c>
      <c r="E261" s="5" t="inlineStr">
        <is>
          <t>Negativo</t>
        </is>
      </c>
      <c r="F261" s="107" t="n">
        <v>45291</v>
      </c>
      <c r="G261" s="5" t="n">
        <v>2023</v>
      </c>
      <c r="H261" s="5" t="inlineStr">
        <is>
          <t>Diciembre</t>
        </is>
      </c>
      <c r="I261" s="6" t="inlineStr">
        <is>
          <t>2023-2</t>
        </is>
      </c>
      <c r="J261" s="5" t="n">
        <v>100</v>
      </c>
      <c r="K261" s="5" t="n">
        <v>103.6</v>
      </c>
      <c r="L261" s="14">
        <f>IFERROR(IF(OR(J261=0,K261=""),"",IF(E261="Positivo",MIN(MAX(K261/J261,0),1.3),MIN(MAX(J261/K261,0),1.3))),"") </f>
        <v/>
      </c>
      <c r="M261" s="14">
        <f>IFERROR(IF(OR(J261=0,K261=""),"",IF(E261="Positivo",MAX(K261/J261,0),MAX(J261/K261,0))),"") </f>
        <v/>
      </c>
      <c r="N261" s="5" t="inlineStr">
        <is>
          <t>$</t>
        </is>
      </c>
      <c r="O261" s="5" t="inlineStr">
        <is>
          <t>$</t>
        </is>
      </c>
      <c r="P261" s="5" t="n">
        <v>0</v>
      </c>
      <c r="Q261" s="5" t="n">
        <v>0</v>
      </c>
      <c r="R261" s="5" t="inlineStr">
        <is>
          <t>207-2023-12-31</t>
        </is>
      </c>
    </row>
    <row r="262">
      <c r="A262" s="5" t="n">
        <v>207</v>
      </c>
      <c r="B262" s="5" t="inlineStr">
        <is>
          <t>Nivel de Cumplimiento Opex</t>
        </is>
      </c>
      <c r="C262" s="5" t="inlineStr">
        <is>
          <t>Planeación Financiera</t>
        </is>
      </c>
      <c r="D262" s="5" t="inlineStr">
        <is>
          <t>Semestral</t>
        </is>
      </c>
      <c r="E262" s="5" t="inlineStr">
        <is>
          <t>Negativo</t>
        </is>
      </c>
      <c r="F262" s="107" t="n">
        <v>45657</v>
      </c>
      <c r="G262" s="5" t="n">
        <v>2024</v>
      </c>
      <c r="H262" s="5" t="inlineStr">
        <is>
          <t>Diciembre</t>
        </is>
      </c>
      <c r="I262" s="6" t="inlineStr">
        <is>
          <t>2024-2</t>
        </is>
      </c>
      <c r="J262" s="5" t="n">
        <v>100</v>
      </c>
      <c r="K262" s="5" t="n">
        <v>102.2</v>
      </c>
      <c r="L262" s="14">
        <f>IFERROR(IF(OR(J262=0,K262=""),"",IF(E262="Positivo",MIN(MAX(K262/J262,0),1.3),MIN(MAX(J262/K262,0),1.3))),"") </f>
        <v/>
      </c>
      <c r="M262" s="14">
        <f>IFERROR(IF(OR(J262=0,K262=""),"",IF(E262="Positivo",MAX(K262/J262,0),MAX(J262/K262,0))),"") </f>
        <v/>
      </c>
      <c r="N262" s="5" t="inlineStr">
        <is>
          <t>$</t>
        </is>
      </c>
      <c r="O262" s="5" t="inlineStr">
        <is>
          <t>$</t>
        </is>
      </c>
      <c r="P262" s="5" t="n">
        <v>0</v>
      </c>
      <c r="Q262" s="5" t="n">
        <v>0</v>
      </c>
      <c r="R262" s="5" t="inlineStr">
        <is>
          <t>207-2024-12-31</t>
        </is>
      </c>
    </row>
    <row r="263">
      <c r="A263" s="5" t="n">
        <v>207</v>
      </c>
      <c r="B263" s="5" t="inlineStr">
        <is>
          <t>Nivel de Cumplimiento Opex</t>
        </is>
      </c>
      <c r="C263" s="5" t="inlineStr">
        <is>
          <t>Planeación Financiera</t>
        </is>
      </c>
      <c r="D263" s="5" t="inlineStr">
        <is>
          <t>Semestral</t>
        </is>
      </c>
      <c r="E263" s="5" t="inlineStr">
        <is>
          <t>Negativo</t>
        </is>
      </c>
      <c r="F263" s="107" t="n">
        <v>46022</v>
      </c>
      <c r="G263" s="5" t="n">
        <v>2025</v>
      </c>
      <c r="H263" s="5" t="inlineStr">
        <is>
          <t>Diciembre</t>
        </is>
      </c>
      <c r="I263" s="6" t="inlineStr">
        <is>
          <t>2025-2</t>
        </is>
      </c>
      <c r="J263" s="5" t="n">
        <v>100</v>
      </c>
      <c r="K263" s="5" t="n">
        <v>110.62</v>
      </c>
      <c r="L263" s="14">
        <f>IFERROR(IF(OR(J263=0,K263=""),"",IF(E263="Positivo",MIN(MAX(K263/J263,0),1.3),MIN(MAX(J263/K263,0),1.3))),"") </f>
        <v/>
      </c>
      <c r="M263" s="14">
        <f>IFERROR(IF(OR(J263=0,K263=""),"",IF(E263="Positivo",MAX(K263/J263,0),MAX(J263/K263,0))),"") </f>
        <v/>
      </c>
      <c r="N263" s="5" t="inlineStr">
        <is>
          <t>$</t>
        </is>
      </c>
      <c r="O263" s="5" t="inlineStr">
        <is>
          <t>$</t>
        </is>
      </c>
      <c r="P263" s="5" t="n">
        <v>0</v>
      </c>
      <c r="Q263" s="5" t="n">
        <v>0</v>
      </c>
      <c r="R263" s="5" t="inlineStr">
        <is>
          <t>207-2025-12-31</t>
        </is>
      </c>
    </row>
    <row r="264">
      <c r="A264" s="5" t="n">
        <v>208</v>
      </c>
      <c r="B264" s="5" t="inlineStr">
        <is>
          <t>Consumo de Agua m3 Mensual</t>
        </is>
      </c>
      <c r="C264" s="5" t="inlineStr">
        <is>
          <t>GESTIÓN AMBIENTAL</t>
        </is>
      </c>
      <c r="D264" s="5" t="inlineStr">
        <is>
          <t>Mensual</t>
        </is>
      </c>
      <c r="E264" s="5" t="inlineStr">
        <is>
          <t>Negativo</t>
        </is>
      </c>
      <c r="F264" s="107" t="n">
        <v>44926</v>
      </c>
      <c r="G264" s="5" t="n">
        <v>2022</v>
      </c>
      <c r="H264" s="5" t="inlineStr">
        <is>
          <t>Diciembre</t>
        </is>
      </c>
      <c r="I264" s="6" t="inlineStr">
        <is>
          <t>2022-2</t>
        </is>
      </c>
      <c r="J264" s="5" t="n">
        <v>1700</v>
      </c>
      <c r="K264" s="5" t="n">
        <v>0</v>
      </c>
      <c r="L264" s="14">
        <f>IFERROR(IF(OR(J264=0,K264=""),"",IF(E264="Positivo",MIN(MAX(K264/J264,0),1.0),MIN(MAX(J264/K264,0),1.0))),"") </f>
        <v/>
      </c>
      <c r="M264" s="14">
        <f>IFERROR(IF(OR(J264=0,K264=""),"",IF(E264="Positivo",MAX(K264/J264,0),MAX(J264/K264,0))),"") </f>
        <v/>
      </c>
      <c r="N264" s="5" t="inlineStr">
        <is>
          <t>m3</t>
        </is>
      </c>
      <c r="O264" s="5" t="inlineStr">
        <is>
          <t>m3</t>
        </is>
      </c>
      <c r="P264" s="5" t="n">
        <v>0</v>
      </c>
      <c r="Q264" s="5" t="n">
        <v>0</v>
      </c>
      <c r="R264" s="5" t="inlineStr">
        <is>
          <t>208-2022-12-31</t>
        </is>
      </c>
    </row>
    <row r="265">
      <c r="A265" s="5" t="n">
        <v>208</v>
      </c>
      <c r="B265" s="5" t="inlineStr">
        <is>
          <t>Consumo de Agua m3 Mensual</t>
        </is>
      </c>
      <c r="C265" s="5" t="inlineStr">
        <is>
          <t>GESTIÓN AMBIENTAL</t>
        </is>
      </c>
      <c r="D265" s="5" t="inlineStr">
        <is>
          <t>Mensual</t>
        </is>
      </c>
      <c r="E265" s="5" t="inlineStr">
        <is>
          <t>Negativo</t>
        </is>
      </c>
      <c r="F265" s="107" t="n">
        <v>45291</v>
      </c>
      <c r="G265" s="5" t="n">
        <v>2023</v>
      </c>
      <c r="H265" s="5" t="inlineStr">
        <is>
          <t>Diciembre</t>
        </is>
      </c>
      <c r="I265" s="6" t="inlineStr">
        <is>
          <t>2023-2</t>
        </is>
      </c>
      <c r="J265" s="5" t="n">
        <v>1700</v>
      </c>
      <c r="K265" s="5" t="n">
        <v>1228.308333333333</v>
      </c>
      <c r="L265" s="14">
        <f>IFERROR(IF(OR(J265=0,K265=""),"",IF(E265="Positivo",MIN(MAX(K265/J265,0),1.0),MIN(MAX(J265/K265,0),1.0))),"") </f>
        <v/>
      </c>
      <c r="M265" s="14">
        <f>IFERROR(IF(OR(J265=0,K265=""),"",IF(E265="Positivo",MAX(K265/J265,0),MAX(J265/K265,0))),"") </f>
        <v/>
      </c>
      <c r="N265" s="5" t="inlineStr">
        <is>
          <t>Linea Base</t>
        </is>
      </c>
      <c r="O265" s="5" t="inlineStr">
        <is>
          <t>m3</t>
        </is>
      </c>
      <c r="P265" s="5" t="n">
        <v>0</v>
      </c>
      <c r="Q265" s="5" t="n">
        <v>0</v>
      </c>
      <c r="R265" s="5" t="inlineStr">
        <is>
          <t>208-2023-12-31</t>
        </is>
      </c>
    </row>
    <row r="266">
      <c r="A266" s="5" t="n">
        <v>208</v>
      </c>
      <c r="B266" s="5" t="inlineStr">
        <is>
          <t>Consumo de Agua m3 Mensual</t>
        </is>
      </c>
      <c r="C266" s="5" t="inlineStr">
        <is>
          <t>GESTIÓN AMBIENTAL</t>
        </is>
      </c>
      <c r="D266" s="5" t="inlineStr">
        <is>
          <t>Mensual</t>
        </is>
      </c>
      <c r="E266" s="5" t="inlineStr">
        <is>
          <t>Negativo</t>
        </is>
      </c>
      <c r="F266" s="107" t="n">
        <v>45657</v>
      </c>
      <c r="G266" s="5" t="n">
        <v>2024</v>
      </c>
      <c r="H266" s="5" t="inlineStr">
        <is>
          <t>Diciembre</t>
        </is>
      </c>
      <c r="I266" s="6" t="inlineStr">
        <is>
          <t>2024-2</t>
        </is>
      </c>
      <c r="J266" s="5" t="n">
        <v>1700</v>
      </c>
      <c r="K266" s="5" t="n">
        <v>1306.208333333333</v>
      </c>
      <c r="L266" s="14">
        <f>IFERROR(IF(OR(J266=0,K266=""),"",IF(E266="Positivo",MIN(MAX(K266/J266,0),1.0),MIN(MAX(J266/K266,0),1.0))),"") </f>
        <v/>
      </c>
      <c r="M266" s="14">
        <f>IFERROR(IF(OR(J266=0,K266=""),"",IF(E266="Positivo",MAX(K266/J266,0),MAX(J266/K266,0))),"") </f>
        <v/>
      </c>
      <c r="N266" s="5" t="inlineStr">
        <is>
          <t>m3</t>
        </is>
      </c>
      <c r="O266" s="5" t="inlineStr">
        <is>
          <t>m3</t>
        </is>
      </c>
      <c r="P266" s="5" t="n">
        <v>0</v>
      </c>
      <c r="Q266" s="5" t="n">
        <v>0</v>
      </c>
      <c r="R266" s="5" t="inlineStr">
        <is>
          <t>208-2024-12-31</t>
        </is>
      </c>
    </row>
    <row r="267">
      <c r="A267" s="5" t="n">
        <v>208</v>
      </c>
      <c r="B267" s="5" t="inlineStr">
        <is>
          <t>Consumo de Agua m3 Mensual</t>
        </is>
      </c>
      <c r="C267" s="5" t="inlineStr">
        <is>
          <t>GESTIÓN AMBIENTAL</t>
        </is>
      </c>
      <c r="D267" s="5" t="inlineStr">
        <is>
          <t>Mensual</t>
        </is>
      </c>
      <c r="E267" s="5" t="inlineStr">
        <is>
          <t>Negativo</t>
        </is>
      </c>
      <c r="F267" s="107" t="n">
        <v>46022</v>
      </c>
      <c r="G267" s="5" t="n">
        <v>2025</v>
      </c>
      <c r="H267" s="5" t="inlineStr">
        <is>
          <t>Diciembre</t>
        </is>
      </c>
      <c r="I267" s="6" t="inlineStr">
        <is>
          <t>2025-2</t>
        </is>
      </c>
      <c r="J267" s="5" t="n">
        <v>1700</v>
      </c>
      <c r="K267" s="5" t="n">
        <v>1204.541666666667</v>
      </c>
      <c r="L267" s="14">
        <f>IFERROR(IF(OR(J267=0,K267=""),"",IF(E267="Positivo",MIN(MAX(K267/J267,0),1.0),MIN(MAX(J267/K267,0),1.0))),"") </f>
        <v/>
      </c>
      <c r="M267" s="14">
        <f>IFERROR(IF(OR(J267=0,K267=""),"",IF(E267="Positivo",MAX(K267/J267,0),MAX(J267/K267,0))),"") </f>
        <v/>
      </c>
      <c r="N267" s="5" t="inlineStr">
        <is>
          <t>m3</t>
        </is>
      </c>
      <c r="O267" s="5" t="inlineStr">
        <is>
          <t>m3</t>
        </is>
      </c>
      <c r="P267" s="5" t="n">
        <v>0</v>
      </c>
      <c r="Q267" s="5" t="n">
        <v>0</v>
      </c>
      <c r="R267" s="5" t="inlineStr">
        <is>
          <t>208-2025-12-31</t>
        </is>
      </c>
    </row>
    <row r="268">
      <c r="A268" s="5" t="n">
        <v>208</v>
      </c>
      <c r="B268" s="5" t="inlineStr">
        <is>
          <t>Consumo de Agua m3 Mensual</t>
        </is>
      </c>
      <c r="C268" s="5" t="inlineStr">
        <is>
          <t>GESTIÓN AMBIENTAL</t>
        </is>
      </c>
      <c r="D268" s="5" t="inlineStr">
        <is>
          <t>Mensual</t>
        </is>
      </c>
      <c r="E268" s="5" t="inlineStr">
        <is>
          <t>Negativo</t>
        </is>
      </c>
      <c r="F268" s="107" t="n">
        <v>46053</v>
      </c>
      <c r="G268" s="5" t="n">
        <v>2026</v>
      </c>
      <c r="H268" s="5" t="inlineStr">
        <is>
          <t>Enero</t>
        </is>
      </c>
      <c r="I268" s="6" t="inlineStr">
        <is>
          <t>2026-1</t>
        </is>
      </c>
      <c r="J268" s="5" t="n">
        <v>1700</v>
      </c>
      <c r="K268" s="5" t="n">
        <v>881</v>
      </c>
      <c r="L268" s="14">
        <f>IFERROR(IF(OR(J268=0,K268=""),"",IF(E268="Positivo",MIN(MAX(K268/J268,0),1.0),MIN(MAX(J268/K268,0),1.0))),"") </f>
        <v/>
      </c>
      <c r="M268" s="14">
        <f>IFERROR(IF(OR(J268=0,K268=""),"",IF(E268="Positivo",MAX(K268/J268,0),MAX(J268/K268,0))),"") </f>
        <v/>
      </c>
      <c r="N268" s="5" t="inlineStr">
        <is>
          <t>m3</t>
        </is>
      </c>
      <c r="O268" s="5" t="inlineStr">
        <is>
          <t>m3</t>
        </is>
      </c>
      <c r="P268" s="5" t="n">
        <v>0</v>
      </c>
      <c r="Q268" s="5" t="n">
        <v>0</v>
      </c>
      <c r="R268" s="5" t="inlineStr">
        <is>
          <t>208-2026-01-31</t>
        </is>
      </c>
      <c r="S268" t="inlineStr"/>
    </row>
    <row r="269">
      <c r="A269" s="5" t="n">
        <v>210</v>
      </c>
      <c r="B269" s="61" t="inlineStr">
        <is>
          <t>Aporte de los Procesos a los Objetivos de Desarrollo Sostenible</t>
        </is>
      </c>
      <c r="C269" s="5" t="inlineStr">
        <is>
          <t>GESTIÓN AMBIENTAL</t>
        </is>
      </c>
      <c r="D269" s="5" t="inlineStr">
        <is>
          <t>Anual</t>
        </is>
      </c>
      <c r="E269" s="5" t="inlineStr">
        <is>
          <t>Positivo</t>
        </is>
      </c>
      <c r="F269" s="107" t="n">
        <v>45291</v>
      </c>
      <c r="G269" s="5" t="n">
        <v>2023</v>
      </c>
      <c r="H269" s="5" t="inlineStr">
        <is>
          <t>Diciembre</t>
        </is>
      </c>
      <c r="I269" s="6" t="inlineStr">
        <is>
          <t>2023-2</t>
        </is>
      </c>
      <c r="J269" s="5" t="n"/>
      <c r="K269" s="5" t="n"/>
      <c r="L269" s="14" t="n"/>
      <c r="M269" s="14" t="n"/>
      <c r="N269" s="5" t="inlineStr">
        <is>
          <t>Sin Reporte</t>
        </is>
      </c>
      <c r="O269" s="5" t="inlineStr">
        <is>
          <t>Sin Reporte</t>
        </is>
      </c>
      <c r="P269" s="5" t="n">
        <v>0</v>
      </c>
      <c r="Q269" s="5" t="n">
        <v>0</v>
      </c>
      <c r="R269" s="5" t="inlineStr">
        <is>
          <t>210-2023-12-31</t>
        </is>
      </c>
    </row>
    <row r="270">
      <c r="A270" s="5" t="n">
        <v>213</v>
      </c>
      <c r="B270" s="5" t="inlineStr">
        <is>
          <t>Cumplimiento del Plan Anual del Sistema de Gestión Ambiental</t>
        </is>
      </c>
      <c r="C270" s="5" t="inlineStr">
        <is>
          <t>GESTIÓN AMBIENTAL</t>
        </is>
      </c>
      <c r="D270" s="5" t="inlineStr">
        <is>
          <t>Semestral</t>
        </is>
      </c>
      <c r="E270" s="5" t="inlineStr">
        <is>
          <t>Positivo</t>
        </is>
      </c>
      <c r="F270" s="107" t="n">
        <v>44926</v>
      </c>
      <c r="G270" s="15" t="n">
        <v>2022</v>
      </c>
      <c r="H270" s="6" t="inlineStr">
        <is>
          <t>Diciembre</t>
        </is>
      </c>
      <c r="I270" s="6" t="inlineStr">
        <is>
          <t>2022-2</t>
        </is>
      </c>
      <c r="J270" s="5" t="n">
        <v>90</v>
      </c>
      <c r="K270" s="5" t="n">
        <v>0</v>
      </c>
      <c r="L270" s="14">
        <f>IFERROR(IF(OR(J270=0,K270=""),"",IF(E270="Positivo",MIN(MAX(K270/J270,0),1.3),MIN(MAX(J270/K270,0),1.3))),"") </f>
        <v/>
      </c>
      <c r="M270" s="14">
        <f>IFERROR(IF(OR(J270=0,K270=""),"",IF(E270="Positivo",MAX(K270/J270,0),MAX(J270/K270,0))),"") </f>
        <v/>
      </c>
      <c r="N270" s="5" t="inlineStr">
        <is>
          <t>%</t>
        </is>
      </c>
      <c r="O270" s="5" t="inlineStr">
        <is>
          <t>%</t>
        </is>
      </c>
      <c r="P270" s="5" t="n">
        <v>0</v>
      </c>
      <c r="Q270" s="5" t="n">
        <v>0</v>
      </c>
      <c r="R270" s="5" t="inlineStr">
        <is>
          <t>213-2022-12-31</t>
        </is>
      </c>
    </row>
    <row r="271">
      <c r="A271" s="5" t="n">
        <v>213</v>
      </c>
      <c r="B271" s="5" t="inlineStr">
        <is>
          <t>Cumplimiento del Plan Anual del Sistema de Gestión Ambiental</t>
        </is>
      </c>
      <c r="C271" s="5" t="inlineStr">
        <is>
          <t>GESTIÓN AMBIENTAL</t>
        </is>
      </c>
      <c r="D271" s="5" t="inlineStr">
        <is>
          <t>Trimestral</t>
        </is>
      </c>
      <c r="E271" s="5" t="inlineStr">
        <is>
          <t>Positivo</t>
        </is>
      </c>
      <c r="F271" s="107" t="n">
        <v>45291</v>
      </c>
      <c r="G271" s="5" t="n">
        <v>2023</v>
      </c>
      <c r="H271" s="5" t="inlineStr">
        <is>
          <t>Diciembre</t>
        </is>
      </c>
      <c r="I271" s="6" t="inlineStr">
        <is>
          <t>2023-2</t>
        </is>
      </c>
      <c r="J271" s="5" t="n">
        <v>90</v>
      </c>
      <c r="K271" s="5" t="n">
        <v>100</v>
      </c>
      <c r="L271" s="14">
        <f>IFERROR(IF(OR(J271=0,K271=""),"",IF(E271="Positivo",MIN(MAX(K271/J271,0),1.3),MIN(MAX(J271/K271,0),1.3))),"") </f>
        <v/>
      </c>
      <c r="M271" s="14">
        <f>IFERROR(IF(OR(J271=0,K271=""),"",IF(E271="Positivo",MAX(K271/J271,0),MAX(J271/K271,0))),"") </f>
        <v/>
      </c>
      <c r="N271" s="5" t="inlineStr">
        <is>
          <t>%</t>
        </is>
      </c>
      <c r="O271" s="5" t="inlineStr">
        <is>
          <t>%</t>
        </is>
      </c>
      <c r="P271" s="5" t="n">
        <v>0</v>
      </c>
      <c r="Q271" s="5" t="n">
        <v>0</v>
      </c>
      <c r="R271" s="5" t="inlineStr">
        <is>
          <t>213-2023-12-31</t>
        </is>
      </c>
    </row>
    <row r="272">
      <c r="A272" s="5" t="n">
        <v>213</v>
      </c>
      <c r="B272" s="5" t="inlineStr">
        <is>
          <t>Cumplimiento del Plan Anual del Sistema de Gestión Ambiental</t>
        </is>
      </c>
      <c r="C272" s="5" t="inlineStr">
        <is>
          <t>GESTIÓN AMBIENTAL</t>
        </is>
      </c>
      <c r="D272" s="5" t="inlineStr">
        <is>
          <t>Trimestral</t>
        </is>
      </c>
      <c r="E272" s="5" t="inlineStr">
        <is>
          <t>Positivo</t>
        </is>
      </c>
      <c r="F272" s="107" t="n">
        <v>45657</v>
      </c>
      <c r="G272" s="5" t="n">
        <v>2024</v>
      </c>
      <c r="H272" s="5" t="inlineStr">
        <is>
          <t>Diciembre</t>
        </is>
      </c>
      <c r="I272" s="6" t="inlineStr">
        <is>
          <t>2024-2</t>
        </is>
      </c>
      <c r="J272" s="5" t="n">
        <v>90</v>
      </c>
      <c r="K272" s="5" t="n">
        <v>100</v>
      </c>
      <c r="L272" s="14">
        <f>IFERROR(IF(OR(J272=0,K272=""),"",IF(E272="Positivo",MIN(MAX(K272/J272,0),1.3),MIN(MAX(J272/K272,0),1.3))),"") </f>
        <v/>
      </c>
      <c r="M272" s="14">
        <f>IFERROR(IF(OR(J272=0,K272=""),"",IF(E272="Positivo",MAX(K272/J272,0),MAX(J272/K272,0))),"") </f>
        <v/>
      </c>
      <c r="N272" s="5" t="inlineStr">
        <is>
          <t>%</t>
        </is>
      </c>
      <c r="O272" s="5" t="inlineStr">
        <is>
          <t>%</t>
        </is>
      </c>
      <c r="P272" s="5" t="n">
        <v>0</v>
      </c>
      <c r="Q272" s="5" t="n">
        <v>0</v>
      </c>
      <c r="R272" s="5" t="inlineStr">
        <is>
          <t>213-2024-12-31</t>
        </is>
      </c>
    </row>
    <row r="273">
      <c r="A273" s="5" t="n">
        <v>213</v>
      </c>
      <c r="B273" s="5" t="inlineStr">
        <is>
          <t>Cumplimiento del Plan Anual del Sistema de Gestión Ambiental</t>
        </is>
      </c>
      <c r="C273" s="5" t="inlineStr">
        <is>
          <t>GESTIÓN AMBIENTAL</t>
        </is>
      </c>
      <c r="D273" s="5" t="inlineStr">
        <is>
          <t>Semestral</t>
        </is>
      </c>
      <c r="E273" s="5" t="inlineStr">
        <is>
          <t>Positivo</t>
        </is>
      </c>
      <c r="F273" s="107" t="n">
        <v>46022</v>
      </c>
      <c r="G273" s="5" t="n">
        <v>2025</v>
      </c>
      <c r="H273" s="5" t="inlineStr">
        <is>
          <t>Diciembre</t>
        </is>
      </c>
      <c r="I273" s="6" t="inlineStr">
        <is>
          <t>2025-2</t>
        </is>
      </c>
      <c r="J273" s="5" t="n">
        <v>90</v>
      </c>
      <c r="K273" s="5" t="n">
        <v>100</v>
      </c>
      <c r="L273" s="14">
        <f>IFERROR(IF(OR(J273=0,K273=""),"",IF(E273="Positivo",MIN(MAX(K273/J273,0),1.3),MIN(MAX(J273/K273,0),1.3))),"") </f>
        <v/>
      </c>
      <c r="M273" s="14">
        <f>IFERROR(IF(OR(J273=0,K273=""),"",IF(E273="Positivo",MAX(K273/J273,0),MAX(J273/K273,0))),"") </f>
        <v/>
      </c>
      <c r="N273" s="5" t="inlineStr">
        <is>
          <t>%</t>
        </is>
      </c>
      <c r="O273" s="5" t="inlineStr">
        <is>
          <t>%</t>
        </is>
      </c>
      <c r="P273" s="5" t="n">
        <v>0</v>
      </c>
      <c r="Q273" s="5" t="n">
        <v>0</v>
      </c>
      <c r="R273" s="5" t="inlineStr">
        <is>
          <t>213-2025-12-31</t>
        </is>
      </c>
    </row>
    <row r="274">
      <c r="A274" s="5" t="n">
        <v>214</v>
      </c>
      <c r="B274" s="5" t="inlineStr">
        <is>
          <t>Generación de Residuos Sólidos Mensual</t>
        </is>
      </c>
      <c r="C274" s="5" t="inlineStr">
        <is>
          <t>GESTIÓN AMBIENTAL</t>
        </is>
      </c>
      <c r="D274" s="5" t="inlineStr">
        <is>
          <t>Mensual</t>
        </is>
      </c>
      <c r="E274" s="5" t="inlineStr">
        <is>
          <t>Negativo</t>
        </is>
      </c>
      <c r="F274" s="107" t="n">
        <v>44926</v>
      </c>
      <c r="G274" s="5" t="n">
        <v>2022</v>
      </c>
      <c r="H274" s="5" t="inlineStr">
        <is>
          <t>Diciembre</t>
        </is>
      </c>
      <c r="I274" s="6" t="inlineStr">
        <is>
          <t>2022-2</t>
        </is>
      </c>
      <c r="J274" s="5" t="n">
        <v>90000</v>
      </c>
      <c r="K274" s="10" t="n">
        <v>0</v>
      </c>
      <c r="L274" s="14">
        <f>IFERROR(IF(OR(J274=0,K274=""),"",IF(E274="Positivo",MIN(MAX(K274/J274,0),1.3),MIN(MAX(J274/K274,0),1.3))),"") </f>
        <v/>
      </c>
      <c r="M274" s="14">
        <f>IFERROR(IF(OR(J274=0,K274=""),"",IF(E274="Positivo",MAX(K274/J274,0),MAX(J274/K274,0))),"") </f>
        <v/>
      </c>
      <c r="N274" s="5" t="inlineStr">
        <is>
          <t>Kg</t>
        </is>
      </c>
      <c r="O274" s="5" t="inlineStr">
        <is>
          <t>Kg</t>
        </is>
      </c>
      <c r="P274" s="5" t="n">
        <v>0</v>
      </c>
      <c r="Q274" s="5" t="n">
        <v>0</v>
      </c>
      <c r="R274" s="5" t="inlineStr">
        <is>
          <t>214-2022-12-31</t>
        </is>
      </c>
    </row>
    <row r="275">
      <c r="A275" s="5" t="n">
        <v>214</v>
      </c>
      <c r="B275" s="5" t="inlineStr">
        <is>
          <t>Generación de Residuos Sólidos Mensual</t>
        </is>
      </c>
      <c r="C275" s="5" t="inlineStr">
        <is>
          <t>GESTIÓN AMBIENTAL</t>
        </is>
      </c>
      <c r="D275" s="5" t="inlineStr">
        <is>
          <t>Mensual</t>
        </is>
      </c>
      <c r="E275" s="5" t="inlineStr">
        <is>
          <t>Negativo</t>
        </is>
      </c>
      <c r="F275" s="107" t="n">
        <v>45291</v>
      </c>
      <c r="G275" s="5" t="n">
        <v>2023</v>
      </c>
      <c r="H275" s="5" t="inlineStr">
        <is>
          <t>Diciembre</t>
        </is>
      </c>
      <c r="I275" s="6" t="inlineStr">
        <is>
          <t>2023-2</t>
        </is>
      </c>
      <c r="J275" s="5" t="n">
        <v>90000</v>
      </c>
      <c r="K275" s="10" t="n">
        <v>44656.3</v>
      </c>
      <c r="L275" s="14">
        <f>IFERROR(IF(OR(J275=0,K275=""),"",IF(E275="Positivo",MIN(MAX(K275/J275,0),1.3),MIN(MAX(J275/K275,0),1.3))),"") </f>
        <v/>
      </c>
      <c r="M275" s="14">
        <f>IFERROR(IF(OR(J275=0,K275=""),"",IF(E275="Positivo",MAX(K275/J275,0),MAX(J275/K275,0))),"") </f>
        <v/>
      </c>
      <c r="N275" s="5" t="inlineStr">
        <is>
          <t>Kg</t>
        </is>
      </c>
      <c r="O275" s="5" t="inlineStr">
        <is>
          <t>Kg</t>
        </is>
      </c>
      <c r="P275" s="5" t="n">
        <v>0</v>
      </c>
      <c r="Q275" s="5" t="n">
        <v>0</v>
      </c>
      <c r="R275" s="5" t="inlineStr">
        <is>
          <t>214-2023-12-31</t>
        </is>
      </c>
    </row>
    <row r="276">
      <c r="A276" s="5" t="n">
        <v>214</v>
      </c>
      <c r="B276" s="5" t="inlineStr">
        <is>
          <t>Generación de Residuos Sólidos Mensual</t>
        </is>
      </c>
      <c r="C276" s="5" t="inlineStr">
        <is>
          <t>GESTIÓN AMBIENTAL</t>
        </is>
      </c>
      <c r="D276" s="5" t="inlineStr">
        <is>
          <t>Mensual</t>
        </is>
      </c>
      <c r="E276" s="5" t="inlineStr">
        <is>
          <t>Negativo</t>
        </is>
      </c>
      <c r="F276" s="107" t="n">
        <v>45657</v>
      </c>
      <c r="G276" s="5" t="n">
        <v>2024</v>
      </c>
      <c r="H276" s="5" t="inlineStr">
        <is>
          <t>Diciembre</t>
        </is>
      </c>
      <c r="I276" s="6" t="inlineStr">
        <is>
          <t>2024-2</t>
        </is>
      </c>
      <c r="J276" s="9" t="n">
        <v>90000</v>
      </c>
      <c r="K276" s="9" t="n">
        <v>32812.91</v>
      </c>
      <c r="L276" s="14">
        <f>IFERROR(IF(OR(J276=0,K276=""),"",IF(E276="Positivo",MIN(MAX(K276/J276,0),1.3),MIN(MAX(J276/K276,0),1.3))),"") </f>
        <v/>
      </c>
      <c r="M276" s="14">
        <f>IFERROR(IF(OR(J276=0,K276=""),"",IF(E276="Positivo",MAX(K276/J276,0),MAX(J276/K276,0))),"") </f>
        <v/>
      </c>
      <c r="N276" s="5" t="inlineStr">
        <is>
          <t>Kg</t>
        </is>
      </c>
      <c r="O276" s="5" t="inlineStr">
        <is>
          <t>Kg</t>
        </is>
      </c>
      <c r="P276" s="5" t="n">
        <v>0</v>
      </c>
      <c r="Q276" s="5" t="n">
        <v>0</v>
      </c>
      <c r="R276" s="5" t="inlineStr">
        <is>
          <t>214-2024-12-31</t>
        </is>
      </c>
    </row>
    <row r="277">
      <c r="A277" s="5" t="n">
        <v>214</v>
      </c>
      <c r="B277" s="5" t="inlineStr">
        <is>
          <t>Generación de Residuos Sólidos Mensual</t>
        </is>
      </c>
      <c r="C277" s="5" t="inlineStr">
        <is>
          <t>GESTIÓN AMBIENTAL</t>
        </is>
      </c>
      <c r="D277" s="5" t="inlineStr">
        <is>
          <t>Mensual</t>
        </is>
      </c>
      <c r="E277" s="5" t="inlineStr">
        <is>
          <t>Negativo</t>
        </is>
      </c>
      <c r="F277" s="107" t="n">
        <v>46022</v>
      </c>
      <c r="G277" s="5" t="n">
        <v>2025</v>
      </c>
      <c r="H277" s="5" t="inlineStr">
        <is>
          <t>Diciembre</t>
        </is>
      </c>
      <c r="I277" s="6" t="inlineStr">
        <is>
          <t>2025-2</t>
        </is>
      </c>
      <c r="J277" s="5" t="n">
        <v>90000</v>
      </c>
      <c r="K277" s="11" t="n">
        <v>51322.57</v>
      </c>
      <c r="L277" s="14">
        <f>IFERROR(IF(OR(J277=0,K277=""),"",IF(E277="Positivo",MIN(MAX(K277/J277,0),1.3),MIN(MAX(J277/K277,0),1.3))),"") </f>
        <v/>
      </c>
      <c r="M277" s="14">
        <f>IFERROR(IF(OR(J277=0,K277=""),"",IF(E277="Positivo",MAX(K277/J277,0),MAX(J277/K277,0))),"") </f>
        <v/>
      </c>
      <c r="N277" s="5" t="inlineStr">
        <is>
          <t>Kg</t>
        </is>
      </c>
      <c r="O277" s="5" t="inlineStr">
        <is>
          <t>Kg</t>
        </is>
      </c>
      <c r="P277" s="5" t="n">
        <v>0</v>
      </c>
      <c r="Q277" s="5" t="n">
        <v>0</v>
      </c>
      <c r="R277" s="5" t="inlineStr">
        <is>
          <t>214-2025-12-31</t>
        </is>
      </c>
    </row>
    <row r="278">
      <c r="A278" s="5" t="n">
        <v>214</v>
      </c>
      <c r="B278" s="5" t="inlineStr">
        <is>
          <t>Generación de Residuos Sólidos Mensual</t>
        </is>
      </c>
      <c r="C278" s="5" t="inlineStr">
        <is>
          <t>GESTIÓN AMBIENTAL</t>
        </is>
      </c>
      <c r="D278" s="5" t="inlineStr">
        <is>
          <t>Mensual</t>
        </is>
      </c>
      <c r="E278" s="5" t="inlineStr">
        <is>
          <t>Negativo</t>
        </is>
      </c>
      <c r="F278" s="107" t="n">
        <v>46053</v>
      </c>
      <c r="G278" s="5" t="n">
        <v>2026</v>
      </c>
      <c r="H278" s="5" t="inlineStr">
        <is>
          <t>Enero</t>
        </is>
      </c>
      <c r="I278" s="6" t="inlineStr">
        <is>
          <t>2026-1</t>
        </is>
      </c>
      <c r="J278" s="5" t="n">
        <v>7500</v>
      </c>
      <c r="K278" s="5" t="n">
        <v>1139.249969482422</v>
      </c>
      <c r="L278" s="14">
        <f>IFERROR(IF(OR(J278=0,K278=""),"",IF(E278="Positivo",MIN(MAX(K278/J278,0),1.3),MIN(MAX(J278/K278,0),1.3))),"") </f>
        <v/>
      </c>
      <c r="M278" s="14">
        <f>IFERROR(IF(OR(J278=0,K278=""),"",IF(E278="Positivo",MAX(K278/J278,0),MAX(J278/K278,0))),"") </f>
        <v/>
      </c>
      <c r="N278" s="5" t="inlineStr">
        <is>
          <t>Kg</t>
        </is>
      </c>
      <c r="O278" s="5" t="inlineStr">
        <is>
          <t>Kg</t>
        </is>
      </c>
      <c r="P278" s="5" t="n">
        <v>0</v>
      </c>
      <c r="Q278" s="5" t="n">
        <v>0</v>
      </c>
      <c r="R278" s="5" t="inlineStr">
        <is>
          <t>214-2026-01-31</t>
        </is>
      </c>
      <c r="S278" t="inlineStr"/>
    </row>
    <row r="279">
      <c r="A279" s="5" t="n">
        <v>215</v>
      </c>
      <c r="B279" s="5" t="inlineStr">
        <is>
          <t>Disminución de la Generación de Residuos per Cápita</t>
        </is>
      </c>
      <c r="C279" s="5" t="inlineStr">
        <is>
          <t>GESTIÓN AMBIENTAL</t>
        </is>
      </c>
      <c r="D279" s="5" t="inlineStr">
        <is>
          <t>Trimestral</t>
        </is>
      </c>
      <c r="E279" s="5" t="inlineStr">
        <is>
          <t>Positivo</t>
        </is>
      </c>
      <c r="F279" s="107" t="n">
        <v>44926</v>
      </c>
      <c r="G279" s="5" t="n">
        <v>2022</v>
      </c>
      <c r="H279" s="5" t="inlineStr">
        <is>
          <t>Diciembre</t>
        </is>
      </c>
      <c r="I279" s="6" t="inlineStr">
        <is>
          <t>2022-2</t>
        </is>
      </c>
      <c r="J279" s="5" t="n">
        <v>1</v>
      </c>
      <c r="K279" s="5" t="n">
        <v>-23.628691983122</v>
      </c>
      <c r="L279" s="14">
        <f>IFERROR(IF(OR(J279=0,K279=""),"",IF(E279="Positivo",MIN(MAX(K279/J279,0),1.3),MIN(MAX(J279/K279,0),1.3))),"") </f>
        <v/>
      </c>
      <c r="M279" s="14">
        <f>IFERROR(IF(OR(J279=0,K279=""),"",IF(E279="Positivo",MAX(K279/J279,0),MAX(J279/K279,0))),"") </f>
        <v/>
      </c>
      <c r="N279" s="5" t="inlineStr">
        <is>
          <t>%</t>
        </is>
      </c>
      <c r="O279" s="5" t="inlineStr">
        <is>
          <t>%</t>
        </is>
      </c>
      <c r="P279" s="5" t="n">
        <v>2</v>
      </c>
      <c r="Q279" s="5" t="n">
        <v>2</v>
      </c>
      <c r="R279" s="5" t="inlineStr">
        <is>
          <t>215-2022-12-31</t>
        </is>
      </c>
    </row>
    <row r="280">
      <c r="A280" s="5" t="n">
        <v>215</v>
      </c>
      <c r="B280" s="5" t="inlineStr">
        <is>
          <t>Disminución de la Generación de Residuos per Cápita</t>
        </is>
      </c>
      <c r="C280" s="5" t="inlineStr">
        <is>
          <t>GESTIÓN AMBIENTAL</t>
        </is>
      </c>
      <c r="D280" s="5" t="inlineStr">
        <is>
          <t>Semestral</t>
        </is>
      </c>
      <c r="E280" s="5" t="inlineStr">
        <is>
          <t>Positivo</t>
        </is>
      </c>
      <c r="F280" s="107" t="n">
        <v>45291</v>
      </c>
      <c r="G280" s="5" t="n">
        <v>2023</v>
      </c>
      <c r="H280" s="5" t="inlineStr">
        <is>
          <t>Diciembre</t>
        </is>
      </c>
      <c r="I280" s="6" t="inlineStr">
        <is>
          <t>2023-2</t>
        </is>
      </c>
      <c r="J280" s="5" t="n">
        <v>1</v>
      </c>
      <c r="K280" s="5" t="n">
        <v>-124.72</v>
      </c>
      <c r="L280" s="14">
        <f>IFERROR(IF(OR(J280=0,K280=""),"",IF(E280="Positivo",MIN(MAX(K280/J280,0),1.3),MIN(MAX(J280/K280,0),1.3))),"") </f>
        <v/>
      </c>
      <c r="M280" s="14">
        <f>IFERROR(IF(OR(J280=0,K280=""),"",IF(E280="Positivo",MAX(K280/J280,0),MAX(J280/K280,0))),"") </f>
        <v/>
      </c>
      <c r="N280" s="5" t="inlineStr">
        <is>
          <t>%</t>
        </is>
      </c>
      <c r="O280" s="5" t="inlineStr">
        <is>
          <t>%</t>
        </is>
      </c>
      <c r="P280" s="5" t="n">
        <v>2</v>
      </c>
      <c r="Q280" s="5" t="n">
        <v>2</v>
      </c>
      <c r="R280" s="5" t="inlineStr">
        <is>
          <t>215-2023-12-31</t>
        </is>
      </c>
    </row>
    <row r="281">
      <c r="A281" s="5" t="n">
        <v>215</v>
      </c>
      <c r="B281" s="5" t="inlineStr">
        <is>
          <t>Disminución de la Generación de Residuos per Cápita</t>
        </is>
      </c>
      <c r="C281" s="5" t="inlineStr">
        <is>
          <t>GESTIÓN AMBIENTAL</t>
        </is>
      </c>
      <c r="D281" s="5" t="inlineStr">
        <is>
          <t>Semestral</t>
        </is>
      </c>
      <c r="E281" s="5" t="inlineStr">
        <is>
          <t>Positivo</t>
        </is>
      </c>
      <c r="F281" s="107" t="n">
        <v>45657</v>
      </c>
      <c r="G281" s="5" t="n">
        <v>2024</v>
      </c>
      <c r="H281" s="5" t="inlineStr">
        <is>
          <t>Diciembre</t>
        </is>
      </c>
      <c r="I281" s="6" t="inlineStr">
        <is>
          <t>2024-2</t>
        </is>
      </c>
      <c r="J281" s="5" t="n">
        <v>1</v>
      </c>
      <c r="K281" s="5" t="n">
        <v>-18.825</v>
      </c>
      <c r="L281" s="14">
        <f>IFERROR(IF(OR(J281=0,K281=""),"",IF(E281="Positivo",MIN(MAX(K281/J281,0),1.3),MIN(MAX(J281/K281,0),1.3))),"") </f>
        <v/>
      </c>
      <c r="M281" s="14">
        <f>IFERROR(IF(OR(J281=0,K281=""),"",IF(E281="Positivo",MAX(K281/J281,0),MAX(J281/K281,0))),"") </f>
        <v/>
      </c>
      <c r="N281" s="5" t="inlineStr">
        <is>
          <t>%</t>
        </is>
      </c>
      <c r="O281" s="5" t="inlineStr">
        <is>
          <t>%</t>
        </is>
      </c>
      <c r="P281" s="5" t="n">
        <v>2</v>
      </c>
      <c r="Q281" s="5" t="n">
        <v>2</v>
      </c>
      <c r="R281" s="5" t="inlineStr">
        <is>
          <t>215-2024-12-31</t>
        </is>
      </c>
    </row>
    <row r="282">
      <c r="A282" s="5" t="n">
        <v>215</v>
      </c>
      <c r="B282" s="5" t="inlineStr">
        <is>
          <t>Disminución de la Generación de Residuos per Cápita</t>
        </is>
      </c>
      <c r="C282" s="5" t="inlineStr">
        <is>
          <t>GESTIÓN AMBIENTAL</t>
        </is>
      </c>
      <c r="D282" s="5" t="inlineStr">
        <is>
          <t>Trimestral</t>
        </is>
      </c>
      <c r="E282" s="5" t="inlineStr">
        <is>
          <t>Positivo</t>
        </is>
      </c>
      <c r="F282" s="107" t="n">
        <v>46022</v>
      </c>
      <c r="G282" s="5" t="n">
        <v>2025</v>
      </c>
      <c r="H282" s="5" t="inlineStr">
        <is>
          <t>Diciembre</t>
        </is>
      </c>
      <c r="I282" s="6" t="inlineStr">
        <is>
          <t>2025-2</t>
        </is>
      </c>
      <c r="J282" s="5" t="n">
        <v>1</v>
      </c>
      <c r="K282" s="5" t="n">
        <v>-60.48999999999999</v>
      </c>
      <c r="L282" s="14">
        <f>IFERROR(IF(OR(J282=0,K282=""),"",IF(E282="Positivo",MIN(MAX(K282/J282,0),1.3),MIN(MAX(J282/K282,0),1.3))),"") </f>
        <v/>
      </c>
      <c r="M282" s="14">
        <f>IFERROR(IF(OR(J282=0,K282=""),"",IF(E282="Positivo",MAX(K282/J282,0),MAX(J282/K282,0))),"") </f>
        <v/>
      </c>
      <c r="N282" s="5" t="inlineStr">
        <is>
          <t>%</t>
        </is>
      </c>
      <c r="O282" s="5" t="inlineStr">
        <is>
          <t>%</t>
        </is>
      </c>
      <c r="P282" s="5" t="n">
        <v>2</v>
      </c>
      <c r="Q282" s="5" t="n">
        <v>2</v>
      </c>
      <c r="R282" s="5" t="inlineStr">
        <is>
          <t>215-2025-12-31</t>
        </is>
      </c>
    </row>
    <row r="283">
      <c r="A283" s="5" t="n">
        <v>216</v>
      </c>
      <c r="B283" s="5" t="inlineStr">
        <is>
          <t>Disposición Ambientalmente Adecuada de Residuos Peligrosos</t>
        </is>
      </c>
      <c r="C283" s="5" t="inlineStr">
        <is>
          <t>GESTIÓN AMBIENTAL</t>
        </is>
      </c>
      <c r="D283" s="5" t="inlineStr">
        <is>
          <t>Anual</t>
        </is>
      </c>
      <c r="E283" s="5" t="inlineStr">
        <is>
          <t>Positivo</t>
        </is>
      </c>
      <c r="F283" s="107" t="n">
        <v>44926</v>
      </c>
      <c r="G283" s="5" t="n">
        <v>2022</v>
      </c>
      <c r="H283" s="5" t="inlineStr">
        <is>
          <t>Diciembre</t>
        </is>
      </c>
      <c r="I283" s="6" t="inlineStr">
        <is>
          <t>2022-2</t>
        </is>
      </c>
      <c r="J283" s="5" t="n">
        <v>100</v>
      </c>
      <c r="K283" s="5" t="n">
        <v>0</v>
      </c>
      <c r="L283" s="14">
        <f>IFERROR(IF(OR(J283=0,K283=""),"",IF(E283="Positivo",MIN(MAX(K283/J283,0),1.3),MIN(MAX(J283/K283,0),1.3))),"") </f>
        <v/>
      </c>
      <c r="M283" s="14">
        <f>IFERROR(IF(OR(J283=0,K283=""),"",IF(E283="Positivo",MAX(K283/J283,0),MAX(J283/K283,0))),"") </f>
        <v/>
      </c>
      <c r="N283" s="5" t="inlineStr">
        <is>
          <t>%</t>
        </is>
      </c>
      <c r="O283" s="5" t="inlineStr">
        <is>
          <t>%</t>
        </is>
      </c>
      <c r="P283" s="5" t="n">
        <v>0</v>
      </c>
      <c r="Q283" s="5" t="n">
        <v>0</v>
      </c>
      <c r="R283" s="5" t="inlineStr">
        <is>
          <t>216-2022-12-31</t>
        </is>
      </c>
    </row>
    <row r="284">
      <c r="A284" s="5" t="n">
        <v>216</v>
      </c>
      <c r="B284" s="5" t="inlineStr">
        <is>
          <t>Disposición Ambientalmente Adecuada de Residuos Peligrosos</t>
        </is>
      </c>
      <c r="C284" s="5" t="inlineStr">
        <is>
          <t>GESTIÓN AMBIENTAL</t>
        </is>
      </c>
      <c r="D284" s="5" t="inlineStr">
        <is>
          <t>Anual</t>
        </is>
      </c>
      <c r="E284" s="5" t="inlineStr">
        <is>
          <t>Positivo</t>
        </is>
      </c>
      <c r="F284" s="107" t="n">
        <v>45291</v>
      </c>
      <c r="G284" s="5" t="n">
        <v>2023</v>
      </c>
      <c r="H284" s="5" t="inlineStr">
        <is>
          <t>Diciembre</t>
        </is>
      </c>
      <c r="I284" s="6" t="inlineStr">
        <is>
          <t>2023-2</t>
        </is>
      </c>
      <c r="J284" s="5" t="n">
        <v>100</v>
      </c>
      <c r="K284" s="5" t="n">
        <v>100</v>
      </c>
      <c r="L284" s="14">
        <f>IFERROR(IF(OR(J284=0,K284=""),"",IF(E284="Positivo",MIN(MAX(K284/J284,0),1.3),MIN(MAX(J284/K284,0),1.3))),"") </f>
        <v/>
      </c>
      <c r="M284" s="14">
        <f>IFERROR(IF(OR(J284=0,K284=""),"",IF(E284="Positivo",MAX(K284/J284,0),MAX(J284/K284,0))),"") </f>
        <v/>
      </c>
      <c r="N284" s="5" t="inlineStr">
        <is>
          <t>%</t>
        </is>
      </c>
      <c r="O284" s="5" t="inlineStr">
        <is>
          <t>%</t>
        </is>
      </c>
      <c r="P284" s="5" t="n">
        <v>0</v>
      </c>
      <c r="Q284" s="5" t="n">
        <v>0</v>
      </c>
      <c r="R284" s="5" t="inlineStr">
        <is>
          <t>216-2023-12-31</t>
        </is>
      </c>
    </row>
    <row r="285">
      <c r="A285" s="5" t="n">
        <v>216</v>
      </c>
      <c r="B285" s="5" t="inlineStr">
        <is>
          <t>Disposición Ambientalmente Adecuada de Residuos Peligrosos</t>
        </is>
      </c>
      <c r="C285" s="5" t="inlineStr">
        <is>
          <t>GESTIÓN AMBIENTAL</t>
        </is>
      </c>
      <c r="D285" s="5" t="inlineStr">
        <is>
          <t>Anual</t>
        </is>
      </c>
      <c r="E285" s="5" t="inlineStr">
        <is>
          <t>Positivo</t>
        </is>
      </c>
      <c r="F285" s="107" t="n">
        <v>45657</v>
      </c>
      <c r="G285" s="5" t="n">
        <v>2024</v>
      </c>
      <c r="H285" s="5" t="inlineStr">
        <is>
          <t>Diciembre</t>
        </is>
      </c>
      <c r="I285" s="6" t="inlineStr">
        <is>
          <t>2024-2</t>
        </is>
      </c>
      <c r="J285" s="5" t="n">
        <v>100</v>
      </c>
      <c r="K285" s="5" t="n">
        <v>100</v>
      </c>
      <c r="L285" s="14">
        <f>IFERROR(IF(OR(J285=0,K285=""),"",IF(E285="Positivo",MIN(MAX(K285/J285,0),1.3),MIN(MAX(J285/K285,0),1.3))),"") </f>
        <v/>
      </c>
      <c r="M285" s="14">
        <f>IFERROR(IF(OR(J285=0,K285=""),"",IF(E285="Positivo",MAX(K285/J285,0),MAX(J285/K285,0))),"") </f>
        <v/>
      </c>
      <c r="N285" s="5" t="inlineStr">
        <is>
          <t>%</t>
        </is>
      </c>
      <c r="O285" s="5" t="inlineStr">
        <is>
          <t>%</t>
        </is>
      </c>
      <c r="P285" s="5" t="n">
        <v>0</v>
      </c>
      <c r="Q285" s="5" t="n">
        <v>0</v>
      </c>
      <c r="R285" s="5" t="inlineStr">
        <is>
          <t>216-2024-12-31</t>
        </is>
      </c>
    </row>
    <row r="286">
      <c r="A286" s="5" t="n">
        <v>216</v>
      </c>
      <c r="B286" s="5" t="inlineStr">
        <is>
          <t>Disposición Ambientalmente Adecuada de Residuos Peligrosos</t>
        </is>
      </c>
      <c r="C286" s="5" t="inlineStr">
        <is>
          <t>GESTIÓN AMBIENTAL</t>
        </is>
      </c>
      <c r="D286" s="5" t="inlineStr">
        <is>
          <t>Anual</t>
        </is>
      </c>
      <c r="E286" s="5" t="inlineStr">
        <is>
          <t>Positivo</t>
        </is>
      </c>
      <c r="F286" s="107" t="n">
        <v>46022</v>
      </c>
      <c r="G286" s="5" t="n">
        <v>2025</v>
      </c>
      <c r="H286" s="5" t="inlineStr">
        <is>
          <t>Diciembre</t>
        </is>
      </c>
      <c r="I286" s="6" t="inlineStr">
        <is>
          <t>2025-2</t>
        </is>
      </c>
      <c r="J286" s="5" t="n">
        <v>100</v>
      </c>
      <c r="K286" s="5" t="n">
        <v>100</v>
      </c>
      <c r="L286" s="14">
        <f>IFERROR(IF(OR(J286=0,K286=""),"",IF(E286="Positivo",MIN(MAX(K286/J286,0),1.3),MIN(MAX(J286/K286,0),1.3))),"") </f>
        <v/>
      </c>
      <c r="M286" s="14">
        <f>IFERROR(IF(OR(J286=0,K286=""),"",IF(E286="Positivo",MAX(K286/J286,0),MAX(J286/K286,0))),"") </f>
        <v/>
      </c>
      <c r="N286" s="5" t="inlineStr">
        <is>
          <t>%</t>
        </is>
      </c>
      <c r="O286" s="5" t="inlineStr">
        <is>
          <t>%</t>
        </is>
      </c>
      <c r="P286" s="5" t="n">
        <v>0</v>
      </c>
      <c r="Q286" s="5" t="n">
        <v>0</v>
      </c>
      <c r="R286" s="5" t="inlineStr">
        <is>
          <t>216-2025-12-31</t>
        </is>
      </c>
    </row>
    <row r="287">
      <c r="A287" s="5" t="n">
        <v>217</v>
      </c>
      <c r="B287" s="5" t="inlineStr">
        <is>
          <t>Aprovechamiento de Residuos</t>
        </is>
      </c>
      <c r="C287" s="5" t="inlineStr">
        <is>
          <t>GESTIÓN AMBIENTAL</t>
        </is>
      </c>
      <c r="D287" s="5" t="inlineStr">
        <is>
          <t>Mensual</t>
        </is>
      </c>
      <c r="E287" s="5" t="inlineStr">
        <is>
          <t>Positivo</t>
        </is>
      </c>
      <c r="F287" s="107" t="n">
        <v>44926</v>
      </c>
      <c r="G287" s="5" t="n">
        <v>2022</v>
      </c>
      <c r="H287" s="5" t="inlineStr">
        <is>
          <t>Diciembre</t>
        </is>
      </c>
      <c r="I287" s="6" t="inlineStr">
        <is>
          <t>2022-2</t>
        </is>
      </c>
      <c r="J287" s="5" t="n">
        <v>20</v>
      </c>
      <c r="K287" s="5" t="n"/>
      <c r="L287" s="14" t="n"/>
      <c r="M287" s="14" t="n"/>
      <c r="N287" s="5" t="inlineStr">
        <is>
          <t>%</t>
        </is>
      </c>
      <c r="O287" s="5" t="inlineStr">
        <is>
          <t>No Aplica</t>
        </is>
      </c>
      <c r="P287" s="5" t="n">
        <v>0</v>
      </c>
      <c r="Q287" s="5" t="n">
        <v>0</v>
      </c>
      <c r="R287" s="5" t="inlineStr">
        <is>
          <t>217-2022-12-31</t>
        </is>
      </c>
      <c r="S287" t="inlineStr">
        <is>
          <t>No Aplica</t>
        </is>
      </c>
    </row>
    <row r="288">
      <c r="A288" s="5" t="n">
        <v>217</v>
      </c>
      <c r="B288" s="5" t="inlineStr">
        <is>
          <t>Aprovechamiento de Residuos</t>
        </is>
      </c>
      <c r="C288" s="5" t="inlineStr">
        <is>
          <t>GESTIÓN AMBIENTAL</t>
        </is>
      </c>
      <c r="D288" s="5" t="inlineStr">
        <is>
          <t>Mensual</t>
        </is>
      </c>
      <c r="E288" s="5" t="inlineStr">
        <is>
          <t>Positivo</t>
        </is>
      </c>
      <c r="F288" s="107" t="n">
        <v>45291</v>
      </c>
      <c r="G288" s="5" t="n">
        <v>2023</v>
      </c>
      <c r="H288" s="5" t="inlineStr">
        <is>
          <t>Diciembre</t>
        </is>
      </c>
      <c r="I288" s="6" t="inlineStr">
        <is>
          <t>2023-2</t>
        </is>
      </c>
      <c r="J288" s="5" t="n">
        <v>240</v>
      </c>
      <c r="K288" s="5" t="n">
        <v>453.0290027272653</v>
      </c>
      <c r="L288" s="14">
        <f>IFERROR(IF(OR(J288=0,K288=""),"",IF(E288="Positivo",MIN(MAX(K288/J288,0),1.3),MIN(MAX(J288/K288,0),1.3))),"") </f>
        <v/>
      </c>
      <c r="M288" s="14">
        <f>IFERROR(IF(OR(J288=0,K288=""),"",IF(E288="Positivo",MAX(K288/J288,0),MAX(J288/K288,0))),"") </f>
        <v/>
      </c>
      <c r="N288" s="5" t="inlineStr">
        <is>
          <t>%</t>
        </is>
      </c>
      <c r="O288" s="5" t="inlineStr">
        <is>
          <t>%</t>
        </is>
      </c>
      <c r="P288" s="5" t="n">
        <v>0</v>
      </c>
      <c r="Q288" s="5" t="n">
        <v>0</v>
      </c>
      <c r="R288" s="5" t="inlineStr">
        <is>
          <t>217-2023-12-31</t>
        </is>
      </c>
    </row>
    <row r="289">
      <c r="A289" s="5" t="n">
        <v>217</v>
      </c>
      <c r="B289" s="5" t="inlineStr">
        <is>
          <t>Aprovechamiento de Residuos</t>
        </is>
      </c>
      <c r="C289" s="5" t="inlineStr">
        <is>
          <t>GESTIÓN AMBIENTAL</t>
        </is>
      </c>
      <c r="D289" s="5" t="inlineStr">
        <is>
          <t>Mensual</t>
        </is>
      </c>
      <c r="E289" s="5" t="inlineStr">
        <is>
          <t>Positivo</t>
        </is>
      </c>
      <c r="F289" s="107" t="n">
        <v>45657</v>
      </c>
      <c r="G289" s="5" t="n">
        <v>2024</v>
      </c>
      <c r="H289" s="5" t="inlineStr">
        <is>
          <t>Diciembre</t>
        </is>
      </c>
      <c r="I289" s="6" t="inlineStr">
        <is>
          <t>2024-2</t>
        </is>
      </c>
      <c r="J289" s="5" t="n">
        <v>240</v>
      </c>
      <c r="K289" s="5" t="n">
        <v>303.9027505108846</v>
      </c>
      <c r="L289" s="14">
        <f>IFERROR(IF(OR(J289=0,K289=""),"",IF(E289="Positivo",MIN(MAX(K289/J289,0),1.3),MIN(MAX(J289/K289,0),1.3))),"") </f>
        <v/>
      </c>
      <c r="M289" s="14">
        <f>IFERROR(IF(OR(J289=0,K289=""),"",IF(E289="Positivo",MAX(K289/J289,0),MAX(J289/K289,0))),"") </f>
        <v/>
      </c>
      <c r="N289" s="5" t="inlineStr">
        <is>
          <t>%</t>
        </is>
      </c>
      <c r="O289" s="5" t="inlineStr">
        <is>
          <t>%</t>
        </is>
      </c>
      <c r="P289" s="5" t="n">
        <v>0</v>
      </c>
      <c r="Q289" s="5" t="n">
        <v>0</v>
      </c>
      <c r="R289" s="5" t="inlineStr">
        <is>
          <t>217-2024-12-31</t>
        </is>
      </c>
    </row>
    <row r="290">
      <c r="A290" s="5" t="n">
        <v>217</v>
      </c>
      <c r="B290" s="5" t="inlineStr">
        <is>
          <t>Aprovechamiento de Residuos</t>
        </is>
      </c>
      <c r="C290" s="5" t="inlineStr">
        <is>
          <t>GESTIÓN AMBIENTAL</t>
        </is>
      </c>
      <c r="D290" s="5" t="inlineStr">
        <is>
          <t>Mensual</t>
        </is>
      </c>
      <c r="E290" s="5" t="inlineStr">
        <is>
          <t>Positivo</t>
        </is>
      </c>
      <c r="F290" s="107" t="n">
        <v>46022</v>
      </c>
      <c r="G290" s="5" t="n">
        <v>2025</v>
      </c>
      <c r="H290" s="5" t="inlineStr">
        <is>
          <t>Diciembre</t>
        </is>
      </c>
      <c r="I290" s="6" t="inlineStr">
        <is>
          <t>2025-2</t>
        </is>
      </c>
      <c r="J290" s="5" t="n">
        <v>240</v>
      </c>
      <c r="K290" s="5" t="n">
        <v>877.0699999999999</v>
      </c>
      <c r="L290" s="14">
        <f>IFERROR(IF(OR(J290=0,K290=""),"",IF(E290="Positivo",MIN(MAX(K290/J290,0),1.3),MIN(MAX(J290/K290,0),1.3))),"") </f>
        <v/>
      </c>
      <c r="M290" s="14">
        <f>IFERROR(IF(OR(J290=0,K290=""),"",IF(E290="Positivo",MAX(K290/J290,0),MAX(J290/K290,0))),"") </f>
        <v/>
      </c>
      <c r="N290" s="5" t="inlineStr">
        <is>
          <t>%</t>
        </is>
      </c>
      <c r="O290" s="5" t="inlineStr">
        <is>
          <t>%</t>
        </is>
      </c>
      <c r="P290" s="5" t="n">
        <v>0</v>
      </c>
      <c r="Q290" s="5" t="n">
        <v>0</v>
      </c>
      <c r="R290" s="5" t="inlineStr">
        <is>
          <t>217-2025-12-31</t>
        </is>
      </c>
    </row>
    <row r="291">
      <c r="A291" s="5" t="n">
        <v>218</v>
      </c>
      <c r="B291" s="5" t="inlineStr">
        <is>
          <t>Consumo de Energía Eléctrica kWh Mensual</t>
        </is>
      </c>
      <c r="C291" s="5" t="inlineStr">
        <is>
          <t>GESTIÓN AMBIENTAL</t>
        </is>
      </c>
      <c r="D291" s="5" t="inlineStr">
        <is>
          <t>Mensual</t>
        </is>
      </c>
      <c r="E291" s="5" t="inlineStr">
        <is>
          <t>Negativo</t>
        </is>
      </c>
      <c r="F291" s="107" t="n">
        <v>44926</v>
      </c>
      <c r="G291" s="5" t="n">
        <v>2022</v>
      </c>
      <c r="H291" s="5" t="inlineStr">
        <is>
          <t>Diciembre</t>
        </is>
      </c>
      <c r="I291" s="6" t="inlineStr">
        <is>
          <t>2022-2</t>
        </is>
      </c>
      <c r="J291" s="5" t="n">
        <v>2064000</v>
      </c>
      <c r="K291" s="5" t="n">
        <v>0</v>
      </c>
      <c r="L291" s="14">
        <f>IFERROR(IF(OR(J291=0,K291=""),"",IF(E291="Positivo",MIN(MAX(K291/J291,0),1.0),MIN(MAX(J291/K291,0),1.0))),"") </f>
        <v/>
      </c>
      <c r="M291" s="14">
        <f>IFERROR(IF(OR(J291=0,K291=""),"",IF(E291="Positivo",MAX(K291/J291,0),MAX(J291/K291,0))),"") </f>
        <v/>
      </c>
      <c r="N291" s="5" t="inlineStr">
        <is>
          <t>kWh</t>
        </is>
      </c>
      <c r="O291" s="5" t="inlineStr">
        <is>
          <t>kWh</t>
        </is>
      </c>
      <c r="P291" s="5" t="n">
        <v>0</v>
      </c>
      <c r="Q291" s="5" t="n">
        <v>0</v>
      </c>
      <c r="R291" s="5" t="inlineStr">
        <is>
          <t>218-2022-12-31</t>
        </is>
      </c>
    </row>
    <row r="292">
      <c r="A292" s="5" t="n">
        <v>218</v>
      </c>
      <c r="B292" s="5" t="inlineStr">
        <is>
          <t>Consumo de Energía Eléctrica kWh Mensual</t>
        </is>
      </c>
      <c r="C292" s="5" t="inlineStr">
        <is>
          <t>GESTIÓN AMBIENTAL</t>
        </is>
      </c>
      <c r="D292" s="5" t="inlineStr">
        <is>
          <t>Mensual</t>
        </is>
      </c>
      <c r="E292" s="5" t="inlineStr">
        <is>
          <t>Negativo</t>
        </is>
      </c>
      <c r="F292" s="107" t="n">
        <v>45291</v>
      </c>
      <c r="G292" s="5" t="n">
        <v>2023</v>
      </c>
      <c r="H292" s="5" t="inlineStr">
        <is>
          <t>Diciembre</t>
        </is>
      </c>
      <c r="I292" s="6" t="inlineStr">
        <is>
          <t>2023-2</t>
        </is>
      </c>
      <c r="J292" s="5" t="n">
        <v>2064000</v>
      </c>
      <c r="K292" s="5" t="n">
        <v>1604699.23</v>
      </c>
      <c r="L292" s="14">
        <f>IFERROR(IF(OR(J292=0,K292=""),"",IF(E292="Positivo",MIN(MAX(K292/J292,0),1.0),MIN(MAX(J292/K292,0),1.0))),"") </f>
        <v/>
      </c>
      <c r="M292" s="14">
        <f>IFERROR(IF(OR(J292=0,K292=""),"",IF(E292="Positivo",MAX(K292/J292,0),MAX(J292/K292,0))),"") </f>
        <v/>
      </c>
      <c r="N292" s="5" t="inlineStr">
        <is>
          <t>kWh</t>
        </is>
      </c>
      <c r="O292" s="5" t="inlineStr">
        <is>
          <t>kWh</t>
        </is>
      </c>
      <c r="P292" s="5" t="n">
        <v>0</v>
      </c>
      <c r="Q292" s="5" t="n">
        <v>0</v>
      </c>
      <c r="R292" s="5" t="inlineStr">
        <is>
          <t>218-2023-12-31</t>
        </is>
      </c>
    </row>
    <row r="293">
      <c r="A293" s="5" t="n">
        <v>218</v>
      </c>
      <c r="B293" s="5" t="inlineStr">
        <is>
          <t>Consumo de Energía Eléctrica kWh Mensual</t>
        </is>
      </c>
      <c r="C293" s="5" t="inlineStr">
        <is>
          <t>GESTIÓN AMBIENTAL</t>
        </is>
      </c>
      <c r="D293" s="5" t="inlineStr">
        <is>
          <t>Mensual</t>
        </is>
      </c>
      <c r="E293" s="5" t="inlineStr">
        <is>
          <t>Negativo</t>
        </is>
      </c>
      <c r="F293" s="107" t="n">
        <v>45657</v>
      </c>
      <c r="G293" s="5" t="n">
        <v>2024</v>
      </c>
      <c r="H293" s="5" t="inlineStr">
        <is>
          <t>Diciembre</t>
        </is>
      </c>
      <c r="I293" s="6" t="inlineStr">
        <is>
          <t>2024-2</t>
        </is>
      </c>
      <c r="J293" s="5" t="n">
        <v>2064000</v>
      </c>
      <c r="K293" s="5" t="n">
        <v>1724302.82</v>
      </c>
      <c r="L293" s="14">
        <f>IFERROR(IF(OR(J293=0,K293=""),"",IF(E293="Positivo",MIN(MAX(K293/J293,0),1.0),MIN(MAX(J293/K293,0),1.0))),"") </f>
        <v/>
      </c>
      <c r="M293" s="14">
        <f>IFERROR(IF(OR(J293=0,K293=""),"",IF(E293="Positivo",MAX(K293/J293,0),MAX(J293/K293,0))),"") </f>
        <v/>
      </c>
      <c r="N293" s="5" t="inlineStr">
        <is>
          <t>kWh</t>
        </is>
      </c>
      <c r="O293" s="5" t="inlineStr">
        <is>
          <t>kWh</t>
        </is>
      </c>
      <c r="P293" s="5" t="n">
        <v>0</v>
      </c>
      <c r="Q293" s="5" t="n">
        <v>0</v>
      </c>
      <c r="R293" s="5" t="inlineStr">
        <is>
          <t>218-2024-12-31</t>
        </is>
      </c>
    </row>
    <row r="294">
      <c r="A294" s="5" t="n">
        <v>218</v>
      </c>
      <c r="B294" s="5" t="inlineStr">
        <is>
          <t>Consumo de Energía Eléctrica kWh Mensual</t>
        </is>
      </c>
      <c r="C294" s="5" t="inlineStr">
        <is>
          <t>GESTIÓN AMBIENTAL</t>
        </is>
      </c>
      <c r="D294" s="5" t="inlineStr">
        <is>
          <t>Mensual</t>
        </is>
      </c>
      <c r="E294" s="5" t="inlineStr">
        <is>
          <t>Negativo</t>
        </is>
      </c>
      <c r="F294" s="107" t="n">
        <v>46022</v>
      </c>
      <c r="G294" s="5" t="n">
        <v>2025</v>
      </c>
      <c r="H294" s="5" t="inlineStr">
        <is>
          <t>Diciembre</t>
        </is>
      </c>
      <c r="I294" s="6" t="inlineStr">
        <is>
          <t>2025-2</t>
        </is>
      </c>
      <c r="J294" s="5" t="n">
        <v>2064000</v>
      </c>
      <c r="K294" s="5" t="n">
        <v>1661978.66</v>
      </c>
      <c r="L294" s="49">
        <f>IFERROR(IF(OR(J294=0,K294=""),"",IF(E294="Positivo",MIN(MAX(K294/J294,0),1.0),MIN(MAX(J294/K294,0),1.0))),"") </f>
        <v/>
      </c>
      <c r="M294" s="14">
        <f>IFERROR(IF(OR(J294=0,K294=""),"",IF(E294="Positivo",MAX(K294/J294,0),MAX(J294/K294,0))),"") </f>
        <v/>
      </c>
      <c r="N294" s="5" t="inlineStr">
        <is>
          <t>kWh</t>
        </is>
      </c>
      <c r="O294" s="5" t="inlineStr">
        <is>
          <t>kWh</t>
        </is>
      </c>
      <c r="P294" s="5" t="n">
        <v>0</v>
      </c>
      <c r="Q294" s="5" t="n">
        <v>0</v>
      </c>
      <c r="R294" s="5" t="inlineStr">
        <is>
          <t>218-2025-12-31</t>
        </is>
      </c>
    </row>
    <row r="295">
      <c r="A295" s="5" t="n">
        <v>218</v>
      </c>
      <c r="B295" s="5" t="inlineStr">
        <is>
          <t>Consumo de Energía Eléctrica kWh Mensual</t>
        </is>
      </c>
      <c r="C295" s="5" t="inlineStr">
        <is>
          <t>GESTIÓN AMBIENTAL</t>
        </is>
      </c>
      <c r="D295" s="5" t="inlineStr">
        <is>
          <t>Mensual</t>
        </is>
      </c>
      <c r="E295" s="5" t="inlineStr">
        <is>
          <t>Negativo</t>
        </is>
      </c>
      <c r="F295" s="107" t="n">
        <v>46053</v>
      </c>
      <c r="G295" s="5" t="n">
        <v>2026</v>
      </c>
      <c r="H295" s="5" t="inlineStr">
        <is>
          <t>Enero</t>
        </is>
      </c>
      <c r="I295" s="6" t="inlineStr">
        <is>
          <t>2026-1</t>
        </is>
      </c>
      <c r="J295" s="5" t="n">
        <v>172000</v>
      </c>
      <c r="K295" s="5" t="n">
        <v>88930.98890626431</v>
      </c>
      <c r="L295" s="14">
        <f>IFERROR(IF(OR(J295=0,K295=""),"",IF(E295="Positivo",MIN(MAX(K295/J295,0),1.0),MIN(MAX(J295/K295,0),1.0))),"") </f>
        <v/>
      </c>
      <c r="M295" s="14">
        <f>IFERROR(IF(OR(J295=0,K295=""),"",IF(E295="Positivo",MAX(K295/J295,0),MAX(J295/K295,0))),"") </f>
        <v/>
      </c>
      <c r="N295" s="5" t="inlineStr">
        <is>
          <t>kWh</t>
        </is>
      </c>
      <c r="O295" s="5" t="inlineStr">
        <is>
          <t>kWh</t>
        </is>
      </c>
      <c r="P295" s="5" t="n">
        <v>0</v>
      </c>
      <c r="Q295" s="5" t="n">
        <v>0</v>
      </c>
      <c r="R295" s="5" t="inlineStr">
        <is>
          <t>218-2026-01-31</t>
        </is>
      </c>
      <c r="S295" t="inlineStr"/>
    </row>
    <row r="296">
      <c r="A296" s="5" t="n">
        <v>219</v>
      </c>
      <c r="B296" s="5" t="inlineStr">
        <is>
          <t>Disminución del Consumo de Energía Eléctrica per Cápita</t>
        </is>
      </c>
      <c r="C296" s="5" t="inlineStr">
        <is>
          <t>GESTIÓN AMBIENTAL</t>
        </is>
      </c>
      <c r="D296" s="5" t="inlineStr">
        <is>
          <t>Trimestral</t>
        </is>
      </c>
      <c r="E296" s="5" t="inlineStr">
        <is>
          <t>Positivo</t>
        </is>
      </c>
      <c r="F296" s="107" t="n">
        <v>44926</v>
      </c>
      <c r="G296" s="5" t="n">
        <v>2022</v>
      </c>
      <c r="H296" s="5" t="inlineStr">
        <is>
          <t>Diciembre</t>
        </is>
      </c>
      <c r="I296" s="6" t="inlineStr">
        <is>
          <t>2022-2</t>
        </is>
      </c>
      <c r="J296" s="5" t="n">
        <v>1</v>
      </c>
      <c r="K296" s="5" t="n">
        <v>-26.0522196435235</v>
      </c>
      <c r="L296" s="14">
        <f>IFERROR(IF(OR(J296=0,K296=""),"",IF(E296="Positivo",MIN(MAX(K296/J296,0),1.3),MIN(MAX(J296/K296,0),1.3))),"") </f>
        <v/>
      </c>
      <c r="M296" s="14">
        <f>IFERROR(IF(OR(J296=0,K296=""),"",IF(E296="Positivo",MAX(K296/J296,0),MAX(J296/K296,0))),"") </f>
        <v/>
      </c>
      <c r="N296" s="5" t="inlineStr">
        <is>
          <t>%</t>
        </is>
      </c>
      <c r="O296" s="5" t="inlineStr">
        <is>
          <t>%</t>
        </is>
      </c>
      <c r="P296" s="5" t="n">
        <v>0</v>
      </c>
      <c r="Q296" s="5" t="n">
        <v>0</v>
      </c>
      <c r="R296" s="5" t="inlineStr">
        <is>
          <t>219-2022-12-31</t>
        </is>
      </c>
    </row>
    <row r="297">
      <c r="A297" s="5" t="n">
        <v>219</v>
      </c>
      <c r="B297" s="5" t="inlineStr">
        <is>
          <t>Disminución del Consumo de Energía Eléctrica per Cápita</t>
        </is>
      </c>
      <c r="C297" s="5" t="inlineStr">
        <is>
          <t>GESTIÓN AMBIENTAL</t>
        </is>
      </c>
      <c r="D297" s="5" t="inlineStr">
        <is>
          <t>Semestral</t>
        </is>
      </c>
      <c r="E297" s="5" t="inlineStr">
        <is>
          <t>Positivo</t>
        </is>
      </c>
      <c r="F297" s="107" t="n">
        <v>45291</v>
      </c>
      <c r="G297" s="5" t="n">
        <v>2023</v>
      </c>
      <c r="H297" s="5" t="inlineStr">
        <is>
          <t>Diciembre</t>
        </is>
      </c>
      <c r="I297" s="6" t="inlineStr">
        <is>
          <t>2023-2</t>
        </is>
      </c>
      <c r="J297" s="5" t="n">
        <v>1</v>
      </c>
      <c r="K297" s="5" t="n">
        <v>7.628518413137146</v>
      </c>
      <c r="L297" s="14">
        <f>IFERROR(IF(OR(J297=0,K297=""),"",IF(E297="Positivo",MIN(MAX(K297/J297,0),1.3),MIN(MAX(J297/K297,0),1.3))),"") </f>
        <v/>
      </c>
      <c r="M297" s="14">
        <f>IFERROR(IF(OR(J297=0,K297=""),"",IF(E297="Positivo",MAX(K297/J297,0),MAX(J297/K297,0))),"") </f>
        <v/>
      </c>
      <c r="N297" s="5" t="inlineStr">
        <is>
          <t>%</t>
        </is>
      </c>
      <c r="O297" s="5" t="inlineStr">
        <is>
          <t>%</t>
        </is>
      </c>
      <c r="P297" s="5" t="n">
        <v>0</v>
      </c>
      <c r="Q297" s="5" t="n">
        <v>0</v>
      </c>
      <c r="R297" s="5" t="inlineStr">
        <is>
          <t>219-2023-12-31</t>
        </is>
      </c>
    </row>
    <row r="298">
      <c r="A298" s="5" t="n">
        <v>219</v>
      </c>
      <c r="B298" s="5" t="inlineStr">
        <is>
          <t>Disminución del Consumo de Energía Eléctrica per Cápita</t>
        </is>
      </c>
      <c r="C298" s="5" t="inlineStr">
        <is>
          <t>GESTIÓN AMBIENTAL</t>
        </is>
      </c>
      <c r="D298" s="5" t="inlineStr">
        <is>
          <t>Semestral</t>
        </is>
      </c>
      <c r="E298" s="5" t="inlineStr">
        <is>
          <t>Positivo</t>
        </is>
      </c>
      <c r="F298" s="107" t="n">
        <v>45657</v>
      </c>
      <c r="G298" s="5" t="n">
        <v>2024</v>
      </c>
      <c r="H298" s="5" t="inlineStr">
        <is>
          <t>Diciembre</t>
        </is>
      </c>
      <c r="I298" s="6" t="inlineStr">
        <is>
          <t>2024-2</t>
        </is>
      </c>
      <c r="J298" s="5" t="n">
        <v>1</v>
      </c>
      <c r="K298" s="5" t="n">
        <v>-0.2949999999999999</v>
      </c>
      <c r="L298" s="14">
        <f>IFERROR(IF(OR(J298=0,K298=""),"",IF(E298="Positivo",MIN(MAX(K298/J298,0),1.3),MIN(MAX(J298/K298,0),1.3))),"") </f>
        <v/>
      </c>
      <c r="M298" s="14">
        <f>IFERROR(IF(OR(J298=0,K298=""),"",IF(E298="Positivo",MAX(K298/J298,0),MAX(J298/K298,0))),"") </f>
        <v/>
      </c>
      <c r="N298" s="5" t="inlineStr">
        <is>
          <t>%</t>
        </is>
      </c>
      <c r="O298" s="5" t="inlineStr">
        <is>
          <t>%</t>
        </is>
      </c>
      <c r="P298" s="5" t="n">
        <v>0</v>
      </c>
      <c r="Q298" s="5" t="n">
        <v>0</v>
      </c>
      <c r="R298" s="5" t="inlineStr">
        <is>
          <t>219-2024-12-31</t>
        </is>
      </c>
    </row>
    <row r="299">
      <c r="A299" s="5" t="n">
        <v>219</v>
      </c>
      <c r="B299" s="5" t="inlineStr">
        <is>
          <t>Disminución del Consumo de Energía Eléctrica per Cápita</t>
        </is>
      </c>
      <c r="C299" s="5" t="inlineStr">
        <is>
          <t>GESTIÓN AMBIENTAL</t>
        </is>
      </c>
      <c r="D299" s="5" t="inlineStr">
        <is>
          <t>Trimestral</t>
        </is>
      </c>
      <c r="E299" s="5" t="inlineStr">
        <is>
          <t>Positivo</t>
        </is>
      </c>
      <c r="F299" s="107" t="n">
        <v>46022</v>
      </c>
      <c r="G299" s="5" t="n">
        <v>2025</v>
      </c>
      <c r="H299" s="5" t="inlineStr">
        <is>
          <t>Diciembre</t>
        </is>
      </c>
      <c r="I299" s="6" t="inlineStr">
        <is>
          <t>2025-2</t>
        </is>
      </c>
      <c r="J299" s="5" t="n">
        <v>1</v>
      </c>
      <c r="K299" s="5" t="n">
        <v>0.07499999999999929</v>
      </c>
      <c r="L299" s="14">
        <f>IFERROR(IF(OR(J299=0,K299=""),"",IF(E299="Positivo",MIN(MAX(K299/J299,0),1.3),MIN(MAX(J299/K299,0),1.3))),"") </f>
        <v/>
      </c>
      <c r="M299" s="14">
        <f>IFERROR(IF(OR(J299=0,K299=""),"",IF(E299="Positivo",MAX(K299/J299,0),MAX(J299/K299,0))),"") </f>
        <v/>
      </c>
      <c r="N299" s="5" t="inlineStr">
        <is>
          <t>%</t>
        </is>
      </c>
      <c r="O299" s="5" t="inlineStr">
        <is>
          <t>%</t>
        </is>
      </c>
      <c r="P299" s="5" t="n">
        <v>0</v>
      </c>
      <c r="Q299" s="5" t="n">
        <v>0</v>
      </c>
      <c r="R299" s="5" t="inlineStr">
        <is>
          <t>219-2025-12-31</t>
        </is>
      </c>
    </row>
    <row r="300">
      <c r="A300" s="5" t="n">
        <v>220</v>
      </c>
      <c r="B300" s="5" t="inlineStr">
        <is>
          <t>Disminución del Consumo de Agua per Cápita</t>
        </is>
      </c>
      <c r="C300" s="5" t="inlineStr">
        <is>
          <t>GESTIÓN AMBIENTAL</t>
        </is>
      </c>
      <c r="D300" s="5" t="inlineStr">
        <is>
          <t>Trimestral</t>
        </is>
      </c>
      <c r="E300" s="5" t="inlineStr">
        <is>
          <t>Positivo</t>
        </is>
      </c>
      <c r="F300" s="107" t="n">
        <v>44926</v>
      </c>
      <c r="G300" s="5" t="n">
        <v>2022</v>
      </c>
      <c r="H300" s="5" t="inlineStr">
        <is>
          <t>Diciembre</t>
        </is>
      </c>
      <c r="I300" s="6" t="inlineStr">
        <is>
          <t>2022-2</t>
        </is>
      </c>
      <c r="J300" s="5" t="n">
        <v>1</v>
      </c>
      <c r="K300" s="5" t="n">
        <v>-87.24648787075901</v>
      </c>
      <c r="L300" s="14">
        <f>IFERROR(IF(OR(J300=0,K300=""),"",IF(E300="Positivo",MIN(MAX(K300/J300,0),1.3),MIN(MAX(J300/K300,0),1.3))),"") </f>
        <v/>
      </c>
      <c r="M300" s="14">
        <f>IFERROR(IF(OR(J300=0,K300=""),"",IF(E300="Positivo",MAX(K300/J300,0),MAX(J300/K300,0))),"") </f>
        <v/>
      </c>
      <c r="N300" s="5" t="inlineStr">
        <is>
          <t>%</t>
        </is>
      </c>
      <c r="O300" s="5" t="inlineStr">
        <is>
          <t>%</t>
        </is>
      </c>
      <c r="P300" s="5" t="n">
        <v>0</v>
      </c>
      <c r="Q300" s="5" t="n">
        <v>0</v>
      </c>
      <c r="R300" s="5" t="inlineStr">
        <is>
          <t>220-2022-12-31</t>
        </is>
      </c>
    </row>
    <row r="301">
      <c r="A301" s="5" t="n">
        <v>220</v>
      </c>
      <c r="B301" s="5" t="inlineStr">
        <is>
          <t>Disminución del Consumo de Agua per Cápita</t>
        </is>
      </c>
      <c r="C301" s="5" t="inlineStr">
        <is>
          <t>GESTIÓN AMBIENTAL</t>
        </is>
      </c>
      <c r="D301" s="5" t="inlineStr">
        <is>
          <t>Semestral</t>
        </is>
      </c>
      <c r="E301" s="5" t="inlineStr">
        <is>
          <t>Positivo</t>
        </is>
      </c>
      <c r="F301" s="107" t="n">
        <v>45291</v>
      </c>
      <c r="G301" s="5" t="n">
        <v>2023</v>
      </c>
      <c r="H301" s="5" t="inlineStr">
        <is>
          <t>Diciembre</t>
        </is>
      </c>
      <c r="I301" s="6" t="inlineStr">
        <is>
          <t>2023-2</t>
        </is>
      </c>
      <c r="J301" s="5" t="n">
        <v>1</v>
      </c>
      <c r="K301" s="5" t="n">
        <v>1.049203896717607</v>
      </c>
      <c r="L301" s="14">
        <f>IFERROR(IF(OR(J301=0,K301=""),"",IF(E301="Positivo",MIN(MAX(K301/J301,0),1.3),MIN(MAX(J301/K301,0),1.3))),"") </f>
        <v/>
      </c>
      <c r="M301" s="14">
        <f>IFERROR(IF(OR(J301=0,K301=""),"",IF(E301="Positivo",MAX(K301/J301,0),MAX(J301/K301,0))),"") </f>
        <v/>
      </c>
      <c r="N301" s="5" t="inlineStr">
        <is>
          <t>%</t>
        </is>
      </c>
      <c r="O301" s="5" t="inlineStr">
        <is>
          <t>%</t>
        </is>
      </c>
      <c r="P301" s="5" t="n">
        <v>0</v>
      </c>
      <c r="Q301" s="5" t="n">
        <v>0</v>
      </c>
      <c r="R301" s="5" t="inlineStr">
        <is>
          <t>220-2023-12-31</t>
        </is>
      </c>
    </row>
    <row r="302">
      <c r="A302" s="5" t="n">
        <v>220</v>
      </c>
      <c r="B302" s="5" t="inlineStr">
        <is>
          <t>Disminución del Consumo de Agua per Cápita</t>
        </is>
      </c>
      <c r="C302" s="5" t="inlineStr">
        <is>
          <t>GESTIÓN AMBIENTAL</t>
        </is>
      </c>
      <c r="D302" s="5" t="inlineStr">
        <is>
          <t>Semestral</t>
        </is>
      </c>
      <c r="E302" s="5" t="inlineStr">
        <is>
          <t>Positivo</t>
        </is>
      </c>
      <c r="F302" s="107" t="n">
        <v>45657</v>
      </c>
      <c r="G302" s="5" t="n">
        <v>2024</v>
      </c>
      <c r="H302" s="5" t="inlineStr">
        <is>
          <t>Diciembre</t>
        </is>
      </c>
      <c r="I302" s="6" t="inlineStr">
        <is>
          <t>2024-2</t>
        </is>
      </c>
      <c r="J302" s="5" t="n">
        <v>1</v>
      </c>
      <c r="K302" s="5" t="n">
        <v>8.315000000000001</v>
      </c>
      <c r="L302" s="14">
        <f>IFERROR(IF(OR(J302=0,K302=""),"",IF(E302="Positivo",MIN(MAX(K302/J302,0),1.3),MIN(MAX(J302/K302,0),1.3))),"") </f>
        <v/>
      </c>
      <c r="M302" s="14">
        <f>IFERROR(IF(OR(J302=0,K302=""),"",IF(E302="Positivo",MAX(K302/J302,0),MAX(J302/K302,0))),"") </f>
        <v/>
      </c>
      <c r="N302" s="5" t="inlineStr">
        <is>
          <t>%</t>
        </is>
      </c>
      <c r="O302" s="5" t="inlineStr">
        <is>
          <t>%</t>
        </is>
      </c>
      <c r="P302" s="5" t="n">
        <v>0</v>
      </c>
      <c r="Q302" s="5" t="n">
        <v>0</v>
      </c>
      <c r="R302" s="5" t="inlineStr">
        <is>
          <t>220-2024-12-31</t>
        </is>
      </c>
    </row>
    <row r="303">
      <c r="A303" s="5" t="n">
        <v>220</v>
      </c>
      <c r="B303" s="5" t="inlineStr">
        <is>
          <t>Disminución del Consumo de Agua per Cápita</t>
        </is>
      </c>
      <c r="C303" s="5" t="inlineStr">
        <is>
          <t>GESTIÓN AMBIENTAL</t>
        </is>
      </c>
      <c r="D303" s="5" t="inlineStr">
        <is>
          <t>Trimestral</t>
        </is>
      </c>
      <c r="E303" s="5" t="inlineStr">
        <is>
          <t>Positivo</t>
        </is>
      </c>
      <c r="F303" s="107" t="n">
        <v>46022</v>
      </c>
      <c r="G303" s="5" t="n">
        <v>2025</v>
      </c>
      <c r="H303" s="5" t="inlineStr">
        <is>
          <t>Diciembre</t>
        </is>
      </c>
      <c r="I303" s="6" t="inlineStr">
        <is>
          <t>2025-2</t>
        </is>
      </c>
      <c r="J303" s="5" t="n">
        <v>1</v>
      </c>
      <c r="K303" s="5" t="n">
        <v>11.9</v>
      </c>
      <c r="L303" s="14">
        <f>IFERROR(IF(OR(J303=0,K303=""),"",IF(E303="Positivo",MIN(MAX(K303/J303,0),1.3),MIN(MAX(J303/K303,0),1.3))),"") </f>
        <v/>
      </c>
      <c r="M303" s="14">
        <f>IFERROR(IF(OR(J303=0,K303=""),"",IF(E303="Positivo",MAX(K303/J303,0),MAX(J303/K303,0))),"") </f>
        <v/>
      </c>
      <c r="N303" s="5" t="inlineStr">
        <is>
          <t>%</t>
        </is>
      </c>
      <c r="O303" s="5" t="inlineStr">
        <is>
          <t>%</t>
        </is>
      </c>
      <c r="P303" s="5" t="n">
        <v>0</v>
      </c>
      <c r="Q303" s="5" t="n">
        <v>0</v>
      </c>
      <c r="R303" s="5" t="inlineStr">
        <is>
          <t>220-2025-12-31</t>
        </is>
      </c>
    </row>
    <row r="304">
      <c r="A304" s="5" t="n">
        <v>221</v>
      </c>
      <c r="B304" s="5" t="inlineStr">
        <is>
          <t>Riesgo de la Calidad del Agua Potable</t>
        </is>
      </c>
      <c r="C304" s="5" t="inlineStr">
        <is>
          <t>GESTIÓN AMBIENTAL</t>
        </is>
      </c>
      <c r="D304" s="5" t="inlineStr">
        <is>
          <t>Anual</t>
        </is>
      </c>
      <c r="E304" s="5" t="inlineStr">
        <is>
          <t>Positivo</t>
        </is>
      </c>
      <c r="F304" s="107" t="n">
        <v>44926</v>
      </c>
      <c r="G304" s="5" t="n">
        <v>2022</v>
      </c>
      <c r="H304" s="5" t="inlineStr">
        <is>
          <t>Diciembre</t>
        </is>
      </c>
      <c r="I304" s="6" t="inlineStr">
        <is>
          <t>2022-2</t>
        </is>
      </c>
      <c r="J304" s="5" t="n">
        <v>100</v>
      </c>
      <c r="K304" s="5" t="n">
        <v>0</v>
      </c>
      <c r="L304" s="14">
        <f>IFERROR(IF(OR(J304=0,K304=""),"",IF(E304="Positivo",MIN(MAX(K304/J304,0),1.3),MIN(MAX(J304/K304,0),1.3))),"") </f>
        <v/>
      </c>
      <c r="M304" s="14">
        <f>IFERROR(IF(OR(J304=0,K304=""),"",IF(E304="Positivo",MAX(K304/J304,0),MAX(J304/K304,0))),"") </f>
        <v/>
      </c>
      <c r="N304" s="5" t="inlineStr">
        <is>
          <t>%</t>
        </is>
      </c>
      <c r="O304" s="5" t="inlineStr">
        <is>
          <t>%</t>
        </is>
      </c>
      <c r="P304" s="5" t="n">
        <v>0</v>
      </c>
      <c r="Q304" s="5" t="n">
        <v>0</v>
      </c>
      <c r="R304" s="5" t="inlineStr">
        <is>
          <t>221-2022-12-31</t>
        </is>
      </c>
    </row>
    <row r="305">
      <c r="A305" s="5" t="n">
        <v>221</v>
      </c>
      <c r="B305" s="5" t="inlineStr">
        <is>
          <t>Riesgo de la Calidad del Agua Potable</t>
        </is>
      </c>
      <c r="C305" s="5" t="inlineStr">
        <is>
          <t>GESTIÓN AMBIENTAL</t>
        </is>
      </c>
      <c r="D305" s="5" t="inlineStr">
        <is>
          <t>Anual</t>
        </is>
      </c>
      <c r="E305" s="5" t="inlineStr">
        <is>
          <t>Positivo</t>
        </is>
      </c>
      <c r="F305" s="107" t="n">
        <v>45291</v>
      </c>
      <c r="G305" s="5" t="n">
        <v>2023</v>
      </c>
      <c r="H305" s="5" t="inlineStr">
        <is>
          <t>Diciembre</t>
        </is>
      </c>
      <c r="I305" s="6" t="inlineStr">
        <is>
          <t>2023-2</t>
        </is>
      </c>
      <c r="J305" s="5" t="n">
        <v>100</v>
      </c>
      <c r="K305" s="5" t="n">
        <v>100</v>
      </c>
      <c r="L305" s="14">
        <f>IFERROR(IF(OR(J305=0,K305=""),"",IF(E305="Positivo",MIN(MAX(K305/J305,0),1.3),MIN(MAX(J305/K305,0),1.3))),"") </f>
        <v/>
      </c>
      <c r="M305" s="14">
        <f>IFERROR(IF(OR(J305=0,K305=""),"",IF(E305="Positivo",MAX(K305/J305,0),MAX(J305/K305,0))),"") </f>
        <v/>
      </c>
      <c r="N305" s="5" t="inlineStr">
        <is>
          <t>%</t>
        </is>
      </c>
      <c r="O305" s="5" t="inlineStr">
        <is>
          <t>%</t>
        </is>
      </c>
      <c r="P305" s="5" t="n">
        <v>0</v>
      </c>
      <c r="Q305" s="5" t="n">
        <v>0</v>
      </c>
      <c r="R305" s="5" t="inlineStr">
        <is>
          <t>221-2023-12-31</t>
        </is>
      </c>
    </row>
    <row r="306">
      <c r="A306" s="5" t="n">
        <v>221</v>
      </c>
      <c r="B306" s="5" t="inlineStr">
        <is>
          <t>Riesgo de la Calidad del Agua Potable</t>
        </is>
      </c>
      <c r="C306" s="5" t="inlineStr">
        <is>
          <t>GESTIÓN AMBIENTAL</t>
        </is>
      </c>
      <c r="D306" s="5" t="inlineStr">
        <is>
          <t>Anual</t>
        </is>
      </c>
      <c r="E306" s="5" t="inlineStr">
        <is>
          <t>Positivo</t>
        </is>
      </c>
      <c r="F306" s="107" t="n">
        <v>45657</v>
      </c>
      <c r="G306" s="5" t="n">
        <v>2024</v>
      </c>
      <c r="H306" s="5" t="inlineStr">
        <is>
          <t>Diciembre</t>
        </is>
      </c>
      <c r="I306" s="6" t="inlineStr">
        <is>
          <t>2024-2</t>
        </is>
      </c>
      <c r="J306" s="5" t="n">
        <v>100</v>
      </c>
      <c r="K306" s="5" t="n">
        <v>33.33</v>
      </c>
      <c r="L306" s="14">
        <f>IFERROR(IF(OR(J306=0,K306=""),"",IF(E306="Positivo",MIN(MAX(K306/J306,0),1.3),MIN(MAX(J306/K306,0),1.3))),"") </f>
        <v/>
      </c>
      <c r="M306" s="14">
        <f>IFERROR(IF(OR(J306=0,K306=""),"",IF(E306="Positivo",MAX(K306/J306,0),MAX(J306/K306,0))),"") </f>
        <v/>
      </c>
      <c r="N306" s="5" t="inlineStr">
        <is>
          <t>%</t>
        </is>
      </c>
      <c r="O306" s="5" t="inlineStr">
        <is>
          <t>%</t>
        </is>
      </c>
      <c r="P306" s="5" t="n">
        <v>0</v>
      </c>
      <c r="Q306" s="5" t="n">
        <v>0</v>
      </c>
      <c r="R306" s="5" t="inlineStr">
        <is>
          <t>221-2024-12-31</t>
        </is>
      </c>
    </row>
    <row r="307">
      <c r="A307" s="5" t="n">
        <v>221</v>
      </c>
      <c r="B307" s="5" t="inlineStr">
        <is>
          <t>Riesgo de la Calidad del Agua Potable</t>
        </is>
      </c>
      <c r="C307" s="5" t="inlineStr">
        <is>
          <t>GESTIÓN AMBIENTAL</t>
        </is>
      </c>
      <c r="D307" s="5" t="inlineStr">
        <is>
          <t>Anual</t>
        </is>
      </c>
      <c r="E307" s="5" t="inlineStr">
        <is>
          <t>Positivo</t>
        </is>
      </c>
      <c r="F307" s="107" t="n">
        <v>46022</v>
      </c>
      <c r="G307" s="5" t="n">
        <v>2025</v>
      </c>
      <c r="H307" s="5" t="inlineStr">
        <is>
          <t>Diciembre</t>
        </is>
      </c>
      <c r="I307" s="6" t="inlineStr">
        <is>
          <t>2025-2</t>
        </is>
      </c>
      <c r="J307" s="5" t="n">
        <v>100</v>
      </c>
      <c r="K307" s="5" t="n">
        <v>27.5</v>
      </c>
      <c r="L307" s="14">
        <f>IFERROR(IF(OR(J307=0,K307=""),"",IF(E307="Positivo",MIN(MAX(K307/J307,0),1.3),MIN(MAX(J307/K307,0),1.3))),"") </f>
        <v/>
      </c>
      <c r="M307" s="14">
        <f>IFERROR(IF(OR(J307=0,K307=""),"",IF(E307="Positivo",MAX(K307/J307,0),MAX(J307/K307,0))),"") </f>
        <v/>
      </c>
      <c r="N307" s="5" t="inlineStr">
        <is>
          <t>%</t>
        </is>
      </c>
      <c r="O307" s="5" t="inlineStr">
        <is>
          <t>%</t>
        </is>
      </c>
      <c r="P307" s="5" t="n">
        <v>0</v>
      </c>
      <c r="Q307" s="5" t="n">
        <v>0</v>
      </c>
      <c r="R307" s="5" t="inlineStr">
        <is>
          <t>221-2025-12-31</t>
        </is>
      </c>
    </row>
    <row r="308">
      <c r="A308" s="5" t="n">
        <v>222</v>
      </c>
      <c r="B308" s="5" t="inlineStr">
        <is>
          <t>Calidad de las Aguas Residuales Domesticas</t>
        </is>
      </c>
      <c r="C308" s="5" t="inlineStr">
        <is>
          <t>GESTIÓN AMBIENTAL</t>
        </is>
      </c>
      <c r="D308" s="5" t="inlineStr">
        <is>
          <t>Anual</t>
        </is>
      </c>
      <c r="E308" s="5" t="inlineStr">
        <is>
          <t>Positivo</t>
        </is>
      </c>
      <c r="F308" s="107" t="n">
        <v>44926</v>
      </c>
      <c r="G308" s="5" t="n">
        <v>2022</v>
      </c>
      <c r="H308" s="5" t="inlineStr">
        <is>
          <t>Diciembre</t>
        </is>
      </c>
      <c r="I308" s="6" t="inlineStr">
        <is>
          <t>2022-2</t>
        </is>
      </c>
      <c r="J308" s="5" t="n">
        <v>90</v>
      </c>
      <c r="K308" s="5" t="n">
        <v>93.75</v>
      </c>
      <c r="L308" s="14">
        <f>IFERROR(IF(OR(J308=0,K308=""),"",IF(E308="Positivo",MIN(MAX(K308/J308,0),1.3),MIN(MAX(J308/K308,0),1.3))),"") </f>
        <v/>
      </c>
      <c r="M308" s="14">
        <f>IFERROR(IF(OR(J308=0,K308=""),"",IF(E308="Positivo",MAX(K308/J308,0),MAX(J308/K308,0))),"") </f>
        <v/>
      </c>
      <c r="N308" s="5" t="inlineStr">
        <is>
          <t>%</t>
        </is>
      </c>
      <c r="O308" s="5" t="inlineStr">
        <is>
          <t>%</t>
        </is>
      </c>
      <c r="P308" s="5" t="n">
        <v>0</v>
      </c>
      <c r="Q308" s="5" t="n">
        <v>0</v>
      </c>
      <c r="R308" s="5" t="inlineStr">
        <is>
          <t>222-2022-12-31</t>
        </is>
      </c>
    </row>
    <row r="309">
      <c r="A309" s="5" t="n">
        <v>222</v>
      </c>
      <c r="B309" s="5" t="inlineStr">
        <is>
          <t>Calidad de las Aguas Residuales Domesticas</t>
        </is>
      </c>
      <c r="C309" s="5" t="inlineStr">
        <is>
          <t>GESTIÓN AMBIENTAL</t>
        </is>
      </c>
      <c r="D309" s="5" t="inlineStr">
        <is>
          <t>Anual</t>
        </is>
      </c>
      <c r="E309" s="5" t="inlineStr">
        <is>
          <t>Positivo</t>
        </is>
      </c>
      <c r="F309" s="107" t="n">
        <v>45291</v>
      </c>
      <c r="G309" s="5" t="n">
        <v>2023</v>
      </c>
      <c r="H309" s="5" t="inlineStr">
        <is>
          <t>Diciembre</t>
        </is>
      </c>
      <c r="I309" s="6" t="inlineStr">
        <is>
          <t>2023-2</t>
        </is>
      </c>
      <c r="J309" s="5" t="n">
        <v>90</v>
      </c>
      <c r="K309" s="5" t="n">
        <v>68.75</v>
      </c>
      <c r="L309" s="14">
        <f>IFERROR(IF(OR(J309=0,K309=""),"",IF(E309="Positivo",MIN(MAX(K309/J309,0),1.3),MIN(MAX(J309/K309,0),1.3))),"") </f>
        <v/>
      </c>
      <c r="M309" s="14">
        <f>IFERROR(IF(OR(J309=0,K309=""),"",IF(E309="Positivo",MAX(K309/J309,0),MAX(J309/K309,0))),"") </f>
        <v/>
      </c>
      <c r="N309" s="5" t="inlineStr">
        <is>
          <t>%</t>
        </is>
      </c>
      <c r="O309" s="5" t="inlineStr">
        <is>
          <t>%</t>
        </is>
      </c>
      <c r="P309" s="5" t="n">
        <v>0</v>
      </c>
      <c r="Q309" s="5" t="n">
        <v>0</v>
      </c>
      <c r="R309" s="5" t="inlineStr">
        <is>
          <t>222-2023-12-31</t>
        </is>
      </c>
    </row>
    <row r="310">
      <c r="A310" s="5" t="n">
        <v>222</v>
      </c>
      <c r="B310" s="5" t="inlineStr">
        <is>
          <t>Calidad de las Aguas Residuales Domesticas</t>
        </is>
      </c>
      <c r="C310" s="5" t="inlineStr">
        <is>
          <t>GESTIÓN AMBIENTAL</t>
        </is>
      </c>
      <c r="D310" s="5" t="inlineStr">
        <is>
          <t>Anual</t>
        </is>
      </c>
      <c r="E310" s="5" t="inlineStr">
        <is>
          <t>Positivo</t>
        </is>
      </c>
      <c r="F310" s="107" t="n">
        <v>45657</v>
      </c>
      <c r="G310" s="5" t="n">
        <v>2024</v>
      </c>
      <c r="H310" s="5" t="inlineStr">
        <is>
          <t>Diciembre</t>
        </is>
      </c>
      <c r="I310" s="6" t="inlineStr">
        <is>
          <t>2024-2</t>
        </is>
      </c>
      <c r="J310" s="5" t="n">
        <v>90</v>
      </c>
      <c r="K310" s="5" t="n">
        <v>68.75</v>
      </c>
      <c r="L310" s="14">
        <f>IFERROR(IF(OR(J310=0,K310=""),"",IF(E310="Positivo",MIN(MAX(K310/J310,0),1.3),MIN(MAX(J310/K310,0),1.3))),"") </f>
        <v/>
      </c>
      <c r="M310" s="14">
        <f>IFERROR(IF(OR(J310=0,K310=""),"",IF(E310="Positivo",MAX(K310/J310,0),MAX(J310/K310,0))),"") </f>
        <v/>
      </c>
      <c r="N310" s="5" t="inlineStr">
        <is>
          <t>%</t>
        </is>
      </c>
      <c r="O310" s="5" t="inlineStr">
        <is>
          <t>%</t>
        </is>
      </c>
      <c r="P310" s="5" t="n">
        <v>0</v>
      </c>
      <c r="Q310" s="5" t="n">
        <v>0</v>
      </c>
      <c r="R310" s="5" t="inlineStr">
        <is>
          <t>222-2024-12-31</t>
        </is>
      </c>
    </row>
    <row r="311">
      <c r="A311" s="5" t="n">
        <v>222</v>
      </c>
      <c r="B311" s="5" t="inlineStr">
        <is>
          <t>Calidad de las Aguas Residuales Domesticas</t>
        </is>
      </c>
      <c r="C311" s="5" t="inlineStr">
        <is>
          <t>GESTIÓN AMBIENTAL</t>
        </is>
      </c>
      <c r="D311" s="5" t="inlineStr">
        <is>
          <t>Anual</t>
        </is>
      </c>
      <c r="E311" s="5" t="inlineStr">
        <is>
          <t>Positivo</t>
        </is>
      </c>
      <c r="F311" s="107" t="n">
        <v>46022</v>
      </c>
      <c r="G311" s="5" t="n">
        <v>2025</v>
      </c>
      <c r="H311" s="5" t="inlineStr">
        <is>
          <t>Diciembre</t>
        </is>
      </c>
      <c r="I311" s="6" t="inlineStr">
        <is>
          <t>2025-2</t>
        </is>
      </c>
      <c r="J311" s="5" t="n">
        <v>90</v>
      </c>
      <c r="K311" s="5" t="n">
        <v>68.75</v>
      </c>
      <c r="L311" s="14">
        <f>IFERROR(IF(OR(J311=0,K311=""),"",IF(E311="Positivo",MIN(MAX(K311/J311,0),1.3),MIN(MAX(J311/K311,0),1.3))),"") </f>
        <v/>
      </c>
      <c r="M311" s="14">
        <f>IFERROR(IF(OR(J311=0,K311=""),"",IF(E311="Positivo",MAX(K311/J311,0),MAX(J311/K311,0))),"") </f>
        <v/>
      </c>
      <c r="N311" s="5" t="inlineStr">
        <is>
          <t>%</t>
        </is>
      </c>
      <c r="O311" s="5" t="inlineStr">
        <is>
          <t>%</t>
        </is>
      </c>
      <c r="P311" s="5" t="n">
        <v>0</v>
      </c>
      <c r="Q311" s="5" t="n">
        <v>0</v>
      </c>
      <c r="R311" s="5" t="inlineStr">
        <is>
          <t>222-2025-12-31</t>
        </is>
      </c>
    </row>
    <row r="312">
      <c r="A312" s="5" t="n">
        <v>223</v>
      </c>
      <c r="B312" s="5" t="inlineStr">
        <is>
          <t>Registro de Publicidad Exterior Visual</t>
        </is>
      </c>
      <c r="C312" s="5" t="inlineStr">
        <is>
          <t>GESTIÓN AMBIENTAL</t>
        </is>
      </c>
      <c r="D312" s="5" t="inlineStr">
        <is>
          <t>Anual</t>
        </is>
      </c>
      <c r="E312" s="5" t="inlineStr">
        <is>
          <t>Positivo</t>
        </is>
      </c>
      <c r="F312" s="107" t="n">
        <v>44926</v>
      </c>
      <c r="G312" s="5" t="n">
        <v>2022</v>
      </c>
      <c r="H312" s="5" t="inlineStr">
        <is>
          <t>Diciembre</t>
        </is>
      </c>
      <c r="I312" s="6" t="inlineStr">
        <is>
          <t>2022-2</t>
        </is>
      </c>
      <c r="J312" s="5" t="n">
        <v>100</v>
      </c>
      <c r="K312" s="5" t="n">
        <v>0</v>
      </c>
      <c r="L312" s="14">
        <f>IFERROR(IF(OR(J312=0,K312=""),"",IF(E312="Positivo",MIN(MAX(K312/J312,0),1.3),MIN(MAX(J312/K312,0),1.3))),"") </f>
        <v/>
      </c>
      <c r="M312" s="14">
        <f>IFERROR(IF(OR(J312=0,K312=""),"",IF(E312="Positivo",MAX(K312/J312,0),MAX(J312/K312,0))),"") </f>
        <v/>
      </c>
      <c r="N312" s="5" t="inlineStr">
        <is>
          <t>%</t>
        </is>
      </c>
      <c r="O312" s="5" t="inlineStr">
        <is>
          <t>%</t>
        </is>
      </c>
      <c r="P312" s="5" t="n">
        <v>0</v>
      </c>
      <c r="Q312" s="5" t="n">
        <v>0</v>
      </c>
      <c r="R312" s="5" t="inlineStr">
        <is>
          <t>223-2022-12-31</t>
        </is>
      </c>
    </row>
    <row r="313">
      <c r="A313" s="5" t="n">
        <v>223</v>
      </c>
      <c r="B313" s="5" t="inlineStr">
        <is>
          <t>Registro de Publicidad Exterior Visual</t>
        </is>
      </c>
      <c r="C313" s="5" t="inlineStr">
        <is>
          <t>GESTIÓN AMBIENTAL</t>
        </is>
      </c>
      <c r="D313" s="5" t="inlineStr">
        <is>
          <t>Anual</t>
        </is>
      </c>
      <c r="E313" s="5" t="inlineStr">
        <is>
          <t>Positivo</t>
        </is>
      </c>
      <c r="F313" s="107" t="n">
        <v>45291</v>
      </c>
      <c r="G313" s="5" t="n">
        <v>2023</v>
      </c>
      <c r="H313" s="5" t="inlineStr">
        <is>
          <t>Diciembre</t>
        </is>
      </c>
      <c r="I313" s="6" t="inlineStr">
        <is>
          <t>2023-2</t>
        </is>
      </c>
      <c r="J313" s="5" t="n">
        <v>100</v>
      </c>
      <c r="K313" s="5" t="n">
        <v>100</v>
      </c>
      <c r="L313" s="14">
        <f>IFERROR(IF(OR(J313=0,K313=""),"",IF(E313="Positivo",MIN(MAX(K313/J313,0),1.3),MIN(MAX(J313/K313,0),1.3))),"") </f>
        <v/>
      </c>
      <c r="M313" s="14">
        <f>IFERROR(IF(OR(J313=0,K313=""),"",IF(E313="Positivo",MAX(K313/J313,0),MAX(J313/K313,0))),"") </f>
        <v/>
      </c>
      <c r="N313" s="5" t="inlineStr">
        <is>
          <t>%</t>
        </is>
      </c>
      <c r="O313" s="5" t="inlineStr">
        <is>
          <t>%</t>
        </is>
      </c>
      <c r="P313" s="5" t="n">
        <v>0</v>
      </c>
      <c r="Q313" s="5" t="n">
        <v>0</v>
      </c>
      <c r="R313" s="5" t="inlineStr">
        <is>
          <t>223-2023-12-31</t>
        </is>
      </c>
    </row>
    <row r="314">
      <c r="A314" s="5" t="n">
        <v>223</v>
      </c>
      <c r="B314" s="5" t="inlineStr">
        <is>
          <t>Registro de Publicidad Exterior Visual</t>
        </is>
      </c>
      <c r="C314" s="5" t="inlineStr">
        <is>
          <t>GESTIÓN AMBIENTAL</t>
        </is>
      </c>
      <c r="D314" s="5" t="inlineStr">
        <is>
          <t>Anual</t>
        </is>
      </c>
      <c r="E314" s="5" t="inlineStr">
        <is>
          <t>Positivo</t>
        </is>
      </c>
      <c r="F314" s="107" t="n">
        <v>45657</v>
      </c>
      <c r="G314" s="5" t="n">
        <v>2024</v>
      </c>
      <c r="H314" s="5" t="inlineStr">
        <is>
          <t>Diciembre</t>
        </is>
      </c>
      <c r="I314" s="6" t="inlineStr">
        <is>
          <t>2024-2</t>
        </is>
      </c>
      <c r="J314" s="5" t="n">
        <v>100</v>
      </c>
      <c r="K314" s="5" t="n">
        <v>94.12</v>
      </c>
      <c r="L314" s="14">
        <f>IFERROR(IF(OR(J314=0,K314=""),"",IF(E314="Positivo",MIN(MAX(K314/J314,0),1.3),MIN(MAX(J314/K314,0),1.3))),"") </f>
        <v/>
      </c>
      <c r="M314" s="14">
        <f>IFERROR(IF(OR(J314=0,K314=""),"",IF(E314="Positivo",MAX(K314/J314,0),MAX(J314/K314,0))),"") </f>
        <v/>
      </c>
      <c r="N314" s="5" t="inlineStr">
        <is>
          <t>%</t>
        </is>
      </c>
      <c r="O314" s="5" t="inlineStr">
        <is>
          <t>%</t>
        </is>
      </c>
      <c r="P314" s="5" t="n">
        <v>0</v>
      </c>
      <c r="Q314" s="5" t="n">
        <v>0</v>
      </c>
      <c r="R314" s="5" t="inlineStr">
        <is>
          <t>223-2024-12-31</t>
        </is>
      </c>
    </row>
    <row r="315">
      <c r="A315" s="5" t="n">
        <v>223</v>
      </c>
      <c r="B315" s="5" t="inlineStr">
        <is>
          <t>Registro de Publicidad Exterior Visual</t>
        </is>
      </c>
      <c r="C315" s="5" t="inlineStr">
        <is>
          <t>GESTIÓN AMBIENTAL</t>
        </is>
      </c>
      <c r="D315" s="5" t="inlineStr">
        <is>
          <t>Anual</t>
        </is>
      </c>
      <c r="E315" s="5" t="inlineStr">
        <is>
          <t>Positivo</t>
        </is>
      </c>
      <c r="F315" s="107" t="n">
        <v>46022</v>
      </c>
      <c r="G315" s="5" t="n">
        <v>2025</v>
      </c>
      <c r="H315" s="5" t="inlineStr">
        <is>
          <t>Diciembre</t>
        </is>
      </c>
      <c r="I315" s="6" t="inlineStr">
        <is>
          <t>2025-2</t>
        </is>
      </c>
      <c r="J315" s="5" t="n">
        <v>100</v>
      </c>
      <c r="K315" s="5" t="n">
        <v>91.67</v>
      </c>
      <c r="L315" s="14">
        <f>IFERROR(IF(OR(J315=0,K315=""),"",IF(E315="Positivo",MIN(MAX(K315/J315,0),1.3),MIN(MAX(J315/K315,0),1.3))),"") </f>
        <v/>
      </c>
      <c r="M315" s="14">
        <f>IFERROR(IF(OR(J315=0,K315=""),"",IF(E315="Positivo",MAX(K315/J315,0),MAX(J315/K315,0))),"") </f>
        <v/>
      </c>
      <c r="N315" s="5" t="inlineStr">
        <is>
          <t>%</t>
        </is>
      </c>
      <c r="O315" s="5" t="inlineStr">
        <is>
          <t>%</t>
        </is>
      </c>
      <c r="P315" s="5" t="n">
        <v>0</v>
      </c>
      <c r="Q315" s="5" t="n">
        <v>0</v>
      </c>
      <c r="R315" s="5" t="inlineStr">
        <is>
          <t>223-2025-12-31</t>
        </is>
      </c>
    </row>
    <row r="316">
      <c r="A316" s="5" t="n">
        <v>224</v>
      </c>
      <c r="B316" s="5" t="inlineStr">
        <is>
          <t>Cumplimiento Nivel de Emisión de Ruido</t>
        </is>
      </c>
      <c r="C316" s="5" t="inlineStr">
        <is>
          <t>GESTIÓN AMBIENTAL</t>
        </is>
      </c>
      <c r="D316" s="5" t="inlineStr">
        <is>
          <t>Anual</t>
        </is>
      </c>
      <c r="E316" s="5" t="inlineStr">
        <is>
          <t>Positivo</t>
        </is>
      </c>
      <c r="F316" s="107" t="n">
        <v>44926</v>
      </c>
      <c r="G316" s="5" t="n">
        <v>2022</v>
      </c>
      <c r="H316" s="5" t="inlineStr">
        <is>
          <t>Diciembre</t>
        </is>
      </c>
      <c r="I316" s="6" t="inlineStr">
        <is>
          <t>2022-2</t>
        </is>
      </c>
      <c r="J316" s="5" t="n">
        <v>100</v>
      </c>
      <c r="K316" s="5" t="n">
        <v>71.42857142857143</v>
      </c>
      <c r="L316" s="14">
        <f>IFERROR(IF(OR(J316=0,K316=""),"",IF(E316="Positivo",MIN(MAX(K316/J316,0),1.3),MIN(MAX(J316/K316,0),1.3))),"") </f>
        <v/>
      </c>
      <c r="M316" s="14">
        <f>IFERROR(IF(OR(J316=0,K316=""),"",IF(E316="Positivo",MAX(K316/J316,0),MAX(J316/K316,0))),"") </f>
        <v/>
      </c>
      <c r="N316" s="5" t="inlineStr">
        <is>
          <t>%</t>
        </is>
      </c>
      <c r="O316" s="5" t="inlineStr">
        <is>
          <t>%</t>
        </is>
      </c>
      <c r="P316" s="5" t="n">
        <v>0</v>
      </c>
      <c r="Q316" s="5" t="n">
        <v>0</v>
      </c>
      <c r="R316" s="5" t="inlineStr">
        <is>
          <t>224-2022-12-31</t>
        </is>
      </c>
    </row>
    <row r="317">
      <c r="A317" s="5" t="n">
        <v>224</v>
      </c>
      <c r="B317" s="5" t="inlineStr">
        <is>
          <t>Cumplimiento Nivel de Emisión de Ruido</t>
        </is>
      </c>
      <c r="C317" s="5" t="inlineStr">
        <is>
          <t>GESTIÓN AMBIENTAL</t>
        </is>
      </c>
      <c r="D317" s="5" t="inlineStr">
        <is>
          <t>Anual</t>
        </is>
      </c>
      <c r="E317" s="5" t="inlineStr">
        <is>
          <t>Positivo</t>
        </is>
      </c>
      <c r="F317" s="107" t="n">
        <v>45291</v>
      </c>
      <c r="G317" s="5" t="n">
        <v>2023</v>
      </c>
      <c r="H317" s="5" t="inlineStr">
        <is>
          <t>Diciembre</t>
        </is>
      </c>
      <c r="I317" s="6" t="inlineStr">
        <is>
          <t>2023-2</t>
        </is>
      </c>
      <c r="J317" s="5" t="n">
        <v>100</v>
      </c>
      <c r="K317" s="5" t="n">
        <v>40</v>
      </c>
      <c r="L317" s="14">
        <f>IFERROR(IF(OR(J317=0,K317=""),"",IF(E317="Positivo",MIN(MAX(K317/J317,0),1.3),MIN(MAX(J317/K317,0),1.3))),"") </f>
        <v/>
      </c>
      <c r="M317" s="14">
        <f>IFERROR(IF(OR(J317=0,K317=""),"",IF(E317="Positivo",MAX(K317/J317,0),MAX(J317/K317,0))),"") </f>
        <v/>
      </c>
      <c r="N317" s="5" t="inlineStr">
        <is>
          <t>%</t>
        </is>
      </c>
      <c r="O317" s="5" t="inlineStr">
        <is>
          <t>%</t>
        </is>
      </c>
      <c r="P317" s="5" t="n">
        <v>0</v>
      </c>
      <c r="Q317" s="5" t="n">
        <v>0</v>
      </c>
      <c r="R317" s="5" t="inlineStr">
        <is>
          <t>224-2023-12-31</t>
        </is>
      </c>
    </row>
    <row r="318">
      <c r="A318" s="5" t="n">
        <v>224</v>
      </c>
      <c r="B318" s="5" t="inlineStr">
        <is>
          <t>Cumplimiento Nivel de Emisión de Ruido</t>
        </is>
      </c>
      <c r="C318" s="5" t="inlineStr">
        <is>
          <t>GESTIÓN AMBIENTAL</t>
        </is>
      </c>
      <c r="D318" s="5" t="inlineStr">
        <is>
          <t>Anual</t>
        </is>
      </c>
      <c r="E318" s="5" t="inlineStr">
        <is>
          <t>Positivo</t>
        </is>
      </c>
      <c r="F318" s="107" t="n">
        <v>45657</v>
      </c>
      <c r="G318" s="5" t="n">
        <v>2024</v>
      </c>
      <c r="H318" s="5" t="inlineStr">
        <is>
          <t>Diciembre</t>
        </is>
      </c>
      <c r="I318" s="6" t="inlineStr">
        <is>
          <t>2024-2</t>
        </is>
      </c>
      <c r="J318" s="5" t="n">
        <v>100</v>
      </c>
      <c r="K318" s="5" t="n">
        <v>100</v>
      </c>
      <c r="L318" s="14">
        <f>IFERROR(IF(OR(J318=0,K318=""),"",IF(E318="Positivo",MIN(MAX(K318/J318,0),1.3),MIN(MAX(J318/K318,0),1.3))),"") </f>
        <v/>
      </c>
      <c r="M318" s="14">
        <f>IFERROR(IF(OR(J318=0,K318=""),"",IF(E318="Positivo",MAX(K318/J318,0),MAX(J318/K318,0))),"") </f>
        <v/>
      </c>
      <c r="N318" s="5" t="inlineStr">
        <is>
          <t>%</t>
        </is>
      </c>
      <c r="O318" s="5" t="inlineStr">
        <is>
          <t>%</t>
        </is>
      </c>
      <c r="P318" s="5" t="n">
        <v>0</v>
      </c>
      <c r="Q318" s="5" t="n">
        <v>0</v>
      </c>
      <c r="R318" s="5" t="inlineStr">
        <is>
          <t>224-2024-12-31</t>
        </is>
      </c>
    </row>
    <row r="319">
      <c r="A319" s="5" t="n">
        <v>224</v>
      </c>
      <c r="B319" s="5" t="inlineStr">
        <is>
          <t>Cumplimiento Nivel de Emisión de Ruido</t>
        </is>
      </c>
      <c r="C319" s="5" t="inlineStr">
        <is>
          <t>GESTIÓN AMBIENTAL</t>
        </is>
      </c>
      <c r="D319" s="5" t="inlineStr">
        <is>
          <t>Anual</t>
        </is>
      </c>
      <c r="E319" s="5" t="inlineStr">
        <is>
          <t>Positivo</t>
        </is>
      </c>
      <c r="F319" s="107" t="n">
        <v>46022</v>
      </c>
      <c r="G319" s="5" t="n">
        <v>2025</v>
      </c>
      <c r="H319" s="5" t="inlineStr">
        <is>
          <t>Diciembre</t>
        </is>
      </c>
      <c r="I319" s="6" t="inlineStr">
        <is>
          <t>2025-2</t>
        </is>
      </c>
      <c r="J319" s="5" t="n">
        <v>100</v>
      </c>
      <c r="K319" s="5" t="n">
        <v>100</v>
      </c>
      <c r="L319" s="14">
        <f>IFERROR(IF(OR(J319=0,K319=""),"",IF(E319="Positivo",MIN(MAX(K319/J319,0),1.3),MIN(MAX(J319/K319,0),1.3))),"") </f>
        <v/>
      </c>
      <c r="M319" s="14">
        <f>IFERROR(IF(OR(J319=0,K319=""),"",IF(E319="Positivo",MAX(K319/J319,0),MAX(J319/K319,0))),"") </f>
        <v/>
      </c>
      <c r="N319" s="5" t="inlineStr">
        <is>
          <t>%</t>
        </is>
      </c>
      <c r="O319" s="5" t="inlineStr">
        <is>
          <t>%</t>
        </is>
      </c>
      <c r="P319" s="5" t="n">
        <v>0</v>
      </c>
      <c r="Q319" s="5" t="n">
        <v>0</v>
      </c>
      <c r="R319" s="5" t="inlineStr">
        <is>
          <t>224-2025-12-31</t>
        </is>
      </c>
    </row>
    <row r="320">
      <c r="A320" s="5" t="n">
        <v>225</v>
      </c>
      <c r="B320" s="5" t="inlineStr">
        <is>
          <t>Acciones para el Cuidado y Mantenimiento de las Especies de Flora y el Suelo de las Áreas Naturales</t>
        </is>
      </c>
      <c r="C320" s="5" t="inlineStr">
        <is>
          <t>GESTIÓN AMBIENTAL</t>
        </is>
      </c>
      <c r="D320" s="5" t="inlineStr">
        <is>
          <t>Mensual</t>
        </is>
      </c>
      <c r="E320" s="5" t="inlineStr">
        <is>
          <t>Positivo</t>
        </is>
      </c>
      <c r="F320" s="107" t="n">
        <v>44926</v>
      </c>
      <c r="G320" s="5" t="n">
        <v>2022</v>
      </c>
      <c r="H320" s="5" t="inlineStr">
        <is>
          <t>Diciembre</t>
        </is>
      </c>
      <c r="I320" s="6" t="inlineStr">
        <is>
          <t>2022-2</t>
        </is>
      </c>
      <c r="J320" s="5" t="n">
        <v>1</v>
      </c>
      <c r="K320" s="5" t="n">
        <v>0</v>
      </c>
      <c r="L320" s="14">
        <f>IFERROR(IF(OR(J320=0,K320=""),"",IF(E320="Positivo",MIN(MAX(K320/J320,0),1.3),MIN(MAX(J320/K320,0),1.3))),"") </f>
        <v/>
      </c>
      <c r="M320" s="14">
        <f>IFERROR(IF(OR(J320=0,K320=""),"",IF(E320="Positivo",MAX(K320/J320,0),MAX(J320/K320,0))),"") </f>
        <v/>
      </c>
      <c r="N320" s="5" t="inlineStr">
        <is>
          <t>%</t>
        </is>
      </c>
      <c r="O320" s="5" t="inlineStr">
        <is>
          <t>%</t>
        </is>
      </c>
      <c r="P320" s="5" t="n">
        <v>0</v>
      </c>
      <c r="Q320" s="5" t="n">
        <v>0</v>
      </c>
      <c r="R320" s="5" t="inlineStr">
        <is>
          <t>225-2022-12-31</t>
        </is>
      </c>
    </row>
    <row r="321">
      <c r="A321" s="5" t="n">
        <v>225</v>
      </c>
      <c r="B321" s="5" t="inlineStr">
        <is>
          <t>Acciones para el Cuidado y Mantenimiento de las Especies de Flora y el Suelo de las Áreas Naturales</t>
        </is>
      </c>
      <c r="C321" s="5" t="inlineStr">
        <is>
          <t>GESTIÓN AMBIENTAL</t>
        </is>
      </c>
      <c r="D321" s="5" t="inlineStr">
        <is>
          <t>Mensual</t>
        </is>
      </c>
      <c r="E321" s="5" t="inlineStr">
        <is>
          <t>Positivo</t>
        </is>
      </c>
      <c r="F321" s="107" t="n">
        <v>45291</v>
      </c>
      <c r="G321" s="5" t="n">
        <v>2023</v>
      </c>
      <c r="H321" s="5" t="inlineStr">
        <is>
          <t>Diciembre</t>
        </is>
      </c>
      <c r="I321" s="6" t="inlineStr">
        <is>
          <t>2023-2</t>
        </is>
      </c>
      <c r="J321" s="5" t="n">
        <v>1</v>
      </c>
      <c r="K321" s="5" t="n">
        <v>20.41666666666667</v>
      </c>
      <c r="L321" s="14">
        <f>IFERROR(IF(OR(J321=0,K321=""),"",IF(E321="Positivo",MIN(MAX(K321/J321,0),1.3),MIN(MAX(J321/K321,0),1.3))),"") </f>
        <v/>
      </c>
      <c r="M321" s="14">
        <f>IFERROR(IF(OR(J321=0,K321=""),"",IF(E321="Positivo",MAX(K321/J321,0),MAX(J321/K321,0))),"") </f>
        <v/>
      </c>
      <c r="N321" s="5" t="inlineStr">
        <is>
          <t>%</t>
        </is>
      </c>
      <c r="O321" s="5" t="inlineStr">
        <is>
          <t>%</t>
        </is>
      </c>
      <c r="P321" s="5" t="n">
        <v>0</v>
      </c>
      <c r="Q321" s="5" t="n">
        <v>0</v>
      </c>
      <c r="R321" s="5" t="inlineStr">
        <is>
          <t>225-2023-12-31</t>
        </is>
      </c>
    </row>
    <row r="322">
      <c r="A322" s="5" t="n">
        <v>225</v>
      </c>
      <c r="B322" s="5" t="inlineStr">
        <is>
          <t>Acciones para el Cuidado y Mantenimiento de las Especies de Flora y el Suelo de las Áreas Naturales</t>
        </is>
      </c>
      <c r="C322" s="5" t="inlineStr">
        <is>
          <t>GESTIÓN AMBIENTAL</t>
        </is>
      </c>
      <c r="D322" s="5" t="inlineStr">
        <is>
          <t>Mensual</t>
        </is>
      </c>
      <c r="E322" s="5" t="inlineStr">
        <is>
          <t>Positivo</t>
        </is>
      </c>
      <c r="F322" s="107" t="n">
        <v>45657</v>
      </c>
      <c r="G322" s="5" t="n">
        <v>2024</v>
      </c>
      <c r="H322" s="5" t="inlineStr">
        <is>
          <t>Diciembre</t>
        </is>
      </c>
      <c r="I322" s="6" t="inlineStr">
        <is>
          <t>2024-2</t>
        </is>
      </c>
      <c r="J322" s="5" t="n">
        <v>1</v>
      </c>
      <c r="K322" s="5" t="n">
        <v>20.5</v>
      </c>
      <c r="L322" s="14">
        <f>IFERROR(IF(OR(J322=0,K322=""),"",IF(E322="Positivo",MIN(MAX(K322/J322,0),1.3),MIN(MAX(J322/K322,0),1.3))),"") </f>
        <v/>
      </c>
      <c r="M322" s="14">
        <f>IFERROR(IF(OR(J322=0,K322=""),"",IF(E322="Positivo",MAX(K322/J322,0),MAX(J322/K322,0))),"") </f>
        <v/>
      </c>
      <c r="N322" s="5" t="inlineStr">
        <is>
          <t>%</t>
        </is>
      </c>
      <c r="O322" s="5" t="inlineStr">
        <is>
          <t>%</t>
        </is>
      </c>
      <c r="P322" s="5" t="n">
        <v>0</v>
      </c>
      <c r="Q322" s="5" t="n">
        <v>0</v>
      </c>
      <c r="R322" s="5" t="inlineStr">
        <is>
          <t>225-2024-12-31</t>
        </is>
      </c>
    </row>
    <row r="323">
      <c r="A323" s="5" t="n">
        <v>225</v>
      </c>
      <c r="B323" s="5" t="inlineStr">
        <is>
          <t>Acciones para el Cuidado y Mantenimiento de las Especies de Flora y el Suelo de las Áreas Naturales</t>
        </is>
      </c>
      <c r="C323" s="5" t="inlineStr">
        <is>
          <t>GESTIÓN AMBIENTAL</t>
        </is>
      </c>
      <c r="D323" s="5" t="inlineStr">
        <is>
          <t>Mensual</t>
        </is>
      </c>
      <c r="E323" s="5" t="inlineStr">
        <is>
          <t>Positivo</t>
        </is>
      </c>
      <c r="F323" s="107" t="n">
        <v>46022</v>
      </c>
      <c r="G323" s="5" t="n">
        <v>2025</v>
      </c>
      <c r="H323" s="5" t="inlineStr">
        <is>
          <t>Diciembre</t>
        </is>
      </c>
      <c r="I323" s="6" t="inlineStr">
        <is>
          <t>2025-2</t>
        </is>
      </c>
      <c r="J323" s="5" t="n">
        <v>1</v>
      </c>
      <c r="K323" s="5" t="n">
        <v>19.41666666666667</v>
      </c>
      <c r="L323" s="14">
        <f>IFERROR(IF(OR(J323=0,K323=""),"",IF(E323="Positivo",MIN(MAX(K323/J323,0),1.3),MIN(MAX(J323/K323,0),1.3))),"") </f>
        <v/>
      </c>
      <c r="M323" s="14">
        <f>IFERROR(IF(OR(J323=0,K323=""),"",IF(E323="Positivo",MAX(K323/J323,0),MAX(J323/K323,0))),"") </f>
        <v/>
      </c>
      <c r="N323" s="5" t="inlineStr">
        <is>
          <t>%</t>
        </is>
      </c>
      <c r="O323" s="5" t="inlineStr">
        <is>
          <t>%</t>
        </is>
      </c>
      <c r="P323" s="5" t="n">
        <v>0</v>
      </c>
      <c r="Q323" s="5" t="n">
        <v>0</v>
      </c>
      <c r="R323" s="5" t="inlineStr">
        <is>
          <t>225-2025-12-31</t>
        </is>
      </c>
    </row>
    <row r="324">
      <c r="A324" s="5" t="n">
        <v>226</v>
      </c>
      <c r="B324" s="5" t="inlineStr">
        <is>
          <t>Generación de Gases de Efecto Invernadero</t>
        </is>
      </c>
      <c r="C324" s="5" t="inlineStr">
        <is>
          <t>GESTIÓN AMBIENTAL</t>
        </is>
      </c>
      <c r="D324" s="5" t="inlineStr">
        <is>
          <t>Anual</t>
        </is>
      </c>
      <c r="E324" s="5" t="inlineStr">
        <is>
          <t>Positivo</t>
        </is>
      </c>
      <c r="F324" s="107" t="n">
        <v>44926</v>
      </c>
      <c r="G324" s="5" t="n">
        <v>2022</v>
      </c>
      <c r="H324" s="5" t="inlineStr">
        <is>
          <t>Diciembre</t>
        </is>
      </c>
      <c r="I324" s="6" t="inlineStr">
        <is>
          <t>2022-2</t>
        </is>
      </c>
      <c r="J324" s="5" t="n">
        <v>2</v>
      </c>
      <c r="K324" s="5" t="n">
        <v>476.4899959564209</v>
      </c>
      <c r="L324" s="14">
        <f>IFERROR(IF(OR(J324=0,K324=""),"",IF(E324="Positivo",MIN(MAX(K324/J324,0),1.3),MIN(MAX(J324/K324,0),1.3))),"") </f>
        <v/>
      </c>
      <c r="M324" s="14">
        <f>IFERROR(IF(OR(J324=0,K324=""),"",IF(E324="Positivo",MAX(K324/J324,0),MAX(J324/K324,0))),"") </f>
        <v/>
      </c>
      <c r="N324" s="5" t="inlineStr">
        <is>
          <t>%</t>
        </is>
      </c>
      <c r="O324" s="5" t="inlineStr">
        <is>
          <t>%</t>
        </is>
      </c>
      <c r="P324" s="5" t="n">
        <v>0</v>
      </c>
      <c r="Q324" s="5" t="n">
        <v>0</v>
      </c>
      <c r="R324" s="5" t="inlineStr">
        <is>
          <t>226-2022-12-31</t>
        </is>
      </c>
    </row>
    <row r="325">
      <c r="A325" s="5" t="n">
        <v>226</v>
      </c>
      <c r="B325" s="5" t="inlineStr">
        <is>
          <t>Generación de Gases de Efecto Invernadero</t>
        </is>
      </c>
      <c r="C325" s="5" t="inlineStr">
        <is>
          <t>GESTIÓN AMBIENTAL</t>
        </is>
      </c>
      <c r="D325" s="5" t="inlineStr">
        <is>
          <t>Anual</t>
        </is>
      </c>
      <c r="E325" s="5" t="inlineStr">
        <is>
          <t>Positivo</t>
        </is>
      </c>
      <c r="F325" s="107" t="n">
        <v>45291</v>
      </c>
      <c r="G325" s="5" t="n">
        <v>2023</v>
      </c>
      <c r="H325" s="5" t="inlineStr">
        <is>
          <t>Diciembre</t>
        </is>
      </c>
      <c r="I325" s="6" t="inlineStr">
        <is>
          <t>2023-2</t>
        </is>
      </c>
      <c r="J325" s="5" t="n">
        <v>2</v>
      </c>
      <c r="K325" s="5" t="n">
        <v>622.6900000000001</v>
      </c>
      <c r="L325" s="14">
        <f>IFERROR(IF(OR(J325=0,K325=""),"",IF(E325="Positivo",MIN(MAX(K325/J325,0),1.3),MIN(MAX(J325/K325,0),1.3))),"") </f>
        <v/>
      </c>
      <c r="M325" s="14">
        <f>IFERROR(IF(OR(J325=0,K325=""),"",IF(E325="Positivo",MAX(K325/J325,0),MAX(J325/K325,0))),"") </f>
        <v/>
      </c>
      <c r="N325" s="5" t="inlineStr">
        <is>
          <t>tCO2e</t>
        </is>
      </c>
      <c r="O325" s="5" t="inlineStr">
        <is>
          <t>tCO2e</t>
        </is>
      </c>
      <c r="P325" s="5" t="n">
        <v>0</v>
      </c>
      <c r="Q325" s="5" t="n">
        <v>0</v>
      </c>
      <c r="R325" s="5" t="inlineStr">
        <is>
          <t>226-2023-12-31</t>
        </is>
      </c>
    </row>
    <row r="326">
      <c r="A326" s="5" t="n">
        <v>226</v>
      </c>
      <c r="B326" s="5" t="inlineStr">
        <is>
          <t>Generación de Gases de Efecto Invernadero</t>
        </is>
      </c>
      <c r="C326" s="5" t="inlineStr">
        <is>
          <t>GESTIÓN AMBIENTAL</t>
        </is>
      </c>
      <c r="D326" s="5" t="inlineStr">
        <is>
          <t>Anual</t>
        </is>
      </c>
      <c r="E326" s="5" t="inlineStr">
        <is>
          <t>Positivo</t>
        </is>
      </c>
      <c r="F326" s="107" t="n">
        <v>45657</v>
      </c>
      <c r="G326" s="5" t="n">
        <v>2024</v>
      </c>
      <c r="H326" s="5" t="inlineStr">
        <is>
          <t>Diciembre</t>
        </is>
      </c>
      <c r="I326" s="6" t="inlineStr">
        <is>
          <t>2024-2</t>
        </is>
      </c>
      <c r="J326" s="5" t="n">
        <v>2</v>
      </c>
      <c r="K326" s="5" t="n">
        <v>3531.11</v>
      </c>
      <c r="L326" s="14">
        <f>IFERROR(IF(OR(J326=0,K326=""),"",IF(E326="Positivo",MIN(MAX(K326/J326,0),1.3),MIN(MAX(J326/K326,0),1.3))),"") </f>
        <v/>
      </c>
      <c r="M326" s="14">
        <f>IFERROR(IF(OR(J326=0,K326=""),"",IF(E326="Positivo",MAX(K326/J326,0),MAX(J326/K326,0))),"") </f>
        <v/>
      </c>
      <c r="N326" s="5" t="inlineStr">
        <is>
          <t>%</t>
        </is>
      </c>
      <c r="O326" s="5" t="inlineStr">
        <is>
          <t>%</t>
        </is>
      </c>
      <c r="P326" s="5" t="n">
        <v>0</v>
      </c>
      <c r="Q326" s="5" t="n">
        <v>0</v>
      </c>
      <c r="R326" s="5" t="inlineStr">
        <is>
          <t>226-2024-12-31</t>
        </is>
      </c>
    </row>
    <row r="327">
      <c r="A327" s="5" t="n">
        <v>226</v>
      </c>
      <c r="B327" s="5" t="inlineStr">
        <is>
          <t>Generación de Gases de Efecto Invernadero</t>
        </is>
      </c>
      <c r="C327" s="5" t="inlineStr">
        <is>
          <t>GESTIÓN AMBIENTAL</t>
        </is>
      </c>
      <c r="D327" s="5" t="inlineStr">
        <is>
          <t>Anual</t>
        </is>
      </c>
      <c r="E327" s="5" t="inlineStr">
        <is>
          <t>Positivo</t>
        </is>
      </c>
      <c r="F327" s="107" t="n">
        <v>46022</v>
      </c>
      <c r="G327" s="5" t="n">
        <v>2025</v>
      </c>
      <c r="H327" s="5" t="inlineStr">
        <is>
          <t>Diciembre</t>
        </is>
      </c>
      <c r="I327" s="6" t="inlineStr">
        <is>
          <t>2025-2</t>
        </is>
      </c>
      <c r="J327" s="5" t="n">
        <v>2</v>
      </c>
      <c r="K327" s="5" t="n"/>
      <c r="L327" s="14" t="n"/>
      <c r="M327" s="14" t="n"/>
      <c r="N327" s="5" t="inlineStr">
        <is>
          <t>%</t>
        </is>
      </c>
      <c r="O327" s="5" t="inlineStr">
        <is>
          <t>No Aplica</t>
        </is>
      </c>
      <c r="P327" s="5" t="n">
        <v>0</v>
      </c>
      <c r="Q327" s="5" t="n">
        <v>0</v>
      </c>
      <c r="R327" s="5" t="inlineStr">
        <is>
          <t>226-2025-12-31</t>
        </is>
      </c>
      <c r="S327" t="inlineStr">
        <is>
          <t>No Aplica</t>
        </is>
      </c>
    </row>
    <row r="328">
      <c r="A328" s="5" t="n">
        <v>227</v>
      </c>
      <c r="B328" s="5" t="inlineStr">
        <is>
          <t>Generación de  Gases de Efecto Invernadero per Cápita</t>
        </is>
      </c>
      <c r="C328" s="5" t="inlineStr">
        <is>
          <t>GESTIÓN AMBIENTAL</t>
        </is>
      </c>
      <c r="D328" s="5" t="inlineStr">
        <is>
          <t>Anual</t>
        </is>
      </c>
      <c r="E328" s="5" t="inlineStr">
        <is>
          <t>Negativo</t>
        </is>
      </c>
      <c r="F328" s="107" t="n">
        <v>44926</v>
      </c>
      <c r="G328" s="5" t="n">
        <v>2022</v>
      </c>
      <c r="H328" s="5" t="inlineStr">
        <is>
          <t>Diciembre</t>
        </is>
      </c>
      <c r="I328" s="6" t="inlineStr">
        <is>
          <t>2022-2</t>
        </is>
      </c>
      <c r="J328" s="5" t="n">
        <v>0.3</v>
      </c>
      <c r="K328" s="5" t="n">
        <v>0.01</v>
      </c>
      <c r="L328" s="14">
        <f>IFERROR(IF(OR(J328=0,K328=""),"",IF(E328="Positivo",MIN(MAX(K328/J328,0),1.3),MIN(MAX(J328/K328,0),1.3))),"") </f>
        <v/>
      </c>
      <c r="M328" s="14">
        <f>IFERROR(IF(OR(J328=0,K328=""),"",IF(E328="Positivo",MAX(K328/J328,0),MAX(J328/K328,0))),"") </f>
        <v/>
      </c>
      <c r="N328" s="5" t="inlineStr">
        <is>
          <t>%</t>
        </is>
      </c>
      <c r="O328" s="5" t="inlineStr">
        <is>
          <t>%</t>
        </is>
      </c>
      <c r="P328" s="5" t="n">
        <v>0</v>
      </c>
      <c r="Q328" s="5" t="n">
        <v>0</v>
      </c>
      <c r="R328" s="5" t="inlineStr">
        <is>
          <t>227-2022-12-31</t>
        </is>
      </c>
    </row>
    <row r="329">
      <c r="A329" s="5" t="n">
        <v>227</v>
      </c>
      <c r="B329" s="5" t="inlineStr">
        <is>
          <t>Generación de  Gases de Efecto Invernadero per Cápita</t>
        </is>
      </c>
      <c r="C329" s="5" t="inlineStr">
        <is>
          <t>GESTIÓN AMBIENTAL</t>
        </is>
      </c>
      <c r="D329" s="5" t="inlineStr">
        <is>
          <t>Anual</t>
        </is>
      </c>
      <c r="E329" s="5" t="inlineStr">
        <is>
          <t>Negativo</t>
        </is>
      </c>
      <c r="F329" s="107" t="n">
        <v>45291</v>
      </c>
      <c r="G329" s="5" t="n">
        <v>2023</v>
      </c>
      <c r="H329" s="5" t="inlineStr">
        <is>
          <t>Diciembre</t>
        </is>
      </c>
      <c r="I329" s="6" t="inlineStr">
        <is>
          <t>2023-2</t>
        </is>
      </c>
      <c r="J329" s="5" t="n">
        <v>0.3</v>
      </c>
      <c r="K329" s="5" t="n">
        <v>0.01</v>
      </c>
      <c r="L329" s="14">
        <f>IFERROR(IF(OR(J329=0,K329=""),"",IF(E329="Positivo",MIN(MAX(K329/J329,0),1.3),MIN(MAX(J329/K329,0),1.3))),"") </f>
        <v/>
      </c>
      <c r="M329" s="14">
        <f>IFERROR(IF(OR(J329=0,K329=""),"",IF(E329="Positivo",MAX(K329/J329,0),MAX(J329/K329,0))),"") </f>
        <v/>
      </c>
      <c r="N329" s="5" t="inlineStr">
        <is>
          <t>%</t>
        </is>
      </c>
      <c r="O329" s="5" t="inlineStr">
        <is>
          <t>%</t>
        </is>
      </c>
      <c r="P329" s="5" t="n">
        <v>0</v>
      </c>
      <c r="Q329" s="5" t="n">
        <v>0</v>
      </c>
      <c r="R329" s="5" t="inlineStr">
        <is>
          <t>227-2023-12-31</t>
        </is>
      </c>
    </row>
    <row r="330">
      <c r="A330" s="5" t="n">
        <v>227</v>
      </c>
      <c r="B330" s="5" t="inlineStr">
        <is>
          <t>Generación de  Gases de Efecto Invernadero per Cápita</t>
        </is>
      </c>
      <c r="C330" s="5" t="inlineStr">
        <is>
          <t>GESTIÓN AMBIENTAL</t>
        </is>
      </c>
      <c r="D330" s="5" t="inlineStr">
        <is>
          <t>Anual</t>
        </is>
      </c>
      <c r="E330" s="5" t="inlineStr">
        <is>
          <t>Negativo</t>
        </is>
      </c>
      <c r="F330" s="107" t="n">
        <v>45657</v>
      </c>
      <c r="G330" s="5" t="n">
        <v>2024</v>
      </c>
      <c r="H330" s="5" t="inlineStr">
        <is>
          <t>Diciembre</t>
        </is>
      </c>
      <c r="I330" s="6" t="inlineStr">
        <is>
          <t>2024-2</t>
        </is>
      </c>
      <c r="J330" s="5" t="n">
        <v>0.3</v>
      </c>
      <c r="K330" s="5" t="n">
        <v>3531.11</v>
      </c>
      <c r="L330" s="14">
        <f>IFERROR(IF(OR(J330=0,K330=""),"",IF(E330="Positivo",MIN(MAX(K330/J330,0),1.3),MIN(MAX(J330/K330,0),1.3))),"") </f>
        <v/>
      </c>
      <c r="M330" s="14">
        <f>IFERROR(IF(OR(J330=0,K330=""),"",IF(E330="Positivo",MAX(K330/J330,0),MAX(J330/K330,0))),"") </f>
        <v/>
      </c>
      <c r="N330" s="5" t="inlineStr">
        <is>
          <t>%</t>
        </is>
      </c>
      <c r="O330" s="5" t="inlineStr">
        <is>
          <t>%</t>
        </is>
      </c>
      <c r="P330" s="5" t="n">
        <v>0</v>
      </c>
      <c r="Q330" s="5" t="n">
        <v>0</v>
      </c>
      <c r="R330" s="5" t="inlineStr">
        <is>
          <t>227-2024-12-31</t>
        </is>
      </c>
    </row>
    <row r="331">
      <c r="A331" s="5" t="n">
        <v>227</v>
      </c>
      <c r="B331" s="5" t="inlineStr">
        <is>
          <t>Generación de  Gases de Efecto Invernadero per Cápita</t>
        </is>
      </c>
      <c r="C331" s="5" t="inlineStr">
        <is>
          <t>GESTIÓN AMBIENTAL</t>
        </is>
      </c>
      <c r="D331" s="5" t="inlineStr">
        <is>
          <t>Anual</t>
        </is>
      </c>
      <c r="E331" s="5" t="inlineStr">
        <is>
          <t>Negativo</t>
        </is>
      </c>
      <c r="F331" s="107" t="n">
        <v>46022</v>
      </c>
      <c r="G331" s="5" t="n">
        <v>2025</v>
      </c>
      <c r="H331" s="5" t="inlineStr">
        <is>
          <t>Diciembre</t>
        </is>
      </c>
      <c r="I331" s="6" t="inlineStr">
        <is>
          <t>2025-2</t>
        </is>
      </c>
      <c r="J331" s="5" t="n">
        <v>0.3</v>
      </c>
      <c r="K331" s="5" t="n"/>
      <c r="L331" s="14" t="n"/>
      <c r="M331" s="14" t="n"/>
      <c r="N331" s="5" t="inlineStr">
        <is>
          <t>%</t>
        </is>
      </c>
      <c r="O331" s="5" t="inlineStr">
        <is>
          <t>No Aplica</t>
        </is>
      </c>
      <c r="P331" s="5" t="n">
        <v>0</v>
      </c>
      <c r="Q331" s="5" t="n">
        <v>0</v>
      </c>
      <c r="R331" s="5" t="inlineStr">
        <is>
          <t>227-2025-12-31</t>
        </is>
      </c>
      <c r="S331" t="inlineStr">
        <is>
          <t>No Aplica</t>
        </is>
      </c>
    </row>
    <row r="332">
      <c r="A332" s="5" t="n">
        <v>228</v>
      </c>
      <c r="B332" s="5" t="inlineStr">
        <is>
          <t>Compensación de Gases de Efecto Invernadero</t>
        </is>
      </c>
      <c r="C332" s="5" t="inlineStr">
        <is>
          <t>GESTIÓN AMBIENTAL</t>
        </is>
      </c>
      <c r="D332" s="5" t="inlineStr">
        <is>
          <t>Anual</t>
        </is>
      </c>
      <c r="E332" s="5" t="inlineStr">
        <is>
          <t>Positivo</t>
        </is>
      </c>
      <c r="F332" s="107" t="n">
        <v>44926</v>
      </c>
      <c r="G332" s="5" t="n">
        <v>2022</v>
      </c>
      <c r="H332" s="5" t="inlineStr">
        <is>
          <t>Diciembre</t>
        </is>
      </c>
      <c r="I332" s="6" t="inlineStr">
        <is>
          <t>2022-2</t>
        </is>
      </c>
      <c r="J332" s="5" t="n">
        <v>100</v>
      </c>
      <c r="K332" s="5" t="n">
        <v>100.1070326764465</v>
      </c>
      <c r="L332" s="14">
        <f>IFERROR(IF(OR(J332=0,K332=""),"",IF(E332="Positivo",MIN(MAX(K332/J332,0),1.3),MIN(MAX(J332/K332,0),1.3))),"") </f>
        <v/>
      </c>
      <c r="M332" s="14">
        <f>IFERROR(IF(OR(J332=0,K332=""),"",IF(E332="Positivo",MAX(K332/J332,0),MAX(J332/K332,0))),"") </f>
        <v/>
      </c>
      <c r="N332" s="5" t="inlineStr">
        <is>
          <t>tCO2e</t>
        </is>
      </c>
      <c r="O332" s="5" t="inlineStr">
        <is>
          <t>tCO2e</t>
        </is>
      </c>
      <c r="P332" s="5" t="n">
        <v>1</v>
      </c>
      <c r="Q332" s="5" t="n">
        <v>0</v>
      </c>
      <c r="R332" s="5" t="inlineStr">
        <is>
          <t>228-2022-12-31</t>
        </is>
      </c>
    </row>
    <row r="333">
      <c r="A333" s="5" t="n">
        <v>228</v>
      </c>
      <c r="B333" s="5" t="inlineStr">
        <is>
          <t>Compensación de Gases de Efecto Invernadero</t>
        </is>
      </c>
      <c r="C333" s="5" t="inlineStr">
        <is>
          <t>GESTIÓN AMBIENTAL</t>
        </is>
      </c>
      <c r="D333" s="5" t="inlineStr">
        <is>
          <t>Anual</t>
        </is>
      </c>
      <c r="E333" s="5" t="inlineStr">
        <is>
          <t>Positivo</t>
        </is>
      </c>
      <c r="F333" s="107" t="n">
        <v>45291</v>
      </c>
      <c r="G333" s="5" t="n">
        <v>2023</v>
      </c>
      <c r="H333" s="5" t="inlineStr">
        <is>
          <t>Diciembre</t>
        </is>
      </c>
      <c r="I333" s="6" t="inlineStr">
        <is>
          <t>2023-2</t>
        </is>
      </c>
      <c r="J333" s="5" t="n">
        <v>100</v>
      </c>
      <c r="K333" s="5" t="n">
        <v>100</v>
      </c>
      <c r="L333" s="14">
        <f>IFERROR(IF(OR(J333=0,K333=""),"",IF(E333="Positivo",MIN(MAX(K333/J333,0),1.3),MIN(MAX(J333/K333,0),1.3))),"") </f>
        <v/>
      </c>
      <c r="M333" s="14">
        <f>IFERROR(IF(OR(J333=0,K333=""),"",IF(E333="Positivo",MAX(K333/J333,0),MAX(J333/K333,0))),"") </f>
        <v/>
      </c>
      <c r="N333" s="5" t="inlineStr">
        <is>
          <t>tCO2e</t>
        </is>
      </c>
      <c r="O333" s="5" t="inlineStr">
        <is>
          <t>tCO2e</t>
        </is>
      </c>
      <c r="P333" s="5" t="n">
        <v>1</v>
      </c>
      <c r="Q333" s="5" t="n">
        <v>1</v>
      </c>
      <c r="R333" s="5" t="inlineStr">
        <is>
          <t>228-2023-12-31</t>
        </is>
      </c>
    </row>
    <row r="334">
      <c r="A334" s="5" t="n">
        <v>228</v>
      </c>
      <c r="B334" s="5" t="inlineStr">
        <is>
          <t>Compensación de Gases de Efecto Invernadero</t>
        </is>
      </c>
      <c r="C334" s="5" t="inlineStr">
        <is>
          <t>GESTIÓN AMBIENTAL</t>
        </is>
      </c>
      <c r="D334" s="5" t="inlineStr">
        <is>
          <t>Anual</t>
        </is>
      </c>
      <c r="E334" s="5" t="inlineStr">
        <is>
          <t>Positivo</t>
        </is>
      </c>
      <c r="F334" s="107" t="n">
        <v>45657</v>
      </c>
      <c r="G334" s="5" t="n">
        <v>2024</v>
      </c>
      <c r="H334" s="5" t="inlineStr">
        <is>
          <t>Diciembre</t>
        </is>
      </c>
      <c r="I334" s="6" t="inlineStr">
        <is>
          <t>2024-2</t>
        </is>
      </c>
      <c r="J334" s="5" t="n">
        <v>100</v>
      </c>
      <c r="K334" s="5" t="n">
        <v>3531.11</v>
      </c>
      <c r="L334" s="14">
        <f>IFERROR(IF(OR(J334=0,K334=""),"",IF(E334="Positivo",MIN(MAX(K334/J334,0),1.3),MIN(MAX(J334/K334,0),1.3))),"") </f>
        <v/>
      </c>
      <c r="M334" s="14">
        <f>IFERROR(IF(OR(J334=0,K334=""),"",IF(E334="Positivo",MAX(K334/J334,0),MAX(J334/K334,0))),"") </f>
        <v/>
      </c>
      <c r="N334" s="5" t="inlineStr">
        <is>
          <t>tCO2e</t>
        </is>
      </c>
      <c r="O334" s="5" t="inlineStr">
        <is>
          <t>tCO2e</t>
        </is>
      </c>
      <c r="P334" s="5" t="n">
        <v>1</v>
      </c>
      <c r="Q334" s="5" t="n">
        <v>1</v>
      </c>
      <c r="R334" s="5" t="inlineStr">
        <is>
          <t>228-2024-12-31</t>
        </is>
      </c>
    </row>
    <row r="335">
      <c r="A335" s="5" t="n">
        <v>230</v>
      </c>
      <c r="B335" s="5" t="inlineStr">
        <is>
          <t>Ejecución de Eventos de Formación en Materia Ambiental</t>
        </is>
      </c>
      <c r="C335" s="5" t="inlineStr">
        <is>
          <t>GESTIÓN AMBIENTAL</t>
        </is>
      </c>
      <c r="D335" s="5" t="inlineStr">
        <is>
          <t>Semestral</t>
        </is>
      </c>
      <c r="E335" s="5" t="inlineStr">
        <is>
          <t>Positivo</t>
        </is>
      </c>
      <c r="F335" s="107" t="n">
        <v>45291</v>
      </c>
      <c r="G335" s="5" t="n">
        <v>2023</v>
      </c>
      <c r="H335" s="5" t="inlineStr">
        <is>
          <t>Diciembre</t>
        </is>
      </c>
      <c r="I335" s="6" t="inlineStr">
        <is>
          <t>2023-2</t>
        </is>
      </c>
      <c r="J335" s="5" t="n">
        <v>90</v>
      </c>
      <c r="K335" s="5" t="n">
        <v>100</v>
      </c>
      <c r="L335" s="14">
        <f>IFERROR(IF(OR(J335=0,K335=""),"",IF(E335="Positivo",MIN(MAX(K335/J335,0),1.3),MIN(MAX(J335/K335,0),1.3))),"") </f>
        <v/>
      </c>
      <c r="M335" s="14">
        <f>IFERROR(IF(OR(J335=0,K335=""),"",IF(E335="Positivo",MAX(K335/J335,0),MAX(J335/K335,0))),"") </f>
        <v/>
      </c>
      <c r="N335" s="5" t="inlineStr">
        <is>
          <t>%</t>
        </is>
      </c>
      <c r="O335" s="5" t="inlineStr">
        <is>
          <t>%</t>
        </is>
      </c>
      <c r="P335" s="5" t="n">
        <v>0</v>
      </c>
      <c r="Q335" s="5" t="n">
        <v>0</v>
      </c>
      <c r="R335" s="5" t="inlineStr">
        <is>
          <t>230-2023-12-31</t>
        </is>
      </c>
    </row>
    <row r="336">
      <c r="A336" s="5" t="n">
        <v>230</v>
      </c>
      <c r="B336" s="5" t="inlineStr">
        <is>
          <t>Ejecución de Eventos de Formación en Materia Ambiental</t>
        </is>
      </c>
      <c r="C336" s="5" t="inlineStr">
        <is>
          <t>GESTIÓN AMBIENTAL</t>
        </is>
      </c>
      <c r="D336" s="5" t="inlineStr">
        <is>
          <t>Semestral</t>
        </is>
      </c>
      <c r="E336" s="5" t="inlineStr">
        <is>
          <t>Positivo</t>
        </is>
      </c>
      <c r="F336" s="107" t="n">
        <v>45657</v>
      </c>
      <c r="G336" s="5" t="n">
        <v>2024</v>
      </c>
      <c r="H336" s="5" t="inlineStr">
        <is>
          <t>Diciembre</t>
        </is>
      </c>
      <c r="I336" s="6" t="inlineStr">
        <is>
          <t>2024-2</t>
        </is>
      </c>
      <c r="J336" s="5" t="n">
        <v>90</v>
      </c>
      <c r="K336" s="5" t="n">
        <v>100</v>
      </c>
      <c r="L336" s="14">
        <f>IFERROR(IF(OR(J336=0,K336=""),"",IF(E336="Positivo",MIN(MAX(K336/J336,0),1.3),MIN(MAX(J336/K336,0),1.3))),"") </f>
        <v/>
      </c>
      <c r="M336" s="14">
        <f>IFERROR(IF(OR(J336=0,K336=""),"",IF(E336="Positivo",MAX(K336/J336,0),MAX(J336/K336,0))),"") </f>
        <v/>
      </c>
      <c r="N336" s="5" t="inlineStr">
        <is>
          <t>%</t>
        </is>
      </c>
      <c r="O336" s="5" t="inlineStr">
        <is>
          <t>%</t>
        </is>
      </c>
      <c r="P336" s="5" t="n">
        <v>0</v>
      </c>
      <c r="Q336" s="5" t="n">
        <v>0</v>
      </c>
      <c r="R336" s="5" t="inlineStr">
        <is>
          <t>230-2024-12-31</t>
        </is>
      </c>
    </row>
    <row r="337">
      <c r="A337" s="5" t="n">
        <v>230</v>
      </c>
      <c r="B337" s="5" t="inlineStr">
        <is>
          <t>Ejecución de Eventos de Formación en Materia Ambiental</t>
        </is>
      </c>
      <c r="C337" s="5" t="inlineStr">
        <is>
          <t>GESTIÓN AMBIENTAL</t>
        </is>
      </c>
      <c r="D337" s="5" t="inlineStr">
        <is>
          <t>Trimestral</t>
        </is>
      </c>
      <c r="E337" s="5" t="inlineStr">
        <is>
          <t>Positivo</t>
        </is>
      </c>
      <c r="F337" s="107" t="n">
        <v>46022</v>
      </c>
      <c r="G337" s="5" t="n">
        <v>2025</v>
      </c>
      <c r="H337" s="5" t="inlineStr">
        <is>
          <t>Diciembre</t>
        </is>
      </c>
      <c r="I337" s="6" t="inlineStr">
        <is>
          <t>2025-2</t>
        </is>
      </c>
      <c r="J337" s="5" t="n">
        <v>90</v>
      </c>
      <c r="K337" s="5" t="n">
        <v>96.745</v>
      </c>
      <c r="L337" s="14">
        <f>IFERROR(IF(OR(J337=0,K337=""),"",IF(E337="Positivo",MIN(MAX(K337/J337,0),1.3),MIN(MAX(J337/K337,0),1.3))),"") </f>
        <v/>
      </c>
      <c r="M337" s="14">
        <f>IFERROR(IF(OR(J337=0,K337=""),"",IF(E337="Positivo",MAX(K337/J337,0),MAX(J337/K337,0))),"") </f>
        <v/>
      </c>
      <c r="N337" s="5" t="inlineStr">
        <is>
          <t>%</t>
        </is>
      </c>
      <c r="O337" s="5" t="inlineStr">
        <is>
          <t>%</t>
        </is>
      </c>
      <c r="P337" s="5" t="n">
        <v>0</v>
      </c>
      <c r="Q337" s="5" t="n">
        <v>0</v>
      </c>
      <c r="R337" s="5" t="inlineStr">
        <is>
          <t>230-2025-12-31</t>
        </is>
      </c>
    </row>
    <row r="338">
      <c r="A338" s="5" t="n">
        <v>231</v>
      </c>
      <c r="B338" s="5" t="inlineStr">
        <is>
          <t>Asistencia Eventos de Formación en Materia Ambiental</t>
        </is>
      </c>
      <c r="C338" s="5" t="inlineStr">
        <is>
          <t>GESTIÓN AMBIENTAL</t>
        </is>
      </c>
      <c r="D338" s="5" t="inlineStr">
        <is>
          <t>Semestral</t>
        </is>
      </c>
      <c r="E338" s="5" t="inlineStr">
        <is>
          <t>Positivo</t>
        </is>
      </c>
      <c r="F338" s="107" t="n">
        <v>45291</v>
      </c>
      <c r="G338" s="5" t="n">
        <v>2023</v>
      </c>
      <c r="H338" s="5" t="inlineStr">
        <is>
          <t>Diciembre</t>
        </is>
      </c>
      <c r="I338" s="6" t="inlineStr">
        <is>
          <t>2023-2</t>
        </is>
      </c>
      <c r="J338" s="5" t="n">
        <v>70</v>
      </c>
      <c r="K338" s="5" t="n">
        <v>137.02</v>
      </c>
      <c r="L338" s="14">
        <f>IFERROR(IF(OR(J338=0,K338=""),"",IF(E338="Positivo",MIN(MAX(K338/J338,0),1.3),MIN(MAX(J338/K338,0),1.3))),"") </f>
        <v/>
      </c>
      <c r="M338" s="14">
        <f>IFERROR(IF(OR(J338=0,K338=""),"",IF(E338="Positivo",MAX(K338/J338,0),MAX(J338/K338,0))),"") </f>
        <v/>
      </c>
      <c r="N338" s="5" t="inlineStr">
        <is>
          <t>%</t>
        </is>
      </c>
      <c r="O338" s="5" t="inlineStr">
        <is>
          <t>%</t>
        </is>
      </c>
      <c r="P338" s="5" t="n">
        <v>0</v>
      </c>
      <c r="Q338" s="5" t="n">
        <v>0</v>
      </c>
      <c r="R338" s="5" t="inlineStr">
        <is>
          <t>231-2023-12-31</t>
        </is>
      </c>
    </row>
    <row r="339">
      <c r="A339" s="5" t="n">
        <v>231</v>
      </c>
      <c r="B339" s="5" t="inlineStr">
        <is>
          <t>Asistencia Eventos de Formación en Materia Ambiental</t>
        </is>
      </c>
      <c r="C339" s="5" t="inlineStr">
        <is>
          <t>GESTIÓN AMBIENTAL</t>
        </is>
      </c>
      <c r="D339" s="5" t="inlineStr">
        <is>
          <t>Semestral</t>
        </is>
      </c>
      <c r="E339" s="5" t="inlineStr">
        <is>
          <t>Positivo</t>
        </is>
      </c>
      <c r="F339" s="107" t="n">
        <v>45657</v>
      </c>
      <c r="G339" s="5" t="n">
        <v>2024</v>
      </c>
      <c r="H339" s="5" t="inlineStr">
        <is>
          <t>Diciembre</t>
        </is>
      </c>
      <c r="I339" s="6" t="inlineStr">
        <is>
          <t>2024-2</t>
        </is>
      </c>
      <c r="J339" s="5" t="n">
        <v>70</v>
      </c>
      <c r="K339" s="5" t="n">
        <v>200.94</v>
      </c>
      <c r="L339" s="14">
        <f>IFERROR(IF(OR(J339=0,K339=""),"",IF(E339="Positivo",MIN(MAX(K339/J339,0),1.3),MIN(MAX(J339/K339,0),1.3))),"") </f>
        <v/>
      </c>
      <c r="M339" s="14">
        <f>IFERROR(IF(OR(J339=0,K339=""),"",IF(E339="Positivo",MAX(K339/J339,0),MAX(J339/K339,0))),"") </f>
        <v/>
      </c>
      <c r="N339" s="5" t="inlineStr">
        <is>
          <t>%</t>
        </is>
      </c>
      <c r="O339" s="5" t="inlineStr">
        <is>
          <t>%</t>
        </is>
      </c>
      <c r="P339" s="5" t="n">
        <v>0</v>
      </c>
      <c r="Q339" s="5" t="n">
        <v>0</v>
      </c>
      <c r="R339" s="5" t="inlineStr">
        <is>
          <t>231-2024-12-31</t>
        </is>
      </c>
    </row>
    <row r="340">
      <c r="A340" s="5" t="n">
        <v>231</v>
      </c>
      <c r="B340" s="5" t="inlineStr">
        <is>
          <t>Asistencia Eventos de Formación en Materia Ambiental</t>
        </is>
      </c>
      <c r="C340" s="5" t="inlineStr">
        <is>
          <t>GESTIÓN AMBIENTAL</t>
        </is>
      </c>
      <c r="D340" s="5" t="inlineStr">
        <is>
          <t>Trimestral</t>
        </is>
      </c>
      <c r="E340" s="5" t="inlineStr">
        <is>
          <t>Positivo</t>
        </is>
      </c>
      <c r="F340" s="107" t="n">
        <v>46022</v>
      </c>
      <c r="G340" s="5" t="n">
        <v>2025</v>
      </c>
      <c r="H340" s="5" t="inlineStr">
        <is>
          <t>Diciembre</t>
        </is>
      </c>
      <c r="I340" s="6" t="inlineStr">
        <is>
          <t>2025-2</t>
        </is>
      </c>
      <c r="J340" s="5" t="n">
        <v>70</v>
      </c>
      <c r="K340" s="5" t="n">
        <v>7848.87</v>
      </c>
      <c r="L340" s="14">
        <f>IFERROR(IF(OR(J340=0,K340=""),"",IF(E340="Positivo",MIN(MAX(K340/J340,0),1.3),MIN(MAX(J340/K340,0),1.3))),"") </f>
        <v/>
      </c>
      <c r="M340" s="14">
        <f>IFERROR(IF(OR(J340=0,K340=""),"",IF(E340="Positivo",MAX(K340/J340,0),MAX(J340/K340,0))),"") </f>
        <v/>
      </c>
      <c r="N340" s="5" t="inlineStr">
        <is>
          <t>%</t>
        </is>
      </c>
      <c r="O340" s="5" t="inlineStr">
        <is>
          <t>%</t>
        </is>
      </c>
      <c r="P340" s="5" t="n">
        <v>0</v>
      </c>
      <c r="Q340" s="5" t="n">
        <v>0</v>
      </c>
      <c r="R340" s="5" t="inlineStr">
        <is>
          <t>231-2025-12-31</t>
        </is>
      </c>
    </row>
    <row r="341">
      <c r="A341" s="5" t="n">
        <v>232</v>
      </c>
      <c r="B341" s="5" t="inlineStr">
        <is>
          <t>Ejecución de las Comunicaciones en Materia Ambiental</t>
        </is>
      </c>
      <c r="C341" s="5" t="inlineStr">
        <is>
          <t>GESTIÓN AMBIENTAL</t>
        </is>
      </c>
      <c r="D341" s="5" t="inlineStr">
        <is>
          <t>Semestral</t>
        </is>
      </c>
      <c r="E341" s="5" t="inlineStr">
        <is>
          <t>Positivo</t>
        </is>
      </c>
      <c r="F341" s="107" t="n">
        <v>45291</v>
      </c>
      <c r="G341" s="5" t="n">
        <v>2023</v>
      </c>
      <c r="H341" s="5" t="inlineStr">
        <is>
          <t>Diciembre</t>
        </is>
      </c>
      <c r="I341" s="6" t="inlineStr">
        <is>
          <t>2023-2</t>
        </is>
      </c>
      <c r="J341" s="5" t="n">
        <v>180</v>
      </c>
      <c r="K341" s="5" t="n">
        <v>191.3</v>
      </c>
      <c r="L341" s="14">
        <f>IFERROR(IF(OR(J341=0,K341=""),"",IF(E341="Positivo",MIN(MAX(K341/J341,0),1.3),MIN(MAX(J341/K341,0),1.3))),"") </f>
        <v/>
      </c>
      <c r="M341" s="14">
        <f>IFERROR(IF(OR(J341=0,K341=""),"",IF(E341="Positivo",MAX(K341/J341,0),MAX(J341/K341,0))),"") </f>
        <v/>
      </c>
      <c r="N341" s="5" t="inlineStr">
        <is>
          <t>%</t>
        </is>
      </c>
      <c r="O341" s="5" t="inlineStr">
        <is>
          <t>%</t>
        </is>
      </c>
      <c r="P341" s="5" t="n">
        <v>0</v>
      </c>
      <c r="Q341" s="5" t="n">
        <v>0</v>
      </c>
      <c r="R341" s="5" t="inlineStr">
        <is>
          <t>232-2023-12-31</t>
        </is>
      </c>
    </row>
    <row r="342">
      <c r="A342" s="5" t="n">
        <v>232</v>
      </c>
      <c r="B342" s="5" t="inlineStr">
        <is>
          <t>Ejecución de las Comunicaciones en Materia Ambiental</t>
        </is>
      </c>
      <c r="C342" s="5" t="inlineStr">
        <is>
          <t>GESTIÓN AMBIENTAL</t>
        </is>
      </c>
      <c r="D342" s="5" t="inlineStr">
        <is>
          <t>Semestral</t>
        </is>
      </c>
      <c r="E342" s="5" t="inlineStr">
        <is>
          <t>Positivo</t>
        </is>
      </c>
      <c r="F342" s="107" t="n">
        <v>45657</v>
      </c>
      <c r="G342" s="5" t="n">
        <v>2024</v>
      </c>
      <c r="H342" s="5" t="inlineStr">
        <is>
          <t>Diciembre</t>
        </is>
      </c>
      <c r="I342" s="6" t="inlineStr">
        <is>
          <t>2024-2</t>
        </is>
      </c>
      <c r="J342" s="5" t="n">
        <v>180</v>
      </c>
      <c r="K342" s="5" t="n">
        <v>195.45</v>
      </c>
      <c r="L342" s="14">
        <f>IFERROR(IF(OR(J342=0,K342=""),"",IF(E342="Positivo",MIN(MAX(K342/J342,0),1.3),MIN(MAX(J342/K342,0),1.3))),"") </f>
        <v/>
      </c>
      <c r="M342" s="14">
        <f>IFERROR(IF(OR(J342=0,K342=""),"",IF(E342="Positivo",MAX(K342/J342,0),MAX(J342/K342,0))),"") </f>
        <v/>
      </c>
      <c r="N342" s="5" t="inlineStr">
        <is>
          <t>%</t>
        </is>
      </c>
      <c r="O342" s="5" t="inlineStr">
        <is>
          <t>%</t>
        </is>
      </c>
      <c r="P342" s="5" t="n">
        <v>0</v>
      </c>
      <c r="Q342" s="5" t="n">
        <v>0</v>
      </c>
      <c r="R342" s="5" t="inlineStr">
        <is>
          <t>232-2024-12-31</t>
        </is>
      </c>
    </row>
    <row r="343">
      <c r="A343" s="5" t="n">
        <v>232</v>
      </c>
      <c r="B343" s="5" t="inlineStr">
        <is>
          <t>Ejecución de las Comunicaciones en Materia Ambiental</t>
        </is>
      </c>
      <c r="C343" s="5" t="inlineStr">
        <is>
          <t>GESTIÓN AMBIENTAL</t>
        </is>
      </c>
      <c r="D343" s="5" t="inlineStr">
        <is>
          <t>Trimestral</t>
        </is>
      </c>
      <c r="E343" s="5" t="inlineStr">
        <is>
          <t>Positivo</t>
        </is>
      </c>
      <c r="F343" s="107" t="n">
        <v>46022</v>
      </c>
      <c r="G343" s="5" t="n">
        <v>2025</v>
      </c>
      <c r="H343" s="5" t="inlineStr">
        <is>
          <t>Diciembre</t>
        </is>
      </c>
      <c r="I343" s="6" t="inlineStr">
        <is>
          <t>2025-2</t>
        </is>
      </c>
      <c r="J343" s="5" t="n">
        <v>180</v>
      </c>
      <c r="K343" s="5" t="n">
        <v>166.56</v>
      </c>
      <c r="L343" s="14">
        <f>IFERROR(IF(OR(J343=0,K343=""),"",IF(E343="Positivo",MIN(MAX(K343/J343,0),1.3),MIN(MAX(J343/K343,0),1.3))),"") </f>
        <v/>
      </c>
      <c r="M343" s="14">
        <f>IFERROR(IF(OR(J343=0,K343=""),"",IF(E343="Positivo",MAX(K343/J343,0),MAX(J343/K343,0))),"") </f>
        <v/>
      </c>
      <c r="N343" s="5" t="inlineStr">
        <is>
          <t>%</t>
        </is>
      </c>
      <c r="O343" s="5" t="inlineStr">
        <is>
          <t>%</t>
        </is>
      </c>
      <c r="P343" s="5" t="n">
        <v>0</v>
      </c>
      <c r="Q343" s="5" t="n">
        <v>0</v>
      </c>
      <c r="R343" s="5" t="inlineStr">
        <is>
          <t>232-2025-12-31</t>
        </is>
      </c>
    </row>
    <row r="344">
      <c r="A344" s="5" t="n">
        <v>233</v>
      </c>
      <c r="B344" s="5" t="inlineStr">
        <is>
          <t>Impacto de las Comunicaciones Correo Electrónico</t>
        </is>
      </c>
      <c r="C344" s="5" t="inlineStr">
        <is>
          <t>GESTIÓN AMBIENTAL</t>
        </is>
      </c>
      <c r="D344" s="5" t="inlineStr">
        <is>
          <t>Trimestral</t>
        </is>
      </c>
      <c r="E344" s="5" t="inlineStr">
        <is>
          <t>Positivo</t>
        </is>
      </c>
      <c r="F344" s="107" t="n">
        <v>45291</v>
      </c>
      <c r="G344" s="5" t="n">
        <v>2023</v>
      </c>
      <c r="H344" s="5" t="inlineStr">
        <is>
          <t>Diciembre</t>
        </is>
      </c>
      <c r="I344" s="6" t="inlineStr">
        <is>
          <t>2023-2</t>
        </is>
      </c>
      <c r="J344" s="5" t="n">
        <v>20</v>
      </c>
      <c r="K344" s="5" t="n">
        <v>32.25307583019057</v>
      </c>
      <c r="L344" s="14">
        <f>IFERROR(IF(OR(J344=0,K344=""),"",IF(E344="Positivo",MIN(MAX(K344/J344,0),1.3),MIN(MAX(J344/K344,0),1.3))),"") </f>
        <v/>
      </c>
      <c r="M344" s="14">
        <f>IFERROR(IF(OR(J344=0,K344=""),"",IF(E344="Positivo",MAX(K344/J344,0),MAX(J344/K344,0))),"") </f>
        <v/>
      </c>
      <c r="N344" s="5" t="inlineStr">
        <is>
          <t>%</t>
        </is>
      </c>
      <c r="O344" s="5" t="inlineStr">
        <is>
          <t>%</t>
        </is>
      </c>
      <c r="P344" s="5" t="n">
        <v>0</v>
      </c>
      <c r="Q344" s="5" t="n">
        <v>0</v>
      </c>
      <c r="R344" s="5" t="inlineStr">
        <is>
          <t>233-2023-12-31</t>
        </is>
      </c>
    </row>
    <row r="345">
      <c r="A345" s="5" t="n">
        <v>233</v>
      </c>
      <c r="B345" s="5" t="inlineStr">
        <is>
          <t>Impacto de las Comunicaciones Correo Electrónico</t>
        </is>
      </c>
      <c r="C345" s="5" t="inlineStr">
        <is>
          <t>GESTIÓN AMBIENTAL</t>
        </is>
      </c>
      <c r="D345" s="5" t="inlineStr">
        <is>
          <t>Trimestral</t>
        </is>
      </c>
      <c r="E345" s="5" t="inlineStr">
        <is>
          <t>Positivo</t>
        </is>
      </c>
      <c r="F345" s="107" t="n">
        <v>45657</v>
      </c>
      <c r="G345" s="5" t="n">
        <v>2024</v>
      </c>
      <c r="H345" s="5" t="inlineStr">
        <is>
          <t>Diciembre</t>
        </is>
      </c>
      <c r="I345" s="6" t="inlineStr">
        <is>
          <t>2024-2</t>
        </is>
      </c>
      <c r="J345" s="5" t="n">
        <v>20</v>
      </c>
      <c r="K345" s="5" t="n">
        <v>32.91282268901744</v>
      </c>
      <c r="L345" s="14">
        <f>IFERROR(IF(OR(J345=0,K345=""),"",IF(E345="Positivo",MIN(MAX(K345/J345,0),1.3),MIN(MAX(J345/K345,0),1.3))),"") </f>
        <v/>
      </c>
      <c r="M345" s="14">
        <f>IFERROR(IF(OR(J345=0,K345=""),"",IF(E345="Positivo",MAX(K345/J345,0),MAX(J345/K345,0))),"") </f>
        <v/>
      </c>
      <c r="N345" s="5" t="inlineStr">
        <is>
          <t>%</t>
        </is>
      </c>
      <c r="O345" s="5" t="inlineStr">
        <is>
          <t>%</t>
        </is>
      </c>
      <c r="P345" s="5" t="n">
        <v>0</v>
      </c>
      <c r="Q345" s="5" t="n">
        <v>0</v>
      </c>
      <c r="R345" s="5" t="inlineStr">
        <is>
          <t>233-2024-12-31</t>
        </is>
      </c>
    </row>
    <row r="346">
      <c r="A346" s="5" t="n">
        <v>233</v>
      </c>
      <c r="B346" s="5" t="inlineStr">
        <is>
          <t>Impacto de las Comunicaciones Correo Electrónico</t>
        </is>
      </c>
      <c r="C346" s="5" t="inlineStr">
        <is>
          <t>GESTIÓN AMBIENTAL</t>
        </is>
      </c>
      <c r="D346" s="5" t="inlineStr">
        <is>
          <t>Semestral</t>
        </is>
      </c>
      <c r="E346" s="5" t="inlineStr">
        <is>
          <t>Positivo</t>
        </is>
      </c>
      <c r="F346" s="107" t="n">
        <v>46022</v>
      </c>
      <c r="G346" s="5" t="n">
        <v>2025</v>
      </c>
      <c r="H346" s="5" t="inlineStr">
        <is>
          <t>Diciembre</t>
        </is>
      </c>
      <c r="I346" s="6" t="inlineStr">
        <is>
          <t>2025-2</t>
        </is>
      </c>
      <c r="J346" s="5" t="n">
        <v>20</v>
      </c>
      <c r="K346" s="5" t="n">
        <v>22.315</v>
      </c>
      <c r="L346" s="14">
        <f>IFERROR(IF(OR(J346=0,K346=""),"",IF(E346="Positivo",MIN(MAX(K346/J346,0),1.3),MIN(MAX(J346/K346,0),1.3))),"") </f>
        <v/>
      </c>
      <c r="M346" s="14">
        <f>IFERROR(IF(OR(J346=0,K346=""),"",IF(E346="Positivo",MAX(K346/J346,0),MAX(J346/K346,0))),"") </f>
        <v/>
      </c>
      <c r="N346" s="5" t="inlineStr">
        <is>
          <t>%</t>
        </is>
      </c>
      <c r="O346" s="5" t="inlineStr">
        <is>
          <t>%</t>
        </is>
      </c>
      <c r="P346" s="5" t="n">
        <v>0</v>
      </c>
      <c r="Q346" s="5" t="n">
        <v>0</v>
      </c>
      <c r="R346" s="5" t="inlineStr">
        <is>
          <t>233-2025-12-31</t>
        </is>
      </c>
    </row>
    <row r="347">
      <c r="A347" s="5" t="n">
        <v>234</v>
      </c>
      <c r="B347" s="5" t="inlineStr">
        <is>
          <t>Impacto de las Comunicaciones en Materia Ambiental a Través de Redes Sociales - Instagram</t>
        </is>
      </c>
      <c r="C347" s="5" t="inlineStr">
        <is>
          <t>GESTIÓN AMBIENTAL</t>
        </is>
      </c>
      <c r="D347" s="5" t="inlineStr">
        <is>
          <t>Trimestral</t>
        </is>
      </c>
      <c r="E347" s="5" t="inlineStr">
        <is>
          <t>Positivo</t>
        </is>
      </c>
      <c r="F347" s="107" t="n">
        <v>45291</v>
      </c>
      <c r="G347" s="5" t="n">
        <v>2023</v>
      </c>
      <c r="H347" s="5" t="inlineStr">
        <is>
          <t>Diciembre</t>
        </is>
      </c>
      <c r="I347" s="6" t="inlineStr">
        <is>
          <t>2023-2</t>
        </is>
      </c>
      <c r="J347" s="5" t="n">
        <v>4000</v>
      </c>
      <c r="K347" s="5" t="n">
        <v>6785.75</v>
      </c>
      <c r="L347" s="14">
        <f>IFERROR(IF(OR(J347=0,K347=""),"",IF(E347="Positivo",MIN(MAX(K347/J347,0),1.3),MIN(MAX(J347/K347,0),1.3))),"") </f>
        <v/>
      </c>
      <c r="M347" s="14">
        <f>IFERROR(IF(OR(J347=0,K347=""),"",IF(E347="Positivo",MAX(K347/J347,0),MAX(J347/K347,0))),"") </f>
        <v/>
      </c>
      <c r="N347" s="5" t="inlineStr">
        <is>
          <t>ENT</t>
        </is>
      </c>
      <c r="O347" s="5" t="inlineStr">
        <is>
          <t>ENT</t>
        </is>
      </c>
      <c r="P347" s="5" t="n">
        <v>0</v>
      </c>
      <c r="Q347" s="5" t="n">
        <v>0</v>
      </c>
      <c r="R347" s="5" t="inlineStr">
        <is>
          <t>234-2023-12-31</t>
        </is>
      </c>
    </row>
    <row r="348">
      <c r="A348" s="5" t="n">
        <v>234</v>
      </c>
      <c r="B348" s="5" t="inlineStr">
        <is>
          <t>Impacto de las Comunicaciones en Materia Ambiental a Través de Redes Sociales - Instagram</t>
        </is>
      </c>
      <c r="C348" s="5" t="inlineStr">
        <is>
          <t>GESTIÓN AMBIENTAL</t>
        </is>
      </c>
      <c r="D348" s="5" t="inlineStr">
        <is>
          <t>Trimestral</t>
        </is>
      </c>
      <c r="E348" s="5" t="inlineStr">
        <is>
          <t>Positivo</t>
        </is>
      </c>
      <c r="F348" s="107" t="n">
        <v>45657</v>
      </c>
      <c r="G348" s="5" t="n">
        <v>2024</v>
      </c>
      <c r="H348" s="5" t="inlineStr">
        <is>
          <t>Diciembre</t>
        </is>
      </c>
      <c r="I348" s="6" t="inlineStr">
        <is>
          <t>2024-2</t>
        </is>
      </c>
      <c r="J348" s="5" t="n">
        <v>4000</v>
      </c>
      <c r="K348" s="5" t="n">
        <v>4301.86111111111</v>
      </c>
      <c r="L348" s="14">
        <f>IFERROR(IF(OR(J348=0,K348=""),"",IF(E348="Positivo",MIN(MAX(K348/J348,0),1.3),MIN(MAX(J348/K348,0),1.3))),"") </f>
        <v/>
      </c>
      <c r="M348" s="14">
        <f>IFERROR(IF(OR(J348=0,K348=""),"",IF(E348="Positivo",MAX(K348/J348,0),MAX(J348/K348,0))),"") </f>
        <v/>
      </c>
      <c r="N348" s="5" t="inlineStr">
        <is>
          <t>ENT</t>
        </is>
      </c>
      <c r="O348" s="5" t="inlineStr">
        <is>
          <t>ENT</t>
        </is>
      </c>
      <c r="P348" s="5" t="n">
        <v>0</v>
      </c>
      <c r="Q348" s="5" t="n">
        <v>0</v>
      </c>
      <c r="R348" s="5" t="inlineStr">
        <is>
          <t>234-2024-12-31</t>
        </is>
      </c>
    </row>
    <row r="349">
      <c r="A349" s="5" t="n">
        <v>234</v>
      </c>
      <c r="B349" s="5" t="inlineStr">
        <is>
          <t>Impacto de las Comunicaciones en Materia Ambiental a Través de Redes Sociales - Instagram</t>
        </is>
      </c>
      <c r="C349" s="5" t="inlineStr">
        <is>
          <t>GESTIÓN AMBIENTAL</t>
        </is>
      </c>
      <c r="D349" s="5" t="inlineStr">
        <is>
          <t>Semestral</t>
        </is>
      </c>
      <c r="E349" s="5" t="inlineStr">
        <is>
          <t>Positivo</t>
        </is>
      </c>
      <c r="F349" s="107" t="n">
        <v>46022</v>
      </c>
      <c r="G349" s="5" t="n">
        <v>2025</v>
      </c>
      <c r="H349" s="5" t="inlineStr">
        <is>
          <t>Diciembre</t>
        </is>
      </c>
      <c r="I349" s="6" t="inlineStr">
        <is>
          <t>2025-2</t>
        </is>
      </c>
      <c r="J349" s="5" t="n">
        <v>4000</v>
      </c>
      <c r="K349" s="5" t="n">
        <v>10577.25</v>
      </c>
      <c r="L349" s="14">
        <f>IFERROR(IF(OR(J349=0,K349=""),"",IF(E349="Positivo",MIN(MAX(K349/J349,0),1.3),MIN(MAX(J349/K349,0),1.3))),"") </f>
        <v/>
      </c>
      <c r="M349" s="14">
        <f>IFERROR(IF(OR(J349=0,K349=""),"",IF(E349="Positivo",MAX(K349/J349,0),MAX(J349/K349,0))),"") </f>
        <v/>
      </c>
      <c r="N349" s="5" t="inlineStr">
        <is>
          <t>ENT</t>
        </is>
      </c>
      <c r="O349" s="5" t="inlineStr">
        <is>
          <t>ENT</t>
        </is>
      </c>
      <c r="P349" s="5" t="n">
        <v>0</v>
      </c>
      <c r="Q349" s="5" t="n">
        <v>0</v>
      </c>
      <c r="R349" s="5" t="inlineStr">
        <is>
          <t>234-2025-12-31</t>
        </is>
      </c>
    </row>
    <row r="350">
      <c r="A350" s="5" t="n">
        <v>235</v>
      </c>
      <c r="B350" s="5" t="inlineStr">
        <is>
          <t>Cumplimiento de Requisitos Legales Ambientales Aplicables</t>
        </is>
      </c>
      <c r="C350" s="5" t="inlineStr">
        <is>
          <t>GESTIÓN AMBIENTAL</t>
        </is>
      </c>
      <c r="D350" s="5" t="inlineStr">
        <is>
          <t>Anual</t>
        </is>
      </c>
      <c r="E350" s="5" t="inlineStr">
        <is>
          <t>Positivo</t>
        </is>
      </c>
      <c r="F350" s="107" t="n">
        <v>45291</v>
      </c>
      <c r="G350" s="5" t="n">
        <v>2023</v>
      </c>
      <c r="H350" s="5" t="inlineStr">
        <is>
          <t>Diciembre</t>
        </is>
      </c>
      <c r="I350" s="6" t="inlineStr">
        <is>
          <t>2023-2</t>
        </is>
      </c>
      <c r="J350" s="5" t="n">
        <v>100</v>
      </c>
      <c r="K350" s="5" t="n">
        <v>81.65289256198299</v>
      </c>
      <c r="L350" s="14">
        <f>IFERROR(IF(OR(J350=0,K350=""),"",IF(E350="Positivo",MIN(MAX(K350/J350,0),1.3),MIN(MAX(J350/K350,0),1.3))),"") </f>
        <v/>
      </c>
      <c r="M350" s="14">
        <f>IFERROR(IF(OR(J350=0,K350=""),"",IF(E350="Positivo",MAX(K350/J350,0),MAX(J350/K350,0))),"") </f>
        <v/>
      </c>
      <c r="N350" s="5" t="inlineStr">
        <is>
          <t>%</t>
        </is>
      </c>
      <c r="O350" s="5" t="inlineStr">
        <is>
          <t>%</t>
        </is>
      </c>
      <c r="P350" s="5" t="n">
        <v>0</v>
      </c>
      <c r="Q350" s="5" t="n">
        <v>0</v>
      </c>
      <c r="R350" s="5" t="inlineStr">
        <is>
          <t>235-2023-12-31</t>
        </is>
      </c>
    </row>
    <row r="351">
      <c r="A351" s="5" t="n">
        <v>235</v>
      </c>
      <c r="B351" s="5" t="inlineStr">
        <is>
          <t>Cumplimiento de Requisitos Legales Ambientales Aplicables</t>
        </is>
      </c>
      <c r="C351" s="5" t="inlineStr">
        <is>
          <t>GESTIÓN AMBIENTAL</t>
        </is>
      </c>
      <c r="D351" s="5" t="inlineStr">
        <is>
          <t>Anual</t>
        </is>
      </c>
      <c r="E351" s="5" t="inlineStr">
        <is>
          <t>Positivo</t>
        </is>
      </c>
      <c r="F351" s="107" t="n">
        <v>45657</v>
      </c>
      <c r="G351" s="5" t="n">
        <v>2024</v>
      </c>
      <c r="H351" s="5" t="inlineStr">
        <is>
          <t>Diciembre</t>
        </is>
      </c>
      <c r="I351" s="6" t="inlineStr">
        <is>
          <t>2024-2</t>
        </is>
      </c>
      <c r="J351" s="5" t="n">
        <v>100</v>
      </c>
      <c r="K351" s="5" t="n">
        <v>92.012779552716</v>
      </c>
      <c r="L351" s="14">
        <f>IFERROR(IF(OR(J351=0,K351=""),"",IF(E351="Positivo",MIN(MAX(K351/J351,0),1.3),MIN(MAX(J351/K351,0),1.3))),"") </f>
        <v/>
      </c>
      <c r="M351" s="14">
        <f>IFERROR(IF(OR(J351=0,K351=""),"",IF(E351="Positivo",MAX(K351/J351,0),MAX(J351/K351,0))),"") </f>
        <v/>
      </c>
      <c r="N351" s="5" t="inlineStr">
        <is>
          <t>%</t>
        </is>
      </c>
      <c r="O351" s="5" t="inlineStr">
        <is>
          <t>%</t>
        </is>
      </c>
      <c r="P351" s="5" t="n">
        <v>0</v>
      </c>
      <c r="Q351" s="5" t="n">
        <v>0</v>
      </c>
      <c r="R351" s="5" t="inlineStr">
        <is>
          <t>235-2024-12-31</t>
        </is>
      </c>
    </row>
    <row r="352">
      <c r="A352" s="5" t="n">
        <v>236</v>
      </c>
      <c r="B352" s="5" t="inlineStr">
        <is>
          <t>Actos Administrativos o Decisiones Judiciales Ambientales</t>
        </is>
      </c>
      <c r="C352" s="5" t="inlineStr">
        <is>
          <t>GESTIÓN AMBIENTAL</t>
        </is>
      </c>
      <c r="D352" s="5" t="inlineStr">
        <is>
          <t>Anual</t>
        </is>
      </c>
      <c r="E352" s="5" t="inlineStr">
        <is>
          <t>Negativo</t>
        </is>
      </c>
      <c r="F352" s="107" t="n">
        <v>45291</v>
      </c>
      <c r="G352" s="5" t="n">
        <v>2023</v>
      </c>
      <c r="H352" s="5" t="inlineStr">
        <is>
          <t>Diciembre</t>
        </is>
      </c>
      <c r="I352" s="6" t="inlineStr">
        <is>
          <t>2023-2</t>
        </is>
      </c>
      <c r="J352" s="5" t="n">
        <v>0</v>
      </c>
      <c r="K352" s="5" t="n">
        <v>0</v>
      </c>
      <c r="L352" s="14">
        <f>IFERROR(IF(OR(J352=0,K352=""),"",IF(E352="Positivo",MIN(MAX(K352/J352,0),1.3),MIN(MAX(J352/K352,0),1.3))),"") </f>
        <v/>
      </c>
      <c r="M352" s="14">
        <f>IFERROR(IF(OR(J352=0,K352=""),"",IF(E352="Positivo",MAX(K352/J352,0),MAX(J352/K352,0))),"") </f>
        <v/>
      </c>
      <c r="N352" s="5" t="inlineStr">
        <is>
          <t>%</t>
        </is>
      </c>
      <c r="O352" s="5" t="inlineStr">
        <is>
          <t>%</t>
        </is>
      </c>
      <c r="P352" s="5" t="n">
        <v>0</v>
      </c>
      <c r="Q352" s="5" t="n">
        <v>0</v>
      </c>
      <c r="R352" s="5" t="inlineStr">
        <is>
          <t>236-2023-12-31</t>
        </is>
      </c>
    </row>
    <row r="353">
      <c r="A353" s="5" t="n">
        <v>236</v>
      </c>
      <c r="B353" s="5" t="inlineStr">
        <is>
          <t>Actos Administrativos o Decisiones Judiciales Ambientales</t>
        </is>
      </c>
      <c r="C353" s="5" t="inlineStr">
        <is>
          <t>GESTIÓN AMBIENTAL</t>
        </is>
      </c>
      <c r="D353" s="5" t="inlineStr">
        <is>
          <t>Anual</t>
        </is>
      </c>
      <c r="E353" s="5" t="inlineStr">
        <is>
          <t>Negativo</t>
        </is>
      </c>
      <c r="F353" s="107" t="n">
        <v>45657</v>
      </c>
      <c r="G353" s="5" t="n">
        <v>2024</v>
      </c>
      <c r="H353" s="5" t="inlineStr">
        <is>
          <t>Diciembre</t>
        </is>
      </c>
      <c r="I353" s="6" t="inlineStr">
        <is>
          <t>2024-2</t>
        </is>
      </c>
      <c r="J353" s="5" t="n">
        <v>0</v>
      </c>
      <c r="K353" s="5" t="n">
        <v>0</v>
      </c>
      <c r="L353" s="14">
        <f>IFERROR(IF(OR(J353=0,K353=""),"",IF(E353="Positivo",MIN(MAX(K353/J353,0),1.3),MIN(MAX(J353/K353,0),1.3))),"") </f>
        <v/>
      </c>
      <c r="M353" s="14">
        <f>IFERROR(IF(OR(J353=0,K353=""),"",IF(E353="Positivo",MAX(K353/J353,0),MAX(J353/K353,0))),"") </f>
        <v/>
      </c>
      <c r="N353" s="5" t="inlineStr">
        <is>
          <t>%</t>
        </is>
      </c>
      <c r="O353" s="5" t="inlineStr">
        <is>
          <t>%</t>
        </is>
      </c>
      <c r="P353" s="5" t="n">
        <v>0</v>
      </c>
      <c r="Q353" s="5" t="n">
        <v>0</v>
      </c>
      <c r="R353" s="5" t="inlineStr">
        <is>
          <t>236-2024-12-31</t>
        </is>
      </c>
    </row>
    <row r="354">
      <c r="A354" s="5" t="n">
        <v>236</v>
      </c>
      <c r="B354" s="5" t="inlineStr">
        <is>
          <t>Actos Administrativos o Decisiones Judiciales Ambientales</t>
        </is>
      </c>
      <c r="C354" s="5" t="inlineStr">
        <is>
          <t>GESTIÓN AMBIENTAL</t>
        </is>
      </c>
      <c r="D354" s="5" t="inlineStr">
        <is>
          <t>Anual</t>
        </is>
      </c>
      <c r="E354" s="5" t="inlineStr">
        <is>
          <t>Negativo</t>
        </is>
      </c>
      <c r="F354" s="107" t="n">
        <v>46022</v>
      </c>
      <c r="G354" s="5" t="n">
        <v>2025</v>
      </c>
      <c r="H354" s="5" t="inlineStr">
        <is>
          <t>Diciembre</t>
        </is>
      </c>
      <c r="I354" s="6" t="inlineStr">
        <is>
          <t>2025-2</t>
        </is>
      </c>
      <c r="J354" s="5" t="n">
        <v>0</v>
      </c>
      <c r="K354" s="5" t="n">
        <v>0</v>
      </c>
      <c r="L354" s="14">
        <f>IFERROR(IF(OR(J354=0,K354=""),"",IF(E354="Positivo",MIN(MAX(K354/J354,0),1.3),MIN(MAX(J354/K354,0),1.3))),"") </f>
        <v/>
      </c>
      <c r="M354" s="14">
        <f>IFERROR(IF(OR(J354=0,K354=""),"",IF(E354="Positivo",MAX(K354/J354,0),MAX(J354/K354,0))),"") </f>
        <v/>
      </c>
      <c r="N354" s="5" t="inlineStr">
        <is>
          <t>%</t>
        </is>
      </c>
      <c r="O354" s="5" t="inlineStr">
        <is>
          <t>%</t>
        </is>
      </c>
      <c r="P354" s="5" t="n">
        <v>0</v>
      </c>
      <c r="Q354" s="5" t="n">
        <v>0</v>
      </c>
      <c r="R354" s="5" t="inlineStr">
        <is>
          <t>236-2025-12-31</t>
        </is>
      </c>
    </row>
    <row r="355">
      <c r="A355" s="5" t="n">
        <v>238</v>
      </c>
      <c r="B355" s="5" t="inlineStr">
        <is>
          <t>Cumplimiento de la Protección del Medio Ambiente</t>
        </is>
      </c>
      <c r="C355" s="5" t="inlineStr">
        <is>
          <t>GESTIÓN AMBIENTAL</t>
        </is>
      </c>
      <c r="D355" s="5" t="inlineStr">
        <is>
          <t>Semestral</t>
        </is>
      </c>
      <c r="E355" s="5" t="inlineStr">
        <is>
          <t>Positivo</t>
        </is>
      </c>
      <c r="F355" s="107" t="n">
        <v>44926</v>
      </c>
      <c r="G355" s="5" t="n">
        <v>2022</v>
      </c>
      <c r="H355" s="5" t="inlineStr">
        <is>
          <t>Diciembre</t>
        </is>
      </c>
      <c r="I355" s="6" t="inlineStr">
        <is>
          <t>2022-2</t>
        </is>
      </c>
      <c r="J355" s="5" t="n">
        <v>90</v>
      </c>
      <c r="K355" s="5" t="n"/>
      <c r="L355" s="14" t="n"/>
      <c r="M355" s="14" t="n"/>
      <c r="N355" s="5" t="inlineStr">
        <is>
          <t>Sin Reporte</t>
        </is>
      </c>
      <c r="O355" s="5" t="inlineStr">
        <is>
          <t>No Aplica</t>
        </is>
      </c>
      <c r="P355" s="5" t="n">
        <v>0</v>
      </c>
      <c r="Q355" s="5" t="n">
        <v>0</v>
      </c>
      <c r="R355" s="5" t="inlineStr">
        <is>
          <t>238-2022-12-31</t>
        </is>
      </c>
      <c r="S355" t="inlineStr">
        <is>
          <t>No Aplica</t>
        </is>
      </c>
    </row>
    <row r="356">
      <c r="A356" s="5" t="n">
        <v>238</v>
      </c>
      <c r="B356" s="5" t="inlineStr">
        <is>
          <t>Cumplimiento de la Protección del Medio Ambiente</t>
        </is>
      </c>
      <c r="C356" s="5" t="inlineStr">
        <is>
          <t>GESTIÓN AMBIENTAL</t>
        </is>
      </c>
      <c r="D356" s="5" t="inlineStr">
        <is>
          <t>Trimestral</t>
        </is>
      </c>
      <c r="E356" s="5" t="inlineStr">
        <is>
          <t>Positivo</t>
        </is>
      </c>
      <c r="F356" s="107" t="n">
        <v>45291</v>
      </c>
      <c r="G356" s="5" t="n">
        <v>2023</v>
      </c>
      <c r="H356" s="5" t="inlineStr">
        <is>
          <t>Diciembre</t>
        </is>
      </c>
      <c r="I356" s="6" t="inlineStr">
        <is>
          <t>2023-2</t>
        </is>
      </c>
      <c r="J356" s="5" t="n">
        <v>90</v>
      </c>
      <c r="K356" s="5" t="n">
        <v>87.52088554720135</v>
      </c>
      <c r="L356" s="14">
        <f>IFERROR(IF(OR(J356=0,K356=""),"",IF(E356="Positivo",MIN(MAX(K356/J356,0),1.3),MIN(MAX(J356/K356,0),1.3))),"") </f>
        <v/>
      </c>
      <c r="M356" s="14">
        <f>IFERROR(IF(OR(J356=0,K356=""),"",IF(E356="Positivo",MAX(K356/J356,0),MAX(J356/K356,0))),"") </f>
        <v/>
      </c>
      <c r="N356" s="5" t="inlineStr">
        <is>
          <t>%</t>
        </is>
      </c>
      <c r="O356" s="5" t="inlineStr">
        <is>
          <t>%</t>
        </is>
      </c>
      <c r="P356" s="5" t="n">
        <v>0</v>
      </c>
      <c r="Q356" s="5" t="n">
        <v>0</v>
      </c>
      <c r="R356" s="5" t="inlineStr">
        <is>
          <t>238-2023-12-31</t>
        </is>
      </c>
    </row>
    <row r="357">
      <c r="A357" s="5" t="n">
        <v>238</v>
      </c>
      <c r="B357" s="5" t="inlineStr">
        <is>
          <t>Cumplimiento de la Protección del Medio Ambiente</t>
        </is>
      </c>
      <c r="C357" s="5" t="inlineStr">
        <is>
          <t>GESTIÓN AMBIENTAL</t>
        </is>
      </c>
      <c r="D357" s="5" t="inlineStr">
        <is>
          <t>Trimestral</t>
        </is>
      </c>
      <c r="E357" s="5" t="inlineStr">
        <is>
          <t>Positivo</t>
        </is>
      </c>
      <c r="F357" s="107" t="n">
        <v>45657</v>
      </c>
      <c r="G357" s="5" t="n">
        <v>2024</v>
      </c>
      <c r="H357" s="5" t="inlineStr">
        <is>
          <t>Diciembre</t>
        </is>
      </c>
      <c r="I357" s="6" t="inlineStr">
        <is>
          <t>2024-2</t>
        </is>
      </c>
      <c r="J357" s="73" t="n">
        <v>90</v>
      </c>
      <c r="K357" s="9" t="n">
        <v>79.63150062656641</v>
      </c>
      <c r="L357" s="14">
        <f>IFERROR(IF(OR(J357=0,K357=""),"",IF(E357="Positivo",MIN(MAX(K357/J357,0),1.3),MIN(MAX(J357/K357,0),1.3))),"") </f>
        <v/>
      </c>
      <c r="M357" s="14">
        <f>IFERROR(IF(OR(J357=0,K357=""),"",IF(E357="Positivo",MAX(K357/J357,0),MAX(J357/K357,0))),"") </f>
        <v/>
      </c>
      <c r="N357" s="5" t="inlineStr">
        <is>
          <t>Sin Reporte</t>
        </is>
      </c>
      <c r="O357" s="5" t="inlineStr">
        <is>
          <t>Sin Reporte</t>
        </is>
      </c>
      <c r="P357" s="5" t="n">
        <v>0</v>
      </c>
      <c r="Q357" s="5" t="n">
        <v>0</v>
      </c>
      <c r="R357" s="5" t="inlineStr">
        <is>
          <t>238-2024-12-31</t>
        </is>
      </c>
    </row>
    <row r="358">
      <c r="A358" s="5" t="n">
        <v>238</v>
      </c>
      <c r="B358" s="5" t="inlineStr">
        <is>
          <t>Cumplimiento de la Protección del Medio Ambiente</t>
        </is>
      </c>
      <c r="C358" s="5" t="inlineStr">
        <is>
          <t>GESTIÓN AMBIENTAL</t>
        </is>
      </c>
      <c r="D358" s="5" t="inlineStr">
        <is>
          <t>Semestral</t>
        </is>
      </c>
      <c r="E358" s="5" t="inlineStr">
        <is>
          <t>Positivo</t>
        </is>
      </c>
      <c r="F358" s="107" t="n">
        <v>46022</v>
      </c>
      <c r="G358" s="5" t="n">
        <v>2025</v>
      </c>
      <c r="H358" s="5" t="inlineStr">
        <is>
          <t>Diciembre</t>
        </is>
      </c>
      <c r="I358" s="6" t="inlineStr">
        <is>
          <t>2025-2</t>
        </is>
      </c>
      <c r="J358" s="5" t="n">
        <v>90</v>
      </c>
      <c r="K358" s="5" t="n">
        <v>87.0475</v>
      </c>
      <c r="L358" s="14">
        <f>IFERROR(IF(OR(J358=0,K358=""),"",IF(E358="Positivo",MIN(MAX(K358/J358,0),1.3),MIN(MAX(J358/K358,0),1.3))),"") </f>
        <v/>
      </c>
      <c r="M358" s="14">
        <f>IFERROR(IF(OR(J358=0,K358=""),"",IF(E358="Positivo",MAX(K358/J358,0),MAX(J358/K358,0))),"") </f>
        <v/>
      </c>
      <c r="N358" s="5" t="inlineStr">
        <is>
          <t>Sin Reporte</t>
        </is>
      </c>
      <c r="O358" s="5" t="inlineStr">
        <is>
          <t>Sin Reporte</t>
        </is>
      </c>
      <c r="P358" s="5" t="n">
        <v>0</v>
      </c>
      <c r="Q358" s="5" t="n">
        <v>0</v>
      </c>
      <c r="R358" s="5" t="inlineStr">
        <is>
          <t>238-2025-12-31</t>
        </is>
      </c>
    </row>
    <row r="359" customFormat="1" s="32">
      <c r="A359" s="5" t="n">
        <v>239</v>
      </c>
      <c r="B359" s="5" t="inlineStr">
        <is>
          <t>Portafolio de Proyectos - Metrica</t>
        </is>
      </c>
      <c r="C359" s="5" t="inlineStr">
        <is>
          <t>Gestión de Proyectos</t>
        </is>
      </c>
      <c r="D359" s="5" t="inlineStr">
        <is>
          <t>Mensual</t>
        </is>
      </c>
      <c r="E359" s="5" t="inlineStr">
        <is>
          <t>Positivo</t>
        </is>
      </c>
      <c r="F359" s="107" t="n">
        <v>44926</v>
      </c>
      <c r="G359" s="5" t="n">
        <v>2022</v>
      </c>
      <c r="H359" s="5" t="inlineStr">
        <is>
          <t>Diciembre</t>
        </is>
      </c>
      <c r="I359" s="6" t="inlineStr">
        <is>
          <t>2022-2</t>
        </is>
      </c>
      <c r="J359" s="5" t="n"/>
      <c r="K359" s="5" t="n">
        <v>0</v>
      </c>
      <c r="L359" s="14" t="n"/>
      <c r="M359" s="14" t="n"/>
      <c r="N359" s="5" t="inlineStr">
        <is>
          <t>Metrica</t>
        </is>
      </c>
      <c r="O359" s="5" t="inlineStr">
        <is>
          <t>ENT</t>
        </is>
      </c>
      <c r="P359" s="5" t="n">
        <v>0</v>
      </c>
      <c r="Q359" s="5" t="n">
        <v>0</v>
      </c>
      <c r="R359" s="5" t="inlineStr">
        <is>
          <t>239-2022-12-31</t>
        </is>
      </c>
      <c r="S359" t="inlineStr">
        <is>
          <t>Metrica</t>
        </is>
      </c>
    </row>
    <row r="360">
      <c r="A360" s="5" t="n">
        <v>239</v>
      </c>
      <c r="B360" s="5" t="inlineStr">
        <is>
          <t>Portafolio de Proyectos</t>
        </is>
      </c>
      <c r="C360" s="5" t="inlineStr">
        <is>
          <t>Gestión de Proyectos</t>
        </is>
      </c>
      <c r="D360" s="5" t="inlineStr">
        <is>
          <t>Mensual</t>
        </is>
      </c>
      <c r="E360" s="5" t="inlineStr">
        <is>
          <t>Positivo</t>
        </is>
      </c>
      <c r="F360" s="107" t="n">
        <v>45291</v>
      </c>
      <c r="G360" s="5" t="n">
        <v>2023</v>
      </c>
      <c r="H360" s="5" t="inlineStr">
        <is>
          <t>Diciembre</t>
        </is>
      </c>
      <c r="I360" s="6" t="inlineStr">
        <is>
          <t>2023-2</t>
        </is>
      </c>
      <c r="J360" s="5" t="n"/>
      <c r="K360" s="5" t="n">
        <v>0</v>
      </c>
      <c r="L360" s="14" t="n"/>
      <c r="M360" s="14" t="n"/>
      <c r="N360" s="5" t="inlineStr">
        <is>
          <t>Metrica</t>
        </is>
      </c>
      <c r="O360" s="5" t="inlineStr">
        <is>
          <t>ENT</t>
        </is>
      </c>
      <c r="P360" s="5" t="n">
        <v>0</v>
      </c>
      <c r="Q360" s="5" t="n">
        <v>0</v>
      </c>
      <c r="R360" s="5" t="inlineStr">
        <is>
          <t>239-2023-12-31</t>
        </is>
      </c>
    </row>
    <row r="361">
      <c r="A361" s="5" t="n">
        <v>239</v>
      </c>
      <c r="B361" s="5" t="inlineStr">
        <is>
          <t>Portafolio de Proyectos</t>
        </is>
      </c>
      <c r="C361" s="5" t="inlineStr">
        <is>
          <t>Gestión de Proyectos</t>
        </is>
      </c>
      <c r="D361" s="5" t="inlineStr">
        <is>
          <t>Mensual</t>
        </is>
      </c>
      <c r="E361" s="5" t="inlineStr">
        <is>
          <t>Positivo</t>
        </is>
      </c>
      <c r="F361" s="107" t="n">
        <v>45657</v>
      </c>
      <c r="G361" s="5" t="n">
        <v>2024</v>
      </c>
      <c r="H361" s="5" t="inlineStr">
        <is>
          <t>Diciembre</t>
        </is>
      </c>
      <c r="I361" s="6" t="inlineStr">
        <is>
          <t>2024-2</t>
        </is>
      </c>
      <c r="J361" s="5" t="n"/>
      <c r="K361" s="5" t="n">
        <v>0</v>
      </c>
      <c r="L361" s="14" t="n"/>
      <c r="M361" s="14" t="n"/>
      <c r="N361" s="5" t="inlineStr">
        <is>
          <t>Metrica</t>
        </is>
      </c>
      <c r="O361" s="5" t="inlineStr">
        <is>
          <t>ENT</t>
        </is>
      </c>
      <c r="P361" s="5" t="n">
        <v>0</v>
      </c>
      <c r="Q361" s="5" t="n">
        <v>0</v>
      </c>
      <c r="R361" s="5" t="inlineStr">
        <is>
          <t>239-2024-12-31</t>
        </is>
      </c>
    </row>
    <row r="362">
      <c r="A362" s="5" t="n">
        <v>239</v>
      </c>
      <c r="B362" s="5" t="inlineStr">
        <is>
          <t>Portafolio de Proyectos - Metrica</t>
        </is>
      </c>
      <c r="C362" s="5" t="inlineStr">
        <is>
          <t>Gestión de Proyectos</t>
        </is>
      </c>
      <c r="D362" s="5" t="inlineStr">
        <is>
          <t>Mensual</t>
        </is>
      </c>
      <c r="E362" s="5" t="inlineStr">
        <is>
          <t>Positivo</t>
        </is>
      </c>
      <c r="F362" s="107" t="n">
        <v>46022</v>
      </c>
      <c r="G362" s="5" t="n">
        <v>2025</v>
      </c>
      <c r="H362" s="5" t="inlineStr">
        <is>
          <t>Diciembre</t>
        </is>
      </c>
      <c r="I362" s="6" t="inlineStr">
        <is>
          <t>2025-2</t>
        </is>
      </c>
      <c r="J362" s="5" t="n"/>
      <c r="K362" s="5" t="n">
        <v>44</v>
      </c>
      <c r="L362" s="14" t="n"/>
      <c r="M362" s="14" t="n"/>
      <c r="N362" s="5" t="inlineStr">
        <is>
          <t>Metrica</t>
        </is>
      </c>
      <c r="O362" s="5" t="inlineStr">
        <is>
          <t>ENT</t>
        </is>
      </c>
      <c r="P362" s="5" t="n">
        <v>0</v>
      </c>
      <c r="Q362" s="5" t="n">
        <v>0</v>
      </c>
      <c r="R362" s="5" t="inlineStr">
        <is>
          <t>239-2025-12-31</t>
        </is>
      </c>
      <c r="S362" t="inlineStr">
        <is>
          <t>Metrica</t>
        </is>
      </c>
    </row>
    <row r="363">
      <c r="A363" s="5" t="n">
        <v>239</v>
      </c>
      <c r="B363" s="5" t="inlineStr">
        <is>
          <t>Portafolio de Proyectos - Metrica</t>
        </is>
      </c>
      <c r="C363" s="5" t="inlineStr">
        <is>
          <t>Gestión de Proyectos</t>
        </is>
      </c>
      <c r="D363" s="5" t="inlineStr">
        <is>
          <t>Mensual</t>
        </is>
      </c>
      <c r="E363" s="5" t="inlineStr">
        <is>
          <t>Positivo</t>
        </is>
      </c>
      <c r="F363" s="107" t="n">
        <v>46081</v>
      </c>
      <c r="G363" s="5" t="n">
        <v>2026</v>
      </c>
      <c r="H363" s="5" t="inlineStr">
        <is>
          <t>Febrero</t>
        </is>
      </c>
      <c r="I363" s="6" t="inlineStr">
        <is>
          <t>2026-1</t>
        </is>
      </c>
      <c r="J363" s="5" t="n"/>
      <c r="K363" s="5" t="n">
        <v>44</v>
      </c>
      <c r="L363" s="14" t="n"/>
      <c r="M363" s="14" t="n"/>
      <c r="N363" s="5" t="inlineStr">
        <is>
          <t>Metrica</t>
        </is>
      </c>
      <c r="O363" s="5" t="inlineStr">
        <is>
          <t>ENT</t>
        </is>
      </c>
      <c r="P363" s="5" t="n">
        <v>0</v>
      </c>
      <c r="Q363" s="5" t="n">
        <v>0</v>
      </c>
      <c r="R363" s="5" t="inlineStr">
        <is>
          <t>239-2026-02-28</t>
        </is>
      </c>
      <c r="S363" t="inlineStr">
        <is>
          <t>Metrica</t>
        </is>
      </c>
    </row>
    <row r="364">
      <c r="A364" s="5" t="n">
        <v>240</v>
      </c>
      <c r="B364" s="5" t="inlineStr">
        <is>
          <t>Cumplimiento de Gestión De Proyectos Cerrados</t>
        </is>
      </c>
      <c r="C364" s="5" t="inlineStr">
        <is>
          <t>Gestión de Proyectos</t>
        </is>
      </c>
      <c r="D364" s="5" t="inlineStr">
        <is>
          <t>Trimestral</t>
        </is>
      </c>
      <c r="E364" s="5" t="inlineStr">
        <is>
          <t>Positivo</t>
        </is>
      </c>
      <c r="F364" s="107" t="n">
        <v>45291</v>
      </c>
      <c r="G364" s="5" t="n">
        <v>2023</v>
      </c>
      <c r="H364" s="5" t="inlineStr">
        <is>
          <t>Diciembre</t>
        </is>
      </c>
      <c r="I364" s="6" t="inlineStr">
        <is>
          <t>2023-2</t>
        </is>
      </c>
      <c r="J364" s="5" t="n">
        <v>100</v>
      </c>
      <c r="K364" s="5" t="n">
        <v>65</v>
      </c>
      <c r="L364" s="14">
        <f>IFERROR(IF(OR(J364=0,K364=""),"",IF(E364="Positivo",MIN(MAX(K364/J364,0),1.3),MIN(MAX(J364/K364,0),1.3))),"") </f>
        <v/>
      </c>
      <c r="M364" s="14">
        <f>IFERROR(IF(OR(J364=0,K364=""),"",IF(E364="Positivo",MAX(K364/J364,0),MAX(J364/K364,0))),"") </f>
        <v/>
      </c>
      <c r="N364" s="5" t="inlineStr">
        <is>
          <t>%</t>
        </is>
      </c>
      <c r="O364" s="5" t="inlineStr">
        <is>
          <t>%</t>
        </is>
      </c>
      <c r="P364" s="5" t="n">
        <v>0</v>
      </c>
      <c r="Q364" s="5" t="n">
        <v>0</v>
      </c>
      <c r="R364" s="5" t="inlineStr">
        <is>
          <t>240-2023-12-31</t>
        </is>
      </c>
    </row>
    <row r="365">
      <c r="A365" s="5" t="n">
        <v>240</v>
      </c>
      <c r="B365" s="5" t="inlineStr">
        <is>
          <t>Cumplimiento de Gestión De Proyectos Cerrados</t>
        </is>
      </c>
      <c r="C365" s="5" t="inlineStr">
        <is>
          <t>Gestión de Proyectos</t>
        </is>
      </c>
      <c r="D365" s="5" t="inlineStr">
        <is>
          <t>Trimestral</t>
        </is>
      </c>
      <c r="E365" s="5" t="inlineStr">
        <is>
          <t>Positivo</t>
        </is>
      </c>
      <c r="F365" s="107" t="n">
        <v>45657</v>
      </c>
      <c r="G365" s="5" t="n">
        <v>2024</v>
      </c>
      <c r="H365" s="5" t="inlineStr">
        <is>
          <t>Diciembre</t>
        </is>
      </c>
      <c r="I365" s="6" t="inlineStr">
        <is>
          <t>2024-2</t>
        </is>
      </c>
      <c r="J365" s="5" t="n">
        <v>100</v>
      </c>
      <c r="K365" s="5" t="n">
        <v>97.91666666666666</v>
      </c>
      <c r="L365" s="14">
        <f>IFERROR(IF(OR(J365=0,K365=""),"",IF(E365="Positivo",MIN(MAX(K365/J365,0),1.3),MIN(MAX(J365/K365,0),1.3))),"") </f>
        <v/>
      </c>
      <c r="M365" s="14">
        <f>IFERROR(IF(OR(J365=0,K365=""),"",IF(E365="Positivo",MAX(K365/J365,0),MAX(J365/K365,0))),"") </f>
        <v/>
      </c>
      <c r="N365" s="5" t="inlineStr">
        <is>
          <t>%</t>
        </is>
      </c>
      <c r="O365" s="5" t="inlineStr">
        <is>
          <t>%</t>
        </is>
      </c>
      <c r="P365" s="5" t="n">
        <v>0</v>
      </c>
      <c r="Q365" s="5" t="n">
        <v>0</v>
      </c>
      <c r="R365" s="5" t="inlineStr">
        <is>
          <t>240-2024-12-31</t>
        </is>
      </c>
    </row>
    <row r="366">
      <c r="A366" s="5" t="n">
        <v>240</v>
      </c>
      <c r="B366" s="5" t="inlineStr">
        <is>
          <t>Cumplimiento de Gestión De Proyectos Cerrados</t>
        </is>
      </c>
      <c r="C366" s="5" t="inlineStr">
        <is>
          <t>Gestión de Proyectos</t>
        </is>
      </c>
      <c r="D366" s="5" t="inlineStr">
        <is>
          <t>Semestral</t>
        </is>
      </c>
      <c r="E366" s="5" t="inlineStr">
        <is>
          <t>Positivo</t>
        </is>
      </c>
      <c r="F366" s="107" t="n">
        <v>46022</v>
      </c>
      <c r="G366" s="5" t="n">
        <v>2025</v>
      </c>
      <c r="H366" s="5" t="inlineStr">
        <is>
          <t>Diciembre</t>
        </is>
      </c>
      <c r="I366" s="6" t="inlineStr">
        <is>
          <t>2025-2</t>
        </is>
      </c>
      <c r="J366" s="5" t="n">
        <v>100</v>
      </c>
      <c r="K366" s="5" t="n">
        <v>100</v>
      </c>
      <c r="L366" s="14">
        <f>IFERROR(IF(OR(J366=0,K366=""),"",IF(E366="Positivo",MIN(MAX(K366/J366,0),1.3),MIN(MAX(J366/K366,0),1.3))),"") </f>
        <v/>
      </c>
      <c r="M366" s="14">
        <f>IFERROR(IF(OR(J366=0,K366=""),"",IF(E366="Positivo",MAX(K366/J366,0),MAX(J366/K366,0))),"") </f>
        <v/>
      </c>
      <c r="N366" s="5" t="inlineStr">
        <is>
          <t>%</t>
        </is>
      </c>
      <c r="O366" s="5" t="inlineStr">
        <is>
          <t>%</t>
        </is>
      </c>
      <c r="P366" s="5" t="n">
        <v>0</v>
      </c>
      <c r="Q366" s="5" t="n">
        <v>0</v>
      </c>
      <c r="R366" s="5" t="inlineStr">
        <is>
          <t>240-2025-12-31</t>
        </is>
      </c>
    </row>
    <row r="367">
      <c r="A367" s="5" t="n">
        <v>241</v>
      </c>
      <c r="B367" s="5" t="inlineStr">
        <is>
          <t>Cumplimiento de gestión de proyectos fase inicio</t>
        </is>
      </c>
      <c r="C367" s="5" t="inlineStr">
        <is>
          <t>Gestión de Proyectos</t>
        </is>
      </c>
      <c r="D367" s="5" t="inlineStr">
        <is>
          <t>Mensual</t>
        </is>
      </c>
      <c r="E367" s="5" t="inlineStr">
        <is>
          <t>Positivo</t>
        </is>
      </c>
      <c r="F367" s="107" t="n">
        <v>45291</v>
      </c>
      <c r="G367" s="5" t="n">
        <v>2023</v>
      </c>
      <c r="H367" s="5" t="inlineStr">
        <is>
          <t>Diciembre</t>
        </is>
      </c>
      <c r="I367" s="6" t="inlineStr">
        <is>
          <t>2023-2</t>
        </is>
      </c>
      <c r="J367" s="5" t="n">
        <v>80</v>
      </c>
      <c r="K367" s="5" t="n">
        <v>92.54929292929292</v>
      </c>
      <c r="L367" s="14">
        <f>IFERROR(IF(OR(J367=0,K367=""),"",IF(E367="Positivo",MIN(MAX(K367/J367,0),1.3),MIN(MAX(J367/K367,0),1.3))),"") </f>
        <v/>
      </c>
      <c r="M367" s="14">
        <f>IFERROR(IF(OR(J367=0,K367=""),"",IF(E367="Positivo",MAX(K367/J367,0),MAX(J367/K367,0))),"") </f>
        <v/>
      </c>
      <c r="N367" s="5" t="inlineStr">
        <is>
          <t>%</t>
        </is>
      </c>
      <c r="O367" s="5" t="inlineStr">
        <is>
          <t>%</t>
        </is>
      </c>
      <c r="P367" s="5" t="n">
        <v>0</v>
      </c>
      <c r="Q367" s="5" t="n">
        <v>0</v>
      </c>
      <c r="R367" s="5" t="inlineStr">
        <is>
          <t>241-2023-12-31</t>
        </is>
      </c>
    </row>
    <row r="368">
      <c r="A368" s="5" t="n">
        <v>241</v>
      </c>
      <c r="B368" s="5" t="inlineStr">
        <is>
          <t>Cumplimiento de gestión de proyectos fase inicio</t>
        </is>
      </c>
      <c r="C368" s="5" t="inlineStr">
        <is>
          <t>Gestión de Proyectos</t>
        </is>
      </c>
      <c r="D368" s="5" t="inlineStr">
        <is>
          <t>Mensual</t>
        </is>
      </c>
      <c r="E368" s="5" t="inlineStr">
        <is>
          <t>Positivo</t>
        </is>
      </c>
      <c r="F368" s="107" t="n">
        <v>45657</v>
      </c>
      <c r="G368" s="5" t="n">
        <v>2024</v>
      </c>
      <c r="H368" s="5" t="inlineStr">
        <is>
          <t>Diciembre</t>
        </is>
      </c>
      <c r="I368" s="6" t="inlineStr">
        <is>
          <t>2024-2</t>
        </is>
      </c>
      <c r="J368" s="5" t="n">
        <v>80</v>
      </c>
      <c r="K368" s="5" t="n">
        <v>88.93920893920894</v>
      </c>
      <c r="L368" s="14">
        <f>IFERROR(IF(OR(J368=0,K368=""),"",IF(E368="Positivo",MIN(MAX(K368/J368,0),1.3),MIN(MAX(J368/K368,0),1.3))),"") </f>
        <v/>
      </c>
      <c r="M368" s="14">
        <f>IFERROR(IF(OR(J368=0,K368=""),"",IF(E368="Positivo",MAX(K368/J368,0),MAX(J368/K368,0))),"") </f>
        <v/>
      </c>
      <c r="N368" s="5" t="inlineStr">
        <is>
          <t>%</t>
        </is>
      </c>
      <c r="O368" s="5" t="inlineStr">
        <is>
          <t>%</t>
        </is>
      </c>
      <c r="P368" s="5" t="n">
        <v>0</v>
      </c>
      <c r="Q368" s="5" t="n">
        <v>0</v>
      </c>
      <c r="R368" s="5" t="inlineStr">
        <is>
          <t>241-2024-12-31</t>
        </is>
      </c>
    </row>
    <row r="369">
      <c r="A369" s="5" t="n">
        <v>241</v>
      </c>
      <c r="B369" s="5" t="inlineStr">
        <is>
          <t>Cumplimiento de gestión de proyectos fase inicio</t>
        </is>
      </c>
      <c r="C369" s="5" t="inlineStr">
        <is>
          <t>Gestión de Proyectos</t>
        </is>
      </c>
      <c r="D369" s="5" t="inlineStr">
        <is>
          <t>Mensual</t>
        </is>
      </c>
      <c r="E369" s="5" t="inlineStr">
        <is>
          <t>Positivo</t>
        </is>
      </c>
      <c r="F369" s="107" t="n">
        <v>46022</v>
      </c>
      <c r="G369" s="5" t="n">
        <v>2025</v>
      </c>
      <c r="H369" s="5" t="inlineStr">
        <is>
          <t>Diciembre</t>
        </is>
      </c>
      <c r="I369" s="6" t="inlineStr">
        <is>
          <t>2025-2</t>
        </is>
      </c>
      <c r="J369" s="5" t="n">
        <v>80</v>
      </c>
      <c r="K369" s="5" t="n">
        <v>99.30583333333334</v>
      </c>
      <c r="L369" s="14">
        <f>IFERROR(IF(OR(J369=0,K369=""),"",IF(E369="Positivo",MIN(MAX(K369/J369,0),1.3),MIN(MAX(J369/K369,0),1.3))),"") </f>
        <v/>
      </c>
      <c r="M369" s="14">
        <f>IFERROR(IF(OR(J369=0,K369=""),"",IF(E369="Positivo",MAX(K369/J369,0),MAX(J369/K369,0))),"") </f>
        <v/>
      </c>
      <c r="N369" s="5" t="inlineStr">
        <is>
          <t>%</t>
        </is>
      </c>
      <c r="O369" s="5" t="inlineStr">
        <is>
          <t>%</t>
        </is>
      </c>
      <c r="P369" s="5" t="n">
        <v>0</v>
      </c>
      <c r="Q369" s="5" t="n">
        <v>0</v>
      </c>
      <c r="R369" s="5" t="inlineStr">
        <is>
          <t>241-2025-12-31</t>
        </is>
      </c>
    </row>
    <row r="370">
      <c r="A370" s="5" t="n">
        <v>241</v>
      </c>
      <c r="B370" s="5" t="inlineStr">
        <is>
          <t>Cumplimiento de gestión de proyectos fase inicio</t>
        </is>
      </c>
      <c r="C370" s="5" t="inlineStr">
        <is>
          <t>Gestión de Proyectos</t>
        </is>
      </c>
      <c r="D370" s="5" t="inlineStr">
        <is>
          <t>Mensual</t>
        </is>
      </c>
      <c r="E370" s="5" t="inlineStr">
        <is>
          <t>Positivo</t>
        </is>
      </c>
      <c r="F370" s="107" t="n">
        <v>46053</v>
      </c>
      <c r="G370" s="5" t="n">
        <v>2026</v>
      </c>
      <c r="H370" s="5" t="inlineStr">
        <is>
          <t>Enero</t>
        </is>
      </c>
      <c r="I370" s="6" t="inlineStr">
        <is>
          <t>2026-1</t>
        </is>
      </c>
      <c r="J370" s="5" t="n">
        <v>80</v>
      </c>
      <c r="K370" s="10" t="n">
        <v>90</v>
      </c>
      <c r="L370" s="14">
        <f>IFERROR(IF(OR(J370=0,K370=""),"",IF(E370="Positivo",MIN(MAX(K370/J370,0),1.3),MIN(MAX(J370/K370,0),1.3))),"") </f>
        <v/>
      </c>
      <c r="M370" s="14">
        <f>IFERROR(IF(OR(J370=0,K370=""),"",IF(E370="Positivo",MAX(K370/J370,0),MAX(J370/K370,0))),"") </f>
        <v/>
      </c>
      <c r="N370" s="5" t="inlineStr">
        <is>
          <t>%</t>
        </is>
      </c>
      <c r="O370" s="5" t="inlineStr">
        <is>
          <t>%</t>
        </is>
      </c>
      <c r="P370" s="5" t="n">
        <v>0</v>
      </c>
      <c r="Q370" s="5" t="n">
        <v>0</v>
      </c>
      <c r="R370" s="5" t="inlineStr">
        <is>
          <t>241-2026-01-31</t>
        </is>
      </c>
      <c r="S370" t="inlineStr"/>
    </row>
    <row r="371">
      <c r="A371" s="5" t="n">
        <v>242</v>
      </c>
      <c r="B371" s="5" t="inlineStr">
        <is>
          <t>Cumplimiento a cronograma de proyectos</t>
        </is>
      </c>
      <c r="C371" s="5" t="inlineStr">
        <is>
          <t>Gestión de Proyectos</t>
        </is>
      </c>
      <c r="D371" s="5" t="inlineStr">
        <is>
          <t>Mensual</t>
        </is>
      </c>
      <c r="E371" s="5" t="inlineStr">
        <is>
          <t>Positivo</t>
        </is>
      </c>
      <c r="F371" s="107" t="n">
        <v>45291</v>
      </c>
      <c r="G371" s="5" t="n">
        <v>2023</v>
      </c>
      <c r="H371" s="5" t="inlineStr">
        <is>
          <t>Diciembre</t>
        </is>
      </c>
      <c r="I371" s="6" t="inlineStr">
        <is>
          <t>2023-2</t>
        </is>
      </c>
      <c r="J371" s="5" t="n">
        <v>90</v>
      </c>
      <c r="K371" s="5" t="n">
        <v>96.08</v>
      </c>
      <c r="L371" s="14">
        <f>IFERROR(IF(OR(J371=0,K371=""),"",IF(E371="Positivo",MIN(MAX(K371/J371,0),1.3),MIN(MAX(J371/K371,0),1.3))),"") </f>
        <v/>
      </c>
      <c r="M371" s="14">
        <f>IFERROR(IF(OR(J371=0,K371=""),"",IF(E371="Positivo",MAX(K371/J371,0),MAX(J371/K371,0))),"") </f>
        <v/>
      </c>
      <c r="N371" s="5" t="inlineStr">
        <is>
          <t>%</t>
        </is>
      </c>
      <c r="O371" s="5" t="inlineStr">
        <is>
          <t>%</t>
        </is>
      </c>
      <c r="P371" s="5" t="n">
        <v>0</v>
      </c>
      <c r="Q371" s="5" t="n">
        <v>0</v>
      </c>
      <c r="R371" s="5" t="inlineStr">
        <is>
          <t>242-2023-12-31</t>
        </is>
      </c>
    </row>
    <row r="372">
      <c r="A372" s="5" t="n">
        <v>243</v>
      </c>
      <c r="B372" s="5" t="inlineStr">
        <is>
          <t>Cumplimiento de gestión de proyectos control de cambios</t>
        </is>
      </c>
      <c r="C372" s="5" t="inlineStr">
        <is>
          <t>Gestión de Proyectos</t>
        </is>
      </c>
      <c r="D372" s="5" t="inlineStr">
        <is>
          <t>Mensual</t>
        </is>
      </c>
      <c r="E372" s="5" t="inlineStr">
        <is>
          <t>Negativo</t>
        </is>
      </c>
      <c r="F372" s="107" t="n">
        <v>45291</v>
      </c>
      <c r="G372" s="5" t="n">
        <v>2023</v>
      </c>
      <c r="H372" s="5" t="inlineStr">
        <is>
          <t>Diciembre</t>
        </is>
      </c>
      <c r="I372" s="6" t="inlineStr">
        <is>
          <t>2023-2</t>
        </is>
      </c>
      <c r="J372" s="5" t="n"/>
      <c r="K372" s="5" t="n">
        <v>4.96</v>
      </c>
      <c r="L372" s="14" t="n"/>
      <c r="M372" s="14" t="n"/>
      <c r="N372" s="5" t="inlineStr">
        <is>
          <t>%</t>
        </is>
      </c>
      <c r="O372" s="5" t="inlineStr">
        <is>
          <t>%</t>
        </is>
      </c>
      <c r="P372" s="5" t="n">
        <v>0</v>
      </c>
      <c r="Q372" s="5" t="n">
        <v>0</v>
      </c>
      <c r="R372" s="5" t="inlineStr">
        <is>
          <t>243-2023-12-31</t>
        </is>
      </c>
    </row>
    <row r="373">
      <c r="A373" s="5" t="n">
        <v>244</v>
      </c>
      <c r="B373" s="5" t="inlineStr">
        <is>
          <t>GreenMetric - Nacional</t>
        </is>
      </c>
      <c r="C373" s="5" t="inlineStr">
        <is>
          <t>GESTIÓN AMBIENTAL</t>
        </is>
      </c>
      <c r="D373" s="5" t="inlineStr">
        <is>
          <t>Anual</t>
        </is>
      </c>
      <c r="E373" s="5" t="inlineStr">
        <is>
          <t>Negativo</t>
        </is>
      </c>
      <c r="F373" s="107" t="n">
        <v>45291</v>
      </c>
      <c r="G373" s="5" t="n">
        <v>2023</v>
      </c>
      <c r="H373" s="5" t="inlineStr">
        <is>
          <t>Diciembre</t>
        </is>
      </c>
      <c r="I373" s="6" t="inlineStr">
        <is>
          <t>2023-2</t>
        </is>
      </c>
      <c r="J373" s="5" t="n">
        <v>25</v>
      </c>
      <c r="K373" s="5" t="n">
        <v>24</v>
      </c>
      <c r="L373" s="14">
        <f>IFERROR(IF(OR(J373=0,K373=""),"",IF(E373="Positivo",MIN(MAX(K373/J373,0),1.3),MIN(MAX(J373/K373,0),1.3))),"") </f>
        <v/>
      </c>
      <c r="M373" s="14">
        <f>IFERROR(IF(OR(J373=0,K373=""),"",IF(E373="Positivo",MAX(K373/J373,0),MAX(J373/K373,0))),"") </f>
        <v/>
      </c>
      <c r="N373" s="5" t="inlineStr">
        <is>
          <t>ENT</t>
        </is>
      </c>
      <c r="O373" s="5" t="inlineStr">
        <is>
          <t>ENT</t>
        </is>
      </c>
      <c r="P373" s="5" t="n">
        <v>0</v>
      </c>
      <c r="Q373" s="5" t="n">
        <v>0</v>
      </c>
      <c r="R373" s="5" t="inlineStr">
        <is>
          <t>244-2023-12-31</t>
        </is>
      </c>
    </row>
    <row r="374">
      <c r="A374" s="5" t="n">
        <v>244</v>
      </c>
      <c r="B374" s="5" t="inlineStr">
        <is>
          <t>GreenMetric - Nacional</t>
        </is>
      </c>
      <c r="C374" s="5" t="inlineStr">
        <is>
          <t>GESTIÓN AMBIENTAL</t>
        </is>
      </c>
      <c r="D374" s="5" t="inlineStr">
        <is>
          <t>Anual</t>
        </is>
      </c>
      <c r="E374" s="5" t="inlineStr">
        <is>
          <t>Negativo</t>
        </is>
      </c>
      <c r="F374" s="107" t="n">
        <v>45657</v>
      </c>
      <c r="G374" s="5" t="n">
        <v>2024</v>
      </c>
      <c r="H374" s="5" t="inlineStr">
        <is>
          <t>Diciembre</t>
        </is>
      </c>
      <c r="I374" s="6" t="inlineStr">
        <is>
          <t>2024-2</t>
        </is>
      </c>
      <c r="J374" s="5" t="n">
        <v>25</v>
      </c>
      <c r="K374" s="5" t="n">
        <v>25</v>
      </c>
      <c r="L374" s="14">
        <f>IFERROR(IF(OR(J374=0,K374=""),"",IF(E374="Positivo",MIN(MAX(K374/J374,0),1.3),MIN(MAX(J374/K374,0),1.3))),"") </f>
        <v/>
      </c>
      <c r="M374" s="14">
        <f>IFERROR(IF(OR(J374=0,K374=""),"",IF(E374="Positivo",MAX(K374/J374,0),MAX(J374/K374,0))),"") </f>
        <v/>
      </c>
      <c r="N374" s="5" t="inlineStr">
        <is>
          <t>ENT</t>
        </is>
      </c>
      <c r="O374" s="5" t="inlineStr">
        <is>
          <t>ENT</t>
        </is>
      </c>
      <c r="P374" s="5" t="n">
        <v>0</v>
      </c>
      <c r="Q374" s="5" t="n">
        <v>0</v>
      </c>
      <c r="R374" s="5" t="inlineStr">
        <is>
          <t>244-2024-12-31</t>
        </is>
      </c>
    </row>
    <row r="375">
      <c r="A375" s="5" t="n">
        <v>244</v>
      </c>
      <c r="B375" s="5" t="inlineStr">
        <is>
          <t>GreenMetric - Nacional</t>
        </is>
      </c>
      <c r="C375" s="5" t="inlineStr">
        <is>
          <t>GESTIÓN AMBIENTAL</t>
        </is>
      </c>
      <c r="D375" s="5" t="inlineStr">
        <is>
          <t>Anual</t>
        </is>
      </c>
      <c r="E375" s="5" t="inlineStr">
        <is>
          <t>Negativo</t>
        </is>
      </c>
      <c r="F375" s="107" t="n">
        <v>46022</v>
      </c>
      <c r="G375" s="5" t="n">
        <v>2025</v>
      </c>
      <c r="H375" s="5" t="inlineStr">
        <is>
          <t>Diciembre</t>
        </is>
      </c>
      <c r="I375" s="6" t="inlineStr">
        <is>
          <t>2025-2</t>
        </is>
      </c>
      <c r="J375" s="5" t="n">
        <v>25</v>
      </c>
      <c r="K375" s="5" t="n">
        <v>13</v>
      </c>
      <c r="L375" s="14">
        <f>IFERROR(IF(OR(J375=0,K375=""),"",IF(E375="Positivo",MIN(MAX(K375/J375,0),1.3),MIN(MAX(J375/K375,0),1.3))),"") </f>
        <v/>
      </c>
      <c r="M375" s="14">
        <f>IFERROR(IF(OR(J375=0,K375=""),"",IF(E375="Positivo",MAX(K375/J375,0),MAX(J375/K375,0))),"") </f>
        <v/>
      </c>
      <c r="N375" s="5" t="inlineStr">
        <is>
          <t>ENT</t>
        </is>
      </c>
      <c r="O375" s="5" t="inlineStr">
        <is>
          <t>ENT</t>
        </is>
      </c>
      <c r="P375" s="5" t="n">
        <v>0</v>
      </c>
      <c r="Q375" s="5" t="n">
        <v>0</v>
      </c>
      <c r="R375" s="5" t="inlineStr">
        <is>
          <t>244-2025-12-31</t>
        </is>
      </c>
    </row>
    <row r="376">
      <c r="A376" s="5" t="n">
        <v>245</v>
      </c>
      <c r="B376" s="5" t="inlineStr">
        <is>
          <t>Permanencia Intersemestral</t>
        </is>
      </c>
      <c r="C376" s="5" t="inlineStr">
        <is>
          <t>Permanencia</t>
        </is>
      </c>
      <c r="D376" s="5" t="inlineStr">
        <is>
          <t>Semestral</t>
        </is>
      </c>
      <c r="E376" s="5" t="inlineStr">
        <is>
          <t>Positivo</t>
        </is>
      </c>
      <c r="F376" s="107" t="n">
        <v>45291</v>
      </c>
      <c r="G376" s="5" t="n">
        <v>2023</v>
      </c>
      <c r="H376" s="5" t="inlineStr">
        <is>
          <t>Diciembre</t>
        </is>
      </c>
      <c r="I376" s="6" t="inlineStr">
        <is>
          <t>2023-2</t>
        </is>
      </c>
      <c r="J376" s="5" t="n">
        <v>87</v>
      </c>
      <c r="K376" s="5" t="n">
        <v>98.14</v>
      </c>
      <c r="L376" s="14">
        <f>IFERROR(IF(OR(J376=0,K376=""),"",IF(E376="Positivo",MIN(MAX(K376/J376,0),1.3),MIN(MAX(J376/K376,0),1.3))),"") </f>
        <v/>
      </c>
      <c r="M376" s="14">
        <f>IFERROR(IF(OR(J376=0,K376=""),"",IF(E376="Positivo",MAX(K376/J376,0),MAX(J376/K376,0))),"") </f>
        <v/>
      </c>
      <c r="N376" s="5" t="inlineStr">
        <is>
          <t>%</t>
        </is>
      </c>
      <c r="O376" s="5" t="inlineStr">
        <is>
          <t>%</t>
        </is>
      </c>
      <c r="P376" s="5" t="n">
        <v>0</v>
      </c>
      <c r="Q376" s="5" t="n">
        <v>1</v>
      </c>
      <c r="R376" s="5" t="inlineStr">
        <is>
          <t>245-2023-12-31</t>
        </is>
      </c>
    </row>
    <row r="377">
      <c r="A377" s="5" t="n">
        <v>245</v>
      </c>
      <c r="B377" s="5" t="inlineStr">
        <is>
          <t>Permanencia Intersemestral</t>
        </is>
      </c>
      <c r="C377" s="5" t="inlineStr">
        <is>
          <t>Permanencia</t>
        </is>
      </c>
      <c r="D377" s="5" t="inlineStr">
        <is>
          <t>Semestral</t>
        </is>
      </c>
      <c r="E377" s="5" t="inlineStr">
        <is>
          <t>Positivo</t>
        </is>
      </c>
      <c r="F377" s="107" t="n">
        <v>45657</v>
      </c>
      <c r="G377" s="5" t="n">
        <v>2024</v>
      </c>
      <c r="H377" s="5" t="inlineStr">
        <is>
          <t>Diciembre</t>
        </is>
      </c>
      <c r="I377" s="6" t="inlineStr">
        <is>
          <t>2024-2</t>
        </is>
      </c>
      <c r="J377" s="5" t="n">
        <v>100</v>
      </c>
      <c r="K377" s="5" t="n">
        <v>100.22</v>
      </c>
      <c r="L377" s="14">
        <f>IFERROR(IF(OR(J377=0,K377=""),"",IF(E377="Positivo",MIN(MAX(K377/J377,0),1.3),MIN(MAX(J377/K377,0),1.3))),"") </f>
        <v/>
      </c>
      <c r="M377" s="14">
        <f>IFERROR(IF(OR(J377=0,K377=""),"",IF(E377="Positivo",MAX(K377/J377,0),MAX(J377/K377,0))),"") </f>
        <v/>
      </c>
      <c r="N377" s="5" t="inlineStr">
        <is>
          <t>%</t>
        </is>
      </c>
      <c r="O377" s="5" t="inlineStr">
        <is>
          <t>%</t>
        </is>
      </c>
      <c r="P377" s="5" t="n">
        <v>0</v>
      </c>
      <c r="Q377" s="5" t="n">
        <v>1</v>
      </c>
      <c r="R377" s="5" t="inlineStr">
        <is>
          <t>245-2024-12-31</t>
        </is>
      </c>
    </row>
    <row r="378">
      <c r="A378" s="5" t="n">
        <v>245</v>
      </c>
      <c r="B378" s="5" t="inlineStr">
        <is>
          <t>Permanencia Intersemestral</t>
        </is>
      </c>
      <c r="C378" s="5" t="inlineStr">
        <is>
          <t>Permanencia</t>
        </is>
      </c>
      <c r="D378" s="5" t="inlineStr">
        <is>
          <t>Semestral</t>
        </is>
      </c>
      <c r="E378" s="5" t="inlineStr">
        <is>
          <t>Positivo</t>
        </is>
      </c>
      <c r="F378" s="107" t="n">
        <v>46022</v>
      </c>
      <c r="G378" s="5" t="n">
        <v>2025</v>
      </c>
      <c r="H378" s="5" t="inlineStr">
        <is>
          <t>Diciembre</t>
        </is>
      </c>
      <c r="I378" s="6" t="inlineStr">
        <is>
          <t>2025-2</t>
        </is>
      </c>
      <c r="J378" s="5" t="n">
        <v>100</v>
      </c>
      <c r="K378" s="11" t="n">
        <v>100.12</v>
      </c>
      <c r="L378" s="14">
        <f>IFERROR(IF(OR(J378=0,K378=""),"",IF(E378="Positivo",MIN(MAX(K378/J378,0),1.3),MIN(MAX(J378/K378,0),1.3))),"") </f>
        <v/>
      </c>
      <c r="M378" s="14">
        <f>IFERROR(IF(OR(J378=0,K378=""),"",IF(E378="Positivo",MAX(K378/J378,0),MAX(J378/K378,0))),"") </f>
        <v/>
      </c>
      <c r="N378" s="5" t="inlineStr">
        <is>
          <t>%</t>
        </is>
      </c>
      <c r="O378" s="5" t="inlineStr">
        <is>
          <t>%</t>
        </is>
      </c>
      <c r="P378" s="5" t="n">
        <v>1</v>
      </c>
      <c r="Q378" s="5" t="n">
        <v>1</v>
      </c>
      <c r="R378" s="5" t="inlineStr">
        <is>
          <t>245-2025-12-31</t>
        </is>
      </c>
    </row>
    <row r="379">
      <c r="A379" s="5" t="n">
        <v>246</v>
      </c>
      <c r="B379" s="5" t="inlineStr">
        <is>
          <t>Satisfacción del proceso de grados</t>
        </is>
      </c>
      <c r="C379" s="5" t="inlineStr">
        <is>
          <t>Registro y Control</t>
        </is>
      </c>
      <c r="D379" s="5" t="inlineStr">
        <is>
          <t>Semestral</t>
        </is>
      </c>
      <c r="E379" s="5" t="inlineStr">
        <is>
          <t>Positivo</t>
        </is>
      </c>
      <c r="F379" s="107" t="n">
        <v>45291</v>
      </c>
      <c r="G379" s="5" t="n">
        <v>2023</v>
      </c>
      <c r="H379" s="5" t="inlineStr">
        <is>
          <t>Diciembre</t>
        </is>
      </c>
      <c r="I379" s="6" t="inlineStr">
        <is>
          <t>2023-2</t>
        </is>
      </c>
      <c r="J379" s="5" t="n">
        <v>85</v>
      </c>
      <c r="K379" s="11" t="n">
        <v>61.4</v>
      </c>
      <c r="L379" s="14">
        <f>IFERROR(IF(OR(J379=0,K379=""),"",IF(E379="Positivo",MIN(MAX(K379/J379,0),1.3),MIN(MAX(J379/K379,0),1.3))),"") </f>
        <v/>
      </c>
      <c r="M379" s="14">
        <f>IFERROR(IF(OR(J379=0,K379=""),"",IF(E379="Positivo",MAX(K379/J379,0),MAX(J379/K379,0))),"") </f>
        <v/>
      </c>
      <c r="N379" s="5" t="inlineStr">
        <is>
          <t>%</t>
        </is>
      </c>
      <c r="O379" s="5" t="inlineStr">
        <is>
          <t>%</t>
        </is>
      </c>
      <c r="P379" s="5" t="n">
        <v>0</v>
      </c>
      <c r="Q379" s="5" t="n">
        <v>0</v>
      </c>
      <c r="R379" s="5" t="inlineStr">
        <is>
          <t>246-2023-12-31</t>
        </is>
      </c>
    </row>
    <row r="380">
      <c r="A380" s="5" t="n">
        <v>246</v>
      </c>
      <c r="B380" s="5" t="inlineStr">
        <is>
          <t>Satisfacción del proceso de grados presencial</t>
        </is>
      </c>
      <c r="C380" s="5" t="inlineStr">
        <is>
          <t>Registro y Control</t>
        </is>
      </c>
      <c r="D380" s="5" t="inlineStr">
        <is>
          <t>Semestral</t>
        </is>
      </c>
      <c r="E380" s="5" t="inlineStr">
        <is>
          <t>Positivo</t>
        </is>
      </c>
      <c r="F380" s="107" t="n">
        <v>45657</v>
      </c>
      <c r="G380" s="5" t="n">
        <v>2024</v>
      </c>
      <c r="H380" s="5" t="inlineStr">
        <is>
          <t>Diciembre</t>
        </is>
      </c>
      <c r="I380" s="6" t="inlineStr">
        <is>
          <t>2024-2</t>
        </is>
      </c>
      <c r="J380" s="5" t="n">
        <v>67.5</v>
      </c>
      <c r="K380" s="5" t="n">
        <v>94.40000000000001</v>
      </c>
      <c r="L380" s="14">
        <f>IFERROR(IF(OR(J380=0,K380=""),"",IF(E380="Positivo",MIN(MAX(K380/J380,0),1.3),MIN(MAX(J380/K380,0),1.3))),"") </f>
        <v/>
      </c>
      <c r="M380" s="14">
        <f>IFERROR(IF(OR(J380=0,K380=""),"",IF(E380="Positivo",MAX(K380/J380,0),MAX(J380/K380,0))),"") </f>
        <v/>
      </c>
      <c r="N380" s="5" t="inlineStr">
        <is>
          <t>%</t>
        </is>
      </c>
      <c r="O380" s="5" t="inlineStr">
        <is>
          <t>%</t>
        </is>
      </c>
      <c r="P380" s="5" t="n">
        <v>0</v>
      </c>
      <c r="Q380" s="5" t="n">
        <v>0</v>
      </c>
      <c r="R380" s="5" t="inlineStr">
        <is>
          <t>246-2024-12-31</t>
        </is>
      </c>
    </row>
    <row r="381">
      <c r="A381" s="5" t="n">
        <v>246</v>
      </c>
      <c r="B381" s="5" t="inlineStr">
        <is>
          <t>Satisfacción del proceso de grados presencial</t>
        </is>
      </c>
      <c r="C381" s="5" t="inlineStr">
        <is>
          <t>Registro y Control</t>
        </is>
      </c>
      <c r="D381" s="5" t="inlineStr">
        <is>
          <t>Trimestral</t>
        </is>
      </c>
      <c r="E381" s="5" t="inlineStr">
        <is>
          <t>Positivo</t>
        </is>
      </c>
      <c r="F381" s="107" t="n">
        <v>46022</v>
      </c>
      <c r="G381" s="5" t="n">
        <v>2025</v>
      </c>
      <c r="H381" s="5" t="inlineStr">
        <is>
          <t>Diciembre</t>
        </is>
      </c>
      <c r="I381" s="6" t="inlineStr">
        <is>
          <t>2025-2</t>
        </is>
      </c>
      <c r="J381" s="5" t="n">
        <v>90</v>
      </c>
      <c r="K381" s="5" t="n">
        <v>92.7</v>
      </c>
      <c r="L381" s="14">
        <f>IFERROR(IF(OR(J381=0,K381=""),"",IF(E381="Positivo",MIN(MAX(K381/J381,0),1.3),MIN(MAX(J381/K381,0),1.3))),"") </f>
        <v/>
      </c>
      <c r="M381" s="14">
        <f>IFERROR(IF(OR(J381=0,K381=""),"",IF(E381="Positivo",MAX(K381/J381,0),MAX(J381/K381,0))),"") </f>
        <v/>
      </c>
      <c r="N381" s="5" t="inlineStr">
        <is>
          <t>%</t>
        </is>
      </c>
      <c r="O381" s="5" t="inlineStr">
        <is>
          <t>%</t>
        </is>
      </c>
      <c r="P381" s="5" t="n">
        <v>0</v>
      </c>
      <c r="Q381" s="5" t="n">
        <v>0</v>
      </c>
      <c r="R381" s="5" t="inlineStr">
        <is>
          <t>246-2025-12-31</t>
        </is>
      </c>
    </row>
    <row r="382">
      <c r="A382" s="5" t="n">
        <v>247</v>
      </c>
      <c r="B382" s="5" t="inlineStr">
        <is>
          <t>Solicitud de certificados</t>
        </is>
      </c>
      <c r="C382" s="5" t="inlineStr">
        <is>
          <t>Registro y Control</t>
        </is>
      </c>
      <c r="D382" s="5" t="inlineStr">
        <is>
          <t>Mensual</t>
        </is>
      </c>
      <c r="E382" s="5" t="inlineStr">
        <is>
          <t>Positivo</t>
        </is>
      </c>
      <c r="F382" s="107" t="n">
        <v>45291</v>
      </c>
      <c r="G382" s="5" t="n">
        <v>2023</v>
      </c>
      <c r="H382" s="5" t="inlineStr">
        <is>
          <t>Diciembre</t>
        </is>
      </c>
      <c r="I382" s="6" t="inlineStr">
        <is>
          <t>2023-2</t>
        </is>
      </c>
      <c r="J382" s="73" t="n"/>
      <c r="K382" s="5" t="n">
        <v>69.8</v>
      </c>
      <c r="L382" s="14" t="n"/>
      <c r="M382" s="14" t="n"/>
      <c r="N382" s="5" t="inlineStr">
        <is>
          <t>%</t>
        </is>
      </c>
      <c r="O382" s="5" t="inlineStr">
        <is>
          <t>DEC</t>
        </is>
      </c>
      <c r="P382" s="5" t="n">
        <v>1</v>
      </c>
      <c r="Q382" s="5" t="n">
        <v>1</v>
      </c>
      <c r="R382" s="5" t="inlineStr">
        <is>
          <t>247-2023-12-31</t>
        </is>
      </c>
    </row>
    <row r="383">
      <c r="A383" s="5" t="n">
        <v>248</v>
      </c>
      <c r="B383" s="5" t="inlineStr">
        <is>
          <t>Programas con reforzamiento curricular</t>
        </is>
      </c>
      <c r="C383" s="5" t="inlineStr">
        <is>
          <t>Gestión, Evaluación e Innovación Curricular</t>
        </is>
      </c>
      <c r="D383" s="5" t="inlineStr">
        <is>
          <t>Semestral</t>
        </is>
      </c>
      <c r="E383" s="5" t="inlineStr">
        <is>
          <t>Positivo</t>
        </is>
      </c>
      <c r="F383" s="107" t="n">
        <v>45291</v>
      </c>
      <c r="G383" s="5" t="n">
        <v>2023</v>
      </c>
      <c r="H383" s="5" t="inlineStr">
        <is>
          <t>Diciembre</t>
        </is>
      </c>
      <c r="I383" s="6" t="inlineStr">
        <is>
          <t>2023-2</t>
        </is>
      </c>
      <c r="J383" s="5" t="n">
        <v>44</v>
      </c>
      <c r="K383" s="5" t="n">
        <v>44</v>
      </c>
      <c r="L383" s="14">
        <f>IFERROR(IF(OR(J383=0,K383=""),"",IF(E383="Positivo",MIN(MAX(K383/J383,0),1.3),MIN(MAX(J383/K383,0),1.3))),"") </f>
        <v/>
      </c>
      <c r="M383" s="14">
        <f>IFERROR(IF(OR(J383=0,K383=""),"",IF(E383="Positivo",MAX(K383/J383,0),MAX(J383/K383,0))),"") </f>
        <v/>
      </c>
      <c r="N383" s="5" t="inlineStr">
        <is>
          <t>ENT</t>
        </is>
      </c>
      <c r="O383" s="5" t="inlineStr">
        <is>
          <t>ENT</t>
        </is>
      </c>
      <c r="P383" s="5" t="n">
        <v>0</v>
      </c>
      <c r="Q383" s="5" t="n">
        <v>0</v>
      </c>
      <c r="R383" s="5" t="inlineStr">
        <is>
          <t>248-2023-12-31</t>
        </is>
      </c>
    </row>
    <row r="384">
      <c r="A384" s="5" t="n">
        <v>249</v>
      </c>
      <c r="B384" s="5" t="inlineStr">
        <is>
          <t>Programas con matriz de resultado de aprendizaje</t>
        </is>
      </c>
      <c r="C384" s="5" t="inlineStr">
        <is>
          <t>Gestión, Evaluación e Innovación Curricular</t>
        </is>
      </c>
      <c r="D384" s="5" t="inlineStr">
        <is>
          <t>Semestral</t>
        </is>
      </c>
      <c r="E384" s="5" t="inlineStr">
        <is>
          <t>Positivo</t>
        </is>
      </c>
      <c r="F384" s="107" t="n">
        <v>45291</v>
      </c>
      <c r="G384" s="5" t="n">
        <v>2023</v>
      </c>
      <c r="H384" s="5" t="inlineStr">
        <is>
          <t>Diciembre</t>
        </is>
      </c>
      <c r="I384" s="6" t="inlineStr">
        <is>
          <t>2023-2</t>
        </is>
      </c>
      <c r="J384" s="73" t="n">
        <v>98</v>
      </c>
      <c r="K384" s="5" t="n">
        <v>98</v>
      </c>
      <c r="L384" s="14">
        <f>IFERROR(IF(OR(J384=0,K384=""),"",IF(E384="Positivo",MIN(MAX(K384/J384,0),1.3),MIN(MAX(J384/K384,0),1.3))),"") </f>
        <v/>
      </c>
      <c r="M384" s="14">
        <f>IFERROR(IF(OR(J384=0,K384=""),"",IF(E384="Positivo",MAX(K384/J384,0),MAX(J384/K384,0))),"") </f>
        <v/>
      </c>
      <c r="N384" s="5" t="inlineStr">
        <is>
          <t>ENT</t>
        </is>
      </c>
      <c r="O384" s="5" t="inlineStr">
        <is>
          <t>ENT</t>
        </is>
      </c>
      <c r="P384" s="5" t="n">
        <v>0</v>
      </c>
      <c r="Q384" s="5" t="n">
        <v>0</v>
      </c>
      <c r="R384" s="5" t="inlineStr">
        <is>
          <t>249-2023-12-31</t>
        </is>
      </c>
    </row>
    <row r="385">
      <c r="A385" s="5" t="n">
        <v>251</v>
      </c>
      <c r="B385" s="5" t="inlineStr">
        <is>
          <t>Subprocesos Con CMI Estructurado</t>
        </is>
      </c>
      <c r="C385" s="5" t="inlineStr">
        <is>
          <t>Desempeño Institucional</t>
        </is>
      </c>
      <c r="D385" s="5" t="inlineStr">
        <is>
          <t>Trimestral</t>
        </is>
      </c>
      <c r="E385" s="5" t="inlineStr">
        <is>
          <t>Positivo</t>
        </is>
      </c>
      <c r="F385" s="107" t="n">
        <v>45291</v>
      </c>
      <c r="G385" s="5" t="n">
        <v>2023</v>
      </c>
      <c r="H385" s="5" t="inlineStr">
        <is>
          <t>Diciembre</t>
        </is>
      </c>
      <c r="I385" s="6" t="inlineStr">
        <is>
          <t>2023-2</t>
        </is>
      </c>
      <c r="J385" s="73" t="n">
        <v>100</v>
      </c>
      <c r="K385" s="94" t="n">
        <v>100</v>
      </c>
      <c r="L385" s="14">
        <f>IFERROR(IF(OR(J385=0,K385=""),"",IF(E385="Positivo",MIN(MAX(K385/J385,0),1.3),MIN(MAX(J385/K385,0),1.3))),"") </f>
        <v/>
      </c>
      <c r="M385" s="14">
        <f>IFERROR(IF(OR(J385=0,K385=""),"",IF(E385="Positivo",MAX(K385/J385,0),MAX(J385/K385,0))),"") </f>
        <v/>
      </c>
      <c r="N385" s="5" t="inlineStr">
        <is>
          <t>%</t>
        </is>
      </c>
      <c r="O385" s="5" t="inlineStr">
        <is>
          <t>%</t>
        </is>
      </c>
      <c r="P385" s="5" t="n">
        <v>0</v>
      </c>
      <c r="Q385" s="5" t="n">
        <v>0</v>
      </c>
      <c r="R385" s="5" t="inlineStr">
        <is>
          <t>251-2023-12-31</t>
        </is>
      </c>
    </row>
    <row r="386">
      <c r="A386" s="5" t="n">
        <v>251</v>
      </c>
      <c r="B386" s="5" t="inlineStr">
        <is>
          <t>Subprocesos Con CMI Estructurado</t>
        </is>
      </c>
      <c r="C386" s="5" t="inlineStr">
        <is>
          <t>Desempeño Institucional</t>
        </is>
      </c>
      <c r="D386" s="5" t="inlineStr">
        <is>
          <t>Trimestral</t>
        </is>
      </c>
      <c r="E386" s="5" t="inlineStr">
        <is>
          <t>Positivo</t>
        </is>
      </c>
      <c r="F386" s="107" t="n">
        <v>45657</v>
      </c>
      <c r="G386" s="5" t="n">
        <v>2024</v>
      </c>
      <c r="H386" s="5" t="inlineStr">
        <is>
          <t>Diciembre</t>
        </is>
      </c>
      <c r="I386" s="6" t="inlineStr">
        <is>
          <t>2024-2</t>
        </is>
      </c>
      <c r="J386" s="5" t="n">
        <v>100</v>
      </c>
      <c r="K386" s="52" t="n">
        <v>96.22641509433964</v>
      </c>
      <c r="L386" s="14">
        <f>IFERROR(IF(OR(J386=0,K386=""),"",IF(E386="Positivo",MIN(MAX(K386/J386,0),1.3),MIN(MAX(J386/K386,0),1.3))),"") </f>
        <v/>
      </c>
      <c r="M386" s="14">
        <f>IFERROR(IF(OR(J386=0,K386=""),"",IF(E386="Positivo",MAX(K386/J386,0),MAX(J386/K386,0))),"") </f>
        <v/>
      </c>
      <c r="N386" s="5" t="inlineStr">
        <is>
          <t>%</t>
        </is>
      </c>
      <c r="O386" s="5" t="inlineStr">
        <is>
          <t>%</t>
        </is>
      </c>
      <c r="P386" s="5" t="n">
        <v>0</v>
      </c>
      <c r="Q386" s="5" t="n">
        <v>0</v>
      </c>
      <c r="R386" s="5" t="inlineStr">
        <is>
          <t>251-2024-12-31</t>
        </is>
      </c>
    </row>
    <row r="387">
      <c r="A387" s="5" t="n">
        <v>251</v>
      </c>
      <c r="B387" s="5" t="inlineStr">
        <is>
          <t>Subprocesos Con indicadores definidos</t>
        </is>
      </c>
      <c r="C387" s="5" t="inlineStr">
        <is>
          <t>Desempeño Institucional</t>
        </is>
      </c>
      <c r="D387" s="5" t="inlineStr">
        <is>
          <t>Semestral</t>
        </is>
      </c>
      <c r="E387" s="5" t="inlineStr">
        <is>
          <t>Positivo</t>
        </is>
      </c>
      <c r="F387" s="107" t="n">
        <v>46022</v>
      </c>
      <c r="G387" s="5" t="n">
        <v>2025</v>
      </c>
      <c r="H387" s="5" t="inlineStr">
        <is>
          <t>Diciembre</t>
        </is>
      </c>
      <c r="I387" s="6" t="inlineStr">
        <is>
          <t>2025-2</t>
        </is>
      </c>
      <c r="J387" s="5" t="n">
        <v>100</v>
      </c>
      <c r="K387" s="5" t="n">
        <v>100</v>
      </c>
      <c r="L387" s="14">
        <f>IFERROR(IF(OR(J387=0,K387=""),"",IF(E387="Positivo",MIN(MAX(K387/J387,0),1.3),MIN(MAX(J387/K387,0),1.3))),"") </f>
        <v/>
      </c>
      <c r="M387" s="14">
        <f>IFERROR(IF(OR(J387=0,K387=""),"",IF(E387="Positivo",MAX(K387/J387,0),MAX(J387/K387,0))),"") </f>
        <v/>
      </c>
      <c r="N387" s="5" t="inlineStr">
        <is>
          <t>%</t>
        </is>
      </c>
      <c r="O387" s="5" t="inlineStr">
        <is>
          <t>%</t>
        </is>
      </c>
      <c r="P387" s="5" t="n">
        <v>0</v>
      </c>
      <c r="Q387" s="5" t="n">
        <v>0</v>
      </c>
      <c r="R387" s="5" t="inlineStr">
        <is>
          <t>251-2025-12-31</t>
        </is>
      </c>
    </row>
    <row r="388">
      <c r="A388" s="5" t="n">
        <v>252</v>
      </c>
      <c r="B388" s="5" t="inlineStr">
        <is>
          <t>Permanencia intersemestral ingresantes</t>
        </is>
      </c>
      <c r="C388" s="5" t="inlineStr">
        <is>
          <t>Permanencia</t>
        </is>
      </c>
      <c r="D388" s="5" t="inlineStr">
        <is>
          <t>Semestral</t>
        </is>
      </c>
      <c r="E388" s="5" t="inlineStr">
        <is>
          <t>Positivo</t>
        </is>
      </c>
      <c r="F388" s="107" t="n">
        <v>45291</v>
      </c>
      <c r="G388" s="5" t="n">
        <v>2023</v>
      </c>
      <c r="H388" s="5" t="inlineStr">
        <is>
          <t>Diciembre</t>
        </is>
      </c>
      <c r="I388" s="6" t="inlineStr">
        <is>
          <t>2023-2</t>
        </is>
      </c>
      <c r="J388" s="5" t="n">
        <v>68</v>
      </c>
      <c r="K388" s="5" t="n">
        <v>109.91</v>
      </c>
      <c r="L388" s="14">
        <f>IFERROR(IF(OR(J388=0,K388=""),"",IF(E388="Positivo",MIN(MAX(K388/J388,0),1.3),MIN(MAX(J388/K388,0),1.3))),"") </f>
        <v/>
      </c>
      <c r="M388" s="14">
        <f>IFERROR(IF(OR(J388=0,K388=""),"",IF(E388="Positivo",MAX(K388/J388,0),MAX(J388/K388,0))),"") </f>
        <v/>
      </c>
      <c r="N388" s="5" t="inlineStr">
        <is>
          <t>%</t>
        </is>
      </c>
      <c r="O388" s="5" t="inlineStr">
        <is>
          <t>%</t>
        </is>
      </c>
      <c r="P388" s="5" t="n">
        <v>0</v>
      </c>
      <c r="Q388" s="5" t="n">
        <v>1</v>
      </c>
      <c r="R388" s="5" t="inlineStr">
        <is>
          <t>252-2023-12-31</t>
        </is>
      </c>
    </row>
    <row r="389">
      <c r="A389" s="5" t="n">
        <v>252</v>
      </c>
      <c r="B389" s="5" t="inlineStr">
        <is>
          <t>Permanencia intersemestral ingresantes</t>
        </is>
      </c>
      <c r="C389" s="5" t="inlineStr">
        <is>
          <t>Permanencia</t>
        </is>
      </c>
      <c r="D389" s="5" t="inlineStr">
        <is>
          <t>Semestral</t>
        </is>
      </c>
      <c r="E389" s="5" t="inlineStr">
        <is>
          <t>Positivo</t>
        </is>
      </c>
      <c r="F389" s="107" t="n">
        <v>45657</v>
      </c>
      <c r="G389" s="5" t="n">
        <v>2024</v>
      </c>
      <c r="H389" s="5" t="inlineStr">
        <is>
          <t>Diciembre</t>
        </is>
      </c>
      <c r="I389" s="6" t="inlineStr">
        <is>
          <t>2024-2</t>
        </is>
      </c>
      <c r="J389" s="5" t="n">
        <v>72.90000000000001</v>
      </c>
      <c r="K389" s="5" t="n">
        <v>99.48999999999999</v>
      </c>
      <c r="L389" s="14">
        <f>IFERROR(IF(OR(J389=0,K389=""),"",IF(E389="Positivo",MIN(MAX(K389/J389,0),1.3),MIN(MAX(J389/K389,0),1.3))),"") </f>
        <v/>
      </c>
      <c r="M389" s="14">
        <f>IFERROR(IF(OR(J389=0,K389=""),"",IF(E389="Positivo",MAX(K389/J389,0),MAX(J389/K389,0))),"") </f>
        <v/>
      </c>
      <c r="N389" s="5" t="inlineStr">
        <is>
          <t>%</t>
        </is>
      </c>
      <c r="O389" s="5" t="inlineStr">
        <is>
          <t>%</t>
        </is>
      </c>
      <c r="P389" s="5" t="n">
        <v>1</v>
      </c>
      <c r="Q389" s="5" t="n">
        <v>1</v>
      </c>
      <c r="R389" s="5" t="inlineStr">
        <is>
          <t>252-2024-12-31</t>
        </is>
      </c>
    </row>
    <row r="390">
      <c r="A390" s="5" t="n">
        <v>252</v>
      </c>
      <c r="B390" s="5" t="inlineStr">
        <is>
          <t>Tasa de Permanencia Intersemestral de Estudiantes Ingresantes</t>
        </is>
      </c>
      <c r="C390" s="5" t="inlineStr">
        <is>
          <t>Permanencia</t>
        </is>
      </c>
      <c r="D390" s="5" t="inlineStr">
        <is>
          <t>Trimestral</t>
        </is>
      </c>
      <c r="E390" s="5" t="inlineStr">
        <is>
          <t>Positivo</t>
        </is>
      </c>
      <c r="F390" s="107" t="n">
        <v>46022</v>
      </c>
      <c r="G390" s="5" t="n">
        <v>2025</v>
      </c>
      <c r="H390" s="5" t="inlineStr">
        <is>
          <t>Diciembre</t>
        </is>
      </c>
      <c r="I390" s="6" t="inlineStr">
        <is>
          <t>2025-2</t>
        </is>
      </c>
      <c r="J390" s="5" t="n">
        <v>100</v>
      </c>
      <c r="K390" s="5" t="n">
        <v>104.31</v>
      </c>
      <c r="L390" s="14">
        <f>IFERROR(IF(OR(J390=0,K390=""),"",IF(E390="Positivo",MIN(MAX(K390/J390,0),1.3),MIN(MAX(J390/K390,0),1.3))),"") </f>
        <v/>
      </c>
      <c r="M390" s="14">
        <f>IFERROR(IF(OR(J390=0,K390=""),"",IF(E390="Positivo",MAX(K390/J390,0),MAX(J390/K390,0))),"") </f>
        <v/>
      </c>
      <c r="N390" s="5" t="inlineStr">
        <is>
          <t>%</t>
        </is>
      </c>
      <c r="O390" s="5" t="inlineStr">
        <is>
          <t>%</t>
        </is>
      </c>
      <c r="P390" s="5" t="n">
        <v>1</v>
      </c>
      <c r="Q390" s="5" t="n">
        <v>1</v>
      </c>
      <c r="R390" s="5" t="inlineStr">
        <is>
          <t>252-2025-12-31</t>
        </is>
      </c>
    </row>
    <row r="391">
      <c r="A391" s="5" t="n">
        <v>253</v>
      </c>
      <c r="B391" s="5" t="inlineStr">
        <is>
          <t>Oportunidad en la entrega de informes de auditoria</t>
        </is>
      </c>
      <c r="C391" s="5" t="inlineStr">
        <is>
          <t>AUDITORÍA INTERNA</t>
        </is>
      </c>
      <c r="D391" s="5" t="inlineStr">
        <is>
          <t>Bimestral</t>
        </is>
      </c>
      <c r="E391" s="5" t="inlineStr">
        <is>
          <t>Negativo</t>
        </is>
      </c>
      <c r="F391" s="107" t="n">
        <v>45291</v>
      </c>
      <c r="G391" s="5" t="n">
        <v>2023</v>
      </c>
      <c r="H391" s="5" t="inlineStr">
        <is>
          <t>Diciembre</t>
        </is>
      </c>
      <c r="I391" s="6" t="inlineStr">
        <is>
          <t>2023-2</t>
        </is>
      </c>
      <c r="J391" s="5" t="n">
        <v>8</v>
      </c>
      <c r="K391" s="5" t="n">
        <v>5.56</v>
      </c>
      <c r="L391" s="14">
        <f>IFERROR(IF(OR(J391=0,K391=""),"",IF(E391="Positivo",MIN(MAX(K391/J391,0),1.3),MIN(MAX(J391/K391,0),1.3))),"") </f>
        <v/>
      </c>
      <c r="M391" s="14">
        <f>IFERROR(IF(OR(J391=0,K391=""),"",IF(E391="Positivo",MAX(K391/J391,0),MAX(J391/K391,0))),"") </f>
        <v/>
      </c>
      <c r="N391" s="5" t="inlineStr">
        <is>
          <t>Días</t>
        </is>
      </c>
      <c r="O391" s="5" t="inlineStr">
        <is>
          <t>Días</t>
        </is>
      </c>
      <c r="P391" s="5" t="n">
        <v>0</v>
      </c>
      <c r="Q391" s="5" t="n">
        <v>0</v>
      </c>
      <c r="R391" s="5" t="inlineStr">
        <is>
          <t>253-2023-12-31</t>
        </is>
      </c>
    </row>
    <row r="392">
      <c r="A392" s="5" t="n">
        <v>254</v>
      </c>
      <c r="B392" s="5" t="inlineStr">
        <is>
          <t>Áreas con reportes de plan de retos</t>
        </is>
      </c>
      <c r="C392" s="5" t="inlineStr">
        <is>
          <t>Planeación Estratégica</t>
        </is>
      </c>
      <c r="D392" s="5" t="inlineStr">
        <is>
          <t>Trimestral</t>
        </is>
      </c>
      <c r="E392" s="5" t="inlineStr">
        <is>
          <t>Positivo</t>
        </is>
      </c>
      <c r="F392" s="107" t="n">
        <v>45291</v>
      </c>
      <c r="G392" s="5" t="n">
        <v>2023</v>
      </c>
      <c r="H392" s="5" t="inlineStr">
        <is>
          <t>Diciembre</t>
        </is>
      </c>
      <c r="I392" s="6" t="inlineStr">
        <is>
          <t>2023-2</t>
        </is>
      </c>
      <c r="J392" s="5" t="n">
        <v>100</v>
      </c>
      <c r="K392" s="5" t="n">
        <v>100</v>
      </c>
      <c r="L392" s="14">
        <f>IFERROR(IF(OR(J392=0,K392=""),"",IF(E392="Positivo",MIN(MAX(K392/J392,0),1.3),MIN(MAX(J392/K392,0),1.3))),"") </f>
        <v/>
      </c>
      <c r="M392" s="14">
        <f>IFERROR(IF(OR(J392=0,K392=""),"",IF(E392="Positivo",MAX(K392/J392,0),MAX(J392/K392,0))),"") </f>
        <v/>
      </c>
      <c r="N392" s="5" t="inlineStr">
        <is>
          <t>ENT</t>
        </is>
      </c>
      <c r="O392" s="5" t="inlineStr">
        <is>
          <t>ENT</t>
        </is>
      </c>
      <c r="P392" s="5" t="n">
        <v>0</v>
      </c>
      <c r="Q392" s="5" t="n">
        <v>0</v>
      </c>
      <c r="R392" s="5" t="inlineStr">
        <is>
          <t>254-2023-12-31</t>
        </is>
      </c>
    </row>
    <row r="393">
      <c r="A393" s="5" t="n">
        <v>254</v>
      </c>
      <c r="B393" s="5" t="inlineStr">
        <is>
          <t>Áreas con reportes de plan de retos</t>
        </is>
      </c>
      <c r="C393" s="5" t="inlineStr">
        <is>
          <t>Planeación Estratégica</t>
        </is>
      </c>
      <c r="D393" s="5" t="inlineStr">
        <is>
          <t>Trimestral</t>
        </is>
      </c>
      <c r="E393" s="5" t="inlineStr">
        <is>
          <t>Positivo</t>
        </is>
      </c>
      <c r="F393" s="107" t="n">
        <v>45657</v>
      </c>
      <c r="G393" s="5" t="n">
        <v>2024</v>
      </c>
      <c r="H393" s="5" t="inlineStr">
        <is>
          <t>Diciembre</t>
        </is>
      </c>
      <c r="I393" s="6" t="inlineStr">
        <is>
          <t>2024-2</t>
        </is>
      </c>
      <c r="J393" s="5" t="n">
        <v>100</v>
      </c>
      <c r="K393" s="5" t="n">
        <v>100</v>
      </c>
      <c r="L393" s="14">
        <f>IFERROR(IF(OR(J393=0,K393=""),"",IF(E393="Positivo",MIN(MAX(K393/J393,0),1.3),MIN(MAX(J393/K393,0),1.3))),"") </f>
        <v/>
      </c>
      <c r="M393" s="14">
        <f>IFERROR(IF(OR(J393=0,K393=""),"",IF(E393="Positivo",MAX(K393/J393,0),MAX(J393/K393,0))),"") </f>
        <v/>
      </c>
      <c r="N393" s="5" t="inlineStr">
        <is>
          <t>ENT</t>
        </is>
      </c>
      <c r="O393" s="5" t="inlineStr">
        <is>
          <t>ENT</t>
        </is>
      </c>
      <c r="P393" s="5" t="n">
        <v>0</v>
      </c>
      <c r="Q393" s="5" t="n">
        <v>0</v>
      </c>
      <c r="R393" s="5" t="inlineStr">
        <is>
          <t>254-2024-12-31</t>
        </is>
      </c>
    </row>
    <row r="394">
      <c r="A394" s="5" t="n">
        <v>254</v>
      </c>
      <c r="B394" s="5" t="inlineStr">
        <is>
          <t>Áreas con reportes de plan de retos</t>
        </is>
      </c>
      <c r="C394" s="5" t="inlineStr">
        <is>
          <t>Planeación Estratégica</t>
        </is>
      </c>
      <c r="D394" s="5" t="inlineStr">
        <is>
          <t>Semestral</t>
        </is>
      </c>
      <c r="E394" s="5" t="inlineStr">
        <is>
          <t>Positivo</t>
        </is>
      </c>
      <c r="F394" s="107" t="n">
        <v>46022</v>
      </c>
      <c r="G394" s="5" t="n">
        <v>2025</v>
      </c>
      <c r="H394" s="5" t="inlineStr">
        <is>
          <t>Diciembre</t>
        </is>
      </c>
      <c r="I394" s="6" t="inlineStr">
        <is>
          <t>2025-2</t>
        </is>
      </c>
      <c r="J394" s="5" t="n">
        <v>100</v>
      </c>
      <c r="K394" s="5" t="n">
        <v>100</v>
      </c>
      <c r="L394" s="14">
        <f>IFERROR(IF(OR(J394=0,K394=""),"",IF(E394="Positivo",MIN(MAX(K394/J394,0),1.3),MIN(MAX(J394/K394,0),1.3))),"") </f>
        <v/>
      </c>
      <c r="M394" s="14">
        <f>IFERROR(IF(OR(J394=0,K394=""),"",IF(E394="Positivo",MAX(K394/J394,0),MAX(J394/K394,0))),"") </f>
        <v/>
      </c>
      <c r="N394" s="5" t="inlineStr">
        <is>
          <t>ENT</t>
        </is>
      </c>
      <c r="O394" s="5" t="inlineStr">
        <is>
          <t>ENT</t>
        </is>
      </c>
      <c r="P394" s="5" t="n">
        <v>0</v>
      </c>
      <c r="Q394" s="5" t="n">
        <v>0</v>
      </c>
      <c r="R394" s="5" t="inlineStr">
        <is>
          <t>254-2025-12-31</t>
        </is>
      </c>
    </row>
    <row r="395">
      <c r="A395" s="5" t="n">
        <v>255</v>
      </c>
      <c r="B395" s="5" t="inlineStr">
        <is>
          <t>Informe anual de variación de índice H</t>
        </is>
      </c>
      <c r="C395" s="5" t="inlineStr">
        <is>
          <t>Editorial y Publicaciones</t>
        </is>
      </c>
      <c r="D395" s="5" t="inlineStr">
        <is>
          <t>Anual</t>
        </is>
      </c>
      <c r="E395" s="5" t="inlineStr">
        <is>
          <t>Positivo</t>
        </is>
      </c>
      <c r="F395" s="107" t="n">
        <v>45291</v>
      </c>
      <c r="G395" s="5" t="n">
        <v>2023</v>
      </c>
      <c r="H395" s="5" t="inlineStr">
        <is>
          <t>Diciembre</t>
        </is>
      </c>
      <c r="I395" s="6" t="inlineStr">
        <is>
          <t>2023-2</t>
        </is>
      </c>
      <c r="J395" s="5" t="n">
        <v>100</v>
      </c>
      <c r="K395" s="10" t="n">
        <v>18</v>
      </c>
      <c r="L395" s="14">
        <f>IFERROR(IF(OR(J395=0,K395=""),"",IF(E395="Positivo",MIN(MAX(K395/J395,0),1.3),MIN(MAX(J395/K395,0),1.3))),"") </f>
        <v/>
      </c>
      <c r="M395" s="14">
        <f>IFERROR(IF(OR(J395=0,K395=""),"",IF(E395="Positivo",MAX(K395/J395,0),MAX(J395/K395,0))),"") </f>
        <v/>
      </c>
      <c r="N395" s="5" t="inlineStr">
        <is>
          <t>ENT</t>
        </is>
      </c>
      <c r="O395" s="5" t="inlineStr">
        <is>
          <t>ENT</t>
        </is>
      </c>
      <c r="P395" s="5" t="n">
        <v>0</v>
      </c>
      <c r="Q395" s="5" t="n">
        <v>0</v>
      </c>
      <c r="R395" s="5" t="inlineStr">
        <is>
          <t>255-2023-12-31</t>
        </is>
      </c>
    </row>
    <row r="396">
      <c r="A396" s="5" t="n">
        <v>255</v>
      </c>
      <c r="B396" s="5" t="inlineStr">
        <is>
          <t>Informe anual de variación de índice H</t>
        </is>
      </c>
      <c r="C396" s="5" t="inlineStr">
        <is>
          <t>Editorial y Publicaciones</t>
        </is>
      </c>
      <c r="D396" s="5" t="inlineStr">
        <is>
          <t>Anual</t>
        </is>
      </c>
      <c r="E396" s="5" t="inlineStr">
        <is>
          <t>Positivo</t>
        </is>
      </c>
      <c r="F396" s="107" t="n">
        <v>45657</v>
      </c>
      <c r="G396" s="5" t="n">
        <v>2024</v>
      </c>
      <c r="H396" s="5" t="inlineStr">
        <is>
          <t>Diciembre</t>
        </is>
      </c>
      <c r="I396" s="6" t="inlineStr">
        <is>
          <t>2024-2</t>
        </is>
      </c>
      <c r="J396" s="5" t="n">
        <v>100</v>
      </c>
      <c r="K396" s="5" t="n">
        <v>15</v>
      </c>
      <c r="L396" s="14">
        <f>IFERROR(IF(OR(J396=0,K396=""),"",IF(E396="Positivo",MIN(MAX(K396/J396,0),1.3),MIN(MAX(J396/K396,0),1.3))),"") </f>
        <v/>
      </c>
      <c r="M396" s="14">
        <f>IFERROR(IF(OR(J396=0,K396=""),"",IF(E396="Positivo",MAX(K396/J396,0),MAX(J396/K396,0))),"") </f>
        <v/>
      </c>
      <c r="N396" s="5" t="inlineStr">
        <is>
          <t>ENT</t>
        </is>
      </c>
      <c r="O396" s="5" t="inlineStr">
        <is>
          <t>ENT</t>
        </is>
      </c>
      <c r="P396" s="5" t="n">
        <v>0</v>
      </c>
      <c r="Q396" s="5" t="n">
        <v>0</v>
      </c>
      <c r="R396" s="5" t="inlineStr">
        <is>
          <t>255-2024-12-31</t>
        </is>
      </c>
    </row>
    <row r="397">
      <c r="A397" s="5" t="n">
        <v>255</v>
      </c>
      <c r="B397" s="5" t="inlineStr">
        <is>
          <t>Informe anual de índice H</t>
        </is>
      </c>
      <c r="C397" s="5" t="inlineStr">
        <is>
          <t>Editorial y Publicaciones</t>
        </is>
      </c>
      <c r="D397" s="5" t="inlineStr">
        <is>
          <t>Anual</t>
        </is>
      </c>
      <c r="E397" s="5" t="inlineStr">
        <is>
          <t>Positivo</t>
        </is>
      </c>
      <c r="F397" s="107" t="n">
        <v>46022</v>
      </c>
      <c r="G397" s="5" t="n">
        <v>2025</v>
      </c>
      <c r="H397" s="5" t="inlineStr">
        <is>
          <t>Diciembre</t>
        </is>
      </c>
      <c r="I397" s="6" t="inlineStr">
        <is>
          <t>2025-2</t>
        </is>
      </c>
      <c r="J397" s="5" t="n">
        <v>100</v>
      </c>
      <c r="K397" s="5" t="n"/>
      <c r="L397" s="14" t="n"/>
      <c r="M397" s="14" t="n"/>
      <c r="N397" s="5" t="inlineStr">
        <is>
          <t>ENT</t>
        </is>
      </c>
      <c r="O397" s="5" t="inlineStr">
        <is>
          <t>No Aplica</t>
        </is>
      </c>
      <c r="P397" s="5" t="n">
        <v>0</v>
      </c>
      <c r="Q397" s="5" t="n">
        <v>0</v>
      </c>
      <c r="R397" s="5" t="inlineStr">
        <is>
          <t>255-2025-12-31</t>
        </is>
      </c>
      <c r="S397" t="inlineStr">
        <is>
          <t>No Aplica</t>
        </is>
      </c>
    </row>
    <row r="398">
      <c r="A398" s="5" t="n">
        <v>256</v>
      </c>
      <c r="B398" s="5" t="inlineStr">
        <is>
          <t>Publicaciones editadas por la editorial</t>
        </is>
      </c>
      <c r="C398" s="5" t="inlineStr">
        <is>
          <t>Editorial y Publicaciones</t>
        </is>
      </c>
      <c r="D398" s="5" t="inlineStr">
        <is>
          <t>Semestral</t>
        </is>
      </c>
      <c r="E398" s="5" t="inlineStr">
        <is>
          <t>Positivo</t>
        </is>
      </c>
      <c r="F398" s="107" t="n">
        <v>45291</v>
      </c>
      <c r="G398" s="5" t="n">
        <v>2023</v>
      </c>
      <c r="H398" s="5" t="inlineStr">
        <is>
          <t>Diciembre</t>
        </is>
      </c>
      <c r="I398" s="6" t="inlineStr">
        <is>
          <t>2023-2</t>
        </is>
      </c>
      <c r="J398" s="5" t="n">
        <v>200</v>
      </c>
      <c r="K398" s="5" t="n">
        <v>247.05941176471</v>
      </c>
      <c r="L398" s="14">
        <f>IFERROR(IF(OR(J398=0,K398=""),"",IF(E398="Positivo",MIN(MAX(K398/J398,0),1.3),MIN(MAX(J398/K398,0),1.3))),"") </f>
        <v/>
      </c>
      <c r="M398" s="14">
        <f>IFERROR(IF(OR(J398=0,K398=""),"",IF(E398="Positivo",MAX(K398/J398,0),MAX(J398/K398,0))),"") </f>
        <v/>
      </c>
      <c r="N398" s="5" t="inlineStr">
        <is>
          <t>ENT</t>
        </is>
      </c>
      <c r="O398" s="5" t="inlineStr">
        <is>
          <t>ENT</t>
        </is>
      </c>
      <c r="P398" s="5" t="n">
        <v>0</v>
      </c>
      <c r="Q398" s="5" t="n">
        <v>0</v>
      </c>
      <c r="R398" s="5" t="inlineStr">
        <is>
          <t>256-2023-12-31</t>
        </is>
      </c>
    </row>
    <row r="399">
      <c r="A399" s="5" t="n">
        <v>256</v>
      </c>
      <c r="B399" s="5" t="inlineStr">
        <is>
          <t>Publicaciones editadas por la editorial</t>
        </is>
      </c>
      <c r="C399" s="5" t="inlineStr">
        <is>
          <t>Editorial y Publicaciones</t>
        </is>
      </c>
      <c r="D399" s="5" t="inlineStr">
        <is>
          <t>Semestral</t>
        </is>
      </c>
      <c r="E399" s="5" t="inlineStr">
        <is>
          <t>Positivo</t>
        </is>
      </c>
      <c r="F399" s="107" t="n">
        <v>45657</v>
      </c>
      <c r="G399" s="5" t="n">
        <v>2024</v>
      </c>
      <c r="H399" s="5" t="inlineStr">
        <is>
          <t>Diciembre</t>
        </is>
      </c>
      <c r="I399" s="6" t="inlineStr">
        <is>
          <t>2024-2</t>
        </is>
      </c>
      <c r="J399" s="5" t="n">
        <v>200</v>
      </c>
      <c r="K399" s="5" t="n">
        <v>270.59</v>
      </c>
      <c r="L399" s="14">
        <f>IFERROR(IF(OR(J399=0,K399=""),"",IF(E399="Positivo",MIN(MAX(K399/J399,0),1.3),MIN(MAX(J399/K399,0),1.3))),"") </f>
        <v/>
      </c>
      <c r="M399" s="14">
        <f>IFERROR(IF(OR(J399=0,K399=""),"",IF(E399="Positivo",MAX(K399/J399,0),MAX(J399/K399,0))),"") </f>
        <v/>
      </c>
      <c r="N399" s="5" t="inlineStr">
        <is>
          <t>ENT</t>
        </is>
      </c>
      <c r="O399" s="5" t="inlineStr">
        <is>
          <t>ENT</t>
        </is>
      </c>
      <c r="P399" s="5" t="n">
        <v>0</v>
      </c>
      <c r="Q399" s="5" t="n">
        <v>0</v>
      </c>
      <c r="R399" s="5" t="inlineStr">
        <is>
          <t>256-2024-12-31</t>
        </is>
      </c>
    </row>
    <row r="400">
      <c r="A400" s="5" t="n">
        <v>256</v>
      </c>
      <c r="B400" s="5" t="inlineStr">
        <is>
          <t>Publicaciones editadas por la editorial</t>
        </is>
      </c>
      <c r="C400" s="5" t="inlineStr">
        <is>
          <t>Editorial y Publicaciones</t>
        </is>
      </c>
      <c r="D400" s="5" t="inlineStr">
        <is>
          <t>Trimestral</t>
        </is>
      </c>
      <c r="E400" s="5" t="inlineStr">
        <is>
          <t>Positivo</t>
        </is>
      </c>
      <c r="F400" s="107" t="n">
        <v>46022</v>
      </c>
      <c r="G400" s="5" t="n">
        <v>2025</v>
      </c>
      <c r="H400" s="5" t="inlineStr">
        <is>
          <t>Diciembre</t>
        </is>
      </c>
      <c r="I400" s="6" t="inlineStr">
        <is>
          <t>2025-2</t>
        </is>
      </c>
      <c r="J400" s="5" t="n">
        <v>200</v>
      </c>
      <c r="K400" s="5" t="n">
        <v>270.59</v>
      </c>
      <c r="L400" s="14">
        <f>IFERROR(IF(OR(J400=0,K400=""),"",IF(E400="Positivo",MIN(MAX(K400/J400,0),1.3),MIN(MAX(J400/K400,0),1.3))),"") </f>
        <v/>
      </c>
      <c r="M400" s="14">
        <f>IFERROR(IF(OR(J400=0,K400=""),"",IF(E400="Positivo",MAX(K400/J400,0),MAX(J400/K400,0))),"") </f>
        <v/>
      </c>
      <c r="N400" s="5" t="inlineStr">
        <is>
          <t>ENT</t>
        </is>
      </c>
      <c r="O400" s="5" t="inlineStr">
        <is>
          <t>ENT</t>
        </is>
      </c>
      <c r="P400" s="5" t="n">
        <v>0</v>
      </c>
      <c r="Q400" s="5" t="n">
        <v>0</v>
      </c>
      <c r="R400" s="5" t="inlineStr">
        <is>
          <t>256-2025-12-31</t>
        </is>
      </c>
    </row>
    <row r="401">
      <c r="A401" s="5" t="n">
        <v>257</v>
      </c>
      <c r="B401" s="5" t="inlineStr">
        <is>
          <t>N de publicaciones aprobadas en convocatorias</t>
        </is>
      </c>
      <c r="C401" s="5" t="inlineStr">
        <is>
          <t>Editorial y Publicaciones</t>
        </is>
      </c>
      <c r="D401" s="5" t="inlineStr">
        <is>
          <t>Semestral</t>
        </is>
      </c>
      <c r="E401" s="5" t="inlineStr">
        <is>
          <t>Positivo</t>
        </is>
      </c>
      <c r="F401" s="107" t="n">
        <v>45291</v>
      </c>
      <c r="G401" s="5" t="n">
        <v>2023</v>
      </c>
      <c r="H401" s="5" t="inlineStr">
        <is>
          <t>Diciembre</t>
        </is>
      </c>
      <c r="I401" s="6" t="inlineStr">
        <is>
          <t>2023-2</t>
        </is>
      </c>
      <c r="J401" s="5" t="n">
        <v>42</v>
      </c>
      <c r="K401" s="5" t="n">
        <v>39</v>
      </c>
      <c r="L401" s="14">
        <f>IFERROR(IF(OR(J401=0,K401=""),"",IF(E401="Positivo",MIN(MAX(K401/J401,0),1.3),MIN(MAX(J401/K401,0),1.3))),"") </f>
        <v/>
      </c>
      <c r="M401" s="14">
        <f>IFERROR(IF(OR(J401=0,K401=""),"",IF(E401="Positivo",MAX(K401/J401,0),MAX(J401/K401,0))),"") </f>
        <v/>
      </c>
      <c r="N401" s="5" t="inlineStr">
        <is>
          <t>ENT</t>
        </is>
      </c>
      <c r="O401" s="5" t="inlineStr">
        <is>
          <t>ENT</t>
        </is>
      </c>
      <c r="P401" s="5" t="n">
        <v>0</v>
      </c>
      <c r="Q401" s="5" t="n">
        <v>0</v>
      </c>
      <c r="R401" s="5" t="inlineStr">
        <is>
          <t>257-2023-12-31</t>
        </is>
      </c>
    </row>
    <row r="402">
      <c r="A402" s="5" t="n">
        <v>259</v>
      </c>
      <c r="B402" s="5" t="inlineStr">
        <is>
          <t>Subprocesos con indicadores reportados oportunamente</t>
        </is>
      </c>
      <c r="C402" s="5" t="inlineStr">
        <is>
          <t>Desempeño Institucional</t>
        </is>
      </c>
      <c r="D402" s="5" t="inlineStr">
        <is>
          <t>Trimestral</t>
        </is>
      </c>
      <c r="E402" s="5" t="inlineStr">
        <is>
          <t>Positivo</t>
        </is>
      </c>
      <c r="F402" s="107" t="n">
        <v>45291</v>
      </c>
      <c r="G402" s="5" t="n">
        <v>2023</v>
      </c>
      <c r="H402" s="5" t="inlineStr">
        <is>
          <t>Diciembre</t>
        </is>
      </c>
      <c r="I402" s="6" t="inlineStr">
        <is>
          <t>2023-2</t>
        </is>
      </c>
      <c r="J402" s="5" t="n">
        <v>100</v>
      </c>
      <c r="K402" s="5" t="n">
        <v>70</v>
      </c>
      <c r="L402" s="14">
        <f>IFERROR(IF(OR(J402=0,K402=""),"",IF(E402="Positivo",MIN(MAX(K402/J402,0),1.3),MIN(MAX(J402/K402,0),1.3))),"") </f>
        <v/>
      </c>
      <c r="M402" s="14">
        <f>IFERROR(IF(OR(J402=0,K402=""),"",IF(E402="Positivo",MAX(K402/J402,0),MAX(J402/K402,0))),"") </f>
        <v/>
      </c>
      <c r="N402" s="5" t="inlineStr">
        <is>
          <t>%</t>
        </is>
      </c>
      <c r="O402" s="5" t="inlineStr">
        <is>
          <t>%</t>
        </is>
      </c>
      <c r="P402" s="5" t="n">
        <v>0</v>
      </c>
      <c r="Q402" s="5" t="n">
        <v>0</v>
      </c>
      <c r="R402" s="5" t="inlineStr">
        <is>
          <t>259-2023-12-31</t>
        </is>
      </c>
    </row>
    <row r="403">
      <c r="A403" s="5" t="n">
        <v>259</v>
      </c>
      <c r="B403" s="5" t="inlineStr">
        <is>
          <t>Subprocesos con indicadores reportados oportunamente</t>
        </is>
      </c>
      <c r="C403" s="5" t="inlineStr">
        <is>
          <t>Desempeño Institucional</t>
        </is>
      </c>
      <c r="D403" s="5" t="inlineStr">
        <is>
          <t>Trimestral</t>
        </is>
      </c>
      <c r="E403" s="5" t="inlineStr">
        <is>
          <t>Positivo</t>
        </is>
      </c>
      <c r="F403" s="107" t="n">
        <v>45657</v>
      </c>
      <c r="G403" s="5" t="n">
        <v>2024</v>
      </c>
      <c r="H403" s="5" t="inlineStr">
        <is>
          <t>Diciembre</t>
        </is>
      </c>
      <c r="I403" s="6" t="inlineStr">
        <is>
          <t>2024-2</t>
        </is>
      </c>
      <c r="J403" s="5" t="n">
        <v>90</v>
      </c>
      <c r="K403" s="5" t="n">
        <v>78.43000000000001</v>
      </c>
      <c r="L403" s="14">
        <f>IFERROR(IF(OR(J403=0,K403=""),"",IF(E403="Positivo",MIN(MAX(K403/J403,0),1.3),MIN(MAX(J403/K403,0),1.3))),"") </f>
        <v/>
      </c>
      <c r="M403" s="14">
        <f>IFERROR(IF(OR(J403=0,K403=""),"",IF(E403="Positivo",MAX(K403/J403,0),MAX(J403/K403,0))),"") </f>
        <v/>
      </c>
      <c r="N403" s="5" t="inlineStr">
        <is>
          <t>%</t>
        </is>
      </c>
      <c r="O403" s="5" t="inlineStr">
        <is>
          <t>%</t>
        </is>
      </c>
      <c r="P403" s="5" t="n">
        <v>0</v>
      </c>
      <c r="Q403" s="5" t="n">
        <v>0</v>
      </c>
      <c r="R403" s="5" t="inlineStr">
        <is>
          <t>259-2024-12-31</t>
        </is>
      </c>
    </row>
    <row r="404">
      <c r="A404" s="5" t="n">
        <v>260</v>
      </c>
      <c r="B404" s="5" t="inlineStr">
        <is>
          <t>CES- Costumer Effort Score del proceso de Rematrícula</t>
        </is>
      </c>
      <c r="C404" s="5" t="inlineStr">
        <is>
          <t>Rematrícula</t>
        </is>
      </c>
      <c r="D404" s="5" t="inlineStr">
        <is>
          <t>Semestral</t>
        </is>
      </c>
      <c r="E404" s="5" t="inlineStr">
        <is>
          <t>Negativo</t>
        </is>
      </c>
      <c r="F404" s="107" t="n">
        <v>45291</v>
      </c>
      <c r="G404" s="5" t="n">
        <v>2023</v>
      </c>
      <c r="H404" s="5" t="inlineStr">
        <is>
          <t>Diciembre</t>
        </is>
      </c>
      <c r="I404" s="6" t="inlineStr">
        <is>
          <t>2023-2</t>
        </is>
      </c>
      <c r="J404" s="5" t="n">
        <v>3</v>
      </c>
      <c r="K404" s="5" t="n">
        <v>2.9</v>
      </c>
      <c r="L404" s="14">
        <f>IFERROR(IF(OR(J404=0,K404=""),"",IF(E404="Positivo",MIN(MAX(K404/J404,0),1.3),MIN(MAX(J404/K404,0),1.3))),"") </f>
        <v/>
      </c>
      <c r="M404" s="14">
        <f>IFERROR(IF(OR(J404=0,K404=""),"",IF(E404="Positivo",MAX(K404/J404,0),MAX(J404/K404,0))),"") </f>
        <v/>
      </c>
      <c r="N404" s="5" t="inlineStr">
        <is>
          <t>DEC</t>
        </is>
      </c>
      <c r="O404" s="5" t="inlineStr">
        <is>
          <t>DEC</t>
        </is>
      </c>
      <c r="P404" s="5" t="n">
        <v>1</v>
      </c>
      <c r="Q404" s="5" t="n">
        <v>1</v>
      </c>
      <c r="R404" s="5" t="inlineStr">
        <is>
          <t>260-2023-12-31</t>
        </is>
      </c>
    </row>
    <row r="405">
      <c r="A405" s="5" t="n">
        <v>260</v>
      </c>
      <c r="B405" s="5" t="inlineStr">
        <is>
          <t>CES- Costumer Effort Score del proceso de Rematrícula</t>
        </is>
      </c>
      <c r="C405" s="5" t="inlineStr">
        <is>
          <t>Rematrícula</t>
        </is>
      </c>
      <c r="D405" s="5" t="inlineStr">
        <is>
          <t>Semestral</t>
        </is>
      </c>
      <c r="E405" s="5" t="inlineStr">
        <is>
          <t>Negativo</t>
        </is>
      </c>
      <c r="F405" s="107" t="n">
        <v>45657</v>
      </c>
      <c r="G405" s="5" t="n">
        <v>2024</v>
      </c>
      <c r="H405" s="5" t="inlineStr">
        <is>
          <t>Diciembre</t>
        </is>
      </c>
      <c r="I405" s="6" t="inlineStr">
        <is>
          <t>2024-2</t>
        </is>
      </c>
      <c r="J405" s="5" t="n">
        <v>2.8</v>
      </c>
      <c r="K405" s="5" t="n">
        <v>2.1</v>
      </c>
      <c r="L405" s="14">
        <f>IFERROR(IF(OR(J405=0,K405=""),"",IF(E405="Positivo",MIN(MAX(K405/J405,0),1.3),MIN(MAX(J405/K405,0),1.3))),"") </f>
        <v/>
      </c>
      <c r="M405" s="14">
        <f>IFERROR(IF(OR(J405=0,K405=""),"",IF(E405="Positivo",MAX(K405/J405,0),MAX(J405/K405,0))),"") </f>
        <v/>
      </c>
      <c r="N405" s="5" t="inlineStr">
        <is>
          <t>DEC</t>
        </is>
      </c>
      <c r="O405" s="5" t="inlineStr">
        <is>
          <t>DEC</t>
        </is>
      </c>
      <c r="P405" s="5" t="n">
        <v>1</v>
      </c>
      <c r="Q405" s="5" t="n">
        <v>1</v>
      </c>
      <c r="R405" s="5" t="inlineStr">
        <is>
          <t>260-2024-12-31</t>
        </is>
      </c>
    </row>
    <row r="406">
      <c r="A406" s="5" t="n">
        <v>260</v>
      </c>
      <c r="B406" s="5" t="inlineStr">
        <is>
          <t>CES- Costumer Effort Score del proceso de Rematrícula</t>
        </is>
      </c>
      <c r="C406" s="5" t="inlineStr">
        <is>
          <t>Rematrícula</t>
        </is>
      </c>
      <c r="D406" s="5" t="inlineStr">
        <is>
          <t>Trimestral</t>
        </is>
      </c>
      <c r="E406" s="5" t="inlineStr">
        <is>
          <t>Negativo</t>
        </is>
      </c>
      <c r="F406" s="107" t="n">
        <v>46022</v>
      </c>
      <c r="G406" s="5" t="n">
        <v>2025</v>
      </c>
      <c r="H406" s="5" t="inlineStr">
        <is>
          <t>Diciembre</t>
        </is>
      </c>
      <c r="I406" s="6" t="inlineStr">
        <is>
          <t>2025-2</t>
        </is>
      </c>
      <c r="J406" s="5" t="n">
        <v>2.1</v>
      </c>
      <c r="K406" s="5" t="n">
        <v>1.9</v>
      </c>
      <c r="L406" s="14">
        <f>IFERROR(IF(OR(J406=0,K406=""),"",IF(E406="Positivo",MIN(MAX(K406/J406,0),1.3),MIN(MAX(J406/K406,0),1.3))),"") </f>
        <v/>
      </c>
      <c r="M406" s="14">
        <f>IFERROR(IF(OR(J406=0,K406=""),"",IF(E406="Positivo",MAX(K406/J406,0),MAX(J406/K406,0))),"") </f>
        <v/>
      </c>
      <c r="N406" s="5" t="inlineStr">
        <is>
          <t>DEC</t>
        </is>
      </c>
      <c r="O406" s="5" t="inlineStr">
        <is>
          <t>DEC</t>
        </is>
      </c>
      <c r="P406" s="5" t="n">
        <v>1</v>
      </c>
      <c r="Q406" s="5" t="n">
        <v>1</v>
      </c>
      <c r="R406" s="5" t="inlineStr">
        <is>
          <t>260-2025-12-31</t>
        </is>
      </c>
    </row>
    <row r="407">
      <c r="A407" s="5" t="n">
        <v>261</v>
      </c>
      <c r="B407" s="5" t="inlineStr">
        <is>
          <t>CES- Costumer Effort Score del proceso de Saber Pro</t>
        </is>
      </c>
      <c r="C407" s="5" t="inlineStr">
        <is>
          <t>Servicio</t>
        </is>
      </c>
      <c r="D407" s="5" t="inlineStr">
        <is>
          <t>Semestral</t>
        </is>
      </c>
      <c r="E407" s="5" t="inlineStr">
        <is>
          <t>Negativo</t>
        </is>
      </c>
      <c r="F407" s="107" t="n">
        <v>45291</v>
      </c>
      <c r="G407" s="5" t="n">
        <v>2023</v>
      </c>
      <c r="H407" s="5" t="inlineStr">
        <is>
          <t>Diciembre</t>
        </is>
      </c>
      <c r="I407" s="6" t="inlineStr">
        <is>
          <t>2023-2</t>
        </is>
      </c>
      <c r="J407" s="5" t="n">
        <v>3</v>
      </c>
      <c r="K407" s="5" t="n">
        <v>2.06</v>
      </c>
      <c r="L407" s="14">
        <f>IFERROR(IF(OR(J407=0,K407=""),"",IF(E407="Positivo",MIN(MAX(K407/J407,0),1.3),MIN(MAX(J407/K407,0),1.3))),"") </f>
        <v/>
      </c>
      <c r="M407" s="14">
        <f>IFERROR(IF(OR(J407=0,K407=""),"",IF(E407="Positivo",MAX(K407/J407,0),MAX(J407/K407,0))),"") </f>
        <v/>
      </c>
      <c r="N407" s="5" t="inlineStr">
        <is>
          <t>ENT</t>
        </is>
      </c>
      <c r="O407" s="5" t="inlineStr">
        <is>
          <t>DEC</t>
        </is>
      </c>
      <c r="P407" s="5" t="n">
        <v>2</v>
      </c>
      <c r="Q407" s="5" t="n">
        <v>2</v>
      </c>
      <c r="R407" s="5" t="inlineStr">
        <is>
          <t>261-2023-12-31</t>
        </is>
      </c>
    </row>
    <row r="408">
      <c r="A408" s="5" t="n">
        <v>261</v>
      </c>
      <c r="B408" s="5" t="inlineStr">
        <is>
          <t>CES- Costumer Effort Score del proceso de Saber Pro</t>
        </is>
      </c>
      <c r="C408" s="5" t="inlineStr">
        <is>
          <t>Servicio</t>
        </is>
      </c>
      <c r="D408" s="5" t="inlineStr">
        <is>
          <t>Semestral</t>
        </is>
      </c>
      <c r="E408" s="5" t="inlineStr">
        <is>
          <t>Negativo</t>
        </is>
      </c>
      <c r="F408" s="107" t="n">
        <v>45657</v>
      </c>
      <c r="G408" s="5" t="n">
        <v>2024</v>
      </c>
      <c r="H408" s="5" t="inlineStr">
        <is>
          <t>Diciembre</t>
        </is>
      </c>
      <c r="I408" s="6" t="inlineStr">
        <is>
          <t>2024-2</t>
        </is>
      </c>
      <c r="J408" s="5" t="n">
        <v>3</v>
      </c>
      <c r="K408" s="5" t="n">
        <v>2.2</v>
      </c>
      <c r="L408" s="14">
        <f>IFERROR(IF(OR(J408=0,K408=""),"",IF(E408="Positivo",MIN(MAX(K408/J408,0),1.3),MIN(MAX(J408/K408,0),1.3))),"") </f>
        <v/>
      </c>
      <c r="M408" s="14">
        <f>IFERROR(IF(OR(J408=0,K408=""),"",IF(E408="Positivo",MAX(K408/J408,0),MAX(J408/K408,0))),"") </f>
        <v/>
      </c>
      <c r="N408" s="5" t="inlineStr">
        <is>
          <t>ENT</t>
        </is>
      </c>
      <c r="O408" s="5" t="inlineStr">
        <is>
          <t>DEC</t>
        </is>
      </c>
      <c r="P408" s="5" t="n">
        <v>1</v>
      </c>
      <c r="Q408" s="5" t="n">
        <v>1</v>
      </c>
      <c r="R408" s="5" t="inlineStr">
        <is>
          <t>261-2024-12-31</t>
        </is>
      </c>
    </row>
    <row r="409">
      <c r="A409" s="5" t="n">
        <v>261</v>
      </c>
      <c r="B409" s="5" t="inlineStr">
        <is>
          <t>CES- Costumer Effort Score del proceso de Saber Pro</t>
        </is>
      </c>
      <c r="C409" s="5" t="inlineStr">
        <is>
          <t>Servicio</t>
        </is>
      </c>
      <c r="D409" s="5" t="inlineStr">
        <is>
          <t>Trimestral</t>
        </is>
      </c>
      <c r="E409" s="5" t="inlineStr">
        <is>
          <t>Negativo</t>
        </is>
      </c>
      <c r="F409" s="107" t="n">
        <v>46022</v>
      </c>
      <c r="G409" s="5" t="n">
        <v>2025</v>
      </c>
      <c r="H409" s="5" t="inlineStr">
        <is>
          <t>Diciembre</t>
        </is>
      </c>
      <c r="I409" s="6" t="inlineStr">
        <is>
          <t>2025-2</t>
        </is>
      </c>
      <c r="J409" s="5" t="n">
        <v>3</v>
      </c>
      <c r="K409" s="5" t="n">
        <v>2.1</v>
      </c>
      <c r="L409" s="14">
        <f>IFERROR(IF(OR(J409=0,K409=""),"",IF(E409="Positivo",MIN(MAX(K409/J409,0),1.3),MIN(MAX(J409/K409,0),1.3))),"") </f>
        <v/>
      </c>
      <c r="M409" s="14">
        <f>IFERROR(IF(OR(J409=0,K409=""),"",IF(E409="Positivo",MAX(K409/J409,0),MAX(J409/K409,0))),"") </f>
        <v/>
      </c>
      <c r="N409" s="5" t="inlineStr">
        <is>
          <t>ENT</t>
        </is>
      </c>
      <c r="O409" s="5" t="inlineStr">
        <is>
          <t>DEC</t>
        </is>
      </c>
      <c r="P409" s="5" t="n">
        <v>1</v>
      </c>
      <c r="Q409" s="5" t="n">
        <v>1</v>
      </c>
      <c r="R409" s="5" t="inlineStr">
        <is>
          <t>261-2025-12-31</t>
        </is>
      </c>
    </row>
    <row r="410">
      <c r="A410" s="5" t="n">
        <v>262</v>
      </c>
      <c r="B410" s="5" t="inlineStr">
        <is>
          <t>Reducción de número de sentencias condenatorias en contra del Poli</t>
        </is>
      </c>
      <c r="C410" s="5" t="inlineStr">
        <is>
          <t>GESTIÓN JURÍDICA Y NORMATIVA</t>
        </is>
      </c>
      <c r="D410" s="5" t="inlineStr">
        <is>
          <t>Semestral</t>
        </is>
      </c>
      <c r="E410" s="5" t="inlineStr">
        <is>
          <t>Negativo</t>
        </is>
      </c>
      <c r="F410" s="107" t="n">
        <v>45291</v>
      </c>
      <c r="G410" s="5" t="n">
        <v>2023</v>
      </c>
      <c r="H410" s="5" t="inlineStr">
        <is>
          <t>Diciembre</t>
        </is>
      </c>
      <c r="I410" s="6" t="inlineStr">
        <is>
          <t>2023-2</t>
        </is>
      </c>
      <c r="J410" s="5" t="n">
        <v>20</v>
      </c>
      <c r="K410" s="5" t="n">
        <v>11.11</v>
      </c>
      <c r="L410" s="14">
        <f>IFERROR(IF(OR(J410=0,K410=""),"",IF(E410="Positivo",MIN(MAX(K410/J410,0),1.3),MIN(MAX(J410/K410,0),1.3))),"") </f>
        <v/>
      </c>
      <c r="M410" s="14">
        <f>IFERROR(IF(OR(J410=0,K410=""),"",IF(E410="Positivo",MAX(K410/J410,0),MAX(J410/K410,0))),"") </f>
        <v/>
      </c>
      <c r="N410" s="5" t="inlineStr">
        <is>
          <t>%</t>
        </is>
      </c>
      <c r="O410" s="5" t="inlineStr">
        <is>
          <t>%</t>
        </is>
      </c>
      <c r="P410" s="5" t="n">
        <v>0</v>
      </c>
      <c r="Q410" s="5" t="n">
        <v>0</v>
      </c>
      <c r="R410" s="5" t="inlineStr">
        <is>
          <t>262-2023-12-31</t>
        </is>
      </c>
    </row>
    <row r="411">
      <c r="A411" s="5" t="n">
        <v>262</v>
      </c>
      <c r="B411" s="5" t="inlineStr">
        <is>
          <t>Reducción de número de sentencias condenatorias en contra del Poli</t>
        </is>
      </c>
      <c r="C411" s="5" t="inlineStr">
        <is>
          <t>GESTIÓN JURÍDICA Y NORMATIVA</t>
        </is>
      </c>
      <c r="D411" s="5" t="inlineStr">
        <is>
          <t>Semestral</t>
        </is>
      </c>
      <c r="E411" s="5" t="inlineStr">
        <is>
          <t>Negativo</t>
        </is>
      </c>
      <c r="F411" s="107" t="n">
        <v>45657</v>
      </c>
      <c r="G411" s="5" t="n">
        <v>2024</v>
      </c>
      <c r="H411" s="5" t="inlineStr">
        <is>
          <t>Diciembre</t>
        </is>
      </c>
      <c r="I411" s="6" t="inlineStr">
        <is>
          <t>2024-2</t>
        </is>
      </c>
      <c r="J411" s="5" t="n">
        <v>20</v>
      </c>
      <c r="K411" s="5" t="n">
        <v>0</v>
      </c>
      <c r="L411" s="14">
        <f>IFERROR(IF(OR(J411=0,K411=""),"",IF(E411="Positivo",MIN(MAX(K411/J411,0),1.3),MIN(MAX(J411/K411,0),1.3))),"") </f>
        <v/>
      </c>
      <c r="M411" s="14">
        <f>IFERROR(IF(OR(J411=0,K411=""),"",IF(E411="Positivo",MAX(K411/J411,0),MAX(J411/K411,0))),"") </f>
        <v/>
      </c>
      <c r="N411" s="5" t="inlineStr">
        <is>
          <t>%</t>
        </is>
      </c>
      <c r="O411" s="5" t="inlineStr">
        <is>
          <t>%</t>
        </is>
      </c>
      <c r="P411" s="5" t="n">
        <v>0</v>
      </c>
      <c r="Q411" s="5" t="n">
        <v>0</v>
      </c>
      <c r="R411" s="5" t="inlineStr">
        <is>
          <t>262-2024-12-31</t>
        </is>
      </c>
    </row>
    <row r="412">
      <c r="A412" s="5" t="n">
        <v>262</v>
      </c>
      <c r="B412" s="5" t="inlineStr">
        <is>
          <t>Reducción de número de sentencias condenatorias en contra del Poli</t>
        </is>
      </c>
      <c r="C412" s="5" t="inlineStr">
        <is>
          <t>GESTIÓN JURÍDICA Y NORMATIVA</t>
        </is>
      </c>
      <c r="D412" s="5" t="inlineStr">
        <is>
          <t>Trimestral</t>
        </is>
      </c>
      <c r="E412" s="5" t="inlineStr">
        <is>
          <t>Negativo</t>
        </is>
      </c>
      <c r="F412" s="107" t="n">
        <v>46022</v>
      </c>
      <c r="G412" s="5" t="n">
        <v>2025</v>
      </c>
      <c r="H412" s="5" t="inlineStr">
        <is>
          <t>Diciembre</t>
        </is>
      </c>
      <c r="I412" s="6" t="inlineStr">
        <is>
          <t>2025-2</t>
        </is>
      </c>
      <c r="J412" s="5" t="n"/>
      <c r="K412" s="5" t="n">
        <v>0</v>
      </c>
      <c r="L412" s="14" t="n"/>
      <c r="M412" s="14" t="n"/>
      <c r="N412" s="5" t="inlineStr">
        <is>
          <t>%</t>
        </is>
      </c>
      <c r="O412" s="5" t="inlineStr">
        <is>
          <t>%</t>
        </is>
      </c>
      <c r="P412" s="5" t="n">
        <v>0</v>
      </c>
      <c r="Q412" s="5" t="n">
        <v>0</v>
      </c>
      <c r="R412" s="5" t="inlineStr">
        <is>
          <t>262-2025-12-31</t>
        </is>
      </c>
    </row>
    <row r="413">
      <c r="A413" s="5" t="n">
        <v>263</v>
      </c>
      <c r="B413" s="5" t="inlineStr">
        <is>
          <t>Oportunidad de respuesta de PQRS</t>
        </is>
      </c>
      <c r="C413" s="5" t="inlineStr">
        <is>
          <t>GESTIÓN JURÍDICA Y NORMATIVA</t>
        </is>
      </c>
      <c r="D413" s="5" t="inlineStr">
        <is>
          <t>Trimestral</t>
        </is>
      </c>
      <c r="E413" s="5" t="inlineStr">
        <is>
          <t>Positivo</t>
        </is>
      </c>
      <c r="F413" s="107" t="n">
        <v>45291</v>
      </c>
      <c r="G413" s="5" t="n">
        <v>2023</v>
      </c>
      <c r="H413" s="5" t="inlineStr">
        <is>
          <t>Diciembre</t>
        </is>
      </c>
      <c r="I413" s="6" t="inlineStr">
        <is>
          <t>2023-2</t>
        </is>
      </c>
      <c r="J413" s="5" t="n">
        <v>100</v>
      </c>
      <c r="K413" s="5" t="n">
        <v>100</v>
      </c>
      <c r="L413" s="14">
        <f>IFERROR(IF(OR(J413=0,K413=""),"",IF(E413="Positivo",MIN(MAX(K413/J413,0),1.3),MIN(MAX(J413/K413,0),1.3))),"") </f>
        <v/>
      </c>
      <c r="M413" s="14">
        <f>IFERROR(IF(OR(J413=0,K413=""),"",IF(E413="Positivo",MAX(K413/J413,0),MAX(J413/K413,0))),"") </f>
        <v/>
      </c>
      <c r="N413" s="5" t="inlineStr">
        <is>
          <t>%</t>
        </is>
      </c>
      <c r="O413" s="5" t="inlineStr">
        <is>
          <t>%</t>
        </is>
      </c>
      <c r="P413" s="5" t="n">
        <v>0</v>
      </c>
      <c r="Q413" s="5" t="n">
        <v>0</v>
      </c>
      <c r="R413" s="5" t="inlineStr">
        <is>
          <t>263-2023-12-31</t>
        </is>
      </c>
    </row>
    <row r="414">
      <c r="A414" s="5" t="n">
        <v>263</v>
      </c>
      <c r="B414" s="5" t="inlineStr">
        <is>
          <t>Oportunidad de respuesta de PQRS</t>
        </is>
      </c>
      <c r="C414" s="5" t="inlineStr">
        <is>
          <t>GESTIÓN JURÍDICA Y NORMATIVA</t>
        </is>
      </c>
      <c r="D414" s="5" t="inlineStr">
        <is>
          <t>Trimestral</t>
        </is>
      </c>
      <c r="E414" s="5" t="inlineStr">
        <is>
          <t>Positivo</t>
        </is>
      </c>
      <c r="F414" s="107" t="n">
        <v>45657</v>
      </c>
      <c r="G414" s="5" t="n">
        <v>2024</v>
      </c>
      <c r="H414" s="5" t="inlineStr">
        <is>
          <t>Diciembre</t>
        </is>
      </c>
      <c r="I414" s="6" t="inlineStr">
        <is>
          <t>2024-2</t>
        </is>
      </c>
      <c r="J414" s="5" t="n">
        <v>100</v>
      </c>
      <c r="K414" s="5" t="n">
        <v>100</v>
      </c>
      <c r="L414" s="14">
        <f>IFERROR(IF(OR(J414=0,K414=""),"",IF(E414="Positivo",MIN(MAX(K414/J414,0),1.3),MIN(MAX(J414/K414,0),1.3))),"") </f>
        <v/>
      </c>
      <c r="M414" s="14">
        <f>IFERROR(IF(OR(J414=0,K414=""),"",IF(E414="Positivo",MAX(K414/J414,0),MAX(J414/K414,0))),"") </f>
        <v/>
      </c>
      <c r="N414" s="5" t="inlineStr">
        <is>
          <t>%</t>
        </is>
      </c>
      <c r="O414" s="5" t="inlineStr">
        <is>
          <t>%</t>
        </is>
      </c>
      <c r="P414" s="5" t="n">
        <v>0</v>
      </c>
      <c r="Q414" s="5" t="n">
        <v>0</v>
      </c>
      <c r="R414" s="5" t="inlineStr">
        <is>
          <t>263-2024-12-31</t>
        </is>
      </c>
    </row>
    <row r="415">
      <c r="A415" s="5" t="n">
        <v>263</v>
      </c>
      <c r="B415" s="5" t="inlineStr">
        <is>
          <t>Oportunidad de respuesta de PQRS</t>
        </is>
      </c>
      <c r="C415" s="5" t="inlineStr">
        <is>
          <t>GESTIÓN JURÍDICA Y NORMATIVA</t>
        </is>
      </c>
      <c r="D415" s="5" t="inlineStr">
        <is>
          <t>Semestral</t>
        </is>
      </c>
      <c r="E415" s="5" t="inlineStr">
        <is>
          <t>Positivo</t>
        </is>
      </c>
      <c r="F415" s="107" t="n">
        <v>46022</v>
      </c>
      <c r="G415" s="5" t="n">
        <v>2025</v>
      </c>
      <c r="H415" s="5" t="inlineStr">
        <is>
          <t>Diciembre</t>
        </is>
      </c>
      <c r="I415" s="6" t="inlineStr">
        <is>
          <t>2025-2</t>
        </is>
      </c>
      <c r="J415" s="5" t="n">
        <v>100</v>
      </c>
      <c r="K415" s="5" t="n">
        <v>100</v>
      </c>
      <c r="L415" s="14">
        <f>IFERROR(IF(OR(J415=0,K415=""),"",IF(E415="Positivo",MIN(MAX(K415/J415,0),1.3),MIN(MAX(J415/K415,0),1.3))),"") </f>
        <v/>
      </c>
      <c r="M415" s="14">
        <f>IFERROR(IF(OR(J415=0,K415=""),"",IF(E415="Positivo",MAX(K415/J415,0),MAX(J415/K415,0))),"") </f>
        <v/>
      </c>
      <c r="N415" s="5" t="inlineStr">
        <is>
          <t>%</t>
        </is>
      </c>
      <c r="O415" s="5" t="inlineStr">
        <is>
          <t>%</t>
        </is>
      </c>
      <c r="P415" s="5" t="n">
        <v>0</v>
      </c>
      <c r="Q415" s="5" t="n">
        <v>0</v>
      </c>
      <c r="R415" s="5" t="inlineStr">
        <is>
          <t>263-2025-12-31</t>
        </is>
      </c>
    </row>
    <row r="416">
      <c r="A416" s="5" t="n">
        <v>264</v>
      </c>
      <c r="B416" s="5" t="inlineStr">
        <is>
          <t>Emisión De Conceptos Jurídicos (Educación)</t>
        </is>
      </c>
      <c r="C416" s="5" t="inlineStr">
        <is>
          <t>GESTIÓN JURÍDICA Y NORMATIVA</t>
        </is>
      </c>
      <c r="D416" s="5" t="inlineStr">
        <is>
          <t>Semestral</t>
        </is>
      </c>
      <c r="E416" s="5" t="inlineStr">
        <is>
          <t>Positivo</t>
        </is>
      </c>
      <c r="F416" s="107" t="n">
        <v>45291</v>
      </c>
      <c r="G416" s="5" t="n">
        <v>2023</v>
      </c>
      <c r="H416" s="5" t="inlineStr">
        <is>
          <t>Diciembre</t>
        </is>
      </c>
      <c r="I416" s="6" t="inlineStr">
        <is>
          <t>2023-2</t>
        </is>
      </c>
      <c r="J416" s="5" t="n">
        <v>100</v>
      </c>
      <c r="K416" s="5" t="n">
        <v>100</v>
      </c>
      <c r="L416" s="14">
        <f>IFERROR(IF(OR(J416=0,K416=""),"",IF(E416="Positivo",MIN(MAX(K416/J416,0),1.3),MIN(MAX(J416/K416,0),1.3))),"") </f>
        <v/>
      </c>
      <c r="M416" s="14">
        <f>IFERROR(IF(OR(J416=0,K416=""),"",IF(E416="Positivo",MAX(K416/J416,0),MAX(J416/K416,0))),"") </f>
        <v/>
      </c>
      <c r="N416" s="5" t="inlineStr">
        <is>
          <t>%</t>
        </is>
      </c>
      <c r="O416" s="5" t="inlineStr">
        <is>
          <t>%</t>
        </is>
      </c>
      <c r="P416" s="5" t="n">
        <v>0</v>
      </c>
      <c r="Q416" s="5" t="n">
        <v>0</v>
      </c>
      <c r="R416" s="5" t="inlineStr">
        <is>
          <t>264-2023-12-31</t>
        </is>
      </c>
    </row>
    <row r="417">
      <c r="A417" s="5" t="n">
        <v>264</v>
      </c>
      <c r="B417" s="5" t="inlineStr">
        <is>
          <t>Eficiencia Emisión De Conceptos Jurídicos (Educación)</t>
        </is>
      </c>
      <c r="C417" s="5" t="inlineStr">
        <is>
          <t>GESTIÓN JURÍDICA Y NORMATIVA</t>
        </is>
      </c>
      <c r="D417" s="5" t="inlineStr">
        <is>
          <t>Semestral</t>
        </is>
      </c>
      <c r="E417" s="5" t="inlineStr">
        <is>
          <t>Positivo</t>
        </is>
      </c>
      <c r="F417" s="107" t="n">
        <v>45657</v>
      </c>
      <c r="G417" s="5" t="n">
        <v>2024</v>
      </c>
      <c r="H417" s="5" t="inlineStr">
        <is>
          <t>Diciembre</t>
        </is>
      </c>
      <c r="I417" s="6" t="inlineStr">
        <is>
          <t>2024-2</t>
        </is>
      </c>
      <c r="J417" s="5" t="n">
        <v>100</v>
      </c>
      <c r="K417" s="5" t="n">
        <v>100</v>
      </c>
      <c r="L417" s="14">
        <f>IFERROR(IF(OR(J417=0,K417=""),"",IF(E417="Positivo",MIN(MAX(K417/J417,0),1.3),MIN(MAX(J417/K417,0),1.3))),"") </f>
        <v/>
      </c>
      <c r="M417" s="14">
        <f>IFERROR(IF(OR(J417=0,K417=""),"",IF(E417="Positivo",MAX(K417/J417,0),MAX(J417/K417,0))),"") </f>
        <v/>
      </c>
      <c r="N417" s="5" t="inlineStr">
        <is>
          <t>%</t>
        </is>
      </c>
      <c r="O417" s="5" t="inlineStr">
        <is>
          <t>%</t>
        </is>
      </c>
      <c r="P417" s="5" t="n">
        <v>0</v>
      </c>
      <c r="Q417" s="5" t="n">
        <v>0</v>
      </c>
      <c r="R417" s="5" t="inlineStr">
        <is>
          <t>264-2024-12-31</t>
        </is>
      </c>
    </row>
    <row r="418">
      <c r="A418" s="5" t="n">
        <v>265</v>
      </c>
      <c r="B418" s="5" t="inlineStr">
        <is>
          <t>Emisión De Conceptos Jurídicos (Jurídicos)</t>
        </is>
      </c>
      <c r="C418" s="5" t="inlineStr">
        <is>
          <t>GESTIÓN JURÍDICA Y NORMATIVA</t>
        </is>
      </c>
      <c r="D418" s="5" t="inlineStr">
        <is>
          <t>Semestral</t>
        </is>
      </c>
      <c r="E418" s="5" t="inlineStr">
        <is>
          <t>Positivo</t>
        </is>
      </c>
      <c r="F418" s="107" t="n">
        <v>45291</v>
      </c>
      <c r="G418" s="5" t="n">
        <v>2023</v>
      </c>
      <c r="H418" s="5" t="inlineStr">
        <is>
          <t>Diciembre</t>
        </is>
      </c>
      <c r="I418" s="6" t="inlineStr">
        <is>
          <t>2023-2</t>
        </is>
      </c>
      <c r="J418" s="5" t="n">
        <v>100</v>
      </c>
      <c r="K418" s="5" t="n">
        <v>88.565</v>
      </c>
      <c r="L418" s="14">
        <f>IFERROR(IF(OR(J418=0,K418=""),"",IF(E418="Positivo",MIN(MAX(K418/J418,0),1.3),MIN(MAX(J418/K418,0),1.3))),"") </f>
        <v/>
      </c>
      <c r="M418" s="14">
        <f>IFERROR(IF(OR(J418=0,K418=""),"",IF(E418="Positivo",MAX(K418/J418,0),MAX(J418/K418,0))),"") </f>
        <v/>
      </c>
      <c r="N418" s="5" t="inlineStr">
        <is>
          <t>%</t>
        </is>
      </c>
      <c r="O418" s="5" t="inlineStr">
        <is>
          <t>%</t>
        </is>
      </c>
      <c r="P418" s="5" t="n">
        <v>0</v>
      </c>
      <c r="Q418" s="5" t="n">
        <v>0</v>
      </c>
      <c r="R418" s="5" t="inlineStr">
        <is>
          <t>265-2023-12-31</t>
        </is>
      </c>
    </row>
    <row r="419">
      <c r="A419" s="5" t="n">
        <v>265</v>
      </c>
      <c r="B419" s="5" t="inlineStr">
        <is>
          <t>Eficiencia Emisión De Conceptos Jurídicos (Jurídicos)</t>
        </is>
      </c>
      <c r="C419" s="5" t="inlineStr">
        <is>
          <t>GESTIÓN JURÍDICA Y NORMATIVA</t>
        </is>
      </c>
      <c r="D419" s="5" t="inlineStr">
        <is>
          <t>Semestral</t>
        </is>
      </c>
      <c r="E419" s="5" t="inlineStr">
        <is>
          <t>Positivo</t>
        </is>
      </c>
      <c r="F419" s="107" t="n">
        <v>45657</v>
      </c>
      <c r="G419" s="5" t="n">
        <v>2024</v>
      </c>
      <c r="H419" s="5" t="inlineStr">
        <is>
          <t>Diciembre</t>
        </is>
      </c>
      <c r="I419" s="6" t="inlineStr">
        <is>
          <t>2024-2</t>
        </is>
      </c>
      <c r="J419" s="5" t="n">
        <v>95</v>
      </c>
      <c r="K419" s="5" t="n">
        <v>100</v>
      </c>
      <c r="L419" s="14">
        <f>IFERROR(IF(OR(J419=0,K419=""),"",IF(E419="Positivo",MIN(MAX(K419/J419,0),1.3),MIN(MAX(J419/K419,0),1.3))),"") </f>
        <v/>
      </c>
      <c r="M419" s="14">
        <f>IFERROR(IF(OR(J419=0,K419=""),"",IF(E419="Positivo",MAX(K419/J419,0),MAX(J419/K419,0))),"") </f>
        <v/>
      </c>
      <c r="N419" s="5" t="inlineStr">
        <is>
          <t>%</t>
        </is>
      </c>
      <c r="O419" s="5" t="inlineStr">
        <is>
          <t>%</t>
        </is>
      </c>
      <c r="P419" s="5" t="n">
        <v>0</v>
      </c>
      <c r="Q419" s="5" t="n">
        <v>0</v>
      </c>
      <c r="R419" s="5" t="inlineStr">
        <is>
          <t>265-2024-12-31</t>
        </is>
      </c>
    </row>
    <row r="420">
      <c r="A420" s="5" t="n">
        <v>265</v>
      </c>
      <c r="B420" s="5" t="inlineStr">
        <is>
          <t>Eficiencia Emisión De Conceptos Jurídicos (Jurídicos)</t>
        </is>
      </c>
      <c r="C420" s="5" t="inlineStr">
        <is>
          <t>GESTIÓN JURÍDICA Y NORMATIVA</t>
        </is>
      </c>
      <c r="D420" s="5" t="inlineStr">
        <is>
          <t>Semestral</t>
        </is>
      </c>
      <c r="E420" s="5" t="inlineStr">
        <is>
          <t>Positivo</t>
        </is>
      </c>
      <c r="F420" s="107" t="n">
        <v>46022</v>
      </c>
      <c r="G420" s="5" t="n">
        <v>2025</v>
      </c>
      <c r="H420" s="5" t="inlineStr">
        <is>
          <t>Diciembre</t>
        </is>
      </c>
      <c r="I420" s="6" t="inlineStr">
        <is>
          <t>2025-2</t>
        </is>
      </c>
      <c r="J420" s="5" t="n">
        <v>95</v>
      </c>
      <c r="K420" s="5" t="n">
        <v>100</v>
      </c>
      <c r="L420" s="14">
        <f>IFERROR(IF(OR(J420=0,K420=""),"",IF(E420="Positivo",MIN(MAX(K420/J420,0),1.3),MIN(MAX(J420/K420,0),1.3))),"") </f>
        <v/>
      </c>
      <c r="M420" s="14">
        <f>IFERROR(IF(OR(J420=0,K420=""),"",IF(E420="Positivo",MAX(K420/J420,0),MAX(J420/K420,0))),"") </f>
        <v/>
      </c>
      <c r="N420" s="5" t="inlineStr">
        <is>
          <t>%</t>
        </is>
      </c>
      <c r="O420" s="5" t="inlineStr">
        <is>
          <t>%</t>
        </is>
      </c>
      <c r="P420" s="5" t="n">
        <v>0</v>
      </c>
      <c r="Q420" s="5" t="n">
        <v>0</v>
      </c>
      <c r="R420" s="5" t="inlineStr">
        <is>
          <t>265-2025-12-31</t>
        </is>
      </c>
    </row>
    <row r="421">
      <c r="A421" s="5" t="n">
        <v>266</v>
      </c>
      <c r="B421" s="5" t="inlineStr">
        <is>
          <t>Oportunidad en la elaboración de contratos</t>
        </is>
      </c>
      <c r="C421" s="5" t="inlineStr">
        <is>
          <t>GESTIÓN JURÍDICA Y NORMATIVA</t>
        </is>
      </c>
      <c r="D421" s="5" t="inlineStr">
        <is>
          <t>Semestral</t>
        </is>
      </c>
      <c r="E421" s="5" t="inlineStr">
        <is>
          <t>Positivo</t>
        </is>
      </c>
      <c r="F421" s="107" t="n">
        <v>45291</v>
      </c>
      <c r="G421" s="5" t="n">
        <v>2023</v>
      </c>
      <c r="H421" s="5" t="inlineStr">
        <is>
          <t>Diciembre</t>
        </is>
      </c>
      <c r="I421" s="6" t="inlineStr">
        <is>
          <t>2023-2</t>
        </is>
      </c>
      <c r="J421" s="5" t="n">
        <v>95</v>
      </c>
      <c r="K421" s="10" t="n">
        <v>93.488519256308</v>
      </c>
      <c r="L421" s="14">
        <f>IFERROR(IF(OR(J421=0,K421=""),"",IF(E421="Positivo",MIN(MAX(K421/J421,0),1.3),MIN(MAX(J421/K421,0),1.3))),"") </f>
        <v/>
      </c>
      <c r="M421" s="14">
        <f>IFERROR(IF(OR(J421=0,K421=""),"",IF(E421="Positivo",MAX(K421/J421,0),MAX(J421/K421,0))),"") </f>
        <v/>
      </c>
      <c r="N421" s="5" t="inlineStr">
        <is>
          <t>%</t>
        </is>
      </c>
      <c r="O421" s="5" t="inlineStr">
        <is>
          <t>%</t>
        </is>
      </c>
      <c r="P421" s="5" t="n">
        <v>0</v>
      </c>
      <c r="Q421" s="5" t="n">
        <v>0</v>
      </c>
      <c r="R421" s="5" t="inlineStr">
        <is>
          <t>266-2023-12-31</t>
        </is>
      </c>
    </row>
    <row r="422">
      <c r="A422" s="5" t="n">
        <v>266</v>
      </c>
      <c r="B422" s="5" t="inlineStr">
        <is>
          <t>Oportunidad en la elaboración de contratos</t>
        </is>
      </c>
      <c r="C422" s="5" t="inlineStr">
        <is>
          <t>GESTIÓN JURÍDICA Y NORMATIVA</t>
        </is>
      </c>
      <c r="D422" s="5" t="inlineStr">
        <is>
          <t>Semestral</t>
        </is>
      </c>
      <c r="E422" s="5" t="inlineStr">
        <is>
          <t>Positivo</t>
        </is>
      </c>
      <c r="F422" s="107" t="n">
        <v>45657</v>
      </c>
      <c r="G422" s="5" t="n">
        <v>2024</v>
      </c>
      <c r="H422" s="5" t="inlineStr">
        <is>
          <t>Diciembre</t>
        </is>
      </c>
      <c r="I422" s="6" t="inlineStr">
        <is>
          <t>2024-2</t>
        </is>
      </c>
      <c r="J422" s="5" t="n">
        <v>95</v>
      </c>
      <c r="K422" s="5" t="n">
        <v>88.47499999999999</v>
      </c>
      <c r="L422" s="14">
        <f>IFERROR(IF(OR(J422=0,K422=""),"",IF(E422="Positivo",MIN(MAX(K422/J422,0),1.3),MIN(MAX(J422/K422,0),1.3))),"") </f>
        <v/>
      </c>
      <c r="M422" s="14">
        <f>IFERROR(IF(OR(J422=0,K422=""),"",IF(E422="Positivo",MAX(K422/J422,0),MAX(J422/K422,0))),"") </f>
        <v/>
      </c>
      <c r="N422" s="5" t="inlineStr">
        <is>
          <t>%</t>
        </is>
      </c>
      <c r="O422" s="5" t="inlineStr">
        <is>
          <t>%</t>
        </is>
      </c>
      <c r="P422" s="5" t="n">
        <v>0</v>
      </c>
      <c r="Q422" s="5" t="n">
        <v>0</v>
      </c>
      <c r="R422" s="5" t="inlineStr">
        <is>
          <t>266-2024-12-31</t>
        </is>
      </c>
    </row>
    <row r="423">
      <c r="A423" s="5" t="n">
        <v>266</v>
      </c>
      <c r="B423" s="5" t="inlineStr">
        <is>
          <t>Oportunidad en la elaboración de contratos</t>
        </is>
      </c>
      <c r="C423" s="5" t="inlineStr">
        <is>
          <t>GESTIÓN JURÍDICA Y NORMATIVA</t>
        </is>
      </c>
      <c r="D423" s="5" t="inlineStr">
        <is>
          <t>Semestral</t>
        </is>
      </c>
      <c r="E423" s="5" t="inlineStr">
        <is>
          <t>Positivo</t>
        </is>
      </c>
      <c r="F423" s="107" t="n">
        <v>46022</v>
      </c>
      <c r="G423" s="5" t="n">
        <v>2025</v>
      </c>
      <c r="H423" s="5" t="inlineStr">
        <is>
          <t>Diciembre</t>
        </is>
      </c>
      <c r="I423" s="6" t="inlineStr">
        <is>
          <t>2025-2</t>
        </is>
      </c>
      <c r="J423" s="5" t="n">
        <v>95</v>
      </c>
      <c r="K423" s="5" t="n">
        <v>76.45</v>
      </c>
      <c r="L423" s="14">
        <f>IFERROR(IF(OR(J423=0,K423=""),"",IF(E423="Positivo",MIN(MAX(K423/J423,0),1.3),MIN(MAX(J423/K423,0),1.3))),"") </f>
        <v/>
      </c>
      <c r="M423" s="14">
        <f>IFERROR(IF(OR(J423=0,K423=""),"",IF(E423="Positivo",MAX(K423/J423,0),MAX(J423/K423,0))),"") </f>
        <v/>
      </c>
      <c r="N423" s="5" t="inlineStr">
        <is>
          <t>%</t>
        </is>
      </c>
      <c r="O423" s="5" t="inlineStr">
        <is>
          <t>%</t>
        </is>
      </c>
      <c r="P423" s="5" t="n">
        <v>0</v>
      </c>
      <c r="Q423" s="5" t="n">
        <v>0</v>
      </c>
      <c r="R423" s="5" t="inlineStr">
        <is>
          <t>266-2025-12-31</t>
        </is>
      </c>
    </row>
    <row r="424">
      <c r="A424" s="5" t="n">
        <v>267</v>
      </c>
      <c r="B424" s="5" t="inlineStr">
        <is>
          <t>Satisfacción procesos de Homologaciones</t>
        </is>
      </c>
      <c r="C424" s="5" t="inlineStr">
        <is>
          <t>Registro y Control</t>
        </is>
      </c>
      <c r="D424" s="5" t="inlineStr">
        <is>
          <t>Anual</t>
        </is>
      </c>
      <c r="E424" s="5" t="inlineStr">
        <is>
          <t>Positivo</t>
        </is>
      </c>
      <c r="F424" s="107" t="n">
        <v>45291</v>
      </c>
      <c r="G424" s="5" t="n">
        <v>2023</v>
      </c>
      <c r="H424" s="5" t="inlineStr">
        <is>
          <t>Diciembre</t>
        </is>
      </c>
      <c r="I424" s="6" t="inlineStr">
        <is>
          <t>2023-2</t>
        </is>
      </c>
      <c r="J424" s="5" t="n"/>
      <c r="K424" s="5" t="n"/>
      <c r="L424" s="14" t="n"/>
      <c r="M424" s="14" t="n"/>
      <c r="N424" s="5" t="inlineStr">
        <is>
          <t>%</t>
        </is>
      </c>
      <c r="O424" s="5" t="inlineStr">
        <is>
          <t>%</t>
        </is>
      </c>
      <c r="P424" s="5" t="n">
        <v>0</v>
      </c>
      <c r="Q424" s="5" t="n">
        <v>0</v>
      </c>
      <c r="R424" s="5" t="inlineStr">
        <is>
          <t>267-2023-12-31</t>
        </is>
      </c>
    </row>
    <row r="425">
      <c r="A425" s="5" t="n">
        <v>268</v>
      </c>
      <c r="B425" s="5" t="inlineStr">
        <is>
          <t>Cantidad de usuarios</t>
        </is>
      </c>
      <c r="C425" s="5" t="inlineStr">
        <is>
          <t>Centro de Medios Audiovisuales</t>
        </is>
      </c>
      <c r="D425" s="5" t="inlineStr">
        <is>
          <t>Semestral</t>
        </is>
      </c>
      <c r="E425" s="5" t="inlineStr">
        <is>
          <t>Positivo</t>
        </is>
      </c>
      <c r="F425" s="107" t="n">
        <v>45291</v>
      </c>
      <c r="G425" s="5" t="n">
        <v>2023</v>
      </c>
      <c r="H425" s="5" t="inlineStr">
        <is>
          <t>Diciembre</t>
        </is>
      </c>
      <c r="I425" s="6" t="inlineStr">
        <is>
          <t>2023-2</t>
        </is>
      </c>
      <c r="J425" s="5" t="n"/>
      <c r="K425" s="5" t="n">
        <v>727</v>
      </c>
      <c r="L425" s="14" t="n"/>
      <c r="M425" s="14" t="n"/>
      <c r="N425" s="5" t="inlineStr">
        <is>
          <t>%</t>
        </is>
      </c>
      <c r="O425" s="5" t="inlineStr">
        <is>
          <t>ENT</t>
        </is>
      </c>
      <c r="P425" s="5" t="n">
        <v>0</v>
      </c>
      <c r="Q425" s="5" t="n">
        <v>0</v>
      </c>
      <c r="R425" s="5" t="inlineStr">
        <is>
          <t>268-2023-12-31</t>
        </is>
      </c>
    </row>
    <row r="426">
      <c r="A426" s="5" t="n">
        <v>268</v>
      </c>
      <c r="B426" s="5" t="inlineStr">
        <is>
          <t>Cantidad de usuarios</t>
        </is>
      </c>
      <c r="C426" s="5" t="inlineStr">
        <is>
          <t>Centro de Medios Audiovisuales</t>
        </is>
      </c>
      <c r="D426" s="5" t="inlineStr">
        <is>
          <t>Semestral</t>
        </is>
      </c>
      <c r="E426" s="5" t="inlineStr">
        <is>
          <t>Positivo</t>
        </is>
      </c>
      <c r="F426" s="107" t="n">
        <v>45657</v>
      </c>
      <c r="G426" s="5" t="n">
        <v>2024</v>
      </c>
      <c r="H426" s="5" t="inlineStr">
        <is>
          <t>Diciembre</t>
        </is>
      </c>
      <c r="I426" s="6" t="inlineStr">
        <is>
          <t>2024-2</t>
        </is>
      </c>
      <c r="J426" s="5" t="n">
        <v>0</v>
      </c>
      <c r="K426" s="5" t="n">
        <v>732</v>
      </c>
      <c r="L426" s="14">
        <f>IFERROR(IF(OR(J426=0,K426=""),"",IF(E426="Positivo",MIN(MAX(K426/J426,0),1.3),MIN(MAX(J426/K426,0),1.3))),"") </f>
        <v/>
      </c>
      <c r="M426" s="14">
        <f>IFERROR(IF(OR(J426=0,K426=""),"",IF(E426="Positivo",MAX(K426/J426,0),MAX(J426/K426,0))),"") </f>
        <v/>
      </c>
      <c r="N426" s="5" t="n">
        <v>0</v>
      </c>
      <c r="O426" s="5" t="inlineStr">
        <is>
          <t>ENT</t>
        </is>
      </c>
      <c r="P426" s="5" t="n">
        <v>0</v>
      </c>
      <c r="Q426" s="5" t="n">
        <v>0</v>
      </c>
      <c r="R426" s="5" t="inlineStr">
        <is>
          <t>268-2024-12-31</t>
        </is>
      </c>
    </row>
    <row r="427">
      <c r="A427" s="5" t="n">
        <v>268</v>
      </c>
      <c r="B427" s="5" t="inlineStr">
        <is>
          <t>Cantidad de usuarios - (Metrica)</t>
        </is>
      </c>
      <c r="C427" s="5" t="inlineStr">
        <is>
          <t>Centro de Medios Audiovisuales</t>
        </is>
      </c>
      <c r="D427" s="5" t="inlineStr">
        <is>
          <t>Trimestral</t>
        </is>
      </c>
      <c r="E427" s="5" t="inlineStr">
        <is>
          <t>Positivo</t>
        </is>
      </c>
      <c r="F427" s="107" t="n">
        <v>46022</v>
      </c>
      <c r="G427" s="5" t="n">
        <v>2025</v>
      </c>
      <c r="H427" s="5" t="inlineStr">
        <is>
          <t>Diciembre</t>
        </is>
      </c>
      <c r="I427" s="6" t="inlineStr">
        <is>
          <t>2025-2</t>
        </is>
      </c>
      <c r="J427" s="5" t="n"/>
      <c r="K427" s="5" t="n">
        <v>877</v>
      </c>
      <c r="L427" s="14" t="n"/>
      <c r="M427" s="14" t="n"/>
      <c r="N427" s="5" t="inlineStr">
        <is>
          <t>%</t>
        </is>
      </c>
      <c r="O427" s="5" t="inlineStr">
        <is>
          <t>ENT</t>
        </is>
      </c>
      <c r="P427" s="5" t="n">
        <v>0</v>
      </c>
      <c r="Q427" s="5" t="n">
        <v>0</v>
      </c>
      <c r="R427" s="5" t="inlineStr">
        <is>
          <t>268-2025-12-31</t>
        </is>
      </c>
      <c r="S427" t="inlineStr">
        <is>
          <t>Metrica</t>
        </is>
      </c>
    </row>
    <row r="428">
      <c r="A428" s="5" t="n">
        <v>269</v>
      </c>
      <c r="B428" s="5" t="inlineStr">
        <is>
          <t>N de personas promedio por evento</t>
        </is>
      </c>
      <c r="C428" s="5" t="inlineStr">
        <is>
          <t>Centro de Medios Audiovisuales</t>
        </is>
      </c>
      <c r="D428" s="5" t="inlineStr">
        <is>
          <t>Semestral</t>
        </is>
      </c>
      <c r="E428" s="5" t="inlineStr">
        <is>
          <t>Positivo</t>
        </is>
      </c>
      <c r="F428" s="107" t="n">
        <v>45291</v>
      </c>
      <c r="G428" s="5" t="n">
        <v>2023</v>
      </c>
      <c r="H428" s="5" t="inlineStr">
        <is>
          <t>Diciembre</t>
        </is>
      </c>
      <c r="I428" s="6" t="inlineStr">
        <is>
          <t>2023-2</t>
        </is>
      </c>
      <c r="J428" s="5" t="n">
        <v>0</v>
      </c>
      <c r="K428" s="5" t="n">
        <v>1.276978417266187</v>
      </c>
      <c r="L428" s="14">
        <f>IFERROR(IF(OR(J428=0,K428=""),"",IF(E428="Positivo",MIN(MAX(K428/J428,0),1.3),MIN(MAX(J428/K428,0),1.3))),"") </f>
        <v/>
      </c>
      <c r="M428" s="14">
        <f>IFERROR(IF(OR(J428=0,K428=""),"",IF(E428="Positivo",MAX(K428/J428,0),MAX(J428/K428,0))),"") </f>
        <v/>
      </c>
      <c r="N428" s="5" t="inlineStr">
        <is>
          <t>DEC</t>
        </is>
      </c>
      <c r="O428" s="5" t="inlineStr">
        <is>
          <t>DEC</t>
        </is>
      </c>
      <c r="P428" s="5" t="n">
        <v>2</v>
      </c>
      <c r="Q428" s="5" t="n">
        <v>2</v>
      </c>
      <c r="R428" s="5" t="inlineStr">
        <is>
          <t>269-2023-12-31</t>
        </is>
      </c>
    </row>
    <row r="429">
      <c r="A429" s="5" t="n">
        <v>269</v>
      </c>
      <c r="B429" s="5" t="inlineStr">
        <is>
          <t>N de personas promedio por evento</t>
        </is>
      </c>
      <c r="C429" s="5" t="inlineStr">
        <is>
          <t>Centro de Medios Audiovisuales</t>
        </is>
      </c>
      <c r="D429" s="5" t="inlineStr">
        <is>
          <t>Semestral</t>
        </is>
      </c>
      <c r="E429" s="5" t="inlineStr">
        <is>
          <t>Positivo</t>
        </is>
      </c>
      <c r="F429" s="107" t="n">
        <v>45657</v>
      </c>
      <c r="G429" s="5" t="n">
        <v>2024</v>
      </c>
      <c r="H429" s="5" t="inlineStr">
        <is>
          <t>Diciembre</t>
        </is>
      </c>
      <c r="I429" s="6" t="inlineStr">
        <is>
          <t>2024-2</t>
        </is>
      </c>
      <c r="J429" s="5" t="n"/>
      <c r="K429" s="5" t="n">
        <v>1.28</v>
      </c>
      <c r="L429" s="14" t="n"/>
      <c r="M429" s="14" t="n"/>
      <c r="N429" s="5" t="inlineStr">
        <is>
          <t>DEC</t>
        </is>
      </c>
      <c r="O429" s="5" t="inlineStr">
        <is>
          <t>DEC</t>
        </is>
      </c>
      <c r="P429" s="5" t="n">
        <v>2</v>
      </c>
      <c r="Q429" s="5" t="n">
        <v>2</v>
      </c>
      <c r="R429" s="5" t="inlineStr">
        <is>
          <t>269-2024-12-31</t>
        </is>
      </c>
    </row>
    <row r="430">
      <c r="A430" s="5" t="n">
        <v>269</v>
      </c>
      <c r="B430" s="5" t="inlineStr">
        <is>
          <t>N de personas promedio por evento - (Metrica)</t>
        </is>
      </c>
      <c r="C430" s="5" t="inlineStr">
        <is>
          <t>Centro de Medios Audiovisuales</t>
        </is>
      </c>
      <c r="D430" s="5" t="inlineStr">
        <is>
          <t>Trimestral</t>
        </is>
      </c>
      <c r="E430" s="5" t="inlineStr">
        <is>
          <t>Positivo</t>
        </is>
      </c>
      <c r="F430" s="107" t="n">
        <v>46022</v>
      </c>
      <c r="G430" s="5" t="n">
        <v>2025</v>
      </c>
      <c r="H430" s="5" t="inlineStr">
        <is>
          <t>Diciembre</t>
        </is>
      </c>
      <c r="I430" s="6" t="inlineStr">
        <is>
          <t>2025-2</t>
        </is>
      </c>
      <c r="J430" s="5" t="n">
        <v>545</v>
      </c>
      <c r="K430" s="5" t="n">
        <v>1.65</v>
      </c>
      <c r="L430" s="14" t="n"/>
      <c r="M430" s="14" t="n"/>
      <c r="N430" s="5" t="inlineStr">
        <is>
          <t>DEC</t>
        </is>
      </c>
      <c r="O430" s="5" t="inlineStr">
        <is>
          <t>DEC</t>
        </is>
      </c>
      <c r="P430" s="5" t="n">
        <v>2</v>
      </c>
      <c r="Q430" s="5" t="n">
        <v>2</v>
      </c>
      <c r="R430" s="5" t="inlineStr">
        <is>
          <t>269-2025-12-31</t>
        </is>
      </c>
      <c r="S430" t="inlineStr">
        <is>
          <t>Metrica</t>
        </is>
      </c>
    </row>
    <row r="431">
      <c r="A431" s="5" t="n">
        <v>270</v>
      </c>
      <c r="B431" s="5" t="inlineStr">
        <is>
          <t>N de horas promedio por evento</t>
        </is>
      </c>
      <c r="C431" s="5" t="inlineStr">
        <is>
          <t>Centro de Medios Audiovisuales</t>
        </is>
      </c>
      <c r="D431" s="5" t="inlineStr">
        <is>
          <t>Semestral</t>
        </is>
      </c>
      <c r="E431" s="5" t="inlineStr">
        <is>
          <t>Positivo</t>
        </is>
      </c>
      <c r="F431" s="107" t="n">
        <v>45291</v>
      </c>
      <c r="G431" s="5" t="n">
        <v>2023</v>
      </c>
      <c r="H431" s="5" t="inlineStr">
        <is>
          <t>Diciembre</t>
        </is>
      </c>
      <c r="I431" s="6" t="inlineStr">
        <is>
          <t>2023-2</t>
        </is>
      </c>
      <c r="J431" s="5" t="n"/>
      <c r="K431" s="5" t="n">
        <v>3.83</v>
      </c>
      <c r="L431" s="14" t="n"/>
      <c r="M431" s="14" t="n"/>
      <c r="N431" s="5" t="inlineStr">
        <is>
          <t>DEC</t>
        </is>
      </c>
      <c r="O431" s="5" t="inlineStr">
        <is>
          <t>ENT</t>
        </is>
      </c>
      <c r="P431" s="5" t="n">
        <v>1</v>
      </c>
      <c r="Q431" s="5" t="n">
        <v>1</v>
      </c>
      <c r="R431" s="5" t="inlineStr">
        <is>
          <t>270-2023-12-31</t>
        </is>
      </c>
    </row>
    <row r="432">
      <c r="A432" s="5" t="n">
        <v>270</v>
      </c>
      <c r="B432" s="5" t="inlineStr">
        <is>
          <t>N de horas promedio por evento</t>
        </is>
      </c>
      <c r="C432" s="5" t="inlineStr">
        <is>
          <t>Centro de Medios Audiovisuales</t>
        </is>
      </c>
      <c r="D432" s="5" t="inlineStr">
        <is>
          <t>Semestral</t>
        </is>
      </c>
      <c r="E432" s="5" t="inlineStr">
        <is>
          <t>Positivo</t>
        </is>
      </c>
      <c r="F432" s="107" t="n">
        <v>45657</v>
      </c>
      <c r="G432" s="5" t="n">
        <v>2024</v>
      </c>
      <c r="H432" s="5" t="inlineStr">
        <is>
          <t>Diciembre</t>
        </is>
      </c>
      <c r="I432" s="6" t="inlineStr">
        <is>
          <t>2024-2</t>
        </is>
      </c>
      <c r="J432" s="5" t="n">
        <v>0</v>
      </c>
      <c r="K432" s="5" t="n">
        <v>4.57</v>
      </c>
      <c r="L432" s="14">
        <f>IFERROR(IF(OR(J432=0,K432=""),"",IF(E432="Positivo",MIN(MAX(K432/J432,0),1.3),MIN(MAX(J432/K432,0),1.3))),"") </f>
        <v/>
      </c>
      <c r="M432" s="14">
        <f>IFERROR(IF(OR(J432=0,K432=""),"",IF(E432="Positivo",MAX(K432/J432,0),MAX(J432/K432,0))),"") </f>
        <v/>
      </c>
      <c r="N432" s="5" t="n">
        <v>0</v>
      </c>
      <c r="O432" s="5" t="inlineStr">
        <is>
          <t>ENT</t>
        </is>
      </c>
      <c r="P432" s="5" t="n">
        <v>1</v>
      </c>
      <c r="Q432" s="5" t="n">
        <v>1</v>
      </c>
      <c r="R432" s="5" t="inlineStr">
        <is>
          <t>270-2024-12-31</t>
        </is>
      </c>
    </row>
    <row r="433">
      <c r="A433" s="5" t="n">
        <v>270</v>
      </c>
      <c r="B433" s="5" t="inlineStr">
        <is>
          <t>N de horas promedio por evento - (Metrica)</t>
        </is>
      </c>
      <c r="C433" s="5" t="inlineStr">
        <is>
          <t>Centro de Medios Audiovisuales</t>
        </is>
      </c>
      <c r="D433" s="5" t="inlineStr">
        <is>
          <t>Trimestral</t>
        </is>
      </c>
      <c r="E433" s="5" t="inlineStr">
        <is>
          <t>Positivo</t>
        </is>
      </c>
      <c r="F433" s="107" t="n">
        <v>46022</v>
      </c>
      <c r="G433" s="5" t="n">
        <v>2025</v>
      </c>
      <c r="H433" s="5" t="inlineStr">
        <is>
          <t>Diciembre</t>
        </is>
      </c>
      <c r="I433" s="6" t="inlineStr">
        <is>
          <t>2025-2</t>
        </is>
      </c>
      <c r="J433" s="5" t="n">
        <v>545</v>
      </c>
      <c r="K433" s="5" t="n">
        <v>4.3</v>
      </c>
      <c r="L433" s="14" t="n"/>
      <c r="M433" s="14" t="n"/>
      <c r="N433" s="5" t="inlineStr">
        <is>
          <t>DEC</t>
        </is>
      </c>
      <c r="O433" s="5" t="inlineStr">
        <is>
          <t>ENT</t>
        </is>
      </c>
      <c r="P433" s="5" t="n">
        <v>0</v>
      </c>
      <c r="Q433" s="5" t="n">
        <v>0</v>
      </c>
      <c r="R433" s="5" t="inlineStr">
        <is>
          <t>270-2025-12-31</t>
        </is>
      </c>
      <c r="S433" t="inlineStr">
        <is>
          <t>Metrica</t>
        </is>
      </c>
    </row>
    <row r="434">
      <c r="A434" s="5" t="n">
        <v>271</v>
      </c>
      <c r="B434" s="5" t="inlineStr">
        <is>
          <t>N de horas por solicitud</t>
        </is>
      </c>
      <c r="C434" s="5" t="inlineStr">
        <is>
          <t>Centro de Medios Audiovisuales</t>
        </is>
      </c>
      <c r="D434" s="5" t="inlineStr">
        <is>
          <t>Semestral</t>
        </is>
      </c>
      <c r="E434" s="5" t="inlineStr">
        <is>
          <t>Positivo</t>
        </is>
      </c>
      <c r="F434" s="107" t="n">
        <v>45291</v>
      </c>
      <c r="G434" s="5" t="n">
        <v>2023</v>
      </c>
      <c r="H434" s="5" t="inlineStr">
        <is>
          <t>Diciembre</t>
        </is>
      </c>
      <c r="I434" s="6" t="inlineStr">
        <is>
          <t>2023-2</t>
        </is>
      </c>
      <c r="J434" s="5" t="n"/>
      <c r="K434" s="5" t="n">
        <v>16.17233646643447</v>
      </c>
      <c r="L434" s="14" t="n"/>
      <c r="M434" s="14" t="n"/>
      <c r="N434" s="5" t="n">
        <v>0</v>
      </c>
      <c r="O434" s="5" t="inlineStr">
        <is>
          <t>ENT</t>
        </is>
      </c>
      <c r="P434" s="5" t="n">
        <v>1</v>
      </c>
      <c r="Q434" s="5" t="n">
        <v>1</v>
      </c>
      <c r="R434" s="5" t="inlineStr">
        <is>
          <t>271-2023-12-31</t>
        </is>
      </c>
    </row>
    <row r="435">
      <c r="A435" s="5" t="n">
        <v>271</v>
      </c>
      <c r="B435" s="5" t="inlineStr">
        <is>
          <t>N de horas por solicitud</t>
        </is>
      </c>
      <c r="C435" s="5" t="inlineStr">
        <is>
          <t>Centro de Medios Audiovisuales</t>
        </is>
      </c>
      <c r="D435" s="5" t="inlineStr">
        <is>
          <t>Semestral</t>
        </is>
      </c>
      <c r="E435" s="5" t="inlineStr">
        <is>
          <t>Positivo</t>
        </is>
      </c>
      <c r="F435" s="107" t="n">
        <v>45657</v>
      </c>
      <c r="G435" s="5" t="n">
        <v>2024</v>
      </c>
      <c r="H435" s="5" t="inlineStr">
        <is>
          <t>Diciembre</t>
        </is>
      </c>
      <c r="I435" s="6" t="inlineStr">
        <is>
          <t>2024-2</t>
        </is>
      </c>
      <c r="J435" s="5" t="n"/>
      <c r="K435" s="5" t="n">
        <v>16.86</v>
      </c>
      <c r="L435" s="14" t="n"/>
      <c r="M435" s="14" t="n"/>
      <c r="N435" s="5" t="n">
        <v>0</v>
      </c>
      <c r="O435" s="5" t="inlineStr">
        <is>
          <t>ENT</t>
        </is>
      </c>
      <c r="P435" s="5" t="n">
        <v>1</v>
      </c>
      <c r="Q435" s="5" t="n">
        <v>1</v>
      </c>
      <c r="R435" s="5" t="inlineStr">
        <is>
          <t>271-2024-12-31</t>
        </is>
      </c>
    </row>
    <row r="436">
      <c r="A436" s="5" t="n">
        <v>271</v>
      </c>
      <c r="B436" s="5" t="inlineStr">
        <is>
          <t>N de horas por solicitud - (Metrica)</t>
        </is>
      </c>
      <c r="C436" s="5" t="inlineStr">
        <is>
          <t>Centro de Medios Audiovisuales</t>
        </is>
      </c>
      <c r="D436" s="5" t="inlineStr">
        <is>
          <t>Trimestral</t>
        </is>
      </c>
      <c r="E436" s="5" t="inlineStr">
        <is>
          <t>Positivo</t>
        </is>
      </c>
      <c r="F436" s="107" t="n">
        <v>46022</v>
      </c>
      <c r="G436" s="5" t="n">
        <v>2025</v>
      </c>
      <c r="H436" s="5" t="inlineStr">
        <is>
          <t>Diciembre</t>
        </is>
      </c>
      <c r="I436" s="6" t="inlineStr">
        <is>
          <t>2025-2</t>
        </is>
      </c>
      <c r="J436" s="5" t="n">
        <v>30907</v>
      </c>
      <c r="K436" s="5" t="n">
        <v>19.93</v>
      </c>
      <c r="L436" s="14" t="n"/>
      <c r="M436" s="14" t="n"/>
      <c r="N436" s="5" t="n">
        <v>0</v>
      </c>
      <c r="O436" s="5" t="inlineStr">
        <is>
          <t>ENT</t>
        </is>
      </c>
      <c r="P436" s="5" t="n">
        <v>0</v>
      </c>
      <c r="Q436" s="5" t="n">
        <v>0</v>
      </c>
      <c r="R436" s="5" t="inlineStr">
        <is>
          <t>271-2025-12-31</t>
        </is>
      </c>
      <c r="S436" t="inlineStr">
        <is>
          <t>Metrica</t>
        </is>
      </c>
    </row>
    <row r="437">
      <c r="A437" s="5" t="n">
        <v>272</v>
      </c>
      <c r="B437" s="5" t="inlineStr">
        <is>
          <t>Proporción de accidentes de trabajo mortales</t>
        </is>
      </c>
      <c r="C437" s="5" t="inlineStr">
        <is>
          <t>GESTIÓN DE SEGURIDAD Y SALUD EN EL TRABAJO</t>
        </is>
      </c>
      <c r="D437" s="5" t="inlineStr">
        <is>
          <t>Anual</t>
        </is>
      </c>
      <c r="E437" s="5" t="inlineStr">
        <is>
          <t>Negativo</t>
        </is>
      </c>
      <c r="F437" s="107" t="n">
        <v>45291</v>
      </c>
      <c r="G437" s="5" t="n">
        <v>2023</v>
      </c>
      <c r="H437" s="5" t="inlineStr">
        <is>
          <t>Diciembre</t>
        </is>
      </c>
      <c r="I437" s="6" t="inlineStr">
        <is>
          <t>2023-2</t>
        </is>
      </c>
      <c r="J437" s="5" t="n">
        <v>0</v>
      </c>
      <c r="K437" s="5" t="n">
        <v>0</v>
      </c>
      <c r="L437" s="14">
        <f>IFERROR(IF(OR(J437=0,K437=""),"",IF(E437="Positivo",MIN(MAX(K437/J437,0),1.3),MIN(MAX(J437/K437,0),1.3))),"") </f>
        <v/>
      </c>
      <c r="M437" s="14">
        <f>IFERROR(IF(OR(J437=0,K437=""),"",IF(E437="Positivo",MAX(K437/J437,0),MAX(J437/K437,0))),"") </f>
        <v/>
      </c>
      <c r="N437" s="5" t="n">
        <v>0</v>
      </c>
      <c r="O437" s="5" t="inlineStr">
        <is>
          <t>ENT</t>
        </is>
      </c>
      <c r="P437" s="5" t="n">
        <v>0</v>
      </c>
      <c r="Q437" s="5" t="n">
        <v>0</v>
      </c>
      <c r="R437" s="5" t="inlineStr">
        <is>
          <t>272-2023-12-31</t>
        </is>
      </c>
    </row>
    <row r="438">
      <c r="A438" s="5" t="n">
        <v>272</v>
      </c>
      <c r="B438" s="5" t="inlineStr">
        <is>
          <t>Proporción de accidentes de trabajo mortales</t>
        </is>
      </c>
      <c r="C438" s="5" t="inlineStr">
        <is>
          <t>GESTIÓN DE SEGURIDAD Y SALUD EN EL TRABAJO</t>
        </is>
      </c>
      <c r="D438" s="5" t="inlineStr">
        <is>
          <t>Anual</t>
        </is>
      </c>
      <c r="E438" s="5" t="inlineStr">
        <is>
          <t>Negativo</t>
        </is>
      </c>
      <c r="F438" s="107" t="n">
        <v>45657</v>
      </c>
      <c r="G438" s="5" t="n">
        <v>2024</v>
      </c>
      <c r="H438" s="5" t="inlineStr">
        <is>
          <t>Diciembre</t>
        </is>
      </c>
      <c r="I438" s="6" t="inlineStr">
        <is>
          <t>2024-2</t>
        </is>
      </c>
      <c r="J438" s="5" t="n">
        <v>0</v>
      </c>
      <c r="K438" s="5" t="n">
        <v>0</v>
      </c>
      <c r="L438" s="14">
        <f>IFERROR(IF(OR(J438=0,K438=""),"",IF(E438="Positivo",MIN(MAX(K438/J438,0),1.3),MIN(MAX(J438/K438,0),1.3))),"") </f>
        <v/>
      </c>
      <c r="M438" s="14">
        <f>IFERROR(IF(OR(J438=0,K438=""),"",IF(E438="Positivo",MAX(K438/J438,0),MAX(J438/K438,0))),"") </f>
        <v/>
      </c>
      <c r="N438" s="5" t="n">
        <v>0</v>
      </c>
      <c r="O438" s="5" t="inlineStr">
        <is>
          <t>ENT</t>
        </is>
      </c>
      <c r="P438" s="5" t="n">
        <v>0</v>
      </c>
      <c r="Q438" s="5" t="n">
        <v>0</v>
      </c>
      <c r="R438" s="5" t="inlineStr">
        <is>
          <t>272-2024-12-31</t>
        </is>
      </c>
    </row>
    <row r="439">
      <c r="A439" s="5" t="n">
        <v>272</v>
      </c>
      <c r="B439" s="5" t="inlineStr">
        <is>
          <t>Proporción de accidentes de trabajo mortales</t>
        </is>
      </c>
      <c r="C439" s="5" t="inlineStr">
        <is>
          <t>GESTIÓN DE SEGURIDAD Y SALUD EN EL TRABAJO</t>
        </is>
      </c>
      <c r="D439" s="5" t="inlineStr">
        <is>
          <t>Anual</t>
        </is>
      </c>
      <c r="E439" s="5" t="inlineStr">
        <is>
          <t>Negativo</t>
        </is>
      </c>
      <c r="F439" s="107" t="n">
        <v>46022</v>
      </c>
      <c r="G439" s="5" t="n">
        <v>2025</v>
      </c>
      <c r="H439" s="5" t="inlineStr">
        <is>
          <t>Diciembre</t>
        </is>
      </c>
      <c r="I439" s="6" t="inlineStr">
        <is>
          <t>2025-2</t>
        </is>
      </c>
      <c r="J439" s="5" t="n">
        <v>0</v>
      </c>
      <c r="K439" s="5" t="n">
        <v>0</v>
      </c>
      <c r="L439" s="14">
        <f>IFERROR(IF(OR(J439=0,K439=""),"",IF(E439="Positivo",MIN(MAX(K439/J439,0),1.3),MIN(MAX(J439/K439,0),1.3))),"") </f>
        <v/>
      </c>
      <c r="M439" s="14">
        <f>IFERROR(IF(OR(J439=0,K439=""),"",IF(E439="Positivo",MAX(K439/J439,0),MAX(J439/K439,0))),"") </f>
        <v/>
      </c>
      <c r="N439" s="5" t="n">
        <v>0</v>
      </c>
      <c r="O439" s="5" t="inlineStr">
        <is>
          <t>ENT</t>
        </is>
      </c>
      <c r="P439" s="5" t="n">
        <v>0</v>
      </c>
      <c r="Q439" s="5" t="n">
        <v>0</v>
      </c>
      <c r="R439" s="5" t="inlineStr">
        <is>
          <t>272-2025-12-31</t>
        </is>
      </c>
    </row>
    <row r="440">
      <c r="A440" s="5" t="n">
        <v>273</v>
      </c>
      <c r="B440" s="5" t="inlineStr">
        <is>
          <t>Número de programas con condiciones iniciales elaboradas y analizadas institucionalmente</t>
        </is>
      </c>
      <c r="C440" s="5" t="inlineStr">
        <is>
          <t>Autoevaluación de programas académicos</t>
        </is>
      </c>
      <c r="D440" s="5" t="inlineStr">
        <is>
          <t>Semestral</t>
        </is>
      </c>
      <c r="E440" s="5" t="inlineStr">
        <is>
          <t>Positivo</t>
        </is>
      </c>
      <c r="F440" s="107" t="n">
        <v>45291</v>
      </c>
      <c r="G440" s="5" t="n">
        <v>2023</v>
      </c>
      <c r="H440" s="5" t="inlineStr">
        <is>
          <t>Diciembre</t>
        </is>
      </c>
      <c r="I440" s="6" t="inlineStr">
        <is>
          <t>2023-2</t>
        </is>
      </c>
      <c r="J440" s="5" t="n">
        <v>200</v>
      </c>
      <c r="K440" s="5" t="n">
        <v>200</v>
      </c>
      <c r="L440" s="14">
        <f>IFERROR(IF(OR(J440=0,K440=""),"",IF(E440="Positivo",MIN(MAX(K440/J440,0),1.3),MIN(MAX(J440/K440,0),1.3))),"") </f>
        <v/>
      </c>
      <c r="M440" s="14">
        <f>IFERROR(IF(OR(J440=0,K440=""),"",IF(E440="Positivo",MAX(K440/J440,0),MAX(J440/K440,0))),"") </f>
        <v/>
      </c>
      <c r="N440" s="38" t="inlineStr">
        <is>
          <t>ENT</t>
        </is>
      </c>
      <c r="O440" s="38" t="inlineStr">
        <is>
          <t>ENT</t>
        </is>
      </c>
      <c r="P440" s="5" t="n">
        <v>0</v>
      </c>
      <c r="Q440" s="5" t="n">
        <v>0</v>
      </c>
      <c r="R440" s="5" t="inlineStr">
        <is>
          <t>273-2023-12-31</t>
        </is>
      </c>
    </row>
    <row r="441">
      <c r="A441" s="5" t="n">
        <v>273</v>
      </c>
      <c r="B441" s="5" t="inlineStr">
        <is>
          <t>Número de programas con condiciones iniciales elaboradas y analizadas institucionalmente</t>
        </is>
      </c>
      <c r="C441" s="5" t="inlineStr">
        <is>
          <t>Autoevaluación de programas académicos</t>
        </is>
      </c>
      <c r="D441" s="5" t="inlineStr">
        <is>
          <t>Semestral</t>
        </is>
      </c>
      <c r="E441" s="5" t="inlineStr">
        <is>
          <t>Positivo</t>
        </is>
      </c>
      <c r="F441" s="107" t="n">
        <v>45657</v>
      </c>
      <c r="G441" s="5" t="n">
        <v>2024</v>
      </c>
      <c r="H441" s="5" t="inlineStr">
        <is>
          <t>Diciembre</t>
        </is>
      </c>
      <c r="I441" s="6" t="inlineStr">
        <is>
          <t>2024-2</t>
        </is>
      </c>
      <c r="J441" s="5" t="n">
        <v>200</v>
      </c>
      <c r="K441" s="5" t="n">
        <v>200</v>
      </c>
      <c r="L441" s="14">
        <f>IFERROR(IF(OR(J441=0,K441=""),"",IF(E441="Positivo",MIN(MAX(K441/J441,0),1.3),MIN(MAX(J441/K441,0),1.3))),"") </f>
        <v/>
      </c>
      <c r="M441" s="14">
        <f>IFERROR(IF(OR(J441=0,K441=""),"",IF(E441="Positivo",MAX(K441/J441,0),MAX(J441/K441,0))),"") </f>
        <v/>
      </c>
      <c r="N441" s="5" t="inlineStr">
        <is>
          <t>ENT</t>
        </is>
      </c>
      <c r="O441" s="5" t="inlineStr">
        <is>
          <t>ENT</t>
        </is>
      </c>
      <c r="P441" s="5" t="n">
        <v>0</v>
      </c>
      <c r="Q441" s="5" t="n">
        <v>0</v>
      </c>
      <c r="R441" s="5" t="inlineStr">
        <is>
          <t>273-2024-12-31</t>
        </is>
      </c>
    </row>
    <row r="442">
      <c r="A442" s="5" t="n">
        <v>273</v>
      </c>
      <c r="B442" s="5" t="inlineStr">
        <is>
          <t>Número de programas con condiciones iniciales elaboradas y analizadas institucionalmente</t>
        </is>
      </c>
      <c r="C442" s="5" t="inlineStr">
        <is>
          <t>Autoevaluación de programas académicos</t>
        </is>
      </c>
      <c r="D442" s="5" t="inlineStr">
        <is>
          <t>Trimestral</t>
        </is>
      </c>
      <c r="E442" s="5" t="inlineStr">
        <is>
          <t>Positivo</t>
        </is>
      </c>
      <c r="F442" s="107" t="n">
        <v>46022</v>
      </c>
      <c r="G442" s="5" t="n">
        <v>2025</v>
      </c>
      <c r="H442" s="5" t="inlineStr">
        <is>
          <t>Diciembre</t>
        </is>
      </c>
      <c r="I442" s="6" t="inlineStr">
        <is>
          <t>2025-2</t>
        </is>
      </c>
      <c r="J442" s="5" t="n">
        <v>200</v>
      </c>
      <c r="K442" s="5" t="n">
        <v>250</v>
      </c>
      <c r="L442" s="14">
        <f>IFERROR(IF(OR(J442=0,K442=""),"",IF(E442="Positivo",MIN(MAX(K442/J442,0),1.3),MIN(MAX(J442/K442,0),1.3))),"") </f>
        <v/>
      </c>
      <c r="M442" s="14">
        <f>IFERROR(IF(OR(J442=0,K442=""),"",IF(E442="Positivo",MAX(K442/J442,0),MAX(J442/K442,0))),"") </f>
        <v/>
      </c>
      <c r="N442" s="5" t="inlineStr">
        <is>
          <t>ENT</t>
        </is>
      </c>
      <c r="O442" s="5" t="inlineStr">
        <is>
          <t>ENT</t>
        </is>
      </c>
      <c r="P442" s="5" t="n">
        <v>0</v>
      </c>
      <c r="Q442" s="5" t="n">
        <v>0</v>
      </c>
      <c r="R442" s="5" t="inlineStr">
        <is>
          <t>273-2025-12-31</t>
        </is>
      </c>
    </row>
    <row r="443">
      <c r="A443" s="5" t="n">
        <v>274</v>
      </c>
      <c r="B443" s="5" t="inlineStr">
        <is>
          <t>Cumplimiento total estudiantes antiguos</t>
        </is>
      </c>
      <c r="C443" s="5" t="inlineStr">
        <is>
          <t>Rematrícula</t>
        </is>
      </c>
      <c r="D443" s="5" t="inlineStr">
        <is>
          <t>Semestral</t>
        </is>
      </c>
      <c r="E443" s="5" t="inlineStr">
        <is>
          <t>Positivo</t>
        </is>
      </c>
      <c r="F443" s="107" t="n">
        <v>45291</v>
      </c>
      <c r="G443" s="5" t="n">
        <v>2023</v>
      </c>
      <c r="H443" s="5" t="inlineStr">
        <is>
          <t>Diciembre</t>
        </is>
      </c>
      <c r="I443" s="6" t="inlineStr">
        <is>
          <t>2023-2</t>
        </is>
      </c>
      <c r="J443" s="5" t="n">
        <v>200</v>
      </c>
      <c r="K443" s="5" t="n">
        <v>195.360521164251</v>
      </c>
      <c r="L443" s="14">
        <f>IFERROR(IF(OR(J443=0,K443=""),"",IF(E443="Positivo",MIN(MAX(K443/J443,0),1.3),MIN(MAX(J443/K443,0),1.3))),"") </f>
        <v/>
      </c>
      <c r="M443" s="14">
        <f>IFERROR(IF(OR(J443=0,K443=""),"",IF(E443="Positivo",MAX(K443/J443,0),MAX(J443/K443,0))),"") </f>
        <v/>
      </c>
      <c r="N443" s="5" t="inlineStr">
        <is>
          <t>ENT</t>
        </is>
      </c>
      <c r="O443" s="5" t="inlineStr">
        <is>
          <t>ENT</t>
        </is>
      </c>
      <c r="P443" s="5" t="n">
        <v>0</v>
      </c>
      <c r="Q443" s="5" t="n">
        <v>0</v>
      </c>
      <c r="R443" s="5" t="inlineStr">
        <is>
          <t>274-2023-12-31</t>
        </is>
      </c>
    </row>
    <row r="444">
      <c r="A444" s="5" t="n">
        <v>274</v>
      </c>
      <c r="B444" s="5" t="inlineStr">
        <is>
          <t>Cumplimiento total estudiantes antiguos</t>
        </is>
      </c>
      <c r="C444" s="5" t="inlineStr">
        <is>
          <t>Rematrícula</t>
        </is>
      </c>
      <c r="D444" s="5" t="inlineStr">
        <is>
          <t>Semestral</t>
        </is>
      </c>
      <c r="E444" s="5" t="inlineStr">
        <is>
          <t>Positivo</t>
        </is>
      </c>
      <c r="F444" s="107" t="n">
        <v>45657</v>
      </c>
      <c r="G444" s="5" t="n">
        <v>2024</v>
      </c>
      <c r="H444" s="5" t="inlineStr">
        <is>
          <t>Diciembre</t>
        </is>
      </c>
      <c r="I444" s="6" t="inlineStr">
        <is>
          <t>2024-2</t>
        </is>
      </c>
      <c r="J444" s="5" t="n">
        <v>200</v>
      </c>
      <c r="K444" s="5" t="n">
        <v>203.9480518469645</v>
      </c>
      <c r="L444" s="14">
        <f>IFERROR(IF(OR(J444=0,K444=""),"",IF(E444="Positivo",MIN(MAX(K444/J444,0),1.3),MIN(MAX(J444/K444,0),1.3))),"") </f>
        <v/>
      </c>
      <c r="M444" s="14">
        <f>IFERROR(IF(OR(J444=0,K444=""),"",IF(E444="Positivo",MAX(K444/J444,0),MAX(J444/K444,0))),"") </f>
        <v/>
      </c>
      <c r="N444" s="5" t="inlineStr">
        <is>
          <t>ENT</t>
        </is>
      </c>
      <c r="O444" s="5" t="inlineStr">
        <is>
          <t>ENT</t>
        </is>
      </c>
      <c r="P444" s="5" t="n">
        <v>0</v>
      </c>
      <c r="Q444" s="5" t="n">
        <v>0</v>
      </c>
      <c r="R444" s="5" t="inlineStr">
        <is>
          <t>274-2024-12-31</t>
        </is>
      </c>
    </row>
    <row r="445">
      <c r="A445" s="5" t="n">
        <v>274</v>
      </c>
      <c r="B445" s="5" t="inlineStr">
        <is>
          <t>Cumplimiento total estudiantes antiguos</t>
        </is>
      </c>
      <c r="C445" s="5" t="inlineStr">
        <is>
          <t>Rematrícula</t>
        </is>
      </c>
      <c r="D445" s="5" t="inlineStr">
        <is>
          <t>Semestral</t>
        </is>
      </c>
      <c r="E445" s="5" t="inlineStr">
        <is>
          <t>Positivo</t>
        </is>
      </c>
      <c r="F445" s="107" t="n">
        <v>46022</v>
      </c>
      <c r="G445" s="5" t="n">
        <v>2025</v>
      </c>
      <c r="H445" s="5" t="inlineStr">
        <is>
          <t>Diciembre</t>
        </is>
      </c>
      <c r="I445" s="6" t="inlineStr">
        <is>
          <t>2025-2</t>
        </is>
      </c>
      <c r="J445" s="5" t="n">
        <v>200</v>
      </c>
      <c r="K445" s="5" t="n">
        <v>207.83</v>
      </c>
      <c r="L445" s="14">
        <f>IFERROR(IF(OR(J445=0,K445=""),"",IF(E445="Positivo",MIN(MAX(K445/J445,0),1.3),MIN(MAX(J445/K445,0),1.3))),"") </f>
        <v/>
      </c>
      <c r="M445" s="14">
        <f>IFERROR(IF(OR(J445=0,K445=""),"",IF(E445="Positivo",MAX(K445/J445,0),MAX(J445/K445,0))),"") </f>
        <v/>
      </c>
      <c r="N445" s="5" t="inlineStr">
        <is>
          <t>ENT</t>
        </is>
      </c>
      <c r="O445" s="5" t="inlineStr">
        <is>
          <t>ENT</t>
        </is>
      </c>
      <c r="P445" s="5" t="n">
        <v>0</v>
      </c>
      <c r="Q445" s="5" t="n">
        <v>0</v>
      </c>
      <c r="R445" s="5" t="inlineStr">
        <is>
          <t>274-2025-12-31</t>
        </is>
      </c>
    </row>
    <row r="446">
      <c r="A446" s="5" t="n">
        <v>275</v>
      </c>
      <c r="B446" s="5" t="inlineStr">
        <is>
          <t>Satisfacción Institucional por grupo de interes</t>
        </is>
      </c>
      <c r="C446" s="5" t="inlineStr">
        <is>
          <t>EXPERIENCIA INSTITUCIONAL</t>
        </is>
      </c>
      <c r="D446" s="5" t="inlineStr">
        <is>
          <t>Trimestral</t>
        </is>
      </c>
      <c r="E446" s="5" t="inlineStr">
        <is>
          <t>Positivo</t>
        </is>
      </c>
      <c r="F446" s="107" t="n">
        <v>45291</v>
      </c>
      <c r="G446" s="5" t="n">
        <v>2023</v>
      </c>
      <c r="H446" s="5" t="inlineStr">
        <is>
          <t>Diciembre</t>
        </is>
      </c>
      <c r="I446" s="6" t="inlineStr">
        <is>
          <t>2023-2</t>
        </is>
      </c>
      <c r="J446" s="5" t="n">
        <v>80</v>
      </c>
      <c r="K446" s="5" t="n">
        <v>0</v>
      </c>
      <c r="L446" s="14">
        <f>IFERROR(IF(OR(J446=0,K446=""),"",IF(E446="Positivo",MIN(MAX(K446/J446,0),1.3),MIN(MAX(J446/K446,0),1.3))),"") </f>
        <v/>
      </c>
      <c r="M446" s="14">
        <f>IFERROR(IF(OR(J446=0,K446=""),"",IF(E446="Positivo",MAX(K446/J446,0),MAX(J446/K446,0))),"") </f>
        <v/>
      </c>
      <c r="N446" s="5" t="inlineStr">
        <is>
          <t>%</t>
        </is>
      </c>
      <c r="O446" s="5" t="inlineStr">
        <is>
          <t>%</t>
        </is>
      </c>
      <c r="P446" s="5" t="n">
        <v>0</v>
      </c>
      <c r="Q446" s="5" t="n">
        <v>0</v>
      </c>
      <c r="R446" s="5" t="inlineStr">
        <is>
          <t>275-2023-12-31</t>
        </is>
      </c>
    </row>
    <row r="447">
      <c r="A447" s="5" t="n">
        <v>275</v>
      </c>
      <c r="B447" s="5" t="inlineStr">
        <is>
          <t>Satisfacción Institucional por grupo de interes</t>
        </is>
      </c>
      <c r="C447" s="5" t="inlineStr">
        <is>
          <t>EXPERIENCIA INSTITUCIONAL</t>
        </is>
      </c>
      <c r="D447" s="5" t="inlineStr">
        <is>
          <t>Semestral</t>
        </is>
      </c>
      <c r="E447" s="5" t="inlineStr">
        <is>
          <t>Positivo</t>
        </is>
      </c>
      <c r="F447" s="107" t="n">
        <v>45657</v>
      </c>
      <c r="G447" s="5" t="n">
        <v>2024</v>
      </c>
      <c r="H447" s="5" t="inlineStr">
        <is>
          <t>Diciembre</t>
        </is>
      </c>
      <c r="I447" s="6" t="inlineStr">
        <is>
          <t>2024-2</t>
        </is>
      </c>
      <c r="J447" s="5" t="n">
        <v>80</v>
      </c>
      <c r="K447" s="5" t="n">
        <v>106.665</v>
      </c>
      <c r="L447" s="14">
        <f>IFERROR(IF(OR(J447=0,K447=""),"",IF(E447="Positivo",MIN(MAX(K447/J447,0),1.3),MIN(MAX(J447/K447,0),1.3))),"") </f>
        <v/>
      </c>
      <c r="M447" s="14">
        <f>IFERROR(IF(OR(J447=0,K447=""),"",IF(E447="Positivo",MAX(K447/J447,0),MAX(J447/K447,0))),"") </f>
        <v/>
      </c>
      <c r="N447" s="5" t="inlineStr">
        <is>
          <t>%</t>
        </is>
      </c>
      <c r="O447" s="5" t="inlineStr">
        <is>
          <t>%</t>
        </is>
      </c>
      <c r="P447" s="5" t="n">
        <v>0</v>
      </c>
      <c r="Q447" s="5" t="n">
        <v>0</v>
      </c>
      <c r="R447" s="5" t="inlineStr">
        <is>
          <t>275-2024-12-31</t>
        </is>
      </c>
    </row>
    <row r="448">
      <c r="A448" s="5" t="n">
        <v>275</v>
      </c>
      <c r="B448" s="5" t="inlineStr">
        <is>
          <t>Satisfacción Institucional por grupo de interes</t>
        </is>
      </c>
      <c r="C448" s="5" t="inlineStr">
        <is>
          <t>EXPERIENCIA INSTITUCIONAL</t>
        </is>
      </c>
      <c r="D448" s="5" t="inlineStr">
        <is>
          <t>Trimestral</t>
        </is>
      </c>
      <c r="E448" s="5" t="inlineStr">
        <is>
          <t>Positivo</t>
        </is>
      </c>
      <c r="F448" s="107" t="n">
        <v>46022</v>
      </c>
      <c r="G448" s="5" t="n">
        <v>2025</v>
      </c>
      <c r="H448" s="5" t="inlineStr">
        <is>
          <t>Diciembre</t>
        </is>
      </c>
      <c r="I448" s="6" t="inlineStr">
        <is>
          <t>2025-2</t>
        </is>
      </c>
      <c r="J448" s="5" t="n">
        <v>80</v>
      </c>
      <c r="K448" s="5" t="n">
        <v>90.83500000000001</v>
      </c>
      <c r="L448" s="14">
        <f>IFERROR(IF(OR(J448=0,K448=""),"",IF(E448="Positivo",MIN(MAX(K448/J448,0),1.3),MIN(MAX(J448/K448,0),1.3))),"") </f>
        <v/>
      </c>
      <c r="M448" s="14">
        <f>IFERROR(IF(OR(J448=0,K448=""),"",IF(E448="Positivo",MAX(K448/J448,0),MAX(J448/K448,0))),"") </f>
        <v/>
      </c>
      <c r="N448" s="5" t="inlineStr">
        <is>
          <t>%</t>
        </is>
      </c>
      <c r="O448" s="5" t="inlineStr">
        <is>
          <t>%</t>
        </is>
      </c>
      <c r="P448" s="5" t="n">
        <v>0</v>
      </c>
      <c r="Q448" s="5" t="n">
        <v>0</v>
      </c>
      <c r="R448" s="5" t="inlineStr">
        <is>
          <t>275-2025-12-31</t>
        </is>
      </c>
    </row>
    <row r="449">
      <c r="A449" s="5" t="n">
        <v>276</v>
      </c>
      <c r="B449" s="5" t="inlineStr">
        <is>
          <t>Relación Estudiante-Docente Tiempo completo</t>
        </is>
      </c>
      <c r="C449" s="5" t="inlineStr">
        <is>
          <t>Gestión Docente</t>
        </is>
      </c>
      <c r="D449" s="5" t="inlineStr">
        <is>
          <t>Semestral</t>
        </is>
      </c>
      <c r="E449" s="5" t="inlineStr">
        <is>
          <t>Negativo</t>
        </is>
      </c>
      <c r="F449" s="107" t="n">
        <v>45291</v>
      </c>
      <c r="G449" s="5" t="n">
        <v>2023</v>
      </c>
      <c r="H449" s="5" t="inlineStr">
        <is>
          <t>Diciembre</t>
        </is>
      </c>
      <c r="I449" s="6" t="inlineStr">
        <is>
          <t>2023-2</t>
        </is>
      </c>
      <c r="J449" s="5" t="n">
        <v>85</v>
      </c>
      <c r="K449" s="5" t="n">
        <v>84.5</v>
      </c>
      <c r="L449" s="14">
        <f>IFERROR(IF(OR(J449=0,K449=""),"",IF(E449="Positivo",MIN(MAX(K449/J449,0),1.3),MIN(MAX(J449/K449,0),1.3))),"") </f>
        <v/>
      </c>
      <c r="M449" s="14">
        <f>IFERROR(IF(OR(J449=0,K449=""),"",IF(E449="Positivo",MAX(K449/J449,0),MAX(J449/K449,0))),"") </f>
        <v/>
      </c>
      <c r="N449" s="5" t="inlineStr">
        <is>
          <t>ENT</t>
        </is>
      </c>
      <c r="O449" s="5" t="inlineStr">
        <is>
          <t>DEC</t>
        </is>
      </c>
      <c r="P449" s="5" t="n">
        <v>0</v>
      </c>
      <c r="Q449" s="5" t="n">
        <v>1</v>
      </c>
      <c r="R449" s="5" t="inlineStr">
        <is>
          <t>276-2023-12-31</t>
        </is>
      </c>
    </row>
    <row r="450">
      <c r="A450" s="5" t="n">
        <v>276</v>
      </c>
      <c r="B450" s="5" t="inlineStr">
        <is>
          <t>Relación Estudiante-Docente Tiempo completo</t>
        </is>
      </c>
      <c r="C450" s="5" t="inlineStr">
        <is>
          <t>Gestión Docente</t>
        </is>
      </c>
      <c r="D450" s="5" t="inlineStr">
        <is>
          <t>Semestral</t>
        </is>
      </c>
      <c r="E450" s="5" t="inlineStr">
        <is>
          <t>Negativo</t>
        </is>
      </c>
      <c r="F450" s="107" t="n">
        <v>45657</v>
      </c>
      <c r="G450" s="5" t="n">
        <v>2024</v>
      </c>
      <c r="H450" s="5" t="inlineStr">
        <is>
          <t>Diciembre</t>
        </is>
      </c>
      <c r="I450" s="6" t="inlineStr">
        <is>
          <t>2024-2</t>
        </is>
      </c>
      <c r="J450" s="5" t="n">
        <v>75</v>
      </c>
      <c r="K450" s="5" t="n">
        <v>82.68000000000001</v>
      </c>
      <c r="L450" s="14">
        <f>IFERROR(IF(OR(J450=0,K450=""),"",IF(E450="Positivo",MIN(MAX(K450/J450,0),1.3),MIN(MAX(J450/K450,0),1.3))),"") </f>
        <v/>
      </c>
      <c r="M450" s="14">
        <f>IFERROR(IF(OR(J450=0,K450=""),"",IF(E450="Positivo",MAX(K450/J450,0),MAX(J450/K450,0))),"") </f>
        <v/>
      </c>
      <c r="N450" s="5" t="inlineStr">
        <is>
          <t>ENT</t>
        </is>
      </c>
      <c r="O450" s="5" t="inlineStr">
        <is>
          <t>DEC</t>
        </is>
      </c>
      <c r="P450" s="5" t="n">
        <v>0</v>
      </c>
      <c r="Q450" s="5" t="n">
        <v>1</v>
      </c>
      <c r="R450" s="5" t="inlineStr">
        <is>
          <t>276-2024-12-31</t>
        </is>
      </c>
    </row>
    <row r="451">
      <c r="A451" s="21" t="n">
        <v>276</v>
      </c>
      <c r="B451" s="20" t="inlineStr">
        <is>
          <t>Relación Estudiante-Docente Tiempo completo</t>
        </is>
      </c>
      <c r="C451" s="5" t="inlineStr">
        <is>
          <t>Gestión Docente</t>
        </is>
      </c>
      <c r="D451" s="5" t="inlineStr">
        <is>
          <t>Semestral</t>
        </is>
      </c>
      <c r="E451" s="5" t="inlineStr">
        <is>
          <t>Negativo</t>
        </is>
      </c>
      <c r="F451" s="107" t="n">
        <v>46022</v>
      </c>
      <c r="G451" s="5" t="n">
        <v>2025</v>
      </c>
      <c r="H451" s="5" t="inlineStr">
        <is>
          <t>Diciembre</t>
        </is>
      </c>
      <c r="I451" s="6" t="inlineStr">
        <is>
          <t>2025-2</t>
        </is>
      </c>
      <c r="J451" s="5" t="n">
        <v>81</v>
      </c>
      <c r="K451" s="5" t="n">
        <v>82.81</v>
      </c>
      <c r="L451" s="14">
        <f>IFERROR(IF(OR(J451=0,K451=""),"",IF(E451="Positivo",MIN(MAX(K451/J451,0),1.3),MIN(MAX(J451/K451,0),1.3))),"") </f>
        <v/>
      </c>
      <c r="M451" s="14">
        <f>IFERROR(IF(OR(J451=0,K451=""),"",IF(E451="Positivo",MAX(K451/J451,0),MAX(J451/K451,0))),"") </f>
        <v/>
      </c>
      <c r="N451" s="5" t="inlineStr">
        <is>
          <t>ENT</t>
        </is>
      </c>
      <c r="O451" s="5" t="inlineStr">
        <is>
          <t>DEC</t>
        </is>
      </c>
      <c r="P451" s="5" t="n">
        <v>0</v>
      </c>
      <c r="Q451" s="5" t="n">
        <v>1</v>
      </c>
      <c r="R451" s="5" t="inlineStr">
        <is>
          <t>276-2025-12-31</t>
        </is>
      </c>
    </row>
    <row r="452">
      <c r="A452" s="5" t="n">
        <v>277</v>
      </c>
      <c r="B452" s="5" t="inlineStr">
        <is>
          <t>Relación estudiante docente Tiempo Completo Equivalente</t>
        </is>
      </c>
      <c r="C452" s="5" t="inlineStr">
        <is>
          <t>Gestión Docente</t>
        </is>
      </c>
      <c r="D452" s="5" t="inlineStr">
        <is>
          <t>Semestral</t>
        </is>
      </c>
      <c r="E452" s="5" t="inlineStr">
        <is>
          <t>Negativo</t>
        </is>
      </c>
      <c r="F452" s="107" t="n">
        <v>45291</v>
      </c>
      <c r="G452" s="5" t="n">
        <v>2023</v>
      </c>
      <c r="H452" s="5" t="inlineStr">
        <is>
          <t>Diciembre</t>
        </is>
      </c>
      <c r="I452" s="6" t="inlineStr">
        <is>
          <t>2023-2</t>
        </is>
      </c>
      <c r="J452" s="5" t="n">
        <v>85</v>
      </c>
      <c r="K452" s="5" t="n">
        <v>73.29000000000001</v>
      </c>
      <c r="L452" s="14">
        <f>IFERROR(IF(OR(J452=0,K452=""),"",IF(E452="Positivo",MIN(MAX(K452/J452,0),1.3),MIN(MAX(J452/K452,0),1.3))),"") </f>
        <v/>
      </c>
      <c r="M452" s="14">
        <f>IFERROR(IF(OR(J452=0,K452=""),"",IF(E452="Positivo",MAX(K452/J452,0),MAX(J452/K452,0))),"") </f>
        <v/>
      </c>
      <c r="N452" s="5" t="inlineStr">
        <is>
          <t>ENT</t>
        </is>
      </c>
      <c r="O452" s="5" t="inlineStr">
        <is>
          <t>DEC</t>
        </is>
      </c>
      <c r="P452" s="5" t="n">
        <v>1</v>
      </c>
      <c r="Q452" s="5" t="n">
        <v>1</v>
      </c>
      <c r="R452" s="5" t="inlineStr">
        <is>
          <t>277-2023-12-31</t>
        </is>
      </c>
    </row>
    <row r="453">
      <c r="A453" s="5" t="n">
        <v>277</v>
      </c>
      <c r="B453" s="5" t="inlineStr">
        <is>
          <t>Relación estudiante docente Tiempo Completo Equivalente</t>
        </is>
      </c>
      <c r="C453" s="5" t="inlineStr">
        <is>
          <t>Gestión Docente</t>
        </is>
      </c>
      <c r="D453" s="5" t="inlineStr">
        <is>
          <t>Semestral</t>
        </is>
      </c>
      <c r="E453" s="5" t="inlineStr">
        <is>
          <t>Negativo</t>
        </is>
      </c>
      <c r="F453" s="107" t="n">
        <v>45657</v>
      </c>
      <c r="G453" s="5" t="n">
        <v>2024</v>
      </c>
      <c r="H453" s="5" t="inlineStr">
        <is>
          <t>Diciembre</t>
        </is>
      </c>
      <c r="I453" s="6" t="inlineStr">
        <is>
          <t>2024-2</t>
        </is>
      </c>
      <c r="J453" s="5" t="n">
        <v>73</v>
      </c>
      <c r="K453" s="5" t="n">
        <v>71.23999999999999</v>
      </c>
      <c r="L453" s="14">
        <f>IFERROR(IF(OR(J453=0,K453=""),"",IF(E453="Positivo",MIN(MAX(K453/J453,0),1.3),MIN(MAX(J453/K453,0),1.3))),"") </f>
        <v/>
      </c>
      <c r="M453" s="14">
        <f>IFERROR(IF(OR(J453=0,K453=""),"",IF(E453="Positivo",MAX(K453/J453,0),MAX(J453/K453,0))),"") </f>
        <v/>
      </c>
      <c r="N453" s="5" t="inlineStr">
        <is>
          <t>ENT</t>
        </is>
      </c>
      <c r="O453" s="5" t="inlineStr">
        <is>
          <t>DEC</t>
        </is>
      </c>
      <c r="P453" s="5" t="n">
        <v>1</v>
      </c>
      <c r="Q453" s="5" t="n">
        <v>1</v>
      </c>
      <c r="R453" s="5" t="inlineStr">
        <is>
          <t>277-2024-12-31</t>
        </is>
      </c>
    </row>
    <row r="454">
      <c r="A454" s="5" t="n">
        <v>277</v>
      </c>
      <c r="B454" s="5" t="inlineStr">
        <is>
          <t>Relación estudiante docente Tiempo Completo Equivalente</t>
        </is>
      </c>
      <c r="C454" s="5" t="inlineStr">
        <is>
          <t>Gestión Docente</t>
        </is>
      </c>
      <c r="D454" s="5" t="inlineStr">
        <is>
          <t>Semestral</t>
        </is>
      </c>
      <c r="E454" s="5" t="inlineStr">
        <is>
          <t>Negativo</t>
        </is>
      </c>
      <c r="F454" s="107" t="n">
        <v>46022</v>
      </c>
      <c r="G454" s="5" t="n">
        <v>2025</v>
      </c>
      <c r="H454" s="5" t="inlineStr">
        <is>
          <t>Diciembre</t>
        </is>
      </c>
      <c r="I454" s="6" t="inlineStr">
        <is>
          <t>2025-2</t>
        </is>
      </c>
      <c r="J454" s="5" t="n">
        <v>71</v>
      </c>
      <c r="K454" s="5" t="n">
        <v>68.40000000000001</v>
      </c>
      <c r="L454" s="14">
        <f>IFERROR(IF(OR(J454=0,K454=""),"",IF(E454="Positivo",MIN(MAX(K454/J454,0),1.3),MIN(MAX(J454/K454,0),1.3))),"") </f>
        <v/>
      </c>
      <c r="M454" s="14">
        <f>IFERROR(IF(OR(J454=0,K454=""),"",IF(E454="Positivo",MAX(K454/J454,0),MAX(J454/K454,0))),"") </f>
        <v/>
      </c>
      <c r="N454" s="5" t="inlineStr">
        <is>
          <t>ENT</t>
        </is>
      </c>
      <c r="O454" s="5" t="inlineStr">
        <is>
          <t>DEC</t>
        </is>
      </c>
      <c r="P454" s="5" t="n">
        <v>1</v>
      </c>
      <c r="Q454" s="5" t="n">
        <v>1</v>
      </c>
      <c r="R454" s="5" t="inlineStr">
        <is>
          <t>277-2025-12-31</t>
        </is>
      </c>
    </row>
    <row r="455">
      <c r="A455" s="5" t="n">
        <v>278</v>
      </c>
      <c r="B455" s="5" t="inlineStr">
        <is>
          <t>Docentes contratados</t>
        </is>
      </c>
      <c r="C455" s="5" t="inlineStr">
        <is>
          <t>Gestión Docente</t>
        </is>
      </c>
      <c r="D455" s="5" t="inlineStr">
        <is>
          <t>Semestral</t>
        </is>
      </c>
      <c r="E455" s="5" t="inlineStr">
        <is>
          <t>Positivo</t>
        </is>
      </c>
      <c r="F455" s="107" t="n">
        <v>45291</v>
      </c>
      <c r="G455" s="5" t="n">
        <v>2023</v>
      </c>
      <c r="H455" s="5" t="inlineStr">
        <is>
          <t>Diciembre</t>
        </is>
      </c>
      <c r="I455" s="6" t="inlineStr">
        <is>
          <t>2023-2</t>
        </is>
      </c>
      <c r="J455" s="5" t="n"/>
      <c r="K455" s="5" t="n">
        <v>1017</v>
      </c>
      <c r="L455" s="14" t="n"/>
      <c r="M455" s="14" t="n"/>
      <c r="N455" s="5" t="inlineStr">
        <is>
          <t>ENT</t>
        </is>
      </c>
      <c r="O455" s="5" t="inlineStr">
        <is>
          <t>ENT</t>
        </is>
      </c>
      <c r="P455" s="5" t="n">
        <v>0</v>
      </c>
      <c r="Q455" s="5" t="n">
        <v>0</v>
      </c>
      <c r="R455" s="5" t="inlineStr">
        <is>
          <t>278-2023-12-31</t>
        </is>
      </c>
    </row>
    <row r="456">
      <c r="A456" s="5" t="n">
        <v>278</v>
      </c>
      <c r="B456" s="5" t="inlineStr">
        <is>
          <t>Docentes contratados</t>
        </is>
      </c>
      <c r="C456" s="5" t="inlineStr">
        <is>
          <t>Gestión Docente</t>
        </is>
      </c>
      <c r="D456" s="5" t="inlineStr">
        <is>
          <t>Semestral</t>
        </is>
      </c>
      <c r="E456" s="5" t="inlineStr">
        <is>
          <t>Positivo</t>
        </is>
      </c>
      <c r="F456" s="107" t="n">
        <v>45657</v>
      </c>
      <c r="G456" s="5" t="n">
        <v>2024</v>
      </c>
      <c r="H456" s="5" t="inlineStr">
        <is>
          <t>Diciembre</t>
        </is>
      </c>
      <c r="I456" s="6" t="inlineStr">
        <is>
          <t>2024-2</t>
        </is>
      </c>
      <c r="J456" s="5" t="n"/>
      <c r="K456" s="5" t="n">
        <v>2098</v>
      </c>
      <c r="L456" s="14" t="n"/>
      <c r="M456" s="14" t="n"/>
      <c r="N456" s="5" t="inlineStr">
        <is>
          <t>Metrica</t>
        </is>
      </c>
      <c r="O456" s="5" t="inlineStr">
        <is>
          <t>Metrica</t>
        </is>
      </c>
      <c r="P456" s="5" t="n">
        <v>0</v>
      </c>
      <c r="Q456" s="5" t="n">
        <v>0</v>
      </c>
      <c r="R456" s="5" t="inlineStr">
        <is>
          <t>278-2024-12-31</t>
        </is>
      </c>
    </row>
    <row r="457">
      <c r="A457" s="5" t="n">
        <v>278</v>
      </c>
      <c r="B457" s="5" t="inlineStr">
        <is>
          <t>Docentes contratados - Metrica</t>
        </is>
      </c>
      <c r="C457" s="5" t="inlineStr">
        <is>
          <t>Gestión Docente</t>
        </is>
      </c>
      <c r="D457" s="5" t="inlineStr">
        <is>
          <t>Trimestral</t>
        </is>
      </c>
      <c r="E457" s="5" t="inlineStr">
        <is>
          <t>Positivo</t>
        </is>
      </c>
      <c r="F457" s="107" t="n">
        <v>46022</v>
      </c>
      <c r="G457" s="5" t="n">
        <v>2025</v>
      </c>
      <c r="H457" s="5" t="inlineStr">
        <is>
          <t>Diciembre</t>
        </is>
      </c>
      <c r="I457" s="6" t="inlineStr">
        <is>
          <t>2025-2</t>
        </is>
      </c>
      <c r="J457" s="5" t="n"/>
      <c r="K457" s="5" t="n">
        <v>2170</v>
      </c>
      <c r="L457" s="14" t="n"/>
      <c r="M457" s="14" t="n"/>
      <c r="N457" s="5" t="inlineStr">
        <is>
          <t>Metrica</t>
        </is>
      </c>
      <c r="O457" s="5" t="inlineStr">
        <is>
          <t>Metrica</t>
        </is>
      </c>
      <c r="P457" s="5" t="n">
        <v>0</v>
      </c>
      <c r="Q457" s="5" t="n">
        <v>0</v>
      </c>
      <c r="R457" s="5" t="inlineStr">
        <is>
          <t>278-2025-12-31</t>
        </is>
      </c>
      <c r="S457" t="inlineStr">
        <is>
          <t>Metrica</t>
        </is>
      </c>
    </row>
    <row r="458">
      <c r="A458" s="5" t="n">
        <v>279</v>
      </c>
      <c r="B458" s="5" t="inlineStr">
        <is>
          <t>Docentes tiempo completo</t>
        </is>
      </c>
      <c r="C458" s="5" t="inlineStr">
        <is>
          <t>Gestión Docente</t>
        </is>
      </c>
      <c r="D458" s="5" t="inlineStr">
        <is>
          <t>Semestral</t>
        </is>
      </c>
      <c r="E458" s="5" t="inlineStr">
        <is>
          <t>Positivo</t>
        </is>
      </c>
      <c r="F458" s="107" t="n">
        <v>45291</v>
      </c>
      <c r="G458" s="5" t="n">
        <v>2023</v>
      </c>
      <c r="H458" s="5" t="inlineStr">
        <is>
          <t>Diciembre</t>
        </is>
      </c>
      <c r="I458" s="6" t="inlineStr">
        <is>
          <t>2023-2</t>
        </is>
      </c>
      <c r="J458" s="5" t="n"/>
      <c r="K458" s="5" t="n">
        <v>608</v>
      </c>
      <c r="L458" s="14" t="n"/>
      <c r="M458" s="14" t="n"/>
      <c r="N458" s="5" t="n">
        <v>0</v>
      </c>
      <c r="O458" s="5" t="inlineStr">
        <is>
          <t>ENT</t>
        </is>
      </c>
      <c r="P458" s="5" t="n">
        <v>0</v>
      </c>
      <c r="Q458" s="5" t="n">
        <v>0</v>
      </c>
      <c r="R458" s="5" t="inlineStr">
        <is>
          <t>279-2023-12-31</t>
        </is>
      </c>
    </row>
    <row r="459">
      <c r="A459" s="5" t="n">
        <v>280</v>
      </c>
      <c r="B459" s="5" t="inlineStr">
        <is>
          <t>Docentes medio tiempo</t>
        </is>
      </c>
      <c r="C459" s="5" t="inlineStr">
        <is>
          <t>Gestión Docente</t>
        </is>
      </c>
      <c r="D459" s="5" t="inlineStr">
        <is>
          <t>Semestral</t>
        </is>
      </c>
      <c r="E459" s="5" t="inlineStr">
        <is>
          <t>Positivo</t>
        </is>
      </c>
      <c r="F459" s="107" t="n">
        <v>45291</v>
      </c>
      <c r="G459" s="5" t="n">
        <v>2023</v>
      </c>
      <c r="H459" s="5" t="inlineStr">
        <is>
          <t>Diciembre</t>
        </is>
      </c>
      <c r="I459" s="6" t="inlineStr">
        <is>
          <t>2023-2</t>
        </is>
      </c>
      <c r="J459" s="5" t="n"/>
      <c r="K459" s="5" t="n">
        <v>186</v>
      </c>
      <c r="L459" s="14" t="n"/>
      <c r="M459" s="14" t="n"/>
      <c r="N459" s="5" t="n">
        <v>0</v>
      </c>
      <c r="O459" s="5" t="inlineStr">
        <is>
          <t>ENT</t>
        </is>
      </c>
      <c r="P459" s="5" t="n">
        <v>0</v>
      </c>
      <c r="Q459" s="5" t="n">
        <v>0</v>
      </c>
      <c r="R459" s="5" t="inlineStr">
        <is>
          <t>280-2023-12-31</t>
        </is>
      </c>
    </row>
    <row r="460">
      <c r="A460" s="5" t="n">
        <v>281</v>
      </c>
      <c r="B460" s="5" t="inlineStr">
        <is>
          <t>Docentes cátedra</t>
        </is>
      </c>
      <c r="C460" s="5" t="inlineStr">
        <is>
          <t>Gestión Docente</t>
        </is>
      </c>
      <c r="D460" s="5" t="inlineStr">
        <is>
          <t>Semestral</t>
        </is>
      </c>
      <c r="E460" s="5" t="inlineStr">
        <is>
          <t>Positivo</t>
        </is>
      </c>
      <c r="F460" s="107" t="n">
        <v>45291</v>
      </c>
      <c r="G460" s="5" t="n">
        <v>2023</v>
      </c>
      <c r="H460" s="5" t="inlineStr">
        <is>
          <t>Diciembre</t>
        </is>
      </c>
      <c r="I460" s="6" t="inlineStr">
        <is>
          <t>2023-2</t>
        </is>
      </c>
      <c r="J460" s="5" t="n"/>
      <c r="K460" s="5" t="n">
        <v>223</v>
      </c>
      <c r="L460" s="14" t="n"/>
      <c r="M460" s="14" t="n"/>
      <c r="N460" s="5" t="n">
        <v>0</v>
      </c>
      <c r="O460" s="5" t="inlineStr">
        <is>
          <t>ENT</t>
        </is>
      </c>
      <c r="P460" s="5" t="n">
        <v>0</v>
      </c>
      <c r="Q460" s="5" t="n">
        <v>0</v>
      </c>
      <c r="R460" s="5" t="inlineStr">
        <is>
          <t>281-2023-12-31</t>
        </is>
      </c>
    </row>
    <row r="461">
      <c r="A461" s="5" t="n">
        <v>282</v>
      </c>
      <c r="B461" s="5" t="inlineStr">
        <is>
          <t>Docentes evaluados</t>
        </is>
      </c>
      <c r="C461" s="5" t="inlineStr">
        <is>
          <t>Gestión Docente</t>
        </is>
      </c>
      <c r="D461" s="5" t="inlineStr">
        <is>
          <t>Semestral</t>
        </is>
      </c>
      <c r="E461" s="5" t="inlineStr">
        <is>
          <t>Positivo</t>
        </is>
      </c>
      <c r="F461" s="107" t="n">
        <v>45291</v>
      </c>
      <c r="G461" s="5" t="n">
        <v>2023</v>
      </c>
      <c r="H461" s="5" t="inlineStr">
        <is>
          <t>Diciembre</t>
        </is>
      </c>
      <c r="I461" s="6" t="inlineStr">
        <is>
          <t>2023-2</t>
        </is>
      </c>
      <c r="J461" s="5" t="n">
        <v>192</v>
      </c>
      <c r="K461" s="5" t="n">
        <v>194.36</v>
      </c>
      <c r="L461" s="14">
        <f>IFERROR(IF(OR(J461=0,K461=""),"",IF(E461="Positivo",MIN(MAX(K461/J461,0),1.3),MIN(MAX(J461/K461,0),1.3))),"") </f>
        <v/>
      </c>
      <c r="M461" s="14">
        <f>IFERROR(IF(OR(J461=0,K461=""),"",IF(E461="Positivo",MAX(K461/J461,0),MAX(J461/K461,0))),"") </f>
        <v/>
      </c>
      <c r="N461" s="5" t="inlineStr">
        <is>
          <t>%</t>
        </is>
      </c>
      <c r="O461" s="5" t="inlineStr">
        <is>
          <t>%</t>
        </is>
      </c>
      <c r="P461" s="5" t="n">
        <v>0</v>
      </c>
      <c r="Q461" s="5" t="n">
        <v>0</v>
      </c>
      <c r="R461" s="5" t="inlineStr">
        <is>
          <t>282-2023-12-31</t>
        </is>
      </c>
    </row>
    <row r="462">
      <c r="A462" s="5" t="n">
        <v>282</v>
      </c>
      <c r="B462" s="5" t="inlineStr">
        <is>
          <t>Docentes evaluados</t>
        </is>
      </c>
      <c r="C462" s="5" t="inlineStr">
        <is>
          <t>Gestión Docente</t>
        </is>
      </c>
      <c r="D462" s="5" t="inlineStr">
        <is>
          <t>Semestral</t>
        </is>
      </c>
      <c r="E462" s="5" t="inlineStr">
        <is>
          <t>Positivo</t>
        </is>
      </c>
      <c r="F462" s="107" t="n">
        <v>45657</v>
      </c>
      <c r="G462" s="5" t="n">
        <v>2024</v>
      </c>
      <c r="H462" s="5" t="inlineStr">
        <is>
          <t>Diciembre</t>
        </is>
      </c>
      <c r="I462" s="6" t="inlineStr">
        <is>
          <t>2024-2</t>
        </is>
      </c>
      <c r="J462" s="5" t="n">
        <v>194</v>
      </c>
      <c r="K462" s="5" t="n">
        <v>193.86</v>
      </c>
      <c r="L462" s="14">
        <f>IFERROR(IF(OR(J462=0,K462=""),"",IF(E462="Positivo",MIN(MAX(K462/J462,0),1.3),MIN(MAX(J462/K462,0),1.3))),"") </f>
        <v/>
      </c>
      <c r="M462" s="14">
        <f>IFERROR(IF(OR(J462=0,K462=""),"",IF(E462="Positivo",MAX(K462/J462,0),MAX(J462/K462,0))),"") </f>
        <v/>
      </c>
      <c r="N462" s="5" t="inlineStr">
        <is>
          <t>%</t>
        </is>
      </c>
      <c r="O462" s="5" t="inlineStr">
        <is>
          <t>%</t>
        </is>
      </c>
      <c r="P462" s="5" t="n">
        <v>0</v>
      </c>
      <c r="Q462" s="5" t="n">
        <v>0</v>
      </c>
      <c r="R462" s="5" t="inlineStr">
        <is>
          <t>282-2024-12-31</t>
        </is>
      </c>
    </row>
    <row r="463">
      <c r="A463" s="5" t="n">
        <v>282</v>
      </c>
      <c r="B463" s="5" t="inlineStr">
        <is>
          <t>Docentes evaluados</t>
        </is>
      </c>
      <c r="C463" s="5" t="inlineStr">
        <is>
          <t>Gestión Docente</t>
        </is>
      </c>
      <c r="D463" s="5" t="inlineStr">
        <is>
          <t>Trimestral</t>
        </is>
      </c>
      <c r="E463" s="5" t="inlineStr">
        <is>
          <t>Positivo</t>
        </is>
      </c>
      <c r="F463" s="107" t="n">
        <v>46022</v>
      </c>
      <c r="G463" s="5" t="n">
        <v>2025</v>
      </c>
      <c r="H463" s="5" t="inlineStr">
        <is>
          <t>Diciembre</t>
        </is>
      </c>
      <c r="I463" s="6" t="inlineStr">
        <is>
          <t>2025-2</t>
        </is>
      </c>
      <c r="J463" s="5" t="n">
        <v>194</v>
      </c>
      <c r="K463" s="5" t="n">
        <v>194.97</v>
      </c>
      <c r="L463" s="14">
        <f>IFERROR(IF(OR(J463=0,K463=""),"",IF(E463="Positivo",MIN(MAX(K463/J463,0),1.3),MIN(MAX(J463/K463,0),1.3))),"") </f>
        <v/>
      </c>
      <c r="M463" s="14">
        <f>IFERROR(IF(OR(J463=0,K463=""),"",IF(E463="Positivo",MAX(K463/J463,0),MAX(J463/K463,0))),"") </f>
        <v/>
      </c>
      <c r="N463" s="5" t="inlineStr">
        <is>
          <t>%</t>
        </is>
      </c>
      <c r="O463" s="5" t="inlineStr">
        <is>
          <t>%</t>
        </is>
      </c>
      <c r="P463" s="5" t="n">
        <v>0</v>
      </c>
      <c r="Q463" s="5" t="n">
        <v>0</v>
      </c>
      <c r="R463" s="5" t="inlineStr">
        <is>
          <t>282-2025-12-31</t>
        </is>
      </c>
    </row>
    <row r="464">
      <c r="A464" s="5" t="n">
        <v>283</v>
      </c>
      <c r="B464" s="5" t="inlineStr">
        <is>
          <t>Resultado evaluación docente</t>
        </is>
      </c>
      <c r="C464" s="5" t="inlineStr">
        <is>
          <t>Gestión Docente</t>
        </is>
      </c>
      <c r="D464" s="5" t="inlineStr">
        <is>
          <t>Semestral</t>
        </is>
      </c>
      <c r="E464" s="5" t="inlineStr">
        <is>
          <t>Positivo</t>
        </is>
      </c>
      <c r="F464" s="107" t="n">
        <v>45291</v>
      </c>
      <c r="G464" s="5" t="n">
        <v>2023</v>
      </c>
      <c r="H464" s="5" t="inlineStr">
        <is>
          <t>Diciembre</t>
        </is>
      </c>
      <c r="I464" s="6" t="inlineStr">
        <is>
          <t>2023-2</t>
        </is>
      </c>
      <c r="J464" s="5" t="n">
        <v>4.5</v>
      </c>
      <c r="K464" s="5" t="n">
        <v>4.55</v>
      </c>
      <c r="L464" s="14">
        <f>IFERROR(IF(OR(J464=0,K464=""),"",IF(E464="Positivo",MIN(MAX(K464/J464,0),1.3),MIN(MAX(J464/K464,0),1.3))),"") </f>
        <v/>
      </c>
      <c r="M464" s="14">
        <f>IFERROR(IF(OR(J464=0,K464=""),"",IF(E464="Positivo",MAX(K464/J464,0),MAX(J464/K464,0))),"") </f>
        <v/>
      </c>
      <c r="N464" s="5" t="inlineStr">
        <is>
          <t>DEC</t>
        </is>
      </c>
      <c r="O464" s="5" t="inlineStr">
        <is>
          <t>DEC</t>
        </is>
      </c>
      <c r="P464" s="5" t="n">
        <v>2</v>
      </c>
      <c r="Q464" s="5" t="n">
        <v>2</v>
      </c>
      <c r="R464" s="5" t="inlineStr">
        <is>
          <t>283-2023-12-31</t>
        </is>
      </c>
    </row>
    <row r="465">
      <c r="A465" s="5" t="n">
        <v>283</v>
      </c>
      <c r="B465" s="5" t="inlineStr">
        <is>
          <t>Resultado evaluación docente</t>
        </is>
      </c>
      <c r="C465" s="5" t="inlineStr">
        <is>
          <t>Gestión Docente</t>
        </is>
      </c>
      <c r="D465" s="5" t="inlineStr">
        <is>
          <t>Semestral</t>
        </is>
      </c>
      <c r="E465" s="5" t="inlineStr">
        <is>
          <t>Positivo</t>
        </is>
      </c>
      <c r="F465" s="107" t="n">
        <v>45657</v>
      </c>
      <c r="G465" s="5" t="n">
        <v>2024</v>
      </c>
      <c r="H465" s="5" t="inlineStr">
        <is>
          <t>Diciembre</t>
        </is>
      </c>
      <c r="I465" s="6" t="inlineStr">
        <is>
          <t>2024-2</t>
        </is>
      </c>
      <c r="J465" s="5" t="n">
        <v>4.5</v>
      </c>
      <c r="K465" s="5" t="n">
        <v>4.64</v>
      </c>
      <c r="L465" s="14">
        <f>IFERROR(IF(OR(J465=0,K465=""),"",IF(E465="Positivo",MIN(MAX(K465/J465,0),1.3),MIN(MAX(J465/K465,0),1.3))),"") </f>
        <v/>
      </c>
      <c r="M465" s="14">
        <f>IFERROR(IF(OR(J465=0,K465=""),"",IF(E465="Positivo",MAX(K465/J465,0),MAX(J465/K465,0))),"") </f>
        <v/>
      </c>
      <c r="N465" s="5" t="inlineStr">
        <is>
          <t>DEC</t>
        </is>
      </c>
      <c r="O465" s="5" t="inlineStr">
        <is>
          <t>DEC</t>
        </is>
      </c>
      <c r="P465" s="5" t="n">
        <v>2</v>
      </c>
      <c r="Q465" s="5" t="n">
        <v>2</v>
      </c>
      <c r="R465" s="5" t="inlineStr">
        <is>
          <t>283-2024-12-31</t>
        </is>
      </c>
    </row>
    <row r="466">
      <c r="A466" s="5" t="n">
        <v>283</v>
      </c>
      <c r="B466" s="5" t="inlineStr">
        <is>
          <t>Resultado evaluación docente</t>
        </is>
      </c>
      <c r="C466" s="5" t="inlineStr">
        <is>
          <t>Gestión Docente</t>
        </is>
      </c>
      <c r="D466" s="5" t="inlineStr">
        <is>
          <t>Trimestral</t>
        </is>
      </c>
      <c r="E466" s="5" t="inlineStr">
        <is>
          <t>Positivo</t>
        </is>
      </c>
      <c r="F466" s="107" t="n">
        <v>46022</v>
      </c>
      <c r="G466" s="5" t="n">
        <v>2025</v>
      </c>
      <c r="H466" s="5" t="inlineStr">
        <is>
          <t>Diciembre</t>
        </is>
      </c>
      <c r="I466" s="6" t="inlineStr">
        <is>
          <t>2025-2</t>
        </is>
      </c>
      <c r="J466" s="5" t="n">
        <v>4.6</v>
      </c>
      <c r="K466" s="5" t="n">
        <v>4.67</v>
      </c>
      <c r="L466" s="14">
        <f>IFERROR(IF(OR(J466=0,K466=""),"",IF(E466="Positivo",MIN(MAX(K466/J466,0),1.3),MIN(MAX(J466/K466,0),1.3))),"") </f>
        <v/>
      </c>
      <c r="M466" s="14">
        <f>IFERROR(IF(OR(J466=0,K466=""),"",IF(E466="Positivo",MAX(K466/J466,0),MAX(J466/K466,0))),"") </f>
        <v/>
      </c>
      <c r="N466" s="5" t="inlineStr">
        <is>
          <t>DEC</t>
        </is>
      </c>
      <c r="O466" s="5" t="inlineStr">
        <is>
          <t>DEC</t>
        </is>
      </c>
      <c r="P466" s="5" t="n">
        <v>1</v>
      </c>
      <c r="Q466" s="5" t="n">
        <v>2</v>
      </c>
      <c r="R466" s="5" t="inlineStr">
        <is>
          <t>283-2025-12-31</t>
        </is>
      </c>
    </row>
    <row r="467">
      <c r="A467" s="5" t="n">
        <v>284</v>
      </c>
      <c r="B467" s="5" t="inlineStr">
        <is>
          <t>Número Horas semanales docentes</t>
        </is>
      </c>
      <c r="C467" s="5" t="inlineStr">
        <is>
          <t>Gestión Docente</t>
        </is>
      </c>
      <c r="D467" s="5" t="inlineStr">
        <is>
          <t>Semestral</t>
        </is>
      </c>
      <c r="E467" s="5" t="inlineStr">
        <is>
          <t>Positivo</t>
        </is>
      </c>
      <c r="F467" s="107" t="n">
        <v>45291</v>
      </c>
      <c r="G467" s="5" t="n">
        <v>2023</v>
      </c>
      <c r="H467" s="5" t="inlineStr">
        <is>
          <t>Diciembre</t>
        </is>
      </c>
      <c r="I467" s="6" t="inlineStr">
        <is>
          <t>2023-2</t>
        </is>
      </c>
      <c r="J467" s="5" t="n"/>
      <c r="K467" s="5" t="n">
        <v>16281</v>
      </c>
      <c r="L467" s="14" t="n"/>
      <c r="M467" s="14" t="n"/>
      <c r="N467" s="5" t="inlineStr">
        <is>
          <t>DEC</t>
        </is>
      </c>
      <c r="O467" s="5" t="inlineStr">
        <is>
          <t>ENT</t>
        </is>
      </c>
      <c r="P467" s="5" t="n">
        <v>0</v>
      </c>
      <c r="Q467" s="5" t="n">
        <v>0</v>
      </c>
      <c r="R467" s="5" t="inlineStr">
        <is>
          <t>284-2023-12-31</t>
        </is>
      </c>
    </row>
    <row r="468">
      <c r="A468" s="5" t="n">
        <v>285</v>
      </c>
      <c r="B468" s="5" t="inlineStr">
        <is>
          <t>Docentes con plan de trabajo asignado</t>
        </is>
      </c>
      <c r="C468" s="5" t="inlineStr">
        <is>
          <t>Gestión Docente</t>
        </is>
      </c>
      <c r="D468" s="5" t="inlineStr">
        <is>
          <t>Semestral</t>
        </is>
      </c>
      <c r="E468" s="5" t="inlineStr">
        <is>
          <t>Positivo</t>
        </is>
      </c>
      <c r="F468" s="107" t="n">
        <v>45291</v>
      </c>
      <c r="G468" s="5" t="n">
        <v>2023</v>
      </c>
      <c r="H468" s="5" t="inlineStr">
        <is>
          <t>Diciembre</t>
        </is>
      </c>
      <c r="I468" s="6" t="inlineStr">
        <is>
          <t>2023-2</t>
        </is>
      </c>
      <c r="J468" s="5" t="n">
        <v>100</v>
      </c>
      <c r="K468" s="5" t="n">
        <v>100</v>
      </c>
      <c r="L468" s="14">
        <f>IFERROR(IF(OR(J468=0,K468=""),"",IF(E468="Positivo",MIN(MAX(K468/J468,0),1.3),MIN(MAX(J468/K468,0),1.3))),"") </f>
        <v/>
      </c>
      <c r="M468" s="14">
        <f>IFERROR(IF(OR(J468=0,K468=""),"",IF(E468="Positivo",MAX(K468/J468,0),MAX(J468/K468,0))),"") </f>
        <v/>
      </c>
      <c r="N468" s="5" t="inlineStr">
        <is>
          <t>%</t>
        </is>
      </c>
      <c r="O468" s="5" t="inlineStr">
        <is>
          <t>%</t>
        </is>
      </c>
      <c r="P468" s="5" t="n">
        <v>0</v>
      </c>
      <c r="Q468" s="5" t="n">
        <v>0</v>
      </c>
      <c r="R468" s="5" t="inlineStr">
        <is>
          <t>285-2023-12-31</t>
        </is>
      </c>
    </row>
    <row r="469">
      <c r="A469" s="5" t="n">
        <v>285</v>
      </c>
      <c r="B469" s="5" t="inlineStr">
        <is>
          <t>Docentes con plan de trabajo asignado</t>
        </is>
      </c>
      <c r="C469" s="5" t="inlineStr">
        <is>
          <t>Gestión Docente</t>
        </is>
      </c>
      <c r="D469" s="5" t="inlineStr">
        <is>
          <t>Semestral</t>
        </is>
      </c>
      <c r="E469" s="5" t="inlineStr">
        <is>
          <t>Positivo</t>
        </is>
      </c>
      <c r="F469" s="107" t="n">
        <v>45657</v>
      </c>
      <c r="G469" s="5" t="n">
        <v>2024</v>
      </c>
      <c r="H469" s="5" t="inlineStr">
        <is>
          <t>Diciembre</t>
        </is>
      </c>
      <c r="I469" s="6" t="inlineStr">
        <is>
          <t>2024-2</t>
        </is>
      </c>
      <c r="J469" s="5" t="n">
        <v>100</v>
      </c>
      <c r="K469" s="5" t="n">
        <v>100</v>
      </c>
      <c r="L469" s="14">
        <f>IFERROR(IF(OR(J469=0,K469=""),"",IF(E469="Positivo",MIN(MAX(K469/J469,0),1.3),MIN(MAX(J469/K469,0),1.3))),"") </f>
        <v/>
      </c>
      <c r="M469" s="14">
        <f>IFERROR(IF(OR(J469=0,K469=""),"",IF(E469="Positivo",MAX(K469/J469,0),MAX(J469/K469,0))),"") </f>
        <v/>
      </c>
      <c r="N469" s="5" t="inlineStr">
        <is>
          <t>%</t>
        </is>
      </c>
      <c r="O469" s="5" t="inlineStr">
        <is>
          <t>%</t>
        </is>
      </c>
      <c r="P469" s="5" t="n">
        <v>0</v>
      </c>
      <c r="Q469" s="5" t="n">
        <v>0</v>
      </c>
      <c r="R469" s="5" t="inlineStr">
        <is>
          <t>285-2024-12-31</t>
        </is>
      </c>
    </row>
    <row r="470">
      <c r="A470" s="5" t="n">
        <v>285</v>
      </c>
      <c r="B470" s="5" t="inlineStr">
        <is>
          <t>Docentes con plan de trabajo asignado</t>
        </is>
      </c>
      <c r="C470" s="5" t="inlineStr">
        <is>
          <t>Gestión Docente</t>
        </is>
      </c>
      <c r="D470" s="5" t="inlineStr">
        <is>
          <t>Trimestral</t>
        </is>
      </c>
      <c r="E470" s="5" t="inlineStr">
        <is>
          <t>Positivo</t>
        </is>
      </c>
      <c r="F470" s="107" t="n">
        <v>46022</v>
      </c>
      <c r="G470" s="5" t="n">
        <v>2025</v>
      </c>
      <c r="H470" s="5" t="inlineStr">
        <is>
          <t>Diciembre</t>
        </is>
      </c>
      <c r="I470" s="6" t="inlineStr">
        <is>
          <t>2025-2</t>
        </is>
      </c>
      <c r="J470" s="5" t="n">
        <v>100</v>
      </c>
      <c r="K470" s="5" t="n">
        <v>100</v>
      </c>
      <c r="L470" s="14">
        <f>IFERROR(IF(OR(J470=0,K470=""),"",IF(E470="Positivo",MIN(MAX(K470/J470,0),1.3),MIN(MAX(J470/K470,0),1.3))),"") </f>
        <v/>
      </c>
      <c r="M470" s="14">
        <f>IFERROR(IF(OR(J470=0,K470=""),"",IF(E470="Positivo",MAX(K470/J470,0),MAX(J470/K470,0))),"") </f>
        <v/>
      </c>
      <c r="N470" s="5" t="inlineStr">
        <is>
          <t>%</t>
        </is>
      </c>
      <c r="O470" s="5" t="inlineStr">
        <is>
          <t>%</t>
        </is>
      </c>
      <c r="P470" s="5" t="n">
        <v>0</v>
      </c>
      <c r="Q470" s="5" t="n">
        <v>0</v>
      </c>
      <c r="R470" s="5" t="inlineStr">
        <is>
          <t>285-2025-12-31</t>
        </is>
      </c>
    </row>
    <row r="471">
      <c r="A471" s="5" t="n">
        <v>286</v>
      </c>
      <c r="B471" s="5" t="inlineStr">
        <is>
          <t>Total docentes por nivel de estudios</t>
        </is>
      </c>
      <c r="C471" s="5" t="inlineStr">
        <is>
          <t>Gestión Docente</t>
        </is>
      </c>
      <c r="D471" s="5" t="inlineStr">
        <is>
          <t>Semestral</t>
        </is>
      </c>
      <c r="E471" s="5" t="inlineStr">
        <is>
          <t>Positivo</t>
        </is>
      </c>
      <c r="F471" s="107" t="n">
        <v>45291</v>
      </c>
      <c r="G471" s="5" t="n">
        <v>2023</v>
      </c>
      <c r="H471" s="5" t="inlineStr">
        <is>
          <t>Diciembre</t>
        </is>
      </c>
      <c r="I471" s="6" t="inlineStr">
        <is>
          <t>2023-2</t>
        </is>
      </c>
      <c r="J471" s="5" t="n"/>
      <c r="K471" s="5" t="n">
        <v>1017</v>
      </c>
      <c r="L471" s="14" t="n"/>
      <c r="M471" s="14" t="n"/>
      <c r="N471" s="5" t="inlineStr">
        <is>
          <t>%</t>
        </is>
      </c>
      <c r="O471" s="5" t="inlineStr">
        <is>
          <t>ENT</t>
        </is>
      </c>
      <c r="P471" s="5" t="n">
        <v>0</v>
      </c>
      <c r="Q471" s="5" t="n">
        <v>0</v>
      </c>
      <c r="R471" s="5" t="inlineStr">
        <is>
          <t>286-2023-12-31</t>
        </is>
      </c>
    </row>
    <row r="472">
      <c r="A472" s="5" t="n">
        <v>286</v>
      </c>
      <c r="B472" s="5" t="inlineStr">
        <is>
          <t>Total docentes por nivel de estudios</t>
        </is>
      </c>
      <c r="C472" s="5" t="inlineStr">
        <is>
          <t>Gestión Docente</t>
        </is>
      </c>
      <c r="D472" s="5" t="inlineStr">
        <is>
          <t>Semestral</t>
        </is>
      </c>
      <c r="E472" s="5" t="inlineStr">
        <is>
          <t>Positivo</t>
        </is>
      </c>
      <c r="F472" s="107" t="n">
        <v>45657</v>
      </c>
      <c r="G472" s="5" t="n">
        <v>2024</v>
      </c>
      <c r="H472" s="5" t="inlineStr">
        <is>
          <t>Diciembre</t>
        </is>
      </c>
      <c r="I472" s="6" t="inlineStr">
        <is>
          <t>2024-2</t>
        </is>
      </c>
      <c r="J472" s="5" t="n"/>
      <c r="K472" s="5" t="n">
        <v>2098</v>
      </c>
      <c r="L472" s="14" t="n"/>
      <c r="M472" s="14" t="n"/>
      <c r="N472" s="5" t="inlineStr">
        <is>
          <t>Metrica</t>
        </is>
      </c>
      <c r="O472" s="5" t="inlineStr">
        <is>
          <t>Metrica</t>
        </is>
      </c>
      <c r="P472" s="5" t="n">
        <v>0</v>
      </c>
      <c r="Q472" s="5" t="n">
        <v>0</v>
      </c>
      <c r="R472" s="5" t="inlineStr">
        <is>
          <t>286-2024-12-31</t>
        </is>
      </c>
    </row>
    <row r="473">
      <c r="A473" s="5" t="n">
        <v>286</v>
      </c>
      <c r="B473" s="5" t="inlineStr">
        <is>
          <t>Total docentes por nivel de estudios - Metrica</t>
        </is>
      </c>
      <c r="C473" s="5" t="inlineStr">
        <is>
          <t>Gestión Docente</t>
        </is>
      </c>
      <c r="D473" s="5" t="inlineStr">
        <is>
          <t>Trimestral</t>
        </is>
      </c>
      <c r="E473" s="5" t="inlineStr">
        <is>
          <t>Positivo</t>
        </is>
      </c>
      <c r="F473" s="107" t="n">
        <v>46022</v>
      </c>
      <c r="G473" s="5" t="n">
        <v>2025</v>
      </c>
      <c r="H473" s="5" t="inlineStr">
        <is>
          <t>Diciembre</t>
        </is>
      </c>
      <c r="I473" s="6" t="inlineStr">
        <is>
          <t>2025-2</t>
        </is>
      </c>
      <c r="J473" s="5" t="n"/>
      <c r="K473" s="5" t="n">
        <v>2170</v>
      </c>
      <c r="L473" s="14" t="n"/>
      <c r="M473" s="14" t="n"/>
      <c r="N473" s="5" t="inlineStr">
        <is>
          <t>Metrica</t>
        </is>
      </c>
      <c r="O473" s="5" t="inlineStr">
        <is>
          <t>Metrica</t>
        </is>
      </c>
      <c r="P473" s="5" t="n">
        <v>0</v>
      </c>
      <c r="Q473" s="5" t="n">
        <v>0</v>
      </c>
      <c r="R473" s="5" t="inlineStr">
        <is>
          <t>286-2025-12-31</t>
        </is>
      </c>
      <c r="S473" t="inlineStr">
        <is>
          <t>Metrica</t>
        </is>
      </c>
    </row>
    <row r="474">
      <c r="A474" s="5" t="n">
        <v>288</v>
      </c>
      <c r="B474" s="5" t="inlineStr">
        <is>
          <t>Número docentes escalafonados presentados en convocatoria</t>
        </is>
      </c>
      <c r="C474" s="5" t="inlineStr">
        <is>
          <t>Gestión Docente</t>
        </is>
      </c>
      <c r="D474" s="5" t="inlineStr">
        <is>
          <t>Semestral</t>
        </is>
      </c>
      <c r="E474" s="5" t="inlineStr">
        <is>
          <t>Positivo</t>
        </is>
      </c>
      <c r="F474" s="107" t="n">
        <v>45291</v>
      </c>
      <c r="G474" s="5" t="n">
        <v>2023</v>
      </c>
      <c r="H474" s="5" t="inlineStr">
        <is>
          <t>Diciembre</t>
        </is>
      </c>
      <c r="I474" s="6" t="inlineStr">
        <is>
          <t>2023-2</t>
        </is>
      </c>
      <c r="J474" s="5" t="n">
        <v>85</v>
      </c>
      <c r="K474" s="5" t="n">
        <v>112.5</v>
      </c>
      <c r="L474" s="14">
        <f>IFERROR(IF(OR(J474=0,K474=""),"",IF(E474="Positivo",MIN(MAX(K474/J474,0),1.3),MIN(MAX(J474/K474,0),1.3))),"") </f>
        <v/>
      </c>
      <c r="M474" s="14">
        <f>IFERROR(IF(OR(J474=0,K474=""),"",IF(E474="Positivo",MAX(K474/J474,0),MAX(J474/K474,0))),"") </f>
        <v/>
      </c>
      <c r="N474" s="5" t="inlineStr">
        <is>
          <t>ENT</t>
        </is>
      </c>
      <c r="O474" s="5" t="inlineStr">
        <is>
          <t>ENT</t>
        </is>
      </c>
      <c r="P474" s="5" t="n">
        <v>0</v>
      </c>
      <c r="Q474" s="5" t="n">
        <v>0</v>
      </c>
      <c r="R474" s="5" t="inlineStr">
        <is>
          <t>288-2023-12-31</t>
        </is>
      </c>
    </row>
    <row r="475">
      <c r="A475" s="5" t="n">
        <v>288</v>
      </c>
      <c r="B475" s="5" t="inlineStr">
        <is>
          <t>Número docentes escalafonados presentados en convocatoria</t>
        </is>
      </c>
      <c r="C475" s="5" t="inlineStr">
        <is>
          <t>Gestión Docente</t>
        </is>
      </c>
      <c r="D475" s="5" t="inlineStr">
        <is>
          <t>Semestral</t>
        </is>
      </c>
      <c r="E475" s="5" t="inlineStr">
        <is>
          <t>Positivo</t>
        </is>
      </c>
      <c r="F475" s="107" t="n">
        <v>45657</v>
      </c>
      <c r="G475" s="5" t="n">
        <v>2024</v>
      </c>
      <c r="H475" s="5" t="inlineStr">
        <is>
          <t>Diciembre</t>
        </is>
      </c>
      <c r="I475" s="6" t="inlineStr">
        <is>
          <t>2024-2</t>
        </is>
      </c>
      <c r="J475" s="5" t="n">
        <v>85</v>
      </c>
      <c r="K475" s="5" t="n">
        <v>26</v>
      </c>
      <c r="L475" s="14">
        <f>IFERROR(IF(OR(J475=0,K475=""),"",IF(E475="Positivo",MIN(MAX(K475/J475,0),1.3),MIN(MAX(J475/K475,0),1.3))),"") </f>
        <v/>
      </c>
      <c r="M475" s="14">
        <f>IFERROR(IF(OR(J475=0,K475=""),"",IF(E475="Positivo",MAX(K475/J475,0),MAX(J475/K475,0))),"") </f>
        <v/>
      </c>
      <c r="N475" s="5" t="inlineStr">
        <is>
          <t>ENT</t>
        </is>
      </c>
      <c r="O475" s="5" t="inlineStr">
        <is>
          <t>ENT</t>
        </is>
      </c>
      <c r="P475" s="5" t="n">
        <v>0</v>
      </c>
      <c r="Q475" s="5" t="n">
        <v>0</v>
      </c>
      <c r="R475" s="5" t="inlineStr">
        <is>
          <t>288-2024-12-31</t>
        </is>
      </c>
    </row>
    <row r="476">
      <c r="A476" s="5" t="n">
        <v>288</v>
      </c>
      <c r="B476" s="5" t="inlineStr">
        <is>
          <t>Número docentes escalafonados presentados en convocatoria</t>
        </is>
      </c>
      <c r="C476" s="5" t="inlineStr">
        <is>
          <t>Gestión Docente</t>
        </is>
      </c>
      <c r="D476" s="5" t="inlineStr">
        <is>
          <t>Anual</t>
        </is>
      </c>
      <c r="E476" s="5" t="inlineStr">
        <is>
          <t>Positivo</t>
        </is>
      </c>
      <c r="F476" s="107" t="n">
        <v>45838</v>
      </c>
      <c r="G476" s="5" t="n">
        <v>2025</v>
      </c>
      <c r="H476" s="5" t="inlineStr">
        <is>
          <t>Junio</t>
        </is>
      </c>
      <c r="I476" s="6" t="inlineStr">
        <is>
          <t>2025-1</t>
        </is>
      </c>
      <c r="J476" s="5" t="n">
        <v>100</v>
      </c>
      <c r="K476" s="5" t="n">
        <v>100</v>
      </c>
      <c r="L476" s="14">
        <f>IFERROR(IF(OR(J476=0,K476=""),"",IF(E476="Positivo",MIN(MAX(K476/J476,0),1.3),MIN(MAX(J476/K476,0),1.3))),"") </f>
        <v/>
      </c>
      <c r="M476" s="14">
        <f>IFERROR(IF(OR(J476=0,K476=""),"",IF(E476="Positivo",MAX(K476/J476,0),MAX(J476/K476,0))),"") </f>
        <v/>
      </c>
      <c r="N476" s="5" t="inlineStr">
        <is>
          <t>ENT</t>
        </is>
      </c>
      <c r="O476" s="5" t="inlineStr">
        <is>
          <t>ENT</t>
        </is>
      </c>
      <c r="P476" s="5" t="n">
        <v>0</v>
      </c>
      <c r="Q476" s="5" t="n">
        <v>0</v>
      </c>
      <c r="R476" s="5" t="inlineStr">
        <is>
          <t>288-2025-06-30</t>
        </is>
      </c>
    </row>
    <row r="477">
      <c r="A477" s="5" t="n">
        <v>289</v>
      </c>
      <c r="B477" s="5" t="inlineStr">
        <is>
          <t>Cumplimiento plan de comunicaciones SGC</t>
        </is>
      </c>
      <c r="C477" s="5" t="inlineStr">
        <is>
          <t>Gestión de calidad</t>
        </is>
      </c>
      <c r="D477" s="5" t="inlineStr">
        <is>
          <t>Trimestral</t>
        </is>
      </c>
      <c r="E477" s="5" t="inlineStr">
        <is>
          <t>Positivo</t>
        </is>
      </c>
      <c r="F477" s="107" t="n">
        <v>45291</v>
      </c>
      <c r="G477" s="5" t="n">
        <v>2023</v>
      </c>
      <c r="H477" s="5" t="inlineStr">
        <is>
          <t>Diciembre</t>
        </is>
      </c>
      <c r="I477" s="6" t="inlineStr">
        <is>
          <t>2023-2</t>
        </is>
      </c>
      <c r="J477" s="5" t="n">
        <v>95</v>
      </c>
      <c r="K477" s="5" t="n">
        <v>87.5</v>
      </c>
      <c r="L477" s="14">
        <f>IFERROR(IF(OR(J477=0,K477=""),"",IF(E477="Positivo",MIN(MAX(K477/J477,0),1.3),MIN(MAX(J477/K477,0),1.3))),"") </f>
        <v/>
      </c>
      <c r="M477" s="14">
        <f>IFERROR(IF(OR(J477=0,K477=""),"",IF(E477="Positivo",MAX(K477/J477,0),MAX(J477/K477,0))),"") </f>
        <v/>
      </c>
      <c r="N477" s="5" t="inlineStr">
        <is>
          <t>%</t>
        </is>
      </c>
      <c r="O477" s="5" t="inlineStr">
        <is>
          <t>%</t>
        </is>
      </c>
      <c r="P477" s="5" t="n">
        <v>0</v>
      </c>
      <c r="Q477" s="5" t="n">
        <v>0</v>
      </c>
      <c r="R477" s="5" t="inlineStr">
        <is>
          <t>289-2023-12-31</t>
        </is>
      </c>
    </row>
    <row r="478">
      <c r="A478" s="5" t="n">
        <v>289</v>
      </c>
      <c r="B478" s="5" t="inlineStr">
        <is>
          <t>Cumplimiento plan de comunicaciones SGC</t>
        </is>
      </c>
      <c r="C478" s="5" t="inlineStr">
        <is>
          <t>Gestión de calidad</t>
        </is>
      </c>
      <c r="D478" s="5" t="inlineStr">
        <is>
          <t>Trimestral</t>
        </is>
      </c>
      <c r="E478" s="5" t="inlineStr">
        <is>
          <t>Positivo</t>
        </is>
      </c>
      <c r="F478" s="107" t="n">
        <v>45657</v>
      </c>
      <c r="G478" s="5" t="n">
        <v>2024</v>
      </c>
      <c r="H478" s="5" t="inlineStr">
        <is>
          <t>Diciembre</t>
        </is>
      </c>
      <c r="I478" s="6" t="inlineStr">
        <is>
          <t>2024-2</t>
        </is>
      </c>
      <c r="J478" s="5" t="n">
        <v>95</v>
      </c>
      <c r="K478" s="5" t="n">
        <v>100</v>
      </c>
      <c r="L478" s="14">
        <f>IFERROR(IF(OR(J478=0,K478=""),"",IF(E478="Positivo",MIN(MAX(K478/J478,0),1.3),MIN(MAX(J478/K478,0),1.3))),"") </f>
        <v/>
      </c>
      <c r="M478" s="14">
        <f>IFERROR(IF(OR(J478=0,K478=""),"",IF(E478="Positivo",MAX(K478/J478,0),MAX(J478/K478,0))),"") </f>
        <v/>
      </c>
      <c r="N478" s="5" t="inlineStr">
        <is>
          <t>%</t>
        </is>
      </c>
      <c r="O478" s="5" t="inlineStr">
        <is>
          <t>%</t>
        </is>
      </c>
      <c r="P478" s="5" t="n">
        <v>0</v>
      </c>
      <c r="Q478" s="5" t="n">
        <v>0</v>
      </c>
      <c r="R478" s="5" t="inlineStr">
        <is>
          <t>289-2024-12-31</t>
        </is>
      </c>
    </row>
    <row r="479">
      <c r="A479" s="5" t="n">
        <v>290</v>
      </c>
      <c r="B479" s="5" t="inlineStr">
        <is>
          <t>Cierre eficaz de las oportunidades de mejora</t>
        </is>
      </c>
      <c r="C479" s="5" t="inlineStr">
        <is>
          <t>Planificación POLISIGS</t>
        </is>
      </c>
      <c r="D479" s="5" t="inlineStr">
        <is>
          <t>Bimestral</t>
        </is>
      </c>
      <c r="E479" s="5" t="inlineStr">
        <is>
          <t>Positivo</t>
        </is>
      </c>
      <c r="F479" s="107" t="n">
        <v>45291</v>
      </c>
      <c r="G479" s="5" t="n">
        <v>2023</v>
      </c>
      <c r="H479" s="5" t="inlineStr">
        <is>
          <t>Diciembre</t>
        </is>
      </c>
      <c r="I479" s="6" t="inlineStr">
        <is>
          <t>2023-2</t>
        </is>
      </c>
      <c r="J479" s="5" t="n">
        <v>90</v>
      </c>
      <c r="K479" s="5" t="n">
        <v>89.36</v>
      </c>
      <c r="L479" s="14">
        <f>IFERROR(IF(OR(J479=0,K479=""),"",IF(E479="Positivo",MIN(MAX(K479/J479,0),1.3),MIN(MAX(J479/K479,0),1.3))),"") </f>
        <v/>
      </c>
      <c r="M479" s="14">
        <f>IFERROR(IF(OR(J479=0,K479=""),"",IF(E479="Positivo",MAX(K479/J479,0),MAX(J479/K479,0))),"") </f>
        <v/>
      </c>
      <c r="N479" s="5" t="inlineStr">
        <is>
          <t>%</t>
        </is>
      </c>
      <c r="O479" s="5" t="inlineStr">
        <is>
          <t>%</t>
        </is>
      </c>
      <c r="P479" s="5" t="n">
        <v>0</v>
      </c>
      <c r="Q479" s="5" t="n">
        <v>0</v>
      </c>
      <c r="R479" s="5" t="inlineStr">
        <is>
          <t>290-2023-12-31</t>
        </is>
      </c>
    </row>
    <row r="480">
      <c r="A480" s="5" t="n">
        <v>290</v>
      </c>
      <c r="B480" s="5" t="inlineStr">
        <is>
          <t>Cierre eficaz de las oportunidades de mejora</t>
        </is>
      </c>
      <c r="C480" s="5" t="inlineStr">
        <is>
          <t>Planificación POLISIGS</t>
        </is>
      </c>
      <c r="D480" s="5" t="inlineStr">
        <is>
          <t>Bimestral</t>
        </is>
      </c>
      <c r="E480" s="5" t="inlineStr">
        <is>
          <t>Positivo</t>
        </is>
      </c>
      <c r="F480" s="107" t="n">
        <v>45657</v>
      </c>
      <c r="G480" s="5" t="n">
        <v>2024</v>
      </c>
      <c r="H480" s="5" t="inlineStr">
        <is>
          <t>Diciembre</t>
        </is>
      </c>
      <c r="I480" s="6" t="inlineStr">
        <is>
          <t>2024-2</t>
        </is>
      </c>
      <c r="J480" s="5" t="n">
        <v>90</v>
      </c>
      <c r="K480" s="5" t="n">
        <v>100</v>
      </c>
      <c r="L480" s="14">
        <f>IFERROR(IF(OR(J480=0,K480=""),"",IF(E480="Positivo",MIN(MAX(K480/J480,0),1.3),MIN(MAX(J480/K480,0),1.3))),"") </f>
        <v/>
      </c>
      <c r="M480" s="14">
        <f>IFERROR(IF(OR(J480=0,K480=""),"",IF(E480="Positivo",MAX(K480/J480,0),MAX(J480/K480,0))),"") </f>
        <v/>
      </c>
      <c r="N480" s="5" t="inlineStr">
        <is>
          <t>%</t>
        </is>
      </c>
      <c r="O480" s="5" t="inlineStr">
        <is>
          <t>%</t>
        </is>
      </c>
      <c r="P480" s="5" t="n">
        <v>0</v>
      </c>
      <c r="Q480" s="5" t="n">
        <v>0</v>
      </c>
      <c r="R480" s="5" t="inlineStr">
        <is>
          <t>290-2024-12-31</t>
        </is>
      </c>
    </row>
    <row r="481">
      <c r="A481" s="5" t="n">
        <v>290</v>
      </c>
      <c r="B481" s="5" t="inlineStr">
        <is>
          <t>Cierre eficaz de las oportunidades de mejora</t>
        </is>
      </c>
      <c r="C481" s="5" t="inlineStr">
        <is>
          <t>Planificación POLISIGS</t>
        </is>
      </c>
      <c r="D481" s="5" t="inlineStr">
        <is>
          <t>Bimestral</t>
        </is>
      </c>
      <c r="E481" s="5" t="inlineStr">
        <is>
          <t>Positivo</t>
        </is>
      </c>
      <c r="F481" s="107" t="n">
        <v>45838</v>
      </c>
      <c r="G481" s="5" t="n">
        <v>2025</v>
      </c>
      <c r="H481" s="5" t="inlineStr">
        <is>
          <t>Junio</t>
        </is>
      </c>
      <c r="I481" s="6" t="inlineStr">
        <is>
          <t>2025-1</t>
        </is>
      </c>
      <c r="J481" s="5" t="n">
        <v>90</v>
      </c>
      <c r="K481" s="5" t="n">
        <v>93.33</v>
      </c>
      <c r="L481" s="14">
        <f>IFERROR(IF(OR(J481=0,K481=""),"",IF(E481="Positivo",MIN(MAX(K481/J481,0),1.3),MIN(MAX(J481/K481,0),1.3))),"") </f>
        <v/>
      </c>
      <c r="M481" s="14">
        <f>IFERROR(IF(OR(J481=0,K481=""),"",IF(E481="Positivo",MAX(K481/J481,0),MAX(J481/K481,0))),"") </f>
        <v/>
      </c>
      <c r="N481" s="5" t="inlineStr">
        <is>
          <t>%</t>
        </is>
      </c>
      <c r="O481" s="5" t="inlineStr">
        <is>
          <t>%</t>
        </is>
      </c>
      <c r="P481" s="5" t="n">
        <v>0</v>
      </c>
      <c r="Q481" s="5" t="n">
        <v>0</v>
      </c>
      <c r="R481" s="5" t="inlineStr">
        <is>
          <t>290-2025-06-30</t>
        </is>
      </c>
    </row>
    <row r="482">
      <c r="A482" s="5" t="n">
        <v>291</v>
      </c>
      <c r="B482" s="5" t="inlineStr">
        <is>
          <t>Cumplimiento del cronograma de actividades deportivas</t>
        </is>
      </c>
      <c r="C482" s="5" t="inlineStr">
        <is>
          <t>Cultura y Deporte</t>
        </is>
      </c>
      <c r="D482" s="5" t="inlineStr">
        <is>
          <t>Semestral</t>
        </is>
      </c>
      <c r="E482" s="5" t="inlineStr">
        <is>
          <t>Positivo</t>
        </is>
      </c>
      <c r="F482" s="107" t="n">
        <v>45291</v>
      </c>
      <c r="G482" s="5" t="n">
        <v>2023</v>
      </c>
      <c r="H482" s="5" t="inlineStr">
        <is>
          <t>Diciembre</t>
        </is>
      </c>
      <c r="I482" s="6" t="inlineStr">
        <is>
          <t>2023-2</t>
        </is>
      </c>
      <c r="J482" s="5" t="n">
        <v>100</v>
      </c>
      <c r="K482" s="5" t="n">
        <v>100</v>
      </c>
      <c r="L482" s="14">
        <f>IFERROR(IF(OR(J482=0,K482=""),"",IF(E482="Positivo",MIN(MAX(K482/J482,0),1.3),MIN(MAX(J482/K482,0),1.3))),"") </f>
        <v/>
      </c>
      <c r="M482" s="14">
        <f>IFERROR(IF(OR(J482=0,K482=""),"",IF(E482="Positivo",MAX(K482/J482,0),MAX(J482/K482,0))),"") </f>
        <v/>
      </c>
      <c r="N482" s="5" t="inlineStr">
        <is>
          <t>%</t>
        </is>
      </c>
      <c r="O482" s="5" t="inlineStr">
        <is>
          <t>%</t>
        </is>
      </c>
      <c r="P482" s="5" t="n">
        <v>0</v>
      </c>
      <c r="Q482" s="5" t="n">
        <v>0</v>
      </c>
      <c r="R482" s="5" t="inlineStr">
        <is>
          <t>291-2023-12-31</t>
        </is>
      </c>
    </row>
    <row r="483">
      <c r="A483" s="5" t="n">
        <v>291</v>
      </c>
      <c r="B483" s="5" t="inlineStr">
        <is>
          <t>Cumplimiento del cronograma de actividades deportivas</t>
        </is>
      </c>
      <c r="C483" s="5" t="inlineStr">
        <is>
          <t>Cultura y Deporte</t>
        </is>
      </c>
      <c r="D483" s="5" t="inlineStr">
        <is>
          <t>Semestral</t>
        </is>
      </c>
      <c r="E483" s="5" t="inlineStr">
        <is>
          <t>Positivo</t>
        </is>
      </c>
      <c r="F483" s="107" t="n">
        <v>45657</v>
      </c>
      <c r="G483" s="5" t="n">
        <v>2024</v>
      </c>
      <c r="H483" s="5" t="inlineStr">
        <is>
          <t>Diciembre</t>
        </is>
      </c>
      <c r="I483" s="6" t="inlineStr">
        <is>
          <t>2024-2</t>
        </is>
      </c>
      <c r="J483" s="5" t="n">
        <v>100</v>
      </c>
      <c r="K483" s="5" t="n">
        <v>100</v>
      </c>
      <c r="L483" s="14">
        <f>IFERROR(IF(OR(J483=0,K483=""),"",IF(E483="Positivo",MIN(MAX(K483/J483,0),1.3),MIN(MAX(J483/K483,0),1.3))),"") </f>
        <v/>
      </c>
      <c r="M483" s="14">
        <f>IFERROR(IF(OR(J483=0,K483=""),"",IF(E483="Positivo",MAX(K483/J483,0),MAX(J483/K483,0))),"") </f>
        <v/>
      </c>
      <c r="N483" s="5" t="inlineStr">
        <is>
          <t>%</t>
        </is>
      </c>
      <c r="O483" s="5" t="inlineStr">
        <is>
          <t>%</t>
        </is>
      </c>
      <c r="P483" s="5" t="n">
        <v>0</v>
      </c>
      <c r="Q483" s="5" t="n">
        <v>0</v>
      </c>
      <c r="R483" s="5" t="inlineStr">
        <is>
          <t>291-2024-12-31</t>
        </is>
      </c>
    </row>
    <row r="484">
      <c r="A484" s="5" t="n">
        <v>292</v>
      </c>
      <c r="B484" s="5" t="inlineStr">
        <is>
          <t>Participación en Actividades deportivas presenciales</t>
        </is>
      </c>
      <c r="C484" s="5" t="inlineStr">
        <is>
          <t>Cultura y Deporte</t>
        </is>
      </c>
      <c r="D484" s="5" t="inlineStr">
        <is>
          <t>Semestral</t>
        </is>
      </c>
      <c r="E484" s="5" t="inlineStr">
        <is>
          <t>Positivo</t>
        </is>
      </c>
      <c r="F484" s="107" t="n">
        <v>45291</v>
      </c>
      <c r="G484" s="15" t="n">
        <v>2023</v>
      </c>
      <c r="H484" s="6" t="inlineStr">
        <is>
          <t>Diciembre</t>
        </is>
      </c>
      <c r="I484" s="6" t="inlineStr">
        <is>
          <t>2023-2</t>
        </is>
      </c>
      <c r="J484" s="73" t="n">
        <v>6</v>
      </c>
      <c r="K484" s="9" t="n">
        <v>38.649673477986</v>
      </c>
      <c r="L484" s="14">
        <f>IFERROR(IF(OR(J484=0,K484=""),"",IF(E484="Positivo",MIN(MAX(K484/J484,0),1.3),MIN(MAX(J484/K484,0),1.3))),"") </f>
        <v/>
      </c>
      <c r="M484" s="14">
        <f>IFERROR(IF(OR(J484=0,K484=""),"",IF(E484="Positivo",MAX(K484/J484,0),MAX(J484/K484,0))),"") </f>
        <v/>
      </c>
      <c r="N484" s="5" t="inlineStr">
        <is>
          <t>%</t>
        </is>
      </c>
      <c r="O484" s="5" t="inlineStr">
        <is>
          <t>%</t>
        </is>
      </c>
      <c r="P484" s="5" t="n">
        <v>0</v>
      </c>
      <c r="Q484" s="5" t="n">
        <v>0</v>
      </c>
      <c r="R484" s="5" t="inlineStr">
        <is>
          <t>292-2023-12-31</t>
        </is>
      </c>
    </row>
    <row r="485">
      <c r="A485" s="5" t="n">
        <v>292</v>
      </c>
      <c r="B485" s="5" t="inlineStr">
        <is>
          <t>Participación en Actividades deportivas</t>
        </is>
      </c>
      <c r="C485" s="5" t="inlineStr">
        <is>
          <t>Cultura y Deporte</t>
        </is>
      </c>
      <c r="D485" s="13" t="inlineStr">
        <is>
          <t>Semestral</t>
        </is>
      </c>
      <c r="E485" s="5" t="inlineStr">
        <is>
          <t>Positivo</t>
        </is>
      </c>
      <c r="F485" s="107" t="n">
        <v>45657</v>
      </c>
      <c r="G485" s="15" t="n">
        <v>2024</v>
      </c>
      <c r="H485" s="6" t="inlineStr">
        <is>
          <t>Diciembre</t>
        </is>
      </c>
      <c r="I485" s="6" t="inlineStr">
        <is>
          <t>2024-2</t>
        </is>
      </c>
      <c r="J485" s="5" t="n">
        <v>6</v>
      </c>
      <c r="K485" s="5" t="n">
        <v>37.57776741179673</v>
      </c>
      <c r="L485" s="14">
        <f>IFERROR(IF(OR(J485=0,K485=""),"",IF(E485="Positivo",MIN(MAX(K485/J485,0),1.3),MIN(MAX(J485/K485,0),1.3))),"") </f>
        <v/>
      </c>
      <c r="M485" s="14">
        <f>IFERROR(IF(OR(J485=0,K485=""),"",IF(E485="Positivo",MAX(K485/J485,0),MAX(J485/K485,0))),"") </f>
        <v/>
      </c>
      <c r="N485" s="5" t="inlineStr">
        <is>
          <t>%</t>
        </is>
      </c>
      <c r="O485" s="5" t="inlineStr">
        <is>
          <t>%</t>
        </is>
      </c>
      <c r="P485" s="5" t="n">
        <v>0</v>
      </c>
      <c r="Q485" s="5" t="n">
        <v>0</v>
      </c>
      <c r="R485" s="5" t="inlineStr">
        <is>
          <t>292-2024-12-31</t>
        </is>
      </c>
    </row>
    <row r="486">
      <c r="A486" s="5" t="n">
        <v>292</v>
      </c>
      <c r="B486" s="5" t="inlineStr">
        <is>
          <t>Participación en Actividades deportivas</t>
        </is>
      </c>
      <c r="C486" s="5" t="inlineStr">
        <is>
          <t>Cultura y Deporte</t>
        </is>
      </c>
      <c r="D486" s="13" t="inlineStr">
        <is>
          <t>Trimestral</t>
        </is>
      </c>
      <c r="E486" s="5" t="inlineStr">
        <is>
          <t>Positivo</t>
        </is>
      </c>
      <c r="F486" s="107" t="n">
        <v>46022</v>
      </c>
      <c r="G486" s="15" t="n">
        <v>2025</v>
      </c>
      <c r="H486" s="6" t="inlineStr">
        <is>
          <t>Diciembre</t>
        </is>
      </c>
      <c r="I486" s="6" t="inlineStr">
        <is>
          <t>2025-2</t>
        </is>
      </c>
      <c r="J486" s="5" t="n">
        <v>16</v>
      </c>
      <c r="K486" s="5" t="n">
        <v>21</v>
      </c>
      <c r="L486" s="14">
        <f>IFERROR(IF(OR(J486=0,K486=""),"",IF(E486="Positivo",MIN(MAX(K486/J486,0),1.3),MIN(MAX(J486/K486,0),1.3))),"") </f>
        <v/>
      </c>
      <c r="M486" s="14">
        <f>IFERROR(IF(OR(J486=0,K486=""),"",IF(E486="Positivo",MAX(K486/J486,0),MAX(J486/K486,0))),"") </f>
        <v/>
      </c>
      <c r="N486" s="5" t="inlineStr">
        <is>
          <t>%</t>
        </is>
      </c>
      <c r="O486" s="5" t="inlineStr">
        <is>
          <t>%</t>
        </is>
      </c>
      <c r="P486" s="5" t="n">
        <v>0</v>
      </c>
      <c r="Q486" s="5" t="n">
        <v>0</v>
      </c>
      <c r="R486" s="5" t="inlineStr">
        <is>
          <t>292-2025-12-31</t>
        </is>
      </c>
    </row>
    <row r="487">
      <c r="A487" s="5" t="n">
        <v>293</v>
      </c>
      <c r="B487" s="5" t="inlineStr">
        <is>
          <t>Cumplimiento del cronograma de actividades culturales</t>
        </is>
      </c>
      <c r="C487" s="5" t="inlineStr">
        <is>
          <t>Cultura y Deporte</t>
        </is>
      </c>
      <c r="D487" s="13" t="inlineStr">
        <is>
          <t>Semestral</t>
        </is>
      </c>
      <c r="E487" s="5" t="inlineStr">
        <is>
          <t>Positivo</t>
        </is>
      </c>
      <c r="F487" s="107" t="n">
        <v>45291</v>
      </c>
      <c r="G487" s="15" t="n">
        <v>2023</v>
      </c>
      <c r="H487" s="6" t="inlineStr">
        <is>
          <t>Diciembre</t>
        </is>
      </c>
      <c r="I487" s="6" t="inlineStr">
        <is>
          <t>2023-2</t>
        </is>
      </c>
      <c r="J487" s="5" t="n">
        <v>100</v>
      </c>
      <c r="K487" s="5" t="n">
        <v>100</v>
      </c>
      <c r="L487" s="14">
        <f>IFERROR(IF(OR(J487=0,K487=""),"",IF(E487="Positivo",MIN(MAX(K487/J487,0),1.3),MIN(MAX(J487/K487,0),1.3))),"") </f>
        <v/>
      </c>
      <c r="M487" s="14">
        <f>IFERROR(IF(OR(J487=0,K487=""),"",IF(E487="Positivo",MAX(K487/J487,0),MAX(J487/K487,0))),"") </f>
        <v/>
      </c>
      <c r="N487" s="5" t="inlineStr">
        <is>
          <t>%</t>
        </is>
      </c>
      <c r="O487" s="5" t="inlineStr">
        <is>
          <t>%</t>
        </is>
      </c>
      <c r="P487" s="5" t="n">
        <v>0</v>
      </c>
      <c r="Q487" s="5" t="n">
        <v>0</v>
      </c>
      <c r="R487" s="5" t="inlineStr">
        <is>
          <t>293-2023-12-31</t>
        </is>
      </c>
    </row>
    <row r="488">
      <c r="A488" s="5" t="n">
        <v>293</v>
      </c>
      <c r="B488" s="5" t="inlineStr">
        <is>
          <t>Cumplimiento del cronograma de actividades culturales</t>
        </is>
      </c>
      <c r="C488" s="5" t="inlineStr">
        <is>
          <t>Cultura y Deporte</t>
        </is>
      </c>
      <c r="D488" s="5" t="inlineStr">
        <is>
          <t>Semestral</t>
        </is>
      </c>
      <c r="E488" s="5" t="inlineStr">
        <is>
          <t>Positivo</t>
        </is>
      </c>
      <c r="F488" s="107" t="n">
        <v>45657</v>
      </c>
      <c r="G488" s="5" t="n">
        <v>2024</v>
      </c>
      <c r="H488" s="5" t="inlineStr">
        <is>
          <t>Diciembre</t>
        </is>
      </c>
      <c r="I488" s="6" t="inlineStr">
        <is>
          <t>2024-2</t>
        </is>
      </c>
      <c r="J488" s="5" t="n">
        <v>100</v>
      </c>
      <c r="K488" s="5" t="n">
        <v>100</v>
      </c>
      <c r="L488" s="14">
        <f>IFERROR(IF(OR(J488=0,K488=""),"",IF(E488="Positivo",MIN(MAX(K488/J488,0),1.3),MIN(MAX(J488/K488,0),1.3))),"") </f>
        <v/>
      </c>
      <c r="M488" s="14">
        <f>IFERROR(IF(OR(J488=0,K488=""),"",IF(E488="Positivo",MAX(K488/J488,0),MAX(J488/K488,0))),"") </f>
        <v/>
      </c>
      <c r="N488" s="5" t="inlineStr">
        <is>
          <t>%</t>
        </is>
      </c>
      <c r="O488" s="5" t="inlineStr">
        <is>
          <t>%</t>
        </is>
      </c>
      <c r="P488" s="5" t="n">
        <v>0</v>
      </c>
      <c r="Q488" s="5" t="n">
        <v>0</v>
      </c>
      <c r="R488" s="5" t="inlineStr">
        <is>
          <t>293-2024-12-31</t>
        </is>
      </c>
    </row>
    <row r="489">
      <c r="A489" s="5" t="n">
        <v>294</v>
      </c>
      <c r="B489" s="5" t="inlineStr">
        <is>
          <t>Participación en actividades culturales presenciales</t>
        </is>
      </c>
      <c r="C489" s="5" t="inlineStr">
        <is>
          <t>Cultura y Deporte</t>
        </is>
      </c>
      <c r="D489" s="5" t="inlineStr">
        <is>
          <t>Semestral</t>
        </is>
      </c>
      <c r="E489" s="5" t="inlineStr">
        <is>
          <t>Positivo</t>
        </is>
      </c>
      <c r="F489" s="107" t="n">
        <v>45291</v>
      </c>
      <c r="G489" s="5" t="n">
        <v>2023</v>
      </c>
      <c r="H489" s="5" t="inlineStr">
        <is>
          <t>Diciembre</t>
        </is>
      </c>
      <c r="I489" s="6" t="inlineStr">
        <is>
          <t>2023-2</t>
        </is>
      </c>
      <c r="J489" s="5" t="n">
        <v>6</v>
      </c>
      <c r="K489" s="5" t="n">
        <v>72.145485125617</v>
      </c>
      <c r="L489" s="14">
        <f>IFERROR(IF(OR(J489=0,K489=""),"",IF(E489="Positivo",MIN(MAX(K489/J489,0),1.3),MIN(MAX(J489/K489,0),1.3))),"") </f>
        <v/>
      </c>
      <c r="M489" s="14">
        <f>IFERROR(IF(OR(J489=0,K489=""),"",IF(E489="Positivo",MAX(K489/J489,0),MAX(J489/K489,0))),"") </f>
        <v/>
      </c>
      <c r="N489" s="5" t="inlineStr">
        <is>
          <t>%</t>
        </is>
      </c>
      <c r="O489" s="5" t="inlineStr">
        <is>
          <t>%</t>
        </is>
      </c>
      <c r="P489" s="5" t="n">
        <v>0</v>
      </c>
      <c r="Q489" s="5" t="n">
        <v>0</v>
      </c>
      <c r="R489" s="5" t="inlineStr">
        <is>
          <t>294-2023-12-31</t>
        </is>
      </c>
    </row>
    <row r="490">
      <c r="A490" s="5" t="n">
        <v>294</v>
      </c>
      <c r="B490" s="5" t="inlineStr">
        <is>
          <t>Participación en actividades culturales</t>
        </is>
      </c>
      <c r="C490" s="5" t="inlineStr">
        <is>
          <t>Cultura y Deporte</t>
        </is>
      </c>
      <c r="D490" s="5" t="inlineStr">
        <is>
          <t>Semestral</t>
        </is>
      </c>
      <c r="E490" s="5" t="inlineStr">
        <is>
          <t>Positivo</t>
        </is>
      </c>
      <c r="F490" s="107" t="n">
        <v>45657</v>
      </c>
      <c r="G490" s="5" t="n">
        <v>2024</v>
      </c>
      <c r="H490" s="5" t="inlineStr">
        <is>
          <t>Diciembre</t>
        </is>
      </c>
      <c r="I490" s="6" t="inlineStr">
        <is>
          <t>2024-2</t>
        </is>
      </c>
      <c r="J490" s="5" t="n">
        <v>6</v>
      </c>
      <c r="K490" s="5" t="n">
        <v>31.77669452181987</v>
      </c>
      <c r="L490" s="14">
        <f>IFERROR(IF(OR(J490=0,K490=""),"",IF(E490="Positivo",MIN(MAX(K490/J490,0),1.3),MIN(MAX(J490/K490,0),1.3))),"") </f>
        <v/>
      </c>
      <c r="M490" s="14">
        <f>IFERROR(IF(OR(J490=0,K490=""),"",IF(E490="Positivo",MAX(K490/J490,0),MAX(J490/K490,0))),"") </f>
        <v/>
      </c>
      <c r="N490" s="5" t="inlineStr">
        <is>
          <t>%</t>
        </is>
      </c>
      <c r="O490" s="5" t="inlineStr">
        <is>
          <t>%</t>
        </is>
      </c>
      <c r="P490" s="5" t="n">
        <v>0</v>
      </c>
      <c r="Q490" s="5" t="n">
        <v>0</v>
      </c>
      <c r="R490" s="5" t="inlineStr">
        <is>
          <t>294-2024-12-31</t>
        </is>
      </c>
    </row>
    <row r="491">
      <c r="A491" s="5" t="n">
        <v>294</v>
      </c>
      <c r="B491" s="5" t="inlineStr">
        <is>
          <t>Participación en actividades culturales</t>
        </is>
      </c>
      <c r="C491" s="5" t="inlineStr">
        <is>
          <t>Cultura y Deporte</t>
        </is>
      </c>
      <c r="D491" s="5" t="inlineStr">
        <is>
          <t>Trimestral</t>
        </is>
      </c>
      <c r="E491" s="5" t="inlineStr">
        <is>
          <t>Positivo</t>
        </is>
      </c>
      <c r="F491" s="107" t="n">
        <v>46022</v>
      </c>
      <c r="G491" s="5" t="n">
        <v>2025</v>
      </c>
      <c r="H491" s="5" t="inlineStr">
        <is>
          <t>Diciembre</t>
        </is>
      </c>
      <c r="I491" s="6" t="inlineStr">
        <is>
          <t>2025-2</t>
        </is>
      </c>
      <c r="J491" s="5" t="n">
        <v>16</v>
      </c>
      <c r="K491" s="5" t="n">
        <v>44.83000000000001</v>
      </c>
      <c r="L491" s="14">
        <f>IFERROR(IF(OR(J491=0,K491=""),"",IF(E491="Positivo",MIN(MAX(K491/J491,0),1.3),MIN(MAX(J491/K491,0),1.3))),"") </f>
        <v/>
      </c>
      <c r="M491" s="14">
        <f>IFERROR(IF(OR(J491=0,K491=""),"",IF(E491="Positivo",MAX(K491/J491,0),MAX(J491/K491,0))),"") </f>
        <v/>
      </c>
      <c r="N491" s="5" t="inlineStr">
        <is>
          <t>%</t>
        </is>
      </c>
      <c r="O491" s="5" t="inlineStr">
        <is>
          <t>%</t>
        </is>
      </c>
      <c r="P491" s="5" t="n">
        <v>0</v>
      </c>
      <c r="Q491" s="5" t="n">
        <v>0</v>
      </c>
      <c r="R491" s="5" t="inlineStr">
        <is>
          <t>294-2025-12-31</t>
        </is>
      </c>
    </row>
    <row r="492">
      <c r="A492" s="5" t="n">
        <v>295</v>
      </c>
      <c r="B492" s="5" t="inlineStr">
        <is>
          <t>Cumplimiento Del Cierre De Oportunidades De Mejora De Auditoria</t>
        </is>
      </c>
      <c r="C492" s="5" t="inlineStr">
        <is>
          <t>AUDITORÍA INTERNA</t>
        </is>
      </c>
      <c r="D492" s="5" t="inlineStr">
        <is>
          <t>Semestral</t>
        </is>
      </c>
      <c r="E492" s="5" t="inlineStr">
        <is>
          <t>Positivo</t>
        </is>
      </c>
      <c r="F492" s="107" t="n">
        <v>45291</v>
      </c>
      <c r="G492" s="5" t="n">
        <v>2023</v>
      </c>
      <c r="H492" s="5" t="inlineStr">
        <is>
          <t>Diciembre</t>
        </is>
      </c>
      <c r="I492" s="6" t="inlineStr">
        <is>
          <t>2023-2</t>
        </is>
      </c>
      <c r="J492" s="5" t="n">
        <v>32</v>
      </c>
      <c r="K492" s="5" t="n">
        <v>14</v>
      </c>
      <c r="L492" s="14">
        <f>IFERROR(IF(OR(J492=0,K492=""),"",IF(E492="Positivo",MIN(MAX(K492/J492,0),1.3),MIN(MAX(J492/K492,0),1.3))),"") </f>
        <v/>
      </c>
      <c r="M492" s="14">
        <f>IFERROR(IF(OR(J492=0,K492=""),"",IF(E492="Positivo",MAX(K492/J492,0),MAX(J492/K492,0))),"") </f>
        <v/>
      </c>
      <c r="N492" s="5" t="inlineStr">
        <is>
          <t>ENT</t>
        </is>
      </c>
      <c r="O492" s="5" t="inlineStr">
        <is>
          <t>ENT</t>
        </is>
      </c>
      <c r="P492" s="5" t="n">
        <v>0</v>
      </c>
      <c r="Q492" s="5" t="n">
        <v>0</v>
      </c>
      <c r="R492" s="5" t="inlineStr">
        <is>
          <t>295-2023-12-31</t>
        </is>
      </c>
    </row>
    <row r="493">
      <c r="A493" s="5" t="n">
        <v>295</v>
      </c>
      <c r="B493" s="5" t="inlineStr">
        <is>
          <t>Cumplimiento Del Cierre De Oportunidades De Mejora De Auditoria</t>
        </is>
      </c>
      <c r="C493" s="5" t="inlineStr">
        <is>
          <t>AUDITORÍA INTERNA</t>
        </is>
      </c>
      <c r="D493" s="5" t="inlineStr">
        <is>
          <t>Semestral</t>
        </is>
      </c>
      <c r="E493" s="5" t="inlineStr">
        <is>
          <t>Positivo</t>
        </is>
      </c>
      <c r="F493" s="107" t="n">
        <v>45473</v>
      </c>
      <c r="G493" s="5" t="n">
        <v>2024</v>
      </c>
      <c r="H493" s="5" t="inlineStr">
        <is>
          <t>Junio</t>
        </is>
      </c>
      <c r="I493" s="6" t="inlineStr">
        <is>
          <t>2024-1</t>
        </is>
      </c>
      <c r="J493" s="5" t="n">
        <v>60</v>
      </c>
      <c r="K493" s="5" t="n">
        <v>52.38</v>
      </c>
      <c r="L493" s="14">
        <f>IFERROR(IF(OR(J493=0,K493=""),"",IF(E493="Positivo",MIN(MAX(K493/J493,0),1.3),MIN(MAX(J493/K493,0),1.3))),"") </f>
        <v/>
      </c>
      <c r="M493" s="14">
        <f>IFERROR(IF(OR(J493=0,K493=""),"",IF(E493="Positivo",MAX(K493/J493,0),MAX(J493/K493,0))),"") </f>
        <v/>
      </c>
      <c r="N493" s="5" t="inlineStr">
        <is>
          <t>ENT</t>
        </is>
      </c>
      <c r="O493" s="5" t="inlineStr">
        <is>
          <t>ENT</t>
        </is>
      </c>
      <c r="P493" s="5" t="n">
        <v>0</v>
      </c>
      <c r="Q493" s="5" t="n">
        <v>0</v>
      </c>
      <c r="R493" s="5" t="inlineStr">
        <is>
          <t>295-2024-06-30</t>
        </is>
      </c>
    </row>
    <row r="494">
      <c r="A494" s="5" t="n">
        <v>296</v>
      </c>
      <c r="B494" s="5" t="inlineStr">
        <is>
          <t>Gestión de riesgos por subprocesos</t>
        </is>
      </c>
      <c r="C494" s="5" t="inlineStr">
        <is>
          <t>GESTIÓN DE RIESGOS</t>
        </is>
      </c>
      <c r="D494" s="5" t="inlineStr">
        <is>
          <t>Bimestral</t>
        </is>
      </c>
      <c r="E494" s="5" t="inlineStr">
        <is>
          <t>Positivo</t>
        </is>
      </c>
      <c r="F494" s="107" t="n">
        <v>45291</v>
      </c>
      <c r="G494" s="5" t="n">
        <v>2023</v>
      </c>
      <c r="H494" s="5" t="inlineStr">
        <is>
          <t>Diciembre</t>
        </is>
      </c>
      <c r="I494" s="6" t="inlineStr">
        <is>
          <t>2023-2</t>
        </is>
      </c>
      <c r="J494" s="5" t="n">
        <v>100</v>
      </c>
      <c r="K494" s="5" t="n">
        <v>85.45</v>
      </c>
      <c r="L494" s="14">
        <f>IFERROR(IF(OR(J494=0,K494=""),"",IF(E494="Positivo",MIN(MAX(K494/J494,0),1.3),MIN(MAX(J494/K494,0),1.3))),"") </f>
        <v/>
      </c>
      <c r="M494" s="14">
        <f>IFERROR(IF(OR(J494=0,K494=""),"",IF(E494="Positivo",MAX(K494/J494,0),MAX(J494/K494,0))),"") </f>
        <v/>
      </c>
      <c r="N494" s="5" t="inlineStr">
        <is>
          <t>ENT</t>
        </is>
      </c>
      <c r="O494" s="5" t="inlineStr">
        <is>
          <t>DEC</t>
        </is>
      </c>
      <c r="P494" s="5" t="n">
        <v>1</v>
      </c>
      <c r="Q494" s="5" t="n">
        <v>1</v>
      </c>
      <c r="R494" s="5" t="inlineStr">
        <is>
          <t>296-2023-12-31</t>
        </is>
      </c>
    </row>
    <row r="495">
      <c r="A495" s="5" t="n">
        <v>297</v>
      </c>
      <c r="B495" s="5" t="inlineStr">
        <is>
          <t>N de riesgos operacionales intervenidos</t>
        </is>
      </c>
      <c r="C495" s="5" t="inlineStr">
        <is>
          <t>GESTIÓN DE RIESGOS</t>
        </is>
      </c>
      <c r="D495" s="5" t="inlineStr">
        <is>
          <t>Bimestral</t>
        </is>
      </c>
      <c r="E495" s="5" t="inlineStr">
        <is>
          <t>Negativo</t>
        </is>
      </c>
      <c r="F495" s="107" t="n">
        <v>45291</v>
      </c>
      <c r="G495" s="5" t="n">
        <v>2023</v>
      </c>
      <c r="H495" s="5" t="inlineStr">
        <is>
          <t>Diciembre</t>
        </is>
      </c>
      <c r="I495" s="6" t="inlineStr">
        <is>
          <t>2023-2</t>
        </is>
      </c>
      <c r="J495" s="5" t="n">
        <v>20</v>
      </c>
      <c r="K495" s="5" t="n">
        <v>0.93</v>
      </c>
      <c r="L495" s="14">
        <f>IFERROR(IF(OR(J495=0,K495=""),"",IF(E495="Positivo",MIN(MAX(K495/J495,0),1.3),MIN(MAX(J495/K495,0),1.3))),"") </f>
        <v/>
      </c>
      <c r="M495" s="14">
        <f>IFERROR(IF(OR(J495=0,K495=""),"",IF(E495="Positivo",MAX(K495/J495,0),MAX(J495/K495,0))),"") </f>
        <v/>
      </c>
      <c r="N495" s="5" t="inlineStr">
        <is>
          <t>ENT</t>
        </is>
      </c>
      <c r="O495" s="5" t="inlineStr">
        <is>
          <t>DEC</t>
        </is>
      </c>
      <c r="P495" s="5" t="n">
        <v>1</v>
      </c>
      <c r="Q495" s="5" t="n">
        <v>1</v>
      </c>
      <c r="R495" s="5" t="inlineStr">
        <is>
          <t>297-2023-12-31</t>
        </is>
      </c>
    </row>
    <row r="496">
      <c r="A496" s="5" t="n">
        <v>298</v>
      </c>
      <c r="B496" s="5" t="inlineStr">
        <is>
          <t>N de riesgos materializados</t>
        </is>
      </c>
      <c r="C496" s="5" t="inlineStr">
        <is>
          <t>GESTIÓN DE RIESGOS</t>
        </is>
      </c>
      <c r="D496" s="5" t="inlineStr">
        <is>
          <t>Semestral</t>
        </is>
      </c>
      <c r="E496" s="5" t="inlineStr">
        <is>
          <t>Negativo</t>
        </is>
      </c>
      <c r="F496" s="107" t="n">
        <v>45291</v>
      </c>
      <c r="G496" s="5" t="n">
        <v>2023</v>
      </c>
      <c r="H496" s="5" t="inlineStr">
        <is>
          <t>Diciembre</t>
        </is>
      </c>
      <c r="I496" s="6" t="inlineStr">
        <is>
          <t>2023-2</t>
        </is>
      </c>
      <c r="J496" s="5" t="n"/>
      <c r="K496" s="5" t="n">
        <v>1</v>
      </c>
      <c r="L496" s="14" t="n"/>
      <c r="M496" s="14" t="n"/>
      <c r="N496" s="5" t="inlineStr">
        <is>
          <t>Linea Base</t>
        </is>
      </c>
      <c r="O496" s="5" t="inlineStr">
        <is>
          <t>ENT</t>
        </is>
      </c>
      <c r="P496" s="5" t="n">
        <v>0</v>
      </c>
      <c r="Q496" s="5" t="n">
        <v>0</v>
      </c>
      <c r="R496" s="5" t="inlineStr">
        <is>
          <t>298-2023-12-31</t>
        </is>
      </c>
    </row>
    <row r="497">
      <c r="A497" s="5" t="n">
        <v>300</v>
      </c>
      <c r="B497" s="5" t="inlineStr">
        <is>
          <t>Cumplimiento de Inspecciones de control</t>
        </is>
      </c>
      <c r="C497" s="5" t="inlineStr">
        <is>
          <t>Administración de Servicios Generales</t>
        </is>
      </c>
      <c r="D497" s="5" t="inlineStr">
        <is>
          <t>Trimestral</t>
        </is>
      </c>
      <c r="E497" s="5" t="inlineStr">
        <is>
          <t>Positivo</t>
        </is>
      </c>
      <c r="F497" s="107" t="n">
        <v>45291</v>
      </c>
      <c r="G497" s="5" t="n">
        <v>2023</v>
      </c>
      <c r="H497" s="5" t="inlineStr">
        <is>
          <t>Diciembre</t>
        </is>
      </c>
      <c r="I497" s="6" t="inlineStr">
        <is>
          <t>2023-2</t>
        </is>
      </c>
      <c r="J497" s="5" t="n">
        <v>100</v>
      </c>
      <c r="K497" s="5" t="n">
        <v>100</v>
      </c>
      <c r="L497" s="14">
        <f>IFERROR(IF(OR(J497=0,K497=""),"",IF(E497="Positivo",MIN(MAX(K497/J497,0),1.3),MIN(MAX(J497/K497,0),1.3))),"") </f>
        <v/>
      </c>
      <c r="M497" s="14">
        <f>IFERROR(IF(OR(J497=0,K497=""),"",IF(E497="Positivo",MAX(K497/J497,0),MAX(J497/K497,0))),"") </f>
        <v/>
      </c>
      <c r="N497" s="5" t="inlineStr">
        <is>
          <t>%</t>
        </is>
      </c>
      <c r="O497" s="5" t="inlineStr">
        <is>
          <t>%</t>
        </is>
      </c>
      <c r="P497" s="5" t="n">
        <v>0</v>
      </c>
      <c r="Q497" s="5" t="n">
        <v>0</v>
      </c>
      <c r="R497" s="5" t="inlineStr">
        <is>
          <t>300-2023-12-31</t>
        </is>
      </c>
    </row>
    <row r="498">
      <c r="A498" s="5" t="n">
        <v>300</v>
      </c>
      <c r="B498" s="5" t="inlineStr">
        <is>
          <t>Cumplimiento de Inspecciones de control</t>
        </is>
      </c>
      <c r="C498" s="5" t="inlineStr">
        <is>
          <t>Administración de Servicios Generales</t>
        </is>
      </c>
      <c r="D498" s="5" t="inlineStr">
        <is>
          <t>Trimestral</t>
        </is>
      </c>
      <c r="E498" s="5" t="inlineStr">
        <is>
          <t>Positivo</t>
        </is>
      </c>
      <c r="F498" s="107" t="n">
        <v>45657</v>
      </c>
      <c r="G498" s="5" t="n">
        <v>2024</v>
      </c>
      <c r="H498" s="5" t="inlineStr">
        <is>
          <t>Diciembre</t>
        </is>
      </c>
      <c r="I498" s="6" t="inlineStr">
        <is>
          <t>2024-2</t>
        </is>
      </c>
      <c r="J498" s="5" t="n">
        <v>100</v>
      </c>
      <c r="K498" s="5" t="n">
        <v>100</v>
      </c>
      <c r="L498" s="14">
        <f>IFERROR(IF(OR(J498=0,K498=""),"",IF(E498="Positivo",MIN(MAX(K498/J498,0),1.3),MIN(MAX(J498/K498,0),1.3))),"") </f>
        <v/>
      </c>
      <c r="M498" s="14">
        <f>IFERROR(IF(OR(J498=0,K498=""),"",IF(E498="Positivo",MAX(K498/J498,0),MAX(J498/K498,0))),"") </f>
        <v/>
      </c>
      <c r="N498" s="5" t="inlineStr">
        <is>
          <t>%</t>
        </is>
      </c>
      <c r="O498" s="5" t="inlineStr">
        <is>
          <t>%</t>
        </is>
      </c>
      <c r="P498" s="5" t="n">
        <v>0</v>
      </c>
      <c r="Q498" s="5" t="n">
        <v>0</v>
      </c>
      <c r="R498" s="5" t="inlineStr">
        <is>
          <t>300-2024-12-31</t>
        </is>
      </c>
    </row>
    <row r="499">
      <c r="A499" s="5" t="n">
        <v>300</v>
      </c>
      <c r="B499" s="5" t="inlineStr">
        <is>
          <t>Cumplimiento de Inspecciones de control</t>
        </is>
      </c>
      <c r="C499" s="5" t="inlineStr">
        <is>
          <t>Administración de Servicios Generales</t>
        </is>
      </c>
      <c r="D499" s="5" t="inlineStr">
        <is>
          <t>Semestral</t>
        </is>
      </c>
      <c r="E499" s="5" t="inlineStr">
        <is>
          <t>Positivo</t>
        </is>
      </c>
      <c r="F499" s="107" t="n">
        <v>46022</v>
      </c>
      <c r="G499" s="5" t="n">
        <v>2025</v>
      </c>
      <c r="H499" s="5" t="inlineStr">
        <is>
          <t>Diciembre</t>
        </is>
      </c>
      <c r="I499" s="6" t="inlineStr">
        <is>
          <t>2025-2</t>
        </is>
      </c>
      <c r="J499" s="5" t="n">
        <v>100</v>
      </c>
      <c r="K499" s="5" t="n">
        <v>100</v>
      </c>
      <c r="L499" s="14">
        <f>IFERROR(IF(OR(J499=0,K499=""),"",IF(E499="Positivo",MIN(MAX(K499/J499,0),1.3),MIN(MAX(J499/K499,0),1.3))),"") </f>
        <v/>
      </c>
      <c r="M499" s="14">
        <f>IFERROR(IF(OR(J499=0,K499=""),"",IF(E499="Positivo",MAX(K499/J499,0),MAX(J499/K499,0))),"") </f>
        <v/>
      </c>
      <c r="N499" s="5" t="inlineStr">
        <is>
          <t>%</t>
        </is>
      </c>
      <c r="O499" s="5" t="inlineStr">
        <is>
          <t>%</t>
        </is>
      </c>
      <c r="P499" s="5" t="n">
        <v>0</v>
      </c>
      <c r="Q499" s="5" t="n">
        <v>0</v>
      </c>
      <c r="R499" s="5" t="inlineStr">
        <is>
          <t>300-2025-12-31</t>
        </is>
      </c>
    </row>
    <row r="500">
      <c r="A500" s="5" t="n">
        <v>301</v>
      </c>
      <c r="B500" s="5" t="inlineStr">
        <is>
          <t>Cumplimiento plan de trabajo</t>
        </is>
      </c>
      <c r="C500" s="5" t="inlineStr">
        <is>
          <t>Administración de Servicios Generales</t>
        </is>
      </c>
      <c r="D500" s="5" t="inlineStr">
        <is>
          <t>Trimestral</t>
        </is>
      </c>
      <c r="E500" s="5" t="inlineStr">
        <is>
          <t>Positivo</t>
        </is>
      </c>
      <c r="F500" s="107" t="n">
        <v>45291</v>
      </c>
      <c r="G500" s="5" t="n">
        <v>2023</v>
      </c>
      <c r="H500" s="5" t="inlineStr">
        <is>
          <t>Diciembre</t>
        </is>
      </c>
      <c r="I500" s="6" t="inlineStr">
        <is>
          <t>2023-2</t>
        </is>
      </c>
      <c r="J500" s="5" t="n">
        <v>100</v>
      </c>
      <c r="K500" s="5" t="n">
        <v>100</v>
      </c>
      <c r="L500" s="14">
        <f>IFERROR(IF(OR(J500=0,K500=""),"",IF(E500="Positivo",MIN(MAX(K500/J500,0),1.3),MIN(MAX(J500/K500,0),1.3))),"") </f>
        <v/>
      </c>
      <c r="M500" s="14">
        <f>IFERROR(IF(OR(J500=0,K500=""),"",IF(E500="Positivo",MAX(K500/J500,0),MAX(J500/K500,0))),"") </f>
        <v/>
      </c>
      <c r="N500" s="5" t="inlineStr">
        <is>
          <t>%</t>
        </is>
      </c>
      <c r="O500" s="5" t="inlineStr">
        <is>
          <t>%</t>
        </is>
      </c>
      <c r="P500" s="5" t="n">
        <v>0</v>
      </c>
      <c r="Q500" s="5" t="n">
        <v>0</v>
      </c>
      <c r="R500" s="5" t="inlineStr">
        <is>
          <t>301-2023-12-31</t>
        </is>
      </c>
    </row>
    <row r="501">
      <c r="A501" s="5" t="n">
        <v>301</v>
      </c>
      <c r="B501" s="5" t="inlineStr">
        <is>
          <t>Cumplimiento plan de trabajo</t>
        </is>
      </c>
      <c r="C501" s="5" t="inlineStr">
        <is>
          <t>Administración de Servicios Generales</t>
        </is>
      </c>
      <c r="D501" s="5" t="inlineStr">
        <is>
          <t>Trimestral</t>
        </is>
      </c>
      <c r="E501" s="5" t="inlineStr">
        <is>
          <t>Positivo</t>
        </is>
      </c>
      <c r="F501" s="107" t="n">
        <v>45657</v>
      </c>
      <c r="G501" s="5" t="n">
        <v>2024</v>
      </c>
      <c r="H501" s="5" t="inlineStr">
        <is>
          <t>Diciembre</t>
        </is>
      </c>
      <c r="I501" s="6" t="inlineStr">
        <is>
          <t>2024-2</t>
        </is>
      </c>
      <c r="J501" s="5" t="n">
        <v>100</v>
      </c>
      <c r="K501" s="5" t="n">
        <v>100</v>
      </c>
      <c r="L501" s="14">
        <f>IFERROR(IF(OR(J501=0,K501=""),"",IF(E501="Positivo",MIN(MAX(K501/J501,0),1.3),MIN(MAX(J501/K501,0),1.3))),"") </f>
        <v/>
      </c>
      <c r="M501" s="14">
        <f>IFERROR(IF(OR(J501=0,K501=""),"",IF(E501="Positivo",MAX(K501/J501,0),MAX(J501/K501,0))),"") </f>
        <v/>
      </c>
      <c r="N501" s="5" t="inlineStr">
        <is>
          <t>%</t>
        </is>
      </c>
      <c r="O501" s="5" t="inlineStr">
        <is>
          <t>%</t>
        </is>
      </c>
      <c r="P501" s="5" t="n">
        <v>0</v>
      </c>
      <c r="Q501" s="5" t="n">
        <v>0</v>
      </c>
      <c r="R501" s="5" t="inlineStr">
        <is>
          <t>301-2024-12-31</t>
        </is>
      </c>
    </row>
    <row r="502">
      <c r="A502" s="5" t="n">
        <v>301</v>
      </c>
      <c r="B502" s="5" t="inlineStr">
        <is>
          <t>Cumplimiento plan de trabajo</t>
        </is>
      </c>
      <c r="C502" s="5" t="inlineStr">
        <is>
          <t>Administración de Servicios Generales</t>
        </is>
      </c>
      <c r="D502" s="5" t="inlineStr">
        <is>
          <t>Semestral</t>
        </is>
      </c>
      <c r="E502" s="5" t="inlineStr">
        <is>
          <t>Positivo</t>
        </is>
      </c>
      <c r="F502" s="107" t="n">
        <v>46022</v>
      </c>
      <c r="G502" s="5" t="n">
        <v>2025</v>
      </c>
      <c r="H502" s="5" t="inlineStr">
        <is>
          <t>Diciembre</t>
        </is>
      </c>
      <c r="I502" s="6" t="inlineStr">
        <is>
          <t>2025-2</t>
        </is>
      </c>
      <c r="J502" s="5" t="n">
        <v>100</v>
      </c>
      <c r="K502" s="5" t="n">
        <v>100</v>
      </c>
      <c r="L502" s="14">
        <f>IFERROR(IF(OR(J502=0,K502=""),"",IF(E502="Positivo",MIN(MAX(K502/J502,0),1.3),MIN(MAX(J502/K502,0),1.3))),"") </f>
        <v/>
      </c>
      <c r="M502" s="14">
        <f>IFERROR(IF(OR(J502=0,K502=""),"",IF(E502="Positivo",MAX(K502/J502,0),MAX(J502/K502,0))),"") </f>
        <v/>
      </c>
      <c r="N502" s="5" t="inlineStr">
        <is>
          <t>%</t>
        </is>
      </c>
      <c r="O502" s="5" t="inlineStr">
        <is>
          <t>%</t>
        </is>
      </c>
      <c r="P502" s="5" t="n">
        <v>0</v>
      </c>
      <c r="Q502" s="5" t="n">
        <v>0</v>
      </c>
      <c r="R502" s="5" t="inlineStr">
        <is>
          <t>301-2025-12-31</t>
        </is>
      </c>
    </row>
    <row r="503">
      <c r="A503" s="5" t="n">
        <v>302</v>
      </c>
      <c r="B503" s="61" t="inlineStr">
        <is>
          <t>N de solicitudes radicadas</t>
        </is>
      </c>
      <c r="C503" s="5" t="inlineStr">
        <is>
          <t>Centro de Medios Audiovisuales</t>
        </is>
      </c>
      <c r="D503" s="5" t="inlineStr">
        <is>
          <t>Semestral</t>
        </is>
      </c>
      <c r="E503" s="5" t="inlineStr">
        <is>
          <t>Positivo</t>
        </is>
      </c>
      <c r="F503" s="107" t="n">
        <v>45291</v>
      </c>
      <c r="G503" s="5" t="n">
        <v>2023</v>
      </c>
      <c r="H503" s="5" t="inlineStr">
        <is>
          <t>Diciembre</t>
        </is>
      </c>
      <c r="I503" s="6" t="inlineStr">
        <is>
          <t>2023-2</t>
        </is>
      </c>
      <c r="J503" s="5" t="n"/>
      <c r="K503" s="5" t="n">
        <v>0</v>
      </c>
      <c r="L503" s="14" t="n"/>
      <c r="M503" s="14" t="n"/>
      <c r="N503" s="5" t="inlineStr">
        <is>
          <t>%</t>
        </is>
      </c>
      <c r="O503" s="5" t="inlineStr">
        <is>
          <t>ENT</t>
        </is>
      </c>
      <c r="P503" s="5" t="n">
        <v>0</v>
      </c>
      <c r="Q503" s="5" t="n">
        <v>0</v>
      </c>
      <c r="R503" s="5" t="inlineStr">
        <is>
          <t>302-2023-12-31</t>
        </is>
      </c>
    </row>
    <row r="504">
      <c r="A504" s="5" t="n">
        <v>302</v>
      </c>
      <c r="B504" s="5" t="inlineStr">
        <is>
          <t>N de solicitudes radicadas</t>
        </is>
      </c>
      <c r="C504" s="5" t="inlineStr">
        <is>
          <t>Centro de Medios Audiovisuales</t>
        </is>
      </c>
      <c r="D504" s="5" t="inlineStr">
        <is>
          <t>Semestral</t>
        </is>
      </c>
      <c r="E504" s="5" t="inlineStr">
        <is>
          <t>Positivo</t>
        </is>
      </c>
      <c r="F504" s="107" t="n">
        <v>45657</v>
      </c>
      <c r="G504" s="5" t="n">
        <v>2024</v>
      </c>
      <c r="H504" s="5" t="inlineStr">
        <is>
          <t>Diciembre</t>
        </is>
      </c>
      <c r="I504" s="6" t="inlineStr">
        <is>
          <t>2024-2</t>
        </is>
      </c>
      <c r="J504" s="5" t="n">
        <v>0</v>
      </c>
      <c r="K504" s="5" t="n">
        <v>37020</v>
      </c>
      <c r="L504" s="14">
        <f>IFERROR(IF(OR(J504=0,K504=""),"",IF(E504="Positivo",MIN(MAX(K504/J504,0),1.3),MIN(MAX(J504/K504,0),1.3))),"") </f>
        <v/>
      </c>
      <c r="M504" s="14">
        <f>IFERROR(IF(OR(J504=0,K504=""),"",IF(E504="Positivo",MAX(K504/J504,0),MAX(J504/K504,0))),"") </f>
        <v/>
      </c>
      <c r="N504" s="5" t="n">
        <v>0</v>
      </c>
      <c r="O504" s="5" t="inlineStr">
        <is>
          <t>ENT</t>
        </is>
      </c>
      <c r="P504" s="5" t="n">
        <v>0</v>
      </c>
      <c r="Q504" s="5" t="n">
        <v>0</v>
      </c>
      <c r="R504" s="5" t="inlineStr">
        <is>
          <t>302-2024-12-31</t>
        </is>
      </c>
    </row>
    <row r="505">
      <c r="A505" s="5" t="n">
        <v>302</v>
      </c>
      <c r="B505" s="5" t="inlineStr">
        <is>
          <t>N de solicitudes radicadas - (Metrica)</t>
        </is>
      </c>
      <c r="C505" s="5" t="inlineStr">
        <is>
          <t>Centro de Medios Audiovisuales</t>
        </is>
      </c>
      <c r="D505" s="5" t="inlineStr">
        <is>
          <t>Trimestral</t>
        </is>
      </c>
      <c r="E505" s="5" t="inlineStr">
        <is>
          <t>Positivo</t>
        </is>
      </c>
      <c r="F505" s="107" t="n">
        <v>46022</v>
      </c>
      <c r="G505" s="5" t="n">
        <v>2025</v>
      </c>
      <c r="H505" s="5" t="inlineStr">
        <is>
          <t>Diciembre</t>
        </is>
      </c>
      <c r="I505" s="6" t="inlineStr">
        <is>
          <t>2025-2</t>
        </is>
      </c>
      <c r="J505" s="5" t="n"/>
      <c r="K505" s="5" t="n">
        <v>53083</v>
      </c>
      <c r="L505" s="14" t="n"/>
      <c r="M505" s="14" t="n"/>
      <c r="N505" s="5" t="inlineStr">
        <is>
          <t>%</t>
        </is>
      </c>
      <c r="O505" s="5" t="inlineStr">
        <is>
          <t>ENT</t>
        </is>
      </c>
      <c r="P505" s="5" t="n">
        <v>0</v>
      </c>
      <c r="Q505" s="5" t="n">
        <v>0</v>
      </c>
      <c r="R505" s="5" t="inlineStr">
        <is>
          <t>302-2025-12-31</t>
        </is>
      </c>
      <c r="S505" t="inlineStr">
        <is>
          <t>Metrica</t>
        </is>
      </c>
    </row>
    <row r="506">
      <c r="A506" s="5" t="n">
        <v>303</v>
      </c>
      <c r="B506" s="5" t="inlineStr">
        <is>
          <t>Cumplimiento del cronograma de actividades de salud</t>
        </is>
      </c>
      <c r="C506" s="5" t="inlineStr">
        <is>
          <t>Servicio de Salud</t>
        </is>
      </c>
      <c r="D506" s="5" t="inlineStr">
        <is>
          <t>Semestral</t>
        </is>
      </c>
      <c r="E506" s="5" t="inlineStr">
        <is>
          <t>Positivo</t>
        </is>
      </c>
      <c r="F506" s="107" t="n">
        <v>45291</v>
      </c>
      <c r="G506" s="5" t="n">
        <v>2023</v>
      </c>
      <c r="H506" s="5" t="inlineStr">
        <is>
          <t>Diciembre</t>
        </is>
      </c>
      <c r="I506" s="6" t="inlineStr">
        <is>
          <t>2023-2</t>
        </is>
      </c>
      <c r="J506" s="5" t="n">
        <v>200</v>
      </c>
      <c r="K506" s="5" t="n">
        <v>155.3030303030305</v>
      </c>
      <c r="L506" s="14">
        <f>IFERROR(IF(OR(J506=0,K506=""),"",IF(E506="Positivo",MIN(MAX(K506/J506,0),1.3),MIN(MAX(J506/K506,0),1.3))),"") </f>
        <v/>
      </c>
      <c r="M506" s="14">
        <f>IFERROR(IF(OR(J506=0,K506=""),"",IF(E506="Positivo",MAX(K506/J506,0),MAX(J506/K506,0))),"") </f>
        <v/>
      </c>
      <c r="N506" s="5" t="inlineStr">
        <is>
          <t>%</t>
        </is>
      </c>
      <c r="O506" s="5" t="inlineStr">
        <is>
          <t>%</t>
        </is>
      </c>
      <c r="P506" s="5" t="n">
        <v>0</v>
      </c>
      <c r="Q506" s="5" t="n">
        <v>0</v>
      </c>
      <c r="R506" s="5" t="inlineStr">
        <is>
          <t>303-2023-12-31</t>
        </is>
      </c>
    </row>
    <row r="507">
      <c r="A507" s="5" t="n">
        <v>303</v>
      </c>
      <c r="B507" s="5" t="inlineStr">
        <is>
          <t>Cumplimiento del cronograma de actividades de salud</t>
        </is>
      </c>
      <c r="C507" s="5" t="inlineStr">
        <is>
          <t>Servicio de Salud</t>
        </is>
      </c>
      <c r="D507" s="5" t="inlineStr">
        <is>
          <t>Semestral</t>
        </is>
      </c>
      <c r="E507" s="5" t="inlineStr">
        <is>
          <t>Positivo</t>
        </is>
      </c>
      <c r="F507" s="107" t="n">
        <v>45657</v>
      </c>
      <c r="G507" s="5" t="n">
        <v>2024</v>
      </c>
      <c r="H507" s="5" t="inlineStr">
        <is>
          <t>Diciembre</t>
        </is>
      </c>
      <c r="I507" s="6" t="inlineStr">
        <is>
          <t>2024-2</t>
        </is>
      </c>
      <c r="J507" s="5" t="n">
        <v>190</v>
      </c>
      <c r="K507" s="5" t="n">
        <v>195.6521739130435</v>
      </c>
      <c r="L507" s="14">
        <f>IFERROR(IF(OR(J507=0,K507=""),"",IF(E507="Positivo",MIN(MAX(K507/J507,0),1.3),MIN(MAX(J507/K507,0),1.3))),"") </f>
        <v/>
      </c>
      <c r="M507" s="14">
        <f>IFERROR(IF(OR(J507=0,K507=""),"",IF(E507="Positivo",MAX(K507/J507,0),MAX(J507/K507,0))),"") </f>
        <v/>
      </c>
      <c r="N507" s="5" t="inlineStr">
        <is>
          <t>%</t>
        </is>
      </c>
      <c r="O507" s="5" t="inlineStr">
        <is>
          <t>%</t>
        </is>
      </c>
      <c r="P507" s="5" t="n">
        <v>0</v>
      </c>
      <c r="Q507" s="5" t="n">
        <v>0</v>
      </c>
      <c r="R507" s="5" t="inlineStr">
        <is>
          <t>303-2024-12-31</t>
        </is>
      </c>
    </row>
    <row r="508">
      <c r="A508" s="5" t="n">
        <v>303</v>
      </c>
      <c r="B508" s="5" t="inlineStr">
        <is>
          <t>Cumplimiento del cronograma de actividades de salud</t>
        </is>
      </c>
      <c r="C508" s="5" t="inlineStr">
        <is>
          <t>Servicio de Salud</t>
        </is>
      </c>
      <c r="D508" s="5" t="inlineStr">
        <is>
          <t>Trimestral</t>
        </is>
      </c>
      <c r="E508" s="5" t="inlineStr">
        <is>
          <t>Positivo</t>
        </is>
      </c>
      <c r="F508" s="107" t="n">
        <v>46022</v>
      </c>
      <c r="G508" s="5" t="n">
        <v>2025</v>
      </c>
      <c r="H508" s="5" t="inlineStr">
        <is>
          <t>Diciembre</t>
        </is>
      </c>
      <c r="I508" s="6" t="inlineStr">
        <is>
          <t>2025-2</t>
        </is>
      </c>
      <c r="J508" s="5" t="n">
        <v>190</v>
      </c>
      <c r="K508" s="5" t="n">
        <v>190.32</v>
      </c>
      <c r="L508" s="14">
        <f>IFERROR(IF(OR(J508=0,K508=""),"",IF(E508="Positivo",MIN(MAX(K508/J508,0),1.3),MIN(MAX(J508/K508,0),1.3))),"") </f>
        <v/>
      </c>
      <c r="M508" s="14">
        <f>IFERROR(IF(OR(J508=0,K508=""),"",IF(E508="Positivo",MAX(K508/J508,0),MAX(J508/K508,0))),"") </f>
        <v/>
      </c>
      <c r="N508" s="5" t="inlineStr">
        <is>
          <t>%</t>
        </is>
      </c>
      <c r="O508" s="5" t="inlineStr">
        <is>
          <t>%</t>
        </is>
      </c>
      <c r="P508" s="5" t="n">
        <v>0</v>
      </c>
      <c r="Q508" s="5" t="n">
        <v>0</v>
      </c>
      <c r="R508" s="5" t="inlineStr">
        <is>
          <t>303-2025-12-31</t>
        </is>
      </c>
    </row>
    <row r="509">
      <c r="A509" s="5" t="n">
        <v>304</v>
      </c>
      <c r="B509" s="5" t="inlineStr">
        <is>
          <t>Impacto de Campañas de promoción y prevención</t>
        </is>
      </c>
      <c r="C509" s="5" t="inlineStr">
        <is>
          <t>Servicio de Salud</t>
        </is>
      </c>
      <c r="D509" s="5" t="inlineStr">
        <is>
          <t>Semestral</t>
        </is>
      </c>
      <c r="E509" s="5" t="inlineStr">
        <is>
          <t>Positivo</t>
        </is>
      </c>
      <c r="F509" s="107" t="n">
        <v>45291</v>
      </c>
      <c r="G509" s="5" t="n">
        <v>2023</v>
      </c>
      <c r="H509" s="5" t="inlineStr">
        <is>
          <t>Diciembre</t>
        </is>
      </c>
      <c r="I509" s="6" t="inlineStr">
        <is>
          <t>2023-2</t>
        </is>
      </c>
      <c r="J509" s="5" t="n">
        <v>200</v>
      </c>
      <c r="K509" s="5" t="n">
        <v>366.1900000000001</v>
      </c>
      <c r="L509" s="14">
        <f>IFERROR(IF(OR(J509=0,K509=""),"",IF(E509="Positivo",MIN(MAX(K509/J509,0),1.3),MIN(MAX(J509/K509,0),1.3))),"") </f>
        <v/>
      </c>
      <c r="M509" s="14">
        <f>IFERROR(IF(OR(J509=0,K509=""),"",IF(E509="Positivo",MAX(K509/J509,0),MAX(J509/K509,0))),"") </f>
        <v/>
      </c>
      <c r="N509" s="5" t="inlineStr">
        <is>
          <t>ENT</t>
        </is>
      </c>
      <c r="O509" s="5" t="inlineStr">
        <is>
          <t>ENT</t>
        </is>
      </c>
      <c r="P509" s="5" t="n">
        <v>0</v>
      </c>
      <c r="Q509" s="5" t="n">
        <v>0</v>
      </c>
      <c r="R509" s="5" t="inlineStr">
        <is>
          <t>304-2023-12-31</t>
        </is>
      </c>
    </row>
    <row r="510">
      <c r="A510" s="5" t="n">
        <v>304</v>
      </c>
      <c r="B510" s="5" t="inlineStr">
        <is>
          <t>Impacto de Campañas de promoción y prevención</t>
        </is>
      </c>
      <c r="C510" s="5" t="inlineStr">
        <is>
          <t>Servicio de Salud</t>
        </is>
      </c>
      <c r="D510" s="5" t="inlineStr">
        <is>
          <t>Semestral</t>
        </is>
      </c>
      <c r="E510" s="5" t="inlineStr">
        <is>
          <t>Positivo</t>
        </is>
      </c>
      <c r="F510" s="107" t="n">
        <v>45657</v>
      </c>
      <c r="G510" s="5" t="n">
        <v>2024</v>
      </c>
      <c r="H510" s="5" t="inlineStr">
        <is>
          <t>Diciembre</t>
        </is>
      </c>
      <c r="I510" s="6" t="inlineStr">
        <is>
          <t>2024-2</t>
        </is>
      </c>
      <c r="J510" s="5" t="n">
        <v>200</v>
      </c>
      <c r="K510" s="5" t="n">
        <v>183.68</v>
      </c>
      <c r="L510" s="14">
        <f>IFERROR(IF(OR(J510=0,K510=""),"",IF(E510="Positivo",MIN(MAX(K510/J510,0),1.3),MIN(MAX(J510/K510,0),1.3))),"") </f>
        <v/>
      </c>
      <c r="M510" s="14">
        <f>IFERROR(IF(OR(J510=0,K510=""),"",IF(E510="Positivo",MAX(K510/J510,0),MAX(J510/K510,0))),"") </f>
        <v/>
      </c>
      <c r="N510" s="5" t="inlineStr">
        <is>
          <t>ENT</t>
        </is>
      </c>
      <c r="O510" s="5" t="inlineStr">
        <is>
          <t>ENT</t>
        </is>
      </c>
      <c r="P510" s="5" t="n">
        <v>0</v>
      </c>
      <c r="Q510" s="5" t="n">
        <v>0</v>
      </c>
      <c r="R510" s="5" t="inlineStr">
        <is>
          <t>304-2024-12-31</t>
        </is>
      </c>
    </row>
    <row r="511">
      <c r="A511" s="5" t="n">
        <v>304</v>
      </c>
      <c r="B511" s="5" t="inlineStr">
        <is>
          <t>Impacto de Campañas de promoción y prevención</t>
        </is>
      </c>
      <c r="C511" s="5" t="inlineStr">
        <is>
          <t>Servicio de Salud</t>
        </is>
      </c>
      <c r="D511" s="5" t="inlineStr">
        <is>
          <t>Trimestral</t>
        </is>
      </c>
      <c r="E511" s="5" t="inlineStr">
        <is>
          <t>Positivo</t>
        </is>
      </c>
      <c r="F511" s="107" t="n">
        <v>46022</v>
      </c>
      <c r="G511" s="5" t="n">
        <v>2025</v>
      </c>
      <c r="H511" s="5" t="inlineStr">
        <is>
          <t>Diciembre</t>
        </is>
      </c>
      <c r="I511" s="6" t="inlineStr">
        <is>
          <t>2025-2</t>
        </is>
      </c>
      <c r="J511" s="5" t="n">
        <v>200</v>
      </c>
      <c r="K511" s="5" t="n">
        <v>214.56</v>
      </c>
      <c r="L511" s="14">
        <f>IFERROR(IF(OR(J511=0,K511=""),"",IF(E511="Positivo",MIN(MAX(K511/J511,0),1.3),MIN(MAX(J511/K511,0),1.3))),"") </f>
        <v/>
      </c>
      <c r="M511" s="14">
        <f>IFERROR(IF(OR(J511=0,K511=""),"",IF(E511="Positivo",MAX(K511/J511,0),MAX(J511/K511,0))),"") </f>
        <v/>
      </c>
      <c r="N511" s="5" t="inlineStr">
        <is>
          <t>ENT</t>
        </is>
      </c>
      <c r="O511" s="5" t="inlineStr">
        <is>
          <t>ENT</t>
        </is>
      </c>
      <c r="P511" s="5" t="n">
        <v>0</v>
      </c>
      <c r="Q511" s="5" t="n">
        <v>0</v>
      </c>
      <c r="R511" s="5" t="inlineStr">
        <is>
          <t>304-2025-12-31</t>
        </is>
      </c>
    </row>
    <row r="512">
      <c r="A512" s="5" t="n">
        <v>305</v>
      </c>
      <c r="B512" s="5" t="inlineStr">
        <is>
          <t>Cumplimiento del plan anual de mantenimiento de equipos médicos</t>
        </is>
      </c>
      <c r="C512" s="5" t="inlineStr">
        <is>
          <t>Servicio de Salud</t>
        </is>
      </c>
      <c r="D512" s="5" t="inlineStr">
        <is>
          <t>Anual</t>
        </is>
      </c>
      <c r="E512" s="5" t="inlineStr">
        <is>
          <t>Positivo</t>
        </is>
      </c>
      <c r="F512" s="107" t="n">
        <v>45291</v>
      </c>
      <c r="G512" s="5" t="n">
        <v>2023</v>
      </c>
      <c r="H512" s="5" t="inlineStr">
        <is>
          <t>Diciembre</t>
        </is>
      </c>
      <c r="I512" s="6" t="inlineStr">
        <is>
          <t>2023-2</t>
        </is>
      </c>
      <c r="J512" s="5" t="n">
        <v>100</v>
      </c>
      <c r="K512" s="10" t="n">
        <v>100</v>
      </c>
      <c r="L512" s="14">
        <f>IFERROR(IF(OR(J512=0,K512=""),"",IF(E512="Positivo",MIN(MAX(K512/J512,0),1.3),MIN(MAX(J512/K512,0),1.3))),"") </f>
        <v/>
      </c>
      <c r="M512" s="14">
        <f>IFERROR(IF(OR(J512=0,K512=""),"",IF(E512="Positivo",MAX(K512/J512,0),MAX(J512/K512,0))),"") </f>
        <v/>
      </c>
      <c r="N512" s="5" t="inlineStr">
        <is>
          <t>%</t>
        </is>
      </c>
      <c r="O512" s="5" t="inlineStr">
        <is>
          <t>%</t>
        </is>
      </c>
      <c r="P512" s="5" t="n">
        <v>0</v>
      </c>
      <c r="Q512" s="5" t="n">
        <v>0</v>
      </c>
      <c r="R512" s="5" t="inlineStr">
        <is>
          <t>305-2023-12-31</t>
        </is>
      </c>
    </row>
    <row r="513">
      <c r="A513" s="5" t="n">
        <v>305</v>
      </c>
      <c r="B513" s="5" t="inlineStr">
        <is>
          <t>Cumplimiento del plan anual de mantenimiento de equipos médicos</t>
        </is>
      </c>
      <c r="C513" s="5" t="inlineStr">
        <is>
          <t>Servicio de Salud</t>
        </is>
      </c>
      <c r="D513" s="5" t="inlineStr">
        <is>
          <t>Anual</t>
        </is>
      </c>
      <c r="E513" s="5" t="inlineStr">
        <is>
          <t>Positivo</t>
        </is>
      </c>
      <c r="F513" s="107" t="n">
        <v>45657</v>
      </c>
      <c r="G513" s="5" t="n">
        <v>2024</v>
      </c>
      <c r="H513" s="5" t="inlineStr">
        <is>
          <t>Diciembre</t>
        </is>
      </c>
      <c r="I513" s="6" t="inlineStr">
        <is>
          <t>2024-2</t>
        </is>
      </c>
      <c r="J513" s="5" t="n">
        <v>100</v>
      </c>
      <c r="K513" s="5" t="n">
        <v>100</v>
      </c>
      <c r="L513" s="14">
        <f>IFERROR(IF(OR(J513=0,K513=""),"",IF(E513="Positivo",MIN(MAX(K513/J513,0),1.3),MIN(MAX(J513/K513,0),1.3))),"") </f>
        <v/>
      </c>
      <c r="M513" s="14">
        <f>IFERROR(IF(OR(J513=0,K513=""),"",IF(E513="Positivo",MAX(K513/J513,0),MAX(J513/K513,0))),"") </f>
        <v/>
      </c>
      <c r="N513" s="38" t="inlineStr">
        <is>
          <t>%</t>
        </is>
      </c>
      <c r="O513" s="38" t="inlineStr">
        <is>
          <t>%</t>
        </is>
      </c>
      <c r="P513" s="5" t="n">
        <v>0</v>
      </c>
      <c r="Q513" s="5" t="n">
        <v>0</v>
      </c>
      <c r="R513" s="5" t="inlineStr">
        <is>
          <t>305-2024-12-31</t>
        </is>
      </c>
    </row>
    <row r="514">
      <c r="A514" s="5" t="n">
        <v>306</v>
      </c>
      <c r="B514" s="5" t="inlineStr">
        <is>
          <t>Seguimiento KPI Plan de Desarrollo Institucional</t>
        </is>
      </c>
      <c r="C514" s="5" t="inlineStr">
        <is>
          <t>Desempeño Institucional</t>
        </is>
      </c>
      <c r="D514" s="5" t="inlineStr">
        <is>
          <t>Trimestral</t>
        </is>
      </c>
      <c r="E514" s="5" t="inlineStr">
        <is>
          <t>Positivo</t>
        </is>
      </c>
      <c r="F514" s="107" t="n">
        <v>45291</v>
      </c>
      <c r="G514" s="5" t="n">
        <v>2023</v>
      </c>
      <c r="H514" s="5" t="inlineStr">
        <is>
          <t>Diciembre</t>
        </is>
      </c>
      <c r="I514" s="6" t="inlineStr">
        <is>
          <t>2023-2</t>
        </is>
      </c>
      <c r="J514" s="5" t="n">
        <v>100</v>
      </c>
      <c r="K514" s="5" t="n">
        <v>156.5</v>
      </c>
      <c r="L514" s="14">
        <f>IFERROR(IF(OR(J514=0,K514=""),"",IF(E514="Positivo",MIN(MAX(K514/J514,0),1.3),MIN(MAX(J514/K514,0),1.3))),"") </f>
        <v/>
      </c>
      <c r="M514" s="14">
        <f>IFERROR(IF(OR(J514=0,K514=""),"",IF(E514="Positivo",MAX(K514/J514,0),MAX(J514/K514,0))),"") </f>
        <v/>
      </c>
      <c r="N514" s="5" t="inlineStr">
        <is>
          <t>%</t>
        </is>
      </c>
      <c r="O514" s="5" t="inlineStr">
        <is>
          <t>%</t>
        </is>
      </c>
      <c r="P514" s="5" t="n">
        <v>0</v>
      </c>
      <c r="Q514" s="5" t="n">
        <v>0</v>
      </c>
      <c r="R514" s="5" t="inlineStr">
        <is>
          <t>306-2023-12-31</t>
        </is>
      </c>
    </row>
    <row r="515">
      <c r="A515" s="5" t="n">
        <v>306</v>
      </c>
      <c r="B515" s="5" t="inlineStr">
        <is>
          <t>Seguimiento KPI Plan de Desarrollo Institucional</t>
        </is>
      </c>
      <c r="C515" s="5" t="inlineStr">
        <is>
          <t>Desempeño Institucional</t>
        </is>
      </c>
      <c r="D515" s="5" t="inlineStr">
        <is>
          <t>Trimestral</t>
        </is>
      </c>
      <c r="E515" s="5" t="inlineStr">
        <is>
          <t>Positivo</t>
        </is>
      </c>
      <c r="F515" s="107" t="n">
        <v>45657</v>
      </c>
      <c r="G515" s="5" t="n">
        <v>2024</v>
      </c>
      <c r="H515" s="5" t="inlineStr">
        <is>
          <t>Diciembre</t>
        </is>
      </c>
      <c r="I515" s="6" t="inlineStr">
        <is>
          <t>2024-2</t>
        </is>
      </c>
      <c r="J515" s="5" t="n">
        <v>100</v>
      </c>
      <c r="K515" s="15" t="n">
        <v>175.5</v>
      </c>
      <c r="L515" s="14">
        <f>IFERROR(IF(OR(J515=0,K515=""),"",IF(E515="Positivo",MIN(MAX(K515/J515,0),1.3),MIN(MAX(J515/K515,0),1.3))),"") </f>
        <v/>
      </c>
      <c r="M515" s="14">
        <f>IFERROR(IF(OR(J515=0,K515=""),"",IF(E515="Positivo",MAX(K515/J515,0),MAX(J515/K515,0))),"") </f>
        <v/>
      </c>
      <c r="N515" s="5" t="inlineStr">
        <is>
          <t>%</t>
        </is>
      </c>
      <c r="O515" s="5" t="inlineStr">
        <is>
          <t>%</t>
        </is>
      </c>
      <c r="P515" s="5" t="n">
        <v>0</v>
      </c>
      <c r="Q515" s="5" t="n">
        <v>0</v>
      </c>
      <c r="R515" s="5" t="inlineStr">
        <is>
          <t>306-2024-12-31</t>
        </is>
      </c>
    </row>
    <row r="516">
      <c r="A516" s="5" t="n">
        <v>306</v>
      </c>
      <c r="B516" s="5" t="inlineStr">
        <is>
          <t>Seguimiento KPI Plan de Desarrollo Institucional</t>
        </is>
      </c>
      <c r="C516" s="5" t="inlineStr">
        <is>
          <t>Desempeño Institucional</t>
        </is>
      </c>
      <c r="D516" s="5" t="inlineStr">
        <is>
          <t>Semestral</t>
        </is>
      </c>
      <c r="E516" s="5" t="inlineStr">
        <is>
          <t>Positivo</t>
        </is>
      </c>
      <c r="F516" s="107" t="n">
        <v>46022</v>
      </c>
      <c r="G516" s="5" t="n">
        <v>2025</v>
      </c>
      <c r="H516" s="5" t="inlineStr">
        <is>
          <t>Diciembre</t>
        </is>
      </c>
      <c r="I516" s="6" t="inlineStr">
        <is>
          <t>2025-2</t>
        </is>
      </c>
      <c r="J516" s="5" t="n">
        <v>100</v>
      </c>
      <c r="K516" s="5" t="n">
        <v>107.3733333333333</v>
      </c>
      <c r="L516" s="14">
        <f>IFERROR(IF(OR(J516=0,K516=""),"",IF(E516="Positivo",MIN(MAX(K516/J516,0),1.3),MIN(MAX(J516/K516,0),1.3))),"") </f>
        <v/>
      </c>
      <c r="M516" s="14">
        <f>IFERROR(IF(OR(J516=0,K516=""),"",IF(E516="Positivo",MAX(K516/J516,0),MAX(J516/K516,0))),"") </f>
        <v/>
      </c>
      <c r="N516" s="5" t="inlineStr">
        <is>
          <t>%</t>
        </is>
      </c>
      <c r="O516" s="5" t="inlineStr">
        <is>
          <t>%</t>
        </is>
      </c>
      <c r="P516" s="5" t="n">
        <v>0</v>
      </c>
      <c r="Q516" s="5" t="n">
        <v>0</v>
      </c>
      <c r="R516" s="5" t="inlineStr">
        <is>
          <t>306-2025-12-31</t>
        </is>
      </c>
    </row>
    <row r="517">
      <c r="A517" s="5" t="n">
        <v>307</v>
      </c>
      <c r="B517" s="5" t="inlineStr">
        <is>
          <t>Organización de escenarios de visibilidad nacional e internacional</t>
        </is>
      </c>
      <c r="C517" s="5" t="inlineStr">
        <is>
          <t>VISIBILIDAD NACIONAL E INTERNACIONAL</t>
        </is>
      </c>
      <c r="D517" s="5" t="inlineStr">
        <is>
          <t>Semestral</t>
        </is>
      </c>
      <c r="E517" s="5" t="inlineStr">
        <is>
          <t>Positivo</t>
        </is>
      </c>
      <c r="F517" s="107" t="n">
        <v>45291</v>
      </c>
      <c r="G517" s="5" t="n">
        <v>2023</v>
      </c>
      <c r="H517" s="5" t="inlineStr">
        <is>
          <t>Diciembre</t>
        </is>
      </c>
      <c r="I517" s="6" t="inlineStr">
        <is>
          <t>2023-2</t>
        </is>
      </c>
      <c r="J517" s="5" t="n">
        <v>46</v>
      </c>
      <c r="K517" s="5" t="n">
        <v>107</v>
      </c>
      <c r="L517" s="14">
        <f>IFERROR(IF(OR(J517=0,K517=""),"",IF(E517="Positivo",MIN(MAX(K517/J517,0),1.3),MIN(MAX(J517/K517,0),1.3))),"") </f>
        <v/>
      </c>
      <c r="M517" s="14">
        <f>IFERROR(IF(OR(J517=0,K517=""),"",IF(E517="Positivo",MAX(K517/J517,0),MAX(J517/K517,0))),"") </f>
        <v/>
      </c>
      <c r="N517" s="5" t="inlineStr">
        <is>
          <t>ENT</t>
        </is>
      </c>
      <c r="O517" s="5" t="inlineStr">
        <is>
          <t>ENT</t>
        </is>
      </c>
      <c r="P517" s="5" t="n">
        <v>0</v>
      </c>
      <c r="Q517" s="5" t="n">
        <v>0</v>
      </c>
      <c r="R517" s="5" t="inlineStr">
        <is>
          <t>307-2023-12-31</t>
        </is>
      </c>
    </row>
    <row r="518">
      <c r="A518" s="5" t="n">
        <v>307</v>
      </c>
      <c r="B518" s="5" t="inlineStr">
        <is>
          <t>Organización de escenarios de visibilidad nacional e internacional</t>
        </is>
      </c>
      <c r="C518" s="5" t="inlineStr">
        <is>
          <t>VISIBILIDAD NACIONAL E INTERNACIONAL</t>
        </is>
      </c>
      <c r="D518" s="5" t="inlineStr">
        <is>
          <t>Semestral</t>
        </is>
      </c>
      <c r="E518" s="5" t="inlineStr">
        <is>
          <t>Positivo</t>
        </is>
      </c>
      <c r="F518" s="107" t="n">
        <v>45657</v>
      </c>
      <c r="G518" s="15" t="n">
        <v>2024</v>
      </c>
      <c r="H518" s="6" t="inlineStr">
        <is>
          <t>Diciembre</t>
        </is>
      </c>
      <c r="I518" s="6" t="inlineStr">
        <is>
          <t>2024-2</t>
        </is>
      </c>
      <c r="J518" s="5" t="n">
        <v>100</v>
      </c>
      <c r="K518" s="5" t="n">
        <v>413.33</v>
      </c>
      <c r="L518" s="14">
        <f>IFERROR(IF(OR(J518=0,K518=""),"",IF(E518="Positivo",MIN(MAX(K518/J518,0),1.3),MIN(MAX(J518/K518,0),1.3))),"") </f>
        <v/>
      </c>
      <c r="M518" s="14">
        <f>IFERROR(IF(OR(J518=0,K518=""),"",IF(E518="Positivo",MAX(K518/J518,0),MAX(J518/K518,0))),"") </f>
        <v/>
      </c>
      <c r="N518" s="5" t="inlineStr">
        <is>
          <t>ENT</t>
        </is>
      </c>
      <c r="O518" s="5" t="inlineStr">
        <is>
          <t>ENT</t>
        </is>
      </c>
      <c r="P518" s="5" t="n">
        <v>0</v>
      </c>
      <c r="Q518" s="5" t="n">
        <v>0</v>
      </c>
      <c r="R518" s="5" t="inlineStr">
        <is>
          <t>307-2024-12-31</t>
        </is>
      </c>
    </row>
    <row r="519">
      <c r="A519" s="5" t="n">
        <v>308</v>
      </c>
      <c r="B519" s="5" t="inlineStr">
        <is>
          <t>Movilidad Física Entrantes Profesores</t>
        </is>
      </c>
      <c r="C519" s="5" t="inlineStr">
        <is>
          <t>VISIBILIDAD NACIONAL E INTERNACIONAL</t>
        </is>
      </c>
      <c r="D519" s="5" t="inlineStr">
        <is>
          <t>Semestral</t>
        </is>
      </c>
      <c r="E519" s="5" t="inlineStr">
        <is>
          <t>Positivo</t>
        </is>
      </c>
      <c r="F519" s="107" t="n">
        <v>45291</v>
      </c>
      <c r="G519" s="15" t="n">
        <v>2023</v>
      </c>
      <c r="H519" s="6" t="inlineStr">
        <is>
          <t>Diciembre</t>
        </is>
      </c>
      <c r="I519" s="6" t="inlineStr">
        <is>
          <t>2023-2</t>
        </is>
      </c>
      <c r="J519" s="5" t="n">
        <v>32</v>
      </c>
      <c r="K519" s="5" t="n">
        <v>81</v>
      </c>
      <c r="L519" s="14">
        <f>IFERROR(IF(OR(J519=0,K519=""),"",IF(E519="Positivo",MIN(MAX(K519/J519,0),1.3),MIN(MAX(J519/K519,0),1.3))),"") </f>
        <v/>
      </c>
      <c r="M519" s="14">
        <f>IFERROR(IF(OR(J519=0,K519=""),"",IF(E519="Positivo",MAX(K519/J519,0),MAX(J519/K519,0))),"") </f>
        <v/>
      </c>
      <c r="N519" s="5" t="inlineStr">
        <is>
          <t>ENT</t>
        </is>
      </c>
      <c r="O519" s="5" t="inlineStr">
        <is>
          <t>ENT</t>
        </is>
      </c>
      <c r="P519" s="5" t="n">
        <v>0</v>
      </c>
      <c r="Q519" s="5" t="n">
        <v>0</v>
      </c>
      <c r="R519" s="5" t="inlineStr">
        <is>
          <t>308-2023-12-31</t>
        </is>
      </c>
    </row>
    <row r="520">
      <c r="A520" s="5" t="n">
        <v>308</v>
      </c>
      <c r="B520" s="5" t="inlineStr">
        <is>
          <t>Movilidad Física Entrantes Profesores</t>
        </is>
      </c>
      <c r="C520" s="5" t="inlineStr">
        <is>
          <t>VISIBILIDAD NACIONAL E INTERNACIONAL</t>
        </is>
      </c>
      <c r="D520" s="5" t="inlineStr">
        <is>
          <t>Semestral</t>
        </is>
      </c>
      <c r="E520" s="5" t="inlineStr">
        <is>
          <t>Positivo</t>
        </is>
      </c>
      <c r="F520" s="107" t="n">
        <v>45657</v>
      </c>
      <c r="G520" s="15" t="n">
        <v>2024</v>
      </c>
      <c r="H520" s="6" t="inlineStr">
        <is>
          <t>Diciembre</t>
        </is>
      </c>
      <c r="I520" s="6" t="inlineStr">
        <is>
          <t>2024-2</t>
        </is>
      </c>
      <c r="J520" s="5" t="n">
        <v>100</v>
      </c>
      <c r="K520" s="5" t="n">
        <v>100</v>
      </c>
      <c r="L520" s="14">
        <f>IFERROR(IF(OR(J520=0,K520=""),"",IF(E520="Positivo",MIN(MAX(K520/J520,0),1.3),MIN(MAX(J520/K520,0),1.3))),"") </f>
        <v/>
      </c>
      <c r="M520" s="14">
        <f>IFERROR(IF(OR(J520=0,K520=""),"",IF(E520="Positivo",MAX(K520/J520,0),MAX(J520/K520,0))),"") </f>
        <v/>
      </c>
      <c r="N520" s="5" t="inlineStr">
        <is>
          <t>ENT</t>
        </is>
      </c>
      <c r="O520" s="5" t="inlineStr">
        <is>
          <t>ENT</t>
        </is>
      </c>
      <c r="P520" s="5" t="n">
        <v>0</v>
      </c>
      <c r="Q520" s="5" t="n">
        <v>0</v>
      </c>
      <c r="R520" s="5" t="inlineStr">
        <is>
          <t>308-2024-12-31</t>
        </is>
      </c>
    </row>
    <row r="521">
      <c r="A521" s="5" t="n">
        <v>309</v>
      </c>
      <c r="B521" s="5" t="inlineStr">
        <is>
          <t>Movilidad Física Profesores Salientes</t>
        </is>
      </c>
      <c r="C521" s="5" t="inlineStr">
        <is>
          <t>VISIBILIDAD NACIONAL E INTERNACIONAL</t>
        </is>
      </c>
      <c r="D521" s="5" t="inlineStr">
        <is>
          <t>Semestral</t>
        </is>
      </c>
      <c r="E521" s="5" t="inlineStr">
        <is>
          <t>Positivo</t>
        </is>
      </c>
      <c r="F521" s="107" t="n">
        <v>45291</v>
      </c>
      <c r="G521" s="15" t="n">
        <v>2023</v>
      </c>
      <c r="H521" s="6" t="inlineStr">
        <is>
          <t>Diciembre</t>
        </is>
      </c>
      <c r="I521" s="6" t="inlineStr">
        <is>
          <t>2023-2</t>
        </is>
      </c>
      <c r="J521" s="5" t="n">
        <v>64</v>
      </c>
      <c r="K521" s="5" t="n">
        <v>103</v>
      </c>
      <c r="L521" s="14">
        <f>IFERROR(IF(OR(J521=0,K521=""),"",IF(E521="Positivo",MIN(MAX(K521/J521,0),1.3),MIN(MAX(J521/K521,0),1.3))),"") </f>
        <v/>
      </c>
      <c r="M521" s="14">
        <f>IFERROR(IF(OR(J521=0,K521=""),"",IF(E521="Positivo",MAX(K521/J521,0),MAX(J521/K521,0))),"") </f>
        <v/>
      </c>
      <c r="N521" s="5" t="inlineStr">
        <is>
          <t>ENT</t>
        </is>
      </c>
      <c r="O521" s="5" t="inlineStr">
        <is>
          <t>ENT</t>
        </is>
      </c>
      <c r="P521" s="5" t="n">
        <v>0</v>
      </c>
      <c r="Q521" s="5" t="n">
        <v>0</v>
      </c>
      <c r="R521" s="5" t="inlineStr">
        <is>
          <t>309-2023-12-31</t>
        </is>
      </c>
    </row>
    <row r="522">
      <c r="A522" s="5" t="n">
        <v>309</v>
      </c>
      <c r="B522" s="5" t="inlineStr">
        <is>
          <t>Movilidad Física Salientes Profesores</t>
        </is>
      </c>
      <c r="C522" s="5" t="inlineStr">
        <is>
          <t>VISIBILIDAD NACIONAL E INTERNACIONAL</t>
        </is>
      </c>
      <c r="D522" s="5" t="inlineStr">
        <is>
          <t>Semestral</t>
        </is>
      </c>
      <c r="E522" s="5" t="inlineStr">
        <is>
          <t>Positivo</t>
        </is>
      </c>
      <c r="F522" s="107" t="n">
        <v>45657</v>
      </c>
      <c r="G522" s="15" t="n">
        <v>2024</v>
      </c>
      <c r="H522" s="6" t="inlineStr">
        <is>
          <t>Diciembre</t>
        </is>
      </c>
      <c r="I522" s="6" t="inlineStr">
        <is>
          <t>2024-2</t>
        </is>
      </c>
      <c r="J522" s="5" t="n">
        <v>100</v>
      </c>
      <c r="K522" s="5" t="n">
        <v>154.67</v>
      </c>
      <c r="L522" s="14">
        <f>IFERROR(IF(OR(J522=0,K522=""),"",IF(E522="Positivo",MIN(MAX(K522/J522,0),1.3),MIN(MAX(J522/K522,0),1.3))),"") </f>
        <v/>
      </c>
      <c r="M522" s="14">
        <f>IFERROR(IF(OR(J522=0,K522=""),"",IF(E522="Positivo",MAX(K522/J522,0),MAX(J522/K522,0))),"") </f>
        <v/>
      </c>
      <c r="N522" s="5" t="inlineStr">
        <is>
          <t>ENT</t>
        </is>
      </c>
      <c r="O522" s="5" t="inlineStr">
        <is>
          <t>ENT</t>
        </is>
      </c>
      <c r="P522" s="5" t="n">
        <v>0</v>
      </c>
      <c r="Q522" s="5" t="n">
        <v>0</v>
      </c>
      <c r="R522" s="5" t="inlineStr">
        <is>
          <t>309-2024-12-31</t>
        </is>
      </c>
    </row>
    <row r="523">
      <c r="A523" s="5" t="n">
        <v>310</v>
      </c>
      <c r="B523" s="5" t="inlineStr">
        <is>
          <t>Movilidad Física Entrante Estudiantes</t>
        </is>
      </c>
      <c r="C523" s="5" t="inlineStr">
        <is>
          <t>VISIBILIDAD NACIONAL E INTERNACIONAL</t>
        </is>
      </c>
      <c r="D523" s="5" t="inlineStr">
        <is>
          <t>Semestral</t>
        </is>
      </c>
      <c r="E523" s="5" t="inlineStr">
        <is>
          <t>Positivo</t>
        </is>
      </c>
      <c r="F523" s="107" t="n">
        <v>45291</v>
      </c>
      <c r="G523" s="15" t="n">
        <v>2023</v>
      </c>
      <c r="H523" s="6" t="inlineStr">
        <is>
          <t>Diciembre</t>
        </is>
      </c>
      <c r="I523" s="6" t="inlineStr">
        <is>
          <t>2023-2</t>
        </is>
      </c>
      <c r="J523" s="5" t="n">
        <v>84</v>
      </c>
      <c r="K523" s="5" t="n">
        <v>166</v>
      </c>
      <c r="L523" s="14">
        <f>IFERROR(IF(OR(J523=0,K523=""),"",IF(E523="Positivo",MIN(MAX(K523/J523,0),1.3),MIN(MAX(J523/K523,0),1.3))),"") </f>
        <v/>
      </c>
      <c r="M523" s="14">
        <f>IFERROR(IF(OR(J523=0,K523=""),"",IF(E523="Positivo",MAX(K523/J523,0),MAX(J523/K523,0))),"") </f>
        <v/>
      </c>
      <c r="N523" s="5" t="inlineStr">
        <is>
          <t>ENT</t>
        </is>
      </c>
      <c r="O523" s="5" t="inlineStr">
        <is>
          <t>ENT</t>
        </is>
      </c>
      <c r="P523" s="5" t="n">
        <v>0</v>
      </c>
      <c r="Q523" s="5" t="n">
        <v>0</v>
      </c>
      <c r="R523" s="5" t="inlineStr">
        <is>
          <t>310-2023-12-31</t>
        </is>
      </c>
    </row>
    <row r="524">
      <c r="A524" s="5" t="n">
        <v>310</v>
      </c>
      <c r="B524" s="5" t="inlineStr">
        <is>
          <t>Movilidad Física Entrante Estudiantes</t>
        </is>
      </c>
      <c r="C524" s="5" t="inlineStr">
        <is>
          <t>VISIBILIDAD NACIONAL E INTERNACIONAL</t>
        </is>
      </c>
      <c r="D524" s="5" t="inlineStr">
        <is>
          <t>Semestral</t>
        </is>
      </c>
      <c r="E524" s="5" t="inlineStr">
        <is>
          <t>Positivo</t>
        </is>
      </c>
      <c r="F524" s="107" t="n">
        <v>45657</v>
      </c>
      <c r="G524" s="15" t="n">
        <v>2024</v>
      </c>
      <c r="H524" s="6" t="inlineStr">
        <is>
          <t>Diciembre</t>
        </is>
      </c>
      <c r="I524" s="6" t="inlineStr">
        <is>
          <t>2024-2</t>
        </is>
      </c>
      <c r="J524" s="5" t="n">
        <v>100</v>
      </c>
      <c r="K524" s="10" t="n">
        <v>79.13</v>
      </c>
      <c r="L524" s="14">
        <f>IFERROR(IF(OR(J524=0,K524=""),"",IF(E524="Positivo",MIN(MAX(K524/J524,0),1.3),MIN(MAX(J524/K524,0),1.3))),"") </f>
        <v/>
      </c>
      <c r="M524" s="14">
        <f>IFERROR(IF(OR(J524=0,K524=""),"",IF(E524="Positivo",MAX(K524/J524,0),MAX(J524/K524,0))),"") </f>
        <v/>
      </c>
      <c r="N524" s="5" t="inlineStr">
        <is>
          <t>ENT</t>
        </is>
      </c>
      <c r="O524" s="5" t="inlineStr">
        <is>
          <t>ENT</t>
        </is>
      </c>
      <c r="P524" s="5" t="n">
        <v>0</v>
      </c>
      <c r="Q524" s="5" t="n">
        <v>0</v>
      </c>
      <c r="R524" s="5" t="inlineStr">
        <is>
          <t>310-2024-12-31</t>
        </is>
      </c>
    </row>
    <row r="525">
      <c r="A525" s="5" t="n">
        <v>311</v>
      </c>
      <c r="B525" s="5" t="inlineStr">
        <is>
          <t>Movilidad Física Saliente Estudiantes</t>
        </is>
      </c>
      <c r="C525" s="5" t="inlineStr">
        <is>
          <t>VISIBILIDAD NACIONAL E INTERNACIONAL</t>
        </is>
      </c>
      <c r="D525" s="5" t="inlineStr">
        <is>
          <t>Semestral</t>
        </is>
      </c>
      <c r="E525" s="5" t="inlineStr">
        <is>
          <t>Positivo</t>
        </is>
      </c>
      <c r="F525" s="107" t="n">
        <v>45291</v>
      </c>
      <c r="G525" s="15" t="n">
        <v>2023</v>
      </c>
      <c r="H525" s="6" t="inlineStr">
        <is>
          <t>Diciembre</t>
        </is>
      </c>
      <c r="I525" s="6" t="inlineStr">
        <is>
          <t>2023-2</t>
        </is>
      </c>
      <c r="J525" s="5" t="n">
        <v>267</v>
      </c>
      <c r="K525" s="5" t="n">
        <v>332</v>
      </c>
      <c r="L525" s="14">
        <f>IFERROR(IF(OR(J525=0,K525=""),"",IF(E525="Positivo",MIN(MAX(K525/J525,0),1.3),MIN(MAX(J525/K525,0),1.3))),"") </f>
        <v/>
      </c>
      <c r="M525" s="14">
        <f>IFERROR(IF(OR(J525=0,K525=""),"",IF(E525="Positivo",MAX(K525/J525,0),MAX(J525/K525,0))),"") </f>
        <v/>
      </c>
      <c r="N525" s="5" t="inlineStr">
        <is>
          <t>ENT</t>
        </is>
      </c>
      <c r="O525" s="5" t="inlineStr">
        <is>
          <t>ENT</t>
        </is>
      </c>
      <c r="P525" s="5" t="n">
        <v>0</v>
      </c>
      <c r="Q525" s="5" t="n">
        <v>0</v>
      </c>
      <c r="R525" s="5" t="inlineStr">
        <is>
          <t>311-2023-12-31</t>
        </is>
      </c>
    </row>
    <row r="526">
      <c r="A526" s="21" t="n">
        <v>311</v>
      </c>
      <c r="B526" s="20" t="inlineStr">
        <is>
          <t>Movilidad Física Saliente Estudiantes</t>
        </is>
      </c>
      <c r="C526" s="5" t="inlineStr">
        <is>
          <t>VISIBILIDAD NACIONAL E INTERNACIONAL</t>
        </is>
      </c>
      <c r="D526" s="5" t="inlineStr">
        <is>
          <t>Semestral</t>
        </is>
      </c>
      <c r="E526" s="5" t="inlineStr">
        <is>
          <t>Positivo</t>
        </is>
      </c>
      <c r="F526" s="107" t="n">
        <v>45657</v>
      </c>
      <c r="G526" s="15" t="n">
        <v>2024</v>
      </c>
      <c r="H526" s="6" t="inlineStr">
        <is>
          <t>Diciembre</t>
        </is>
      </c>
      <c r="I526" s="6" t="inlineStr">
        <is>
          <t>2024-2</t>
        </is>
      </c>
      <c r="J526" s="5" t="n">
        <v>100</v>
      </c>
      <c r="K526" s="5" t="n">
        <v>67.76000000000001</v>
      </c>
      <c r="L526" s="14">
        <f>IFERROR(IF(OR(J526=0,K526=""),"",IF(E526="Positivo",MIN(MAX(K526/J526,0),1.3),MIN(MAX(J526/K526,0),1.3))),"") </f>
        <v/>
      </c>
      <c r="M526" s="14">
        <f>IFERROR(IF(OR(J526=0,K526=""),"",IF(E526="Positivo",MAX(K526/J526,0),MAX(J526/K526,0))),"") </f>
        <v/>
      </c>
      <c r="N526" s="5" t="inlineStr">
        <is>
          <t>ENT</t>
        </is>
      </c>
      <c r="O526" s="5" t="inlineStr">
        <is>
          <t>ENT</t>
        </is>
      </c>
      <c r="P526" s="5" t="n">
        <v>0</v>
      </c>
      <c r="Q526" s="5" t="n">
        <v>0</v>
      </c>
      <c r="R526" s="5" t="inlineStr">
        <is>
          <t>311-2024-12-31</t>
        </is>
      </c>
    </row>
    <row r="527">
      <c r="A527" s="5" t="n">
        <v>312</v>
      </c>
      <c r="B527" s="5" t="inlineStr">
        <is>
          <t>Clases espejo</t>
        </is>
      </c>
      <c r="C527" s="5" t="inlineStr">
        <is>
          <t>VISIBILIDAD NACIONAL E INTERNACIONAL</t>
        </is>
      </c>
      <c r="D527" s="5" t="inlineStr">
        <is>
          <t>Semestral</t>
        </is>
      </c>
      <c r="E527" s="5" t="inlineStr">
        <is>
          <t>Positivo</t>
        </is>
      </c>
      <c r="F527" s="107" t="n">
        <v>45291</v>
      </c>
      <c r="G527" s="15" t="n">
        <v>2023</v>
      </c>
      <c r="H527" s="6" t="inlineStr">
        <is>
          <t>Diciembre</t>
        </is>
      </c>
      <c r="I527" s="6" t="inlineStr">
        <is>
          <t>2023-2</t>
        </is>
      </c>
      <c r="J527" s="5" t="n">
        <v>221</v>
      </c>
      <c r="K527" s="5" t="n">
        <v>243</v>
      </c>
      <c r="L527" s="14">
        <f>IFERROR(IF(OR(J527=0,K527=""),"",IF(E527="Positivo",MIN(MAX(K527/J527,0),1.3),MIN(MAX(J527/K527,0),1.3))),"") </f>
        <v/>
      </c>
      <c r="M527" s="14">
        <f>IFERROR(IF(OR(J527=0,K527=""),"",IF(E527="Positivo",MAX(K527/J527,0),MAX(J527/K527,0))),"") </f>
        <v/>
      </c>
      <c r="N527" s="5" t="inlineStr">
        <is>
          <t>ENT</t>
        </is>
      </c>
      <c r="O527" s="5" t="inlineStr">
        <is>
          <t>ENT</t>
        </is>
      </c>
      <c r="P527" s="5" t="n">
        <v>0</v>
      </c>
      <c r="Q527" s="5" t="n">
        <v>0</v>
      </c>
      <c r="R527" s="5" t="inlineStr">
        <is>
          <t>312-2023-12-31</t>
        </is>
      </c>
    </row>
    <row r="528">
      <c r="A528" s="5" t="n">
        <v>312</v>
      </c>
      <c r="B528" s="5" t="inlineStr">
        <is>
          <t>Clases espejo</t>
        </is>
      </c>
      <c r="C528" s="5" t="inlineStr">
        <is>
          <t>VISIBILIDAD NACIONAL E INTERNACIONAL</t>
        </is>
      </c>
      <c r="D528" s="5" t="inlineStr">
        <is>
          <t>Semestral</t>
        </is>
      </c>
      <c r="E528" s="5" t="inlineStr">
        <is>
          <t>Positivo</t>
        </is>
      </c>
      <c r="F528" s="107" t="n">
        <v>45657</v>
      </c>
      <c r="G528" s="15" t="n">
        <v>2024</v>
      </c>
      <c r="H528" s="6" t="inlineStr">
        <is>
          <t>Diciembre</t>
        </is>
      </c>
      <c r="I528" s="6" t="inlineStr">
        <is>
          <t>2024-2</t>
        </is>
      </c>
      <c r="J528" s="5" t="n">
        <v>100</v>
      </c>
      <c r="K528" s="5" t="n">
        <v>137</v>
      </c>
      <c r="L528" s="14">
        <f>IFERROR(IF(OR(J528=0,K528=""),"",IF(E528="Positivo",MIN(MAX(K528/J528,0),1.3),MIN(MAX(J528/K528,0),1.3))),"") </f>
        <v/>
      </c>
      <c r="M528" s="14">
        <f>IFERROR(IF(OR(J528=0,K528=""),"",IF(E528="Positivo",MAX(K528/J528,0),MAX(J528/K528,0))),"") </f>
        <v/>
      </c>
      <c r="N528" s="5" t="inlineStr">
        <is>
          <t>ENT</t>
        </is>
      </c>
      <c r="O528" s="5" t="inlineStr">
        <is>
          <t>ENT</t>
        </is>
      </c>
      <c r="P528" s="5" t="n">
        <v>0</v>
      </c>
      <c r="Q528" s="5" t="n">
        <v>0</v>
      </c>
      <c r="R528" s="5" t="inlineStr">
        <is>
          <t>312-2024-12-31</t>
        </is>
      </c>
    </row>
    <row r="529">
      <c r="A529" s="5" t="n">
        <v>313</v>
      </c>
      <c r="B529" s="5" t="inlineStr">
        <is>
          <t>Seminarios y cursos internacionales virtuales impartidos y certificados por entidades externas</t>
        </is>
      </c>
      <c r="C529" s="5" t="inlineStr">
        <is>
          <t>VISIBILIDAD NACIONAL E INTERNACIONAL</t>
        </is>
      </c>
      <c r="D529" s="5" t="inlineStr">
        <is>
          <t>Semestral</t>
        </is>
      </c>
      <c r="E529" s="5" t="inlineStr">
        <is>
          <t>Positivo</t>
        </is>
      </c>
      <c r="F529" s="107" t="n">
        <v>45291</v>
      </c>
      <c r="G529" s="15" t="n">
        <v>2023</v>
      </c>
      <c r="H529" s="6" t="inlineStr">
        <is>
          <t>Diciembre</t>
        </is>
      </c>
      <c r="I529" s="6" t="inlineStr">
        <is>
          <t>2023-2</t>
        </is>
      </c>
      <c r="J529" s="5" t="n">
        <v>28</v>
      </c>
      <c r="K529" s="5" t="n">
        <v>25</v>
      </c>
      <c r="L529" s="14">
        <f>IFERROR(IF(OR(J529=0,K529=""),"",IF(E529="Positivo",MIN(MAX(K529/J529,0),1.3),MIN(MAX(J529/K529,0),1.3))),"") </f>
        <v/>
      </c>
      <c r="M529" s="14">
        <f>IFERROR(IF(OR(J529=0,K529=""),"",IF(E529="Positivo",MAX(K529/J529,0),MAX(J529/K529,0))),"") </f>
        <v/>
      </c>
      <c r="N529" s="5" t="inlineStr">
        <is>
          <t>ENT</t>
        </is>
      </c>
      <c r="O529" s="5" t="inlineStr">
        <is>
          <t>ENT</t>
        </is>
      </c>
      <c r="P529" s="5" t="n">
        <v>0</v>
      </c>
      <c r="Q529" s="5" t="n">
        <v>0</v>
      </c>
      <c r="R529" s="5" t="inlineStr">
        <is>
          <t>313-2023-12-31</t>
        </is>
      </c>
    </row>
    <row r="530">
      <c r="A530" s="5" t="n">
        <v>313</v>
      </c>
      <c r="B530" s="5" t="inlineStr">
        <is>
          <t>Seminarios y cursos internacionales virtuales impartidos y certificados por entidades externas</t>
        </is>
      </c>
      <c r="C530" s="5" t="inlineStr">
        <is>
          <t>VISIBILIDAD NACIONAL E INTERNACIONAL</t>
        </is>
      </c>
      <c r="D530" s="13" t="inlineStr">
        <is>
          <t>Semestral</t>
        </is>
      </c>
      <c r="E530" s="5" t="inlineStr">
        <is>
          <t>Positivo</t>
        </is>
      </c>
      <c r="F530" s="107" t="n">
        <v>45657</v>
      </c>
      <c r="G530" s="15" t="n">
        <v>2024</v>
      </c>
      <c r="H530" s="6" t="inlineStr">
        <is>
          <t>Diciembre</t>
        </is>
      </c>
      <c r="I530" s="6" t="inlineStr">
        <is>
          <t>2024-2</t>
        </is>
      </c>
      <c r="J530" s="5" t="n">
        <v>100</v>
      </c>
      <c r="K530" s="5" t="n">
        <v>100</v>
      </c>
      <c r="L530" s="14">
        <f>IFERROR(IF(OR(J530=0,K530=""),"",IF(E530="Positivo",MIN(MAX(K530/J530,0),1.3),MIN(MAX(J530/K530,0),1.3))),"") </f>
        <v/>
      </c>
      <c r="M530" s="14">
        <f>IFERROR(IF(OR(J530=0,K530=""),"",IF(E530="Positivo",MAX(K530/J530,0),MAX(J530/K530,0))),"") </f>
        <v/>
      </c>
      <c r="N530" s="5" t="inlineStr">
        <is>
          <t>ENT</t>
        </is>
      </c>
      <c r="O530" s="5" t="inlineStr">
        <is>
          <t>ENT</t>
        </is>
      </c>
      <c r="P530" s="5" t="n">
        <v>0</v>
      </c>
      <c r="Q530" s="5" t="n">
        <v>0</v>
      </c>
      <c r="R530" s="5" t="inlineStr">
        <is>
          <t>313-2024-12-31</t>
        </is>
      </c>
    </row>
    <row r="531">
      <c r="A531" s="5" t="n">
        <v>314</v>
      </c>
      <c r="B531" s="5" t="inlineStr">
        <is>
          <t>N de asignaturas COIL - (Collaborative Online International Learning)</t>
        </is>
      </c>
      <c r="C531" s="5" t="inlineStr">
        <is>
          <t>VISIBILIDAD NACIONAL E INTERNACIONAL</t>
        </is>
      </c>
      <c r="D531" s="13" t="inlineStr">
        <is>
          <t>Semestral</t>
        </is>
      </c>
      <c r="E531" s="5" t="inlineStr">
        <is>
          <t>Positivo</t>
        </is>
      </c>
      <c r="F531" s="107" t="n">
        <v>45291</v>
      </c>
      <c r="G531" s="15" t="n">
        <v>2023</v>
      </c>
      <c r="H531" s="6" t="inlineStr">
        <is>
          <t>Diciembre</t>
        </is>
      </c>
      <c r="I531" s="6" t="inlineStr">
        <is>
          <t>2023-2</t>
        </is>
      </c>
      <c r="J531" s="5" t="n">
        <v>23</v>
      </c>
      <c r="K531" s="5" t="n">
        <v>29</v>
      </c>
      <c r="L531" s="14">
        <f>IFERROR(IF(OR(J531=0,K531=""),"",IF(E531="Positivo",MIN(MAX(K531/J531,0),1.3),MIN(MAX(J531/K531,0),1.3))),"") </f>
        <v/>
      </c>
      <c r="M531" s="14">
        <f>IFERROR(IF(OR(J531=0,K531=""),"",IF(E531="Positivo",MAX(K531/J531,0),MAX(J531/K531,0))),"") </f>
        <v/>
      </c>
      <c r="N531" s="5" t="inlineStr">
        <is>
          <t>ENT</t>
        </is>
      </c>
      <c r="O531" s="5" t="inlineStr">
        <is>
          <t>ENT</t>
        </is>
      </c>
      <c r="P531" s="5" t="n">
        <v>0</v>
      </c>
      <c r="Q531" s="5" t="n">
        <v>0</v>
      </c>
      <c r="R531" s="5" t="inlineStr">
        <is>
          <t>314-2023-12-31</t>
        </is>
      </c>
    </row>
    <row r="532">
      <c r="A532" s="5" t="n">
        <v>314</v>
      </c>
      <c r="B532" s="5" t="inlineStr">
        <is>
          <t>N de asignaturas COIL - (Collaborative Online International Learning)</t>
        </is>
      </c>
      <c r="C532" s="5" t="inlineStr">
        <is>
          <t>VISIBILIDAD NACIONAL E INTERNACIONAL</t>
        </is>
      </c>
      <c r="D532" s="13" t="inlineStr">
        <is>
          <t>Semestral</t>
        </is>
      </c>
      <c r="E532" s="5" t="inlineStr">
        <is>
          <t>Positivo</t>
        </is>
      </c>
      <c r="F532" s="107" t="n">
        <v>45657</v>
      </c>
      <c r="G532" s="15" t="n">
        <v>2024</v>
      </c>
      <c r="H532" s="6" t="inlineStr">
        <is>
          <t>Diciembre</t>
        </is>
      </c>
      <c r="I532" s="6" t="inlineStr">
        <is>
          <t>2024-2</t>
        </is>
      </c>
      <c r="J532" s="5" t="n">
        <v>100</v>
      </c>
      <c r="K532" s="5" t="n">
        <v>145</v>
      </c>
      <c r="L532" s="14">
        <f>IFERROR(IF(OR(J532=0,K532=""),"",IF(E532="Positivo",MIN(MAX(K532/J532,0),1.3),MIN(MAX(J532/K532,0),1.3))),"") </f>
        <v/>
      </c>
      <c r="M532" s="14">
        <f>IFERROR(IF(OR(J532=0,K532=""),"",IF(E532="Positivo",MAX(K532/J532,0),MAX(J532/K532,0))),"") </f>
        <v/>
      </c>
      <c r="N532" s="5" t="inlineStr">
        <is>
          <t>ENT</t>
        </is>
      </c>
      <c r="O532" s="5" t="inlineStr">
        <is>
          <t>ENT</t>
        </is>
      </c>
      <c r="P532" s="5" t="n">
        <v>0</v>
      </c>
      <c r="Q532" s="5" t="n">
        <v>0</v>
      </c>
      <c r="R532" s="5" t="inlineStr">
        <is>
          <t>314-2024-12-31</t>
        </is>
      </c>
    </row>
    <row r="533">
      <c r="A533" s="5" t="n">
        <v>315</v>
      </c>
      <c r="B533" s="5" t="inlineStr">
        <is>
          <t>Convenios con doble titulación</t>
        </is>
      </c>
      <c r="C533" s="5" t="inlineStr">
        <is>
          <t>VISIBILIDAD NACIONAL E INTERNACIONAL</t>
        </is>
      </c>
      <c r="D533" s="13" t="inlineStr">
        <is>
          <t>Semestral</t>
        </is>
      </c>
      <c r="E533" s="5" t="inlineStr">
        <is>
          <t>Positivo</t>
        </is>
      </c>
      <c r="F533" s="107" t="n">
        <v>45291</v>
      </c>
      <c r="G533" s="15" t="n">
        <v>2023</v>
      </c>
      <c r="H533" s="6" t="inlineStr">
        <is>
          <t>Diciembre</t>
        </is>
      </c>
      <c r="I533" s="6" t="inlineStr">
        <is>
          <t>2023-2</t>
        </is>
      </c>
      <c r="J533" s="5" t="n">
        <v>5</v>
      </c>
      <c r="K533" s="5" t="n">
        <v>7</v>
      </c>
      <c r="L533" s="14">
        <f>IFERROR(IF(OR(J533=0,K533=""),"",IF(E533="Positivo",MIN(MAX(K533/J533,0),1.3),MIN(MAX(J533/K533,0),1.3))),"") </f>
        <v/>
      </c>
      <c r="M533" s="14">
        <f>IFERROR(IF(OR(J533=0,K533=""),"",IF(E533="Positivo",MAX(K533/J533,0),MAX(J533/K533,0))),"") </f>
        <v/>
      </c>
      <c r="N533" s="5" t="inlineStr">
        <is>
          <t>ENT</t>
        </is>
      </c>
      <c r="O533" s="5" t="inlineStr">
        <is>
          <t>ENT</t>
        </is>
      </c>
      <c r="P533" s="5" t="n">
        <v>0</v>
      </c>
      <c r="Q533" s="5" t="n">
        <v>0</v>
      </c>
      <c r="R533" s="5" t="inlineStr">
        <is>
          <t>315-2023-12-31</t>
        </is>
      </c>
    </row>
    <row r="534">
      <c r="A534" s="5" t="n">
        <v>315</v>
      </c>
      <c r="B534" s="5" t="inlineStr">
        <is>
          <t>Num de programas con convenios de doble titulación</t>
        </is>
      </c>
      <c r="C534" s="5" t="inlineStr">
        <is>
          <t>VISIBILIDAD NACIONAL E INTERNACIONAL</t>
        </is>
      </c>
      <c r="D534" s="13" t="inlineStr">
        <is>
          <t>Semestral</t>
        </is>
      </c>
      <c r="E534" s="5" t="inlineStr">
        <is>
          <t>Positivo</t>
        </is>
      </c>
      <c r="F534" s="107" t="n">
        <v>45657</v>
      </c>
      <c r="G534" s="15" t="n">
        <v>2024</v>
      </c>
      <c r="H534" s="6" t="inlineStr">
        <is>
          <t>Diciembre</t>
        </is>
      </c>
      <c r="I534" s="6" t="inlineStr">
        <is>
          <t>2024-2</t>
        </is>
      </c>
      <c r="J534" s="5" t="n"/>
      <c r="K534" s="5" t="n"/>
      <c r="L534" s="14" t="n"/>
      <c r="M534" s="14" t="n"/>
      <c r="N534" s="5" t="inlineStr">
        <is>
          <t>ENT</t>
        </is>
      </c>
      <c r="O534" s="5" t="inlineStr">
        <is>
          <t>ENT</t>
        </is>
      </c>
      <c r="P534" s="5" t="n">
        <v>0</v>
      </c>
      <c r="Q534" s="5" t="n">
        <v>0</v>
      </c>
      <c r="R534" s="5" t="inlineStr">
        <is>
          <t>315-2024-12-31</t>
        </is>
      </c>
    </row>
    <row r="535">
      <c r="A535" s="5" t="n">
        <v>316</v>
      </c>
      <c r="B535" s="5" t="inlineStr">
        <is>
          <t>Asignaturas con sesiones en segundo idioma</t>
        </is>
      </c>
      <c r="C535" s="5" t="inlineStr">
        <is>
          <t>VISIBILIDAD NACIONAL E INTERNACIONAL</t>
        </is>
      </c>
      <c r="D535" s="13" t="inlineStr">
        <is>
          <t>Semestral</t>
        </is>
      </c>
      <c r="E535" s="5" t="inlineStr">
        <is>
          <t>Positivo</t>
        </is>
      </c>
      <c r="F535" s="107" t="n">
        <v>45291</v>
      </c>
      <c r="G535" s="15" t="n">
        <v>2023</v>
      </c>
      <c r="H535" s="6" t="inlineStr">
        <is>
          <t>Diciembre</t>
        </is>
      </c>
      <c r="I535" s="6" t="inlineStr">
        <is>
          <t>2023-2</t>
        </is>
      </c>
      <c r="J535" s="5" t="n">
        <v>21</v>
      </c>
      <c r="K535" s="5" t="n">
        <v>22</v>
      </c>
      <c r="L535" s="14">
        <f>IFERROR(IF(OR(J535=0,K535=""),"",IF(E535="Positivo",MIN(MAX(K535/J535,0),1.3),MIN(MAX(J535/K535,0),1.3))),"") </f>
        <v/>
      </c>
      <c r="M535" s="14">
        <f>IFERROR(IF(OR(J535=0,K535=""),"",IF(E535="Positivo",MAX(K535/J535,0),MAX(J535/K535,0))),"") </f>
        <v/>
      </c>
      <c r="N535" s="5" t="inlineStr">
        <is>
          <t>ENT</t>
        </is>
      </c>
      <c r="O535" s="5" t="inlineStr">
        <is>
          <t>ENT</t>
        </is>
      </c>
      <c r="P535" s="5" t="n">
        <v>0</v>
      </c>
      <c r="Q535" s="5" t="n">
        <v>0</v>
      </c>
      <c r="R535" s="5" t="inlineStr">
        <is>
          <t>316-2023-12-31</t>
        </is>
      </c>
    </row>
    <row r="536">
      <c r="A536" s="5" t="n">
        <v>317</v>
      </c>
      <c r="B536" s="5" t="inlineStr">
        <is>
          <t>Plan De Internacionalización A 7 Años</t>
        </is>
      </c>
      <c r="C536" s="5" t="inlineStr">
        <is>
          <t>VISIBILIDAD NACIONAL E INTERNACIONAL</t>
        </is>
      </c>
      <c r="D536" s="13" t="inlineStr">
        <is>
          <t>Anual</t>
        </is>
      </c>
      <c r="E536" s="5" t="inlineStr">
        <is>
          <t>Positivo</t>
        </is>
      </c>
      <c r="F536" s="107" t="n">
        <v>45291</v>
      </c>
      <c r="G536" s="15" t="n">
        <v>2023</v>
      </c>
      <c r="H536" s="6" t="inlineStr">
        <is>
          <t>Diciembre</t>
        </is>
      </c>
      <c r="I536" s="6" t="inlineStr">
        <is>
          <t>2023-2</t>
        </is>
      </c>
      <c r="J536" s="5" t="n">
        <v>12</v>
      </c>
      <c r="K536" s="5" t="n">
        <v>12</v>
      </c>
      <c r="L536" s="14">
        <f>IFERROR(IF(OR(J536=0,K536=""),"",IF(E536="Positivo",MIN(MAX(K536/J536,0),1.3),MIN(MAX(J536/K536,0),1.3))),"") </f>
        <v/>
      </c>
      <c r="M536" s="14">
        <f>IFERROR(IF(OR(J536=0,K536=""),"",IF(E536="Positivo",MAX(K536/J536,0),MAX(J536/K536,0))),"") </f>
        <v/>
      </c>
      <c r="N536" s="5" t="inlineStr">
        <is>
          <t>ENT</t>
        </is>
      </c>
      <c r="O536" s="5" t="inlineStr">
        <is>
          <t>ENT</t>
        </is>
      </c>
      <c r="P536" s="5" t="n">
        <v>0</v>
      </c>
      <c r="Q536" s="5" t="n">
        <v>0</v>
      </c>
      <c r="R536" s="5" t="inlineStr">
        <is>
          <t>317-2023-12-31</t>
        </is>
      </c>
    </row>
    <row r="537">
      <c r="A537" s="5" t="n">
        <v>317</v>
      </c>
      <c r="B537" s="5" t="inlineStr">
        <is>
          <t>Plan De Internacionalización A 7 Años</t>
        </is>
      </c>
      <c r="C537" s="5" t="inlineStr">
        <is>
          <t>VISIBILIDAD NACIONAL E INTERNACIONAL</t>
        </is>
      </c>
      <c r="D537" s="13" t="inlineStr">
        <is>
          <t>Anual</t>
        </is>
      </c>
      <c r="E537" s="5" t="inlineStr">
        <is>
          <t>Positivo</t>
        </is>
      </c>
      <c r="F537" s="107" t="n">
        <v>45657</v>
      </c>
      <c r="G537" s="15" t="n">
        <v>2024</v>
      </c>
      <c r="H537" s="6" t="inlineStr">
        <is>
          <t>Diciembre</t>
        </is>
      </c>
      <c r="I537" s="6" t="inlineStr">
        <is>
          <t>2024-2</t>
        </is>
      </c>
      <c r="J537" s="5" t="n">
        <v>100</v>
      </c>
      <c r="K537" s="5" t="n">
        <v>100</v>
      </c>
      <c r="L537" s="14">
        <f>IFERROR(IF(OR(J537=0,K537=""),"",IF(E537="Positivo",MIN(MAX(K537/J537,0),1.3),MIN(MAX(J537/K537,0),1.3))),"") </f>
        <v/>
      </c>
      <c r="M537" s="14">
        <f>IFERROR(IF(OR(J537=0,K537=""),"",IF(E537="Positivo",MAX(K537/J537,0),MAX(J537/K537,0))),"") </f>
        <v/>
      </c>
      <c r="N537" s="5" t="inlineStr">
        <is>
          <t>ENT</t>
        </is>
      </c>
      <c r="O537" s="5" t="inlineStr">
        <is>
          <t>ENT</t>
        </is>
      </c>
      <c r="P537" s="5" t="n">
        <v>0</v>
      </c>
      <c r="Q537" s="5" t="n">
        <v>0</v>
      </c>
      <c r="R537" s="5" t="inlineStr">
        <is>
          <t>317-2024-12-31</t>
        </is>
      </c>
    </row>
    <row r="538">
      <c r="A538" s="5" t="n">
        <v>318</v>
      </c>
      <c r="B538" s="5" t="inlineStr">
        <is>
          <t>Convenios, alianzas activas con actividades desde 2018</t>
        </is>
      </c>
      <c r="C538" s="5" t="inlineStr">
        <is>
          <t>VISIBILIDAD NACIONAL E INTERNACIONAL</t>
        </is>
      </c>
      <c r="D538" s="13" t="inlineStr">
        <is>
          <t>Semestral</t>
        </is>
      </c>
      <c r="E538" s="5" t="inlineStr">
        <is>
          <t>Positivo</t>
        </is>
      </c>
      <c r="F538" s="107" t="n">
        <v>45291</v>
      </c>
      <c r="G538" s="15" t="n">
        <v>2023</v>
      </c>
      <c r="H538" s="6" t="inlineStr">
        <is>
          <t>Diciembre</t>
        </is>
      </c>
      <c r="I538" s="6" t="inlineStr">
        <is>
          <t>2023-2</t>
        </is>
      </c>
      <c r="J538" s="5" t="n">
        <v>80</v>
      </c>
      <c r="K538" s="5" t="n">
        <v>90.90909090909091</v>
      </c>
      <c r="L538" s="14">
        <f>IFERROR(IF(OR(J538=0,K538=""),"",IF(E538="Positivo",MIN(MAX(K538/J538,0),1.3),MIN(MAX(J538/K538,0),1.3))),"") </f>
        <v/>
      </c>
      <c r="M538" s="14">
        <f>IFERROR(IF(OR(J538=0,K538=""),"",IF(E538="Positivo",MAX(K538/J538,0),MAX(J538/K538,0))),"") </f>
        <v/>
      </c>
      <c r="N538" s="5" t="inlineStr">
        <is>
          <t>%</t>
        </is>
      </c>
      <c r="O538" s="5" t="inlineStr">
        <is>
          <t>%</t>
        </is>
      </c>
      <c r="P538" s="5" t="n">
        <v>0</v>
      </c>
      <c r="Q538" s="5" t="n">
        <v>0</v>
      </c>
      <c r="R538" s="5" t="inlineStr">
        <is>
          <t>318-2023-12-31</t>
        </is>
      </c>
    </row>
    <row r="539">
      <c r="A539" s="5" t="n">
        <v>318</v>
      </c>
      <c r="B539" s="5" t="inlineStr">
        <is>
          <t>Convenios, alianzas activas con actividades en los últimos 5 años</t>
        </is>
      </c>
      <c r="C539" s="5" t="inlineStr">
        <is>
          <t>VISIBILIDAD NACIONAL E INTERNACIONAL</t>
        </is>
      </c>
      <c r="D539" s="13" t="inlineStr">
        <is>
          <t>Anual</t>
        </is>
      </c>
      <c r="E539" s="5" t="inlineStr">
        <is>
          <t>Positivo</t>
        </is>
      </c>
      <c r="F539" s="107" t="n">
        <v>45657</v>
      </c>
      <c r="G539" s="15" t="n">
        <v>2024</v>
      </c>
      <c r="H539" s="6" t="inlineStr">
        <is>
          <t>Diciembre</t>
        </is>
      </c>
      <c r="I539" s="6" t="inlineStr">
        <is>
          <t>2024-2</t>
        </is>
      </c>
      <c r="J539" s="5" t="n">
        <v>80</v>
      </c>
      <c r="K539" s="5" t="n">
        <v>90.28</v>
      </c>
      <c r="L539" s="14">
        <f>IFERROR(IF(OR(J539=0,K539=""),"",IF(E539="Positivo",MIN(MAX(K539/J539,0),1.3),MIN(MAX(J539/K539,0),1.3))),"") </f>
        <v/>
      </c>
      <c r="M539" s="14">
        <f>IFERROR(IF(OR(J539=0,K539=""),"",IF(E539="Positivo",MAX(K539/J539,0),MAX(J539/K539,0))),"") </f>
        <v/>
      </c>
      <c r="N539" s="5" t="inlineStr">
        <is>
          <t>%</t>
        </is>
      </c>
      <c r="O539" s="5" t="inlineStr">
        <is>
          <t>%</t>
        </is>
      </c>
      <c r="P539" s="5" t="n">
        <v>0</v>
      </c>
      <c r="Q539" s="5" t="n">
        <v>0</v>
      </c>
      <c r="R539" s="5" t="inlineStr">
        <is>
          <t>318-2024-12-31</t>
        </is>
      </c>
    </row>
    <row r="540">
      <c r="A540" s="5" t="n">
        <v>318</v>
      </c>
      <c r="B540" s="5" t="inlineStr">
        <is>
          <t>Convenios, alianzas activas con actividades en los últimos 5 años</t>
        </is>
      </c>
      <c r="C540" s="5" t="inlineStr">
        <is>
          <t>VISIBILIDAD NACIONAL E INTERNACIONAL</t>
        </is>
      </c>
      <c r="D540" s="13" t="inlineStr">
        <is>
          <t>Anual</t>
        </is>
      </c>
      <c r="E540" s="5" t="inlineStr">
        <is>
          <t>Positivo</t>
        </is>
      </c>
      <c r="F540" s="107" t="n">
        <v>46022</v>
      </c>
      <c r="G540" s="15" t="n">
        <v>2025</v>
      </c>
      <c r="H540" s="6" t="inlineStr">
        <is>
          <t>Diciembre</t>
        </is>
      </c>
      <c r="I540" s="6" t="inlineStr">
        <is>
          <t>2025-2</t>
        </is>
      </c>
      <c r="J540" s="5" t="n">
        <v>85</v>
      </c>
      <c r="K540" s="5" t="n">
        <v>86.16</v>
      </c>
      <c r="L540" s="14">
        <f>IFERROR(IF(OR(J540=0,K540=""),"",IF(E540="Positivo",MIN(MAX(K540/J540,0),1.3),MIN(MAX(J540/K540,0),1.3))),"") </f>
        <v/>
      </c>
      <c r="M540" s="14">
        <f>IFERROR(IF(OR(J540=0,K540=""),"",IF(E540="Positivo",MAX(K540/J540,0),MAX(J540/K540,0))),"") </f>
        <v/>
      </c>
      <c r="N540" s="5" t="inlineStr">
        <is>
          <t>%</t>
        </is>
      </c>
      <c r="O540" s="5" t="inlineStr">
        <is>
          <t>%</t>
        </is>
      </c>
      <c r="P540" s="5" t="n">
        <v>0</v>
      </c>
      <c r="Q540" s="5" t="n">
        <v>0</v>
      </c>
      <c r="R540" s="5" t="inlineStr">
        <is>
          <t>318-2025-12-31</t>
        </is>
      </c>
    </row>
    <row r="541">
      <c r="A541" s="5" t="n">
        <v>319</v>
      </c>
      <c r="B541" s="5" t="inlineStr">
        <is>
          <t>Nivel de cumplimiento de la gestión de internacionalización descrito en el plan de trabajo de la ORNI</t>
        </is>
      </c>
      <c r="C541" s="5" t="inlineStr">
        <is>
          <t>VISIBILIDAD NACIONAL E INTERNACIONAL</t>
        </is>
      </c>
      <c r="D541" s="13" t="inlineStr">
        <is>
          <t>Semestral</t>
        </is>
      </c>
      <c r="E541" s="5" t="inlineStr">
        <is>
          <t>Positivo</t>
        </is>
      </c>
      <c r="F541" s="107" t="n">
        <v>45291</v>
      </c>
      <c r="G541" s="15" t="n">
        <v>2023</v>
      </c>
      <c r="H541" s="6" t="inlineStr">
        <is>
          <t>Diciembre</t>
        </is>
      </c>
      <c r="I541" s="6" t="inlineStr">
        <is>
          <t>2023-2</t>
        </is>
      </c>
      <c r="J541" s="5" t="n">
        <v>100</v>
      </c>
      <c r="K541" s="5" t="n">
        <v>100</v>
      </c>
      <c r="L541" s="14">
        <f>IFERROR(IF(OR(J541=0,K541=""),"",IF(E541="Positivo",MIN(MAX(K541/J541,0),1.3),MIN(MAX(J541/K541,0),1.3))),"") </f>
        <v/>
      </c>
      <c r="M541" s="14">
        <f>IFERROR(IF(OR(J541=0,K541=""),"",IF(E541="Positivo",MAX(K541/J541,0),MAX(J541/K541,0))),"") </f>
        <v/>
      </c>
      <c r="N541" s="5" t="inlineStr">
        <is>
          <t>%</t>
        </is>
      </c>
      <c r="O541" s="5" t="inlineStr">
        <is>
          <t>%</t>
        </is>
      </c>
      <c r="P541" s="5" t="n">
        <v>0</v>
      </c>
      <c r="Q541" s="5" t="n">
        <v>0</v>
      </c>
      <c r="R541" s="5" t="inlineStr">
        <is>
          <t>319-2023-12-31</t>
        </is>
      </c>
    </row>
    <row r="542">
      <c r="A542" s="5" t="n">
        <v>319</v>
      </c>
      <c r="B542" s="5" t="inlineStr">
        <is>
          <t>Nivel de cumplimiento de la gestión de internacionalización descrito en el plan de trabajo de la ORNI</t>
        </is>
      </c>
      <c r="C542" s="5" t="inlineStr">
        <is>
          <t>VISIBILIDAD NACIONAL E INTERNACIONAL</t>
        </is>
      </c>
      <c r="D542" s="13" t="inlineStr">
        <is>
          <t>Semestral</t>
        </is>
      </c>
      <c r="E542" s="5" t="inlineStr">
        <is>
          <t>Positivo</t>
        </is>
      </c>
      <c r="F542" s="107" t="n">
        <v>45657</v>
      </c>
      <c r="G542" s="15" t="n">
        <v>2024</v>
      </c>
      <c r="H542" s="6" t="inlineStr">
        <is>
          <t>Diciembre</t>
        </is>
      </c>
      <c r="I542" s="6" t="inlineStr">
        <is>
          <t>2024-2</t>
        </is>
      </c>
      <c r="J542" s="5" t="n">
        <v>100</v>
      </c>
      <c r="K542" s="10" t="n">
        <v>100</v>
      </c>
      <c r="L542" s="14">
        <f>IFERROR(IF(OR(J542=0,K542=""),"",IF(E542="Positivo",MIN(MAX(K542/J542,0),1.3),MIN(MAX(J542/K542,0),1.3))),"") </f>
        <v/>
      </c>
      <c r="M542" s="14">
        <f>IFERROR(IF(OR(J542=0,K542=""),"",IF(E542="Positivo",MAX(K542/J542,0),MAX(J542/K542,0))),"") </f>
        <v/>
      </c>
      <c r="N542" s="5" t="inlineStr">
        <is>
          <t>%</t>
        </is>
      </c>
      <c r="O542" s="5" t="inlineStr">
        <is>
          <t>%</t>
        </is>
      </c>
      <c r="P542" s="5" t="n">
        <v>0</v>
      </c>
      <c r="Q542" s="5" t="n">
        <v>0</v>
      </c>
      <c r="R542" s="5" t="inlineStr">
        <is>
          <t>319-2024-12-31</t>
        </is>
      </c>
    </row>
    <row r="543">
      <c r="A543" s="5" t="n">
        <v>320</v>
      </c>
      <c r="B543" s="5" t="inlineStr">
        <is>
          <t>Participación docentes eventos académicos internacionales virtuales</t>
        </is>
      </c>
      <c r="C543" s="5" t="inlineStr">
        <is>
          <t>VISIBILIDAD NACIONAL E INTERNACIONAL</t>
        </is>
      </c>
      <c r="D543" s="13" t="inlineStr">
        <is>
          <t>Semestral</t>
        </is>
      </c>
      <c r="E543" s="5" t="inlineStr">
        <is>
          <t>Positivo</t>
        </is>
      </c>
      <c r="F543" s="107" t="n">
        <v>45291</v>
      </c>
      <c r="G543" s="15" t="n">
        <v>2023</v>
      </c>
      <c r="H543" s="6" t="inlineStr">
        <is>
          <t>Diciembre</t>
        </is>
      </c>
      <c r="I543" s="6" t="inlineStr">
        <is>
          <t>2023-2</t>
        </is>
      </c>
      <c r="J543" s="5" t="n">
        <v>41</v>
      </c>
      <c r="K543" s="5" t="n">
        <v>29</v>
      </c>
      <c r="L543" s="14">
        <f>IFERROR(IF(OR(J543=0,K543=""),"",IF(E543="Positivo",MIN(MAX(K543/J543,0),1.3),MIN(MAX(J543/K543,0),1.3))),"") </f>
        <v/>
      </c>
      <c r="M543" s="14">
        <f>IFERROR(IF(OR(J543=0,K543=""),"",IF(E543="Positivo",MAX(K543/J543,0),MAX(J543/K543,0))),"") </f>
        <v/>
      </c>
      <c r="N543" s="5" t="inlineStr">
        <is>
          <t>ENT</t>
        </is>
      </c>
      <c r="O543" s="5" t="inlineStr">
        <is>
          <t>ENT</t>
        </is>
      </c>
      <c r="P543" s="5" t="n">
        <v>0</v>
      </c>
      <c r="Q543" s="5" t="n">
        <v>0</v>
      </c>
      <c r="R543" s="5" t="inlineStr">
        <is>
          <t>320-2023-12-31</t>
        </is>
      </c>
    </row>
    <row r="544">
      <c r="A544" s="5" t="n">
        <v>320</v>
      </c>
      <c r="B544" s="5" t="inlineStr">
        <is>
          <t>Participación docentes Poli en eventos académicos internacionales virtuales</t>
        </is>
      </c>
      <c r="C544" s="5" t="inlineStr">
        <is>
          <t>VISIBILIDAD NACIONAL E INTERNACIONAL</t>
        </is>
      </c>
      <c r="D544" s="13" t="inlineStr">
        <is>
          <t>Semestral</t>
        </is>
      </c>
      <c r="E544" s="5" t="inlineStr">
        <is>
          <t>Positivo</t>
        </is>
      </c>
      <c r="F544" s="107" t="n">
        <v>45657</v>
      </c>
      <c r="G544" s="15" t="n">
        <v>2024</v>
      </c>
      <c r="H544" s="6" t="inlineStr">
        <is>
          <t>Diciembre</t>
        </is>
      </c>
      <c r="I544" s="6" t="inlineStr">
        <is>
          <t>2024-2</t>
        </is>
      </c>
      <c r="J544" s="5" t="n">
        <v>100</v>
      </c>
      <c r="K544" s="5" t="n">
        <v>115</v>
      </c>
      <c r="L544" s="14">
        <f>IFERROR(IF(OR(J544=0,K544=""),"",IF(E544="Positivo",MIN(MAX(K544/J544,0),1.3),MIN(MAX(J544/K544,0),1.3))),"") </f>
        <v/>
      </c>
      <c r="M544" s="14">
        <f>IFERROR(IF(OR(J544=0,K544=""),"",IF(E544="Positivo",MAX(K544/J544,0),MAX(J544/K544,0))),"") </f>
        <v/>
      </c>
      <c r="N544" s="5" t="inlineStr">
        <is>
          <t>ENT</t>
        </is>
      </c>
      <c r="O544" s="5" t="inlineStr">
        <is>
          <t>ENT</t>
        </is>
      </c>
      <c r="P544" s="5" t="n">
        <v>0</v>
      </c>
      <c r="Q544" s="5" t="n">
        <v>0</v>
      </c>
      <c r="R544" s="5" t="inlineStr">
        <is>
          <t>320-2024-12-31</t>
        </is>
      </c>
    </row>
    <row r="545">
      <c r="A545" s="5" t="n">
        <v>321</v>
      </c>
      <c r="B545" s="5" t="inlineStr">
        <is>
          <t>Participación estudiantes eventos académicos internacionales virtuales</t>
        </is>
      </c>
      <c r="C545" s="5" t="inlineStr">
        <is>
          <t>VISIBILIDAD NACIONAL E INTERNACIONAL</t>
        </is>
      </c>
      <c r="D545" s="13" t="inlineStr">
        <is>
          <t>Semestral</t>
        </is>
      </c>
      <c r="E545" s="5" t="inlineStr">
        <is>
          <t>Positivo</t>
        </is>
      </c>
      <c r="F545" s="107" t="n">
        <v>45291</v>
      </c>
      <c r="G545" s="15" t="n">
        <v>2023</v>
      </c>
      <c r="H545" s="6" t="inlineStr">
        <is>
          <t>Diciembre</t>
        </is>
      </c>
      <c r="I545" s="6" t="inlineStr">
        <is>
          <t>2023-2</t>
        </is>
      </c>
      <c r="J545" s="5" t="n">
        <v>360</v>
      </c>
      <c r="K545" s="5" t="n">
        <v>467</v>
      </c>
      <c r="L545" s="14">
        <f>IFERROR(IF(OR(J545=0,K545=""),"",IF(E545="Positivo",MIN(MAX(K545/J545,0),1.3),MIN(MAX(J545/K545,0),1.3))),"") </f>
        <v/>
      </c>
      <c r="M545" s="14">
        <f>IFERROR(IF(OR(J545=0,K545=""),"",IF(E545="Positivo",MAX(K545/J545,0),MAX(J545/K545,0))),"") </f>
        <v/>
      </c>
      <c r="N545" s="5" t="inlineStr">
        <is>
          <t>ENT</t>
        </is>
      </c>
      <c r="O545" s="5" t="inlineStr">
        <is>
          <t>ENT</t>
        </is>
      </c>
      <c r="P545" s="5" t="n">
        <v>0</v>
      </c>
      <c r="Q545" s="5" t="n">
        <v>0</v>
      </c>
      <c r="R545" s="5" t="inlineStr">
        <is>
          <t>321-2023-12-31</t>
        </is>
      </c>
    </row>
    <row r="546">
      <c r="A546" s="5" t="n">
        <v>321</v>
      </c>
      <c r="B546" s="5" t="inlineStr">
        <is>
          <t>Participación estudiantes Poli en eventos académicos internacionales virtuales</t>
        </is>
      </c>
      <c r="C546" s="5" t="inlineStr">
        <is>
          <t>VISIBILIDAD NACIONAL E INTERNACIONAL</t>
        </is>
      </c>
      <c r="D546" s="13" t="inlineStr">
        <is>
          <t>Semestral</t>
        </is>
      </c>
      <c r="E546" s="5" t="inlineStr">
        <is>
          <t>Positivo</t>
        </is>
      </c>
      <c r="F546" s="107" t="n">
        <v>45657</v>
      </c>
      <c r="G546" s="15" t="n">
        <v>2024</v>
      </c>
      <c r="H546" s="6" t="inlineStr">
        <is>
          <t>Diciembre</t>
        </is>
      </c>
      <c r="I546" s="6" t="inlineStr">
        <is>
          <t>2024-2</t>
        </is>
      </c>
      <c r="J546" s="5" t="n">
        <v>100</v>
      </c>
      <c r="K546" s="5" t="n">
        <v>502.17</v>
      </c>
      <c r="L546" s="14">
        <f>IFERROR(IF(OR(J546=0,K546=""),"",IF(E546="Positivo",MIN(MAX(K546/J546,0),1.3),MIN(MAX(J546/K546,0),1.3))),"") </f>
        <v/>
      </c>
      <c r="M546" s="14">
        <f>IFERROR(IF(OR(J546=0,K546=""),"",IF(E546="Positivo",MAX(K546/J546,0),MAX(J546/K546,0))),"") </f>
        <v/>
      </c>
      <c r="N546" s="5" t="inlineStr">
        <is>
          <t>ENT</t>
        </is>
      </c>
      <c r="O546" s="5" t="inlineStr">
        <is>
          <t>ENT</t>
        </is>
      </c>
      <c r="P546" s="5" t="n">
        <v>0</v>
      </c>
      <c r="Q546" s="5" t="n">
        <v>0</v>
      </c>
      <c r="R546" s="5" t="inlineStr">
        <is>
          <t>321-2024-12-31</t>
        </is>
      </c>
    </row>
    <row r="547">
      <c r="A547" s="5" t="n">
        <v>323</v>
      </c>
      <c r="B547" s="5" t="inlineStr">
        <is>
          <t>Número de renovaciones de registro calificado</t>
        </is>
      </c>
      <c r="C547" s="5" t="inlineStr">
        <is>
          <t>Creación, modificación y cierre de programas académicos</t>
        </is>
      </c>
      <c r="D547" s="13" t="inlineStr">
        <is>
          <t>Semestral</t>
        </is>
      </c>
      <c r="E547" s="5" t="inlineStr">
        <is>
          <t>Positivo</t>
        </is>
      </c>
      <c r="F547" s="107" t="n">
        <v>45291</v>
      </c>
      <c r="G547" s="15" t="n">
        <v>2023</v>
      </c>
      <c r="H547" s="6" t="inlineStr">
        <is>
          <t>Diciembre</t>
        </is>
      </c>
      <c r="I547" s="6" t="inlineStr">
        <is>
          <t>2023-2</t>
        </is>
      </c>
      <c r="J547" s="5" t="n">
        <v>200</v>
      </c>
      <c r="K547" s="5" t="n">
        <v>200</v>
      </c>
      <c r="L547" s="14">
        <f>IFERROR(IF(OR(J547=0,K547=""),"",IF(E547="Positivo",MIN(MAX(K547/J547,0),1.3),MIN(MAX(J547/K547,0),1.3))),"") </f>
        <v/>
      </c>
      <c r="M547" s="14">
        <f>IFERROR(IF(OR(J547=0,K547=""),"",IF(E547="Positivo",MAX(K547/J547,0),MAX(J547/K547,0))),"") </f>
        <v/>
      </c>
      <c r="N547" s="5" t="inlineStr">
        <is>
          <t>ENT</t>
        </is>
      </c>
      <c r="O547" s="5" t="inlineStr">
        <is>
          <t>ENT</t>
        </is>
      </c>
      <c r="P547" s="5" t="n">
        <v>0</v>
      </c>
      <c r="Q547" s="5" t="n">
        <v>0</v>
      </c>
      <c r="R547" s="5" t="inlineStr">
        <is>
          <t>323-2023-12-31</t>
        </is>
      </c>
    </row>
    <row r="548">
      <c r="A548" s="5" t="n">
        <v>323</v>
      </c>
      <c r="B548" s="5" t="inlineStr">
        <is>
          <t>Número de renovaciones de registro calificado</t>
        </is>
      </c>
      <c r="C548" s="5" t="inlineStr">
        <is>
          <t>Creación, modificación y cierre de programas académicos</t>
        </is>
      </c>
      <c r="D548" s="13" t="inlineStr">
        <is>
          <t>Semestral</t>
        </is>
      </c>
      <c r="E548" s="5" t="inlineStr">
        <is>
          <t>Positivo</t>
        </is>
      </c>
      <c r="F548" s="107" t="n">
        <v>45657</v>
      </c>
      <c r="G548" s="15" t="n">
        <v>2024</v>
      </c>
      <c r="H548" s="6" t="inlineStr">
        <is>
          <t>Diciembre</t>
        </is>
      </c>
      <c r="I548" s="6" t="inlineStr">
        <is>
          <t>2024-2</t>
        </is>
      </c>
      <c r="J548" s="5" t="n">
        <v>200</v>
      </c>
      <c r="K548" s="5" t="n">
        <v>100</v>
      </c>
      <c r="L548" s="14">
        <f>IFERROR(IF(OR(J548=0,K548=""),"",IF(E548="Positivo",MIN(MAX(K548/J548,0),1.3),MIN(MAX(J548/K548,0),1.3))),"") </f>
        <v/>
      </c>
      <c r="M548" s="14">
        <f>IFERROR(IF(OR(J548=0,K548=""),"",IF(E548="Positivo",MAX(K548/J548,0),MAX(J548/K548,0))),"") </f>
        <v/>
      </c>
      <c r="N548" s="5" t="inlineStr">
        <is>
          <t>ENT</t>
        </is>
      </c>
      <c r="O548" s="5" t="inlineStr">
        <is>
          <t>ENT</t>
        </is>
      </c>
      <c r="P548" s="5" t="n">
        <v>0</v>
      </c>
      <c r="Q548" s="5" t="n">
        <v>0</v>
      </c>
      <c r="R548" s="5" t="inlineStr">
        <is>
          <t>323-2024-12-31</t>
        </is>
      </c>
    </row>
    <row r="549">
      <c r="A549" s="5" t="n">
        <v>323</v>
      </c>
      <c r="B549" s="5" t="inlineStr">
        <is>
          <t>Número de renovaciones de registro calificado</t>
        </is>
      </c>
      <c r="C549" s="5" t="inlineStr">
        <is>
          <t>Creación, modificación y cierre de programas académicos</t>
        </is>
      </c>
      <c r="D549" s="13" t="inlineStr">
        <is>
          <t>Semestral</t>
        </is>
      </c>
      <c r="E549" s="5" t="inlineStr">
        <is>
          <t>Positivo</t>
        </is>
      </c>
      <c r="F549" s="107" t="n">
        <v>46022</v>
      </c>
      <c r="G549" s="15" t="n">
        <v>2025</v>
      </c>
      <c r="H549" s="6" t="inlineStr">
        <is>
          <t>Diciembre</t>
        </is>
      </c>
      <c r="I549" s="6" t="inlineStr">
        <is>
          <t>2025-2</t>
        </is>
      </c>
      <c r="J549" s="5" t="n">
        <v>200</v>
      </c>
      <c r="K549" s="5" t="n">
        <v>200</v>
      </c>
      <c r="L549" s="14">
        <f>IFERROR(IF(OR(J549=0,K549=""),"",IF(E549="Positivo",MIN(MAX(K549/J549,0),1.3),MIN(MAX(J549/K549,0),1.3))),"") </f>
        <v/>
      </c>
      <c r="M549" s="14">
        <f>IFERROR(IF(OR(J549=0,K549=""),"",IF(E549="Positivo",MAX(K549/J549,0),MAX(J549/K549,0))),"") </f>
        <v/>
      </c>
      <c r="N549" s="5" t="inlineStr">
        <is>
          <t>ENT</t>
        </is>
      </c>
      <c r="O549" s="5" t="inlineStr">
        <is>
          <t>ENT</t>
        </is>
      </c>
      <c r="P549" s="5" t="n">
        <v>0</v>
      </c>
      <c r="Q549" s="5" t="n">
        <v>0</v>
      </c>
      <c r="R549" s="5" t="inlineStr">
        <is>
          <t>323-2025-12-31</t>
        </is>
      </c>
    </row>
    <row r="550">
      <c r="A550" s="5" t="n">
        <v>324</v>
      </c>
      <c r="B550" s="5" t="inlineStr">
        <is>
          <t>Número de programas nuevos radicados en el Ministerio de Educación</t>
        </is>
      </c>
      <c r="C550" s="5" t="inlineStr">
        <is>
          <t>Creación, modificación y cierre de programas académicos</t>
        </is>
      </c>
      <c r="D550" s="13" t="inlineStr">
        <is>
          <t>Semestral</t>
        </is>
      </c>
      <c r="E550" s="5" t="inlineStr">
        <is>
          <t>Positivo</t>
        </is>
      </c>
      <c r="F550" s="107" t="n">
        <v>45291</v>
      </c>
      <c r="G550" s="15" t="n">
        <v>2023</v>
      </c>
      <c r="H550" s="6" t="inlineStr">
        <is>
          <t>Diciembre</t>
        </is>
      </c>
      <c r="I550" s="6" t="inlineStr">
        <is>
          <t>2023-2</t>
        </is>
      </c>
      <c r="J550" s="5" t="n">
        <v>200</v>
      </c>
      <c r="K550" s="5" t="n">
        <v>100</v>
      </c>
      <c r="L550" s="14">
        <f>IFERROR(IF(OR(J550=0,K550=""),"",IF(E550="Positivo",MIN(MAX(K550/J550,0),1.3),MIN(MAX(J550/K550,0),1.3))),"") </f>
        <v/>
      </c>
      <c r="M550" s="14">
        <f>IFERROR(IF(OR(J550=0,K550=""),"",IF(E550="Positivo",MAX(K550/J550,0),MAX(J550/K550,0))),"") </f>
        <v/>
      </c>
      <c r="N550" s="5" t="inlineStr">
        <is>
          <t>ENT</t>
        </is>
      </c>
      <c r="O550" s="5" t="inlineStr">
        <is>
          <t>ENT</t>
        </is>
      </c>
      <c r="P550" s="5" t="n">
        <v>0</v>
      </c>
      <c r="Q550" s="5" t="n">
        <v>0</v>
      </c>
      <c r="R550" s="5" t="inlineStr">
        <is>
          <t>324-2023-12-31</t>
        </is>
      </c>
    </row>
    <row r="551">
      <c r="A551" s="5" t="n">
        <v>324</v>
      </c>
      <c r="B551" s="5" t="inlineStr">
        <is>
          <t>Número de programas nuevos radicados en el Ministerio de Educación</t>
        </is>
      </c>
      <c r="C551" s="5" t="inlineStr">
        <is>
          <t>Creación, modificación y cierre de programas académicos</t>
        </is>
      </c>
      <c r="D551" s="13" t="inlineStr">
        <is>
          <t>Semestral</t>
        </is>
      </c>
      <c r="E551" s="5" t="inlineStr">
        <is>
          <t>Positivo</t>
        </is>
      </c>
      <c r="F551" s="107" t="n">
        <v>45657</v>
      </c>
      <c r="G551" s="15" t="n">
        <v>2024</v>
      </c>
      <c r="H551" s="6" t="inlineStr">
        <is>
          <t>Diciembre</t>
        </is>
      </c>
      <c r="I551" s="6" t="inlineStr">
        <is>
          <t>2024-2</t>
        </is>
      </c>
      <c r="J551" s="5" t="n">
        <v>200</v>
      </c>
      <c r="K551" s="5" t="n">
        <v>100</v>
      </c>
      <c r="L551" s="14">
        <f>IFERROR(IF(OR(J551=0,K551=""),"",IF(E551="Positivo",MIN(MAX(K551/J551,0),1.3),MIN(MAX(J551/K551,0),1.3))),"") </f>
        <v/>
      </c>
      <c r="M551" s="14">
        <f>IFERROR(IF(OR(J551=0,K551=""),"",IF(E551="Positivo",MAX(K551/J551,0),MAX(J551/K551,0))),"") </f>
        <v/>
      </c>
      <c r="N551" s="5" t="inlineStr">
        <is>
          <t>ENT</t>
        </is>
      </c>
      <c r="O551" s="5" t="inlineStr">
        <is>
          <t>ENT</t>
        </is>
      </c>
      <c r="P551" s="5" t="n">
        <v>0</v>
      </c>
      <c r="Q551" s="5" t="n">
        <v>0</v>
      </c>
      <c r="R551" s="5" t="inlineStr">
        <is>
          <t>324-2024-12-31</t>
        </is>
      </c>
    </row>
    <row r="552">
      <c r="A552" s="5" t="n">
        <v>324</v>
      </c>
      <c r="B552" s="5" t="inlineStr">
        <is>
          <t>Número de programas nuevos radicados en el Ministerio de Educación</t>
        </is>
      </c>
      <c r="C552" s="5" t="inlineStr">
        <is>
          <t>Creación, modificación y cierre de programas académicos</t>
        </is>
      </c>
      <c r="D552" s="13" t="inlineStr">
        <is>
          <t>Trimestral</t>
        </is>
      </c>
      <c r="E552" s="5" t="inlineStr">
        <is>
          <t>Positivo</t>
        </is>
      </c>
      <c r="F552" s="107" t="n">
        <v>46022</v>
      </c>
      <c r="G552" s="15" t="n">
        <v>2025</v>
      </c>
      <c r="H552" s="6" t="inlineStr">
        <is>
          <t>Diciembre</t>
        </is>
      </c>
      <c r="I552" s="6" t="inlineStr">
        <is>
          <t>2025-2</t>
        </is>
      </c>
      <c r="J552" s="5" t="n">
        <v>200</v>
      </c>
      <c r="K552" s="5" t="n">
        <v>300</v>
      </c>
      <c r="L552" s="14">
        <f>IFERROR(IF(OR(J552=0,K552=""),"",IF(E552="Positivo",MIN(MAX(K552/J552,0),1.3),MIN(MAX(J552/K552,0),1.3))),"") </f>
        <v/>
      </c>
      <c r="M552" s="14">
        <f>IFERROR(IF(OR(J552=0,K552=""),"",IF(E552="Positivo",MAX(K552/J552,0),MAX(J552/K552,0))),"") </f>
        <v/>
      </c>
      <c r="N552" s="5" t="inlineStr">
        <is>
          <t>ENT</t>
        </is>
      </c>
      <c r="O552" s="5" t="inlineStr">
        <is>
          <t>ENT</t>
        </is>
      </c>
      <c r="P552" s="5" t="n">
        <v>0</v>
      </c>
      <c r="Q552" s="5" t="n">
        <v>0</v>
      </c>
      <c r="R552" s="5" t="inlineStr">
        <is>
          <t>324-2025-12-31</t>
        </is>
      </c>
    </row>
    <row r="553">
      <c r="A553" s="5" t="n">
        <v>325</v>
      </c>
      <c r="B553" s="5" t="inlineStr">
        <is>
          <t>Número de programas nuevos con registro calificado aprobado</t>
        </is>
      </c>
      <c r="C553" s="5" t="inlineStr">
        <is>
          <t>Creación, modificación y cierre de programas académicos</t>
        </is>
      </c>
      <c r="D553" s="13" t="inlineStr">
        <is>
          <t>Semestral</t>
        </is>
      </c>
      <c r="E553" s="5" t="inlineStr">
        <is>
          <t>Positivo</t>
        </is>
      </c>
      <c r="F553" s="107" t="n">
        <v>45291</v>
      </c>
      <c r="G553" s="15" t="n">
        <v>2023</v>
      </c>
      <c r="H553" s="6" t="inlineStr">
        <is>
          <t>Diciembre</t>
        </is>
      </c>
      <c r="I553" s="6" t="inlineStr">
        <is>
          <t>2023-2</t>
        </is>
      </c>
      <c r="J553" s="5" t="n">
        <v>200</v>
      </c>
      <c r="K553" s="5" t="n">
        <v>100</v>
      </c>
      <c r="L553" s="14">
        <f>IFERROR(IF(OR(J553=0,K553=""),"",IF(E553="Positivo",MIN(MAX(K553/J553,0),1.3),MIN(MAX(J553/K553,0),1.3))),"") </f>
        <v/>
      </c>
      <c r="M553" s="14">
        <f>IFERROR(IF(OR(J553=0,K553=""),"",IF(E553="Positivo",MAX(K553/J553,0),MAX(J553/K553,0))),"") </f>
        <v/>
      </c>
      <c r="N553" s="5" t="inlineStr">
        <is>
          <t>ENT</t>
        </is>
      </c>
      <c r="O553" s="5" t="inlineStr">
        <is>
          <t>ENT</t>
        </is>
      </c>
      <c r="P553" s="5" t="n">
        <v>0</v>
      </c>
      <c r="Q553" s="5" t="n">
        <v>0</v>
      </c>
      <c r="R553" s="5" t="inlineStr">
        <is>
          <t>325-2023-12-31</t>
        </is>
      </c>
    </row>
    <row r="554">
      <c r="A554" s="5" t="n">
        <v>325</v>
      </c>
      <c r="B554" s="5" t="inlineStr">
        <is>
          <t>Número de programas nuevos con registro calificado aprobado</t>
        </is>
      </c>
      <c r="C554" s="5" t="inlineStr">
        <is>
          <t>Creación, modificación y cierre de programas académicos</t>
        </is>
      </c>
      <c r="D554" s="13" t="inlineStr">
        <is>
          <t>Semestral</t>
        </is>
      </c>
      <c r="E554" s="5" t="inlineStr">
        <is>
          <t>Positivo</t>
        </is>
      </c>
      <c r="F554" s="107" t="n">
        <v>45657</v>
      </c>
      <c r="G554" s="15" t="n">
        <v>2024</v>
      </c>
      <c r="H554" s="6" t="inlineStr">
        <is>
          <t>Diciembre</t>
        </is>
      </c>
      <c r="I554" s="6" t="inlineStr">
        <is>
          <t>2024-2</t>
        </is>
      </c>
      <c r="J554" s="5" t="n">
        <v>200</v>
      </c>
      <c r="K554" s="5" t="n">
        <v>200</v>
      </c>
      <c r="L554" s="14">
        <f>IFERROR(IF(OR(J554=0,K554=""),"",IF(E554="Positivo",MIN(MAX(K554/J554,0),1.3),MIN(MAX(J554/K554,0),1.3))),"") </f>
        <v/>
      </c>
      <c r="M554" s="14">
        <f>IFERROR(IF(OR(J554=0,K554=""),"",IF(E554="Positivo",MAX(K554/J554,0),MAX(J554/K554,0))),"") </f>
        <v/>
      </c>
      <c r="N554" s="5" t="inlineStr">
        <is>
          <t>ENT</t>
        </is>
      </c>
      <c r="O554" s="5" t="inlineStr">
        <is>
          <t>ENT</t>
        </is>
      </c>
      <c r="P554" s="5" t="n">
        <v>0</v>
      </c>
      <c r="Q554" s="5" t="n">
        <v>0</v>
      </c>
      <c r="R554" s="5" t="inlineStr">
        <is>
          <t>325-2024-12-31</t>
        </is>
      </c>
    </row>
    <row r="555">
      <c r="A555" s="5" t="n">
        <v>325</v>
      </c>
      <c r="B555" s="5" t="inlineStr">
        <is>
          <t>Número de programas nuevos con registro calificado aprobado</t>
        </is>
      </c>
      <c r="C555" s="5" t="inlineStr">
        <is>
          <t>Creación, modificación y cierre de programas académicos</t>
        </is>
      </c>
      <c r="D555" s="13" t="inlineStr">
        <is>
          <t>Semestral</t>
        </is>
      </c>
      <c r="E555" s="5" t="inlineStr">
        <is>
          <t>Positivo</t>
        </is>
      </c>
      <c r="F555" s="107" t="n">
        <v>46022</v>
      </c>
      <c r="G555" s="15" t="n">
        <v>2025</v>
      </c>
      <c r="H555" s="6" t="inlineStr">
        <is>
          <t>Diciembre</t>
        </is>
      </c>
      <c r="I555" s="6" t="inlineStr">
        <is>
          <t>2025-2</t>
        </is>
      </c>
      <c r="J555" s="5" t="n">
        <v>12</v>
      </c>
      <c r="K555" s="5" t="n">
        <v>200</v>
      </c>
      <c r="L555" s="14">
        <f>IFERROR(IF(OR(J555=0,K555=""),"",IF(E555="Positivo",MIN(MAX(K555/J555,0),1.3),MIN(MAX(J555/K555,0),1.3))),"") </f>
        <v/>
      </c>
      <c r="M555" s="14">
        <f>IFERROR(IF(OR(J555=0,K555=""),"",IF(E555="Positivo",MAX(K555/J555,0),MAX(J555/K555,0))),"") </f>
        <v/>
      </c>
      <c r="N555" s="5" t="inlineStr">
        <is>
          <t>ENT</t>
        </is>
      </c>
      <c r="O555" s="5" t="inlineStr">
        <is>
          <t>ENT</t>
        </is>
      </c>
      <c r="P555" s="5" t="n">
        <v>0</v>
      </c>
      <c r="Q555" s="5" t="n">
        <v>0</v>
      </c>
      <c r="R555" s="5" t="inlineStr">
        <is>
          <t>325-2025-12-31</t>
        </is>
      </c>
    </row>
    <row r="556">
      <c r="A556" s="5" t="n">
        <v>326</v>
      </c>
      <c r="B556" s="5" t="inlineStr">
        <is>
          <t>Número de informes de autoevaluación con fines de acreditación en alta calidad radicados</t>
        </is>
      </c>
      <c r="C556" s="5" t="inlineStr">
        <is>
          <t>Autoevaluación de programas académicos</t>
        </is>
      </c>
      <c r="D556" s="13" t="inlineStr">
        <is>
          <t>Anual</t>
        </is>
      </c>
      <c r="E556" s="5" t="inlineStr">
        <is>
          <t>Positivo</t>
        </is>
      </c>
      <c r="F556" s="107" t="n">
        <v>45291</v>
      </c>
      <c r="G556" s="15" t="n">
        <v>2023</v>
      </c>
      <c r="H556" s="6" t="inlineStr">
        <is>
          <t>Diciembre</t>
        </is>
      </c>
      <c r="I556" s="6" t="inlineStr">
        <is>
          <t>2023-2</t>
        </is>
      </c>
      <c r="J556" s="5" t="n">
        <v>100</v>
      </c>
      <c r="K556" s="5" t="n">
        <v>100</v>
      </c>
      <c r="L556" s="14">
        <f>IFERROR(IF(OR(J556=0,K556=""),"",IF(E556="Positivo",MIN(MAX(K556/J556,0),1.3),MIN(MAX(J556/K556,0),1.3))),"") </f>
        <v/>
      </c>
      <c r="M556" s="14">
        <f>IFERROR(IF(OR(J556=0,K556=""),"",IF(E556="Positivo",MAX(K556/J556,0),MAX(J556/K556,0))),"") </f>
        <v/>
      </c>
      <c r="N556" s="5" t="inlineStr">
        <is>
          <t>ENT</t>
        </is>
      </c>
      <c r="O556" s="5" t="inlineStr">
        <is>
          <t>ENT</t>
        </is>
      </c>
      <c r="P556" s="5" t="n">
        <v>0</v>
      </c>
      <c r="Q556" s="5" t="n">
        <v>0</v>
      </c>
      <c r="R556" s="5" t="inlineStr">
        <is>
          <t>326-2023-12-31</t>
        </is>
      </c>
    </row>
    <row r="557">
      <c r="A557" s="5" t="n">
        <v>326</v>
      </c>
      <c r="B557" s="5" t="inlineStr">
        <is>
          <t>Número de informes de autoevaluación con fines de acreditación en alta calidad radicados- Metrica</t>
        </is>
      </c>
      <c r="C557" s="5" t="inlineStr">
        <is>
          <t>Autoevaluación de programas académicos</t>
        </is>
      </c>
      <c r="D557" s="13" t="inlineStr">
        <is>
          <t>Anual</t>
        </is>
      </c>
      <c r="E557" s="5" t="inlineStr">
        <is>
          <t>Positivo</t>
        </is>
      </c>
      <c r="F557" s="107" t="n">
        <v>45657</v>
      </c>
      <c r="G557" s="15" t="n">
        <v>2024</v>
      </c>
      <c r="H557" s="6" t="inlineStr">
        <is>
          <t>Diciembre</t>
        </is>
      </c>
      <c r="I557" s="6" t="inlineStr">
        <is>
          <t>2024-2</t>
        </is>
      </c>
      <c r="J557" s="5" t="n">
        <v>0</v>
      </c>
      <c r="K557" s="5" t="n">
        <v>0</v>
      </c>
      <c r="L557" s="14" t="n"/>
      <c r="M557" s="14" t="n"/>
      <c r="N557" s="5" t="inlineStr">
        <is>
          <t>ENT</t>
        </is>
      </c>
      <c r="O557" s="5" t="inlineStr">
        <is>
          <t>ENT</t>
        </is>
      </c>
      <c r="P557" s="5" t="n">
        <v>0</v>
      </c>
      <c r="Q557" s="5" t="n">
        <v>0</v>
      </c>
      <c r="R557" s="5" t="inlineStr">
        <is>
          <t>326-2024-12-31</t>
        </is>
      </c>
      <c r="S557" t="inlineStr">
        <is>
          <t>Metrica</t>
        </is>
      </c>
    </row>
    <row r="558">
      <c r="A558" s="5" t="n">
        <v>326</v>
      </c>
      <c r="B558" s="5" t="inlineStr">
        <is>
          <t>Número de informes de autoevaluación con fines de acreditación en alta calidad radicados- Metrica</t>
        </is>
      </c>
      <c r="C558" s="5" t="inlineStr">
        <is>
          <t>Autoevaluación de programas académicos</t>
        </is>
      </c>
      <c r="D558" s="13" t="inlineStr">
        <is>
          <t>Anual</t>
        </is>
      </c>
      <c r="E558" s="5" t="inlineStr">
        <is>
          <t>Positivo</t>
        </is>
      </c>
      <c r="F558" s="107" t="n">
        <v>46022</v>
      </c>
      <c r="G558" s="15" t="n">
        <v>2025</v>
      </c>
      <c r="H558" s="6" t="inlineStr">
        <is>
          <t>Diciembre</t>
        </is>
      </c>
      <c r="I558" s="6" t="inlineStr">
        <is>
          <t>2025-2</t>
        </is>
      </c>
      <c r="J558" s="73" t="n">
        <v>3</v>
      </c>
      <c r="K558" s="9" t="n">
        <v>100</v>
      </c>
      <c r="L558" s="14" t="n"/>
      <c r="M558" s="14" t="n"/>
      <c r="N558" s="5" t="inlineStr">
        <is>
          <t>ENT</t>
        </is>
      </c>
      <c r="O558" s="5" t="inlineStr">
        <is>
          <t>ENT</t>
        </is>
      </c>
      <c r="P558" s="5" t="n">
        <v>0</v>
      </c>
      <c r="Q558" s="5" t="n">
        <v>0</v>
      </c>
      <c r="R558" s="5" t="inlineStr">
        <is>
          <t>326-2025-12-31</t>
        </is>
      </c>
      <c r="S558" t="inlineStr">
        <is>
          <t>Metrica</t>
        </is>
      </c>
    </row>
    <row r="559">
      <c r="A559" s="5" t="n">
        <v>327</v>
      </c>
      <c r="B559" s="5" t="inlineStr">
        <is>
          <t>Número de programas con obtención de acreditación por primera vez</t>
        </is>
      </c>
      <c r="C559" s="5" t="inlineStr">
        <is>
          <t>Autoevaluación de programas académicos</t>
        </is>
      </c>
      <c r="D559" s="13" t="inlineStr">
        <is>
          <t>Semestral</t>
        </is>
      </c>
      <c r="E559" s="5" t="inlineStr">
        <is>
          <t>Positivo</t>
        </is>
      </c>
      <c r="F559" s="107" t="n">
        <v>45291</v>
      </c>
      <c r="G559" s="15" t="n">
        <v>2023</v>
      </c>
      <c r="H559" s="6" t="inlineStr">
        <is>
          <t>Diciembre</t>
        </is>
      </c>
      <c r="I559" s="6" t="inlineStr">
        <is>
          <t>2023-2</t>
        </is>
      </c>
      <c r="J559" s="5" t="n">
        <v>200</v>
      </c>
      <c r="K559" s="5" t="n">
        <v>100</v>
      </c>
      <c r="L559" s="14">
        <f>IFERROR(IF(OR(J559=0,K559=""),"",IF(E559="Positivo",MIN(MAX(K559/J559,0),1.3),MIN(MAX(J559/K559,0),1.3))),"") </f>
        <v/>
      </c>
      <c r="M559" s="14">
        <f>IFERROR(IF(OR(J559=0,K559=""),"",IF(E559="Positivo",MAX(K559/J559,0),MAX(J559/K559,0))),"") </f>
        <v/>
      </c>
      <c r="N559" s="5" t="inlineStr">
        <is>
          <t>ENT</t>
        </is>
      </c>
      <c r="O559" s="5" t="inlineStr">
        <is>
          <t>ENT</t>
        </is>
      </c>
      <c r="P559" s="5" t="n">
        <v>0</v>
      </c>
      <c r="Q559" s="5" t="n">
        <v>0</v>
      </c>
      <c r="R559" s="5" t="inlineStr">
        <is>
          <t>327-2023-12-31</t>
        </is>
      </c>
    </row>
    <row r="560">
      <c r="A560" s="5" t="n">
        <v>327</v>
      </c>
      <c r="B560" s="5" t="inlineStr">
        <is>
          <t>Número de programas con obtención de acreditación por primera vez</t>
        </is>
      </c>
      <c r="C560" s="5" t="inlineStr">
        <is>
          <t>Autoevaluación de programas académicos</t>
        </is>
      </c>
      <c r="D560" s="13" t="inlineStr">
        <is>
          <t>Semestral</t>
        </is>
      </c>
      <c r="E560" s="5" t="inlineStr">
        <is>
          <t>Positivo</t>
        </is>
      </c>
      <c r="F560" s="107" t="n">
        <v>45657</v>
      </c>
      <c r="G560" s="15" t="n">
        <v>2024</v>
      </c>
      <c r="H560" s="6" t="inlineStr">
        <is>
          <t>Diciembre</t>
        </is>
      </c>
      <c r="I560" s="6" t="inlineStr">
        <is>
          <t>2024-2</t>
        </is>
      </c>
      <c r="J560" s="5" t="n">
        <v>100</v>
      </c>
      <c r="K560" s="5" t="n">
        <v>0</v>
      </c>
      <c r="L560" s="14">
        <f>IFERROR(IF(OR(J560=0,K560=""),"",IF(E560="Positivo",MIN(MAX(K560/J560,0),1.3),MIN(MAX(J560/K560,0),1.3))),"") </f>
        <v/>
      </c>
      <c r="M560" s="14">
        <f>IFERROR(IF(OR(J560=0,K560=""),"",IF(E560="Positivo",MAX(K560/J560,0),MAX(J560/K560,0))),"") </f>
        <v/>
      </c>
      <c r="N560" s="5" t="inlineStr">
        <is>
          <t>ENT</t>
        </is>
      </c>
      <c r="O560" s="5" t="inlineStr">
        <is>
          <t>ENT</t>
        </is>
      </c>
      <c r="P560" s="5" t="n">
        <v>0</v>
      </c>
      <c r="Q560" s="5" t="n">
        <v>0</v>
      </c>
      <c r="R560" s="5" t="inlineStr">
        <is>
          <t>327-2024-12-31</t>
        </is>
      </c>
    </row>
    <row r="561">
      <c r="A561" s="5" t="n">
        <v>327</v>
      </c>
      <c r="B561" s="5" t="inlineStr">
        <is>
          <t>Número de programas con obtención de acreditación por primera vez- Metrica</t>
        </is>
      </c>
      <c r="C561" s="5" t="inlineStr">
        <is>
          <t>Autoevaluación de programas académicos</t>
        </is>
      </c>
      <c r="D561" s="13" t="inlineStr">
        <is>
          <t>Trimestral</t>
        </is>
      </c>
      <c r="E561" s="5" t="inlineStr">
        <is>
          <t>Positivo</t>
        </is>
      </c>
      <c r="F561" s="107" t="n">
        <v>46022</v>
      </c>
      <c r="G561" s="15" t="n">
        <v>2025</v>
      </c>
      <c r="H561" s="6" t="inlineStr">
        <is>
          <t>Diciembre</t>
        </is>
      </c>
      <c r="I561" s="6" t="inlineStr">
        <is>
          <t>2025-2</t>
        </is>
      </c>
      <c r="J561" s="5" t="n">
        <v>200</v>
      </c>
      <c r="K561" s="5" t="n">
        <v>200</v>
      </c>
      <c r="L561" s="14" t="n"/>
      <c r="M561" s="14" t="n"/>
      <c r="N561" s="5" t="inlineStr">
        <is>
          <t>ENT</t>
        </is>
      </c>
      <c r="O561" s="5" t="inlineStr">
        <is>
          <t>ENT</t>
        </is>
      </c>
      <c r="P561" s="5" t="n">
        <v>0</v>
      </c>
      <c r="Q561" s="5" t="n">
        <v>0</v>
      </c>
      <c r="R561" s="5" t="inlineStr">
        <is>
          <t>327-2025-12-31</t>
        </is>
      </c>
      <c r="S561" t="inlineStr">
        <is>
          <t>Metrica</t>
        </is>
      </c>
    </row>
    <row r="562">
      <c r="A562" s="5" t="n">
        <v>328</v>
      </c>
      <c r="B562" s="5" t="inlineStr">
        <is>
          <t>Nivel de encuestas obtenidas en el encuentro institucional de graduados</t>
        </is>
      </c>
      <c r="C562" s="5" t="inlineStr">
        <is>
          <t>Gestión de Graduados</t>
        </is>
      </c>
      <c r="D562" s="13" t="inlineStr">
        <is>
          <t>Anual</t>
        </is>
      </c>
      <c r="E562" s="5" t="inlineStr">
        <is>
          <t>Positivo</t>
        </is>
      </c>
      <c r="F562" s="107" t="n">
        <v>45291</v>
      </c>
      <c r="G562" s="15" t="n">
        <v>2023</v>
      </c>
      <c r="H562" s="6" t="inlineStr">
        <is>
          <t>Diciembre</t>
        </is>
      </c>
      <c r="I562" s="6" t="inlineStr">
        <is>
          <t>2023-2</t>
        </is>
      </c>
      <c r="J562" s="5" t="n">
        <v>800</v>
      </c>
      <c r="K562" s="5" t="n">
        <v>1035</v>
      </c>
      <c r="L562" s="14">
        <f>IFERROR(IF(OR(J562=0,K562=""),"",IF(E562="Positivo",MIN(MAX(K562/J562,0),1.3),MIN(MAX(J562/K562,0),1.3))),"") </f>
        <v/>
      </c>
      <c r="M562" s="14">
        <f>IFERROR(IF(OR(J562=0,K562=""),"",IF(E562="Positivo",MAX(K562/J562,0),MAX(J562/K562,0))),"") </f>
        <v/>
      </c>
      <c r="N562" s="5" t="inlineStr">
        <is>
          <t>ENT</t>
        </is>
      </c>
      <c r="O562" s="5" t="inlineStr">
        <is>
          <t>ENT</t>
        </is>
      </c>
      <c r="P562" s="5" t="n">
        <v>0</v>
      </c>
      <c r="Q562" s="5" t="n">
        <v>0</v>
      </c>
      <c r="R562" s="5" t="inlineStr">
        <is>
          <t>328-2023-12-31</t>
        </is>
      </c>
    </row>
    <row r="563">
      <c r="A563" s="5" t="n">
        <v>328</v>
      </c>
      <c r="B563" s="5" t="inlineStr">
        <is>
          <t>Nivel de encuestas obtenidas en el encuentro institucional de graduados</t>
        </is>
      </c>
      <c r="C563" s="5" t="inlineStr">
        <is>
          <t>Gestión de Graduados</t>
        </is>
      </c>
      <c r="D563" s="13" t="inlineStr">
        <is>
          <t>Anual</t>
        </is>
      </c>
      <c r="E563" s="5" t="inlineStr">
        <is>
          <t>Positivo</t>
        </is>
      </c>
      <c r="F563" s="107" t="n">
        <v>45657</v>
      </c>
      <c r="G563" s="15" t="n">
        <v>2024</v>
      </c>
      <c r="H563" s="6" t="inlineStr">
        <is>
          <t>Diciembre</t>
        </is>
      </c>
      <c r="I563" s="6" t="inlineStr">
        <is>
          <t>2024-2</t>
        </is>
      </c>
      <c r="J563" s="5" t="n">
        <v>100</v>
      </c>
      <c r="K563" s="5" t="n">
        <v>157</v>
      </c>
      <c r="L563" s="14">
        <f>IFERROR(IF(OR(J563=0,K563=""),"",IF(E563="Positivo",MIN(MAX(K563/J563,0),1.3),MIN(MAX(J563/K563,0),1.3))),"") </f>
        <v/>
      </c>
      <c r="M563" s="14">
        <f>IFERROR(IF(OR(J563=0,K563=""),"",IF(E563="Positivo",MAX(K563/J563,0),MAX(J563/K563,0))),"") </f>
        <v/>
      </c>
      <c r="N563" s="5" t="inlineStr">
        <is>
          <t>ENT</t>
        </is>
      </c>
      <c r="O563" s="5" t="inlineStr">
        <is>
          <t>ENT</t>
        </is>
      </c>
      <c r="P563" s="5" t="n">
        <v>0</v>
      </c>
      <c r="Q563" s="5" t="n">
        <v>0</v>
      </c>
      <c r="R563" s="5" t="inlineStr">
        <is>
          <t>328-2024-12-31</t>
        </is>
      </c>
    </row>
    <row r="564">
      <c r="A564" s="5" t="n">
        <v>329</v>
      </c>
      <c r="B564" s="5" t="inlineStr">
        <is>
          <t>Participación en actividades diseñadas para graduados</t>
        </is>
      </c>
      <c r="C564" s="5" t="inlineStr">
        <is>
          <t>Gestión de Graduados</t>
        </is>
      </c>
      <c r="D564" s="13" t="inlineStr">
        <is>
          <t>Anual</t>
        </is>
      </c>
      <c r="E564" s="5" t="inlineStr">
        <is>
          <t>Positivo</t>
        </is>
      </c>
      <c r="F564" s="107" t="n">
        <v>45291</v>
      </c>
      <c r="G564" s="15" t="n">
        <v>2023</v>
      </c>
      <c r="H564" s="6" t="inlineStr">
        <is>
          <t>Diciembre</t>
        </is>
      </c>
      <c r="I564" s="6" t="inlineStr">
        <is>
          <t>2023-2</t>
        </is>
      </c>
      <c r="J564" s="5" t="n">
        <v>3000</v>
      </c>
      <c r="K564" s="5" t="n">
        <v>3315</v>
      </c>
      <c r="L564" s="14">
        <f>IFERROR(IF(OR(J564=0,K564=""),"",IF(E564="Positivo",MIN(MAX(K564/J564,0),1.3),MIN(MAX(J564/K564,0),1.3))),"") </f>
        <v/>
      </c>
      <c r="M564" s="14">
        <f>IFERROR(IF(OR(J564=0,K564=""),"",IF(E564="Positivo",MAX(K564/J564,0),MAX(J564/K564,0))),"") </f>
        <v/>
      </c>
      <c r="N564" s="5" t="inlineStr">
        <is>
          <t>ENT</t>
        </is>
      </c>
      <c r="O564" s="5" t="inlineStr">
        <is>
          <t>ENT</t>
        </is>
      </c>
      <c r="P564" s="5" t="n">
        <v>0</v>
      </c>
      <c r="Q564" s="5" t="n">
        <v>0</v>
      </c>
      <c r="R564" s="5" t="inlineStr">
        <is>
          <t>329-2023-12-31</t>
        </is>
      </c>
    </row>
    <row r="565">
      <c r="A565" s="5" t="n">
        <v>329</v>
      </c>
      <c r="B565" s="5" t="inlineStr">
        <is>
          <t>Participación en actividades diseñadas para graduados</t>
        </is>
      </c>
      <c r="C565" s="5" t="inlineStr">
        <is>
          <t>Gestión de Graduados</t>
        </is>
      </c>
      <c r="D565" s="13" t="inlineStr">
        <is>
          <t>Anual</t>
        </is>
      </c>
      <c r="E565" s="5" t="inlineStr">
        <is>
          <t>Positivo</t>
        </is>
      </c>
      <c r="F565" s="107" t="n">
        <v>45657</v>
      </c>
      <c r="G565" s="15" t="n">
        <v>2024</v>
      </c>
      <c r="H565" s="6" t="inlineStr">
        <is>
          <t>Diciembre</t>
        </is>
      </c>
      <c r="I565" s="6" t="inlineStr">
        <is>
          <t>2024-2</t>
        </is>
      </c>
      <c r="J565" s="5" t="n">
        <v>100</v>
      </c>
      <c r="K565" s="5" t="n">
        <v>106.63</v>
      </c>
      <c r="L565" s="14">
        <f>IFERROR(IF(OR(J565=0,K565=""),"",IF(E565="Positivo",MIN(MAX(K565/J565,0),1.3),MIN(MAX(J565/K565,0),1.3))),"") </f>
        <v/>
      </c>
      <c r="M565" s="14">
        <f>IFERROR(IF(OR(J565=0,K565=""),"",IF(E565="Positivo",MAX(K565/J565,0),MAX(J565/K565,0))),"") </f>
        <v/>
      </c>
      <c r="N565" s="5" t="inlineStr">
        <is>
          <t>ENT</t>
        </is>
      </c>
      <c r="O565" s="5" t="inlineStr">
        <is>
          <t>ENT</t>
        </is>
      </c>
      <c r="P565" s="5" t="n">
        <v>0</v>
      </c>
      <c r="Q565" s="5" t="n">
        <v>0</v>
      </c>
      <c r="R565" s="5" t="inlineStr">
        <is>
          <t>329-2024-12-31</t>
        </is>
      </c>
    </row>
    <row r="566">
      <c r="A566" s="63" t="n">
        <v>331</v>
      </c>
      <c r="B566" s="63" t="inlineStr">
        <is>
          <t>Nivel de empleabilidad del graduado</t>
        </is>
      </c>
      <c r="C566" s="5" t="inlineStr">
        <is>
          <t>Gestión de Graduados</t>
        </is>
      </c>
      <c r="D566" s="13" t="inlineStr">
        <is>
          <t>Anual</t>
        </is>
      </c>
      <c r="E566" s="5" t="inlineStr">
        <is>
          <t>Positivo</t>
        </is>
      </c>
      <c r="F566" s="107" t="n">
        <v>45291</v>
      </c>
      <c r="G566" s="15" t="n">
        <v>2023</v>
      </c>
      <c r="H566" s="6" t="inlineStr">
        <is>
          <t>Diciembre</t>
        </is>
      </c>
      <c r="I566" s="6" t="inlineStr">
        <is>
          <t>2023-2</t>
        </is>
      </c>
      <c r="J566" s="73" t="n"/>
      <c r="K566" s="9" t="n">
        <v>81</v>
      </c>
      <c r="L566" s="14" t="n"/>
      <c r="M566" s="14" t="n"/>
      <c r="N566" s="5" t="inlineStr">
        <is>
          <t>No Aplica</t>
        </is>
      </c>
      <c r="O566" s="5" t="inlineStr">
        <is>
          <t>%</t>
        </is>
      </c>
      <c r="P566" s="5" t="n">
        <v>0</v>
      </c>
      <c r="Q566" s="5" t="n">
        <v>0</v>
      </c>
      <c r="R566" s="5" t="inlineStr">
        <is>
          <t>331-2023-12-31</t>
        </is>
      </c>
    </row>
    <row r="567">
      <c r="A567" s="5" t="n">
        <v>331</v>
      </c>
      <c r="B567" s="5" t="inlineStr">
        <is>
          <t>Nivel de empleabilidad del graduado</t>
        </is>
      </c>
      <c r="C567" s="5" t="inlineStr">
        <is>
          <t>Gestión de Graduados</t>
        </is>
      </c>
      <c r="D567" s="13" t="inlineStr">
        <is>
          <t>Anual</t>
        </is>
      </c>
      <c r="E567" s="5" t="inlineStr">
        <is>
          <t>Positivo</t>
        </is>
      </c>
      <c r="F567" s="107" t="n">
        <v>45657</v>
      </c>
      <c r="G567" s="15" t="n">
        <v>2024</v>
      </c>
      <c r="H567" s="6" t="inlineStr">
        <is>
          <t>Diciembre</t>
        </is>
      </c>
      <c r="I567" s="6" t="inlineStr">
        <is>
          <t>2024-2</t>
        </is>
      </c>
      <c r="J567" s="5" t="n"/>
      <c r="K567" s="5" t="n">
        <v>82</v>
      </c>
      <c r="L567" s="14" t="n"/>
      <c r="M567" s="14" t="n"/>
      <c r="N567" s="5" t="inlineStr">
        <is>
          <t>No Aplica</t>
        </is>
      </c>
      <c r="O567" s="5" t="inlineStr">
        <is>
          <t>%</t>
        </is>
      </c>
      <c r="P567" s="5" t="n">
        <v>0</v>
      </c>
      <c r="Q567" s="5" t="n">
        <v>0</v>
      </c>
      <c r="R567" s="5" t="inlineStr">
        <is>
          <t>331-2024-12-31</t>
        </is>
      </c>
    </row>
    <row r="568">
      <c r="A568" s="5" t="n">
        <v>332</v>
      </c>
      <c r="B568" s="5" t="inlineStr">
        <is>
          <t>Índice de rotación</t>
        </is>
      </c>
      <c r="C568" s="5" t="inlineStr">
        <is>
          <t>GESTIÓN Y DESARROLLO DEL TALENTO HUMANO</t>
        </is>
      </c>
      <c r="D568" s="13" t="inlineStr">
        <is>
          <t>Semestral</t>
        </is>
      </c>
      <c r="E568" s="5" t="inlineStr">
        <is>
          <t>Negativo</t>
        </is>
      </c>
      <c r="F568" s="107" t="n">
        <v>45291</v>
      </c>
      <c r="G568" s="15" t="n">
        <v>2023</v>
      </c>
      <c r="H568" s="6" t="inlineStr">
        <is>
          <t>Diciembre</t>
        </is>
      </c>
      <c r="I568" s="6" t="inlineStr">
        <is>
          <t>2023-2</t>
        </is>
      </c>
      <c r="J568" s="5" t="n">
        <v>1.8</v>
      </c>
      <c r="K568" s="5" t="n">
        <v>1.435</v>
      </c>
      <c r="L568" s="14">
        <f>IFERROR(IF(OR(J568=0,K568=""),"",IF(E568="Positivo",MIN(MAX(K568/J568,0),1.3),MIN(MAX(J568/K568,0),1.3))),"") </f>
        <v/>
      </c>
      <c r="M568" s="14">
        <f>IFERROR(IF(OR(J568=0,K568=""),"",IF(E568="Positivo",MAX(K568/J568,0),MAX(J568/K568,0))),"") </f>
        <v/>
      </c>
      <c r="N568" s="5" t="inlineStr">
        <is>
          <t>DEC</t>
        </is>
      </c>
      <c r="O568" s="5" t="inlineStr">
        <is>
          <t>DEC</t>
        </is>
      </c>
      <c r="P568" s="5" t="n">
        <v>1</v>
      </c>
      <c r="Q568" s="5" t="n">
        <v>1</v>
      </c>
      <c r="R568" s="5" t="inlineStr">
        <is>
          <t>332-2023-12-31</t>
        </is>
      </c>
    </row>
    <row r="569">
      <c r="A569" s="5" t="n">
        <v>332</v>
      </c>
      <c r="B569" s="5" t="inlineStr">
        <is>
          <t>Índice de rotación</t>
        </is>
      </c>
      <c r="C569" s="5" t="inlineStr">
        <is>
          <t>GESTIÓN Y DESARROLLO DEL TALENTO HUMANO</t>
        </is>
      </c>
      <c r="D569" s="13" t="inlineStr">
        <is>
          <t>Semestral</t>
        </is>
      </c>
      <c r="E569" s="5" t="inlineStr">
        <is>
          <t>Negativo</t>
        </is>
      </c>
      <c r="F569" s="107" t="n">
        <v>45657</v>
      </c>
      <c r="G569" s="15" t="n">
        <v>2024</v>
      </c>
      <c r="H569" s="6" t="inlineStr">
        <is>
          <t>Diciembre</t>
        </is>
      </c>
      <c r="I569" s="6" t="inlineStr">
        <is>
          <t>2024-2</t>
        </is>
      </c>
      <c r="J569" s="3" t="n">
        <v>1.65</v>
      </c>
      <c r="K569" s="9" t="n">
        <v>1.15</v>
      </c>
      <c r="L569" s="14">
        <f>IFERROR(IF(OR(J569=0,K569=""),"",IF(E569="Positivo",MIN(MAX(K569/J569,0),1.3),MIN(MAX(J569/K569,0),1.3))),"") </f>
        <v/>
      </c>
      <c r="M569" s="14">
        <f>IFERROR(IF(OR(J569=0,K569=""),"",IF(E569="Positivo",MAX(K569/J569,0),MAX(J569/K569,0))),"") </f>
        <v/>
      </c>
      <c r="N569" s="5" t="inlineStr">
        <is>
          <t>DEC</t>
        </is>
      </c>
      <c r="O569" s="5" t="inlineStr">
        <is>
          <t>DEC</t>
        </is>
      </c>
      <c r="P569" s="5" t="n">
        <v>1</v>
      </c>
      <c r="Q569" s="5" t="n">
        <v>2</v>
      </c>
      <c r="R569" s="5" t="inlineStr">
        <is>
          <t>332-2024-12-31</t>
        </is>
      </c>
    </row>
    <row r="570">
      <c r="A570" s="5" t="n">
        <v>332</v>
      </c>
      <c r="B570" s="5" t="inlineStr">
        <is>
          <t>Índice de rotación</t>
        </is>
      </c>
      <c r="C570" s="5" t="inlineStr">
        <is>
          <t>GESTIÓN Y DESARROLLO DEL TALENTO HUMANO</t>
        </is>
      </c>
      <c r="D570" s="13" t="inlineStr">
        <is>
          <t>Semestral</t>
        </is>
      </c>
      <c r="E570" s="5" t="inlineStr">
        <is>
          <t>Negativo</t>
        </is>
      </c>
      <c r="F570" s="107" t="n">
        <v>46022</v>
      </c>
      <c r="G570" s="15" t="n">
        <v>2025</v>
      </c>
      <c r="H570" s="6" t="inlineStr">
        <is>
          <t>Diciembre</t>
        </is>
      </c>
      <c r="I570" s="6" t="inlineStr">
        <is>
          <t>2025-2</t>
        </is>
      </c>
      <c r="J570" s="5" t="n">
        <v>1.18</v>
      </c>
      <c r="K570" s="10" t="n">
        <v>0.89</v>
      </c>
      <c r="L570" s="14">
        <f>IFERROR(IF(OR(J570=0,K570=""),"",IF(E570="Positivo",MIN(MAX(K570/J570,0),1.3),MIN(MAX(J570/K570,0),1.3))),"") </f>
        <v/>
      </c>
      <c r="M570" s="14">
        <f>IFERROR(IF(OR(J570=0,K570=""),"",IF(E570="Positivo",MAX(K570/J570,0),MAX(J570/K570,0))),"") </f>
        <v/>
      </c>
      <c r="N570" s="5" t="inlineStr">
        <is>
          <t>DEC</t>
        </is>
      </c>
      <c r="O570" s="5" t="inlineStr">
        <is>
          <t>DEC</t>
        </is>
      </c>
      <c r="P570" s="5" t="n">
        <v>2</v>
      </c>
      <c r="Q570" s="5" t="n">
        <v>2</v>
      </c>
      <c r="R570" s="5" t="inlineStr">
        <is>
          <t>332-2025-12-31</t>
        </is>
      </c>
    </row>
    <row r="571">
      <c r="A571" s="5" t="n">
        <v>334</v>
      </c>
      <c r="B571" s="5" t="inlineStr">
        <is>
          <t>Resultado de la evaluación 360 (evaluación por competencias)</t>
        </is>
      </c>
      <c r="C571" s="5" t="inlineStr">
        <is>
          <t>GESTIÓN Y DESARROLLO DEL TALENTO HUMANO</t>
        </is>
      </c>
      <c r="D571" s="13" t="inlineStr">
        <is>
          <t>Anual</t>
        </is>
      </c>
      <c r="E571" s="5" t="inlineStr">
        <is>
          <t>Positivo</t>
        </is>
      </c>
      <c r="F571" s="107" t="n">
        <v>45291</v>
      </c>
      <c r="G571" s="15" t="n">
        <v>2023</v>
      </c>
      <c r="H571" s="6" t="inlineStr">
        <is>
          <t>Diciembre</t>
        </is>
      </c>
      <c r="I571" s="6" t="inlineStr">
        <is>
          <t>2023-2</t>
        </is>
      </c>
      <c r="J571" s="5" t="n">
        <v>88</v>
      </c>
      <c r="K571" s="52" t="n">
        <v>88.39</v>
      </c>
      <c r="L571" s="14">
        <f>IFERROR(IF(OR(J571=0,K571=""),"",IF(E571="Positivo",MIN(MAX(K571/J571,0),1.3),MIN(MAX(J571/K571,0),1.3))),"") </f>
        <v/>
      </c>
      <c r="M571" s="14">
        <f>IFERROR(IF(OR(J571=0,K571=""),"",IF(E571="Positivo",MAX(K571/J571,0),MAX(J571/K571,0))),"") </f>
        <v/>
      </c>
      <c r="N571" s="5" t="inlineStr">
        <is>
          <t>ENT</t>
        </is>
      </c>
      <c r="O571" s="5" t="inlineStr">
        <is>
          <t>DEC</t>
        </is>
      </c>
      <c r="P571" s="5" t="n">
        <v>0</v>
      </c>
      <c r="Q571" s="5" t="n">
        <v>1</v>
      </c>
      <c r="R571" s="5" t="inlineStr">
        <is>
          <t>334-2023-12-31</t>
        </is>
      </c>
    </row>
    <row r="572">
      <c r="A572" s="5" t="n">
        <v>334</v>
      </c>
      <c r="B572" s="5" t="inlineStr">
        <is>
          <t>Resultado de la evaluación 360 (evaluación por competencias)</t>
        </is>
      </c>
      <c r="C572" s="5" t="inlineStr">
        <is>
          <t>GESTIÓN Y DESARROLLO DEL TALENTO HUMANO</t>
        </is>
      </c>
      <c r="D572" s="13" t="inlineStr">
        <is>
          <t>Anual</t>
        </is>
      </c>
      <c r="E572" s="5" t="inlineStr">
        <is>
          <t>Positivo</t>
        </is>
      </c>
      <c r="F572" s="107" t="n">
        <v>45657</v>
      </c>
      <c r="G572" s="15" t="n">
        <v>2024</v>
      </c>
      <c r="H572" s="6" t="inlineStr">
        <is>
          <t>Diciembre</t>
        </is>
      </c>
      <c r="I572" s="6" t="inlineStr">
        <is>
          <t>2024-2</t>
        </is>
      </c>
      <c r="J572" s="5" t="n">
        <v>88</v>
      </c>
      <c r="K572" s="5" t="n">
        <v>88.84</v>
      </c>
      <c r="L572" s="14">
        <f>IFERROR(IF(OR(J572=0,K572=""),"",IF(E572="Positivo",MIN(MAX(K572/J572,0),1.3),MIN(MAX(J572/K572,0),1.3))),"") </f>
        <v/>
      </c>
      <c r="M572" s="14">
        <f>IFERROR(IF(OR(J572=0,K572=""),"",IF(E572="Positivo",MAX(K572/J572,0),MAX(J572/K572,0))),"") </f>
        <v/>
      </c>
      <c r="N572" s="5" t="inlineStr">
        <is>
          <t>ENT</t>
        </is>
      </c>
      <c r="O572" s="5" t="inlineStr">
        <is>
          <t>DEC</t>
        </is>
      </c>
      <c r="P572" s="5" t="n">
        <v>0</v>
      </c>
      <c r="Q572" s="5" t="n">
        <v>1</v>
      </c>
      <c r="R572" s="5" t="inlineStr">
        <is>
          <t>334-2024-12-31</t>
        </is>
      </c>
    </row>
    <row r="573">
      <c r="A573" s="5" t="n">
        <v>334</v>
      </c>
      <c r="B573" s="5" t="inlineStr">
        <is>
          <t>Resultado de la evaluación 360 (evaluación por competencias)</t>
        </is>
      </c>
      <c r="C573" s="5" t="inlineStr">
        <is>
          <t>GESTIÓN Y DESARROLLO DEL TALENTO HUMANO</t>
        </is>
      </c>
      <c r="D573" s="13" t="inlineStr">
        <is>
          <t>Anual</t>
        </is>
      </c>
      <c r="E573" s="5" t="inlineStr">
        <is>
          <t>Positivo</t>
        </is>
      </c>
      <c r="F573" s="107" t="n">
        <v>46022</v>
      </c>
      <c r="G573" s="15" t="n">
        <v>2025</v>
      </c>
      <c r="H573" s="6" t="inlineStr">
        <is>
          <t>Diciembre</t>
        </is>
      </c>
      <c r="I573" s="6" t="inlineStr">
        <is>
          <t>2025-2</t>
        </is>
      </c>
      <c r="J573" s="5" t="n">
        <v>89</v>
      </c>
      <c r="K573" s="5" t="n">
        <v>90.09999999999999</v>
      </c>
      <c r="L573" s="14">
        <f>IFERROR(IF(OR(J573=0,K573=""),"",IF(E573="Positivo",MIN(MAX(K573/J573,0),1.3),MIN(MAX(J573/K573,0),1.3))),"") </f>
        <v/>
      </c>
      <c r="M573" s="14">
        <f>IFERROR(IF(OR(J573=0,K573=""),"",IF(E573="Positivo",MAX(K573/J573,0),MAX(J573/K573,0))),"") </f>
        <v/>
      </c>
      <c r="N573" s="5" t="inlineStr">
        <is>
          <t>ENT</t>
        </is>
      </c>
      <c r="O573" s="5" t="inlineStr">
        <is>
          <t>DEC</t>
        </is>
      </c>
      <c r="P573" s="5" t="n">
        <v>0</v>
      </c>
      <c r="Q573" s="5" t="n">
        <v>1</v>
      </c>
      <c r="R573" s="5" t="inlineStr">
        <is>
          <t>334-2025-12-31</t>
        </is>
      </c>
    </row>
    <row r="574">
      <c r="A574" s="5" t="n">
        <v>335</v>
      </c>
      <c r="B574" s="5" t="inlineStr">
        <is>
          <t>Cumplimiento de diagnóstico necesidades de capacitación por área</t>
        </is>
      </c>
      <c r="C574" s="5" t="inlineStr">
        <is>
          <t>GESTIÓN Y DESARROLLO DEL TALENTO HUMANO</t>
        </is>
      </c>
      <c r="D574" s="13" t="inlineStr">
        <is>
          <t>Anual</t>
        </is>
      </c>
      <c r="E574" s="5" t="inlineStr">
        <is>
          <t>Positivo</t>
        </is>
      </c>
      <c r="F574" s="107" t="n">
        <v>45291</v>
      </c>
      <c r="G574" s="15" t="n">
        <v>2023</v>
      </c>
      <c r="H574" s="6" t="inlineStr">
        <is>
          <t>Diciembre</t>
        </is>
      </c>
      <c r="I574" s="6" t="inlineStr">
        <is>
          <t>2023-2</t>
        </is>
      </c>
      <c r="J574" s="5" t="n">
        <v>80</v>
      </c>
      <c r="K574" s="5" t="n">
        <v>93.84999999999999</v>
      </c>
      <c r="L574" s="14">
        <f>IFERROR(IF(OR(J574=0,K574=""),"",IF(E574="Positivo",MIN(MAX(K574/J574,0),1.3),MIN(MAX(J574/K574,0),1.3))),"") </f>
        <v/>
      </c>
      <c r="M574" s="14">
        <f>IFERROR(IF(OR(J574=0,K574=""),"",IF(E574="Positivo",MAX(K574/J574,0),MAX(J574/K574,0))),"") </f>
        <v/>
      </c>
      <c r="N574" s="5" t="inlineStr">
        <is>
          <t>%</t>
        </is>
      </c>
      <c r="O574" s="5" t="inlineStr">
        <is>
          <t>%</t>
        </is>
      </c>
      <c r="P574" s="5" t="n">
        <v>0</v>
      </c>
      <c r="Q574" s="5" t="n">
        <v>0</v>
      </c>
      <c r="R574" s="5" t="inlineStr">
        <is>
          <t>335-2023-12-31</t>
        </is>
      </c>
    </row>
    <row r="575">
      <c r="A575" s="5" t="n">
        <v>335</v>
      </c>
      <c r="B575" s="5" t="inlineStr">
        <is>
          <t>Cumplimiento de diagnóstico necesidades de capacitación por área</t>
        </is>
      </c>
      <c r="C575" s="5" t="inlineStr">
        <is>
          <t>GESTIÓN Y DESARROLLO DEL TALENTO HUMANO</t>
        </is>
      </c>
      <c r="D575" s="13" t="inlineStr">
        <is>
          <t>Anual</t>
        </is>
      </c>
      <c r="E575" s="5" t="inlineStr">
        <is>
          <t>Positivo</t>
        </is>
      </c>
      <c r="F575" s="107" t="n">
        <v>45657</v>
      </c>
      <c r="G575" s="15" t="n">
        <v>2024</v>
      </c>
      <c r="H575" s="6" t="inlineStr">
        <is>
          <t>Diciembre</t>
        </is>
      </c>
      <c r="I575" s="6" t="inlineStr">
        <is>
          <t>2024-2</t>
        </is>
      </c>
      <c r="J575" s="5" t="n">
        <v>82</v>
      </c>
      <c r="K575" s="5" t="n">
        <v>80.95</v>
      </c>
      <c r="L575" s="14">
        <f>IFERROR(IF(OR(J575=0,K575=""),"",IF(E575="Positivo",MIN(MAX(K575/J575,0),1.3),MIN(MAX(J575/K575,0),1.3))),"") </f>
        <v/>
      </c>
      <c r="M575" s="14">
        <f>IFERROR(IF(OR(J575=0,K575=""),"",IF(E575="Positivo",MAX(K575/J575,0),MAX(J575/K575,0))),"") </f>
        <v/>
      </c>
      <c r="N575" s="5" t="inlineStr">
        <is>
          <t>%</t>
        </is>
      </c>
      <c r="O575" s="5" t="inlineStr">
        <is>
          <t>%</t>
        </is>
      </c>
      <c r="P575" s="5" t="n">
        <v>0</v>
      </c>
      <c r="Q575" s="5" t="n">
        <v>0</v>
      </c>
      <c r="R575" s="5" t="inlineStr">
        <is>
          <t>335-2024-12-31</t>
        </is>
      </c>
    </row>
    <row r="576">
      <c r="A576" s="5" t="n">
        <v>336</v>
      </c>
      <c r="B576" s="5" t="inlineStr">
        <is>
          <t>Materiales bibliográficos en formato físico con estado de perdida</t>
        </is>
      </c>
      <c r="C576" s="5" t="inlineStr">
        <is>
          <t>Biblioteca Institucional</t>
        </is>
      </c>
      <c r="D576" s="13" t="inlineStr">
        <is>
          <t>Anual</t>
        </is>
      </c>
      <c r="E576" s="5" t="inlineStr">
        <is>
          <t>Negativo</t>
        </is>
      </c>
      <c r="F576" s="107" t="n">
        <v>45291</v>
      </c>
      <c r="G576" s="15" t="n">
        <v>2023</v>
      </c>
      <c r="H576" s="6" t="inlineStr">
        <is>
          <t>Diciembre</t>
        </is>
      </c>
      <c r="I576" s="6" t="inlineStr">
        <is>
          <t>2023-2</t>
        </is>
      </c>
      <c r="J576" s="5" t="n">
        <v>2</v>
      </c>
      <c r="K576" s="5" t="n">
        <v>1.742198218602321</v>
      </c>
      <c r="L576" s="14">
        <f>IFERROR(IF(OR(J576=0,K576=""),"",IF(E576="Positivo",MIN(MAX(K576/J576,0),1.3),MIN(MAX(J576/K576,0),1.3))),"") </f>
        <v/>
      </c>
      <c r="M576" s="14">
        <f>IFERROR(IF(OR(J576=0,K576=""),"",IF(E576="Positivo",MAX(K576/J576,0),MAX(J576/K576,0))),"") </f>
        <v/>
      </c>
      <c r="N576" s="5" t="inlineStr">
        <is>
          <t>%</t>
        </is>
      </c>
      <c r="O576" s="5" t="inlineStr">
        <is>
          <t>%</t>
        </is>
      </c>
      <c r="P576" s="5" t="n">
        <v>0</v>
      </c>
      <c r="Q576" s="5" t="n">
        <v>0</v>
      </c>
      <c r="R576" s="5" t="inlineStr">
        <is>
          <t>336-2023-12-31</t>
        </is>
      </c>
    </row>
    <row r="577">
      <c r="A577" s="5" t="n">
        <v>336</v>
      </c>
      <c r="B577" s="5" t="inlineStr">
        <is>
          <t>Materiales bibliográficos en formato físico con estado de perdida</t>
        </is>
      </c>
      <c r="C577" s="5" t="inlineStr">
        <is>
          <t>Biblioteca Institucional</t>
        </is>
      </c>
      <c r="D577" s="13" t="inlineStr">
        <is>
          <t>Anual</t>
        </is>
      </c>
      <c r="E577" s="5" t="inlineStr">
        <is>
          <t>Negativo</t>
        </is>
      </c>
      <c r="F577" s="107" t="n">
        <v>45657</v>
      </c>
      <c r="G577" s="15" t="n">
        <v>2024</v>
      </c>
      <c r="H577" s="6" t="inlineStr">
        <is>
          <t>Diciembre</t>
        </is>
      </c>
      <c r="I577" s="6" t="inlineStr">
        <is>
          <t>2024-2</t>
        </is>
      </c>
      <c r="J577" s="5" t="n">
        <v>2</v>
      </c>
      <c r="K577" s="5" t="n">
        <v>0.79</v>
      </c>
      <c r="L577" s="14">
        <f>IFERROR(IF(OR(J577=0,K577=""),"",IF(E577="Positivo",MIN(MAX(K577/J577,0),1.3),MIN(MAX(J577/K577,0),1.3))),"") </f>
        <v/>
      </c>
      <c r="M577" s="14">
        <f>IFERROR(IF(OR(J577=0,K577=""),"",IF(E577="Positivo",MAX(K577/J577,0),MAX(J577/K577,0))),"") </f>
        <v/>
      </c>
      <c r="N577" s="5" t="inlineStr">
        <is>
          <t>%</t>
        </is>
      </c>
      <c r="O577" s="5" t="inlineStr">
        <is>
          <t>%</t>
        </is>
      </c>
      <c r="P577" s="5" t="n">
        <v>0</v>
      </c>
      <c r="Q577" s="5" t="n">
        <v>0</v>
      </c>
      <c r="R577" s="5" t="inlineStr">
        <is>
          <t>336-2024-12-31</t>
        </is>
      </c>
    </row>
    <row r="578">
      <c r="A578" s="5" t="n">
        <v>336</v>
      </c>
      <c r="B578" s="5" t="inlineStr">
        <is>
          <t>Materiales bibliográficos en formato físico con estado de perdida</t>
        </is>
      </c>
      <c r="C578" s="5" t="inlineStr">
        <is>
          <t>Biblioteca Institucional</t>
        </is>
      </c>
      <c r="D578" s="13" t="inlineStr">
        <is>
          <t>Anual</t>
        </is>
      </c>
      <c r="E578" s="5" t="inlineStr">
        <is>
          <t>Negativo</t>
        </is>
      </c>
      <c r="F578" s="107" t="n">
        <v>46022</v>
      </c>
      <c r="G578" s="15" t="n">
        <v>2025</v>
      </c>
      <c r="H578" s="6" t="inlineStr">
        <is>
          <t>Diciembre</t>
        </is>
      </c>
      <c r="I578" s="6" t="inlineStr">
        <is>
          <t>2025-2</t>
        </is>
      </c>
      <c r="J578" s="5" t="n">
        <v>2</v>
      </c>
      <c r="K578" s="5" t="n">
        <v>0.36</v>
      </c>
      <c r="L578" s="14">
        <f>IFERROR(IF(OR(J578=0,K578=""),"",IF(E578="Positivo",MIN(MAX(K578/J578,0),1.3),MIN(MAX(J578/K578,0),1.3))),"") </f>
        <v/>
      </c>
      <c r="M578" s="14">
        <f>IFERROR(IF(OR(J578=0,K578=""),"",IF(E578="Positivo",MAX(K578/J578,0),MAX(J578/K578,0))),"") </f>
        <v/>
      </c>
      <c r="N578" s="5" t="inlineStr">
        <is>
          <t>%</t>
        </is>
      </c>
      <c r="O578" s="5" t="inlineStr">
        <is>
          <t>%</t>
        </is>
      </c>
      <c r="P578" s="5" t="n">
        <v>0</v>
      </c>
      <c r="Q578" s="5" t="n">
        <v>0</v>
      </c>
      <c r="R578" s="5" t="inlineStr">
        <is>
          <t>336-2025-12-31</t>
        </is>
      </c>
    </row>
    <row r="579">
      <c r="A579" s="5" t="n">
        <v>337</v>
      </c>
      <c r="B579" s="5" t="inlineStr">
        <is>
          <t>Número de programas con renovación de acreditación en alta calidad</t>
        </is>
      </c>
      <c r="C579" s="5" t="inlineStr">
        <is>
          <t>Autoevaluación de programas académicos</t>
        </is>
      </c>
      <c r="D579" s="13" t="inlineStr">
        <is>
          <t>Semestral</t>
        </is>
      </c>
      <c r="E579" s="5" t="inlineStr">
        <is>
          <t>Positivo</t>
        </is>
      </c>
      <c r="F579" s="107" t="n">
        <v>45291</v>
      </c>
      <c r="G579" s="15" t="n">
        <v>2023</v>
      </c>
      <c r="H579" s="6" t="inlineStr">
        <is>
          <t>Diciembre</t>
        </is>
      </c>
      <c r="I579" s="6" t="inlineStr">
        <is>
          <t>2023-2</t>
        </is>
      </c>
      <c r="J579" s="5" t="n">
        <v>200</v>
      </c>
      <c r="K579" s="5" t="n">
        <v>100</v>
      </c>
      <c r="L579" s="14">
        <f>IFERROR(IF(OR(J579=0,K579=""),"",IF(E579="Positivo",MIN(MAX(K579/J579,0),1.3),MIN(MAX(J579/K579,0),1.3))),"") </f>
        <v/>
      </c>
      <c r="M579" s="14">
        <f>IFERROR(IF(OR(J579=0,K579=""),"",IF(E579="Positivo",MAX(K579/J579,0),MAX(J579/K579,0))),"") </f>
        <v/>
      </c>
      <c r="N579" s="5" t="inlineStr">
        <is>
          <t>ENT</t>
        </is>
      </c>
      <c r="O579" s="5" t="inlineStr">
        <is>
          <t>ENT</t>
        </is>
      </c>
      <c r="P579" s="5" t="n">
        <v>0</v>
      </c>
      <c r="Q579" s="5" t="n">
        <v>0</v>
      </c>
      <c r="R579" s="5" t="inlineStr">
        <is>
          <t>337-2023-12-31</t>
        </is>
      </c>
    </row>
    <row r="580">
      <c r="A580" s="5" t="n">
        <v>337</v>
      </c>
      <c r="B580" s="5" t="inlineStr">
        <is>
          <t>Número de programas con renovación de acreditación en alta calidad</t>
        </is>
      </c>
      <c r="C580" s="5" t="inlineStr">
        <is>
          <t>Autoevaluación de programas académicos</t>
        </is>
      </c>
      <c r="D580" s="13" t="inlineStr">
        <is>
          <t>Semestral</t>
        </is>
      </c>
      <c r="E580" s="5" t="inlineStr">
        <is>
          <t>Positivo</t>
        </is>
      </c>
      <c r="F580" s="107" t="n">
        <v>45657</v>
      </c>
      <c r="G580" s="15" t="n">
        <v>2024</v>
      </c>
      <c r="H580" s="6" t="inlineStr">
        <is>
          <t>Diciembre</t>
        </is>
      </c>
      <c r="I580" s="6" t="inlineStr">
        <is>
          <t>2024-2</t>
        </is>
      </c>
      <c r="J580" s="5" t="n">
        <v>200</v>
      </c>
      <c r="K580" s="5" t="n">
        <v>100</v>
      </c>
      <c r="L580" s="14">
        <f>IFERROR(IF(OR(J580=0,K580=""),"",IF(E580="Positivo",MIN(MAX(K580/J580,0),1.3),MIN(MAX(J580/K580,0),1.3))),"") </f>
        <v/>
      </c>
      <c r="M580" s="14">
        <f>IFERROR(IF(OR(J580=0,K580=""),"",IF(E580="Positivo",MAX(K580/J580,0),MAX(J580/K580,0))),"") </f>
        <v/>
      </c>
      <c r="N580" s="5" t="inlineStr">
        <is>
          <t>ENT</t>
        </is>
      </c>
      <c r="O580" s="5" t="inlineStr">
        <is>
          <t>ENT</t>
        </is>
      </c>
      <c r="P580" s="5" t="n">
        <v>0</v>
      </c>
      <c r="Q580" s="5" t="n">
        <v>0</v>
      </c>
      <c r="R580" s="5" t="inlineStr">
        <is>
          <t>337-2024-12-31</t>
        </is>
      </c>
    </row>
    <row r="581">
      <c r="A581" s="5" t="n">
        <v>337</v>
      </c>
      <c r="B581" s="5" t="inlineStr">
        <is>
          <t>Número de programas con renovación de acreditación en alta calidad - Metrica</t>
        </is>
      </c>
      <c r="C581" s="5" t="inlineStr">
        <is>
          <t>Autoevaluación de programas académicos</t>
        </is>
      </c>
      <c r="D581" s="13" t="inlineStr">
        <is>
          <t>Trimestral</t>
        </is>
      </c>
      <c r="E581" s="5" t="inlineStr">
        <is>
          <t>Positivo</t>
        </is>
      </c>
      <c r="F581" s="107" t="n">
        <v>46022</v>
      </c>
      <c r="G581" s="15" t="n">
        <v>2025</v>
      </c>
      <c r="H581" s="6" t="inlineStr">
        <is>
          <t>Diciembre</t>
        </is>
      </c>
      <c r="I581" s="6" t="inlineStr">
        <is>
          <t>2025-2</t>
        </is>
      </c>
      <c r="J581" s="5" t="n">
        <v>100</v>
      </c>
      <c r="K581" s="5" t="n"/>
      <c r="L581" s="14" t="n"/>
      <c r="M581" s="14" t="n"/>
      <c r="N581" s="5" t="n"/>
      <c r="O581" s="5" t="inlineStr">
        <is>
          <t>No Aplica</t>
        </is>
      </c>
      <c r="P581" s="5" t="n">
        <v>0</v>
      </c>
      <c r="Q581" s="5" t="n">
        <v>0</v>
      </c>
      <c r="R581" s="5" t="inlineStr">
        <is>
          <t>337-2025-12-31</t>
        </is>
      </c>
      <c r="S581" t="inlineStr">
        <is>
          <t>Metrica</t>
        </is>
      </c>
    </row>
    <row r="582">
      <c r="A582" s="5" t="n">
        <v>338</v>
      </c>
      <c r="B582" s="5" t="inlineStr">
        <is>
          <t>Número de programas con condiciones iniciales aprobadas</t>
        </is>
      </c>
      <c r="C582" s="5" t="inlineStr">
        <is>
          <t>Autoevaluación de programas académicos</t>
        </is>
      </c>
      <c r="D582" s="13" t="inlineStr">
        <is>
          <t>Semestral</t>
        </is>
      </c>
      <c r="E582" s="5" t="inlineStr">
        <is>
          <t>Positivo</t>
        </is>
      </c>
      <c r="F582" s="107" t="n">
        <v>45291</v>
      </c>
      <c r="G582" s="15" t="n">
        <v>2023</v>
      </c>
      <c r="H582" s="6" t="inlineStr">
        <is>
          <t>Diciembre</t>
        </is>
      </c>
      <c r="I582" s="6" t="inlineStr">
        <is>
          <t>2023-2</t>
        </is>
      </c>
      <c r="J582" s="5" t="n">
        <v>200</v>
      </c>
      <c r="K582" s="5" t="n">
        <v>100</v>
      </c>
      <c r="L582" s="14">
        <f>IFERROR(IF(OR(J582=0,K582=""),"",IF(E582="Positivo",MIN(MAX(K582/J582,0),1.3),MIN(MAX(J582/K582,0),1.3))),"") </f>
        <v/>
      </c>
      <c r="M582" s="14">
        <f>IFERROR(IF(OR(J582=0,K582=""),"",IF(E582="Positivo",MAX(K582/J582,0),MAX(J582/K582,0))),"") </f>
        <v/>
      </c>
      <c r="N582" s="5" t="inlineStr">
        <is>
          <t>ENT</t>
        </is>
      </c>
      <c r="O582" s="5" t="inlineStr">
        <is>
          <t>ENT</t>
        </is>
      </c>
      <c r="P582" s="5" t="n">
        <v>0</v>
      </c>
      <c r="Q582" s="5" t="n">
        <v>0</v>
      </c>
      <c r="R582" s="5" t="inlineStr">
        <is>
          <t>338-2023-12-31</t>
        </is>
      </c>
    </row>
    <row r="583">
      <c r="A583" s="5" t="n">
        <v>338</v>
      </c>
      <c r="B583" s="5" t="inlineStr">
        <is>
          <t>Número de programas con condiciones iniciales aprobadas</t>
        </is>
      </c>
      <c r="C583" s="5" t="inlineStr">
        <is>
          <t>Autoevaluación de programas académicos</t>
        </is>
      </c>
      <c r="D583" s="13" t="inlineStr">
        <is>
          <t>Semestral</t>
        </is>
      </c>
      <c r="E583" s="5" t="inlineStr">
        <is>
          <t>Positivo</t>
        </is>
      </c>
      <c r="F583" s="107" t="n">
        <v>45657</v>
      </c>
      <c r="G583" s="15" t="n">
        <v>2024</v>
      </c>
      <c r="H583" s="6" t="inlineStr">
        <is>
          <t>Diciembre</t>
        </is>
      </c>
      <c r="I583" s="6" t="inlineStr">
        <is>
          <t>2024-2</t>
        </is>
      </c>
      <c r="J583" s="5" t="n">
        <v>200</v>
      </c>
      <c r="K583" s="5" t="n">
        <v>100</v>
      </c>
      <c r="L583" s="14">
        <f>IFERROR(IF(OR(J583=0,K583=""),"",IF(E583="Positivo",MIN(MAX(K583/J583,0),1.3),MIN(MAX(J583/K583,0),1.3))),"") </f>
        <v/>
      </c>
      <c r="M583" s="14">
        <f>IFERROR(IF(OR(J583=0,K583=""),"",IF(E583="Positivo",MAX(K583/J583,0),MAX(J583/K583,0))),"") </f>
        <v/>
      </c>
      <c r="N583" s="5" t="inlineStr">
        <is>
          <t>ENT</t>
        </is>
      </c>
      <c r="O583" s="5" t="inlineStr">
        <is>
          <t>ENT</t>
        </is>
      </c>
      <c r="P583" s="5" t="n">
        <v>0</v>
      </c>
      <c r="Q583" s="5" t="n">
        <v>0</v>
      </c>
      <c r="R583" s="5" t="inlineStr">
        <is>
          <t>338-2024-12-31</t>
        </is>
      </c>
    </row>
    <row r="584">
      <c r="A584" s="5" t="n">
        <v>338</v>
      </c>
      <c r="B584" s="5" t="inlineStr">
        <is>
          <t>Número de programas con condiciones iniciales aprobadas (indicador externo)- Metrica</t>
        </is>
      </c>
      <c r="C584" s="5" t="inlineStr">
        <is>
          <t>Autoevaluación de programas académicos</t>
        </is>
      </c>
      <c r="D584" s="13" t="inlineStr">
        <is>
          <t>Trimestral</t>
        </is>
      </c>
      <c r="E584" s="5" t="inlineStr">
        <is>
          <t>Positivo</t>
        </is>
      </c>
      <c r="F584" s="107" t="n">
        <v>46022</v>
      </c>
      <c r="G584" s="15" t="n">
        <v>2025</v>
      </c>
      <c r="H584" s="6" t="inlineStr">
        <is>
          <t>Diciembre</t>
        </is>
      </c>
      <c r="I584" s="6" t="inlineStr">
        <is>
          <t>2025-2</t>
        </is>
      </c>
      <c r="J584" s="5" t="n">
        <v>200</v>
      </c>
      <c r="K584" s="5" t="n">
        <v>200</v>
      </c>
      <c r="L584" s="14" t="n"/>
      <c r="M584" s="14" t="n"/>
      <c r="N584" s="5" t="inlineStr">
        <is>
          <t>ENT</t>
        </is>
      </c>
      <c r="O584" s="5" t="inlineStr">
        <is>
          <t>ENT</t>
        </is>
      </c>
      <c r="P584" s="5" t="n">
        <v>0</v>
      </c>
      <c r="Q584" s="5" t="n">
        <v>0</v>
      </c>
      <c r="R584" s="5" t="inlineStr">
        <is>
          <t>338-2025-12-31</t>
        </is>
      </c>
      <c r="S584" t="inlineStr">
        <is>
          <t>Metrica</t>
        </is>
      </c>
    </row>
    <row r="585">
      <c r="A585" s="5" t="n">
        <v>339</v>
      </c>
      <c r="B585" s="5" t="inlineStr">
        <is>
          <t>% Programas acreditables acreditados Sede Bogotá</t>
        </is>
      </c>
      <c r="C585" s="5" t="inlineStr">
        <is>
          <t>Autoevaluación institucional</t>
        </is>
      </c>
      <c r="D585" s="13" t="inlineStr">
        <is>
          <t>Anual</t>
        </is>
      </c>
      <c r="E585" s="5" t="inlineStr">
        <is>
          <t>Positivo</t>
        </is>
      </c>
      <c r="F585" s="107" t="n">
        <v>45291</v>
      </c>
      <c r="G585" s="15" t="n">
        <v>2023</v>
      </c>
      <c r="H585" s="6" t="inlineStr">
        <is>
          <t>Diciembre</t>
        </is>
      </c>
      <c r="I585" s="6" t="inlineStr">
        <is>
          <t>2023-2</t>
        </is>
      </c>
      <c r="J585" s="5" t="n">
        <v>30</v>
      </c>
      <c r="K585" s="5" t="n">
        <v>28.57142857142857</v>
      </c>
      <c r="L585" s="14">
        <f>IFERROR(IF(OR(J585=0,K585=""),"",IF(E585="Positivo",MIN(MAX(K585/J585,0),1.3),MIN(MAX(J585/K585,0),1.3))),"") </f>
        <v/>
      </c>
      <c r="M585" s="14">
        <f>IFERROR(IF(OR(J585=0,K585=""),"",IF(E585="Positivo",MAX(K585/J585,0),MAX(J585/K585,0))),"") </f>
        <v/>
      </c>
      <c r="N585" s="5" t="inlineStr">
        <is>
          <t>%</t>
        </is>
      </c>
      <c r="O585" s="5" t="inlineStr">
        <is>
          <t>%</t>
        </is>
      </c>
      <c r="P585" s="5" t="n">
        <v>0</v>
      </c>
      <c r="Q585" s="5" t="n">
        <v>1</v>
      </c>
      <c r="R585" s="5" t="inlineStr">
        <is>
          <t>339-2023-12-31</t>
        </is>
      </c>
    </row>
    <row r="586">
      <c r="A586" s="5" t="n">
        <v>339</v>
      </c>
      <c r="B586" s="5" t="inlineStr">
        <is>
          <t>% Programas acreditables acreditados Sede Bogotá</t>
        </is>
      </c>
      <c r="C586" s="5" t="inlineStr">
        <is>
          <t>Autoevaluación institucional</t>
        </is>
      </c>
      <c r="D586" s="13" t="inlineStr">
        <is>
          <t>Anual</t>
        </is>
      </c>
      <c r="E586" s="5" t="inlineStr">
        <is>
          <t>Positivo</t>
        </is>
      </c>
      <c r="F586" s="107" t="n">
        <v>45657</v>
      </c>
      <c r="G586" s="15" t="n">
        <v>2024</v>
      </c>
      <c r="H586" s="6" t="inlineStr">
        <is>
          <t>Diciembre</t>
        </is>
      </c>
      <c r="I586" s="6" t="inlineStr">
        <is>
          <t>2024-2</t>
        </is>
      </c>
      <c r="J586" s="5" t="n">
        <v>30</v>
      </c>
      <c r="K586" s="5" t="n">
        <v>30.3</v>
      </c>
      <c r="L586" s="14">
        <f>IFERROR(IF(OR(J586=0,K586=""),"",IF(E586="Positivo",MIN(MAX(K586/J586,0),1.3),MIN(MAX(J586/K586,0),1.3))),"") </f>
        <v/>
      </c>
      <c r="M586" s="14">
        <f>IFERROR(IF(OR(J586=0,K586=""),"",IF(E586="Positivo",MAX(K586/J586,0),MAX(J586/K586,0))),"") </f>
        <v/>
      </c>
      <c r="N586" s="5" t="inlineStr">
        <is>
          <t>%</t>
        </is>
      </c>
      <c r="O586" s="5" t="inlineStr">
        <is>
          <t>%</t>
        </is>
      </c>
      <c r="P586" s="5" t="n">
        <v>0</v>
      </c>
      <c r="Q586" s="5" t="n">
        <v>1</v>
      </c>
      <c r="R586" s="5" t="inlineStr">
        <is>
          <t>339-2024-12-31</t>
        </is>
      </c>
    </row>
    <row r="587">
      <c r="A587" s="5" t="n">
        <v>339</v>
      </c>
      <c r="B587" s="5" t="inlineStr">
        <is>
          <t>% Programas acreditables acreditados Sede Bogotá</t>
        </is>
      </c>
      <c r="C587" s="5" t="inlineStr">
        <is>
          <t>Autoevaluación institucional</t>
        </is>
      </c>
      <c r="D587" s="13" t="inlineStr">
        <is>
          <t>Anual</t>
        </is>
      </c>
      <c r="E587" s="5" t="inlineStr">
        <is>
          <t>Positivo</t>
        </is>
      </c>
      <c r="F587" s="107" t="n">
        <v>46022</v>
      </c>
      <c r="G587" s="15" t="n">
        <v>2025</v>
      </c>
      <c r="H587" s="6" t="inlineStr">
        <is>
          <t>Diciembre</t>
        </is>
      </c>
      <c r="I587" s="6" t="inlineStr">
        <is>
          <t>2025-2</t>
        </is>
      </c>
      <c r="J587" s="5" t="n">
        <v>30</v>
      </c>
      <c r="K587" s="5" t="n">
        <v>35.29</v>
      </c>
      <c r="L587" s="14">
        <f>IFERROR(IF(OR(J587=0,K587=""),"",IF(E587="Positivo",MIN(MAX(K587/J587,0),1.3),MIN(MAX(J587/K587,0),1.3))),"") </f>
        <v/>
      </c>
      <c r="M587" s="14">
        <f>IFERROR(IF(OR(J587=0,K587=""),"",IF(E587="Positivo",MAX(K587/J587,0),MAX(J587/K587,0))),"") </f>
        <v/>
      </c>
      <c r="N587" s="5" t="inlineStr">
        <is>
          <t>%</t>
        </is>
      </c>
      <c r="O587" s="5" t="inlineStr">
        <is>
          <t>%</t>
        </is>
      </c>
      <c r="P587" s="5" t="n">
        <v>0</v>
      </c>
      <c r="Q587" s="5" t="n">
        <v>1</v>
      </c>
      <c r="R587" s="5" t="inlineStr">
        <is>
          <t>339-2025-12-31</t>
        </is>
      </c>
    </row>
    <row r="588">
      <c r="A588" s="5" t="n">
        <v>340</v>
      </c>
      <c r="B588" s="5" t="inlineStr">
        <is>
          <t>Cumplimiento cronograma revisiones locativas</t>
        </is>
      </c>
      <c r="C588" s="5" t="inlineStr">
        <is>
          <t>Gestión Infraestructura Física</t>
        </is>
      </c>
      <c r="D588" s="13" t="inlineStr">
        <is>
          <t>Trimestral</t>
        </is>
      </c>
      <c r="E588" s="5" t="inlineStr">
        <is>
          <t>Positivo</t>
        </is>
      </c>
      <c r="F588" s="107" t="n">
        <v>45291</v>
      </c>
      <c r="G588" s="15" t="n">
        <v>2023</v>
      </c>
      <c r="H588" s="6" t="inlineStr">
        <is>
          <t>Diciembre</t>
        </is>
      </c>
      <c r="I588" s="6" t="inlineStr">
        <is>
          <t>2023-2</t>
        </is>
      </c>
      <c r="J588" s="5" t="n">
        <v>90</v>
      </c>
      <c r="K588" s="5" t="n">
        <v>100</v>
      </c>
      <c r="L588" s="14">
        <f>IFERROR(IF(OR(J588=0,K588=""),"",IF(E588="Positivo",MIN(MAX(K588/J588,0),1.3),MIN(MAX(J588/K588,0),1.3))),"") </f>
        <v/>
      </c>
      <c r="M588" s="14">
        <f>IFERROR(IF(OR(J588=0,K588=""),"",IF(E588="Positivo",MAX(K588/J588,0),MAX(J588/K588,0))),"") </f>
        <v/>
      </c>
      <c r="N588" s="5" t="inlineStr">
        <is>
          <t>%</t>
        </is>
      </c>
      <c r="O588" s="5" t="inlineStr">
        <is>
          <t>%</t>
        </is>
      </c>
      <c r="P588" s="5" t="n">
        <v>0</v>
      </c>
      <c r="Q588" s="5" t="n">
        <v>0</v>
      </c>
      <c r="R588" s="5" t="inlineStr">
        <is>
          <t>340-2023-12-31</t>
        </is>
      </c>
    </row>
    <row r="589">
      <c r="A589" s="5" t="n">
        <v>340</v>
      </c>
      <c r="B589" s="5" t="inlineStr">
        <is>
          <t>Cumplimiento cronograma revisiones locativas</t>
        </is>
      </c>
      <c r="C589" s="5" t="inlineStr">
        <is>
          <t>Gestión Infraestructura Física</t>
        </is>
      </c>
      <c r="D589" s="13" t="inlineStr">
        <is>
          <t>Trimestral</t>
        </is>
      </c>
      <c r="E589" s="5" t="inlineStr">
        <is>
          <t>Positivo</t>
        </is>
      </c>
      <c r="F589" s="107" t="n">
        <v>45657</v>
      </c>
      <c r="G589" s="15" t="n">
        <v>2024</v>
      </c>
      <c r="H589" s="6" t="inlineStr">
        <is>
          <t>Diciembre</t>
        </is>
      </c>
      <c r="I589" s="6" t="inlineStr">
        <is>
          <t>2024-2</t>
        </is>
      </c>
      <c r="J589" s="5" t="n">
        <v>95</v>
      </c>
      <c r="K589" s="5" t="n">
        <v>100</v>
      </c>
      <c r="L589" s="14">
        <f>IFERROR(IF(OR(J589=0,K589=""),"",IF(E589="Positivo",MIN(MAX(K589/J589,0),1.3),MIN(MAX(J589/K589,0),1.3))),"") </f>
        <v/>
      </c>
      <c r="M589" s="14">
        <f>IFERROR(IF(OR(J589=0,K589=""),"",IF(E589="Positivo",MAX(K589/J589,0),MAX(J589/K589,0))),"") </f>
        <v/>
      </c>
      <c r="N589" s="5" t="inlineStr">
        <is>
          <t>%</t>
        </is>
      </c>
      <c r="O589" s="5" t="inlineStr">
        <is>
          <t>%</t>
        </is>
      </c>
      <c r="P589" s="5" t="n">
        <v>0</v>
      </c>
      <c r="Q589" s="5" t="n">
        <v>0</v>
      </c>
      <c r="R589" s="5" t="inlineStr">
        <is>
          <t>340-2024-12-31</t>
        </is>
      </c>
    </row>
    <row r="590">
      <c r="A590" s="5" t="n">
        <v>341</v>
      </c>
      <c r="B590" s="5" t="inlineStr">
        <is>
          <t>Monto total de ahorro en gestión de abastecimiento</t>
        </is>
      </c>
      <c r="C590" s="5" t="inlineStr">
        <is>
          <t>GESTIÓN DE ABASTECIMIENTO</t>
        </is>
      </c>
      <c r="D590" s="13" t="inlineStr">
        <is>
          <t>Semestral</t>
        </is>
      </c>
      <c r="E590" s="5" t="inlineStr">
        <is>
          <t>Positivo</t>
        </is>
      </c>
      <c r="F590" s="107" t="n">
        <v>45291</v>
      </c>
      <c r="G590" s="15" t="n">
        <v>2023</v>
      </c>
      <c r="H590" s="6" t="inlineStr">
        <is>
          <t>Diciembre</t>
        </is>
      </c>
      <c r="I590" s="6" t="inlineStr">
        <is>
          <t>2023-2</t>
        </is>
      </c>
      <c r="J590" s="5" t="n">
        <v>200</v>
      </c>
      <c r="K590" s="5" t="n">
        <v>254.43966666667</v>
      </c>
      <c r="L590" s="14">
        <f>IFERROR(IF(OR(J590=0,K590=""),"",IF(E590="Positivo",MIN(MAX(K590/J590,0),1.3),MIN(MAX(J590/K590,0),1.3))),"") </f>
        <v/>
      </c>
      <c r="M590" s="14">
        <f>IFERROR(IF(OR(J590=0,K590=""),"",IF(E590="Positivo",MAX(K590/J590,0),MAX(J590/K590,0))),"") </f>
        <v/>
      </c>
      <c r="N590" s="5" t="inlineStr">
        <is>
          <t>$</t>
        </is>
      </c>
      <c r="O590" s="5" t="inlineStr">
        <is>
          <t>$</t>
        </is>
      </c>
      <c r="P590" s="5" t="n">
        <v>0</v>
      </c>
      <c r="Q590" s="5" t="n">
        <v>0</v>
      </c>
      <c r="R590" s="5" t="inlineStr">
        <is>
          <t>341-2023-12-31</t>
        </is>
      </c>
    </row>
    <row r="591">
      <c r="A591" s="5" t="n">
        <v>341</v>
      </c>
      <c r="B591" s="5" t="inlineStr">
        <is>
          <t>Reducción de costos en gestión de abastecimiento</t>
        </is>
      </c>
      <c r="C591" s="5" t="inlineStr">
        <is>
          <t>GESTIÓN DE ABASTECIMIENTO</t>
        </is>
      </c>
      <c r="D591" s="13" t="inlineStr">
        <is>
          <t>Semestral</t>
        </is>
      </c>
      <c r="E591" s="5" t="inlineStr">
        <is>
          <t>Positivo</t>
        </is>
      </c>
      <c r="F591" s="107" t="n">
        <v>45657</v>
      </c>
      <c r="G591" s="15" t="n">
        <v>2024</v>
      </c>
      <c r="H591" s="6" t="inlineStr">
        <is>
          <t>Diciembre</t>
        </is>
      </c>
      <c r="I591" s="6" t="inlineStr">
        <is>
          <t>2024-2</t>
        </is>
      </c>
      <c r="J591" s="5" t="n">
        <v>200</v>
      </c>
      <c r="K591" s="5" t="n">
        <v>227.44</v>
      </c>
      <c r="L591" s="14">
        <f>IFERROR(IF(OR(J591=0,K591=""),"",IF(E591="Positivo",MIN(MAX(K591/J591,0),1.3),MIN(MAX(J591/K591,0),1.3))),"") </f>
        <v/>
      </c>
      <c r="M591" s="14">
        <f>IFERROR(IF(OR(J591=0,K591=""),"",IF(E591="Positivo",MAX(K591/J591,0),MAX(J591/K591,0))),"") </f>
        <v/>
      </c>
      <c r="N591" s="5" t="inlineStr">
        <is>
          <t>$</t>
        </is>
      </c>
      <c r="O591" s="5" t="inlineStr">
        <is>
          <t>$</t>
        </is>
      </c>
      <c r="P591" s="5" t="n">
        <v>0</v>
      </c>
      <c r="Q591" s="5" t="n">
        <v>0</v>
      </c>
      <c r="R591" s="5" t="inlineStr">
        <is>
          <t>341-2024-12-31</t>
        </is>
      </c>
    </row>
    <row r="592">
      <c r="A592" s="5" t="n">
        <v>341</v>
      </c>
      <c r="B592" s="5" t="inlineStr">
        <is>
          <t>Eficiencia en la reducción de costos en la gestión del abastecimiento</t>
        </is>
      </c>
      <c r="C592" s="5" t="inlineStr">
        <is>
          <t>GESTIÓN DE ABASTECIMIENTO</t>
        </is>
      </c>
      <c r="D592" s="13" t="inlineStr">
        <is>
          <t>Trimestral</t>
        </is>
      </c>
      <c r="E592" s="5" t="inlineStr">
        <is>
          <t>Positivo</t>
        </is>
      </c>
      <c r="F592" s="107" t="n">
        <v>46022</v>
      </c>
      <c r="G592" s="15" t="n">
        <v>2025</v>
      </c>
      <c r="H592" s="6" t="inlineStr">
        <is>
          <t>Diciembre</t>
        </is>
      </c>
      <c r="I592" s="6" t="inlineStr">
        <is>
          <t>2025-2</t>
        </is>
      </c>
      <c r="J592" s="5" t="n">
        <v>200</v>
      </c>
      <c r="K592" s="5" t="n">
        <v>204.9</v>
      </c>
      <c r="L592" s="14">
        <f>IFERROR(IF(OR(J592=0,K592=""),"",IF(E592="Positivo",MIN(MAX(K592/J592,0),1.3),MIN(MAX(J592/K592,0),1.3))),"") </f>
        <v/>
      </c>
      <c r="M592" s="14">
        <f>IFERROR(IF(OR(J592=0,K592=""),"",IF(E592="Positivo",MAX(K592/J592,0),MAX(J592/K592,0))),"") </f>
        <v/>
      </c>
      <c r="N592" s="5" t="inlineStr">
        <is>
          <t>$</t>
        </is>
      </c>
      <c r="O592" s="5" t="inlineStr">
        <is>
          <t>$</t>
        </is>
      </c>
      <c r="P592" s="5" t="n">
        <v>0</v>
      </c>
      <c r="Q592" s="5" t="n">
        <v>0</v>
      </c>
      <c r="R592" s="5" t="inlineStr">
        <is>
          <t>341-2025-12-31</t>
        </is>
      </c>
    </row>
    <row r="593">
      <c r="A593" s="5" t="n">
        <v>344</v>
      </c>
      <c r="B593" s="5" t="inlineStr">
        <is>
          <t>Cumplimiento del plan de Inducción institucional</t>
        </is>
      </c>
      <c r="C593" s="5" t="inlineStr">
        <is>
          <t>GESTIÓN Y DESARROLLO DEL TALENTO HUMANO</t>
        </is>
      </c>
      <c r="D593" s="13" t="inlineStr">
        <is>
          <t>Semestral</t>
        </is>
      </c>
      <c r="E593" s="5" t="inlineStr">
        <is>
          <t>Positivo</t>
        </is>
      </c>
      <c r="F593" s="107" t="n">
        <v>45291</v>
      </c>
      <c r="G593" s="15" t="n">
        <v>2023</v>
      </c>
      <c r="H593" s="6" t="inlineStr">
        <is>
          <t>Diciembre</t>
        </is>
      </c>
      <c r="I593" s="6" t="inlineStr">
        <is>
          <t>2023-2</t>
        </is>
      </c>
      <c r="J593" s="5" t="n">
        <v>90</v>
      </c>
      <c r="K593" s="5" t="n">
        <v>97.752180451128</v>
      </c>
      <c r="L593" s="14">
        <f>IFERROR(IF(OR(J593=0,K593=""),"",IF(E593="Positivo",MIN(MAX(K593/J593,0),1.3),MIN(MAX(J593/K593,0),1.3))),"") </f>
        <v/>
      </c>
      <c r="M593" s="14">
        <f>IFERROR(IF(OR(J593=0,K593=""),"",IF(E593="Positivo",MAX(K593/J593,0),MAX(J593/K593,0))),"") </f>
        <v/>
      </c>
      <c r="N593" s="5" t="inlineStr">
        <is>
          <t>%</t>
        </is>
      </c>
      <c r="O593" s="5" t="inlineStr">
        <is>
          <t>%</t>
        </is>
      </c>
      <c r="P593" s="5" t="n">
        <v>0</v>
      </c>
      <c r="Q593" s="5" t="n">
        <v>0</v>
      </c>
      <c r="R593" s="5" t="inlineStr">
        <is>
          <t>344-2023-12-31</t>
        </is>
      </c>
    </row>
    <row r="594">
      <c r="A594" s="5" t="n">
        <v>344</v>
      </c>
      <c r="B594" s="5" t="inlineStr">
        <is>
          <t>Cumplimiento del plan de Inducción institucional</t>
        </is>
      </c>
      <c r="C594" s="5" t="inlineStr">
        <is>
          <t>GESTIÓN Y DESARROLLO DEL TALENTO HUMANO</t>
        </is>
      </c>
      <c r="D594" s="13" t="inlineStr">
        <is>
          <t>Semestral</t>
        </is>
      </c>
      <c r="E594" s="5" t="inlineStr">
        <is>
          <t>Positivo</t>
        </is>
      </c>
      <c r="F594" s="107" t="n">
        <v>45657</v>
      </c>
      <c r="G594" s="15" t="n">
        <v>2024</v>
      </c>
      <c r="H594" s="6" t="inlineStr">
        <is>
          <t>Diciembre</t>
        </is>
      </c>
      <c r="I594" s="6" t="inlineStr">
        <is>
          <t>2024-2</t>
        </is>
      </c>
      <c r="J594" s="5" t="n">
        <v>93</v>
      </c>
      <c r="K594" s="5" t="n">
        <v>98.265</v>
      </c>
      <c r="L594" s="14">
        <f>IFERROR(IF(OR(J594=0,K594=""),"",IF(E594="Positivo",MIN(MAX(K594/J594,0),1.3),MIN(MAX(J594/K594,0),1.3))),"") </f>
        <v/>
      </c>
      <c r="M594" s="14">
        <f>IFERROR(IF(OR(J594=0,K594=""),"",IF(E594="Positivo",MAX(K594/J594,0),MAX(J594/K594,0))),"") </f>
        <v/>
      </c>
      <c r="N594" s="5" t="inlineStr">
        <is>
          <t>%</t>
        </is>
      </c>
      <c r="O594" s="5" t="inlineStr">
        <is>
          <t>%</t>
        </is>
      </c>
      <c r="P594" s="5" t="n">
        <v>0</v>
      </c>
      <c r="Q594" s="5" t="n">
        <v>0</v>
      </c>
      <c r="R594" s="5" t="inlineStr">
        <is>
          <t>344-2024-12-31</t>
        </is>
      </c>
    </row>
    <row r="595">
      <c r="A595" s="5" t="n">
        <v>344</v>
      </c>
      <c r="B595" s="5" t="inlineStr">
        <is>
          <t>Cumplimiento del plan de Inducción institucional</t>
        </is>
      </c>
      <c r="C595" s="5" t="inlineStr">
        <is>
          <t>GESTIÓN Y DESARROLLO DEL TALENTO HUMANO</t>
        </is>
      </c>
      <c r="D595" s="13" t="inlineStr">
        <is>
          <t>Trimestral</t>
        </is>
      </c>
      <c r="E595" s="5" t="inlineStr">
        <is>
          <t>Positivo</t>
        </is>
      </c>
      <c r="F595" s="107" t="n">
        <v>46022</v>
      </c>
      <c r="G595" s="15" t="n">
        <v>2025</v>
      </c>
      <c r="H595" s="6" t="inlineStr">
        <is>
          <t>Diciembre</t>
        </is>
      </c>
      <c r="I595" s="6" t="inlineStr">
        <is>
          <t>2025-2</t>
        </is>
      </c>
      <c r="J595" s="5" t="n">
        <v>93</v>
      </c>
      <c r="K595" s="5" t="n">
        <v>99.715</v>
      </c>
      <c r="L595" s="14">
        <f>IFERROR(IF(OR(J595=0,K595=""),"",IF(E595="Positivo",MIN(MAX(K595/J595,0),1.3),MIN(MAX(J595/K595,0),1.3))),"") </f>
        <v/>
      </c>
      <c r="M595" s="14">
        <f>IFERROR(IF(OR(J595=0,K595=""),"",IF(E595="Positivo",MAX(K595/J595,0),MAX(J595/K595,0))),"") </f>
        <v/>
      </c>
      <c r="N595" s="5" t="inlineStr">
        <is>
          <t>%</t>
        </is>
      </c>
      <c r="O595" s="5" t="inlineStr">
        <is>
          <t>%</t>
        </is>
      </c>
      <c r="P595" s="5" t="n">
        <v>0</v>
      </c>
      <c r="Q595" s="5" t="n">
        <v>0</v>
      </c>
      <c r="R595" s="5" t="inlineStr">
        <is>
          <t>344-2025-12-31</t>
        </is>
      </c>
    </row>
    <row r="596">
      <c r="A596" s="5" t="n">
        <v>345</v>
      </c>
      <c r="B596" s="5" t="inlineStr">
        <is>
          <t>% de profesores impactados plan de desarrollo docente</t>
        </is>
      </c>
      <c r="C596" s="5" t="inlineStr">
        <is>
          <t>GESTIÓN Y DESARROLLO DEL TALENTO HUMANO</t>
        </is>
      </c>
      <c r="D596" s="13" t="inlineStr">
        <is>
          <t>Anual</t>
        </is>
      </c>
      <c r="E596" s="5" t="inlineStr">
        <is>
          <t>Positivo</t>
        </is>
      </c>
      <c r="F596" s="107" t="n">
        <v>45291</v>
      </c>
      <c r="G596" s="15" t="n">
        <v>2023</v>
      </c>
      <c r="H596" s="6" t="inlineStr">
        <is>
          <t>Diciembre</t>
        </is>
      </c>
      <c r="I596" s="6" t="inlineStr">
        <is>
          <t>2023-2</t>
        </is>
      </c>
      <c r="J596" s="5" t="n"/>
      <c r="K596" s="5" t="n">
        <v>94.84999999999999</v>
      </c>
      <c r="L596" s="14" t="n"/>
      <c r="M596" s="14" t="n"/>
      <c r="N596" s="5" t="inlineStr">
        <is>
          <t>Linea Base</t>
        </is>
      </c>
      <c r="O596" s="5" t="inlineStr">
        <is>
          <t>%</t>
        </is>
      </c>
      <c r="P596" s="5" t="n">
        <v>0</v>
      </c>
      <c r="Q596" s="5" t="n">
        <v>0</v>
      </c>
      <c r="R596" s="5" t="inlineStr">
        <is>
          <t>345-2023-12-31</t>
        </is>
      </c>
    </row>
    <row r="597">
      <c r="A597" s="5" t="n">
        <v>346</v>
      </c>
      <c r="B597" s="5" t="inlineStr">
        <is>
          <t>% de profesores impactados en actividades de Bienestar</t>
        </is>
      </c>
      <c r="C597" s="5" t="inlineStr">
        <is>
          <t>GESTIÓN Y DESARROLLO DEL TALENTO HUMANO</t>
        </is>
      </c>
      <c r="D597" s="13" t="inlineStr">
        <is>
          <t>Anual</t>
        </is>
      </c>
      <c r="E597" s="5" t="inlineStr">
        <is>
          <t>Positivo</t>
        </is>
      </c>
      <c r="F597" s="107" t="n">
        <v>45291</v>
      </c>
      <c r="G597" s="15" t="n">
        <v>2023</v>
      </c>
      <c r="H597" s="6" t="inlineStr">
        <is>
          <t>Diciembre</t>
        </is>
      </c>
      <c r="I597" s="6" t="inlineStr">
        <is>
          <t>2023-2</t>
        </is>
      </c>
      <c r="J597" s="5" t="n"/>
      <c r="K597" s="5" t="n">
        <v>83.91608391608392</v>
      </c>
      <c r="L597" s="14" t="n"/>
      <c r="M597" s="14" t="n"/>
      <c r="N597" s="5" t="inlineStr">
        <is>
          <t>Linea Base</t>
        </is>
      </c>
      <c r="O597" s="5" t="inlineStr">
        <is>
          <t>%</t>
        </is>
      </c>
      <c r="P597" s="5" t="n">
        <v>0</v>
      </c>
      <c r="Q597" s="5" t="n">
        <v>0</v>
      </c>
      <c r="R597" s="5" t="inlineStr">
        <is>
          <t>346-2023-12-31</t>
        </is>
      </c>
    </row>
    <row r="598">
      <c r="A598" s="5" t="n">
        <v>346</v>
      </c>
      <c r="B598" s="5" t="inlineStr">
        <is>
          <t>% de profesores impactados en actividades de Bienestar</t>
        </is>
      </c>
      <c r="C598" s="5" t="inlineStr">
        <is>
          <t>GESTIÓN Y DESARROLLO DEL TALENTO HUMANO</t>
        </is>
      </c>
      <c r="D598" s="13" t="inlineStr">
        <is>
          <t>Anual</t>
        </is>
      </c>
      <c r="E598" s="5" t="inlineStr">
        <is>
          <t>Positivo</t>
        </is>
      </c>
      <c r="F598" s="107" t="n">
        <v>45657</v>
      </c>
      <c r="G598" s="15" t="n">
        <v>2024</v>
      </c>
      <c r="H598" s="6" t="inlineStr">
        <is>
          <t>Diciembre</t>
        </is>
      </c>
      <c r="I598" s="6" t="inlineStr">
        <is>
          <t>2024-2</t>
        </is>
      </c>
      <c r="J598" s="5" t="n">
        <v>85</v>
      </c>
      <c r="K598" s="5" t="n">
        <v>91.88</v>
      </c>
      <c r="L598" s="14">
        <f>IFERROR(IF(OR(J598=0,K598=""),"",IF(E598="Positivo",MIN(MAX(K598/J598,0),1.3),MIN(MAX(J598/K598,0),1.3))),"") </f>
        <v/>
      </c>
      <c r="M598" s="14">
        <f>IFERROR(IF(OR(J598=0,K598=""),"",IF(E598="Positivo",MAX(K598/J598,0),MAX(J598/K598,0))),"") </f>
        <v/>
      </c>
      <c r="N598" s="5" t="inlineStr">
        <is>
          <t>Linea Base</t>
        </is>
      </c>
      <c r="O598" s="5" t="inlineStr">
        <is>
          <t>%</t>
        </is>
      </c>
      <c r="P598" s="5" t="n">
        <v>0</v>
      </c>
      <c r="Q598" s="5" t="n">
        <v>0</v>
      </c>
      <c r="R598" s="5" t="inlineStr">
        <is>
          <t>346-2024-12-31</t>
        </is>
      </c>
    </row>
    <row r="599">
      <c r="A599" s="5" t="n">
        <v>346</v>
      </c>
      <c r="B599" s="5" t="inlineStr">
        <is>
          <t>% de profesores impactados en actividades de Bienestar</t>
        </is>
      </c>
      <c r="C599" s="5" t="inlineStr">
        <is>
          <t>GESTIÓN Y DESARROLLO DEL TALENTO HUMANO</t>
        </is>
      </c>
      <c r="D599" s="13" t="inlineStr">
        <is>
          <t>Anual</t>
        </is>
      </c>
      <c r="E599" s="5" t="inlineStr">
        <is>
          <t>Positivo</t>
        </is>
      </c>
      <c r="F599" s="107" t="n">
        <v>46022</v>
      </c>
      <c r="G599" s="15" t="n">
        <v>2025</v>
      </c>
      <c r="H599" s="6" t="inlineStr">
        <is>
          <t>Diciembre</t>
        </is>
      </c>
      <c r="I599" s="6" t="inlineStr">
        <is>
          <t>2025-2</t>
        </is>
      </c>
      <c r="J599" s="5" t="n">
        <v>85</v>
      </c>
      <c r="K599" s="5" t="n">
        <v>97.28</v>
      </c>
      <c r="L599" s="14">
        <f>IFERROR(IF(OR(J599=0,K599=""),"",IF(E599="Positivo",MIN(MAX(K599/J599,0),1.3),MIN(MAX(J599/K599,0),1.3))),"") </f>
        <v/>
      </c>
      <c r="M599" s="14">
        <f>IFERROR(IF(OR(J599=0,K599=""),"",IF(E599="Positivo",MAX(K599/J599,0),MAX(J599/K599,0))),"") </f>
        <v/>
      </c>
      <c r="N599" s="5" t="inlineStr">
        <is>
          <t>Linea Base</t>
        </is>
      </c>
      <c r="O599" s="5" t="inlineStr">
        <is>
          <t>%</t>
        </is>
      </c>
      <c r="P599" s="5" t="n">
        <v>0</v>
      </c>
      <c r="Q599" s="5" t="n">
        <v>0</v>
      </c>
      <c r="R599" s="5" t="inlineStr">
        <is>
          <t>346-2025-12-31</t>
        </is>
      </c>
    </row>
    <row r="600">
      <c r="A600" s="5" t="n">
        <v>347</v>
      </c>
      <c r="B600" s="5" t="inlineStr">
        <is>
          <t>Legalizaciones y anticipos</t>
        </is>
      </c>
      <c r="C600" s="5" t="inlineStr">
        <is>
          <t>Contabilidad</t>
        </is>
      </c>
      <c r="D600" s="13" t="inlineStr">
        <is>
          <t>Trimestral</t>
        </is>
      </c>
      <c r="E600" s="5" t="inlineStr">
        <is>
          <t>Negativo</t>
        </is>
      </c>
      <c r="F600" s="107" t="n">
        <v>45291</v>
      </c>
      <c r="G600" s="15" t="n">
        <v>2023</v>
      </c>
      <c r="H600" s="6" t="inlineStr">
        <is>
          <t>Diciembre</t>
        </is>
      </c>
      <c r="I600" s="6" t="inlineStr">
        <is>
          <t>2023-2</t>
        </is>
      </c>
      <c r="J600" s="5" t="n">
        <v>0</v>
      </c>
      <c r="K600" s="5" t="n">
        <v>6.75</v>
      </c>
      <c r="L600" s="14">
        <f>IFERROR(IF(OR(J600=0,K600=""),"",IF(E600="Positivo",MIN(MAX(K600/J600,0),1.3),MIN(MAX(J600/K600,0),1.3))),"") </f>
        <v/>
      </c>
      <c r="M600" s="14">
        <f>IFERROR(IF(OR(J600=0,K600=""),"",IF(E600="Positivo",MAX(K600/J600,0),MAX(J600/K600,0))),"") </f>
        <v/>
      </c>
      <c r="N600" s="5" t="inlineStr">
        <is>
          <t>ENT</t>
        </is>
      </c>
      <c r="O600" s="5" t="inlineStr">
        <is>
          <t>ENT</t>
        </is>
      </c>
      <c r="P600" s="5" t="n">
        <v>0</v>
      </c>
      <c r="Q600" s="5" t="n">
        <v>0</v>
      </c>
      <c r="R600" s="5" t="inlineStr">
        <is>
          <t>347-2023-12-31</t>
        </is>
      </c>
    </row>
    <row r="601">
      <c r="A601" s="5" t="n">
        <v>347</v>
      </c>
      <c r="B601" s="5" t="inlineStr">
        <is>
          <t>Legalizaciones y anticipos</t>
        </is>
      </c>
      <c r="C601" s="5" t="inlineStr">
        <is>
          <t>Contabilidad</t>
        </is>
      </c>
      <c r="D601" s="13" t="inlineStr">
        <is>
          <t>Trimestral</t>
        </is>
      </c>
      <c r="E601" s="5" t="inlineStr">
        <is>
          <t>Negativo</t>
        </is>
      </c>
      <c r="F601" s="107" t="n">
        <v>45657</v>
      </c>
      <c r="G601" s="15" t="n">
        <v>2024</v>
      </c>
      <c r="H601" s="6" t="inlineStr">
        <is>
          <t>Diciembre</t>
        </is>
      </c>
      <c r="I601" s="6" t="inlineStr">
        <is>
          <t>2024-2</t>
        </is>
      </c>
      <c r="J601" s="5" t="n">
        <v>5</v>
      </c>
      <c r="K601" s="5" t="n">
        <v>0.75</v>
      </c>
      <c r="L601" s="14">
        <f>IFERROR(IF(OR(J601=0,K601=""),"",IF(E601="Positivo",MIN(MAX(K601/J601,0),1.3),MIN(MAX(J601/K601,0),1.3))),"") </f>
        <v/>
      </c>
      <c r="M601" s="14">
        <f>IFERROR(IF(OR(J601=0,K601=""),"",IF(E601="Positivo",MAX(K601/J601,0),MAX(J601/K601,0))),"") </f>
        <v/>
      </c>
      <c r="N601" s="5" t="inlineStr">
        <is>
          <t>ENT</t>
        </is>
      </c>
      <c r="O601" s="5" t="inlineStr">
        <is>
          <t>ENT</t>
        </is>
      </c>
      <c r="P601" s="5" t="n">
        <v>0</v>
      </c>
      <c r="Q601" s="5" t="n">
        <v>0</v>
      </c>
      <c r="R601" s="5" t="inlineStr">
        <is>
          <t>347-2024-12-31</t>
        </is>
      </c>
    </row>
    <row r="602">
      <c r="A602" s="5" t="n">
        <v>347</v>
      </c>
      <c r="B602" s="5" t="inlineStr">
        <is>
          <t>Legalizaciones y anticipos</t>
        </is>
      </c>
      <c r="C602" s="5" t="inlineStr">
        <is>
          <t>Contabilidad</t>
        </is>
      </c>
      <c r="D602" s="13" t="inlineStr">
        <is>
          <t>Semestral</t>
        </is>
      </c>
      <c r="E602" s="5" t="inlineStr">
        <is>
          <t>Negativo</t>
        </is>
      </c>
      <c r="F602" s="107" t="n">
        <v>46022</v>
      </c>
      <c r="G602" s="15" t="n">
        <v>2025</v>
      </c>
      <c r="H602" s="6" t="inlineStr">
        <is>
          <t>Diciembre</t>
        </is>
      </c>
      <c r="I602" s="6" t="inlineStr">
        <is>
          <t>2025-2</t>
        </is>
      </c>
      <c r="J602" s="5" t="n">
        <v>5</v>
      </c>
      <c r="K602" s="5" t="n">
        <v>2.25</v>
      </c>
      <c r="L602" s="14">
        <f>IFERROR(IF(OR(J602=0,K602=""),"",IF(E602="Positivo",MIN(MAX(K602/J602,0),1.3),MIN(MAX(J602/K602,0),1.3))),"") </f>
        <v/>
      </c>
      <c r="M602" s="14">
        <f>IFERROR(IF(OR(J602=0,K602=""),"",IF(E602="Positivo",MAX(K602/J602,0),MAX(J602/K602,0))),"") </f>
        <v/>
      </c>
      <c r="N602" s="5" t="inlineStr">
        <is>
          <t>ENT</t>
        </is>
      </c>
      <c r="O602" s="5" t="inlineStr">
        <is>
          <t>ENT</t>
        </is>
      </c>
      <c r="P602" s="5" t="n">
        <v>0</v>
      </c>
      <c r="Q602" s="5" t="n">
        <v>0</v>
      </c>
      <c r="R602" s="5" t="inlineStr">
        <is>
          <t>347-2025-12-31</t>
        </is>
      </c>
    </row>
    <row r="603">
      <c r="A603" s="5" t="n">
        <v>348</v>
      </c>
      <c r="B603" s="5" t="inlineStr">
        <is>
          <t>Cuentas por pagar</t>
        </is>
      </c>
      <c r="C603" s="5" t="inlineStr">
        <is>
          <t>Contabilidad</t>
        </is>
      </c>
      <c r="D603" s="13" t="inlineStr">
        <is>
          <t>Trimestral</t>
        </is>
      </c>
      <c r="E603" s="5" t="inlineStr">
        <is>
          <t>Positivo</t>
        </is>
      </c>
      <c r="F603" s="107" t="n">
        <v>45291</v>
      </c>
      <c r="G603" s="15" t="n">
        <v>2023</v>
      </c>
      <c r="H603" s="6" t="inlineStr">
        <is>
          <t>Diciembre</t>
        </is>
      </c>
      <c r="I603" s="6" t="inlineStr">
        <is>
          <t>2023-2</t>
        </is>
      </c>
      <c r="J603" s="5" t="n">
        <v>99</v>
      </c>
      <c r="K603" s="5" t="n">
        <v>99.908847789973</v>
      </c>
      <c r="L603" s="14">
        <f>IFERROR(IF(OR(J603=0,K603=""),"",IF(E603="Positivo",MIN(MAX(K603/J603,0),1.3),MIN(MAX(J603/K603,0),1.3))),"") </f>
        <v/>
      </c>
      <c r="M603" s="14">
        <f>IFERROR(IF(OR(J603=0,K603=""),"",IF(E603="Positivo",MAX(K603/J603,0),MAX(J603/K603,0))),"") </f>
        <v/>
      </c>
      <c r="N603" s="5" t="inlineStr">
        <is>
          <t>%</t>
        </is>
      </c>
      <c r="O603" s="5" t="inlineStr">
        <is>
          <t>%</t>
        </is>
      </c>
      <c r="P603" s="5" t="n">
        <v>1</v>
      </c>
      <c r="Q603" s="5" t="n">
        <v>0</v>
      </c>
      <c r="R603" s="5" t="inlineStr">
        <is>
          <t>348-2023-12-31</t>
        </is>
      </c>
    </row>
    <row r="604">
      <c r="A604" s="5" t="n">
        <v>348</v>
      </c>
      <c r="B604" s="5" t="inlineStr">
        <is>
          <t>Cuentas por pagar</t>
        </is>
      </c>
      <c r="C604" s="5" t="inlineStr">
        <is>
          <t>Contabilidad</t>
        </is>
      </c>
      <c r="D604" s="13" t="inlineStr">
        <is>
          <t>Trimestral</t>
        </is>
      </c>
      <c r="E604" s="5" t="inlineStr">
        <is>
          <t>Positivo</t>
        </is>
      </c>
      <c r="F604" s="107" t="n">
        <v>45657</v>
      </c>
      <c r="G604" s="15" t="n">
        <v>2024</v>
      </c>
      <c r="H604" s="6" t="inlineStr">
        <is>
          <t>Diciembre</t>
        </is>
      </c>
      <c r="I604" s="6" t="inlineStr">
        <is>
          <t>2024-2</t>
        </is>
      </c>
      <c r="J604" s="5" t="n">
        <v>99</v>
      </c>
      <c r="K604" s="5" t="n">
        <v>99.96250000000001</v>
      </c>
      <c r="L604" s="14">
        <f>IFERROR(IF(OR(J604=0,K604=""),"",IF(E604="Positivo",MIN(MAX(K604/J604,0),1.3),MIN(MAX(J604/K604,0),1.3))),"") </f>
        <v/>
      </c>
      <c r="M604" s="14">
        <f>IFERROR(IF(OR(J604=0,K604=""),"",IF(E604="Positivo",MAX(K604/J604,0),MAX(J604/K604,0))),"") </f>
        <v/>
      </c>
      <c r="N604" s="5" t="inlineStr">
        <is>
          <t>%</t>
        </is>
      </c>
      <c r="O604" s="5" t="inlineStr">
        <is>
          <t>%</t>
        </is>
      </c>
      <c r="P604" s="5" t="n">
        <v>1</v>
      </c>
      <c r="Q604" s="5" t="n">
        <v>0</v>
      </c>
      <c r="R604" s="5" t="inlineStr">
        <is>
          <t>348-2024-12-31</t>
        </is>
      </c>
    </row>
    <row r="605">
      <c r="A605" s="5" t="n">
        <v>348</v>
      </c>
      <c r="B605" s="5" t="inlineStr">
        <is>
          <t>Cuentas por pagar</t>
        </is>
      </c>
      <c r="C605" s="5" t="inlineStr">
        <is>
          <t>Contabilidad</t>
        </is>
      </c>
      <c r="D605" s="13" t="inlineStr">
        <is>
          <t>Semestral</t>
        </is>
      </c>
      <c r="E605" s="5" t="inlineStr">
        <is>
          <t>Positivo</t>
        </is>
      </c>
      <c r="F605" s="107" t="n">
        <v>46022</v>
      </c>
      <c r="G605" s="15" t="n">
        <v>2025</v>
      </c>
      <c r="H605" s="6" t="inlineStr">
        <is>
          <t>Diciembre</t>
        </is>
      </c>
      <c r="I605" s="6" t="inlineStr">
        <is>
          <t>2025-2</t>
        </is>
      </c>
      <c r="J605" s="5" t="n">
        <v>99</v>
      </c>
      <c r="K605" s="5" t="n">
        <v>100</v>
      </c>
      <c r="L605" s="14">
        <f>IFERROR(IF(OR(J605=0,K605=""),"",IF(E605="Positivo",MIN(MAX(K605/J605,0),1.3),MIN(MAX(J605/K605,0),1.3))),"") </f>
        <v/>
      </c>
      <c r="M605" s="14">
        <f>IFERROR(IF(OR(J605=0,K605=""),"",IF(E605="Positivo",MAX(K605/J605,0),MAX(J605/K605,0))),"") </f>
        <v/>
      </c>
      <c r="N605" s="5" t="inlineStr">
        <is>
          <t>%</t>
        </is>
      </c>
      <c r="O605" s="5" t="inlineStr">
        <is>
          <t>%</t>
        </is>
      </c>
      <c r="P605" s="5" t="n">
        <v>0</v>
      </c>
      <c r="Q605" s="5" t="n">
        <v>0</v>
      </c>
      <c r="R605" s="5" t="inlineStr">
        <is>
          <t>348-2025-12-31</t>
        </is>
      </c>
    </row>
    <row r="606">
      <c r="A606" s="5" t="n">
        <v>349</v>
      </c>
      <c r="B606" s="5" t="inlineStr">
        <is>
          <t>Número de redes de investigación</t>
        </is>
      </c>
      <c r="C606" s="5" t="inlineStr">
        <is>
          <t>Investigación, desarrollo tecnológico, innovación y creación</t>
        </is>
      </c>
      <c r="D606" s="13" t="inlineStr">
        <is>
          <t>Anual</t>
        </is>
      </c>
      <c r="E606" s="5" t="inlineStr">
        <is>
          <t>Positivo</t>
        </is>
      </c>
      <c r="F606" s="107" t="n">
        <v>45291</v>
      </c>
      <c r="G606" s="15" t="n">
        <v>2023</v>
      </c>
      <c r="H606" s="6" t="inlineStr">
        <is>
          <t>Diciembre</t>
        </is>
      </c>
      <c r="I606" s="6" t="inlineStr">
        <is>
          <t>2023-2</t>
        </is>
      </c>
      <c r="J606" s="5" t="n"/>
      <c r="K606" s="5" t="n"/>
      <c r="L606" s="14" t="n"/>
      <c r="M606" s="14" t="n"/>
      <c r="N606" s="5" t="inlineStr">
        <is>
          <t>ENT</t>
        </is>
      </c>
      <c r="O606" s="5" t="inlineStr">
        <is>
          <t>DEC</t>
        </is>
      </c>
      <c r="P606" s="5" t="n">
        <v>0</v>
      </c>
      <c r="Q606" s="5" t="n">
        <v>0</v>
      </c>
      <c r="R606" s="5" t="inlineStr">
        <is>
          <t>349-2023-12-31</t>
        </is>
      </c>
    </row>
    <row r="607">
      <c r="A607" s="5" t="n">
        <v>350</v>
      </c>
      <c r="B607" s="5" t="inlineStr">
        <is>
          <t>Centros de investigación, ciencia y de apoyo a CTI en consolidación</t>
        </is>
      </c>
      <c r="C607" s="5" t="inlineStr">
        <is>
          <t>Investigación, desarrollo tecnológico, innovación y creación</t>
        </is>
      </c>
      <c r="D607" s="13" t="inlineStr">
        <is>
          <t>Anual</t>
        </is>
      </c>
      <c r="E607" s="5" t="inlineStr">
        <is>
          <t>Positivo</t>
        </is>
      </c>
      <c r="F607" s="107" t="n">
        <v>45291</v>
      </c>
      <c r="G607" s="15" t="n">
        <v>2023</v>
      </c>
      <c r="H607" s="6" t="inlineStr">
        <is>
          <t>Diciembre</t>
        </is>
      </c>
      <c r="I607" s="6" t="inlineStr">
        <is>
          <t>2023-2</t>
        </is>
      </c>
      <c r="J607" s="5" t="n"/>
      <c r="K607" s="5" t="n"/>
      <c r="L607" s="14" t="n"/>
      <c r="M607" s="14" t="n"/>
      <c r="N607" s="5" t="inlineStr">
        <is>
          <t>ENT</t>
        </is>
      </c>
      <c r="O607" s="5" t="inlineStr">
        <is>
          <t>DEC</t>
        </is>
      </c>
      <c r="P607" s="5" t="n">
        <v>0</v>
      </c>
      <c r="Q607" s="5" t="n">
        <v>0</v>
      </c>
      <c r="R607" s="5" t="inlineStr">
        <is>
          <t>350-2023-12-31</t>
        </is>
      </c>
    </row>
    <row r="608">
      <c r="A608" s="5" t="n">
        <v>351</v>
      </c>
      <c r="B608" s="5" t="inlineStr">
        <is>
          <t>Partidas conciliatorias de bancos</t>
        </is>
      </c>
      <c r="C608" s="5" t="inlineStr">
        <is>
          <t>Contabilidad</t>
        </is>
      </c>
      <c r="D608" s="13" t="inlineStr">
        <is>
          <t>Trimestral</t>
        </is>
      </c>
      <c r="E608" s="5" t="inlineStr">
        <is>
          <t>Negativo</t>
        </is>
      </c>
      <c r="F608" s="107" t="n">
        <v>45291</v>
      </c>
      <c r="G608" s="15" t="n">
        <v>2023</v>
      </c>
      <c r="H608" s="6" t="inlineStr">
        <is>
          <t>Diciembre</t>
        </is>
      </c>
      <c r="I608" s="6" t="inlineStr">
        <is>
          <t>2023-2</t>
        </is>
      </c>
      <c r="J608" s="5" t="n">
        <v>0</v>
      </c>
      <c r="K608" s="5" t="n">
        <v>8.373582070494432</v>
      </c>
      <c r="L608" s="14">
        <f>IFERROR(IF(OR(J608=0,K608=""),"",IF(E608="Positivo",MIN(MAX(K608/J608,0),1.3),MIN(MAX(J608/K608,0),1.3))),"") </f>
        <v/>
      </c>
      <c r="M608" s="14">
        <f>IFERROR(IF(OR(J608=0,K608=""),"",IF(E608="Positivo",MAX(K608/J608,0),MAX(J608/K608,0))),"") </f>
        <v/>
      </c>
      <c r="N608" s="5" t="inlineStr">
        <is>
          <t>ENT</t>
        </is>
      </c>
      <c r="O608" s="5" t="inlineStr">
        <is>
          <t>DEC</t>
        </is>
      </c>
      <c r="P608" s="5" t="n">
        <v>0</v>
      </c>
      <c r="Q608" s="5" t="n">
        <v>1</v>
      </c>
      <c r="R608" s="5" t="inlineStr">
        <is>
          <t>351-2023-12-31</t>
        </is>
      </c>
    </row>
    <row r="609">
      <c r="A609" s="5" t="n">
        <v>351</v>
      </c>
      <c r="B609" s="5" t="inlineStr">
        <is>
          <t>Partidas conciliatorias de bancos</t>
        </is>
      </c>
      <c r="C609" s="5" t="inlineStr">
        <is>
          <t>Contabilidad</t>
        </is>
      </c>
      <c r="D609" s="13" t="inlineStr">
        <is>
          <t>Trimestral</t>
        </is>
      </c>
      <c r="E609" s="5" t="inlineStr">
        <is>
          <t>Negativo</t>
        </is>
      </c>
      <c r="F609" s="107" t="n">
        <v>45657</v>
      </c>
      <c r="G609" s="15" t="n">
        <v>2024</v>
      </c>
      <c r="H609" s="6" t="inlineStr">
        <is>
          <t>Diciembre</t>
        </is>
      </c>
      <c r="I609" s="6" t="inlineStr">
        <is>
          <t>2024-2</t>
        </is>
      </c>
      <c r="J609" s="5" t="n">
        <v>0</v>
      </c>
      <c r="K609" s="5" t="n">
        <v>5.551689405242506</v>
      </c>
      <c r="L609" s="14">
        <f>IFERROR(IF(OR(J609=0,K609=""),"",IF(E609="Positivo",MIN(MAX(K609/J609,0),1.3),MIN(MAX(J609/K609,0),1.3))),"") </f>
        <v/>
      </c>
      <c r="M609" s="14">
        <f>IFERROR(IF(OR(J609=0,K609=""),"",IF(E609="Positivo",MAX(K609/J609,0),MAX(J609/K609,0))),"") </f>
        <v/>
      </c>
      <c r="N609" s="5" t="inlineStr">
        <is>
          <t>ENT</t>
        </is>
      </c>
      <c r="O609" s="5" t="inlineStr">
        <is>
          <t>DEC</t>
        </is>
      </c>
      <c r="P609" s="5" t="n">
        <v>0</v>
      </c>
      <c r="Q609" s="5" t="n">
        <v>1</v>
      </c>
      <c r="R609" s="5" t="inlineStr">
        <is>
          <t>351-2024-12-31</t>
        </is>
      </c>
    </row>
    <row r="610">
      <c r="A610" s="5" t="n">
        <v>351</v>
      </c>
      <c r="B610" s="5" t="inlineStr">
        <is>
          <t>Partidas conciliatorias de bancos</t>
        </is>
      </c>
      <c r="C610" s="5" t="inlineStr">
        <is>
          <t>Contabilidad</t>
        </is>
      </c>
      <c r="D610" s="13" t="inlineStr">
        <is>
          <t>Semestral</t>
        </is>
      </c>
      <c r="E610" s="5" t="inlineStr">
        <is>
          <t>Negativo</t>
        </is>
      </c>
      <c r="F610" s="107" t="n">
        <v>45930</v>
      </c>
      <c r="G610" s="15" t="n">
        <v>2025</v>
      </c>
      <c r="H610" s="6" t="inlineStr">
        <is>
          <t>Septiembre</t>
        </is>
      </c>
      <c r="I610" s="6" t="inlineStr">
        <is>
          <t>2025-2</t>
        </is>
      </c>
      <c r="J610" s="5" t="n">
        <v>0</v>
      </c>
      <c r="K610" s="5" t="n">
        <v>0.46</v>
      </c>
      <c r="L610" s="14">
        <f>IFERROR(IF(OR(J610=0,K610=""),"",IF(E610="Positivo",MIN(MAX(K610/J610,0),1.3),MIN(MAX(J610/K610,0),1.3))),"") </f>
        <v/>
      </c>
      <c r="M610" s="14">
        <f>IFERROR(IF(OR(J610=0,K610=""),"",IF(E610="Positivo",MAX(K610/J610,0),MAX(J610/K610,0))),"") </f>
        <v/>
      </c>
      <c r="N610" s="5" t="inlineStr">
        <is>
          <t>ENT</t>
        </is>
      </c>
      <c r="O610" s="5" t="inlineStr">
        <is>
          <t>DEC</t>
        </is>
      </c>
      <c r="P610" s="5" t="n">
        <v>0</v>
      </c>
      <c r="Q610" s="5" t="n">
        <v>1</v>
      </c>
      <c r="R610" s="5" t="inlineStr">
        <is>
          <t>351-2025-09-30</t>
        </is>
      </c>
    </row>
    <row r="611">
      <c r="A611" s="5" t="n">
        <v>352</v>
      </c>
      <c r="B611" s="5" t="inlineStr">
        <is>
          <t>Nivel de facturas generadas con error</t>
        </is>
      </c>
      <c r="C611" s="5" t="inlineStr">
        <is>
          <t>Contabilidad</t>
        </is>
      </c>
      <c r="D611" s="13" t="inlineStr">
        <is>
          <t>Trimestral</t>
        </is>
      </c>
      <c r="E611" s="5" t="inlineStr">
        <is>
          <t>Negativo</t>
        </is>
      </c>
      <c r="F611" s="107" t="n">
        <v>45291</v>
      </c>
      <c r="G611" s="15" t="n">
        <v>2023</v>
      </c>
      <c r="H611" s="6" t="inlineStr">
        <is>
          <t>Diciembre</t>
        </is>
      </c>
      <c r="I611" s="6" t="inlineStr">
        <is>
          <t>2023-2</t>
        </is>
      </c>
      <c r="J611" s="5" t="n">
        <v>0</v>
      </c>
      <c r="K611" s="5" t="n">
        <v>0.08661974028696783</v>
      </c>
      <c r="L611" s="14">
        <f>IFERROR(IF(OR(J611=0,K611=""),"",IF(E611="Positivo",MIN(MAX(K611/J611,0),1.3),MIN(MAX(J611/K611,0),1.3))),"") </f>
        <v/>
      </c>
      <c r="M611" s="14">
        <f>IFERROR(IF(OR(J611=0,K611=""),"",IF(E611="Positivo",MAX(K611/J611,0),MAX(J611/K611,0))),"") </f>
        <v/>
      </c>
      <c r="N611" s="5" t="inlineStr">
        <is>
          <t>%</t>
        </is>
      </c>
      <c r="O611" s="5" t="inlineStr">
        <is>
          <t>%</t>
        </is>
      </c>
      <c r="P611" s="5" t="n">
        <v>0</v>
      </c>
      <c r="Q611" s="5" t="n">
        <v>2</v>
      </c>
      <c r="R611" s="5" t="inlineStr">
        <is>
          <t>352-2023-12-31</t>
        </is>
      </c>
    </row>
    <row r="612">
      <c r="A612" s="5" t="n">
        <v>352</v>
      </c>
      <c r="B612" s="5" t="inlineStr">
        <is>
          <t>Nivel de facturas generadas con error</t>
        </is>
      </c>
      <c r="C612" s="5" t="inlineStr">
        <is>
          <t>Contabilidad</t>
        </is>
      </c>
      <c r="D612" s="13" t="inlineStr">
        <is>
          <t>Trimestral</t>
        </is>
      </c>
      <c r="E612" s="5" t="inlineStr">
        <is>
          <t>Negativo</t>
        </is>
      </c>
      <c r="F612" s="107" t="n">
        <v>45657</v>
      </c>
      <c r="G612" s="15" t="n">
        <v>2024</v>
      </c>
      <c r="H612" s="6" t="inlineStr">
        <is>
          <t>Diciembre</t>
        </is>
      </c>
      <c r="I612" s="6" t="inlineStr">
        <is>
          <t>2024-2</t>
        </is>
      </c>
      <c r="J612" s="5" t="n">
        <v>0</v>
      </c>
      <c r="K612" s="5" t="n">
        <v>0.04354213650011303</v>
      </c>
      <c r="L612" s="14">
        <f>IFERROR(IF(OR(J612=0,K612=""),"",IF(E612="Positivo",MIN(MAX(K612/J612,0),1.3),MIN(MAX(J612/K612,0),1.3))),"") </f>
        <v/>
      </c>
      <c r="M612" s="14">
        <f>IFERROR(IF(OR(J612=0,K612=""),"",IF(E612="Positivo",MAX(K612/J612,0),MAX(J612/K612,0))),"") </f>
        <v/>
      </c>
      <c r="N612" s="5" t="inlineStr">
        <is>
          <t>%</t>
        </is>
      </c>
      <c r="O612" s="5" t="inlineStr">
        <is>
          <t>%</t>
        </is>
      </c>
      <c r="P612" s="5" t="n">
        <v>0</v>
      </c>
      <c r="Q612" s="5" t="n">
        <v>2</v>
      </c>
      <c r="R612" s="5" t="inlineStr">
        <is>
          <t>352-2024-12-31</t>
        </is>
      </c>
    </row>
    <row r="613">
      <c r="A613" s="5" t="n">
        <v>352</v>
      </c>
      <c r="B613" s="5" t="inlineStr">
        <is>
          <t>Nivel de facturas generadas con error</t>
        </is>
      </c>
      <c r="C613" s="5" t="inlineStr">
        <is>
          <t>Contabilidad</t>
        </is>
      </c>
      <c r="D613" s="13" t="inlineStr">
        <is>
          <t>Semestral</t>
        </is>
      </c>
      <c r="E613" s="5" t="inlineStr">
        <is>
          <t>Negativo</t>
        </is>
      </c>
      <c r="F613" s="107" t="n">
        <v>45930</v>
      </c>
      <c r="G613" s="15" t="n">
        <v>2025</v>
      </c>
      <c r="H613" s="6" t="inlineStr">
        <is>
          <t>Septiembre</t>
        </is>
      </c>
      <c r="I613" s="6" t="inlineStr">
        <is>
          <t>2025-2</t>
        </is>
      </c>
      <c r="J613" s="5" t="n">
        <v>0</v>
      </c>
      <c r="K613" s="5" t="n">
        <v>0.006666666666666667</v>
      </c>
      <c r="L613" s="14">
        <f>IFERROR(IF(OR(J613=0,K613=""),"",IF(E613="Positivo",MIN(MAX(K613/J613,0),1.3),MIN(MAX(J613/K613,0),1.3))),"") </f>
        <v/>
      </c>
      <c r="M613" s="14">
        <f>IFERROR(IF(OR(J613=0,K613=""),"",IF(E613="Positivo",MAX(K613/J613,0),MAX(J613/K613,0))),"") </f>
        <v/>
      </c>
      <c r="N613" s="5" t="inlineStr">
        <is>
          <t>%</t>
        </is>
      </c>
      <c r="O613" s="5" t="inlineStr">
        <is>
          <t>%</t>
        </is>
      </c>
      <c r="P613" s="5" t="n">
        <v>0</v>
      </c>
      <c r="Q613" s="5" t="n">
        <v>2</v>
      </c>
      <c r="R613" s="5" t="inlineStr">
        <is>
          <t>352-2025-09-30</t>
        </is>
      </c>
    </row>
    <row r="614">
      <c r="A614" s="5" t="n">
        <v>353</v>
      </c>
      <c r="B614" s="5" t="inlineStr">
        <is>
          <t>Cobertura de tableros BI en procesos</t>
        </is>
      </c>
      <c r="C614" s="5" t="inlineStr">
        <is>
          <t>DATOS Y ANALÍTICA</t>
        </is>
      </c>
      <c r="D614" s="13" t="inlineStr">
        <is>
          <t>Semestral</t>
        </is>
      </c>
      <c r="E614" s="5" t="inlineStr">
        <is>
          <t>Positivo</t>
        </is>
      </c>
      <c r="F614" s="107" t="n">
        <v>45291</v>
      </c>
      <c r="G614" s="15" t="n">
        <v>2023</v>
      </c>
      <c r="H614" s="6" t="inlineStr">
        <is>
          <t>Diciembre</t>
        </is>
      </c>
      <c r="I614" s="6" t="inlineStr">
        <is>
          <t>2023-2</t>
        </is>
      </c>
      <c r="J614" s="5" t="n">
        <v>35</v>
      </c>
      <c r="K614" s="5" t="n">
        <v>40.3846153846154</v>
      </c>
      <c r="L614" s="14">
        <f>IFERROR(IF(OR(J614=0,K614=""),"",IF(E614="Positivo",MIN(MAX(K614/J614,0),1.3),MIN(MAX(J614/K614,0),1.3))),"") </f>
        <v/>
      </c>
      <c r="M614" s="14">
        <f>IFERROR(IF(OR(J614=0,K614=""),"",IF(E614="Positivo",MAX(K614/J614,0),MAX(J614/K614,0))),"") </f>
        <v/>
      </c>
      <c r="N614" s="5" t="inlineStr">
        <is>
          <t>ENT</t>
        </is>
      </c>
      <c r="O614" s="5" t="inlineStr">
        <is>
          <t>ENT</t>
        </is>
      </c>
      <c r="P614" s="5" t="n">
        <v>1</v>
      </c>
      <c r="Q614" s="5" t="n">
        <v>1</v>
      </c>
      <c r="R614" s="5" t="inlineStr">
        <is>
          <t>353-2023-12-31</t>
        </is>
      </c>
    </row>
    <row r="615">
      <c r="A615" s="5" t="n">
        <v>354</v>
      </c>
      <c r="B615" s="5" t="inlineStr">
        <is>
          <t>Plan de formación en analitica</t>
        </is>
      </c>
      <c r="C615" s="5" t="inlineStr">
        <is>
          <t>DATOS Y ANALÍTICA</t>
        </is>
      </c>
      <c r="D615" s="13" t="inlineStr">
        <is>
          <t>Semestral</t>
        </is>
      </c>
      <c r="E615" s="5" t="inlineStr">
        <is>
          <t>Positivo</t>
        </is>
      </c>
      <c r="F615" s="107" t="n">
        <v>45291</v>
      </c>
      <c r="G615" s="15" t="n">
        <v>2023</v>
      </c>
      <c r="H615" s="6" t="inlineStr">
        <is>
          <t>Diciembre</t>
        </is>
      </c>
      <c r="I615" s="6" t="inlineStr">
        <is>
          <t>2023-2</t>
        </is>
      </c>
      <c r="J615" s="5" t="n">
        <v>10</v>
      </c>
      <c r="K615" s="10" t="n">
        <v>31.77</v>
      </c>
      <c r="L615" s="14">
        <f>IFERROR(IF(OR(J615=0,K615=""),"",IF(E615="Positivo",MIN(MAX(K615/J615,0),1.3),MIN(MAX(J615/K615,0),1.3))),"") </f>
        <v/>
      </c>
      <c r="M615" s="14">
        <f>IFERROR(IF(OR(J615=0,K615=""),"",IF(E615="Positivo",MAX(K615/J615,0),MAX(J615/K615,0))),"") </f>
        <v/>
      </c>
      <c r="N615" s="5" t="inlineStr">
        <is>
          <t>ENT</t>
        </is>
      </c>
      <c r="O615" s="5" t="inlineStr">
        <is>
          <t>DEC</t>
        </is>
      </c>
      <c r="P615" s="5" t="n">
        <v>1</v>
      </c>
      <c r="Q615" s="5" t="n">
        <v>1</v>
      </c>
      <c r="R615" s="5" t="inlineStr">
        <is>
          <t>354-2023-12-31</t>
        </is>
      </c>
    </row>
    <row r="616">
      <c r="A616" s="5" t="n">
        <v>355</v>
      </c>
      <c r="B616" s="5" t="inlineStr">
        <is>
          <t>Indice de liquidez</t>
        </is>
      </c>
      <c r="C616" s="5" t="inlineStr">
        <is>
          <t>Tesorería</t>
        </is>
      </c>
      <c r="D616" s="13" t="inlineStr">
        <is>
          <t>Anual</t>
        </is>
      </c>
      <c r="E616" s="5" t="inlineStr">
        <is>
          <t>Positivo</t>
        </is>
      </c>
      <c r="F616" s="107" t="n">
        <v>45291</v>
      </c>
      <c r="G616" s="15" t="n">
        <v>2023</v>
      </c>
      <c r="H616" s="6" t="inlineStr">
        <is>
          <t>Diciembre</t>
        </is>
      </c>
      <c r="I616" s="6" t="inlineStr">
        <is>
          <t>2023-2</t>
        </is>
      </c>
      <c r="J616" s="5" t="n">
        <v>1</v>
      </c>
      <c r="K616" s="5" t="n">
        <v>1.64916004403234</v>
      </c>
      <c r="L616" s="14">
        <f>IFERROR(IF(OR(J616=0,K616=""),"",IF(E616="Positivo",MIN(MAX(K616/J616,0),1.3),MIN(MAX(J616/K616,0),1.3))),"") </f>
        <v/>
      </c>
      <c r="M616" s="14">
        <f>IFERROR(IF(OR(J616=0,K616=""),"",IF(E616="Positivo",MAX(K616/J616,0),MAX(J616/K616,0))),"") </f>
        <v/>
      </c>
      <c r="N616" s="5" t="inlineStr">
        <is>
          <t>ENT</t>
        </is>
      </c>
      <c r="O616" s="5" t="inlineStr">
        <is>
          <t>DEC</t>
        </is>
      </c>
      <c r="P616" s="5" t="n">
        <v>1</v>
      </c>
      <c r="Q616" s="5" t="n">
        <v>1</v>
      </c>
      <c r="R616" s="5" t="inlineStr">
        <is>
          <t>355-2023-12-31</t>
        </is>
      </c>
    </row>
    <row r="617">
      <c r="A617" s="5" t="n">
        <v>355</v>
      </c>
      <c r="B617" s="5" t="inlineStr">
        <is>
          <t>Indice de liquidez</t>
        </is>
      </c>
      <c r="C617" s="5" t="inlineStr">
        <is>
          <t>Tesorería</t>
        </is>
      </c>
      <c r="D617" s="13" t="inlineStr">
        <is>
          <t>Anual</t>
        </is>
      </c>
      <c r="E617" s="5" t="inlineStr">
        <is>
          <t>Positivo</t>
        </is>
      </c>
      <c r="F617" s="107" t="n">
        <v>45657</v>
      </c>
      <c r="G617" s="15" t="n">
        <v>2024</v>
      </c>
      <c r="H617" s="6" t="inlineStr">
        <is>
          <t>Diciembre</t>
        </is>
      </c>
      <c r="I617" s="6" t="inlineStr">
        <is>
          <t>2024-2</t>
        </is>
      </c>
      <c r="J617" s="5" t="n">
        <v>1.7</v>
      </c>
      <c r="K617" s="5" t="n">
        <v>1.69</v>
      </c>
      <c r="L617" s="14">
        <f>IFERROR(IF(OR(J617=0,K617=""),"",IF(E617="Positivo",MIN(MAX(K617/J617,0),1.3),MIN(MAX(J617/K617,0),1.3))),"") </f>
        <v/>
      </c>
      <c r="M617" s="14">
        <f>IFERROR(IF(OR(J617=0,K617=""),"",IF(E617="Positivo",MAX(K617/J617,0),MAX(J617/K617,0))),"") </f>
        <v/>
      </c>
      <c r="N617" s="5" t="inlineStr">
        <is>
          <t>ENT</t>
        </is>
      </c>
      <c r="O617" s="5" t="inlineStr">
        <is>
          <t>DEC</t>
        </is>
      </c>
      <c r="P617" s="5" t="n">
        <v>1</v>
      </c>
      <c r="Q617" s="5" t="n">
        <v>1</v>
      </c>
      <c r="R617" s="5" t="inlineStr">
        <is>
          <t>355-2024-12-31</t>
        </is>
      </c>
    </row>
    <row r="618">
      <c r="A618" s="5" t="n">
        <v>355</v>
      </c>
      <c r="B618" s="5" t="inlineStr">
        <is>
          <t>Indice de liquidez</t>
        </is>
      </c>
      <c r="C618" s="5" t="inlineStr">
        <is>
          <t>Tesorería</t>
        </is>
      </c>
      <c r="D618" s="13" t="inlineStr">
        <is>
          <t>Anual</t>
        </is>
      </c>
      <c r="E618" s="5" t="inlineStr">
        <is>
          <t>Positivo</t>
        </is>
      </c>
      <c r="F618" s="107" t="n">
        <v>46022</v>
      </c>
      <c r="G618" s="15" t="n">
        <v>2025</v>
      </c>
      <c r="H618" s="6" t="inlineStr">
        <is>
          <t>Diciembre</t>
        </is>
      </c>
      <c r="I618" s="6" t="inlineStr">
        <is>
          <t>2025-2</t>
        </is>
      </c>
      <c r="J618" s="5" t="n">
        <v>1.4</v>
      </c>
      <c r="K618" s="5" t="n">
        <v>1.56</v>
      </c>
      <c r="L618" s="14">
        <f>IFERROR(IF(OR(J618=0,K618=""),"",IF(E618="Positivo",MIN(MAX(K618/J618,0),1.3),MIN(MAX(J618/K618,0),1.3))),"") </f>
        <v/>
      </c>
      <c r="M618" s="14">
        <f>IFERROR(IF(OR(J618=0,K618=""),"",IF(E618="Positivo",MAX(K618/J618,0),MAX(J618/K618,0))),"") </f>
        <v/>
      </c>
      <c r="N618" s="5" t="inlineStr">
        <is>
          <t>ENT</t>
        </is>
      </c>
      <c r="O618" s="5" t="inlineStr">
        <is>
          <t>DEC</t>
        </is>
      </c>
      <c r="P618" s="5" t="n">
        <v>1</v>
      </c>
      <c r="Q618" s="5" t="n">
        <v>1</v>
      </c>
      <c r="R618" s="5" t="inlineStr">
        <is>
          <t>355-2025-12-31</t>
        </is>
      </c>
    </row>
    <row r="619">
      <c r="A619" s="5" t="n">
        <v>356</v>
      </c>
      <c r="B619" s="5" t="inlineStr">
        <is>
          <t>Indice de Endeudamiento</t>
        </is>
      </c>
      <c r="C619" s="5" t="inlineStr">
        <is>
          <t>Tesorería</t>
        </is>
      </c>
      <c r="D619" s="13" t="inlineStr">
        <is>
          <t>Semestral</t>
        </is>
      </c>
      <c r="E619" s="5" t="inlineStr">
        <is>
          <t>Negativo</t>
        </is>
      </c>
      <c r="F619" s="107" t="n">
        <v>45291</v>
      </c>
      <c r="G619" s="15" t="n">
        <v>2023</v>
      </c>
      <c r="H619" s="6" t="inlineStr">
        <is>
          <t>Diciembre</t>
        </is>
      </c>
      <c r="I619" s="6" t="inlineStr">
        <is>
          <t>2023-2</t>
        </is>
      </c>
      <c r="J619" s="5" t="n">
        <v>60</v>
      </c>
      <c r="K619" s="5" t="n">
        <v>55.376980703801</v>
      </c>
      <c r="L619" s="14">
        <f>IFERROR(IF(OR(J619=0,K619=""),"",IF(E619="Positivo",MIN(MAX(K619/J619,0),1.3),MIN(MAX(J619/K619,0),1.3))),"") </f>
        <v/>
      </c>
      <c r="M619" s="14">
        <f>IFERROR(IF(OR(J619=0,K619=""),"",IF(E619="Positivo",MAX(K619/J619,0),MAX(J619/K619,0))),"") </f>
        <v/>
      </c>
      <c r="N619" s="5" t="inlineStr">
        <is>
          <t>%</t>
        </is>
      </c>
      <c r="O619" s="5" t="inlineStr">
        <is>
          <t>%</t>
        </is>
      </c>
      <c r="P619" s="5" t="n">
        <v>0</v>
      </c>
      <c r="Q619" s="5" t="n">
        <v>1</v>
      </c>
      <c r="R619" s="5" t="inlineStr">
        <is>
          <t>356-2023-12-31</t>
        </is>
      </c>
    </row>
    <row r="620">
      <c r="A620" s="5" t="n">
        <v>356</v>
      </c>
      <c r="B620" s="5" t="inlineStr">
        <is>
          <t>Indice de Endeudamiento</t>
        </is>
      </c>
      <c r="C620" s="5" t="inlineStr">
        <is>
          <t>Tesorería</t>
        </is>
      </c>
      <c r="D620" s="13" t="inlineStr">
        <is>
          <t>Semestral</t>
        </is>
      </c>
      <c r="E620" s="5" t="inlineStr">
        <is>
          <t>Negativo</t>
        </is>
      </c>
      <c r="F620" s="107" t="n">
        <v>45657</v>
      </c>
      <c r="G620" s="15" t="n">
        <v>2024</v>
      </c>
      <c r="H620" s="6" t="inlineStr">
        <is>
          <t>Diciembre</t>
        </is>
      </c>
      <c r="I620" s="6" t="inlineStr">
        <is>
          <t>2024-2</t>
        </is>
      </c>
      <c r="J620" s="5" t="n">
        <v>60</v>
      </c>
      <c r="K620" s="5" t="n">
        <v>59.815</v>
      </c>
      <c r="L620" s="14">
        <f>IFERROR(IF(OR(J620=0,K620=""),"",IF(E620="Positivo",MIN(MAX(K620/J620,0),1.3),MIN(MAX(J620/K620,0),1.3))),"") </f>
        <v/>
      </c>
      <c r="M620" s="14">
        <f>IFERROR(IF(OR(J620=0,K620=""),"",IF(E620="Positivo",MAX(K620/J620,0),MAX(J620/K620,0))),"") </f>
        <v/>
      </c>
      <c r="N620" s="5" t="inlineStr">
        <is>
          <t>%</t>
        </is>
      </c>
      <c r="O620" s="5" t="inlineStr">
        <is>
          <t>%</t>
        </is>
      </c>
      <c r="P620" s="5" t="n">
        <v>0</v>
      </c>
      <c r="Q620" s="5" t="n">
        <v>1</v>
      </c>
      <c r="R620" s="5" t="inlineStr">
        <is>
          <t>356-2024-12-31</t>
        </is>
      </c>
    </row>
    <row r="621">
      <c r="A621" s="5" t="n">
        <v>356</v>
      </c>
      <c r="B621" s="5" t="inlineStr">
        <is>
          <t>Indice de Endeudamiento</t>
        </is>
      </c>
      <c r="C621" s="5" t="inlineStr">
        <is>
          <t>Tesorería</t>
        </is>
      </c>
      <c r="D621" s="13" t="inlineStr">
        <is>
          <t>Trimestral</t>
        </is>
      </c>
      <c r="E621" s="5" t="inlineStr">
        <is>
          <t>Negativo</t>
        </is>
      </c>
      <c r="F621" s="107" t="n">
        <v>46022</v>
      </c>
      <c r="G621" s="15" t="n">
        <v>2025</v>
      </c>
      <c r="H621" s="6" t="inlineStr">
        <is>
          <t>Diciembre</t>
        </is>
      </c>
      <c r="I621" s="6" t="inlineStr">
        <is>
          <t>2025-2</t>
        </is>
      </c>
      <c r="J621" s="5" t="n">
        <v>60</v>
      </c>
      <c r="K621" s="5" t="n">
        <v>56.955</v>
      </c>
      <c r="L621" s="14">
        <f>IFERROR(IF(OR(J621=0,K621=""),"",IF(E621="Positivo",MIN(MAX(K621/J621,0),1.3),MIN(MAX(J621/K621,0),1.3))),"") </f>
        <v/>
      </c>
      <c r="M621" s="14">
        <f>IFERROR(IF(OR(J621=0,K621=""),"",IF(E621="Positivo",MAX(K621/J621,0),MAX(J621/K621,0))),"") </f>
        <v/>
      </c>
      <c r="N621" s="5" t="inlineStr">
        <is>
          <t>%</t>
        </is>
      </c>
      <c r="O621" s="5" t="inlineStr">
        <is>
          <t>%</t>
        </is>
      </c>
      <c r="P621" s="5" t="n">
        <v>0</v>
      </c>
      <c r="Q621" s="5" t="n">
        <v>1</v>
      </c>
      <c r="R621" s="5" t="inlineStr">
        <is>
          <t>356-2025-12-31</t>
        </is>
      </c>
    </row>
    <row r="622">
      <c r="A622" s="5" t="n">
        <v>357</v>
      </c>
      <c r="B622" s="5" t="inlineStr">
        <is>
          <t>Cartera</t>
        </is>
      </c>
      <c r="C622" s="5" t="inlineStr">
        <is>
          <t>Tesorería</t>
        </is>
      </c>
      <c r="D622" s="13" t="inlineStr">
        <is>
          <t>Semestral</t>
        </is>
      </c>
      <c r="E622" s="5" t="inlineStr">
        <is>
          <t>Positivo</t>
        </is>
      </c>
      <c r="F622" s="107" t="n">
        <v>45291</v>
      </c>
      <c r="G622" s="15" t="n">
        <v>2023</v>
      </c>
      <c r="H622" s="6" t="inlineStr">
        <is>
          <t>Diciembre</t>
        </is>
      </c>
      <c r="I622" s="6" t="inlineStr">
        <is>
          <t>2023-2</t>
        </is>
      </c>
      <c r="J622" s="5" t="n"/>
      <c r="K622" s="5" t="n">
        <v>4.45</v>
      </c>
      <c r="L622" s="14" t="n"/>
      <c r="M622" s="14" t="n"/>
      <c r="N622" s="5" t="inlineStr">
        <is>
          <t>Metrica</t>
        </is>
      </c>
      <c r="O622" s="5" t="n"/>
      <c r="P622" s="5" t="n">
        <v>0</v>
      </c>
      <c r="Q622" s="5" t="n">
        <v>2</v>
      </c>
      <c r="R622" s="5" t="inlineStr">
        <is>
          <t>357-2023-12-31</t>
        </is>
      </c>
    </row>
    <row r="623">
      <c r="A623" s="5" t="n">
        <v>357</v>
      </c>
      <c r="B623" s="5" t="inlineStr">
        <is>
          <t>Cartera</t>
        </is>
      </c>
      <c r="C623" s="5" t="inlineStr">
        <is>
          <t>Tesorería</t>
        </is>
      </c>
      <c r="D623" s="13" t="inlineStr">
        <is>
          <t>Semestral</t>
        </is>
      </c>
      <c r="E623" s="5" t="inlineStr">
        <is>
          <t>Positivo</t>
        </is>
      </c>
      <c r="F623" s="107" t="n">
        <v>45657</v>
      </c>
      <c r="G623" s="15" t="n">
        <v>2024</v>
      </c>
      <c r="H623" s="6" t="inlineStr">
        <is>
          <t>Diciembre</t>
        </is>
      </c>
      <c r="I623" s="6" t="inlineStr">
        <is>
          <t>2024-2</t>
        </is>
      </c>
      <c r="J623" s="5" t="n"/>
      <c r="K623" s="5" t="n">
        <v>0.51</v>
      </c>
      <c r="L623" s="14" t="n"/>
      <c r="M623" s="14" t="n"/>
      <c r="N623" s="5" t="inlineStr">
        <is>
          <t>Metrica</t>
        </is>
      </c>
      <c r="O623" s="5" t="n"/>
      <c r="P623" s="5" t="n">
        <v>0</v>
      </c>
      <c r="Q623" s="5" t="n">
        <v>2</v>
      </c>
      <c r="R623" s="5" t="inlineStr">
        <is>
          <t>357-2024-12-31</t>
        </is>
      </c>
    </row>
    <row r="624">
      <c r="A624" s="5" t="n">
        <v>357</v>
      </c>
      <c r="B624" s="5" t="inlineStr">
        <is>
          <t>Cartera - Metrica</t>
        </is>
      </c>
      <c r="C624" s="5" t="inlineStr">
        <is>
          <t>Tesorería</t>
        </is>
      </c>
      <c r="D624" s="13" t="inlineStr">
        <is>
          <t>Trimestral</t>
        </is>
      </c>
      <c r="E624" s="5" t="inlineStr">
        <is>
          <t>Positivo</t>
        </is>
      </c>
      <c r="F624" s="107" t="n">
        <v>46022</v>
      </c>
      <c r="G624" s="15" t="n">
        <v>2025</v>
      </c>
      <c r="H624" s="6" t="inlineStr">
        <is>
          <t>Diciembre</t>
        </is>
      </c>
      <c r="I624" s="6" t="inlineStr">
        <is>
          <t>2025-2</t>
        </is>
      </c>
      <c r="J624" s="73" t="n">
        <v>10049277970</v>
      </c>
      <c r="K624" s="9" t="n">
        <v>0.44</v>
      </c>
      <c r="L624" s="14" t="n"/>
      <c r="M624" s="14" t="n"/>
      <c r="N624" s="5" t="inlineStr">
        <is>
          <t>Metrica</t>
        </is>
      </c>
      <c r="O624" s="5" t="n"/>
      <c r="P624" s="5" t="n">
        <v>0</v>
      </c>
      <c r="Q624" s="5" t="n">
        <v>2</v>
      </c>
      <c r="R624" s="5" t="inlineStr">
        <is>
          <t>357-2025-12-31</t>
        </is>
      </c>
      <c r="S624" t="inlineStr">
        <is>
          <t>Metrica</t>
        </is>
      </c>
    </row>
    <row r="625">
      <c r="A625" s="5" t="n">
        <v>358</v>
      </c>
      <c r="B625" s="5" t="inlineStr">
        <is>
          <t>Acompañamiento a estudiantes en practicas</t>
        </is>
      </c>
      <c r="C625" s="5" t="inlineStr">
        <is>
          <t>Prácticas</t>
        </is>
      </c>
      <c r="D625" s="13" t="inlineStr">
        <is>
          <t>Semestral</t>
        </is>
      </c>
      <c r="E625" s="5" t="inlineStr">
        <is>
          <t>Positivo</t>
        </is>
      </c>
      <c r="F625" s="107" t="n">
        <v>45291</v>
      </c>
      <c r="G625" s="15" t="n">
        <v>2023</v>
      </c>
      <c r="H625" s="6" t="inlineStr">
        <is>
          <t>Diciembre</t>
        </is>
      </c>
      <c r="I625" s="6" t="inlineStr">
        <is>
          <t>2023-2</t>
        </is>
      </c>
      <c r="J625" s="5" t="n">
        <v>87</v>
      </c>
      <c r="K625" s="10" t="n">
        <v>90.992268041237</v>
      </c>
      <c r="L625" s="14">
        <f>IFERROR(IF(OR(J625=0,K625=""),"",IF(E625="Positivo",MIN(MAX(K625/J625,0),1.3),MIN(MAX(J625/K625,0),1.3))),"") </f>
        <v/>
      </c>
      <c r="M625" s="14">
        <f>IFERROR(IF(OR(J625=0,K625=""),"",IF(E625="Positivo",MAX(K625/J625,0),MAX(J625/K625,0))),"") </f>
        <v/>
      </c>
      <c r="N625" s="5" t="inlineStr">
        <is>
          <t>%</t>
        </is>
      </c>
      <c r="O625" s="5" t="inlineStr">
        <is>
          <t>%</t>
        </is>
      </c>
      <c r="P625" s="5" t="n">
        <v>0</v>
      </c>
      <c r="Q625" s="5" t="n">
        <v>0</v>
      </c>
      <c r="R625" s="5" t="inlineStr">
        <is>
          <t>358-2023-12-31</t>
        </is>
      </c>
    </row>
    <row r="626">
      <c r="A626" s="5" t="n">
        <v>358</v>
      </c>
      <c r="B626" s="5" t="inlineStr">
        <is>
          <t>Acompañamiento a estudiantes en practicas</t>
        </is>
      </c>
      <c r="C626" s="5" t="inlineStr">
        <is>
          <t>Prácticas</t>
        </is>
      </c>
      <c r="D626" s="13" t="inlineStr">
        <is>
          <t>Semestral</t>
        </is>
      </c>
      <c r="E626" s="5" t="inlineStr">
        <is>
          <t>Positivo</t>
        </is>
      </c>
      <c r="F626" s="107" t="n">
        <v>45657</v>
      </c>
      <c r="G626" s="15" t="n">
        <v>2024</v>
      </c>
      <c r="H626" s="6" t="inlineStr">
        <is>
          <t>Diciembre</t>
        </is>
      </c>
      <c r="I626" s="6" t="inlineStr">
        <is>
          <t>2024-2</t>
        </is>
      </c>
      <c r="J626" s="5" t="n">
        <v>87</v>
      </c>
      <c r="K626" s="5" t="n">
        <v>98.995</v>
      </c>
      <c r="L626" s="14">
        <f>IFERROR(IF(OR(J626=0,K626=""),"",IF(E626="Positivo",MIN(MAX(K626/J626,0),1.3),MIN(MAX(J626/K626,0),1.3))),"") </f>
        <v/>
      </c>
      <c r="M626" s="14">
        <f>IFERROR(IF(OR(J626=0,K626=""),"",IF(E626="Positivo",MAX(K626/J626,0),MAX(J626/K626,0))),"") </f>
        <v/>
      </c>
      <c r="N626" s="5" t="inlineStr">
        <is>
          <t>%</t>
        </is>
      </c>
      <c r="O626" s="5" t="inlineStr">
        <is>
          <t>%</t>
        </is>
      </c>
      <c r="P626" s="5" t="n">
        <v>0</v>
      </c>
      <c r="Q626" s="5" t="n">
        <v>0</v>
      </c>
      <c r="R626" s="5" t="inlineStr">
        <is>
          <t>358-2024-12-31</t>
        </is>
      </c>
    </row>
    <row r="627">
      <c r="A627" s="5" t="n">
        <v>358</v>
      </c>
      <c r="B627" s="5" t="inlineStr">
        <is>
          <t>Nivel de acompañamiento a estudiantes en práctica</t>
        </is>
      </c>
      <c r="C627" s="5" t="inlineStr">
        <is>
          <t>Prácticas</t>
        </is>
      </c>
      <c r="D627" s="13" t="inlineStr">
        <is>
          <t>Trimestral</t>
        </is>
      </c>
      <c r="E627" s="5" t="inlineStr">
        <is>
          <t>Positivo</t>
        </is>
      </c>
      <c r="F627" s="107" t="n">
        <v>46022</v>
      </c>
      <c r="G627" s="5" t="n">
        <v>2025</v>
      </c>
      <c r="H627" s="5" t="inlineStr">
        <is>
          <t>Diciembre</t>
        </is>
      </c>
      <c r="I627" s="6" t="inlineStr">
        <is>
          <t>2025-2</t>
        </is>
      </c>
      <c r="J627" s="5" t="n">
        <v>100</v>
      </c>
      <c r="K627" s="5" t="n">
        <v>100</v>
      </c>
      <c r="L627" s="14">
        <f>IFERROR(IF(OR(J627=0,K627=""),"",IF(E627="Positivo",MIN(MAX(K627/J627,0),1.3),MIN(MAX(J627/K627,0),1.3))),"") </f>
        <v/>
      </c>
      <c r="M627" s="14">
        <f>IFERROR(IF(OR(J627=0,K627=""),"",IF(E627="Positivo",MAX(K627/J627,0),MAX(J627/K627,0))),"") </f>
        <v/>
      </c>
      <c r="N627" s="5" t="inlineStr">
        <is>
          <t>%</t>
        </is>
      </c>
      <c r="O627" s="5" t="inlineStr">
        <is>
          <t>%</t>
        </is>
      </c>
      <c r="P627" s="5" t="n">
        <v>0</v>
      </c>
      <c r="Q627" s="5" t="n">
        <v>0</v>
      </c>
      <c r="R627" s="5" t="inlineStr">
        <is>
          <t>358-2025-12-31</t>
        </is>
      </c>
    </row>
    <row r="628">
      <c r="A628" s="5" t="n">
        <v>359</v>
      </c>
      <c r="B628" s="5" t="inlineStr">
        <is>
          <t>Satisfacción Institucional</t>
        </is>
      </c>
      <c r="C628" s="5" t="inlineStr">
        <is>
          <t>EXPERIENCIA INSTITUCIONAL</t>
        </is>
      </c>
      <c r="D628" s="13" t="inlineStr">
        <is>
          <t>Semestral</t>
        </is>
      </c>
      <c r="E628" s="5" t="inlineStr">
        <is>
          <t>Positivo</t>
        </is>
      </c>
      <c r="F628" s="107" t="n">
        <v>45657</v>
      </c>
      <c r="G628" s="5" t="n">
        <v>2024</v>
      </c>
      <c r="H628" s="5" t="inlineStr">
        <is>
          <t>Diciembre</t>
        </is>
      </c>
      <c r="I628" s="6" t="inlineStr">
        <is>
          <t>2024-2</t>
        </is>
      </c>
      <c r="J628" s="5" t="n">
        <v>80</v>
      </c>
      <c r="K628" s="5" t="n">
        <v>86</v>
      </c>
      <c r="L628" s="14">
        <f>IFERROR(IF(OR(J628=0,K628=""),"",IF(E628="Positivo",MIN(MAX(K628/J628,0),1.3),MIN(MAX(J628/K628,0),1.3))),"") </f>
        <v/>
      </c>
      <c r="M628" s="14">
        <f>IFERROR(IF(OR(J628=0,K628=""),"",IF(E628="Positivo",MAX(K628/J628,0),MAX(J628/K628,0))),"") </f>
        <v/>
      </c>
      <c r="N628" s="5" t="inlineStr">
        <is>
          <t>%</t>
        </is>
      </c>
      <c r="O628" s="5" t="inlineStr">
        <is>
          <t>%</t>
        </is>
      </c>
      <c r="P628" s="5" t="n">
        <v>0</v>
      </c>
      <c r="Q628" s="5" t="n">
        <v>0</v>
      </c>
      <c r="R628" s="5" t="inlineStr">
        <is>
          <t>359-2024-12-31</t>
        </is>
      </c>
    </row>
    <row r="629">
      <c r="A629" s="5" t="n">
        <v>359</v>
      </c>
      <c r="B629" s="5" t="inlineStr">
        <is>
          <t>Satisfacción Institucional CSAT</t>
        </is>
      </c>
      <c r="C629" s="5" t="inlineStr">
        <is>
          <t>EXPERIENCIA INSTITUCIONAL</t>
        </is>
      </c>
      <c r="D629" s="13" t="inlineStr">
        <is>
          <t>Trimestral</t>
        </is>
      </c>
      <c r="E629" s="5" t="inlineStr">
        <is>
          <t>Positivo</t>
        </is>
      </c>
      <c r="F629" s="107" t="n">
        <v>46022</v>
      </c>
      <c r="G629" s="15" t="n">
        <v>2025</v>
      </c>
      <c r="H629" s="6" t="inlineStr">
        <is>
          <t>Diciembre</t>
        </is>
      </c>
      <c r="I629" s="6" t="inlineStr">
        <is>
          <t>2025-2</t>
        </is>
      </c>
      <c r="J629" s="5" t="n">
        <v>85</v>
      </c>
      <c r="K629" s="5" t="n">
        <v>89.90000000000001</v>
      </c>
      <c r="L629" s="14">
        <f>IFERROR(IF(OR(J629=0,K629=""),"",IF(E629="Positivo",MIN(MAX(K629/J629,0),1.3),MIN(MAX(J629/K629,0),1.3))),"") </f>
        <v/>
      </c>
      <c r="M629" s="14">
        <f>IFERROR(IF(OR(J629=0,K629=""),"",IF(E629="Positivo",MAX(K629/J629,0),MAX(J629/K629,0))),"") </f>
        <v/>
      </c>
      <c r="N629" s="5" t="inlineStr">
        <is>
          <t>%</t>
        </is>
      </c>
      <c r="O629" s="5" t="inlineStr">
        <is>
          <t>%</t>
        </is>
      </c>
      <c r="P629" s="5" t="n">
        <v>0</v>
      </c>
      <c r="Q629" s="5" t="n">
        <v>0</v>
      </c>
      <c r="R629" s="5" t="inlineStr">
        <is>
          <t>359-2025-12-31</t>
        </is>
      </c>
    </row>
    <row r="630">
      <c r="A630" s="5" t="n">
        <v>361</v>
      </c>
      <c r="B630" s="5" t="inlineStr">
        <is>
          <t>Índice de Inclusión</t>
        </is>
      </c>
      <c r="C630" s="5" t="inlineStr">
        <is>
          <t>Gestión de la Responsabilidad Social</t>
        </is>
      </c>
      <c r="D630" s="13" t="inlineStr">
        <is>
          <t>Anual</t>
        </is>
      </c>
      <c r="E630" s="5" t="inlineStr">
        <is>
          <t>Positivo</t>
        </is>
      </c>
      <c r="F630" s="107" t="n">
        <v>45291</v>
      </c>
      <c r="G630" s="15" t="n">
        <v>2023</v>
      </c>
      <c r="H630" s="6" t="inlineStr">
        <is>
          <t>Diciembre</t>
        </is>
      </c>
      <c r="I630" s="6" t="inlineStr">
        <is>
          <t>2023-2</t>
        </is>
      </c>
      <c r="J630" s="5" t="n">
        <v>4.5</v>
      </c>
      <c r="K630" s="5" t="n">
        <v>4.56</v>
      </c>
      <c r="L630" s="14">
        <f>IFERROR(IF(OR(J630=0,K630=""),"",IF(E630="Positivo",MIN(MAX(K630/J630,0),1.3),MIN(MAX(J630/K630,0),1.3))),"") </f>
        <v/>
      </c>
      <c r="M630" s="14">
        <f>IFERROR(IF(OR(J630=0,K630=""),"",IF(E630="Positivo",MAX(K630/J630,0),MAX(J630/K630,0))),"") </f>
        <v/>
      </c>
      <c r="N630" s="5" t="inlineStr">
        <is>
          <t>DEC</t>
        </is>
      </c>
      <c r="O630" s="5" t="inlineStr">
        <is>
          <t>DEC</t>
        </is>
      </c>
      <c r="P630" s="5" t="n">
        <v>1</v>
      </c>
      <c r="Q630" s="5" t="n">
        <v>2</v>
      </c>
      <c r="R630" s="5" t="inlineStr">
        <is>
          <t>361-2023-12-31</t>
        </is>
      </c>
    </row>
    <row r="631">
      <c r="A631" s="5" t="n">
        <v>361</v>
      </c>
      <c r="B631" s="5" t="inlineStr">
        <is>
          <t>Índice de Inclusión</t>
        </is>
      </c>
      <c r="C631" s="5" t="inlineStr">
        <is>
          <t>Gestión de la Responsabilidad Social</t>
        </is>
      </c>
      <c r="D631" s="5" t="inlineStr">
        <is>
          <t>Anual</t>
        </is>
      </c>
      <c r="E631" s="5" t="inlineStr">
        <is>
          <t>Positivo</t>
        </is>
      </c>
      <c r="F631" s="107" t="n">
        <v>45657</v>
      </c>
      <c r="G631" s="5" t="n">
        <v>2024</v>
      </c>
      <c r="H631" s="5" t="inlineStr">
        <is>
          <t>Diciembre</t>
        </is>
      </c>
      <c r="I631" s="6" t="inlineStr">
        <is>
          <t>2024-2</t>
        </is>
      </c>
      <c r="J631" s="5" t="n"/>
      <c r="K631" s="5" t="n"/>
      <c r="L631" s="14" t="n"/>
      <c r="M631" s="14" t="n"/>
      <c r="N631" s="5" t="inlineStr">
        <is>
          <t>No Aplica</t>
        </is>
      </c>
      <c r="O631" s="5" t="inlineStr">
        <is>
          <t>No Aplica</t>
        </is>
      </c>
      <c r="P631" s="5" t="n">
        <v>1</v>
      </c>
      <c r="Q631" s="5" t="n">
        <v>2</v>
      </c>
      <c r="R631" s="5" t="inlineStr">
        <is>
          <t>361-2024-12-31</t>
        </is>
      </c>
    </row>
    <row r="632">
      <c r="A632" s="5" t="n">
        <v>361</v>
      </c>
      <c r="B632" s="5" t="inlineStr">
        <is>
          <t>Índice de Inclusión</t>
        </is>
      </c>
      <c r="C632" s="5" t="inlineStr">
        <is>
          <t>Gestión de la Responsabilidad Social</t>
        </is>
      </c>
      <c r="D632" s="5" t="inlineStr">
        <is>
          <t>Anual</t>
        </is>
      </c>
      <c r="E632" s="5" t="inlineStr">
        <is>
          <t>Positivo</t>
        </is>
      </c>
      <c r="F632" s="107" t="n">
        <v>46022</v>
      </c>
      <c r="G632" s="5" t="n">
        <v>2025</v>
      </c>
      <c r="H632" s="5" t="inlineStr">
        <is>
          <t>Diciembre</t>
        </is>
      </c>
      <c r="I632" s="6" t="inlineStr">
        <is>
          <t>2025-2</t>
        </is>
      </c>
      <c r="J632" s="5" t="n">
        <v>4.6</v>
      </c>
      <c r="K632" s="5" t="n">
        <v>4.78</v>
      </c>
      <c r="L632" s="14">
        <f>IFERROR(IF(OR(J632=0,K632=""),"",IF(E632="Positivo",MIN(MAX(K632/J632,0),1.3),MIN(MAX(J632/K632,0),1.3))),"") </f>
        <v/>
      </c>
      <c r="M632" s="14">
        <f>IFERROR(IF(OR(J632=0,K632=""),"",IF(E632="Positivo",MAX(K632/J632,0),MAX(J632/K632,0))),"") </f>
        <v/>
      </c>
      <c r="N632" s="5" t="inlineStr">
        <is>
          <t>DEC</t>
        </is>
      </c>
      <c r="O632" s="5" t="inlineStr">
        <is>
          <t>DEC</t>
        </is>
      </c>
      <c r="P632" s="5" t="n">
        <v>1</v>
      </c>
      <c r="Q632" s="5" t="n">
        <v>2</v>
      </c>
      <c r="R632" s="5" t="inlineStr">
        <is>
          <t>361-2025-12-31</t>
        </is>
      </c>
    </row>
    <row r="633">
      <c r="A633" s="5" t="n">
        <v>362</v>
      </c>
      <c r="B633" s="5" t="inlineStr">
        <is>
          <t>Aseguramiento de matricula académica presencial</t>
        </is>
      </c>
      <c r="C633" s="5" t="inlineStr">
        <is>
          <t>Operaciones Académicas</t>
        </is>
      </c>
      <c r="D633" s="5" t="inlineStr">
        <is>
          <t>Semestral</t>
        </is>
      </c>
      <c r="E633" s="5" t="inlineStr">
        <is>
          <t>Positivo</t>
        </is>
      </c>
      <c r="F633" s="107" t="n">
        <v>45291</v>
      </c>
      <c r="G633" s="5" t="n">
        <v>2023</v>
      </c>
      <c r="H633" s="5" t="inlineStr">
        <is>
          <t>Diciembre</t>
        </is>
      </c>
      <c r="I633" s="6" t="inlineStr">
        <is>
          <t>2023-2</t>
        </is>
      </c>
      <c r="J633" s="5" t="n">
        <v>100</v>
      </c>
      <c r="K633" s="5" t="n">
        <v>99.156641448592</v>
      </c>
      <c r="L633" s="14">
        <f>IFERROR(IF(OR(J633=0,K633=""),"",IF(E633="Positivo",MIN(MAX(K633/J633,0),1.3),MIN(MAX(J633/K633,0),1.3))),"") </f>
        <v/>
      </c>
      <c r="M633" s="14">
        <f>IFERROR(IF(OR(J633=0,K633=""),"",IF(E633="Positivo",MAX(K633/J633,0),MAX(J633/K633,0))),"") </f>
        <v/>
      </c>
      <c r="N633" s="5" t="inlineStr">
        <is>
          <t>%</t>
        </is>
      </c>
      <c r="O633" s="5" t="inlineStr">
        <is>
          <t>%</t>
        </is>
      </c>
      <c r="P633" s="5" t="n">
        <v>0</v>
      </c>
      <c r="Q633" s="5" t="n">
        <v>0</v>
      </c>
      <c r="R633" s="5" t="inlineStr">
        <is>
          <t>362-2023-12-31</t>
        </is>
      </c>
    </row>
    <row r="634">
      <c r="A634" s="5" t="n">
        <v>362</v>
      </c>
      <c r="B634" s="5" t="inlineStr">
        <is>
          <t>Aseguramiento de matricula académica presencial</t>
        </is>
      </c>
      <c r="C634" s="5" t="inlineStr">
        <is>
          <t>Operaciones Académicas</t>
        </is>
      </c>
      <c r="D634" s="5" t="inlineStr">
        <is>
          <t>Semestral</t>
        </is>
      </c>
      <c r="E634" s="5" t="inlineStr">
        <is>
          <t>Positivo</t>
        </is>
      </c>
      <c r="F634" s="107" t="n">
        <v>45657</v>
      </c>
      <c r="G634" s="5" t="n">
        <v>2024</v>
      </c>
      <c r="H634" s="5" t="inlineStr">
        <is>
          <t>Diciembre</t>
        </is>
      </c>
      <c r="I634" s="6" t="inlineStr">
        <is>
          <t>2024-2</t>
        </is>
      </c>
      <c r="J634" s="5" t="n">
        <v>196</v>
      </c>
      <c r="K634" s="10" t="n">
        <v>199.0743230403801</v>
      </c>
      <c r="L634" s="14">
        <f>IFERROR(IF(OR(J634=0,K634=""),"",IF(E634="Positivo",MIN(MAX(K634/J634,0),1.3),MIN(MAX(J634/K634,0),1.3))),"") </f>
        <v/>
      </c>
      <c r="M634" s="14">
        <f>IFERROR(IF(OR(J634=0,K634=""),"",IF(E634="Positivo",MAX(K634/J634,0),MAX(J634/K634,0))),"") </f>
        <v/>
      </c>
      <c r="N634" s="5" t="inlineStr">
        <is>
          <t>%</t>
        </is>
      </c>
      <c r="O634" s="5" t="inlineStr">
        <is>
          <t>%</t>
        </is>
      </c>
      <c r="P634" s="5" t="n">
        <v>0</v>
      </c>
      <c r="Q634" s="5" t="n">
        <v>0</v>
      </c>
      <c r="R634" s="5" t="inlineStr">
        <is>
          <t>362-2024-12-31</t>
        </is>
      </c>
    </row>
    <row r="635">
      <c r="A635" s="5" t="n">
        <v>362</v>
      </c>
      <c r="B635" s="5" t="inlineStr">
        <is>
          <t>Aseguramiento de matricula académica presencial</t>
        </is>
      </c>
      <c r="C635" s="5" t="inlineStr">
        <is>
          <t>Operaciones Académicas</t>
        </is>
      </c>
      <c r="D635" s="5" t="inlineStr">
        <is>
          <t>Trimestral</t>
        </is>
      </c>
      <c r="E635" s="5" t="inlineStr">
        <is>
          <t>Positivo</t>
        </is>
      </c>
      <c r="F635" s="107" t="n">
        <v>46022</v>
      </c>
      <c r="G635" s="5" t="n">
        <v>2025</v>
      </c>
      <c r="H635" s="5" t="inlineStr">
        <is>
          <t>Diciembre</t>
        </is>
      </c>
      <c r="I635" s="6" t="inlineStr">
        <is>
          <t>2025-2</t>
        </is>
      </c>
      <c r="J635" s="5" t="n">
        <v>196</v>
      </c>
      <c r="K635" s="10" t="n">
        <v>199.33</v>
      </c>
      <c r="L635" s="14">
        <f>IFERROR(IF(OR(J635=0,K635=""),"",IF(E635="Positivo",MIN(MAX(K635/J635,0),1.3),MIN(MAX(J635/K635,0),1.3))),"") </f>
        <v/>
      </c>
      <c r="M635" s="14">
        <f>IFERROR(IF(OR(J635=0,K635=""),"",IF(E635="Positivo",MAX(K635/J635,0),MAX(J635/K635,0))),"") </f>
        <v/>
      </c>
      <c r="N635" s="5" t="inlineStr">
        <is>
          <t>%</t>
        </is>
      </c>
      <c r="O635" s="5" t="inlineStr">
        <is>
          <t>%</t>
        </is>
      </c>
      <c r="P635" s="5" t="n">
        <v>0</v>
      </c>
      <c r="Q635" s="5" t="n">
        <v>0</v>
      </c>
      <c r="R635" s="5" t="inlineStr">
        <is>
          <t>362-2025-12-31</t>
        </is>
      </c>
    </row>
    <row r="636">
      <c r="A636" s="5" t="n">
        <v>363</v>
      </c>
      <c r="B636" s="5" t="inlineStr">
        <is>
          <t>Seguimiento a la parametrización de aulas master y secciones de asignaturas</t>
        </is>
      </c>
      <c r="C636" s="5" t="inlineStr">
        <is>
          <t>Operaciones Académicas</t>
        </is>
      </c>
      <c r="D636" s="5" t="inlineStr">
        <is>
          <t>Semestral</t>
        </is>
      </c>
      <c r="E636" s="5" t="inlineStr">
        <is>
          <t>Positivo</t>
        </is>
      </c>
      <c r="F636" s="107" t="n">
        <v>45291</v>
      </c>
      <c r="G636" s="5" t="n">
        <v>2023</v>
      </c>
      <c r="H636" s="5" t="inlineStr">
        <is>
          <t>Diciembre</t>
        </is>
      </c>
      <c r="I636" s="6" t="inlineStr">
        <is>
          <t>2023-2</t>
        </is>
      </c>
      <c r="J636" s="5" t="n">
        <v>100</v>
      </c>
      <c r="K636" s="10" t="n">
        <v>100</v>
      </c>
      <c r="L636" s="14">
        <f>IFERROR(IF(OR(J636=0,K636=""),"",IF(E636="Positivo",MIN(MAX(K636/J636,0),1.3),MIN(MAX(J636/K636,0),1.3))),"") </f>
        <v/>
      </c>
      <c r="M636" s="14">
        <f>IFERROR(IF(OR(J636=0,K636=""),"",IF(E636="Positivo",MAX(K636/J636,0),MAX(J636/K636,0))),"") </f>
        <v/>
      </c>
      <c r="N636" s="5" t="inlineStr">
        <is>
          <t>%</t>
        </is>
      </c>
      <c r="O636" s="5" t="inlineStr">
        <is>
          <t>%</t>
        </is>
      </c>
      <c r="P636" s="5" t="n">
        <v>0</v>
      </c>
      <c r="Q636" s="5" t="n">
        <v>0</v>
      </c>
      <c r="R636" s="5" t="inlineStr">
        <is>
          <t>363-2023-12-31</t>
        </is>
      </c>
    </row>
    <row r="637">
      <c r="A637" s="5" t="n">
        <v>363</v>
      </c>
      <c r="B637" s="5" t="inlineStr">
        <is>
          <t>Seguimiento a la parametrización de aulas master y secciones de asignaturas</t>
        </is>
      </c>
      <c r="C637" s="5" t="inlineStr">
        <is>
          <t>Operaciones Académicas</t>
        </is>
      </c>
      <c r="D637" s="5" t="inlineStr">
        <is>
          <t>Semestral</t>
        </is>
      </c>
      <c r="E637" s="5" t="inlineStr">
        <is>
          <t>Positivo</t>
        </is>
      </c>
      <c r="F637" s="107" t="n">
        <v>45657</v>
      </c>
      <c r="G637" s="5" t="n">
        <v>2024</v>
      </c>
      <c r="H637" s="5" t="inlineStr">
        <is>
          <t>Diciembre</t>
        </is>
      </c>
      <c r="I637" s="6" t="inlineStr">
        <is>
          <t>2024-2</t>
        </is>
      </c>
      <c r="J637" s="5" t="n">
        <v>100</v>
      </c>
      <c r="K637" s="5" t="n">
        <v>100</v>
      </c>
      <c r="L637" s="14">
        <f>IFERROR(IF(OR(J637=0,K637=""),"",IF(E637="Positivo",MIN(MAX(K637/J637,0),1.3),MIN(MAX(J637/K637,0),1.3))),"") </f>
        <v/>
      </c>
      <c r="M637" s="14">
        <f>IFERROR(IF(OR(J637=0,K637=""),"",IF(E637="Positivo",MAX(K637/J637,0),MAX(J637/K637,0))),"") </f>
        <v/>
      </c>
      <c r="N637" s="5" t="inlineStr">
        <is>
          <t>%</t>
        </is>
      </c>
      <c r="O637" s="5" t="inlineStr">
        <is>
          <t>%</t>
        </is>
      </c>
      <c r="P637" s="5" t="n">
        <v>0</v>
      </c>
      <c r="Q637" s="5" t="n">
        <v>0</v>
      </c>
      <c r="R637" s="5" t="inlineStr">
        <is>
          <t>363-2024-12-31</t>
        </is>
      </c>
    </row>
    <row r="638">
      <c r="A638" s="5" t="n">
        <v>363</v>
      </c>
      <c r="B638" s="5" t="inlineStr">
        <is>
          <t>Seguimiento a la parametrización de aulas master y secciones de asignaturas</t>
        </is>
      </c>
      <c r="C638" s="5" t="inlineStr">
        <is>
          <t>Operaciones Académicas</t>
        </is>
      </c>
      <c r="D638" s="5" t="inlineStr">
        <is>
          <t>Trimestral</t>
        </is>
      </c>
      <c r="E638" s="5" t="inlineStr">
        <is>
          <t>Positivo</t>
        </is>
      </c>
      <c r="F638" s="107" t="n">
        <v>46022</v>
      </c>
      <c r="G638" s="5" t="n">
        <v>2025</v>
      </c>
      <c r="H638" s="5" t="inlineStr">
        <is>
          <t>Diciembre</t>
        </is>
      </c>
      <c r="I638" s="6" t="inlineStr">
        <is>
          <t>2025-2</t>
        </is>
      </c>
      <c r="J638" s="5" t="n">
        <v>100</v>
      </c>
      <c r="K638" s="5" t="n">
        <v>100</v>
      </c>
      <c r="L638" s="14">
        <f>IFERROR(IF(OR(J638=0,K638=""),"",IF(E638="Positivo",MIN(MAX(K638/J638,0),1.3),MIN(MAX(J638/K638,0),1.3))),"") </f>
        <v/>
      </c>
      <c r="M638" s="14">
        <f>IFERROR(IF(OR(J638=0,K638=""),"",IF(E638="Positivo",MAX(K638/J638,0),MAX(J638/K638,0))),"") </f>
        <v/>
      </c>
      <c r="N638" s="5" t="inlineStr">
        <is>
          <t>%</t>
        </is>
      </c>
      <c r="O638" s="5" t="inlineStr">
        <is>
          <t>%</t>
        </is>
      </c>
      <c r="P638" s="5" t="n">
        <v>0</v>
      </c>
      <c r="Q638" s="5" t="n">
        <v>0</v>
      </c>
      <c r="R638" s="5" t="inlineStr">
        <is>
          <t>363-2025-12-31</t>
        </is>
      </c>
    </row>
    <row r="639">
      <c r="A639" s="5" t="n">
        <v>364</v>
      </c>
      <c r="B639" s="5" t="inlineStr">
        <is>
          <t>Impacto de actividades de Responsabilidad y proyección</t>
        </is>
      </c>
      <c r="C639" s="5" t="inlineStr">
        <is>
          <t>Gestión de la Responsabilidad Social</t>
        </is>
      </c>
      <c r="D639" s="5" t="inlineStr">
        <is>
          <t>Semestral</t>
        </is>
      </c>
      <c r="E639" s="5" t="inlineStr">
        <is>
          <t>Positivo</t>
        </is>
      </c>
      <c r="F639" s="107" t="n">
        <v>45291</v>
      </c>
      <c r="G639" s="5" t="n">
        <v>2023</v>
      </c>
      <c r="H639" s="5" t="inlineStr">
        <is>
          <t>Diciembre</t>
        </is>
      </c>
      <c r="I639" s="6" t="inlineStr">
        <is>
          <t>2023-2</t>
        </is>
      </c>
      <c r="J639" s="5" t="n"/>
      <c r="K639" s="5" t="n">
        <v>108694</v>
      </c>
      <c r="L639" s="14" t="n"/>
      <c r="M639" s="14" t="n"/>
      <c r="N639" s="5" t="inlineStr">
        <is>
          <t>Linea Base</t>
        </is>
      </c>
      <c r="O639" s="5" t="inlineStr">
        <is>
          <t>ENT</t>
        </is>
      </c>
      <c r="P639" s="5" t="n">
        <v>0</v>
      </c>
      <c r="Q639" s="5" t="n">
        <v>0</v>
      </c>
      <c r="R639" s="5" t="inlineStr">
        <is>
          <t>364-2023-12-31</t>
        </is>
      </c>
    </row>
    <row r="640">
      <c r="A640" s="5" t="n">
        <v>364</v>
      </c>
      <c r="B640" s="20" t="inlineStr">
        <is>
          <t>Impacto de actividades de Responsabilidad y proyección</t>
        </is>
      </c>
      <c r="C640" s="5" t="inlineStr">
        <is>
          <t>Gestión de la Responsabilidad Social</t>
        </is>
      </c>
      <c r="D640" s="5" t="inlineStr">
        <is>
          <t>Semestral</t>
        </is>
      </c>
      <c r="E640" s="5" t="inlineStr">
        <is>
          <t>Positivo</t>
        </is>
      </c>
      <c r="F640" s="107" t="n">
        <v>45657</v>
      </c>
      <c r="G640" s="15" t="n">
        <v>2024</v>
      </c>
      <c r="H640" s="6" t="inlineStr">
        <is>
          <t>Diciembre</t>
        </is>
      </c>
      <c r="I640" s="6" t="inlineStr">
        <is>
          <t>2024-2</t>
        </is>
      </c>
      <c r="J640" t="n">
        <v>200</v>
      </c>
      <c r="K640" t="n">
        <v>230.82</v>
      </c>
      <c r="L640" s="14">
        <f>IFERROR(IF(OR(J640=0,K640=""),"",IF(E640="Positivo",MIN(MAX(K640/J640,0),1.3),MIN(MAX(J640/K640,0),1.3))),"") </f>
        <v/>
      </c>
      <c r="M640" s="14">
        <f>IFERROR(IF(OR(J640=0,K640=""),"",IF(E640="Positivo",MAX(K640/J640,0),MAX(J640/K640,0))),"") </f>
        <v/>
      </c>
      <c r="N640" s="5" t="inlineStr">
        <is>
          <t>ENT</t>
        </is>
      </c>
      <c r="O640" s="5" t="inlineStr">
        <is>
          <t>ENT</t>
        </is>
      </c>
      <c r="P640" s="5" t="n">
        <v>0</v>
      </c>
      <c r="Q640" s="5" t="n">
        <v>0</v>
      </c>
      <c r="R640" s="5" t="inlineStr">
        <is>
          <t>364-2024-12-31</t>
        </is>
      </c>
    </row>
    <row r="641">
      <c r="A641" s="5" t="n">
        <v>364</v>
      </c>
      <c r="B641" s="5" t="inlineStr">
        <is>
          <t>Impacto de actividades de Responsabilidad y proyección</t>
        </is>
      </c>
      <c r="C641" s="5" t="inlineStr">
        <is>
          <t>Gestión de la Responsabilidad Social</t>
        </is>
      </c>
      <c r="D641" s="5" t="inlineStr">
        <is>
          <t>Semestral</t>
        </is>
      </c>
      <c r="E641" s="5" t="inlineStr">
        <is>
          <t>Negativo</t>
        </is>
      </c>
      <c r="F641" s="107" t="n">
        <v>46022</v>
      </c>
      <c r="G641" s="15" t="n">
        <v>2025</v>
      </c>
      <c r="H641" s="6" t="inlineStr">
        <is>
          <t>Diciembre</t>
        </is>
      </c>
      <c r="I641" s="6" t="inlineStr">
        <is>
          <t>2025-2</t>
        </is>
      </c>
      <c r="J641" s="5" t="n">
        <v>200</v>
      </c>
      <c r="K641" s="5" t="n">
        <v>172</v>
      </c>
      <c r="L641" s="14">
        <f>IFERROR(IF(OR(J641=0,K641=""),"",IF(E641="Positivo",MIN(MAX(K641/J641,0),1.3),MIN(MAX(J641/K641,0),1.3))),"") </f>
        <v/>
      </c>
      <c r="M641" s="14">
        <f>IFERROR(IF(OR(J641=0,K641=""),"",IF(E641="Positivo",MAX(K641/J641,0),MAX(J641/K641,0))),"") </f>
        <v/>
      </c>
      <c r="N641" s="5" t="inlineStr">
        <is>
          <t>ENT</t>
        </is>
      </c>
      <c r="O641" s="5" t="inlineStr">
        <is>
          <t>ENT</t>
        </is>
      </c>
      <c r="P641" s="5" t="n">
        <v>0</v>
      </c>
      <c r="Q641" s="5" t="n">
        <v>0</v>
      </c>
      <c r="R641" s="5" t="inlineStr">
        <is>
          <t>364-2025-12-31</t>
        </is>
      </c>
    </row>
    <row r="642">
      <c r="A642" s="5" t="n">
        <v>365</v>
      </c>
      <c r="B642" s="5" t="inlineStr">
        <is>
          <t>Seguimiento de asignación docente a NRC Pregrado-Posgrado Presencial</t>
        </is>
      </c>
      <c r="C642" s="5" t="inlineStr">
        <is>
          <t>Operaciones Académicas</t>
        </is>
      </c>
      <c r="D642" s="5" t="inlineStr">
        <is>
          <t>Semestral</t>
        </is>
      </c>
      <c r="E642" s="5" t="inlineStr">
        <is>
          <t>Positivo</t>
        </is>
      </c>
      <c r="F642" s="107" t="n">
        <v>45291</v>
      </c>
      <c r="G642" s="15" t="n">
        <v>2023</v>
      </c>
      <c r="H642" s="6" t="inlineStr">
        <is>
          <t>Diciembre</t>
        </is>
      </c>
      <c r="I642" s="6" t="inlineStr">
        <is>
          <t>2023-2</t>
        </is>
      </c>
      <c r="J642" s="5" t="n">
        <v>100</v>
      </c>
      <c r="K642" s="5" t="n">
        <v>100</v>
      </c>
      <c r="L642" s="14">
        <f>IFERROR(IF(OR(J642=0,K642=""),"",IF(E642="Positivo",MIN(MAX(K642/J642,0),1.3),MIN(MAX(J642/K642,0),1.3))),"") </f>
        <v/>
      </c>
      <c r="M642" s="14">
        <f>IFERROR(IF(OR(J642=0,K642=""),"",IF(E642="Positivo",MAX(K642/J642,0),MAX(J642/K642,0))),"") </f>
        <v/>
      </c>
      <c r="N642" s="5" t="inlineStr">
        <is>
          <t>%</t>
        </is>
      </c>
      <c r="O642" s="5" t="inlineStr">
        <is>
          <t>%</t>
        </is>
      </c>
      <c r="P642" s="5" t="n">
        <v>0</v>
      </c>
      <c r="Q642" s="5" t="n">
        <v>0</v>
      </c>
      <c r="R642" s="5" t="inlineStr">
        <is>
          <t>365-2023-12-31</t>
        </is>
      </c>
    </row>
    <row r="643">
      <c r="A643" s="5" t="n">
        <v>366</v>
      </c>
      <c r="B643" s="5" t="inlineStr">
        <is>
          <t>Normalización de cobros pecuniarios</t>
        </is>
      </c>
      <c r="C643" s="5" t="inlineStr">
        <is>
          <t>Operaciones Académicas</t>
        </is>
      </c>
      <c r="D643" s="5" t="inlineStr">
        <is>
          <t>Anual</t>
        </is>
      </c>
      <c r="E643" s="5" t="inlineStr">
        <is>
          <t>Positivo</t>
        </is>
      </c>
      <c r="F643" s="107" t="n">
        <v>45291</v>
      </c>
      <c r="G643" s="5" t="n">
        <v>2023</v>
      </c>
      <c r="H643" s="5" t="inlineStr">
        <is>
          <t>Diciembre</t>
        </is>
      </c>
      <c r="I643" s="6" t="inlineStr">
        <is>
          <t>2023-2</t>
        </is>
      </c>
      <c r="J643" s="5" t="n">
        <v>100</v>
      </c>
      <c r="K643" s="5" t="n">
        <v>100</v>
      </c>
      <c r="L643" s="14">
        <f>IFERROR(IF(OR(J643=0,K643=""),"",IF(E643="Positivo",MIN(MAX(K643/J643,0),1.3),MIN(MAX(J643/K643,0),1.3))),"") </f>
        <v/>
      </c>
      <c r="M643" s="14">
        <f>IFERROR(IF(OR(J643=0,K643=""),"",IF(E643="Positivo",MAX(K643/J643,0),MAX(J643/K643,0))),"") </f>
        <v/>
      </c>
      <c r="N643" s="5" t="inlineStr">
        <is>
          <t>ENT</t>
        </is>
      </c>
      <c r="O643" s="5" t="inlineStr">
        <is>
          <t>ENT</t>
        </is>
      </c>
      <c r="P643" s="5" t="n">
        <v>0</v>
      </c>
      <c r="Q643" s="5" t="n">
        <v>0</v>
      </c>
      <c r="R643" s="5" t="inlineStr">
        <is>
          <t>366-2023-12-31</t>
        </is>
      </c>
    </row>
    <row r="644">
      <c r="A644" s="5" t="n">
        <v>366</v>
      </c>
      <c r="B644" s="5" t="inlineStr">
        <is>
          <t>Normalización de cobros pecuniarios</t>
        </is>
      </c>
      <c r="C644" s="5" t="inlineStr">
        <is>
          <t>Operaciones Académicas</t>
        </is>
      </c>
      <c r="D644" s="5" t="inlineStr">
        <is>
          <t>Anual</t>
        </is>
      </c>
      <c r="E644" s="5" t="inlineStr">
        <is>
          <t>Positivo</t>
        </is>
      </c>
      <c r="F644" s="107" t="n">
        <v>45657</v>
      </c>
      <c r="G644" s="5" t="n">
        <v>2024</v>
      </c>
      <c r="H644" s="5" t="inlineStr">
        <is>
          <t>Diciembre</t>
        </is>
      </c>
      <c r="I644" s="6" t="inlineStr">
        <is>
          <t>2024-2</t>
        </is>
      </c>
      <c r="J644" s="5" t="n">
        <v>100</v>
      </c>
      <c r="K644" s="5" t="n">
        <v>100</v>
      </c>
      <c r="L644" s="14">
        <f>IFERROR(IF(OR(J644=0,K644=""),"",IF(E644="Positivo",MIN(MAX(K644/J644,0),1.3),MIN(MAX(J644/K644,0),1.3))),"") </f>
        <v/>
      </c>
      <c r="M644" s="14">
        <f>IFERROR(IF(OR(J644=0,K644=""),"",IF(E644="Positivo",MAX(K644/J644,0),MAX(J644/K644,0))),"") </f>
        <v/>
      </c>
      <c r="N644" s="5" t="inlineStr">
        <is>
          <t>ENT</t>
        </is>
      </c>
      <c r="O644" s="5" t="inlineStr">
        <is>
          <t>ENT</t>
        </is>
      </c>
      <c r="P644" s="5" t="n">
        <v>0</v>
      </c>
      <c r="Q644" s="5" t="n">
        <v>0</v>
      </c>
      <c r="R644" s="5" t="inlineStr">
        <is>
          <t>366-2024-12-31</t>
        </is>
      </c>
    </row>
    <row r="645">
      <c r="A645" t="n">
        <v>366</v>
      </c>
      <c r="B645" t="inlineStr">
        <is>
          <t>Normalización de cobros pecuniarios</t>
        </is>
      </c>
      <c r="C645" t="inlineStr">
        <is>
          <t>Operaciones Académicas</t>
        </is>
      </c>
      <c r="D645" t="inlineStr">
        <is>
          <t>Anual</t>
        </is>
      </c>
      <c r="E645" t="inlineStr">
        <is>
          <t>Positivo</t>
        </is>
      </c>
      <c r="F645" s="111" t="n">
        <v>46022</v>
      </c>
      <c r="G645" t="n">
        <v>2025</v>
      </c>
      <c r="H645" t="inlineStr">
        <is>
          <t>Diciembre</t>
        </is>
      </c>
      <c r="I645" t="inlineStr">
        <is>
          <t>2025-2</t>
        </is>
      </c>
      <c r="J645" t="n">
        <v>100</v>
      </c>
      <c r="K645" t="n">
        <v>100</v>
      </c>
      <c r="L645" s="39">
        <f>IFERROR(IF(OR(J645=0,K645=""),"",IF(E645="Positivo",MIN(MAX(K645/J645,0),1.3),MIN(MAX(J645/K645,0),1.3))),"") </f>
        <v/>
      </c>
      <c r="M645" s="39">
        <f>IFERROR(IF(OR(J645=0,K645=""),"",IF(E645="Positivo",MAX(K645/J645,0),MAX(J645/K645,0))),"") </f>
        <v/>
      </c>
      <c r="N645" t="inlineStr">
        <is>
          <t>ENT</t>
        </is>
      </c>
      <c r="O645" t="inlineStr">
        <is>
          <t>ENT</t>
        </is>
      </c>
      <c r="P645" t="n">
        <v>0</v>
      </c>
      <c r="Q645" t="n">
        <v>0</v>
      </c>
      <c r="R645" t="inlineStr">
        <is>
          <t>366-2025-12-31</t>
        </is>
      </c>
    </row>
    <row r="646">
      <c r="A646" t="n">
        <v>367</v>
      </c>
      <c r="B646" t="inlineStr">
        <is>
          <t>% Estudiantes con Becas</t>
        </is>
      </c>
      <c r="C646" t="inlineStr">
        <is>
          <t>Gestión de la Responsabilidad Social</t>
        </is>
      </c>
      <c r="D646" t="inlineStr">
        <is>
          <t>Anual</t>
        </is>
      </c>
      <c r="E646" t="inlineStr">
        <is>
          <t>Positivo</t>
        </is>
      </c>
      <c r="F646" s="111" t="n">
        <v>45291</v>
      </c>
      <c r="G646" t="n">
        <v>2023</v>
      </c>
      <c r="H646" t="inlineStr">
        <is>
          <t>Diciembre</t>
        </is>
      </c>
      <c r="I646" t="inlineStr">
        <is>
          <t>2023-2</t>
        </is>
      </c>
      <c r="J646" t="n">
        <v>5</v>
      </c>
      <c r="K646" t="n">
        <v>6.249756705204562</v>
      </c>
      <c r="L646" s="39">
        <f>IFERROR(IF(OR(J646=0,K646=""),"",IF(E646="Positivo",MIN(MAX(K646/J646,0),1.3),MIN(MAX(J646/K646,0),1.3))),"") </f>
        <v/>
      </c>
      <c r="M646" s="39">
        <f>IFERROR(IF(OR(J646=0,K646=""),"",IF(E646="Positivo",MAX(K646/J646,0),MAX(J646/K646,0))),"") </f>
        <v/>
      </c>
      <c r="N646" t="inlineStr">
        <is>
          <t>%</t>
        </is>
      </c>
      <c r="O646" t="inlineStr">
        <is>
          <t>%</t>
        </is>
      </c>
      <c r="P646" t="n">
        <v>0</v>
      </c>
      <c r="Q646" t="n">
        <v>2</v>
      </c>
      <c r="R646" t="inlineStr">
        <is>
          <t>367-2023-12-31</t>
        </is>
      </c>
    </row>
    <row r="647">
      <c r="A647" t="n">
        <v>367</v>
      </c>
      <c r="B647" t="inlineStr">
        <is>
          <t>% Estudiantes con Becas</t>
        </is>
      </c>
      <c r="C647" t="inlineStr">
        <is>
          <t>Gestión de la Responsabilidad Social</t>
        </is>
      </c>
      <c r="D647" t="inlineStr">
        <is>
          <t>Anual</t>
        </is>
      </c>
      <c r="E647" t="inlineStr">
        <is>
          <t>Positivo</t>
        </is>
      </c>
      <c r="F647" s="111" t="n">
        <v>45657</v>
      </c>
      <c r="G647" t="n">
        <v>2024</v>
      </c>
      <c r="H647" t="inlineStr">
        <is>
          <t>Diciembre</t>
        </is>
      </c>
      <c r="I647" t="inlineStr">
        <is>
          <t>2024-2</t>
        </is>
      </c>
      <c r="J647" t="n">
        <v>5</v>
      </c>
      <c r="K647" t="n">
        <v>4.96</v>
      </c>
      <c r="L647" s="39">
        <f>IFERROR(IF(OR(J647=0,K647=""),"",IF(E647="Positivo",MIN(MAX(K647/J647,0),1.3),MIN(MAX(J647/K647,0),1.3))),"") </f>
        <v/>
      </c>
      <c r="M647" s="39">
        <f>IFERROR(IF(OR(J647=0,K647=""),"",IF(E647="Positivo",MAX(K647/J647,0),MAX(J647/K647,0))),"") </f>
        <v/>
      </c>
      <c r="N647" t="inlineStr">
        <is>
          <t>%</t>
        </is>
      </c>
      <c r="O647" t="inlineStr">
        <is>
          <t>%</t>
        </is>
      </c>
      <c r="P647" t="n">
        <v>0</v>
      </c>
      <c r="Q647" t="n">
        <v>2</v>
      </c>
      <c r="R647" t="inlineStr">
        <is>
          <t>367-2024-12-31</t>
        </is>
      </c>
    </row>
    <row r="648">
      <c r="A648" t="n">
        <v>367</v>
      </c>
      <c r="B648" t="inlineStr">
        <is>
          <t>% Estudiantes con Becas</t>
        </is>
      </c>
      <c r="C648" t="inlineStr">
        <is>
          <t>Gestión de la Responsabilidad Social</t>
        </is>
      </c>
      <c r="D648" t="inlineStr">
        <is>
          <t>Anual</t>
        </is>
      </c>
      <c r="E648" t="inlineStr">
        <is>
          <t>Positivo</t>
        </is>
      </c>
      <c r="F648" s="111" t="n">
        <v>46022</v>
      </c>
      <c r="G648" t="n">
        <v>2025</v>
      </c>
      <c r="H648" t="inlineStr">
        <is>
          <t>Diciembre</t>
        </is>
      </c>
      <c r="I648" t="inlineStr">
        <is>
          <t>2025-2</t>
        </is>
      </c>
      <c r="J648" t="n">
        <v>5</v>
      </c>
      <c r="K648" t="n">
        <v>3.82</v>
      </c>
      <c r="L648" s="39">
        <f>IFERROR(IF(OR(J648=0,K648=""),"",IF(E648="Positivo",MIN(MAX(K648/J648,0),1.3),MIN(MAX(J648/K648,0),1.3))),"") </f>
        <v/>
      </c>
      <c r="M648" s="39">
        <f>IFERROR(IF(OR(J648=0,K648=""),"",IF(E648="Positivo",MAX(K648/J648,0),MAX(J648/K648,0))),"") </f>
        <v/>
      </c>
      <c r="N648" t="inlineStr">
        <is>
          <t>%</t>
        </is>
      </c>
      <c r="O648" t="inlineStr">
        <is>
          <t>%</t>
        </is>
      </c>
      <c r="P648" t="n">
        <v>1</v>
      </c>
      <c r="Q648" t="n">
        <v>2</v>
      </c>
      <c r="R648" t="inlineStr">
        <is>
          <t>367-2025-12-31</t>
        </is>
      </c>
    </row>
    <row r="649">
      <c r="A649" t="n">
        <v>368</v>
      </c>
      <c r="B649" t="inlineStr">
        <is>
          <t>Satisfacción de los estudiantes de Educación para toda la vida</t>
        </is>
      </c>
      <c r="C649" t="inlineStr">
        <is>
          <t>Operación de Educación no Formal</t>
        </is>
      </c>
      <c r="D649" t="inlineStr">
        <is>
          <t>Trimestral</t>
        </is>
      </c>
      <c r="E649" t="inlineStr">
        <is>
          <t>Positivo</t>
        </is>
      </c>
      <c r="F649" s="111" t="n">
        <v>45291</v>
      </c>
      <c r="G649" t="n">
        <v>2023</v>
      </c>
      <c r="H649" t="inlineStr">
        <is>
          <t>Diciembre</t>
        </is>
      </c>
      <c r="I649" t="inlineStr">
        <is>
          <t>2023-2</t>
        </is>
      </c>
      <c r="J649" t="n">
        <v>90</v>
      </c>
      <c r="K649" t="n">
        <v>94.5</v>
      </c>
      <c r="L649" s="39">
        <f>IFERROR(IF(OR(J649=0,K649=""),"",IF(E649="Positivo",MIN(MAX(K649/J649,0),1.3),MIN(MAX(J649/K649,0),1.3))),"") </f>
        <v/>
      </c>
      <c r="M649" s="39">
        <f>IFERROR(IF(OR(J649=0,K649=""),"",IF(E649="Positivo",MAX(K649/J649,0),MAX(J649/K649,0))),"") </f>
        <v/>
      </c>
      <c r="N649" t="inlineStr">
        <is>
          <t>%</t>
        </is>
      </c>
      <c r="O649" t="inlineStr">
        <is>
          <t>%</t>
        </is>
      </c>
      <c r="P649" t="n">
        <v>0</v>
      </c>
      <c r="Q649" t="n">
        <v>0</v>
      </c>
      <c r="R649" t="inlineStr">
        <is>
          <t>368-2023-12-31</t>
        </is>
      </c>
    </row>
    <row r="650">
      <c r="A650" t="n">
        <v>368</v>
      </c>
      <c r="B650" t="inlineStr">
        <is>
          <t>Satisfacción de los estudiantes de Educación para toda la vida</t>
        </is>
      </c>
      <c r="C650" t="inlineStr">
        <is>
          <t>Operación de Educación no Formal</t>
        </is>
      </c>
      <c r="D650" t="inlineStr">
        <is>
          <t>Trimestral</t>
        </is>
      </c>
      <c r="E650" t="inlineStr">
        <is>
          <t>Positivo</t>
        </is>
      </c>
      <c r="F650" s="111" t="n">
        <v>45657</v>
      </c>
      <c r="G650" t="n">
        <v>2024</v>
      </c>
      <c r="H650" t="inlineStr">
        <is>
          <t>Diciembre</t>
        </is>
      </c>
      <c r="I650" t="inlineStr">
        <is>
          <t>2024-2</t>
        </is>
      </c>
      <c r="J650" t="n">
        <v>90</v>
      </c>
      <c r="K650" t="n">
        <v>94.25</v>
      </c>
      <c r="L650" s="39">
        <f>IFERROR(IF(OR(J650=0,K650=""),"",IF(E650="Positivo",MIN(MAX(K650/J650,0),1.3),MIN(MAX(J650/K650,0),1.3))),"") </f>
        <v/>
      </c>
      <c r="M650" s="39">
        <f>IFERROR(IF(OR(J650=0,K650=""),"",IF(E650="Positivo",MAX(K650/J650,0),MAX(J650/K650,0))),"") </f>
        <v/>
      </c>
      <c r="N650" t="inlineStr">
        <is>
          <t>%</t>
        </is>
      </c>
      <c r="O650" t="inlineStr">
        <is>
          <t>%</t>
        </is>
      </c>
      <c r="P650" t="n">
        <v>0</v>
      </c>
      <c r="Q650" t="n">
        <v>0</v>
      </c>
      <c r="R650" t="inlineStr">
        <is>
          <t>368-2024-12-31</t>
        </is>
      </c>
    </row>
    <row r="651">
      <c r="A651" t="n">
        <v>368</v>
      </c>
      <c r="B651" t="inlineStr">
        <is>
          <t>Satisfacción de los estudiantes de Educación para toda la vida</t>
        </is>
      </c>
      <c r="C651" t="inlineStr">
        <is>
          <t>Operación de nuevos negocios y CI</t>
        </is>
      </c>
      <c r="D651" t="inlineStr">
        <is>
          <t>Semestral</t>
        </is>
      </c>
      <c r="E651" t="inlineStr">
        <is>
          <t>Positivo</t>
        </is>
      </c>
      <c r="F651" s="111" t="n">
        <v>46022</v>
      </c>
      <c r="G651" t="n">
        <v>2025</v>
      </c>
      <c r="H651" t="inlineStr">
        <is>
          <t>Diciembre</t>
        </is>
      </c>
      <c r="I651" t="inlineStr">
        <is>
          <t>2025-2</t>
        </is>
      </c>
      <c r="J651" t="n">
        <v>93</v>
      </c>
      <c r="K651" t="n">
        <v>95</v>
      </c>
      <c r="L651" s="39">
        <f>IFERROR(IF(OR(J651=0,K651=""),"",IF(E651="Positivo",MIN(MAX(K651/J651,0),1.3),MIN(MAX(J651/K651,0),1.3))),"") </f>
        <v/>
      </c>
      <c r="M651" s="39">
        <f>IFERROR(IF(OR(J651=0,K651=""),"",IF(E651="Positivo",MAX(K651/J651,0),MAX(J651/K651,0))),"") </f>
        <v/>
      </c>
      <c r="N651" t="inlineStr">
        <is>
          <t>%</t>
        </is>
      </c>
      <c r="O651" t="inlineStr">
        <is>
          <t>%</t>
        </is>
      </c>
      <c r="P651" t="n">
        <v>0</v>
      </c>
      <c r="Q651" t="n">
        <v>0</v>
      </c>
      <c r="R651" t="inlineStr">
        <is>
          <t>368-2025-12-31</t>
        </is>
      </c>
    </row>
    <row r="652">
      <c r="A652" t="n">
        <v>369</v>
      </c>
      <c r="B652" t="inlineStr">
        <is>
          <t>Participación de POLI- voluntariados (Estudiantes- Colaboradores)</t>
        </is>
      </c>
      <c r="C652" t="inlineStr">
        <is>
          <t>Gestión de la Responsabilidad Social</t>
        </is>
      </c>
      <c r="D652" t="inlineStr">
        <is>
          <t>Semestral</t>
        </is>
      </c>
      <c r="E652" t="inlineStr">
        <is>
          <t>Positivo</t>
        </is>
      </c>
      <c r="F652" s="111" t="n">
        <v>45291</v>
      </c>
      <c r="G652" t="n">
        <v>2023</v>
      </c>
      <c r="H652" t="inlineStr">
        <is>
          <t>Diciembre</t>
        </is>
      </c>
      <c r="I652" t="inlineStr">
        <is>
          <t>2023-2</t>
        </is>
      </c>
      <c r="K652" t="n">
        <v>174</v>
      </c>
      <c r="L652" s="39" t="n"/>
      <c r="M652" s="39" t="n"/>
      <c r="N652" t="inlineStr">
        <is>
          <t>Linea Base</t>
        </is>
      </c>
      <c r="O652" t="inlineStr">
        <is>
          <t>ENT</t>
        </is>
      </c>
      <c r="P652" t="n">
        <v>0</v>
      </c>
      <c r="Q652" t="n">
        <v>0</v>
      </c>
      <c r="R652" t="inlineStr">
        <is>
          <t>369-2023-12-31</t>
        </is>
      </c>
    </row>
    <row r="653">
      <c r="A653" t="n">
        <v>369</v>
      </c>
      <c r="B653" t="inlineStr">
        <is>
          <t>Participación de POLI- voluntariados (Estudiantes- Colaboradores)</t>
        </is>
      </c>
      <c r="C653" t="inlineStr">
        <is>
          <t>Gestión de la Responsabilidad Social</t>
        </is>
      </c>
      <c r="D653" t="inlineStr">
        <is>
          <t>Semestral</t>
        </is>
      </c>
      <c r="E653" t="inlineStr">
        <is>
          <t>Positivo</t>
        </is>
      </c>
      <c r="F653" s="111" t="n">
        <v>45657</v>
      </c>
      <c r="G653" t="n">
        <v>2024</v>
      </c>
      <c r="H653" t="inlineStr">
        <is>
          <t>Diciembre</t>
        </is>
      </c>
      <c r="I653" t="inlineStr">
        <is>
          <t>2024-2</t>
        </is>
      </c>
      <c r="J653" t="n">
        <v>200</v>
      </c>
      <c r="K653" t="n">
        <v>147.55</v>
      </c>
      <c r="L653" s="39">
        <f>IFERROR(IF(OR(J653=0,K653=""),"",IF(E653="Positivo",MIN(MAX(K653/J653,0),1.3),MIN(MAX(J653/K653,0),1.3))),"") </f>
        <v/>
      </c>
      <c r="M653" s="39">
        <f>IFERROR(IF(OR(J653=0,K653=""),"",IF(E653="Positivo",MAX(K653/J653,0),MAX(J653/K653,0))),"") </f>
        <v/>
      </c>
      <c r="N653" t="inlineStr">
        <is>
          <t>ENT</t>
        </is>
      </c>
      <c r="O653" t="inlineStr">
        <is>
          <t>ENT</t>
        </is>
      </c>
      <c r="P653" t="n">
        <v>0</v>
      </c>
      <c r="Q653" t="n">
        <v>0</v>
      </c>
      <c r="R653" t="inlineStr">
        <is>
          <t>369-2024-12-31</t>
        </is>
      </c>
    </row>
    <row r="654">
      <c r="A654" t="n">
        <v>369</v>
      </c>
      <c r="B654" t="inlineStr">
        <is>
          <t>Participación de POLI- voluntariados (Estudiantes- Colaboradores)</t>
        </is>
      </c>
      <c r="C654" t="inlineStr">
        <is>
          <t>Gestión de la Responsabilidad Social</t>
        </is>
      </c>
      <c r="D654" t="inlineStr">
        <is>
          <t>Semestral</t>
        </is>
      </c>
      <c r="E654" t="inlineStr">
        <is>
          <t>Positivo</t>
        </is>
      </c>
      <c r="F654" s="111" t="n">
        <v>46022</v>
      </c>
      <c r="G654" t="n">
        <v>2025</v>
      </c>
      <c r="H654" t="inlineStr">
        <is>
          <t>Diciembre</t>
        </is>
      </c>
      <c r="I654" t="inlineStr">
        <is>
          <t>2025-2</t>
        </is>
      </c>
      <c r="J654" t="n">
        <v>200</v>
      </c>
      <c r="K654" t="n">
        <v>197.15</v>
      </c>
      <c r="L654" s="39">
        <f>IFERROR(IF(OR(J654=0,K654=""),"",IF(E654="Positivo",MIN(MAX(K654/J654,0),1.3),MIN(MAX(J654/K654,0),1.3))),"") </f>
        <v/>
      </c>
      <c r="M654" s="39">
        <f>IFERROR(IF(OR(J654=0,K654=""),"",IF(E654="Positivo",MAX(K654/J654,0),MAX(J654/K654,0))),"") </f>
        <v/>
      </c>
      <c r="N654" t="inlineStr">
        <is>
          <t>ENT</t>
        </is>
      </c>
      <c r="O654" t="inlineStr">
        <is>
          <t>ENT</t>
        </is>
      </c>
      <c r="P654" t="n">
        <v>0</v>
      </c>
      <c r="Q654" t="n">
        <v>0</v>
      </c>
      <c r="R654" t="inlineStr">
        <is>
          <t>369-2025-12-31</t>
        </is>
      </c>
    </row>
    <row r="655">
      <c r="A655" t="n">
        <v>370</v>
      </c>
      <c r="B655" t="inlineStr">
        <is>
          <t>Oportunidades de mejora - Huella Verde</t>
        </is>
      </c>
      <c r="C655" t="inlineStr">
        <is>
          <t>Gestión de la Responsabilidad Social</t>
        </is>
      </c>
      <c r="D655" t="inlineStr">
        <is>
          <t>Semestral</t>
        </is>
      </c>
      <c r="E655" t="inlineStr">
        <is>
          <t>Positivo</t>
        </is>
      </c>
      <c r="F655" s="111" t="n">
        <v>45291</v>
      </c>
      <c r="G655" t="n">
        <v>2023</v>
      </c>
      <c r="H655" t="inlineStr">
        <is>
          <t>Diciembre</t>
        </is>
      </c>
      <c r="I655" t="inlineStr">
        <is>
          <t>2023-2</t>
        </is>
      </c>
      <c r="L655" s="39" t="n"/>
      <c r="M655" s="39" t="n"/>
      <c r="N655" t="inlineStr">
        <is>
          <t>ENT</t>
        </is>
      </c>
      <c r="O655" t="inlineStr">
        <is>
          <t>ENT</t>
        </is>
      </c>
      <c r="P655" t="n">
        <v>0</v>
      </c>
      <c r="Q655" t="n">
        <v>0</v>
      </c>
      <c r="R655" t="inlineStr">
        <is>
          <t>370-2023-12-31</t>
        </is>
      </c>
    </row>
    <row r="656">
      <c r="A656" t="n">
        <v>371</v>
      </c>
      <c r="B656" t="inlineStr">
        <is>
          <t>Recaudación de fondos</t>
        </is>
      </c>
      <c r="C656" t="inlineStr">
        <is>
          <t>Gestión de la Responsabilidad Social</t>
        </is>
      </c>
      <c r="D656" t="inlineStr">
        <is>
          <t>Semestral</t>
        </is>
      </c>
      <c r="E656" t="inlineStr">
        <is>
          <t>Positivo</t>
        </is>
      </c>
      <c r="F656" s="111" t="n">
        <v>45291</v>
      </c>
      <c r="G656" t="n">
        <v>2023</v>
      </c>
      <c r="H656" t="inlineStr">
        <is>
          <t>Diciembre</t>
        </is>
      </c>
      <c r="I656" t="inlineStr">
        <is>
          <t>2023-2</t>
        </is>
      </c>
      <c r="J656" t="n">
        <v>200</v>
      </c>
      <c r="K656" t="n">
        <v>330.57274243636</v>
      </c>
      <c r="L656" s="39">
        <f>IFERROR(IF(OR(J656=0,K656=""),"",IF(E656="Positivo",MIN(MAX(K656/J656,0),1.3),MIN(MAX(J656/K656,0),1.3))),"") </f>
        <v/>
      </c>
      <c r="M656" s="39">
        <f>IFERROR(IF(OR(J656=0,K656=""),"",IF(E656="Positivo",MAX(K656/J656,0),MAX(J656/K656,0))),"") </f>
        <v/>
      </c>
      <c r="N656" t="inlineStr">
        <is>
          <t>$</t>
        </is>
      </c>
      <c r="O656" t="inlineStr">
        <is>
          <t>$</t>
        </is>
      </c>
      <c r="P656" t="n">
        <v>0</v>
      </c>
      <c r="Q656" t="n">
        <v>0</v>
      </c>
      <c r="R656" t="inlineStr">
        <is>
          <t>371-2023-12-31</t>
        </is>
      </c>
    </row>
    <row r="657">
      <c r="A657" t="n">
        <v>371</v>
      </c>
      <c r="B657" t="inlineStr">
        <is>
          <t>Recaudación de fondos</t>
        </is>
      </c>
      <c r="C657" t="inlineStr">
        <is>
          <t>Gestión de la Responsabilidad Social</t>
        </is>
      </c>
      <c r="D657" t="inlineStr">
        <is>
          <t>Semestral</t>
        </is>
      </c>
      <c r="E657" t="inlineStr">
        <is>
          <t>Positivo</t>
        </is>
      </c>
      <c r="F657" s="111" t="n">
        <v>45657</v>
      </c>
      <c r="G657" t="n">
        <v>2024</v>
      </c>
      <c r="H657" t="inlineStr">
        <is>
          <t>Diciembre</t>
        </is>
      </c>
      <c r="I657" t="inlineStr">
        <is>
          <t>2024-2</t>
        </is>
      </c>
      <c r="J657" t="n">
        <v>200</v>
      </c>
      <c r="K657" t="n">
        <v>246.71</v>
      </c>
      <c r="L657" s="39">
        <f>IFERROR(IF(OR(J657=0,K657=""),"",IF(E657="Positivo",MIN(MAX(K657/J657,0),1.3),MIN(MAX(J657/K657,0),1.3))),"") </f>
        <v/>
      </c>
      <c r="M657" s="39">
        <f>IFERROR(IF(OR(J657=0,K657=""),"",IF(E657="Positivo",MAX(K657/J657,0),MAX(J657/K657,0))),"") </f>
        <v/>
      </c>
      <c r="N657" t="inlineStr">
        <is>
          <t>$</t>
        </is>
      </c>
      <c r="O657" t="inlineStr">
        <is>
          <t>$</t>
        </is>
      </c>
      <c r="P657" t="n">
        <v>0</v>
      </c>
      <c r="Q657" t="n">
        <v>0</v>
      </c>
      <c r="R657" t="inlineStr">
        <is>
          <t>371-2024-12-31</t>
        </is>
      </c>
    </row>
    <row r="658">
      <c r="A658" t="n">
        <v>371</v>
      </c>
      <c r="B658" t="inlineStr">
        <is>
          <t>Recaudación de fondos</t>
        </is>
      </c>
      <c r="C658" t="inlineStr">
        <is>
          <t>Gestión de la Responsabilidad Social</t>
        </is>
      </c>
      <c r="D658" t="inlineStr">
        <is>
          <t>Trimestral</t>
        </is>
      </c>
      <c r="E658" t="inlineStr">
        <is>
          <t>Positivo</t>
        </is>
      </c>
      <c r="F658" s="111" t="n">
        <v>46022</v>
      </c>
      <c r="G658" t="n">
        <v>2025</v>
      </c>
      <c r="H658" t="inlineStr">
        <is>
          <t>Diciembre</t>
        </is>
      </c>
      <c r="I658" t="inlineStr">
        <is>
          <t>2025-2</t>
        </is>
      </c>
      <c r="J658" t="n">
        <v>200</v>
      </c>
      <c r="K658" t="n">
        <v>157.11</v>
      </c>
      <c r="L658" s="39">
        <f>IFERROR(IF(OR(J658=0,K658=""),"",IF(E658="Positivo",MIN(MAX(K658/J658,0),1.3),MIN(MAX(J658/K658,0),1.3))),"") </f>
        <v/>
      </c>
      <c r="M658" s="39">
        <f>IFERROR(IF(OR(J658=0,K658=""),"",IF(E658="Positivo",MAX(K658/J658,0),MAX(J658/K658,0))),"") </f>
        <v/>
      </c>
      <c r="N658" t="inlineStr">
        <is>
          <t>$</t>
        </is>
      </c>
      <c r="O658" t="inlineStr">
        <is>
          <t>$</t>
        </is>
      </c>
      <c r="P658" t="n">
        <v>0</v>
      </c>
      <c r="Q658" t="n">
        <v>0</v>
      </c>
      <c r="R658" t="inlineStr">
        <is>
          <t>371-2025-12-31</t>
        </is>
      </c>
    </row>
    <row r="659">
      <c r="A659" t="n">
        <v>372</v>
      </c>
      <c r="B659" t="inlineStr">
        <is>
          <t>Satisfacción de los clientes corporativos Educación para toda la vida</t>
        </is>
      </c>
      <c r="C659" t="inlineStr">
        <is>
          <t>Operación de Educación no Formal</t>
        </is>
      </c>
      <c r="D659" t="inlineStr">
        <is>
          <t>Trimestral</t>
        </is>
      </c>
      <c r="E659" t="inlineStr">
        <is>
          <t>Positivo</t>
        </is>
      </c>
      <c r="F659" s="111" t="n">
        <v>45291</v>
      </c>
      <c r="G659" t="n">
        <v>2023</v>
      </c>
      <c r="H659" t="inlineStr">
        <is>
          <t>Diciembre</t>
        </is>
      </c>
      <c r="I659" t="inlineStr">
        <is>
          <t>2023-2</t>
        </is>
      </c>
      <c r="J659" t="n">
        <v>87</v>
      </c>
      <c r="K659" t="n">
        <v>95.5</v>
      </c>
      <c r="L659" s="39">
        <f>IFERROR(IF(OR(J659=0,K659=""),"",IF(E659="Positivo",MIN(MAX(K659/J659,0),1.3),MIN(MAX(J659/K659,0),1.3))),"") </f>
        <v/>
      </c>
      <c r="M659" s="39">
        <f>IFERROR(IF(OR(J659=0,K659=""),"",IF(E659="Positivo",MAX(K659/J659,0),MAX(J659/K659,0))),"") </f>
        <v/>
      </c>
      <c r="N659" t="inlineStr">
        <is>
          <t>%</t>
        </is>
      </c>
      <c r="O659" t="inlineStr">
        <is>
          <t>%</t>
        </is>
      </c>
      <c r="P659" t="n">
        <v>0</v>
      </c>
      <c r="Q659" t="n">
        <v>0</v>
      </c>
      <c r="R659" t="inlineStr">
        <is>
          <t>372-2023-12-31</t>
        </is>
      </c>
    </row>
    <row r="660">
      <c r="A660" t="n">
        <v>372</v>
      </c>
      <c r="B660" t="inlineStr">
        <is>
          <t>Satisfacción de los clientes corporativos Educación para toda la vida</t>
        </is>
      </c>
      <c r="C660" t="inlineStr">
        <is>
          <t>Operación de Educación no Formal</t>
        </is>
      </c>
      <c r="D660" t="inlineStr">
        <is>
          <t>Trimestral</t>
        </is>
      </c>
      <c r="E660" t="inlineStr">
        <is>
          <t>Positivo</t>
        </is>
      </c>
      <c r="F660" s="111" t="n">
        <v>45657</v>
      </c>
      <c r="G660" t="n">
        <v>2024</v>
      </c>
      <c r="H660" t="inlineStr">
        <is>
          <t>Diciembre</t>
        </is>
      </c>
      <c r="I660" t="inlineStr">
        <is>
          <t>2024-2</t>
        </is>
      </c>
      <c r="J660" t="n">
        <v>87</v>
      </c>
      <c r="K660" t="n">
        <v>91.75</v>
      </c>
      <c r="L660" s="39">
        <f>IFERROR(IF(OR(J660=0,K660=""),"",IF(E660="Positivo",MIN(MAX(K660/J660,0),1.3),MIN(MAX(J660/K660,0),1.3))),"") </f>
        <v/>
      </c>
      <c r="M660" s="39">
        <f>IFERROR(IF(OR(J660=0,K660=""),"",IF(E660="Positivo",MAX(K660/J660,0),MAX(J660/K660,0))),"") </f>
        <v/>
      </c>
      <c r="N660" t="inlineStr">
        <is>
          <t>%</t>
        </is>
      </c>
      <c r="O660" t="inlineStr">
        <is>
          <t>%</t>
        </is>
      </c>
      <c r="P660" t="n">
        <v>0</v>
      </c>
      <c r="Q660" t="n">
        <v>0</v>
      </c>
      <c r="R660" t="inlineStr">
        <is>
          <t>372-2024-12-31</t>
        </is>
      </c>
    </row>
    <row r="661">
      <c r="A661" t="n">
        <v>372</v>
      </c>
      <c r="B661" t="inlineStr">
        <is>
          <t>Satisfacción de los clientes corporativos Educación para toda la vida</t>
        </is>
      </c>
      <c r="C661" t="inlineStr">
        <is>
          <t>Operación de nuevos negocios y CI</t>
        </is>
      </c>
      <c r="D661" t="inlineStr">
        <is>
          <t>Semestral</t>
        </is>
      </c>
      <c r="E661" t="inlineStr">
        <is>
          <t>Positivo</t>
        </is>
      </c>
      <c r="F661" s="111" t="n">
        <v>46022</v>
      </c>
      <c r="G661" t="n">
        <v>2025</v>
      </c>
      <c r="H661" t="inlineStr">
        <is>
          <t>Diciembre</t>
        </is>
      </c>
      <c r="I661" t="inlineStr">
        <is>
          <t>2025-2</t>
        </is>
      </c>
      <c r="J661" t="n">
        <v>90</v>
      </c>
      <c r="K661" t="n">
        <v>95.5</v>
      </c>
      <c r="L661" s="39">
        <f>IFERROR(IF(OR(J661=0,K661=""),"",IF(E661="Positivo",MIN(MAX(K661/J661,0),1.3),MIN(MAX(J661/K661,0),1.3))),"") </f>
        <v/>
      </c>
      <c r="M661" s="39">
        <f>IFERROR(IF(OR(J661=0,K661=""),"",IF(E661="Positivo",MAX(K661/J661,0),MAX(J661/K661,0))),"") </f>
        <v/>
      </c>
      <c r="N661" t="inlineStr">
        <is>
          <t>%</t>
        </is>
      </c>
      <c r="O661" t="inlineStr">
        <is>
          <t>%</t>
        </is>
      </c>
      <c r="P661" t="n">
        <v>0</v>
      </c>
      <c r="Q661" t="n">
        <v>0</v>
      </c>
      <c r="R661" t="inlineStr">
        <is>
          <t>372-2025-12-31</t>
        </is>
      </c>
    </row>
    <row r="662">
      <c r="A662" t="n">
        <v>373</v>
      </c>
      <c r="B662" t="inlineStr">
        <is>
          <t>Cumplimiento de planes anuales por líneas</t>
        </is>
      </c>
      <c r="C662" t="inlineStr">
        <is>
          <t>Planeación Estratégica</t>
        </is>
      </c>
      <c r="D662" t="inlineStr">
        <is>
          <t>Trimestral</t>
        </is>
      </c>
      <c r="E662" t="inlineStr">
        <is>
          <t>Positivo</t>
        </is>
      </c>
      <c r="F662" s="111" t="n">
        <v>45291</v>
      </c>
      <c r="G662" t="n">
        <v>2023</v>
      </c>
      <c r="H662" t="inlineStr">
        <is>
          <t>Diciembre</t>
        </is>
      </c>
      <c r="I662" t="inlineStr">
        <is>
          <t>2023-2</t>
        </is>
      </c>
      <c r="J662" t="n">
        <v>100</v>
      </c>
      <c r="K662" t="n">
        <v>73.9616666666675</v>
      </c>
      <c r="L662" s="39">
        <f>IFERROR(IF(OR(J662=0,K662=""),"",IF(E662="Positivo",MIN(MAX(K662/J662,0),1.0),MIN(MAX(J662/K662,0),1.0))),"") </f>
        <v/>
      </c>
      <c r="M662" s="39">
        <f>IFERROR(IF(OR(J662=0,K662=""),"",IF(E662="Positivo",MAX(K662/J662,0),MAX(J662/K662,0))),"") </f>
        <v/>
      </c>
      <c r="N662" t="inlineStr">
        <is>
          <t>%</t>
        </is>
      </c>
      <c r="O662" t="inlineStr">
        <is>
          <t>%</t>
        </is>
      </c>
      <c r="P662" t="n">
        <v>0</v>
      </c>
      <c r="Q662" t="n">
        <v>0</v>
      </c>
      <c r="R662" t="inlineStr">
        <is>
          <t>373-2023-12-31</t>
        </is>
      </c>
    </row>
    <row r="663">
      <c r="A663" t="n">
        <v>373</v>
      </c>
      <c r="B663" t="inlineStr">
        <is>
          <t>Cumplimiento de planes anuales por líneas</t>
        </is>
      </c>
      <c r="C663" t="inlineStr">
        <is>
          <t>Planeación Estratégica</t>
        </is>
      </c>
      <c r="D663" t="inlineStr">
        <is>
          <t>Trimestral</t>
        </is>
      </c>
      <c r="E663" t="inlineStr">
        <is>
          <t>Positivo</t>
        </is>
      </c>
      <c r="F663" s="111" t="n">
        <v>45657</v>
      </c>
      <c r="G663" t="n">
        <v>2024</v>
      </c>
      <c r="H663" t="inlineStr">
        <is>
          <t>Diciembre</t>
        </is>
      </c>
      <c r="I663" t="inlineStr">
        <is>
          <t>2024-2</t>
        </is>
      </c>
      <c r="J663" t="n">
        <v>100</v>
      </c>
      <c r="K663" t="n">
        <v>98.52500000000001</v>
      </c>
      <c r="L663" s="39">
        <f>IFERROR(IF(OR(J663=0,K663=""),"",IF(E663="Positivo",MIN(MAX(K663/J663,0),1.0),MIN(MAX(J663/K663,0),1.0))),"") </f>
        <v/>
      </c>
      <c r="M663" s="39">
        <f>IFERROR(IF(OR(J663=0,K663=""),"",IF(E663="Positivo",MAX(K663/J663,0),MAX(J663/K663,0))),"") </f>
        <v/>
      </c>
      <c r="N663" t="inlineStr">
        <is>
          <t>%</t>
        </is>
      </c>
      <c r="O663" t="inlineStr">
        <is>
          <t>%</t>
        </is>
      </c>
      <c r="P663" t="n">
        <v>0</v>
      </c>
      <c r="Q663" t="n">
        <v>0</v>
      </c>
      <c r="R663" t="inlineStr">
        <is>
          <t>373-2024-12-31</t>
        </is>
      </c>
    </row>
    <row r="664">
      <c r="A664" t="n">
        <v>373</v>
      </c>
      <c r="B664" t="inlineStr">
        <is>
          <t>Cumplimiento de planes anuales por líneas</t>
        </is>
      </c>
      <c r="C664" t="inlineStr">
        <is>
          <t>Planeación Estratégica</t>
        </is>
      </c>
      <c r="D664" t="inlineStr">
        <is>
          <t>Semestral</t>
        </is>
      </c>
      <c r="E664" t="inlineStr">
        <is>
          <t>Positivo</t>
        </is>
      </c>
      <c r="F664" s="111" t="n">
        <v>46022</v>
      </c>
      <c r="G664" t="n">
        <v>2025</v>
      </c>
      <c r="H664" t="inlineStr">
        <is>
          <t>Diciembre</t>
        </is>
      </c>
      <c r="I664" t="inlineStr">
        <is>
          <t>2025-2</t>
        </is>
      </c>
      <c r="J664" t="n">
        <v>100</v>
      </c>
      <c r="K664" t="n">
        <v>101.215</v>
      </c>
      <c r="L664" s="39">
        <f>IFERROR(IF(OR(J664=0,K664=""),"",IF(E664="Positivo",MIN(MAX(K664/J664,0),1.0),MIN(MAX(J664/K664,0),1.0))),"") </f>
        <v/>
      </c>
      <c r="M664" s="39">
        <f>IFERROR(IF(OR(J664=0,K664=""),"",IF(E664="Positivo",MAX(K664/J664,0),MAX(J664/K664,0))),"") </f>
        <v/>
      </c>
      <c r="N664" t="inlineStr">
        <is>
          <t>%</t>
        </is>
      </c>
      <c r="O664" t="inlineStr">
        <is>
          <t>%</t>
        </is>
      </c>
      <c r="P664" t="n">
        <v>0</v>
      </c>
      <c r="Q664" t="n">
        <v>0</v>
      </c>
      <c r="R664" t="inlineStr">
        <is>
          <t>373-2025-12-31</t>
        </is>
      </c>
    </row>
    <row r="665">
      <c r="A665" t="n">
        <v>374</v>
      </c>
      <c r="B665" t="inlineStr">
        <is>
          <t>Disponibilidad de máster modalidad virtual</t>
        </is>
      </c>
      <c r="C665" t="inlineStr">
        <is>
          <t>Operaciones Académicas</t>
        </is>
      </c>
      <c r="D665" t="inlineStr">
        <is>
          <t>Semestral</t>
        </is>
      </c>
      <c r="E665" t="inlineStr">
        <is>
          <t>Positivo</t>
        </is>
      </c>
      <c r="F665" s="111" t="n">
        <v>45291</v>
      </c>
      <c r="G665" t="n">
        <v>2023</v>
      </c>
      <c r="H665" t="inlineStr">
        <is>
          <t>Diciembre</t>
        </is>
      </c>
      <c r="I665" t="inlineStr">
        <is>
          <t>2023-2</t>
        </is>
      </c>
      <c r="J665" t="n">
        <v>100</v>
      </c>
      <c r="K665" t="n">
        <v>100</v>
      </c>
      <c r="L665" s="39">
        <f>IFERROR(IF(OR(J665=0,K665=""),"",IF(E665="Positivo",MIN(MAX(K665/J665,0),1.3),MIN(MAX(J665/K665,0),1.3))),"") </f>
        <v/>
      </c>
      <c r="M665" s="39">
        <f>IFERROR(IF(OR(J665=0,K665=""),"",IF(E665="Positivo",MAX(K665/J665,0),MAX(J665/K665,0))),"") </f>
        <v/>
      </c>
      <c r="N665" t="inlineStr">
        <is>
          <t>ENT</t>
        </is>
      </c>
      <c r="O665" t="inlineStr">
        <is>
          <t>ENT</t>
        </is>
      </c>
      <c r="P665" t="n">
        <v>0</v>
      </c>
      <c r="Q665" t="n">
        <v>0</v>
      </c>
      <c r="R665" t="inlineStr">
        <is>
          <t>374-2023-12-31</t>
        </is>
      </c>
    </row>
    <row r="666">
      <c r="A666" t="n">
        <v>375</v>
      </c>
      <c r="B666" t="inlineStr">
        <is>
          <t>Disponibilidad de catálogo de asignaturas pregrado y posgrado presencial</t>
        </is>
      </c>
      <c r="C666" t="inlineStr">
        <is>
          <t>Operaciones Académicas</t>
        </is>
      </c>
      <c r="D666" t="inlineStr">
        <is>
          <t>Semestral</t>
        </is>
      </c>
      <c r="E666" t="inlineStr">
        <is>
          <t>Positivo</t>
        </is>
      </c>
      <c r="F666" s="111" t="n">
        <v>45291</v>
      </c>
      <c r="G666" t="n">
        <v>2023</v>
      </c>
      <c r="H666" t="inlineStr">
        <is>
          <t>Diciembre</t>
        </is>
      </c>
      <c r="I666" t="inlineStr">
        <is>
          <t>2023-2</t>
        </is>
      </c>
      <c r="J666" t="n">
        <v>100</v>
      </c>
      <c r="K666" t="n">
        <v>50</v>
      </c>
      <c r="L666" s="39">
        <f>IFERROR(IF(OR(J666=0,K666=""),"",IF(E666="Positivo",MIN(MAX(K666/J666,0),1.3),MIN(MAX(J666/K666,0),1.3))),"") </f>
        <v/>
      </c>
      <c r="M666" s="39">
        <f>IFERROR(IF(OR(J666=0,K666=""),"",IF(E666="Positivo",MAX(K666/J666,0),MAX(J666/K666,0))),"") </f>
        <v/>
      </c>
      <c r="N666" t="inlineStr">
        <is>
          <t>%</t>
        </is>
      </c>
      <c r="O666" t="inlineStr">
        <is>
          <t>%</t>
        </is>
      </c>
      <c r="P666" t="n">
        <v>0</v>
      </c>
      <c r="Q666" t="n">
        <v>0</v>
      </c>
      <c r="R666" t="inlineStr">
        <is>
          <t>375-2023-12-31</t>
        </is>
      </c>
    </row>
    <row r="667">
      <c r="A667" t="n">
        <v>375</v>
      </c>
      <c r="B667" t="inlineStr">
        <is>
          <t>Disponibilidad de catálogo de asignaturas pregrado y posgrado presencial</t>
        </is>
      </c>
      <c r="C667" t="inlineStr">
        <is>
          <t>Operaciones Académicas</t>
        </is>
      </c>
      <c r="D667" t="inlineStr">
        <is>
          <t>Semestral</t>
        </is>
      </c>
      <c r="E667" t="inlineStr">
        <is>
          <t>Positivo</t>
        </is>
      </c>
      <c r="F667" s="111" t="n">
        <v>45657</v>
      </c>
      <c r="G667" t="n">
        <v>2024</v>
      </c>
      <c r="H667" t="inlineStr">
        <is>
          <t>Diciembre</t>
        </is>
      </c>
      <c r="I667" t="inlineStr">
        <is>
          <t>2024-2</t>
        </is>
      </c>
      <c r="J667" t="n">
        <v>100</v>
      </c>
      <c r="K667" t="n">
        <v>100</v>
      </c>
      <c r="L667" s="39">
        <f>IFERROR(IF(OR(J667=0,K667=""),"",IF(E667="Positivo",MIN(MAX(K667/J667,0),1.3),MIN(MAX(J667/K667,0),1.3))),"") </f>
        <v/>
      </c>
      <c r="M667" s="39">
        <f>IFERROR(IF(OR(J667=0,K667=""),"",IF(E667="Positivo",MAX(K667/J667,0),MAX(J667/K667,0))),"") </f>
        <v/>
      </c>
      <c r="N667" t="inlineStr">
        <is>
          <t>%</t>
        </is>
      </c>
      <c r="O667" t="inlineStr">
        <is>
          <t>%</t>
        </is>
      </c>
      <c r="P667" t="n">
        <v>0</v>
      </c>
      <c r="Q667" t="n">
        <v>0</v>
      </c>
      <c r="R667" t="inlineStr">
        <is>
          <t>375-2024-12-31</t>
        </is>
      </c>
    </row>
    <row r="668">
      <c r="A668" t="n">
        <v>375</v>
      </c>
      <c r="B668" t="inlineStr">
        <is>
          <t>Disponibilidad de catálogo de asignaturas pregrado y posgrado presencial</t>
        </is>
      </c>
      <c r="C668" t="inlineStr">
        <is>
          <t>Operaciones Académicas</t>
        </is>
      </c>
      <c r="D668" t="inlineStr">
        <is>
          <t>Trimestral</t>
        </is>
      </c>
      <c r="E668" t="inlineStr">
        <is>
          <t>Positivo</t>
        </is>
      </c>
      <c r="F668" s="111" t="n">
        <v>46022</v>
      </c>
      <c r="G668" t="n">
        <v>2025</v>
      </c>
      <c r="H668" t="inlineStr">
        <is>
          <t>Diciembre</t>
        </is>
      </c>
      <c r="I668" t="inlineStr">
        <is>
          <t>2025-2</t>
        </is>
      </c>
      <c r="J668" t="n">
        <v>100</v>
      </c>
      <c r="K668" t="n">
        <v>100</v>
      </c>
      <c r="L668" s="39">
        <f>IFERROR(IF(OR(J668=0,K668=""),"",IF(E668="Positivo",MIN(MAX(K668/J668,0),1.3),MIN(MAX(J668/K668,0),1.3))),"") </f>
        <v/>
      </c>
      <c r="M668" s="39">
        <f>IFERROR(IF(OR(J668=0,K668=""),"",IF(E668="Positivo",MAX(K668/J668,0),MAX(J668/K668,0))),"") </f>
        <v/>
      </c>
      <c r="N668" t="inlineStr">
        <is>
          <t>%</t>
        </is>
      </c>
      <c r="O668" t="inlineStr">
        <is>
          <t>%</t>
        </is>
      </c>
      <c r="P668" t="n">
        <v>0</v>
      </c>
      <c r="Q668" t="n">
        <v>0</v>
      </c>
      <c r="R668" t="inlineStr">
        <is>
          <t>375-2025-12-31</t>
        </is>
      </c>
    </row>
    <row r="669">
      <c r="A669" t="n">
        <v>376</v>
      </c>
      <c r="B669" t="inlineStr">
        <is>
          <t>Cumplimiento EBITDA</t>
        </is>
      </c>
      <c r="C669" t="inlineStr">
        <is>
          <t>Planeación Financiera</t>
        </is>
      </c>
      <c r="D669" t="inlineStr">
        <is>
          <t>Semestral</t>
        </is>
      </c>
      <c r="E669" t="inlineStr">
        <is>
          <t>Positivo</t>
        </is>
      </c>
      <c r="F669" s="111" t="n">
        <v>45291</v>
      </c>
      <c r="G669" t="n">
        <v>2023</v>
      </c>
      <c r="H669" t="inlineStr">
        <is>
          <t>Diciembre</t>
        </is>
      </c>
      <c r="I669" t="inlineStr">
        <is>
          <t>2023-2</t>
        </is>
      </c>
      <c r="J669" t="n">
        <v>95</v>
      </c>
      <c r="K669" t="n">
        <v>101.26</v>
      </c>
      <c r="L669" s="39">
        <f>IFERROR(IF(OR(J669=0,K669=""),"",IF(E669="Positivo",MIN(MAX(K669/J669,0),1.3),MIN(MAX(J669/K669,0),1.3))),"") </f>
        <v/>
      </c>
      <c r="M669" s="39">
        <f>IFERROR(IF(OR(J669=0,K669=""),"",IF(E669="Positivo",MAX(K669/J669,0),MAX(J669/K669,0))),"") </f>
        <v/>
      </c>
      <c r="N669" t="inlineStr">
        <is>
          <t>$</t>
        </is>
      </c>
      <c r="O669" t="inlineStr">
        <is>
          <t>$</t>
        </is>
      </c>
      <c r="P669" t="n">
        <v>0</v>
      </c>
      <c r="Q669" t="n">
        <v>0</v>
      </c>
      <c r="R669" t="inlineStr">
        <is>
          <t>376-2023-12-31</t>
        </is>
      </c>
    </row>
    <row r="670">
      <c r="A670" t="n">
        <v>376</v>
      </c>
      <c r="B670" t="inlineStr">
        <is>
          <t>Cumplimiento EBITDA</t>
        </is>
      </c>
      <c r="C670" t="inlineStr">
        <is>
          <t>Planeación Financiera</t>
        </is>
      </c>
      <c r="D670" t="inlineStr">
        <is>
          <t>Semestral</t>
        </is>
      </c>
      <c r="E670" t="inlineStr">
        <is>
          <t>Positivo</t>
        </is>
      </c>
      <c r="F670" s="111" t="n">
        <v>45657</v>
      </c>
      <c r="G670" t="n">
        <v>2024</v>
      </c>
      <c r="H670" t="inlineStr">
        <is>
          <t>Diciembre</t>
        </is>
      </c>
      <c r="I670" t="inlineStr">
        <is>
          <t>2024-2</t>
        </is>
      </c>
      <c r="J670" t="n">
        <v>95</v>
      </c>
      <c r="K670" t="n">
        <v>109.1</v>
      </c>
      <c r="L670" s="39">
        <f>IFERROR(IF(OR(J670=0,K670=""),"",IF(E670="Positivo",MIN(MAX(K670/J670,0),1.3),MIN(MAX(J670/K670,0),1.3))),"") </f>
        <v/>
      </c>
      <c r="M670" s="39">
        <f>IFERROR(IF(OR(J670=0,K670=""),"",IF(E670="Positivo",MAX(K670/J670,0),MAX(J670/K670,0))),"") </f>
        <v/>
      </c>
      <c r="N670" t="inlineStr">
        <is>
          <t>$</t>
        </is>
      </c>
      <c r="O670" t="inlineStr">
        <is>
          <t>$</t>
        </is>
      </c>
      <c r="P670" t="n">
        <v>0</v>
      </c>
      <c r="Q670" t="n">
        <v>0</v>
      </c>
      <c r="R670" t="inlineStr">
        <is>
          <t>376-2024-12-31</t>
        </is>
      </c>
    </row>
    <row r="671">
      <c r="A671" t="n">
        <v>376</v>
      </c>
      <c r="B671" t="inlineStr">
        <is>
          <t>Cumplimiento EBITDA</t>
        </is>
      </c>
      <c r="C671" t="inlineStr">
        <is>
          <t>Planeación Financiera</t>
        </is>
      </c>
      <c r="D671" t="inlineStr">
        <is>
          <t>Semestral</t>
        </is>
      </c>
      <c r="E671" t="inlineStr">
        <is>
          <t>Positivo</t>
        </is>
      </c>
      <c r="F671" s="111" t="n">
        <v>46022</v>
      </c>
      <c r="G671" t="n">
        <v>2025</v>
      </c>
      <c r="H671" t="inlineStr">
        <is>
          <t>Diciembre</t>
        </is>
      </c>
      <c r="I671" t="inlineStr">
        <is>
          <t>2025-2</t>
        </is>
      </c>
      <c r="J671" t="n">
        <v>95</v>
      </c>
      <c r="K671" t="n">
        <v>117.51</v>
      </c>
      <c r="L671" s="39">
        <f>IFERROR(IF(OR(J671=0,K671=""),"",IF(E671="Positivo",MIN(MAX(K671/J671,0),1.3),MIN(MAX(J671/K671,0),1.3))),"") </f>
        <v/>
      </c>
      <c r="M671" s="39">
        <f>IFERROR(IF(OR(J671=0,K671=""),"",IF(E671="Positivo",MAX(K671/J671,0),MAX(J671/K671,0))),"") </f>
        <v/>
      </c>
      <c r="N671" t="inlineStr">
        <is>
          <t>$</t>
        </is>
      </c>
      <c r="O671" t="inlineStr">
        <is>
          <t>$</t>
        </is>
      </c>
      <c r="P671" t="n">
        <v>0</v>
      </c>
      <c r="Q671" t="n">
        <v>0</v>
      </c>
      <c r="R671" t="inlineStr">
        <is>
          <t>376-2025-12-31</t>
        </is>
      </c>
    </row>
    <row r="672">
      <c r="A672" t="n">
        <v>377</v>
      </c>
      <c r="B672" t="inlineStr">
        <is>
          <t>CAPEX</t>
        </is>
      </c>
      <c r="C672" t="inlineStr">
        <is>
          <t>Planeación Financiera</t>
        </is>
      </c>
      <c r="D672" t="inlineStr">
        <is>
          <t>Semestral</t>
        </is>
      </c>
      <c r="E672" t="inlineStr">
        <is>
          <t>Negativo</t>
        </is>
      </c>
      <c r="F672" s="111" t="n">
        <v>45291</v>
      </c>
      <c r="G672" t="n">
        <v>2023</v>
      </c>
      <c r="H672" t="inlineStr">
        <is>
          <t>Diciembre</t>
        </is>
      </c>
      <c r="I672" t="inlineStr">
        <is>
          <t>2023-2</t>
        </is>
      </c>
      <c r="J672" t="n">
        <v>100</v>
      </c>
      <c r="K672" t="n">
        <v>60.77</v>
      </c>
      <c r="L672" s="39">
        <f>IFERROR(IF(OR(J672=0,K672=""),"",IF(E672="Positivo",MIN(MAX(K672/J672,0),1.3),MIN(MAX(J672/K672,0),1.3))),"") </f>
        <v/>
      </c>
      <c r="M672" s="39">
        <f>IFERROR(IF(OR(J672=0,K672=""),"",IF(E672="Positivo",MAX(K672/J672,0),MAX(J672/K672,0))),"") </f>
        <v/>
      </c>
      <c r="N672" t="inlineStr">
        <is>
          <t>$</t>
        </is>
      </c>
      <c r="O672" t="inlineStr">
        <is>
          <t>$</t>
        </is>
      </c>
      <c r="P672" t="n">
        <v>0</v>
      </c>
      <c r="Q672" t="n">
        <v>0</v>
      </c>
      <c r="R672" t="inlineStr">
        <is>
          <t>377-2023-12-31</t>
        </is>
      </c>
    </row>
    <row r="673">
      <c r="A673" t="n">
        <v>377</v>
      </c>
      <c r="B673" t="inlineStr">
        <is>
          <t>CAPEX</t>
        </is>
      </c>
      <c r="C673" t="inlineStr">
        <is>
          <t>Planeación Financiera</t>
        </is>
      </c>
      <c r="D673" t="inlineStr">
        <is>
          <t>Semestral</t>
        </is>
      </c>
      <c r="E673" t="inlineStr">
        <is>
          <t>Negativo</t>
        </is>
      </c>
      <c r="F673" s="111" t="n">
        <v>45657</v>
      </c>
      <c r="G673" t="n">
        <v>2024</v>
      </c>
      <c r="H673" t="inlineStr">
        <is>
          <t>Diciembre</t>
        </is>
      </c>
      <c r="I673" t="inlineStr">
        <is>
          <t>2024-2</t>
        </is>
      </c>
      <c r="J673" t="n">
        <v>100</v>
      </c>
      <c r="K673" t="n">
        <v>125.01</v>
      </c>
      <c r="L673" s="39">
        <f>IFERROR(IF(OR(J673=0,K673=""),"",IF(E673="Positivo",MIN(MAX(K673/J673,0),1.3),MIN(MAX(J673/K673,0),1.3))),"") </f>
        <v/>
      </c>
      <c r="M673" s="39">
        <f>IFERROR(IF(OR(J673=0,K673=""),"",IF(E673="Positivo",MAX(K673/J673,0),MAX(J673/K673,0))),"") </f>
        <v/>
      </c>
      <c r="N673" t="inlineStr">
        <is>
          <t>$</t>
        </is>
      </c>
      <c r="O673" t="inlineStr">
        <is>
          <t>$</t>
        </is>
      </c>
      <c r="P673" t="n">
        <v>0</v>
      </c>
      <c r="Q673" t="n">
        <v>0</v>
      </c>
      <c r="R673" t="inlineStr">
        <is>
          <t>377-2024-12-31</t>
        </is>
      </c>
    </row>
    <row r="674">
      <c r="A674" t="n">
        <v>377</v>
      </c>
      <c r="B674" t="inlineStr">
        <is>
          <t>CAPEX</t>
        </is>
      </c>
      <c r="C674" t="inlineStr">
        <is>
          <t>Planeación Financiera</t>
        </is>
      </c>
      <c r="D674" t="inlineStr">
        <is>
          <t>Semestral</t>
        </is>
      </c>
      <c r="E674" t="inlineStr">
        <is>
          <t>Positivo</t>
        </is>
      </c>
      <c r="F674" s="111" t="n">
        <v>46022</v>
      </c>
      <c r="G674" t="n">
        <v>2025</v>
      </c>
      <c r="H674" t="inlineStr">
        <is>
          <t>Diciembre</t>
        </is>
      </c>
      <c r="I674" t="inlineStr">
        <is>
          <t>2025-2</t>
        </is>
      </c>
      <c r="J674" t="n">
        <v>100</v>
      </c>
      <c r="K674" t="n">
        <v>107.11</v>
      </c>
      <c r="L674" s="39">
        <f>IFERROR(IF(OR(J674=0,K674=""),"",IF(E674="Positivo",MIN(MAX(K674/J674,0),1.3),MIN(MAX(J674/K674,0),1.3))),"") </f>
        <v/>
      </c>
      <c r="M674" s="39">
        <f>IFERROR(IF(OR(J674=0,K674=""),"",IF(E674="Positivo",MAX(K674/J674,0),MAX(J674/K674,0))),"") </f>
        <v/>
      </c>
      <c r="N674" t="inlineStr">
        <is>
          <t>$</t>
        </is>
      </c>
      <c r="O674" t="inlineStr">
        <is>
          <t>$</t>
        </is>
      </c>
      <c r="P674" t="n">
        <v>0</v>
      </c>
      <c r="Q674" t="n">
        <v>0</v>
      </c>
      <c r="R674" t="inlineStr">
        <is>
          <t>377-2025-12-31</t>
        </is>
      </c>
    </row>
    <row r="675">
      <c r="A675" t="n">
        <v>378</v>
      </c>
      <c r="B675" t="inlineStr">
        <is>
          <t>Proyectos tecnológicos</t>
        </is>
      </c>
      <c r="C675" t="inlineStr">
        <is>
          <t>GESTIÓN DE LA TECNOLOGÍA E INNOVACIÓN DIGITAL</t>
        </is>
      </c>
      <c r="D675" t="inlineStr">
        <is>
          <t>Mensual</t>
        </is>
      </c>
      <c r="E675" t="inlineStr">
        <is>
          <t>Positivo</t>
        </is>
      </c>
      <c r="F675" s="111" t="n">
        <v>45291</v>
      </c>
      <c r="G675" t="n">
        <v>2023</v>
      </c>
      <c r="H675" t="inlineStr">
        <is>
          <t>Diciembre</t>
        </is>
      </c>
      <c r="I675" t="inlineStr">
        <is>
          <t>2023-2</t>
        </is>
      </c>
      <c r="J675" t="n">
        <v>92</v>
      </c>
      <c r="K675" t="n">
        <v>95.58</v>
      </c>
      <c r="L675" s="39">
        <f>IFERROR(IF(OR(J675=0,K675=""),"",IF(E675="Positivo",MIN(MAX(K675/J675,0),1.3),MIN(MAX(J675/K675,0),1.3))),"") </f>
        <v/>
      </c>
      <c r="M675" s="39">
        <f>IFERROR(IF(OR(J675=0,K675=""),"",IF(E675="Positivo",MAX(K675/J675,0),MAX(J675/K675,0))),"") </f>
        <v/>
      </c>
      <c r="N675" t="inlineStr">
        <is>
          <t>%</t>
        </is>
      </c>
      <c r="O675" t="inlineStr">
        <is>
          <t>%</t>
        </is>
      </c>
      <c r="P675" t="n">
        <v>0</v>
      </c>
      <c r="Q675" t="n">
        <v>0</v>
      </c>
      <c r="R675" t="inlineStr">
        <is>
          <t>378-2023-12-31</t>
        </is>
      </c>
    </row>
    <row r="676">
      <c r="A676" t="n">
        <v>378</v>
      </c>
      <c r="B676" t="inlineStr">
        <is>
          <t>Proyectos tecnológicos</t>
        </is>
      </c>
      <c r="C676" t="inlineStr">
        <is>
          <t>GESTIÓN DE LA TECNOLOGÍA E INNOVACIÓN DIGITAL</t>
        </is>
      </c>
      <c r="D676" t="inlineStr">
        <is>
          <t>Mensual</t>
        </is>
      </c>
      <c r="E676" t="inlineStr">
        <is>
          <t>Positivo</t>
        </is>
      </c>
      <c r="F676" s="111" t="n">
        <v>45657</v>
      </c>
      <c r="G676" t="n">
        <v>2024</v>
      </c>
      <c r="H676" t="inlineStr">
        <is>
          <t>Diciembre</t>
        </is>
      </c>
      <c r="I676" t="inlineStr">
        <is>
          <t>2024-2</t>
        </is>
      </c>
      <c r="J676" t="n">
        <v>0</v>
      </c>
      <c r="K676" t="n">
        <v>0</v>
      </c>
      <c r="L676" s="39">
        <f>IFERROR(IF(OR(J676=0,K676=""),"",IF(E676="Positivo",MIN(MAX(K676/J676,0),1.3),MIN(MAX(J676/K676,0),1.3))),"") </f>
        <v/>
      </c>
      <c r="M676" s="39">
        <f>IFERROR(IF(OR(J676=0,K676=""),"",IF(E676="Positivo",MAX(K676/J676,0),MAX(J676/K676,0))),"") </f>
        <v/>
      </c>
      <c r="N676" t="inlineStr">
        <is>
          <t>%</t>
        </is>
      </c>
      <c r="O676" t="inlineStr">
        <is>
          <t>%</t>
        </is>
      </c>
      <c r="P676" t="n">
        <v>0</v>
      </c>
      <c r="Q676" t="n">
        <v>0</v>
      </c>
      <c r="R676" t="inlineStr">
        <is>
          <t>378-2024-12-31</t>
        </is>
      </c>
    </row>
    <row r="677">
      <c r="A677" t="n">
        <v>379</v>
      </c>
      <c r="B677" t="inlineStr">
        <is>
          <t>Total estudiantes nuevos</t>
        </is>
      </c>
      <c r="C677" t="inlineStr">
        <is>
          <t>Inscripción, admisión y matrícula de estudiantes nuevos</t>
        </is>
      </c>
      <c r="D677" t="inlineStr">
        <is>
          <t>Semestral</t>
        </is>
      </c>
      <c r="E677" t="inlineStr">
        <is>
          <t>Positivo</t>
        </is>
      </c>
      <c r="F677" s="111" t="n">
        <v>45291</v>
      </c>
      <c r="G677" t="n">
        <v>2023</v>
      </c>
      <c r="H677" t="inlineStr">
        <is>
          <t>Diciembre</t>
        </is>
      </c>
      <c r="I677" t="inlineStr">
        <is>
          <t>2023-2</t>
        </is>
      </c>
      <c r="J677" t="n">
        <v>200</v>
      </c>
      <c r="K677" t="n">
        <v>211.37877164056</v>
      </c>
      <c r="L677" s="39">
        <f>IFERROR(IF(OR(J677=0,K677=""),"",IF(E677="Positivo",MIN(MAX(K677/J677,0),1.3),MIN(MAX(J677/K677,0),1.3))),"") </f>
        <v/>
      </c>
      <c r="M677" s="39">
        <f>IFERROR(IF(OR(J677=0,K677=""),"",IF(E677="Positivo",MAX(K677/J677,0),MAX(J677/K677,0))),"") </f>
        <v/>
      </c>
      <c r="N677" t="inlineStr">
        <is>
          <t>ENT</t>
        </is>
      </c>
      <c r="O677" t="inlineStr">
        <is>
          <t>ENT</t>
        </is>
      </c>
      <c r="P677" t="n">
        <v>0</v>
      </c>
      <c r="Q677" t="n">
        <v>0</v>
      </c>
      <c r="R677" t="inlineStr">
        <is>
          <t>379-2023-12-31</t>
        </is>
      </c>
    </row>
    <row r="678">
      <c r="A678" t="n">
        <v>379</v>
      </c>
      <c r="B678" t="inlineStr">
        <is>
          <t>Total estudiantes nuevos</t>
        </is>
      </c>
      <c r="C678" t="inlineStr">
        <is>
          <t>Inscripción, admisión y matrícula de estudiantes nuevos</t>
        </is>
      </c>
      <c r="D678" t="inlineStr">
        <is>
          <t>Semestral</t>
        </is>
      </c>
      <c r="E678" t="inlineStr">
        <is>
          <t>Positivo</t>
        </is>
      </c>
      <c r="F678" s="111" t="n">
        <v>45657</v>
      </c>
      <c r="G678" t="n">
        <v>2024</v>
      </c>
      <c r="H678" t="inlineStr">
        <is>
          <t>Diciembre</t>
        </is>
      </c>
      <c r="I678" t="inlineStr">
        <is>
          <t>2024-2</t>
        </is>
      </c>
      <c r="J678" t="n">
        <v>200</v>
      </c>
      <c r="K678" t="n">
        <v>195.23</v>
      </c>
      <c r="L678" s="39">
        <f>IFERROR(IF(OR(J678=0,K678=""),"",IF(E678="Positivo",MIN(MAX(K678/J678,0),1.3),MIN(MAX(J678/K678,0),1.3))),"") </f>
        <v/>
      </c>
      <c r="M678" s="39">
        <f>IFERROR(IF(OR(J678=0,K678=""),"",IF(E678="Positivo",MAX(K678/J678,0),MAX(J678/K678,0))),"") </f>
        <v/>
      </c>
      <c r="N678" t="inlineStr">
        <is>
          <t>ENT</t>
        </is>
      </c>
      <c r="O678" t="inlineStr">
        <is>
          <t>ENT</t>
        </is>
      </c>
      <c r="P678" t="n">
        <v>0</v>
      </c>
      <c r="Q678" t="n">
        <v>0</v>
      </c>
      <c r="R678" t="inlineStr">
        <is>
          <t>379-2024-12-31</t>
        </is>
      </c>
    </row>
    <row r="679">
      <c r="A679" t="n">
        <v>379</v>
      </c>
      <c r="B679" t="inlineStr">
        <is>
          <t>Total estudiantes nuevos</t>
        </is>
      </c>
      <c r="C679" t="inlineStr">
        <is>
          <t>Inscripción, admisión y matrícula de estudiantes nuevos</t>
        </is>
      </c>
      <c r="D679" t="inlineStr">
        <is>
          <t>Semestral</t>
        </is>
      </c>
      <c r="E679" t="inlineStr">
        <is>
          <t>Positivo</t>
        </is>
      </c>
      <c r="F679" s="111" t="n">
        <v>46022</v>
      </c>
      <c r="G679" t="n">
        <v>2025</v>
      </c>
      <c r="H679" t="inlineStr">
        <is>
          <t>Diciembre</t>
        </is>
      </c>
      <c r="I679" t="inlineStr">
        <is>
          <t>2025-2</t>
        </is>
      </c>
      <c r="J679" t="n">
        <v>200</v>
      </c>
      <c r="K679" t="n">
        <v>206.52</v>
      </c>
      <c r="L679" s="39">
        <f>IFERROR(IF(OR(J679=0,K679=""),"",IF(E679="Positivo",MIN(MAX(K679/J679,0),1.3),MIN(MAX(J679/K679,0),1.3))),"") </f>
        <v/>
      </c>
      <c r="M679" s="39">
        <f>IFERROR(IF(OR(J679=0,K679=""),"",IF(E679="Positivo",MAX(K679/J679,0),MAX(J679/K679,0))),"") </f>
        <v/>
      </c>
      <c r="N679" t="inlineStr">
        <is>
          <t>ENT</t>
        </is>
      </c>
      <c r="O679" t="inlineStr">
        <is>
          <t>ENT</t>
        </is>
      </c>
      <c r="P679" t="n">
        <v>0</v>
      </c>
      <c r="Q679" t="n">
        <v>0</v>
      </c>
      <c r="R679" t="inlineStr">
        <is>
          <t>379-2025-12-31</t>
        </is>
      </c>
    </row>
    <row r="680">
      <c r="A680" t="n">
        <v>380</v>
      </c>
      <c r="B680" t="inlineStr">
        <is>
          <t>Ingresos de matriculas de estudiantes nuevos</t>
        </is>
      </c>
      <c r="C680" t="inlineStr">
        <is>
          <t>Inscripción, admisión y matrícula de estudiantes nuevos</t>
        </is>
      </c>
      <c r="D680" t="inlineStr">
        <is>
          <t>Semestral</t>
        </is>
      </c>
      <c r="E680" t="inlineStr">
        <is>
          <t>Positivo</t>
        </is>
      </c>
      <c r="F680" s="111" t="n">
        <v>45291</v>
      </c>
      <c r="G680" t="n">
        <v>2023</v>
      </c>
      <c r="H680" t="inlineStr">
        <is>
          <t>Diciembre</t>
        </is>
      </c>
      <c r="I680" t="inlineStr">
        <is>
          <t>2023-2</t>
        </is>
      </c>
      <c r="J680" t="n">
        <v>49384.117103</v>
      </c>
      <c r="K680" t="n">
        <v>51094.632052</v>
      </c>
      <c r="L680" s="39">
        <f>IFERROR(IF(OR(J680=0,K680=""),"",IF(E680="Positivo",MIN(MAX(K680/J680,0),1.3),MIN(MAX(J680/K680,0),1.3))),"") </f>
        <v/>
      </c>
      <c r="M680" s="39">
        <f>IFERROR(IF(OR(J680=0,K680=""),"",IF(E680="Positivo",MAX(K680/J680,0),MAX(J680/K680,0))),"") </f>
        <v/>
      </c>
      <c r="N680" t="inlineStr">
        <is>
          <t>$</t>
        </is>
      </c>
      <c r="O680" t="inlineStr">
        <is>
          <t>$</t>
        </is>
      </c>
      <c r="P680" t="n">
        <v>0</v>
      </c>
      <c r="Q680" t="n">
        <v>0</v>
      </c>
      <c r="R680" t="inlineStr">
        <is>
          <t>380-2023-12-31</t>
        </is>
      </c>
    </row>
    <row r="681">
      <c r="A681" t="n">
        <v>380</v>
      </c>
      <c r="B681" t="inlineStr">
        <is>
          <t>Ingresos de matriculas de estudiantes nuevos</t>
        </is>
      </c>
      <c r="C681" t="inlineStr">
        <is>
          <t>Inscripción, admisión y matrícula de estudiantes nuevos</t>
        </is>
      </c>
      <c r="D681" t="inlineStr">
        <is>
          <t>Semestral</t>
        </is>
      </c>
      <c r="E681" t="inlineStr">
        <is>
          <t>Positivo</t>
        </is>
      </c>
      <c r="F681" s="111" t="n">
        <v>45657</v>
      </c>
      <c r="G681" t="n">
        <v>2024</v>
      </c>
      <c r="H681" t="inlineStr">
        <is>
          <t>Diciembre</t>
        </is>
      </c>
      <c r="I681" t="inlineStr">
        <is>
          <t>2024-2</t>
        </is>
      </c>
      <c r="J681" t="n">
        <v>100</v>
      </c>
      <c r="K681" t="n">
        <v>78.92</v>
      </c>
      <c r="L681" s="39">
        <f>IFERROR(IF(OR(J681=0,K681=""),"",IF(E681="Positivo",MIN(MAX(K681/J681,0),1.3),MIN(MAX(J681/K681,0),1.3))),"") </f>
        <v/>
      </c>
      <c r="M681" s="39">
        <f>IFERROR(IF(OR(J681=0,K681=""),"",IF(E681="Positivo",MAX(K681/J681,0),MAX(J681/K681,0))),"") </f>
        <v/>
      </c>
      <c r="N681" t="inlineStr">
        <is>
          <t>%</t>
        </is>
      </c>
      <c r="O681" t="inlineStr">
        <is>
          <t>%</t>
        </is>
      </c>
      <c r="P681" t="n">
        <v>0</v>
      </c>
      <c r="Q681" t="n">
        <v>0</v>
      </c>
      <c r="R681" t="inlineStr">
        <is>
          <t>380-2024-12-31</t>
        </is>
      </c>
    </row>
    <row r="682">
      <c r="A682" t="n">
        <v>381</v>
      </c>
      <c r="B682" t="inlineStr">
        <is>
          <t>Cumplimiento de matrículas pregrado presencial nuevos</t>
        </is>
      </c>
      <c r="C682" t="inlineStr">
        <is>
          <t>Inscripción, admisión y matrícula de estudiantes nuevos</t>
        </is>
      </c>
      <c r="D682" t="inlineStr">
        <is>
          <t>Semestral</t>
        </is>
      </c>
      <c r="E682" t="inlineStr">
        <is>
          <t>Positivo</t>
        </is>
      </c>
      <c r="F682" s="111" t="n">
        <v>45291</v>
      </c>
      <c r="G682" t="n">
        <v>2023</v>
      </c>
      <c r="H682" t="inlineStr">
        <is>
          <t>Diciembre</t>
        </is>
      </c>
      <c r="I682" t="inlineStr">
        <is>
          <t>2023-2</t>
        </is>
      </c>
      <c r="J682" t="n">
        <v>200</v>
      </c>
      <c r="K682" t="n">
        <v>217.97170868347</v>
      </c>
      <c r="L682" s="39">
        <f>IFERROR(IF(OR(J682=0,K682=""),"",IF(E682="Positivo",MIN(MAX(K682/J682,0),1.3),MIN(MAX(J682/K682,0),1.3))),"") </f>
        <v/>
      </c>
      <c r="M682" s="39">
        <f>IFERROR(IF(OR(J682=0,K682=""),"",IF(E682="Positivo",MAX(K682/J682,0),MAX(J682/K682,0))),"") </f>
        <v/>
      </c>
      <c r="N682" t="inlineStr">
        <is>
          <t>ENT</t>
        </is>
      </c>
      <c r="O682" t="inlineStr">
        <is>
          <t>ENT</t>
        </is>
      </c>
      <c r="P682" t="n">
        <v>0</v>
      </c>
      <c r="Q682" t="n">
        <v>0</v>
      </c>
      <c r="R682" t="inlineStr">
        <is>
          <t>381-2023-12-31</t>
        </is>
      </c>
    </row>
    <row r="683">
      <c r="A683" t="n">
        <v>381</v>
      </c>
      <c r="B683" t="inlineStr">
        <is>
          <t>Cumplimiento de matrículas pregrado presencial nuevos</t>
        </is>
      </c>
      <c r="C683" t="inlineStr">
        <is>
          <t>Inscripción, admisión y matrícula de estudiantes nuevos</t>
        </is>
      </c>
      <c r="D683" t="inlineStr">
        <is>
          <t>Semestral</t>
        </is>
      </c>
      <c r="E683" t="inlineStr">
        <is>
          <t>Positivo</t>
        </is>
      </c>
      <c r="F683" s="111" t="n">
        <v>45657</v>
      </c>
      <c r="G683" t="n">
        <v>2024</v>
      </c>
      <c r="H683" t="inlineStr">
        <is>
          <t>Diciembre</t>
        </is>
      </c>
      <c r="I683" t="inlineStr">
        <is>
          <t>2024-2</t>
        </is>
      </c>
      <c r="J683" t="n">
        <v>200</v>
      </c>
      <c r="K683" t="n">
        <v>194.45</v>
      </c>
      <c r="L683" s="39">
        <f>IFERROR(IF(OR(J683=0,K683=""),"",IF(E683="Positivo",MIN(MAX(K683/J683,0),1.3),MIN(MAX(J683/K683,0),1.3))),"") </f>
        <v/>
      </c>
      <c r="M683" s="39">
        <f>IFERROR(IF(OR(J683=0,K683=""),"",IF(E683="Positivo",MAX(K683/J683,0),MAX(J683/K683,0))),"") </f>
        <v/>
      </c>
      <c r="N683" t="inlineStr">
        <is>
          <t>ENT</t>
        </is>
      </c>
      <c r="O683" t="inlineStr">
        <is>
          <t>ENT</t>
        </is>
      </c>
      <c r="P683" t="n">
        <v>0</v>
      </c>
      <c r="Q683" t="n">
        <v>0</v>
      </c>
      <c r="R683" t="inlineStr">
        <is>
          <t>381-2024-12-31</t>
        </is>
      </c>
    </row>
    <row r="684">
      <c r="A684" t="n">
        <v>381</v>
      </c>
      <c r="B684" t="inlineStr">
        <is>
          <t>Cumplimiento de matrículas pregrado presencial nuevos</t>
        </is>
      </c>
      <c r="C684" t="inlineStr">
        <is>
          <t>Inscripción, admisión y matrícula de estudiantes nuevos</t>
        </is>
      </c>
      <c r="D684" t="inlineStr">
        <is>
          <t>Trimestral</t>
        </is>
      </c>
      <c r="E684" t="inlineStr">
        <is>
          <t>Positivo</t>
        </is>
      </c>
      <c r="F684" s="111" t="n">
        <v>46022</v>
      </c>
      <c r="G684" t="n">
        <v>2025</v>
      </c>
      <c r="H684" t="inlineStr">
        <is>
          <t>Diciembre</t>
        </is>
      </c>
      <c r="I684" t="inlineStr">
        <is>
          <t>2025-2</t>
        </is>
      </c>
      <c r="J684" t="n">
        <v>200</v>
      </c>
      <c r="K684" t="n">
        <v>211.88</v>
      </c>
      <c r="L684" s="39">
        <f>IFERROR(IF(OR(J684=0,K684=""),"",IF(E684="Positivo",MIN(MAX(K684/J684,0),1.3),MIN(MAX(J684/K684,0),1.3))),"") </f>
        <v/>
      </c>
      <c r="M684" s="39">
        <f>IFERROR(IF(OR(J684=0,K684=""),"",IF(E684="Positivo",MAX(K684/J684,0),MAX(J684/K684,0))),"") </f>
        <v/>
      </c>
      <c r="N684" t="inlineStr">
        <is>
          <t>ENT</t>
        </is>
      </c>
      <c r="O684" t="inlineStr">
        <is>
          <t>ENT</t>
        </is>
      </c>
      <c r="P684" t="n">
        <v>0</v>
      </c>
      <c r="Q684" t="n">
        <v>0</v>
      </c>
      <c r="R684" t="inlineStr">
        <is>
          <t>381-2025-12-31</t>
        </is>
      </c>
    </row>
    <row r="685">
      <c r="A685" t="n">
        <v>382</v>
      </c>
      <c r="B685" t="inlineStr">
        <is>
          <t>Cumplimiento de matrículas pregrado virtual nuevos</t>
        </is>
      </c>
      <c r="C685" t="inlineStr">
        <is>
          <t>Inscripción, admisión y matrícula de estudiantes nuevos</t>
        </is>
      </c>
      <c r="D685" t="inlineStr">
        <is>
          <t>Semestral</t>
        </is>
      </c>
      <c r="E685" t="inlineStr">
        <is>
          <t>Positivo</t>
        </is>
      </c>
      <c r="F685" s="111" t="n">
        <v>45291</v>
      </c>
      <c r="G685" t="n">
        <v>2023</v>
      </c>
      <c r="H685" t="inlineStr">
        <is>
          <t>Diciembre</t>
        </is>
      </c>
      <c r="I685" t="inlineStr">
        <is>
          <t>2023-2</t>
        </is>
      </c>
      <c r="J685" t="n">
        <v>200</v>
      </c>
      <c r="K685" t="n">
        <v>204.26041131951</v>
      </c>
      <c r="L685" s="39">
        <f>IFERROR(IF(OR(J685=0,K685=""),"",IF(E685="Positivo",MIN(MAX(K685/J685,0),1.3),MIN(MAX(J685/K685,0),1.3))),"") </f>
        <v/>
      </c>
      <c r="M685" s="39">
        <f>IFERROR(IF(OR(J685=0,K685=""),"",IF(E685="Positivo",MAX(K685/J685,0),MAX(J685/K685,0))),"") </f>
        <v/>
      </c>
      <c r="N685" t="inlineStr">
        <is>
          <t>ENT</t>
        </is>
      </c>
      <c r="O685" t="inlineStr">
        <is>
          <t>ENT</t>
        </is>
      </c>
      <c r="P685" t="n">
        <v>0</v>
      </c>
      <c r="Q685" t="n">
        <v>0</v>
      </c>
      <c r="R685" t="inlineStr">
        <is>
          <t>382-2023-12-31</t>
        </is>
      </c>
    </row>
    <row r="686">
      <c r="A686" t="n">
        <v>382</v>
      </c>
      <c r="B686" t="inlineStr">
        <is>
          <t>Cumplimiento de matrículas pregrado virtual nuevos</t>
        </is>
      </c>
      <c r="C686" t="inlineStr">
        <is>
          <t>Inscripción, admisión y matrícula de estudiantes nuevos</t>
        </is>
      </c>
      <c r="D686" t="inlineStr">
        <is>
          <t>Semestral</t>
        </is>
      </c>
      <c r="E686" t="inlineStr">
        <is>
          <t>Positivo</t>
        </is>
      </c>
      <c r="F686" s="111" t="n">
        <v>45657</v>
      </c>
      <c r="G686" t="n">
        <v>2024</v>
      </c>
      <c r="H686" t="inlineStr">
        <is>
          <t>Diciembre</t>
        </is>
      </c>
      <c r="I686" t="inlineStr">
        <is>
          <t>2024-2</t>
        </is>
      </c>
      <c r="J686" t="n">
        <v>200</v>
      </c>
      <c r="K686" t="n">
        <v>191.83</v>
      </c>
      <c r="L686" s="39">
        <f>IFERROR(IF(OR(J686=0,K686=""),"",IF(E686="Positivo",MIN(MAX(K686/J686,0),1.3),MIN(MAX(J686/K686,0),1.3))),"") </f>
        <v/>
      </c>
      <c r="M686" s="39">
        <f>IFERROR(IF(OR(J686=0,K686=""),"",IF(E686="Positivo",MAX(K686/J686,0),MAX(J686/K686,0))),"") </f>
        <v/>
      </c>
      <c r="N686" t="inlineStr">
        <is>
          <t>ENT</t>
        </is>
      </c>
      <c r="O686" t="inlineStr">
        <is>
          <t>ENT</t>
        </is>
      </c>
      <c r="P686" t="n">
        <v>0</v>
      </c>
      <c r="Q686" t="n">
        <v>0</v>
      </c>
      <c r="R686" t="inlineStr">
        <is>
          <t>382-2024-12-31</t>
        </is>
      </c>
    </row>
    <row r="687">
      <c r="A687" t="n">
        <v>382</v>
      </c>
      <c r="B687" t="inlineStr">
        <is>
          <t>Cumplimiento de matrículas pregrado virtual nuevos</t>
        </is>
      </c>
      <c r="C687" t="inlineStr">
        <is>
          <t>Inscripción, admisión y matrícula de estudiantes nuevos</t>
        </is>
      </c>
      <c r="D687" t="inlineStr">
        <is>
          <t>Trimestral</t>
        </is>
      </c>
      <c r="E687" t="inlineStr">
        <is>
          <t>Positivo</t>
        </is>
      </c>
      <c r="F687" s="111" t="n">
        <v>46022</v>
      </c>
      <c r="G687" t="n">
        <v>2025</v>
      </c>
      <c r="H687" t="inlineStr">
        <is>
          <t>Diciembre</t>
        </is>
      </c>
      <c r="I687" t="inlineStr">
        <is>
          <t>2025-2</t>
        </is>
      </c>
      <c r="J687" t="n">
        <v>200</v>
      </c>
      <c r="K687" t="n">
        <v>197.06</v>
      </c>
      <c r="L687" s="39">
        <f>IFERROR(IF(OR(J687=0,K687=""),"",IF(E687="Positivo",MIN(MAX(K687/J687,0),1.3),MIN(MAX(J687/K687,0),1.3))),"") </f>
        <v/>
      </c>
      <c r="M687" s="39">
        <f>IFERROR(IF(OR(J687=0,K687=""),"",IF(E687="Positivo",MAX(K687/J687,0),MAX(J687/K687,0))),"") </f>
        <v/>
      </c>
      <c r="N687" t="inlineStr">
        <is>
          <t>ENT</t>
        </is>
      </c>
      <c r="O687" t="inlineStr">
        <is>
          <t>ENT</t>
        </is>
      </c>
      <c r="P687" t="n">
        <v>0</v>
      </c>
      <c r="Q687" t="n">
        <v>0</v>
      </c>
      <c r="R687" t="inlineStr">
        <is>
          <t>382-2025-12-31</t>
        </is>
      </c>
    </row>
    <row r="688">
      <c r="A688" t="n">
        <v>383</v>
      </c>
      <c r="B688" t="inlineStr">
        <is>
          <t>Cumplimiento de matrículas posgrado virtual nuevos</t>
        </is>
      </c>
      <c r="C688" t="inlineStr">
        <is>
          <t>Inscripción, admisión y matrícula de estudiantes nuevos</t>
        </is>
      </c>
      <c r="D688" t="inlineStr">
        <is>
          <t>Semestral</t>
        </is>
      </c>
      <c r="E688" t="inlineStr">
        <is>
          <t>Positivo</t>
        </is>
      </c>
      <c r="F688" s="111" t="n">
        <v>45291</v>
      </c>
      <c r="G688" t="n">
        <v>2023</v>
      </c>
      <c r="H688" t="inlineStr">
        <is>
          <t>Diciembre</t>
        </is>
      </c>
      <c r="I688" t="inlineStr">
        <is>
          <t>2023-2</t>
        </is>
      </c>
      <c r="J688" t="n">
        <v>200</v>
      </c>
      <c r="K688" t="n">
        <v>258.04232994527</v>
      </c>
      <c r="L688" s="39">
        <f>IFERROR(IF(OR(J688=0,K688=""),"",IF(E688="Positivo",MIN(MAX(K688/J688,0),1.3),MIN(MAX(J688/K688,0),1.3))),"") </f>
        <v/>
      </c>
      <c r="M688" s="39">
        <f>IFERROR(IF(OR(J688=0,K688=""),"",IF(E688="Positivo",MAX(K688/J688,0),MAX(J688/K688,0))),"") </f>
        <v/>
      </c>
      <c r="N688" t="inlineStr">
        <is>
          <t>ENT</t>
        </is>
      </c>
      <c r="O688" t="inlineStr">
        <is>
          <t>ENT</t>
        </is>
      </c>
      <c r="P688" t="n">
        <v>0</v>
      </c>
      <c r="Q688" t="n">
        <v>0</v>
      </c>
      <c r="R688" t="inlineStr">
        <is>
          <t>383-2023-12-31</t>
        </is>
      </c>
    </row>
    <row r="689">
      <c r="A689" t="n">
        <v>383</v>
      </c>
      <c r="B689" t="inlineStr">
        <is>
          <t>Cumplimiento de matrículas posgrado virtual nuevos</t>
        </is>
      </c>
      <c r="C689" t="inlineStr">
        <is>
          <t>Inscripción, admisión y matrícula de estudiantes nuevos</t>
        </is>
      </c>
      <c r="D689" t="inlineStr">
        <is>
          <t>Semestral</t>
        </is>
      </c>
      <c r="E689" t="inlineStr">
        <is>
          <t>Positivo</t>
        </is>
      </c>
      <c r="F689" s="111" t="n">
        <v>45657</v>
      </c>
      <c r="G689" t="n">
        <v>2024</v>
      </c>
      <c r="H689" t="inlineStr">
        <is>
          <t>Diciembre</t>
        </is>
      </c>
      <c r="I689" t="inlineStr">
        <is>
          <t>2024-2</t>
        </is>
      </c>
      <c r="J689" t="n">
        <v>200</v>
      </c>
      <c r="K689" t="n">
        <v>220.91</v>
      </c>
      <c r="L689" s="39">
        <f>IFERROR(IF(OR(J689=0,K689=""),"",IF(E689="Positivo",MIN(MAX(K689/J689,0),1.3),MIN(MAX(J689/K689,0),1.3))),"") </f>
        <v/>
      </c>
      <c r="M689" s="39">
        <f>IFERROR(IF(OR(J689=0,K689=""),"",IF(E689="Positivo",MAX(K689/J689,0),MAX(J689/K689,0))),"") </f>
        <v/>
      </c>
      <c r="N689" t="inlineStr">
        <is>
          <t>ENT</t>
        </is>
      </c>
      <c r="O689" t="inlineStr">
        <is>
          <t>ENT</t>
        </is>
      </c>
      <c r="P689" t="n">
        <v>0</v>
      </c>
      <c r="Q689" t="n">
        <v>0</v>
      </c>
      <c r="R689" t="inlineStr">
        <is>
          <t>383-2024-12-31</t>
        </is>
      </c>
    </row>
    <row r="690">
      <c r="A690" t="n">
        <v>383</v>
      </c>
      <c r="B690" t="inlineStr">
        <is>
          <t>Cumplimiento de matrículas posgrado virtual nuevos</t>
        </is>
      </c>
      <c r="C690" t="inlineStr">
        <is>
          <t>Inscripción, admisión y matrícula de estudiantes nuevos</t>
        </is>
      </c>
      <c r="D690" t="inlineStr">
        <is>
          <t>Trimestral</t>
        </is>
      </c>
      <c r="E690" t="inlineStr">
        <is>
          <t>Positivo</t>
        </is>
      </c>
      <c r="F690" s="111" t="n">
        <v>46022</v>
      </c>
      <c r="G690" t="n">
        <v>2025</v>
      </c>
      <c r="H690" t="inlineStr">
        <is>
          <t>Diciembre</t>
        </is>
      </c>
      <c r="I690" t="inlineStr">
        <is>
          <t>2025-2</t>
        </is>
      </c>
      <c r="J690" t="n">
        <v>200</v>
      </c>
      <c r="K690" t="n">
        <v>264.83</v>
      </c>
      <c r="L690" s="39">
        <f>IFERROR(IF(OR(J690=0,K690=""),"",IF(E690="Positivo",MIN(MAX(K690/J690,0),1.3),MIN(MAX(J690/K690,0),1.3))),"") </f>
        <v/>
      </c>
      <c r="M690" s="39">
        <f>IFERROR(IF(OR(J690=0,K690=""),"",IF(E690="Positivo",MAX(K690/J690,0),MAX(J690/K690,0))),"") </f>
        <v/>
      </c>
      <c r="N690" t="inlineStr">
        <is>
          <t>ENT</t>
        </is>
      </c>
      <c r="O690" t="inlineStr">
        <is>
          <t>ENT</t>
        </is>
      </c>
      <c r="P690" t="n">
        <v>0</v>
      </c>
      <c r="Q690" t="n">
        <v>0</v>
      </c>
      <c r="R690" t="inlineStr">
        <is>
          <t>383-2025-12-31</t>
        </is>
      </c>
    </row>
    <row r="691">
      <c r="A691" t="n">
        <v>384</v>
      </c>
      <c r="B691" t="inlineStr">
        <is>
          <t>Cumplimiento de matrículas posgrado presencial nuevos</t>
        </is>
      </c>
      <c r="C691" t="inlineStr">
        <is>
          <t>Inscripción, admisión y matrícula de estudiantes nuevos</t>
        </is>
      </c>
      <c r="D691" t="inlineStr">
        <is>
          <t>Semestral</t>
        </is>
      </c>
      <c r="E691" t="inlineStr">
        <is>
          <t>Positivo</t>
        </is>
      </c>
      <c r="F691" s="111" t="n">
        <v>45291</v>
      </c>
      <c r="G691" t="n">
        <v>2023</v>
      </c>
      <c r="H691" t="inlineStr">
        <is>
          <t>Diciembre</t>
        </is>
      </c>
      <c r="I691" t="inlineStr">
        <is>
          <t>2023-2</t>
        </is>
      </c>
      <c r="J691" t="n">
        <v>200</v>
      </c>
      <c r="K691" t="n">
        <v>227.14470588235</v>
      </c>
      <c r="L691" s="39">
        <f>IFERROR(IF(OR(J691=0,K691=""),"",IF(E691="Positivo",MIN(MAX(K691/J691,0),1.3),MIN(MAX(J691/K691,0),1.3))),"") </f>
        <v/>
      </c>
      <c r="M691" s="39">
        <f>IFERROR(IF(OR(J691=0,K691=""),"",IF(E691="Positivo",MAX(K691/J691,0),MAX(J691/K691,0))),"") </f>
        <v/>
      </c>
      <c r="N691" t="inlineStr">
        <is>
          <t>ENT</t>
        </is>
      </c>
      <c r="O691" t="inlineStr">
        <is>
          <t>ENT</t>
        </is>
      </c>
      <c r="P691" t="n">
        <v>0</v>
      </c>
      <c r="Q691" t="n">
        <v>0</v>
      </c>
      <c r="R691" t="inlineStr">
        <is>
          <t>384-2023-12-31</t>
        </is>
      </c>
    </row>
    <row r="692">
      <c r="A692" t="n">
        <v>384</v>
      </c>
      <c r="B692" t="inlineStr">
        <is>
          <t>Cumplimiento de matrículas posgrado presencial nuevos</t>
        </is>
      </c>
      <c r="C692" t="inlineStr">
        <is>
          <t>Inscripción, admisión y matrícula de estudiantes nuevos</t>
        </is>
      </c>
      <c r="D692" t="inlineStr">
        <is>
          <t>Semestral</t>
        </is>
      </c>
      <c r="E692" t="inlineStr">
        <is>
          <t>Positivo</t>
        </is>
      </c>
      <c r="F692" s="111" t="n">
        <v>45657</v>
      </c>
      <c r="G692" t="n">
        <v>2024</v>
      </c>
      <c r="H692" t="inlineStr">
        <is>
          <t>Diciembre</t>
        </is>
      </c>
      <c r="I692" t="inlineStr">
        <is>
          <t>2024-2</t>
        </is>
      </c>
      <c r="J692" t="n">
        <v>200</v>
      </c>
      <c r="K692" t="n">
        <v>190.1</v>
      </c>
      <c r="L692" s="39">
        <f>IFERROR(IF(OR(J692=0,K692=""),"",IF(E692="Positivo",MIN(MAX(K692/J692,0),1.3),MIN(MAX(J692/K692,0),1.3))),"") </f>
        <v/>
      </c>
      <c r="M692" s="39">
        <f>IFERROR(IF(OR(J692=0,K692=""),"",IF(E692="Positivo",MAX(K692/J692,0),MAX(J692/K692,0))),"") </f>
        <v/>
      </c>
      <c r="N692" t="inlineStr">
        <is>
          <t>ENT</t>
        </is>
      </c>
      <c r="O692" t="inlineStr">
        <is>
          <t>ENT</t>
        </is>
      </c>
      <c r="P692" t="n">
        <v>0</v>
      </c>
      <c r="Q692" t="n">
        <v>0</v>
      </c>
      <c r="R692" t="inlineStr">
        <is>
          <t>384-2024-12-31</t>
        </is>
      </c>
    </row>
    <row r="693">
      <c r="A693" t="n">
        <v>384</v>
      </c>
      <c r="B693" t="inlineStr">
        <is>
          <t>Cumplimiento de matrículas posgrado presencial nuevos</t>
        </is>
      </c>
      <c r="C693" t="inlineStr">
        <is>
          <t>Inscripción, admisión y matrícula de estudiantes nuevos</t>
        </is>
      </c>
      <c r="D693" t="inlineStr">
        <is>
          <t>Trimestral</t>
        </is>
      </c>
      <c r="E693" t="inlineStr">
        <is>
          <t>Positivo</t>
        </is>
      </c>
      <c r="F693" s="111" t="n">
        <v>46022</v>
      </c>
      <c r="G693" t="n">
        <v>2025</v>
      </c>
      <c r="H693" t="inlineStr">
        <is>
          <t>Diciembre</t>
        </is>
      </c>
      <c r="I693" t="inlineStr">
        <is>
          <t>2025-2</t>
        </is>
      </c>
      <c r="J693" t="n">
        <v>200</v>
      </c>
      <c r="K693" t="n">
        <v>204.16</v>
      </c>
      <c r="L693" s="39">
        <f>IFERROR(IF(OR(J693=0,K693=""),"",IF(E693="Positivo",MIN(MAX(K693/J693,0),1.3),MIN(MAX(J693/K693,0),1.3))),"") </f>
        <v/>
      </c>
      <c r="M693" s="39">
        <f>IFERROR(IF(OR(J693=0,K693=""),"",IF(E693="Positivo",MAX(K693/J693,0),MAX(J693/K693,0))),"") </f>
        <v/>
      </c>
      <c r="N693" t="inlineStr">
        <is>
          <t>ENT</t>
        </is>
      </c>
      <c r="O693" t="inlineStr">
        <is>
          <t>ENT</t>
        </is>
      </c>
      <c r="P693" t="n">
        <v>0</v>
      </c>
      <c r="Q693" t="n">
        <v>0</v>
      </c>
      <c r="R693" t="inlineStr">
        <is>
          <t>384-2025-12-31</t>
        </is>
      </c>
    </row>
    <row r="694">
      <c r="A694" t="n">
        <v>385</v>
      </c>
      <c r="B694" t="inlineStr">
        <is>
          <t>Ingresos totales de educación para la vida</t>
        </is>
      </c>
      <c r="C694" t="inlineStr">
        <is>
          <t>Mercadeo y venta de educación para la vida</t>
        </is>
      </c>
      <c r="D694" t="inlineStr">
        <is>
          <t>Semestral</t>
        </is>
      </c>
      <c r="E694" t="inlineStr">
        <is>
          <t>Positivo</t>
        </is>
      </c>
      <c r="F694" s="111" t="n">
        <v>45291</v>
      </c>
      <c r="G694" t="n">
        <v>2023</v>
      </c>
      <c r="H694" t="inlineStr">
        <is>
          <t>Diciembre</t>
        </is>
      </c>
      <c r="I694" t="inlineStr">
        <is>
          <t>2023-2</t>
        </is>
      </c>
      <c r="J694" t="n">
        <v>100</v>
      </c>
      <c r="K694" t="n">
        <v>124.93</v>
      </c>
      <c r="L694" s="39">
        <f>IFERROR(IF(OR(J694=0,K694=""),"",IF(E694="Positivo",MIN(MAX(K694/J694,0),1.3),MIN(MAX(J694/K694,0),1.3))),"") </f>
        <v/>
      </c>
      <c r="M694" s="39">
        <f>IFERROR(IF(OR(J694=0,K694=""),"",IF(E694="Positivo",MAX(K694/J694,0),MAX(J694/K694,0))),"") </f>
        <v/>
      </c>
      <c r="N694" t="inlineStr">
        <is>
          <t>$</t>
        </is>
      </c>
      <c r="O694" t="inlineStr">
        <is>
          <t>$</t>
        </is>
      </c>
      <c r="P694" t="n">
        <v>0</v>
      </c>
      <c r="Q694" t="n">
        <v>0</v>
      </c>
      <c r="R694" t="inlineStr">
        <is>
          <t>385-2023-12-31</t>
        </is>
      </c>
    </row>
    <row r="695">
      <c r="A695" t="n">
        <v>385</v>
      </c>
      <c r="B695" t="inlineStr">
        <is>
          <t>Ingresos totales de educación para la vida</t>
        </is>
      </c>
      <c r="C695" t="inlineStr">
        <is>
          <t>Mercadeo y venta de educación para la vida</t>
        </is>
      </c>
      <c r="D695" t="inlineStr">
        <is>
          <t>Semestral</t>
        </is>
      </c>
      <c r="E695" t="inlineStr">
        <is>
          <t>Positivo</t>
        </is>
      </c>
      <c r="F695" s="111" t="n">
        <v>45657</v>
      </c>
      <c r="G695" t="n">
        <v>2024</v>
      </c>
      <c r="H695" t="inlineStr">
        <is>
          <t>Diciembre</t>
        </is>
      </c>
      <c r="I695" t="inlineStr">
        <is>
          <t>2024-2</t>
        </is>
      </c>
      <c r="J695" t="n">
        <v>100</v>
      </c>
      <c r="K695" t="n">
        <v>88.56</v>
      </c>
      <c r="L695" s="39">
        <f>IFERROR(IF(OR(J695=0,K695=""),"",IF(E695="Positivo",MIN(MAX(K695/J695,0),1.3),MIN(MAX(J695/K695,0),1.3))),"") </f>
        <v/>
      </c>
      <c r="M695" s="39">
        <f>IFERROR(IF(OR(J695=0,K695=""),"",IF(E695="Positivo",MAX(K695/J695,0),MAX(J695/K695,0))),"") </f>
        <v/>
      </c>
      <c r="N695" t="inlineStr">
        <is>
          <t>$</t>
        </is>
      </c>
      <c r="O695" t="inlineStr">
        <is>
          <t>$</t>
        </is>
      </c>
      <c r="P695" t="n">
        <v>0</v>
      </c>
      <c r="Q695" t="n">
        <v>0</v>
      </c>
      <c r="R695" t="inlineStr">
        <is>
          <t>385-2024-12-31</t>
        </is>
      </c>
    </row>
    <row r="696">
      <c r="A696" t="n">
        <v>385</v>
      </c>
      <c r="B696" t="inlineStr">
        <is>
          <t>Ingresos totales de educación para la vida</t>
        </is>
      </c>
      <c r="C696" t="inlineStr">
        <is>
          <t>Mercadeo y venta de educación para la vida</t>
        </is>
      </c>
      <c r="D696" t="inlineStr">
        <is>
          <t>Semestral</t>
        </is>
      </c>
      <c r="E696" t="inlineStr">
        <is>
          <t>Positivo</t>
        </is>
      </c>
      <c r="F696" s="111" t="n">
        <v>46022</v>
      </c>
      <c r="G696" t="n">
        <v>2025</v>
      </c>
      <c r="H696" t="inlineStr">
        <is>
          <t>Diciembre</t>
        </is>
      </c>
      <c r="I696" t="inlineStr">
        <is>
          <t>2025-2</t>
        </is>
      </c>
      <c r="J696" t="n">
        <v>100</v>
      </c>
      <c r="K696" t="n">
        <v>108.89</v>
      </c>
      <c r="L696" s="39">
        <f>IFERROR(IF(OR(J696=0,K696=""),"",IF(E696="Positivo",MIN(MAX(K696/J696,0),1.3),MIN(MAX(J696/K696,0),1.3))),"") </f>
        <v/>
      </c>
      <c r="M696" s="39">
        <f>IFERROR(IF(OR(J696=0,K696=""),"",IF(E696="Positivo",MAX(K696/J696,0),MAX(J696/K696,0))),"") </f>
        <v/>
      </c>
      <c r="N696" t="inlineStr">
        <is>
          <t>$</t>
        </is>
      </c>
      <c r="O696" t="inlineStr">
        <is>
          <t>$</t>
        </is>
      </c>
      <c r="P696" t="n">
        <v>0</v>
      </c>
      <c r="Q696" t="n">
        <v>0</v>
      </c>
      <c r="R696" t="inlineStr">
        <is>
          <t>385-2025-12-31</t>
        </is>
      </c>
    </row>
    <row r="697">
      <c r="A697" t="n">
        <v>386</v>
      </c>
      <c r="B697" t="inlineStr">
        <is>
          <t>Cumplimiento Meta comercial Educación para toda la vida por linea</t>
        </is>
      </c>
      <c r="C697" t="inlineStr">
        <is>
          <t>Mercadeo y venta de educación para la vida</t>
        </is>
      </c>
      <c r="D697" t="inlineStr">
        <is>
          <t>Semestral</t>
        </is>
      </c>
      <c r="E697" t="inlineStr">
        <is>
          <t>Positivo</t>
        </is>
      </c>
      <c r="F697" s="111" t="n">
        <v>45291</v>
      </c>
      <c r="G697" t="n">
        <v>2023</v>
      </c>
      <c r="H697" t="inlineStr">
        <is>
          <t>Diciembre</t>
        </is>
      </c>
      <c r="I697" t="inlineStr">
        <is>
          <t>2023-2</t>
        </is>
      </c>
      <c r="J697" t="n">
        <v>200</v>
      </c>
      <c r="K697" t="n">
        <v>241.20486566654</v>
      </c>
      <c r="L697" s="39">
        <f>IFERROR(IF(OR(J697=0,K697=""),"",IF(E697="Positivo",MIN(MAX(K697/J697,0),1.3),MIN(MAX(J697/K697,0),1.3))),"") </f>
        <v/>
      </c>
      <c r="M697" s="39">
        <f>IFERROR(IF(OR(J697=0,K697=""),"",IF(E697="Positivo",MAX(K697/J697,0),MAX(J697/K697,0))),"") </f>
        <v/>
      </c>
      <c r="N697" t="inlineStr">
        <is>
          <t>%</t>
        </is>
      </c>
      <c r="O697" t="inlineStr">
        <is>
          <t>%</t>
        </is>
      </c>
      <c r="P697" t="n">
        <v>0</v>
      </c>
      <c r="Q697" t="n">
        <v>0</v>
      </c>
      <c r="R697" t="inlineStr">
        <is>
          <t>386-2023-12-31</t>
        </is>
      </c>
    </row>
    <row r="698">
      <c r="A698" t="n">
        <v>386</v>
      </c>
      <c r="B698" t="inlineStr">
        <is>
          <t>Cumplimiento Meta comercial Educación para toda la vida por linea</t>
        </is>
      </c>
      <c r="C698" t="inlineStr">
        <is>
          <t>Mercadeo y venta de educación para la vida</t>
        </is>
      </c>
      <c r="D698" t="inlineStr">
        <is>
          <t>Semestral</t>
        </is>
      </c>
      <c r="E698" t="inlineStr">
        <is>
          <t>Positivo</t>
        </is>
      </c>
      <c r="F698" s="111" t="n">
        <v>45657</v>
      </c>
      <c r="G698" t="n">
        <v>2024</v>
      </c>
      <c r="H698" t="inlineStr">
        <is>
          <t>Diciembre</t>
        </is>
      </c>
      <c r="I698" t="inlineStr">
        <is>
          <t>2024-2</t>
        </is>
      </c>
      <c r="J698" t="n">
        <v>200</v>
      </c>
      <c r="K698" t="n">
        <v>188.64</v>
      </c>
      <c r="L698" s="39">
        <f>IFERROR(IF(OR(J698=0,K698=""),"",IF(E698="Positivo",MIN(MAX(K698/J698,0),1.3),MIN(MAX(J698/K698,0),1.3))),"") </f>
        <v/>
      </c>
      <c r="M698" s="39">
        <f>IFERROR(IF(OR(J698=0,K698=""),"",IF(E698="Positivo",MAX(K698/J698,0),MAX(J698/K698,0))),"") </f>
        <v/>
      </c>
      <c r="N698" t="inlineStr">
        <is>
          <t>%</t>
        </is>
      </c>
      <c r="O698" t="inlineStr">
        <is>
          <t>%</t>
        </is>
      </c>
      <c r="P698" t="n">
        <v>0</v>
      </c>
      <c r="Q698" t="n">
        <v>0</v>
      </c>
      <c r="R698" t="inlineStr">
        <is>
          <t>386-2024-12-31</t>
        </is>
      </c>
    </row>
    <row r="699">
      <c r="A699" t="n">
        <v>386</v>
      </c>
      <c r="B699" t="inlineStr">
        <is>
          <t>Cumplimiento Meta comercial Educación para toda la vida por linea</t>
        </is>
      </c>
      <c r="C699" t="inlineStr">
        <is>
          <t>Mercadeo y venta de educación para la vida</t>
        </is>
      </c>
      <c r="D699" t="inlineStr">
        <is>
          <t>Trimestral</t>
        </is>
      </c>
      <c r="E699" t="inlineStr">
        <is>
          <t>Positivo</t>
        </is>
      </c>
      <c r="F699" s="111" t="n">
        <v>46022</v>
      </c>
      <c r="G699" t="n">
        <v>2025</v>
      </c>
      <c r="H699" t="inlineStr">
        <is>
          <t>Diciembre</t>
        </is>
      </c>
      <c r="I699" t="inlineStr">
        <is>
          <t>2025-2</t>
        </is>
      </c>
      <c r="J699" t="n">
        <v>200</v>
      </c>
      <c r="K699" t="n">
        <v>225.46</v>
      </c>
      <c r="L699" s="39">
        <f>IFERROR(IF(OR(J699=0,K699=""),"",IF(E699="Positivo",MIN(MAX(K699/J699,0),1.3),MIN(MAX(J699/K699,0),1.3))),"") </f>
        <v/>
      </c>
      <c r="M699" s="39">
        <f>IFERROR(IF(OR(J699=0,K699=""),"",IF(E699="Positivo",MAX(K699/J699,0),MAX(J699/K699,0))),"") </f>
        <v/>
      </c>
      <c r="N699" t="inlineStr">
        <is>
          <t>%</t>
        </is>
      </c>
      <c r="O699" t="inlineStr">
        <is>
          <t>%</t>
        </is>
      </c>
      <c r="P699" t="n">
        <v>0</v>
      </c>
      <c r="Q699" t="n">
        <v>0</v>
      </c>
      <c r="R699" t="inlineStr">
        <is>
          <t>386-2025-12-31</t>
        </is>
      </c>
    </row>
    <row r="700">
      <c r="A700" t="n">
        <v>387</v>
      </c>
      <c r="B700" t="inlineStr">
        <is>
          <t>Programas con reforzamiento curricular por escuela</t>
        </is>
      </c>
      <c r="C700" t="inlineStr">
        <is>
          <t>Gestión, Evaluación e Innovación Curricular</t>
        </is>
      </c>
      <c r="D700" t="inlineStr">
        <is>
          <t>Semestral</t>
        </is>
      </c>
      <c r="E700" t="inlineStr">
        <is>
          <t>Positivo</t>
        </is>
      </c>
      <c r="F700" s="111" t="n">
        <v>45291</v>
      </c>
      <c r="G700" t="n">
        <v>2023</v>
      </c>
      <c r="H700" t="inlineStr">
        <is>
          <t>Diciembre</t>
        </is>
      </c>
      <c r="I700" t="inlineStr">
        <is>
          <t>2023-2</t>
        </is>
      </c>
      <c r="J700" t="n">
        <v>38</v>
      </c>
      <c r="K700" t="n">
        <v>38</v>
      </c>
      <c r="L700" s="39">
        <f>IFERROR(IF(OR(J700=0,K700=""),"",IF(E700="Positivo",MIN(MAX(K700/J700,0),1.3),MIN(MAX(J700/K700,0),1.3))),"") </f>
        <v/>
      </c>
      <c r="M700" s="39">
        <f>IFERROR(IF(OR(J700=0,K700=""),"",IF(E700="Positivo",MAX(K700/J700,0),MAX(J700/K700,0))),"") </f>
        <v/>
      </c>
      <c r="N700" t="inlineStr">
        <is>
          <t>ENT</t>
        </is>
      </c>
      <c r="O700" t="inlineStr">
        <is>
          <t>ENT</t>
        </is>
      </c>
      <c r="P700" t="n">
        <v>0</v>
      </c>
      <c r="Q700" t="n">
        <v>0</v>
      </c>
      <c r="R700" t="inlineStr">
        <is>
          <t>387-2023-12-31</t>
        </is>
      </c>
    </row>
    <row r="701">
      <c r="A701" t="n">
        <v>388</v>
      </c>
      <c r="B701" t="inlineStr">
        <is>
          <t>Programas con matriz de resultados de aprendizaje por escuela</t>
        </is>
      </c>
      <c r="C701" t="inlineStr">
        <is>
          <t>Gestión, Evaluación e Innovación Curricular</t>
        </is>
      </c>
      <c r="D701" t="inlineStr">
        <is>
          <t>Semestral</t>
        </is>
      </c>
      <c r="E701" t="inlineStr">
        <is>
          <t>Positivo</t>
        </is>
      </c>
      <c r="F701" s="111" t="n">
        <v>45291</v>
      </c>
      <c r="G701" t="n">
        <v>2023</v>
      </c>
      <c r="H701" t="inlineStr">
        <is>
          <t>Diciembre</t>
        </is>
      </c>
      <c r="I701" t="inlineStr">
        <is>
          <t>2023-2</t>
        </is>
      </c>
      <c r="J701" t="n">
        <v>93</v>
      </c>
      <c r="K701" t="n">
        <v>93</v>
      </c>
      <c r="L701" s="39">
        <f>IFERROR(IF(OR(J701=0,K701=""),"",IF(E701="Positivo",MIN(MAX(K701/J701,0),1.3),MIN(MAX(J701/K701,0),1.3))),"") </f>
        <v/>
      </c>
      <c r="M701" s="39">
        <f>IFERROR(IF(OR(J701=0,K701=""),"",IF(E701="Positivo",MAX(K701/J701,0),MAX(J701/K701,0))),"") </f>
        <v/>
      </c>
      <c r="N701" t="inlineStr">
        <is>
          <t>ENT</t>
        </is>
      </c>
      <c r="O701" t="inlineStr">
        <is>
          <t>ENT</t>
        </is>
      </c>
      <c r="P701" t="n">
        <v>0</v>
      </c>
      <c r="Q701" t="n">
        <v>0</v>
      </c>
      <c r="R701" t="inlineStr">
        <is>
          <t>388-2023-12-31</t>
        </is>
      </c>
    </row>
    <row r="702">
      <c r="A702" t="n">
        <v>389</v>
      </c>
      <c r="B702" t="inlineStr">
        <is>
          <t>Permanencia por escuela</t>
        </is>
      </c>
      <c r="C702" t="inlineStr">
        <is>
          <t>Permanencia</t>
        </is>
      </c>
      <c r="D702" t="inlineStr">
        <is>
          <t>Semestral</t>
        </is>
      </c>
      <c r="E702" t="inlineStr">
        <is>
          <t>Positivo</t>
        </is>
      </c>
      <c r="F702" s="111" t="n">
        <v>45291</v>
      </c>
      <c r="G702" t="n">
        <v>2023</v>
      </c>
      <c r="H702" t="inlineStr">
        <is>
          <t>Diciembre</t>
        </is>
      </c>
      <c r="I702" t="inlineStr">
        <is>
          <t>2023-2</t>
        </is>
      </c>
      <c r="J702" t="n">
        <v>91</v>
      </c>
      <c r="K702" t="n">
        <v>0</v>
      </c>
      <c r="L702" s="39">
        <f>IFERROR(IF(OR(J702=0,K702=""),"",IF(E702="Positivo",MIN(MAX(K702/J702,0),1.3),MIN(MAX(J702/K702,0),1.3))),"") </f>
        <v/>
      </c>
      <c r="M702" s="39">
        <f>IFERROR(IF(OR(J702=0,K702=""),"",IF(E702="Positivo",MAX(K702/J702,0),MAX(J702/K702,0))),"") </f>
        <v/>
      </c>
      <c r="N702" t="inlineStr">
        <is>
          <t>%</t>
        </is>
      </c>
      <c r="O702" t="inlineStr">
        <is>
          <t>%</t>
        </is>
      </c>
      <c r="P702" t="n">
        <v>0</v>
      </c>
      <c r="Q702" t="n">
        <v>0</v>
      </c>
      <c r="R702" t="inlineStr">
        <is>
          <t>389-2023-12-31</t>
        </is>
      </c>
    </row>
    <row r="703">
      <c r="A703" t="n">
        <v>389</v>
      </c>
      <c r="B703" t="inlineStr">
        <is>
          <t>Permanencia por escuela</t>
        </is>
      </c>
      <c r="C703" t="inlineStr">
        <is>
          <t>Permanencia</t>
        </is>
      </c>
      <c r="D703" t="inlineStr">
        <is>
          <t>Semestral</t>
        </is>
      </c>
      <c r="E703" t="inlineStr">
        <is>
          <t>Positivo</t>
        </is>
      </c>
      <c r="F703" s="111" t="n">
        <v>45657</v>
      </c>
      <c r="G703" t="n">
        <v>2024</v>
      </c>
      <c r="H703" t="inlineStr">
        <is>
          <t>Diciembre</t>
        </is>
      </c>
      <c r="I703" t="inlineStr">
        <is>
          <t>2024-2</t>
        </is>
      </c>
      <c r="J703" t="n">
        <v>85</v>
      </c>
      <c r="K703" t="n">
        <v>42.21666666666666</v>
      </c>
      <c r="L703" s="39">
        <f>IFERROR(IF(OR(J703=0,K703=""),"",IF(E703="Positivo",MIN(MAX(K703/J703,0),1.3),MIN(MAX(J703/K703,0),1.3))),"") </f>
        <v/>
      </c>
      <c r="M703" s="39">
        <f>IFERROR(IF(OR(J703=0,K703=""),"",IF(E703="Positivo",MAX(K703/J703,0),MAX(J703/K703,0))),"") </f>
        <v/>
      </c>
      <c r="N703" t="inlineStr">
        <is>
          <t>%</t>
        </is>
      </c>
      <c r="O703" t="inlineStr">
        <is>
          <t>%</t>
        </is>
      </c>
      <c r="P703" t="n">
        <v>0</v>
      </c>
      <c r="Q703" t="n">
        <v>0</v>
      </c>
      <c r="R703" t="inlineStr">
        <is>
          <t>389-2024-12-31</t>
        </is>
      </c>
    </row>
    <row r="704">
      <c r="A704" t="n">
        <v>389</v>
      </c>
      <c r="B704" t="inlineStr">
        <is>
          <t>Permanencia por escuela</t>
        </is>
      </c>
      <c r="C704" t="inlineStr">
        <is>
          <t>Gestión de Unidades Académicas</t>
        </is>
      </c>
      <c r="D704" t="inlineStr">
        <is>
          <t>Trimestral</t>
        </is>
      </c>
      <c r="E704" t="inlineStr">
        <is>
          <t>Positivo</t>
        </is>
      </c>
      <c r="F704" s="111" t="n">
        <v>46022</v>
      </c>
      <c r="G704" t="n">
        <v>2025</v>
      </c>
      <c r="H704" t="inlineStr">
        <is>
          <t>Diciembre</t>
        </is>
      </c>
      <c r="I704" t="inlineStr">
        <is>
          <t>2025-2</t>
        </is>
      </c>
      <c r="K704" t="n">
        <v>0</v>
      </c>
      <c r="L704" s="39" t="n"/>
      <c r="M704" s="39" t="n"/>
      <c r="N704" t="inlineStr">
        <is>
          <t>%</t>
        </is>
      </c>
      <c r="O704" t="inlineStr">
        <is>
          <t>%</t>
        </is>
      </c>
      <c r="P704" t="n">
        <v>0</v>
      </c>
      <c r="Q704" t="n">
        <v>0</v>
      </c>
      <c r="R704" t="inlineStr">
        <is>
          <t>389-2025-12-31</t>
        </is>
      </c>
    </row>
    <row r="705">
      <c r="A705" t="n">
        <v>390</v>
      </c>
      <c r="B705" t="inlineStr">
        <is>
          <t>Cumplimiento Plan Anual por escuela</t>
        </is>
      </c>
      <c r="C705" t="inlineStr">
        <is>
          <t>Gestión de Unidades Académicas</t>
        </is>
      </c>
      <c r="D705" t="inlineStr">
        <is>
          <t>Trimestral</t>
        </is>
      </c>
      <c r="E705" t="inlineStr">
        <is>
          <t>Positivo</t>
        </is>
      </c>
      <c r="F705" s="111" t="n">
        <v>45291</v>
      </c>
      <c r="G705" t="n">
        <v>2023</v>
      </c>
      <c r="H705" t="inlineStr">
        <is>
          <t>Diciembre</t>
        </is>
      </c>
      <c r="I705" t="inlineStr">
        <is>
          <t>2023-2</t>
        </is>
      </c>
      <c r="J705" t="n">
        <v>100</v>
      </c>
      <c r="K705" t="n">
        <v>99.24916666666699</v>
      </c>
      <c r="L705" s="39">
        <f>IFERROR(IF(OR(J705=0,K705=""),"",IF(E705="Positivo",MIN(MAX(K705/J705,0),1.0),MIN(MAX(J705/K705,0),1.0))),"") </f>
        <v/>
      </c>
      <c r="M705" s="39">
        <f>IFERROR(IF(OR(J705=0,K705=""),"",IF(E705="Positivo",MAX(K705/J705,0),MAX(J705/K705,0))),"") </f>
        <v/>
      </c>
      <c r="N705" t="inlineStr">
        <is>
          <t>%</t>
        </is>
      </c>
      <c r="O705" t="inlineStr">
        <is>
          <t>%</t>
        </is>
      </c>
      <c r="P705" t="n">
        <v>0</v>
      </c>
      <c r="Q705" t="n">
        <v>0</v>
      </c>
      <c r="R705" t="inlineStr">
        <is>
          <t>390-2023-12-31</t>
        </is>
      </c>
    </row>
    <row r="706">
      <c r="A706" t="n">
        <v>390</v>
      </c>
      <c r="B706" t="inlineStr">
        <is>
          <t>Cumplimiento Plan Anual por escuela</t>
        </is>
      </c>
      <c r="C706" t="inlineStr">
        <is>
          <t>Gestión de Unidades Académicas</t>
        </is>
      </c>
      <c r="D706" t="inlineStr">
        <is>
          <t>Trimestral</t>
        </is>
      </c>
      <c r="E706" t="inlineStr">
        <is>
          <t>Positivo</t>
        </is>
      </c>
      <c r="F706" s="111" t="n">
        <v>45657</v>
      </c>
      <c r="G706" t="n">
        <v>2024</v>
      </c>
      <c r="H706" t="inlineStr">
        <is>
          <t>Diciembre</t>
        </is>
      </c>
      <c r="I706" t="inlineStr">
        <is>
          <t>2024-2</t>
        </is>
      </c>
      <c r="J706" t="n">
        <v>100</v>
      </c>
      <c r="K706" t="n">
        <v>99.92</v>
      </c>
      <c r="L706" s="39">
        <f>IFERROR(IF(OR(J706=0,K706=""),"",IF(E706="Positivo",MIN(MAX(K706/J706,0),1.0),MIN(MAX(J706/K706,0),1.0))),"") </f>
        <v/>
      </c>
      <c r="M706" s="39">
        <f>IFERROR(IF(OR(J706=0,K706=""),"",IF(E706="Positivo",MAX(K706/J706,0),MAX(J706/K706,0))),"") </f>
        <v/>
      </c>
      <c r="N706" t="inlineStr">
        <is>
          <t>%</t>
        </is>
      </c>
      <c r="O706" t="inlineStr">
        <is>
          <t>%</t>
        </is>
      </c>
      <c r="P706" t="n">
        <v>0</v>
      </c>
      <c r="Q706" t="n">
        <v>0</v>
      </c>
      <c r="R706" t="inlineStr">
        <is>
          <t>390-2024-12-31</t>
        </is>
      </c>
    </row>
    <row r="707">
      <c r="A707" t="n">
        <v>390</v>
      </c>
      <c r="B707" t="inlineStr">
        <is>
          <t>Cumplimiento Plan Anual por escuela</t>
        </is>
      </c>
      <c r="C707" t="inlineStr">
        <is>
          <t>Planeación Estratégica</t>
        </is>
      </c>
      <c r="D707" t="inlineStr">
        <is>
          <t>Semestral</t>
        </is>
      </c>
      <c r="E707" t="inlineStr">
        <is>
          <t>Positivo</t>
        </is>
      </c>
      <c r="F707" s="111" t="n">
        <v>46022</v>
      </c>
      <c r="G707" t="n">
        <v>2025</v>
      </c>
      <c r="H707" t="inlineStr">
        <is>
          <t>Diciembre</t>
        </is>
      </c>
      <c r="I707" t="inlineStr">
        <is>
          <t>2025-2</t>
        </is>
      </c>
      <c r="J707" t="n">
        <v>100</v>
      </c>
      <c r="K707" t="n">
        <v>99.78</v>
      </c>
      <c r="L707" s="39">
        <f>IFERROR(IF(OR(J707=0,K707=""),"",IF(E707="Positivo",MIN(MAX(K707/J707,0),1.0),MIN(MAX(J707/K707,0),1.0))),"") </f>
        <v/>
      </c>
      <c r="M707" s="39">
        <f>IFERROR(IF(OR(J707=0,K707=""),"",IF(E707="Positivo",MAX(K707/J707,0),MAX(J707/K707,0))),"") </f>
        <v/>
      </c>
      <c r="N707" t="inlineStr">
        <is>
          <t>%</t>
        </is>
      </c>
      <c r="O707" t="inlineStr">
        <is>
          <t>%</t>
        </is>
      </c>
      <c r="P707" t="n">
        <v>0</v>
      </c>
      <c r="Q707" t="n">
        <v>0</v>
      </c>
      <c r="R707" t="inlineStr">
        <is>
          <t>390-2025-12-31</t>
        </is>
      </c>
    </row>
    <row r="708">
      <c r="A708" t="n">
        <v>391</v>
      </c>
      <c r="B708" t="inlineStr">
        <is>
          <t>Satisfacción del cliente con campañas integradas de marketing</t>
        </is>
      </c>
      <c r="C708" t="inlineStr">
        <is>
          <t>Gestión de campañas integradas de marketing</t>
        </is>
      </c>
      <c r="D708" t="inlineStr">
        <is>
          <t>Semestral</t>
        </is>
      </c>
      <c r="E708" t="inlineStr">
        <is>
          <t>Positivo</t>
        </is>
      </c>
      <c r="F708" s="111" t="n">
        <v>45291</v>
      </c>
      <c r="G708" t="n">
        <v>2023</v>
      </c>
      <c r="H708" t="inlineStr">
        <is>
          <t>Diciembre</t>
        </is>
      </c>
      <c r="I708" t="inlineStr">
        <is>
          <t>2023-2</t>
        </is>
      </c>
      <c r="J708" t="n">
        <v>93</v>
      </c>
      <c r="K708" t="n">
        <v>100</v>
      </c>
      <c r="L708" s="39">
        <f>IFERROR(IF(OR(J708=0,K708=""),"",IF(E708="Positivo",MIN(MAX(K708/J708,0),1.3),MIN(MAX(J708/K708,0),1.3))),"") </f>
        <v/>
      </c>
      <c r="M708" s="39">
        <f>IFERROR(IF(OR(J708=0,K708=""),"",IF(E708="Positivo",MAX(K708/J708,0),MAX(J708/K708,0))),"") </f>
        <v/>
      </c>
      <c r="N708" t="inlineStr">
        <is>
          <t>%</t>
        </is>
      </c>
      <c r="O708" t="inlineStr">
        <is>
          <t>%</t>
        </is>
      </c>
      <c r="P708" t="n">
        <v>0</v>
      </c>
      <c r="Q708" t="n">
        <v>0</v>
      </c>
      <c r="R708" t="inlineStr">
        <is>
          <t>391-2023-12-31</t>
        </is>
      </c>
    </row>
    <row r="709">
      <c r="A709" t="n">
        <v>391</v>
      </c>
      <c r="B709" t="inlineStr">
        <is>
          <t>Satisfacción del cliente con campañas integradas de marketing</t>
        </is>
      </c>
      <c r="C709" t="inlineStr">
        <is>
          <t>Gestión de campañas integradas de marketing</t>
        </is>
      </c>
      <c r="D709" t="inlineStr">
        <is>
          <t>Semestral</t>
        </is>
      </c>
      <c r="E709" t="inlineStr">
        <is>
          <t>Positivo</t>
        </is>
      </c>
      <c r="F709" s="111" t="n">
        <v>45657</v>
      </c>
      <c r="G709" t="n">
        <v>2024</v>
      </c>
      <c r="H709" t="inlineStr">
        <is>
          <t>Diciembre</t>
        </is>
      </c>
      <c r="I709" t="inlineStr">
        <is>
          <t>2024-2</t>
        </is>
      </c>
      <c r="J709" t="n">
        <v>96</v>
      </c>
      <c r="K709" t="n">
        <v>100</v>
      </c>
      <c r="L709" s="39">
        <f>IFERROR(IF(OR(J709=0,K709=""),"",IF(E709="Positivo",MIN(MAX(K709/J709,0),1.3),MIN(MAX(J709/K709,0),1.3))),"") </f>
        <v/>
      </c>
      <c r="M709" s="39">
        <f>IFERROR(IF(OR(J709=0,K709=""),"",IF(E709="Positivo",MAX(K709/J709,0),MAX(J709/K709,0))),"") </f>
        <v/>
      </c>
      <c r="N709" t="inlineStr">
        <is>
          <t>%</t>
        </is>
      </c>
      <c r="O709" t="inlineStr">
        <is>
          <t>%</t>
        </is>
      </c>
      <c r="P709" t="n">
        <v>0</v>
      </c>
      <c r="Q709" t="n">
        <v>0</v>
      </c>
      <c r="R709" t="inlineStr">
        <is>
          <t>391-2024-12-31</t>
        </is>
      </c>
    </row>
    <row r="710">
      <c r="A710" t="n">
        <v>392</v>
      </c>
      <c r="B710" t="inlineStr">
        <is>
          <t>Ahorro institucional con base en la monetización de los servicios</t>
        </is>
      </c>
      <c r="C710" t="inlineStr">
        <is>
          <t>Gestión de campañas integradas de marketing</t>
        </is>
      </c>
      <c r="D710" t="inlineStr">
        <is>
          <t>Semestral</t>
        </is>
      </c>
      <c r="E710" t="inlineStr">
        <is>
          <t>Positivo</t>
        </is>
      </c>
      <c r="F710" s="111" t="n">
        <v>45291</v>
      </c>
      <c r="G710" t="n">
        <v>2023</v>
      </c>
      <c r="H710" t="inlineStr">
        <is>
          <t>Diciembre</t>
        </is>
      </c>
      <c r="I710" t="inlineStr">
        <is>
          <t>2023-2</t>
        </is>
      </c>
      <c r="J710" t="n">
        <v>100</v>
      </c>
      <c r="K710" t="n">
        <v>147.38</v>
      </c>
      <c r="L710" s="39">
        <f>IFERROR(IF(OR(J710=0,K710=""),"",IF(E710="Positivo",MIN(MAX(K710/J710,0),1.3),MIN(MAX(J710/K710,0),1.3))),"") </f>
        <v/>
      </c>
      <c r="M710" s="39">
        <f>IFERROR(IF(OR(J710=0,K710=""),"",IF(E710="Positivo",MAX(K710/J710,0),MAX(J710/K710,0))),"") </f>
        <v/>
      </c>
      <c r="N710" t="inlineStr">
        <is>
          <t>$</t>
        </is>
      </c>
      <c r="O710" t="inlineStr">
        <is>
          <t>$</t>
        </is>
      </c>
      <c r="P710" t="n">
        <v>0</v>
      </c>
      <c r="Q710" t="n">
        <v>0</v>
      </c>
      <c r="R710" t="inlineStr">
        <is>
          <t>392-2023-12-31</t>
        </is>
      </c>
    </row>
    <row r="711">
      <c r="A711" t="n">
        <v>392</v>
      </c>
      <c r="B711" t="inlineStr">
        <is>
          <t>Ahorro institucional con base en la monetización de los servicios</t>
        </is>
      </c>
      <c r="C711" t="inlineStr">
        <is>
          <t>Gestión de campañas integradas de marketing</t>
        </is>
      </c>
      <c r="D711" t="inlineStr">
        <is>
          <t>Semestral</t>
        </is>
      </c>
      <c r="E711" t="inlineStr">
        <is>
          <t>Positivo</t>
        </is>
      </c>
      <c r="F711" s="111" t="n">
        <v>45657</v>
      </c>
      <c r="G711" t="n">
        <v>2024</v>
      </c>
      <c r="H711" t="inlineStr">
        <is>
          <t>Diciembre</t>
        </is>
      </c>
      <c r="I711" t="inlineStr">
        <is>
          <t>2024-2</t>
        </is>
      </c>
      <c r="J711" t="n">
        <v>100</v>
      </c>
      <c r="K711" t="n">
        <v>145.21</v>
      </c>
      <c r="L711" s="39">
        <f>IFERROR(IF(OR(J711=0,K711=""),"",IF(E711="Positivo",MIN(MAX(K711/J711,0),1.3),MIN(MAX(J711/K711,0),1.3))),"") </f>
        <v/>
      </c>
      <c r="M711" s="39">
        <f>IFERROR(IF(OR(J711=0,K711=""),"",IF(E711="Positivo",MAX(K711/J711,0),MAX(J711/K711,0))),"") </f>
        <v/>
      </c>
      <c r="N711" t="inlineStr">
        <is>
          <t>$</t>
        </is>
      </c>
      <c r="O711" t="inlineStr">
        <is>
          <t>$</t>
        </is>
      </c>
      <c r="P711" t="n">
        <v>0</v>
      </c>
      <c r="Q711" t="n">
        <v>0</v>
      </c>
      <c r="R711" t="inlineStr">
        <is>
          <t>392-2024-12-31</t>
        </is>
      </c>
    </row>
    <row r="712">
      <c r="A712" t="n">
        <v>392</v>
      </c>
      <c r="B712" t="inlineStr">
        <is>
          <t>Ahorro institucional con base en la monetización de los servicios</t>
        </is>
      </c>
      <c r="C712" t="inlineStr">
        <is>
          <t>Gestión de campañas integradas de marketing</t>
        </is>
      </c>
      <c r="D712" t="inlineStr">
        <is>
          <t>Anual</t>
        </is>
      </c>
      <c r="E712" t="inlineStr">
        <is>
          <t>Positivo</t>
        </is>
      </c>
      <c r="F712" s="111" t="n">
        <v>46022</v>
      </c>
      <c r="G712" t="n">
        <v>2025</v>
      </c>
      <c r="H712" t="inlineStr">
        <is>
          <t>Diciembre</t>
        </is>
      </c>
      <c r="I712" t="inlineStr">
        <is>
          <t>2025-2</t>
        </is>
      </c>
      <c r="J712" t="n">
        <v>100</v>
      </c>
      <c r="K712" t="n">
        <v>100.8</v>
      </c>
      <c r="L712" s="39">
        <f>IFERROR(IF(OR(J712=0,K712=""),"",IF(E712="Positivo",MIN(MAX(K712/J712,0),1.3),MIN(MAX(J712/K712,0),1.3))),"") </f>
        <v/>
      </c>
      <c r="M712" s="39">
        <f>IFERROR(IF(OR(J712=0,K712=""),"",IF(E712="Positivo",MAX(K712/J712,0),MAX(J712/K712,0))),"") </f>
        <v/>
      </c>
      <c r="N712" t="inlineStr">
        <is>
          <t>$</t>
        </is>
      </c>
      <c r="O712" t="inlineStr">
        <is>
          <t>$</t>
        </is>
      </c>
      <c r="P712" t="n">
        <v>0</v>
      </c>
      <c r="Q712" t="n">
        <v>0</v>
      </c>
      <c r="R712" t="inlineStr">
        <is>
          <t>392-2025-12-31</t>
        </is>
      </c>
    </row>
    <row r="713">
      <c r="A713" t="n">
        <v>393</v>
      </c>
      <c r="B713" t="inlineStr">
        <is>
          <t>Disminución de los tiempos empleados en el desarrollo de las solicitudes</t>
        </is>
      </c>
      <c r="C713" t="inlineStr">
        <is>
          <t>Gestión de campañas integradas de marketing</t>
        </is>
      </c>
      <c r="D713" t="inlineStr">
        <is>
          <t>Anual</t>
        </is>
      </c>
      <c r="E713" t="inlineStr">
        <is>
          <t>Positivo</t>
        </is>
      </c>
      <c r="F713" s="111" t="n">
        <v>45291</v>
      </c>
      <c r="G713" t="n">
        <v>2023</v>
      </c>
      <c r="H713" t="inlineStr">
        <is>
          <t>Diciembre</t>
        </is>
      </c>
      <c r="I713" t="inlineStr">
        <is>
          <t>2023-2</t>
        </is>
      </c>
      <c r="J713" t="n">
        <v>15</v>
      </c>
      <c r="K713" t="n">
        <v>15.45</v>
      </c>
      <c r="L713" s="39">
        <f>IFERROR(IF(OR(J713=0,K713=""),"",IF(E713="Positivo",MIN(MAX(K713/J713,0),1.3),MIN(MAX(J713/K713,0),1.3))),"") </f>
        <v/>
      </c>
      <c r="M713" s="39">
        <f>IFERROR(IF(OR(J713=0,K713=""),"",IF(E713="Positivo",MAX(K713/J713,0),MAX(J713/K713,0))),"") </f>
        <v/>
      </c>
      <c r="N713" t="inlineStr">
        <is>
          <t>ENT</t>
        </is>
      </c>
      <c r="O713" t="inlineStr">
        <is>
          <t>DEC</t>
        </is>
      </c>
      <c r="P713" t="n">
        <v>1</v>
      </c>
      <c r="Q713" t="n">
        <v>1</v>
      </c>
      <c r="R713" t="inlineStr">
        <is>
          <t>393-2023-12-31</t>
        </is>
      </c>
    </row>
    <row r="714">
      <c r="A714" t="n">
        <v>393</v>
      </c>
      <c r="B714" t="inlineStr">
        <is>
          <t>Disminución de los tiempos empleados en el desarrollo de las solicitudes</t>
        </is>
      </c>
      <c r="C714" t="inlineStr">
        <is>
          <t>Gestión de campañas integradas de marketing</t>
        </is>
      </c>
      <c r="D714" t="inlineStr">
        <is>
          <t>Anual</t>
        </is>
      </c>
      <c r="E714" t="inlineStr">
        <is>
          <t>Negativo</t>
        </is>
      </c>
      <c r="F714" s="111" t="n">
        <v>45657</v>
      </c>
      <c r="G714" t="n">
        <v>2024</v>
      </c>
      <c r="H714" t="inlineStr">
        <is>
          <t>Diciembre</t>
        </is>
      </c>
      <c r="I714" t="inlineStr">
        <is>
          <t>2024-2</t>
        </is>
      </c>
      <c r="J714" t="n">
        <v>15</v>
      </c>
      <c r="K714" t="n">
        <v>13</v>
      </c>
      <c r="L714" s="39">
        <f>IFERROR(IF(OR(J714=0,K714=""),"",IF(E714="Positivo",MIN(MAX(K714/J714,0),1.3),MIN(MAX(J714/K714,0),1.3))),"") </f>
        <v/>
      </c>
      <c r="M714" s="39">
        <f>IFERROR(IF(OR(J714=0,K714=""),"",IF(E714="Positivo",MAX(K714/J714,0),MAX(J714/K714,0))),"") </f>
        <v/>
      </c>
      <c r="N714" t="inlineStr">
        <is>
          <t>ENT</t>
        </is>
      </c>
      <c r="O714" t="inlineStr">
        <is>
          <t>DEC</t>
        </is>
      </c>
      <c r="P714" t="n">
        <v>1</v>
      </c>
      <c r="Q714" t="n">
        <v>1</v>
      </c>
      <c r="R714" t="inlineStr">
        <is>
          <t>393-2024-12-31</t>
        </is>
      </c>
    </row>
    <row r="715">
      <c r="A715" t="n">
        <v>393</v>
      </c>
      <c r="B715" t="inlineStr">
        <is>
          <t>Disminución de los tiempos empleados en el desarrollo de las solicitudes</t>
        </is>
      </c>
      <c r="C715" t="inlineStr">
        <is>
          <t>Gestión de campañas integradas de marketing</t>
        </is>
      </c>
      <c r="D715" t="inlineStr">
        <is>
          <t>Anual</t>
        </is>
      </c>
      <c r="E715" t="inlineStr">
        <is>
          <t>Negativo</t>
        </is>
      </c>
      <c r="F715" s="111" t="n">
        <v>46022</v>
      </c>
      <c r="G715" t="n">
        <v>2025</v>
      </c>
      <c r="H715" t="inlineStr">
        <is>
          <t>Diciembre</t>
        </is>
      </c>
      <c r="I715" t="inlineStr">
        <is>
          <t>2025-2</t>
        </is>
      </c>
      <c r="K715" t="n">
        <v>12</v>
      </c>
      <c r="L715" s="39" t="n"/>
      <c r="N715" t="inlineStr">
        <is>
          <t>ENT</t>
        </is>
      </c>
      <c r="O715" t="inlineStr">
        <is>
          <t>DEC</t>
        </is>
      </c>
      <c r="P715" t="n">
        <v>1</v>
      </c>
      <c r="Q715" t="n">
        <v>1</v>
      </c>
      <c r="R715" t="inlineStr">
        <is>
          <t>393-2025-12-31</t>
        </is>
      </c>
    </row>
    <row r="716">
      <c r="A716" t="n">
        <v>394</v>
      </c>
      <c r="B716" t="inlineStr">
        <is>
          <t>Publicaciones en medios de comunicación Tier 1 y Tier 2</t>
        </is>
      </c>
      <c r="C716" t="inlineStr">
        <is>
          <t>Comunicaciones Externas</t>
        </is>
      </c>
      <c r="D716" t="inlineStr">
        <is>
          <t>Semestral</t>
        </is>
      </c>
      <c r="E716" t="inlineStr">
        <is>
          <t>Positivo</t>
        </is>
      </c>
      <c r="F716" s="111" t="n">
        <v>45291</v>
      </c>
      <c r="G716" t="n">
        <v>2023</v>
      </c>
      <c r="H716" t="inlineStr">
        <is>
          <t>Diciembre</t>
        </is>
      </c>
      <c r="I716" t="inlineStr">
        <is>
          <t>2023-2</t>
        </is>
      </c>
      <c r="J716" t="n">
        <v>100</v>
      </c>
      <c r="K716" t="n">
        <v>312.569285714285</v>
      </c>
      <c r="L716" s="39">
        <f>IFERROR(IF(OR(J716=0,K716=""),"",IF(E716="Positivo",MIN(MAX(K716/J716,0),1.3),MIN(MAX(J716/K716,0),1.3))),"") </f>
        <v/>
      </c>
      <c r="M716" s="39">
        <f>IFERROR(IF(OR(J716=0,K716=""),"",IF(E716="Positivo",MAX(K716/J716,0),MAX(J716/K716,0))),"") </f>
        <v/>
      </c>
      <c r="N716" t="inlineStr">
        <is>
          <t>ENT</t>
        </is>
      </c>
      <c r="O716" t="inlineStr">
        <is>
          <t>ENT</t>
        </is>
      </c>
      <c r="P716" t="n">
        <v>0</v>
      </c>
      <c r="Q716" t="n">
        <v>0</v>
      </c>
      <c r="R716" t="inlineStr">
        <is>
          <t>394-2023-12-31</t>
        </is>
      </c>
    </row>
    <row r="717">
      <c r="A717" t="n">
        <v>394</v>
      </c>
      <c r="B717" t="inlineStr">
        <is>
          <t>Publicaciones en medios de comunicación Tier 1 y Tier 2</t>
        </is>
      </c>
      <c r="C717" t="inlineStr">
        <is>
          <t>Comunicaciones Externas</t>
        </is>
      </c>
      <c r="D717" t="inlineStr">
        <is>
          <t>Semestral</t>
        </is>
      </c>
      <c r="E717" t="inlineStr">
        <is>
          <t>Positivo</t>
        </is>
      </c>
      <c r="F717" s="111" t="n">
        <v>45657</v>
      </c>
      <c r="G717" t="n">
        <v>2024</v>
      </c>
      <c r="H717" t="inlineStr">
        <is>
          <t>Diciembre</t>
        </is>
      </c>
      <c r="I717" t="inlineStr">
        <is>
          <t>2024-2</t>
        </is>
      </c>
      <c r="J717" t="n">
        <v>100</v>
      </c>
      <c r="K717" t="n">
        <v>155.3</v>
      </c>
      <c r="L717" s="39">
        <f>IFERROR(IF(OR(J717=0,K717=""),"",IF(E717="Positivo",MIN(MAX(K717/J717,0),1.3),MIN(MAX(J717/K717,0),1.3))),"") </f>
        <v/>
      </c>
      <c r="M717" s="39">
        <f>IFERROR(IF(OR(J717=0,K717=""),"",IF(E717="Positivo",MAX(K717/J717,0),MAX(J717/K717,0))),"") </f>
        <v/>
      </c>
      <c r="N717" t="inlineStr">
        <is>
          <t>ENT</t>
        </is>
      </c>
      <c r="O717" t="inlineStr">
        <is>
          <t>ENT</t>
        </is>
      </c>
      <c r="P717" t="n">
        <v>0</v>
      </c>
      <c r="Q717" t="n">
        <v>0</v>
      </c>
      <c r="R717" t="inlineStr">
        <is>
          <t>394-2024-12-31</t>
        </is>
      </c>
    </row>
    <row r="718">
      <c r="A718" t="n">
        <v>394</v>
      </c>
      <c r="B718" t="inlineStr">
        <is>
          <t>Publicaciones en medios de comunicación Tier 1 y Tier 2</t>
        </is>
      </c>
      <c r="C718" t="inlineStr">
        <is>
          <t>Comunicaciones Externas</t>
        </is>
      </c>
      <c r="D718" t="inlineStr">
        <is>
          <t>Semestral</t>
        </is>
      </c>
      <c r="E718" t="inlineStr">
        <is>
          <t>Positivo</t>
        </is>
      </c>
      <c r="F718" s="111" t="n">
        <v>46022</v>
      </c>
      <c r="G718" t="n">
        <v>2025</v>
      </c>
      <c r="H718" t="inlineStr">
        <is>
          <t>Diciembre</t>
        </is>
      </c>
      <c r="I718" t="inlineStr">
        <is>
          <t>2025-2</t>
        </is>
      </c>
      <c r="J718" t="n">
        <v>100</v>
      </c>
      <c r="K718" t="n">
        <v>138.3925</v>
      </c>
      <c r="L718" s="39">
        <f>IFERROR(IF(OR(J718=0,K718=""),"",IF(E718="Positivo",MIN(MAX(K718/J718,0),1.3),MIN(MAX(J718/K718,0),1.3))),"") </f>
        <v/>
      </c>
      <c r="M718" s="39">
        <f>IFERROR(IF(OR(J718=0,K718=""),"",IF(E718="Positivo",MAX(K718/J718,0),MAX(J718/K718,0))),"") </f>
        <v/>
      </c>
      <c r="N718" t="inlineStr">
        <is>
          <t>ENT</t>
        </is>
      </c>
      <c r="O718" t="inlineStr">
        <is>
          <t>ENT</t>
        </is>
      </c>
      <c r="P718" t="n">
        <v>0</v>
      </c>
      <c r="Q718" t="n">
        <v>0</v>
      </c>
      <c r="R718" t="inlineStr">
        <is>
          <t>394-2025-12-31</t>
        </is>
      </c>
    </row>
    <row r="719">
      <c r="A719" t="n">
        <v>395</v>
      </c>
      <c r="B719" t="inlineStr">
        <is>
          <t>Publicaciones en medios de comunicación Tier 1 y Tier 2 de la región Antioquia</t>
        </is>
      </c>
      <c r="C719" t="inlineStr">
        <is>
          <t>Comunicaciones Externas</t>
        </is>
      </c>
      <c r="D719" t="inlineStr">
        <is>
          <t>Semestral</t>
        </is>
      </c>
      <c r="E719" t="inlineStr">
        <is>
          <t>Positivo</t>
        </is>
      </c>
      <c r="F719" s="111" t="n">
        <v>45291</v>
      </c>
      <c r="G719" t="n">
        <v>2023</v>
      </c>
      <c r="H719" t="inlineStr">
        <is>
          <t>Diciembre</t>
        </is>
      </c>
      <c r="I719" t="inlineStr">
        <is>
          <t>2023-2</t>
        </is>
      </c>
      <c r="J719" t="n">
        <v>100</v>
      </c>
      <c r="K719" t="n">
        <v>280.39382352941</v>
      </c>
      <c r="L719" s="39">
        <f>IFERROR(IF(OR(J719=0,K719=""),"",IF(E719="Positivo",MIN(MAX(K719/J719,0),1.3),MIN(MAX(J719/K719,0),1.3))),"") </f>
        <v/>
      </c>
      <c r="M719" s="39">
        <f>IFERROR(IF(OR(J719=0,K719=""),"",IF(E719="Positivo",MAX(K719/J719,0),MAX(J719/K719,0))),"") </f>
        <v/>
      </c>
      <c r="N719" t="inlineStr">
        <is>
          <t>ENT</t>
        </is>
      </c>
      <c r="O719" t="inlineStr">
        <is>
          <t>ENT</t>
        </is>
      </c>
      <c r="P719" t="n">
        <v>0</v>
      </c>
      <c r="Q719" t="n">
        <v>0</v>
      </c>
      <c r="R719" t="inlineStr">
        <is>
          <t>395-2023-12-31</t>
        </is>
      </c>
    </row>
    <row r="720">
      <c r="A720" t="n">
        <v>395</v>
      </c>
      <c r="B720" t="inlineStr">
        <is>
          <t>Publicaciones en medios de comunicación de la región Antioquia</t>
        </is>
      </c>
      <c r="C720" t="inlineStr">
        <is>
          <t>Comunicaciones Externas</t>
        </is>
      </c>
      <c r="D720" t="inlineStr">
        <is>
          <t>Semestral</t>
        </is>
      </c>
      <c r="E720" t="inlineStr">
        <is>
          <t>Positivo</t>
        </is>
      </c>
      <c r="F720" s="111" t="n">
        <v>45657</v>
      </c>
      <c r="G720" t="n">
        <v>2024</v>
      </c>
      <c r="H720" t="inlineStr">
        <is>
          <t>Diciembre</t>
        </is>
      </c>
      <c r="I720" t="inlineStr">
        <is>
          <t>2024-2</t>
        </is>
      </c>
      <c r="J720" t="n">
        <v>100</v>
      </c>
      <c r="K720" t="n">
        <v>129.445</v>
      </c>
      <c r="L720" s="39">
        <f>IFERROR(IF(OR(J720=0,K720=""),"",IF(E720="Positivo",MIN(MAX(K720/J720,0),1.3),MIN(MAX(J720/K720,0),1.3))),"") </f>
        <v/>
      </c>
      <c r="M720" s="39">
        <f>IFERROR(IF(OR(J720=0,K720=""),"",IF(E720="Positivo",MAX(K720/J720,0),MAX(J720/K720,0))),"") </f>
        <v/>
      </c>
      <c r="N720" t="inlineStr">
        <is>
          <t>ENT</t>
        </is>
      </c>
      <c r="O720" t="inlineStr">
        <is>
          <t>ENT</t>
        </is>
      </c>
      <c r="P720" t="n">
        <v>0</v>
      </c>
      <c r="Q720" t="n">
        <v>0</v>
      </c>
      <c r="R720" t="inlineStr">
        <is>
          <t>395-2024-12-31</t>
        </is>
      </c>
    </row>
    <row r="721">
      <c r="A721" t="n">
        <v>395</v>
      </c>
      <c r="B721" t="inlineStr">
        <is>
          <t>Publicaciones en medios de comunicación de la región Antioquia</t>
        </is>
      </c>
      <c r="C721" t="inlineStr">
        <is>
          <t>Comunicaciones Externas</t>
        </is>
      </c>
      <c r="D721" t="inlineStr">
        <is>
          <t>Semestral</t>
        </is>
      </c>
      <c r="E721" t="inlineStr">
        <is>
          <t>Positivo</t>
        </is>
      </c>
      <c r="F721" s="111" t="n">
        <v>46022</v>
      </c>
      <c r="G721" t="n">
        <v>2025</v>
      </c>
      <c r="H721" t="inlineStr">
        <is>
          <t>Diciembre</t>
        </is>
      </c>
      <c r="I721" t="inlineStr">
        <is>
          <t>2025-2</t>
        </is>
      </c>
      <c r="J721" t="n">
        <v>100</v>
      </c>
      <c r="K721" t="n">
        <v>204.415</v>
      </c>
      <c r="L721" s="39">
        <f>IFERROR(IF(OR(J721=0,K721=""),"",IF(E721="Positivo",MIN(MAX(K721/J721,0),1.3),MIN(MAX(J721/K721,0),1.3))),"") </f>
        <v/>
      </c>
      <c r="M721" s="39">
        <f>IFERROR(IF(OR(J721=0,K721=""),"",IF(E721="Positivo",MAX(K721/J721,0),MAX(J721/K721,0))),"") </f>
        <v/>
      </c>
      <c r="N721" t="inlineStr">
        <is>
          <t>ENT</t>
        </is>
      </c>
      <c r="O721" t="inlineStr">
        <is>
          <t>ENT</t>
        </is>
      </c>
      <c r="P721" t="n">
        <v>0</v>
      </c>
      <c r="Q721" t="n">
        <v>0</v>
      </c>
      <c r="R721" t="inlineStr">
        <is>
          <t>395-2025-12-31</t>
        </is>
      </c>
    </row>
    <row r="722">
      <c r="A722" t="n">
        <v>396</v>
      </c>
      <c r="B722" t="inlineStr">
        <is>
          <t>Publicaciones en el Campus Virtual</t>
        </is>
      </c>
      <c r="C722" t="inlineStr">
        <is>
          <t>Gestión de campañas integradas de marketing</t>
        </is>
      </c>
      <c r="D722" t="inlineStr">
        <is>
          <t>Semestral</t>
        </is>
      </c>
      <c r="E722" t="inlineStr">
        <is>
          <t>Positivo</t>
        </is>
      </c>
      <c r="F722" s="111" t="n">
        <v>45291</v>
      </c>
      <c r="G722" t="n">
        <v>2023</v>
      </c>
      <c r="H722" t="inlineStr">
        <is>
          <t>Diciembre</t>
        </is>
      </c>
      <c r="I722" t="inlineStr">
        <is>
          <t>2023-2</t>
        </is>
      </c>
      <c r="J722" t="n">
        <v>80</v>
      </c>
      <c r="K722" t="n">
        <v>88.89</v>
      </c>
      <c r="L722" s="39">
        <f>IFERROR(IF(OR(J722=0,K722=""),"",IF(E722="Positivo",MIN(MAX(K722/J722,0),1.3),MIN(MAX(J722/K722,0),1.3))),"") </f>
        <v/>
      </c>
      <c r="M722" s="39">
        <f>IFERROR(IF(OR(J722=0,K722=""),"",IF(E722="Positivo",MAX(K722/J722,0),MAX(J722/K722,0))),"") </f>
        <v/>
      </c>
      <c r="N722" t="inlineStr">
        <is>
          <t>ENT</t>
        </is>
      </c>
      <c r="O722" t="inlineStr">
        <is>
          <t>DEC</t>
        </is>
      </c>
      <c r="P722" t="n">
        <v>1</v>
      </c>
      <c r="Q722" t="n">
        <v>1</v>
      </c>
      <c r="R722" t="inlineStr">
        <is>
          <t>396-2023-12-31</t>
        </is>
      </c>
    </row>
    <row r="723">
      <c r="A723" t="n">
        <v>396</v>
      </c>
      <c r="B723" t="inlineStr">
        <is>
          <t>Publicaciones en el Campus Virtual</t>
        </is>
      </c>
      <c r="C723" t="inlineStr">
        <is>
          <t>Diseño de Contenido Virtual</t>
        </is>
      </c>
      <c r="D723" t="inlineStr">
        <is>
          <t>Semestral</t>
        </is>
      </c>
      <c r="E723" t="inlineStr">
        <is>
          <t>Positivo</t>
        </is>
      </c>
      <c r="F723" s="111" t="n">
        <v>45473</v>
      </c>
      <c r="G723" t="n">
        <v>2024</v>
      </c>
      <c r="H723" t="inlineStr">
        <is>
          <t>Junio</t>
        </is>
      </c>
      <c r="I723" t="inlineStr">
        <is>
          <t>2024-1</t>
        </is>
      </c>
      <c r="J723" t="n">
        <v>80</v>
      </c>
      <c r="K723" t="n">
        <v>88.09999999999999</v>
      </c>
      <c r="L723" s="39">
        <f>IFERROR(IF(OR(J723=0,K723=""),"",IF(E723="Positivo",MIN(MAX(K723/J723,0),1.3),MIN(MAX(J723/K723,0),1.3))),"") </f>
        <v/>
      </c>
      <c r="M723" s="39">
        <f>IFERROR(IF(OR(J723=0,K723=""),"",IF(E723="Positivo",MAX(K723/J723,0),MAX(J723/K723,0))),"") </f>
        <v/>
      </c>
      <c r="N723" t="inlineStr">
        <is>
          <t>ENT</t>
        </is>
      </c>
      <c r="O723" t="inlineStr">
        <is>
          <t>DEC</t>
        </is>
      </c>
      <c r="P723" t="n">
        <v>1</v>
      </c>
      <c r="Q723" t="n">
        <v>1</v>
      </c>
      <c r="R723" t="inlineStr">
        <is>
          <t>396-2024-06-30</t>
        </is>
      </c>
    </row>
    <row r="724">
      <c r="A724" t="n">
        <v>397</v>
      </c>
      <c r="B724" t="inlineStr">
        <is>
          <t>Gestión de casos del Estudio de Emisión</t>
        </is>
      </c>
      <c r="C724" t="inlineStr">
        <is>
          <t>Gestión de campañas integradas de marketing</t>
        </is>
      </c>
      <c r="D724" t="inlineStr">
        <is>
          <t>Semestral</t>
        </is>
      </c>
      <c r="E724" t="inlineStr">
        <is>
          <t>Positivo</t>
        </is>
      </c>
      <c r="F724" s="111" t="n">
        <v>45291</v>
      </c>
      <c r="G724" t="n">
        <v>2023</v>
      </c>
      <c r="H724" t="inlineStr">
        <is>
          <t>Diciembre</t>
        </is>
      </c>
      <c r="I724" t="inlineStr">
        <is>
          <t>2023-2</t>
        </is>
      </c>
      <c r="J724" t="n">
        <v>80</v>
      </c>
      <c r="K724" t="n">
        <v>92.01571428571449</v>
      </c>
      <c r="L724" s="39">
        <f>IFERROR(IF(OR(J724=0,K724=""),"",IF(E724="Positivo",MIN(MAX(K724/J724,0),1.3),MIN(MAX(J724/K724,0),1.3))),"") </f>
        <v/>
      </c>
      <c r="M724" s="39">
        <f>IFERROR(IF(OR(J724=0,K724=""),"",IF(E724="Positivo",MAX(K724/J724,0),MAX(J724/K724,0))),"") </f>
        <v/>
      </c>
      <c r="N724" t="inlineStr">
        <is>
          <t>%</t>
        </is>
      </c>
      <c r="O724" t="inlineStr">
        <is>
          <t>%</t>
        </is>
      </c>
      <c r="P724" t="n">
        <v>0</v>
      </c>
      <c r="Q724" t="n">
        <v>1</v>
      </c>
      <c r="R724" t="inlineStr">
        <is>
          <t>397-2023-12-31</t>
        </is>
      </c>
    </row>
    <row r="725">
      <c r="A725" t="n">
        <v>397</v>
      </c>
      <c r="B725" t="inlineStr">
        <is>
          <t>Gestión de casos del Estudio de Emisión</t>
        </is>
      </c>
      <c r="C725" t="inlineStr">
        <is>
          <t>Diseño de Contenido Virtual</t>
        </is>
      </c>
      <c r="D725" t="inlineStr">
        <is>
          <t>Semestral</t>
        </is>
      </c>
      <c r="E725" t="inlineStr">
        <is>
          <t>Positivo</t>
        </is>
      </c>
      <c r="F725" s="111" t="n">
        <v>45657</v>
      </c>
      <c r="G725" t="n">
        <v>2024</v>
      </c>
      <c r="H725" t="inlineStr">
        <is>
          <t>Diciembre</t>
        </is>
      </c>
      <c r="I725" t="inlineStr">
        <is>
          <t>2024-2</t>
        </is>
      </c>
      <c r="J725" t="n">
        <v>80</v>
      </c>
      <c r="K725" t="n">
        <v>91.47999999999999</v>
      </c>
      <c r="L725" s="39">
        <f>IFERROR(IF(OR(J725=0,K725=""),"",IF(E725="Positivo",MIN(MAX(K725/J725,0),1.3),MIN(MAX(J725/K725,0),1.3))),"") </f>
        <v/>
      </c>
      <c r="M725" s="39">
        <f>IFERROR(IF(OR(J725=0,K725=""),"",IF(E725="Positivo",MAX(K725/J725,0),MAX(J725/K725,0))),"") </f>
        <v/>
      </c>
      <c r="N725" t="inlineStr">
        <is>
          <t>%</t>
        </is>
      </c>
      <c r="O725" t="inlineStr">
        <is>
          <t>%</t>
        </is>
      </c>
      <c r="P725" t="n">
        <v>0</v>
      </c>
      <c r="Q725" t="n">
        <v>1</v>
      </c>
      <c r="R725" t="inlineStr">
        <is>
          <t>397-2024-12-31</t>
        </is>
      </c>
    </row>
    <row r="726">
      <c r="A726" t="n">
        <v>397</v>
      </c>
      <c r="B726" t="inlineStr">
        <is>
          <t>Gestión de casos del Estudio de Grabación Virtual</t>
        </is>
      </c>
      <c r="C726" t="inlineStr">
        <is>
          <t>Diseño de Contenido Virtual</t>
        </is>
      </c>
      <c r="D726" t="inlineStr">
        <is>
          <t>Trimestral</t>
        </is>
      </c>
      <c r="E726" t="inlineStr">
        <is>
          <t>Positivo</t>
        </is>
      </c>
      <c r="F726" s="111" t="n">
        <v>46022</v>
      </c>
      <c r="G726" t="n">
        <v>2025</v>
      </c>
      <c r="H726" t="inlineStr">
        <is>
          <t>Diciembre</t>
        </is>
      </c>
      <c r="I726" t="inlineStr">
        <is>
          <t>2025-2</t>
        </is>
      </c>
      <c r="J726" t="n">
        <v>90</v>
      </c>
      <c r="K726" t="n">
        <v>95.7</v>
      </c>
      <c r="L726" s="39">
        <f>IFERROR(IF(OR(J726=0,K726=""),"",IF(E726="Positivo",MIN(MAX(K726/J726,0),1.3),MIN(MAX(J726/K726,0),1.3))),"") </f>
        <v/>
      </c>
      <c r="M726" s="39">
        <f>IFERROR(IF(OR(J726=0,K726=""),"",IF(E726="Positivo",MAX(K726/J726,0),MAX(J726/K726,0))),"") </f>
        <v/>
      </c>
      <c r="N726" t="inlineStr">
        <is>
          <t>%</t>
        </is>
      </c>
      <c r="O726" t="inlineStr">
        <is>
          <t>%</t>
        </is>
      </c>
      <c r="P726" t="n">
        <v>0</v>
      </c>
      <c r="Q726" t="n">
        <v>1</v>
      </c>
      <c r="R726" t="inlineStr">
        <is>
          <t>397-2025-12-31</t>
        </is>
      </c>
    </row>
    <row r="727">
      <c r="A727" t="n">
        <v>398</v>
      </c>
      <c r="B727" t="inlineStr">
        <is>
          <t>Participación en actividades de desarrollo de Cultura y Formación Emprendedora</t>
        </is>
      </c>
      <c r="C727" t="inlineStr">
        <is>
          <t>Emprendimiento</t>
        </is>
      </c>
      <c r="D727" t="inlineStr">
        <is>
          <t>Semestral</t>
        </is>
      </c>
      <c r="E727" t="inlineStr">
        <is>
          <t>Positivo</t>
        </is>
      </c>
      <c r="F727" s="111" t="n">
        <v>45291</v>
      </c>
      <c r="G727" t="n">
        <v>2023</v>
      </c>
      <c r="H727" t="inlineStr">
        <is>
          <t>Diciembre</t>
        </is>
      </c>
      <c r="I727" t="inlineStr">
        <is>
          <t>2023-2</t>
        </is>
      </c>
      <c r="J727" t="n">
        <v>200</v>
      </c>
      <c r="K727" t="n">
        <v>491.2</v>
      </c>
      <c r="L727" s="39">
        <f>IFERROR(IF(OR(J727=0,K727=""),"",IF(E727="Positivo",MIN(MAX(K727/J727,0),1.3),MIN(MAX(J727/K727,0),1.3))),"") </f>
        <v/>
      </c>
      <c r="M727" s="39">
        <f>IFERROR(IF(OR(J727=0,K727=""),"",IF(E727="Positivo",MAX(K727/J727,0),MAX(J727/K727,0))),"") </f>
        <v/>
      </c>
      <c r="N727" t="inlineStr">
        <is>
          <t>ENT</t>
        </is>
      </c>
      <c r="O727" t="inlineStr">
        <is>
          <t>ENT</t>
        </is>
      </c>
      <c r="P727" t="n">
        <v>0</v>
      </c>
      <c r="Q727" t="n">
        <v>0</v>
      </c>
      <c r="R727" t="inlineStr">
        <is>
          <t>398-2023-12-31</t>
        </is>
      </c>
    </row>
    <row r="728">
      <c r="A728" t="n">
        <v>398</v>
      </c>
      <c r="B728" t="inlineStr">
        <is>
          <t>Participación en actividades de desarrollo de Cultura y Formación Emprendedora</t>
        </is>
      </c>
      <c r="C728" t="inlineStr">
        <is>
          <t>Emprendimiento</t>
        </is>
      </c>
      <c r="D728" t="inlineStr">
        <is>
          <t>Semestral</t>
        </is>
      </c>
      <c r="E728" t="inlineStr">
        <is>
          <t>Positivo</t>
        </is>
      </c>
      <c r="F728" s="111" t="n">
        <v>45657</v>
      </c>
      <c r="G728" t="n">
        <v>2024</v>
      </c>
      <c r="H728" t="inlineStr">
        <is>
          <t>Diciembre</t>
        </is>
      </c>
      <c r="I728" t="inlineStr">
        <is>
          <t>2024-2</t>
        </is>
      </c>
      <c r="J728" t="n">
        <v>200</v>
      </c>
      <c r="K728" t="n">
        <v>443.92</v>
      </c>
      <c r="L728" s="39">
        <f>IFERROR(IF(OR(J728=0,K728=""),"",IF(E728="Positivo",MIN(MAX(K728/J728,0),1.3),MIN(MAX(J728/K728,0),1.3))),"") </f>
        <v/>
      </c>
      <c r="M728" s="39">
        <f>IFERROR(IF(OR(J728=0,K728=""),"",IF(E728="Positivo",MAX(K728/J728,0),MAX(J728/K728,0))),"") </f>
        <v/>
      </c>
      <c r="N728" t="inlineStr">
        <is>
          <t>ENT</t>
        </is>
      </c>
      <c r="O728" t="inlineStr">
        <is>
          <t>ENT</t>
        </is>
      </c>
      <c r="P728" t="n">
        <v>0</v>
      </c>
      <c r="Q728" t="n">
        <v>0</v>
      </c>
      <c r="R728" t="inlineStr">
        <is>
          <t>398-2024-12-31</t>
        </is>
      </c>
    </row>
    <row r="729">
      <c r="A729" t="n">
        <v>398</v>
      </c>
      <c r="B729" t="inlineStr">
        <is>
          <t>Participación en actividades de desarrollo de Cultura y Formación Emprendedora</t>
        </is>
      </c>
      <c r="C729" t="inlineStr">
        <is>
          <t>Emprendimiento</t>
        </is>
      </c>
      <c r="D729" t="inlineStr">
        <is>
          <t>Trimestral</t>
        </is>
      </c>
      <c r="E729" t="inlineStr">
        <is>
          <t>Positivo</t>
        </is>
      </c>
      <c r="F729" s="111" t="n">
        <v>46022</v>
      </c>
      <c r="G729" t="n">
        <v>2025</v>
      </c>
      <c r="H729" t="inlineStr">
        <is>
          <t>Diciembre</t>
        </is>
      </c>
      <c r="I729" t="inlineStr">
        <is>
          <t>2025-2</t>
        </is>
      </c>
      <c r="J729" t="n">
        <v>200</v>
      </c>
      <c r="K729" t="n">
        <v>328.21</v>
      </c>
      <c r="L729" s="39">
        <f>IFERROR(IF(OR(J729=0,K729=""),"",IF(E729="Positivo",MIN(MAX(K729/J729,0),1.3),MIN(MAX(J729/K729,0),1.3))),"") </f>
        <v/>
      </c>
      <c r="M729" s="39">
        <f>IFERROR(IF(OR(J729=0,K729=""),"",IF(E729="Positivo",MAX(K729/J729,0),MAX(J729/K729,0))),"") </f>
        <v/>
      </c>
      <c r="N729" t="inlineStr">
        <is>
          <t>ENT</t>
        </is>
      </c>
      <c r="O729" t="inlineStr">
        <is>
          <t>ENT</t>
        </is>
      </c>
      <c r="P729" t="n">
        <v>0</v>
      </c>
      <c r="Q729" t="n">
        <v>0</v>
      </c>
      <c r="R729" t="inlineStr">
        <is>
          <t>398-2025-12-31</t>
        </is>
      </c>
    </row>
    <row r="730">
      <c r="A730" t="n">
        <v>399</v>
      </c>
      <c r="B730" t="inlineStr">
        <is>
          <t>Sesiones de Acompañamiento a emprendedores en creación de empresas</t>
        </is>
      </c>
      <c r="C730" t="inlineStr">
        <is>
          <t>Emprendimiento</t>
        </is>
      </c>
      <c r="D730" t="inlineStr">
        <is>
          <t>Semestral</t>
        </is>
      </c>
      <c r="E730" t="inlineStr">
        <is>
          <t>Positivo</t>
        </is>
      </c>
      <c r="F730" s="111" t="n">
        <v>45291</v>
      </c>
      <c r="G730" t="n">
        <v>2023</v>
      </c>
      <c r="H730" t="inlineStr">
        <is>
          <t>Diciembre</t>
        </is>
      </c>
      <c r="I730" t="inlineStr">
        <is>
          <t>2023-2</t>
        </is>
      </c>
      <c r="J730" t="n">
        <v>200</v>
      </c>
      <c r="K730" t="n">
        <v>266.8</v>
      </c>
      <c r="L730" s="39">
        <f>IFERROR(IF(OR(J730=0,K730=""),"",IF(E730="Positivo",MIN(MAX(K730/J730,0),1.3),MIN(MAX(J730/K730,0),1.3))),"") </f>
        <v/>
      </c>
      <c r="M730" s="39">
        <f>IFERROR(IF(OR(J730=0,K730=""),"",IF(E730="Positivo",MAX(K730/J730,0),MAX(J730/K730,0))),"") </f>
        <v/>
      </c>
      <c r="N730" t="inlineStr">
        <is>
          <t>ENT</t>
        </is>
      </c>
      <c r="O730" t="inlineStr">
        <is>
          <t>ENT</t>
        </is>
      </c>
      <c r="P730" t="n">
        <v>0</v>
      </c>
      <c r="Q730" t="n">
        <v>0</v>
      </c>
      <c r="R730" t="inlineStr">
        <is>
          <t>399-2023-12-31</t>
        </is>
      </c>
    </row>
    <row r="731">
      <c r="A731" t="n">
        <v>399</v>
      </c>
      <c r="B731" t="inlineStr">
        <is>
          <t>Sesiones de Acompañamiento a emprendedores en creación de empresas</t>
        </is>
      </c>
      <c r="C731" t="inlineStr">
        <is>
          <t>Emprendimiento</t>
        </is>
      </c>
      <c r="D731" t="inlineStr">
        <is>
          <t>Semestral</t>
        </is>
      </c>
      <c r="E731" t="inlineStr">
        <is>
          <t>Positivo</t>
        </is>
      </c>
      <c r="F731" s="111" t="n">
        <v>45657</v>
      </c>
      <c r="G731" t="n">
        <v>2024</v>
      </c>
      <c r="H731" t="inlineStr">
        <is>
          <t>Diciembre</t>
        </is>
      </c>
      <c r="I731" t="inlineStr">
        <is>
          <t>2024-2</t>
        </is>
      </c>
      <c r="J731" t="n">
        <v>200</v>
      </c>
      <c r="K731" t="n">
        <v>222.72</v>
      </c>
      <c r="L731" s="39">
        <f>IFERROR(IF(OR(J731=0,K731=""),"",IF(E731="Positivo",MIN(MAX(K731/J731,0),1.3),MIN(MAX(J731/K731,0),1.3))),"") </f>
        <v/>
      </c>
      <c r="M731" s="39">
        <f>IFERROR(IF(OR(J731=0,K731=""),"",IF(E731="Positivo",MAX(K731/J731,0),MAX(J731/K731,0))),"") </f>
        <v/>
      </c>
      <c r="N731" t="inlineStr">
        <is>
          <t>ENT</t>
        </is>
      </c>
      <c r="O731" t="inlineStr">
        <is>
          <t>ENT</t>
        </is>
      </c>
      <c r="P731" t="n">
        <v>0</v>
      </c>
      <c r="Q731" t="n">
        <v>0</v>
      </c>
      <c r="R731" t="inlineStr">
        <is>
          <t>399-2024-12-31</t>
        </is>
      </c>
    </row>
    <row r="732">
      <c r="A732" t="n">
        <v>399</v>
      </c>
      <c r="B732" t="inlineStr">
        <is>
          <t>Sesiones de Acompañamiento a emprendedores en creación de empresas</t>
        </is>
      </c>
      <c r="C732" t="inlineStr">
        <is>
          <t>Emprendimiento</t>
        </is>
      </c>
      <c r="D732" t="inlineStr">
        <is>
          <t>Trimestral</t>
        </is>
      </c>
      <c r="E732" t="inlineStr">
        <is>
          <t>Positivo</t>
        </is>
      </c>
      <c r="F732" s="111" t="n">
        <v>46022</v>
      </c>
      <c r="G732" t="n">
        <v>2025</v>
      </c>
      <c r="H732" t="inlineStr">
        <is>
          <t>Diciembre</t>
        </is>
      </c>
      <c r="I732" t="inlineStr">
        <is>
          <t>2025-2</t>
        </is>
      </c>
      <c r="J732" t="n">
        <v>200</v>
      </c>
      <c r="K732" t="n">
        <v>209.06</v>
      </c>
      <c r="L732" s="39">
        <f>IFERROR(IF(OR(J732=0,K732=""),"",IF(E732="Positivo",MIN(MAX(K732/J732,0),1.3),MIN(MAX(J732/K732,0),1.3))),"") </f>
        <v/>
      </c>
      <c r="M732" s="39">
        <f>IFERROR(IF(OR(J732=0,K732=""),"",IF(E732="Positivo",MAX(K732/J732,0),MAX(J732/K732,0))),"") </f>
        <v/>
      </c>
      <c r="N732" t="inlineStr">
        <is>
          <t>ENT</t>
        </is>
      </c>
      <c r="O732" t="inlineStr">
        <is>
          <t>ENT</t>
        </is>
      </c>
      <c r="P732" t="n">
        <v>0</v>
      </c>
      <c r="Q732" t="n">
        <v>0</v>
      </c>
      <c r="R732" t="inlineStr">
        <is>
          <t>399-2025-12-31</t>
        </is>
      </c>
    </row>
    <row r="733">
      <c r="A733" t="n">
        <v>400</v>
      </c>
      <c r="B733" t="inlineStr">
        <is>
          <t>Puesta en marcha de proyectos de emprendimiento</t>
        </is>
      </c>
      <c r="C733" t="inlineStr">
        <is>
          <t>Emprendimiento</t>
        </is>
      </c>
      <c r="D733" t="inlineStr">
        <is>
          <t>Semestral</t>
        </is>
      </c>
      <c r="E733" t="inlineStr">
        <is>
          <t>Positivo</t>
        </is>
      </c>
      <c r="F733" s="111" t="n">
        <v>45291</v>
      </c>
      <c r="G733" t="n">
        <v>2023</v>
      </c>
      <c r="H733" t="inlineStr">
        <is>
          <t>Diciembre</t>
        </is>
      </c>
      <c r="I733" t="inlineStr">
        <is>
          <t>2023-2</t>
        </is>
      </c>
      <c r="J733" t="n">
        <v>200</v>
      </c>
      <c r="K733" t="n">
        <v>502.86</v>
      </c>
      <c r="L733" s="39">
        <f>IFERROR(IF(OR(J733=0,K733=""),"",IF(E733="Positivo",MIN(MAX(K733/J733,0),1.3),MIN(MAX(J733/K733,0),1.3))),"") </f>
        <v/>
      </c>
      <c r="M733" s="39">
        <f>IFERROR(IF(OR(J733=0,K733=""),"",IF(E733="Positivo",MAX(K733/J733,0),MAX(J733/K733,0))),"") </f>
        <v/>
      </c>
      <c r="N733" t="inlineStr">
        <is>
          <t>ENT</t>
        </is>
      </c>
      <c r="O733" t="inlineStr">
        <is>
          <t>ENT</t>
        </is>
      </c>
      <c r="P733" t="n">
        <v>0</v>
      </c>
      <c r="Q733" t="n">
        <v>0</v>
      </c>
      <c r="R733" t="inlineStr">
        <is>
          <t>400-2023-12-31</t>
        </is>
      </c>
    </row>
    <row r="734">
      <c r="A734" t="n">
        <v>400</v>
      </c>
      <c r="B734" t="inlineStr">
        <is>
          <t>Puesta en marcha de proyectos de emprendimiento</t>
        </is>
      </c>
      <c r="C734" t="inlineStr">
        <is>
          <t>Emprendimiento</t>
        </is>
      </c>
      <c r="D734" t="inlineStr">
        <is>
          <t>Semestral</t>
        </is>
      </c>
      <c r="E734" t="inlineStr">
        <is>
          <t>Positivo</t>
        </is>
      </c>
      <c r="F734" s="111" t="n">
        <v>45657</v>
      </c>
      <c r="G734" t="n">
        <v>2024</v>
      </c>
      <c r="H734" t="inlineStr">
        <is>
          <t>Diciembre</t>
        </is>
      </c>
      <c r="I734" t="inlineStr">
        <is>
          <t>2024-2</t>
        </is>
      </c>
      <c r="J734" t="n">
        <v>200</v>
      </c>
      <c r="K734" t="n">
        <v>668.1800000000001</v>
      </c>
      <c r="L734" s="39">
        <f>IFERROR(IF(OR(J734=0,K734=""),"",IF(E734="Positivo",MIN(MAX(K734/J734,0),1.3),MIN(MAX(J734/K734,0),1.3))),"") </f>
        <v/>
      </c>
      <c r="M734" s="39">
        <f>IFERROR(IF(OR(J734=0,K734=""),"",IF(E734="Positivo",MAX(K734/J734,0),MAX(J734/K734,0))),"") </f>
        <v/>
      </c>
      <c r="N734" t="inlineStr">
        <is>
          <t>ENT</t>
        </is>
      </c>
      <c r="O734" t="inlineStr">
        <is>
          <t>ENT</t>
        </is>
      </c>
      <c r="P734" t="n">
        <v>0</v>
      </c>
      <c r="Q734" t="n">
        <v>0</v>
      </c>
      <c r="R734" t="inlineStr">
        <is>
          <t>400-2024-12-31</t>
        </is>
      </c>
    </row>
    <row r="735">
      <c r="A735" t="n">
        <v>400</v>
      </c>
      <c r="B735" t="inlineStr">
        <is>
          <t>Puesta en marcha de proyectos de emprendimiento</t>
        </is>
      </c>
      <c r="C735" t="inlineStr">
        <is>
          <t>Emprendimiento</t>
        </is>
      </c>
      <c r="D735" t="inlineStr">
        <is>
          <t>Trimestral</t>
        </is>
      </c>
      <c r="E735" t="inlineStr">
        <is>
          <t>Positivo</t>
        </is>
      </c>
      <c r="F735" s="111" t="n">
        <v>46022</v>
      </c>
      <c r="G735" t="n">
        <v>2025</v>
      </c>
      <c r="H735" t="inlineStr">
        <is>
          <t>Diciembre</t>
        </is>
      </c>
      <c r="I735" t="inlineStr">
        <is>
          <t>2025-2</t>
        </is>
      </c>
      <c r="J735" t="n">
        <v>200</v>
      </c>
      <c r="K735" t="n">
        <v>250.14</v>
      </c>
      <c r="L735" s="39">
        <f>IFERROR(IF(OR(J735=0,K735=""),"",IF(E735="Positivo",MIN(MAX(K735/J735,0),1.3),MIN(MAX(J735/K735,0),1.3))),"") </f>
        <v/>
      </c>
      <c r="M735" s="39">
        <f>IFERROR(IF(OR(J735=0,K735=""),"",IF(E735="Positivo",MAX(K735/J735,0),MAX(J735/K735,0))),"") </f>
        <v/>
      </c>
      <c r="N735" t="inlineStr">
        <is>
          <t>ENT</t>
        </is>
      </c>
      <c r="O735" t="inlineStr">
        <is>
          <t>ENT</t>
        </is>
      </c>
      <c r="P735" t="n">
        <v>0</v>
      </c>
      <c r="Q735" t="n">
        <v>0</v>
      </c>
      <c r="R735" t="inlineStr">
        <is>
          <t>400-2025-12-31</t>
        </is>
      </c>
    </row>
    <row r="736">
      <c r="A736" t="n">
        <v>401</v>
      </c>
      <c r="B736" t="inlineStr">
        <is>
          <t>Producción de nuevos MI-Books</t>
        </is>
      </c>
      <c r="C736" t="inlineStr">
        <is>
          <t>LEI</t>
        </is>
      </c>
      <c r="D736" t="inlineStr">
        <is>
          <t>Semestral</t>
        </is>
      </c>
      <c r="E736" t="inlineStr">
        <is>
          <t>Positivo</t>
        </is>
      </c>
      <c r="F736" s="111" t="n">
        <v>45291</v>
      </c>
      <c r="G736" t="n">
        <v>2023</v>
      </c>
      <c r="H736" t="inlineStr">
        <is>
          <t>Diciembre</t>
        </is>
      </c>
      <c r="I736" t="inlineStr">
        <is>
          <t>2023-2</t>
        </is>
      </c>
      <c r="J736" t="n">
        <v>180</v>
      </c>
      <c r="K736" t="n">
        <v>212.5</v>
      </c>
      <c r="L736" s="39">
        <f>IFERROR(IF(OR(J736=0,K736=""),"",IF(E736="Positivo",MIN(MAX(K736/J736,0),1.3),MIN(MAX(J736/K736,0),1.3))),"") </f>
        <v/>
      </c>
      <c r="M736" s="39">
        <f>IFERROR(IF(OR(J736=0,K736=""),"",IF(E736="Positivo",MAX(K736/J736,0),MAX(J736/K736,0))),"") </f>
        <v/>
      </c>
      <c r="N736" t="inlineStr">
        <is>
          <t>ENT</t>
        </is>
      </c>
      <c r="O736" t="inlineStr">
        <is>
          <t>ENT</t>
        </is>
      </c>
      <c r="P736" t="n">
        <v>0</v>
      </c>
      <c r="Q736" t="n">
        <v>0</v>
      </c>
      <c r="R736" t="inlineStr">
        <is>
          <t>401-2023-12-31</t>
        </is>
      </c>
    </row>
    <row r="737">
      <c r="A737" t="n">
        <v>401</v>
      </c>
      <c r="B737" t="inlineStr">
        <is>
          <t>Producción de nuevos MI-Books</t>
        </is>
      </c>
      <c r="C737" t="inlineStr">
        <is>
          <t>LEI</t>
        </is>
      </c>
      <c r="D737" t="inlineStr">
        <is>
          <t>Semestral</t>
        </is>
      </c>
      <c r="E737" t="inlineStr">
        <is>
          <t>Positivo</t>
        </is>
      </c>
      <c r="F737" s="111" t="n">
        <v>45657</v>
      </c>
      <c r="G737" t="n">
        <v>2024</v>
      </c>
      <c r="H737" t="inlineStr">
        <is>
          <t>Diciembre</t>
        </is>
      </c>
      <c r="I737" t="inlineStr">
        <is>
          <t>2024-2</t>
        </is>
      </c>
      <c r="J737" t="n">
        <v>180</v>
      </c>
      <c r="K737" t="n">
        <v>212.5</v>
      </c>
      <c r="L737" s="39">
        <f>IFERROR(IF(OR(J737=0,K737=""),"",IF(E737="Positivo",MIN(MAX(K737/J737,0),1.3),MIN(MAX(J737/K737,0),1.3))),"") </f>
        <v/>
      </c>
      <c r="M737" s="39">
        <f>IFERROR(IF(OR(J737=0,K737=""),"",IF(E737="Positivo",MAX(K737/J737,0),MAX(J737/K737,0))),"") </f>
        <v/>
      </c>
      <c r="N737" t="inlineStr">
        <is>
          <t>ENT</t>
        </is>
      </c>
      <c r="O737" t="inlineStr">
        <is>
          <t>ENT</t>
        </is>
      </c>
      <c r="P737" t="n">
        <v>0</v>
      </c>
      <c r="Q737" t="n">
        <v>0</v>
      </c>
      <c r="R737" t="inlineStr">
        <is>
          <t>401-2024-12-31</t>
        </is>
      </c>
    </row>
    <row r="738">
      <c r="A738" t="n">
        <v>401</v>
      </c>
      <c r="B738" t="inlineStr">
        <is>
          <t>Producción de nuevos MI-Books</t>
        </is>
      </c>
      <c r="C738" t="inlineStr">
        <is>
          <t>LEI</t>
        </is>
      </c>
      <c r="D738" t="inlineStr">
        <is>
          <t>Trimestral</t>
        </is>
      </c>
      <c r="E738" t="inlineStr">
        <is>
          <t>Positivo</t>
        </is>
      </c>
      <c r="F738" s="111" t="n">
        <v>46022</v>
      </c>
      <c r="G738" t="n">
        <v>2025</v>
      </c>
      <c r="H738" t="inlineStr">
        <is>
          <t>Diciembre</t>
        </is>
      </c>
      <c r="I738" t="inlineStr">
        <is>
          <t>2025-2</t>
        </is>
      </c>
      <c r="J738" t="n">
        <v>200</v>
      </c>
      <c r="K738" t="n">
        <v>200</v>
      </c>
      <c r="L738" s="39">
        <f>IFERROR(IF(OR(J738=0,K738=""),"",IF(E738="Positivo",MIN(MAX(K738/J738,0),1.3),MIN(MAX(J738/K738,0),1.3))),"") </f>
        <v/>
      </c>
      <c r="M738" s="39">
        <f>IFERROR(IF(OR(J738=0,K738=""),"",IF(E738="Positivo",MAX(K738/J738,0),MAX(J738/K738,0))),"") </f>
        <v/>
      </c>
      <c r="N738" t="inlineStr">
        <is>
          <t>ENT</t>
        </is>
      </c>
      <c r="O738" t="inlineStr">
        <is>
          <t>ENT</t>
        </is>
      </c>
      <c r="P738" t="n">
        <v>0</v>
      </c>
      <c r="Q738" t="n">
        <v>0</v>
      </c>
      <c r="R738" t="inlineStr">
        <is>
          <t>401-2025-12-31</t>
        </is>
      </c>
    </row>
    <row r="739">
      <c r="A739" t="n">
        <v>402</v>
      </c>
      <c r="B739" t="inlineStr">
        <is>
          <t>Informe anual de consulta de MI-Books</t>
        </is>
      </c>
      <c r="C739" t="inlineStr">
        <is>
          <t>LEI</t>
        </is>
      </c>
      <c r="D739" t="inlineStr">
        <is>
          <t>Anual</t>
        </is>
      </c>
      <c r="E739" t="inlineStr">
        <is>
          <t>Positivo</t>
        </is>
      </c>
      <c r="F739" s="111" t="n">
        <v>45291</v>
      </c>
      <c r="G739" t="n">
        <v>2023</v>
      </c>
      <c r="H739" t="inlineStr">
        <is>
          <t>Diciembre</t>
        </is>
      </c>
      <c r="I739" t="inlineStr">
        <is>
          <t>2023-2</t>
        </is>
      </c>
      <c r="K739" t="n">
        <v>21000</v>
      </c>
      <c r="L739" s="39" t="n"/>
      <c r="M739" s="39" t="n"/>
      <c r="N739" t="inlineStr">
        <is>
          <t>ENT</t>
        </is>
      </c>
      <c r="O739" t="inlineStr">
        <is>
          <t>ENT</t>
        </is>
      </c>
      <c r="P739" t="n">
        <v>0</v>
      </c>
      <c r="Q739" t="n">
        <v>0</v>
      </c>
      <c r="R739" t="inlineStr">
        <is>
          <t>402-2023-12-31</t>
        </is>
      </c>
    </row>
    <row r="740">
      <c r="A740" t="n">
        <v>402</v>
      </c>
      <c r="B740" t="inlineStr">
        <is>
          <t>Informe anual de consulta de MI-Books</t>
        </is>
      </c>
      <c r="C740" t="inlineStr">
        <is>
          <t>LEI</t>
        </is>
      </c>
      <c r="D740" t="inlineStr">
        <is>
          <t>Anual</t>
        </is>
      </c>
      <c r="E740" t="inlineStr">
        <is>
          <t>Positivo</t>
        </is>
      </c>
      <c r="F740" s="111" t="n">
        <v>45657</v>
      </c>
      <c r="G740" t="n">
        <v>2024</v>
      </c>
      <c r="H740" t="inlineStr">
        <is>
          <t>Diciembre</t>
        </is>
      </c>
      <c r="I740" t="inlineStr">
        <is>
          <t>2024-2</t>
        </is>
      </c>
      <c r="J740" t="n">
        <v>3</v>
      </c>
      <c r="K740" t="n">
        <v>4.76</v>
      </c>
      <c r="L740" s="39">
        <f>IFERROR(IF(OR(J740=0,K740=""),"",IF(E740="Positivo",MIN(MAX(K740/J740,0),1.3),MIN(MAX(J740/K740,0),1.3))),"") </f>
        <v/>
      </c>
      <c r="M740" s="39">
        <f>IFERROR(IF(OR(J740=0,K740=""),"",IF(E740="Positivo",MAX(K740/J740,0),MAX(J740/K740,0))),"") </f>
        <v/>
      </c>
      <c r="N740" t="inlineStr">
        <is>
          <t>ENT</t>
        </is>
      </c>
      <c r="O740" t="inlineStr">
        <is>
          <t>ENT</t>
        </is>
      </c>
      <c r="P740" t="n">
        <v>0</v>
      </c>
      <c r="Q740" t="n">
        <v>0</v>
      </c>
      <c r="R740" t="inlineStr">
        <is>
          <t>402-2024-12-31</t>
        </is>
      </c>
    </row>
    <row r="741">
      <c r="A741" t="n">
        <v>402</v>
      </c>
      <c r="B741" t="inlineStr">
        <is>
          <t>Informe anual de consulta de MI-Books</t>
        </is>
      </c>
      <c r="C741" t="inlineStr">
        <is>
          <t>LEI</t>
        </is>
      </c>
      <c r="D741" t="inlineStr">
        <is>
          <t>Anual</t>
        </is>
      </c>
      <c r="E741" t="inlineStr">
        <is>
          <t>Positivo</t>
        </is>
      </c>
      <c r="F741" s="111" t="n">
        <v>46022</v>
      </c>
      <c r="G741" t="n">
        <v>2025</v>
      </c>
      <c r="H741" t="inlineStr">
        <is>
          <t>Diciembre</t>
        </is>
      </c>
      <c r="I741" t="inlineStr">
        <is>
          <t>2025-2</t>
        </is>
      </c>
      <c r="K741" t="n">
        <v>22.73</v>
      </c>
      <c r="L741" s="39" t="n"/>
      <c r="M741" s="39" t="n"/>
      <c r="N741" t="inlineStr">
        <is>
          <t>ENT</t>
        </is>
      </c>
      <c r="O741" t="inlineStr">
        <is>
          <t>ENT</t>
        </is>
      </c>
      <c r="P741" t="n">
        <v>0</v>
      </c>
      <c r="Q741" t="n">
        <v>0</v>
      </c>
      <c r="R741" t="inlineStr">
        <is>
          <t>402-2025-12-31</t>
        </is>
      </c>
    </row>
    <row r="742">
      <c r="A742" t="n">
        <v>403</v>
      </c>
      <c r="B742" t="inlineStr">
        <is>
          <t>Número de estudiantes que ha realizado la simulación</t>
        </is>
      </c>
      <c r="C742" t="inlineStr">
        <is>
          <t>LEI</t>
        </is>
      </c>
      <c r="D742" t="inlineStr">
        <is>
          <t>Semestral</t>
        </is>
      </c>
      <c r="E742" t="inlineStr">
        <is>
          <t>Positivo</t>
        </is>
      </c>
      <c r="F742" s="111" t="n">
        <v>45291</v>
      </c>
      <c r="G742" t="n">
        <v>2023</v>
      </c>
      <c r="H742" t="inlineStr">
        <is>
          <t>Diciembre</t>
        </is>
      </c>
      <c r="I742" t="inlineStr">
        <is>
          <t>2023-2</t>
        </is>
      </c>
      <c r="K742" t="n">
        <v>43009</v>
      </c>
      <c r="L742" s="39" t="n"/>
      <c r="M742" s="39" t="n"/>
      <c r="N742" t="inlineStr">
        <is>
          <t>Metrica</t>
        </is>
      </c>
      <c r="O742" t="inlineStr">
        <is>
          <t>ENT</t>
        </is>
      </c>
      <c r="P742" t="n">
        <v>0</v>
      </c>
      <c r="Q742" t="n">
        <v>0</v>
      </c>
      <c r="R742" t="inlineStr">
        <is>
          <t>403-2023-12-31</t>
        </is>
      </c>
    </row>
    <row r="743">
      <c r="A743" t="n">
        <v>403</v>
      </c>
      <c r="B743" t="inlineStr">
        <is>
          <t>Número de estudiantes que ha realizado la simulación</t>
        </is>
      </c>
      <c r="C743" t="inlineStr">
        <is>
          <t>LEI</t>
        </is>
      </c>
      <c r="D743" t="inlineStr">
        <is>
          <t>Semestral</t>
        </is>
      </c>
      <c r="E743" t="inlineStr">
        <is>
          <t>Positivo</t>
        </is>
      </c>
      <c r="F743" s="111" t="n">
        <v>45657</v>
      </c>
      <c r="G743" t="n">
        <v>2024</v>
      </c>
      <c r="H743" t="inlineStr">
        <is>
          <t>Diciembre</t>
        </is>
      </c>
      <c r="I743" t="inlineStr">
        <is>
          <t>2024-2</t>
        </is>
      </c>
      <c r="K743" t="n">
        <v>29418</v>
      </c>
      <c r="L743" s="39" t="n"/>
      <c r="M743" s="39" t="n"/>
      <c r="N743" t="inlineStr">
        <is>
          <t>Metrica</t>
        </is>
      </c>
      <c r="O743" t="inlineStr">
        <is>
          <t>ENT</t>
        </is>
      </c>
      <c r="P743" t="n">
        <v>0</v>
      </c>
      <c r="Q743" t="n">
        <v>0</v>
      </c>
      <c r="R743" t="inlineStr">
        <is>
          <t>403-2024-12-31</t>
        </is>
      </c>
    </row>
    <row r="744">
      <c r="A744" t="n">
        <v>403</v>
      </c>
      <c r="B744" t="inlineStr">
        <is>
          <t>Número de estudiantes que ha realizado la simulación (Metrica)</t>
        </is>
      </c>
      <c r="C744" t="inlineStr">
        <is>
          <t>LEI</t>
        </is>
      </c>
      <c r="D744" t="inlineStr">
        <is>
          <t>Trimestral</t>
        </is>
      </c>
      <c r="E744" t="inlineStr">
        <is>
          <t>Positivo</t>
        </is>
      </c>
      <c r="F744" s="111" t="n">
        <v>46022</v>
      </c>
      <c r="G744" t="n">
        <v>2025</v>
      </c>
      <c r="H744" t="inlineStr">
        <is>
          <t>Diciembre</t>
        </is>
      </c>
      <c r="I744" t="inlineStr">
        <is>
          <t>2025-2</t>
        </is>
      </c>
      <c r="K744" t="n">
        <v>26920</v>
      </c>
      <c r="L744" s="39" t="n"/>
      <c r="M744" s="39" t="n"/>
      <c r="N744" t="inlineStr">
        <is>
          <t>Metrica</t>
        </is>
      </c>
      <c r="O744" t="inlineStr">
        <is>
          <t>ENT</t>
        </is>
      </c>
      <c r="P744" t="n">
        <v>0</v>
      </c>
      <c r="Q744" t="n">
        <v>0</v>
      </c>
      <c r="R744" t="inlineStr">
        <is>
          <t>403-2025-12-31</t>
        </is>
      </c>
      <c r="S744" t="inlineStr">
        <is>
          <t>Metrica</t>
        </is>
      </c>
    </row>
    <row r="745">
      <c r="A745" t="n">
        <v>404</v>
      </c>
      <c r="B745" t="inlineStr">
        <is>
          <t>Casos presentados y solucionados</t>
        </is>
      </c>
      <c r="C745" t="inlineStr">
        <is>
          <t>LEI</t>
        </is>
      </c>
      <c r="D745" t="inlineStr">
        <is>
          <t>Semestral</t>
        </is>
      </c>
      <c r="E745" t="inlineStr">
        <is>
          <t>Negativo</t>
        </is>
      </c>
      <c r="F745" s="111" t="n">
        <v>45291</v>
      </c>
      <c r="G745" t="n">
        <v>2023</v>
      </c>
      <c r="H745" t="inlineStr">
        <is>
          <t>Diciembre</t>
        </is>
      </c>
      <c r="I745" t="inlineStr">
        <is>
          <t>2023-2</t>
        </is>
      </c>
      <c r="J745" t="n">
        <v>20</v>
      </c>
      <c r="K745" t="n">
        <v>1.7</v>
      </c>
      <c r="L745" s="39">
        <f>IFERROR(IF(OR(J745=0,K745=""),"",IF(E745="Positivo",MIN(MAX(K745/J745,0),1.3),MIN(MAX(J745/K745,0),1.3))),"") </f>
        <v/>
      </c>
      <c r="M745" s="39">
        <f>IFERROR(IF(OR(J745=0,K745=""),"",IF(E745="Positivo",MAX(K745/J745,0),MAX(J745/K745,0))),"") </f>
        <v/>
      </c>
      <c r="N745" t="inlineStr">
        <is>
          <t>%</t>
        </is>
      </c>
      <c r="O745" t="inlineStr">
        <is>
          <t>%</t>
        </is>
      </c>
      <c r="P745" t="n">
        <v>0</v>
      </c>
      <c r="Q745" t="n">
        <v>0</v>
      </c>
      <c r="R745" t="inlineStr">
        <is>
          <t>404-2023-12-31</t>
        </is>
      </c>
    </row>
    <row r="746">
      <c r="A746" t="n">
        <v>404</v>
      </c>
      <c r="B746" t="inlineStr">
        <is>
          <t>Casos presentados y solucionados</t>
        </is>
      </c>
      <c r="C746" t="inlineStr">
        <is>
          <t>LEI</t>
        </is>
      </c>
      <c r="D746" t="inlineStr">
        <is>
          <t>Semestral</t>
        </is>
      </c>
      <c r="E746" t="inlineStr">
        <is>
          <t>Negativo</t>
        </is>
      </c>
      <c r="F746" s="111" t="n">
        <v>45657</v>
      </c>
      <c r="G746" t="n">
        <v>2024</v>
      </c>
      <c r="H746" t="inlineStr">
        <is>
          <t>Diciembre</t>
        </is>
      </c>
      <c r="I746" t="inlineStr">
        <is>
          <t>2024-2</t>
        </is>
      </c>
      <c r="J746" t="n">
        <v>10</v>
      </c>
      <c r="K746" t="n">
        <v>6.02</v>
      </c>
      <c r="L746" s="39">
        <f>IFERROR(IF(OR(J746=0,K746=""),"",IF(E746="Positivo",MIN(MAX(K746/J746,0),1.3),MIN(MAX(J746/K746,0),1.3))),"") </f>
        <v/>
      </c>
      <c r="M746" s="39">
        <f>IFERROR(IF(OR(J746=0,K746=""),"",IF(E746="Positivo",MAX(K746/J746,0),MAX(J746/K746,0))),"") </f>
        <v/>
      </c>
      <c r="N746" t="inlineStr">
        <is>
          <t>%</t>
        </is>
      </c>
      <c r="O746" t="inlineStr">
        <is>
          <t>%</t>
        </is>
      </c>
      <c r="P746" t="n">
        <v>0</v>
      </c>
      <c r="Q746" t="n">
        <v>0</v>
      </c>
      <c r="R746" t="inlineStr">
        <is>
          <t>404-2024-12-31</t>
        </is>
      </c>
    </row>
    <row r="747">
      <c r="A747" t="n">
        <v>405</v>
      </c>
      <c r="B747" t="inlineStr">
        <is>
          <t>Proyecto de reingenieria y arquitectura de software LEI</t>
        </is>
      </c>
      <c r="C747" t="inlineStr">
        <is>
          <t>LEI</t>
        </is>
      </c>
      <c r="D747" t="inlineStr">
        <is>
          <t>Semestral</t>
        </is>
      </c>
      <c r="E747" t="inlineStr">
        <is>
          <t>Positivo</t>
        </is>
      </c>
      <c r="F747" s="111" t="n">
        <v>45291</v>
      </c>
      <c r="G747" t="n">
        <v>2023</v>
      </c>
      <c r="H747" t="inlineStr">
        <is>
          <t>Diciembre</t>
        </is>
      </c>
      <c r="I747" t="inlineStr">
        <is>
          <t>2023-2</t>
        </is>
      </c>
      <c r="J747" t="n">
        <v>50</v>
      </c>
      <c r="K747" t="n">
        <v>62</v>
      </c>
      <c r="L747" s="39">
        <f>IFERROR(IF(OR(J747=0,K747=""),"",IF(E747="Positivo",MIN(MAX(K747/J747,0),1.3),MIN(MAX(J747/K747,0),1.3))),"") </f>
        <v/>
      </c>
      <c r="M747" s="39">
        <f>IFERROR(IF(OR(J747=0,K747=""),"",IF(E747="Positivo",MAX(K747/J747,0),MAX(J747/K747,0))),"") </f>
        <v/>
      </c>
      <c r="N747" t="inlineStr">
        <is>
          <t>%</t>
        </is>
      </c>
      <c r="O747" t="inlineStr">
        <is>
          <t>%</t>
        </is>
      </c>
      <c r="P747" t="n">
        <v>0</v>
      </c>
      <c r="Q747" t="n">
        <v>0</v>
      </c>
      <c r="R747" t="inlineStr">
        <is>
          <t>405-2023-12-31</t>
        </is>
      </c>
    </row>
    <row r="748">
      <c r="A748" t="n">
        <v>405</v>
      </c>
      <c r="B748" t="inlineStr">
        <is>
          <t>Proyecto de reingenieria y arquitectura de software LEI</t>
        </is>
      </c>
      <c r="C748" t="inlineStr">
        <is>
          <t>LEI</t>
        </is>
      </c>
      <c r="D748" t="inlineStr">
        <is>
          <t>Semestral</t>
        </is>
      </c>
      <c r="E748" t="inlineStr">
        <is>
          <t>Positivo</t>
        </is>
      </c>
      <c r="F748" s="111" t="n">
        <v>45657</v>
      </c>
      <c r="G748" t="n">
        <v>2024</v>
      </c>
      <c r="H748" t="inlineStr">
        <is>
          <t>Diciembre</t>
        </is>
      </c>
      <c r="I748" t="inlineStr">
        <is>
          <t>2024-2</t>
        </is>
      </c>
      <c r="J748" t="n">
        <v>100</v>
      </c>
      <c r="K748" t="n">
        <v>98</v>
      </c>
      <c r="L748" s="39">
        <f>IFERROR(IF(OR(J748=0,K748=""),"",IF(E748="Positivo",MIN(MAX(K748/J748,0),1.3),MIN(MAX(J748/K748,0),1.3))),"") </f>
        <v/>
      </c>
      <c r="M748" s="39">
        <f>IFERROR(IF(OR(J748=0,K748=""),"",IF(E748="Positivo",MAX(K748/J748,0),MAX(J748/K748,0))),"") </f>
        <v/>
      </c>
      <c r="N748" t="inlineStr">
        <is>
          <t>%</t>
        </is>
      </c>
      <c r="O748" t="inlineStr">
        <is>
          <t>%</t>
        </is>
      </c>
      <c r="P748" t="n">
        <v>0</v>
      </c>
      <c r="Q748" t="n">
        <v>0</v>
      </c>
      <c r="R748" t="inlineStr">
        <is>
          <t>405-2024-12-31</t>
        </is>
      </c>
    </row>
    <row r="749">
      <c r="A749" t="n">
        <v>406</v>
      </c>
      <c r="B749" t="inlineStr">
        <is>
          <t>Programas con condiciones iniciales aprobadas por facultad</t>
        </is>
      </c>
      <c r="C749" t="inlineStr">
        <is>
          <t>Creación, modificación y cierre de programas académicos</t>
        </is>
      </c>
      <c r="D749" t="inlineStr">
        <is>
          <t>Semestral</t>
        </is>
      </c>
      <c r="E749" t="inlineStr">
        <is>
          <t>Positivo</t>
        </is>
      </c>
      <c r="F749" s="111" t="n">
        <v>45291</v>
      </c>
      <c r="G749" t="n">
        <v>2023</v>
      </c>
      <c r="H749" t="inlineStr">
        <is>
          <t>Diciembre</t>
        </is>
      </c>
      <c r="I749" t="inlineStr">
        <is>
          <t>2023-2</t>
        </is>
      </c>
      <c r="J749" t="n">
        <v>5</v>
      </c>
      <c r="K749" t="n">
        <v>5</v>
      </c>
      <c r="L749" s="39">
        <f>IFERROR(IF(OR(J749=0,K749=""),"",IF(E749="Positivo",MIN(MAX(K749/J749,0),1.3),MIN(MAX(J749/K749,0),1.3))),"") </f>
        <v/>
      </c>
      <c r="M749" s="39">
        <f>IFERROR(IF(OR(J749=0,K749=""),"",IF(E749="Positivo",MAX(K749/J749,0),MAX(J749/K749,0))),"") </f>
        <v/>
      </c>
      <c r="N749" t="inlineStr">
        <is>
          <t>ENT</t>
        </is>
      </c>
      <c r="O749" t="inlineStr">
        <is>
          <t>ENT</t>
        </is>
      </c>
      <c r="P749" t="n">
        <v>0</v>
      </c>
      <c r="Q749" t="n">
        <v>0</v>
      </c>
      <c r="R749" t="inlineStr">
        <is>
          <t>406-2023-12-31</t>
        </is>
      </c>
    </row>
    <row r="750">
      <c r="A750" t="n">
        <v>406</v>
      </c>
      <c r="B750" t="inlineStr">
        <is>
          <t>Programas con condiciones iniciales aprobadas por facultad</t>
        </is>
      </c>
      <c r="C750" t="inlineStr">
        <is>
          <t>Autoevaluación de programas académicos</t>
        </is>
      </c>
      <c r="D750" t="inlineStr">
        <is>
          <t>Semestral</t>
        </is>
      </c>
      <c r="E750" t="inlineStr">
        <is>
          <t>Positivo</t>
        </is>
      </c>
      <c r="F750" s="111" t="n">
        <v>45657</v>
      </c>
      <c r="G750" t="n">
        <v>2024</v>
      </c>
      <c r="H750" t="inlineStr">
        <is>
          <t>Diciembre</t>
        </is>
      </c>
      <c r="I750" t="inlineStr">
        <is>
          <t>2024-2</t>
        </is>
      </c>
      <c r="J750" t="n">
        <v>3</v>
      </c>
      <c r="K750" t="n">
        <v>3</v>
      </c>
      <c r="L750" s="39">
        <f>IFERROR(IF(OR(J750=0,K750=""),"",IF(E750="Positivo",MIN(MAX(K750/J750,0),1.3),MIN(MAX(J750/K750,0),1.3))),"") </f>
        <v/>
      </c>
      <c r="M750" s="39">
        <f>IFERROR(IF(OR(J750=0,K750=""),"",IF(E750="Positivo",MAX(K750/J750,0),MAX(J750/K750,0))),"") </f>
        <v/>
      </c>
      <c r="N750" t="inlineStr">
        <is>
          <t>ENT</t>
        </is>
      </c>
      <c r="O750" t="inlineStr">
        <is>
          <t>ENT</t>
        </is>
      </c>
      <c r="P750" t="n">
        <v>0</v>
      </c>
      <c r="Q750" t="n">
        <v>0</v>
      </c>
      <c r="R750" t="inlineStr">
        <is>
          <t>406-2024-12-31</t>
        </is>
      </c>
    </row>
    <row r="751">
      <c r="A751" t="n">
        <v>407</v>
      </c>
      <c r="B751" t="inlineStr">
        <is>
          <t>Programas 1ra fase de condiciones iniciales radicadas por facultad</t>
        </is>
      </c>
      <c r="C751" t="inlineStr">
        <is>
          <t>Creación, modificación y cierre de programas académicos</t>
        </is>
      </c>
      <c r="D751" t="inlineStr">
        <is>
          <t>Semestral</t>
        </is>
      </c>
      <c r="E751" t="inlineStr">
        <is>
          <t>Positivo</t>
        </is>
      </c>
      <c r="F751" s="111" t="n">
        <v>45291</v>
      </c>
      <c r="G751" t="n">
        <v>2023</v>
      </c>
      <c r="H751" t="inlineStr">
        <is>
          <t>Diciembre</t>
        </is>
      </c>
      <c r="I751" t="inlineStr">
        <is>
          <t>2023-2</t>
        </is>
      </c>
      <c r="J751" t="n">
        <v>3</v>
      </c>
      <c r="K751" t="n">
        <v>3</v>
      </c>
      <c r="L751" s="39">
        <f>IFERROR(IF(OR(J751=0,K751=""),"",IF(E751="Positivo",MIN(MAX(K751/J751,0),1.3),MIN(MAX(J751/K751,0),1.3))),"") </f>
        <v/>
      </c>
      <c r="M751" s="39">
        <f>IFERROR(IF(OR(J751=0,K751=""),"",IF(E751="Positivo",MAX(K751/J751,0),MAX(J751/K751,0))),"") </f>
        <v/>
      </c>
      <c r="N751" t="inlineStr">
        <is>
          <t>ENT</t>
        </is>
      </c>
      <c r="O751" t="inlineStr">
        <is>
          <t>ENT</t>
        </is>
      </c>
      <c r="P751" t="n">
        <v>0</v>
      </c>
      <c r="Q751" t="n">
        <v>0</v>
      </c>
      <c r="R751" t="inlineStr">
        <is>
          <t>407-2023-12-31</t>
        </is>
      </c>
    </row>
    <row r="752">
      <c r="A752" t="n">
        <v>407</v>
      </c>
      <c r="B752" t="inlineStr">
        <is>
          <t>Programas 1ra fase de condiciones iniciales radicadas por facultad</t>
        </is>
      </c>
      <c r="C752" t="inlineStr">
        <is>
          <t>Creación, modificación y cierre de programas académicos</t>
        </is>
      </c>
      <c r="D752" t="inlineStr">
        <is>
          <t>Semestral</t>
        </is>
      </c>
      <c r="E752" t="inlineStr">
        <is>
          <t>Positivo</t>
        </is>
      </c>
      <c r="F752" s="111" t="n">
        <v>45657</v>
      </c>
      <c r="G752" t="n">
        <v>2024</v>
      </c>
      <c r="H752" t="inlineStr">
        <is>
          <t>Diciembre</t>
        </is>
      </c>
      <c r="I752" t="inlineStr">
        <is>
          <t>2024-2</t>
        </is>
      </c>
      <c r="L752" s="39" t="n"/>
      <c r="M752" s="39" t="n"/>
      <c r="N752" t="inlineStr">
        <is>
          <t>No Aplica</t>
        </is>
      </c>
      <c r="O752" t="inlineStr">
        <is>
          <t>No Aplica</t>
        </is>
      </c>
      <c r="P752" t="n">
        <v>0</v>
      </c>
      <c r="Q752" t="n">
        <v>0</v>
      </c>
      <c r="R752" t="inlineStr">
        <is>
          <t>407-2024-12-31</t>
        </is>
      </c>
    </row>
    <row r="753">
      <c r="A753" t="n">
        <v>408</v>
      </c>
      <c r="B753" t="inlineStr">
        <is>
          <t>Programas nuevos radicados por facultad</t>
        </is>
      </c>
      <c r="C753" t="inlineStr">
        <is>
          <t>Creación, modificación y cierre de programas académicos</t>
        </is>
      </c>
      <c r="D753" t="inlineStr">
        <is>
          <t>Semestral</t>
        </is>
      </c>
      <c r="E753" t="inlineStr">
        <is>
          <t>Positivo</t>
        </is>
      </c>
      <c r="F753" s="111" t="n">
        <v>45291</v>
      </c>
      <c r="G753" t="n">
        <v>2023</v>
      </c>
      <c r="H753" t="inlineStr">
        <is>
          <t>Diciembre</t>
        </is>
      </c>
      <c r="I753" t="inlineStr">
        <is>
          <t>2023-2</t>
        </is>
      </c>
      <c r="J753" t="n">
        <v>200</v>
      </c>
      <c r="K753" t="n">
        <v>100</v>
      </c>
      <c r="L753" s="39">
        <f>IFERROR(IF(OR(J753=0,K753=""),"",IF(E753="Positivo",MIN(MAX(K753/J753,0),1.3),MIN(MAX(J753/K753,0),1.3))),"") </f>
        <v/>
      </c>
      <c r="M753" s="39">
        <f>IFERROR(IF(OR(J753=0,K753=""),"",IF(E753="Positivo",MAX(K753/J753,0),MAX(J753/K753,0))),"") </f>
        <v/>
      </c>
      <c r="N753" t="inlineStr">
        <is>
          <t>ENT</t>
        </is>
      </c>
      <c r="O753" t="inlineStr">
        <is>
          <t>ENT</t>
        </is>
      </c>
      <c r="P753" t="n">
        <v>0</v>
      </c>
      <c r="Q753" t="n">
        <v>0</v>
      </c>
      <c r="R753" t="inlineStr">
        <is>
          <t>408-2023-12-31</t>
        </is>
      </c>
    </row>
    <row r="754">
      <c r="A754" t="n">
        <v>408</v>
      </c>
      <c r="B754" t="inlineStr">
        <is>
          <t>Programas nuevos radicados por facultad</t>
        </is>
      </c>
      <c r="C754" t="inlineStr">
        <is>
          <t>Creación, modificación y cierre de programas académicos</t>
        </is>
      </c>
      <c r="D754" t="inlineStr">
        <is>
          <t>Semestral</t>
        </is>
      </c>
      <c r="E754" t="inlineStr">
        <is>
          <t>Positivo</t>
        </is>
      </c>
      <c r="F754" s="111" t="n">
        <v>45657</v>
      </c>
      <c r="G754" t="n">
        <v>2024</v>
      </c>
      <c r="H754" t="inlineStr">
        <is>
          <t>Diciembre</t>
        </is>
      </c>
      <c r="I754" t="inlineStr">
        <is>
          <t>2024-2</t>
        </is>
      </c>
      <c r="J754" t="n">
        <v>200</v>
      </c>
      <c r="K754" t="n">
        <v>100</v>
      </c>
      <c r="L754" s="39">
        <f>IFERROR(IF(OR(J754=0,K754=""),"",IF(E754="Positivo",MIN(MAX(K754/J754,0),1.3),MIN(MAX(J754/K754,0),1.3))),"") </f>
        <v/>
      </c>
      <c r="M754" s="39">
        <f>IFERROR(IF(OR(J754=0,K754=""),"",IF(E754="Positivo",MAX(K754/J754,0),MAX(J754/K754,0))),"") </f>
        <v/>
      </c>
      <c r="N754" t="inlineStr">
        <is>
          <t>ENT</t>
        </is>
      </c>
      <c r="O754" t="inlineStr">
        <is>
          <t>ENT</t>
        </is>
      </c>
      <c r="P754" t="n">
        <v>0</v>
      </c>
      <c r="Q754" t="n">
        <v>0</v>
      </c>
      <c r="R754" t="inlineStr">
        <is>
          <t>408-2024-12-31</t>
        </is>
      </c>
    </row>
    <row r="755">
      <c r="A755" t="n">
        <v>408</v>
      </c>
      <c r="B755" t="inlineStr">
        <is>
          <t>Programas nuevos radicados por facultad</t>
        </is>
      </c>
      <c r="C755" t="inlineStr">
        <is>
          <t>Creación, modificación y cierre de programas académicos</t>
        </is>
      </c>
      <c r="D755" t="inlineStr">
        <is>
          <t>Trimestral</t>
        </is>
      </c>
      <c r="E755" t="inlineStr">
        <is>
          <t>Positivo</t>
        </is>
      </c>
      <c r="F755" s="111" t="n">
        <v>46022</v>
      </c>
      <c r="G755" t="n">
        <v>2025</v>
      </c>
      <c r="H755" t="inlineStr">
        <is>
          <t>Diciembre</t>
        </is>
      </c>
      <c r="I755" t="inlineStr">
        <is>
          <t>2025-2</t>
        </is>
      </c>
      <c r="J755" t="n">
        <v>200</v>
      </c>
      <c r="K755" t="n">
        <v>200</v>
      </c>
      <c r="L755" s="39">
        <f>IFERROR(IF(OR(J755=0,K755=""),"",IF(E755="Positivo",MIN(MAX(K755/J755,0),1.3),MIN(MAX(J755/K755,0),1.3))),"") </f>
        <v/>
      </c>
      <c r="M755" s="39">
        <f>IFERROR(IF(OR(J755=0,K755=""),"",IF(E755="Positivo",MAX(K755/J755,0),MAX(J755/K755,0))),"") </f>
        <v/>
      </c>
      <c r="N755" t="inlineStr">
        <is>
          <t>ENT</t>
        </is>
      </c>
      <c r="O755" t="inlineStr">
        <is>
          <t>ENT</t>
        </is>
      </c>
      <c r="P755" t="n">
        <v>0</v>
      </c>
      <c r="Q755" t="n">
        <v>0</v>
      </c>
      <c r="R755" t="inlineStr">
        <is>
          <t>408-2025-12-31</t>
        </is>
      </c>
    </row>
    <row r="756">
      <c r="A756" t="n">
        <v>409</v>
      </c>
      <c r="B756" t="inlineStr">
        <is>
          <t>Oportunidad en tiempo de envios</t>
        </is>
      </c>
      <c r="C756" t="inlineStr">
        <is>
          <t>GESTIÓN JURÍDICA Y NORMATIVA</t>
        </is>
      </c>
      <c r="D756" t="inlineStr">
        <is>
          <t>Trimestral</t>
        </is>
      </c>
      <c r="E756" t="inlineStr">
        <is>
          <t>Positivo</t>
        </is>
      </c>
      <c r="F756" s="111" t="n">
        <v>45291</v>
      </c>
      <c r="G756" t="n">
        <v>2023</v>
      </c>
      <c r="H756" t="inlineStr">
        <is>
          <t>Diciembre</t>
        </is>
      </c>
      <c r="I756" t="inlineStr">
        <is>
          <t>2023-2</t>
        </is>
      </c>
      <c r="J756" t="n">
        <v>160</v>
      </c>
      <c r="K756" t="n">
        <v>203.7188545927854</v>
      </c>
      <c r="L756" s="39">
        <f>IFERROR(IF(OR(J756=0,K756=""),"",IF(E756="Positivo",MIN(MAX(K756/J756,0),1.3),MIN(MAX(J756/K756,0),1.3))),"") </f>
        <v/>
      </c>
      <c r="M756" s="39">
        <f>IFERROR(IF(OR(J756=0,K756=""),"",IF(E756="Positivo",MAX(K756/J756,0),MAX(J756/K756,0))),"") </f>
        <v/>
      </c>
      <c r="N756" t="inlineStr">
        <is>
          <t>%</t>
        </is>
      </c>
      <c r="O756" t="inlineStr">
        <is>
          <t>%</t>
        </is>
      </c>
      <c r="P756" t="n">
        <v>0</v>
      </c>
      <c r="Q756" t="n">
        <v>0</v>
      </c>
      <c r="R756" t="inlineStr">
        <is>
          <t>409-2023-12-31</t>
        </is>
      </c>
    </row>
    <row r="757">
      <c r="A757" t="n">
        <v>409</v>
      </c>
      <c r="B757" t="inlineStr">
        <is>
          <t>Oportunidad en tiempo de envios</t>
        </is>
      </c>
      <c r="C757" t="inlineStr">
        <is>
          <t>GESTIÓN JURÍDICA Y NORMATIVA</t>
        </is>
      </c>
      <c r="D757" t="inlineStr">
        <is>
          <t>Trimestral</t>
        </is>
      </c>
      <c r="E757" t="inlineStr">
        <is>
          <t>Positivo</t>
        </is>
      </c>
      <c r="F757" s="111" t="n">
        <v>45657</v>
      </c>
      <c r="G757" t="n">
        <v>2024</v>
      </c>
      <c r="H757" t="inlineStr">
        <is>
          <t>Diciembre</t>
        </is>
      </c>
      <c r="I757" t="inlineStr">
        <is>
          <t>2024-2</t>
        </is>
      </c>
      <c r="J757" t="n">
        <v>380</v>
      </c>
      <c r="K757" t="n">
        <v>390.0984685219431</v>
      </c>
      <c r="L757" s="39">
        <f>IFERROR(IF(OR(J757=0,K757=""),"",IF(E757="Positivo",MIN(MAX(K757/J757,0),1.3),MIN(MAX(J757/K757,0),1.3))),"") </f>
        <v/>
      </c>
      <c r="M757" s="39">
        <f>IFERROR(IF(OR(J757=0,K757=""),"",IF(E757="Positivo",MAX(K757/J757,0),MAX(J757/K757,0))),"") </f>
        <v/>
      </c>
      <c r="N757" t="inlineStr">
        <is>
          <t>%</t>
        </is>
      </c>
      <c r="O757" t="inlineStr">
        <is>
          <t>%</t>
        </is>
      </c>
      <c r="P757" t="n">
        <v>0</v>
      </c>
      <c r="Q757" t="n">
        <v>0</v>
      </c>
      <c r="R757" t="inlineStr">
        <is>
          <t>409-2024-12-31</t>
        </is>
      </c>
    </row>
    <row r="758">
      <c r="A758" t="n">
        <v>409</v>
      </c>
      <c r="B758" t="inlineStr">
        <is>
          <t>Oportunidad en tiempo de envios</t>
        </is>
      </c>
      <c r="C758" t="inlineStr">
        <is>
          <t>GESTIÓN JURÍDICA Y NORMATIVA</t>
        </is>
      </c>
      <c r="D758" t="inlineStr">
        <is>
          <t>Semestral</t>
        </is>
      </c>
      <c r="E758" t="inlineStr">
        <is>
          <t>Positivo</t>
        </is>
      </c>
      <c r="F758" s="111" t="n">
        <v>45838</v>
      </c>
      <c r="G758" t="n">
        <v>2025</v>
      </c>
      <c r="H758" t="inlineStr">
        <is>
          <t>Junio</t>
        </is>
      </c>
      <c r="I758" t="inlineStr">
        <is>
          <t>2025-1</t>
        </is>
      </c>
      <c r="J758" t="n">
        <v>190</v>
      </c>
      <c r="K758" t="n">
        <v>100</v>
      </c>
      <c r="L758" s="39">
        <f>IFERROR(IF(OR(J758=0,K758=""),"",IF(E758="Positivo",MIN(MAX(K758/J758,0),1.3),MIN(MAX(J758/K758,0),1.3))),"") </f>
        <v/>
      </c>
      <c r="M758" s="39">
        <f>IFERROR(IF(OR(J758=0,K758=""),"",IF(E758="Positivo",MAX(K758/J758,0),MAX(J758/K758,0))),"") </f>
        <v/>
      </c>
      <c r="N758" t="inlineStr">
        <is>
          <t>%</t>
        </is>
      </c>
      <c r="O758" t="inlineStr">
        <is>
          <t>%</t>
        </is>
      </c>
      <c r="P758" t="n">
        <v>0</v>
      </c>
      <c r="Q758" t="n">
        <v>0</v>
      </c>
      <c r="R758" t="inlineStr">
        <is>
          <t>409-2025-06-30</t>
        </is>
      </c>
    </row>
    <row r="759">
      <c r="A759" t="n">
        <v>410</v>
      </c>
      <c r="B759" t="inlineStr">
        <is>
          <t>Solicitudes de gestión documental</t>
        </is>
      </c>
      <c r="C759" t="inlineStr">
        <is>
          <t>GESTIÓN JURÍDICA Y NORMATIVA</t>
        </is>
      </c>
      <c r="D759" t="inlineStr">
        <is>
          <t>Trimestral</t>
        </is>
      </c>
      <c r="E759" t="inlineStr">
        <is>
          <t>Positivo</t>
        </is>
      </c>
      <c r="F759" s="111" t="n">
        <v>45291</v>
      </c>
      <c r="G759" t="n">
        <v>2023</v>
      </c>
      <c r="H759" t="inlineStr">
        <is>
          <t>Diciembre</t>
        </is>
      </c>
      <c r="I759" t="inlineStr">
        <is>
          <t>2023-2</t>
        </is>
      </c>
      <c r="J759" t="n">
        <v>90</v>
      </c>
      <c r="K759" t="n">
        <v>100</v>
      </c>
      <c r="L759" s="39">
        <f>IFERROR(IF(OR(J759=0,K759=""),"",IF(E759="Positivo",MIN(MAX(K759/J759,0),1.3),MIN(MAX(J759/K759,0),1.3))),"") </f>
        <v/>
      </c>
      <c r="M759" s="39">
        <f>IFERROR(IF(OR(J759=0,K759=""),"",IF(E759="Positivo",MAX(K759/J759,0),MAX(J759/K759,0))),"") </f>
        <v/>
      </c>
      <c r="N759" t="inlineStr">
        <is>
          <t>%</t>
        </is>
      </c>
      <c r="O759" t="inlineStr">
        <is>
          <t>%</t>
        </is>
      </c>
      <c r="P759" t="n">
        <v>0</v>
      </c>
      <c r="Q759" t="n">
        <v>0</v>
      </c>
      <c r="R759" t="inlineStr">
        <is>
          <t>410-2023-12-31</t>
        </is>
      </c>
    </row>
    <row r="760">
      <c r="A760" t="n">
        <v>411</v>
      </c>
      <c r="B760" t="inlineStr">
        <is>
          <t>Cumplimiento Planes De Relacionamiento</t>
        </is>
      </c>
      <c r="C760" t="inlineStr">
        <is>
          <t>Comunicaciones Externas</t>
        </is>
      </c>
      <c r="D760" t="inlineStr">
        <is>
          <t>Semestral</t>
        </is>
      </c>
      <c r="E760" t="inlineStr">
        <is>
          <t>Positivo</t>
        </is>
      </c>
      <c r="F760" s="111" t="n">
        <v>45291</v>
      </c>
      <c r="G760" t="n">
        <v>2023</v>
      </c>
      <c r="H760" t="inlineStr">
        <is>
          <t>Diciembre</t>
        </is>
      </c>
      <c r="I760" t="inlineStr">
        <is>
          <t>2023-2</t>
        </is>
      </c>
      <c r="J760" t="n">
        <v>100</v>
      </c>
      <c r="K760" t="n">
        <v>100</v>
      </c>
      <c r="L760" s="39">
        <f>IFERROR(IF(OR(J760=0,K760=""),"",IF(E760="Positivo",MIN(MAX(K760/J760,0),1.3),MIN(MAX(J760/K760,0),1.3))),"") </f>
        <v/>
      </c>
      <c r="M760" s="39">
        <f>IFERROR(IF(OR(J760=0,K760=""),"",IF(E760="Positivo",MAX(K760/J760,0),MAX(J760/K760,0))),"") </f>
        <v/>
      </c>
      <c r="N760" t="inlineStr">
        <is>
          <t>%</t>
        </is>
      </c>
      <c r="O760" t="inlineStr">
        <is>
          <t>%</t>
        </is>
      </c>
      <c r="P760" t="n">
        <v>0</v>
      </c>
      <c r="Q760" t="n">
        <v>0</v>
      </c>
      <c r="R760" t="inlineStr">
        <is>
          <t>411-2023-12-31</t>
        </is>
      </c>
    </row>
    <row r="761">
      <c r="A761" t="n">
        <v>412</v>
      </c>
      <c r="B761" t="inlineStr">
        <is>
          <t>Participaciones en 2 eventos externos de impacto</t>
        </is>
      </c>
      <c r="C761" t="inlineStr">
        <is>
          <t>Comunicaciones Externas</t>
        </is>
      </c>
      <c r="D761" t="inlineStr">
        <is>
          <t>Anual</t>
        </is>
      </c>
      <c r="E761" t="inlineStr">
        <is>
          <t>Positivo</t>
        </is>
      </c>
      <c r="F761" s="111" t="n">
        <v>45291</v>
      </c>
      <c r="G761" t="n">
        <v>2023</v>
      </c>
      <c r="H761" t="inlineStr">
        <is>
          <t>Diciembre</t>
        </is>
      </c>
      <c r="I761" t="inlineStr">
        <is>
          <t>2023-2</t>
        </is>
      </c>
      <c r="J761" t="n">
        <v>100</v>
      </c>
      <c r="K761" t="n">
        <v>100</v>
      </c>
      <c r="L761" s="39">
        <f>IFERROR(IF(OR(J761=0,K761=""),"",IF(E761="Positivo",MIN(MAX(K761/J761,0),1.3),MIN(MAX(J761/K761,0),1.3))),"") </f>
        <v/>
      </c>
      <c r="M761" s="39">
        <f>IFERROR(IF(OR(J761=0,K761=""),"",IF(E761="Positivo",MAX(K761/J761,0),MAX(J761/K761,0))),"") </f>
        <v/>
      </c>
      <c r="N761" t="inlineStr">
        <is>
          <t>%</t>
        </is>
      </c>
      <c r="O761" t="inlineStr">
        <is>
          <t>%</t>
        </is>
      </c>
      <c r="P761" t="n">
        <v>0</v>
      </c>
      <c r="Q761" t="n">
        <v>0</v>
      </c>
      <c r="R761" t="inlineStr">
        <is>
          <t>412-2023-12-31</t>
        </is>
      </c>
    </row>
    <row r="762">
      <c r="A762" t="n">
        <v>412</v>
      </c>
      <c r="B762" t="inlineStr">
        <is>
          <t>Participación en eventos externos de impacto</t>
        </is>
      </c>
      <c r="C762" t="inlineStr">
        <is>
          <t>Comunicaciones Externas</t>
        </is>
      </c>
      <c r="D762" t="inlineStr">
        <is>
          <t>Anual</t>
        </is>
      </c>
      <c r="E762" t="inlineStr">
        <is>
          <t>Positivo</t>
        </is>
      </c>
      <c r="F762" s="111" t="n">
        <v>45657</v>
      </c>
      <c r="G762" t="n">
        <v>2024</v>
      </c>
      <c r="H762" t="inlineStr">
        <is>
          <t>Diciembre</t>
        </is>
      </c>
      <c r="I762" t="inlineStr">
        <is>
          <t>2024-2</t>
        </is>
      </c>
      <c r="J762" t="n">
        <v>100</v>
      </c>
      <c r="K762" t="n">
        <v>100</v>
      </c>
      <c r="L762" s="39">
        <f>IFERROR(IF(OR(J762=0,K762=""),"",IF(E762="Positivo",MIN(MAX(K762/J762,0),1.3),MIN(MAX(J762/K762,0),1.3))),"") </f>
        <v/>
      </c>
      <c r="M762" s="39">
        <f>IFERROR(IF(OR(J762=0,K762=""),"",IF(E762="Positivo",MAX(K762/J762,0),MAX(J762/K762,0))),"") </f>
        <v/>
      </c>
      <c r="N762" t="inlineStr">
        <is>
          <t>%</t>
        </is>
      </c>
      <c r="O762" t="inlineStr">
        <is>
          <t>%</t>
        </is>
      </c>
      <c r="P762" t="n">
        <v>0</v>
      </c>
      <c r="Q762" t="n">
        <v>0</v>
      </c>
      <c r="R762" t="inlineStr">
        <is>
          <t>412-2024-12-31</t>
        </is>
      </c>
    </row>
    <row r="763">
      <c r="A763" t="n">
        <v>413</v>
      </c>
      <c r="B763" t="inlineStr">
        <is>
          <t>Participaciones del Poli como sede o patrocinador</t>
        </is>
      </c>
      <c r="C763" t="inlineStr">
        <is>
          <t>Comunicaciones Externas</t>
        </is>
      </c>
      <c r="D763" t="inlineStr">
        <is>
          <t>Anual</t>
        </is>
      </c>
      <c r="E763" t="inlineStr">
        <is>
          <t>Positivo</t>
        </is>
      </c>
      <c r="F763" s="111" t="n">
        <v>45291</v>
      </c>
      <c r="G763" t="n">
        <v>2023</v>
      </c>
      <c r="H763" t="inlineStr">
        <is>
          <t>Diciembre</t>
        </is>
      </c>
      <c r="I763" t="inlineStr">
        <is>
          <t>2023-2</t>
        </is>
      </c>
      <c r="K763" t="n">
        <v>100</v>
      </c>
      <c r="L763" s="39" t="n"/>
      <c r="M763" s="39" t="n"/>
      <c r="N763" t="inlineStr">
        <is>
          <t>Linea Base</t>
        </is>
      </c>
      <c r="O763" t="inlineStr">
        <is>
          <t>ENT</t>
        </is>
      </c>
      <c r="P763" t="n">
        <v>0</v>
      </c>
      <c r="Q763" t="n">
        <v>0</v>
      </c>
      <c r="R763" t="inlineStr">
        <is>
          <t>413-2023-12-31</t>
        </is>
      </c>
    </row>
    <row r="764">
      <c r="A764" t="n">
        <v>413</v>
      </c>
      <c r="B764" t="inlineStr">
        <is>
          <t>Participación del Poli como sede o patrocinador</t>
        </is>
      </c>
      <c r="C764" t="inlineStr">
        <is>
          <t>Comunicaciones Externas</t>
        </is>
      </c>
      <c r="D764" t="inlineStr">
        <is>
          <t>Anual</t>
        </is>
      </c>
      <c r="E764" t="inlineStr">
        <is>
          <t>Positivo</t>
        </is>
      </c>
      <c r="F764" s="111" t="n">
        <v>45657</v>
      </c>
      <c r="G764" t="n">
        <v>2024</v>
      </c>
      <c r="H764" t="inlineStr">
        <is>
          <t>Diciembre</t>
        </is>
      </c>
      <c r="I764" t="inlineStr">
        <is>
          <t>2024-2</t>
        </is>
      </c>
      <c r="J764" t="n">
        <v>100</v>
      </c>
      <c r="K764" t="n">
        <v>100</v>
      </c>
      <c r="L764" s="39">
        <f>IFERROR(IF(OR(J764=0,K764=""),"",IF(E764="Positivo",MIN(MAX(K764/J764,0),1.3),MIN(MAX(J764/K764,0),1.3))),"") </f>
        <v/>
      </c>
      <c r="M764" s="39">
        <f>IFERROR(IF(OR(J764=0,K764=""),"",IF(E764="Positivo",MAX(K764/J764,0),MAX(J764/K764,0))),"") </f>
        <v/>
      </c>
      <c r="N764" t="inlineStr">
        <is>
          <t>Linea Base</t>
        </is>
      </c>
      <c r="O764" t="inlineStr">
        <is>
          <t>ENT</t>
        </is>
      </c>
      <c r="P764" t="n">
        <v>0</v>
      </c>
      <c r="Q764" t="n">
        <v>0</v>
      </c>
      <c r="R764" t="inlineStr">
        <is>
          <t>413-2024-12-31</t>
        </is>
      </c>
    </row>
    <row r="765">
      <c r="A765" t="n">
        <v>413</v>
      </c>
      <c r="B765" t="inlineStr">
        <is>
          <t>Participación del Poli como sede o patrocinador</t>
        </is>
      </c>
      <c r="C765" t="inlineStr">
        <is>
          <t>Comunicaciones Externas</t>
        </is>
      </c>
      <c r="D765" t="inlineStr">
        <is>
          <t>Anual</t>
        </is>
      </c>
      <c r="E765" t="inlineStr">
        <is>
          <t>Positivo</t>
        </is>
      </c>
      <c r="F765" s="111" t="n">
        <v>46022</v>
      </c>
      <c r="G765" t="n">
        <v>2025</v>
      </c>
      <c r="H765" t="inlineStr">
        <is>
          <t>Diciembre</t>
        </is>
      </c>
      <c r="I765" t="inlineStr">
        <is>
          <t>2025-2</t>
        </is>
      </c>
      <c r="J765" t="n">
        <v>100</v>
      </c>
      <c r="K765" t="n">
        <v>100</v>
      </c>
      <c r="L765" s="39">
        <f>IFERROR(IF(OR(J765=0,K765=""),"",IF(E765="Positivo",MIN(MAX(K765/J765,0),1.3),MIN(MAX(J765/K765,0),1.3))),"") </f>
        <v/>
      </c>
      <c r="M765" s="39">
        <f>IFERROR(IF(OR(J765=0,K765=""),"",IF(E765="Positivo",MAX(K765/J765,0),MAX(J765/K765,0))),"") </f>
        <v/>
      </c>
      <c r="N765" t="inlineStr">
        <is>
          <t>Linea Base</t>
        </is>
      </c>
      <c r="O765" t="inlineStr">
        <is>
          <t>ENT</t>
        </is>
      </c>
      <c r="P765" t="n">
        <v>0</v>
      </c>
      <c r="Q765" t="n">
        <v>0</v>
      </c>
      <c r="R765" t="inlineStr">
        <is>
          <t>413-2025-12-31</t>
        </is>
      </c>
    </row>
    <row r="766">
      <c r="A766" t="n">
        <v>414</v>
      </c>
      <c r="B766" t="inlineStr">
        <is>
          <t>Cumplimiento Plan Anual Rectoría</t>
        </is>
      </c>
      <c r="C766" t="inlineStr">
        <is>
          <t>Planeación Estratégica</t>
        </is>
      </c>
      <c r="D766" t="inlineStr">
        <is>
          <t>Trimestral</t>
        </is>
      </c>
      <c r="E766" t="inlineStr">
        <is>
          <t>Positivo</t>
        </is>
      </c>
      <c r="F766" s="111" t="n">
        <v>45291</v>
      </c>
      <c r="G766" t="n">
        <v>2023</v>
      </c>
      <c r="H766" t="inlineStr">
        <is>
          <t>Diciembre</t>
        </is>
      </c>
      <c r="I766" t="inlineStr">
        <is>
          <t>2023-2</t>
        </is>
      </c>
      <c r="J766" t="n">
        <v>100</v>
      </c>
      <c r="K766" t="n">
        <v>96.28</v>
      </c>
      <c r="L766" s="39">
        <f>IFERROR(IF(OR(J766=0,K766=""),"",IF(E766="Positivo",MIN(MAX(K766/J766,0),1.0),MIN(MAX(J766/K766,0),1.0))),"") </f>
        <v/>
      </c>
      <c r="M766" s="39">
        <f>IFERROR(IF(OR(J766=0,K766=""),"",IF(E766="Positivo",MAX(K766/J766,0),MAX(J766/K766,0))),"") </f>
        <v/>
      </c>
      <c r="N766" t="inlineStr">
        <is>
          <t>Linea Base</t>
        </is>
      </c>
      <c r="O766" t="inlineStr">
        <is>
          <t>ENT</t>
        </is>
      </c>
      <c r="P766" t="n">
        <v>0</v>
      </c>
      <c r="Q766" t="n">
        <v>0</v>
      </c>
      <c r="R766" t="inlineStr">
        <is>
          <t>414-2023-12-31</t>
        </is>
      </c>
    </row>
    <row r="767">
      <c r="A767" t="n">
        <v>414</v>
      </c>
      <c r="B767" t="inlineStr">
        <is>
          <t>Cumplimiento Plan Anual Rectoría</t>
        </is>
      </c>
      <c r="C767" t="inlineStr">
        <is>
          <t>Planeación Estratégica</t>
        </is>
      </c>
      <c r="D767" t="inlineStr">
        <is>
          <t>Trimestral</t>
        </is>
      </c>
      <c r="E767" t="inlineStr">
        <is>
          <t>Positivo</t>
        </is>
      </c>
      <c r="F767" s="111" t="n">
        <v>45657</v>
      </c>
      <c r="G767" t="n">
        <v>2024</v>
      </c>
      <c r="H767" t="inlineStr">
        <is>
          <t>Diciembre</t>
        </is>
      </c>
      <c r="I767" t="inlineStr">
        <is>
          <t>2024-2</t>
        </is>
      </c>
      <c r="J767" t="n">
        <v>100</v>
      </c>
      <c r="K767" t="n">
        <v>98.78</v>
      </c>
      <c r="L767" s="39">
        <f>IFERROR(IF(OR(J767=0,K767=""),"",IF(E767="Positivo",MIN(MAX(K767/J767,0),1.0),MIN(MAX(J767/K767,0),1.0))),"") </f>
        <v/>
      </c>
      <c r="M767" s="39">
        <f>IFERROR(IF(OR(J767=0,K767=""),"",IF(E767="Positivo",MAX(K767/J767,0),MAX(J767/K767,0))),"") </f>
        <v/>
      </c>
      <c r="N767" t="inlineStr">
        <is>
          <t>%</t>
        </is>
      </c>
      <c r="O767" t="inlineStr">
        <is>
          <t>%</t>
        </is>
      </c>
      <c r="P767" t="n">
        <v>0</v>
      </c>
      <c r="Q767" t="n">
        <v>0</v>
      </c>
      <c r="R767" t="inlineStr">
        <is>
          <t>414-2024-12-31</t>
        </is>
      </c>
    </row>
    <row r="768">
      <c r="A768" t="n">
        <v>414</v>
      </c>
      <c r="B768" t="inlineStr">
        <is>
          <t>Cumplimiento Plan Anual Rectoría</t>
        </is>
      </c>
      <c r="C768" t="inlineStr">
        <is>
          <t>Planeación Estratégica</t>
        </is>
      </c>
      <c r="D768" t="inlineStr">
        <is>
          <t>Semestral</t>
        </is>
      </c>
      <c r="E768" t="inlineStr">
        <is>
          <t>Positivo</t>
        </is>
      </c>
      <c r="F768" s="111" t="n">
        <v>46022</v>
      </c>
      <c r="G768" t="n">
        <v>2025</v>
      </c>
      <c r="H768" t="inlineStr">
        <is>
          <t>Diciembre</t>
        </is>
      </c>
      <c r="I768" t="inlineStr">
        <is>
          <t>2025-2</t>
        </is>
      </c>
      <c r="J768" t="n">
        <v>100</v>
      </c>
      <c r="K768" t="n">
        <v>98.87</v>
      </c>
      <c r="L768" s="39">
        <f>IFERROR(IF(OR(J768=0,K768=""),"",IF(E768="Positivo",MIN(MAX(K768/J768,0),1.0),MIN(MAX(J768/K768,0),1.0))),"") </f>
        <v/>
      </c>
      <c r="M768" s="39">
        <f>IFERROR(IF(OR(J768=0,K768=""),"",IF(E768="Positivo",MAX(K768/J768,0),MAX(J768/K768,0))),"") </f>
        <v/>
      </c>
      <c r="N768" t="inlineStr">
        <is>
          <t>%</t>
        </is>
      </c>
      <c r="O768" t="inlineStr">
        <is>
          <t>%</t>
        </is>
      </c>
      <c r="P768" t="n">
        <v>0</v>
      </c>
      <c r="Q768" t="n">
        <v>0</v>
      </c>
      <c r="R768" t="inlineStr">
        <is>
          <t>414-2025-12-31</t>
        </is>
      </c>
    </row>
    <row r="769">
      <c r="A769" t="n">
        <v>415</v>
      </c>
      <c r="B769" t="inlineStr">
        <is>
          <t>Cumplimiento Plan Anual Vicerrectoría del estudiante</t>
        </is>
      </c>
      <c r="C769" t="inlineStr">
        <is>
          <t>Planeación Estratégica</t>
        </is>
      </c>
      <c r="D769" t="inlineStr">
        <is>
          <t>Trimestral</t>
        </is>
      </c>
      <c r="E769" t="inlineStr">
        <is>
          <t>Positivo</t>
        </is>
      </c>
      <c r="F769" s="111" t="n">
        <v>45291</v>
      </c>
      <c r="G769" t="n">
        <v>2023</v>
      </c>
      <c r="H769" t="inlineStr">
        <is>
          <t>Diciembre</t>
        </is>
      </c>
      <c r="I769" t="inlineStr">
        <is>
          <t>2023-2</t>
        </is>
      </c>
      <c r="J769" t="n">
        <v>100</v>
      </c>
      <c r="K769" t="n">
        <v>96</v>
      </c>
      <c r="L769" s="39">
        <f>IFERROR(IF(OR(J769=0,K769=""),"",IF(E769="Positivo",MIN(MAX(K769/J769,0),1.0),MIN(MAX(J769/K769,0),1.0))),"") </f>
        <v/>
      </c>
      <c r="M769" s="39">
        <f>IFERROR(IF(OR(J769=0,K769=""),"",IF(E769="Positivo",MAX(K769/J769,0),MAX(J769/K769,0))),"") </f>
        <v/>
      </c>
      <c r="N769" t="inlineStr">
        <is>
          <t>%</t>
        </is>
      </c>
      <c r="O769" t="inlineStr">
        <is>
          <t>%</t>
        </is>
      </c>
      <c r="P769" t="n">
        <v>0</v>
      </c>
      <c r="Q769" t="n">
        <v>0</v>
      </c>
      <c r="R769" t="inlineStr">
        <is>
          <t>415-2023-12-31</t>
        </is>
      </c>
    </row>
    <row r="770">
      <c r="A770" t="n">
        <v>415</v>
      </c>
      <c r="B770" t="inlineStr">
        <is>
          <t>Cumplimiento Plan Anual Vicerrectoría del estudiante</t>
        </is>
      </c>
      <c r="C770" t="inlineStr">
        <is>
          <t>Planeación Estratégica</t>
        </is>
      </c>
      <c r="D770" t="inlineStr">
        <is>
          <t>Trimestral</t>
        </is>
      </c>
      <c r="E770" t="inlineStr">
        <is>
          <t>Positivo</t>
        </is>
      </c>
      <c r="F770" s="111" t="n">
        <v>45657</v>
      </c>
      <c r="G770" t="n">
        <v>2024</v>
      </c>
      <c r="H770" t="inlineStr">
        <is>
          <t>Diciembre</t>
        </is>
      </c>
      <c r="I770" t="inlineStr">
        <is>
          <t>2024-2</t>
        </is>
      </c>
      <c r="J770" t="n">
        <v>100</v>
      </c>
      <c r="K770" t="n">
        <v>98.36</v>
      </c>
      <c r="L770" s="39">
        <f>IFERROR(IF(OR(J770=0,K770=""),"",IF(E770="Positivo",MIN(MAX(K770/J770,0),1.0),MIN(MAX(J770/K770,0),1.0))),"") </f>
        <v/>
      </c>
      <c r="M770" s="39">
        <f>IFERROR(IF(OR(J770=0,K770=""),"",IF(E770="Positivo",MAX(K770/J770,0),MAX(J770/K770,0))),"") </f>
        <v/>
      </c>
      <c r="N770" t="inlineStr">
        <is>
          <t>%</t>
        </is>
      </c>
      <c r="O770" t="inlineStr">
        <is>
          <t>%</t>
        </is>
      </c>
      <c r="P770" t="n">
        <v>0</v>
      </c>
      <c r="Q770" t="n">
        <v>0</v>
      </c>
      <c r="R770" t="inlineStr">
        <is>
          <t>415-2024-12-31</t>
        </is>
      </c>
    </row>
    <row r="771">
      <c r="A771" t="n">
        <v>415</v>
      </c>
      <c r="B771" t="inlineStr">
        <is>
          <t>Cumplimiento Plan Anual Vicerrectoría del estudiante</t>
        </is>
      </c>
      <c r="C771" t="inlineStr">
        <is>
          <t>Planeación Estratégica</t>
        </is>
      </c>
      <c r="D771" t="inlineStr">
        <is>
          <t>Semestral</t>
        </is>
      </c>
      <c r="E771" t="inlineStr">
        <is>
          <t>Positivo</t>
        </is>
      </c>
      <c r="F771" s="111" t="n">
        <v>46022</v>
      </c>
      <c r="G771" t="n">
        <v>2025</v>
      </c>
      <c r="H771" t="inlineStr">
        <is>
          <t>Diciembre</t>
        </is>
      </c>
      <c r="I771" t="inlineStr">
        <is>
          <t>2025-2</t>
        </is>
      </c>
      <c r="J771" t="n">
        <v>100</v>
      </c>
      <c r="K771" t="n">
        <v>99.3</v>
      </c>
      <c r="L771" s="39">
        <f>IFERROR(IF(OR(J771=0,K771=""),"",IF(E771="Positivo",MIN(MAX(K771/J771,0),1.0),MIN(MAX(J771/K771,0),1.0))),"") </f>
        <v/>
      </c>
      <c r="M771" s="39">
        <f>IFERROR(IF(OR(J771=0,K771=""),"",IF(E771="Positivo",MAX(K771/J771,0),MAX(J771/K771,0))),"") </f>
        <v/>
      </c>
      <c r="N771" t="inlineStr">
        <is>
          <t>%</t>
        </is>
      </c>
      <c r="O771" t="inlineStr">
        <is>
          <t>%</t>
        </is>
      </c>
      <c r="P771" t="n">
        <v>0</v>
      </c>
      <c r="Q771" t="n">
        <v>0</v>
      </c>
      <c r="R771" t="inlineStr">
        <is>
          <t>415-2025-12-31</t>
        </is>
      </c>
    </row>
    <row r="772">
      <c r="A772" t="n">
        <v>416</v>
      </c>
      <c r="B772" t="inlineStr">
        <is>
          <t>Cumplimiento Plan Anual Vicerrectoría de crecimiento</t>
        </is>
      </c>
      <c r="C772" t="inlineStr">
        <is>
          <t>Planeación Estratégica</t>
        </is>
      </c>
      <c r="D772" t="inlineStr">
        <is>
          <t>Trimestral</t>
        </is>
      </c>
      <c r="E772" t="inlineStr">
        <is>
          <t>Positivo</t>
        </is>
      </c>
      <c r="F772" s="111" t="n">
        <v>45291</v>
      </c>
      <c r="G772" t="n">
        <v>2023</v>
      </c>
      <c r="H772" t="inlineStr">
        <is>
          <t>Diciembre</t>
        </is>
      </c>
      <c r="I772" t="inlineStr">
        <is>
          <t>2023-2</t>
        </is>
      </c>
      <c r="J772" t="n">
        <v>100</v>
      </c>
      <c r="K772" t="n">
        <v>98</v>
      </c>
      <c r="L772" s="39">
        <f>IFERROR(IF(OR(J772=0,K772=""),"",IF(E772="Positivo",MIN(MAX(K772/J772,0),1.0),MIN(MAX(J772/K772,0),1.0))),"") </f>
        <v/>
      </c>
      <c r="M772" s="39">
        <f>IFERROR(IF(OR(J772=0,K772=""),"",IF(E772="Positivo",MAX(K772/J772,0),MAX(J772/K772,0))),"") </f>
        <v/>
      </c>
      <c r="N772" t="inlineStr">
        <is>
          <t>%</t>
        </is>
      </c>
      <c r="O772" t="inlineStr">
        <is>
          <t>%</t>
        </is>
      </c>
      <c r="P772" t="n">
        <v>0</v>
      </c>
      <c r="Q772" t="n">
        <v>0</v>
      </c>
      <c r="R772" t="inlineStr">
        <is>
          <t>416-2023-12-31</t>
        </is>
      </c>
    </row>
    <row r="773">
      <c r="A773" t="n">
        <v>416</v>
      </c>
      <c r="B773" t="inlineStr">
        <is>
          <t>Cumplimiento Plan Anual Vicerrectoría de crecimiento</t>
        </is>
      </c>
      <c r="C773" t="inlineStr">
        <is>
          <t>Planeación Estratégica</t>
        </is>
      </c>
      <c r="D773" t="inlineStr">
        <is>
          <t>Trimestral</t>
        </is>
      </c>
      <c r="E773" t="inlineStr">
        <is>
          <t>Positivo</t>
        </is>
      </c>
      <c r="F773" s="111" t="n">
        <v>45657</v>
      </c>
      <c r="G773" t="n">
        <v>2024</v>
      </c>
      <c r="H773" t="inlineStr">
        <is>
          <t>Diciembre</t>
        </is>
      </c>
      <c r="I773" t="inlineStr">
        <is>
          <t>2024-2</t>
        </is>
      </c>
      <c r="J773" t="n">
        <v>100</v>
      </c>
      <c r="K773" t="n">
        <v>100</v>
      </c>
      <c r="L773" s="39">
        <f>IFERROR(IF(OR(J773=0,K773=""),"",IF(E773="Positivo",MIN(MAX(K773/J773,0),1.0),MIN(MAX(J773/K773,0),1.0))),"") </f>
        <v/>
      </c>
      <c r="M773" s="39">
        <f>IFERROR(IF(OR(J773=0,K773=""),"",IF(E773="Positivo",MAX(K773/J773,0),MAX(J773/K773,0))),"") </f>
        <v/>
      </c>
      <c r="N773" t="inlineStr">
        <is>
          <t>%</t>
        </is>
      </c>
      <c r="O773" t="inlineStr">
        <is>
          <t>%</t>
        </is>
      </c>
      <c r="P773" t="n">
        <v>0</v>
      </c>
      <c r="Q773" t="n">
        <v>0</v>
      </c>
      <c r="R773" t="inlineStr">
        <is>
          <t>416-2024-12-31</t>
        </is>
      </c>
    </row>
    <row r="774">
      <c r="A774" t="n">
        <v>416</v>
      </c>
      <c r="B774" t="inlineStr">
        <is>
          <t>Cumplimiento Plan Anual Vicerrectoría de crecimiento</t>
        </is>
      </c>
      <c r="C774" t="inlineStr">
        <is>
          <t>Planeación Estratégica</t>
        </is>
      </c>
      <c r="D774" t="inlineStr">
        <is>
          <t>Semestral</t>
        </is>
      </c>
      <c r="E774" t="inlineStr">
        <is>
          <t>Positivo</t>
        </is>
      </c>
      <c r="F774" s="111" t="n">
        <v>46022</v>
      </c>
      <c r="G774" t="n">
        <v>2025</v>
      </c>
      <c r="H774" t="inlineStr">
        <is>
          <t>Diciembre</t>
        </is>
      </c>
      <c r="I774" t="inlineStr">
        <is>
          <t>2025-2</t>
        </is>
      </c>
      <c r="J774" t="n">
        <v>100</v>
      </c>
      <c r="K774" t="n">
        <v>100</v>
      </c>
      <c r="L774" s="39">
        <f>IFERROR(IF(OR(J774=0,K774=""),"",IF(E774="Positivo",MIN(MAX(K774/J774,0),1.0),MIN(MAX(J774/K774,0),1.0))),"") </f>
        <v/>
      </c>
      <c r="M774" s="39">
        <f>IFERROR(IF(OR(J774=0,K774=""),"",IF(E774="Positivo",MAX(K774/J774,0),MAX(J774/K774,0))),"") </f>
        <v/>
      </c>
      <c r="N774" t="inlineStr">
        <is>
          <t>%</t>
        </is>
      </c>
      <c r="O774" t="inlineStr">
        <is>
          <t>%</t>
        </is>
      </c>
      <c r="P774" t="n">
        <v>0</v>
      </c>
      <c r="Q774" t="n">
        <v>0</v>
      </c>
      <c r="R774" t="inlineStr">
        <is>
          <t>416-2025-12-31</t>
        </is>
      </c>
    </row>
    <row r="775">
      <c r="A775" t="n">
        <v>417</v>
      </c>
      <c r="B775" t="inlineStr">
        <is>
          <t>Cumplimiento Plan Anual Vicerrectoría Financiera</t>
        </is>
      </c>
      <c r="C775" t="inlineStr">
        <is>
          <t>Planeación Estratégica</t>
        </is>
      </c>
      <c r="D775" t="inlineStr">
        <is>
          <t>Trimestral</t>
        </is>
      </c>
      <c r="E775" t="inlineStr">
        <is>
          <t>Positivo</t>
        </is>
      </c>
      <c r="F775" s="111" t="n">
        <v>45291</v>
      </c>
      <c r="G775" t="n">
        <v>2023</v>
      </c>
      <c r="H775" t="inlineStr">
        <is>
          <t>Diciembre</t>
        </is>
      </c>
      <c r="I775" t="inlineStr">
        <is>
          <t>2023-2</t>
        </is>
      </c>
      <c r="J775" t="n">
        <v>100</v>
      </c>
      <c r="K775" t="n">
        <v>94.39</v>
      </c>
      <c r="L775" s="39">
        <f>IFERROR(IF(OR(J775=0,K775=""),"",IF(E775="Positivo",MIN(MAX(K775/J775,0),1.0),MIN(MAX(J775/K775,0),1.0))),"") </f>
        <v/>
      </c>
      <c r="M775" s="39">
        <f>IFERROR(IF(OR(J775=0,K775=""),"",IF(E775="Positivo",MAX(K775/J775,0),MAX(J775/K775,0))),"") </f>
        <v/>
      </c>
      <c r="N775" t="inlineStr">
        <is>
          <t>%</t>
        </is>
      </c>
      <c r="O775" t="inlineStr">
        <is>
          <t>%</t>
        </is>
      </c>
      <c r="P775" t="n">
        <v>0</v>
      </c>
      <c r="Q775" t="n">
        <v>0</v>
      </c>
      <c r="R775" t="inlineStr">
        <is>
          <t>417-2023-12-31</t>
        </is>
      </c>
    </row>
    <row r="776">
      <c r="A776" t="n">
        <v>417</v>
      </c>
      <c r="B776" t="inlineStr">
        <is>
          <t>Cumplimiento Plan Anual Vicerrectoría Financiera</t>
        </is>
      </c>
      <c r="C776" t="inlineStr">
        <is>
          <t>Planeación Estratégica</t>
        </is>
      </c>
      <c r="D776" t="inlineStr">
        <is>
          <t>Trimestral</t>
        </is>
      </c>
      <c r="E776" t="inlineStr">
        <is>
          <t>Positivo</t>
        </is>
      </c>
      <c r="F776" s="111" t="n">
        <v>45657</v>
      </c>
      <c r="G776" t="n">
        <v>2024</v>
      </c>
      <c r="H776" t="inlineStr">
        <is>
          <t>Diciembre</t>
        </is>
      </c>
      <c r="I776" t="inlineStr">
        <is>
          <t>2024-2</t>
        </is>
      </c>
      <c r="J776" t="n">
        <v>100</v>
      </c>
      <c r="K776" t="n">
        <v>98.83</v>
      </c>
      <c r="L776" s="39">
        <f>IFERROR(IF(OR(J776=0,K776=""),"",IF(E776="Positivo",MIN(MAX(K776/J776,0),1.0),MIN(MAX(J776/K776,0),1.0))),"") </f>
        <v/>
      </c>
      <c r="M776" s="39">
        <f>IFERROR(IF(OR(J776=0,K776=""),"",IF(E776="Positivo",MAX(K776/J776,0),MAX(J776/K776,0))),"") </f>
        <v/>
      </c>
      <c r="N776" t="inlineStr">
        <is>
          <t>%</t>
        </is>
      </c>
      <c r="O776" t="inlineStr">
        <is>
          <t>%</t>
        </is>
      </c>
      <c r="P776" t="n">
        <v>0</v>
      </c>
      <c r="Q776" t="n">
        <v>0</v>
      </c>
      <c r="R776" t="inlineStr">
        <is>
          <t>417-2024-12-31</t>
        </is>
      </c>
    </row>
    <row r="777">
      <c r="A777" t="n">
        <v>417</v>
      </c>
      <c r="B777" t="inlineStr">
        <is>
          <t>Cumplimiento Plan Anual Vicerrectoría Financiera</t>
        </is>
      </c>
      <c r="C777" t="inlineStr">
        <is>
          <t>Planeación Estratégica</t>
        </is>
      </c>
      <c r="D777" t="inlineStr">
        <is>
          <t>Semestral</t>
        </is>
      </c>
      <c r="E777" t="inlineStr">
        <is>
          <t>Positivo</t>
        </is>
      </c>
      <c r="F777" s="111" t="n">
        <v>46022</v>
      </c>
      <c r="G777" t="n">
        <v>2025</v>
      </c>
      <c r="H777" t="inlineStr">
        <is>
          <t>Diciembre</t>
        </is>
      </c>
      <c r="I777" t="inlineStr">
        <is>
          <t>2025-2</t>
        </is>
      </c>
      <c r="J777" t="n">
        <v>100</v>
      </c>
      <c r="K777" t="n">
        <v>97.98999999999999</v>
      </c>
      <c r="L777" s="39">
        <f>IFERROR(IF(OR(J777=0,K777=""),"",IF(E777="Positivo",MIN(MAX(K777/J777,0),1.0),MIN(MAX(J777/K777,0),1.0))),"") </f>
        <v/>
      </c>
      <c r="M777" s="39">
        <f>IFERROR(IF(OR(J777=0,K777=""),"",IF(E777="Positivo",MAX(K777/J777,0),MAX(J777/K777,0))),"") </f>
        <v/>
      </c>
      <c r="N777" t="inlineStr">
        <is>
          <t>%</t>
        </is>
      </c>
      <c r="O777" t="inlineStr">
        <is>
          <t>%</t>
        </is>
      </c>
      <c r="P777" t="n">
        <v>0</v>
      </c>
      <c r="Q777" t="n">
        <v>0</v>
      </c>
      <c r="R777" t="inlineStr">
        <is>
          <t>417-2025-12-31</t>
        </is>
      </c>
    </row>
    <row r="778">
      <c r="A778" t="n">
        <v>418</v>
      </c>
      <c r="B778" t="inlineStr">
        <is>
          <t>Cumplimiento Plan Anual Vicerrectoría Académica</t>
        </is>
      </c>
      <c r="C778" t="inlineStr">
        <is>
          <t>Planeación Estratégica</t>
        </is>
      </c>
      <c r="D778" t="inlineStr">
        <is>
          <t>Trimestral</t>
        </is>
      </c>
      <c r="E778" t="inlineStr">
        <is>
          <t>Positivo</t>
        </is>
      </c>
      <c r="F778" s="111" t="n">
        <v>45291</v>
      </c>
      <c r="G778" t="n">
        <v>2023</v>
      </c>
      <c r="H778" t="inlineStr">
        <is>
          <t>Diciembre</t>
        </is>
      </c>
      <c r="I778" t="inlineStr">
        <is>
          <t>2023-2</t>
        </is>
      </c>
      <c r="J778" t="n">
        <v>100</v>
      </c>
      <c r="K778" t="n">
        <v>95.802222222222</v>
      </c>
      <c r="L778" s="39">
        <f>IFERROR(IF(OR(J778=0,K778=""),"",IF(E778="Positivo",MIN(MAX(K778/J778,0),1.0),MIN(MAX(J778/K778,0),1.0))),"") </f>
        <v/>
      </c>
      <c r="M778" s="39">
        <f>IFERROR(IF(OR(J778=0,K778=""),"",IF(E778="Positivo",MAX(K778/J778,0),MAX(J778/K778,0))),"") </f>
        <v/>
      </c>
      <c r="N778" t="inlineStr">
        <is>
          <t>%</t>
        </is>
      </c>
      <c r="O778" t="inlineStr">
        <is>
          <t>%</t>
        </is>
      </c>
      <c r="P778" t="n">
        <v>0</v>
      </c>
      <c r="Q778" t="n">
        <v>0</v>
      </c>
      <c r="R778" t="inlineStr">
        <is>
          <t>418-2023-12-31</t>
        </is>
      </c>
    </row>
    <row r="779">
      <c r="A779" t="n">
        <v>418</v>
      </c>
      <c r="B779" t="inlineStr">
        <is>
          <t>Cumplimiento Plan Anual Vicerrectoría Académica</t>
        </is>
      </c>
      <c r="C779" t="inlineStr">
        <is>
          <t>Planeación Estratégica</t>
        </is>
      </c>
      <c r="D779" t="inlineStr">
        <is>
          <t>Trimestral</t>
        </is>
      </c>
      <c r="E779" t="inlineStr">
        <is>
          <t>Positivo</t>
        </is>
      </c>
      <c r="F779" s="111" t="n">
        <v>45657</v>
      </c>
      <c r="G779" t="n">
        <v>2024</v>
      </c>
      <c r="H779" t="inlineStr">
        <is>
          <t>Diciembre</t>
        </is>
      </c>
      <c r="I779" t="inlineStr">
        <is>
          <t>2024-2</t>
        </is>
      </c>
      <c r="J779" t="n">
        <v>100</v>
      </c>
      <c r="K779" t="n">
        <v>97.78</v>
      </c>
      <c r="L779" s="39">
        <f>IFERROR(IF(OR(J779=0,K779=""),"",IF(E779="Positivo",MIN(MAX(K779/J779,0),1.0),MIN(MAX(J779/K779,0),1.0))),"") </f>
        <v/>
      </c>
      <c r="M779" s="39">
        <f>IFERROR(IF(OR(J779=0,K779=""),"",IF(E779="Positivo",MAX(K779/J779,0),MAX(J779/K779,0))),"") </f>
        <v/>
      </c>
      <c r="N779" t="inlineStr">
        <is>
          <t>%</t>
        </is>
      </c>
      <c r="O779" t="inlineStr">
        <is>
          <t>%</t>
        </is>
      </c>
      <c r="P779" t="n">
        <v>0</v>
      </c>
      <c r="Q779" t="n">
        <v>0</v>
      </c>
      <c r="R779" t="inlineStr">
        <is>
          <t>418-2024-12-31</t>
        </is>
      </c>
    </row>
    <row r="780">
      <c r="A780" t="n">
        <v>418</v>
      </c>
      <c r="B780" t="inlineStr">
        <is>
          <t>Cumplimiento Plan Anual Vicerrectoría Académica</t>
        </is>
      </c>
      <c r="C780" t="inlineStr">
        <is>
          <t>Planeación Estratégica</t>
        </is>
      </c>
      <c r="D780" t="inlineStr">
        <is>
          <t>Semestral</t>
        </is>
      </c>
      <c r="E780" t="inlineStr">
        <is>
          <t>Positivo</t>
        </is>
      </c>
      <c r="F780" s="111" t="n">
        <v>46022</v>
      </c>
      <c r="G780" t="n">
        <v>2025</v>
      </c>
      <c r="H780" t="inlineStr">
        <is>
          <t>Diciembre</t>
        </is>
      </c>
      <c r="I780" t="inlineStr">
        <is>
          <t>2025-2</t>
        </is>
      </c>
      <c r="J780" t="n">
        <v>100</v>
      </c>
      <c r="K780" t="n">
        <v>99.61</v>
      </c>
      <c r="L780" s="39">
        <f>IFERROR(IF(OR(J780=0,K780=""),"",IF(E780="Positivo",MIN(MAX(K780/J780,0),1.0),MIN(MAX(J780/K780,0),1.0))),"") </f>
        <v/>
      </c>
      <c r="M780" s="39">
        <f>IFERROR(IF(OR(J780=0,K780=""),"",IF(E780="Positivo",MAX(K780/J780,0),MAX(J780/K780,0))),"") </f>
        <v/>
      </c>
      <c r="N780" t="inlineStr">
        <is>
          <t>%</t>
        </is>
      </c>
      <c r="O780" t="inlineStr">
        <is>
          <t>%</t>
        </is>
      </c>
      <c r="P780" t="n">
        <v>0</v>
      </c>
      <c r="Q780" t="n">
        <v>0</v>
      </c>
      <c r="R780" t="inlineStr">
        <is>
          <t>418-2025-12-31</t>
        </is>
      </c>
    </row>
    <row r="781">
      <c r="A781" t="n">
        <v>419</v>
      </c>
      <c r="B781" t="inlineStr">
        <is>
          <t>Cumplimiento Plan Anual Áreas sede Medellín</t>
        </is>
      </c>
      <c r="C781" t="inlineStr">
        <is>
          <t>Planeación Estratégica</t>
        </is>
      </c>
      <c r="D781" t="inlineStr">
        <is>
          <t>Trimestral</t>
        </is>
      </c>
      <c r="E781" t="inlineStr">
        <is>
          <t>Positivo</t>
        </is>
      </c>
      <c r="F781" s="111" t="n">
        <v>45291</v>
      </c>
      <c r="G781" t="n">
        <v>2023</v>
      </c>
      <c r="H781" t="inlineStr">
        <is>
          <t>Diciembre</t>
        </is>
      </c>
      <c r="I781" t="inlineStr">
        <is>
          <t>2023-2</t>
        </is>
      </c>
      <c r="J781" t="n">
        <v>100</v>
      </c>
      <c r="K781" t="n">
        <v>93.56</v>
      </c>
      <c r="L781" s="39">
        <f>IFERROR(IF(OR(J781=0,K781=""),"",IF(E781="Positivo",MIN(MAX(K781/J781,0),1.3),MIN(MAX(J781/K781,0),1.3))),"") </f>
        <v/>
      </c>
      <c r="M781" s="39">
        <f>IFERROR(IF(OR(J781=0,K781=""),"",IF(E781="Positivo",MAX(K781/J781,0),MAX(J781/K781,0))),"") </f>
        <v/>
      </c>
      <c r="N781" t="inlineStr">
        <is>
          <t>%</t>
        </is>
      </c>
      <c r="O781" t="inlineStr">
        <is>
          <t>%</t>
        </is>
      </c>
      <c r="P781" t="n">
        <v>0</v>
      </c>
      <c r="Q781" t="n">
        <v>0</v>
      </c>
      <c r="R781" t="inlineStr">
        <is>
          <t>419-2023-12-31</t>
        </is>
      </c>
    </row>
    <row r="782">
      <c r="A782" t="n">
        <v>420</v>
      </c>
      <c r="B782" t="inlineStr">
        <is>
          <t>Cumplimiento Plan Anual Gerencia de estrategia</t>
        </is>
      </c>
      <c r="C782" t="inlineStr">
        <is>
          <t>Planeación Estratégica</t>
        </is>
      </c>
      <c r="D782" t="inlineStr">
        <is>
          <t>Trimestral</t>
        </is>
      </c>
      <c r="E782" t="inlineStr">
        <is>
          <t>Positivo</t>
        </is>
      </c>
      <c r="F782" s="111" t="n">
        <v>45291</v>
      </c>
      <c r="G782" t="n">
        <v>2023</v>
      </c>
      <c r="H782" t="inlineStr">
        <is>
          <t>Diciembre</t>
        </is>
      </c>
      <c r="I782" t="inlineStr">
        <is>
          <t>2023-2</t>
        </is>
      </c>
      <c r="J782" t="n">
        <v>100</v>
      </c>
      <c r="K782" t="n">
        <v>100</v>
      </c>
      <c r="L782" s="39">
        <f>IFERROR(IF(OR(J782=0,K782=""),"",IF(E782="Positivo",MIN(MAX(K782/J782,0),1.0),MIN(MAX(J782/K782,0),1.0))),"") </f>
        <v/>
      </c>
      <c r="M782" s="39">
        <f>IFERROR(IF(OR(J782=0,K782=""),"",IF(E782="Positivo",MAX(K782/J782,0),MAX(J782/K782,0))),"") </f>
        <v/>
      </c>
      <c r="N782" t="inlineStr">
        <is>
          <t>%</t>
        </is>
      </c>
      <c r="O782" t="inlineStr">
        <is>
          <t>%</t>
        </is>
      </c>
      <c r="P782" t="n">
        <v>0</v>
      </c>
      <c r="Q782" t="n">
        <v>0</v>
      </c>
      <c r="R782" t="inlineStr">
        <is>
          <t>420-2023-12-31</t>
        </is>
      </c>
    </row>
    <row r="783">
      <c r="A783" t="n">
        <v>420</v>
      </c>
      <c r="B783" t="inlineStr">
        <is>
          <t>Cumplimiento Plan Anual Gerencia de estrategia</t>
        </is>
      </c>
      <c r="C783" t="inlineStr">
        <is>
          <t>Planeación Estratégica</t>
        </is>
      </c>
      <c r="D783" t="inlineStr">
        <is>
          <t>Trimestral</t>
        </is>
      </c>
      <c r="E783" t="inlineStr">
        <is>
          <t>Positivo</t>
        </is>
      </c>
      <c r="F783" s="111" t="n">
        <v>45657</v>
      </c>
      <c r="G783" t="n">
        <v>2024</v>
      </c>
      <c r="H783" t="inlineStr">
        <is>
          <t>Diciembre</t>
        </is>
      </c>
      <c r="I783" t="inlineStr">
        <is>
          <t>2024-2</t>
        </is>
      </c>
      <c r="J783" t="n">
        <v>100</v>
      </c>
      <c r="K783" t="n">
        <v>96.67</v>
      </c>
      <c r="L783" s="39">
        <f>IFERROR(IF(OR(J783=0,K783=""),"",IF(E783="Positivo",MIN(MAX(K783/J783,0),1.0),MIN(MAX(J783/K783,0),1.0))),"") </f>
        <v/>
      </c>
      <c r="M783" s="39">
        <f>IFERROR(IF(OR(J783=0,K783=""),"",IF(E783="Positivo",MAX(K783/J783,0),MAX(J783/K783,0))),"") </f>
        <v/>
      </c>
      <c r="N783" t="inlineStr">
        <is>
          <t>%</t>
        </is>
      </c>
      <c r="O783" t="inlineStr">
        <is>
          <t>%</t>
        </is>
      </c>
      <c r="P783" t="n">
        <v>0</v>
      </c>
      <c r="Q783" t="n">
        <v>0</v>
      </c>
      <c r="R783" t="inlineStr">
        <is>
          <t>420-2024-12-31</t>
        </is>
      </c>
    </row>
    <row r="784">
      <c r="A784" t="n">
        <v>420</v>
      </c>
      <c r="B784" t="inlineStr">
        <is>
          <t>Cumplimiento Plan Anual Gerencia de estrategia</t>
        </is>
      </c>
      <c r="C784" t="inlineStr">
        <is>
          <t>Planeación Estratégica</t>
        </is>
      </c>
      <c r="D784" t="inlineStr">
        <is>
          <t>Semestral</t>
        </is>
      </c>
      <c r="E784" t="inlineStr">
        <is>
          <t>Positivo</t>
        </is>
      </c>
      <c r="F784" s="111" t="n">
        <v>46022</v>
      </c>
      <c r="G784" t="n">
        <v>2025</v>
      </c>
      <c r="H784" t="inlineStr">
        <is>
          <t>Diciembre</t>
        </is>
      </c>
      <c r="I784" t="inlineStr">
        <is>
          <t>2025-2</t>
        </is>
      </c>
      <c r="J784" t="n">
        <v>100</v>
      </c>
      <c r="K784" t="n">
        <v>100</v>
      </c>
      <c r="L784" s="39">
        <f>IFERROR(IF(OR(J784=0,K784=""),"",IF(E784="Positivo",MIN(MAX(K784/J784,0),1.0),MIN(MAX(J784/K784,0),1.0))),"") </f>
        <v/>
      </c>
      <c r="M784" s="39">
        <f>IFERROR(IF(OR(J784=0,K784=""),"",IF(E784="Positivo",MAX(K784/J784,0),MAX(J784/K784,0))),"") </f>
        <v/>
      </c>
      <c r="N784" t="inlineStr">
        <is>
          <t>%</t>
        </is>
      </c>
      <c r="O784" t="inlineStr">
        <is>
          <t>%</t>
        </is>
      </c>
      <c r="P784" t="n">
        <v>0</v>
      </c>
      <c r="Q784" t="n">
        <v>0</v>
      </c>
      <c r="R784" t="inlineStr">
        <is>
          <t>420-2025-12-31</t>
        </is>
      </c>
    </row>
    <row r="785">
      <c r="A785" t="n">
        <v>421</v>
      </c>
      <c r="B785" t="inlineStr">
        <is>
          <t>Total Leads por canales de captación</t>
        </is>
      </c>
      <c r="C785" t="inlineStr">
        <is>
          <t>Mercadeo de programas académicos</t>
        </is>
      </c>
      <c r="D785" t="inlineStr">
        <is>
          <t>Semestral</t>
        </is>
      </c>
      <c r="E785" t="inlineStr">
        <is>
          <t>Positivo</t>
        </is>
      </c>
      <c r="F785" s="111" t="n">
        <v>45291</v>
      </c>
      <c r="G785" t="n">
        <v>2023</v>
      </c>
      <c r="H785" t="inlineStr">
        <is>
          <t>Diciembre</t>
        </is>
      </c>
      <c r="I785" t="inlineStr">
        <is>
          <t>2023-2</t>
        </is>
      </c>
      <c r="J785" t="n">
        <v>201272</v>
      </c>
      <c r="K785" t="n">
        <v>276201</v>
      </c>
      <c r="L785" s="39">
        <f>IFERROR(IF(OR(J785=0,K785=""),"",IF(E785="Positivo",MIN(MAX(K785/J785,0),1.3),MIN(MAX(J785/K785,0),1.3))),"") </f>
        <v/>
      </c>
      <c r="M785" s="39">
        <f>IFERROR(IF(OR(J785=0,K785=""),"",IF(E785="Positivo",MAX(K785/J785,0),MAX(J785/K785,0))),"") </f>
        <v/>
      </c>
      <c r="N785" t="inlineStr">
        <is>
          <t>ENT</t>
        </is>
      </c>
      <c r="O785" t="inlineStr">
        <is>
          <t>ENT</t>
        </is>
      </c>
      <c r="P785" t="n">
        <v>0</v>
      </c>
      <c r="Q785" t="n">
        <v>0</v>
      </c>
      <c r="R785" t="inlineStr">
        <is>
          <t>421-2023-12-31</t>
        </is>
      </c>
    </row>
    <row r="786">
      <c r="A786" t="n">
        <v>421</v>
      </c>
      <c r="B786" t="inlineStr">
        <is>
          <t>Total Leads por canales de captación</t>
        </is>
      </c>
      <c r="C786" t="inlineStr">
        <is>
          <t>Mercadeo de programas académicos</t>
        </is>
      </c>
      <c r="D786" t="inlineStr">
        <is>
          <t>Semestral</t>
        </is>
      </c>
      <c r="E786" t="inlineStr">
        <is>
          <t>Positivo</t>
        </is>
      </c>
      <c r="F786" s="111" t="n">
        <v>45657</v>
      </c>
      <c r="G786" t="n">
        <v>2024</v>
      </c>
      <c r="H786" t="inlineStr">
        <is>
          <t>Diciembre</t>
        </is>
      </c>
      <c r="I786" t="inlineStr">
        <is>
          <t>2024-2</t>
        </is>
      </c>
      <c r="J786" t="n">
        <v>100</v>
      </c>
      <c r="K786" t="n">
        <v>121.44</v>
      </c>
      <c r="L786" s="39">
        <f>IFERROR(IF(OR(J786=0,K786=""),"",IF(E786="Positivo",MIN(MAX(K786/J786,0),1.3),MIN(MAX(J786/K786,0),1.3))),"") </f>
        <v/>
      </c>
      <c r="M786" s="39">
        <f>IFERROR(IF(OR(J786=0,K786=""),"",IF(E786="Positivo",MAX(K786/J786,0),MAX(J786/K786,0))),"") </f>
        <v/>
      </c>
      <c r="N786" t="inlineStr">
        <is>
          <t>ENT</t>
        </is>
      </c>
      <c r="O786" t="inlineStr">
        <is>
          <t>ENT</t>
        </is>
      </c>
      <c r="P786" t="n">
        <v>0</v>
      </c>
      <c r="Q786" t="n">
        <v>0</v>
      </c>
      <c r="R786" t="inlineStr">
        <is>
          <t>421-2024-12-31</t>
        </is>
      </c>
    </row>
    <row r="787">
      <c r="A787" t="n">
        <v>422</v>
      </c>
      <c r="B787" t="inlineStr">
        <is>
          <t>Total conversión</t>
        </is>
      </c>
      <c r="C787" t="inlineStr">
        <is>
          <t>Mercadeo de programas académicos</t>
        </is>
      </c>
      <c r="D787" t="inlineStr">
        <is>
          <t>Semestral</t>
        </is>
      </c>
      <c r="E787" t="inlineStr">
        <is>
          <t>Positivo</t>
        </is>
      </c>
      <c r="F787" s="111" t="n">
        <v>45291</v>
      </c>
      <c r="G787" t="n">
        <v>2023</v>
      </c>
      <c r="H787" t="inlineStr">
        <is>
          <t>Diciembre</t>
        </is>
      </c>
      <c r="I787" t="inlineStr">
        <is>
          <t>2023-2</t>
        </is>
      </c>
      <c r="J787" t="n">
        <v>10.5</v>
      </c>
      <c r="K787" t="n">
        <v>11.04</v>
      </c>
      <c r="L787" s="39">
        <f>IFERROR(IF(OR(J787=0,K787=""),"",IF(E787="Positivo",MIN(MAX(K787/J787,0),1.3),MIN(MAX(J787/K787,0),1.3))),"") </f>
        <v/>
      </c>
      <c r="M787" s="39">
        <f>IFERROR(IF(OR(J787=0,K787=""),"",IF(E787="Positivo",MAX(K787/J787,0),MAX(J787/K787,0))),"") </f>
        <v/>
      </c>
      <c r="N787" t="inlineStr">
        <is>
          <t>%</t>
        </is>
      </c>
      <c r="O787" t="inlineStr">
        <is>
          <t>%</t>
        </is>
      </c>
      <c r="P787" t="n">
        <v>2</v>
      </c>
      <c r="Q787" t="n">
        <v>2</v>
      </c>
      <c r="R787" t="inlineStr">
        <is>
          <t>422-2023-12-31</t>
        </is>
      </c>
    </row>
    <row r="788">
      <c r="A788" t="n">
        <v>422</v>
      </c>
      <c r="B788" t="inlineStr">
        <is>
          <t>Total conversión</t>
        </is>
      </c>
      <c r="C788" t="inlineStr">
        <is>
          <t>Mercadeo de programas académicos</t>
        </is>
      </c>
      <c r="D788" t="inlineStr">
        <is>
          <t>Semestral</t>
        </is>
      </c>
      <c r="E788" t="inlineStr">
        <is>
          <t>Positivo</t>
        </is>
      </c>
      <c r="F788" s="111" t="n">
        <v>45657</v>
      </c>
      <c r="G788" t="n">
        <v>2024</v>
      </c>
      <c r="H788" t="inlineStr">
        <is>
          <t>Diciembre</t>
        </is>
      </c>
      <c r="I788" t="inlineStr">
        <is>
          <t>2024-2</t>
        </is>
      </c>
      <c r="J788" t="n">
        <v>8.01</v>
      </c>
      <c r="K788" t="n">
        <v>7.91</v>
      </c>
      <c r="L788" s="39">
        <f>IFERROR(IF(OR(J788=0,K788=""),"",IF(E788="Positivo",MIN(MAX(K788/J788,0),1.3),MIN(MAX(J788/K788,0),1.3))),"") </f>
        <v/>
      </c>
      <c r="M788" s="39">
        <f>IFERROR(IF(OR(J788=0,K788=""),"",IF(E788="Positivo",MAX(K788/J788,0),MAX(J788/K788,0))),"") </f>
        <v/>
      </c>
      <c r="N788" t="inlineStr">
        <is>
          <t>%</t>
        </is>
      </c>
      <c r="O788" t="inlineStr">
        <is>
          <t>%</t>
        </is>
      </c>
      <c r="P788" t="n">
        <v>2</v>
      </c>
      <c r="Q788" t="n">
        <v>2</v>
      </c>
      <c r="R788" t="inlineStr">
        <is>
          <t>422-2024-12-31</t>
        </is>
      </c>
    </row>
    <row r="789">
      <c r="A789" t="n">
        <v>422</v>
      </c>
      <c r="B789" t="inlineStr">
        <is>
          <t>Total conversión</t>
        </is>
      </c>
      <c r="C789" t="inlineStr">
        <is>
          <t>Mercadeo de programas académicos</t>
        </is>
      </c>
      <c r="D789" t="inlineStr">
        <is>
          <t>Trimestral</t>
        </is>
      </c>
      <c r="E789" t="inlineStr">
        <is>
          <t>Positivo</t>
        </is>
      </c>
      <c r="F789" s="111" t="n">
        <v>46022</v>
      </c>
      <c r="G789" t="n">
        <v>2025</v>
      </c>
      <c r="H789" t="inlineStr">
        <is>
          <t>Diciembre</t>
        </is>
      </c>
      <c r="I789" t="inlineStr">
        <is>
          <t>2025-2</t>
        </is>
      </c>
      <c r="J789" t="n">
        <v>7.68</v>
      </c>
      <c r="K789" t="n">
        <v>7.87</v>
      </c>
      <c r="L789" s="39">
        <f>IFERROR(IF(OR(J789=0,K789=""),"",IF(E789="Positivo",MIN(MAX(K789/J789,0),1.3),MIN(MAX(J789/K789,0),1.3))),"") </f>
        <v/>
      </c>
      <c r="M789" s="39">
        <f>IFERROR(IF(OR(J789=0,K789=""),"",IF(E789="Positivo",MAX(K789/J789,0),MAX(J789/K789,0))),"") </f>
        <v/>
      </c>
      <c r="N789" t="inlineStr">
        <is>
          <t>%</t>
        </is>
      </c>
      <c r="O789" t="inlineStr">
        <is>
          <t>%</t>
        </is>
      </c>
      <c r="P789" t="n">
        <v>2</v>
      </c>
      <c r="Q789" t="n">
        <v>2</v>
      </c>
      <c r="R789" t="inlineStr">
        <is>
          <t>422-2025-12-31</t>
        </is>
      </c>
    </row>
    <row r="790">
      <c r="A790" t="n">
        <v>423</v>
      </c>
      <c r="B790" t="inlineStr">
        <is>
          <t>Brand equity</t>
        </is>
      </c>
      <c r="C790" t="inlineStr">
        <is>
          <t>Mercadeo de programas académicos</t>
        </is>
      </c>
      <c r="D790" t="inlineStr">
        <is>
          <t>Anual</t>
        </is>
      </c>
      <c r="E790" t="inlineStr">
        <is>
          <t>Positivo</t>
        </is>
      </c>
      <c r="F790" s="111" t="n">
        <v>45291</v>
      </c>
      <c r="G790" t="n">
        <v>2023</v>
      </c>
      <c r="H790" t="inlineStr">
        <is>
          <t>Diciembre</t>
        </is>
      </c>
      <c r="I790" t="inlineStr">
        <is>
          <t>2023-2</t>
        </is>
      </c>
      <c r="J790" t="n">
        <v>8.4</v>
      </c>
      <c r="K790" t="n">
        <v>7.9</v>
      </c>
      <c r="L790" s="39">
        <f>IFERROR(IF(OR(J790=0,K790=""),"",IF(E790="Positivo",MIN(MAX(K790/J790,0),1.3),MIN(MAX(J790/K790,0),1.3))),"") </f>
        <v/>
      </c>
      <c r="M790" s="39">
        <f>IFERROR(IF(OR(J790=0,K790=""),"",IF(E790="Positivo",MAX(K790/J790,0),MAX(J790/K790,0))),"") </f>
        <v/>
      </c>
      <c r="N790" t="inlineStr">
        <is>
          <t>DEC</t>
        </is>
      </c>
      <c r="O790" t="inlineStr">
        <is>
          <t>DEC</t>
        </is>
      </c>
      <c r="P790" t="n">
        <v>1</v>
      </c>
      <c r="Q790" t="n">
        <v>1</v>
      </c>
      <c r="R790" t="inlineStr">
        <is>
          <t>423-2023-12-31</t>
        </is>
      </c>
    </row>
    <row r="791">
      <c r="A791" t="n">
        <v>423</v>
      </c>
      <c r="B791" t="inlineStr">
        <is>
          <t>Brand equity</t>
        </is>
      </c>
      <c r="C791" t="inlineStr">
        <is>
          <t>Mercadeo de programas académicos</t>
        </is>
      </c>
      <c r="D791" t="inlineStr">
        <is>
          <t>Anual</t>
        </is>
      </c>
      <c r="E791" t="inlineStr">
        <is>
          <t>Positivo</t>
        </is>
      </c>
      <c r="F791" s="111" t="n">
        <v>45657</v>
      </c>
      <c r="G791" t="n">
        <v>2024</v>
      </c>
      <c r="H791" t="inlineStr">
        <is>
          <t>Diciembre</t>
        </is>
      </c>
      <c r="I791" t="inlineStr">
        <is>
          <t>2024-2</t>
        </is>
      </c>
      <c r="J791" t="n">
        <v>8.300000000000001</v>
      </c>
      <c r="K791" t="n">
        <v>12.3</v>
      </c>
      <c r="L791" s="39">
        <f>IFERROR(IF(OR(J791=0,K791=""),"",IF(E791="Positivo",MIN(MAX(K791/J791,0),1.3),MIN(MAX(J791/K791,0),1.3))),"") </f>
        <v/>
      </c>
      <c r="M791" s="39">
        <f>IFERROR(IF(OR(J791=0,K791=""),"",IF(E791="Positivo",MAX(K791/J791,0),MAX(J791/K791,0))),"") </f>
        <v/>
      </c>
      <c r="N791" t="inlineStr">
        <is>
          <t>DEC</t>
        </is>
      </c>
      <c r="O791" t="inlineStr">
        <is>
          <t>DEC</t>
        </is>
      </c>
      <c r="P791" t="n">
        <v>1</v>
      </c>
      <c r="Q791" t="n">
        <v>1</v>
      </c>
      <c r="R791" t="inlineStr">
        <is>
          <t>423-2024-12-31</t>
        </is>
      </c>
    </row>
    <row r="792">
      <c r="A792" t="n">
        <v>423</v>
      </c>
      <c r="B792" t="inlineStr">
        <is>
          <t>Brand equity</t>
        </is>
      </c>
      <c r="C792" t="inlineStr">
        <is>
          <t>Mercadeo de programas académicos</t>
        </is>
      </c>
      <c r="D792" t="inlineStr">
        <is>
          <t>Anual</t>
        </is>
      </c>
      <c r="E792" t="inlineStr">
        <is>
          <t>Positivo</t>
        </is>
      </c>
      <c r="F792" s="111" t="n">
        <v>46022</v>
      </c>
      <c r="G792" t="n">
        <v>2025</v>
      </c>
      <c r="H792" t="inlineStr">
        <is>
          <t>Diciembre</t>
        </is>
      </c>
      <c r="I792" t="inlineStr">
        <is>
          <t>2025-2</t>
        </is>
      </c>
      <c r="J792" t="n">
        <v>12.3</v>
      </c>
      <c r="K792" t="n">
        <v>15.1</v>
      </c>
      <c r="L792" s="39">
        <f>IFERROR(IF(OR(J792=0,K792=""),"",IF(E792="Positivo",MIN(MAX(K792/J792,0),1.3),MIN(MAX(J792/K792,0),1.3))),"") </f>
        <v/>
      </c>
      <c r="M792" s="39">
        <f>IFERROR(IF(OR(J792=0,K792=""),"",IF(E792="Positivo",MAX(K792/J792,0),MAX(J792/K792,0))),"") </f>
        <v/>
      </c>
      <c r="N792" t="inlineStr">
        <is>
          <t>DEC</t>
        </is>
      </c>
      <c r="O792" t="inlineStr">
        <is>
          <t>DEC</t>
        </is>
      </c>
      <c r="P792" t="n">
        <v>1</v>
      </c>
      <c r="Q792" t="n">
        <v>1</v>
      </c>
      <c r="R792" t="inlineStr">
        <is>
          <t>423-2025-12-31</t>
        </is>
      </c>
    </row>
    <row r="793">
      <c r="A793" t="n">
        <v>424</v>
      </c>
      <c r="B793" t="inlineStr">
        <is>
          <t>Conocimiento espontaneo</t>
        </is>
      </c>
      <c r="C793" t="inlineStr">
        <is>
          <t>Mercadeo de programas académicos</t>
        </is>
      </c>
      <c r="D793" t="inlineStr">
        <is>
          <t>Anual</t>
        </is>
      </c>
      <c r="E793" t="inlineStr">
        <is>
          <t>Positivo</t>
        </is>
      </c>
      <c r="F793" s="111" t="n">
        <v>45291</v>
      </c>
      <c r="G793" t="n">
        <v>2023</v>
      </c>
      <c r="H793" t="inlineStr">
        <is>
          <t>Diciembre</t>
        </is>
      </c>
      <c r="I793" t="inlineStr">
        <is>
          <t>2023-2</t>
        </is>
      </c>
      <c r="J793" t="n">
        <v>92</v>
      </c>
      <c r="K793" t="n">
        <v>6</v>
      </c>
      <c r="L793" s="39">
        <f>IFERROR(IF(OR(J793=0,K793=""),"",IF(E793="Positivo",MIN(MAX(K793/J793,0),1.3),MIN(MAX(J793/K793,0),1.3))),"") </f>
        <v/>
      </c>
      <c r="M793" s="39">
        <f>IFERROR(IF(OR(J793=0,K793=""),"",IF(E793="Positivo",MAX(K793/J793,0),MAX(J793/K793,0))),"") </f>
        <v/>
      </c>
      <c r="N793" t="inlineStr">
        <is>
          <t>ENT</t>
        </is>
      </c>
      <c r="O793" t="inlineStr">
        <is>
          <t>ENT</t>
        </is>
      </c>
      <c r="P793" t="n">
        <v>0</v>
      </c>
      <c r="Q793" t="n">
        <v>0</v>
      </c>
      <c r="R793" t="inlineStr">
        <is>
          <t>424-2023-12-31</t>
        </is>
      </c>
    </row>
    <row r="794">
      <c r="A794" t="n">
        <v>424</v>
      </c>
      <c r="B794" t="inlineStr">
        <is>
          <t>Conocimiento espontaneo</t>
        </is>
      </c>
      <c r="C794" t="inlineStr">
        <is>
          <t>Mercadeo de programas académicos</t>
        </is>
      </c>
      <c r="D794" t="inlineStr">
        <is>
          <t>Anual</t>
        </is>
      </c>
      <c r="E794" t="inlineStr">
        <is>
          <t>Positivo</t>
        </is>
      </c>
      <c r="F794" s="111" t="n">
        <v>45657</v>
      </c>
      <c r="G794" t="n">
        <v>2024</v>
      </c>
      <c r="H794" t="inlineStr">
        <is>
          <t>Diciembre</t>
        </is>
      </c>
      <c r="I794" t="inlineStr">
        <is>
          <t>2024-2</t>
        </is>
      </c>
      <c r="J794" t="n">
        <v>7</v>
      </c>
      <c r="K794" t="n">
        <v>9</v>
      </c>
      <c r="L794" s="39">
        <f>IFERROR(IF(OR(J794=0,K794=""),"",IF(E794="Positivo",MIN(MAX(K794/J794,0),1.3),MIN(MAX(J794/K794,0),1.3))),"") </f>
        <v/>
      </c>
      <c r="M794" s="39">
        <f>IFERROR(IF(OR(J794=0,K794=""),"",IF(E794="Positivo",MAX(K794/J794,0),MAX(J794/K794,0))),"") </f>
        <v/>
      </c>
      <c r="N794" t="inlineStr">
        <is>
          <t>ENT</t>
        </is>
      </c>
      <c r="O794" t="inlineStr">
        <is>
          <t>ENT</t>
        </is>
      </c>
      <c r="P794" t="n">
        <v>0</v>
      </c>
      <c r="Q794" t="n">
        <v>0</v>
      </c>
      <c r="R794" t="inlineStr">
        <is>
          <t>424-2024-12-31</t>
        </is>
      </c>
    </row>
    <row r="795">
      <c r="A795" t="n">
        <v>424</v>
      </c>
      <c r="B795" t="inlineStr">
        <is>
          <t>Conocimiento espontaneo</t>
        </is>
      </c>
      <c r="C795" t="inlineStr">
        <is>
          <t>Mercadeo de programas académicos</t>
        </is>
      </c>
      <c r="D795" t="inlineStr">
        <is>
          <t>Anual</t>
        </is>
      </c>
      <c r="E795" t="inlineStr">
        <is>
          <t>Positivo</t>
        </is>
      </c>
      <c r="F795" s="111" t="n">
        <v>46022</v>
      </c>
      <c r="G795" t="n">
        <v>2025</v>
      </c>
      <c r="H795" t="inlineStr">
        <is>
          <t>Diciembre</t>
        </is>
      </c>
      <c r="I795" t="inlineStr">
        <is>
          <t>2025-2</t>
        </is>
      </c>
      <c r="J795" t="n">
        <v>9</v>
      </c>
      <c r="K795" t="n">
        <v>11</v>
      </c>
      <c r="L795" s="39">
        <f>IFERROR(IF(OR(J795=0,K795=""),"",IF(E795="Positivo",MIN(MAX(K795/J795,0),1.3),MIN(MAX(J795/K795,0),1.3))),"") </f>
        <v/>
      </c>
      <c r="M795" s="39">
        <f>IFERROR(IF(OR(J795=0,K795=""),"",IF(E795="Positivo",MAX(K795/J795,0),MAX(J795/K795,0))),"") </f>
        <v/>
      </c>
      <c r="N795" t="inlineStr">
        <is>
          <t>ENT</t>
        </is>
      </c>
      <c r="O795" t="inlineStr">
        <is>
          <t>ENT</t>
        </is>
      </c>
      <c r="P795" t="n">
        <v>0</v>
      </c>
      <c r="Q795" t="n">
        <v>0</v>
      </c>
      <c r="R795" t="inlineStr">
        <is>
          <t>424-2025-12-31</t>
        </is>
      </c>
    </row>
    <row r="796">
      <c r="A796" t="n">
        <v>425</v>
      </c>
      <c r="B796" t="inlineStr">
        <is>
          <t>Cumplimiento Leads Educación para la vida</t>
        </is>
      </c>
      <c r="C796" t="inlineStr">
        <is>
          <t>Mercadeo y venta de educación para la vida</t>
        </is>
      </c>
      <c r="D796" t="inlineStr">
        <is>
          <t>Anual</t>
        </is>
      </c>
      <c r="E796" t="inlineStr">
        <is>
          <t>Positivo</t>
        </is>
      </c>
      <c r="F796" s="111" t="n">
        <v>45291</v>
      </c>
      <c r="G796" t="n">
        <v>2023</v>
      </c>
      <c r="H796" t="inlineStr">
        <is>
          <t>Diciembre</t>
        </is>
      </c>
      <c r="I796" t="inlineStr">
        <is>
          <t>2023-2</t>
        </is>
      </c>
      <c r="J796" t="n">
        <v>5500</v>
      </c>
      <c r="K796" t="n">
        <v>5785</v>
      </c>
      <c r="L796" s="39">
        <f>IFERROR(IF(OR(J796=0,K796=""),"",IF(E796="Positivo",MIN(MAX(K796/J796,0),1.3),MIN(MAX(J796/K796,0),1.3))),"") </f>
        <v/>
      </c>
      <c r="M796" s="39">
        <f>IFERROR(IF(OR(J796=0,K796=""),"",IF(E796="Positivo",MAX(K796/J796,0),MAX(J796/K796,0))),"") </f>
        <v/>
      </c>
      <c r="N796" t="inlineStr">
        <is>
          <t>ENT</t>
        </is>
      </c>
      <c r="O796" t="inlineStr">
        <is>
          <t>ENT</t>
        </is>
      </c>
      <c r="P796" t="n">
        <v>0</v>
      </c>
      <c r="Q796" t="n">
        <v>0</v>
      </c>
      <c r="R796" t="inlineStr">
        <is>
          <t>425-2023-12-31</t>
        </is>
      </c>
    </row>
    <row r="797">
      <c r="A797" t="n">
        <v>425</v>
      </c>
      <c r="B797" t="inlineStr">
        <is>
          <t>Cumplimiento Leads Educación para la vida</t>
        </is>
      </c>
      <c r="C797" t="inlineStr">
        <is>
          <t>Mercadeo y venta de educación para la vida</t>
        </is>
      </c>
      <c r="D797" t="inlineStr">
        <is>
          <t>Semestral</t>
        </is>
      </c>
      <c r="E797" t="inlineStr">
        <is>
          <t>Positivo</t>
        </is>
      </c>
      <c r="F797" s="111" t="n">
        <v>45657</v>
      </c>
      <c r="G797" t="n">
        <v>2024</v>
      </c>
      <c r="H797" t="inlineStr">
        <is>
          <t>Diciembre</t>
        </is>
      </c>
      <c r="I797" t="inlineStr">
        <is>
          <t>2024-2</t>
        </is>
      </c>
      <c r="J797" t="n">
        <v>100</v>
      </c>
      <c r="K797" t="n">
        <v>164.69</v>
      </c>
      <c r="L797" s="39">
        <f>IFERROR(IF(OR(J797=0,K797=""),"",IF(E797="Positivo",MIN(MAX(K797/J797,0),1.3),MIN(MAX(J797/K797,0),1.3))),"") </f>
        <v/>
      </c>
      <c r="M797" s="39">
        <f>IFERROR(IF(OR(J797=0,K797=""),"",IF(E797="Positivo",MAX(K797/J797,0),MAX(J797/K797,0))),"") </f>
        <v/>
      </c>
      <c r="N797" t="inlineStr">
        <is>
          <t>ENT</t>
        </is>
      </c>
      <c r="O797" t="inlineStr">
        <is>
          <t>ENT</t>
        </is>
      </c>
      <c r="P797" t="n">
        <v>0</v>
      </c>
      <c r="Q797" t="n">
        <v>0</v>
      </c>
      <c r="R797" t="inlineStr">
        <is>
          <t>425-2024-12-31</t>
        </is>
      </c>
    </row>
    <row r="798">
      <c r="A798" t="n">
        <v>426</v>
      </c>
      <c r="B798" t="inlineStr">
        <is>
          <t>Cumplimiento en la respuesta a solicitudes de comunicaciones internas</t>
        </is>
      </c>
      <c r="C798" t="inlineStr">
        <is>
          <t>Comunicaciones Internas</t>
        </is>
      </c>
      <c r="D798" t="inlineStr">
        <is>
          <t>Semestral</t>
        </is>
      </c>
      <c r="E798" t="inlineStr">
        <is>
          <t>Positivo</t>
        </is>
      </c>
      <c r="F798" s="111" t="n">
        <v>45291</v>
      </c>
      <c r="G798" t="n">
        <v>2023</v>
      </c>
      <c r="H798" t="inlineStr">
        <is>
          <t>Diciembre</t>
        </is>
      </c>
      <c r="I798" t="inlineStr">
        <is>
          <t>2023-2</t>
        </is>
      </c>
      <c r="K798" t="n">
        <v>89.64500000000001</v>
      </c>
      <c r="L798" s="39" t="n"/>
      <c r="M798" s="39" t="n"/>
      <c r="N798" t="inlineStr">
        <is>
          <t>Linea Base</t>
        </is>
      </c>
      <c r="O798" t="inlineStr">
        <is>
          <t>%</t>
        </is>
      </c>
      <c r="P798" t="n">
        <v>0</v>
      </c>
      <c r="Q798" t="n">
        <v>1</v>
      </c>
      <c r="R798" t="inlineStr">
        <is>
          <t>426-2023-12-31</t>
        </is>
      </c>
    </row>
    <row r="799">
      <c r="A799" t="n">
        <v>426</v>
      </c>
      <c r="B799" t="inlineStr">
        <is>
          <t>Cumplimiento en la respuesta a solicitudes de comunicaciones internas</t>
        </is>
      </c>
      <c r="C799" t="inlineStr">
        <is>
          <t>Comunicaciones Internas</t>
        </is>
      </c>
      <c r="D799" t="inlineStr">
        <is>
          <t>Semestral</t>
        </is>
      </c>
      <c r="E799" t="inlineStr">
        <is>
          <t>Positivo</t>
        </is>
      </c>
      <c r="F799" s="111" t="n">
        <v>45657</v>
      </c>
      <c r="G799" t="n">
        <v>2024</v>
      </c>
      <c r="H799" t="inlineStr">
        <is>
          <t>Diciembre</t>
        </is>
      </c>
      <c r="I799" t="inlineStr">
        <is>
          <t>2024-2</t>
        </is>
      </c>
      <c r="J799" t="n">
        <v>80</v>
      </c>
      <c r="K799" t="n">
        <v>73.495</v>
      </c>
      <c r="L799" s="39">
        <f>IFERROR(IF(OR(J799=0,K799=""),"",IF(E799="Positivo",MIN(MAX(K799/J799,0),1.3),MIN(MAX(J799/K799,0),1.3))),"") </f>
        <v/>
      </c>
      <c r="M799" s="39">
        <f>IFERROR(IF(OR(J799=0,K799=""),"",IF(E799="Positivo",MAX(K799/J799,0),MAX(J799/K799,0))),"") </f>
        <v/>
      </c>
      <c r="N799" t="inlineStr">
        <is>
          <t>Linea Base</t>
        </is>
      </c>
      <c r="O799" t="inlineStr">
        <is>
          <t>%</t>
        </is>
      </c>
      <c r="P799" t="n">
        <v>0</v>
      </c>
      <c r="Q799" t="n">
        <v>1</v>
      </c>
      <c r="R799" t="inlineStr">
        <is>
          <t>426-2024-12-31</t>
        </is>
      </c>
    </row>
    <row r="800">
      <c r="A800" t="n">
        <v>427</v>
      </c>
      <c r="B800" t="inlineStr">
        <is>
          <t>Consumo de Agua per Cápita Semestral</t>
        </is>
      </c>
      <c r="C800" t="inlineStr">
        <is>
          <t>GESTIÓN AMBIENTAL</t>
        </is>
      </c>
      <c r="D800" t="inlineStr">
        <is>
          <t>Semestral</t>
        </is>
      </c>
      <c r="E800" t="inlineStr">
        <is>
          <t>Negativo</t>
        </is>
      </c>
      <c r="F800" s="111" t="n">
        <v>45291</v>
      </c>
      <c r="G800" t="n">
        <v>2023</v>
      </c>
      <c r="H800" t="inlineStr">
        <is>
          <t>Diciembre</t>
        </is>
      </c>
      <c r="I800" t="inlineStr">
        <is>
          <t>2023-2</t>
        </is>
      </c>
      <c r="J800" t="n">
        <v>0.2</v>
      </c>
      <c r="K800" t="n">
        <v>0.168333333333335</v>
      </c>
      <c r="L800" s="39">
        <f>IFERROR(IF(OR(J800=0,K800=""),"",IF(E800="Positivo",MIN(MAX(K800/J800,0),1.3),MIN(MAX(J800/K800,0),1.3))),"") </f>
        <v/>
      </c>
      <c r="M800" s="39">
        <f>IFERROR(IF(OR(J800=0,K800=""),"",IF(E800="Positivo",MAX(K800/J800,0),MAX(J800/K800,0))),"") </f>
        <v/>
      </c>
      <c r="N800" t="inlineStr">
        <is>
          <t>DEC</t>
        </is>
      </c>
      <c r="O800" t="inlineStr">
        <is>
          <t>DEC</t>
        </is>
      </c>
      <c r="P800" t="n">
        <v>1</v>
      </c>
      <c r="Q800" t="n">
        <v>2</v>
      </c>
      <c r="R800" t="inlineStr">
        <is>
          <t>427-2023-12-31</t>
        </is>
      </c>
    </row>
    <row r="801">
      <c r="A801" t="n">
        <v>427</v>
      </c>
      <c r="B801" t="inlineStr">
        <is>
          <t>Consumo de Agua per Cápita Semestral</t>
        </is>
      </c>
      <c r="C801" t="inlineStr">
        <is>
          <t>GESTIÓN AMBIENTAL</t>
        </is>
      </c>
      <c r="D801" t="inlineStr">
        <is>
          <t>Semestral</t>
        </is>
      </c>
      <c r="E801" t="inlineStr">
        <is>
          <t>Negativo</t>
        </is>
      </c>
      <c r="F801" s="111" t="n">
        <v>45657</v>
      </c>
      <c r="G801" t="n">
        <v>2024</v>
      </c>
      <c r="H801" t="inlineStr">
        <is>
          <t>Diciembre</t>
        </is>
      </c>
      <c r="I801" t="inlineStr">
        <is>
          <t>2024-2</t>
        </is>
      </c>
      <c r="J801" t="n">
        <v>0.2</v>
      </c>
      <c r="K801" t="n">
        <v>0.17</v>
      </c>
      <c r="L801" s="39">
        <f>IFERROR(IF(OR(J801=0,K801=""),"",IF(E801="Positivo",MIN(MAX(K801/J801,0),1.3),MIN(MAX(J801/K801,0),1.3))),"") </f>
        <v/>
      </c>
      <c r="M801" s="39">
        <f>IFERROR(IF(OR(J801=0,K801=""),"",IF(E801="Positivo",MAX(K801/J801,0),MAX(J801/K801,0))),"") </f>
        <v/>
      </c>
      <c r="N801" t="inlineStr">
        <is>
          <t>DEC</t>
        </is>
      </c>
      <c r="O801" t="inlineStr">
        <is>
          <t>DEC</t>
        </is>
      </c>
      <c r="P801" t="n">
        <v>1</v>
      </c>
      <c r="Q801" t="n">
        <v>2</v>
      </c>
      <c r="R801" t="inlineStr">
        <is>
          <t>427-2024-12-31</t>
        </is>
      </c>
    </row>
    <row r="802">
      <c r="A802" t="n">
        <v>427</v>
      </c>
      <c r="B802" t="inlineStr">
        <is>
          <t>Consumo de Agua per Cápita Semestral</t>
        </is>
      </c>
      <c r="C802" t="inlineStr">
        <is>
          <t>GESTIÓN AMBIENTAL</t>
        </is>
      </c>
      <c r="D802" t="inlineStr">
        <is>
          <t>Trimestral</t>
        </is>
      </c>
      <c r="E802" t="inlineStr">
        <is>
          <t>Negativo</t>
        </is>
      </c>
      <c r="F802" s="111" t="n">
        <v>46022</v>
      </c>
      <c r="G802" t="n">
        <v>2025</v>
      </c>
      <c r="H802" t="inlineStr">
        <is>
          <t>Diciembre</t>
        </is>
      </c>
      <c r="I802" t="inlineStr">
        <is>
          <t>2025-2</t>
        </is>
      </c>
      <c r="J802" t="n">
        <v>0.2</v>
      </c>
      <c r="K802" t="n">
        <v>0.145</v>
      </c>
      <c r="L802" s="39">
        <f>IFERROR(IF(OR(J802=0,K802=""),"",IF(E802="Positivo",MIN(MAX(K802/J802,0),1.3),MIN(MAX(J802/K802,0),1.3))),"") </f>
        <v/>
      </c>
      <c r="M802" s="39">
        <f>IFERROR(IF(OR(J802=0,K802=""),"",IF(E802="Positivo",MAX(K802/J802,0),MAX(J802/K802,0))),"") </f>
        <v/>
      </c>
      <c r="N802" t="inlineStr">
        <is>
          <t>DEC</t>
        </is>
      </c>
      <c r="O802" t="inlineStr">
        <is>
          <t>DEC</t>
        </is>
      </c>
      <c r="P802" t="n">
        <v>2</v>
      </c>
      <c r="Q802" t="n">
        <v>2</v>
      </c>
      <c r="R802" t="inlineStr">
        <is>
          <t>427-2025-12-31</t>
        </is>
      </c>
    </row>
    <row r="803">
      <c r="A803" t="n">
        <v>428</v>
      </c>
      <c r="B803" t="inlineStr">
        <is>
          <t>Consumo de Energía Eléctrica per Cápita Semestral</t>
        </is>
      </c>
      <c r="C803" t="inlineStr">
        <is>
          <t>GESTIÓN AMBIENTAL</t>
        </is>
      </c>
      <c r="D803" t="inlineStr">
        <is>
          <t>Semestral</t>
        </is>
      </c>
      <c r="E803" t="inlineStr">
        <is>
          <t>Negativo</t>
        </is>
      </c>
      <c r="F803" s="111" t="n">
        <v>45291</v>
      </c>
      <c r="G803" t="n">
        <v>2023</v>
      </c>
      <c r="H803" t="inlineStr">
        <is>
          <t>Diciembre</t>
        </is>
      </c>
      <c r="I803" t="inlineStr">
        <is>
          <t>2023-2</t>
        </is>
      </c>
      <c r="J803" t="n">
        <v>1</v>
      </c>
      <c r="K803" t="n">
        <v>18.11</v>
      </c>
      <c r="L803" s="39">
        <f>IFERROR(IF(OR(J803=0,K803=""),"",IF(E803="Positivo",MIN(MAX(K803/J803,0),1.3),MIN(MAX(J803/K803,0),1.3))),"") </f>
        <v/>
      </c>
      <c r="M803" s="39">
        <f>IFERROR(IF(OR(J803=0,K803=""),"",IF(E803="Positivo",MAX(K803/J803,0),MAX(J803/K803,0))),"") </f>
        <v/>
      </c>
      <c r="N803" t="inlineStr">
        <is>
          <t>kWh</t>
        </is>
      </c>
      <c r="O803" t="inlineStr">
        <is>
          <t>kWh</t>
        </is>
      </c>
      <c r="P803" t="n">
        <v>0</v>
      </c>
      <c r="Q803" t="n">
        <v>1</v>
      </c>
      <c r="R803" t="inlineStr">
        <is>
          <t>428-2023-12-31</t>
        </is>
      </c>
    </row>
    <row r="804">
      <c r="A804" t="n">
        <v>428</v>
      </c>
      <c r="B804" t="inlineStr">
        <is>
          <t>Consumo de Energía Eléctrica per Cápita Semestral</t>
        </is>
      </c>
      <c r="C804" t="inlineStr">
        <is>
          <t>GESTIÓN AMBIENTAL</t>
        </is>
      </c>
      <c r="D804" t="inlineStr">
        <is>
          <t>Semestral</t>
        </is>
      </c>
      <c r="E804" t="inlineStr">
        <is>
          <t>Negativo</t>
        </is>
      </c>
      <c r="F804" s="111" t="n">
        <v>45657</v>
      </c>
      <c r="G804" t="n">
        <v>2024</v>
      </c>
      <c r="H804" t="inlineStr">
        <is>
          <t>Diciembre</t>
        </is>
      </c>
      <c r="I804" t="inlineStr">
        <is>
          <t>2024-2</t>
        </is>
      </c>
      <c r="J804" t="n">
        <v>1</v>
      </c>
      <c r="K804" t="n">
        <v>17.555</v>
      </c>
      <c r="L804" s="39">
        <f>IFERROR(IF(OR(J804=0,K804=""),"",IF(E804="Positivo",MIN(MAX(K804/J804,0),1.3),MIN(MAX(J804/K804,0),1.3))),"") </f>
        <v/>
      </c>
      <c r="M804" s="39">
        <f>IFERROR(IF(OR(J804=0,K804=""),"",IF(E804="Positivo",MAX(K804/J804,0),MAX(J804/K804,0))),"") </f>
        <v/>
      </c>
      <c r="N804" t="inlineStr">
        <is>
          <t>kWh</t>
        </is>
      </c>
      <c r="O804" t="inlineStr">
        <is>
          <t>kWh</t>
        </is>
      </c>
      <c r="P804" t="n">
        <v>0</v>
      </c>
      <c r="Q804" t="n">
        <v>1</v>
      </c>
      <c r="R804" t="inlineStr">
        <is>
          <t>428-2024-12-31</t>
        </is>
      </c>
    </row>
    <row r="805">
      <c r="A805" t="n">
        <v>428</v>
      </c>
      <c r="B805" t="inlineStr">
        <is>
          <t>Consumo de Energía Eléctrica per Cápita Semestral</t>
        </is>
      </c>
      <c r="C805" t="inlineStr">
        <is>
          <t>GESTIÓN AMBIENTAL</t>
        </is>
      </c>
      <c r="D805" t="inlineStr">
        <is>
          <t>Trimestral</t>
        </is>
      </c>
      <c r="E805" t="inlineStr">
        <is>
          <t>Negativo</t>
        </is>
      </c>
      <c r="F805" s="111" t="n">
        <v>46022</v>
      </c>
      <c r="G805" t="n">
        <v>2025</v>
      </c>
      <c r="H805" t="inlineStr">
        <is>
          <t>Diciembre</t>
        </is>
      </c>
      <c r="I805" t="inlineStr">
        <is>
          <t>2025-2</t>
        </is>
      </c>
      <c r="J805" t="n">
        <v>1</v>
      </c>
      <c r="K805" t="n">
        <v>16.5</v>
      </c>
      <c r="L805" s="39">
        <f>IFERROR(IF(OR(J805=0,K805=""),"",IF(E805="Positivo",MIN(MAX(K805/J805,0),1.3),MIN(MAX(J805/K805,0),1.3))),"") </f>
        <v/>
      </c>
      <c r="M805" s="39">
        <f>IFERROR(IF(OR(J805=0,K805=""),"",IF(E805="Positivo",MAX(K805/J805,0),MAX(J805/K805,0))),"") </f>
        <v/>
      </c>
      <c r="N805" t="inlineStr">
        <is>
          <t>kWh</t>
        </is>
      </c>
      <c r="O805" t="inlineStr">
        <is>
          <t>kWh</t>
        </is>
      </c>
      <c r="P805" t="n">
        <v>0</v>
      </c>
      <c r="Q805" t="n">
        <v>1</v>
      </c>
      <c r="R805" t="inlineStr">
        <is>
          <t>428-2025-12-31</t>
        </is>
      </c>
    </row>
    <row r="806">
      <c r="A806" t="n">
        <v>429</v>
      </c>
      <c r="B806" t="inlineStr">
        <is>
          <t>Generación de Residuos Sólidos per Cápita Semestral</t>
        </is>
      </c>
      <c r="C806" t="inlineStr">
        <is>
          <t>GESTIÓN AMBIENTAL</t>
        </is>
      </c>
      <c r="D806" t="inlineStr">
        <is>
          <t>Semestral</t>
        </is>
      </c>
      <c r="E806" t="inlineStr">
        <is>
          <t>Negativo</t>
        </is>
      </c>
      <c r="F806" s="111" t="n">
        <v>45291</v>
      </c>
      <c r="G806" t="n">
        <v>2023</v>
      </c>
      <c r="H806" t="inlineStr">
        <is>
          <t>Diciembre</t>
        </is>
      </c>
      <c r="I806" t="inlineStr">
        <is>
          <t>2023-2</t>
        </is>
      </c>
      <c r="J806" t="n">
        <v>0.76</v>
      </c>
      <c r="K806" t="n">
        <v>0.53</v>
      </c>
      <c r="L806" s="39">
        <f>IFERROR(IF(OR(J806=0,K806=""),"",IF(E806="Positivo",MIN(MAX(K806/J806,0),1.3),MIN(MAX(J806/K806,0),1.3))),"") </f>
        <v/>
      </c>
      <c r="M806" s="39">
        <f>IFERROR(IF(OR(J806=0,K806=""),"",IF(E806="Positivo",MAX(K806/J806,0),MAX(J806/K806,0))),"") </f>
        <v/>
      </c>
      <c r="N806" t="inlineStr">
        <is>
          <t>DEC</t>
        </is>
      </c>
      <c r="O806" t="inlineStr">
        <is>
          <t>DEC</t>
        </is>
      </c>
      <c r="P806" t="n">
        <v>2</v>
      </c>
      <c r="Q806" t="n">
        <v>2</v>
      </c>
      <c r="R806" t="inlineStr">
        <is>
          <t>429-2023-12-31</t>
        </is>
      </c>
    </row>
    <row r="807">
      <c r="A807" t="n">
        <v>429</v>
      </c>
      <c r="B807" t="inlineStr">
        <is>
          <t>Generación de Residuos Sólidos per Cápita Semestral</t>
        </is>
      </c>
      <c r="C807" t="inlineStr">
        <is>
          <t>GESTIÓN AMBIENTAL</t>
        </is>
      </c>
      <c r="D807" t="inlineStr">
        <is>
          <t>Semestral</t>
        </is>
      </c>
      <c r="E807" t="inlineStr">
        <is>
          <t>Negativo</t>
        </is>
      </c>
      <c r="F807" s="111" t="n">
        <v>45657</v>
      </c>
      <c r="G807" t="n">
        <v>2024</v>
      </c>
      <c r="H807" t="inlineStr">
        <is>
          <t>Diciembre</t>
        </is>
      </c>
      <c r="I807" t="inlineStr">
        <is>
          <t>2024-2</t>
        </is>
      </c>
      <c r="J807" t="n">
        <v>0.76</v>
      </c>
      <c r="K807" t="n">
        <v>0.665</v>
      </c>
      <c r="L807" s="39">
        <f>IFERROR(IF(OR(J807=0,K807=""),"",IF(E807="Positivo",MIN(MAX(K807/J807,0),1.3),MIN(MAX(J807/K807,0),1.3))),"") </f>
        <v/>
      </c>
      <c r="M807" s="39">
        <f>IFERROR(IF(OR(J807=0,K807=""),"",IF(E807="Positivo",MAX(K807/J807,0),MAX(J807/K807,0))),"") </f>
        <v/>
      </c>
      <c r="N807" t="inlineStr">
        <is>
          <t>DEC</t>
        </is>
      </c>
      <c r="O807" t="inlineStr">
        <is>
          <t>DEC</t>
        </is>
      </c>
      <c r="P807" t="n">
        <v>2</v>
      </c>
      <c r="Q807" t="n">
        <v>2</v>
      </c>
      <c r="R807" t="inlineStr">
        <is>
          <t>429-2024-12-31</t>
        </is>
      </c>
    </row>
    <row r="808">
      <c r="A808" t="n">
        <v>429</v>
      </c>
      <c r="B808" t="inlineStr">
        <is>
          <t>Generación de Residuos Sólidos per Cápita Semestral</t>
        </is>
      </c>
      <c r="C808" t="inlineStr">
        <is>
          <t>GESTIÓN AMBIENTAL</t>
        </is>
      </c>
      <c r="D808" t="inlineStr">
        <is>
          <t>Trimestral</t>
        </is>
      </c>
      <c r="E808" t="inlineStr">
        <is>
          <t>Negativo</t>
        </is>
      </c>
      <c r="F808" s="111" t="n">
        <v>46022</v>
      </c>
      <c r="G808" t="n">
        <v>2025</v>
      </c>
      <c r="H808" t="inlineStr">
        <is>
          <t>Diciembre</t>
        </is>
      </c>
      <c r="I808" t="inlineStr">
        <is>
          <t>2025-2</t>
        </is>
      </c>
      <c r="J808" t="n">
        <v>0.76</v>
      </c>
      <c r="K808" t="n">
        <v>0.5549999999999999</v>
      </c>
      <c r="L808" s="39">
        <f>IFERROR(IF(OR(J808=0,K808=""),"",IF(E808="Positivo",MIN(MAX(K808/J808,0),1.3),MIN(MAX(J808/K808,0),1.3))),"") </f>
        <v/>
      </c>
      <c r="M808" s="39">
        <f>IFERROR(IF(OR(J808=0,K808=""),"",IF(E808="Positivo",MAX(K808/J808,0),MAX(J808/K808,0))),"") </f>
        <v/>
      </c>
      <c r="N808" t="inlineStr">
        <is>
          <t>DEC</t>
        </is>
      </c>
      <c r="O808" t="inlineStr">
        <is>
          <t>DEC</t>
        </is>
      </c>
      <c r="P808" t="n">
        <v>2</v>
      </c>
      <c r="Q808" t="n">
        <v>2</v>
      </c>
      <c r="R808" t="inlineStr">
        <is>
          <t>429-2025-12-31</t>
        </is>
      </c>
    </row>
    <row r="809">
      <c r="A809" t="n">
        <v>430</v>
      </c>
      <c r="B809" t="inlineStr">
        <is>
          <t>Cumplimiento ingresos por matriculas</t>
        </is>
      </c>
      <c r="C809" t="inlineStr">
        <is>
          <t>Planeación Financiera</t>
        </is>
      </c>
      <c r="D809" t="inlineStr">
        <is>
          <t>Semestral</t>
        </is>
      </c>
      <c r="E809" t="inlineStr">
        <is>
          <t>Positivo</t>
        </is>
      </c>
      <c r="F809" s="111" t="n">
        <v>45291</v>
      </c>
      <c r="G809" t="n">
        <v>2023</v>
      </c>
      <c r="H809" t="inlineStr">
        <is>
          <t>Diciembre</t>
        </is>
      </c>
      <c r="I809" t="inlineStr">
        <is>
          <t>2023-2</t>
        </is>
      </c>
      <c r="J809" t="n">
        <v>95</v>
      </c>
      <c r="K809" t="n">
        <v>101.39526345983</v>
      </c>
      <c r="L809" s="39">
        <f>IFERROR(IF(OR(J809=0,K809=""),"",IF(E809="Positivo",MIN(MAX(K809/J809,0),1.3),MIN(MAX(J809/K809,0),1.3))),"") </f>
        <v/>
      </c>
      <c r="M809" s="39">
        <f>IFERROR(IF(OR(J809=0,K809=""),"",IF(E809="Positivo",MAX(K809/J809,0),MAX(J809/K809,0))),"") </f>
        <v/>
      </c>
      <c r="N809" t="inlineStr">
        <is>
          <t>%</t>
        </is>
      </c>
      <c r="O809" t="inlineStr">
        <is>
          <t>%</t>
        </is>
      </c>
      <c r="P809" t="n">
        <v>0</v>
      </c>
      <c r="Q809" t="n">
        <v>0</v>
      </c>
      <c r="R809" t="inlineStr">
        <is>
          <t>430-2023-12-31</t>
        </is>
      </c>
    </row>
    <row r="810">
      <c r="A810" t="n">
        <v>430</v>
      </c>
      <c r="B810" t="inlineStr">
        <is>
          <t>Cumplimiento ingresos por matriculas</t>
        </is>
      </c>
      <c r="C810" t="inlineStr">
        <is>
          <t>Planeación Financiera</t>
        </is>
      </c>
      <c r="D810" t="inlineStr">
        <is>
          <t>Semestral</t>
        </is>
      </c>
      <c r="E810" t="inlineStr">
        <is>
          <t>Positivo</t>
        </is>
      </c>
      <c r="F810" s="111" t="n">
        <v>45657</v>
      </c>
      <c r="G810" t="n">
        <v>2024</v>
      </c>
      <c r="H810" t="inlineStr">
        <is>
          <t>Diciembre</t>
        </is>
      </c>
      <c r="I810" t="inlineStr">
        <is>
          <t>2024-2</t>
        </is>
      </c>
      <c r="J810" t="n">
        <v>95</v>
      </c>
      <c r="K810" t="n">
        <v>102.9374919710379</v>
      </c>
      <c r="L810" s="39">
        <f>IFERROR(IF(OR(J810=0,K810=""),"",IF(E810="Positivo",MIN(MAX(K810/J810,0),1.3),MIN(MAX(J810/K810,0),1.3))),"") </f>
        <v/>
      </c>
      <c r="M810" s="39">
        <f>IFERROR(IF(OR(J810=0,K810=""),"",IF(E810="Positivo",MAX(K810/J810,0),MAX(J810/K810,0))),"") </f>
        <v/>
      </c>
      <c r="N810" t="inlineStr">
        <is>
          <t>%</t>
        </is>
      </c>
      <c r="O810" t="inlineStr">
        <is>
          <t>%</t>
        </is>
      </c>
      <c r="P810" t="n">
        <v>0</v>
      </c>
      <c r="Q810" t="n">
        <v>0</v>
      </c>
      <c r="R810" t="inlineStr">
        <is>
          <t>430-2024-12-31</t>
        </is>
      </c>
    </row>
    <row r="811">
      <c r="A811" t="n">
        <v>430</v>
      </c>
      <c r="B811" t="inlineStr">
        <is>
          <t>Cumplimiento ingresos por matriculas</t>
        </is>
      </c>
      <c r="C811" t="inlineStr">
        <is>
          <t>Planeación Financiera</t>
        </is>
      </c>
      <c r="D811" t="inlineStr">
        <is>
          <t>Semestral</t>
        </is>
      </c>
      <c r="E811" t="inlineStr">
        <is>
          <t>Positivo</t>
        </is>
      </c>
      <c r="F811" s="111" t="n">
        <v>46022</v>
      </c>
      <c r="G811" t="n">
        <v>2025</v>
      </c>
      <c r="H811" t="inlineStr">
        <is>
          <t>Diciembre</t>
        </is>
      </c>
      <c r="I811" t="inlineStr">
        <is>
          <t>2025-2</t>
        </is>
      </c>
      <c r="J811" t="n">
        <v>95</v>
      </c>
      <c r="K811" t="n">
        <v>111.76</v>
      </c>
      <c r="L811" s="39">
        <f>IFERROR(IF(OR(J811=0,K811=""),"",IF(E811="Positivo",MIN(MAX(K811/J811,0),1.3),MIN(MAX(J811/K811,0),1.3))),"") </f>
        <v/>
      </c>
      <c r="M811" s="39">
        <f>IFERROR(IF(OR(J811=0,K811=""),"",IF(E811="Positivo",MAX(K811/J811,0),MAX(J811/K811,0))),"") </f>
        <v/>
      </c>
      <c r="N811" t="inlineStr">
        <is>
          <t>%</t>
        </is>
      </c>
      <c r="O811" t="inlineStr">
        <is>
          <t>%</t>
        </is>
      </c>
      <c r="P811" t="n">
        <v>0</v>
      </c>
      <c r="Q811" t="n">
        <v>0</v>
      </c>
      <c r="R811" t="inlineStr">
        <is>
          <t>430-2025-12-31</t>
        </is>
      </c>
    </row>
    <row r="812">
      <c r="A812" t="n">
        <v>431</v>
      </c>
      <c r="B812" t="inlineStr">
        <is>
          <t>Gestión de casos de salud que impactan a los colaboradores</t>
        </is>
      </c>
      <c r="C812" t="inlineStr">
        <is>
          <t>GESTIÓN DE SEGURIDAD Y SALUD EN EL TRABAJO</t>
        </is>
      </c>
      <c r="D812" t="inlineStr">
        <is>
          <t>Trimestral</t>
        </is>
      </c>
      <c r="E812" t="inlineStr">
        <is>
          <t>Positivo</t>
        </is>
      </c>
      <c r="F812" s="111" t="n">
        <v>45291</v>
      </c>
      <c r="G812" t="n">
        <v>2023</v>
      </c>
      <c r="H812" t="inlineStr">
        <is>
          <t>Diciembre</t>
        </is>
      </c>
      <c r="I812" t="inlineStr">
        <is>
          <t>2023-2</t>
        </is>
      </c>
      <c r="J812" t="n">
        <v>100</v>
      </c>
      <c r="K812" t="n">
        <v>100</v>
      </c>
      <c r="L812" s="39">
        <f>IFERROR(IF(OR(J812=0,K812=""),"",IF(E812="Positivo",MIN(MAX(K812/J812,0),1.3),MIN(MAX(J812/K812,0),1.3))),"") </f>
        <v/>
      </c>
      <c r="M812" s="39">
        <f>IFERROR(IF(OR(J812=0,K812=""),"",IF(E812="Positivo",MAX(K812/J812,0),MAX(J812/K812,0))),"") </f>
        <v/>
      </c>
      <c r="N812" t="inlineStr">
        <is>
          <t>%</t>
        </is>
      </c>
      <c r="O812" t="inlineStr">
        <is>
          <t>%</t>
        </is>
      </c>
      <c r="P812" t="n">
        <v>0</v>
      </c>
      <c r="Q812" t="n">
        <v>0</v>
      </c>
      <c r="R812" t="inlineStr">
        <is>
          <t>431-2023-12-31</t>
        </is>
      </c>
    </row>
    <row r="813">
      <c r="A813" t="n">
        <v>431</v>
      </c>
      <c r="B813" t="inlineStr">
        <is>
          <t>Gestión de casos de salud que impactan a los colaboradores</t>
        </is>
      </c>
      <c r="C813" t="inlineStr">
        <is>
          <t>GESTIÓN DE SEGURIDAD Y SALUD EN EL TRABAJO</t>
        </is>
      </c>
      <c r="D813" t="inlineStr">
        <is>
          <t>Trimestral</t>
        </is>
      </c>
      <c r="E813" t="inlineStr">
        <is>
          <t>Positivo</t>
        </is>
      </c>
      <c r="F813" s="111" t="n">
        <v>45657</v>
      </c>
      <c r="G813" t="n">
        <v>2024</v>
      </c>
      <c r="H813" t="inlineStr">
        <is>
          <t>Diciembre</t>
        </is>
      </c>
      <c r="I813" t="inlineStr">
        <is>
          <t>2024-2</t>
        </is>
      </c>
      <c r="J813" t="n">
        <v>100</v>
      </c>
      <c r="K813" t="n">
        <v>100</v>
      </c>
      <c r="L813" s="39">
        <f>IFERROR(IF(OR(J813=0,K813=""),"",IF(E813="Positivo",MIN(MAX(K813/J813,0),1.3),MIN(MAX(J813/K813,0),1.3))),"") </f>
        <v/>
      </c>
      <c r="M813" s="39">
        <f>IFERROR(IF(OR(J813=0,K813=""),"",IF(E813="Positivo",MAX(K813/J813,0),MAX(J813/K813,0))),"") </f>
        <v/>
      </c>
      <c r="N813" t="inlineStr">
        <is>
          <t>%</t>
        </is>
      </c>
      <c r="O813" t="inlineStr">
        <is>
          <t>%</t>
        </is>
      </c>
      <c r="P813" t="n">
        <v>0</v>
      </c>
      <c r="Q813" t="n">
        <v>0</v>
      </c>
      <c r="R813" t="inlineStr">
        <is>
          <t>431-2024-12-31</t>
        </is>
      </c>
    </row>
    <row r="814">
      <c r="A814" t="n">
        <v>431</v>
      </c>
      <c r="B814" t="inlineStr">
        <is>
          <t>Gestión de casos de salud que impactan a los colaboradores</t>
        </is>
      </c>
      <c r="C814" t="inlineStr">
        <is>
          <t>GESTIÓN DE SEGURIDAD Y SALUD EN EL TRABAJO</t>
        </is>
      </c>
      <c r="D814" t="inlineStr">
        <is>
          <t>Semestral</t>
        </is>
      </c>
      <c r="E814" t="inlineStr">
        <is>
          <t>Positivo</t>
        </is>
      </c>
      <c r="F814" s="111" t="n">
        <v>46022</v>
      </c>
      <c r="G814" t="n">
        <v>2025</v>
      </c>
      <c r="H814" t="inlineStr">
        <is>
          <t>Diciembre</t>
        </is>
      </c>
      <c r="I814" t="inlineStr">
        <is>
          <t>2025-2</t>
        </is>
      </c>
      <c r="J814" t="n">
        <v>100</v>
      </c>
      <c r="K814" t="n">
        <v>100</v>
      </c>
      <c r="L814" s="39">
        <f>IFERROR(IF(OR(J814=0,K814=""),"",IF(E814="Positivo",MIN(MAX(K814/J814,0),1.3),MIN(MAX(J814/K814,0),1.3))),"") </f>
        <v/>
      </c>
      <c r="M814" s="39">
        <f>IFERROR(IF(OR(J814=0,K814=""),"",IF(E814="Positivo",MAX(K814/J814,0),MAX(J814/K814,0))),"") </f>
        <v/>
      </c>
      <c r="N814" t="inlineStr">
        <is>
          <t>%</t>
        </is>
      </c>
      <c r="O814" t="inlineStr">
        <is>
          <t>%</t>
        </is>
      </c>
      <c r="P814" t="n">
        <v>0</v>
      </c>
      <c r="Q814" t="n">
        <v>0</v>
      </c>
      <c r="R814" t="inlineStr">
        <is>
          <t>431-2025-12-31</t>
        </is>
      </c>
    </row>
    <row r="815">
      <c r="A815" t="n">
        <v>432</v>
      </c>
      <c r="B815" t="inlineStr">
        <is>
          <t>Intervención a la gestión del riesgo de los colaboradores</t>
        </is>
      </c>
      <c r="C815" t="inlineStr">
        <is>
          <t>GESTIÓN DE SEGURIDAD Y SALUD EN EL TRABAJO</t>
        </is>
      </c>
      <c r="D815" t="inlineStr">
        <is>
          <t>Trimestral</t>
        </is>
      </c>
      <c r="E815" t="inlineStr">
        <is>
          <t>Positivo</t>
        </is>
      </c>
      <c r="F815" s="111" t="n">
        <v>45291</v>
      </c>
      <c r="G815" t="n">
        <v>2023</v>
      </c>
      <c r="H815" t="inlineStr">
        <is>
          <t>Diciembre</t>
        </is>
      </c>
      <c r="I815" t="inlineStr">
        <is>
          <t>2023-2</t>
        </is>
      </c>
      <c r="J815" t="n">
        <v>90</v>
      </c>
      <c r="K815" t="n">
        <v>99.382777777778</v>
      </c>
      <c r="L815" s="39">
        <f>IFERROR(IF(OR(J815=0,K815=""),"",IF(E815="Positivo",MIN(MAX(K815/J815,0),1.3),MIN(MAX(J815/K815,0),1.3))),"") </f>
        <v/>
      </c>
      <c r="M815" s="39">
        <f>IFERROR(IF(OR(J815=0,K815=""),"",IF(E815="Positivo",MAX(K815/J815,0),MAX(J815/K815,0))),"") </f>
        <v/>
      </c>
      <c r="N815" t="inlineStr">
        <is>
          <t>%</t>
        </is>
      </c>
      <c r="O815" t="inlineStr">
        <is>
          <t>%</t>
        </is>
      </c>
      <c r="P815" t="n">
        <v>0</v>
      </c>
      <c r="Q815" t="n">
        <v>1</v>
      </c>
      <c r="R815" t="inlineStr">
        <is>
          <t>432-2023-12-31</t>
        </is>
      </c>
    </row>
    <row r="816">
      <c r="A816" t="n">
        <v>432</v>
      </c>
      <c r="B816" t="inlineStr">
        <is>
          <t>Intervención a la gestión del riesgo de los colaboradores</t>
        </is>
      </c>
      <c r="C816" t="inlineStr">
        <is>
          <t>GESTIÓN DE SEGURIDAD Y SALUD EN EL TRABAJO</t>
        </is>
      </c>
      <c r="D816" t="inlineStr">
        <is>
          <t>Trimestral</t>
        </is>
      </c>
      <c r="E816" t="inlineStr">
        <is>
          <t>Positivo</t>
        </is>
      </c>
      <c r="F816" s="111" t="n">
        <v>45657</v>
      </c>
      <c r="G816" t="n">
        <v>2024</v>
      </c>
      <c r="H816" t="inlineStr">
        <is>
          <t>Diciembre</t>
        </is>
      </c>
      <c r="I816" t="inlineStr">
        <is>
          <t>2024-2</t>
        </is>
      </c>
      <c r="J816" t="n">
        <v>90</v>
      </c>
      <c r="K816" t="n">
        <v>75</v>
      </c>
      <c r="L816" s="39">
        <f>IFERROR(IF(OR(J816=0,K816=""),"",IF(E816="Positivo",MIN(MAX(K816/J816,0),1.3),MIN(MAX(J816/K816,0),1.3))),"") </f>
        <v/>
      </c>
      <c r="M816" s="39">
        <f>IFERROR(IF(OR(J816=0,K816=""),"",IF(E816="Positivo",MAX(K816/J816,0),MAX(J816/K816,0))),"") </f>
        <v/>
      </c>
      <c r="N816" t="inlineStr">
        <is>
          <t>%</t>
        </is>
      </c>
      <c r="O816" t="inlineStr">
        <is>
          <t>%</t>
        </is>
      </c>
      <c r="P816" t="n">
        <v>0</v>
      </c>
      <c r="Q816" t="n">
        <v>0</v>
      </c>
      <c r="R816" t="inlineStr">
        <is>
          <t>432-2024-12-31</t>
        </is>
      </c>
    </row>
    <row r="817">
      <c r="A817" t="n">
        <v>432</v>
      </c>
      <c r="B817" t="inlineStr">
        <is>
          <t>Intervención a la gestión del riesgo de los colaboradores</t>
        </is>
      </c>
      <c r="C817" t="inlineStr">
        <is>
          <t>GESTIÓN DE SEGURIDAD Y SALUD EN EL TRABAJO</t>
        </is>
      </c>
      <c r="D817" t="inlineStr">
        <is>
          <t>Semestral</t>
        </is>
      </c>
      <c r="E817" t="inlineStr">
        <is>
          <t>Positivo</t>
        </is>
      </c>
      <c r="F817" s="111" t="n">
        <v>46022</v>
      </c>
      <c r="G817" t="n">
        <v>2025</v>
      </c>
      <c r="H817" t="inlineStr">
        <is>
          <t>Diciembre</t>
        </is>
      </c>
      <c r="I817" t="inlineStr">
        <is>
          <t>2025-2</t>
        </is>
      </c>
      <c r="J817" t="n">
        <v>90</v>
      </c>
      <c r="K817" t="n">
        <v>100</v>
      </c>
      <c r="L817" s="39">
        <f>IFERROR(IF(OR(J817=0,K817=""),"",IF(E817="Positivo",MIN(MAX(K817/J817,0),1.3),MIN(MAX(J817/K817,0),1.3))),"") </f>
        <v/>
      </c>
      <c r="M817" s="39">
        <f>IFERROR(IF(OR(J817=0,K817=""),"",IF(E817="Positivo",MAX(K817/J817,0),MAX(J817/K817,0))),"") </f>
        <v/>
      </c>
      <c r="N817" t="inlineStr">
        <is>
          <t>%</t>
        </is>
      </c>
      <c r="O817" t="inlineStr">
        <is>
          <t>%</t>
        </is>
      </c>
      <c r="P817" t="n">
        <v>0</v>
      </c>
      <c r="Q817" t="n">
        <v>0</v>
      </c>
      <c r="R817" t="inlineStr">
        <is>
          <t>432-2025-12-31</t>
        </is>
      </c>
    </row>
    <row r="818">
      <c r="A818" t="n">
        <v>433</v>
      </c>
      <c r="B818" t="inlineStr">
        <is>
          <t>Generación de Residuos Peligrosos per Cápita Semestral</t>
        </is>
      </c>
      <c r="C818" t="inlineStr">
        <is>
          <t>GESTIÓN AMBIENTAL</t>
        </is>
      </c>
      <c r="D818" t="inlineStr">
        <is>
          <t>Semestral</t>
        </is>
      </c>
      <c r="E818" t="inlineStr">
        <is>
          <t>Negativo</t>
        </is>
      </c>
      <c r="F818" s="111" t="n">
        <v>45291</v>
      </c>
      <c r="G818" t="n">
        <v>2023</v>
      </c>
      <c r="H818" t="inlineStr">
        <is>
          <t>Diciembre</t>
        </is>
      </c>
      <c r="I818" t="inlineStr">
        <is>
          <t>2023-2</t>
        </is>
      </c>
      <c r="J818" t="n">
        <v>0.05</v>
      </c>
      <c r="K818" t="n">
        <v>0.035</v>
      </c>
      <c r="L818" s="39">
        <f>IFERROR(IF(OR(J818=0,K818=""),"",IF(E818="Positivo",MIN(MAX(K818/J818,0),1.3),MIN(MAX(J818/K818,0),1.3))),"") </f>
        <v/>
      </c>
      <c r="M818" s="39">
        <f>IFERROR(IF(OR(J818=0,K818=""),"",IF(E818="Positivo",MAX(K818/J818,0),MAX(J818/K818,0))),"") </f>
        <v/>
      </c>
      <c r="N818" t="inlineStr">
        <is>
          <t>DEC</t>
        </is>
      </c>
      <c r="O818" t="inlineStr">
        <is>
          <t>DEC</t>
        </is>
      </c>
      <c r="P818" t="n">
        <v>2</v>
      </c>
      <c r="Q818" t="n">
        <v>2</v>
      </c>
      <c r="R818" t="inlineStr">
        <is>
          <t>433-2023-12-31</t>
        </is>
      </c>
    </row>
    <row r="819">
      <c r="A819" t="n">
        <v>433</v>
      </c>
      <c r="B819" t="inlineStr">
        <is>
          <t>Generación de Residuos Peligrosos per Cápita Semestral</t>
        </is>
      </c>
      <c r="C819" t="inlineStr">
        <is>
          <t>GESTIÓN AMBIENTAL</t>
        </is>
      </c>
      <c r="D819" t="inlineStr">
        <is>
          <t>Semestral</t>
        </is>
      </c>
      <c r="E819" t="inlineStr">
        <is>
          <t>Negativo</t>
        </is>
      </c>
      <c r="F819" s="111" t="n">
        <v>45657</v>
      </c>
      <c r="G819" t="n">
        <v>2024</v>
      </c>
      <c r="H819" t="inlineStr">
        <is>
          <t>Diciembre</t>
        </is>
      </c>
      <c r="I819" t="inlineStr">
        <is>
          <t>2024-2</t>
        </is>
      </c>
      <c r="J819" t="n">
        <v>0.05</v>
      </c>
      <c r="K819" t="n">
        <v>0.105</v>
      </c>
      <c r="L819" s="39">
        <f>IFERROR(IF(OR(J819=0,K819=""),"",IF(E819="Positivo",MIN(MAX(K819/J819,0),1.3),MIN(MAX(J819/K819,0),1.3))),"") </f>
        <v/>
      </c>
      <c r="M819" s="39">
        <f>IFERROR(IF(OR(J819=0,K819=""),"",IF(E819="Positivo",MAX(K819/J819,0),MAX(J819/K819,0))),"") </f>
        <v/>
      </c>
      <c r="N819" t="inlineStr">
        <is>
          <t>DEC</t>
        </is>
      </c>
      <c r="O819" t="inlineStr">
        <is>
          <t>DEC</t>
        </is>
      </c>
      <c r="P819" t="n">
        <v>2</v>
      </c>
      <c r="Q819" t="n">
        <v>2</v>
      </c>
      <c r="R819" t="inlineStr">
        <is>
          <t>433-2024-12-31</t>
        </is>
      </c>
    </row>
    <row r="820">
      <c r="A820" t="n">
        <v>433</v>
      </c>
      <c r="B820" t="inlineStr">
        <is>
          <t>Generación de Residuos Peligrosos per Cápita Semestral</t>
        </is>
      </c>
      <c r="C820" t="inlineStr">
        <is>
          <t>GESTIÓN AMBIENTAL</t>
        </is>
      </c>
      <c r="D820" t="inlineStr">
        <is>
          <t>Trimestral</t>
        </is>
      </c>
      <c r="E820" t="inlineStr">
        <is>
          <t>Negativo</t>
        </is>
      </c>
      <c r="F820" s="111" t="n">
        <v>46022</v>
      </c>
      <c r="G820" t="n">
        <v>2025</v>
      </c>
      <c r="H820" t="inlineStr">
        <is>
          <t>Diciembre</t>
        </is>
      </c>
      <c r="I820" t="inlineStr">
        <is>
          <t>2025-2</t>
        </is>
      </c>
      <c r="J820" t="n">
        <v>0.05</v>
      </c>
      <c r="K820" t="n">
        <v>0.095</v>
      </c>
      <c r="L820" s="39">
        <f>IFERROR(IF(OR(J820=0,K820=""),"",IF(E820="Positivo",MIN(MAX(K820/J820,0),1.3),MIN(MAX(J820/K820,0),1.3))),"") </f>
        <v/>
      </c>
      <c r="M820" s="39">
        <f>IFERROR(IF(OR(J820=0,K820=""),"",IF(E820="Positivo",MAX(K820/J820,0),MAX(J820/K820,0))),"") </f>
        <v/>
      </c>
      <c r="N820" t="inlineStr">
        <is>
          <t>DEC</t>
        </is>
      </c>
      <c r="O820" t="inlineStr">
        <is>
          <t>DEC</t>
        </is>
      </c>
      <c r="P820" t="n">
        <v>2</v>
      </c>
      <c r="Q820" t="n">
        <v>2</v>
      </c>
      <c r="R820" t="inlineStr">
        <is>
          <t>433-2025-12-31</t>
        </is>
      </c>
    </row>
    <row r="821">
      <c r="A821" t="n">
        <v>434</v>
      </c>
      <c r="B821" t="inlineStr">
        <is>
          <t>Generación de Residuos Peligroso Mensual</t>
        </is>
      </c>
      <c r="C821" t="inlineStr">
        <is>
          <t>GESTIÓN AMBIENTAL</t>
        </is>
      </c>
      <c r="D821" t="inlineStr">
        <is>
          <t>Mensual</t>
        </is>
      </c>
      <c r="E821" t="inlineStr">
        <is>
          <t>Negativo</t>
        </is>
      </c>
      <c r="F821" s="111" t="n">
        <v>45291</v>
      </c>
      <c r="G821" t="n">
        <v>2023</v>
      </c>
      <c r="H821" t="inlineStr">
        <is>
          <t>Diciembre</t>
        </is>
      </c>
      <c r="I821" t="inlineStr">
        <is>
          <t>2023-2</t>
        </is>
      </c>
      <c r="J821" t="n">
        <v>2400</v>
      </c>
      <c r="K821" t="n">
        <v>2294.13</v>
      </c>
      <c r="L821" s="39">
        <f>IFERROR(IF(OR(J821=0,K821=""),"",IF(E821="Positivo",MIN(MAX(K821/J821,0),1.3),MIN(MAX(J821/K821,0),1.3))),"") </f>
        <v/>
      </c>
      <c r="M821" s="39">
        <f>IFERROR(IF(OR(J821=0,K821=""),"",IF(E821="Positivo",MAX(K821/J821,0),MAX(J821/K821,0))),"") </f>
        <v/>
      </c>
      <c r="N821" t="inlineStr">
        <is>
          <t>Linea Base</t>
        </is>
      </c>
      <c r="O821" t="inlineStr">
        <is>
          <t>Kg</t>
        </is>
      </c>
      <c r="P821" t="n">
        <v>0</v>
      </c>
      <c r="Q821" t="n">
        <v>0</v>
      </c>
      <c r="R821" t="inlineStr">
        <is>
          <t>434-2023-12-31</t>
        </is>
      </c>
    </row>
    <row r="822">
      <c r="A822" t="n">
        <v>434</v>
      </c>
      <c r="B822" t="inlineStr">
        <is>
          <t>Generación de Residuos Peligrosos Mensual</t>
        </is>
      </c>
      <c r="C822" t="inlineStr">
        <is>
          <t>GESTIÓN AMBIENTAL</t>
        </is>
      </c>
      <c r="D822" t="inlineStr">
        <is>
          <t>Mensual</t>
        </is>
      </c>
      <c r="E822" t="inlineStr">
        <is>
          <t>Negativo</t>
        </is>
      </c>
      <c r="F822" s="111" t="n">
        <v>45657</v>
      </c>
      <c r="G822" t="n">
        <v>2024</v>
      </c>
      <c r="H822" t="inlineStr">
        <is>
          <t>Diciembre</t>
        </is>
      </c>
      <c r="I822" t="inlineStr">
        <is>
          <t>2024-2</t>
        </is>
      </c>
      <c r="J822" t="n">
        <v>2400</v>
      </c>
      <c r="K822" t="n">
        <v>5427.24</v>
      </c>
      <c r="L822" s="39">
        <f>IFERROR(IF(OR(J822=0,K822=""),"",IF(E822="Positivo",MIN(MAX(K822/J822,0),1.3),MIN(MAX(J822/K822,0),1.3))),"") </f>
        <v/>
      </c>
      <c r="M822" s="39">
        <f>IFERROR(IF(OR(J822=0,K822=""),"",IF(E822="Positivo",MAX(K822/J822,0),MAX(J822/K822,0))),"") </f>
        <v/>
      </c>
      <c r="N822" t="inlineStr">
        <is>
          <t>Kg</t>
        </is>
      </c>
      <c r="O822" t="inlineStr">
        <is>
          <t>Kg</t>
        </is>
      </c>
      <c r="P822" t="n">
        <v>0</v>
      </c>
      <c r="Q822" t="n">
        <v>0</v>
      </c>
      <c r="R822" t="inlineStr">
        <is>
          <t>434-2024-12-31</t>
        </is>
      </c>
    </row>
    <row r="823">
      <c r="A823" t="n">
        <v>434</v>
      </c>
      <c r="B823" t="inlineStr">
        <is>
          <t>Generación de Residuos Peligrosos Mensual</t>
        </is>
      </c>
      <c r="C823" t="inlineStr">
        <is>
          <t>GESTIÓN AMBIENTAL</t>
        </is>
      </c>
      <c r="D823" t="inlineStr">
        <is>
          <t>Mensual</t>
        </is>
      </c>
      <c r="E823" t="inlineStr">
        <is>
          <t>Negativo</t>
        </is>
      </c>
      <c r="F823" s="111" t="n">
        <v>46022</v>
      </c>
      <c r="G823" t="n">
        <v>2025</v>
      </c>
      <c r="H823" t="inlineStr">
        <is>
          <t>Diciembre</t>
        </is>
      </c>
      <c r="I823" t="inlineStr">
        <is>
          <t>2025-2</t>
        </is>
      </c>
      <c r="J823" t="n">
        <v>2400</v>
      </c>
      <c r="K823" t="n">
        <v>7783.559999999999</v>
      </c>
      <c r="L823" s="39">
        <f>IFERROR(IF(OR(J823=0,K823=""),"",IF(E823="Positivo",MIN(MAX(K823/J823,0),1.3),MIN(MAX(J823/K823,0),1.3))),"") </f>
        <v/>
      </c>
      <c r="M823" s="39">
        <f>IFERROR(IF(OR(J823=0,K823=""),"",IF(E823="Positivo",MAX(K823/J823,0),MAX(J823/K823,0))),"") </f>
        <v/>
      </c>
      <c r="N823" t="inlineStr">
        <is>
          <t>Kg</t>
        </is>
      </c>
      <c r="O823" t="inlineStr">
        <is>
          <t>Kg</t>
        </is>
      </c>
      <c r="P823" t="n">
        <v>0</v>
      </c>
      <c r="Q823" t="n">
        <v>0</v>
      </c>
      <c r="R823" t="inlineStr">
        <is>
          <t>434-2025-12-31</t>
        </is>
      </c>
    </row>
    <row r="824">
      <c r="A824" t="n">
        <v>435</v>
      </c>
      <c r="B824" t="inlineStr">
        <is>
          <t>Disminución de la Generación de Residuos Peligrosos per Cápita</t>
        </is>
      </c>
      <c r="C824" t="inlineStr">
        <is>
          <t>GESTIÓN AMBIENTAL</t>
        </is>
      </c>
      <c r="D824" t="inlineStr">
        <is>
          <t>Semestral</t>
        </is>
      </c>
      <c r="E824" t="inlineStr">
        <is>
          <t>Positivo</t>
        </is>
      </c>
      <c r="F824" s="111" t="n">
        <v>45291</v>
      </c>
      <c r="G824" t="n">
        <v>2023</v>
      </c>
      <c r="H824" t="inlineStr">
        <is>
          <t>Diciembre</t>
        </is>
      </c>
      <c r="I824" t="inlineStr">
        <is>
          <t>2023-2</t>
        </is>
      </c>
      <c r="J824" t="n">
        <v>100</v>
      </c>
      <c r="K824" t="n">
        <v>-111.57</v>
      </c>
      <c r="L824" s="39">
        <f>IFERROR(IF(OR(J824=0,K824=""),"",IF(E824="Positivo",MIN(MAX(K824/J824,0),1.3),MIN(MAX(J824/K824,0),1.3))),"") </f>
        <v/>
      </c>
      <c r="M824" s="39">
        <f>IFERROR(IF(OR(J824=0,K824=""),"",IF(E824="Positivo",MAX(K824/J824,0),MAX(J824/K824,0))),"") </f>
        <v/>
      </c>
      <c r="N824" t="inlineStr">
        <is>
          <t>%</t>
        </is>
      </c>
      <c r="O824" t="inlineStr">
        <is>
          <t>%</t>
        </is>
      </c>
      <c r="P824" t="n">
        <v>2</v>
      </c>
      <c r="Q824" t="n">
        <v>2</v>
      </c>
      <c r="R824" t="inlineStr">
        <is>
          <t>435-2023-12-31</t>
        </is>
      </c>
    </row>
    <row r="825">
      <c r="A825" t="n">
        <v>435</v>
      </c>
      <c r="B825" t="inlineStr">
        <is>
          <t>Disminución de la Generación de Residuos Peligrosos per Cápita</t>
        </is>
      </c>
      <c r="C825" t="inlineStr">
        <is>
          <t>GESTIÓN AMBIENTAL</t>
        </is>
      </c>
      <c r="D825" t="inlineStr">
        <is>
          <t>Semestral</t>
        </is>
      </c>
      <c r="E825" t="inlineStr">
        <is>
          <t>Positivo</t>
        </is>
      </c>
      <c r="F825" s="111" t="n">
        <v>45657</v>
      </c>
      <c r="G825" t="n">
        <v>2024</v>
      </c>
      <c r="H825" t="inlineStr">
        <is>
          <t>Diciembre</t>
        </is>
      </c>
      <c r="I825" t="inlineStr">
        <is>
          <t>2024-2</t>
        </is>
      </c>
      <c r="J825" t="n">
        <v>100</v>
      </c>
      <c r="K825" t="n">
        <v>25.21</v>
      </c>
      <c r="L825" s="39">
        <f>IFERROR(IF(OR(J825=0,K825=""),"",IF(E825="Positivo",MIN(MAX(K825/J825,0),1.3),MIN(MAX(J825/K825,0),1.3))),"") </f>
        <v/>
      </c>
      <c r="M825" s="39">
        <f>IFERROR(IF(OR(J825=0,K825=""),"",IF(E825="Positivo",MAX(K825/J825,0),MAX(J825/K825,0))),"") </f>
        <v/>
      </c>
      <c r="N825" t="inlineStr">
        <is>
          <t>%</t>
        </is>
      </c>
      <c r="O825" t="inlineStr">
        <is>
          <t>%</t>
        </is>
      </c>
      <c r="P825" t="n">
        <v>2</v>
      </c>
      <c r="Q825" t="n">
        <v>2</v>
      </c>
      <c r="R825" t="inlineStr">
        <is>
          <t>435-2024-12-31</t>
        </is>
      </c>
    </row>
    <row r="826">
      <c r="A826" t="n">
        <v>435</v>
      </c>
      <c r="B826" t="inlineStr">
        <is>
          <t>Disminución de la Generación de Residuos Peligrosos per Cápita</t>
        </is>
      </c>
      <c r="C826" t="inlineStr">
        <is>
          <t>GESTIÓN AMBIENTAL</t>
        </is>
      </c>
      <c r="D826" t="inlineStr">
        <is>
          <t>Trimestral</t>
        </is>
      </c>
      <c r="E826" t="inlineStr">
        <is>
          <t>Positivo</t>
        </is>
      </c>
      <c r="F826" s="111" t="n">
        <v>46022</v>
      </c>
      <c r="G826" t="n">
        <v>2025</v>
      </c>
      <c r="H826" t="inlineStr">
        <is>
          <t>Diciembre</t>
        </is>
      </c>
      <c r="I826" t="inlineStr">
        <is>
          <t>2025-2</t>
        </is>
      </c>
      <c r="J826" t="n">
        <v>100</v>
      </c>
      <c r="K826" t="n">
        <v>-317.995</v>
      </c>
      <c r="L826" s="39">
        <f>IFERROR(IF(OR(J826=0,K826=""),"",IF(E826="Positivo",MIN(MAX(K826/J826,0),1.3),MIN(MAX(J826/K826,0),1.3))),"") </f>
        <v/>
      </c>
      <c r="M826" s="39">
        <f>IFERROR(IF(OR(J826=0,K826=""),"",IF(E826="Positivo",MAX(K826/J826,0),MAX(J826/K826,0))),"") </f>
        <v/>
      </c>
      <c r="N826" t="inlineStr">
        <is>
          <t>%</t>
        </is>
      </c>
      <c r="O826" t="inlineStr">
        <is>
          <t>%</t>
        </is>
      </c>
      <c r="P826" t="n">
        <v>2</v>
      </c>
      <c r="Q826" t="n">
        <v>2</v>
      </c>
      <c r="R826" t="inlineStr">
        <is>
          <t>435-2025-12-31</t>
        </is>
      </c>
    </row>
    <row r="827">
      <c r="A827" t="n">
        <v>436</v>
      </c>
      <c r="B827" t="inlineStr">
        <is>
          <t>ANS documentos operativos</t>
        </is>
      </c>
      <c r="C827" t="inlineStr">
        <is>
          <t>Gestión de calidad</t>
        </is>
      </c>
      <c r="D827" t="inlineStr">
        <is>
          <t>Mensual</t>
        </is>
      </c>
      <c r="E827" t="inlineStr">
        <is>
          <t>Negativo</t>
        </is>
      </c>
      <c r="F827" s="111" t="n">
        <v>45291</v>
      </c>
      <c r="G827" t="n">
        <v>2023</v>
      </c>
      <c r="H827" t="inlineStr">
        <is>
          <t>Diciembre</t>
        </is>
      </c>
      <c r="I827" t="inlineStr">
        <is>
          <t>2023-2</t>
        </is>
      </c>
      <c r="J827" t="n">
        <v>17.5</v>
      </c>
      <c r="K827" t="n">
        <v>11.06833333333333</v>
      </c>
      <c r="L827" s="39">
        <f>IFERROR(IF(OR(J827=0,K827=""),"",IF(E827="Positivo",MIN(MAX(K827/J827,0),1.3),MIN(MAX(J827/K827,0),1.3))),"") </f>
        <v/>
      </c>
      <c r="M827" s="39">
        <f>IFERROR(IF(OR(J827=0,K827=""),"",IF(E827="Positivo",MAX(K827/J827,0),MAX(J827/K827,0))),"") </f>
        <v/>
      </c>
      <c r="N827" t="inlineStr">
        <is>
          <t>Días</t>
        </is>
      </c>
      <c r="O827" t="inlineStr">
        <is>
          <t>Días</t>
        </is>
      </c>
      <c r="P827" t="n">
        <v>0</v>
      </c>
      <c r="Q827" t="n">
        <v>1</v>
      </c>
      <c r="R827" t="inlineStr">
        <is>
          <t>436-2023-12-31</t>
        </is>
      </c>
    </row>
    <row r="828">
      <c r="A828" t="n">
        <v>436</v>
      </c>
      <c r="B828" t="inlineStr">
        <is>
          <t>ANS documentos operativos</t>
        </is>
      </c>
      <c r="C828" t="inlineStr">
        <is>
          <t>Gestión de calidad</t>
        </is>
      </c>
      <c r="D828" t="inlineStr">
        <is>
          <t>Mensual</t>
        </is>
      </c>
      <c r="E828" t="inlineStr">
        <is>
          <t>Negativo</t>
        </is>
      </c>
      <c r="F828" s="111" t="n">
        <v>45657</v>
      </c>
      <c r="G828" t="n">
        <v>2024</v>
      </c>
      <c r="H828" t="inlineStr">
        <is>
          <t>Diciembre</t>
        </is>
      </c>
      <c r="I828" t="inlineStr">
        <is>
          <t>2024-2</t>
        </is>
      </c>
      <c r="J828" t="n">
        <v>14</v>
      </c>
      <c r="K828" t="n">
        <v>11.06416666666667</v>
      </c>
      <c r="L828" s="39">
        <f>IFERROR(IF(OR(J828=0,K828=""),"",IF(E828="Positivo",MIN(MAX(K828/J828,0),1.3),MIN(MAX(J828/K828,0),1.3))),"") </f>
        <v/>
      </c>
      <c r="M828" s="39">
        <f>IFERROR(IF(OR(J828=0,K828=""),"",IF(E828="Positivo",MAX(K828/J828,0),MAX(J828/K828,0))),"") </f>
        <v/>
      </c>
      <c r="N828" t="inlineStr">
        <is>
          <t>Días</t>
        </is>
      </c>
      <c r="O828" t="inlineStr">
        <is>
          <t>Días</t>
        </is>
      </c>
      <c r="P828" t="n">
        <v>0</v>
      </c>
      <c r="Q828" t="n">
        <v>1</v>
      </c>
      <c r="R828" t="inlineStr">
        <is>
          <t>436-2024-12-31</t>
        </is>
      </c>
    </row>
    <row r="829">
      <c r="A829" t="n">
        <v>436</v>
      </c>
      <c r="B829" t="inlineStr">
        <is>
          <t>ANS documentos operativos</t>
        </is>
      </c>
      <c r="C829" t="inlineStr">
        <is>
          <t>Gestión de calidad</t>
        </is>
      </c>
      <c r="D829" t="inlineStr">
        <is>
          <t>Mensual</t>
        </is>
      </c>
      <c r="E829" t="inlineStr">
        <is>
          <t>Negativo</t>
        </is>
      </c>
      <c r="F829" s="111" t="n">
        <v>46022</v>
      </c>
      <c r="G829" t="n">
        <v>2025</v>
      </c>
      <c r="H829" t="inlineStr">
        <is>
          <t>Diciembre</t>
        </is>
      </c>
      <c r="I829" t="inlineStr">
        <is>
          <t>2025-2</t>
        </is>
      </c>
      <c r="J829" t="n">
        <v>14</v>
      </c>
      <c r="K829" t="n">
        <v>10.14</v>
      </c>
      <c r="L829" s="39">
        <f>IFERROR(IF(OR(J829=0,K829=""),"",IF(E829="Positivo",MIN(MAX(K829/J829,0),1.3),MIN(MAX(J829/K829,0),1.3))),"") </f>
        <v/>
      </c>
      <c r="M829" s="39">
        <f>IFERROR(IF(OR(J829=0,K829=""),"",IF(E829="Positivo",MAX(K829/J829,0),MAX(J829/K829,0))),"") </f>
        <v/>
      </c>
      <c r="N829" t="inlineStr">
        <is>
          <t>Días</t>
        </is>
      </c>
      <c r="O829" t="inlineStr">
        <is>
          <t>Días</t>
        </is>
      </c>
      <c r="P829" t="n">
        <v>0</v>
      </c>
      <c r="Q829" t="n">
        <v>1</v>
      </c>
      <c r="R829" t="inlineStr">
        <is>
          <t>436-2025-12-31</t>
        </is>
      </c>
    </row>
    <row r="830">
      <c r="A830" t="n">
        <v>436</v>
      </c>
      <c r="B830" t="inlineStr">
        <is>
          <t>ANS documentos operativos</t>
        </is>
      </c>
      <c r="C830" t="inlineStr">
        <is>
          <t>Gestión de calidad</t>
        </is>
      </c>
      <c r="D830" t="inlineStr">
        <is>
          <t>Mensual</t>
        </is>
      </c>
      <c r="E830" t="inlineStr">
        <is>
          <t>Negativo</t>
        </is>
      </c>
      <c r="F830" s="111" t="n">
        <v>46081</v>
      </c>
      <c r="G830" t="n">
        <v>2026</v>
      </c>
      <c r="H830" t="inlineStr">
        <is>
          <t>Febrero</t>
        </is>
      </c>
      <c r="I830" t="inlineStr">
        <is>
          <t>2026-1</t>
        </is>
      </c>
      <c r="J830" t="n">
        <v>14</v>
      </c>
      <c r="K830" t="n">
        <v>9.57</v>
      </c>
      <c r="L830" s="39">
        <f>IFERROR(IF(OR(J830=0,K830=""),"",IF(E830="Positivo",MIN(MAX(K830/J830,0),1.3),MIN(MAX(J830/K830,0),1.3))),"") </f>
        <v/>
      </c>
      <c r="M830" s="39">
        <f>IFERROR(IF(OR(J830=0,K830=""),"",IF(E830="Positivo",MAX(K830/J830,0),MAX(J830/K830,0))),"") </f>
        <v/>
      </c>
      <c r="N830" t="inlineStr">
        <is>
          <t>Días</t>
        </is>
      </c>
      <c r="O830" t="inlineStr">
        <is>
          <t>Días</t>
        </is>
      </c>
      <c r="P830" t="n">
        <v>0</v>
      </c>
      <c r="Q830" t="n">
        <v>1</v>
      </c>
      <c r="R830" t="inlineStr">
        <is>
          <t>436-2026-02-28</t>
        </is>
      </c>
      <c r="S830" t="inlineStr"/>
    </row>
    <row r="831">
      <c r="A831" t="n">
        <v>437</v>
      </c>
      <c r="B831" t="inlineStr">
        <is>
          <t>Nivel de Satisfacción Servicios Prestados - Riesgos</t>
        </is>
      </c>
      <c r="C831" t="inlineStr">
        <is>
          <t>GESTIÓN DE RIESGOS</t>
        </is>
      </c>
      <c r="D831" t="inlineStr">
        <is>
          <t>Anual</t>
        </is>
      </c>
      <c r="E831" t="inlineStr">
        <is>
          <t>Positivo</t>
        </is>
      </c>
      <c r="F831" s="111" t="n">
        <v>45291</v>
      </c>
      <c r="G831" t="n">
        <v>2023</v>
      </c>
      <c r="H831" t="inlineStr">
        <is>
          <t>Diciembre</t>
        </is>
      </c>
      <c r="I831" t="inlineStr">
        <is>
          <t>2023-2</t>
        </is>
      </c>
      <c r="J831" t="n">
        <v>80</v>
      </c>
      <c r="K831" t="n">
        <v>96</v>
      </c>
      <c r="L831" s="39">
        <f>IFERROR(IF(OR(J831=0,K831=""),"",IF(E831="Positivo",MIN(MAX(K831/J831,0),1.3),MIN(MAX(J831/K831,0),1.3))),"") </f>
        <v/>
      </c>
      <c r="M831" s="39">
        <f>IFERROR(IF(OR(J831=0,K831=""),"",IF(E831="Positivo",MAX(K831/J831,0),MAX(J831/K831,0))),"") </f>
        <v/>
      </c>
      <c r="N831" t="inlineStr">
        <is>
          <t>%</t>
        </is>
      </c>
      <c r="O831" t="inlineStr">
        <is>
          <t>%</t>
        </is>
      </c>
      <c r="P831" t="n">
        <v>0</v>
      </c>
      <c r="Q831" t="n">
        <v>0</v>
      </c>
      <c r="R831" t="inlineStr">
        <is>
          <t>437-2023-12-31</t>
        </is>
      </c>
    </row>
    <row r="832">
      <c r="A832" t="n">
        <v>437</v>
      </c>
      <c r="B832" t="inlineStr">
        <is>
          <t>Nivel de Satisfacción Servicios Prestados - Riesgos</t>
        </is>
      </c>
      <c r="C832" t="inlineStr">
        <is>
          <t>GESTIÓN DE RIESGOS</t>
        </is>
      </c>
      <c r="D832" t="inlineStr">
        <is>
          <t>Anual</t>
        </is>
      </c>
      <c r="E832" t="inlineStr">
        <is>
          <t>Positivo</t>
        </is>
      </c>
      <c r="F832" s="111" t="n">
        <v>45657</v>
      </c>
      <c r="G832" t="n">
        <v>2024</v>
      </c>
      <c r="H832" t="inlineStr">
        <is>
          <t>Diciembre</t>
        </is>
      </c>
      <c r="I832" t="inlineStr">
        <is>
          <t>2024-2</t>
        </is>
      </c>
      <c r="J832" t="n">
        <v>80</v>
      </c>
      <c r="K832" t="n">
        <v>84</v>
      </c>
      <c r="L832" s="39">
        <f>IFERROR(IF(OR(J832=0,K832=""),"",IF(E832="Positivo",MIN(MAX(K832/J832,0),1.3),MIN(MAX(J832/K832,0),1.3))),"") </f>
        <v/>
      </c>
      <c r="M832" s="39">
        <f>IFERROR(IF(OR(J832=0,K832=""),"",IF(E832="Positivo",MAX(K832/J832,0),MAX(J832/K832,0))),"") </f>
        <v/>
      </c>
      <c r="N832" t="inlineStr">
        <is>
          <t>%</t>
        </is>
      </c>
      <c r="O832" t="inlineStr">
        <is>
          <t>%</t>
        </is>
      </c>
      <c r="P832" t="n">
        <v>0</v>
      </c>
      <c r="Q832" t="n">
        <v>0</v>
      </c>
      <c r="R832" t="inlineStr">
        <is>
          <t>437-2024-12-31</t>
        </is>
      </c>
    </row>
    <row r="833">
      <c r="A833" t="n">
        <v>437</v>
      </c>
      <c r="B833" t="inlineStr">
        <is>
          <t>Nivel de Satisfacción Servicios Prestados - Riesgos</t>
        </is>
      </c>
      <c r="C833" t="inlineStr">
        <is>
          <t>GESTIÓN DE RIESGOS</t>
        </is>
      </c>
      <c r="D833" t="inlineStr">
        <is>
          <t>Anual</t>
        </is>
      </c>
      <c r="E833" t="inlineStr">
        <is>
          <t>Positivo</t>
        </is>
      </c>
      <c r="F833" s="111" t="n">
        <v>46022</v>
      </c>
      <c r="G833" t="n">
        <v>2025</v>
      </c>
      <c r="H833" t="inlineStr">
        <is>
          <t>Diciembre</t>
        </is>
      </c>
      <c r="I833" t="inlineStr">
        <is>
          <t>2025-2</t>
        </is>
      </c>
      <c r="J833" t="n">
        <v>80</v>
      </c>
      <c r="K833" t="n">
        <v>99</v>
      </c>
      <c r="L833" s="39">
        <f>IFERROR(IF(OR(J833=0,K833=""),"",IF(E833="Positivo",MIN(MAX(K833/J833,0),1.3),MIN(MAX(J833/K833,0),1.3))),"") </f>
        <v/>
      </c>
      <c r="M833" s="39">
        <f>IFERROR(IF(OR(J833=0,K833=""),"",IF(E833="Positivo",MAX(K833/J833,0),MAX(J833/K833,0))),"") </f>
        <v/>
      </c>
      <c r="N833" t="inlineStr">
        <is>
          <t>%</t>
        </is>
      </c>
      <c r="O833" t="inlineStr">
        <is>
          <t>%</t>
        </is>
      </c>
      <c r="P833" t="n">
        <v>0</v>
      </c>
      <c r="Q833" t="n">
        <v>0</v>
      </c>
      <c r="R833" t="inlineStr">
        <is>
          <t>437-2025-12-31</t>
        </is>
      </c>
    </row>
    <row r="834">
      <c r="A834" t="n">
        <v>438</v>
      </c>
      <c r="B834" t="inlineStr">
        <is>
          <t>Seguimiento de asignación docente a NRC Pregrado-Posgrado Virtual</t>
        </is>
      </c>
      <c r="C834" t="inlineStr">
        <is>
          <t>Operaciones Académicas</t>
        </is>
      </c>
      <c r="D834" t="inlineStr">
        <is>
          <t>Semestral</t>
        </is>
      </c>
      <c r="E834" t="inlineStr">
        <is>
          <t>Positivo</t>
        </is>
      </c>
      <c r="F834" s="111" t="n">
        <v>45291</v>
      </c>
      <c r="G834" t="n">
        <v>2023</v>
      </c>
      <c r="H834" t="inlineStr">
        <is>
          <t>Diciembre</t>
        </is>
      </c>
      <c r="I834" t="inlineStr">
        <is>
          <t>2023-2</t>
        </is>
      </c>
      <c r="J834" t="n">
        <v>100</v>
      </c>
      <c r="K834" t="n">
        <v>100</v>
      </c>
      <c r="L834" s="39">
        <f>IFERROR(IF(OR(J834=0,K834=""),"",IF(E834="Positivo",MIN(MAX(K834/J834,0),1.3),MIN(MAX(J834/K834,0),1.3))),"") </f>
        <v/>
      </c>
      <c r="M834" s="39">
        <f>IFERROR(IF(OR(J834=0,K834=""),"",IF(E834="Positivo",MAX(K834/J834,0),MAX(J834/K834,0))),"") </f>
        <v/>
      </c>
      <c r="N834" t="inlineStr">
        <is>
          <t>ENT</t>
        </is>
      </c>
      <c r="O834" t="inlineStr">
        <is>
          <t>ENT</t>
        </is>
      </c>
      <c r="P834" t="n">
        <v>0</v>
      </c>
      <c r="Q834" t="n">
        <v>0</v>
      </c>
      <c r="R834" t="inlineStr">
        <is>
          <t>438-2023-12-31</t>
        </is>
      </c>
    </row>
    <row r="835">
      <c r="A835" t="n">
        <v>439</v>
      </c>
      <c r="B835" t="inlineStr">
        <is>
          <t>Disponibilidad de catálogo de asignaturas pregrado y posgrado virtual</t>
        </is>
      </c>
      <c r="C835" t="inlineStr">
        <is>
          <t>Operaciones Académicas</t>
        </is>
      </c>
      <c r="D835" t="inlineStr">
        <is>
          <t>Semestral</t>
        </is>
      </c>
      <c r="E835" t="inlineStr">
        <is>
          <t>Positivo</t>
        </is>
      </c>
      <c r="F835" s="111" t="n">
        <v>45291</v>
      </c>
      <c r="G835" t="n">
        <v>2023</v>
      </c>
      <c r="H835" t="inlineStr">
        <is>
          <t>Diciembre</t>
        </is>
      </c>
      <c r="I835" t="inlineStr">
        <is>
          <t>2023-2</t>
        </is>
      </c>
      <c r="J835" t="n">
        <v>100</v>
      </c>
      <c r="K835" t="n">
        <v>100</v>
      </c>
      <c r="L835" s="39">
        <f>IFERROR(IF(OR(J835=0,K835=""),"",IF(E835="Positivo",MIN(MAX(K835/J835,0),1.3),MIN(MAX(J835/K835,0),1.3))),"") </f>
        <v/>
      </c>
      <c r="M835" s="39">
        <f>IFERROR(IF(OR(J835=0,K835=""),"",IF(E835="Positivo",MAX(K835/J835,0),MAX(J835/K835,0))),"") </f>
        <v/>
      </c>
      <c r="N835" t="inlineStr">
        <is>
          <t>%</t>
        </is>
      </c>
      <c r="O835" t="inlineStr">
        <is>
          <t>%</t>
        </is>
      </c>
      <c r="P835" t="n">
        <v>0</v>
      </c>
      <c r="Q835" t="n">
        <v>0</v>
      </c>
      <c r="R835" t="inlineStr">
        <is>
          <t>439-2023-12-31</t>
        </is>
      </c>
    </row>
    <row r="836">
      <c r="A836" t="n">
        <v>439</v>
      </c>
      <c r="B836" t="inlineStr">
        <is>
          <t>Disponibilidad de catálogo de asignaturas pregrado y posgrado virtual</t>
        </is>
      </c>
      <c r="C836" t="inlineStr">
        <is>
          <t>Operaciones Académicas</t>
        </is>
      </c>
      <c r="D836" t="inlineStr">
        <is>
          <t>Semestral</t>
        </is>
      </c>
      <c r="E836" t="inlineStr">
        <is>
          <t>Positivo</t>
        </is>
      </c>
      <c r="F836" s="111" t="n">
        <v>45657</v>
      </c>
      <c r="G836" t="n">
        <v>2024</v>
      </c>
      <c r="H836" t="inlineStr">
        <is>
          <t>Diciembre</t>
        </is>
      </c>
      <c r="I836" t="inlineStr">
        <is>
          <t>2024-2</t>
        </is>
      </c>
      <c r="J836" t="n">
        <v>100</v>
      </c>
      <c r="K836" t="n">
        <v>100</v>
      </c>
      <c r="L836" s="39">
        <f>IFERROR(IF(OR(J836=0,K836=""),"",IF(E836="Positivo",MIN(MAX(K836/J836,0),1.3),MIN(MAX(J836/K836,0),1.3))),"") </f>
        <v/>
      </c>
      <c r="M836" s="39">
        <f>IFERROR(IF(OR(J836=0,K836=""),"",IF(E836="Positivo",MAX(K836/J836,0),MAX(J836/K836,0))),"") </f>
        <v/>
      </c>
      <c r="N836" t="inlineStr">
        <is>
          <t>%</t>
        </is>
      </c>
      <c r="O836" t="inlineStr">
        <is>
          <t>%</t>
        </is>
      </c>
      <c r="P836" t="n">
        <v>0</v>
      </c>
      <c r="Q836" t="n">
        <v>0</v>
      </c>
      <c r="R836" t="inlineStr">
        <is>
          <t>439-2024-12-31</t>
        </is>
      </c>
    </row>
    <row r="837">
      <c r="A837" t="n">
        <v>439</v>
      </c>
      <c r="B837" t="inlineStr">
        <is>
          <t>Disponibilidad de catálogo de asignaturas pregrado y posgrado virtual</t>
        </is>
      </c>
      <c r="C837" t="inlineStr">
        <is>
          <t>Operaciones Académicas</t>
        </is>
      </c>
      <c r="D837" t="inlineStr">
        <is>
          <t>Trimestral</t>
        </is>
      </c>
      <c r="E837" t="inlineStr">
        <is>
          <t>Positivo</t>
        </is>
      </c>
      <c r="F837" s="111" t="n">
        <v>46022</v>
      </c>
      <c r="G837" t="n">
        <v>2025</v>
      </c>
      <c r="H837" t="inlineStr">
        <is>
          <t>Diciembre</t>
        </is>
      </c>
      <c r="I837" t="inlineStr">
        <is>
          <t>2025-2</t>
        </is>
      </c>
      <c r="J837" t="n">
        <v>100</v>
      </c>
      <c r="K837" t="n">
        <v>100</v>
      </c>
      <c r="L837" s="39">
        <f>IFERROR(IF(OR(J837=0,K837=""),"",IF(E837="Positivo",MIN(MAX(K837/J837,0),1.3),MIN(MAX(J837/K837,0),1.3))),"") </f>
        <v/>
      </c>
      <c r="M837" s="39">
        <f>IFERROR(IF(OR(J837=0,K837=""),"",IF(E837="Positivo",MAX(K837/J837,0),MAX(J837/K837,0))),"") </f>
        <v/>
      </c>
      <c r="N837" t="inlineStr">
        <is>
          <t>%</t>
        </is>
      </c>
      <c r="O837" t="inlineStr">
        <is>
          <t>%</t>
        </is>
      </c>
      <c r="P837" t="n">
        <v>0</v>
      </c>
      <c r="Q837" t="n">
        <v>0</v>
      </c>
      <c r="R837" t="inlineStr">
        <is>
          <t>439-2025-12-31</t>
        </is>
      </c>
    </row>
    <row r="838">
      <c r="A838" t="n">
        <v>440</v>
      </c>
      <c r="B838" t="inlineStr">
        <is>
          <t>Aseguramiento de matricula académica virtual</t>
        </is>
      </c>
      <c r="C838" t="inlineStr">
        <is>
          <t>Operaciones Académicas</t>
        </is>
      </c>
      <c r="D838" t="inlineStr">
        <is>
          <t>Semestral</t>
        </is>
      </c>
      <c r="E838" t="inlineStr">
        <is>
          <t>Positivo</t>
        </is>
      </c>
      <c r="F838" s="111" t="n">
        <v>45291</v>
      </c>
      <c r="G838" t="n">
        <v>2023</v>
      </c>
      <c r="H838" t="inlineStr">
        <is>
          <t>Diciembre</t>
        </is>
      </c>
      <c r="I838" t="inlineStr">
        <is>
          <t>2023-2</t>
        </is>
      </c>
      <c r="J838" t="n">
        <v>98</v>
      </c>
      <c r="K838" t="n">
        <v>97.746062537527</v>
      </c>
      <c r="L838" s="39">
        <f>IFERROR(IF(OR(J838=0,K838=""),"",IF(E838="Positivo",MIN(MAX(K838/J838,0),1.3),MIN(MAX(J838/K838,0),1.3))),"") </f>
        <v/>
      </c>
      <c r="M838" s="39">
        <f>IFERROR(IF(OR(J838=0,K838=""),"",IF(E838="Positivo",MAX(K838/J838,0),MAX(J838/K838,0))),"") </f>
        <v/>
      </c>
      <c r="N838" t="inlineStr">
        <is>
          <t>%</t>
        </is>
      </c>
      <c r="O838" t="inlineStr">
        <is>
          <t>%</t>
        </is>
      </c>
      <c r="P838" t="n">
        <v>0</v>
      </c>
      <c r="Q838" t="n">
        <v>1</v>
      </c>
      <c r="R838" t="inlineStr">
        <is>
          <t>440-2023-12-31</t>
        </is>
      </c>
    </row>
    <row r="839">
      <c r="A839" t="n">
        <v>440</v>
      </c>
      <c r="B839" t="inlineStr">
        <is>
          <t>Aseguramiento de matricula académica virtual</t>
        </is>
      </c>
      <c r="C839" t="inlineStr">
        <is>
          <t>Operaciones Académicas</t>
        </is>
      </c>
      <c r="D839" t="inlineStr">
        <is>
          <t>Semestral</t>
        </is>
      </c>
      <c r="E839" t="inlineStr">
        <is>
          <t>Positivo</t>
        </is>
      </c>
      <c r="F839" s="111" t="n">
        <v>45657</v>
      </c>
      <c r="G839" t="n">
        <v>2024</v>
      </c>
      <c r="H839" t="inlineStr">
        <is>
          <t>Diciembre</t>
        </is>
      </c>
      <c r="I839" t="inlineStr">
        <is>
          <t>2024-2</t>
        </is>
      </c>
      <c r="J839" t="n">
        <v>196</v>
      </c>
      <c r="K839" t="n">
        <v>198.97</v>
      </c>
      <c r="L839" s="39">
        <f>IFERROR(IF(OR(J839=0,K839=""),"",IF(E839="Positivo",MIN(MAX(K839/J839,0),1.3),MIN(MAX(J839/K839,0),1.3))),"") </f>
        <v/>
      </c>
      <c r="M839" s="39">
        <f>IFERROR(IF(OR(J839=0,K839=""),"",IF(E839="Positivo",MAX(K839/J839,0),MAX(J839/K839,0))),"") </f>
        <v/>
      </c>
      <c r="N839" t="inlineStr">
        <is>
          <t>%</t>
        </is>
      </c>
      <c r="O839" t="inlineStr">
        <is>
          <t>%</t>
        </is>
      </c>
      <c r="P839" t="n">
        <v>0</v>
      </c>
      <c r="Q839" t="n">
        <v>1</v>
      </c>
      <c r="R839" t="inlineStr">
        <is>
          <t>440-2024-12-31</t>
        </is>
      </c>
    </row>
    <row r="840">
      <c r="A840" t="n">
        <v>440</v>
      </c>
      <c r="B840" t="inlineStr">
        <is>
          <t>Aseguramiento de matricula académica virtual</t>
        </is>
      </c>
      <c r="C840" t="inlineStr">
        <is>
          <t>Operaciones Académicas</t>
        </is>
      </c>
      <c r="D840" t="inlineStr">
        <is>
          <t>Trimestral</t>
        </is>
      </c>
      <c r="E840" t="inlineStr">
        <is>
          <t>Positivo</t>
        </is>
      </c>
      <c r="F840" s="111" t="n">
        <v>46022</v>
      </c>
      <c r="G840" t="n">
        <v>2025</v>
      </c>
      <c r="H840" t="inlineStr">
        <is>
          <t>Diciembre</t>
        </is>
      </c>
      <c r="I840" t="inlineStr">
        <is>
          <t>2025-2</t>
        </is>
      </c>
      <c r="J840" t="n">
        <v>196</v>
      </c>
      <c r="K840" t="n">
        <v>199.51</v>
      </c>
      <c r="L840" s="39">
        <f>IFERROR(IF(OR(J840=0,K840=""),"",IF(E840="Positivo",MIN(MAX(K840/J840,0),1.3),MIN(MAX(J840/K840,0),1.3))),"") </f>
        <v/>
      </c>
      <c r="M840" s="39">
        <f>IFERROR(IF(OR(J840=0,K840=""),"",IF(E840="Positivo",MAX(K840/J840,0),MAX(J840/K840,0))),"") </f>
        <v/>
      </c>
      <c r="N840" t="inlineStr">
        <is>
          <t>%</t>
        </is>
      </c>
      <c r="O840" t="inlineStr">
        <is>
          <t>%</t>
        </is>
      </c>
      <c r="P840" t="n">
        <v>0</v>
      </c>
      <c r="Q840" t="n">
        <v>1</v>
      </c>
      <c r="R840" t="inlineStr">
        <is>
          <t>440-2025-12-31</t>
        </is>
      </c>
    </row>
    <row r="841">
      <c r="A841" t="n">
        <v>441</v>
      </c>
      <c r="B841" t="inlineStr">
        <is>
          <t>Cumplimiento a cronograma de proyectos 2024</t>
        </is>
      </c>
      <c r="C841" t="inlineStr">
        <is>
          <t>Gestión de Proyectos</t>
        </is>
      </c>
      <c r="D841" t="inlineStr">
        <is>
          <t>Mensual</t>
        </is>
      </c>
      <c r="E841" t="inlineStr">
        <is>
          <t>Positivo</t>
        </is>
      </c>
      <c r="F841" s="111" t="n">
        <v>45657</v>
      </c>
      <c r="G841" t="n">
        <v>2024</v>
      </c>
      <c r="H841" t="inlineStr">
        <is>
          <t>Diciembre</t>
        </is>
      </c>
      <c r="I841" t="inlineStr">
        <is>
          <t>2024-2</t>
        </is>
      </c>
      <c r="J841" t="n">
        <v>90</v>
      </c>
      <c r="K841" t="n">
        <v>99.919935948759</v>
      </c>
      <c r="L841" s="39">
        <f>IFERROR(IF(OR(J841=0,K841=""),"",IF(E841="Positivo",MIN(MAX(K841/J841,0),1.3),MIN(MAX(J841/K841,0),1.3))),"") </f>
        <v/>
      </c>
      <c r="M841" s="39">
        <f>IFERROR(IF(OR(J841=0,K841=""),"",IF(E841="Positivo",MAX(K841/J841,0),MAX(J841/K841,0))),"") </f>
        <v/>
      </c>
      <c r="P841" t="n">
        <v>0</v>
      </c>
      <c r="Q841" t="n">
        <v>0</v>
      </c>
      <c r="R841" t="inlineStr">
        <is>
          <t>441-2024-12-31</t>
        </is>
      </c>
    </row>
    <row r="842">
      <c r="A842" t="n">
        <v>442</v>
      </c>
      <c r="B842" t="inlineStr">
        <is>
          <t>Participación de docentes invitados en eventos académicos virtuales en Poli</t>
        </is>
      </c>
      <c r="C842" t="inlineStr">
        <is>
          <t>VISIBILIDAD NACIONAL E INTERNACIONAL</t>
        </is>
      </c>
      <c r="D842" t="inlineStr">
        <is>
          <t>Semestral</t>
        </is>
      </c>
      <c r="E842" t="inlineStr">
        <is>
          <t>Positivo</t>
        </is>
      </c>
      <c r="F842" s="111" t="n">
        <v>45657</v>
      </c>
      <c r="G842" t="n">
        <v>2024</v>
      </c>
      <c r="H842" t="inlineStr">
        <is>
          <t>Diciembre</t>
        </is>
      </c>
      <c r="I842" t="inlineStr">
        <is>
          <t>2024-2</t>
        </is>
      </c>
      <c r="J842" t="n">
        <v>100</v>
      </c>
      <c r="K842" t="n">
        <v>145</v>
      </c>
      <c r="L842" s="39">
        <f>IFERROR(IF(OR(J842=0,K842=""),"",IF(E842="Positivo",MIN(MAX(K842/J842,0),1.3),MIN(MAX(J842/K842,0),1.3))),"") </f>
        <v/>
      </c>
      <c r="M842" s="39">
        <f>IFERROR(IF(OR(J842=0,K842=""),"",IF(E842="Positivo",MAX(K842/J842,0),MAX(J842/K842,0))),"") </f>
        <v/>
      </c>
      <c r="P842" t="n">
        <v>0</v>
      </c>
      <c r="Q842" t="n">
        <v>0</v>
      </c>
      <c r="R842" t="inlineStr">
        <is>
          <t>442-2024-12-31</t>
        </is>
      </c>
    </row>
    <row r="843">
      <c r="A843" t="n">
        <v>443</v>
      </c>
      <c r="B843" t="inlineStr">
        <is>
          <t>Participación de estudiantes invitados en eventos académicos virtuales en Poli</t>
        </is>
      </c>
      <c r="C843" t="inlineStr">
        <is>
          <t>VISIBILIDAD NACIONAL E INTERNACIONAL</t>
        </is>
      </c>
      <c r="D843" t="inlineStr">
        <is>
          <t>Semestral</t>
        </is>
      </c>
      <c r="E843" t="inlineStr">
        <is>
          <t>Positivo</t>
        </is>
      </c>
      <c r="F843" s="111" t="n">
        <v>45657</v>
      </c>
      <c r="G843" t="n">
        <v>2024</v>
      </c>
      <c r="H843" t="inlineStr">
        <is>
          <t>Diciembre</t>
        </is>
      </c>
      <c r="I843" t="inlineStr">
        <is>
          <t>2024-2</t>
        </is>
      </c>
      <c r="J843" t="n">
        <v>100</v>
      </c>
      <c r="K843" t="n">
        <v>209</v>
      </c>
      <c r="L843" s="39">
        <f>IFERROR(IF(OR(J843=0,K843=""),"",IF(E843="Positivo",MIN(MAX(K843/J843,0),1.3),MIN(MAX(J843/K843,0),1.3))),"") </f>
        <v/>
      </c>
      <c r="M843" s="39">
        <f>IFERROR(IF(OR(J843=0,K843=""),"",IF(E843="Positivo",MAX(K843/J843,0),MAX(J843/K843,0))),"") </f>
        <v/>
      </c>
      <c r="P843" t="n">
        <v>0</v>
      </c>
      <c r="Q843" t="n">
        <v>0</v>
      </c>
      <c r="R843" t="inlineStr">
        <is>
          <t>443-2024-12-31</t>
        </is>
      </c>
    </row>
    <row r="844">
      <c r="A844" t="n">
        <v>444</v>
      </c>
      <c r="B844" t="inlineStr">
        <is>
          <t>CES Proceso de grados</t>
        </is>
      </c>
      <c r="C844" t="inlineStr">
        <is>
          <t>Registro y Control</t>
        </is>
      </c>
      <c r="D844" t="inlineStr">
        <is>
          <t>Semestral</t>
        </is>
      </c>
      <c r="E844" t="inlineStr">
        <is>
          <t>Positivo</t>
        </is>
      </c>
      <c r="F844" s="111" t="n">
        <v>45657</v>
      </c>
      <c r="G844" t="n">
        <v>2024</v>
      </c>
      <c r="H844" t="inlineStr">
        <is>
          <t>Diciembre</t>
        </is>
      </c>
      <c r="I844" t="inlineStr">
        <is>
          <t>2024-2</t>
        </is>
      </c>
      <c r="K844" t="n">
        <v>2.1</v>
      </c>
      <c r="L844" s="39" t="n"/>
      <c r="M844" s="39" t="n"/>
      <c r="N844" t="inlineStr">
        <is>
          <t>Linea Base</t>
        </is>
      </c>
      <c r="O844" t="inlineStr">
        <is>
          <t>DEC</t>
        </is>
      </c>
      <c r="P844" t="n">
        <v>0</v>
      </c>
      <c r="Q844" t="n">
        <v>1</v>
      </c>
      <c r="R844" t="inlineStr">
        <is>
          <t>444-2024-12-31</t>
        </is>
      </c>
    </row>
    <row r="845">
      <c r="A845" t="n">
        <v>444</v>
      </c>
      <c r="B845" t="inlineStr">
        <is>
          <t>CES Proceso de grados</t>
        </is>
      </c>
      <c r="C845" t="inlineStr">
        <is>
          <t>Registro y Control</t>
        </is>
      </c>
      <c r="D845" t="inlineStr">
        <is>
          <t>Trimestral</t>
        </is>
      </c>
      <c r="E845" t="inlineStr">
        <is>
          <t>Negativo</t>
        </is>
      </c>
      <c r="F845" s="111" t="n">
        <v>46022</v>
      </c>
      <c r="G845" t="n">
        <v>2025</v>
      </c>
      <c r="H845" t="inlineStr">
        <is>
          <t>Diciembre</t>
        </is>
      </c>
      <c r="I845" t="inlineStr">
        <is>
          <t>2025-2</t>
        </is>
      </c>
      <c r="J845" t="n">
        <v>3</v>
      </c>
      <c r="K845" t="n">
        <v>1.65</v>
      </c>
      <c r="L845" s="39">
        <f>IFERROR(IF(OR(J845=0,K845=""),"",IF(E845="Positivo",MIN(MAX(K845/J845,0),1.3),MIN(MAX(J845/K845,0),1.3))),"") </f>
        <v/>
      </c>
      <c r="M845" s="39">
        <f>IFERROR(IF(OR(J845=0,K845=""),"",IF(E845="Positivo",MAX(K845/J845,0),MAX(J845/K845,0))),"") </f>
        <v/>
      </c>
      <c r="N845" t="inlineStr">
        <is>
          <t>ENT</t>
        </is>
      </c>
      <c r="O845" t="inlineStr">
        <is>
          <t>DEC</t>
        </is>
      </c>
      <c r="P845" t="n">
        <v>0</v>
      </c>
      <c r="Q845" t="n">
        <v>1</v>
      </c>
      <c r="R845" t="inlineStr">
        <is>
          <t>444-2025-12-31</t>
        </is>
      </c>
    </row>
    <row r="846">
      <c r="A846" t="n">
        <v>445</v>
      </c>
      <c r="B846" t="inlineStr">
        <is>
          <t>Satisfacción del proceso de grados virtual</t>
        </is>
      </c>
      <c r="C846" t="inlineStr">
        <is>
          <t>Registro y Control</t>
        </is>
      </c>
      <c r="D846" t="inlineStr">
        <is>
          <t>Semestral</t>
        </is>
      </c>
      <c r="E846" t="inlineStr">
        <is>
          <t>Positivo</t>
        </is>
      </c>
      <c r="F846" s="111" t="n">
        <v>45657</v>
      </c>
      <c r="G846" t="n">
        <v>2024</v>
      </c>
      <c r="H846" t="inlineStr">
        <is>
          <t>Diciembre</t>
        </is>
      </c>
      <c r="I846" t="inlineStr">
        <is>
          <t>2024-2</t>
        </is>
      </c>
      <c r="J846" t="n">
        <v>67.5</v>
      </c>
      <c r="K846" t="n">
        <v>70.84999999999999</v>
      </c>
      <c r="L846" s="39">
        <f>IFERROR(IF(OR(J846=0,K846=""),"",IF(E846="Positivo",MIN(MAX(K846/J846,0),1.3),MIN(MAX(J846/K846,0),1.3))),"") </f>
        <v/>
      </c>
      <c r="M846" s="39">
        <f>IFERROR(IF(OR(J846=0,K846=""),"",IF(E846="Positivo",MAX(K846/J846,0),MAX(J846/K846,0))),"") </f>
        <v/>
      </c>
      <c r="N846" t="inlineStr">
        <is>
          <t>%</t>
        </is>
      </c>
      <c r="O846" t="inlineStr">
        <is>
          <t>%</t>
        </is>
      </c>
      <c r="P846" t="n">
        <v>0</v>
      </c>
      <c r="Q846" t="n">
        <v>0</v>
      </c>
      <c r="R846" t="inlineStr">
        <is>
          <t>445-2024-12-31</t>
        </is>
      </c>
    </row>
    <row r="847">
      <c r="A847" t="n">
        <v>445</v>
      </c>
      <c r="B847" t="inlineStr">
        <is>
          <t>Satisfacción del proceso de grados virtual</t>
        </is>
      </c>
      <c r="C847" t="inlineStr">
        <is>
          <t>Registro y Control</t>
        </is>
      </c>
      <c r="D847" t="inlineStr">
        <is>
          <t>Trimestral</t>
        </is>
      </c>
      <c r="E847" t="inlineStr">
        <is>
          <t>Positivo</t>
        </is>
      </c>
      <c r="F847" s="111" t="n">
        <v>46022</v>
      </c>
      <c r="G847" t="n">
        <v>2025</v>
      </c>
      <c r="H847" t="inlineStr">
        <is>
          <t>Diciembre</t>
        </is>
      </c>
      <c r="I847" t="inlineStr">
        <is>
          <t>2025-2</t>
        </is>
      </c>
      <c r="J847" t="n">
        <v>70</v>
      </c>
      <c r="K847" t="n">
        <v>80.5</v>
      </c>
      <c r="L847" s="39">
        <f>IFERROR(IF(OR(J847=0,K847=""),"",IF(E847="Positivo",MIN(MAX(K847/J847,0),1.3),MIN(MAX(J847/K847,0),1.3))),"") </f>
        <v/>
      </c>
      <c r="M847" s="39">
        <f>IFERROR(IF(OR(J847=0,K847=""),"",IF(E847="Positivo",MAX(K847/J847,0),MAX(J847/K847,0))),"") </f>
        <v/>
      </c>
      <c r="N847" t="inlineStr">
        <is>
          <t>%</t>
        </is>
      </c>
      <c r="O847" t="inlineStr">
        <is>
          <t>%</t>
        </is>
      </c>
      <c r="P847" t="n">
        <v>0</v>
      </c>
      <c r="Q847" t="n">
        <v>0</v>
      </c>
      <c r="R847" t="inlineStr">
        <is>
          <t>445-2025-12-31</t>
        </is>
      </c>
    </row>
    <row r="848">
      <c r="A848" t="n">
        <v>447</v>
      </c>
      <c r="B848" t="inlineStr">
        <is>
          <t>Participación en actividades culturales</t>
        </is>
      </c>
      <c r="C848" t="inlineStr">
        <is>
          <t>Biblioteca Institucional</t>
        </is>
      </c>
      <c r="D848" t="inlineStr">
        <is>
          <t>Semestral</t>
        </is>
      </c>
      <c r="E848" t="inlineStr">
        <is>
          <t>Positivo</t>
        </is>
      </c>
      <c r="F848" s="111" t="n">
        <v>45657</v>
      </c>
      <c r="G848" t="n">
        <v>2024</v>
      </c>
      <c r="H848" t="inlineStr">
        <is>
          <t>Diciembre</t>
        </is>
      </c>
      <c r="I848" t="inlineStr">
        <is>
          <t>2024-2</t>
        </is>
      </c>
      <c r="J848" t="n">
        <v>15</v>
      </c>
      <c r="K848" t="n">
        <v>16.16</v>
      </c>
      <c r="L848" s="39">
        <f>IFERROR(IF(OR(J848=0,K848=""),"",IF(E848="Positivo",MIN(MAX(K848/J848,0),1.3),MIN(MAX(J848/K848,0),1.3))),"") </f>
        <v/>
      </c>
      <c r="M848" s="39">
        <f>IFERROR(IF(OR(J848=0,K848=""),"",IF(E848="Positivo",MAX(K848/J848,0),MAX(J848/K848,0))),"") </f>
        <v/>
      </c>
      <c r="N848" t="inlineStr">
        <is>
          <t>%</t>
        </is>
      </c>
      <c r="O848" t="inlineStr">
        <is>
          <t>%</t>
        </is>
      </c>
      <c r="P848" t="n">
        <v>0</v>
      </c>
      <c r="Q848" t="n">
        <v>0</v>
      </c>
      <c r="R848" t="inlineStr">
        <is>
          <t>447-2024-12-31</t>
        </is>
      </c>
    </row>
    <row r="849">
      <c r="A849" t="n">
        <v>447</v>
      </c>
      <c r="B849" t="inlineStr">
        <is>
          <t>Participación en actividades culturales</t>
        </is>
      </c>
      <c r="C849" t="inlineStr">
        <is>
          <t>Biblioteca Institucional</t>
        </is>
      </c>
      <c r="D849" t="inlineStr">
        <is>
          <t>Trimestral</t>
        </is>
      </c>
      <c r="E849" t="inlineStr">
        <is>
          <t>Positivo</t>
        </is>
      </c>
      <c r="F849" s="111" t="n">
        <v>46022</v>
      </c>
      <c r="G849" t="n">
        <v>2025</v>
      </c>
      <c r="H849" t="inlineStr">
        <is>
          <t>Diciembre</t>
        </is>
      </c>
      <c r="I849" t="inlineStr">
        <is>
          <t>2025-2</t>
        </is>
      </c>
      <c r="J849" t="n">
        <v>15</v>
      </c>
      <c r="K849" t="n">
        <v>15.01</v>
      </c>
      <c r="L849" s="39">
        <f>IFERROR(IF(OR(J849=0,K849=""),"",IF(E849="Positivo",MIN(MAX(K849/J849,0),1.3),MIN(MAX(J849/K849,0),1.3))),"") </f>
        <v/>
      </c>
      <c r="M849" s="39">
        <f>IFERROR(IF(OR(J849=0,K849=""),"",IF(E849="Positivo",MAX(K849/J849,0),MAX(J849/K849,0))),"") </f>
        <v/>
      </c>
      <c r="N849" t="inlineStr">
        <is>
          <t>%</t>
        </is>
      </c>
      <c r="O849" t="inlineStr">
        <is>
          <t>%</t>
        </is>
      </c>
      <c r="P849" t="n">
        <v>0</v>
      </c>
      <c r="Q849" t="n">
        <v>0</v>
      </c>
      <c r="R849" t="inlineStr">
        <is>
          <t>447-2025-12-31</t>
        </is>
      </c>
    </row>
    <row r="850">
      <c r="A850" t="n">
        <v>448</v>
      </c>
      <c r="B850" t="inlineStr">
        <is>
          <t>Participación en actividades de formación</t>
        </is>
      </c>
      <c r="C850" t="inlineStr">
        <is>
          <t>Biblioteca Institucional</t>
        </is>
      </c>
      <c r="D850" t="inlineStr">
        <is>
          <t>Semestral</t>
        </is>
      </c>
      <c r="E850" t="inlineStr">
        <is>
          <t>Positivo</t>
        </is>
      </c>
      <c r="F850" s="111" t="n">
        <v>45657</v>
      </c>
      <c r="G850" t="n">
        <v>2024</v>
      </c>
      <c r="H850" t="inlineStr">
        <is>
          <t>Diciembre</t>
        </is>
      </c>
      <c r="I850" t="inlineStr">
        <is>
          <t>2024-2</t>
        </is>
      </c>
      <c r="J850" t="n">
        <v>9</v>
      </c>
      <c r="K850" t="n">
        <v>9.32</v>
      </c>
      <c r="L850" s="39">
        <f>IFERROR(IF(OR(J850=0,K850=""),"",IF(E850="Positivo",MIN(MAX(K850/J850,0),1.3),MIN(MAX(J850/K850,0),1.3))),"") </f>
        <v/>
      </c>
      <c r="M850" s="39">
        <f>IFERROR(IF(OR(J850=0,K850=""),"",IF(E850="Positivo",MAX(K850/J850,0),MAX(J850/K850,0))),"") </f>
        <v/>
      </c>
      <c r="N850" t="inlineStr">
        <is>
          <t>%</t>
        </is>
      </c>
      <c r="O850" t="inlineStr">
        <is>
          <t>%</t>
        </is>
      </c>
      <c r="P850" t="n">
        <v>0</v>
      </c>
      <c r="Q850" t="n">
        <v>1</v>
      </c>
      <c r="R850" t="inlineStr">
        <is>
          <t>448-2024-12-31</t>
        </is>
      </c>
    </row>
    <row r="851">
      <c r="A851" t="n">
        <v>448</v>
      </c>
      <c r="B851" t="inlineStr">
        <is>
          <t>Participación en actividades de formación</t>
        </is>
      </c>
      <c r="C851" t="inlineStr">
        <is>
          <t>Biblioteca Institucional</t>
        </is>
      </c>
      <c r="D851" t="inlineStr">
        <is>
          <t>Trimestral</t>
        </is>
      </c>
      <c r="E851" t="inlineStr">
        <is>
          <t>Positivo</t>
        </is>
      </c>
      <c r="F851" s="111" t="n">
        <v>46022</v>
      </c>
      <c r="G851" t="n">
        <v>2025</v>
      </c>
      <c r="H851" t="inlineStr">
        <is>
          <t>Diciembre</t>
        </is>
      </c>
      <c r="I851" t="inlineStr">
        <is>
          <t>2025-2</t>
        </is>
      </c>
      <c r="J851" t="n">
        <v>17</v>
      </c>
      <c r="K851" t="n">
        <v>59.36</v>
      </c>
      <c r="L851" s="39">
        <f>IFERROR(IF(OR(J851=0,K851=""),"",IF(E851="Positivo",MIN(MAX(K851/J851,0),1.3),MIN(MAX(J851/K851,0),1.3))),"") </f>
        <v/>
      </c>
      <c r="M851" s="39">
        <f>IFERROR(IF(OR(J851=0,K851=""),"",IF(E851="Positivo",MAX(K851/J851,0),MAX(J851/K851,0))),"") </f>
        <v/>
      </c>
      <c r="N851" t="inlineStr">
        <is>
          <t>%</t>
        </is>
      </c>
      <c r="O851" t="inlineStr">
        <is>
          <t>%</t>
        </is>
      </c>
      <c r="P851" t="n">
        <v>0</v>
      </c>
      <c r="Q851" t="n">
        <v>1</v>
      </c>
      <c r="R851" t="inlineStr">
        <is>
          <t>448-2025-12-31</t>
        </is>
      </c>
    </row>
    <row r="852">
      <c r="A852" t="n">
        <v>449</v>
      </c>
      <c r="B852" t="inlineStr">
        <is>
          <t>Cumplimiento en la supervisión y monitoreo a los planes de tratamiento de los riesgos institucionales en nivel alto y extremo</t>
        </is>
      </c>
      <c r="C852" t="inlineStr">
        <is>
          <t>GESTIÓN DE RIESGOS</t>
        </is>
      </c>
      <c r="D852" t="inlineStr">
        <is>
          <t>Trimestral</t>
        </is>
      </c>
      <c r="E852" t="inlineStr">
        <is>
          <t>Positivo</t>
        </is>
      </c>
      <c r="F852" s="111" t="n">
        <v>45657</v>
      </c>
      <c r="G852" t="n">
        <v>2024</v>
      </c>
      <c r="H852" t="inlineStr">
        <is>
          <t>Diciembre</t>
        </is>
      </c>
      <c r="I852" t="inlineStr">
        <is>
          <t>2024-2</t>
        </is>
      </c>
      <c r="J852" t="n">
        <v>100</v>
      </c>
      <c r="K852" t="n">
        <v>100</v>
      </c>
      <c r="L852" s="39">
        <f>IFERROR(IF(OR(J852=0,K852=""),"",IF(E852="Positivo",MIN(MAX(K852/J852,0),1.3),MIN(MAX(J852/K852,0),1.3))),"") </f>
        <v/>
      </c>
      <c r="M852" s="39">
        <f>IFERROR(IF(OR(J852=0,K852=""),"",IF(E852="Positivo",MAX(K852/J852,0),MAX(J852/K852,0))),"") </f>
        <v/>
      </c>
      <c r="N852" t="inlineStr">
        <is>
          <t>%</t>
        </is>
      </c>
      <c r="O852" t="inlineStr">
        <is>
          <t>%</t>
        </is>
      </c>
      <c r="P852" t="n">
        <v>0</v>
      </c>
      <c r="Q852" t="n">
        <v>0</v>
      </c>
      <c r="R852" t="inlineStr">
        <is>
          <t>449-2024-12-31</t>
        </is>
      </c>
    </row>
    <row r="853">
      <c r="A853" t="n">
        <v>451</v>
      </c>
      <c r="B853" t="inlineStr">
        <is>
          <t>% Participación de publicaciones positiva</t>
        </is>
      </c>
      <c r="C853" t="inlineStr">
        <is>
          <t>Comunicaciones Externas</t>
        </is>
      </c>
      <c r="D853" t="inlineStr">
        <is>
          <t>Semestral</t>
        </is>
      </c>
      <c r="E853" t="inlineStr">
        <is>
          <t>Positivo</t>
        </is>
      </c>
      <c r="F853" s="111" t="n">
        <v>45657</v>
      </c>
      <c r="G853" t="n">
        <v>2024</v>
      </c>
      <c r="H853" t="inlineStr">
        <is>
          <t>Diciembre</t>
        </is>
      </c>
      <c r="I853" t="inlineStr">
        <is>
          <t>2024-2</t>
        </is>
      </c>
      <c r="K853" t="n">
        <v>38.8</v>
      </c>
      <c r="L853" s="39" t="n"/>
      <c r="M853" s="39" t="n"/>
      <c r="N853" t="inlineStr">
        <is>
          <t>Linea Base</t>
        </is>
      </c>
      <c r="O853" t="inlineStr">
        <is>
          <t>%</t>
        </is>
      </c>
      <c r="P853" t="n">
        <v>0</v>
      </c>
      <c r="Q853" t="n">
        <v>0</v>
      </c>
      <c r="R853" t="inlineStr">
        <is>
          <t>451-2024-12-31</t>
        </is>
      </c>
    </row>
    <row r="854">
      <c r="A854" t="n">
        <v>451</v>
      </c>
      <c r="B854" t="inlineStr">
        <is>
          <t>% de publicaciones con sentimiento positivo</t>
        </is>
      </c>
      <c r="C854" t="inlineStr">
        <is>
          <t>Comunicaciones Externas</t>
        </is>
      </c>
      <c r="D854" t="inlineStr">
        <is>
          <t>Trimestral</t>
        </is>
      </c>
      <c r="E854" t="inlineStr">
        <is>
          <t>Positivo</t>
        </is>
      </c>
      <c r="F854" s="111" t="n">
        <v>46022</v>
      </c>
      <c r="G854" t="n">
        <v>2025</v>
      </c>
      <c r="H854" t="inlineStr">
        <is>
          <t>Diciembre</t>
        </is>
      </c>
      <c r="I854" t="inlineStr">
        <is>
          <t>2025-2</t>
        </is>
      </c>
      <c r="J854" t="n">
        <v>100</v>
      </c>
      <c r="K854" t="n">
        <v>125.15</v>
      </c>
      <c r="L854" s="39">
        <f>IFERROR(IF(OR(J854=0,K854=""),"",IF(E854="Positivo",MIN(MAX(K854/J854,0),1.3),MIN(MAX(J854/K854,0),1.3))),"") </f>
        <v/>
      </c>
      <c r="M854" s="39">
        <f>IFERROR(IF(OR(J854=0,K854=""),"",IF(E854="Positivo",MAX(K854/J854,0),MAX(J854/K854,0))),"") </f>
        <v/>
      </c>
      <c r="N854" t="inlineStr">
        <is>
          <t>%</t>
        </is>
      </c>
      <c r="O854" t="inlineStr">
        <is>
          <t>%</t>
        </is>
      </c>
      <c r="P854" t="n">
        <v>0</v>
      </c>
      <c r="Q854" t="n">
        <v>0</v>
      </c>
      <c r="R854" t="inlineStr">
        <is>
          <t>451-2025-12-31</t>
        </is>
      </c>
    </row>
    <row r="855">
      <c r="A855" t="n">
        <v>452</v>
      </c>
      <c r="B855" t="inlineStr">
        <is>
          <t>Seguimiento a eventos internos y externos institucionales</t>
        </is>
      </c>
      <c r="C855" t="inlineStr">
        <is>
          <t>Comunicaciones Externas</t>
        </is>
      </c>
      <c r="D855" t="inlineStr">
        <is>
          <t>Semestral</t>
        </is>
      </c>
      <c r="E855" t="inlineStr">
        <is>
          <t>Positivo</t>
        </is>
      </c>
      <c r="F855" s="111" t="n">
        <v>45657</v>
      </c>
      <c r="G855" t="n">
        <v>2024</v>
      </c>
      <c r="H855" t="inlineStr">
        <is>
          <t>Diciembre</t>
        </is>
      </c>
      <c r="I855" t="inlineStr">
        <is>
          <t>2024-2</t>
        </is>
      </c>
      <c r="J855" t="n">
        <v>100</v>
      </c>
      <c r="K855" t="n">
        <v>130</v>
      </c>
      <c r="L855" s="39">
        <f>IFERROR(IF(OR(J855=0,K855=""),"",IF(E855="Positivo",MIN(MAX(K855/J855,0),1.3),MIN(MAX(J855/K855,0),1.3))),"") </f>
        <v/>
      </c>
      <c r="M855" s="39">
        <f>IFERROR(IF(OR(J855=0,K855=""),"",IF(E855="Positivo",MAX(K855/J855,0),MAX(J855/K855,0))),"") </f>
        <v/>
      </c>
      <c r="N855" t="inlineStr">
        <is>
          <t>%</t>
        </is>
      </c>
      <c r="O855" t="inlineStr">
        <is>
          <t>%</t>
        </is>
      </c>
      <c r="P855" t="n">
        <v>0</v>
      </c>
      <c r="Q855" t="n">
        <v>0</v>
      </c>
      <c r="R855" t="inlineStr">
        <is>
          <t>452-2024-12-31</t>
        </is>
      </c>
    </row>
    <row r="856">
      <c r="A856" t="n">
        <v>452</v>
      </c>
      <c r="B856" t="inlineStr">
        <is>
          <t>Seguimiento a eventos internos y externos institucionales</t>
        </is>
      </c>
      <c r="C856" t="inlineStr">
        <is>
          <t>Comunicaciones Externas</t>
        </is>
      </c>
      <c r="D856" t="inlineStr">
        <is>
          <t>Trimestral</t>
        </is>
      </c>
      <c r="E856" t="inlineStr">
        <is>
          <t>Positivo</t>
        </is>
      </c>
      <c r="F856" s="111" t="n">
        <v>46022</v>
      </c>
      <c r="G856" t="n">
        <v>2025</v>
      </c>
      <c r="H856" t="inlineStr">
        <is>
          <t>Diciembre</t>
        </is>
      </c>
      <c r="I856" t="inlineStr">
        <is>
          <t>2025-2</t>
        </is>
      </c>
      <c r="J856" t="n">
        <v>100</v>
      </c>
      <c r="K856" t="n">
        <v>151.135</v>
      </c>
      <c r="L856" s="39">
        <f>IFERROR(IF(OR(J856=0,K856=""),"",IF(E856="Positivo",MIN(MAX(K856/J856,0),1.3),MIN(MAX(J856/K856,0),1.3))),"") </f>
        <v/>
      </c>
      <c r="M856" s="39">
        <f>IFERROR(IF(OR(J856=0,K856=""),"",IF(E856="Positivo",MAX(K856/J856,0),MAX(J856/K856,0))),"") </f>
        <v/>
      </c>
      <c r="N856" t="inlineStr">
        <is>
          <t>%</t>
        </is>
      </c>
      <c r="O856" t="inlineStr">
        <is>
          <t>%</t>
        </is>
      </c>
      <c r="P856" t="n">
        <v>0</v>
      </c>
      <c r="Q856" t="n">
        <v>0</v>
      </c>
      <c r="R856" t="inlineStr">
        <is>
          <t>452-2025-12-31</t>
        </is>
      </c>
    </row>
    <row r="857">
      <c r="A857" t="n">
        <v>453</v>
      </c>
      <c r="B857" t="inlineStr">
        <is>
          <t>Número de cursos diseñados</t>
        </is>
      </c>
      <c r="C857" t="inlineStr">
        <is>
          <t>Diseño de Contenido Virtual</t>
        </is>
      </c>
      <c r="D857" t="inlineStr">
        <is>
          <t>Trimestral</t>
        </is>
      </c>
      <c r="E857" t="inlineStr">
        <is>
          <t>Positivo</t>
        </is>
      </c>
      <c r="F857" s="111" t="n">
        <v>45657</v>
      </c>
      <c r="G857" t="n">
        <v>2024</v>
      </c>
      <c r="H857" t="inlineStr">
        <is>
          <t>Diciembre</t>
        </is>
      </c>
      <c r="I857" t="inlineStr">
        <is>
          <t>2024-2</t>
        </is>
      </c>
      <c r="J857" t="n">
        <v>300</v>
      </c>
      <c r="K857" t="n">
        <v>640</v>
      </c>
      <c r="L857" s="39">
        <f>IFERROR(IF(OR(J857=0,K857=""),"",IF(E857="Positivo",MIN(MAX(K857/J857,0),1.3),MIN(MAX(J857/K857,0),1.3))),"") </f>
        <v/>
      </c>
      <c r="M857" s="39">
        <f>IFERROR(IF(OR(J857=0,K857=""),"",IF(E857="Positivo",MAX(K857/J857,0),MAX(J857/K857,0))),"") </f>
        <v/>
      </c>
      <c r="N857" t="inlineStr">
        <is>
          <t>%</t>
        </is>
      </c>
      <c r="O857" t="inlineStr">
        <is>
          <t>%</t>
        </is>
      </c>
      <c r="P857" t="n">
        <v>0</v>
      </c>
      <c r="Q857" t="n">
        <v>0</v>
      </c>
      <c r="R857" t="inlineStr">
        <is>
          <t>453-2024-12-31</t>
        </is>
      </c>
    </row>
    <row r="858">
      <c r="A858" t="n">
        <v>453</v>
      </c>
      <c r="B858" t="inlineStr">
        <is>
          <t>Número de cursos diseñados</t>
        </is>
      </c>
      <c r="C858" t="inlineStr">
        <is>
          <t>Diseño de Contenido Virtual</t>
        </is>
      </c>
      <c r="D858" t="inlineStr">
        <is>
          <t>Semestral</t>
        </is>
      </c>
      <c r="E858" t="inlineStr">
        <is>
          <t>Positivo</t>
        </is>
      </c>
      <c r="F858" s="111" t="n">
        <v>46022</v>
      </c>
      <c r="G858" t="n">
        <v>2025</v>
      </c>
      <c r="H858" t="inlineStr">
        <is>
          <t>Diciembre</t>
        </is>
      </c>
      <c r="I858" t="inlineStr">
        <is>
          <t>2025-2</t>
        </is>
      </c>
      <c r="J858" t="n">
        <v>400</v>
      </c>
      <c r="K858" t="n">
        <v>348</v>
      </c>
      <c r="L858" s="39">
        <f>IFERROR(IF(OR(J858=0,K858=""),"",IF(E858="Positivo",MIN(MAX(K858/J858,0),1.3),MIN(MAX(J858/K858,0),1.3))),"") </f>
        <v/>
      </c>
      <c r="M858" s="39">
        <f>IFERROR(IF(OR(J858=0,K858=""),"",IF(E858="Positivo",MAX(K858/J858,0),MAX(J858/K858,0))),"") </f>
        <v/>
      </c>
      <c r="N858" t="inlineStr">
        <is>
          <t>%</t>
        </is>
      </c>
      <c r="O858" t="inlineStr">
        <is>
          <t>%</t>
        </is>
      </c>
      <c r="P858" t="n">
        <v>0</v>
      </c>
      <c r="Q858" t="n">
        <v>0</v>
      </c>
      <c r="R858" t="inlineStr">
        <is>
          <t>453-2025-12-31</t>
        </is>
      </c>
    </row>
    <row r="859">
      <c r="A859" t="n">
        <v>454</v>
      </c>
      <c r="B859" t="inlineStr">
        <is>
          <t>Satisfacción de la calidad del contenido</t>
        </is>
      </c>
      <c r="C859" t="inlineStr">
        <is>
          <t>Diseño de Contenido Virtual</t>
        </is>
      </c>
      <c r="D859" t="inlineStr">
        <is>
          <t>Trimestral</t>
        </is>
      </c>
      <c r="E859" t="inlineStr">
        <is>
          <t>Positivo</t>
        </is>
      </c>
      <c r="F859" s="111" t="n">
        <v>45657</v>
      </c>
      <c r="G859" t="n">
        <v>2024</v>
      </c>
      <c r="H859" t="inlineStr">
        <is>
          <t>Diciembre</t>
        </is>
      </c>
      <c r="I859" t="inlineStr">
        <is>
          <t>2024-2</t>
        </is>
      </c>
      <c r="J859" t="n">
        <v>0</v>
      </c>
      <c r="K859" t="n">
        <v>88</v>
      </c>
      <c r="L859" s="39">
        <f>IFERROR(IF(OR(J859=0,K859=""),"",IF(E859="Positivo",MIN(MAX(K859/J859,0),1.3),MIN(MAX(J859/K859,0),1.3))),"") </f>
        <v/>
      </c>
      <c r="M859" s="39">
        <f>IFERROR(IF(OR(J859=0,K859=""),"",IF(E859="Positivo",MAX(K859/J859,0),MAX(J859/K859,0))),"") </f>
        <v/>
      </c>
      <c r="N859" t="inlineStr">
        <is>
          <t>%</t>
        </is>
      </c>
      <c r="O859" t="inlineStr">
        <is>
          <t>%</t>
        </is>
      </c>
      <c r="P859" t="n">
        <v>0</v>
      </c>
      <c r="Q859" t="n">
        <v>0</v>
      </c>
      <c r="R859" t="inlineStr">
        <is>
          <t>454-2024-12-31</t>
        </is>
      </c>
    </row>
    <row r="860">
      <c r="A860" t="n">
        <v>455</v>
      </c>
      <c r="B860" t="inlineStr">
        <is>
          <t>ANS Diseño de contenidos virtuales</t>
        </is>
      </c>
      <c r="C860" t="inlineStr">
        <is>
          <t>Diseño de Contenido Virtual</t>
        </is>
      </c>
      <c r="D860" t="inlineStr">
        <is>
          <t>Trimestral</t>
        </is>
      </c>
      <c r="E860" t="inlineStr">
        <is>
          <t>Positivo</t>
        </is>
      </c>
      <c r="F860" s="111" t="n">
        <v>45657</v>
      </c>
      <c r="G860" t="n">
        <v>2024</v>
      </c>
      <c r="H860" t="inlineStr">
        <is>
          <t>Diciembre</t>
        </is>
      </c>
      <c r="I860" t="inlineStr">
        <is>
          <t>2024-2</t>
        </is>
      </c>
      <c r="J860" t="n">
        <v>90</v>
      </c>
      <c r="K860" t="n">
        <v>100</v>
      </c>
      <c r="L860" s="39">
        <f>IFERROR(IF(OR(J860=0,K860=""),"",IF(E860="Positivo",MIN(MAX(K860/J860,0),1.3),MIN(MAX(J860/K860,0),1.3))),"") </f>
        <v/>
      </c>
      <c r="M860" s="39">
        <f>IFERROR(IF(OR(J860=0,K860=""),"",IF(E860="Positivo",MAX(K860/J860,0),MAX(J860/K860,0))),"") </f>
        <v/>
      </c>
      <c r="N860" t="inlineStr">
        <is>
          <t>%</t>
        </is>
      </c>
      <c r="O860" t="inlineStr">
        <is>
          <t>%</t>
        </is>
      </c>
      <c r="P860" t="n">
        <v>0</v>
      </c>
      <c r="Q860" t="n">
        <v>0</v>
      </c>
      <c r="R860" t="inlineStr">
        <is>
          <t>455-2024-12-31</t>
        </is>
      </c>
    </row>
    <row r="861">
      <c r="A861" t="n">
        <v>455</v>
      </c>
      <c r="B861" t="inlineStr">
        <is>
          <t>ANS Diseño de contenidos virtuales</t>
        </is>
      </c>
      <c r="C861" t="inlineStr">
        <is>
          <t>Diseño de Contenido Virtual</t>
        </is>
      </c>
      <c r="D861" t="inlineStr">
        <is>
          <t>Semestral</t>
        </is>
      </c>
      <c r="E861" t="inlineStr">
        <is>
          <t>Positivo</t>
        </is>
      </c>
      <c r="F861" s="111" t="n">
        <v>46022</v>
      </c>
      <c r="G861" t="n">
        <v>2025</v>
      </c>
      <c r="H861" t="inlineStr">
        <is>
          <t>Diciembre</t>
        </is>
      </c>
      <c r="I861" t="inlineStr">
        <is>
          <t>2025-2</t>
        </is>
      </c>
      <c r="J861" t="n">
        <v>100</v>
      </c>
      <c r="K861" t="n">
        <v>100</v>
      </c>
      <c r="L861" s="39">
        <f>IFERROR(IF(OR(J861=0,K861=""),"",IF(E861="Positivo",MIN(MAX(K861/J861,0),1.3),MIN(MAX(J861/K861,0),1.3))),"") </f>
        <v/>
      </c>
      <c r="M861" s="39">
        <f>IFERROR(IF(OR(J861=0,K861=""),"",IF(E861="Positivo",MAX(K861/J861,0),MAX(J861/K861,0))),"") </f>
        <v/>
      </c>
      <c r="N861" t="inlineStr">
        <is>
          <t>%</t>
        </is>
      </c>
      <c r="O861" t="inlineStr">
        <is>
          <t>%</t>
        </is>
      </c>
      <c r="P861" t="n">
        <v>0</v>
      </c>
      <c r="Q861" t="n">
        <v>0</v>
      </c>
      <c r="R861" t="inlineStr">
        <is>
          <t>455-2025-12-31</t>
        </is>
      </c>
    </row>
    <row r="862">
      <c r="A862" t="n">
        <v>456</v>
      </c>
      <c r="B862" t="inlineStr">
        <is>
          <t>Impacto de campañas de Mailing</t>
        </is>
      </c>
      <c r="C862" t="inlineStr">
        <is>
          <t>Comunicaciones Internas</t>
        </is>
      </c>
      <c r="D862" t="inlineStr">
        <is>
          <t>Semestral</t>
        </is>
      </c>
      <c r="E862" t="inlineStr">
        <is>
          <t>Positivo</t>
        </is>
      </c>
      <c r="F862" s="111" t="n">
        <v>45657</v>
      </c>
      <c r="G862" t="n">
        <v>2024</v>
      </c>
      <c r="H862" t="inlineStr">
        <is>
          <t>Diciembre</t>
        </is>
      </c>
      <c r="I862" t="inlineStr">
        <is>
          <t>2024-2</t>
        </is>
      </c>
      <c r="J862" t="n">
        <v>100</v>
      </c>
      <c r="K862" t="n">
        <v>97.345</v>
      </c>
      <c r="L862" s="39">
        <f>IFERROR(IF(OR(J862=0,K862=""),"",IF(E862="Positivo",MIN(MAX(K862/J862,0),1.3),MIN(MAX(J862/K862,0),1.3))),"") </f>
        <v/>
      </c>
      <c r="M862" s="39">
        <f>IFERROR(IF(OR(J862=0,K862=""),"",IF(E862="Positivo",MAX(K862/J862,0),MAX(J862/K862,0))),"") </f>
        <v/>
      </c>
      <c r="N862" t="inlineStr">
        <is>
          <t>%</t>
        </is>
      </c>
      <c r="O862" t="inlineStr">
        <is>
          <t>%</t>
        </is>
      </c>
      <c r="P862" t="n">
        <v>0</v>
      </c>
      <c r="Q862" t="n">
        <v>0</v>
      </c>
      <c r="R862" t="inlineStr">
        <is>
          <t>456-2024-12-31</t>
        </is>
      </c>
    </row>
    <row r="863">
      <c r="A863" t="n">
        <v>456</v>
      </c>
      <c r="B863" t="inlineStr">
        <is>
          <t>Impacto de campañas de Mailing</t>
        </is>
      </c>
      <c r="C863" t="inlineStr">
        <is>
          <t>Comunicaciones Internas</t>
        </is>
      </c>
      <c r="D863" t="inlineStr">
        <is>
          <t>Semestral</t>
        </is>
      </c>
      <c r="E863" t="inlineStr">
        <is>
          <t>Positivo</t>
        </is>
      </c>
      <c r="F863" s="111" t="n">
        <v>46022</v>
      </c>
      <c r="G863" t="n">
        <v>2025</v>
      </c>
      <c r="H863" t="inlineStr">
        <is>
          <t>Diciembre</t>
        </is>
      </c>
      <c r="I863" t="inlineStr">
        <is>
          <t>2025-2</t>
        </is>
      </c>
      <c r="J863" t="n">
        <v>100</v>
      </c>
      <c r="K863" t="n">
        <v>111.5925</v>
      </c>
      <c r="L863" s="39">
        <f>IFERROR(IF(OR(J863=0,K863=""),"",IF(E863="Positivo",MIN(MAX(K863/J863,0),1.3),MIN(MAX(J863/K863,0),1.3))),"") </f>
        <v/>
      </c>
      <c r="M863" s="39">
        <f>IFERROR(IF(OR(J863=0,K863=""),"",IF(E863="Positivo",MAX(K863/J863,0),MAX(J863/K863,0))),"") </f>
        <v/>
      </c>
      <c r="N863" t="inlineStr">
        <is>
          <t>%</t>
        </is>
      </c>
      <c r="O863" t="inlineStr">
        <is>
          <t>%</t>
        </is>
      </c>
      <c r="P863" t="n">
        <v>0</v>
      </c>
      <c r="Q863" t="n">
        <v>0</v>
      </c>
      <c r="R863" t="inlineStr">
        <is>
          <t>456-2025-12-31</t>
        </is>
      </c>
    </row>
    <row r="864">
      <c r="A864" t="n">
        <v>457</v>
      </c>
      <c r="B864" t="inlineStr">
        <is>
          <t>Apertura de enlaces en mensajes de texto</t>
        </is>
      </c>
      <c r="C864" t="inlineStr">
        <is>
          <t>Comunicaciones Internas</t>
        </is>
      </c>
      <c r="D864" t="inlineStr">
        <is>
          <t>Semestral</t>
        </is>
      </c>
      <c r="E864" t="inlineStr">
        <is>
          <t>Positivo</t>
        </is>
      </c>
      <c r="F864" s="111" t="n">
        <v>45657</v>
      </c>
      <c r="G864" t="n">
        <v>2024</v>
      </c>
      <c r="H864" t="inlineStr">
        <is>
          <t>Diciembre</t>
        </is>
      </c>
      <c r="I864" t="inlineStr">
        <is>
          <t>2024-2</t>
        </is>
      </c>
      <c r="J864" t="n">
        <v>100</v>
      </c>
      <c r="K864" t="n">
        <v>80</v>
      </c>
      <c r="L864" s="39">
        <f>IFERROR(IF(OR(J864=0,K864=""),"",IF(E864="Positivo",MIN(MAX(K864/J864,0),1.3),MIN(MAX(J864/K864,0),1.3))),"") </f>
        <v/>
      </c>
      <c r="M864" s="39">
        <f>IFERROR(IF(OR(J864=0,K864=""),"",IF(E864="Positivo",MAX(K864/J864,0),MAX(J864/K864,0))),"") </f>
        <v/>
      </c>
      <c r="N864" t="inlineStr">
        <is>
          <t>%</t>
        </is>
      </c>
      <c r="O864" t="inlineStr">
        <is>
          <t>%</t>
        </is>
      </c>
      <c r="P864" t="n">
        <v>0</v>
      </c>
      <c r="Q864" t="n">
        <v>0</v>
      </c>
      <c r="R864" t="inlineStr">
        <is>
          <t>457-2024-12-31</t>
        </is>
      </c>
    </row>
    <row r="865">
      <c r="A865" t="n">
        <v>457</v>
      </c>
      <c r="B865" t="inlineStr">
        <is>
          <t>Apertura de enlaces en mensajes de texto</t>
        </is>
      </c>
      <c r="C865" t="inlineStr">
        <is>
          <t>Comunicaciones Internas</t>
        </is>
      </c>
      <c r="D865" t="inlineStr">
        <is>
          <t>Semestral</t>
        </is>
      </c>
      <c r="E865" t="inlineStr">
        <is>
          <t>Positivo</t>
        </is>
      </c>
      <c r="F865" s="111" t="n">
        <v>46022</v>
      </c>
      <c r="G865" t="n">
        <v>2025</v>
      </c>
      <c r="H865" t="inlineStr">
        <is>
          <t>Diciembre</t>
        </is>
      </c>
      <c r="I865" t="inlineStr">
        <is>
          <t>2025-2</t>
        </is>
      </c>
      <c r="J865" t="n">
        <v>100</v>
      </c>
      <c r="K865" t="n">
        <v>113.0925</v>
      </c>
      <c r="L865" s="39">
        <f>IFERROR(IF(OR(J865=0,K865=""),"",IF(E865="Positivo",MIN(MAX(K865/J865,0),1.3),MIN(MAX(J865/K865,0),1.3))),"") </f>
        <v/>
      </c>
      <c r="M865" s="39">
        <f>IFERROR(IF(OR(J865=0,K865=""),"",IF(E865="Positivo",MAX(K865/J865,0),MAX(J865/K865,0))),"") </f>
        <v/>
      </c>
      <c r="N865" t="inlineStr">
        <is>
          <t>%</t>
        </is>
      </c>
      <c r="O865" t="inlineStr">
        <is>
          <t>%</t>
        </is>
      </c>
      <c r="P865" t="n">
        <v>0</v>
      </c>
      <c r="Q865" t="n">
        <v>0</v>
      </c>
      <c r="R865" t="inlineStr">
        <is>
          <t>457-2025-12-31</t>
        </is>
      </c>
    </row>
    <row r="866">
      <c r="A866" t="n">
        <v>459</v>
      </c>
      <c r="B866" t="inlineStr">
        <is>
          <t>Número de publicaciones e historias</t>
        </is>
      </c>
      <c r="C866" t="inlineStr">
        <is>
          <t>Comunicaciones Externas</t>
        </is>
      </c>
      <c r="D866" t="inlineStr">
        <is>
          <t>Trimestral</t>
        </is>
      </c>
      <c r="E866" t="inlineStr">
        <is>
          <t>Positivo</t>
        </is>
      </c>
      <c r="F866" s="111" t="n">
        <v>45657</v>
      </c>
      <c r="G866" t="n">
        <v>2024</v>
      </c>
      <c r="H866" t="inlineStr">
        <is>
          <t>Diciembre</t>
        </is>
      </c>
      <c r="I866" t="inlineStr">
        <is>
          <t>2024-2</t>
        </is>
      </c>
      <c r="J866" t="n">
        <v>100</v>
      </c>
      <c r="L866" s="39" t="n"/>
      <c r="M866" s="39" t="n"/>
      <c r="N866" t="inlineStr">
        <is>
          <t>%</t>
        </is>
      </c>
      <c r="O866" t="inlineStr">
        <is>
          <t>%</t>
        </is>
      </c>
      <c r="P866" t="n">
        <v>0</v>
      </c>
      <c r="Q866" t="n">
        <v>0</v>
      </c>
      <c r="R866" t="inlineStr">
        <is>
          <t>459-2024-12-31</t>
        </is>
      </c>
    </row>
    <row r="867">
      <c r="A867" t="n">
        <v>460</v>
      </c>
      <c r="B867" t="inlineStr">
        <is>
          <t>% de profesores (Contrato Indefinido- Fijo) impactados plan de desarrollo docente</t>
        </is>
      </c>
      <c r="C867" t="inlineStr">
        <is>
          <t>GESTIÓN Y DESARROLLO DEL TALENTO HUMANO</t>
        </is>
      </c>
      <c r="D867" t="inlineStr">
        <is>
          <t>Anual</t>
        </is>
      </c>
      <c r="E867" t="inlineStr">
        <is>
          <t>Positivo</t>
        </is>
      </c>
      <c r="F867" s="111" t="n">
        <v>45657</v>
      </c>
      <c r="G867" t="n">
        <v>2024</v>
      </c>
      <c r="H867" t="inlineStr">
        <is>
          <t>Diciembre</t>
        </is>
      </c>
      <c r="I867" t="inlineStr">
        <is>
          <t>2024-2</t>
        </is>
      </c>
      <c r="J867" t="n">
        <v>80</v>
      </c>
      <c r="K867" t="n">
        <v>91.43968871595332</v>
      </c>
      <c r="L867" s="39">
        <f>IFERROR(IF(OR(J867=0,K867=""),"",IF(E867="Positivo",MIN(MAX(K867/J867,0),1.3),MIN(MAX(J867/K867,0),1.3))),"") </f>
        <v/>
      </c>
      <c r="M867" s="39">
        <f>IFERROR(IF(OR(J867=0,K867=""),"",IF(E867="Positivo",MAX(K867/J867,0),MAX(J867/K867,0))),"") </f>
        <v/>
      </c>
      <c r="N867" t="inlineStr">
        <is>
          <t>%</t>
        </is>
      </c>
      <c r="O867" t="inlineStr">
        <is>
          <t>%</t>
        </is>
      </c>
      <c r="P867" t="n">
        <v>0</v>
      </c>
      <c r="Q867" t="n">
        <v>1</v>
      </c>
      <c r="R867" t="inlineStr">
        <is>
          <t>460-2024-12-31</t>
        </is>
      </c>
    </row>
    <row r="868">
      <c r="A868" t="n">
        <v>460</v>
      </c>
      <c r="B868" t="inlineStr">
        <is>
          <t>% de profesores (Contrato Indefinido- Fijo) impactados plan de desarrollo docente *</t>
        </is>
      </c>
      <c r="C868" t="inlineStr">
        <is>
          <t>GESTIÓN Y DESARROLLO DEL TALENTO HUMANO</t>
        </is>
      </c>
      <c r="D868" t="inlineStr">
        <is>
          <t>Anual</t>
        </is>
      </c>
      <c r="E868" t="inlineStr">
        <is>
          <t>Positivo</t>
        </is>
      </c>
      <c r="F868" s="111" t="n">
        <v>46022</v>
      </c>
      <c r="G868" t="n">
        <v>2025</v>
      </c>
      <c r="H868" t="inlineStr">
        <is>
          <t>Diciembre</t>
        </is>
      </c>
      <c r="I868" t="inlineStr">
        <is>
          <t>2025-2</t>
        </is>
      </c>
      <c r="J868" t="n">
        <v>80</v>
      </c>
      <c r="K868" t="n">
        <v>84.18000000000001</v>
      </c>
      <c r="L868" s="39">
        <f>IFERROR(IF(OR(J868=0,K868=""),"",IF(E868="Positivo",MIN(MAX(K868/J868,0),1.3),MIN(MAX(J868/K868,0),1.3))),"") </f>
        <v/>
      </c>
      <c r="M868" s="39">
        <f>IFERROR(IF(OR(J868=0,K868=""),"",IF(E868="Positivo",MAX(K868/J868,0),MAX(J868/K868,0))),"") </f>
        <v/>
      </c>
      <c r="N868" t="inlineStr">
        <is>
          <t>%</t>
        </is>
      </c>
      <c r="O868" t="inlineStr">
        <is>
          <t>%</t>
        </is>
      </c>
      <c r="P868" t="n">
        <v>0</v>
      </c>
      <c r="Q868" t="n">
        <v>1</v>
      </c>
      <c r="R868" t="inlineStr">
        <is>
          <t>460-2025-12-31</t>
        </is>
      </c>
    </row>
    <row r="869">
      <c r="A869" t="n">
        <v>462</v>
      </c>
      <c r="B869" t="inlineStr">
        <is>
          <t>Nivel Esfuerzo Editorial</t>
        </is>
      </c>
      <c r="C869" t="inlineStr">
        <is>
          <t>Editorial y Publicaciones</t>
        </is>
      </c>
      <c r="D869" t="inlineStr">
        <is>
          <t>Semestral</t>
        </is>
      </c>
      <c r="E869" t="inlineStr">
        <is>
          <t>Positivo</t>
        </is>
      </c>
      <c r="F869" s="111" t="n">
        <v>45657</v>
      </c>
      <c r="G869" t="n">
        <v>2024</v>
      </c>
      <c r="H869" t="inlineStr">
        <is>
          <t>Diciembre</t>
        </is>
      </c>
      <c r="I869" t="inlineStr">
        <is>
          <t>2024-2</t>
        </is>
      </c>
      <c r="J869" t="n">
        <v>85</v>
      </c>
      <c r="K869" t="n">
        <v>100</v>
      </c>
      <c r="L869" s="39">
        <f>IFERROR(IF(OR(J869=0,K869=""),"",IF(E869="Positivo",MIN(MAX(K869/J869,0),1.3),MIN(MAX(J869/K869,0),1.3))),"") </f>
        <v/>
      </c>
      <c r="M869" s="39">
        <f>IFERROR(IF(OR(J869=0,K869=""),"",IF(E869="Positivo",MAX(K869/J869,0),MAX(J869/K869,0))),"") </f>
        <v/>
      </c>
      <c r="N869" t="inlineStr">
        <is>
          <t>%</t>
        </is>
      </c>
      <c r="O869" t="inlineStr">
        <is>
          <t>%</t>
        </is>
      </c>
      <c r="P869" t="n">
        <v>0</v>
      </c>
      <c r="Q869" t="n">
        <v>0</v>
      </c>
      <c r="R869" t="inlineStr">
        <is>
          <t>462-2024-12-31</t>
        </is>
      </c>
    </row>
    <row r="870">
      <c r="A870" t="n">
        <v>463</v>
      </c>
      <c r="B870" t="inlineStr">
        <is>
          <t>Cumplimiento de las acciones del Plan de mejoramiento GPW</t>
        </is>
      </c>
      <c r="C870" t="inlineStr">
        <is>
          <t>GESTIÓN Y DESARROLLO DEL TALENTO HUMANO</t>
        </is>
      </c>
      <c r="D870" t="inlineStr">
        <is>
          <t>Semestral</t>
        </is>
      </c>
      <c r="E870" t="inlineStr">
        <is>
          <t>Positivo</t>
        </is>
      </c>
      <c r="F870" s="111" t="n">
        <v>45657</v>
      </c>
      <c r="G870" t="n">
        <v>2024</v>
      </c>
      <c r="H870" t="inlineStr">
        <is>
          <t>Diciembre</t>
        </is>
      </c>
      <c r="I870" t="inlineStr">
        <is>
          <t>2024-2</t>
        </is>
      </c>
      <c r="J870" t="n">
        <v>100</v>
      </c>
      <c r="K870" t="n">
        <v>100</v>
      </c>
      <c r="L870" s="39">
        <f>IFERROR(IF(OR(J870=0,K870=""),"",IF(E870="Positivo",MIN(MAX(K870/J870,0),1.3),MIN(MAX(J870/K870,0),1.3))),"") </f>
        <v/>
      </c>
      <c r="M870" s="39">
        <f>IFERROR(IF(OR(J870=0,K870=""),"",IF(E870="Positivo",MAX(K870/J870,0),MAX(J870/K870,0))),"") </f>
        <v/>
      </c>
      <c r="N870" t="inlineStr">
        <is>
          <t>%</t>
        </is>
      </c>
      <c r="O870" t="inlineStr">
        <is>
          <t>%</t>
        </is>
      </c>
      <c r="P870" t="n">
        <v>0</v>
      </c>
      <c r="Q870" t="n">
        <v>0</v>
      </c>
      <c r="R870" t="inlineStr">
        <is>
          <t>463-2024-12-31</t>
        </is>
      </c>
    </row>
    <row r="871">
      <c r="A871" t="n">
        <v>465</v>
      </c>
      <c r="B871" t="inlineStr">
        <is>
          <t>% de depuración histórico  SNIES</t>
        </is>
      </c>
      <c r="C871" t="inlineStr">
        <is>
          <t>DATOS Y ANALÍTICA</t>
        </is>
      </c>
      <c r="D871" t="inlineStr">
        <is>
          <t>Semestral</t>
        </is>
      </c>
      <c r="E871" t="inlineStr">
        <is>
          <t>Positivo</t>
        </is>
      </c>
      <c r="F871" s="111" t="n">
        <v>45657</v>
      </c>
      <c r="G871" t="n">
        <v>2024</v>
      </c>
      <c r="H871" t="inlineStr">
        <is>
          <t>Diciembre</t>
        </is>
      </c>
      <c r="I871" t="inlineStr">
        <is>
          <t>2024-2</t>
        </is>
      </c>
      <c r="J871" t="n">
        <v>100</v>
      </c>
      <c r="K871" t="n">
        <v>56.83</v>
      </c>
      <c r="L871" s="39">
        <f>IFERROR(IF(OR(J871=0,K871=""),"",IF(E871="Positivo",MIN(MAX(K871/J871,0),1.3),MIN(MAX(J871/K871,0),1.3))),"") </f>
        <v/>
      </c>
      <c r="M871" s="39">
        <f>IFERROR(IF(OR(J871=0,K871=""),"",IF(E871="Positivo",MAX(K871/J871,0),MAX(J871/K871,0))),"") </f>
        <v/>
      </c>
      <c r="N871" t="inlineStr">
        <is>
          <t>%</t>
        </is>
      </c>
      <c r="O871" t="inlineStr">
        <is>
          <t>%</t>
        </is>
      </c>
      <c r="P871" t="n">
        <v>0</v>
      </c>
      <c r="Q871" t="n">
        <v>0</v>
      </c>
      <c r="R871" t="inlineStr">
        <is>
          <t>465-2024-12-31</t>
        </is>
      </c>
    </row>
    <row r="872">
      <c r="A872" t="n">
        <v>466</v>
      </c>
      <c r="B872" t="inlineStr">
        <is>
          <t>NPS Estudiantes</t>
        </is>
      </c>
      <c r="C872" t="inlineStr">
        <is>
          <t>Servicio</t>
        </is>
      </c>
      <c r="D872" t="inlineStr">
        <is>
          <t>Semestral</t>
        </is>
      </c>
      <c r="E872" t="inlineStr">
        <is>
          <t>Positivo</t>
        </is>
      </c>
      <c r="F872" s="111" t="n">
        <v>45657</v>
      </c>
      <c r="G872" t="n">
        <v>2024</v>
      </c>
      <c r="H872" t="inlineStr">
        <is>
          <t>Diciembre</t>
        </is>
      </c>
      <c r="I872" t="inlineStr">
        <is>
          <t>2024-2</t>
        </is>
      </c>
      <c r="J872" t="n">
        <v>100</v>
      </c>
      <c r="K872" t="n">
        <v>113.4</v>
      </c>
      <c r="L872" s="39">
        <f>IFERROR(IF(OR(J872=0,K872=""),"",IF(E872="Positivo",MIN(MAX(K872/J872,0),1.3),MIN(MAX(J872/K872,0),1.3))),"") </f>
        <v/>
      </c>
      <c r="M872" s="39">
        <f>IFERROR(IF(OR(J872=0,K872=""),"",IF(E872="Positivo",MAX(K872/J872,0),MAX(J872/K872,0))),"") </f>
        <v/>
      </c>
      <c r="N872" t="inlineStr">
        <is>
          <t>ENT</t>
        </is>
      </c>
      <c r="O872" t="inlineStr">
        <is>
          <t>DEC</t>
        </is>
      </c>
      <c r="P872" t="n">
        <v>1</v>
      </c>
      <c r="Q872" t="n">
        <v>1</v>
      </c>
      <c r="R872" t="inlineStr">
        <is>
          <t>466-2024-12-31</t>
        </is>
      </c>
    </row>
    <row r="873">
      <c r="A873" t="n">
        <v>466</v>
      </c>
      <c r="B873" t="inlineStr">
        <is>
          <t>NPS Estudiantes</t>
        </is>
      </c>
      <c r="C873" t="inlineStr">
        <is>
          <t>Servicio</t>
        </is>
      </c>
      <c r="D873" t="inlineStr">
        <is>
          <t>Semestral</t>
        </is>
      </c>
      <c r="E873" t="inlineStr">
        <is>
          <t>Positivo</t>
        </is>
      </c>
      <c r="F873" s="111" t="n">
        <v>46022</v>
      </c>
      <c r="G873" t="n">
        <v>2025</v>
      </c>
      <c r="H873" t="inlineStr">
        <is>
          <t>Diciembre</t>
        </is>
      </c>
      <c r="I873" t="inlineStr">
        <is>
          <t>2025-2</t>
        </is>
      </c>
      <c r="J873" t="n">
        <v>100</v>
      </c>
      <c r="K873" t="n">
        <v>106.55</v>
      </c>
      <c r="L873" s="39">
        <f>IFERROR(IF(OR(J873=0,K873=""),"",IF(E873="Positivo",MIN(MAX(K873/J873,0),1.3),MIN(MAX(J873/K873,0),1.3))),"") </f>
        <v/>
      </c>
      <c r="M873" s="39">
        <f>IFERROR(IF(OR(J873=0,K873=""),"",IF(E873="Positivo",MAX(K873/J873,0),MAX(J873/K873,0))),"") </f>
        <v/>
      </c>
      <c r="N873" t="inlineStr">
        <is>
          <t>ENT</t>
        </is>
      </c>
      <c r="O873" t="inlineStr">
        <is>
          <t>DEC</t>
        </is>
      </c>
      <c r="P873" t="n">
        <v>1</v>
      </c>
      <c r="Q873" t="n">
        <v>1</v>
      </c>
      <c r="R873" t="inlineStr">
        <is>
          <t>466-2025-12-31</t>
        </is>
      </c>
    </row>
    <row r="874">
      <c r="A874" t="n">
        <v>467</v>
      </c>
      <c r="B874" t="inlineStr">
        <is>
          <t>NPS Graduados</t>
        </is>
      </c>
      <c r="C874" t="inlineStr">
        <is>
          <t>EXPERIENCIA INSTITUCIONAL</t>
        </is>
      </c>
      <c r="D874" t="inlineStr">
        <is>
          <t>Semestral</t>
        </is>
      </c>
      <c r="E874" t="inlineStr">
        <is>
          <t>Positivo</t>
        </is>
      </c>
      <c r="F874" s="111" t="n">
        <v>45657</v>
      </c>
      <c r="G874" t="n">
        <v>2024</v>
      </c>
      <c r="H874" t="inlineStr">
        <is>
          <t>Diciembre</t>
        </is>
      </c>
      <c r="I874" t="inlineStr">
        <is>
          <t>2024-2</t>
        </is>
      </c>
      <c r="J874" t="n">
        <v>100</v>
      </c>
      <c r="K874" t="n">
        <v>121.54</v>
      </c>
      <c r="L874" s="39">
        <f>IFERROR(IF(OR(J874=0,K874=""),"",IF(E874="Positivo",MIN(MAX(K874/J874,0),1.3),MIN(MAX(J874/K874,0),1.3))),"") </f>
        <v/>
      </c>
      <c r="M874" s="39">
        <f>IFERROR(IF(OR(J874=0,K874=""),"",IF(E874="Positivo",MAX(K874/J874,0),MAX(J874/K874,0))),"") </f>
        <v/>
      </c>
      <c r="N874" t="inlineStr">
        <is>
          <t>ENT</t>
        </is>
      </c>
      <c r="O874" t="inlineStr">
        <is>
          <t>DEC</t>
        </is>
      </c>
      <c r="P874" t="n">
        <v>0</v>
      </c>
      <c r="Q874" t="n">
        <v>1</v>
      </c>
      <c r="R874" t="inlineStr">
        <is>
          <t>467-2024-12-31</t>
        </is>
      </c>
    </row>
    <row r="875">
      <c r="A875" t="n">
        <v>467</v>
      </c>
      <c r="B875" t="inlineStr">
        <is>
          <t>NPS Graduados</t>
        </is>
      </c>
      <c r="C875" t="inlineStr">
        <is>
          <t>EXPERIENCIA INSTITUCIONAL</t>
        </is>
      </c>
      <c r="D875" t="inlineStr">
        <is>
          <t>Trimestral</t>
        </is>
      </c>
      <c r="E875" t="inlineStr">
        <is>
          <t>Positivo</t>
        </is>
      </c>
      <c r="F875" s="111" t="n">
        <v>46022</v>
      </c>
      <c r="G875" t="n">
        <v>2025</v>
      </c>
      <c r="H875" t="inlineStr">
        <is>
          <t>Diciembre</t>
        </is>
      </c>
      <c r="I875" t="inlineStr">
        <is>
          <t>2025-2</t>
        </is>
      </c>
      <c r="J875" t="n">
        <v>100</v>
      </c>
      <c r="K875" t="n">
        <v>108.75</v>
      </c>
      <c r="L875" s="39">
        <f>IFERROR(IF(OR(J875=0,K875=""),"",IF(E875="Positivo",MIN(MAX(K875/J875,0),1.3),MIN(MAX(J875/K875,0),1.3))),"") </f>
        <v/>
      </c>
      <c r="M875" s="39">
        <f>IFERROR(IF(OR(J875=0,K875=""),"",IF(E875="Positivo",MAX(K875/J875,0),MAX(J875/K875,0))),"") </f>
        <v/>
      </c>
      <c r="N875" t="inlineStr">
        <is>
          <t>ENT</t>
        </is>
      </c>
      <c r="O875" t="inlineStr">
        <is>
          <t>DEC</t>
        </is>
      </c>
      <c r="P875" t="n">
        <v>0</v>
      </c>
      <c r="Q875" t="n">
        <v>1</v>
      </c>
      <c r="R875" t="inlineStr">
        <is>
          <t>467-2025-12-31</t>
        </is>
      </c>
    </row>
    <row r="876">
      <c r="A876" t="n">
        <v>468</v>
      </c>
      <c r="B876" t="inlineStr">
        <is>
          <t>CES General</t>
        </is>
      </c>
      <c r="C876" t="inlineStr">
        <is>
          <t>EXPERIENCIA INSTITUCIONAL</t>
        </is>
      </c>
      <c r="D876" t="inlineStr">
        <is>
          <t>Semestral</t>
        </is>
      </c>
      <c r="E876" t="inlineStr">
        <is>
          <t>Negativo</t>
        </is>
      </c>
      <c r="F876" s="111" t="n">
        <v>45657</v>
      </c>
      <c r="G876" t="n">
        <v>2024</v>
      </c>
      <c r="H876" t="inlineStr">
        <is>
          <t>Diciembre</t>
        </is>
      </c>
      <c r="I876" t="inlineStr">
        <is>
          <t>2024-2</t>
        </is>
      </c>
      <c r="J876" t="n">
        <v>3</v>
      </c>
      <c r="K876" t="n">
        <v>2.725</v>
      </c>
      <c r="L876" s="39">
        <f>IFERROR(IF(OR(J876=0,K876=""),"",IF(E876="Positivo",MIN(MAX(K876/J876,0),1.3),MIN(MAX(J876/K876,0),1.3))),"") </f>
        <v/>
      </c>
      <c r="M876" s="39">
        <f>IFERROR(IF(OR(J876=0,K876=""),"",IF(E876="Positivo",MAX(K876/J876,0),MAX(J876/K876,0))),"") </f>
        <v/>
      </c>
      <c r="N876" t="inlineStr">
        <is>
          <t>ENT</t>
        </is>
      </c>
      <c r="O876" t="inlineStr">
        <is>
          <t>DEC</t>
        </is>
      </c>
      <c r="P876" t="n">
        <v>0</v>
      </c>
      <c r="Q876" t="n">
        <v>1</v>
      </c>
      <c r="R876" t="inlineStr">
        <is>
          <t>468-2024-12-31</t>
        </is>
      </c>
    </row>
    <row r="877">
      <c r="A877" t="n">
        <v>468</v>
      </c>
      <c r="B877" t="inlineStr">
        <is>
          <t>CES General</t>
        </is>
      </c>
      <c r="C877" t="inlineStr">
        <is>
          <t>EXPERIENCIA INSTITUCIONAL</t>
        </is>
      </c>
      <c r="D877" t="inlineStr">
        <is>
          <t>Trimestral</t>
        </is>
      </c>
      <c r="E877" t="inlineStr">
        <is>
          <t>Negativo</t>
        </is>
      </c>
      <c r="F877" s="111" t="n">
        <v>46022</v>
      </c>
      <c r="G877" t="n">
        <v>2025</v>
      </c>
      <c r="H877" t="inlineStr">
        <is>
          <t>Diciembre</t>
        </is>
      </c>
      <c r="I877" t="inlineStr">
        <is>
          <t>2025-2</t>
        </is>
      </c>
      <c r="J877" t="n">
        <v>2.5</v>
      </c>
      <c r="K877" t="n">
        <v>2.25</v>
      </c>
      <c r="L877" s="39">
        <f>IFERROR(IF(OR(J877=0,K877=""),"",IF(E877="Positivo",MIN(MAX(K877/J877,0),1.3),MIN(MAX(J877/K877,0),1.3))),"") </f>
        <v/>
      </c>
      <c r="M877" s="39">
        <f>IFERROR(IF(OR(J877=0,K877=""),"",IF(E877="Positivo",MAX(K877/J877,0),MAX(J877/K877,0))),"") </f>
        <v/>
      </c>
      <c r="N877" t="inlineStr">
        <is>
          <t>DEC</t>
        </is>
      </c>
      <c r="O877" t="inlineStr">
        <is>
          <t>DEC</t>
        </is>
      </c>
      <c r="P877" t="n">
        <v>1</v>
      </c>
      <c r="Q877" t="n">
        <v>1</v>
      </c>
      <c r="R877" t="inlineStr">
        <is>
          <t>468-2025-12-31</t>
        </is>
      </c>
    </row>
    <row r="878">
      <c r="A878" t="n">
        <v>469</v>
      </c>
      <c r="B878" t="inlineStr">
        <is>
          <t>Cumplimiento Plan Anual Áreas sede Medellín</t>
        </is>
      </c>
      <c r="C878" t="inlineStr">
        <is>
          <t>Planeación Estratégica</t>
        </is>
      </c>
      <c r="D878" t="inlineStr">
        <is>
          <t>Trimestral</t>
        </is>
      </c>
      <c r="E878" t="inlineStr">
        <is>
          <t>Positivo</t>
        </is>
      </c>
      <c r="F878" s="111" t="n">
        <v>45657</v>
      </c>
      <c r="G878" t="n">
        <v>2024</v>
      </c>
      <c r="H878" t="inlineStr">
        <is>
          <t>Diciembre</t>
        </is>
      </c>
      <c r="I878" t="inlineStr">
        <is>
          <t>2024-2</t>
        </is>
      </c>
      <c r="J878" t="n">
        <v>100</v>
      </c>
      <c r="K878" t="n">
        <v>99.7</v>
      </c>
      <c r="L878" s="39">
        <f>IFERROR(IF(OR(J878=0,K878=""),"",IF(E878="Positivo",MIN(MAX(K878/J878,0),1.0),MIN(MAX(J878/K878,0),1.0))),"") </f>
        <v/>
      </c>
      <c r="M878" s="39">
        <f>IFERROR(IF(OR(J878=0,K878=""),"",IF(E878="Positivo",MAX(K878/J878,0),MAX(J878/K878,0))),"") </f>
        <v/>
      </c>
      <c r="N878" t="inlineStr">
        <is>
          <t>%</t>
        </is>
      </c>
      <c r="O878" t="inlineStr">
        <is>
          <t>%</t>
        </is>
      </c>
      <c r="P878" t="n">
        <v>1</v>
      </c>
      <c r="Q878" t="n">
        <v>1</v>
      </c>
      <c r="R878" t="inlineStr">
        <is>
          <t>469-2024-12-31</t>
        </is>
      </c>
    </row>
    <row r="879">
      <c r="A879" t="n">
        <v>469</v>
      </c>
      <c r="B879" t="inlineStr">
        <is>
          <t>Cumplimiento Plan Anual Áreas sede Medellín</t>
        </is>
      </c>
      <c r="C879" t="inlineStr">
        <is>
          <t>Planeación Estratégica</t>
        </is>
      </c>
      <c r="D879" t="inlineStr">
        <is>
          <t>Semestral</t>
        </is>
      </c>
      <c r="E879" t="inlineStr">
        <is>
          <t>Positivo</t>
        </is>
      </c>
      <c r="F879" s="111" t="n">
        <v>46022</v>
      </c>
      <c r="G879" t="n">
        <v>2025</v>
      </c>
      <c r="H879" t="inlineStr">
        <is>
          <t>Diciembre</t>
        </is>
      </c>
      <c r="I879" t="inlineStr">
        <is>
          <t>2025-2</t>
        </is>
      </c>
      <c r="J879" t="n">
        <v>100</v>
      </c>
      <c r="K879" t="n">
        <v>99.13</v>
      </c>
      <c r="L879" s="39">
        <f>IFERROR(IF(OR(J879=0,K879=""),"",IF(E879="Positivo",MIN(MAX(K879/J879,0),1.0),MIN(MAX(J879/K879,0),1.0))),"") </f>
        <v/>
      </c>
      <c r="M879" s="39">
        <f>IFERROR(IF(OR(J879=0,K879=""),"",IF(E879="Positivo",MAX(K879/J879,0),MAX(J879/K879,0))),"") </f>
        <v/>
      </c>
      <c r="N879" t="inlineStr">
        <is>
          <t>%</t>
        </is>
      </c>
      <c r="O879" t="inlineStr">
        <is>
          <t>%</t>
        </is>
      </c>
      <c r="P879" t="n">
        <v>0</v>
      </c>
      <c r="Q879" t="n">
        <v>0</v>
      </c>
      <c r="R879" t="inlineStr">
        <is>
          <t>469-2025-12-31</t>
        </is>
      </c>
    </row>
    <row r="880">
      <c r="A880" t="n">
        <v>470</v>
      </c>
      <c r="B880" t="inlineStr">
        <is>
          <t>Cumplimiento plan anual Secretaria académica y de extensión</t>
        </is>
      </c>
      <c r="C880" t="inlineStr">
        <is>
          <t>Planeación Estratégica</t>
        </is>
      </c>
      <c r="D880" t="inlineStr">
        <is>
          <t>Trimestral</t>
        </is>
      </c>
      <c r="E880" t="inlineStr">
        <is>
          <t>Positivo</t>
        </is>
      </c>
      <c r="F880" s="111" t="n">
        <v>45657</v>
      </c>
      <c r="G880" t="n">
        <v>2024</v>
      </c>
      <c r="H880" t="inlineStr">
        <is>
          <t>Diciembre</t>
        </is>
      </c>
      <c r="I880" t="inlineStr">
        <is>
          <t>2024-2</t>
        </is>
      </c>
      <c r="J880" t="n">
        <v>100</v>
      </c>
      <c r="K880" t="n">
        <v>100</v>
      </c>
      <c r="L880" s="39">
        <f>IFERROR(IF(OR(J880=0,K880=""),"",IF(E880="Positivo",MIN(MAX(K880/J880,0),1.0),MIN(MAX(J880/K880,0),1.0))),"") </f>
        <v/>
      </c>
      <c r="M880" s="39">
        <f>IFERROR(IF(OR(J880=0,K880=""),"",IF(E880="Positivo",MAX(K880/J880,0),MAX(J880/K880,0))),"") </f>
        <v/>
      </c>
      <c r="N880" t="inlineStr">
        <is>
          <t>%</t>
        </is>
      </c>
      <c r="O880" t="inlineStr">
        <is>
          <t>%</t>
        </is>
      </c>
      <c r="P880" t="n">
        <v>0</v>
      </c>
      <c r="Q880" t="n">
        <v>0</v>
      </c>
      <c r="R880" t="inlineStr">
        <is>
          <t>470-2024-12-31</t>
        </is>
      </c>
    </row>
    <row r="881">
      <c r="A881" t="n">
        <v>470</v>
      </c>
      <c r="B881" t="inlineStr">
        <is>
          <t>Cumplimiento plan anual Secretaria académica y de extensión</t>
        </is>
      </c>
      <c r="C881" t="inlineStr">
        <is>
          <t>Planeación Estratégica</t>
        </is>
      </c>
      <c r="D881" t="inlineStr">
        <is>
          <t>Semestral</t>
        </is>
      </c>
      <c r="E881" t="inlineStr">
        <is>
          <t>Positivo</t>
        </is>
      </c>
      <c r="F881" s="111" t="n">
        <v>46022</v>
      </c>
      <c r="G881" t="n">
        <v>2025</v>
      </c>
      <c r="H881" t="inlineStr">
        <is>
          <t>Diciembre</t>
        </is>
      </c>
      <c r="I881" t="inlineStr">
        <is>
          <t>2025-2</t>
        </is>
      </c>
      <c r="J881" t="n">
        <v>100</v>
      </c>
      <c r="K881" t="n">
        <v>100</v>
      </c>
      <c r="L881" s="39">
        <f>IFERROR(IF(OR(J881=0,K881=""),"",IF(E881="Positivo",MIN(MAX(K881/J881,0),1.0),MIN(MAX(J881/K881,0),1.0))),"") </f>
        <v/>
      </c>
      <c r="M881" s="39">
        <f>IFERROR(IF(OR(J881=0,K881=""),"",IF(E881="Positivo",MAX(K881/J881,0),MAX(J881/K881,0))),"") </f>
        <v/>
      </c>
      <c r="N881" t="inlineStr">
        <is>
          <t>%</t>
        </is>
      </c>
      <c r="O881" t="inlineStr">
        <is>
          <t>%</t>
        </is>
      </c>
      <c r="P881" t="n">
        <v>0</v>
      </c>
      <c r="Q881" t="n">
        <v>0</v>
      </c>
      <c r="R881" t="inlineStr">
        <is>
          <t>470-2025-12-31</t>
        </is>
      </c>
    </row>
    <row r="882">
      <c r="A882" t="n">
        <v>471</v>
      </c>
      <c r="B882" t="inlineStr">
        <is>
          <t>Cumplimiento plan anual Gerencia de Talento Humano</t>
        </is>
      </c>
      <c r="C882" t="inlineStr">
        <is>
          <t>Planeación Estratégica</t>
        </is>
      </c>
      <c r="D882" t="inlineStr">
        <is>
          <t>Trimestral</t>
        </is>
      </c>
      <c r="E882" t="inlineStr">
        <is>
          <t>Positivo</t>
        </is>
      </c>
      <c r="F882" s="111" t="n">
        <v>45657</v>
      </c>
      <c r="G882" t="n">
        <v>2024</v>
      </c>
      <c r="H882" t="inlineStr">
        <is>
          <t>Diciembre</t>
        </is>
      </c>
      <c r="I882" t="inlineStr">
        <is>
          <t>2024-2</t>
        </is>
      </c>
      <c r="J882" t="n">
        <v>100</v>
      </c>
      <c r="K882" t="n">
        <v>99</v>
      </c>
      <c r="L882" s="39">
        <f>IFERROR(IF(OR(J882=0,K882=""),"",IF(E882="Positivo",MIN(MAX(K882/J882,0),1.0),MIN(MAX(J882/K882,0),1.0))),"") </f>
        <v/>
      </c>
      <c r="M882" s="39">
        <f>IFERROR(IF(OR(J882=0,K882=""),"",IF(E882="Positivo",MAX(K882/J882,0),MAX(J882/K882,0))),"") </f>
        <v/>
      </c>
      <c r="N882" t="inlineStr">
        <is>
          <t>%</t>
        </is>
      </c>
      <c r="O882" t="inlineStr">
        <is>
          <t>%</t>
        </is>
      </c>
      <c r="P882" t="n">
        <v>0</v>
      </c>
      <c r="Q882" t="n">
        <v>0</v>
      </c>
      <c r="R882" t="inlineStr">
        <is>
          <t>471-2024-12-31</t>
        </is>
      </c>
    </row>
    <row r="883">
      <c r="A883" t="n">
        <v>471</v>
      </c>
      <c r="B883" t="inlineStr">
        <is>
          <t>Cumplimiento plan anual Gerencia de Talento Humano</t>
        </is>
      </c>
      <c r="C883" t="inlineStr">
        <is>
          <t>Planeación Estratégica</t>
        </is>
      </c>
      <c r="D883" t="inlineStr">
        <is>
          <t>Semestral</t>
        </is>
      </c>
      <c r="E883" t="inlineStr">
        <is>
          <t>Positivo</t>
        </is>
      </c>
      <c r="F883" s="111" t="n">
        <v>46022</v>
      </c>
      <c r="G883" t="n">
        <v>2025</v>
      </c>
      <c r="H883" t="inlineStr">
        <is>
          <t>Diciembre</t>
        </is>
      </c>
      <c r="I883" t="inlineStr">
        <is>
          <t>2025-2</t>
        </is>
      </c>
      <c r="J883" t="n">
        <v>100</v>
      </c>
      <c r="K883" t="n">
        <v>99.86</v>
      </c>
      <c r="L883" s="39">
        <f>IFERROR(IF(OR(J883=0,K883=""),"",IF(E883="Positivo",MIN(MAX(K883/J883,0),1.0),MIN(MAX(J883/K883,0),1.0))),"") </f>
        <v/>
      </c>
      <c r="M883" s="39">
        <f>IFERROR(IF(OR(J883=0,K883=""),"",IF(E883="Positivo",MAX(K883/J883,0),MAX(J883/K883,0))),"") </f>
        <v/>
      </c>
      <c r="N883" t="inlineStr">
        <is>
          <t>%</t>
        </is>
      </c>
      <c r="O883" t="inlineStr">
        <is>
          <t>%</t>
        </is>
      </c>
      <c r="P883" t="n">
        <v>0</v>
      </c>
      <c r="Q883" t="n">
        <v>0</v>
      </c>
      <c r="R883" t="inlineStr">
        <is>
          <t>471-2025-12-31</t>
        </is>
      </c>
    </row>
    <row r="884">
      <c r="A884" t="n">
        <v>472</v>
      </c>
      <c r="B884" t="inlineStr">
        <is>
          <t>Cobertura de Recolección de Variables ADA (Arquitectura de datos para la analitica)</t>
        </is>
      </c>
      <c r="C884" t="inlineStr">
        <is>
          <t>DATOS Y ANALÍTICA</t>
        </is>
      </c>
      <c r="D884" t="inlineStr">
        <is>
          <t>Semestral</t>
        </is>
      </c>
      <c r="E884" t="inlineStr">
        <is>
          <t>Positivo</t>
        </is>
      </c>
      <c r="F884" s="111" t="n">
        <v>45657</v>
      </c>
      <c r="G884" t="n">
        <v>2024</v>
      </c>
      <c r="H884" t="inlineStr">
        <is>
          <t>Diciembre</t>
        </is>
      </c>
      <c r="I884" t="inlineStr">
        <is>
          <t>2024-2</t>
        </is>
      </c>
      <c r="J884" t="n">
        <v>100</v>
      </c>
      <c r="K884" t="n">
        <v>100</v>
      </c>
      <c r="L884" s="39">
        <f>IFERROR(IF(OR(J884=0,K884=""),"",IF(E884="Positivo",MIN(MAX(K884/J884,0),1.3),MIN(MAX(J884/K884,0),1.3))),"") </f>
        <v/>
      </c>
      <c r="M884" s="39">
        <f>IFERROR(IF(OR(J884=0,K884=""),"",IF(E884="Positivo",MAX(K884/J884,0),MAX(J884/K884,0))),"") </f>
        <v/>
      </c>
      <c r="N884" t="inlineStr">
        <is>
          <t>%</t>
        </is>
      </c>
      <c r="O884" t="inlineStr">
        <is>
          <t>%</t>
        </is>
      </c>
      <c r="P884" t="n">
        <v>0</v>
      </c>
      <c r="Q884" t="n">
        <v>0</v>
      </c>
      <c r="R884" t="inlineStr">
        <is>
          <t>472-2024-12-31</t>
        </is>
      </c>
    </row>
    <row r="885">
      <c r="A885" t="n">
        <v>473</v>
      </c>
      <c r="B885" t="inlineStr">
        <is>
          <t>Programas con planes de estudios definidos</t>
        </is>
      </c>
      <c r="C885" t="inlineStr">
        <is>
          <t>Gestión, Evaluación e Innovación Curricular</t>
        </is>
      </c>
      <c r="D885" t="inlineStr">
        <is>
          <t>Semestral</t>
        </is>
      </c>
      <c r="E885" t="inlineStr">
        <is>
          <t>Positivo</t>
        </is>
      </c>
      <c r="F885" s="111" t="n">
        <v>45657</v>
      </c>
      <c r="G885" t="n">
        <v>2024</v>
      </c>
      <c r="H885" t="inlineStr">
        <is>
          <t>Diciembre</t>
        </is>
      </c>
      <c r="I885" t="inlineStr">
        <is>
          <t>2024-2</t>
        </is>
      </c>
      <c r="J885" t="n">
        <v>100</v>
      </c>
      <c r="K885" t="n">
        <v>100</v>
      </c>
      <c r="L885" s="39">
        <f>IFERROR(IF(OR(J885=0,K885=""),"",IF(E885="Positivo",MIN(MAX(K885/J885,0),1.3),MIN(MAX(J885/K885,0),1.3))),"") </f>
        <v/>
      </c>
      <c r="M885" s="39">
        <f>IFERROR(IF(OR(J885=0,K885=""),"",IF(E885="Positivo",MAX(K885/J885,0),MAX(J885/K885,0))),"") </f>
        <v/>
      </c>
      <c r="N885" t="inlineStr">
        <is>
          <t>ENT</t>
        </is>
      </c>
      <c r="O885" t="inlineStr">
        <is>
          <t>ENT</t>
        </is>
      </c>
      <c r="P885" t="n">
        <v>0</v>
      </c>
      <c r="Q885" t="n">
        <v>0</v>
      </c>
      <c r="R885" t="inlineStr">
        <is>
          <t>473-2024-12-31</t>
        </is>
      </c>
    </row>
    <row r="886">
      <c r="A886" t="n">
        <v>473</v>
      </c>
      <c r="B886" t="inlineStr">
        <is>
          <t>Programas con planes de estudios definidos</t>
        </is>
      </c>
      <c r="C886" t="inlineStr">
        <is>
          <t>Gestión, Evaluación e Innovación Curricular</t>
        </is>
      </c>
      <c r="D886" t="inlineStr">
        <is>
          <t>Trimestral</t>
        </is>
      </c>
      <c r="E886" t="inlineStr">
        <is>
          <t>Positivo</t>
        </is>
      </c>
      <c r="F886" s="111" t="n">
        <v>46022</v>
      </c>
      <c r="G886" t="n">
        <v>2025</v>
      </c>
      <c r="H886" t="inlineStr">
        <is>
          <t>Diciembre</t>
        </is>
      </c>
      <c r="I886" t="inlineStr">
        <is>
          <t>2025-2</t>
        </is>
      </c>
      <c r="J886" t="n">
        <v>100</v>
      </c>
      <c r="K886" t="n">
        <v>100</v>
      </c>
      <c r="L886" s="39">
        <f>IFERROR(IF(OR(J886=0,K886=""),"",IF(E886="Positivo",MIN(MAX(K886/J886,0),1.3),MIN(MAX(J886/K886,0),1.3))),"") </f>
        <v/>
      </c>
      <c r="M886" s="39">
        <f>IFERROR(IF(OR(J886=0,K886=""),"",IF(E886="Positivo",MAX(K886/J886,0),MAX(J886/K886,0))),"") </f>
        <v/>
      </c>
      <c r="N886" t="inlineStr">
        <is>
          <t>ENT</t>
        </is>
      </c>
      <c r="O886" t="inlineStr">
        <is>
          <t>ENT</t>
        </is>
      </c>
      <c r="P886" t="n">
        <v>0</v>
      </c>
      <c r="Q886" t="n">
        <v>0</v>
      </c>
      <c r="R886" t="inlineStr">
        <is>
          <t>473-2025-12-31</t>
        </is>
      </c>
    </row>
    <row r="887">
      <c r="A887" t="n">
        <v>474</v>
      </c>
      <c r="B887" t="inlineStr">
        <is>
          <t>Programas con planes de estudios definidos por escuela (Nuevos Programas)</t>
        </is>
      </c>
      <c r="C887" t="inlineStr">
        <is>
          <t>Gestión de Unidades Académicas</t>
        </is>
      </c>
      <c r="D887" t="inlineStr">
        <is>
          <t>Semestral</t>
        </is>
      </c>
      <c r="E887" t="inlineStr">
        <is>
          <t>Positivo</t>
        </is>
      </c>
      <c r="F887" s="111" t="n">
        <v>45657</v>
      </c>
      <c r="G887" t="n">
        <v>2024</v>
      </c>
      <c r="H887" t="inlineStr">
        <is>
          <t>Diciembre</t>
        </is>
      </c>
      <c r="I887" t="inlineStr">
        <is>
          <t>2024-2</t>
        </is>
      </c>
      <c r="J887" t="n">
        <v>100</v>
      </c>
      <c r="K887" t="n">
        <v>100</v>
      </c>
      <c r="L887" s="39">
        <f>IFERROR(IF(OR(J887=0,K887=""),"",IF(E887="Positivo",MIN(MAX(K887/J887,0),1.3),MIN(MAX(J887/K887,0),1.3))),"") </f>
        <v/>
      </c>
      <c r="M887" s="39">
        <f>IFERROR(IF(OR(J887=0,K887=""),"",IF(E887="Positivo",MAX(K887/J887,0),MAX(J887/K887,0))),"") </f>
        <v/>
      </c>
      <c r="N887" t="inlineStr">
        <is>
          <t>ENT</t>
        </is>
      </c>
      <c r="O887" t="inlineStr">
        <is>
          <t>ENT</t>
        </is>
      </c>
      <c r="P887" t="n">
        <v>0</v>
      </c>
      <c r="Q887" t="n">
        <v>0</v>
      </c>
      <c r="R887" t="inlineStr">
        <is>
          <t>474-2024-12-31</t>
        </is>
      </c>
    </row>
    <row r="888">
      <c r="A888" t="n">
        <v>474</v>
      </c>
      <c r="B888" t="inlineStr">
        <is>
          <t>Programas con planes de estudios definidos por escuela (Nuevos Programas)</t>
        </is>
      </c>
      <c r="C888" t="inlineStr">
        <is>
          <t>Gestión de Unidades Académicas</t>
        </is>
      </c>
      <c r="D888" t="inlineStr">
        <is>
          <t>Trimestral</t>
        </is>
      </c>
      <c r="E888" t="inlineStr">
        <is>
          <t>Positivo</t>
        </is>
      </c>
      <c r="F888" s="111" t="n">
        <v>46022</v>
      </c>
      <c r="G888" t="n">
        <v>2025</v>
      </c>
      <c r="H888" t="inlineStr">
        <is>
          <t>Diciembre</t>
        </is>
      </c>
      <c r="I888" t="inlineStr">
        <is>
          <t>2025-2</t>
        </is>
      </c>
      <c r="K888" t="n">
        <v>0</v>
      </c>
      <c r="L888" s="39" t="n"/>
      <c r="M888" s="39" t="n"/>
      <c r="N888" t="inlineStr">
        <is>
          <t>ENT</t>
        </is>
      </c>
      <c r="O888" t="inlineStr">
        <is>
          <t>ENT</t>
        </is>
      </c>
      <c r="P888" t="n">
        <v>0</v>
      </c>
      <c r="Q888" t="n">
        <v>0</v>
      </c>
      <c r="R888" t="inlineStr">
        <is>
          <t>474-2025-12-31</t>
        </is>
      </c>
    </row>
    <row r="889">
      <c r="A889" t="n">
        <v>475</v>
      </c>
      <c r="B889" t="inlineStr">
        <is>
          <t>Número de renovaciones de registro calificado radicadas al MEN</t>
        </is>
      </c>
      <c r="C889" t="inlineStr">
        <is>
          <t>Creación, modificación y cierre de programas académicos</t>
        </is>
      </c>
      <c r="D889" t="inlineStr">
        <is>
          <t>Semestral</t>
        </is>
      </c>
      <c r="E889" t="inlineStr">
        <is>
          <t>Positivo</t>
        </is>
      </c>
      <c r="F889" s="111" t="n">
        <v>45657</v>
      </c>
      <c r="G889" t="n">
        <v>2024</v>
      </c>
      <c r="H889" t="inlineStr">
        <is>
          <t>Diciembre</t>
        </is>
      </c>
      <c r="I889" t="inlineStr">
        <is>
          <t>2024-2</t>
        </is>
      </c>
      <c r="J889" t="n">
        <v>200</v>
      </c>
      <c r="K889" t="n">
        <v>140</v>
      </c>
      <c r="L889" s="39">
        <f>IFERROR(IF(OR(J889=0,K889=""),"",IF(E889="Positivo",MIN(MAX(K889/J889,0),1.3),MIN(MAX(J889/K889,0),1.3))),"") </f>
        <v/>
      </c>
      <c r="M889" s="39">
        <f>IFERROR(IF(OR(J889=0,K889=""),"",IF(E889="Positivo",MAX(K889/J889,0),MAX(J889/K889,0))),"") </f>
        <v/>
      </c>
      <c r="N889" t="inlineStr">
        <is>
          <t>ENT</t>
        </is>
      </c>
      <c r="O889" t="inlineStr">
        <is>
          <t>ENT</t>
        </is>
      </c>
      <c r="P889" t="n">
        <v>0</v>
      </c>
      <c r="Q889" t="n">
        <v>0</v>
      </c>
      <c r="R889" t="inlineStr">
        <is>
          <t>475-2024-12-31</t>
        </is>
      </c>
    </row>
    <row r="890">
      <c r="A890" t="n">
        <v>475</v>
      </c>
      <c r="B890" t="inlineStr">
        <is>
          <t>Número de renovaciones de registro calificado radicadas al MEN</t>
        </is>
      </c>
      <c r="C890" t="inlineStr">
        <is>
          <t>Creación, modificación y cierre de programas académicos</t>
        </is>
      </c>
      <c r="D890" t="inlineStr">
        <is>
          <t>Trimestral</t>
        </is>
      </c>
      <c r="E890" t="inlineStr">
        <is>
          <t>Positivo</t>
        </is>
      </c>
      <c r="F890" s="111" t="n">
        <v>46022</v>
      </c>
      <c r="G890" t="n">
        <v>2025</v>
      </c>
      <c r="H890" t="inlineStr">
        <is>
          <t>Diciembre</t>
        </is>
      </c>
      <c r="I890" t="inlineStr">
        <is>
          <t>2025-2</t>
        </is>
      </c>
      <c r="J890" t="n">
        <v>200</v>
      </c>
      <c r="K890" t="n">
        <v>100</v>
      </c>
      <c r="L890" s="39">
        <f>IFERROR(IF(OR(J890=0,K890=""),"",IF(E890="Positivo",MIN(MAX(K890/J890,0),1.3),MIN(MAX(J890/K890,0),1.3))),"") </f>
        <v/>
      </c>
      <c r="M890" s="39">
        <f>IFERROR(IF(OR(J890=0,K890=""),"",IF(E890="Positivo",MAX(K890/J890,0),MAX(J890/K890,0))),"") </f>
        <v/>
      </c>
      <c r="N890" t="inlineStr">
        <is>
          <t>ENT</t>
        </is>
      </c>
      <c r="O890" t="inlineStr">
        <is>
          <t>ENT</t>
        </is>
      </c>
      <c r="P890" t="n">
        <v>0</v>
      </c>
      <c r="Q890" t="n">
        <v>0</v>
      </c>
      <c r="R890" t="inlineStr">
        <is>
          <t>475-2025-12-31</t>
        </is>
      </c>
    </row>
    <row r="891">
      <c r="A891" t="n">
        <v>476</v>
      </c>
      <c r="B891" t="inlineStr">
        <is>
          <t>Programas con resultados de aprendizaje definidos</t>
        </is>
      </c>
      <c r="C891" t="inlineStr">
        <is>
          <t>Gestión, Evaluación e Innovación Curricular</t>
        </is>
      </c>
      <c r="D891" t="inlineStr">
        <is>
          <t>Semestral</t>
        </is>
      </c>
      <c r="E891" t="inlineStr">
        <is>
          <t>Positivo</t>
        </is>
      </c>
      <c r="F891" s="111" t="n">
        <v>45657</v>
      </c>
      <c r="G891" t="n">
        <v>2024</v>
      </c>
      <c r="H891" t="inlineStr">
        <is>
          <t>Diciembre</t>
        </is>
      </c>
      <c r="I891" t="inlineStr">
        <is>
          <t>2024-2</t>
        </is>
      </c>
      <c r="J891" t="n">
        <v>100</v>
      </c>
      <c r="K891" t="n">
        <v>100</v>
      </c>
      <c r="L891" s="39">
        <f>IFERROR(IF(OR(J891=0,K891=""),"",IF(E891="Positivo",MIN(MAX(K891/J891,0),1.3),MIN(MAX(J891/K891,0),1.3))),"") </f>
        <v/>
      </c>
      <c r="M891" s="39">
        <f>IFERROR(IF(OR(J891=0,K891=""),"",IF(E891="Positivo",MAX(K891/J891,0),MAX(J891/K891,0))),"") </f>
        <v/>
      </c>
      <c r="N891" t="inlineStr">
        <is>
          <t>ENT</t>
        </is>
      </c>
      <c r="O891" t="inlineStr">
        <is>
          <t>ENT</t>
        </is>
      </c>
      <c r="P891" t="n">
        <v>0</v>
      </c>
      <c r="Q891" t="n">
        <v>0</v>
      </c>
      <c r="R891" t="inlineStr">
        <is>
          <t>476-2024-12-31</t>
        </is>
      </c>
    </row>
    <row r="892">
      <c r="A892" t="n">
        <v>476</v>
      </c>
      <c r="B892" t="inlineStr">
        <is>
          <t>Programas con resultados de aprendizaje definidos</t>
        </is>
      </c>
      <c r="C892" t="inlineStr">
        <is>
          <t>Gestión, Evaluación e Innovación Curricular</t>
        </is>
      </c>
      <c r="D892" t="inlineStr">
        <is>
          <t>Semestral</t>
        </is>
      </c>
      <c r="E892" t="inlineStr">
        <is>
          <t>Positivo</t>
        </is>
      </c>
      <c r="F892" s="111" t="n">
        <v>46022</v>
      </c>
      <c r="G892" t="n">
        <v>2025</v>
      </c>
      <c r="H892" t="inlineStr">
        <is>
          <t>Diciembre</t>
        </is>
      </c>
      <c r="I892" t="inlineStr">
        <is>
          <t>2025-2</t>
        </is>
      </c>
      <c r="J892" t="n">
        <v>100</v>
      </c>
      <c r="K892" t="n">
        <v>100</v>
      </c>
      <c r="L892" s="39">
        <f>IFERROR(IF(OR(J892=0,K892=""),"",IF(E892="Positivo",MIN(MAX(K892/J892,0),1.3),MIN(MAX(J892/K892,0),1.3))),"") </f>
        <v/>
      </c>
      <c r="M892" s="39">
        <f>IFERROR(IF(OR(J892=0,K892=""),"",IF(E892="Positivo",MAX(K892/J892,0),MAX(J892/K892,0))),"") </f>
        <v/>
      </c>
      <c r="N892" t="inlineStr">
        <is>
          <t>ENT</t>
        </is>
      </c>
      <c r="O892" t="inlineStr">
        <is>
          <t>ENT</t>
        </is>
      </c>
      <c r="P892" t="n">
        <v>0</v>
      </c>
      <c r="Q892" t="n">
        <v>0</v>
      </c>
      <c r="R892" t="inlineStr">
        <is>
          <t>476-2025-12-31</t>
        </is>
      </c>
    </row>
    <row r="893">
      <c r="A893" t="n">
        <v>477</v>
      </c>
      <c r="B893" t="inlineStr">
        <is>
          <t>Programas con planes de estudios definidos por escuela (Programas Renovación, modificación y acreditación)</t>
        </is>
      </c>
      <c r="C893" t="inlineStr">
        <is>
          <t>Gestión de Unidades Académicas</t>
        </is>
      </c>
      <c r="D893" t="inlineStr">
        <is>
          <t>Semestral</t>
        </is>
      </c>
      <c r="E893" t="inlineStr">
        <is>
          <t>Positivo</t>
        </is>
      </c>
      <c r="F893" s="111" t="n">
        <v>45657</v>
      </c>
      <c r="G893" t="n">
        <v>2024</v>
      </c>
      <c r="H893" t="inlineStr">
        <is>
          <t>Diciembre</t>
        </is>
      </c>
      <c r="I893" t="inlineStr">
        <is>
          <t>2024-2</t>
        </is>
      </c>
      <c r="J893" t="n">
        <v>200</v>
      </c>
      <c r="K893" t="n">
        <v>200</v>
      </c>
      <c r="L893" s="39">
        <f>IFERROR(IF(OR(J893=0,K893=""),"",IF(E893="Positivo",MIN(MAX(K893/J893,0),1.3),MIN(MAX(J893/K893,0),1.3))),"") </f>
        <v/>
      </c>
      <c r="M893" s="39">
        <f>IFERROR(IF(OR(J893=0,K893=""),"",IF(E893="Positivo",MAX(K893/J893,0),MAX(J893/K893,0))),"") </f>
        <v/>
      </c>
      <c r="N893" t="inlineStr">
        <is>
          <t>ENT</t>
        </is>
      </c>
      <c r="O893" t="inlineStr">
        <is>
          <t>ENT</t>
        </is>
      </c>
      <c r="P893" t="n">
        <v>0</v>
      </c>
      <c r="Q893" t="n">
        <v>0</v>
      </c>
      <c r="R893" t="inlineStr">
        <is>
          <t>477-2024-12-31</t>
        </is>
      </c>
    </row>
    <row r="894">
      <c r="A894" t="n">
        <v>477</v>
      </c>
      <c r="B894" t="inlineStr">
        <is>
          <t>Programas con planes de estudios definidos por escuela (Programas Renovación, modificación y acreditación)</t>
        </is>
      </c>
      <c r="C894" t="inlineStr">
        <is>
          <t>Gestión de Unidades Académicas</t>
        </is>
      </c>
      <c r="D894" t="inlineStr">
        <is>
          <t>Trimestral</t>
        </is>
      </c>
      <c r="E894" t="inlineStr">
        <is>
          <t>Positivo</t>
        </is>
      </c>
      <c r="F894" s="111" t="n">
        <v>45838</v>
      </c>
      <c r="G894" t="n">
        <v>2025</v>
      </c>
      <c r="H894" t="inlineStr">
        <is>
          <t>Junio</t>
        </is>
      </c>
      <c r="I894" t="inlineStr">
        <is>
          <t>2025-1</t>
        </is>
      </c>
      <c r="L894" s="39" t="n"/>
      <c r="M894" s="39" t="n"/>
      <c r="N894" t="inlineStr">
        <is>
          <t>ENT</t>
        </is>
      </c>
      <c r="O894" t="inlineStr">
        <is>
          <t>No Aplica</t>
        </is>
      </c>
      <c r="P894" t="n">
        <v>0</v>
      </c>
      <c r="Q894" t="n">
        <v>0</v>
      </c>
      <c r="R894" t="inlineStr">
        <is>
          <t>477-2025-06-30</t>
        </is>
      </c>
      <c r="S894" t="inlineStr">
        <is>
          <t>No Aplica</t>
        </is>
      </c>
    </row>
    <row r="895">
      <c r="A895" t="n">
        <v>478</v>
      </c>
      <c r="B895" t="inlineStr">
        <is>
          <t>Programas con planes de estudios definidos por escuela (Mantenimiento de programas)</t>
        </is>
      </c>
      <c r="C895" t="inlineStr">
        <is>
          <t>Gestión de Unidades Académicas</t>
        </is>
      </c>
      <c r="D895" t="inlineStr">
        <is>
          <t>Semestral</t>
        </is>
      </c>
      <c r="E895" t="inlineStr">
        <is>
          <t>Positivo</t>
        </is>
      </c>
      <c r="F895" s="111" t="n">
        <v>45657</v>
      </c>
      <c r="G895" t="n">
        <v>2024</v>
      </c>
      <c r="H895" t="inlineStr">
        <is>
          <t>Diciembre</t>
        </is>
      </c>
      <c r="I895" t="inlineStr">
        <is>
          <t>2024-2</t>
        </is>
      </c>
      <c r="J895" t="n">
        <v>200</v>
      </c>
      <c r="K895" t="n">
        <v>100</v>
      </c>
      <c r="L895" s="39">
        <f>IFERROR(IF(OR(J895=0,K895=""),"",IF(E895="Positivo",MIN(MAX(K895/J895,0),1.3),MIN(MAX(J895/K895,0),1.3))),"") </f>
        <v/>
      </c>
      <c r="M895" s="39">
        <f>IFERROR(IF(OR(J895=0,K895=""),"",IF(E895="Positivo",MAX(K895/J895,0),MAX(J895/K895,0))),"") </f>
        <v/>
      </c>
      <c r="N895" t="inlineStr">
        <is>
          <t>ENT</t>
        </is>
      </c>
      <c r="O895" t="inlineStr">
        <is>
          <t>ENT</t>
        </is>
      </c>
      <c r="P895" t="n">
        <v>0</v>
      </c>
      <c r="Q895" t="n">
        <v>0</v>
      </c>
      <c r="R895" t="inlineStr">
        <is>
          <t>478-2024-12-31</t>
        </is>
      </c>
    </row>
    <row r="896">
      <c r="A896" t="n">
        <v>478</v>
      </c>
      <c r="B896" t="inlineStr">
        <is>
          <t>Programas con planes de estudios definidos por escuela (Mantenimiento de programas)</t>
        </is>
      </c>
      <c r="C896" t="inlineStr">
        <is>
          <t>Gestión de Unidades Académicas</t>
        </is>
      </c>
      <c r="D896" t="inlineStr">
        <is>
          <t>Trimestral</t>
        </is>
      </c>
      <c r="E896" t="inlineStr">
        <is>
          <t>Positivo</t>
        </is>
      </c>
      <c r="F896" s="111" t="n">
        <v>46022</v>
      </c>
      <c r="G896" t="n">
        <v>2025</v>
      </c>
      <c r="H896" t="inlineStr">
        <is>
          <t>Diciembre</t>
        </is>
      </c>
      <c r="I896" t="inlineStr">
        <is>
          <t>2025-2</t>
        </is>
      </c>
      <c r="K896" t="n">
        <v>0</v>
      </c>
      <c r="L896" s="39" t="n"/>
      <c r="M896" s="39" t="n"/>
      <c r="N896" t="inlineStr">
        <is>
          <t>ENT</t>
        </is>
      </c>
      <c r="O896" t="inlineStr">
        <is>
          <t>ENT</t>
        </is>
      </c>
      <c r="P896" t="n">
        <v>0</v>
      </c>
      <c r="Q896" t="n">
        <v>0</v>
      </c>
      <c r="R896" t="inlineStr">
        <is>
          <t>478-2025-12-31</t>
        </is>
      </c>
    </row>
    <row r="897">
      <c r="A897" t="n">
        <v>479</v>
      </c>
      <c r="B897" t="inlineStr">
        <is>
          <t>Programas con resultados de aprendizaje definidos por escuela (Nuevos Programas)</t>
        </is>
      </c>
      <c r="C897" t="inlineStr">
        <is>
          <t>Gestión de Unidades Académicas</t>
        </is>
      </c>
      <c r="D897" t="inlineStr">
        <is>
          <t>Semestral</t>
        </is>
      </c>
      <c r="E897" t="inlineStr">
        <is>
          <t>Positivo</t>
        </is>
      </c>
      <c r="F897" s="111" t="n">
        <v>45657</v>
      </c>
      <c r="G897" t="n">
        <v>2024</v>
      </c>
      <c r="H897" t="inlineStr">
        <is>
          <t>Diciembre</t>
        </is>
      </c>
      <c r="I897" t="inlineStr">
        <is>
          <t>2024-2</t>
        </is>
      </c>
      <c r="J897" t="n">
        <v>200</v>
      </c>
      <c r="K897" t="n">
        <v>200</v>
      </c>
      <c r="L897" s="39">
        <f>IFERROR(IF(OR(J897=0,K897=""),"",IF(E897="Positivo",MIN(MAX(K897/J897,0),1.3),MIN(MAX(J897/K897,0),1.3))),"") </f>
        <v/>
      </c>
      <c r="M897" s="39">
        <f>IFERROR(IF(OR(J897=0,K897=""),"",IF(E897="Positivo",MAX(K897/J897,0),MAX(J897/K897,0))),"") </f>
        <v/>
      </c>
      <c r="N897" t="inlineStr">
        <is>
          <t>ENT</t>
        </is>
      </c>
      <c r="O897" t="inlineStr">
        <is>
          <t>ENT</t>
        </is>
      </c>
      <c r="P897" t="n">
        <v>0</v>
      </c>
      <c r="Q897" t="n">
        <v>0</v>
      </c>
      <c r="R897" t="inlineStr">
        <is>
          <t>479-2024-12-31</t>
        </is>
      </c>
    </row>
    <row r="898">
      <c r="A898" t="n">
        <v>479</v>
      </c>
      <c r="B898" t="inlineStr">
        <is>
          <t>Programas con resultados de aprendizaje definidos por escuela (Nuevos Programas)</t>
        </is>
      </c>
      <c r="C898" t="inlineStr">
        <is>
          <t>Gestión de Unidades Académicas</t>
        </is>
      </c>
      <c r="D898" t="inlineStr">
        <is>
          <t>Trimestral</t>
        </is>
      </c>
      <c r="E898" t="inlineStr">
        <is>
          <t>Positivo</t>
        </is>
      </c>
      <c r="F898" s="111" t="n">
        <v>45838</v>
      </c>
      <c r="G898" t="n">
        <v>2025</v>
      </c>
      <c r="H898" t="inlineStr">
        <is>
          <t>Junio</t>
        </is>
      </c>
      <c r="I898" t="inlineStr">
        <is>
          <t>2025-1</t>
        </is>
      </c>
      <c r="J898" t="n">
        <v>100</v>
      </c>
      <c r="L898" s="39" t="n"/>
      <c r="M898" s="39" t="n"/>
      <c r="N898" t="inlineStr">
        <is>
          <t>ENT</t>
        </is>
      </c>
      <c r="O898" t="inlineStr">
        <is>
          <t>No Aplica</t>
        </is>
      </c>
      <c r="P898" t="n">
        <v>0</v>
      </c>
      <c r="Q898" t="n">
        <v>0</v>
      </c>
      <c r="R898" t="inlineStr">
        <is>
          <t>479-2025-06-30</t>
        </is>
      </c>
      <c r="S898" t="inlineStr">
        <is>
          <t>No Aplica</t>
        </is>
      </c>
    </row>
    <row r="899">
      <c r="A899" t="n">
        <v>480</v>
      </c>
      <c r="B899" t="inlineStr">
        <is>
          <t>Programas con resultados de aprendizaje definidos por escuela (Programas Renovación, modificación y acreditación)</t>
        </is>
      </c>
      <c r="C899" t="inlineStr">
        <is>
          <t>Gestión de Unidades Académicas</t>
        </is>
      </c>
      <c r="D899" t="inlineStr">
        <is>
          <t>Semestral</t>
        </is>
      </c>
      <c r="E899" t="inlineStr">
        <is>
          <t>Positivo</t>
        </is>
      </c>
      <c r="F899" s="111" t="n">
        <v>45657</v>
      </c>
      <c r="G899" t="n">
        <v>2024</v>
      </c>
      <c r="H899" t="inlineStr">
        <is>
          <t>Diciembre</t>
        </is>
      </c>
      <c r="I899" t="inlineStr">
        <is>
          <t>2024-2</t>
        </is>
      </c>
      <c r="J899" t="n">
        <v>200</v>
      </c>
      <c r="K899" t="n">
        <v>200</v>
      </c>
      <c r="L899" s="39">
        <f>IFERROR(IF(OR(J899=0,K899=""),"",IF(E899="Positivo",MIN(MAX(K899/J899,0),1.3),MIN(MAX(J899/K899,0),1.3))),"") </f>
        <v/>
      </c>
      <c r="M899" s="39">
        <f>IFERROR(IF(OR(J899=0,K899=""),"",IF(E899="Positivo",MAX(K899/J899,0),MAX(J899/K899,0))),"") </f>
        <v/>
      </c>
      <c r="N899" t="inlineStr">
        <is>
          <t>ENT</t>
        </is>
      </c>
      <c r="O899" t="inlineStr">
        <is>
          <t>ENT</t>
        </is>
      </c>
      <c r="P899" t="n">
        <v>0</v>
      </c>
      <c r="Q899" t="n">
        <v>0</v>
      </c>
      <c r="R899" t="inlineStr">
        <is>
          <t>480-2024-12-31</t>
        </is>
      </c>
    </row>
    <row r="900">
      <c r="A900" t="n">
        <v>480</v>
      </c>
      <c r="B900" t="inlineStr">
        <is>
          <t>Programas con resultados de aprendizaje definidos por escuela (Programas Renovación, modificación y acreditación)</t>
        </is>
      </c>
      <c r="C900" t="inlineStr">
        <is>
          <t>Gestión de Unidades Académicas</t>
        </is>
      </c>
      <c r="D900" t="inlineStr">
        <is>
          <t>Trimestral</t>
        </is>
      </c>
      <c r="E900" t="inlineStr">
        <is>
          <t>Positivo</t>
        </is>
      </c>
      <c r="F900" s="111" t="n">
        <v>45838</v>
      </c>
      <c r="G900" t="n">
        <v>2025</v>
      </c>
      <c r="H900" t="inlineStr">
        <is>
          <t>Junio</t>
        </is>
      </c>
      <c r="I900" t="inlineStr">
        <is>
          <t>2025-1</t>
        </is>
      </c>
      <c r="J900" t="n">
        <v>100</v>
      </c>
      <c r="L900" s="39" t="n"/>
      <c r="M900" s="39" t="n"/>
      <c r="N900" t="inlineStr">
        <is>
          <t>ENT</t>
        </is>
      </c>
      <c r="O900" t="inlineStr">
        <is>
          <t>No Aplica</t>
        </is>
      </c>
      <c r="P900" t="n">
        <v>0</v>
      </c>
      <c r="Q900" t="n">
        <v>0</v>
      </c>
      <c r="R900" t="inlineStr">
        <is>
          <t>480-2025-06-30</t>
        </is>
      </c>
      <c r="S900" t="inlineStr">
        <is>
          <t>No Aplica</t>
        </is>
      </c>
    </row>
    <row r="901">
      <c r="A901" t="n">
        <v>481</v>
      </c>
      <c r="B901" t="inlineStr">
        <is>
          <t>Solicitudes de documentación completadas</t>
        </is>
      </c>
      <c r="C901" t="inlineStr">
        <is>
          <t>Gestión, Evaluación e Innovación Curricular</t>
        </is>
      </c>
      <c r="D901" t="inlineStr">
        <is>
          <t>Semestral</t>
        </is>
      </c>
      <c r="E901" t="inlineStr">
        <is>
          <t>Positivo</t>
        </is>
      </c>
      <c r="F901" s="111" t="n">
        <v>45657</v>
      </c>
      <c r="G901" t="n">
        <v>2024</v>
      </c>
      <c r="H901" t="inlineStr">
        <is>
          <t>Diciembre</t>
        </is>
      </c>
      <c r="I901" t="inlineStr">
        <is>
          <t>2024-2</t>
        </is>
      </c>
      <c r="J901" t="n">
        <v>200</v>
      </c>
      <c r="K901" t="n">
        <v>100</v>
      </c>
      <c r="L901" s="39">
        <f>IFERROR(IF(OR(J901=0,K901=""),"",IF(E901="Positivo",MIN(MAX(K901/J901,0),1.3),MIN(MAX(J901/K901,0),1.3))),"") </f>
        <v/>
      </c>
      <c r="M901" s="39">
        <f>IFERROR(IF(OR(J901=0,K901=""),"",IF(E901="Positivo",MAX(K901/J901,0),MAX(J901/K901,0))),"") </f>
        <v/>
      </c>
      <c r="N901" t="inlineStr">
        <is>
          <t>%</t>
        </is>
      </c>
      <c r="O901" t="inlineStr">
        <is>
          <t>%</t>
        </is>
      </c>
      <c r="P901" t="n">
        <v>0</v>
      </c>
      <c r="Q901" t="n">
        <v>0</v>
      </c>
      <c r="R901" t="inlineStr">
        <is>
          <t>481-2024-12-31</t>
        </is>
      </c>
    </row>
    <row r="902">
      <c r="A902" t="n">
        <v>481</v>
      </c>
      <c r="B902" t="inlineStr">
        <is>
          <t>Solicitudes de documentación completadas</t>
        </is>
      </c>
      <c r="C902" t="inlineStr">
        <is>
          <t>Gestión, Evaluación e Innovación Curricular</t>
        </is>
      </c>
      <c r="D902" t="inlineStr">
        <is>
          <t>Trimestral</t>
        </is>
      </c>
      <c r="E902" t="inlineStr">
        <is>
          <t>Positivo</t>
        </is>
      </c>
      <c r="F902" s="111" t="n">
        <v>46022</v>
      </c>
      <c r="G902" t="n">
        <v>2025</v>
      </c>
      <c r="H902" t="inlineStr">
        <is>
          <t>Diciembre</t>
        </is>
      </c>
      <c r="I902" t="inlineStr">
        <is>
          <t>2025-2</t>
        </is>
      </c>
      <c r="J902" t="n">
        <v>200</v>
      </c>
      <c r="K902" t="n">
        <v>100</v>
      </c>
      <c r="L902" s="39">
        <f>IFERROR(IF(OR(J902=0,K902=""),"",IF(E902="Positivo",MIN(MAX(K902/J902,0),1.3),MIN(MAX(J902/K902,0),1.3))),"") </f>
        <v/>
      </c>
      <c r="M902" s="39">
        <f>IFERROR(IF(OR(J902=0,K902=""),"",IF(E902="Positivo",MAX(K902/J902,0),MAX(J902/K902,0))),"") </f>
        <v/>
      </c>
      <c r="N902" t="inlineStr">
        <is>
          <t>%</t>
        </is>
      </c>
      <c r="O902" t="inlineStr">
        <is>
          <t>%</t>
        </is>
      </c>
      <c r="P902" t="n">
        <v>0</v>
      </c>
      <c r="Q902" t="n">
        <v>0</v>
      </c>
      <c r="R902" t="inlineStr">
        <is>
          <t>481-2025-12-31</t>
        </is>
      </c>
    </row>
    <row r="903">
      <c r="A903" t="n">
        <v>483</v>
      </c>
      <c r="B903" t="inlineStr">
        <is>
          <t>Tasa de incremento en la resolución de solicitudes de la vicerrectoría de crecimiento</t>
        </is>
      </c>
      <c r="C903" t="inlineStr">
        <is>
          <t>Gestión de campañas integradas de marketing</t>
        </is>
      </c>
      <c r="D903" t="inlineStr">
        <is>
          <t>Anual</t>
        </is>
      </c>
      <c r="E903" t="inlineStr">
        <is>
          <t>Positivo</t>
        </is>
      </c>
      <c r="F903" s="111" t="n">
        <v>45657</v>
      </c>
      <c r="G903" t="n">
        <v>2024</v>
      </c>
      <c r="H903" t="inlineStr">
        <is>
          <t>Diciembre</t>
        </is>
      </c>
      <c r="I903" t="inlineStr">
        <is>
          <t>2024-2</t>
        </is>
      </c>
      <c r="J903" t="n">
        <v>10</v>
      </c>
      <c r="K903" t="n">
        <v>91.65000000000001</v>
      </c>
      <c r="L903" s="39">
        <f>IFERROR(IF(OR(J903=0,K903=""),"",IF(E903="Positivo",MIN(MAX(K903/J903,0),1.3),MIN(MAX(J903/K903,0),1.3))),"") </f>
        <v/>
      </c>
      <c r="M903" s="39">
        <f>IFERROR(IF(OR(J903=0,K903=""),"",IF(E903="Positivo",MAX(K903/J903,0),MAX(J903/K903,0))),"") </f>
        <v/>
      </c>
      <c r="N903" t="inlineStr">
        <is>
          <t>ENT</t>
        </is>
      </c>
      <c r="O903" t="inlineStr">
        <is>
          <t>ENT</t>
        </is>
      </c>
      <c r="P903" t="n">
        <v>0</v>
      </c>
      <c r="Q903" t="n">
        <v>0</v>
      </c>
      <c r="R903" t="inlineStr">
        <is>
          <t>483-2024-12-31</t>
        </is>
      </c>
    </row>
    <row r="904">
      <c r="A904" t="n">
        <v>484</v>
      </c>
      <c r="B904" t="inlineStr">
        <is>
          <t>Cumplimiento del Programa de la Cultura del Autocuidado</t>
        </is>
      </c>
      <c r="C904" t="inlineStr">
        <is>
          <t>GESTIÓN DE SEGURIDAD Y SALUD EN EL TRABAJO</t>
        </is>
      </c>
      <c r="D904" t="inlineStr">
        <is>
          <t>Trimestral</t>
        </is>
      </c>
      <c r="E904" t="inlineStr">
        <is>
          <t>Positivo</t>
        </is>
      </c>
      <c r="F904" s="111" t="n">
        <v>45657</v>
      </c>
      <c r="G904" t="n">
        <v>2024</v>
      </c>
      <c r="H904" t="inlineStr">
        <is>
          <t>Diciembre</t>
        </is>
      </c>
      <c r="I904" t="inlineStr">
        <is>
          <t>2024-2</t>
        </is>
      </c>
      <c r="J904" t="n">
        <v>90</v>
      </c>
      <c r="K904" t="n">
        <v>100</v>
      </c>
      <c r="L904" s="39">
        <f>IFERROR(IF(OR(J904=0,K904=""),"",IF(E904="Positivo",MIN(MAX(K904/J904,0),1.3),MIN(MAX(J904/K904,0),1.3))),"") </f>
        <v/>
      </c>
      <c r="M904" s="39">
        <f>IFERROR(IF(OR(J904=0,K904=""),"",IF(E904="Positivo",MAX(K904/J904,0),MAX(J904/K904,0))),"") </f>
        <v/>
      </c>
      <c r="N904" t="inlineStr">
        <is>
          <t>%</t>
        </is>
      </c>
      <c r="O904" t="inlineStr">
        <is>
          <t>%</t>
        </is>
      </c>
      <c r="P904" t="n">
        <v>0</v>
      </c>
      <c r="Q904" t="n">
        <v>0</v>
      </c>
      <c r="R904" t="inlineStr">
        <is>
          <t>484-2024-12-31</t>
        </is>
      </c>
    </row>
    <row r="905">
      <c r="A905" t="n">
        <v>484</v>
      </c>
      <c r="B905" t="inlineStr">
        <is>
          <t>Cumplimiento del Programa de la Cultura del Autocuidado</t>
        </is>
      </c>
      <c r="C905" t="inlineStr">
        <is>
          <t>GESTIÓN DE SEGURIDAD Y SALUD EN EL TRABAJO</t>
        </is>
      </c>
      <c r="D905" t="inlineStr">
        <is>
          <t>Semestral</t>
        </is>
      </c>
      <c r="E905" t="inlineStr">
        <is>
          <t>Positivo</t>
        </is>
      </c>
      <c r="F905" s="111" t="n">
        <v>46022</v>
      </c>
      <c r="G905" t="n">
        <v>2025</v>
      </c>
      <c r="H905" t="inlineStr">
        <is>
          <t>Diciembre</t>
        </is>
      </c>
      <c r="I905" t="inlineStr">
        <is>
          <t>2025-2</t>
        </is>
      </c>
      <c r="J905" t="n">
        <v>90</v>
      </c>
      <c r="K905" t="n">
        <v>100</v>
      </c>
      <c r="L905" s="39">
        <f>IFERROR(IF(OR(J905=0,K905=""),"",IF(E905="Positivo",MIN(MAX(K905/J905,0),1.3),MIN(MAX(J905/K905,0),1.3))),"") </f>
        <v/>
      </c>
      <c r="M905" s="39">
        <f>IFERROR(IF(OR(J905=0,K905=""),"",IF(E905="Positivo",MAX(K905/J905,0),MAX(J905/K905,0))),"") </f>
        <v/>
      </c>
      <c r="N905" t="inlineStr">
        <is>
          <t>%</t>
        </is>
      </c>
      <c r="O905" t="inlineStr">
        <is>
          <t>%</t>
        </is>
      </c>
      <c r="P905" t="n">
        <v>0</v>
      </c>
      <c r="Q905" t="n">
        <v>0</v>
      </c>
      <c r="R905" t="inlineStr">
        <is>
          <t>484-2025-12-31</t>
        </is>
      </c>
    </row>
    <row r="906">
      <c r="A906" t="n">
        <v>485</v>
      </c>
      <c r="B906" t="inlineStr">
        <is>
          <t>Oportunidad en el cierre de acciones</t>
        </is>
      </c>
      <c r="C906" t="inlineStr">
        <is>
          <t>Gestión de calidad</t>
        </is>
      </c>
      <c r="D906" t="inlineStr">
        <is>
          <t>Mensual</t>
        </is>
      </c>
      <c r="E906" t="inlineStr">
        <is>
          <t>Positivo</t>
        </is>
      </c>
      <c r="F906" s="111" t="n">
        <v>45657</v>
      </c>
      <c r="G906" t="n">
        <v>2024</v>
      </c>
      <c r="H906" t="inlineStr">
        <is>
          <t>Diciembre</t>
        </is>
      </c>
      <c r="I906" t="inlineStr">
        <is>
          <t>2024-2</t>
        </is>
      </c>
      <c r="J906" t="n">
        <v>80</v>
      </c>
      <c r="K906" t="n">
        <v>91.66666666666666</v>
      </c>
      <c r="L906" s="39">
        <f>IFERROR(IF(OR(J906=0,K906=""),"",IF(E906="Positivo",MIN(MAX(K906/J906,0),1.3),MIN(MAX(J906/K906,0),1.3))),"") </f>
        <v/>
      </c>
      <c r="M906" s="39">
        <f>IFERROR(IF(OR(J906=0,K906=""),"",IF(E906="Positivo",MAX(K906/J906,0),MAX(J906/K906,0))),"") </f>
        <v/>
      </c>
      <c r="N906" t="inlineStr">
        <is>
          <t>%</t>
        </is>
      </c>
      <c r="O906" t="inlineStr">
        <is>
          <t>%</t>
        </is>
      </c>
      <c r="P906" t="n">
        <v>0</v>
      </c>
      <c r="Q906" t="n">
        <v>0</v>
      </c>
      <c r="R906" t="inlineStr">
        <is>
          <t>485-2024-12-31</t>
        </is>
      </c>
    </row>
    <row r="907">
      <c r="A907" t="n">
        <v>485</v>
      </c>
      <c r="B907" t="inlineStr">
        <is>
          <t>Oportunidad en el cierre de acciones</t>
        </is>
      </c>
      <c r="C907" t="inlineStr">
        <is>
          <t>Gestión de calidad</t>
        </is>
      </c>
      <c r="D907" t="inlineStr">
        <is>
          <t>Mensual</t>
        </is>
      </c>
      <c r="E907" t="inlineStr">
        <is>
          <t>Positivo</t>
        </is>
      </c>
      <c r="F907" s="111" t="n">
        <v>46022</v>
      </c>
      <c r="G907" t="n">
        <v>2025</v>
      </c>
      <c r="H907" t="inlineStr">
        <is>
          <t>Diciembre</t>
        </is>
      </c>
      <c r="I907" t="inlineStr">
        <is>
          <t>2025-2</t>
        </is>
      </c>
      <c r="J907" t="n">
        <v>80</v>
      </c>
      <c r="K907" t="n">
        <v>83.155</v>
      </c>
      <c r="L907" s="39">
        <f>IFERROR(IF(OR(J907=0,K907=""),"",IF(E907="Positivo",MIN(MAX(K907/J907,0),1.3),MIN(MAX(J907/K907,0),1.3))),"") </f>
        <v/>
      </c>
      <c r="M907" s="39">
        <f>IFERROR(IF(OR(J907=0,K907=""),"",IF(E907="Positivo",MAX(K907/J907,0),MAX(J907/K907,0))),"") </f>
        <v/>
      </c>
      <c r="N907" t="inlineStr">
        <is>
          <t>%</t>
        </is>
      </c>
      <c r="O907" t="inlineStr">
        <is>
          <t>%</t>
        </is>
      </c>
      <c r="P907" t="n">
        <v>0</v>
      </c>
      <c r="Q907" t="n">
        <v>0</v>
      </c>
      <c r="R907" t="inlineStr">
        <is>
          <t>485-2025-12-31</t>
        </is>
      </c>
    </row>
    <row r="908">
      <c r="A908" t="n">
        <v>486</v>
      </c>
      <c r="B908" t="inlineStr">
        <is>
          <t>Número de visitas a la página web</t>
        </is>
      </c>
      <c r="C908" t="inlineStr">
        <is>
          <t>Comunicaciones Internas</t>
        </is>
      </c>
      <c r="D908" t="inlineStr">
        <is>
          <t>Semestral</t>
        </is>
      </c>
      <c r="E908" t="inlineStr">
        <is>
          <t>Positivo</t>
        </is>
      </c>
      <c r="F908" s="111" t="n">
        <v>45657</v>
      </c>
      <c r="G908" t="n">
        <v>2024</v>
      </c>
      <c r="H908" t="inlineStr">
        <is>
          <t>Diciembre</t>
        </is>
      </c>
      <c r="I908" t="inlineStr">
        <is>
          <t>2024-2</t>
        </is>
      </c>
      <c r="J908" t="n">
        <v>0</v>
      </c>
      <c r="K908" t="n">
        <v>7600000</v>
      </c>
      <c r="L908" s="39">
        <f>IFERROR(IF(OR(J908=0,K908=""),"",IF(E908="Positivo",MIN(MAX(K908/J908,0),1.3),MIN(MAX(J908/K908,0),1.3))),"") </f>
        <v/>
      </c>
      <c r="M908" s="39">
        <f>IFERROR(IF(OR(J908=0,K908=""),"",IF(E908="Positivo",MAX(K908/J908,0),MAX(J908/K908,0))),"") </f>
        <v/>
      </c>
      <c r="N908" t="inlineStr">
        <is>
          <t>%</t>
        </is>
      </c>
      <c r="O908" t="inlineStr">
        <is>
          <t>%</t>
        </is>
      </c>
      <c r="P908" t="n">
        <v>0</v>
      </c>
      <c r="Q908" t="n">
        <v>0</v>
      </c>
      <c r="R908" t="inlineStr">
        <is>
          <t>486-2024-12-31</t>
        </is>
      </c>
    </row>
    <row r="909">
      <c r="A909" t="n">
        <v>486</v>
      </c>
      <c r="B909" t="inlineStr">
        <is>
          <t>Número de visitas a la página web</t>
        </is>
      </c>
      <c r="C909" t="inlineStr">
        <is>
          <t>Comunicaciones Internas</t>
        </is>
      </c>
      <c r="D909" t="inlineStr">
        <is>
          <t>Trimestral</t>
        </is>
      </c>
      <c r="E909" t="inlineStr">
        <is>
          <t>Positivo</t>
        </is>
      </c>
      <c r="F909" s="111" t="n">
        <v>46022</v>
      </c>
      <c r="G909" t="n">
        <v>2025</v>
      </c>
      <c r="H909" t="inlineStr">
        <is>
          <t>Diciembre</t>
        </is>
      </c>
      <c r="I909" t="inlineStr">
        <is>
          <t>2025-2</t>
        </is>
      </c>
      <c r="K909" t="n">
        <v>5594551</v>
      </c>
      <c r="L909" s="39" t="n"/>
      <c r="M909" s="39" t="n"/>
      <c r="N909" t="inlineStr">
        <is>
          <t>%</t>
        </is>
      </c>
      <c r="O909" t="inlineStr">
        <is>
          <t>%</t>
        </is>
      </c>
      <c r="P909" t="n">
        <v>0</v>
      </c>
      <c r="Q909" t="n">
        <v>0</v>
      </c>
      <c r="R909" t="inlineStr">
        <is>
          <t>486-2025-12-31</t>
        </is>
      </c>
    </row>
    <row r="910">
      <c r="A910" t="n">
        <v>487</v>
      </c>
      <c r="B910" t="inlineStr">
        <is>
          <t>Impactados Talleres de formación</t>
        </is>
      </c>
      <c r="C910" t="inlineStr">
        <is>
          <t>Centro de Medios Audiovisuales</t>
        </is>
      </c>
      <c r="D910" t="inlineStr">
        <is>
          <t>Anual</t>
        </is>
      </c>
      <c r="E910" t="inlineStr">
        <is>
          <t>Positivo</t>
        </is>
      </c>
      <c r="F910" s="111" t="n">
        <v>45657</v>
      </c>
      <c r="G910" t="n">
        <v>2024</v>
      </c>
      <c r="H910" t="inlineStr">
        <is>
          <t>Diciembre</t>
        </is>
      </c>
      <c r="I910" t="inlineStr">
        <is>
          <t>2024-2</t>
        </is>
      </c>
      <c r="J910" t="n">
        <v>20</v>
      </c>
      <c r="K910" t="n">
        <v>6.06</v>
      </c>
      <c r="L910" s="39">
        <f>IFERROR(IF(OR(J910=0,K910=""),"",IF(E910="Positivo",MIN(MAX(K910/J910,0),1.3),MIN(MAX(J910/K910,0),1.3))),"") </f>
        <v/>
      </c>
      <c r="M910" s="39">
        <f>IFERROR(IF(OR(J910=0,K910=""),"",IF(E910="Positivo",MAX(K910/J910,0),MAX(J910/K910,0))),"") </f>
        <v/>
      </c>
      <c r="N910" t="inlineStr">
        <is>
          <t>%</t>
        </is>
      </c>
      <c r="O910" t="inlineStr">
        <is>
          <t>%</t>
        </is>
      </c>
      <c r="P910" t="n">
        <v>0</v>
      </c>
      <c r="Q910" t="n">
        <v>0</v>
      </c>
      <c r="R910" t="inlineStr">
        <is>
          <t>487-2024-12-31</t>
        </is>
      </c>
    </row>
    <row r="911">
      <c r="A911" t="n">
        <v>487</v>
      </c>
      <c r="B911" t="inlineStr">
        <is>
          <t>Impactados Talleres de formación</t>
        </is>
      </c>
      <c r="C911" t="inlineStr">
        <is>
          <t>Centro de Medios Audiovisuales</t>
        </is>
      </c>
      <c r="D911" t="inlineStr">
        <is>
          <t>Anual</t>
        </is>
      </c>
      <c r="E911" t="inlineStr">
        <is>
          <t>Positivo</t>
        </is>
      </c>
      <c r="F911" s="111" t="n">
        <v>46022</v>
      </c>
      <c r="G911" t="n">
        <v>2025</v>
      </c>
      <c r="H911" t="inlineStr">
        <is>
          <t>Diciembre</t>
        </is>
      </c>
      <c r="I911" t="inlineStr">
        <is>
          <t>2025-2</t>
        </is>
      </c>
      <c r="J911" t="n">
        <v>20</v>
      </c>
      <c r="K911" t="n">
        <v>58.86</v>
      </c>
      <c r="L911" s="39">
        <f>IFERROR(IF(OR(J911=0,K911=""),"",IF(E911="Positivo",MIN(MAX(K911/J911,0),1.3),MIN(MAX(J911/K911,0),1.3))),"") </f>
        <v/>
      </c>
      <c r="M911" s="39">
        <f>IFERROR(IF(OR(J911=0,K911=""),"",IF(E911="Positivo",MAX(K911/J911,0),MAX(J911/K911,0))),"") </f>
        <v/>
      </c>
      <c r="N911" t="inlineStr">
        <is>
          <t>%</t>
        </is>
      </c>
      <c r="O911" t="inlineStr">
        <is>
          <t>%</t>
        </is>
      </c>
      <c r="P911" t="n">
        <v>0</v>
      </c>
      <c r="Q911" t="n">
        <v>0</v>
      </c>
      <c r="R911" t="inlineStr">
        <is>
          <t>487-2025-12-31</t>
        </is>
      </c>
    </row>
    <row r="912">
      <c r="A912" t="n">
        <v>488</v>
      </c>
      <c r="B912" t="inlineStr">
        <is>
          <t>Oportunidad en el cierre de actividades de los planes de mejora</t>
        </is>
      </c>
      <c r="C912" t="inlineStr">
        <is>
          <t>Gestión de calidad</t>
        </is>
      </c>
      <c r="D912" t="inlineStr">
        <is>
          <t>Mensual</t>
        </is>
      </c>
      <c r="E912" t="inlineStr">
        <is>
          <t>Positivo</t>
        </is>
      </c>
      <c r="F912" s="111" t="n">
        <v>45657</v>
      </c>
      <c r="G912" t="n">
        <v>2024</v>
      </c>
      <c r="H912" t="inlineStr">
        <is>
          <t>Diciembre</t>
        </is>
      </c>
      <c r="I912" t="inlineStr">
        <is>
          <t>2024-2</t>
        </is>
      </c>
      <c r="J912" t="n">
        <v>85</v>
      </c>
      <c r="K912" t="n">
        <v>92.96128846079502</v>
      </c>
      <c r="L912" s="39">
        <f>IFERROR(IF(OR(J912=0,K912=""),"",IF(E912="Positivo",MIN(MAX(K912/J912,0),1.3),MIN(MAX(J912/K912,0),1.3))),"") </f>
        <v/>
      </c>
      <c r="M912" s="39">
        <f>IFERROR(IF(OR(J912=0,K912=""),"",IF(E912="Positivo",MAX(K912/J912,0),MAX(J912/K912,0))),"") </f>
        <v/>
      </c>
      <c r="N912" t="inlineStr">
        <is>
          <t>%</t>
        </is>
      </c>
      <c r="O912" t="inlineStr">
        <is>
          <t>%</t>
        </is>
      </c>
      <c r="P912" t="n">
        <v>0</v>
      </c>
      <c r="Q912" t="n">
        <v>0</v>
      </c>
      <c r="R912" t="inlineStr">
        <is>
          <t>488-2024-12-31</t>
        </is>
      </c>
    </row>
    <row r="913">
      <c r="A913" t="n">
        <v>488</v>
      </c>
      <c r="B913" t="inlineStr">
        <is>
          <t>Oportunidad en el cierre de actividades de los planes de mejora</t>
        </is>
      </c>
      <c r="C913" t="inlineStr">
        <is>
          <t>Gestión de calidad</t>
        </is>
      </c>
      <c r="D913" t="inlineStr">
        <is>
          <t>Mensual</t>
        </is>
      </c>
      <c r="E913" t="inlineStr">
        <is>
          <t>Positivo</t>
        </is>
      </c>
      <c r="F913" s="111" t="n">
        <v>46022</v>
      </c>
      <c r="G913" t="n">
        <v>2025</v>
      </c>
      <c r="H913" t="inlineStr">
        <is>
          <t>Diciembre</t>
        </is>
      </c>
      <c r="I913" t="inlineStr">
        <is>
          <t>2025-2</t>
        </is>
      </c>
      <c r="J913" t="n">
        <v>85</v>
      </c>
      <c r="K913" t="n">
        <v>77.20042389461328</v>
      </c>
      <c r="L913" s="39">
        <f>IFERROR(IF(OR(J913=0,K913=""),"",IF(E913="Positivo",MIN(MAX(K913/J913,0),1.3),MIN(MAX(J913/K913,0),1.3))),"") </f>
        <v/>
      </c>
      <c r="M913" s="39">
        <f>IFERROR(IF(OR(J913=0,K913=""),"",IF(E913="Positivo",MAX(K913/J913,0),MAX(J913/K913,0))),"") </f>
        <v/>
      </c>
      <c r="N913" t="inlineStr">
        <is>
          <t>%</t>
        </is>
      </c>
      <c r="O913" t="inlineStr">
        <is>
          <t>%</t>
        </is>
      </c>
      <c r="P913" t="n">
        <v>0</v>
      </c>
      <c r="Q913" t="n">
        <v>0</v>
      </c>
      <c r="R913" t="inlineStr">
        <is>
          <t>488-2025-12-31</t>
        </is>
      </c>
    </row>
    <row r="914">
      <c r="A914" t="n">
        <v>488</v>
      </c>
      <c r="B914" t="inlineStr">
        <is>
          <t>Oportunidad en el cierre de actividades de los planes de mejora</t>
        </is>
      </c>
      <c r="C914" t="inlineStr">
        <is>
          <t>Gestión de calidad</t>
        </is>
      </c>
      <c r="D914" t="inlineStr">
        <is>
          <t>Mensual</t>
        </is>
      </c>
      <c r="E914" t="inlineStr">
        <is>
          <t>Positivo</t>
        </is>
      </c>
      <c r="F914" s="111" t="n">
        <v>46081</v>
      </c>
      <c r="G914" t="n">
        <v>2026</v>
      </c>
      <c r="H914" t="inlineStr">
        <is>
          <t>Febrero</t>
        </is>
      </c>
      <c r="I914" t="inlineStr">
        <is>
          <t>2026-1</t>
        </is>
      </c>
      <c r="K914" t="n">
        <v>72.16</v>
      </c>
      <c r="L914" s="39" t="n"/>
      <c r="M914" s="39" t="n"/>
      <c r="N914" t="inlineStr">
        <is>
          <t>%</t>
        </is>
      </c>
      <c r="O914" t="inlineStr">
        <is>
          <t>%</t>
        </is>
      </c>
      <c r="P914" t="n">
        <v>0</v>
      </c>
      <c r="Q914" t="n">
        <v>0</v>
      </c>
      <c r="R914" t="inlineStr">
        <is>
          <t>488-2026-02-28</t>
        </is>
      </c>
      <c r="S914" t="inlineStr"/>
    </row>
    <row r="915">
      <c r="A915" t="n">
        <v>489</v>
      </c>
      <c r="B915" t="inlineStr">
        <is>
          <t>Cumplimiento en la evaluación de las oportunidades de mejora (OM)</t>
        </is>
      </c>
      <c r="C915" t="inlineStr">
        <is>
          <t>Gestión de calidad</t>
        </is>
      </c>
      <c r="D915" t="inlineStr">
        <is>
          <t>Mensual</t>
        </is>
      </c>
      <c r="E915" t="inlineStr">
        <is>
          <t>Positivo</t>
        </is>
      </c>
      <c r="F915" s="111" t="n">
        <v>45657</v>
      </c>
      <c r="G915" t="n">
        <v>2024</v>
      </c>
      <c r="H915" t="inlineStr">
        <is>
          <t>Diciembre</t>
        </is>
      </c>
      <c r="I915" t="inlineStr">
        <is>
          <t>2024-2</t>
        </is>
      </c>
      <c r="J915" t="n">
        <v>80</v>
      </c>
      <c r="K915" t="n">
        <v>100</v>
      </c>
      <c r="L915" s="39">
        <f>IFERROR(IF(OR(J915=0,K915=""),"",IF(E915="Positivo",MIN(MAX(K915/J915,0),1.3),MIN(MAX(J915/K915,0),1.3))),"") </f>
        <v/>
      </c>
      <c r="M915" s="39">
        <f>IFERROR(IF(OR(J915=0,K915=""),"",IF(E915="Positivo",MAX(K915/J915,0),MAX(J915/K915,0))),"") </f>
        <v/>
      </c>
      <c r="N915" t="inlineStr">
        <is>
          <t>%</t>
        </is>
      </c>
      <c r="O915" t="inlineStr">
        <is>
          <t>%</t>
        </is>
      </c>
      <c r="P915" t="n">
        <v>0</v>
      </c>
      <c r="Q915" t="n">
        <v>0</v>
      </c>
      <c r="R915" t="inlineStr">
        <is>
          <t>489-2024-12-31</t>
        </is>
      </c>
    </row>
    <row r="916">
      <c r="A916" t="n">
        <v>490</v>
      </c>
      <c r="B916" t="inlineStr">
        <is>
          <t>Nivel de Satisfacción Servicios Prestados - Planeación Estratégica</t>
        </is>
      </c>
      <c r="C916" t="inlineStr">
        <is>
          <t>Planeación Estratégica</t>
        </is>
      </c>
      <c r="D916" t="inlineStr">
        <is>
          <t>Anual</t>
        </is>
      </c>
      <c r="E916" t="inlineStr">
        <is>
          <t>Positivo</t>
        </is>
      </c>
      <c r="F916" s="111" t="n">
        <v>45657</v>
      </c>
      <c r="G916" t="n">
        <v>2024</v>
      </c>
      <c r="H916" t="inlineStr">
        <is>
          <t>Diciembre</t>
        </is>
      </c>
      <c r="I916" t="inlineStr">
        <is>
          <t>2024-2</t>
        </is>
      </c>
      <c r="J916" t="n">
        <v>80</v>
      </c>
      <c r="K916" t="n">
        <v>88</v>
      </c>
      <c r="L916" s="39">
        <f>IFERROR(IF(OR(J916=0,K916=""),"",IF(E916="Positivo",MIN(MAX(K916/J916,0),1.3),MIN(MAX(J916/K916,0),1.3))),"") </f>
        <v/>
      </c>
      <c r="M916" s="39">
        <f>IFERROR(IF(OR(J916=0,K916=""),"",IF(E916="Positivo",MAX(K916/J916,0),MAX(J916/K916,0))),"") </f>
        <v/>
      </c>
      <c r="N916" t="inlineStr">
        <is>
          <t>%</t>
        </is>
      </c>
      <c r="O916" t="inlineStr">
        <is>
          <t>%</t>
        </is>
      </c>
      <c r="P916" t="n">
        <v>0</v>
      </c>
      <c r="Q916" t="n">
        <v>0</v>
      </c>
      <c r="R916" t="inlineStr">
        <is>
          <t>490-2024-12-31</t>
        </is>
      </c>
    </row>
    <row r="917">
      <c r="A917" t="n">
        <v>490</v>
      </c>
      <c r="B917" t="inlineStr">
        <is>
          <t>Nivel de Satisfacción Servicios Prestados - Planeación Estratégica</t>
        </is>
      </c>
      <c r="C917" t="inlineStr">
        <is>
          <t>Planeación Estratégica</t>
        </is>
      </c>
      <c r="D917" t="inlineStr">
        <is>
          <t>Anual</t>
        </is>
      </c>
      <c r="E917" t="inlineStr">
        <is>
          <t>Positivo</t>
        </is>
      </c>
      <c r="F917" s="111" t="n">
        <v>46022</v>
      </c>
      <c r="G917" t="n">
        <v>2025</v>
      </c>
      <c r="H917" t="inlineStr">
        <is>
          <t>Diciembre</t>
        </is>
      </c>
      <c r="I917" t="inlineStr">
        <is>
          <t>2025-2</t>
        </is>
      </c>
      <c r="J917" t="n">
        <v>80</v>
      </c>
      <c r="K917" t="n">
        <v>100</v>
      </c>
      <c r="L917" s="39">
        <f>IFERROR(IF(OR(J917=0,K917=""),"",IF(E917="Positivo",MIN(MAX(K917/J917,0),1.3),MIN(MAX(J917/K917,0),1.3))),"") </f>
        <v/>
      </c>
      <c r="M917" s="39">
        <f>IFERROR(IF(OR(J917=0,K917=""),"",IF(E917="Positivo",MAX(K917/J917,0),MAX(J917/K917,0))),"") </f>
        <v/>
      </c>
      <c r="N917" t="inlineStr">
        <is>
          <t>%</t>
        </is>
      </c>
      <c r="O917" t="inlineStr">
        <is>
          <t>%</t>
        </is>
      </c>
      <c r="P917" t="n">
        <v>0</v>
      </c>
      <c r="Q917" t="n">
        <v>0</v>
      </c>
      <c r="R917" t="inlineStr">
        <is>
          <t>490-2025-12-31</t>
        </is>
      </c>
    </row>
    <row r="918">
      <c r="A918" t="n">
        <v>491</v>
      </c>
      <c r="B918" t="inlineStr">
        <is>
          <t>Nivel de Satisfacción Servicios Prestados - Gestión de proyectos</t>
        </is>
      </c>
      <c r="C918" t="inlineStr">
        <is>
          <t>Gestión de Proyectos</t>
        </is>
      </c>
      <c r="D918" t="inlineStr">
        <is>
          <t>Anual</t>
        </is>
      </c>
      <c r="E918" t="inlineStr">
        <is>
          <t>Positivo</t>
        </is>
      </c>
      <c r="F918" s="111" t="n">
        <v>45657</v>
      </c>
      <c r="G918" t="n">
        <v>2024</v>
      </c>
      <c r="H918" t="inlineStr">
        <is>
          <t>Diciembre</t>
        </is>
      </c>
      <c r="I918" t="inlineStr">
        <is>
          <t>2024-2</t>
        </is>
      </c>
      <c r="J918" t="n">
        <v>80</v>
      </c>
      <c r="K918" t="n">
        <v>88</v>
      </c>
      <c r="L918" s="39">
        <f>IFERROR(IF(OR(J918=0,K918=""),"",IF(E918="Positivo",MIN(MAX(K918/J918,0),1.3),MIN(MAX(J918/K918,0),1.3))),"") </f>
        <v/>
      </c>
      <c r="M918" s="39">
        <f>IFERROR(IF(OR(J918=0,K918=""),"",IF(E918="Positivo",MAX(K918/J918,0),MAX(J918/K918,0))),"") </f>
        <v/>
      </c>
      <c r="N918" t="inlineStr">
        <is>
          <t>%</t>
        </is>
      </c>
      <c r="O918" t="inlineStr">
        <is>
          <t>%</t>
        </is>
      </c>
      <c r="P918" t="n">
        <v>0</v>
      </c>
      <c r="Q918" t="n">
        <v>0</v>
      </c>
      <c r="R918" t="inlineStr">
        <is>
          <t>491-2024-12-31</t>
        </is>
      </c>
    </row>
    <row r="919">
      <c r="A919" t="n">
        <v>491</v>
      </c>
      <c r="B919" t="inlineStr">
        <is>
          <t>Nivel de Satisfacción Servicios Prestados - Gestión de proyectos</t>
        </is>
      </c>
      <c r="C919" t="inlineStr">
        <is>
          <t>Gestión de Proyectos</t>
        </is>
      </c>
      <c r="D919" t="inlineStr">
        <is>
          <t>Anual</t>
        </is>
      </c>
      <c r="E919" t="inlineStr">
        <is>
          <t>Positivo</t>
        </is>
      </c>
      <c r="F919" s="111" t="n">
        <v>46022</v>
      </c>
      <c r="G919" t="n">
        <v>2025</v>
      </c>
      <c r="H919" t="inlineStr">
        <is>
          <t>Diciembre</t>
        </is>
      </c>
      <c r="I919" t="inlineStr">
        <is>
          <t>2025-2</t>
        </is>
      </c>
      <c r="J919" t="n">
        <v>80</v>
      </c>
      <c r="K919" t="n">
        <v>100</v>
      </c>
      <c r="L919" s="39">
        <f>IFERROR(IF(OR(J919=0,K919=""),"",IF(E919="Positivo",MIN(MAX(K919/J919,0),1.3),MIN(MAX(J919/K919,0),1.3))),"") </f>
        <v/>
      </c>
      <c r="M919" s="39">
        <f>IFERROR(IF(OR(J919=0,K919=""),"",IF(E919="Positivo",MAX(K919/J919,0),MAX(J919/K919,0))),"") </f>
        <v/>
      </c>
      <c r="N919" t="inlineStr">
        <is>
          <t>%</t>
        </is>
      </c>
      <c r="O919" t="inlineStr">
        <is>
          <t>%</t>
        </is>
      </c>
      <c r="P919" t="n">
        <v>0</v>
      </c>
      <c r="Q919" t="n">
        <v>0</v>
      </c>
      <c r="R919" t="inlineStr">
        <is>
          <t>491-2025-12-31</t>
        </is>
      </c>
    </row>
    <row r="920">
      <c r="A920" t="n">
        <v>492</v>
      </c>
      <c r="B920" t="inlineStr">
        <is>
          <t>Nivel de Satisfacción Servicios Prestados - Desempeño Institucional</t>
        </is>
      </c>
      <c r="C920" t="inlineStr">
        <is>
          <t>Desempeño Institucional</t>
        </is>
      </c>
      <c r="D920" t="inlineStr">
        <is>
          <t>Anual</t>
        </is>
      </c>
      <c r="E920" t="inlineStr">
        <is>
          <t>Positivo</t>
        </is>
      </c>
      <c r="F920" s="111" t="n">
        <v>45657</v>
      </c>
      <c r="G920" t="n">
        <v>2024</v>
      </c>
      <c r="H920" t="inlineStr">
        <is>
          <t>Diciembre</t>
        </is>
      </c>
      <c r="I920" t="inlineStr">
        <is>
          <t>2024-2</t>
        </is>
      </c>
      <c r="J920" t="n">
        <v>80</v>
      </c>
      <c r="K920" t="n">
        <v>83</v>
      </c>
      <c r="L920" s="39">
        <f>IFERROR(IF(OR(J920=0,K920=""),"",IF(E920="Positivo",MIN(MAX(K920/J920,0),1.3),MIN(MAX(J920/K920,0),1.3))),"") </f>
        <v/>
      </c>
      <c r="M920" s="39">
        <f>IFERROR(IF(OR(J920=0,K920=""),"",IF(E920="Positivo",MAX(K920/J920,0),MAX(J920/K920,0))),"") </f>
        <v/>
      </c>
      <c r="N920" t="inlineStr">
        <is>
          <t>%</t>
        </is>
      </c>
      <c r="O920" t="inlineStr">
        <is>
          <t>%</t>
        </is>
      </c>
      <c r="P920" t="n">
        <v>0</v>
      </c>
      <c r="Q920" t="n">
        <v>0</v>
      </c>
      <c r="R920" t="inlineStr">
        <is>
          <t>492-2024-12-31</t>
        </is>
      </c>
    </row>
    <row r="921">
      <c r="A921" t="n">
        <v>492</v>
      </c>
      <c r="B921" t="inlineStr">
        <is>
          <t>Nivel de Satisfacción Servicios Prestados - Desempeño Institucional</t>
        </is>
      </c>
      <c r="C921" t="inlineStr">
        <is>
          <t>Desempeño Institucional</t>
        </is>
      </c>
      <c r="D921" t="inlineStr">
        <is>
          <t>Anual</t>
        </is>
      </c>
      <c r="E921" t="inlineStr">
        <is>
          <t>Positivo</t>
        </is>
      </c>
      <c r="F921" s="111" t="n">
        <v>46022</v>
      </c>
      <c r="G921" t="n">
        <v>2025</v>
      </c>
      <c r="H921" t="inlineStr">
        <is>
          <t>Diciembre</t>
        </is>
      </c>
      <c r="I921" t="inlineStr">
        <is>
          <t>2025-2</t>
        </is>
      </c>
      <c r="J921" t="n">
        <v>80</v>
      </c>
      <c r="K921" t="n">
        <v>95</v>
      </c>
      <c r="L921" s="39">
        <f>IFERROR(IF(OR(J921=0,K921=""),"",IF(E921="Positivo",MIN(MAX(K921/J921,0),1.3),MIN(MAX(J921/K921,0),1.3))),"") </f>
        <v/>
      </c>
      <c r="M921" s="39">
        <f>IFERROR(IF(OR(J921=0,K921=""),"",IF(E921="Positivo",MAX(K921/J921,0),MAX(J921/K921,0))),"") </f>
        <v/>
      </c>
      <c r="N921" t="inlineStr">
        <is>
          <t>%</t>
        </is>
      </c>
      <c r="O921" t="inlineStr">
        <is>
          <t>%</t>
        </is>
      </c>
      <c r="P921" t="n">
        <v>0</v>
      </c>
      <c r="Q921" t="n">
        <v>0</v>
      </c>
      <c r="R921" t="inlineStr">
        <is>
          <t>492-2025-12-31</t>
        </is>
      </c>
    </row>
    <row r="922">
      <c r="A922" t="n">
        <v>493</v>
      </c>
      <c r="B922" t="inlineStr">
        <is>
          <t>Nivel de Satisfacción Servicios Prestados - Gestión Jurídica Y Normativa</t>
        </is>
      </c>
      <c r="C922" t="inlineStr">
        <is>
          <t>GESTIÓN JURÍDICA Y NORMATIVA</t>
        </is>
      </c>
      <c r="D922" t="inlineStr">
        <is>
          <t>Anual</t>
        </is>
      </c>
      <c r="E922" t="inlineStr">
        <is>
          <t>Positivo</t>
        </is>
      </c>
      <c r="F922" s="111" t="n">
        <v>45657</v>
      </c>
      <c r="G922" t="n">
        <v>2024</v>
      </c>
      <c r="H922" t="inlineStr">
        <is>
          <t>Diciembre</t>
        </is>
      </c>
      <c r="I922" t="inlineStr">
        <is>
          <t>2024-2</t>
        </is>
      </c>
      <c r="J922" t="n">
        <v>80</v>
      </c>
      <c r="K922" t="n">
        <v>81</v>
      </c>
      <c r="L922" s="39">
        <f>IFERROR(IF(OR(J922=0,K922=""),"",IF(E922="Positivo",MIN(MAX(K922/J922,0),1.3),MIN(MAX(J922/K922,0),1.3))),"") </f>
        <v/>
      </c>
      <c r="M922" s="39">
        <f>IFERROR(IF(OR(J922=0,K922=""),"",IF(E922="Positivo",MAX(K922/J922,0),MAX(J922/K922,0))),"") </f>
        <v/>
      </c>
      <c r="N922" t="inlineStr">
        <is>
          <t>%</t>
        </is>
      </c>
      <c r="O922" t="inlineStr">
        <is>
          <t>%</t>
        </is>
      </c>
      <c r="P922" t="n">
        <v>0</v>
      </c>
      <c r="Q922" t="n">
        <v>0</v>
      </c>
      <c r="R922" t="inlineStr">
        <is>
          <t>493-2024-12-31</t>
        </is>
      </c>
    </row>
    <row r="923">
      <c r="A923" t="n">
        <v>493</v>
      </c>
      <c r="B923" t="inlineStr">
        <is>
          <t>Nivel de Satisfacción Servicios Prestados - Gestión Jurídica Y Normativa</t>
        </is>
      </c>
      <c r="C923" t="inlineStr">
        <is>
          <t>GESTIÓN JURÍDICA Y NORMATIVA</t>
        </is>
      </c>
      <c r="D923" t="inlineStr">
        <is>
          <t>Anual</t>
        </is>
      </c>
      <c r="E923" t="inlineStr">
        <is>
          <t>Positivo</t>
        </is>
      </c>
      <c r="F923" s="111" t="n">
        <v>46022</v>
      </c>
      <c r="G923" t="n">
        <v>2025</v>
      </c>
      <c r="H923" t="inlineStr">
        <is>
          <t>Diciembre</t>
        </is>
      </c>
      <c r="I923" t="inlineStr">
        <is>
          <t>2025-2</t>
        </is>
      </c>
      <c r="J923" t="n">
        <v>80</v>
      </c>
      <c r="K923" t="n">
        <v>77</v>
      </c>
      <c r="L923" s="39">
        <f>IFERROR(IF(OR(J923=0,K923=""),"",IF(E923="Positivo",MIN(MAX(K923/J923,0),1.3),MIN(MAX(J923/K923,0),1.3))),"") </f>
        <v/>
      </c>
      <c r="M923" s="39">
        <f>IFERROR(IF(OR(J923=0,K923=""),"",IF(E923="Positivo",MAX(K923/J923,0),MAX(J923/K923,0))),"") </f>
        <v/>
      </c>
      <c r="N923" t="inlineStr">
        <is>
          <t>%</t>
        </is>
      </c>
      <c r="O923" t="inlineStr">
        <is>
          <t>%</t>
        </is>
      </c>
      <c r="P923" t="n">
        <v>0</v>
      </c>
      <c r="Q923" t="n">
        <v>0</v>
      </c>
      <c r="R923" t="inlineStr">
        <is>
          <t>493-2025-12-31</t>
        </is>
      </c>
    </row>
    <row r="924">
      <c r="A924" t="n">
        <v>494</v>
      </c>
      <c r="B924" t="inlineStr">
        <is>
          <t>Nivel de Satisfacción Servicios Prestados - Administración De Servicios Generales</t>
        </is>
      </c>
      <c r="C924" t="inlineStr">
        <is>
          <t>Administración de Servicios Generales</t>
        </is>
      </c>
      <c r="D924" t="inlineStr">
        <is>
          <t>Anual</t>
        </is>
      </c>
      <c r="E924" t="inlineStr">
        <is>
          <t>Positivo</t>
        </is>
      </c>
      <c r="F924" s="111" t="n">
        <v>45657</v>
      </c>
      <c r="G924" t="n">
        <v>2024</v>
      </c>
      <c r="H924" t="inlineStr">
        <is>
          <t>Diciembre</t>
        </is>
      </c>
      <c r="I924" t="inlineStr">
        <is>
          <t>2024-2</t>
        </is>
      </c>
      <c r="J924" t="n">
        <v>80</v>
      </c>
      <c r="K924" t="n">
        <v>89</v>
      </c>
      <c r="L924" s="39">
        <f>IFERROR(IF(OR(J924=0,K924=""),"",IF(E924="Positivo",MIN(MAX(K924/J924,0),1.3),MIN(MAX(J924/K924,0),1.3))),"") </f>
        <v/>
      </c>
      <c r="M924" s="39">
        <f>IFERROR(IF(OR(J924=0,K924=""),"",IF(E924="Positivo",MAX(K924/J924,0),MAX(J924/K924,0))),"") </f>
        <v/>
      </c>
      <c r="N924" t="inlineStr">
        <is>
          <t>%</t>
        </is>
      </c>
      <c r="O924" t="inlineStr">
        <is>
          <t>%</t>
        </is>
      </c>
      <c r="P924" t="n">
        <v>0</v>
      </c>
      <c r="Q924" t="n">
        <v>0</v>
      </c>
      <c r="R924" t="inlineStr">
        <is>
          <t>494-2024-12-31</t>
        </is>
      </c>
    </row>
    <row r="925">
      <c r="A925" t="n">
        <v>494</v>
      </c>
      <c r="B925" t="inlineStr">
        <is>
          <t>Nivel de Satisfacción Servicios Prestados - Administración De Servicios Generales</t>
        </is>
      </c>
      <c r="C925" t="inlineStr">
        <is>
          <t>Administración de Servicios Generales</t>
        </is>
      </c>
      <c r="D925" t="inlineStr">
        <is>
          <t>Anual</t>
        </is>
      </c>
      <c r="E925" t="inlineStr">
        <is>
          <t>Positivo</t>
        </is>
      </c>
      <c r="F925" s="111" t="n">
        <v>46022</v>
      </c>
      <c r="G925" t="n">
        <v>2025</v>
      </c>
      <c r="H925" t="inlineStr">
        <is>
          <t>Diciembre</t>
        </is>
      </c>
      <c r="I925" t="inlineStr">
        <is>
          <t>2025-2</t>
        </is>
      </c>
      <c r="J925" t="n">
        <v>80</v>
      </c>
      <c r="K925" t="n">
        <v>93</v>
      </c>
      <c r="L925" s="39">
        <f>IFERROR(IF(OR(J925=0,K925=""),"",IF(E925="Positivo",MIN(MAX(K925/J925,0),1.3),MIN(MAX(J925/K925,0),1.3))),"") </f>
        <v/>
      </c>
      <c r="M925" s="39">
        <f>IFERROR(IF(OR(J925=0,K925=""),"",IF(E925="Positivo",MAX(K925/J925,0),MAX(J925/K925,0))),"") </f>
        <v/>
      </c>
      <c r="N925" t="inlineStr">
        <is>
          <t>%</t>
        </is>
      </c>
      <c r="O925" t="inlineStr">
        <is>
          <t>%</t>
        </is>
      </c>
      <c r="P925" t="n">
        <v>0</v>
      </c>
      <c r="Q925" t="n">
        <v>0</v>
      </c>
      <c r="R925" t="inlineStr">
        <is>
          <t>494-2025-12-31</t>
        </is>
      </c>
    </row>
    <row r="926">
      <c r="A926" t="n">
        <v>495</v>
      </c>
      <c r="B926" t="inlineStr">
        <is>
          <t>Nivel de Satisfacción Servicios Prestados - Contabilidad</t>
        </is>
      </c>
      <c r="C926" t="inlineStr">
        <is>
          <t>Contabilidad</t>
        </is>
      </c>
      <c r="D926" t="inlineStr">
        <is>
          <t>Anual</t>
        </is>
      </c>
      <c r="E926" t="inlineStr">
        <is>
          <t>Positivo</t>
        </is>
      </c>
      <c r="F926" s="111" t="n">
        <v>45657</v>
      </c>
      <c r="G926" t="n">
        <v>2024</v>
      </c>
      <c r="H926" t="inlineStr">
        <is>
          <t>Diciembre</t>
        </is>
      </c>
      <c r="I926" t="inlineStr">
        <is>
          <t>2024-2</t>
        </is>
      </c>
      <c r="J926" t="n">
        <v>80</v>
      </c>
      <c r="K926" t="n">
        <v>92</v>
      </c>
      <c r="L926" s="39">
        <f>IFERROR(IF(OR(J926=0,K926=""),"",IF(E926="Positivo",MIN(MAX(K926/J926,0),1.3),MIN(MAX(J926/K926,0),1.3))),"") </f>
        <v/>
      </c>
      <c r="M926" s="39">
        <f>IFERROR(IF(OR(J926=0,K926=""),"",IF(E926="Positivo",MAX(K926/J926,0),MAX(J926/K926,0))),"") </f>
        <v/>
      </c>
      <c r="N926" t="inlineStr">
        <is>
          <t>%</t>
        </is>
      </c>
      <c r="O926" t="inlineStr">
        <is>
          <t>%</t>
        </is>
      </c>
      <c r="P926" t="n">
        <v>0</v>
      </c>
      <c r="Q926" t="n">
        <v>0</v>
      </c>
      <c r="R926" t="inlineStr">
        <is>
          <t>495-2024-12-31</t>
        </is>
      </c>
    </row>
    <row r="927">
      <c r="A927" t="n">
        <v>495</v>
      </c>
      <c r="B927" t="inlineStr">
        <is>
          <t>Nivel de Satisfacción Servicios Prestados - Contabilidad</t>
        </is>
      </c>
      <c r="C927" t="inlineStr">
        <is>
          <t>Contabilidad</t>
        </is>
      </c>
      <c r="D927" t="inlineStr">
        <is>
          <t>Anual</t>
        </is>
      </c>
      <c r="E927" t="inlineStr">
        <is>
          <t>Positivo</t>
        </is>
      </c>
      <c r="F927" s="111" t="n">
        <v>46022</v>
      </c>
      <c r="G927" t="n">
        <v>2025</v>
      </c>
      <c r="H927" t="inlineStr">
        <is>
          <t>Diciembre</t>
        </is>
      </c>
      <c r="I927" t="inlineStr">
        <is>
          <t>2025-2</t>
        </is>
      </c>
      <c r="J927" t="n">
        <v>80</v>
      </c>
      <c r="K927" t="n">
        <v>63</v>
      </c>
      <c r="L927" s="39">
        <f>IFERROR(IF(OR(J927=0,K927=""),"",IF(E927="Positivo",MIN(MAX(K927/J927,0),1.3),MIN(MAX(J927/K927,0),1.3))),"") </f>
        <v/>
      </c>
      <c r="M927" s="39">
        <f>IFERROR(IF(OR(J927=0,K927=""),"",IF(E927="Positivo",MAX(K927/J927,0),MAX(J927/K927,0))),"") </f>
        <v/>
      </c>
      <c r="N927" t="inlineStr">
        <is>
          <t>%</t>
        </is>
      </c>
      <c r="O927" t="inlineStr">
        <is>
          <t>%</t>
        </is>
      </c>
      <c r="P927" t="n">
        <v>0</v>
      </c>
      <c r="Q927" t="n">
        <v>0</v>
      </c>
      <c r="R927" t="inlineStr">
        <is>
          <t>495-2025-12-31</t>
        </is>
      </c>
    </row>
    <row r="928">
      <c r="A928" t="n">
        <v>496</v>
      </c>
      <c r="B928" t="inlineStr">
        <is>
          <t>Nivel de Satisfacción Servicios Prestados - Planeación Financiera</t>
        </is>
      </c>
      <c r="C928" t="inlineStr">
        <is>
          <t>Planeación Financiera</t>
        </is>
      </c>
      <c r="D928" t="inlineStr">
        <is>
          <t>Anual</t>
        </is>
      </c>
      <c r="E928" t="inlineStr">
        <is>
          <t>Positivo</t>
        </is>
      </c>
      <c r="F928" s="111" t="n">
        <v>45657</v>
      </c>
      <c r="G928" t="n">
        <v>2024</v>
      </c>
      <c r="H928" t="inlineStr">
        <is>
          <t>Diciembre</t>
        </is>
      </c>
      <c r="I928" t="inlineStr">
        <is>
          <t>2024-2</t>
        </is>
      </c>
      <c r="J928" t="n">
        <v>80</v>
      </c>
      <c r="K928" t="n">
        <v>88</v>
      </c>
      <c r="L928" s="39">
        <f>IFERROR(IF(OR(J928=0,K928=""),"",IF(E928="Positivo",MIN(MAX(K928/J928,0),1.3),MIN(MAX(J928/K928,0),1.3))),"") </f>
        <v/>
      </c>
      <c r="M928" s="39">
        <f>IFERROR(IF(OR(J928=0,K928=""),"",IF(E928="Positivo",MAX(K928/J928,0),MAX(J928/K928,0))),"") </f>
        <v/>
      </c>
      <c r="N928" t="inlineStr">
        <is>
          <t>%</t>
        </is>
      </c>
      <c r="O928" t="inlineStr">
        <is>
          <t>%</t>
        </is>
      </c>
      <c r="P928" t="n">
        <v>0</v>
      </c>
      <c r="Q928" t="n">
        <v>0</v>
      </c>
      <c r="R928" t="inlineStr">
        <is>
          <t>496-2024-12-31</t>
        </is>
      </c>
    </row>
    <row r="929">
      <c r="A929" t="n">
        <v>496</v>
      </c>
      <c r="B929" t="inlineStr">
        <is>
          <t>Nivel de Satisfacción Servicios Prestados - Planeación Financiera</t>
        </is>
      </c>
      <c r="C929" t="inlineStr">
        <is>
          <t>Planeación Financiera</t>
        </is>
      </c>
      <c r="D929" t="inlineStr">
        <is>
          <t>Anual</t>
        </is>
      </c>
      <c r="E929" t="inlineStr">
        <is>
          <t>Positivo</t>
        </is>
      </c>
      <c r="F929" s="111" t="n">
        <v>46022</v>
      </c>
      <c r="G929" t="n">
        <v>2025</v>
      </c>
      <c r="H929" t="inlineStr">
        <is>
          <t>Diciembre</t>
        </is>
      </c>
      <c r="I929" t="inlineStr">
        <is>
          <t>2025-2</t>
        </is>
      </c>
      <c r="J929" t="n">
        <v>80</v>
      </c>
      <c r="K929" t="n">
        <v>100</v>
      </c>
      <c r="L929" s="39">
        <f>IFERROR(IF(OR(J929=0,K929=""),"",IF(E929="Positivo",MIN(MAX(K929/J929,0),1.3),MIN(MAX(J929/K929,0),1.3))),"") </f>
        <v/>
      </c>
      <c r="M929" s="39">
        <f>IFERROR(IF(OR(J929=0,K929=""),"",IF(E929="Positivo",MAX(K929/J929,0),MAX(J929/K929,0))),"") </f>
        <v/>
      </c>
      <c r="N929" t="inlineStr">
        <is>
          <t>%</t>
        </is>
      </c>
      <c r="O929" t="inlineStr">
        <is>
          <t>%</t>
        </is>
      </c>
      <c r="P929" t="n">
        <v>0</v>
      </c>
      <c r="Q929" t="n">
        <v>0</v>
      </c>
      <c r="R929" t="inlineStr">
        <is>
          <t>496-2025-12-31</t>
        </is>
      </c>
    </row>
    <row r="930">
      <c r="A930" t="n">
        <v>497</v>
      </c>
      <c r="B930" t="inlineStr">
        <is>
          <t>Nivel de Satisfacción Servicios Prestados - Tesorería</t>
        </is>
      </c>
      <c r="C930" t="inlineStr">
        <is>
          <t>Tesorería</t>
        </is>
      </c>
      <c r="D930" t="inlineStr">
        <is>
          <t>Anual</t>
        </is>
      </c>
      <c r="E930" t="inlineStr">
        <is>
          <t>Positivo</t>
        </is>
      </c>
      <c r="F930" s="111" t="n">
        <v>45657</v>
      </c>
      <c r="G930" t="n">
        <v>2024</v>
      </c>
      <c r="H930" t="inlineStr">
        <is>
          <t>Diciembre</t>
        </is>
      </c>
      <c r="I930" t="inlineStr">
        <is>
          <t>2024-2</t>
        </is>
      </c>
      <c r="J930" t="n">
        <v>80</v>
      </c>
      <c r="K930" t="n">
        <v>83</v>
      </c>
      <c r="L930" s="39">
        <f>IFERROR(IF(OR(J930=0,K930=""),"",IF(E930="Positivo",MIN(MAX(K930/J930,0),1.3),MIN(MAX(J930/K930,0),1.3))),"") </f>
        <v/>
      </c>
      <c r="M930" s="39">
        <f>IFERROR(IF(OR(J930=0,K930=""),"",IF(E930="Positivo",MAX(K930/J930,0),MAX(J930/K930,0))),"") </f>
        <v/>
      </c>
      <c r="N930" t="inlineStr">
        <is>
          <t>%</t>
        </is>
      </c>
      <c r="O930" t="inlineStr">
        <is>
          <t>%</t>
        </is>
      </c>
      <c r="P930" t="n">
        <v>0</v>
      </c>
      <c r="Q930" t="n">
        <v>0</v>
      </c>
      <c r="R930" t="inlineStr">
        <is>
          <t>497-2024-12-31</t>
        </is>
      </c>
    </row>
    <row r="931">
      <c r="A931" t="n">
        <v>498</v>
      </c>
      <c r="B931" t="inlineStr">
        <is>
          <t>Nivel de Satisfacción Servicios Prestados - Centro de Medios Audiovisuales</t>
        </is>
      </c>
      <c r="C931" t="inlineStr">
        <is>
          <t>Centro de Medios Audiovisuales</t>
        </is>
      </c>
      <c r="D931" t="inlineStr">
        <is>
          <t>Anual</t>
        </is>
      </c>
      <c r="E931" t="inlineStr">
        <is>
          <t>Positivo</t>
        </is>
      </c>
      <c r="F931" s="111" t="n">
        <v>45657</v>
      </c>
      <c r="G931" t="n">
        <v>2024</v>
      </c>
      <c r="H931" t="inlineStr">
        <is>
          <t>Diciembre</t>
        </is>
      </c>
      <c r="I931" t="inlineStr">
        <is>
          <t>2024-2</t>
        </is>
      </c>
      <c r="J931" t="n">
        <v>80</v>
      </c>
      <c r="K931" t="n">
        <v>92</v>
      </c>
      <c r="L931" s="39">
        <f>IFERROR(IF(OR(J931=0,K931=""),"",IF(E931="Positivo",MIN(MAX(K931/J931,0),1.3),MIN(MAX(J931/K931,0),1.3))),"") </f>
        <v/>
      </c>
      <c r="M931" s="39">
        <f>IFERROR(IF(OR(J931=0,K931=""),"",IF(E931="Positivo",MAX(K931/J931,0),MAX(J931/K931,0))),"") </f>
        <v/>
      </c>
      <c r="N931" t="inlineStr">
        <is>
          <t>%</t>
        </is>
      </c>
      <c r="O931" t="inlineStr">
        <is>
          <t>%</t>
        </is>
      </c>
      <c r="P931" t="n">
        <v>0</v>
      </c>
      <c r="Q931" t="n">
        <v>0</v>
      </c>
      <c r="R931" t="inlineStr">
        <is>
          <t>498-2024-12-31</t>
        </is>
      </c>
    </row>
    <row r="932">
      <c r="A932" t="n">
        <v>498</v>
      </c>
      <c r="B932" t="inlineStr">
        <is>
          <t>Nivel de Satisfacción Servicios Prestados - Centro de Medios Audiovisuales</t>
        </is>
      </c>
      <c r="C932" t="inlineStr">
        <is>
          <t>Centro de Medios Audiovisuales</t>
        </is>
      </c>
      <c r="D932" t="inlineStr">
        <is>
          <t>Anual</t>
        </is>
      </c>
      <c r="E932" t="inlineStr">
        <is>
          <t>Positivo</t>
        </is>
      </c>
      <c r="F932" s="111" t="n">
        <v>46022</v>
      </c>
      <c r="G932" t="n">
        <v>2025</v>
      </c>
      <c r="H932" t="inlineStr">
        <is>
          <t>Diciembre</t>
        </is>
      </c>
      <c r="I932" t="inlineStr">
        <is>
          <t>2025-2</t>
        </is>
      </c>
      <c r="J932" t="n">
        <v>80</v>
      </c>
      <c r="K932" t="n">
        <v>95</v>
      </c>
      <c r="L932" s="39">
        <f>IFERROR(IF(OR(J932=0,K932=""),"",IF(E932="Positivo",MIN(MAX(K932/J932,0),1.3),MIN(MAX(J932/K932,0),1.3))),"") </f>
        <v/>
      </c>
      <c r="M932" s="39">
        <f>IFERROR(IF(OR(J932=0,K932=""),"",IF(E932="Positivo",MAX(K932/J932,0),MAX(J932/K932,0))),"") </f>
        <v/>
      </c>
      <c r="N932" t="inlineStr">
        <is>
          <t>%</t>
        </is>
      </c>
      <c r="O932" t="inlineStr">
        <is>
          <t>%</t>
        </is>
      </c>
      <c r="P932" t="n">
        <v>0</v>
      </c>
      <c r="Q932" t="n">
        <v>0</v>
      </c>
      <c r="R932" t="inlineStr">
        <is>
          <t>498-2025-12-31</t>
        </is>
      </c>
    </row>
    <row r="933">
      <c r="A933" t="n">
        <v>499</v>
      </c>
      <c r="B933" t="inlineStr">
        <is>
          <t>Nivel de Satisfacción Servicios Prestados - Datos y analítica</t>
        </is>
      </c>
      <c r="C933" t="inlineStr">
        <is>
          <t>DATOS Y ANALÍTICA</t>
        </is>
      </c>
      <c r="D933" t="inlineStr">
        <is>
          <t>Anual</t>
        </is>
      </c>
      <c r="E933" t="inlineStr">
        <is>
          <t>Positivo</t>
        </is>
      </c>
      <c r="F933" s="111" t="n">
        <v>45657</v>
      </c>
      <c r="G933" t="n">
        <v>2024</v>
      </c>
      <c r="H933" t="inlineStr">
        <is>
          <t>Diciembre</t>
        </is>
      </c>
      <c r="I933" t="inlineStr">
        <is>
          <t>2024-2</t>
        </is>
      </c>
      <c r="J933" t="n">
        <v>80</v>
      </c>
      <c r="K933" t="n">
        <v>87</v>
      </c>
      <c r="L933" s="39">
        <f>IFERROR(IF(OR(J933=0,K933=""),"",IF(E933="Positivo",MIN(MAX(K933/J933,0),1.3),MIN(MAX(J933/K933,0),1.3))),"") </f>
        <v/>
      </c>
      <c r="M933" s="39">
        <f>IFERROR(IF(OR(J933=0,K933=""),"",IF(E933="Positivo",MAX(K933/J933,0),MAX(J933/K933,0))),"") </f>
        <v/>
      </c>
      <c r="N933" t="inlineStr">
        <is>
          <t>%</t>
        </is>
      </c>
      <c r="O933" t="inlineStr">
        <is>
          <t>%</t>
        </is>
      </c>
      <c r="P933" t="n">
        <v>0</v>
      </c>
      <c r="Q933" t="n">
        <v>0</v>
      </c>
      <c r="R933" t="inlineStr">
        <is>
          <t>499-2024-12-31</t>
        </is>
      </c>
    </row>
    <row r="934">
      <c r="A934" t="n">
        <v>499</v>
      </c>
      <c r="B934" t="inlineStr">
        <is>
          <t>Nivel de Satisfacción Servicios Prestados - Datos y analítica</t>
        </is>
      </c>
      <c r="C934" t="inlineStr">
        <is>
          <t>DATOS Y ANALÍTICA</t>
        </is>
      </c>
      <c r="D934" t="inlineStr">
        <is>
          <t>Anual</t>
        </is>
      </c>
      <c r="E934" t="inlineStr">
        <is>
          <t>Positivo</t>
        </is>
      </c>
      <c r="F934" s="111" t="n">
        <v>46022</v>
      </c>
      <c r="G934" t="n">
        <v>2025</v>
      </c>
      <c r="H934" t="inlineStr">
        <is>
          <t>Diciembre</t>
        </is>
      </c>
      <c r="I934" t="inlineStr">
        <is>
          <t>2025-2</t>
        </is>
      </c>
      <c r="J934" t="n">
        <v>80</v>
      </c>
      <c r="K934" t="n">
        <v>0</v>
      </c>
      <c r="L934" s="39">
        <f>IFERROR(IF(OR(J934=0,K934=""),"",IF(E934="Positivo",MIN(MAX(K934/J934,0),1.3),MIN(MAX(J934/K934,0),1.3))),"") </f>
        <v/>
      </c>
      <c r="M934" s="39">
        <f>IFERROR(IF(OR(J934=0,K934=""),"",IF(E934="Positivo",MAX(K934/J934,0),MAX(J934/K934,0))),"") </f>
        <v/>
      </c>
      <c r="N934" t="inlineStr">
        <is>
          <t>%</t>
        </is>
      </c>
      <c r="O934" t="inlineStr">
        <is>
          <t>%</t>
        </is>
      </c>
      <c r="P934" t="n">
        <v>0</v>
      </c>
      <c r="Q934" t="n">
        <v>0</v>
      </c>
      <c r="R934" t="inlineStr">
        <is>
          <t>499-2025-12-31</t>
        </is>
      </c>
    </row>
    <row r="935">
      <c r="A935" t="n">
        <v>500</v>
      </c>
      <c r="B935" t="inlineStr">
        <is>
          <t>Nivel de Satisfacción Servicios Prestados -Servicio de Salud</t>
        </is>
      </c>
      <c r="C935" t="inlineStr">
        <is>
          <t>Servicio de Salud</t>
        </is>
      </c>
      <c r="D935" t="inlineStr">
        <is>
          <t>Anual</t>
        </is>
      </c>
      <c r="E935" t="inlineStr">
        <is>
          <t>Positivo</t>
        </is>
      </c>
      <c r="F935" s="111" t="n">
        <v>45657</v>
      </c>
      <c r="G935" t="n">
        <v>2024</v>
      </c>
      <c r="H935" t="inlineStr">
        <is>
          <t>Diciembre</t>
        </is>
      </c>
      <c r="I935" t="inlineStr">
        <is>
          <t>2024-2</t>
        </is>
      </c>
      <c r="J935" t="n">
        <v>80</v>
      </c>
      <c r="K935" t="n">
        <v>89</v>
      </c>
      <c r="L935" s="39">
        <f>IFERROR(IF(OR(J935=0,K935=""),"",IF(E935="Positivo",MIN(MAX(K935/J935,0),1.3),MIN(MAX(J935/K935,0),1.3))),"") </f>
        <v/>
      </c>
      <c r="M935" s="39">
        <f>IFERROR(IF(OR(J935=0,K935=""),"",IF(E935="Positivo",MAX(K935/J935,0),MAX(J935/K935,0))),"") </f>
        <v/>
      </c>
      <c r="N935" t="inlineStr">
        <is>
          <t>%</t>
        </is>
      </c>
      <c r="O935" t="inlineStr">
        <is>
          <t>%</t>
        </is>
      </c>
      <c r="P935" t="n">
        <v>0</v>
      </c>
      <c r="Q935" t="n">
        <v>0</v>
      </c>
      <c r="R935" t="inlineStr">
        <is>
          <t>500-2024-12-31</t>
        </is>
      </c>
    </row>
    <row r="936">
      <c r="A936" t="n">
        <v>500</v>
      </c>
      <c r="B936" t="inlineStr">
        <is>
          <t>Nivel de Satisfacción Servicios Prestados -Servicio de Salud</t>
        </is>
      </c>
      <c r="C936" t="inlineStr">
        <is>
          <t>Servicio de Salud</t>
        </is>
      </c>
      <c r="D936" t="inlineStr">
        <is>
          <t>Anual</t>
        </is>
      </c>
      <c r="E936" t="inlineStr">
        <is>
          <t>Positivo</t>
        </is>
      </c>
      <c r="F936" s="111" t="n">
        <v>46022</v>
      </c>
      <c r="G936" t="n">
        <v>2025</v>
      </c>
      <c r="H936" t="inlineStr">
        <is>
          <t>Diciembre</t>
        </is>
      </c>
      <c r="I936" t="inlineStr">
        <is>
          <t>2025-2</t>
        </is>
      </c>
      <c r="J936" t="n">
        <v>80</v>
      </c>
      <c r="K936" t="n">
        <v>100</v>
      </c>
      <c r="L936" s="39">
        <f>IFERROR(IF(OR(J936=0,K936=""),"",IF(E936="Positivo",MIN(MAX(K936/J936,0),1.3),MIN(MAX(J936/K936,0),1.3))),"") </f>
        <v/>
      </c>
      <c r="M936" s="39">
        <f>IFERROR(IF(OR(J936=0,K936=""),"",IF(E936="Positivo",MAX(K936/J936,0),MAX(J936/K936,0))),"") </f>
        <v/>
      </c>
      <c r="N936" t="inlineStr">
        <is>
          <t>%</t>
        </is>
      </c>
      <c r="O936" t="inlineStr">
        <is>
          <t>%</t>
        </is>
      </c>
      <c r="P936" t="n">
        <v>0</v>
      </c>
      <c r="Q936" t="n">
        <v>0</v>
      </c>
      <c r="R936" t="inlineStr">
        <is>
          <t>500-2025-12-31</t>
        </is>
      </c>
    </row>
    <row r="937">
      <c r="A937" t="n">
        <v>501</v>
      </c>
      <c r="B937" t="inlineStr">
        <is>
          <t>Nivel de Satisfacción Servicios Prestados -Gestión, evaluación e innovación curricular</t>
        </is>
      </c>
      <c r="C937" t="inlineStr">
        <is>
          <t>Gestión, Evaluación e Innovación Curricular</t>
        </is>
      </c>
      <c r="D937" t="inlineStr">
        <is>
          <t>Anual</t>
        </is>
      </c>
      <c r="E937" t="inlineStr">
        <is>
          <t>Positivo</t>
        </is>
      </c>
      <c r="F937" s="111" t="n">
        <v>45657</v>
      </c>
      <c r="G937" t="n">
        <v>2024</v>
      </c>
      <c r="H937" t="inlineStr">
        <is>
          <t>Diciembre</t>
        </is>
      </c>
      <c r="I937" t="inlineStr">
        <is>
          <t>2024-2</t>
        </is>
      </c>
      <c r="J937" t="n">
        <v>80</v>
      </c>
      <c r="K937" t="n">
        <v>88</v>
      </c>
      <c r="L937" s="39">
        <f>IFERROR(IF(OR(J937=0,K937=""),"",IF(E937="Positivo",MIN(MAX(K937/J937,0),1.3),MIN(MAX(J937/K937,0),1.3))),"") </f>
        <v/>
      </c>
      <c r="M937" s="39">
        <f>IFERROR(IF(OR(J937=0,K937=""),"",IF(E937="Positivo",MAX(K937/J937,0),MAX(J937/K937,0))),"") </f>
        <v/>
      </c>
      <c r="N937" t="inlineStr">
        <is>
          <t>%</t>
        </is>
      </c>
      <c r="O937" t="inlineStr">
        <is>
          <t>%</t>
        </is>
      </c>
      <c r="P937" t="n">
        <v>0</v>
      </c>
      <c r="Q937" t="n">
        <v>0</v>
      </c>
      <c r="R937" t="inlineStr">
        <is>
          <t>501-2024-12-31</t>
        </is>
      </c>
    </row>
    <row r="938">
      <c r="A938" t="n">
        <v>501</v>
      </c>
      <c r="B938" t="inlineStr">
        <is>
          <t>Nivel de Satisfacción Servicios Prestados -Gestión, evaluación e innovación curricular</t>
        </is>
      </c>
      <c r="C938" t="inlineStr">
        <is>
          <t>Gestión, Evaluación e Innovación Curricular</t>
        </is>
      </c>
      <c r="D938" t="inlineStr">
        <is>
          <t>Anual</t>
        </is>
      </c>
      <c r="E938" t="inlineStr">
        <is>
          <t>Positivo</t>
        </is>
      </c>
      <c r="F938" s="111" t="n">
        <v>46022</v>
      </c>
      <c r="G938" t="n">
        <v>2025</v>
      </c>
      <c r="H938" t="inlineStr">
        <is>
          <t>Diciembre</t>
        </is>
      </c>
      <c r="I938" t="inlineStr">
        <is>
          <t>2025-2</t>
        </is>
      </c>
      <c r="J938" t="n">
        <v>80</v>
      </c>
      <c r="K938" t="n">
        <v>100</v>
      </c>
      <c r="L938" s="39">
        <f>IFERROR(IF(OR(J938=0,K938=""),"",IF(E938="Positivo",MIN(MAX(K938/J938,0),1.3),MIN(MAX(J938/K938,0),1.3))),"") </f>
        <v/>
      </c>
      <c r="M938" s="39">
        <f>IFERROR(IF(OR(J938=0,K938=""),"",IF(E938="Positivo",MAX(K938/J938,0),MAX(J938/K938,0))),"") </f>
        <v/>
      </c>
      <c r="N938" t="inlineStr">
        <is>
          <t>%</t>
        </is>
      </c>
      <c r="O938" t="inlineStr">
        <is>
          <t>%</t>
        </is>
      </c>
      <c r="P938" t="n">
        <v>0</v>
      </c>
      <c r="Q938" t="n">
        <v>0</v>
      </c>
      <c r="R938" t="inlineStr">
        <is>
          <t>501-2025-12-31</t>
        </is>
      </c>
    </row>
    <row r="939">
      <c r="A939" t="n">
        <v>502</v>
      </c>
      <c r="B939" t="inlineStr">
        <is>
          <t>Nivel de Satisfacción Servicios Prestados -Formación para la investigación, creación e innovación</t>
        </is>
      </c>
      <c r="C939" t="inlineStr">
        <is>
          <t>Formación para la investigación, creación e innovación</t>
        </is>
      </c>
      <c r="D939" t="inlineStr">
        <is>
          <t>Anual</t>
        </is>
      </c>
      <c r="E939" t="inlineStr">
        <is>
          <t>Positivo</t>
        </is>
      </c>
      <c r="F939" s="111" t="n">
        <v>45657</v>
      </c>
      <c r="G939" t="n">
        <v>2024</v>
      </c>
      <c r="H939" t="inlineStr">
        <is>
          <t>Diciembre</t>
        </is>
      </c>
      <c r="I939" t="inlineStr">
        <is>
          <t>2024-2</t>
        </is>
      </c>
      <c r="J939" t="n">
        <v>80</v>
      </c>
      <c r="K939" t="n">
        <v>90</v>
      </c>
      <c r="L939" s="39">
        <f>IFERROR(IF(OR(J939=0,K939=""),"",IF(E939="Positivo",MIN(MAX(K939/J939,0),1.3),MIN(MAX(J939/K939,0),1.3))),"") </f>
        <v/>
      </c>
      <c r="M939" s="39">
        <f>IFERROR(IF(OR(J939=0,K939=""),"",IF(E939="Positivo",MAX(K939/J939,0),MAX(J939/K939,0))),"") </f>
        <v/>
      </c>
      <c r="N939" t="inlineStr">
        <is>
          <t>%</t>
        </is>
      </c>
      <c r="O939" t="inlineStr">
        <is>
          <t>%</t>
        </is>
      </c>
      <c r="P939" t="n">
        <v>0</v>
      </c>
      <c r="Q939" t="n">
        <v>0</v>
      </c>
      <c r="R939" t="inlineStr">
        <is>
          <t>502-2024-12-31</t>
        </is>
      </c>
    </row>
    <row r="940">
      <c r="A940" t="n">
        <v>502</v>
      </c>
      <c r="B940" t="inlineStr">
        <is>
          <t>Nivel de Satisfacción Servicios Prestados -Formación para la investigación, creación e innovación</t>
        </is>
      </c>
      <c r="C940" t="inlineStr">
        <is>
          <t>Formación para la investigación, creación e innovación</t>
        </is>
      </c>
      <c r="D940" t="inlineStr">
        <is>
          <t>Anual</t>
        </is>
      </c>
      <c r="E940" t="inlineStr">
        <is>
          <t>Positivo</t>
        </is>
      </c>
      <c r="F940" s="111" t="n">
        <v>46022</v>
      </c>
      <c r="G940" t="n">
        <v>2025</v>
      </c>
      <c r="H940" t="inlineStr">
        <is>
          <t>Diciembre</t>
        </is>
      </c>
      <c r="I940" t="inlineStr">
        <is>
          <t>2025-2</t>
        </is>
      </c>
      <c r="J940" t="n">
        <v>80</v>
      </c>
      <c r="K940" t="n">
        <v>97</v>
      </c>
      <c r="L940" s="39">
        <f>IFERROR(IF(OR(J940=0,K940=""),"",IF(E940="Positivo",MIN(MAX(K940/J940,0),1.3),MIN(MAX(J940/K940,0),1.3))),"") </f>
        <v/>
      </c>
      <c r="M940" s="39">
        <f>IFERROR(IF(OR(J940=0,K940=""),"",IF(E940="Positivo",MAX(K940/J940,0),MAX(J940/K940,0))),"") </f>
        <v/>
      </c>
      <c r="N940" t="inlineStr">
        <is>
          <t>%</t>
        </is>
      </c>
      <c r="O940" t="inlineStr">
        <is>
          <t>%</t>
        </is>
      </c>
      <c r="P940" t="n">
        <v>0</v>
      </c>
      <c r="Q940" t="n">
        <v>0</v>
      </c>
      <c r="R940" t="inlineStr">
        <is>
          <t>502-2025-12-31</t>
        </is>
      </c>
    </row>
    <row r="941">
      <c r="A941" t="n">
        <v>503</v>
      </c>
      <c r="B941" t="inlineStr">
        <is>
          <t>Nivel de Satisfacción Servicios Prestados -Gestión de Unidades Académicas</t>
        </is>
      </c>
      <c r="C941" t="inlineStr">
        <is>
          <t>Gestión de Unidades Académicas</t>
        </is>
      </c>
      <c r="D941" t="inlineStr">
        <is>
          <t>Anual</t>
        </is>
      </c>
      <c r="E941" t="inlineStr">
        <is>
          <t>Positivo</t>
        </is>
      </c>
      <c r="F941" s="111" t="n">
        <v>45657</v>
      </c>
      <c r="G941" t="n">
        <v>2024</v>
      </c>
      <c r="H941" t="inlineStr">
        <is>
          <t>Diciembre</t>
        </is>
      </c>
      <c r="I941" t="inlineStr">
        <is>
          <t>2024-2</t>
        </is>
      </c>
      <c r="J941" t="n">
        <v>80</v>
      </c>
      <c r="K941" t="n">
        <v>86</v>
      </c>
      <c r="L941" s="39">
        <f>IFERROR(IF(OR(J941=0,K941=""),"",IF(E941="Positivo",MIN(MAX(K941/J941,0),1.3),MIN(MAX(J941/K941,0),1.3))),"") </f>
        <v/>
      </c>
      <c r="M941" s="39">
        <f>IFERROR(IF(OR(J941=0,K941=""),"",IF(E941="Positivo",MAX(K941/J941,0),MAX(J941/K941,0))),"") </f>
        <v/>
      </c>
      <c r="N941" t="inlineStr">
        <is>
          <t>%</t>
        </is>
      </c>
      <c r="O941" t="inlineStr">
        <is>
          <t>%</t>
        </is>
      </c>
      <c r="P941" t="n">
        <v>0</v>
      </c>
      <c r="Q941" t="n">
        <v>0</v>
      </c>
      <c r="R941" t="inlineStr">
        <is>
          <t>503-2024-12-31</t>
        </is>
      </c>
    </row>
    <row r="942">
      <c r="A942" t="n">
        <v>503</v>
      </c>
      <c r="B942" t="inlineStr">
        <is>
          <t>Nivel de Satisfacción Servicios Prestados -Gestión de Unidades Académicas</t>
        </is>
      </c>
      <c r="C942" t="inlineStr">
        <is>
          <t>Gestión de Unidades Académicas</t>
        </is>
      </c>
      <c r="D942" t="inlineStr">
        <is>
          <t>Anual</t>
        </is>
      </c>
      <c r="E942" t="inlineStr">
        <is>
          <t>Positivo</t>
        </is>
      </c>
      <c r="F942" s="111" t="n">
        <v>46022</v>
      </c>
      <c r="G942" t="n">
        <v>2025</v>
      </c>
      <c r="H942" t="inlineStr">
        <is>
          <t>Diciembre</t>
        </is>
      </c>
      <c r="I942" t="inlineStr">
        <is>
          <t>2025-2</t>
        </is>
      </c>
      <c r="J942" t="n">
        <v>80</v>
      </c>
      <c r="K942" t="n">
        <v>94</v>
      </c>
      <c r="L942" s="39">
        <f>IFERROR(IF(OR(J942=0,K942=""),"",IF(E942="Positivo",MIN(MAX(K942/J942,0),1.3),MIN(MAX(J942/K942,0),1.3))),"") </f>
        <v/>
      </c>
      <c r="M942" s="39">
        <f>IFERROR(IF(OR(J942=0,K942=""),"",IF(E942="Positivo",MAX(K942/J942,0),MAX(J942/K942,0))),"") </f>
        <v/>
      </c>
      <c r="N942" t="inlineStr">
        <is>
          <t>%</t>
        </is>
      </c>
      <c r="O942" t="inlineStr">
        <is>
          <t>%</t>
        </is>
      </c>
      <c r="P942" t="n">
        <v>0</v>
      </c>
      <c r="Q942" t="n">
        <v>0</v>
      </c>
      <c r="R942" t="inlineStr">
        <is>
          <t>503-2025-12-31</t>
        </is>
      </c>
    </row>
    <row r="943">
      <c r="A943" t="n">
        <v>504</v>
      </c>
      <c r="B943" t="inlineStr">
        <is>
          <t>Nivel de Satisfacción Servicios Prestados - LEI</t>
        </is>
      </c>
      <c r="C943" t="inlineStr">
        <is>
          <t>LEI</t>
        </is>
      </c>
      <c r="D943" t="inlineStr">
        <is>
          <t>Anual</t>
        </is>
      </c>
      <c r="E943" t="inlineStr">
        <is>
          <t>Positivo</t>
        </is>
      </c>
      <c r="F943" s="111" t="n">
        <v>45657</v>
      </c>
      <c r="G943" t="n">
        <v>2024</v>
      </c>
      <c r="H943" t="inlineStr">
        <is>
          <t>Diciembre</t>
        </is>
      </c>
      <c r="I943" t="inlineStr">
        <is>
          <t>2024-2</t>
        </is>
      </c>
      <c r="J943" t="n">
        <v>80</v>
      </c>
      <c r="K943" t="n">
        <v>88</v>
      </c>
      <c r="L943" s="39">
        <f>IFERROR(IF(OR(J943=0,K943=""),"",IF(E943="Positivo",MIN(MAX(K943/J943,0),1.3),MIN(MAX(J943/K943,0),1.3))),"") </f>
        <v/>
      </c>
      <c r="M943" s="39">
        <f>IFERROR(IF(OR(J943=0,K943=""),"",IF(E943="Positivo",MAX(K943/J943,0),MAX(J943/K943,0))),"") </f>
        <v/>
      </c>
      <c r="N943" t="inlineStr">
        <is>
          <t>%</t>
        </is>
      </c>
      <c r="O943" t="inlineStr">
        <is>
          <t>%</t>
        </is>
      </c>
      <c r="P943" t="n">
        <v>0</v>
      </c>
      <c r="Q943" t="n">
        <v>0</v>
      </c>
      <c r="R943" t="inlineStr">
        <is>
          <t>504-2024-12-31</t>
        </is>
      </c>
    </row>
    <row r="944">
      <c r="A944" t="n">
        <v>504</v>
      </c>
      <c r="B944" t="inlineStr">
        <is>
          <t>Nivel de Satisfacción Servicios Prestados - LEI</t>
        </is>
      </c>
      <c r="C944" t="inlineStr">
        <is>
          <t>LEI</t>
        </is>
      </c>
      <c r="D944" t="inlineStr">
        <is>
          <t>Anual</t>
        </is>
      </c>
      <c r="E944" t="inlineStr">
        <is>
          <t>Positivo</t>
        </is>
      </c>
      <c r="F944" s="111" t="n">
        <v>46022</v>
      </c>
      <c r="G944" t="n">
        <v>2025</v>
      </c>
      <c r="H944" t="inlineStr">
        <is>
          <t>Diciembre</t>
        </is>
      </c>
      <c r="I944" t="inlineStr">
        <is>
          <t>2025-2</t>
        </is>
      </c>
      <c r="J944" t="n">
        <v>80</v>
      </c>
      <c r="K944" t="n">
        <v>88</v>
      </c>
      <c r="L944" s="39">
        <f>IFERROR(IF(OR(J944=0,K944=""),"",IF(E944="Positivo",MIN(MAX(K944/J944,0),1.3),MIN(MAX(J944/K944,0),1.3))),"") </f>
        <v/>
      </c>
      <c r="M944" s="39">
        <f>IFERROR(IF(OR(J944=0,K944=""),"",IF(E944="Positivo",MAX(K944/J944,0),MAX(J944/K944,0))),"") </f>
        <v/>
      </c>
      <c r="N944" t="inlineStr">
        <is>
          <t>%</t>
        </is>
      </c>
      <c r="O944" t="inlineStr">
        <is>
          <t>%</t>
        </is>
      </c>
      <c r="P944" t="n">
        <v>0</v>
      </c>
      <c r="Q944" t="n">
        <v>0</v>
      </c>
      <c r="R944" t="inlineStr">
        <is>
          <t>504-2025-12-31</t>
        </is>
      </c>
    </row>
    <row r="945">
      <c r="A945" t="n">
        <v>505</v>
      </c>
      <c r="B945" t="inlineStr">
        <is>
          <t>Nivel de Satisfacción Servicios Prestados - Mercadeo de programas académicos</t>
        </is>
      </c>
      <c r="C945" t="inlineStr">
        <is>
          <t>Mercadeo de programas académicos</t>
        </is>
      </c>
      <c r="D945" t="inlineStr">
        <is>
          <t>Anual</t>
        </is>
      </c>
      <c r="E945" t="inlineStr">
        <is>
          <t>Positivo</t>
        </is>
      </c>
      <c r="F945" s="111" t="n">
        <v>45657</v>
      </c>
      <c r="G945" t="n">
        <v>2024</v>
      </c>
      <c r="H945" t="inlineStr">
        <is>
          <t>Diciembre</t>
        </is>
      </c>
      <c r="I945" t="inlineStr">
        <is>
          <t>2024-2</t>
        </is>
      </c>
      <c r="J945" t="n">
        <v>80</v>
      </c>
      <c r="K945" t="n">
        <v>85</v>
      </c>
      <c r="L945" s="39">
        <f>IFERROR(IF(OR(J945=0,K945=""),"",IF(E945="Positivo",MIN(MAX(K945/J945,0),1.3),MIN(MAX(J945/K945,0),1.3))),"") </f>
        <v/>
      </c>
      <c r="M945" s="39">
        <f>IFERROR(IF(OR(J945=0,K945=""),"",IF(E945="Positivo",MAX(K945/J945,0),MAX(J945/K945,0))),"") </f>
        <v/>
      </c>
      <c r="N945" t="inlineStr">
        <is>
          <t>%</t>
        </is>
      </c>
      <c r="O945" t="inlineStr">
        <is>
          <t>%</t>
        </is>
      </c>
      <c r="P945" t="n">
        <v>0</v>
      </c>
      <c r="Q945" t="n">
        <v>0</v>
      </c>
      <c r="R945" t="inlineStr">
        <is>
          <t>505-2024-12-31</t>
        </is>
      </c>
    </row>
    <row r="946">
      <c r="A946" t="n">
        <v>505</v>
      </c>
      <c r="B946" t="inlineStr">
        <is>
          <t>Nivel de Satisfacción Servicios Prestados - Mercadeo de programas académicos</t>
        </is>
      </c>
      <c r="C946" t="inlineStr">
        <is>
          <t>Mercadeo de programas académicos</t>
        </is>
      </c>
      <c r="D946" t="inlineStr">
        <is>
          <t>Anual</t>
        </is>
      </c>
      <c r="E946" t="inlineStr">
        <is>
          <t>Positivo</t>
        </is>
      </c>
      <c r="F946" s="111" t="n">
        <v>46022</v>
      </c>
      <c r="G946" t="n">
        <v>2025</v>
      </c>
      <c r="H946" t="inlineStr">
        <is>
          <t>Diciembre</t>
        </is>
      </c>
      <c r="I946" t="inlineStr">
        <is>
          <t>2025-2</t>
        </is>
      </c>
      <c r="J946" t="n">
        <v>80</v>
      </c>
      <c r="K946" t="n">
        <v>86</v>
      </c>
      <c r="L946" s="39">
        <f>IFERROR(IF(OR(J946=0,K946=""),"",IF(E946="Positivo",MIN(MAX(K946/J946,0),1.3),MIN(MAX(J946/K946,0),1.3))),"") </f>
        <v/>
      </c>
      <c r="M946" s="39">
        <f>IFERROR(IF(OR(J946=0,K946=""),"",IF(E946="Positivo",MAX(K946/J946,0),MAX(J946/K946,0))),"") </f>
        <v/>
      </c>
      <c r="N946" t="inlineStr">
        <is>
          <t>%</t>
        </is>
      </c>
      <c r="O946" t="inlineStr">
        <is>
          <t>%</t>
        </is>
      </c>
      <c r="P946" t="n">
        <v>0</v>
      </c>
      <c r="Q946" t="n">
        <v>0</v>
      </c>
      <c r="R946" t="inlineStr">
        <is>
          <t>505-2025-12-31</t>
        </is>
      </c>
    </row>
    <row r="947">
      <c r="A947" t="n">
        <v>506</v>
      </c>
      <c r="B947" t="inlineStr">
        <is>
          <t>Nivel de Satisfacción Servicios Prestados - Prácticas</t>
        </is>
      </c>
      <c r="C947" t="inlineStr">
        <is>
          <t>Prácticas</t>
        </is>
      </c>
      <c r="D947" t="inlineStr">
        <is>
          <t>Anual</t>
        </is>
      </c>
      <c r="E947" t="inlineStr">
        <is>
          <t>Positivo</t>
        </is>
      </c>
      <c r="F947" s="111" t="n">
        <v>45657</v>
      </c>
      <c r="G947" t="n">
        <v>2024</v>
      </c>
      <c r="H947" t="inlineStr">
        <is>
          <t>Diciembre</t>
        </is>
      </c>
      <c r="I947" t="inlineStr">
        <is>
          <t>2024-2</t>
        </is>
      </c>
      <c r="J947" t="n">
        <v>80</v>
      </c>
      <c r="K947" t="n">
        <v>67</v>
      </c>
      <c r="L947" s="39">
        <f>IFERROR(IF(OR(J947=0,K947=""),"",IF(E947="Positivo",MIN(MAX(K947/J947,0),1.3),MIN(MAX(J947/K947,0),1.3))),"") </f>
        <v/>
      </c>
      <c r="M947" s="39">
        <f>IFERROR(IF(OR(J947=0,K947=""),"",IF(E947="Positivo",MAX(K947/J947,0),MAX(J947/K947,0))),"") </f>
        <v/>
      </c>
      <c r="N947" t="inlineStr">
        <is>
          <t>%</t>
        </is>
      </c>
      <c r="O947" t="inlineStr">
        <is>
          <t>%</t>
        </is>
      </c>
      <c r="P947" t="n">
        <v>0</v>
      </c>
      <c r="Q947" t="n">
        <v>0</v>
      </c>
      <c r="R947" t="inlineStr">
        <is>
          <t>506-2024-12-31</t>
        </is>
      </c>
    </row>
    <row r="948">
      <c r="A948" t="n">
        <v>506</v>
      </c>
      <c r="B948" t="inlineStr">
        <is>
          <t>Nivel de Satisfacción Servicios Prestados - Prácticas</t>
        </is>
      </c>
      <c r="C948" t="inlineStr">
        <is>
          <t>Prácticas</t>
        </is>
      </c>
      <c r="D948" t="inlineStr">
        <is>
          <t>Trimestral</t>
        </is>
      </c>
      <c r="E948" t="inlineStr">
        <is>
          <t>Positivo</t>
        </is>
      </c>
      <c r="F948" s="111" t="n">
        <v>46022</v>
      </c>
      <c r="G948" t="n">
        <v>2025</v>
      </c>
      <c r="H948" t="inlineStr">
        <is>
          <t>Diciembre</t>
        </is>
      </c>
      <c r="I948" t="inlineStr">
        <is>
          <t>2025-2</t>
        </is>
      </c>
      <c r="J948" t="n">
        <v>80</v>
      </c>
      <c r="K948" t="n">
        <v>92.5</v>
      </c>
      <c r="L948" s="39">
        <f>IFERROR(IF(OR(J948=0,K948=""),"",IF(E948="Positivo",MIN(MAX(K948/J948,0),1.3),MIN(MAX(J948/K948,0),1.3))),"") </f>
        <v/>
      </c>
      <c r="M948" s="39">
        <f>IFERROR(IF(OR(J948=0,K948=""),"",IF(E948="Positivo",MAX(K948/J948,0),MAX(J948/K948,0))),"") </f>
        <v/>
      </c>
      <c r="N948" t="inlineStr">
        <is>
          <t>%</t>
        </is>
      </c>
      <c r="O948" t="inlineStr">
        <is>
          <t>%</t>
        </is>
      </c>
      <c r="P948" t="n">
        <v>0</v>
      </c>
      <c r="Q948" t="n">
        <v>0</v>
      </c>
      <c r="R948" t="inlineStr">
        <is>
          <t>506-2025-12-31</t>
        </is>
      </c>
    </row>
    <row r="949">
      <c r="A949" t="n">
        <v>507</v>
      </c>
      <c r="B949" t="inlineStr">
        <is>
          <t>Nivel de Satisfacción Servicios Prestados -Cultura y Deporte</t>
        </is>
      </c>
      <c r="C949" t="inlineStr">
        <is>
          <t>Cultura y Deporte</t>
        </is>
      </c>
      <c r="D949" t="inlineStr">
        <is>
          <t>Anual</t>
        </is>
      </c>
      <c r="E949" t="inlineStr">
        <is>
          <t>Positivo</t>
        </is>
      </c>
      <c r="F949" s="111" t="n">
        <v>45657</v>
      </c>
      <c r="G949" t="n">
        <v>2024</v>
      </c>
      <c r="H949" t="inlineStr">
        <is>
          <t>Diciembre</t>
        </is>
      </c>
      <c r="I949" t="inlineStr">
        <is>
          <t>2024-2</t>
        </is>
      </c>
      <c r="J949" t="n">
        <v>80</v>
      </c>
      <c r="K949" t="n">
        <v>77</v>
      </c>
      <c r="L949" s="39">
        <f>IFERROR(IF(OR(J949=0,K949=""),"",IF(E949="Positivo",MIN(MAX(K949/J949,0),1.3),MIN(MAX(J949/K949,0),1.3))),"") </f>
        <v/>
      </c>
      <c r="M949" s="39">
        <f>IFERROR(IF(OR(J949=0,K949=""),"",IF(E949="Positivo",MAX(K949/J949,0),MAX(J949/K949,0))),"") </f>
        <v/>
      </c>
      <c r="N949" t="inlineStr">
        <is>
          <t>%</t>
        </is>
      </c>
      <c r="O949" t="inlineStr">
        <is>
          <t>%</t>
        </is>
      </c>
      <c r="P949" t="n">
        <v>0</v>
      </c>
      <c r="Q949" t="n">
        <v>0</v>
      </c>
      <c r="R949" t="inlineStr">
        <is>
          <t>507-2024-12-31</t>
        </is>
      </c>
    </row>
    <row r="950">
      <c r="A950" t="n">
        <v>507</v>
      </c>
      <c r="B950" t="inlineStr">
        <is>
          <t>Nivel de Satisfacción Servicios Prestados -Cultura y Deporte</t>
        </is>
      </c>
      <c r="C950" t="inlineStr">
        <is>
          <t>Cultura y Deporte</t>
        </is>
      </c>
      <c r="D950" t="inlineStr">
        <is>
          <t>Trimestral</t>
        </is>
      </c>
      <c r="E950" t="inlineStr">
        <is>
          <t>Positivo</t>
        </is>
      </c>
      <c r="F950" s="111" t="n">
        <v>46022</v>
      </c>
      <c r="G950" t="n">
        <v>2025</v>
      </c>
      <c r="H950" t="inlineStr">
        <is>
          <t>Diciembre</t>
        </is>
      </c>
      <c r="I950" t="inlineStr">
        <is>
          <t>2025-2</t>
        </is>
      </c>
      <c r="J950" t="n">
        <v>80</v>
      </c>
      <c r="K950" t="n">
        <v>99</v>
      </c>
      <c r="L950" s="39">
        <f>IFERROR(IF(OR(J950=0,K950=""),"",IF(E950="Positivo",MIN(MAX(K950/J950,0),1.3),MIN(MAX(J950/K950,0),1.3))),"") </f>
        <v/>
      </c>
      <c r="M950" s="39">
        <f>IFERROR(IF(OR(J950=0,K950=""),"",IF(E950="Positivo",MAX(K950/J950,0),MAX(J950/K950,0))),"") </f>
        <v/>
      </c>
      <c r="N950" t="inlineStr">
        <is>
          <t>%</t>
        </is>
      </c>
      <c r="O950" t="inlineStr">
        <is>
          <t>%</t>
        </is>
      </c>
      <c r="P950" t="n">
        <v>0</v>
      </c>
      <c r="Q950" t="n">
        <v>0</v>
      </c>
      <c r="R950" t="inlineStr">
        <is>
          <t>507-2025-12-31</t>
        </is>
      </c>
    </row>
    <row r="951">
      <c r="A951" t="n">
        <v>508</v>
      </c>
      <c r="B951" t="inlineStr">
        <is>
          <t>Nivel de Satisfacción Servicios Prestados - Diseño y contenido virtual</t>
        </is>
      </c>
      <c r="C951" t="inlineStr">
        <is>
          <t>Diseño de Contenido Virtual</t>
        </is>
      </c>
      <c r="D951" t="inlineStr">
        <is>
          <t>Anual</t>
        </is>
      </c>
      <c r="E951" t="inlineStr">
        <is>
          <t>Positivo</t>
        </is>
      </c>
      <c r="F951" s="111" t="n">
        <v>45657</v>
      </c>
      <c r="G951" t="n">
        <v>2024</v>
      </c>
      <c r="H951" t="inlineStr">
        <is>
          <t>Diciembre</t>
        </is>
      </c>
      <c r="I951" t="inlineStr">
        <is>
          <t>2024-2</t>
        </is>
      </c>
      <c r="J951" t="n">
        <v>80</v>
      </c>
      <c r="K951" t="n">
        <v>88</v>
      </c>
      <c r="L951" s="39">
        <f>IFERROR(IF(OR(J951=0,K951=""),"",IF(E951="Positivo",MIN(MAX(K951/J951,0),1.3),MIN(MAX(J951/K951,0),1.3))),"") </f>
        <v/>
      </c>
      <c r="M951" s="39">
        <f>IFERROR(IF(OR(J951=0,K951=""),"",IF(E951="Positivo",MAX(K951/J951,0),MAX(J951/K951,0))),"") </f>
        <v/>
      </c>
      <c r="N951" t="inlineStr">
        <is>
          <t>%</t>
        </is>
      </c>
      <c r="O951" t="inlineStr">
        <is>
          <t>%</t>
        </is>
      </c>
      <c r="P951" t="n">
        <v>0</v>
      </c>
      <c r="Q951" t="n">
        <v>0</v>
      </c>
      <c r="R951" t="inlineStr">
        <is>
          <t>508-2024-12-31</t>
        </is>
      </c>
    </row>
    <row r="952">
      <c r="A952" t="n">
        <v>508</v>
      </c>
      <c r="B952" t="inlineStr">
        <is>
          <t>Nivel de Satisfacción Servicios Prestados - Diseño y contenido virtual</t>
        </is>
      </c>
      <c r="C952" t="inlineStr">
        <is>
          <t>Diseño de Contenido Virtual</t>
        </is>
      </c>
      <c r="D952" t="inlineStr">
        <is>
          <t>Anual</t>
        </is>
      </c>
      <c r="E952" t="inlineStr">
        <is>
          <t>Positivo</t>
        </is>
      </c>
      <c r="F952" s="111" t="n">
        <v>46022</v>
      </c>
      <c r="G952" t="n">
        <v>2025</v>
      </c>
      <c r="H952" t="inlineStr">
        <is>
          <t>Diciembre</t>
        </is>
      </c>
      <c r="I952" t="inlineStr">
        <is>
          <t>2025-2</t>
        </is>
      </c>
      <c r="J952" t="n">
        <v>80</v>
      </c>
      <c r="K952" t="n">
        <v>89</v>
      </c>
      <c r="L952" s="39">
        <f>IFERROR(IF(OR(J952=0,K952=""),"",IF(E952="Positivo",MIN(MAX(K952/J952,0),1.3),MIN(MAX(J952/K952,0),1.3))),"") </f>
        <v/>
      </c>
      <c r="M952" s="39">
        <f>IFERROR(IF(OR(J952=0,K952=""),"",IF(E952="Positivo",MAX(K952/J952,0),MAX(J952/K952,0))),"") </f>
        <v/>
      </c>
      <c r="N952" t="inlineStr">
        <is>
          <t>%</t>
        </is>
      </c>
      <c r="O952" t="inlineStr">
        <is>
          <t>%</t>
        </is>
      </c>
      <c r="P952" t="n">
        <v>0</v>
      </c>
      <c r="Q952" t="n">
        <v>0</v>
      </c>
      <c r="R952" t="inlineStr">
        <is>
          <t>508-2025-12-31</t>
        </is>
      </c>
    </row>
    <row r="953">
      <c r="A953" t="n">
        <v>509</v>
      </c>
      <c r="B953" t="inlineStr">
        <is>
          <t>Cumplimiento a cronograma de proyectos 2025</t>
        </is>
      </c>
      <c r="C953" t="inlineStr">
        <is>
          <t>Gestión de Proyectos</t>
        </is>
      </c>
      <c r="D953" t="inlineStr">
        <is>
          <t>Mensual</t>
        </is>
      </c>
      <c r="E953" t="inlineStr">
        <is>
          <t>Positivo</t>
        </is>
      </c>
      <c r="F953" s="111" t="n">
        <v>46022</v>
      </c>
      <c r="G953" t="n">
        <v>2025</v>
      </c>
      <c r="H953" t="inlineStr">
        <is>
          <t>Diciembre</t>
        </is>
      </c>
      <c r="I953" t="inlineStr">
        <is>
          <t>2025-2</t>
        </is>
      </c>
      <c r="J953" t="n">
        <v>90</v>
      </c>
      <c r="K953" t="n">
        <v>97.33</v>
      </c>
      <c r="L953" s="39">
        <f>IFERROR(IF(OR(J953=0,K953=""),"",IF(E953="Positivo",MIN(MAX(K953/J953,0),1.3),MIN(MAX(J953/K953,0),1.3))),"") </f>
        <v/>
      </c>
      <c r="M953" s="39">
        <f>IFERROR(IF(OR(J953=0,K953=""),"",IF(E953="Positivo",MAX(K953/J953,0),MAX(J953/K953,0))),"") </f>
        <v/>
      </c>
      <c r="N953" t="inlineStr">
        <is>
          <t>%</t>
        </is>
      </c>
      <c r="O953" t="inlineStr">
        <is>
          <t>%</t>
        </is>
      </c>
      <c r="P953" t="n">
        <v>0</v>
      </c>
      <c r="Q953" t="n">
        <v>0</v>
      </c>
      <c r="R953" t="inlineStr">
        <is>
          <t>509-2025-12-31</t>
        </is>
      </c>
    </row>
    <row r="954">
      <c r="A954" t="n">
        <v>510</v>
      </c>
      <c r="B954" t="inlineStr">
        <is>
          <t>Frecuencia de incidentes de riesgos</t>
        </is>
      </c>
      <c r="C954" t="inlineStr">
        <is>
          <t>GESTIÓN DE RIESGOS</t>
        </is>
      </c>
      <c r="D954" t="inlineStr">
        <is>
          <t>Semestral</t>
        </is>
      </c>
      <c r="E954" t="inlineStr">
        <is>
          <t>Positivo</t>
        </is>
      </c>
      <c r="F954" s="111" t="n">
        <v>46022</v>
      </c>
      <c r="G954" t="n">
        <v>2025</v>
      </c>
      <c r="H954" t="inlineStr">
        <is>
          <t>Diciembre</t>
        </is>
      </c>
      <c r="I954" t="inlineStr">
        <is>
          <t>2025-2</t>
        </is>
      </c>
      <c r="K954" t="n">
        <v>0</v>
      </c>
      <c r="L954" s="39" t="n"/>
      <c r="M954" s="39" t="n"/>
      <c r="N954" t="inlineStr">
        <is>
          <t>Linea Base</t>
        </is>
      </c>
      <c r="O954" t="inlineStr">
        <is>
          <t>%</t>
        </is>
      </c>
      <c r="P954" t="n">
        <v>0</v>
      </c>
      <c r="Q954" t="n">
        <v>0</v>
      </c>
      <c r="R954" t="inlineStr">
        <is>
          <t>510-2025-12-31</t>
        </is>
      </c>
    </row>
    <row r="955">
      <c r="A955" t="n">
        <v>511</v>
      </c>
      <c r="B955" t="inlineStr">
        <is>
          <t>Eficacia de controles</t>
        </is>
      </c>
      <c r="C955" t="inlineStr">
        <is>
          <t>GESTIÓN DE RIESGOS</t>
        </is>
      </c>
      <c r="D955" t="inlineStr">
        <is>
          <t>Semestral</t>
        </is>
      </c>
      <c r="E955" t="inlineStr">
        <is>
          <t>Positivo</t>
        </is>
      </c>
      <c r="F955" s="111" t="n">
        <v>46022</v>
      </c>
      <c r="G955" t="n">
        <v>2025</v>
      </c>
      <c r="H955" t="inlineStr">
        <is>
          <t>Diciembre</t>
        </is>
      </c>
      <c r="I955" t="inlineStr">
        <is>
          <t>2025-2</t>
        </is>
      </c>
      <c r="K955" t="n">
        <v>257.48</v>
      </c>
      <c r="L955" s="39" t="n"/>
      <c r="M955" s="39" t="n"/>
      <c r="N955" t="inlineStr">
        <is>
          <t>Linea Base</t>
        </is>
      </c>
      <c r="O955" t="inlineStr">
        <is>
          <t>%</t>
        </is>
      </c>
      <c r="P955" t="n">
        <v>0</v>
      </c>
      <c r="Q955" t="n">
        <v>0</v>
      </c>
      <c r="R955" t="inlineStr">
        <is>
          <t>511-2025-12-31</t>
        </is>
      </c>
    </row>
    <row r="956">
      <c r="A956" t="n">
        <v>513</v>
      </c>
      <c r="B956" t="inlineStr">
        <is>
          <t>Nivel de cumplimiento del plan de seguimiento a controles</t>
        </is>
      </c>
      <c r="C956" t="inlineStr">
        <is>
          <t>GESTIÓN DE RIESGOS</t>
        </is>
      </c>
      <c r="D956" t="inlineStr">
        <is>
          <t>Semestral</t>
        </is>
      </c>
      <c r="E956" t="inlineStr">
        <is>
          <t>Positivo</t>
        </is>
      </c>
      <c r="F956" s="111" t="n">
        <v>46022</v>
      </c>
      <c r="G956" t="n">
        <v>2025</v>
      </c>
      <c r="H956" t="inlineStr">
        <is>
          <t>Diciembre</t>
        </is>
      </c>
      <c r="I956" t="inlineStr">
        <is>
          <t>2025-2</t>
        </is>
      </c>
      <c r="K956" t="n">
        <v>100</v>
      </c>
      <c r="L956" s="39" t="n"/>
      <c r="M956" s="39" t="n"/>
      <c r="N956" t="inlineStr">
        <is>
          <t>Linea Base</t>
        </is>
      </c>
      <c r="O956" t="inlineStr">
        <is>
          <t>%</t>
        </is>
      </c>
      <c r="P956" t="n">
        <v>0</v>
      </c>
      <c r="Q956" t="n">
        <v>0</v>
      </c>
      <c r="R956" t="inlineStr">
        <is>
          <t>513-2025-12-31</t>
        </is>
      </c>
    </row>
    <row r="957">
      <c r="A957" t="n">
        <v>514</v>
      </c>
      <c r="B957" t="inlineStr">
        <is>
          <t>Respuesta ante nuevas necesidades de control</t>
        </is>
      </c>
      <c r="C957" t="inlineStr">
        <is>
          <t>GESTIÓN DE RIESGOS</t>
        </is>
      </c>
      <c r="D957" t="inlineStr">
        <is>
          <t>Trimestral</t>
        </is>
      </c>
      <c r="E957" t="inlineStr">
        <is>
          <t>Positivo</t>
        </is>
      </c>
      <c r="F957" s="111" t="n">
        <v>46022</v>
      </c>
      <c r="G957" t="n">
        <v>2025</v>
      </c>
      <c r="H957" t="inlineStr">
        <is>
          <t>Diciembre</t>
        </is>
      </c>
      <c r="I957" t="inlineStr">
        <is>
          <t>2025-2</t>
        </is>
      </c>
      <c r="J957" t="n">
        <v>70</v>
      </c>
      <c r="K957" t="n">
        <v>68.89</v>
      </c>
      <c r="L957" s="39">
        <f>IFERROR(IF(OR(J957=0,K957=""),"",IF(E957="Positivo",MIN(MAX(K957/J957,0),1.3),MIN(MAX(J957/K957,0),1.3))),"") </f>
        <v/>
      </c>
      <c r="M957" s="39">
        <f>IFERROR(IF(OR(J957=0,K957=""),"",IF(E957="Positivo",MAX(K957/J957,0),MAX(J957/K957,0))),"") </f>
        <v/>
      </c>
      <c r="N957" t="inlineStr">
        <is>
          <t>%</t>
        </is>
      </c>
      <c r="O957" t="inlineStr">
        <is>
          <t>%</t>
        </is>
      </c>
      <c r="P957" t="n">
        <v>0</v>
      </c>
      <c r="Q957" t="n">
        <v>0</v>
      </c>
      <c r="R957" t="inlineStr">
        <is>
          <t>514-2025-12-31</t>
        </is>
      </c>
    </row>
    <row r="958">
      <c r="A958" t="n">
        <v>515</v>
      </c>
      <c r="B958" t="inlineStr">
        <is>
          <t>Porcentaje de procesos de control implementados</t>
        </is>
      </c>
      <c r="C958" t="inlineStr">
        <is>
          <t>GESTIÓN DE LA TECNOLOGÍA E INNOVACIÓN DIGITAL</t>
        </is>
      </c>
      <c r="D958" t="inlineStr">
        <is>
          <t>Trimestral</t>
        </is>
      </c>
      <c r="E958" t="inlineStr">
        <is>
          <t>Positivo</t>
        </is>
      </c>
      <c r="F958" s="111" t="n">
        <v>46022</v>
      </c>
      <c r="G958" t="n">
        <v>2025</v>
      </c>
      <c r="H958" t="inlineStr">
        <is>
          <t>Diciembre</t>
        </is>
      </c>
      <c r="I958" t="inlineStr">
        <is>
          <t>2025-2</t>
        </is>
      </c>
      <c r="J958" t="n">
        <v>97</v>
      </c>
      <c r="K958" t="n">
        <v>66.67</v>
      </c>
      <c r="L958" s="39">
        <f>IFERROR(IF(OR(J958=0,K958=""),"",IF(E958="Positivo",MIN(MAX(K958/J958,0),1.3),MIN(MAX(J958/K958,0),1.3))),"") </f>
        <v/>
      </c>
      <c r="M958" s="39">
        <f>IFERROR(IF(OR(J958=0,K958=""),"",IF(E958="Positivo",MAX(K958/J958,0),MAX(J958/K958,0))),"") </f>
        <v/>
      </c>
      <c r="N958" t="inlineStr">
        <is>
          <t>%</t>
        </is>
      </c>
      <c r="O958" t="inlineStr">
        <is>
          <t>%</t>
        </is>
      </c>
      <c r="P958" t="n">
        <v>0</v>
      </c>
      <c r="Q958" t="n">
        <v>0</v>
      </c>
      <c r="R958" t="inlineStr">
        <is>
          <t>515-2025-12-31</t>
        </is>
      </c>
    </row>
    <row r="959">
      <c r="A959" t="n">
        <v>516</v>
      </c>
      <c r="B959" t="inlineStr">
        <is>
          <t>Porcentaje de colaboradores formados en ciberseguridad</t>
        </is>
      </c>
      <c r="C959" t="inlineStr">
        <is>
          <t>GESTIÓN DE LA TECNOLOGÍA E INNOVACIÓN DIGITAL</t>
        </is>
      </c>
      <c r="D959" t="inlineStr">
        <is>
          <t>Trimestral</t>
        </is>
      </c>
      <c r="E959" t="inlineStr">
        <is>
          <t>Positivo</t>
        </is>
      </c>
      <c r="F959" s="111" t="n">
        <v>46022</v>
      </c>
      <c r="G959" t="n">
        <v>2025</v>
      </c>
      <c r="H959" t="inlineStr">
        <is>
          <t>Diciembre</t>
        </is>
      </c>
      <c r="I959" t="inlineStr">
        <is>
          <t>2025-2</t>
        </is>
      </c>
      <c r="J959" t="n">
        <v>97</v>
      </c>
      <c r="K959" t="n">
        <v>315.79</v>
      </c>
      <c r="L959" s="39">
        <f>IFERROR(IF(OR(J959=0,K959=""),"",IF(E959="Positivo",MIN(MAX(K959/J959,0),1.3),MIN(MAX(J959/K959,0),1.3))),"") </f>
        <v/>
      </c>
      <c r="M959" s="39">
        <f>IFERROR(IF(OR(J959=0,K959=""),"",IF(E959="Positivo",MAX(K959/J959,0),MAX(J959/K959,0))),"") </f>
        <v/>
      </c>
      <c r="N959" t="inlineStr">
        <is>
          <t>%</t>
        </is>
      </c>
      <c r="O959" t="inlineStr">
        <is>
          <t>%</t>
        </is>
      </c>
      <c r="P959" t="n">
        <v>0</v>
      </c>
      <c r="Q959" t="n">
        <v>0</v>
      </c>
      <c r="R959" t="inlineStr">
        <is>
          <t>516-2025-12-31</t>
        </is>
      </c>
    </row>
    <row r="960">
      <c r="A960" t="n">
        <v>518</v>
      </c>
      <c r="B960" t="inlineStr">
        <is>
          <t>Cumplimiento programa de auditoría</t>
        </is>
      </c>
      <c r="C960" t="inlineStr">
        <is>
          <t>AUDITORÍA INTERNA</t>
        </is>
      </c>
      <c r="D960" t="inlineStr">
        <is>
          <t>Semestral</t>
        </is>
      </c>
      <c r="E960" t="inlineStr">
        <is>
          <t>Positivo</t>
        </is>
      </c>
      <c r="F960" s="111" t="n">
        <v>46022</v>
      </c>
      <c r="G960" t="n">
        <v>2025</v>
      </c>
      <c r="H960" t="inlineStr">
        <is>
          <t>Diciembre</t>
        </is>
      </c>
      <c r="I960" t="inlineStr">
        <is>
          <t>2025-2</t>
        </is>
      </c>
      <c r="J960" t="n">
        <v>100</v>
      </c>
      <c r="K960" t="n">
        <v>137.5</v>
      </c>
      <c r="L960" s="39">
        <f>IFERROR(IF(OR(J960=0,K960=""),"",IF(E960="Positivo",MIN(MAX(K960/J960,0),1.3),MIN(MAX(J960/K960,0),1.3))),"") </f>
        <v/>
      </c>
      <c r="M960" s="39">
        <f>IFERROR(IF(OR(J960=0,K960=""),"",IF(E960="Positivo",MAX(K960/J960,0),MAX(J960/K960,0))),"") </f>
        <v/>
      </c>
      <c r="N960" t="inlineStr">
        <is>
          <t>%</t>
        </is>
      </c>
      <c r="O960" t="inlineStr">
        <is>
          <t>%</t>
        </is>
      </c>
      <c r="P960" t="n">
        <v>0</v>
      </c>
      <c r="Q960" t="n">
        <v>0</v>
      </c>
      <c r="R960" t="inlineStr">
        <is>
          <t>518-2025-12-31</t>
        </is>
      </c>
    </row>
    <row r="961">
      <c r="A961" t="n">
        <v>519</v>
      </c>
      <c r="B961" t="inlineStr">
        <is>
          <t>% de publicaciones con sentimiento neutro o negativo</t>
        </is>
      </c>
      <c r="C961" t="inlineStr">
        <is>
          <t>Comunicaciones Externas</t>
        </is>
      </c>
      <c r="D961" t="inlineStr">
        <is>
          <t>Trimestral</t>
        </is>
      </c>
      <c r="E961" t="inlineStr">
        <is>
          <t>Positivo</t>
        </is>
      </c>
      <c r="F961" s="111" t="n">
        <v>46022</v>
      </c>
      <c r="G961" t="n">
        <v>2025</v>
      </c>
      <c r="H961" t="inlineStr">
        <is>
          <t>Diciembre</t>
        </is>
      </c>
      <c r="I961" t="inlineStr">
        <is>
          <t>2025-2</t>
        </is>
      </c>
      <c r="J961" t="n">
        <v>100</v>
      </c>
      <c r="K961" t="n">
        <v>281.29</v>
      </c>
      <c r="L961" s="39">
        <f>IFERROR(IF(OR(J961=0,K961=""),"",IF(E961="Positivo",MIN(MAX(K961/J961,0),1.3),MIN(MAX(J961/K961,0),1.3))),"") </f>
        <v/>
      </c>
      <c r="M961" s="39">
        <f>IFERROR(IF(OR(J961=0,K961=""),"",IF(E961="Positivo",MAX(K961/J961,0),MAX(J961/K961,0))),"") </f>
        <v/>
      </c>
      <c r="N961" t="inlineStr">
        <is>
          <t>%</t>
        </is>
      </c>
      <c r="O961" t="inlineStr">
        <is>
          <t>%</t>
        </is>
      </c>
      <c r="P961" t="n">
        <v>0</v>
      </c>
      <c r="Q961" t="n">
        <v>0</v>
      </c>
      <c r="R961" t="inlineStr">
        <is>
          <t>519-2025-12-31</t>
        </is>
      </c>
    </row>
    <row r="962">
      <c r="A962" t="n">
        <v>522</v>
      </c>
      <c r="B962" t="inlineStr">
        <is>
          <t>Asignaturas o modulos con mecanismos de evaluación implementados</t>
        </is>
      </c>
      <c r="C962" t="inlineStr">
        <is>
          <t>Gestión, Evaluación e Innovación Curricular</t>
        </is>
      </c>
      <c r="D962" t="inlineStr">
        <is>
          <t>Anual</t>
        </is>
      </c>
      <c r="E962" t="inlineStr">
        <is>
          <t>Positivo</t>
        </is>
      </c>
      <c r="F962" s="111" t="n">
        <v>46022</v>
      </c>
      <c r="G962" t="n">
        <v>2025</v>
      </c>
      <c r="H962" t="inlineStr">
        <is>
          <t>Diciembre</t>
        </is>
      </c>
      <c r="I962" t="inlineStr">
        <is>
          <t>2025-2</t>
        </is>
      </c>
      <c r="J962" t="n">
        <v>20</v>
      </c>
      <c r="K962" t="n">
        <v>100</v>
      </c>
      <c r="L962" s="39">
        <f>IFERROR(IF(OR(J962=0,K962=""),"",IF(E962="Positivo",MIN(MAX(K962/J962,0),1.3),MIN(MAX(J962/K962,0),1.3))),"") </f>
        <v/>
      </c>
      <c r="M962" s="39">
        <f>IFERROR(IF(OR(J962=0,K962=""),"",IF(E962="Positivo",MAX(K962/J962,0),MAX(J962/K962,0))),"") </f>
        <v/>
      </c>
      <c r="N962" t="inlineStr">
        <is>
          <t>%</t>
        </is>
      </c>
      <c r="O962" t="inlineStr">
        <is>
          <t>%</t>
        </is>
      </c>
      <c r="P962" t="n">
        <v>0</v>
      </c>
      <c r="Q962" t="n">
        <v>0</v>
      </c>
      <c r="R962" t="inlineStr">
        <is>
          <t>522-2025-12-31</t>
        </is>
      </c>
    </row>
    <row r="963">
      <c r="A963" t="n">
        <v>523</v>
      </c>
      <c r="B963" t="inlineStr">
        <is>
          <t>Ingresos totales de educación para la vida</t>
        </is>
      </c>
      <c r="C963" t="inlineStr">
        <is>
          <t>Planeación Financiera</t>
        </is>
      </c>
      <c r="D963" t="inlineStr">
        <is>
          <t>Trimestral</t>
        </is>
      </c>
      <c r="E963" t="inlineStr">
        <is>
          <t>Positivo</t>
        </is>
      </c>
      <c r="F963" s="111" t="n">
        <v>46022</v>
      </c>
      <c r="G963" t="n">
        <v>2025</v>
      </c>
      <c r="H963" t="inlineStr">
        <is>
          <t>Diciembre</t>
        </is>
      </c>
      <c r="I963" t="inlineStr">
        <is>
          <t>2025-2</t>
        </is>
      </c>
      <c r="J963" t="n">
        <v>95</v>
      </c>
      <c r="K963" t="n">
        <v>95.81999999999999</v>
      </c>
      <c r="L963" s="39">
        <f>IFERROR(IF(OR(J963=0,K963=""),"",IF(E963="Positivo",MIN(MAX(K963/J963,0),1.3),MIN(MAX(J963/K963,0),1.3))),"") </f>
        <v/>
      </c>
      <c r="M963" s="39">
        <f>IFERROR(IF(OR(J963=0,K963=""),"",IF(E963="Positivo",MAX(K963/J963,0),MAX(J963/K963,0))),"") </f>
        <v/>
      </c>
      <c r="N963" t="inlineStr">
        <is>
          <t>%</t>
        </is>
      </c>
      <c r="O963" t="inlineStr">
        <is>
          <t>%</t>
        </is>
      </c>
      <c r="P963" t="n">
        <v>0</v>
      </c>
      <c r="Q963" t="n">
        <v>0</v>
      </c>
      <c r="R963" t="inlineStr">
        <is>
          <t>523-2025-12-31</t>
        </is>
      </c>
    </row>
    <row r="964">
      <c r="A964" t="n">
        <v>524</v>
      </c>
      <c r="B964" t="inlineStr">
        <is>
          <t>Total Leads por canales de captación</t>
        </is>
      </c>
      <c r="C964" t="inlineStr">
        <is>
          <t>Mercadeo de programas académicos</t>
        </is>
      </c>
      <c r="D964" t="inlineStr">
        <is>
          <t>Trimestral</t>
        </is>
      </c>
      <c r="E964" t="inlineStr">
        <is>
          <t>Positivo</t>
        </is>
      </c>
      <c r="F964" s="111" t="n">
        <v>46022</v>
      </c>
      <c r="G964" t="n">
        <v>2025</v>
      </c>
      <c r="H964" t="inlineStr">
        <is>
          <t>Diciembre</t>
        </is>
      </c>
      <c r="I964" t="inlineStr">
        <is>
          <t>2025-2</t>
        </is>
      </c>
      <c r="J964" t="n">
        <v>243.412</v>
      </c>
      <c r="K964" t="n">
        <v>205.45</v>
      </c>
      <c r="L964" s="39">
        <f>IFERROR(IF(OR(J964=0,K964=""),"",IF(E964="Positivo",MIN(MAX(K964/J964,0),1.3),MIN(MAX(J964/K964,0),1.3))),"") </f>
        <v/>
      </c>
      <c r="M964" s="39">
        <f>IFERROR(IF(OR(J964=0,K964=""),"",IF(E964="Positivo",MAX(K964/J964,0),MAX(J964/K964,0))),"") </f>
        <v/>
      </c>
      <c r="N964" t="inlineStr">
        <is>
          <t>ENT</t>
        </is>
      </c>
      <c r="O964" t="inlineStr">
        <is>
          <t>ENT</t>
        </is>
      </c>
      <c r="P964" t="n">
        <v>0</v>
      </c>
      <c r="Q964" t="n">
        <v>0</v>
      </c>
      <c r="R964" t="inlineStr">
        <is>
          <t>524-2025-12-31</t>
        </is>
      </c>
    </row>
    <row r="965">
      <c r="A965" t="n">
        <v>526</v>
      </c>
      <c r="B965" t="inlineStr">
        <is>
          <t>Cumplimiento Politica Polisigs</t>
        </is>
      </c>
      <c r="C965" t="inlineStr">
        <is>
          <t>Planificación POLISIGS</t>
        </is>
      </c>
      <c r="D965" t="inlineStr">
        <is>
          <t>Semestral</t>
        </is>
      </c>
      <c r="E965" t="inlineStr">
        <is>
          <t>Positivo</t>
        </is>
      </c>
      <c r="F965" s="111" t="n">
        <v>45930</v>
      </c>
      <c r="G965" t="n">
        <v>2025</v>
      </c>
      <c r="H965" t="inlineStr">
        <is>
          <t>Septiembre</t>
        </is>
      </c>
      <c r="I965" t="inlineStr">
        <is>
          <t>2025-2</t>
        </is>
      </c>
      <c r="J965" t="n">
        <v>95</v>
      </c>
      <c r="K965" t="n">
        <v>96.59999999999999</v>
      </c>
      <c r="L965" s="39">
        <f>IFERROR(IF(OR(J965=0,K965=""),"",IF(E965="Positivo",MIN(MAX(K965/J965,0),1.3),MIN(MAX(J965/K965,0),1.3))),"") </f>
        <v/>
      </c>
      <c r="M965" s="39">
        <f>IFERROR(IF(OR(J965=0,K965=""),"",IF(E965="Positivo",MAX(K965/J965,0),MAX(J965/K965,0))),"") </f>
        <v/>
      </c>
      <c r="N965" t="inlineStr">
        <is>
          <t>%</t>
        </is>
      </c>
      <c r="O965" t="inlineStr">
        <is>
          <t>%</t>
        </is>
      </c>
      <c r="P965" t="n">
        <v>0</v>
      </c>
      <c r="Q965" t="n">
        <v>0</v>
      </c>
      <c r="R965" t="inlineStr">
        <is>
          <t>526-2025-09-30</t>
        </is>
      </c>
    </row>
    <row r="966">
      <c r="A966" t="n">
        <v>527</v>
      </c>
      <c r="B966" t="inlineStr">
        <is>
          <t>Participación de Grupos de Interés en la construcción del nuevo plan de desarrollo (PDI)</t>
        </is>
      </c>
      <c r="C966" t="inlineStr">
        <is>
          <t>Planeación Estratégica</t>
        </is>
      </c>
      <c r="D966" t="inlineStr">
        <is>
          <t>Anual</t>
        </is>
      </c>
      <c r="E966" t="inlineStr">
        <is>
          <t>Positivo</t>
        </is>
      </c>
      <c r="F966" s="111" t="n">
        <v>46022</v>
      </c>
      <c r="G966" t="n">
        <v>2025</v>
      </c>
      <c r="H966" t="inlineStr">
        <is>
          <t>Diciembre</t>
        </is>
      </c>
      <c r="I966" t="inlineStr">
        <is>
          <t>2025-2</t>
        </is>
      </c>
      <c r="J966" t="n">
        <v>100</v>
      </c>
      <c r="K966" t="n">
        <v>197.94</v>
      </c>
      <c r="L966" s="39">
        <f>IFERROR(IF(OR(J966=0,K966=""),"",IF(E966="Positivo",MIN(MAX(K966/J966,0),1.3),MIN(MAX(J966/K966,0),1.3))),"") </f>
        <v/>
      </c>
      <c r="M966" s="39">
        <f>IFERROR(IF(OR(J966=0,K966=""),"",IF(E966="Positivo",MAX(K966/J966,0),MAX(J966/K966,0))),"") </f>
        <v/>
      </c>
      <c r="N966" t="inlineStr">
        <is>
          <t>%</t>
        </is>
      </c>
      <c r="O966" t="inlineStr">
        <is>
          <t>%</t>
        </is>
      </c>
      <c r="P966" t="n">
        <v>0</v>
      </c>
      <c r="Q966" t="n">
        <v>0</v>
      </c>
      <c r="R966" t="inlineStr">
        <is>
          <t>527-2025-12-31</t>
        </is>
      </c>
    </row>
    <row r="967">
      <c r="A967" t="n">
        <v>528</v>
      </c>
      <c r="B967" t="inlineStr">
        <is>
          <t>Participación de la comunidad en la Rendición de Cuentas</t>
        </is>
      </c>
      <c r="C967" t="inlineStr">
        <is>
          <t>Planeación Estratégica</t>
        </is>
      </c>
      <c r="D967" t="inlineStr">
        <is>
          <t>Anual</t>
        </is>
      </c>
      <c r="E967" t="inlineStr">
        <is>
          <t>Positivo</t>
        </is>
      </c>
      <c r="F967" s="111" t="n">
        <v>46022</v>
      </c>
      <c r="G967" t="n">
        <v>2025</v>
      </c>
      <c r="H967" t="inlineStr">
        <is>
          <t>Diciembre</t>
        </is>
      </c>
      <c r="I967" t="inlineStr">
        <is>
          <t>2025-2</t>
        </is>
      </c>
      <c r="J967" t="n">
        <v>100</v>
      </c>
      <c r="K967" t="n">
        <v>1158</v>
      </c>
      <c r="L967" s="39">
        <f>IFERROR(IF(OR(J967=0,K967=""),"",IF(E967="Positivo",MIN(MAX(K967/J967,0),1.3),MIN(MAX(J967/K967,0),1.3))),"") </f>
        <v/>
      </c>
      <c r="M967" s="39">
        <f>IFERROR(IF(OR(J967=0,K967=""),"",IF(E967="Positivo",MAX(K967/J967,0),MAX(J967/K967,0))),"") </f>
        <v/>
      </c>
      <c r="N967" t="inlineStr">
        <is>
          <t>ENT</t>
        </is>
      </c>
      <c r="O967" t="inlineStr">
        <is>
          <t>ENT</t>
        </is>
      </c>
      <c r="P967" t="n">
        <v>0</v>
      </c>
      <c r="Q967" t="n">
        <v>0</v>
      </c>
      <c r="R967" t="inlineStr">
        <is>
          <t>528-2025-12-31</t>
        </is>
      </c>
    </row>
    <row r="968">
      <c r="A968" t="n">
        <v>529</v>
      </c>
      <c r="B968" t="inlineStr">
        <is>
          <t>Oportunidad en la solución de solicitudes de infraestructura</t>
        </is>
      </c>
      <c r="C968" t="inlineStr">
        <is>
          <t>Gestión Infraestructura Física</t>
        </is>
      </c>
      <c r="D968" t="inlineStr">
        <is>
          <t>Semestral</t>
        </is>
      </c>
      <c r="E968" t="inlineStr">
        <is>
          <t>Positivo</t>
        </is>
      </c>
      <c r="F968" s="111" t="n">
        <v>46022</v>
      </c>
      <c r="G968" t="n">
        <v>2025</v>
      </c>
      <c r="H968" t="inlineStr">
        <is>
          <t>Diciembre</t>
        </is>
      </c>
      <c r="I968" t="inlineStr">
        <is>
          <t>2025-2</t>
        </is>
      </c>
      <c r="J968" t="n">
        <v>180</v>
      </c>
      <c r="K968" t="n">
        <v>294.16</v>
      </c>
      <c r="L968" s="39">
        <f>IFERROR(IF(OR(J968=0,K968=""),"",IF(E968="Positivo",MIN(MAX(K968/J968,0),1.3),MIN(MAX(J968/K968,0),1.3))),"") </f>
        <v/>
      </c>
      <c r="M968" s="39">
        <f>IFERROR(IF(OR(J968=0,K968=""),"",IF(E968="Positivo",MAX(K968/J968,0),MAX(J968/K968,0))),"") </f>
        <v/>
      </c>
      <c r="N968" t="inlineStr">
        <is>
          <t>%</t>
        </is>
      </c>
      <c r="O968" t="inlineStr">
        <is>
          <t>%</t>
        </is>
      </c>
      <c r="P968" t="n">
        <v>0</v>
      </c>
      <c r="Q968" t="n">
        <v>0</v>
      </c>
      <c r="R968" t="inlineStr">
        <is>
          <t>529-2025-12-31</t>
        </is>
      </c>
    </row>
    <row r="969">
      <c r="A969" t="n">
        <v>530</v>
      </c>
      <c r="B969" t="inlineStr">
        <is>
          <t>Índice de Cumplimiento del Sprint</t>
        </is>
      </c>
      <c r="C969" t="inlineStr">
        <is>
          <t>GESTIÓN DE LA TECNOLOGÍA E INNOVACIÓN DIGITAL</t>
        </is>
      </c>
      <c r="D969" t="inlineStr">
        <is>
          <t>Trimestral</t>
        </is>
      </c>
      <c r="E969" t="inlineStr">
        <is>
          <t>Positivo</t>
        </is>
      </c>
      <c r="F969" s="111" t="n">
        <v>46022</v>
      </c>
      <c r="G969" t="n">
        <v>2025</v>
      </c>
      <c r="H969" t="inlineStr">
        <is>
          <t>Diciembre</t>
        </is>
      </c>
      <c r="I969" t="inlineStr">
        <is>
          <t>2025-2</t>
        </is>
      </c>
      <c r="J969" t="n">
        <v>97</v>
      </c>
      <c r="K969" t="n">
        <v>85.56</v>
      </c>
      <c r="L969" s="39">
        <f>IFERROR(IF(OR(J969=0,K969=""),"",IF(E969="Positivo",MIN(MAX(K969/J969,0),1.3),MIN(MAX(J969/K969,0),1.3))),"") </f>
        <v/>
      </c>
      <c r="M969" s="39">
        <f>IFERROR(IF(OR(J969=0,K969=""),"",IF(E969="Positivo",MAX(K969/J969,0),MAX(J969/K969,0))),"") </f>
        <v/>
      </c>
      <c r="N969" t="inlineStr">
        <is>
          <t>%</t>
        </is>
      </c>
      <c r="O969" t="inlineStr">
        <is>
          <t>%</t>
        </is>
      </c>
      <c r="P969" t="n">
        <v>0</v>
      </c>
      <c r="Q969" t="n">
        <v>0</v>
      </c>
      <c r="R969" t="inlineStr">
        <is>
          <t>530-2025-12-31</t>
        </is>
      </c>
    </row>
    <row r="970">
      <c r="A970" t="n">
        <v>531</v>
      </c>
      <c r="B970" t="inlineStr">
        <is>
          <t>Eficiencia de capacidad instalada</t>
        </is>
      </c>
      <c r="C970" t="inlineStr">
        <is>
          <t>GESTIÓN DE LA TECNOLOGÍA E INNOVACIÓN DIGITAL</t>
        </is>
      </c>
      <c r="D970" t="inlineStr">
        <is>
          <t>Trimestral</t>
        </is>
      </c>
      <c r="E970" t="inlineStr">
        <is>
          <t>Positivo</t>
        </is>
      </c>
      <c r="F970" s="111" t="n">
        <v>46022</v>
      </c>
      <c r="G970" t="n">
        <v>2025</v>
      </c>
      <c r="H970" t="inlineStr">
        <is>
          <t>Diciembre</t>
        </is>
      </c>
      <c r="I970" t="inlineStr">
        <is>
          <t>2025-2</t>
        </is>
      </c>
      <c r="J970" t="n">
        <v>90</v>
      </c>
      <c r="K970" t="n">
        <v>93.94</v>
      </c>
      <c r="L970" s="39">
        <f>IFERROR(IF(OR(J970=0,K970=""),"",IF(E970="Positivo",MIN(MAX(K970/J970,0),1.3),MIN(MAX(J970/K970,0),1.3))),"") </f>
        <v/>
      </c>
      <c r="M970" s="39">
        <f>IFERROR(IF(OR(J970=0,K970=""),"",IF(E970="Positivo",MAX(K970/J970,0),MAX(J970/K970,0))),"") </f>
        <v/>
      </c>
      <c r="N970" t="inlineStr">
        <is>
          <t>%</t>
        </is>
      </c>
      <c r="O970" t="inlineStr">
        <is>
          <t>%</t>
        </is>
      </c>
      <c r="P970" t="n">
        <v>0</v>
      </c>
      <c r="Q970" t="n">
        <v>0</v>
      </c>
      <c r="R970" t="inlineStr">
        <is>
          <t>531-2025-12-31</t>
        </is>
      </c>
    </row>
    <row r="971">
      <c r="A971" t="n">
        <v>532</v>
      </c>
      <c r="B971" t="inlineStr">
        <is>
          <t>Actividades de Cooperación en Internacionalización</t>
        </is>
      </c>
      <c r="C971" t="inlineStr">
        <is>
          <t>VISIBILIDAD NACIONAL E INTERNACIONAL</t>
        </is>
      </c>
      <c r="D971" t="inlineStr">
        <is>
          <t>Trimestral</t>
        </is>
      </c>
      <c r="E971" t="inlineStr">
        <is>
          <t>Positivo</t>
        </is>
      </c>
      <c r="F971" s="111" t="n">
        <v>46022</v>
      </c>
      <c r="G971" t="n">
        <v>2025</v>
      </c>
      <c r="H971" t="inlineStr">
        <is>
          <t>Diciembre</t>
        </is>
      </c>
      <c r="I971" t="inlineStr">
        <is>
          <t>2025-2</t>
        </is>
      </c>
      <c r="J971" t="n">
        <v>200</v>
      </c>
      <c r="K971" t="n">
        <v>267.93</v>
      </c>
      <c r="L971" s="39">
        <f>IFERROR(IF(OR(J971=0,K971=""),"",IF(E971="Positivo",MIN(MAX(K971/J971,0),1.3),MIN(MAX(J971/K971,0),1.3))),"") </f>
        <v/>
      </c>
      <c r="M971" s="39">
        <f>IFERROR(IF(OR(J971=0,K971=""),"",IF(E971="Positivo",MAX(K971/J971,0),MAX(J971/K971,0))),"") </f>
        <v/>
      </c>
      <c r="N971" t="inlineStr">
        <is>
          <t>%</t>
        </is>
      </c>
      <c r="O971" t="inlineStr">
        <is>
          <t>%</t>
        </is>
      </c>
      <c r="P971" t="n">
        <v>0</v>
      </c>
      <c r="Q971" t="n">
        <v>0</v>
      </c>
      <c r="R971" t="inlineStr">
        <is>
          <t>532-2025-12-31</t>
        </is>
      </c>
    </row>
    <row r="972">
      <c r="A972" t="n">
        <v>533</v>
      </c>
      <c r="B972" t="inlineStr">
        <is>
          <t>Participación de estudiantes externos invitados a actividades de cooperación nacional e internacional</t>
        </is>
      </c>
      <c r="C972" t="inlineStr">
        <is>
          <t>VISIBILIDAD NACIONAL E INTERNACIONAL</t>
        </is>
      </c>
      <c r="D972" t="inlineStr">
        <is>
          <t>Trimestral</t>
        </is>
      </c>
      <c r="E972" t="inlineStr">
        <is>
          <t>Positivo</t>
        </is>
      </c>
      <c r="F972" s="111" t="n">
        <v>46022</v>
      </c>
      <c r="G972" t="n">
        <v>2025</v>
      </c>
      <c r="H972" t="inlineStr">
        <is>
          <t>Diciembre</t>
        </is>
      </c>
      <c r="I972" t="inlineStr">
        <is>
          <t>2025-2</t>
        </is>
      </c>
      <c r="J972" t="n">
        <v>200</v>
      </c>
      <c r="K972" t="n">
        <v>302.84</v>
      </c>
      <c r="L972" s="39">
        <f>IFERROR(IF(OR(J972=0,K972=""),"",IF(E972="Positivo",MIN(MAX(K972/J972,0),1.3),MIN(MAX(J972/K972,0),1.3))),"") </f>
        <v/>
      </c>
      <c r="M972" s="39">
        <f>IFERROR(IF(OR(J972=0,K972=""),"",IF(E972="Positivo",MAX(K972/J972,0),MAX(J972/K972,0))),"") </f>
        <v/>
      </c>
      <c r="N972" t="inlineStr">
        <is>
          <t>%</t>
        </is>
      </c>
      <c r="O972" t="inlineStr">
        <is>
          <t>%</t>
        </is>
      </c>
      <c r="P972" t="n">
        <v>0</v>
      </c>
      <c r="Q972" t="n">
        <v>0</v>
      </c>
      <c r="R972" t="inlineStr">
        <is>
          <t>533-2025-12-31</t>
        </is>
      </c>
    </row>
    <row r="973">
      <c r="A973" t="n">
        <v>534</v>
      </c>
      <c r="B973" t="inlineStr">
        <is>
          <t>Participación de estudiantes POLI en actividades de cooperación nacional e internacional</t>
        </is>
      </c>
      <c r="C973" t="inlineStr">
        <is>
          <t>VISIBILIDAD NACIONAL E INTERNACIONAL</t>
        </is>
      </c>
      <c r="D973" t="inlineStr">
        <is>
          <t>Trimestral</t>
        </is>
      </c>
      <c r="E973" t="inlineStr">
        <is>
          <t>Positivo</t>
        </is>
      </c>
      <c r="F973" s="111" t="n">
        <v>46022</v>
      </c>
      <c r="G973" t="n">
        <v>2025</v>
      </c>
      <c r="H973" t="inlineStr">
        <is>
          <t>Diciembre</t>
        </is>
      </c>
      <c r="I973" t="inlineStr">
        <is>
          <t>2025-2</t>
        </is>
      </c>
      <c r="J973" t="n">
        <v>200</v>
      </c>
      <c r="K973" t="n">
        <v>268.62</v>
      </c>
      <c r="L973" s="39">
        <f>IFERROR(IF(OR(J973=0,K973=""),"",IF(E973="Positivo",MIN(MAX(K973/J973,0),1.3),MIN(MAX(J973/K973,0),1.3))),"") </f>
        <v/>
      </c>
      <c r="M973" s="39">
        <f>IFERROR(IF(OR(J973=0,K973=""),"",IF(E973="Positivo",MAX(K973/J973,0),MAX(J973/K973,0))),"") </f>
        <v/>
      </c>
      <c r="N973" t="inlineStr">
        <is>
          <t>%</t>
        </is>
      </c>
      <c r="O973" t="inlineStr">
        <is>
          <t>%</t>
        </is>
      </c>
      <c r="P973" t="n">
        <v>0</v>
      </c>
      <c r="Q973" t="n">
        <v>0</v>
      </c>
      <c r="R973" t="inlineStr">
        <is>
          <t>534-2025-12-31</t>
        </is>
      </c>
    </row>
    <row r="974">
      <c r="A974" t="n">
        <v>535</v>
      </c>
      <c r="B974" t="inlineStr">
        <is>
          <t>Participación de profesores externos invitados a actividades de cooperación nacional e internacional</t>
        </is>
      </c>
      <c r="C974" t="inlineStr">
        <is>
          <t>VISIBILIDAD NACIONAL E INTERNACIONAL</t>
        </is>
      </c>
      <c r="D974" t="inlineStr">
        <is>
          <t>Trimestral</t>
        </is>
      </c>
      <c r="E974" t="inlineStr">
        <is>
          <t>Positivo</t>
        </is>
      </c>
      <c r="F974" s="111" t="n">
        <v>46022</v>
      </c>
      <c r="G974" t="n">
        <v>2025</v>
      </c>
      <c r="H974" t="inlineStr">
        <is>
          <t>Diciembre</t>
        </is>
      </c>
      <c r="I974" t="inlineStr">
        <is>
          <t>2025-2</t>
        </is>
      </c>
      <c r="J974" t="n">
        <v>200</v>
      </c>
      <c r="K974" t="n">
        <v>342.3</v>
      </c>
      <c r="L974" s="39">
        <f>IFERROR(IF(OR(J974=0,K974=""),"",IF(E974="Positivo",MIN(MAX(K974/J974,0),1.3),MIN(MAX(J974/K974,0),1.3))),"") </f>
        <v/>
      </c>
      <c r="M974" s="39">
        <f>IFERROR(IF(OR(J974=0,K974=""),"",IF(E974="Positivo",MAX(K974/J974,0),MAX(J974/K974,0))),"") </f>
        <v/>
      </c>
      <c r="N974" t="inlineStr">
        <is>
          <t>%</t>
        </is>
      </c>
      <c r="O974" t="inlineStr">
        <is>
          <t>%</t>
        </is>
      </c>
      <c r="P974" t="n">
        <v>0</v>
      </c>
      <c r="Q974" t="n">
        <v>0</v>
      </c>
      <c r="R974" t="inlineStr">
        <is>
          <t>535-2025-12-31</t>
        </is>
      </c>
    </row>
    <row r="975">
      <c r="A975" t="n">
        <v>536</v>
      </c>
      <c r="B975" t="inlineStr">
        <is>
          <t>Participación de profesores POLI en actividades de cooperación nacional e internacional</t>
        </is>
      </c>
      <c r="C975" t="inlineStr">
        <is>
          <t>VISIBILIDAD NACIONAL E INTERNACIONAL</t>
        </is>
      </c>
      <c r="D975" t="inlineStr">
        <is>
          <t>Trimestral</t>
        </is>
      </c>
      <c r="E975" t="inlineStr">
        <is>
          <t>Positivo</t>
        </is>
      </c>
      <c r="F975" s="111" t="n">
        <v>46022</v>
      </c>
      <c r="G975" t="n">
        <v>2025</v>
      </c>
      <c r="H975" t="inlineStr">
        <is>
          <t>Diciembre</t>
        </is>
      </c>
      <c r="I975" t="inlineStr">
        <is>
          <t>2025-2</t>
        </is>
      </c>
      <c r="J975" t="n">
        <v>200</v>
      </c>
      <c r="K975" t="n">
        <v>370.08</v>
      </c>
      <c r="L975" s="39">
        <f>IFERROR(IF(OR(J975=0,K975=""),"",IF(E975="Positivo",MIN(MAX(K975/J975,0),1.3),MIN(MAX(J975/K975,0),1.3))),"") </f>
        <v/>
      </c>
      <c r="M975" s="39">
        <f>IFERROR(IF(OR(J975=0,K975=""),"",IF(E975="Positivo",MAX(K975/J975,0),MAX(J975/K975,0))),"") </f>
        <v/>
      </c>
      <c r="N975" t="inlineStr">
        <is>
          <t>%</t>
        </is>
      </c>
      <c r="O975" t="inlineStr">
        <is>
          <t>%</t>
        </is>
      </c>
      <c r="P975" t="n">
        <v>0</v>
      </c>
      <c r="Q975" t="n">
        <v>0</v>
      </c>
      <c r="R975" t="inlineStr">
        <is>
          <t>536-2025-12-31</t>
        </is>
      </c>
    </row>
    <row r="976">
      <c r="A976" t="n">
        <v>537</v>
      </c>
      <c r="B976" t="inlineStr">
        <is>
          <t>FCR- Resolución en primer contacto</t>
        </is>
      </c>
      <c r="C976" t="inlineStr">
        <is>
          <t>Servicio</t>
        </is>
      </c>
      <c r="D976" t="inlineStr">
        <is>
          <t>Trimestral</t>
        </is>
      </c>
      <c r="E976" t="inlineStr">
        <is>
          <t>Positivo</t>
        </is>
      </c>
      <c r="F976" s="111" t="n">
        <v>46022</v>
      </c>
      <c r="G976" t="n">
        <v>2025</v>
      </c>
      <c r="H976" t="inlineStr">
        <is>
          <t>Diciembre</t>
        </is>
      </c>
      <c r="I976" t="inlineStr">
        <is>
          <t>2025-2</t>
        </is>
      </c>
      <c r="J976" t="n">
        <v>94</v>
      </c>
      <c r="K976" t="n">
        <v>64.3</v>
      </c>
      <c r="L976" s="39">
        <f>IFERROR(IF(OR(J976=0,K976=""),"",IF(E976="Positivo",MIN(MAX(K976/J976,0),1.3),MIN(MAX(J976/K976,0),1.3))),"") </f>
        <v/>
      </c>
      <c r="M976" s="39">
        <f>IFERROR(IF(OR(J976=0,K976=""),"",IF(E976="Positivo",MAX(K976/J976,0),MAX(J976/K976,0))),"") </f>
        <v/>
      </c>
      <c r="N976" t="inlineStr">
        <is>
          <t>ENT</t>
        </is>
      </c>
      <c r="O976" t="inlineStr">
        <is>
          <t>ENT</t>
        </is>
      </c>
      <c r="P976" t="n">
        <v>0</v>
      </c>
      <c r="Q976" t="n">
        <v>0</v>
      </c>
      <c r="R976" t="inlineStr">
        <is>
          <t>537-2025-12-31</t>
        </is>
      </c>
    </row>
    <row r="977">
      <c r="A977" t="n">
        <v>538</v>
      </c>
      <c r="B977" t="inlineStr">
        <is>
          <t>Cumplimiento de sesiones de socialización de planeación académica</t>
        </is>
      </c>
      <c r="C977" t="inlineStr">
        <is>
          <t>Registro y Control</t>
        </is>
      </c>
      <c r="D977" t="inlineStr">
        <is>
          <t>Trimestral</t>
        </is>
      </c>
      <c r="E977" t="inlineStr">
        <is>
          <t>Positivo</t>
        </is>
      </c>
      <c r="F977" s="111" t="n">
        <v>46022</v>
      </c>
      <c r="G977" t="n">
        <v>2025</v>
      </c>
      <c r="H977" t="inlineStr">
        <is>
          <t>Diciembre</t>
        </is>
      </c>
      <c r="I977" t="inlineStr">
        <is>
          <t>2025-2</t>
        </is>
      </c>
      <c r="J977" t="n">
        <v>90</v>
      </c>
      <c r="K977" t="n">
        <v>100</v>
      </c>
      <c r="L977" s="39">
        <f>IFERROR(IF(OR(J977=0,K977=""),"",IF(E977="Positivo",MIN(MAX(K977/J977,0),1.3),MIN(MAX(J977/K977,0),1.3))),"") </f>
        <v/>
      </c>
      <c r="M977" s="39">
        <f>IFERROR(IF(OR(J977=0,K977=""),"",IF(E977="Positivo",MAX(K977/J977,0),MAX(J977/K977,0))),"") </f>
        <v/>
      </c>
      <c r="N977" t="inlineStr">
        <is>
          <t>%</t>
        </is>
      </c>
      <c r="O977" t="inlineStr">
        <is>
          <t>%</t>
        </is>
      </c>
      <c r="P977" t="n">
        <v>0</v>
      </c>
      <c r="Q977" t="n">
        <v>0</v>
      </c>
      <c r="R977" t="inlineStr">
        <is>
          <t>538-2025-12-31</t>
        </is>
      </c>
    </row>
    <row r="978">
      <c r="A978" t="n">
        <v>539</v>
      </c>
      <c r="B978" t="inlineStr">
        <is>
          <t>CES emisión de certificados</t>
        </is>
      </c>
      <c r="C978" t="inlineStr">
        <is>
          <t>Registro y Control</t>
        </is>
      </c>
      <c r="D978" t="inlineStr">
        <is>
          <t>Trimestral</t>
        </is>
      </c>
      <c r="E978" t="inlineStr">
        <is>
          <t>Negativo</t>
        </is>
      </c>
      <c r="F978" s="111" t="n">
        <v>46022</v>
      </c>
      <c r="G978" t="n">
        <v>2025</v>
      </c>
      <c r="H978" t="inlineStr">
        <is>
          <t>Diciembre</t>
        </is>
      </c>
      <c r="I978" t="inlineStr">
        <is>
          <t>2025-2</t>
        </is>
      </c>
      <c r="J978" t="n">
        <v>2.5</v>
      </c>
      <c r="K978" t="n">
        <v>2.5</v>
      </c>
      <c r="L978" s="39">
        <f>IFERROR(IF(OR(J978=0,K978=""),"",IF(E978="Positivo",MIN(MAX(K978/J978,0),1.3),MIN(MAX(J978/K978,0),1.3))),"") </f>
        <v/>
      </c>
      <c r="M978" s="39">
        <f>IFERROR(IF(OR(J978=0,K978=""),"",IF(E978="Positivo",MAX(K978/J978,0),MAX(J978/K978,0))),"") </f>
        <v/>
      </c>
      <c r="N978" t="inlineStr">
        <is>
          <t>%</t>
        </is>
      </c>
      <c r="O978" t="inlineStr">
        <is>
          <t>%</t>
        </is>
      </c>
      <c r="P978" t="n">
        <v>0</v>
      </c>
      <c r="Q978" t="n">
        <v>0</v>
      </c>
      <c r="R978" t="inlineStr">
        <is>
          <t>539-2025-12-31</t>
        </is>
      </c>
    </row>
    <row r="979">
      <c r="A979" t="n">
        <v>540</v>
      </c>
      <c r="B979" t="inlineStr">
        <is>
          <t>Nivel de Calidad de los Datos Cargados al SNIES</t>
        </is>
      </c>
      <c r="C979" t="inlineStr">
        <is>
          <t>DATOS Y ANALÍTICA</t>
        </is>
      </c>
      <c r="D979" t="inlineStr">
        <is>
          <t>Trimestral</t>
        </is>
      </c>
      <c r="E979" t="inlineStr">
        <is>
          <t>Positivo</t>
        </is>
      </c>
      <c r="F979" s="111" t="n">
        <v>46022</v>
      </c>
      <c r="G979" t="n">
        <v>2025</v>
      </c>
      <c r="H979" t="inlineStr">
        <is>
          <t>Diciembre</t>
        </is>
      </c>
      <c r="I979" t="inlineStr">
        <is>
          <t>2025-2</t>
        </is>
      </c>
      <c r="J979" t="n">
        <v>97</v>
      </c>
      <c r="K979" t="n">
        <v>97.61500000000001</v>
      </c>
      <c r="L979" s="39">
        <f>IFERROR(IF(OR(J979=0,K979=""),"",IF(E979="Positivo",MIN(MAX(K979/J979,0),1.3),MIN(MAX(J979/K979,0),1.3))),"") </f>
        <v/>
      </c>
      <c r="M979" s="39">
        <f>IFERROR(IF(OR(J979=0,K979=""),"",IF(E979="Positivo",MAX(K979/J979,0),MAX(J979/K979,0))),"") </f>
        <v/>
      </c>
      <c r="N979" t="inlineStr">
        <is>
          <t>%</t>
        </is>
      </c>
      <c r="O979" t="inlineStr">
        <is>
          <t>%</t>
        </is>
      </c>
      <c r="P979" t="n">
        <v>0</v>
      </c>
      <c r="Q979" t="n">
        <v>0</v>
      </c>
      <c r="R979" t="inlineStr">
        <is>
          <t>540-2025-12-31</t>
        </is>
      </c>
    </row>
    <row r="980">
      <c r="A980" t="n">
        <v>541</v>
      </c>
      <c r="B980" t="inlineStr">
        <is>
          <t>Participación de graduados en actividades de empleabilidad y relacionamiento</t>
        </is>
      </c>
      <c r="C980" t="inlineStr">
        <is>
          <t>Gestión de Graduados</t>
        </is>
      </c>
      <c r="D980" t="inlineStr">
        <is>
          <t>Anual</t>
        </is>
      </c>
      <c r="E980" t="inlineStr">
        <is>
          <t>Positivo</t>
        </is>
      </c>
      <c r="F980" s="111" t="n">
        <v>46022</v>
      </c>
      <c r="G980" t="n">
        <v>2025</v>
      </c>
      <c r="H980" t="inlineStr">
        <is>
          <t>Diciembre</t>
        </is>
      </c>
      <c r="I980" t="inlineStr">
        <is>
          <t>2025-2</t>
        </is>
      </c>
      <c r="J980" t="n">
        <v>4</v>
      </c>
      <c r="K980" t="n">
        <v>6.99</v>
      </c>
      <c r="L980" s="39">
        <f>IFERROR(IF(OR(J980=0,K980=""),"",IF(E980="Positivo",MIN(MAX(K980/J980,0),1.3),MIN(MAX(J980/K980,0),1.3))),"") </f>
        <v/>
      </c>
      <c r="M980" s="39">
        <f>IFERROR(IF(OR(J980=0,K980=""),"",IF(E980="Positivo",MAX(K980/J980,0),MAX(J980/K980,0))),"") </f>
        <v/>
      </c>
      <c r="N980" t="inlineStr">
        <is>
          <t>%</t>
        </is>
      </c>
      <c r="O980" t="inlineStr">
        <is>
          <t>%</t>
        </is>
      </c>
      <c r="P980" t="n">
        <v>0</v>
      </c>
      <c r="Q980" t="n">
        <v>0</v>
      </c>
      <c r="R980" t="inlineStr">
        <is>
          <t>541-2025-12-31</t>
        </is>
      </c>
    </row>
    <row r="981">
      <c r="A981" t="n">
        <v>542</v>
      </c>
      <c r="B981" t="inlineStr">
        <is>
          <t>Tasa de cotización del graduado - Metrica</t>
        </is>
      </c>
      <c r="C981" t="inlineStr">
        <is>
          <t>Gestión de Graduados</t>
        </is>
      </c>
      <c r="D981" t="inlineStr">
        <is>
          <t>Anual</t>
        </is>
      </c>
      <c r="E981" t="inlineStr">
        <is>
          <t>Positivo</t>
        </is>
      </c>
      <c r="F981" s="111" t="n">
        <v>46022</v>
      </c>
      <c r="G981" t="n">
        <v>2025</v>
      </c>
      <c r="H981" t="inlineStr">
        <is>
          <t>Diciembre</t>
        </is>
      </c>
      <c r="I981" t="inlineStr">
        <is>
          <t>2025-2</t>
        </is>
      </c>
      <c r="K981" t="n">
        <v>81.23999999999999</v>
      </c>
      <c r="L981" s="39" t="n"/>
      <c r="M981" s="39" t="n"/>
      <c r="N981" t="inlineStr">
        <is>
          <t>%</t>
        </is>
      </c>
      <c r="O981" t="inlineStr">
        <is>
          <t>%</t>
        </is>
      </c>
      <c r="P981" t="n">
        <v>0</v>
      </c>
      <c r="Q981" t="n">
        <v>0</v>
      </c>
      <c r="R981" t="inlineStr">
        <is>
          <t>542-2025-12-31</t>
        </is>
      </c>
      <c r="S981" t="inlineStr">
        <is>
          <t>Metrica</t>
        </is>
      </c>
    </row>
    <row r="982">
      <c r="A982" t="n">
        <v>543</v>
      </c>
      <c r="B982" t="inlineStr">
        <is>
          <t>Tasa de interacción por usuario</t>
        </is>
      </c>
      <c r="C982" t="inlineStr">
        <is>
          <t>Editorial y Publicaciones</t>
        </is>
      </c>
      <c r="D982" t="inlineStr">
        <is>
          <t>Semestral</t>
        </is>
      </c>
      <c r="E982" t="inlineStr">
        <is>
          <t>Positivo</t>
        </is>
      </c>
      <c r="F982" s="111" t="n">
        <v>45838</v>
      </c>
      <c r="G982" t="n">
        <v>2025</v>
      </c>
      <c r="H982" t="inlineStr">
        <is>
          <t>Junio</t>
        </is>
      </c>
      <c r="I982" t="inlineStr">
        <is>
          <t>2025-1</t>
        </is>
      </c>
      <c r="K982" t="n">
        <v>7.29</v>
      </c>
      <c r="L982" s="39" t="n"/>
      <c r="M982" s="39" t="n"/>
      <c r="N982" t="inlineStr">
        <is>
          <t>ENT</t>
        </is>
      </c>
      <c r="O982" t="inlineStr">
        <is>
          <t>ENT</t>
        </is>
      </c>
      <c r="P982" t="n">
        <v>0</v>
      </c>
      <c r="Q982" t="n">
        <v>0</v>
      </c>
      <c r="R982" t="inlineStr">
        <is>
          <t>543-2025-06-30</t>
        </is>
      </c>
    </row>
    <row r="983">
      <c r="A983" t="n">
        <v>544</v>
      </c>
      <c r="B983" t="inlineStr">
        <is>
          <t>Producción de ambientes inmersivos LEI</t>
        </is>
      </c>
      <c r="C983" t="inlineStr">
        <is>
          <t>LEI</t>
        </is>
      </c>
      <c r="D983" t="inlineStr">
        <is>
          <t>Trimestral</t>
        </is>
      </c>
      <c r="E983" t="inlineStr">
        <is>
          <t>Positivo</t>
        </is>
      </c>
      <c r="F983" s="111" t="n">
        <v>46022</v>
      </c>
      <c r="G983" t="n">
        <v>2025</v>
      </c>
      <c r="H983" t="inlineStr">
        <is>
          <t>Diciembre</t>
        </is>
      </c>
      <c r="I983" t="inlineStr">
        <is>
          <t>2025-2</t>
        </is>
      </c>
      <c r="J983" t="n">
        <v>100</v>
      </c>
      <c r="K983" t="n">
        <v>206.25</v>
      </c>
      <c r="L983" s="39">
        <f>IFERROR(IF(OR(J983=0,K983=""),"",IF(E983="Positivo",MIN(MAX(K983/J983,0),1.3),MIN(MAX(J983/K983,0),1.3))),"") </f>
        <v/>
      </c>
      <c r="M983" s="39">
        <f>IFERROR(IF(OR(J983=0,K983=""),"",IF(E983="Positivo",MAX(K983/J983,0),MAX(J983/K983,0))),"") </f>
        <v/>
      </c>
      <c r="N983" t="inlineStr">
        <is>
          <t>ENT</t>
        </is>
      </c>
      <c r="O983" t="inlineStr">
        <is>
          <t>ENT</t>
        </is>
      </c>
      <c r="P983" t="n">
        <v>0</v>
      </c>
      <c r="Q983" t="n">
        <v>0</v>
      </c>
      <c r="R983" t="inlineStr">
        <is>
          <t>544-2025-12-31</t>
        </is>
      </c>
    </row>
    <row r="984">
      <c r="A984" t="n">
        <v>546</v>
      </c>
      <c r="B984" t="inlineStr">
        <is>
          <t>Tasa de participación de graduados en instrumentos de seguimiento (M0, M1, M5)</t>
        </is>
      </c>
      <c r="C984" t="inlineStr">
        <is>
          <t>Gestión de Graduados</t>
        </is>
      </c>
      <c r="D984" t="inlineStr">
        <is>
          <t>Anual</t>
        </is>
      </c>
      <c r="E984" t="inlineStr">
        <is>
          <t>Positivo</t>
        </is>
      </c>
      <c r="F984" s="111" t="n">
        <v>46022</v>
      </c>
      <c r="G984" t="n">
        <v>2025</v>
      </c>
      <c r="H984" t="inlineStr">
        <is>
          <t>Diciembre</t>
        </is>
      </c>
      <c r="I984" t="inlineStr">
        <is>
          <t>2025-2</t>
        </is>
      </c>
      <c r="J984" t="n">
        <v>100</v>
      </c>
      <c r="K984" t="n">
        <v>37.79</v>
      </c>
      <c r="L984" s="39">
        <f>IFERROR(IF(OR(J984=0,K984=""),"",IF(E984="Positivo",MIN(MAX(K984/J984,0),1.3),MIN(MAX(J984/K984,0),1.3))),"") </f>
        <v/>
      </c>
      <c r="M984" s="39">
        <f>IFERROR(IF(OR(J984=0,K984=""),"",IF(E984="Positivo",MAX(K984/J984,0),MAX(J984/K984,0))),"") </f>
        <v/>
      </c>
      <c r="N984" t="inlineStr">
        <is>
          <t>%</t>
        </is>
      </c>
      <c r="O984" t="inlineStr">
        <is>
          <t>%</t>
        </is>
      </c>
      <c r="P984" t="n">
        <v>0</v>
      </c>
      <c r="Q984" t="n">
        <v>0</v>
      </c>
      <c r="R984" t="inlineStr">
        <is>
          <t>546-2025-12-31</t>
        </is>
      </c>
    </row>
    <row r="985">
      <c r="A985" t="n">
        <v>547</v>
      </c>
      <c r="B985" t="inlineStr">
        <is>
          <t>Nivel de satisfacción del graduado con la institución</t>
        </is>
      </c>
      <c r="C985" t="inlineStr">
        <is>
          <t>Gestión de Graduados</t>
        </is>
      </c>
      <c r="D985" t="inlineStr">
        <is>
          <t>Anual</t>
        </is>
      </c>
      <c r="E985" t="inlineStr">
        <is>
          <t>Positivo</t>
        </is>
      </c>
      <c r="F985" s="111" t="n">
        <v>46022</v>
      </c>
      <c r="G985" t="n">
        <v>2025</v>
      </c>
      <c r="H985" t="inlineStr">
        <is>
          <t>Diciembre</t>
        </is>
      </c>
      <c r="I985" t="inlineStr">
        <is>
          <t>2025-2</t>
        </is>
      </c>
      <c r="K985" t="n">
        <v>92</v>
      </c>
      <c r="L985" s="39" t="n"/>
      <c r="M985" s="39" t="n"/>
      <c r="N985" t="inlineStr">
        <is>
          <t>%</t>
        </is>
      </c>
      <c r="O985" t="inlineStr">
        <is>
          <t>%</t>
        </is>
      </c>
      <c r="P985" t="n">
        <v>0</v>
      </c>
      <c r="Q985" t="n">
        <v>0</v>
      </c>
      <c r="R985" t="inlineStr">
        <is>
          <t>547-2025-12-31</t>
        </is>
      </c>
    </row>
    <row r="986">
      <c r="A986" t="n">
        <v>550</v>
      </c>
      <c r="B986" t="inlineStr">
        <is>
          <t>Nivel de satisfacción con las actividades de formación</t>
        </is>
      </c>
      <c r="C986" t="inlineStr">
        <is>
          <t>Emprendimiento</t>
        </is>
      </c>
      <c r="D986" t="inlineStr">
        <is>
          <t>Trimestral</t>
        </is>
      </c>
      <c r="E986" t="inlineStr">
        <is>
          <t>Positivo</t>
        </is>
      </c>
      <c r="F986" s="111" t="n">
        <v>46022</v>
      </c>
      <c r="G986" t="n">
        <v>2025</v>
      </c>
      <c r="H986" t="inlineStr">
        <is>
          <t>Diciembre</t>
        </is>
      </c>
      <c r="I986" t="inlineStr">
        <is>
          <t>2025-2</t>
        </is>
      </c>
      <c r="J986" t="n">
        <v>100</v>
      </c>
      <c r="K986" t="n">
        <v>95.5</v>
      </c>
      <c r="L986" s="39">
        <f>IFERROR(IF(OR(J986=0,K986=""),"",IF(E986="Positivo",MIN(MAX(K986/J986,0),1.3),MIN(MAX(J986/K986,0),1.3))),"") </f>
        <v/>
      </c>
      <c r="M986" s="39">
        <f>IFERROR(IF(OR(J986=0,K986=""),"",IF(E986="Positivo",MAX(K986/J986,0),MAX(J986/K986,0))),"") </f>
        <v/>
      </c>
      <c r="N986" t="inlineStr">
        <is>
          <t>%</t>
        </is>
      </c>
      <c r="O986" t="inlineStr">
        <is>
          <t>%</t>
        </is>
      </c>
      <c r="P986" t="n">
        <v>0</v>
      </c>
      <c r="Q986" t="n">
        <v>0</v>
      </c>
      <c r="R986" t="inlineStr">
        <is>
          <t>550-2025-12-31</t>
        </is>
      </c>
    </row>
    <row r="987">
      <c r="A987" t="n">
        <v>551</v>
      </c>
      <c r="B987" t="inlineStr">
        <is>
          <t>Evaluación del desempeño de los mentores</t>
        </is>
      </c>
      <c r="C987" t="inlineStr">
        <is>
          <t>Emprendimiento</t>
        </is>
      </c>
      <c r="D987" t="inlineStr">
        <is>
          <t>Trimestral</t>
        </is>
      </c>
      <c r="E987" t="inlineStr">
        <is>
          <t>Positivo</t>
        </is>
      </c>
      <c r="F987" s="111" t="n">
        <v>46022</v>
      </c>
      <c r="G987" t="n">
        <v>2025</v>
      </c>
      <c r="H987" t="inlineStr">
        <is>
          <t>Diciembre</t>
        </is>
      </c>
      <c r="I987" t="inlineStr">
        <is>
          <t>2025-2</t>
        </is>
      </c>
      <c r="J987" t="n">
        <v>4</v>
      </c>
      <c r="K987" t="n">
        <v>5</v>
      </c>
      <c r="L987" s="39">
        <f>IFERROR(IF(OR(J987=0,K987=""),"",IF(E987="Positivo",MIN(MAX(K987/J987,0),1.3),MIN(MAX(J987/K987,0),1.3))),"") </f>
        <v/>
      </c>
      <c r="M987" s="39">
        <f>IFERROR(IF(OR(J987=0,K987=""),"",IF(E987="Positivo",MAX(K987/J987,0),MAX(J987/K987,0))),"") </f>
        <v/>
      </c>
      <c r="N987" t="inlineStr">
        <is>
          <t>%</t>
        </is>
      </c>
      <c r="O987" t="inlineStr">
        <is>
          <t>%</t>
        </is>
      </c>
      <c r="P987" t="n">
        <v>0</v>
      </c>
      <c r="Q987" t="n">
        <v>0</v>
      </c>
      <c r="R987" t="inlineStr">
        <is>
          <t>551-2025-12-31</t>
        </is>
      </c>
    </row>
    <row r="988">
      <c r="A988" t="n">
        <v>552</v>
      </c>
      <c r="B988" t="inlineStr">
        <is>
          <t>Nivel de Satisfacción Servicios Prestados -Gestión de la Responsabilidad Social</t>
        </is>
      </c>
      <c r="C988" t="inlineStr">
        <is>
          <t>Gestión de la Responsabilidad Social</t>
        </is>
      </c>
      <c r="D988" t="inlineStr">
        <is>
          <t>Anual</t>
        </is>
      </c>
      <c r="E988" t="inlineStr">
        <is>
          <t>Positivo</t>
        </is>
      </c>
      <c r="F988" s="111" t="n">
        <v>46022</v>
      </c>
      <c r="G988" t="n">
        <v>2025</v>
      </c>
      <c r="H988" t="inlineStr">
        <is>
          <t>Diciembre</t>
        </is>
      </c>
      <c r="I988" t="inlineStr">
        <is>
          <t>2025-2</t>
        </is>
      </c>
      <c r="J988" t="n">
        <v>80</v>
      </c>
      <c r="K988" t="n">
        <v>92</v>
      </c>
      <c r="L988" s="39">
        <f>IFERROR(IF(OR(J988=0,K988=""),"",IF(E988="Positivo",MIN(MAX(K988/J988,0),1.3),MIN(MAX(J988/K988,0),1.3))),"") </f>
        <v/>
      </c>
      <c r="M988" s="39">
        <f>IFERROR(IF(OR(J988=0,K988=""),"",IF(E988="Positivo",MAX(K988/J988,0),MAX(J988/K988,0))),"") </f>
        <v/>
      </c>
      <c r="N988" t="inlineStr">
        <is>
          <t>%</t>
        </is>
      </c>
      <c r="O988" t="inlineStr">
        <is>
          <t>%</t>
        </is>
      </c>
      <c r="P988" t="n">
        <v>0</v>
      </c>
      <c r="Q988" t="n">
        <v>0</v>
      </c>
      <c r="R988" t="inlineStr">
        <is>
          <t>552-2025-12-31</t>
        </is>
      </c>
    </row>
    <row r="989">
      <c r="A989" t="n">
        <v>553</v>
      </c>
      <c r="B989" t="inlineStr">
        <is>
          <t>Nivel de Satisfacción Servicios Prestados -Inscripción, admisión y matrícula de estudiantes nuevos</t>
        </is>
      </c>
      <c r="C989" t="inlineStr">
        <is>
          <t>Inscripción, admisión y matrícula de estudiantes nuevos</t>
        </is>
      </c>
      <c r="D989" t="inlineStr">
        <is>
          <t>Anual</t>
        </is>
      </c>
      <c r="E989" t="inlineStr">
        <is>
          <t>Positivo</t>
        </is>
      </c>
      <c r="F989" s="111" t="n">
        <v>46022</v>
      </c>
      <c r="G989" t="n">
        <v>2025</v>
      </c>
      <c r="H989" t="inlineStr">
        <is>
          <t>Diciembre</t>
        </is>
      </c>
      <c r="I989" t="inlineStr">
        <is>
          <t>2025-2</t>
        </is>
      </c>
      <c r="J989" t="n">
        <v>80</v>
      </c>
      <c r="K989" t="n">
        <v>83</v>
      </c>
      <c r="L989" s="39">
        <f>IFERROR(IF(OR(J989=0,K989=""),"",IF(E989="Positivo",MIN(MAX(K989/J989,0),1.3),MIN(MAX(J989/K989,0),1.3))),"") </f>
        <v/>
      </c>
      <c r="M989" s="39">
        <f>IFERROR(IF(OR(J989=0,K989=""),"",IF(E989="Positivo",MAX(K989/J989,0),MAX(J989/K989,0))),"") </f>
        <v/>
      </c>
      <c r="N989" t="inlineStr">
        <is>
          <t>%</t>
        </is>
      </c>
      <c r="O989" t="inlineStr">
        <is>
          <t>%</t>
        </is>
      </c>
      <c r="P989" t="n">
        <v>0</v>
      </c>
      <c r="Q989" t="n">
        <v>0</v>
      </c>
      <c r="R989" t="inlineStr">
        <is>
          <t>553-2025-12-31</t>
        </is>
      </c>
    </row>
    <row r="990">
      <c r="A990" t="n">
        <v>554</v>
      </c>
      <c r="B990" t="inlineStr">
        <is>
          <t>Nivel de Satisfacción Servicios Prestados -Permanencia</t>
        </is>
      </c>
      <c r="C990" t="inlineStr">
        <is>
          <t>Permanencia</t>
        </is>
      </c>
      <c r="D990" t="inlineStr">
        <is>
          <t>Trimestral</t>
        </is>
      </c>
      <c r="E990" t="inlineStr">
        <is>
          <t>Positivo</t>
        </is>
      </c>
      <c r="F990" s="111" t="n">
        <v>46022</v>
      </c>
      <c r="G990" t="n">
        <v>2025</v>
      </c>
      <c r="H990" t="inlineStr">
        <is>
          <t>Diciembre</t>
        </is>
      </c>
      <c r="I990" t="inlineStr">
        <is>
          <t>2025-2</t>
        </is>
      </c>
      <c r="J990" t="n">
        <v>80</v>
      </c>
      <c r="K990" t="n">
        <v>95</v>
      </c>
      <c r="L990" s="39">
        <f>IFERROR(IF(OR(J990=0,K990=""),"",IF(E990="Positivo",MIN(MAX(K990/J990,0),1.3),MIN(MAX(J990/K990,0),1.3))),"") </f>
        <v/>
      </c>
      <c r="M990" s="39">
        <f>IFERROR(IF(OR(J990=0,K990=""),"",IF(E990="Positivo",MAX(K990/J990,0),MAX(J990/K990,0))),"") </f>
        <v/>
      </c>
      <c r="N990" t="inlineStr">
        <is>
          <t>%</t>
        </is>
      </c>
      <c r="O990" t="inlineStr">
        <is>
          <t>%</t>
        </is>
      </c>
      <c r="P990" t="n">
        <v>0</v>
      </c>
      <c r="Q990" t="n">
        <v>0</v>
      </c>
      <c r="R990" t="inlineStr">
        <is>
          <t>554-2025-12-31</t>
        </is>
      </c>
    </row>
    <row r="991">
      <c r="A991" t="n">
        <v>555</v>
      </c>
      <c r="B991" t="inlineStr">
        <is>
          <t>Nivel de Satisfacción Servicios Prestados -Mercadeo y venta de educación para la vida</t>
        </is>
      </c>
      <c r="C991" t="inlineStr">
        <is>
          <t>Mercadeo y venta de educación para la vida</t>
        </is>
      </c>
      <c r="D991" t="inlineStr">
        <is>
          <t>Trimestral</t>
        </is>
      </c>
      <c r="E991" t="inlineStr">
        <is>
          <t>Positivo</t>
        </is>
      </c>
      <c r="F991" s="111" t="n">
        <v>46022</v>
      </c>
      <c r="G991" t="n">
        <v>2025</v>
      </c>
      <c r="H991" t="inlineStr">
        <is>
          <t>Diciembre</t>
        </is>
      </c>
      <c r="I991" t="inlineStr">
        <is>
          <t>2025-2</t>
        </is>
      </c>
      <c r="J991" t="n">
        <v>80</v>
      </c>
      <c r="K991" t="n">
        <v>100</v>
      </c>
      <c r="L991" s="39">
        <f>IFERROR(IF(OR(J991=0,K991=""),"",IF(E991="Positivo",MIN(MAX(K991/J991,0),1.3),MIN(MAX(J991/K991,0),1.3))),"") </f>
        <v/>
      </c>
      <c r="M991" s="39">
        <f>IFERROR(IF(OR(J991=0,K991=""),"",IF(E991="Positivo",MAX(K991/J991,0),MAX(J991/K991,0))),"") </f>
        <v/>
      </c>
      <c r="N991" t="inlineStr">
        <is>
          <t>%</t>
        </is>
      </c>
      <c r="O991" t="inlineStr">
        <is>
          <t>%</t>
        </is>
      </c>
      <c r="P991" t="n">
        <v>0</v>
      </c>
      <c r="Q991" t="n">
        <v>0</v>
      </c>
      <c r="R991" t="inlineStr">
        <is>
          <t>555-2025-12-31</t>
        </is>
      </c>
    </row>
    <row r="992">
      <c r="A992" t="n">
        <v>556</v>
      </c>
      <c r="B992" t="inlineStr">
        <is>
          <t>Cumplimiento Plan de formación Institucional</t>
        </is>
      </c>
      <c r="C992" t="inlineStr">
        <is>
          <t>GESTIÓN Y DESARROLLO DEL TALENTO HUMANO</t>
        </is>
      </c>
      <c r="D992" t="inlineStr">
        <is>
          <t>Anual</t>
        </is>
      </c>
      <c r="E992" t="inlineStr">
        <is>
          <t>Positivo</t>
        </is>
      </c>
      <c r="F992" s="111" t="n">
        <v>46022</v>
      </c>
      <c r="G992" t="n">
        <v>2025</v>
      </c>
      <c r="H992" t="inlineStr">
        <is>
          <t>Diciembre</t>
        </is>
      </c>
      <c r="I992" t="inlineStr">
        <is>
          <t>2025-2</t>
        </is>
      </c>
      <c r="J992" t="n">
        <v>70</v>
      </c>
      <c r="K992" t="n">
        <v>113.75</v>
      </c>
      <c r="L992" s="39">
        <f>IFERROR(IF(OR(J992=0,K992=""),"",IF(E992="Positivo",MIN(MAX(K992/J992,0),1.3),MIN(MAX(J992/K992,0),1.3))),"") </f>
        <v/>
      </c>
      <c r="M992" s="39">
        <f>IFERROR(IF(OR(J992=0,K992=""),"",IF(E992="Positivo",MAX(K992/J992,0),MAX(J992/K992,0))),"") </f>
        <v/>
      </c>
      <c r="N992" t="inlineStr">
        <is>
          <t>%</t>
        </is>
      </c>
      <c r="O992" t="inlineStr">
        <is>
          <t>%</t>
        </is>
      </c>
      <c r="P992" t="n">
        <v>0</v>
      </c>
      <c r="Q992" t="n">
        <v>0</v>
      </c>
      <c r="R992" t="inlineStr">
        <is>
          <t>556-2025-12-31</t>
        </is>
      </c>
    </row>
  </sheetData>
  <autoFilter ref="A1:S1129"/>
  <conditionalFormatting sqref="A22">
    <cfRule type="duplicateValues" priority="186" dxfId="0"/>
    <cfRule type="duplicateValues" priority="188" dxfId="0"/>
    <cfRule type="duplicateValues" priority="187" dxfId="0"/>
  </conditionalFormatting>
  <conditionalFormatting sqref="A23">
    <cfRule type="duplicateValues" priority="190" dxfId="0"/>
  </conditionalFormatting>
  <conditionalFormatting sqref="A605">
    <cfRule type="duplicateValues" priority="161" dxfId="0"/>
    <cfRule type="duplicateValues" priority="164" dxfId="0"/>
    <cfRule type="duplicateValues" priority="163" dxfId="0"/>
    <cfRule type="duplicateValues" priority="162" dxfId="0"/>
  </conditionalFormatting>
  <conditionalFormatting sqref="A910:A918">
    <cfRule type="duplicateValues" priority="160" dxfId="0"/>
  </conditionalFormatting>
  <conditionalFormatting sqref="A958">
    <cfRule type="duplicateValues" priority="147" dxfId="0"/>
    <cfRule type="duplicateValues" priority="146" dxfId="0"/>
  </conditionalFormatting>
  <conditionalFormatting sqref="A1003">
    <cfRule type="duplicateValues" priority="140" dxfId="0"/>
    <cfRule type="duplicateValues" priority="144" dxfId="0"/>
    <cfRule type="duplicateValues" priority="143" dxfId="0"/>
    <cfRule type="duplicateValues" priority="142" dxfId="0"/>
  </conditionalFormatting>
  <conditionalFormatting sqref="A1004">
    <cfRule type="duplicateValues" priority="134" dxfId="0"/>
    <cfRule type="duplicateValues" priority="137" dxfId="0"/>
    <cfRule type="duplicateValues" priority="138" dxfId="0"/>
    <cfRule type="duplicateValues" priority="136" dxfId="0"/>
  </conditionalFormatting>
  <conditionalFormatting sqref="A1005">
    <cfRule type="duplicateValues" priority="131" dxfId="0"/>
    <cfRule type="duplicateValues" priority="132" dxfId="0"/>
    <cfRule type="duplicateValues" priority="130" dxfId="0"/>
    <cfRule type="duplicateValues" priority="128" dxfId="0"/>
  </conditionalFormatting>
  <conditionalFormatting sqref="A1006">
    <cfRule type="duplicateValues" priority="126" dxfId="0"/>
    <cfRule type="duplicateValues" priority="125" dxfId="0"/>
    <cfRule type="duplicateValues" priority="124" dxfId="0"/>
    <cfRule type="duplicateValues" priority="122" dxfId="0"/>
  </conditionalFormatting>
  <conditionalFormatting sqref="A1007">
    <cfRule type="duplicateValues" priority="120" dxfId="0"/>
    <cfRule type="duplicateValues" priority="119" dxfId="0"/>
    <cfRule type="duplicateValues" priority="118" dxfId="0"/>
    <cfRule type="duplicateValues" priority="116" dxfId="0"/>
  </conditionalFormatting>
  <conditionalFormatting sqref="A1008">
    <cfRule type="duplicateValues" priority="110" dxfId="0"/>
    <cfRule type="duplicateValues" priority="113" dxfId="0"/>
    <cfRule type="duplicateValues" priority="112" dxfId="0"/>
    <cfRule type="duplicateValues" priority="114" dxfId="0"/>
  </conditionalFormatting>
  <conditionalFormatting sqref="A1009">
    <cfRule type="duplicateValues" priority="98" dxfId="0"/>
    <cfRule type="duplicateValues" priority="100" dxfId="0"/>
    <cfRule type="duplicateValues" priority="101" dxfId="0"/>
    <cfRule type="duplicateValues" priority="102" dxfId="0"/>
  </conditionalFormatting>
  <conditionalFormatting sqref="A1010">
    <cfRule type="duplicateValues" priority="96" dxfId="0"/>
    <cfRule type="duplicateValues" priority="95" dxfId="0"/>
    <cfRule type="duplicateValues" priority="94" dxfId="0"/>
    <cfRule type="duplicateValues" priority="92" dxfId="0"/>
  </conditionalFormatting>
  <conditionalFormatting sqref="A1011">
    <cfRule type="duplicateValues" priority="82" dxfId="0"/>
    <cfRule type="duplicateValues" priority="83" dxfId="0"/>
    <cfRule type="duplicateValues" priority="84" dxfId="0"/>
    <cfRule type="duplicateValues" priority="80" dxfId="0"/>
  </conditionalFormatting>
  <conditionalFormatting sqref="A1012">
    <cfRule type="duplicateValues" priority="193" dxfId="0"/>
    <cfRule type="duplicateValues" priority="192" dxfId="0"/>
    <cfRule type="duplicateValues" priority="191" dxfId="0"/>
    <cfRule type="duplicateValues" priority="194" dxfId="0"/>
  </conditionalFormatting>
  <conditionalFormatting sqref="A1013">
    <cfRule type="duplicateValues" priority="56" dxfId="0"/>
    <cfRule type="duplicateValues" priority="60" dxfId="0"/>
    <cfRule type="duplicateValues" priority="58" dxfId="0"/>
    <cfRule type="duplicateValues" priority="59" dxfId="0"/>
  </conditionalFormatting>
  <conditionalFormatting sqref="A1016">
    <cfRule type="duplicateValues" priority="24" dxfId="0"/>
    <cfRule type="duplicateValues" priority="20" dxfId="0"/>
    <cfRule type="duplicateValues" priority="22" dxfId="0"/>
    <cfRule type="duplicateValues" priority="23" dxfId="0"/>
  </conditionalFormatting>
  <conditionalFormatting sqref="A1077">
    <cfRule type="duplicateValues" priority="12" dxfId="0"/>
    <cfRule type="duplicateValues" priority="14" dxfId="0"/>
    <cfRule type="duplicateValues" priority="13" dxfId="0"/>
  </conditionalFormatting>
  <conditionalFormatting sqref="A1146">
    <cfRule type="duplicateValues" priority="9" dxfId="0"/>
    <cfRule type="duplicateValues" priority="11" dxfId="0"/>
    <cfRule type="duplicateValues" priority="10" dxfId="0"/>
    <cfRule type="duplicateValues" priority="8" dxfId="0"/>
  </conditionalFormatting>
  <conditionalFormatting sqref="A1173">
    <cfRule type="duplicateValues" priority="3" dxfId="0"/>
    <cfRule type="duplicateValues" priority="4" dxfId="0"/>
    <cfRule type="duplicateValues" priority="5" dxfId="0"/>
  </conditionalFormatting>
  <conditionalFormatting sqref="A1380">
    <cfRule type="duplicateValues" priority="2" dxfId="0"/>
    <cfRule type="duplicateValues" priority="1" dxfId="0"/>
  </conditionalFormatting>
  <conditionalFormatting sqref="B15">
    <cfRule type="duplicateValues" priority="78" dxfId="0"/>
    <cfRule type="duplicateValues" priority="79" dxfId="0"/>
  </conditionalFormatting>
  <conditionalFormatting sqref="B16">
    <cfRule type="duplicateValues" priority="77" dxfId="0"/>
    <cfRule type="duplicateValues" priority="76" dxfId="0"/>
  </conditionalFormatting>
  <conditionalFormatting sqref="B19">
    <cfRule type="duplicateValues" priority="30" dxfId="0"/>
    <cfRule type="duplicateValues" priority="31" dxfId="0"/>
  </conditionalFormatting>
  <conditionalFormatting sqref="B20">
    <cfRule type="duplicateValues" priority="28" dxfId="0"/>
    <cfRule type="duplicateValues" priority="29" dxfId="0"/>
  </conditionalFormatting>
  <conditionalFormatting sqref="B21">
    <cfRule type="duplicateValues" priority="37" dxfId="0"/>
    <cfRule type="duplicateValues" priority="36" dxfId="0"/>
  </conditionalFormatting>
  <conditionalFormatting sqref="B22">
    <cfRule type="duplicateValues" priority="35" dxfId="0"/>
    <cfRule type="duplicateValues" priority="34" dxfId="0"/>
  </conditionalFormatting>
  <conditionalFormatting sqref="B1003">
    <cfRule type="duplicateValues" priority="141" dxfId="0"/>
    <cfRule type="duplicateValues" priority="145" dxfId="0"/>
  </conditionalFormatting>
  <conditionalFormatting sqref="B1004">
    <cfRule type="duplicateValues" priority="139" dxfId="0"/>
    <cfRule type="duplicateValues" priority="135" dxfId="0"/>
  </conditionalFormatting>
  <conditionalFormatting sqref="B1005">
    <cfRule type="duplicateValues" priority="133" dxfId="0"/>
    <cfRule type="duplicateValues" priority="129" dxfId="0"/>
  </conditionalFormatting>
  <conditionalFormatting sqref="B1006">
    <cfRule type="duplicateValues" priority="123" dxfId="0"/>
    <cfRule type="duplicateValues" priority="127" dxfId="0"/>
  </conditionalFormatting>
  <conditionalFormatting sqref="B1007">
    <cfRule type="duplicateValues" priority="117" dxfId="0"/>
    <cfRule type="duplicateValues" priority="121" dxfId="0"/>
  </conditionalFormatting>
  <conditionalFormatting sqref="B1008">
    <cfRule type="duplicateValues" priority="111" dxfId="0"/>
    <cfRule type="duplicateValues" priority="115" dxfId="0"/>
  </conditionalFormatting>
  <conditionalFormatting sqref="B1009">
    <cfRule type="duplicateValues" priority="103" dxfId="0"/>
    <cfRule type="duplicateValues" priority="99" dxfId="0"/>
  </conditionalFormatting>
  <conditionalFormatting sqref="B1010">
    <cfRule type="duplicateValues" priority="93" dxfId="0"/>
    <cfRule type="duplicateValues" priority="97" dxfId="0"/>
  </conditionalFormatting>
  <conditionalFormatting sqref="B1011">
    <cfRule type="duplicateValues" priority="85" dxfId="0"/>
    <cfRule type="duplicateValues" priority="81" dxfId="0"/>
  </conditionalFormatting>
  <conditionalFormatting sqref="B1012">
    <cfRule type="duplicateValues" priority="196" dxfId="0"/>
    <cfRule type="duplicateValues" priority="195" dxfId="0"/>
  </conditionalFormatting>
  <conditionalFormatting sqref="B1016">
    <cfRule type="duplicateValues" priority="25" dxfId="0"/>
    <cfRule type="duplicateValues" priority="21" dxfId="0"/>
  </conditionalFormatting>
  <conditionalFormatting sqref="B1173">
    <cfRule type="duplicateValues" priority="7" dxfId="0"/>
    <cfRule type="duplicateValues" priority="6" dxfId="0"/>
  </conditionalFormatting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2" sqref="A2"/>
    </sheetView>
  </sheetViews>
  <sheetFormatPr baseColWidth="10" defaultRowHeight="14.4"/>
  <cols>
    <col width="20.6640625" customWidth="1" style="87" min="1" max="1"/>
    <col width="19.6640625" bestFit="1" customWidth="1" style="87" min="2" max="2"/>
    <col width="24.88671875" bestFit="1" customWidth="1" style="87" min="3" max="3"/>
    <col width="11.5546875" customWidth="1" style="87" min="4" max="4"/>
    <col width="44.88671875" bestFit="1" customWidth="1" style="87" min="5" max="5"/>
    <col width="49.88671875" customWidth="1" style="87" min="6" max="6"/>
    <col width="2.5546875" customWidth="1" style="87" min="7" max="7"/>
    <col width="24.88671875" bestFit="1" customWidth="1" style="87" min="8" max="8"/>
    <col width="11.5546875" customWidth="1" style="87" min="9" max="9"/>
    <col width="46.109375" customWidth="1" style="87" min="10" max="10"/>
    <col width="35.77734375" customWidth="1" style="87" min="11" max="11"/>
    <col width="11.5546875" customWidth="1" style="87" min="12" max="12"/>
    <col width="11.5546875" customWidth="1" style="87" min="13" max="16384"/>
  </cols>
  <sheetData>
    <row r="1">
      <c r="A1" s="66" t="n"/>
      <c r="B1" s="66" t="n"/>
      <c r="C1" s="86" t="inlineStr">
        <is>
          <t>Serie Unica</t>
        </is>
      </c>
      <c r="H1" s="88" t="inlineStr">
        <is>
          <t>Multiserie</t>
        </is>
      </c>
      <c r="I1" s="89" t="n"/>
      <c r="J1" s="89" t="n"/>
      <c r="K1" s="90" t="n"/>
    </row>
    <row r="2">
      <c r="A2" s="66" t="inlineStr">
        <is>
          <t>Base a generar</t>
        </is>
      </c>
      <c r="B2" s="66" t="inlineStr">
        <is>
          <t>Hoja a actualizar</t>
        </is>
      </c>
      <c r="C2" s="66" t="inlineStr">
        <is>
          <t>Fuente</t>
        </is>
      </c>
      <c r="D2" s="66" t="inlineStr">
        <is>
          <t>Variable</t>
        </is>
      </c>
      <c r="E2" s="66" t="inlineStr">
        <is>
          <t>Tipo 1 (Generales)</t>
        </is>
      </c>
      <c r="F2" s="66" t="inlineStr">
        <is>
          <t>Tipo 2 (Desglose de Variables)</t>
        </is>
      </c>
      <c r="H2" s="69" t="inlineStr">
        <is>
          <t>Fuente</t>
        </is>
      </c>
      <c r="I2" s="69" t="inlineStr">
        <is>
          <t>Variable</t>
        </is>
      </c>
      <c r="J2" s="69" t="inlineStr">
        <is>
          <t>Tipo 1 (Generales)</t>
        </is>
      </c>
      <c r="K2" s="69" t="inlineStr">
        <is>
          <t>Tipo 2 (Desglose de Series)</t>
        </is>
      </c>
    </row>
    <row r="3" ht="28.8" customHeight="1">
      <c r="A3" s="83" t="inlineStr">
        <is>
          <t>Resultados Consolidado</t>
        </is>
      </c>
      <c r="B3" s="83" t="inlineStr">
        <is>
          <t>Consolidado Historico</t>
        </is>
      </c>
      <c r="C3" s="68" t="inlineStr">
        <is>
          <t>Consolidado_API_Kawak.xlsx</t>
        </is>
      </c>
      <c r="D3" s="68" t="inlineStr">
        <is>
          <t>Meta</t>
        </is>
      </c>
      <c r="E3" s="68" t="inlineStr">
        <is>
          <t>Meta / Cumplimiento en caso de que meta este vacio</t>
        </is>
      </c>
      <c r="F3" s="68" t="inlineStr">
        <is>
          <t>Valor de variable Meta</t>
        </is>
      </c>
      <c r="H3" s="67" t="inlineStr">
        <is>
          <t>Consolidado_API_Kawak.xlsx</t>
        </is>
      </c>
      <c r="I3" s="67" t="inlineStr">
        <is>
          <t>Meta</t>
        </is>
      </c>
      <c r="J3" s="67" t="inlineStr">
        <is>
          <t>Meta / Cumplimiento en caso de que meta este vacio</t>
        </is>
      </c>
      <c r="K3" s="67" t="inlineStr">
        <is>
          <t>Valor de series (Acumulado, Promedio, Cierre) Meta</t>
        </is>
      </c>
    </row>
    <row r="4" ht="28.8" customHeight="1">
      <c r="A4" s="84" t="n"/>
      <c r="B4" s="84" t="n"/>
      <c r="C4" s="68" t="inlineStr">
        <is>
          <t>Consolidado_API_Kawak.xlsx</t>
        </is>
      </c>
      <c r="D4" s="68" t="inlineStr">
        <is>
          <t>Ejecución</t>
        </is>
      </c>
      <c r="E4" s="68" t="inlineStr">
        <is>
          <t>Resultado</t>
        </is>
      </c>
      <c r="F4" s="68" t="inlineStr">
        <is>
          <t>Valor de variable Ejecución</t>
        </is>
      </c>
      <c r="H4" s="67" t="inlineStr">
        <is>
          <t>Consolidado_API_Kawak.xlsx</t>
        </is>
      </c>
      <c r="I4" s="67" t="inlineStr">
        <is>
          <t>Ejecución</t>
        </is>
      </c>
      <c r="J4" s="67" t="inlineStr">
        <is>
          <t>Resultado</t>
        </is>
      </c>
      <c r="K4" s="67" t="inlineStr">
        <is>
          <t>Valor de series (Acumulado, Promedio, Cierre) Ejecución</t>
        </is>
      </c>
    </row>
    <row r="5" ht="43.2" customHeight="1">
      <c r="A5" s="84" t="n"/>
      <c r="B5" s="85" t="n"/>
      <c r="C5" s="68" t="inlineStr">
        <is>
          <t>Observación</t>
        </is>
      </c>
      <c r="D5" s="68" t="n"/>
      <c r="E5" s="68" t="inlineStr">
        <is>
          <t>Extracción directa de la información</t>
        </is>
      </c>
      <c r="F5" s="68" t="inlineStr">
        <is>
          <t>Se debe validar el indicador en la Hoja Variables Columna Campo para identificar la Variable Meta y la Variable Ejecución  si es informativo extraer de forma general</t>
        </is>
      </c>
      <c r="H5" s="67" t="inlineStr">
        <is>
          <t>Observación</t>
        </is>
      </c>
      <c r="I5" s="67" t="n"/>
      <c r="J5" s="67" t="inlineStr">
        <is>
          <t>Extracción directa de la información</t>
        </is>
      </c>
      <c r="K5" s="67" t="inlineStr">
        <is>
          <t>Se debe validar el indicador en la Hoja Catalogo Indicadores - Tipo de calculo</t>
        </is>
      </c>
    </row>
    <row r="6" ht="57.6" customHeight="1">
      <c r="A6" s="84" t="n"/>
      <c r="B6" s="83" t="inlineStr">
        <is>
          <t>Consolidado Semestral</t>
        </is>
      </c>
      <c r="C6" s="68" t="inlineStr">
        <is>
          <t>Consolidado Historico</t>
        </is>
      </c>
      <c r="D6" s="68" t="inlineStr">
        <is>
          <t>Meta</t>
        </is>
      </c>
      <c r="E6" s="68" t="inlineStr">
        <is>
          <t>Buscar en el catalogo de indicadores la columna TipoCalculo e identificar si la variable Meta es acumulado (Suma), Cierre, Promedio por semestre</t>
        </is>
      </c>
      <c r="F6" s="68" t="inlineStr">
        <is>
          <t>Buscar en el catalogo de indicadores la columna TipoCalculo e identificar si la variable Meta es acumulado (Suma), Cierre, Promedio por semestre</t>
        </is>
      </c>
      <c r="H6" s="67" t="inlineStr">
        <is>
          <t>Consolidado Historico</t>
        </is>
      </c>
      <c r="I6" s="67" t="inlineStr">
        <is>
          <t>Meta</t>
        </is>
      </c>
      <c r="J6" s="67" t="inlineStr">
        <is>
          <t>Buscar en el catalogo de indicadores la columna TipoCalculo e identificar si la variable Meta es acumulado (Suma), Cierre, Promedio por semestre</t>
        </is>
      </c>
      <c r="K6" s="67" t="inlineStr">
        <is>
          <t>Buscar en el catalogo de indicadores la columna TipoCalculo e identificar si la variable Meta es acumulado (Suma), Cierre, Promedio por semestre</t>
        </is>
      </c>
    </row>
    <row r="7" ht="57.6" customHeight="1">
      <c r="A7" s="84" t="n"/>
      <c r="B7" s="85" t="n"/>
      <c r="C7" s="68" t="inlineStr">
        <is>
          <t>Consolidado Historico</t>
        </is>
      </c>
      <c r="D7" s="68" t="inlineStr">
        <is>
          <t>Ejecución</t>
        </is>
      </c>
      <c r="E7" s="68" t="inlineStr">
        <is>
          <t>Buscar en el catalogo de indicadores la columna TipoCalculo e identificar si la variable Ejecución es acumulado (Suma), Cierre, Promedio por semestre</t>
        </is>
      </c>
      <c r="F7" s="68" t="inlineStr">
        <is>
          <t>Buscar en el catalogo de indicadores la columna TipoCalculo e identificar si la variable Ejecución es acumulado (Suma), Cierre, Promedio por semestre</t>
        </is>
      </c>
      <c r="H7" s="67" t="inlineStr">
        <is>
          <t>Consolidado Historico</t>
        </is>
      </c>
      <c r="I7" s="67" t="inlineStr">
        <is>
          <t>Ejecución</t>
        </is>
      </c>
      <c r="J7" s="67" t="inlineStr">
        <is>
          <t>Buscar en el catalogo de indicadores la columna TipoCalculo e identificar si la variable Ejecución es acumulado (Suma), Cierre, Promedio por semestre</t>
        </is>
      </c>
      <c r="K7" s="67" t="inlineStr">
        <is>
          <t>Buscar en el catalogo de indicadores la columna TipoCalculo e identificar si la variable Ejecución es acumulado (Suma), Cierre, Promedio por semestre</t>
        </is>
      </c>
    </row>
    <row r="8" ht="57.6" customHeight="1">
      <c r="A8" s="84" t="n"/>
      <c r="B8" s="83" t="inlineStr">
        <is>
          <t>Consolidado Cierre</t>
        </is>
      </c>
      <c r="C8" s="68" t="inlineStr">
        <is>
          <t>Consolidado Historico</t>
        </is>
      </c>
      <c r="D8" s="68" t="inlineStr">
        <is>
          <t>Meta</t>
        </is>
      </c>
      <c r="E8" s="68" t="inlineStr">
        <is>
          <t>Buscar en el catalogo de indicadores la columna TipoCalculo e identificar si la variable Meta es acumulado (Suma), Cierre, Promedio por año</t>
        </is>
      </c>
      <c r="F8" s="68" t="inlineStr">
        <is>
          <t>Buscar en el catalogo de indicadores la columna TipoCalculo e identificar si la variable Meta es acumulado (Suma), Cierre, Promedio por año</t>
        </is>
      </c>
      <c r="H8" s="67" t="inlineStr">
        <is>
          <t>Consolidado Historico</t>
        </is>
      </c>
      <c r="I8" s="67" t="inlineStr">
        <is>
          <t>Meta</t>
        </is>
      </c>
      <c r="J8" s="67" t="inlineStr">
        <is>
          <t>Buscar en el catalogo de indicadores la columna TipoCalculo e identificar si la variable Meta es acumulado (Suma), Cierre, Promedio por año</t>
        </is>
      </c>
      <c r="K8" s="67" t="inlineStr">
        <is>
          <t>Buscar en el catalogo de indicadores la columna TipoCalculo e identificar si la variable Meta es acumulado (Suma), Cierre, Promedio por año</t>
        </is>
      </c>
    </row>
    <row r="9" ht="57.6" customHeight="1">
      <c r="A9" s="85" t="n"/>
      <c r="B9" s="85" t="n"/>
      <c r="C9" s="68" t="inlineStr">
        <is>
          <t>Consolidado Historico</t>
        </is>
      </c>
      <c r="D9" s="68" t="inlineStr">
        <is>
          <t>Ejecución</t>
        </is>
      </c>
      <c r="E9" s="68" t="inlineStr">
        <is>
          <t>Buscar en el catalogo de indicadores la columna TipoCalculo e identificar si la variable Ejecución es acumulado (Suma), Cierre, Promedio por año</t>
        </is>
      </c>
      <c r="F9" s="68" t="inlineStr">
        <is>
          <t>Buscar en el catalogo de indicadores la columna TipoCalculo e identificar si la variable Ejecución es acumulado (Suma), Cierre, Promedio por año</t>
        </is>
      </c>
      <c r="H9" s="67" t="inlineStr">
        <is>
          <t>Consolidado Historico</t>
        </is>
      </c>
      <c r="I9" s="67" t="inlineStr">
        <is>
          <t>Ejecución</t>
        </is>
      </c>
      <c r="J9" s="67" t="inlineStr">
        <is>
          <t>Buscar en el catalogo de indicadores la columna TipoCalculo e identificar si la variable Ejecución es acumulado (Suma), Cierre, Promedio por año</t>
        </is>
      </c>
      <c r="K9" s="67" t="inlineStr">
        <is>
          <t>Buscar en el catalogo de indicadores la columna TipoCalculo e identificar si la variable Ejecución es acumulado (Suma), Cierre, Promedio por año</t>
        </is>
      </c>
    </row>
  </sheetData>
  <mergeCells count="6">
    <mergeCell ref="A3:A9"/>
    <mergeCell ref="B8:B9"/>
    <mergeCell ref="C1:F1"/>
    <mergeCell ref="B3:B5"/>
    <mergeCell ref="H1:K1"/>
    <mergeCell ref="B6:B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9"/>
  <sheetViews>
    <sheetView topLeftCell="A327" workbookViewId="0">
      <selection activeCell="A1" sqref="A1"/>
    </sheetView>
  </sheetViews>
  <sheetFormatPr baseColWidth="10" defaultColWidth="8.88671875" defaultRowHeight="14.4"/>
  <cols>
    <col width="96" bestFit="1" customWidth="1" min="7" max="7"/>
  </cols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var_simbolo</t>
        </is>
      </c>
      <c r="G1" t="inlineStr">
        <is>
          <t>var_nombre</t>
        </is>
      </c>
      <c r="H1" t="inlineStr">
        <is>
          <t>Campo</t>
        </is>
      </c>
    </row>
    <row r="2">
      <c r="A2" t="n">
        <v>77</v>
      </c>
      <c r="B2" t="inlineStr">
        <is>
          <t>Disponibilidad de servicios tecnológicos</t>
        </is>
      </c>
      <c r="C2" t="inlineStr">
        <is>
          <t>GESTIÓN DE LA TECNOLOGÍA E INNOVACIÓN DIGITAL</t>
        </is>
      </c>
      <c r="D2" t="inlineStr">
        <is>
          <t>Mensual</t>
        </is>
      </c>
      <c r="E2" t="inlineStr">
        <is>
          <t>Positivo</t>
        </is>
      </c>
      <c r="F2" t="inlineStr">
        <is>
          <t>PDST</t>
        </is>
      </c>
      <c r="G2" t="inlineStr">
        <is>
          <t>Promedio Disponilidad de los Servicios de TI</t>
        </is>
      </c>
      <c r="H2" t="inlineStr">
        <is>
          <t>Ejecución</t>
        </is>
      </c>
    </row>
    <row r="3">
      <c r="A3" t="n">
        <v>121</v>
      </c>
      <c r="B3" t="inlineStr">
        <is>
          <t>Ejecución presupuestal de la nómina acumulada</t>
        </is>
      </c>
      <c r="C3" t="inlineStr">
        <is>
          <t>GESTIÓN Y DESARROLLO DEL TALENTO HUMANO</t>
        </is>
      </c>
      <c r="D3" t="inlineStr">
        <is>
          <t>Mensual</t>
        </is>
      </c>
      <c r="E3" t="inlineStr">
        <is>
          <t>Negativo</t>
        </is>
      </c>
      <c r="F3" t="inlineStr">
        <is>
          <t>GRNA</t>
        </is>
      </c>
      <c r="G3" t="inlineStr">
        <is>
          <t>Gasto real nómina acumulado</t>
        </is>
      </c>
      <c r="H3" t="inlineStr">
        <is>
          <t>Ejecución</t>
        </is>
      </c>
    </row>
    <row r="4">
      <c r="A4" t="n">
        <v>121</v>
      </c>
      <c r="B4" t="inlineStr">
        <is>
          <t>Ejecución presupuestal de la nómina acumulada</t>
        </is>
      </c>
      <c r="C4" t="inlineStr">
        <is>
          <t>GESTIÓN Y DESARROLLO DEL TALENTO HUMANO</t>
        </is>
      </c>
      <c r="D4" t="inlineStr">
        <is>
          <t>Mensual</t>
        </is>
      </c>
      <c r="E4" t="inlineStr">
        <is>
          <t>Negativo</t>
        </is>
      </c>
      <c r="F4" t="inlineStr">
        <is>
          <t>GPNA</t>
        </is>
      </c>
      <c r="G4" t="inlineStr">
        <is>
          <t>Gasto planeado Nómina acumulado</t>
        </is>
      </c>
      <c r="H4" t="inlineStr">
        <is>
          <t>Meta</t>
        </is>
      </c>
    </row>
    <row r="5">
      <c r="A5" t="n">
        <v>121</v>
      </c>
      <c r="B5" t="inlineStr">
        <is>
          <t>Ejecución presupuestal de la nómina acumulada</t>
        </is>
      </c>
      <c r="C5" t="inlineStr">
        <is>
          <t>GESTIÓN Y DESARROLLO DEL TALENTO HUMANO</t>
        </is>
      </c>
      <c r="D5" t="inlineStr">
        <is>
          <t>Mensual</t>
        </is>
      </c>
      <c r="E5" t="inlineStr">
        <is>
          <t>Negativo</t>
        </is>
      </c>
      <c r="F5" t="inlineStr">
        <is>
          <t>GRNHOY</t>
        </is>
      </c>
      <c r="G5" t="inlineStr">
        <is>
          <t>Gasto real  de nómina periodo actual</t>
        </is>
      </c>
      <c r="H5" t="inlineStr">
        <is>
          <t>Ejecución</t>
        </is>
      </c>
    </row>
    <row r="6">
      <c r="A6" t="n">
        <v>121</v>
      </c>
      <c r="B6" t="inlineStr">
        <is>
          <t>Ejecución presupuestal de la nómina acumulada</t>
        </is>
      </c>
      <c r="C6" t="inlineStr">
        <is>
          <t>GESTIÓN Y DESARROLLO DEL TALENTO HUMANO</t>
        </is>
      </c>
      <c r="D6" t="inlineStr">
        <is>
          <t>Mensual</t>
        </is>
      </c>
      <c r="E6" t="inlineStr">
        <is>
          <t>Negativo</t>
        </is>
      </c>
      <c r="F6" t="inlineStr">
        <is>
          <t>GPNHOY</t>
        </is>
      </c>
      <c r="G6" t="inlineStr">
        <is>
          <t>Gasto planeado Nómina periodo actual</t>
        </is>
      </c>
      <c r="H6" t="inlineStr">
        <is>
          <t>Meta</t>
        </is>
      </c>
    </row>
    <row r="7">
      <c r="A7" t="n">
        <v>124</v>
      </c>
      <c r="B7" t="inlineStr">
        <is>
          <t>Indice de Frecuencia de accidentalidad</t>
        </is>
      </c>
      <c r="C7" t="inlineStr">
        <is>
          <t>GESTIÓN DE SEGURIDAD Y SALUD EN EL TRABAJO</t>
        </is>
      </c>
      <c r="D7" t="inlineStr">
        <is>
          <t>Mensual</t>
        </is>
      </c>
      <c r="E7" t="inlineStr">
        <is>
          <t>Negativo</t>
        </is>
      </c>
      <c r="F7" t="inlineStr">
        <is>
          <t>NAPM</t>
        </is>
      </c>
      <c r="G7" t="inlineStr">
        <is>
          <t>Numero de accidentes de trabajo que se presentaron en el mes</t>
        </is>
      </c>
      <c r="H7" t="inlineStr">
        <is>
          <t>Informativo</t>
        </is>
      </c>
    </row>
    <row r="8">
      <c r="A8" t="n">
        <v>124</v>
      </c>
      <c r="B8" t="inlineStr">
        <is>
          <t>Indice de Frecuencia de accidentalidad</t>
        </is>
      </c>
      <c r="C8" t="inlineStr">
        <is>
          <t>GESTIÓN DE SEGURIDAD Y SALUD EN EL TRABAJO</t>
        </is>
      </c>
      <c r="D8" t="inlineStr">
        <is>
          <t>Mensual</t>
        </is>
      </c>
      <c r="E8" t="inlineStr">
        <is>
          <t>Negativo</t>
        </is>
      </c>
      <c r="F8" t="inlineStr">
        <is>
          <t>NTM</t>
        </is>
      </c>
      <c r="G8" t="inlineStr">
        <is>
          <t>Numero de trabajadores en el mes</t>
        </is>
      </c>
      <c r="H8" t="inlineStr">
        <is>
          <t>Informativo</t>
        </is>
      </c>
    </row>
    <row r="9">
      <c r="A9" t="n">
        <v>125</v>
      </c>
      <c r="B9" t="inlineStr">
        <is>
          <t>Indice de severidad</t>
        </is>
      </c>
      <c r="C9" t="inlineStr">
        <is>
          <t>GESTIÓN DE SEGURIDAD Y SALUD EN EL TRABAJO</t>
        </is>
      </c>
      <c r="D9" t="inlineStr">
        <is>
          <t>Mensual</t>
        </is>
      </c>
      <c r="E9" t="inlineStr">
        <is>
          <t>Negativo</t>
        </is>
      </c>
      <c r="F9" t="inlineStr">
        <is>
          <t>NDIAM</t>
        </is>
      </c>
      <c r="G9" t="inlineStr">
        <is>
          <t>Numero de días de incapacidad por accidente de trabajo en el mes</t>
        </is>
      </c>
      <c r="H9" t="inlineStr">
        <is>
          <t>Informativo</t>
        </is>
      </c>
    </row>
    <row r="10">
      <c r="A10" t="n">
        <v>125</v>
      </c>
      <c r="B10" t="inlineStr">
        <is>
          <t>Indice de severidad</t>
        </is>
      </c>
      <c r="C10" t="inlineStr">
        <is>
          <t>GESTIÓN DE SEGURIDAD Y SALUD EN EL TRABAJO</t>
        </is>
      </c>
      <c r="D10" t="inlineStr">
        <is>
          <t>Mensual</t>
        </is>
      </c>
      <c r="E10" t="inlineStr">
        <is>
          <t>Negativo</t>
        </is>
      </c>
      <c r="F10" t="inlineStr">
        <is>
          <t>NDCM</t>
        </is>
      </c>
      <c r="G10" t="inlineStr">
        <is>
          <t>Numero de días cargados en el mes</t>
        </is>
      </c>
      <c r="H10" t="inlineStr">
        <is>
          <t>Informativo</t>
        </is>
      </c>
    </row>
    <row r="11">
      <c r="A11" t="n">
        <v>128</v>
      </c>
      <c r="B11" t="inlineStr">
        <is>
          <t>Ausentísmo por causa médica</t>
        </is>
      </c>
      <c r="C11" t="inlineStr">
        <is>
          <t>GESTIÓN DE SEGURIDAD Y SALUD EN EL TRABAJO</t>
        </is>
      </c>
      <c r="D11" t="inlineStr">
        <is>
          <t>Mensual</t>
        </is>
      </c>
      <c r="E11" t="inlineStr">
        <is>
          <t>Negativo</t>
        </is>
      </c>
      <c r="F11" t="inlineStr">
        <is>
          <t>NDAILM</t>
        </is>
      </c>
      <c r="G11" t="inlineStr">
        <is>
          <t>Numero de días de ausencia por incapacidad laboral o común en el mes</t>
        </is>
      </c>
      <c r="H11" t="inlineStr">
        <is>
          <t>Informativo</t>
        </is>
      </c>
    </row>
    <row r="12">
      <c r="A12" t="n">
        <v>128</v>
      </c>
      <c r="B12" t="inlineStr">
        <is>
          <t>Ausentísmo por causa médica</t>
        </is>
      </c>
      <c r="C12" t="inlineStr">
        <is>
          <t>GESTIÓN DE SEGURIDAD Y SALUD EN EL TRABAJO</t>
        </is>
      </c>
      <c r="D12" t="inlineStr">
        <is>
          <t>Mensual</t>
        </is>
      </c>
      <c r="E12" t="inlineStr">
        <is>
          <t>Negativo</t>
        </is>
      </c>
      <c r="F12" t="inlineStr">
        <is>
          <t>NDTPM</t>
        </is>
      </c>
      <c r="G12" t="inlineStr">
        <is>
          <t>Número de días de trabajo programado en el mes</t>
        </is>
      </c>
      <c r="H12" t="inlineStr">
        <is>
          <t>Informativo</t>
        </is>
      </c>
    </row>
    <row r="13">
      <c r="A13" t="n">
        <v>172</v>
      </c>
      <c r="B13" t="inlineStr">
        <is>
          <t>Cumplimiento plan operativo del SGC</t>
        </is>
      </c>
      <c r="C13" t="inlineStr">
        <is>
          <t>Gestión de calidad</t>
        </is>
      </c>
      <c r="D13" t="inlineStr">
        <is>
          <t>Mensual</t>
        </is>
      </c>
      <c r="E13" t="inlineStr">
        <is>
          <t>Positivo</t>
        </is>
      </c>
      <c r="F13" t="inlineStr">
        <is>
          <t>aep</t>
        </is>
      </c>
      <c r="G13" t="inlineStr">
        <is>
          <t>total actividades ejecutadas en el periodo</t>
        </is>
      </c>
      <c r="H13" t="inlineStr">
        <is>
          <t>Ejecución</t>
        </is>
      </c>
    </row>
    <row r="14">
      <c r="A14" t="n">
        <v>172</v>
      </c>
      <c r="B14" t="inlineStr">
        <is>
          <t>Cumplimiento plan operativo del SGC</t>
        </is>
      </c>
      <c r="C14" t="inlineStr">
        <is>
          <t>Gestión de calidad</t>
        </is>
      </c>
      <c r="D14" t="inlineStr">
        <is>
          <t>Mensual</t>
        </is>
      </c>
      <c r="E14" t="inlineStr">
        <is>
          <t>Positivo</t>
        </is>
      </c>
      <c r="F14" t="inlineStr">
        <is>
          <t>agcp</t>
        </is>
      </c>
      <c r="G14" t="inlineStr">
        <is>
          <t>actividades planeadas en el periodo</t>
        </is>
      </c>
      <c r="H14" t="inlineStr">
        <is>
          <t>Meta</t>
        </is>
      </c>
    </row>
    <row r="15">
      <c r="A15" t="n">
        <v>122</v>
      </c>
      <c r="B15" t="inlineStr">
        <is>
          <t>Eficacia en la solicitud documental- por periodo</t>
        </is>
      </c>
      <c r="C15" t="inlineStr">
        <is>
          <t>Gestión de calidad</t>
        </is>
      </c>
      <c r="D15" t="inlineStr">
        <is>
          <t>Mensual</t>
        </is>
      </c>
      <c r="E15" t="inlineStr">
        <is>
          <t>Positivo</t>
        </is>
      </c>
      <c r="F15" t="inlineStr">
        <is>
          <t>TSDIP</t>
        </is>
      </c>
      <c r="G15" t="inlineStr">
        <is>
          <t>Total solicitudes documentales implementadas por periodo</t>
        </is>
      </c>
      <c r="H15" t="inlineStr">
        <is>
          <t>Ejecución</t>
        </is>
      </c>
    </row>
    <row r="16">
      <c r="A16" t="n">
        <v>122</v>
      </c>
      <c r="B16" t="inlineStr">
        <is>
          <t>Eficacia en la solicitud documental- por periodo</t>
        </is>
      </c>
      <c r="C16" t="inlineStr">
        <is>
          <t>Gestión de calidad</t>
        </is>
      </c>
      <c r="D16" t="inlineStr">
        <is>
          <t>Mensual</t>
        </is>
      </c>
      <c r="E16" t="inlineStr">
        <is>
          <t>Positivo</t>
        </is>
      </c>
      <c r="F16" t="inlineStr">
        <is>
          <t>TSDPP</t>
        </is>
      </c>
      <c r="G16" t="inlineStr">
        <is>
          <t>Total solicitudes documentales por periodo</t>
        </is>
      </c>
      <c r="H16" t="inlineStr">
        <is>
          <t>Meta</t>
        </is>
      </c>
    </row>
    <row r="17">
      <c r="A17" t="n">
        <v>167</v>
      </c>
      <c r="B17" t="inlineStr">
        <is>
          <t>Satisfacción actividades plan de bienestar</t>
        </is>
      </c>
      <c r="C17" t="inlineStr">
        <is>
          <t>GESTIÓN Y DESARROLLO DEL TALENTO HUMANO</t>
        </is>
      </c>
      <c r="D17" t="inlineStr">
        <is>
          <t>Trimestral</t>
        </is>
      </c>
      <c r="E17" t="inlineStr">
        <is>
          <t>Positivo</t>
        </is>
      </c>
      <c r="F17" t="inlineStr">
        <is>
          <t>SAB</t>
        </is>
      </c>
      <c r="G17" t="inlineStr">
        <is>
          <t>Resultado promedio satisfacción de actividades de bienestar</t>
        </is>
      </c>
      <c r="H17" t="inlineStr">
        <is>
          <t>Ejecución</t>
        </is>
      </c>
    </row>
    <row r="18">
      <c r="A18" t="n">
        <v>199</v>
      </c>
      <c r="B18" t="inlineStr">
        <is>
          <t>Nivel de cumplimiento de eficacia las capacitaciones</t>
        </is>
      </c>
      <c r="C18" t="inlineStr">
        <is>
          <t>GESTIÓN Y DESARROLLO DEL TALENTO HUMANO</t>
        </is>
      </c>
      <c r="D18" t="inlineStr">
        <is>
          <t>Trimestral</t>
        </is>
      </c>
      <c r="E18" t="inlineStr">
        <is>
          <t>Positivo</t>
        </is>
      </c>
      <c r="F18" t="inlineStr">
        <is>
          <t>NPCp</t>
        </is>
      </c>
      <c r="G18" t="inlineStr">
        <is>
          <t>Nivel de participación en las capacitaciones</t>
        </is>
      </c>
      <c r="H18" t="inlineStr">
        <is>
          <t>Informativo</t>
        </is>
      </c>
    </row>
    <row r="19">
      <c r="A19" t="n">
        <v>199</v>
      </c>
      <c r="B19" t="inlineStr">
        <is>
          <t>Nivel de cumplimiento de eficacia las capacitaciones</t>
        </is>
      </c>
      <c r="C19" t="inlineStr">
        <is>
          <t>GESTIÓN Y DESARROLLO DEL TALENTO HUMANO</t>
        </is>
      </c>
      <c r="D19" t="inlineStr">
        <is>
          <t>Trimestral</t>
        </is>
      </c>
      <c r="E19" t="inlineStr">
        <is>
          <t>Positivo</t>
        </is>
      </c>
      <c r="F19" t="inlineStr">
        <is>
          <t>ICC</t>
        </is>
      </c>
      <c r="G19" t="inlineStr">
        <is>
          <t>Índice de contribución de las capacitaciones</t>
        </is>
      </c>
      <c r="H19" t="inlineStr">
        <is>
          <t>Informativo</t>
        </is>
      </c>
    </row>
    <row r="20">
      <c r="A20" t="n">
        <v>199</v>
      </c>
      <c r="B20" t="inlineStr">
        <is>
          <t>Nivel de cumplimiento de eficacia las capacitaciones</t>
        </is>
      </c>
      <c r="C20" t="inlineStr">
        <is>
          <t>GESTIÓN Y DESARROLLO DEL TALENTO HUMANO</t>
        </is>
      </c>
      <c r="D20" t="inlineStr">
        <is>
          <t>Trimestral</t>
        </is>
      </c>
      <c r="E20" t="inlineStr">
        <is>
          <t>Positivo</t>
        </is>
      </c>
      <c r="F20" t="inlineStr">
        <is>
          <t>ESF</t>
        </is>
      </c>
      <c r="G20" t="inlineStr">
        <is>
          <t>Evaluación de la satisfacción del formador</t>
        </is>
      </c>
      <c r="H20" t="inlineStr">
        <is>
          <t>Informativo</t>
        </is>
      </c>
    </row>
    <row r="21">
      <c r="A21" t="n">
        <v>69</v>
      </c>
      <c r="B21" t="inlineStr">
        <is>
          <t>Oportunidad de Respuesta Solicitudes de Compra No Licitadas</t>
        </is>
      </c>
      <c r="C21" t="inlineStr">
        <is>
          <t>GESTIÓN DE ABASTECIMIENTO</t>
        </is>
      </c>
      <c r="D21" t="inlineStr">
        <is>
          <t>Semestral</t>
        </is>
      </c>
      <c r="E21" t="inlineStr">
        <is>
          <t>Positivo</t>
        </is>
      </c>
      <c r="F21" t="inlineStr">
        <is>
          <t>SC&amp;lt;=10</t>
        </is>
      </c>
      <c r="G21" t="inlineStr">
        <is>
          <t>Total de solicitudes de compra NO licitadas con tiempo de respuesta &amp;lt;= 10 dias</t>
        </is>
      </c>
      <c r="H21" t="inlineStr">
        <is>
          <t>Ejecución</t>
        </is>
      </c>
    </row>
    <row r="22">
      <c r="A22" t="n">
        <v>69</v>
      </c>
      <c r="B22" t="inlineStr">
        <is>
          <t>Oportunidad de Respuesta Solicitudes de Compra No Licitadas</t>
        </is>
      </c>
      <c r="C22" t="inlineStr">
        <is>
          <t>GESTIÓN DE ABASTECIMIENTO</t>
        </is>
      </c>
      <c r="D22" t="inlineStr">
        <is>
          <t>Semestral</t>
        </is>
      </c>
      <c r="E22" t="inlineStr">
        <is>
          <t>Positivo</t>
        </is>
      </c>
      <c r="F22" t="inlineStr">
        <is>
          <t>TS</t>
        </is>
      </c>
      <c r="G22" t="inlineStr">
        <is>
          <t>Total solicitudes de compra no licitadas</t>
        </is>
      </c>
      <c r="H22" t="inlineStr">
        <is>
          <t>Meta</t>
        </is>
      </c>
    </row>
    <row r="23">
      <c r="A23" t="n">
        <v>197</v>
      </c>
      <c r="B23" t="inlineStr">
        <is>
          <t>Cumplimiento cronograma Mantenimiento de Equipos</t>
        </is>
      </c>
      <c r="C23" t="inlineStr">
        <is>
          <t>Gestión Infraestructura Física</t>
        </is>
      </c>
      <c r="D23" t="inlineStr">
        <is>
          <t>Semestral</t>
        </is>
      </c>
      <c r="E23" t="inlineStr">
        <is>
          <t>Positivo</t>
        </is>
      </c>
      <c r="F23" t="inlineStr">
        <is>
          <t>MtE</t>
        </is>
      </c>
      <c r="G23" t="inlineStr">
        <is>
          <t>Mantenimientos ejecutados</t>
        </is>
      </c>
      <c r="H23" t="inlineStr">
        <is>
          <t>Ejecución</t>
        </is>
      </c>
    </row>
    <row r="24">
      <c r="A24" t="n">
        <v>197</v>
      </c>
      <c r="B24" t="inlineStr">
        <is>
          <t>Cumplimiento cronograma Mantenimiento de Equipos</t>
        </is>
      </c>
      <c r="C24" t="inlineStr">
        <is>
          <t>Gestión Infraestructura Física</t>
        </is>
      </c>
      <c r="D24" t="inlineStr">
        <is>
          <t>Semestral</t>
        </is>
      </c>
      <c r="E24" t="inlineStr">
        <is>
          <t>Positivo</t>
        </is>
      </c>
      <c r="F24" t="inlineStr">
        <is>
          <t>MtP</t>
        </is>
      </c>
      <c r="G24" t="inlineStr">
        <is>
          <t>Mantenimientos Planeados</t>
        </is>
      </c>
      <c r="H24" t="inlineStr">
        <is>
          <t>Meta</t>
        </is>
      </c>
    </row>
    <row r="25">
      <c r="A25" t="n">
        <v>68</v>
      </c>
      <c r="B25" t="inlineStr">
        <is>
          <t>Evaluación de desempeño a proveedores críticos</t>
        </is>
      </c>
      <c r="C25" t="inlineStr">
        <is>
          <t>GESTIÓN DE ABASTECIMIENTO</t>
        </is>
      </c>
      <c r="D25" t="inlineStr">
        <is>
          <t>Trimestral</t>
        </is>
      </c>
      <c r="E25" t="inlineStr">
        <is>
          <t>Positivo</t>
        </is>
      </c>
      <c r="F25" t="inlineStr">
        <is>
          <t>PEP</t>
        </is>
      </c>
      <c r="G25" t="inlineStr">
        <is>
          <t>Promedio Evaluación de Proveedor</t>
        </is>
      </c>
      <c r="H25" t="inlineStr">
        <is>
          <t>Ejecución</t>
        </is>
      </c>
    </row>
    <row r="26">
      <c r="A26" t="n">
        <v>73</v>
      </c>
      <c r="B26" t="inlineStr">
        <is>
          <t>Tiempo respuesta selección y contratación de colaboradores de planta</t>
        </is>
      </c>
      <c r="C26" t="inlineStr">
        <is>
          <t>GESTIÓN Y DESARROLLO DEL TALENTO HUMANO</t>
        </is>
      </c>
      <c r="D26" t="inlineStr">
        <is>
          <t>Trimestral</t>
        </is>
      </c>
      <c r="E26" t="inlineStr">
        <is>
          <t>Negativo</t>
        </is>
      </c>
      <c r="F26" t="inlineStr">
        <is>
          <t>TPCA</t>
        </is>
      </c>
      <c r="G26" t="inlineStr">
        <is>
          <t>Numero de días promedio entre Fecha de inicio del proceso de selección y Fecha de contratación final</t>
        </is>
      </c>
      <c r="H26" t="inlineStr">
        <is>
          <t>Ejecución</t>
        </is>
      </c>
    </row>
    <row r="27">
      <c r="A27" t="n">
        <v>74</v>
      </c>
      <c r="B27" t="inlineStr">
        <is>
          <t>Efectividad en las contrataciones</t>
        </is>
      </c>
      <c r="C27" t="inlineStr">
        <is>
          <t>GESTIÓN Y DESARROLLO DEL TALENTO HUMANO</t>
        </is>
      </c>
      <c r="D27" t="inlineStr">
        <is>
          <t>Trimestral</t>
        </is>
      </c>
      <c r="E27" t="inlineStr">
        <is>
          <t>Positivo</t>
        </is>
      </c>
      <c r="F27" t="inlineStr">
        <is>
          <t>NCP&amp;gt;6</t>
        </is>
      </c>
      <c r="G27" t="inlineStr">
        <is>
          <t>Número de contrataciones exitosas mayores a 6 meses</t>
        </is>
      </c>
      <c r="H27" t="inlineStr">
        <is>
          <t>Informativo</t>
        </is>
      </c>
    </row>
    <row r="28">
      <c r="A28" t="n">
        <v>74</v>
      </c>
      <c r="B28" t="inlineStr">
        <is>
          <t>Efectividad en las contrataciones</t>
        </is>
      </c>
      <c r="C28" t="inlineStr">
        <is>
          <t>GESTIÓN Y DESARROLLO DEL TALENTO HUMANO</t>
        </is>
      </c>
      <c r="D28" t="inlineStr">
        <is>
          <t>Trimestral</t>
        </is>
      </c>
      <c r="E28" t="inlineStr">
        <is>
          <t>Positivo</t>
        </is>
      </c>
      <c r="F28" t="inlineStr">
        <is>
          <t>NCC</t>
        </is>
      </c>
      <c r="G28" t="inlineStr">
        <is>
          <t>Numero total de cargos contratados</t>
        </is>
      </c>
      <c r="H28" t="inlineStr">
        <is>
          <t>Informativo</t>
        </is>
      </c>
    </row>
    <row r="29">
      <c r="A29" t="n">
        <v>86</v>
      </c>
      <c r="B29" t="inlineStr">
        <is>
          <t>Reporte e investigación</t>
        </is>
      </c>
      <c r="C29" t="inlineStr">
        <is>
          <t>GESTIÓN DE SEGURIDAD Y SALUD EN EL TRABAJO</t>
        </is>
      </c>
      <c r="D29" t="inlineStr">
        <is>
          <t>Trimestral</t>
        </is>
      </c>
      <c r="E29" t="inlineStr">
        <is>
          <t>Positivo</t>
        </is>
      </c>
      <c r="F29" t="inlineStr">
        <is>
          <t>IR</t>
        </is>
      </c>
      <c r="G29" t="inlineStr">
        <is>
          <t>N° investigaciones realizadas</t>
        </is>
      </c>
      <c r="H29" t="inlineStr">
        <is>
          <t>Ejecución</t>
        </is>
      </c>
    </row>
    <row r="30">
      <c r="A30" t="n">
        <v>86</v>
      </c>
      <c r="B30" t="inlineStr">
        <is>
          <t>Reporte e investigación</t>
        </is>
      </c>
      <c r="C30" t="inlineStr">
        <is>
          <t>GESTIÓN DE SEGURIDAD Y SALUD EN EL TRABAJO</t>
        </is>
      </c>
      <c r="D30" t="inlineStr">
        <is>
          <t>Trimestral</t>
        </is>
      </c>
      <c r="E30" t="inlineStr">
        <is>
          <t>Positivo</t>
        </is>
      </c>
      <c r="F30" t="inlineStr">
        <is>
          <t>NR</t>
        </is>
      </c>
      <c r="G30" t="inlineStr">
        <is>
          <t>N° reportes registrados</t>
        </is>
      </c>
      <c r="H30" t="inlineStr">
        <is>
          <t>Ejecución</t>
        </is>
      </c>
    </row>
    <row r="31">
      <c r="A31" t="n">
        <v>95</v>
      </c>
      <c r="B31" t="inlineStr">
        <is>
          <t>Inspecciones de seguridad</t>
        </is>
      </c>
      <c r="C31" t="inlineStr">
        <is>
          <t>GESTIÓN DE SEGURIDAD Y SALUD EN EL TRABAJO</t>
        </is>
      </c>
      <c r="D31" t="inlineStr">
        <is>
          <t>Trimestral</t>
        </is>
      </c>
      <c r="E31" t="inlineStr">
        <is>
          <t>Positivo</t>
        </is>
      </c>
      <c r="F31" t="inlineStr">
        <is>
          <t>TIR</t>
        </is>
      </c>
      <c r="G31" t="inlineStr">
        <is>
          <t>Total inspecciones realizadas</t>
        </is>
      </c>
      <c r="H31" t="inlineStr">
        <is>
          <t>Ejecución</t>
        </is>
      </c>
    </row>
    <row r="32">
      <c r="A32" t="n">
        <v>95</v>
      </c>
      <c r="B32" t="inlineStr">
        <is>
          <t>Inspecciones de seguridad</t>
        </is>
      </c>
      <c r="C32" t="inlineStr">
        <is>
          <t>GESTIÓN DE SEGURIDAD Y SALUD EN EL TRABAJO</t>
        </is>
      </c>
      <c r="D32" t="inlineStr">
        <is>
          <t>Trimestral</t>
        </is>
      </c>
      <c r="E32" t="inlineStr">
        <is>
          <t>Positivo</t>
        </is>
      </c>
      <c r="F32" t="inlineStr">
        <is>
          <t>TIP</t>
        </is>
      </c>
      <c r="G32" t="inlineStr">
        <is>
          <t>Total inspecciones planeadas</t>
        </is>
      </c>
      <c r="H32" t="inlineStr">
        <is>
          <t>Meta</t>
        </is>
      </c>
    </row>
    <row r="33">
      <c r="A33" t="n">
        <v>143</v>
      </c>
      <c r="B33" t="inlineStr">
        <is>
          <t>Proyectos de investigación e innovación- Metrica</t>
        </is>
      </c>
      <c r="C33" t="inlineStr">
        <is>
          <t>Investigación, desarrollo tecnológico, innovación y creación</t>
        </is>
      </c>
      <c r="D33" t="inlineStr">
        <is>
          <t>Trimestral</t>
        </is>
      </c>
      <c r="E33" t="inlineStr">
        <is>
          <t>Positivo</t>
        </is>
      </c>
      <c r="F33" t="inlineStr">
        <is>
          <t>PA</t>
        </is>
      </c>
      <c r="G33" t="inlineStr">
        <is>
          <t>Proyectos activos</t>
        </is>
      </c>
      <c r="H33" t="inlineStr">
        <is>
          <t>Ejecución</t>
        </is>
      </c>
    </row>
    <row r="34">
      <c r="A34" t="n">
        <v>145</v>
      </c>
      <c r="B34" t="inlineStr">
        <is>
          <t>Semilleros de Investigación, Innovación y Creación</t>
        </is>
      </c>
      <c r="C34" t="inlineStr">
        <is>
          <t>Formación para la investigación, creación e innovación</t>
        </is>
      </c>
      <c r="D34" t="inlineStr">
        <is>
          <t>Trimestral</t>
        </is>
      </c>
      <c r="E34" t="inlineStr">
        <is>
          <t>Positivo</t>
        </is>
      </c>
      <c r="F34" t="inlineStr">
        <is>
          <t>SI</t>
        </is>
      </c>
      <c r="G34" t="inlineStr">
        <is>
          <t>Semilleros de investigación</t>
        </is>
      </c>
      <c r="H34" t="inlineStr">
        <is>
          <t>Informativo</t>
        </is>
      </c>
    </row>
    <row r="35">
      <c r="A35" t="n">
        <v>145</v>
      </c>
      <c r="B35" t="inlineStr">
        <is>
          <t>Semilleros de Investigación, Innovación y Creación</t>
        </is>
      </c>
      <c r="C35" t="inlineStr">
        <is>
          <t>Formación para la investigación, creación e innovación</t>
        </is>
      </c>
      <c r="D35" t="inlineStr">
        <is>
          <t>Trimestral</t>
        </is>
      </c>
      <c r="E35" t="inlineStr">
        <is>
          <t>Positivo</t>
        </is>
      </c>
      <c r="F35" t="inlineStr">
        <is>
          <t>PAc</t>
        </is>
      </c>
      <c r="G35" t="inlineStr">
        <is>
          <t>Programas académicos de pregrado</t>
        </is>
      </c>
      <c r="H35" t="inlineStr">
        <is>
          <t>Informativo</t>
        </is>
      </c>
    </row>
    <row r="36">
      <c r="A36" t="n">
        <v>146</v>
      </c>
      <c r="B36" t="inlineStr">
        <is>
          <t>Docentes vinculados a investigación</t>
        </is>
      </c>
      <c r="C36" t="inlineStr">
        <is>
          <t>Investigación, desarrollo tecnológico, innovación y creación</t>
        </is>
      </c>
      <c r="D36" t="inlineStr">
        <is>
          <t>Trimestral</t>
        </is>
      </c>
      <c r="E36" t="inlineStr">
        <is>
          <t>Positivo</t>
        </is>
      </c>
      <c r="F36" t="inlineStr">
        <is>
          <t>TDVI</t>
        </is>
      </c>
      <c r="G36" t="inlineStr">
        <is>
          <t>Total de docentes vinculados a investigación</t>
        </is>
      </c>
      <c r="H36" t="inlineStr">
        <is>
          <t>Ejecución</t>
        </is>
      </c>
    </row>
    <row r="37">
      <c r="A37" t="n">
        <v>146</v>
      </c>
      <c r="B37" t="inlineStr">
        <is>
          <t>Docentes vinculados a investigación</t>
        </is>
      </c>
      <c r="C37" t="inlineStr">
        <is>
          <t>Investigación, desarrollo tecnológico, innovación y creación</t>
        </is>
      </c>
      <c r="D37" t="inlineStr">
        <is>
          <t>Trimestral</t>
        </is>
      </c>
      <c r="E37" t="inlineStr">
        <is>
          <t>Positivo</t>
        </is>
      </c>
      <c r="F37" t="inlineStr">
        <is>
          <t>TDVIE</t>
        </is>
      </c>
      <c r="G37" t="inlineStr">
        <is>
          <t>Total de docentes vinculados a investigación esperados</t>
        </is>
      </c>
      <c r="H37" t="inlineStr">
        <is>
          <t>Meta</t>
        </is>
      </c>
    </row>
    <row r="38">
      <c r="A38" t="n">
        <v>148</v>
      </c>
      <c r="B38" t="inlineStr">
        <is>
          <t>Estudiantes vinculados a investigación</t>
        </is>
      </c>
      <c r="C38" t="inlineStr">
        <is>
          <t>Formación para la investigación, creación e innovación</t>
        </is>
      </c>
      <c r="D38" t="inlineStr">
        <is>
          <t>Trimestral</t>
        </is>
      </c>
      <c r="E38" t="inlineStr">
        <is>
          <t>Positivo</t>
        </is>
      </c>
      <c r="F38" t="inlineStr">
        <is>
          <t>EVI</t>
        </is>
      </c>
      <c r="G38" t="inlineStr">
        <is>
          <t>Estudiantes vinculados a investigación</t>
        </is>
      </c>
      <c r="H38" t="inlineStr">
        <is>
          <t>Informativo</t>
        </is>
      </c>
    </row>
    <row r="39">
      <c r="A39" t="n">
        <v>148</v>
      </c>
      <c r="B39" t="inlineStr">
        <is>
          <t>Estudiantes vinculados a investigación</t>
        </is>
      </c>
      <c r="C39" t="inlineStr">
        <is>
          <t>Formación para la investigación, creación e innovación</t>
        </is>
      </c>
      <c r="D39" t="inlineStr">
        <is>
          <t>Trimestral</t>
        </is>
      </c>
      <c r="E39" t="inlineStr">
        <is>
          <t>Positivo</t>
        </is>
      </c>
      <c r="F39" t="inlineStr">
        <is>
          <t>TEM</t>
        </is>
      </c>
      <c r="G39" t="inlineStr">
        <is>
          <t>Total estudiantes matriculados</t>
        </is>
      </c>
      <c r="H39" t="inlineStr">
        <is>
          <t>Informativo</t>
        </is>
      </c>
    </row>
    <row r="40">
      <c r="A40" t="n">
        <v>159</v>
      </c>
      <c r="B40" t="inlineStr">
        <is>
          <t>Nivel de Satisfacción Servicios Prestados</t>
        </is>
      </c>
      <c r="C40" t="inlineStr">
        <is>
          <t>Editorial y Publicaciones</t>
        </is>
      </c>
      <c r="D40" t="inlineStr">
        <is>
          <t>Trimestral</t>
        </is>
      </c>
      <c r="E40" t="inlineStr">
        <is>
          <t>Positivo</t>
        </is>
      </c>
      <c r="F40" t="inlineStr">
        <is>
          <t>NSED</t>
        </is>
      </c>
      <c r="G40" t="inlineStr">
        <is>
          <t>Nivel de Satisfacción Servicios Prestados</t>
        </is>
      </c>
      <c r="H40" t="inlineStr">
        <is>
          <t>Ejecución</t>
        </is>
      </c>
    </row>
    <row r="41">
      <c r="A41" t="n">
        <v>144</v>
      </c>
      <c r="B41" t="inlineStr">
        <is>
          <t>Productos de investigación</t>
        </is>
      </c>
      <c r="C41" t="inlineStr">
        <is>
          <t>Investigación, desarrollo tecnológico, innovación y creación</t>
        </is>
      </c>
      <c r="D41" t="inlineStr">
        <is>
          <t>Anual</t>
        </is>
      </c>
      <c r="E41" t="inlineStr">
        <is>
          <t>Positivo</t>
        </is>
      </c>
      <c r="F41" t="inlineStr">
        <is>
          <t>NPIIC</t>
        </is>
      </c>
      <c r="G41" t="inlineStr">
        <is>
          <t>Número Productos de investigación, innovación y creación</t>
        </is>
      </c>
      <c r="H41" t="inlineStr">
        <is>
          <t>Informativo</t>
        </is>
      </c>
    </row>
    <row r="42">
      <c r="A42" t="n">
        <v>144</v>
      </c>
      <c r="B42" t="inlineStr">
        <is>
          <t>Productos de investigación</t>
        </is>
      </c>
      <c r="C42" t="inlineStr">
        <is>
          <t>Investigación, desarrollo tecnológico, innovación y creación</t>
        </is>
      </c>
      <c r="D42" t="inlineStr">
        <is>
          <t>Anual</t>
        </is>
      </c>
      <c r="E42" t="inlineStr">
        <is>
          <t>Positivo</t>
        </is>
      </c>
      <c r="F42" t="inlineStr">
        <is>
          <t>PF</t>
        </is>
      </c>
      <c r="G42" t="inlineStr">
        <is>
          <t>Proyectos asociados</t>
        </is>
      </c>
      <c r="H42" t="inlineStr">
        <is>
          <t>Informativo</t>
        </is>
      </c>
    </row>
    <row r="43">
      <c r="A43" t="n">
        <v>111</v>
      </c>
      <c r="B43" t="inlineStr">
        <is>
          <t>Nivel de Satisfacción Servicios Prestados</t>
        </is>
      </c>
      <c r="C43" t="inlineStr">
        <is>
          <t>GESTIÓN DE ABASTECIMIENTO</t>
        </is>
      </c>
      <c r="D43" t="inlineStr">
        <is>
          <t>Semestral</t>
        </is>
      </c>
      <c r="E43" t="inlineStr">
        <is>
          <t>Positivo</t>
        </is>
      </c>
      <c r="F43" t="inlineStr">
        <is>
          <t>NSGAB</t>
        </is>
      </c>
      <c r="G43" t="inlineStr">
        <is>
          <t>Nivel de satisfacción Gestión Abastecimiento</t>
        </is>
      </c>
      <c r="H43" t="inlineStr">
        <is>
          <t>Ejecución</t>
        </is>
      </c>
    </row>
    <row r="44">
      <c r="A44" t="n">
        <v>112</v>
      </c>
      <c r="B44" t="inlineStr">
        <is>
          <t>Nivel de Satisfacción Servicios Prestados</t>
        </is>
      </c>
      <c r="C44" t="inlineStr">
        <is>
          <t>Gestión Infraestructura Física</t>
        </is>
      </c>
      <c r="D44" t="inlineStr">
        <is>
          <t>Anual</t>
        </is>
      </c>
      <c r="E44" t="inlineStr">
        <is>
          <t>Positivo</t>
        </is>
      </c>
      <c r="F44" t="inlineStr">
        <is>
          <t>NSGI</t>
        </is>
      </c>
      <c r="G44" t="inlineStr">
        <is>
          <t>Nivel de satisfacción Gestión Infraestructura</t>
        </is>
      </c>
      <c r="H44" t="inlineStr">
        <is>
          <t>Ejecución</t>
        </is>
      </c>
    </row>
    <row r="45">
      <c r="A45" t="n">
        <v>113</v>
      </c>
      <c r="B45" t="inlineStr">
        <is>
          <t>Nivel de Satisfacción Servicios Prestados</t>
        </is>
      </c>
      <c r="C45" t="inlineStr">
        <is>
          <t>GESTIÓN Y DESARROLLO DEL TALENTO HUMANO</t>
        </is>
      </c>
      <c r="D45" t="inlineStr">
        <is>
          <t>Anual</t>
        </is>
      </c>
      <c r="E45" t="inlineStr">
        <is>
          <t>Positivo</t>
        </is>
      </c>
      <c r="F45" t="inlineStr">
        <is>
          <t>NSGHM</t>
        </is>
      </c>
      <c r="G45" t="inlineStr">
        <is>
          <t>Nivel de satisfacción Gestión Humana</t>
        </is>
      </c>
      <c r="H45" t="inlineStr">
        <is>
          <t>Ejecución</t>
        </is>
      </c>
    </row>
    <row r="46">
      <c r="A46" t="n">
        <v>114</v>
      </c>
      <c r="B46" t="inlineStr">
        <is>
          <t>Nivel de Satisfacción Servicios Prestados</t>
        </is>
      </c>
      <c r="C46" t="inlineStr">
        <is>
          <t>GESTIÓN DE LA TECNOLOGÍA E INNOVACIÓN DIGITAL</t>
        </is>
      </c>
      <c r="D46" t="inlineStr">
        <is>
          <t>Anual</t>
        </is>
      </c>
      <c r="E46" t="inlineStr">
        <is>
          <t>Positivo</t>
        </is>
      </c>
      <c r="F46" t="inlineStr">
        <is>
          <t>NSTI</t>
        </is>
      </c>
      <c r="G46" t="inlineStr">
        <is>
          <t>Nivel de Satisfacción Gestión de Recursos Tecnológicos</t>
        </is>
      </c>
      <c r="H46" t="inlineStr">
        <is>
          <t>Ejecución</t>
        </is>
      </c>
    </row>
    <row r="47">
      <c r="A47" t="n">
        <v>115</v>
      </c>
      <c r="B47" t="inlineStr">
        <is>
          <t>Nivel de Satisfacción Servicios Prestados</t>
        </is>
      </c>
      <c r="C47" t="inlineStr">
        <is>
          <t>GESTIÓN DE SEGURIDAD Y SALUD EN EL TRABAJO</t>
        </is>
      </c>
      <c r="D47" t="inlineStr">
        <is>
          <t>Anual</t>
        </is>
      </c>
      <c r="E47" t="inlineStr">
        <is>
          <t>Positivo</t>
        </is>
      </c>
      <c r="F47" t="inlineStr">
        <is>
          <t>NS SST</t>
        </is>
      </c>
      <c r="G47" t="inlineStr">
        <is>
          <t>Nivel de Satisfacción Gestión SST</t>
        </is>
      </c>
      <c r="H47" t="inlineStr">
        <is>
          <t>Ejecución</t>
        </is>
      </c>
    </row>
    <row r="48">
      <c r="A48" t="n">
        <v>117</v>
      </c>
      <c r="B48" t="inlineStr">
        <is>
          <t>Nivel de Satisfacción Servicios Prestados</t>
        </is>
      </c>
      <c r="C48" t="inlineStr">
        <is>
          <t>GESTIÓN AMBIENTAL</t>
        </is>
      </c>
      <c r="D48" t="inlineStr">
        <is>
          <t>Anual</t>
        </is>
      </c>
      <c r="E48" t="inlineStr">
        <is>
          <t>Positivo</t>
        </is>
      </c>
      <c r="F48" t="inlineStr">
        <is>
          <t>NSGA</t>
        </is>
      </c>
      <c r="G48" t="inlineStr">
        <is>
          <t>Nivel de Satisfacción Gestión Ambiental</t>
        </is>
      </c>
      <c r="H48" t="inlineStr">
        <is>
          <t>Ejecución</t>
        </is>
      </c>
    </row>
    <row r="49">
      <c r="A49" t="n">
        <v>118</v>
      </c>
      <c r="B49" t="inlineStr">
        <is>
          <t>Nivel de Satisfacción del sistema de gestión de calidad</t>
        </is>
      </c>
      <c r="C49" t="inlineStr">
        <is>
          <t>Gestión de calidad</t>
        </is>
      </c>
      <c r="D49" t="inlineStr">
        <is>
          <t>Anual</t>
        </is>
      </c>
      <c r="E49" t="inlineStr">
        <is>
          <t>Positivo</t>
        </is>
      </c>
      <c r="F49" t="inlineStr">
        <is>
          <t>NSGC</t>
        </is>
      </c>
      <c r="G49" t="inlineStr">
        <is>
          <t>Nivel de Satisfacción Gestión de Calidad</t>
        </is>
      </c>
      <c r="H49" t="inlineStr">
        <is>
          <t>Ejecución</t>
        </is>
      </c>
    </row>
    <row r="50">
      <c r="A50" t="n">
        <v>133</v>
      </c>
      <c r="B50" t="inlineStr">
        <is>
          <t>Nivel de Satisfacción Servicios Prestados</t>
        </is>
      </c>
      <c r="C50" t="inlineStr">
        <is>
          <t>VISIBILIDAD NACIONAL E INTERNACIONAL</t>
        </is>
      </c>
      <c r="D50" t="inlineStr">
        <is>
          <t>Anual</t>
        </is>
      </c>
      <c r="E50" t="inlineStr">
        <is>
          <t>Positivo</t>
        </is>
      </c>
      <c r="F50" t="inlineStr">
        <is>
          <t>NSI</t>
        </is>
      </c>
      <c r="G50" t="inlineStr">
        <is>
          <t>Nivel de Satisfacción Internacionalización</t>
        </is>
      </c>
      <c r="H50" t="inlineStr">
        <is>
          <t>Ejecución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Investigación, desarrollo tecnológico, innovación y creación</t>
        </is>
      </c>
      <c r="D51" t="inlineStr">
        <is>
          <t>Anual</t>
        </is>
      </c>
      <c r="E51" t="inlineStr">
        <is>
          <t>Positivo</t>
        </is>
      </c>
      <c r="F51" t="inlineStr">
        <is>
          <t>NSGINV</t>
        </is>
      </c>
      <c r="G51" t="inlineStr">
        <is>
          <t>Nivel de Satisfacción Servicios Prestados</t>
        </is>
      </c>
      <c r="H51" t="inlineStr">
        <is>
          <t>Ejecución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Biblioteca Institucional</t>
        </is>
      </c>
      <c r="D52" t="inlineStr">
        <is>
          <t>Anual</t>
        </is>
      </c>
      <c r="E52" t="inlineStr">
        <is>
          <t>Positivo</t>
        </is>
      </c>
      <c r="F52" t="inlineStr">
        <is>
          <t>NSBI</t>
        </is>
      </c>
      <c r="G52" t="inlineStr">
        <is>
          <t>Nivel de Satisfacción Servicios Prestados</t>
        </is>
      </c>
      <c r="H52" t="inlineStr">
        <is>
          <t>Ejecución</t>
        </is>
      </c>
    </row>
    <row r="53">
      <c r="A53" t="n">
        <v>84</v>
      </c>
      <c r="B53" t="inlineStr">
        <is>
          <t>Funcionamiento del COPASST</t>
        </is>
      </c>
      <c r="C53" t="inlineStr">
        <is>
          <t>GESTIÓN DE SEGURIDAD Y SALUD EN EL TRABAJO</t>
        </is>
      </c>
      <c r="D53" t="inlineStr">
        <is>
          <t>Anual</t>
        </is>
      </c>
      <c r="E53" t="inlineStr">
        <is>
          <t>Positivo</t>
        </is>
      </c>
      <c r="F53" t="inlineStr">
        <is>
          <t>NRR</t>
        </is>
      </c>
      <c r="G53" t="inlineStr">
        <is>
          <t>N° de reuniones realizadas</t>
        </is>
      </c>
      <c r="H53" t="inlineStr">
        <is>
          <t>Informativo</t>
        </is>
      </c>
    </row>
    <row r="54">
      <c r="A54" t="n">
        <v>84</v>
      </c>
      <c r="B54" t="inlineStr">
        <is>
          <t>Funcionamiento del COPASST</t>
        </is>
      </c>
      <c r="C54" t="inlineStr">
        <is>
          <t>GESTIÓN DE SEGURIDAD Y SALUD EN EL TRABAJO</t>
        </is>
      </c>
      <c r="D54" t="inlineStr">
        <is>
          <t>Anual</t>
        </is>
      </c>
      <c r="E54" t="inlineStr">
        <is>
          <t>Positivo</t>
        </is>
      </c>
      <c r="F54" t="inlineStr">
        <is>
          <t>TRP</t>
        </is>
      </c>
      <c r="G54" t="inlineStr">
        <is>
          <t>Total de reuniones programadas en la vigencia</t>
        </is>
      </c>
      <c r="H54" t="inlineStr">
        <is>
          <t>Informativo</t>
        </is>
      </c>
    </row>
    <row r="55">
      <c r="A55" t="n">
        <v>85</v>
      </c>
      <c r="B55" t="inlineStr">
        <is>
          <t>Plan de Emergencias</t>
        </is>
      </c>
      <c r="C55" t="inlineStr">
        <is>
          <t>GESTIÓN DE SEGURIDAD Y SALUD EN EL TRABAJO</t>
        </is>
      </c>
      <c r="D55" t="inlineStr">
        <is>
          <t>Anual</t>
        </is>
      </c>
      <c r="E55" t="inlineStr">
        <is>
          <t>Positivo</t>
        </is>
      </c>
      <c r="F55" t="inlineStr">
        <is>
          <t>SCPE</t>
        </is>
      </c>
      <c r="G55" t="inlineStr">
        <is>
          <t>N° de sedes con plan de emergencia</t>
        </is>
      </c>
      <c r="H55" t="inlineStr">
        <is>
          <t>Ejecución</t>
        </is>
      </c>
    </row>
    <row r="56">
      <c r="A56" t="n">
        <v>85</v>
      </c>
      <c r="B56" t="inlineStr">
        <is>
          <t>Plan de Emergencias</t>
        </is>
      </c>
      <c r="C56" t="inlineStr">
        <is>
          <t>GESTIÓN DE SEGURIDAD Y SALUD EN EL TRABAJO</t>
        </is>
      </c>
      <c r="D56" t="inlineStr">
        <is>
          <t>Anual</t>
        </is>
      </c>
      <c r="E56" t="inlineStr">
        <is>
          <t>Positivo</t>
        </is>
      </c>
      <c r="F56" t="inlineStr">
        <is>
          <t>NTS</t>
        </is>
      </c>
      <c r="G56" t="inlineStr">
        <is>
          <t>Total de sedes</t>
        </is>
      </c>
      <c r="H56" t="inlineStr">
        <is>
          <t>Meta</t>
        </is>
      </c>
    </row>
    <row r="57">
      <c r="A57" t="n">
        <v>87</v>
      </c>
      <c r="B57" t="inlineStr">
        <is>
          <t>Autoevaluación</t>
        </is>
      </c>
      <c r="C57" t="inlineStr">
        <is>
          <t>GESTIÓN DE SEGURIDAD Y SALUD EN EL TRABAJO</t>
        </is>
      </c>
      <c r="D57" t="inlineStr">
        <is>
          <t>Anual</t>
        </is>
      </c>
      <c r="E57" t="inlineStr">
        <is>
          <t>Positivo</t>
        </is>
      </c>
      <c r="F57" t="inlineStr">
        <is>
          <t>SIV</t>
        </is>
      </c>
      <c r="G57" t="inlineStr">
        <is>
          <t>Sumatoria de porcentajes de los ítems evaluados</t>
        </is>
      </c>
      <c r="H57" t="inlineStr">
        <is>
          <t>Ejecución</t>
        </is>
      </c>
    </row>
    <row r="58">
      <c r="A58" t="n">
        <v>88</v>
      </c>
      <c r="B58" t="inlineStr">
        <is>
          <t>Ejecución del plan de trabajo</t>
        </is>
      </c>
      <c r="C58" t="inlineStr">
        <is>
          <t>GESTIÓN DE SEGURIDAD Y SALUD EN EL TRABAJO</t>
        </is>
      </c>
      <c r="D58" t="inlineStr">
        <is>
          <t>Anual</t>
        </is>
      </c>
      <c r="E58" t="inlineStr">
        <is>
          <t>Positivo</t>
        </is>
      </c>
      <c r="F58" t="inlineStr">
        <is>
          <t>AD</t>
        </is>
      </c>
      <c r="G58" t="inlineStr">
        <is>
          <t>N° de actividades desarrolladas en el periodo</t>
        </is>
      </c>
      <c r="H58" t="inlineStr">
        <is>
          <t>Ejecución</t>
        </is>
      </c>
    </row>
    <row r="59">
      <c r="A59" t="n">
        <v>88</v>
      </c>
      <c r="B59" t="inlineStr">
        <is>
          <t>Ejecución del plan de trabajo</t>
        </is>
      </c>
      <c r="C59" t="inlineStr">
        <is>
          <t>GESTIÓN DE SEGURIDAD Y SALUD EN EL TRABAJO</t>
        </is>
      </c>
      <c r="D59" t="inlineStr">
        <is>
          <t>Anual</t>
        </is>
      </c>
      <c r="E59" t="inlineStr">
        <is>
          <t>Positivo</t>
        </is>
      </c>
      <c r="F59" t="inlineStr">
        <is>
          <t>APP</t>
        </is>
      </c>
      <c r="G59" t="inlineStr">
        <is>
          <t>N° actividades propuestas en el periodo</t>
        </is>
      </c>
      <c r="H59" t="inlineStr">
        <is>
          <t>Meta</t>
        </is>
      </c>
    </row>
    <row r="60">
      <c r="A60" t="n">
        <v>89</v>
      </c>
      <c r="B60" t="inlineStr">
        <is>
          <t>Ejecución plan de capacitación</t>
        </is>
      </c>
      <c r="C60" t="inlineStr">
        <is>
          <t>GESTIÓN DE SEGURIDAD Y SALUD EN EL TRABAJO</t>
        </is>
      </c>
      <c r="D60" t="inlineStr">
        <is>
          <t>Anual</t>
        </is>
      </c>
      <c r="E60" t="inlineStr">
        <is>
          <t>Positivo</t>
        </is>
      </c>
      <c r="F60" t="inlineStr">
        <is>
          <t>NC</t>
        </is>
      </c>
      <c r="G60" t="inlineStr">
        <is>
          <t>N° Capacitaciones</t>
        </is>
      </c>
      <c r="H60" t="inlineStr">
        <is>
          <t>Ejecución</t>
        </is>
      </c>
    </row>
    <row r="61">
      <c r="A61" t="n">
        <v>89</v>
      </c>
      <c r="B61" t="inlineStr">
        <is>
          <t>Ejecución plan de capacitación</t>
        </is>
      </c>
      <c r="C61" t="inlineStr">
        <is>
          <t>GESTIÓN DE SEGURIDAD Y SALUD EN EL TRABAJO</t>
        </is>
      </c>
      <c r="D61" t="inlineStr">
        <is>
          <t>Anual</t>
        </is>
      </c>
      <c r="E61" t="inlineStr">
        <is>
          <t>Positivo</t>
        </is>
      </c>
      <c r="F61" t="inlineStr">
        <is>
          <t>TCP</t>
        </is>
      </c>
      <c r="G61" t="inlineStr">
        <is>
          <t>Total de capacitaciones programados</t>
        </is>
      </c>
      <c r="H61" t="inlineStr">
        <is>
          <t>Meta</t>
        </is>
      </c>
    </row>
    <row r="62">
      <c r="A62" t="n">
        <v>90</v>
      </c>
      <c r="B62" t="inlineStr">
        <is>
          <t>Ejecución de Simulacros</t>
        </is>
      </c>
      <c r="C62" t="inlineStr">
        <is>
          <t>GESTIÓN DE SEGURIDAD Y SALUD EN EL TRABAJO</t>
        </is>
      </c>
      <c r="D62" t="inlineStr">
        <is>
          <t>Anual</t>
        </is>
      </c>
      <c r="E62" t="inlineStr">
        <is>
          <t>Positivo</t>
        </is>
      </c>
      <c r="F62" t="inlineStr">
        <is>
          <t>NSR</t>
        </is>
      </c>
      <c r="G62" t="inlineStr">
        <is>
          <t>N° de simulacros realizados</t>
        </is>
      </c>
      <c r="H62" t="inlineStr">
        <is>
          <t>Ejecución</t>
        </is>
      </c>
    </row>
    <row r="63">
      <c r="A63" t="n">
        <v>90</v>
      </c>
      <c r="B63" t="inlineStr">
        <is>
          <t>Ejecución de Simulacros</t>
        </is>
      </c>
      <c r="C63" t="inlineStr">
        <is>
          <t>GESTIÓN DE SEGURIDAD Y SALUD EN EL TRABAJO</t>
        </is>
      </c>
      <c r="D63" t="inlineStr">
        <is>
          <t>Anual</t>
        </is>
      </c>
      <c r="E63" t="inlineStr">
        <is>
          <t>Positivo</t>
        </is>
      </c>
      <c r="F63" t="inlineStr">
        <is>
          <t>NSP</t>
        </is>
      </c>
      <c r="G63" t="inlineStr">
        <is>
          <t>N° de simulacros programados</t>
        </is>
      </c>
      <c r="H63" t="inlineStr">
        <is>
          <t>Meta</t>
        </is>
      </c>
    </row>
    <row r="64">
      <c r="A64" t="n">
        <v>91</v>
      </c>
      <c r="B64" t="inlineStr">
        <is>
          <t>Participación en capacitaciones SST</t>
        </is>
      </c>
      <c r="C64" t="inlineStr">
        <is>
          <t>GESTIÓN DE SEGURIDAD Y SALUD EN EL TRABAJO</t>
        </is>
      </c>
      <c r="D64" t="inlineStr">
        <is>
          <t>Anual</t>
        </is>
      </c>
      <c r="E64" t="inlineStr">
        <is>
          <t>Positivo</t>
        </is>
      </c>
      <c r="F64" t="inlineStr">
        <is>
          <t>TC</t>
        </is>
      </c>
      <c r="G64" t="inlineStr">
        <is>
          <t>N° trabajadores capacitados</t>
        </is>
      </c>
      <c r="H64" t="inlineStr">
        <is>
          <t>Ejecución</t>
        </is>
      </c>
    </row>
    <row r="65">
      <c r="A65" t="n">
        <v>91</v>
      </c>
      <c r="B65" t="inlineStr">
        <is>
          <t>Participación en capacitaciones SST</t>
        </is>
      </c>
      <c r="C65" t="inlineStr">
        <is>
          <t>GESTIÓN DE SEGURIDAD Y SALUD EN EL TRABAJO</t>
        </is>
      </c>
      <c r="D65" t="inlineStr">
        <is>
          <t>Anual</t>
        </is>
      </c>
      <c r="E65" t="inlineStr">
        <is>
          <t>Positivo</t>
        </is>
      </c>
      <c r="F65" t="inlineStr">
        <is>
          <t>TP</t>
        </is>
      </c>
      <c r="G65" t="inlineStr">
        <is>
          <t>Total de trabajadores programados</t>
        </is>
      </c>
      <c r="H65" t="inlineStr">
        <is>
          <t>Meta</t>
        </is>
      </c>
    </row>
    <row r="66">
      <c r="A66" t="n">
        <v>92</v>
      </c>
      <c r="B66" t="inlineStr">
        <is>
          <t>Evaluación condiciones de salud (examen médico)</t>
        </is>
      </c>
      <c r="C66" t="inlineStr">
        <is>
          <t>GESTIÓN DE SEGURIDAD Y SALUD EN EL TRABAJO</t>
        </is>
      </c>
      <c r="D66" t="inlineStr">
        <is>
          <t>Anual</t>
        </is>
      </c>
      <c r="E66" t="inlineStr">
        <is>
          <t>Positivo</t>
        </is>
      </c>
      <c r="F66" t="inlineStr">
        <is>
          <t>ER</t>
        </is>
      </c>
      <c r="G66" t="inlineStr">
        <is>
          <t>N° evaluaciones realizadas en el periodo</t>
        </is>
      </c>
      <c r="H66" t="inlineStr">
        <is>
          <t>Informativo</t>
        </is>
      </c>
    </row>
    <row r="67">
      <c r="A67" t="n">
        <v>92</v>
      </c>
      <c r="B67" t="inlineStr">
        <is>
          <t>Evaluación condiciones de salud (examen médico)</t>
        </is>
      </c>
      <c r="C67" t="inlineStr">
        <is>
          <t>GESTIÓN DE SEGURIDAD Y SALUD EN EL TRABAJO</t>
        </is>
      </c>
      <c r="D67" t="inlineStr">
        <is>
          <t>Anual</t>
        </is>
      </c>
      <c r="E67" t="inlineStr">
        <is>
          <t>Positivo</t>
        </is>
      </c>
      <c r="F67" t="inlineStr">
        <is>
          <t>NT</t>
        </is>
      </c>
      <c r="G67" t="inlineStr">
        <is>
          <t>N° de trabajadores</t>
        </is>
      </c>
      <c r="H67" t="inlineStr">
        <is>
          <t>Informativo</t>
        </is>
      </c>
    </row>
    <row r="68">
      <c r="A68" t="n">
        <v>94</v>
      </c>
      <c r="B68" t="inlineStr">
        <is>
          <t>Cobertura Elementos de Protección Personal</t>
        </is>
      </c>
      <c r="C68" t="inlineStr">
        <is>
          <t>GESTIÓN DE SEGURIDAD Y SALUD EN EL TRABAJO</t>
        </is>
      </c>
      <c r="D68" t="inlineStr">
        <is>
          <t>Anual</t>
        </is>
      </c>
      <c r="E68" t="inlineStr">
        <is>
          <t>Positivo</t>
        </is>
      </c>
      <c r="F68" t="inlineStr">
        <is>
          <t>TEPPE</t>
        </is>
      </c>
      <c r="G68" t="inlineStr">
        <is>
          <t>Total EPP entregados</t>
        </is>
      </c>
      <c r="H68" t="inlineStr">
        <is>
          <t>Informativo</t>
        </is>
      </c>
    </row>
    <row r="69">
      <c r="A69" t="n">
        <v>94</v>
      </c>
      <c r="B69" t="inlineStr">
        <is>
          <t>Cobertura Elementos de Protección Personal</t>
        </is>
      </c>
      <c r="C69" t="inlineStr">
        <is>
          <t>GESTIÓN DE SEGURIDAD Y SALUD EN EL TRABAJO</t>
        </is>
      </c>
      <c r="D69" t="inlineStr">
        <is>
          <t>Anual</t>
        </is>
      </c>
      <c r="E69" t="inlineStr">
        <is>
          <t>Positivo</t>
        </is>
      </c>
      <c r="F69" t="inlineStr">
        <is>
          <t>TEPPR</t>
        </is>
      </c>
      <c r="G69" t="inlineStr">
        <is>
          <t>Total EPP requeridos</t>
        </is>
      </c>
      <c r="H69" t="inlineStr">
        <is>
          <t>Informativo</t>
        </is>
      </c>
    </row>
    <row r="70">
      <c r="A70" t="n">
        <v>100</v>
      </c>
      <c r="B70" t="inlineStr">
        <is>
          <t>Cumplimiento de requisitos legales SST</t>
        </is>
      </c>
      <c r="C70" t="inlineStr">
        <is>
          <t>GESTIÓN DE SEGURIDAD Y SALUD EN EL TRABAJO</t>
        </is>
      </c>
      <c r="D70" t="inlineStr">
        <is>
          <t>Anual</t>
        </is>
      </c>
      <c r="E70" t="inlineStr">
        <is>
          <t>Positivo</t>
        </is>
      </c>
      <c r="F70" t="inlineStr">
        <is>
          <t>CMRL</t>
        </is>
      </c>
      <c r="G70" t="inlineStr">
        <is>
          <t>% cumplimiento matriz de requisitos legales</t>
        </is>
      </c>
      <c r="H70" t="inlineStr">
        <is>
          <t>Ejecución</t>
        </is>
      </c>
    </row>
    <row r="71">
      <c r="A71" t="n">
        <v>104</v>
      </c>
      <c r="B71" t="inlineStr">
        <is>
          <t>Tasa de accidentalidad</t>
        </is>
      </c>
      <c r="C71" t="inlineStr">
        <is>
          <t>GESTIÓN DE SEGURIDAD Y SALUD EN EL TRABAJO</t>
        </is>
      </c>
      <c r="D71" t="inlineStr">
        <is>
          <t>Anual</t>
        </is>
      </c>
      <c r="E71" t="inlineStr">
        <is>
          <t>Negativo</t>
        </is>
      </c>
      <c r="F71" t="inlineStr">
        <is>
          <t>NAT</t>
        </is>
      </c>
      <c r="G71" t="inlineStr">
        <is>
          <t>Numero de accidentes de trabajo</t>
        </is>
      </c>
      <c r="H71" t="inlineStr">
        <is>
          <t>Informativo</t>
        </is>
      </c>
    </row>
    <row r="72">
      <c r="A72" t="n">
        <v>104</v>
      </c>
      <c r="B72" t="inlineStr">
        <is>
          <t>Tasa de accidentalidad</t>
        </is>
      </c>
      <c r="C72" t="inlineStr">
        <is>
          <t>GESTIÓN DE SEGURIDAD Y SALUD EN EL TRABAJO</t>
        </is>
      </c>
      <c r="D72" t="inlineStr">
        <is>
          <t>Anual</t>
        </is>
      </c>
      <c r="E72" t="inlineStr">
        <is>
          <t>Negativo</t>
        </is>
      </c>
      <c r="F72" t="inlineStr">
        <is>
          <t>PT</t>
        </is>
      </c>
      <c r="G72" t="inlineStr">
        <is>
          <t>Promedio de trabajadores</t>
        </is>
      </c>
      <c r="H72" t="inlineStr">
        <is>
          <t>Informativo</t>
        </is>
      </c>
    </row>
    <row r="73">
      <c r="A73" t="n">
        <v>106</v>
      </c>
      <c r="B73" t="inlineStr">
        <is>
          <t>Mortalidad de los accidentes laborales</t>
        </is>
      </c>
      <c r="C73" t="inlineStr">
        <is>
          <t>GESTIÓN DE SEGURIDAD Y SALUD EN EL TRABAJO</t>
        </is>
      </c>
      <c r="D73" t="inlineStr">
        <is>
          <t>Anual</t>
        </is>
      </c>
      <c r="E73" t="inlineStr">
        <is>
          <t>Negativo</t>
        </is>
      </c>
      <c r="F73" t="inlineStr">
        <is>
          <t>NAMP</t>
        </is>
      </c>
      <c r="G73" t="inlineStr">
        <is>
          <t>Número de accidentes de trabajo mortales que se presentaron en el año</t>
        </is>
      </c>
      <c r="H73" t="inlineStr">
        <is>
          <t>Informativo</t>
        </is>
      </c>
    </row>
    <row r="74">
      <c r="A74" t="n">
        <v>106</v>
      </c>
      <c r="B74" t="inlineStr">
        <is>
          <t>Mortalidad de los accidentes laborales</t>
        </is>
      </c>
      <c r="C74" t="inlineStr">
        <is>
          <t>GESTIÓN DE SEGURIDAD Y SALUD EN EL TRABAJO</t>
        </is>
      </c>
      <c r="D74" t="inlineStr">
        <is>
          <t>Anual</t>
        </is>
      </c>
      <c r="E74" t="inlineStr">
        <is>
          <t>Negativo</t>
        </is>
      </c>
      <c r="F74" t="inlineStr">
        <is>
          <t>TATP</t>
        </is>
      </c>
      <c r="G74" t="inlineStr">
        <is>
          <t>Total de accidentes de trabajo que se presentaron en el año</t>
        </is>
      </c>
      <c r="H74" t="inlineStr">
        <is>
          <t>Informativo</t>
        </is>
      </c>
    </row>
    <row r="75">
      <c r="A75" t="n">
        <v>126</v>
      </c>
      <c r="B75" t="inlineStr">
        <is>
          <t>Indice de Prevalencia EL Enfermedad laboral</t>
        </is>
      </c>
      <c r="C75" t="inlineStr">
        <is>
          <t>GESTIÓN DE SEGURIDAD Y SALUD EN EL TRABAJO</t>
        </is>
      </c>
      <c r="D75" t="inlineStr">
        <is>
          <t>Anual</t>
        </is>
      </c>
      <c r="E75" t="inlineStr">
        <is>
          <t>Negativo</t>
        </is>
      </c>
      <c r="F75" t="inlineStr">
        <is>
          <t>NCNAELP</t>
        </is>
      </c>
      <c r="G75" t="inlineStr">
        <is>
          <t>Número de casos nuevos y antiguos de enfermedad laboral en el periodo</t>
        </is>
      </c>
      <c r="H75" t="inlineStr">
        <is>
          <t>Informativo</t>
        </is>
      </c>
    </row>
    <row r="76">
      <c r="A76" t="n">
        <v>126</v>
      </c>
      <c r="B76" t="inlineStr">
        <is>
          <t>Indice de Prevalencia EL Enfermedad laboral</t>
        </is>
      </c>
      <c r="C76" t="inlineStr">
        <is>
          <t>GESTIÓN DE SEGURIDAD Y SALUD EN EL TRABAJO</t>
        </is>
      </c>
      <c r="D76" t="inlineStr">
        <is>
          <t>Anual</t>
        </is>
      </c>
      <c r="E76" t="inlineStr">
        <is>
          <t>Negativo</t>
        </is>
      </c>
      <c r="F76" t="inlineStr">
        <is>
          <t>PTP</t>
        </is>
      </c>
      <c r="G76" t="inlineStr">
        <is>
          <t>Promedio de trabajadores en el periodo</t>
        </is>
      </c>
      <c r="H76" t="inlineStr">
        <is>
          <t>Informativo</t>
        </is>
      </c>
    </row>
    <row r="77">
      <c r="A77" t="n">
        <v>127</v>
      </c>
      <c r="B77" t="inlineStr">
        <is>
          <t>Indice de Incidencia EL Enfermedad laboral</t>
        </is>
      </c>
      <c r="C77" t="inlineStr">
        <is>
          <t>GESTIÓN DE SEGURIDAD Y SALUD EN EL TRABAJO</t>
        </is>
      </c>
      <c r="D77" t="inlineStr">
        <is>
          <t>Anual</t>
        </is>
      </c>
      <c r="E77" t="inlineStr">
        <is>
          <t>Negativo</t>
        </is>
      </c>
      <c r="F77" t="inlineStr">
        <is>
          <t>NCNELP</t>
        </is>
      </c>
      <c r="G77" t="inlineStr">
        <is>
          <t>Numero de casos nuevos de enfermedad laboral en el periodo</t>
        </is>
      </c>
      <c r="H77" t="inlineStr">
        <is>
          <t>Informativo</t>
        </is>
      </c>
    </row>
    <row r="78">
      <c r="A78" t="n">
        <v>147</v>
      </c>
      <c r="B78" t="inlineStr">
        <is>
          <t>Grupos de investigación categorizados</t>
        </is>
      </c>
      <c r="C78" t="inlineStr">
        <is>
          <t>Investigación, desarrollo tecnológico, innovación y creación</t>
        </is>
      </c>
      <c r="D78" t="inlineStr">
        <is>
          <t>Anual</t>
        </is>
      </c>
      <c r="E78" t="inlineStr">
        <is>
          <t>Positivo</t>
        </is>
      </c>
      <c r="F78" t="inlineStr">
        <is>
          <t>NGRC</t>
        </is>
      </c>
      <c r="G78" t="inlineStr">
        <is>
          <t>Número de grupos reconocidos o categorizados</t>
        </is>
      </c>
      <c r="H78" t="inlineStr">
        <is>
          <t>Ejecución</t>
        </is>
      </c>
    </row>
    <row r="79">
      <c r="A79" t="n">
        <v>147</v>
      </c>
      <c r="B79" t="inlineStr">
        <is>
          <t>Grupos de investigación categorizados</t>
        </is>
      </c>
      <c r="C79" t="inlineStr">
        <is>
          <t>Investigación, desarrollo tecnológico, innovación y creación</t>
        </is>
      </c>
      <c r="D79" t="inlineStr">
        <is>
          <t>Anual</t>
        </is>
      </c>
      <c r="E79" t="inlineStr">
        <is>
          <t>Positivo</t>
        </is>
      </c>
      <c r="F79" t="inlineStr">
        <is>
          <t>TG</t>
        </is>
      </c>
      <c r="G79" t="inlineStr">
        <is>
          <t>Total de grupos</t>
        </is>
      </c>
      <c r="H79" t="inlineStr">
        <is>
          <t>Meta</t>
        </is>
      </c>
    </row>
    <row r="80">
      <c r="A80" t="n">
        <v>200</v>
      </c>
      <c r="B80" t="inlineStr">
        <is>
          <t>Nivel de efectividad de las capacitaciones</t>
        </is>
      </c>
      <c r="C80" t="inlineStr">
        <is>
          <t>GESTIÓN Y DESARROLLO DEL TALENTO HUMANO</t>
        </is>
      </c>
      <c r="D80" t="inlineStr">
        <is>
          <t>Anual</t>
        </is>
      </c>
      <c r="E80" t="inlineStr">
        <is>
          <t>Positivo</t>
        </is>
      </c>
      <c r="F80" t="inlineStr">
        <is>
          <t>PEC</t>
        </is>
      </c>
      <c r="G80" t="inlineStr">
        <is>
          <t>Promedio efectividad de las capacitaciones</t>
        </is>
      </c>
      <c r="H80" t="inlineStr">
        <is>
          <t>Ejecución</t>
        </is>
      </c>
    </row>
    <row r="81">
      <c r="A81" t="n">
        <v>244</v>
      </c>
      <c r="B81" t="inlineStr">
        <is>
          <t>GreenMetric - Nacional</t>
        </is>
      </c>
      <c r="C81" t="inlineStr">
        <is>
          <t>GESTIÓN AMBIENTAL</t>
        </is>
      </c>
      <c r="D81" t="inlineStr">
        <is>
          <t>Anual</t>
        </is>
      </c>
      <c r="E81" t="inlineStr">
        <is>
          <t>Negativo</t>
        </is>
      </c>
      <c r="F81" t="inlineStr">
        <is>
          <t>RNGM</t>
        </is>
      </c>
      <c r="G81" t="inlineStr">
        <is>
          <t>Ranking nacional de campus verdes y sostenibilidad ambiental   GreenMetric</t>
        </is>
      </c>
      <c r="H81" t="inlineStr">
        <is>
          <t>Ejecución</t>
        </is>
      </c>
    </row>
    <row r="82">
      <c r="A82" t="n">
        <v>272</v>
      </c>
      <c r="B82" t="inlineStr">
        <is>
          <t>Proporción de accidentes de trabajo mortales</t>
        </is>
      </c>
      <c r="C82" t="inlineStr">
        <is>
          <t>GESTIÓN DE SEGURIDAD Y SALUD EN EL TRABAJO</t>
        </is>
      </c>
      <c r="D82" t="inlineStr">
        <is>
          <t>Anual</t>
        </is>
      </c>
      <c r="E82" t="inlineStr">
        <is>
          <t>Negativo</t>
        </is>
      </c>
      <c r="F82" t="inlineStr">
        <is>
          <t>NATMPA</t>
        </is>
      </c>
      <c r="G82" t="inlineStr">
        <is>
          <t>N accidentes de trabajo mortales que se presentaron en el año</t>
        </is>
      </c>
      <c r="H82" t="inlineStr">
        <is>
          <t>Informativo</t>
        </is>
      </c>
    </row>
    <row r="83">
      <c r="A83" t="n">
        <v>272</v>
      </c>
      <c r="B83" t="inlineStr">
        <is>
          <t>Proporción de accidentes de trabajo mortales</t>
        </is>
      </c>
      <c r="C83" t="inlineStr">
        <is>
          <t>GESTIÓN DE SEGURIDAD Y SALUD EN EL TRABAJO</t>
        </is>
      </c>
      <c r="D83" t="inlineStr">
        <is>
          <t>Anual</t>
        </is>
      </c>
      <c r="E83" t="inlineStr">
        <is>
          <t>Negativo</t>
        </is>
      </c>
      <c r="F83" t="inlineStr">
        <is>
          <t>TATPA</t>
        </is>
      </c>
      <c r="G83" t="inlineStr">
        <is>
          <t>Total de accidentes de trabajo que se presentaron en el año</t>
        </is>
      </c>
      <c r="H83" t="inlineStr">
        <is>
          <t>Informativo</t>
        </is>
      </c>
    </row>
    <row r="84">
      <c r="A84" t="n">
        <v>334</v>
      </c>
      <c r="B84" t="inlineStr">
        <is>
          <t>Resultado de la evaluación 360 (evaluación por competencias)</t>
        </is>
      </c>
      <c r="C84" t="inlineStr">
        <is>
          <t>GESTIÓN Y DESARROLLO DEL TALENTO HUMANO</t>
        </is>
      </c>
      <c r="D84" t="inlineStr">
        <is>
          <t>Anual</t>
        </is>
      </c>
      <c r="E84" t="inlineStr">
        <is>
          <t>Positivo</t>
        </is>
      </c>
      <c r="F84" t="inlineStr">
        <is>
          <t>R360</t>
        </is>
      </c>
      <c r="G84" t="inlineStr">
        <is>
          <t>Resultado Evaluación 360</t>
        </is>
      </c>
      <c r="H84" t="inlineStr">
        <is>
          <t>Ejecución</t>
        </is>
      </c>
    </row>
    <row r="85">
      <c r="A85" t="n">
        <v>241</v>
      </c>
      <c r="B85" t="inlineStr">
        <is>
          <t>Cumplimiento de gestión de proyectos fase inicio</t>
        </is>
      </c>
      <c r="C85" t="inlineStr">
        <is>
          <t>Gestión de Proyectos</t>
        </is>
      </c>
      <c r="D85" t="inlineStr">
        <is>
          <t>Mensual</t>
        </is>
      </c>
      <c r="E85" t="inlineStr">
        <is>
          <t>Positivo</t>
        </is>
      </c>
      <c r="F85" t="inlineStr">
        <is>
          <t>NPFIC</t>
        </is>
      </c>
      <c r="G85" t="inlineStr">
        <is>
          <t>No Proyectos con fase de inicio completa</t>
        </is>
      </c>
      <c r="H85" t="inlineStr">
        <is>
          <t>Ejecución</t>
        </is>
      </c>
    </row>
    <row r="86">
      <c r="A86" t="n">
        <v>241</v>
      </c>
      <c r="B86" t="inlineStr">
        <is>
          <t>Cumplimiento de gestión de proyectos fase inicio</t>
        </is>
      </c>
      <c r="C86" t="inlineStr">
        <is>
          <t>Gestión de Proyectos</t>
        </is>
      </c>
      <c r="D86" t="inlineStr">
        <is>
          <t>Mensual</t>
        </is>
      </c>
      <c r="E86" t="inlineStr">
        <is>
          <t>Positivo</t>
        </is>
      </c>
      <c r="F86" t="inlineStr">
        <is>
          <t>NPEE</t>
        </is>
      </c>
      <c r="G86" t="inlineStr">
        <is>
          <t>No Proyectos en ejecución</t>
        </is>
      </c>
      <c r="H86" t="inlineStr">
        <is>
          <t>Meta</t>
        </is>
      </c>
    </row>
    <row r="87">
      <c r="A87" t="n">
        <v>233</v>
      </c>
      <c r="B87" t="inlineStr">
        <is>
          <t>Impacto de las Comunicaciones Correo Electrónico</t>
        </is>
      </c>
      <c r="C87" t="inlineStr">
        <is>
          <t>GESTIÓN AMBIENTAL</t>
        </is>
      </c>
      <c r="D87" t="inlineStr">
        <is>
          <t>Semestral</t>
        </is>
      </c>
      <c r="E87" t="inlineStr">
        <is>
          <t>Positivo</t>
        </is>
      </c>
      <c r="F87" t="inlineStr">
        <is>
          <t>CEMAA</t>
        </is>
      </c>
      <c r="G87" t="inlineStr">
        <is>
          <t>Correos Electrónicos de Materia Ambiental Abiertos</t>
        </is>
      </c>
      <c r="H87" t="inlineStr">
        <is>
          <t>Informativo</t>
        </is>
      </c>
    </row>
    <row r="88">
      <c r="A88" t="n">
        <v>233</v>
      </c>
      <c r="B88" t="inlineStr">
        <is>
          <t>Impacto de las Comunicaciones Correo Electrónico</t>
        </is>
      </c>
      <c r="C88" t="inlineStr">
        <is>
          <t>GESTIÓN AMBIENTAL</t>
        </is>
      </c>
      <c r="D88" t="inlineStr">
        <is>
          <t>Semestral</t>
        </is>
      </c>
      <c r="E88" t="inlineStr">
        <is>
          <t>Positivo</t>
        </is>
      </c>
      <c r="F88" t="inlineStr">
        <is>
          <t>TCEMAE</t>
        </is>
      </c>
      <c r="G88" t="inlineStr">
        <is>
          <t>Total de Correos Electrónicos de Materia Ambiental Enviados</t>
        </is>
      </c>
      <c r="H88" t="inlineStr">
        <is>
          <t>Informativo</t>
        </is>
      </c>
    </row>
    <row r="89">
      <c r="A89" t="n">
        <v>234</v>
      </c>
      <c r="B89" t="inlineStr">
        <is>
          <t>Impacto de las Comunicaciones en Materia Ambiental a Través de Redes Sociales - Instagram</t>
        </is>
      </c>
      <c r="C89" t="inlineStr">
        <is>
          <t>GESTIÓN AMBIENTAL</t>
        </is>
      </c>
      <c r="D89" t="inlineStr">
        <is>
          <t>Semestral</t>
        </is>
      </c>
      <c r="E89" t="inlineStr">
        <is>
          <t>Positivo</t>
        </is>
      </c>
      <c r="F89" t="inlineStr">
        <is>
          <t>VPMAING</t>
        </is>
      </c>
      <c r="G89" t="inlineStr">
        <is>
          <t>Visualizaciones de las Publicaciones en Materia Ambiental en Instagram (medido 15 días después de cada campaña)</t>
        </is>
      </c>
      <c r="H89" t="inlineStr">
        <is>
          <t>Informativo</t>
        </is>
      </c>
    </row>
    <row r="90">
      <c r="A90" t="n">
        <v>234</v>
      </c>
      <c r="B90" t="inlineStr">
        <is>
          <t>Impacto de las Comunicaciones en Materia Ambiental a Través de Redes Sociales - Instagram</t>
        </is>
      </c>
      <c r="C90" t="inlineStr">
        <is>
          <t>GESTIÓN AMBIENTAL</t>
        </is>
      </c>
      <c r="D90" t="inlineStr">
        <is>
          <t>Semestral</t>
        </is>
      </c>
      <c r="E90" t="inlineStr">
        <is>
          <t>Positivo</t>
        </is>
      </c>
      <c r="F90" t="inlineStr">
        <is>
          <t>PMAING</t>
        </is>
      </c>
      <c r="G90" t="inlineStr">
        <is>
          <t>Publicaciones en Materia Ambiental en Instagram</t>
        </is>
      </c>
      <c r="H90" t="inlineStr">
        <is>
          <t>Informativo</t>
        </is>
      </c>
    </row>
    <row r="91">
      <c r="A91" t="n">
        <v>240</v>
      </c>
      <c r="B91" t="inlineStr">
        <is>
          <t>Cumplimiento de Gestión De Proyectos Cerrados</t>
        </is>
      </c>
      <c r="C91" t="inlineStr">
        <is>
          <t>Gestión de Proyectos</t>
        </is>
      </c>
      <c r="D91" t="inlineStr">
        <is>
          <t>Semestral</t>
        </is>
      </c>
      <c r="E91" t="inlineStr">
        <is>
          <t>Positivo</t>
        </is>
      </c>
      <c r="F91" t="inlineStr">
        <is>
          <t>PFCE</t>
        </is>
      </c>
      <c r="G91" t="inlineStr">
        <is>
          <t>No Proyectos finalizados con evidencias</t>
        </is>
      </c>
      <c r="H91" t="inlineStr">
        <is>
          <t>Ejecución</t>
        </is>
      </c>
    </row>
    <row r="92">
      <c r="A92" t="n">
        <v>240</v>
      </c>
      <c r="B92" t="inlineStr">
        <is>
          <t>Cumplimiento de Gestión De Proyectos Cerrados</t>
        </is>
      </c>
      <c r="C92" t="inlineStr">
        <is>
          <t>Gestión de Proyectos</t>
        </is>
      </c>
      <c r="D92" t="inlineStr">
        <is>
          <t>Semestral</t>
        </is>
      </c>
      <c r="E92" t="inlineStr">
        <is>
          <t>Positivo</t>
        </is>
      </c>
      <c r="F92" t="inlineStr">
        <is>
          <t>NPF</t>
        </is>
      </c>
      <c r="G92" t="inlineStr">
        <is>
          <t>No Proyectos finalizados</t>
        </is>
      </c>
      <c r="H92" t="inlineStr">
        <is>
          <t>Meta</t>
        </is>
      </c>
    </row>
    <row r="93">
      <c r="A93" t="n">
        <v>254</v>
      </c>
      <c r="B93" t="inlineStr">
        <is>
          <t>Áreas con reportes de plan de retos</t>
        </is>
      </c>
      <c r="C93" t="inlineStr">
        <is>
          <t>Planeación Estratégica</t>
        </is>
      </c>
      <c r="D93" t="inlineStr">
        <is>
          <t>Semestral</t>
        </is>
      </c>
      <c r="E93" t="inlineStr">
        <is>
          <t>Positivo</t>
        </is>
      </c>
      <c r="F93" t="inlineStr">
        <is>
          <t>NARPRO</t>
        </is>
      </c>
      <c r="G93" t="inlineStr">
        <is>
          <t>Número de áreas con reporte de plan de retos realizado oportunamente</t>
        </is>
      </c>
      <c r="H93" t="inlineStr">
        <is>
          <t>Ejecución</t>
        </is>
      </c>
    </row>
    <row r="94">
      <c r="A94" t="n">
        <v>254</v>
      </c>
      <c r="B94" t="inlineStr">
        <is>
          <t>Áreas con reportes de plan de retos</t>
        </is>
      </c>
      <c r="C94" t="inlineStr">
        <is>
          <t>Planeación Estratégica</t>
        </is>
      </c>
      <c r="D94" t="inlineStr">
        <is>
          <t>Semestral</t>
        </is>
      </c>
      <c r="E94" t="inlineStr">
        <is>
          <t>Positivo</t>
        </is>
      </c>
      <c r="F94" t="inlineStr">
        <is>
          <t>NAPRD</t>
        </is>
      </c>
      <c r="G94" t="inlineStr">
        <is>
          <t>Número de áreas con Plan de retos definido</t>
        </is>
      </c>
      <c r="H94" t="inlineStr">
        <is>
          <t>Meta</t>
        </is>
      </c>
    </row>
    <row r="95">
      <c r="A95" t="n">
        <v>263</v>
      </c>
      <c r="B95" t="inlineStr">
        <is>
          <t>Oportunidad de respuesta de PQRS</t>
        </is>
      </c>
      <c r="C95" t="inlineStr">
        <is>
          <t>GESTIÓN JURÍDICA Y NORMATIVA</t>
        </is>
      </c>
      <c r="D95" t="inlineStr">
        <is>
          <t>Semestral</t>
        </is>
      </c>
      <c r="E95" t="inlineStr">
        <is>
          <t>Positivo</t>
        </is>
      </c>
      <c r="F95" t="inlineStr">
        <is>
          <t>PST</t>
        </is>
      </c>
      <c r="G95" t="inlineStr">
        <is>
          <t>PQRS solucionadas a tiempo</t>
        </is>
      </c>
      <c r="H95" t="inlineStr">
        <is>
          <t>Informativo</t>
        </is>
      </c>
    </row>
    <row r="96">
      <c r="A96" t="n">
        <v>263</v>
      </c>
      <c r="B96" t="inlineStr">
        <is>
          <t>Oportunidad de respuesta de PQRS</t>
        </is>
      </c>
      <c r="C96" t="inlineStr">
        <is>
          <t>GESTIÓN JURÍDICA Y NORMATIVA</t>
        </is>
      </c>
      <c r="D96" t="inlineStr">
        <is>
          <t>Semestral</t>
        </is>
      </c>
      <c r="E96" t="inlineStr">
        <is>
          <t>Positivo</t>
        </is>
      </c>
      <c r="F96" t="inlineStr">
        <is>
          <t>PR</t>
        </is>
      </c>
      <c r="G96" t="inlineStr">
        <is>
          <t>PQRS Radicadas</t>
        </is>
      </c>
      <c r="H96" t="inlineStr">
        <is>
          <t>Informativo</t>
        </is>
      </c>
    </row>
    <row r="97">
      <c r="A97" t="n">
        <v>265</v>
      </c>
      <c r="B97" t="inlineStr">
        <is>
          <t>Eficiencia Emisión De Conceptos Jurídicos (Jurídicos)</t>
        </is>
      </c>
      <c r="C97" t="inlineStr">
        <is>
          <t>GESTIÓN JURÍDICA Y NORMATIVA</t>
        </is>
      </c>
      <c r="D97" t="inlineStr">
        <is>
          <t>Semestral</t>
        </is>
      </c>
      <c r="E97" t="inlineStr">
        <is>
          <t>Positivo</t>
        </is>
      </c>
      <c r="F97" t="inlineStr">
        <is>
          <t>NPECJT</t>
        </is>
      </c>
      <c r="G97" t="inlineStr">
        <is>
          <t>N de productos de emisión de conceptos jurídicos a tiempo</t>
        </is>
      </c>
      <c r="H97" t="inlineStr">
        <is>
          <t>Informativo</t>
        </is>
      </c>
    </row>
    <row r="98">
      <c r="A98" t="n">
        <v>265</v>
      </c>
      <c r="B98" t="inlineStr">
        <is>
          <t>Eficiencia Emisión De Conceptos Jurídicos (Jurídicos)</t>
        </is>
      </c>
      <c r="C98" t="inlineStr">
        <is>
          <t>GESTIÓN JURÍDICA Y NORMATIVA</t>
        </is>
      </c>
      <c r="D98" t="inlineStr">
        <is>
          <t>Semestral</t>
        </is>
      </c>
      <c r="E98" t="inlineStr">
        <is>
          <t>Positivo</t>
        </is>
      </c>
      <c r="F98" t="inlineStr">
        <is>
          <t>NPECJR</t>
        </is>
      </c>
      <c r="G98" t="inlineStr">
        <is>
          <t>N de productos de emisión de conceptos jurídicos radicados</t>
        </is>
      </c>
      <c r="H98" t="inlineStr">
        <is>
          <t>Informativo</t>
        </is>
      </c>
    </row>
    <row r="99">
      <c r="A99" t="n">
        <v>266</v>
      </c>
      <c r="B99" t="inlineStr">
        <is>
          <t>Oportunidad en la elaboración de contratos</t>
        </is>
      </c>
      <c r="C99" t="inlineStr">
        <is>
          <t>GESTIÓN JURÍDICA Y NORMATIVA</t>
        </is>
      </c>
      <c r="D99" t="inlineStr">
        <is>
          <t>Semestral</t>
        </is>
      </c>
      <c r="E99" t="inlineStr">
        <is>
          <t>Positivo</t>
        </is>
      </c>
      <c r="F99" t="inlineStr">
        <is>
          <t>NCETD</t>
        </is>
      </c>
      <c r="G99" t="inlineStr">
        <is>
          <t>N de contratos elaborados en los tiempos definidos</t>
        </is>
      </c>
      <c r="H99" t="inlineStr">
        <is>
          <t>Informativo</t>
        </is>
      </c>
    </row>
    <row r="100">
      <c r="A100" t="n">
        <v>266</v>
      </c>
      <c r="B100" t="inlineStr">
        <is>
          <t>Oportunidad en la elaboración de contratos</t>
        </is>
      </c>
      <c r="C100" t="inlineStr">
        <is>
          <t>GESTIÓN JURÍDICA Y NORMATIVA</t>
        </is>
      </c>
      <c r="D100" t="inlineStr">
        <is>
          <t>Semestral</t>
        </is>
      </c>
      <c r="E100" t="inlineStr">
        <is>
          <t>Positivo</t>
        </is>
      </c>
      <c r="F100" t="inlineStr">
        <is>
          <t>NSECR</t>
        </is>
      </c>
      <c r="G100" t="inlineStr">
        <is>
          <t>N de solicitudes de elaboración de contratos radicados</t>
        </is>
      </c>
      <c r="H100" t="inlineStr">
        <is>
          <t>Informativo</t>
        </is>
      </c>
    </row>
    <row r="101">
      <c r="A101" t="n">
        <v>300</v>
      </c>
      <c r="B101" t="inlineStr">
        <is>
          <t>Cumplimiento de Inspecciones de control</t>
        </is>
      </c>
      <c r="C101" t="inlineStr">
        <is>
          <t>Administración de Servicios Generales</t>
        </is>
      </c>
      <c r="D101" t="inlineStr">
        <is>
          <t>Semestral</t>
        </is>
      </c>
      <c r="E101" t="inlineStr">
        <is>
          <t>Positivo</t>
        </is>
      </c>
      <c r="F101" t="inlineStr">
        <is>
          <t>NIE</t>
        </is>
      </c>
      <c r="G101" t="inlineStr">
        <is>
          <t># Inspecciones ejecutadas</t>
        </is>
      </c>
      <c r="H101" t="inlineStr">
        <is>
          <t>Ejecución</t>
        </is>
      </c>
    </row>
    <row r="102">
      <c r="A102" t="n">
        <v>300</v>
      </c>
      <c r="B102" t="inlineStr">
        <is>
          <t>Cumplimiento de Inspecciones de control</t>
        </is>
      </c>
      <c r="C102" t="inlineStr">
        <is>
          <t>Administración de Servicios Generales</t>
        </is>
      </c>
      <c r="D102" t="inlineStr">
        <is>
          <t>Semestral</t>
        </is>
      </c>
      <c r="E102" t="inlineStr">
        <is>
          <t>Positivo</t>
        </is>
      </c>
      <c r="F102" t="inlineStr">
        <is>
          <t>NIP</t>
        </is>
      </c>
      <c r="G102" t="inlineStr">
        <is>
          <t># Inspecciones planeadas</t>
        </is>
      </c>
      <c r="H102" t="inlineStr">
        <is>
          <t>Meta</t>
        </is>
      </c>
    </row>
    <row r="103">
      <c r="A103" t="n">
        <v>301</v>
      </c>
      <c r="B103" t="inlineStr">
        <is>
          <t>Cumplimiento plan de trabajo</t>
        </is>
      </c>
      <c r="C103" t="inlineStr">
        <is>
          <t>Administración de Servicios Generales</t>
        </is>
      </c>
      <c r="D103" t="inlineStr">
        <is>
          <t>Semestral</t>
        </is>
      </c>
      <c r="E103" t="inlineStr">
        <is>
          <t>Positivo</t>
        </is>
      </c>
      <c r="F103" t="inlineStr">
        <is>
          <t>AEPTSG</t>
        </is>
      </c>
      <c r="G103" t="inlineStr">
        <is>
          <t>Actividades ejecutadas plan de trabajo SG</t>
        </is>
      </c>
      <c r="H103" t="inlineStr">
        <is>
          <t>Ejecución</t>
        </is>
      </c>
    </row>
    <row r="104">
      <c r="A104" t="n">
        <v>301</v>
      </c>
      <c r="B104" t="inlineStr">
        <is>
          <t>Cumplimiento plan de trabajo</t>
        </is>
      </c>
      <c r="C104" t="inlineStr">
        <is>
          <t>Administración de Servicios Generales</t>
        </is>
      </c>
      <c r="D104" t="inlineStr">
        <is>
          <t>Semestral</t>
        </is>
      </c>
      <c r="E104" t="inlineStr">
        <is>
          <t>Positivo</t>
        </is>
      </c>
      <c r="F104" t="inlineStr">
        <is>
          <t>APPTSG</t>
        </is>
      </c>
      <c r="G104" t="inlineStr">
        <is>
          <t>Actividades planeadas plan de trabajo SG</t>
        </is>
      </c>
      <c r="H104" t="inlineStr">
        <is>
          <t>Meta</t>
        </is>
      </c>
    </row>
    <row r="105">
      <c r="A105" t="n">
        <v>347</v>
      </c>
      <c r="B105" t="inlineStr">
        <is>
          <t>Legalizaciones y anticipos</t>
        </is>
      </c>
      <c r="C105" t="inlineStr">
        <is>
          <t>Contabilidad</t>
        </is>
      </c>
      <c r="D105" t="inlineStr">
        <is>
          <t>Semestral</t>
        </is>
      </c>
      <c r="E105" t="inlineStr">
        <is>
          <t>Negativo</t>
        </is>
      </c>
      <c r="F105" t="inlineStr">
        <is>
          <t>LANM45</t>
        </is>
      </c>
      <c r="G105" t="inlineStr">
        <is>
          <t>Legalizaciones y anticipos no mayores a 45 días</t>
        </is>
      </c>
      <c r="H105" t="inlineStr">
        <is>
          <t>Informativo</t>
        </is>
      </c>
    </row>
    <row r="106">
      <c r="A106" t="n">
        <v>348</v>
      </c>
      <c r="B106" t="inlineStr">
        <is>
          <t>Cuentas por pagar</t>
        </is>
      </c>
      <c r="C106" t="inlineStr">
        <is>
          <t>Contabilidad</t>
        </is>
      </c>
      <c r="D106" t="inlineStr">
        <is>
          <t>Semestral</t>
        </is>
      </c>
      <c r="E106" t="inlineStr">
        <is>
          <t>Positivo</t>
        </is>
      </c>
      <c r="F106" t="inlineStr">
        <is>
          <t>FPEC</t>
        </is>
      </c>
      <c r="G106" t="inlineStr">
        <is>
          <t>Facturación de proveedores expedientes cargados</t>
        </is>
      </c>
      <c r="H106" t="inlineStr">
        <is>
          <t>Informativo</t>
        </is>
      </c>
    </row>
    <row r="107">
      <c r="A107" t="n">
        <v>348</v>
      </c>
      <c r="B107" t="inlineStr">
        <is>
          <t>Cuentas por pagar</t>
        </is>
      </c>
      <c r="C107" t="inlineStr">
        <is>
          <t>Contabilidad</t>
        </is>
      </c>
      <c r="D107" t="inlineStr">
        <is>
          <t>Semestral</t>
        </is>
      </c>
      <c r="E107" t="inlineStr">
        <is>
          <t>Positivo</t>
        </is>
      </c>
      <c r="F107" t="inlineStr">
        <is>
          <t>FPECO</t>
        </is>
      </c>
      <c r="G107" t="inlineStr">
        <is>
          <t>Facturación de proveedores expedientes contabilizados</t>
        </is>
      </c>
      <c r="H107" t="inlineStr">
        <is>
          <t>Informativo</t>
        </is>
      </c>
    </row>
    <row r="108">
      <c r="A108" t="n">
        <v>351</v>
      </c>
      <c r="B108" t="inlineStr">
        <is>
          <t>Partidas conciliatorias de bancos</t>
        </is>
      </c>
      <c r="C108" t="inlineStr">
        <is>
          <t>Contabilidad</t>
        </is>
      </c>
      <c r="D108" t="inlineStr">
        <is>
          <t>Semestral</t>
        </is>
      </c>
      <c r="E108" t="inlineStr">
        <is>
          <t>Negativo</t>
        </is>
      </c>
      <c r="F108" t="inlineStr">
        <is>
          <t>PCNM180</t>
        </is>
      </c>
      <c r="G108" t="inlineStr">
        <is>
          <t>Partidas conciliatorias mayores a 180 días dependiendo de la tipología</t>
        </is>
      </c>
      <c r="H108" t="inlineStr">
        <is>
          <t>Informativo</t>
        </is>
      </c>
    </row>
    <row r="109">
      <c r="A109" t="n">
        <v>351</v>
      </c>
      <c r="B109" t="inlineStr">
        <is>
          <t>Partidas conciliatorias de bancos</t>
        </is>
      </c>
      <c r="C109" t="inlineStr">
        <is>
          <t>Contabilidad</t>
        </is>
      </c>
      <c r="D109" t="inlineStr">
        <is>
          <t>Semestral</t>
        </is>
      </c>
      <c r="E109" t="inlineStr">
        <is>
          <t>Negativo</t>
        </is>
      </c>
      <c r="F109" t="inlineStr">
        <is>
          <t>TPC</t>
        </is>
      </c>
      <c r="G109" t="inlineStr">
        <is>
          <t>Total Partidas conciliatorias</t>
        </is>
      </c>
      <c r="H109" t="inlineStr">
        <is>
          <t>Informativo</t>
        </is>
      </c>
    </row>
    <row r="110">
      <c r="A110" t="n">
        <v>352</v>
      </c>
      <c r="B110" t="inlineStr">
        <is>
          <t>Nivel de facturas generadas con error</t>
        </is>
      </c>
      <c r="C110" t="inlineStr">
        <is>
          <t>Contabilidad</t>
        </is>
      </c>
      <c r="D110" t="inlineStr">
        <is>
          <t>Semestral</t>
        </is>
      </c>
      <c r="E110" t="inlineStr">
        <is>
          <t>Negativo</t>
        </is>
      </c>
      <c r="F110" t="inlineStr">
        <is>
          <t>NFCE</t>
        </is>
      </c>
      <c r="G110" t="inlineStr">
        <is>
          <t>N Facturas con error</t>
        </is>
      </c>
      <c r="H110" t="inlineStr">
        <is>
          <t>Informativo</t>
        </is>
      </c>
    </row>
    <row r="111">
      <c r="A111" t="n">
        <v>352</v>
      </c>
      <c r="B111" t="inlineStr">
        <is>
          <t>Nivel de facturas generadas con error</t>
        </is>
      </c>
      <c r="C111" t="inlineStr">
        <is>
          <t>Contabilidad</t>
        </is>
      </c>
      <c r="D111" t="inlineStr">
        <is>
          <t>Semestral</t>
        </is>
      </c>
      <c r="E111" t="inlineStr">
        <is>
          <t>Negativo</t>
        </is>
      </c>
      <c r="F111" t="inlineStr">
        <is>
          <t>NFE</t>
        </is>
      </c>
      <c r="G111" t="inlineStr">
        <is>
          <t>N Facturas emitidas</t>
        </is>
      </c>
      <c r="H111" t="inlineStr">
        <is>
          <t>Informativo</t>
        </is>
      </c>
    </row>
    <row r="112">
      <c r="A112" t="n">
        <v>394</v>
      </c>
      <c r="B112" t="inlineStr">
        <is>
          <t>Publicaciones en medios de comunicación Tier 1 y Tier 2</t>
        </is>
      </c>
      <c r="C112" t="inlineStr">
        <is>
          <t>Comunicaciones Externas</t>
        </is>
      </c>
      <c r="D112" t="inlineStr">
        <is>
          <t>Semestral</t>
        </is>
      </c>
      <c r="E112" t="inlineStr">
        <is>
          <t>Positivo</t>
        </is>
      </c>
      <c r="F112" t="inlineStr">
        <is>
          <t>NPMCTR</t>
        </is>
      </c>
      <c r="G112" t="inlineStr">
        <is>
          <t>Número de publicaciones en medios de comunicación Tier 1 y Tier 2 realizadas</t>
        </is>
      </c>
      <c r="H112" t="inlineStr">
        <is>
          <t>Ejecución</t>
        </is>
      </c>
    </row>
    <row r="113">
      <c r="A113" t="n">
        <v>394</v>
      </c>
      <c r="B113" t="inlineStr">
        <is>
          <t>Publicaciones en medios de comunicación Tier 1 y Tier 2</t>
        </is>
      </c>
      <c r="C113" t="inlineStr">
        <is>
          <t>Comunicaciones Externas</t>
        </is>
      </c>
      <c r="D113" t="inlineStr">
        <is>
          <t>Semestral</t>
        </is>
      </c>
      <c r="E113" t="inlineStr">
        <is>
          <t>Positivo</t>
        </is>
      </c>
      <c r="F113" t="inlineStr">
        <is>
          <t>NPMCTP</t>
        </is>
      </c>
      <c r="G113" t="inlineStr">
        <is>
          <t>Número de publicaciones en medios de comunicación Tier 1 y Tier 2 propuestas</t>
        </is>
      </c>
      <c r="H113" t="inlineStr">
        <is>
          <t>Meta</t>
        </is>
      </c>
    </row>
    <row r="114">
      <c r="A114" t="n">
        <v>395</v>
      </c>
      <c r="B114" t="inlineStr">
        <is>
          <t>Publicaciones en medios de comunicación de la región Antioquia</t>
        </is>
      </c>
      <c r="C114" t="inlineStr">
        <is>
          <t>Comunicaciones Externas</t>
        </is>
      </c>
      <c r="D114" t="inlineStr">
        <is>
          <t>Semestral</t>
        </is>
      </c>
      <c r="E114" t="inlineStr">
        <is>
          <t>Positivo</t>
        </is>
      </c>
      <c r="F114" t="inlineStr">
        <is>
          <t>NPMCMTR</t>
        </is>
      </c>
      <c r="G114" t="inlineStr">
        <is>
          <t>Número de publicaciones en medios de comunicación Tier 1 y Tier 2 de la región Antioquia realizadas</t>
        </is>
      </c>
      <c r="H114" t="inlineStr">
        <is>
          <t>Ejecución</t>
        </is>
      </c>
    </row>
    <row r="115">
      <c r="A115" t="n">
        <v>395</v>
      </c>
      <c r="B115" t="inlineStr">
        <is>
          <t>Publicaciones en medios de comunicación de la región Antioquia</t>
        </is>
      </c>
      <c r="C115" t="inlineStr">
        <is>
          <t>Comunicaciones Externas</t>
        </is>
      </c>
      <c r="D115" t="inlineStr">
        <is>
          <t>Semestral</t>
        </is>
      </c>
      <c r="E115" t="inlineStr">
        <is>
          <t>Positivo</t>
        </is>
      </c>
      <c r="F115" t="inlineStr">
        <is>
          <t>NPMCTAP</t>
        </is>
      </c>
      <c r="G115" t="inlineStr">
        <is>
          <t>Número de publicaciones en medios de comunicación Tier 1 y Tier 2 de la región Antioquia propuestas</t>
        </is>
      </c>
      <c r="H115" t="inlineStr">
        <is>
          <t>Meta</t>
        </is>
      </c>
    </row>
    <row r="116">
      <c r="A116" t="n">
        <v>116</v>
      </c>
      <c r="B116" t="inlineStr">
        <is>
          <t>Nivel de Satisfacción Servicios Prestados</t>
        </is>
      </c>
      <c r="C116" t="inlineStr">
        <is>
          <t>AUDITORÍA INTERNA</t>
        </is>
      </c>
      <c r="D116" t="inlineStr">
        <is>
          <t>Anual</t>
        </is>
      </c>
      <c r="E116" t="inlineStr">
        <is>
          <t>Positivo</t>
        </is>
      </c>
      <c r="F116" t="inlineStr">
        <is>
          <t>NSAI</t>
        </is>
      </c>
      <c r="G116" t="inlineStr">
        <is>
          <t>Nivel de Satisfacción Gestión de Auditoría Interna</t>
        </is>
      </c>
      <c r="H116" t="inlineStr">
        <is>
          <t>Ejecución</t>
        </is>
      </c>
    </row>
    <row r="117">
      <c r="A117" t="n">
        <v>193</v>
      </c>
      <c r="B117" t="inlineStr">
        <is>
          <t>Porcentaje de Cumplimiento del Acuerdo de Nivel de Servicio (ANS)</t>
        </is>
      </c>
      <c r="C117" t="inlineStr">
        <is>
          <t>Servicio</t>
        </is>
      </c>
      <c r="D117" t="inlineStr">
        <is>
          <t>Trimestral</t>
        </is>
      </c>
      <c r="E117" t="inlineStr">
        <is>
          <t>Positivo</t>
        </is>
      </c>
      <c r="F117" t="inlineStr">
        <is>
          <t>TCRDANS</t>
        </is>
      </c>
      <c r="G117" t="inlineStr">
        <is>
          <t>Total de casos resueltos dentro del ANS</t>
        </is>
      </c>
      <c r="H117" t="inlineStr">
        <is>
          <t>Informativo</t>
        </is>
      </c>
    </row>
    <row r="118">
      <c r="A118" t="n">
        <v>193</v>
      </c>
      <c r="B118" t="inlineStr">
        <is>
          <t>Porcentaje de Cumplimiento del Acuerdo de Nivel de Servicio (ANS)</t>
        </is>
      </c>
      <c r="C118" t="inlineStr">
        <is>
          <t>Servicio</t>
        </is>
      </c>
      <c r="D118" t="inlineStr">
        <is>
          <t>Trimestral</t>
        </is>
      </c>
      <c r="E118" t="inlineStr">
        <is>
          <t>Positivo</t>
        </is>
      </c>
      <c r="F118" t="inlineStr">
        <is>
          <t>TCC</t>
        </is>
      </c>
      <c r="G118" t="inlineStr">
        <is>
          <t>Total de casos creados</t>
        </is>
      </c>
      <c r="H118" t="inlineStr">
        <is>
          <t>Informativo</t>
        </is>
      </c>
    </row>
    <row r="119">
      <c r="A119" t="n">
        <v>204</v>
      </c>
      <c r="B119" t="inlineStr">
        <is>
          <t>Caja</t>
        </is>
      </c>
      <c r="C119" t="inlineStr">
        <is>
          <t>Planeación Financiera</t>
        </is>
      </c>
      <c r="D119" t="inlineStr">
        <is>
          <t>Trimestral</t>
        </is>
      </c>
      <c r="E119" t="inlineStr">
        <is>
          <t>Positivo</t>
        </is>
      </c>
      <c r="F119" t="inlineStr">
        <is>
          <t>TCEP</t>
        </is>
      </c>
      <c r="G119" t="inlineStr">
        <is>
          <t>Total Caja ejecutado</t>
        </is>
      </c>
      <c r="H119" t="inlineStr">
        <is>
          <t>Ejecución</t>
        </is>
      </c>
    </row>
    <row r="120">
      <c r="A120" t="n">
        <v>204</v>
      </c>
      <c r="B120" t="inlineStr">
        <is>
          <t>Caja</t>
        </is>
      </c>
      <c r="C120" t="inlineStr">
        <is>
          <t>Planeación Financiera</t>
        </is>
      </c>
      <c r="D120" t="inlineStr">
        <is>
          <t>Trimestral</t>
        </is>
      </c>
      <c r="E120" t="inlineStr">
        <is>
          <t>Positivo</t>
        </is>
      </c>
      <c r="F120" t="inlineStr">
        <is>
          <t>TCPS</t>
        </is>
      </c>
      <c r="G120" t="inlineStr">
        <is>
          <t>Total Caja Presupuestado</t>
        </is>
      </c>
      <c r="H120" t="inlineStr">
        <is>
          <t>Meta</t>
        </is>
      </c>
    </row>
    <row r="121">
      <c r="A121" t="n">
        <v>205</v>
      </c>
      <c r="B121" t="inlineStr">
        <is>
          <t>Utilidad Neta</t>
        </is>
      </c>
      <c r="C121" t="inlineStr">
        <is>
          <t>Planeación Financiera</t>
        </is>
      </c>
      <c r="D121" t="inlineStr">
        <is>
          <t>Trimestral</t>
        </is>
      </c>
      <c r="E121" t="inlineStr">
        <is>
          <t>Positivo</t>
        </is>
      </c>
      <c r="F121" t="inlineStr">
        <is>
          <t>UNE</t>
        </is>
      </c>
      <c r="G121" t="inlineStr">
        <is>
          <t>Utilidad neta ejecutada</t>
        </is>
      </c>
      <c r="H121" t="inlineStr">
        <is>
          <t>Ejecución</t>
        </is>
      </c>
    </row>
    <row r="122">
      <c r="A122" t="n">
        <v>205</v>
      </c>
      <c r="B122" t="inlineStr">
        <is>
          <t>Utilidad Neta</t>
        </is>
      </c>
      <c r="C122" t="inlineStr">
        <is>
          <t>Planeación Financiera</t>
        </is>
      </c>
      <c r="D122" t="inlineStr">
        <is>
          <t>Trimestral</t>
        </is>
      </c>
      <c r="E122" t="inlineStr">
        <is>
          <t>Positivo</t>
        </is>
      </c>
      <c r="F122" t="inlineStr">
        <is>
          <t>UNP</t>
        </is>
      </c>
      <c r="G122" t="inlineStr">
        <is>
          <t>Utilidad neta presupuestada</t>
        </is>
      </c>
      <c r="H122" t="inlineStr">
        <is>
          <t>Meta</t>
        </is>
      </c>
    </row>
    <row r="123">
      <c r="A123" t="n">
        <v>207</v>
      </c>
      <c r="B123" t="inlineStr">
        <is>
          <t>Nivel de Cumplimiento Opex</t>
        </is>
      </c>
      <c r="C123" t="inlineStr">
        <is>
          <t>Planeación Financiera</t>
        </is>
      </c>
      <c r="D123" t="inlineStr">
        <is>
          <t>Trimestral</t>
        </is>
      </c>
      <c r="E123" t="inlineStr">
        <is>
          <t>Negativo</t>
        </is>
      </c>
      <c r="F123" t="inlineStr">
        <is>
          <t>PEJE</t>
        </is>
      </c>
      <c r="G123" t="inlineStr">
        <is>
          <t>Presupuesto Ejecutado</t>
        </is>
      </c>
      <c r="H123" t="inlineStr">
        <is>
          <t>Ejecución</t>
        </is>
      </c>
    </row>
    <row r="124">
      <c r="A124" t="n">
        <v>207</v>
      </c>
      <c r="B124" t="inlineStr">
        <is>
          <t>Nivel de Cumplimiento Opex</t>
        </is>
      </c>
      <c r="C124" t="inlineStr">
        <is>
          <t>Planeación Financiera</t>
        </is>
      </c>
      <c r="D124" t="inlineStr">
        <is>
          <t>Trimestral</t>
        </is>
      </c>
      <c r="E124" t="inlineStr">
        <is>
          <t>Negativo</t>
        </is>
      </c>
      <c r="F124" t="inlineStr">
        <is>
          <t>PDEF</t>
        </is>
      </c>
      <c r="G124" t="inlineStr">
        <is>
          <t>Presupuesto definido</t>
        </is>
      </c>
      <c r="H124" t="inlineStr">
        <is>
          <t>Meta</t>
        </is>
      </c>
    </row>
    <row r="125">
      <c r="A125" t="n">
        <v>230</v>
      </c>
      <c r="B125" t="inlineStr">
        <is>
          <t>Ejecución de Eventos de Formación en Materia Ambiental</t>
        </is>
      </c>
      <c r="C125" t="inlineStr">
        <is>
          <t>GESTIÓN AMBIENTAL</t>
        </is>
      </c>
      <c r="D125" t="inlineStr">
        <is>
          <t>Trimestral</t>
        </is>
      </c>
      <c r="E125" t="inlineStr">
        <is>
          <t>Positivo</t>
        </is>
      </c>
      <c r="F125" t="inlineStr">
        <is>
          <t>EFMAEJ</t>
        </is>
      </c>
      <c r="G125" t="inlineStr">
        <is>
          <t>Eventos de Formaciones en Materia Ambiental Ejecutados</t>
        </is>
      </c>
      <c r="H125" t="inlineStr">
        <is>
          <t>Informativo</t>
        </is>
      </c>
    </row>
    <row r="126">
      <c r="A126" t="n">
        <v>230</v>
      </c>
      <c r="B126" t="inlineStr">
        <is>
          <t>Ejecución de Eventos de Formación en Materia Ambiental</t>
        </is>
      </c>
      <c r="C126" t="inlineStr">
        <is>
          <t>GESTIÓN AMBIENTAL</t>
        </is>
      </c>
      <c r="D126" t="inlineStr">
        <is>
          <t>Trimestral</t>
        </is>
      </c>
      <c r="E126" t="inlineStr">
        <is>
          <t>Positivo</t>
        </is>
      </c>
      <c r="F126" t="inlineStr">
        <is>
          <t>EFMAPL</t>
        </is>
      </c>
      <c r="G126" t="inlineStr">
        <is>
          <t>Eventos de Formaciones en Materia Ambiental Planificado</t>
        </is>
      </c>
      <c r="H126" t="inlineStr">
        <is>
          <t>Informativo</t>
        </is>
      </c>
    </row>
    <row r="127">
      <c r="A127" t="n">
        <v>231</v>
      </c>
      <c r="B127" t="inlineStr">
        <is>
          <t>Asistencia Eventos de Formación en Materia Ambiental</t>
        </is>
      </c>
      <c r="C127" t="inlineStr">
        <is>
          <t>GESTIÓN AMBIENTAL</t>
        </is>
      </c>
      <c r="D127" t="inlineStr">
        <is>
          <t>Trimestral</t>
        </is>
      </c>
      <c r="E127" t="inlineStr">
        <is>
          <t>Positivo</t>
        </is>
      </c>
      <c r="F127" t="inlineStr">
        <is>
          <t>PAEFMA</t>
        </is>
      </c>
      <c r="G127" t="inlineStr">
        <is>
          <t>Personas que Asistieron a los Eventos de Formación en Materia Ambiental</t>
        </is>
      </c>
      <c r="H127" t="inlineStr">
        <is>
          <t>Ejecución</t>
        </is>
      </c>
    </row>
    <row r="128">
      <c r="A128" t="n">
        <v>231</v>
      </c>
      <c r="B128" t="inlineStr">
        <is>
          <t>Asistencia Eventos de Formación en Materia Ambiental</t>
        </is>
      </c>
      <c r="C128" t="inlineStr">
        <is>
          <t>GESTIÓN AMBIENTAL</t>
        </is>
      </c>
      <c r="D128" t="inlineStr">
        <is>
          <t>Trimestral</t>
        </is>
      </c>
      <c r="E128" t="inlineStr">
        <is>
          <t>Positivo</t>
        </is>
      </c>
      <c r="F128" t="inlineStr">
        <is>
          <t>TPCEFMA</t>
        </is>
      </c>
      <c r="G128" t="inlineStr">
        <is>
          <t>Total de Personas Citadas o Esperadas en los eventos de Formación en Materia Ambiental</t>
        </is>
      </c>
      <c r="H128" t="inlineStr">
        <is>
          <t>Meta</t>
        </is>
      </c>
    </row>
    <row r="129">
      <c r="A129" t="n">
        <v>232</v>
      </c>
      <c r="B129" t="inlineStr">
        <is>
          <t>Ejecución de las Comunicaciones en Materia Ambiental</t>
        </is>
      </c>
      <c r="C129" t="inlineStr">
        <is>
          <t>GESTIÓN AMBIENTAL</t>
        </is>
      </c>
      <c r="D129" t="inlineStr">
        <is>
          <t>Trimestral</t>
        </is>
      </c>
      <c r="E129" t="inlineStr">
        <is>
          <t>Positivo</t>
        </is>
      </c>
      <c r="F129" t="inlineStr">
        <is>
          <t>CMAEJ</t>
        </is>
      </c>
      <c r="G129" t="inlineStr">
        <is>
          <t>Comunicaciones en Materia Ambiental Ejecutadas</t>
        </is>
      </c>
      <c r="H129" t="inlineStr">
        <is>
          <t>Ejecución</t>
        </is>
      </c>
    </row>
    <row r="130">
      <c r="A130" t="n">
        <v>232</v>
      </c>
      <c r="B130" t="inlineStr">
        <is>
          <t>Ejecución de las Comunicaciones en Materia Ambiental</t>
        </is>
      </c>
      <c r="C130" t="inlineStr">
        <is>
          <t>GESTIÓN AMBIENTAL</t>
        </is>
      </c>
      <c r="D130" t="inlineStr">
        <is>
          <t>Trimestral</t>
        </is>
      </c>
      <c r="E130" t="inlineStr">
        <is>
          <t>Positivo</t>
        </is>
      </c>
      <c r="F130" t="inlineStr">
        <is>
          <t>CMAPL</t>
        </is>
      </c>
      <c r="G130" t="inlineStr">
        <is>
          <t>Comunicaciones en Materia Ambiental Planificadas</t>
        </is>
      </c>
      <c r="H130" t="inlineStr">
        <is>
          <t>Meta</t>
        </is>
      </c>
    </row>
    <row r="131">
      <c r="A131" t="n">
        <v>245</v>
      </c>
      <c r="B131" t="inlineStr">
        <is>
          <t>Tasa de Permanencia Intersemestral</t>
        </is>
      </c>
      <c r="C131" t="inlineStr">
        <is>
          <t>Permanencia</t>
        </is>
      </c>
      <c r="D131" t="inlineStr">
        <is>
          <t>Trimestral</t>
        </is>
      </c>
      <c r="E131" t="inlineStr">
        <is>
          <t>Positivo</t>
        </is>
      </c>
      <c r="F131" t="inlineStr">
        <is>
          <t>TPE</t>
        </is>
      </c>
      <c r="G131" t="inlineStr">
        <is>
          <t>Tasa de permanencia esperada</t>
        </is>
      </c>
      <c r="H131" t="inlineStr">
        <is>
          <t>Meta</t>
        </is>
      </c>
    </row>
    <row r="132">
      <c r="A132" t="n">
        <v>245</v>
      </c>
      <c r="B132" t="inlineStr">
        <is>
          <t>Tasa de Permanencia Intersemestral</t>
        </is>
      </c>
      <c r="C132" t="inlineStr">
        <is>
          <t>Permanencia</t>
        </is>
      </c>
      <c r="D132" t="inlineStr">
        <is>
          <t>Trimestral</t>
        </is>
      </c>
      <c r="E132" t="inlineStr">
        <is>
          <t>Positivo</t>
        </is>
      </c>
      <c r="F132" t="inlineStr">
        <is>
          <t>TPR</t>
        </is>
      </c>
      <c r="G132" t="inlineStr">
        <is>
          <t>Tasa de permanencia real del periodo</t>
        </is>
      </c>
      <c r="H132" t="inlineStr">
        <is>
          <t>Ejecución</t>
        </is>
      </c>
    </row>
    <row r="133">
      <c r="A133" t="n">
        <v>252</v>
      </c>
      <c r="B133" t="inlineStr">
        <is>
          <t>Tasa de Permanencia Intersemestral de Estudiantes Ingresantes</t>
        </is>
      </c>
      <c r="C133" t="inlineStr">
        <is>
          <t>Permanencia</t>
        </is>
      </c>
      <c r="D133" t="inlineStr">
        <is>
          <t>Trimestral</t>
        </is>
      </c>
      <c r="E133" t="inlineStr">
        <is>
          <t>Positivo</t>
        </is>
      </c>
      <c r="F133" t="inlineStr">
        <is>
          <t>TPIE</t>
        </is>
      </c>
      <c r="G133" t="inlineStr">
        <is>
          <t>Tasa de permanencia ingresantes esperada</t>
        </is>
      </c>
      <c r="H133" t="inlineStr">
        <is>
          <t>Meta</t>
        </is>
      </c>
    </row>
    <row r="134">
      <c r="A134" t="n">
        <v>252</v>
      </c>
      <c r="B134" t="inlineStr">
        <is>
          <t>Tasa de Permanencia Intersemestral de Estudiantes Ingresantes</t>
        </is>
      </c>
      <c r="C134" t="inlineStr">
        <is>
          <t>Permanencia</t>
        </is>
      </c>
      <c r="D134" t="inlineStr">
        <is>
          <t>Trimestral</t>
        </is>
      </c>
      <c r="E134" t="inlineStr">
        <is>
          <t>Positivo</t>
        </is>
      </c>
      <c r="F134" t="inlineStr">
        <is>
          <t>TPIR</t>
        </is>
      </c>
      <c r="G134" t="inlineStr">
        <is>
          <t>Tasa de permanencia ingresantes real periodo</t>
        </is>
      </c>
      <c r="H134" t="inlineStr">
        <is>
          <t>Ejecución</t>
        </is>
      </c>
    </row>
    <row r="135">
      <c r="A135" t="n">
        <v>256</v>
      </c>
      <c r="B135" t="inlineStr">
        <is>
          <t>Publicaciones editadas por la editorial</t>
        </is>
      </c>
      <c r="C135" t="inlineStr">
        <is>
          <t>Editorial y Publicaciones</t>
        </is>
      </c>
      <c r="D135" t="inlineStr">
        <is>
          <t>Trimestral</t>
        </is>
      </c>
      <c r="E135" t="inlineStr">
        <is>
          <t>Positivo</t>
        </is>
      </c>
      <c r="F135" t="inlineStr">
        <is>
          <t>NPIA</t>
        </is>
      </c>
      <c r="G135" t="inlineStr">
        <is>
          <t>Nuevas publicaciones incluidas en el año</t>
        </is>
      </c>
      <c r="H135" t="inlineStr">
        <is>
          <t>Ejecución</t>
        </is>
      </c>
    </row>
    <row r="136">
      <c r="A136" t="n">
        <v>256</v>
      </c>
      <c r="B136" t="inlineStr">
        <is>
          <t>Publicaciones editadas por la editorial</t>
        </is>
      </c>
      <c r="C136" t="inlineStr">
        <is>
          <t>Editorial y Publicaciones</t>
        </is>
      </c>
      <c r="D136" t="inlineStr">
        <is>
          <t>Trimestral</t>
        </is>
      </c>
      <c r="E136" t="inlineStr">
        <is>
          <t>Positivo</t>
        </is>
      </c>
      <c r="F136" t="inlineStr">
        <is>
          <t>MPPP</t>
        </is>
      </c>
      <c r="G136" t="inlineStr">
        <is>
          <t>Meta de publicaciones por periodo</t>
        </is>
      </c>
      <c r="H136" t="inlineStr">
        <is>
          <t>Meta</t>
        </is>
      </c>
    </row>
    <row r="137">
      <c r="A137" t="n">
        <v>260</v>
      </c>
      <c r="B137" t="inlineStr">
        <is>
          <t>CES- Costumer Effort Score del proceso de Rematrícula</t>
        </is>
      </c>
      <c r="C137" t="inlineStr">
        <is>
          <t>Rematrícula</t>
        </is>
      </c>
      <c r="D137" t="inlineStr">
        <is>
          <t>Trimestral</t>
        </is>
      </c>
      <c r="E137" t="inlineStr">
        <is>
          <t>Negativo</t>
        </is>
      </c>
      <c r="F137" t="inlineStr">
        <is>
          <t>CESREM</t>
        </is>
      </c>
      <c r="G137" t="inlineStr">
        <is>
          <t>CES Rematricula</t>
        </is>
      </c>
      <c r="H137" t="inlineStr">
        <is>
          <t>Ejecución</t>
        </is>
      </c>
    </row>
    <row r="138">
      <c r="A138" t="n">
        <v>261</v>
      </c>
      <c r="B138" t="inlineStr">
        <is>
          <t>CES- Costumer Effort Score del proceso de Saber Pro</t>
        </is>
      </c>
      <c r="C138" t="inlineStr">
        <is>
          <t>Servicio</t>
        </is>
      </c>
      <c r="D138" t="inlineStr">
        <is>
          <t>Trimestral</t>
        </is>
      </c>
      <c r="E138" t="inlineStr">
        <is>
          <t>Negativo</t>
        </is>
      </c>
      <c r="F138" t="inlineStr">
        <is>
          <t>CESSP</t>
        </is>
      </c>
      <c r="G138" t="inlineStr">
        <is>
          <t>CES Saber Pro</t>
        </is>
      </c>
      <c r="H138" t="inlineStr">
        <is>
          <t>Ejecución</t>
        </is>
      </c>
    </row>
    <row r="139">
      <c r="A139" t="n">
        <v>262</v>
      </c>
      <c r="B139" t="inlineStr">
        <is>
          <t>Reducción de número de sentencias condenatorias en contra del Poli</t>
        </is>
      </c>
      <c r="C139" t="inlineStr">
        <is>
          <t>GESTIÓN JURÍDICA Y NORMATIVA</t>
        </is>
      </c>
      <c r="D139" t="inlineStr">
        <is>
          <t>Trimestral</t>
        </is>
      </c>
      <c r="E139" t="inlineStr">
        <is>
          <t>Negativo</t>
        </is>
      </c>
      <c r="F139" t="inlineStr">
        <is>
          <t>NAAC</t>
        </is>
      </c>
      <c r="G139" t="inlineStr">
        <is>
          <t>N de actos administrativos condenatorios</t>
        </is>
      </c>
      <c r="H139" t="inlineStr">
        <is>
          <t>Informativo</t>
        </is>
      </c>
    </row>
    <row r="140">
      <c r="A140" t="n">
        <v>262</v>
      </c>
      <c r="B140" t="inlineStr">
        <is>
          <t>Reducción de número de sentencias condenatorias en contra del Poli</t>
        </is>
      </c>
      <c r="C140" t="inlineStr">
        <is>
          <t>GESTIÓN JURÍDICA Y NORMATIVA</t>
        </is>
      </c>
      <c r="D140" t="inlineStr">
        <is>
          <t>Trimestral</t>
        </is>
      </c>
      <c r="E140" t="inlineStr">
        <is>
          <t>Negativo</t>
        </is>
      </c>
      <c r="F140" t="inlineStr">
        <is>
          <t>NPEC</t>
        </is>
      </c>
      <c r="G140" t="inlineStr">
        <is>
          <t>N Procesos en curso</t>
        </is>
      </c>
      <c r="H140" t="inlineStr">
        <is>
          <t>Informativo</t>
        </is>
      </c>
    </row>
    <row r="141">
      <c r="A141" t="n">
        <v>268</v>
      </c>
      <c r="B141" t="inlineStr">
        <is>
          <t>Cantidad de usuarios - (Metrica)</t>
        </is>
      </c>
      <c r="C141" t="inlineStr">
        <is>
          <t>Centro de Medios Audiovisuales</t>
        </is>
      </c>
      <c r="D141" t="inlineStr">
        <is>
          <t>Trimestral</t>
        </is>
      </c>
      <c r="E141" t="inlineStr">
        <is>
          <t>Positivo</t>
        </is>
      </c>
      <c r="F141" t="inlineStr">
        <is>
          <t>NUA</t>
        </is>
      </c>
      <c r="G141" t="inlineStr">
        <is>
          <t>Número de usuarios atendidos</t>
        </is>
      </c>
      <c r="H141" t="inlineStr">
        <is>
          <t>Ejecución</t>
        </is>
      </c>
    </row>
    <row r="142">
      <c r="A142" t="n">
        <v>269</v>
      </c>
      <c r="B142" t="inlineStr">
        <is>
          <t>N de personas promedio por evento - (Metrica)</t>
        </is>
      </c>
      <c r="C142" t="inlineStr">
        <is>
          <t>Centro de Medios Audiovisuales</t>
        </is>
      </c>
      <c r="D142" t="inlineStr">
        <is>
          <t>Trimestral</t>
        </is>
      </c>
      <c r="E142" t="inlineStr">
        <is>
          <t>Positivo</t>
        </is>
      </c>
      <c r="F142" t="inlineStr">
        <is>
          <t>NPA</t>
        </is>
      </c>
      <c r="G142" t="inlineStr">
        <is>
          <t>N de personas asignadas</t>
        </is>
      </c>
      <c r="H142" t="inlineStr">
        <is>
          <t>Informativo</t>
        </is>
      </c>
    </row>
    <row r="143">
      <c r="A143" t="n">
        <v>269</v>
      </c>
      <c r="B143" t="inlineStr">
        <is>
          <t>N de personas promedio por evento - (Metrica)</t>
        </is>
      </c>
      <c r="C143" t="inlineStr">
        <is>
          <t>Centro de Medios Audiovisuales</t>
        </is>
      </c>
      <c r="D143" t="inlineStr">
        <is>
          <t>Trimestral</t>
        </is>
      </c>
      <c r="E143" t="inlineStr">
        <is>
          <t>Positivo</t>
        </is>
      </c>
      <c r="F143" t="inlineStr">
        <is>
          <t>NDER</t>
        </is>
      </c>
      <c r="G143" t="inlineStr">
        <is>
          <t>N de eventos realizados</t>
        </is>
      </c>
      <c r="H143" t="inlineStr">
        <is>
          <t>Informativo</t>
        </is>
      </c>
    </row>
    <row r="144">
      <c r="A144" t="n">
        <v>270</v>
      </c>
      <c r="B144" t="inlineStr">
        <is>
          <t>N de horas promedio por evento - (Metrica)</t>
        </is>
      </c>
      <c r="C144" t="inlineStr">
        <is>
          <t>Centro de Medios Audiovisuales</t>
        </is>
      </c>
      <c r="D144" t="inlineStr">
        <is>
          <t>Trimestral</t>
        </is>
      </c>
      <c r="E144" t="inlineStr">
        <is>
          <t>Positivo</t>
        </is>
      </c>
      <c r="F144" t="inlineStr">
        <is>
          <t>NHU</t>
        </is>
      </c>
      <c r="G144" t="inlineStr">
        <is>
          <t>N de horas utilizadas</t>
        </is>
      </c>
      <c r="H144" t="inlineStr">
        <is>
          <t>Informativo</t>
        </is>
      </c>
    </row>
    <row r="145">
      <c r="A145" t="n">
        <v>270</v>
      </c>
      <c r="B145" t="inlineStr">
        <is>
          <t>N de horas promedio por evento - (Metrica)</t>
        </is>
      </c>
      <c r="C145" t="inlineStr">
        <is>
          <t>Centro de Medios Audiovisuales</t>
        </is>
      </c>
      <c r="D145" t="inlineStr">
        <is>
          <t>Trimestral</t>
        </is>
      </c>
      <c r="E145" t="inlineStr">
        <is>
          <t>Positivo</t>
        </is>
      </c>
      <c r="F145" t="inlineStr">
        <is>
          <t>NERS</t>
        </is>
      </c>
      <c r="G145" t="inlineStr">
        <is>
          <t>N de eventos realizados</t>
        </is>
      </c>
      <c r="H145" t="inlineStr">
        <is>
          <t>Informativo</t>
        </is>
      </c>
    </row>
    <row r="146">
      <c r="A146" t="n">
        <v>271</v>
      </c>
      <c r="B146" t="inlineStr">
        <is>
          <t>N de horas por solicitud - (Metrica)</t>
        </is>
      </c>
      <c r="C146" t="inlineStr">
        <is>
          <t>Centro de Medios Audiovisuales</t>
        </is>
      </c>
      <c r="D146" t="inlineStr">
        <is>
          <t>Trimestral</t>
        </is>
      </c>
      <c r="E146" t="inlineStr">
        <is>
          <t>Positivo</t>
        </is>
      </c>
      <c r="F146" t="inlineStr">
        <is>
          <t>NHS</t>
        </is>
      </c>
      <c r="G146" t="inlineStr">
        <is>
          <t>N de horas por solicitud</t>
        </is>
      </c>
      <c r="H146" t="inlineStr">
        <is>
          <t>Informativo</t>
        </is>
      </c>
    </row>
    <row r="147">
      <c r="A147" t="n">
        <v>271</v>
      </c>
      <c r="B147" t="inlineStr">
        <is>
          <t>N de horas por solicitud - (Metrica)</t>
        </is>
      </c>
      <c r="C147" t="inlineStr">
        <is>
          <t>Centro de Medios Audiovisuales</t>
        </is>
      </c>
      <c r="D147" t="inlineStr">
        <is>
          <t>Trimestral</t>
        </is>
      </c>
      <c r="E147" t="inlineStr">
        <is>
          <t>Positivo</t>
        </is>
      </c>
      <c r="F147" t="inlineStr">
        <is>
          <t>NSE</t>
        </is>
      </c>
      <c r="G147" t="inlineStr">
        <is>
          <t>N de solicitudes ejecutadas</t>
        </is>
      </c>
      <c r="H147" t="inlineStr">
        <is>
          <t>Informativo</t>
        </is>
      </c>
    </row>
    <row r="148">
      <c r="A148" t="n">
        <v>273</v>
      </c>
      <c r="B148" t="inlineStr">
        <is>
          <t>Número de programas con condiciones iniciales elaboradas y analizadas institucionalmente</t>
        </is>
      </c>
      <c r="C148" t="inlineStr">
        <is>
          <t>Autoevaluación de programas académicos</t>
        </is>
      </c>
      <c r="D148" t="inlineStr">
        <is>
          <t>Trimestral</t>
        </is>
      </c>
      <c r="E148" t="inlineStr">
        <is>
          <t>Positivo</t>
        </is>
      </c>
      <c r="F148" t="inlineStr">
        <is>
          <t>NPCI</t>
        </is>
      </c>
      <c r="G148" t="inlineStr">
        <is>
          <t>Número de programas con informe</t>
        </is>
      </c>
      <c r="H148" t="inlineStr">
        <is>
          <t>Ejecución</t>
        </is>
      </c>
    </row>
    <row r="149">
      <c r="A149" t="n">
        <v>273</v>
      </c>
      <c r="B149" t="inlineStr">
        <is>
          <t>Número de programas con condiciones iniciales elaboradas y analizadas institucionalmente</t>
        </is>
      </c>
      <c r="C149" t="inlineStr">
        <is>
          <t>Autoevaluación de programas académicos</t>
        </is>
      </c>
      <c r="D149" t="inlineStr">
        <is>
          <t>Trimestral</t>
        </is>
      </c>
      <c r="E149" t="inlineStr">
        <is>
          <t>Positivo</t>
        </is>
      </c>
      <c r="F149" t="inlineStr">
        <is>
          <t>NPIP</t>
        </is>
      </c>
      <c r="G149" t="inlineStr">
        <is>
          <t>Número de programas proyectados</t>
        </is>
      </c>
      <c r="H149" t="inlineStr">
        <is>
          <t>Meta</t>
        </is>
      </c>
    </row>
    <row r="150">
      <c r="A150" t="n">
        <v>276</v>
      </c>
      <c r="B150" t="inlineStr">
        <is>
          <t>Relación Estudiante-Docente Tiempo completo</t>
        </is>
      </c>
      <c r="C150" t="inlineStr">
        <is>
          <t>Gestión Docente</t>
        </is>
      </c>
      <c r="D150" t="inlineStr">
        <is>
          <t>Trimestral</t>
        </is>
      </c>
      <c r="E150" t="inlineStr">
        <is>
          <t>Negativo</t>
        </is>
      </c>
      <c r="F150" t="inlineStr">
        <is>
          <t>NE</t>
        </is>
      </c>
      <c r="G150" t="inlineStr">
        <is>
          <t>Número de Estudiantes</t>
        </is>
      </c>
      <c r="H150" t="inlineStr">
        <is>
          <t>Informativo</t>
        </is>
      </c>
    </row>
    <row r="151">
      <c r="A151" t="n">
        <v>276</v>
      </c>
      <c r="B151" t="inlineStr">
        <is>
          <t>Relación Estudiante-Docente Tiempo completo</t>
        </is>
      </c>
      <c r="C151" t="inlineStr">
        <is>
          <t>Gestión Docente</t>
        </is>
      </c>
      <c r="D151" t="inlineStr">
        <is>
          <t>Trimestral</t>
        </is>
      </c>
      <c r="E151" t="inlineStr">
        <is>
          <t>Negativo</t>
        </is>
      </c>
      <c r="F151" t="inlineStr">
        <is>
          <t>NDTC</t>
        </is>
      </c>
      <c r="G151" t="inlineStr">
        <is>
          <t>Número Docentes Tiempo completo</t>
        </is>
      </c>
      <c r="H151" t="inlineStr">
        <is>
          <t>Informativo</t>
        </is>
      </c>
    </row>
    <row r="152">
      <c r="A152" t="n">
        <v>277</v>
      </c>
      <c r="B152" t="inlineStr">
        <is>
          <t>Relación estudiante docente TCE (Tiempo Completo Equivalente)</t>
        </is>
      </c>
      <c r="C152" t="inlineStr">
        <is>
          <t>Gestión Docente</t>
        </is>
      </c>
      <c r="D152" t="inlineStr">
        <is>
          <t>Trimestral</t>
        </is>
      </c>
      <c r="E152" t="inlineStr">
        <is>
          <t>Negativo</t>
        </is>
      </c>
      <c r="F152" t="inlineStr">
        <is>
          <t>NDTCE</t>
        </is>
      </c>
      <c r="G152" t="inlineStr">
        <is>
          <t>Número Docentes Tiempo Completo Equivalente</t>
        </is>
      </c>
      <c r="H152" t="inlineStr">
        <is>
          <t>Informativo</t>
        </is>
      </c>
    </row>
    <row r="153">
      <c r="A153" t="n">
        <v>282</v>
      </c>
      <c r="B153" t="inlineStr">
        <is>
          <t>Docentes evaluados</t>
        </is>
      </c>
      <c r="C153" t="inlineStr">
        <is>
          <t>Gestión Docente</t>
        </is>
      </c>
      <c r="D153" t="inlineStr">
        <is>
          <t>Trimestral</t>
        </is>
      </c>
      <c r="E153" t="inlineStr">
        <is>
          <t>Positivo</t>
        </is>
      </c>
      <c r="F153" t="inlineStr">
        <is>
          <t>NDE</t>
        </is>
      </c>
      <c r="G153" t="inlineStr">
        <is>
          <t>Número Docentes Evaluados</t>
        </is>
      </c>
      <c r="H153" t="inlineStr">
        <is>
          <t>Ejecución</t>
        </is>
      </c>
    </row>
    <row r="154">
      <c r="A154" t="n">
        <v>282</v>
      </c>
      <c r="B154" t="inlineStr">
        <is>
          <t>Docentes evaluados</t>
        </is>
      </c>
      <c r="C154" t="inlineStr">
        <is>
          <t>Gestión Docente</t>
        </is>
      </c>
      <c r="D154" t="inlineStr">
        <is>
          <t>Trimestral</t>
        </is>
      </c>
      <c r="E154" t="inlineStr">
        <is>
          <t>Positivo</t>
        </is>
      </c>
      <c r="F154" t="inlineStr">
        <is>
          <t>NDC</t>
        </is>
      </c>
      <c r="G154" t="inlineStr">
        <is>
          <t>Número Docentes Contratados</t>
        </is>
      </c>
      <c r="H154" t="inlineStr">
        <is>
          <t>Meta</t>
        </is>
      </c>
    </row>
    <row r="155">
      <c r="A155" t="n">
        <v>283</v>
      </c>
      <c r="B155" t="inlineStr">
        <is>
          <t>Resultado evaluación docente</t>
        </is>
      </c>
      <c r="C155" t="inlineStr">
        <is>
          <t>Gestión Docente</t>
        </is>
      </c>
      <c r="D155" t="inlineStr">
        <is>
          <t>Trimestral</t>
        </is>
      </c>
      <c r="E155" t="inlineStr">
        <is>
          <t>Positivo</t>
        </is>
      </c>
      <c r="F155" t="inlineStr">
        <is>
          <t>PIED</t>
        </is>
      </c>
      <c r="G155" t="inlineStr">
        <is>
          <t>Promedio institucional evaluación docente</t>
        </is>
      </c>
      <c r="H155" t="inlineStr">
        <is>
          <t>Ejecución</t>
        </is>
      </c>
    </row>
    <row r="156">
      <c r="A156" t="n">
        <v>285</v>
      </c>
      <c r="B156" t="inlineStr">
        <is>
          <t>Docentes con plan de trabajo asignado</t>
        </is>
      </c>
      <c r="C156" t="inlineStr">
        <is>
          <t>Gestión Docente</t>
        </is>
      </c>
      <c r="D156" t="inlineStr">
        <is>
          <t>Trimestral</t>
        </is>
      </c>
      <c r="E156" t="inlineStr">
        <is>
          <t>Positivo</t>
        </is>
      </c>
      <c r="F156" t="inlineStr">
        <is>
          <t>NDPTA</t>
        </is>
      </c>
      <c r="G156" t="inlineStr">
        <is>
          <t>Número Docentes con plan de trabajo asignado</t>
        </is>
      </c>
      <c r="H156" t="inlineStr">
        <is>
          <t>Informativo</t>
        </is>
      </c>
    </row>
    <row r="157">
      <c r="A157" t="n">
        <v>285</v>
      </c>
      <c r="B157" t="inlineStr">
        <is>
          <t>Docentes con plan de trabajo asignado</t>
        </is>
      </c>
      <c r="C157" t="inlineStr">
        <is>
          <t>Gestión Docente</t>
        </is>
      </c>
      <c r="D157" t="inlineStr">
        <is>
          <t>Trimestral</t>
        </is>
      </c>
      <c r="E157" t="inlineStr">
        <is>
          <t>Positivo</t>
        </is>
      </c>
      <c r="F157" t="inlineStr">
        <is>
          <t>NDCTC</t>
        </is>
      </c>
      <c r="G157" t="inlineStr">
        <is>
          <t>Número Docentes contratados tiempo completo</t>
        </is>
      </c>
      <c r="H157" t="inlineStr">
        <is>
          <t>Informativo</t>
        </is>
      </c>
    </row>
    <row r="158">
      <c r="A158" t="n">
        <v>304</v>
      </c>
      <c r="B158" t="inlineStr">
        <is>
          <t>Impacto de Campañas de promoción y prevención</t>
        </is>
      </c>
      <c r="C158" t="inlineStr">
        <is>
          <t>Servicio de Salud</t>
        </is>
      </c>
      <c r="D158" t="inlineStr">
        <is>
          <t>Trimestral</t>
        </is>
      </c>
      <c r="E158" t="inlineStr">
        <is>
          <t>Positivo</t>
        </is>
      </c>
      <c r="F158" t="inlineStr">
        <is>
          <t>NIAS</t>
        </is>
      </c>
      <c r="G158" t="inlineStr">
        <is>
          <t>N impactos en actividades de salud del periodo</t>
        </is>
      </c>
      <c r="H158" t="inlineStr">
        <is>
          <t>Ejecución</t>
        </is>
      </c>
    </row>
    <row r="159">
      <c r="A159" t="n">
        <v>304</v>
      </c>
      <c r="B159" t="inlineStr">
        <is>
          <t>Impacto de Campañas de promoción y prevención</t>
        </is>
      </c>
      <c r="C159" t="inlineStr">
        <is>
          <t>Servicio de Salud</t>
        </is>
      </c>
      <c r="D159" t="inlineStr">
        <is>
          <t>Trimestral</t>
        </is>
      </c>
      <c r="E159" t="inlineStr">
        <is>
          <t>Positivo</t>
        </is>
      </c>
      <c r="F159" t="inlineStr">
        <is>
          <t>NIACE</t>
        </is>
      </c>
      <c r="G159" t="inlineStr">
        <is>
          <t>N impactos en actividades en salud esperados</t>
        </is>
      </c>
      <c r="H159" t="inlineStr">
        <is>
          <t>Meta</t>
        </is>
      </c>
    </row>
    <row r="160">
      <c r="A160" t="n">
        <v>323</v>
      </c>
      <c r="B160" t="inlineStr">
        <is>
          <t>Número de renovaciones de registro calificado</t>
        </is>
      </c>
      <c r="C160" t="inlineStr">
        <is>
          <t>Creación, modificación y cierre de programas académicos</t>
        </is>
      </c>
      <c r="D160" t="inlineStr">
        <is>
          <t>Trimestral</t>
        </is>
      </c>
      <c r="E160" t="inlineStr">
        <is>
          <t>Positivo</t>
        </is>
      </c>
      <c r="F160" t="inlineStr">
        <is>
          <t>NPR</t>
        </is>
      </c>
      <c r="G160" t="inlineStr">
        <is>
          <t>Número de programas con renovación aprobada por el MEN</t>
        </is>
      </c>
      <c r="H160" t="inlineStr">
        <is>
          <t>Ejecución</t>
        </is>
      </c>
    </row>
    <row r="161">
      <c r="A161" t="n">
        <v>323</v>
      </c>
      <c r="B161" t="inlineStr">
        <is>
          <t>Número de renovaciones de registro calificado</t>
        </is>
      </c>
      <c r="C161" t="inlineStr">
        <is>
          <t>Creación, modificación y cierre de programas académicos</t>
        </is>
      </c>
      <c r="D161" t="inlineStr">
        <is>
          <t>Trimestral</t>
        </is>
      </c>
      <c r="E161" t="inlineStr">
        <is>
          <t>Positivo</t>
        </is>
      </c>
      <c r="F161" t="inlineStr">
        <is>
          <t>NPP</t>
        </is>
      </c>
      <c r="G161" t="inlineStr">
        <is>
          <t>Número de programas proyectados para renovación</t>
        </is>
      </c>
      <c r="H161" t="inlineStr">
        <is>
          <t>Meta</t>
        </is>
      </c>
    </row>
    <row r="162">
      <c r="A162" t="n">
        <v>324</v>
      </c>
      <c r="B162" t="inlineStr">
        <is>
          <t>Número de programas nuevos radicados en el Ministerio de Educación</t>
        </is>
      </c>
      <c r="C162" t="inlineStr">
        <is>
          <t>Creación, modificación y cierre de programas académicos</t>
        </is>
      </c>
      <c r="D162" t="inlineStr">
        <is>
          <t>Trimestral</t>
        </is>
      </c>
      <c r="E162" t="inlineStr">
        <is>
          <t>Positivo</t>
        </is>
      </c>
      <c r="F162" t="inlineStr">
        <is>
          <t>NPNR</t>
        </is>
      </c>
      <c r="G162" t="inlineStr">
        <is>
          <t>Número de programas nuevos radicados</t>
        </is>
      </c>
      <c r="H162" t="inlineStr">
        <is>
          <t>Ejecución</t>
        </is>
      </c>
    </row>
    <row r="163">
      <c r="A163" t="n">
        <v>324</v>
      </c>
      <c r="B163" t="inlineStr">
        <is>
          <t>Número de programas nuevos radicados en el Ministerio de Educación</t>
        </is>
      </c>
      <c r="C163" t="inlineStr">
        <is>
          <t>Creación, modificación y cierre de programas académicos</t>
        </is>
      </c>
      <c r="D163" t="inlineStr">
        <is>
          <t>Trimestral</t>
        </is>
      </c>
      <c r="E163" t="inlineStr">
        <is>
          <t>Positivo</t>
        </is>
      </c>
      <c r="F163" t="inlineStr">
        <is>
          <t>NPPE</t>
        </is>
      </c>
      <c r="G163" t="inlineStr">
        <is>
          <t>Número de programas en proceso de elaboración</t>
        </is>
      </c>
      <c r="H163" t="inlineStr">
        <is>
          <t>Meta</t>
        </is>
      </c>
    </row>
    <row r="164">
      <c r="A164" t="n">
        <v>325</v>
      </c>
      <c r="B164" t="inlineStr">
        <is>
          <t>Número de programas nuevos con registro calificado aprobado - Metrica</t>
        </is>
      </c>
      <c r="C164" t="inlineStr">
        <is>
          <t>Creación, modificación y cierre de programas académicos</t>
        </is>
      </c>
      <c r="D164" t="inlineStr">
        <is>
          <t>Trimestral</t>
        </is>
      </c>
      <c r="E164" t="inlineStr">
        <is>
          <t>Positivo</t>
        </is>
      </c>
      <c r="F164" t="inlineStr">
        <is>
          <t>PMEN</t>
        </is>
      </c>
      <c r="G164" t="inlineStr">
        <is>
          <t>Número de programas aprobados por MEN</t>
        </is>
      </c>
      <c r="H164" t="inlineStr">
        <is>
          <t>Ejecución</t>
        </is>
      </c>
    </row>
    <row r="165">
      <c r="A165" t="n">
        <v>325</v>
      </c>
      <c r="B165" t="inlineStr">
        <is>
          <t>Número de programas nuevos con registro calificado aprobado - Metrica</t>
        </is>
      </c>
      <c r="C165" t="inlineStr">
        <is>
          <t>Creación, modificación y cierre de programas académicos</t>
        </is>
      </c>
      <c r="D165" t="inlineStr">
        <is>
          <t>Trimestral</t>
        </is>
      </c>
      <c r="E165" t="inlineStr">
        <is>
          <t>Positivo</t>
        </is>
      </c>
      <c r="F165" t="inlineStr">
        <is>
          <t>NPTR</t>
        </is>
      </c>
      <c r="G165" t="inlineStr">
        <is>
          <t>Número de programas en trámite</t>
        </is>
      </c>
      <c r="H165" t="inlineStr">
        <is>
          <t>Meta</t>
        </is>
      </c>
    </row>
    <row r="166">
      <c r="A166" t="n">
        <v>327</v>
      </c>
      <c r="B166" t="inlineStr">
        <is>
          <t>Número de programas con obtención de acreditación por primera vez- Metrica</t>
        </is>
      </c>
      <c r="C166" t="inlineStr">
        <is>
          <t>Autoevaluación de programas académicos</t>
        </is>
      </c>
      <c r="D166" t="inlineStr">
        <is>
          <t>Trimestral</t>
        </is>
      </c>
      <c r="E166" t="inlineStr">
        <is>
          <t>Positivo</t>
        </is>
      </c>
      <c r="F166" t="inlineStr">
        <is>
          <t>NPOAPPA</t>
        </is>
      </c>
      <c r="G166" t="inlineStr">
        <is>
          <t>Numero de programas con obtención de acreditación por primera vez aprobados</t>
        </is>
      </c>
      <c r="H166" t="inlineStr">
        <is>
          <t>Ejecución</t>
        </is>
      </c>
    </row>
    <row r="167">
      <c r="A167" t="n">
        <v>327</v>
      </c>
      <c r="B167" t="inlineStr">
        <is>
          <t>Número de programas con obtención de acreditación por primera vez- Metrica</t>
        </is>
      </c>
      <c r="C167" t="inlineStr">
        <is>
          <t>Autoevaluación de programas académicos</t>
        </is>
      </c>
      <c r="D167" t="inlineStr">
        <is>
          <t>Trimestral</t>
        </is>
      </c>
      <c r="E167" t="inlineStr">
        <is>
          <t>Positivo</t>
        </is>
      </c>
      <c r="F167" t="inlineStr">
        <is>
          <t>NPOAPPL</t>
        </is>
      </c>
      <c r="G167" t="inlineStr">
        <is>
          <t>Número de programas con obtención de acreditación por primera vez planeados</t>
        </is>
      </c>
      <c r="H167" t="inlineStr">
        <is>
          <t>Meta</t>
        </is>
      </c>
    </row>
    <row r="168">
      <c r="A168" t="n">
        <v>332</v>
      </c>
      <c r="B168" t="inlineStr">
        <is>
          <t>Índice de rotación</t>
        </is>
      </c>
      <c r="C168" t="inlineStr">
        <is>
          <t>GESTIÓN Y DESARROLLO DEL TALENTO HUMANO</t>
        </is>
      </c>
      <c r="D168" t="inlineStr">
        <is>
          <t>Trimestral</t>
        </is>
      </c>
      <c r="E168" t="inlineStr">
        <is>
          <t>Negativo</t>
        </is>
      </c>
      <c r="F168" t="inlineStr">
        <is>
          <t>PROTA</t>
        </is>
      </c>
      <c r="G168" t="inlineStr">
        <is>
          <t>% de rotación</t>
        </is>
      </c>
      <c r="H168" t="inlineStr">
        <is>
          <t>Ejecución</t>
        </is>
      </c>
    </row>
    <row r="169">
      <c r="A169" t="n">
        <v>337</v>
      </c>
      <c r="B169" t="inlineStr">
        <is>
          <t>Número de programas con renovación de acreditación en alta calidad - Metrica</t>
        </is>
      </c>
      <c r="C169" t="inlineStr">
        <is>
          <t>Autoevaluación de programas académicos</t>
        </is>
      </c>
      <c r="D169" t="inlineStr">
        <is>
          <t>Trimestral</t>
        </is>
      </c>
      <c r="E169" t="inlineStr">
        <is>
          <t>Positivo</t>
        </is>
      </c>
      <c r="F169" t="inlineStr">
        <is>
          <t>NPRA</t>
        </is>
      </c>
      <c r="G169" t="inlineStr">
        <is>
          <t>Número de programas con renovación de acreditación</t>
        </is>
      </c>
      <c r="H169" t="inlineStr">
        <is>
          <t>Ejecución</t>
        </is>
      </c>
    </row>
    <row r="170">
      <c r="A170" t="n">
        <v>337</v>
      </c>
      <c r="B170" t="inlineStr">
        <is>
          <t>Número de programas con renovación de acreditación en alta calidad - Metrica</t>
        </is>
      </c>
      <c r="C170" t="inlineStr">
        <is>
          <t>Autoevaluación de programas académicos</t>
        </is>
      </c>
      <c r="D170" t="inlineStr">
        <is>
          <t>Trimestral</t>
        </is>
      </c>
      <c r="E170" t="inlineStr">
        <is>
          <t>Positivo</t>
        </is>
      </c>
      <c r="F170" t="inlineStr">
        <is>
          <t>NPPR</t>
        </is>
      </c>
      <c r="G170" t="inlineStr">
        <is>
          <t>Número de programas previstos para renovar AC</t>
        </is>
      </c>
      <c r="H170" t="inlineStr">
        <is>
          <t>Meta</t>
        </is>
      </c>
    </row>
    <row r="171">
      <c r="A171" t="n">
        <v>338</v>
      </c>
      <c r="B171" t="inlineStr">
        <is>
          <t>Número de programas con condiciones iniciales aprobadas (indicador externo)- Metrica</t>
        </is>
      </c>
      <c r="C171" t="inlineStr">
        <is>
          <t>Autoevaluación de programas académicos</t>
        </is>
      </c>
      <c r="D171" t="inlineStr">
        <is>
          <t>Trimestral</t>
        </is>
      </c>
      <c r="E171" t="inlineStr">
        <is>
          <t>Positivo</t>
        </is>
      </c>
      <c r="F171" t="inlineStr">
        <is>
          <t>NPAMEN</t>
        </is>
      </c>
      <c r="G171" t="inlineStr">
        <is>
          <t>Número de programas aprobados por MEN</t>
        </is>
      </c>
      <c r="H171" t="inlineStr">
        <is>
          <t>Ejecución</t>
        </is>
      </c>
    </row>
    <row r="172">
      <c r="A172" t="n">
        <v>338</v>
      </c>
      <c r="B172" t="inlineStr">
        <is>
          <t>Número de programas con condiciones iniciales aprobadas (indicador externo)- Metrica</t>
        </is>
      </c>
      <c r="C172" t="inlineStr">
        <is>
          <t>Autoevaluación de programas académicos</t>
        </is>
      </c>
      <c r="D172" t="inlineStr">
        <is>
          <t>Trimestral</t>
        </is>
      </c>
      <c r="E172" t="inlineStr">
        <is>
          <t>Positivo</t>
        </is>
      </c>
      <c r="F172" t="inlineStr">
        <is>
          <t>NPTRA</t>
        </is>
      </c>
      <c r="G172" t="inlineStr">
        <is>
          <t>Número de programas en trámite</t>
        </is>
      </c>
      <c r="H172" t="inlineStr">
        <is>
          <t>Meta</t>
        </is>
      </c>
    </row>
    <row r="173">
      <c r="A173" t="n">
        <v>341</v>
      </c>
      <c r="B173" t="inlineStr">
        <is>
          <t>Eficiencia en la reducción de costos en la gestión del abastecimiento</t>
        </is>
      </c>
      <c r="C173" t="inlineStr">
        <is>
          <t>GESTIÓN DE ABASTECIMIENTO</t>
        </is>
      </c>
      <c r="D173" t="inlineStr">
        <is>
          <t>Trimestral</t>
        </is>
      </c>
      <c r="E173" t="inlineStr">
        <is>
          <t>Positivo</t>
        </is>
      </c>
      <c r="F173" t="inlineStr">
        <is>
          <t>MTAH</t>
        </is>
      </c>
      <c r="G173" t="inlineStr">
        <is>
          <t>Monto total ahorrado en el proceso de abastecimiento</t>
        </is>
      </c>
      <c r="H173" t="inlineStr">
        <is>
          <t>Ejecución</t>
        </is>
      </c>
    </row>
    <row r="174">
      <c r="A174" t="n">
        <v>341</v>
      </c>
      <c r="B174" t="inlineStr">
        <is>
          <t>Eficiencia en la reducción de costos en la gestión del abastecimiento</t>
        </is>
      </c>
      <c r="C174" t="inlineStr">
        <is>
          <t>GESTIÓN DE ABASTECIMIENTO</t>
        </is>
      </c>
      <c r="D174" t="inlineStr">
        <is>
          <t>Trimestral</t>
        </is>
      </c>
      <c r="E174" t="inlineStr">
        <is>
          <t>Positivo</t>
        </is>
      </c>
      <c r="F174" t="inlineStr">
        <is>
          <t>MTAP</t>
        </is>
      </c>
      <c r="G174" t="inlineStr">
        <is>
          <t>Monto total ahorrado propuesto en el proceso de abastecimiento</t>
        </is>
      </c>
      <c r="H174" t="inlineStr">
        <is>
          <t>Meta</t>
        </is>
      </c>
    </row>
    <row r="175">
      <c r="A175" t="n">
        <v>344</v>
      </c>
      <c r="B175" t="inlineStr">
        <is>
          <t>Cumplimiento del plan de Inducción institucional</t>
        </is>
      </c>
      <c r="C175" t="inlineStr">
        <is>
          <t>GESTIÓN Y DESARROLLO DEL TALENTO HUMANO</t>
        </is>
      </c>
      <c r="D175" t="inlineStr">
        <is>
          <t>Trimestral</t>
        </is>
      </c>
      <c r="E175" t="inlineStr">
        <is>
          <t>Positivo</t>
        </is>
      </c>
      <c r="F175" t="inlineStr">
        <is>
          <t>TCINR</t>
        </is>
      </c>
      <c r="G175" t="inlineStr">
        <is>
          <t>Total colaboradores inducción realizada</t>
        </is>
      </c>
      <c r="H175" t="inlineStr">
        <is>
          <t>Ejecución</t>
        </is>
      </c>
    </row>
    <row r="176">
      <c r="A176" t="n">
        <v>344</v>
      </c>
      <c r="B176" t="inlineStr">
        <is>
          <t>Cumplimiento del plan de Inducción institucional</t>
        </is>
      </c>
      <c r="C176" t="inlineStr">
        <is>
          <t>GESTIÓN Y DESARROLLO DEL TALENTO HUMANO</t>
        </is>
      </c>
      <c r="D176" t="inlineStr">
        <is>
          <t>Trimestral</t>
        </is>
      </c>
      <c r="E176" t="inlineStr">
        <is>
          <t>Positivo</t>
        </is>
      </c>
      <c r="F176" t="inlineStr">
        <is>
          <t>TCNV</t>
        </is>
      </c>
      <c r="G176" t="inlineStr">
        <is>
          <t>Total colaboradores nuevos</t>
        </is>
      </c>
      <c r="H176" t="inlineStr">
        <is>
          <t>Meta</t>
        </is>
      </c>
    </row>
    <row r="177">
      <c r="A177" t="n">
        <v>356</v>
      </c>
      <c r="B177" t="inlineStr">
        <is>
          <t>Indice de Endeudamiento</t>
        </is>
      </c>
      <c r="C177" t="inlineStr">
        <is>
          <t>Tesorería</t>
        </is>
      </c>
      <c r="D177" t="inlineStr">
        <is>
          <t>Trimestral</t>
        </is>
      </c>
      <c r="E177" t="inlineStr">
        <is>
          <t>Negativo</t>
        </is>
      </c>
      <c r="F177" t="inlineStr">
        <is>
          <t>PAST</t>
        </is>
      </c>
      <c r="G177" t="inlineStr">
        <is>
          <t>Pasivo total</t>
        </is>
      </c>
      <c r="H177" t="inlineStr">
        <is>
          <t>Informativo</t>
        </is>
      </c>
    </row>
    <row r="178">
      <c r="A178" t="n">
        <v>356</v>
      </c>
      <c r="B178" t="inlineStr">
        <is>
          <t>Indice de Endeudamiento</t>
        </is>
      </c>
      <c r="C178" t="inlineStr">
        <is>
          <t>Tesorería</t>
        </is>
      </c>
      <c r="D178" t="inlineStr">
        <is>
          <t>Trimestral</t>
        </is>
      </c>
      <c r="E178" t="inlineStr">
        <is>
          <t>Negativo</t>
        </is>
      </c>
      <c r="F178" t="inlineStr">
        <is>
          <t>ACTTO</t>
        </is>
      </c>
      <c r="G178" t="inlineStr">
        <is>
          <t>Activo Total</t>
        </is>
      </c>
      <c r="H178" t="inlineStr">
        <is>
          <t>Informativo</t>
        </is>
      </c>
    </row>
    <row r="179">
      <c r="A179" t="n">
        <v>357</v>
      </c>
      <c r="B179" t="inlineStr">
        <is>
          <t>Cartera - Metrica</t>
        </is>
      </c>
      <c r="C179" t="inlineStr">
        <is>
          <t>Tesorería</t>
        </is>
      </c>
      <c r="D179" t="inlineStr">
        <is>
          <t>Trimestral</t>
        </is>
      </c>
      <c r="E179" t="inlineStr">
        <is>
          <t>Positivo</t>
        </is>
      </c>
      <c r="F179" t="inlineStr">
        <is>
          <t>CM360</t>
        </is>
      </c>
      <c r="G179" t="inlineStr">
        <is>
          <t>Cartera mayor a 360 días</t>
        </is>
      </c>
      <c r="H179" t="inlineStr">
        <is>
          <t>Informativo</t>
        </is>
      </c>
    </row>
    <row r="180">
      <c r="A180" t="n">
        <v>357</v>
      </c>
      <c r="B180" t="inlineStr">
        <is>
          <t>Cartera - Metrica</t>
        </is>
      </c>
      <c r="C180" t="inlineStr">
        <is>
          <t>Tesorería</t>
        </is>
      </c>
      <c r="D180" t="inlineStr">
        <is>
          <t>Trimestral</t>
        </is>
      </c>
      <c r="E180" t="inlineStr">
        <is>
          <t>Positivo</t>
        </is>
      </c>
      <c r="F180" t="inlineStr">
        <is>
          <t>TCAR</t>
        </is>
      </c>
      <c r="G180" t="inlineStr">
        <is>
          <t>Total cartera</t>
        </is>
      </c>
      <c r="H180" t="inlineStr">
        <is>
          <t>Informativo</t>
        </is>
      </c>
    </row>
    <row r="181">
      <c r="A181" t="n">
        <v>358</v>
      </c>
      <c r="B181" t="inlineStr">
        <is>
          <t>Nivel de acompañamiento a estudiantes en práctica</t>
        </is>
      </c>
      <c r="C181" t="inlineStr">
        <is>
          <t>Prácticas</t>
        </is>
      </c>
      <c r="D181" t="inlineStr">
        <is>
          <t>Trimestral</t>
        </is>
      </c>
      <c r="E181" t="inlineStr">
        <is>
          <t>Positivo</t>
        </is>
      </c>
      <c r="F181" t="inlineStr">
        <is>
          <t>NESEG</t>
        </is>
      </c>
      <c r="G181" t="inlineStr">
        <is>
          <t>Número de Estudiantes visitados en seguimiento</t>
        </is>
      </c>
      <c r="H181" t="inlineStr">
        <is>
          <t>Informativo</t>
        </is>
      </c>
    </row>
    <row r="182">
      <c r="A182" t="n">
        <v>358</v>
      </c>
      <c r="B182" t="inlineStr">
        <is>
          <t>Nivel de acompañamiento a estudiantes en práctica</t>
        </is>
      </c>
      <c r="C182" t="inlineStr">
        <is>
          <t>Prácticas</t>
        </is>
      </c>
      <c r="D182" t="inlineStr">
        <is>
          <t>Trimestral</t>
        </is>
      </c>
      <c r="E182" t="inlineStr">
        <is>
          <t>Positivo</t>
        </is>
      </c>
      <c r="F182" t="inlineStr">
        <is>
          <t>NEL</t>
        </is>
      </c>
      <c r="G182" t="inlineStr">
        <is>
          <t>Número de estudiantes que requieren seguimiento</t>
        </is>
      </c>
      <c r="H182" t="inlineStr">
        <is>
          <t>Informativo</t>
        </is>
      </c>
    </row>
    <row r="183">
      <c r="A183" t="n">
        <v>364</v>
      </c>
      <c r="B183" t="inlineStr">
        <is>
          <t>Impacto de actividades de Responsabilidad y proyección</t>
        </is>
      </c>
      <c r="C183" t="inlineStr">
        <is>
          <t>Gestión de la Responsabilidad Social</t>
        </is>
      </c>
      <c r="D183" t="inlineStr">
        <is>
          <t>Trimestral</t>
        </is>
      </c>
      <c r="E183" t="inlineStr">
        <is>
          <t>Positivo</t>
        </is>
      </c>
      <c r="F183" t="inlineStr">
        <is>
          <t>NPIMP</t>
        </is>
      </c>
      <c r="G183" t="inlineStr">
        <is>
          <t>N de personas impactadas en el periodo</t>
        </is>
      </c>
      <c r="H183" t="inlineStr">
        <is>
          <t>Ejecución</t>
        </is>
      </c>
    </row>
    <row r="184">
      <c r="A184" t="n">
        <v>371</v>
      </c>
      <c r="B184" t="inlineStr">
        <is>
          <t>Recaudación de fondos</t>
        </is>
      </c>
      <c r="C184" t="inlineStr">
        <is>
          <t>Gestión de la Responsabilidad Social</t>
        </is>
      </c>
      <c r="D184" t="inlineStr">
        <is>
          <t>Trimestral</t>
        </is>
      </c>
      <c r="E184" t="inlineStr">
        <is>
          <t>Positivo</t>
        </is>
      </c>
      <c r="F184" t="inlineStr">
        <is>
          <t>MDR</t>
        </is>
      </c>
      <c r="G184" t="inlineStr">
        <is>
          <t>Monto de dinero recaudado</t>
        </is>
      </c>
      <c r="H184" t="inlineStr">
        <is>
          <t>Ejecución</t>
        </is>
      </c>
    </row>
    <row r="185">
      <c r="A185" t="n">
        <v>371</v>
      </c>
      <c r="B185" t="inlineStr">
        <is>
          <t>Recaudación de fondos</t>
        </is>
      </c>
      <c r="C185" t="inlineStr">
        <is>
          <t>Gestión de la Responsabilidad Social</t>
        </is>
      </c>
      <c r="D185" t="inlineStr">
        <is>
          <t>Trimestral</t>
        </is>
      </c>
      <c r="E185" t="inlineStr">
        <is>
          <t>Positivo</t>
        </is>
      </c>
      <c r="F185" t="inlineStr">
        <is>
          <t>MDPP</t>
        </is>
      </c>
      <c r="G185" t="inlineStr">
        <is>
          <t>Monto de dinero presupuestado para el periodo</t>
        </is>
      </c>
      <c r="H185" t="inlineStr">
        <is>
          <t>Meta</t>
        </is>
      </c>
    </row>
    <row r="186">
      <c r="A186" t="n">
        <v>376</v>
      </c>
      <c r="B186" t="inlineStr">
        <is>
          <t>Cumplimiento EBITDA</t>
        </is>
      </c>
      <c r="C186" t="inlineStr">
        <is>
          <t>Planeación Financiera</t>
        </is>
      </c>
      <c r="D186" t="inlineStr">
        <is>
          <t>Trimestral</t>
        </is>
      </c>
      <c r="E186" t="inlineStr">
        <is>
          <t>Positivo</t>
        </is>
      </c>
      <c r="F186" t="inlineStr">
        <is>
          <t>EBITDARE</t>
        </is>
      </c>
      <c r="G186" t="inlineStr">
        <is>
          <t>EBITDA Real</t>
        </is>
      </c>
      <c r="H186" t="inlineStr">
        <is>
          <t>Ejecución</t>
        </is>
      </c>
    </row>
    <row r="187">
      <c r="A187" t="n">
        <v>376</v>
      </c>
      <c r="B187" t="inlineStr">
        <is>
          <t>Cumplimiento EBITDA</t>
        </is>
      </c>
      <c r="C187" t="inlineStr">
        <is>
          <t>Planeación Financiera</t>
        </is>
      </c>
      <c r="D187" t="inlineStr">
        <is>
          <t>Trimestral</t>
        </is>
      </c>
      <c r="E187" t="inlineStr">
        <is>
          <t>Positivo</t>
        </is>
      </c>
      <c r="F187" t="inlineStr">
        <is>
          <t>EBITDAPRE</t>
        </is>
      </c>
      <c r="G187" t="inlineStr">
        <is>
          <t>EBITDA Presupuesto</t>
        </is>
      </c>
      <c r="H187" t="inlineStr">
        <is>
          <t>Meta</t>
        </is>
      </c>
    </row>
    <row r="188">
      <c r="A188" t="n">
        <v>379</v>
      </c>
      <c r="B188" t="inlineStr">
        <is>
          <t>Total estudiantes nuevos</t>
        </is>
      </c>
      <c r="C188" t="inlineStr">
        <is>
          <t>Inscripción, admisión y matrícula de estudiantes nuevos</t>
        </is>
      </c>
      <c r="D188" t="inlineStr">
        <is>
          <t>Trimestral</t>
        </is>
      </c>
      <c r="E188" t="inlineStr">
        <is>
          <t>Positivo</t>
        </is>
      </c>
      <c r="F188" t="inlineStr">
        <is>
          <t>NENTM</t>
        </is>
      </c>
      <c r="G188" t="inlineStr">
        <is>
          <t>N estudiantes nuevos total matriculados</t>
        </is>
      </c>
      <c r="H188" t="inlineStr">
        <is>
          <t>Ejecución</t>
        </is>
      </c>
    </row>
    <row r="189">
      <c r="A189" t="n">
        <v>379</v>
      </c>
      <c r="B189" t="inlineStr">
        <is>
          <t>Total estudiantes nuevos</t>
        </is>
      </c>
      <c r="C189" t="inlineStr">
        <is>
          <t>Inscripción, admisión y matrícula de estudiantes nuevos</t>
        </is>
      </c>
      <c r="D189" t="inlineStr">
        <is>
          <t>Trimestral</t>
        </is>
      </c>
      <c r="E189" t="inlineStr">
        <is>
          <t>Positivo</t>
        </is>
      </c>
      <c r="F189" t="inlineStr">
        <is>
          <t>NTENMP</t>
        </is>
      </c>
      <c r="G189" t="inlineStr">
        <is>
          <t>N total de estudiantes nuevos matriculados presupuestados</t>
        </is>
      </c>
      <c r="H189" t="inlineStr">
        <is>
          <t>Meta</t>
        </is>
      </c>
    </row>
    <row r="190">
      <c r="A190" t="n">
        <v>381</v>
      </c>
      <c r="B190" t="inlineStr">
        <is>
          <t>Cumplimiento de matrículas pregrado presencial nuevos</t>
        </is>
      </c>
      <c r="C190" t="inlineStr">
        <is>
          <t>Inscripción, admisión y matrícula de estudiantes nuevos</t>
        </is>
      </c>
      <c r="D190" t="inlineStr">
        <is>
          <t>Trimestral</t>
        </is>
      </c>
      <c r="E190" t="inlineStr">
        <is>
          <t>Positivo</t>
        </is>
      </c>
      <c r="F190" t="inlineStr">
        <is>
          <t>ENMPP</t>
        </is>
      </c>
      <c r="G190" t="inlineStr">
        <is>
          <t>N estudiantes nuevos matriculados en pregrado presencial</t>
        </is>
      </c>
      <c r="H190" t="inlineStr">
        <is>
          <t>Ejecución</t>
        </is>
      </c>
    </row>
    <row r="191">
      <c r="A191" t="n">
        <v>381</v>
      </c>
      <c r="B191" t="inlineStr">
        <is>
          <t>Cumplimiento de matrículas pregrado presencial nuevos</t>
        </is>
      </c>
      <c r="C191" t="inlineStr">
        <is>
          <t>Inscripción, admisión y matrícula de estudiantes nuevos</t>
        </is>
      </c>
      <c r="D191" t="inlineStr">
        <is>
          <t>Trimestral</t>
        </is>
      </c>
      <c r="E191" t="inlineStr">
        <is>
          <t>Positivo</t>
        </is>
      </c>
      <c r="F191" t="inlineStr">
        <is>
          <t>TENPPP</t>
        </is>
      </c>
      <c r="G191" t="inlineStr">
        <is>
          <t>Total de estudiantes nuevos presupuestados pregrado presencial</t>
        </is>
      </c>
      <c r="H191" t="inlineStr">
        <is>
          <t>Meta</t>
        </is>
      </c>
    </row>
    <row r="192">
      <c r="A192" t="n">
        <v>382</v>
      </c>
      <c r="B192" t="inlineStr">
        <is>
          <t>Cumplimiento de matrículas pregrado virtual nuevos</t>
        </is>
      </c>
      <c r="C192" t="inlineStr">
        <is>
          <t>Inscripción, admisión y matrícula de estudiantes nuevos</t>
        </is>
      </c>
      <c r="D192" t="inlineStr">
        <is>
          <t>Trimestral</t>
        </is>
      </c>
      <c r="E192" t="inlineStr">
        <is>
          <t>Positivo</t>
        </is>
      </c>
      <c r="F192" t="inlineStr">
        <is>
          <t>ENMPV</t>
        </is>
      </c>
      <c r="G192" t="inlineStr">
        <is>
          <t>N estudiantes nuevos matriculados en pregrado virtual</t>
        </is>
      </c>
      <c r="H192" t="inlineStr">
        <is>
          <t>Ejecución</t>
        </is>
      </c>
    </row>
    <row r="193">
      <c r="A193" t="n">
        <v>382</v>
      </c>
      <c r="B193" t="inlineStr">
        <is>
          <t>Cumplimiento de matrículas pregrado virtual nuevos</t>
        </is>
      </c>
      <c r="C193" t="inlineStr">
        <is>
          <t>Inscripción, admisión y matrícula de estudiantes nuevos</t>
        </is>
      </c>
      <c r="D193" t="inlineStr">
        <is>
          <t>Trimestral</t>
        </is>
      </c>
      <c r="E193" t="inlineStr">
        <is>
          <t>Positivo</t>
        </is>
      </c>
      <c r="F193" t="inlineStr">
        <is>
          <t>TENPPV</t>
        </is>
      </c>
      <c r="G193" t="inlineStr">
        <is>
          <t>Total de estudiantes nuevos presupuestados pregrado virtual</t>
        </is>
      </c>
      <c r="H193" t="inlineStr">
        <is>
          <t>Meta</t>
        </is>
      </c>
    </row>
    <row r="194">
      <c r="A194" t="n">
        <v>383</v>
      </c>
      <c r="B194" t="inlineStr">
        <is>
          <t>Cumplimiento de matrículas posgrado virtual nuevos</t>
        </is>
      </c>
      <c r="C194" t="inlineStr">
        <is>
          <t>Inscripción, admisión y matrícula de estudiantes nuevos</t>
        </is>
      </c>
      <c r="D194" t="inlineStr">
        <is>
          <t>Trimestral</t>
        </is>
      </c>
      <c r="E194" t="inlineStr">
        <is>
          <t>Positivo</t>
        </is>
      </c>
      <c r="F194" t="inlineStr">
        <is>
          <t>TEMPVP</t>
        </is>
      </c>
      <c r="G194" t="inlineStr">
        <is>
          <t>Total de estudiantes matriculados posgrado virtual presupuestados</t>
        </is>
      </c>
      <c r="H194" t="inlineStr">
        <is>
          <t>Meta</t>
        </is>
      </c>
    </row>
    <row r="195">
      <c r="A195" t="n">
        <v>383</v>
      </c>
      <c r="B195" t="inlineStr">
        <is>
          <t>Cumplimiento de matrículas posgrado virtual nuevos</t>
        </is>
      </c>
      <c r="C195" t="inlineStr">
        <is>
          <t>Inscripción, admisión y matrícula de estudiantes nuevos</t>
        </is>
      </c>
      <c r="D195" t="inlineStr">
        <is>
          <t>Trimestral</t>
        </is>
      </c>
      <c r="E195" t="inlineStr">
        <is>
          <t>Positivo</t>
        </is>
      </c>
      <c r="F195" t="inlineStr">
        <is>
          <t>NENMPV</t>
        </is>
      </c>
      <c r="G195" t="inlineStr">
        <is>
          <t>N estudiantes nuevos matriculados en posgrados virtual</t>
        </is>
      </c>
      <c r="H195" t="inlineStr">
        <is>
          <t>Ejecución</t>
        </is>
      </c>
    </row>
    <row r="196">
      <c r="A196" t="n">
        <v>384</v>
      </c>
      <c r="B196" t="inlineStr">
        <is>
          <t>Cumplimiento de matrículas posgrado presencial nuevos</t>
        </is>
      </c>
      <c r="C196" t="inlineStr">
        <is>
          <t>Inscripción, admisión y matrícula de estudiantes nuevos</t>
        </is>
      </c>
      <c r="D196" t="inlineStr">
        <is>
          <t>Trimestral</t>
        </is>
      </c>
      <c r="E196" t="inlineStr">
        <is>
          <t>Positivo</t>
        </is>
      </c>
      <c r="F196" t="inlineStr">
        <is>
          <t>NENMPP</t>
        </is>
      </c>
      <c r="G196" t="inlineStr">
        <is>
          <t>N estudiantes nuevos matriculados  posgrados presencial</t>
        </is>
      </c>
      <c r="H196" t="inlineStr">
        <is>
          <t>Ejecución</t>
        </is>
      </c>
    </row>
    <row r="197">
      <c r="A197" t="n">
        <v>384</v>
      </c>
      <c r="B197" t="inlineStr">
        <is>
          <t>Cumplimiento de matrículas posgrado presencial nuevos</t>
        </is>
      </c>
      <c r="C197" t="inlineStr">
        <is>
          <t>Inscripción, admisión y matrícula de estudiantes nuevos</t>
        </is>
      </c>
      <c r="D197" t="inlineStr">
        <is>
          <t>Trimestral</t>
        </is>
      </c>
      <c r="E197" t="inlineStr">
        <is>
          <t>Positivo</t>
        </is>
      </c>
      <c r="F197" t="inlineStr">
        <is>
          <t>TENPPPR</t>
        </is>
      </c>
      <c r="G197" t="inlineStr">
        <is>
          <t>Total de estudiantes nuevos presupuestados posgrados presencial</t>
        </is>
      </c>
      <c r="H197" t="inlineStr">
        <is>
          <t>Meta</t>
        </is>
      </c>
    </row>
    <row r="198">
      <c r="A198" t="n">
        <v>385</v>
      </c>
      <c r="B198" t="inlineStr">
        <is>
          <t>Ingresos totales de educación para la vida</t>
        </is>
      </c>
      <c r="C198" t="inlineStr">
        <is>
          <t>Mercadeo y venta de educación para la vida</t>
        </is>
      </c>
      <c r="D198" t="inlineStr">
        <is>
          <t>Trimestral</t>
        </is>
      </c>
      <c r="E198" t="inlineStr">
        <is>
          <t>Positivo</t>
        </is>
      </c>
      <c r="F198" t="inlineStr">
        <is>
          <t>INEPVE</t>
        </is>
      </c>
      <c r="G198" t="inlineStr">
        <is>
          <t>Ingresos totales de educación para la vida ejecutados</t>
        </is>
      </c>
      <c r="H198" t="inlineStr">
        <is>
          <t>Ejecución</t>
        </is>
      </c>
    </row>
    <row r="199">
      <c r="A199" t="n">
        <v>385</v>
      </c>
      <c r="B199" t="inlineStr">
        <is>
          <t>Ingresos totales de educación para la vida</t>
        </is>
      </c>
      <c r="C199" t="inlineStr">
        <is>
          <t>Mercadeo y venta de educación para la vida</t>
        </is>
      </c>
      <c r="D199" t="inlineStr">
        <is>
          <t>Trimestral</t>
        </is>
      </c>
      <c r="E199" t="inlineStr">
        <is>
          <t>Positivo</t>
        </is>
      </c>
      <c r="F199" t="inlineStr">
        <is>
          <t>ITEPVP</t>
        </is>
      </c>
      <c r="G199" t="inlineStr">
        <is>
          <t>Ingresos totales de educación para la vida presupuestados</t>
        </is>
      </c>
      <c r="H199" t="inlineStr">
        <is>
          <t>Meta</t>
        </is>
      </c>
    </row>
    <row r="200">
      <c r="A200" t="n">
        <v>397</v>
      </c>
      <c r="B200" t="inlineStr">
        <is>
          <t>Gestión de casos del Estudio de Grabación Virtual</t>
        </is>
      </c>
      <c r="C200" t="inlineStr">
        <is>
          <t>Diseño de Contenido Virtual</t>
        </is>
      </c>
      <c r="D200" t="inlineStr">
        <is>
          <t>Trimestral</t>
        </is>
      </c>
      <c r="E200" t="inlineStr">
        <is>
          <t>Positivo</t>
        </is>
      </c>
      <c r="F200" t="inlineStr">
        <is>
          <t>NCGEE</t>
        </is>
      </c>
      <c r="G200" t="inlineStr">
        <is>
          <t># de casos gestionados del estudio de emisión</t>
        </is>
      </c>
      <c r="H200" t="inlineStr">
        <is>
          <t>Ejecución</t>
        </is>
      </c>
    </row>
    <row r="201">
      <c r="A201" t="n">
        <v>397</v>
      </c>
      <c r="B201" t="inlineStr">
        <is>
          <t>Gestión de casos del Estudio de Grabación Virtual</t>
        </is>
      </c>
      <c r="C201" t="inlineStr">
        <is>
          <t>Diseño de Contenido Virtual</t>
        </is>
      </c>
      <c r="D201" t="inlineStr">
        <is>
          <t>Trimestral</t>
        </is>
      </c>
      <c r="E201" t="inlineStr">
        <is>
          <t>Positivo</t>
        </is>
      </c>
      <c r="F201" t="inlineStr">
        <is>
          <t>NCSEE</t>
        </is>
      </c>
      <c r="G201" t="inlineStr">
        <is>
          <t># de casos solicitados en la mesa de soluciones del estudio de emisión</t>
        </is>
      </c>
      <c r="H201" t="inlineStr">
        <is>
          <t>Meta</t>
        </is>
      </c>
    </row>
    <row r="202">
      <c r="A202" t="n">
        <v>398</v>
      </c>
      <c r="B202" t="inlineStr">
        <is>
          <t>Participación en actividades de desarrollo de Cultura y Formación Emprendedora</t>
        </is>
      </c>
      <c r="C202" t="inlineStr">
        <is>
          <t>Emprendimiento</t>
        </is>
      </c>
      <c r="D202" t="inlineStr">
        <is>
          <t>Trimestral</t>
        </is>
      </c>
      <c r="E202" t="inlineStr">
        <is>
          <t>Positivo</t>
        </is>
      </c>
      <c r="F202" t="inlineStr">
        <is>
          <t>NPADCF</t>
        </is>
      </c>
      <c r="G202" t="inlineStr">
        <is>
          <t>N de participantes en actividades de desarrollo de Cultura y Formación Emprendedora</t>
        </is>
      </c>
      <c r="H202" t="inlineStr">
        <is>
          <t>Ejecución</t>
        </is>
      </c>
    </row>
    <row r="203">
      <c r="A203" t="n">
        <v>398</v>
      </c>
      <c r="B203" t="inlineStr">
        <is>
          <t>Participación en actividades de desarrollo de Cultura y Formación Emprendedora</t>
        </is>
      </c>
      <c r="C203" t="inlineStr">
        <is>
          <t>Emprendimiento</t>
        </is>
      </c>
      <c r="D203" t="inlineStr">
        <is>
          <t>Trimestral</t>
        </is>
      </c>
      <c r="E203" t="inlineStr">
        <is>
          <t>Positivo</t>
        </is>
      </c>
      <c r="F203" t="inlineStr">
        <is>
          <t>NPADCFP</t>
        </is>
      </c>
      <c r="G203" t="inlineStr">
        <is>
          <t>N de participantes a actividades de desarrollo de Cultura y Formación Emprendedora proyectados</t>
        </is>
      </c>
      <c r="H203" t="inlineStr">
        <is>
          <t>Meta</t>
        </is>
      </c>
    </row>
    <row r="204">
      <c r="A204" t="n">
        <v>399</v>
      </c>
      <c r="B204" t="inlineStr">
        <is>
          <t>Sesiones de Acompañamiento a emprendedores en creación de empresas</t>
        </is>
      </c>
      <c r="C204" t="inlineStr">
        <is>
          <t>Emprendimiento</t>
        </is>
      </c>
      <c r="D204" t="inlineStr">
        <is>
          <t>Trimestral</t>
        </is>
      </c>
      <c r="E204" t="inlineStr">
        <is>
          <t>Positivo</t>
        </is>
      </c>
      <c r="F204" t="inlineStr">
        <is>
          <t>NMAEEP</t>
        </is>
      </c>
      <c r="G204" t="inlineStr">
        <is>
          <t>N de mentorías o asesorías especializadas a emprendedores proyectadas</t>
        </is>
      </c>
      <c r="H204" t="inlineStr">
        <is>
          <t>Meta</t>
        </is>
      </c>
    </row>
    <row r="205">
      <c r="A205" t="n">
        <v>399</v>
      </c>
      <c r="B205" t="inlineStr">
        <is>
          <t>Sesiones de Acompañamiento a emprendedores en creación de empresas</t>
        </is>
      </c>
      <c r="C205" t="inlineStr">
        <is>
          <t>Emprendimiento</t>
        </is>
      </c>
      <c r="D205" t="inlineStr">
        <is>
          <t>Trimestral</t>
        </is>
      </c>
      <c r="E205" t="inlineStr">
        <is>
          <t>Positivo</t>
        </is>
      </c>
      <c r="F205" t="inlineStr">
        <is>
          <t>NMAEER</t>
        </is>
      </c>
      <c r="G205" t="inlineStr">
        <is>
          <t>N de mentorías o asesorías especializadas a emprendedores realizadas</t>
        </is>
      </c>
      <c r="H205" t="inlineStr">
        <is>
          <t>Ejecución</t>
        </is>
      </c>
    </row>
    <row r="206">
      <c r="A206" t="n">
        <v>400</v>
      </c>
      <c r="B206" t="inlineStr">
        <is>
          <t>Puesta en marcha de proyectos de emprendimiento</t>
        </is>
      </c>
      <c r="C206" t="inlineStr">
        <is>
          <t>Emprendimiento</t>
        </is>
      </c>
      <c r="D206" t="inlineStr">
        <is>
          <t>Trimestral</t>
        </is>
      </c>
      <c r="E206" t="inlineStr">
        <is>
          <t>Positivo</t>
        </is>
      </c>
      <c r="F206" t="inlineStr">
        <is>
          <t>NEPEM</t>
        </is>
      </c>
      <c r="G206" t="inlineStr">
        <is>
          <t>N de emprendimientos en puesta en marcha</t>
        </is>
      </c>
      <c r="H206" t="inlineStr">
        <is>
          <t>Ejecución</t>
        </is>
      </c>
    </row>
    <row r="207">
      <c r="A207" t="n">
        <v>400</v>
      </c>
      <c r="B207" t="inlineStr">
        <is>
          <t>Puesta en marcha de proyectos de emprendimiento</t>
        </is>
      </c>
      <c r="C207" t="inlineStr">
        <is>
          <t>Emprendimiento</t>
        </is>
      </c>
      <c r="D207" t="inlineStr">
        <is>
          <t>Trimestral</t>
        </is>
      </c>
      <c r="E207" t="inlineStr">
        <is>
          <t>Positivo</t>
        </is>
      </c>
      <c r="F207" t="inlineStr">
        <is>
          <t>NEES</t>
        </is>
      </c>
      <c r="G207" t="inlineStr">
        <is>
          <t>N de emprendimientos esperados</t>
        </is>
      </c>
      <c r="H207" t="inlineStr">
        <is>
          <t>Meta</t>
        </is>
      </c>
    </row>
    <row r="208">
      <c r="A208" t="n">
        <v>401</v>
      </c>
      <c r="B208" t="inlineStr">
        <is>
          <t>Producción de nuevos MI-Books</t>
        </is>
      </c>
      <c r="C208" t="inlineStr">
        <is>
          <t>LEI</t>
        </is>
      </c>
      <c r="D208" t="inlineStr">
        <is>
          <t>Trimestral</t>
        </is>
      </c>
      <c r="E208" t="inlineStr">
        <is>
          <t>Positivo</t>
        </is>
      </c>
      <c r="F208" t="inlineStr">
        <is>
          <t>NMBE</t>
        </is>
      </c>
      <c r="G208" t="inlineStr">
        <is>
          <t>N de MI-Book elaborados</t>
        </is>
      </c>
      <c r="H208" t="inlineStr">
        <is>
          <t>Ejecución</t>
        </is>
      </c>
    </row>
    <row r="209">
      <c r="A209" t="n">
        <v>401</v>
      </c>
      <c r="B209" t="inlineStr">
        <is>
          <t>Producción de nuevos MI-Books</t>
        </is>
      </c>
      <c r="C209" t="inlineStr">
        <is>
          <t>LEI</t>
        </is>
      </c>
      <c r="D209" t="inlineStr">
        <is>
          <t>Trimestral</t>
        </is>
      </c>
      <c r="E209" t="inlineStr">
        <is>
          <t>Positivo</t>
        </is>
      </c>
      <c r="F209" t="inlineStr">
        <is>
          <t>NTMEP</t>
        </is>
      </c>
      <c r="G209" t="inlineStr">
        <is>
          <t>N Total de MI-Ebooks proyectados en el periodo</t>
        </is>
      </c>
      <c r="H209" t="inlineStr">
        <is>
          <t>Meta</t>
        </is>
      </c>
    </row>
    <row r="210">
      <c r="A210" t="n">
        <v>403</v>
      </c>
      <c r="B210" t="inlineStr">
        <is>
          <t>Número de estudiantes que ha realizado la simulación (Metrica)</t>
        </is>
      </c>
      <c r="C210" t="inlineStr">
        <is>
          <t>LEI</t>
        </is>
      </c>
      <c r="D210" t="inlineStr">
        <is>
          <t>Trimestral</t>
        </is>
      </c>
      <c r="E210" t="inlineStr">
        <is>
          <t>Positivo</t>
        </is>
      </c>
      <c r="F210" t="inlineStr">
        <is>
          <t>NEIAI</t>
        </is>
      </c>
      <c r="G210" t="inlineStr">
        <is>
          <t>N de estudiantes que ingresaron a los ambientes inmersivos</t>
        </is>
      </c>
      <c r="H210" t="inlineStr">
        <is>
          <t>Ejecución</t>
        </is>
      </c>
    </row>
    <row r="211">
      <c r="A211" t="n">
        <v>422</v>
      </c>
      <c r="B211" t="inlineStr">
        <is>
          <t>Total conversión</t>
        </is>
      </c>
      <c r="C211" t="inlineStr">
        <is>
          <t>Mercadeo de programas académicos</t>
        </is>
      </c>
      <c r="D211" t="inlineStr">
        <is>
          <t>Trimestral</t>
        </is>
      </c>
      <c r="E211" t="inlineStr">
        <is>
          <t>Positivo</t>
        </is>
      </c>
      <c r="F211" t="inlineStr">
        <is>
          <t>TMATRIC</t>
        </is>
      </c>
      <c r="G211" t="inlineStr">
        <is>
          <t>Total Matrículas</t>
        </is>
      </c>
      <c r="H211" t="inlineStr">
        <is>
          <t>Informativo</t>
        </is>
      </c>
    </row>
    <row r="212">
      <c r="A212" t="n">
        <v>422</v>
      </c>
      <c r="B212" t="inlineStr">
        <is>
          <t>Total conversión</t>
        </is>
      </c>
      <c r="C212" t="inlineStr">
        <is>
          <t>Mercadeo de programas académicos</t>
        </is>
      </c>
      <c r="D212" t="inlineStr">
        <is>
          <t>Trimestral</t>
        </is>
      </c>
      <c r="E212" t="inlineStr">
        <is>
          <t>Positivo</t>
        </is>
      </c>
      <c r="F212" t="inlineStr">
        <is>
          <t>TLEADS</t>
        </is>
      </c>
      <c r="G212" t="inlineStr">
        <is>
          <t>Total leads budget</t>
        </is>
      </c>
      <c r="H212" t="inlineStr">
        <is>
          <t>Informativo</t>
        </is>
      </c>
    </row>
    <row r="213">
      <c r="A213" t="n">
        <v>426</v>
      </c>
      <c r="B213" t="inlineStr">
        <is>
          <t>Cumplimiento en la respuesta a solicitudes de comunicaciones internas</t>
        </is>
      </c>
      <c r="C213" t="inlineStr">
        <is>
          <t>Comunicaciones Internas</t>
        </is>
      </c>
      <c r="D213" t="inlineStr">
        <is>
          <t>Trimestral</t>
        </is>
      </c>
      <c r="E213" t="inlineStr">
        <is>
          <t>Positivo</t>
        </is>
      </c>
      <c r="F213" t="inlineStr">
        <is>
          <t>NSRTE</t>
        </is>
      </c>
      <c r="G213" t="inlineStr">
        <is>
          <t>N de solicitudes resueltas</t>
        </is>
      </c>
      <c r="H213" t="inlineStr">
        <is>
          <t>Ejecución</t>
        </is>
      </c>
    </row>
    <row r="214">
      <c r="A214" t="n">
        <v>426</v>
      </c>
      <c r="B214" t="inlineStr">
        <is>
          <t>Cumplimiento en la respuesta a solicitudes de comunicaciones internas</t>
        </is>
      </c>
      <c r="C214" t="inlineStr">
        <is>
          <t>Comunicaciones Internas</t>
        </is>
      </c>
      <c r="D214" t="inlineStr">
        <is>
          <t>Trimestral</t>
        </is>
      </c>
      <c r="E214" t="inlineStr">
        <is>
          <t>Positivo</t>
        </is>
      </c>
      <c r="F214" t="inlineStr">
        <is>
          <t>TSRAD</t>
        </is>
      </c>
      <c r="G214" t="inlineStr">
        <is>
          <t>Total de solicitudes radicadas</t>
        </is>
      </c>
      <c r="H214" t="inlineStr">
        <is>
          <t>Meta</t>
        </is>
      </c>
    </row>
    <row r="215">
      <c r="A215" t="n">
        <v>251</v>
      </c>
      <c r="B215" t="inlineStr">
        <is>
          <t>Subprocesos Con indicadores definidos</t>
        </is>
      </c>
      <c r="C215" t="inlineStr">
        <is>
          <t>Desempeño Institucional</t>
        </is>
      </c>
      <c r="D215" t="inlineStr">
        <is>
          <t>Semestral</t>
        </is>
      </c>
      <c r="E215" t="inlineStr">
        <is>
          <t>Positivo</t>
        </is>
      </c>
      <c r="F215" t="inlineStr">
        <is>
          <t>NOCE</t>
        </is>
      </c>
      <c r="G215" t="inlineStr">
        <is>
          <t>Número de subprocesos con Indicadores estructurados</t>
        </is>
      </c>
      <c r="H215" t="inlineStr">
        <is>
          <t>Ejecución</t>
        </is>
      </c>
    </row>
    <row r="216">
      <c r="A216" t="n">
        <v>251</v>
      </c>
      <c r="B216" t="inlineStr">
        <is>
          <t>Subprocesos Con indicadores definidos</t>
        </is>
      </c>
      <c r="C216" t="inlineStr">
        <is>
          <t>Desempeño Institucional</t>
        </is>
      </c>
      <c r="D216" t="inlineStr">
        <is>
          <t>Semestral</t>
        </is>
      </c>
      <c r="E216" t="inlineStr">
        <is>
          <t>Positivo</t>
        </is>
      </c>
      <c r="F216" t="inlineStr">
        <is>
          <t>NPT</t>
        </is>
      </c>
      <c r="G216" t="inlineStr">
        <is>
          <t>Número de subprocesos totales</t>
        </is>
      </c>
      <c r="H216" t="inlineStr">
        <is>
          <t>Meta</t>
        </is>
      </c>
    </row>
    <row r="217">
      <c r="A217" t="n">
        <v>206</v>
      </c>
      <c r="B217" t="inlineStr">
        <is>
          <t>Inversión en CAPEX de la utilidad anterior</t>
        </is>
      </c>
      <c r="C217" t="inlineStr">
        <is>
          <t>Planeación Financiera</t>
        </is>
      </c>
      <c r="D217" t="inlineStr">
        <is>
          <t>Anual</t>
        </is>
      </c>
      <c r="E217" t="inlineStr">
        <is>
          <t>Positivo</t>
        </is>
      </c>
      <c r="F217" t="inlineStr">
        <is>
          <t>ICAA</t>
        </is>
      </c>
      <c r="G217" t="inlineStr">
        <is>
          <t>Inversión CAPEX año actual</t>
        </is>
      </c>
      <c r="H217" t="inlineStr">
        <is>
          <t>Informativo</t>
        </is>
      </c>
    </row>
    <row r="218">
      <c r="A218" t="n">
        <v>206</v>
      </c>
      <c r="B218" t="inlineStr">
        <is>
          <t>Inversión en CAPEX de la utilidad anterior</t>
        </is>
      </c>
      <c r="C218" t="inlineStr">
        <is>
          <t>Planeación Financiera</t>
        </is>
      </c>
      <c r="D218" t="inlineStr">
        <is>
          <t>Anual</t>
        </is>
      </c>
      <c r="E218" t="inlineStr">
        <is>
          <t>Positivo</t>
        </is>
      </c>
      <c r="F218" t="inlineStr">
        <is>
          <t>UNAA</t>
        </is>
      </c>
      <c r="G218" t="inlineStr">
        <is>
          <t>Utilidad neta año anterior</t>
        </is>
      </c>
      <c r="H218" t="inlineStr">
        <is>
          <t>Informativo</t>
        </is>
      </c>
    </row>
    <row r="219">
      <c r="A219" t="n">
        <v>288</v>
      </c>
      <c r="B219" t="inlineStr">
        <is>
          <t>Número docentes escalafonados presentados en convocatoria</t>
        </is>
      </c>
      <c r="C219" t="inlineStr">
        <is>
          <t>Gestión Docente</t>
        </is>
      </c>
      <c r="D219" t="inlineStr">
        <is>
          <t>Anual</t>
        </is>
      </c>
      <c r="E219" t="inlineStr">
        <is>
          <t>Positivo</t>
        </is>
      </c>
      <c r="F219" t="inlineStr">
        <is>
          <t>NDEREC</t>
        </is>
      </c>
      <c r="G219" t="inlineStr">
        <is>
          <t>Número Docentes Escalafonados</t>
        </is>
      </c>
      <c r="H219" t="inlineStr">
        <is>
          <t>Ejecución</t>
        </is>
      </c>
    </row>
    <row r="220">
      <c r="A220" t="n">
        <v>288</v>
      </c>
      <c r="B220" t="inlineStr">
        <is>
          <t>Número docentes escalafonados presentados en convocatoria</t>
        </is>
      </c>
      <c r="C220" t="inlineStr">
        <is>
          <t>Gestión Docente</t>
        </is>
      </c>
      <c r="D220" t="inlineStr">
        <is>
          <t>Anual</t>
        </is>
      </c>
      <c r="E220" t="inlineStr">
        <is>
          <t>Positivo</t>
        </is>
      </c>
      <c r="F220" t="inlineStr">
        <is>
          <t>NDEP</t>
        </is>
      </c>
      <c r="G220" t="inlineStr">
        <is>
          <t>Número Docentes Escalafonables Planeados</t>
        </is>
      </c>
      <c r="H220" t="inlineStr">
        <is>
          <t>Meta</t>
        </is>
      </c>
    </row>
    <row r="221">
      <c r="A221" t="n">
        <v>318</v>
      </c>
      <c r="B221" t="inlineStr">
        <is>
          <t>Convenios, alianzas activas con actividades en los últimos 5 años</t>
        </is>
      </c>
      <c r="C221" t="inlineStr">
        <is>
          <t>VISIBILIDAD NACIONAL E INTERNACIONAL</t>
        </is>
      </c>
      <c r="D221" t="inlineStr">
        <is>
          <t>Anual</t>
        </is>
      </c>
      <c r="E221" t="inlineStr">
        <is>
          <t>Positivo</t>
        </is>
      </c>
      <c r="F221" t="inlineStr">
        <is>
          <t>NCA</t>
        </is>
      </c>
      <c r="G221" t="inlineStr">
        <is>
          <t>Número de convenios activos</t>
        </is>
      </c>
      <c r="H221" t="inlineStr">
        <is>
          <t>Ejecución</t>
        </is>
      </c>
    </row>
    <row r="222">
      <c r="A222" t="n">
        <v>318</v>
      </c>
      <c r="B222" t="inlineStr">
        <is>
          <t>Convenios, alianzas activas con actividades en los últimos 5 años</t>
        </is>
      </c>
      <c r="C222" t="inlineStr">
        <is>
          <t>VISIBILIDAD NACIONAL E INTERNACIONAL</t>
        </is>
      </c>
      <c r="D222" t="inlineStr">
        <is>
          <t>Anual</t>
        </is>
      </c>
      <c r="E222" t="inlineStr">
        <is>
          <t>Positivo</t>
        </is>
      </c>
      <c r="F222" t="inlineStr">
        <is>
          <t>NCV</t>
        </is>
      </c>
      <c r="G222" t="inlineStr">
        <is>
          <t>Número de convenios vigentes</t>
        </is>
      </c>
      <c r="H222" t="inlineStr">
        <is>
          <t>Meta</t>
        </is>
      </c>
    </row>
    <row r="223">
      <c r="A223" t="n">
        <v>355</v>
      </c>
      <c r="B223" t="inlineStr">
        <is>
          <t>Indice de liquidez</t>
        </is>
      </c>
      <c r="C223" t="inlineStr">
        <is>
          <t>Tesorería</t>
        </is>
      </c>
      <c r="D223" t="inlineStr">
        <is>
          <t>Anual</t>
        </is>
      </c>
      <c r="E223" t="inlineStr">
        <is>
          <t>Positivo</t>
        </is>
      </c>
      <c r="F223" t="inlineStr">
        <is>
          <t>ACTCO</t>
        </is>
      </c>
      <c r="G223" t="inlineStr">
        <is>
          <t>Activos Corrientes</t>
        </is>
      </c>
      <c r="H223" t="inlineStr">
        <is>
          <t>Informativo</t>
        </is>
      </c>
    </row>
    <row r="224">
      <c r="A224" t="n">
        <v>355</v>
      </c>
      <c r="B224" t="inlineStr">
        <is>
          <t>Indice de liquidez</t>
        </is>
      </c>
      <c r="C224" t="inlineStr">
        <is>
          <t>Tesorería</t>
        </is>
      </c>
      <c r="D224" t="inlineStr">
        <is>
          <t>Anual</t>
        </is>
      </c>
      <c r="E224" t="inlineStr">
        <is>
          <t>Positivo</t>
        </is>
      </c>
      <c r="F224" t="inlineStr">
        <is>
          <t>PASCO</t>
        </is>
      </c>
      <c r="G224" t="inlineStr">
        <is>
          <t>Pasivos Corrientes</t>
        </is>
      </c>
      <c r="H224" t="inlineStr">
        <is>
          <t>Informativo</t>
        </is>
      </c>
    </row>
    <row r="225">
      <c r="A225" t="n">
        <v>377</v>
      </c>
      <c r="B225" t="inlineStr">
        <is>
          <t>CAPEX</t>
        </is>
      </c>
      <c r="C225" t="inlineStr">
        <is>
          <t>Planeación Financiera</t>
        </is>
      </c>
      <c r="D225" t="inlineStr">
        <is>
          <t>Anual</t>
        </is>
      </c>
      <c r="E225" t="inlineStr">
        <is>
          <t>Positivo</t>
        </is>
      </c>
      <c r="F225" t="inlineStr">
        <is>
          <t>CAPEXE</t>
        </is>
      </c>
      <c r="G225" t="inlineStr">
        <is>
          <t>Capex Ejecutado</t>
        </is>
      </c>
      <c r="H225" t="inlineStr">
        <is>
          <t>Ejecución</t>
        </is>
      </c>
    </row>
    <row r="226">
      <c r="A226" t="n">
        <v>377</v>
      </c>
      <c r="B226" t="inlineStr">
        <is>
          <t>CAPEX</t>
        </is>
      </c>
      <c r="C226" t="inlineStr">
        <is>
          <t>Planeación Financiera</t>
        </is>
      </c>
      <c r="D226" t="inlineStr">
        <is>
          <t>Anual</t>
        </is>
      </c>
      <c r="E226" t="inlineStr">
        <is>
          <t>Positivo</t>
        </is>
      </c>
      <c r="F226" t="inlineStr">
        <is>
          <t>CAPEXPR</t>
        </is>
      </c>
      <c r="G226" t="inlineStr">
        <is>
          <t>CAPEX Presupuestado</t>
        </is>
      </c>
      <c r="H226" t="inlineStr">
        <is>
          <t>Meta</t>
        </is>
      </c>
    </row>
    <row r="227">
      <c r="A227" t="n">
        <v>392</v>
      </c>
      <c r="B227" t="inlineStr">
        <is>
          <t>Ahorro institucional con base en la monetización de los servicios</t>
        </is>
      </c>
      <c r="C227" t="inlineStr">
        <is>
          <t>Gestión de campañas integradas de marketing</t>
        </is>
      </c>
      <c r="D227" t="inlineStr">
        <is>
          <t>Anual</t>
        </is>
      </c>
      <c r="E227" t="inlineStr">
        <is>
          <t>Positivo</t>
        </is>
      </c>
      <c r="F227" t="inlineStr">
        <is>
          <t>MACP</t>
        </is>
      </c>
      <c r="G227" t="inlineStr">
        <is>
          <t>Monto ahorrado en campañas durante el periodo ejecutado</t>
        </is>
      </c>
      <c r="H227" t="inlineStr">
        <is>
          <t>Ejecución</t>
        </is>
      </c>
    </row>
    <row r="228">
      <c r="A228" t="n">
        <v>392</v>
      </c>
      <c r="B228" t="inlineStr">
        <is>
          <t>Ahorro institucional con base en la monetización de los servicios</t>
        </is>
      </c>
      <c r="C228" t="inlineStr">
        <is>
          <t>Gestión de campañas integradas de marketing</t>
        </is>
      </c>
      <c r="D228" t="inlineStr">
        <is>
          <t>Anual</t>
        </is>
      </c>
      <c r="E228" t="inlineStr">
        <is>
          <t>Positivo</t>
        </is>
      </c>
      <c r="F228" t="inlineStr">
        <is>
          <t>MACPP</t>
        </is>
      </c>
      <c r="G228" t="inlineStr">
        <is>
          <t>Monto ahorrado en campañas durante el periodo presupuestado</t>
        </is>
      </c>
      <c r="H228" t="inlineStr">
        <is>
          <t>Meta</t>
        </is>
      </c>
    </row>
    <row r="229">
      <c r="A229" t="n">
        <v>368</v>
      </c>
      <c r="B229" t="inlineStr">
        <is>
          <t>Satisfacción de los estudiantes de Educación para toda la vida</t>
        </is>
      </c>
      <c r="C229" t="inlineStr">
        <is>
          <t>Operación de nuevos negocios y CI</t>
        </is>
      </c>
      <c r="D229" t="inlineStr">
        <is>
          <t>Semestral</t>
        </is>
      </c>
      <c r="E229" t="inlineStr">
        <is>
          <t>Positivo</t>
        </is>
      </c>
      <c r="F229" t="inlineStr">
        <is>
          <t>RESPPHBV</t>
        </is>
      </c>
      <c r="G229" t="inlineStr">
        <is>
          <t>Resultado de encuesta de satisfacción  programas presenciales, blended y virtuales</t>
        </is>
      </c>
      <c r="H229" t="inlineStr">
        <is>
          <t>Ejecución</t>
        </is>
      </c>
    </row>
    <row r="230">
      <c r="A230" t="n">
        <v>372</v>
      </c>
      <c r="B230" t="inlineStr">
        <is>
          <t>Satisfacción de los clientes corporativos Educación para toda la vida</t>
        </is>
      </c>
      <c r="C230" t="inlineStr">
        <is>
          <t>Operación de nuevos negocios y CI</t>
        </is>
      </c>
      <c r="D230" t="inlineStr">
        <is>
          <t>Semestral</t>
        </is>
      </c>
      <c r="E230" t="inlineStr">
        <is>
          <t>Positivo</t>
        </is>
      </c>
      <c r="F230" t="inlineStr">
        <is>
          <t>RESC</t>
        </is>
      </c>
      <c r="G230" t="inlineStr">
        <is>
          <t>Resultado de encuesta de satisfacción de clientes corporativos</t>
        </is>
      </c>
      <c r="H230" t="inlineStr">
        <is>
          <t>Ejecución</t>
        </is>
      </c>
    </row>
    <row r="231">
      <c r="A231" t="n">
        <v>431</v>
      </c>
      <c r="B231" t="inlineStr">
        <is>
          <t>Gestión de casos de salud que impactan a los colaboradores</t>
        </is>
      </c>
      <c r="C231" t="inlineStr">
        <is>
          <t>GESTIÓN DE SEGURIDAD Y SALUD EN EL TRABAJO</t>
        </is>
      </c>
      <c r="D231" t="inlineStr">
        <is>
          <t>Semestral</t>
        </is>
      </c>
      <c r="E231" t="inlineStr">
        <is>
          <t>Positivo</t>
        </is>
      </c>
      <c r="F231" t="inlineStr">
        <is>
          <t>TCCS</t>
        </is>
      </c>
      <c r="G231" t="inlineStr">
        <is>
          <t>Total de colaboradores con seguimiento</t>
        </is>
      </c>
      <c r="H231" t="inlineStr">
        <is>
          <t>Ejecución</t>
        </is>
      </c>
    </row>
    <row r="232">
      <c r="A232" t="n">
        <v>431</v>
      </c>
      <c r="B232" t="inlineStr">
        <is>
          <t>Gestión de casos de salud que impactan a los colaboradores</t>
        </is>
      </c>
      <c r="C232" t="inlineStr">
        <is>
          <t>GESTIÓN DE SEGURIDAD Y SALUD EN EL TRABAJO</t>
        </is>
      </c>
      <c r="D232" t="inlineStr">
        <is>
          <t>Semestral</t>
        </is>
      </c>
      <c r="E232" t="inlineStr">
        <is>
          <t>Positivo</t>
        </is>
      </c>
      <c r="F232" t="inlineStr">
        <is>
          <t>TCICC</t>
        </is>
      </c>
      <c r="G232" t="inlineStr">
        <is>
          <t>Total de colaboradores identificados con condiciones</t>
        </is>
      </c>
      <c r="H232" t="inlineStr">
        <is>
          <t>Meta</t>
        </is>
      </c>
    </row>
    <row r="233">
      <c r="A233" t="n">
        <v>109</v>
      </c>
      <c r="B233" t="inlineStr">
        <is>
          <t>Nivel de Satisfacción Servicios Prestados</t>
        </is>
      </c>
      <c r="C233" t="inlineStr">
        <is>
          <t>Comunicaciones Internas</t>
        </is>
      </c>
      <c r="D233" t="inlineStr">
        <is>
          <t>Anual</t>
        </is>
      </c>
      <c r="E233" t="inlineStr">
        <is>
          <t>Positivo</t>
        </is>
      </c>
      <c r="F233" t="inlineStr">
        <is>
          <t>NSCE</t>
        </is>
      </c>
      <c r="G233" t="inlineStr">
        <is>
          <t>Nivel de satisfacción Comunicación Estratégica</t>
        </is>
      </c>
      <c r="H233" t="inlineStr">
        <is>
          <t>Ejecución</t>
        </is>
      </c>
    </row>
    <row r="234">
      <c r="A234" t="n">
        <v>246</v>
      </c>
      <c r="B234" t="inlineStr">
        <is>
          <t>Satisfacción del proceso de grados presencial</t>
        </is>
      </c>
      <c r="C234" t="inlineStr">
        <is>
          <t>Registro y Control</t>
        </is>
      </c>
      <c r="D234" t="inlineStr">
        <is>
          <t>Trimestral</t>
        </is>
      </c>
      <c r="E234" t="inlineStr">
        <is>
          <t>Positivo</t>
        </is>
      </c>
      <c r="F234" t="inlineStr">
        <is>
          <t>RESPG</t>
        </is>
      </c>
      <c r="G234" t="inlineStr">
        <is>
          <t>Resultado de la encuesta de satisfacción del proceso de grado</t>
        </is>
      </c>
      <c r="H234" t="inlineStr">
        <is>
          <t>Ejecución</t>
        </is>
      </c>
    </row>
    <row r="235">
      <c r="A235" t="n">
        <v>363</v>
      </c>
      <c r="B235" t="inlineStr">
        <is>
          <t>Seguimiento a la parametrización de aulas master y secciones de asignaturas</t>
        </is>
      </c>
      <c r="C235" t="inlineStr">
        <is>
          <t>Operaciones Académicas</t>
        </is>
      </c>
      <c r="D235" t="inlineStr">
        <is>
          <t>Trimestral</t>
        </is>
      </c>
      <c r="E235" t="inlineStr">
        <is>
          <t>Positivo</t>
        </is>
      </c>
      <c r="F235" t="inlineStr">
        <is>
          <t>NAMSACP</t>
        </is>
      </c>
      <c r="G235" t="inlineStr">
        <is>
          <t>Número de Aulas máster y secciones de asignaturas correctamente parametrizadas</t>
        </is>
      </c>
      <c r="H235" t="inlineStr">
        <is>
          <t>Informativo</t>
        </is>
      </c>
    </row>
    <row r="236">
      <c r="A236" t="n">
        <v>363</v>
      </c>
      <c r="B236" t="inlineStr">
        <is>
          <t>Seguimiento a la parametrización de aulas master y secciones de asignaturas</t>
        </is>
      </c>
      <c r="C236" t="inlineStr">
        <is>
          <t>Operaciones Académicas</t>
        </is>
      </c>
      <c r="D236" t="inlineStr">
        <is>
          <t>Trimestral</t>
        </is>
      </c>
      <c r="E236" t="inlineStr">
        <is>
          <t>Positivo</t>
        </is>
      </c>
      <c r="F236" t="inlineStr">
        <is>
          <t>TAMSAVCB</t>
        </is>
      </c>
      <c r="G236" t="inlineStr">
        <is>
          <t>Total de Aulas máster y secciones de asignaturas virtuales creadas en Banner)</t>
        </is>
      </c>
      <c r="H236" t="inlineStr">
        <is>
          <t>Informativo</t>
        </is>
      </c>
    </row>
    <row r="237">
      <c r="A237" t="n">
        <v>202</v>
      </c>
      <c r="B237" t="inlineStr">
        <is>
          <t>Great Place to Work</t>
        </is>
      </c>
      <c r="C237" t="inlineStr">
        <is>
          <t>GESTIÓN Y DESARROLLO DEL TALENTO HUMANO</t>
        </is>
      </c>
      <c r="D237" t="inlineStr">
        <is>
          <t>Anual</t>
        </is>
      </c>
      <c r="E237" t="inlineStr">
        <is>
          <t>Positivo</t>
        </is>
      </c>
      <c r="F237" t="inlineStr">
        <is>
          <t>GPW</t>
        </is>
      </c>
      <c r="G237" t="inlineStr">
        <is>
          <t>Great place to work</t>
        </is>
      </c>
      <c r="H237" t="inlineStr">
        <is>
          <t>Ejecución</t>
        </is>
      </c>
    </row>
    <row r="238">
      <c r="A238" t="n">
        <v>235</v>
      </c>
      <c r="B238" t="inlineStr">
        <is>
          <t>Cumplimiento de Requisitos Legales Ambientales Aplicables</t>
        </is>
      </c>
      <c r="C238" t="inlineStr">
        <is>
          <t>GESTIÓN AMBIENTAL</t>
        </is>
      </c>
      <c r="D238" t="inlineStr">
        <is>
          <t>Anual</t>
        </is>
      </c>
      <c r="E238" t="inlineStr">
        <is>
          <t>Positivo</t>
        </is>
      </c>
      <c r="F238" t="inlineStr">
        <is>
          <t>RLAC</t>
        </is>
      </c>
      <c r="G238" t="inlineStr">
        <is>
          <t>Requisitos Legales Ambientales Cumplidos</t>
        </is>
      </c>
      <c r="H238" t="inlineStr">
        <is>
          <t>Ejecución</t>
        </is>
      </c>
    </row>
    <row r="239">
      <c r="A239" t="n">
        <v>235</v>
      </c>
      <c r="B239" t="inlineStr">
        <is>
          <t>Cumplimiento de Requisitos Legales Ambientales Aplicables</t>
        </is>
      </c>
      <c r="C239" t="inlineStr">
        <is>
          <t>GESTIÓN AMBIENTAL</t>
        </is>
      </c>
      <c r="D239" t="inlineStr">
        <is>
          <t>Anual</t>
        </is>
      </c>
      <c r="E239" t="inlineStr">
        <is>
          <t>Positivo</t>
        </is>
      </c>
      <c r="F239" t="inlineStr">
        <is>
          <t>RLAI</t>
        </is>
      </c>
      <c r="G239" t="inlineStr">
        <is>
          <t>Requisitos Legales Ambientales Identificados</t>
        </is>
      </c>
      <c r="H239" t="inlineStr">
        <is>
          <t>Meta</t>
        </is>
      </c>
    </row>
    <row r="240">
      <c r="A240" t="n">
        <v>236</v>
      </c>
      <c r="B240" t="inlineStr">
        <is>
          <t>Actos Administrativos o Decisiones Judiciales Ambientales</t>
        </is>
      </c>
      <c r="C240" t="inlineStr">
        <is>
          <t>GESTIÓN AMBIENTAL</t>
        </is>
      </c>
      <c r="D240" t="inlineStr">
        <is>
          <t>Anual</t>
        </is>
      </c>
      <c r="E240" t="inlineStr">
        <is>
          <t>Negativo</t>
        </is>
      </c>
      <c r="F240" t="inlineStr">
        <is>
          <t>AADJADTA</t>
        </is>
      </c>
      <c r="G240" t="inlineStr">
        <is>
          <t>Actos Administrativos o Decisiones Judiciales Ambientales Desfavorables en Temas Legales Ambientales</t>
        </is>
      </c>
      <c r="H240" t="inlineStr">
        <is>
          <t>Informativo</t>
        </is>
      </c>
    </row>
    <row r="241">
      <c r="A241" t="n">
        <v>326</v>
      </c>
      <c r="B241" t="inlineStr">
        <is>
          <t>Número de informes de autoevaluación con fines de acreditación en alta calidad radicados- Metrica</t>
        </is>
      </c>
      <c r="C241" t="inlineStr">
        <is>
          <t>Autoevaluación de programas académicos</t>
        </is>
      </c>
      <c r="D241" t="inlineStr">
        <is>
          <t>Anual</t>
        </is>
      </c>
      <c r="E241" t="inlineStr">
        <is>
          <t>Positivo</t>
        </is>
      </c>
      <c r="F241" t="inlineStr">
        <is>
          <t>NIR</t>
        </is>
      </c>
      <c r="G241" t="inlineStr">
        <is>
          <t>Número de informes radicados</t>
        </is>
      </c>
      <c r="H241" t="inlineStr">
        <is>
          <t>Ejecución</t>
        </is>
      </c>
    </row>
    <row r="242">
      <c r="A242" t="n">
        <v>326</v>
      </c>
      <c r="B242" t="inlineStr">
        <is>
          <t>Número de informes de autoevaluación con fines de acreditación en alta calidad radicados- Metrica</t>
        </is>
      </c>
      <c r="C242" t="inlineStr">
        <is>
          <t>Autoevaluación de programas académicos</t>
        </is>
      </c>
      <c r="D242" t="inlineStr">
        <is>
          <t>Anual</t>
        </is>
      </c>
      <c r="E242" t="inlineStr">
        <is>
          <t>Positivo</t>
        </is>
      </c>
      <c r="F242" t="inlineStr">
        <is>
          <t>NIPR</t>
        </is>
      </c>
      <c r="G242" t="inlineStr">
        <is>
          <t>Número de informes proyectados</t>
        </is>
      </c>
      <c r="H242" t="inlineStr">
        <is>
          <t>Meta</t>
        </is>
      </c>
    </row>
    <row r="243">
      <c r="A243" t="n">
        <v>336</v>
      </c>
      <c r="B243" t="inlineStr">
        <is>
          <t>Materiales bibliográficos en formato físico con estado de perdida</t>
        </is>
      </c>
      <c r="C243" t="inlineStr">
        <is>
          <t>Biblioteca Institucional</t>
        </is>
      </c>
      <c r="D243" t="inlineStr">
        <is>
          <t>Anual</t>
        </is>
      </c>
      <c r="E243" t="inlineStr">
        <is>
          <t>Negativo</t>
        </is>
      </c>
      <c r="F243" t="inlineStr">
        <is>
          <t>NVMB</t>
        </is>
      </c>
      <c r="G243" t="inlineStr">
        <is>
          <t>Número de volúmenes de materiales bibliográficos con estado de perdida</t>
        </is>
      </c>
      <c r="H243" t="inlineStr">
        <is>
          <t>Informativo</t>
        </is>
      </c>
    </row>
    <row r="244">
      <c r="A244" t="n">
        <v>336</v>
      </c>
      <c r="B244" t="inlineStr">
        <is>
          <t>Materiales bibliográficos en formato físico con estado de perdida</t>
        </is>
      </c>
      <c r="C244" t="inlineStr">
        <is>
          <t>Biblioteca Institucional</t>
        </is>
      </c>
      <c r="D244" t="inlineStr">
        <is>
          <t>Anual</t>
        </is>
      </c>
      <c r="E244" t="inlineStr">
        <is>
          <t>Negativo</t>
        </is>
      </c>
      <c r="F244" t="inlineStr">
        <is>
          <t>TVMB</t>
        </is>
      </c>
      <c r="G244" t="inlineStr">
        <is>
          <t>Total de volúmenes de materiales bibliográficos</t>
        </is>
      </c>
      <c r="H244" t="inlineStr">
        <is>
          <t>Informativo</t>
        </is>
      </c>
    </row>
    <row r="245">
      <c r="A245" t="n">
        <v>339</v>
      </c>
      <c r="B245" t="inlineStr">
        <is>
          <t>Programas acreditables acreditados Sede Bogotá</t>
        </is>
      </c>
      <c r="C245" t="inlineStr">
        <is>
          <t>Autoevaluación institucional</t>
        </is>
      </c>
      <c r="D245" t="inlineStr">
        <is>
          <t>Anual</t>
        </is>
      </c>
      <c r="E245" t="inlineStr">
        <is>
          <t>Positivo</t>
        </is>
      </c>
      <c r="F245" t="inlineStr">
        <is>
          <t>PAB</t>
        </is>
      </c>
      <c r="G245" t="inlineStr">
        <is>
          <t>Programas acreditados Bogotá</t>
        </is>
      </c>
      <c r="H245" t="inlineStr">
        <is>
          <t>Informativo</t>
        </is>
      </c>
    </row>
    <row r="246">
      <c r="A246" t="n">
        <v>339</v>
      </c>
      <c r="B246" t="inlineStr">
        <is>
          <t>Programas acreditables acreditados Sede Bogotá</t>
        </is>
      </c>
      <c r="C246" t="inlineStr">
        <is>
          <t>Autoevaluación institucional</t>
        </is>
      </c>
      <c r="D246" t="inlineStr">
        <is>
          <t>Anual</t>
        </is>
      </c>
      <c r="E246" t="inlineStr">
        <is>
          <t>Positivo</t>
        </is>
      </c>
      <c r="F246" t="inlineStr">
        <is>
          <t>PACB</t>
        </is>
      </c>
      <c r="G246" t="inlineStr">
        <is>
          <t>Programas acreditables en Bogotá</t>
        </is>
      </c>
      <c r="H246" t="inlineStr">
        <is>
          <t>Informativo</t>
        </is>
      </c>
    </row>
    <row r="247">
      <c r="A247" t="n">
        <v>346</v>
      </c>
      <c r="B247" t="inlineStr">
        <is>
          <t>% de profesores impactados en actividades de Bienestar</t>
        </is>
      </c>
      <c r="C247" t="inlineStr">
        <is>
          <t>GESTIÓN Y DESARROLLO DEL TALENTO HUMANO</t>
        </is>
      </c>
      <c r="D247" t="inlineStr">
        <is>
          <t>Anual</t>
        </is>
      </c>
      <c r="E247" t="inlineStr">
        <is>
          <t>Positivo</t>
        </is>
      </c>
      <c r="F247" t="inlineStr">
        <is>
          <t>NTDCTI</t>
        </is>
      </c>
      <c r="G247" t="inlineStr">
        <is>
          <t>Numero Total docentes termino indefinido</t>
        </is>
      </c>
      <c r="H247" t="inlineStr">
        <is>
          <t>Informativo</t>
        </is>
      </c>
    </row>
    <row r="248">
      <c r="A248" t="n">
        <v>346</v>
      </c>
      <c r="B248" t="inlineStr">
        <is>
          <t>% de profesores impactados en actividades de Bienestar</t>
        </is>
      </c>
      <c r="C248" t="inlineStr">
        <is>
          <t>GESTIÓN Y DESARROLLO DEL TALENTO HUMANO</t>
        </is>
      </c>
      <c r="D248" t="inlineStr">
        <is>
          <t>Anual</t>
        </is>
      </c>
      <c r="E248" t="inlineStr">
        <is>
          <t>Positivo</t>
        </is>
      </c>
      <c r="F248" t="inlineStr">
        <is>
          <t>NPIB</t>
        </is>
      </c>
      <c r="G248" t="inlineStr">
        <is>
          <t>Numero Profesores impactados en actividades de Bienestar</t>
        </is>
      </c>
      <c r="H248" t="inlineStr">
        <is>
          <t>Informativo</t>
        </is>
      </c>
    </row>
    <row r="249">
      <c r="A249" t="n">
        <v>361</v>
      </c>
      <c r="B249" t="inlineStr">
        <is>
          <t>Índice de Inclusión</t>
        </is>
      </c>
      <c r="C249" t="inlineStr">
        <is>
          <t>Gestión de la Responsabilidad Social</t>
        </is>
      </c>
      <c r="D249" t="inlineStr">
        <is>
          <t>Anual</t>
        </is>
      </c>
      <c r="E249" t="inlineStr">
        <is>
          <t>Positivo</t>
        </is>
      </c>
      <c r="F249" t="inlineStr">
        <is>
          <t>ININC</t>
        </is>
      </c>
      <c r="G249" t="inlineStr">
        <is>
          <t>Resultado de indice de inclusión</t>
        </is>
      </c>
      <c r="H249" t="inlineStr">
        <is>
          <t>Ejecución</t>
        </is>
      </c>
    </row>
    <row r="250">
      <c r="A250" t="n">
        <v>366</v>
      </c>
      <c r="B250" t="inlineStr">
        <is>
          <t>Normalización de cobros pecuniarios</t>
        </is>
      </c>
      <c r="C250" t="inlineStr">
        <is>
          <t>Operaciones Académicas</t>
        </is>
      </c>
      <c r="D250" t="inlineStr">
        <is>
          <t>Anual</t>
        </is>
      </c>
      <c r="E250" t="inlineStr">
        <is>
          <t>Positivo</t>
        </is>
      </c>
      <c r="F250" t="inlineStr">
        <is>
          <t>NECVPN</t>
        </is>
      </c>
      <c r="G250" t="inlineStr">
        <is>
          <t>Número de estudiantes con cobro de valor pecuniario normalizado</t>
        </is>
      </c>
      <c r="H250" t="inlineStr">
        <is>
          <t>Informativo</t>
        </is>
      </c>
    </row>
    <row r="251">
      <c r="A251" t="n">
        <v>366</v>
      </c>
      <c r="B251" t="inlineStr">
        <is>
          <t>Normalización de cobros pecuniarios</t>
        </is>
      </c>
      <c r="C251" t="inlineStr">
        <is>
          <t>Operaciones Académicas</t>
        </is>
      </c>
      <c r="D251" t="inlineStr">
        <is>
          <t>Anual</t>
        </is>
      </c>
      <c r="E251" t="inlineStr">
        <is>
          <t>Positivo</t>
        </is>
      </c>
      <c r="F251" t="inlineStr">
        <is>
          <t>NECVPAP</t>
        </is>
      </c>
      <c r="G251" t="inlineStr">
        <is>
          <t>Número de estudiantes con cobro de valor pecuniario del año pasado</t>
        </is>
      </c>
      <c r="H251" t="inlineStr">
        <is>
          <t>Informativo</t>
        </is>
      </c>
    </row>
    <row r="252">
      <c r="A252" t="n">
        <v>367</v>
      </c>
      <c r="B252" t="inlineStr">
        <is>
          <t>Estudiantes con Becas</t>
        </is>
      </c>
      <c r="C252" t="inlineStr">
        <is>
          <t>Gestión de la Responsabilidad Social</t>
        </is>
      </c>
      <c r="D252" t="inlineStr">
        <is>
          <t>Anual</t>
        </is>
      </c>
      <c r="E252" t="inlineStr">
        <is>
          <t>Positivo</t>
        </is>
      </c>
      <c r="F252" t="inlineStr">
        <is>
          <t>TEBEC</t>
        </is>
      </c>
      <c r="G252" t="inlineStr">
        <is>
          <t>Total estudiantes becados</t>
        </is>
      </c>
      <c r="H252" t="inlineStr">
        <is>
          <t>Informativo</t>
        </is>
      </c>
    </row>
    <row r="253">
      <c r="A253" t="n">
        <v>367</v>
      </c>
      <c r="B253" t="inlineStr">
        <is>
          <t>Estudiantes con Becas</t>
        </is>
      </c>
      <c r="C253" t="inlineStr">
        <is>
          <t>Gestión de la Responsabilidad Social</t>
        </is>
      </c>
      <c r="D253" t="inlineStr">
        <is>
          <t>Anual</t>
        </is>
      </c>
      <c r="E253" t="inlineStr">
        <is>
          <t>Positivo</t>
        </is>
      </c>
      <c r="F253" t="inlineStr">
        <is>
          <t>TOEST</t>
        </is>
      </c>
      <c r="G253" t="inlineStr">
        <is>
          <t>Total de estudiantes</t>
        </is>
      </c>
      <c r="H253" t="inlineStr">
        <is>
          <t>Informativo</t>
        </is>
      </c>
    </row>
    <row r="254">
      <c r="A254" t="n">
        <v>393</v>
      </c>
      <c r="B254" t="inlineStr">
        <is>
          <t>Disminución de los tiempos empleados en el desarrollo de las solicitudes</t>
        </is>
      </c>
      <c r="C254" t="inlineStr">
        <is>
          <t>Gestión de campañas integradas de marketing</t>
        </is>
      </c>
      <c r="D254" t="inlineStr">
        <is>
          <t>Anual</t>
        </is>
      </c>
      <c r="E254" t="inlineStr">
        <is>
          <t>Negativo</t>
        </is>
      </c>
      <c r="F254" t="inlineStr">
        <is>
          <t>DPES</t>
        </is>
      </c>
      <c r="G254" t="inlineStr">
        <is>
          <t>Días promedio empleados por solicitud en el año</t>
        </is>
      </c>
      <c r="H254" t="inlineStr">
        <is>
          <t>Ejecución</t>
        </is>
      </c>
    </row>
    <row r="255">
      <c r="A255" t="n">
        <v>402</v>
      </c>
      <c r="B255" t="inlineStr">
        <is>
          <t>Informe anual de consulta de MI-Books</t>
        </is>
      </c>
      <c r="C255" t="inlineStr">
        <is>
          <t>LEI</t>
        </is>
      </c>
      <c r="D255" t="inlineStr">
        <is>
          <t>Anual</t>
        </is>
      </c>
      <c r="E255" t="inlineStr">
        <is>
          <t>Positivo</t>
        </is>
      </c>
      <c r="F255" t="inlineStr">
        <is>
          <t>NUIP</t>
        </is>
      </c>
      <c r="G255" t="inlineStr">
        <is>
          <t>N de usuarios que ingresaron al portal en el periodo</t>
        </is>
      </c>
      <c r="H255" t="inlineStr">
        <is>
          <t>Informativo</t>
        </is>
      </c>
    </row>
    <row r="256">
      <c r="A256" t="n">
        <v>402</v>
      </c>
      <c r="B256" t="inlineStr">
        <is>
          <t>Informe anual de consulta de MI-Books</t>
        </is>
      </c>
      <c r="C256" t="inlineStr">
        <is>
          <t>LEI</t>
        </is>
      </c>
      <c r="D256" t="inlineStr">
        <is>
          <t>Anual</t>
        </is>
      </c>
      <c r="E256" t="inlineStr">
        <is>
          <t>Positivo</t>
        </is>
      </c>
      <c r="F256" t="inlineStr">
        <is>
          <t>NUIPPA</t>
        </is>
      </c>
      <c r="G256" t="inlineStr">
        <is>
          <t>N Usuarios que ingresaron al portal en el periodo anterior</t>
        </is>
      </c>
      <c r="H256" t="inlineStr">
        <is>
          <t>Informativo</t>
        </is>
      </c>
    </row>
    <row r="257">
      <c r="A257" t="n">
        <v>413</v>
      </c>
      <c r="B257" t="inlineStr">
        <is>
          <t>Participación del Poli como sede o patrocinador</t>
        </is>
      </c>
      <c r="C257" t="inlineStr">
        <is>
          <t>Comunicaciones Externas</t>
        </is>
      </c>
      <c r="D257" t="inlineStr">
        <is>
          <t>Anual</t>
        </is>
      </c>
      <c r="E257" t="inlineStr">
        <is>
          <t>Positivo</t>
        </is>
      </c>
      <c r="F257" t="inlineStr">
        <is>
          <t>NPPSP</t>
        </is>
      </c>
      <c r="G257" t="inlineStr">
        <is>
          <t>N de Participaciones del Poli como sede o patrocinador</t>
        </is>
      </c>
      <c r="H257" t="inlineStr">
        <is>
          <t>Ejecución</t>
        </is>
      </c>
    </row>
    <row r="258">
      <c r="A258" t="n">
        <v>413</v>
      </c>
      <c r="B258" t="inlineStr">
        <is>
          <t>Participación del Poli como sede o patrocinador</t>
        </is>
      </c>
      <c r="C258" t="inlineStr">
        <is>
          <t>Comunicaciones Externas</t>
        </is>
      </c>
      <c r="D258" t="inlineStr">
        <is>
          <t>Anual</t>
        </is>
      </c>
      <c r="E258" t="inlineStr">
        <is>
          <t>Positivo</t>
        </is>
      </c>
      <c r="F258" t="inlineStr">
        <is>
          <t>NPPSPP</t>
        </is>
      </c>
      <c r="G258" t="inlineStr">
        <is>
          <t>N de Participaciones del Poli como sede o patrocinador planeadas</t>
        </is>
      </c>
      <c r="H258" t="inlineStr">
        <is>
          <t>Meta</t>
        </is>
      </c>
    </row>
    <row r="259">
      <c r="A259" t="n">
        <v>423</v>
      </c>
      <c r="B259" t="inlineStr">
        <is>
          <t>Brand equity</t>
        </is>
      </c>
      <c r="C259" t="inlineStr">
        <is>
          <t>Mercadeo de programas académicos</t>
        </is>
      </c>
      <c r="D259" t="inlineStr">
        <is>
          <t>Anual</t>
        </is>
      </c>
      <c r="E259" t="inlineStr">
        <is>
          <t>Positivo</t>
        </is>
      </c>
      <c r="F259" t="inlineStr">
        <is>
          <t>BREQUI</t>
        </is>
      </c>
      <c r="G259" t="inlineStr">
        <is>
          <t>% Brand Equity</t>
        </is>
      </c>
      <c r="H259" t="inlineStr">
        <is>
          <t>Ejecución</t>
        </is>
      </c>
    </row>
    <row r="260">
      <c r="A260" t="n">
        <v>424</v>
      </c>
      <c r="B260" t="inlineStr">
        <is>
          <t>Conocimiento espontáneo</t>
        </is>
      </c>
      <c r="C260" t="inlineStr">
        <is>
          <t>Mercadeo de programas académicos</t>
        </is>
      </c>
      <c r="D260" t="inlineStr">
        <is>
          <t>Anual</t>
        </is>
      </c>
      <c r="E260" t="inlineStr">
        <is>
          <t>Positivo</t>
        </is>
      </c>
      <c r="F260" t="inlineStr">
        <is>
          <t>ECONESP</t>
        </is>
      </c>
      <c r="G260" t="inlineStr">
        <is>
          <t>Resultado de encuesta de conocimiento espontaneo</t>
        </is>
      </c>
      <c r="H260" t="inlineStr">
        <is>
          <t>Ejecución</t>
        </is>
      </c>
    </row>
    <row r="261">
      <c r="A261" t="n">
        <v>437</v>
      </c>
      <c r="B261" t="inlineStr">
        <is>
          <t>Nivel de Satisfacción Servicios Prestados - Riesgos</t>
        </is>
      </c>
      <c r="C261" t="inlineStr">
        <is>
          <t>GESTIÓN DE RIESGOS</t>
        </is>
      </c>
      <c r="D261" t="inlineStr">
        <is>
          <t>Anual</t>
        </is>
      </c>
      <c r="E261" t="inlineStr">
        <is>
          <t>Positivo</t>
        </is>
      </c>
      <c r="F261" t="inlineStr">
        <is>
          <t>NSGR</t>
        </is>
      </c>
      <c r="G261" t="inlineStr">
        <is>
          <t>Nivel de satisfacción gestión de riesgos</t>
        </is>
      </c>
      <c r="H261" t="inlineStr">
        <is>
          <t>Ejecución</t>
        </is>
      </c>
    </row>
    <row r="262">
      <c r="A262" t="n">
        <v>453</v>
      </c>
      <c r="B262" t="inlineStr">
        <is>
          <t>Número de cursos diseñados</t>
        </is>
      </c>
      <c r="C262" t="inlineStr">
        <is>
          <t>Diseño de Contenido Virtual</t>
        </is>
      </c>
      <c r="D262" t="inlineStr">
        <is>
          <t>Semestral</t>
        </is>
      </c>
      <c r="E262" t="inlineStr">
        <is>
          <t>Positivo</t>
        </is>
      </c>
      <c r="F262" t="inlineStr">
        <is>
          <t>NCD</t>
        </is>
      </c>
      <c r="G262" t="inlineStr">
        <is>
          <t>Número de cursos diseñados</t>
        </is>
      </c>
      <c r="H262" t="inlineStr">
        <is>
          <t>Ejecución</t>
        </is>
      </c>
    </row>
    <row r="263">
      <c r="A263" t="n">
        <v>453</v>
      </c>
      <c r="B263" t="inlineStr">
        <is>
          <t>Número de cursos diseñados</t>
        </is>
      </c>
      <c r="C263" t="inlineStr">
        <is>
          <t>Diseño de Contenido Virtual</t>
        </is>
      </c>
      <c r="D263" t="inlineStr">
        <is>
          <t>Semestral</t>
        </is>
      </c>
      <c r="E263" t="inlineStr">
        <is>
          <t>Positivo</t>
        </is>
      </c>
      <c r="F263" t="inlineStr">
        <is>
          <t>NCP</t>
        </is>
      </c>
      <c r="G263" t="inlineStr">
        <is>
          <t>Número de cursos planeados</t>
        </is>
      </c>
      <c r="H263" t="inlineStr">
        <is>
          <t>Meta</t>
        </is>
      </c>
    </row>
    <row r="264">
      <c r="A264" t="n">
        <v>359</v>
      </c>
      <c r="B264" t="inlineStr">
        <is>
          <t>Satisfacción Institucional CSAT</t>
        </is>
      </c>
      <c r="C264" t="inlineStr">
        <is>
          <t>EXPERIENCIA INSTITUCIONAL</t>
        </is>
      </c>
      <c r="D264" t="inlineStr">
        <is>
          <t>Trimestral</t>
        </is>
      </c>
      <c r="E264" t="inlineStr">
        <is>
          <t>Positivo</t>
        </is>
      </c>
      <c r="F264" t="inlineStr">
        <is>
          <t>PSI</t>
        </is>
      </c>
      <c r="G264" t="inlineStr">
        <is>
          <t>% Satisfacción Institucional</t>
        </is>
      </c>
      <c r="H264" t="inlineStr">
        <is>
          <t>Ejecución</t>
        </is>
      </c>
    </row>
    <row r="265">
      <c r="A265" t="n">
        <v>364</v>
      </c>
      <c r="B265" t="inlineStr">
        <is>
          <t>Impacto de actividades de Responsabilidad y proyección</t>
        </is>
      </c>
      <c r="C265" t="inlineStr">
        <is>
          <t>Gestión de la Responsabilidad Social</t>
        </is>
      </c>
      <c r="D265" t="inlineStr">
        <is>
          <t>Trimestral</t>
        </is>
      </c>
      <c r="E265" t="inlineStr">
        <is>
          <t>Positivo</t>
        </is>
      </c>
      <c r="F265" t="inlineStr">
        <is>
          <t>NPIPL</t>
        </is>
      </c>
      <c r="G265" t="inlineStr">
        <is>
          <t>Número de personas a impactar planeadas</t>
        </is>
      </c>
      <c r="H265" t="inlineStr">
        <is>
          <t>Meta</t>
        </is>
      </c>
    </row>
    <row r="266">
      <c r="A266" t="n">
        <v>445</v>
      </c>
      <c r="B266" t="inlineStr">
        <is>
          <t>Satisfacción del proceso de grados virtual</t>
        </is>
      </c>
      <c r="C266" t="inlineStr">
        <is>
          <t>Registro y Control</t>
        </is>
      </c>
      <c r="D266" t="inlineStr">
        <is>
          <t>Trimestral</t>
        </is>
      </c>
      <c r="E266" t="inlineStr">
        <is>
          <t>Positivo</t>
        </is>
      </c>
      <c r="F266" t="inlineStr">
        <is>
          <t>RESPGV</t>
        </is>
      </c>
      <c r="G266" t="inlineStr">
        <is>
          <t>Resultado de la encuesta de satisfacción del proceso de grado virtual</t>
        </is>
      </c>
      <c r="H266" t="inlineStr">
        <is>
          <t>Ejecución</t>
        </is>
      </c>
    </row>
    <row r="267">
      <c r="A267" t="n">
        <v>447</v>
      </c>
      <c r="B267" t="inlineStr">
        <is>
          <t>Participación en actividades culturales</t>
        </is>
      </c>
      <c r="C267" t="inlineStr">
        <is>
          <t>Biblioteca Institucional</t>
        </is>
      </c>
      <c r="D267" t="inlineStr">
        <is>
          <t>Trimestral</t>
        </is>
      </c>
      <c r="E267" t="inlineStr">
        <is>
          <t>Positivo</t>
        </is>
      </c>
      <c r="F267" t="inlineStr">
        <is>
          <t>NPPAA</t>
        </is>
      </c>
      <c r="G267" t="inlineStr">
        <is>
          <t>N Participantes periodo año actual</t>
        </is>
      </c>
      <c r="H267" t="inlineStr">
        <is>
          <t>Informativo</t>
        </is>
      </c>
    </row>
    <row r="268">
      <c r="A268" t="n">
        <v>447</v>
      </c>
      <c r="B268" t="inlineStr">
        <is>
          <t>Participación en actividades culturales</t>
        </is>
      </c>
      <c r="C268" t="inlineStr">
        <is>
          <t>Biblioteca Institucional</t>
        </is>
      </c>
      <c r="D268" t="inlineStr">
        <is>
          <t>Trimestral</t>
        </is>
      </c>
      <c r="E268" t="inlineStr">
        <is>
          <t>Positivo</t>
        </is>
      </c>
      <c r="F268" t="inlineStr">
        <is>
          <t>NPPAAN</t>
        </is>
      </c>
      <c r="G268" t="inlineStr">
        <is>
          <t>N Participantes periodo año anterior</t>
        </is>
      </c>
      <c r="H268" t="inlineStr">
        <is>
          <t>Informativo</t>
        </is>
      </c>
    </row>
    <row r="269">
      <c r="A269" t="n">
        <v>448</v>
      </c>
      <c r="B269" t="inlineStr">
        <is>
          <t>Participación en actividades de formación</t>
        </is>
      </c>
      <c r="C269" t="inlineStr">
        <is>
          <t>Biblioteca Institucional</t>
        </is>
      </c>
      <c r="D269" t="inlineStr">
        <is>
          <t>Trimestral</t>
        </is>
      </c>
      <c r="E269" t="inlineStr">
        <is>
          <t>Positivo</t>
        </is>
      </c>
      <c r="F269" t="inlineStr">
        <is>
          <t>NPPAAC</t>
        </is>
      </c>
      <c r="G269" t="inlineStr">
        <is>
          <t>N Participantes periodo año actual</t>
        </is>
      </c>
      <c r="H269" t="inlineStr">
        <is>
          <t>Informativo</t>
        </is>
      </c>
    </row>
    <row r="270">
      <c r="A270" t="n">
        <v>448</v>
      </c>
      <c r="B270" t="inlineStr">
        <is>
          <t>Participación en actividades de formación</t>
        </is>
      </c>
      <c r="C270" t="inlineStr">
        <is>
          <t>Biblioteca Institucional</t>
        </is>
      </c>
      <c r="D270" t="inlineStr">
        <is>
          <t>Trimestral</t>
        </is>
      </c>
      <c r="E270" t="inlineStr">
        <is>
          <t>Positivo</t>
        </is>
      </c>
      <c r="F270" t="inlineStr">
        <is>
          <t>NPPAANT</t>
        </is>
      </c>
      <c r="G270" t="inlineStr">
        <is>
          <t>N Participantes periodo año anterior</t>
        </is>
      </c>
      <c r="H270" t="inlineStr">
        <is>
          <t>Informativo</t>
        </is>
      </c>
    </row>
    <row r="271">
      <c r="A271" t="n">
        <v>451</v>
      </c>
      <c r="B271" t="inlineStr">
        <is>
          <t>% de publicaciones con sentimiento positivo</t>
        </is>
      </c>
      <c r="C271" t="inlineStr">
        <is>
          <t>Comunicaciones Externas</t>
        </is>
      </c>
      <c r="D271" t="inlineStr">
        <is>
          <t>Trimestral</t>
        </is>
      </c>
      <c r="E271" t="inlineStr">
        <is>
          <t>Positivo</t>
        </is>
      </c>
      <c r="F271" t="inlineStr">
        <is>
          <t>PPPP</t>
        </is>
      </c>
      <c r="G271" t="inlineStr">
        <is>
          <t>% Participación de publicaciones positiva</t>
        </is>
      </c>
      <c r="H271" t="inlineStr">
        <is>
          <t>Ejecución</t>
        </is>
      </c>
    </row>
    <row r="272">
      <c r="A272" t="n">
        <v>452</v>
      </c>
      <c r="B272" t="inlineStr">
        <is>
          <t>Seguimiento a eventos internos y externos institucionales</t>
        </is>
      </c>
      <c r="C272" t="inlineStr">
        <is>
          <t>Comunicaciones Externas</t>
        </is>
      </c>
      <c r="D272" t="inlineStr">
        <is>
          <t>Trimestral</t>
        </is>
      </c>
      <c r="E272" t="inlineStr">
        <is>
          <t>Positivo</t>
        </is>
      </c>
      <c r="F272" t="inlineStr">
        <is>
          <t>NARE</t>
        </is>
      </c>
      <c r="G272" t="inlineStr">
        <is>
          <t>Num Actividades realizadas</t>
        </is>
      </c>
      <c r="H272" t="inlineStr">
        <is>
          <t>Ejecución</t>
        </is>
      </c>
    </row>
    <row r="273">
      <c r="A273" t="n">
        <v>452</v>
      </c>
      <c r="B273" t="inlineStr">
        <is>
          <t>Seguimiento a eventos internos y externos institucionales</t>
        </is>
      </c>
      <c r="C273" t="inlineStr">
        <is>
          <t>Comunicaciones Externas</t>
        </is>
      </c>
      <c r="D273" t="inlineStr">
        <is>
          <t>Trimestral</t>
        </is>
      </c>
      <c r="E273" t="inlineStr">
        <is>
          <t>Positivo</t>
        </is>
      </c>
      <c r="F273" t="inlineStr">
        <is>
          <t>NAPC</t>
        </is>
      </c>
      <c r="G273" t="inlineStr">
        <is>
          <t>Num actividades planeadas</t>
        </is>
      </c>
      <c r="H273" t="inlineStr">
        <is>
          <t>Meta</t>
        </is>
      </c>
    </row>
    <row r="274">
      <c r="A274" t="n">
        <v>466</v>
      </c>
      <c r="B274" t="inlineStr">
        <is>
          <t>NPS Estudiantes</t>
        </is>
      </c>
      <c r="C274" t="inlineStr">
        <is>
          <t>EXPERIENCIA INSTITUCIONAL</t>
        </is>
      </c>
      <c r="D274" t="inlineStr">
        <is>
          <t>Trimestral</t>
        </is>
      </c>
      <c r="E274" t="inlineStr">
        <is>
          <t>Positivo</t>
        </is>
      </c>
      <c r="F274" t="inlineStr">
        <is>
          <t>NPSERP</t>
        </is>
      </c>
      <c r="G274" t="inlineStr">
        <is>
          <t>NPS Estudiantes Real del periodo</t>
        </is>
      </c>
      <c r="H274" t="inlineStr">
        <is>
          <t>Ejecución</t>
        </is>
      </c>
    </row>
    <row r="275">
      <c r="A275" t="n">
        <v>466</v>
      </c>
      <c r="B275" t="inlineStr">
        <is>
          <t>NPS Estudiantes</t>
        </is>
      </c>
      <c r="C275" t="inlineStr">
        <is>
          <t>EXPERIENCIA INSTITUCIONAL</t>
        </is>
      </c>
      <c r="D275" t="inlineStr">
        <is>
          <t>Trimestral</t>
        </is>
      </c>
      <c r="E275" t="inlineStr">
        <is>
          <t>Positivo</t>
        </is>
      </c>
      <c r="F275" t="inlineStr">
        <is>
          <t>NPSESP</t>
        </is>
      </c>
      <c r="G275" t="inlineStr">
        <is>
          <t>NPS Estudiantes Proyectado</t>
        </is>
      </c>
      <c r="H275" t="inlineStr">
        <is>
          <t>Meta</t>
        </is>
      </c>
    </row>
    <row r="276">
      <c r="A276" t="n">
        <v>467</v>
      </c>
      <c r="B276" t="inlineStr">
        <is>
          <t>NPS Graduados</t>
        </is>
      </c>
      <c r="C276" t="inlineStr">
        <is>
          <t>EXPERIENCIA INSTITUCIONAL</t>
        </is>
      </c>
      <c r="D276" t="inlineStr">
        <is>
          <t>Trimestral</t>
        </is>
      </c>
      <c r="E276" t="inlineStr">
        <is>
          <t>Positivo</t>
        </is>
      </c>
      <c r="F276" t="inlineStr">
        <is>
          <t>NPSGR</t>
        </is>
      </c>
      <c r="G276" t="inlineStr">
        <is>
          <t>NPS Graduados Real del periodo</t>
        </is>
      </c>
      <c r="H276" t="inlineStr">
        <is>
          <t>Ejecución</t>
        </is>
      </c>
    </row>
    <row r="277">
      <c r="A277" t="n">
        <v>467</v>
      </c>
      <c r="B277" t="inlineStr">
        <is>
          <t>NPS Graduados</t>
        </is>
      </c>
      <c r="C277" t="inlineStr">
        <is>
          <t>EXPERIENCIA INSTITUCIONAL</t>
        </is>
      </c>
      <c r="D277" t="inlineStr">
        <is>
          <t>Trimestral</t>
        </is>
      </c>
      <c r="E277" t="inlineStr">
        <is>
          <t>Positivo</t>
        </is>
      </c>
      <c r="F277" t="inlineStr">
        <is>
          <t>NPSESPG</t>
        </is>
      </c>
      <c r="G277" t="inlineStr">
        <is>
          <t>NPS Graduados Esperado</t>
        </is>
      </c>
      <c r="H277" t="inlineStr">
        <is>
          <t>Meta</t>
        </is>
      </c>
    </row>
    <row r="278">
      <c r="A278" t="n">
        <v>468</v>
      </c>
      <c r="B278" t="inlineStr">
        <is>
          <t>CES General</t>
        </is>
      </c>
      <c r="C278" t="inlineStr">
        <is>
          <t>EXPERIENCIA INSTITUCIONAL</t>
        </is>
      </c>
      <c r="D278" t="inlineStr">
        <is>
          <t>Trimestral</t>
        </is>
      </c>
      <c r="E278" t="inlineStr">
        <is>
          <t>Negativo</t>
        </is>
      </c>
      <c r="F278" t="inlineStr">
        <is>
          <t>CESGP</t>
        </is>
      </c>
      <c r="G278" t="inlineStr">
        <is>
          <t>CES General del periodo</t>
        </is>
      </c>
      <c r="H278" t="inlineStr">
        <is>
          <t>Ejecución</t>
        </is>
      </c>
    </row>
    <row r="279">
      <c r="A279" t="n">
        <v>468</v>
      </c>
      <c r="B279" t="inlineStr">
        <is>
          <t>CES General</t>
        </is>
      </c>
      <c r="C279" t="inlineStr">
        <is>
          <t>EXPERIENCIA INSTITUCIONAL</t>
        </is>
      </c>
      <c r="D279" t="inlineStr">
        <is>
          <t>Trimestral</t>
        </is>
      </c>
      <c r="E279" t="inlineStr">
        <is>
          <t>Negativo</t>
        </is>
      </c>
      <c r="F279" t="inlineStr">
        <is>
          <t>CESGPL</t>
        </is>
      </c>
      <c r="G279" t="inlineStr">
        <is>
          <t>CES General planeado</t>
        </is>
      </c>
      <c r="H279" t="inlineStr">
        <is>
          <t>Meta</t>
        </is>
      </c>
    </row>
    <row r="280">
      <c r="A280" t="n">
        <v>475</v>
      </c>
      <c r="B280" t="inlineStr">
        <is>
          <t>Número de renovaciones de registro calificado radicadas al MEN</t>
        </is>
      </c>
      <c r="C280" t="inlineStr">
        <is>
          <t>Creación, modificación y cierre de programas académicos</t>
        </is>
      </c>
      <c r="D280" t="inlineStr">
        <is>
          <t>Trimestral</t>
        </is>
      </c>
      <c r="E280" t="inlineStr">
        <is>
          <t>Positivo</t>
        </is>
      </c>
      <c r="F280" t="inlineStr">
        <is>
          <t>NPRPR</t>
        </is>
      </c>
      <c r="G280" t="inlineStr">
        <is>
          <t>Número de programas proyectados a radicar para renovación</t>
        </is>
      </c>
      <c r="H280" t="inlineStr">
        <is>
          <t>Meta</t>
        </is>
      </c>
    </row>
    <row r="281">
      <c r="A281" t="n">
        <v>475</v>
      </c>
      <c r="B281" t="inlineStr">
        <is>
          <t>Número de renovaciones de registro calificado radicadas al MEN</t>
        </is>
      </c>
      <c r="C281" t="inlineStr">
        <is>
          <t>Creación, modificación y cierre de programas académicos</t>
        </is>
      </c>
      <c r="D281" t="inlineStr">
        <is>
          <t>Trimestral</t>
        </is>
      </c>
      <c r="E281" t="inlineStr">
        <is>
          <t>Positivo</t>
        </is>
      </c>
      <c r="F281" t="inlineStr">
        <is>
          <t>NRRPR</t>
        </is>
      </c>
      <c r="G281" t="inlineStr">
        <is>
          <t>Número de programas radicados al MEN para renovación</t>
        </is>
      </c>
      <c r="H281" t="inlineStr">
        <is>
          <t>Ejecución</t>
        </is>
      </c>
    </row>
    <row r="282">
      <c r="A282" t="n">
        <v>486</v>
      </c>
      <c r="B282" t="inlineStr">
        <is>
          <t>Número de visitas a la página web</t>
        </is>
      </c>
      <c r="C282" t="inlineStr">
        <is>
          <t>Comunicaciones Internas</t>
        </is>
      </c>
      <c r="D282" t="inlineStr">
        <is>
          <t>Trimestral</t>
        </is>
      </c>
      <c r="E282" t="inlineStr">
        <is>
          <t>Positivo</t>
        </is>
      </c>
      <c r="F282" t="inlineStr">
        <is>
          <t>NVPWP</t>
        </is>
      </c>
      <c r="G282" t="inlineStr">
        <is>
          <t>Número de visitas a pagina web en el periodo</t>
        </is>
      </c>
      <c r="H282" t="inlineStr">
        <is>
          <t>Informativo</t>
        </is>
      </c>
    </row>
    <row r="283">
      <c r="A283" t="n">
        <v>484</v>
      </c>
      <c r="B283" t="inlineStr">
        <is>
          <t>Cumplimiento del Programa de la Cultura del Autocuidado</t>
        </is>
      </c>
      <c r="C283" t="inlineStr">
        <is>
          <t>GESTIÓN DE SEGURIDAD Y SALUD EN EL TRABAJO</t>
        </is>
      </c>
      <c r="D283" t="inlineStr">
        <is>
          <t>Semestral</t>
        </is>
      </c>
      <c r="E283" t="inlineStr">
        <is>
          <t>Positivo</t>
        </is>
      </c>
      <c r="F283" t="inlineStr">
        <is>
          <t>NAECP</t>
        </is>
      </c>
      <c r="G283" t="inlineStr">
        <is>
          <t>N Actividades ejecutadas</t>
        </is>
      </c>
      <c r="H283" t="inlineStr">
        <is>
          <t>Ejecución</t>
        </is>
      </c>
    </row>
    <row r="284">
      <c r="A284" t="n">
        <v>484</v>
      </c>
      <c r="B284" t="inlineStr">
        <is>
          <t>Cumplimiento del Programa de la Cultura del Autocuidado</t>
        </is>
      </c>
      <c r="C284" t="inlineStr">
        <is>
          <t>GESTIÓN DE SEGURIDAD Y SALUD EN EL TRABAJO</t>
        </is>
      </c>
      <c r="D284" t="inlineStr">
        <is>
          <t>Semestral</t>
        </is>
      </c>
      <c r="E284" t="inlineStr">
        <is>
          <t>Positivo</t>
        </is>
      </c>
      <c r="F284" t="inlineStr">
        <is>
          <t>NAPCP</t>
        </is>
      </c>
      <c r="G284" t="inlineStr">
        <is>
          <t>N Actividades proyectadas</t>
        </is>
      </c>
      <c r="H284" t="inlineStr">
        <is>
          <t>Meta</t>
        </is>
      </c>
    </row>
    <row r="285">
      <c r="A285" t="n">
        <v>455</v>
      </c>
      <c r="B285" t="inlineStr">
        <is>
          <t>ANS Diseño de contenidos virtuales</t>
        </is>
      </c>
      <c r="C285" t="inlineStr">
        <is>
          <t>Diseño de Contenido Virtual</t>
        </is>
      </c>
      <c r="D285" t="inlineStr">
        <is>
          <t>Semestral</t>
        </is>
      </c>
      <c r="E285" t="inlineStr">
        <is>
          <t>Positivo</t>
        </is>
      </c>
      <c r="F285" t="inlineStr">
        <is>
          <t>NTCVD</t>
        </is>
      </c>
      <c r="G285" t="inlineStr">
        <is>
          <t>Número Total de cursos virtuales diseñados</t>
        </is>
      </c>
      <c r="H285" t="inlineStr">
        <is>
          <t>Meta</t>
        </is>
      </c>
    </row>
    <row r="286">
      <c r="A286" t="n">
        <v>455</v>
      </c>
      <c r="B286" t="inlineStr">
        <is>
          <t>ANS Diseño de contenidos virtuales</t>
        </is>
      </c>
      <c r="C286" t="inlineStr">
        <is>
          <t>Diseño de Contenido Virtual</t>
        </is>
      </c>
      <c r="D286" t="inlineStr">
        <is>
          <t>Semestral</t>
        </is>
      </c>
      <c r="E286" t="inlineStr">
        <is>
          <t>Positivo</t>
        </is>
      </c>
      <c r="F286" t="inlineStr">
        <is>
          <t>NCVF</t>
        </is>
      </c>
      <c r="G286" t="inlineStr">
        <is>
          <t>Número de cursos virtuales finalizados dentro de los tiempos (60días calendario)</t>
        </is>
      </c>
      <c r="H286" t="inlineStr">
        <is>
          <t>Ejecución</t>
        </is>
      </c>
    </row>
    <row r="287">
      <c r="A287" t="n">
        <v>444</v>
      </c>
      <c r="B287" t="inlineStr">
        <is>
          <t>CES Proceso de grados</t>
        </is>
      </c>
      <c r="C287" t="inlineStr">
        <is>
          <t>Registro y Control</t>
        </is>
      </c>
      <c r="D287" t="inlineStr">
        <is>
          <t>Trimestral</t>
        </is>
      </c>
      <c r="E287" t="inlineStr">
        <is>
          <t>Negativo</t>
        </is>
      </c>
      <c r="F287" t="inlineStr">
        <is>
          <t>CESPGR</t>
        </is>
      </c>
      <c r="G287" t="inlineStr">
        <is>
          <t>CES Proceso de grados</t>
        </is>
      </c>
      <c r="H287" t="inlineStr">
        <is>
          <t>Informativo</t>
        </is>
      </c>
    </row>
    <row r="288">
      <c r="A288" t="n">
        <v>506</v>
      </c>
      <c r="B288" t="inlineStr">
        <is>
          <t>Nivel de Satisfacción Servicios Prestados - Prácticas</t>
        </is>
      </c>
      <c r="C288" t="inlineStr">
        <is>
          <t>Prácticas</t>
        </is>
      </c>
      <c r="D288" t="inlineStr">
        <is>
          <t>Trimestral</t>
        </is>
      </c>
      <c r="E288" t="inlineStr">
        <is>
          <t>Positivo</t>
        </is>
      </c>
      <c r="F288" t="inlineStr">
        <is>
          <t>RESPR</t>
        </is>
      </c>
      <c r="G288" t="inlineStr">
        <is>
          <t>Resultado de la encuesta de satisfacción institucional</t>
        </is>
      </c>
      <c r="H288" t="inlineStr">
        <is>
          <t>Ejecución</t>
        </is>
      </c>
    </row>
    <row r="289">
      <c r="A289" t="n">
        <v>507</v>
      </c>
      <c r="B289" t="inlineStr">
        <is>
          <t>Nivel de Satisfacción Servicios Prestados -Cultura y Deporte</t>
        </is>
      </c>
      <c r="C289" t="inlineStr">
        <is>
          <t>Cultura y Deporte</t>
        </is>
      </c>
      <c r="D289" t="inlineStr">
        <is>
          <t>Trimestral</t>
        </is>
      </c>
      <c r="E289" t="inlineStr">
        <is>
          <t>Positivo</t>
        </is>
      </c>
      <c r="F289" t="inlineStr">
        <is>
          <t>RESCD</t>
        </is>
      </c>
      <c r="G289" t="inlineStr">
        <is>
          <t>Resultado de la encuesta de satisfacción institucional</t>
        </is>
      </c>
      <c r="H289" t="inlineStr">
        <is>
          <t>Ejecución</t>
        </is>
      </c>
    </row>
    <row r="290">
      <c r="A290" t="n">
        <v>460</v>
      </c>
      <c r="B290" t="inlineStr">
        <is>
          <t>% de profesores (Contrato Indefinido- Fijo) impactados plan de desarrollo docente</t>
        </is>
      </c>
      <c r="C290" t="inlineStr">
        <is>
          <t>GESTIÓN Y DESARROLLO DEL TALENTO HUMANO</t>
        </is>
      </c>
      <c r="D290" t="inlineStr">
        <is>
          <t>Anual</t>
        </is>
      </c>
      <c r="E290" t="inlineStr">
        <is>
          <t>Positivo</t>
        </is>
      </c>
      <c r="F290" t="inlineStr">
        <is>
          <t>NPIPDD</t>
        </is>
      </c>
      <c r="G290" t="inlineStr">
        <is>
          <t>Numero Profesores impactados plan de desarrollo docente</t>
        </is>
      </c>
      <c r="H290" t="inlineStr">
        <is>
          <t>Informativo</t>
        </is>
      </c>
    </row>
    <row r="291">
      <c r="A291" t="n">
        <v>460</v>
      </c>
      <c r="B291" t="inlineStr">
        <is>
          <t>% de profesores (Contrato Indefinido- Fijo) impactados plan de desarrollo docente</t>
        </is>
      </c>
      <c r="C291" t="inlineStr">
        <is>
          <t>GESTIÓN Y DESARROLLO DEL TALENTO HUMANO</t>
        </is>
      </c>
      <c r="D291" t="inlineStr">
        <is>
          <t>Anual</t>
        </is>
      </c>
      <c r="E291" t="inlineStr">
        <is>
          <t>Positivo</t>
        </is>
      </c>
      <c r="F291" t="inlineStr">
        <is>
          <t>NTDTIFAS</t>
        </is>
      </c>
      <c r="G291" t="inlineStr">
        <is>
          <t>Número Total docentes termino indefinido - Fijo anual- Fijo Semestral</t>
        </is>
      </c>
      <c r="H291" t="inlineStr">
        <is>
          <t>Informativo</t>
        </is>
      </c>
    </row>
    <row r="292">
      <c r="A292" t="n">
        <v>487</v>
      </c>
      <c r="B292" t="inlineStr">
        <is>
          <t>Número Impactados Talleres de formación</t>
        </is>
      </c>
      <c r="C292" t="inlineStr">
        <is>
          <t>Centro de Medios Audiovisuales</t>
        </is>
      </c>
      <c r="D292" t="inlineStr">
        <is>
          <t>Anual</t>
        </is>
      </c>
      <c r="E292" t="inlineStr">
        <is>
          <t>Positivo</t>
        </is>
      </c>
      <c r="F292" t="inlineStr">
        <is>
          <t>NITPA</t>
        </is>
      </c>
      <c r="G292" t="inlineStr">
        <is>
          <t>N impactos periodo actual en talleres de producción audiovisual</t>
        </is>
      </c>
      <c r="H292" t="inlineStr">
        <is>
          <t>Informativo</t>
        </is>
      </c>
    </row>
    <row r="293">
      <c r="A293" t="n">
        <v>487</v>
      </c>
      <c r="B293" t="inlineStr">
        <is>
          <t>Número Impactados Talleres de formación</t>
        </is>
      </c>
      <c r="C293" t="inlineStr">
        <is>
          <t>Centro de Medios Audiovisuales</t>
        </is>
      </c>
      <c r="D293" t="inlineStr">
        <is>
          <t>Anual</t>
        </is>
      </c>
      <c r="E293" t="inlineStr">
        <is>
          <t>Positivo</t>
        </is>
      </c>
      <c r="F293" t="inlineStr">
        <is>
          <t>NIPAPA</t>
        </is>
      </c>
      <c r="G293" t="inlineStr">
        <is>
          <t>N impactos periodo anterior en talleres de producción audiovisual</t>
        </is>
      </c>
      <c r="H293" t="inlineStr">
        <is>
          <t>Informativo</t>
        </is>
      </c>
    </row>
    <row r="294">
      <c r="A294" t="n">
        <v>490</v>
      </c>
      <c r="B294" t="inlineStr">
        <is>
          <t>Nivel de Satisfacción Servicios Prestados - Planeación Estratégica</t>
        </is>
      </c>
      <c r="C294" t="inlineStr">
        <is>
          <t>Planeación Estratégica</t>
        </is>
      </c>
      <c r="D294" t="inlineStr">
        <is>
          <t>Anual</t>
        </is>
      </c>
      <c r="E294" t="inlineStr">
        <is>
          <t>Positivo</t>
        </is>
      </c>
      <c r="F294" t="inlineStr">
        <is>
          <t>RESPE</t>
        </is>
      </c>
      <c r="G294" t="inlineStr">
        <is>
          <t>Resultado de la encuesta de satisfacción institucional</t>
        </is>
      </c>
      <c r="H294" t="inlineStr">
        <is>
          <t>Ejecución</t>
        </is>
      </c>
    </row>
    <row r="295">
      <c r="A295" t="n">
        <v>491</v>
      </c>
      <c r="B295" t="inlineStr">
        <is>
          <t>Nivel de Satisfacción Servicios Prestados - Gestión de proyectos</t>
        </is>
      </c>
      <c r="C295" t="inlineStr">
        <is>
          <t>Gestión de Proyectos</t>
        </is>
      </c>
      <c r="D295" t="inlineStr">
        <is>
          <t>Anual</t>
        </is>
      </c>
      <c r="E295" t="inlineStr">
        <is>
          <t>Positivo</t>
        </is>
      </c>
      <c r="F295" t="inlineStr">
        <is>
          <t>RESGP</t>
        </is>
      </c>
      <c r="G295" t="inlineStr">
        <is>
          <t>Resultado de la encuesta de satisfacción institucional</t>
        </is>
      </c>
      <c r="H295" t="inlineStr">
        <is>
          <t>Ejecución</t>
        </is>
      </c>
    </row>
    <row r="296">
      <c r="A296" t="n">
        <v>492</v>
      </c>
      <c r="B296" t="inlineStr">
        <is>
          <t>Nivel de Satisfacción Servicios Prestados - Desempeño Institucional</t>
        </is>
      </c>
      <c r="C296" t="inlineStr">
        <is>
          <t>Desempeño Institucional</t>
        </is>
      </c>
      <c r="D296" t="inlineStr">
        <is>
          <t>Anual</t>
        </is>
      </c>
      <c r="E296" t="inlineStr">
        <is>
          <t>Positivo</t>
        </is>
      </c>
      <c r="F296" t="inlineStr">
        <is>
          <t>RESDI</t>
        </is>
      </c>
      <c r="G296" t="inlineStr">
        <is>
          <t>Resultado de la encuesta de satisfacción institucional</t>
        </is>
      </c>
      <c r="H296" t="inlineStr">
        <is>
          <t>Ejecución</t>
        </is>
      </c>
    </row>
    <row r="297">
      <c r="A297" t="n">
        <v>493</v>
      </c>
      <c r="B297" t="inlineStr">
        <is>
          <t>Nivel de Satisfacción Servicios Prestados - Gestión Jurídica Y Normativa</t>
        </is>
      </c>
      <c r="C297" t="inlineStr">
        <is>
          <t>GESTIÓN JURÍDICA Y NORMATIVA</t>
        </is>
      </c>
      <c r="D297" t="inlineStr">
        <is>
          <t>Anual</t>
        </is>
      </c>
      <c r="E297" t="inlineStr">
        <is>
          <t>Positivo</t>
        </is>
      </c>
      <c r="F297" t="inlineStr">
        <is>
          <t>RESGJN</t>
        </is>
      </c>
      <c r="G297" t="inlineStr">
        <is>
          <t>Resultado de la encuesta de satisfacción institucional</t>
        </is>
      </c>
      <c r="H297" t="inlineStr">
        <is>
          <t>Ejecución</t>
        </is>
      </c>
    </row>
    <row r="298">
      <c r="A298" t="n">
        <v>494</v>
      </c>
      <c r="B298" t="inlineStr">
        <is>
          <t>Nivel de Satisfacción Servicios Prestados - Administración De Servicios Generales</t>
        </is>
      </c>
      <c r="C298" t="inlineStr">
        <is>
          <t>Administración de Servicios Generales</t>
        </is>
      </c>
      <c r="D298" t="inlineStr">
        <is>
          <t>Anual</t>
        </is>
      </c>
      <c r="E298" t="inlineStr">
        <is>
          <t>Positivo</t>
        </is>
      </c>
      <c r="F298" t="inlineStr">
        <is>
          <t>RESSA</t>
        </is>
      </c>
      <c r="G298" t="inlineStr">
        <is>
          <t>Resultado de la encuesta de satisfacción institucional</t>
        </is>
      </c>
      <c r="H298" t="inlineStr">
        <is>
          <t>Ejecución</t>
        </is>
      </c>
    </row>
    <row r="299">
      <c r="A299" t="n">
        <v>495</v>
      </c>
      <c r="B299" t="inlineStr">
        <is>
          <t>Nivel de Satisfacción Servicios Prestados - Contabilidad</t>
        </is>
      </c>
      <c r="C299" t="inlineStr">
        <is>
          <t>Contabilidad</t>
        </is>
      </c>
      <c r="D299" t="inlineStr">
        <is>
          <t>Anual</t>
        </is>
      </c>
      <c r="E299" t="inlineStr">
        <is>
          <t>Positivo</t>
        </is>
      </c>
      <c r="F299" t="inlineStr">
        <is>
          <t>RESCO</t>
        </is>
      </c>
      <c r="G299" t="inlineStr">
        <is>
          <t>Resultado de la encuesta de satisfacción institucional</t>
        </is>
      </c>
      <c r="H299" t="inlineStr">
        <is>
          <t>Ejecución</t>
        </is>
      </c>
    </row>
    <row r="300">
      <c r="A300" t="n">
        <v>496</v>
      </c>
      <c r="B300" t="inlineStr">
        <is>
          <t>Nivel de Satisfacción Servicios Prestados - Planeación Financiera</t>
        </is>
      </c>
      <c r="C300" t="inlineStr">
        <is>
          <t>Planeación Financiera</t>
        </is>
      </c>
      <c r="D300" t="inlineStr">
        <is>
          <t>Anual</t>
        </is>
      </c>
      <c r="E300" t="inlineStr">
        <is>
          <t>Positivo</t>
        </is>
      </c>
      <c r="F300" t="inlineStr">
        <is>
          <t>RESPF</t>
        </is>
      </c>
      <c r="G300" t="inlineStr">
        <is>
          <t>Resultado de la encuesta de satisfacción institucional</t>
        </is>
      </c>
      <c r="H300" t="inlineStr">
        <is>
          <t>Ejecución</t>
        </is>
      </c>
    </row>
    <row r="301">
      <c r="A301" t="n">
        <v>497</v>
      </c>
      <c r="B301" t="inlineStr">
        <is>
          <t>Nivel de Satisfacción Servicios Prestados - Tesorería</t>
        </is>
      </c>
      <c r="C301" t="inlineStr">
        <is>
          <t>Tesorería</t>
        </is>
      </c>
      <c r="D301" t="inlineStr">
        <is>
          <t>Anual</t>
        </is>
      </c>
      <c r="E301" t="inlineStr">
        <is>
          <t>Positivo</t>
        </is>
      </c>
      <c r="F301" t="inlineStr">
        <is>
          <t>REST</t>
        </is>
      </c>
      <c r="G301" t="inlineStr">
        <is>
          <t>Resultado de la encuesta de satisfacción institucional</t>
        </is>
      </c>
      <c r="H301" t="inlineStr">
        <is>
          <t>Ejecución</t>
        </is>
      </c>
    </row>
    <row r="302">
      <c r="A302" t="n">
        <v>498</v>
      </c>
      <c r="B302" t="inlineStr">
        <is>
          <t>Nivel de Satisfacción Servicios Prestados - Centro de Medios Audiovisuales</t>
        </is>
      </c>
      <c r="C302" t="inlineStr">
        <is>
          <t>Centro de Medios Audiovisuales</t>
        </is>
      </c>
      <c r="D302" t="inlineStr">
        <is>
          <t>Anual</t>
        </is>
      </c>
      <c r="E302" t="inlineStr">
        <is>
          <t>Positivo</t>
        </is>
      </c>
      <c r="F302" t="inlineStr">
        <is>
          <t>RESCMA</t>
        </is>
      </c>
      <c r="G302" t="inlineStr">
        <is>
          <t>Resultado de la encuesta de satisfacción institucional</t>
        </is>
      </c>
      <c r="H302" t="inlineStr">
        <is>
          <t>Ejecución</t>
        </is>
      </c>
    </row>
    <row r="303">
      <c r="A303" t="n">
        <v>499</v>
      </c>
      <c r="B303" t="inlineStr">
        <is>
          <t>Nivel de Satisfacción Servicios Prestados - Datos y analítica</t>
        </is>
      </c>
      <c r="C303" t="inlineStr">
        <is>
          <t>DATOS Y ANALÍTICA</t>
        </is>
      </c>
      <c r="D303" t="inlineStr">
        <is>
          <t>Anual</t>
        </is>
      </c>
      <c r="E303" t="inlineStr">
        <is>
          <t>Positivo</t>
        </is>
      </c>
      <c r="F303" t="inlineStr">
        <is>
          <t>RESCDA</t>
        </is>
      </c>
      <c r="G303" t="inlineStr">
        <is>
          <t>Resultado de la encuesta de satisfacción institucional</t>
        </is>
      </c>
      <c r="H303" t="inlineStr">
        <is>
          <t>Ejecución</t>
        </is>
      </c>
    </row>
    <row r="304">
      <c r="A304" t="n">
        <v>500</v>
      </c>
      <c r="B304" t="inlineStr">
        <is>
          <t>Nivel de Satisfacción Servicios Prestados -Servicio de Salud</t>
        </is>
      </c>
      <c r="C304" t="inlineStr">
        <is>
          <t>Servicio de Salud</t>
        </is>
      </c>
      <c r="D304" t="inlineStr">
        <is>
          <t>Anual</t>
        </is>
      </c>
      <c r="E304" t="inlineStr">
        <is>
          <t>Positivo</t>
        </is>
      </c>
      <c r="F304" t="inlineStr">
        <is>
          <t>RESSS</t>
        </is>
      </c>
      <c r="G304" t="inlineStr">
        <is>
          <t>Resultado de la encuesta de satisfacción institucional</t>
        </is>
      </c>
      <c r="H304" t="inlineStr">
        <is>
          <t>Ejecución</t>
        </is>
      </c>
    </row>
    <row r="305">
      <c r="A305" t="n">
        <v>501</v>
      </c>
      <c r="B305" t="inlineStr">
        <is>
          <t>Nivel de Satisfacción Servicios Prestados -Gestión, evaluación e innovación curricular</t>
        </is>
      </c>
      <c r="C305" t="inlineStr">
        <is>
          <t>Gestión, Evaluación e Innovación Curricular</t>
        </is>
      </c>
      <c r="D305" t="inlineStr">
        <is>
          <t>Anual</t>
        </is>
      </c>
      <c r="E305" t="inlineStr">
        <is>
          <t>Positivo</t>
        </is>
      </c>
      <c r="F305" t="inlineStr">
        <is>
          <t>RESGIC</t>
        </is>
      </c>
      <c r="G305" t="inlineStr">
        <is>
          <t>Resultado de la encuesta de satisfacción institucional</t>
        </is>
      </c>
      <c r="H305" t="inlineStr">
        <is>
          <t>Ejecución</t>
        </is>
      </c>
    </row>
    <row r="306">
      <c r="A306" t="n">
        <v>502</v>
      </c>
      <c r="B306" t="inlineStr">
        <is>
          <t>Nivel de Satisfacción Servicios Prestados -Formación para la investigación, creación e innovación</t>
        </is>
      </c>
      <c r="C306" t="inlineStr">
        <is>
          <t>Formación para la investigación, creación e innovación</t>
        </is>
      </c>
      <c r="D306" t="inlineStr">
        <is>
          <t>Anual</t>
        </is>
      </c>
      <c r="E306" t="inlineStr">
        <is>
          <t>Positivo</t>
        </is>
      </c>
      <c r="F306" t="inlineStr">
        <is>
          <t>RESFII</t>
        </is>
      </c>
      <c r="G306" t="inlineStr">
        <is>
          <t>Resultado de la encuesta de satisfacción institucional</t>
        </is>
      </c>
      <c r="H306" t="inlineStr">
        <is>
          <t>Ejecución</t>
        </is>
      </c>
    </row>
    <row r="307">
      <c r="A307" t="n">
        <v>503</v>
      </c>
      <c r="B307" t="inlineStr">
        <is>
          <t>Nivel de Satisfacción Servicios Prestados -Gestión de Unidades Académicas</t>
        </is>
      </c>
      <c r="C307" t="inlineStr">
        <is>
          <t>Gestión de Unidades Académicas</t>
        </is>
      </c>
      <c r="D307" t="inlineStr">
        <is>
          <t>Anual</t>
        </is>
      </c>
      <c r="E307" t="inlineStr">
        <is>
          <t>Positivo</t>
        </is>
      </c>
      <c r="F307" t="inlineStr">
        <is>
          <t>RESGUA</t>
        </is>
      </c>
      <c r="G307" t="inlineStr">
        <is>
          <t>Resultado de la encuesta de satisfacción institucional</t>
        </is>
      </c>
      <c r="H307" t="inlineStr">
        <is>
          <t>Ejecución</t>
        </is>
      </c>
    </row>
    <row r="308">
      <c r="A308" t="n">
        <v>504</v>
      </c>
      <c r="B308" t="inlineStr">
        <is>
          <t>Nivel de Satisfacción Servicios Prestados - LEI</t>
        </is>
      </c>
      <c r="C308" t="inlineStr">
        <is>
          <t>LEI</t>
        </is>
      </c>
      <c r="D308" t="inlineStr">
        <is>
          <t>Anual</t>
        </is>
      </c>
      <c r="E308" t="inlineStr">
        <is>
          <t>Positivo</t>
        </is>
      </c>
      <c r="F308" t="inlineStr">
        <is>
          <t>RESLEI</t>
        </is>
      </c>
      <c r="G308" t="inlineStr">
        <is>
          <t>Resultado de la encuesta de satisfacción institucional</t>
        </is>
      </c>
      <c r="H308" t="inlineStr">
        <is>
          <t>Ejecución</t>
        </is>
      </c>
    </row>
    <row r="309">
      <c r="A309" t="n">
        <v>505</v>
      </c>
      <c r="B309" t="inlineStr">
        <is>
          <t>Nivel de Satisfacción Servicios Prestados - Mercadeo de programas académicos</t>
        </is>
      </c>
      <c r="C309" t="inlineStr">
        <is>
          <t>Mercadeo de programas académicos</t>
        </is>
      </c>
      <c r="D309" t="inlineStr">
        <is>
          <t>Anual</t>
        </is>
      </c>
      <c r="E309" t="inlineStr">
        <is>
          <t>Positivo</t>
        </is>
      </c>
      <c r="F309" t="inlineStr">
        <is>
          <t>RESM</t>
        </is>
      </c>
      <c r="G309" t="inlineStr">
        <is>
          <t>Resultado de la encuesta de satisfacción institucional</t>
        </is>
      </c>
      <c r="H309" t="inlineStr">
        <is>
          <t>Ejecución</t>
        </is>
      </c>
    </row>
    <row r="310">
      <c r="A310" t="n">
        <v>508</v>
      </c>
      <c r="B310" t="inlineStr">
        <is>
          <t>Nivel de Satisfacción Servicios Prestados - Diseño y contenido virtual</t>
        </is>
      </c>
      <c r="C310" t="inlineStr">
        <is>
          <t>Diseño de Contenido Virtual</t>
        </is>
      </c>
      <c r="D310" t="inlineStr">
        <is>
          <t>Anual</t>
        </is>
      </c>
      <c r="E310" t="inlineStr">
        <is>
          <t>Positivo</t>
        </is>
      </c>
      <c r="F310" t="inlineStr">
        <is>
          <t>RESDCV</t>
        </is>
      </c>
      <c r="G310" t="inlineStr">
        <is>
          <t>Resultado de la encuesta de satisfacción institucional</t>
        </is>
      </c>
      <c r="H310" t="inlineStr">
        <is>
          <t>Ejecución</t>
        </is>
      </c>
    </row>
    <row r="311">
      <c r="A311" t="n">
        <v>513</v>
      </c>
      <c r="B311" t="inlineStr">
        <is>
          <t>Nivel de cumplimiento del plan de seguimiento a controles</t>
        </is>
      </c>
      <c r="C311" t="inlineStr">
        <is>
          <t>GESTIÓN DE RIESGOS</t>
        </is>
      </c>
      <c r="D311" t="inlineStr">
        <is>
          <t>Semestral</t>
        </is>
      </c>
      <c r="E311" t="inlineStr">
        <is>
          <t>Positivo</t>
        </is>
      </c>
      <c r="F311" t="inlineStr">
        <is>
          <t>NASCEJ</t>
        </is>
      </c>
      <c r="G311" t="inlineStr">
        <is>
          <t>N° Actividades de seguimiento a controles ejecutadas</t>
        </is>
      </c>
      <c r="H311" t="inlineStr">
        <is>
          <t>Ejecución</t>
        </is>
      </c>
    </row>
    <row r="312">
      <c r="A312" t="n">
        <v>513</v>
      </c>
      <c r="B312" t="inlineStr">
        <is>
          <t>Nivel de cumplimiento del plan de seguimiento a controles</t>
        </is>
      </c>
      <c r="C312" t="inlineStr">
        <is>
          <t>GESTIÓN DE RIESGOS</t>
        </is>
      </c>
      <c r="D312" t="inlineStr">
        <is>
          <t>Semestral</t>
        </is>
      </c>
      <c r="E312" t="inlineStr">
        <is>
          <t>Positivo</t>
        </is>
      </c>
      <c r="F312" t="inlineStr">
        <is>
          <t>NASCPP</t>
        </is>
      </c>
      <c r="G312" t="inlineStr">
        <is>
          <t>Número Actividades de seguimiento a controles planeadas en un periodo</t>
        </is>
      </c>
      <c r="H312" t="inlineStr">
        <is>
          <t>Meta</t>
        </is>
      </c>
    </row>
    <row r="313">
      <c r="A313" t="n">
        <v>518</v>
      </c>
      <c r="B313" t="inlineStr">
        <is>
          <t>Cumplimiento programa de auditoría</t>
        </is>
      </c>
      <c r="C313" t="inlineStr">
        <is>
          <t>AUDITORÍA INTERNA</t>
        </is>
      </c>
      <c r="D313" t="inlineStr">
        <is>
          <t>Semestral</t>
        </is>
      </c>
      <c r="E313" t="inlineStr">
        <is>
          <t>Positivo</t>
        </is>
      </c>
      <c r="F313" t="inlineStr">
        <is>
          <t>TAIRE</t>
        </is>
      </c>
      <c r="G313" t="inlineStr">
        <is>
          <t>Total de Auditorias internas realizadas</t>
        </is>
      </c>
      <c r="H313" t="inlineStr">
        <is>
          <t>Ejecución</t>
        </is>
      </c>
    </row>
    <row r="314">
      <c r="A314" t="n">
        <v>518</v>
      </c>
      <c r="B314" t="inlineStr">
        <is>
          <t>Cumplimiento programa de auditoría</t>
        </is>
      </c>
      <c r="C314" t="inlineStr">
        <is>
          <t>AUDITORÍA INTERNA</t>
        </is>
      </c>
      <c r="D314" t="inlineStr">
        <is>
          <t>Semestral</t>
        </is>
      </c>
      <c r="E314" t="inlineStr">
        <is>
          <t>Positivo</t>
        </is>
      </c>
      <c r="F314" t="inlineStr">
        <is>
          <t>TAIPR</t>
        </is>
      </c>
      <c r="G314" t="inlineStr">
        <is>
          <t>Total auditorias internas programadas</t>
        </is>
      </c>
      <c r="H314" t="inlineStr">
        <is>
          <t>Meta</t>
        </is>
      </c>
    </row>
    <row r="315">
      <c r="A315" t="n">
        <v>451</v>
      </c>
      <c r="B315" t="inlineStr">
        <is>
          <t>% de publicaciones con sentimiento positivo</t>
        </is>
      </c>
      <c r="C315" t="inlineStr">
        <is>
          <t>Comunicaciones Externas</t>
        </is>
      </c>
      <c r="D315" t="inlineStr">
        <is>
          <t>Trimestral</t>
        </is>
      </c>
      <c r="E315" t="inlineStr">
        <is>
          <t>Positivo</t>
        </is>
      </c>
      <c r="F315" t="inlineStr">
        <is>
          <t>PPPPE</t>
        </is>
      </c>
      <c r="G315" t="inlineStr">
        <is>
          <t>% Participación de publicaciones positiva esperada</t>
        </is>
      </c>
      <c r="H315" t="inlineStr">
        <is>
          <t>Meta</t>
        </is>
      </c>
    </row>
    <row r="316">
      <c r="A316" t="n">
        <v>514</v>
      </c>
      <c r="B316" t="inlineStr">
        <is>
          <t>Respuesta ante nuevas necesidades de control</t>
        </is>
      </c>
      <c r="C316" t="inlineStr">
        <is>
          <t>GESTIÓN DE RIESGOS</t>
        </is>
      </c>
      <c r="D316" t="inlineStr">
        <is>
          <t>Trimestral</t>
        </is>
      </c>
      <c r="E316" t="inlineStr">
        <is>
          <t>Positivo</t>
        </is>
      </c>
      <c r="F316" t="inlineStr">
        <is>
          <t>NCCI</t>
        </is>
      </c>
      <c r="G316" t="inlineStr">
        <is>
          <t>Número de causas con controles implementados</t>
        </is>
      </c>
      <c r="H316" t="inlineStr">
        <is>
          <t>Informativo</t>
        </is>
      </c>
    </row>
    <row r="317">
      <c r="A317" t="n">
        <v>514</v>
      </c>
      <c r="B317" t="inlineStr">
        <is>
          <t>Respuesta ante nuevas necesidades de control</t>
        </is>
      </c>
      <c r="C317" t="inlineStr">
        <is>
          <t>GESTIÓN DE RIESGOS</t>
        </is>
      </c>
      <c r="D317" t="inlineStr">
        <is>
          <t>Trimestral</t>
        </is>
      </c>
      <c r="E317" t="inlineStr">
        <is>
          <t>Positivo</t>
        </is>
      </c>
      <c r="F317" t="inlineStr">
        <is>
          <t>NTCNINC</t>
        </is>
      </c>
      <c r="G317" t="inlineStr">
        <is>
          <t>Número total de causas de necesidades identificadas de nuevos controles</t>
        </is>
      </c>
      <c r="H317" t="inlineStr">
        <is>
          <t>Informativo</t>
        </is>
      </c>
    </row>
    <row r="318">
      <c r="A318" t="n">
        <v>537</v>
      </c>
      <c r="B318" t="inlineStr">
        <is>
          <t>FCR- Resolución en primer contacto</t>
        </is>
      </c>
      <c r="C318" t="inlineStr">
        <is>
          <t>Servicio</t>
        </is>
      </c>
      <c r="D318" t="inlineStr">
        <is>
          <t>Trimestral</t>
        </is>
      </c>
      <c r="E318" t="inlineStr">
        <is>
          <t>Positivo</t>
        </is>
      </c>
      <c r="F318" t="inlineStr">
        <is>
          <t>NSRPC</t>
        </is>
      </c>
      <c r="G318" t="inlineStr">
        <is>
          <t>Número de solicitudes resultas en primer contacto</t>
        </is>
      </c>
      <c r="H318" t="inlineStr">
        <is>
          <t>Informativo</t>
        </is>
      </c>
    </row>
    <row r="319">
      <c r="A319" t="n">
        <v>537</v>
      </c>
      <c r="B319" t="inlineStr">
        <is>
          <t>FCR- Resolución en primer contacto</t>
        </is>
      </c>
      <c r="C319" t="inlineStr">
        <is>
          <t>Servicio</t>
        </is>
      </c>
      <c r="D319" t="inlineStr">
        <is>
          <t>Trimestral</t>
        </is>
      </c>
      <c r="E319" t="inlineStr">
        <is>
          <t>Positivo</t>
        </is>
      </c>
      <c r="F319" t="inlineStr">
        <is>
          <t>NTSOL</t>
        </is>
      </c>
      <c r="G319" t="inlineStr">
        <is>
          <t>Número total de solicitudes</t>
        </is>
      </c>
      <c r="H319" t="inlineStr">
        <is>
          <t>Informativo</t>
        </is>
      </c>
    </row>
    <row r="320">
      <c r="A320" t="n">
        <v>540</v>
      </c>
      <c r="B320" t="inlineStr">
        <is>
          <t>Nivel de Calidad de los Datos Cargados al SNIES</t>
        </is>
      </c>
      <c r="C320" t="inlineStr">
        <is>
          <t>DATOS Y ANALÍTICA</t>
        </is>
      </c>
      <c r="D320" t="inlineStr">
        <is>
          <t>Trimestral</t>
        </is>
      </c>
      <c r="E320" t="inlineStr">
        <is>
          <t>Positivo</t>
        </is>
      </c>
      <c r="F320" t="inlineStr">
        <is>
          <t>PNCD</t>
        </is>
      </c>
      <c r="G320" t="inlineStr">
        <is>
          <t>% nivel de calidad de los datos cargados al SNIES</t>
        </is>
      </c>
      <c r="H320" t="inlineStr">
        <is>
          <t>Ejecución</t>
        </is>
      </c>
    </row>
    <row r="321">
      <c r="A321" t="n">
        <v>550</v>
      </c>
      <c r="B321" t="inlineStr">
        <is>
          <t>Nivel de satisfacción con las actividades de formación</t>
        </is>
      </c>
      <c r="C321" t="inlineStr">
        <is>
          <t>Emprendimiento</t>
        </is>
      </c>
      <c r="D321" t="inlineStr">
        <is>
          <t>Trimestral</t>
        </is>
      </c>
      <c r="E321" t="inlineStr">
        <is>
          <t>Positivo</t>
        </is>
      </c>
      <c r="F321" t="inlineStr">
        <is>
          <t>NSF</t>
        </is>
      </c>
      <c r="G321" t="inlineStr">
        <is>
          <t>Nivel de saisfacción con la formación</t>
        </is>
      </c>
      <c r="H321" t="inlineStr">
        <is>
          <t>Ejecución</t>
        </is>
      </c>
    </row>
    <row r="322">
      <c r="A322" t="n">
        <v>551</v>
      </c>
      <c r="B322" t="inlineStr">
        <is>
          <t>Evaluación del desempeño de los mentores</t>
        </is>
      </c>
      <c r="C322" t="inlineStr">
        <is>
          <t>Emprendimiento</t>
        </is>
      </c>
      <c r="D322" t="inlineStr">
        <is>
          <t>Trimestral</t>
        </is>
      </c>
      <c r="E322" t="inlineStr">
        <is>
          <t>Positivo</t>
        </is>
      </c>
      <c r="F322" t="inlineStr">
        <is>
          <t>REDM</t>
        </is>
      </c>
      <c r="G322" t="inlineStr">
        <is>
          <t>Resultado de evaluación de desempeño de mentores</t>
        </is>
      </c>
      <c r="H322" t="inlineStr">
        <is>
          <t>Ejecución</t>
        </is>
      </c>
    </row>
    <row r="323">
      <c r="A323" t="n">
        <v>526</v>
      </c>
      <c r="B323" t="inlineStr">
        <is>
          <t>Cumplimiento Politica Polisigs</t>
        </is>
      </c>
      <c r="C323" t="inlineStr">
        <is>
          <t>Planificación POLISIGS</t>
        </is>
      </c>
      <c r="D323" t="inlineStr">
        <is>
          <t>Semestral</t>
        </is>
      </c>
      <c r="E323" t="inlineStr">
        <is>
          <t>Positivo</t>
        </is>
      </c>
      <c r="F323" t="inlineStr">
        <is>
          <t>PCPP</t>
        </is>
      </c>
      <c r="G323" t="inlineStr">
        <is>
          <t>Porcentaje de cumplimiento de la politica POLISIGS</t>
        </is>
      </c>
      <c r="H323" t="inlineStr">
        <is>
          <t>Ejecución</t>
        </is>
      </c>
    </row>
    <row r="324">
      <c r="A324" t="n">
        <v>528</v>
      </c>
      <c r="B324" t="inlineStr">
        <is>
          <t>Participación de la comunidad en la Rendición de Cuentas</t>
        </is>
      </c>
      <c r="C324" t="inlineStr">
        <is>
          <t>Planeación Estratégica</t>
        </is>
      </c>
      <c r="D324" t="inlineStr">
        <is>
          <t>Anual</t>
        </is>
      </c>
      <c r="E324" t="inlineStr">
        <is>
          <t>Positivo</t>
        </is>
      </c>
      <c r="F324" t="inlineStr">
        <is>
          <t>NTPE</t>
        </is>
      </c>
      <c r="G324" t="inlineStr">
        <is>
          <t>Número total de participantes esperados</t>
        </is>
      </c>
      <c r="H324" t="inlineStr">
        <is>
          <t>Meta</t>
        </is>
      </c>
    </row>
    <row r="325">
      <c r="A325" t="n">
        <v>528</v>
      </c>
      <c r="B325" t="inlineStr">
        <is>
          <t>Participación de la comunidad en la Rendición de Cuentas</t>
        </is>
      </c>
      <c r="C325" t="inlineStr">
        <is>
          <t>Planeación Estratégica</t>
        </is>
      </c>
      <c r="D325" t="inlineStr">
        <is>
          <t>Anual</t>
        </is>
      </c>
      <c r="E325" t="inlineStr">
        <is>
          <t>Positivo</t>
        </is>
      </c>
      <c r="F325" t="inlineStr">
        <is>
          <t>NPRCA</t>
        </is>
      </c>
      <c r="G325" t="inlineStr">
        <is>
          <t>Número de participantes en la rendición de cuentas</t>
        </is>
      </c>
      <c r="H325" t="inlineStr">
        <is>
          <t>Ejecución</t>
        </is>
      </c>
    </row>
    <row r="326">
      <c r="A326" t="n">
        <v>552</v>
      </c>
      <c r="B326" t="inlineStr">
        <is>
          <t>Nivel de Satisfacción Servicios Prestados -Gestión de la Responsabilidad Social</t>
        </is>
      </c>
      <c r="C326" t="inlineStr">
        <is>
          <t>Gestión de la Responsabilidad Social</t>
        </is>
      </c>
      <c r="D326" t="inlineStr">
        <is>
          <t>Anual</t>
        </is>
      </c>
      <c r="E326" t="inlineStr">
        <is>
          <t>Positivo</t>
        </is>
      </c>
      <c r="F326" t="inlineStr">
        <is>
          <t>NSGRS</t>
        </is>
      </c>
      <c r="G326" t="inlineStr">
        <is>
          <t>Satisfacción Gestión de la responsabilidad social</t>
        </is>
      </c>
      <c r="H326" t="inlineStr">
        <is>
          <t>Ejecución</t>
        </is>
      </c>
    </row>
    <row r="327">
      <c r="A327" t="n">
        <v>515</v>
      </c>
      <c r="B327" t="inlineStr">
        <is>
          <t>Porcentaje de procesos de control implementados</t>
        </is>
      </c>
      <c r="C327" t="inlineStr">
        <is>
          <t>GESTIÓN DE LA TECNOLOGÍA E INNOVACIÓN DIGITAL</t>
        </is>
      </c>
      <c r="D327" t="inlineStr">
        <is>
          <t>Trimestral</t>
        </is>
      </c>
      <c r="E327" t="inlineStr">
        <is>
          <t>Positivo</t>
        </is>
      </c>
      <c r="F327" t="inlineStr">
        <is>
          <t>NCI</t>
        </is>
      </c>
      <c r="G327" t="inlineStr">
        <is>
          <t>Número de controles implementados</t>
        </is>
      </c>
      <c r="H327" t="inlineStr">
        <is>
          <t>Ejecución</t>
        </is>
      </c>
    </row>
    <row r="328">
      <c r="A328" t="n">
        <v>515</v>
      </c>
      <c r="B328" t="inlineStr">
        <is>
          <t>Porcentaje de procesos de control implementados</t>
        </is>
      </c>
      <c r="C328" t="inlineStr">
        <is>
          <t>GESTIÓN DE LA TECNOLOGÍA E INNOVACIÓN DIGITAL</t>
        </is>
      </c>
      <c r="D328" t="inlineStr">
        <is>
          <t>Trimestral</t>
        </is>
      </c>
      <c r="E328" t="inlineStr">
        <is>
          <t>Positivo</t>
        </is>
      </c>
      <c r="F328" t="inlineStr">
        <is>
          <t>NCPPI</t>
        </is>
      </c>
      <c r="G328" t="inlineStr">
        <is>
          <t>Número Controles planeados de los procesos identificados</t>
        </is>
      </c>
      <c r="H328" t="inlineStr">
        <is>
          <t>Meta</t>
        </is>
      </c>
    </row>
    <row r="329">
      <c r="A329" t="n">
        <v>516</v>
      </c>
      <c r="B329" t="inlineStr">
        <is>
          <t>Porcentaje de colaboradores formados en ciberseguridad</t>
        </is>
      </c>
      <c r="C329" t="inlineStr">
        <is>
          <t>GESTIÓN DE LA TECNOLOGÍA E INNOVACIÓN DIGITAL</t>
        </is>
      </c>
      <c r="D329" t="inlineStr">
        <is>
          <t>Trimestral</t>
        </is>
      </c>
      <c r="E329" t="inlineStr">
        <is>
          <t>Positivo</t>
        </is>
      </c>
      <c r="F329" t="inlineStr">
        <is>
          <t>NAS</t>
        </is>
      </c>
      <c r="G329" t="inlineStr">
        <is>
          <t>Número de asistentes a las sesiones</t>
        </is>
      </c>
      <c r="H329" t="inlineStr">
        <is>
          <t>Ejecución</t>
        </is>
      </c>
    </row>
    <row r="330">
      <c r="A330" t="n">
        <v>516</v>
      </c>
      <c r="B330" t="inlineStr">
        <is>
          <t>Porcentaje de colaboradores formados en ciberseguridad</t>
        </is>
      </c>
      <c r="C330" t="inlineStr">
        <is>
          <t>GESTIÓN DE LA TECNOLOGÍA E INNOVACIÓN DIGITAL</t>
        </is>
      </c>
      <c r="D330" t="inlineStr">
        <is>
          <t>Trimestral</t>
        </is>
      </c>
      <c r="E330" t="inlineStr">
        <is>
          <t>Positivo</t>
        </is>
      </c>
      <c r="F330" t="inlineStr">
        <is>
          <t>NPO</t>
        </is>
      </c>
      <c r="G330" t="inlineStr">
        <is>
          <t>Número total de personas objetivo</t>
        </is>
      </c>
      <c r="H330" t="inlineStr">
        <is>
          <t>Meta</t>
        </is>
      </c>
    </row>
    <row r="331">
      <c r="A331" t="n">
        <v>530</v>
      </c>
      <c r="B331" t="inlineStr">
        <is>
          <t>Índice de Cumplimiento del Sprint</t>
        </is>
      </c>
      <c r="C331" t="inlineStr">
        <is>
          <t>GESTIÓN DE LA TECNOLOGÍA E INNOVACIÓN DIGITAL</t>
        </is>
      </c>
      <c r="D331" t="inlineStr">
        <is>
          <t>Trimestral</t>
        </is>
      </c>
      <c r="E331" t="inlineStr">
        <is>
          <t>Positivo</t>
        </is>
      </c>
      <c r="F331" t="inlineStr">
        <is>
          <t>HUCO</t>
        </is>
      </c>
      <c r="G331" t="inlineStr">
        <is>
          <t>Historias de Usuario Completadas</t>
        </is>
      </c>
      <c r="H331" t="inlineStr">
        <is>
          <t>Ejecución</t>
        </is>
      </c>
    </row>
    <row r="332">
      <c r="A332" t="n">
        <v>530</v>
      </c>
      <c r="B332" t="inlineStr">
        <is>
          <t>Índice de Cumplimiento del Sprint</t>
        </is>
      </c>
      <c r="C332" t="inlineStr">
        <is>
          <t>GESTIÓN DE LA TECNOLOGÍA E INNOVACIÓN DIGITAL</t>
        </is>
      </c>
      <c r="D332" t="inlineStr">
        <is>
          <t>Trimestral</t>
        </is>
      </c>
      <c r="E332" t="inlineStr">
        <is>
          <t>Positivo</t>
        </is>
      </c>
      <c r="F332" t="inlineStr">
        <is>
          <t>HUP</t>
        </is>
      </c>
      <c r="G332" t="inlineStr">
        <is>
          <t>Historias de Usuario Planificadas</t>
        </is>
      </c>
      <c r="H332" t="inlineStr">
        <is>
          <t>Meta</t>
        </is>
      </c>
    </row>
    <row r="333">
      <c r="A333" t="n">
        <v>531</v>
      </c>
      <c r="B333" t="inlineStr">
        <is>
          <t>Eficiencia de capacidad instalada</t>
        </is>
      </c>
      <c r="C333" t="inlineStr">
        <is>
          <t>GESTIÓN DE LA TECNOLOGÍA E INNOVACIÓN DIGITAL</t>
        </is>
      </c>
      <c r="D333" t="inlineStr">
        <is>
          <t>Trimestral</t>
        </is>
      </c>
      <c r="E333" t="inlineStr">
        <is>
          <t>Positivo</t>
        </is>
      </c>
      <c r="F333" t="inlineStr">
        <is>
          <t>NRS</t>
        </is>
      </c>
      <c r="G333" t="inlineStr">
        <is>
          <t>Numero total de requerimientos solicitados</t>
        </is>
      </c>
      <c r="H333" t="inlineStr">
        <is>
          <t>Meta</t>
        </is>
      </c>
    </row>
    <row r="334">
      <c r="A334" t="n">
        <v>531</v>
      </c>
      <c r="B334" t="inlineStr">
        <is>
          <t>Eficiencia de capacidad instalada</t>
        </is>
      </c>
      <c r="C334" t="inlineStr">
        <is>
          <t>GESTIÓN DE LA TECNOLOGÍA E INNOVACIÓN DIGITAL</t>
        </is>
      </c>
      <c r="D334" t="inlineStr">
        <is>
          <t>Trimestral</t>
        </is>
      </c>
      <c r="E334" t="inlineStr">
        <is>
          <t>Positivo</t>
        </is>
      </c>
      <c r="F334" t="inlineStr">
        <is>
          <t>NRA</t>
        </is>
      </c>
      <c r="G334" t="inlineStr">
        <is>
          <t>Numero de requerimientos atendidos</t>
        </is>
      </c>
      <c r="H334" t="inlineStr">
        <is>
          <t>Ejecución</t>
        </is>
      </c>
    </row>
    <row r="335">
      <c r="A335" t="n">
        <v>538</v>
      </c>
      <c r="B335" t="inlineStr">
        <is>
          <t>Cumplimiento de sesiones de socialización de planeación académica</t>
        </is>
      </c>
      <c r="C335" t="inlineStr">
        <is>
          <t>Registro y Control</t>
        </is>
      </c>
      <c r="D335" t="inlineStr">
        <is>
          <t>Trimestral</t>
        </is>
      </c>
      <c r="E335" t="inlineStr">
        <is>
          <t>Positivo</t>
        </is>
      </c>
      <c r="F335" t="inlineStr">
        <is>
          <t>NSPR</t>
        </is>
      </c>
      <c r="G335" t="inlineStr">
        <is>
          <t>N de sesiones programadas</t>
        </is>
      </c>
      <c r="H335" t="inlineStr">
        <is>
          <t>Informativo</t>
        </is>
      </c>
    </row>
    <row r="336">
      <c r="A336" t="n">
        <v>538</v>
      </c>
      <c r="B336" t="inlineStr">
        <is>
          <t>Cumplimiento de sesiones de socialización de planeación académica</t>
        </is>
      </c>
      <c r="C336" t="inlineStr">
        <is>
          <t>Registro y Control</t>
        </is>
      </c>
      <c r="D336" t="inlineStr">
        <is>
          <t>Trimestral</t>
        </is>
      </c>
      <c r="E336" t="inlineStr">
        <is>
          <t>Positivo</t>
        </is>
      </c>
      <c r="F336" t="inlineStr">
        <is>
          <t>NSEJ</t>
        </is>
      </c>
      <c r="G336" t="inlineStr">
        <is>
          <t>N de sesiones ejecutadas</t>
        </is>
      </c>
      <c r="H336" t="inlineStr">
        <is>
          <t>Ejecución</t>
        </is>
      </c>
    </row>
    <row r="337">
      <c r="A337" t="n">
        <v>539</v>
      </c>
      <c r="B337" t="inlineStr">
        <is>
          <t>CES emisión de certificados</t>
        </is>
      </c>
      <c r="C337" t="inlineStr">
        <is>
          <t>Registro y Control</t>
        </is>
      </c>
      <c r="D337" t="inlineStr">
        <is>
          <t>Trimestral</t>
        </is>
      </c>
      <c r="E337" t="inlineStr">
        <is>
          <t>Negativo</t>
        </is>
      </c>
      <c r="F337" t="inlineStr">
        <is>
          <t>CESEC</t>
        </is>
      </c>
      <c r="G337" t="inlineStr">
        <is>
          <t>CES emisión de certificados</t>
        </is>
      </c>
      <c r="H337" t="inlineStr">
        <is>
          <t>Ejecución</t>
        </is>
      </c>
    </row>
    <row r="338">
      <c r="A338" t="n">
        <v>554</v>
      </c>
      <c r="B338" t="inlineStr">
        <is>
          <t>Nivel de Satisfacción Servicios Prestados -Permanencia</t>
        </is>
      </c>
      <c r="C338" t="inlineStr">
        <is>
          <t>Permanencia</t>
        </is>
      </c>
      <c r="D338" t="inlineStr">
        <is>
          <t>Trimestral</t>
        </is>
      </c>
      <c r="E338" t="inlineStr">
        <is>
          <t>Positivo</t>
        </is>
      </c>
      <c r="F338" t="inlineStr">
        <is>
          <t>NSPER</t>
        </is>
      </c>
      <c r="G338" t="inlineStr">
        <is>
          <t>Satisfacción de permanencia</t>
        </is>
      </c>
      <c r="H338" t="inlineStr">
        <is>
          <t>Ejecución</t>
        </is>
      </c>
    </row>
    <row r="339">
      <c r="A339" t="n">
        <v>555</v>
      </c>
      <c r="B339" t="inlineStr">
        <is>
          <t>Nivel de Satisfacción Servicios Prestados -Mercadeo y venta de educación para la vida</t>
        </is>
      </c>
      <c r="C339" t="inlineStr">
        <is>
          <t>Mercadeo y venta de educación para la vida</t>
        </is>
      </c>
      <c r="D339" t="inlineStr">
        <is>
          <t>Trimestral</t>
        </is>
      </c>
      <c r="E339" t="inlineStr">
        <is>
          <t>Positivo</t>
        </is>
      </c>
      <c r="F339" t="inlineStr">
        <is>
          <t>SMVEV</t>
        </is>
      </c>
      <c r="G339" t="inlineStr">
        <is>
          <t>Satisfacción Mercadeo y venta de educación para la vida</t>
        </is>
      </c>
      <c r="H339" t="inlineStr">
        <is>
          <t>Ejecución</t>
        </is>
      </c>
    </row>
    <row r="340">
      <c r="A340" t="n">
        <v>522</v>
      </c>
      <c r="B340" t="inlineStr">
        <is>
          <t>Asignaturas o modulos con mecanismos de evaluación implementados</t>
        </is>
      </c>
      <c r="C340" t="inlineStr">
        <is>
          <t>Gestión, Evaluación e Innovación Curricular</t>
        </is>
      </c>
      <c r="D340" t="inlineStr">
        <is>
          <t>Anual</t>
        </is>
      </c>
      <c r="E340" t="inlineStr">
        <is>
          <t>Positivo</t>
        </is>
      </c>
      <c r="F340" t="inlineStr">
        <is>
          <t>AMMEP</t>
        </is>
      </c>
      <c r="G340" t="inlineStr">
        <is>
          <t>Asignaturas o módulos con mecanismos de evaluación planeados</t>
        </is>
      </c>
      <c r="H340" t="inlineStr">
        <is>
          <t>Meta</t>
        </is>
      </c>
    </row>
    <row r="341">
      <c r="A341" t="n">
        <v>522</v>
      </c>
      <c r="B341" t="inlineStr">
        <is>
          <t>Asignaturas o modulos con mecanismos de evaluación implementados</t>
        </is>
      </c>
      <c r="C341" t="inlineStr">
        <is>
          <t>Gestión, Evaluación e Innovación Curricular</t>
        </is>
      </c>
      <c r="D341" t="inlineStr">
        <is>
          <t>Anual</t>
        </is>
      </c>
      <c r="E341" t="inlineStr">
        <is>
          <t>Positivo</t>
        </is>
      </c>
      <c r="F341" t="inlineStr">
        <is>
          <t>AMMEI</t>
        </is>
      </c>
      <c r="G341" t="inlineStr">
        <is>
          <t>Asignaturas o módulos con mecanismos de evaluación implementados</t>
        </is>
      </c>
      <c r="H341" t="inlineStr">
        <is>
          <t>Ejecución</t>
        </is>
      </c>
    </row>
    <row r="342">
      <c r="A342" t="n">
        <v>527</v>
      </c>
      <c r="B342" t="inlineStr">
        <is>
          <t>Participación de Grupos de Interés en la construcción del nuevo plan de desarrollo (PDI)</t>
        </is>
      </c>
      <c r="C342" t="inlineStr">
        <is>
          <t>Planeación Estratégica</t>
        </is>
      </c>
      <c r="D342" t="inlineStr">
        <is>
          <t>Anual</t>
        </is>
      </c>
      <c r="E342" t="inlineStr">
        <is>
          <t>Positivo</t>
        </is>
      </c>
      <c r="F342" t="inlineStr">
        <is>
          <t>NPPDI</t>
        </is>
      </c>
      <c r="G342" t="inlineStr">
        <is>
          <t>Número de participantes en construcción del Plan de Desarrollo PDI</t>
        </is>
      </c>
      <c r="H342" t="inlineStr">
        <is>
          <t>Ejecución</t>
        </is>
      </c>
    </row>
    <row r="343">
      <c r="A343" t="n">
        <v>527</v>
      </c>
      <c r="B343" t="inlineStr">
        <is>
          <t>Participación de Grupos de Interés en la construcción del nuevo plan de desarrollo (PDI)</t>
        </is>
      </c>
      <c r="C343" t="inlineStr">
        <is>
          <t>Planeación Estratégica</t>
        </is>
      </c>
      <c r="D343" t="inlineStr">
        <is>
          <t>Anual</t>
        </is>
      </c>
      <c r="E343" t="inlineStr">
        <is>
          <t>Positivo</t>
        </is>
      </c>
      <c r="F343" t="inlineStr">
        <is>
          <t>NPEPDI</t>
        </is>
      </c>
      <c r="G343" t="inlineStr">
        <is>
          <t>Número de participantes esperados</t>
        </is>
      </c>
      <c r="H343" t="inlineStr">
        <is>
          <t>Meta</t>
        </is>
      </c>
    </row>
    <row r="344">
      <c r="A344" t="n">
        <v>541</v>
      </c>
      <c r="B344" t="inlineStr">
        <is>
          <t>Participación de graduados en actividades de empleabilidad y relacionamiento</t>
        </is>
      </c>
      <c r="C344" t="inlineStr">
        <is>
          <t>Gestión de Graduados</t>
        </is>
      </c>
      <c r="D344" t="inlineStr">
        <is>
          <t>Anual</t>
        </is>
      </c>
      <c r="E344" t="inlineStr">
        <is>
          <t>Positivo</t>
        </is>
      </c>
      <c r="F344" t="inlineStr">
        <is>
          <t>NTGR</t>
        </is>
      </c>
      <c r="G344" t="inlineStr">
        <is>
          <t>Número total de graduados</t>
        </is>
      </c>
      <c r="H344" t="inlineStr">
        <is>
          <t>Informativo</t>
        </is>
      </c>
    </row>
    <row r="345">
      <c r="A345" t="n">
        <v>541</v>
      </c>
      <c r="B345" t="inlineStr">
        <is>
          <t>Participación de graduados en actividades de empleabilidad y relacionamiento</t>
        </is>
      </c>
      <c r="C345" t="inlineStr">
        <is>
          <t>Gestión de Graduados</t>
        </is>
      </c>
      <c r="D345" t="inlineStr">
        <is>
          <t>Anual</t>
        </is>
      </c>
      <c r="E345" t="inlineStr">
        <is>
          <t>Positivo</t>
        </is>
      </c>
      <c r="F345" t="inlineStr">
        <is>
          <t>NGPA</t>
        </is>
      </c>
      <c r="G345" t="inlineStr">
        <is>
          <t>Número de graduados participantes en actividades</t>
        </is>
      </c>
      <c r="H345" t="inlineStr">
        <is>
          <t>Informativo</t>
        </is>
      </c>
    </row>
    <row r="346">
      <c r="A346" t="n">
        <v>547</v>
      </c>
      <c r="B346" t="inlineStr">
        <is>
          <t>Nivel de satisfacción del graduado con la institución</t>
        </is>
      </c>
      <c r="C346" t="inlineStr">
        <is>
          <t>Gestión de Graduados</t>
        </is>
      </c>
      <c r="D346" t="inlineStr">
        <is>
          <t>Anual</t>
        </is>
      </c>
      <c r="E346" t="inlineStr">
        <is>
          <t>Positivo</t>
        </is>
      </c>
      <c r="F346" t="inlineStr">
        <is>
          <t>SGI</t>
        </is>
      </c>
      <c r="G346" t="inlineStr">
        <is>
          <t>Satisfacción del graduado con la institución Escala1-5</t>
        </is>
      </c>
      <c r="H346" t="inlineStr">
        <is>
          <t>Ejecución</t>
        </is>
      </c>
    </row>
    <row r="347">
      <c r="A347" t="n">
        <v>553</v>
      </c>
      <c r="B347" t="inlineStr">
        <is>
          <t>Nivel de Satisfacción Servicios Prestados -Inscripción, admisión y matrícula de estudiantes nuevos</t>
        </is>
      </c>
      <c r="C347" t="inlineStr">
        <is>
          <t>Inscripción, admisión y matrícula de estudiantes nuevos</t>
        </is>
      </c>
      <c r="D347" t="inlineStr">
        <is>
          <t>Anual</t>
        </is>
      </c>
      <c r="E347" t="inlineStr">
        <is>
          <t>Positivo</t>
        </is>
      </c>
      <c r="F347" t="inlineStr">
        <is>
          <t>NSIAMN</t>
        </is>
      </c>
      <c r="G347" t="inlineStr">
        <is>
          <t>Satisfacción Inscripción, admisión y matrícula de estudiantes nuevos</t>
        </is>
      </c>
      <c r="H347" t="inlineStr">
        <is>
          <t>Ejecución</t>
        </is>
      </c>
    </row>
    <row r="348">
      <c r="A348" t="n">
        <v>556</v>
      </c>
      <c r="B348" t="inlineStr">
        <is>
          <t>Cumplimiento Plan de formación Institucional</t>
        </is>
      </c>
      <c r="C348" t="inlineStr">
        <is>
          <t>GESTIÓN Y DESARROLLO DEL TALENTO HUMANO</t>
        </is>
      </c>
      <c r="D348" t="inlineStr">
        <is>
          <t>Anual</t>
        </is>
      </c>
      <c r="E348" t="inlineStr">
        <is>
          <t>Positivo</t>
        </is>
      </c>
      <c r="F348" t="inlineStr">
        <is>
          <t>PARPF</t>
        </is>
      </c>
      <c r="G348" t="inlineStr">
        <is>
          <t>% de Avance Real del Plan de formación</t>
        </is>
      </c>
      <c r="H348" t="inlineStr">
        <is>
          <t>Ejecución</t>
        </is>
      </c>
    </row>
    <row r="349">
      <c r="A349" t="n">
        <v>556</v>
      </c>
      <c r="B349" t="inlineStr">
        <is>
          <t>Cumplimiento Plan de formación Institucional</t>
        </is>
      </c>
      <c r="C349" t="inlineStr">
        <is>
          <t>GESTIÓN Y DESARROLLO DEL TALENTO HUMANO</t>
        </is>
      </c>
      <c r="D349" t="inlineStr">
        <is>
          <t>Anual</t>
        </is>
      </c>
      <c r="E349" t="inlineStr">
        <is>
          <t>Positivo</t>
        </is>
      </c>
      <c r="F349" t="inlineStr">
        <is>
          <t>PAEPF</t>
        </is>
      </c>
      <c r="G349" t="inlineStr">
        <is>
          <t>% de Avance Esperado del Plan de formación</t>
        </is>
      </c>
      <c r="H349" t="inlineStr">
        <is>
          <t>Meta</t>
        </is>
      </c>
    </row>
  </sheetData>
  <autoFilter ref="A1:H34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O3893"/>
  <sheetViews>
    <sheetView workbookViewId="0">
      <selection activeCell="A3529" sqref="A3529"/>
    </sheetView>
  </sheetViews>
  <sheetFormatPr baseColWidth="10" defaultColWidth="8.88671875" defaultRowHeight="14.4"/>
  <sheetData>
    <row r="1">
      <c r="A1" t="inlineStr">
        <is>
          <t>Id</t>
        </is>
      </c>
      <c r="B1" t="inlineStr">
        <is>
          <t>Indicador</t>
        </is>
      </c>
      <c r="C1" t="inlineStr">
        <is>
          <t>Proceso</t>
        </is>
      </c>
      <c r="D1" t="inlineStr">
        <is>
          <t>Periodicidad</t>
        </is>
      </c>
      <c r="E1" t="inlineStr">
        <is>
          <t>Sentido</t>
        </is>
      </c>
      <c r="F1" t="inlineStr">
        <is>
          <t>fecha</t>
        </is>
      </c>
      <c r="G1" t="inlineStr">
        <is>
          <t>LLAVE</t>
        </is>
      </c>
      <c r="H1" t="inlineStr">
        <is>
          <t>serie_nombre</t>
        </is>
      </c>
      <c r="I1" t="inlineStr">
        <is>
          <t>serie_meta</t>
        </is>
      </c>
      <c r="J1" t="inlineStr">
        <is>
          <t>serie_resultado</t>
        </is>
      </c>
      <c r="K1" t="inlineStr">
        <is>
          <t>var_M3AGUA2</t>
        </is>
      </c>
      <c r="L1" t="inlineStr">
        <is>
          <t>var_KGRA</t>
        </is>
      </c>
      <c r="M1" t="inlineStr">
        <is>
          <t>var_KGRNA</t>
        </is>
      </c>
      <c r="N1" t="inlineStr">
        <is>
          <t>var_KWHEE</t>
        </is>
      </c>
      <c r="O1" t="inlineStr">
        <is>
          <t>var_COLPRS</t>
        </is>
      </c>
      <c r="P1" t="inlineStr">
        <is>
          <t>var_DOCPPRES</t>
        </is>
      </c>
      <c r="Q1" t="inlineStr">
        <is>
          <t>var_ESPRPRES</t>
        </is>
      </c>
      <c r="R1" t="inlineStr">
        <is>
          <t>var_ESPRPOSS</t>
        </is>
      </c>
      <c r="S1" t="inlineStr">
        <is>
          <t>var_COLPRSA</t>
        </is>
      </c>
      <c r="T1" t="inlineStr">
        <is>
          <t>var_DOCPPRESA</t>
        </is>
      </c>
      <c r="U1" t="inlineStr">
        <is>
          <t>var_ESPRPRESA</t>
        </is>
      </c>
      <c r="V1" t="inlineStr">
        <is>
          <t>var_ESPRPOSSA</t>
        </is>
      </c>
      <c r="W1" t="inlineStr">
        <is>
          <t>var_KWHEES</t>
        </is>
      </c>
      <c r="X1" t="inlineStr">
        <is>
          <t>var_KWHEESA</t>
        </is>
      </c>
      <c r="Y1" t="inlineStr">
        <is>
          <t>var_M3S</t>
        </is>
      </c>
      <c r="Z1" t="inlineStr">
        <is>
          <t>var_M3SA</t>
        </is>
      </c>
      <c r="AA1" t="inlineStr">
        <is>
          <t>var_TKRAS</t>
        </is>
      </c>
      <c r="AB1" t="inlineStr">
        <is>
          <t>var_TKRNAS</t>
        </is>
      </c>
      <c r="AC1" t="inlineStr">
        <is>
          <t>var_KGRPCGPAN</t>
        </is>
      </c>
      <c r="AD1" t="inlineStr">
        <is>
          <t>var_KGRPCGPAC</t>
        </is>
      </c>
      <c r="AE1" t="inlineStr">
        <is>
          <t>var_KGRESPELGP</t>
        </is>
      </c>
      <c r="AF1" t="inlineStr">
        <is>
          <t>var_KGRESPELDP</t>
        </is>
      </c>
      <c r="AG1" t="inlineStr">
        <is>
          <t>var_PMSRIIRCA</t>
        </is>
      </c>
      <c r="AH1" t="inlineStr">
        <is>
          <t>var_TPMAP</t>
        </is>
      </c>
      <c r="AI1" t="inlineStr">
        <is>
          <t>var_PCNPEN</t>
        </is>
      </c>
      <c r="AJ1" t="inlineStr">
        <is>
          <t>var_TPEN</t>
        </is>
      </c>
      <c r="AK1" t="inlineStr">
        <is>
          <t>var_PCNRPN</t>
        </is>
      </c>
      <c r="AL1" t="inlineStr">
        <is>
          <t>var_TPM</t>
        </is>
      </c>
      <c r="AM1" t="inlineStr">
        <is>
          <t>var_tCO2eq</t>
        </is>
      </c>
      <c r="AN1" t="inlineStr">
        <is>
          <t>var_COLPRE3</t>
        </is>
      </c>
      <c r="AO1" t="inlineStr">
        <is>
          <t>var_DOCPPRE3</t>
        </is>
      </c>
      <c r="AP1" t="inlineStr">
        <is>
          <t>var_ESPRPRE3</t>
        </is>
      </c>
      <c r="AQ1" t="inlineStr">
        <is>
          <t>var_ESPRPOS3</t>
        </is>
      </c>
      <c r="AR1" t="inlineStr">
        <is>
          <t>var_tCO2eqC</t>
        </is>
      </c>
      <c r="AS1" t="inlineStr">
        <is>
          <t>var_KTGRA</t>
        </is>
      </c>
      <c r="AT1" t="inlineStr">
        <is>
          <t>var_ACMEFSANE</t>
        </is>
      </c>
      <c r="AU1" t="inlineStr">
        <is>
          <t>var_NPROY</t>
        </is>
      </c>
      <c r="AV1" t="inlineStr">
        <is>
          <t>var_KGRP</t>
        </is>
      </c>
      <c r="AW1" t="inlineStr">
        <is>
          <t>var_TAP</t>
        </is>
      </c>
      <c r="AX1" t="inlineStr">
        <is>
          <t>var_TAE</t>
        </is>
      </c>
      <c r="AY1" t="inlineStr">
        <is>
          <t>var_ICPAP</t>
        </is>
      </c>
      <c r="AZ1" t="inlineStr">
        <is>
          <t>var_IAP</t>
        </is>
      </c>
      <c r="BA1" t="inlineStr">
        <is>
          <t>var_TIPRE</t>
        </is>
      </c>
      <c r="BB1" t="inlineStr">
        <is>
          <t>var_TIEJE</t>
        </is>
      </c>
      <c r="BC1" t="inlineStr">
        <is>
          <t>var_TEMS</t>
        </is>
      </c>
      <c r="BD1" t="inlineStr">
        <is>
          <t>var_TEP</t>
        </is>
      </c>
      <c r="BE1" t="inlineStr">
        <is>
          <t>var_NDCPT</t>
        </is>
      </c>
      <c r="BF1" t="inlineStr">
        <is>
          <t>var_NDNF</t>
        </is>
      </c>
      <c r="BG1" t="inlineStr">
        <is>
          <t>var_PADPSA</t>
        </is>
      </c>
      <c r="BH1" t="inlineStr">
        <is>
          <t>var_PADPAA</t>
        </is>
      </c>
      <c r="BI1" t="inlineStr">
        <is>
          <t>var_PACSA</t>
        </is>
      </c>
      <c r="BJ1" t="inlineStr">
        <is>
          <t>var_PACAA</t>
        </is>
      </c>
      <c r="BK1" t="inlineStr">
        <is>
          <t>var_NAES</t>
        </is>
      </c>
      <c r="BL1" t="inlineStr">
        <is>
          <t>var_NAPS</t>
        </is>
      </c>
      <c r="BM1" t="inlineStr">
        <is>
          <t>var_NVP</t>
        </is>
      </c>
      <c r="BN1" t="inlineStr">
        <is>
          <t>var_NPVPP</t>
        </is>
      </c>
      <c r="BO1" t="inlineStr">
        <is>
          <t>var_ITEEPV</t>
        </is>
      </c>
      <c r="BP1" t="inlineStr">
        <is>
          <t>var_ITPEPV</t>
        </is>
      </c>
      <c r="BQ1" t="inlineStr">
        <is>
          <t>var_PPPE</t>
        </is>
      </c>
      <c r="BR1" t="inlineStr">
        <is>
          <t>var_NPNRPF</t>
        </is>
      </c>
      <c r="BS1" t="inlineStr">
        <is>
          <t>var_NPNARPF</t>
        </is>
      </c>
      <c r="BT1" t="inlineStr">
        <is>
          <t>var_TIPR</t>
        </is>
      </c>
      <c r="BU1" t="inlineStr">
        <is>
          <t>var_TIEJEC</t>
        </is>
      </c>
      <c r="BV1" t="inlineStr">
        <is>
          <t>var_TKRPS</t>
        </is>
      </c>
      <c r="BW1" t="inlineStr">
        <is>
          <t>var_KGRPPCGPAN</t>
        </is>
      </c>
      <c r="BX1" t="inlineStr">
        <is>
          <t>var_KGRPPCGPAC</t>
        </is>
      </c>
      <c r="BY1" t="inlineStr">
        <is>
          <t>var_PCI</t>
        </is>
      </c>
      <c r="BZ1" t="inlineStr">
        <is>
          <t>var_PAVAN</t>
        </is>
      </c>
      <c r="CA1" t="inlineStr">
        <is>
          <t>var_PEAVAN</t>
        </is>
      </c>
      <c r="CB1" t="inlineStr">
        <is>
          <t>var_PAPRE</t>
        </is>
      </c>
      <c r="CC1" t="inlineStr">
        <is>
          <t>var_PEPRE</t>
        </is>
      </c>
      <c r="CD1" t="inlineStr">
        <is>
          <t>var_PAVR</t>
        </is>
      </c>
      <c r="CE1" t="inlineStr">
        <is>
          <t>var_PERE</t>
        </is>
      </c>
      <c r="CF1" t="inlineStr">
        <is>
          <t>var_PAVE</t>
        </is>
      </c>
      <c r="CG1" t="inlineStr">
        <is>
          <t>var_PESVE</t>
        </is>
      </c>
      <c r="CH1" t="inlineStr">
        <is>
          <t>var_PAVC</t>
        </is>
      </c>
      <c r="CI1" t="inlineStr">
        <is>
          <t>var_PEVE</t>
        </is>
      </c>
      <c r="CJ1" t="inlineStr">
        <is>
          <t>var_PAVF</t>
        </is>
      </c>
      <c r="CK1" t="inlineStr">
        <is>
          <t>var_PEVF</t>
        </is>
      </c>
      <c r="CL1" t="inlineStr">
        <is>
          <t>var_PAVA</t>
        </is>
      </c>
      <c r="CM1" t="inlineStr">
        <is>
          <t>var_PEVA</t>
        </is>
      </c>
      <c r="CN1" t="inlineStr">
        <is>
          <t>var_PAGE</t>
        </is>
      </c>
      <c r="CO1" t="inlineStr">
        <is>
          <t>var_PEGE</t>
        </is>
      </c>
      <c r="CP1" t="inlineStr">
        <is>
          <t>var_PANSSOL</t>
        </is>
      </c>
      <c r="CQ1" t="inlineStr">
        <is>
          <t>var_NERDTE</t>
        </is>
      </c>
      <c r="CR1" t="inlineStr">
        <is>
          <t>var_NERDP</t>
        </is>
      </c>
      <c r="CS1" t="inlineStr">
        <is>
          <t>var_TAEPGR</t>
        </is>
      </c>
      <c r="CT1" t="inlineStr">
        <is>
          <t>var_TAPGR</t>
        </is>
      </c>
      <c r="CU1" t="inlineStr">
        <is>
          <t>var_NECMA</t>
        </is>
      </c>
      <c r="CV1" t="inlineStr">
        <is>
          <t>var_NECMFP</t>
        </is>
      </c>
      <c r="CW1" t="inlineStr">
        <is>
          <t>var_NAA</t>
        </is>
      </c>
      <c r="CX1" t="inlineStr">
        <is>
          <t>var_TACGB</t>
        </is>
      </c>
      <c r="CY1" t="inlineStr">
        <is>
          <t>var_NAAV</t>
        </is>
      </c>
      <c r="CZ1" t="inlineStr">
        <is>
          <t>var_TACBV</t>
        </is>
      </c>
      <c r="DA1" t="inlineStr">
        <is>
          <t>var_NEMAV</t>
        </is>
      </c>
      <c r="DB1" t="inlineStr">
        <is>
          <t>var_NEMFV</t>
        </is>
      </c>
      <c r="DC1" t="inlineStr">
        <is>
          <t>var_EPEVRT</t>
        </is>
      </c>
      <c r="DD1" t="inlineStr">
        <is>
          <t>var_TEPEV</t>
        </is>
      </c>
      <c r="DE1" t="inlineStr">
        <is>
          <t>var_INDH</t>
        </is>
      </c>
      <c r="DF1" t="inlineStr">
        <is>
          <t>var_PARM</t>
        </is>
      </c>
      <c r="DG1" t="inlineStr">
        <is>
          <t>var_PAEM</t>
        </is>
      </c>
      <c r="DH1" t="inlineStr">
        <is>
          <t>var_PASAE</t>
        </is>
      </c>
      <c r="DI1" t="inlineStr">
        <is>
          <t>var_PESAE</t>
        </is>
      </c>
      <c r="DJ1" t="inlineStr">
        <is>
          <t>var_PAGTH</t>
        </is>
      </c>
      <c r="DK1" t="inlineStr">
        <is>
          <t>var_PEGTH</t>
        </is>
      </c>
      <c r="DL1" t="inlineStr">
        <is>
          <t>var_NSRT</t>
        </is>
      </c>
      <c r="DM1" t="inlineStr">
        <is>
          <t>var_NPPED</t>
        </is>
      </c>
      <c r="DN1" t="inlineStr">
        <is>
          <t>var_NPPEP</t>
        </is>
      </c>
      <c r="DO1" t="inlineStr">
        <is>
          <t>var_NPPEDE</t>
        </is>
      </c>
      <c r="DP1" t="inlineStr">
        <is>
          <t>var_NPPEPE</t>
        </is>
      </c>
      <c r="DQ1" t="inlineStr">
        <is>
          <t>var_NFRAE</t>
        </is>
      </c>
      <c r="DR1" t="inlineStr">
        <is>
          <t>var_NFRAP</t>
        </is>
      </c>
      <c r="DS1" t="inlineStr">
        <is>
          <t>var_NPPED2</t>
        </is>
      </c>
      <c r="DT1" t="inlineStr">
        <is>
          <t>var_NPEP2</t>
        </is>
      </c>
      <c r="DU1" t="inlineStr">
        <is>
          <t>var_NPPED3</t>
        </is>
      </c>
      <c r="DV1" t="inlineStr">
        <is>
          <t>var_NPPEP3</t>
        </is>
      </c>
      <c r="DW1" t="inlineStr">
        <is>
          <t>var_NFRAE2</t>
        </is>
      </c>
      <c r="DX1" t="inlineStr">
        <is>
          <t>var_NFRAP2</t>
        </is>
      </c>
      <c r="DY1" t="inlineStr">
        <is>
          <t>var_PIEG</t>
        </is>
      </c>
      <c r="DZ1" t="inlineStr">
        <is>
          <t>var_PIMR</t>
        </is>
      </c>
      <c r="EA1" t="inlineStr">
        <is>
          <t>var_PAEME</t>
        </is>
      </c>
      <c r="EB1" t="inlineStr">
        <is>
          <t>var_PAEMR</t>
        </is>
      </c>
      <c r="EC1" t="inlineStr">
        <is>
          <t>var_TOMCEP</t>
        </is>
      </c>
      <c r="ED1" t="inlineStr">
        <is>
          <t>var_TOMPCEP</t>
        </is>
      </c>
      <c r="EE1" t="inlineStr">
        <is>
          <t>var_NACTE</t>
        </is>
      </c>
      <c r="EF1" t="inlineStr">
        <is>
          <t>var_TAPP</t>
        </is>
      </c>
      <c r="EG1" t="inlineStr">
        <is>
          <t>var_SP</t>
        </is>
      </c>
      <c r="EH1" t="inlineStr">
        <is>
          <t>var_NFRAE3</t>
        </is>
      </c>
      <c r="EI1" t="inlineStr">
        <is>
          <t>var_NFRA2</t>
        </is>
      </c>
      <c r="EJ1" t="inlineStr">
        <is>
          <t>var_PAEPR</t>
        </is>
      </c>
      <c r="EK1" t="inlineStr">
        <is>
          <t>var_PARPR</t>
        </is>
      </c>
      <c r="EL1" t="inlineStr">
        <is>
          <t>var_NRM</t>
        </is>
      </c>
      <c r="EM1" t="inlineStr">
        <is>
          <t>var_NRD</t>
        </is>
      </c>
      <c r="EN1" t="inlineStr">
        <is>
          <t>var_NCVNF</t>
        </is>
      </c>
      <c r="EO1" t="inlineStr">
        <is>
          <t>var_NCE</t>
        </is>
      </c>
      <c r="EP1" t="inlineStr">
        <is>
          <t>var_PSE</t>
        </is>
      </c>
      <c r="EQ1" t="inlineStr">
        <is>
          <t>var_PSER</t>
        </is>
      </c>
      <c r="ER1" t="inlineStr">
        <is>
          <t>var_IPE</t>
        </is>
      </c>
      <c r="ES1" t="inlineStr">
        <is>
          <t>var_IEE</t>
        </is>
      </c>
      <c r="ET1" t="inlineStr">
        <is>
          <t>var_TOLEADS</t>
        </is>
      </c>
      <c r="EU1" t="inlineStr">
        <is>
          <t>var_BULEADS</t>
        </is>
      </c>
      <c r="EV1" t="inlineStr">
        <is>
          <t>var_NARVNI</t>
        </is>
      </c>
      <c r="EW1" t="inlineStr">
        <is>
          <t>var_NAPP</t>
        </is>
      </c>
      <c r="EX1" t="inlineStr">
        <is>
          <t>var_NEPI</t>
        </is>
      </c>
      <c r="EY1" t="inlineStr">
        <is>
          <t>var_NEPA</t>
        </is>
      </c>
      <c r="EZ1" t="inlineStr">
        <is>
          <t>var_NEPACI</t>
        </is>
      </c>
      <c r="FA1" t="inlineStr">
        <is>
          <t>var_NEPACIN</t>
        </is>
      </c>
      <c r="FB1" t="inlineStr">
        <is>
          <t>var_NPPAC</t>
        </is>
      </c>
      <c r="FC1" t="inlineStr">
        <is>
          <t>var_NPPAI</t>
        </is>
      </c>
      <c r="FD1" t="inlineStr">
        <is>
          <t>var_NPPP</t>
        </is>
      </c>
      <c r="FE1" t="inlineStr">
        <is>
          <t>var_NPPPACI</t>
        </is>
      </c>
      <c r="FF1" t="inlineStr">
        <is>
          <t>var_TEE</t>
        </is>
      </c>
      <c r="FG1" t="inlineStr">
        <is>
          <t>var_NUAC</t>
        </is>
      </c>
      <c r="FH1" t="inlineStr">
        <is>
          <t>var_NDP</t>
        </is>
      </c>
      <c r="FI1" t="inlineStr">
        <is>
          <t>var_NSPE</t>
        </is>
      </c>
      <c r="FJ1" t="inlineStr">
        <is>
          <t>var_TSCE</t>
        </is>
      </c>
      <c r="FK1" t="inlineStr">
        <is>
          <t>var_NSCANS</t>
        </is>
      </c>
      <c r="FL1" t="inlineStr">
        <is>
          <t>var_NGRI</t>
        </is>
      </c>
      <c r="FM1" t="inlineStr">
        <is>
          <t>var_NGIC</t>
        </is>
      </c>
      <c r="FN1" t="inlineStr">
        <is>
          <t>var_NGRIS</t>
        </is>
      </c>
      <c r="FO1" t="inlineStr">
        <is>
          <t>var_NGM</t>
        </is>
      </c>
    </row>
    <row r="2">
      <c r="A2" t="n">
        <v>208</v>
      </c>
      <c r="B2" t="inlineStr">
        <is>
          <t>Consumo de Agua m3 Mensual</t>
        </is>
      </c>
      <c r="C2" t="inlineStr">
        <is>
          <t>GESTIÓN AMBIENTAL</t>
        </is>
      </c>
      <c r="D2" t="inlineStr">
        <is>
          <t>Mensual</t>
        </is>
      </c>
      <c r="E2" t="inlineStr">
        <is>
          <t>Negativo</t>
        </is>
      </c>
      <c r="F2" s="105" t="n">
        <v>44592</v>
      </c>
      <c r="G2" t="inlineStr">
        <is>
          <t>208-2022-01-31</t>
        </is>
      </c>
      <c r="H2" t="inlineStr">
        <is>
          <t>Campus Bogotá</t>
        </is>
      </c>
      <c r="I2" t="n">
        <v>1700</v>
      </c>
      <c r="J2" t="n">
        <v>451</v>
      </c>
      <c r="K2" t="n">
        <v>451</v>
      </c>
    </row>
    <row r="3">
      <c r="A3" t="n">
        <v>208</v>
      </c>
      <c r="B3" t="inlineStr">
        <is>
          <t>Consumo de Agua m3 Mensual</t>
        </is>
      </c>
      <c r="C3" t="inlineStr">
        <is>
          <t>GESTIÓN AMBIENTAL</t>
        </is>
      </c>
      <c r="D3" t="inlineStr">
        <is>
          <t>Mensual</t>
        </is>
      </c>
      <c r="E3" t="inlineStr">
        <is>
          <t>Negativo</t>
        </is>
      </c>
      <c r="F3" s="105" t="n">
        <v>44592</v>
      </c>
      <c r="G3" t="inlineStr">
        <is>
          <t>208-2022-01-31</t>
        </is>
      </c>
      <c r="H3" t="inlineStr">
        <is>
          <t>Campus-Medellín</t>
        </is>
      </c>
      <c r="I3" t="n">
        <v>1700</v>
      </c>
      <c r="J3" t="n">
        <v>203</v>
      </c>
      <c r="K3" t="n">
        <v>203</v>
      </c>
    </row>
    <row r="4">
      <c r="A4" t="n">
        <v>214</v>
      </c>
      <c r="B4" t="inlineStr">
        <is>
          <t>Generación de Residuos Sólidos Mensual</t>
        </is>
      </c>
      <c r="C4" t="inlineStr">
        <is>
          <t>GESTIÓN AMBIENTAL</t>
        </is>
      </c>
      <c r="D4" t="inlineStr">
        <is>
          <t>Mensual</t>
        </is>
      </c>
      <c r="E4" t="inlineStr">
        <is>
          <t>Negativo</t>
        </is>
      </c>
      <c r="F4" s="105" t="n">
        <v>44592</v>
      </c>
      <c r="G4" t="inlineStr">
        <is>
          <t>214-2022-01-31</t>
        </is>
      </c>
      <c r="H4" t="inlineStr">
        <is>
          <t>Campus Bogotá</t>
        </is>
      </c>
      <c r="I4" t="n">
        <v>7500</v>
      </c>
      <c r="J4" t="n">
        <v>777</v>
      </c>
      <c r="L4" t="n">
        <v>663</v>
      </c>
      <c r="M4" t="n">
        <v>114</v>
      </c>
    </row>
    <row r="5">
      <c r="A5" t="n">
        <v>218</v>
      </c>
      <c r="B5" t="inlineStr">
        <is>
          <t>Consumo de Energía Eléctrica kWh Mensual</t>
        </is>
      </c>
      <c r="C5" t="inlineStr">
        <is>
          <t>GESTIÓN AMBIENTAL</t>
        </is>
      </c>
      <c r="D5" t="inlineStr">
        <is>
          <t>Mensual</t>
        </is>
      </c>
      <c r="E5" t="inlineStr">
        <is>
          <t>Negativo</t>
        </is>
      </c>
      <c r="F5" s="105" t="n">
        <v>44592</v>
      </c>
      <c r="G5" t="inlineStr">
        <is>
          <t>218-2022-01-31</t>
        </is>
      </c>
      <c r="H5" t="inlineStr">
        <is>
          <t>Campus Bogotá</t>
        </is>
      </c>
      <c r="I5" t="n">
        <v>172000</v>
      </c>
      <c r="J5" t="n">
        <v>51981</v>
      </c>
      <c r="N5" t="n">
        <v>51981.5</v>
      </c>
    </row>
    <row r="6">
      <c r="A6" t="n">
        <v>218</v>
      </c>
      <c r="B6" t="inlineStr">
        <is>
          <t>Consumo de Energía Eléctrica kWh Mensual</t>
        </is>
      </c>
      <c r="C6" t="inlineStr">
        <is>
          <t>GESTIÓN AMBIENTAL</t>
        </is>
      </c>
      <c r="D6" t="inlineStr">
        <is>
          <t>Mensual</t>
        </is>
      </c>
      <c r="E6" t="inlineStr">
        <is>
          <t>Negativo</t>
        </is>
      </c>
      <c r="F6" s="105" t="n">
        <v>44592</v>
      </c>
      <c r="G6" t="inlineStr">
        <is>
          <t>218-2022-01-31</t>
        </is>
      </c>
      <c r="H6" t="inlineStr">
        <is>
          <t>City Campus</t>
        </is>
      </c>
      <c r="I6" t="n">
        <v>172000</v>
      </c>
      <c r="J6" t="n">
        <v>10260</v>
      </c>
      <c r="N6" t="n">
        <v>10260</v>
      </c>
    </row>
    <row r="7">
      <c r="A7" t="n">
        <v>218</v>
      </c>
      <c r="B7" t="inlineStr">
        <is>
          <t>Consumo de Energía Eléctrica kWh Mensual</t>
        </is>
      </c>
      <c r="C7" t="inlineStr">
        <is>
          <t>GESTIÓN AMBIENTAL</t>
        </is>
      </c>
      <c r="D7" t="inlineStr">
        <is>
          <t>Mensual</t>
        </is>
      </c>
      <c r="E7" t="inlineStr">
        <is>
          <t>Negativo</t>
        </is>
      </c>
      <c r="F7" s="105" t="n">
        <v>44592</v>
      </c>
      <c r="G7" t="inlineStr">
        <is>
          <t>218-2022-01-31</t>
        </is>
      </c>
      <c r="H7" t="inlineStr">
        <is>
          <t>Campus-Medellín</t>
        </is>
      </c>
      <c r="I7" t="n">
        <v>172000</v>
      </c>
      <c r="J7" t="n">
        <v>15328</v>
      </c>
      <c r="N7" t="n">
        <v>15328</v>
      </c>
    </row>
    <row r="8">
      <c r="A8" t="n">
        <v>208</v>
      </c>
      <c r="B8" t="inlineStr">
        <is>
          <t>Consumo de Agua m3 Mensual</t>
        </is>
      </c>
      <c r="C8" t="inlineStr">
        <is>
          <t>GESTIÓN AMBIENTAL</t>
        </is>
      </c>
      <c r="D8" t="inlineStr">
        <is>
          <t>Mensual</t>
        </is>
      </c>
      <c r="E8" t="inlineStr">
        <is>
          <t>Negativo</t>
        </is>
      </c>
      <c r="F8" s="105" t="n">
        <v>44620</v>
      </c>
      <c r="G8" t="inlineStr">
        <is>
          <t>208-2022-02-28</t>
        </is>
      </c>
      <c r="H8" t="inlineStr">
        <is>
          <t>Campus Bogotá</t>
        </is>
      </c>
      <c r="I8" t="n">
        <v>1700</v>
      </c>
      <c r="J8" t="n">
        <v>701</v>
      </c>
      <c r="K8" t="n">
        <v>701</v>
      </c>
    </row>
    <row r="9">
      <c r="A9" t="n">
        <v>208</v>
      </c>
      <c r="B9" t="inlineStr">
        <is>
          <t>Consumo de Agua m3 Mensual</t>
        </is>
      </c>
      <c r="C9" t="inlineStr">
        <is>
          <t>GESTIÓN AMBIENTAL</t>
        </is>
      </c>
      <c r="D9" t="inlineStr">
        <is>
          <t>Mensual</t>
        </is>
      </c>
      <c r="E9" t="inlineStr">
        <is>
          <t>Negativo</t>
        </is>
      </c>
      <c r="F9" s="105" t="n">
        <v>44620</v>
      </c>
      <c r="G9" t="inlineStr">
        <is>
          <t>208-2022-02-28</t>
        </is>
      </c>
      <c r="H9" t="inlineStr">
        <is>
          <t>City Campus</t>
        </is>
      </c>
      <c r="I9" t="n">
        <v>1700</v>
      </c>
      <c r="J9" t="n">
        <v>156.5</v>
      </c>
      <c r="K9" t="n">
        <v>156.5</v>
      </c>
    </row>
    <row r="10">
      <c r="A10" t="n">
        <v>208</v>
      </c>
      <c r="B10" t="inlineStr">
        <is>
          <t>Consumo de Agua m3 Mensual</t>
        </is>
      </c>
      <c r="C10" t="inlineStr">
        <is>
          <t>GESTIÓN AMBIENTAL</t>
        </is>
      </c>
      <c r="D10" t="inlineStr">
        <is>
          <t>Mensual</t>
        </is>
      </c>
      <c r="E10" t="inlineStr">
        <is>
          <t>Negativo</t>
        </is>
      </c>
      <c r="F10" s="105" t="n">
        <v>44620</v>
      </c>
      <c r="G10" t="inlineStr">
        <is>
          <t>208-2022-02-28</t>
        </is>
      </c>
      <c r="H10" t="inlineStr">
        <is>
          <t>Campus-Medellín</t>
        </is>
      </c>
      <c r="I10" t="n">
        <v>1700</v>
      </c>
      <c r="J10" t="n">
        <v>58</v>
      </c>
      <c r="K10" t="n">
        <v>58</v>
      </c>
    </row>
    <row r="11">
      <c r="A11" t="n">
        <v>214</v>
      </c>
      <c r="B11" t="inlineStr">
        <is>
          <t>Generación de Residuos Sólidos Mensual</t>
        </is>
      </c>
      <c r="C11" t="inlineStr">
        <is>
          <t>GESTIÓN AMBIENTAL</t>
        </is>
      </c>
      <c r="D11" t="inlineStr">
        <is>
          <t>Mensual</t>
        </is>
      </c>
      <c r="E11" t="inlineStr">
        <is>
          <t>Negativo</t>
        </is>
      </c>
      <c r="F11" s="105" t="n">
        <v>44620</v>
      </c>
      <c r="G11" t="inlineStr">
        <is>
          <t>214-2022-02-28</t>
        </is>
      </c>
      <c r="H11" t="inlineStr">
        <is>
          <t>Campus Bogotá</t>
        </is>
      </c>
      <c r="I11" t="n">
        <v>7500</v>
      </c>
      <c r="J11" t="n">
        <v>992</v>
      </c>
      <c r="L11" t="n">
        <v>714</v>
      </c>
      <c r="M11" t="n">
        <v>278</v>
      </c>
    </row>
    <row r="12">
      <c r="A12" t="n">
        <v>218</v>
      </c>
      <c r="B12" t="inlineStr">
        <is>
          <t>Consumo de Energía Eléctrica kWh Mensual</t>
        </is>
      </c>
      <c r="C12" t="inlineStr">
        <is>
          <t>GESTIÓN AMBIENTAL</t>
        </is>
      </c>
      <c r="D12" t="inlineStr">
        <is>
          <t>Mensual</t>
        </is>
      </c>
      <c r="E12" t="inlineStr">
        <is>
          <t>Negativo</t>
        </is>
      </c>
      <c r="F12" s="105" t="n">
        <v>44620</v>
      </c>
      <c r="G12" t="inlineStr">
        <is>
          <t>218-2022-02-28</t>
        </is>
      </c>
      <c r="H12" t="inlineStr">
        <is>
          <t>Campus Bogotá</t>
        </is>
      </c>
      <c r="I12" t="n">
        <v>172000</v>
      </c>
      <c r="J12" t="n">
        <v>65370</v>
      </c>
      <c r="N12" t="n">
        <v>65370.5</v>
      </c>
    </row>
    <row r="13">
      <c r="A13" t="n">
        <v>218</v>
      </c>
      <c r="B13" t="inlineStr">
        <is>
          <t>Consumo de Energía Eléctrica kWh Mensual</t>
        </is>
      </c>
      <c r="C13" t="inlineStr">
        <is>
          <t>GESTIÓN AMBIENTAL</t>
        </is>
      </c>
      <c r="D13" t="inlineStr">
        <is>
          <t>Mensual</t>
        </is>
      </c>
      <c r="E13" t="inlineStr">
        <is>
          <t>Negativo</t>
        </is>
      </c>
      <c r="F13" s="105" t="n">
        <v>44620</v>
      </c>
      <c r="G13" t="inlineStr">
        <is>
          <t>218-2022-02-28</t>
        </is>
      </c>
      <c r="H13" t="inlineStr">
        <is>
          <t>City Campus</t>
        </is>
      </c>
      <c r="I13" t="n">
        <v>172000</v>
      </c>
      <c r="J13" t="n">
        <v>13680</v>
      </c>
      <c r="N13" t="n">
        <v>13680</v>
      </c>
    </row>
    <row r="14">
      <c r="A14" t="n">
        <v>218</v>
      </c>
      <c r="B14" t="inlineStr">
        <is>
          <t>Consumo de Energía Eléctrica kWh Mensual</t>
        </is>
      </c>
      <c r="C14" t="inlineStr">
        <is>
          <t>GESTIÓN AMBIENTAL</t>
        </is>
      </c>
      <c r="D14" t="inlineStr">
        <is>
          <t>Mensual</t>
        </is>
      </c>
      <c r="E14" t="inlineStr">
        <is>
          <t>Negativo</t>
        </is>
      </c>
      <c r="F14" s="105" t="n">
        <v>44620</v>
      </c>
      <c r="G14" t="inlineStr">
        <is>
          <t>218-2022-02-28</t>
        </is>
      </c>
      <c r="H14" t="inlineStr">
        <is>
          <t>Campus-Medellín</t>
        </is>
      </c>
      <c r="I14" t="n">
        <v>172000</v>
      </c>
      <c r="J14" t="n">
        <v>9496</v>
      </c>
      <c r="N14" t="n">
        <v>9496</v>
      </c>
    </row>
    <row r="15">
      <c r="A15" t="n">
        <v>208</v>
      </c>
      <c r="B15" t="inlineStr">
        <is>
          <t>Consumo de Agua m3 Mensual</t>
        </is>
      </c>
      <c r="C15" t="inlineStr">
        <is>
          <t>GESTIÓN AMBIENTAL</t>
        </is>
      </c>
      <c r="D15" t="inlineStr">
        <is>
          <t>Mensual</t>
        </is>
      </c>
      <c r="E15" t="inlineStr">
        <is>
          <t>Negativo</t>
        </is>
      </c>
      <c r="F15" s="105" t="n">
        <v>44651</v>
      </c>
      <c r="G15" t="inlineStr">
        <is>
          <t>208-2022-03-31</t>
        </is>
      </c>
      <c r="H15" t="inlineStr">
        <is>
          <t>Campus Bogotá</t>
        </is>
      </c>
      <c r="I15" t="n">
        <v>1700</v>
      </c>
      <c r="J15" t="n">
        <v>473</v>
      </c>
      <c r="K15" t="n">
        <v>473</v>
      </c>
    </row>
    <row r="16">
      <c r="A16" t="n">
        <v>208</v>
      </c>
      <c r="B16" t="inlineStr">
        <is>
          <t>Consumo de Agua m3 Mensual</t>
        </is>
      </c>
      <c r="C16" t="inlineStr">
        <is>
          <t>GESTIÓN AMBIENTAL</t>
        </is>
      </c>
      <c r="D16" t="inlineStr">
        <is>
          <t>Mensual</t>
        </is>
      </c>
      <c r="E16" t="inlineStr">
        <is>
          <t>Negativo</t>
        </is>
      </c>
      <c r="F16" s="105" t="n">
        <v>44651</v>
      </c>
      <c r="G16" t="inlineStr">
        <is>
          <t>208-2022-03-31</t>
        </is>
      </c>
      <c r="H16" t="inlineStr">
        <is>
          <t>City Campus</t>
        </is>
      </c>
      <c r="I16" t="n">
        <v>1700</v>
      </c>
      <c r="J16" t="n">
        <v>156.5</v>
      </c>
      <c r="K16" t="n">
        <v>156.5</v>
      </c>
    </row>
    <row r="17">
      <c r="A17" t="n">
        <v>208</v>
      </c>
      <c r="B17" t="inlineStr">
        <is>
          <t>Consumo de Agua m3 Mensual</t>
        </is>
      </c>
      <c r="C17" t="inlineStr">
        <is>
          <t>GESTIÓN AMBIENTAL</t>
        </is>
      </c>
      <c r="D17" t="inlineStr">
        <is>
          <t>Mensual</t>
        </is>
      </c>
      <c r="E17" t="inlineStr">
        <is>
          <t>Negativo</t>
        </is>
      </c>
      <c r="F17" s="105" t="n">
        <v>44651</v>
      </c>
      <c r="G17" t="inlineStr">
        <is>
          <t>208-2022-03-31</t>
        </is>
      </c>
      <c r="H17" t="inlineStr">
        <is>
          <t>Campus-Medellín</t>
        </is>
      </c>
      <c r="I17" t="n">
        <v>1700</v>
      </c>
      <c r="J17" t="n">
        <v>153</v>
      </c>
      <c r="K17" t="n">
        <v>153</v>
      </c>
    </row>
    <row r="18">
      <c r="A18" t="n">
        <v>214</v>
      </c>
      <c r="B18" t="inlineStr">
        <is>
          <t>Generación de Residuos Sólidos Mensual</t>
        </is>
      </c>
      <c r="C18" t="inlineStr">
        <is>
          <t>GESTIÓN AMBIENTAL</t>
        </is>
      </c>
      <c r="D18" t="inlineStr">
        <is>
          <t>Mensual</t>
        </is>
      </c>
      <c r="E18" t="inlineStr">
        <is>
          <t>Negativo</t>
        </is>
      </c>
      <c r="F18" s="105" t="n">
        <v>44651</v>
      </c>
      <c r="G18" t="inlineStr">
        <is>
          <t>214-2022-03-31</t>
        </is>
      </c>
      <c r="H18" t="inlineStr">
        <is>
          <t>Campus Bogotá</t>
        </is>
      </c>
      <c r="I18" t="n">
        <v>7500</v>
      </c>
      <c r="J18" t="n">
        <v>1233</v>
      </c>
      <c r="L18" t="n">
        <v>731</v>
      </c>
      <c r="M18" t="n">
        <v>502</v>
      </c>
    </row>
    <row r="19">
      <c r="A19" t="n">
        <v>218</v>
      </c>
      <c r="B19" t="inlineStr">
        <is>
          <t>Consumo de Energía Eléctrica kWh Mensual</t>
        </is>
      </c>
      <c r="C19" t="inlineStr">
        <is>
          <t>GESTIÓN AMBIENTAL</t>
        </is>
      </c>
      <c r="D19" t="inlineStr">
        <is>
          <t>Mensual</t>
        </is>
      </c>
      <c r="E19" t="inlineStr">
        <is>
          <t>Negativo</t>
        </is>
      </c>
      <c r="F19" s="105" t="n">
        <v>44651</v>
      </c>
      <c r="G19" t="inlineStr">
        <is>
          <t>218-2022-03-31</t>
        </is>
      </c>
      <c r="H19" t="inlineStr">
        <is>
          <t>Campus Bogotá</t>
        </is>
      </c>
      <c r="I19" t="n">
        <v>172000</v>
      </c>
      <c r="J19" t="n">
        <v>75093</v>
      </c>
      <c r="N19" t="n">
        <v>75093.5</v>
      </c>
    </row>
    <row r="20">
      <c r="A20" t="n">
        <v>218</v>
      </c>
      <c r="B20" t="inlineStr">
        <is>
          <t>Consumo de Energía Eléctrica kWh Mensual</t>
        </is>
      </c>
      <c r="C20" t="inlineStr">
        <is>
          <t>GESTIÓN AMBIENTAL</t>
        </is>
      </c>
      <c r="D20" t="inlineStr">
        <is>
          <t>Mensual</t>
        </is>
      </c>
      <c r="E20" t="inlineStr">
        <is>
          <t>Negativo</t>
        </is>
      </c>
      <c r="F20" s="105" t="n">
        <v>44651</v>
      </c>
      <c r="G20" t="inlineStr">
        <is>
          <t>218-2022-03-31</t>
        </is>
      </c>
      <c r="H20" t="inlineStr">
        <is>
          <t>City Campus</t>
        </is>
      </c>
      <c r="I20" t="n">
        <v>172000</v>
      </c>
      <c r="J20" t="n">
        <v>13110</v>
      </c>
      <c r="N20" t="n">
        <v>13110</v>
      </c>
    </row>
    <row r="21">
      <c r="A21" t="n">
        <v>218</v>
      </c>
      <c r="B21" t="inlineStr">
        <is>
          <t>Consumo de Energía Eléctrica kWh Mensual</t>
        </is>
      </c>
      <c r="C21" t="inlineStr">
        <is>
          <t>GESTIÓN AMBIENTAL</t>
        </is>
      </c>
      <c r="D21" t="inlineStr">
        <is>
          <t>Mensual</t>
        </is>
      </c>
      <c r="E21" t="inlineStr">
        <is>
          <t>Negativo</t>
        </is>
      </c>
      <c r="F21" s="105" t="n">
        <v>44651</v>
      </c>
      <c r="G21" t="inlineStr">
        <is>
          <t>218-2022-03-31</t>
        </is>
      </c>
      <c r="H21" t="inlineStr">
        <is>
          <t>Campus-Medellín</t>
        </is>
      </c>
      <c r="I21" t="n">
        <v>172000</v>
      </c>
      <c r="J21" t="n">
        <v>22508</v>
      </c>
      <c r="N21" t="n">
        <v>22508</v>
      </c>
    </row>
    <row r="22">
      <c r="A22" t="n">
        <v>208</v>
      </c>
      <c r="B22" t="inlineStr">
        <is>
          <t>Consumo de Agua m3 Mensual</t>
        </is>
      </c>
      <c r="C22" t="inlineStr">
        <is>
          <t>GESTIÓN AMBIENTAL</t>
        </is>
      </c>
      <c r="D22" t="inlineStr">
        <is>
          <t>Mensual</t>
        </is>
      </c>
      <c r="E22" t="inlineStr">
        <is>
          <t>Negativo</t>
        </is>
      </c>
      <c r="F22" s="105" t="n">
        <v>44681</v>
      </c>
      <c r="G22" t="inlineStr">
        <is>
          <t>208-2022-04-30</t>
        </is>
      </c>
      <c r="H22" t="inlineStr">
        <is>
          <t>Campus Bogotá</t>
        </is>
      </c>
      <c r="I22" t="n">
        <v>1700</v>
      </c>
      <c r="J22" t="n">
        <v>842</v>
      </c>
      <c r="K22" t="n">
        <v>842</v>
      </c>
    </row>
    <row r="23">
      <c r="A23" t="n">
        <v>208</v>
      </c>
      <c r="B23" t="inlineStr">
        <is>
          <t>Consumo de Agua m3 Mensual</t>
        </is>
      </c>
      <c r="C23" t="inlineStr">
        <is>
          <t>GESTIÓN AMBIENTAL</t>
        </is>
      </c>
      <c r="D23" t="inlineStr">
        <is>
          <t>Mensual</t>
        </is>
      </c>
      <c r="E23" t="inlineStr">
        <is>
          <t>Negativo</t>
        </is>
      </c>
      <c r="F23" s="105" t="n">
        <v>44681</v>
      </c>
      <c r="G23" t="inlineStr">
        <is>
          <t>208-2022-04-30</t>
        </is>
      </c>
      <c r="H23" t="inlineStr">
        <is>
          <t>City Campus</t>
        </is>
      </c>
      <c r="I23" t="n">
        <v>1700</v>
      </c>
      <c r="J23" t="n">
        <v>277</v>
      </c>
      <c r="K23" t="n">
        <v>277</v>
      </c>
    </row>
    <row r="24">
      <c r="A24" t="n">
        <v>208</v>
      </c>
      <c r="B24" t="inlineStr">
        <is>
          <t>Consumo de Agua m3 Mensual</t>
        </is>
      </c>
      <c r="C24" t="inlineStr">
        <is>
          <t>GESTIÓN AMBIENTAL</t>
        </is>
      </c>
      <c r="D24" t="inlineStr">
        <is>
          <t>Mensual</t>
        </is>
      </c>
      <c r="E24" t="inlineStr">
        <is>
          <t>Negativo</t>
        </is>
      </c>
      <c r="F24" s="105" t="n">
        <v>44681</v>
      </c>
      <c r="G24" t="inlineStr">
        <is>
          <t>208-2022-04-30</t>
        </is>
      </c>
      <c r="H24" t="inlineStr">
        <is>
          <t>Campus-Medellín</t>
        </is>
      </c>
      <c r="I24" t="n">
        <v>1700</v>
      </c>
      <c r="J24" t="n">
        <v>177</v>
      </c>
      <c r="K24" t="n">
        <v>177</v>
      </c>
    </row>
    <row r="25">
      <c r="A25" t="n">
        <v>214</v>
      </c>
      <c r="B25" t="inlineStr">
        <is>
          <t>Generación de Residuos Sólidos Mensual</t>
        </is>
      </c>
      <c r="C25" t="inlineStr">
        <is>
          <t>GESTIÓN AMBIENTAL</t>
        </is>
      </c>
      <c r="D25" t="inlineStr">
        <is>
          <t>Mensual</t>
        </is>
      </c>
      <c r="E25" t="inlineStr">
        <is>
          <t>Negativo</t>
        </is>
      </c>
      <c r="F25" s="105" t="n">
        <v>44681</v>
      </c>
      <c r="G25" t="inlineStr">
        <is>
          <t>214-2022-04-30</t>
        </is>
      </c>
      <c r="H25" t="inlineStr">
        <is>
          <t>Campus Bogotá</t>
        </is>
      </c>
      <c r="I25" t="n">
        <v>7500</v>
      </c>
      <c r="J25" t="n">
        <v>1176</v>
      </c>
      <c r="L25" t="n">
        <v>736</v>
      </c>
      <c r="M25" t="n">
        <v>440</v>
      </c>
    </row>
    <row r="26">
      <c r="A26" t="n">
        <v>218</v>
      </c>
      <c r="B26" t="inlineStr">
        <is>
          <t>Consumo de Energía Eléctrica kWh Mensual</t>
        </is>
      </c>
      <c r="C26" t="inlineStr">
        <is>
          <t>GESTIÓN AMBIENTAL</t>
        </is>
      </c>
      <c r="D26" t="inlineStr">
        <is>
          <t>Mensual</t>
        </is>
      </c>
      <c r="E26" t="inlineStr">
        <is>
          <t>Negativo</t>
        </is>
      </c>
      <c r="F26" s="105" t="n">
        <v>44681</v>
      </c>
      <c r="G26" t="inlineStr">
        <is>
          <t>218-2022-04-30</t>
        </is>
      </c>
      <c r="H26" t="inlineStr">
        <is>
          <t>Campus Bogotá</t>
        </is>
      </c>
      <c r="I26" t="n">
        <v>172000</v>
      </c>
      <c r="J26" t="n">
        <v>63239</v>
      </c>
      <c r="N26" t="n">
        <v>63239.3</v>
      </c>
    </row>
    <row r="27">
      <c r="A27" t="n">
        <v>218</v>
      </c>
      <c r="B27" t="inlineStr">
        <is>
          <t>Consumo de Energía Eléctrica kWh Mensual</t>
        </is>
      </c>
      <c r="C27" t="inlineStr">
        <is>
          <t>GESTIÓN AMBIENTAL</t>
        </is>
      </c>
      <c r="D27" t="inlineStr">
        <is>
          <t>Mensual</t>
        </is>
      </c>
      <c r="E27" t="inlineStr">
        <is>
          <t>Negativo</t>
        </is>
      </c>
      <c r="F27" s="105" t="n">
        <v>44681</v>
      </c>
      <c r="G27" t="inlineStr">
        <is>
          <t>218-2022-04-30</t>
        </is>
      </c>
      <c r="H27" t="inlineStr">
        <is>
          <t>City Campus</t>
        </is>
      </c>
      <c r="I27" t="n">
        <v>172000</v>
      </c>
      <c r="J27" t="n">
        <v>13110</v>
      </c>
      <c r="N27" t="n">
        <v>13110</v>
      </c>
    </row>
    <row r="28">
      <c r="A28" t="n">
        <v>218</v>
      </c>
      <c r="B28" t="inlineStr">
        <is>
          <t>Consumo de Energía Eléctrica kWh Mensual</t>
        </is>
      </c>
      <c r="C28" t="inlineStr">
        <is>
          <t>GESTIÓN AMBIENTAL</t>
        </is>
      </c>
      <c r="D28" t="inlineStr">
        <is>
          <t>Mensual</t>
        </is>
      </c>
      <c r="E28" t="inlineStr">
        <is>
          <t>Negativo</t>
        </is>
      </c>
      <c r="F28" s="105" t="n">
        <v>44681</v>
      </c>
      <c r="G28" t="inlineStr">
        <is>
          <t>218-2022-04-30</t>
        </is>
      </c>
      <c r="H28" t="inlineStr">
        <is>
          <t>Campus-Medellín</t>
        </is>
      </c>
      <c r="I28" t="n">
        <v>172000</v>
      </c>
      <c r="J28" t="n">
        <v>28801</v>
      </c>
      <c r="N28" t="n">
        <v>28801</v>
      </c>
    </row>
    <row r="29">
      <c r="A29" t="n">
        <v>208</v>
      </c>
      <c r="B29" t="inlineStr">
        <is>
          <t>Consumo de Agua m3 Mensual</t>
        </is>
      </c>
      <c r="C29" t="inlineStr">
        <is>
          <t>GESTIÓN AMBIENTAL</t>
        </is>
      </c>
      <c r="D29" t="inlineStr">
        <is>
          <t>Mensual</t>
        </is>
      </c>
      <c r="E29" t="inlineStr">
        <is>
          <t>Negativo</t>
        </is>
      </c>
      <c r="F29" s="105" t="n">
        <v>44712</v>
      </c>
      <c r="G29" t="inlineStr">
        <is>
          <t>208-2022-05-31</t>
        </is>
      </c>
      <c r="H29" t="inlineStr">
        <is>
          <t>Campus Bogotá</t>
        </is>
      </c>
      <c r="I29" t="n">
        <v>1700</v>
      </c>
      <c r="J29" t="n">
        <v>866</v>
      </c>
      <c r="K29" t="n">
        <v>866</v>
      </c>
    </row>
    <row r="30">
      <c r="A30" t="n">
        <v>208</v>
      </c>
      <c r="B30" t="inlineStr">
        <is>
          <t>Consumo de Agua m3 Mensual</t>
        </is>
      </c>
      <c r="C30" t="inlineStr">
        <is>
          <t>GESTIÓN AMBIENTAL</t>
        </is>
      </c>
      <c r="D30" t="inlineStr">
        <is>
          <t>Mensual</t>
        </is>
      </c>
      <c r="E30" t="inlineStr">
        <is>
          <t>Negativo</t>
        </is>
      </c>
      <c r="F30" s="105" t="n">
        <v>44712</v>
      </c>
      <c r="G30" t="inlineStr">
        <is>
          <t>208-2022-05-31</t>
        </is>
      </c>
      <c r="H30" t="inlineStr">
        <is>
          <t>City Campus</t>
        </is>
      </c>
      <c r="I30" t="n">
        <v>1700</v>
      </c>
      <c r="J30" t="n">
        <v>277</v>
      </c>
      <c r="K30" t="n">
        <v>277</v>
      </c>
    </row>
    <row r="31">
      <c r="A31" t="n">
        <v>208</v>
      </c>
      <c r="B31" t="inlineStr">
        <is>
          <t>Consumo de Agua m3 Mensual</t>
        </is>
      </c>
      <c r="C31" t="inlineStr">
        <is>
          <t>GESTIÓN AMBIENTAL</t>
        </is>
      </c>
      <c r="D31" t="inlineStr">
        <is>
          <t>Mensual</t>
        </is>
      </c>
      <c r="E31" t="inlineStr">
        <is>
          <t>Negativo</t>
        </is>
      </c>
      <c r="F31" s="105" t="n">
        <v>44712</v>
      </c>
      <c r="G31" t="inlineStr">
        <is>
          <t>208-2022-05-31</t>
        </is>
      </c>
      <c r="H31" t="inlineStr">
        <is>
          <t>Campus-Medellín</t>
        </is>
      </c>
      <c r="I31" t="n">
        <v>1700</v>
      </c>
      <c r="J31" t="n">
        <v>108</v>
      </c>
      <c r="K31" t="n">
        <v>108</v>
      </c>
    </row>
    <row r="32">
      <c r="A32" t="n">
        <v>214</v>
      </c>
      <c r="B32" t="inlineStr">
        <is>
          <t>Generación de Residuos Sólidos Mensual</t>
        </is>
      </c>
      <c r="C32" t="inlineStr">
        <is>
          <t>GESTIÓN AMBIENTAL</t>
        </is>
      </c>
      <c r="D32" t="inlineStr">
        <is>
          <t>Mensual</t>
        </is>
      </c>
      <c r="E32" t="inlineStr">
        <is>
          <t>Negativo</t>
        </is>
      </c>
      <c r="F32" s="105" t="n">
        <v>44712</v>
      </c>
      <c r="G32" t="inlineStr">
        <is>
          <t>214-2022-05-31</t>
        </is>
      </c>
      <c r="H32" t="inlineStr">
        <is>
          <t>Campus Bogotá</t>
        </is>
      </c>
      <c r="I32" t="n">
        <v>7500</v>
      </c>
      <c r="J32" t="n">
        <v>811</v>
      </c>
      <c r="L32" t="n">
        <v>694</v>
      </c>
      <c r="M32" t="n">
        <v>117</v>
      </c>
    </row>
    <row r="33">
      <c r="A33" t="n">
        <v>218</v>
      </c>
      <c r="B33" t="inlineStr">
        <is>
          <t>Consumo de Energía Eléctrica kWh Mensual</t>
        </is>
      </c>
      <c r="C33" t="inlineStr">
        <is>
          <t>GESTIÓN AMBIENTAL</t>
        </is>
      </c>
      <c r="D33" t="inlineStr">
        <is>
          <t>Mensual</t>
        </is>
      </c>
      <c r="E33" t="inlineStr">
        <is>
          <t>Negativo</t>
        </is>
      </c>
      <c r="F33" s="105" t="n">
        <v>44712</v>
      </c>
      <c r="G33" t="inlineStr">
        <is>
          <t>218-2022-05-31</t>
        </is>
      </c>
      <c r="H33" t="inlineStr">
        <is>
          <t>Campus Bogotá</t>
        </is>
      </c>
      <c r="I33" t="n">
        <v>172000</v>
      </c>
      <c r="J33" t="n">
        <v>74261</v>
      </c>
      <c r="N33" t="n">
        <v>74261</v>
      </c>
    </row>
    <row r="34">
      <c r="A34" t="n">
        <v>218</v>
      </c>
      <c r="B34" t="inlineStr">
        <is>
          <t>Consumo de Energía Eléctrica kWh Mensual</t>
        </is>
      </c>
      <c r="C34" t="inlineStr">
        <is>
          <t>GESTIÓN AMBIENTAL</t>
        </is>
      </c>
      <c r="D34" t="inlineStr">
        <is>
          <t>Mensual</t>
        </is>
      </c>
      <c r="E34" t="inlineStr">
        <is>
          <t>Negativo</t>
        </is>
      </c>
      <c r="F34" s="105" t="n">
        <v>44712</v>
      </c>
      <c r="G34" t="inlineStr">
        <is>
          <t>218-2022-05-31</t>
        </is>
      </c>
      <c r="H34" t="inlineStr">
        <is>
          <t>City Campus</t>
        </is>
      </c>
      <c r="I34" t="n">
        <v>172000</v>
      </c>
      <c r="J34" t="n">
        <v>11970</v>
      </c>
      <c r="N34" t="n">
        <v>11970</v>
      </c>
    </row>
    <row r="35">
      <c r="A35" t="n">
        <v>218</v>
      </c>
      <c r="B35" t="inlineStr">
        <is>
          <t>Consumo de Energía Eléctrica kWh Mensual</t>
        </is>
      </c>
      <c r="C35" t="inlineStr">
        <is>
          <t>GESTIÓN AMBIENTAL</t>
        </is>
      </c>
      <c r="D35" t="inlineStr">
        <is>
          <t>Mensual</t>
        </is>
      </c>
      <c r="E35" t="inlineStr">
        <is>
          <t>Negativo</t>
        </is>
      </c>
      <c r="F35" s="105" t="n">
        <v>44712</v>
      </c>
      <c r="G35" t="inlineStr">
        <is>
          <t>218-2022-05-31</t>
        </is>
      </c>
      <c r="H35" t="inlineStr">
        <is>
          <t>Campus-Medellín</t>
        </is>
      </c>
      <c r="I35" t="n">
        <v>172000</v>
      </c>
      <c r="J35" t="n">
        <v>24585</v>
      </c>
      <c r="N35" t="n">
        <v>24585</v>
      </c>
    </row>
    <row r="36">
      <c r="A36" t="n">
        <v>208</v>
      </c>
      <c r="B36" t="inlineStr">
        <is>
          <t>Consumo de Agua m3 Mensual</t>
        </is>
      </c>
      <c r="C36" t="inlineStr">
        <is>
          <t>GESTIÓN AMBIENTAL</t>
        </is>
      </c>
      <c r="D36" t="inlineStr">
        <is>
          <t>Mensual</t>
        </is>
      </c>
      <c r="E36" t="inlineStr">
        <is>
          <t>Negativo</t>
        </is>
      </c>
      <c r="F36" s="105" t="n">
        <v>44742</v>
      </c>
      <c r="G36" t="inlineStr">
        <is>
          <t>208-2022-06-30</t>
        </is>
      </c>
      <c r="H36" t="inlineStr">
        <is>
          <t>Campus Bogotá</t>
        </is>
      </c>
      <c r="I36" t="n">
        <v>1700</v>
      </c>
      <c r="J36" t="n">
        <v>734</v>
      </c>
      <c r="K36" t="n">
        <v>734</v>
      </c>
    </row>
    <row r="37">
      <c r="A37" t="n">
        <v>208</v>
      </c>
      <c r="B37" t="inlineStr">
        <is>
          <t>Consumo de Agua m3 Mensual</t>
        </is>
      </c>
      <c r="C37" t="inlineStr">
        <is>
          <t>GESTIÓN AMBIENTAL</t>
        </is>
      </c>
      <c r="D37" t="inlineStr">
        <is>
          <t>Mensual</t>
        </is>
      </c>
      <c r="E37" t="inlineStr">
        <is>
          <t>Negativo</t>
        </is>
      </c>
      <c r="F37" s="105" t="n">
        <v>44742</v>
      </c>
      <c r="G37" t="inlineStr">
        <is>
          <t>208-2022-06-30</t>
        </is>
      </c>
      <c r="H37" t="inlineStr">
        <is>
          <t>City Campus</t>
        </is>
      </c>
      <c r="I37" t="n">
        <v>1700</v>
      </c>
      <c r="J37" t="n">
        <v>355.5</v>
      </c>
      <c r="K37" t="n">
        <v>355.5</v>
      </c>
    </row>
    <row r="38">
      <c r="A38" t="n">
        <v>208</v>
      </c>
      <c r="B38" t="inlineStr">
        <is>
          <t>Consumo de Agua m3 Mensual</t>
        </is>
      </c>
      <c r="C38" t="inlineStr">
        <is>
          <t>GESTIÓN AMBIENTAL</t>
        </is>
      </c>
      <c r="D38" t="inlineStr">
        <is>
          <t>Mensual</t>
        </is>
      </c>
      <c r="E38" t="inlineStr">
        <is>
          <t>Negativo</t>
        </is>
      </c>
      <c r="F38" s="105" t="n">
        <v>44742</v>
      </c>
      <c r="G38" t="inlineStr">
        <is>
          <t>208-2022-06-30</t>
        </is>
      </c>
      <c r="H38" t="inlineStr">
        <is>
          <t>Campus-Medellín</t>
        </is>
      </c>
      <c r="I38" t="n">
        <v>1700</v>
      </c>
      <c r="J38" t="n">
        <v>140</v>
      </c>
      <c r="K38" t="n">
        <v>140</v>
      </c>
    </row>
    <row r="39">
      <c r="A39" t="n">
        <v>214</v>
      </c>
      <c r="B39" t="inlineStr">
        <is>
          <t>Generación de Residuos Sólidos Mensual</t>
        </is>
      </c>
      <c r="C39" t="inlineStr">
        <is>
          <t>GESTIÓN AMBIENTAL</t>
        </is>
      </c>
      <c r="D39" t="inlineStr">
        <is>
          <t>Mensual</t>
        </is>
      </c>
      <c r="E39" t="inlineStr">
        <is>
          <t>Negativo</t>
        </is>
      </c>
      <c r="F39" s="105" t="n">
        <v>44742</v>
      </c>
      <c r="G39" t="inlineStr">
        <is>
          <t>214-2022-06-30</t>
        </is>
      </c>
      <c r="H39" t="inlineStr">
        <is>
          <t>Campus Bogotá</t>
        </is>
      </c>
      <c r="I39" t="n">
        <v>7500</v>
      </c>
      <c r="J39" t="n">
        <v>895</v>
      </c>
      <c r="L39" t="n">
        <v>727</v>
      </c>
      <c r="M39" t="n">
        <v>168</v>
      </c>
    </row>
    <row r="40">
      <c r="A40" t="n">
        <v>218</v>
      </c>
      <c r="B40" t="inlineStr">
        <is>
          <t>Consumo de Energía Eléctrica kWh Mensual</t>
        </is>
      </c>
      <c r="C40" t="inlineStr">
        <is>
          <t>GESTIÓN AMBIENTAL</t>
        </is>
      </c>
      <c r="D40" t="inlineStr">
        <is>
          <t>Mensual</t>
        </is>
      </c>
      <c r="E40" t="inlineStr">
        <is>
          <t>Negativo</t>
        </is>
      </c>
      <c r="F40" s="105" t="n">
        <v>44742</v>
      </c>
      <c r="G40" t="inlineStr">
        <is>
          <t>218-2022-06-30</t>
        </is>
      </c>
      <c r="H40" t="inlineStr">
        <is>
          <t>Campus Bogotá</t>
        </is>
      </c>
      <c r="I40" t="n">
        <v>172000</v>
      </c>
      <c r="J40" t="n">
        <v>61046</v>
      </c>
      <c r="N40" t="n">
        <v>61046</v>
      </c>
    </row>
    <row r="41">
      <c r="A41" t="n">
        <v>218</v>
      </c>
      <c r="B41" t="inlineStr">
        <is>
          <t>Consumo de Energía Eléctrica kWh Mensual</t>
        </is>
      </c>
      <c r="C41" t="inlineStr">
        <is>
          <t>GESTIÓN AMBIENTAL</t>
        </is>
      </c>
      <c r="D41" t="inlineStr">
        <is>
          <t>Mensual</t>
        </is>
      </c>
      <c r="E41" t="inlineStr">
        <is>
          <t>Negativo</t>
        </is>
      </c>
      <c r="F41" s="105" t="n">
        <v>44742</v>
      </c>
      <c r="G41" t="inlineStr">
        <is>
          <t>218-2022-06-30</t>
        </is>
      </c>
      <c r="H41" t="inlineStr">
        <is>
          <t>City Campus</t>
        </is>
      </c>
      <c r="I41" t="n">
        <v>172000</v>
      </c>
      <c r="J41" t="n">
        <v>13110</v>
      </c>
      <c r="N41" t="n">
        <v>13110</v>
      </c>
    </row>
    <row r="42">
      <c r="A42" t="n">
        <v>218</v>
      </c>
      <c r="B42" t="inlineStr">
        <is>
          <t>Consumo de Energía Eléctrica kWh Mensual</t>
        </is>
      </c>
      <c r="C42" t="inlineStr">
        <is>
          <t>GESTIÓN AMBIENTAL</t>
        </is>
      </c>
      <c r="D42" t="inlineStr">
        <is>
          <t>Mensual</t>
        </is>
      </c>
      <c r="E42" t="inlineStr">
        <is>
          <t>Negativo</t>
        </is>
      </c>
      <c r="F42" s="105" t="n">
        <v>44742</v>
      </c>
      <c r="G42" t="inlineStr">
        <is>
          <t>218-2022-06-30</t>
        </is>
      </c>
      <c r="H42" t="inlineStr">
        <is>
          <t>Campus-Medellín</t>
        </is>
      </c>
      <c r="I42" t="n">
        <v>172000</v>
      </c>
      <c r="J42" t="n">
        <v>24285</v>
      </c>
      <c r="N42" t="n">
        <v>24285</v>
      </c>
    </row>
    <row r="43">
      <c r="A43" t="n">
        <v>219</v>
      </c>
      <c r="B43" t="inlineStr">
        <is>
          <t>Disminución del Consumo de Energía Eléctrica per Cápita</t>
        </is>
      </c>
      <c r="C43" t="inlineStr">
        <is>
          <t>GESTIÓN AMBIENTAL</t>
        </is>
      </c>
      <c r="D43" t="inlineStr">
        <is>
          <t>Trimestral</t>
        </is>
      </c>
      <c r="E43" t="inlineStr">
        <is>
          <t>Positivo</t>
        </is>
      </c>
      <c r="F43" s="105" t="n">
        <v>44742</v>
      </c>
      <c r="G43" t="inlineStr">
        <is>
          <t>219-2022-06-30</t>
        </is>
      </c>
      <c r="H43" t="inlineStr">
        <is>
          <t>Campus Bogotá</t>
        </is>
      </c>
      <c r="I43" t="n">
        <v>1</v>
      </c>
      <c r="J43" t="n">
        <v>-0.4900000095367432</v>
      </c>
      <c r="O43" t="n">
        <v>2094</v>
      </c>
      <c r="P43" t="n">
        <v>2617</v>
      </c>
      <c r="Q43" t="n">
        <v>18383</v>
      </c>
      <c r="R43" t="n">
        <v>78</v>
      </c>
      <c r="S43" t="n">
        <v>1853</v>
      </c>
      <c r="T43" t="n">
        <v>2410</v>
      </c>
      <c r="U43" t="n">
        <v>17040</v>
      </c>
      <c r="V43" t="n">
        <v>0</v>
      </c>
      <c r="W43" t="n">
        <v>390991</v>
      </c>
      <c r="X43" t="n">
        <v>357717</v>
      </c>
    </row>
    <row r="44">
      <c r="A44" t="n">
        <v>219</v>
      </c>
      <c r="B44" t="inlineStr">
        <is>
          <t>Disminución del Consumo de Energía Eléctrica per Cápita</t>
        </is>
      </c>
      <c r="C44" t="inlineStr">
        <is>
          <t>GESTIÓN AMBIENTAL</t>
        </is>
      </c>
      <c r="D44" t="inlineStr">
        <is>
          <t>Trimestral</t>
        </is>
      </c>
      <c r="E44" t="inlineStr">
        <is>
          <t>Positivo</t>
        </is>
      </c>
      <c r="F44" s="105" t="n">
        <v>44742</v>
      </c>
      <c r="G44" t="inlineStr">
        <is>
          <t>219-2022-06-30</t>
        </is>
      </c>
      <c r="H44" t="inlineStr">
        <is>
          <t>City Campus</t>
        </is>
      </c>
      <c r="I44" t="n">
        <v>1</v>
      </c>
      <c r="J44" t="n">
        <v>57.2599983215332</v>
      </c>
      <c r="O44" t="n">
        <v>651</v>
      </c>
      <c r="P44" t="n">
        <v>45</v>
      </c>
      <c r="Q44" t="n">
        <v>5974</v>
      </c>
      <c r="R44" t="n">
        <v>2317</v>
      </c>
      <c r="S44" t="n">
        <v>756</v>
      </c>
      <c r="T44" t="n">
        <v>42</v>
      </c>
      <c r="U44" t="n">
        <v>2590</v>
      </c>
      <c r="V44" t="n">
        <v>2550</v>
      </c>
      <c r="W44" t="n">
        <v>75240</v>
      </c>
      <c r="X44" t="n">
        <v>116306</v>
      </c>
    </row>
    <row r="45">
      <c r="A45" t="n">
        <v>220</v>
      </c>
      <c r="B45" t="inlineStr">
        <is>
          <t>Disminución del Consumo de Agua per Cápita</t>
        </is>
      </c>
      <c r="C45" t="inlineStr">
        <is>
          <t>GESTIÓN AMBIENTAL</t>
        </is>
      </c>
      <c r="D45" t="inlineStr">
        <is>
          <t>Trimestral</t>
        </is>
      </c>
      <c r="E45" t="inlineStr">
        <is>
          <t>Positivo</t>
        </is>
      </c>
      <c r="F45" s="105" t="n">
        <v>44742</v>
      </c>
      <c r="G45" t="inlineStr">
        <is>
          <t>220-2022-06-30</t>
        </is>
      </c>
      <c r="H45" t="inlineStr">
        <is>
          <t>Campus Bogotá</t>
        </is>
      </c>
      <c r="I45" t="n">
        <v>1</v>
      </c>
      <c r="J45" t="n">
        <v>-125.2399978637695</v>
      </c>
      <c r="O45" t="n">
        <v>2094</v>
      </c>
      <c r="P45" t="n">
        <v>2617</v>
      </c>
      <c r="Q45" t="n">
        <v>18383</v>
      </c>
      <c r="R45" t="n">
        <v>78</v>
      </c>
      <c r="S45" t="n">
        <v>1853</v>
      </c>
      <c r="T45" t="n">
        <v>2410</v>
      </c>
      <c r="U45" t="n">
        <v>17040</v>
      </c>
      <c r="V45" t="n">
        <v>0</v>
      </c>
      <c r="Y45" t="n">
        <v>4067</v>
      </c>
      <c r="Z45" t="n">
        <v>1660</v>
      </c>
    </row>
    <row r="46">
      <c r="A46" t="n">
        <v>220</v>
      </c>
      <c r="B46" t="inlineStr">
        <is>
          <t>Disminución del Consumo de Agua per Cápita</t>
        </is>
      </c>
      <c r="C46" t="inlineStr">
        <is>
          <t>GESTIÓN AMBIENTAL</t>
        </is>
      </c>
      <c r="D46" t="inlineStr">
        <is>
          <t>Trimestral</t>
        </is>
      </c>
      <c r="E46" t="inlineStr">
        <is>
          <t>Positivo</t>
        </is>
      </c>
      <c r="F46" s="105" t="n">
        <v>44742</v>
      </c>
      <c r="G46" t="inlineStr">
        <is>
          <t>220-2022-06-30</t>
        </is>
      </c>
      <c r="H46" t="inlineStr">
        <is>
          <t>City Campus</t>
        </is>
      </c>
      <c r="I46" t="n">
        <v>1</v>
      </c>
      <c r="J46" t="n">
        <v>-3.029999971389771</v>
      </c>
      <c r="O46" t="n">
        <v>651</v>
      </c>
      <c r="P46" t="n">
        <v>45</v>
      </c>
      <c r="Q46" t="n">
        <v>5974</v>
      </c>
      <c r="R46" t="n">
        <v>2317</v>
      </c>
      <c r="S46" t="n">
        <v>756</v>
      </c>
      <c r="T46" t="n">
        <v>42</v>
      </c>
      <c r="U46" t="n">
        <v>2590</v>
      </c>
      <c r="V46" t="n">
        <v>2550</v>
      </c>
      <c r="Y46" t="n">
        <v>867</v>
      </c>
      <c r="Z46" t="n">
        <v>556</v>
      </c>
    </row>
    <row r="47">
      <c r="A47" t="n">
        <v>428</v>
      </c>
      <c r="B47" t="inlineStr">
        <is>
          <t>Consumo de Energía Eléctrica per Cápita Semestral</t>
        </is>
      </c>
      <c r="C47" t="inlineStr">
        <is>
          <t>GESTIÓN AMBIENTAL</t>
        </is>
      </c>
      <c r="D47" t="inlineStr">
        <is>
          <t>Trimestral</t>
        </is>
      </c>
      <c r="E47" t="inlineStr">
        <is>
          <t>Negativo</t>
        </is>
      </c>
      <c r="F47" s="105" t="n">
        <v>44742</v>
      </c>
      <c r="G47" t="inlineStr">
        <is>
          <t>428-2022-06-30</t>
        </is>
      </c>
      <c r="H47" t="inlineStr">
        <is>
          <t>Campus Bogotá</t>
        </is>
      </c>
      <c r="I47" t="n">
        <v>22</v>
      </c>
      <c r="J47" t="n">
        <v>16.8700008392334</v>
      </c>
      <c r="O47" t="n">
        <v>2094</v>
      </c>
      <c r="P47" t="n">
        <v>2617</v>
      </c>
      <c r="Q47" t="n">
        <v>18383</v>
      </c>
      <c r="R47" t="n">
        <v>78</v>
      </c>
      <c r="W47" t="n">
        <v>390991</v>
      </c>
    </row>
    <row r="48">
      <c r="A48" t="n">
        <v>428</v>
      </c>
      <c r="B48" t="inlineStr">
        <is>
          <t>Consumo de Energía Eléctrica per Cápita Semestral</t>
        </is>
      </c>
      <c r="C48" t="inlineStr">
        <is>
          <t>GESTIÓN AMBIENTAL</t>
        </is>
      </c>
      <c r="D48" t="inlineStr">
        <is>
          <t>Trimestral</t>
        </is>
      </c>
      <c r="E48" t="inlineStr">
        <is>
          <t>Negativo</t>
        </is>
      </c>
      <c r="F48" s="105" t="n">
        <v>44742</v>
      </c>
      <c r="G48" t="inlineStr">
        <is>
          <t>428-2022-06-30</t>
        </is>
      </c>
      <c r="H48" t="inlineStr">
        <is>
          <t>City Campus</t>
        </is>
      </c>
      <c r="I48" t="n">
        <v>25</v>
      </c>
      <c r="J48" t="n">
        <v>8.369999885559082</v>
      </c>
      <c r="O48" t="n">
        <v>651</v>
      </c>
      <c r="P48" t="n">
        <v>45</v>
      </c>
      <c r="Q48" t="n">
        <v>5974</v>
      </c>
      <c r="R48" t="n">
        <v>2317</v>
      </c>
      <c r="W48" t="n">
        <v>75240</v>
      </c>
    </row>
    <row r="49">
      <c r="A49" t="n">
        <v>428</v>
      </c>
      <c r="B49" t="inlineStr">
        <is>
          <t>Consumo de Energía Eléctrica per Cápita Semestral</t>
        </is>
      </c>
      <c r="C49" t="inlineStr">
        <is>
          <t>GESTIÓN AMBIENTAL</t>
        </is>
      </c>
      <c r="D49" t="inlineStr">
        <is>
          <t>Trimestral</t>
        </is>
      </c>
      <c r="E49" t="inlineStr">
        <is>
          <t>Negativo</t>
        </is>
      </c>
      <c r="F49" s="105" t="n">
        <v>44742</v>
      </c>
      <c r="G49" t="inlineStr">
        <is>
          <t>428-2022-06-30</t>
        </is>
      </c>
      <c r="H49" t="inlineStr">
        <is>
          <t>Campus-Medellín</t>
        </is>
      </c>
      <c r="I49" t="n">
        <v>11</v>
      </c>
      <c r="J49" t="n">
        <v>9.939999580383301</v>
      </c>
      <c r="O49" t="n">
        <v>277</v>
      </c>
      <c r="P49" t="n">
        <v>815</v>
      </c>
      <c r="Q49" t="n">
        <v>11401</v>
      </c>
      <c r="R49" t="n">
        <v>88</v>
      </c>
      <c r="W49" t="n">
        <v>125003</v>
      </c>
    </row>
    <row r="50">
      <c r="A50" t="n">
        <v>429</v>
      </c>
      <c r="B50" t="inlineStr">
        <is>
          <t>Generación de Residuos Sólidos per Cápita Semestral</t>
        </is>
      </c>
      <c r="C50" t="inlineStr">
        <is>
          <t>GESTIÓN AMBIENTAL</t>
        </is>
      </c>
      <c r="D50" t="inlineStr">
        <is>
          <t>Trimestral</t>
        </is>
      </c>
      <c r="E50" t="inlineStr">
        <is>
          <t>Negativo</t>
        </is>
      </c>
      <c r="F50" s="105" t="n">
        <v>44742</v>
      </c>
      <c r="G50" t="inlineStr">
        <is>
          <t>429-2022-06-30</t>
        </is>
      </c>
      <c r="H50" t="inlineStr">
        <is>
          <t>Campus Bogotá</t>
        </is>
      </c>
      <c r="I50" t="n">
        <v>0.4</v>
      </c>
      <c r="J50" t="n">
        <v>0.25</v>
      </c>
      <c r="O50" t="n">
        <v>2094</v>
      </c>
      <c r="P50" t="n">
        <v>2617</v>
      </c>
      <c r="Q50" t="n">
        <v>18383</v>
      </c>
      <c r="R50" t="n">
        <v>78</v>
      </c>
      <c r="AA50" t="n">
        <v>4265</v>
      </c>
      <c r="AB50" t="n">
        <v>1619</v>
      </c>
    </row>
    <row r="51">
      <c r="A51" t="n">
        <v>208</v>
      </c>
      <c r="B51" t="inlineStr">
        <is>
          <t>Consumo de Agua m3 Mensual</t>
        </is>
      </c>
      <c r="C51" t="inlineStr">
        <is>
          <t>GESTIÓN AMBIENTAL</t>
        </is>
      </c>
      <c r="D51" t="inlineStr">
        <is>
          <t>Mensual</t>
        </is>
      </c>
      <c r="E51" t="inlineStr">
        <is>
          <t>Negativo</t>
        </is>
      </c>
      <c r="F51" s="105" t="n">
        <v>44773</v>
      </c>
      <c r="G51" t="inlineStr">
        <is>
          <t>208-2022-07-31</t>
        </is>
      </c>
      <c r="H51" t="inlineStr">
        <is>
          <t>Campus Bogotá</t>
        </is>
      </c>
      <c r="I51" t="n">
        <v>1700</v>
      </c>
      <c r="J51" t="n">
        <v>890</v>
      </c>
      <c r="K51" t="n">
        <v>890</v>
      </c>
    </row>
    <row r="52">
      <c r="A52" t="n">
        <v>208</v>
      </c>
      <c r="B52" t="inlineStr">
        <is>
          <t>Consumo de Agua m3 Mensual</t>
        </is>
      </c>
      <c r="C52" t="inlineStr">
        <is>
          <t>GESTIÓN AMBIENTAL</t>
        </is>
      </c>
      <c r="D52" t="inlineStr">
        <is>
          <t>Mensual</t>
        </is>
      </c>
      <c r="E52" t="inlineStr">
        <is>
          <t>Negativo</t>
        </is>
      </c>
      <c r="F52" s="105" t="n">
        <v>44773</v>
      </c>
      <c r="G52" t="inlineStr">
        <is>
          <t>208-2022-07-31</t>
        </is>
      </c>
      <c r="H52" t="inlineStr">
        <is>
          <t>City Campus</t>
        </is>
      </c>
      <c r="I52" t="n">
        <v>1700</v>
      </c>
      <c r="J52" t="n">
        <v>355.5</v>
      </c>
      <c r="K52" t="n">
        <v>355.5</v>
      </c>
    </row>
    <row r="53">
      <c r="A53" t="n">
        <v>208</v>
      </c>
      <c r="B53" t="inlineStr">
        <is>
          <t>Consumo de Agua m3 Mensual</t>
        </is>
      </c>
      <c r="C53" t="inlineStr">
        <is>
          <t>GESTIÓN AMBIENTAL</t>
        </is>
      </c>
      <c r="D53" t="inlineStr">
        <is>
          <t>Mensual</t>
        </is>
      </c>
      <c r="E53" t="inlineStr">
        <is>
          <t>Negativo</t>
        </is>
      </c>
      <c r="F53" s="105" t="n">
        <v>44773</v>
      </c>
      <c r="G53" t="inlineStr">
        <is>
          <t>208-2022-07-31</t>
        </is>
      </c>
      <c r="H53" t="inlineStr">
        <is>
          <t>Campus-Medellín</t>
        </is>
      </c>
      <c r="I53" t="n">
        <v>1700</v>
      </c>
      <c r="J53" t="n">
        <v>117</v>
      </c>
      <c r="K53" t="n">
        <v>117</v>
      </c>
    </row>
    <row r="54">
      <c r="A54" t="n">
        <v>214</v>
      </c>
      <c r="B54" t="inlineStr">
        <is>
          <t>Generación de Residuos Sólidos Mensual</t>
        </is>
      </c>
      <c r="C54" t="inlineStr">
        <is>
          <t>GESTIÓN AMBIENTAL</t>
        </is>
      </c>
      <c r="D54" t="inlineStr">
        <is>
          <t>Mensual</t>
        </is>
      </c>
      <c r="E54" t="inlineStr">
        <is>
          <t>Negativo</t>
        </is>
      </c>
      <c r="F54" s="105" t="n">
        <v>44773</v>
      </c>
      <c r="G54" t="inlineStr">
        <is>
          <t>214-2022-07-31</t>
        </is>
      </c>
      <c r="H54" t="inlineStr">
        <is>
          <t>Campus Bogotá</t>
        </is>
      </c>
      <c r="I54" t="n">
        <v>7500</v>
      </c>
      <c r="J54" t="n">
        <v>725</v>
      </c>
      <c r="L54" t="n">
        <v>428</v>
      </c>
      <c r="M54" t="n">
        <v>297</v>
      </c>
    </row>
    <row r="55">
      <c r="A55" t="n">
        <v>218</v>
      </c>
      <c r="B55" t="inlineStr">
        <is>
          <t>Consumo de Energía Eléctrica kWh Mensual</t>
        </is>
      </c>
      <c r="C55" t="inlineStr">
        <is>
          <t>GESTIÓN AMBIENTAL</t>
        </is>
      </c>
      <c r="D55" t="inlineStr">
        <is>
          <t>Mensual</t>
        </is>
      </c>
      <c r="E55" t="inlineStr">
        <is>
          <t>Negativo</t>
        </is>
      </c>
      <c r="F55" s="105" t="n">
        <v>44773</v>
      </c>
      <c r="G55" t="inlineStr">
        <is>
          <t>218-2022-07-31</t>
        </is>
      </c>
      <c r="H55" t="inlineStr">
        <is>
          <t>Campus Bogotá</t>
        </is>
      </c>
      <c r="I55" t="n">
        <v>172000</v>
      </c>
      <c r="J55" t="n">
        <v>60208</v>
      </c>
      <c r="N55" t="n">
        <v>60208</v>
      </c>
    </row>
    <row r="56">
      <c r="A56" t="n">
        <v>218</v>
      </c>
      <c r="B56" t="inlineStr">
        <is>
          <t>Consumo de Energía Eléctrica kWh Mensual</t>
        </is>
      </c>
      <c r="C56" t="inlineStr">
        <is>
          <t>GESTIÓN AMBIENTAL</t>
        </is>
      </c>
      <c r="D56" t="inlineStr">
        <is>
          <t>Mensual</t>
        </is>
      </c>
      <c r="E56" t="inlineStr">
        <is>
          <t>Negativo</t>
        </is>
      </c>
      <c r="F56" s="105" t="n">
        <v>44773</v>
      </c>
      <c r="G56" t="inlineStr">
        <is>
          <t>218-2022-07-31</t>
        </is>
      </c>
      <c r="H56" t="inlineStr">
        <is>
          <t>City Campus</t>
        </is>
      </c>
      <c r="I56" t="n">
        <v>172000</v>
      </c>
      <c r="J56" t="n">
        <v>18240</v>
      </c>
      <c r="N56" t="n">
        <v>18240</v>
      </c>
    </row>
    <row r="57">
      <c r="A57" t="n">
        <v>218</v>
      </c>
      <c r="B57" t="inlineStr">
        <is>
          <t>Consumo de Energía Eléctrica kWh Mensual</t>
        </is>
      </c>
      <c r="C57" t="inlineStr">
        <is>
          <t>GESTIÓN AMBIENTAL</t>
        </is>
      </c>
      <c r="D57" t="inlineStr">
        <is>
          <t>Mensual</t>
        </is>
      </c>
      <c r="E57" t="inlineStr">
        <is>
          <t>Negativo</t>
        </is>
      </c>
      <c r="F57" s="105" t="n">
        <v>44773</v>
      </c>
      <c r="G57" t="inlineStr">
        <is>
          <t>218-2022-07-31</t>
        </is>
      </c>
      <c r="H57" t="inlineStr">
        <is>
          <t>Campus-Medellín</t>
        </is>
      </c>
      <c r="I57" t="n">
        <v>172000</v>
      </c>
      <c r="J57" t="n">
        <v>1527</v>
      </c>
      <c r="N57" t="n">
        <v>1527</v>
      </c>
    </row>
    <row r="58">
      <c r="A58" t="n">
        <v>208</v>
      </c>
      <c r="B58" t="inlineStr">
        <is>
          <t>Consumo de Agua m3 Mensual</t>
        </is>
      </c>
      <c r="C58" t="inlineStr">
        <is>
          <t>GESTIÓN AMBIENTAL</t>
        </is>
      </c>
      <c r="D58" t="inlineStr">
        <is>
          <t>Mensual</t>
        </is>
      </c>
      <c r="E58" t="inlineStr">
        <is>
          <t>Negativo</t>
        </is>
      </c>
      <c r="F58" s="105" t="n">
        <v>44804</v>
      </c>
      <c r="G58" t="inlineStr">
        <is>
          <t>208-2022-08-31</t>
        </is>
      </c>
      <c r="H58" t="inlineStr">
        <is>
          <t>Campus Bogotá</t>
        </is>
      </c>
      <c r="I58" t="n">
        <v>1700</v>
      </c>
      <c r="J58" t="n">
        <v>960</v>
      </c>
      <c r="K58" t="n">
        <v>960</v>
      </c>
    </row>
    <row r="59">
      <c r="A59" t="n">
        <v>208</v>
      </c>
      <c r="B59" t="inlineStr">
        <is>
          <t>Consumo de Agua m3 Mensual</t>
        </is>
      </c>
      <c r="C59" t="inlineStr">
        <is>
          <t>GESTIÓN AMBIENTAL</t>
        </is>
      </c>
      <c r="D59" t="inlineStr">
        <is>
          <t>Mensual</t>
        </is>
      </c>
      <c r="E59" t="inlineStr">
        <is>
          <t>Negativo</t>
        </is>
      </c>
      <c r="F59" s="105" t="n">
        <v>44804</v>
      </c>
      <c r="G59" t="inlineStr">
        <is>
          <t>208-2022-08-31</t>
        </is>
      </c>
      <c r="H59" t="inlineStr">
        <is>
          <t>City Campus</t>
        </is>
      </c>
      <c r="I59" t="n">
        <v>1700</v>
      </c>
      <c r="J59" t="n">
        <v>303.5</v>
      </c>
      <c r="K59" t="n">
        <v>303.5</v>
      </c>
    </row>
    <row r="60">
      <c r="A60" t="n">
        <v>208</v>
      </c>
      <c r="B60" t="inlineStr">
        <is>
          <t>Consumo de Agua m3 Mensual</t>
        </is>
      </c>
      <c r="C60" t="inlineStr">
        <is>
          <t>GESTIÓN AMBIENTAL</t>
        </is>
      </c>
      <c r="D60" t="inlineStr">
        <is>
          <t>Mensual</t>
        </is>
      </c>
      <c r="E60" t="inlineStr">
        <is>
          <t>Negativo</t>
        </is>
      </c>
      <c r="F60" s="105" t="n">
        <v>44804</v>
      </c>
      <c r="G60" t="inlineStr">
        <is>
          <t>208-2022-08-31</t>
        </is>
      </c>
      <c r="H60" t="inlineStr">
        <is>
          <t>Campus-Medellín</t>
        </is>
      </c>
      <c r="I60" t="n">
        <v>1700</v>
      </c>
      <c r="J60" t="n">
        <v>65</v>
      </c>
      <c r="K60" t="n">
        <v>65</v>
      </c>
    </row>
    <row r="61">
      <c r="A61" t="n">
        <v>214</v>
      </c>
      <c r="B61" t="inlineStr">
        <is>
          <t>Generación de Residuos Sólidos Mensual</t>
        </is>
      </c>
      <c r="C61" t="inlineStr">
        <is>
          <t>GESTIÓN AMBIENTAL</t>
        </is>
      </c>
      <c r="D61" t="inlineStr">
        <is>
          <t>Mensual</t>
        </is>
      </c>
      <c r="E61" t="inlineStr">
        <is>
          <t>Negativo</t>
        </is>
      </c>
      <c r="F61" s="105" t="n">
        <v>44804</v>
      </c>
      <c r="G61" t="inlineStr">
        <is>
          <t>214-2022-08-31</t>
        </is>
      </c>
      <c r="H61" t="inlineStr">
        <is>
          <t>Campus Bogotá</t>
        </is>
      </c>
      <c r="I61" t="n">
        <v>7500</v>
      </c>
      <c r="J61" t="n">
        <v>383</v>
      </c>
      <c r="L61" t="n">
        <v>0</v>
      </c>
      <c r="M61" t="n">
        <v>383</v>
      </c>
    </row>
    <row r="62">
      <c r="A62" t="n">
        <v>218</v>
      </c>
      <c r="B62" t="inlineStr">
        <is>
          <t>Consumo de Energía Eléctrica kWh Mensual</t>
        </is>
      </c>
      <c r="C62" t="inlineStr">
        <is>
          <t>GESTIÓN AMBIENTAL</t>
        </is>
      </c>
      <c r="D62" t="inlineStr">
        <is>
          <t>Mensual</t>
        </is>
      </c>
      <c r="E62" t="inlineStr">
        <is>
          <t>Negativo</t>
        </is>
      </c>
      <c r="F62" s="105" t="n">
        <v>44804</v>
      </c>
      <c r="G62" t="inlineStr">
        <is>
          <t>218-2022-08-31</t>
        </is>
      </c>
      <c r="H62" t="inlineStr">
        <is>
          <t>Campus Bogotá</t>
        </is>
      </c>
      <c r="I62" t="n">
        <v>172000</v>
      </c>
      <c r="J62" t="n">
        <v>72221</v>
      </c>
      <c r="N62" t="n">
        <v>72221</v>
      </c>
    </row>
    <row r="63">
      <c r="A63" t="n">
        <v>218</v>
      </c>
      <c r="B63" t="inlineStr">
        <is>
          <t>Consumo de Energía Eléctrica kWh Mensual</t>
        </is>
      </c>
      <c r="C63" t="inlineStr">
        <is>
          <t>GESTIÓN AMBIENTAL</t>
        </is>
      </c>
      <c r="D63" t="inlineStr">
        <is>
          <t>Mensual</t>
        </is>
      </c>
      <c r="E63" t="inlineStr">
        <is>
          <t>Negativo</t>
        </is>
      </c>
      <c r="F63" s="105" t="n">
        <v>44804</v>
      </c>
      <c r="G63" t="inlineStr">
        <is>
          <t>218-2022-08-31</t>
        </is>
      </c>
      <c r="H63" t="inlineStr">
        <is>
          <t>City Campus</t>
        </is>
      </c>
      <c r="I63" t="n">
        <v>172000</v>
      </c>
      <c r="J63" t="n">
        <v>84360</v>
      </c>
      <c r="N63" t="n">
        <v>84360</v>
      </c>
    </row>
    <row r="64">
      <c r="A64" t="n">
        <v>218</v>
      </c>
      <c r="B64" t="inlineStr">
        <is>
          <t>Consumo de Energía Eléctrica kWh Mensual</t>
        </is>
      </c>
      <c r="C64" t="inlineStr">
        <is>
          <t>GESTIÓN AMBIENTAL</t>
        </is>
      </c>
      <c r="D64" t="inlineStr">
        <is>
          <t>Mensual</t>
        </is>
      </c>
      <c r="E64" t="inlineStr">
        <is>
          <t>Negativo</t>
        </is>
      </c>
      <c r="F64" s="105" t="n">
        <v>44804</v>
      </c>
      <c r="G64" t="inlineStr">
        <is>
          <t>218-2022-08-31</t>
        </is>
      </c>
      <c r="H64" t="inlineStr">
        <is>
          <t>Campus-Medellín</t>
        </is>
      </c>
      <c r="I64" t="n">
        <v>172000</v>
      </c>
      <c r="J64" t="n">
        <v>16993</v>
      </c>
      <c r="N64" t="n">
        <v>16993</v>
      </c>
    </row>
    <row r="65">
      <c r="A65" t="n">
        <v>208</v>
      </c>
      <c r="B65" t="inlineStr">
        <is>
          <t>Consumo de Agua m3 Mensual</t>
        </is>
      </c>
      <c r="C65" t="inlineStr">
        <is>
          <t>GESTIÓN AMBIENTAL</t>
        </is>
      </c>
      <c r="D65" t="inlineStr">
        <is>
          <t>Mensual</t>
        </is>
      </c>
      <c r="E65" t="inlineStr">
        <is>
          <t>Negativo</t>
        </is>
      </c>
      <c r="F65" s="105" t="n">
        <v>44834</v>
      </c>
      <c r="G65" t="inlineStr">
        <is>
          <t>208-2022-09-30</t>
        </is>
      </c>
      <c r="H65" t="inlineStr">
        <is>
          <t>Campus Bogotá</t>
        </is>
      </c>
      <c r="I65" t="n">
        <v>1700</v>
      </c>
      <c r="J65" t="n">
        <v>1208</v>
      </c>
      <c r="K65" t="n">
        <v>1208</v>
      </c>
    </row>
    <row r="66">
      <c r="A66" t="n">
        <v>208</v>
      </c>
      <c r="B66" t="inlineStr">
        <is>
          <t>Consumo de Agua m3 Mensual</t>
        </is>
      </c>
      <c r="C66" t="inlineStr">
        <is>
          <t>GESTIÓN AMBIENTAL</t>
        </is>
      </c>
      <c r="D66" t="inlineStr">
        <is>
          <t>Mensual</t>
        </is>
      </c>
      <c r="E66" t="inlineStr">
        <is>
          <t>Negativo</t>
        </is>
      </c>
      <c r="F66" s="105" t="n">
        <v>44834</v>
      </c>
      <c r="G66" t="inlineStr">
        <is>
          <t>208-2022-09-30</t>
        </is>
      </c>
      <c r="H66" t="inlineStr">
        <is>
          <t>City Campus</t>
        </is>
      </c>
      <c r="I66" t="n">
        <v>1700</v>
      </c>
      <c r="J66" t="n">
        <v>303.5</v>
      </c>
      <c r="K66" t="n">
        <v>303.5</v>
      </c>
    </row>
    <row r="67">
      <c r="A67" t="n">
        <v>208</v>
      </c>
      <c r="B67" t="inlineStr">
        <is>
          <t>Consumo de Agua m3 Mensual</t>
        </is>
      </c>
      <c r="C67" t="inlineStr">
        <is>
          <t>GESTIÓN AMBIENTAL</t>
        </is>
      </c>
      <c r="D67" t="inlineStr">
        <is>
          <t>Mensual</t>
        </is>
      </c>
      <c r="E67" t="inlineStr">
        <is>
          <t>Negativo</t>
        </is>
      </c>
      <c r="F67" s="105" t="n">
        <v>44834</v>
      </c>
      <c r="G67" t="inlineStr">
        <is>
          <t>208-2022-09-30</t>
        </is>
      </c>
      <c r="H67" t="inlineStr">
        <is>
          <t>Campus-Medellín</t>
        </is>
      </c>
      <c r="I67" t="n">
        <v>1700</v>
      </c>
      <c r="J67" t="n">
        <v>176</v>
      </c>
      <c r="K67" t="n">
        <v>176</v>
      </c>
    </row>
    <row r="68">
      <c r="A68" t="n">
        <v>214</v>
      </c>
      <c r="B68" t="inlineStr">
        <is>
          <t>Generación de Residuos Sólidos Mensual</t>
        </is>
      </c>
      <c r="C68" t="inlineStr">
        <is>
          <t>GESTIÓN AMBIENTAL</t>
        </is>
      </c>
      <c r="D68" t="inlineStr">
        <is>
          <t>Mensual</t>
        </is>
      </c>
      <c r="E68" t="inlineStr">
        <is>
          <t>Negativo</t>
        </is>
      </c>
      <c r="F68" s="105" t="n">
        <v>44834</v>
      </c>
      <c r="G68" t="inlineStr">
        <is>
          <t>214-2022-09-30</t>
        </is>
      </c>
      <c r="H68" t="inlineStr">
        <is>
          <t>Campus Bogotá</t>
        </is>
      </c>
      <c r="I68" t="n">
        <v>7500</v>
      </c>
      <c r="J68" t="n">
        <v>1553</v>
      </c>
      <c r="L68" t="n">
        <v>787</v>
      </c>
      <c r="M68" t="n">
        <v>766</v>
      </c>
    </row>
    <row r="69">
      <c r="A69" t="n">
        <v>218</v>
      </c>
      <c r="B69" t="inlineStr">
        <is>
          <t>Consumo de Energía Eléctrica kWh Mensual</t>
        </is>
      </c>
      <c r="C69" t="inlineStr">
        <is>
          <t>GESTIÓN AMBIENTAL</t>
        </is>
      </c>
      <c r="D69" t="inlineStr">
        <is>
          <t>Mensual</t>
        </is>
      </c>
      <c r="E69" t="inlineStr">
        <is>
          <t>Negativo</t>
        </is>
      </c>
      <c r="F69" s="105" t="n">
        <v>44834</v>
      </c>
      <c r="G69" t="inlineStr">
        <is>
          <t>218-2022-09-30</t>
        </is>
      </c>
      <c r="H69" t="inlineStr">
        <is>
          <t>Campus Bogotá</t>
        </is>
      </c>
      <c r="I69" t="n">
        <v>172000</v>
      </c>
      <c r="J69" t="n">
        <v>70112</v>
      </c>
      <c r="N69" t="n">
        <v>70112</v>
      </c>
    </row>
    <row r="70">
      <c r="A70" t="n">
        <v>218</v>
      </c>
      <c r="B70" t="inlineStr">
        <is>
          <t>Consumo de Energía Eléctrica kWh Mensual</t>
        </is>
      </c>
      <c r="C70" t="inlineStr">
        <is>
          <t>GESTIÓN AMBIENTAL</t>
        </is>
      </c>
      <c r="D70" t="inlineStr">
        <is>
          <t>Mensual</t>
        </is>
      </c>
      <c r="E70" t="inlineStr">
        <is>
          <t>Negativo</t>
        </is>
      </c>
      <c r="F70" s="105" t="n">
        <v>44834</v>
      </c>
      <c r="G70" t="inlineStr">
        <is>
          <t>218-2022-09-30</t>
        </is>
      </c>
      <c r="H70" t="inlineStr">
        <is>
          <t>City Campus</t>
        </is>
      </c>
      <c r="I70" t="n">
        <v>172000</v>
      </c>
      <c r="J70" t="n">
        <v>60420</v>
      </c>
      <c r="N70" t="n">
        <v>60420</v>
      </c>
    </row>
    <row r="71">
      <c r="A71" t="n">
        <v>218</v>
      </c>
      <c r="B71" t="inlineStr">
        <is>
          <t>Consumo de Energía Eléctrica kWh Mensual</t>
        </is>
      </c>
      <c r="C71" t="inlineStr">
        <is>
          <t>GESTIÓN AMBIENTAL</t>
        </is>
      </c>
      <c r="D71" t="inlineStr">
        <is>
          <t>Mensual</t>
        </is>
      </c>
      <c r="E71" t="inlineStr">
        <is>
          <t>Negativo</t>
        </is>
      </c>
      <c r="F71" s="105" t="n">
        <v>44834</v>
      </c>
      <c r="G71" t="inlineStr">
        <is>
          <t>218-2022-09-30</t>
        </is>
      </c>
      <c r="H71" t="inlineStr">
        <is>
          <t>Campus-Medellín</t>
        </is>
      </c>
      <c r="I71" t="n">
        <v>172000</v>
      </c>
      <c r="J71" t="n">
        <v>26843</v>
      </c>
      <c r="N71" t="n">
        <v>26843</v>
      </c>
    </row>
    <row r="72">
      <c r="A72" t="n">
        <v>208</v>
      </c>
      <c r="B72" t="inlineStr">
        <is>
          <t>Consumo de Agua m3 Mensual</t>
        </is>
      </c>
      <c r="C72" t="inlineStr">
        <is>
          <t>GESTIÓN AMBIENTAL</t>
        </is>
      </c>
      <c r="D72" t="inlineStr">
        <is>
          <t>Mensual</t>
        </is>
      </c>
      <c r="E72" t="inlineStr">
        <is>
          <t>Negativo</t>
        </is>
      </c>
      <c r="F72" s="105" t="n">
        <v>44865</v>
      </c>
      <c r="G72" t="inlineStr">
        <is>
          <t>208-2022-10-31</t>
        </is>
      </c>
      <c r="H72" t="inlineStr">
        <is>
          <t>Campus Bogotá</t>
        </is>
      </c>
      <c r="I72" t="n">
        <v>1700</v>
      </c>
      <c r="J72" t="n">
        <v>1199</v>
      </c>
      <c r="K72" t="n">
        <v>1199</v>
      </c>
    </row>
    <row r="73">
      <c r="A73" t="n">
        <v>208</v>
      </c>
      <c r="B73" t="inlineStr">
        <is>
          <t>Consumo de Agua m3 Mensual</t>
        </is>
      </c>
      <c r="C73" t="inlineStr">
        <is>
          <t>GESTIÓN AMBIENTAL</t>
        </is>
      </c>
      <c r="D73" t="inlineStr">
        <is>
          <t>Mensual</t>
        </is>
      </c>
      <c r="E73" t="inlineStr">
        <is>
          <t>Negativo</t>
        </is>
      </c>
      <c r="F73" s="105" t="n">
        <v>44865</v>
      </c>
      <c r="G73" t="inlineStr">
        <is>
          <t>208-2022-10-31</t>
        </is>
      </c>
      <c r="H73" t="inlineStr">
        <is>
          <t>City Campus</t>
        </is>
      </c>
      <c r="I73" t="n">
        <v>1700</v>
      </c>
      <c r="J73" t="n">
        <v>264</v>
      </c>
      <c r="K73" t="n">
        <v>264</v>
      </c>
    </row>
    <row r="74">
      <c r="A74" t="n">
        <v>208</v>
      </c>
      <c r="B74" t="inlineStr">
        <is>
          <t>Consumo de Agua m3 Mensual</t>
        </is>
      </c>
      <c r="C74" t="inlineStr">
        <is>
          <t>GESTIÓN AMBIENTAL</t>
        </is>
      </c>
      <c r="D74" t="inlineStr">
        <is>
          <t>Mensual</t>
        </is>
      </c>
      <c r="E74" t="inlineStr">
        <is>
          <t>Negativo</t>
        </is>
      </c>
      <c r="F74" s="105" t="n">
        <v>44865</v>
      </c>
      <c r="G74" t="inlineStr">
        <is>
          <t>208-2022-10-31</t>
        </is>
      </c>
      <c r="H74" t="inlineStr">
        <is>
          <t>Campus-Medellín</t>
        </is>
      </c>
      <c r="I74" t="n">
        <v>1700</v>
      </c>
      <c r="J74" t="n">
        <v>224</v>
      </c>
      <c r="K74" t="n">
        <v>224</v>
      </c>
    </row>
    <row r="75">
      <c r="A75" t="n">
        <v>214</v>
      </c>
      <c r="B75" t="inlineStr">
        <is>
          <t>Generación de Residuos Sólidos Mensual</t>
        </is>
      </c>
      <c r="C75" t="inlineStr">
        <is>
          <t>GESTIÓN AMBIENTAL</t>
        </is>
      </c>
      <c r="D75" t="inlineStr">
        <is>
          <t>Mensual</t>
        </is>
      </c>
      <c r="E75" t="inlineStr">
        <is>
          <t>Negativo</t>
        </is>
      </c>
      <c r="F75" s="105" t="n">
        <v>44865</v>
      </c>
      <c r="G75" t="inlineStr">
        <is>
          <t>214-2022-10-31</t>
        </is>
      </c>
      <c r="H75" t="inlineStr">
        <is>
          <t>Campus Bogotá</t>
        </is>
      </c>
      <c r="I75" t="n">
        <v>7500</v>
      </c>
      <c r="J75" t="n">
        <v>1236</v>
      </c>
      <c r="L75" t="n">
        <v>699</v>
      </c>
      <c r="M75" t="n">
        <v>537</v>
      </c>
    </row>
    <row r="76">
      <c r="A76" t="n">
        <v>214</v>
      </c>
      <c r="B76" t="inlineStr">
        <is>
          <t>Generación de Residuos Sólidos Mensual</t>
        </is>
      </c>
      <c r="C76" t="inlineStr">
        <is>
          <t>GESTIÓN AMBIENTAL</t>
        </is>
      </c>
      <c r="D76" t="inlineStr">
        <is>
          <t>Mensual</t>
        </is>
      </c>
      <c r="E76" t="inlineStr">
        <is>
          <t>Negativo</t>
        </is>
      </c>
      <c r="F76" s="105" t="n">
        <v>44865</v>
      </c>
      <c r="G76" t="inlineStr">
        <is>
          <t>214-2022-10-31</t>
        </is>
      </c>
      <c r="H76" t="inlineStr">
        <is>
          <t>City Campus</t>
        </is>
      </c>
      <c r="I76" t="n">
        <v>7500</v>
      </c>
      <c r="J76" t="n">
        <v>520</v>
      </c>
      <c r="L76" t="n">
        <v>0</v>
      </c>
      <c r="M76" t="n">
        <v>520</v>
      </c>
    </row>
    <row r="77">
      <c r="A77" t="n">
        <v>218</v>
      </c>
      <c r="B77" t="inlineStr">
        <is>
          <t>Consumo de Energía Eléctrica kWh Mensual</t>
        </is>
      </c>
      <c r="C77" t="inlineStr">
        <is>
          <t>GESTIÓN AMBIENTAL</t>
        </is>
      </c>
      <c r="D77" t="inlineStr">
        <is>
          <t>Mensual</t>
        </is>
      </c>
      <c r="E77" t="inlineStr">
        <is>
          <t>Negativo</t>
        </is>
      </c>
      <c r="F77" s="105" t="n">
        <v>44865</v>
      </c>
      <c r="G77" t="inlineStr">
        <is>
          <t>218-2022-10-31</t>
        </is>
      </c>
      <c r="H77" t="inlineStr">
        <is>
          <t>Campus Bogotá</t>
        </is>
      </c>
      <c r="I77" t="n">
        <v>172000</v>
      </c>
      <c r="J77" t="n">
        <v>68242</v>
      </c>
      <c r="N77" t="n">
        <v>68242</v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GESTIÓN AMBIENTAL</t>
        </is>
      </c>
      <c r="D78" t="inlineStr">
        <is>
          <t>Mensual</t>
        </is>
      </c>
      <c r="E78" t="inlineStr">
        <is>
          <t>Negativo</t>
        </is>
      </c>
      <c r="F78" s="105" t="n">
        <v>44865</v>
      </c>
      <c r="G78" t="inlineStr">
        <is>
          <t>218-2022-10-31</t>
        </is>
      </c>
      <c r="H78" t="inlineStr">
        <is>
          <t>City Campus</t>
        </is>
      </c>
      <c r="I78" t="n">
        <v>172000</v>
      </c>
      <c r="J78" t="n">
        <v>48450</v>
      </c>
      <c r="N78" t="n">
        <v>48450</v>
      </c>
    </row>
    <row r="79">
      <c r="A79" t="n">
        <v>218</v>
      </c>
      <c r="B79" t="inlineStr">
        <is>
          <t>Consumo de Energía Eléctrica kWh Mensual</t>
        </is>
      </c>
      <c r="C79" t="inlineStr">
        <is>
          <t>GESTIÓN AMBIENTAL</t>
        </is>
      </c>
      <c r="D79" t="inlineStr">
        <is>
          <t>Mensual</t>
        </is>
      </c>
      <c r="E79" t="inlineStr">
        <is>
          <t>Negativo</t>
        </is>
      </c>
      <c r="F79" s="105" t="n">
        <v>44865</v>
      </c>
      <c r="G79" t="inlineStr">
        <is>
          <t>218-2022-10-31</t>
        </is>
      </c>
      <c r="H79" t="inlineStr">
        <is>
          <t>Campus-Medellín</t>
        </is>
      </c>
      <c r="I79" t="n">
        <v>172000</v>
      </c>
      <c r="J79" t="n">
        <v>32565</v>
      </c>
      <c r="N79" t="n">
        <v>32565</v>
      </c>
    </row>
    <row r="80">
      <c r="A80" t="n">
        <v>208</v>
      </c>
      <c r="B80" t="inlineStr">
        <is>
          <t>Consumo de Agua m3 Mensual</t>
        </is>
      </c>
      <c r="C80" t="inlineStr">
        <is>
          <t>GESTIÓN AMBIENTAL</t>
        </is>
      </c>
      <c r="D80" t="inlineStr">
        <is>
          <t>Mensual</t>
        </is>
      </c>
      <c r="E80" t="inlineStr">
        <is>
          <t>Negativo</t>
        </is>
      </c>
      <c r="F80" s="105" t="n">
        <v>44895</v>
      </c>
      <c r="G80" t="inlineStr">
        <is>
          <t>208-2022-11-30</t>
        </is>
      </c>
      <c r="H80" t="inlineStr">
        <is>
          <t>Campus Bogotá</t>
        </is>
      </c>
      <c r="I80" t="n">
        <v>1700</v>
      </c>
      <c r="J80" t="n">
        <v>1050</v>
      </c>
      <c r="K80" t="n">
        <v>1050</v>
      </c>
    </row>
    <row r="81">
      <c r="A81" t="n">
        <v>208</v>
      </c>
      <c r="B81" t="inlineStr">
        <is>
          <t>Consumo de Agua m3 Mensual</t>
        </is>
      </c>
      <c r="C81" t="inlineStr">
        <is>
          <t>GESTIÓN AMBIENTAL</t>
        </is>
      </c>
      <c r="D81" t="inlineStr">
        <is>
          <t>Mensual</t>
        </is>
      </c>
      <c r="E81" t="inlineStr">
        <is>
          <t>Negativo</t>
        </is>
      </c>
      <c r="F81" s="105" t="n">
        <v>44895</v>
      </c>
      <c r="G81" t="inlineStr">
        <is>
          <t>208-2022-11-30</t>
        </is>
      </c>
      <c r="H81" t="inlineStr">
        <is>
          <t>City Campus</t>
        </is>
      </c>
      <c r="I81" t="n">
        <v>1700</v>
      </c>
      <c r="J81" t="n">
        <v>264</v>
      </c>
      <c r="K81" t="n">
        <v>264</v>
      </c>
    </row>
    <row r="82">
      <c r="A82" t="n">
        <v>208</v>
      </c>
      <c r="B82" t="inlineStr">
        <is>
          <t>Consumo de Agua m3 Mensual</t>
        </is>
      </c>
      <c r="C82" t="inlineStr">
        <is>
          <t>GESTIÓN AMBIENTAL</t>
        </is>
      </c>
      <c r="D82" t="inlineStr">
        <is>
          <t>Mensual</t>
        </is>
      </c>
      <c r="E82" t="inlineStr">
        <is>
          <t>Negativo</t>
        </is>
      </c>
      <c r="F82" s="105" t="n">
        <v>44895</v>
      </c>
      <c r="G82" t="inlineStr">
        <is>
          <t>208-2022-11-30</t>
        </is>
      </c>
      <c r="H82" t="inlineStr">
        <is>
          <t>Campus-Medellín</t>
        </is>
      </c>
      <c r="I82" t="n">
        <v>1700</v>
      </c>
      <c r="J82" t="n">
        <v>180</v>
      </c>
      <c r="K82" t="n">
        <v>180</v>
      </c>
    </row>
    <row r="83">
      <c r="A83" t="n">
        <v>214</v>
      </c>
      <c r="B83" t="inlineStr">
        <is>
          <t>Generación de Residuos Sólidos Mensual</t>
        </is>
      </c>
      <c r="C83" t="inlineStr">
        <is>
          <t>GESTIÓN AMBIENTAL</t>
        </is>
      </c>
      <c r="D83" t="inlineStr">
        <is>
          <t>Mensual</t>
        </is>
      </c>
      <c r="E83" t="inlineStr">
        <is>
          <t>Negativo</t>
        </is>
      </c>
      <c r="F83" s="105" t="n">
        <v>44895</v>
      </c>
      <c r="G83" t="inlineStr">
        <is>
          <t>214-2022-11-30</t>
        </is>
      </c>
      <c r="H83" t="inlineStr">
        <is>
          <t>Campus Bogotá</t>
        </is>
      </c>
      <c r="I83" t="n">
        <v>7500</v>
      </c>
      <c r="J83" t="n">
        <v>1119</v>
      </c>
      <c r="L83" t="n">
        <v>563</v>
      </c>
      <c r="M83" t="n">
        <v>556</v>
      </c>
    </row>
    <row r="84">
      <c r="A84" t="n">
        <v>214</v>
      </c>
      <c r="B84" t="inlineStr">
        <is>
          <t>Generación de Residuos Sólidos Mensual</t>
        </is>
      </c>
      <c r="C84" t="inlineStr">
        <is>
          <t>GESTIÓN AMBIENTAL</t>
        </is>
      </c>
      <c r="D84" t="inlineStr">
        <is>
          <t>Mensual</t>
        </is>
      </c>
      <c r="E84" t="inlineStr">
        <is>
          <t>Negativo</t>
        </is>
      </c>
      <c r="F84" s="105" t="n">
        <v>44895</v>
      </c>
      <c r="G84" t="inlineStr">
        <is>
          <t>214-2022-11-30</t>
        </is>
      </c>
      <c r="H84" t="inlineStr">
        <is>
          <t>City Campus</t>
        </is>
      </c>
      <c r="I84" t="n">
        <v>7500</v>
      </c>
      <c r="J84" t="n">
        <v>667.7999877929688</v>
      </c>
      <c r="L84" t="n">
        <v>0</v>
      </c>
      <c r="M84" t="n">
        <v>667.8</v>
      </c>
    </row>
    <row r="85">
      <c r="A85" t="n">
        <v>218</v>
      </c>
      <c r="B85" t="inlineStr">
        <is>
          <t>Consumo de Energía Eléctrica kWh Mensual</t>
        </is>
      </c>
      <c r="C85" t="inlineStr">
        <is>
          <t>GESTIÓN AMBIENTAL</t>
        </is>
      </c>
      <c r="D85" t="inlineStr">
        <is>
          <t>Mensual</t>
        </is>
      </c>
      <c r="E85" t="inlineStr">
        <is>
          <t>Negativo</t>
        </is>
      </c>
      <c r="F85" s="105" t="n">
        <v>44895</v>
      </c>
      <c r="G85" t="inlineStr">
        <is>
          <t>218-2022-11-30</t>
        </is>
      </c>
      <c r="H85" t="inlineStr">
        <is>
          <t>Campus Bogotá</t>
        </is>
      </c>
      <c r="I85" t="n">
        <v>172000</v>
      </c>
      <c r="J85" t="n">
        <v>67753</v>
      </c>
      <c r="N85" t="n">
        <v>67753</v>
      </c>
    </row>
    <row r="86">
      <c r="A86" t="n">
        <v>218</v>
      </c>
      <c r="B86" t="inlineStr">
        <is>
          <t>Consumo de Energía Eléctrica kWh Mensual</t>
        </is>
      </c>
      <c r="C86" t="inlineStr">
        <is>
          <t>GESTIÓN AMBIENTAL</t>
        </is>
      </c>
      <c r="D86" t="inlineStr">
        <is>
          <t>Mensual</t>
        </is>
      </c>
      <c r="E86" t="inlineStr">
        <is>
          <t>Negativo</t>
        </is>
      </c>
      <c r="F86" s="105" t="n">
        <v>44895</v>
      </c>
      <c r="G86" t="inlineStr">
        <is>
          <t>218-2022-11-30</t>
        </is>
      </c>
      <c r="H86" t="inlineStr">
        <is>
          <t>City Campus</t>
        </is>
      </c>
      <c r="I86" t="n">
        <v>172000</v>
      </c>
      <c r="J86" t="n">
        <v>48450</v>
      </c>
      <c r="N86" t="n">
        <v>48450</v>
      </c>
    </row>
    <row r="87">
      <c r="A87" t="n">
        <v>218</v>
      </c>
      <c r="B87" t="inlineStr">
        <is>
          <t>Consumo de Energía Eléctrica kWh Mensual</t>
        </is>
      </c>
      <c r="C87" t="inlineStr">
        <is>
          <t>GESTIÓN AMBIENTAL</t>
        </is>
      </c>
      <c r="D87" t="inlineStr">
        <is>
          <t>Mensual</t>
        </is>
      </c>
      <c r="E87" t="inlineStr">
        <is>
          <t>Negativo</t>
        </is>
      </c>
      <c r="F87" s="105" t="n">
        <v>44895</v>
      </c>
      <c r="G87" t="inlineStr">
        <is>
          <t>218-2022-11-30</t>
        </is>
      </c>
      <c r="H87" t="inlineStr">
        <is>
          <t>Campus-Medellín</t>
        </is>
      </c>
      <c r="I87" t="n">
        <v>172000</v>
      </c>
      <c r="J87" t="n">
        <v>28011</v>
      </c>
      <c r="N87" t="n">
        <v>28011</v>
      </c>
    </row>
    <row r="88">
      <c r="A88" t="n">
        <v>208</v>
      </c>
      <c r="B88" t="inlineStr">
        <is>
          <t>Consumo de Agua m3 Mensual</t>
        </is>
      </c>
      <c r="C88" t="inlineStr">
        <is>
          <t>GESTIÓN AMBIENTAL</t>
        </is>
      </c>
      <c r="D88" t="inlineStr">
        <is>
          <t>Mensual</t>
        </is>
      </c>
      <c r="E88" t="inlineStr">
        <is>
          <t>Negativo</t>
        </is>
      </c>
      <c r="F88" s="105" t="n">
        <v>44926</v>
      </c>
      <c r="G88" t="inlineStr">
        <is>
          <t>208-2022-12-31</t>
        </is>
      </c>
      <c r="H88" t="inlineStr">
        <is>
          <t>Campus Bogotá</t>
        </is>
      </c>
      <c r="I88" t="n">
        <v>1700</v>
      </c>
      <c r="J88" t="n">
        <v>469</v>
      </c>
      <c r="K88" t="n">
        <v>469</v>
      </c>
    </row>
    <row r="89">
      <c r="A89" t="n">
        <v>208</v>
      </c>
      <c r="B89" t="inlineStr">
        <is>
          <t>Consumo de Agua m3 Mensual</t>
        </is>
      </c>
      <c r="C89" t="inlineStr">
        <is>
          <t>GESTIÓN AMBIENTAL</t>
        </is>
      </c>
      <c r="D89" t="inlineStr">
        <is>
          <t>Mensual</t>
        </is>
      </c>
      <c r="E89" t="inlineStr">
        <is>
          <t>Negativo</t>
        </is>
      </c>
      <c r="F89" s="105" t="n">
        <v>44926</v>
      </c>
      <c r="G89" t="inlineStr">
        <is>
          <t>208-2022-12-31</t>
        </is>
      </c>
      <c r="H89" t="inlineStr">
        <is>
          <t>City Campus</t>
        </is>
      </c>
      <c r="I89" t="n">
        <v>1700</v>
      </c>
      <c r="J89" t="n">
        <v>348</v>
      </c>
      <c r="K89" t="n">
        <v>348</v>
      </c>
    </row>
    <row r="90">
      <c r="A90" t="n">
        <v>208</v>
      </c>
      <c r="B90" t="inlineStr">
        <is>
          <t>Consumo de Agua m3 Mensual</t>
        </is>
      </c>
      <c r="C90" t="inlineStr">
        <is>
          <t>GESTIÓN AMBIENTAL</t>
        </is>
      </c>
      <c r="D90" t="inlineStr">
        <is>
          <t>Mensual</t>
        </is>
      </c>
      <c r="E90" t="inlineStr">
        <is>
          <t>Negativo</t>
        </is>
      </c>
      <c r="F90" s="105" t="n">
        <v>44926</v>
      </c>
      <c r="G90" t="inlineStr">
        <is>
          <t>208-2022-12-31</t>
        </is>
      </c>
      <c r="H90" t="inlineStr">
        <is>
          <t>Campus-Medellín</t>
        </is>
      </c>
      <c r="I90" t="n">
        <v>1700</v>
      </c>
      <c r="J90" t="n">
        <v>193</v>
      </c>
      <c r="K90" t="n">
        <v>193</v>
      </c>
    </row>
    <row r="91">
      <c r="A91" t="n">
        <v>214</v>
      </c>
      <c r="B91" t="inlineStr">
        <is>
          <t>Generación de Residuos Sólidos Mensual</t>
        </is>
      </c>
      <c r="C91" t="inlineStr">
        <is>
          <t>GESTIÓN AMBIENTAL</t>
        </is>
      </c>
      <c r="D91" t="inlineStr">
        <is>
          <t>Mensual</t>
        </is>
      </c>
      <c r="E91" t="inlineStr">
        <is>
          <t>Negativo</t>
        </is>
      </c>
      <c r="F91" s="105" t="n">
        <v>44926</v>
      </c>
      <c r="G91" t="inlineStr">
        <is>
          <t>214-2022-12-31</t>
        </is>
      </c>
      <c r="H91" t="inlineStr">
        <is>
          <t>Campus Bogotá</t>
        </is>
      </c>
      <c r="I91" t="n">
        <v>7500</v>
      </c>
      <c r="J91" t="n">
        <v>872</v>
      </c>
      <c r="L91" t="n">
        <v>586</v>
      </c>
      <c r="M91" t="n">
        <v>286</v>
      </c>
    </row>
    <row r="92">
      <c r="A92" t="n">
        <v>214</v>
      </c>
      <c r="B92" t="inlineStr">
        <is>
          <t>Generación de Residuos Sólidos Mensual</t>
        </is>
      </c>
      <c r="C92" t="inlineStr">
        <is>
          <t>GESTIÓN AMBIENTAL</t>
        </is>
      </c>
      <c r="D92" t="inlineStr">
        <is>
          <t>Mensual</t>
        </is>
      </c>
      <c r="E92" t="inlineStr">
        <is>
          <t>Negativo</t>
        </is>
      </c>
      <c r="F92" s="105" t="n">
        <v>44926</v>
      </c>
      <c r="G92" t="inlineStr">
        <is>
          <t>214-2022-12-31</t>
        </is>
      </c>
      <c r="H92" t="inlineStr">
        <is>
          <t>City Campus</t>
        </is>
      </c>
      <c r="I92" t="n">
        <v>7500</v>
      </c>
      <c r="J92" t="n">
        <v>266.1499938964844</v>
      </c>
      <c r="L92" t="n">
        <v>0</v>
      </c>
      <c r="M92" t="n">
        <v>266.15</v>
      </c>
    </row>
    <row r="93">
      <c r="A93" t="n">
        <v>218</v>
      </c>
      <c r="B93" t="inlineStr">
        <is>
          <t>Consumo de Energía Eléctrica kWh Mensual</t>
        </is>
      </c>
      <c r="C93" t="inlineStr">
        <is>
          <t>GESTIÓN AMBIENTAL</t>
        </is>
      </c>
      <c r="D93" t="inlineStr">
        <is>
          <t>Mensual</t>
        </is>
      </c>
      <c r="E93" t="inlineStr">
        <is>
          <t>Negativo</t>
        </is>
      </c>
      <c r="F93" s="105" t="n">
        <v>44926</v>
      </c>
      <c r="G93" t="inlineStr">
        <is>
          <t>218-2022-12-31</t>
        </is>
      </c>
      <c r="H93" t="inlineStr">
        <is>
          <t>Campus Bogotá</t>
        </is>
      </c>
      <c r="I93" t="n">
        <v>172000</v>
      </c>
      <c r="J93" t="n">
        <v>52713</v>
      </c>
      <c r="N93" t="n">
        <v>52713</v>
      </c>
    </row>
    <row r="94">
      <c r="A94" t="n">
        <v>218</v>
      </c>
      <c r="B94" t="inlineStr">
        <is>
          <t>Consumo de Energía Eléctrica kWh Mensual</t>
        </is>
      </c>
      <c r="C94" t="inlineStr">
        <is>
          <t>GESTIÓN AMBIENTAL</t>
        </is>
      </c>
      <c r="D94" t="inlineStr">
        <is>
          <t>Mensual</t>
        </is>
      </c>
      <c r="E94" t="inlineStr">
        <is>
          <t>Negativo</t>
        </is>
      </c>
      <c r="F94" s="105" t="n">
        <v>44926</v>
      </c>
      <c r="G94" t="inlineStr">
        <is>
          <t>218-2022-12-31</t>
        </is>
      </c>
      <c r="H94" t="inlineStr">
        <is>
          <t>City Campus</t>
        </is>
      </c>
      <c r="I94" t="n">
        <v>172000</v>
      </c>
      <c r="J94" t="n">
        <v>45030</v>
      </c>
      <c r="N94" t="n">
        <v>45030</v>
      </c>
    </row>
    <row r="95">
      <c r="A95" t="n">
        <v>218</v>
      </c>
      <c r="B95" t="inlineStr">
        <is>
          <t>Consumo de Energía Eléctrica kWh Mensual</t>
        </is>
      </c>
      <c r="C95" t="inlineStr">
        <is>
          <t>GESTIÓN AMBIENTAL</t>
        </is>
      </c>
      <c r="D95" t="inlineStr">
        <is>
          <t>Mensual</t>
        </is>
      </c>
      <c r="E95" t="inlineStr">
        <is>
          <t>Negativo</t>
        </is>
      </c>
      <c r="F95" s="105" t="n">
        <v>44926</v>
      </c>
      <c r="G95" t="inlineStr">
        <is>
          <t>218-2022-12-31</t>
        </is>
      </c>
      <c r="H95" t="inlineStr">
        <is>
          <t>Campus-Medellín</t>
        </is>
      </c>
      <c r="I95" t="n">
        <v>172000</v>
      </c>
      <c r="J95" t="n">
        <v>27821</v>
      </c>
      <c r="N95" t="n">
        <v>27821</v>
      </c>
    </row>
    <row r="96">
      <c r="A96" t="n">
        <v>215</v>
      </c>
      <c r="B96" t="inlineStr">
        <is>
          <t>Disminución de la Generación de Residuos per Cápita</t>
        </is>
      </c>
      <c r="C96" t="inlineStr">
        <is>
          <t>GESTIÓN AMBIENTAL</t>
        </is>
      </c>
      <c r="D96" t="inlineStr">
        <is>
          <t>Trimestral</t>
        </is>
      </c>
      <c r="E96" t="inlineStr">
        <is>
          <t>Positivo</t>
        </is>
      </c>
      <c r="F96" s="105" t="n">
        <v>44926</v>
      </c>
      <c r="G96" t="inlineStr">
        <is>
          <t>215-2022-12-31</t>
        </is>
      </c>
      <c r="H96" t="inlineStr">
        <is>
          <t>Campus Bogotá</t>
        </is>
      </c>
      <c r="I96" t="n">
        <v>1</v>
      </c>
      <c r="J96" t="n">
        <v>-23.6299991607666</v>
      </c>
      <c r="AC96" t="n">
        <v>2.37</v>
      </c>
      <c r="AD96" t="n">
        <v>2.93</v>
      </c>
    </row>
    <row r="97">
      <c r="A97" t="n">
        <v>219</v>
      </c>
      <c r="B97" t="inlineStr">
        <is>
          <t>Disminución del Consumo de Energía Eléctrica per Cápita</t>
        </is>
      </c>
      <c r="C97" t="inlineStr">
        <is>
          <t>GESTIÓN AMBIENTAL</t>
        </is>
      </c>
      <c r="D97" t="inlineStr">
        <is>
          <t>Trimestral</t>
        </is>
      </c>
      <c r="E97" t="inlineStr">
        <is>
          <t>Positivo</t>
        </is>
      </c>
      <c r="F97" s="105" t="n">
        <v>44926</v>
      </c>
      <c r="G97" t="inlineStr">
        <is>
          <t>219-2022-12-31</t>
        </is>
      </c>
      <c r="H97" t="inlineStr">
        <is>
          <t>Campus Bogotá</t>
        </is>
      </c>
      <c r="I97" t="n">
        <v>1</v>
      </c>
      <c r="J97" t="n">
        <v>-66.70999908447266</v>
      </c>
      <c r="O97" t="n">
        <v>1844</v>
      </c>
      <c r="P97" t="n">
        <v>2699</v>
      </c>
      <c r="Q97" t="n">
        <v>9366</v>
      </c>
      <c r="R97" t="n">
        <v>0</v>
      </c>
      <c r="S97" t="n">
        <v>2094</v>
      </c>
      <c r="T97" t="n">
        <v>2617</v>
      </c>
      <c r="U97" t="n">
        <v>18383</v>
      </c>
      <c r="V97" t="n">
        <v>78</v>
      </c>
      <c r="W97" t="n">
        <v>391250</v>
      </c>
      <c r="X97" t="n">
        <v>390991</v>
      </c>
    </row>
    <row r="98">
      <c r="A98" t="n">
        <v>219</v>
      </c>
      <c r="B98" t="inlineStr">
        <is>
          <t>Disminución del Consumo de Energía Eléctrica per Cápita</t>
        </is>
      </c>
      <c r="C98" t="inlineStr">
        <is>
          <t>GESTIÓN AMBIENTAL</t>
        </is>
      </c>
      <c r="D98" t="inlineStr">
        <is>
          <t>Trimestral</t>
        </is>
      </c>
      <c r="E98" t="inlineStr">
        <is>
          <t>Positivo</t>
        </is>
      </c>
      <c r="F98" s="105" t="n">
        <v>44926</v>
      </c>
      <c r="G98" t="inlineStr">
        <is>
          <t>219-2022-12-31</t>
        </is>
      </c>
      <c r="H98" t="inlineStr">
        <is>
          <t>City Campus</t>
        </is>
      </c>
      <c r="I98" t="n">
        <v>1</v>
      </c>
      <c r="J98" t="n">
        <v>-185.9299926757812</v>
      </c>
      <c r="O98" t="n">
        <v>717</v>
      </c>
      <c r="P98" t="n">
        <v>34</v>
      </c>
      <c r="Q98" t="n">
        <v>9553</v>
      </c>
      <c r="R98" t="n">
        <v>2435</v>
      </c>
      <c r="S98" t="n">
        <v>651</v>
      </c>
      <c r="T98" t="n">
        <v>45</v>
      </c>
      <c r="U98" t="n">
        <v>5974</v>
      </c>
      <c r="V98" t="n">
        <v>2317</v>
      </c>
      <c r="W98" t="n">
        <v>304950</v>
      </c>
      <c r="X98" t="n">
        <v>75240</v>
      </c>
    </row>
    <row r="99">
      <c r="A99" t="n">
        <v>219</v>
      </c>
      <c r="B99" t="inlineStr">
        <is>
          <t>Disminución del Consumo de Energía Eléctrica per Cápita</t>
        </is>
      </c>
      <c r="C99" t="inlineStr">
        <is>
          <t>GESTIÓN AMBIENTAL</t>
        </is>
      </c>
      <c r="D99" t="inlineStr">
        <is>
          <t>Trimestral</t>
        </is>
      </c>
      <c r="E99" t="inlineStr">
        <is>
          <t>Positivo</t>
        </is>
      </c>
      <c r="F99" s="105" t="n">
        <v>44926</v>
      </c>
      <c r="G99" t="inlineStr">
        <is>
          <t>219-2022-12-31</t>
        </is>
      </c>
      <c r="H99" t="inlineStr">
        <is>
          <t>Campus-Medellín</t>
        </is>
      </c>
      <c r="I99" t="n">
        <v>1</v>
      </c>
      <c r="J99" t="n">
        <v>-27.46999931335449</v>
      </c>
      <c r="O99" t="n">
        <v>260</v>
      </c>
      <c r="P99" t="n">
        <v>798</v>
      </c>
      <c r="Q99" t="n">
        <v>9398</v>
      </c>
      <c r="R99" t="n">
        <v>105</v>
      </c>
      <c r="S99" t="n">
        <v>277</v>
      </c>
      <c r="T99" t="n">
        <v>815</v>
      </c>
      <c r="U99" t="n">
        <v>11401</v>
      </c>
      <c r="V99" t="n">
        <v>88</v>
      </c>
      <c r="W99" t="n">
        <v>133760</v>
      </c>
      <c r="X99" t="n">
        <v>125003</v>
      </c>
    </row>
    <row r="100">
      <c r="A100" t="n">
        <v>220</v>
      </c>
      <c r="B100" t="inlineStr">
        <is>
          <t>Disminución del Consumo de Agua per Cápita</t>
        </is>
      </c>
      <c r="C100" t="inlineStr">
        <is>
          <t>GESTIÓN AMBIENTAL</t>
        </is>
      </c>
      <c r="D100" t="inlineStr">
        <is>
          <t>Trimestral</t>
        </is>
      </c>
      <c r="E100" t="inlineStr">
        <is>
          <t>Positivo</t>
        </is>
      </c>
      <c r="F100" s="105" t="n">
        <v>44926</v>
      </c>
      <c r="G100" t="inlineStr">
        <is>
          <t>220-2022-12-31</t>
        </is>
      </c>
      <c r="H100" t="inlineStr">
        <is>
          <t>Campus Bogotá</t>
        </is>
      </c>
      <c r="I100" t="n">
        <v>1</v>
      </c>
      <c r="J100" t="n">
        <v>-136.6000061035156</v>
      </c>
      <c r="O100" t="n">
        <v>1844</v>
      </c>
      <c r="P100" t="n">
        <v>2699</v>
      </c>
      <c r="Q100" t="n">
        <v>9366</v>
      </c>
      <c r="R100" t="n">
        <v>0</v>
      </c>
      <c r="S100" t="n">
        <v>2094</v>
      </c>
      <c r="T100" t="n">
        <v>2617</v>
      </c>
      <c r="U100" t="n">
        <v>18383</v>
      </c>
      <c r="V100" t="n">
        <v>78</v>
      </c>
      <c r="Y100" t="n">
        <v>5776</v>
      </c>
      <c r="Z100" t="n">
        <v>4067</v>
      </c>
    </row>
    <row r="101">
      <c r="A101" t="n">
        <v>220</v>
      </c>
      <c r="B101" t="inlineStr">
        <is>
          <t>Disminución del Consumo de Agua per Cápita</t>
        </is>
      </c>
      <c r="C101" t="inlineStr">
        <is>
          <t>GESTIÓN AMBIENTAL</t>
        </is>
      </c>
      <c r="D101" t="inlineStr">
        <is>
          <t>Trimestral</t>
        </is>
      </c>
      <c r="E101" t="inlineStr">
        <is>
          <t>Positivo</t>
        </is>
      </c>
      <c r="F101" s="105" t="n">
        <v>44926</v>
      </c>
      <c r="G101" t="inlineStr">
        <is>
          <t>220-2022-12-31</t>
        </is>
      </c>
      <c r="H101" t="inlineStr">
        <is>
          <t>City Campus</t>
        </is>
      </c>
      <c r="I101" t="n">
        <v>1</v>
      </c>
      <c r="J101" t="n">
        <v>-78.51999664306641</v>
      </c>
      <c r="O101" t="n">
        <v>717</v>
      </c>
      <c r="P101" t="n">
        <v>34</v>
      </c>
      <c r="Q101" t="n">
        <v>9553</v>
      </c>
      <c r="R101" t="n">
        <v>2435</v>
      </c>
      <c r="S101" t="n">
        <v>651</v>
      </c>
      <c r="T101" t="n">
        <v>45</v>
      </c>
      <c r="U101" t="n">
        <v>5974</v>
      </c>
      <c r="V101" t="n">
        <v>2317</v>
      </c>
      <c r="Y101" t="n">
        <v>2194</v>
      </c>
      <c r="Z101" t="n">
        <v>867</v>
      </c>
    </row>
    <row r="102">
      <c r="A102" t="n">
        <v>220</v>
      </c>
      <c r="B102" t="inlineStr">
        <is>
          <t>Disminución del Consumo de Agua per Cápita</t>
        </is>
      </c>
      <c r="C102" t="inlineStr">
        <is>
          <t>GESTIÓN AMBIENTAL</t>
        </is>
      </c>
      <c r="D102" t="inlineStr">
        <is>
          <t>Trimestral</t>
        </is>
      </c>
      <c r="E102" t="inlineStr">
        <is>
          <t>Positivo</t>
        </is>
      </c>
      <c r="F102" s="105" t="n">
        <v>44926</v>
      </c>
      <c r="G102" t="inlineStr">
        <is>
          <t>220-2022-12-31</t>
        </is>
      </c>
      <c r="H102" t="inlineStr">
        <is>
          <t>Campus-Medellín</t>
        </is>
      </c>
      <c r="I102" t="n">
        <v>1</v>
      </c>
      <c r="J102" t="n">
        <v>-35.59999847412109</v>
      </c>
      <c r="O102" t="n">
        <v>260</v>
      </c>
      <c r="P102" t="n">
        <v>798</v>
      </c>
      <c r="Q102" t="n">
        <v>9398</v>
      </c>
      <c r="R102" t="n">
        <v>105</v>
      </c>
      <c r="S102" t="n">
        <v>277</v>
      </c>
      <c r="T102" t="n">
        <v>815</v>
      </c>
      <c r="U102" t="n">
        <v>11401</v>
      </c>
      <c r="V102" t="n">
        <v>88</v>
      </c>
      <c r="Y102" t="n">
        <v>955</v>
      </c>
      <c r="Z102" t="n">
        <v>839</v>
      </c>
    </row>
    <row r="103">
      <c r="A103" t="n">
        <v>427</v>
      </c>
      <c r="B103" t="inlineStr">
        <is>
          <t>Consumo de Agua per Cápita Semestral</t>
        </is>
      </c>
      <c r="C103" t="inlineStr">
        <is>
          <t>GESTIÓN AMBIENTAL</t>
        </is>
      </c>
      <c r="D103" t="inlineStr">
        <is>
          <t>Trimestral</t>
        </is>
      </c>
      <c r="E103" t="inlineStr">
        <is>
          <t>Negativo</t>
        </is>
      </c>
      <c r="F103" s="105" t="n">
        <v>44926</v>
      </c>
      <c r="G103" t="inlineStr">
        <is>
          <t>427-2022-12-31</t>
        </is>
      </c>
      <c r="H103" t="inlineStr">
        <is>
          <t>Campus Bogotá</t>
        </is>
      </c>
      <c r="I103" t="n">
        <v>0.3</v>
      </c>
      <c r="J103" t="n">
        <v>0.4199999868869781</v>
      </c>
      <c r="O103" t="n">
        <v>1844</v>
      </c>
      <c r="P103" t="n">
        <v>2699</v>
      </c>
      <c r="Q103" t="n">
        <v>9366</v>
      </c>
      <c r="R103" t="n">
        <v>0</v>
      </c>
      <c r="Y103" t="n">
        <v>5776</v>
      </c>
    </row>
    <row r="104">
      <c r="A104" t="n">
        <v>427</v>
      </c>
      <c r="B104" t="inlineStr">
        <is>
          <t>Consumo de Agua per Cápita Semestral</t>
        </is>
      </c>
      <c r="C104" t="inlineStr">
        <is>
          <t>GESTIÓN AMBIENTAL</t>
        </is>
      </c>
      <c r="D104" t="inlineStr">
        <is>
          <t>Trimestral</t>
        </is>
      </c>
      <c r="E104" t="inlineStr">
        <is>
          <t>Negativo</t>
        </is>
      </c>
      <c r="F104" s="105" t="n">
        <v>44926</v>
      </c>
      <c r="G104" t="inlineStr">
        <is>
          <t>427-2022-12-31</t>
        </is>
      </c>
      <c r="H104" t="inlineStr">
        <is>
          <t>City Campus</t>
        </is>
      </c>
      <c r="I104" t="n">
        <v>0.15</v>
      </c>
      <c r="J104" t="n">
        <v>0.1700000017881393</v>
      </c>
      <c r="O104" t="n">
        <v>717</v>
      </c>
      <c r="P104" t="n">
        <v>34</v>
      </c>
      <c r="Q104" t="n">
        <v>9553</v>
      </c>
      <c r="R104" t="n">
        <v>2435</v>
      </c>
      <c r="Y104" t="n">
        <v>2194</v>
      </c>
    </row>
    <row r="105">
      <c r="A105" t="n">
        <v>427</v>
      </c>
      <c r="B105" t="inlineStr">
        <is>
          <t>Consumo de Agua per Cápita Semestral</t>
        </is>
      </c>
      <c r="C105" t="inlineStr">
        <is>
          <t>GESTIÓN AMBIENTAL</t>
        </is>
      </c>
      <c r="D105" t="inlineStr">
        <is>
          <t>Trimestral</t>
        </is>
      </c>
      <c r="E105" t="inlineStr">
        <is>
          <t>Negativo</t>
        </is>
      </c>
      <c r="F105" s="105" t="n">
        <v>44926</v>
      </c>
      <c r="G105" t="inlineStr">
        <is>
          <t>427-2022-12-31</t>
        </is>
      </c>
      <c r="H105" t="inlineStr">
        <is>
          <t>Campus-Medellín</t>
        </is>
      </c>
      <c r="I105" t="n">
        <v>0.1</v>
      </c>
      <c r="J105" t="n">
        <v>0.09000000357627869</v>
      </c>
      <c r="O105" t="n">
        <v>260</v>
      </c>
      <c r="P105" t="n">
        <v>798</v>
      </c>
      <c r="Q105" t="n">
        <v>9398</v>
      </c>
      <c r="R105" t="n">
        <v>105</v>
      </c>
      <c r="Y105" t="n">
        <v>955</v>
      </c>
    </row>
    <row r="106">
      <c r="A106" t="n">
        <v>428</v>
      </c>
      <c r="B106" t="inlineStr">
        <is>
          <t>Consumo de Energía Eléctrica per Cápita Semestral</t>
        </is>
      </c>
      <c r="C106" t="inlineStr">
        <is>
          <t>GESTIÓN AMBIENTAL</t>
        </is>
      </c>
      <c r="D106" t="inlineStr">
        <is>
          <t>Trimestral</t>
        </is>
      </c>
      <c r="E106" t="inlineStr">
        <is>
          <t>Negativo</t>
        </is>
      </c>
      <c r="F106" s="105" t="n">
        <v>44926</v>
      </c>
      <c r="G106" t="inlineStr">
        <is>
          <t>428-2022-12-31</t>
        </is>
      </c>
      <c r="H106" t="inlineStr">
        <is>
          <t>Campus Bogotá</t>
        </is>
      </c>
      <c r="I106" t="n">
        <v>22</v>
      </c>
      <c r="J106" t="n">
        <v>28.1299991607666</v>
      </c>
      <c r="O106" t="n">
        <v>1844</v>
      </c>
      <c r="P106" t="n">
        <v>2699</v>
      </c>
      <c r="Q106" t="n">
        <v>9366</v>
      </c>
      <c r="R106" t="n">
        <v>0</v>
      </c>
      <c r="W106" t="n">
        <v>391250</v>
      </c>
    </row>
    <row r="107">
      <c r="A107" t="n">
        <v>428</v>
      </c>
      <c r="B107" t="inlineStr">
        <is>
          <t>Consumo de Energía Eléctrica per Cápita Semestral</t>
        </is>
      </c>
      <c r="C107" t="inlineStr">
        <is>
          <t>GESTIÓN AMBIENTAL</t>
        </is>
      </c>
      <c r="D107" t="inlineStr">
        <is>
          <t>Trimestral</t>
        </is>
      </c>
      <c r="E107" t="inlineStr">
        <is>
          <t>Negativo</t>
        </is>
      </c>
      <c r="F107" s="105" t="n">
        <v>44926</v>
      </c>
      <c r="G107" t="inlineStr">
        <is>
          <t>428-2022-12-31</t>
        </is>
      </c>
      <c r="H107" t="inlineStr">
        <is>
          <t>City Campus</t>
        </is>
      </c>
      <c r="I107" t="n">
        <v>25</v>
      </c>
      <c r="J107" t="n">
        <v>23.94000053405762</v>
      </c>
      <c r="O107" t="n">
        <v>717</v>
      </c>
      <c r="P107" t="n">
        <v>34</v>
      </c>
      <c r="Q107" t="n">
        <v>9553</v>
      </c>
      <c r="R107" t="n">
        <v>2435</v>
      </c>
      <c r="W107" t="n">
        <v>304950</v>
      </c>
    </row>
    <row r="108">
      <c r="A108" t="n">
        <v>428</v>
      </c>
      <c r="B108" t="inlineStr">
        <is>
          <t>Consumo de Energía Eléctrica per Cápita Semestral</t>
        </is>
      </c>
      <c r="C108" t="inlineStr">
        <is>
          <t>GESTIÓN AMBIENTAL</t>
        </is>
      </c>
      <c r="D108" t="inlineStr">
        <is>
          <t>Trimestral</t>
        </is>
      </c>
      <c r="E108" t="inlineStr">
        <is>
          <t>Negativo</t>
        </is>
      </c>
      <c r="F108" s="105" t="n">
        <v>44926</v>
      </c>
      <c r="G108" t="inlineStr">
        <is>
          <t>428-2022-12-31</t>
        </is>
      </c>
      <c r="H108" t="inlineStr">
        <is>
          <t>Campus-Medellín</t>
        </is>
      </c>
      <c r="I108" t="n">
        <v>11</v>
      </c>
      <c r="J108" t="n">
        <v>12.67000007629395</v>
      </c>
      <c r="O108" t="n">
        <v>260</v>
      </c>
      <c r="P108" t="n">
        <v>798</v>
      </c>
      <c r="Q108" t="n">
        <v>9398</v>
      </c>
      <c r="R108" t="n">
        <v>105</v>
      </c>
      <c r="W108" t="n">
        <v>133760</v>
      </c>
    </row>
    <row r="109">
      <c r="A109" t="n">
        <v>429</v>
      </c>
      <c r="B109" t="inlineStr">
        <is>
          <t>Generación de Residuos Sólidos per Cápita Semestral</t>
        </is>
      </c>
      <c r="C109" t="inlineStr">
        <is>
          <t>GESTIÓN AMBIENTAL</t>
        </is>
      </c>
      <c r="D109" t="inlineStr">
        <is>
          <t>Trimestral</t>
        </is>
      </c>
      <c r="E109" t="inlineStr">
        <is>
          <t>Negativo</t>
        </is>
      </c>
      <c r="F109" s="105" t="n">
        <v>44926</v>
      </c>
      <c r="G109" t="inlineStr">
        <is>
          <t>429-2022-12-31</t>
        </is>
      </c>
      <c r="H109" t="inlineStr">
        <is>
          <t>Campus Bogotá</t>
        </is>
      </c>
      <c r="I109" t="n">
        <v>0.4</v>
      </c>
      <c r="J109" t="n">
        <v>0.4199999868869781</v>
      </c>
      <c r="O109" t="n">
        <v>1844</v>
      </c>
      <c r="P109" t="n">
        <v>2699</v>
      </c>
      <c r="Q109" t="n">
        <v>9366</v>
      </c>
      <c r="R109" t="n">
        <v>0</v>
      </c>
      <c r="AA109" t="n">
        <v>3063</v>
      </c>
      <c r="AB109" t="n">
        <v>2825</v>
      </c>
    </row>
    <row r="110">
      <c r="A110" t="n">
        <v>429</v>
      </c>
      <c r="B110" t="inlineStr">
        <is>
          <t>Generación de Residuos Sólidos per Cápita Semestral</t>
        </is>
      </c>
      <c r="C110" t="inlineStr">
        <is>
          <t>GESTIÓN AMBIENTAL</t>
        </is>
      </c>
      <c r="D110" t="inlineStr">
        <is>
          <t>Trimestral</t>
        </is>
      </c>
      <c r="E110" t="inlineStr">
        <is>
          <t>Negativo</t>
        </is>
      </c>
      <c r="F110" s="105" t="n">
        <v>44926</v>
      </c>
      <c r="G110" t="inlineStr">
        <is>
          <t>429-2022-12-31</t>
        </is>
      </c>
      <c r="H110" t="inlineStr">
        <is>
          <t>City Campus</t>
        </is>
      </c>
      <c r="I110" t="n">
        <v>0.38</v>
      </c>
      <c r="J110" t="n">
        <v>0.1099999994039536</v>
      </c>
      <c r="O110" t="n">
        <v>717</v>
      </c>
      <c r="P110" t="n">
        <v>34</v>
      </c>
      <c r="Q110" t="n">
        <v>9553</v>
      </c>
      <c r="R110" t="n">
        <v>2435</v>
      </c>
      <c r="AA110" t="n">
        <v>0</v>
      </c>
      <c r="AB110" t="n">
        <v>1453.95</v>
      </c>
    </row>
    <row r="111">
      <c r="A111" t="n">
        <v>216</v>
      </c>
      <c r="B111" t="inlineStr">
        <is>
          <t>Disposición Ambientalmente Adecuada de Residuos Peligrosos</t>
        </is>
      </c>
      <c r="C111" t="inlineStr">
        <is>
          <t>GESTIÓN AMBIENTAL</t>
        </is>
      </c>
      <c r="D111" t="inlineStr">
        <is>
          <t>Anual</t>
        </is>
      </c>
      <c r="E111" t="inlineStr">
        <is>
          <t>Positivo</t>
        </is>
      </c>
      <c r="F111" s="105" t="n">
        <v>44926</v>
      </c>
      <c r="G111" t="inlineStr">
        <is>
          <t>216-2022-12-31</t>
        </is>
      </c>
      <c r="H111" t="inlineStr">
        <is>
          <t>Campus Bogotá</t>
        </is>
      </c>
      <c r="I111" t="n">
        <v>100</v>
      </c>
      <c r="J111" t="n">
        <v>100</v>
      </c>
      <c r="AE111" t="n">
        <v>1067</v>
      </c>
      <c r="AF111" t="n">
        <v>1067</v>
      </c>
    </row>
    <row r="112">
      <c r="A112" t="n">
        <v>216</v>
      </c>
      <c r="B112" t="inlineStr">
        <is>
          <t>Disposición Ambientalmente Adecuada de Residuos Peligrosos</t>
        </is>
      </c>
      <c r="C112" t="inlineStr">
        <is>
          <t>GESTIÓN AMBIENTAL</t>
        </is>
      </c>
      <c r="D112" t="inlineStr">
        <is>
          <t>Anual</t>
        </is>
      </c>
      <c r="E112" t="inlineStr">
        <is>
          <t>Positivo</t>
        </is>
      </c>
      <c r="F112" s="105" t="n">
        <v>44926</v>
      </c>
      <c r="G112" t="inlineStr">
        <is>
          <t>216-2022-12-31</t>
        </is>
      </c>
      <c r="H112" t="inlineStr">
        <is>
          <t>City Campus</t>
        </is>
      </c>
      <c r="I112" t="n">
        <v>100</v>
      </c>
      <c r="J112" t="n">
        <v>100</v>
      </c>
      <c r="AE112" t="n">
        <v>14.08</v>
      </c>
      <c r="AF112" t="n">
        <v>14.08</v>
      </c>
    </row>
    <row r="113">
      <c r="A113" t="n">
        <v>216</v>
      </c>
      <c r="B113" t="inlineStr">
        <is>
          <t>Disposición Ambientalmente Adecuada de Residuos Peligrosos</t>
        </is>
      </c>
      <c r="C113" t="inlineStr">
        <is>
          <t>GESTIÓN AMBIENTAL</t>
        </is>
      </c>
      <c r="D113" t="inlineStr">
        <is>
          <t>Anual</t>
        </is>
      </c>
      <c r="E113" t="inlineStr">
        <is>
          <t>Positivo</t>
        </is>
      </c>
      <c r="F113" s="105" t="n">
        <v>44926</v>
      </c>
      <c r="G113" t="inlineStr">
        <is>
          <t>216-2022-12-31</t>
        </is>
      </c>
      <c r="H113" t="inlineStr">
        <is>
          <t>Campus-Medellín</t>
        </is>
      </c>
      <c r="I113" t="n">
        <v>100</v>
      </c>
      <c r="J113" t="n">
        <v>100</v>
      </c>
      <c r="AE113" t="n">
        <v>60.81</v>
      </c>
      <c r="AF113" t="n">
        <v>60.81</v>
      </c>
    </row>
    <row r="114">
      <c r="A114" t="n">
        <v>221</v>
      </c>
      <c r="B114" t="inlineStr">
        <is>
          <t>Riesgo de la Calidad del Agua Potable</t>
        </is>
      </c>
      <c r="C114" t="inlineStr">
        <is>
          <t>GESTIÓN AMBIENTAL</t>
        </is>
      </c>
      <c r="D114" t="inlineStr">
        <is>
          <t>Anual</t>
        </is>
      </c>
      <c r="E114" t="inlineStr">
        <is>
          <t>Positivo</t>
        </is>
      </c>
      <c r="F114" s="105" t="n">
        <v>44926</v>
      </c>
      <c r="G114" t="inlineStr">
        <is>
          <t>221-2022-12-31</t>
        </is>
      </c>
      <c r="H114" t="inlineStr">
        <is>
          <t>Campus Bogotá</t>
        </is>
      </c>
      <c r="I114" t="n">
        <v>100</v>
      </c>
      <c r="J114" t="n">
        <v>100</v>
      </c>
      <c r="AG114" t="n">
        <v>10</v>
      </c>
      <c r="AH114" t="n">
        <v>10</v>
      </c>
    </row>
    <row r="115">
      <c r="A115" t="n">
        <v>221</v>
      </c>
      <c r="B115" t="inlineStr">
        <is>
          <t>Riesgo de la Calidad del Agua Potable</t>
        </is>
      </c>
      <c r="C115" t="inlineStr">
        <is>
          <t>GESTIÓN AMBIENTAL</t>
        </is>
      </c>
      <c r="D115" t="inlineStr">
        <is>
          <t>Anual</t>
        </is>
      </c>
      <c r="E115" t="inlineStr">
        <is>
          <t>Positivo</t>
        </is>
      </c>
      <c r="F115" s="105" t="n">
        <v>44926</v>
      </c>
      <c r="G115" t="inlineStr">
        <is>
          <t>221-2022-12-31</t>
        </is>
      </c>
      <c r="H115" t="inlineStr">
        <is>
          <t>City Campus</t>
        </is>
      </c>
      <c r="I115" t="n">
        <v>100</v>
      </c>
      <c r="J115" t="n">
        <v>100</v>
      </c>
      <c r="AG115" t="n">
        <v>4</v>
      </c>
      <c r="AH115" t="n">
        <v>4</v>
      </c>
    </row>
    <row r="116">
      <c r="A116" t="n">
        <v>222</v>
      </c>
      <c r="B116" t="inlineStr">
        <is>
          <t>Calidad de las Aguas Residuales Domesticas</t>
        </is>
      </c>
      <c r="C116" t="inlineStr">
        <is>
          <t>GESTIÓN AMBIENTAL</t>
        </is>
      </c>
      <c r="D116" t="inlineStr">
        <is>
          <t>Anual</t>
        </is>
      </c>
      <c r="E116" t="inlineStr">
        <is>
          <t>Positivo</t>
        </is>
      </c>
      <c r="F116" s="105" t="n">
        <v>44926</v>
      </c>
      <c r="G116" t="inlineStr">
        <is>
          <t>222-2022-12-31</t>
        </is>
      </c>
      <c r="H116" t="inlineStr">
        <is>
          <t>Campus Bogotá</t>
        </is>
      </c>
      <c r="I116" t="n">
        <v>90</v>
      </c>
      <c r="J116" t="n">
        <v>93.75</v>
      </c>
      <c r="AI116" t="n">
        <v>30</v>
      </c>
      <c r="AJ116" t="n">
        <v>32</v>
      </c>
    </row>
    <row r="117">
      <c r="A117" t="n">
        <v>224</v>
      </c>
      <c r="B117" t="inlineStr">
        <is>
          <t>Cumplimiento Nivel de Emisión de Ruido</t>
        </is>
      </c>
      <c r="C117" t="inlineStr">
        <is>
          <t>GESTIÓN AMBIENTAL</t>
        </is>
      </c>
      <c r="D117" t="inlineStr">
        <is>
          <t>Anual</t>
        </is>
      </c>
      <c r="E117" t="inlineStr">
        <is>
          <t>Positivo</t>
        </is>
      </c>
      <c r="F117" s="105" t="n">
        <v>44926</v>
      </c>
      <c r="G117" t="inlineStr">
        <is>
          <t>224-2022-12-31</t>
        </is>
      </c>
      <c r="H117" t="inlineStr">
        <is>
          <t>Campus Bogotá</t>
        </is>
      </c>
      <c r="I117" t="n">
        <v>100</v>
      </c>
      <c r="J117" t="n">
        <v>81.81999969482422</v>
      </c>
      <c r="AK117" t="n">
        <v>9</v>
      </c>
      <c r="AL117" t="n">
        <v>11</v>
      </c>
    </row>
    <row r="118">
      <c r="A118" t="n">
        <v>224</v>
      </c>
      <c r="B118" t="inlineStr">
        <is>
          <t>Cumplimiento Nivel de Emisión de Ruido</t>
        </is>
      </c>
      <c r="C118" t="inlineStr">
        <is>
          <t>GESTIÓN AMBIENTAL</t>
        </is>
      </c>
      <c r="D118" t="inlineStr">
        <is>
          <t>Anual</t>
        </is>
      </c>
      <c r="E118" t="inlineStr">
        <is>
          <t>Positivo</t>
        </is>
      </c>
      <c r="F118" s="105" t="n">
        <v>44926</v>
      </c>
      <c r="G118" t="inlineStr">
        <is>
          <t>224-2022-12-31</t>
        </is>
      </c>
      <c r="H118" t="inlineStr">
        <is>
          <t>City Campus</t>
        </is>
      </c>
      <c r="I118" t="n">
        <v>100</v>
      </c>
      <c r="J118" t="n">
        <v>33.33000183105469</v>
      </c>
      <c r="AK118" t="n">
        <v>1</v>
      </c>
      <c r="AL118" t="n">
        <v>3</v>
      </c>
    </row>
    <row r="119">
      <c r="A119" t="n">
        <v>226</v>
      </c>
      <c r="B119" t="inlineStr">
        <is>
          <t>Generación de Gases de Efecto Invernadero</t>
        </is>
      </c>
      <c r="C119" t="inlineStr">
        <is>
          <t>GESTIÓN AMBIENTAL</t>
        </is>
      </c>
      <c r="D119" t="inlineStr">
        <is>
          <t>Anual</t>
        </is>
      </c>
      <c r="E119" t="inlineStr">
        <is>
          <t>Positivo</t>
        </is>
      </c>
      <c r="F119" s="105" t="n">
        <v>44926</v>
      </c>
      <c r="G119" t="inlineStr">
        <is>
          <t>226-2022-12-31</t>
        </is>
      </c>
      <c r="H119" t="inlineStr">
        <is>
          <t>City Campus</t>
        </is>
      </c>
      <c r="I119" t="n">
        <v>2</v>
      </c>
      <c r="J119" t="n">
        <v>105.1900024414062</v>
      </c>
      <c r="AM119" t="n">
        <v>105.19</v>
      </c>
    </row>
    <row r="120">
      <c r="A120" t="n">
        <v>226</v>
      </c>
      <c r="B120" t="inlineStr">
        <is>
          <t>Generación de Gases de Efecto Invernadero</t>
        </is>
      </c>
      <c r="C120" t="inlineStr">
        <is>
          <t>GESTIÓN AMBIENTAL</t>
        </is>
      </c>
      <c r="D120" t="inlineStr">
        <is>
          <t>Anual</t>
        </is>
      </c>
      <c r="E120" t="inlineStr">
        <is>
          <t>Positivo</t>
        </is>
      </c>
      <c r="F120" s="105" t="n">
        <v>44926</v>
      </c>
      <c r="G120" t="inlineStr">
        <is>
          <t>226-2022-12-31</t>
        </is>
      </c>
      <c r="H120" t="inlineStr">
        <is>
          <t>Campus Bogotá</t>
        </is>
      </c>
      <c r="I120" t="n">
        <v>2</v>
      </c>
      <c r="J120" t="n">
        <v>268.6499938964844</v>
      </c>
      <c r="AM120" t="n">
        <v>268.65</v>
      </c>
    </row>
    <row r="121">
      <c r="A121" t="n">
        <v>226</v>
      </c>
      <c r="B121" t="inlineStr">
        <is>
          <t>Generación de Gases de Efecto Invernadero</t>
        </is>
      </c>
      <c r="C121" t="inlineStr">
        <is>
          <t>GESTIÓN AMBIENTAL</t>
        </is>
      </c>
      <c r="D121" t="inlineStr">
        <is>
          <t>Anual</t>
        </is>
      </c>
      <c r="E121" t="inlineStr">
        <is>
          <t>Positivo</t>
        </is>
      </c>
      <c r="F121" s="105" t="n">
        <v>44926</v>
      </c>
      <c r="G121" t="inlineStr">
        <is>
          <t>226-2022-12-31</t>
        </is>
      </c>
      <c r="H121" t="inlineStr">
        <is>
          <t>Sede Bienestar - Medellín</t>
        </is>
      </c>
      <c r="I121" t="n">
        <v>2</v>
      </c>
      <c r="J121" t="n">
        <v>4.829999923706055</v>
      </c>
      <c r="AM121" t="n">
        <v>4.83</v>
      </c>
    </row>
    <row r="122">
      <c r="A122" t="n">
        <v>226</v>
      </c>
      <c r="B122" t="inlineStr">
        <is>
          <t>Generación de Gases de Efecto Invernadero</t>
        </is>
      </c>
      <c r="C122" t="inlineStr">
        <is>
          <t>GESTIÓN AMBIENTAL</t>
        </is>
      </c>
      <c r="D122" t="inlineStr">
        <is>
          <t>Anual</t>
        </is>
      </c>
      <c r="E122" t="inlineStr">
        <is>
          <t>Positivo</t>
        </is>
      </c>
      <c r="F122" s="105" t="n">
        <v>44926</v>
      </c>
      <c r="G122" t="inlineStr">
        <is>
          <t>226-2022-12-31</t>
        </is>
      </c>
      <c r="H122" t="inlineStr">
        <is>
          <t>Campus-Medellín</t>
        </is>
      </c>
      <c r="I122" t="n">
        <v>2</v>
      </c>
      <c r="J122" t="n">
        <v>97.81999969482422</v>
      </c>
      <c r="AM122" t="n">
        <v>97.81999999999999</v>
      </c>
    </row>
    <row r="123">
      <c r="A123" t="n">
        <v>227</v>
      </c>
      <c r="B123" t="inlineStr">
        <is>
          <t>Generación de  Gases de Efecto Invernadero per Cápita</t>
        </is>
      </c>
      <c r="C123" t="inlineStr">
        <is>
          <t>GESTIÓN AMBIENTAL</t>
        </is>
      </c>
      <c r="D123" t="inlineStr">
        <is>
          <t>Anual</t>
        </is>
      </c>
      <c r="E123" t="inlineStr">
        <is>
          <t>Negativo</t>
        </is>
      </c>
      <c r="F123" s="105" t="n">
        <v>44926</v>
      </c>
      <c r="G123" t="inlineStr">
        <is>
          <t>227-2022-12-31</t>
        </is>
      </c>
      <c r="H123" t="inlineStr">
        <is>
          <t>Campus Bogotá</t>
        </is>
      </c>
      <c r="I123" t="n">
        <v>0.3</v>
      </c>
      <c r="J123" t="n">
        <v>0.009999999776482582</v>
      </c>
      <c r="AM123" t="n">
        <v>268.65</v>
      </c>
      <c r="AN123" t="n">
        <v>3938</v>
      </c>
      <c r="AO123" t="n">
        <v>5316</v>
      </c>
      <c r="AP123" t="n">
        <v>27750</v>
      </c>
      <c r="AQ123" t="n">
        <v>78</v>
      </c>
    </row>
    <row r="124">
      <c r="A124" t="n">
        <v>227</v>
      </c>
      <c r="B124" t="inlineStr">
        <is>
          <t>Generación de  Gases de Efecto Invernadero per Cápita</t>
        </is>
      </c>
      <c r="C124" t="inlineStr">
        <is>
          <t>GESTIÓN AMBIENTAL</t>
        </is>
      </c>
      <c r="D124" t="inlineStr">
        <is>
          <t>Anual</t>
        </is>
      </c>
      <c r="E124" t="inlineStr">
        <is>
          <t>Negativo</t>
        </is>
      </c>
      <c r="F124" s="105" t="n">
        <v>44926</v>
      </c>
      <c r="G124" t="inlineStr">
        <is>
          <t>227-2022-12-31</t>
        </is>
      </c>
      <c r="H124" t="inlineStr">
        <is>
          <t>City Campus</t>
        </is>
      </c>
      <c r="I124" t="n">
        <v>0.3</v>
      </c>
      <c r="AM124" t="n">
        <v>105.19</v>
      </c>
      <c r="AN124" t="n">
        <v>1368</v>
      </c>
      <c r="AO124" t="n">
        <v>76</v>
      </c>
      <c r="AP124" t="n">
        <v>15526</v>
      </c>
      <c r="AQ124" t="n">
        <v>4752</v>
      </c>
    </row>
    <row r="125">
      <c r="A125" t="n">
        <v>227</v>
      </c>
      <c r="B125" t="inlineStr">
        <is>
          <t>Generación de  Gases de Efecto Invernadero per Cápita</t>
        </is>
      </c>
      <c r="C125" t="inlineStr">
        <is>
          <t>GESTIÓN AMBIENTAL</t>
        </is>
      </c>
      <c r="D125" t="inlineStr">
        <is>
          <t>Anual</t>
        </is>
      </c>
      <c r="E125" t="inlineStr">
        <is>
          <t>Negativo</t>
        </is>
      </c>
      <c r="F125" s="105" t="n">
        <v>44926</v>
      </c>
      <c r="G125" t="inlineStr">
        <is>
          <t>227-2022-12-31</t>
        </is>
      </c>
      <c r="H125" t="inlineStr">
        <is>
          <t>Campus-Medellín</t>
        </is>
      </c>
      <c r="I125" t="n">
        <v>0.3</v>
      </c>
      <c r="AM125" t="n">
        <v>97.81999999999999</v>
      </c>
      <c r="AN125" t="n">
        <v>537</v>
      </c>
      <c r="AO125" t="n">
        <v>1613</v>
      </c>
      <c r="AP125" t="n">
        <v>20799</v>
      </c>
      <c r="AQ125" t="n">
        <v>193</v>
      </c>
    </row>
    <row r="126">
      <c r="A126" t="n">
        <v>227</v>
      </c>
      <c r="B126" t="inlineStr">
        <is>
          <t>Generación de  Gases de Efecto Invernadero per Cápita</t>
        </is>
      </c>
      <c r="C126" t="inlineStr">
        <is>
          <t>GESTIÓN AMBIENTAL</t>
        </is>
      </c>
      <c r="D126" t="inlineStr">
        <is>
          <t>Anual</t>
        </is>
      </c>
      <c r="E126" t="inlineStr">
        <is>
          <t>Negativo</t>
        </is>
      </c>
      <c r="F126" s="105" t="n">
        <v>44926</v>
      </c>
      <c r="G126" t="inlineStr">
        <is>
          <t>227-2022-12-31</t>
        </is>
      </c>
      <c r="H126" t="inlineStr">
        <is>
          <t>Sede Bienestar - Medellín</t>
        </is>
      </c>
      <c r="I126" t="n">
        <v>0.3</v>
      </c>
      <c r="AM126" t="n">
        <v>4.83</v>
      </c>
      <c r="AN126" t="n">
        <v>33</v>
      </c>
      <c r="AO126" t="n">
        <v>43</v>
      </c>
      <c r="AP126" t="n">
        <v>4268</v>
      </c>
      <c r="AQ126" t="n">
        <v>0</v>
      </c>
    </row>
    <row r="127">
      <c r="A127" t="n">
        <v>228</v>
      </c>
      <c r="B127" t="inlineStr">
        <is>
          <t>Compensación de Gases de Efecto Invernadero</t>
        </is>
      </c>
      <c r="C127" t="inlineStr">
        <is>
          <t>GESTIÓN AMBIENTAL</t>
        </is>
      </c>
      <c r="D127" t="inlineStr">
        <is>
          <t>Anual</t>
        </is>
      </c>
      <c r="E127" t="inlineStr">
        <is>
          <t>Positivo</t>
        </is>
      </c>
      <c r="F127" s="105" t="n">
        <v>44926</v>
      </c>
      <c r="G127" t="inlineStr">
        <is>
          <t>228-2022-12-31</t>
        </is>
      </c>
      <c r="H127" t="inlineStr">
        <is>
          <t>Sede Bienestar - Medellín</t>
        </is>
      </c>
      <c r="I127" t="n">
        <v>100</v>
      </c>
      <c r="J127" t="n">
        <v>100</v>
      </c>
      <c r="AM127" t="n">
        <v>4.83</v>
      </c>
      <c r="AR127" t="n">
        <v>4.83</v>
      </c>
    </row>
    <row r="128">
      <c r="A128" t="n">
        <v>228</v>
      </c>
      <c r="B128" t="inlineStr">
        <is>
          <t>Compensación de Gases de Efecto Invernadero</t>
        </is>
      </c>
      <c r="C128" t="inlineStr">
        <is>
          <t>GESTIÓN AMBIENTAL</t>
        </is>
      </c>
      <c r="D128" t="inlineStr">
        <is>
          <t>Anual</t>
        </is>
      </c>
      <c r="E128" t="inlineStr">
        <is>
          <t>Positivo</t>
        </is>
      </c>
      <c r="F128" s="105" t="n">
        <v>44926</v>
      </c>
      <c r="G128" t="inlineStr">
        <is>
          <t>228-2022-12-31</t>
        </is>
      </c>
      <c r="H128" t="inlineStr">
        <is>
          <t>Campus Bogotá</t>
        </is>
      </c>
      <c r="I128" t="n">
        <v>100</v>
      </c>
      <c r="J128" t="n">
        <v>100.1900024414062</v>
      </c>
      <c r="AM128" t="n">
        <v>268.65</v>
      </c>
      <c r="AR128" t="n">
        <v>269.16</v>
      </c>
    </row>
    <row r="129">
      <c r="A129" t="n">
        <v>208</v>
      </c>
      <c r="B129" t="inlineStr">
        <is>
          <t>Consumo de Agua m3 Mensual</t>
        </is>
      </c>
      <c r="C129" t="inlineStr">
        <is>
          <t>GESTIÓN AMBIENTAL</t>
        </is>
      </c>
      <c r="D129" t="inlineStr">
        <is>
          <t>Mensual</t>
        </is>
      </c>
      <c r="E129" t="inlineStr">
        <is>
          <t>Negativo</t>
        </is>
      </c>
      <c r="F129" s="105" t="n">
        <v>44957</v>
      </c>
      <c r="G129" t="inlineStr">
        <is>
          <t>208-2023-01-31</t>
        </is>
      </c>
      <c r="H129" t="inlineStr">
        <is>
          <t>Campus Bogotá</t>
        </is>
      </c>
      <c r="I129" t="n">
        <v>1</v>
      </c>
      <c r="J129" t="n">
        <v>617</v>
      </c>
      <c r="K129" t="n">
        <v>616.8</v>
      </c>
    </row>
    <row r="130">
      <c r="A130" t="n">
        <v>208</v>
      </c>
      <c r="B130" t="inlineStr">
        <is>
          <t>Consumo de Agua m3 Mensual</t>
        </is>
      </c>
      <c r="C130" t="inlineStr">
        <is>
          <t>GESTIÓN AMBIENTAL</t>
        </is>
      </c>
      <c r="D130" t="inlineStr">
        <is>
          <t>Mensual</t>
        </is>
      </c>
      <c r="E130" t="inlineStr">
        <is>
          <t>Negativo</t>
        </is>
      </c>
      <c r="F130" s="105" t="n">
        <v>44957</v>
      </c>
      <c r="G130" t="inlineStr">
        <is>
          <t>208-2023-01-31</t>
        </is>
      </c>
      <c r="H130" t="inlineStr">
        <is>
          <t>City Campus</t>
        </is>
      </c>
      <c r="I130" t="n">
        <v>1</v>
      </c>
      <c r="J130" t="n">
        <v>324</v>
      </c>
      <c r="K130" t="n">
        <v>324</v>
      </c>
    </row>
    <row r="131">
      <c r="A131" t="n">
        <v>208</v>
      </c>
      <c r="B131" t="inlineStr">
        <is>
          <t>Consumo de Agua m3 Mensual</t>
        </is>
      </c>
      <c r="C131" t="inlineStr">
        <is>
          <t>GESTIÓN AMBIENTAL</t>
        </is>
      </c>
      <c r="D131" t="inlineStr">
        <is>
          <t>Mensual</t>
        </is>
      </c>
      <c r="E131" t="inlineStr">
        <is>
          <t>Negativo</t>
        </is>
      </c>
      <c r="F131" s="105" t="n">
        <v>44957</v>
      </c>
      <c r="G131" t="inlineStr">
        <is>
          <t>208-2023-01-31</t>
        </is>
      </c>
      <c r="H131" t="inlineStr">
        <is>
          <t>Sede Posgrado-Calle 85</t>
        </is>
      </c>
      <c r="I131" t="n">
        <v>1</v>
      </c>
      <c r="J131" t="n">
        <v>0</v>
      </c>
      <c r="K131" t="n">
        <v>0</v>
      </c>
    </row>
    <row r="132">
      <c r="A132" t="n">
        <v>208</v>
      </c>
      <c r="B132" t="inlineStr">
        <is>
          <t>Consumo de Agua m3 Mensual</t>
        </is>
      </c>
      <c r="C132" t="inlineStr">
        <is>
          <t>GESTIÓN AMBIENTAL</t>
        </is>
      </c>
      <c r="D132" t="inlineStr">
        <is>
          <t>Mensual</t>
        </is>
      </c>
      <c r="E132" t="inlineStr">
        <is>
          <t>Negativo</t>
        </is>
      </c>
      <c r="F132" s="105" t="n">
        <v>44957</v>
      </c>
      <c r="G132" t="inlineStr">
        <is>
          <t>208-2023-01-31</t>
        </is>
      </c>
      <c r="H132" t="inlineStr">
        <is>
          <t>Campus-Medellín</t>
        </is>
      </c>
      <c r="I132" t="n">
        <v>1</v>
      </c>
      <c r="J132" t="n">
        <v>78</v>
      </c>
      <c r="K132" t="n">
        <v>78</v>
      </c>
    </row>
    <row r="133">
      <c r="A133" t="n">
        <v>208</v>
      </c>
      <c r="B133" t="inlineStr">
        <is>
          <t>Consumo de Agua m3 Mensual</t>
        </is>
      </c>
      <c r="C133" t="inlineStr">
        <is>
          <t>GESTIÓN AMBIENTAL</t>
        </is>
      </c>
      <c r="D133" t="inlineStr">
        <is>
          <t>Mensual</t>
        </is>
      </c>
      <c r="E133" t="inlineStr">
        <is>
          <t>Negativo</t>
        </is>
      </c>
      <c r="F133" s="105" t="n">
        <v>44957</v>
      </c>
      <c r="G133" t="inlineStr">
        <is>
          <t>208-2023-01-31</t>
        </is>
      </c>
      <c r="H133" t="inlineStr">
        <is>
          <t>Sede Bienestar - Medellín</t>
        </is>
      </c>
      <c r="I133" t="n">
        <v>0</v>
      </c>
      <c r="J133" t="n">
        <v>0</v>
      </c>
      <c r="K133" t="n">
        <v>0</v>
      </c>
    </row>
    <row r="134">
      <c r="A134" t="n">
        <v>208</v>
      </c>
      <c r="B134" t="inlineStr">
        <is>
          <t>Consumo de Agua m3 Mensual</t>
        </is>
      </c>
      <c r="C134" t="inlineStr">
        <is>
          <t>GESTIÓN AMBIENTAL</t>
        </is>
      </c>
      <c r="D134" t="inlineStr">
        <is>
          <t>Mensual</t>
        </is>
      </c>
      <c r="E134" t="inlineStr">
        <is>
          <t>Negativo</t>
        </is>
      </c>
      <c r="F134" s="105" t="n">
        <v>44957</v>
      </c>
      <c r="G134" t="inlineStr">
        <is>
          <t>208-2023-01-31</t>
        </is>
      </c>
      <c r="H134" t="inlineStr">
        <is>
          <t>Consultorio Psicología - Medellin</t>
        </is>
      </c>
      <c r="I134" t="n">
        <v>1</v>
      </c>
      <c r="J134" t="n">
        <v>0</v>
      </c>
      <c r="K134" t="n">
        <v>0</v>
      </c>
    </row>
    <row r="135">
      <c r="A135" t="n">
        <v>214</v>
      </c>
      <c r="B135" t="inlineStr">
        <is>
          <t>Generación de Residuos Sólidos Mensual</t>
        </is>
      </c>
      <c r="C135" t="inlineStr">
        <is>
          <t>GESTIÓN AMBIENTAL</t>
        </is>
      </c>
      <c r="D135" t="inlineStr">
        <is>
          <t>Mensual</t>
        </is>
      </c>
      <c r="E135" t="inlineStr">
        <is>
          <t>Negativo</t>
        </is>
      </c>
      <c r="F135" s="105" t="n">
        <v>44957</v>
      </c>
      <c r="G135" t="inlineStr">
        <is>
          <t>214-2023-01-31</t>
        </is>
      </c>
      <c r="H135" t="inlineStr">
        <is>
          <t>Campus Bogotá</t>
        </is>
      </c>
      <c r="I135" t="n">
        <v>7500</v>
      </c>
      <c r="J135" t="n">
        <v>978</v>
      </c>
      <c r="L135" t="n">
        <v>785</v>
      </c>
      <c r="M135" t="n">
        <v>193</v>
      </c>
    </row>
    <row r="136">
      <c r="A136" t="n">
        <v>214</v>
      </c>
      <c r="B136" t="inlineStr">
        <is>
          <t>Generación de Residuos Sólidos Mensual</t>
        </is>
      </c>
      <c r="C136" t="inlineStr">
        <is>
          <t>GESTIÓN AMBIENTAL</t>
        </is>
      </c>
      <c r="D136" t="inlineStr">
        <is>
          <t>Mensual</t>
        </is>
      </c>
      <c r="E136" t="inlineStr">
        <is>
          <t>Negativo</t>
        </is>
      </c>
      <c r="F136" s="105" t="n">
        <v>44957</v>
      </c>
      <c r="G136" t="inlineStr">
        <is>
          <t>214-2023-01-31</t>
        </is>
      </c>
      <c r="H136" t="inlineStr">
        <is>
          <t>City Campus</t>
        </is>
      </c>
      <c r="I136" t="n">
        <v>7500</v>
      </c>
      <c r="J136" t="n">
        <v>421.5499877929688</v>
      </c>
      <c r="L136" t="n">
        <v>0</v>
      </c>
      <c r="M136" t="n">
        <v>421.55</v>
      </c>
    </row>
    <row r="137">
      <c r="A137" t="n">
        <v>214</v>
      </c>
      <c r="B137" t="inlineStr">
        <is>
          <t>Generación de Residuos Sólidos Mensual</t>
        </is>
      </c>
      <c r="C137" t="inlineStr">
        <is>
          <t>GESTIÓN AMBIENTAL</t>
        </is>
      </c>
      <c r="D137" t="inlineStr">
        <is>
          <t>Mensual</t>
        </is>
      </c>
      <c r="E137" t="inlineStr">
        <is>
          <t>Negativo</t>
        </is>
      </c>
      <c r="F137" s="105" t="n">
        <v>44957</v>
      </c>
      <c r="G137" t="inlineStr">
        <is>
          <t>214-2023-01-31</t>
        </is>
      </c>
      <c r="H137" t="inlineStr">
        <is>
          <t>Sede Posgrado-Calle 85</t>
        </is>
      </c>
      <c r="I137" t="n">
        <v>7500</v>
      </c>
      <c r="J137" t="n">
        <v>0</v>
      </c>
      <c r="L137" t="n">
        <v>0</v>
      </c>
      <c r="M137" t="n">
        <v>0</v>
      </c>
    </row>
    <row r="138">
      <c r="A138" t="n">
        <v>214</v>
      </c>
      <c r="B138" t="inlineStr">
        <is>
          <t>Generación de Residuos Sólidos Mensual</t>
        </is>
      </c>
      <c r="C138" t="inlineStr">
        <is>
          <t>GESTIÓN AMBIENTAL</t>
        </is>
      </c>
      <c r="D138" t="inlineStr">
        <is>
          <t>Mensual</t>
        </is>
      </c>
      <c r="E138" t="inlineStr">
        <is>
          <t>Negativo</t>
        </is>
      </c>
      <c r="F138" s="105" t="n">
        <v>44957</v>
      </c>
      <c r="G138" t="inlineStr">
        <is>
          <t>214-2023-01-31</t>
        </is>
      </c>
      <c r="H138" t="inlineStr">
        <is>
          <t>Campus-Medellín</t>
        </is>
      </c>
      <c r="I138" t="n">
        <v>7500</v>
      </c>
      <c r="J138" t="n">
        <v>0</v>
      </c>
      <c r="L138" t="n">
        <v>0</v>
      </c>
      <c r="M138" t="n">
        <v>0</v>
      </c>
    </row>
    <row r="139">
      <c r="A139" t="n">
        <v>214</v>
      </c>
      <c r="B139" t="inlineStr">
        <is>
          <t>Generación de Residuos Sólidos Mensual</t>
        </is>
      </c>
      <c r="C139" t="inlineStr">
        <is>
          <t>GESTIÓN AMBIENTAL</t>
        </is>
      </c>
      <c r="D139" t="inlineStr">
        <is>
          <t>Mensual</t>
        </is>
      </c>
      <c r="E139" t="inlineStr">
        <is>
          <t>Negativo</t>
        </is>
      </c>
      <c r="F139" s="105" t="n">
        <v>44957</v>
      </c>
      <c r="G139" t="inlineStr">
        <is>
          <t>214-2023-01-31</t>
        </is>
      </c>
      <c r="H139" t="inlineStr">
        <is>
          <t>Sede Bienestar - Medellín</t>
        </is>
      </c>
      <c r="I139" t="n">
        <v>1</v>
      </c>
      <c r="J139" t="n">
        <v>0</v>
      </c>
      <c r="L139" t="n">
        <v>0</v>
      </c>
      <c r="M139" t="n">
        <v>0</v>
      </c>
    </row>
    <row r="140">
      <c r="A140" t="n">
        <v>214</v>
      </c>
      <c r="B140" t="inlineStr">
        <is>
          <t>Generación de Residuos Sólidos Mensual</t>
        </is>
      </c>
      <c r="C140" t="inlineStr">
        <is>
          <t>GESTIÓN AMBIENTAL</t>
        </is>
      </c>
      <c r="D140" t="inlineStr">
        <is>
          <t>Mensual</t>
        </is>
      </c>
      <c r="E140" t="inlineStr">
        <is>
          <t>Negativo</t>
        </is>
      </c>
      <c r="F140" s="105" t="n">
        <v>44957</v>
      </c>
      <c r="G140" t="inlineStr">
        <is>
          <t>214-2023-01-31</t>
        </is>
      </c>
      <c r="H140" t="inlineStr">
        <is>
          <t>Consultorio Psicología - Medellin</t>
        </is>
      </c>
      <c r="I140" t="n">
        <v>1</v>
      </c>
      <c r="J140" t="n">
        <v>0</v>
      </c>
      <c r="L140" t="n">
        <v>0</v>
      </c>
      <c r="M140" t="n">
        <v>0</v>
      </c>
    </row>
    <row r="141">
      <c r="A141" t="n">
        <v>217</v>
      </c>
      <c r="B141" t="inlineStr">
        <is>
          <t>Aprovechamiento de Residuos</t>
        </is>
      </c>
      <c r="C141" t="inlineStr">
        <is>
          <t>GESTIÓN AMBIENTAL</t>
        </is>
      </c>
      <c r="D141" t="inlineStr">
        <is>
          <t>Mensual</t>
        </is>
      </c>
      <c r="E141" t="inlineStr">
        <is>
          <t>Positivo</t>
        </is>
      </c>
      <c r="F141" s="105" t="n">
        <v>44957</v>
      </c>
      <c r="G141" t="inlineStr">
        <is>
          <t>217-2023-01-31</t>
        </is>
      </c>
      <c r="H141" t="inlineStr">
        <is>
          <t>Campus Bogotá</t>
        </is>
      </c>
      <c r="I141" t="n">
        <v>20</v>
      </c>
      <c r="J141" t="n">
        <v>80.26999664306641</v>
      </c>
      <c r="L141" t="n">
        <v>785</v>
      </c>
      <c r="M141" t="n">
        <v>193</v>
      </c>
      <c r="AS141" t="n">
        <v>785</v>
      </c>
    </row>
    <row r="142">
      <c r="A142" t="n">
        <v>217</v>
      </c>
      <c r="B142" t="inlineStr">
        <is>
          <t>Aprovechamiento de Residuos</t>
        </is>
      </c>
      <c r="C142" t="inlineStr">
        <is>
          <t>GESTIÓN AMBIENTAL</t>
        </is>
      </c>
      <c r="D142" t="inlineStr">
        <is>
          <t>Mensual</t>
        </is>
      </c>
      <c r="E142" t="inlineStr">
        <is>
          <t>Positivo</t>
        </is>
      </c>
      <c r="F142" s="105" t="n">
        <v>44957</v>
      </c>
      <c r="G142" t="inlineStr">
        <is>
          <t>217-2023-01-31</t>
        </is>
      </c>
      <c r="H142" t="inlineStr">
        <is>
          <t>City Campus</t>
        </is>
      </c>
      <c r="I142" t="n">
        <v>20</v>
      </c>
      <c r="J142" t="n">
        <v>0</v>
      </c>
      <c r="L142" t="n">
        <v>0</v>
      </c>
      <c r="M142" t="n">
        <v>421.55</v>
      </c>
      <c r="AS142" t="n">
        <v>0</v>
      </c>
    </row>
    <row r="143">
      <c r="A143" t="n">
        <v>217</v>
      </c>
      <c r="B143" t="inlineStr">
        <is>
          <t>Aprovechamiento de Residuos</t>
        </is>
      </c>
      <c r="C143" t="inlineStr">
        <is>
          <t>GESTIÓN AMBIENTAL</t>
        </is>
      </c>
      <c r="D143" t="inlineStr">
        <is>
          <t>Mensual</t>
        </is>
      </c>
      <c r="E143" t="inlineStr">
        <is>
          <t>Positivo</t>
        </is>
      </c>
      <c r="F143" s="105" t="n">
        <v>44957</v>
      </c>
      <c r="G143" t="inlineStr">
        <is>
          <t>217-2023-01-31</t>
        </is>
      </c>
      <c r="H143" t="inlineStr">
        <is>
          <t>Sede Posgrado-Calle 85</t>
        </is>
      </c>
      <c r="I143" t="n">
        <v>20</v>
      </c>
      <c r="J143" t="n">
        <v>0</v>
      </c>
      <c r="L143" t="n">
        <v>0</v>
      </c>
      <c r="M143" t="n">
        <v>0</v>
      </c>
      <c r="AS143" t="n">
        <v>0</v>
      </c>
    </row>
    <row r="144">
      <c r="A144" t="n">
        <v>217</v>
      </c>
      <c r="B144" t="inlineStr">
        <is>
          <t>Aprovechamiento de Residuos</t>
        </is>
      </c>
      <c r="C144" t="inlineStr">
        <is>
          <t>GESTIÓN AMBIENTAL</t>
        </is>
      </c>
      <c r="D144" t="inlineStr">
        <is>
          <t>Mensual</t>
        </is>
      </c>
      <c r="E144" t="inlineStr">
        <is>
          <t>Positivo</t>
        </is>
      </c>
      <c r="F144" s="105" t="n">
        <v>44957</v>
      </c>
      <c r="G144" t="inlineStr">
        <is>
          <t>217-2023-01-31</t>
        </is>
      </c>
      <c r="H144" t="inlineStr">
        <is>
          <t>Campus-Medellín</t>
        </is>
      </c>
      <c r="I144" t="n">
        <v>20</v>
      </c>
      <c r="J144" t="n">
        <v>0</v>
      </c>
      <c r="L144" t="n">
        <v>0</v>
      </c>
      <c r="M144" t="n">
        <v>0</v>
      </c>
      <c r="AS144" t="n">
        <v>0</v>
      </c>
    </row>
    <row r="145">
      <c r="A145" t="n">
        <v>217</v>
      </c>
      <c r="B145" t="inlineStr">
        <is>
          <t>Aprovechamiento de Residuos</t>
        </is>
      </c>
      <c r="C145" t="inlineStr">
        <is>
          <t>GESTIÓN AMBIENTAL</t>
        </is>
      </c>
      <c r="D145" t="inlineStr">
        <is>
          <t>Mensual</t>
        </is>
      </c>
      <c r="E145" t="inlineStr">
        <is>
          <t>Positivo</t>
        </is>
      </c>
      <c r="F145" s="105" t="n">
        <v>44957</v>
      </c>
      <c r="G145" t="inlineStr">
        <is>
          <t>217-2023-01-31</t>
        </is>
      </c>
      <c r="H145" t="inlineStr">
        <is>
          <t>Sede Bienestar - Medellín</t>
        </is>
      </c>
      <c r="I145" t="n">
        <v>20</v>
      </c>
      <c r="J145" t="n">
        <v>0</v>
      </c>
      <c r="L145" t="n">
        <v>0</v>
      </c>
      <c r="M145" t="n">
        <v>0</v>
      </c>
      <c r="AS145" t="n">
        <v>0</v>
      </c>
    </row>
    <row r="146">
      <c r="A146" t="n">
        <v>217</v>
      </c>
      <c r="B146" t="inlineStr">
        <is>
          <t>Aprovechamiento de Residuos</t>
        </is>
      </c>
      <c r="C146" t="inlineStr">
        <is>
          <t>GESTIÓN AMBIENTAL</t>
        </is>
      </c>
      <c r="D146" t="inlineStr">
        <is>
          <t>Mensual</t>
        </is>
      </c>
      <c r="E146" t="inlineStr">
        <is>
          <t>Positivo</t>
        </is>
      </c>
      <c r="F146" s="105" t="n">
        <v>44957</v>
      </c>
      <c r="G146" t="inlineStr">
        <is>
          <t>217-2023-01-31</t>
        </is>
      </c>
      <c r="H146" t="inlineStr">
        <is>
          <t>Consultorio Psicología - Medellin</t>
        </is>
      </c>
      <c r="I146" t="n">
        <v>20</v>
      </c>
      <c r="J146" t="n">
        <v>0</v>
      </c>
      <c r="L146" t="n">
        <v>0</v>
      </c>
      <c r="M146" t="n">
        <v>0</v>
      </c>
      <c r="AS146" t="n">
        <v>0</v>
      </c>
    </row>
    <row r="147">
      <c r="A147" t="n">
        <v>218</v>
      </c>
      <c r="B147" t="inlineStr">
        <is>
          <t>Consumo de Energía Eléctrica kWh Mensual</t>
        </is>
      </c>
      <c r="C147" t="inlineStr">
        <is>
          <t>GESTIÓN AMBIENTAL</t>
        </is>
      </c>
      <c r="D147" t="inlineStr">
        <is>
          <t>Mensual</t>
        </is>
      </c>
      <c r="E147" t="inlineStr">
        <is>
          <t>Negativo</t>
        </is>
      </c>
      <c r="F147" s="105" t="n">
        <v>44957</v>
      </c>
      <c r="G147" t="inlineStr">
        <is>
          <t>218-2023-01-31</t>
        </is>
      </c>
      <c r="H147" t="inlineStr">
        <is>
          <t>Campus Bogotá</t>
        </is>
      </c>
      <c r="I147" t="n">
        <v>172000</v>
      </c>
      <c r="J147" t="n">
        <v>54265</v>
      </c>
      <c r="N147" t="n">
        <v>54265</v>
      </c>
    </row>
    <row r="148">
      <c r="A148" t="n">
        <v>218</v>
      </c>
      <c r="B148" t="inlineStr">
        <is>
          <t>Consumo de Energía Eléctrica kWh Mensual</t>
        </is>
      </c>
      <c r="C148" t="inlineStr">
        <is>
          <t>GESTIÓN AMBIENTAL</t>
        </is>
      </c>
      <c r="D148" t="inlineStr">
        <is>
          <t>Mensual</t>
        </is>
      </c>
      <c r="E148" t="inlineStr">
        <is>
          <t>Negativo</t>
        </is>
      </c>
      <c r="F148" s="105" t="n">
        <v>44957</v>
      </c>
      <c r="G148" t="inlineStr">
        <is>
          <t>218-2023-01-31</t>
        </is>
      </c>
      <c r="H148" t="inlineStr">
        <is>
          <t>City Campus</t>
        </is>
      </c>
      <c r="I148" t="n">
        <v>172000</v>
      </c>
      <c r="J148" t="n">
        <v>47880</v>
      </c>
      <c r="N148" t="n">
        <v>47880</v>
      </c>
    </row>
    <row r="149">
      <c r="A149" t="n">
        <v>218</v>
      </c>
      <c r="B149" t="inlineStr">
        <is>
          <t>Consumo de Energía Eléctrica kWh Mensual</t>
        </is>
      </c>
      <c r="C149" t="inlineStr">
        <is>
          <t>GESTIÓN AMBIENTAL</t>
        </is>
      </c>
      <c r="D149" t="inlineStr">
        <is>
          <t>Mensual</t>
        </is>
      </c>
      <c r="E149" t="inlineStr">
        <is>
          <t>Negativo</t>
        </is>
      </c>
      <c r="F149" s="105" t="n">
        <v>44957</v>
      </c>
      <c r="G149" t="inlineStr">
        <is>
          <t>218-2023-01-31</t>
        </is>
      </c>
      <c r="H149" t="inlineStr">
        <is>
          <t>Sede Posgrado-Calle 85</t>
        </is>
      </c>
      <c r="I149" t="n">
        <v>172000</v>
      </c>
      <c r="J149" t="n">
        <v>0</v>
      </c>
      <c r="N149" t="n">
        <v>0</v>
      </c>
    </row>
    <row r="150">
      <c r="A150" t="n">
        <v>218</v>
      </c>
      <c r="B150" t="inlineStr">
        <is>
          <t>Consumo de Energía Eléctrica kWh Mensual</t>
        </is>
      </c>
      <c r="C150" t="inlineStr">
        <is>
          <t>GESTIÓN AMBIENTAL</t>
        </is>
      </c>
      <c r="D150" t="inlineStr">
        <is>
          <t>Mensual</t>
        </is>
      </c>
      <c r="E150" t="inlineStr">
        <is>
          <t>Negativo</t>
        </is>
      </c>
      <c r="F150" s="105" t="n">
        <v>44957</v>
      </c>
      <c r="G150" t="inlineStr">
        <is>
          <t>218-2023-01-31</t>
        </is>
      </c>
      <c r="H150" t="inlineStr">
        <is>
          <t>Campus-Medellín</t>
        </is>
      </c>
      <c r="I150" t="n">
        <v>172000</v>
      </c>
      <c r="J150" t="n">
        <v>15464</v>
      </c>
      <c r="N150" t="n">
        <v>15464</v>
      </c>
    </row>
    <row r="151">
      <c r="A151" t="n">
        <v>218</v>
      </c>
      <c r="B151" t="inlineStr">
        <is>
          <t>Consumo de Energía Eléctrica kWh Mensual</t>
        </is>
      </c>
      <c r="C151" t="inlineStr">
        <is>
          <t>GESTIÓN AMBIENTAL</t>
        </is>
      </c>
      <c r="D151" t="inlineStr">
        <is>
          <t>Mensual</t>
        </is>
      </c>
      <c r="E151" t="inlineStr">
        <is>
          <t>Negativo</t>
        </is>
      </c>
      <c r="F151" s="105" t="n">
        <v>44957</v>
      </c>
      <c r="G151" t="inlineStr">
        <is>
          <t>218-2023-01-31</t>
        </is>
      </c>
      <c r="H151" t="inlineStr">
        <is>
          <t>Sede Bienestar - Medellín</t>
        </is>
      </c>
      <c r="I151" t="n">
        <v>172000</v>
      </c>
      <c r="J151" t="n">
        <v>2280</v>
      </c>
      <c r="N151" t="n">
        <v>2280</v>
      </c>
    </row>
    <row r="152">
      <c r="A152" t="n">
        <v>218</v>
      </c>
      <c r="B152" t="inlineStr">
        <is>
          <t>Consumo de Energía Eléctrica kWh Mensual</t>
        </is>
      </c>
      <c r="C152" t="inlineStr">
        <is>
          <t>GESTIÓN AMBIENTAL</t>
        </is>
      </c>
      <c r="D152" t="inlineStr">
        <is>
          <t>Mensual</t>
        </is>
      </c>
      <c r="E152" t="inlineStr">
        <is>
          <t>Negativo</t>
        </is>
      </c>
      <c r="F152" s="105" t="n">
        <v>44957</v>
      </c>
      <c r="G152" t="inlineStr">
        <is>
          <t>218-2023-01-31</t>
        </is>
      </c>
      <c r="H152" t="inlineStr">
        <is>
          <t>Consultorio Psicología - Medellin</t>
        </is>
      </c>
      <c r="I152" t="n">
        <v>172000</v>
      </c>
      <c r="J152" t="n">
        <v>969</v>
      </c>
      <c r="N152" t="n">
        <v>969</v>
      </c>
    </row>
    <row r="153">
      <c r="A153" t="n">
        <v>225</v>
      </c>
      <c r="B153" t="inlineStr">
        <is>
          <t>Acciones para el Cuidado y Mantenimiento de las Especies de Flora y el Suelo de las Áreas Naturales</t>
        </is>
      </c>
      <c r="C153" t="inlineStr">
        <is>
          <t>GESTIÓN AMBIENTAL</t>
        </is>
      </c>
      <c r="D153" t="inlineStr">
        <is>
          <t>Mensual</t>
        </is>
      </c>
      <c r="E153" t="inlineStr">
        <is>
          <t>Positivo</t>
        </is>
      </c>
      <c r="F153" s="105" t="n">
        <v>44957</v>
      </c>
      <c r="G153" t="inlineStr">
        <is>
          <t>225-2023-01-31</t>
        </is>
      </c>
      <c r="H153" t="inlineStr">
        <is>
          <t>Campus Bogotá</t>
        </is>
      </c>
      <c r="I153" t="n">
        <v>1</v>
      </c>
      <c r="J153" t="n">
        <v>9</v>
      </c>
      <c r="AT153" t="n">
        <v>9</v>
      </c>
    </row>
    <row r="154">
      <c r="A154" t="n">
        <v>225</v>
      </c>
      <c r="B154" t="inlineStr">
        <is>
          <t>Acciones para el Cuidado y Mantenimiento de las Especies de Flora y el Suelo de las Áreas Naturales</t>
        </is>
      </c>
      <c r="C154" t="inlineStr">
        <is>
          <t>GESTIÓN AMBIENTAL</t>
        </is>
      </c>
      <c r="D154" t="inlineStr">
        <is>
          <t>Mensual</t>
        </is>
      </c>
      <c r="E154" t="inlineStr">
        <is>
          <t>Positivo</t>
        </is>
      </c>
      <c r="F154" s="105" t="n">
        <v>44957</v>
      </c>
      <c r="G154" t="inlineStr">
        <is>
          <t>225-2023-01-31</t>
        </is>
      </c>
      <c r="H154" t="inlineStr">
        <is>
          <t>City Campus</t>
        </is>
      </c>
      <c r="I154" t="n">
        <v>1</v>
      </c>
      <c r="J154" t="n">
        <v>4</v>
      </c>
      <c r="AT154" t="n">
        <v>4</v>
      </c>
    </row>
    <row r="155">
      <c r="A155" t="n">
        <v>225</v>
      </c>
      <c r="B155" t="inlineStr">
        <is>
          <t>Acciones para el Cuidado y Mantenimiento de las Especies de Flora y el Suelo de las Áreas Naturales</t>
        </is>
      </c>
      <c r="C155" t="inlineStr">
        <is>
          <t>GESTIÓN AMBIENTAL</t>
        </is>
      </c>
      <c r="D155" t="inlineStr">
        <is>
          <t>Mensual</t>
        </is>
      </c>
      <c r="E155" t="inlineStr">
        <is>
          <t>Positivo</t>
        </is>
      </c>
      <c r="F155" s="105" t="n">
        <v>44957</v>
      </c>
      <c r="G155" t="inlineStr">
        <is>
          <t>225-2023-01-31</t>
        </is>
      </c>
      <c r="H155" t="inlineStr">
        <is>
          <t>Sede Posgrado-Calle 85</t>
        </is>
      </c>
      <c r="I155" t="n">
        <v>1</v>
      </c>
      <c r="J155" t="n">
        <v>0</v>
      </c>
      <c r="AT155" t="n">
        <v>0</v>
      </c>
    </row>
    <row r="156">
      <c r="A156" t="n">
        <v>225</v>
      </c>
      <c r="B156" t="inlineStr">
        <is>
          <t>Acciones para el Cuidado y Mantenimiento de las Especies de Flora y el Suelo de las Áreas Naturales</t>
        </is>
      </c>
      <c r="C156" t="inlineStr">
        <is>
          <t>GESTIÓN AMBIENTAL</t>
        </is>
      </c>
      <c r="D156" t="inlineStr">
        <is>
          <t>Mensual</t>
        </is>
      </c>
      <c r="E156" t="inlineStr">
        <is>
          <t>Positivo</t>
        </is>
      </c>
      <c r="F156" s="105" t="n">
        <v>44957</v>
      </c>
      <c r="G156" t="inlineStr">
        <is>
          <t>225-2023-01-31</t>
        </is>
      </c>
      <c r="H156" t="inlineStr">
        <is>
          <t>Campus-Medellín</t>
        </is>
      </c>
      <c r="I156" t="n">
        <v>1</v>
      </c>
      <c r="J156" t="n">
        <v>10</v>
      </c>
      <c r="AT156" t="n">
        <v>10</v>
      </c>
    </row>
    <row r="157">
      <c r="A157" t="n">
        <v>225</v>
      </c>
      <c r="B157" t="inlineStr">
        <is>
          <t>Acciones para el Cuidado y Mantenimiento de las Especies de Flora y el Suelo de las Áreas Naturales</t>
        </is>
      </c>
      <c r="C157" t="inlineStr">
        <is>
          <t>GESTIÓN AMBIENTAL</t>
        </is>
      </c>
      <c r="D157" t="inlineStr">
        <is>
          <t>Mensual</t>
        </is>
      </c>
      <c r="E157" t="inlineStr">
        <is>
          <t>Positivo</t>
        </is>
      </c>
      <c r="F157" s="105" t="n">
        <v>44957</v>
      </c>
      <c r="G157" t="inlineStr">
        <is>
          <t>225-2023-01-31</t>
        </is>
      </c>
      <c r="H157" t="inlineStr">
        <is>
          <t>Sede Bienestar - Medellín</t>
        </is>
      </c>
      <c r="I157" t="n">
        <v>1</v>
      </c>
      <c r="J157" t="n">
        <v>1</v>
      </c>
      <c r="AT157" t="n">
        <v>1</v>
      </c>
    </row>
    <row r="158">
      <c r="A158" t="n">
        <v>225</v>
      </c>
      <c r="B158" t="inlineStr">
        <is>
          <t>Acciones para el Cuidado y Mantenimiento de las Especies de Flora y el Suelo de las Áreas Naturales</t>
        </is>
      </c>
      <c r="C158" t="inlineStr">
        <is>
          <t>GESTIÓN AMBIENTAL</t>
        </is>
      </c>
      <c r="D158" t="inlineStr">
        <is>
          <t>Mensual</t>
        </is>
      </c>
      <c r="E158" t="inlineStr">
        <is>
          <t>Positivo</t>
        </is>
      </c>
      <c r="F158" s="105" t="n">
        <v>44957</v>
      </c>
      <c r="G158" t="inlineStr">
        <is>
          <t>225-2023-01-31</t>
        </is>
      </c>
      <c r="H158" t="inlineStr">
        <is>
          <t>Consultorio Psicología - Medellin</t>
        </is>
      </c>
      <c r="I158" t="n">
        <v>1</v>
      </c>
      <c r="J158" t="n">
        <v>1</v>
      </c>
      <c r="AT158" t="n">
        <v>1</v>
      </c>
    </row>
    <row r="159">
      <c r="A159" t="n">
        <v>239</v>
      </c>
      <c r="B159" t="inlineStr">
        <is>
          <t>Portafolio de Proyectos - Metrica</t>
        </is>
      </c>
      <c r="C159" t="inlineStr">
        <is>
          <t>Gestión de Proyectos</t>
        </is>
      </c>
      <c r="D159" t="inlineStr">
        <is>
          <t>Mensual</t>
        </is>
      </c>
      <c r="E159" t="inlineStr">
        <is>
          <t>Positivo</t>
        </is>
      </c>
      <c r="F159" s="105" t="n">
        <v>44957</v>
      </c>
      <c r="G159" t="inlineStr">
        <is>
          <t>239-2023-01-31</t>
        </is>
      </c>
      <c r="H159" t="inlineStr">
        <is>
          <t>Planificación</t>
        </is>
      </c>
      <c r="J159" t="n">
        <v>4</v>
      </c>
      <c r="AU159" t="n">
        <v>4</v>
      </c>
    </row>
    <row r="160">
      <c r="A160" t="n">
        <v>239</v>
      </c>
      <c r="B160" t="inlineStr">
        <is>
          <t>Portafolio de Proyectos - Metrica</t>
        </is>
      </c>
      <c r="C160" t="inlineStr">
        <is>
          <t>Gestión de Proyectos</t>
        </is>
      </c>
      <c r="D160" t="inlineStr">
        <is>
          <t>Mensual</t>
        </is>
      </c>
      <c r="E160" t="inlineStr">
        <is>
          <t>Positivo</t>
        </is>
      </c>
      <c r="F160" s="105" t="n">
        <v>44957</v>
      </c>
      <c r="G160" t="inlineStr">
        <is>
          <t>239-2023-01-31</t>
        </is>
      </c>
      <c r="H160" t="inlineStr">
        <is>
          <t>Ejecución</t>
        </is>
      </c>
      <c r="J160" t="n">
        <v>5</v>
      </c>
      <c r="AU160" t="n">
        <v>5</v>
      </c>
    </row>
    <row r="161">
      <c r="A161" t="n">
        <v>239</v>
      </c>
      <c r="B161" t="inlineStr">
        <is>
          <t>Portafolio de Proyectos - Metrica</t>
        </is>
      </c>
      <c r="C161" t="inlineStr">
        <is>
          <t>Gestión de Proyectos</t>
        </is>
      </c>
      <c r="D161" t="inlineStr">
        <is>
          <t>Mensual</t>
        </is>
      </c>
      <c r="E161" t="inlineStr">
        <is>
          <t>Positivo</t>
        </is>
      </c>
      <c r="F161" s="105" t="n">
        <v>44957</v>
      </c>
      <c r="G161" t="inlineStr">
        <is>
          <t>239-2023-01-31</t>
        </is>
      </c>
      <c r="H161" t="inlineStr">
        <is>
          <t>Cierre</t>
        </is>
      </c>
      <c r="J161" t="n">
        <v>1</v>
      </c>
      <c r="AU161" t="n">
        <v>1</v>
      </c>
    </row>
    <row r="162">
      <c r="A162" t="n">
        <v>239</v>
      </c>
      <c r="B162" t="inlineStr">
        <is>
          <t>Portafolio de Proyectos - Metrica</t>
        </is>
      </c>
      <c r="C162" t="inlineStr">
        <is>
          <t>Gestión de Proyectos</t>
        </is>
      </c>
      <c r="D162" t="inlineStr">
        <is>
          <t>Mensual</t>
        </is>
      </c>
      <c r="E162" t="inlineStr">
        <is>
          <t>Positivo</t>
        </is>
      </c>
      <c r="F162" s="105" t="n">
        <v>44957</v>
      </c>
      <c r="G162" t="inlineStr">
        <is>
          <t>239-2023-01-31</t>
        </is>
      </c>
      <c r="H162" t="inlineStr">
        <is>
          <t>Finalizados</t>
        </is>
      </c>
      <c r="J162" t="n">
        <v>2</v>
      </c>
      <c r="AU162" t="n">
        <v>2</v>
      </c>
    </row>
    <row r="163">
      <c r="A163" t="n">
        <v>434</v>
      </c>
      <c r="B163" t="inlineStr">
        <is>
          <t>Generación de Residuos Peligrosos Mensual</t>
        </is>
      </c>
      <c r="C163" t="inlineStr">
        <is>
          <t>GESTIÓN AMBIENTAL</t>
        </is>
      </c>
      <c r="D163" t="inlineStr">
        <is>
          <t>Mensual</t>
        </is>
      </c>
      <c r="E163" t="inlineStr">
        <is>
          <t>Negativo</t>
        </is>
      </c>
      <c r="F163" s="105" t="n">
        <v>44957</v>
      </c>
      <c r="G163" t="inlineStr">
        <is>
          <t>434-2023-01-31</t>
        </is>
      </c>
      <c r="H163" t="inlineStr">
        <is>
          <t>Campus Bogotá</t>
        </is>
      </c>
      <c r="I163" t="n">
        <v>200</v>
      </c>
      <c r="J163" t="n">
        <v>1</v>
      </c>
      <c r="AV163" t="n">
        <v>1</v>
      </c>
    </row>
    <row r="164">
      <c r="A164" t="n">
        <v>434</v>
      </c>
      <c r="B164" t="inlineStr">
        <is>
          <t>Generación de Residuos Peligrosos Mensual</t>
        </is>
      </c>
      <c r="C164" t="inlineStr">
        <is>
          <t>GESTIÓN AMBIENTAL</t>
        </is>
      </c>
      <c r="D164" t="inlineStr">
        <is>
          <t>Mensual</t>
        </is>
      </c>
      <c r="E164" t="inlineStr">
        <is>
          <t>Negativo</t>
        </is>
      </c>
      <c r="F164" s="105" t="n">
        <v>44957</v>
      </c>
      <c r="G164" t="inlineStr">
        <is>
          <t>434-2023-01-31</t>
        </is>
      </c>
      <c r="H164" t="inlineStr">
        <is>
          <t>City Campus</t>
        </is>
      </c>
      <c r="I164" t="n">
        <v>200</v>
      </c>
      <c r="J164" t="n">
        <v>0</v>
      </c>
      <c r="AV164" t="n">
        <v>0</v>
      </c>
    </row>
    <row r="165">
      <c r="A165" t="n">
        <v>434</v>
      </c>
      <c r="B165" t="inlineStr">
        <is>
          <t>Generación de Residuos Peligrosos Mensual</t>
        </is>
      </c>
      <c r="C165" t="inlineStr">
        <is>
          <t>GESTIÓN AMBIENTAL</t>
        </is>
      </c>
      <c r="D165" t="inlineStr">
        <is>
          <t>Mensual</t>
        </is>
      </c>
      <c r="E165" t="inlineStr">
        <is>
          <t>Negativo</t>
        </is>
      </c>
      <c r="F165" s="105" t="n">
        <v>44957</v>
      </c>
      <c r="G165" t="inlineStr">
        <is>
          <t>434-2023-01-31</t>
        </is>
      </c>
      <c r="H165" t="inlineStr">
        <is>
          <t>Sede Posgrado-Calle 85</t>
        </is>
      </c>
      <c r="I165" t="n">
        <v>200</v>
      </c>
      <c r="J165" t="n">
        <v>0</v>
      </c>
      <c r="AV165" t="n">
        <v>0</v>
      </c>
    </row>
    <row r="166">
      <c r="A166" t="n">
        <v>434</v>
      </c>
      <c r="B166" t="inlineStr">
        <is>
          <t>Generación de Residuos Peligrosos Mensual</t>
        </is>
      </c>
      <c r="C166" t="inlineStr">
        <is>
          <t>GESTIÓN AMBIENTAL</t>
        </is>
      </c>
      <c r="D166" t="inlineStr">
        <is>
          <t>Mensual</t>
        </is>
      </c>
      <c r="E166" t="inlineStr">
        <is>
          <t>Negativo</t>
        </is>
      </c>
      <c r="F166" s="105" t="n">
        <v>44957</v>
      </c>
      <c r="G166" t="inlineStr">
        <is>
          <t>434-2023-01-31</t>
        </is>
      </c>
      <c r="H166" t="inlineStr">
        <is>
          <t>Campus-Medellín</t>
        </is>
      </c>
      <c r="I166" t="n">
        <v>200</v>
      </c>
      <c r="J166" t="n">
        <v>6</v>
      </c>
      <c r="AV166" t="n">
        <v>6</v>
      </c>
    </row>
    <row r="167">
      <c r="A167" t="n">
        <v>434</v>
      </c>
      <c r="B167" t="inlineStr">
        <is>
          <t>Generación de Residuos Peligrosos Mensual</t>
        </is>
      </c>
      <c r="C167" t="inlineStr">
        <is>
          <t>GESTIÓN AMBIENTAL</t>
        </is>
      </c>
      <c r="D167" t="inlineStr">
        <is>
          <t>Mensual</t>
        </is>
      </c>
      <c r="E167" t="inlineStr">
        <is>
          <t>Negativo</t>
        </is>
      </c>
      <c r="F167" s="105" t="n">
        <v>44957</v>
      </c>
      <c r="G167" t="inlineStr">
        <is>
          <t>434-2023-01-31</t>
        </is>
      </c>
      <c r="H167" t="inlineStr">
        <is>
          <t>Sede Bienestar - Medellín</t>
        </is>
      </c>
      <c r="I167" t="n">
        <v>200</v>
      </c>
      <c r="J167" t="n">
        <v>0</v>
      </c>
      <c r="AV167" t="n">
        <v>0</v>
      </c>
    </row>
    <row r="168">
      <c r="A168" t="n">
        <v>434</v>
      </c>
      <c r="B168" t="inlineStr">
        <is>
          <t>Generación de Residuos Peligrosos Mensual</t>
        </is>
      </c>
      <c r="C168" t="inlineStr">
        <is>
          <t>GESTIÓN AMBIENTAL</t>
        </is>
      </c>
      <c r="D168" t="inlineStr">
        <is>
          <t>Mensual</t>
        </is>
      </c>
      <c r="E168" t="inlineStr">
        <is>
          <t>Negativo</t>
        </is>
      </c>
      <c r="F168" s="105" t="n">
        <v>44957</v>
      </c>
      <c r="G168" t="inlineStr">
        <is>
          <t>434-2023-01-31</t>
        </is>
      </c>
      <c r="H168" t="inlineStr">
        <is>
          <t>Consultorio Psicología - Medellin</t>
        </is>
      </c>
      <c r="I168" t="n">
        <v>200</v>
      </c>
      <c r="J168" t="n">
        <v>0</v>
      </c>
      <c r="AV168" t="n">
        <v>0</v>
      </c>
    </row>
    <row r="169">
      <c r="A169" t="n">
        <v>208</v>
      </c>
      <c r="B169" t="inlineStr">
        <is>
          <t>Consumo de Agua m3 Mensual</t>
        </is>
      </c>
      <c r="C169" t="inlineStr">
        <is>
          <t>GESTIÓN AMBIENTAL</t>
        </is>
      </c>
      <c r="D169" t="inlineStr">
        <is>
          <t>Mensual</t>
        </is>
      </c>
      <c r="E169" t="inlineStr">
        <is>
          <t>Negativo</t>
        </is>
      </c>
      <c r="F169" s="105" t="n">
        <v>44985</v>
      </c>
      <c r="G169" t="inlineStr">
        <is>
          <t>208-2023-02-28</t>
        </is>
      </c>
      <c r="H169" t="inlineStr">
        <is>
          <t>Campus Bogotá</t>
        </is>
      </c>
      <c r="I169" t="n">
        <v>1</v>
      </c>
      <c r="J169" t="n">
        <v>456</v>
      </c>
      <c r="K169" t="n">
        <v>456</v>
      </c>
    </row>
    <row r="170">
      <c r="A170" t="n">
        <v>208</v>
      </c>
      <c r="B170" t="inlineStr">
        <is>
          <t>Consumo de Agua m3 Mensual</t>
        </is>
      </c>
      <c r="C170" t="inlineStr">
        <is>
          <t>GESTIÓN AMBIENTAL</t>
        </is>
      </c>
      <c r="D170" t="inlineStr">
        <is>
          <t>Mensual</t>
        </is>
      </c>
      <c r="E170" t="inlineStr">
        <is>
          <t>Negativo</t>
        </is>
      </c>
      <c r="F170" s="105" t="n">
        <v>44985</v>
      </c>
      <c r="G170" t="inlineStr">
        <is>
          <t>208-2023-02-28</t>
        </is>
      </c>
      <c r="H170" t="inlineStr">
        <is>
          <t>City Campus</t>
        </is>
      </c>
      <c r="I170" t="n">
        <v>1</v>
      </c>
      <c r="J170" t="n">
        <v>324</v>
      </c>
      <c r="K170" t="n">
        <v>324</v>
      </c>
    </row>
    <row r="171">
      <c r="A171" t="n">
        <v>208</v>
      </c>
      <c r="B171" t="inlineStr">
        <is>
          <t>Consumo de Agua m3 Mensual</t>
        </is>
      </c>
      <c r="C171" t="inlineStr">
        <is>
          <t>GESTIÓN AMBIENTAL</t>
        </is>
      </c>
      <c r="D171" t="inlineStr">
        <is>
          <t>Mensual</t>
        </is>
      </c>
      <c r="E171" t="inlineStr">
        <is>
          <t>Negativo</t>
        </is>
      </c>
      <c r="F171" s="105" t="n">
        <v>44985</v>
      </c>
      <c r="G171" t="inlineStr">
        <is>
          <t>208-2023-02-28</t>
        </is>
      </c>
      <c r="H171" t="inlineStr">
        <is>
          <t>Sede Posgrado-Calle 85</t>
        </is>
      </c>
      <c r="I171" t="n">
        <v>1</v>
      </c>
      <c r="J171" t="n">
        <v>0</v>
      </c>
      <c r="K171" t="n">
        <v>0</v>
      </c>
    </row>
    <row r="172">
      <c r="A172" t="n">
        <v>208</v>
      </c>
      <c r="B172" t="inlineStr">
        <is>
          <t>Consumo de Agua m3 Mensual</t>
        </is>
      </c>
      <c r="C172" t="inlineStr">
        <is>
          <t>GESTIÓN AMBIENTAL</t>
        </is>
      </c>
      <c r="D172" t="inlineStr">
        <is>
          <t>Mensual</t>
        </is>
      </c>
      <c r="E172" t="inlineStr">
        <is>
          <t>Negativo</t>
        </is>
      </c>
      <c r="F172" s="105" t="n">
        <v>44985</v>
      </c>
      <c r="G172" t="inlineStr">
        <is>
          <t>208-2023-02-28</t>
        </is>
      </c>
      <c r="H172" t="inlineStr">
        <is>
          <t>Campus-Medellín</t>
        </is>
      </c>
      <c r="I172" t="n">
        <v>1</v>
      </c>
      <c r="J172" t="n">
        <v>111</v>
      </c>
      <c r="K172" t="n">
        <v>111</v>
      </c>
    </row>
    <row r="173">
      <c r="A173" t="n">
        <v>208</v>
      </c>
      <c r="B173" t="inlineStr">
        <is>
          <t>Consumo de Agua m3 Mensual</t>
        </is>
      </c>
      <c r="C173" t="inlineStr">
        <is>
          <t>GESTIÓN AMBIENTAL</t>
        </is>
      </c>
      <c r="D173" t="inlineStr">
        <is>
          <t>Mensual</t>
        </is>
      </c>
      <c r="E173" t="inlineStr">
        <is>
          <t>Negativo</t>
        </is>
      </c>
      <c r="F173" s="105" t="n">
        <v>44985</v>
      </c>
      <c r="G173" t="inlineStr">
        <is>
          <t>208-2023-02-28</t>
        </is>
      </c>
      <c r="H173" t="inlineStr">
        <is>
          <t>Sede Bienestar - Medellín</t>
        </is>
      </c>
      <c r="I173" t="n">
        <v>0</v>
      </c>
      <c r="J173" t="n">
        <v>0</v>
      </c>
      <c r="K173" t="n">
        <v>0</v>
      </c>
    </row>
    <row r="174">
      <c r="A174" t="n">
        <v>208</v>
      </c>
      <c r="B174" t="inlineStr">
        <is>
          <t>Consumo de Agua m3 Mensual</t>
        </is>
      </c>
      <c r="C174" t="inlineStr">
        <is>
          <t>GESTIÓN AMBIENTAL</t>
        </is>
      </c>
      <c r="D174" t="inlineStr">
        <is>
          <t>Mensual</t>
        </is>
      </c>
      <c r="E174" t="inlineStr">
        <is>
          <t>Negativo</t>
        </is>
      </c>
      <c r="F174" s="105" t="n">
        <v>44985</v>
      </c>
      <c r="G174" t="inlineStr">
        <is>
          <t>208-2023-02-28</t>
        </is>
      </c>
      <c r="H174" t="inlineStr">
        <is>
          <t>Consultorio Psicología - Medellin</t>
        </is>
      </c>
      <c r="I174" t="n">
        <v>1</v>
      </c>
      <c r="J174" t="n">
        <v>5</v>
      </c>
      <c r="K174" t="n">
        <v>5</v>
      </c>
    </row>
    <row r="175">
      <c r="A175" t="n">
        <v>214</v>
      </c>
      <c r="B175" t="inlineStr">
        <is>
          <t>Generación de Residuos Sólidos Mensual</t>
        </is>
      </c>
      <c r="C175" t="inlineStr">
        <is>
          <t>GESTIÓN AMBIENTAL</t>
        </is>
      </c>
      <c r="D175" t="inlineStr">
        <is>
          <t>Mensual</t>
        </is>
      </c>
      <c r="E175" t="inlineStr">
        <is>
          <t>Negativo</t>
        </is>
      </c>
      <c r="F175" s="105" t="n">
        <v>44985</v>
      </c>
      <c r="G175" t="inlineStr">
        <is>
          <t>214-2023-02-28</t>
        </is>
      </c>
      <c r="H175" t="inlineStr">
        <is>
          <t>Campus Bogotá</t>
        </is>
      </c>
      <c r="I175" t="n">
        <v>7500</v>
      </c>
      <c r="J175" t="n">
        <v>1004</v>
      </c>
      <c r="L175" t="n">
        <v>579</v>
      </c>
      <c r="M175" t="n">
        <v>425</v>
      </c>
    </row>
    <row r="176">
      <c r="A176" t="n">
        <v>214</v>
      </c>
      <c r="B176" t="inlineStr">
        <is>
          <t>Generación de Residuos Sólidos Mensual</t>
        </is>
      </c>
      <c r="C176" t="inlineStr">
        <is>
          <t>GESTIÓN AMBIENTAL</t>
        </is>
      </c>
      <c r="D176" t="inlineStr">
        <is>
          <t>Mensual</t>
        </is>
      </c>
      <c r="E176" t="inlineStr">
        <is>
          <t>Negativo</t>
        </is>
      </c>
      <c r="F176" s="105" t="n">
        <v>44985</v>
      </c>
      <c r="G176" t="inlineStr">
        <is>
          <t>214-2023-02-28</t>
        </is>
      </c>
      <c r="H176" t="inlineStr">
        <is>
          <t>City Campus</t>
        </is>
      </c>
      <c r="I176" t="n">
        <v>7500</v>
      </c>
      <c r="J176" t="n">
        <v>607.8599853515625</v>
      </c>
      <c r="L176" t="n">
        <v>0</v>
      </c>
      <c r="M176" t="n">
        <v>607.86</v>
      </c>
    </row>
    <row r="177">
      <c r="A177" t="n">
        <v>214</v>
      </c>
      <c r="B177" t="inlineStr">
        <is>
          <t>Generación de Residuos Sólidos Mensual</t>
        </is>
      </c>
      <c r="C177" t="inlineStr">
        <is>
          <t>GESTIÓN AMBIENTAL</t>
        </is>
      </c>
      <c r="D177" t="inlineStr">
        <is>
          <t>Mensual</t>
        </is>
      </c>
      <c r="E177" t="inlineStr">
        <is>
          <t>Negativo</t>
        </is>
      </c>
      <c r="F177" s="105" t="n">
        <v>44985</v>
      </c>
      <c r="G177" t="inlineStr">
        <is>
          <t>214-2023-02-28</t>
        </is>
      </c>
      <c r="H177" t="inlineStr">
        <is>
          <t>Sede Posgrado-Calle 85</t>
        </is>
      </c>
      <c r="I177" t="n">
        <v>7500</v>
      </c>
      <c r="J177" t="n">
        <v>0</v>
      </c>
      <c r="L177" t="n">
        <v>0</v>
      </c>
      <c r="M177" t="n">
        <v>0</v>
      </c>
    </row>
    <row r="178">
      <c r="A178" t="n">
        <v>214</v>
      </c>
      <c r="B178" t="inlineStr">
        <is>
          <t>Generación de Residuos Sólidos Mensual</t>
        </is>
      </c>
      <c r="C178" t="inlineStr">
        <is>
          <t>GESTIÓN AMBIENTAL</t>
        </is>
      </c>
      <c r="D178" t="inlineStr">
        <is>
          <t>Mensual</t>
        </is>
      </c>
      <c r="E178" t="inlineStr">
        <is>
          <t>Negativo</t>
        </is>
      </c>
      <c r="F178" s="105" t="n">
        <v>44985</v>
      </c>
      <c r="G178" t="inlineStr">
        <is>
          <t>214-2023-02-28</t>
        </is>
      </c>
      <c r="H178" t="inlineStr">
        <is>
          <t>Campus-Medellín</t>
        </is>
      </c>
      <c r="I178" t="n">
        <v>7500</v>
      </c>
      <c r="J178" t="n">
        <v>643.7999877929688</v>
      </c>
      <c r="L178" t="n">
        <v>0</v>
      </c>
      <c r="M178" t="n">
        <v>643.8</v>
      </c>
    </row>
    <row r="179">
      <c r="A179" t="n">
        <v>214</v>
      </c>
      <c r="B179" t="inlineStr">
        <is>
          <t>Generación de Residuos Sólidos Mensual</t>
        </is>
      </c>
      <c r="C179" t="inlineStr">
        <is>
          <t>GESTIÓN AMBIENTAL</t>
        </is>
      </c>
      <c r="D179" t="inlineStr">
        <is>
          <t>Mensual</t>
        </is>
      </c>
      <c r="E179" t="inlineStr">
        <is>
          <t>Negativo</t>
        </is>
      </c>
      <c r="F179" s="105" t="n">
        <v>44985</v>
      </c>
      <c r="G179" t="inlineStr">
        <is>
          <t>214-2023-02-28</t>
        </is>
      </c>
      <c r="H179" t="inlineStr">
        <is>
          <t>Sede Bienestar - Medellín</t>
        </is>
      </c>
      <c r="I179" t="n">
        <v>1</v>
      </c>
      <c r="J179" t="n">
        <v>0</v>
      </c>
      <c r="L179" t="n">
        <v>0</v>
      </c>
      <c r="M179" t="n">
        <v>0</v>
      </c>
    </row>
    <row r="180">
      <c r="A180" t="n">
        <v>214</v>
      </c>
      <c r="B180" t="inlineStr">
        <is>
          <t>Generación de Residuos Sólidos Mensual</t>
        </is>
      </c>
      <c r="C180" t="inlineStr">
        <is>
          <t>GESTIÓN AMBIENTAL</t>
        </is>
      </c>
      <c r="D180" t="inlineStr">
        <is>
          <t>Mensual</t>
        </is>
      </c>
      <c r="E180" t="inlineStr">
        <is>
          <t>Negativo</t>
        </is>
      </c>
      <c r="F180" s="105" t="n">
        <v>44985</v>
      </c>
      <c r="G180" t="inlineStr">
        <is>
          <t>214-2023-02-28</t>
        </is>
      </c>
      <c r="H180" t="inlineStr">
        <is>
          <t>Consultorio Psicología - Medellin</t>
        </is>
      </c>
      <c r="I180" t="n">
        <v>1</v>
      </c>
      <c r="J180" t="n">
        <v>0</v>
      </c>
      <c r="L180" t="n">
        <v>0</v>
      </c>
      <c r="M180" t="n">
        <v>0</v>
      </c>
    </row>
    <row r="181">
      <c r="A181" t="n">
        <v>217</v>
      </c>
      <c r="B181" t="inlineStr">
        <is>
          <t>Aprovechamiento de Residuos</t>
        </is>
      </c>
      <c r="C181" t="inlineStr">
        <is>
          <t>GESTIÓN AMBIENTAL</t>
        </is>
      </c>
      <c r="D181" t="inlineStr">
        <is>
          <t>Mensual</t>
        </is>
      </c>
      <c r="E181" t="inlineStr">
        <is>
          <t>Positivo</t>
        </is>
      </c>
      <c r="F181" s="105" t="n">
        <v>44985</v>
      </c>
      <c r="G181" t="inlineStr">
        <is>
          <t>217-2023-02-28</t>
        </is>
      </c>
      <c r="H181" t="inlineStr">
        <is>
          <t>Campus Bogotá</t>
        </is>
      </c>
      <c r="I181" t="n">
        <v>20</v>
      </c>
      <c r="J181" t="n">
        <v>57.66999816894531</v>
      </c>
      <c r="L181" t="n">
        <v>579</v>
      </c>
      <c r="M181" t="n">
        <v>425</v>
      </c>
      <c r="AS181" t="n">
        <v>579</v>
      </c>
    </row>
    <row r="182">
      <c r="A182" t="n">
        <v>217</v>
      </c>
      <c r="B182" t="inlineStr">
        <is>
          <t>Aprovechamiento de Residuos</t>
        </is>
      </c>
      <c r="C182" t="inlineStr">
        <is>
          <t>GESTIÓN AMBIENTAL</t>
        </is>
      </c>
      <c r="D182" t="inlineStr">
        <is>
          <t>Mensual</t>
        </is>
      </c>
      <c r="E182" t="inlineStr">
        <is>
          <t>Positivo</t>
        </is>
      </c>
      <c r="F182" s="105" t="n">
        <v>44985</v>
      </c>
      <c r="G182" t="inlineStr">
        <is>
          <t>217-2023-02-28</t>
        </is>
      </c>
      <c r="H182" t="inlineStr">
        <is>
          <t>City Campus</t>
        </is>
      </c>
      <c r="I182" t="n">
        <v>20</v>
      </c>
      <c r="J182" t="n">
        <v>0</v>
      </c>
      <c r="L182" t="n">
        <v>0</v>
      </c>
      <c r="M182" t="n">
        <v>607.86</v>
      </c>
      <c r="AS182" t="n">
        <v>0</v>
      </c>
    </row>
    <row r="183">
      <c r="A183" t="n">
        <v>217</v>
      </c>
      <c r="B183" t="inlineStr">
        <is>
          <t>Aprovechamiento de Residuos</t>
        </is>
      </c>
      <c r="C183" t="inlineStr">
        <is>
          <t>GESTIÓN AMBIENTAL</t>
        </is>
      </c>
      <c r="D183" t="inlineStr">
        <is>
          <t>Mensual</t>
        </is>
      </c>
      <c r="E183" t="inlineStr">
        <is>
          <t>Positivo</t>
        </is>
      </c>
      <c r="F183" s="105" t="n">
        <v>44985</v>
      </c>
      <c r="G183" t="inlineStr">
        <is>
          <t>217-2023-02-28</t>
        </is>
      </c>
      <c r="H183" t="inlineStr">
        <is>
          <t>Sede Posgrado-Calle 85</t>
        </is>
      </c>
      <c r="I183" t="n">
        <v>20</v>
      </c>
      <c r="J183" t="n">
        <v>0</v>
      </c>
      <c r="L183" t="n">
        <v>0</v>
      </c>
      <c r="M183" t="n">
        <v>0</v>
      </c>
      <c r="AS183" t="n">
        <v>0</v>
      </c>
    </row>
    <row r="184">
      <c r="A184" t="n">
        <v>217</v>
      </c>
      <c r="B184" t="inlineStr">
        <is>
          <t>Aprovechamiento de Residuos</t>
        </is>
      </c>
      <c r="C184" t="inlineStr">
        <is>
          <t>GESTIÓN AMBIENTAL</t>
        </is>
      </c>
      <c r="D184" t="inlineStr">
        <is>
          <t>Mensual</t>
        </is>
      </c>
      <c r="E184" t="inlineStr">
        <is>
          <t>Positivo</t>
        </is>
      </c>
      <c r="F184" s="105" t="n">
        <v>44985</v>
      </c>
      <c r="G184" t="inlineStr">
        <is>
          <t>217-2023-02-28</t>
        </is>
      </c>
      <c r="H184" t="inlineStr">
        <is>
          <t>Campus-Medellín</t>
        </is>
      </c>
      <c r="I184" t="n">
        <v>20</v>
      </c>
      <c r="J184" t="n">
        <v>0</v>
      </c>
      <c r="L184" t="n">
        <v>0</v>
      </c>
      <c r="M184" t="n">
        <v>643.8</v>
      </c>
      <c r="AS184" t="n">
        <v>0</v>
      </c>
    </row>
    <row r="185">
      <c r="A185" t="n">
        <v>217</v>
      </c>
      <c r="B185" t="inlineStr">
        <is>
          <t>Aprovechamiento de Residuos</t>
        </is>
      </c>
      <c r="C185" t="inlineStr">
        <is>
          <t>GESTIÓN AMBIENTAL</t>
        </is>
      </c>
      <c r="D185" t="inlineStr">
        <is>
          <t>Mensual</t>
        </is>
      </c>
      <c r="E185" t="inlineStr">
        <is>
          <t>Positivo</t>
        </is>
      </c>
      <c r="F185" s="105" t="n">
        <v>44985</v>
      </c>
      <c r="G185" t="inlineStr">
        <is>
          <t>217-2023-02-28</t>
        </is>
      </c>
      <c r="H185" t="inlineStr">
        <is>
          <t>Sede Bienestar - Medellín</t>
        </is>
      </c>
      <c r="I185" t="n">
        <v>20</v>
      </c>
      <c r="J185" t="n">
        <v>0</v>
      </c>
      <c r="L185" t="n">
        <v>0</v>
      </c>
      <c r="M185" t="n">
        <v>0</v>
      </c>
      <c r="AS185" t="n">
        <v>0</v>
      </c>
    </row>
    <row r="186">
      <c r="A186" t="n">
        <v>217</v>
      </c>
      <c r="B186" t="inlineStr">
        <is>
          <t>Aprovechamiento de Residuos</t>
        </is>
      </c>
      <c r="C186" t="inlineStr">
        <is>
          <t>GESTIÓN AMBIENTAL</t>
        </is>
      </c>
      <c r="D186" t="inlineStr">
        <is>
          <t>Mensual</t>
        </is>
      </c>
      <c r="E186" t="inlineStr">
        <is>
          <t>Positivo</t>
        </is>
      </c>
      <c r="F186" s="105" t="n">
        <v>44985</v>
      </c>
      <c r="G186" t="inlineStr">
        <is>
          <t>217-2023-02-28</t>
        </is>
      </c>
      <c r="H186" t="inlineStr">
        <is>
          <t>Consultorio Psicología - Medellin</t>
        </is>
      </c>
      <c r="I186" t="n">
        <v>20</v>
      </c>
      <c r="J186" t="n">
        <v>0</v>
      </c>
      <c r="L186" t="n">
        <v>0</v>
      </c>
      <c r="M186" t="n">
        <v>0</v>
      </c>
      <c r="AS186" t="n">
        <v>0</v>
      </c>
    </row>
    <row r="187">
      <c r="A187" t="n">
        <v>218</v>
      </c>
      <c r="B187" t="inlineStr">
        <is>
          <t>Consumo de Energía Eléctrica kWh Mensual</t>
        </is>
      </c>
      <c r="C187" t="inlineStr">
        <is>
          <t>GESTIÓN AMBIENTAL</t>
        </is>
      </c>
      <c r="D187" t="inlineStr">
        <is>
          <t>Mensual</t>
        </is>
      </c>
      <c r="E187" t="inlineStr">
        <is>
          <t>Negativo</t>
        </is>
      </c>
      <c r="F187" s="105" t="n">
        <v>44985</v>
      </c>
      <c r="G187" t="inlineStr">
        <is>
          <t>218-2023-02-28</t>
        </is>
      </c>
      <c r="H187" t="inlineStr">
        <is>
          <t>Campus Bogotá</t>
        </is>
      </c>
      <c r="I187" t="n">
        <v>172000</v>
      </c>
      <c r="J187" t="n">
        <v>63291</v>
      </c>
      <c r="N187" t="n">
        <v>63291</v>
      </c>
    </row>
    <row r="188">
      <c r="A188" t="n">
        <v>218</v>
      </c>
      <c r="B188" t="inlineStr">
        <is>
          <t>Consumo de Energía Eléctrica kWh Mensual</t>
        </is>
      </c>
      <c r="C188" t="inlineStr">
        <is>
          <t>GESTIÓN AMBIENTAL</t>
        </is>
      </c>
      <c r="D188" t="inlineStr">
        <is>
          <t>Mensual</t>
        </is>
      </c>
      <c r="E188" t="inlineStr">
        <is>
          <t>Negativo</t>
        </is>
      </c>
      <c r="F188" s="105" t="n">
        <v>44985</v>
      </c>
      <c r="G188" t="inlineStr">
        <is>
          <t>218-2023-02-28</t>
        </is>
      </c>
      <c r="H188" t="inlineStr">
        <is>
          <t>City Campus</t>
        </is>
      </c>
      <c r="I188" t="n">
        <v>172000</v>
      </c>
      <c r="J188" t="n">
        <v>37050</v>
      </c>
      <c r="N188" t="n">
        <v>37050</v>
      </c>
    </row>
    <row r="189">
      <c r="A189" t="n">
        <v>218</v>
      </c>
      <c r="B189" t="inlineStr">
        <is>
          <t>Consumo de Energía Eléctrica kWh Mensual</t>
        </is>
      </c>
      <c r="C189" t="inlineStr">
        <is>
          <t>GESTIÓN AMBIENTAL</t>
        </is>
      </c>
      <c r="D189" t="inlineStr">
        <is>
          <t>Mensual</t>
        </is>
      </c>
      <c r="E189" t="inlineStr">
        <is>
          <t>Negativo</t>
        </is>
      </c>
      <c r="F189" s="105" t="n">
        <v>44985</v>
      </c>
      <c r="G189" t="inlineStr">
        <is>
          <t>218-2023-02-28</t>
        </is>
      </c>
      <c r="H189" t="inlineStr">
        <is>
          <t>Sede Posgrado-Calle 85</t>
        </is>
      </c>
      <c r="I189" t="n">
        <v>172000</v>
      </c>
      <c r="J189" t="n">
        <v>0</v>
      </c>
      <c r="N189" t="n">
        <v>0</v>
      </c>
    </row>
    <row r="190">
      <c r="A190" t="n">
        <v>218</v>
      </c>
      <c r="B190" t="inlineStr">
        <is>
          <t>Consumo de Energía Eléctrica kWh Mensual</t>
        </is>
      </c>
      <c r="C190" t="inlineStr">
        <is>
          <t>GESTIÓN AMBIENTAL</t>
        </is>
      </c>
      <c r="D190" t="inlineStr">
        <is>
          <t>Mensual</t>
        </is>
      </c>
      <c r="E190" t="inlineStr">
        <is>
          <t>Negativo</t>
        </is>
      </c>
      <c r="F190" s="105" t="n">
        <v>44985</v>
      </c>
      <c r="G190" t="inlineStr">
        <is>
          <t>218-2023-02-28</t>
        </is>
      </c>
      <c r="H190" t="inlineStr">
        <is>
          <t>Campus-Medellín</t>
        </is>
      </c>
      <c r="I190" t="n">
        <v>172000</v>
      </c>
      <c r="J190" t="n">
        <v>9350</v>
      </c>
      <c r="N190" t="n">
        <v>9350</v>
      </c>
    </row>
    <row r="191">
      <c r="A191" t="n">
        <v>218</v>
      </c>
      <c r="B191" t="inlineStr">
        <is>
          <t>Consumo de Energía Eléctrica kWh Mensual</t>
        </is>
      </c>
      <c r="C191" t="inlineStr">
        <is>
          <t>GESTIÓN AMBIENTAL</t>
        </is>
      </c>
      <c r="D191" t="inlineStr">
        <is>
          <t>Mensual</t>
        </is>
      </c>
      <c r="E191" t="inlineStr">
        <is>
          <t>Negativo</t>
        </is>
      </c>
      <c r="F191" s="105" t="n">
        <v>44985</v>
      </c>
      <c r="G191" t="inlineStr">
        <is>
          <t>218-2023-02-28</t>
        </is>
      </c>
      <c r="H191" t="inlineStr">
        <is>
          <t>Sede Bienestar - Medellín</t>
        </is>
      </c>
      <c r="I191" t="n">
        <v>172000</v>
      </c>
      <c r="J191" t="n">
        <v>1320</v>
      </c>
      <c r="N191" t="n">
        <v>1320</v>
      </c>
    </row>
    <row r="192">
      <c r="A192" t="n">
        <v>218</v>
      </c>
      <c r="B192" t="inlineStr">
        <is>
          <t>Consumo de Energía Eléctrica kWh Mensual</t>
        </is>
      </c>
      <c r="C192" t="inlineStr">
        <is>
          <t>GESTIÓN AMBIENTAL</t>
        </is>
      </c>
      <c r="D192" t="inlineStr">
        <is>
          <t>Mensual</t>
        </is>
      </c>
      <c r="E192" t="inlineStr">
        <is>
          <t>Negativo</t>
        </is>
      </c>
      <c r="F192" s="105" t="n">
        <v>44985</v>
      </c>
      <c r="G192" t="inlineStr">
        <is>
          <t>218-2023-02-28</t>
        </is>
      </c>
      <c r="H192" t="inlineStr">
        <is>
          <t>Consultorio Psicología - Medellin</t>
        </is>
      </c>
      <c r="I192" t="n">
        <v>172000</v>
      </c>
      <c r="J192" t="n">
        <v>857</v>
      </c>
      <c r="N192" t="n">
        <v>857</v>
      </c>
    </row>
    <row r="193">
      <c r="A193" t="n">
        <v>225</v>
      </c>
      <c r="B193" t="inlineStr">
        <is>
          <t>Acciones para el Cuidado y Mantenimiento de las Especies de Flora y el Suelo de las Áreas Naturales</t>
        </is>
      </c>
      <c r="C193" t="inlineStr">
        <is>
          <t>GESTIÓN AMBIENTAL</t>
        </is>
      </c>
      <c r="D193" t="inlineStr">
        <is>
          <t>Mensual</t>
        </is>
      </c>
      <c r="E193" t="inlineStr">
        <is>
          <t>Positivo</t>
        </is>
      </c>
      <c r="F193" s="105" t="n">
        <v>44985</v>
      </c>
      <c r="G193" t="inlineStr">
        <is>
          <t>225-2023-02-28</t>
        </is>
      </c>
      <c r="H193" t="inlineStr">
        <is>
          <t>Campus Bogotá</t>
        </is>
      </c>
      <c r="I193" t="n">
        <v>1</v>
      </c>
      <c r="J193" t="n">
        <v>6</v>
      </c>
      <c r="AT193" t="n">
        <v>6</v>
      </c>
    </row>
    <row r="194">
      <c r="A194" t="n">
        <v>225</v>
      </c>
      <c r="B194" t="inlineStr">
        <is>
          <t>Acciones para el Cuidado y Mantenimiento de las Especies de Flora y el Suelo de las Áreas Naturales</t>
        </is>
      </c>
      <c r="C194" t="inlineStr">
        <is>
          <t>GESTIÓN AMBIENTAL</t>
        </is>
      </c>
      <c r="D194" t="inlineStr">
        <is>
          <t>Mensual</t>
        </is>
      </c>
      <c r="E194" t="inlineStr">
        <is>
          <t>Positivo</t>
        </is>
      </c>
      <c r="F194" s="105" t="n">
        <v>44985</v>
      </c>
      <c r="G194" t="inlineStr">
        <is>
          <t>225-2023-02-28</t>
        </is>
      </c>
      <c r="H194" t="inlineStr">
        <is>
          <t>City Campus</t>
        </is>
      </c>
      <c r="I194" t="n">
        <v>1</v>
      </c>
      <c r="J194" t="n">
        <v>2</v>
      </c>
      <c r="AT194" t="n">
        <v>2</v>
      </c>
    </row>
    <row r="195">
      <c r="A195" t="n">
        <v>225</v>
      </c>
      <c r="B195" t="inlineStr">
        <is>
          <t>Acciones para el Cuidado y Mantenimiento de las Especies de Flora y el Suelo de las Áreas Naturales</t>
        </is>
      </c>
      <c r="C195" t="inlineStr">
        <is>
          <t>GESTIÓN AMBIENTAL</t>
        </is>
      </c>
      <c r="D195" t="inlineStr">
        <is>
          <t>Mensual</t>
        </is>
      </c>
      <c r="E195" t="inlineStr">
        <is>
          <t>Positivo</t>
        </is>
      </c>
      <c r="F195" s="105" t="n">
        <v>44985</v>
      </c>
      <c r="G195" t="inlineStr">
        <is>
          <t>225-2023-02-28</t>
        </is>
      </c>
      <c r="H195" t="inlineStr">
        <is>
          <t>Sede Posgrado-Calle 85</t>
        </is>
      </c>
      <c r="I195" t="n">
        <v>1</v>
      </c>
      <c r="J195" t="n">
        <v>0</v>
      </c>
      <c r="AT195" t="n">
        <v>0</v>
      </c>
    </row>
    <row r="196">
      <c r="A196" t="n">
        <v>225</v>
      </c>
      <c r="B196" t="inlineStr">
        <is>
          <t>Acciones para el Cuidado y Mantenimiento de las Especies de Flora y el Suelo de las Áreas Naturales</t>
        </is>
      </c>
      <c r="C196" t="inlineStr">
        <is>
          <t>GESTIÓN AMBIENTAL</t>
        </is>
      </c>
      <c r="D196" t="inlineStr">
        <is>
          <t>Mensual</t>
        </is>
      </c>
      <c r="E196" t="inlineStr">
        <is>
          <t>Positivo</t>
        </is>
      </c>
      <c r="F196" s="105" t="n">
        <v>44985</v>
      </c>
      <c r="G196" t="inlineStr">
        <is>
          <t>225-2023-02-28</t>
        </is>
      </c>
      <c r="H196" t="inlineStr">
        <is>
          <t>Campus-Medellín</t>
        </is>
      </c>
      <c r="I196" t="n">
        <v>1</v>
      </c>
      <c r="J196" t="n">
        <v>10</v>
      </c>
      <c r="AT196" t="n">
        <v>10</v>
      </c>
    </row>
    <row r="197">
      <c r="A197" t="n">
        <v>225</v>
      </c>
      <c r="B197" t="inlineStr">
        <is>
          <t>Acciones para el Cuidado y Mantenimiento de las Especies de Flora y el Suelo de las Áreas Naturales</t>
        </is>
      </c>
      <c r="C197" t="inlineStr">
        <is>
          <t>GESTIÓN AMBIENTAL</t>
        </is>
      </c>
      <c r="D197" t="inlineStr">
        <is>
          <t>Mensual</t>
        </is>
      </c>
      <c r="E197" t="inlineStr">
        <is>
          <t>Positivo</t>
        </is>
      </c>
      <c r="F197" s="105" t="n">
        <v>44985</v>
      </c>
      <c r="G197" t="inlineStr">
        <is>
          <t>225-2023-02-28</t>
        </is>
      </c>
      <c r="H197" t="inlineStr">
        <is>
          <t>Sede Bienestar - Medellín</t>
        </is>
      </c>
      <c r="I197" t="n">
        <v>1</v>
      </c>
      <c r="J197" t="n">
        <v>1</v>
      </c>
      <c r="AT197" t="n">
        <v>1</v>
      </c>
    </row>
    <row r="198">
      <c r="A198" t="n">
        <v>225</v>
      </c>
      <c r="B198" t="inlineStr">
        <is>
          <t>Acciones para el Cuidado y Mantenimiento de las Especies de Flora y el Suelo de las Áreas Naturales</t>
        </is>
      </c>
      <c r="C198" t="inlineStr">
        <is>
          <t>GESTIÓN AMBIENTAL</t>
        </is>
      </c>
      <c r="D198" t="inlineStr">
        <is>
          <t>Mensual</t>
        </is>
      </c>
      <c r="E198" t="inlineStr">
        <is>
          <t>Positivo</t>
        </is>
      </c>
      <c r="F198" s="105" t="n">
        <v>44985</v>
      </c>
      <c r="G198" t="inlineStr">
        <is>
          <t>225-2023-02-28</t>
        </is>
      </c>
      <c r="H198" t="inlineStr">
        <is>
          <t>Consultorio Psicología - Medellin</t>
        </is>
      </c>
      <c r="I198" t="n">
        <v>1</v>
      </c>
      <c r="J198" t="n">
        <v>1</v>
      </c>
      <c r="AT198" t="n">
        <v>1</v>
      </c>
    </row>
    <row r="199">
      <c r="A199" t="n">
        <v>239</v>
      </c>
      <c r="B199" t="inlineStr">
        <is>
          <t>Portafolio de Proyectos - Metrica</t>
        </is>
      </c>
      <c r="C199" t="inlineStr">
        <is>
          <t>Gestión de Proyectos</t>
        </is>
      </c>
      <c r="D199" t="inlineStr">
        <is>
          <t>Mensual</t>
        </is>
      </c>
      <c r="E199" t="inlineStr">
        <is>
          <t>Positivo</t>
        </is>
      </c>
      <c r="F199" s="105" t="n">
        <v>44985</v>
      </c>
      <c r="G199" t="inlineStr">
        <is>
          <t>239-2023-02-28</t>
        </is>
      </c>
      <c r="H199" t="inlineStr">
        <is>
          <t>Planificación</t>
        </is>
      </c>
      <c r="J199" t="n">
        <v>6</v>
      </c>
      <c r="AU199" t="n">
        <v>6</v>
      </c>
    </row>
    <row r="200">
      <c r="A200" t="n">
        <v>239</v>
      </c>
      <c r="B200" t="inlineStr">
        <is>
          <t>Portafolio de Proyectos - Metrica</t>
        </is>
      </c>
      <c r="C200" t="inlineStr">
        <is>
          <t>Gestión de Proyectos</t>
        </is>
      </c>
      <c r="D200" t="inlineStr">
        <is>
          <t>Mensual</t>
        </is>
      </c>
      <c r="E200" t="inlineStr">
        <is>
          <t>Positivo</t>
        </is>
      </c>
      <c r="F200" s="105" t="n">
        <v>44985</v>
      </c>
      <c r="G200" t="inlineStr">
        <is>
          <t>239-2023-02-28</t>
        </is>
      </c>
      <c r="H200" t="inlineStr">
        <is>
          <t>Ejecución</t>
        </is>
      </c>
      <c r="J200" t="n">
        <v>7</v>
      </c>
      <c r="AU200" t="n">
        <v>7</v>
      </c>
    </row>
    <row r="201">
      <c r="A201" t="n">
        <v>239</v>
      </c>
      <c r="B201" t="inlineStr">
        <is>
          <t>Portafolio de Proyectos - Metrica</t>
        </is>
      </c>
      <c r="C201" t="inlineStr">
        <is>
          <t>Gestión de Proyectos</t>
        </is>
      </c>
      <c r="D201" t="inlineStr">
        <is>
          <t>Mensual</t>
        </is>
      </c>
      <c r="E201" t="inlineStr">
        <is>
          <t>Positivo</t>
        </is>
      </c>
      <c r="F201" s="105" t="n">
        <v>44985</v>
      </c>
      <c r="G201" t="inlineStr">
        <is>
          <t>239-2023-02-28</t>
        </is>
      </c>
      <c r="H201" t="inlineStr">
        <is>
          <t>Finalizados</t>
        </is>
      </c>
      <c r="J201" t="n">
        <v>5</v>
      </c>
      <c r="AU201" t="n">
        <v>5</v>
      </c>
    </row>
    <row r="202">
      <c r="A202" t="n">
        <v>208</v>
      </c>
      <c r="B202" t="inlineStr">
        <is>
          <t>Consumo de Agua m3 Mensual</t>
        </is>
      </c>
      <c r="C202" t="inlineStr">
        <is>
          <t>GESTIÓN AMBIENTAL</t>
        </is>
      </c>
      <c r="D202" t="inlineStr">
        <is>
          <t>Mensual</t>
        </is>
      </c>
      <c r="E202" t="inlineStr">
        <is>
          <t>Negativo</t>
        </is>
      </c>
      <c r="F202" s="105" t="n">
        <v>45016</v>
      </c>
      <c r="G202" t="inlineStr">
        <is>
          <t>208-2023-03-31</t>
        </is>
      </c>
      <c r="H202" t="inlineStr">
        <is>
          <t>City Campus</t>
        </is>
      </c>
      <c r="I202" t="n">
        <v>1</v>
      </c>
      <c r="J202" t="n">
        <v>317</v>
      </c>
      <c r="K202" t="n">
        <v>317</v>
      </c>
    </row>
    <row r="203">
      <c r="A203" t="n">
        <v>208</v>
      </c>
      <c r="B203" t="inlineStr">
        <is>
          <t>Consumo de Agua m3 Mensual</t>
        </is>
      </c>
      <c r="C203" t="inlineStr">
        <is>
          <t>GESTIÓN AMBIENTAL</t>
        </is>
      </c>
      <c r="D203" t="inlineStr">
        <is>
          <t>Mensual</t>
        </is>
      </c>
      <c r="E203" t="inlineStr">
        <is>
          <t>Negativo</t>
        </is>
      </c>
      <c r="F203" s="105" t="n">
        <v>45016</v>
      </c>
      <c r="G203" t="inlineStr">
        <is>
          <t>208-2023-03-31</t>
        </is>
      </c>
      <c r="H203" t="inlineStr">
        <is>
          <t>Sede Posgrado-Calle 85</t>
        </is>
      </c>
      <c r="I203" t="n">
        <v>1</v>
      </c>
      <c r="J203" t="n">
        <v>0</v>
      </c>
      <c r="K203" t="n">
        <v>0</v>
      </c>
    </row>
    <row r="204">
      <c r="A204" t="n">
        <v>208</v>
      </c>
      <c r="B204" t="inlineStr">
        <is>
          <t>Consumo de Agua m3 Mensual</t>
        </is>
      </c>
      <c r="C204" t="inlineStr">
        <is>
          <t>GESTIÓN AMBIENTAL</t>
        </is>
      </c>
      <c r="D204" t="inlineStr">
        <is>
          <t>Mensual</t>
        </is>
      </c>
      <c r="E204" t="inlineStr">
        <is>
          <t>Negativo</t>
        </is>
      </c>
      <c r="F204" s="105" t="n">
        <v>45016</v>
      </c>
      <c r="G204" t="inlineStr">
        <is>
          <t>208-2023-03-31</t>
        </is>
      </c>
      <c r="H204" t="inlineStr">
        <is>
          <t>Campus-Medellín</t>
        </is>
      </c>
      <c r="I204" t="n">
        <v>1</v>
      </c>
      <c r="J204" t="n">
        <v>183</v>
      </c>
      <c r="K204" t="n">
        <v>183</v>
      </c>
    </row>
    <row r="205">
      <c r="A205" t="n">
        <v>208</v>
      </c>
      <c r="B205" t="inlineStr">
        <is>
          <t>Consumo de Agua m3 Mensual</t>
        </is>
      </c>
      <c r="C205" t="inlineStr">
        <is>
          <t>GESTIÓN AMBIENTAL</t>
        </is>
      </c>
      <c r="D205" t="inlineStr">
        <is>
          <t>Mensual</t>
        </is>
      </c>
      <c r="E205" t="inlineStr">
        <is>
          <t>Negativo</t>
        </is>
      </c>
      <c r="F205" s="105" t="n">
        <v>45016</v>
      </c>
      <c r="G205" t="inlineStr">
        <is>
          <t>208-2023-03-31</t>
        </is>
      </c>
      <c r="H205" t="inlineStr">
        <is>
          <t>Sede Bienestar - Medellín</t>
        </is>
      </c>
      <c r="I205" t="n">
        <v>0</v>
      </c>
      <c r="J205" t="n">
        <v>0</v>
      </c>
      <c r="K205" t="n">
        <v>0</v>
      </c>
    </row>
    <row r="206">
      <c r="A206" t="n">
        <v>208</v>
      </c>
      <c r="B206" t="inlineStr">
        <is>
          <t>Consumo de Agua m3 Mensual</t>
        </is>
      </c>
      <c r="C206" t="inlineStr">
        <is>
          <t>GESTIÓN AMBIENTAL</t>
        </is>
      </c>
      <c r="D206" t="inlineStr">
        <is>
          <t>Mensual</t>
        </is>
      </c>
      <c r="E206" t="inlineStr">
        <is>
          <t>Negativo</t>
        </is>
      </c>
      <c r="F206" s="105" t="n">
        <v>45016</v>
      </c>
      <c r="G206" t="inlineStr">
        <is>
          <t>208-2023-03-31</t>
        </is>
      </c>
      <c r="H206" t="inlineStr">
        <is>
          <t>Consultorio Psicología - Medellin</t>
        </is>
      </c>
      <c r="I206" t="n">
        <v>1</v>
      </c>
      <c r="J206" t="n">
        <v>9</v>
      </c>
      <c r="K206" t="n">
        <v>9</v>
      </c>
    </row>
    <row r="207">
      <c r="A207" t="n">
        <v>208</v>
      </c>
      <c r="B207" t="inlineStr">
        <is>
          <t>Consumo de Agua m3 Mensual</t>
        </is>
      </c>
      <c r="C207" t="inlineStr">
        <is>
          <t>GESTIÓN AMBIENTAL</t>
        </is>
      </c>
      <c r="D207" t="inlineStr">
        <is>
          <t>Mensual</t>
        </is>
      </c>
      <c r="E207" t="inlineStr">
        <is>
          <t>Negativo</t>
        </is>
      </c>
      <c r="F207" s="105" t="n">
        <v>45016</v>
      </c>
      <c r="G207" t="inlineStr">
        <is>
          <t>208-2023-03-31</t>
        </is>
      </c>
      <c r="H207" t="inlineStr">
        <is>
          <t>Campus Bogotá</t>
        </is>
      </c>
      <c r="I207" t="n">
        <v>1</v>
      </c>
      <c r="J207" t="n">
        <v>452.7000122070312</v>
      </c>
      <c r="K207" t="n">
        <v>452.7</v>
      </c>
    </row>
    <row r="208">
      <c r="A208" t="n">
        <v>214</v>
      </c>
      <c r="B208" t="inlineStr">
        <is>
          <t>Generación de Residuos Sólidos Mensual</t>
        </is>
      </c>
      <c r="C208" t="inlineStr">
        <is>
          <t>GESTIÓN AMBIENTAL</t>
        </is>
      </c>
      <c r="D208" t="inlineStr">
        <is>
          <t>Mensual</t>
        </is>
      </c>
      <c r="E208" t="inlineStr">
        <is>
          <t>Negativo</t>
        </is>
      </c>
      <c r="F208" s="105" t="n">
        <v>45016</v>
      </c>
      <c r="G208" t="inlineStr">
        <is>
          <t>214-2023-03-31</t>
        </is>
      </c>
      <c r="H208" t="inlineStr">
        <is>
          <t>Campus Bogotá</t>
        </is>
      </c>
      <c r="I208" t="n">
        <v>7500</v>
      </c>
      <c r="J208" t="n">
        <v>1330</v>
      </c>
      <c r="L208" t="n">
        <v>714</v>
      </c>
      <c r="M208" t="n">
        <v>616</v>
      </c>
    </row>
    <row r="209">
      <c r="A209" t="n">
        <v>214</v>
      </c>
      <c r="B209" t="inlineStr">
        <is>
          <t>Generación de Residuos Sólidos Mensual</t>
        </is>
      </c>
      <c r="C209" t="inlineStr">
        <is>
          <t>GESTIÓN AMBIENTAL</t>
        </is>
      </c>
      <c r="D209" t="inlineStr">
        <is>
          <t>Mensual</t>
        </is>
      </c>
      <c r="E209" t="inlineStr">
        <is>
          <t>Negativo</t>
        </is>
      </c>
      <c r="F209" s="105" t="n">
        <v>45016</v>
      </c>
      <c r="G209" t="inlineStr">
        <is>
          <t>214-2023-03-31</t>
        </is>
      </c>
      <c r="H209" t="inlineStr">
        <is>
          <t>City Campus</t>
        </is>
      </c>
      <c r="I209" t="n">
        <v>7500</v>
      </c>
      <c r="J209" t="n">
        <v>791.4000244140625</v>
      </c>
      <c r="L209" t="n">
        <v>0</v>
      </c>
      <c r="M209" t="n">
        <v>791.4</v>
      </c>
    </row>
    <row r="210">
      <c r="A210" t="n">
        <v>214</v>
      </c>
      <c r="B210" t="inlineStr">
        <is>
          <t>Generación de Residuos Sólidos Mensual</t>
        </is>
      </c>
      <c r="C210" t="inlineStr">
        <is>
          <t>GESTIÓN AMBIENTAL</t>
        </is>
      </c>
      <c r="D210" t="inlineStr">
        <is>
          <t>Mensual</t>
        </is>
      </c>
      <c r="E210" t="inlineStr">
        <is>
          <t>Negativo</t>
        </is>
      </c>
      <c r="F210" s="105" t="n">
        <v>45016</v>
      </c>
      <c r="G210" t="inlineStr">
        <is>
          <t>214-2023-03-31</t>
        </is>
      </c>
      <c r="H210" t="inlineStr">
        <is>
          <t>Sede Posgrado-Calle 85</t>
        </is>
      </c>
      <c r="I210" t="n">
        <v>7500</v>
      </c>
      <c r="J210" t="n">
        <v>0</v>
      </c>
      <c r="L210" t="n">
        <v>0</v>
      </c>
      <c r="M210" t="n">
        <v>0</v>
      </c>
    </row>
    <row r="211">
      <c r="A211" t="n">
        <v>214</v>
      </c>
      <c r="B211" t="inlineStr">
        <is>
          <t>Generación de Residuos Sólidos Mensual</t>
        </is>
      </c>
      <c r="C211" t="inlineStr">
        <is>
          <t>GESTIÓN AMBIENTAL</t>
        </is>
      </c>
      <c r="D211" t="inlineStr">
        <is>
          <t>Mensual</t>
        </is>
      </c>
      <c r="E211" t="inlineStr">
        <is>
          <t>Negativo</t>
        </is>
      </c>
      <c r="F211" s="105" t="n">
        <v>45016</v>
      </c>
      <c r="G211" t="inlineStr">
        <is>
          <t>214-2023-03-31</t>
        </is>
      </c>
      <c r="H211" t="inlineStr">
        <is>
          <t>Campus-Medellín</t>
        </is>
      </c>
      <c r="I211" t="n">
        <v>7500</v>
      </c>
      <c r="J211" t="n">
        <v>635.5999755859375</v>
      </c>
      <c r="L211" t="n">
        <v>0</v>
      </c>
      <c r="M211" t="n">
        <v>635.6</v>
      </c>
    </row>
    <row r="212">
      <c r="A212" t="n">
        <v>214</v>
      </c>
      <c r="B212" t="inlineStr">
        <is>
          <t>Generación de Residuos Sólidos Mensual</t>
        </is>
      </c>
      <c r="C212" t="inlineStr">
        <is>
          <t>GESTIÓN AMBIENTAL</t>
        </is>
      </c>
      <c r="D212" t="inlineStr">
        <is>
          <t>Mensual</t>
        </is>
      </c>
      <c r="E212" t="inlineStr">
        <is>
          <t>Negativo</t>
        </is>
      </c>
      <c r="F212" s="105" t="n">
        <v>45016</v>
      </c>
      <c r="G212" t="inlineStr">
        <is>
          <t>214-2023-03-31</t>
        </is>
      </c>
      <c r="H212" t="inlineStr">
        <is>
          <t>Sede Bienestar - Medellín</t>
        </is>
      </c>
      <c r="I212" t="n">
        <v>1</v>
      </c>
      <c r="J212" t="n">
        <v>0</v>
      </c>
      <c r="L212" t="n">
        <v>0</v>
      </c>
      <c r="M212" t="n">
        <v>0</v>
      </c>
    </row>
    <row r="213">
      <c r="A213" t="n">
        <v>214</v>
      </c>
      <c r="B213" t="inlineStr">
        <is>
          <t>Generación de Residuos Sólidos Mensual</t>
        </is>
      </c>
      <c r="C213" t="inlineStr">
        <is>
          <t>GESTIÓN AMBIENTAL</t>
        </is>
      </c>
      <c r="D213" t="inlineStr">
        <is>
          <t>Mensual</t>
        </is>
      </c>
      <c r="E213" t="inlineStr">
        <is>
          <t>Negativo</t>
        </is>
      </c>
      <c r="F213" s="105" t="n">
        <v>45016</v>
      </c>
      <c r="G213" t="inlineStr">
        <is>
          <t>214-2023-03-31</t>
        </is>
      </c>
      <c r="H213" t="inlineStr">
        <is>
          <t>Consultorio Psicología - Medellin</t>
        </is>
      </c>
      <c r="I213" t="n">
        <v>1</v>
      </c>
      <c r="J213" t="n">
        <v>0</v>
      </c>
      <c r="L213" t="n">
        <v>0</v>
      </c>
      <c r="M213" t="n">
        <v>0</v>
      </c>
    </row>
    <row r="214">
      <c r="A214" t="n">
        <v>217</v>
      </c>
      <c r="B214" t="inlineStr">
        <is>
          <t>Aprovechamiento de Residuos</t>
        </is>
      </c>
      <c r="C214" t="inlineStr">
        <is>
          <t>GESTIÓN AMBIENTAL</t>
        </is>
      </c>
      <c r="D214" t="inlineStr">
        <is>
          <t>Mensual</t>
        </is>
      </c>
      <c r="E214" t="inlineStr">
        <is>
          <t>Positivo</t>
        </is>
      </c>
      <c r="F214" s="105" t="n">
        <v>45016</v>
      </c>
      <c r="G214" t="inlineStr">
        <is>
          <t>217-2023-03-31</t>
        </is>
      </c>
      <c r="H214" t="inlineStr">
        <is>
          <t>Campus Bogotá</t>
        </is>
      </c>
      <c r="I214" t="n">
        <v>20</v>
      </c>
      <c r="J214" t="n">
        <v>53.68000030517578</v>
      </c>
      <c r="L214" t="n">
        <v>714</v>
      </c>
      <c r="M214" t="n">
        <v>616</v>
      </c>
      <c r="AS214" t="n">
        <v>714</v>
      </c>
    </row>
    <row r="215">
      <c r="A215" t="n">
        <v>217</v>
      </c>
      <c r="B215" t="inlineStr">
        <is>
          <t>Aprovechamiento de Residuos</t>
        </is>
      </c>
      <c r="C215" t="inlineStr">
        <is>
          <t>GESTIÓN AMBIENTAL</t>
        </is>
      </c>
      <c r="D215" t="inlineStr">
        <is>
          <t>Mensual</t>
        </is>
      </c>
      <c r="E215" t="inlineStr">
        <is>
          <t>Positivo</t>
        </is>
      </c>
      <c r="F215" s="105" t="n">
        <v>45016</v>
      </c>
      <c r="G215" t="inlineStr">
        <is>
          <t>217-2023-03-31</t>
        </is>
      </c>
      <c r="H215" t="inlineStr">
        <is>
          <t>City Campus</t>
        </is>
      </c>
      <c r="I215" t="n">
        <v>20</v>
      </c>
      <c r="J215" t="n">
        <v>0</v>
      </c>
      <c r="L215" t="n">
        <v>0</v>
      </c>
      <c r="M215" t="n">
        <v>791.4</v>
      </c>
      <c r="AS215" t="n">
        <v>0</v>
      </c>
    </row>
    <row r="216">
      <c r="A216" t="n">
        <v>217</v>
      </c>
      <c r="B216" t="inlineStr">
        <is>
          <t>Aprovechamiento de Residuos</t>
        </is>
      </c>
      <c r="C216" t="inlineStr">
        <is>
          <t>GESTIÓN AMBIENTAL</t>
        </is>
      </c>
      <c r="D216" t="inlineStr">
        <is>
          <t>Mensual</t>
        </is>
      </c>
      <c r="E216" t="inlineStr">
        <is>
          <t>Positivo</t>
        </is>
      </c>
      <c r="F216" s="105" t="n">
        <v>45016</v>
      </c>
      <c r="G216" t="inlineStr">
        <is>
          <t>217-2023-03-31</t>
        </is>
      </c>
      <c r="H216" t="inlineStr">
        <is>
          <t>Sede Posgrado-Calle 85</t>
        </is>
      </c>
      <c r="I216" t="n">
        <v>20</v>
      </c>
      <c r="J216" t="n">
        <v>0</v>
      </c>
      <c r="L216" t="n">
        <v>0</v>
      </c>
      <c r="M216" t="n">
        <v>0</v>
      </c>
      <c r="AS216" t="n">
        <v>0</v>
      </c>
    </row>
    <row r="217">
      <c r="A217" t="n">
        <v>217</v>
      </c>
      <c r="B217" t="inlineStr">
        <is>
          <t>Aprovechamiento de Residuos</t>
        </is>
      </c>
      <c r="C217" t="inlineStr">
        <is>
          <t>GESTIÓN AMBIENTAL</t>
        </is>
      </c>
      <c r="D217" t="inlineStr">
        <is>
          <t>Mensual</t>
        </is>
      </c>
      <c r="E217" t="inlineStr">
        <is>
          <t>Positivo</t>
        </is>
      </c>
      <c r="F217" s="105" t="n">
        <v>45016</v>
      </c>
      <c r="G217" t="inlineStr">
        <is>
          <t>217-2023-03-31</t>
        </is>
      </c>
      <c r="H217" t="inlineStr">
        <is>
          <t>Campus-Medellín</t>
        </is>
      </c>
      <c r="I217" t="n">
        <v>20</v>
      </c>
      <c r="J217" t="n">
        <v>0</v>
      </c>
      <c r="L217" t="n">
        <v>0</v>
      </c>
      <c r="M217" t="n">
        <v>635.6</v>
      </c>
      <c r="AS217" t="n">
        <v>0</v>
      </c>
    </row>
    <row r="218">
      <c r="A218" t="n">
        <v>217</v>
      </c>
      <c r="B218" t="inlineStr">
        <is>
          <t>Aprovechamiento de Residuos</t>
        </is>
      </c>
      <c r="C218" t="inlineStr">
        <is>
          <t>GESTIÓN AMBIENTAL</t>
        </is>
      </c>
      <c r="D218" t="inlineStr">
        <is>
          <t>Mensual</t>
        </is>
      </c>
      <c r="E218" t="inlineStr">
        <is>
          <t>Positivo</t>
        </is>
      </c>
      <c r="F218" s="105" t="n">
        <v>45016</v>
      </c>
      <c r="G218" t="inlineStr">
        <is>
          <t>217-2023-03-31</t>
        </is>
      </c>
      <c r="H218" t="inlineStr">
        <is>
          <t>Sede Bienestar - Medellín</t>
        </is>
      </c>
      <c r="I218" t="n">
        <v>20</v>
      </c>
      <c r="J218" t="n">
        <v>0</v>
      </c>
      <c r="L218" t="n">
        <v>0</v>
      </c>
      <c r="M218" t="n">
        <v>0</v>
      </c>
      <c r="AS218" t="n">
        <v>0</v>
      </c>
    </row>
    <row r="219">
      <c r="A219" t="n">
        <v>217</v>
      </c>
      <c r="B219" t="inlineStr">
        <is>
          <t>Aprovechamiento de Residuos</t>
        </is>
      </c>
      <c r="C219" t="inlineStr">
        <is>
          <t>GESTIÓN AMBIENTAL</t>
        </is>
      </c>
      <c r="D219" t="inlineStr">
        <is>
          <t>Mensual</t>
        </is>
      </c>
      <c r="E219" t="inlineStr">
        <is>
          <t>Positivo</t>
        </is>
      </c>
      <c r="F219" s="105" t="n">
        <v>45016</v>
      </c>
      <c r="G219" t="inlineStr">
        <is>
          <t>217-2023-03-31</t>
        </is>
      </c>
      <c r="H219" t="inlineStr">
        <is>
          <t>Consultorio Psicología - Medellin</t>
        </is>
      </c>
      <c r="I219" t="n">
        <v>20</v>
      </c>
      <c r="J219" t="n">
        <v>0</v>
      </c>
      <c r="L219" t="n">
        <v>0</v>
      </c>
      <c r="M219" t="n">
        <v>0</v>
      </c>
      <c r="AS219" t="n">
        <v>0</v>
      </c>
    </row>
    <row r="220">
      <c r="A220" t="n">
        <v>218</v>
      </c>
      <c r="B220" t="inlineStr">
        <is>
          <t>Consumo de Energía Eléctrica kWh Mensual</t>
        </is>
      </c>
      <c r="C220" t="inlineStr">
        <is>
          <t>GESTIÓN AMBIENTAL</t>
        </is>
      </c>
      <c r="D220" t="inlineStr">
        <is>
          <t>Mensual</t>
        </is>
      </c>
      <c r="E220" t="inlineStr">
        <is>
          <t>Negativo</t>
        </is>
      </c>
      <c r="F220" s="105" t="n">
        <v>45016</v>
      </c>
      <c r="G220" t="inlineStr">
        <is>
          <t>218-2023-03-31</t>
        </is>
      </c>
      <c r="H220" t="inlineStr">
        <is>
          <t>Campus Bogotá</t>
        </is>
      </c>
      <c r="I220" t="n">
        <v>172000</v>
      </c>
      <c r="J220" t="n">
        <v>72373.3984375</v>
      </c>
      <c r="N220" t="n">
        <v>72373.41</v>
      </c>
    </row>
    <row r="221">
      <c r="A221" t="n">
        <v>218</v>
      </c>
      <c r="B221" t="inlineStr">
        <is>
          <t>Consumo de Energía Eléctrica kWh Mensual</t>
        </is>
      </c>
      <c r="C221" t="inlineStr">
        <is>
          <t>GESTIÓN AMBIENTAL</t>
        </is>
      </c>
      <c r="D221" t="inlineStr">
        <is>
          <t>Mensual</t>
        </is>
      </c>
      <c r="E221" t="inlineStr">
        <is>
          <t>Negativo</t>
        </is>
      </c>
      <c r="F221" s="105" t="n">
        <v>45016</v>
      </c>
      <c r="G221" t="inlineStr">
        <is>
          <t>218-2023-03-31</t>
        </is>
      </c>
      <c r="H221" t="inlineStr">
        <is>
          <t>City Campus</t>
        </is>
      </c>
      <c r="I221" t="n">
        <v>172000</v>
      </c>
      <c r="J221" t="n">
        <v>54150</v>
      </c>
      <c r="N221" t="n">
        <v>54150</v>
      </c>
    </row>
    <row r="222">
      <c r="A222" t="n">
        <v>218</v>
      </c>
      <c r="B222" t="inlineStr">
        <is>
          <t>Consumo de Energía Eléctrica kWh Mensual</t>
        </is>
      </c>
      <c r="C222" t="inlineStr">
        <is>
          <t>GESTIÓN AMBIENTAL</t>
        </is>
      </c>
      <c r="D222" t="inlineStr">
        <is>
          <t>Mensual</t>
        </is>
      </c>
      <c r="E222" t="inlineStr">
        <is>
          <t>Negativo</t>
        </is>
      </c>
      <c r="F222" s="105" t="n">
        <v>45016</v>
      </c>
      <c r="G222" t="inlineStr">
        <is>
          <t>218-2023-03-31</t>
        </is>
      </c>
      <c r="H222" t="inlineStr">
        <is>
          <t>Sede Posgrado-Calle 85</t>
        </is>
      </c>
      <c r="I222" t="n">
        <v>172000</v>
      </c>
      <c r="J222" t="n">
        <v>0</v>
      </c>
      <c r="N222" t="n">
        <v>0</v>
      </c>
    </row>
    <row r="223">
      <c r="A223" t="n">
        <v>218</v>
      </c>
      <c r="B223" t="inlineStr">
        <is>
          <t>Consumo de Energía Eléctrica kWh Mensual</t>
        </is>
      </c>
      <c r="C223" t="inlineStr">
        <is>
          <t>GESTIÓN AMBIENTAL</t>
        </is>
      </c>
      <c r="D223" t="inlineStr">
        <is>
          <t>Mensual</t>
        </is>
      </c>
      <c r="E223" t="inlineStr">
        <is>
          <t>Negativo</t>
        </is>
      </c>
      <c r="F223" s="105" t="n">
        <v>45016</v>
      </c>
      <c r="G223" t="inlineStr">
        <is>
          <t>218-2023-03-31</t>
        </is>
      </c>
      <c r="H223" t="inlineStr">
        <is>
          <t>Campus-Medellín</t>
        </is>
      </c>
      <c r="I223" t="n">
        <v>172000</v>
      </c>
      <c r="J223" t="n">
        <v>20304</v>
      </c>
      <c r="N223" t="n">
        <v>20304</v>
      </c>
    </row>
    <row r="224">
      <c r="A224" t="n">
        <v>218</v>
      </c>
      <c r="B224" t="inlineStr">
        <is>
          <t>Consumo de Energía Eléctrica kWh Mensual</t>
        </is>
      </c>
      <c r="C224" t="inlineStr">
        <is>
          <t>GESTIÓN AMBIENTAL</t>
        </is>
      </c>
      <c r="D224" t="inlineStr">
        <is>
          <t>Mensual</t>
        </is>
      </c>
      <c r="E224" t="inlineStr">
        <is>
          <t>Negativo</t>
        </is>
      </c>
      <c r="F224" s="105" t="n">
        <v>45016</v>
      </c>
      <c r="G224" t="inlineStr">
        <is>
          <t>218-2023-03-31</t>
        </is>
      </c>
      <c r="H224" t="inlineStr">
        <is>
          <t>Sede Bienestar - Medellín</t>
        </is>
      </c>
      <c r="I224" t="n">
        <v>172000</v>
      </c>
      <c r="J224" t="n">
        <v>3360</v>
      </c>
      <c r="N224" t="n">
        <v>3360</v>
      </c>
    </row>
    <row r="225">
      <c r="A225" t="n">
        <v>218</v>
      </c>
      <c r="B225" t="inlineStr">
        <is>
          <t>Consumo de Energía Eléctrica kWh Mensual</t>
        </is>
      </c>
      <c r="C225" t="inlineStr">
        <is>
          <t>GESTIÓN AMBIENTAL</t>
        </is>
      </c>
      <c r="D225" t="inlineStr">
        <is>
          <t>Mensual</t>
        </is>
      </c>
      <c r="E225" t="inlineStr">
        <is>
          <t>Negativo</t>
        </is>
      </c>
      <c r="F225" s="105" t="n">
        <v>45016</v>
      </c>
      <c r="G225" t="inlineStr">
        <is>
          <t>218-2023-03-31</t>
        </is>
      </c>
      <c r="H225" t="inlineStr">
        <is>
          <t>Consultorio Psicología - Medellin</t>
        </is>
      </c>
      <c r="I225" t="n">
        <v>172000</v>
      </c>
      <c r="J225" t="n">
        <v>1254</v>
      </c>
      <c r="N225" t="n">
        <v>1254</v>
      </c>
    </row>
    <row r="226">
      <c r="A226" t="n">
        <v>225</v>
      </c>
      <c r="B226" t="inlineStr">
        <is>
          <t>Acciones para el Cuidado y Mantenimiento de las Especies de Flora y el Suelo de las Áreas Naturales</t>
        </is>
      </c>
      <c r="C226" t="inlineStr">
        <is>
          <t>GESTIÓN AMBIENTAL</t>
        </is>
      </c>
      <c r="D226" t="inlineStr">
        <is>
          <t>Mensual</t>
        </is>
      </c>
      <c r="E226" t="inlineStr">
        <is>
          <t>Positivo</t>
        </is>
      </c>
      <c r="F226" s="105" t="n">
        <v>45016</v>
      </c>
      <c r="G226" t="inlineStr">
        <is>
          <t>225-2023-03-31</t>
        </is>
      </c>
      <c r="H226" t="inlineStr">
        <is>
          <t>Campus Bogotá</t>
        </is>
      </c>
      <c r="I226" t="n">
        <v>1</v>
      </c>
      <c r="J226" t="n">
        <v>5</v>
      </c>
      <c r="AT226" t="n">
        <v>5</v>
      </c>
    </row>
    <row r="227">
      <c r="A227" t="n">
        <v>225</v>
      </c>
      <c r="B227" t="inlineStr">
        <is>
          <t>Acciones para el Cuidado y Mantenimiento de las Especies de Flora y el Suelo de las Áreas Naturales</t>
        </is>
      </c>
      <c r="C227" t="inlineStr">
        <is>
          <t>GESTIÓN AMBIENTAL</t>
        </is>
      </c>
      <c r="D227" t="inlineStr">
        <is>
          <t>Mensual</t>
        </is>
      </c>
      <c r="E227" t="inlineStr">
        <is>
          <t>Positivo</t>
        </is>
      </c>
      <c r="F227" s="105" t="n">
        <v>45016</v>
      </c>
      <c r="G227" t="inlineStr">
        <is>
          <t>225-2023-03-31</t>
        </is>
      </c>
      <c r="H227" t="inlineStr">
        <is>
          <t>City Campus</t>
        </is>
      </c>
      <c r="I227" t="n">
        <v>1</v>
      </c>
      <c r="J227" t="n">
        <v>2</v>
      </c>
      <c r="AT227" t="n">
        <v>2</v>
      </c>
    </row>
    <row r="228">
      <c r="A228" t="n">
        <v>225</v>
      </c>
      <c r="B228" t="inlineStr">
        <is>
          <t>Acciones para el Cuidado y Mantenimiento de las Especies de Flora y el Suelo de las Áreas Naturales</t>
        </is>
      </c>
      <c r="C228" t="inlineStr">
        <is>
          <t>GESTIÓN AMBIENTAL</t>
        </is>
      </c>
      <c r="D228" t="inlineStr">
        <is>
          <t>Mensual</t>
        </is>
      </c>
      <c r="E228" t="inlineStr">
        <is>
          <t>Positivo</t>
        </is>
      </c>
      <c r="F228" s="105" t="n">
        <v>45016</v>
      </c>
      <c r="G228" t="inlineStr">
        <is>
          <t>225-2023-03-31</t>
        </is>
      </c>
      <c r="H228" t="inlineStr">
        <is>
          <t>Sede Posgrado-Calle 85</t>
        </is>
      </c>
      <c r="I228" t="n">
        <v>1</v>
      </c>
      <c r="J228" t="n">
        <v>0</v>
      </c>
      <c r="AT228" t="n">
        <v>0</v>
      </c>
    </row>
    <row r="229">
      <c r="A229" t="n">
        <v>225</v>
      </c>
      <c r="B229" t="inlineStr">
        <is>
          <t>Acciones para el Cuidado y Mantenimiento de las Especies de Flora y el Suelo de las Áreas Naturales</t>
        </is>
      </c>
      <c r="C229" t="inlineStr">
        <is>
          <t>GESTIÓN AMBIENTAL</t>
        </is>
      </c>
      <c r="D229" t="inlineStr">
        <is>
          <t>Mensual</t>
        </is>
      </c>
      <c r="E229" t="inlineStr">
        <is>
          <t>Positivo</t>
        </is>
      </c>
      <c r="F229" s="105" t="n">
        <v>45016</v>
      </c>
      <c r="G229" t="inlineStr">
        <is>
          <t>225-2023-03-31</t>
        </is>
      </c>
      <c r="H229" t="inlineStr">
        <is>
          <t>Campus-Medellín</t>
        </is>
      </c>
      <c r="I229" t="n">
        <v>1</v>
      </c>
      <c r="J229" t="n">
        <v>10</v>
      </c>
      <c r="AT229" t="n">
        <v>10</v>
      </c>
    </row>
    <row r="230">
      <c r="A230" t="n">
        <v>225</v>
      </c>
      <c r="B230" t="inlineStr">
        <is>
          <t>Acciones para el Cuidado y Mantenimiento de las Especies de Flora y el Suelo de las Áreas Naturales</t>
        </is>
      </c>
      <c r="C230" t="inlineStr">
        <is>
          <t>GESTIÓN AMBIENTAL</t>
        </is>
      </c>
      <c r="D230" t="inlineStr">
        <is>
          <t>Mensual</t>
        </is>
      </c>
      <c r="E230" t="inlineStr">
        <is>
          <t>Positivo</t>
        </is>
      </c>
      <c r="F230" s="105" t="n">
        <v>45016</v>
      </c>
      <c r="G230" t="inlineStr">
        <is>
          <t>225-2023-03-31</t>
        </is>
      </c>
      <c r="H230" t="inlineStr">
        <is>
          <t>Sede Bienestar - Medellín</t>
        </is>
      </c>
      <c r="I230" t="n">
        <v>1</v>
      </c>
      <c r="J230" t="n">
        <v>1</v>
      </c>
      <c r="AT230" t="n">
        <v>1</v>
      </c>
    </row>
    <row r="231">
      <c r="A231" t="n">
        <v>225</v>
      </c>
      <c r="B231" t="inlineStr">
        <is>
          <t>Acciones para el Cuidado y Mantenimiento de las Especies de Flora y el Suelo de las Áreas Naturales</t>
        </is>
      </c>
      <c r="C231" t="inlineStr">
        <is>
          <t>GESTIÓN AMBIENTAL</t>
        </is>
      </c>
      <c r="D231" t="inlineStr">
        <is>
          <t>Mensual</t>
        </is>
      </c>
      <c r="E231" t="inlineStr">
        <is>
          <t>Positivo</t>
        </is>
      </c>
      <c r="F231" s="105" t="n">
        <v>45016</v>
      </c>
      <c r="G231" t="inlineStr">
        <is>
          <t>225-2023-03-31</t>
        </is>
      </c>
      <c r="H231" t="inlineStr">
        <is>
          <t>Consultorio Psicología - Medellin</t>
        </is>
      </c>
      <c r="I231" t="n">
        <v>1</v>
      </c>
      <c r="J231" t="n">
        <v>1</v>
      </c>
      <c r="AT231" t="n">
        <v>1</v>
      </c>
    </row>
    <row r="232">
      <c r="A232" t="n">
        <v>239</v>
      </c>
      <c r="B232" t="inlineStr">
        <is>
          <t>Portafolio de Proyectos - Metrica</t>
        </is>
      </c>
      <c r="C232" t="inlineStr">
        <is>
          <t>Gestión de Proyectos</t>
        </is>
      </c>
      <c r="D232" t="inlineStr">
        <is>
          <t>Mensual</t>
        </is>
      </c>
      <c r="E232" t="inlineStr">
        <is>
          <t>Positivo</t>
        </is>
      </c>
      <c r="F232" s="105" t="n">
        <v>45016</v>
      </c>
      <c r="G232" t="inlineStr">
        <is>
          <t>239-2023-03-31</t>
        </is>
      </c>
      <c r="H232" t="inlineStr">
        <is>
          <t>Planificación</t>
        </is>
      </c>
      <c r="J232" t="n">
        <v>6</v>
      </c>
      <c r="AU232" t="n">
        <v>6</v>
      </c>
    </row>
    <row r="233">
      <c r="A233" t="n">
        <v>239</v>
      </c>
      <c r="B233" t="inlineStr">
        <is>
          <t>Portafolio de Proyectos - Metrica</t>
        </is>
      </c>
      <c r="C233" t="inlineStr">
        <is>
          <t>Gestión de Proyectos</t>
        </is>
      </c>
      <c r="D233" t="inlineStr">
        <is>
          <t>Mensual</t>
        </is>
      </c>
      <c r="E233" t="inlineStr">
        <is>
          <t>Positivo</t>
        </is>
      </c>
      <c r="F233" s="105" t="n">
        <v>45016</v>
      </c>
      <c r="G233" t="inlineStr">
        <is>
          <t>239-2023-03-31</t>
        </is>
      </c>
      <c r="H233" t="inlineStr">
        <is>
          <t>Ejecución</t>
        </is>
      </c>
      <c r="J233" t="n">
        <v>6</v>
      </c>
      <c r="AU233" t="n">
        <v>6</v>
      </c>
    </row>
    <row r="234">
      <c r="A234" t="n">
        <v>239</v>
      </c>
      <c r="B234" t="inlineStr">
        <is>
          <t>Portafolio de Proyectos - Metrica</t>
        </is>
      </c>
      <c r="C234" t="inlineStr">
        <is>
          <t>Gestión de Proyectos</t>
        </is>
      </c>
      <c r="D234" t="inlineStr">
        <is>
          <t>Mensual</t>
        </is>
      </c>
      <c r="E234" t="inlineStr">
        <is>
          <t>Positivo</t>
        </is>
      </c>
      <c r="F234" s="105" t="n">
        <v>45016</v>
      </c>
      <c r="G234" t="inlineStr">
        <is>
          <t>239-2023-03-31</t>
        </is>
      </c>
      <c r="H234" t="inlineStr">
        <is>
          <t>Cierre</t>
        </is>
      </c>
      <c r="J234" t="n">
        <v>1</v>
      </c>
      <c r="AU234" t="n">
        <v>1</v>
      </c>
    </row>
    <row r="235">
      <c r="A235" t="n">
        <v>239</v>
      </c>
      <c r="B235" t="inlineStr">
        <is>
          <t>Portafolio de Proyectos - Metrica</t>
        </is>
      </c>
      <c r="C235" t="inlineStr">
        <is>
          <t>Gestión de Proyectos</t>
        </is>
      </c>
      <c r="D235" t="inlineStr">
        <is>
          <t>Mensual</t>
        </is>
      </c>
      <c r="E235" t="inlineStr">
        <is>
          <t>Positivo</t>
        </is>
      </c>
      <c r="F235" s="105" t="n">
        <v>45016</v>
      </c>
      <c r="G235" t="inlineStr">
        <is>
          <t>239-2023-03-31</t>
        </is>
      </c>
      <c r="H235" t="inlineStr">
        <is>
          <t>Finalizados</t>
        </is>
      </c>
      <c r="J235" t="n">
        <v>5</v>
      </c>
      <c r="AU235" t="n">
        <v>5</v>
      </c>
    </row>
    <row r="236">
      <c r="A236" t="n">
        <v>434</v>
      </c>
      <c r="B236" t="inlineStr">
        <is>
          <t>Generación de Residuos Peligrosos Mensual</t>
        </is>
      </c>
      <c r="C236" t="inlineStr">
        <is>
          <t>GESTIÓN AMBIENTAL</t>
        </is>
      </c>
      <c r="D236" t="inlineStr">
        <is>
          <t>Mensual</t>
        </is>
      </c>
      <c r="E236" t="inlineStr">
        <is>
          <t>Negativo</t>
        </is>
      </c>
      <c r="F236" s="105" t="n">
        <v>45016</v>
      </c>
      <c r="G236" t="inlineStr">
        <is>
          <t>434-2023-03-31</t>
        </is>
      </c>
      <c r="H236" t="inlineStr">
        <is>
          <t>Campus Bogotá</t>
        </is>
      </c>
      <c r="I236" t="n">
        <v>200</v>
      </c>
      <c r="J236" t="n">
        <v>1</v>
      </c>
      <c r="AV236" t="n">
        <v>1</v>
      </c>
    </row>
    <row r="237">
      <c r="A237" t="n">
        <v>434</v>
      </c>
      <c r="B237" t="inlineStr">
        <is>
          <t>Generación de Residuos Peligrosos Mensual</t>
        </is>
      </c>
      <c r="C237" t="inlineStr">
        <is>
          <t>GESTIÓN AMBIENTAL</t>
        </is>
      </c>
      <c r="D237" t="inlineStr">
        <is>
          <t>Mensual</t>
        </is>
      </c>
      <c r="E237" t="inlineStr">
        <is>
          <t>Negativo</t>
        </is>
      </c>
      <c r="F237" s="105" t="n">
        <v>45016</v>
      </c>
      <c r="G237" t="inlineStr">
        <is>
          <t>434-2023-03-31</t>
        </is>
      </c>
      <c r="H237" t="inlineStr">
        <is>
          <t>City Campus</t>
        </is>
      </c>
      <c r="I237" t="n">
        <v>200</v>
      </c>
      <c r="J237" t="n">
        <v>0</v>
      </c>
      <c r="AV237" t="n">
        <v>0</v>
      </c>
    </row>
    <row r="238">
      <c r="A238" t="n">
        <v>434</v>
      </c>
      <c r="B238" t="inlineStr">
        <is>
          <t>Generación de Residuos Peligrosos Mensual</t>
        </is>
      </c>
      <c r="C238" t="inlineStr">
        <is>
          <t>GESTIÓN AMBIENTAL</t>
        </is>
      </c>
      <c r="D238" t="inlineStr">
        <is>
          <t>Mensual</t>
        </is>
      </c>
      <c r="E238" t="inlineStr">
        <is>
          <t>Negativo</t>
        </is>
      </c>
      <c r="F238" s="105" t="n">
        <v>45016</v>
      </c>
      <c r="G238" t="inlineStr">
        <is>
          <t>434-2023-03-31</t>
        </is>
      </c>
      <c r="H238" t="inlineStr">
        <is>
          <t>Sede Posgrado-Calle 85</t>
        </is>
      </c>
      <c r="I238" t="n">
        <v>200</v>
      </c>
      <c r="J238" t="n">
        <v>0</v>
      </c>
      <c r="AV238" t="n">
        <v>0</v>
      </c>
    </row>
    <row r="239">
      <c r="A239" t="n">
        <v>434</v>
      </c>
      <c r="B239" t="inlineStr">
        <is>
          <t>Generación de Residuos Peligrosos Mensual</t>
        </is>
      </c>
      <c r="C239" t="inlineStr">
        <is>
          <t>GESTIÓN AMBIENTAL</t>
        </is>
      </c>
      <c r="D239" t="inlineStr">
        <is>
          <t>Mensual</t>
        </is>
      </c>
      <c r="E239" t="inlineStr">
        <is>
          <t>Negativo</t>
        </is>
      </c>
      <c r="F239" s="105" t="n">
        <v>45016</v>
      </c>
      <c r="G239" t="inlineStr">
        <is>
          <t>434-2023-03-31</t>
        </is>
      </c>
      <c r="H239" t="inlineStr">
        <is>
          <t>Campus-Medellín</t>
        </is>
      </c>
      <c r="I239" t="n">
        <v>200</v>
      </c>
      <c r="J239" t="n">
        <v>0</v>
      </c>
      <c r="AV239" t="n">
        <v>0</v>
      </c>
    </row>
    <row r="240">
      <c r="A240" t="n">
        <v>434</v>
      </c>
      <c r="B240" t="inlineStr">
        <is>
          <t>Generación de Residuos Peligrosos Mensual</t>
        </is>
      </c>
      <c r="C240" t="inlineStr">
        <is>
          <t>GESTIÓN AMBIENTAL</t>
        </is>
      </c>
      <c r="D240" t="inlineStr">
        <is>
          <t>Mensual</t>
        </is>
      </c>
      <c r="E240" t="inlineStr">
        <is>
          <t>Negativo</t>
        </is>
      </c>
      <c r="F240" s="105" t="n">
        <v>45016</v>
      </c>
      <c r="G240" t="inlineStr">
        <is>
          <t>434-2023-03-31</t>
        </is>
      </c>
      <c r="H240" t="inlineStr">
        <is>
          <t>Sede Bienestar - Medellín</t>
        </is>
      </c>
      <c r="I240" t="n">
        <v>200</v>
      </c>
      <c r="J240" t="n">
        <v>0</v>
      </c>
      <c r="AV240" t="n">
        <v>0</v>
      </c>
    </row>
    <row r="241">
      <c r="A241" t="n">
        <v>434</v>
      </c>
      <c r="B241" t="inlineStr">
        <is>
          <t>Generación de Residuos Peligrosos Mensual</t>
        </is>
      </c>
      <c r="C241" t="inlineStr">
        <is>
          <t>GESTIÓN AMBIENTAL</t>
        </is>
      </c>
      <c r="D241" t="inlineStr">
        <is>
          <t>Mensual</t>
        </is>
      </c>
      <c r="E241" t="inlineStr">
        <is>
          <t>Negativo</t>
        </is>
      </c>
      <c r="F241" s="105" t="n">
        <v>45016</v>
      </c>
      <c r="G241" t="inlineStr">
        <is>
          <t>434-2023-03-31</t>
        </is>
      </c>
      <c r="H241" t="inlineStr">
        <is>
          <t>Consultorio Psicología - Medellin</t>
        </is>
      </c>
      <c r="I241" t="n">
        <v>200</v>
      </c>
      <c r="J241" t="n">
        <v>0</v>
      </c>
      <c r="AV241" t="n">
        <v>0</v>
      </c>
    </row>
    <row r="242">
      <c r="A242" t="n">
        <v>213</v>
      </c>
      <c r="B242" t="inlineStr">
        <is>
          <t>Cumplimiento del Plan Anual del Sistema de Gestión Ambiental</t>
        </is>
      </c>
      <c r="C242" t="inlineStr">
        <is>
          <t>GESTIÓN AMBIENTAL</t>
        </is>
      </c>
      <c r="D242" t="inlineStr">
        <is>
          <t>Semestral</t>
        </is>
      </c>
      <c r="E242" t="inlineStr">
        <is>
          <t>Positivo</t>
        </is>
      </c>
      <c r="F242" s="105" t="n">
        <v>45016</v>
      </c>
      <c r="G242" t="inlineStr">
        <is>
          <t>213-2023-03-31</t>
        </is>
      </c>
      <c r="H242" t="inlineStr">
        <is>
          <t>Programa de Gestión del Ahorro y Uso Eficiente de la Energía</t>
        </is>
      </c>
      <c r="I242" t="n">
        <v>90</v>
      </c>
      <c r="J242" t="n">
        <v>100</v>
      </c>
      <c r="AW242" t="n">
        <v>9</v>
      </c>
      <c r="AX242" t="n">
        <v>9</v>
      </c>
    </row>
    <row r="243">
      <c r="A243" t="n">
        <v>213</v>
      </c>
      <c r="B243" t="inlineStr">
        <is>
          <t>Cumplimiento del Plan Anual del Sistema de Gestión Ambiental</t>
        </is>
      </c>
      <c r="C243" t="inlineStr">
        <is>
          <t>GESTIÓN AMBIENTAL</t>
        </is>
      </c>
      <c r="D243" t="inlineStr">
        <is>
          <t>Semestral</t>
        </is>
      </c>
      <c r="E243" t="inlineStr">
        <is>
          <t>Positivo</t>
        </is>
      </c>
      <c r="F243" s="105" t="n">
        <v>45016</v>
      </c>
      <c r="G243" t="inlineStr">
        <is>
          <t>213-2023-03-31</t>
        </is>
      </c>
      <c r="H243" t="inlineStr">
        <is>
          <t>Programa de Gestión de la Calidad, Ahorro y Uso Eficiente del Agua</t>
        </is>
      </c>
      <c r="I243" t="n">
        <v>90</v>
      </c>
      <c r="J243" t="n">
        <v>100</v>
      </c>
      <c r="AW243" t="n">
        <v>17</v>
      </c>
      <c r="AX243" t="n">
        <v>17</v>
      </c>
    </row>
    <row r="244">
      <c r="A244" t="n">
        <v>213</v>
      </c>
      <c r="B244" t="inlineStr">
        <is>
          <t>Cumplimiento del Plan Anual del Sistema de Gestión Ambiental</t>
        </is>
      </c>
      <c r="C244" t="inlineStr">
        <is>
          <t>GESTIÓN AMBIENTAL</t>
        </is>
      </c>
      <c r="D244" t="inlineStr">
        <is>
          <t>Semestral</t>
        </is>
      </c>
      <c r="E244" t="inlineStr">
        <is>
          <t>Positivo</t>
        </is>
      </c>
      <c r="F244" s="105" t="n">
        <v>45016</v>
      </c>
      <c r="G244" t="inlineStr">
        <is>
          <t>213-2023-03-31</t>
        </is>
      </c>
      <c r="H244" t="inlineStr">
        <is>
          <t>Programa de Gestión del la Calidad del Aire,  Ruido Ambiental y Publicidad Exterior Visual</t>
        </is>
      </c>
      <c r="I244" t="n">
        <v>90</v>
      </c>
      <c r="J244" t="n">
        <v>100</v>
      </c>
      <c r="AW244" t="n">
        <v>3</v>
      </c>
      <c r="AX244" t="n">
        <v>3</v>
      </c>
    </row>
    <row r="245">
      <c r="A245" t="n">
        <v>213</v>
      </c>
      <c r="B245" t="inlineStr">
        <is>
          <t>Cumplimiento del Plan Anual del Sistema de Gestión Ambiental</t>
        </is>
      </c>
      <c r="C245" t="inlineStr">
        <is>
          <t>GESTIÓN AMBIENTAL</t>
        </is>
      </c>
      <c r="D245" t="inlineStr">
        <is>
          <t>Semestral</t>
        </is>
      </c>
      <c r="E245" t="inlineStr">
        <is>
          <t>Positivo</t>
        </is>
      </c>
      <c r="F245" s="105" t="n">
        <v>45016</v>
      </c>
      <c r="G245" t="inlineStr">
        <is>
          <t>213-2023-03-31</t>
        </is>
      </c>
      <c r="H245" t="inlineStr">
        <is>
          <t>Programa Gestión de la Educación y Comunicación Ambiental</t>
        </is>
      </c>
      <c r="I245" t="n">
        <v>90</v>
      </c>
      <c r="J245" t="n">
        <v>100</v>
      </c>
      <c r="AW245" t="n">
        <v>18</v>
      </c>
      <c r="AX245" t="n">
        <v>18</v>
      </c>
    </row>
    <row r="246">
      <c r="A246" t="n">
        <v>213</v>
      </c>
      <c r="B246" t="inlineStr">
        <is>
          <t>Cumplimiento del Plan Anual del Sistema de Gestión Ambiental</t>
        </is>
      </c>
      <c r="C246" t="inlineStr">
        <is>
          <t>GESTIÓN AMBIENTAL</t>
        </is>
      </c>
      <c r="D246" t="inlineStr">
        <is>
          <t>Semestral</t>
        </is>
      </c>
      <c r="E246" t="inlineStr">
        <is>
          <t>Positivo</t>
        </is>
      </c>
      <c r="F246" s="105" t="n">
        <v>45016</v>
      </c>
      <c r="G246" t="inlineStr">
        <is>
          <t>213-2023-03-31</t>
        </is>
      </c>
      <c r="H246" t="inlineStr">
        <is>
          <t>Actividades de Gestión</t>
        </is>
      </c>
      <c r="I246" t="n">
        <v>90</v>
      </c>
      <c r="J246" t="n">
        <v>100</v>
      </c>
      <c r="AW246" t="n">
        <v>13</v>
      </c>
      <c r="AX246" t="n">
        <v>13</v>
      </c>
    </row>
    <row r="247">
      <c r="A247" t="n">
        <v>213</v>
      </c>
      <c r="B247" t="inlineStr">
        <is>
          <t>Cumplimiento del Plan Anual del Sistema de Gestión Ambiental</t>
        </is>
      </c>
      <c r="C247" t="inlineStr">
        <is>
          <t>GESTIÓN AMBIENTAL</t>
        </is>
      </c>
      <c r="D247" t="inlineStr">
        <is>
          <t>Semestral</t>
        </is>
      </c>
      <c r="E247" t="inlineStr">
        <is>
          <t>Positivo</t>
        </is>
      </c>
      <c r="F247" s="105" t="n">
        <v>45016</v>
      </c>
      <c r="G247" t="inlineStr">
        <is>
          <t>213-2023-03-31</t>
        </is>
      </c>
      <c r="H247" t="inlineStr">
        <is>
          <t>Plan de Gestión Integral de Residuos</t>
        </is>
      </c>
      <c r="I247" t="n">
        <v>90</v>
      </c>
      <c r="J247" t="n">
        <v>100</v>
      </c>
      <c r="AW247" t="n">
        <v>31</v>
      </c>
      <c r="AX247" t="n">
        <v>31</v>
      </c>
    </row>
    <row r="248">
      <c r="A248" t="n">
        <v>238</v>
      </c>
      <c r="B248" t="inlineStr">
        <is>
          <t>Cumplimiento de la Protección del Medio Ambiente</t>
        </is>
      </c>
      <c r="C248" t="inlineStr">
        <is>
          <t>GESTIÓN AMBIENTAL</t>
        </is>
      </c>
      <c r="D248" t="inlineStr">
        <is>
          <t>Semestral</t>
        </is>
      </c>
      <c r="E248" t="inlineStr">
        <is>
          <t>Positivo</t>
        </is>
      </c>
      <c r="F248" s="105" t="n">
        <v>45016</v>
      </c>
      <c r="G248" t="inlineStr">
        <is>
          <t>238-2023-03-31</t>
        </is>
      </c>
      <c r="H248" t="inlineStr">
        <is>
          <t>Cumplimiento del Plan Anual del SGA</t>
        </is>
      </c>
      <c r="I248" t="n">
        <v>90</v>
      </c>
      <c r="J248" t="n">
        <v>100</v>
      </c>
      <c r="AY248" t="n">
        <v>1</v>
      </c>
      <c r="AZ248" t="n">
        <v>1</v>
      </c>
    </row>
    <row r="249">
      <c r="A249" t="n">
        <v>238</v>
      </c>
      <c r="B249" t="inlineStr">
        <is>
          <t>Cumplimiento de la Protección del Medio Ambiente</t>
        </is>
      </c>
      <c r="C249" t="inlineStr">
        <is>
          <t>GESTIÓN AMBIENTAL</t>
        </is>
      </c>
      <c r="D249" t="inlineStr">
        <is>
          <t>Semestral</t>
        </is>
      </c>
      <c r="E249" t="inlineStr">
        <is>
          <t>Positivo</t>
        </is>
      </c>
      <c r="F249" s="105" t="n">
        <v>45016</v>
      </c>
      <c r="G249" t="inlineStr">
        <is>
          <t>238-2023-03-31</t>
        </is>
      </c>
      <c r="H249" t="inlineStr">
        <is>
          <t>Cumplimiento Gestión Integral de Residuos</t>
        </is>
      </c>
      <c r="I249" t="n">
        <v>90</v>
      </c>
      <c r="J249" t="n">
        <v>83.33000183105469</v>
      </c>
      <c r="AY249" t="n">
        <v>5</v>
      </c>
      <c r="AZ249" t="n">
        <v>6</v>
      </c>
    </row>
    <row r="250">
      <c r="A250" t="n">
        <v>238</v>
      </c>
      <c r="B250" t="inlineStr">
        <is>
          <t>Cumplimiento de la Protección del Medio Ambiente</t>
        </is>
      </c>
      <c r="C250" t="inlineStr">
        <is>
          <t>GESTIÓN AMBIENTAL</t>
        </is>
      </c>
      <c r="D250" t="inlineStr">
        <is>
          <t>Semestral</t>
        </is>
      </c>
      <c r="E250" t="inlineStr">
        <is>
          <t>Positivo</t>
        </is>
      </c>
      <c r="F250" s="105" t="n">
        <v>45016</v>
      </c>
      <c r="G250" t="inlineStr">
        <is>
          <t>238-2023-03-31</t>
        </is>
      </c>
      <c r="H250" t="inlineStr">
        <is>
          <t>Cumplimiento Gestión del Ahorro y Uso Eficiente de Energía</t>
        </is>
      </c>
      <c r="I250" t="n">
        <v>90</v>
      </c>
      <c r="J250" t="n">
        <v>100</v>
      </c>
      <c r="AY250" t="n">
        <v>3</v>
      </c>
      <c r="AZ250" t="n">
        <v>3</v>
      </c>
    </row>
    <row r="251">
      <c r="A251" t="n">
        <v>238</v>
      </c>
      <c r="B251" t="inlineStr">
        <is>
          <t>Cumplimiento de la Protección del Medio Ambiente</t>
        </is>
      </c>
      <c r="C251" t="inlineStr">
        <is>
          <t>GESTIÓN AMBIENTAL</t>
        </is>
      </c>
      <c r="D251" t="inlineStr">
        <is>
          <t>Semestral</t>
        </is>
      </c>
      <c r="E251" t="inlineStr">
        <is>
          <t>Positivo</t>
        </is>
      </c>
      <c r="F251" s="105" t="n">
        <v>45016</v>
      </c>
      <c r="G251" t="inlineStr">
        <is>
          <t>238-2023-03-31</t>
        </is>
      </c>
      <c r="H251" t="inlineStr">
        <is>
          <t>Cumplimiento Gestión de la Calidad, Ahorro y Uso Eficiente del Agua</t>
        </is>
      </c>
      <c r="I251" t="n">
        <v>90</v>
      </c>
      <c r="J251" t="n">
        <v>100</v>
      </c>
      <c r="AY251" t="n">
        <v>3</v>
      </c>
      <c r="AZ251" t="n">
        <v>3</v>
      </c>
    </row>
    <row r="252">
      <c r="A252" t="n">
        <v>238</v>
      </c>
      <c r="B252" t="inlineStr">
        <is>
          <t>Cumplimiento de la Protección del Medio Ambiente</t>
        </is>
      </c>
      <c r="C252" t="inlineStr">
        <is>
          <t>GESTIÓN AMBIENTAL</t>
        </is>
      </c>
      <c r="D252" t="inlineStr">
        <is>
          <t>Semestral</t>
        </is>
      </c>
      <c r="E252" t="inlineStr">
        <is>
          <t>Positivo</t>
        </is>
      </c>
      <c r="F252" s="105" t="n">
        <v>45016</v>
      </c>
      <c r="G252" t="inlineStr">
        <is>
          <t>238-2023-03-31</t>
        </is>
      </c>
      <c r="H252" t="inlineStr">
        <is>
          <t>Cumplimiento Gestión de Áreas Naturales</t>
        </is>
      </c>
      <c r="I252" t="n">
        <v>90</v>
      </c>
      <c r="J252" t="n">
        <v>100</v>
      </c>
      <c r="AY252" t="n">
        <v>3</v>
      </c>
      <c r="AZ252" t="n">
        <v>3</v>
      </c>
    </row>
    <row r="253">
      <c r="A253" t="n">
        <v>238</v>
      </c>
      <c r="B253" t="inlineStr">
        <is>
          <t>Cumplimiento de la Protección del Medio Ambiente</t>
        </is>
      </c>
      <c r="C253" t="inlineStr">
        <is>
          <t>GESTIÓN AMBIENTAL</t>
        </is>
      </c>
      <c r="D253" t="inlineStr">
        <is>
          <t>Semestral</t>
        </is>
      </c>
      <c r="E253" t="inlineStr">
        <is>
          <t>Positivo</t>
        </is>
      </c>
      <c r="F253" s="105" t="n">
        <v>45016</v>
      </c>
      <c r="G253" t="inlineStr">
        <is>
          <t>238-2023-03-31</t>
        </is>
      </c>
      <c r="H253" t="inlineStr">
        <is>
          <t>Cumplimiento Gestión de la Educación y Comunicación Ambiental</t>
        </is>
      </c>
      <c r="I253" t="n">
        <v>90</v>
      </c>
      <c r="J253" t="n">
        <v>100</v>
      </c>
      <c r="AY253" t="n">
        <v>2</v>
      </c>
      <c r="AZ253" t="n">
        <v>2</v>
      </c>
    </row>
    <row r="254">
      <c r="A254" t="n">
        <v>208</v>
      </c>
      <c r="B254" t="inlineStr">
        <is>
          <t>Consumo de Agua m3 Mensual</t>
        </is>
      </c>
      <c r="C254" t="inlineStr">
        <is>
          <t>GESTIÓN AMBIENTAL</t>
        </is>
      </c>
      <c r="D254" t="inlineStr">
        <is>
          <t>Mensual</t>
        </is>
      </c>
      <c r="E254" t="inlineStr">
        <is>
          <t>Negativo</t>
        </is>
      </c>
      <c r="F254" s="105" t="n">
        <v>45046</v>
      </c>
      <c r="G254" t="inlineStr">
        <is>
          <t>208-2023-04-30</t>
        </is>
      </c>
      <c r="H254" t="inlineStr">
        <is>
          <t>City Campus</t>
        </is>
      </c>
      <c r="I254" t="n">
        <v>1</v>
      </c>
      <c r="J254" t="n">
        <v>317</v>
      </c>
      <c r="K254" t="n">
        <v>317</v>
      </c>
    </row>
    <row r="255">
      <c r="A255" t="n">
        <v>208</v>
      </c>
      <c r="B255" t="inlineStr">
        <is>
          <t>Consumo de Agua m3 Mensual</t>
        </is>
      </c>
      <c r="C255" t="inlineStr">
        <is>
          <t>GESTIÓN AMBIENTAL</t>
        </is>
      </c>
      <c r="D255" t="inlineStr">
        <is>
          <t>Mensual</t>
        </is>
      </c>
      <c r="E255" t="inlineStr">
        <is>
          <t>Negativo</t>
        </is>
      </c>
      <c r="F255" s="105" t="n">
        <v>45046</v>
      </c>
      <c r="G255" t="inlineStr">
        <is>
          <t>208-2023-04-30</t>
        </is>
      </c>
      <c r="H255" t="inlineStr">
        <is>
          <t>Sede Posgrado-Calle 85</t>
        </is>
      </c>
      <c r="I255" t="n">
        <v>1</v>
      </c>
      <c r="J255" t="n">
        <v>0</v>
      </c>
      <c r="K255" t="n">
        <v>0</v>
      </c>
    </row>
    <row r="256">
      <c r="A256" t="n">
        <v>208</v>
      </c>
      <c r="B256" t="inlineStr">
        <is>
          <t>Consumo de Agua m3 Mensual</t>
        </is>
      </c>
      <c r="C256" t="inlineStr">
        <is>
          <t>GESTIÓN AMBIENTAL</t>
        </is>
      </c>
      <c r="D256" t="inlineStr">
        <is>
          <t>Mensual</t>
        </is>
      </c>
      <c r="E256" t="inlineStr">
        <is>
          <t>Negativo</t>
        </is>
      </c>
      <c r="F256" s="105" t="n">
        <v>45046</v>
      </c>
      <c r="G256" t="inlineStr">
        <is>
          <t>208-2023-04-30</t>
        </is>
      </c>
      <c r="H256" t="inlineStr">
        <is>
          <t>Campus-Medellín</t>
        </is>
      </c>
      <c r="I256" t="n">
        <v>1</v>
      </c>
      <c r="J256" t="n">
        <v>178</v>
      </c>
      <c r="K256" t="n">
        <v>178</v>
      </c>
    </row>
    <row r="257">
      <c r="A257" t="n">
        <v>208</v>
      </c>
      <c r="B257" t="inlineStr">
        <is>
          <t>Consumo de Agua m3 Mensual</t>
        </is>
      </c>
      <c r="C257" t="inlineStr">
        <is>
          <t>GESTIÓN AMBIENTAL</t>
        </is>
      </c>
      <c r="D257" t="inlineStr">
        <is>
          <t>Mensual</t>
        </is>
      </c>
      <c r="E257" t="inlineStr">
        <is>
          <t>Negativo</t>
        </is>
      </c>
      <c r="F257" s="105" t="n">
        <v>45046</v>
      </c>
      <c r="G257" t="inlineStr">
        <is>
          <t>208-2023-04-30</t>
        </is>
      </c>
      <c r="H257" t="inlineStr">
        <is>
          <t>Sede Bienestar - Medellín</t>
        </is>
      </c>
      <c r="I257" t="n">
        <v>0</v>
      </c>
      <c r="J257" t="n">
        <v>0</v>
      </c>
      <c r="K257" t="n">
        <v>0</v>
      </c>
    </row>
    <row r="258">
      <c r="A258" t="n">
        <v>208</v>
      </c>
      <c r="B258" t="inlineStr">
        <is>
          <t>Consumo de Agua m3 Mensual</t>
        </is>
      </c>
      <c r="C258" t="inlineStr">
        <is>
          <t>GESTIÓN AMBIENTAL</t>
        </is>
      </c>
      <c r="D258" t="inlineStr">
        <is>
          <t>Mensual</t>
        </is>
      </c>
      <c r="E258" t="inlineStr">
        <is>
          <t>Negativo</t>
        </is>
      </c>
      <c r="F258" s="105" t="n">
        <v>45046</v>
      </c>
      <c r="G258" t="inlineStr">
        <is>
          <t>208-2023-04-30</t>
        </is>
      </c>
      <c r="H258" t="inlineStr">
        <is>
          <t>Consultorio Psicología - Medellin</t>
        </is>
      </c>
      <c r="I258" t="n">
        <v>1</v>
      </c>
      <c r="J258" t="n">
        <v>10</v>
      </c>
      <c r="K258" t="n">
        <v>10</v>
      </c>
    </row>
    <row r="259">
      <c r="A259" t="n">
        <v>208</v>
      </c>
      <c r="B259" t="inlineStr">
        <is>
          <t>Consumo de Agua m3 Mensual</t>
        </is>
      </c>
      <c r="C259" t="inlineStr">
        <is>
          <t>GESTIÓN AMBIENTAL</t>
        </is>
      </c>
      <c r="D259" t="inlineStr">
        <is>
          <t>Mensual</t>
        </is>
      </c>
      <c r="E259" t="inlineStr">
        <is>
          <t>Negativo</t>
        </is>
      </c>
      <c r="F259" s="105" t="n">
        <v>45046</v>
      </c>
      <c r="G259" t="inlineStr">
        <is>
          <t>208-2023-04-30</t>
        </is>
      </c>
      <c r="H259" t="inlineStr">
        <is>
          <t>Campus Bogotá</t>
        </is>
      </c>
      <c r="I259" t="n">
        <v>1</v>
      </c>
      <c r="J259" t="n">
        <v>452.6000061035156</v>
      </c>
      <c r="K259" t="n">
        <v>452.6</v>
      </c>
    </row>
    <row r="260">
      <c r="A260" t="n">
        <v>214</v>
      </c>
      <c r="B260" t="inlineStr">
        <is>
          <t>Generación de Residuos Sólidos Mensual</t>
        </is>
      </c>
      <c r="C260" t="inlineStr">
        <is>
          <t>GESTIÓN AMBIENTAL</t>
        </is>
      </c>
      <c r="D260" t="inlineStr">
        <is>
          <t>Mensual</t>
        </is>
      </c>
      <c r="E260" t="inlineStr">
        <is>
          <t>Negativo</t>
        </is>
      </c>
      <c r="F260" s="105" t="n">
        <v>45046</v>
      </c>
      <c r="G260" t="inlineStr">
        <is>
          <t>214-2023-04-30</t>
        </is>
      </c>
      <c r="H260" t="inlineStr">
        <is>
          <t>Campus Bogotá</t>
        </is>
      </c>
      <c r="I260" t="n">
        <v>7500</v>
      </c>
      <c r="J260" t="n">
        <v>1124</v>
      </c>
      <c r="L260" t="n">
        <v>734</v>
      </c>
      <c r="M260" t="n">
        <v>390</v>
      </c>
    </row>
    <row r="261">
      <c r="A261" t="n">
        <v>214</v>
      </c>
      <c r="B261" t="inlineStr">
        <is>
          <t>Generación de Residuos Sólidos Mensual</t>
        </is>
      </c>
      <c r="C261" t="inlineStr">
        <is>
          <t>GESTIÓN AMBIENTAL</t>
        </is>
      </c>
      <c r="D261" t="inlineStr">
        <is>
          <t>Mensual</t>
        </is>
      </c>
      <c r="E261" t="inlineStr">
        <is>
          <t>Negativo</t>
        </is>
      </c>
      <c r="F261" s="105" t="n">
        <v>45046</v>
      </c>
      <c r="G261" t="inlineStr">
        <is>
          <t>214-2023-04-30</t>
        </is>
      </c>
      <c r="H261" t="inlineStr">
        <is>
          <t>City Campus</t>
        </is>
      </c>
      <c r="I261" t="n">
        <v>7500</v>
      </c>
      <c r="J261" t="n">
        <v>717.2000122070312</v>
      </c>
      <c r="L261" t="n">
        <v>0</v>
      </c>
      <c r="M261" t="n">
        <v>717.2</v>
      </c>
    </row>
    <row r="262">
      <c r="A262" t="n">
        <v>214</v>
      </c>
      <c r="B262" t="inlineStr">
        <is>
          <t>Generación de Residuos Sólidos Mensual</t>
        </is>
      </c>
      <c r="C262" t="inlineStr">
        <is>
          <t>GESTIÓN AMBIENTAL</t>
        </is>
      </c>
      <c r="D262" t="inlineStr">
        <is>
          <t>Mensual</t>
        </is>
      </c>
      <c r="E262" t="inlineStr">
        <is>
          <t>Negativo</t>
        </is>
      </c>
      <c r="F262" s="105" t="n">
        <v>45046</v>
      </c>
      <c r="G262" t="inlineStr">
        <is>
          <t>214-2023-04-30</t>
        </is>
      </c>
      <c r="H262" t="inlineStr">
        <is>
          <t>Sede Posgrado-Calle 85</t>
        </is>
      </c>
      <c r="I262" t="n">
        <v>7500</v>
      </c>
      <c r="J262" t="n">
        <v>0</v>
      </c>
      <c r="L262" t="n">
        <v>0</v>
      </c>
      <c r="M262" t="n">
        <v>0</v>
      </c>
    </row>
    <row r="263">
      <c r="A263" t="n">
        <v>214</v>
      </c>
      <c r="B263" t="inlineStr">
        <is>
          <t>Generación de Residuos Sólidos Mensual</t>
        </is>
      </c>
      <c r="C263" t="inlineStr">
        <is>
          <t>GESTIÓN AMBIENTAL</t>
        </is>
      </c>
      <c r="D263" t="inlineStr">
        <is>
          <t>Mensual</t>
        </is>
      </c>
      <c r="E263" t="inlineStr">
        <is>
          <t>Negativo</t>
        </is>
      </c>
      <c r="F263" s="105" t="n">
        <v>45046</v>
      </c>
      <c r="G263" t="inlineStr">
        <is>
          <t>214-2023-04-30</t>
        </is>
      </c>
      <c r="H263" t="inlineStr">
        <is>
          <t>Campus-Medellín</t>
        </is>
      </c>
      <c r="I263" t="n">
        <v>7500</v>
      </c>
      <c r="J263" t="n">
        <v>472.2999877929688</v>
      </c>
      <c r="L263" t="n">
        <v>0</v>
      </c>
      <c r="M263" t="n">
        <v>472.3</v>
      </c>
    </row>
    <row r="264">
      <c r="A264" t="n">
        <v>214</v>
      </c>
      <c r="B264" t="inlineStr">
        <is>
          <t>Generación de Residuos Sólidos Mensual</t>
        </is>
      </c>
      <c r="C264" t="inlineStr">
        <is>
          <t>GESTIÓN AMBIENTAL</t>
        </is>
      </c>
      <c r="D264" t="inlineStr">
        <is>
          <t>Mensual</t>
        </is>
      </c>
      <c r="E264" t="inlineStr">
        <is>
          <t>Negativo</t>
        </is>
      </c>
      <c r="F264" s="105" t="n">
        <v>45046</v>
      </c>
      <c r="G264" t="inlineStr">
        <is>
          <t>214-2023-04-30</t>
        </is>
      </c>
      <c r="H264" t="inlineStr">
        <is>
          <t>Sede Bienestar - Medellín</t>
        </is>
      </c>
      <c r="I264" t="n">
        <v>1</v>
      </c>
      <c r="J264" t="n">
        <v>0</v>
      </c>
      <c r="L264" t="n">
        <v>0</v>
      </c>
      <c r="M264" t="n">
        <v>0</v>
      </c>
    </row>
    <row r="265">
      <c r="A265" t="n">
        <v>214</v>
      </c>
      <c r="B265" t="inlineStr">
        <is>
          <t>Generación de Residuos Sólidos Mensual</t>
        </is>
      </c>
      <c r="C265" t="inlineStr">
        <is>
          <t>GESTIÓN AMBIENTAL</t>
        </is>
      </c>
      <c r="D265" t="inlineStr">
        <is>
          <t>Mensual</t>
        </is>
      </c>
      <c r="E265" t="inlineStr">
        <is>
          <t>Negativo</t>
        </is>
      </c>
      <c r="F265" s="105" t="n">
        <v>45046</v>
      </c>
      <c r="G265" t="inlineStr">
        <is>
          <t>214-2023-04-30</t>
        </is>
      </c>
      <c r="H265" t="inlineStr">
        <is>
          <t>Consultorio Psicología - Medellin</t>
        </is>
      </c>
      <c r="I265" t="n">
        <v>1</v>
      </c>
      <c r="J265" t="n">
        <v>0</v>
      </c>
      <c r="L265" t="n">
        <v>0</v>
      </c>
      <c r="M265" t="n">
        <v>0</v>
      </c>
    </row>
    <row r="266">
      <c r="A266" t="n">
        <v>217</v>
      </c>
      <c r="B266" t="inlineStr">
        <is>
          <t>Aprovechamiento de Residuos</t>
        </is>
      </c>
      <c r="C266" t="inlineStr">
        <is>
          <t>GESTIÓN AMBIENTAL</t>
        </is>
      </c>
      <c r="D266" t="inlineStr">
        <is>
          <t>Mensual</t>
        </is>
      </c>
      <c r="E266" t="inlineStr">
        <is>
          <t>Positivo</t>
        </is>
      </c>
      <c r="F266" s="105" t="n">
        <v>45046</v>
      </c>
      <c r="G266" t="inlineStr">
        <is>
          <t>217-2023-04-30</t>
        </is>
      </c>
      <c r="H266" t="inlineStr">
        <is>
          <t>Campus Bogotá</t>
        </is>
      </c>
      <c r="I266" t="n">
        <v>20</v>
      </c>
      <c r="J266" t="n">
        <v>65.30000305175781</v>
      </c>
      <c r="L266" t="n">
        <v>734</v>
      </c>
      <c r="M266" t="n">
        <v>390</v>
      </c>
      <c r="AS266" t="n">
        <v>734</v>
      </c>
    </row>
    <row r="267">
      <c r="A267" t="n">
        <v>217</v>
      </c>
      <c r="B267" t="inlineStr">
        <is>
          <t>Aprovechamiento de Residuos</t>
        </is>
      </c>
      <c r="C267" t="inlineStr">
        <is>
          <t>GESTIÓN AMBIENTAL</t>
        </is>
      </c>
      <c r="D267" t="inlineStr">
        <is>
          <t>Mensual</t>
        </is>
      </c>
      <c r="E267" t="inlineStr">
        <is>
          <t>Positivo</t>
        </is>
      </c>
      <c r="F267" s="105" t="n">
        <v>45046</v>
      </c>
      <c r="G267" t="inlineStr">
        <is>
          <t>217-2023-04-30</t>
        </is>
      </c>
      <c r="H267" t="inlineStr">
        <is>
          <t>City Campus</t>
        </is>
      </c>
      <c r="I267" t="n">
        <v>20</v>
      </c>
      <c r="J267" t="n">
        <v>0</v>
      </c>
      <c r="L267" t="n">
        <v>0</v>
      </c>
      <c r="M267" t="n">
        <v>717.2</v>
      </c>
      <c r="AS267" t="n">
        <v>0</v>
      </c>
    </row>
    <row r="268">
      <c r="A268" t="n">
        <v>217</v>
      </c>
      <c r="B268" t="inlineStr">
        <is>
          <t>Aprovechamiento de Residuos</t>
        </is>
      </c>
      <c r="C268" t="inlineStr">
        <is>
          <t>GESTIÓN AMBIENTAL</t>
        </is>
      </c>
      <c r="D268" t="inlineStr">
        <is>
          <t>Mensual</t>
        </is>
      </c>
      <c r="E268" t="inlineStr">
        <is>
          <t>Positivo</t>
        </is>
      </c>
      <c r="F268" s="105" t="n">
        <v>45046</v>
      </c>
      <c r="G268" t="inlineStr">
        <is>
          <t>217-2023-04-30</t>
        </is>
      </c>
      <c r="H268" t="inlineStr">
        <is>
          <t>Sede Posgrado-Calle 85</t>
        </is>
      </c>
      <c r="I268" t="n">
        <v>20</v>
      </c>
      <c r="J268" t="n">
        <v>0</v>
      </c>
      <c r="L268" t="n">
        <v>0</v>
      </c>
      <c r="M268" t="n">
        <v>0</v>
      </c>
      <c r="AS268" t="n">
        <v>0</v>
      </c>
    </row>
    <row r="269">
      <c r="A269" t="n">
        <v>217</v>
      </c>
      <c r="B269" t="inlineStr">
        <is>
          <t>Aprovechamiento de Residuos</t>
        </is>
      </c>
      <c r="C269" t="inlineStr">
        <is>
          <t>GESTIÓN AMBIENTAL</t>
        </is>
      </c>
      <c r="D269" t="inlineStr">
        <is>
          <t>Mensual</t>
        </is>
      </c>
      <c r="E269" t="inlineStr">
        <is>
          <t>Positivo</t>
        </is>
      </c>
      <c r="F269" s="105" t="n">
        <v>45046</v>
      </c>
      <c r="G269" t="inlineStr">
        <is>
          <t>217-2023-04-30</t>
        </is>
      </c>
      <c r="H269" t="inlineStr">
        <is>
          <t>Campus-Medellín</t>
        </is>
      </c>
      <c r="I269" t="n">
        <v>20</v>
      </c>
      <c r="J269" t="n">
        <v>0</v>
      </c>
      <c r="L269" t="n">
        <v>0</v>
      </c>
      <c r="M269" t="n">
        <v>472.3</v>
      </c>
      <c r="AS269" t="n">
        <v>0</v>
      </c>
    </row>
    <row r="270">
      <c r="A270" t="n">
        <v>217</v>
      </c>
      <c r="B270" t="inlineStr">
        <is>
          <t>Aprovechamiento de Residuos</t>
        </is>
      </c>
      <c r="C270" t="inlineStr">
        <is>
          <t>GESTIÓN AMBIENTAL</t>
        </is>
      </c>
      <c r="D270" t="inlineStr">
        <is>
          <t>Mensual</t>
        </is>
      </c>
      <c r="E270" t="inlineStr">
        <is>
          <t>Positivo</t>
        </is>
      </c>
      <c r="F270" s="105" t="n">
        <v>45046</v>
      </c>
      <c r="G270" t="inlineStr">
        <is>
          <t>217-2023-04-30</t>
        </is>
      </c>
      <c r="H270" t="inlineStr">
        <is>
          <t>Sede Bienestar - Medellín</t>
        </is>
      </c>
      <c r="I270" t="n">
        <v>20</v>
      </c>
      <c r="J270" t="n">
        <v>0</v>
      </c>
      <c r="L270" t="n">
        <v>0</v>
      </c>
      <c r="M270" t="n">
        <v>0</v>
      </c>
      <c r="AS270" t="n">
        <v>0</v>
      </c>
    </row>
    <row r="271">
      <c r="A271" t="n">
        <v>217</v>
      </c>
      <c r="B271" t="inlineStr">
        <is>
          <t>Aprovechamiento de Residuos</t>
        </is>
      </c>
      <c r="C271" t="inlineStr">
        <is>
          <t>GESTIÓN AMBIENTAL</t>
        </is>
      </c>
      <c r="D271" t="inlineStr">
        <is>
          <t>Mensual</t>
        </is>
      </c>
      <c r="E271" t="inlineStr">
        <is>
          <t>Positivo</t>
        </is>
      </c>
      <c r="F271" s="105" t="n">
        <v>45046</v>
      </c>
      <c r="G271" t="inlineStr">
        <is>
          <t>217-2023-04-30</t>
        </is>
      </c>
      <c r="H271" t="inlineStr">
        <is>
          <t>Consultorio Psicología - Medellin</t>
        </is>
      </c>
      <c r="I271" t="n">
        <v>20</v>
      </c>
      <c r="J271" t="n">
        <v>0</v>
      </c>
      <c r="L271" t="n">
        <v>0</v>
      </c>
      <c r="M271" t="n">
        <v>0</v>
      </c>
      <c r="AS271" t="n">
        <v>0</v>
      </c>
    </row>
    <row r="272">
      <c r="A272" t="n">
        <v>218</v>
      </c>
      <c r="B272" t="inlineStr">
        <is>
          <t>Consumo de Energía Eléctrica kWh Mensual</t>
        </is>
      </c>
      <c r="C272" t="inlineStr">
        <is>
          <t>GESTIÓN AMBIENTAL</t>
        </is>
      </c>
      <c r="D272" t="inlineStr">
        <is>
          <t>Mensual</t>
        </is>
      </c>
      <c r="E272" t="inlineStr">
        <is>
          <t>Negativo</t>
        </is>
      </c>
      <c r="F272" s="105" t="n">
        <v>45046</v>
      </c>
      <c r="G272" t="inlineStr">
        <is>
          <t>218-2023-04-30</t>
        </is>
      </c>
      <c r="H272" t="inlineStr">
        <is>
          <t>Campus Bogotá</t>
        </is>
      </c>
      <c r="I272" t="n">
        <v>172000</v>
      </c>
      <c r="J272" t="n">
        <v>62379</v>
      </c>
      <c r="N272" t="n">
        <v>62379</v>
      </c>
    </row>
    <row r="273">
      <c r="A273" t="n">
        <v>218</v>
      </c>
      <c r="B273" t="inlineStr">
        <is>
          <t>Consumo de Energía Eléctrica kWh Mensual</t>
        </is>
      </c>
      <c r="C273" t="inlineStr">
        <is>
          <t>GESTIÓN AMBIENTAL</t>
        </is>
      </c>
      <c r="D273" t="inlineStr">
        <is>
          <t>Mensual</t>
        </is>
      </c>
      <c r="E273" t="inlineStr">
        <is>
          <t>Negativo</t>
        </is>
      </c>
      <c r="F273" s="105" t="n">
        <v>45046</v>
      </c>
      <c r="G273" t="inlineStr">
        <is>
          <t>218-2023-04-30</t>
        </is>
      </c>
      <c r="H273" t="inlineStr">
        <is>
          <t>City Campus</t>
        </is>
      </c>
      <c r="I273" t="n">
        <v>172000</v>
      </c>
      <c r="J273" t="n">
        <v>43890</v>
      </c>
      <c r="N273" t="n">
        <v>43890</v>
      </c>
    </row>
    <row r="274">
      <c r="A274" t="n">
        <v>218</v>
      </c>
      <c r="B274" t="inlineStr">
        <is>
          <t>Consumo de Energía Eléctrica kWh Mensual</t>
        </is>
      </c>
      <c r="C274" t="inlineStr">
        <is>
          <t>GESTIÓN AMBIENTAL</t>
        </is>
      </c>
      <c r="D274" t="inlineStr">
        <is>
          <t>Mensual</t>
        </is>
      </c>
      <c r="E274" t="inlineStr">
        <is>
          <t>Negativo</t>
        </is>
      </c>
      <c r="F274" s="105" t="n">
        <v>45046</v>
      </c>
      <c r="G274" t="inlineStr">
        <is>
          <t>218-2023-04-30</t>
        </is>
      </c>
      <c r="H274" t="inlineStr">
        <is>
          <t>Sede Posgrado-Calle 85</t>
        </is>
      </c>
      <c r="I274" t="n">
        <v>172000</v>
      </c>
      <c r="J274" t="n">
        <v>0</v>
      </c>
      <c r="N274" t="n">
        <v>0</v>
      </c>
    </row>
    <row r="275">
      <c r="A275" t="n">
        <v>218</v>
      </c>
      <c r="B275" t="inlineStr">
        <is>
          <t>Consumo de Energía Eléctrica kWh Mensual</t>
        </is>
      </c>
      <c r="C275" t="inlineStr">
        <is>
          <t>GESTIÓN AMBIENTAL</t>
        </is>
      </c>
      <c r="D275" t="inlineStr">
        <is>
          <t>Mensual</t>
        </is>
      </c>
      <c r="E275" t="inlineStr">
        <is>
          <t>Negativo</t>
        </is>
      </c>
      <c r="F275" s="105" t="n">
        <v>45046</v>
      </c>
      <c r="G275" t="inlineStr">
        <is>
          <t>218-2023-04-30</t>
        </is>
      </c>
      <c r="H275" t="inlineStr">
        <is>
          <t>Campus-Medellín</t>
        </is>
      </c>
      <c r="I275" t="n">
        <v>172000</v>
      </c>
      <c r="J275" t="n">
        <v>24750</v>
      </c>
      <c r="N275" t="n">
        <v>24750</v>
      </c>
    </row>
    <row r="276">
      <c r="A276" t="n">
        <v>218</v>
      </c>
      <c r="B276" t="inlineStr">
        <is>
          <t>Consumo de Energía Eléctrica kWh Mensual</t>
        </is>
      </c>
      <c r="C276" t="inlineStr">
        <is>
          <t>GESTIÓN AMBIENTAL</t>
        </is>
      </c>
      <c r="D276" t="inlineStr">
        <is>
          <t>Mensual</t>
        </is>
      </c>
      <c r="E276" t="inlineStr">
        <is>
          <t>Negativo</t>
        </is>
      </c>
      <c r="F276" s="105" t="n">
        <v>45046</v>
      </c>
      <c r="G276" t="inlineStr">
        <is>
          <t>218-2023-04-30</t>
        </is>
      </c>
      <c r="H276" t="inlineStr">
        <is>
          <t>Sede Bienestar - Medellín</t>
        </is>
      </c>
      <c r="I276" t="n">
        <v>172000</v>
      </c>
      <c r="J276" t="n">
        <v>4680</v>
      </c>
      <c r="N276" t="n">
        <v>4680</v>
      </c>
    </row>
    <row r="277">
      <c r="A277" t="n">
        <v>218</v>
      </c>
      <c r="B277" t="inlineStr">
        <is>
          <t>Consumo de Energía Eléctrica kWh Mensual</t>
        </is>
      </c>
      <c r="C277" t="inlineStr">
        <is>
          <t>GESTIÓN AMBIENTAL</t>
        </is>
      </c>
      <c r="D277" t="inlineStr">
        <is>
          <t>Mensual</t>
        </is>
      </c>
      <c r="E277" t="inlineStr">
        <is>
          <t>Negativo</t>
        </is>
      </c>
      <c r="F277" s="105" t="n">
        <v>45046</v>
      </c>
      <c r="G277" t="inlineStr">
        <is>
          <t>218-2023-04-30</t>
        </is>
      </c>
      <c r="H277" t="inlineStr">
        <is>
          <t>Consultorio Psicología - Medellin</t>
        </is>
      </c>
      <c r="I277" t="n">
        <v>172000</v>
      </c>
      <c r="J277" t="n">
        <v>1380</v>
      </c>
      <c r="N277" t="n">
        <v>1380</v>
      </c>
    </row>
    <row r="278">
      <c r="A278" t="n">
        <v>225</v>
      </c>
      <c r="B278" t="inlineStr">
        <is>
          <t>Acciones para el Cuidado y Mantenimiento de las Especies de Flora y el Suelo de las Áreas Naturales</t>
        </is>
      </c>
      <c r="C278" t="inlineStr">
        <is>
          <t>GESTIÓN AMBIENTAL</t>
        </is>
      </c>
      <c r="D278" t="inlineStr">
        <is>
          <t>Mensual</t>
        </is>
      </c>
      <c r="E278" t="inlineStr">
        <is>
          <t>Positivo</t>
        </is>
      </c>
      <c r="F278" s="105" t="n">
        <v>45046</v>
      </c>
      <c r="G278" t="inlineStr">
        <is>
          <t>225-2023-04-30</t>
        </is>
      </c>
      <c r="H278" t="inlineStr">
        <is>
          <t>Campus Bogotá</t>
        </is>
      </c>
      <c r="I278" t="n">
        <v>1</v>
      </c>
      <c r="J278" t="n">
        <v>6</v>
      </c>
      <c r="AT278" t="n">
        <v>6</v>
      </c>
    </row>
    <row r="279">
      <c r="A279" t="n">
        <v>225</v>
      </c>
      <c r="B279" t="inlineStr">
        <is>
          <t>Acciones para el Cuidado y Mantenimiento de las Especies de Flora y el Suelo de las Áreas Naturales</t>
        </is>
      </c>
      <c r="C279" t="inlineStr">
        <is>
          <t>GESTIÓN AMBIENTAL</t>
        </is>
      </c>
      <c r="D279" t="inlineStr">
        <is>
          <t>Mensual</t>
        </is>
      </c>
      <c r="E279" t="inlineStr">
        <is>
          <t>Positivo</t>
        </is>
      </c>
      <c r="F279" s="105" t="n">
        <v>45046</v>
      </c>
      <c r="G279" t="inlineStr">
        <is>
          <t>225-2023-04-30</t>
        </is>
      </c>
      <c r="H279" t="inlineStr">
        <is>
          <t>City Campus</t>
        </is>
      </c>
      <c r="I279" t="n">
        <v>1</v>
      </c>
      <c r="J279" t="n">
        <v>2</v>
      </c>
      <c r="AT279" t="n">
        <v>2</v>
      </c>
    </row>
    <row r="280">
      <c r="A280" t="n">
        <v>225</v>
      </c>
      <c r="B280" t="inlineStr">
        <is>
          <t>Acciones para el Cuidado y Mantenimiento de las Especies de Flora y el Suelo de las Áreas Naturales</t>
        </is>
      </c>
      <c r="C280" t="inlineStr">
        <is>
          <t>GESTIÓN AMBIENTAL</t>
        </is>
      </c>
      <c r="D280" t="inlineStr">
        <is>
          <t>Mensual</t>
        </is>
      </c>
      <c r="E280" t="inlineStr">
        <is>
          <t>Positivo</t>
        </is>
      </c>
      <c r="F280" s="105" t="n">
        <v>45046</v>
      </c>
      <c r="G280" t="inlineStr">
        <is>
          <t>225-2023-04-30</t>
        </is>
      </c>
      <c r="H280" t="inlineStr">
        <is>
          <t>Sede Posgrado-Calle 85</t>
        </is>
      </c>
      <c r="I280" t="n">
        <v>1</v>
      </c>
      <c r="J280" t="n">
        <v>0</v>
      </c>
      <c r="AT280" t="n">
        <v>0</v>
      </c>
    </row>
    <row r="281">
      <c r="A281" t="n">
        <v>225</v>
      </c>
      <c r="B281" t="inlineStr">
        <is>
          <t>Acciones para el Cuidado y Mantenimiento de las Especies de Flora y el Suelo de las Áreas Naturales</t>
        </is>
      </c>
      <c r="C281" t="inlineStr">
        <is>
          <t>GESTIÓN AMBIENTAL</t>
        </is>
      </c>
      <c r="D281" t="inlineStr">
        <is>
          <t>Mensual</t>
        </is>
      </c>
      <c r="E281" t="inlineStr">
        <is>
          <t>Positivo</t>
        </is>
      </c>
      <c r="F281" s="105" t="n">
        <v>45046</v>
      </c>
      <c r="G281" t="inlineStr">
        <is>
          <t>225-2023-04-30</t>
        </is>
      </c>
      <c r="H281" t="inlineStr">
        <is>
          <t>Campus-Medellín</t>
        </is>
      </c>
      <c r="I281" t="n">
        <v>1</v>
      </c>
      <c r="J281" t="n">
        <v>10</v>
      </c>
      <c r="AT281" t="n">
        <v>10</v>
      </c>
    </row>
    <row r="282">
      <c r="A282" t="n">
        <v>225</v>
      </c>
      <c r="B282" t="inlineStr">
        <is>
          <t>Acciones para el Cuidado y Mantenimiento de las Especies de Flora y el Suelo de las Áreas Naturales</t>
        </is>
      </c>
      <c r="C282" t="inlineStr">
        <is>
          <t>GESTIÓN AMBIENTAL</t>
        </is>
      </c>
      <c r="D282" t="inlineStr">
        <is>
          <t>Mensual</t>
        </is>
      </c>
      <c r="E282" t="inlineStr">
        <is>
          <t>Positivo</t>
        </is>
      </c>
      <c r="F282" s="105" t="n">
        <v>45046</v>
      </c>
      <c r="G282" t="inlineStr">
        <is>
          <t>225-2023-04-30</t>
        </is>
      </c>
      <c r="H282" t="inlineStr">
        <is>
          <t>Sede Bienestar - Medellín</t>
        </is>
      </c>
      <c r="I282" t="n">
        <v>1</v>
      </c>
      <c r="J282" t="n">
        <v>1</v>
      </c>
      <c r="AT282" t="n">
        <v>1</v>
      </c>
    </row>
    <row r="283">
      <c r="A283" t="n">
        <v>225</v>
      </c>
      <c r="B283" t="inlineStr">
        <is>
          <t>Acciones para el Cuidado y Mantenimiento de las Especies de Flora y el Suelo de las Áreas Naturales</t>
        </is>
      </c>
      <c r="C283" t="inlineStr">
        <is>
          <t>GESTIÓN AMBIENTAL</t>
        </is>
      </c>
      <c r="D283" t="inlineStr">
        <is>
          <t>Mensual</t>
        </is>
      </c>
      <c r="E283" t="inlineStr">
        <is>
          <t>Positivo</t>
        </is>
      </c>
      <c r="F283" s="105" t="n">
        <v>45046</v>
      </c>
      <c r="G283" t="inlineStr">
        <is>
          <t>225-2023-04-30</t>
        </is>
      </c>
      <c r="H283" t="inlineStr">
        <is>
          <t>Consultorio Psicología - Medellin</t>
        </is>
      </c>
      <c r="I283" t="n">
        <v>1</v>
      </c>
      <c r="J283" t="n">
        <v>1</v>
      </c>
      <c r="AT283" t="n">
        <v>1</v>
      </c>
    </row>
    <row r="284">
      <c r="A284" t="n">
        <v>239</v>
      </c>
      <c r="B284" t="inlineStr">
        <is>
          <t>Portafolio de Proyectos - Metrica</t>
        </is>
      </c>
      <c r="C284" t="inlineStr">
        <is>
          <t>Gestión de Proyectos</t>
        </is>
      </c>
      <c r="D284" t="inlineStr">
        <is>
          <t>Mensual</t>
        </is>
      </c>
      <c r="E284" t="inlineStr">
        <is>
          <t>Positivo</t>
        </is>
      </c>
      <c r="F284" s="105" t="n">
        <v>45046</v>
      </c>
      <c r="G284" t="inlineStr">
        <is>
          <t>239-2023-04-30</t>
        </is>
      </c>
      <c r="H284" t="inlineStr">
        <is>
          <t>Planificación</t>
        </is>
      </c>
      <c r="J284" t="n">
        <v>2</v>
      </c>
      <c r="AU284" t="n">
        <v>2</v>
      </c>
    </row>
    <row r="285">
      <c r="A285" t="n">
        <v>239</v>
      </c>
      <c r="B285" t="inlineStr">
        <is>
          <t>Portafolio de Proyectos - Metrica</t>
        </is>
      </c>
      <c r="C285" t="inlineStr">
        <is>
          <t>Gestión de Proyectos</t>
        </is>
      </c>
      <c r="D285" t="inlineStr">
        <is>
          <t>Mensual</t>
        </is>
      </c>
      <c r="E285" t="inlineStr">
        <is>
          <t>Positivo</t>
        </is>
      </c>
      <c r="F285" s="105" t="n">
        <v>45046</v>
      </c>
      <c r="G285" t="inlineStr">
        <is>
          <t>239-2023-04-30</t>
        </is>
      </c>
      <c r="H285" t="inlineStr">
        <is>
          <t>Ejecución</t>
        </is>
      </c>
      <c r="J285" t="n">
        <v>11</v>
      </c>
      <c r="AU285" t="n">
        <v>11</v>
      </c>
    </row>
    <row r="286">
      <c r="A286" t="n">
        <v>239</v>
      </c>
      <c r="B286" t="inlineStr">
        <is>
          <t>Portafolio de Proyectos - Metrica</t>
        </is>
      </c>
      <c r="C286" t="inlineStr">
        <is>
          <t>Gestión de Proyectos</t>
        </is>
      </c>
      <c r="D286" t="inlineStr">
        <is>
          <t>Mensual</t>
        </is>
      </c>
      <c r="E286" t="inlineStr">
        <is>
          <t>Positivo</t>
        </is>
      </c>
      <c r="F286" s="105" t="n">
        <v>45046</v>
      </c>
      <c r="G286" t="inlineStr">
        <is>
          <t>239-2023-04-30</t>
        </is>
      </c>
      <c r="H286" t="inlineStr">
        <is>
          <t>Finalizados</t>
        </is>
      </c>
      <c r="J286" t="n">
        <v>5</v>
      </c>
      <c r="AU286" t="n">
        <v>5</v>
      </c>
    </row>
    <row r="287">
      <c r="A287" t="n">
        <v>434</v>
      </c>
      <c r="B287" t="inlineStr">
        <is>
          <t>Generación de Residuos Peligrosos Mensual</t>
        </is>
      </c>
      <c r="C287" t="inlineStr">
        <is>
          <t>GESTIÓN AMBIENTAL</t>
        </is>
      </c>
      <c r="D287" t="inlineStr">
        <is>
          <t>Mensual</t>
        </is>
      </c>
      <c r="E287" t="inlineStr">
        <is>
          <t>Negativo</t>
        </is>
      </c>
      <c r="F287" s="105" t="n">
        <v>45046</v>
      </c>
      <c r="G287" t="inlineStr">
        <is>
          <t>434-2023-04-30</t>
        </is>
      </c>
      <c r="H287" t="inlineStr">
        <is>
          <t>Campus Bogotá</t>
        </is>
      </c>
      <c r="I287" t="n">
        <v>200</v>
      </c>
      <c r="J287" t="n">
        <v>0</v>
      </c>
      <c r="AV287" t="n">
        <v>0</v>
      </c>
    </row>
    <row r="288">
      <c r="A288" t="n">
        <v>434</v>
      </c>
      <c r="B288" t="inlineStr">
        <is>
          <t>Generación de Residuos Peligrosos Mensual</t>
        </is>
      </c>
      <c r="C288" t="inlineStr">
        <is>
          <t>GESTIÓN AMBIENTAL</t>
        </is>
      </c>
      <c r="D288" t="inlineStr">
        <is>
          <t>Mensual</t>
        </is>
      </c>
      <c r="E288" t="inlineStr">
        <is>
          <t>Negativo</t>
        </is>
      </c>
      <c r="F288" s="105" t="n">
        <v>45046</v>
      </c>
      <c r="G288" t="inlineStr">
        <is>
          <t>434-2023-04-30</t>
        </is>
      </c>
      <c r="H288" t="inlineStr">
        <is>
          <t>City Campus</t>
        </is>
      </c>
      <c r="I288" t="n">
        <v>200</v>
      </c>
      <c r="J288" t="n">
        <v>0</v>
      </c>
      <c r="AV288" t="n">
        <v>0</v>
      </c>
    </row>
    <row r="289">
      <c r="A289" t="n">
        <v>434</v>
      </c>
      <c r="B289" t="inlineStr">
        <is>
          <t>Generación de Residuos Peligrosos Mensual</t>
        </is>
      </c>
      <c r="C289" t="inlineStr">
        <is>
          <t>GESTIÓN AMBIENTAL</t>
        </is>
      </c>
      <c r="D289" t="inlineStr">
        <is>
          <t>Mensual</t>
        </is>
      </c>
      <c r="E289" t="inlineStr">
        <is>
          <t>Negativo</t>
        </is>
      </c>
      <c r="F289" s="105" t="n">
        <v>45046</v>
      </c>
      <c r="G289" t="inlineStr">
        <is>
          <t>434-2023-04-30</t>
        </is>
      </c>
      <c r="H289" t="inlineStr">
        <is>
          <t>Sede Posgrado-Calle 85</t>
        </is>
      </c>
      <c r="I289" t="n">
        <v>200</v>
      </c>
      <c r="J289" t="n">
        <v>0</v>
      </c>
      <c r="AV289" t="n">
        <v>0</v>
      </c>
    </row>
    <row r="290">
      <c r="A290" t="n">
        <v>434</v>
      </c>
      <c r="B290" t="inlineStr">
        <is>
          <t>Generación de Residuos Peligrosos Mensual</t>
        </is>
      </c>
      <c r="C290" t="inlineStr">
        <is>
          <t>GESTIÓN AMBIENTAL</t>
        </is>
      </c>
      <c r="D290" t="inlineStr">
        <is>
          <t>Mensual</t>
        </is>
      </c>
      <c r="E290" t="inlineStr">
        <is>
          <t>Negativo</t>
        </is>
      </c>
      <c r="F290" s="105" t="n">
        <v>45046</v>
      </c>
      <c r="G290" t="inlineStr">
        <is>
          <t>434-2023-04-30</t>
        </is>
      </c>
      <c r="H290" t="inlineStr">
        <is>
          <t>Campus-Medellín</t>
        </is>
      </c>
      <c r="I290" t="n">
        <v>200</v>
      </c>
      <c r="J290" t="n">
        <v>0.800000011920929</v>
      </c>
      <c r="AV290" t="n">
        <v>0.8</v>
      </c>
    </row>
    <row r="291">
      <c r="A291" t="n">
        <v>434</v>
      </c>
      <c r="B291" t="inlineStr">
        <is>
          <t>Generación de Residuos Peligrosos Mensual</t>
        </is>
      </c>
      <c r="C291" t="inlineStr">
        <is>
          <t>GESTIÓN AMBIENTAL</t>
        </is>
      </c>
      <c r="D291" t="inlineStr">
        <is>
          <t>Mensual</t>
        </is>
      </c>
      <c r="E291" t="inlineStr">
        <is>
          <t>Negativo</t>
        </is>
      </c>
      <c r="F291" s="105" t="n">
        <v>45046</v>
      </c>
      <c r="G291" t="inlineStr">
        <is>
          <t>434-2023-04-30</t>
        </is>
      </c>
      <c r="H291" t="inlineStr">
        <is>
          <t>Sede Bienestar - Medellín</t>
        </is>
      </c>
      <c r="I291" t="n">
        <v>200</v>
      </c>
      <c r="J291" t="n">
        <v>0</v>
      </c>
      <c r="AV291" t="n">
        <v>0</v>
      </c>
    </row>
    <row r="292">
      <c r="A292" t="n">
        <v>434</v>
      </c>
      <c r="B292" t="inlineStr">
        <is>
          <t>Generación de Residuos Peligrosos Mensual</t>
        </is>
      </c>
      <c r="C292" t="inlineStr">
        <is>
          <t>GESTIÓN AMBIENTAL</t>
        </is>
      </c>
      <c r="D292" t="inlineStr">
        <is>
          <t>Mensual</t>
        </is>
      </c>
      <c r="E292" t="inlineStr">
        <is>
          <t>Negativo</t>
        </is>
      </c>
      <c r="F292" s="105" t="n">
        <v>45046</v>
      </c>
      <c r="G292" t="inlineStr">
        <is>
          <t>434-2023-04-30</t>
        </is>
      </c>
      <c r="H292" t="inlineStr">
        <is>
          <t>Consultorio Psicología - Medellin</t>
        </is>
      </c>
      <c r="I292" t="n">
        <v>200</v>
      </c>
      <c r="J292" t="n">
        <v>0</v>
      </c>
      <c r="AV292" t="n">
        <v>0</v>
      </c>
    </row>
    <row r="293">
      <c r="A293" t="n">
        <v>208</v>
      </c>
      <c r="B293" t="inlineStr">
        <is>
          <t>Consumo de Agua m3 Mensual</t>
        </is>
      </c>
      <c r="C293" t="inlineStr">
        <is>
          <t>GESTIÓN AMBIENTAL</t>
        </is>
      </c>
      <c r="D293" t="inlineStr">
        <is>
          <t>Mensual</t>
        </is>
      </c>
      <c r="E293" t="inlineStr">
        <is>
          <t>Negativo</t>
        </is>
      </c>
      <c r="F293" s="105" t="n">
        <v>45077</v>
      </c>
      <c r="G293" t="inlineStr">
        <is>
          <t>208-2023-05-31</t>
        </is>
      </c>
      <c r="H293" t="inlineStr">
        <is>
          <t>Campus Bogotá</t>
        </is>
      </c>
      <c r="I293" t="n">
        <v>1</v>
      </c>
      <c r="J293" t="n">
        <v>779</v>
      </c>
      <c r="K293" t="n">
        <v>779</v>
      </c>
    </row>
    <row r="294">
      <c r="A294" t="n">
        <v>208</v>
      </c>
      <c r="B294" t="inlineStr">
        <is>
          <t>Consumo de Agua m3 Mensual</t>
        </is>
      </c>
      <c r="C294" t="inlineStr">
        <is>
          <t>GESTIÓN AMBIENTAL</t>
        </is>
      </c>
      <c r="D294" t="inlineStr">
        <is>
          <t>Mensual</t>
        </is>
      </c>
      <c r="E294" t="inlineStr">
        <is>
          <t>Negativo</t>
        </is>
      </c>
      <c r="F294" s="105" t="n">
        <v>45077</v>
      </c>
      <c r="G294" t="inlineStr">
        <is>
          <t>208-2023-05-31</t>
        </is>
      </c>
      <c r="H294" t="inlineStr">
        <is>
          <t>City Campus</t>
        </is>
      </c>
      <c r="I294" t="n">
        <v>1</v>
      </c>
      <c r="J294" t="n">
        <v>303</v>
      </c>
      <c r="K294" t="n">
        <v>303</v>
      </c>
    </row>
    <row r="295">
      <c r="A295" t="n">
        <v>208</v>
      </c>
      <c r="B295" t="inlineStr">
        <is>
          <t>Consumo de Agua m3 Mensual</t>
        </is>
      </c>
      <c r="C295" t="inlineStr">
        <is>
          <t>GESTIÓN AMBIENTAL</t>
        </is>
      </c>
      <c r="D295" t="inlineStr">
        <is>
          <t>Mensual</t>
        </is>
      </c>
      <c r="E295" t="inlineStr">
        <is>
          <t>Negativo</t>
        </is>
      </c>
      <c r="F295" s="105" t="n">
        <v>45077</v>
      </c>
      <c r="G295" t="inlineStr">
        <is>
          <t>208-2023-05-31</t>
        </is>
      </c>
      <c r="H295" t="inlineStr">
        <is>
          <t>Sede Posgrado-Calle 85</t>
        </is>
      </c>
      <c r="I295" t="n">
        <v>1</v>
      </c>
      <c r="J295" t="n">
        <v>0</v>
      </c>
      <c r="K295" t="n">
        <v>0</v>
      </c>
    </row>
    <row r="296">
      <c r="A296" t="n">
        <v>208</v>
      </c>
      <c r="B296" t="inlineStr">
        <is>
          <t>Consumo de Agua m3 Mensual</t>
        </is>
      </c>
      <c r="C296" t="inlineStr">
        <is>
          <t>GESTIÓN AMBIENTAL</t>
        </is>
      </c>
      <c r="D296" t="inlineStr">
        <is>
          <t>Mensual</t>
        </is>
      </c>
      <c r="E296" t="inlineStr">
        <is>
          <t>Negativo</t>
        </is>
      </c>
      <c r="F296" s="105" t="n">
        <v>45077</v>
      </c>
      <c r="G296" t="inlineStr">
        <is>
          <t>208-2023-05-31</t>
        </is>
      </c>
      <c r="H296" t="inlineStr">
        <is>
          <t>Campus-Medellín</t>
        </is>
      </c>
      <c r="I296" t="n">
        <v>1</v>
      </c>
      <c r="J296" t="n">
        <v>178</v>
      </c>
      <c r="K296" t="n">
        <v>178</v>
      </c>
    </row>
    <row r="297">
      <c r="A297" t="n">
        <v>208</v>
      </c>
      <c r="B297" t="inlineStr">
        <is>
          <t>Consumo de Agua m3 Mensual</t>
        </is>
      </c>
      <c r="C297" t="inlineStr">
        <is>
          <t>GESTIÓN AMBIENTAL</t>
        </is>
      </c>
      <c r="D297" t="inlineStr">
        <is>
          <t>Mensual</t>
        </is>
      </c>
      <c r="E297" t="inlineStr">
        <is>
          <t>Negativo</t>
        </is>
      </c>
      <c r="F297" s="105" t="n">
        <v>45077</v>
      </c>
      <c r="G297" t="inlineStr">
        <is>
          <t>208-2023-05-31</t>
        </is>
      </c>
      <c r="H297" t="inlineStr">
        <is>
          <t>Sede Bienestar - Medellín</t>
        </is>
      </c>
      <c r="I297" t="n">
        <v>0</v>
      </c>
      <c r="J297" t="n">
        <v>0</v>
      </c>
      <c r="K297" t="n">
        <v>0</v>
      </c>
    </row>
    <row r="298">
      <c r="A298" t="n">
        <v>208</v>
      </c>
      <c r="B298" t="inlineStr">
        <is>
          <t>Consumo de Agua m3 Mensual</t>
        </is>
      </c>
      <c r="C298" t="inlineStr">
        <is>
          <t>GESTIÓN AMBIENTAL</t>
        </is>
      </c>
      <c r="D298" t="inlineStr">
        <is>
          <t>Mensual</t>
        </is>
      </c>
      <c r="E298" t="inlineStr">
        <is>
          <t>Negativo</t>
        </is>
      </c>
      <c r="F298" s="105" t="n">
        <v>45077</v>
      </c>
      <c r="G298" t="inlineStr">
        <is>
          <t>208-2023-05-31</t>
        </is>
      </c>
      <c r="H298" t="inlineStr">
        <is>
          <t>Consultorio Psicología - Medellin</t>
        </is>
      </c>
      <c r="I298" t="n">
        <v>1</v>
      </c>
      <c r="J298" t="n">
        <v>8</v>
      </c>
      <c r="K298" t="n">
        <v>8</v>
      </c>
    </row>
    <row r="299">
      <c r="A299" t="n">
        <v>214</v>
      </c>
      <c r="B299" t="inlineStr">
        <is>
          <t>Generación de Residuos Sólidos Mensual</t>
        </is>
      </c>
      <c r="C299" t="inlineStr">
        <is>
          <t>GESTIÓN AMBIENTAL</t>
        </is>
      </c>
      <c r="D299" t="inlineStr">
        <is>
          <t>Mensual</t>
        </is>
      </c>
      <c r="E299" t="inlineStr">
        <is>
          <t>Negativo</t>
        </is>
      </c>
      <c r="F299" s="105" t="n">
        <v>45077</v>
      </c>
      <c r="G299" t="inlineStr">
        <is>
          <t>214-2023-05-31</t>
        </is>
      </c>
      <c r="H299" t="inlineStr">
        <is>
          <t>Campus Bogotá</t>
        </is>
      </c>
      <c r="I299" t="n">
        <v>7500</v>
      </c>
      <c r="J299" t="n">
        <v>1008</v>
      </c>
      <c r="L299" t="n">
        <v>397</v>
      </c>
      <c r="M299" t="n">
        <v>611</v>
      </c>
    </row>
    <row r="300">
      <c r="A300" t="n">
        <v>214</v>
      </c>
      <c r="B300" t="inlineStr">
        <is>
          <t>Generación de Residuos Sólidos Mensual</t>
        </is>
      </c>
      <c r="C300" t="inlineStr">
        <is>
          <t>GESTIÓN AMBIENTAL</t>
        </is>
      </c>
      <c r="D300" t="inlineStr">
        <is>
          <t>Mensual</t>
        </is>
      </c>
      <c r="E300" t="inlineStr">
        <is>
          <t>Negativo</t>
        </is>
      </c>
      <c r="F300" s="105" t="n">
        <v>45077</v>
      </c>
      <c r="G300" t="inlineStr">
        <is>
          <t>214-2023-05-31</t>
        </is>
      </c>
      <c r="H300" t="inlineStr">
        <is>
          <t>City Campus</t>
        </is>
      </c>
      <c r="I300" t="n">
        <v>7500</v>
      </c>
      <c r="J300" t="n">
        <v>1012.830017089844</v>
      </c>
      <c r="L300" t="n">
        <v>0</v>
      </c>
      <c r="M300" t="n">
        <v>1012.83</v>
      </c>
    </row>
    <row r="301">
      <c r="A301" t="n">
        <v>214</v>
      </c>
      <c r="B301" t="inlineStr">
        <is>
          <t>Generación de Residuos Sólidos Mensual</t>
        </is>
      </c>
      <c r="C301" t="inlineStr">
        <is>
          <t>GESTIÓN AMBIENTAL</t>
        </is>
      </c>
      <c r="D301" t="inlineStr">
        <is>
          <t>Mensual</t>
        </is>
      </c>
      <c r="E301" t="inlineStr">
        <is>
          <t>Negativo</t>
        </is>
      </c>
      <c r="F301" s="105" t="n">
        <v>45077</v>
      </c>
      <c r="G301" t="inlineStr">
        <is>
          <t>214-2023-05-31</t>
        </is>
      </c>
      <c r="H301" t="inlineStr">
        <is>
          <t>Sede Posgrado-Calle 85</t>
        </is>
      </c>
      <c r="I301" t="n">
        <v>7500</v>
      </c>
      <c r="J301" t="n">
        <v>0</v>
      </c>
      <c r="L301" t="n">
        <v>0</v>
      </c>
      <c r="M301" t="n">
        <v>0</v>
      </c>
    </row>
    <row r="302">
      <c r="A302" t="n">
        <v>214</v>
      </c>
      <c r="B302" t="inlineStr">
        <is>
          <t>Generación de Residuos Sólidos Mensual</t>
        </is>
      </c>
      <c r="C302" t="inlineStr">
        <is>
          <t>GESTIÓN AMBIENTAL</t>
        </is>
      </c>
      <c r="D302" t="inlineStr">
        <is>
          <t>Mensual</t>
        </is>
      </c>
      <c r="E302" t="inlineStr">
        <is>
          <t>Negativo</t>
        </is>
      </c>
      <c r="F302" s="105" t="n">
        <v>45077</v>
      </c>
      <c r="G302" t="inlineStr">
        <is>
          <t>214-2023-05-31</t>
        </is>
      </c>
      <c r="H302" t="inlineStr">
        <is>
          <t>Campus-Medellín</t>
        </is>
      </c>
      <c r="I302" t="n">
        <v>7500</v>
      </c>
      <c r="J302" t="n">
        <v>611.2000122070312</v>
      </c>
      <c r="L302" t="n">
        <v>152.6</v>
      </c>
      <c r="M302" t="n">
        <v>458.6</v>
      </c>
    </row>
    <row r="303">
      <c r="A303" t="n">
        <v>214</v>
      </c>
      <c r="B303" t="inlineStr">
        <is>
          <t>Generación de Residuos Sólidos Mensual</t>
        </is>
      </c>
      <c r="C303" t="inlineStr">
        <is>
          <t>GESTIÓN AMBIENTAL</t>
        </is>
      </c>
      <c r="D303" t="inlineStr">
        <is>
          <t>Mensual</t>
        </is>
      </c>
      <c r="E303" t="inlineStr">
        <is>
          <t>Negativo</t>
        </is>
      </c>
      <c r="F303" s="105" t="n">
        <v>45077</v>
      </c>
      <c r="G303" t="inlineStr">
        <is>
          <t>214-2023-05-31</t>
        </is>
      </c>
      <c r="H303" t="inlineStr">
        <is>
          <t>Sede Bienestar - Medellín</t>
        </is>
      </c>
      <c r="I303" t="n">
        <v>1</v>
      </c>
      <c r="J303" t="n">
        <v>0</v>
      </c>
      <c r="L303" t="n">
        <v>0</v>
      </c>
      <c r="M303" t="n">
        <v>0</v>
      </c>
    </row>
    <row r="304">
      <c r="A304" t="n">
        <v>214</v>
      </c>
      <c r="B304" t="inlineStr">
        <is>
          <t>Generación de Residuos Sólidos Mensual</t>
        </is>
      </c>
      <c r="C304" t="inlineStr">
        <is>
          <t>GESTIÓN AMBIENTAL</t>
        </is>
      </c>
      <c r="D304" t="inlineStr">
        <is>
          <t>Mensual</t>
        </is>
      </c>
      <c r="E304" t="inlineStr">
        <is>
          <t>Negativo</t>
        </is>
      </c>
      <c r="F304" s="105" t="n">
        <v>45077</v>
      </c>
      <c r="G304" t="inlineStr">
        <is>
          <t>214-2023-05-31</t>
        </is>
      </c>
      <c r="H304" t="inlineStr">
        <is>
          <t>Consultorio Psicología - Medellin</t>
        </is>
      </c>
      <c r="I304" t="n">
        <v>1</v>
      </c>
      <c r="J304" t="n">
        <v>0</v>
      </c>
      <c r="L304" t="n">
        <v>0</v>
      </c>
      <c r="M304" t="n">
        <v>0</v>
      </c>
    </row>
    <row r="305">
      <c r="A305" t="n">
        <v>217</v>
      </c>
      <c r="B305" t="inlineStr">
        <is>
          <t>Aprovechamiento de Residuos</t>
        </is>
      </c>
      <c r="C305" t="inlineStr">
        <is>
          <t>GESTIÓN AMBIENTAL</t>
        </is>
      </c>
      <c r="D305" t="inlineStr">
        <is>
          <t>Mensual</t>
        </is>
      </c>
      <c r="E305" t="inlineStr">
        <is>
          <t>Positivo</t>
        </is>
      </c>
      <c r="F305" s="105" t="n">
        <v>45077</v>
      </c>
      <c r="G305" t="inlineStr">
        <is>
          <t>217-2023-05-31</t>
        </is>
      </c>
      <c r="H305" t="inlineStr">
        <is>
          <t>Campus Bogotá</t>
        </is>
      </c>
      <c r="I305" t="n">
        <v>20</v>
      </c>
      <c r="J305" t="n">
        <v>39.38000106811523</v>
      </c>
      <c r="L305" t="n">
        <v>397</v>
      </c>
      <c r="M305" t="n">
        <v>611</v>
      </c>
      <c r="AS305" t="n">
        <v>397</v>
      </c>
    </row>
    <row r="306">
      <c r="A306" t="n">
        <v>217</v>
      </c>
      <c r="B306" t="inlineStr">
        <is>
          <t>Aprovechamiento de Residuos</t>
        </is>
      </c>
      <c r="C306" t="inlineStr">
        <is>
          <t>GESTIÓN AMBIENTAL</t>
        </is>
      </c>
      <c r="D306" t="inlineStr">
        <is>
          <t>Mensual</t>
        </is>
      </c>
      <c r="E306" t="inlineStr">
        <is>
          <t>Positivo</t>
        </is>
      </c>
      <c r="F306" s="105" t="n">
        <v>45077</v>
      </c>
      <c r="G306" t="inlineStr">
        <is>
          <t>217-2023-05-31</t>
        </is>
      </c>
      <c r="H306" t="inlineStr">
        <is>
          <t>City Campus</t>
        </is>
      </c>
      <c r="I306" t="n">
        <v>20</v>
      </c>
      <c r="J306" t="n">
        <v>0</v>
      </c>
      <c r="L306" t="n">
        <v>0</v>
      </c>
      <c r="M306" t="n">
        <v>1012.83</v>
      </c>
      <c r="AS306" t="n">
        <v>0</v>
      </c>
    </row>
    <row r="307">
      <c r="A307" t="n">
        <v>217</v>
      </c>
      <c r="B307" t="inlineStr">
        <is>
          <t>Aprovechamiento de Residuos</t>
        </is>
      </c>
      <c r="C307" t="inlineStr">
        <is>
          <t>GESTIÓN AMBIENTAL</t>
        </is>
      </c>
      <c r="D307" t="inlineStr">
        <is>
          <t>Mensual</t>
        </is>
      </c>
      <c r="E307" t="inlineStr">
        <is>
          <t>Positivo</t>
        </is>
      </c>
      <c r="F307" s="105" t="n">
        <v>45077</v>
      </c>
      <c r="G307" t="inlineStr">
        <is>
          <t>217-2023-05-31</t>
        </is>
      </c>
      <c r="H307" t="inlineStr">
        <is>
          <t>Sede Posgrado-Calle 85</t>
        </is>
      </c>
      <c r="I307" t="n">
        <v>20</v>
      </c>
      <c r="J307" t="n">
        <v>0</v>
      </c>
      <c r="L307" t="n">
        <v>0</v>
      </c>
      <c r="M307" t="n">
        <v>0</v>
      </c>
      <c r="AS307" t="n">
        <v>0</v>
      </c>
    </row>
    <row r="308">
      <c r="A308" t="n">
        <v>217</v>
      </c>
      <c r="B308" t="inlineStr">
        <is>
          <t>Aprovechamiento de Residuos</t>
        </is>
      </c>
      <c r="C308" t="inlineStr">
        <is>
          <t>GESTIÓN AMBIENTAL</t>
        </is>
      </c>
      <c r="D308" t="inlineStr">
        <is>
          <t>Mensual</t>
        </is>
      </c>
      <c r="E308" t="inlineStr">
        <is>
          <t>Positivo</t>
        </is>
      </c>
      <c r="F308" s="105" t="n">
        <v>45077</v>
      </c>
      <c r="G308" t="inlineStr">
        <is>
          <t>217-2023-05-31</t>
        </is>
      </c>
      <c r="H308" t="inlineStr">
        <is>
          <t>Campus-Medellín</t>
        </is>
      </c>
      <c r="I308" t="n">
        <v>20</v>
      </c>
      <c r="J308" t="n">
        <v>24.96999931335449</v>
      </c>
      <c r="L308" t="n">
        <v>152.6</v>
      </c>
      <c r="M308" t="n">
        <v>458.6</v>
      </c>
      <c r="AS308" t="n">
        <v>152.6</v>
      </c>
    </row>
    <row r="309">
      <c r="A309" t="n">
        <v>217</v>
      </c>
      <c r="B309" t="inlineStr">
        <is>
          <t>Aprovechamiento de Residuos</t>
        </is>
      </c>
      <c r="C309" t="inlineStr">
        <is>
          <t>GESTIÓN AMBIENTAL</t>
        </is>
      </c>
      <c r="D309" t="inlineStr">
        <is>
          <t>Mensual</t>
        </is>
      </c>
      <c r="E309" t="inlineStr">
        <is>
          <t>Positivo</t>
        </is>
      </c>
      <c r="F309" s="105" t="n">
        <v>45077</v>
      </c>
      <c r="G309" t="inlineStr">
        <is>
          <t>217-2023-05-31</t>
        </is>
      </c>
      <c r="H309" t="inlineStr">
        <is>
          <t>Sede Bienestar - Medellín</t>
        </is>
      </c>
      <c r="I309" t="n">
        <v>20</v>
      </c>
      <c r="J309" t="n">
        <v>0</v>
      </c>
      <c r="L309" t="n">
        <v>0</v>
      </c>
      <c r="M309" t="n">
        <v>0</v>
      </c>
      <c r="AS309" t="n">
        <v>0</v>
      </c>
    </row>
    <row r="310">
      <c r="A310" t="n">
        <v>217</v>
      </c>
      <c r="B310" t="inlineStr">
        <is>
          <t>Aprovechamiento de Residuos</t>
        </is>
      </c>
      <c r="C310" t="inlineStr">
        <is>
          <t>GESTIÓN AMBIENTAL</t>
        </is>
      </c>
      <c r="D310" t="inlineStr">
        <is>
          <t>Mensual</t>
        </is>
      </c>
      <c r="E310" t="inlineStr">
        <is>
          <t>Positivo</t>
        </is>
      </c>
      <c r="F310" s="105" t="n">
        <v>45077</v>
      </c>
      <c r="G310" t="inlineStr">
        <is>
          <t>217-2023-05-31</t>
        </is>
      </c>
      <c r="H310" t="inlineStr">
        <is>
          <t>Consultorio Psicología - Medellin</t>
        </is>
      </c>
      <c r="I310" t="n">
        <v>20</v>
      </c>
      <c r="J310" t="n">
        <v>0</v>
      </c>
      <c r="L310" t="n">
        <v>0</v>
      </c>
      <c r="M310" t="n">
        <v>0</v>
      </c>
      <c r="AS310" t="n">
        <v>0</v>
      </c>
    </row>
    <row r="311">
      <c r="A311" t="n">
        <v>218</v>
      </c>
      <c r="B311" t="inlineStr">
        <is>
          <t>Consumo de Energía Eléctrica kWh Mensual</t>
        </is>
      </c>
      <c r="C311" t="inlineStr">
        <is>
          <t>GESTIÓN AMBIENTAL</t>
        </is>
      </c>
      <c r="D311" t="inlineStr">
        <is>
          <t>Mensual</t>
        </is>
      </c>
      <c r="E311" t="inlineStr">
        <is>
          <t>Negativo</t>
        </is>
      </c>
      <c r="F311" s="105" t="n">
        <v>45077</v>
      </c>
      <c r="G311" t="inlineStr">
        <is>
          <t>218-2023-05-31</t>
        </is>
      </c>
      <c r="H311" t="inlineStr">
        <is>
          <t>Campus Bogotá</t>
        </is>
      </c>
      <c r="I311" t="n">
        <v>172000</v>
      </c>
      <c r="J311" t="n">
        <v>71125</v>
      </c>
      <c r="N311" t="n">
        <v>71125</v>
      </c>
    </row>
    <row r="312">
      <c r="A312" t="n">
        <v>218</v>
      </c>
      <c r="B312" t="inlineStr">
        <is>
          <t>Consumo de Energía Eléctrica kWh Mensual</t>
        </is>
      </c>
      <c r="C312" t="inlineStr">
        <is>
          <t>GESTIÓN AMBIENTAL</t>
        </is>
      </c>
      <c r="D312" t="inlineStr">
        <is>
          <t>Mensual</t>
        </is>
      </c>
      <c r="E312" t="inlineStr">
        <is>
          <t>Negativo</t>
        </is>
      </c>
      <c r="F312" s="105" t="n">
        <v>45077</v>
      </c>
      <c r="G312" t="inlineStr">
        <is>
          <t>218-2023-05-31</t>
        </is>
      </c>
      <c r="H312" t="inlineStr">
        <is>
          <t>City Campus</t>
        </is>
      </c>
      <c r="I312" t="n">
        <v>172000</v>
      </c>
      <c r="J312" t="n">
        <v>50730</v>
      </c>
      <c r="N312" t="n">
        <v>50730</v>
      </c>
    </row>
    <row r="313">
      <c r="A313" t="n">
        <v>218</v>
      </c>
      <c r="B313" t="inlineStr">
        <is>
          <t>Consumo de Energía Eléctrica kWh Mensual</t>
        </is>
      </c>
      <c r="C313" t="inlineStr">
        <is>
          <t>GESTIÓN AMBIENTAL</t>
        </is>
      </c>
      <c r="D313" t="inlineStr">
        <is>
          <t>Mensual</t>
        </is>
      </c>
      <c r="E313" t="inlineStr">
        <is>
          <t>Negativo</t>
        </is>
      </c>
      <c r="F313" s="105" t="n">
        <v>45077</v>
      </c>
      <c r="G313" t="inlineStr">
        <is>
          <t>218-2023-05-31</t>
        </is>
      </c>
      <c r="H313" t="inlineStr">
        <is>
          <t>Sede Posgrado-Calle 85</t>
        </is>
      </c>
      <c r="I313" t="n">
        <v>172000</v>
      </c>
      <c r="J313" t="n">
        <v>0</v>
      </c>
      <c r="N313" t="n">
        <v>0</v>
      </c>
    </row>
    <row r="314">
      <c r="A314" t="n">
        <v>218</v>
      </c>
      <c r="B314" t="inlineStr">
        <is>
          <t>Consumo de Energía Eléctrica kWh Mensual</t>
        </is>
      </c>
      <c r="C314" t="inlineStr">
        <is>
          <t>GESTIÓN AMBIENTAL</t>
        </is>
      </c>
      <c r="D314" t="inlineStr">
        <is>
          <t>Mensual</t>
        </is>
      </c>
      <c r="E314" t="inlineStr">
        <is>
          <t>Negativo</t>
        </is>
      </c>
      <c r="F314" s="105" t="n">
        <v>45077</v>
      </c>
      <c r="G314" t="inlineStr">
        <is>
          <t>218-2023-05-31</t>
        </is>
      </c>
      <c r="H314" t="inlineStr">
        <is>
          <t>Campus-Medellín</t>
        </is>
      </c>
      <c r="I314" t="n">
        <v>172000</v>
      </c>
      <c r="J314" t="n">
        <v>20724</v>
      </c>
      <c r="N314" t="n">
        <v>20724</v>
      </c>
    </row>
    <row r="315">
      <c r="A315" t="n">
        <v>218</v>
      </c>
      <c r="B315" t="inlineStr">
        <is>
          <t>Consumo de Energía Eléctrica kWh Mensual</t>
        </is>
      </c>
      <c r="C315" t="inlineStr">
        <is>
          <t>GESTIÓN AMBIENTAL</t>
        </is>
      </c>
      <c r="D315" t="inlineStr">
        <is>
          <t>Mensual</t>
        </is>
      </c>
      <c r="E315" t="inlineStr">
        <is>
          <t>Negativo</t>
        </is>
      </c>
      <c r="F315" s="105" t="n">
        <v>45077</v>
      </c>
      <c r="G315" t="inlineStr">
        <is>
          <t>218-2023-05-31</t>
        </is>
      </c>
      <c r="H315" t="inlineStr">
        <is>
          <t>Sede Bienestar - Medellín</t>
        </is>
      </c>
      <c r="I315" t="n">
        <v>172000</v>
      </c>
      <c r="J315" t="n">
        <v>3600</v>
      </c>
      <c r="N315" t="n">
        <v>3600</v>
      </c>
    </row>
    <row r="316">
      <c r="A316" t="n">
        <v>218</v>
      </c>
      <c r="B316" t="inlineStr">
        <is>
          <t>Consumo de Energía Eléctrica kWh Mensual</t>
        </is>
      </c>
      <c r="C316" t="inlineStr">
        <is>
          <t>GESTIÓN AMBIENTAL</t>
        </is>
      </c>
      <c r="D316" t="inlineStr">
        <is>
          <t>Mensual</t>
        </is>
      </c>
      <c r="E316" t="inlineStr">
        <is>
          <t>Negativo</t>
        </is>
      </c>
      <c r="F316" s="105" t="n">
        <v>45077</v>
      </c>
      <c r="G316" t="inlineStr">
        <is>
          <t>218-2023-05-31</t>
        </is>
      </c>
      <c r="H316" t="inlineStr">
        <is>
          <t>Consultorio Psicología - Medellin</t>
        </is>
      </c>
      <c r="I316" t="n">
        <v>172000</v>
      </c>
      <c r="J316" t="n">
        <v>1130</v>
      </c>
      <c r="N316" t="n">
        <v>1130</v>
      </c>
    </row>
    <row r="317">
      <c r="A317" t="n">
        <v>225</v>
      </c>
      <c r="B317" t="inlineStr">
        <is>
          <t>Acciones para el Cuidado y Mantenimiento de las Especies de Flora y el Suelo de las Áreas Naturales</t>
        </is>
      </c>
      <c r="C317" t="inlineStr">
        <is>
          <t>GESTIÓN AMBIENTAL</t>
        </is>
      </c>
      <c r="D317" t="inlineStr">
        <is>
          <t>Mensual</t>
        </is>
      </c>
      <c r="E317" t="inlineStr">
        <is>
          <t>Positivo</t>
        </is>
      </c>
      <c r="F317" s="105" t="n">
        <v>45077</v>
      </c>
      <c r="G317" t="inlineStr">
        <is>
          <t>225-2023-05-31</t>
        </is>
      </c>
      <c r="H317" t="inlineStr">
        <is>
          <t>Campus Bogotá</t>
        </is>
      </c>
      <c r="I317" t="n">
        <v>1</v>
      </c>
      <c r="J317" t="n">
        <v>9</v>
      </c>
      <c r="AT317" t="n">
        <v>9</v>
      </c>
    </row>
    <row r="318">
      <c r="A318" t="n">
        <v>225</v>
      </c>
      <c r="B318" t="inlineStr">
        <is>
          <t>Acciones para el Cuidado y Mantenimiento de las Especies de Flora y el Suelo de las Áreas Naturales</t>
        </is>
      </c>
      <c r="C318" t="inlineStr">
        <is>
          <t>GESTIÓN AMBIENTAL</t>
        </is>
      </c>
      <c r="D318" t="inlineStr">
        <is>
          <t>Mensual</t>
        </is>
      </c>
      <c r="E318" t="inlineStr">
        <is>
          <t>Positivo</t>
        </is>
      </c>
      <c r="F318" s="105" t="n">
        <v>45077</v>
      </c>
      <c r="G318" t="inlineStr">
        <is>
          <t>225-2023-05-31</t>
        </is>
      </c>
      <c r="H318" t="inlineStr">
        <is>
          <t>City Campus</t>
        </is>
      </c>
      <c r="I318" t="n">
        <v>1</v>
      </c>
      <c r="J318" t="n">
        <v>2</v>
      </c>
      <c r="AT318" t="n">
        <v>2</v>
      </c>
    </row>
    <row r="319">
      <c r="A319" t="n">
        <v>225</v>
      </c>
      <c r="B319" t="inlineStr">
        <is>
          <t>Acciones para el Cuidado y Mantenimiento de las Especies de Flora y el Suelo de las Áreas Naturales</t>
        </is>
      </c>
      <c r="C319" t="inlineStr">
        <is>
          <t>GESTIÓN AMBIENTAL</t>
        </is>
      </c>
      <c r="D319" t="inlineStr">
        <is>
          <t>Mensual</t>
        </is>
      </c>
      <c r="E319" t="inlineStr">
        <is>
          <t>Positivo</t>
        </is>
      </c>
      <c r="F319" s="105" t="n">
        <v>45077</v>
      </c>
      <c r="G319" t="inlineStr">
        <is>
          <t>225-2023-05-31</t>
        </is>
      </c>
      <c r="H319" t="inlineStr">
        <is>
          <t>Sede Posgrado-Calle 85</t>
        </is>
      </c>
      <c r="I319" t="n">
        <v>1</v>
      </c>
      <c r="J319" t="n">
        <v>0</v>
      </c>
      <c r="AT319" t="n">
        <v>0</v>
      </c>
    </row>
    <row r="320">
      <c r="A320" t="n">
        <v>225</v>
      </c>
      <c r="B320" t="inlineStr">
        <is>
          <t>Acciones para el Cuidado y Mantenimiento de las Especies de Flora y el Suelo de las Áreas Naturales</t>
        </is>
      </c>
      <c r="C320" t="inlineStr">
        <is>
          <t>GESTIÓN AMBIENTAL</t>
        </is>
      </c>
      <c r="D320" t="inlineStr">
        <is>
          <t>Mensual</t>
        </is>
      </c>
      <c r="E320" t="inlineStr">
        <is>
          <t>Positivo</t>
        </is>
      </c>
      <c r="F320" s="105" t="n">
        <v>45077</v>
      </c>
      <c r="G320" t="inlineStr">
        <is>
          <t>225-2023-05-31</t>
        </is>
      </c>
      <c r="H320" t="inlineStr">
        <is>
          <t>Campus-Medellín</t>
        </is>
      </c>
      <c r="I320" t="n">
        <v>1</v>
      </c>
      <c r="J320" t="n">
        <v>10</v>
      </c>
      <c r="AT320" t="n">
        <v>10</v>
      </c>
    </row>
    <row r="321">
      <c r="A321" t="n">
        <v>225</v>
      </c>
      <c r="B321" t="inlineStr">
        <is>
          <t>Acciones para el Cuidado y Mantenimiento de las Especies de Flora y el Suelo de las Áreas Naturales</t>
        </is>
      </c>
      <c r="C321" t="inlineStr">
        <is>
          <t>GESTIÓN AMBIENTAL</t>
        </is>
      </c>
      <c r="D321" t="inlineStr">
        <is>
          <t>Mensual</t>
        </is>
      </c>
      <c r="E321" t="inlineStr">
        <is>
          <t>Positivo</t>
        </is>
      </c>
      <c r="F321" s="105" t="n">
        <v>45077</v>
      </c>
      <c r="G321" t="inlineStr">
        <is>
          <t>225-2023-05-31</t>
        </is>
      </c>
      <c r="H321" t="inlineStr">
        <is>
          <t>Sede Bienestar - Medellín</t>
        </is>
      </c>
      <c r="I321" t="n">
        <v>1</v>
      </c>
      <c r="J321" t="n">
        <v>1</v>
      </c>
      <c r="AT321" t="n">
        <v>1</v>
      </c>
    </row>
    <row r="322">
      <c r="A322" t="n">
        <v>225</v>
      </c>
      <c r="B322" t="inlineStr">
        <is>
          <t>Acciones para el Cuidado y Mantenimiento de las Especies de Flora y el Suelo de las Áreas Naturales</t>
        </is>
      </c>
      <c r="C322" t="inlineStr">
        <is>
          <t>GESTIÓN AMBIENTAL</t>
        </is>
      </c>
      <c r="D322" t="inlineStr">
        <is>
          <t>Mensual</t>
        </is>
      </c>
      <c r="E322" t="inlineStr">
        <is>
          <t>Positivo</t>
        </is>
      </c>
      <c r="F322" s="105" t="n">
        <v>45077</v>
      </c>
      <c r="G322" t="inlineStr">
        <is>
          <t>225-2023-05-31</t>
        </is>
      </c>
      <c r="H322" t="inlineStr">
        <is>
          <t>Consultorio Psicología - Medellin</t>
        </is>
      </c>
      <c r="I322" t="n">
        <v>1</v>
      </c>
      <c r="J322" t="n">
        <v>1</v>
      </c>
      <c r="AT322" t="n">
        <v>1</v>
      </c>
    </row>
    <row r="323">
      <c r="A323" t="n">
        <v>239</v>
      </c>
      <c r="B323" t="inlineStr">
        <is>
          <t>Portafolio de Proyectos - Metrica</t>
        </is>
      </c>
      <c r="C323" t="inlineStr">
        <is>
          <t>Gestión de Proyectos</t>
        </is>
      </c>
      <c r="D323" t="inlineStr">
        <is>
          <t>Mensual</t>
        </is>
      </c>
      <c r="E323" t="inlineStr">
        <is>
          <t>Positivo</t>
        </is>
      </c>
      <c r="F323" s="105" t="n">
        <v>45077</v>
      </c>
      <c r="G323" t="inlineStr">
        <is>
          <t>239-2023-05-31</t>
        </is>
      </c>
      <c r="H323" t="inlineStr">
        <is>
          <t>Planificación</t>
        </is>
      </c>
      <c r="J323" t="n">
        <v>2</v>
      </c>
      <c r="AU323" t="n">
        <v>2</v>
      </c>
    </row>
    <row r="324">
      <c r="A324" t="n">
        <v>239</v>
      </c>
      <c r="B324" t="inlineStr">
        <is>
          <t>Portafolio de Proyectos - Metrica</t>
        </is>
      </c>
      <c r="C324" t="inlineStr">
        <is>
          <t>Gestión de Proyectos</t>
        </is>
      </c>
      <c r="D324" t="inlineStr">
        <is>
          <t>Mensual</t>
        </is>
      </c>
      <c r="E324" t="inlineStr">
        <is>
          <t>Positivo</t>
        </is>
      </c>
      <c r="F324" s="105" t="n">
        <v>45077</v>
      </c>
      <c r="G324" t="inlineStr">
        <is>
          <t>239-2023-05-31</t>
        </is>
      </c>
      <c r="H324" t="inlineStr">
        <is>
          <t>Ejecución</t>
        </is>
      </c>
      <c r="J324" t="n">
        <v>12</v>
      </c>
      <c r="AU324" t="n">
        <v>12</v>
      </c>
    </row>
    <row r="325">
      <c r="A325" t="n">
        <v>239</v>
      </c>
      <c r="B325" t="inlineStr">
        <is>
          <t>Portafolio de Proyectos - Metrica</t>
        </is>
      </c>
      <c r="C325" t="inlineStr">
        <is>
          <t>Gestión de Proyectos</t>
        </is>
      </c>
      <c r="D325" t="inlineStr">
        <is>
          <t>Mensual</t>
        </is>
      </c>
      <c r="E325" t="inlineStr">
        <is>
          <t>Positivo</t>
        </is>
      </c>
      <c r="F325" s="105" t="n">
        <v>45077</v>
      </c>
      <c r="G325" t="inlineStr">
        <is>
          <t>239-2023-05-31</t>
        </is>
      </c>
      <c r="H325" t="inlineStr">
        <is>
          <t>Finalizados</t>
        </is>
      </c>
      <c r="J325" t="n">
        <v>5</v>
      </c>
      <c r="AU325" t="n">
        <v>5</v>
      </c>
    </row>
    <row r="326">
      <c r="A326" t="n">
        <v>434</v>
      </c>
      <c r="B326" t="inlineStr">
        <is>
          <t>Generación de Residuos Peligrosos Mensual</t>
        </is>
      </c>
      <c r="C326" t="inlineStr">
        <is>
          <t>GESTIÓN AMBIENTAL</t>
        </is>
      </c>
      <c r="D326" t="inlineStr">
        <is>
          <t>Mensual</t>
        </is>
      </c>
      <c r="E326" t="inlineStr">
        <is>
          <t>Negativo</t>
        </is>
      </c>
      <c r="F326" s="105" t="n">
        <v>45077</v>
      </c>
      <c r="G326" t="inlineStr">
        <is>
          <t>434-2023-05-31</t>
        </is>
      </c>
      <c r="H326" t="inlineStr">
        <is>
          <t>Campus Bogotá</t>
        </is>
      </c>
      <c r="I326" t="n">
        <v>200</v>
      </c>
      <c r="J326" t="n">
        <v>0</v>
      </c>
      <c r="AV326" t="n">
        <v>0</v>
      </c>
    </row>
    <row r="327">
      <c r="A327" t="n">
        <v>434</v>
      </c>
      <c r="B327" t="inlineStr">
        <is>
          <t>Generación de Residuos Peligrosos Mensual</t>
        </is>
      </c>
      <c r="C327" t="inlineStr">
        <is>
          <t>GESTIÓN AMBIENTAL</t>
        </is>
      </c>
      <c r="D327" t="inlineStr">
        <is>
          <t>Mensual</t>
        </is>
      </c>
      <c r="E327" t="inlineStr">
        <is>
          <t>Negativo</t>
        </is>
      </c>
      <c r="F327" s="105" t="n">
        <v>45077</v>
      </c>
      <c r="G327" t="inlineStr">
        <is>
          <t>434-2023-05-31</t>
        </is>
      </c>
      <c r="H327" t="inlineStr">
        <is>
          <t>City Campus</t>
        </is>
      </c>
      <c r="I327" t="n">
        <v>200</v>
      </c>
      <c r="J327" t="n">
        <v>0</v>
      </c>
      <c r="AV327" t="n">
        <v>0</v>
      </c>
    </row>
    <row r="328">
      <c r="A328" t="n">
        <v>434</v>
      </c>
      <c r="B328" t="inlineStr">
        <is>
          <t>Generación de Residuos Peligrosos Mensual</t>
        </is>
      </c>
      <c r="C328" t="inlineStr">
        <is>
          <t>GESTIÓN AMBIENTAL</t>
        </is>
      </c>
      <c r="D328" t="inlineStr">
        <is>
          <t>Mensual</t>
        </is>
      </c>
      <c r="E328" t="inlineStr">
        <is>
          <t>Negativo</t>
        </is>
      </c>
      <c r="F328" s="105" t="n">
        <v>45077</v>
      </c>
      <c r="G328" t="inlineStr">
        <is>
          <t>434-2023-05-31</t>
        </is>
      </c>
      <c r="H328" t="inlineStr">
        <is>
          <t>Sede Posgrado-Calle 85</t>
        </is>
      </c>
      <c r="I328" t="n">
        <v>200</v>
      </c>
      <c r="J328" t="n">
        <v>0</v>
      </c>
      <c r="AV328" t="n">
        <v>0</v>
      </c>
    </row>
    <row r="329">
      <c r="A329" t="n">
        <v>434</v>
      </c>
      <c r="B329" t="inlineStr">
        <is>
          <t>Generación de Residuos Peligrosos Mensual</t>
        </is>
      </c>
      <c r="C329" t="inlineStr">
        <is>
          <t>GESTIÓN AMBIENTAL</t>
        </is>
      </c>
      <c r="D329" t="inlineStr">
        <is>
          <t>Mensual</t>
        </is>
      </c>
      <c r="E329" t="inlineStr">
        <is>
          <t>Negativo</t>
        </is>
      </c>
      <c r="F329" s="105" t="n">
        <v>45077</v>
      </c>
      <c r="G329" t="inlineStr">
        <is>
          <t>434-2023-05-31</t>
        </is>
      </c>
      <c r="H329" t="inlineStr">
        <is>
          <t>Campus-Medellín</t>
        </is>
      </c>
      <c r="I329" t="n">
        <v>200</v>
      </c>
      <c r="J329" t="n">
        <v>4.599999904632568</v>
      </c>
      <c r="AV329" t="n">
        <v>4.6</v>
      </c>
    </row>
    <row r="330">
      <c r="A330" t="n">
        <v>434</v>
      </c>
      <c r="B330" t="inlineStr">
        <is>
          <t>Generación de Residuos Peligrosos Mensual</t>
        </is>
      </c>
      <c r="C330" t="inlineStr">
        <is>
          <t>GESTIÓN AMBIENTAL</t>
        </is>
      </c>
      <c r="D330" t="inlineStr">
        <is>
          <t>Mensual</t>
        </is>
      </c>
      <c r="E330" t="inlineStr">
        <is>
          <t>Negativo</t>
        </is>
      </c>
      <c r="F330" s="105" t="n">
        <v>45077</v>
      </c>
      <c r="G330" t="inlineStr">
        <is>
          <t>434-2023-05-31</t>
        </is>
      </c>
      <c r="H330" t="inlineStr">
        <is>
          <t>Sede Bienestar - Medellín</t>
        </is>
      </c>
      <c r="I330" t="n">
        <v>200</v>
      </c>
      <c r="J330" t="n">
        <v>0</v>
      </c>
      <c r="AV330" t="n">
        <v>0</v>
      </c>
    </row>
    <row r="331">
      <c r="A331" t="n">
        <v>434</v>
      </c>
      <c r="B331" t="inlineStr">
        <is>
          <t>Generación de Residuos Peligrosos Mensual</t>
        </is>
      </c>
      <c r="C331" t="inlineStr">
        <is>
          <t>GESTIÓN AMBIENTAL</t>
        </is>
      </c>
      <c r="D331" t="inlineStr">
        <is>
          <t>Mensual</t>
        </is>
      </c>
      <c r="E331" t="inlineStr">
        <is>
          <t>Negativo</t>
        </is>
      </c>
      <c r="F331" s="105" t="n">
        <v>45077</v>
      </c>
      <c r="G331" t="inlineStr">
        <is>
          <t>434-2023-05-31</t>
        </is>
      </c>
      <c r="H331" t="inlineStr">
        <is>
          <t>Consultorio Psicología - Medellin</t>
        </is>
      </c>
      <c r="I331" t="n">
        <v>200</v>
      </c>
      <c r="J331" t="n">
        <v>0</v>
      </c>
      <c r="AV331" t="n">
        <v>0</v>
      </c>
    </row>
    <row r="332">
      <c r="A332" t="n">
        <v>208</v>
      </c>
      <c r="B332" t="inlineStr">
        <is>
          <t>Consumo de Agua m3 Mensual</t>
        </is>
      </c>
      <c r="C332" t="inlineStr">
        <is>
          <t>GESTIÓN AMBIENTAL</t>
        </is>
      </c>
      <c r="D332" t="inlineStr">
        <is>
          <t>Mensual</t>
        </is>
      </c>
      <c r="E332" t="inlineStr">
        <is>
          <t>Negativo</t>
        </is>
      </c>
      <c r="F332" s="105" t="n">
        <v>45107</v>
      </c>
      <c r="G332" t="inlineStr">
        <is>
          <t>208-2023-06-30</t>
        </is>
      </c>
      <c r="H332" t="inlineStr">
        <is>
          <t>Campus Bogotá</t>
        </is>
      </c>
      <c r="I332" t="n">
        <v>1</v>
      </c>
      <c r="J332" t="n">
        <v>966</v>
      </c>
      <c r="K332" t="n">
        <v>966</v>
      </c>
    </row>
    <row r="333">
      <c r="A333" t="n">
        <v>208</v>
      </c>
      <c r="B333" t="inlineStr">
        <is>
          <t>Consumo de Agua m3 Mensual</t>
        </is>
      </c>
      <c r="C333" t="inlineStr">
        <is>
          <t>GESTIÓN AMBIENTAL</t>
        </is>
      </c>
      <c r="D333" t="inlineStr">
        <is>
          <t>Mensual</t>
        </is>
      </c>
      <c r="E333" t="inlineStr">
        <is>
          <t>Negativo</t>
        </is>
      </c>
      <c r="F333" s="105" t="n">
        <v>45107</v>
      </c>
      <c r="G333" t="inlineStr">
        <is>
          <t>208-2023-06-30</t>
        </is>
      </c>
      <c r="H333" t="inlineStr">
        <is>
          <t>City Campus</t>
        </is>
      </c>
      <c r="I333" t="n">
        <v>1</v>
      </c>
      <c r="J333" t="n">
        <v>303</v>
      </c>
      <c r="K333" t="n">
        <v>303</v>
      </c>
    </row>
    <row r="334">
      <c r="A334" t="n">
        <v>208</v>
      </c>
      <c r="B334" t="inlineStr">
        <is>
          <t>Consumo de Agua m3 Mensual</t>
        </is>
      </c>
      <c r="C334" t="inlineStr">
        <is>
          <t>GESTIÓN AMBIENTAL</t>
        </is>
      </c>
      <c r="D334" t="inlineStr">
        <is>
          <t>Mensual</t>
        </is>
      </c>
      <c r="E334" t="inlineStr">
        <is>
          <t>Negativo</t>
        </is>
      </c>
      <c r="F334" s="105" t="n">
        <v>45107</v>
      </c>
      <c r="G334" t="inlineStr">
        <is>
          <t>208-2023-06-30</t>
        </is>
      </c>
      <c r="H334" t="inlineStr">
        <is>
          <t>Sede Posgrado-Calle 85</t>
        </is>
      </c>
      <c r="I334" t="n">
        <v>1</v>
      </c>
      <c r="J334" t="n">
        <v>0</v>
      </c>
      <c r="K334" t="n">
        <v>0</v>
      </c>
    </row>
    <row r="335">
      <c r="A335" t="n">
        <v>208</v>
      </c>
      <c r="B335" t="inlineStr">
        <is>
          <t>Consumo de Agua m3 Mensual</t>
        </is>
      </c>
      <c r="C335" t="inlineStr">
        <is>
          <t>GESTIÓN AMBIENTAL</t>
        </is>
      </c>
      <c r="D335" t="inlineStr">
        <is>
          <t>Mensual</t>
        </is>
      </c>
      <c r="E335" t="inlineStr">
        <is>
          <t>Negativo</t>
        </is>
      </c>
      <c r="F335" s="105" t="n">
        <v>45107</v>
      </c>
      <c r="G335" t="inlineStr">
        <is>
          <t>208-2023-06-30</t>
        </is>
      </c>
      <c r="H335" t="inlineStr">
        <is>
          <t>Campus-Medellín</t>
        </is>
      </c>
      <c r="I335" t="n">
        <v>1</v>
      </c>
      <c r="J335" t="n">
        <v>179</v>
      </c>
      <c r="K335" t="n">
        <v>179</v>
      </c>
    </row>
    <row r="336">
      <c r="A336" t="n">
        <v>208</v>
      </c>
      <c r="B336" t="inlineStr">
        <is>
          <t>Consumo de Agua m3 Mensual</t>
        </is>
      </c>
      <c r="C336" t="inlineStr">
        <is>
          <t>GESTIÓN AMBIENTAL</t>
        </is>
      </c>
      <c r="D336" t="inlineStr">
        <is>
          <t>Mensual</t>
        </is>
      </c>
      <c r="E336" t="inlineStr">
        <is>
          <t>Negativo</t>
        </is>
      </c>
      <c r="F336" s="105" t="n">
        <v>45107</v>
      </c>
      <c r="G336" t="inlineStr">
        <is>
          <t>208-2023-06-30</t>
        </is>
      </c>
      <c r="H336" t="inlineStr">
        <is>
          <t>Sede Bienestar - Medellín</t>
        </is>
      </c>
      <c r="I336" t="n">
        <v>0</v>
      </c>
      <c r="J336" t="n">
        <v>0</v>
      </c>
      <c r="K336" t="n">
        <v>0</v>
      </c>
    </row>
    <row r="337">
      <c r="A337" t="n">
        <v>208</v>
      </c>
      <c r="B337" t="inlineStr">
        <is>
          <t>Consumo de Agua m3 Mensual</t>
        </is>
      </c>
      <c r="C337" t="inlineStr">
        <is>
          <t>GESTIÓN AMBIENTAL</t>
        </is>
      </c>
      <c r="D337" t="inlineStr">
        <is>
          <t>Mensual</t>
        </is>
      </c>
      <c r="E337" t="inlineStr">
        <is>
          <t>Negativo</t>
        </is>
      </c>
      <c r="F337" s="105" t="n">
        <v>45107</v>
      </c>
      <c r="G337" t="inlineStr">
        <is>
          <t>208-2023-06-30</t>
        </is>
      </c>
      <c r="H337" t="inlineStr">
        <is>
          <t>Consultorio Psicología - Medellin</t>
        </is>
      </c>
      <c r="I337" t="n">
        <v>1</v>
      </c>
      <c r="J337" t="n">
        <v>9</v>
      </c>
      <c r="K337" t="n">
        <v>9</v>
      </c>
    </row>
    <row r="338">
      <c r="A338" t="n">
        <v>214</v>
      </c>
      <c r="B338" t="inlineStr">
        <is>
          <t>Generación de Residuos Sólidos Mensual</t>
        </is>
      </c>
      <c r="C338" t="inlineStr">
        <is>
          <t>GESTIÓN AMBIENTAL</t>
        </is>
      </c>
      <c r="D338" t="inlineStr">
        <is>
          <t>Mensual</t>
        </is>
      </c>
      <c r="E338" t="inlineStr">
        <is>
          <t>Negativo</t>
        </is>
      </c>
      <c r="F338" s="105" t="n">
        <v>45107</v>
      </c>
      <c r="G338" t="inlineStr">
        <is>
          <t>214-2023-06-30</t>
        </is>
      </c>
      <c r="H338" t="inlineStr">
        <is>
          <t>Campus Bogotá</t>
        </is>
      </c>
      <c r="I338" t="n">
        <v>7500</v>
      </c>
      <c r="J338" t="n">
        <v>984</v>
      </c>
      <c r="L338" t="n">
        <v>452</v>
      </c>
      <c r="M338" t="n">
        <v>532</v>
      </c>
    </row>
    <row r="339">
      <c r="A339" t="n">
        <v>214</v>
      </c>
      <c r="B339" t="inlineStr">
        <is>
          <t>Generación de Residuos Sólidos Mensual</t>
        </is>
      </c>
      <c r="C339" t="inlineStr">
        <is>
          <t>GESTIÓN AMBIENTAL</t>
        </is>
      </c>
      <c r="D339" t="inlineStr">
        <is>
          <t>Mensual</t>
        </is>
      </c>
      <c r="E339" t="inlineStr">
        <is>
          <t>Negativo</t>
        </is>
      </c>
      <c r="F339" s="105" t="n">
        <v>45107</v>
      </c>
      <c r="G339" t="inlineStr">
        <is>
          <t>214-2023-06-30</t>
        </is>
      </c>
      <c r="H339" t="inlineStr">
        <is>
          <t>City Campus</t>
        </is>
      </c>
      <c r="I339" t="n">
        <v>7500</v>
      </c>
      <c r="J339" t="n">
        <v>644.8099975585938</v>
      </c>
      <c r="L339" t="n">
        <v>0</v>
      </c>
      <c r="M339" t="n">
        <v>644.8099999999999</v>
      </c>
    </row>
    <row r="340">
      <c r="A340" t="n">
        <v>214</v>
      </c>
      <c r="B340" t="inlineStr">
        <is>
          <t>Generación de Residuos Sólidos Mensual</t>
        </is>
      </c>
      <c r="C340" t="inlineStr">
        <is>
          <t>GESTIÓN AMBIENTAL</t>
        </is>
      </c>
      <c r="D340" t="inlineStr">
        <is>
          <t>Mensual</t>
        </is>
      </c>
      <c r="E340" t="inlineStr">
        <is>
          <t>Negativo</t>
        </is>
      </c>
      <c r="F340" s="105" t="n">
        <v>45107</v>
      </c>
      <c r="G340" t="inlineStr">
        <is>
          <t>214-2023-06-30</t>
        </is>
      </c>
      <c r="H340" t="inlineStr">
        <is>
          <t>Sede Posgrado-Calle 85</t>
        </is>
      </c>
      <c r="I340" t="n">
        <v>7500</v>
      </c>
      <c r="J340" t="n">
        <v>0</v>
      </c>
      <c r="L340" t="n">
        <v>0</v>
      </c>
      <c r="M340" t="n">
        <v>0</v>
      </c>
    </row>
    <row r="341">
      <c r="A341" t="n">
        <v>214</v>
      </c>
      <c r="B341" t="inlineStr">
        <is>
          <t>Generación de Residuos Sólidos Mensual</t>
        </is>
      </c>
      <c r="C341" t="inlineStr">
        <is>
          <t>GESTIÓN AMBIENTAL</t>
        </is>
      </c>
      <c r="D341" t="inlineStr">
        <is>
          <t>Mensual</t>
        </is>
      </c>
      <c r="E341" t="inlineStr">
        <is>
          <t>Negativo</t>
        </is>
      </c>
      <c r="F341" s="105" t="n">
        <v>45107</v>
      </c>
      <c r="G341" t="inlineStr">
        <is>
          <t>214-2023-06-30</t>
        </is>
      </c>
      <c r="H341" t="inlineStr">
        <is>
          <t>Campus-Medellín</t>
        </is>
      </c>
      <c r="I341" t="n">
        <v>7500</v>
      </c>
      <c r="J341" t="n">
        <v>666.7000122070312</v>
      </c>
      <c r="L341" t="n">
        <v>66</v>
      </c>
      <c r="M341" t="n">
        <v>600.7</v>
      </c>
    </row>
    <row r="342">
      <c r="A342" t="n">
        <v>214</v>
      </c>
      <c r="B342" t="inlineStr">
        <is>
          <t>Generación de Residuos Sólidos Mensual</t>
        </is>
      </c>
      <c r="C342" t="inlineStr">
        <is>
          <t>GESTIÓN AMBIENTAL</t>
        </is>
      </c>
      <c r="D342" t="inlineStr">
        <is>
          <t>Mensual</t>
        </is>
      </c>
      <c r="E342" t="inlineStr">
        <is>
          <t>Negativo</t>
        </is>
      </c>
      <c r="F342" s="105" t="n">
        <v>45107</v>
      </c>
      <c r="G342" t="inlineStr">
        <is>
          <t>214-2023-06-30</t>
        </is>
      </c>
      <c r="H342" t="inlineStr">
        <is>
          <t>Sede Bienestar - Medellín</t>
        </is>
      </c>
      <c r="I342" t="n">
        <v>1</v>
      </c>
      <c r="J342" t="n">
        <v>0</v>
      </c>
      <c r="L342" t="n">
        <v>0</v>
      </c>
      <c r="M342" t="n">
        <v>0</v>
      </c>
    </row>
    <row r="343">
      <c r="A343" t="n">
        <v>214</v>
      </c>
      <c r="B343" t="inlineStr">
        <is>
          <t>Generación de Residuos Sólidos Mensual</t>
        </is>
      </c>
      <c r="C343" t="inlineStr">
        <is>
          <t>GESTIÓN AMBIENTAL</t>
        </is>
      </c>
      <c r="D343" t="inlineStr">
        <is>
          <t>Mensual</t>
        </is>
      </c>
      <c r="E343" t="inlineStr">
        <is>
          <t>Negativo</t>
        </is>
      </c>
      <c r="F343" s="105" t="n">
        <v>45107</v>
      </c>
      <c r="G343" t="inlineStr">
        <is>
          <t>214-2023-06-30</t>
        </is>
      </c>
      <c r="H343" t="inlineStr">
        <is>
          <t>Consultorio Psicología - Medellin</t>
        </is>
      </c>
      <c r="I343" t="n">
        <v>1</v>
      </c>
      <c r="J343" t="n">
        <v>0</v>
      </c>
      <c r="L343" t="n">
        <v>0</v>
      </c>
      <c r="M343" t="n">
        <v>0</v>
      </c>
    </row>
    <row r="344">
      <c r="A344" t="n">
        <v>217</v>
      </c>
      <c r="B344" t="inlineStr">
        <is>
          <t>Aprovechamiento de Residuos</t>
        </is>
      </c>
      <c r="C344" t="inlineStr">
        <is>
          <t>GESTIÓN AMBIENTAL</t>
        </is>
      </c>
      <c r="D344" t="inlineStr">
        <is>
          <t>Mensual</t>
        </is>
      </c>
      <c r="E344" t="inlineStr">
        <is>
          <t>Positivo</t>
        </is>
      </c>
      <c r="F344" s="105" t="n">
        <v>45107</v>
      </c>
      <c r="G344" t="inlineStr">
        <is>
          <t>217-2023-06-30</t>
        </is>
      </c>
      <c r="H344" t="inlineStr">
        <is>
          <t>Campus Bogotá</t>
        </is>
      </c>
      <c r="I344" t="n">
        <v>20</v>
      </c>
      <c r="J344" t="n">
        <v>45.93000030517578</v>
      </c>
      <c r="L344" t="n">
        <v>452</v>
      </c>
      <c r="M344" t="n">
        <v>532</v>
      </c>
      <c r="AS344" t="n">
        <v>452</v>
      </c>
    </row>
    <row r="345">
      <c r="A345" t="n">
        <v>217</v>
      </c>
      <c r="B345" t="inlineStr">
        <is>
          <t>Aprovechamiento de Residuos</t>
        </is>
      </c>
      <c r="C345" t="inlineStr">
        <is>
          <t>GESTIÓN AMBIENTAL</t>
        </is>
      </c>
      <c r="D345" t="inlineStr">
        <is>
          <t>Mensual</t>
        </is>
      </c>
      <c r="E345" t="inlineStr">
        <is>
          <t>Positivo</t>
        </is>
      </c>
      <c r="F345" s="105" t="n">
        <v>45107</v>
      </c>
      <c r="G345" t="inlineStr">
        <is>
          <t>217-2023-06-30</t>
        </is>
      </c>
      <c r="H345" t="inlineStr">
        <is>
          <t>City Campus</t>
        </is>
      </c>
      <c r="I345" t="n">
        <v>20</v>
      </c>
      <c r="J345" t="n">
        <v>0</v>
      </c>
      <c r="L345" t="n">
        <v>0</v>
      </c>
      <c r="M345" t="n">
        <v>644.8099999999999</v>
      </c>
      <c r="AS345" t="n">
        <v>0</v>
      </c>
    </row>
    <row r="346">
      <c r="A346" t="n">
        <v>217</v>
      </c>
      <c r="B346" t="inlineStr">
        <is>
          <t>Aprovechamiento de Residuos</t>
        </is>
      </c>
      <c r="C346" t="inlineStr">
        <is>
          <t>GESTIÓN AMBIENTAL</t>
        </is>
      </c>
      <c r="D346" t="inlineStr">
        <is>
          <t>Mensual</t>
        </is>
      </c>
      <c r="E346" t="inlineStr">
        <is>
          <t>Positivo</t>
        </is>
      </c>
      <c r="F346" s="105" t="n">
        <v>45107</v>
      </c>
      <c r="G346" t="inlineStr">
        <is>
          <t>217-2023-06-30</t>
        </is>
      </c>
      <c r="H346" t="inlineStr">
        <is>
          <t>Sede Posgrado-Calle 85</t>
        </is>
      </c>
      <c r="I346" t="n">
        <v>20</v>
      </c>
      <c r="J346" t="n">
        <v>0</v>
      </c>
      <c r="L346" t="n">
        <v>0</v>
      </c>
      <c r="M346" t="n">
        <v>0</v>
      </c>
      <c r="AS346" t="n">
        <v>0</v>
      </c>
    </row>
    <row r="347">
      <c r="A347" t="n">
        <v>217</v>
      </c>
      <c r="B347" t="inlineStr">
        <is>
          <t>Aprovechamiento de Residuos</t>
        </is>
      </c>
      <c r="C347" t="inlineStr">
        <is>
          <t>GESTIÓN AMBIENTAL</t>
        </is>
      </c>
      <c r="D347" t="inlineStr">
        <is>
          <t>Mensual</t>
        </is>
      </c>
      <c r="E347" t="inlineStr">
        <is>
          <t>Positivo</t>
        </is>
      </c>
      <c r="F347" s="105" t="n">
        <v>45107</v>
      </c>
      <c r="G347" t="inlineStr">
        <is>
          <t>217-2023-06-30</t>
        </is>
      </c>
      <c r="H347" t="inlineStr">
        <is>
          <t>Campus-Medellín</t>
        </is>
      </c>
      <c r="I347" t="n">
        <v>20</v>
      </c>
      <c r="J347" t="n">
        <v>9.899999618530273</v>
      </c>
      <c r="L347" t="n">
        <v>66</v>
      </c>
      <c r="M347" t="n">
        <v>600.7</v>
      </c>
      <c r="AS347" t="n">
        <v>66</v>
      </c>
    </row>
    <row r="348">
      <c r="A348" t="n">
        <v>217</v>
      </c>
      <c r="B348" t="inlineStr">
        <is>
          <t>Aprovechamiento de Residuos</t>
        </is>
      </c>
      <c r="C348" t="inlineStr">
        <is>
          <t>GESTIÓN AMBIENTAL</t>
        </is>
      </c>
      <c r="D348" t="inlineStr">
        <is>
          <t>Mensual</t>
        </is>
      </c>
      <c r="E348" t="inlineStr">
        <is>
          <t>Positivo</t>
        </is>
      </c>
      <c r="F348" s="105" t="n">
        <v>45107</v>
      </c>
      <c r="G348" t="inlineStr">
        <is>
          <t>217-2023-06-30</t>
        </is>
      </c>
      <c r="H348" t="inlineStr">
        <is>
          <t>Sede Bienestar - Medellín</t>
        </is>
      </c>
      <c r="I348" t="n">
        <v>20</v>
      </c>
      <c r="J348" t="n">
        <v>0</v>
      </c>
      <c r="L348" t="n">
        <v>0</v>
      </c>
      <c r="M348" t="n">
        <v>0</v>
      </c>
      <c r="AS348" t="n">
        <v>0</v>
      </c>
    </row>
    <row r="349">
      <c r="A349" t="n">
        <v>217</v>
      </c>
      <c r="B349" t="inlineStr">
        <is>
          <t>Aprovechamiento de Residuos</t>
        </is>
      </c>
      <c r="C349" t="inlineStr">
        <is>
          <t>GESTIÓN AMBIENTAL</t>
        </is>
      </c>
      <c r="D349" t="inlineStr">
        <is>
          <t>Mensual</t>
        </is>
      </c>
      <c r="E349" t="inlineStr">
        <is>
          <t>Positivo</t>
        </is>
      </c>
      <c r="F349" s="105" t="n">
        <v>45107</v>
      </c>
      <c r="G349" t="inlineStr">
        <is>
          <t>217-2023-06-30</t>
        </is>
      </c>
      <c r="H349" t="inlineStr">
        <is>
          <t>Consultorio Psicología - Medellin</t>
        </is>
      </c>
      <c r="I349" t="n">
        <v>20</v>
      </c>
      <c r="J349" t="n">
        <v>0</v>
      </c>
      <c r="L349" t="n">
        <v>0</v>
      </c>
      <c r="M349" t="n">
        <v>0</v>
      </c>
      <c r="AS349" t="n">
        <v>0</v>
      </c>
    </row>
    <row r="350">
      <c r="A350" t="n">
        <v>218</v>
      </c>
      <c r="B350" t="inlineStr">
        <is>
          <t>Consumo de Energía Eléctrica kWh Mensual</t>
        </is>
      </c>
      <c r="C350" t="inlineStr">
        <is>
          <t>GESTIÓN AMBIENTAL</t>
        </is>
      </c>
      <c r="D350" t="inlineStr">
        <is>
          <t>Mensual</t>
        </is>
      </c>
      <c r="E350" t="inlineStr">
        <is>
          <t>Negativo</t>
        </is>
      </c>
      <c r="F350" s="105" t="n">
        <v>45107</v>
      </c>
      <c r="G350" t="inlineStr">
        <is>
          <t>218-2023-06-30</t>
        </is>
      </c>
      <c r="H350" t="inlineStr">
        <is>
          <t>Campus Bogotá</t>
        </is>
      </c>
      <c r="I350" t="n">
        <v>172000</v>
      </c>
      <c r="J350" t="n">
        <v>57471</v>
      </c>
      <c r="N350" t="n">
        <v>57471</v>
      </c>
    </row>
    <row r="351">
      <c r="A351" t="n">
        <v>218</v>
      </c>
      <c r="B351" t="inlineStr">
        <is>
          <t>Consumo de Energía Eléctrica kWh Mensual</t>
        </is>
      </c>
      <c r="C351" t="inlineStr">
        <is>
          <t>GESTIÓN AMBIENTAL</t>
        </is>
      </c>
      <c r="D351" t="inlineStr">
        <is>
          <t>Mensual</t>
        </is>
      </c>
      <c r="E351" t="inlineStr">
        <is>
          <t>Negativo</t>
        </is>
      </c>
      <c r="F351" s="105" t="n">
        <v>45107</v>
      </c>
      <c r="G351" t="inlineStr">
        <is>
          <t>218-2023-06-30</t>
        </is>
      </c>
      <c r="H351" t="inlineStr">
        <is>
          <t>City Campus</t>
        </is>
      </c>
      <c r="I351" t="n">
        <v>172000</v>
      </c>
      <c r="J351" t="n">
        <v>51870</v>
      </c>
      <c r="N351" t="n">
        <v>51870</v>
      </c>
    </row>
    <row r="352">
      <c r="A352" t="n">
        <v>218</v>
      </c>
      <c r="B352" t="inlineStr">
        <is>
          <t>Consumo de Energía Eléctrica kWh Mensual</t>
        </is>
      </c>
      <c r="C352" t="inlineStr">
        <is>
          <t>GESTIÓN AMBIENTAL</t>
        </is>
      </c>
      <c r="D352" t="inlineStr">
        <is>
          <t>Mensual</t>
        </is>
      </c>
      <c r="E352" t="inlineStr">
        <is>
          <t>Negativo</t>
        </is>
      </c>
      <c r="F352" s="105" t="n">
        <v>45107</v>
      </c>
      <c r="G352" t="inlineStr">
        <is>
          <t>218-2023-06-30</t>
        </is>
      </c>
      <c r="H352" t="inlineStr">
        <is>
          <t>Sede Posgrado-Calle 85</t>
        </is>
      </c>
      <c r="I352" t="n">
        <v>172000</v>
      </c>
      <c r="J352" t="n">
        <v>0</v>
      </c>
      <c r="N352" t="n">
        <v>0</v>
      </c>
    </row>
    <row r="353">
      <c r="A353" t="n">
        <v>218</v>
      </c>
      <c r="B353" t="inlineStr">
        <is>
          <t>Consumo de Energía Eléctrica kWh Mensual</t>
        </is>
      </c>
      <c r="C353" t="inlineStr">
        <is>
          <t>GESTIÓN AMBIENTAL</t>
        </is>
      </c>
      <c r="D353" t="inlineStr">
        <is>
          <t>Mensual</t>
        </is>
      </c>
      <c r="E353" t="inlineStr">
        <is>
          <t>Negativo</t>
        </is>
      </c>
      <c r="F353" s="105" t="n">
        <v>45107</v>
      </c>
      <c r="G353" t="inlineStr">
        <is>
          <t>218-2023-06-30</t>
        </is>
      </c>
      <c r="H353" t="inlineStr">
        <is>
          <t>Campus-Medellín</t>
        </is>
      </c>
      <c r="I353" t="n">
        <v>172000</v>
      </c>
      <c r="J353" t="n">
        <v>25282</v>
      </c>
      <c r="N353" t="n">
        <v>25282</v>
      </c>
    </row>
    <row r="354">
      <c r="A354" t="n">
        <v>218</v>
      </c>
      <c r="B354" t="inlineStr">
        <is>
          <t>Consumo de Energía Eléctrica kWh Mensual</t>
        </is>
      </c>
      <c r="C354" t="inlineStr">
        <is>
          <t>GESTIÓN AMBIENTAL</t>
        </is>
      </c>
      <c r="D354" t="inlineStr">
        <is>
          <t>Mensual</t>
        </is>
      </c>
      <c r="E354" t="inlineStr">
        <is>
          <t>Negativo</t>
        </is>
      </c>
      <c r="F354" s="105" t="n">
        <v>45107</v>
      </c>
      <c r="G354" t="inlineStr">
        <is>
          <t>218-2023-06-30</t>
        </is>
      </c>
      <c r="H354" t="inlineStr">
        <is>
          <t>Sede Bienestar - Medellín</t>
        </is>
      </c>
      <c r="I354" t="n">
        <v>172000</v>
      </c>
      <c r="J354" t="n">
        <v>4320</v>
      </c>
      <c r="N354" t="n">
        <v>4320</v>
      </c>
    </row>
    <row r="355">
      <c r="A355" t="n">
        <v>218</v>
      </c>
      <c r="B355" t="inlineStr">
        <is>
          <t>Consumo de Energía Eléctrica kWh Mensual</t>
        </is>
      </c>
      <c r="C355" t="inlineStr">
        <is>
          <t>GESTIÓN AMBIENTAL</t>
        </is>
      </c>
      <c r="D355" t="inlineStr">
        <is>
          <t>Mensual</t>
        </is>
      </c>
      <c r="E355" t="inlineStr">
        <is>
          <t>Negativo</t>
        </is>
      </c>
      <c r="F355" s="105" t="n">
        <v>45107</v>
      </c>
      <c r="G355" t="inlineStr">
        <is>
          <t>218-2023-06-30</t>
        </is>
      </c>
      <c r="H355" t="inlineStr">
        <is>
          <t>Consultorio Psicología - Medellin</t>
        </is>
      </c>
      <c r="I355" t="n">
        <v>172000</v>
      </c>
      <c r="J355" t="n">
        <v>1548</v>
      </c>
      <c r="N355" t="n">
        <v>1548</v>
      </c>
    </row>
    <row r="356">
      <c r="A356" t="n">
        <v>225</v>
      </c>
      <c r="B356" t="inlineStr">
        <is>
          <t>Acciones para el Cuidado y Mantenimiento de las Especies de Flora y el Suelo de las Áreas Naturales</t>
        </is>
      </c>
      <c r="C356" t="inlineStr">
        <is>
          <t>GESTIÓN AMBIENTAL</t>
        </is>
      </c>
      <c r="D356" t="inlineStr">
        <is>
          <t>Mensual</t>
        </is>
      </c>
      <c r="E356" t="inlineStr">
        <is>
          <t>Positivo</t>
        </is>
      </c>
      <c r="F356" s="105" t="n">
        <v>45107</v>
      </c>
      <c r="G356" t="inlineStr">
        <is>
          <t>225-2023-06-30</t>
        </is>
      </c>
      <c r="H356" t="inlineStr">
        <is>
          <t>Campus Bogotá</t>
        </is>
      </c>
      <c r="I356" t="n">
        <v>1</v>
      </c>
      <c r="J356" t="n">
        <v>6</v>
      </c>
      <c r="AT356" t="n">
        <v>6</v>
      </c>
    </row>
    <row r="357">
      <c r="A357" t="n">
        <v>225</v>
      </c>
      <c r="B357" t="inlineStr">
        <is>
          <t>Acciones para el Cuidado y Mantenimiento de las Especies de Flora y el Suelo de las Áreas Naturales</t>
        </is>
      </c>
      <c r="C357" t="inlineStr">
        <is>
          <t>GESTIÓN AMBIENTAL</t>
        </is>
      </c>
      <c r="D357" t="inlineStr">
        <is>
          <t>Mensual</t>
        </is>
      </c>
      <c r="E357" t="inlineStr">
        <is>
          <t>Positivo</t>
        </is>
      </c>
      <c r="F357" s="105" t="n">
        <v>45107</v>
      </c>
      <c r="G357" t="inlineStr">
        <is>
          <t>225-2023-06-30</t>
        </is>
      </c>
      <c r="H357" t="inlineStr">
        <is>
          <t>City Campus</t>
        </is>
      </c>
      <c r="I357" t="n">
        <v>1</v>
      </c>
      <c r="J357" t="n">
        <v>1</v>
      </c>
      <c r="AT357" t="n">
        <v>1</v>
      </c>
    </row>
    <row r="358">
      <c r="A358" t="n">
        <v>225</v>
      </c>
      <c r="B358" t="inlineStr">
        <is>
          <t>Acciones para el Cuidado y Mantenimiento de las Especies de Flora y el Suelo de las Áreas Naturales</t>
        </is>
      </c>
      <c r="C358" t="inlineStr">
        <is>
          <t>GESTIÓN AMBIENTAL</t>
        </is>
      </c>
      <c r="D358" t="inlineStr">
        <is>
          <t>Mensual</t>
        </is>
      </c>
      <c r="E358" t="inlineStr">
        <is>
          <t>Positivo</t>
        </is>
      </c>
      <c r="F358" s="105" t="n">
        <v>45107</v>
      </c>
      <c r="G358" t="inlineStr">
        <is>
          <t>225-2023-06-30</t>
        </is>
      </c>
      <c r="H358" t="inlineStr">
        <is>
          <t>Sede Posgrado-Calle 85</t>
        </is>
      </c>
      <c r="I358" t="n">
        <v>1</v>
      </c>
      <c r="J358" t="n">
        <v>0</v>
      </c>
      <c r="AT358" t="n">
        <v>0</v>
      </c>
    </row>
    <row r="359">
      <c r="A359" t="n">
        <v>225</v>
      </c>
      <c r="B359" t="inlineStr">
        <is>
          <t>Acciones para el Cuidado y Mantenimiento de las Especies de Flora y el Suelo de las Áreas Naturales</t>
        </is>
      </c>
      <c r="C359" t="inlineStr">
        <is>
          <t>GESTIÓN AMBIENTAL</t>
        </is>
      </c>
      <c r="D359" t="inlineStr">
        <is>
          <t>Mensual</t>
        </is>
      </c>
      <c r="E359" t="inlineStr">
        <is>
          <t>Positivo</t>
        </is>
      </c>
      <c r="F359" s="105" t="n">
        <v>45107</v>
      </c>
      <c r="G359" t="inlineStr">
        <is>
          <t>225-2023-06-30</t>
        </is>
      </c>
      <c r="H359" t="inlineStr">
        <is>
          <t>Campus-Medellín</t>
        </is>
      </c>
      <c r="I359" t="n">
        <v>1</v>
      </c>
      <c r="J359" t="n">
        <v>10</v>
      </c>
      <c r="AT359" t="n">
        <v>10</v>
      </c>
    </row>
    <row r="360">
      <c r="A360" t="n">
        <v>225</v>
      </c>
      <c r="B360" t="inlineStr">
        <is>
          <t>Acciones para el Cuidado y Mantenimiento de las Especies de Flora y el Suelo de las Áreas Naturales</t>
        </is>
      </c>
      <c r="C360" t="inlineStr">
        <is>
          <t>GESTIÓN AMBIENTAL</t>
        </is>
      </c>
      <c r="D360" t="inlineStr">
        <is>
          <t>Mensual</t>
        </is>
      </c>
      <c r="E360" t="inlineStr">
        <is>
          <t>Positivo</t>
        </is>
      </c>
      <c r="F360" s="105" t="n">
        <v>45107</v>
      </c>
      <c r="G360" t="inlineStr">
        <is>
          <t>225-2023-06-30</t>
        </is>
      </c>
      <c r="H360" t="inlineStr">
        <is>
          <t>Sede Bienestar - Medellín</t>
        </is>
      </c>
      <c r="I360" t="n">
        <v>1</v>
      </c>
      <c r="J360" t="n">
        <v>1</v>
      </c>
      <c r="AT360" t="n">
        <v>1</v>
      </c>
    </row>
    <row r="361">
      <c r="A361" t="n">
        <v>225</v>
      </c>
      <c r="B361" t="inlineStr">
        <is>
          <t>Acciones para el Cuidado y Mantenimiento de las Especies de Flora y el Suelo de las Áreas Naturales</t>
        </is>
      </c>
      <c r="C361" t="inlineStr">
        <is>
          <t>GESTIÓN AMBIENTAL</t>
        </is>
      </c>
      <c r="D361" t="inlineStr">
        <is>
          <t>Mensual</t>
        </is>
      </c>
      <c r="E361" t="inlineStr">
        <is>
          <t>Positivo</t>
        </is>
      </c>
      <c r="F361" s="105" t="n">
        <v>45107</v>
      </c>
      <c r="G361" t="inlineStr">
        <is>
          <t>225-2023-06-30</t>
        </is>
      </c>
      <c r="H361" t="inlineStr">
        <is>
          <t>Consultorio Psicología - Medellin</t>
        </is>
      </c>
      <c r="I361" t="n">
        <v>1</v>
      </c>
      <c r="J361" t="n">
        <v>1</v>
      </c>
      <c r="AT361" t="n">
        <v>1</v>
      </c>
    </row>
    <row r="362">
      <c r="A362" t="n">
        <v>239</v>
      </c>
      <c r="B362" t="inlineStr">
        <is>
          <t>Portafolio de Proyectos - Metrica</t>
        </is>
      </c>
      <c r="C362" t="inlineStr">
        <is>
          <t>Gestión de Proyectos</t>
        </is>
      </c>
      <c r="D362" t="inlineStr">
        <is>
          <t>Mensual</t>
        </is>
      </c>
      <c r="E362" t="inlineStr">
        <is>
          <t>Positivo</t>
        </is>
      </c>
      <c r="F362" s="105" t="n">
        <v>45107</v>
      </c>
      <c r="G362" t="inlineStr">
        <is>
          <t>239-2023-06-30</t>
        </is>
      </c>
      <c r="H362" t="inlineStr">
        <is>
          <t>Planificación</t>
        </is>
      </c>
      <c r="J362" t="n">
        <v>2</v>
      </c>
      <c r="AU362" t="n">
        <v>2</v>
      </c>
    </row>
    <row r="363">
      <c r="A363" t="n">
        <v>239</v>
      </c>
      <c r="B363" t="inlineStr">
        <is>
          <t>Portafolio de Proyectos - Metrica</t>
        </is>
      </c>
      <c r="C363" t="inlineStr">
        <is>
          <t>Gestión de Proyectos</t>
        </is>
      </c>
      <c r="D363" t="inlineStr">
        <is>
          <t>Mensual</t>
        </is>
      </c>
      <c r="E363" t="inlineStr">
        <is>
          <t>Positivo</t>
        </is>
      </c>
      <c r="F363" s="105" t="n">
        <v>45107</v>
      </c>
      <c r="G363" t="inlineStr">
        <is>
          <t>239-2023-06-30</t>
        </is>
      </c>
      <c r="H363" t="inlineStr">
        <is>
          <t>Ejecución</t>
        </is>
      </c>
      <c r="J363" t="n">
        <v>12</v>
      </c>
      <c r="AU363" t="n">
        <v>12</v>
      </c>
    </row>
    <row r="364">
      <c r="A364" t="n">
        <v>239</v>
      </c>
      <c r="B364" t="inlineStr">
        <is>
          <t>Portafolio de Proyectos - Metrica</t>
        </is>
      </c>
      <c r="C364" t="inlineStr">
        <is>
          <t>Gestión de Proyectos</t>
        </is>
      </c>
      <c r="D364" t="inlineStr">
        <is>
          <t>Mensual</t>
        </is>
      </c>
      <c r="E364" t="inlineStr">
        <is>
          <t>Positivo</t>
        </is>
      </c>
      <c r="F364" s="105" t="n">
        <v>45107</v>
      </c>
      <c r="G364" t="inlineStr">
        <is>
          <t>239-2023-06-30</t>
        </is>
      </c>
      <c r="H364" t="inlineStr">
        <is>
          <t>Finalizados</t>
        </is>
      </c>
      <c r="J364" t="n">
        <v>5</v>
      </c>
      <c r="AU364" t="n">
        <v>5</v>
      </c>
    </row>
    <row r="365">
      <c r="A365" t="n">
        <v>434</v>
      </c>
      <c r="B365" t="inlineStr">
        <is>
          <t>Generación de Residuos Peligrosos Mensual</t>
        </is>
      </c>
      <c r="C365" t="inlineStr">
        <is>
          <t>GESTIÓN AMBIENTAL</t>
        </is>
      </c>
      <c r="D365" t="inlineStr">
        <is>
          <t>Mensual</t>
        </is>
      </c>
      <c r="E365" t="inlineStr">
        <is>
          <t>Negativo</t>
        </is>
      </c>
      <c r="F365" s="105" t="n">
        <v>45107</v>
      </c>
      <c r="G365" t="inlineStr">
        <is>
          <t>434-2023-06-30</t>
        </is>
      </c>
      <c r="H365" t="inlineStr">
        <is>
          <t>Campus Bogotá</t>
        </is>
      </c>
      <c r="I365" t="n">
        <v>200</v>
      </c>
      <c r="J365" t="n">
        <v>4</v>
      </c>
      <c r="AV365" t="n">
        <v>4</v>
      </c>
    </row>
    <row r="366">
      <c r="A366" t="n">
        <v>434</v>
      </c>
      <c r="B366" t="inlineStr">
        <is>
          <t>Generación de Residuos Peligrosos Mensual</t>
        </is>
      </c>
      <c r="C366" t="inlineStr">
        <is>
          <t>GESTIÓN AMBIENTAL</t>
        </is>
      </c>
      <c r="D366" t="inlineStr">
        <is>
          <t>Mensual</t>
        </is>
      </c>
      <c r="E366" t="inlineStr">
        <is>
          <t>Negativo</t>
        </is>
      </c>
      <c r="F366" s="105" t="n">
        <v>45107</v>
      </c>
      <c r="G366" t="inlineStr">
        <is>
          <t>434-2023-06-30</t>
        </is>
      </c>
      <c r="H366" t="inlineStr">
        <is>
          <t>City Campus</t>
        </is>
      </c>
      <c r="I366" t="n">
        <v>200</v>
      </c>
      <c r="J366" t="n">
        <v>0</v>
      </c>
      <c r="AV366" t="n">
        <v>0</v>
      </c>
    </row>
    <row r="367">
      <c r="A367" t="n">
        <v>434</v>
      </c>
      <c r="B367" t="inlineStr">
        <is>
          <t>Generación de Residuos Peligrosos Mensual</t>
        </is>
      </c>
      <c r="C367" t="inlineStr">
        <is>
          <t>GESTIÓN AMBIENTAL</t>
        </is>
      </c>
      <c r="D367" t="inlineStr">
        <is>
          <t>Mensual</t>
        </is>
      </c>
      <c r="E367" t="inlineStr">
        <is>
          <t>Negativo</t>
        </is>
      </c>
      <c r="F367" s="105" t="n">
        <v>45107</v>
      </c>
      <c r="G367" t="inlineStr">
        <is>
          <t>434-2023-06-30</t>
        </is>
      </c>
      <c r="H367" t="inlineStr">
        <is>
          <t>Sede Posgrado-Calle 85</t>
        </is>
      </c>
      <c r="I367" t="n">
        <v>200</v>
      </c>
      <c r="J367" t="n">
        <v>0</v>
      </c>
      <c r="AV367" t="n">
        <v>0</v>
      </c>
    </row>
    <row r="368">
      <c r="A368" t="n">
        <v>434</v>
      </c>
      <c r="B368" t="inlineStr">
        <is>
          <t>Generación de Residuos Peligrosos Mensual</t>
        </is>
      </c>
      <c r="C368" t="inlineStr">
        <is>
          <t>GESTIÓN AMBIENTAL</t>
        </is>
      </c>
      <c r="D368" t="inlineStr">
        <is>
          <t>Mensual</t>
        </is>
      </c>
      <c r="E368" t="inlineStr">
        <is>
          <t>Negativo</t>
        </is>
      </c>
      <c r="F368" s="105" t="n">
        <v>45107</v>
      </c>
      <c r="G368" t="inlineStr">
        <is>
          <t>434-2023-06-30</t>
        </is>
      </c>
      <c r="H368" t="inlineStr">
        <is>
          <t>Campus-Medellín</t>
        </is>
      </c>
      <c r="I368" t="n">
        <v>200</v>
      </c>
      <c r="J368" t="n">
        <v>0.8999999761581421</v>
      </c>
      <c r="AV368" t="n">
        <v>0.9</v>
      </c>
    </row>
    <row r="369">
      <c r="A369" t="n">
        <v>434</v>
      </c>
      <c r="B369" t="inlineStr">
        <is>
          <t>Generación de Residuos Peligrosos Mensual</t>
        </is>
      </c>
      <c r="C369" t="inlineStr">
        <is>
          <t>GESTIÓN AMBIENTAL</t>
        </is>
      </c>
      <c r="D369" t="inlineStr">
        <is>
          <t>Mensual</t>
        </is>
      </c>
      <c r="E369" t="inlineStr">
        <is>
          <t>Negativo</t>
        </is>
      </c>
      <c r="F369" s="105" t="n">
        <v>45107</v>
      </c>
      <c r="G369" t="inlineStr">
        <is>
          <t>434-2023-06-30</t>
        </is>
      </c>
      <c r="H369" t="inlineStr">
        <is>
          <t>Sede Bienestar - Medellín</t>
        </is>
      </c>
      <c r="I369" t="n">
        <v>200</v>
      </c>
      <c r="J369" t="n">
        <v>0.2000000029802322</v>
      </c>
      <c r="AV369" t="n">
        <v>0.2</v>
      </c>
    </row>
    <row r="370">
      <c r="A370" t="n">
        <v>434</v>
      </c>
      <c r="B370" t="inlineStr">
        <is>
          <t>Generación de Residuos Peligrosos Mensual</t>
        </is>
      </c>
      <c r="C370" t="inlineStr">
        <is>
          <t>GESTIÓN AMBIENTAL</t>
        </is>
      </c>
      <c r="D370" t="inlineStr">
        <is>
          <t>Mensual</t>
        </is>
      </c>
      <c r="E370" t="inlineStr">
        <is>
          <t>Negativo</t>
        </is>
      </c>
      <c r="F370" s="105" t="n">
        <v>45107</v>
      </c>
      <c r="G370" t="inlineStr">
        <is>
          <t>434-2023-06-30</t>
        </is>
      </c>
      <c r="H370" t="inlineStr">
        <is>
          <t>Consultorio Psicología - Medellin</t>
        </is>
      </c>
      <c r="I370" t="n">
        <v>200</v>
      </c>
      <c r="J370" t="n">
        <v>0</v>
      </c>
      <c r="AV370" t="n">
        <v>0</v>
      </c>
    </row>
    <row r="371">
      <c r="A371" t="n">
        <v>203</v>
      </c>
      <c r="B371" t="inlineStr">
        <is>
          <t>Cumplimiento de Ingresos</t>
        </is>
      </c>
      <c r="C371" t="inlineStr">
        <is>
          <t>Planeación Financiera</t>
        </is>
      </c>
      <c r="D371" t="inlineStr">
        <is>
          <t>Trimestral</t>
        </is>
      </c>
      <c r="E371" t="inlineStr">
        <is>
          <t>Positivo</t>
        </is>
      </c>
      <c r="F371" s="105" t="n">
        <v>45107</v>
      </c>
      <c r="G371" t="inlineStr">
        <is>
          <t>203-2023-06-30</t>
        </is>
      </c>
      <c r="H371" t="inlineStr">
        <is>
          <t>Ingresos por matriculas</t>
        </is>
      </c>
      <c r="I371" t="n">
        <v>95</v>
      </c>
      <c r="J371" t="n">
        <v>104.5999984741211</v>
      </c>
      <c r="BA371" t="n">
        <v>112954515401</v>
      </c>
      <c r="BB371" t="n">
        <v>118145493237</v>
      </c>
    </row>
    <row r="372">
      <c r="A372" t="n">
        <v>203</v>
      </c>
      <c r="B372" t="inlineStr">
        <is>
          <t>Cumplimiento de Ingresos</t>
        </is>
      </c>
      <c r="C372" t="inlineStr">
        <is>
          <t>Planeación Financiera</t>
        </is>
      </c>
      <c r="D372" t="inlineStr">
        <is>
          <t>Trimestral</t>
        </is>
      </c>
      <c r="E372" t="inlineStr">
        <is>
          <t>Positivo</t>
        </is>
      </c>
      <c r="F372" s="105" t="n">
        <v>45107</v>
      </c>
      <c r="G372" t="inlineStr">
        <is>
          <t>203-2023-06-30</t>
        </is>
      </c>
      <c r="H372" t="inlineStr">
        <is>
          <t>Programas especiales</t>
        </is>
      </c>
      <c r="I372" t="n">
        <v>95</v>
      </c>
      <c r="J372" t="n">
        <v>102.6500015258789</v>
      </c>
      <c r="BA372" t="n">
        <v>5315206000</v>
      </c>
      <c r="BB372" t="n">
        <v>5455857145</v>
      </c>
    </row>
    <row r="373">
      <c r="A373" t="n">
        <v>203</v>
      </c>
      <c r="B373" t="inlineStr">
        <is>
          <t>Cumplimiento de Ingresos</t>
        </is>
      </c>
      <c r="C373" t="inlineStr">
        <is>
          <t>Planeación Financiera</t>
        </is>
      </c>
      <c r="D373" t="inlineStr">
        <is>
          <t>Trimestral</t>
        </is>
      </c>
      <c r="E373" t="inlineStr">
        <is>
          <t>Positivo</t>
        </is>
      </c>
      <c r="F373" s="105" t="n">
        <v>45107</v>
      </c>
      <c r="G373" t="inlineStr">
        <is>
          <t>203-2023-06-30</t>
        </is>
      </c>
      <c r="H373" t="inlineStr">
        <is>
          <t>Otros Ingresos</t>
        </is>
      </c>
      <c r="I373" t="n">
        <v>95</v>
      </c>
      <c r="J373" t="n">
        <v>107.4599990844727</v>
      </c>
      <c r="BA373" t="n">
        <v>5195978459</v>
      </c>
      <c r="BB373" t="n">
        <v>5583719527</v>
      </c>
    </row>
    <row r="374">
      <c r="A374" t="n">
        <v>215</v>
      </c>
      <c r="B374" t="inlineStr">
        <is>
          <t>Disminución de la Generación de Residuos per Cápita</t>
        </is>
      </c>
      <c r="C374" t="inlineStr">
        <is>
          <t>GESTIÓN AMBIENTAL</t>
        </is>
      </c>
      <c r="D374" t="inlineStr">
        <is>
          <t>Trimestral</t>
        </is>
      </c>
      <c r="E374" t="inlineStr">
        <is>
          <t>Positivo</t>
        </is>
      </c>
      <c r="F374" s="105" t="n">
        <v>45107</v>
      </c>
      <c r="G374" t="inlineStr">
        <is>
          <t>215-2023-06-30</t>
        </is>
      </c>
      <c r="H374" t="inlineStr">
        <is>
          <t>Campus Bogotá</t>
        </is>
      </c>
      <c r="I374" t="n">
        <v>1</v>
      </c>
      <c r="J374" t="n">
        <v>0</v>
      </c>
      <c r="AC374" t="n">
        <v>0</v>
      </c>
      <c r="AD374" t="n">
        <v>0.36</v>
      </c>
    </row>
    <row r="375">
      <c r="A375" t="n">
        <v>215</v>
      </c>
      <c r="B375" t="inlineStr">
        <is>
          <t>Disminución de la Generación de Residuos per Cápita</t>
        </is>
      </c>
      <c r="C375" t="inlineStr">
        <is>
          <t>GESTIÓN AMBIENTAL</t>
        </is>
      </c>
      <c r="D375" t="inlineStr">
        <is>
          <t>Trimestral</t>
        </is>
      </c>
      <c r="E375" t="inlineStr">
        <is>
          <t>Positivo</t>
        </is>
      </c>
      <c r="F375" s="105" t="n">
        <v>45107</v>
      </c>
      <c r="G375" t="inlineStr">
        <is>
          <t>215-2023-06-30</t>
        </is>
      </c>
      <c r="H375" t="inlineStr">
        <is>
          <t>City Campus</t>
        </is>
      </c>
      <c r="I375" t="n">
        <v>1</v>
      </c>
      <c r="J375" t="n">
        <v>0</v>
      </c>
      <c r="AC375" t="n">
        <v>0</v>
      </c>
      <c r="AD375" t="n">
        <v>0.31</v>
      </c>
    </row>
    <row r="376">
      <c r="A376" t="n">
        <v>215</v>
      </c>
      <c r="B376" t="inlineStr">
        <is>
          <t>Disminución de la Generación de Residuos per Cápita</t>
        </is>
      </c>
      <c r="C376" t="inlineStr">
        <is>
          <t>GESTIÓN AMBIENTAL</t>
        </is>
      </c>
      <c r="D376" t="inlineStr">
        <is>
          <t>Trimestral</t>
        </is>
      </c>
      <c r="E376" t="inlineStr">
        <is>
          <t>Positivo</t>
        </is>
      </c>
      <c r="F376" s="105" t="n">
        <v>45107</v>
      </c>
      <c r="G376" t="inlineStr">
        <is>
          <t>215-2023-06-30</t>
        </is>
      </c>
      <c r="H376" t="inlineStr">
        <is>
          <t>Sede Posgrado-Calle 85</t>
        </is>
      </c>
      <c r="I376" t="n">
        <v>1</v>
      </c>
      <c r="J376" t="n">
        <v>0</v>
      </c>
      <c r="AC376" t="n">
        <v>0</v>
      </c>
      <c r="AD376" t="n">
        <v>0</v>
      </c>
    </row>
    <row r="377">
      <c r="A377" t="n">
        <v>215</v>
      </c>
      <c r="B377" t="inlineStr">
        <is>
          <t>Disminución de la Generación de Residuos per Cápita</t>
        </is>
      </c>
      <c r="C377" t="inlineStr">
        <is>
          <t>GESTIÓN AMBIENTAL</t>
        </is>
      </c>
      <c r="D377" t="inlineStr">
        <is>
          <t>Trimestral</t>
        </is>
      </c>
      <c r="E377" t="inlineStr">
        <is>
          <t>Positivo</t>
        </is>
      </c>
      <c r="F377" s="105" t="n">
        <v>45107</v>
      </c>
      <c r="G377" t="inlineStr">
        <is>
          <t>215-2023-06-30</t>
        </is>
      </c>
      <c r="H377" t="inlineStr">
        <is>
          <t>Campus-Medellín</t>
        </is>
      </c>
      <c r="I377" t="n">
        <v>0</v>
      </c>
      <c r="J377" t="n">
        <v>0</v>
      </c>
      <c r="AC377" t="n">
        <v>0</v>
      </c>
      <c r="AD377" t="n">
        <v>0.22</v>
      </c>
    </row>
    <row r="378">
      <c r="A378" t="n">
        <v>215</v>
      </c>
      <c r="B378" t="inlineStr">
        <is>
          <t>Disminución de la Generación de Residuos per Cápita</t>
        </is>
      </c>
      <c r="C378" t="inlineStr">
        <is>
          <t>GESTIÓN AMBIENTAL</t>
        </is>
      </c>
      <c r="D378" t="inlineStr">
        <is>
          <t>Trimestral</t>
        </is>
      </c>
      <c r="E378" t="inlineStr">
        <is>
          <t>Positivo</t>
        </is>
      </c>
      <c r="F378" s="105" t="n">
        <v>45107</v>
      </c>
      <c r="G378" t="inlineStr">
        <is>
          <t>215-2023-06-30</t>
        </is>
      </c>
      <c r="H378" t="inlineStr">
        <is>
          <t>Sede Bienestar - Medellín</t>
        </is>
      </c>
      <c r="I378" t="n">
        <v>1</v>
      </c>
      <c r="J378" t="n">
        <v>0</v>
      </c>
      <c r="AC378" t="n">
        <v>0</v>
      </c>
      <c r="AD378" t="n">
        <v>0</v>
      </c>
    </row>
    <row r="379">
      <c r="A379" t="n">
        <v>215</v>
      </c>
      <c r="B379" t="inlineStr">
        <is>
          <t>Disminución de la Generación de Residuos per Cápita</t>
        </is>
      </c>
      <c r="C379" t="inlineStr">
        <is>
          <t>GESTIÓN AMBIENTAL</t>
        </is>
      </c>
      <c r="D379" t="inlineStr">
        <is>
          <t>Trimestral</t>
        </is>
      </c>
      <c r="E379" t="inlineStr">
        <is>
          <t>Positivo</t>
        </is>
      </c>
      <c r="F379" s="105" t="n">
        <v>45107</v>
      </c>
      <c r="G379" t="inlineStr">
        <is>
          <t>215-2023-06-30</t>
        </is>
      </c>
      <c r="H379" t="inlineStr">
        <is>
          <t>Consultorio Psicología - Medellin</t>
        </is>
      </c>
      <c r="I379" t="n">
        <v>1</v>
      </c>
      <c r="J379" t="n">
        <v>0</v>
      </c>
      <c r="AC379" t="n">
        <v>0</v>
      </c>
      <c r="AD379" t="n">
        <v>0</v>
      </c>
    </row>
    <row r="380">
      <c r="A380" t="n">
        <v>219</v>
      </c>
      <c r="B380" t="inlineStr">
        <is>
          <t>Disminución del Consumo de Energía Eléctrica per Cápita</t>
        </is>
      </c>
      <c r="C380" t="inlineStr">
        <is>
          <t>GESTIÓN AMBIENTAL</t>
        </is>
      </c>
      <c r="D380" t="inlineStr">
        <is>
          <t>Trimestral</t>
        </is>
      </c>
      <c r="E380" t="inlineStr">
        <is>
          <t>Positivo</t>
        </is>
      </c>
      <c r="F380" s="105" t="n">
        <v>45107</v>
      </c>
      <c r="G380" t="inlineStr">
        <is>
          <t>219-2023-06-30</t>
        </is>
      </c>
      <c r="H380" t="inlineStr">
        <is>
          <t>Campus Bogotá</t>
        </is>
      </c>
      <c r="I380" t="n">
        <v>1</v>
      </c>
      <c r="J380" t="n">
        <v>26.8799991607666</v>
      </c>
      <c r="O380" t="n">
        <v>1872</v>
      </c>
      <c r="P380" t="n">
        <v>2992</v>
      </c>
      <c r="Q380" t="n">
        <v>13656</v>
      </c>
      <c r="R380" t="n">
        <v>0</v>
      </c>
      <c r="S380" t="n">
        <v>1844</v>
      </c>
      <c r="T380" t="n">
        <v>2699</v>
      </c>
      <c r="U380" t="n">
        <v>9366</v>
      </c>
      <c r="V380" t="n">
        <v>0</v>
      </c>
      <c r="W380" t="n">
        <v>380904</v>
      </c>
      <c r="X380" t="n">
        <v>391250</v>
      </c>
    </row>
    <row r="381">
      <c r="A381" t="n">
        <v>219</v>
      </c>
      <c r="B381" t="inlineStr">
        <is>
          <t>Disminución del Consumo de Energía Eléctrica per Cápita</t>
        </is>
      </c>
      <c r="C381" t="inlineStr">
        <is>
          <t>GESTIÓN AMBIENTAL</t>
        </is>
      </c>
      <c r="D381" t="inlineStr">
        <is>
          <t>Trimestral</t>
        </is>
      </c>
      <c r="E381" t="inlineStr">
        <is>
          <t>Positivo</t>
        </is>
      </c>
      <c r="F381" s="105" t="n">
        <v>45107</v>
      </c>
      <c r="G381" t="inlineStr">
        <is>
          <t>219-2023-06-30</t>
        </is>
      </c>
      <c r="H381" t="inlineStr">
        <is>
          <t>City Campus</t>
        </is>
      </c>
      <c r="I381" t="n">
        <v>1</v>
      </c>
      <c r="J381" t="n">
        <v>13.10999965667725</v>
      </c>
      <c r="O381" t="n">
        <v>679</v>
      </c>
      <c r="P381" t="n">
        <v>30</v>
      </c>
      <c r="Q381" t="n">
        <v>11072</v>
      </c>
      <c r="R381" t="n">
        <v>1948</v>
      </c>
      <c r="S381" t="n">
        <v>717</v>
      </c>
      <c r="T381" t="n">
        <v>34</v>
      </c>
      <c r="U381" t="n">
        <v>9553</v>
      </c>
      <c r="V381" t="n">
        <v>2435</v>
      </c>
      <c r="W381" t="n">
        <v>285570</v>
      </c>
      <c r="X381" t="n">
        <v>304950</v>
      </c>
    </row>
    <row r="382">
      <c r="A382" t="n">
        <v>219</v>
      </c>
      <c r="B382" t="inlineStr">
        <is>
          <t>Disminución del Consumo de Energía Eléctrica per Cápita</t>
        </is>
      </c>
      <c r="C382" t="inlineStr">
        <is>
          <t>GESTIÓN AMBIENTAL</t>
        </is>
      </c>
      <c r="D382" t="inlineStr">
        <is>
          <t>Trimestral</t>
        </is>
      </c>
      <c r="E382" t="inlineStr">
        <is>
          <t>Positivo</t>
        </is>
      </c>
      <c r="F382" s="105" t="n">
        <v>45107</v>
      </c>
      <c r="G382" t="inlineStr">
        <is>
          <t>219-2023-06-30</t>
        </is>
      </c>
      <c r="H382" t="inlineStr">
        <is>
          <t>Campus-Medellín</t>
        </is>
      </c>
      <c r="I382" t="n">
        <v>1</v>
      </c>
      <c r="J382" t="n">
        <v>18.93000030517578</v>
      </c>
      <c r="O382" t="n">
        <v>300</v>
      </c>
      <c r="P382" t="n">
        <v>828</v>
      </c>
      <c r="Q382" t="n">
        <v>12287</v>
      </c>
      <c r="R382" t="n">
        <v>144</v>
      </c>
      <c r="S382" t="n">
        <v>260</v>
      </c>
      <c r="T382" t="n">
        <v>798</v>
      </c>
      <c r="U382" t="n">
        <v>9398</v>
      </c>
      <c r="V382" t="n">
        <v>105</v>
      </c>
      <c r="W382" t="n">
        <v>139217</v>
      </c>
      <c r="X382" t="n">
        <v>133760</v>
      </c>
    </row>
    <row r="383">
      <c r="A383" t="n">
        <v>220</v>
      </c>
      <c r="B383" t="inlineStr">
        <is>
          <t>Disminución del Consumo de Agua per Cápita</t>
        </is>
      </c>
      <c r="C383" t="inlineStr">
        <is>
          <t>GESTIÓN AMBIENTAL</t>
        </is>
      </c>
      <c r="D383" t="inlineStr">
        <is>
          <t>Trimestral</t>
        </is>
      </c>
      <c r="E383" t="inlineStr">
        <is>
          <t>Positivo</t>
        </is>
      </c>
      <c r="F383" s="105" t="n">
        <v>45107</v>
      </c>
      <c r="G383" t="inlineStr">
        <is>
          <t>220-2023-06-30</t>
        </is>
      </c>
      <c r="H383" t="inlineStr">
        <is>
          <t>Campus Bogotá</t>
        </is>
      </c>
      <c r="I383" t="n">
        <v>1</v>
      </c>
      <c r="J383" t="n">
        <v>51.59000015258789</v>
      </c>
      <c r="O383" t="n">
        <v>1872</v>
      </c>
      <c r="P383" t="n">
        <v>2992</v>
      </c>
      <c r="Q383" t="n">
        <v>13656</v>
      </c>
      <c r="R383" t="n">
        <v>0</v>
      </c>
      <c r="S383" t="n">
        <v>1844</v>
      </c>
      <c r="T383" t="n">
        <v>2699</v>
      </c>
      <c r="U383" t="n">
        <v>9366</v>
      </c>
      <c r="V383" t="n">
        <v>0</v>
      </c>
      <c r="Y383" t="n">
        <v>3723</v>
      </c>
      <c r="Z383" t="n">
        <v>5776</v>
      </c>
    </row>
    <row r="384">
      <c r="A384" t="n">
        <v>220</v>
      </c>
      <c r="B384" t="inlineStr">
        <is>
          <t>Disminución del Consumo de Agua per Cápita</t>
        </is>
      </c>
      <c r="C384" t="inlineStr">
        <is>
          <t>GESTIÓN AMBIENTAL</t>
        </is>
      </c>
      <c r="D384" t="inlineStr">
        <is>
          <t>Trimestral</t>
        </is>
      </c>
      <c r="E384" t="inlineStr">
        <is>
          <t>Positivo</t>
        </is>
      </c>
      <c r="F384" s="105" t="n">
        <v>45107</v>
      </c>
      <c r="G384" t="inlineStr">
        <is>
          <t>220-2023-06-30</t>
        </is>
      </c>
      <c r="H384" t="inlineStr">
        <is>
          <t>City Campus</t>
        </is>
      </c>
      <c r="I384" t="n">
        <v>1</v>
      </c>
      <c r="J384" t="n">
        <v>20.14999961853027</v>
      </c>
      <c r="O384" t="n">
        <v>679</v>
      </c>
      <c r="P384" t="n">
        <v>30</v>
      </c>
      <c r="Q384" t="n">
        <v>11072</v>
      </c>
      <c r="R384" t="n">
        <v>1948</v>
      </c>
      <c r="S384" t="n">
        <v>717</v>
      </c>
      <c r="T384" t="n">
        <v>34</v>
      </c>
      <c r="U384" t="n">
        <v>9553</v>
      </c>
      <c r="V384" t="n">
        <v>2435</v>
      </c>
      <c r="Y384" t="n">
        <v>1888</v>
      </c>
      <c r="Z384" t="n">
        <v>2194</v>
      </c>
    </row>
    <row r="385">
      <c r="A385" t="n">
        <v>220</v>
      </c>
      <c r="B385" t="inlineStr">
        <is>
          <t>Disminución del Consumo de Agua per Cápita</t>
        </is>
      </c>
      <c r="C385" t="inlineStr">
        <is>
          <t>GESTIÓN AMBIENTAL</t>
        </is>
      </c>
      <c r="D385" t="inlineStr">
        <is>
          <t>Trimestral</t>
        </is>
      </c>
      <c r="E385" t="inlineStr">
        <is>
          <t>Positivo</t>
        </is>
      </c>
      <c r="F385" s="105" t="n">
        <v>45107</v>
      </c>
      <c r="G385" t="inlineStr">
        <is>
          <t>220-2023-06-30</t>
        </is>
      </c>
      <c r="H385" t="inlineStr">
        <is>
          <t>Campus-Medellín</t>
        </is>
      </c>
      <c r="I385" t="n">
        <v>1</v>
      </c>
      <c r="J385" t="n">
        <v>26.03000068664551</v>
      </c>
      <c r="O385" t="n">
        <v>300</v>
      </c>
      <c r="P385" t="n">
        <v>828</v>
      </c>
      <c r="Q385" t="n">
        <v>12287</v>
      </c>
      <c r="R385" t="n">
        <v>144</v>
      </c>
      <c r="S385" t="n">
        <v>260</v>
      </c>
      <c r="T385" t="n">
        <v>798</v>
      </c>
      <c r="U385" t="n">
        <v>9398</v>
      </c>
      <c r="V385" t="n">
        <v>105</v>
      </c>
      <c r="Y385" t="n">
        <v>907</v>
      </c>
      <c r="Z385" t="n">
        <v>955</v>
      </c>
    </row>
    <row r="386">
      <c r="A386" t="n">
        <v>274</v>
      </c>
      <c r="B386" t="inlineStr">
        <is>
          <t>Cumplimiento total estudiantes antiguos</t>
        </is>
      </c>
      <c r="C386" t="inlineStr">
        <is>
          <t>Rematrícula</t>
        </is>
      </c>
      <c r="D386" t="inlineStr">
        <is>
          <t>Trimestral</t>
        </is>
      </c>
      <c r="E386" t="inlineStr">
        <is>
          <t>Positivo</t>
        </is>
      </c>
      <c r="F386" s="105" t="n">
        <v>45107</v>
      </c>
      <c r="G386" t="inlineStr">
        <is>
          <t>274-2023-06-30</t>
        </is>
      </c>
      <c r="H386" t="inlineStr">
        <is>
          <t>Posgrado Presencial</t>
        </is>
      </c>
      <c r="I386" t="n">
        <v>100</v>
      </c>
      <c r="J386" t="n">
        <v>117.5100021362305</v>
      </c>
      <c r="BC386" t="n">
        <v>208</v>
      </c>
      <c r="BD386" t="n">
        <v>177</v>
      </c>
    </row>
    <row r="387">
      <c r="A387" t="n">
        <v>274</v>
      </c>
      <c r="B387" t="inlineStr">
        <is>
          <t>Cumplimiento total estudiantes antiguos</t>
        </is>
      </c>
      <c r="C387" t="inlineStr">
        <is>
          <t>Rematrícula</t>
        </is>
      </c>
      <c r="D387" t="inlineStr">
        <is>
          <t>Trimestral</t>
        </is>
      </c>
      <c r="E387" t="inlineStr">
        <is>
          <t>Positivo</t>
        </is>
      </c>
      <c r="F387" s="105" t="n">
        <v>45107</v>
      </c>
      <c r="G387" t="inlineStr">
        <is>
          <t>274-2023-06-30</t>
        </is>
      </c>
      <c r="H387" t="inlineStr">
        <is>
          <t>Pregrado Presencial</t>
        </is>
      </c>
      <c r="I387" t="n">
        <v>100</v>
      </c>
      <c r="J387" t="n">
        <v>99.90000152587891</v>
      </c>
      <c r="BC387" t="n">
        <v>5905</v>
      </c>
      <c r="BD387" t="n">
        <v>5911</v>
      </c>
    </row>
    <row r="388">
      <c r="A388" t="n">
        <v>274</v>
      </c>
      <c r="B388" t="inlineStr">
        <is>
          <t>Cumplimiento total estudiantes antiguos</t>
        </is>
      </c>
      <c r="C388" t="inlineStr">
        <is>
          <t>Rematrícula</t>
        </is>
      </c>
      <c r="D388" t="inlineStr">
        <is>
          <t>Trimestral</t>
        </is>
      </c>
      <c r="E388" t="inlineStr">
        <is>
          <t>Positivo</t>
        </is>
      </c>
      <c r="F388" s="105" t="n">
        <v>45107</v>
      </c>
      <c r="G388" t="inlineStr">
        <is>
          <t>274-2023-06-30</t>
        </is>
      </c>
      <c r="H388" t="inlineStr">
        <is>
          <t>Pregrado Virtual</t>
        </is>
      </c>
      <c r="I388" t="n">
        <v>100</v>
      </c>
      <c r="J388" t="n">
        <v>97.15000152587891</v>
      </c>
      <c r="BC388" t="n">
        <v>32055</v>
      </c>
      <c r="BD388" t="n">
        <v>32995</v>
      </c>
    </row>
    <row r="389">
      <c r="A389" t="n">
        <v>274</v>
      </c>
      <c r="B389" t="inlineStr">
        <is>
          <t>Cumplimiento total estudiantes antiguos</t>
        </is>
      </c>
      <c r="C389" t="inlineStr">
        <is>
          <t>Rematrícula</t>
        </is>
      </c>
      <c r="D389" t="inlineStr">
        <is>
          <t>Trimestral</t>
        </is>
      </c>
      <c r="E389" t="inlineStr">
        <is>
          <t>Positivo</t>
        </is>
      </c>
      <c r="F389" s="105" t="n">
        <v>45107</v>
      </c>
      <c r="G389" t="inlineStr">
        <is>
          <t>274-2023-06-30</t>
        </is>
      </c>
      <c r="H389" t="inlineStr">
        <is>
          <t>Posgrado Virtual</t>
        </is>
      </c>
      <c r="I389" t="n">
        <v>100</v>
      </c>
      <c r="J389" t="n">
        <v>105.8099975585938</v>
      </c>
      <c r="BC389" t="n">
        <v>1020</v>
      </c>
      <c r="BD389" t="n">
        <v>964</v>
      </c>
    </row>
    <row r="390">
      <c r="A390" t="n">
        <v>278</v>
      </c>
      <c r="B390" t="inlineStr">
        <is>
          <t>Docentes contratados - Metrica</t>
        </is>
      </c>
      <c r="C390" t="inlineStr">
        <is>
          <t>Gestión Docente</t>
        </is>
      </c>
      <c r="D390" t="inlineStr">
        <is>
          <t>Trimestral</t>
        </is>
      </c>
      <c r="E390" t="inlineStr">
        <is>
          <t>Positivo</t>
        </is>
      </c>
      <c r="F390" s="105" t="n">
        <v>45107</v>
      </c>
      <c r="G390" t="inlineStr">
        <is>
          <t>278-2023-06-30</t>
        </is>
      </c>
      <c r="H390" t="inlineStr">
        <is>
          <t>Tiempo completo</t>
        </is>
      </c>
      <c r="J390" t="n">
        <v>572</v>
      </c>
      <c r="BE390" t="n">
        <v>572</v>
      </c>
    </row>
    <row r="391">
      <c r="A391" t="n">
        <v>278</v>
      </c>
      <c r="B391" t="inlineStr">
        <is>
          <t>Docentes contratados - Metrica</t>
        </is>
      </c>
      <c r="C391" t="inlineStr">
        <is>
          <t>Gestión Docente</t>
        </is>
      </c>
      <c r="D391" t="inlineStr">
        <is>
          <t>Trimestral</t>
        </is>
      </c>
      <c r="E391" t="inlineStr">
        <is>
          <t>Positivo</t>
        </is>
      </c>
      <c r="F391" s="105" t="n">
        <v>45107</v>
      </c>
      <c r="G391" t="inlineStr">
        <is>
          <t>278-2023-06-30</t>
        </is>
      </c>
      <c r="H391" t="inlineStr">
        <is>
          <t>Medio tiempo</t>
        </is>
      </c>
      <c r="J391" t="n">
        <v>203</v>
      </c>
      <c r="BE391" t="n">
        <v>203</v>
      </c>
    </row>
    <row r="392">
      <c r="A392" t="n">
        <v>278</v>
      </c>
      <c r="B392" t="inlineStr">
        <is>
          <t>Docentes contratados - Metrica</t>
        </is>
      </c>
      <c r="C392" t="inlineStr">
        <is>
          <t>Gestión Docente</t>
        </is>
      </c>
      <c r="D392" t="inlineStr">
        <is>
          <t>Trimestral</t>
        </is>
      </c>
      <c r="E392" t="inlineStr">
        <is>
          <t>Positivo</t>
        </is>
      </c>
      <c r="F392" s="105" t="n">
        <v>45107</v>
      </c>
      <c r="G392" t="inlineStr">
        <is>
          <t>278-2023-06-30</t>
        </is>
      </c>
      <c r="H392" t="inlineStr">
        <is>
          <t>Catedra</t>
        </is>
      </c>
      <c r="J392" t="n">
        <v>240</v>
      </c>
      <c r="BE392" t="n">
        <v>240</v>
      </c>
    </row>
    <row r="393">
      <c r="A393" t="n">
        <v>286</v>
      </c>
      <c r="B393" t="inlineStr">
        <is>
          <t>Total docentes por nivel de estudios - Metrica</t>
        </is>
      </c>
      <c r="C393" t="inlineStr">
        <is>
          <t>Gestión Docente</t>
        </is>
      </c>
      <c r="D393" t="inlineStr">
        <is>
          <t>Trimestral</t>
        </is>
      </c>
      <c r="E393" t="inlineStr">
        <is>
          <t>Positivo</t>
        </is>
      </c>
      <c r="F393" s="105" t="n">
        <v>45107</v>
      </c>
      <c r="G393" t="inlineStr">
        <is>
          <t>286-2023-06-30</t>
        </is>
      </c>
      <c r="H393" t="inlineStr">
        <is>
          <t>Doctorado</t>
        </is>
      </c>
      <c r="J393" t="n">
        <v>52</v>
      </c>
      <c r="BF393" t="n">
        <v>52</v>
      </c>
    </row>
    <row r="394">
      <c r="A394" t="n">
        <v>286</v>
      </c>
      <c r="B394" t="inlineStr">
        <is>
          <t>Total docentes por nivel de estudios - Metrica</t>
        </is>
      </c>
      <c r="C394" t="inlineStr">
        <is>
          <t>Gestión Docente</t>
        </is>
      </c>
      <c r="D394" t="inlineStr">
        <is>
          <t>Trimestral</t>
        </is>
      </c>
      <c r="E394" t="inlineStr">
        <is>
          <t>Positivo</t>
        </is>
      </c>
      <c r="F394" s="105" t="n">
        <v>45107</v>
      </c>
      <c r="G394" t="inlineStr">
        <is>
          <t>286-2023-06-30</t>
        </is>
      </c>
      <c r="H394" t="inlineStr">
        <is>
          <t>Maestría</t>
        </is>
      </c>
      <c r="J394" t="n">
        <v>772</v>
      </c>
      <c r="BF394" t="n">
        <v>772</v>
      </c>
    </row>
    <row r="395">
      <c r="A395" t="n">
        <v>286</v>
      </c>
      <c r="B395" t="inlineStr">
        <is>
          <t>Total docentes por nivel de estudios - Metrica</t>
        </is>
      </c>
      <c r="C395" t="inlineStr">
        <is>
          <t>Gestión Docente</t>
        </is>
      </c>
      <c r="D395" t="inlineStr">
        <is>
          <t>Trimestral</t>
        </is>
      </c>
      <c r="E395" t="inlineStr">
        <is>
          <t>Positivo</t>
        </is>
      </c>
      <c r="F395" s="105" t="n">
        <v>45107</v>
      </c>
      <c r="G395" t="inlineStr">
        <is>
          <t>286-2023-06-30</t>
        </is>
      </c>
      <c r="H395" t="inlineStr">
        <is>
          <t>Especialización</t>
        </is>
      </c>
      <c r="J395" t="n">
        <v>129</v>
      </c>
      <c r="BF395" t="n">
        <v>128</v>
      </c>
    </row>
    <row r="396">
      <c r="A396" t="n">
        <v>286</v>
      </c>
      <c r="B396" t="inlineStr">
        <is>
          <t>Total docentes por nivel de estudios - Metrica</t>
        </is>
      </c>
      <c r="C396" t="inlineStr">
        <is>
          <t>Gestión Docente</t>
        </is>
      </c>
      <c r="D396" t="inlineStr">
        <is>
          <t>Trimestral</t>
        </is>
      </c>
      <c r="E396" t="inlineStr">
        <is>
          <t>Positivo</t>
        </is>
      </c>
      <c r="F396" s="105" t="n">
        <v>45107</v>
      </c>
      <c r="G396" t="inlineStr">
        <is>
          <t>286-2023-06-30</t>
        </is>
      </c>
      <c r="H396" t="inlineStr">
        <is>
          <t>Pregrado</t>
        </is>
      </c>
      <c r="J396" t="n">
        <v>62</v>
      </c>
      <c r="BF396" t="n">
        <v>63</v>
      </c>
    </row>
    <row r="397">
      <c r="A397" t="n">
        <v>292</v>
      </c>
      <c r="B397" t="inlineStr">
        <is>
          <t>Participación en Actividades deportivas</t>
        </is>
      </c>
      <c r="C397" t="inlineStr">
        <is>
          <t>Cultura y Deporte</t>
        </is>
      </c>
      <c r="D397" t="inlineStr">
        <is>
          <t>Trimestral</t>
        </is>
      </c>
      <c r="E397" t="inlineStr">
        <is>
          <t>Positivo</t>
        </is>
      </c>
      <c r="F397" s="105" t="n">
        <v>45107</v>
      </c>
      <c r="G397" t="inlineStr">
        <is>
          <t>292-2023-06-30</t>
        </is>
      </c>
      <c r="H397" t="inlineStr">
        <is>
          <t>Bogotá</t>
        </is>
      </c>
      <c r="I397" t="n">
        <v>3</v>
      </c>
      <c r="J397" t="n">
        <v>10.85999965667725</v>
      </c>
      <c r="BG397" t="n">
        <v>1368</v>
      </c>
      <c r="BH397" t="n">
        <v>1426</v>
      </c>
    </row>
    <row r="398">
      <c r="A398" t="n">
        <v>292</v>
      </c>
      <c r="B398" t="inlineStr">
        <is>
          <t>Participación en Actividades deportivas</t>
        </is>
      </c>
      <c r="C398" t="inlineStr">
        <is>
          <t>Cultura y Deporte</t>
        </is>
      </c>
      <c r="D398" t="inlineStr">
        <is>
          <t>Trimestral</t>
        </is>
      </c>
      <c r="E398" t="inlineStr">
        <is>
          <t>Positivo</t>
        </is>
      </c>
      <c r="F398" s="105" t="n">
        <v>45107</v>
      </c>
      <c r="G398" t="inlineStr">
        <is>
          <t>292-2023-06-30</t>
        </is>
      </c>
      <c r="H398" t="inlineStr">
        <is>
          <t>Medellín</t>
        </is>
      </c>
      <c r="I398" t="n">
        <v>3</v>
      </c>
      <c r="J398" t="n">
        <v>18.54000091552734</v>
      </c>
      <c r="BG398" t="n">
        <v>652</v>
      </c>
      <c r="BH398" t="n">
        <v>705</v>
      </c>
    </row>
    <row r="399">
      <c r="A399" t="n">
        <v>292</v>
      </c>
      <c r="B399" t="inlineStr">
        <is>
          <t>Participación en Actividades deportivas</t>
        </is>
      </c>
      <c r="C399" t="inlineStr">
        <is>
          <t>Cultura y Deporte</t>
        </is>
      </c>
      <c r="D399" t="inlineStr">
        <is>
          <t>Trimestral</t>
        </is>
      </c>
      <c r="E399" t="inlineStr">
        <is>
          <t>Positivo</t>
        </is>
      </c>
      <c r="F399" s="105" t="n">
        <v>45107</v>
      </c>
      <c r="G399" t="inlineStr">
        <is>
          <t>292-2023-06-30</t>
        </is>
      </c>
      <c r="H399" t="inlineStr">
        <is>
          <t>Virtual</t>
        </is>
      </c>
      <c r="I399" t="n">
        <v>3</v>
      </c>
      <c r="J399" t="n">
        <v>-2.009999990463257</v>
      </c>
      <c r="BG399" t="n">
        <v>382</v>
      </c>
      <c r="BH399" t="n">
        <v>624</v>
      </c>
    </row>
    <row r="400">
      <c r="A400" t="n">
        <v>294</v>
      </c>
      <c r="B400" t="inlineStr">
        <is>
          <t>Participación en actividades culturales</t>
        </is>
      </c>
      <c r="C400" t="inlineStr">
        <is>
          <t>Cultura y Deporte</t>
        </is>
      </c>
      <c r="D400" t="inlineStr">
        <is>
          <t>Trimestral</t>
        </is>
      </c>
      <c r="E400" t="inlineStr">
        <is>
          <t>Positivo</t>
        </is>
      </c>
      <c r="F400" s="105" t="n">
        <v>45107</v>
      </c>
      <c r="G400" t="inlineStr">
        <is>
          <t>294-2023-06-30</t>
        </is>
      </c>
      <c r="H400" t="inlineStr">
        <is>
          <t>Bogotá</t>
        </is>
      </c>
      <c r="I400" t="n">
        <v>3</v>
      </c>
      <c r="J400" t="n">
        <v>37.15999984741211</v>
      </c>
      <c r="BI400" t="n">
        <v>551</v>
      </c>
      <c r="BJ400" t="n">
        <v>437</v>
      </c>
    </row>
    <row r="401">
      <c r="A401" t="n">
        <v>294</v>
      </c>
      <c r="B401" t="inlineStr">
        <is>
          <t>Participación en actividades culturales</t>
        </is>
      </c>
      <c r="C401" t="inlineStr">
        <is>
          <t>Cultura y Deporte</t>
        </is>
      </c>
      <c r="D401" t="inlineStr">
        <is>
          <t>Trimestral</t>
        </is>
      </c>
      <c r="E401" t="inlineStr">
        <is>
          <t>Positivo</t>
        </is>
      </c>
      <c r="F401" s="105" t="n">
        <v>45107</v>
      </c>
      <c r="G401" t="inlineStr">
        <is>
          <t>294-2023-06-30</t>
        </is>
      </c>
      <c r="H401" t="inlineStr">
        <is>
          <t>Medellín</t>
        </is>
      </c>
      <c r="I401" t="n">
        <v>3</v>
      </c>
      <c r="J401" t="n">
        <v>5.829999923706055</v>
      </c>
      <c r="BI401" t="n">
        <v>330</v>
      </c>
      <c r="BJ401" t="n">
        <v>342</v>
      </c>
    </row>
    <row r="402">
      <c r="A402" t="n">
        <v>294</v>
      </c>
      <c r="B402" t="inlineStr">
        <is>
          <t>Participación en actividades culturales</t>
        </is>
      </c>
      <c r="C402" t="inlineStr">
        <is>
          <t>Cultura y Deporte</t>
        </is>
      </c>
      <c r="D402" t="inlineStr">
        <is>
          <t>Trimestral</t>
        </is>
      </c>
      <c r="E402" t="inlineStr">
        <is>
          <t>Positivo</t>
        </is>
      </c>
      <c r="F402" s="105" t="n">
        <v>45107</v>
      </c>
      <c r="G402" t="inlineStr">
        <is>
          <t>294-2023-06-30</t>
        </is>
      </c>
      <c r="H402" t="inlineStr">
        <is>
          <t>Virtual</t>
        </is>
      </c>
      <c r="I402" t="n">
        <v>3</v>
      </c>
      <c r="J402" t="n">
        <v>91.36000061035156</v>
      </c>
      <c r="BI402" t="n">
        <v>196</v>
      </c>
      <c r="BJ402" t="n">
        <v>105</v>
      </c>
    </row>
    <row r="403">
      <c r="A403" t="n">
        <v>303</v>
      </c>
      <c r="B403" t="inlineStr">
        <is>
          <t>Cumplimiento del cronograma de actividades de salud</t>
        </is>
      </c>
      <c r="C403" t="inlineStr">
        <is>
          <t>Servicio de Salud</t>
        </is>
      </c>
      <c r="D403" t="inlineStr">
        <is>
          <t>Trimestral</t>
        </is>
      </c>
      <c r="E403" t="inlineStr">
        <is>
          <t>Positivo</t>
        </is>
      </c>
      <c r="F403" s="105" t="n">
        <v>45107</v>
      </c>
      <c r="G403" t="inlineStr">
        <is>
          <t>303-2023-06-30</t>
        </is>
      </c>
      <c r="H403" t="inlineStr">
        <is>
          <t>Bogotá</t>
        </is>
      </c>
      <c r="I403" t="n">
        <v>100</v>
      </c>
      <c r="J403" t="n">
        <v>71.43000030517578</v>
      </c>
      <c r="BK403" t="n">
        <v>10</v>
      </c>
      <c r="BL403" t="n">
        <v>14</v>
      </c>
    </row>
    <row r="404">
      <c r="A404" t="n">
        <v>303</v>
      </c>
      <c r="B404" t="inlineStr">
        <is>
          <t>Cumplimiento del cronograma de actividades de salud</t>
        </is>
      </c>
      <c r="C404" t="inlineStr">
        <is>
          <t>Servicio de Salud</t>
        </is>
      </c>
      <c r="D404" t="inlineStr">
        <is>
          <t>Trimestral</t>
        </is>
      </c>
      <c r="E404" t="inlineStr">
        <is>
          <t>Positivo</t>
        </is>
      </c>
      <c r="F404" s="105" t="n">
        <v>45107</v>
      </c>
      <c r="G404" t="inlineStr">
        <is>
          <t>303-2023-06-30</t>
        </is>
      </c>
      <c r="H404" t="inlineStr">
        <is>
          <t>Medellín</t>
        </is>
      </c>
      <c r="I404" t="n">
        <v>100</v>
      </c>
      <c r="J404" t="n">
        <v>71.43000030517578</v>
      </c>
      <c r="BK404" t="n">
        <v>10</v>
      </c>
      <c r="BL404" t="n">
        <v>14</v>
      </c>
    </row>
    <row r="405">
      <c r="A405" t="n">
        <v>303</v>
      </c>
      <c r="B405" t="inlineStr">
        <is>
          <t>Cumplimiento del cronograma de actividades de salud</t>
        </is>
      </c>
      <c r="C405" t="inlineStr">
        <is>
          <t>Servicio de Salud</t>
        </is>
      </c>
      <c r="D405" t="inlineStr">
        <is>
          <t>Trimestral</t>
        </is>
      </c>
      <c r="E405" t="inlineStr">
        <is>
          <t>Positivo</t>
        </is>
      </c>
      <c r="F405" s="105" t="n">
        <v>45107</v>
      </c>
      <c r="G405" t="inlineStr">
        <is>
          <t>303-2023-06-30</t>
        </is>
      </c>
      <c r="H405" t="inlineStr">
        <is>
          <t>Virtual</t>
        </is>
      </c>
      <c r="I405" t="n">
        <v>100</v>
      </c>
      <c r="J405" t="n">
        <v>100</v>
      </c>
      <c r="BK405" t="n">
        <v>5</v>
      </c>
      <c r="BL405" t="n">
        <v>5</v>
      </c>
    </row>
    <row r="406">
      <c r="A406" t="n">
        <v>369</v>
      </c>
      <c r="B406" t="inlineStr">
        <is>
          <t>Participación de POLI- voluntariados (Estudiantes- Colaboradores)</t>
        </is>
      </c>
      <c r="C406" t="inlineStr">
        <is>
          <t>Gestión de la Responsabilidad Social</t>
        </is>
      </c>
      <c r="D406" t="inlineStr">
        <is>
          <t>Trimestral</t>
        </is>
      </c>
      <c r="E406" t="inlineStr">
        <is>
          <t>Positivo</t>
        </is>
      </c>
      <c r="F406" s="105" t="n">
        <v>45107</v>
      </c>
      <c r="G406" t="inlineStr">
        <is>
          <t>369-2023-06-30</t>
        </is>
      </c>
      <c r="H406" t="inlineStr">
        <is>
          <t>Colaboradores</t>
        </is>
      </c>
      <c r="J406" t="n">
        <v>0</v>
      </c>
      <c r="BM406" t="n">
        <v>9</v>
      </c>
      <c r="BN406" t="n">
        <v>0</v>
      </c>
    </row>
    <row r="407">
      <c r="A407" t="n">
        <v>369</v>
      </c>
      <c r="B407" t="inlineStr">
        <is>
          <t>Participación de POLI- voluntariados (Estudiantes- Colaboradores)</t>
        </is>
      </c>
      <c r="C407" t="inlineStr">
        <is>
          <t>Gestión de la Responsabilidad Social</t>
        </is>
      </c>
      <c r="D407" t="inlineStr">
        <is>
          <t>Trimestral</t>
        </is>
      </c>
      <c r="E407" t="inlineStr">
        <is>
          <t>Positivo</t>
        </is>
      </c>
      <c r="F407" s="105" t="n">
        <v>45107</v>
      </c>
      <c r="G407" t="inlineStr">
        <is>
          <t>369-2023-06-30</t>
        </is>
      </c>
      <c r="H407" t="inlineStr">
        <is>
          <t>Estudiantes</t>
        </is>
      </c>
      <c r="J407" t="n">
        <v>0</v>
      </c>
      <c r="BM407" t="n">
        <v>69</v>
      </c>
      <c r="BN407" t="n">
        <v>0</v>
      </c>
    </row>
    <row r="408">
      <c r="A408" t="n">
        <v>386</v>
      </c>
      <c r="B408" t="inlineStr">
        <is>
          <t>Cumplimiento Meta comercial Educación para toda la vida por linea</t>
        </is>
      </c>
      <c r="C408" t="inlineStr">
        <is>
          <t>Mercadeo y venta de educación para la vida</t>
        </is>
      </c>
      <c r="D408" t="inlineStr">
        <is>
          <t>Trimestral</t>
        </is>
      </c>
      <c r="E408" t="inlineStr">
        <is>
          <t>Positivo</t>
        </is>
      </c>
      <c r="F408" s="105" t="n">
        <v>45107</v>
      </c>
      <c r="G408" t="inlineStr">
        <is>
          <t>386-2023-06-30</t>
        </is>
      </c>
      <c r="H408" t="inlineStr">
        <is>
          <t>B2B</t>
        </is>
      </c>
      <c r="I408" t="n">
        <v>100</v>
      </c>
      <c r="J408" t="n">
        <v>366.9299926757812</v>
      </c>
      <c r="BO408" t="n">
        <v>883810965</v>
      </c>
      <c r="BP408" t="n">
        <v>240869000</v>
      </c>
    </row>
    <row r="409">
      <c r="A409" t="n">
        <v>386</v>
      </c>
      <c r="B409" t="inlineStr">
        <is>
          <t>Cumplimiento Meta comercial Educación para toda la vida por linea</t>
        </is>
      </c>
      <c r="C409" t="inlineStr">
        <is>
          <t>Mercadeo y venta de educación para la vida</t>
        </is>
      </c>
      <c r="D409" t="inlineStr">
        <is>
          <t>Trimestral</t>
        </is>
      </c>
      <c r="E409" t="inlineStr">
        <is>
          <t>Positivo</t>
        </is>
      </c>
      <c r="F409" s="105" t="n">
        <v>45107</v>
      </c>
      <c r="G409" t="inlineStr">
        <is>
          <t>386-2023-06-30</t>
        </is>
      </c>
      <c r="H409" t="inlineStr">
        <is>
          <t>B2G</t>
        </is>
      </c>
      <c r="I409" t="n">
        <v>100</v>
      </c>
      <c r="J409" t="n">
        <v>106.0999984741211</v>
      </c>
      <c r="BO409" t="n">
        <v>2406893437</v>
      </c>
      <c r="BP409" t="n">
        <v>2268507000</v>
      </c>
    </row>
    <row r="410">
      <c r="A410" t="n">
        <v>386</v>
      </c>
      <c r="B410" t="inlineStr">
        <is>
          <t>Cumplimiento Meta comercial Educación para toda la vida por linea</t>
        </is>
      </c>
      <c r="C410" t="inlineStr">
        <is>
          <t>Mercadeo y venta de educación para la vida</t>
        </is>
      </c>
      <c r="D410" t="inlineStr">
        <is>
          <t>Trimestral</t>
        </is>
      </c>
      <c r="E410" t="inlineStr">
        <is>
          <t>Positivo</t>
        </is>
      </c>
      <c r="F410" s="105" t="n">
        <v>45107</v>
      </c>
      <c r="G410" t="inlineStr">
        <is>
          <t>386-2023-06-30</t>
        </is>
      </c>
      <c r="H410" t="inlineStr">
        <is>
          <t>Otros ingresos (Cursos -Opciones de grado)</t>
        </is>
      </c>
      <c r="I410" t="n">
        <v>100</v>
      </c>
      <c r="J410" t="n">
        <v>77.80999755859375</v>
      </c>
      <c r="BO410" t="n">
        <v>2183153357</v>
      </c>
      <c r="BP410" t="n">
        <v>2805830000</v>
      </c>
    </row>
    <row r="411">
      <c r="A411" t="n">
        <v>389</v>
      </c>
      <c r="B411" t="inlineStr">
        <is>
          <t>Permanencia por escuela</t>
        </is>
      </c>
      <c r="C411" t="inlineStr">
        <is>
          <t>Gestión de Unidades Académicas</t>
        </is>
      </c>
      <c r="D411" t="inlineStr">
        <is>
          <t>Trimestral</t>
        </is>
      </c>
      <c r="E411" t="inlineStr">
        <is>
          <t>Positivo</t>
        </is>
      </c>
      <c r="F411" s="105" t="n">
        <v>45107</v>
      </c>
      <c r="G411" t="inlineStr">
        <is>
          <t>389-2023-06-30</t>
        </is>
      </c>
      <c r="H411" t="inlineStr">
        <is>
          <t>ESCUELA DE CIENCIAS BÁSICAS</t>
        </is>
      </c>
      <c r="I411" t="n">
        <v>91</v>
      </c>
      <c r="J411" t="n">
        <v>86.69999694824219</v>
      </c>
      <c r="BQ411" t="n">
        <v>86.7</v>
      </c>
    </row>
    <row r="412">
      <c r="A412" t="n">
        <v>389</v>
      </c>
      <c r="B412" t="inlineStr">
        <is>
          <t>Permanencia por escuela</t>
        </is>
      </c>
      <c r="C412" t="inlineStr">
        <is>
          <t>Gestión de Unidades Académicas</t>
        </is>
      </c>
      <c r="D412" t="inlineStr">
        <is>
          <t>Trimestral</t>
        </is>
      </c>
      <c r="E412" t="inlineStr">
        <is>
          <t>Positivo</t>
        </is>
      </c>
      <c r="F412" s="105" t="n">
        <v>45107</v>
      </c>
      <c r="G412" t="inlineStr">
        <is>
          <t>389-2023-06-30</t>
        </is>
      </c>
      <c r="H412" t="inlineStr">
        <is>
          <t>ESCUELA DE  DISEÑO</t>
        </is>
      </c>
      <c r="I412" t="n">
        <v>91</v>
      </c>
      <c r="J412" t="n">
        <v>85.69999694824219</v>
      </c>
      <c r="BQ412" t="n">
        <v>85.7</v>
      </c>
    </row>
    <row r="413">
      <c r="A413" t="n">
        <v>389</v>
      </c>
      <c r="B413" t="inlineStr">
        <is>
          <t>Permanencia por escuela</t>
        </is>
      </c>
      <c r="C413" t="inlineStr">
        <is>
          <t>Gestión de Unidades Académicas</t>
        </is>
      </c>
      <c r="D413" t="inlineStr">
        <is>
          <t>Trimestral</t>
        </is>
      </c>
      <c r="E413" t="inlineStr">
        <is>
          <t>Positivo</t>
        </is>
      </c>
      <c r="F413" s="105" t="n">
        <v>45107</v>
      </c>
      <c r="G413" t="inlineStr">
        <is>
          <t>389-2023-06-30</t>
        </is>
      </c>
      <c r="H413" t="inlineStr">
        <is>
          <t>ESCUELA DE OPTIMIZACIÓN, INFRA Y AUTO</t>
        </is>
      </c>
      <c r="I413" t="n">
        <v>91</v>
      </c>
      <c r="J413" t="n">
        <v>85.59999847412109</v>
      </c>
      <c r="BQ413" t="n">
        <v>85.59999999999999</v>
      </c>
    </row>
    <row r="414">
      <c r="A414" t="n">
        <v>389</v>
      </c>
      <c r="B414" t="inlineStr">
        <is>
          <t>Permanencia por escuela</t>
        </is>
      </c>
      <c r="C414" t="inlineStr">
        <is>
          <t>Gestión de Unidades Académicas</t>
        </is>
      </c>
      <c r="D414" t="inlineStr">
        <is>
          <t>Trimestral</t>
        </is>
      </c>
      <c r="E414" t="inlineStr">
        <is>
          <t>Positivo</t>
        </is>
      </c>
      <c r="F414" s="105" t="n">
        <v>45107</v>
      </c>
      <c r="G414" t="inlineStr">
        <is>
          <t>389-2023-06-30</t>
        </is>
      </c>
      <c r="H414" t="inlineStr">
        <is>
          <t>ESCUELA TIC</t>
        </is>
      </c>
      <c r="I414" t="n">
        <v>91</v>
      </c>
      <c r="J414" t="n">
        <v>82.5</v>
      </c>
      <c r="BQ414" t="n">
        <v>82.5</v>
      </c>
    </row>
    <row r="415">
      <c r="A415" t="n">
        <v>389</v>
      </c>
      <c r="B415" t="inlineStr">
        <is>
          <t>Permanencia por escuela</t>
        </is>
      </c>
      <c r="C415" t="inlineStr">
        <is>
          <t>Gestión de Unidades Académicas</t>
        </is>
      </c>
      <c r="D415" t="inlineStr">
        <is>
          <t>Trimestral</t>
        </is>
      </c>
      <c r="E415" t="inlineStr">
        <is>
          <t>Positivo</t>
        </is>
      </c>
      <c r="F415" s="105" t="n">
        <v>45107</v>
      </c>
      <c r="G415" t="inlineStr">
        <is>
          <t>389-2023-06-30</t>
        </is>
      </c>
      <c r="H415" t="inlineStr">
        <is>
          <t>ESCUELA DE ADMINISTRACIÓN Y COMPETITIVIDAD</t>
        </is>
      </c>
      <c r="I415" t="n">
        <v>91</v>
      </c>
      <c r="J415" t="n">
        <v>85.09999847412109</v>
      </c>
      <c r="BQ415" t="n">
        <v>85.09999999999999</v>
      </c>
    </row>
    <row r="416">
      <c r="A416" t="n">
        <v>389</v>
      </c>
      <c r="B416" t="inlineStr">
        <is>
          <t>Permanencia por escuela</t>
        </is>
      </c>
      <c r="C416" t="inlineStr">
        <is>
          <t>Gestión de Unidades Académicas</t>
        </is>
      </c>
      <c r="D416" t="inlineStr">
        <is>
          <t>Trimestral</t>
        </is>
      </c>
      <c r="E416" t="inlineStr">
        <is>
          <t>Positivo</t>
        </is>
      </c>
      <c r="F416" s="105" t="n">
        <v>45107</v>
      </c>
      <c r="G416" t="inlineStr">
        <is>
          <t>389-2023-06-30</t>
        </is>
      </c>
      <c r="H416" t="inlineStr">
        <is>
          <t>ESCUELA DE CONTABILIDAD INTERNACIONAL</t>
        </is>
      </c>
      <c r="I416" t="n">
        <v>91</v>
      </c>
      <c r="J416" t="n">
        <v>85.40000152587891</v>
      </c>
      <c r="BQ416" t="n">
        <v>85.40000000000001</v>
      </c>
    </row>
    <row r="417">
      <c r="A417" t="n">
        <v>389</v>
      </c>
      <c r="B417" t="inlineStr">
        <is>
          <t>Permanencia por escuela</t>
        </is>
      </c>
      <c r="C417" t="inlineStr">
        <is>
          <t>Gestión de Unidades Académicas</t>
        </is>
      </c>
      <c r="D417" t="inlineStr">
        <is>
          <t>Trimestral</t>
        </is>
      </c>
      <c r="E417" t="inlineStr">
        <is>
          <t>Positivo</t>
        </is>
      </c>
      <c r="F417" s="105" t="n">
        <v>45107</v>
      </c>
      <c r="G417" t="inlineStr">
        <is>
          <t>389-2023-06-30</t>
        </is>
      </c>
      <c r="H417" t="inlineStr">
        <is>
          <t>ESCUELA DE NEGOCIOS Y DESARROLLO INTERNACIONAL</t>
        </is>
      </c>
      <c r="I417" t="n">
        <v>91</v>
      </c>
      <c r="J417" t="n">
        <v>81.5</v>
      </c>
      <c r="BQ417" t="n">
        <v>81.5</v>
      </c>
    </row>
    <row r="418">
      <c r="A418" t="n">
        <v>389</v>
      </c>
      <c r="B418" t="inlineStr">
        <is>
          <t>Permanencia por escuela</t>
        </is>
      </c>
      <c r="C418" t="inlineStr">
        <is>
          <t>Gestión de Unidades Académicas</t>
        </is>
      </c>
      <c r="D418" t="inlineStr">
        <is>
          <t>Trimestral</t>
        </is>
      </c>
      <c r="E418" t="inlineStr">
        <is>
          <t>Positivo</t>
        </is>
      </c>
      <c r="F418" s="105" t="n">
        <v>45107</v>
      </c>
      <c r="G418" t="inlineStr">
        <is>
          <t>389-2023-06-30</t>
        </is>
      </c>
      <c r="H418" t="inlineStr">
        <is>
          <t>ESCUELA DE COMUNICACIÓN ARTES VISUALES Y DIGITALES</t>
        </is>
      </c>
      <c r="I418" t="n">
        <v>91</v>
      </c>
      <c r="J418" t="n">
        <v>90.09999847412109</v>
      </c>
      <c r="BQ418" t="n">
        <v>90.09999999999999</v>
      </c>
    </row>
    <row r="419">
      <c r="A419" t="n">
        <v>389</v>
      </c>
      <c r="B419" t="inlineStr">
        <is>
          <t>Permanencia por escuela</t>
        </is>
      </c>
      <c r="C419" t="inlineStr">
        <is>
          <t>Gestión de Unidades Académicas</t>
        </is>
      </c>
      <c r="D419" t="inlineStr">
        <is>
          <t>Trimestral</t>
        </is>
      </c>
      <c r="E419" t="inlineStr">
        <is>
          <t>Positivo</t>
        </is>
      </c>
      <c r="F419" s="105" t="n">
        <v>45107</v>
      </c>
      <c r="G419" t="inlineStr">
        <is>
          <t>389-2023-06-30</t>
        </is>
      </c>
      <c r="H419" t="inlineStr">
        <is>
          <t>ESCUELA DE EDUCACIÓN E INNOVACIÓN</t>
        </is>
      </c>
      <c r="I419" t="n">
        <v>91</v>
      </c>
      <c r="J419" t="n">
        <v>80.90000152587891</v>
      </c>
      <c r="BQ419" t="n">
        <v>80.90000000000001</v>
      </c>
    </row>
    <row r="420">
      <c r="A420" t="n">
        <v>389</v>
      </c>
      <c r="B420" t="inlineStr">
        <is>
          <t>Permanencia por escuela</t>
        </is>
      </c>
      <c r="C420" t="inlineStr">
        <is>
          <t>Gestión de Unidades Académicas</t>
        </is>
      </c>
      <c r="D420" t="inlineStr">
        <is>
          <t>Trimestral</t>
        </is>
      </c>
      <c r="E420" t="inlineStr">
        <is>
          <t>Positivo</t>
        </is>
      </c>
      <c r="F420" s="105" t="n">
        <v>45107</v>
      </c>
      <c r="G420" t="inlineStr">
        <is>
          <t>389-2023-06-30</t>
        </is>
      </c>
      <c r="H420" t="inlineStr">
        <is>
          <t>ESCUELA DE DERECHO Y GOBIERNO</t>
        </is>
      </c>
      <c r="I420" t="n">
        <v>91</v>
      </c>
      <c r="J420" t="n">
        <v>81</v>
      </c>
      <c r="BQ420" t="n">
        <v>81</v>
      </c>
    </row>
    <row r="421">
      <c r="A421" t="n">
        <v>389</v>
      </c>
      <c r="B421" t="inlineStr">
        <is>
          <t>Permanencia por escuela</t>
        </is>
      </c>
      <c r="C421" t="inlineStr">
        <is>
          <t>Gestión de Unidades Académicas</t>
        </is>
      </c>
      <c r="D421" t="inlineStr">
        <is>
          <t>Trimestral</t>
        </is>
      </c>
      <c r="E421" t="inlineStr">
        <is>
          <t>Positivo</t>
        </is>
      </c>
      <c r="F421" s="105" t="n">
        <v>45107</v>
      </c>
      <c r="G421" t="inlineStr">
        <is>
          <t>389-2023-06-30</t>
        </is>
      </c>
      <c r="H421" t="inlineStr">
        <is>
          <t>ESCUELA DE MARKETING Y BRANDING</t>
        </is>
      </c>
      <c r="I421" t="n">
        <v>91</v>
      </c>
      <c r="J421" t="n">
        <v>86.69999694824219</v>
      </c>
      <c r="BQ421" t="n">
        <v>86.7</v>
      </c>
    </row>
    <row r="422">
      <c r="A422" t="n">
        <v>389</v>
      </c>
      <c r="B422" t="inlineStr">
        <is>
          <t>Permanencia por escuela</t>
        </is>
      </c>
      <c r="C422" t="inlineStr">
        <is>
          <t>Gestión de Unidades Académicas</t>
        </is>
      </c>
      <c r="D422" t="inlineStr">
        <is>
          <t>Trimestral</t>
        </is>
      </c>
      <c r="E422" t="inlineStr">
        <is>
          <t>Positivo</t>
        </is>
      </c>
      <c r="F422" s="105" t="n">
        <v>45107</v>
      </c>
      <c r="G422" t="inlineStr">
        <is>
          <t>389-2023-06-30</t>
        </is>
      </c>
      <c r="H422" t="inlineStr">
        <is>
          <t>ESCUELA DE PSIC, TALENTO HUM Y SOC</t>
        </is>
      </c>
      <c r="I422" t="n">
        <v>91</v>
      </c>
      <c r="J422" t="n">
        <v>86.19999694824219</v>
      </c>
      <c r="BQ422" t="n">
        <v>86.2</v>
      </c>
    </row>
    <row r="423">
      <c r="A423" t="n">
        <v>408</v>
      </c>
      <c r="B423" t="inlineStr">
        <is>
          <t>Programas nuevos radicados por facultad</t>
        </is>
      </c>
      <c r="C423" t="inlineStr">
        <is>
          <t>Creación, modificación y cierre de programas académicos</t>
        </is>
      </c>
      <c r="D423" t="inlineStr">
        <is>
          <t>Trimestral</t>
        </is>
      </c>
      <c r="E423" t="inlineStr">
        <is>
          <t>Positivo</t>
        </is>
      </c>
      <c r="F423" s="105" t="n">
        <v>45107</v>
      </c>
      <c r="G423" t="inlineStr">
        <is>
          <t>408-2023-06-30</t>
        </is>
      </c>
      <c r="H423" t="inlineStr">
        <is>
          <t>Facultad de ingeniera, diseño e innovación</t>
        </is>
      </c>
      <c r="I423" t="n">
        <v>100</v>
      </c>
      <c r="J423" t="n">
        <v>0</v>
      </c>
      <c r="BR423" t="n">
        <v>0</v>
      </c>
      <c r="BS423" t="n">
        <v>0</v>
      </c>
    </row>
    <row r="424">
      <c r="A424" t="n">
        <v>408</v>
      </c>
      <c r="B424" t="inlineStr">
        <is>
          <t>Programas nuevos radicados por facultad</t>
        </is>
      </c>
      <c r="C424" t="inlineStr">
        <is>
          <t>Creación, modificación y cierre de programas académicos</t>
        </is>
      </c>
      <c r="D424" t="inlineStr">
        <is>
          <t>Trimestral</t>
        </is>
      </c>
      <c r="E424" t="inlineStr">
        <is>
          <t>Positivo</t>
        </is>
      </c>
      <c r="F424" s="105" t="n">
        <v>45107</v>
      </c>
      <c r="G424" t="inlineStr">
        <is>
          <t>408-2023-06-30</t>
        </is>
      </c>
      <c r="H424" t="inlineStr">
        <is>
          <t>Facultad negocios, gestión y sostenibilidad</t>
        </is>
      </c>
      <c r="I424" t="n">
        <v>100</v>
      </c>
      <c r="J424" t="n">
        <v>0</v>
      </c>
      <c r="BR424" t="n">
        <v>0</v>
      </c>
      <c r="BS424" t="n">
        <v>0</v>
      </c>
    </row>
    <row r="425">
      <c r="A425" t="n">
        <v>408</v>
      </c>
      <c r="B425" t="inlineStr">
        <is>
          <t>Programas nuevos radicados por facultad</t>
        </is>
      </c>
      <c r="C425" t="inlineStr">
        <is>
          <t>Creación, modificación y cierre de programas académicos</t>
        </is>
      </c>
      <c r="D425" t="inlineStr">
        <is>
          <t>Trimestral</t>
        </is>
      </c>
      <c r="E425" t="inlineStr">
        <is>
          <t>Positivo</t>
        </is>
      </c>
      <c r="F425" s="105" t="n">
        <v>45107</v>
      </c>
      <c r="G425" t="inlineStr">
        <is>
          <t>408-2023-06-30</t>
        </is>
      </c>
      <c r="H425" t="inlineStr">
        <is>
          <t>Facultad sociedad cultura y creatividad</t>
        </is>
      </c>
      <c r="I425" t="n">
        <v>100</v>
      </c>
      <c r="J425" t="n">
        <v>0</v>
      </c>
      <c r="BR425" t="n">
        <v>0</v>
      </c>
      <c r="BS425" t="n">
        <v>0</v>
      </c>
    </row>
    <row r="426">
      <c r="A426" t="n">
        <v>408</v>
      </c>
      <c r="B426" t="inlineStr">
        <is>
          <t>Programas nuevos radicados por facultad</t>
        </is>
      </c>
      <c r="C426" t="inlineStr">
        <is>
          <t>Creación, modificación y cierre de programas académicos</t>
        </is>
      </c>
      <c r="D426" t="inlineStr">
        <is>
          <t>Trimestral</t>
        </is>
      </c>
      <c r="E426" t="inlineStr">
        <is>
          <t>Positivo</t>
        </is>
      </c>
      <c r="F426" s="105" t="n">
        <v>45107</v>
      </c>
      <c r="G426" t="inlineStr">
        <is>
          <t>408-2023-06-30</t>
        </is>
      </c>
      <c r="H426" t="inlineStr">
        <is>
          <t>Facultad de ingeniera, diseño e innovación</t>
        </is>
      </c>
      <c r="I426" t="n">
        <v>100</v>
      </c>
      <c r="J426" t="n">
        <v>0</v>
      </c>
      <c r="BR426" t="n">
        <v>0</v>
      </c>
      <c r="BS426" t="n">
        <v>0</v>
      </c>
    </row>
    <row r="427">
      <c r="A427" t="n">
        <v>408</v>
      </c>
      <c r="B427" t="inlineStr">
        <is>
          <t>Programas nuevos radicados por facultad</t>
        </is>
      </c>
      <c r="C427" t="inlineStr">
        <is>
          <t>Creación, modificación y cierre de programas académicos</t>
        </is>
      </c>
      <c r="D427" t="inlineStr">
        <is>
          <t>Trimestral</t>
        </is>
      </c>
      <c r="E427" t="inlineStr">
        <is>
          <t>Positivo</t>
        </is>
      </c>
      <c r="F427" s="105" t="n">
        <v>45107</v>
      </c>
      <c r="G427" t="inlineStr">
        <is>
          <t>408-2023-06-30</t>
        </is>
      </c>
      <c r="H427" t="inlineStr">
        <is>
          <t>Facultad negocios, gestión y sostenibilidad</t>
        </is>
      </c>
      <c r="I427" t="n">
        <v>100</v>
      </c>
      <c r="J427" t="n">
        <v>0</v>
      </c>
      <c r="BR427" t="n">
        <v>0</v>
      </c>
      <c r="BS427" t="n">
        <v>0</v>
      </c>
    </row>
    <row r="428">
      <c r="A428" t="n">
        <v>408</v>
      </c>
      <c r="B428" t="inlineStr">
        <is>
          <t>Programas nuevos radicados por facultad</t>
        </is>
      </c>
      <c r="C428" t="inlineStr">
        <is>
          <t>Creación, modificación y cierre de programas académicos</t>
        </is>
      </c>
      <c r="D428" t="inlineStr">
        <is>
          <t>Trimestral</t>
        </is>
      </c>
      <c r="E428" t="inlineStr">
        <is>
          <t>Positivo</t>
        </is>
      </c>
      <c r="F428" s="105" t="n">
        <v>45107</v>
      </c>
      <c r="G428" t="inlineStr">
        <is>
          <t>408-2023-06-30</t>
        </is>
      </c>
      <c r="H428" t="inlineStr">
        <is>
          <t>Facultad sociedad cultura y creatividad</t>
        </is>
      </c>
      <c r="I428" t="n">
        <v>100</v>
      </c>
      <c r="J428" t="n">
        <v>0</v>
      </c>
      <c r="BR428" t="n">
        <v>0</v>
      </c>
      <c r="BS428" t="n">
        <v>0</v>
      </c>
    </row>
    <row r="429">
      <c r="A429" t="n">
        <v>408</v>
      </c>
      <c r="B429" t="inlineStr">
        <is>
          <t>Programas nuevos radicados por facultad</t>
        </is>
      </c>
      <c r="C429" t="inlineStr">
        <is>
          <t>Creación, modificación y cierre de programas académicos</t>
        </is>
      </c>
      <c r="D429" t="inlineStr">
        <is>
          <t>Trimestral</t>
        </is>
      </c>
      <c r="E429" t="inlineStr">
        <is>
          <t>Positivo</t>
        </is>
      </c>
      <c r="F429" s="105" t="n">
        <v>45107</v>
      </c>
      <c r="G429" t="inlineStr">
        <is>
          <t>408-2023-06-30</t>
        </is>
      </c>
      <c r="H429" t="inlineStr">
        <is>
          <t>Facultad de ingeniera, diseño e innovación</t>
        </is>
      </c>
      <c r="I429" t="n">
        <v>100</v>
      </c>
      <c r="J429" t="n">
        <v>0</v>
      </c>
      <c r="BR429" t="n">
        <v>0</v>
      </c>
      <c r="BS429" t="n">
        <v>0</v>
      </c>
    </row>
    <row r="430">
      <c r="A430" t="n">
        <v>408</v>
      </c>
      <c r="B430" t="inlineStr">
        <is>
          <t>Programas nuevos radicados por facultad</t>
        </is>
      </c>
      <c r="C430" t="inlineStr">
        <is>
          <t>Creación, modificación y cierre de programas académicos</t>
        </is>
      </c>
      <c r="D430" t="inlineStr">
        <is>
          <t>Trimestral</t>
        </is>
      </c>
      <c r="E430" t="inlineStr">
        <is>
          <t>Positivo</t>
        </is>
      </c>
      <c r="F430" s="105" t="n">
        <v>45107</v>
      </c>
      <c r="G430" t="inlineStr">
        <is>
          <t>408-2023-06-30</t>
        </is>
      </c>
      <c r="H430" t="inlineStr">
        <is>
          <t>Facultad negocios, gestión y sostenibilidad</t>
        </is>
      </c>
      <c r="I430" t="n">
        <v>100</v>
      </c>
      <c r="J430" t="n">
        <v>0</v>
      </c>
      <c r="BR430" t="n">
        <v>0</v>
      </c>
      <c r="BS430" t="n">
        <v>0</v>
      </c>
    </row>
    <row r="431">
      <c r="A431" t="n">
        <v>408</v>
      </c>
      <c r="B431" t="inlineStr">
        <is>
          <t>Programas nuevos radicados por facultad</t>
        </is>
      </c>
      <c r="C431" t="inlineStr">
        <is>
          <t>Creación, modificación y cierre de programas académicos</t>
        </is>
      </c>
      <c r="D431" t="inlineStr">
        <is>
          <t>Trimestral</t>
        </is>
      </c>
      <c r="E431" t="inlineStr">
        <is>
          <t>Positivo</t>
        </is>
      </c>
      <c r="F431" s="105" t="n">
        <v>45107</v>
      </c>
      <c r="G431" t="inlineStr">
        <is>
          <t>408-2023-06-30</t>
        </is>
      </c>
      <c r="H431" t="inlineStr">
        <is>
          <t>Facultad sociedad cultura y creatividad</t>
        </is>
      </c>
      <c r="I431" t="n">
        <v>100</v>
      </c>
      <c r="J431" t="n">
        <v>0</v>
      </c>
      <c r="BR431" t="n">
        <v>0</v>
      </c>
      <c r="BS431" t="n">
        <v>0</v>
      </c>
    </row>
    <row r="432">
      <c r="A432" t="n">
        <v>408</v>
      </c>
      <c r="B432" t="inlineStr">
        <is>
          <t>Programas nuevos radicados por facultad</t>
        </is>
      </c>
      <c r="C432" t="inlineStr">
        <is>
          <t>Creación, modificación y cierre de programas académicos</t>
        </is>
      </c>
      <c r="D432" t="inlineStr">
        <is>
          <t>Trimestral</t>
        </is>
      </c>
      <c r="E432" t="inlineStr">
        <is>
          <t>Positivo</t>
        </is>
      </c>
      <c r="F432" s="105" t="n">
        <v>45107</v>
      </c>
      <c r="G432" t="inlineStr">
        <is>
          <t>408-2023-06-30</t>
        </is>
      </c>
      <c r="H432" t="inlineStr">
        <is>
          <t>Facultad de ingeniera, diseño e innovación</t>
        </is>
      </c>
      <c r="I432" t="n">
        <v>100</v>
      </c>
      <c r="J432" t="n">
        <v>0</v>
      </c>
      <c r="BR432" t="n">
        <v>0</v>
      </c>
      <c r="BS432" t="n">
        <v>0</v>
      </c>
    </row>
    <row r="433">
      <c r="A433" t="n">
        <v>408</v>
      </c>
      <c r="B433" t="inlineStr">
        <is>
          <t>Programas nuevos radicados por facultad</t>
        </is>
      </c>
      <c r="C433" t="inlineStr">
        <is>
          <t>Creación, modificación y cierre de programas académicos</t>
        </is>
      </c>
      <c r="D433" t="inlineStr">
        <is>
          <t>Trimestral</t>
        </is>
      </c>
      <c r="E433" t="inlineStr">
        <is>
          <t>Positivo</t>
        </is>
      </c>
      <c r="F433" s="105" t="n">
        <v>45107</v>
      </c>
      <c r="G433" t="inlineStr">
        <is>
          <t>408-2023-06-30</t>
        </is>
      </c>
      <c r="H433" t="inlineStr">
        <is>
          <t>Facultad negocios, gestión y sostenibilidad</t>
        </is>
      </c>
      <c r="I433" t="n">
        <v>100</v>
      </c>
      <c r="J433" t="n">
        <v>0</v>
      </c>
      <c r="BR433" t="n">
        <v>0</v>
      </c>
      <c r="BS433" t="n">
        <v>0</v>
      </c>
    </row>
    <row r="434">
      <c r="A434" t="n">
        <v>408</v>
      </c>
      <c r="B434" t="inlineStr">
        <is>
          <t>Programas nuevos radicados por facultad</t>
        </is>
      </c>
      <c r="C434" t="inlineStr">
        <is>
          <t>Creación, modificación y cierre de programas académicos</t>
        </is>
      </c>
      <c r="D434" t="inlineStr">
        <is>
          <t>Trimestral</t>
        </is>
      </c>
      <c r="E434" t="inlineStr">
        <is>
          <t>Positivo</t>
        </is>
      </c>
      <c r="F434" s="105" t="n">
        <v>45107</v>
      </c>
      <c r="G434" t="inlineStr">
        <is>
          <t>408-2023-06-30</t>
        </is>
      </c>
      <c r="H434" t="inlineStr">
        <is>
          <t>Facultad sociedad cultura y creatividad</t>
        </is>
      </c>
      <c r="I434" t="n">
        <v>100</v>
      </c>
      <c r="J434" t="n">
        <v>0</v>
      </c>
      <c r="BR434" t="n">
        <v>0</v>
      </c>
      <c r="BS434" t="n">
        <v>0</v>
      </c>
    </row>
    <row r="435">
      <c r="A435" t="n">
        <v>408</v>
      </c>
      <c r="B435" t="inlineStr">
        <is>
          <t>Programas nuevos radicados por facultad</t>
        </is>
      </c>
      <c r="C435" t="inlineStr">
        <is>
          <t>Creación, modificación y cierre de programas académicos</t>
        </is>
      </c>
      <c r="D435" t="inlineStr">
        <is>
          <t>Trimestral</t>
        </is>
      </c>
      <c r="E435" t="inlineStr">
        <is>
          <t>Positivo</t>
        </is>
      </c>
      <c r="F435" s="105" t="n">
        <v>45107</v>
      </c>
      <c r="G435" t="inlineStr">
        <is>
          <t>408-2023-06-30</t>
        </is>
      </c>
      <c r="H435" t="inlineStr">
        <is>
          <t>Facultad de ingeniera, diseño e innovación</t>
        </is>
      </c>
      <c r="I435" t="n">
        <v>100</v>
      </c>
      <c r="J435" t="n">
        <v>0</v>
      </c>
      <c r="BR435" t="n">
        <v>0</v>
      </c>
      <c r="BS435" t="n">
        <v>0</v>
      </c>
    </row>
    <row r="436">
      <c r="A436" t="n">
        <v>408</v>
      </c>
      <c r="B436" t="inlineStr">
        <is>
          <t>Programas nuevos radicados por facultad</t>
        </is>
      </c>
      <c r="C436" t="inlineStr">
        <is>
          <t>Creación, modificación y cierre de programas académicos</t>
        </is>
      </c>
      <c r="D436" t="inlineStr">
        <is>
          <t>Trimestral</t>
        </is>
      </c>
      <c r="E436" t="inlineStr">
        <is>
          <t>Positivo</t>
        </is>
      </c>
      <c r="F436" s="105" t="n">
        <v>45107</v>
      </c>
      <c r="G436" t="inlineStr">
        <is>
          <t>408-2023-06-30</t>
        </is>
      </c>
      <c r="H436" t="inlineStr">
        <is>
          <t>Facultad negocios, gestión y sostenibilidad</t>
        </is>
      </c>
      <c r="I436" t="n">
        <v>100</v>
      </c>
      <c r="J436" t="n">
        <v>0</v>
      </c>
      <c r="BR436" t="n">
        <v>0</v>
      </c>
      <c r="BS436" t="n">
        <v>0</v>
      </c>
    </row>
    <row r="437">
      <c r="A437" t="n">
        <v>408</v>
      </c>
      <c r="B437" t="inlineStr">
        <is>
          <t>Programas nuevos radicados por facultad</t>
        </is>
      </c>
      <c r="C437" t="inlineStr">
        <is>
          <t>Creación, modificación y cierre de programas académicos</t>
        </is>
      </c>
      <c r="D437" t="inlineStr">
        <is>
          <t>Trimestral</t>
        </is>
      </c>
      <c r="E437" t="inlineStr">
        <is>
          <t>Positivo</t>
        </is>
      </c>
      <c r="F437" s="105" t="n">
        <v>45107</v>
      </c>
      <c r="G437" t="inlineStr">
        <is>
          <t>408-2023-06-30</t>
        </is>
      </c>
      <c r="H437" t="inlineStr">
        <is>
          <t>Facultad sociedad cultura y creatividad</t>
        </is>
      </c>
      <c r="I437" t="n">
        <v>100</v>
      </c>
      <c r="J437" t="n">
        <v>0</v>
      </c>
      <c r="BR437" t="n">
        <v>0</v>
      </c>
      <c r="BS437" t="n">
        <v>0</v>
      </c>
    </row>
    <row r="438">
      <c r="A438" t="n">
        <v>408</v>
      </c>
      <c r="B438" t="inlineStr">
        <is>
          <t>Programas nuevos radicados por facultad</t>
        </is>
      </c>
      <c r="C438" t="inlineStr">
        <is>
          <t>Creación, modificación y cierre de programas académicos</t>
        </is>
      </c>
      <c r="D438" t="inlineStr">
        <is>
          <t>Trimestral</t>
        </is>
      </c>
      <c r="E438" t="inlineStr">
        <is>
          <t>Positivo</t>
        </is>
      </c>
      <c r="F438" s="105" t="n">
        <v>45107</v>
      </c>
      <c r="G438" t="inlineStr">
        <is>
          <t>408-2023-06-30</t>
        </is>
      </c>
      <c r="H438" t="inlineStr">
        <is>
          <t>Facultad de ingeniera, diseño e innovación</t>
        </is>
      </c>
      <c r="I438" t="n">
        <v>100</v>
      </c>
      <c r="J438" t="n">
        <v>0</v>
      </c>
      <c r="BR438" t="n">
        <v>0</v>
      </c>
      <c r="BS438" t="n">
        <v>0</v>
      </c>
    </row>
    <row r="439">
      <c r="A439" t="n">
        <v>408</v>
      </c>
      <c r="B439" t="inlineStr">
        <is>
          <t>Programas nuevos radicados por facultad</t>
        </is>
      </c>
      <c r="C439" t="inlineStr">
        <is>
          <t>Creación, modificación y cierre de programas académicos</t>
        </is>
      </c>
      <c r="D439" t="inlineStr">
        <is>
          <t>Trimestral</t>
        </is>
      </c>
      <c r="E439" t="inlineStr">
        <is>
          <t>Positivo</t>
        </is>
      </c>
      <c r="F439" s="105" t="n">
        <v>45107</v>
      </c>
      <c r="G439" t="inlineStr">
        <is>
          <t>408-2023-06-30</t>
        </is>
      </c>
      <c r="H439" t="inlineStr">
        <is>
          <t>Facultad negocios, gestión y sostenibilidad</t>
        </is>
      </c>
      <c r="I439" t="n">
        <v>100</v>
      </c>
      <c r="J439" t="n">
        <v>0</v>
      </c>
      <c r="BR439" t="n">
        <v>0</v>
      </c>
      <c r="BS439" t="n">
        <v>0</v>
      </c>
    </row>
    <row r="440">
      <c r="A440" t="n">
        <v>408</v>
      </c>
      <c r="B440" t="inlineStr">
        <is>
          <t>Programas nuevos radicados por facultad</t>
        </is>
      </c>
      <c r="C440" t="inlineStr">
        <is>
          <t>Creación, modificación y cierre de programas académicos</t>
        </is>
      </c>
      <c r="D440" t="inlineStr">
        <is>
          <t>Trimestral</t>
        </is>
      </c>
      <c r="E440" t="inlineStr">
        <is>
          <t>Positivo</t>
        </is>
      </c>
      <c r="F440" s="105" t="n">
        <v>45107</v>
      </c>
      <c r="G440" t="inlineStr">
        <is>
          <t>408-2023-06-30</t>
        </is>
      </c>
      <c r="H440" t="inlineStr">
        <is>
          <t>Facultad sociedad cultura y creatividad</t>
        </is>
      </c>
      <c r="I440" t="n">
        <v>100</v>
      </c>
      <c r="J440" t="n">
        <v>0</v>
      </c>
      <c r="BR440" t="n">
        <v>0</v>
      </c>
      <c r="BS440" t="n">
        <v>0</v>
      </c>
    </row>
    <row r="441">
      <c r="A441" t="n">
        <v>408</v>
      </c>
      <c r="B441" t="inlineStr">
        <is>
          <t>Programas nuevos radicados por facultad</t>
        </is>
      </c>
      <c r="C441" t="inlineStr">
        <is>
          <t>Creación, modificación y cierre de programas académicos</t>
        </is>
      </c>
      <c r="D441" t="inlineStr">
        <is>
          <t>Trimestral</t>
        </is>
      </c>
      <c r="E441" t="inlineStr">
        <is>
          <t>Positivo</t>
        </is>
      </c>
      <c r="F441" s="105" t="n">
        <v>45107</v>
      </c>
      <c r="G441" t="inlineStr">
        <is>
          <t>408-2023-06-30</t>
        </is>
      </c>
      <c r="H441" t="inlineStr">
        <is>
          <t>Facultad de ingeniera, diseño e innovación</t>
        </is>
      </c>
      <c r="I441" t="n">
        <v>100</v>
      </c>
      <c r="J441" t="n">
        <v>0</v>
      </c>
      <c r="BR441" t="n">
        <v>0</v>
      </c>
      <c r="BS441" t="n">
        <v>0</v>
      </c>
    </row>
    <row r="442">
      <c r="A442" t="n">
        <v>408</v>
      </c>
      <c r="B442" t="inlineStr">
        <is>
          <t>Programas nuevos radicados por facultad</t>
        </is>
      </c>
      <c r="C442" t="inlineStr">
        <is>
          <t>Creación, modificación y cierre de programas académicos</t>
        </is>
      </c>
      <c r="D442" t="inlineStr">
        <is>
          <t>Trimestral</t>
        </is>
      </c>
      <c r="E442" t="inlineStr">
        <is>
          <t>Positivo</t>
        </is>
      </c>
      <c r="F442" s="105" t="n">
        <v>45107</v>
      </c>
      <c r="G442" t="inlineStr">
        <is>
          <t>408-2023-06-30</t>
        </is>
      </c>
      <c r="H442" t="inlineStr">
        <is>
          <t>Facultad negocios, gestión y sostenibilidad</t>
        </is>
      </c>
      <c r="I442" t="n">
        <v>100</v>
      </c>
      <c r="J442" t="n">
        <v>0</v>
      </c>
      <c r="BR442" t="n">
        <v>0</v>
      </c>
      <c r="BS442" t="n">
        <v>0</v>
      </c>
    </row>
    <row r="443">
      <c r="A443" t="n">
        <v>408</v>
      </c>
      <c r="B443" t="inlineStr">
        <is>
          <t>Programas nuevos radicados por facultad</t>
        </is>
      </c>
      <c r="C443" t="inlineStr">
        <is>
          <t>Creación, modificación y cierre de programas académicos</t>
        </is>
      </c>
      <c r="D443" t="inlineStr">
        <is>
          <t>Trimestral</t>
        </is>
      </c>
      <c r="E443" t="inlineStr">
        <is>
          <t>Positivo</t>
        </is>
      </c>
      <c r="F443" s="105" t="n">
        <v>45107</v>
      </c>
      <c r="G443" t="inlineStr">
        <is>
          <t>408-2023-06-30</t>
        </is>
      </c>
      <c r="H443" t="inlineStr">
        <is>
          <t>Facultad sociedad cultura y creatividad</t>
        </is>
      </c>
      <c r="I443" t="n">
        <v>100</v>
      </c>
      <c r="J443" t="n">
        <v>0</v>
      </c>
      <c r="BR443" t="n">
        <v>0</v>
      </c>
      <c r="BS443" t="n">
        <v>0</v>
      </c>
    </row>
    <row r="444">
      <c r="A444" t="n">
        <v>408</v>
      </c>
      <c r="B444" t="inlineStr">
        <is>
          <t>Programas nuevos radicados por facultad</t>
        </is>
      </c>
      <c r="C444" t="inlineStr">
        <is>
          <t>Creación, modificación y cierre de programas académicos</t>
        </is>
      </c>
      <c r="D444" t="inlineStr">
        <is>
          <t>Trimestral</t>
        </is>
      </c>
      <c r="E444" t="inlineStr">
        <is>
          <t>Positivo</t>
        </is>
      </c>
      <c r="F444" s="105" t="n">
        <v>45107</v>
      </c>
      <c r="G444" t="inlineStr">
        <is>
          <t>408-2023-06-30</t>
        </is>
      </c>
      <c r="H444" t="inlineStr">
        <is>
          <t>Facultad de ingeniera, diseño e innovación</t>
        </is>
      </c>
      <c r="I444" t="n">
        <v>100</v>
      </c>
      <c r="J444" t="n">
        <v>0</v>
      </c>
      <c r="BR444" t="n">
        <v>0</v>
      </c>
      <c r="BS444" t="n">
        <v>0</v>
      </c>
    </row>
    <row r="445">
      <c r="A445" t="n">
        <v>408</v>
      </c>
      <c r="B445" t="inlineStr">
        <is>
          <t>Programas nuevos radicados por facultad</t>
        </is>
      </c>
      <c r="C445" t="inlineStr">
        <is>
          <t>Creación, modificación y cierre de programas académicos</t>
        </is>
      </c>
      <c r="D445" t="inlineStr">
        <is>
          <t>Trimestral</t>
        </is>
      </c>
      <c r="E445" t="inlineStr">
        <is>
          <t>Positivo</t>
        </is>
      </c>
      <c r="F445" s="105" t="n">
        <v>45107</v>
      </c>
      <c r="G445" t="inlineStr">
        <is>
          <t>408-2023-06-30</t>
        </is>
      </c>
      <c r="H445" t="inlineStr">
        <is>
          <t>Facultad negocios, gestión y sostenibilidad</t>
        </is>
      </c>
      <c r="I445" t="n">
        <v>100</v>
      </c>
      <c r="J445" t="n">
        <v>0</v>
      </c>
      <c r="BR445" t="n">
        <v>0</v>
      </c>
      <c r="BS445" t="n">
        <v>0</v>
      </c>
    </row>
    <row r="446">
      <c r="A446" t="n">
        <v>408</v>
      </c>
      <c r="B446" t="inlineStr">
        <is>
          <t>Programas nuevos radicados por facultad</t>
        </is>
      </c>
      <c r="C446" t="inlineStr">
        <is>
          <t>Creación, modificación y cierre de programas académicos</t>
        </is>
      </c>
      <c r="D446" t="inlineStr">
        <is>
          <t>Trimestral</t>
        </is>
      </c>
      <c r="E446" t="inlineStr">
        <is>
          <t>Positivo</t>
        </is>
      </c>
      <c r="F446" s="105" t="n">
        <v>45107</v>
      </c>
      <c r="G446" t="inlineStr">
        <is>
          <t>408-2023-06-30</t>
        </is>
      </c>
      <c r="H446" t="inlineStr">
        <is>
          <t>Facultad sociedad cultura y creatividad</t>
        </is>
      </c>
      <c r="I446" t="n">
        <v>100</v>
      </c>
      <c r="J446" t="n">
        <v>0</v>
      </c>
      <c r="BR446" t="n">
        <v>0</v>
      </c>
      <c r="BS446" t="n">
        <v>0</v>
      </c>
    </row>
    <row r="447">
      <c r="A447" t="n">
        <v>408</v>
      </c>
      <c r="B447" t="inlineStr">
        <is>
          <t>Programas nuevos radicados por facultad</t>
        </is>
      </c>
      <c r="C447" t="inlineStr">
        <is>
          <t>Creación, modificación y cierre de programas académicos</t>
        </is>
      </c>
      <c r="D447" t="inlineStr">
        <is>
          <t>Trimestral</t>
        </is>
      </c>
      <c r="E447" t="inlineStr">
        <is>
          <t>Positivo</t>
        </is>
      </c>
      <c r="F447" s="105" t="n">
        <v>45107</v>
      </c>
      <c r="G447" t="inlineStr">
        <is>
          <t>408-2023-06-30</t>
        </is>
      </c>
      <c r="H447" t="inlineStr">
        <is>
          <t>Facultad de ingeniera, diseño e innovación</t>
        </is>
      </c>
      <c r="I447" t="n">
        <v>100</v>
      </c>
      <c r="J447" t="n">
        <v>0</v>
      </c>
      <c r="BR447" t="n">
        <v>0</v>
      </c>
      <c r="BS447" t="n">
        <v>0</v>
      </c>
    </row>
    <row r="448">
      <c r="A448" t="n">
        <v>408</v>
      </c>
      <c r="B448" t="inlineStr">
        <is>
          <t>Programas nuevos radicados por facultad</t>
        </is>
      </c>
      <c r="C448" t="inlineStr">
        <is>
          <t>Creación, modificación y cierre de programas académicos</t>
        </is>
      </c>
      <c r="D448" t="inlineStr">
        <is>
          <t>Trimestral</t>
        </is>
      </c>
      <c r="E448" t="inlineStr">
        <is>
          <t>Positivo</t>
        </is>
      </c>
      <c r="F448" s="105" t="n">
        <v>45107</v>
      </c>
      <c r="G448" t="inlineStr">
        <is>
          <t>408-2023-06-30</t>
        </is>
      </c>
      <c r="H448" t="inlineStr">
        <is>
          <t>Facultad negocios, gestión y sostenibilidad</t>
        </is>
      </c>
      <c r="I448" t="n">
        <v>100</v>
      </c>
      <c r="J448" t="n">
        <v>0</v>
      </c>
      <c r="BR448" t="n">
        <v>0</v>
      </c>
      <c r="BS448" t="n">
        <v>0</v>
      </c>
    </row>
    <row r="449">
      <c r="A449" t="n">
        <v>408</v>
      </c>
      <c r="B449" t="inlineStr">
        <is>
          <t>Programas nuevos radicados por facultad</t>
        </is>
      </c>
      <c r="C449" t="inlineStr">
        <is>
          <t>Creación, modificación y cierre de programas académicos</t>
        </is>
      </c>
      <c r="D449" t="inlineStr">
        <is>
          <t>Trimestral</t>
        </is>
      </c>
      <c r="E449" t="inlineStr">
        <is>
          <t>Positivo</t>
        </is>
      </c>
      <c r="F449" s="105" t="n">
        <v>45107</v>
      </c>
      <c r="G449" t="inlineStr">
        <is>
          <t>408-2023-06-30</t>
        </is>
      </c>
      <c r="H449" t="inlineStr">
        <is>
          <t>Facultad sociedad cultura y creatividad</t>
        </is>
      </c>
      <c r="I449" t="n">
        <v>100</v>
      </c>
      <c r="J449" t="n">
        <v>0</v>
      </c>
      <c r="BR449" t="n">
        <v>0</v>
      </c>
      <c r="BS449" t="n">
        <v>0</v>
      </c>
    </row>
    <row r="450">
      <c r="A450" t="n">
        <v>408</v>
      </c>
      <c r="B450" t="inlineStr">
        <is>
          <t>Programas nuevos radicados por facultad</t>
        </is>
      </c>
      <c r="C450" t="inlineStr">
        <is>
          <t>Creación, modificación y cierre de programas académicos</t>
        </is>
      </c>
      <c r="D450" t="inlineStr">
        <is>
          <t>Trimestral</t>
        </is>
      </c>
      <c r="E450" t="inlineStr">
        <is>
          <t>Positivo</t>
        </is>
      </c>
      <c r="F450" s="105" t="n">
        <v>45107</v>
      </c>
      <c r="G450" t="inlineStr">
        <is>
          <t>408-2023-06-30</t>
        </is>
      </c>
      <c r="H450" t="inlineStr">
        <is>
          <t>Facultad de ingeniera, diseño e innovación</t>
        </is>
      </c>
      <c r="I450" t="n">
        <v>100</v>
      </c>
      <c r="J450" t="n">
        <v>0</v>
      </c>
      <c r="BR450" t="n">
        <v>0</v>
      </c>
      <c r="BS450" t="n">
        <v>0</v>
      </c>
    </row>
    <row r="451">
      <c r="A451" t="n">
        <v>408</v>
      </c>
      <c r="B451" t="inlineStr">
        <is>
          <t>Programas nuevos radicados por facultad</t>
        </is>
      </c>
      <c r="C451" t="inlineStr">
        <is>
          <t>Creación, modificación y cierre de programas académicos</t>
        </is>
      </c>
      <c r="D451" t="inlineStr">
        <is>
          <t>Trimestral</t>
        </is>
      </c>
      <c r="E451" t="inlineStr">
        <is>
          <t>Positivo</t>
        </is>
      </c>
      <c r="F451" s="105" t="n">
        <v>45107</v>
      </c>
      <c r="G451" t="inlineStr">
        <is>
          <t>408-2023-06-30</t>
        </is>
      </c>
      <c r="H451" t="inlineStr">
        <is>
          <t>Facultad negocios, gestión y sostenibilidad</t>
        </is>
      </c>
      <c r="I451" t="n">
        <v>100</v>
      </c>
      <c r="J451" t="n">
        <v>0</v>
      </c>
      <c r="BR451" t="n">
        <v>0</v>
      </c>
      <c r="BS451" t="n">
        <v>0</v>
      </c>
    </row>
    <row r="452">
      <c r="A452" t="n">
        <v>408</v>
      </c>
      <c r="B452" t="inlineStr">
        <is>
          <t>Programas nuevos radicados por facultad</t>
        </is>
      </c>
      <c r="C452" t="inlineStr">
        <is>
          <t>Creación, modificación y cierre de programas académicos</t>
        </is>
      </c>
      <c r="D452" t="inlineStr">
        <is>
          <t>Trimestral</t>
        </is>
      </c>
      <c r="E452" t="inlineStr">
        <is>
          <t>Positivo</t>
        </is>
      </c>
      <c r="F452" s="105" t="n">
        <v>45107</v>
      </c>
      <c r="G452" t="inlineStr">
        <is>
          <t>408-2023-06-30</t>
        </is>
      </c>
      <c r="H452" t="inlineStr">
        <is>
          <t>Facultad sociedad cultura y creatividad</t>
        </is>
      </c>
      <c r="I452" t="n">
        <v>100</v>
      </c>
      <c r="J452" t="n">
        <v>0</v>
      </c>
      <c r="BR452" t="n">
        <v>0</v>
      </c>
      <c r="BS452" t="n">
        <v>0</v>
      </c>
    </row>
    <row r="453">
      <c r="A453" t="n">
        <v>408</v>
      </c>
      <c r="B453" t="inlineStr">
        <is>
          <t>Programas nuevos radicados por facultad</t>
        </is>
      </c>
      <c r="C453" t="inlineStr">
        <is>
          <t>Creación, modificación y cierre de programas académicos</t>
        </is>
      </c>
      <c r="D453" t="inlineStr">
        <is>
          <t>Trimestral</t>
        </is>
      </c>
      <c r="E453" t="inlineStr">
        <is>
          <t>Positivo</t>
        </is>
      </c>
      <c r="F453" s="105" t="n">
        <v>45107</v>
      </c>
      <c r="G453" t="inlineStr">
        <is>
          <t>408-2023-06-30</t>
        </is>
      </c>
      <c r="H453" t="inlineStr">
        <is>
          <t>Facultad de ingeniera, diseño e innovación</t>
        </is>
      </c>
      <c r="I453" t="n">
        <v>100</v>
      </c>
      <c r="J453" t="n">
        <v>0</v>
      </c>
      <c r="BR453" t="n">
        <v>0</v>
      </c>
      <c r="BS453" t="n">
        <v>0</v>
      </c>
    </row>
    <row r="454">
      <c r="A454" t="n">
        <v>408</v>
      </c>
      <c r="B454" t="inlineStr">
        <is>
          <t>Programas nuevos radicados por facultad</t>
        </is>
      </c>
      <c r="C454" t="inlineStr">
        <is>
          <t>Creación, modificación y cierre de programas académicos</t>
        </is>
      </c>
      <c r="D454" t="inlineStr">
        <is>
          <t>Trimestral</t>
        </is>
      </c>
      <c r="E454" t="inlineStr">
        <is>
          <t>Positivo</t>
        </is>
      </c>
      <c r="F454" s="105" t="n">
        <v>45107</v>
      </c>
      <c r="G454" t="inlineStr">
        <is>
          <t>408-2023-06-30</t>
        </is>
      </c>
      <c r="H454" t="inlineStr">
        <is>
          <t>Facultad negocios, gestión y sostenibilidad</t>
        </is>
      </c>
      <c r="I454" t="n">
        <v>100</v>
      </c>
      <c r="J454" t="n">
        <v>0</v>
      </c>
      <c r="BR454" t="n">
        <v>0</v>
      </c>
      <c r="BS454" t="n">
        <v>0</v>
      </c>
    </row>
    <row r="455">
      <c r="A455" t="n">
        <v>408</v>
      </c>
      <c r="B455" t="inlineStr">
        <is>
          <t>Programas nuevos radicados por facultad</t>
        </is>
      </c>
      <c r="C455" t="inlineStr">
        <is>
          <t>Creación, modificación y cierre de programas académicos</t>
        </is>
      </c>
      <c r="D455" t="inlineStr">
        <is>
          <t>Trimestral</t>
        </is>
      </c>
      <c r="E455" t="inlineStr">
        <is>
          <t>Positivo</t>
        </is>
      </c>
      <c r="F455" s="105" t="n">
        <v>45107</v>
      </c>
      <c r="G455" t="inlineStr">
        <is>
          <t>408-2023-06-30</t>
        </is>
      </c>
      <c r="H455" t="inlineStr">
        <is>
          <t>Facultad sociedad cultura y creatividad</t>
        </is>
      </c>
      <c r="I455" t="n">
        <v>100</v>
      </c>
      <c r="J455" t="n">
        <v>0</v>
      </c>
      <c r="BR455" t="n">
        <v>0</v>
      </c>
      <c r="BS455" t="n">
        <v>0</v>
      </c>
    </row>
    <row r="456">
      <c r="A456" t="n">
        <v>408</v>
      </c>
      <c r="B456" t="inlineStr">
        <is>
          <t>Programas nuevos radicados por facultad</t>
        </is>
      </c>
      <c r="C456" t="inlineStr">
        <is>
          <t>Creación, modificación y cierre de programas académicos</t>
        </is>
      </c>
      <c r="D456" t="inlineStr">
        <is>
          <t>Trimestral</t>
        </is>
      </c>
      <c r="E456" t="inlineStr">
        <is>
          <t>Positivo</t>
        </is>
      </c>
      <c r="F456" s="105" t="n">
        <v>45107</v>
      </c>
      <c r="G456" t="inlineStr">
        <is>
          <t>408-2023-06-30</t>
        </is>
      </c>
      <c r="H456" t="inlineStr">
        <is>
          <t>Facultad de ingeniera, diseño e innovación</t>
        </is>
      </c>
      <c r="I456" t="n">
        <v>100</v>
      </c>
      <c r="J456" t="n">
        <v>0</v>
      </c>
      <c r="BR456" t="n">
        <v>0</v>
      </c>
      <c r="BS456" t="n">
        <v>0</v>
      </c>
    </row>
    <row r="457">
      <c r="A457" t="n">
        <v>408</v>
      </c>
      <c r="B457" t="inlineStr">
        <is>
          <t>Programas nuevos radicados por facultad</t>
        </is>
      </c>
      <c r="C457" t="inlineStr">
        <is>
          <t>Creación, modificación y cierre de programas académicos</t>
        </is>
      </c>
      <c r="D457" t="inlineStr">
        <is>
          <t>Trimestral</t>
        </is>
      </c>
      <c r="E457" t="inlineStr">
        <is>
          <t>Positivo</t>
        </is>
      </c>
      <c r="F457" s="105" t="n">
        <v>45107</v>
      </c>
      <c r="G457" t="inlineStr">
        <is>
          <t>408-2023-06-30</t>
        </is>
      </c>
      <c r="H457" t="inlineStr">
        <is>
          <t>Facultad negocios, gestión y sostenibilidad</t>
        </is>
      </c>
      <c r="I457" t="n">
        <v>100</v>
      </c>
      <c r="J457" t="n">
        <v>0</v>
      </c>
      <c r="BR457" t="n">
        <v>0</v>
      </c>
      <c r="BS457" t="n">
        <v>0</v>
      </c>
    </row>
    <row r="458">
      <c r="A458" t="n">
        <v>408</v>
      </c>
      <c r="B458" t="inlineStr">
        <is>
          <t>Programas nuevos radicados por facultad</t>
        </is>
      </c>
      <c r="C458" t="inlineStr">
        <is>
          <t>Creación, modificación y cierre de programas académicos</t>
        </is>
      </c>
      <c r="D458" t="inlineStr">
        <is>
          <t>Trimestral</t>
        </is>
      </c>
      <c r="E458" t="inlineStr">
        <is>
          <t>Positivo</t>
        </is>
      </c>
      <c r="F458" s="105" t="n">
        <v>45107</v>
      </c>
      <c r="G458" t="inlineStr">
        <is>
          <t>408-2023-06-30</t>
        </is>
      </c>
      <c r="H458" t="inlineStr">
        <is>
          <t>Facultad sociedad cultura y creatividad</t>
        </is>
      </c>
      <c r="I458" t="n">
        <v>100</v>
      </c>
      <c r="J458" t="n">
        <v>0</v>
      </c>
      <c r="BR458" t="n">
        <v>0</v>
      </c>
      <c r="BS458" t="n">
        <v>0</v>
      </c>
    </row>
    <row r="459">
      <c r="A459" t="n">
        <v>408</v>
      </c>
      <c r="B459" t="inlineStr">
        <is>
          <t>Programas nuevos radicados por facultad</t>
        </is>
      </c>
      <c r="C459" t="inlineStr">
        <is>
          <t>Creación, modificación y cierre de programas académicos</t>
        </is>
      </c>
      <c r="D459" t="inlineStr">
        <is>
          <t>Trimestral</t>
        </is>
      </c>
      <c r="E459" t="inlineStr">
        <is>
          <t>Positivo</t>
        </is>
      </c>
      <c r="F459" s="105" t="n">
        <v>45107</v>
      </c>
      <c r="G459" t="inlineStr">
        <is>
          <t>408-2023-06-30</t>
        </is>
      </c>
      <c r="H459" t="inlineStr">
        <is>
          <t>Facultad de ingeniera, diseño e innovación</t>
        </is>
      </c>
      <c r="I459" t="n">
        <v>100</v>
      </c>
      <c r="J459" t="n">
        <v>0</v>
      </c>
      <c r="BR459" t="n">
        <v>0</v>
      </c>
      <c r="BS459" t="n">
        <v>0</v>
      </c>
    </row>
    <row r="460">
      <c r="A460" t="n">
        <v>408</v>
      </c>
      <c r="B460" t="inlineStr">
        <is>
          <t>Programas nuevos radicados por facultad</t>
        </is>
      </c>
      <c r="C460" t="inlineStr">
        <is>
          <t>Creación, modificación y cierre de programas académicos</t>
        </is>
      </c>
      <c r="D460" t="inlineStr">
        <is>
          <t>Trimestral</t>
        </is>
      </c>
      <c r="E460" t="inlineStr">
        <is>
          <t>Positivo</t>
        </is>
      </c>
      <c r="F460" s="105" t="n">
        <v>45107</v>
      </c>
      <c r="G460" t="inlineStr">
        <is>
          <t>408-2023-06-30</t>
        </is>
      </c>
      <c r="H460" t="inlineStr">
        <is>
          <t>Facultad negocios, gestión y sostenibilidad</t>
        </is>
      </c>
      <c r="I460" t="n">
        <v>100</v>
      </c>
      <c r="J460" t="n">
        <v>0</v>
      </c>
      <c r="BR460" t="n">
        <v>0</v>
      </c>
      <c r="BS460" t="n">
        <v>0</v>
      </c>
    </row>
    <row r="461">
      <c r="A461" t="n">
        <v>408</v>
      </c>
      <c r="B461" t="inlineStr">
        <is>
          <t>Programas nuevos radicados por facultad</t>
        </is>
      </c>
      <c r="C461" t="inlineStr">
        <is>
          <t>Creación, modificación y cierre de programas académicos</t>
        </is>
      </c>
      <c r="D461" t="inlineStr">
        <is>
          <t>Trimestral</t>
        </is>
      </c>
      <c r="E461" t="inlineStr">
        <is>
          <t>Positivo</t>
        </is>
      </c>
      <c r="F461" s="105" t="n">
        <v>45107</v>
      </c>
      <c r="G461" t="inlineStr">
        <is>
          <t>408-2023-06-30</t>
        </is>
      </c>
      <c r="H461" t="inlineStr">
        <is>
          <t>Facultad sociedad cultura y creatividad</t>
        </is>
      </c>
      <c r="I461" t="n">
        <v>100</v>
      </c>
      <c r="J461" t="n">
        <v>0</v>
      </c>
      <c r="BR461" t="n">
        <v>0</v>
      </c>
      <c r="BS461" t="n">
        <v>0</v>
      </c>
    </row>
    <row r="462">
      <c r="A462" t="n">
        <v>408</v>
      </c>
      <c r="B462" t="inlineStr">
        <is>
          <t>Programas nuevos radicados por facultad</t>
        </is>
      </c>
      <c r="C462" t="inlineStr">
        <is>
          <t>Creación, modificación y cierre de programas académicos</t>
        </is>
      </c>
      <c r="D462" t="inlineStr">
        <is>
          <t>Trimestral</t>
        </is>
      </c>
      <c r="E462" t="inlineStr">
        <is>
          <t>Positivo</t>
        </is>
      </c>
      <c r="F462" s="105" t="n">
        <v>45107</v>
      </c>
      <c r="G462" t="inlineStr">
        <is>
          <t>408-2023-06-30</t>
        </is>
      </c>
      <c r="H462" t="inlineStr">
        <is>
          <t>Facultad de ingeniera, diseño e innovación</t>
        </is>
      </c>
      <c r="I462" t="n">
        <v>100</v>
      </c>
      <c r="J462" t="n">
        <v>0</v>
      </c>
      <c r="BR462" t="n">
        <v>0</v>
      </c>
      <c r="BS462" t="n">
        <v>0</v>
      </c>
    </row>
    <row r="463">
      <c r="A463" t="n">
        <v>408</v>
      </c>
      <c r="B463" t="inlineStr">
        <is>
          <t>Programas nuevos radicados por facultad</t>
        </is>
      </c>
      <c r="C463" t="inlineStr">
        <is>
          <t>Creación, modificación y cierre de programas académicos</t>
        </is>
      </c>
      <c r="D463" t="inlineStr">
        <is>
          <t>Trimestral</t>
        </is>
      </c>
      <c r="E463" t="inlineStr">
        <is>
          <t>Positivo</t>
        </is>
      </c>
      <c r="F463" s="105" t="n">
        <v>45107</v>
      </c>
      <c r="G463" t="inlineStr">
        <is>
          <t>408-2023-06-30</t>
        </is>
      </c>
      <c r="H463" t="inlineStr">
        <is>
          <t>Facultad negocios, gestión y sostenibilidad</t>
        </is>
      </c>
      <c r="I463" t="n">
        <v>100</v>
      </c>
      <c r="J463" t="n">
        <v>0</v>
      </c>
      <c r="BR463" t="n">
        <v>0</v>
      </c>
      <c r="BS463" t="n">
        <v>0</v>
      </c>
    </row>
    <row r="464">
      <c r="A464" t="n">
        <v>408</v>
      </c>
      <c r="B464" t="inlineStr">
        <is>
          <t>Programas nuevos radicados por facultad</t>
        </is>
      </c>
      <c r="C464" t="inlineStr">
        <is>
          <t>Creación, modificación y cierre de programas académicos</t>
        </is>
      </c>
      <c r="D464" t="inlineStr">
        <is>
          <t>Trimestral</t>
        </is>
      </c>
      <c r="E464" t="inlineStr">
        <is>
          <t>Positivo</t>
        </is>
      </c>
      <c r="F464" s="105" t="n">
        <v>45107</v>
      </c>
      <c r="G464" t="inlineStr">
        <is>
          <t>408-2023-06-30</t>
        </is>
      </c>
      <c r="H464" t="inlineStr">
        <is>
          <t>Facultad sociedad cultura y creatividad</t>
        </is>
      </c>
      <c r="I464" t="n">
        <v>100</v>
      </c>
      <c r="J464" t="n">
        <v>0</v>
      </c>
      <c r="BR464" t="n">
        <v>0</v>
      </c>
      <c r="BS464" t="n">
        <v>0</v>
      </c>
    </row>
    <row r="465">
      <c r="A465" t="n">
        <v>408</v>
      </c>
      <c r="B465" t="inlineStr">
        <is>
          <t>Programas nuevos radicados por facultad</t>
        </is>
      </c>
      <c r="C465" t="inlineStr">
        <is>
          <t>Creación, modificación y cierre de programas académicos</t>
        </is>
      </c>
      <c r="D465" t="inlineStr">
        <is>
          <t>Trimestral</t>
        </is>
      </c>
      <c r="E465" t="inlineStr">
        <is>
          <t>Positivo</t>
        </is>
      </c>
      <c r="F465" s="105" t="n">
        <v>45107</v>
      </c>
      <c r="G465" t="inlineStr">
        <is>
          <t>408-2023-06-30</t>
        </is>
      </c>
      <c r="H465" t="inlineStr">
        <is>
          <t>Facultad de ingeniera, diseño e innovación</t>
        </is>
      </c>
      <c r="I465" t="n">
        <v>100</v>
      </c>
      <c r="J465" t="n">
        <v>0</v>
      </c>
      <c r="BR465" t="n">
        <v>0</v>
      </c>
      <c r="BS465" t="n">
        <v>0</v>
      </c>
    </row>
    <row r="466">
      <c r="A466" t="n">
        <v>408</v>
      </c>
      <c r="B466" t="inlineStr">
        <is>
          <t>Programas nuevos radicados por facultad</t>
        </is>
      </c>
      <c r="C466" t="inlineStr">
        <is>
          <t>Creación, modificación y cierre de programas académicos</t>
        </is>
      </c>
      <c r="D466" t="inlineStr">
        <is>
          <t>Trimestral</t>
        </is>
      </c>
      <c r="E466" t="inlineStr">
        <is>
          <t>Positivo</t>
        </is>
      </c>
      <c r="F466" s="105" t="n">
        <v>45107</v>
      </c>
      <c r="G466" t="inlineStr">
        <is>
          <t>408-2023-06-30</t>
        </is>
      </c>
      <c r="H466" t="inlineStr">
        <is>
          <t>Facultad negocios, gestión y sostenibilidad</t>
        </is>
      </c>
      <c r="I466" t="n">
        <v>100</v>
      </c>
      <c r="J466" t="n">
        <v>0</v>
      </c>
      <c r="BR466" t="n">
        <v>0</v>
      </c>
      <c r="BS466" t="n">
        <v>0</v>
      </c>
    </row>
    <row r="467">
      <c r="A467" t="n">
        <v>408</v>
      </c>
      <c r="B467" t="inlineStr">
        <is>
          <t>Programas nuevos radicados por facultad</t>
        </is>
      </c>
      <c r="C467" t="inlineStr">
        <is>
          <t>Creación, modificación y cierre de programas académicos</t>
        </is>
      </c>
      <c r="D467" t="inlineStr">
        <is>
          <t>Trimestral</t>
        </is>
      </c>
      <c r="E467" t="inlineStr">
        <is>
          <t>Positivo</t>
        </is>
      </c>
      <c r="F467" s="105" t="n">
        <v>45107</v>
      </c>
      <c r="G467" t="inlineStr">
        <is>
          <t>408-2023-06-30</t>
        </is>
      </c>
      <c r="H467" t="inlineStr">
        <is>
          <t>Facultad sociedad cultura y creatividad</t>
        </is>
      </c>
      <c r="I467" t="n">
        <v>100</v>
      </c>
      <c r="J467" t="n">
        <v>0</v>
      </c>
      <c r="BR467" t="n">
        <v>0</v>
      </c>
      <c r="BS467" t="n">
        <v>0</v>
      </c>
    </row>
    <row r="468">
      <c r="A468" t="n">
        <v>408</v>
      </c>
      <c r="B468" t="inlineStr">
        <is>
          <t>Programas nuevos radicados por facultad</t>
        </is>
      </c>
      <c r="C468" t="inlineStr">
        <is>
          <t>Creación, modificación y cierre de programas académicos</t>
        </is>
      </c>
      <c r="D468" t="inlineStr">
        <is>
          <t>Trimestral</t>
        </is>
      </c>
      <c r="E468" t="inlineStr">
        <is>
          <t>Positivo</t>
        </is>
      </c>
      <c r="F468" s="105" t="n">
        <v>45107</v>
      </c>
      <c r="G468" t="inlineStr">
        <is>
          <t>408-2023-06-30</t>
        </is>
      </c>
      <c r="H468" t="inlineStr">
        <is>
          <t>Facultad de ingeniera, diseño e innovación</t>
        </is>
      </c>
      <c r="I468" t="n">
        <v>100</v>
      </c>
      <c r="J468" t="n">
        <v>0</v>
      </c>
      <c r="BR468" t="n">
        <v>0</v>
      </c>
      <c r="BS468" t="n">
        <v>0</v>
      </c>
    </row>
    <row r="469">
      <c r="A469" t="n">
        <v>408</v>
      </c>
      <c r="B469" t="inlineStr">
        <is>
          <t>Programas nuevos radicados por facultad</t>
        </is>
      </c>
      <c r="C469" t="inlineStr">
        <is>
          <t>Creación, modificación y cierre de programas académicos</t>
        </is>
      </c>
      <c r="D469" t="inlineStr">
        <is>
          <t>Trimestral</t>
        </is>
      </c>
      <c r="E469" t="inlineStr">
        <is>
          <t>Positivo</t>
        </is>
      </c>
      <c r="F469" s="105" t="n">
        <v>45107</v>
      </c>
      <c r="G469" t="inlineStr">
        <is>
          <t>408-2023-06-30</t>
        </is>
      </c>
      <c r="H469" t="inlineStr">
        <is>
          <t>Facultad negocios, gestión y sostenibilidad</t>
        </is>
      </c>
      <c r="I469" t="n">
        <v>100</v>
      </c>
      <c r="J469" t="n">
        <v>0</v>
      </c>
      <c r="BR469" t="n">
        <v>0</v>
      </c>
      <c r="BS469" t="n">
        <v>0</v>
      </c>
    </row>
    <row r="470">
      <c r="A470" t="n">
        <v>408</v>
      </c>
      <c r="B470" t="inlineStr">
        <is>
          <t>Programas nuevos radicados por facultad</t>
        </is>
      </c>
      <c r="C470" t="inlineStr">
        <is>
          <t>Creación, modificación y cierre de programas académicos</t>
        </is>
      </c>
      <c r="D470" t="inlineStr">
        <is>
          <t>Trimestral</t>
        </is>
      </c>
      <c r="E470" t="inlineStr">
        <is>
          <t>Positivo</t>
        </is>
      </c>
      <c r="F470" s="105" t="n">
        <v>45107</v>
      </c>
      <c r="G470" t="inlineStr">
        <is>
          <t>408-2023-06-30</t>
        </is>
      </c>
      <c r="H470" t="inlineStr">
        <is>
          <t>Facultad sociedad cultura y creatividad</t>
        </is>
      </c>
      <c r="I470" t="n">
        <v>100</v>
      </c>
      <c r="J470" t="n">
        <v>0</v>
      </c>
      <c r="BR470" t="n">
        <v>0</v>
      </c>
      <c r="BS470" t="n">
        <v>0</v>
      </c>
    </row>
    <row r="471">
      <c r="A471" t="n">
        <v>408</v>
      </c>
      <c r="B471" t="inlineStr">
        <is>
          <t>Programas nuevos radicados por facultad</t>
        </is>
      </c>
      <c r="C471" t="inlineStr">
        <is>
          <t>Creación, modificación y cierre de programas académicos</t>
        </is>
      </c>
      <c r="D471" t="inlineStr">
        <is>
          <t>Trimestral</t>
        </is>
      </c>
      <c r="E471" t="inlineStr">
        <is>
          <t>Positivo</t>
        </is>
      </c>
      <c r="F471" s="105" t="n">
        <v>45107</v>
      </c>
      <c r="G471" t="inlineStr">
        <is>
          <t>408-2023-06-30</t>
        </is>
      </c>
      <c r="H471" t="inlineStr">
        <is>
          <t>Facultad de ingeniera, diseño e innovación</t>
        </is>
      </c>
      <c r="I471" t="n">
        <v>100</v>
      </c>
      <c r="J471" t="n">
        <v>0</v>
      </c>
      <c r="BR471" t="n">
        <v>0</v>
      </c>
      <c r="BS471" t="n">
        <v>0</v>
      </c>
    </row>
    <row r="472">
      <c r="A472" t="n">
        <v>408</v>
      </c>
      <c r="B472" t="inlineStr">
        <is>
          <t>Programas nuevos radicados por facultad</t>
        </is>
      </c>
      <c r="C472" t="inlineStr">
        <is>
          <t>Creación, modificación y cierre de programas académicos</t>
        </is>
      </c>
      <c r="D472" t="inlineStr">
        <is>
          <t>Trimestral</t>
        </is>
      </c>
      <c r="E472" t="inlineStr">
        <is>
          <t>Positivo</t>
        </is>
      </c>
      <c r="F472" s="105" t="n">
        <v>45107</v>
      </c>
      <c r="G472" t="inlineStr">
        <is>
          <t>408-2023-06-30</t>
        </is>
      </c>
      <c r="H472" t="inlineStr">
        <is>
          <t>Facultad negocios, gestión y sostenibilidad</t>
        </is>
      </c>
      <c r="I472" t="n">
        <v>100</v>
      </c>
      <c r="J472" t="n">
        <v>0</v>
      </c>
      <c r="BR472" t="n">
        <v>0</v>
      </c>
      <c r="BS472" t="n">
        <v>0</v>
      </c>
    </row>
    <row r="473">
      <c r="A473" t="n">
        <v>408</v>
      </c>
      <c r="B473" t="inlineStr">
        <is>
          <t>Programas nuevos radicados por facultad</t>
        </is>
      </c>
      <c r="C473" t="inlineStr">
        <is>
          <t>Creación, modificación y cierre de programas académicos</t>
        </is>
      </c>
      <c r="D473" t="inlineStr">
        <is>
          <t>Trimestral</t>
        </is>
      </c>
      <c r="E473" t="inlineStr">
        <is>
          <t>Positivo</t>
        </is>
      </c>
      <c r="F473" s="105" t="n">
        <v>45107</v>
      </c>
      <c r="G473" t="inlineStr">
        <is>
          <t>408-2023-06-30</t>
        </is>
      </c>
      <c r="H473" t="inlineStr">
        <is>
          <t>Facultad sociedad cultura y creatividad</t>
        </is>
      </c>
      <c r="I473" t="n">
        <v>100</v>
      </c>
      <c r="J473" t="n">
        <v>0</v>
      </c>
      <c r="BR473" t="n">
        <v>0</v>
      </c>
      <c r="BS473" t="n">
        <v>0</v>
      </c>
    </row>
    <row r="474">
      <c r="A474" t="n">
        <v>408</v>
      </c>
      <c r="B474" t="inlineStr">
        <is>
          <t>Programas nuevos radicados por facultad</t>
        </is>
      </c>
      <c r="C474" t="inlineStr">
        <is>
          <t>Creación, modificación y cierre de programas académicos</t>
        </is>
      </c>
      <c r="D474" t="inlineStr">
        <is>
          <t>Trimestral</t>
        </is>
      </c>
      <c r="E474" t="inlineStr">
        <is>
          <t>Positivo</t>
        </is>
      </c>
      <c r="F474" s="105" t="n">
        <v>45107</v>
      </c>
      <c r="G474" t="inlineStr">
        <is>
          <t>408-2023-06-30</t>
        </is>
      </c>
      <c r="H474" t="inlineStr">
        <is>
          <t>Facultad de ingeniera, diseño e innovación</t>
        </is>
      </c>
      <c r="I474" t="n">
        <v>100</v>
      </c>
      <c r="J474" t="n">
        <v>0</v>
      </c>
      <c r="BR474" t="n">
        <v>0</v>
      </c>
      <c r="BS474" t="n">
        <v>0</v>
      </c>
    </row>
    <row r="475">
      <c r="A475" t="n">
        <v>408</v>
      </c>
      <c r="B475" t="inlineStr">
        <is>
          <t>Programas nuevos radicados por facultad</t>
        </is>
      </c>
      <c r="C475" t="inlineStr">
        <is>
          <t>Creación, modificación y cierre de programas académicos</t>
        </is>
      </c>
      <c r="D475" t="inlineStr">
        <is>
          <t>Trimestral</t>
        </is>
      </c>
      <c r="E475" t="inlineStr">
        <is>
          <t>Positivo</t>
        </is>
      </c>
      <c r="F475" s="105" t="n">
        <v>45107</v>
      </c>
      <c r="G475" t="inlineStr">
        <is>
          <t>408-2023-06-30</t>
        </is>
      </c>
      <c r="H475" t="inlineStr">
        <is>
          <t>Facultad negocios, gestión y sostenibilidad</t>
        </is>
      </c>
      <c r="I475" t="n">
        <v>100</v>
      </c>
      <c r="J475" t="n">
        <v>0</v>
      </c>
      <c r="BR475" t="n">
        <v>0</v>
      </c>
      <c r="BS475" t="n">
        <v>0</v>
      </c>
    </row>
    <row r="476">
      <c r="A476" t="n">
        <v>408</v>
      </c>
      <c r="B476" t="inlineStr">
        <is>
          <t>Programas nuevos radicados por facultad</t>
        </is>
      </c>
      <c r="C476" t="inlineStr">
        <is>
          <t>Creación, modificación y cierre de programas académicos</t>
        </is>
      </c>
      <c r="D476" t="inlineStr">
        <is>
          <t>Trimestral</t>
        </is>
      </c>
      <c r="E476" t="inlineStr">
        <is>
          <t>Positivo</t>
        </is>
      </c>
      <c r="F476" s="105" t="n">
        <v>45107</v>
      </c>
      <c r="G476" t="inlineStr">
        <is>
          <t>408-2023-06-30</t>
        </is>
      </c>
      <c r="H476" t="inlineStr">
        <is>
          <t>Facultad sociedad cultura y creatividad</t>
        </is>
      </c>
      <c r="I476" t="n">
        <v>100</v>
      </c>
      <c r="J476" t="n">
        <v>0</v>
      </c>
      <c r="BR476" t="n">
        <v>0</v>
      </c>
      <c r="BS476" t="n">
        <v>0</v>
      </c>
    </row>
    <row r="477">
      <c r="A477" t="n">
        <v>408</v>
      </c>
      <c r="B477" t="inlineStr">
        <is>
          <t>Programas nuevos radicados por facultad</t>
        </is>
      </c>
      <c r="C477" t="inlineStr">
        <is>
          <t>Creación, modificación y cierre de programas académicos</t>
        </is>
      </c>
      <c r="D477" t="inlineStr">
        <is>
          <t>Trimestral</t>
        </is>
      </c>
      <c r="E477" t="inlineStr">
        <is>
          <t>Positivo</t>
        </is>
      </c>
      <c r="F477" s="105" t="n">
        <v>45107</v>
      </c>
      <c r="G477" t="inlineStr">
        <is>
          <t>408-2023-06-30</t>
        </is>
      </c>
      <c r="H477" t="inlineStr">
        <is>
          <t>Facultad de ingeniera, diseño e innovación</t>
        </is>
      </c>
      <c r="I477" t="n">
        <v>100</v>
      </c>
      <c r="J477" t="n">
        <v>0</v>
      </c>
      <c r="BR477" t="n">
        <v>0</v>
      </c>
      <c r="BS477" t="n">
        <v>0</v>
      </c>
    </row>
    <row r="478">
      <c r="A478" t="n">
        <v>408</v>
      </c>
      <c r="B478" t="inlineStr">
        <is>
          <t>Programas nuevos radicados por facultad</t>
        </is>
      </c>
      <c r="C478" t="inlineStr">
        <is>
          <t>Creación, modificación y cierre de programas académicos</t>
        </is>
      </c>
      <c r="D478" t="inlineStr">
        <is>
          <t>Trimestral</t>
        </is>
      </c>
      <c r="E478" t="inlineStr">
        <is>
          <t>Positivo</t>
        </is>
      </c>
      <c r="F478" s="105" t="n">
        <v>45107</v>
      </c>
      <c r="G478" t="inlineStr">
        <is>
          <t>408-2023-06-30</t>
        </is>
      </c>
      <c r="H478" t="inlineStr">
        <is>
          <t>Facultad negocios, gestión y sostenibilidad</t>
        </is>
      </c>
      <c r="I478" t="n">
        <v>100</v>
      </c>
      <c r="J478" t="n">
        <v>0</v>
      </c>
      <c r="BR478" t="n">
        <v>0</v>
      </c>
      <c r="BS478" t="n">
        <v>0</v>
      </c>
    </row>
    <row r="479">
      <c r="A479" t="n">
        <v>408</v>
      </c>
      <c r="B479" t="inlineStr">
        <is>
          <t>Programas nuevos radicados por facultad</t>
        </is>
      </c>
      <c r="C479" t="inlineStr">
        <is>
          <t>Creación, modificación y cierre de programas académicos</t>
        </is>
      </c>
      <c r="D479" t="inlineStr">
        <is>
          <t>Trimestral</t>
        </is>
      </c>
      <c r="E479" t="inlineStr">
        <is>
          <t>Positivo</t>
        </is>
      </c>
      <c r="F479" s="105" t="n">
        <v>45107</v>
      </c>
      <c r="G479" t="inlineStr">
        <is>
          <t>408-2023-06-30</t>
        </is>
      </c>
      <c r="H479" t="inlineStr">
        <is>
          <t>Facultad sociedad cultura y creatividad</t>
        </is>
      </c>
      <c r="I479" t="n">
        <v>100</v>
      </c>
      <c r="J479" t="n">
        <v>0</v>
      </c>
      <c r="BR479" t="n">
        <v>0</v>
      </c>
      <c r="BS479" t="n">
        <v>0</v>
      </c>
    </row>
    <row r="480">
      <c r="A480" t="n">
        <v>408</v>
      </c>
      <c r="B480" t="inlineStr">
        <is>
          <t>Programas nuevos radicados por facultad</t>
        </is>
      </c>
      <c r="C480" t="inlineStr">
        <is>
          <t>Creación, modificación y cierre de programas académicos</t>
        </is>
      </c>
      <c r="D480" t="inlineStr">
        <is>
          <t>Trimestral</t>
        </is>
      </c>
      <c r="E480" t="inlineStr">
        <is>
          <t>Positivo</t>
        </is>
      </c>
      <c r="F480" s="105" t="n">
        <v>45107</v>
      </c>
      <c r="G480" t="inlineStr">
        <is>
          <t>408-2023-06-30</t>
        </is>
      </c>
      <c r="H480" t="inlineStr">
        <is>
          <t>Facultad de ingeniera, diseño e innovación</t>
        </is>
      </c>
      <c r="I480" t="n">
        <v>100</v>
      </c>
      <c r="J480" t="n">
        <v>0</v>
      </c>
      <c r="BR480" t="n">
        <v>0</v>
      </c>
      <c r="BS480" t="n">
        <v>0</v>
      </c>
    </row>
    <row r="481">
      <c r="A481" t="n">
        <v>408</v>
      </c>
      <c r="B481" t="inlineStr">
        <is>
          <t>Programas nuevos radicados por facultad</t>
        </is>
      </c>
      <c r="C481" t="inlineStr">
        <is>
          <t>Creación, modificación y cierre de programas académicos</t>
        </is>
      </c>
      <c r="D481" t="inlineStr">
        <is>
          <t>Trimestral</t>
        </is>
      </c>
      <c r="E481" t="inlineStr">
        <is>
          <t>Positivo</t>
        </is>
      </c>
      <c r="F481" s="105" t="n">
        <v>45107</v>
      </c>
      <c r="G481" t="inlineStr">
        <is>
          <t>408-2023-06-30</t>
        </is>
      </c>
      <c r="H481" t="inlineStr">
        <is>
          <t>Facultad negocios, gestión y sostenibilidad</t>
        </is>
      </c>
      <c r="I481" t="n">
        <v>100</v>
      </c>
      <c r="J481" t="n">
        <v>0</v>
      </c>
      <c r="BR481" t="n">
        <v>0</v>
      </c>
      <c r="BS481" t="n">
        <v>0</v>
      </c>
    </row>
    <row r="482">
      <c r="A482" t="n">
        <v>408</v>
      </c>
      <c r="B482" t="inlineStr">
        <is>
          <t>Programas nuevos radicados por facultad</t>
        </is>
      </c>
      <c r="C482" t="inlineStr">
        <is>
          <t>Creación, modificación y cierre de programas académicos</t>
        </is>
      </c>
      <c r="D482" t="inlineStr">
        <is>
          <t>Trimestral</t>
        </is>
      </c>
      <c r="E482" t="inlineStr">
        <is>
          <t>Positivo</t>
        </is>
      </c>
      <c r="F482" s="105" t="n">
        <v>45107</v>
      </c>
      <c r="G482" t="inlineStr">
        <is>
          <t>408-2023-06-30</t>
        </is>
      </c>
      <c r="H482" t="inlineStr">
        <is>
          <t>Facultad sociedad cultura y creatividad</t>
        </is>
      </c>
      <c r="I482" t="n">
        <v>100</v>
      </c>
      <c r="J482" t="n">
        <v>0</v>
      </c>
      <c r="BR482" t="n">
        <v>0</v>
      </c>
      <c r="BS482" t="n">
        <v>0</v>
      </c>
    </row>
    <row r="483">
      <c r="A483" t="n">
        <v>408</v>
      </c>
      <c r="B483" t="inlineStr">
        <is>
          <t>Programas nuevos radicados por facultad</t>
        </is>
      </c>
      <c r="C483" t="inlineStr">
        <is>
          <t>Creación, modificación y cierre de programas académicos</t>
        </is>
      </c>
      <c r="D483" t="inlineStr">
        <is>
          <t>Trimestral</t>
        </is>
      </c>
      <c r="E483" t="inlineStr">
        <is>
          <t>Positivo</t>
        </is>
      </c>
      <c r="F483" s="105" t="n">
        <v>45107</v>
      </c>
      <c r="G483" t="inlineStr">
        <is>
          <t>408-2023-06-30</t>
        </is>
      </c>
      <c r="H483" t="inlineStr">
        <is>
          <t>Facultad de ingeniera, diseño e innovación</t>
        </is>
      </c>
      <c r="I483" t="n">
        <v>100</v>
      </c>
      <c r="J483" t="n">
        <v>0</v>
      </c>
      <c r="BR483" t="n">
        <v>0</v>
      </c>
      <c r="BS483" t="n">
        <v>0</v>
      </c>
    </row>
    <row r="484">
      <c r="A484" t="n">
        <v>408</v>
      </c>
      <c r="B484" t="inlineStr">
        <is>
          <t>Programas nuevos radicados por facultad</t>
        </is>
      </c>
      <c r="C484" t="inlineStr">
        <is>
          <t>Creación, modificación y cierre de programas académicos</t>
        </is>
      </c>
      <c r="D484" t="inlineStr">
        <is>
          <t>Trimestral</t>
        </is>
      </c>
      <c r="E484" t="inlineStr">
        <is>
          <t>Positivo</t>
        </is>
      </c>
      <c r="F484" s="105" t="n">
        <v>45107</v>
      </c>
      <c r="G484" t="inlineStr">
        <is>
          <t>408-2023-06-30</t>
        </is>
      </c>
      <c r="H484" t="inlineStr">
        <is>
          <t>Facultad negocios, gestión y sostenibilidad</t>
        </is>
      </c>
      <c r="I484" t="n">
        <v>100</v>
      </c>
      <c r="J484" t="n">
        <v>0</v>
      </c>
      <c r="BR484" t="n">
        <v>0</v>
      </c>
      <c r="BS484" t="n">
        <v>0</v>
      </c>
    </row>
    <row r="485">
      <c r="A485" t="n">
        <v>408</v>
      </c>
      <c r="B485" t="inlineStr">
        <is>
          <t>Programas nuevos radicados por facultad</t>
        </is>
      </c>
      <c r="C485" t="inlineStr">
        <is>
          <t>Creación, modificación y cierre de programas académicos</t>
        </is>
      </c>
      <c r="D485" t="inlineStr">
        <is>
          <t>Trimestral</t>
        </is>
      </c>
      <c r="E485" t="inlineStr">
        <is>
          <t>Positivo</t>
        </is>
      </c>
      <c r="F485" s="105" t="n">
        <v>45107</v>
      </c>
      <c r="G485" t="inlineStr">
        <is>
          <t>408-2023-06-30</t>
        </is>
      </c>
      <c r="H485" t="inlineStr">
        <is>
          <t>Facultad sociedad cultura y creatividad</t>
        </is>
      </c>
      <c r="I485" t="n">
        <v>100</v>
      </c>
      <c r="J485" t="n">
        <v>0</v>
      </c>
      <c r="BR485" t="n">
        <v>0</v>
      </c>
      <c r="BS485" t="n">
        <v>0</v>
      </c>
    </row>
    <row r="486">
      <c r="A486" t="n">
        <v>408</v>
      </c>
      <c r="B486" t="inlineStr">
        <is>
          <t>Programas nuevos radicados por facultad</t>
        </is>
      </c>
      <c r="C486" t="inlineStr">
        <is>
          <t>Creación, modificación y cierre de programas académicos</t>
        </is>
      </c>
      <c r="D486" t="inlineStr">
        <is>
          <t>Trimestral</t>
        </is>
      </c>
      <c r="E486" t="inlineStr">
        <is>
          <t>Positivo</t>
        </is>
      </c>
      <c r="F486" s="105" t="n">
        <v>45107</v>
      </c>
      <c r="G486" t="inlineStr">
        <is>
          <t>408-2023-06-30</t>
        </is>
      </c>
      <c r="H486" t="inlineStr">
        <is>
          <t>Facultad de ingeniera, diseño e innovación</t>
        </is>
      </c>
      <c r="I486" t="n">
        <v>100</v>
      </c>
      <c r="J486" t="n">
        <v>0</v>
      </c>
      <c r="BR486" t="n">
        <v>0</v>
      </c>
      <c r="BS486" t="n">
        <v>0</v>
      </c>
    </row>
    <row r="487">
      <c r="A487" t="n">
        <v>408</v>
      </c>
      <c r="B487" t="inlineStr">
        <is>
          <t>Programas nuevos radicados por facultad</t>
        </is>
      </c>
      <c r="C487" t="inlineStr">
        <is>
          <t>Creación, modificación y cierre de programas académicos</t>
        </is>
      </c>
      <c r="D487" t="inlineStr">
        <is>
          <t>Trimestral</t>
        </is>
      </c>
      <c r="E487" t="inlineStr">
        <is>
          <t>Positivo</t>
        </is>
      </c>
      <c r="F487" s="105" t="n">
        <v>45107</v>
      </c>
      <c r="G487" t="inlineStr">
        <is>
          <t>408-2023-06-30</t>
        </is>
      </c>
      <c r="H487" t="inlineStr">
        <is>
          <t>Facultad negocios, gestión y sostenibilidad</t>
        </is>
      </c>
      <c r="I487" t="n">
        <v>100</v>
      </c>
      <c r="J487" t="n">
        <v>0</v>
      </c>
      <c r="BR487" t="n">
        <v>0</v>
      </c>
      <c r="BS487" t="n">
        <v>0</v>
      </c>
    </row>
    <row r="488">
      <c r="A488" t="n">
        <v>408</v>
      </c>
      <c r="B488" t="inlineStr">
        <is>
          <t>Programas nuevos radicados por facultad</t>
        </is>
      </c>
      <c r="C488" t="inlineStr">
        <is>
          <t>Creación, modificación y cierre de programas académicos</t>
        </is>
      </c>
      <c r="D488" t="inlineStr">
        <is>
          <t>Trimestral</t>
        </is>
      </c>
      <c r="E488" t="inlineStr">
        <is>
          <t>Positivo</t>
        </is>
      </c>
      <c r="F488" s="105" t="n">
        <v>45107</v>
      </c>
      <c r="G488" t="inlineStr">
        <is>
          <t>408-2023-06-30</t>
        </is>
      </c>
      <c r="H488" t="inlineStr">
        <is>
          <t>Facultad sociedad cultura y creatividad</t>
        </is>
      </c>
      <c r="I488" t="n">
        <v>100</v>
      </c>
      <c r="J488" t="n">
        <v>0</v>
      </c>
      <c r="BR488" t="n">
        <v>0</v>
      </c>
      <c r="BS488" t="n">
        <v>0</v>
      </c>
    </row>
    <row r="489">
      <c r="A489" t="n">
        <v>408</v>
      </c>
      <c r="B489" t="inlineStr">
        <is>
          <t>Programas nuevos radicados por facultad</t>
        </is>
      </c>
      <c r="C489" t="inlineStr">
        <is>
          <t>Creación, modificación y cierre de programas académicos</t>
        </is>
      </c>
      <c r="D489" t="inlineStr">
        <is>
          <t>Trimestral</t>
        </is>
      </c>
      <c r="E489" t="inlineStr">
        <is>
          <t>Positivo</t>
        </is>
      </c>
      <c r="F489" s="105" t="n">
        <v>45107</v>
      </c>
      <c r="G489" t="inlineStr">
        <is>
          <t>408-2023-06-30</t>
        </is>
      </c>
      <c r="H489" t="inlineStr">
        <is>
          <t>Facultad de ingeniera, diseño e innovación</t>
        </is>
      </c>
      <c r="I489" t="n">
        <v>100</v>
      </c>
      <c r="J489" t="n">
        <v>0</v>
      </c>
      <c r="BR489" t="n">
        <v>0</v>
      </c>
      <c r="BS489" t="n">
        <v>0</v>
      </c>
    </row>
    <row r="490">
      <c r="A490" t="n">
        <v>408</v>
      </c>
      <c r="B490" t="inlineStr">
        <is>
          <t>Programas nuevos radicados por facultad</t>
        </is>
      </c>
      <c r="C490" t="inlineStr">
        <is>
          <t>Creación, modificación y cierre de programas académicos</t>
        </is>
      </c>
      <c r="D490" t="inlineStr">
        <is>
          <t>Trimestral</t>
        </is>
      </c>
      <c r="E490" t="inlineStr">
        <is>
          <t>Positivo</t>
        </is>
      </c>
      <c r="F490" s="105" t="n">
        <v>45107</v>
      </c>
      <c r="G490" t="inlineStr">
        <is>
          <t>408-2023-06-30</t>
        </is>
      </c>
      <c r="H490" t="inlineStr">
        <is>
          <t>Facultad negocios, gestión y sostenibilidad</t>
        </is>
      </c>
      <c r="I490" t="n">
        <v>100</v>
      </c>
      <c r="J490" t="n">
        <v>0</v>
      </c>
      <c r="BR490" t="n">
        <v>0</v>
      </c>
      <c r="BS490" t="n">
        <v>0</v>
      </c>
    </row>
    <row r="491">
      <c r="A491" t="n">
        <v>408</v>
      </c>
      <c r="B491" t="inlineStr">
        <is>
          <t>Programas nuevos radicados por facultad</t>
        </is>
      </c>
      <c r="C491" t="inlineStr">
        <is>
          <t>Creación, modificación y cierre de programas académicos</t>
        </is>
      </c>
      <c r="D491" t="inlineStr">
        <is>
          <t>Trimestral</t>
        </is>
      </c>
      <c r="E491" t="inlineStr">
        <is>
          <t>Positivo</t>
        </is>
      </c>
      <c r="F491" s="105" t="n">
        <v>45107</v>
      </c>
      <c r="G491" t="inlineStr">
        <is>
          <t>408-2023-06-30</t>
        </is>
      </c>
      <c r="H491" t="inlineStr">
        <is>
          <t>Facultad sociedad cultura y creatividad</t>
        </is>
      </c>
      <c r="I491" t="n">
        <v>100</v>
      </c>
      <c r="J491" t="n">
        <v>0</v>
      </c>
      <c r="BR491" t="n">
        <v>0</v>
      </c>
      <c r="BS491" t="n">
        <v>0</v>
      </c>
    </row>
    <row r="492">
      <c r="A492" t="n">
        <v>408</v>
      </c>
      <c r="B492" t="inlineStr">
        <is>
          <t>Programas nuevos radicados por facultad</t>
        </is>
      </c>
      <c r="C492" t="inlineStr">
        <is>
          <t>Creación, modificación y cierre de programas académicos</t>
        </is>
      </c>
      <c r="D492" t="inlineStr">
        <is>
          <t>Trimestral</t>
        </is>
      </c>
      <c r="E492" t="inlineStr">
        <is>
          <t>Positivo</t>
        </is>
      </c>
      <c r="F492" s="105" t="n">
        <v>45107</v>
      </c>
      <c r="G492" t="inlineStr">
        <is>
          <t>408-2023-06-30</t>
        </is>
      </c>
      <c r="H492" t="inlineStr">
        <is>
          <t>Facultad de ingeniera, diseño e innovación</t>
        </is>
      </c>
      <c r="I492" t="n">
        <v>100</v>
      </c>
      <c r="J492" t="n">
        <v>0</v>
      </c>
      <c r="BR492" t="n">
        <v>0</v>
      </c>
      <c r="BS492" t="n">
        <v>0</v>
      </c>
    </row>
    <row r="493">
      <c r="A493" t="n">
        <v>408</v>
      </c>
      <c r="B493" t="inlineStr">
        <is>
          <t>Programas nuevos radicados por facultad</t>
        </is>
      </c>
      <c r="C493" t="inlineStr">
        <is>
          <t>Creación, modificación y cierre de programas académicos</t>
        </is>
      </c>
      <c r="D493" t="inlineStr">
        <is>
          <t>Trimestral</t>
        </is>
      </c>
      <c r="E493" t="inlineStr">
        <is>
          <t>Positivo</t>
        </is>
      </c>
      <c r="F493" s="105" t="n">
        <v>45107</v>
      </c>
      <c r="G493" t="inlineStr">
        <is>
          <t>408-2023-06-30</t>
        </is>
      </c>
      <c r="H493" t="inlineStr">
        <is>
          <t>Facultad negocios, gestión y sostenibilidad</t>
        </is>
      </c>
      <c r="I493" t="n">
        <v>100</v>
      </c>
      <c r="J493" t="n">
        <v>0</v>
      </c>
      <c r="BR493" t="n">
        <v>0</v>
      </c>
      <c r="BS493" t="n">
        <v>0</v>
      </c>
    </row>
    <row r="494">
      <c r="A494" t="n">
        <v>408</v>
      </c>
      <c r="B494" t="inlineStr">
        <is>
          <t>Programas nuevos radicados por facultad</t>
        </is>
      </c>
      <c r="C494" t="inlineStr">
        <is>
          <t>Creación, modificación y cierre de programas académicos</t>
        </is>
      </c>
      <c r="D494" t="inlineStr">
        <is>
          <t>Trimestral</t>
        </is>
      </c>
      <c r="E494" t="inlineStr">
        <is>
          <t>Positivo</t>
        </is>
      </c>
      <c r="F494" s="105" t="n">
        <v>45107</v>
      </c>
      <c r="G494" t="inlineStr">
        <is>
          <t>408-2023-06-30</t>
        </is>
      </c>
      <c r="H494" t="inlineStr">
        <is>
          <t>Facultad sociedad cultura y creatividad</t>
        </is>
      </c>
      <c r="I494" t="n">
        <v>100</v>
      </c>
      <c r="J494" t="n">
        <v>0</v>
      </c>
      <c r="BR494" t="n">
        <v>0</v>
      </c>
      <c r="BS494" t="n">
        <v>0</v>
      </c>
    </row>
    <row r="495">
      <c r="A495" t="n">
        <v>408</v>
      </c>
      <c r="B495" t="inlineStr">
        <is>
          <t>Programas nuevos radicados por facultad</t>
        </is>
      </c>
      <c r="C495" t="inlineStr">
        <is>
          <t>Creación, modificación y cierre de programas académicos</t>
        </is>
      </c>
      <c r="D495" t="inlineStr">
        <is>
          <t>Trimestral</t>
        </is>
      </c>
      <c r="E495" t="inlineStr">
        <is>
          <t>Positivo</t>
        </is>
      </c>
      <c r="F495" s="105" t="n">
        <v>45107</v>
      </c>
      <c r="G495" t="inlineStr">
        <is>
          <t>408-2023-06-30</t>
        </is>
      </c>
      <c r="H495" t="inlineStr">
        <is>
          <t>Facultad de ingeniera, diseño e innovación</t>
        </is>
      </c>
      <c r="I495" t="n">
        <v>100</v>
      </c>
      <c r="J495" t="n">
        <v>0</v>
      </c>
      <c r="BR495" t="n">
        <v>0</v>
      </c>
      <c r="BS495" t="n">
        <v>0</v>
      </c>
    </row>
    <row r="496">
      <c r="A496" t="n">
        <v>408</v>
      </c>
      <c r="B496" t="inlineStr">
        <is>
          <t>Programas nuevos radicados por facultad</t>
        </is>
      </c>
      <c r="C496" t="inlineStr">
        <is>
          <t>Creación, modificación y cierre de programas académicos</t>
        </is>
      </c>
      <c r="D496" t="inlineStr">
        <is>
          <t>Trimestral</t>
        </is>
      </c>
      <c r="E496" t="inlineStr">
        <is>
          <t>Positivo</t>
        </is>
      </c>
      <c r="F496" s="105" t="n">
        <v>45107</v>
      </c>
      <c r="G496" t="inlineStr">
        <is>
          <t>408-2023-06-30</t>
        </is>
      </c>
      <c r="H496" t="inlineStr">
        <is>
          <t>Facultad negocios, gestión y sostenibilidad</t>
        </is>
      </c>
      <c r="I496" t="n">
        <v>100</v>
      </c>
      <c r="J496" t="n">
        <v>0</v>
      </c>
      <c r="BR496" t="n">
        <v>0</v>
      </c>
      <c r="BS496" t="n">
        <v>0</v>
      </c>
    </row>
    <row r="497">
      <c r="A497" t="n">
        <v>408</v>
      </c>
      <c r="B497" t="inlineStr">
        <is>
          <t>Programas nuevos radicados por facultad</t>
        </is>
      </c>
      <c r="C497" t="inlineStr">
        <is>
          <t>Creación, modificación y cierre de programas académicos</t>
        </is>
      </c>
      <c r="D497" t="inlineStr">
        <is>
          <t>Trimestral</t>
        </is>
      </c>
      <c r="E497" t="inlineStr">
        <is>
          <t>Positivo</t>
        </is>
      </c>
      <c r="F497" s="105" t="n">
        <v>45107</v>
      </c>
      <c r="G497" t="inlineStr">
        <is>
          <t>408-2023-06-30</t>
        </is>
      </c>
      <c r="H497" t="inlineStr">
        <is>
          <t>Facultad sociedad cultura y creatividad</t>
        </is>
      </c>
      <c r="I497" t="n">
        <v>100</v>
      </c>
      <c r="J497" t="n">
        <v>0</v>
      </c>
      <c r="BR497" t="n">
        <v>0</v>
      </c>
      <c r="BS497" t="n">
        <v>0</v>
      </c>
    </row>
    <row r="498">
      <c r="A498" t="n">
        <v>427</v>
      </c>
      <c r="B498" t="inlineStr">
        <is>
          <t>Consumo de Agua per Cápita Semestral</t>
        </is>
      </c>
      <c r="C498" t="inlineStr">
        <is>
          <t>GESTIÓN AMBIENTAL</t>
        </is>
      </c>
      <c r="D498" t="inlineStr">
        <is>
          <t>Trimestral</t>
        </is>
      </c>
      <c r="E498" t="inlineStr">
        <is>
          <t>Negativo</t>
        </is>
      </c>
      <c r="F498" s="105" t="n">
        <v>45107</v>
      </c>
      <c r="G498" t="inlineStr">
        <is>
          <t>427-2023-06-30</t>
        </is>
      </c>
      <c r="H498" t="inlineStr">
        <is>
          <t>Campus Bogotá</t>
        </is>
      </c>
      <c r="I498" t="n">
        <v>0.3</v>
      </c>
      <c r="J498" t="n">
        <v>0.2000000029802322</v>
      </c>
      <c r="O498" t="n">
        <v>1872</v>
      </c>
      <c r="P498" t="n">
        <v>2992</v>
      </c>
      <c r="Q498" t="n">
        <v>13656</v>
      </c>
      <c r="R498" t="n">
        <v>0</v>
      </c>
      <c r="Y498" t="n">
        <v>3723</v>
      </c>
    </row>
    <row r="499">
      <c r="A499" t="n">
        <v>427</v>
      </c>
      <c r="B499" t="inlineStr">
        <is>
          <t>Consumo de Agua per Cápita Semestral</t>
        </is>
      </c>
      <c r="C499" t="inlineStr">
        <is>
          <t>GESTIÓN AMBIENTAL</t>
        </is>
      </c>
      <c r="D499" t="inlineStr">
        <is>
          <t>Trimestral</t>
        </is>
      </c>
      <c r="E499" t="inlineStr">
        <is>
          <t>Negativo</t>
        </is>
      </c>
      <c r="F499" s="105" t="n">
        <v>45107</v>
      </c>
      <c r="G499" t="inlineStr">
        <is>
          <t>427-2023-06-30</t>
        </is>
      </c>
      <c r="H499" t="inlineStr">
        <is>
          <t>City Campus</t>
        </is>
      </c>
      <c r="I499" t="n">
        <v>0.15</v>
      </c>
      <c r="J499" t="n">
        <v>0.1400000005960464</v>
      </c>
      <c r="O499" t="n">
        <v>679</v>
      </c>
      <c r="P499" t="n">
        <v>30</v>
      </c>
      <c r="Q499" t="n">
        <v>11072</v>
      </c>
      <c r="R499" t="n">
        <v>1948</v>
      </c>
      <c r="Y499" t="n">
        <v>1888</v>
      </c>
    </row>
    <row r="500">
      <c r="A500" t="n">
        <v>427</v>
      </c>
      <c r="B500" t="inlineStr">
        <is>
          <t>Consumo de Agua per Cápita Semestral</t>
        </is>
      </c>
      <c r="C500" t="inlineStr">
        <is>
          <t>GESTIÓN AMBIENTAL</t>
        </is>
      </c>
      <c r="D500" t="inlineStr">
        <is>
          <t>Trimestral</t>
        </is>
      </c>
      <c r="E500" t="inlineStr">
        <is>
          <t>Negativo</t>
        </is>
      </c>
      <c r="F500" s="105" t="n">
        <v>45107</v>
      </c>
      <c r="G500" t="inlineStr">
        <is>
          <t>427-2023-06-30</t>
        </is>
      </c>
      <c r="H500" t="inlineStr">
        <is>
          <t>Sede Posgrado-Calle 85</t>
        </is>
      </c>
      <c r="I500" t="n">
        <v>0.2</v>
      </c>
      <c r="J500" t="n">
        <v>0</v>
      </c>
      <c r="O500" t="n">
        <v>0</v>
      </c>
      <c r="P500" t="n">
        <v>0</v>
      </c>
      <c r="Q500" t="n">
        <v>0</v>
      </c>
      <c r="R500" t="n">
        <v>0</v>
      </c>
      <c r="Y500" t="n">
        <v>0</v>
      </c>
    </row>
    <row r="501">
      <c r="A501" t="n">
        <v>427</v>
      </c>
      <c r="B501" t="inlineStr">
        <is>
          <t>Consumo de Agua per Cápita Semestral</t>
        </is>
      </c>
      <c r="C501" t="inlineStr">
        <is>
          <t>GESTIÓN AMBIENTAL</t>
        </is>
      </c>
      <c r="D501" t="inlineStr">
        <is>
          <t>Trimestral</t>
        </is>
      </c>
      <c r="E501" t="inlineStr">
        <is>
          <t>Negativo</t>
        </is>
      </c>
      <c r="F501" s="105" t="n">
        <v>45107</v>
      </c>
      <c r="G501" t="inlineStr">
        <is>
          <t>427-2023-06-30</t>
        </is>
      </c>
      <c r="H501" t="inlineStr">
        <is>
          <t>Campus-Medellín</t>
        </is>
      </c>
      <c r="I501" t="n">
        <v>0.1</v>
      </c>
      <c r="J501" t="n">
        <v>0.07000000029802322</v>
      </c>
      <c r="O501" t="n">
        <v>300</v>
      </c>
      <c r="P501" t="n">
        <v>828</v>
      </c>
      <c r="Q501" t="n">
        <v>12287</v>
      </c>
      <c r="R501" t="n">
        <v>144</v>
      </c>
      <c r="Y501" t="n">
        <v>907</v>
      </c>
    </row>
    <row r="502">
      <c r="A502" t="n">
        <v>427</v>
      </c>
      <c r="B502" t="inlineStr">
        <is>
          <t>Consumo de Agua per Cápita Semestral</t>
        </is>
      </c>
      <c r="C502" t="inlineStr">
        <is>
          <t>GESTIÓN AMBIENTAL</t>
        </is>
      </c>
      <c r="D502" t="inlineStr">
        <is>
          <t>Trimestral</t>
        </is>
      </c>
      <c r="E502" t="inlineStr">
        <is>
          <t>Negativo</t>
        </is>
      </c>
      <c r="F502" s="105" t="n">
        <v>45107</v>
      </c>
      <c r="G502" t="inlineStr">
        <is>
          <t>427-2023-06-30</t>
        </is>
      </c>
      <c r="H502" t="inlineStr">
        <is>
          <t>Consultorio Psicología - Medellin</t>
        </is>
      </c>
      <c r="I502" t="n">
        <v>0.2</v>
      </c>
      <c r="J502" t="n">
        <v>0</v>
      </c>
      <c r="O502" t="n">
        <v>0</v>
      </c>
      <c r="P502" t="n">
        <v>0</v>
      </c>
      <c r="Q502" t="n">
        <v>0</v>
      </c>
      <c r="R502" t="n">
        <v>0</v>
      </c>
      <c r="Y502" t="n">
        <v>0</v>
      </c>
    </row>
    <row r="503">
      <c r="A503" t="n">
        <v>428</v>
      </c>
      <c r="B503" t="inlineStr">
        <is>
          <t>Consumo de Energía Eléctrica per Cápita Semestral</t>
        </is>
      </c>
      <c r="C503" t="inlineStr">
        <is>
          <t>GESTIÓN AMBIENTAL</t>
        </is>
      </c>
      <c r="D503" t="inlineStr">
        <is>
          <t>Trimestral</t>
        </is>
      </c>
      <c r="E503" t="inlineStr">
        <is>
          <t>Negativo</t>
        </is>
      </c>
      <c r="F503" s="105" t="n">
        <v>45107</v>
      </c>
      <c r="G503" t="inlineStr">
        <is>
          <t>428-2023-06-30</t>
        </is>
      </c>
      <c r="H503" t="inlineStr">
        <is>
          <t>City Campus</t>
        </is>
      </c>
      <c r="I503" t="n">
        <v>25</v>
      </c>
      <c r="J503" t="n">
        <v>20.79999923706055</v>
      </c>
      <c r="O503" t="n">
        <v>679</v>
      </c>
      <c r="P503" t="n">
        <v>30</v>
      </c>
      <c r="Q503" t="n">
        <v>11072</v>
      </c>
      <c r="R503" t="n">
        <v>1948</v>
      </c>
      <c r="W503" t="n">
        <v>285570</v>
      </c>
    </row>
    <row r="504">
      <c r="A504" t="n">
        <v>428</v>
      </c>
      <c r="B504" t="inlineStr">
        <is>
          <t>Consumo de Energía Eléctrica per Cápita Semestral</t>
        </is>
      </c>
      <c r="C504" t="inlineStr">
        <is>
          <t>GESTIÓN AMBIENTAL</t>
        </is>
      </c>
      <c r="D504" t="inlineStr">
        <is>
          <t>Trimestral</t>
        </is>
      </c>
      <c r="E504" t="inlineStr">
        <is>
          <t>Negativo</t>
        </is>
      </c>
      <c r="F504" s="105" t="n">
        <v>45107</v>
      </c>
      <c r="G504" t="inlineStr">
        <is>
          <t>428-2023-06-30</t>
        </is>
      </c>
      <c r="H504" t="inlineStr">
        <is>
          <t>Campus Bogotá</t>
        </is>
      </c>
      <c r="I504" t="n">
        <v>22</v>
      </c>
      <c r="J504" t="n">
        <v>20.56999969482422</v>
      </c>
      <c r="O504" t="n">
        <v>1872</v>
      </c>
      <c r="P504" t="n">
        <v>2992</v>
      </c>
      <c r="Q504" t="n">
        <v>13656</v>
      </c>
      <c r="R504" t="n">
        <v>0</v>
      </c>
      <c r="W504" t="n">
        <v>380904</v>
      </c>
    </row>
    <row r="505">
      <c r="A505" t="n">
        <v>428</v>
      </c>
      <c r="B505" t="inlineStr">
        <is>
          <t>Consumo de Energía Eléctrica per Cápita Semestral</t>
        </is>
      </c>
      <c r="C505" t="inlineStr">
        <is>
          <t>GESTIÓN AMBIENTAL</t>
        </is>
      </c>
      <c r="D505" t="inlineStr">
        <is>
          <t>Trimestral</t>
        </is>
      </c>
      <c r="E505" t="inlineStr">
        <is>
          <t>Negativo</t>
        </is>
      </c>
      <c r="F505" s="105" t="n">
        <v>45107</v>
      </c>
      <c r="G505" t="inlineStr">
        <is>
          <t>428-2023-06-30</t>
        </is>
      </c>
      <c r="H505" t="inlineStr">
        <is>
          <t>Campus-Medellín</t>
        </is>
      </c>
      <c r="I505" t="n">
        <v>11</v>
      </c>
      <c r="J505" t="n">
        <v>10.27000045776367</v>
      </c>
      <c r="O505" t="n">
        <v>300</v>
      </c>
      <c r="P505" t="n">
        <v>828</v>
      </c>
      <c r="Q505" t="n">
        <v>12287</v>
      </c>
      <c r="R505" t="n">
        <v>144</v>
      </c>
      <c r="W505" t="n">
        <v>139217</v>
      </c>
    </row>
    <row r="506">
      <c r="A506" t="n">
        <v>429</v>
      </c>
      <c r="B506" t="inlineStr">
        <is>
          <t>Generación de Residuos Sólidos per Cápita Semestral</t>
        </is>
      </c>
      <c r="C506" t="inlineStr">
        <is>
          <t>GESTIÓN AMBIENTAL</t>
        </is>
      </c>
      <c r="D506" t="inlineStr">
        <is>
          <t>Trimestral</t>
        </is>
      </c>
      <c r="E506" t="inlineStr">
        <is>
          <t>Negativo</t>
        </is>
      </c>
      <c r="F506" s="105" t="n">
        <v>45107</v>
      </c>
      <c r="G506" t="inlineStr">
        <is>
          <t>429-2023-06-30</t>
        </is>
      </c>
      <c r="H506" t="inlineStr">
        <is>
          <t>Campus Bogotá</t>
        </is>
      </c>
      <c r="I506" t="n">
        <v>0.4</v>
      </c>
      <c r="J506" t="n">
        <v>0.3600000143051147</v>
      </c>
      <c r="O506" t="n">
        <v>1872</v>
      </c>
      <c r="P506" t="n">
        <v>2992</v>
      </c>
      <c r="Q506" t="n">
        <v>13656</v>
      </c>
      <c r="R506" t="n">
        <v>0</v>
      </c>
      <c r="AA506" t="n">
        <v>3880</v>
      </c>
      <c r="AB506" t="n">
        <v>2767</v>
      </c>
    </row>
    <row r="507">
      <c r="A507" t="n">
        <v>429</v>
      </c>
      <c r="B507" t="inlineStr">
        <is>
          <t>Generación de Residuos Sólidos per Cápita Semestral</t>
        </is>
      </c>
      <c r="C507" t="inlineStr">
        <is>
          <t>GESTIÓN AMBIENTAL</t>
        </is>
      </c>
      <c r="D507" t="inlineStr">
        <is>
          <t>Trimestral</t>
        </is>
      </c>
      <c r="E507" t="inlineStr">
        <is>
          <t>Negativo</t>
        </is>
      </c>
      <c r="F507" s="105" t="n">
        <v>45107</v>
      </c>
      <c r="G507" t="inlineStr">
        <is>
          <t>429-2023-06-30</t>
        </is>
      </c>
      <c r="H507" t="inlineStr">
        <is>
          <t>Campus-Medellín</t>
        </is>
      </c>
      <c r="I507" t="n">
        <v>0.41</v>
      </c>
      <c r="J507" t="n">
        <v>0.2199999988079071</v>
      </c>
      <c r="O507" t="n">
        <v>300</v>
      </c>
      <c r="P507" t="n">
        <v>828</v>
      </c>
      <c r="Q507" t="n">
        <v>12287</v>
      </c>
      <c r="R507" t="n">
        <v>144</v>
      </c>
      <c r="AA507" t="n">
        <v>218.6</v>
      </c>
      <c r="AB507" t="n">
        <v>2811</v>
      </c>
    </row>
    <row r="508">
      <c r="A508" t="n">
        <v>429</v>
      </c>
      <c r="B508" t="inlineStr">
        <is>
          <t>Generación de Residuos Sólidos per Cápita Semestral</t>
        </is>
      </c>
      <c r="C508" t="inlineStr">
        <is>
          <t>GESTIÓN AMBIENTAL</t>
        </is>
      </c>
      <c r="D508" t="inlineStr">
        <is>
          <t>Trimestral</t>
        </is>
      </c>
      <c r="E508" t="inlineStr">
        <is>
          <t>Negativo</t>
        </is>
      </c>
      <c r="F508" s="105" t="n">
        <v>45107</v>
      </c>
      <c r="G508" t="inlineStr">
        <is>
          <t>429-2023-06-30</t>
        </is>
      </c>
      <c r="H508" t="inlineStr">
        <is>
          <t>City Campus</t>
        </is>
      </c>
      <c r="I508" t="n">
        <v>0.38</v>
      </c>
      <c r="J508" t="n">
        <v>0.3100000023841858</v>
      </c>
      <c r="O508" t="n">
        <v>679</v>
      </c>
      <c r="P508" t="n">
        <v>30</v>
      </c>
      <c r="Q508" t="n">
        <v>11072</v>
      </c>
      <c r="R508" t="n">
        <v>1948</v>
      </c>
      <c r="AA508" t="n">
        <v>0</v>
      </c>
      <c r="AB508" t="n">
        <v>4195.65</v>
      </c>
    </row>
    <row r="509">
      <c r="A509" t="n">
        <v>430</v>
      </c>
      <c r="B509" t="inlineStr">
        <is>
          <t>Cumplimiento ingresos por matriculas</t>
        </is>
      </c>
      <c r="C509" t="inlineStr">
        <is>
          <t>Planeación Financiera</t>
        </is>
      </c>
      <c r="D509" t="inlineStr">
        <is>
          <t>Trimestral</t>
        </is>
      </c>
      <c r="E509" t="inlineStr">
        <is>
          <t>Positivo</t>
        </is>
      </c>
      <c r="F509" s="105" t="n">
        <v>45107</v>
      </c>
      <c r="G509" t="inlineStr">
        <is>
          <t>430-2023-06-30</t>
        </is>
      </c>
      <c r="H509" t="inlineStr">
        <is>
          <t>Nuevos presencial</t>
        </is>
      </c>
      <c r="I509" t="n">
        <v>95</v>
      </c>
      <c r="J509" t="n">
        <v>112.9400024414062</v>
      </c>
      <c r="BT509" t="n">
        <v>5818176483</v>
      </c>
      <c r="BU509" t="n">
        <v>6570768692</v>
      </c>
    </row>
    <row r="510">
      <c r="A510" t="n">
        <v>430</v>
      </c>
      <c r="B510" t="inlineStr">
        <is>
          <t>Cumplimiento ingresos por matriculas</t>
        </is>
      </c>
      <c r="C510" t="inlineStr">
        <is>
          <t>Planeación Financiera</t>
        </is>
      </c>
      <c r="D510" t="inlineStr">
        <is>
          <t>Trimestral</t>
        </is>
      </c>
      <c r="E510" t="inlineStr">
        <is>
          <t>Positivo</t>
        </is>
      </c>
      <c r="F510" s="105" t="n">
        <v>45107</v>
      </c>
      <c r="G510" t="inlineStr">
        <is>
          <t>430-2023-06-30</t>
        </is>
      </c>
      <c r="H510" t="inlineStr">
        <is>
          <t>Nuevos Virtual</t>
        </is>
      </c>
      <c r="I510" t="n">
        <v>95</v>
      </c>
      <c r="J510" t="n">
        <v>101.8199996948242</v>
      </c>
      <c r="BT510" t="n">
        <v>18841137826</v>
      </c>
      <c r="BU510" t="n">
        <v>19183316854</v>
      </c>
    </row>
    <row r="511">
      <c r="A511" t="n">
        <v>430</v>
      </c>
      <c r="B511" t="inlineStr">
        <is>
          <t>Cumplimiento ingresos por matriculas</t>
        </is>
      </c>
      <c r="C511" t="inlineStr">
        <is>
          <t>Planeación Financiera</t>
        </is>
      </c>
      <c r="D511" t="inlineStr">
        <is>
          <t>Trimestral</t>
        </is>
      </c>
      <c r="E511" t="inlineStr">
        <is>
          <t>Positivo</t>
        </is>
      </c>
      <c r="F511" s="105" t="n">
        <v>45107</v>
      </c>
      <c r="G511" t="inlineStr">
        <is>
          <t>430-2023-06-30</t>
        </is>
      </c>
      <c r="H511" t="inlineStr">
        <is>
          <t>Antiguos Presencial</t>
        </is>
      </c>
      <c r="I511" t="n">
        <v>95</v>
      </c>
      <c r="J511" t="n">
        <v>101.5999984741211</v>
      </c>
      <c r="BT511" t="n">
        <v>26555692613</v>
      </c>
      <c r="BU511" t="n">
        <v>26980344363</v>
      </c>
    </row>
    <row r="512">
      <c r="A512" t="n">
        <v>430</v>
      </c>
      <c r="B512" t="inlineStr">
        <is>
          <t>Cumplimiento ingresos por matriculas</t>
        </is>
      </c>
      <c r="C512" t="inlineStr">
        <is>
          <t>Planeación Financiera</t>
        </is>
      </c>
      <c r="D512" t="inlineStr">
        <is>
          <t>Trimestral</t>
        </is>
      </c>
      <c r="E512" t="inlineStr">
        <is>
          <t>Positivo</t>
        </is>
      </c>
      <c r="F512" s="105" t="n">
        <v>45107</v>
      </c>
      <c r="G512" t="inlineStr">
        <is>
          <t>430-2023-06-30</t>
        </is>
      </c>
      <c r="H512" t="inlineStr">
        <is>
          <t>Antiguos Virtual</t>
        </is>
      </c>
      <c r="I512" t="n">
        <v>95</v>
      </c>
      <c r="J512" t="n">
        <v>105.9499969482422</v>
      </c>
      <c r="BT512" t="n">
        <v>61739508479</v>
      </c>
      <c r="BU512" t="n">
        <v>65411063328</v>
      </c>
    </row>
    <row r="513">
      <c r="A513" t="n">
        <v>433</v>
      </c>
      <c r="B513" t="inlineStr">
        <is>
          <t>Generación de Residuos Peligrosos per Cápita Semestral</t>
        </is>
      </c>
      <c r="C513" t="inlineStr">
        <is>
          <t>GESTIÓN AMBIENTAL</t>
        </is>
      </c>
      <c r="D513" t="inlineStr">
        <is>
          <t>Trimestral</t>
        </is>
      </c>
      <c r="E513" t="inlineStr">
        <is>
          <t>Negativo</t>
        </is>
      </c>
      <c r="F513" s="105" t="n">
        <v>45107</v>
      </c>
      <c r="G513" t="inlineStr">
        <is>
          <t>433-2023-06-30</t>
        </is>
      </c>
      <c r="H513" t="inlineStr">
        <is>
          <t>City Campus</t>
        </is>
      </c>
      <c r="I513" t="n">
        <v>0.05</v>
      </c>
      <c r="J513" t="n">
        <v>0.01999999955296516</v>
      </c>
      <c r="O513" t="n">
        <v>679</v>
      </c>
      <c r="P513" t="n">
        <v>30</v>
      </c>
      <c r="Q513" t="n">
        <v>11072</v>
      </c>
      <c r="R513" t="n">
        <v>1948</v>
      </c>
      <c r="BV513" t="n">
        <v>225.8</v>
      </c>
    </row>
    <row r="514">
      <c r="A514" t="n">
        <v>433</v>
      </c>
      <c r="B514" t="inlineStr">
        <is>
          <t>Generación de Residuos Peligrosos per Cápita Semestral</t>
        </is>
      </c>
      <c r="C514" t="inlineStr">
        <is>
          <t>GESTIÓN AMBIENTAL</t>
        </is>
      </c>
      <c r="D514" t="inlineStr">
        <is>
          <t>Trimestral</t>
        </is>
      </c>
      <c r="E514" t="inlineStr">
        <is>
          <t>Negativo</t>
        </is>
      </c>
      <c r="F514" s="105" t="n">
        <v>45107</v>
      </c>
      <c r="G514" t="inlineStr">
        <is>
          <t>433-2023-06-30</t>
        </is>
      </c>
      <c r="H514" t="inlineStr">
        <is>
          <t>Campus Bogotá</t>
        </is>
      </c>
      <c r="I514" t="n">
        <v>0.05</v>
      </c>
      <c r="J514" t="n">
        <v>0.05000000074505806</v>
      </c>
      <c r="O514" t="n">
        <v>1872</v>
      </c>
      <c r="P514" t="n">
        <v>2992</v>
      </c>
      <c r="Q514" t="n">
        <v>13656</v>
      </c>
      <c r="R514" t="n">
        <v>0</v>
      </c>
      <c r="BV514" t="n">
        <v>864.5</v>
      </c>
    </row>
    <row r="515">
      <c r="A515" t="n">
        <v>433</v>
      </c>
      <c r="B515" t="inlineStr">
        <is>
          <t>Generación de Residuos Peligrosos per Cápita Semestral</t>
        </is>
      </c>
      <c r="C515" t="inlineStr">
        <is>
          <t>GESTIÓN AMBIENTAL</t>
        </is>
      </c>
      <c r="D515" t="inlineStr">
        <is>
          <t>Trimestral</t>
        </is>
      </c>
      <c r="E515" t="inlineStr">
        <is>
          <t>Negativo</t>
        </is>
      </c>
      <c r="F515" s="105" t="n">
        <v>45107</v>
      </c>
      <c r="G515" t="inlineStr">
        <is>
          <t>433-2023-06-30</t>
        </is>
      </c>
      <c r="H515" t="inlineStr">
        <is>
          <t>Campus-Medellín</t>
        </is>
      </c>
      <c r="I515" t="n">
        <v>0.05</v>
      </c>
      <c r="O515" t="n">
        <v>300</v>
      </c>
      <c r="P515" t="n">
        <v>828</v>
      </c>
      <c r="Q515" t="n">
        <v>12287</v>
      </c>
      <c r="R515" t="n">
        <v>144</v>
      </c>
      <c r="BV515" t="n">
        <v>12.1</v>
      </c>
    </row>
    <row r="516">
      <c r="A516" t="n">
        <v>435</v>
      </c>
      <c r="B516" t="inlineStr">
        <is>
          <t>Disminución de la Generación de Residuos Peligrosos per Cápita</t>
        </is>
      </c>
      <c r="C516" t="inlineStr">
        <is>
          <t>GESTIÓN AMBIENTAL</t>
        </is>
      </c>
      <c r="D516" t="inlineStr">
        <is>
          <t>Trimestral</t>
        </is>
      </c>
      <c r="E516" t="inlineStr">
        <is>
          <t>Positivo</t>
        </is>
      </c>
      <c r="F516" s="105" t="n">
        <v>45107</v>
      </c>
      <c r="G516" t="inlineStr">
        <is>
          <t>435-2023-06-30</t>
        </is>
      </c>
      <c r="H516" t="inlineStr">
        <is>
          <t>Campus Bogotá</t>
        </is>
      </c>
      <c r="I516" t="n">
        <v>100</v>
      </c>
      <c r="J516" t="n">
        <v>0</v>
      </c>
      <c r="BW516" t="n">
        <v>0</v>
      </c>
      <c r="BX516" t="n">
        <v>0.05</v>
      </c>
    </row>
    <row r="517">
      <c r="A517" t="n">
        <v>435</v>
      </c>
      <c r="B517" t="inlineStr">
        <is>
          <t>Disminución de la Generación de Residuos Peligrosos per Cápita</t>
        </is>
      </c>
      <c r="C517" t="inlineStr">
        <is>
          <t>GESTIÓN AMBIENTAL</t>
        </is>
      </c>
      <c r="D517" t="inlineStr">
        <is>
          <t>Trimestral</t>
        </is>
      </c>
      <c r="E517" t="inlineStr">
        <is>
          <t>Positivo</t>
        </is>
      </c>
      <c r="F517" s="105" t="n">
        <v>45107</v>
      </c>
      <c r="G517" t="inlineStr">
        <is>
          <t>435-2023-06-30</t>
        </is>
      </c>
      <c r="H517" t="inlineStr">
        <is>
          <t>City Campus</t>
        </is>
      </c>
      <c r="I517" t="n">
        <v>100</v>
      </c>
      <c r="J517" t="n">
        <v>0</v>
      </c>
      <c r="BW517" t="n">
        <v>0</v>
      </c>
      <c r="BX517" t="n">
        <v>0.02</v>
      </c>
    </row>
    <row r="518">
      <c r="A518" t="n">
        <v>435</v>
      </c>
      <c r="B518" t="inlineStr">
        <is>
          <t>Disminución de la Generación de Residuos Peligrosos per Cápita</t>
        </is>
      </c>
      <c r="C518" t="inlineStr">
        <is>
          <t>GESTIÓN AMBIENTAL</t>
        </is>
      </c>
      <c r="D518" t="inlineStr">
        <is>
          <t>Trimestral</t>
        </is>
      </c>
      <c r="E518" t="inlineStr">
        <is>
          <t>Positivo</t>
        </is>
      </c>
      <c r="F518" s="105" t="n">
        <v>45107</v>
      </c>
      <c r="G518" t="inlineStr">
        <is>
          <t>435-2023-06-30</t>
        </is>
      </c>
      <c r="H518" t="inlineStr">
        <is>
          <t>Sede Posgrado-Calle 85</t>
        </is>
      </c>
      <c r="I518" t="n">
        <v>100</v>
      </c>
      <c r="J518" t="n">
        <v>0</v>
      </c>
      <c r="BW518" t="n">
        <v>0</v>
      </c>
      <c r="BX518" t="n">
        <v>0</v>
      </c>
    </row>
    <row r="519">
      <c r="A519" t="n">
        <v>435</v>
      </c>
      <c r="B519" t="inlineStr">
        <is>
          <t>Disminución de la Generación de Residuos Peligrosos per Cápita</t>
        </is>
      </c>
      <c r="C519" t="inlineStr">
        <is>
          <t>GESTIÓN AMBIENTAL</t>
        </is>
      </c>
      <c r="D519" t="inlineStr">
        <is>
          <t>Trimestral</t>
        </is>
      </c>
      <c r="E519" t="inlineStr">
        <is>
          <t>Positivo</t>
        </is>
      </c>
      <c r="F519" s="105" t="n">
        <v>45107</v>
      </c>
      <c r="G519" t="inlineStr">
        <is>
          <t>435-2023-06-30</t>
        </is>
      </c>
      <c r="H519" t="inlineStr">
        <is>
          <t>Campus-Medellín</t>
        </is>
      </c>
      <c r="I519" t="n">
        <v>100</v>
      </c>
      <c r="J519" t="n">
        <v>0</v>
      </c>
      <c r="BW519" t="n">
        <v>0</v>
      </c>
      <c r="BX519" t="n">
        <v>0.0009</v>
      </c>
    </row>
    <row r="520">
      <c r="A520" t="n">
        <v>435</v>
      </c>
      <c r="B520" t="inlineStr">
        <is>
          <t>Disminución de la Generación de Residuos Peligrosos per Cápita</t>
        </is>
      </c>
      <c r="C520" t="inlineStr">
        <is>
          <t>GESTIÓN AMBIENTAL</t>
        </is>
      </c>
      <c r="D520" t="inlineStr">
        <is>
          <t>Trimestral</t>
        </is>
      </c>
      <c r="E520" t="inlineStr">
        <is>
          <t>Positivo</t>
        </is>
      </c>
      <c r="F520" s="105" t="n">
        <v>45107</v>
      </c>
      <c r="G520" t="inlineStr">
        <is>
          <t>435-2023-06-30</t>
        </is>
      </c>
      <c r="H520" t="inlineStr">
        <is>
          <t>Sede Bienestar - Medellín</t>
        </is>
      </c>
      <c r="I520" t="n">
        <v>100</v>
      </c>
      <c r="J520" t="n">
        <v>0</v>
      </c>
      <c r="BW520" t="n">
        <v>0</v>
      </c>
      <c r="BX520" t="n">
        <v>0</v>
      </c>
    </row>
    <row r="521">
      <c r="A521" t="n">
        <v>435</v>
      </c>
      <c r="B521" t="inlineStr">
        <is>
          <t>Disminución de la Generación de Residuos Peligrosos per Cápita</t>
        </is>
      </c>
      <c r="C521" t="inlineStr">
        <is>
          <t>GESTIÓN AMBIENTAL</t>
        </is>
      </c>
      <c r="D521" t="inlineStr">
        <is>
          <t>Trimestral</t>
        </is>
      </c>
      <c r="E521" t="inlineStr">
        <is>
          <t>Positivo</t>
        </is>
      </c>
      <c r="F521" s="105" t="n">
        <v>45107</v>
      </c>
      <c r="G521" t="inlineStr">
        <is>
          <t>435-2023-06-30</t>
        </is>
      </c>
      <c r="H521" t="inlineStr">
        <is>
          <t>Consultorio Psicología - Medellin</t>
        </is>
      </c>
      <c r="I521" t="n">
        <v>100</v>
      </c>
      <c r="J521" t="n">
        <v>0</v>
      </c>
      <c r="BW521" t="n">
        <v>0</v>
      </c>
      <c r="BX521" t="n">
        <v>0</v>
      </c>
    </row>
    <row r="522">
      <c r="A522" t="n">
        <v>213</v>
      </c>
      <c r="B522" t="inlineStr">
        <is>
          <t>Cumplimiento del Plan Anual del Sistema de Gestión Ambiental</t>
        </is>
      </c>
      <c r="C522" t="inlineStr">
        <is>
          <t>GESTIÓN AMBIENTAL</t>
        </is>
      </c>
      <c r="D522" t="inlineStr">
        <is>
          <t>Semestral</t>
        </is>
      </c>
      <c r="E522" t="inlineStr">
        <is>
          <t>Positivo</t>
        </is>
      </c>
      <c r="F522" s="105" t="n">
        <v>45107</v>
      </c>
      <c r="G522" t="inlineStr">
        <is>
          <t>213-2023-06-30</t>
        </is>
      </c>
      <c r="H522" t="inlineStr">
        <is>
          <t>Programa de Gestión del Ahorro y Uso Eficiente de la Energía</t>
        </is>
      </c>
      <c r="I522" t="n">
        <v>90</v>
      </c>
      <c r="J522" t="n">
        <v>91.66999816894531</v>
      </c>
      <c r="AW522" t="n">
        <v>24</v>
      </c>
      <c r="AX522" t="n">
        <v>22</v>
      </c>
    </row>
    <row r="523">
      <c r="A523" t="n">
        <v>213</v>
      </c>
      <c r="B523" t="inlineStr">
        <is>
          <t>Cumplimiento del Plan Anual del Sistema de Gestión Ambiental</t>
        </is>
      </c>
      <c r="C523" t="inlineStr">
        <is>
          <t>GESTIÓN AMBIENTAL</t>
        </is>
      </c>
      <c r="D523" t="inlineStr">
        <is>
          <t>Semestral</t>
        </is>
      </c>
      <c r="E523" t="inlineStr">
        <is>
          <t>Positivo</t>
        </is>
      </c>
      <c r="F523" s="105" t="n">
        <v>45107</v>
      </c>
      <c r="G523" t="inlineStr">
        <is>
          <t>213-2023-06-30</t>
        </is>
      </c>
      <c r="H523" t="inlineStr">
        <is>
          <t>Programa de Gestión de la Calidad, Ahorro y Uso Eficiente del Agua</t>
        </is>
      </c>
      <c r="I523" t="n">
        <v>90</v>
      </c>
      <c r="J523" t="n">
        <v>91.66999816894531</v>
      </c>
      <c r="AW523" t="n">
        <v>24</v>
      </c>
      <c r="AX523" t="n">
        <v>22</v>
      </c>
    </row>
    <row r="524">
      <c r="A524" t="n">
        <v>213</v>
      </c>
      <c r="B524" t="inlineStr">
        <is>
          <t>Cumplimiento del Plan Anual del Sistema de Gestión Ambiental</t>
        </is>
      </c>
      <c r="C524" t="inlineStr">
        <is>
          <t>GESTIÓN AMBIENTAL</t>
        </is>
      </c>
      <c r="D524" t="inlineStr">
        <is>
          <t>Semestral</t>
        </is>
      </c>
      <c r="E524" t="inlineStr">
        <is>
          <t>Positivo</t>
        </is>
      </c>
      <c r="F524" s="105" t="n">
        <v>45107</v>
      </c>
      <c r="G524" t="inlineStr">
        <is>
          <t>213-2023-06-30</t>
        </is>
      </c>
      <c r="H524" t="inlineStr">
        <is>
          <t>Programa de Gestión del la Calidad del Aire,  Ruido Ambiental y Publicidad Exterior Visual</t>
        </is>
      </c>
      <c r="I524" t="n">
        <v>90</v>
      </c>
      <c r="J524" t="n">
        <v>85.70999908447266</v>
      </c>
      <c r="AW524" t="n">
        <v>14</v>
      </c>
      <c r="AX524" t="n">
        <v>12</v>
      </c>
    </row>
    <row r="525">
      <c r="A525" t="n">
        <v>213</v>
      </c>
      <c r="B525" t="inlineStr">
        <is>
          <t>Cumplimiento del Plan Anual del Sistema de Gestión Ambiental</t>
        </is>
      </c>
      <c r="C525" t="inlineStr">
        <is>
          <t>GESTIÓN AMBIENTAL</t>
        </is>
      </c>
      <c r="D525" t="inlineStr">
        <is>
          <t>Semestral</t>
        </is>
      </c>
      <c r="E525" t="inlineStr">
        <is>
          <t>Positivo</t>
        </is>
      </c>
      <c r="F525" s="105" t="n">
        <v>45107</v>
      </c>
      <c r="G525" t="inlineStr">
        <is>
          <t>213-2023-06-30</t>
        </is>
      </c>
      <c r="H525" t="inlineStr">
        <is>
          <t>Programa de Gestión de Áreas Naturales</t>
        </is>
      </c>
      <c r="I525" t="n">
        <v>90</v>
      </c>
      <c r="J525" t="n">
        <v>100</v>
      </c>
      <c r="AW525" t="n">
        <v>3</v>
      </c>
      <c r="AX525" t="n">
        <v>3</v>
      </c>
    </row>
    <row r="526">
      <c r="A526" t="n">
        <v>213</v>
      </c>
      <c r="B526" t="inlineStr">
        <is>
          <t>Cumplimiento del Plan Anual del Sistema de Gestión Ambiental</t>
        </is>
      </c>
      <c r="C526" t="inlineStr">
        <is>
          <t>GESTIÓN AMBIENTAL</t>
        </is>
      </c>
      <c r="D526" t="inlineStr">
        <is>
          <t>Semestral</t>
        </is>
      </c>
      <c r="E526" t="inlineStr">
        <is>
          <t>Positivo</t>
        </is>
      </c>
      <c r="F526" s="105" t="n">
        <v>45107</v>
      </c>
      <c r="G526" t="inlineStr">
        <is>
          <t>213-2023-06-30</t>
        </is>
      </c>
      <c r="H526" t="inlineStr">
        <is>
          <t>Programa de Gestión de la Medición y Compensación de Gases de Efecto Invernadero</t>
        </is>
      </c>
      <c r="I526" t="n">
        <v>90</v>
      </c>
      <c r="J526" t="n">
        <v>100</v>
      </c>
      <c r="AW526" t="n">
        <v>2</v>
      </c>
      <c r="AX526" t="n">
        <v>2</v>
      </c>
    </row>
    <row r="527">
      <c r="A527" t="n">
        <v>213</v>
      </c>
      <c r="B527" t="inlineStr">
        <is>
          <t>Cumplimiento del Plan Anual del Sistema de Gestión Ambiental</t>
        </is>
      </c>
      <c r="C527" t="inlineStr">
        <is>
          <t>GESTIÓN AMBIENTAL</t>
        </is>
      </c>
      <c r="D527" t="inlineStr">
        <is>
          <t>Semestral</t>
        </is>
      </c>
      <c r="E527" t="inlineStr">
        <is>
          <t>Positivo</t>
        </is>
      </c>
      <c r="F527" s="105" t="n">
        <v>45107</v>
      </c>
      <c r="G527" t="inlineStr">
        <is>
          <t>213-2023-06-30</t>
        </is>
      </c>
      <c r="H527" t="inlineStr">
        <is>
          <t>Programa Gestión de la Educación y Comunicación Ambiental</t>
        </is>
      </c>
      <c r="I527" t="n">
        <v>90</v>
      </c>
      <c r="J527" t="n">
        <v>91.30000305175781</v>
      </c>
      <c r="AW527" t="n">
        <v>46</v>
      </c>
      <c r="AX527" t="n">
        <v>42</v>
      </c>
    </row>
    <row r="528">
      <c r="A528" t="n">
        <v>213</v>
      </c>
      <c r="B528" t="inlineStr">
        <is>
          <t>Cumplimiento del Plan Anual del Sistema de Gestión Ambiental</t>
        </is>
      </c>
      <c r="C528" t="inlineStr">
        <is>
          <t>GESTIÓN AMBIENTAL</t>
        </is>
      </c>
      <c r="D528" t="inlineStr">
        <is>
          <t>Semestral</t>
        </is>
      </c>
      <c r="E528" t="inlineStr">
        <is>
          <t>Positivo</t>
        </is>
      </c>
      <c r="F528" s="105" t="n">
        <v>45107</v>
      </c>
      <c r="G528" t="inlineStr">
        <is>
          <t>213-2023-06-30</t>
        </is>
      </c>
      <c r="H528" t="inlineStr">
        <is>
          <t>Actividades de Gestión</t>
        </is>
      </c>
      <c r="I528" t="n">
        <v>90</v>
      </c>
      <c r="J528" t="n">
        <v>95.34999847412109</v>
      </c>
      <c r="AW528" t="n">
        <v>43</v>
      </c>
      <c r="AX528" t="n">
        <v>41</v>
      </c>
    </row>
    <row r="529">
      <c r="A529" t="n">
        <v>213</v>
      </c>
      <c r="B529" t="inlineStr">
        <is>
          <t>Cumplimiento del Plan Anual del Sistema de Gestión Ambiental</t>
        </is>
      </c>
      <c r="C529" t="inlineStr">
        <is>
          <t>GESTIÓN AMBIENTAL</t>
        </is>
      </c>
      <c r="D529" t="inlineStr">
        <is>
          <t>Semestral</t>
        </is>
      </c>
      <c r="E529" t="inlineStr">
        <is>
          <t>Positivo</t>
        </is>
      </c>
      <c r="F529" s="105" t="n">
        <v>45107</v>
      </c>
      <c r="G529" t="inlineStr">
        <is>
          <t>213-2023-06-30</t>
        </is>
      </c>
      <c r="H529" t="inlineStr">
        <is>
          <t>Plan de Gestión Integral de Residuos</t>
        </is>
      </c>
      <c r="I529" t="n">
        <v>90</v>
      </c>
      <c r="J529" t="n">
        <v>90.91000366210938</v>
      </c>
      <c r="AW529" t="n">
        <v>55</v>
      </c>
      <c r="AX529" t="n">
        <v>50</v>
      </c>
    </row>
    <row r="530">
      <c r="A530" t="n">
        <v>238</v>
      </c>
      <c r="B530" t="inlineStr">
        <is>
          <t>Cumplimiento de la Protección del Medio Ambiente</t>
        </is>
      </c>
      <c r="C530" t="inlineStr">
        <is>
          <t>GESTIÓN AMBIENTAL</t>
        </is>
      </c>
      <c r="D530" t="inlineStr">
        <is>
          <t>Semestral</t>
        </is>
      </c>
      <c r="E530" t="inlineStr">
        <is>
          <t>Positivo</t>
        </is>
      </c>
      <c r="F530" s="105" t="n">
        <v>45107</v>
      </c>
      <c r="G530" t="inlineStr">
        <is>
          <t>238-2023-06-30</t>
        </is>
      </c>
      <c r="H530" t="inlineStr">
        <is>
          <t>Cumplimiento del Plan Anual del SGA</t>
        </is>
      </c>
      <c r="I530" t="n">
        <v>90</v>
      </c>
      <c r="J530" t="n">
        <v>100</v>
      </c>
      <c r="AY530" t="n">
        <v>1</v>
      </c>
      <c r="AZ530" t="n">
        <v>1</v>
      </c>
    </row>
    <row r="531">
      <c r="A531" t="n">
        <v>238</v>
      </c>
      <c r="B531" t="inlineStr">
        <is>
          <t>Cumplimiento de la Protección del Medio Ambiente</t>
        </is>
      </c>
      <c r="C531" t="inlineStr">
        <is>
          <t>GESTIÓN AMBIENTAL</t>
        </is>
      </c>
      <c r="D531" t="inlineStr">
        <is>
          <t>Semestral</t>
        </is>
      </c>
      <c r="E531" t="inlineStr">
        <is>
          <t>Positivo</t>
        </is>
      </c>
      <c r="F531" s="105" t="n">
        <v>45107</v>
      </c>
      <c r="G531" t="inlineStr">
        <is>
          <t>238-2023-06-30</t>
        </is>
      </c>
      <c r="H531" t="inlineStr">
        <is>
          <t>Cumplimiento Gestión Integral de Residuos</t>
        </is>
      </c>
      <c r="I531" t="n">
        <v>90</v>
      </c>
      <c r="J531" t="n">
        <v>88.88999938964844</v>
      </c>
      <c r="AY531" t="n">
        <v>8</v>
      </c>
      <c r="AZ531" t="n">
        <v>9</v>
      </c>
    </row>
    <row r="532">
      <c r="A532" t="n">
        <v>238</v>
      </c>
      <c r="B532" t="inlineStr">
        <is>
          <t>Cumplimiento de la Protección del Medio Ambiente</t>
        </is>
      </c>
      <c r="C532" t="inlineStr">
        <is>
          <t>GESTIÓN AMBIENTAL</t>
        </is>
      </c>
      <c r="D532" t="inlineStr">
        <is>
          <t>Semestral</t>
        </is>
      </c>
      <c r="E532" t="inlineStr">
        <is>
          <t>Positivo</t>
        </is>
      </c>
      <c r="F532" s="105" t="n">
        <v>45107</v>
      </c>
      <c r="G532" t="inlineStr">
        <is>
          <t>238-2023-06-30</t>
        </is>
      </c>
      <c r="H532" t="inlineStr">
        <is>
          <t>Cumplimiento Gestión del Ahorro y Uso Eficiente de Energía</t>
        </is>
      </c>
      <c r="I532" t="n">
        <v>90</v>
      </c>
      <c r="J532" t="n">
        <v>100</v>
      </c>
      <c r="AY532" t="n">
        <v>5</v>
      </c>
      <c r="AZ532" t="n">
        <v>5</v>
      </c>
    </row>
    <row r="533">
      <c r="A533" t="n">
        <v>238</v>
      </c>
      <c r="B533" t="inlineStr">
        <is>
          <t>Cumplimiento de la Protección del Medio Ambiente</t>
        </is>
      </c>
      <c r="C533" t="inlineStr">
        <is>
          <t>GESTIÓN AMBIENTAL</t>
        </is>
      </c>
      <c r="D533" t="inlineStr">
        <is>
          <t>Semestral</t>
        </is>
      </c>
      <c r="E533" t="inlineStr">
        <is>
          <t>Positivo</t>
        </is>
      </c>
      <c r="F533" s="105" t="n">
        <v>45107</v>
      </c>
      <c r="G533" t="inlineStr">
        <is>
          <t>238-2023-06-30</t>
        </is>
      </c>
      <c r="H533" t="inlineStr">
        <is>
          <t>Cumplimiento Gestión de la Calidad, Ahorro y Uso Eficiente del Agua</t>
        </is>
      </c>
      <c r="I533" t="n">
        <v>90</v>
      </c>
      <c r="J533" t="n">
        <v>100</v>
      </c>
      <c r="AY533" t="n">
        <v>5</v>
      </c>
      <c r="AZ533" t="n">
        <v>5</v>
      </c>
    </row>
    <row r="534">
      <c r="A534" t="n">
        <v>238</v>
      </c>
      <c r="B534" t="inlineStr">
        <is>
          <t>Cumplimiento de la Protección del Medio Ambiente</t>
        </is>
      </c>
      <c r="C534" t="inlineStr">
        <is>
          <t>GESTIÓN AMBIENTAL</t>
        </is>
      </c>
      <c r="D534" t="inlineStr">
        <is>
          <t>Semestral</t>
        </is>
      </c>
      <c r="E534" t="inlineStr">
        <is>
          <t>Positivo</t>
        </is>
      </c>
      <c r="F534" s="105" t="n">
        <v>45107</v>
      </c>
      <c r="G534" t="inlineStr">
        <is>
          <t>238-2023-06-30</t>
        </is>
      </c>
      <c r="H534" t="inlineStr">
        <is>
          <t>Cumplimiento Gestión del la Calidad del Aire,  Ruido Ambiental y Publicidad Exterior Visual</t>
        </is>
      </c>
      <c r="I534" t="n">
        <v>90</v>
      </c>
      <c r="J534" t="n">
        <v>0</v>
      </c>
      <c r="AY534" t="n">
        <v>0</v>
      </c>
      <c r="AZ534" t="n">
        <v>0</v>
      </c>
    </row>
    <row r="535">
      <c r="A535" t="n">
        <v>238</v>
      </c>
      <c r="B535" t="inlineStr">
        <is>
          <t>Cumplimiento de la Protección del Medio Ambiente</t>
        </is>
      </c>
      <c r="C535" t="inlineStr">
        <is>
          <t>GESTIÓN AMBIENTAL</t>
        </is>
      </c>
      <c r="D535" t="inlineStr">
        <is>
          <t>Semestral</t>
        </is>
      </c>
      <c r="E535" t="inlineStr">
        <is>
          <t>Positivo</t>
        </is>
      </c>
      <c r="F535" s="105" t="n">
        <v>45107</v>
      </c>
      <c r="G535" t="inlineStr">
        <is>
          <t>238-2023-06-30</t>
        </is>
      </c>
      <c r="H535" t="inlineStr">
        <is>
          <t>Cumplimiento Gestión de Áreas Naturales</t>
        </is>
      </c>
      <c r="I535" t="n">
        <v>90</v>
      </c>
      <c r="J535" t="n">
        <v>100</v>
      </c>
      <c r="AY535" t="n">
        <v>3</v>
      </c>
      <c r="AZ535" t="n">
        <v>3</v>
      </c>
    </row>
    <row r="536">
      <c r="A536" t="n">
        <v>238</v>
      </c>
      <c r="B536" t="inlineStr">
        <is>
          <t>Cumplimiento de la Protección del Medio Ambiente</t>
        </is>
      </c>
      <c r="C536" t="inlineStr">
        <is>
          <t>GESTIÓN AMBIENTAL</t>
        </is>
      </c>
      <c r="D536" t="inlineStr">
        <is>
          <t>Semestral</t>
        </is>
      </c>
      <c r="E536" t="inlineStr">
        <is>
          <t>Positivo</t>
        </is>
      </c>
      <c r="F536" s="105" t="n">
        <v>45107</v>
      </c>
      <c r="G536" t="inlineStr">
        <is>
          <t>238-2023-06-30</t>
        </is>
      </c>
      <c r="H536" t="inlineStr">
        <is>
          <t>Cumplimiento Gestión de la Medición y Compensación de GEI</t>
        </is>
      </c>
      <c r="I536" t="n">
        <v>90</v>
      </c>
      <c r="J536" t="n">
        <v>0</v>
      </c>
      <c r="AZ536" t="n">
        <v>0</v>
      </c>
    </row>
    <row r="537">
      <c r="A537" t="n">
        <v>238</v>
      </c>
      <c r="B537" t="inlineStr">
        <is>
          <t>Cumplimiento de la Protección del Medio Ambiente</t>
        </is>
      </c>
      <c r="C537" t="inlineStr">
        <is>
          <t>GESTIÓN AMBIENTAL</t>
        </is>
      </c>
      <c r="D537" t="inlineStr">
        <is>
          <t>Semestral</t>
        </is>
      </c>
      <c r="E537" t="inlineStr">
        <is>
          <t>Positivo</t>
        </is>
      </c>
      <c r="F537" s="105" t="n">
        <v>45107</v>
      </c>
      <c r="G537" t="inlineStr">
        <is>
          <t>238-2023-06-30</t>
        </is>
      </c>
      <c r="H537" t="inlineStr">
        <is>
          <t>Cumplimiento Gestión de la Educación y Comunicación Ambiental</t>
        </is>
      </c>
      <c r="I537" t="n">
        <v>90</v>
      </c>
      <c r="J537" t="n">
        <v>100</v>
      </c>
      <c r="AY537" t="n">
        <v>5</v>
      </c>
      <c r="AZ537" t="n">
        <v>5</v>
      </c>
    </row>
    <row r="538">
      <c r="A538" t="n">
        <v>306</v>
      </c>
      <c r="B538" t="inlineStr">
        <is>
          <t>Seguimiento KPI Plan de Desarrollo Institucional</t>
        </is>
      </c>
      <c r="C538" t="inlineStr">
        <is>
          <t>Desempeño Institucional</t>
        </is>
      </c>
      <c r="D538" t="inlineStr">
        <is>
          <t>Semestral</t>
        </is>
      </c>
      <c r="E538" t="inlineStr">
        <is>
          <t>Positivo</t>
        </is>
      </c>
      <c r="F538" s="105" t="n">
        <v>45107</v>
      </c>
      <c r="G538" t="inlineStr">
        <is>
          <t>306-2023-06-30</t>
        </is>
      </c>
      <c r="H538" t="inlineStr">
        <is>
          <t>Sostenibilidad</t>
        </is>
      </c>
      <c r="I538" t="n">
        <v>100</v>
      </c>
      <c r="J538" t="n">
        <v>173</v>
      </c>
      <c r="BY538" t="n">
        <v>173</v>
      </c>
    </row>
    <row r="539">
      <c r="A539" t="n">
        <v>306</v>
      </c>
      <c r="B539" t="inlineStr">
        <is>
          <t>Seguimiento KPI Plan de Desarrollo Institucional</t>
        </is>
      </c>
      <c r="C539" t="inlineStr">
        <is>
          <t>Desempeño Institucional</t>
        </is>
      </c>
      <c r="D539" t="inlineStr">
        <is>
          <t>Semestral</t>
        </is>
      </c>
      <c r="E539" t="inlineStr">
        <is>
          <t>Positivo</t>
        </is>
      </c>
      <c r="F539" s="105" t="n">
        <v>45107</v>
      </c>
      <c r="G539" t="inlineStr">
        <is>
          <t>306-2023-06-30</t>
        </is>
      </c>
      <c r="H539" t="inlineStr">
        <is>
          <t>Experiencia</t>
        </is>
      </c>
      <c r="I539" t="n">
        <v>100</v>
      </c>
      <c r="J539" t="n">
        <v>97</v>
      </c>
      <c r="BY539" t="n">
        <v>97</v>
      </c>
    </row>
    <row r="540">
      <c r="A540" t="n">
        <v>306</v>
      </c>
      <c r="B540" t="inlineStr">
        <is>
          <t>Seguimiento KPI Plan de Desarrollo Institucional</t>
        </is>
      </c>
      <c r="C540" t="inlineStr">
        <is>
          <t>Desempeño Institucional</t>
        </is>
      </c>
      <c r="D540" t="inlineStr">
        <is>
          <t>Semestral</t>
        </is>
      </c>
      <c r="E540" t="inlineStr">
        <is>
          <t>Positivo</t>
        </is>
      </c>
      <c r="F540" s="105" t="n">
        <v>45107</v>
      </c>
      <c r="G540" t="inlineStr">
        <is>
          <t>306-2023-06-30</t>
        </is>
      </c>
      <c r="H540" t="inlineStr">
        <is>
          <t>Trasformación Organizacional</t>
        </is>
      </c>
      <c r="I540" t="n">
        <v>100</v>
      </c>
      <c r="J540" t="n">
        <v>99</v>
      </c>
      <c r="BY540" t="n">
        <v>99</v>
      </c>
    </row>
    <row r="541">
      <c r="A541" t="n">
        <v>306</v>
      </c>
      <c r="B541" t="inlineStr">
        <is>
          <t>Seguimiento KPI Plan de Desarrollo Institucional</t>
        </is>
      </c>
      <c r="C541" t="inlineStr">
        <is>
          <t>Desempeño Institucional</t>
        </is>
      </c>
      <c r="D541" t="inlineStr">
        <is>
          <t>Semestral</t>
        </is>
      </c>
      <c r="E541" t="inlineStr">
        <is>
          <t>Positivo</t>
        </is>
      </c>
      <c r="F541" s="105" t="n">
        <v>45107</v>
      </c>
      <c r="G541" t="inlineStr">
        <is>
          <t>306-2023-06-30</t>
        </is>
      </c>
      <c r="H541" t="inlineStr">
        <is>
          <t>Educación para toda la vida</t>
        </is>
      </c>
      <c r="I541" t="n">
        <v>100</v>
      </c>
      <c r="J541" t="n">
        <v>148</v>
      </c>
      <c r="BY541" t="n">
        <v>148</v>
      </c>
    </row>
    <row r="542">
      <c r="A542" t="n">
        <v>306</v>
      </c>
      <c r="B542" t="inlineStr">
        <is>
          <t>Seguimiento KPI Plan de Desarrollo Institucional</t>
        </is>
      </c>
      <c r="C542" t="inlineStr">
        <is>
          <t>Desempeño Institucional</t>
        </is>
      </c>
      <c r="D542" t="inlineStr">
        <is>
          <t>Semestral</t>
        </is>
      </c>
      <c r="E542" t="inlineStr">
        <is>
          <t>Positivo</t>
        </is>
      </c>
      <c r="F542" s="105" t="n">
        <v>45107</v>
      </c>
      <c r="G542" t="inlineStr">
        <is>
          <t>306-2023-06-30</t>
        </is>
      </c>
      <c r="H542" t="inlineStr">
        <is>
          <t>Expansión</t>
        </is>
      </c>
      <c r="I542" t="n">
        <v>100</v>
      </c>
      <c r="J542" t="n">
        <v>101</v>
      </c>
      <c r="BY542" t="n">
        <v>101</v>
      </c>
    </row>
    <row r="543">
      <c r="A543" t="n">
        <v>306</v>
      </c>
      <c r="B543" t="inlineStr">
        <is>
          <t>Seguimiento KPI Plan de Desarrollo Institucional</t>
        </is>
      </c>
      <c r="C543" t="inlineStr">
        <is>
          <t>Desempeño Institucional</t>
        </is>
      </c>
      <c r="D543" t="inlineStr">
        <is>
          <t>Semestral</t>
        </is>
      </c>
      <c r="E543" t="inlineStr">
        <is>
          <t>Positivo</t>
        </is>
      </c>
      <c r="F543" s="105" t="n">
        <v>45107</v>
      </c>
      <c r="G543" t="inlineStr">
        <is>
          <t>306-2023-06-30</t>
        </is>
      </c>
      <c r="H543" t="inlineStr">
        <is>
          <t>Calidad</t>
        </is>
      </c>
      <c r="I543" t="n">
        <v>100</v>
      </c>
      <c r="J543" t="n">
        <v>105</v>
      </c>
      <c r="BY543" t="n">
        <v>105</v>
      </c>
    </row>
    <row r="544">
      <c r="A544" t="n">
        <v>373</v>
      </c>
      <c r="B544" t="inlineStr">
        <is>
          <t>Cumplimiento de planes anuales por líneas</t>
        </is>
      </c>
      <c r="C544" t="inlineStr">
        <is>
          <t>Planeación Estratégica</t>
        </is>
      </c>
      <c r="D544" t="inlineStr">
        <is>
          <t>Semestral</t>
        </is>
      </c>
      <c r="E544" t="inlineStr">
        <is>
          <t>Positivo</t>
        </is>
      </c>
      <c r="F544" s="105" t="n">
        <v>45107</v>
      </c>
      <c r="G544" t="inlineStr">
        <is>
          <t>373-2023-06-30</t>
        </is>
      </c>
      <c r="H544" t="inlineStr">
        <is>
          <t>Calidad</t>
        </is>
      </c>
      <c r="I544" t="n">
        <v>100</v>
      </c>
      <c r="J544" t="n">
        <v>113.5599975585938</v>
      </c>
      <c r="BZ544" t="n">
        <v>67</v>
      </c>
      <c r="CA544" t="n">
        <v>59</v>
      </c>
    </row>
    <row r="545">
      <c r="A545" t="n">
        <v>373</v>
      </c>
      <c r="B545" t="inlineStr">
        <is>
          <t>Cumplimiento de planes anuales por líneas</t>
        </is>
      </c>
      <c r="C545" t="inlineStr">
        <is>
          <t>Planeación Estratégica</t>
        </is>
      </c>
      <c r="D545" t="inlineStr">
        <is>
          <t>Semestral</t>
        </is>
      </c>
      <c r="E545" t="inlineStr">
        <is>
          <t>Positivo</t>
        </is>
      </c>
      <c r="F545" s="105" t="n">
        <v>45107</v>
      </c>
      <c r="G545" t="inlineStr">
        <is>
          <t>373-2023-06-30</t>
        </is>
      </c>
      <c r="H545" t="inlineStr">
        <is>
          <t>Expansión</t>
        </is>
      </c>
      <c r="I545" t="n">
        <v>100</v>
      </c>
      <c r="J545" t="n">
        <v>120.75</v>
      </c>
      <c r="BZ545" t="n">
        <v>64</v>
      </c>
      <c r="CA545" t="n">
        <v>53</v>
      </c>
    </row>
    <row r="546">
      <c r="A546" t="n">
        <v>373</v>
      </c>
      <c r="B546" t="inlineStr">
        <is>
          <t>Cumplimiento de planes anuales por líneas</t>
        </is>
      </c>
      <c r="C546" t="inlineStr">
        <is>
          <t>Planeación Estratégica</t>
        </is>
      </c>
      <c r="D546" t="inlineStr">
        <is>
          <t>Semestral</t>
        </is>
      </c>
      <c r="E546" t="inlineStr">
        <is>
          <t>Positivo</t>
        </is>
      </c>
      <c r="F546" s="105" t="n">
        <v>45107</v>
      </c>
      <c r="G546" t="inlineStr">
        <is>
          <t>373-2023-06-30</t>
        </is>
      </c>
      <c r="H546" t="inlineStr">
        <is>
          <t>Educación para toda la vida</t>
        </is>
      </c>
      <c r="I546" t="n">
        <v>100</v>
      </c>
      <c r="J546" t="n">
        <v>95.58999633789062</v>
      </c>
      <c r="BZ546" t="n">
        <v>65</v>
      </c>
      <c r="CA546" t="n">
        <v>68</v>
      </c>
    </row>
    <row r="547">
      <c r="A547" t="n">
        <v>373</v>
      </c>
      <c r="B547" t="inlineStr">
        <is>
          <t>Cumplimiento de planes anuales por líneas</t>
        </is>
      </c>
      <c r="C547" t="inlineStr">
        <is>
          <t>Planeación Estratégica</t>
        </is>
      </c>
      <c r="D547" t="inlineStr">
        <is>
          <t>Semestral</t>
        </is>
      </c>
      <c r="E547" t="inlineStr">
        <is>
          <t>Positivo</t>
        </is>
      </c>
      <c r="F547" s="105" t="n">
        <v>45107</v>
      </c>
      <c r="G547" t="inlineStr">
        <is>
          <t>373-2023-06-30</t>
        </is>
      </c>
      <c r="H547" t="inlineStr">
        <is>
          <t>Trasformación Organizacional</t>
        </is>
      </c>
      <c r="I547" t="n">
        <v>100</v>
      </c>
      <c r="J547" t="n">
        <v>96.97000122070312</v>
      </c>
      <c r="BZ547" t="n">
        <v>64</v>
      </c>
      <c r="CA547" t="n">
        <v>66</v>
      </c>
    </row>
    <row r="548">
      <c r="A548" t="n">
        <v>373</v>
      </c>
      <c r="B548" t="inlineStr">
        <is>
          <t>Cumplimiento de planes anuales por líneas</t>
        </is>
      </c>
      <c r="C548" t="inlineStr">
        <is>
          <t>Planeación Estratégica</t>
        </is>
      </c>
      <c r="D548" t="inlineStr">
        <is>
          <t>Semestral</t>
        </is>
      </c>
      <c r="E548" t="inlineStr">
        <is>
          <t>Positivo</t>
        </is>
      </c>
      <c r="F548" s="105" t="n">
        <v>45107</v>
      </c>
      <c r="G548" t="inlineStr">
        <is>
          <t>373-2023-06-30</t>
        </is>
      </c>
      <c r="H548" t="inlineStr">
        <is>
          <t>Experiencia</t>
        </is>
      </c>
      <c r="I548" t="n">
        <v>100</v>
      </c>
      <c r="J548" t="n">
        <v>101.6399993896484</v>
      </c>
      <c r="BZ548" t="n">
        <v>62</v>
      </c>
      <c r="CA548" t="n">
        <v>61</v>
      </c>
    </row>
    <row r="549">
      <c r="A549" t="n">
        <v>373</v>
      </c>
      <c r="B549" t="inlineStr">
        <is>
          <t>Cumplimiento de planes anuales por líneas</t>
        </is>
      </c>
      <c r="C549" t="inlineStr">
        <is>
          <t>Planeación Estratégica</t>
        </is>
      </c>
      <c r="D549" t="inlineStr">
        <is>
          <t>Semestral</t>
        </is>
      </c>
      <c r="E549" t="inlineStr">
        <is>
          <t>Positivo</t>
        </is>
      </c>
      <c r="F549" s="105" t="n">
        <v>45107</v>
      </c>
      <c r="G549" t="inlineStr">
        <is>
          <t>373-2023-06-30</t>
        </is>
      </c>
      <c r="H549" t="inlineStr">
        <is>
          <t>Sostenibilidad</t>
        </is>
      </c>
      <c r="I549" t="n">
        <v>100</v>
      </c>
      <c r="J549" t="n">
        <v>114.5199966430664</v>
      </c>
      <c r="BZ549" t="n">
        <v>71</v>
      </c>
      <c r="CA549" t="n">
        <v>62</v>
      </c>
    </row>
    <row r="550">
      <c r="A550" t="n">
        <v>390</v>
      </c>
      <c r="B550" t="inlineStr">
        <is>
          <t>Cumplimiento Plan Anual por escuela</t>
        </is>
      </c>
      <c r="C550" t="inlineStr">
        <is>
          <t>Planeación Estratégica</t>
        </is>
      </c>
      <c r="D550" t="inlineStr">
        <is>
          <t>Semestral</t>
        </is>
      </c>
      <c r="E550" t="inlineStr">
        <is>
          <t>Positivo</t>
        </is>
      </c>
      <c r="F550" s="105" t="n">
        <v>45107</v>
      </c>
      <c r="G550" t="inlineStr">
        <is>
          <t>390-2023-06-30</t>
        </is>
      </c>
      <c r="H550" t="inlineStr">
        <is>
          <t>ESCUELA DE CIENCIAS BÁSICAS</t>
        </is>
      </c>
      <c r="I550" t="n">
        <v>100</v>
      </c>
      <c r="J550" t="n">
        <v>105.1999969482422</v>
      </c>
      <c r="CB550" t="n">
        <v>66</v>
      </c>
      <c r="CC550" t="n">
        <v>62.74</v>
      </c>
    </row>
    <row r="551">
      <c r="A551" t="n">
        <v>390</v>
      </c>
      <c r="B551" t="inlineStr">
        <is>
          <t>Cumplimiento Plan Anual por escuela</t>
        </is>
      </c>
      <c r="C551" t="inlineStr">
        <is>
          <t>Planeación Estratégica</t>
        </is>
      </c>
      <c r="D551" t="inlineStr">
        <is>
          <t>Semestral</t>
        </is>
      </c>
      <c r="E551" t="inlineStr">
        <is>
          <t>Positivo</t>
        </is>
      </c>
      <c r="F551" s="105" t="n">
        <v>45107</v>
      </c>
      <c r="G551" t="inlineStr">
        <is>
          <t>390-2023-06-30</t>
        </is>
      </c>
      <c r="H551" t="inlineStr">
        <is>
          <t>ESCUELA DE  DISEÑO</t>
        </is>
      </c>
      <c r="I551" t="n">
        <v>100</v>
      </c>
      <c r="J551" t="n">
        <v>110.0699996948242</v>
      </c>
      <c r="CB551" t="n">
        <v>73</v>
      </c>
      <c r="CC551" t="n">
        <v>66.31999999999999</v>
      </c>
    </row>
    <row r="552">
      <c r="A552" t="n">
        <v>390</v>
      </c>
      <c r="B552" t="inlineStr">
        <is>
          <t>Cumplimiento Plan Anual por escuela</t>
        </is>
      </c>
      <c r="C552" t="inlineStr">
        <is>
          <t>Planeación Estratégica</t>
        </is>
      </c>
      <c r="D552" t="inlineStr">
        <is>
          <t>Semestral</t>
        </is>
      </c>
      <c r="E552" t="inlineStr">
        <is>
          <t>Positivo</t>
        </is>
      </c>
      <c r="F552" s="105" t="n">
        <v>45107</v>
      </c>
      <c r="G552" t="inlineStr">
        <is>
          <t>390-2023-06-30</t>
        </is>
      </c>
      <c r="H552" t="inlineStr">
        <is>
          <t>ESCUELA DE OPTIMIZACIÓN, INFRA Y AUTO</t>
        </is>
      </c>
      <c r="I552" t="n">
        <v>100</v>
      </c>
      <c r="J552" t="n">
        <v>114.2900009155273</v>
      </c>
      <c r="CB552" t="n">
        <v>77.5</v>
      </c>
      <c r="CC552" t="n">
        <v>67.81</v>
      </c>
    </row>
    <row r="553">
      <c r="A553" t="n">
        <v>390</v>
      </c>
      <c r="B553" t="inlineStr">
        <is>
          <t>Cumplimiento Plan Anual por escuela</t>
        </is>
      </c>
      <c r="C553" t="inlineStr">
        <is>
          <t>Planeación Estratégica</t>
        </is>
      </c>
      <c r="D553" t="inlineStr">
        <is>
          <t>Semestral</t>
        </is>
      </c>
      <c r="E553" t="inlineStr">
        <is>
          <t>Positivo</t>
        </is>
      </c>
      <c r="F553" s="105" t="n">
        <v>45107</v>
      </c>
      <c r="G553" t="inlineStr">
        <is>
          <t>390-2023-06-30</t>
        </is>
      </c>
      <c r="H553" t="inlineStr">
        <is>
          <t>ESCUELA TIC</t>
        </is>
      </c>
      <c r="I553" t="n">
        <v>100</v>
      </c>
      <c r="J553" t="n">
        <v>120.7300033569336</v>
      </c>
      <c r="CB553" t="n">
        <v>78.33</v>
      </c>
      <c r="CC553" t="n">
        <v>64.88</v>
      </c>
    </row>
    <row r="554">
      <c r="A554" t="n">
        <v>390</v>
      </c>
      <c r="B554" t="inlineStr">
        <is>
          <t>Cumplimiento Plan Anual por escuela</t>
        </is>
      </c>
      <c r="C554" t="inlineStr">
        <is>
          <t>Planeación Estratégica</t>
        </is>
      </c>
      <c r="D554" t="inlineStr">
        <is>
          <t>Semestral</t>
        </is>
      </c>
      <c r="E554" t="inlineStr">
        <is>
          <t>Positivo</t>
        </is>
      </c>
      <c r="F554" s="105" t="n">
        <v>45107</v>
      </c>
      <c r="G554" t="inlineStr">
        <is>
          <t>390-2023-06-30</t>
        </is>
      </c>
      <c r="H554" t="inlineStr">
        <is>
          <t>ESCUELA DE ADMINISTRACIÓN Y COMPETITIVIDAD</t>
        </is>
      </c>
      <c r="I554" t="n">
        <v>100</v>
      </c>
      <c r="J554" t="n">
        <v>104.9400024414062</v>
      </c>
      <c r="CB554" t="n">
        <v>53.93</v>
      </c>
      <c r="CC554" t="n">
        <v>51.39</v>
      </c>
    </row>
    <row r="555">
      <c r="A555" t="n">
        <v>390</v>
      </c>
      <c r="B555" t="inlineStr">
        <is>
          <t>Cumplimiento Plan Anual por escuela</t>
        </is>
      </c>
      <c r="C555" t="inlineStr">
        <is>
          <t>Planeación Estratégica</t>
        </is>
      </c>
      <c r="D555" t="inlineStr">
        <is>
          <t>Semestral</t>
        </is>
      </c>
      <c r="E555" t="inlineStr">
        <is>
          <t>Positivo</t>
        </is>
      </c>
      <c r="F555" s="105" t="n">
        <v>45107</v>
      </c>
      <c r="G555" t="inlineStr">
        <is>
          <t>390-2023-06-30</t>
        </is>
      </c>
      <c r="H555" t="inlineStr">
        <is>
          <t>ESCUELA DE CONTABILIDAD INTERNACIONAL</t>
        </is>
      </c>
      <c r="I555" t="n">
        <v>100</v>
      </c>
      <c r="J555" t="n">
        <v>123.3199996948242</v>
      </c>
      <c r="CB555" t="n">
        <v>67</v>
      </c>
      <c r="CC555" t="n">
        <v>54.33</v>
      </c>
    </row>
    <row r="556">
      <c r="A556" t="n">
        <v>390</v>
      </c>
      <c r="B556" t="inlineStr">
        <is>
          <t>Cumplimiento Plan Anual por escuela</t>
        </is>
      </c>
      <c r="C556" t="inlineStr">
        <is>
          <t>Planeación Estratégica</t>
        </is>
      </c>
      <c r="D556" t="inlineStr">
        <is>
          <t>Semestral</t>
        </is>
      </c>
      <c r="E556" t="inlineStr">
        <is>
          <t>Positivo</t>
        </is>
      </c>
      <c r="F556" s="105" t="n">
        <v>45107</v>
      </c>
      <c r="G556" t="inlineStr">
        <is>
          <t>390-2023-06-30</t>
        </is>
      </c>
      <c r="H556" t="inlineStr">
        <is>
          <t>ESCUELA DE NEGOCIOS Y DESARROLLO INTERNACIONAL</t>
        </is>
      </c>
      <c r="I556" t="n">
        <v>100</v>
      </c>
      <c r="J556" t="n">
        <v>121</v>
      </c>
      <c r="CB556" t="n">
        <v>73.06</v>
      </c>
      <c r="CC556" t="n">
        <v>60.38</v>
      </c>
    </row>
    <row r="557">
      <c r="A557" t="n">
        <v>390</v>
      </c>
      <c r="B557" t="inlineStr">
        <is>
          <t>Cumplimiento Plan Anual por escuela</t>
        </is>
      </c>
      <c r="C557" t="inlineStr">
        <is>
          <t>Planeación Estratégica</t>
        </is>
      </c>
      <c r="D557" t="inlineStr">
        <is>
          <t>Semestral</t>
        </is>
      </c>
      <c r="E557" t="inlineStr">
        <is>
          <t>Positivo</t>
        </is>
      </c>
      <c r="F557" s="105" t="n">
        <v>45107</v>
      </c>
      <c r="G557" t="inlineStr">
        <is>
          <t>390-2023-06-30</t>
        </is>
      </c>
      <c r="H557" t="inlineStr">
        <is>
          <t>ESCUELA DE COMUNICACIÓN ARTES VISUALES Y DIGITALES</t>
        </is>
      </c>
      <c r="I557" t="n">
        <v>100</v>
      </c>
      <c r="J557" t="n">
        <v>98.70999908447266</v>
      </c>
      <c r="CB557" t="n">
        <v>68.75</v>
      </c>
      <c r="CC557" t="n">
        <v>69.65000000000001</v>
      </c>
    </row>
    <row r="558">
      <c r="A558" t="n">
        <v>390</v>
      </c>
      <c r="B558" t="inlineStr">
        <is>
          <t>Cumplimiento Plan Anual por escuela</t>
        </is>
      </c>
      <c r="C558" t="inlineStr">
        <is>
          <t>Planeación Estratégica</t>
        </is>
      </c>
      <c r="D558" t="inlineStr">
        <is>
          <t>Semestral</t>
        </is>
      </c>
      <c r="E558" t="inlineStr">
        <is>
          <t>Positivo</t>
        </is>
      </c>
      <c r="F558" s="105" t="n">
        <v>45107</v>
      </c>
      <c r="G558" t="inlineStr">
        <is>
          <t>390-2023-06-30</t>
        </is>
      </c>
      <c r="H558" t="inlineStr">
        <is>
          <t>ESCUELA DE EDUCACIÓN E INNOVACIÓN</t>
        </is>
      </c>
      <c r="I558" t="n">
        <v>100</v>
      </c>
      <c r="J558" t="n">
        <v>110.1800003051758</v>
      </c>
      <c r="CB558" t="n">
        <v>67.67</v>
      </c>
      <c r="CC558" t="n">
        <v>61.42</v>
      </c>
    </row>
    <row r="559">
      <c r="A559" t="n">
        <v>390</v>
      </c>
      <c r="B559" t="inlineStr">
        <is>
          <t>Cumplimiento Plan Anual por escuela</t>
        </is>
      </c>
      <c r="C559" t="inlineStr">
        <is>
          <t>Planeación Estratégica</t>
        </is>
      </c>
      <c r="D559" t="inlineStr">
        <is>
          <t>Semestral</t>
        </is>
      </c>
      <c r="E559" t="inlineStr">
        <is>
          <t>Positivo</t>
        </is>
      </c>
      <c r="F559" s="105" t="n">
        <v>45107</v>
      </c>
      <c r="G559" t="inlineStr">
        <is>
          <t>390-2023-06-30</t>
        </is>
      </c>
      <c r="H559" t="inlineStr">
        <is>
          <t>ESCUELA DE DERECHO Y GOBIERNO</t>
        </is>
      </c>
      <c r="I559" t="n">
        <v>100</v>
      </c>
      <c r="J559" t="n">
        <v>113.0299987792969</v>
      </c>
      <c r="CB559" t="n">
        <v>58.57</v>
      </c>
      <c r="CC559" t="n">
        <v>51.82</v>
      </c>
    </row>
    <row r="560">
      <c r="A560" t="n">
        <v>390</v>
      </c>
      <c r="B560" t="inlineStr">
        <is>
          <t>Cumplimiento Plan Anual por escuela</t>
        </is>
      </c>
      <c r="C560" t="inlineStr">
        <is>
          <t>Planeación Estratégica</t>
        </is>
      </c>
      <c r="D560" t="inlineStr">
        <is>
          <t>Semestral</t>
        </is>
      </c>
      <c r="E560" t="inlineStr">
        <is>
          <t>Positivo</t>
        </is>
      </c>
      <c r="F560" s="105" t="n">
        <v>45107</v>
      </c>
      <c r="G560" t="inlineStr">
        <is>
          <t>390-2023-06-30</t>
        </is>
      </c>
      <c r="H560" t="inlineStr">
        <is>
          <t>ESCUELA DE MARKETING Y BRANDING</t>
        </is>
      </c>
      <c r="I560" t="n">
        <v>100</v>
      </c>
      <c r="J560" t="n">
        <v>105.9899978637695</v>
      </c>
      <c r="CB560" t="n">
        <v>73.75</v>
      </c>
      <c r="CC560" t="n">
        <v>69.58</v>
      </c>
    </row>
    <row r="561">
      <c r="A561" t="n">
        <v>390</v>
      </c>
      <c r="B561" t="inlineStr">
        <is>
          <t>Cumplimiento Plan Anual por escuela</t>
        </is>
      </c>
      <c r="C561" t="inlineStr">
        <is>
          <t>Planeación Estratégica</t>
        </is>
      </c>
      <c r="D561" t="inlineStr">
        <is>
          <t>Semestral</t>
        </is>
      </c>
      <c r="E561" t="inlineStr">
        <is>
          <t>Positivo</t>
        </is>
      </c>
      <c r="F561" s="105" t="n">
        <v>45107</v>
      </c>
      <c r="G561" t="inlineStr">
        <is>
          <t>390-2023-06-30</t>
        </is>
      </c>
      <c r="H561" t="inlineStr">
        <is>
          <t>ESCUELA DE PSIC, TALENTO HUM Y SOC</t>
        </is>
      </c>
      <c r="I561" t="n">
        <v>100</v>
      </c>
      <c r="J561" t="n">
        <v>97.15000152587891</v>
      </c>
      <c r="CB561" t="n">
        <v>70.20999999999999</v>
      </c>
      <c r="CC561" t="n">
        <v>72.27</v>
      </c>
    </row>
    <row r="562">
      <c r="A562" t="n">
        <v>414</v>
      </c>
      <c r="B562" t="inlineStr">
        <is>
          <t>Cumplimiento Plan Anual Rectoría</t>
        </is>
      </c>
      <c r="C562" t="inlineStr">
        <is>
          <t>Planeación Estratégica</t>
        </is>
      </c>
      <c r="D562" t="inlineStr">
        <is>
          <t>Semestral</t>
        </is>
      </c>
      <c r="E562" t="inlineStr">
        <is>
          <t>Positivo</t>
        </is>
      </c>
      <c r="F562" s="105" t="n">
        <v>45107</v>
      </c>
      <c r="G562" t="inlineStr">
        <is>
          <t>414-2023-06-30</t>
        </is>
      </c>
      <c r="H562" t="inlineStr">
        <is>
          <t>Vicerrectoría de crecimiento</t>
        </is>
      </c>
      <c r="I562" t="n">
        <v>100</v>
      </c>
      <c r="J562" t="n">
        <v>109.8600006103516</v>
      </c>
      <c r="CD562" t="n">
        <v>78</v>
      </c>
      <c r="CE562" t="n">
        <v>71</v>
      </c>
    </row>
    <row r="563">
      <c r="A563" t="n">
        <v>414</v>
      </c>
      <c r="B563" t="inlineStr">
        <is>
          <t>Cumplimiento Plan Anual Rectoría</t>
        </is>
      </c>
      <c r="C563" t="inlineStr">
        <is>
          <t>Planeación Estratégica</t>
        </is>
      </c>
      <c r="D563" t="inlineStr">
        <is>
          <t>Semestral</t>
        </is>
      </c>
      <c r="E563" t="inlineStr">
        <is>
          <t>Positivo</t>
        </is>
      </c>
      <c r="F563" s="105" t="n">
        <v>45107</v>
      </c>
      <c r="G563" t="inlineStr">
        <is>
          <t>414-2023-06-30</t>
        </is>
      </c>
      <c r="H563" t="inlineStr">
        <is>
          <t>Vicerrectoría del estudiante</t>
        </is>
      </c>
      <c r="I563" t="n">
        <v>100</v>
      </c>
      <c r="J563" t="n">
        <v>60.81000137329102</v>
      </c>
      <c r="CD563" t="n">
        <v>45</v>
      </c>
      <c r="CE563" t="n">
        <v>74</v>
      </c>
    </row>
    <row r="564">
      <c r="A564" t="n">
        <v>414</v>
      </c>
      <c r="B564" t="inlineStr">
        <is>
          <t>Cumplimiento Plan Anual Rectoría</t>
        </is>
      </c>
      <c r="C564" t="inlineStr">
        <is>
          <t>Planeación Estratégica</t>
        </is>
      </c>
      <c r="D564" t="inlineStr">
        <is>
          <t>Semestral</t>
        </is>
      </c>
      <c r="E564" t="inlineStr">
        <is>
          <t>Positivo</t>
        </is>
      </c>
      <c r="F564" s="105" t="n">
        <v>45107</v>
      </c>
      <c r="G564" t="inlineStr">
        <is>
          <t>414-2023-06-30</t>
        </is>
      </c>
      <c r="H564" t="inlineStr">
        <is>
          <t>Vicerrectoría financiera</t>
        </is>
      </c>
      <c r="I564" t="n">
        <v>100</v>
      </c>
      <c r="J564" t="n">
        <v>125</v>
      </c>
      <c r="CD564" t="n">
        <v>65</v>
      </c>
      <c r="CE564" t="n">
        <v>52</v>
      </c>
    </row>
    <row r="565">
      <c r="A565" t="n">
        <v>414</v>
      </c>
      <c r="B565" t="inlineStr">
        <is>
          <t>Cumplimiento Plan Anual Rectoría</t>
        </is>
      </c>
      <c r="C565" t="inlineStr">
        <is>
          <t>Planeación Estratégica</t>
        </is>
      </c>
      <c r="D565" t="inlineStr">
        <is>
          <t>Semestral</t>
        </is>
      </c>
      <c r="E565" t="inlineStr">
        <is>
          <t>Positivo</t>
        </is>
      </c>
      <c r="F565" s="105" t="n">
        <v>45107</v>
      </c>
      <c r="G565" t="inlineStr">
        <is>
          <t>414-2023-06-30</t>
        </is>
      </c>
      <c r="H565" t="inlineStr">
        <is>
          <t>Vicerrectoría académica</t>
        </is>
      </c>
      <c r="I565" t="n">
        <v>100</v>
      </c>
      <c r="J565" t="n">
        <v>120</v>
      </c>
      <c r="CD565" t="n">
        <v>84</v>
      </c>
      <c r="CE565" t="n">
        <v>70</v>
      </c>
    </row>
    <row r="566">
      <c r="A566" t="n">
        <v>414</v>
      </c>
      <c r="B566" t="inlineStr">
        <is>
          <t>Cumplimiento Plan Anual Rectoría</t>
        </is>
      </c>
      <c r="C566" t="inlineStr">
        <is>
          <t>Planeación Estratégica</t>
        </is>
      </c>
      <c r="D566" t="inlineStr">
        <is>
          <t>Semestral</t>
        </is>
      </c>
      <c r="E566" t="inlineStr">
        <is>
          <t>Positivo</t>
        </is>
      </c>
      <c r="F566" s="105" t="n">
        <v>45107</v>
      </c>
      <c r="G566" t="inlineStr">
        <is>
          <t>414-2023-06-30</t>
        </is>
      </c>
      <c r="H566" t="inlineStr">
        <is>
          <t>Gerencia de estrategia</t>
        </is>
      </c>
      <c r="I566" t="n">
        <v>100</v>
      </c>
      <c r="J566" t="n">
        <v>131.7100067138672</v>
      </c>
      <c r="CD566" t="n">
        <v>54</v>
      </c>
      <c r="CE566" t="n">
        <v>41</v>
      </c>
    </row>
    <row r="567">
      <c r="A567" t="n">
        <v>414</v>
      </c>
      <c r="B567" t="inlineStr">
        <is>
          <t>Cumplimiento Plan Anual Rectoría</t>
        </is>
      </c>
      <c r="C567" t="inlineStr">
        <is>
          <t>Planeación Estratégica</t>
        </is>
      </c>
      <c r="D567" t="inlineStr">
        <is>
          <t>Semestral</t>
        </is>
      </c>
      <c r="E567" t="inlineStr">
        <is>
          <t>Positivo</t>
        </is>
      </c>
      <c r="F567" s="105" t="n">
        <v>45107</v>
      </c>
      <c r="G567" t="inlineStr">
        <is>
          <t>414-2023-06-30</t>
        </is>
      </c>
      <c r="H567" t="inlineStr">
        <is>
          <t>Gerencia de  talento humano y desarrollo</t>
        </is>
      </c>
      <c r="I567" t="n">
        <v>100</v>
      </c>
      <c r="J567" t="n">
        <v>125</v>
      </c>
      <c r="CD567" t="n">
        <v>70</v>
      </c>
      <c r="CE567" t="n">
        <v>56</v>
      </c>
    </row>
    <row r="568">
      <c r="A568" t="n">
        <v>414</v>
      </c>
      <c r="B568" t="inlineStr">
        <is>
          <t>Cumplimiento Plan Anual Rectoría</t>
        </is>
      </c>
      <c r="C568" t="inlineStr">
        <is>
          <t>Planeación Estratégica</t>
        </is>
      </c>
      <c r="D568" t="inlineStr">
        <is>
          <t>Semestral</t>
        </is>
      </c>
      <c r="E568" t="inlineStr">
        <is>
          <t>Positivo</t>
        </is>
      </c>
      <c r="F568" s="105" t="n">
        <v>45107</v>
      </c>
      <c r="G568" t="inlineStr">
        <is>
          <t>414-2023-06-30</t>
        </is>
      </c>
      <c r="H568" t="inlineStr">
        <is>
          <t>Gerencia sede Medellín</t>
        </is>
      </c>
      <c r="I568" t="n">
        <v>100</v>
      </c>
      <c r="J568" t="n">
        <v>107.6900024414062</v>
      </c>
      <c r="CD568" t="n">
        <v>56</v>
      </c>
      <c r="CE568" t="n">
        <v>52</v>
      </c>
    </row>
    <row r="569">
      <c r="A569" t="n">
        <v>414</v>
      </c>
      <c r="B569" t="inlineStr">
        <is>
          <t>Cumplimiento Plan Anual Rectoría</t>
        </is>
      </c>
      <c r="C569" t="inlineStr">
        <is>
          <t>Planeación Estratégica</t>
        </is>
      </c>
      <c r="D569" t="inlineStr">
        <is>
          <t>Semestral</t>
        </is>
      </c>
      <c r="E569" t="inlineStr">
        <is>
          <t>Positivo</t>
        </is>
      </c>
      <c r="F569" s="105" t="n">
        <v>45107</v>
      </c>
      <c r="G569" t="inlineStr">
        <is>
          <t>414-2023-06-30</t>
        </is>
      </c>
      <c r="H569" t="inlineStr">
        <is>
          <t>Secretaria general</t>
        </is>
      </c>
      <c r="I569" t="n">
        <v>100</v>
      </c>
      <c r="J569" t="n">
        <v>100</v>
      </c>
      <c r="CD569" t="n">
        <v>66</v>
      </c>
      <c r="CE569" t="n">
        <v>66</v>
      </c>
    </row>
    <row r="570">
      <c r="A570" t="n">
        <v>415</v>
      </c>
      <c r="B570" t="inlineStr">
        <is>
          <t>Cumplimiento Plan Anual Vicerrectoría del estudiante</t>
        </is>
      </c>
      <c r="C570" t="inlineStr">
        <is>
          <t>Planeación Estratégica</t>
        </is>
      </c>
      <c r="D570" t="inlineStr">
        <is>
          <t>Semestral</t>
        </is>
      </c>
      <c r="E570" t="inlineStr">
        <is>
          <t>Positivo</t>
        </is>
      </c>
      <c r="F570" s="105" t="n">
        <v>45107</v>
      </c>
      <c r="G570" t="inlineStr">
        <is>
          <t>415-2023-06-30</t>
        </is>
      </c>
      <c r="H570" t="inlineStr">
        <is>
          <t>Gerencia de operaciones</t>
        </is>
      </c>
      <c r="I570" t="n">
        <v>100</v>
      </c>
      <c r="J570" t="n">
        <v>82.54000091552734</v>
      </c>
      <c r="CF570" t="n">
        <v>52</v>
      </c>
      <c r="CG570" t="n">
        <v>63</v>
      </c>
    </row>
    <row r="571">
      <c r="A571" t="n">
        <v>415</v>
      </c>
      <c r="B571" t="inlineStr">
        <is>
          <t>Cumplimiento Plan Anual Vicerrectoría del estudiante</t>
        </is>
      </c>
      <c r="C571" t="inlineStr">
        <is>
          <t>Planeación Estratégica</t>
        </is>
      </c>
      <c r="D571" t="inlineStr">
        <is>
          <t>Semestral</t>
        </is>
      </c>
      <c r="E571" t="inlineStr">
        <is>
          <t>Positivo</t>
        </is>
      </c>
      <c r="F571" s="105" t="n">
        <v>45107</v>
      </c>
      <c r="G571" t="inlineStr">
        <is>
          <t>415-2023-06-30</t>
        </is>
      </c>
      <c r="H571" t="inlineStr">
        <is>
          <t>Gerencia de servicio y permanencia</t>
        </is>
      </c>
      <c r="I571" t="n">
        <v>100</v>
      </c>
      <c r="J571" t="n">
        <v>106.8199996948242</v>
      </c>
      <c r="CF571" t="n">
        <v>94</v>
      </c>
      <c r="CG571" t="n">
        <v>88</v>
      </c>
    </row>
    <row r="572">
      <c r="A572" t="n">
        <v>415</v>
      </c>
      <c r="B572" t="inlineStr">
        <is>
          <t>Cumplimiento Plan Anual Vicerrectoría del estudiante</t>
        </is>
      </c>
      <c r="C572" t="inlineStr">
        <is>
          <t>Planeación Estratégica</t>
        </is>
      </c>
      <c r="D572" t="inlineStr">
        <is>
          <t>Semestral</t>
        </is>
      </c>
      <c r="E572" t="inlineStr">
        <is>
          <t>Positivo</t>
        </is>
      </c>
      <c r="F572" s="105" t="n">
        <v>45107</v>
      </c>
      <c r="G572" t="inlineStr">
        <is>
          <t>415-2023-06-30</t>
        </is>
      </c>
      <c r="H572" t="inlineStr">
        <is>
          <t>Gerencia de tecnología e innovación digital</t>
        </is>
      </c>
      <c r="I572" t="n">
        <v>100</v>
      </c>
      <c r="J572" t="n">
        <v>63.79000091552734</v>
      </c>
      <c r="CF572" t="n">
        <v>37</v>
      </c>
      <c r="CG572" t="n">
        <v>58</v>
      </c>
    </row>
    <row r="573">
      <c r="A573" t="n">
        <v>415</v>
      </c>
      <c r="B573" t="inlineStr">
        <is>
          <t>Cumplimiento Plan Anual Vicerrectoría del estudiante</t>
        </is>
      </c>
      <c r="C573" t="inlineStr">
        <is>
          <t>Planeación Estratégica</t>
        </is>
      </c>
      <c r="D573" t="inlineStr">
        <is>
          <t>Semestral</t>
        </is>
      </c>
      <c r="E573" t="inlineStr">
        <is>
          <t>Positivo</t>
        </is>
      </c>
      <c r="F573" s="105" t="n">
        <v>45107</v>
      </c>
      <c r="G573" t="inlineStr">
        <is>
          <t>415-2023-06-30</t>
        </is>
      </c>
      <c r="H573" t="inlineStr">
        <is>
          <t>BI y analítica</t>
        </is>
      </c>
      <c r="I573" t="n">
        <v>100</v>
      </c>
      <c r="J573" t="n">
        <v>86.20999908447266</v>
      </c>
      <c r="CF573" t="n">
        <v>50</v>
      </c>
      <c r="CG573" t="n">
        <v>58</v>
      </c>
    </row>
    <row r="574">
      <c r="A574" t="n">
        <v>415</v>
      </c>
      <c r="B574" t="inlineStr">
        <is>
          <t>Cumplimiento Plan Anual Vicerrectoría del estudiante</t>
        </is>
      </c>
      <c r="C574" t="inlineStr">
        <is>
          <t>Planeación Estratégica</t>
        </is>
      </c>
      <c r="D574" t="inlineStr">
        <is>
          <t>Semestral</t>
        </is>
      </c>
      <c r="E574" t="inlineStr">
        <is>
          <t>Positivo</t>
        </is>
      </c>
      <c r="F574" s="105" t="n">
        <v>45107</v>
      </c>
      <c r="G574" t="inlineStr">
        <is>
          <t>415-2023-06-30</t>
        </is>
      </c>
      <c r="H574" t="inlineStr">
        <is>
          <t>Dirección nacional de registro y control</t>
        </is>
      </c>
      <c r="I574" t="n">
        <v>100</v>
      </c>
      <c r="J574" t="n">
        <v>120</v>
      </c>
      <c r="CF574" t="n">
        <v>24</v>
      </c>
      <c r="CG574" t="n">
        <v>20</v>
      </c>
    </row>
    <row r="575">
      <c r="A575" t="n">
        <v>415</v>
      </c>
      <c r="B575" t="inlineStr">
        <is>
          <t>Cumplimiento Plan Anual Vicerrectoría del estudiante</t>
        </is>
      </c>
      <c r="C575" t="inlineStr">
        <is>
          <t>Planeación Estratégica</t>
        </is>
      </c>
      <c r="D575" t="inlineStr">
        <is>
          <t>Semestral</t>
        </is>
      </c>
      <c r="E575" t="inlineStr">
        <is>
          <t>Positivo</t>
        </is>
      </c>
      <c r="F575" s="105" t="n">
        <v>45107</v>
      </c>
      <c r="G575" t="inlineStr">
        <is>
          <t>415-2023-06-30</t>
        </is>
      </c>
      <c r="H575" t="inlineStr">
        <is>
          <t>Dirección de Experiencia E Inclusion</t>
        </is>
      </c>
      <c r="I575" t="n">
        <v>100</v>
      </c>
      <c r="J575" t="n">
        <v>116.6699981689453</v>
      </c>
      <c r="CF575" t="n">
        <v>63</v>
      </c>
      <c r="CG575" t="n">
        <v>54</v>
      </c>
    </row>
    <row r="576">
      <c r="A576" t="n">
        <v>415</v>
      </c>
      <c r="B576" t="inlineStr">
        <is>
          <t>Cumplimiento Plan Anual Vicerrectoría del estudiante</t>
        </is>
      </c>
      <c r="C576" t="inlineStr">
        <is>
          <t>Planeación Estratégica</t>
        </is>
      </c>
      <c r="D576" t="inlineStr">
        <is>
          <t>Semestral</t>
        </is>
      </c>
      <c r="E576" t="inlineStr">
        <is>
          <t>Positivo</t>
        </is>
      </c>
      <c r="F576" s="105" t="n">
        <v>45107</v>
      </c>
      <c r="G576" t="inlineStr">
        <is>
          <t>415-2023-06-30</t>
        </is>
      </c>
      <c r="H576" t="inlineStr">
        <is>
          <t>Direccion bienestar universitario y huella grancolombiana</t>
        </is>
      </c>
      <c r="I576" t="n">
        <v>100</v>
      </c>
      <c r="J576" t="n">
        <v>82.26000213623047</v>
      </c>
      <c r="CF576" t="n">
        <v>51</v>
      </c>
      <c r="CG576" t="n">
        <v>62</v>
      </c>
    </row>
    <row r="577">
      <c r="A577" t="n">
        <v>416</v>
      </c>
      <c r="B577" t="inlineStr">
        <is>
          <t>Cumplimiento Plan Anual Vicerrectoría de crecimiento</t>
        </is>
      </c>
      <c r="C577" t="inlineStr">
        <is>
          <t>Planeación Estratégica</t>
        </is>
      </c>
      <c r="D577" t="inlineStr">
        <is>
          <t>Semestral</t>
        </is>
      </c>
      <c r="E577" t="inlineStr">
        <is>
          <t>Positivo</t>
        </is>
      </c>
      <c r="F577" s="105" t="n">
        <v>45107</v>
      </c>
      <c r="G577" t="inlineStr">
        <is>
          <t>416-2023-06-30</t>
        </is>
      </c>
      <c r="H577" t="inlineStr">
        <is>
          <t>Gerencia de matriculas</t>
        </is>
      </c>
      <c r="I577" t="n">
        <v>100</v>
      </c>
      <c r="J577" t="n">
        <v>98.41000366210938</v>
      </c>
      <c r="CH577" t="n">
        <v>62</v>
      </c>
      <c r="CI577" t="n">
        <v>63</v>
      </c>
    </row>
    <row r="578">
      <c r="A578" t="n">
        <v>416</v>
      </c>
      <c r="B578" t="inlineStr">
        <is>
          <t>Cumplimiento Plan Anual Vicerrectoría de crecimiento</t>
        </is>
      </c>
      <c r="C578" t="inlineStr">
        <is>
          <t>Planeación Estratégica</t>
        </is>
      </c>
      <c r="D578" t="inlineStr">
        <is>
          <t>Semestral</t>
        </is>
      </c>
      <c r="E578" t="inlineStr">
        <is>
          <t>Positivo</t>
        </is>
      </c>
      <c r="F578" s="105" t="n">
        <v>45107</v>
      </c>
      <c r="G578" t="inlineStr">
        <is>
          <t>416-2023-06-30</t>
        </is>
      </c>
      <c r="H578" t="inlineStr">
        <is>
          <t>Gerencia de mercadeo</t>
        </is>
      </c>
      <c r="I578" t="n">
        <v>100</v>
      </c>
      <c r="J578" t="n">
        <v>93.58999633789062</v>
      </c>
      <c r="CH578" t="n">
        <v>73</v>
      </c>
      <c r="CI578" t="n">
        <v>78</v>
      </c>
    </row>
    <row r="579">
      <c r="A579" t="n">
        <v>417</v>
      </c>
      <c r="B579" t="inlineStr">
        <is>
          <t>Cumplimiento Plan Anual Vicerrectoría Financiera</t>
        </is>
      </c>
      <c r="C579" t="inlineStr">
        <is>
          <t>Planeación Estratégica</t>
        </is>
      </c>
      <c r="D579" t="inlineStr">
        <is>
          <t>Semestral</t>
        </is>
      </c>
      <c r="E579" t="inlineStr">
        <is>
          <t>Positivo</t>
        </is>
      </c>
      <c r="F579" s="105" t="n">
        <v>45107</v>
      </c>
      <c r="G579" t="inlineStr">
        <is>
          <t>417-2023-06-30</t>
        </is>
      </c>
      <c r="H579" t="inlineStr">
        <is>
          <t>Dirección de contabilidad</t>
        </is>
      </c>
      <c r="I579" t="n">
        <v>100</v>
      </c>
      <c r="J579" t="n">
        <v>112</v>
      </c>
      <c r="CJ579" t="n">
        <v>56</v>
      </c>
      <c r="CK579" t="n">
        <v>50</v>
      </c>
    </row>
    <row r="580">
      <c r="A580" t="n">
        <v>417</v>
      </c>
      <c r="B580" t="inlineStr">
        <is>
          <t>Cumplimiento Plan Anual Vicerrectoría Financiera</t>
        </is>
      </c>
      <c r="C580" t="inlineStr">
        <is>
          <t>Planeación Estratégica</t>
        </is>
      </c>
      <c r="D580" t="inlineStr">
        <is>
          <t>Semestral</t>
        </is>
      </c>
      <c r="E580" t="inlineStr">
        <is>
          <t>Positivo</t>
        </is>
      </c>
      <c r="F580" s="105" t="n">
        <v>45107</v>
      </c>
      <c r="G580" t="inlineStr">
        <is>
          <t>417-2023-06-30</t>
        </is>
      </c>
      <c r="H580" t="inlineStr">
        <is>
          <t>Dirección de infraestructura</t>
        </is>
      </c>
      <c r="I580" t="n">
        <v>100</v>
      </c>
      <c r="J580" t="n">
        <v>84.12999725341797</v>
      </c>
      <c r="CJ580" t="n">
        <v>53</v>
      </c>
      <c r="CK580" t="n">
        <v>63</v>
      </c>
    </row>
    <row r="581">
      <c r="A581" t="n">
        <v>417</v>
      </c>
      <c r="B581" t="inlineStr">
        <is>
          <t>Cumplimiento Plan Anual Vicerrectoría Financiera</t>
        </is>
      </c>
      <c r="C581" t="inlineStr">
        <is>
          <t>Planeación Estratégica</t>
        </is>
      </c>
      <c r="D581" t="inlineStr">
        <is>
          <t>Semestral</t>
        </is>
      </c>
      <c r="E581" t="inlineStr">
        <is>
          <t>Positivo</t>
        </is>
      </c>
      <c r="F581" s="105" t="n">
        <v>45107</v>
      </c>
      <c r="G581" t="inlineStr">
        <is>
          <t>417-2023-06-30</t>
        </is>
      </c>
      <c r="H581" t="inlineStr">
        <is>
          <t>Dirección planeación financiera y tesorería</t>
        </is>
      </c>
      <c r="I581" t="n">
        <v>100</v>
      </c>
      <c r="J581" t="n">
        <v>132.1399993896484</v>
      </c>
      <c r="CJ581" t="n">
        <v>74</v>
      </c>
      <c r="CK581" t="n">
        <v>56</v>
      </c>
    </row>
    <row r="582">
      <c r="A582" t="n">
        <v>417</v>
      </c>
      <c r="B582" t="inlineStr">
        <is>
          <t>Cumplimiento Plan Anual Vicerrectoría Financiera</t>
        </is>
      </c>
      <c r="C582" t="inlineStr">
        <is>
          <t>Planeación Estratégica</t>
        </is>
      </c>
      <c r="D582" t="inlineStr">
        <is>
          <t>Semestral</t>
        </is>
      </c>
      <c r="E582" t="inlineStr">
        <is>
          <t>Positivo</t>
        </is>
      </c>
      <c r="F582" s="105" t="n">
        <v>45107</v>
      </c>
      <c r="G582" t="inlineStr">
        <is>
          <t>417-2023-06-30</t>
        </is>
      </c>
      <c r="H582" t="inlineStr">
        <is>
          <t>Dirección de relacionamiento de CSU</t>
        </is>
      </c>
      <c r="I582" t="n">
        <v>100</v>
      </c>
      <c r="J582" t="n">
        <v>121.1500015258789</v>
      </c>
      <c r="CJ582" t="n">
        <v>63</v>
      </c>
      <c r="CK582" t="n">
        <v>52</v>
      </c>
    </row>
    <row r="583">
      <c r="A583" t="n">
        <v>417</v>
      </c>
      <c r="B583" t="inlineStr">
        <is>
          <t>Cumplimiento Plan Anual Vicerrectoría Financiera</t>
        </is>
      </c>
      <c r="C583" t="inlineStr">
        <is>
          <t>Planeación Estratégica</t>
        </is>
      </c>
      <c r="D583" t="inlineStr">
        <is>
          <t>Semestral</t>
        </is>
      </c>
      <c r="E583" t="inlineStr">
        <is>
          <t>Positivo</t>
        </is>
      </c>
      <c r="F583" s="105" t="n">
        <v>45107</v>
      </c>
      <c r="G583" t="inlineStr">
        <is>
          <t>417-2023-06-30</t>
        </is>
      </c>
      <c r="H583" t="inlineStr">
        <is>
          <t>Dirección de servicios administrativos</t>
        </is>
      </c>
      <c r="I583" t="n">
        <v>100</v>
      </c>
      <c r="J583" t="n">
        <v>111.3600006103516</v>
      </c>
      <c r="CJ583" t="n">
        <v>49</v>
      </c>
      <c r="CK583" t="n">
        <v>44</v>
      </c>
    </row>
    <row r="584">
      <c r="A584" t="n">
        <v>417</v>
      </c>
      <c r="B584" t="inlineStr">
        <is>
          <t>Cumplimiento Plan Anual Vicerrectoría Financiera</t>
        </is>
      </c>
      <c r="C584" t="inlineStr">
        <is>
          <t>Planeación Estratégica</t>
        </is>
      </c>
      <c r="D584" t="inlineStr">
        <is>
          <t>Semestral</t>
        </is>
      </c>
      <c r="E584" t="inlineStr">
        <is>
          <t>Positivo</t>
        </is>
      </c>
      <c r="F584" s="105" t="n">
        <v>45107</v>
      </c>
      <c r="G584" t="inlineStr">
        <is>
          <t>417-2023-06-30</t>
        </is>
      </c>
      <c r="H584" t="inlineStr">
        <is>
          <t>Dirección de compras y abastecimiento</t>
        </is>
      </c>
      <c r="I584" t="n">
        <v>100</v>
      </c>
      <c r="J584" t="n">
        <v>103.2300033569336</v>
      </c>
      <c r="CJ584" t="n">
        <v>64</v>
      </c>
      <c r="CK584" t="n">
        <v>62</v>
      </c>
    </row>
    <row r="585">
      <c r="A585" t="n">
        <v>418</v>
      </c>
      <c r="B585" t="inlineStr">
        <is>
          <t>Cumplimiento Plan Anual Vicerrectoría Académica</t>
        </is>
      </c>
      <c r="C585" t="inlineStr">
        <is>
          <t>Planeación Estratégica</t>
        </is>
      </c>
      <c r="D585" t="inlineStr">
        <is>
          <t>Semestral</t>
        </is>
      </c>
      <c r="E585" t="inlineStr">
        <is>
          <t>Positivo</t>
        </is>
      </c>
      <c r="F585" s="105" t="n">
        <v>45107</v>
      </c>
      <c r="G585" t="inlineStr">
        <is>
          <t>418-2023-06-30</t>
        </is>
      </c>
      <c r="H585" t="inlineStr">
        <is>
          <t>Dirección aseguramiento de la calidad</t>
        </is>
      </c>
      <c r="I585" t="n">
        <v>100</v>
      </c>
      <c r="J585" t="n">
        <v>106.9800033569336</v>
      </c>
      <c r="CL585" t="n">
        <v>46</v>
      </c>
      <c r="CM585" t="n">
        <v>43</v>
      </c>
    </row>
    <row r="586">
      <c r="A586" t="n">
        <v>418</v>
      </c>
      <c r="B586" t="inlineStr">
        <is>
          <t>Cumplimiento Plan Anual Vicerrectoría Académica</t>
        </is>
      </c>
      <c r="C586" t="inlineStr">
        <is>
          <t>Planeación Estratégica</t>
        </is>
      </c>
      <c r="D586" t="inlineStr">
        <is>
          <t>Semestral</t>
        </is>
      </c>
      <c r="E586" t="inlineStr">
        <is>
          <t>Positivo</t>
        </is>
      </c>
      <c r="F586" s="105" t="n">
        <v>45107</v>
      </c>
      <c r="G586" t="inlineStr">
        <is>
          <t>418-2023-06-30</t>
        </is>
      </c>
      <c r="H586" t="inlineStr">
        <is>
          <t>Dirección investigación innovación y creación</t>
        </is>
      </c>
      <c r="I586" t="n">
        <v>100</v>
      </c>
      <c r="J586" t="n">
        <v>51.27999877929688</v>
      </c>
      <c r="CL586" t="n">
        <v>20</v>
      </c>
      <c r="CM586" t="n">
        <v>39</v>
      </c>
    </row>
    <row r="587">
      <c r="A587" t="n">
        <v>418</v>
      </c>
      <c r="B587" t="inlineStr">
        <is>
          <t>Cumplimiento Plan Anual Vicerrectoría Académica</t>
        </is>
      </c>
      <c r="C587" t="inlineStr">
        <is>
          <t>Planeación Estratégica</t>
        </is>
      </c>
      <c r="D587" t="inlineStr">
        <is>
          <t>Semestral</t>
        </is>
      </c>
      <c r="E587" t="inlineStr">
        <is>
          <t>Positivo</t>
        </is>
      </c>
      <c r="F587" s="105" t="n">
        <v>45107</v>
      </c>
      <c r="G587" t="inlineStr">
        <is>
          <t>418-2023-06-30</t>
        </is>
      </c>
      <c r="H587" t="inlineStr">
        <is>
          <t>Dirección relaciones nacionales e internacionales</t>
        </is>
      </c>
      <c r="I587" t="n">
        <v>100</v>
      </c>
      <c r="J587" t="n">
        <v>112.5</v>
      </c>
      <c r="CL587" t="n">
        <v>63</v>
      </c>
      <c r="CM587" t="n">
        <v>56</v>
      </c>
    </row>
    <row r="588">
      <c r="A588" t="n">
        <v>418</v>
      </c>
      <c r="B588" t="inlineStr">
        <is>
          <t>Cumplimiento Plan Anual Vicerrectoría Académica</t>
        </is>
      </c>
      <c r="C588" t="inlineStr">
        <is>
          <t>Planeación Estratégica</t>
        </is>
      </c>
      <c r="D588" t="inlineStr">
        <is>
          <t>Semestral</t>
        </is>
      </c>
      <c r="E588" t="inlineStr">
        <is>
          <t>Positivo</t>
        </is>
      </c>
      <c r="F588" s="105" t="n">
        <v>45107</v>
      </c>
      <c r="G588" t="inlineStr">
        <is>
          <t>418-2023-06-30</t>
        </is>
      </c>
      <c r="H588" t="inlineStr">
        <is>
          <t>Secretaria académica y de extensión</t>
        </is>
      </c>
      <c r="I588" t="n">
        <v>100</v>
      </c>
      <c r="J588" t="n">
        <v>91.04000091552734</v>
      </c>
      <c r="CL588" t="n">
        <v>61</v>
      </c>
      <c r="CM588" t="n">
        <v>67</v>
      </c>
    </row>
    <row r="589">
      <c r="A589" t="n">
        <v>418</v>
      </c>
      <c r="B589" t="inlineStr">
        <is>
          <t>Cumplimiento Plan Anual Vicerrectoría Académica</t>
        </is>
      </c>
      <c r="C589" t="inlineStr">
        <is>
          <t>Planeación Estratégica</t>
        </is>
      </c>
      <c r="D589" t="inlineStr">
        <is>
          <t>Semestral</t>
        </is>
      </c>
      <c r="E589" t="inlineStr">
        <is>
          <t>Positivo</t>
        </is>
      </c>
      <c r="F589" s="105" t="n">
        <v>45107</v>
      </c>
      <c r="G589" t="inlineStr">
        <is>
          <t>418-2023-06-30</t>
        </is>
      </c>
      <c r="H589" t="inlineStr">
        <is>
          <t>Dirección de docencia</t>
        </is>
      </c>
      <c r="I589" t="n">
        <v>100</v>
      </c>
      <c r="J589" t="n">
        <v>125</v>
      </c>
      <c r="CL589" t="n">
        <v>70</v>
      </c>
      <c r="CM589" t="n">
        <v>56</v>
      </c>
    </row>
    <row r="590">
      <c r="A590" t="n">
        <v>418</v>
      </c>
      <c r="B590" t="inlineStr">
        <is>
          <t>Cumplimiento Plan Anual Vicerrectoría Académica</t>
        </is>
      </c>
      <c r="C590" t="inlineStr">
        <is>
          <t>Planeación Estratégica</t>
        </is>
      </c>
      <c r="D590" t="inlineStr">
        <is>
          <t>Semestral</t>
        </is>
      </c>
      <c r="E590" t="inlineStr">
        <is>
          <t>Positivo</t>
        </is>
      </c>
      <c r="F590" s="105" t="n">
        <v>45107</v>
      </c>
      <c r="G590" t="inlineStr">
        <is>
          <t>418-2023-06-30</t>
        </is>
      </c>
      <c r="H590" t="inlineStr">
        <is>
          <t>Dirección de currículo presencial y virtual</t>
        </is>
      </c>
      <c r="I590" t="n">
        <v>100</v>
      </c>
      <c r="J590" t="n">
        <v>117.8600006103516</v>
      </c>
      <c r="CL590" t="n">
        <v>66</v>
      </c>
      <c r="CM590" t="n">
        <v>56</v>
      </c>
    </row>
    <row r="591">
      <c r="A591" t="n">
        <v>418</v>
      </c>
      <c r="B591" t="inlineStr">
        <is>
          <t>Cumplimiento Plan Anual Vicerrectoría Académica</t>
        </is>
      </c>
      <c r="C591" t="inlineStr">
        <is>
          <t>Planeación Estratégica</t>
        </is>
      </c>
      <c r="D591" t="inlineStr">
        <is>
          <t>Semestral</t>
        </is>
      </c>
      <c r="E591" t="inlineStr">
        <is>
          <t>Positivo</t>
        </is>
      </c>
      <c r="F591" s="105" t="n">
        <v>45107</v>
      </c>
      <c r="G591" t="inlineStr">
        <is>
          <t>418-2023-06-30</t>
        </is>
      </c>
      <c r="H591" t="inlineStr">
        <is>
          <t>Facultad ingeniería diseño e innovación</t>
        </is>
      </c>
      <c r="I591" t="n">
        <v>100</v>
      </c>
      <c r="J591" t="n">
        <v>113.1100006103516</v>
      </c>
      <c r="CL591" t="n">
        <v>69</v>
      </c>
      <c r="CM591" t="n">
        <v>61</v>
      </c>
    </row>
    <row r="592">
      <c r="A592" t="n">
        <v>418</v>
      </c>
      <c r="B592" t="inlineStr">
        <is>
          <t>Cumplimiento Plan Anual Vicerrectoría Académica</t>
        </is>
      </c>
      <c r="C592" t="inlineStr">
        <is>
          <t>Planeación Estratégica</t>
        </is>
      </c>
      <c r="D592" t="inlineStr">
        <is>
          <t>Semestral</t>
        </is>
      </c>
      <c r="E592" t="inlineStr">
        <is>
          <t>Positivo</t>
        </is>
      </c>
      <c r="F592" s="105" t="n">
        <v>45107</v>
      </c>
      <c r="G592" t="inlineStr">
        <is>
          <t>418-2023-06-30</t>
        </is>
      </c>
      <c r="H592" t="inlineStr">
        <is>
          <t>Facultad negocios gestión y sostenibilidad</t>
        </is>
      </c>
      <c r="I592" t="n">
        <v>100</v>
      </c>
      <c r="J592" t="n">
        <v>103.129997253418</v>
      </c>
      <c r="CL592" t="n">
        <v>66</v>
      </c>
      <c r="CM592" t="n">
        <v>64</v>
      </c>
    </row>
    <row r="593">
      <c r="A593" t="n">
        <v>418</v>
      </c>
      <c r="B593" t="inlineStr">
        <is>
          <t>Cumplimiento Plan Anual Vicerrectoría Académica</t>
        </is>
      </c>
      <c r="C593" t="inlineStr">
        <is>
          <t>Planeación Estratégica</t>
        </is>
      </c>
      <c r="D593" t="inlineStr">
        <is>
          <t>Semestral</t>
        </is>
      </c>
      <c r="E593" t="inlineStr">
        <is>
          <t>Positivo</t>
        </is>
      </c>
      <c r="F593" s="105" t="n">
        <v>45107</v>
      </c>
      <c r="G593" t="inlineStr">
        <is>
          <t>418-2023-06-30</t>
        </is>
      </c>
      <c r="H593" t="inlineStr">
        <is>
          <t>Facultad sociedad cultura y creatividad</t>
        </is>
      </c>
      <c r="I593" t="n">
        <v>100</v>
      </c>
      <c r="J593" t="n">
        <v>118.3099975585938</v>
      </c>
      <c r="CL593" t="n">
        <v>84</v>
      </c>
      <c r="CM593" t="n">
        <v>71</v>
      </c>
    </row>
    <row r="594">
      <c r="A594" t="n">
        <v>420</v>
      </c>
      <c r="B594" t="inlineStr">
        <is>
          <t>Cumplimiento Plan Anual Gerencia de estrategia</t>
        </is>
      </c>
      <c r="C594" t="inlineStr">
        <is>
          <t>Planeación Estratégica</t>
        </is>
      </c>
      <c r="D594" t="inlineStr">
        <is>
          <t>Semestral</t>
        </is>
      </c>
      <c r="E594" t="inlineStr">
        <is>
          <t>Positivo</t>
        </is>
      </c>
      <c r="F594" s="105" t="n">
        <v>45107</v>
      </c>
      <c r="G594" t="inlineStr">
        <is>
          <t>420-2023-06-30</t>
        </is>
      </c>
      <c r="H594" t="inlineStr">
        <is>
          <t>SGC</t>
        </is>
      </c>
      <c r="I594" t="n">
        <v>100</v>
      </c>
      <c r="J594" t="n">
        <v>93.44000244140625</v>
      </c>
      <c r="CN594" t="n">
        <v>47.47</v>
      </c>
      <c r="CO594" t="n">
        <v>50.8</v>
      </c>
    </row>
    <row r="595">
      <c r="A595" t="n">
        <v>420</v>
      </c>
      <c r="B595" t="inlineStr">
        <is>
          <t>Cumplimiento Plan Anual Gerencia de estrategia</t>
        </is>
      </c>
      <c r="C595" t="inlineStr">
        <is>
          <t>Planeación Estratégica</t>
        </is>
      </c>
      <c r="D595" t="inlineStr">
        <is>
          <t>Semestral</t>
        </is>
      </c>
      <c r="E595" t="inlineStr">
        <is>
          <t>Positivo</t>
        </is>
      </c>
      <c r="F595" s="105" t="n">
        <v>45107</v>
      </c>
      <c r="G595" t="inlineStr">
        <is>
          <t>420-2023-06-30</t>
        </is>
      </c>
      <c r="H595" t="inlineStr">
        <is>
          <t>SGA</t>
        </is>
      </c>
      <c r="I595" t="n">
        <v>100</v>
      </c>
      <c r="J595" t="n">
        <v>169.4900054931641</v>
      </c>
      <c r="CN595" t="n">
        <v>54</v>
      </c>
      <c r="CO595" t="n">
        <v>31.86</v>
      </c>
    </row>
    <row r="596">
      <c r="A596" t="n">
        <v>420</v>
      </c>
      <c r="B596" t="inlineStr">
        <is>
          <t>Cumplimiento Plan Anual Gerencia de estrategia</t>
        </is>
      </c>
      <c r="C596" t="inlineStr">
        <is>
          <t>Planeación Estratégica</t>
        </is>
      </c>
      <c r="D596" t="inlineStr">
        <is>
          <t>Semestral</t>
        </is>
      </c>
      <c r="E596" t="inlineStr">
        <is>
          <t>Positivo</t>
        </is>
      </c>
      <c r="F596" s="105" t="n">
        <v>45107</v>
      </c>
      <c r="G596" t="inlineStr">
        <is>
          <t>420-2023-06-30</t>
        </is>
      </c>
      <c r="H596" t="inlineStr">
        <is>
          <t>Riesgos</t>
        </is>
      </c>
      <c r="I596" t="n">
        <v>100</v>
      </c>
      <c r="J596" t="n">
        <v>114.870002746582</v>
      </c>
      <c r="CN596" t="n">
        <v>17.3</v>
      </c>
      <c r="CO596" t="n">
        <v>15.06</v>
      </c>
    </row>
    <row r="597">
      <c r="A597" t="n">
        <v>420</v>
      </c>
      <c r="B597" t="inlineStr">
        <is>
          <t>Cumplimiento Plan Anual Gerencia de estrategia</t>
        </is>
      </c>
      <c r="C597" t="inlineStr">
        <is>
          <t>Planeación Estratégica</t>
        </is>
      </c>
      <c r="D597" t="inlineStr">
        <is>
          <t>Semestral</t>
        </is>
      </c>
      <c r="E597" t="inlineStr">
        <is>
          <t>Positivo</t>
        </is>
      </c>
      <c r="F597" s="105" t="n">
        <v>45107</v>
      </c>
      <c r="G597" t="inlineStr">
        <is>
          <t>420-2023-06-30</t>
        </is>
      </c>
      <c r="H597" t="inlineStr">
        <is>
          <t>Auditoría</t>
        </is>
      </c>
      <c r="I597" t="n">
        <v>100</v>
      </c>
      <c r="J597" t="n">
        <v>82.51999664306641</v>
      </c>
      <c r="CN597" t="n">
        <v>47.72</v>
      </c>
      <c r="CO597" t="n">
        <v>57.83</v>
      </c>
    </row>
    <row r="598">
      <c r="A598" t="n">
        <v>420</v>
      </c>
      <c r="B598" t="inlineStr">
        <is>
          <t>Cumplimiento Plan Anual Gerencia de estrategia</t>
        </is>
      </c>
      <c r="C598" t="inlineStr">
        <is>
          <t>Planeación Estratégica</t>
        </is>
      </c>
      <c r="D598" t="inlineStr">
        <is>
          <t>Semestral</t>
        </is>
      </c>
      <c r="E598" t="inlineStr">
        <is>
          <t>Positivo</t>
        </is>
      </c>
      <c r="F598" s="105" t="n">
        <v>45107</v>
      </c>
      <c r="G598" t="inlineStr">
        <is>
          <t>420-2023-06-30</t>
        </is>
      </c>
      <c r="H598" t="inlineStr">
        <is>
          <t>Planeación estratégica</t>
        </is>
      </c>
      <c r="I598" t="n">
        <v>100</v>
      </c>
      <c r="J598" t="n">
        <v>104.5199966430664</v>
      </c>
      <c r="CN598" t="n">
        <v>41.15</v>
      </c>
      <c r="CO598" t="n">
        <v>39.37</v>
      </c>
    </row>
    <row r="599">
      <c r="A599" t="n">
        <v>208</v>
      </c>
      <c r="B599" t="inlineStr">
        <is>
          <t>Consumo de Agua m3 Mensual</t>
        </is>
      </c>
      <c r="C599" t="inlineStr">
        <is>
          <t>GESTIÓN AMBIENTAL</t>
        </is>
      </c>
      <c r="D599" t="inlineStr">
        <is>
          <t>Mensual</t>
        </is>
      </c>
      <c r="E599" t="inlineStr">
        <is>
          <t>Negativo</t>
        </is>
      </c>
      <c r="F599" s="105" t="n">
        <v>45138</v>
      </c>
      <c r="G599" t="inlineStr">
        <is>
          <t>208-2023-07-31</t>
        </is>
      </c>
      <c r="H599" t="inlineStr">
        <is>
          <t>Campus Bogotá</t>
        </is>
      </c>
      <c r="I599" t="n">
        <v>1</v>
      </c>
      <c r="J599" t="n">
        <v>658</v>
      </c>
      <c r="K599" t="n">
        <v>658</v>
      </c>
    </row>
    <row r="600">
      <c r="A600" t="n">
        <v>208</v>
      </c>
      <c r="B600" t="inlineStr">
        <is>
          <t>Consumo de Agua m3 Mensual</t>
        </is>
      </c>
      <c r="C600" t="inlineStr">
        <is>
          <t>GESTIÓN AMBIENTAL</t>
        </is>
      </c>
      <c r="D600" t="inlineStr">
        <is>
          <t>Mensual</t>
        </is>
      </c>
      <c r="E600" t="inlineStr">
        <is>
          <t>Negativo</t>
        </is>
      </c>
      <c r="F600" s="105" t="n">
        <v>45138</v>
      </c>
      <c r="G600" t="inlineStr">
        <is>
          <t>208-2023-07-31</t>
        </is>
      </c>
      <c r="H600" t="inlineStr">
        <is>
          <t>City Campus</t>
        </is>
      </c>
      <c r="I600" t="n">
        <v>1</v>
      </c>
      <c r="J600" t="n">
        <v>391</v>
      </c>
      <c r="K600" t="n">
        <v>391</v>
      </c>
    </row>
    <row r="601">
      <c r="A601" t="n">
        <v>208</v>
      </c>
      <c r="B601" t="inlineStr">
        <is>
          <t>Consumo de Agua m3 Mensual</t>
        </is>
      </c>
      <c r="C601" t="inlineStr">
        <is>
          <t>GESTIÓN AMBIENTAL</t>
        </is>
      </c>
      <c r="D601" t="inlineStr">
        <is>
          <t>Mensual</t>
        </is>
      </c>
      <c r="E601" t="inlineStr">
        <is>
          <t>Negativo</t>
        </is>
      </c>
      <c r="F601" s="105" t="n">
        <v>45138</v>
      </c>
      <c r="G601" t="inlineStr">
        <is>
          <t>208-2023-07-31</t>
        </is>
      </c>
      <c r="H601" t="inlineStr">
        <is>
          <t>Sede Posgrado-Calle 85</t>
        </is>
      </c>
      <c r="I601" t="n">
        <v>1</v>
      </c>
      <c r="J601" t="n">
        <v>0</v>
      </c>
      <c r="K601" t="n">
        <v>0</v>
      </c>
    </row>
    <row r="602">
      <c r="A602" t="n">
        <v>208</v>
      </c>
      <c r="B602" t="inlineStr">
        <is>
          <t>Consumo de Agua m3 Mensual</t>
        </is>
      </c>
      <c r="C602" t="inlineStr">
        <is>
          <t>GESTIÓN AMBIENTAL</t>
        </is>
      </c>
      <c r="D602" t="inlineStr">
        <is>
          <t>Mensual</t>
        </is>
      </c>
      <c r="E602" t="inlineStr">
        <is>
          <t>Negativo</t>
        </is>
      </c>
      <c r="F602" s="105" t="n">
        <v>45138</v>
      </c>
      <c r="G602" t="inlineStr">
        <is>
          <t>208-2023-07-31</t>
        </is>
      </c>
      <c r="H602" t="inlineStr">
        <is>
          <t>Campus-Medellín</t>
        </is>
      </c>
      <c r="I602" t="n">
        <v>1</v>
      </c>
      <c r="J602" t="n">
        <v>100</v>
      </c>
      <c r="K602" t="n">
        <v>100</v>
      </c>
    </row>
    <row r="603">
      <c r="A603" t="n">
        <v>208</v>
      </c>
      <c r="B603" t="inlineStr">
        <is>
          <t>Consumo de Agua m3 Mensual</t>
        </is>
      </c>
      <c r="C603" t="inlineStr">
        <is>
          <t>GESTIÓN AMBIENTAL</t>
        </is>
      </c>
      <c r="D603" t="inlineStr">
        <is>
          <t>Mensual</t>
        </is>
      </c>
      <c r="E603" t="inlineStr">
        <is>
          <t>Negativo</t>
        </is>
      </c>
      <c r="F603" s="105" t="n">
        <v>45138</v>
      </c>
      <c r="G603" t="inlineStr">
        <is>
          <t>208-2023-07-31</t>
        </is>
      </c>
      <c r="H603" t="inlineStr">
        <is>
          <t>Sede Bienestar - Medellín</t>
        </is>
      </c>
      <c r="I603" t="n">
        <v>0</v>
      </c>
      <c r="J603" t="n">
        <v>0</v>
      </c>
      <c r="K603" t="n">
        <v>0</v>
      </c>
    </row>
    <row r="604">
      <c r="A604" t="n">
        <v>208</v>
      </c>
      <c r="B604" t="inlineStr">
        <is>
          <t>Consumo de Agua m3 Mensual</t>
        </is>
      </c>
      <c r="C604" t="inlineStr">
        <is>
          <t>GESTIÓN AMBIENTAL</t>
        </is>
      </c>
      <c r="D604" t="inlineStr">
        <is>
          <t>Mensual</t>
        </is>
      </c>
      <c r="E604" t="inlineStr">
        <is>
          <t>Negativo</t>
        </is>
      </c>
      <c r="F604" s="105" t="n">
        <v>45138</v>
      </c>
      <c r="G604" t="inlineStr">
        <is>
          <t>208-2023-07-31</t>
        </is>
      </c>
      <c r="H604" t="inlineStr">
        <is>
          <t>Consultorio Psicología - Medellin</t>
        </is>
      </c>
      <c r="I604" t="n">
        <v>1</v>
      </c>
      <c r="J604" t="n">
        <v>11</v>
      </c>
      <c r="K604" t="n">
        <v>11</v>
      </c>
    </row>
    <row r="605">
      <c r="A605" t="n">
        <v>214</v>
      </c>
      <c r="B605" t="inlineStr">
        <is>
          <t>Generación de Residuos Sólidos Mensual</t>
        </is>
      </c>
      <c r="C605" t="inlineStr">
        <is>
          <t>GESTIÓN AMBIENTAL</t>
        </is>
      </c>
      <c r="D605" t="inlineStr">
        <is>
          <t>Mensual</t>
        </is>
      </c>
      <c r="E605" t="inlineStr">
        <is>
          <t>Negativo</t>
        </is>
      </c>
      <c r="F605" s="105" t="n">
        <v>45138</v>
      </c>
      <c r="G605" t="inlineStr">
        <is>
          <t>214-2023-07-31</t>
        </is>
      </c>
      <c r="H605" t="inlineStr">
        <is>
          <t>Campus Bogotá</t>
        </is>
      </c>
      <c r="I605" t="n">
        <v>7500</v>
      </c>
      <c r="J605" t="n">
        <v>1022.700012207031</v>
      </c>
      <c r="L605" t="n">
        <v>459</v>
      </c>
      <c r="M605" t="n">
        <v>563.7</v>
      </c>
    </row>
    <row r="606">
      <c r="A606" t="n">
        <v>214</v>
      </c>
      <c r="B606" t="inlineStr">
        <is>
          <t>Generación de Residuos Sólidos Mensual</t>
        </is>
      </c>
      <c r="C606" t="inlineStr">
        <is>
          <t>GESTIÓN AMBIENTAL</t>
        </is>
      </c>
      <c r="D606" t="inlineStr">
        <is>
          <t>Mensual</t>
        </is>
      </c>
      <c r="E606" t="inlineStr">
        <is>
          <t>Negativo</t>
        </is>
      </c>
      <c r="F606" s="105" t="n">
        <v>45138</v>
      </c>
      <c r="G606" t="inlineStr">
        <is>
          <t>214-2023-07-31</t>
        </is>
      </c>
      <c r="H606" t="inlineStr">
        <is>
          <t>City Campus</t>
        </is>
      </c>
      <c r="I606" t="n">
        <v>7500</v>
      </c>
      <c r="J606" t="n">
        <v>472.2999877929688</v>
      </c>
      <c r="L606" t="n">
        <v>0</v>
      </c>
      <c r="M606" t="n">
        <v>472.3</v>
      </c>
    </row>
    <row r="607">
      <c r="A607" t="n">
        <v>214</v>
      </c>
      <c r="B607" t="inlineStr">
        <is>
          <t>Generación de Residuos Sólidos Mensual</t>
        </is>
      </c>
      <c r="C607" t="inlineStr">
        <is>
          <t>GESTIÓN AMBIENTAL</t>
        </is>
      </c>
      <c r="D607" t="inlineStr">
        <is>
          <t>Mensual</t>
        </is>
      </c>
      <c r="E607" t="inlineStr">
        <is>
          <t>Negativo</t>
        </is>
      </c>
      <c r="F607" s="105" t="n">
        <v>45138</v>
      </c>
      <c r="G607" t="inlineStr">
        <is>
          <t>214-2023-07-31</t>
        </is>
      </c>
      <c r="H607" t="inlineStr">
        <is>
          <t>Campus-Medellín</t>
        </is>
      </c>
      <c r="I607" t="n">
        <v>7500</v>
      </c>
      <c r="J607" t="n">
        <v>662.5</v>
      </c>
      <c r="L607" t="n">
        <v>69.40000000000001</v>
      </c>
      <c r="M607" t="n">
        <v>593.1</v>
      </c>
    </row>
    <row r="608">
      <c r="A608" t="n">
        <v>217</v>
      </c>
      <c r="B608" t="inlineStr">
        <is>
          <t>Aprovechamiento de Residuos</t>
        </is>
      </c>
      <c r="C608" t="inlineStr">
        <is>
          <t>GESTIÓN AMBIENTAL</t>
        </is>
      </c>
      <c r="D608" t="inlineStr">
        <is>
          <t>Mensual</t>
        </is>
      </c>
      <c r="E608" t="inlineStr">
        <is>
          <t>Positivo</t>
        </is>
      </c>
      <c r="F608" s="105" t="n">
        <v>45138</v>
      </c>
      <c r="G608" t="inlineStr">
        <is>
          <t>217-2023-07-31</t>
        </is>
      </c>
      <c r="H608" t="inlineStr">
        <is>
          <t>Campus Bogotá</t>
        </is>
      </c>
      <c r="I608" t="n">
        <v>20</v>
      </c>
      <c r="J608" t="n">
        <v>44.88000106811523</v>
      </c>
      <c r="L608" t="n">
        <v>459</v>
      </c>
      <c r="M608" t="n">
        <v>563.7</v>
      </c>
      <c r="AS608" t="n">
        <v>459</v>
      </c>
    </row>
    <row r="609">
      <c r="A609" t="n">
        <v>217</v>
      </c>
      <c r="B609" t="inlineStr">
        <is>
          <t>Aprovechamiento de Residuos</t>
        </is>
      </c>
      <c r="C609" t="inlineStr">
        <is>
          <t>GESTIÓN AMBIENTAL</t>
        </is>
      </c>
      <c r="D609" t="inlineStr">
        <is>
          <t>Mensual</t>
        </is>
      </c>
      <c r="E609" t="inlineStr">
        <is>
          <t>Positivo</t>
        </is>
      </c>
      <c r="F609" s="105" t="n">
        <v>45138</v>
      </c>
      <c r="G609" t="inlineStr">
        <is>
          <t>217-2023-07-31</t>
        </is>
      </c>
      <c r="H609" t="inlineStr">
        <is>
          <t>City Campus</t>
        </is>
      </c>
      <c r="I609" t="n">
        <v>20</v>
      </c>
      <c r="J609" t="n">
        <v>0</v>
      </c>
      <c r="L609" t="n">
        <v>0</v>
      </c>
      <c r="M609" t="n">
        <v>472.3</v>
      </c>
      <c r="AS609" t="n">
        <v>0</v>
      </c>
    </row>
    <row r="610">
      <c r="A610" t="n">
        <v>217</v>
      </c>
      <c r="B610" t="inlineStr">
        <is>
          <t>Aprovechamiento de Residuos</t>
        </is>
      </c>
      <c r="C610" t="inlineStr">
        <is>
          <t>GESTIÓN AMBIENTAL</t>
        </is>
      </c>
      <c r="D610" t="inlineStr">
        <is>
          <t>Mensual</t>
        </is>
      </c>
      <c r="E610" t="inlineStr">
        <is>
          <t>Positivo</t>
        </is>
      </c>
      <c r="F610" s="105" t="n">
        <v>45138</v>
      </c>
      <c r="G610" t="inlineStr">
        <is>
          <t>217-2023-07-31</t>
        </is>
      </c>
      <c r="H610" t="inlineStr">
        <is>
          <t>Campus-Medellín</t>
        </is>
      </c>
      <c r="I610" t="n">
        <v>20</v>
      </c>
      <c r="J610" t="n">
        <v>10.47999954223633</v>
      </c>
      <c r="L610" t="n">
        <v>69.40000000000001</v>
      </c>
      <c r="M610" t="n">
        <v>593.1</v>
      </c>
      <c r="AS610" t="n">
        <v>69.40000000000001</v>
      </c>
    </row>
    <row r="611">
      <c r="A611" t="n">
        <v>218</v>
      </c>
      <c r="B611" t="inlineStr">
        <is>
          <t>Consumo de Energía Eléctrica kWh Mensual</t>
        </is>
      </c>
      <c r="C611" t="inlineStr">
        <is>
          <t>GESTIÓN AMBIENTAL</t>
        </is>
      </c>
      <c r="D611" t="inlineStr">
        <is>
          <t>Mensual</t>
        </is>
      </c>
      <c r="E611" t="inlineStr">
        <is>
          <t>Negativo</t>
        </is>
      </c>
      <c r="F611" s="105" t="n">
        <v>45138</v>
      </c>
      <c r="G611" t="inlineStr">
        <is>
          <t>218-2023-07-31</t>
        </is>
      </c>
      <c r="H611" t="inlineStr">
        <is>
          <t>Campus Bogotá</t>
        </is>
      </c>
      <c r="I611" t="n">
        <v>172000</v>
      </c>
      <c r="J611" t="n">
        <v>56025</v>
      </c>
      <c r="N611" t="n">
        <v>56025</v>
      </c>
    </row>
    <row r="612">
      <c r="A612" t="n">
        <v>218</v>
      </c>
      <c r="B612" t="inlineStr">
        <is>
          <t>Consumo de Energía Eléctrica kWh Mensual</t>
        </is>
      </c>
      <c r="C612" t="inlineStr">
        <is>
          <t>GESTIÓN AMBIENTAL</t>
        </is>
      </c>
      <c r="D612" t="inlineStr">
        <is>
          <t>Mensual</t>
        </is>
      </c>
      <c r="E612" t="inlineStr">
        <is>
          <t>Negativo</t>
        </is>
      </c>
      <c r="F612" s="105" t="n">
        <v>45138</v>
      </c>
      <c r="G612" t="inlineStr">
        <is>
          <t>218-2023-07-31</t>
        </is>
      </c>
      <c r="H612" t="inlineStr">
        <is>
          <t>City Campus</t>
        </is>
      </c>
      <c r="I612" t="n">
        <v>172000</v>
      </c>
      <c r="J612" t="n">
        <v>41610</v>
      </c>
      <c r="N612" t="n">
        <v>41610</v>
      </c>
    </row>
    <row r="613">
      <c r="A613" t="n">
        <v>218</v>
      </c>
      <c r="B613" t="inlineStr">
        <is>
          <t>Consumo de Energía Eléctrica kWh Mensual</t>
        </is>
      </c>
      <c r="C613" t="inlineStr">
        <is>
          <t>GESTIÓN AMBIENTAL</t>
        </is>
      </c>
      <c r="D613" t="inlineStr">
        <is>
          <t>Mensual</t>
        </is>
      </c>
      <c r="E613" t="inlineStr">
        <is>
          <t>Negativo</t>
        </is>
      </c>
      <c r="F613" s="105" t="n">
        <v>45138</v>
      </c>
      <c r="G613" t="inlineStr">
        <is>
          <t>218-2023-07-31</t>
        </is>
      </c>
      <c r="H613" t="inlineStr">
        <is>
          <t>Campus-Medellín</t>
        </is>
      </c>
      <c r="I613" t="n">
        <v>172000</v>
      </c>
      <c r="J613" t="n">
        <v>23343</v>
      </c>
      <c r="N613" t="n">
        <v>23343</v>
      </c>
    </row>
    <row r="614">
      <c r="A614" t="n">
        <v>218</v>
      </c>
      <c r="B614" t="inlineStr">
        <is>
          <t>Consumo de Energía Eléctrica kWh Mensual</t>
        </is>
      </c>
      <c r="C614" t="inlineStr">
        <is>
          <t>GESTIÓN AMBIENTAL</t>
        </is>
      </c>
      <c r="D614" t="inlineStr">
        <is>
          <t>Mensual</t>
        </is>
      </c>
      <c r="E614" t="inlineStr">
        <is>
          <t>Negativo</t>
        </is>
      </c>
      <c r="F614" s="105" t="n">
        <v>45138</v>
      </c>
      <c r="G614" t="inlineStr">
        <is>
          <t>218-2023-07-31</t>
        </is>
      </c>
      <c r="H614" t="inlineStr">
        <is>
          <t>Sede Bienestar - Medellín</t>
        </is>
      </c>
      <c r="I614" t="n">
        <v>172000</v>
      </c>
      <c r="J614" t="n">
        <v>3240</v>
      </c>
      <c r="N614" t="n">
        <v>3240</v>
      </c>
    </row>
    <row r="615">
      <c r="A615" t="n">
        <v>218</v>
      </c>
      <c r="B615" t="inlineStr">
        <is>
          <t>Consumo de Energía Eléctrica kWh Mensual</t>
        </is>
      </c>
      <c r="C615" t="inlineStr">
        <is>
          <t>GESTIÓN AMBIENTAL</t>
        </is>
      </c>
      <c r="D615" t="inlineStr">
        <is>
          <t>Mensual</t>
        </is>
      </c>
      <c r="E615" t="inlineStr">
        <is>
          <t>Negativo</t>
        </is>
      </c>
      <c r="F615" s="105" t="n">
        <v>45138</v>
      </c>
      <c r="G615" t="inlineStr">
        <is>
          <t>218-2023-07-31</t>
        </is>
      </c>
      <c r="H615" t="inlineStr">
        <is>
          <t>Consultorio Psicología - Medellin</t>
        </is>
      </c>
      <c r="I615" t="n">
        <v>172000</v>
      </c>
      <c r="J615" t="n">
        <v>1268</v>
      </c>
      <c r="N615" t="n">
        <v>1268</v>
      </c>
    </row>
    <row r="616">
      <c r="A616" t="n">
        <v>225</v>
      </c>
      <c r="B616" t="inlineStr">
        <is>
          <t>Acciones para el Cuidado y Mantenimiento de las Especies de Flora y el Suelo de las Áreas Naturales</t>
        </is>
      </c>
      <c r="C616" t="inlineStr">
        <is>
          <t>GESTIÓN AMBIENTAL</t>
        </is>
      </c>
      <c r="D616" t="inlineStr">
        <is>
          <t>Mensual</t>
        </is>
      </c>
      <c r="E616" t="inlineStr">
        <is>
          <t>Positivo</t>
        </is>
      </c>
      <c r="F616" s="105" t="n">
        <v>45138</v>
      </c>
      <c r="G616" t="inlineStr">
        <is>
          <t>225-2023-07-31</t>
        </is>
      </c>
      <c r="H616" t="inlineStr">
        <is>
          <t>Campus Bogotá</t>
        </is>
      </c>
      <c r="I616" t="n">
        <v>1</v>
      </c>
      <c r="J616" t="n">
        <v>5</v>
      </c>
      <c r="AT616" t="n">
        <v>5</v>
      </c>
    </row>
    <row r="617">
      <c r="A617" t="n">
        <v>225</v>
      </c>
      <c r="B617" t="inlineStr">
        <is>
          <t>Acciones para el Cuidado y Mantenimiento de las Especies de Flora y el Suelo de las Áreas Naturales</t>
        </is>
      </c>
      <c r="C617" t="inlineStr">
        <is>
          <t>GESTIÓN AMBIENTAL</t>
        </is>
      </c>
      <c r="D617" t="inlineStr">
        <is>
          <t>Mensual</t>
        </is>
      </c>
      <c r="E617" t="inlineStr">
        <is>
          <t>Positivo</t>
        </is>
      </c>
      <c r="F617" s="105" t="n">
        <v>45138</v>
      </c>
      <c r="G617" t="inlineStr">
        <is>
          <t>225-2023-07-31</t>
        </is>
      </c>
      <c r="H617" t="inlineStr">
        <is>
          <t>City Campus</t>
        </is>
      </c>
      <c r="I617" t="n">
        <v>1</v>
      </c>
      <c r="J617" t="n">
        <v>3</v>
      </c>
      <c r="AT617" t="n">
        <v>3</v>
      </c>
    </row>
    <row r="618">
      <c r="A618" t="n">
        <v>225</v>
      </c>
      <c r="B618" t="inlineStr">
        <is>
          <t>Acciones para el Cuidado y Mantenimiento de las Especies de Flora y el Suelo de las Áreas Naturales</t>
        </is>
      </c>
      <c r="C618" t="inlineStr">
        <is>
          <t>GESTIÓN AMBIENTAL</t>
        </is>
      </c>
      <c r="D618" t="inlineStr">
        <is>
          <t>Mensual</t>
        </is>
      </c>
      <c r="E618" t="inlineStr">
        <is>
          <t>Positivo</t>
        </is>
      </c>
      <c r="F618" s="105" t="n">
        <v>45138</v>
      </c>
      <c r="G618" t="inlineStr">
        <is>
          <t>225-2023-07-31</t>
        </is>
      </c>
      <c r="H618" t="inlineStr">
        <is>
          <t>Sede Posgrado-Calle 85</t>
        </is>
      </c>
      <c r="I618" t="n">
        <v>1</v>
      </c>
      <c r="J618" t="n">
        <v>0</v>
      </c>
      <c r="AT618" t="n">
        <v>0</v>
      </c>
    </row>
    <row r="619">
      <c r="A619" t="n">
        <v>225</v>
      </c>
      <c r="B619" t="inlineStr">
        <is>
          <t>Acciones para el Cuidado y Mantenimiento de las Especies de Flora y el Suelo de las Áreas Naturales</t>
        </is>
      </c>
      <c r="C619" t="inlineStr">
        <is>
          <t>GESTIÓN AMBIENTAL</t>
        </is>
      </c>
      <c r="D619" t="inlineStr">
        <is>
          <t>Mensual</t>
        </is>
      </c>
      <c r="E619" t="inlineStr">
        <is>
          <t>Positivo</t>
        </is>
      </c>
      <c r="F619" s="105" t="n">
        <v>45138</v>
      </c>
      <c r="G619" t="inlineStr">
        <is>
          <t>225-2023-07-31</t>
        </is>
      </c>
      <c r="H619" t="inlineStr">
        <is>
          <t>Campus-Medellín</t>
        </is>
      </c>
      <c r="I619" t="n">
        <v>1</v>
      </c>
      <c r="J619" t="n">
        <v>10</v>
      </c>
      <c r="AT619" t="n">
        <v>10</v>
      </c>
    </row>
    <row r="620">
      <c r="A620" t="n">
        <v>225</v>
      </c>
      <c r="B620" t="inlineStr">
        <is>
          <t>Acciones para el Cuidado y Mantenimiento de las Especies de Flora y el Suelo de las Áreas Naturales</t>
        </is>
      </c>
      <c r="C620" t="inlineStr">
        <is>
          <t>GESTIÓN AMBIENTAL</t>
        </is>
      </c>
      <c r="D620" t="inlineStr">
        <is>
          <t>Mensual</t>
        </is>
      </c>
      <c r="E620" t="inlineStr">
        <is>
          <t>Positivo</t>
        </is>
      </c>
      <c r="F620" s="105" t="n">
        <v>45138</v>
      </c>
      <c r="G620" t="inlineStr">
        <is>
          <t>225-2023-07-31</t>
        </is>
      </c>
      <c r="H620" t="inlineStr">
        <is>
          <t>Sede Bienestar - Medellín</t>
        </is>
      </c>
      <c r="I620" t="n">
        <v>1</v>
      </c>
      <c r="J620" t="n">
        <v>1</v>
      </c>
      <c r="AT620" t="n">
        <v>1</v>
      </c>
    </row>
    <row r="621">
      <c r="A621" t="n">
        <v>225</v>
      </c>
      <c r="B621" t="inlineStr">
        <is>
          <t>Acciones para el Cuidado y Mantenimiento de las Especies de Flora y el Suelo de las Áreas Naturales</t>
        </is>
      </c>
      <c r="C621" t="inlineStr">
        <is>
          <t>GESTIÓN AMBIENTAL</t>
        </is>
      </c>
      <c r="D621" t="inlineStr">
        <is>
          <t>Mensual</t>
        </is>
      </c>
      <c r="E621" t="inlineStr">
        <is>
          <t>Positivo</t>
        </is>
      </c>
      <c r="F621" s="105" t="n">
        <v>45138</v>
      </c>
      <c r="G621" t="inlineStr">
        <is>
          <t>225-2023-07-31</t>
        </is>
      </c>
      <c r="H621" t="inlineStr">
        <is>
          <t>Consultorio Psicología - Medellin</t>
        </is>
      </c>
      <c r="I621" t="n">
        <v>1</v>
      </c>
      <c r="J621" t="n">
        <v>1</v>
      </c>
      <c r="AT621" t="n">
        <v>1</v>
      </c>
    </row>
    <row r="622">
      <c r="A622" t="n">
        <v>239</v>
      </c>
      <c r="B622" t="inlineStr">
        <is>
          <t>Portafolio de Proyectos - Metrica</t>
        </is>
      </c>
      <c r="C622" t="inlineStr">
        <is>
          <t>Gestión de Proyectos</t>
        </is>
      </c>
      <c r="D622" t="inlineStr">
        <is>
          <t>Mensual</t>
        </is>
      </c>
      <c r="E622" t="inlineStr">
        <is>
          <t>Positivo</t>
        </is>
      </c>
      <c r="F622" s="105" t="n">
        <v>45138</v>
      </c>
      <c r="G622" t="inlineStr">
        <is>
          <t>239-2023-07-31</t>
        </is>
      </c>
      <c r="H622" t="inlineStr">
        <is>
          <t>Planificación</t>
        </is>
      </c>
      <c r="J622" t="n">
        <v>1</v>
      </c>
      <c r="AU622" t="n">
        <v>1</v>
      </c>
    </row>
    <row r="623">
      <c r="A623" t="n">
        <v>239</v>
      </c>
      <c r="B623" t="inlineStr">
        <is>
          <t>Portafolio de Proyectos - Metrica</t>
        </is>
      </c>
      <c r="C623" t="inlineStr">
        <is>
          <t>Gestión de Proyectos</t>
        </is>
      </c>
      <c r="D623" t="inlineStr">
        <is>
          <t>Mensual</t>
        </is>
      </c>
      <c r="E623" t="inlineStr">
        <is>
          <t>Positivo</t>
        </is>
      </c>
      <c r="F623" s="105" t="n">
        <v>45138</v>
      </c>
      <c r="G623" t="inlineStr">
        <is>
          <t>239-2023-07-31</t>
        </is>
      </c>
      <c r="H623" t="inlineStr">
        <is>
          <t>Ejecución</t>
        </is>
      </c>
      <c r="J623" t="n">
        <v>12</v>
      </c>
      <c r="AU623" t="n">
        <v>12</v>
      </c>
    </row>
    <row r="624">
      <c r="A624" t="n">
        <v>239</v>
      </c>
      <c r="B624" t="inlineStr">
        <is>
          <t>Portafolio de Proyectos - Metrica</t>
        </is>
      </c>
      <c r="C624" t="inlineStr">
        <is>
          <t>Gestión de Proyectos</t>
        </is>
      </c>
      <c r="D624" t="inlineStr">
        <is>
          <t>Mensual</t>
        </is>
      </c>
      <c r="E624" t="inlineStr">
        <is>
          <t>Positivo</t>
        </is>
      </c>
      <c r="F624" s="105" t="n">
        <v>45138</v>
      </c>
      <c r="G624" t="inlineStr">
        <is>
          <t>239-2023-07-31</t>
        </is>
      </c>
      <c r="H624" t="inlineStr">
        <is>
          <t>Finalizados</t>
        </is>
      </c>
      <c r="J624" t="n">
        <v>5</v>
      </c>
      <c r="AU624" t="n">
        <v>5</v>
      </c>
    </row>
    <row r="625">
      <c r="A625" t="n">
        <v>434</v>
      </c>
      <c r="B625" t="inlineStr">
        <is>
          <t>Generación de Residuos Peligrosos Mensual</t>
        </is>
      </c>
      <c r="C625" t="inlineStr">
        <is>
          <t>GESTIÓN AMBIENTAL</t>
        </is>
      </c>
      <c r="D625" t="inlineStr">
        <is>
          <t>Mensual</t>
        </is>
      </c>
      <c r="E625" t="inlineStr">
        <is>
          <t>Negativo</t>
        </is>
      </c>
      <c r="F625" s="105" t="n">
        <v>45138</v>
      </c>
      <c r="G625" t="inlineStr">
        <is>
          <t>434-2023-07-31</t>
        </is>
      </c>
      <c r="H625" t="inlineStr">
        <is>
          <t>Campus Bogotá</t>
        </is>
      </c>
      <c r="I625" t="n">
        <v>200</v>
      </c>
      <c r="J625" t="n">
        <v>0</v>
      </c>
      <c r="AV625" t="n">
        <v>0</v>
      </c>
    </row>
    <row r="626">
      <c r="A626" t="n">
        <v>434</v>
      </c>
      <c r="B626" t="inlineStr">
        <is>
          <t>Generación de Residuos Peligrosos Mensual</t>
        </is>
      </c>
      <c r="C626" t="inlineStr">
        <is>
          <t>GESTIÓN AMBIENTAL</t>
        </is>
      </c>
      <c r="D626" t="inlineStr">
        <is>
          <t>Mensual</t>
        </is>
      </c>
      <c r="E626" t="inlineStr">
        <is>
          <t>Negativo</t>
        </is>
      </c>
      <c r="F626" s="105" t="n">
        <v>45138</v>
      </c>
      <c r="G626" t="inlineStr">
        <is>
          <t>434-2023-07-31</t>
        </is>
      </c>
      <c r="H626" t="inlineStr">
        <is>
          <t>City Campus</t>
        </is>
      </c>
      <c r="I626" t="n">
        <v>200</v>
      </c>
      <c r="J626" t="n">
        <v>0</v>
      </c>
      <c r="AV626" t="n">
        <v>0</v>
      </c>
    </row>
    <row r="627">
      <c r="A627" t="n">
        <v>434</v>
      </c>
      <c r="B627" t="inlineStr">
        <is>
          <t>Generación de Residuos Peligrosos Mensual</t>
        </is>
      </c>
      <c r="C627" t="inlineStr">
        <is>
          <t>GESTIÓN AMBIENTAL</t>
        </is>
      </c>
      <c r="D627" t="inlineStr">
        <is>
          <t>Mensual</t>
        </is>
      </c>
      <c r="E627" t="inlineStr">
        <is>
          <t>Negativo</t>
        </is>
      </c>
      <c r="F627" s="105" t="n">
        <v>45138</v>
      </c>
      <c r="G627" t="inlineStr">
        <is>
          <t>434-2023-07-31</t>
        </is>
      </c>
      <c r="H627" t="inlineStr">
        <is>
          <t>Sede Posgrado-Calle 85</t>
        </is>
      </c>
      <c r="I627" t="n">
        <v>200</v>
      </c>
      <c r="J627" t="n">
        <v>0</v>
      </c>
      <c r="AV627" t="n">
        <v>0</v>
      </c>
    </row>
    <row r="628">
      <c r="A628" t="n">
        <v>434</v>
      </c>
      <c r="B628" t="inlineStr">
        <is>
          <t>Generación de Residuos Peligrosos Mensual</t>
        </is>
      </c>
      <c r="C628" t="inlineStr">
        <is>
          <t>GESTIÓN AMBIENTAL</t>
        </is>
      </c>
      <c r="D628" t="inlineStr">
        <is>
          <t>Mensual</t>
        </is>
      </c>
      <c r="E628" t="inlineStr">
        <is>
          <t>Negativo</t>
        </is>
      </c>
      <c r="F628" s="105" t="n">
        <v>45138</v>
      </c>
      <c r="G628" t="inlineStr">
        <is>
          <t>434-2023-07-31</t>
        </is>
      </c>
      <c r="H628" t="inlineStr">
        <is>
          <t>Campus-Medellín</t>
        </is>
      </c>
      <c r="I628" t="n">
        <v>200</v>
      </c>
      <c r="J628" t="n">
        <v>18.89999961853027</v>
      </c>
      <c r="AV628" t="n">
        <v>18.9</v>
      </c>
    </row>
    <row r="629">
      <c r="A629" t="n">
        <v>434</v>
      </c>
      <c r="B629" t="inlineStr">
        <is>
          <t>Generación de Residuos Peligrosos Mensual</t>
        </is>
      </c>
      <c r="C629" t="inlineStr">
        <is>
          <t>GESTIÓN AMBIENTAL</t>
        </is>
      </c>
      <c r="D629" t="inlineStr">
        <is>
          <t>Mensual</t>
        </is>
      </c>
      <c r="E629" t="inlineStr">
        <is>
          <t>Negativo</t>
        </is>
      </c>
      <c r="F629" s="105" t="n">
        <v>45138</v>
      </c>
      <c r="G629" t="inlineStr">
        <is>
          <t>434-2023-07-31</t>
        </is>
      </c>
      <c r="H629" t="inlineStr">
        <is>
          <t>Sede Bienestar - Medellín</t>
        </is>
      </c>
      <c r="I629" t="n">
        <v>200</v>
      </c>
      <c r="J629" t="n">
        <v>0</v>
      </c>
      <c r="AV629" t="n">
        <v>0</v>
      </c>
    </row>
    <row r="630">
      <c r="A630" t="n">
        <v>434</v>
      </c>
      <c r="B630" t="inlineStr">
        <is>
          <t>Generación de Residuos Peligrosos Mensual</t>
        </is>
      </c>
      <c r="C630" t="inlineStr">
        <is>
          <t>GESTIÓN AMBIENTAL</t>
        </is>
      </c>
      <c r="D630" t="inlineStr">
        <is>
          <t>Mensual</t>
        </is>
      </c>
      <c r="E630" t="inlineStr">
        <is>
          <t>Negativo</t>
        </is>
      </c>
      <c r="F630" s="105" t="n">
        <v>45138</v>
      </c>
      <c r="G630" t="inlineStr">
        <is>
          <t>434-2023-07-31</t>
        </is>
      </c>
      <c r="H630" t="inlineStr">
        <is>
          <t>Consultorio Psicología - Medellin</t>
        </is>
      </c>
      <c r="I630" t="n">
        <v>200</v>
      </c>
      <c r="J630" t="n">
        <v>0</v>
      </c>
      <c r="AV630" t="n">
        <v>0</v>
      </c>
    </row>
    <row r="631">
      <c r="A631" t="n">
        <v>436</v>
      </c>
      <c r="B631" t="inlineStr">
        <is>
          <t>ANS documentos operativos</t>
        </is>
      </c>
      <c r="C631" t="inlineStr">
        <is>
          <t>Gestión de calidad</t>
        </is>
      </c>
      <c r="D631" t="inlineStr">
        <is>
          <t>Mensual</t>
        </is>
      </c>
      <c r="E631" t="inlineStr">
        <is>
          <t>Negativo</t>
        </is>
      </c>
      <c r="F631" s="105" t="n">
        <v>45138</v>
      </c>
      <c r="G631" t="inlineStr">
        <is>
          <t>436-2023-07-31</t>
        </is>
      </c>
      <c r="H631" t="inlineStr">
        <is>
          <t>Solicitud Documental</t>
        </is>
      </c>
      <c r="I631" t="n">
        <v>14</v>
      </c>
      <c r="J631" t="n">
        <v>3.599999904632568</v>
      </c>
      <c r="CP631" t="n">
        <v>3.6</v>
      </c>
    </row>
    <row r="632">
      <c r="A632" t="n">
        <v>436</v>
      </c>
      <c r="B632" t="inlineStr">
        <is>
          <t>ANS documentos operativos</t>
        </is>
      </c>
      <c r="C632" t="inlineStr">
        <is>
          <t>Gestión de calidad</t>
        </is>
      </c>
      <c r="D632" t="inlineStr">
        <is>
          <t>Mensual</t>
        </is>
      </c>
      <c r="E632" t="inlineStr">
        <is>
          <t>Negativo</t>
        </is>
      </c>
      <c r="F632" s="105" t="n">
        <v>45138</v>
      </c>
      <c r="G632" t="inlineStr">
        <is>
          <t>436-2023-07-31</t>
        </is>
      </c>
      <c r="H632" t="inlineStr">
        <is>
          <t>Flujo de aprobación</t>
        </is>
      </c>
      <c r="I632" t="n">
        <v>7</v>
      </c>
      <c r="J632" t="n">
        <v>8.100000381469727</v>
      </c>
      <c r="CP632" t="n">
        <v>8.1</v>
      </c>
    </row>
    <row r="633">
      <c r="A633" t="n">
        <v>208</v>
      </c>
      <c r="B633" t="inlineStr">
        <is>
          <t>Consumo de Agua m3 Mensual</t>
        </is>
      </c>
      <c r="C633" t="inlineStr">
        <is>
          <t>GESTIÓN AMBIENTAL</t>
        </is>
      </c>
      <c r="D633" t="inlineStr">
        <is>
          <t>Mensual</t>
        </is>
      </c>
      <c r="E633" t="inlineStr">
        <is>
          <t>Negativo</t>
        </is>
      </c>
      <c r="F633" s="105" t="n">
        <v>45169</v>
      </c>
      <c r="G633" t="inlineStr">
        <is>
          <t>208-2023-08-31</t>
        </is>
      </c>
      <c r="H633" t="inlineStr">
        <is>
          <t>Campus Bogotá</t>
        </is>
      </c>
      <c r="I633" t="n">
        <v>1</v>
      </c>
      <c r="J633" t="n">
        <v>740</v>
      </c>
      <c r="K633" t="n">
        <v>740</v>
      </c>
    </row>
    <row r="634">
      <c r="A634" t="n">
        <v>208</v>
      </c>
      <c r="B634" t="inlineStr">
        <is>
          <t>Consumo de Agua m3 Mensual</t>
        </is>
      </c>
      <c r="C634" t="inlineStr">
        <is>
          <t>GESTIÓN AMBIENTAL</t>
        </is>
      </c>
      <c r="D634" t="inlineStr">
        <is>
          <t>Mensual</t>
        </is>
      </c>
      <c r="E634" t="inlineStr">
        <is>
          <t>Negativo</t>
        </is>
      </c>
      <c r="F634" s="105" t="n">
        <v>45169</v>
      </c>
      <c r="G634" t="inlineStr">
        <is>
          <t>208-2023-08-31</t>
        </is>
      </c>
      <c r="H634" t="inlineStr">
        <is>
          <t>City Campus</t>
        </is>
      </c>
      <c r="I634" t="n">
        <v>1</v>
      </c>
      <c r="J634" t="n">
        <v>391</v>
      </c>
      <c r="K634" t="n">
        <v>391</v>
      </c>
    </row>
    <row r="635">
      <c r="A635" t="n">
        <v>208</v>
      </c>
      <c r="B635" t="inlineStr">
        <is>
          <t>Consumo de Agua m3 Mensual</t>
        </is>
      </c>
      <c r="C635" t="inlineStr">
        <is>
          <t>GESTIÓN AMBIENTAL</t>
        </is>
      </c>
      <c r="D635" t="inlineStr">
        <is>
          <t>Mensual</t>
        </is>
      </c>
      <c r="E635" t="inlineStr">
        <is>
          <t>Negativo</t>
        </is>
      </c>
      <c r="F635" s="105" t="n">
        <v>45169</v>
      </c>
      <c r="G635" t="inlineStr">
        <is>
          <t>208-2023-08-31</t>
        </is>
      </c>
      <c r="H635" t="inlineStr">
        <is>
          <t>Sede Posgrado-Calle 85</t>
        </is>
      </c>
      <c r="I635" t="n">
        <v>1</v>
      </c>
      <c r="J635" t="n">
        <v>0</v>
      </c>
      <c r="K635" t="n">
        <v>0</v>
      </c>
    </row>
    <row r="636">
      <c r="A636" t="n">
        <v>208</v>
      </c>
      <c r="B636" t="inlineStr">
        <is>
          <t>Consumo de Agua m3 Mensual</t>
        </is>
      </c>
      <c r="C636" t="inlineStr">
        <is>
          <t>GESTIÓN AMBIENTAL</t>
        </is>
      </c>
      <c r="D636" t="inlineStr">
        <is>
          <t>Mensual</t>
        </is>
      </c>
      <c r="E636" t="inlineStr">
        <is>
          <t>Negativo</t>
        </is>
      </c>
      <c r="F636" s="105" t="n">
        <v>45169</v>
      </c>
      <c r="G636" t="inlineStr">
        <is>
          <t>208-2023-08-31</t>
        </is>
      </c>
      <c r="H636" t="inlineStr">
        <is>
          <t>Campus-Medellín</t>
        </is>
      </c>
      <c r="I636" t="n">
        <v>1</v>
      </c>
      <c r="J636" t="n">
        <v>135</v>
      </c>
      <c r="K636" t="n">
        <v>135</v>
      </c>
    </row>
    <row r="637">
      <c r="A637" t="n">
        <v>208</v>
      </c>
      <c r="B637" t="inlineStr">
        <is>
          <t>Consumo de Agua m3 Mensual</t>
        </is>
      </c>
      <c r="C637" t="inlineStr">
        <is>
          <t>GESTIÓN AMBIENTAL</t>
        </is>
      </c>
      <c r="D637" t="inlineStr">
        <is>
          <t>Mensual</t>
        </is>
      </c>
      <c r="E637" t="inlineStr">
        <is>
          <t>Negativo</t>
        </is>
      </c>
      <c r="F637" s="105" t="n">
        <v>45169</v>
      </c>
      <c r="G637" t="inlineStr">
        <is>
          <t>208-2023-08-31</t>
        </is>
      </c>
      <c r="H637" t="inlineStr">
        <is>
          <t>Sede Bienestar - Medellín</t>
        </is>
      </c>
      <c r="I637" t="n">
        <v>0</v>
      </c>
      <c r="J637" t="n">
        <v>0</v>
      </c>
      <c r="K637" t="n">
        <v>0</v>
      </c>
    </row>
    <row r="638">
      <c r="A638" t="n">
        <v>208</v>
      </c>
      <c r="B638" t="inlineStr">
        <is>
          <t>Consumo de Agua m3 Mensual</t>
        </is>
      </c>
      <c r="C638" t="inlineStr">
        <is>
          <t>GESTIÓN AMBIENTAL</t>
        </is>
      </c>
      <c r="D638" t="inlineStr">
        <is>
          <t>Mensual</t>
        </is>
      </c>
      <c r="E638" t="inlineStr">
        <is>
          <t>Negativo</t>
        </is>
      </c>
      <c r="F638" s="105" t="n">
        <v>45169</v>
      </c>
      <c r="G638" t="inlineStr">
        <is>
          <t>208-2023-08-31</t>
        </is>
      </c>
      <c r="H638" t="inlineStr">
        <is>
          <t>Consultorio Psicología - Medellin</t>
        </is>
      </c>
      <c r="I638" t="n">
        <v>1</v>
      </c>
      <c r="J638" t="n">
        <v>9</v>
      </c>
      <c r="K638" t="n">
        <v>9</v>
      </c>
    </row>
    <row r="639">
      <c r="A639" t="n">
        <v>214</v>
      </c>
      <c r="B639" t="inlineStr">
        <is>
          <t>Generación de Residuos Sólidos Mensual</t>
        </is>
      </c>
      <c r="C639" t="inlineStr">
        <is>
          <t>GESTIÓN AMBIENTAL</t>
        </is>
      </c>
      <c r="D639" t="inlineStr">
        <is>
          <t>Mensual</t>
        </is>
      </c>
      <c r="E639" t="inlineStr">
        <is>
          <t>Negativo</t>
        </is>
      </c>
      <c r="F639" s="105" t="n">
        <v>45169</v>
      </c>
      <c r="G639" t="inlineStr">
        <is>
          <t>214-2023-08-31</t>
        </is>
      </c>
      <c r="H639" t="inlineStr">
        <is>
          <t>Campus Bogotá</t>
        </is>
      </c>
      <c r="I639" t="n">
        <v>7500</v>
      </c>
      <c r="J639" t="n">
        <v>5026</v>
      </c>
      <c r="L639" t="n">
        <v>1521</v>
      </c>
      <c r="M639" t="n">
        <v>3505</v>
      </c>
    </row>
    <row r="640">
      <c r="A640" t="n">
        <v>214</v>
      </c>
      <c r="B640" t="inlineStr">
        <is>
          <t>Generación de Residuos Sólidos Mensual</t>
        </is>
      </c>
      <c r="C640" t="inlineStr">
        <is>
          <t>GESTIÓN AMBIENTAL</t>
        </is>
      </c>
      <c r="D640" t="inlineStr">
        <is>
          <t>Mensual</t>
        </is>
      </c>
      <c r="E640" t="inlineStr">
        <is>
          <t>Negativo</t>
        </is>
      </c>
      <c r="F640" s="105" t="n">
        <v>45169</v>
      </c>
      <c r="G640" t="inlineStr">
        <is>
          <t>214-2023-08-31</t>
        </is>
      </c>
      <c r="H640" t="inlineStr">
        <is>
          <t>City Campus</t>
        </is>
      </c>
      <c r="I640" t="n">
        <v>7500</v>
      </c>
      <c r="J640" t="n">
        <v>990.1799926757812</v>
      </c>
      <c r="L640" t="n">
        <v>0</v>
      </c>
      <c r="M640" t="n">
        <v>990.1799999999999</v>
      </c>
    </row>
    <row r="641">
      <c r="A641" t="n">
        <v>214</v>
      </c>
      <c r="B641" t="inlineStr">
        <is>
          <t>Generación de Residuos Sólidos Mensual</t>
        </is>
      </c>
      <c r="C641" t="inlineStr">
        <is>
          <t>GESTIÓN AMBIENTAL</t>
        </is>
      </c>
      <c r="D641" t="inlineStr">
        <is>
          <t>Mensual</t>
        </is>
      </c>
      <c r="E641" t="inlineStr">
        <is>
          <t>Negativo</t>
        </is>
      </c>
      <c r="F641" s="105" t="n">
        <v>45169</v>
      </c>
      <c r="G641" t="inlineStr">
        <is>
          <t>214-2023-08-31</t>
        </is>
      </c>
      <c r="H641" t="inlineStr">
        <is>
          <t>Sede Posgrado-Calle 85</t>
        </is>
      </c>
      <c r="I641" t="n">
        <v>7500</v>
      </c>
      <c r="J641" t="n">
        <v>0</v>
      </c>
      <c r="L641" t="n">
        <v>0</v>
      </c>
      <c r="M641" t="n">
        <v>0</v>
      </c>
    </row>
    <row r="642">
      <c r="A642" t="n">
        <v>214</v>
      </c>
      <c r="B642" t="inlineStr">
        <is>
          <t>Generación de Residuos Sólidos Mensual</t>
        </is>
      </c>
      <c r="C642" t="inlineStr">
        <is>
          <t>GESTIÓN AMBIENTAL</t>
        </is>
      </c>
      <c r="D642" t="inlineStr">
        <is>
          <t>Mensual</t>
        </is>
      </c>
      <c r="E642" t="inlineStr">
        <is>
          <t>Negativo</t>
        </is>
      </c>
      <c r="F642" s="105" t="n">
        <v>45169</v>
      </c>
      <c r="G642" t="inlineStr">
        <is>
          <t>214-2023-08-31</t>
        </is>
      </c>
      <c r="H642" t="inlineStr">
        <is>
          <t>Campus-Medellín</t>
        </is>
      </c>
      <c r="I642" t="n">
        <v>7500</v>
      </c>
      <c r="J642" t="n">
        <v>523.9000244140625</v>
      </c>
      <c r="L642" t="n">
        <v>207.7</v>
      </c>
      <c r="M642" t="n">
        <v>316.2</v>
      </c>
    </row>
    <row r="643">
      <c r="A643" t="n">
        <v>214</v>
      </c>
      <c r="B643" t="inlineStr">
        <is>
          <t>Generación de Residuos Sólidos Mensual</t>
        </is>
      </c>
      <c r="C643" t="inlineStr">
        <is>
          <t>GESTIÓN AMBIENTAL</t>
        </is>
      </c>
      <c r="D643" t="inlineStr">
        <is>
          <t>Mensual</t>
        </is>
      </c>
      <c r="E643" t="inlineStr">
        <is>
          <t>Negativo</t>
        </is>
      </c>
      <c r="F643" s="105" t="n">
        <v>45169</v>
      </c>
      <c r="G643" t="inlineStr">
        <is>
          <t>214-2023-08-31</t>
        </is>
      </c>
      <c r="H643" t="inlineStr">
        <is>
          <t>Sede Bienestar - Medellín</t>
        </is>
      </c>
      <c r="I643" t="n">
        <v>1</v>
      </c>
      <c r="J643" t="n">
        <v>0</v>
      </c>
      <c r="L643" t="n">
        <v>0</v>
      </c>
      <c r="M643" t="n">
        <v>0</v>
      </c>
    </row>
    <row r="644">
      <c r="A644" t="n">
        <v>214</v>
      </c>
      <c r="B644" t="inlineStr">
        <is>
          <t>Generación de Residuos Sólidos Mensual</t>
        </is>
      </c>
      <c r="C644" t="inlineStr">
        <is>
          <t>GESTIÓN AMBIENTAL</t>
        </is>
      </c>
      <c r="D644" t="inlineStr">
        <is>
          <t>Mensual</t>
        </is>
      </c>
      <c r="E644" t="inlineStr">
        <is>
          <t>Negativo</t>
        </is>
      </c>
      <c r="F644" s="105" t="n">
        <v>45169</v>
      </c>
      <c r="G644" t="inlineStr">
        <is>
          <t>214-2023-08-31</t>
        </is>
      </c>
      <c r="H644" t="inlineStr">
        <is>
          <t>Consultorio Psicología - Medellin</t>
        </is>
      </c>
      <c r="I644" t="n">
        <v>1</v>
      </c>
      <c r="J644" t="n">
        <v>0</v>
      </c>
      <c r="L644" t="n">
        <v>0</v>
      </c>
      <c r="M644" t="n">
        <v>0</v>
      </c>
    </row>
    <row r="645">
      <c r="A645" t="n">
        <v>217</v>
      </c>
      <c r="B645" t="inlineStr">
        <is>
          <t>Aprovechamiento de Residuos</t>
        </is>
      </c>
      <c r="C645" t="inlineStr">
        <is>
          <t>GESTIÓN AMBIENTAL</t>
        </is>
      </c>
      <c r="D645" t="inlineStr">
        <is>
          <t>Mensual</t>
        </is>
      </c>
      <c r="E645" t="inlineStr">
        <is>
          <t>Positivo</t>
        </is>
      </c>
      <c r="F645" s="105" t="n">
        <v>45169</v>
      </c>
      <c r="G645" t="inlineStr">
        <is>
          <t>217-2023-08-31</t>
        </is>
      </c>
      <c r="H645" t="inlineStr">
        <is>
          <t>Campus Bogotá</t>
        </is>
      </c>
      <c r="I645" t="n">
        <v>20</v>
      </c>
      <c r="J645" t="n">
        <v>30.26000022888184</v>
      </c>
      <c r="L645" t="n">
        <v>1521</v>
      </c>
      <c r="M645" t="n">
        <v>3505</v>
      </c>
      <c r="AS645" t="n">
        <v>1521</v>
      </c>
    </row>
    <row r="646">
      <c r="A646" t="n">
        <v>217</v>
      </c>
      <c r="B646" t="inlineStr">
        <is>
          <t>Aprovechamiento de Residuos</t>
        </is>
      </c>
      <c r="C646" t="inlineStr">
        <is>
          <t>GESTIÓN AMBIENTAL</t>
        </is>
      </c>
      <c r="D646" t="inlineStr">
        <is>
          <t>Mensual</t>
        </is>
      </c>
      <c r="E646" t="inlineStr">
        <is>
          <t>Positivo</t>
        </is>
      </c>
      <c r="F646" s="105" t="n">
        <v>45169</v>
      </c>
      <c r="G646" t="inlineStr">
        <is>
          <t>217-2023-08-31</t>
        </is>
      </c>
      <c r="H646" t="inlineStr">
        <is>
          <t>City Campus</t>
        </is>
      </c>
      <c r="I646" t="n">
        <v>20</v>
      </c>
      <c r="J646" t="n">
        <v>0</v>
      </c>
      <c r="L646" t="n">
        <v>0</v>
      </c>
      <c r="M646" t="n">
        <v>990.1799999999999</v>
      </c>
      <c r="AS646" t="n">
        <v>0</v>
      </c>
    </row>
    <row r="647">
      <c r="A647" t="n">
        <v>217</v>
      </c>
      <c r="B647" t="inlineStr">
        <is>
          <t>Aprovechamiento de Residuos</t>
        </is>
      </c>
      <c r="C647" t="inlineStr">
        <is>
          <t>GESTIÓN AMBIENTAL</t>
        </is>
      </c>
      <c r="D647" t="inlineStr">
        <is>
          <t>Mensual</t>
        </is>
      </c>
      <c r="E647" t="inlineStr">
        <is>
          <t>Positivo</t>
        </is>
      </c>
      <c r="F647" s="105" t="n">
        <v>45169</v>
      </c>
      <c r="G647" t="inlineStr">
        <is>
          <t>217-2023-08-31</t>
        </is>
      </c>
      <c r="H647" t="inlineStr">
        <is>
          <t>Campus-Medellín</t>
        </is>
      </c>
      <c r="I647" t="n">
        <v>20</v>
      </c>
      <c r="J647" t="n">
        <v>39.63999938964844</v>
      </c>
      <c r="L647" t="n">
        <v>207.7</v>
      </c>
      <c r="M647" t="n">
        <v>316.2</v>
      </c>
      <c r="AS647" t="n">
        <v>207.7</v>
      </c>
    </row>
    <row r="648">
      <c r="A648" t="n">
        <v>218</v>
      </c>
      <c r="B648" t="inlineStr">
        <is>
          <t>Consumo de Energía Eléctrica kWh Mensual</t>
        </is>
      </c>
      <c r="C648" t="inlineStr">
        <is>
          <t>GESTIÓN AMBIENTAL</t>
        </is>
      </c>
      <c r="D648" t="inlineStr">
        <is>
          <t>Mensual</t>
        </is>
      </c>
      <c r="E648" t="inlineStr">
        <is>
          <t>Negativo</t>
        </is>
      </c>
      <c r="F648" s="105" t="n">
        <v>45169</v>
      </c>
      <c r="G648" t="inlineStr">
        <is>
          <t>218-2023-08-31</t>
        </is>
      </c>
      <c r="H648" t="inlineStr">
        <is>
          <t>Campus Bogotá</t>
        </is>
      </c>
      <c r="I648" t="n">
        <v>172000</v>
      </c>
      <c r="J648" t="n">
        <v>68974.703125</v>
      </c>
      <c r="N648" t="n">
        <v>68974.71000000001</v>
      </c>
    </row>
    <row r="649">
      <c r="A649" t="n">
        <v>218</v>
      </c>
      <c r="B649" t="inlineStr">
        <is>
          <t>Consumo de Energía Eléctrica kWh Mensual</t>
        </is>
      </c>
      <c r="C649" t="inlineStr">
        <is>
          <t>GESTIÓN AMBIENTAL</t>
        </is>
      </c>
      <c r="D649" t="inlineStr">
        <is>
          <t>Mensual</t>
        </is>
      </c>
      <c r="E649" t="inlineStr">
        <is>
          <t>Negativo</t>
        </is>
      </c>
      <c r="F649" s="105" t="n">
        <v>45169</v>
      </c>
      <c r="G649" t="inlineStr">
        <is>
          <t>218-2023-08-31</t>
        </is>
      </c>
      <c r="H649" t="inlineStr">
        <is>
          <t>City Campus</t>
        </is>
      </c>
      <c r="I649" t="n">
        <v>172000</v>
      </c>
      <c r="J649" t="n">
        <v>56430</v>
      </c>
      <c r="N649" t="n">
        <v>56430</v>
      </c>
    </row>
    <row r="650">
      <c r="A650" t="n">
        <v>218</v>
      </c>
      <c r="B650" t="inlineStr">
        <is>
          <t>Consumo de Energía Eléctrica kWh Mensual</t>
        </is>
      </c>
      <c r="C650" t="inlineStr">
        <is>
          <t>GESTIÓN AMBIENTAL</t>
        </is>
      </c>
      <c r="D650" t="inlineStr">
        <is>
          <t>Mensual</t>
        </is>
      </c>
      <c r="E650" t="inlineStr">
        <is>
          <t>Negativo</t>
        </is>
      </c>
      <c r="F650" s="105" t="n">
        <v>45169</v>
      </c>
      <c r="G650" t="inlineStr">
        <is>
          <t>218-2023-08-31</t>
        </is>
      </c>
      <c r="H650" t="inlineStr">
        <is>
          <t>Sede Posgrado-Calle 85</t>
        </is>
      </c>
      <c r="I650" t="n">
        <v>172000</v>
      </c>
      <c r="J650" t="n">
        <v>0</v>
      </c>
      <c r="N650" t="n">
        <v>0</v>
      </c>
    </row>
    <row r="651">
      <c r="A651" t="n">
        <v>218</v>
      </c>
      <c r="B651" t="inlineStr">
        <is>
          <t>Consumo de Energía Eléctrica kWh Mensual</t>
        </is>
      </c>
      <c r="C651" t="inlineStr">
        <is>
          <t>GESTIÓN AMBIENTAL</t>
        </is>
      </c>
      <c r="D651" t="inlineStr">
        <is>
          <t>Mensual</t>
        </is>
      </c>
      <c r="E651" t="inlineStr">
        <is>
          <t>Negativo</t>
        </is>
      </c>
      <c r="F651" s="105" t="n">
        <v>45169</v>
      </c>
      <c r="G651" t="inlineStr">
        <is>
          <t>218-2023-08-31</t>
        </is>
      </c>
      <c r="H651" t="inlineStr">
        <is>
          <t>Campus-Medellín</t>
        </is>
      </c>
      <c r="I651" t="n">
        <v>172000</v>
      </c>
      <c r="J651" t="n">
        <v>13730</v>
      </c>
      <c r="N651" t="n">
        <v>13730</v>
      </c>
    </row>
    <row r="652">
      <c r="A652" t="n">
        <v>218</v>
      </c>
      <c r="B652" t="inlineStr">
        <is>
          <t>Consumo de Energía Eléctrica kWh Mensual</t>
        </is>
      </c>
      <c r="C652" t="inlineStr">
        <is>
          <t>GESTIÓN AMBIENTAL</t>
        </is>
      </c>
      <c r="D652" t="inlineStr">
        <is>
          <t>Mensual</t>
        </is>
      </c>
      <c r="E652" t="inlineStr">
        <is>
          <t>Negativo</t>
        </is>
      </c>
      <c r="F652" s="105" t="n">
        <v>45169</v>
      </c>
      <c r="G652" t="inlineStr">
        <is>
          <t>218-2023-08-31</t>
        </is>
      </c>
      <c r="H652" t="inlineStr">
        <is>
          <t>Sede Bienestar - Medellín</t>
        </is>
      </c>
      <c r="I652" t="n">
        <v>172000</v>
      </c>
      <c r="J652" t="n">
        <v>2520</v>
      </c>
      <c r="N652" t="n">
        <v>2520</v>
      </c>
    </row>
    <row r="653">
      <c r="A653" t="n">
        <v>218</v>
      </c>
      <c r="B653" t="inlineStr">
        <is>
          <t>Consumo de Energía Eléctrica kWh Mensual</t>
        </is>
      </c>
      <c r="C653" t="inlineStr">
        <is>
          <t>GESTIÓN AMBIENTAL</t>
        </is>
      </c>
      <c r="D653" t="inlineStr">
        <is>
          <t>Mensual</t>
        </is>
      </c>
      <c r="E653" t="inlineStr">
        <is>
          <t>Negativo</t>
        </is>
      </c>
      <c r="F653" s="105" t="n">
        <v>45169</v>
      </c>
      <c r="G653" t="inlineStr">
        <is>
          <t>218-2023-08-31</t>
        </is>
      </c>
      <c r="H653" t="inlineStr">
        <is>
          <t>Consultorio Psicología - Medellin</t>
        </is>
      </c>
      <c r="I653" t="n">
        <v>172000</v>
      </c>
      <c r="J653" t="n">
        <v>1367</v>
      </c>
      <c r="N653" t="n">
        <v>1367</v>
      </c>
    </row>
    <row r="654">
      <c r="A654" t="n">
        <v>225</v>
      </c>
      <c r="B654" t="inlineStr">
        <is>
          <t>Acciones para el Cuidado y Mantenimiento de las Especies de Flora y el Suelo de las Áreas Naturales</t>
        </is>
      </c>
      <c r="C654" t="inlineStr">
        <is>
          <t>GESTIÓN AMBIENTAL</t>
        </is>
      </c>
      <c r="D654" t="inlineStr">
        <is>
          <t>Mensual</t>
        </is>
      </c>
      <c r="E654" t="inlineStr">
        <is>
          <t>Positivo</t>
        </is>
      </c>
      <c r="F654" s="105" t="n">
        <v>45169</v>
      </c>
      <c r="G654" t="inlineStr">
        <is>
          <t>225-2023-08-31</t>
        </is>
      </c>
      <c r="H654" t="inlineStr">
        <is>
          <t>Campus Bogotá</t>
        </is>
      </c>
      <c r="I654" t="n">
        <v>1</v>
      </c>
      <c r="J654" t="n">
        <v>6</v>
      </c>
      <c r="AT654" t="n">
        <v>6</v>
      </c>
    </row>
    <row r="655">
      <c r="A655" t="n">
        <v>225</v>
      </c>
      <c r="B655" t="inlineStr">
        <is>
          <t>Acciones para el Cuidado y Mantenimiento de las Especies de Flora y el Suelo de las Áreas Naturales</t>
        </is>
      </c>
      <c r="C655" t="inlineStr">
        <is>
          <t>GESTIÓN AMBIENTAL</t>
        </is>
      </c>
      <c r="D655" t="inlineStr">
        <is>
          <t>Mensual</t>
        </is>
      </c>
      <c r="E655" t="inlineStr">
        <is>
          <t>Positivo</t>
        </is>
      </c>
      <c r="F655" s="105" t="n">
        <v>45169</v>
      </c>
      <c r="G655" t="inlineStr">
        <is>
          <t>225-2023-08-31</t>
        </is>
      </c>
      <c r="H655" t="inlineStr">
        <is>
          <t>City Campus</t>
        </is>
      </c>
      <c r="I655" t="n">
        <v>1</v>
      </c>
      <c r="J655" t="n">
        <v>5</v>
      </c>
      <c r="AT655" t="n">
        <v>5</v>
      </c>
    </row>
    <row r="656">
      <c r="A656" t="n">
        <v>225</v>
      </c>
      <c r="B656" t="inlineStr">
        <is>
          <t>Acciones para el Cuidado y Mantenimiento de las Especies de Flora y el Suelo de las Áreas Naturales</t>
        </is>
      </c>
      <c r="C656" t="inlineStr">
        <is>
          <t>GESTIÓN AMBIENTAL</t>
        </is>
      </c>
      <c r="D656" t="inlineStr">
        <is>
          <t>Mensual</t>
        </is>
      </c>
      <c r="E656" t="inlineStr">
        <is>
          <t>Positivo</t>
        </is>
      </c>
      <c r="F656" s="105" t="n">
        <v>45169</v>
      </c>
      <c r="G656" t="inlineStr">
        <is>
          <t>225-2023-08-31</t>
        </is>
      </c>
      <c r="H656" t="inlineStr">
        <is>
          <t>Sede Posgrado-Calle 85</t>
        </is>
      </c>
      <c r="I656" t="n">
        <v>1</v>
      </c>
      <c r="J656" t="n">
        <v>0</v>
      </c>
      <c r="AT656" t="n">
        <v>0</v>
      </c>
    </row>
    <row r="657">
      <c r="A657" t="n">
        <v>225</v>
      </c>
      <c r="B657" t="inlineStr">
        <is>
          <t>Acciones para el Cuidado y Mantenimiento de las Especies de Flora y el Suelo de las Áreas Naturales</t>
        </is>
      </c>
      <c r="C657" t="inlineStr">
        <is>
          <t>GESTIÓN AMBIENTAL</t>
        </is>
      </c>
      <c r="D657" t="inlineStr">
        <is>
          <t>Mensual</t>
        </is>
      </c>
      <c r="E657" t="inlineStr">
        <is>
          <t>Positivo</t>
        </is>
      </c>
      <c r="F657" s="105" t="n">
        <v>45169</v>
      </c>
      <c r="G657" t="inlineStr">
        <is>
          <t>225-2023-08-31</t>
        </is>
      </c>
      <c r="H657" t="inlineStr">
        <is>
          <t>Campus-Medellín</t>
        </is>
      </c>
      <c r="I657" t="n">
        <v>1</v>
      </c>
      <c r="J657" t="n">
        <v>10</v>
      </c>
      <c r="AT657" t="n">
        <v>10</v>
      </c>
    </row>
    <row r="658">
      <c r="A658" t="n">
        <v>225</v>
      </c>
      <c r="B658" t="inlineStr">
        <is>
          <t>Acciones para el Cuidado y Mantenimiento de las Especies de Flora y el Suelo de las Áreas Naturales</t>
        </is>
      </c>
      <c r="C658" t="inlineStr">
        <is>
          <t>GESTIÓN AMBIENTAL</t>
        </is>
      </c>
      <c r="D658" t="inlineStr">
        <is>
          <t>Mensual</t>
        </is>
      </c>
      <c r="E658" t="inlineStr">
        <is>
          <t>Positivo</t>
        </is>
      </c>
      <c r="F658" s="105" t="n">
        <v>45169</v>
      </c>
      <c r="G658" t="inlineStr">
        <is>
          <t>225-2023-08-31</t>
        </is>
      </c>
      <c r="H658" t="inlineStr">
        <is>
          <t>Sede Bienestar - Medellín</t>
        </is>
      </c>
      <c r="I658" t="n">
        <v>1</v>
      </c>
      <c r="J658" t="n">
        <v>1</v>
      </c>
      <c r="AT658" t="n">
        <v>1</v>
      </c>
    </row>
    <row r="659">
      <c r="A659" t="n">
        <v>225</v>
      </c>
      <c r="B659" t="inlineStr">
        <is>
          <t>Acciones para el Cuidado y Mantenimiento de las Especies de Flora y el Suelo de las Áreas Naturales</t>
        </is>
      </c>
      <c r="C659" t="inlineStr">
        <is>
          <t>GESTIÓN AMBIENTAL</t>
        </is>
      </c>
      <c r="D659" t="inlineStr">
        <is>
          <t>Mensual</t>
        </is>
      </c>
      <c r="E659" t="inlineStr">
        <is>
          <t>Positivo</t>
        </is>
      </c>
      <c r="F659" s="105" t="n">
        <v>45169</v>
      </c>
      <c r="G659" t="inlineStr">
        <is>
          <t>225-2023-08-31</t>
        </is>
      </c>
      <c r="H659" t="inlineStr">
        <is>
          <t>Consultorio Psicología - Medellin</t>
        </is>
      </c>
      <c r="I659" t="n">
        <v>1</v>
      </c>
      <c r="J659" t="n">
        <v>1</v>
      </c>
      <c r="AT659" t="n">
        <v>1</v>
      </c>
    </row>
    <row r="660">
      <c r="A660" t="n">
        <v>434</v>
      </c>
      <c r="B660" t="inlineStr">
        <is>
          <t>Generación de Residuos Peligrosos Mensual</t>
        </is>
      </c>
      <c r="C660" t="inlineStr">
        <is>
          <t>GESTIÓN AMBIENTAL</t>
        </is>
      </c>
      <c r="D660" t="inlineStr">
        <is>
          <t>Mensual</t>
        </is>
      </c>
      <c r="E660" t="inlineStr">
        <is>
          <t>Negativo</t>
        </is>
      </c>
      <c r="F660" s="105" t="n">
        <v>45169</v>
      </c>
      <c r="G660" t="inlineStr">
        <is>
          <t>434-2023-08-31</t>
        </is>
      </c>
      <c r="H660" t="inlineStr">
        <is>
          <t>Campus Bogotá</t>
        </is>
      </c>
      <c r="I660" t="n">
        <v>200</v>
      </c>
      <c r="J660" t="n">
        <v>0</v>
      </c>
      <c r="AV660" t="n">
        <v>0</v>
      </c>
    </row>
    <row r="661">
      <c r="A661" t="n">
        <v>434</v>
      </c>
      <c r="B661" t="inlineStr">
        <is>
          <t>Generación de Residuos Peligrosos Mensual</t>
        </is>
      </c>
      <c r="C661" t="inlineStr">
        <is>
          <t>GESTIÓN AMBIENTAL</t>
        </is>
      </c>
      <c r="D661" t="inlineStr">
        <is>
          <t>Mensual</t>
        </is>
      </c>
      <c r="E661" t="inlineStr">
        <is>
          <t>Negativo</t>
        </is>
      </c>
      <c r="F661" s="105" t="n">
        <v>45169</v>
      </c>
      <c r="G661" t="inlineStr">
        <is>
          <t>434-2023-08-31</t>
        </is>
      </c>
      <c r="H661" t="inlineStr">
        <is>
          <t>City Campus</t>
        </is>
      </c>
      <c r="I661" t="n">
        <v>200</v>
      </c>
      <c r="J661" t="n">
        <v>1.600000023841858</v>
      </c>
      <c r="AV661" t="n">
        <v>1.6</v>
      </c>
    </row>
    <row r="662">
      <c r="A662" t="n">
        <v>434</v>
      </c>
      <c r="B662" t="inlineStr">
        <is>
          <t>Generación de Residuos Peligrosos Mensual</t>
        </is>
      </c>
      <c r="C662" t="inlineStr">
        <is>
          <t>GESTIÓN AMBIENTAL</t>
        </is>
      </c>
      <c r="D662" t="inlineStr">
        <is>
          <t>Mensual</t>
        </is>
      </c>
      <c r="E662" t="inlineStr">
        <is>
          <t>Negativo</t>
        </is>
      </c>
      <c r="F662" s="105" t="n">
        <v>45169</v>
      </c>
      <c r="G662" t="inlineStr">
        <is>
          <t>434-2023-08-31</t>
        </is>
      </c>
      <c r="H662" t="inlineStr">
        <is>
          <t>Sede Posgrado-Calle 85</t>
        </is>
      </c>
      <c r="I662" t="n">
        <v>200</v>
      </c>
      <c r="J662" t="n">
        <v>0</v>
      </c>
      <c r="AV662" t="n">
        <v>0</v>
      </c>
    </row>
    <row r="663">
      <c r="A663" t="n">
        <v>434</v>
      </c>
      <c r="B663" t="inlineStr">
        <is>
          <t>Generación de Residuos Peligrosos Mensual</t>
        </is>
      </c>
      <c r="C663" t="inlineStr">
        <is>
          <t>GESTIÓN AMBIENTAL</t>
        </is>
      </c>
      <c r="D663" t="inlineStr">
        <is>
          <t>Mensual</t>
        </is>
      </c>
      <c r="E663" t="inlineStr">
        <is>
          <t>Negativo</t>
        </is>
      </c>
      <c r="F663" s="105" t="n">
        <v>45169</v>
      </c>
      <c r="G663" t="inlineStr">
        <is>
          <t>434-2023-08-31</t>
        </is>
      </c>
      <c r="H663" t="inlineStr">
        <is>
          <t>Campus-Medellín</t>
        </is>
      </c>
      <c r="I663" t="n">
        <v>200</v>
      </c>
      <c r="J663" t="n">
        <v>19.29999923706055</v>
      </c>
      <c r="AV663" t="n">
        <v>19.3</v>
      </c>
    </row>
    <row r="664">
      <c r="A664" t="n">
        <v>434</v>
      </c>
      <c r="B664" t="inlineStr">
        <is>
          <t>Generación de Residuos Peligrosos Mensual</t>
        </is>
      </c>
      <c r="C664" t="inlineStr">
        <is>
          <t>GESTIÓN AMBIENTAL</t>
        </is>
      </c>
      <c r="D664" t="inlineStr">
        <is>
          <t>Mensual</t>
        </is>
      </c>
      <c r="E664" t="inlineStr">
        <is>
          <t>Negativo</t>
        </is>
      </c>
      <c r="F664" s="105" t="n">
        <v>45169</v>
      </c>
      <c r="G664" t="inlineStr">
        <is>
          <t>434-2023-08-31</t>
        </is>
      </c>
      <c r="H664" t="inlineStr">
        <is>
          <t>Sede Bienestar - Medellín</t>
        </is>
      </c>
      <c r="I664" t="n">
        <v>200</v>
      </c>
      <c r="J664" t="n">
        <v>0</v>
      </c>
      <c r="AV664" t="n">
        <v>0</v>
      </c>
    </row>
    <row r="665">
      <c r="A665" t="n">
        <v>434</v>
      </c>
      <c r="B665" t="inlineStr">
        <is>
          <t>Generación de Residuos Peligrosos Mensual</t>
        </is>
      </c>
      <c r="C665" t="inlineStr">
        <is>
          <t>GESTIÓN AMBIENTAL</t>
        </is>
      </c>
      <c r="D665" t="inlineStr">
        <is>
          <t>Mensual</t>
        </is>
      </c>
      <c r="E665" t="inlineStr">
        <is>
          <t>Negativo</t>
        </is>
      </c>
      <c r="F665" s="105" t="n">
        <v>45169</v>
      </c>
      <c r="G665" t="inlineStr">
        <is>
          <t>434-2023-08-31</t>
        </is>
      </c>
      <c r="H665" t="inlineStr">
        <is>
          <t>Consultorio Psicología - Medellin</t>
        </is>
      </c>
      <c r="I665" t="n">
        <v>200</v>
      </c>
      <c r="J665" t="n">
        <v>0</v>
      </c>
      <c r="AV665" t="n">
        <v>0</v>
      </c>
    </row>
    <row r="666">
      <c r="A666" t="n">
        <v>436</v>
      </c>
      <c r="B666" t="inlineStr">
        <is>
          <t>ANS documentos operativos</t>
        </is>
      </c>
      <c r="C666" t="inlineStr">
        <is>
          <t>Gestión de calidad</t>
        </is>
      </c>
      <c r="D666" t="inlineStr">
        <is>
          <t>Mensual</t>
        </is>
      </c>
      <c r="E666" t="inlineStr">
        <is>
          <t>Negativo</t>
        </is>
      </c>
      <c r="F666" s="105" t="n">
        <v>45169</v>
      </c>
      <c r="G666" t="inlineStr">
        <is>
          <t>436-2023-08-31</t>
        </is>
      </c>
      <c r="H666" t="inlineStr">
        <is>
          <t>Solicitud Documental</t>
        </is>
      </c>
      <c r="I666" t="n">
        <v>14</v>
      </c>
      <c r="J666" t="n">
        <v>6.699999809265137</v>
      </c>
      <c r="CP666" t="n">
        <v>6.7</v>
      </c>
    </row>
    <row r="667">
      <c r="A667" t="n">
        <v>436</v>
      </c>
      <c r="B667" t="inlineStr">
        <is>
          <t>ANS documentos operativos</t>
        </is>
      </c>
      <c r="C667" t="inlineStr">
        <is>
          <t>Gestión de calidad</t>
        </is>
      </c>
      <c r="D667" t="inlineStr">
        <is>
          <t>Mensual</t>
        </is>
      </c>
      <c r="E667" t="inlineStr">
        <is>
          <t>Negativo</t>
        </is>
      </c>
      <c r="F667" s="105" t="n">
        <v>45169</v>
      </c>
      <c r="G667" t="inlineStr">
        <is>
          <t>436-2023-08-31</t>
        </is>
      </c>
      <c r="H667" t="inlineStr">
        <is>
          <t>Flujo de aprobación</t>
        </is>
      </c>
      <c r="I667" t="n">
        <v>7</v>
      </c>
      <c r="J667" t="n">
        <v>2</v>
      </c>
      <c r="CP667" t="n">
        <v>2</v>
      </c>
    </row>
    <row r="668">
      <c r="A668" t="n">
        <v>208</v>
      </c>
      <c r="B668" t="inlineStr">
        <is>
          <t>Consumo de Agua m3 Mensual</t>
        </is>
      </c>
      <c r="C668" t="inlineStr">
        <is>
          <t>GESTIÓN AMBIENTAL</t>
        </is>
      </c>
      <c r="D668" t="inlineStr">
        <is>
          <t>Mensual</t>
        </is>
      </c>
      <c r="E668" t="inlineStr">
        <is>
          <t>Negativo</t>
        </is>
      </c>
      <c r="F668" s="105" t="n">
        <v>45199</v>
      </c>
      <c r="G668" t="inlineStr">
        <is>
          <t>208-2023-09-30</t>
        </is>
      </c>
      <c r="H668" t="inlineStr">
        <is>
          <t>Campus Bogotá</t>
        </is>
      </c>
      <c r="I668" t="n">
        <v>1</v>
      </c>
      <c r="J668" t="n">
        <v>675</v>
      </c>
      <c r="K668" t="n">
        <v>675</v>
      </c>
    </row>
    <row r="669">
      <c r="A669" t="n">
        <v>208</v>
      </c>
      <c r="B669" t="inlineStr">
        <is>
          <t>Consumo de Agua m3 Mensual</t>
        </is>
      </c>
      <c r="C669" t="inlineStr">
        <is>
          <t>GESTIÓN AMBIENTAL</t>
        </is>
      </c>
      <c r="D669" t="inlineStr">
        <is>
          <t>Mensual</t>
        </is>
      </c>
      <c r="E669" t="inlineStr">
        <is>
          <t>Negativo</t>
        </is>
      </c>
      <c r="F669" s="105" t="n">
        <v>45199</v>
      </c>
      <c r="G669" t="inlineStr">
        <is>
          <t>208-2023-09-30</t>
        </is>
      </c>
      <c r="H669" t="inlineStr">
        <is>
          <t>City Campus</t>
        </is>
      </c>
      <c r="I669" t="n">
        <v>1</v>
      </c>
      <c r="J669" t="n">
        <v>364.5</v>
      </c>
      <c r="K669" t="n">
        <v>364.5</v>
      </c>
    </row>
    <row r="670">
      <c r="A670" t="n">
        <v>208</v>
      </c>
      <c r="B670" t="inlineStr">
        <is>
          <t>Consumo de Agua m3 Mensual</t>
        </is>
      </c>
      <c r="C670" t="inlineStr">
        <is>
          <t>GESTIÓN AMBIENTAL</t>
        </is>
      </c>
      <c r="D670" t="inlineStr">
        <is>
          <t>Mensual</t>
        </is>
      </c>
      <c r="E670" t="inlineStr">
        <is>
          <t>Negativo</t>
        </is>
      </c>
      <c r="F670" s="105" t="n">
        <v>45199</v>
      </c>
      <c r="G670" t="inlineStr">
        <is>
          <t>208-2023-09-30</t>
        </is>
      </c>
      <c r="H670" t="inlineStr">
        <is>
          <t>Sede Posgrado-Calle 85</t>
        </is>
      </c>
      <c r="I670" t="n">
        <v>1</v>
      </c>
      <c r="J670" t="n">
        <v>0</v>
      </c>
      <c r="K670" t="n">
        <v>0</v>
      </c>
    </row>
    <row r="671">
      <c r="A671" t="n">
        <v>208</v>
      </c>
      <c r="B671" t="inlineStr">
        <is>
          <t>Consumo de Agua m3 Mensual</t>
        </is>
      </c>
      <c r="C671" t="inlineStr">
        <is>
          <t>GESTIÓN AMBIENTAL</t>
        </is>
      </c>
      <c r="D671" t="inlineStr">
        <is>
          <t>Mensual</t>
        </is>
      </c>
      <c r="E671" t="inlineStr">
        <is>
          <t>Negativo</t>
        </is>
      </c>
      <c r="F671" s="105" t="n">
        <v>45199</v>
      </c>
      <c r="G671" t="inlineStr">
        <is>
          <t>208-2023-09-30</t>
        </is>
      </c>
      <c r="H671" t="inlineStr">
        <is>
          <t>Campus-Medellín</t>
        </is>
      </c>
      <c r="I671" t="n">
        <v>1</v>
      </c>
      <c r="J671" t="n">
        <v>396</v>
      </c>
      <c r="K671" t="n">
        <v>396</v>
      </c>
    </row>
    <row r="672">
      <c r="A672" t="n">
        <v>208</v>
      </c>
      <c r="B672" t="inlineStr">
        <is>
          <t>Consumo de Agua m3 Mensual</t>
        </is>
      </c>
      <c r="C672" t="inlineStr">
        <is>
          <t>GESTIÓN AMBIENTAL</t>
        </is>
      </c>
      <c r="D672" t="inlineStr">
        <is>
          <t>Mensual</t>
        </is>
      </c>
      <c r="E672" t="inlineStr">
        <is>
          <t>Negativo</t>
        </is>
      </c>
      <c r="F672" s="105" t="n">
        <v>45199</v>
      </c>
      <c r="G672" t="inlineStr">
        <is>
          <t>208-2023-09-30</t>
        </is>
      </c>
      <c r="H672" t="inlineStr">
        <is>
          <t>Sede Bienestar - Medellín</t>
        </is>
      </c>
      <c r="I672" t="n">
        <v>0</v>
      </c>
      <c r="J672" t="n">
        <v>0</v>
      </c>
      <c r="K672" t="n">
        <v>0</v>
      </c>
    </row>
    <row r="673">
      <c r="A673" t="n">
        <v>208</v>
      </c>
      <c r="B673" t="inlineStr">
        <is>
          <t>Consumo de Agua m3 Mensual</t>
        </is>
      </c>
      <c r="C673" t="inlineStr">
        <is>
          <t>GESTIÓN AMBIENTAL</t>
        </is>
      </c>
      <c r="D673" t="inlineStr">
        <is>
          <t>Mensual</t>
        </is>
      </c>
      <c r="E673" t="inlineStr">
        <is>
          <t>Negativo</t>
        </is>
      </c>
      <c r="F673" s="105" t="n">
        <v>45199</v>
      </c>
      <c r="G673" t="inlineStr">
        <is>
          <t>208-2023-09-30</t>
        </is>
      </c>
      <c r="H673" t="inlineStr">
        <is>
          <t>Consultorio Psicología - Medellin</t>
        </is>
      </c>
      <c r="I673" t="n">
        <v>1</v>
      </c>
      <c r="J673" t="n">
        <v>18</v>
      </c>
      <c r="K673" t="n">
        <v>18</v>
      </c>
    </row>
    <row r="674">
      <c r="A674" t="n">
        <v>214</v>
      </c>
      <c r="B674" t="inlineStr">
        <is>
          <t>Generación de Residuos Sólidos Mensual</t>
        </is>
      </c>
      <c r="C674" t="inlineStr">
        <is>
          <t>GESTIÓN AMBIENTAL</t>
        </is>
      </c>
      <c r="D674" t="inlineStr">
        <is>
          <t>Mensual</t>
        </is>
      </c>
      <c r="E674" t="inlineStr">
        <is>
          <t>Negativo</t>
        </is>
      </c>
      <c r="F674" s="105" t="n">
        <v>45199</v>
      </c>
      <c r="G674" t="inlineStr">
        <is>
          <t>214-2023-09-30</t>
        </is>
      </c>
      <c r="H674" t="inlineStr">
        <is>
          <t>Campus Bogotá</t>
        </is>
      </c>
      <c r="I674" t="n">
        <v>7500</v>
      </c>
      <c r="J674" t="n">
        <v>6229</v>
      </c>
      <c r="L674" t="n">
        <v>1765</v>
      </c>
      <c r="M674" t="n">
        <v>4464</v>
      </c>
    </row>
    <row r="675">
      <c r="A675" t="n">
        <v>214</v>
      </c>
      <c r="B675" t="inlineStr">
        <is>
          <t>Generación de Residuos Sólidos Mensual</t>
        </is>
      </c>
      <c r="C675" t="inlineStr">
        <is>
          <t>GESTIÓN AMBIENTAL</t>
        </is>
      </c>
      <c r="D675" t="inlineStr">
        <is>
          <t>Mensual</t>
        </is>
      </c>
      <c r="E675" t="inlineStr">
        <is>
          <t>Negativo</t>
        </is>
      </c>
      <c r="F675" s="105" t="n">
        <v>45199</v>
      </c>
      <c r="G675" t="inlineStr">
        <is>
          <t>214-2023-09-30</t>
        </is>
      </c>
      <c r="H675" t="inlineStr">
        <is>
          <t>City Campus</t>
        </is>
      </c>
      <c r="I675" t="n">
        <v>7500</v>
      </c>
      <c r="J675" t="n">
        <v>573.0800170898438</v>
      </c>
      <c r="L675" t="n">
        <v>0</v>
      </c>
      <c r="M675" t="n">
        <v>573.08</v>
      </c>
    </row>
    <row r="676">
      <c r="A676" t="n">
        <v>214</v>
      </c>
      <c r="B676" t="inlineStr">
        <is>
          <t>Generación de Residuos Sólidos Mensual</t>
        </is>
      </c>
      <c r="C676" t="inlineStr">
        <is>
          <t>GESTIÓN AMBIENTAL</t>
        </is>
      </c>
      <c r="D676" t="inlineStr">
        <is>
          <t>Mensual</t>
        </is>
      </c>
      <c r="E676" t="inlineStr">
        <is>
          <t>Negativo</t>
        </is>
      </c>
      <c r="F676" s="105" t="n">
        <v>45199</v>
      </c>
      <c r="G676" t="inlineStr">
        <is>
          <t>214-2023-09-30</t>
        </is>
      </c>
      <c r="H676" t="inlineStr">
        <is>
          <t>Sede Posgrado-Calle 85</t>
        </is>
      </c>
      <c r="I676" t="n">
        <v>7500</v>
      </c>
      <c r="J676" t="n">
        <v>0</v>
      </c>
      <c r="L676" t="n">
        <v>0</v>
      </c>
      <c r="M676" t="n">
        <v>0</v>
      </c>
    </row>
    <row r="677">
      <c r="A677" t="n">
        <v>214</v>
      </c>
      <c r="B677" t="inlineStr">
        <is>
          <t>Generación de Residuos Sólidos Mensual</t>
        </is>
      </c>
      <c r="C677" t="inlineStr">
        <is>
          <t>GESTIÓN AMBIENTAL</t>
        </is>
      </c>
      <c r="D677" t="inlineStr">
        <is>
          <t>Mensual</t>
        </is>
      </c>
      <c r="E677" t="inlineStr">
        <is>
          <t>Negativo</t>
        </is>
      </c>
      <c r="F677" s="105" t="n">
        <v>45199</v>
      </c>
      <c r="G677" t="inlineStr">
        <is>
          <t>214-2023-09-30</t>
        </is>
      </c>
      <c r="H677" t="inlineStr">
        <is>
          <t>Campus-Medellín</t>
        </is>
      </c>
      <c r="I677" t="n">
        <v>7500</v>
      </c>
      <c r="J677" t="n">
        <v>1022.159973144531</v>
      </c>
      <c r="L677" t="n">
        <v>135.7</v>
      </c>
      <c r="M677" t="n">
        <v>886.46</v>
      </c>
    </row>
    <row r="678">
      <c r="A678" t="n">
        <v>214</v>
      </c>
      <c r="B678" t="inlineStr">
        <is>
          <t>Generación de Residuos Sólidos Mensual</t>
        </is>
      </c>
      <c r="C678" t="inlineStr">
        <is>
          <t>GESTIÓN AMBIENTAL</t>
        </is>
      </c>
      <c r="D678" t="inlineStr">
        <is>
          <t>Mensual</t>
        </is>
      </c>
      <c r="E678" t="inlineStr">
        <is>
          <t>Negativo</t>
        </is>
      </c>
      <c r="F678" s="105" t="n">
        <v>45199</v>
      </c>
      <c r="G678" t="inlineStr">
        <is>
          <t>214-2023-09-30</t>
        </is>
      </c>
      <c r="H678" t="inlineStr">
        <is>
          <t>Sede Bienestar - Medellín</t>
        </is>
      </c>
      <c r="I678" t="n">
        <v>1</v>
      </c>
      <c r="J678" t="n">
        <v>0</v>
      </c>
      <c r="L678" t="n">
        <v>0</v>
      </c>
      <c r="M678" t="n">
        <v>0</v>
      </c>
    </row>
    <row r="679">
      <c r="A679" t="n">
        <v>214</v>
      </c>
      <c r="B679" t="inlineStr">
        <is>
          <t>Generación de Residuos Sólidos Mensual</t>
        </is>
      </c>
      <c r="C679" t="inlineStr">
        <is>
          <t>GESTIÓN AMBIENTAL</t>
        </is>
      </c>
      <c r="D679" t="inlineStr">
        <is>
          <t>Mensual</t>
        </is>
      </c>
      <c r="E679" t="inlineStr">
        <is>
          <t>Negativo</t>
        </is>
      </c>
      <c r="F679" s="105" t="n">
        <v>45199</v>
      </c>
      <c r="G679" t="inlineStr">
        <is>
          <t>214-2023-09-30</t>
        </is>
      </c>
      <c r="H679" t="inlineStr">
        <is>
          <t>Consultorio Psicología - Medellin</t>
        </is>
      </c>
      <c r="I679" t="n">
        <v>1</v>
      </c>
      <c r="J679" t="n">
        <v>0</v>
      </c>
      <c r="L679" t="n">
        <v>0</v>
      </c>
      <c r="M679" t="n">
        <v>0</v>
      </c>
    </row>
    <row r="680">
      <c r="A680" t="n">
        <v>217</v>
      </c>
      <c r="B680" t="inlineStr">
        <is>
          <t>Aprovechamiento de Residuos</t>
        </is>
      </c>
      <c r="C680" t="inlineStr">
        <is>
          <t>GESTIÓN AMBIENTAL</t>
        </is>
      </c>
      <c r="D680" t="inlineStr">
        <is>
          <t>Mensual</t>
        </is>
      </c>
      <c r="E680" t="inlineStr">
        <is>
          <t>Positivo</t>
        </is>
      </c>
      <c r="F680" s="105" t="n">
        <v>45199</v>
      </c>
      <c r="G680" t="inlineStr">
        <is>
          <t>217-2023-09-30</t>
        </is>
      </c>
      <c r="H680" t="inlineStr">
        <is>
          <t>Campus Bogotá</t>
        </is>
      </c>
      <c r="I680" t="n">
        <v>20</v>
      </c>
      <c r="J680" t="n">
        <v>28.34000015258789</v>
      </c>
      <c r="L680" t="n">
        <v>1765</v>
      </c>
      <c r="M680" t="n">
        <v>4464</v>
      </c>
      <c r="AS680" t="n">
        <v>1765</v>
      </c>
    </row>
    <row r="681">
      <c r="A681" t="n">
        <v>217</v>
      </c>
      <c r="B681" t="inlineStr">
        <is>
          <t>Aprovechamiento de Residuos</t>
        </is>
      </c>
      <c r="C681" t="inlineStr">
        <is>
          <t>GESTIÓN AMBIENTAL</t>
        </is>
      </c>
      <c r="D681" t="inlineStr">
        <is>
          <t>Mensual</t>
        </is>
      </c>
      <c r="E681" t="inlineStr">
        <is>
          <t>Positivo</t>
        </is>
      </c>
      <c r="F681" s="105" t="n">
        <v>45199</v>
      </c>
      <c r="G681" t="inlineStr">
        <is>
          <t>217-2023-09-30</t>
        </is>
      </c>
      <c r="H681" t="inlineStr">
        <is>
          <t>City Campus</t>
        </is>
      </c>
      <c r="I681" t="n">
        <v>20</v>
      </c>
      <c r="J681" t="n">
        <v>0</v>
      </c>
      <c r="L681" t="n">
        <v>0</v>
      </c>
      <c r="M681" t="n">
        <v>573.08</v>
      </c>
      <c r="AS681" t="n">
        <v>0</v>
      </c>
    </row>
    <row r="682">
      <c r="A682" t="n">
        <v>217</v>
      </c>
      <c r="B682" t="inlineStr">
        <is>
          <t>Aprovechamiento de Residuos</t>
        </is>
      </c>
      <c r="C682" t="inlineStr">
        <is>
          <t>GESTIÓN AMBIENTAL</t>
        </is>
      </c>
      <c r="D682" t="inlineStr">
        <is>
          <t>Mensual</t>
        </is>
      </c>
      <c r="E682" t="inlineStr">
        <is>
          <t>Positivo</t>
        </is>
      </c>
      <c r="F682" s="105" t="n">
        <v>45199</v>
      </c>
      <c r="G682" t="inlineStr">
        <is>
          <t>217-2023-09-30</t>
        </is>
      </c>
      <c r="H682" t="inlineStr">
        <is>
          <t>Campus-Medellín</t>
        </is>
      </c>
      <c r="I682" t="n">
        <v>20</v>
      </c>
      <c r="J682" t="n">
        <v>13.27999973297119</v>
      </c>
      <c r="L682" t="n">
        <v>135.7</v>
      </c>
      <c r="M682" t="n">
        <v>886.46</v>
      </c>
      <c r="AS682" t="n">
        <v>135.7</v>
      </c>
    </row>
    <row r="683">
      <c r="A683" t="n">
        <v>218</v>
      </c>
      <c r="B683" t="inlineStr">
        <is>
          <t>Consumo de Energía Eléctrica kWh Mensual</t>
        </is>
      </c>
      <c r="C683" t="inlineStr">
        <is>
          <t>GESTIÓN AMBIENTAL</t>
        </is>
      </c>
      <c r="D683" t="inlineStr">
        <is>
          <t>Mensual</t>
        </is>
      </c>
      <c r="E683" t="inlineStr">
        <is>
          <t>Negativo</t>
        </is>
      </c>
      <c r="F683" s="105" t="n">
        <v>45199</v>
      </c>
      <c r="G683" t="inlineStr">
        <is>
          <t>218-2023-09-30</t>
        </is>
      </c>
      <c r="H683" t="inlineStr">
        <is>
          <t>Campus Bogotá</t>
        </is>
      </c>
      <c r="I683" t="n">
        <v>172000</v>
      </c>
      <c r="J683" t="n">
        <v>69786.796875</v>
      </c>
      <c r="N683" t="n">
        <v>69786.83</v>
      </c>
    </row>
    <row r="684">
      <c r="A684" t="n">
        <v>218</v>
      </c>
      <c r="B684" t="inlineStr">
        <is>
          <t>Consumo de Energía Eléctrica kWh Mensual</t>
        </is>
      </c>
      <c r="C684" t="inlineStr">
        <is>
          <t>GESTIÓN AMBIENTAL</t>
        </is>
      </c>
      <c r="D684" t="inlineStr">
        <is>
          <t>Mensual</t>
        </is>
      </c>
      <c r="E684" t="inlineStr">
        <is>
          <t>Negativo</t>
        </is>
      </c>
      <c r="F684" s="105" t="n">
        <v>45199</v>
      </c>
      <c r="G684" t="inlineStr">
        <is>
          <t>218-2023-09-30</t>
        </is>
      </c>
      <c r="H684" t="inlineStr">
        <is>
          <t>City Campus</t>
        </is>
      </c>
      <c r="I684" t="n">
        <v>172000</v>
      </c>
      <c r="J684" t="n">
        <v>50160</v>
      </c>
      <c r="N684" t="n">
        <v>50160</v>
      </c>
    </row>
    <row r="685">
      <c r="A685" t="n">
        <v>218</v>
      </c>
      <c r="B685" t="inlineStr">
        <is>
          <t>Consumo de Energía Eléctrica kWh Mensual</t>
        </is>
      </c>
      <c r="C685" t="inlineStr">
        <is>
          <t>GESTIÓN AMBIENTAL</t>
        </is>
      </c>
      <c r="D685" t="inlineStr">
        <is>
          <t>Mensual</t>
        </is>
      </c>
      <c r="E685" t="inlineStr">
        <is>
          <t>Negativo</t>
        </is>
      </c>
      <c r="F685" s="105" t="n">
        <v>45199</v>
      </c>
      <c r="G685" t="inlineStr">
        <is>
          <t>218-2023-09-30</t>
        </is>
      </c>
      <c r="H685" t="inlineStr">
        <is>
          <t>Campus-Medellín</t>
        </is>
      </c>
      <c r="I685" t="n">
        <v>172000</v>
      </c>
      <c r="J685" t="n">
        <v>21840</v>
      </c>
      <c r="N685" t="n">
        <v>21840</v>
      </c>
    </row>
    <row r="686">
      <c r="A686" t="n">
        <v>218</v>
      </c>
      <c r="B686" t="inlineStr">
        <is>
          <t>Consumo de Energía Eléctrica kWh Mensual</t>
        </is>
      </c>
      <c r="C686" t="inlineStr">
        <is>
          <t>GESTIÓN AMBIENTAL</t>
        </is>
      </c>
      <c r="D686" t="inlineStr">
        <is>
          <t>Mensual</t>
        </is>
      </c>
      <c r="E686" t="inlineStr">
        <is>
          <t>Negativo</t>
        </is>
      </c>
      <c r="F686" s="105" t="n">
        <v>45199</v>
      </c>
      <c r="G686" t="inlineStr">
        <is>
          <t>218-2023-09-30</t>
        </is>
      </c>
      <c r="H686" t="inlineStr">
        <is>
          <t>Sede Bienestar - Medellín</t>
        </is>
      </c>
      <c r="I686" t="n">
        <v>172000</v>
      </c>
      <c r="J686" t="n">
        <v>3480</v>
      </c>
      <c r="N686" t="n">
        <v>3480</v>
      </c>
    </row>
    <row r="687">
      <c r="A687" t="n">
        <v>218</v>
      </c>
      <c r="B687" t="inlineStr">
        <is>
          <t>Consumo de Energía Eléctrica kWh Mensual</t>
        </is>
      </c>
      <c r="C687" t="inlineStr">
        <is>
          <t>GESTIÓN AMBIENTAL</t>
        </is>
      </c>
      <c r="D687" t="inlineStr">
        <is>
          <t>Mensual</t>
        </is>
      </c>
      <c r="E687" t="inlineStr">
        <is>
          <t>Negativo</t>
        </is>
      </c>
      <c r="F687" s="105" t="n">
        <v>45199</v>
      </c>
      <c r="G687" t="inlineStr">
        <is>
          <t>218-2023-09-30</t>
        </is>
      </c>
      <c r="H687" t="inlineStr">
        <is>
          <t>Consultorio Psicología - Medellin</t>
        </is>
      </c>
      <c r="I687" t="n">
        <v>172000</v>
      </c>
      <c r="J687" t="n">
        <v>1480</v>
      </c>
      <c r="N687" t="n">
        <v>1480</v>
      </c>
    </row>
    <row r="688">
      <c r="A688" t="n">
        <v>225</v>
      </c>
      <c r="B688" t="inlineStr">
        <is>
          <t>Acciones para el Cuidado y Mantenimiento de las Especies de Flora y el Suelo de las Áreas Naturales</t>
        </is>
      </c>
      <c r="C688" t="inlineStr">
        <is>
          <t>GESTIÓN AMBIENTAL</t>
        </is>
      </c>
      <c r="D688" t="inlineStr">
        <is>
          <t>Mensual</t>
        </is>
      </c>
      <c r="E688" t="inlineStr">
        <is>
          <t>Positivo</t>
        </is>
      </c>
      <c r="F688" s="105" t="n">
        <v>45199</v>
      </c>
      <c r="G688" t="inlineStr">
        <is>
          <t>225-2023-09-30</t>
        </is>
      </c>
      <c r="H688" t="inlineStr">
        <is>
          <t>Campus Bogotá</t>
        </is>
      </c>
      <c r="I688" t="n">
        <v>1</v>
      </c>
      <c r="J688" t="n">
        <v>5</v>
      </c>
      <c r="AT688" t="n">
        <v>5</v>
      </c>
    </row>
    <row r="689">
      <c r="A689" t="n">
        <v>225</v>
      </c>
      <c r="B689" t="inlineStr">
        <is>
          <t>Acciones para el Cuidado y Mantenimiento de las Especies de Flora y el Suelo de las Áreas Naturales</t>
        </is>
      </c>
      <c r="C689" t="inlineStr">
        <is>
          <t>GESTIÓN AMBIENTAL</t>
        </is>
      </c>
      <c r="D689" t="inlineStr">
        <is>
          <t>Mensual</t>
        </is>
      </c>
      <c r="E689" t="inlineStr">
        <is>
          <t>Positivo</t>
        </is>
      </c>
      <c r="F689" s="105" t="n">
        <v>45199</v>
      </c>
      <c r="G689" t="inlineStr">
        <is>
          <t>225-2023-09-30</t>
        </is>
      </c>
      <c r="H689" t="inlineStr">
        <is>
          <t>City Campus</t>
        </is>
      </c>
      <c r="I689" t="n">
        <v>1</v>
      </c>
      <c r="J689" t="n">
        <v>4</v>
      </c>
      <c r="AT689" t="n">
        <v>4</v>
      </c>
    </row>
    <row r="690">
      <c r="A690" t="n">
        <v>225</v>
      </c>
      <c r="B690" t="inlineStr">
        <is>
          <t>Acciones para el Cuidado y Mantenimiento de las Especies de Flora y el Suelo de las Áreas Naturales</t>
        </is>
      </c>
      <c r="C690" t="inlineStr">
        <is>
          <t>GESTIÓN AMBIENTAL</t>
        </is>
      </c>
      <c r="D690" t="inlineStr">
        <is>
          <t>Mensual</t>
        </is>
      </c>
      <c r="E690" t="inlineStr">
        <is>
          <t>Positivo</t>
        </is>
      </c>
      <c r="F690" s="105" t="n">
        <v>45199</v>
      </c>
      <c r="G690" t="inlineStr">
        <is>
          <t>225-2023-09-30</t>
        </is>
      </c>
      <c r="H690" t="inlineStr">
        <is>
          <t>Sede Posgrado-Calle 85</t>
        </is>
      </c>
      <c r="I690" t="n">
        <v>1</v>
      </c>
      <c r="J690" t="n">
        <v>0</v>
      </c>
      <c r="AT690" t="n">
        <v>0</v>
      </c>
    </row>
    <row r="691">
      <c r="A691" t="n">
        <v>225</v>
      </c>
      <c r="B691" t="inlineStr">
        <is>
          <t>Acciones para el Cuidado y Mantenimiento de las Especies de Flora y el Suelo de las Áreas Naturales</t>
        </is>
      </c>
      <c r="C691" t="inlineStr">
        <is>
          <t>GESTIÓN AMBIENTAL</t>
        </is>
      </c>
      <c r="D691" t="inlineStr">
        <is>
          <t>Mensual</t>
        </is>
      </c>
      <c r="E691" t="inlineStr">
        <is>
          <t>Positivo</t>
        </is>
      </c>
      <c r="F691" s="105" t="n">
        <v>45199</v>
      </c>
      <c r="G691" t="inlineStr">
        <is>
          <t>225-2023-09-30</t>
        </is>
      </c>
      <c r="H691" t="inlineStr">
        <is>
          <t>Campus-Medellín</t>
        </is>
      </c>
      <c r="I691" t="n">
        <v>1</v>
      </c>
      <c r="J691" t="n">
        <v>10</v>
      </c>
      <c r="AT691" t="n">
        <v>10</v>
      </c>
    </row>
    <row r="692">
      <c r="A692" t="n">
        <v>225</v>
      </c>
      <c r="B692" t="inlineStr">
        <is>
          <t>Acciones para el Cuidado y Mantenimiento de las Especies de Flora y el Suelo de las Áreas Naturales</t>
        </is>
      </c>
      <c r="C692" t="inlineStr">
        <is>
          <t>GESTIÓN AMBIENTAL</t>
        </is>
      </c>
      <c r="D692" t="inlineStr">
        <is>
          <t>Mensual</t>
        </is>
      </c>
      <c r="E692" t="inlineStr">
        <is>
          <t>Positivo</t>
        </is>
      </c>
      <c r="F692" s="105" t="n">
        <v>45199</v>
      </c>
      <c r="G692" t="inlineStr">
        <is>
          <t>225-2023-09-30</t>
        </is>
      </c>
      <c r="H692" t="inlineStr">
        <is>
          <t>Sede Bienestar - Medellín</t>
        </is>
      </c>
      <c r="I692" t="n">
        <v>1</v>
      </c>
      <c r="J692" t="n">
        <v>1</v>
      </c>
      <c r="AT692" t="n">
        <v>1</v>
      </c>
    </row>
    <row r="693">
      <c r="A693" t="n">
        <v>225</v>
      </c>
      <c r="B693" t="inlineStr">
        <is>
          <t>Acciones para el Cuidado y Mantenimiento de las Especies de Flora y el Suelo de las Áreas Naturales</t>
        </is>
      </c>
      <c r="C693" t="inlineStr">
        <is>
          <t>GESTIÓN AMBIENTAL</t>
        </is>
      </c>
      <c r="D693" t="inlineStr">
        <is>
          <t>Mensual</t>
        </is>
      </c>
      <c r="E693" t="inlineStr">
        <is>
          <t>Positivo</t>
        </is>
      </c>
      <c r="F693" s="105" t="n">
        <v>45199</v>
      </c>
      <c r="G693" t="inlineStr">
        <is>
          <t>225-2023-09-30</t>
        </is>
      </c>
      <c r="H693" t="inlineStr">
        <is>
          <t>Consultorio Psicología - Medellin</t>
        </is>
      </c>
      <c r="I693" t="n">
        <v>1</v>
      </c>
      <c r="J693" t="n">
        <v>1</v>
      </c>
      <c r="AT693" t="n">
        <v>1</v>
      </c>
    </row>
    <row r="694">
      <c r="A694" t="n">
        <v>434</v>
      </c>
      <c r="B694" t="inlineStr">
        <is>
          <t>Generación de Residuos Peligrosos Mensual</t>
        </is>
      </c>
      <c r="C694" t="inlineStr">
        <is>
          <t>GESTIÓN AMBIENTAL</t>
        </is>
      </c>
      <c r="D694" t="inlineStr">
        <is>
          <t>Mensual</t>
        </is>
      </c>
      <c r="E694" t="inlineStr">
        <is>
          <t>Negativo</t>
        </is>
      </c>
      <c r="F694" s="105" t="n">
        <v>45199</v>
      </c>
      <c r="G694" t="inlineStr">
        <is>
          <t>434-2023-09-30</t>
        </is>
      </c>
      <c r="H694" t="inlineStr">
        <is>
          <t>Campus Bogotá</t>
        </is>
      </c>
      <c r="I694" t="n">
        <v>200</v>
      </c>
      <c r="J694" t="n">
        <v>1159.319946289062</v>
      </c>
      <c r="AV694" t="n">
        <v>1159.32</v>
      </c>
    </row>
    <row r="695">
      <c r="A695" t="n">
        <v>434</v>
      </c>
      <c r="B695" t="inlineStr">
        <is>
          <t>Generación de Residuos Peligrosos Mensual</t>
        </is>
      </c>
      <c r="C695" t="inlineStr">
        <is>
          <t>GESTIÓN AMBIENTAL</t>
        </is>
      </c>
      <c r="D695" t="inlineStr">
        <is>
          <t>Mensual</t>
        </is>
      </c>
      <c r="E695" t="inlineStr">
        <is>
          <t>Negativo</t>
        </is>
      </c>
      <c r="F695" s="105" t="n">
        <v>45199</v>
      </c>
      <c r="G695" t="inlineStr">
        <is>
          <t>434-2023-09-30</t>
        </is>
      </c>
      <c r="H695" t="inlineStr">
        <is>
          <t>City Campus</t>
        </is>
      </c>
      <c r="I695" t="n">
        <v>200</v>
      </c>
      <c r="J695" t="n">
        <v>616.7999877929688</v>
      </c>
      <c r="AV695" t="n">
        <v>616.8</v>
      </c>
    </row>
    <row r="696">
      <c r="A696" t="n">
        <v>434</v>
      </c>
      <c r="B696" t="inlineStr">
        <is>
          <t>Generación de Residuos Peligrosos Mensual</t>
        </is>
      </c>
      <c r="C696" t="inlineStr">
        <is>
          <t>GESTIÓN AMBIENTAL</t>
        </is>
      </c>
      <c r="D696" t="inlineStr">
        <is>
          <t>Mensual</t>
        </is>
      </c>
      <c r="E696" t="inlineStr">
        <is>
          <t>Negativo</t>
        </is>
      </c>
      <c r="F696" s="105" t="n">
        <v>45199</v>
      </c>
      <c r="G696" t="inlineStr">
        <is>
          <t>434-2023-09-30</t>
        </is>
      </c>
      <c r="H696" t="inlineStr">
        <is>
          <t>Sede Posgrado-Calle 85</t>
        </is>
      </c>
      <c r="I696" t="n">
        <v>200</v>
      </c>
      <c r="J696" t="n">
        <v>0</v>
      </c>
      <c r="AV696" t="n">
        <v>0</v>
      </c>
    </row>
    <row r="697">
      <c r="A697" t="n">
        <v>434</v>
      </c>
      <c r="B697" t="inlineStr">
        <is>
          <t>Generación de Residuos Peligrosos Mensual</t>
        </is>
      </c>
      <c r="C697" t="inlineStr">
        <is>
          <t>GESTIÓN AMBIENTAL</t>
        </is>
      </c>
      <c r="D697" t="inlineStr">
        <is>
          <t>Mensual</t>
        </is>
      </c>
      <c r="E697" t="inlineStr">
        <is>
          <t>Negativo</t>
        </is>
      </c>
      <c r="F697" s="105" t="n">
        <v>45199</v>
      </c>
      <c r="G697" t="inlineStr">
        <is>
          <t>434-2023-09-30</t>
        </is>
      </c>
      <c r="H697" t="inlineStr">
        <is>
          <t>Campus-Medellín</t>
        </is>
      </c>
      <c r="I697" t="n">
        <v>200</v>
      </c>
      <c r="J697" t="n">
        <v>27.39999961853027</v>
      </c>
      <c r="AV697" t="n">
        <v>27.4</v>
      </c>
    </row>
    <row r="698">
      <c r="A698" t="n">
        <v>434</v>
      </c>
      <c r="B698" t="inlineStr">
        <is>
          <t>Generación de Residuos Peligrosos Mensual</t>
        </is>
      </c>
      <c r="C698" t="inlineStr">
        <is>
          <t>GESTIÓN AMBIENTAL</t>
        </is>
      </c>
      <c r="D698" t="inlineStr">
        <is>
          <t>Mensual</t>
        </is>
      </c>
      <c r="E698" t="inlineStr">
        <is>
          <t>Negativo</t>
        </is>
      </c>
      <c r="F698" s="105" t="n">
        <v>45199</v>
      </c>
      <c r="G698" t="inlineStr">
        <is>
          <t>434-2023-09-30</t>
        </is>
      </c>
      <c r="H698" t="inlineStr">
        <is>
          <t>Sede Bienestar - Medellín</t>
        </is>
      </c>
      <c r="I698" t="n">
        <v>200</v>
      </c>
      <c r="J698" t="n">
        <v>0.2000000029802322</v>
      </c>
      <c r="AV698" t="n">
        <v>0.2</v>
      </c>
    </row>
    <row r="699">
      <c r="A699" t="n">
        <v>434</v>
      </c>
      <c r="B699" t="inlineStr">
        <is>
          <t>Generación de Residuos Peligrosos Mensual</t>
        </is>
      </c>
      <c r="C699" t="inlineStr">
        <is>
          <t>GESTIÓN AMBIENTAL</t>
        </is>
      </c>
      <c r="D699" t="inlineStr">
        <is>
          <t>Mensual</t>
        </is>
      </c>
      <c r="E699" t="inlineStr">
        <is>
          <t>Negativo</t>
        </is>
      </c>
      <c r="F699" s="105" t="n">
        <v>45199</v>
      </c>
      <c r="G699" t="inlineStr">
        <is>
          <t>434-2023-09-30</t>
        </is>
      </c>
      <c r="H699" t="inlineStr">
        <is>
          <t>Consultorio Psicología - Medellin</t>
        </is>
      </c>
      <c r="I699" t="n">
        <v>200</v>
      </c>
      <c r="J699" t="n">
        <v>0</v>
      </c>
      <c r="AV699" t="n">
        <v>0</v>
      </c>
    </row>
    <row r="700">
      <c r="A700" t="n">
        <v>436</v>
      </c>
      <c r="B700" t="inlineStr">
        <is>
          <t>ANS documentos operativos</t>
        </is>
      </c>
      <c r="C700" t="inlineStr">
        <is>
          <t>Gestión de calidad</t>
        </is>
      </c>
      <c r="D700" t="inlineStr">
        <is>
          <t>Mensual</t>
        </is>
      </c>
      <c r="E700" t="inlineStr">
        <is>
          <t>Negativo</t>
        </is>
      </c>
      <c r="F700" s="105" t="n">
        <v>45199</v>
      </c>
      <c r="G700" t="inlineStr">
        <is>
          <t>436-2023-09-30</t>
        </is>
      </c>
      <c r="H700" t="inlineStr">
        <is>
          <t>Solicitud Documental</t>
        </is>
      </c>
      <c r="I700" t="n">
        <v>14</v>
      </c>
      <c r="J700" t="n">
        <v>5.300000190734863</v>
      </c>
      <c r="CP700" t="n">
        <v>5.3</v>
      </c>
    </row>
    <row r="701">
      <c r="A701" t="n">
        <v>436</v>
      </c>
      <c r="B701" t="inlineStr">
        <is>
          <t>ANS documentos operativos</t>
        </is>
      </c>
      <c r="C701" t="inlineStr">
        <is>
          <t>Gestión de calidad</t>
        </is>
      </c>
      <c r="D701" t="inlineStr">
        <is>
          <t>Mensual</t>
        </is>
      </c>
      <c r="E701" t="inlineStr">
        <is>
          <t>Negativo</t>
        </is>
      </c>
      <c r="F701" s="105" t="n">
        <v>45199</v>
      </c>
      <c r="G701" t="inlineStr">
        <is>
          <t>436-2023-09-30</t>
        </is>
      </c>
      <c r="H701" t="inlineStr">
        <is>
          <t>Flujo de aprobación</t>
        </is>
      </c>
      <c r="I701" t="n">
        <v>7</v>
      </c>
      <c r="J701" t="n">
        <v>12</v>
      </c>
      <c r="CP701" t="n">
        <v>12</v>
      </c>
    </row>
    <row r="702">
      <c r="A702" t="n">
        <v>213</v>
      </c>
      <c r="B702" t="inlineStr">
        <is>
          <t>Cumplimiento del Plan Anual del Sistema de Gestión Ambiental</t>
        </is>
      </c>
      <c r="C702" t="inlineStr">
        <is>
          <t>GESTIÓN AMBIENTAL</t>
        </is>
      </c>
      <c r="D702" t="inlineStr">
        <is>
          <t>Semestral</t>
        </is>
      </c>
      <c r="E702" t="inlineStr">
        <is>
          <t>Positivo</t>
        </is>
      </c>
      <c r="F702" s="105" t="n">
        <v>45199</v>
      </c>
      <c r="G702" t="inlineStr">
        <is>
          <t>213-2023-09-30</t>
        </is>
      </c>
      <c r="H702" t="inlineStr">
        <is>
          <t>Programa de Gestión de la Medición y Compensación de Gases de Efecto Invernadero</t>
        </is>
      </c>
      <c r="I702" t="n">
        <v>90</v>
      </c>
      <c r="J702" t="n">
        <v>37.5</v>
      </c>
      <c r="AW702" t="n">
        <v>8</v>
      </c>
      <c r="AX702" t="n">
        <v>3</v>
      </c>
    </row>
    <row r="703">
      <c r="A703" t="n">
        <v>213</v>
      </c>
      <c r="B703" t="inlineStr">
        <is>
          <t>Cumplimiento del Plan Anual del Sistema de Gestión Ambiental</t>
        </is>
      </c>
      <c r="C703" t="inlineStr">
        <is>
          <t>GESTIÓN AMBIENTAL</t>
        </is>
      </c>
      <c r="D703" t="inlineStr">
        <is>
          <t>Semestral</t>
        </is>
      </c>
      <c r="E703" t="inlineStr">
        <is>
          <t>Positivo</t>
        </is>
      </c>
      <c r="F703" s="105" t="n">
        <v>45199</v>
      </c>
      <c r="G703" t="inlineStr">
        <is>
          <t>213-2023-09-30</t>
        </is>
      </c>
      <c r="H703" t="inlineStr">
        <is>
          <t>Actividades de Gestión</t>
        </is>
      </c>
      <c r="I703" t="n">
        <v>90</v>
      </c>
      <c r="J703" t="n">
        <v>86.36000061035156</v>
      </c>
      <c r="AW703" t="n">
        <v>22</v>
      </c>
      <c r="AX703" t="n">
        <v>19</v>
      </c>
    </row>
    <row r="704">
      <c r="A704" t="n">
        <v>213</v>
      </c>
      <c r="B704" t="inlineStr">
        <is>
          <t>Cumplimiento del Plan Anual del Sistema de Gestión Ambiental</t>
        </is>
      </c>
      <c r="C704" t="inlineStr">
        <is>
          <t>GESTIÓN AMBIENTAL</t>
        </is>
      </c>
      <c r="D704" t="inlineStr">
        <is>
          <t>Semestral</t>
        </is>
      </c>
      <c r="E704" t="inlineStr">
        <is>
          <t>Positivo</t>
        </is>
      </c>
      <c r="F704" s="105" t="n">
        <v>45199</v>
      </c>
      <c r="G704" t="inlineStr">
        <is>
          <t>213-2023-09-30</t>
        </is>
      </c>
      <c r="H704" t="inlineStr">
        <is>
          <t>Programa de Gestión de la Calidad, Ahorro y Uso Eficiente del Agua</t>
        </is>
      </c>
      <c r="I704" t="n">
        <v>90</v>
      </c>
      <c r="J704" t="n">
        <v>87.5</v>
      </c>
      <c r="AW704" t="n">
        <v>24</v>
      </c>
      <c r="AX704" t="n">
        <v>21</v>
      </c>
    </row>
    <row r="705">
      <c r="A705" t="n">
        <v>213</v>
      </c>
      <c r="B705" t="inlineStr">
        <is>
          <t>Cumplimiento del Plan Anual del Sistema de Gestión Ambiental</t>
        </is>
      </c>
      <c r="C705" t="inlineStr">
        <is>
          <t>GESTIÓN AMBIENTAL</t>
        </is>
      </c>
      <c r="D705" t="inlineStr">
        <is>
          <t>Semestral</t>
        </is>
      </c>
      <c r="E705" t="inlineStr">
        <is>
          <t>Positivo</t>
        </is>
      </c>
      <c r="F705" s="105" t="n">
        <v>45199</v>
      </c>
      <c r="G705" t="inlineStr">
        <is>
          <t>213-2023-09-30</t>
        </is>
      </c>
      <c r="H705" t="inlineStr">
        <is>
          <t>Programa de Gestión del Ahorro y Uso Eficiente de la Energía</t>
        </is>
      </c>
      <c r="I705" t="n">
        <v>90</v>
      </c>
      <c r="J705" t="n">
        <v>100</v>
      </c>
      <c r="AW705" t="n">
        <v>11</v>
      </c>
      <c r="AX705" t="n">
        <v>11</v>
      </c>
    </row>
    <row r="706">
      <c r="A706" t="n">
        <v>213</v>
      </c>
      <c r="B706" t="inlineStr">
        <is>
          <t>Cumplimiento del Plan Anual del Sistema de Gestión Ambiental</t>
        </is>
      </c>
      <c r="C706" t="inlineStr">
        <is>
          <t>GESTIÓN AMBIENTAL</t>
        </is>
      </c>
      <c r="D706" t="inlineStr">
        <is>
          <t>Semestral</t>
        </is>
      </c>
      <c r="E706" t="inlineStr">
        <is>
          <t>Positivo</t>
        </is>
      </c>
      <c r="F706" s="105" t="n">
        <v>45199</v>
      </c>
      <c r="G706" t="inlineStr">
        <is>
          <t>213-2023-09-30</t>
        </is>
      </c>
      <c r="H706" t="inlineStr">
        <is>
          <t>Programa de Gestión del la Calidad del Aire,  Ruido Ambiental y Publicidad Exterior Visual</t>
        </is>
      </c>
      <c r="I706" t="n">
        <v>90</v>
      </c>
      <c r="J706" t="n">
        <v>85.70999908447266</v>
      </c>
      <c r="AW706" t="n">
        <v>14</v>
      </c>
      <c r="AX706" t="n">
        <v>12</v>
      </c>
    </row>
    <row r="707">
      <c r="A707" t="n">
        <v>213</v>
      </c>
      <c r="B707" t="inlineStr">
        <is>
          <t>Cumplimiento del Plan Anual del Sistema de Gestión Ambiental</t>
        </is>
      </c>
      <c r="C707" t="inlineStr">
        <is>
          <t>GESTIÓN AMBIENTAL</t>
        </is>
      </c>
      <c r="D707" t="inlineStr">
        <is>
          <t>Semestral</t>
        </is>
      </c>
      <c r="E707" t="inlineStr">
        <is>
          <t>Positivo</t>
        </is>
      </c>
      <c r="F707" s="105" t="n">
        <v>45199</v>
      </c>
      <c r="G707" t="inlineStr">
        <is>
          <t>213-2023-09-30</t>
        </is>
      </c>
      <c r="H707" t="inlineStr">
        <is>
          <t>Programa de Gestión de Áreas Naturales</t>
        </is>
      </c>
      <c r="I707" t="n">
        <v>90</v>
      </c>
      <c r="J707" t="n">
        <v>100</v>
      </c>
      <c r="AW707" t="n">
        <v>4</v>
      </c>
      <c r="AX707" t="n">
        <v>4</v>
      </c>
    </row>
    <row r="708">
      <c r="A708" t="n">
        <v>213</v>
      </c>
      <c r="B708" t="inlineStr">
        <is>
          <t>Cumplimiento del Plan Anual del Sistema de Gestión Ambiental</t>
        </is>
      </c>
      <c r="C708" t="inlineStr">
        <is>
          <t>GESTIÓN AMBIENTAL</t>
        </is>
      </c>
      <c r="D708" t="inlineStr">
        <is>
          <t>Semestral</t>
        </is>
      </c>
      <c r="E708" t="inlineStr">
        <is>
          <t>Positivo</t>
        </is>
      </c>
      <c r="F708" s="105" t="n">
        <v>45199</v>
      </c>
      <c r="G708" t="inlineStr">
        <is>
          <t>213-2023-09-30</t>
        </is>
      </c>
      <c r="H708" t="inlineStr">
        <is>
          <t>Programa Gestión de la Educación y Comunicación Ambiental</t>
        </is>
      </c>
      <c r="I708" t="n">
        <v>90</v>
      </c>
      <c r="J708" t="n">
        <v>97.62000274658203</v>
      </c>
      <c r="AW708" t="n">
        <v>42</v>
      </c>
      <c r="AX708" t="n">
        <v>41</v>
      </c>
    </row>
    <row r="709">
      <c r="A709" t="n">
        <v>213</v>
      </c>
      <c r="B709" t="inlineStr">
        <is>
          <t>Cumplimiento del Plan Anual del Sistema de Gestión Ambiental</t>
        </is>
      </c>
      <c r="C709" t="inlineStr">
        <is>
          <t>GESTIÓN AMBIENTAL</t>
        </is>
      </c>
      <c r="D709" t="inlineStr">
        <is>
          <t>Semestral</t>
        </is>
      </c>
      <c r="E709" t="inlineStr">
        <is>
          <t>Positivo</t>
        </is>
      </c>
      <c r="F709" s="105" t="n">
        <v>45199</v>
      </c>
      <c r="G709" t="inlineStr">
        <is>
          <t>213-2023-09-30</t>
        </is>
      </c>
      <c r="H709" t="inlineStr">
        <is>
          <t>Plan de Gestión Integral de Residuos</t>
        </is>
      </c>
      <c r="I709" t="n">
        <v>90</v>
      </c>
      <c r="J709" t="n">
        <v>96.48999786376953</v>
      </c>
      <c r="AW709" t="n">
        <v>57</v>
      </c>
      <c r="AX709" t="n">
        <v>55</v>
      </c>
    </row>
    <row r="710">
      <c r="A710" t="n">
        <v>238</v>
      </c>
      <c r="B710" t="inlineStr">
        <is>
          <t>Cumplimiento de la Protección del Medio Ambiente</t>
        </is>
      </c>
      <c r="C710" t="inlineStr">
        <is>
          <t>GESTIÓN AMBIENTAL</t>
        </is>
      </c>
      <c r="D710" t="inlineStr">
        <is>
          <t>Semestral</t>
        </is>
      </c>
      <c r="E710" t="inlineStr">
        <is>
          <t>Positivo</t>
        </is>
      </c>
      <c r="F710" s="105" t="n">
        <v>45199</v>
      </c>
      <c r="G710" t="inlineStr">
        <is>
          <t>238-2023-09-30</t>
        </is>
      </c>
      <c r="H710" t="inlineStr">
        <is>
          <t>Cumplimiento del Plan Anual del SGA</t>
        </is>
      </c>
      <c r="I710" t="n">
        <v>90</v>
      </c>
      <c r="J710" t="n">
        <v>0</v>
      </c>
      <c r="AY710" t="n">
        <v>0</v>
      </c>
      <c r="AZ710" t="n">
        <v>1</v>
      </c>
    </row>
    <row r="711">
      <c r="A711" t="n">
        <v>238</v>
      </c>
      <c r="B711" t="inlineStr">
        <is>
          <t>Cumplimiento de la Protección del Medio Ambiente</t>
        </is>
      </c>
      <c r="C711" t="inlineStr">
        <is>
          <t>GESTIÓN AMBIENTAL</t>
        </is>
      </c>
      <c r="D711" t="inlineStr">
        <is>
          <t>Semestral</t>
        </is>
      </c>
      <c r="E711" t="inlineStr">
        <is>
          <t>Positivo</t>
        </is>
      </c>
      <c r="F711" s="105" t="n">
        <v>45199</v>
      </c>
      <c r="G711" t="inlineStr">
        <is>
          <t>238-2023-09-30</t>
        </is>
      </c>
      <c r="H711" t="inlineStr">
        <is>
          <t>Cumplimiento Gestión Integral de Residuos</t>
        </is>
      </c>
      <c r="I711" t="n">
        <v>90</v>
      </c>
      <c r="J711" t="n">
        <v>71.43000030517578</v>
      </c>
      <c r="AY711" t="n">
        <v>5</v>
      </c>
      <c r="AZ711" t="n">
        <v>7</v>
      </c>
    </row>
    <row r="712">
      <c r="A712" t="n">
        <v>238</v>
      </c>
      <c r="B712" t="inlineStr">
        <is>
          <t>Cumplimiento de la Protección del Medio Ambiente</t>
        </is>
      </c>
      <c r="C712" t="inlineStr">
        <is>
          <t>GESTIÓN AMBIENTAL</t>
        </is>
      </c>
      <c r="D712" t="inlineStr">
        <is>
          <t>Semestral</t>
        </is>
      </c>
      <c r="E712" t="inlineStr">
        <is>
          <t>Positivo</t>
        </is>
      </c>
      <c r="F712" s="105" t="n">
        <v>45199</v>
      </c>
      <c r="G712" t="inlineStr">
        <is>
          <t>238-2023-09-30</t>
        </is>
      </c>
      <c r="H712" t="inlineStr">
        <is>
          <t>Cumplimiento Gestión del Ahorro y Uso Eficiente de Energía</t>
        </is>
      </c>
      <c r="I712" t="n">
        <v>90</v>
      </c>
      <c r="J712" t="n">
        <v>100</v>
      </c>
      <c r="AY712" t="n">
        <v>3</v>
      </c>
      <c r="AZ712" t="n">
        <v>3</v>
      </c>
    </row>
    <row r="713">
      <c r="A713" t="n">
        <v>238</v>
      </c>
      <c r="B713" t="inlineStr">
        <is>
          <t>Cumplimiento de la Protección del Medio Ambiente</t>
        </is>
      </c>
      <c r="C713" t="inlineStr">
        <is>
          <t>GESTIÓN AMBIENTAL</t>
        </is>
      </c>
      <c r="D713" t="inlineStr">
        <is>
          <t>Semestral</t>
        </is>
      </c>
      <c r="E713" t="inlineStr">
        <is>
          <t>Positivo</t>
        </is>
      </c>
      <c r="F713" s="105" t="n">
        <v>45199</v>
      </c>
      <c r="G713" t="inlineStr">
        <is>
          <t>238-2023-09-30</t>
        </is>
      </c>
      <c r="H713" t="inlineStr">
        <is>
          <t>Cumplimiento Gestión de la Calidad, Ahorro y Uso Eficiente del Agua</t>
        </is>
      </c>
      <c r="I713" t="n">
        <v>90</v>
      </c>
      <c r="J713" t="n">
        <v>100</v>
      </c>
      <c r="AY713" t="n">
        <v>3</v>
      </c>
      <c r="AZ713" t="n">
        <v>3</v>
      </c>
    </row>
    <row r="714">
      <c r="A714" t="n">
        <v>238</v>
      </c>
      <c r="B714" t="inlineStr">
        <is>
          <t>Cumplimiento de la Protección del Medio Ambiente</t>
        </is>
      </c>
      <c r="C714" t="inlineStr">
        <is>
          <t>GESTIÓN AMBIENTAL</t>
        </is>
      </c>
      <c r="D714" t="inlineStr">
        <is>
          <t>Semestral</t>
        </is>
      </c>
      <c r="E714" t="inlineStr">
        <is>
          <t>Positivo</t>
        </is>
      </c>
      <c r="F714" s="105" t="n">
        <v>45199</v>
      </c>
      <c r="G714" t="inlineStr">
        <is>
          <t>238-2023-09-30</t>
        </is>
      </c>
      <c r="H714" t="inlineStr">
        <is>
          <t>Cumplimiento Gestión del la Calidad del Aire,  Ruido Ambiental y Publicidad Exterior Visual</t>
        </is>
      </c>
      <c r="I714" t="n">
        <v>90</v>
      </c>
      <c r="J714" t="n">
        <v>0</v>
      </c>
      <c r="AY714" t="n">
        <v>0</v>
      </c>
      <c r="AZ714" t="n">
        <v>0</v>
      </c>
    </row>
    <row r="715">
      <c r="A715" t="n">
        <v>238</v>
      </c>
      <c r="B715" t="inlineStr">
        <is>
          <t>Cumplimiento de la Protección del Medio Ambiente</t>
        </is>
      </c>
      <c r="C715" t="inlineStr">
        <is>
          <t>GESTIÓN AMBIENTAL</t>
        </is>
      </c>
      <c r="D715" t="inlineStr">
        <is>
          <t>Semestral</t>
        </is>
      </c>
      <c r="E715" t="inlineStr">
        <is>
          <t>Positivo</t>
        </is>
      </c>
      <c r="F715" s="105" t="n">
        <v>45199</v>
      </c>
      <c r="G715" t="inlineStr">
        <is>
          <t>238-2023-09-30</t>
        </is>
      </c>
      <c r="H715" t="inlineStr">
        <is>
          <t>Cumplimiento Gestión de Áreas Naturales</t>
        </is>
      </c>
      <c r="I715" t="n">
        <v>90</v>
      </c>
      <c r="J715" t="n">
        <v>100</v>
      </c>
      <c r="AY715" t="n">
        <v>3</v>
      </c>
      <c r="AZ715" t="n">
        <v>3</v>
      </c>
    </row>
    <row r="716">
      <c r="A716" t="n">
        <v>238</v>
      </c>
      <c r="B716" t="inlineStr">
        <is>
          <t>Cumplimiento de la Protección del Medio Ambiente</t>
        </is>
      </c>
      <c r="C716" t="inlineStr">
        <is>
          <t>GESTIÓN AMBIENTAL</t>
        </is>
      </c>
      <c r="D716" t="inlineStr">
        <is>
          <t>Semestral</t>
        </is>
      </c>
      <c r="E716" t="inlineStr">
        <is>
          <t>Positivo</t>
        </is>
      </c>
      <c r="F716" s="105" t="n">
        <v>45199</v>
      </c>
      <c r="G716" t="inlineStr">
        <is>
          <t>238-2023-09-30</t>
        </is>
      </c>
      <c r="H716" t="inlineStr">
        <is>
          <t>Cumplimiento Gestión de la Medición y Compensación de GEI</t>
        </is>
      </c>
      <c r="I716" t="n">
        <v>90</v>
      </c>
      <c r="J716" t="n">
        <v>0</v>
      </c>
      <c r="AY716" t="n">
        <v>0</v>
      </c>
      <c r="AZ716" t="n">
        <v>0</v>
      </c>
    </row>
    <row r="717">
      <c r="A717" t="n">
        <v>238</v>
      </c>
      <c r="B717" t="inlineStr">
        <is>
          <t>Cumplimiento de la Protección del Medio Ambiente</t>
        </is>
      </c>
      <c r="C717" t="inlineStr">
        <is>
          <t>GESTIÓN AMBIENTAL</t>
        </is>
      </c>
      <c r="D717" t="inlineStr">
        <is>
          <t>Semestral</t>
        </is>
      </c>
      <c r="E717" t="inlineStr">
        <is>
          <t>Positivo</t>
        </is>
      </c>
      <c r="F717" s="105" t="n">
        <v>45199</v>
      </c>
      <c r="G717" t="inlineStr">
        <is>
          <t>238-2023-09-30</t>
        </is>
      </c>
      <c r="H717" t="inlineStr">
        <is>
          <t>Cumplimiento Gestión de la Educación y Comunicación Ambiental</t>
        </is>
      </c>
      <c r="I717" t="n">
        <v>90</v>
      </c>
      <c r="J717" t="n">
        <v>100</v>
      </c>
      <c r="AY717" t="n">
        <v>2</v>
      </c>
      <c r="AZ717" t="n">
        <v>2</v>
      </c>
    </row>
    <row r="718">
      <c r="A718" t="n">
        <v>306</v>
      </c>
      <c r="B718" t="inlineStr">
        <is>
          <t>Seguimiento KPI Plan de Desarrollo Institucional</t>
        </is>
      </c>
      <c r="C718" t="inlineStr">
        <is>
          <t>Desempeño Institucional</t>
        </is>
      </c>
      <c r="D718" t="inlineStr">
        <is>
          <t>Semestral</t>
        </is>
      </c>
      <c r="E718" t="inlineStr">
        <is>
          <t>Positivo</t>
        </is>
      </c>
      <c r="F718" s="105" t="n">
        <v>45199</v>
      </c>
      <c r="G718" t="inlineStr">
        <is>
          <t>306-2023-09-30</t>
        </is>
      </c>
      <c r="H718" t="inlineStr">
        <is>
          <t>Experiencia</t>
        </is>
      </c>
      <c r="I718" t="n">
        <v>100</v>
      </c>
      <c r="J718" t="n">
        <v>98</v>
      </c>
      <c r="BY718" t="n">
        <v>98</v>
      </c>
    </row>
    <row r="719">
      <c r="A719" t="n">
        <v>373</v>
      </c>
      <c r="B719" t="inlineStr">
        <is>
          <t>Cumplimiento de planes anuales por líneas</t>
        </is>
      </c>
      <c r="C719" t="inlineStr">
        <is>
          <t>Planeación Estratégica</t>
        </is>
      </c>
      <c r="D719" t="inlineStr">
        <is>
          <t>Semestral</t>
        </is>
      </c>
      <c r="E719" t="inlineStr">
        <is>
          <t>Positivo</t>
        </is>
      </c>
      <c r="F719" s="105" t="n">
        <v>45199</v>
      </c>
      <c r="G719" t="inlineStr">
        <is>
          <t>373-2023-09-30</t>
        </is>
      </c>
      <c r="H719" t="inlineStr">
        <is>
          <t>Calidad</t>
        </is>
      </c>
      <c r="I719" t="n">
        <v>100</v>
      </c>
      <c r="J719" t="n">
        <v>91.48999786376953</v>
      </c>
      <c r="BZ719" t="n">
        <v>86</v>
      </c>
      <c r="CA719" t="n">
        <v>94</v>
      </c>
    </row>
    <row r="720">
      <c r="A720" t="n">
        <v>373</v>
      </c>
      <c r="B720" t="inlineStr">
        <is>
          <t>Cumplimiento de planes anuales por líneas</t>
        </is>
      </c>
      <c r="C720" t="inlineStr">
        <is>
          <t>Planeación Estratégica</t>
        </is>
      </c>
      <c r="D720" t="inlineStr">
        <is>
          <t>Semestral</t>
        </is>
      </c>
      <c r="E720" t="inlineStr">
        <is>
          <t>Positivo</t>
        </is>
      </c>
      <c r="F720" s="105" t="n">
        <v>45199</v>
      </c>
      <c r="G720" t="inlineStr">
        <is>
          <t>373-2023-09-30</t>
        </is>
      </c>
      <c r="H720" t="inlineStr">
        <is>
          <t>Expansión</t>
        </is>
      </c>
      <c r="I720" t="n">
        <v>100</v>
      </c>
      <c r="J720" t="n">
        <v>90.62999725341797</v>
      </c>
      <c r="BZ720" t="n">
        <v>87</v>
      </c>
      <c r="CA720" t="n">
        <v>96</v>
      </c>
    </row>
    <row r="721">
      <c r="A721" t="n">
        <v>373</v>
      </c>
      <c r="B721" t="inlineStr">
        <is>
          <t>Cumplimiento de planes anuales por líneas</t>
        </is>
      </c>
      <c r="C721" t="inlineStr">
        <is>
          <t>Planeación Estratégica</t>
        </is>
      </c>
      <c r="D721" t="inlineStr">
        <is>
          <t>Semestral</t>
        </is>
      </c>
      <c r="E721" t="inlineStr">
        <is>
          <t>Positivo</t>
        </is>
      </c>
      <c r="F721" s="105" t="n">
        <v>45199</v>
      </c>
      <c r="G721" t="inlineStr">
        <is>
          <t>373-2023-09-30</t>
        </is>
      </c>
      <c r="H721" t="inlineStr">
        <is>
          <t>Educación para toda la vida</t>
        </is>
      </c>
      <c r="I721" t="n">
        <v>100</v>
      </c>
      <c r="J721" t="n">
        <v>87.23000335693359</v>
      </c>
      <c r="BZ721" t="n">
        <v>82</v>
      </c>
      <c r="CA721" t="n">
        <v>94</v>
      </c>
    </row>
    <row r="722">
      <c r="A722" t="n">
        <v>373</v>
      </c>
      <c r="B722" t="inlineStr">
        <is>
          <t>Cumplimiento de planes anuales por líneas</t>
        </is>
      </c>
      <c r="C722" t="inlineStr">
        <is>
          <t>Planeación Estratégica</t>
        </is>
      </c>
      <c r="D722" t="inlineStr">
        <is>
          <t>Semestral</t>
        </is>
      </c>
      <c r="E722" t="inlineStr">
        <is>
          <t>Positivo</t>
        </is>
      </c>
      <c r="F722" s="105" t="n">
        <v>45199</v>
      </c>
      <c r="G722" t="inlineStr">
        <is>
          <t>373-2023-09-30</t>
        </is>
      </c>
      <c r="H722" t="inlineStr">
        <is>
          <t>Trasformación Organizacional</t>
        </is>
      </c>
      <c r="I722" t="n">
        <v>100</v>
      </c>
      <c r="J722" t="n">
        <v>90.43000030517578</v>
      </c>
      <c r="BZ722" t="n">
        <v>85</v>
      </c>
      <c r="CA722" t="n">
        <v>94</v>
      </c>
    </row>
    <row r="723">
      <c r="A723" t="n">
        <v>373</v>
      </c>
      <c r="B723" t="inlineStr">
        <is>
          <t>Cumplimiento de planes anuales por líneas</t>
        </is>
      </c>
      <c r="C723" t="inlineStr">
        <is>
          <t>Planeación Estratégica</t>
        </is>
      </c>
      <c r="D723" t="inlineStr">
        <is>
          <t>Semestral</t>
        </is>
      </c>
      <c r="E723" t="inlineStr">
        <is>
          <t>Positivo</t>
        </is>
      </c>
      <c r="F723" s="105" t="n">
        <v>45199</v>
      </c>
      <c r="G723" t="inlineStr">
        <is>
          <t>373-2023-09-30</t>
        </is>
      </c>
      <c r="H723" t="inlineStr">
        <is>
          <t>Experiencia</t>
        </is>
      </c>
      <c r="I723" t="n">
        <v>100</v>
      </c>
      <c r="J723" t="n">
        <v>91.40000152587891</v>
      </c>
      <c r="BZ723" t="n">
        <v>85</v>
      </c>
      <c r="CA723" t="n">
        <v>93</v>
      </c>
    </row>
    <row r="724">
      <c r="A724" t="n">
        <v>373</v>
      </c>
      <c r="B724" t="inlineStr">
        <is>
          <t>Cumplimiento de planes anuales por líneas</t>
        </is>
      </c>
      <c r="C724" t="inlineStr">
        <is>
          <t>Planeación Estratégica</t>
        </is>
      </c>
      <c r="D724" t="inlineStr">
        <is>
          <t>Semestral</t>
        </is>
      </c>
      <c r="E724" t="inlineStr">
        <is>
          <t>Positivo</t>
        </is>
      </c>
      <c r="F724" s="105" t="n">
        <v>45199</v>
      </c>
      <c r="G724" t="inlineStr">
        <is>
          <t>373-2023-09-30</t>
        </is>
      </c>
      <c r="H724" t="inlineStr">
        <is>
          <t>Sostenibilidad</t>
        </is>
      </c>
      <c r="I724" t="n">
        <v>100</v>
      </c>
      <c r="J724" t="n">
        <v>97.87000274658203</v>
      </c>
      <c r="BZ724" t="n">
        <v>92</v>
      </c>
      <c r="CA724" t="n">
        <v>94</v>
      </c>
    </row>
    <row r="725">
      <c r="A725" t="n">
        <v>390</v>
      </c>
      <c r="B725" t="inlineStr">
        <is>
          <t>Cumplimiento Plan Anual por escuela</t>
        </is>
      </c>
      <c r="C725" t="inlineStr">
        <is>
          <t>Planeación Estratégica</t>
        </is>
      </c>
      <c r="D725" t="inlineStr">
        <is>
          <t>Semestral</t>
        </is>
      </c>
      <c r="E725" t="inlineStr">
        <is>
          <t>Positivo</t>
        </is>
      </c>
      <c r="F725" s="105" t="n">
        <v>45199</v>
      </c>
      <c r="G725" t="inlineStr">
        <is>
          <t>390-2023-09-30</t>
        </is>
      </c>
      <c r="H725" t="inlineStr">
        <is>
          <t>ESCUELA DE CIENCIAS BÁSICAS</t>
        </is>
      </c>
      <c r="I725" t="n">
        <v>100</v>
      </c>
      <c r="J725" t="n">
        <v>91.98999786376953</v>
      </c>
      <c r="CB725" t="n">
        <v>91.7</v>
      </c>
      <c r="CC725" t="n">
        <v>99.68000000000001</v>
      </c>
    </row>
    <row r="726">
      <c r="A726" t="n">
        <v>390</v>
      </c>
      <c r="B726" t="inlineStr">
        <is>
          <t>Cumplimiento Plan Anual por escuela</t>
        </is>
      </c>
      <c r="C726" t="inlineStr">
        <is>
          <t>Planeación Estratégica</t>
        </is>
      </c>
      <c r="D726" t="inlineStr">
        <is>
          <t>Semestral</t>
        </is>
      </c>
      <c r="E726" t="inlineStr">
        <is>
          <t>Positivo</t>
        </is>
      </c>
      <c r="F726" s="105" t="n">
        <v>45199</v>
      </c>
      <c r="G726" t="inlineStr">
        <is>
          <t>390-2023-09-30</t>
        </is>
      </c>
      <c r="H726" t="inlineStr">
        <is>
          <t>ESCUELA DE  DISEÑO</t>
        </is>
      </c>
      <c r="I726" t="n">
        <v>100</v>
      </c>
      <c r="J726" t="n">
        <v>93.51000213623047</v>
      </c>
      <c r="CB726" t="n">
        <v>90.5</v>
      </c>
      <c r="CC726" t="n">
        <v>96.78</v>
      </c>
    </row>
    <row r="727">
      <c r="A727" t="n">
        <v>390</v>
      </c>
      <c r="B727" t="inlineStr">
        <is>
          <t>Cumplimiento Plan Anual por escuela</t>
        </is>
      </c>
      <c r="C727" t="inlineStr">
        <is>
          <t>Planeación Estratégica</t>
        </is>
      </c>
      <c r="D727" t="inlineStr">
        <is>
          <t>Semestral</t>
        </is>
      </c>
      <c r="E727" t="inlineStr">
        <is>
          <t>Positivo</t>
        </is>
      </c>
      <c r="F727" s="105" t="n">
        <v>45199</v>
      </c>
      <c r="G727" t="inlineStr">
        <is>
          <t>390-2023-09-30</t>
        </is>
      </c>
      <c r="H727" t="inlineStr">
        <is>
          <t>ESCUELA DE OPTIMIZACIÓN, INFRA Y AUTO</t>
        </is>
      </c>
      <c r="I727" t="n">
        <v>100</v>
      </c>
      <c r="J727" t="n">
        <v>98.79000091552734</v>
      </c>
      <c r="CB727" t="n">
        <v>96.56</v>
      </c>
      <c r="CC727" t="n">
        <v>97.73999999999999</v>
      </c>
    </row>
    <row r="728">
      <c r="A728" t="n">
        <v>390</v>
      </c>
      <c r="B728" t="inlineStr">
        <is>
          <t>Cumplimiento Plan Anual por escuela</t>
        </is>
      </c>
      <c r="C728" t="inlineStr">
        <is>
          <t>Planeación Estratégica</t>
        </is>
      </c>
      <c r="D728" t="inlineStr">
        <is>
          <t>Semestral</t>
        </is>
      </c>
      <c r="E728" t="inlineStr">
        <is>
          <t>Positivo</t>
        </is>
      </c>
      <c r="F728" s="105" t="n">
        <v>45199</v>
      </c>
      <c r="G728" t="inlineStr">
        <is>
          <t>390-2023-09-30</t>
        </is>
      </c>
      <c r="H728" t="inlineStr">
        <is>
          <t>ESCUELA TIC</t>
        </is>
      </c>
      <c r="I728" t="n">
        <v>100</v>
      </c>
      <c r="J728" t="n">
        <v>94</v>
      </c>
      <c r="CB728" t="n">
        <v>93.72</v>
      </c>
      <c r="CC728" t="n">
        <v>99.7</v>
      </c>
    </row>
    <row r="729">
      <c r="A729" t="n">
        <v>390</v>
      </c>
      <c r="B729" t="inlineStr">
        <is>
          <t>Cumplimiento Plan Anual por escuela</t>
        </is>
      </c>
      <c r="C729" t="inlineStr">
        <is>
          <t>Planeación Estratégica</t>
        </is>
      </c>
      <c r="D729" t="inlineStr">
        <is>
          <t>Semestral</t>
        </is>
      </c>
      <c r="E729" t="inlineStr">
        <is>
          <t>Positivo</t>
        </is>
      </c>
      <c r="F729" s="105" t="n">
        <v>45199</v>
      </c>
      <c r="G729" t="inlineStr">
        <is>
          <t>390-2023-09-30</t>
        </is>
      </c>
      <c r="H729" t="inlineStr">
        <is>
          <t>ESCUELA DE ADMINISTRACIÓN Y COMPETITIVIDAD</t>
        </is>
      </c>
      <c r="I729" t="n">
        <v>100</v>
      </c>
      <c r="J729" t="n">
        <v>88.08000183105469</v>
      </c>
      <c r="CB729" t="n">
        <v>78.90000000000001</v>
      </c>
      <c r="CC729" t="n">
        <v>89.58</v>
      </c>
    </row>
    <row r="730">
      <c r="A730" t="n">
        <v>390</v>
      </c>
      <c r="B730" t="inlineStr">
        <is>
          <t>Cumplimiento Plan Anual por escuela</t>
        </is>
      </c>
      <c r="C730" t="inlineStr">
        <is>
          <t>Planeación Estratégica</t>
        </is>
      </c>
      <c r="D730" t="inlineStr">
        <is>
          <t>Semestral</t>
        </is>
      </c>
      <c r="E730" t="inlineStr">
        <is>
          <t>Positivo</t>
        </is>
      </c>
      <c r="F730" s="105" t="n">
        <v>45199</v>
      </c>
      <c r="G730" t="inlineStr">
        <is>
          <t>390-2023-09-30</t>
        </is>
      </c>
      <c r="H730" t="inlineStr">
        <is>
          <t>ESCUELA DE CONTABILIDAD INTERNACIONAL</t>
        </is>
      </c>
      <c r="I730" t="n">
        <v>100</v>
      </c>
      <c r="J730" t="n">
        <v>101.9800033569336</v>
      </c>
      <c r="CB730" t="n">
        <v>92</v>
      </c>
      <c r="CC730" t="n">
        <v>90.20999999999999</v>
      </c>
    </row>
    <row r="731">
      <c r="A731" t="n">
        <v>390</v>
      </c>
      <c r="B731" t="inlineStr">
        <is>
          <t>Cumplimiento Plan Anual por escuela</t>
        </is>
      </c>
      <c r="C731" t="inlineStr">
        <is>
          <t>Planeación Estratégica</t>
        </is>
      </c>
      <c r="D731" t="inlineStr">
        <is>
          <t>Semestral</t>
        </is>
      </c>
      <c r="E731" t="inlineStr">
        <is>
          <t>Positivo</t>
        </is>
      </c>
      <c r="F731" s="105" t="n">
        <v>45199</v>
      </c>
      <c r="G731" t="inlineStr">
        <is>
          <t>390-2023-09-30</t>
        </is>
      </c>
      <c r="H731" t="inlineStr">
        <is>
          <t>ESCUELA DE NEGOCIOS Y DESARROLLO INTERNACIONAL</t>
        </is>
      </c>
      <c r="I731" t="n">
        <v>100</v>
      </c>
      <c r="J731" t="n">
        <v>98.87000274658203</v>
      </c>
      <c r="CB731" t="n">
        <v>90.90000000000001</v>
      </c>
      <c r="CC731" t="n">
        <v>91.94</v>
      </c>
    </row>
    <row r="732">
      <c r="A732" t="n">
        <v>390</v>
      </c>
      <c r="B732" t="inlineStr">
        <is>
          <t>Cumplimiento Plan Anual por escuela</t>
        </is>
      </c>
      <c r="C732" t="inlineStr">
        <is>
          <t>Planeación Estratégica</t>
        </is>
      </c>
      <c r="D732" t="inlineStr">
        <is>
          <t>Semestral</t>
        </is>
      </c>
      <c r="E732" t="inlineStr">
        <is>
          <t>Positivo</t>
        </is>
      </c>
      <c r="F732" s="105" t="n">
        <v>45199</v>
      </c>
      <c r="G732" t="inlineStr">
        <is>
          <t>390-2023-09-30</t>
        </is>
      </c>
      <c r="H732" t="inlineStr">
        <is>
          <t>ESCUELA DE COMUNICACIÓN ARTES VISUALES Y DIGITALES</t>
        </is>
      </c>
      <c r="I732" t="n">
        <v>100</v>
      </c>
      <c r="J732" t="n">
        <v>96.19000244140625</v>
      </c>
      <c r="CB732" t="n">
        <v>91.25</v>
      </c>
      <c r="CC732" t="n">
        <v>94.86</v>
      </c>
    </row>
    <row r="733">
      <c r="A733" t="n">
        <v>390</v>
      </c>
      <c r="B733" t="inlineStr">
        <is>
          <t>Cumplimiento Plan Anual por escuela</t>
        </is>
      </c>
      <c r="C733" t="inlineStr">
        <is>
          <t>Planeación Estratégica</t>
        </is>
      </c>
      <c r="D733" t="inlineStr">
        <is>
          <t>Semestral</t>
        </is>
      </c>
      <c r="E733" t="inlineStr">
        <is>
          <t>Positivo</t>
        </is>
      </c>
      <c r="F733" s="105" t="n">
        <v>45199</v>
      </c>
      <c r="G733" t="inlineStr">
        <is>
          <t>390-2023-09-30</t>
        </is>
      </c>
      <c r="H733" t="inlineStr">
        <is>
          <t>ESCUELA DE EDUCACIÓN E INNOVACIÓN</t>
        </is>
      </c>
      <c r="I733" t="n">
        <v>100</v>
      </c>
      <c r="J733" t="n">
        <v>95.05000305175781</v>
      </c>
      <c r="CB733" t="n">
        <v>88.33</v>
      </c>
      <c r="CC733" t="n">
        <v>92.93000000000001</v>
      </c>
    </row>
    <row r="734">
      <c r="A734" t="n">
        <v>390</v>
      </c>
      <c r="B734" t="inlineStr">
        <is>
          <t>Cumplimiento Plan Anual por escuela</t>
        </is>
      </c>
      <c r="C734" t="inlineStr">
        <is>
          <t>Planeación Estratégica</t>
        </is>
      </c>
      <c r="D734" t="inlineStr">
        <is>
          <t>Semestral</t>
        </is>
      </c>
      <c r="E734" t="inlineStr">
        <is>
          <t>Positivo</t>
        </is>
      </c>
      <c r="F734" s="105" t="n">
        <v>45199</v>
      </c>
      <c r="G734" t="inlineStr">
        <is>
          <t>390-2023-09-30</t>
        </is>
      </c>
      <c r="H734" t="inlineStr">
        <is>
          <t>ESCUELA DE DERECHO Y GOBIERNO</t>
        </is>
      </c>
      <c r="I734" t="n">
        <v>100</v>
      </c>
      <c r="J734" t="n">
        <v>97.06999969482422</v>
      </c>
      <c r="CB734" t="n">
        <v>90</v>
      </c>
      <c r="CC734" t="n">
        <v>92.72</v>
      </c>
    </row>
    <row r="735">
      <c r="A735" t="n">
        <v>390</v>
      </c>
      <c r="B735" t="inlineStr">
        <is>
          <t>Cumplimiento Plan Anual por escuela</t>
        </is>
      </c>
      <c r="C735" t="inlineStr">
        <is>
          <t>Planeación Estratégica</t>
        </is>
      </c>
      <c r="D735" t="inlineStr">
        <is>
          <t>Semestral</t>
        </is>
      </c>
      <c r="E735" t="inlineStr">
        <is>
          <t>Positivo</t>
        </is>
      </c>
      <c r="F735" s="105" t="n">
        <v>45199</v>
      </c>
      <c r="G735" t="inlineStr">
        <is>
          <t>390-2023-09-30</t>
        </is>
      </c>
      <c r="H735" t="inlineStr">
        <is>
          <t>ESCUELA DE MARKETING Y BRANDING</t>
        </is>
      </c>
      <c r="I735" t="n">
        <v>100</v>
      </c>
      <c r="J735" t="n">
        <v>97.55999755859375</v>
      </c>
      <c r="CB735" t="n">
        <v>92.5</v>
      </c>
      <c r="CC735" t="n">
        <v>94.81</v>
      </c>
    </row>
    <row r="736">
      <c r="A736" t="n">
        <v>390</v>
      </c>
      <c r="B736" t="inlineStr">
        <is>
          <t>Cumplimiento Plan Anual por escuela</t>
        </is>
      </c>
      <c r="C736" t="inlineStr">
        <is>
          <t>Planeación Estratégica</t>
        </is>
      </c>
      <c r="D736" t="inlineStr">
        <is>
          <t>Semestral</t>
        </is>
      </c>
      <c r="E736" t="inlineStr">
        <is>
          <t>Positivo</t>
        </is>
      </c>
      <c r="F736" s="105" t="n">
        <v>45199</v>
      </c>
      <c r="G736" t="inlineStr">
        <is>
          <t>390-2023-09-30</t>
        </is>
      </c>
      <c r="H736" t="inlineStr">
        <is>
          <t>ESCUELA DE PSIC, TALENTO HUM Y SOC</t>
        </is>
      </c>
      <c r="I736" t="n">
        <v>100</v>
      </c>
      <c r="J736" t="n">
        <v>91.04000091552734</v>
      </c>
      <c r="CB736" t="n">
        <v>88.70999999999999</v>
      </c>
      <c r="CC736" t="n">
        <v>97.44</v>
      </c>
    </row>
    <row r="737">
      <c r="A737" t="n">
        <v>409</v>
      </c>
      <c r="B737" t="inlineStr">
        <is>
          <t>Oportunidad en tiempo de envios</t>
        </is>
      </c>
      <c r="C737" t="inlineStr">
        <is>
          <t>GESTIÓN JURÍDICA Y NORMATIVA</t>
        </is>
      </c>
      <c r="D737" t="inlineStr">
        <is>
          <t>Semestral</t>
        </is>
      </c>
      <c r="E737" t="inlineStr">
        <is>
          <t>Positivo</t>
        </is>
      </c>
      <c r="F737" s="105" t="n">
        <v>45199</v>
      </c>
      <c r="G737" t="inlineStr">
        <is>
          <t>409-2023-09-30</t>
        </is>
      </c>
      <c r="H737" t="inlineStr">
        <is>
          <t>Diplomas</t>
        </is>
      </c>
      <c r="I737" t="n">
        <v>80</v>
      </c>
      <c r="J737" t="n">
        <v>104</v>
      </c>
      <c r="CQ737" t="n">
        <v>2600</v>
      </c>
      <c r="CR737" t="n">
        <v>2500</v>
      </c>
    </row>
    <row r="738">
      <c r="A738" t="n">
        <v>409</v>
      </c>
      <c r="B738" t="inlineStr">
        <is>
          <t>Oportunidad en tiempo de envios</t>
        </is>
      </c>
      <c r="C738" t="inlineStr">
        <is>
          <t>GESTIÓN JURÍDICA Y NORMATIVA</t>
        </is>
      </c>
      <c r="D738" t="inlineStr">
        <is>
          <t>Semestral</t>
        </is>
      </c>
      <c r="E738" t="inlineStr">
        <is>
          <t>Positivo</t>
        </is>
      </c>
      <c r="F738" s="105" t="n">
        <v>45199</v>
      </c>
      <c r="G738" t="inlineStr">
        <is>
          <t>409-2023-09-30</t>
        </is>
      </c>
      <c r="H738" t="inlineStr">
        <is>
          <t>Otro Material</t>
        </is>
      </c>
      <c r="I738" t="n">
        <v>80</v>
      </c>
      <c r="J738" t="n">
        <v>100</v>
      </c>
      <c r="CQ738" t="n">
        <v>189</v>
      </c>
      <c r="CR738" t="n">
        <v>189</v>
      </c>
    </row>
    <row r="739">
      <c r="A739" t="n">
        <v>414</v>
      </c>
      <c r="B739" t="inlineStr">
        <is>
          <t>Cumplimiento Plan Anual Rectoría</t>
        </is>
      </c>
      <c r="C739" t="inlineStr">
        <is>
          <t>Planeación Estratégica</t>
        </is>
      </c>
      <c r="D739" t="inlineStr">
        <is>
          <t>Semestral</t>
        </is>
      </c>
      <c r="E739" t="inlineStr">
        <is>
          <t>Positivo</t>
        </is>
      </c>
      <c r="F739" s="105" t="n">
        <v>45199</v>
      </c>
      <c r="G739" t="inlineStr">
        <is>
          <t>414-2023-09-30</t>
        </is>
      </c>
      <c r="H739" t="inlineStr">
        <is>
          <t>Vicerrectoría de crecimiento</t>
        </is>
      </c>
      <c r="I739" t="n">
        <v>100</v>
      </c>
      <c r="J739" t="n">
        <v>91.25</v>
      </c>
      <c r="CD739" t="n">
        <v>91.25</v>
      </c>
      <c r="CE739" t="n">
        <v>100</v>
      </c>
    </row>
    <row r="740">
      <c r="A740" t="n">
        <v>414</v>
      </c>
      <c r="B740" t="inlineStr">
        <is>
          <t>Cumplimiento Plan Anual Rectoría</t>
        </is>
      </c>
      <c r="C740" t="inlineStr">
        <is>
          <t>Planeación Estratégica</t>
        </is>
      </c>
      <c r="D740" t="inlineStr">
        <is>
          <t>Semestral</t>
        </is>
      </c>
      <c r="E740" t="inlineStr">
        <is>
          <t>Positivo</t>
        </is>
      </c>
      <c r="F740" s="105" t="n">
        <v>45199</v>
      </c>
      <c r="G740" t="inlineStr">
        <is>
          <t>414-2023-09-30</t>
        </is>
      </c>
      <c r="H740" t="inlineStr">
        <is>
          <t>Vicerrectoría del estudiante</t>
        </is>
      </c>
      <c r="I740" t="n">
        <v>100</v>
      </c>
      <c r="J740" t="n">
        <v>69.69999694824219</v>
      </c>
      <c r="CD740" t="n">
        <v>65.8</v>
      </c>
      <c r="CE740" t="n">
        <v>94.41</v>
      </c>
    </row>
    <row r="741">
      <c r="A741" t="n">
        <v>414</v>
      </c>
      <c r="B741" t="inlineStr">
        <is>
          <t>Cumplimiento Plan Anual Rectoría</t>
        </is>
      </c>
      <c r="C741" t="inlineStr">
        <is>
          <t>Planeación Estratégica</t>
        </is>
      </c>
      <c r="D741" t="inlineStr">
        <is>
          <t>Semestral</t>
        </is>
      </c>
      <c r="E741" t="inlineStr">
        <is>
          <t>Positivo</t>
        </is>
      </c>
      <c r="F741" s="105" t="n">
        <v>45199</v>
      </c>
      <c r="G741" t="inlineStr">
        <is>
          <t>414-2023-09-30</t>
        </is>
      </c>
      <c r="H741" t="inlineStr">
        <is>
          <t>Vicerrectoría financiera</t>
        </is>
      </c>
      <c r="I741" t="n">
        <v>100</v>
      </c>
      <c r="J741" t="n">
        <v>108.2900009155273</v>
      </c>
      <c r="CD741" t="n">
        <v>94.79000000000001</v>
      </c>
      <c r="CE741" t="n">
        <v>87.53</v>
      </c>
    </row>
    <row r="742">
      <c r="A742" t="n">
        <v>414</v>
      </c>
      <c r="B742" t="inlineStr">
        <is>
          <t>Cumplimiento Plan Anual Rectoría</t>
        </is>
      </c>
      <c r="C742" t="inlineStr">
        <is>
          <t>Planeación Estratégica</t>
        </is>
      </c>
      <c r="D742" t="inlineStr">
        <is>
          <t>Semestral</t>
        </is>
      </c>
      <c r="E742" t="inlineStr">
        <is>
          <t>Positivo</t>
        </is>
      </c>
      <c r="F742" s="105" t="n">
        <v>45199</v>
      </c>
      <c r="G742" t="inlineStr">
        <is>
          <t>414-2023-09-30</t>
        </is>
      </c>
      <c r="H742" t="inlineStr">
        <is>
          <t>Vicerrectoría académica</t>
        </is>
      </c>
      <c r="I742" t="n">
        <v>100</v>
      </c>
      <c r="J742" t="n">
        <v>84.01999664306641</v>
      </c>
      <c r="CD742" t="n">
        <v>84.02</v>
      </c>
      <c r="CE742" t="n">
        <v>100</v>
      </c>
    </row>
    <row r="743">
      <c r="A743" t="n">
        <v>414</v>
      </c>
      <c r="B743" t="inlineStr">
        <is>
          <t>Cumplimiento Plan Anual Rectoría</t>
        </is>
      </c>
      <c r="C743" t="inlineStr">
        <is>
          <t>Planeación Estratégica</t>
        </is>
      </c>
      <c r="D743" t="inlineStr">
        <is>
          <t>Semestral</t>
        </is>
      </c>
      <c r="E743" t="inlineStr">
        <is>
          <t>Positivo</t>
        </is>
      </c>
      <c r="F743" s="105" t="n">
        <v>45199</v>
      </c>
      <c r="G743" t="inlineStr">
        <is>
          <t>414-2023-09-30</t>
        </is>
      </c>
      <c r="H743" t="inlineStr">
        <is>
          <t>Gerencia de estrategia</t>
        </is>
      </c>
      <c r="I743" t="n">
        <v>100</v>
      </c>
      <c r="J743" t="n">
        <v>102.4000015258789</v>
      </c>
      <c r="CD743" t="n">
        <v>92.75</v>
      </c>
      <c r="CE743" t="n">
        <v>90.58</v>
      </c>
    </row>
    <row r="744">
      <c r="A744" t="n">
        <v>414</v>
      </c>
      <c r="B744" t="inlineStr">
        <is>
          <t>Cumplimiento Plan Anual Rectoría</t>
        </is>
      </c>
      <c r="C744" t="inlineStr">
        <is>
          <t>Planeación Estratégica</t>
        </is>
      </c>
      <c r="D744" t="inlineStr">
        <is>
          <t>Semestral</t>
        </is>
      </c>
      <c r="E744" t="inlineStr">
        <is>
          <t>Positivo</t>
        </is>
      </c>
      <c r="F744" s="105" t="n">
        <v>45199</v>
      </c>
      <c r="G744" t="inlineStr">
        <is>
          <t>414-2023-09-30</t>
        </is>
      </c>
      <c r="H744" t="inlineStr">
        <is>
          <t>Gerencia de  talento humano y desarrollo</t>
        </is>
      </c>
      <c r="I744" t="n">
        <v>100</v>
      </c>
      <c r="J744" t="n">
        <v>102.5299987792969</v>
      </c>
      <c r="CD744" t="n">
        <v>91.01000000000001</v>
      </c>
      <c r="CE744" t="n">
        <v>88.76000000000001</v>
      </c>
    </row>
    <row r="745">
      <c r="A745" t="n">
        <v>414</v>
      </c>
      <c r="B745" t="inlineStr">
        <is>
          <t>Cumplimiento Plan Anual Rectoría</t>
        </is>
      </c>
      <c r="C745" t="inlineStr">
        <is>
          <t>Planeación Estratégica</t>
        </is>
      </c>
      <c r="D745" t="inlineStr">
        <is>
          <t>Semestral</t>
        </is>
      </c>
      <c r="E745" t="inlineStr">
        <is>
          <t>Positivo</t>
        </is>
      </c>
      <c r="F745" s="105" t="n">
        <v>45199</v>
      </c>
      <c r="G745" t="inlineStr">
        <is>
          <t>414-2023-09-30</t>
        </is>
      </c>
      <c r="H745" t="inlineStr">
        <is>
          <t>Gerencia sede Medellín</t>
        </is>
      </c>
      <c r="I745" t="n">
        <v>100</v>
      </c>
      <c r="J745" t="n">
        <v>105.6399993896484</v>
      </c>
      <c r="CD745" t="n">
        <v>94.63</v>
      </c>
      <c r="CE745" t="n">
        <v>89.58</v>
      </c>
    </row>
    <row r="746">
      <c r="A746" t="n">
        <v>414</v>
      </c>
      <c r="B746" t="inlineStr">
        <is>
          <t>Cumplimiento Plan Anual Rectoría</t>
        </is>
      </c>
      <c r="C746" t="inlineStr">
        <is>
          <t>Planeación Estratégica</t>
        </is>
      </c>
      <c r="D746" t="inlineStr">
        <is>
          <t>Semestral</t>
        </is>
      </c>
      <c r="E746" t="inlineStr">
        <is>
          <t>Positivo</t>
        </is>
      </c>
      <c r="F746" s="105" t="n">
        <v>45199</v>
      </c>
      <c r="G746" t="inlineStr">
        <is>
          <t>414-2023-09-30</t>
        </is>
      </c>
      <c r="H746" t="inlineStr">
        <is>
          <t>Secretaria general</t>
        </is>
      </c>
      <c r="I746" t="n">
        <v>100</v>
      </c>
      <c r="J746" t="n">
        <v>84.51000213623047</v>
      </c>
      <c r="CD746" t="n">
        <v>77.5</v>
      </c>
      <c r="CE746" t="n">
        <v>91.7</v>
      </c>
    </row>
    <row r="747">
      <c r="A747" t="n">
        <v>415</v>
      </c>
      <c r="B747" t="inlineStr">
        <is>
          <t>Cumplimiento Plan Anual Vicerrectoría del estudiante</t>
        </is>
      </c>
      <c r="C747" t="inlineStr">
        <is>
          <t>Planeación Estratégica</t>
        </is>
      </c>
      <c r="D747" t="inlineStr">
        <is>
          <t>Semestral</t>
        </is>
      </c>
      <c r="E747" t="inlineStr">
        <is>
          <t>Positivo</t>
        </is>
      </c>
      <c r="F747" s="105" t="n">
        <v>45199</v>
      </c>
      <c r="G747" t="inlineStr">
        <is>
          <t>415-2023-09-30</t>
        </is>
      </c>
      <c r="H747" t="inlineStr">
        <is>
          <t>Gerencia de operaciones</t>
        </is>
      </c>
      <c r="I747" t="n">
        <v>100</v>
      </c>
      <c r="J747" t="n">
        <v>79.18000030517578</v>
      </c>
      <c r="CF747" t="n">
        <v>73.56999999999999</v>
      </c>
      <c r="CG747" t="n">
        <v>92.91</v>
      </c>
    </row>
    <row r="748">
      <c r="A748" t="n">
        <v>415</v>
      </c>
      <c r="B748" t="inlineStr">
        <is>
          <t>Cumplimiento Plan Anual Vicerrectoría del estudiante</t>
        </is>
      </c>
      <c r="C748" t="inlineStr">
        <is>
          <t>Planeación Estratégica</t>
        </is>
      </c>
      <c r="D748" t="inlineStr">
        <is>
          <t>Semestral</t>
        </is>
      </c>
      <c r="E748" t="inlineStr">
        <is>
          <t>Positivo</t>
        </is>
      </c>
      <c r="F748" s="105" t="n">
        <v>45199</v>
      </c>
      <c r="G748" t="inlineStr">
        <is>
          <t>415-2023-09-30</t>
        </is>
      </c>
      <c r="H748" t="inlineStr">
        <is>
          <t>Gerencia de servicio y permanencia</t>
        </is>
      </c>
      <c r="I748" t="n">
        <v>100</v>
      </c>
      <c r="J748" t="n">
        <v>94.09999847412109</v>
      </c>
      <c r="CF748" t="n">
        <v>94.09999999999999</v>
      </c>
      <c r="CG748" t="n">
        <v>100</v>
      </c>
    </row>
    <row r="749">
      <c r="A749" t="n">
        <v>415</v>
      </c>
      <c r="B749" t="inlineStr">
        <is>
          <t>Cumplimiento Plan Anual Vicerrectoría del estudiante</t>
        </is>
      </c>
      <c r="C749" t="inlineStr">
        <is>
          <t>Planeación Estratégica</t>
        </is>
      </c>
      <c r="D749" t="inlineStr">
        <is>
          <t>Semestral</t>
        </is>
      </c>
      <c r="E749" t="inlineStr">
        <is>
          <t>Positivo</t>
        </is>
      </c>
      <c r="F749" s="105" t="n">
        <v>45199</v>
      </c>
      <c r="G749" t="inlineStr">
        <is>
          <t>415-2023-09-30</t>
        </is>
      </c>
      <c r="H749" t="inlineStr">
        <is>
          <t>Gerencia de tecnología e innovación digital</t>
        </is>
      </c>
      <c r="I749" t="n">
        <v>100</v>
      </c>
      <c r="J749" t="n">
        <v>75.09999847412109</v>
      </c>
      <c r="CF749" t="n">
        <v>68.33</v>
      </c>
      <c r="CG749" t="n">
        <v>90.98999999999999</v>
      </c>
    </row>
    <row r="750">
      <c r="A750" t="n">
        <v>415</v>
      </c>
      <c r="B750" t="inlineStr">
        <is>
          <t>Cumplimiento Plan Anual Vicerrectoría del estudiante</t>
        </is>
      </c>
      <c r="C750" t="inlineStr">
        <is>
          <t>Planeación Estratégica</t>
        </is>
      </c>
      <c r="D750" t="inlineStr">
        <is>
          <t>Semestral</t>
        </is>
      </c>
      <c r="E750" t="inlineStr">
        <is>
          <t>Positivo</t>
        </is>
      </c>
      <c r="F750" s="105" t="n">
        <v>45199</v>
      </c>
      <c r="G750" t="inlineStr">
        <is>
          <t>415-2023-09-30</t>
        </is>
      </c>
      <c r="H750" t="inlineStr">
        <is>
          <t>BI y analítica</t>
        </is>
      </c>
      <c r="I750" t="n">
        <v>100</v>
      </c>
      <c r="J750" t="n">
        <v>106.3600006103516</v>
      </c>
      <c r="CF750" t="n">
        <v>96.78</v>
      </c>
      <c r="CG750" t="n">
        <v>90.98999999999999</v>
      </c>
    </row>
    <row r="751">
      <c r="A751" t="n">
        <v>415</v>
      </c>
      <c r="B751" t="inlineStr">
        <is>
          <t>Cumplimiento Plan Anual Vicerrectoría del estudiante</t>
        </is>
      </c>
      <c r="C751" t="inlineStr">
        <is>
          <t>Planeación Estratégica</t>
        </is>
      </c>
      <c r="D751" t="inlineStr">
        <is>
          <t>Semestral</t>
        </is>
      </c>
      <c r="E751" t="inlineStr">
        <is>
          <t>Positivo</t>
        </is>
      </c>
      <c r="F751" s="105" t="n">
        <v>45199</v>
      </c>
      <c r="G751" t="inlineStr">
        <is>
          <t>415-2023-09-30</t>
        </is>
      </c>
      <c r="H751" t="inlineStr">
        <is>
          <t>Dirección nacional de registro y control</t>
        </is>
      </c>
      <c r="I751" t="n">
        <v>100</v>
      </c>
      <c r="J751" t="n">
        <v>117.0999984741211</v>
      </c>
      <c r="CF751" t="n">
        <v>98.89</v>
      </c>
      <c r="CG751" t="n">
        <v>84.45</v>
      </c>
    </row>
    <row r="752">
      <c r="A752" t="n">
        <v>415</v>
      </c>
      <c r="B752" t="inlineStr">
        <is>
          <t>Cumplimiento Plan Anual Vicerrectoría del estudiante</t>
        </is>
      </c>
      <c r="C752" t="inlineStr">
        <is>
          <t>Planeación Estratégica</t>
        </is>
      </c>
      <c r="D752" t="inlineStr">
        <is>
          <t>Semestral</t>
        </is>
      </c>
      <c r="E752" t="inlineStr">
        <is>
          <t>Positivo</t>
        </is>
      </c>
      <c r="F752" s="105" t="n">
        <v>45199</v>
      </c>
      <c r="G752" t="inlineStr">
        <is>
          <t>415-2023-09-30</t>
        </is>
      </c>
      <c r="H752" t="inlineStr">
        <is>
          <t>Dirección de Experiencia E Inclusion</t>
        </is>
      </c>
      <c r="I752" t="n">
        <v>100</v>
      </c>
      <c r="J752" t="n">
        <v>102.8099975585938</v>
      </c>
      <c r="CF752" t="n">
        <v>92.59999999999999</v>
      </c>
      <c r="CG752" t="n">
        <v>90.06999999999999</v>
      </c>
    </row>
    <row r="753">
      <c r="A753" t="n">
        <v>415</v>
      </c>
      <c r="B753" t="inlineStr">
        <is>
          <t>Cumplimiento Plan Anual Vicerrectoría del estudiante</t>
        </is>
      </c>
      <c r="C753" t="inlineStr">
        <is>
          <t>Planeación Estratégica</t>
        </is>
      </c>
      <c r="D753" t="inlineStr">
        <is>
          <t>Semestral</t>
        </is>
      </c>
      <c r="E753" t="inlineStr">
        <is>
          <t>Positivo</t>
        </is>
      </c>
      <c r="F753" s="105" t="n">
        <v>45199</v>
      </c>
      <c r="G753" t="inlineStr">
        <is>
          <t>415-2023-09-30</t>
        </is>
      </c>
      <c r="H753" t="inlineStr">
        <is>
          <t>Direccion bienestar universitario y huella grancolombiana</t>
        </is>
      </c>
      <c r="I753" t="n">
        <v>100</v>
      </c>
      <c r="J753" t="n">
        <v>82.94000244140625</v>
      </c>
      <c r="CF753" t="n">
        <v>77.78</v>
      </c>
      <c r="CG753" t="n">
        <v>93.78</v>
      </c>
    </row>
    <row r="754">
      <c r="A754" t="n">
        <v>416</v>
      </c>
      <c r="B754" t="inlineStr">
        <is>
          <t>Cumplimiento Plan Anual Vicerrectoría de crecimiento</t>
        </is>
      </c>
      <c r="C754" t="inlineStr">
        <is>
          <t>Planeación Estratégica</t>
        </is>
      </c>
      <c r="D754" t="inlineStr">
        <is>
          <t>Semestral</t>
        </is>
      </c>
      <c r="E754" t="inlineStr">
        <is>
          <t>Positivo</t>
        </is>
      </c>
      <c r="F754" s="105" t="n">
        <v>45199</v>
      </c>
      <c r="G754" t="inlineStr">
        <is>
          <t>416-2023-09-30</t>
        </is>
      </c>
      <c r="H754" t="inlineStr">
        <is>
          <t>Gerencia de matriculas</t>
        </is>
      </c>
      <c r="I754" t="n">
        <v>100</v>
      </c>
      <c r="J754" t="n">
        <v>87.04000091552734</v>
      </c>
      <c r="CH754" t="n">
        <v>83.56999999999999</v>
      </c>
      <c r="CI754" t="n">
        <v>96.01000000000001</v>
      </c>
    </row>
    <row r="755">
      <c r="A755" t="n">
        <v>416</v>
      </c>
      <c r="B755" t="inlineStr">
        <is>
          <t>Cumplimiento Plan Anual Vicerrectoría de crecimiento</t>
        </is>
      </c>
      <c r="C755" t="inlineStr">
        <is>
          <t>Planeación Estratégica</t>
        </is>
      </c>
      <c r="D755" t="inlineStr">
        <is>
          <t>Semestral</t>
        </is>
      </c>
      <c r="E755" t="inlineStr">
        <is>
          <t>Positivo</t>
        </is>
      </c>
      <c r="F755" s="105" t="n">
        <v>45199</v>
      </c>
      <c r="G755" t="inlineStr">
        <is>
          <t>416-2023-09-30</t>
        </is>
      </c>
      <c r="H755" t="inlineStr">
        <is>
          <t>Gerencia de mercadeo</t>
        </is>
      </c>
      <c r="I755" t="n">
        <v>100</v>
      </c>
      <c r="J755" t="n">
        <v>88.80000305175781</v>
      </c>
      <c r="CH755" t="n">
        <v>88.8</v>
      </c>
      <c r="CI755" t="n">
        <v>100</v>
      </c>
    </row>
    <row r="756">
      <c r="A756" t="n">
        <v>417</v>
      </c>
      <c r="B756" t="inlineStr">
        <is>
          <t>Cumplimiento Plan Anual Vicerrectoría Financiera</t>
        </is>
      </c>
      <c r="C756" t="inlineStr">
        <is>
          <t>Planeación Estratégica</t>
        </is>
      </c>
      <c r="D756" t="inlineStr">
        <is>
          <t>Semestral</t>
        </is>
      </c>
      <c r="E756" t="inlineStr">
        <is>
          <t>Positivo</t>
        </is>
      </c>
      <c r="F756" s="105" t="n">
        <v>45199</v>
      </c>
      <c r="G756" t="inlineStr">
        <is>
          <t>417-2023-09-30</t>
        </is>
      </c>
      <c r="H756" t="inlineStr">
        <is>
          <t>Dirección de contabilidad</t>
        </is>
      </c>
      <c r="I756" t="n">
        <v>100</v>
      </c>
      <c r="J756" t="n">
        <v>95.94000244140625</v>
      </c>
      <c r="CJ756" t="n">
        <v>85.5</v>
      </c>
      <c r="CK756" t="n">
        <v>89.12</v>
      </c>
    </row>
    <row r="757">
      <c r="A757" t="n">
        <v>417</v>
      </c>
      <c r="B757" t="inlineStr">
        <is>
          <t>Cumplimiento Plan Anual Vicerrectoría Financiera</t>
        </is>
      </c>
      <c r="C757" t="inlineStr">
        <is>
          <t>Planeación Estratégica</t>
        </is>
      </c>
      <c r="D757" t="inlineStr">
        <is>
          <t>Semestral</t>
        </is>
      </c>
      <c r="E757" t="inlineStr">
        <is>
          <t>Positivo</t>
        </is>
      </c>
      <c r="F757" s="105" t="n">
        <v>45199</v>
      </c>
      <c r="G757" t="inlineStr">
        <is>
          <t>417-2023-09-30</t>
        </is>
      </c>
      <c r="H757" t="inlineStr">
        <is>
          <t>Dirección de infraestructura</t>
        </is>
      </c>
      <c r="I757" t="n">
        <v>100</v>
      </c>
      <c r="J757" t="n">
        <v>79.09999847412109</v>
      </c>
      <c r="CJ757" t="n">
        <v>73.33</v>
      </c>
      <c r="CK757" t="n">
        <v>92.7</v>
      </c>
    </row>
    <row r="758">
      <c r="A758" t="n">
        <v>417</v>
      </c>
      <c r="B758" t="inlineStr">
        <is>
          <t>Cumplimiento Plan Anual Vicerrectoría Financiera</t>
        </is>
      </c>
      <c r="C758" t="inlineStr">
        <is>
          <t>Planeación Estratégica</t>
        </is>
      </c>
      <c r="D758" t="inlineStr">
        <is>
          <t>Semestral</t>
        </is>
      </c>
      <c r="E758" t="inlineStr">
        <is>
          <t>Positivo</t>
        </is>
      </c>
      <c r="F758" s="105" t="n">
        <v>45199</v>
      </c>
      <c r="G758" t="inlineStr">
        <is>
          <t>417-2023-09-30</t>
        </is>
      </c>
      <c r="H758" t="inlineStr">
        <is>
          <t>Dirección planeación financiera y tesorería</t>
        </is>
      </c>
      <c r="I758" t="n">
        <v>100</v>
      </c>
      <c r="J758" t="n">
        <v>103.5899963378906</v>
      </c>
      <c r="CJ758" t="n">
        <v>93.75</v>
      </c>
      <c r="CK758" t="n">
        <v>90.5</v>
      </c>
    </row>
    <row r="759">
      <c r="A759" t="n">
        <v>417</v>
      </c>
      <c r="B759" t="inlineStr">
        <is>
          <t>Cumplimiento Plan Anual Vicerrectoría Financiera</t>
        </is>
      </c>
      <c r="C759" t="inlineStr">
        <is>
          <t>Planeación Estratégica</t>
        </is>
      </c>
      <c r="D759" t="inlineStr">
        <is>
          <t>Semestral</t>
        </is>
      </c>
      <c r="E759" t="inlineStr">
        <is>
          <t>Positivo</t>
        </is>
      </c>
      <c r="F759" s="105" t="n">
        <v>45199</v>
      </c>
      <c r="G759" t="inlineStr">
        <is>
          <t>417-2023-09-30</t>
        </is>
      </c>
      <c r="H759" t="inlineStr">
        <is>
          <t>Dirección de relacionamiento de CSU</t>
        </is>
      </c>
      <c r="I759" t="n">
        <v>100</v>
      </c>
      <c r="J759" t="n">
        <v>102.3199996948242</v>
      </c>
      <c r="CJ759" t="n">
        <v>91.75</v>
      </c>
      <c r="CK759" t="n">
        <v>89.67</v>
      </c>
    </row>
    <row r="760">
      <c r="A760" t="n">
        <v>417</v>
      </c>
      <c r="B760" t="inlineStr">
        <is>
          <t>Cumplimiento Plan Anual Vicerrectoría Financiera</t>
        </is>
      </c>
      <c r="C760" t="inlineStr">
        <is>
          <t>Planeación Estratégica</t>
        </is>
      </c>
      <c r="D760" t="inlineStr">
        <is>
          <t>Semestral</t>
        </is>
      </c>
      <c r="E760" t="inlineStr">
        <is>
          <t>Positivo</t>
        </is>
      </c>
      <c r="F760" s="105" t="n">
        <v>45199</v>
      </c>
      <c r="G760" t="inlineStr">
        <is>
          <t>417-2023-09-30</t>
        </is>
      </c>
      <c r="H760" t="inlineStr">
        <is>
          <t>Dirección de servicios administrativos</t>
        </is>
      </c>
      <c r="I760" t="n">
        <v>100</v>
      </c>
      <c r="J760" t="n">
        <v>77.19999694824219</v>
      </c>
      <c r="CJ760" t="n">
        <v>61.16</v>
      </c>
      <c r="CK760" t="n">
        <v>79.22</v>
      </c>
    </row>
    <row r="761">
      <c r="A761" t="n">
        <v>417</v>
      </c>
      <c r="B761" t="inlineStr">
        <is>
          <t>Cumplimiento Plan Anual Vicerrectoría Financiera</t>
        </is>
      </c>
      <c r="C761" t="inlineStr">
        <is>
          <t>Planeación Estratégica</t>
        </is>
      </c>
      <c r="D761" t="inlineStr">
        <is>
          <t>Semestral</t>
        </is>
      </c>
      <c r="E761" t="inlineStr">
        <is>
          <t>Positivo</t>
        </is>
      </c>
      <c r="F761" s="105" t="n">
        <v>45199</v>
      </c>
      <c r="G761" t="inlineStr">
        <is>
          <t>417-2023-09-30</t>
        </is>
      </c>
      <c r="H761" t="inlineStr">
        <is>
          <t>Dirección de compras y abastecimiento</t>
        </is>
      </c>
      <c r="I761" t="n">
        <v>100</v>
      </c>
      <c r="J761" t="n">
        <v>104.3899993896484</v>
      </c>
      <c r="CJ761" t="n">
        <v>92.95</v>
      </c>
      <c r="CK761" t="n">
        <v>89.04000000000001</v>
      </c>
    </row>
    <row r="762">
      <c r="A762" t="n">
        <v>418</v>
      </c>
      <c r="B762" t="inlineStr">
        <is>
          <t>Cumplimiento Plan Anual Vicerrectoría Académica</t>
        </is>
      </c>
      <c r="C762" t="inlineStr">
        <is>
          <t>Planeación Estratégica</t>
        </is>
      </c>
      <c r="D762" t="inlineStr">
        <is>
          <t>Semestral</t>
        </is>
      </c>
      <c r="E762" t="inlineStr">
        <is>
          <t>Positivo</t>
        </is>
      </c>
      <c r="F762" s="105" t="n">
        <v>45199</v>
      </c>
      <c r="G762" t="inlineStr">
        <is>
          <t>418-2023-09-30</t>
        </is>
      </c>
      <c r="H762" t="inlineStr">
        <is>
          <t>Dirección aseguramiento de la calidad</t>
        </is>
      </c>
      <c r="I762" t="n">
        <v>100</v>
      </c>
      <c r="J762" t="n">
        <v>62.61000061035156</v>
      </c>
      <c r="CL762" t="n">
        <v>54.95</v>
      </c>
      <c r="CM762" t="n">
        <v>87.77</v>
      </c>
    </row>
    <row r="763">
      <c r="A763" t="n">
        <v>418</v>
      </c>
      <c r="B763" t="inlineStr">
        <is>
          <t>Cumplimiento Plan Anual Vicerrectoría Académica</t>
        </is>
      </c>
      <c r="C763" t="inlineStr">
        <is>
          <t>Planeación Estratégica</t>
        </is>
      </c>
      <c r="D763" t="inlineStr">
        <is>
          <t>Semestral</t>
        </is>
      </c>
      <c r="E763" t="inlineStr">
        <is>
          <t>Positivo</t>
        </is>
      </c>
      <c r="F763" s="105" t="n">
        <v>45199</v>
      </c>
      <c r="G763" t="inlineStr">
        <is>
          <t>418-2023-09-30</t>
        </is>
      </c>
      <c r="H763" t="inlineStr">
        <is>
          <t>Dirección investigación innovación y creación</t>
        </is>
      </c>
      <c r="I763" t="n">
        <v>100</v>
      </c>
      <c r="J763" t="n">
        <v>54.43999862670898</v>
      </c>
      <c r="CL763" t="n">
        <v>50.42</v>
      </c>
      <c r="CM763" t="n">
        <v>92.62</v>
      </c>
    </row>
    <row r="764">
      <c r="A764" t="n">
        <v>418</v>
      </c>
      <c r="B764" t="inlineStr">
        <is>
          <t>Cumplimiento Plan Anual Vicerrectoría Académica</t>
        </is>
      </c>
      <c r="C764" t="inlineStr">
        <is>
          <t>Planeación Estratégica</t>
        </is>
      </c>
      <c r="D764" t="inlineStr">
        <is>
          <t>Semestral</t>
        </is>
      </c>
      <c r="E764" t="inlineStr">
        <is>
          <t>Positivo</t>
        </is>
      </c>
      <c r="F764" s="105" t="n">
        <v>45199</v>
      </c>
      <c r="G764" t="inlineStr">
        <is>
          <t>418-2023-09-30</t>
        </is>
      </c>
      <c r="H764" t="inlineStr">
        <is>
          <t>Dirección relaciones nacionales e internacionales</t>
        </is>
      </c>
      <c r="I764" t="n">
        <v>100</v>
      </c>
      <c r="J764" t="n">
        <v>88.04000091552734</v>
      </c>
      <c r="CL764" t="n">
        <v>79.73</v>
      </c>
      <c r="CM764" t="n">
        <v>90.56</v>
      </c>
    </row>
    <row r="765">
      <c r="A765" t="n">
        <v>418</v>
      </c>
      <c r="B765" t="inlineStr">
        <is>
          <t>Cumplimiento Plan Anual Vicerrectoría Académica</t>
        </is>
      </c>
      <c r="C765" t="inlineStr">
        <is>
          <t>Planeación Estratégica</t>
        </is>
      </c>
      <c r="D765" t="inlineStr">
        <is>
          <t>Semestral</t>
        </is>
      </c>
      <c r="E765" t="inlineStr">
        <is>
          <t>Positivo</t>
        </is>
      </c>
      <c r="F765" s="105" t="n">
        <v>45199</v>
      </c>
      <c r="G765" t="inlineStr">
        <is>
          <t>418-2023-09-30</t>
        </is>
      </c>
      <c r="H765" t="inlineStr">
        <is>
          <t>Secretaria académica y de extensión</t>
        </is>
      </c>
      <c r="I765" t="n">
        <v>100</v>
      </c>
      <c r="J765" t="n">
        <v>103.6900024414062</v>
      </c>
      <c r="CL765" t="n">
        <v>96</v>
      </c>
      <c r="CM765" t="n">
        <v>92.58</v>
      </c>
    </row>
    <row r="766">
      <c r="A766" t="n">
        <v>418</v>
      </c>
      <c r="B766" t="inlineStr">
        <is>
          <t>Cumplimiento Plan Anual Vicerrectoría Académica</t>
        </is>
      </c>
      <c r="C766" t="inlineStr">
        <is>
          <t>Planeación Estratégica</t>
        </is>
      </c>
      <c r="D766" t="inlineStr">
        <is>
          <t>Semestral</t>
        </is>
      </c>
      <c r="E766" t="inlineStr">
        <is>
          <t>Positivo</t>
        </is>
      </c>
      <c r="F766" s="105" t="n">
        <v>45199</v>
      </c>
      <c r="G766" t="inlineStr">
        <is>
          <t>418-2023-09-30</t>
        </is>
      </c>
      <c r="H766" t="inlineStr">
        <is>
          <t>Dirección de docencia</t>
        </is>
      </c>
      <c r="I766" t="n">
        <v>100</v>
      </c>
      <c r="J766" t="n">
        <v>102.0999984741211</v>
      </c>
      <c r="CL766" t="n">
        <v>92.5</v>
      </c>
      <c r="CM766" t="n">
        <v>90.59999999999999</v>
      </c>
    </row>
    <row r="767">
      <c r="A767" t="n">
        <v>418</v>
      </c>
      <c r="B767" t="inlineStr">
        <is>
          <t>Cumplimiento Plan Anual Vicerrectoría Académica</t>
        </is>
      </c>
      <c r="C767" t="inlineStr">
        <is>
          <t>Planeación Estratégica</t>
        </is>
      </c>
      <c r="D767" t="inlineStr">
        <is>
          <t>Semestral</t>
        </is>
      </c>
      <c r="E767" t="inlineStr">
        <is>
          <t>Positivo</t>
        </is>
      </c>
      <c r="F767" s="105" t="n">
        <v>45199</v>
      </c>
      <c r="G767" t="inlineStr">
        <is>
          <t>418-2023-09-30</t>
        </is>
      </c>
      <c r="H767" t="inlineStr">
        <is>
          <t>Dirección de currículo presencial y virtual</t>
        </is>
      </c>
      <c r="I767" t="n">
        <v>100</v>
      </c>
      <c r="J767" t="n">
        <v>91.79000091552734</v>
      </c>
      <c r="CL767" t="n">
        <v>85.25</v>
      </c>
      <c r="CM767" t="n">
        <v>92.87</v>
      </c>
    </row>
    <row r="768">
      <c r="A768" t="n">
        <v>418</v>
      </c>
      <c r="B768" t="inlineStr">
        <is>
          <t>Cumplimiento Plan Anual Vicerrectoría Académica</t>
        </is>
      </c>
      <c r="C768" t="inlineStr">
        <is>
          <t>Planeación Estratégica</t>
        </is>
      </c>
      <c r="D768" t="inlineStr">
        <is>
          <t>Semestral</t>
        </is>
      </c>
      <c r="E768" t="inlineStr">
        <is>
          <t>Positivo</t>
        </is>
      </c>
      <c r="F768" s="105" t="n">
        <v>45199</v>
      </c>
      <c r="G768" t="inlineStr">
        <is>
          <t>418-2023-09-30</t>
        </is>
      </c>
      <c r="H768" t="inlineStr">
        <is>
          <t>Facultad ingeniería diseño e innovación</t>
        </is>
      </c>
      <c r="I768" t="n">
        <v>100</v>
      </c>
      <c r="J768" t="n">
        <v>94.63999938964844</v>
      </c>
      <c r="CL768" t="n">
        <v>94.31</v>
      </c>
      <c r="CM768" t="n">
        <v>99.65000000000001</v>
      </c>
    </row>
    <row r="769">
      <c r="A769" t="n">
        <v>418</v>
      </c>
      <c r="B769" t="inlineStr">
        <is>
          <t>Cumplimiento Plan Anual Vicerrectoría Académica</t>
        </is>
      </c>
      <c r="C769" t="inlineStr">
        <is>
          <t>Planeación Estratégica</t>
        </is>
      </c>
      <c r="D769" t="inlineStr">
        <is>
          <t>Semestral</t>
        </is>
      </c>
      <c r="E769" t="inlineStr">
        <is>
          <t>Positivo</t>
        </is>
      </c>
      <c r="F769" s="105" t="n">
        <v>45199</v>
      </c>
      <c r="G769" t="inlineStr">
        <is>
          <t>418-2023-09-30</t>
        </is>
      </c>
      <c r="H769" t="inlineStr">
        <is>
          <t>Facultad negocios gestión y sostenibilidad</t>
        </is>
      </c>
      <c r="I769" t="n">
        <v>100</v>
      </c>
      <c r="J769" t="n">
        <v>88.31999969482422</v>
      </c>
      <c r="CL769" t="n">
        <v>81.48</v>
      </c>
      <c r="CM769" t="n">
        <v>92.26000000000001</v>
      </c>
    </row>
    <row r="770">
      <c r="A770" t="n">
        <v>418</v>
      </c>
      <c r="B770" t="inlineStr">
        <is>
          <t>Cumplimiento Plan Anual Vicerrectoría Académica</t>
        </is>
      </c>
      <c r="C770" t="inlineStr">
        <is>
          <t>Planeación Estratégica</t>
        </is>
      </c>
      <c r="D770" t="inlineStr">
        <is>
          <t>Semestral</t>
        </is>
      </c>
      <c r="E770" t="inlineStr">
        <is>
          <t>Positivo</t>
        </is>
      </c>
      <c r="F770" s="105" t="n">
        <v>45199</v>
      </c>
      <c r="G770" t="inlineStr">
        <is>
          <t>418-2023-09-30</t>
        </is>
      </c>
      <c r="H770" t="inlineStr">
        <is>
          <t>Facultad sociedad cultura y creatividad</t>
        </is>
      </c>
      <c r="I770" t="n">
        <v>100</v>
      </c>
      <c r="J770" t="n">
        <v>84.87000274658203</v>
      </c>
      <c r="CL770" t="n">
        <v>83.83</v>
      </c>
      <c r="CM770" t="n">
        <v>98.78</v>
      </c>
    </row>
    <row r="771">
      <c r="A771" t="n">
        <v>420</v>
      </c>
      <c r="B771" t="inlineStr">
        <is>
          <t>Cumplimiento Plan Anual Gerencia de estrategia</t>
        </is>
      </c>
      <c r="C771" t="inlineStr">
        <is>
          <t>Planeación Estratégica</t>
        </is>
      </c>
      <c r="D771" t="inlineStr">
        <is>
          <t>Semestral</t>
        </is>
      </c>
      <c r="E771" t="inlineStr">
        <is>
          <t>Positivo</t>
        </is>
      </c>
      <c r="F771" s="105" t="n">
        <v>45199</v>
      </c>
      <c r="G771" t="inlineStr">
        <is>
          <t>420-2023-09-30</t>
        </is>
      </c>
      <c r="H771" t="inlineStr">
        <is>
          <t>SGC</t>
        </is>
      </c>
      <c r="I771" t="n">
        <v>100</v>
      </c>
      <c r="J771" t="n">
        <v>93.41000366210938</v>
      </c>
      <c r="CN771" t="n">
        <v>90.52</v>
      </c>
      <c r="CO771" t="n">
        <v>96.91</v>
      </c>
    </row>
    <row r="772">
      <c r="A772" t="n">
        <v>420</v>
      </c>
      <c r="B772" t="inlineStr">
        <is>
          <t>Cumplimiento Plan Anual Gerencia de estrategia</t>
        </is>
      </c>
      <c r="C772" t="inlineStr">
        <is>
          <t>Planeación Estratégica</t>
        </is>
      </c>
      <c r="D772" t="inlineStr">
        <is>
          <t>Semestral</t>
        </is>
      </c>
      <c r="E772" t="inlineStr">
        <is>
          <t>Positivo</t>
        </is>
      </c>
      <c r="F772" s="105" t="n">
        <v>45199</v>
      </c>
      <c r="G772" t="inlineStr">
        <is>
          <t>420-2023-09-30</t>
        </is>
      </c>
      <c r="H772" t="inlineStr">
        <is>
          <t>SGA</t>
        </is>
      </c>
      <c r="I772" t="n">
        <v>100</v>
      </c>
      <c r="J772" t="n">
        <v>88.26999664306641</v>
      </c>
      <c r="CN772" t="n">
        <v>79</v>
      </c>
      <c r="CO772" t="n">
        <v>89.5</v>
      </c>
    </row>
    <row r="773">
      <c r="A773" t="n">
        <v>420</v>
      </c>
      <c r="B773" t="inlineStr">
        <is>
          <t>Cumplimiento Plan Anual Gerencia de estrategia</t>
        </is>
      </c>
      <c r="C773" t="inlineStr">
        <is>
          <t>Planeación Estratégica</t>
        </is>
      </c>
      <c r="D773" t="inlineStr">
        <is>
          <t>Semestral</t>
        </is>
      </c>
      <c r="E773" t="inlineStr">
        <is>
          <t>Positivo</t>
        </is>
      </c>
      <c r="F773" s="105" t="n">
        <v>45199</v>
      </c>
      <c r="G773" t="inlineStr">
        <is>
          <t>420-2023-09-30</t>
        </is>
      </c>
      <c r="H773" t="inlineStr">
        <is>
          <t>Riesgos</t>
        </is>
      </c>
      <c r="I773" t="n">
        <v>100</v>
      </c>
      <c r="J773" t="n">
        <v>99.83000183105469</v>
      </c>
      <c r="CN773" t="n">
        <v>92</v>
      </c>
      <c r="CO773" t="n">
        <v>92.16</v>
      </c>
    </row>
    <row r="774">
      <c r="A774" t="n">
        <v>420</v>
      </c>
      <c r="B774" t="inlineStr">
        <is>
          <t>Cumplimiento Plan Anual Gerencia de estrategia</t>
        </is>
      </c>
      <c r="C774" t="inlineStr">
        <is>
          <t>Planeación Estratégica</t>
        </is>
      </c>
      <c r="D774" t="inlineStr">
        <is>
          <t>Semestral</t>
        </is>
      </c>
      <c r="E774" t="inlineStr">
        <is>
          <t>Positivo</t>
        </is>
      </c>
      <c r="F774" s="105" t="n">
        <v>45199</v>
      </c>
      <c r="G774" t="inlineStr">
        <is>
          <t>420-2023-09-30</t>
        </is>
      </c>
      <c r="H774" t="inlineStr">
        <is>
          <t>Auditoría</t>
        </is>
      </c>
      <c r="I774" t="n">
        <v>100</v>
      </c>
      <c r="J774" t="n">
        <v>100</v>
      </c>
      <c r="CN774" t="n">
        <v>100</v>
      </c>
      <c r="CO774" t="n">
        <v>100</v>
      </c>
    </row>
    <row r="775">
      <c r="A775" t="n">
        <v>420</v>
      </c>
      <c r="B775" t="inlineStr">
        <is>
          <t>Cumplimiento Plan Anual Gerencia de estrategia</t>
        </is>
      </c>
      <c r="C775" t="inlineStr">
        <is>
          <t>Planeación Estratégica</t>
        </is>
      </c>
      <c r="D775" t="inlineStr">
        <is>
          <t>Semestral</t>
        </is>
      </c>
      <c r="E775" t="inlineStr">
        <is>
          <t>Positivo</t>
        </is>
      </c>
      <c r="F775" s="105" t="n">
        <v>45199</v>
      </c>
      <c r="G775" t="inlineStr">
        <is>
          <t>420-2023-09-30</t>
        </is>
      </c>
      <c r="H775" t="inlineStr">
        <is>
          <t>Planeación estratégica</t>
        </is>
      </c>
      <c r="I775" t="n">
        <v>100</v>
      </c>
      <c r="J775" t="n">
        <v>91.43000030517578</v>
      </c>
      <c r="CN775" t="n">
        <v>85.76000000000001</v>
      </c>
      <c r="CO775" t="n">
        <v>93.8</v>
      </c>
    </row>
    <row r="776">
      <c r="A776" t="n">
        <v>432</v>
      </c>
      <c r="B776" t="inlineStr">
        <is>
          <t>Intervención a la gestión del riesgo de los colaboradores</t>
        </is>
      </c>
      <c r="C776" t="inlineStr">
        <is>
          <t>GESTIÓN DE SEGURIDAD Y SALUD EN EL TRABAJO</t>
        </is>
      </c>
      <c r="D776" t="inlineStr">
        <is>
          <t>Semestral</t>
        </is>
      </c>
      <c r="E776" t="inlineStr">
        <is>
          <t>Positivo</t>
        </is>
      </c>
      <c r="F776" s="105" t="n">
        <v>45199</v>
      </c>
      <c r="G776" t="inlineStr">
        <is>
          <t>432-2023-09-30</t>
        </is>
      </c>
      <c r="H776" t="inlineStr">
        <is>
          <t>Plan estratégico de seguridad vial</t>
        </is>
      </c>
      <c r="I776" t="n">
        <v>90</v>
      </c>
      <c r="J776" t="n">
        <v>100</v>
      </c>
      <c r="CS776" t="n">
        <v>4</v>
      </c>
      <c r="CT776" t="n">
        <v>4</v>
      </c>
    </row>
    <row r="777">
      <c r="A777" t="n">
        <v>432</v>
      </c>
      <c r="B777" t="inlineStr">
        <is>
          <t>Intervención a la gestión del riesgo de los colaboradores</t>
        </is>
      </c>
      <c r="C777" t="inlineStr">
        <is>
          <t>GESTIÓN DE SEGURIDAD Y SALUD EN EL TRABAJO</t>
        </is>
      </c>
      <c r="D777" t="inlineStr">
        <is>
          <t>Semestral</t>
        </is>
      </c>
      <c r="E777" t="inlineStr">
        <is>
          <t>Positivo</t>
        </is>
      </c>
      <c r="F777" s="105" t="n">
        <v>45199</v>
      </c>
      <c r="G777" t="inlineStr">
        <is>
          <t>432-2023-09-30</t>
        </is>
      </c>
      <c r="H777" t="inlineStr">
        <is>
          <t>Plan de gestión de riesgo psicosocial</t>
        </is>
      </c>
      <c r="I777" t="n">
        <v>90</v>
      </c>
      <c r="J777" t="n">
        <v>100</v>
      </c>
      <c r="CS777" t="n">
        <v>4</v>
      </c>
      <c r="CT777" t="n">
        <v>4</v>
      </c>
    </row>
    <row r="778">
      <c r="A778" t="n">
        <v>432</v>
      </c>
      <c r="B778" t="inlineStr">
        <is>
          <t>Intervención a la gestión del riesgo de los colaboradores</t>
        </is>
      </c>
      <c r="C778" t="inlineStr">
        <is>
          <t>GESTIÓN DE SEGURIDAD Y SALUD EN EL TRABAJO</t>
        </is>
      </c>
      <c r="D778" t="inlineStr">
        <is>
          <t>Semestral</t>
        </is>
      </c>
      <c r="E778" t="inlineStr">
        <is>
          <t>Positivo</t>
        </is>
      </c>
      <c r="F778" s="105" t="n">
        <v>45199</v>
      </c>
      <c r="G778" t="inlineStr">
        <is>
          <t>432-2023-09-30</t>
        </is>
      </c>
      <c r="H778" t="inlineStr">
        <is>
          <t>Plan de gestión osteomuscular</t>
        </is>
      </c>
      <c r="I778" t="n">
        <v>90</v>
      </c>
      <c r="J778" t="n">
        <v>100</v>
      </c>
      <c r="CS778" t="n">
        <v>3</v>
      </c>
      <c r="CT778" t="n">
        <v>3</v>
      </c>
    </row>
    <row r="779">
      <c r="A779" t="n">
        <v>432</v>
      </c>
      <c r="B779" t="inlineStr">
        <is>
          <t>Intervención a la gestión del riesgo de los colaboradores</t>
        </is>
      </c>
      <c r="C779" t="inlineStr">
        <is>
          <t>GESTIÓN DE SEGURIDAD Y SALUD EN EL TRABAJO</t>
        </is>
      </c>
      <c r="D779" t="inlineStr">
        <is>
          <t>Semestral</t>
        </is>
      </c>
      <c r="E779" t="inlineStr">
        <is>
          <t>Positivo</t>
        </is>
      </c>
      <c r="F779" s="105" t="n">
        <v>45199</v>
      </c>
      <c r="G779" t="inlineStr">
        <is>
          <t>432-2023-09-30</t>
        </is>
      </c>
      <c r="H779" t="inlineStr">
        <is>
          <t>Plan de gestión TAR</t>
        </is>
      </c>
      <c r="I779" t="n">
        <v>90</v>
      </c>
      <c r="J779" t="n">
        <v>0</v>
      </c>
      <c r="CS779" t="n">
        <v>0</v>
      </c>
      <c r="CT779" t="n">
        <v>0</v>
      </c>
    </row>
    <row r="780">
      <c r="A780" t="n">
        <v>432</v>
      </c>
      <c r="B780" t="inlineStr">
        <is>
          <t>Intervención a la gestión del riesgo de los colaboradores</t>
        </is>
      </c>
      <c r="C780" t="inlineStr">
        <is>
          <t>GESTIÓN DE SEGURIDAD Y SALUD EN EL TRABAJO</t>
        </is>
      </c>
      <c r="D780" t="inlineStr">
        <is>
          <t>Semestral</t>
        </is>
      </c>
      <c r="E780" t="inlineStr">
        <is>
          <t>Positivo</t>
        </is>
      </c>
      <c r="F780" s="105" t="n">
        <v>45199</v>
      </c>
      <c r="G780" t="inlineStr">
        <is>
          <t>432-2023-09-30</t>
        </is>
      </c>
      <c r="H780" t="inlineStr">
        <is>
          <t>Plan de gestión de riesgo químico</t>
        </is>
      </c>
      <c r="I780" t="n">
        <v>90</v>
      </c>
      <c r="J780" t="n">
        <v>100</v>
      </c>
      <c r="CS780" t="n">
        <v>2</v>
      </c>
      <c r="CT780" t="n">
        <v>2</v>
      </c>
    </row>
    <row r="781">
      <c r="A781" t="n">
        <v>432</v>
      </c>
      <c r="B781" t="inlineStr">
        <is>
          <t>Intervención a la gestión del riesgo de los colaboradores</t>
        </is>
      </c>
      <c r="C781" t="inlineStr">
        <is>
          <t>GESTIÓN DE SEGURIDAD Y SALUD EN EL TRABAJO</t>
        </is>
      </c>
      <c r="D781" t="inlineStr">
        <is>
          <t>Semestral</t>
        </is>
      </c>
      <c r="E781" t="inlineStr">
        <is>
          <t>Positivo</t>
        </is>
      </c>
      <c r="F781" s="105" t="n">
        <v>45199</v>
      </c>
      <c r="G781" t="inlineStr">
        <is>
          <t>432-2023-09-30</t>
        </is>
      </c>
      <c r="H781" t="inlineStr">
        <is>
          <t>Plan de de gestión conservación de la voz</t>
        </is>
      </c>
      <c r="I781" t="n">
        <v>90</v>
      </c>
      <c r="J781" t="n">
        <v>100</v>
      </c>
      <c r="CS781" t="n">
        <v>2</v>
      </c>
      <c r="CT781" t="n">
        <v>2</v>
      </c>
    </row>
    <row r="782">
      <c r="A782" t="n">
        <v>432</v>
      </c>
      <c r="B782" t="inlineStr">
        <is>
          <t>Intervención a la gestión del riesgo de los colaboradores</t>
        </is>
      </c>
      <c r="C782" t="inlineStr">
        <is>
          <t>GESTIÓN DE SEGURIDAD Y SALUD EN EL TRABAJO</t>
        </is>
      </c>
      <c r="D782" t="inlineStr">
        <is>
          <t>Semestral</t>
        </is>
      </c>
      <c r="E782" t="inlineStr">
        <is>
          <t>Positivo</t>
        </is>
      </c>
      <c r="F782" s="105" t="n">
        <v>45199</v>
      </c>
      <c r="G782" t="inlineStr">
        <is>
          <t>432-2023-09-30</t>
        </is>
      </c>
      <c r="H782" t="inlineStr">
        <is>
          <t>Plan de gestión riesgo biológico</t>
        </is>
      </c>
      <c r="I782" t="n">
        <v>90</v>
      </c>
      <c r="J782" t="n">
        <v>100</v>
      </c>
      <c r="CS782" t="n">
        <v>1</v>
      </c>
      <c r="CT782" t="n">
        <v>1</v>
      </c>
    </row>
    <row r="783">
      <c r="A783" t="n">
        <v>432</v>
      </c>
      <c r="B783" t="inlineStr">
        <is>
          <t>Intervención a la gestión del riesgo de los colaboradores</t>
        </is>
      </c>
      <c r="C783" t="inlineStr">
        <is>
          <t>GESTIÓN DE SEGURIDAD Y SALUD EN EL TRABAJO</t>
        </is>
      </c>
      <c r="D783" t="inlineStr">
        <is>
          <t>Semestral</t>
        </is>
      </c>
      <c r="E783" t="inlineStr">
        <is>
          <t>Positivo</t>
        </is>
      </c>
      <c r="F783" s="105" t="n">
        <v>45199</v>
      </c>
      <c r="G783" t="inlineStr">
        <is>
          <t>432-2023-09-30</t>
        </is>
      </c>
      <c r="H783" t="inlineStr">
        <is>
          <t>Plan de gestión Teletrabajadores</t>
        </is>
      </c>
      <c r="I783" t="n">
        <v>90</v>
      </c>
      <c r="J783" t="n">
        <v>100</v>
      </c>
      <c r="CS783" t="n">
        <v>1</v>
      </c>
      <c r="CT783" t="n">
        <v>1</v>
      </c>
    </row>
    <row r="784">
      <c r="A784" t="n">
        <v>432</v>
      </c>
      <c r="B784" t="inlineStr">
        <is>
          <t>Intervención a la gestión del riesgo de los colaboradores</t>
        </is>
      </c>
      <c r="C784" t="inlineStr">
        <is>
          <t>GESTIÓN DE SEGURIDAD Y SALUD EN EL TRABAJO</t>
        </is>
      </c>
      <c r="D784" t="inlineStr">
        <is>
          <t>Semestral</t>
        </is>
      </c>
      <c r="E784" t="inlineStr">
        <is>
          <t>Positivo</t>
        </is>
      </c>
      <c r="F784" s="105" t="n">
        <v>45199</v>
      </c>
      <c r="G784" t="inlineStr">
        <is>
          <t>432-2023-09-30</t>
        </is>
      </c>
      <c r="H784" t="inlineStr">
        <is>
          <t>Plan de gestión inspecciones de seguridad</t>
        </is>
      </c>
      <c r="I784" t="n">
        <v>90</v>
      </c>
      <c r="J784" t="n">
        <v>100</v>
      </c>
      <c r="CS784" t="n">
        <v>3</v>
      </c>
      <c r="CT784" t="n">
        <v>3</v>
      </c>
    </row>
    <row r="785">
      <c r="A785" t="n">
        <v>208</v>
      </c>
      <c r="B785" t="inlineStr">
        <is>
          <t>Consumo de Agua m3 Mensual</t>
        </is>
      </c>
      <c r="C785" t="inlineStr">
        <is>
          <t>GESTIÓN AMBIENTAL</t>
        </is>
      </c>
      <c r="D785" t="inlineStr">
        <is>
          <t>Mensual</t>
        </is>
      </c>
      <c r="E785" t="inlineStr">
        <is>
          <t>Negativo</t>
        </is>
      </c>
      <c r="F785" s="105" t="n">
        <v>45230</v>
      </c>
      <c r="G785" t="inlineStr">
        <is>
          <t>208-2023-10-31</t>
        </is>
      </c>
      <c r="H785" t="inlineStr">
        <is>
          <t>Campus Bogotá</t>
        </is>
      </c>
      <c r="I785" t="n">
        <v>1</v>
      </c>
      <c r="J785" t="n">
        <v>787</v>
      </c>
      <c r="K785" t="n">
        <v>787</v>
      </c>
    </row>
    <row r="786">
      <c r="A786" t="n">
        <v>208</v>
      </c>
      <c r="B786" t="inlineStr">
        <is>
          <t>Consumo de Agua m3 Mensual</t>
        </is>
      </c>
      <c r="C786" t="inlineStr">
        <is>
          <t>GESTIÓN AMBIENTAL</t>
        </is>
      </c>
      <c r="D786" t="inlineStr">
        <is>
          <t>Mensual</t>
        </is>
      </c>
      <c r="E786" t="inlineStr">
        <is>
          <t>Negativo</t>
        </is>
      </c>
      <c r="F786" s="105" t="n">
        <v>45230</v>
      </c>
      <c r="G786" t="inlineStr">
        <is>
          <t>208-2023-10-31</t>
        </is>
      </c>
      <c r="H786" t="inlineStr">
        <is>
          <t>City Campus</t>
        </is>
      </c>
      <c r="I786" t="n">
        <v>1</v>
      </c>
      <c r="J786" t="n">
        <v>364.5</v>
      </c>
      <c r="K786" t="n">
        <v>364.5</v>
      </c>
    </row>
    <row r="787">
      <c r="A787" t="n">
        <v>208</v>
      </c>
      <c r="B787" t="inlineStr">
        <is>
          <t>Consumo de Agua m3 Mensual</t>
        </is>
      </c>
      <c r="C787" t="inlineStr">
        <is>
          <t>GESTIÓN AMBIENTAL</t>
        </is>
      </c>
      <c r="D787" t="inlineStr">
        <is>
          <t>Mensual</t>
        </is>
      </c>
      <c r="E787" t="inlineStr">
        <is>
          <t>Negativo</t>
        </is>
      </c>
      <c r="F787" s="105" t="n">
        <v>45230</v>
      </c>
      <c r="G787" t="inlineStr">
        <is>
          <t>208-2023-10-31</t>
        </is>
      </c>
      <c r="H787" t="inlineStr">
        <is>
          <t>Sede Posgrado-Calle 85</t>
        </is>
      </c>
      <c r="I787" t="n">
        <v>1</v>
      </c>
      <c r="J787" t="n">
        <v>0</v>
      </c>
      <c r="K787" t="n">
        <v>0</v>
      </c>
    </row>
    <row r="788">
      <c r="A788" t="n">
        <v>208</v>
      </c>
      <c r="B788" t="inlineStr">
        <is>
          <t>Consumo de Agua m3 Mensual</t>
        </is>
      </c>
      <c r="C788" t="inlineStr">
        <is>
          <t>GESTIÓN AMBIENTAL</t>
        </is>
      </c>
      <c r="D788" t="inlineStr">
        <is>
          <t>Mensual</t>
        </is>
      </c>
      <c r="E788" t="inlineStr">
        <is>
          <t>Negativo</t>
        </is>
      </c>
      <c r="F788" s="105" t="n">
        <v>45230</v>
      </c>
      <c r="G788" t="inlineStr">
        <is>
          <t>208-2023-10-31</t>
        </is>
      </c>
      <c r="H788" t="inlineStr">
        <is>
          <t>Campus-Medellín</t>
        </is>
      </c>
      <c r="I788" t="n">
        <v>1</v>
      </c>
      <c r="J788" t="n">
        <v>396</v>
      </c>
      <c r="K788" t="n">
        <v>396</v>
      </c>
    </row>
    <row r="789">
      <c r="A789" t="n">
        <v>208</v>
      </c>
      <c r="B789" t="inlineStr">
        <is>
          <t>Consumo de Agua m3 Mensual</t>
        </is>
      </c>
      <c r="C789" t="inlineStr">
        <is>
          <t>GESTIÓN AMBIENTAL</t>
        </is>
      </c>
      <c r="D789" t="inlineStr">
        <is>
          <t>Mensual</t>
        </is>
      </c>
      <c r="E789" t="inlineStr">
        <is>
          <t>Negativo</t>
        </is>
      </c>
      <c r="F789" s="105" t="n">
        <v>45230</v>
      </c>
      <c r="G789" t="inlineStr">
        <is>
          <t>208-2023-10-31</t>
        </is>
      </c>
      <c r="H789" t="inlineStr">
        <is>
          <t>Sede Bienestar - Medellín</t>
        </is>
      </c>
      <c r="I789" t="n">
        <v>0</v>
      </c>
      <c r="J789" t="n">
        <v>0</v>
      </c>
      <c r="K789" t="n">
        <v>0</v>
      </c>
    </row>
    <row r="790">
      <c r="A790" t="n">
        <v>208</v>
      </c>
      <c r="B790" t="inlineStr">
        <is>
          <t>Consumo de Agua m3 Mensual</t>
        </is>
      </c>
      <c r="C790" t="inlineStr">
        <is>
          <t>GESTIÓN AMBIENTAL</t>
        </is>
      </c>
      <c r="D790" t="inlineStr">
        <is>
          <t>Mensual</t>
        </is>
      </c>
      <c r="E790" t="inlineStr">
        <is>
          <t>Negativo</t>
        </is>
      </c>
      <c r="F790" s="105" t="n">
        <v>45230</v>
      </c>
      <c r="G790" t="inlineStr">
        <is>
          <t>208-2023-10-31</t>
        </is>
      </c>
      <c r="H790" t="inlineStr">
        <is>
          <t>Consultorio Psicología - Medellin</t>
        </is>
      </c>
      <c r="I790" t="n">
        <v>1</v>
      </c>
      <c r="J790" t="n">
        <v>28.39999961853027</v>
      </c>
      <c r="K790" t="n">
        <v>28.4</v>
      </c>
    </row>
    <row r="791">
      <c r="A791" t="n">
        <v>214</v>
      </c>
      <c r="B791" t="inlineStr">
        <is>
          <t>Generación de Residuos Sólidos Mensual</t>
        </is>
      </c>
      <c r="C791" t="inlineStr">
        <is>
          <t>GESTIÓN AMBIENTAL</t>
        </is>
      </c>
      <c r="D791" t="inlineStr">
        <is>
          <t>Mensual</t>
        </is>
      </c>
      <c r="E791" t="inlineStr">
        <is>
          <t>Negativo</t>
        </is>
      </c>
      <c r="F791" s="105" t="n">
        <v>45230</v>
      </c>
      <c r="G791" t="inlineStr">
        <is>
          <t>214-2023-10-31</t>
        </is>
      </c>
      <c r="H791" t="inlineStr">
        <is>
          <t>Campus Bogotá</t>
        </is>
      </c>
      <c r="I791" t="n">
        <v>7500</v>
      </c>
      <c r="J791" t="n">
        <v>4651</v>
      </c>
      <c r="L791" t="n">
        <v>893</v>
      </c>
      <c r="M791" t="n">
        <v>3758</v>
      </c>
    </row>
    <row r="792">
      <c r="A792" t="n">
        <v>214</v>
      </c>
      <c r="B792" t="inlineStr">
        <is>
          <t>Generación de Residuos Sólidos Mensual</t>
        </is>
      </c>
      <c r="C792" t="inlineStr">
        <is>
          <t>GESTIÓN AMBIENTAL</t>
        </is>
      </c>
      <c r="D792" t="inlineStr">
        <is>
          <t>Mensual</t>
        </is>
      </c>
      <c r="E792" t="inlineStr">
        <is>
          <t>Negativo</t>
        </is>
      </c>
      <c r="F792" s="105" t="n">
        <v>45230</v>
      </c>
      <c r="G792" t="inlineStr">
        <is>
          <t>214-2023-10-31</t>
        </is>
      </c>
      <c r="H792" t="inlineStr">
        <is>
          <t>City Campus</t>
        </is>
      </c>
      <c r="I792" t="n">
        <v>7500</v>
      </c>
      <c r="J792" t="n">
        <v>927.1400146484375</v>
      </c>
      <c r="L792" t="n">
        <v>0</v>
      </c>
      <c r="M792" t="n">
        <v>927.14</v>
      </c>
    </row>
    <row r="793">
      <c r="A793" t="n">
        <v>214</v>
      </c>
      <c r="B793" t="inlineStr">
        <is>
          <t>Generación de Residuos Sólidos Mensual</t>
        </is>
      </c>
      <c r="C793" t="inlineStr">
        <is>
          <t>GESTIÓN AMBIENTAL</t>
        </is>
      </c>
      <c r="D793" t="inlineStr">
        <is>
          <t>Mensual</t>
        </is>
      </c>
      <c r="E793" t="inlineStr">
        <is>
          <t>Negativo</t>
        </is>
      </c>
      <c r="F793" s="105" t="n">
        <v>45230</v>
      </c>
      <c r="G793" t="inlineStr">
        <is>
          <t>214-2023-10-31</t>
        </is>
      </c>
      <c r="H793" t="inlineStr">
        <is>
          <t>Sede Posgrado-Calle 85</t>
        </is>
      </c>
      <c r="I793" t="n">
        <v>7500</v>
      </c>
      <c r="J793" t="n">
        <v>0</v>
      </c>
      <c r="L793" t="n">
        <v>0</v>
      </c>
      <c r="M793" t="n">
        <v>0</v>
      </c>
    </row>
    <row r="794">
      <c r="A794" t="n">
        <v>214</v>
      </c>
      <c r="B794" t="inlineStr">
        <is>
          <t>Generación de Residuos Sólidos Mensual</t>
        </is>
      </c>
      <c r="C794" t="inlineStr">
        <is>
          <t>GESTIÓN AMBIENTAL</t>
        </is>
      </c>
      <c r="D794" t="inlineStr">
        <is>
          <t>Mensual</t>
        </is>
      </c>
      <c r="E794" t="inlineStr">
        <is>
          <t>Negativo</t>
        </is>
      </c>
      <c r="F794" s="105" t="n">
        <v>45230</v>
      </c>
      <c r="G794" t="inlineStr">
        <is>
          <t>214-2023-10-31</t>
        </is>
      </c>
      <c r="H794" t="inlineStr">
        <is>
          <t>Campus-Medellín</t>
        </is>
      </c>
      <c r="I794" t="n">
        <v>7500</v>
      </c>
      <c r="J794" t="n">
        <v>587.0999755859375</v>
      </c>
      <c r="L794" t="n">
        <v>111.3</v>
      </c>
      <c r="M794" t="n">
        <v>475.8</v>
      </c>
    </row>
    <row r="795">
      <c r="A795" t="n">
        <v>214</v>
      </c>
      <c r="B795" t="inlineStr">
        <is>
          <t>Generación de Residuos Sólidos Mensual</t>
        </is>
      </c>
      <c r="C795" t="inlineStr">
        <is>
          <t>GESTIÓN AMBIENTAL</t>
        </is>
      </c>
      <c r="D795" t="inlineStr">
        <is>
          <t>Mensual</t>
        </is>
      </c>
      <c r="E795" t="inlineStr">
        <is>
          <t>Negativo</t>
        </is>
      </c>
      <c r="F795" s="105" t="n">
        <v>45230</v>
      </c>
      <c r="G795" t="inlineStr">
        <is>
          <t>214-2023-10-31</t>
        </is>
      </c>
      <c r="H795" t="inlineStr">
        <is>
          <t>Sede Bienestar - Medellín</t>
        </is>
      </c>
      <c r="I795" t="n">
        <v>1</v>
      </c>
      <c r="J795" t="n">
        <v>0</v>
      </c>
      <c r="L795" t="n">
        <v>0</v>
      </c>
      <c r="M795" t="n">
        <v>0</v>
      </c>
    </row>
    <row r="796">
      <c r="A796" t="n">
        <v>214</v>
      </c>
      <c r="B796" t="inlineStr">
        <is>
          <t>Generación de Residuos Sólidos Mensual</t>
        </is>
      </c>
      <c r="C796" t="inlineStr">
        <is>
          <t>GESTIÓN AMBIENTAL</t>
        </is>
      </c>
      <c r="D796" t="inlineStr">
        <is>
          <t>Mensual</t>
        </is>
      </c>
      <c r="E796" t="inlineStr">
        <is>
          <t>Negativo</t>
        </is>
      </c>
      <c r="F796" s="105" t="n">
        <v>45230</v>
      </c>
      <c r="G796" t="inlineStr">
        <is>
          <t>214-2023-10-31</t>
        </is>
      </c>
      <c r="H796" t="inlineStr">
        <is>
          <t>Consultorio Psicología - Medellin</t>
        </is>
      </c>
      <c r="I796" t="n">
        <v>1</v>
      </c>
      <c r="J796" t="n">
        <v>0</v>
      </c>
      <c r="L796" t="n">
        <v>0</v>
      </c>
      <c r="M796" t="n">
        <v>0</v>
      </c>
    </row>
    <row r="797">
      <c r="A797" t="n">
        <v>217</v>
      </c>
      <c r="B797" t="inlineStr">
        <is>
          <t>Aprovechamiento de Residuos</t>
        </is>
      </c>
      <c r="C797" t="inlineStr">
        <is>
          <t>GESTIÓN AMBIENTAL</t>
        </is>
      </c>
      <c r="D797" t="inlineStr">
        <is>
          <t>Mensual</t>
        </is>
      </c>
      <c r="E797" t="inlineStr">
        <is>
          <t>Positivo</t>
        </is>
      </c>
      <c r="F797" s="105" t="n">
        <v>45230</v>
      </c>
      <c r="G797" t="inlineStr">
        <is>
          <t>217-2023-10-31</t>
        </is>
      </c>
      <c r="H797" t="inlineStr">
        <is>
          <t>Campus Bogotá</t>
        </is>
      </c>
      <c r="I797" t="n">
        <v>20</v>
      </c>
      <c r="J797" t="n">
        <v>19.20000076293945</v>
      </c>
      <c r="L797" t="n">
        <v>893</v>
      </c>
      <c r="M797" t="n">
        <v>3758</v>
      </c>
      <c r="AS797" t="n">
        <v>893</v>
      </c>
    </row>
    <row r="798">
      <c r="A798" t="n">
        <v>217</v>
      </c>
      <c r="B798" t="inlineStr">
        <is>
          <t>Aprovechamiento de Residuos</t>
        </is>
      </c>
      <c r="C798" t="inlineStr">
        <is>
          <t>GESTIÓN AMBIENTAL</t>
        </is>
      </c>
      <c r="D798" t="inlineStr">
        <is>
          <t>Mensual</t>
        </is>
      </c>
      <c r="E798" t="inlineStr">
        <is>
          <t>Positivo</t>
        </is>
      </c>
      <c r="F798" s="105" t="n">
        <v>45230</v>
      </c>
      <c r="G798" t="inlineStr">
        <is>
          <t>217-2023-10-31</t>
        </is>
      </c>
      <c r="H798" t="inlineStr">
        <is>
          <t>City Campus</t>
        </is>
      </c>
      <c r="I798" t="n">
        <v>20</v>
      </c>
      <c r="J798" t="n">
        <v>0</v>
      </c>
      <c r="L798" t="n">
        <v>0</v>
      </c>
      <c r="M798" t="n">
        <v>927.14</v>
      </c>
      <c r="AS798" t="n">
        <v>0</v>
      </c>
    </row>
    <row r="799">
      <c r="A799" t="n">
        <v>217</v>
      </c>
      <c r="B799" t="inlineStr">
        <is>
          <t>Aprovechamiento de Residuos</t>
        </is>
      </c>
      <c r="C799" t="inlineStr">
        <is>
          <t>GESTIÓN AMBIENTAL</t>
        </is>
      </c>
      <c r="D799" t="inlineStr">
        <is>
          <t>Mensual</t>
        </is>
      </c>
      <c r="E799" t="inlineStr">
        <is>
          <t>Positivo</t>
        </is>
      </c>
      <c r="F799" s="105" t="n">
        <v>45230</v>
      </c>
      <c r="G799" t="inlineStr">
        <is>
          <t>217-2023-10-31</t>
        </is>
      </c>
      <c r="H799" t="inlineStr">
        <is>
          <t>Sede Posgrado-Calle 85</t>
        </is>
      </c>
      <c r="I799" t="n">
        <v>20</v>
      </c>
      <c r="J799" t="n">
        <v>0</v>
      </c>
      <c r="L799" t="n">
        <v>0</v>
      </c>
      <c r="M799" t="n">
        <v>0</v>
      </c>
      <c r="AS799" t="n">
        <v>0</v>
      </c>
    </row>
    <row r="800">
      <c r="A800" t="n">
        <v>217</v>
      </c>
      <c r="B800" t="inlineStr">
        <is>
          <t>Aprovechamiento de Residuos</t>
        </is>
      </c>
      <c r="C800" t="inlineStr">
        <is>
          <t>GESTIÓN AMBIENTAL</t>
        </is>
      </c>
      <c r="D800" t="inlineStr">
        <is>
          <t>Mensual</t>
        </is>
      </c>
      <c r="E800" t="inlineStr">
        <is>
          <t>Positivo</t>
        </is>
      </c>
      <c r="F800" s="105" t="n">
        <v>45230</v>
      </c>
      <c r="G800" t="inlineStr">
        <is>
          <t>217-2023-10-31</t>
        </is>
      </c>
      <c r="H800" t="inlineStr">
        <is>
          <t>Campus-Medellín</t>
        </is>
      </c>
      <c r="I800" t="n">
        <v>20</v>
      </c>
      <c r="J800" t="n">
        <v>18.95999908447266</v>
      </c>
      <c r="L800" t="n">
        <v>111.3</v>
      </c>
      <c r="M800" t="n">
        <v>475.8</v>
      </c>
      <c r="AS800" t="n">
        <v>111.3</v>
      </c>
    </row>
    <row r="801">
      <c r="A801" t="n">
        <v>217</v>
      </c>
      <c r="B801" t="inlineStr">
        <is>
          <t>Aprovechamiento de Residuos</t>
        </is>
      </c>
      <c r="C801" t="inlineStr">
        <is>
          <t>GESTIÓN AMBIENTAL</t>
        </is>
      </c>
      <c r="D801" t="inlineStr">
        <is>
          <t>Mensual</t>
        </is>
      </c>
      <c r="E801" t="inlineStr">
        <is>
          <t>Positivo</t>
        </is>
      </c>
      <c r="F801" s="105" t="n">
        <v>45230</v>
      </c>
      <c r="G801" t="inlineStr">
        <is>
          <t>217-2023-10-31</t>
        </is>
      </c>
      <c r="H801" t="inlineStr">
        <is>
          <t>Sede Bienestar - Medellín</t>
        </is>
      </c>
      <c r="I801" t="n">
        <v>20</v>
      </c>
      <c r="J801" t="n">
        <v>0</v>
      </c>
      <c r="L801" t="n">
        <v>0</v>
      </c>
      <c r="M801" t="n">
        <v>0</v>
      </c>
      <c r="AS801" t="n">
        <v>0</v>
      </c>
    </row>
    <row r="802">
      <c r="A802" t="n">
        <v>217</v>
      </c>
      <c r="B802" t="inlineStr">
        <is>
          <t>Aprovechamiento de Residuos</t>
        </is>
      </c>
      <c r="C802" t="inlineStr">
        <is>
          <t>GESTIÓN AMBIENTAL</t>
        </is>
      </c>
      <c r="D802" t="inlineStr">
        <is>
          <t>Mensual</t>
        </is>
      </c>
      <c r="E802" t="inlineStr">
        <is>
          <t>Positivo</t>
        </is>
      </c>
      <c r="F802" s="105" t="n">
        <v>45230</v>
      </c>
      <c r="G802" t="inlineStr">
        <is>
          <t>217-2023-10-31</t>
        </is>
      </c>
      <c r="H802" t="inlineStr">
        <is>
          <t>Consultorio Psicología - Medellin</t>
        </is>
      </c>
      <c r="I802" t="n">
        <v>20</v>
      </c>
      <c r="J802" t="n">
        <v>0</v>
      </c>
      <c r="L802" t="n">
        <v>0</v>
      </c>
      <c r="M802" t="n">
        <v>0</v>
      </c>
      <c r="AS802" t="n">
        <v>0</v>
      </c>
    </row>
    <row r="803">
      <c r="A803" t="n">
        <v>218</v>
      </c>
      <c r="B803" t="inlineStr">
        <is>
          <t>Consumo de Energía Eléctrica kWh Mensual</t>
        </is>
      </c>
      <c r="C803" t="inlineStr">
        <is>
          <t>GESTIÓN AMBIENTAL</t>
        </is>
      </c>
      <c r="D803" t="inlineStr">
        <is>
          <t>Mensual</t>
        </is>
      </c>
      <c r="E803" t="inlineStr">
        <is>
          <t>Negativo</t>
        </is>
      </c>
      <c r="F803" s="105" t="n">
        <v>45230</v>
      </c>
      <c r="G803" t="inlineStr">
        <is>
          <t>218-2023-10-31</t>
        </is>
      </c>
      <c r="H803" t="inlineStr">
        <is>
          <t>Campus Bogotá</t>
        </is>
      </c>
      <c r="I803" t="n">
        <v>172000</v>
      </c>
      <c r="J803" t="n">
        <v>69598.6015625</v>
      </c>
      <c r="N803" t="n">
        <v>69598.58</v>
      </c>
    </row>
    <row r="804">
      <c r="A804" t="n">
        <v>218</v>
      </c>
      <c r="B804" t="inlineStr">
        <is>
          <t>Consumo de Energía Eléctrica kWh Mensual</t>
        </is>
      </c>
      <c r="C804" t="inlineStr">
        <is>
          <t>GESTIÓN AMBIENTAL</t>
        </is>
      </c>
      <c r="D804" t="inlineStr">
        <is>
          <t>Mensual</t>
        </is>
      </c>
      <c r="E804" t="inlineStr">
        <is>
          <t>Negativo</t>
        </is>
      </c>
      <c r="F804" s="105" t="n">
        <v>45230</v>
      </c>
      <c r="G804" t="inlineStr">
        <is>
          <t>218-2023-10-31</t>
        </is>
      </c>
      <c r="H804" t="inlineStr">
        <is>
          <t>City Campus</t>
        </is>
      </c>
      <c r="I804" t="n">
        <v>172000</v>
      </c>
      <c r="J804" t="n">
        <v>54720</v>
      </c>
      <c r="N804" t="n">
        <v>54720</v>
      </c>
    </row>
    <row r="805">
      <c r="A805" t="n">
        <v>218</v>
      </c>
      <c r="B805" t="inlineStr">
        <is>
          <t>Consumo de Energía Eléctrica kWh Mensual</t>
        </is>
      </c>
      <c r="C805" t="inlineStr">
        <is>
          <t>GESTIÓN AMBIENTAL</t>
        </is>
      </c>
      <c r="D805" t="inlineStr">
        <is>
          <t>Mensual</t>
        </is>
      </c>
      <c r="E805" t="inlineStr">
        <is>
          <t>Negativo</t>
        </is>
      </c>
      <c r="F805" s="105" t="n">
        <v>45230</v>
      </c>
      <c r="G805" t="inlineStr">
        <is>
          <t>218-2023-10-31</t>
        </is>
      </c>
      <c r="H805" t="inlineStr">
        <is>
          <t>Sede Posgrado-Calle 85</t>
        </is>
      </c>
      <c r="I805" t="n">
        <v>172000</v>
      </c>
      <c r="J805" t="n">
        <v>0</v>
      </c>
      <c r="N805" t="n">
        <v>0</v>
      </c>
    </row>
    <row r="806">
      <c r="A806" t="n">
        <v>218</v>
      </c>
      <c r="B806" t="inlineStr">
        <is>
          <t>Consumo de Energía Eléctrica kWh Mensual</t>
        </is>
      </c>
      <c r="C806" t="inlineStr">
        <is>
          <t>GESTIÓN AMBIENTAL</t>
        </is>
      </c>
      <c r="D806" t="inlineStr">
        <is>
          <t>Mensual</t>
        </is>
      </c>
      <c r="E806" t="inlineStr">
        <is>
          <t>Negativo</t>
        </is>
      </c>
      <c r="F806" s="105" t="n">
        <v>45230</v>
      </c>
      <c r="G806" t="inlineStr">
        <is>
          <t>218-2023-10-31</t>
        </is>
      </c>
      <c r="H806" t="inlineStr">
        <is>
          <t>Campus-Medellín</t>
        </is>
      </c>
      <c r="I806" t="n">
        <v>172000</v>
      </c>
      <c r="J806" t="n">
        <v>9984.7001953125</v>
      </c>
      <c r="N806" t="n">
        <v>9984.700000000001</v>
      </c>
    </row>
    <row r="807">
      <c r="A807" t="n">
        <v>218</v>
      </c>
      <c r="B807" t="inlineStr">
        <is>
          <t>Consumo de Energía Eléctrica kWh Mensual</t>
        </is>
      </c>
      <c r="C807" t="inlineStr">
        <is>
          <t>GESTIÓN AMBIENTAL</t>
        </is>
      </c>
      <c r="D807" t="inlineStr">
        <is>
          <t>Mensual</t>
        </is>
      </c>
      <c r="E807" t="inlineStr">
        <is>
          <t>Negativo</t>
        </is>
      </c>
      <c r="F807" s="105" t="n">
        <v>45230</v>
      </c>
      <c r="G807" t="inlineStr">
        <is>
          <t>218-2023-10-31</t>
        </is>
      </c>
      <c r="H807" t="inlineStr">
        <is>
          <t>Sede Bienestar - Medellín</t>
        </is>
      </c>
      <c r="I807" t="n">
        <v>172000</v>
      </c>
      <c r="J807" t="n">
        <v>5400</v>
      </c>
      <c r="N807" t="n">
        <v>5400</v>
      </c>
    </row>
    <row r="808">
      <c r="A808" t="n">
        <v>218</v>
      </c>
      <c r="B808" t="inlineStr">
        <is>
          <t>Consumo de Energía Eléctrica kWh Mensual</t>
        </is>
      </c>
      <c r="C808" t="inlineStr">
        <is>
          <t>GESTIÓN AMBIENTAL</t>
        </is>
      </c>
      <c r="D808" t="inlineStr">
        <is>
          <t>Mensual</t>
        </is>
      </c>
      <c r="E808" t="inlineStr">
        <is>
          <t>Negativo</t>
        </is>
      </c>
      <c r="F808" s="105" t="n">
        <v>45230</v>
      </c>
      <c r="G808" t="inlineStr">
        <is>
          <t>218-2023-10-31</t>
        </is>
      </c>
      <c r="H808" t="inlineStr">
        <is>
          <t>Consultorio Psicología - Medellin</t>
        </is>
      </c>
      <c r="I808" t="n">
        <v>172000</v>
      </c>
      <c r="J808" t="n">
        <v>1755</v>
      </c>
      <c r="N808" t="n">
        <v>1755</v>
      </c>
    </row>
    <row r="809">
      <c r="A809" t="n">
        <v>225</v>
      </c>
      <c r="B809" t="inlineStr">
        <is>
          <t>Acciones para el Cuidado y Mantenimiento de las Especies de Flora y el Suelo de las Áreas Naturales</t>
        </is>
      </c>
      <c r="C809" t="inlineStr">
        <is>
          <t>GESTIÓN AMBIENTAL</t>
        </is>
      </c>
      <c r="D809" t="inlineStr">
        <is>
          <t>Mensual</t>
        </is>
      </c>
      <c r="E809" t="inlineStr">
        <is>
          <t>Positivo</t>
        </is>
      </c>
      <c r="F809" s="105" t="n">
        <v>45230</v>
      </c>
      <c r="G809" t="inlineStr">
        <is>
          <t>225-2023-10-31</t>
        </is>
      </c>
      <c r="H809" t="inlineStr">
        <is>
          <t>Campus Bogotá</t>
        </is>
      </c>
      <c r="I809" t="n">
        <v>1</v>
      </c>
      <c r="J809" t="n">
        <v>4</v>
      </c>
      <c r="AT809" t="n">
        <v>4</v>
      </c>
    </row>
    <row r="810">
      <c r="A810" t="n">
        <v>225</v>
      </c>
      <c r="B810" t="inlineStr">
        <is>
          <t>Acciones para el Cuidado y Mantenimiento de las Especies de Flora y el Suelo de las Áreas Naturales</t>
        </is>
      </c>
      <c r="C810" t="inlineStr">
        <is>
          <t>GESTIÓN AMBIENTAL</t>
        </is>
      </c>
      <c r="D810" t="inlineStr">
        <is>
          <t>Mensual</t>
        </is>
      </c>
      <c r="E810" t="inlineStr">
        <is>
          <t>Positivo</t>
        </is>
      </c>
      <c r="F810" s="105" t="n">
        <v>45230</v>
      </c>
      <c r="G810" t="inlineStr">
        <is>
          <t>225-2023-10-31</t>
        </is>
      </c>
      <c r="H810" t="inlineStr">
        <is>
          <t>City Campus</t>
        </is>
      </c>
      <c r="I810" t="n">
        <v>1</v>
      </c>
      <c r="J810" t="n">
        <v>3</v>
      </c>
      <c r="AT810" t="n">
        <v>3</v>
      </c>
    </row>
    <row r="811">
      <c r="A811" t="n">
        <v>225</v>
      </c>
      <c r="B811" t="inlineStr">
        <is>
          <t>Acciones para el Cuidado y Mantenimiento de las Especies de Flora y el Suelo de las Áreas Naturales</t>
        </is>
      </c>
      <c r="C811" t="inlineStr">
        <is>
          <t>GESTIÓN AMBIENTAL</t>
        </is>
      </c>
      <c r="D811" t="inlineStr">
        <is>
          <t>Mensual</t>
        </is>
      </c>
      <c r="E811" t="inlineStr">
        <is>
          <t>Positivo</t>
        </is>
      </c>
      <c r="F811" s="105" t="n">
        <v>45230</v>
      </c>
      <c r="G811" t="inlineStr">
        <is>
          <t>225-2023-10-31</t>
        </is>
      </c>
      <c r="H811" t="inlineStr">
        <is>
          <t>Sede Posgrado-Calle 85</t>
        </is>
      </c>
      <c r="I811" t="n">
        <v>1</v>
      </c>
      <c r="J811" t="n">
        <v>0</v>
      </c>
      <c r="AT811" t="n">
        <v>0</v>
      </c>
    </row>
    <row r="812">
      <c r="A812" t="n">
        <v>225</v>
      </c>
      <c r="B812" t="inlineStr">
        <is>
          <t>Acciones para el Cuidado y Mantenimiento de las Especies de Flora y el Suelo de las Áreas Naturales</t>
        </is>
      </c>
      <c r="C812" t="inlineStr">
        <is>
          <t>GESTIÓN AMBIENTAL</t>
        </is>
      </c>
      <c r="D812" t="inlineStr">
        <is>
          <t>Mensual</t>
        </is>
      </c>
      <c r="E812" t="inlineStr">
        <is>
          <t>Positivo</t>
        </is>
      </c>
      <c r="F812" s="105" t="n">
        <v>45230</v>
      </c>
      <c r="G812" t="inlineStr">
        <is>
          <t>225-2023-10-31</t>
        </is>
      </c>
      <c r="H812" t="inlineStr">
        <is>
          <t>Campus-Medellín</t>
        </is>
      </c>
      <c r="I812" t="n">
        <v>1</v>
      </c>
      <c r="J812" t="n">
        <v>10</v>
      </c>
      <c r="AT812" t="n">
        <v>10</v>
      </c>
    </row>
    <row r="813">
      <c r="A813" t="n">
        <v>225</v>
      </c>
      <c r="B813" t="inlineStr">
        <is>
          <t>Acciones para el Cuidado y Mantenimiento de las Especies de Flora y el Suelo de las Áreas Naturales</t>
        </is>
      </c>
      <c r="C813" t="inlineStr">
        <is>
          <t>GESTIÓN AMBIENTAL</t>
        </is>
      </c>
      <c r="D813" t="inlineStr">
        <is>
          <t>Mensual</t>
        </is>
      </c>
      <c r="E813" t="inlineStr">
        <is>
          <t>Positivo</t>
        </is>
      </c>
      <c r="F813" s="105" t="n">
        <v>45230</v>
      </c>
      <c r="G813" t="inlineStr">
        <is>
          <t>225-2023-10-31</t>
        </is>
      </c>
      <c r="H813" t="inlineStr">
        <is>
          <t>Sede Bienestar - Medellín</t>
        </is>
      </c>
      <c r="I813" t="n">
        <v>1</v>
      </c>
      <c r="J813" t="n">
        <v>1</v>
      </c>
      <c r="AT813" t="n">
        <v>1</v>
      </c>
    </row>
    <row r="814">
      <c r="A814" t="n">
        <v>225</v>
      </c>
      <c r="B814" t="inlineStr">
        <is>
          <t>Acciones para el Cuidado y Mantenimiento de las Especies de Flora y el Suelo de las Áreas Naturales</t>
        </is>
      </c>
      <c r="C814" t="inlineStr">
        <is>
          <t>GESTIÓN AMBIENTAL</t>
        </is>
      </c>
      <c r="D814" t="inlineStr">
        <is>
          <t>Mensual</t>
        </is>
      </c>
      <c r="E814" t="inlineStr">
        <is>
          <t>Positivo</t>
        </is>
      </c>
      <c r="F814" s="105" t="n">
        <v>45230</v>
      </c>
      <c r="G814" t="inlineStr">
        <is>
          <t>225-2023-10-31</t>
        </is>
      </c>
      <c r="H814" t="inlineStr">
        <is>
          <t>Consultorio Psicología - Medellin</t>
        </is>
      </c>
      <c r="I814" t="n">
        <v>1</v>
      </c>
      <c r="J814" t="n">
        <v>1</v>
      </c>
      <c r="AT814" t="n">
        <v>1</v>
      </c>
    </row>
    <row r="815">
      <c r="A815" t="n">
        <v>434</v>
      </c>
      <c r="B815" t="inlineStr">
        <is>
          <t>Generación de Residuos Peligrosos Mensual</t>
        </is>
      </c>
      <c r="C815" t="inlineStr">
        <is>
          <t>GESTIÓN AMBIENTAL</t>
        </is>
      </c>
      <c r="D815" t="inlineStr">
        <is>
          <t>Mensual</t>
        </is>
      </c>
      <c r="E815" t="inlineStr">
        <is>
          <t>Negativo</t>
        </is>
      </c>
      <c r="F815" s="105" t="n">
        <v>45230</v>
      </c>
      <c r="G815" t="inlineStr">
        <is>
          <t>434-2023-10-31</t>
        </is>
      </c>
      <c r="H815" t="inlineStr">
        <is>
          <t>Campus Bogotá</t>
        </is>
      </c>
      <c r="I815" t="n">
        <v>200</v>
      </c>
      <c r="J815" t="n">
        <v>0</v>
      </c>
      <c r="AV815" t="n">
        <v>0</v>
      </c>
    </row>
    <row r="816">
      <c r="A816" t="n">
        <v>434</v>
      </c>
      <c r="B816" t="inlineStr">
        <is>
          <t>Generación de Residuos Peligrosos Mensual</t>
        </is>
      </c>
      <c r="C816" t="inlineStr">
        <is>
          <t>GESTIÓN AMBIENTAL</t>
        </is>
      </c>
      <c r="D816" t="inlineStr">
        <is>
          <t>Mensual</t>
        </is>
      </c>
      <c r="E816" t="inlineStr">
        <is>
          <t>Negativo</t>
        </is>
      </c>
      <c r="F816" s="105" t="n">
        <v>45230</v>
      </c>
      <c r="G816" t="inlineStr">
        <is>
          <t>434-2023-10-31</t>
        </is>
      </c>
      <c r="H816" t="inlineStr">
        <is>
          <t>City Campus</t>
        </is>
      </c>
      <c r="I816" t="n">
        <v>200</v>
      </c>
      <c r="J816" t="n">
        <v>0.2000000029802322</v>
      </c>
      <c r="AV816" t="n">
        <v>0.2</v>
      </c>
    </row>
    <row r="817">
      <c r="A817" t="n">
        <v>434</v>
      </c>
      <c r="B817" t="inlineStr">
        <is>
          <t>Generación de Residuos Peligrosos Mensual</t>
        </is>
      </c>
      <c r="C817" t="inlineStr">
        <is>
          <t>GESTIÓN AMBIENTAL</t>
        </is>
      </c>
      <c r="D817" t="inlineStr">
        <is>
          <t>Mensual</t>
        </is>
      </c>
      <c r="E817" t="inlineStr">
        <is>
          <t>Negativo</t>
        </is>
      </c>
      <c r="F817" s="105" t="n">
        <v>45230</v>
      </c>
      <c r="G817" t="inlineStr">
        <is>
          <t>434-2023-10-31</t>
        </is>
      </c>
      <c r="H817" t="inlineStr">
        <is>
          <t>Sede Posgrado-Calle 85</t>
        </is>
      </c>
      <c r="I817" t="n">
        <v>200</v>
      </c>
      <c r="J817" t="n">
        <v>0</v>
      </c>
      <c r="AV817" t="n">
        <v>0</v>
      </c>
    </row>
    <row r="818">
      <c r="A818" t="n">
        <v>434</v>
      </c>
      <c r="B818" t="inlineStr">
        <is>
          <t>Generación de Residuos Peligrosos Mensual</t>
        </is>
      </c>
      <c r="C818" t="inlineStr">
        <is>
          <t>GESTIÓN AMBIENTAL</t>
        </is>
      </c>
      <c r="D818" t="inlineStr">
        <is>
          <t>Mensual</t>
        </is>
      </c>
      <c r="E818" t="inlineStr">
        <is>
          <t>Negativo</t>
        </is>
      </c>
      <c r="F818" s="105" t="n">
        <v>45230</v>
      </c>
      <c r="G818" t="inlineStr">
        <is>
          <t>434-2023-10-31</t>
        </is>
      </c>
      <c r="H818" t="inlineStr">
        <is>
          <t>Campus-Medellín</t>
        </is>
      </c>
      <c r="I818" t="n">
        <v>200</v>
      </c>
      <c r="J818" t="n">
        <v>1.600000023841858</v>
      </c>
      <c r="AV818" t="n">
        <v>1.6</v>
      </c>
    </row>
    <row r="819">
      <c r="A819" t="n">
        <v>434</v>
      </c>
      <c r="B819" t="inlineStr">
        <is>
          <t>Generación de Residuos Peligrosos Mensual</t>
        </is>
      </c>
      <c r="C819" t="inlineStr">
        <is>
          <t>GESTIÓN AMBIENTAL</t>
        </is>
      </c>
      <c r="D819" t="inlineStr">
        <is>
          <t>Mensual</t>
        </is>
      </c>
      <c r="E819" t="inlineStr">
        <is>
          <t>Negativo</t>
        </is>
      </c>
      <c r="F819" s="105" t="n">
        <v>45230</v>
      </c>
      <c r="G819" t="inlineStr">
        <is>
          <t>434-2023-10-31</t>
        </is>
      </c>
      <c r="H819" t="inlineStr">
        <is>
          <t>Sede Bienestar - Medellín</t>
        </is>
      </c>
      <c r="I819" t="n">
        <v>200</v>
      </c>
      <c r="J819" t="n">
        <v>0.300000011920929</v>
      </c>
      <c r="AV819" t="n">
        <v>0.3</v>
      </c>
    </row>
    <row r="820">
      <c r="A820" t="n">
        <v>434</v>
      </c>
      <c r="B820" t="inlineStr">
        <is>
          <t>Generación de Residuos Peligrosos Mensual</t>
        </is>
      </c>
      <c r="C820" t="inlineStr">
        <is>
          <t>GESTIÓN AMBIENTAL</t>
        </is>
      </c>
      <c r="D820" t="inlineStr">
        <is>
          <t>Mensual</t>
        </is>
      </c>
      <c r="E820" t="inlineStr">
        <is>
          <t>Negativo</t>
        </is>
      </c>
      <c r="F820" s="105" t="n">
        <v>45230</v>
      </c>
      <c r="G820" t="inlineStr">
        <is>
          <t>434-2023-10-31</t>
        </is>
      </c>
      <c r="H820" t="inlineStr">
        <is>
          <t>Consultorio Psicología - Medellin</t>
        </is>
      </c>
      <c r="I820" t="n">
        <v>200</v>
      </c>
      <c r="J820" t="n">
        <v>0</v>
      </c>
      <c r="AV820" t="n">
        <v>0</v>
      </c>
    </row>
    <row r="821">
      <c r="A821" t="n">
        <v>436</v>
      </c>
      <c r="B821" t="inlineStr">
        <is>
          <t>ANS documentos operativos</t>
        </is>
      </c>
      <c r="C821" t="inlineStr">
        <is>
          <t>Gestión de calidad</t>
        </is>
      </c>
      <c r="D821" t="inlineStr">
        <is>
          <t>Mensual</t>
        </is>
      </c>
      <c r="E821" t="inlineStr">
        <is>
          <t>Negativo</t>
        </is>
      </c>
      <c r="F821" s="105" t="n">
        <v>45230</v>
      </c>
      <c r="G821" t="inlineStr">
        <is>
          <t>436-2023-10-31</t>
        </is>
      </c>
      <c r="H821" t="inlineStr">
        <is>
          <t>Solicitud Documental</t>
        </is>
      </c>
      <c r="I821" t="n">
        <v>14</v>
      </c>
      <c r="J821" t="n">
        <v>2.099999904632568</v>
      </c>
      <c r="CP821" t="n">
        <v>2.1</v>
      </c>
    </row>
    <row r="822">
      <c r="A822" t="n">
        <v>436</v>
      </c>
      <c r="B822" t="inlineStr">
        <is>
          <t>ANS documentos operativos</t>
        </is>
      </c>
      <c r="C822" t="inlineStr">
        <is>
          <t>Gestión de calidad</t>
        </is>
      </c>
      <c r="D822" t="inlineStr">
        <is>
          <t>Mensual</t>
        </is>
      </c>
      <c r="E822" t="inlineStr">
        <is>
          <t>Negativo</t>
        </is>
      </c>
      <c r="F822" s="105" t="n">
        <v>45230</v>
      </c>
      <c r="G822" t="inlineStr">
        <is>
          <t>436-2023-10-31</t>
        </is>
      </c>
      <c r="H822" t="inlineStr">
        <is>
          <t>Flujo de aprobación</t>
        </is>
      </c>
      <c r="I822" t="n">
        <v>7</v>
      </c>
      <c r="J822" t="n">
        <v>3</v>
      </c>
      <c r="CP822" t="n">
        <v>3</v>
      </c>
    </row>
    <row r="823">
      <c r="A823" t="n">
        <v>208</v>
      </c>
      <c r="B823" t="inlineStr">
        <is>
          <t>Consumo de Agua m3 Mensual</t>
        </is>
      </c>
      <c r="C823" t="inlineStr">
        <is>
          <t>GESTIÓN AMBIENTAL</t>
        </is>
      </c>
      <c r="D823" t="inlineStr">
        <is>
          <t>Mensual</t>
        </is>
      </c>
      <c r="E823" t="inlineStr">
        <is>
          <t>Negativo</t>
        </is>
      </c>
      <c r="F823" s="105" t="n">
        <v>45260</v>
      </c>
      <c r="G823" t="inlineStr">
        <is>
          <t>208-2023-11-30</t>
        </is>
      </c>
      <c r="H823" t="inlineStr">
        <is>
          <t>Campus Bogotá</t>
        </is>
      </c>
      <c r="I823" t="n">
        <v>1</v>
      </c>
      <c r="J823" t="n">
        <v>787</v>
      </c>
      <c r="K823" t="n">
        <v>787</v>
      </c>
    </row>
    <row r="824">
      <c r="A824" t="n">
        <v>208</v>
      </c>
      <c r="B824" t="inlineStr">
        <is>
          <t>Consumo de Agua m3 Mensual</t>
        </is>
      </c>
      <c r="C824" t="inlineStr">
        <is>
          <t>GESTIÓN AMBIENTAL</t>
        </is>
      </c>
      <c r="D824" t="inlineStr">
        <is>
          <t>Mensual</t>
        </is>
      </c>
      <c r="E824" t="inlineStr">
        <is>
          <t>Negativo</t>
        </is>
      </c>
      <c r="F824" s="105" t="n">
        <v>45260</v>
      </c>
      <c r="G824" t="inlineStr">
        <is>
          <t>208-2023-11-30</t>
        </is>
      </c>
      <c r="H824" t="inlineStr">
        <is>
          <t>City Campus</t>
        </is>
      </c>
      <c r="I824" t="n">
        <v>1</v>
      </c>
      <c r="J824" t="n">
        <v>219</v>
      </c>
      <c r="K824" t="n">
        <v>219</v>
      </c>
    </row>
    <row r="825">
      <c r="A825" t="n">
        <v>208</v>
      </c>
      <c r="B825" t="inlineStr">
        <is>
          <t>Consumo de Agua m3 Mensual</t>
        </is>
      </c>
      <c r="C825" t="inlineStr">
        <is>
          <t>GESTIÓN AMBIENTAL</t>
        </is>
      </c>
      <c r="D825" t="inlineStr">
        <is>
          <t>Mensual</t>
        </is>
      </c>
      <c r="E825" t="inlineStr">
        <is>
          <t>Negativo</t>
        </is>
      </c>
      <c r="F825" s="105" t="n">
        <v>45260</v>
      </c>
      <c r="G825" t="inlineStr">
        <is>
          <t>208-2023-11-30</t>
        </is>
      </c>
      <c r="H825" t="inlineStr">
        <is>
          <t>Sede Posgrado-Calle 85</t>
        </is>
      </c>
      <c r="I825" t="n">
        <v>1</v>
      </c>
      <c r="J825" t="n">
        <v>0</v>
      </c>
      <c r="K825" t="n">
        <v>0</v>
      </c>
    </row>
    <row r="826">
      <c r="A826" t="n">
        <v>208</v>
      </c>
      <c r="B826" t="inlineStr">
        <is>
          <t>Consumo de Agua m3 Mensual</t>
        </is>
      </c>
      <c r="C826" t="inlineStr">
        <is>
          <t>GESTIÓN AMBIENTAL</t>
        </is>
      </c>
      <c r="D826" t="inlineStr">
        <is>
          <t>Mensual</t>
        </is>
      </c>
      <c r="E826" t="inlineStr">
        <is>
          <t>Negativo</t>
        </is>
      </c>
      <c r="F826" s="105" t="n">
        <v>45260</v>
      </c>
      <c r="G826" t="inlineStr">
        <is>
          <t>208-2023-11-30</t>
        </is>
      </c>
      <c r="H826" t="inlineStr">
        <is>
          <t>Campus-Medellín</t>
        </is>
      </c>
      <c r="I826" t="n">
        <v>1</v>
      </c>
      <c r="J826" t="n">
        <v>356</v>
      </c>
      <c r="K826" t="n">
        <v>356</v>
      </c>
    </row>
    <row r="827">
      <c r="A827" t="n">
        <v>208</v>
      </c>
      <c r="B827" t="inlineStr">
        <is>
          <t>Consumo de Agua m3 Mensual</t>
        </is>
      </c>
      <c r="C827" t="inlineStr">
        <is>
          <t>GESTIÓN AMBIENTAL</t>
        </is>
      </c>
      <c r="D827" t="inlineStr">
        <is>
          <t>Mensual</t>
        </is>
      </c>
      <c r="E827" t="inlineStr">
        <is>
          <t>Negativo</t>
        </is>
      </c>
      <c r="F827" s="105" t="n">
        <v>45260</v>
      </c>
      <c r="G827" t="inlineStr">
        <is>
          <t>208-2023-11-30</t>
        </is>
      </c>
      <c r="H827" t="inlineStr">
        <is>
          <t>Sede Bienestar - Medellín</t>
        </is>
      </c>
      <c r="I827" t="n">
        <v>0</v>
      </c>
      <c r="J827" t="n">
        <v>0</v>
      </c>
      <c r="K827" t="n">
        <v>0</v>
      </c>
    </row>
    <row r="828">
      <c r="A828" t="n">
        <v>208</v>
      </c>
      <c r="B828" t="inlineStr">
        <is>
          <t>Consumo de Agua m3 Mensual</t>
        </is>
      </c>
      <c r="C828" t="inlineStr">
        <is>
          <t>GESTIÓN AMBIENTAL</t>
        </is>
      </c>
      <c r="D828" t="inlineStr">
        <is>
          <t>Mensual</t>
        </is>
      </c>
      <c r="E828" t="inlineStr">
        <is>
          <t>Negativo</t>
        </is>
      </c>
      <c r="F828" s="105" t="n">
        <v>45260</v>
      </c>
      <c r="G828" t="inlineStr">
        <is>
          <t>208-2023-11-30</t>
        </is>
      </c>
      <c r="H828" t="inlineStr">
        <is>
          <t>Consultorio Psicología - Medellin</t>
        </is>
      </c>
      <c r="I828" t="n">
        <v>1</v>
      </c>
      <c r="J828" t="n">
        <v>18</v>
      </c>
      <c r="K828" t="n">
        <v>18</v>
      </c>
    </row>
    <row r="829">
      <c r="A829" t="n">
        <v>214</v>
      </c>
      <c r="B829" t="inlineStr">
        <is>
          <t>Generación de Residuos Sólidos Mensual</t>
        </is>
      </c>
      <c r="C829" t="inlineStr">
        <is>
          <t>GESTIÓN AMBIENTAL</t>
        </is>
      </c>
      <c r="D829" t="inlineStr">
        <is>
          <t>Mensual</t>
        </is>
      </c>
      <c r="E829" t="inlineStr">
        <is>
          <t>Negativo</t>
        </is>
      </c>
      <c r="F829" s="105" t="n">
        <v>45260</v>
      </c>
      <c r="G829" t="inlineStr">
        <is>
          <t>214-2023-11-30</t>
        </is>
      </c>
      <c r="H829" t="inlineStr">
        <is>
          <t>Campus Bogotá</t>
        </is>
      </c>
      <c r="I829" t="n">
        <v>7500</v>
      </c>
      <c r="J829" t="n">
        <v>3982</v>
      </c>
      <c r="L829" t="n">
        <v>560</v>
      </c>
      <c r="M829" t="n">
        <v>3422</v>
      </c>
    </row>
    <row r="830">
      <c r="A830" t="n">
        <v>214</v>
      </c>
      <c r="B830" t="inlineStr">
        <is>
          <t>Generación de Residuos Sólidos Mensual</t>
        </is>
      </c>
      <c r="C830" t="inlineStr">
        <is>
          <t>GESTIÓN AMBIENTAL</t>
        </is>
      </c>
      <c r="D830" t="inlineStr">
        <is>
          <t>Mensual</t>
        </is>
      </c>
      <c r="E830" t="inlineStr">
        <is>
          <t>Negativo</t>
        </is>
      </c>
      <c r="F830" s="105" t="n">
        <v>45260</v>
      </c>
      <c r="G830" t="inlineStr">
        <is>
          <t>214-2023-11-30</t>
        </is>
      </c>
      <c r="H830" t="inlineStr">
        <is>
          <t>City Campus</t>
        </is>
      </c>
      <c r="I830" t="n">
        <v>7500</v>
      </c>
      <c r="J830" t="n">
        <v>1026.199951171875</v>
      </c>
      <c r="L830" t="n">
        <v>148.2</v>
      </c>
      <c r="M830" t="n">
        <v>878</v>
      </c>
    </row>
    <row r="831">
      <c r="A831" t="n">
        <v>214</v>
      </c>
      <c r="B831" t="inlineStr">
        <is>
          <t>Generación de Residuos Sólidos Mensual</t>
        </is>
      </c>
      <c r="C831" t="inlineStr">
        <is>
          <t>GESTIÓN AMBIENTAL</t>
        </is>
      </c>
      <c r="D831" t="inlineStr">
        <is>
          <t>Mensual</t>
        </is>
      </c>
      <c r="E831" t="inlineStr">
        <is>
          <t>Negativo</t>
        </is>
      </c>
      <c r="F831" s="105" t="n">
        <v>45260</v>
      </c>
      <c r="G831" t="inlineStr">
        <is>
          <t>214-2023-11-30</t>
        </is>
      </c>
      <c r="H831" t="inlineStr">
        <is>
          <t>Sede Posgrado-Calle 85</t>
        </is>
      </c>
      <c r="I831" t="n">
        <v>7500</v>
      </c>
      <c r="J831" t="n">
        <v>0</v>
      </c>
      <c r="L831" t="n">
        <v>0</v>
      </c>
      <c r="M831" t="n">
        <v>0</v>
      </c>
    </row>
    <row r="832">
      <c r="A832" t="n">
        <v>214</v>
      </c>
      <c r="B832" t="inlineStr">
        <is>
          <t>Generación de Residuos Sólidos Mensual</t>
        </is>
      </c>
      <c r="C832" t="inlineStr">
        <is>
          <t>GESTIÓN AMBIENTAL</t>
        </is>
      </c>
      <c r="D832" t="inlineStr">
        <is>
          <t>Mensual</t>
        </is>
      </c>
      <c r="E832" t="inlineStr">
        <is>
          <t>Negativo</t>
        </is>
      </c>
      <c r="F832" s="105" t="n">
        <v>45260</v>
      </c>
      <c r="G832" t="inlineStr">
        <is>
          <t>214-2023-11-30</t>
        </is>
      </c>
      <c r="H832" t="inlineStr">
        <is>
          <t>Campus-Medellín</t>
        </is>
      </c>
      <c r="I832" t="n">
        <v>7500</v>
      </c>
      <c r="J832" t="n">
        <v>1178.199951171875</v>
      </c>
      <c r="L832" t="n">
        <v>79.8</v>
      </c>
      <c r="M832" t="n">
        <v>1098.4</v>
      </c>
    </row>
    <row r="833">
      <c r="A833" t="n">
        <v>214</v>
      </c>
      <c r="B833" t="inlineStr">
        <is>
          <t>Generación de Residuos Sólidos Mensual</t>
        </is>
      </c>
      <c r="C833" t="inlineStr">
        <is>
          <t>GESTIÓN AMBIENTAL</t>
        </is>
      </c>
      <c r="D833" t="inlineStr">
        <is>
          <t>Mensual</t>
        </is>
      </c>
      <c r="E833" t="inlineStr">
        <is>
          <t>Negativo</t>
        </is>
      </c>
      <c r="F833" s="105" t="n">
        <v>45260</v>
      </c>
      <c r="G833" t="inlineStr">
        <is>
          <t>214-2023-11-30</t>
        </is>
      </c>
      <c r="H833" t="inlineStr">
        <is>
          <t>Sede Bienestar - Medellín</t>
        </is>
      </c>
      <c r="I833" t="n">
        <v>1</v>
      </c>
      <c r="J833" t="n">
        <v>0</v>
      </c>
      <c r="L833" t="n">
        <v>0</v>
      </c>
      <c r="M833" t="n">
        <v>0</v>
      </c>
    </row>
    <row r="834">
      <c r="A834" t="n">
        <v>214</v>
      </c>
      <c r="B834" t="inlineStr">
        <is>
          <t>Generación de Residuos Sólidos Mensual</t>
        </is>
      </c>
      <c r="C834" t="inlineStr">
        <is>
          <t>GESTIÓN AMBIENTAL</t>
        </is>
      </c>
      <c r="D834" t="inlineStr">
        <is>
          <t>Mensual</t>
        </is>
      </c>
      <c r="E834" t="inlineStr">
        <is>
          <t>Negativo</t>
        </is>
      </c>
      <c r="F834" s="105" t="n">
        <v>45260</v>
      </c>
      <c r="G834" t="inlineStr">
        <is>
          <t>214-2023-11-30</t>
        </is>
      </c>
      <c r="H834" t="inlineStr">
        <is>
          <t>Consultorio Psicología - Medellin</t>
        </is>
      </c>
      <c r="I834" t="n">
        <v>1</v>
      </c>
      <c r="J834" t="n">
        <v>0</v>
      </c>
      <c r="L834" t="n">
        <v>0</v>
      </c>
      <c r="M834" t="n">
        <v>0</v>
      </c>
    </row>
    <row r="835">
      <c r="A835" t="n">
        <v>217</v>
      </c>
      <c r="B835" t="inlineStr">
        <is>
          <t>Aprovechamiento de Residuos</t>
        </is>
      </c>
      <c r="C835" t="inlineStr">
        <is>
          <t>GESTIÓN AMBIENTAL</t>
        </is>
      </c>
      <c r="D835" t="inlineStr">
        <is>
          <t>Mensual</t>
        </is>
      </c>
      <c r="E835" t="inlineStr">
        <is>
          <t>Positivo</t>
        </is>
      </c>
      <c r="F835" s="105" t="n">
        <v>45260</v>
      </c>
      <c r="G835" t="inlineStr">
        <is>
          <t>217-2023-11-30</t>
        </is>
      </c>
      <c r="H835" t="inlineStr">
        <is>
          <t>Campus Bogotá</t>
        </is>
      </c>
      <c r="I835" t="n">
        <v>20</v>
      </c>
      <c r="J835" t="n">
        <v>14.0600004196167</v>
      </c>
      <c r="L835" t="n">
        <v>560</v>
      </c>
      <c r="M835" t="n">
        <v>3422</v>
      </c>
      <c r="AS835" t="n">
        <v>560</v>
      </c>
    </row>
    <row r="836">
      <c r="A836" t="n">
        <v>217</v>
      </c>
      <c r="B836" t="inlineStr">
        <is>
          <t>Aprovechamiento de Residuos</t>
        </is>
      </c>
      <c r="C836" t="inlineStr">
        <is>
          <t>GESTIÓN AMBIENTAL</t>
        </is>
      </c>
      <c r="D836" t="inlineStr">
        <is>
          <t>Mensual</t>
        </is>
      </c>
      <c r="E836" t="inlineStr">
        <is>
          <t>Positivo</t>
        </is>
      </c>
      <c r="F836" s="105" t="n">
        <v>45260</v>
      </c>
      <c r="G836" t="inlineStr">
        <is>
          <t>217-2023-11-30</t>
        </is>
      </c>
      <c r="H836" t="inlineStr">
        <is>
          <t>City Campus</t>
        </is>
      </c>
      <c r="I836" t="n">
        <v>20</v>
      </c>
      <c r="J836" t="n">
        <v>14.4399995803833</v>
      </c>
      <c r="L836" t="n">
        <v>148.2</v>
      </c>
      <c r="M836" t="n">
        <v>878</v>
      </c>
      <c r="AS836" t="n">
        <v>148.2</v>
      </c>
    </row>
    <row r="837">
      <c r="A837" t="n">
        <v>217</v>
      </c>
      <c r="B837" t="inlineStr">
        <is>
          <t>Aprovechamiento de Residuos</t>
        </is>
      </c>
      <c r="C837" t="inlineStr">
        <is>
          <t>GESTIÓN AMBIENTAL</t>
        </is>
      </c>
      <c r="D837" t="inlineStr">
        <is>
          <t>Mensual</t>
        </is>
      </c>
      <c r="E837" t="inlineStr">
        <is>
          <t>Positivo</t>
        </is>
      </c>
      <c r="F837" s="105" t="n">
        <v>45260</v>
      </c>
      <c r="G837" t="inlineStr">
        <is>
          <t>217-2023-11-30</t>
        </is>
      </c>
      <c r="H837" t="inlineStr">
        <is>
          <t>Sede Posgrado-Calle 85</t>
        </is>
      </c>
      <c r="I837" t="n">
        <v>20</v>
      </c>
      <c r="J837" t="n">
        <v>0</v>
      </c>
      <c r="L837" t="n">
        <v>0</v>
      </c>
      <c r="M837" t="n">
        <v>0</v>
      </c>
      <c r="AS837" t="n">
        <v>0</v>
      </c>
    </row>
    <row r="838">
      <c r="A838" t="n">
        <v>217</v>
      </c>
      <c r="B838" t="inlineStr">
        <is>
          <t>Aprovechamiento de Residuos</t>
        </is>
      </c>
      <c r="C838" t="inlineStr">
        <is>
          <t>GESTIÓN AMBIENTAL</t>
        </is>
      </c>
      <c r="D838" t="inlineStr">
        <is>
          <t>Mensual</t>
        </is>
      </c>
      <c r="E838" t="inlineStr">
        <is>
          <t>Positivo</t>
        </is>
      </c>
      <c r="F838" s="105" t="n">
        <v>45260</v>
      </c>
      <c r="G838" t="inlineStr">
        <is>
          <t>217-2023-11-30</t>
        </is>
      </c>
      <c r="H838" t="inlineStr">
        <is>
          <t>Campus-Medellín</t>
        </is>
      </c>
      <c r="I838" t="n">
        <v>20</v>
      </c>
      <c r="J838" t="n">
        <v>6.769999980926514</v>
      </c>
      <c r="L838" t="n">
        <v>79.8</v>
      </c>
      <c r="M838" t="n">
        <v>1098.4</v>
      </c>
      <c r="AS838" t="n">
        <v>79.8</v>
      </c>
    </row>
    <row r="839">
      <c r="A839" t="n">
        <v>217</v>
      </c>
      <c r="B839" t="inlineStr">
        <is>
          <t>Aprovechamiento de Residuos</t>
        </is>
      </c>
      <c r="C839" t="inlineStr">
        <is>
          <t>GESTIÓN AMBIENTAL</t>
        </is>
      </c>
      <c r="D839" t="inlineStr">
        <is>
          <t>Mensual</t>
        </is>
      </c>
      <c r="E839" t="inlineStr">
        <is>
          <t>Positivo</t>
        </is>
      </c>
      <c r="F839" s="105" t="n">
        <v>45260</v>
      </c>
      <c r="G839" t="inlineStr">
        <is>
          <t>217-2023-11-30</t>
        </is>
      </c>
      <c r="H839" t="inlineStr">
        <is>
          <t>Sede Bienestar - Medellín</t>
        </is>
      </c>
      <c r="I839" t="n">
        <v>20</v>
      </c>
      <c r="J839" t="n">
        <v>0</v>
      </c>
      <c r="L839" t="n">
        <v>0</v>
      </c>
      <c r="M839" t="n">
        <v>0</v>
      </c>
      <c r="AS839" t="n">
        <v>0</v>
      </c>
    </row>
    <row r="840">
      <c r="A840" t="n">
        <v>217</v>
      </c>
      <c r="B840" t="inlineStr">
        <is>
          <t>Aprovechamiento de Residuos</t>
        </is>
      </c>
      <c r="C840" t="inlineStr">
        <is>
          <t>GESTIÓN AMBIENTAL</t>
        </is>
      </c>
      <c r="D840" t="inlineStr">
        <is>
          <t>Mensual</t>
        </is>
      </c>
      <c r="E840" t="inlineStr">
        <is>
          <t>Positivo</t>
        </is>
      </c>
      <c r="F840" s="105" t="n">
        <v>45260</v>
      </c>
      <c r="G840" t="inlineStr">
        <is>
          <t>217-2023-11-30</t>
        </is>
      </c>
      <c r="H840" t="inlineStr">
        <is>
          <t>Consultorio Psicología - Medellin</t>
        </is>
      </c>
      <c r="I840" t="n">
        <v>20</v>
      </c>
      <c r="J840" t="n">
        <v>0</v>
      </c>
      <c r="L840" t="n">
        <v>0</v>
      </c>
      <c r="M840" t="n">
        <v>0</v>
      </c>
      <c r="AS840" t="n">
        <v>0</v>
      </c>
    </row>
    <row r="841">
      <c r="A841" t="n">
        <v>218</v>
      </c>
      <c r="B841" t="inlineStr">
        <is>
          <t>Consumo de Energía Eléctrica kWh Mensual</t>
        </is>
      </c>
      <c r="C841" t="inlineStr">
        <is>
          <t>GESTIÓN AMBIENTAL</t>
        </is>
      </c>
      <c r="D841" t="inlineStr">
        <is>
          <t>Mensual</t>
        </is>
      </c>
      <c r="E841" t="inlineStr">
        <is>
          <t>Negativo</t>
        </is>
      </c>
      <c r="F841" s="105" t="n">
        <v>45260</v>
      </c>
      <c r="G841" t="inlineStr">
        <is>
          <t>218-2023-11-30</t>
        </is>
      </c>
      <c r="H841" t="inlineStr">
        <is>
          <t>Campus Bogotá</t>
        </is>
      </c>
      <c r="I841" t="n">
        <v>172000</v>
      </c>
      <c r="J841" t="n">
        <v>73134</v>
      </c>
      <c r="N841" t="n">
        <v>73134</v>
      </c>
    </row>
    <row r="842">
      <c r="A842" t="n">
        <v>218</v>
      </c>
      <c r="B842" t="inlineStr">
        <is>
          <t>Consumo de Energía Eléctrica kWh Mensual</t>
        </is>
      </c>
      <c r="C842" t="inlineStr">
        <is>
          <t>GESTIÓN AMBIENTAL</t>
        </is>
      </c>
      <c r="D842" t="inlineStr">
        <is>
          <t>Mensual</t>
        </is>
      </c>
      <c r="E842" t="inlineStr">
        <is>
          <t>Negativo</t>
        </is>
      </c>
      <c r="F842" s="105" t="n">
        <v>45260</v>
      </c>
      <c r="G842" t="inlineStr">
        <is>
          <t>218-2023-11-30</t>
        </is>
      </c>
      <c r="H842" t="inlineStr">
        <is>
          <t>City Campus</t>
        </is>
      </c>
      <c r="I842" t="n">
        <v>172000</v>
      </c>
      <c r="J842" t="n">
        <v>43890</v>
      </c>
      <c r="N842" t="n">
        <v>43890</v>
      </c>
    </row>
    <row r="843">
      <c r="A843" t="n">
        <v>218</v>
      </c>
      <c r="B843" t="inlineStr">
        <is>
          <t>Consumo de Energía Eléctrica kWh Mensual</t>
        </is>
      </c>
      <c r="C843" t="inlineStr">
        <is>
          <t>GESTIÓN AMBIENTAL</t>
        </is>
      </c>
      <c r="D843" t="inlineStr">
        <is>
          <t>Mensual</t>
        </is>
      </c>
      <c r="E843" t="inlineStr">
        <is>
          <t>Negativo</t>
        </is>
      </c>
      <c r="F843" s="105" t="n">
        <v>45260</v>
      </c>
      <c r="G843" t="inlineStr">
        <is>
          <t>218-2023-11-30</t>
        </is>
      </c>
      <c r="H843" t="inlineStr">
        <is>
          <t>Sede Posgrado-Calle 85</t>
        </is>
      </c>
      <c r="I843" t="n">
        <v>172000</v>
      </c>
      <c r="J843" t="n">
        <v>0</v>
      </c>
      <c r="N843" t="n">
        <v>0</v>
      </c>
    </row>
    <row r="844">
      <c r="A844" t="n">
        <v>218</v>
      </c>
      <c r="B844" t="inlineStr">
        <is>
          <t>Consumo de Energía Eléctrica kWh Mensual</t>
        </is>
      </c>
      <c r="C844" t="inlineStr">
        <is>
          <t>GESTIÓN AMBIENTAL</t>
        </is>
      </c>
      <c r="D844" t="inlineStr">
        <is>
          <t>Mensual</t>
        </is>
      </c>
      <c r="E844" t="inlineStr">
        <is>
          <t>Negativo</t>
        </is>
      </c>
      <c r="F844" s="105" t="n">
        <v>45260</v>
      </c>
      <c r="G844" t="inlineStr">
        <is>
          <t>218-2023-11-30</t>
        </is>
      </c>
      <c r="H844" t="inlineStr">
        <is>
          <t>Campus-Medellín</t>
        </is>
      </c>
      <c r="I844" t="n">
        <v>172000</v>
      </c>
      <c r="J844" t="n">
        <v>6267</v>
      </c>
      <c r="N844" t="n">
        <v>6267</v>
      </c>
    </row>
    <row r="845">
      <c r="A845" t="n">
        <v>218</v>
      </c>
      <c r="B845" t="inlineStr">
        <is>
          <t>Consumo de Energía Eléctrica kWh Mensual</t>
        </is>
      </c>
      <c r="C845" t="inlineStr">
        <is>
          <t>GESTIÓN AMBIENTAL</t>
        </is>
      </c>
      <c r="D845" t="inlineStr">
        <is>
          <t>Mensual</t>
        </is>
      </c>
      <c r="E845" t="inlineStr">
        <is>
          <t>Negativo</t>
        </is>
      </c>
      <c r="F845" s="105" t="n">
        <v>45260</v>
      </c>
      <c r="G845" t="inlineStr">
        <is>
          <t>218-2023-11-30</t>
        </is>
      </c>
      <c r="H845" t="inlineStr">
        <is>
          <t>Sede Bienestar - Medellín</t>
        </is>
      </c>
      <c r="I845" t="n">
        <v>172000</v>
      </c>
      <c r="J845" t="n">
        <v>4920</v>
      </c>
      <c r="N845" t="n">
        <v>4920</v>
      </c>
    </row>
    <row r="846">
      <c r="A846" t="n">
        <v>218</v>
      </c>
      <c r="B846" t="inlineStr">
        <is>
          <t>Consumo de Energía Eléctrica kWh Mensual</t>
        </is>
      </c>
      <c r="C846" t="inlineStr">
        <is>
          <t>GESTIÓN AMBIENTAL</t>
        </is>
      </c>
      <c r="D846" t="inlineStr">
        <is>
          <t>Mensual</t>
        </is>
      </c>
      <c r="E846" t="inlineStr">
        <is>
          <t>Negativo</t>
        </is>
      </c>
      <c r="F846" s="105" t="n">
        <v>45260</v>
      </c>
      <c r="G846" t="inlineStr">
        <is>
          <t>218-2023-11-30</t>
        </is>
      </c>
      <c r="H846" t="inlineStr">
        <is>
          <t>Consultorio Psicología - Medellin</t>
        </is>
      </c>
      <c r="I846" t="n">
        <v>172000</v>
      </c>
      <c r="J846" t="n">
        <v>1559</v>
      </c>
      <c r="N846" t="n">
        <v>1559</v>
      </c>
    </row>
    <row r="847">
      <c r="A847" t="n">
        <v>225</v>
      </c>
      <c r="B847" t="inlineStr">
        <is>
          <t>Acciones para el Cuidado y Mantenimiento de las Especies de Flora y el Suelo de las Áreas Naturales</t>
        </is>
      </c>
      <c r="C847" t="inlineStr">
        <is>
          <t>GESTIÓN AMBIENTAL</t>
        </is>
      </c>
      <c r="D847" t="inlineStr">
        <is>
          <t>Mensual</t>
        </is>
      </c>
      <c r="E847" t="inlineStr">
        <is>
          <t>Positivo</t>
        </is>
      </c>
      <c r="F847" s="105" t="n">
        <v>45260</v>
      </c>
      <c r="G847" t="inlineStr">
        <is>
          <t>225-2023-11-30</t>
        </is>
      </c>
      <c r="H847" t="inlineStr">
        <is>
          <t>Campus Bogotá</t>
        </is>
      </c>
      <c r="I847" t="n">
        <v>1</v>
      </c>
      <c r="J847" t="n">
        <v>4</v>
      </c>
      <c r="AT847" t="n">
        <v>4</v>
      </c>
    </row>
    <row r="848">
      <c r="A848" t="n">
        <v>225</v>
      </c>
      <c r="B848" t="inlineStr">
        <is>
          <t>Acciones para el Cuidado y Mantenimiento de las Especies de Flora y el Suelo de las Áreas Naturales</t>
        </is>
      </c>
      <c r="C848" t="inlineStr">
        <is>
          <t>GESTIÓN AMBIENTAL</t>
        </is>
      </c>
      <c r="D848" t="inlineStr">
        <is>
          <t>Mensual</t>
        </is>
      </c>
      <c r="E848" t="inlineStr">
        <is>
          <t>Positivo</t>
        </is>
      </c>
      <c r="F848" s="105" t="n">
        <v>45260</v>
      </c>
      <c r="G848" t="inlineStr">
        <is>
          <t>225-2023-11-30</t>
        </is>
      </c>
      <c r="H848" t="inlineStr">
        <is>
          <t>City Campus</t>
        </is>
      </c>
      <c r="I848" t="n">
        <v>1</v>
      </c>
      <c r="J848" t="n">
        <v>2</v>
      </c>
      <c r="AT848" t="n">
        <v>2</v>
      </c>
    </row>
    <row r="849">
      <c r="A849" t="n">
        <v>225</v>
      </c>
      <c r="B849" t="inlineStr">
        <is>
          <t>Acciones para el Cuidado y Mantenimiento de las Especies de Flora y el Suelo de las Áreas Naturales</t>
        </is>
      </c>
      <c r="C849" t="inlineStr">
        <is>
          <t>GESTIÓN AMBIENTAL</t>
        </is>
      </c>
      <c r="D849" t="inlineStr">
        <is>
          <t>Mensual</t>
        </is>
      </c>
      <c r="E849" t="inlineStr">
        <is>
          <t>Positivo</t>
        </is>
      </c>
      <c r="F849" s="105" t="n">
        <v>45260</v>
      </c>
      <c r="G849" t="inlineStr">
        <is>
          <t>225-2023-11-30</t>
        </is>
      </c>
      <c r="H849" t="inlineStr">
        <is>
          <t>Sede Posgrado-Calle 85</t>
        </is>
      </c>
      <c r="I849" t="n">
        <v>1</v>
      </c>
      <c r="J849" t="n">
        <v>0</v>
      </c>
      <c r="AT849" t="n">
        <v>0</v>
      </c>
    </row>
    <row r="850">
      <c r="A850" t="n">
        <v>225</v>
      </c>
      <c r="B850" t="inlineStr">
        <is>
          <t>Acciones para el Cuidado y Mantenimiento de las Especies de Flora y el Suelo de las Áreas Naturales</t>
        </is>
      </c>
      <c r="C850" t="inlineStr">
        <is>
          <t>GESTIÓN AMBIENTAL</t>
        </is>
      </c>
      <c r="D850" t="inlineStr">
        <is>
          <t>Mensual</t>
        </is>
      </c>
      <c r="E850" t="inlineStr">
        <is>
          <t>Positivo</t>
        </is>
      </c>
      <c r="F850" s="105" t="n">
        <v>45260</v>
      </c>
      <c r="G850" t="inlineStr">
        <is>
          <t>225-2023-11-30</t>
        </is>
      </c>
      <c r="H850" t="inlineStr">
        <is>
          <t>Campus-Medellín</t>
        </is>
      </c>
      <c r="I850" t="n">
        <v>1</v>
      </c>
      <c r="J850" t="n">
        <v>10</v>
      </c>
      <c r="AT850" t="n">
        <v>10</v>
      </c>
    </row>
    <row r="851">
      <c r="A851" t="n">
        <v>225</v>
      </c>
      <c r="B851" t="inlineStr">
        <is>
          <t>Acciones para el Cuidado y Mantenimiento de las Especies de Flora y el Suelo de las Áreas Naturales</t>
        </is>
      </c>
      <c r="C851" t="inlineStr">
        <is>
          <t>GESTIÓN AMBIENTAL</t>
        </is>
      </c>
      <c r="D851" t="inlineStr">
        <is>
          <t>Mensual</t>
        </is>
      </c>
      <c r="E851" t="inlineStr">
        <is>
          <t>Positivo</t>
        </is>
      </c>
      <c r="F851" s="105" t="n">
        <v>45260</v>
      </c>
      <c r="G851" t="inlineStr">
        <is>
          <t>225-2023-11-30</t>
        </is>
      </c>
      <c r="H851" t="inlineStr">
        <is>
          <t>Sede Bienestar - Medellín</t>
        </is>
      </c>
      <c r="I851" t="n">
        <v>1</v>
      </c>
      <c r="J851" t="n">
        <v>1</v>
      </c>
      <c r="AT851" t="n">
        <v>1</v>
      </c>
    </row>
    <row r="852">
      <c r="A852" t="n">
        <v>225</v>
      </c>
      <c r="B852" t="inlineStr">
        <is>
          <t>Acciones para el Cuidado y Mantenimiento de las Especies de Flora y el Suelo de las Áreas Naturales</t>
        </is>
      </c>
      <c r="C852" t="inlineStr">
        <is>
          <t>GESTIÓN AMBIENTAL</t>
        </is>
      </c>
      <c r="D852" t="inlineStr">
        <is>
          <t>Mensual</t>
        </is>
      </c>
      <c r="E852" t="inlineStr">
        <is>
          <t>Positivo</t>
        </is>
      </c>
      <c r="F852" s="105" t="n">
        <v>45260</v>
      </c>
      <c r="G852" t="inlineStr">
        <is>
          <t>225-2023-11-30</t>
        </is>
      </c>
      <c r="H852" t="inlineStr">
        <is>
          <t>Consultorio Psicología - Medellin</t>
        </is>
      </c>
      <c r="I852" t="n">
        <v>1</v>
      </c>
      <c r="J852" t="n">
        <v>1</v>
      </c>
      <c r="AT852" t="n">
        <v>1</v>
      </c>
    </row>
    <row r="853">
      <c r="A853" t="n">
        <v>434</v>
      </c>
      <c r="B853" t="inlineStr">
        <is>
          <t>Generación de Residuos Peligrosos Mensual</t>
        </is>
      </c>
      <c r="C853" t="inlineStr">
        <is>
          <t>GESTIÓN AMBIENTAL</t>
        </is>
      </c>
      <c r="D853" t="inlineStr">
        <is>
          <t>Mensual</t>
        </is>
      </c>
      <c r="E853" t="inlineStr">
        <is>
          <t>Negativo</t>
        </is>
      </c>
      <c r="F853" s="105" t="n">
        <v>45260</v>
      </c>
      <c r="G853" t="inlineStr">
        <is>
          <t>434-2023-11-30</t>
        </is>
      </c>
      <c r="H853" t="inlineStr">
        <is>
          <t>Campus Bogotá</t>
        </is>
      </c>
      <c r="I853" t="n">
        <v>200</v>
      </c>
      <c r="J853" t="n">
        <v>0</v>
      </c>
      <c r="AV853" t="n">
        <v>0</v>
      </c>
    </row>
    <row r="854">
      <c r="A854" t="n">
        <v>434</v>
      </c>
      <c r="B854" t="inlineStr">
        <is>
          <t>Generación de Residuos Peligrosos Mensual</t>
        </is>
      </c>
      <c r="C854" t="inlineStr">
        <is>
          <t>GESTIÓN AMBIENTAL</t>
        </is>
      </c>
      <c r="D854" t="inlineStr">
        <is>
          <t>Mensual</t>
        </is>
      </c>
      <c r="E854" t="inlineStr">
        <is>
          <t>Negativo</t>
        </is>
      </c>
      <c r="F854" s="105" t="n">
        <v>45260</v>
      </c>
      <c r="G854" t="inlineStr">
        <is>
          <t>434-2023-11-30</t>
        </is>
      </c>
      <c r="H854" t="inlineStr">
        <is>
          <t>City Campus</t>
        </is>
      </c>
      <c r="I854" t="n">
        <v>200</v>
      </c>
      <c r="J854" t="n">
        <v>1.110000014305115</v>
      </c>
      <c r="AV854" t="n">
        <v>1.11</v>
      </c>
    </row>
    <row r="855">
      <c r="A855" t="n">
        <v>434</v>
      </c>
      <c r="B855" t="inlineStr">
        <is>
          <t>Generación de Residuos Peligrosos Mensual</t>
        </is>
      </c>
      <c r="C855" t="inlineStr">
        <is>
          <t>GESTIÓN AMBIENTAL</t>
        </is>
      </c>
      <c r="D855" t="inlineStr">
        <is>
          <t>Mensual</t>
        </is>
      </c>
      <c r="E855" t="inlineStr">
        <is>
          <t>Negativo</t>
        </is>
      </c>
      <c r="F855" s="105" t="n">
        <v>45260</v>
      </c>
      <c r="G855" t="inlineStr">
        <is>
          <t>434-2023-11-30</t>
        </is>
      </c>
      <c r="H855" t="inlineStr">
        <is>
          <t>Sede Posgrado-Calle 85</t>
        </is>
      </c>
      <c r="I855" t="n">
        <v>200</v>
      </c>
      <c r="J855" t="n">
        <v>0</v>
      </c>
      <c r="AV855" t="n">
        <v>0</v>
      </c>
    </row>
    <row r="856">
      <c r="A856" t="n">
        <v>434</v>
      </c>
      <c r="B856" t="inlineStr">
        <is>
          <t>Generación de Residuos Peligrosos Mensual</t>
        </is>
      </c>
      <c r="C856" t="inlineStr">
        <is>
          <t>GESTIÓN AMBIENTAL</t>
        </is>
      </c>
      <c r="D856" t="inlineStr">
        <is>
          <t>Mensual</t>
        </is>
      </c>
      <c r="E856" t="inlineStr">
        <is>
          <t>Negativo</t>
        </is>
      </c>
      <c r="F856" s="105" t="n">
        <v>45260</v>
      </c>
      <c r="G856" t="inlineStr">
        <is>
          <t>434-2023-11-30</t>
        </is>
      </c>
      <c r="H856" t="inlineStr">
        <is>
          <t>Campus-Medellín</t>
        </is>
      </c>
      <c r="I856" t="n">
        <v>200</v>
      </c>
      <c r="J856" t="n">
        <v>13</v>
      </c>
      <c r="AV856" t="n">
        <v>13</v>
      </c>
    </row>
    <row r="857">
      <c r="A857" t="n">
        <v>434</v>
      </c>
      <c r="B857" t="inlineStr">
        <is>
          <t>Generación de Residuos Peligrosos Mensual</t>
        </is>
      </c>
      <c r="C857" t="inlineStr">
        <is>
          <t>GESTIÓN AMBIENTAL</t>
        </is>
      </c>
      <c r="D857" t="inlineStr">
        <is>
          <t>Mensual</t>
        </is>
      </c>
      <c r="E857" t="inlineStr">
        <is>
          <t>Negativo</t>
        </is>
      </c>
      <c r="F857" s="105" t="n">
        <v>45260</v>
      </c>
      <c r="G857" t="inlineStr">
        <is>
          <t>434-2023-11-30</t>
        </is>
      </c>
      <c r="H857" t="inlineStr">
        <is>
          <t>Sede Bienestar - Medellín</t>
        </is>
      </c>
      <c r="I857" t="n">
        <v>200</v>
      </c>
      <c r="J857" t="n">
        <v>0.2000000029802322</v>
      </c>
      <c r="AV857" t="n">
        <v>0.2</v>
      </c>
    </row>
    <row r="858">
      <c r="A858" t="n">
        <v>434</v>
      </c>
      <c r="B858" t="inlineStr">
        <is>
          <t>Generación de Residuos Peligrosos Mensual</t>
        </is>
      </c>
      <c r="C858" t="inlineStr">
        <is>
          <t>GESTIÓN AMBIENTAL</t>
        </is>
      </c>
      <c r="D858" t="inlineStr">
        <is>
          <t>Mensual</t>
        </is>
      </c>
      <c r="E858" t="inlineStr">
        <is>
          <t>Negativo</t>
        </is>
      </c>
      <c r="F858" s="105" t="n">
        <v>45260</v>
      </c>
      <c r="G858" t="inlineStr">
        <is>
          <t>434-2023-11-30</t>
        </is>
      </c>
      <c r="H858" t="inlineStr">
        <is>
          <t>Consultorio Psicología - Medellin</t>
        </is>
      </c>
      <c r="I858" t="n">
        <v>200</v>
      </c>
      <c r="J858" t="n">
        <v>0</v>
      </c>
      <c r="AV858" t="n">
        <v>0</v>
      </c>
    </row>
    <row r="859">
      <c r="A859" t="n">
        <v>436</v>
      </c>
      <c r="B859" t="inlineStr">
        <is>
          <t>ANS documentos operativos</t>
        </is>
      </c>
      <c r="C859" t="inlineStr">
        <is>
          <t>Gestión de calidad</t>
        </is>
      </c>
      <c r="D859" t="inlineStr">
        <is>
          <t>Mensual</t>
        </is>
      </c>
      <c r="E859" t="inlineStr">
        <is>
          <t>Negativo</t>
        </is>
      </c>
      <c r="F859" s="105" t="n">
        <v>45260</v>
      </c>
      <c r="G859" t="inlineStr">
        <is>
          <t>436-2023-11-30</t>
        </is>
      </c>
      <c r="H859" t="inlineStr">
        <is>
          <t>Solicitud Documental</t>
        </is>
      </c>
      <c r="I859" t="n">
        <v>14</v>
      </c>
      <c r="J859" t="n">
        <v>2.25</v>
      </c>
      <c r="CP859" t="n">
        <v>2.25</v>
      </c>
    </row>
    <row r="860">
      <c r="A860" t="n">
        <v>436</v>
      </c>
      <c r="B860" t="inlineStr">
        <is>
          <t>ANS documentos operativos</t>
        </is>
      </c>
      <c r="C860" t="inlineStr">
        <is>
          <t>Gestión de calidad</t>
        </is>
      </c>
      <c r="D860" t="inlineStr">
        <is>
          <t>Mensual</t>
        </is>
      </c>
      <c r="E860" t="inlineStr">
        <is>
          <t>Negativo</t>
        </is>
      </c>
      <c r="F860" s="105" t="n">
        <v>45260</v>
      </c>
      <c r="G860" t="inlineStr">
        <is>
          <t>436-2023-11-30</t>
        </is>
      </c>
      <c r="H860" t="inlineStr">
        <is>
          <t>Flujo de aprobación</t>
        </is>
      </c>
      <c r="I860" t="n">
        <v>7</v>
      </c>
      <c r="J860" t="n">
        <v>8.659999847412109</v>
      </c>
      <c r="CP860" t="n">
        <v>8.66</v>
      </c>
    </row>
    <row r="861">
      <c r="A861" t="n">
        <v>208</v>
      </c>
      <c r="B861" t="inlineStr">
        <is>
          <t>Consumo de Agua m3 Mensual</t>
        </is>
      </c>
      <c r="C861" t="inlineStr">
        <is>
          <t>GESTIÓN AMBIENTAL</t>
        </is>
      </c>
      <c r="D861" t="inlineStr">
        <is>
          <t>Mensual</t>
        </is>
      </c>
      <c r="E861" t="inlineStr">
        <is>
          <t>Negativo</t>
        </is>
      </c>
      <c r="F861" s="105" t="n">
        <v>45291</v>
      </c>
      <c r="G861" t="inlineStr">
        <is>
          <t>208-2023-12-31</t>
        </is>
      </c>
      <c r="H861" t="inlineStr">
        <is>
          <t>Campus Bogotá</t>
        </is>
      </c>
      <c r="I861" t="n">
        <v>1</v>
      </c>
      <c r="J861" t="n">
        <v>787</v>
      </c>
      <c r="K861" t="n">
        <v>787</v>
      </c>
    </row>
    <row r="862">
      <c r="A862" t="n">
        <v>208</v>
      </c>
      <c r="B862" t="inlineStr">
        <is>
          <t>Consumo de Agua m3 Mensual</t>
        </is>
      </c>
      <c r="C862" t="inlineStr">
        <is>
          <t>GESTIÓN AMBIENTAL</t>
        </is>
      </c>
      <c r="D862" t="inlineStr">
        <is>
          <t>Mensual</t>
        </is>
      </c>
      <c r="E862" t="inlineStr">
        <is>
          <t>Negativo</t>
        </is>
      </c>
      <c r="F862" s="105" t="n">
        <v>45291</v>
      </c>
      <c r="G862" t="inlineStr">
        <is>
          <t>208-2023-12-31</t>
        </is>
      </c>
      <c r="H862" t="inlineStr">
        <is>
          <t>City Campus</t>
        </is>
      </c>
      <c r="I862" t="n">
        <v>1</v>
      </c>
      <c r="J862" t="n">
        <v>219</v>
      </c>
      <c r="K862" t="n">
        <v>219</v>
      </c>
    </row>
    <row r="863">
      <c r="A863" t="n">
        <v>208</v>
      </c>
      <c r="B863" t="inlineStr">
        <is>
          <t>Consumo de Agua m3 Mensual</t>
        </is>
      </c>
      <c r="C863" t="inlineStr">
        <is>
          <t>GESTIÓN AMBIENTAL</t>
        </is>
      </c>
      <c r="D863" t="inlineStr">
        <is>
          <t>Mensual</t>
        </is>
      </c>
      <c r="E863" t="inlineStr">
        <is>
          <t>Negativo</t>
        </is>
      </c>
      <c r="F863" s="105" t="n">
        <v>45291</v>
      </c>
      <c r="G863" t="inlineStr">
        <is>
          <t>208-2023-12-31</t>
        </is>
      </c>
      <c r="H863" t="inlineStr">
        <is>
          <t>Sede Posgrado-Calle 85</t>
        </is>
      </c>
      <c r="I863" t="n">
        <v>1</v>
      </c>
      <c r="J863" t="n">
        <v>0</v>
      </c>
      <c r="K863" t="n">
        <v>0</v>
      </c>
    </row>
    <row r="864">
      <c r="A864" t="n">
        <v>208</v>
      </c>
      <c r="B864" t="inlineStr">
        <is>
          <t>Consumo de Agua m3 Mensual</t>
        </is>
      </c>
      <c r="C864" t="inlineStr">
        <is>
          <t>GESTIÓN AMBIENTAL</t>
        </is>
      </c>
      <c r="D864" t="inlineStr">
        <is>
          <t>Mensual</t>
        </is>
      </c>
      <c r="E864" t="inlineStr">
        <is>
          <t>Negativo</t>
        </is>
      </c>
      <c r="F864" s="105" t="n">
        <v>45291</v>
      </c>
      <c r="G864" t="inlineStr">
        <is>
          <t>208-2023-12-31</t>
        </is>
      </c>
      <c r="H864" t="inlineStr">
        <is>
          <t>Campus-Medellín</t>
        </is>
      </c>
      <c r="I864" t="n">
        <v>1</v>
      </c>
      <c r="J864" t="n">
        <v>310</v>
      </c>
      <c r="K864" t="n">
        <v>310</v>
      </c>
    </row>
    <row r="865">
      <c r="A865" t="n">
        <v>208</v>
      </c>
      <c r="B865" t="inlineStr">
        <is>
          <t>Consumo de Agua m3 Mensual</t>
        </is>
      </c>
      <c r="C865" t="inlineStr">
        <is>
          <t>GESTIÓN AMBIENTAL</t>
        </is>
      </c>
      <c r="D865" t="inlineStr">
        <is>
          <t>Mensual</t>
        </is>
      </c>
      <c r="E865" t="inlineStr">
        <is>
          <t>Negativo</t>
        </is>
      </c>
      <c r="F865" s="105" t="n">
        <v>45291</v>
      </c>
      <c r="G865" t="inlineStr">
        <is>
          <t>208-2023-12-31</t>
        </is>
      </c>
      <c r="H865" t="inlineStr">
        <is>
          <t>Sede Bienestar - Medellín</t>
        </is>
      </c>
      <c r="I865" t="n">
        <v>0</v>
      </c>
      <c r="J865" t="n">
        <v>0</v>
      </c>
      <c r="K865" t="n">
        <v>0</v>
      </c>
    </row>
    <row r="866">
      <c r="A866" t="n">
        <v>208</v>
      </c>
      <c r="B866" t="inlineStr">
        <is>
          <t>Consumo de Agua m3 Mensual</t>
        </is>
      </c>
      <c r="C866" t="inlineStr">
        <is>
          <t>GESTIÓN AMBIENTAL</t>
        </is>
      </c>
      <c r="D866" t="inlineStr">
        <is>
          <t>Mensual</t>
        </is>
      </c>
      <c r="E866" t="inlineStr">
        <is>
          <t>Negativo</t>
        </is>
      </c>
      <c r="F866" s="105" t="n">
        <v>45291</v>
      </c>
      <c r="G866" t="inlineStr">
        <is>
          <t>208-2023-12-31</t>
        </is>
      </c>
      <c r="H866" t="inlineStr">
        <is>
          <t>Consultorio Psicología - Medellin</t>
        </is>
      </c>
      <c r="I866" t="n">
        <v>1</v>
      </c>
      <c r="J866" t="n">
        <v>20</v>
      </c>
      <c r="K866" t="n">
        <v>20</v>
      </c>
    </row>
    <row r="867">
      <c r="A867" t="n">
        <v>214</v>
      </c>
      <c r="B867" t="inlineStr">
        <is>
          <t>Generación de Residuos Sólidos Mensual</t>
        </is>
      </c>
      <c r="C867" t="inlineStr">
        <is>
          <t>GESTIÓN AMBIENTAL</t>
        </is>
      </c>
      <c r="D867" t="inlineStr">
        <is>
          <t>Mensual</t>
        </is>
      </c>
      <c r="E867" t="inlineStr">
        <is>
          <t>Negativo</t>
        </is>
      </c>
      <c r="F867" s="105" t="n">
        <v>45291</v>
      </c>
      <c r="G867" t="inlineStr">
        <is>
          <t>214-2023-12-31</t>
        </is>
      </c>
      <c r="H867" t="inlineStr">
        <is>
          <t>Campus Bogotá</t>
        </is>
      </c>
      <c r="I867" t="n">
        <v>7500</v>
      </c>
      <c r="J867" t="n">
        <v>1184</v>
      </c>
      <c r="L867" t="n">
        <v>509</v>
      </c>
      <c r="M867" t="n">
        <v>675</v>
      </c>
    </row>
    <row r="868">
      <c r="A868" t="n">
        <v>214</v>
      </c>
      <c r="B868" t="inlineStr">
        <is>
          <t>Generación de Residuos Sólidos Mensual</t>
        </is>
      </c>
      <c r="C868" t="inlineStr">
        <is>
          <t>GESTIÓN AMBIENTAL</t>
        </is>
      </c>
      <c r="D868" t="inlineStr">
        <is>
          <t>Mensual</t>
        </is>
      </c>
      <c r="E868" t="inlineStr">
        <is>
          <t>Negativo</t>
        </is>
      </c>
      <c r="F868" s="105" t="n">
        <v>45291</v>
      </c>
      <c r="G868" t="inlineStr">
        <is>
          <t>214-2023-12-31</t>
        </is>
      </c>
      <c r="H868" t="inlineStr">
        <is>
          <t>City Campus</t>
        </is>
      </c>
      <c r="I868" t="n">
        <v>7500</v>
      </c>
      <c r="J868" t="n">
        <v>449.7900085449219</v>
      </c>
      <c r="L868" t="n">
        <v>0</v>
      </c>
      <c r="M868" t="n">
        <v>449.79</v>
      </c>
    </row>
    <row r="869">
      <c r="A869" t="n">
        <v>214</v>
      </c>
      <c r="B869" t="inlineStr">
        <is>
          <t>Generación de Residuos Sólidos Mensual</t>
        </is>
      </c>
      <c r="C869" t="inlineStr">
        <is>
          <t>GESTIÓN AMBIENTAL</t>
        </is>
      </c>
      <c r="D869" t="inlineStr">
        <is>
          <t>Mensual</t>
        </is>
      </c>
      <c r="E869" t="inlineStr">
        <is>
          <t>Negativo</t>
        </is>
      </c>
      <c r="F869" s="105" t="n">
        <v>45291</v>
      </c>
      <c r="G869" t="inlineStr">
        <is>
          <t>214-2023-12-31</t>
        </is>
      </c>
      <c r="H869" t="inlineStr">
        <is>
          <t>Sede Posgrado-Calle 85</t>
        </is>
      </c>
      <c r="I869" t="n">
        <v>7500</v>
      </c>
      <c r="J869" t="n">
        <v>0</v>
      </c>
      <c r="L869" t="n">
        <v>0</v>
      </c>
      <c r="M869" t="n">
        <v>0</v>
      </c>
    </row>
    <row r="870">
      <c r="A870" t="n">
        <v>214</v>
      </c>
      <c r="B870" t="inlineStr">
        <is>
          <t>Generación de Residuos Sólidos Mensual</t>
        </is>
      </c>
      <c r="C870" t="inlineStr">
        <is>
          <t>GESTIÓN AMBIENTAL</t>
        </is>
      </c>
      <c r="D870" t="inlineStr">
        <is>
          <t>Mensual</t>
        </is>
      </c>
      <c r="E870" t="inlineStr">
        <is>
          <t>Negativo</t>
        </is>
      </c>
      <c r="F870" s="105" t="n">
        <v>45291</v>
      </c>
      <c r="G870" t="inlineStr">
        <is>
          <t>214-2023-12-31</t>
        </is>
      </c>
      <c r="H870" t="inlineStr">
        <is>
          <t>Campus-Medellín</t>
        </is>
      </c>
      <c r="I870" t="n">
        <v>7500</v>
      </c>
      <c r="J870" t="n">
        <v>495.7999877929688</v>
      </c>
      <c r="L870" t="n">
        <v>56.2</v>
      </c>
      <c r="M870" t="n">
        <v>439.6</v>
      </c>
    </row>
    <row r="871">
      <c r="A871" t="n">
        <v>214</v>
      </c>
      <c r="B871" t="inlineStr">
        <is>
          <t>Generación de Residuos Sólidos Mensual</t>
        </is>
      </c>
      <c r="C871" t="inlineStr">
        <is>
          <t>GESTIÓN AMBIENTAL</t>
        </is>
      </c>
      <c r="D871" t="inlineStr">
        <is>
          <t>Mensual</t>
        </is>
      </c>
      <c r="E871" t="inlineStr">
        <is>
          <t>Negativo</t>
        </is>
      </c>
      <c r="F871" s="105" t="n">
        <v>45291</v>
      </c>
      <c r="G871" t="inlineStr">
        <is>
          <t>214-2023-12-31</t>
        </is>
      </c>
      <c r="H871" t="inlineStr">
        <is>
          <t>Sede Bienestar - Medellín</t>
        </is>
      </c>
      <c r="I871" t="n">
        <v>1</v>
      </c>
      <c r="J871" t="n">
        <v>0</v>
      </c>
      <c r="L871" t="n">
        <v>0</v>
      </c>
      <c r="M871" t="n">
        <v>0</v>
      </c>
    </row>
    <row r="872">
      <c r="A872" t="n">
        <v>214</v>
      </c>
      <c r="B872" t="inlineStr">
        <is>
          <t>Generación de Residuos Sólidos Mensual</t>
        </is>
      </c>
      <c r="C872" t="inlineStr">
        <is>
          <t>GESTIÓN AMBIENTAL</t>
        </is>
      </c>
      <c r="D872" t="inlineStr">
        <is>
          <t>Mensual</t>
        </is>
      </c>
      <c r="E872" t="inlineStr">
        <is>
          <t>Negativo</t>
        </is>
      </c>
      <c r="F872" s="105" t="n">
        <v>45291</v>
      </c>
      <c r="G872" t="inlineStr">
        <is>
          <t>214-2023-12-31</t>
        </is>
      </c>
      <c r="H872" t="inlineStr">
        <is>
          <t>Consultorio Psicología - Medellin</t>
        </is>
      </c>
      <c r="I872" t="n">
        <v>1</v>
      </c>
      <c r="J872" t="n">
        <v>0</v>
      </c>
      <c r="L872" t="n">
        <v>0</v>
      </c>
      <c r="M872" t="n">
        <v>0</v>
      </c>
    </row>
    <row r="873">
      <c r="A873" t="n">
        <v>217</v>
      </c>
      <c r="B873" t="inlineStr">
        <is>
          <t>Aprovechamiento de Residuos</t>
        </is>
      </c>
      <c r="C873" t="inlineStr">
        <is>
          <t>GESTIÓN AMBIENTAL</t>
        </is>
      </c>
      <c r="D873" t="inlineStr">
        <is>
          <t>Mensual</t>
        </is>
      </c>
      <c r="E873" t="inlineStr">
        <is>
          <t>Positivo</t>
        </is>
      </c>
      <c r="F873" s="105" t="n">
        <v>45291</v>
      </c>
      <c r="G873" t="inlineStr">
        <is>
          <t>217-2023-12-31</t>
        </is>
      </c>
      <c r="H873" t="inlineStr">
        <is>
          <t>Campus Bogotá</t>
        </is>
      </c>
      <c r="I873" t="n">
        <v>20</v>
      </c>
      <c r="J873" t="n">
        <v>42.9900016784668</v>
      </c>
      <c r="L873" t="n">
        <v>509</v>
      </c>
      <c r="M873" t="n">
        <v>675</v>
      </c>
      <c r="AS873" t="n">
        <v>509</v>
      </c>
    </row>
    <row r="874">
      <c r="A874" t="n">
        <v>217</v>
      </c>
      <c r="B874" t="inlineStr">
        <is>
          <t>Aprovechamiento de Residuos</t>
        </is>
      </c>
      <c r="C874" t="inlineStr">
        <is>
          <t>GESTIÓN AMBIENTAL</t>
        </is>
      </c>
      <c r="D874" t="inlineStr">
        <is>
          <t>Mensual</t>
        </is>
      </c>
      <c r="E874" t="inlineStr">
        <is>
          <t>Positivo</t>
        </is>
      </c>
      <c r="F874" s="105" t="n">
        <v>45291</v>
      </c>
      <c r="G874" t="inlineStr">
        <is>
          <t>217-2023-12-31</t>
        </is>
      </c>
      <c r="H874" t="inlineStr">
        <is>
          <t>City Campus</t>
        </is>
      </c>
      <c r="I874" t="n">
        <v>20</v>
      </c>
      <c r="J874" t="n">
        <v>0</v>
      </c>
      <c r="L874" t="n">
        <v>0</v>
      </c>
      <c r="M874" t="n">
        <v>449.79</v>
      </c>
      <c r="AS874" t="n">
        <v>0</v>
      </c>
    </row>
    <row r="875">
      <c r="A875" t="n">
        <v>217</v>
      </c>
      <c r="B875" t="inlineStr">
        <is>
          <t>Aprovechamiento de Residuos</t>
        </is>
      </c>
      <c r="C875" t="inlineStr">
        <is>
          <t>GESTIÓN AMBIENTAL</t>
        </is>
      </c>
      <c r="D875" t="inlineStr">
        <is>
          <t>Mensual</t>
        </is>
      </c>
      <c r="E875" t="inlineStr">
        <is>
          <t>Positivo</t>
        </is>
      </c>
      <c r="F875" s="105" t="n">
        <v>45291</v>
      </c>
      <c r="G875" t="inlineStr">
        <is>
          <t>217-2023-12-31</t>
        </is>
      </c>
      <c r="H875" t="inlineStr">
        <is>
          <t>Sede Posgrado-Calle 85</t>
        </is>
      </c>
      <c r="I875" t="n">
        <v>20</v>
      </c>
      <c r="J875" t="n">
        <v>0</v>
      </c>
      <c r="L875" t="n">
        <v>0</v>
      </c>
      <c r="M875" t="n">
        <v>0</v>
      </c>
      <c r="AS875" t="n">
        <v>0</v>
      </c>
    </row>
    <row r="876">
      <c r="A876" t="n">
        <v>217</v>
      </c>
      <c r="B876" t="inlineStr">
        <is>
          <t>Aprovechamiento de Residuos</t>
        </is>
      </c>
      <c r="C876" t="inlineStr">
        <is>
          <t>GESTIÓN AMBIENTAL</t>
        </is>
      </c>
      <c r="D876" t="inlineStr">
        <is>
          <t>Mensual</t>
        </is>
      </c>
      <c r="E876" t="inlineStr">
        <is>
          <t>Positivo</t>
        </is>
      </c>
      <c r="F876" s="105" t="n">
        <v>45291</v>
      </c>
      <c r="G876" t="inlineStr">
        <is>
          <t>217-2023-12-31</t>
        </is>
      </c>
      <c r="H876" t="inlineStr">
        <is>
          <t>Campus-Medellín</t>
        </is>
      </c>
      <c r="I876" t="n">
        <v>20</v>
      </c>
      <c r="J876" t="n">
        <v>11.34000015258789</v>
      </c>
      <c r="L876" t="n">
        <v>56.2</v>
      </c>
      <c r="M876" t="n">
        <v>439.6</v>
      </c>
      <c r="AS876" t="n">
        <v>56.2</v>
      </c>
    </row>
    <row r="877">
      <c r="A877" t="n">
        <v>217</v>
      </c>
      <c r="B877" t="inlineStr">
        <is>
          <t>Aprovechamiento de Residuos</t>
        </is>
      </c>
      <c r="C877" t="inlineStr">
        <is>
          <t>GESTIÓN AMBIENTAL</t>
        </is>
      </c>
      <c r="D877" t="inlineStr">
        <is>
          <t>Mensual</t>
        </is>
      </c>
      <c r="E877" t="inlineStr">
        <is>
          <t>Positivo</t>
        </is>
      </c>
      <c r="F877" s="105" t="n">
        <v>45291</v>
      </c>
      <c r="G877" t="inlineStr">
        <is>
          <t>217-2023-12-31</t>
        </is>
      </c>
      <c r="H877" t="inlineStr">
        <is>
          <t>Sede Bienestar - Medellín</t>
        </is>
      </c>
      <c r="I877" t="n">
        <v>20</v>
      </c>
      <c r="J877" t="n">
        <v>0</v>
      </c>
      <c r="L877" t="n">
        <v>0</v>
      </c>
      <c r="M877" t="n">
        <v>0</v>
      </c>
      <c r="AS877" t="n">
        <v>0</v>
      </c>
    </row>
    <row r="878">
      <c r="A878" t="n">
        <v>217</v>
      </c>
      <c r="B878" t="inlineStr">
        <is>
          <t>Aprovechamiento de Residuos</t>
        </is>
      </c>
      <c r="C878" t="inlineStr">
        <is>
          <t>GESTIÓN AMBIENTAL</t>
        </is>
      </c>
      <c r="D878" t="inlineStr">
        <is>
          <t>Mensual</t>
        </is>
      </c>
      <c r="E878" t="inlineStr">
        <is>
          <t>Positivo</t>
        </is>
      </c>
      <c r="F878" s="105" t="n">
        <v>45291</v>
      </c>
      <c r="G878" t="inlineStr">
        <is>
          <t>217-2023-12-31</t>
        </is>
      </c>
      <c r="H878" t="inlineStr">
        <is>
          <t>Consultorio Psicología - Medellin</t>
        </is>
      </c>
      <c r="I878" t="n">
        <v>20</v>
      </c>
      <c r="J878" t="n">
        <v>0</v>
      </c>
      <c r="L878" t="n">
        <v>0</v>
      </c>
      <c r="M878" t="n">
        <v>0</v>
      </c>
      <c r="AS878" t="n">
        <v>0</v>
      </c>
    </row>
    <row r="879">
      <c r="A879" t="n">
        <v>218</v>
      </c>
      <c r="B879" t="inlineStr">
        <is>
          <t>Consumo de Energía Eléctrica kWh Mensual</t>
        </is>
      </c>
      <c r="C879" t="inlineStr">
        <is>
          <t>GESTIÓN AMBIENTAL</t>
        </is>
      </c>
      <c r="D879" t="inlineStr">
        <is>
          <t>Mensual</t>
        </is>
      </c>
      <c r="E879" t="inlineStr">
        <is>
          <t>Negativo</t>
        </is>
      </c>
      <c r="F879" s="105" t="n">
        <v>45291</v>
      </c>
      <c r="G879" t="inlineStr">
        <is>
          <t>218-2023-12-31</t>
        </is>
      </c>
      <c r="H879" t="inlineStr">
        <is>
          <t>Campus Bogotá</t>
        </is>
      </c>
      <c r="I879" t="n">
        <v>172000</v>
      </c>
      <c r="J879" t="n">
        <v>53697</v>
      </c>
      <c r="N879" t="n">
        <v>53697</v>
      </c>
    </row>
    <row r="880">
      <c r="A880" t="n">
        <v>218</v>
      </c>
      <c r="B880" t="inlineStr">
        <is>
          <t>Consumo de Energía Eléctrica kWh Mensual</t>
        </is>
      </c>
      <c r="C880" t="inlineStr">
        <is>
          <t>GESTIÓN AMBIENTAL</t>
        </is>
      </c>
      <c r="D880" t="inlineStr">
        <is>
          <t>Mensual</t>
        </is>
      </c>
      <c r="E880" t="inlineStr">
        <is>
          <t>Negativo</t>
        </is>
      </c>
      <c r="F880" s="105" t="n">
        <v>45291</v>
      </c>
      <c r="G880" t="inlineStr">
        <is>
          <t>218-2023-12-31</t>
        </is>
      </c>
      <c r="H880" t="inlineStr">
        <is>
          <t>City Campus</t>
        </is>
      </c>
      <c r="I880" t="n">
        <v>172000</v>
      </c>
      <c r="J880" t="n">
        <v>42750</v>
      </c>
      <c r="N880" t="n">
        <v>42750</v>
      </c>
    </row>
    <row r="881">
      <c r="A881" t="n">
        <v>218</v>
      </c>
      <c r="B881" t="inlineStr">
        <is>
          <t>Consumo de Energía Eléctrica kWh Mensual</t>
        </is>
      </c>
      <c r="C881" t="inlineStr">
        <is>
          <t>GESTIÓN AMBIENTAL</t>
        </is>
      </c>
      <c r="D881" t="inlineStr">
        <is>
          <t>Mensual</t>
        </is>
      </c>
      <c r="E881" t="inlineStr">
        <is>
          <t>Negativo</t>
        </is>
      </c>
      <c r="F881" s="105" t="n">
        <v>45291</v>
      </c>
      <c r="G881" t="inlineStr">
        <is>
          <t>218-2023-12-31</t>
        </is>
      </c>
      <c r="H881" t="inlineStr">
        <is>
          <t>Sede Posgrado-Calle 85</t>
        </is>
      </c>
      <c r="I881" t="n">
        <v>172000</v>
      </c>
      <c r="J881" t="n">
        <v>0</v>
      </c>
      <c r="N881" t="n">
        <v>0</v>
      </c>
    </row>
    <row r="882">
      <c r="A882" t="n">
        <v>218</v>
      </c>
      <c r="B882" t="inlineStr">
        <is>
          <t>Consumo de Energía Eléctrica kWh Mensual</t>
        </is>
      </c>
      <c r="C882" t="inlineStr">
        <is>
          <t>GESTIÓN AMBIENTAL</t>
        </is>
      </c>
      <c r="D882" t="inlineStr">
        <is>
          <t>Mensual</t>
        </is>
      </c>
      <c r="E882" t="inlineStr">
        <is>
          <t>Negativo</t>
        </is>
      </c>
      <c r="F882" s="105" t="n">
        <v>45291</v>
      </c>
      <c r="G882" t="inlineStr">
        <is>
          <t>218-2023-12-31</t>
        </is>
      </c>
      <c r="H882" t="inlineStr">
        <is>
          <t>Campus-Medellín</t>
        </is>
      </c>
      <c r="I882" t="n">
        <v>172000</v>
      </c>
      <c r="J882" t="n">
        <v>6887</v>
      </c>
      <c r="N882" t="n">
        <v>6887</v>
      </c>
    </row>
    <row r="883">
      <c r="A883" t="n">
        <v>218</v>
      </c>
      <c r="B883" t="inlineStr">
        <is>
          <t>Consumo de Energía Eléctrica kWh Mensual</t>
        </is>
      </c>
      <c r="C883" t="inlineStr">
        <is>
          <t>GESTIÓN AMBIENTAL</t>
        </is>
      </c>
      <c r="D883" t="inlineStr">
        <is>
          <t>Mensual</t>
        </is>
      </c>
      <c r="E883" t="inlineStr">
        <is>
          <t>Negativo</t>
        </is>
      </c>
      <c r="F883" s="105" t="n">
        <v>45291</v>
      </c>
      <c r="G883" t="inlineStr">
        <is>
          <t>218-2023-12-31</t>
        </is>
      </c>
      <c r="H883" t="inlineStr">
        <is>
          <t>Sede Bienestar - Medellín</t>
        </is>
      </c>
      <c r="I883" t="n">
        <v>172000</v>
      </c>
      <c r="J883" t="n">
        <v>4440</v>
      </c>
      <c r="N883" t="n">
        <v>4440</v>
      </c>
    </row>
    <row r="884">
      <c r="A884" t="n">
        <v>218</v>
      </c>
      <c r="B884" t="inlineStr">
        <is>
          <t>Consumo de Energía Eléctrica kWh Mensual</t>
        </is>
      </c>
      <c r="C884" t="inlineStr">
        <is>
          <t>GESTIÓN AMBIENTAL</t>
        </is>
      </c>
      <c r="D884" t="inlineStr">
        <is>
          <t>Mensual</t>
        </is>
      </c>
      <c r="E884" t="inlineStr">
        <is>
          <t>Negativo</t>
        </is>
      </c>
      <c r="F884" s="105" t="n">
        <v>45291</v>
      </c>
      <c r="G884" t="inlineStr">
        <is>
          <t>218-2023-12-31</t>
        </is>
      </c>
      <c r="H884" t="inlineStr">
        <is>
          <t>Consultorio Psicología - Medellin</t>
        </is>
      </c>
      <c r="I884" t="n">
        <v>172000</v>
      </c>
      <c r="J884" t="n">
        <v>1396</v>
      </c>
      <c r="N884" t="n">
        <v>1396</v>
      </c>
    </row>
    <row r="885">
      <c r="A885" t="n">
        <v>225</v>
      </c>
      <c r="B885" t="inlineStr">
        <is>
          <t>Acciones para el Cuidado y Mantenimiento de las Especies de Flora y el Suelo de las Áreas Naturales</t>
        </is>
      </c>
      <c r="C885" t="inlineStr">
        <is>
          <t>GESTIÓN AMBIENTAL</t>
        </is>
      </c>
      <c r="D885" t="inlineStr">
        <is>
          <t>Mensual</t>
        </is>
      </c>
      <c r="E885" t="inlineStr">
        <is>
          <t>Positivo</t>
        </is>
      </c>
      <c r="F885" s="105" t="n">
        <v>45291</v>
      </c>
      <c r="G885" t="inlineStr">
        <is>
          <t>225-2023-12-31</t>
        </is>
      </c>
      <c r="H885" t="inlineStr">
        <is>
          <t>Campus Bogotá</t>
        </is>
      </c>
      <c r="I885" t="n">
        <v>1</v>
      </c>
      <c r="J885" t="n">
        <v>4</v>
      </c>
      <c r="AT885" t="n">
        <v>4</v>
      </c>
    </row>
    <row r="886">
      <c r="A886" t="n">
        <v>225</v>
      </c>
      <c r="B886" t="inlineStr">
        <is>
          <t>Acciones para el Cuidado y Mantenimiento de las Especies de Flora y el Suelo de las Áreas Naturales</t>
        </is>
      </c>
      <c r="C886" t="inlineStr">
        <is>
          <t>GESTIÓN AMBIENTAL</t>
        </is>
      </c>
      <c r="D886" t="inlineStr">
        <is>
          <t>Mensual</t>
        </is>
      </c>
      <c r="E886" t="inlineStr">
        <is>
          <t>Positivo</t>
        </is>
      </c>
      <c r="F886" s="105" t="n">
        <v>45291</v>
      </c>
      <c r="G886" t="inlineStr">
        <is>
          <t>225-2023-12-31</t>
        </is>
      </c>
      <c r="H886" t="inlineStr">
        <is>
          <t>City Campus</t>
        </is>
      </c>
      <c r="I886" t="n">
        <v>1</v>
      </c>
      <c r="J886" t="n">
        <v>2</v>
      </c>
      <c r="AT886" t="n">
        <v>2</v>
      </c>
    </row>
    <row r="887">
      <c r="A887" t="n">
        <v>225</v>
      </c>
      <c r="B887" t="inlineStr">
        <is>
          <t>Acciones para el Cuidado y Mantenimiento de las Especies de Flora y el Suelo de las Áreas Naturales</t>
        </is>
      </c>
      <c r="C887" t="inlineStr">
        <is>
          <t>GESTIÓN AMBIENTAL</t>
        </is>
      </c>
      <c r="D887" t="inlineStr">
        <is>
          <t>Mensual</t>
        </is>
      </c>
      <c r="E887" t="inlineStr">
        <is>
          <t>Positivo</t>
        </is>
      </c>
      <c r="F887" s="105" t="n">
        <v>45291</v>
      </c>
      <c r="G887" t="inlineStr">
        <is>
          <t>225-2023-12-31</t>
        </is>
      </c>
      <c r="H887" t="inlineStr">
        <is>
          <t>Sede Posgrado-Calle 85</t>
        </is>
      </c>
      <c r="I887" t="n">
        <v>1</v>
      </c>
      <c r="J887" t="n">
        <v>0</v>
      </c>
      <c r="AT887" t="n">
        <v>0</v>
      </c>
    </row>
    <row r="888">
      <c r="A888" t="n">
        <v>225</v>
      </c>
      <c r="B888" t="inlineStr">
        <is>
          <t>Acciones para el Cuidado y Mantenimiento de las Especies de Flora y el Suelo de las Áreas Naturales</t>
        </is>
      </c>
      <c r="C888" t="inlineStr">
        <is>
          <t>GESTIÓN AMBIENTAL</t>
        </is>
      </c>
      <c r="D888" t="inlineStr">
        <is>
          <t>Mensual</t>
        </is>
      </c>
      <c r="E888" t="inlineStr">
        <is>
          <t>Positivo</t>
        </is>
      </c>
      <c r="F888" s="105" t="n">
        <v>45291</v>
      </c>
      <c r="G888" t="inlineStr">
        <is>
          <t>225-2023-12-31</t>
        </is>
      </c>
      <c r="H888" t="inlineStr">
        <is>
          <t>Campus-Medellín</t>
        </is>
      </c>
      <c r="I888" t="n">
        <v>1</v>
      </c>
      <c r="J888" t="n">
        <v>10</v>
      </c>
      <c r="AT888" t="n">
        <v>10</v>
      </c>
    </row>
    <row r="889">
      <c r="A889" t="n">
        <v>225</v>
      </c>
      <c r="B889" t="inlineStr">
        <is>
          <t>Acciones para el Cuidado y Mantenimiento de las Especies de Flora y el Suelo de las Áreas Naturales</t>
        </is>
      </c>
      <c r="C889" t="inlineStr">
        <is>
          <t>GESTIÓN AMBIENTAL</t>
        </is>
      </c>
      <c r="D889" t="inlineStr">
        <is>
          <t>Mensual</t>
        </is>
      </c>
      <c r="E889" t="inlineStr">
        <is>
          <t>Positivo</t>
        </is>
      </c>
      <c r="F889" s="105" t="n">
        <v>45291</v>
      </c>
      <c r="G889" t="inlineStr">
        <is>
          <t>225-2023-12-31</t>
        </is>
      </c>
      <c r="H889" t="inlineStr">
        <is>
          <t>Sede Bienestar - Medellín</t>
        </is>
      </c>
      <c r="I889" t="n">
        <v>1</v>
      </c>
      <c r="J889" t="n">
        <v>1</v>
      </c>
      <c r="AT889" t="n">
        <v>1</v>
      </c>
    </row>
    <row r="890">
      <c r="A890" t="n">
        <v>225</v>
      </c>
      <c r="B890" t="inlineStr">
        <is>
          <t>Acciones para el Cuidado y Mantenimiento de las Especies de Flora y el Suelo de las Áreas Naturales</t>
        </is>
      </c>
      <c r="C890" t="inlineStr">
        <is>
          <t>GESTIÓN AMBIENTAL</t>
        </is>
      </c>
      <c r="D890" t="inlineStr">
        <is>
          <t>Mensual</t>
        </is>
      </c>
      <c r="E890" t="inlineStr">
        <is>
          <t>Positivo</t>
        </is>
      </c>
      <c r="F890" s="105" t="n">
        <v>45291</v>
      </c>
      <c r="G890" t="inlineStr">
        <is>
          <t>225-2023-12-31</t>
        </is>
      </c>
      <c r="H890" t="inlineStr">
        <is>
          <t>Consultorio Psicología - Medellin</t>
        </is>
      </c>
      <c r="I890" t="n">
        <v>1</v>
      </c>
      <c r="J890" t="n">
        <v>1</v>
      </c>
      <c r="AT890" t="n">
        <v>1</v>
      </c>
    </row>
    <row r="891">
      <c r="A891" t="n">
        <v>434</v>
      </c>
      <c r="B891" t="inlineStr">
        <is>
          <t>Generación de Residuos Peligrosos Mensual</t>
        </is>
      </c>
      <c r="C891" t="inlineStr">
        <is>
          <t>GESTIÓN AMBIENTAL</t>
        </is>
      </c>
      <c r="D891" t="inlineStr">
        <is>
          <t>Mensual</t>
        </is>
      </c>
      <c r="E891" t="inlineStr">
        <is>
          <t>Negativo</t>
        </is>
      </c>
      <c r="F891" s="105" t="n">
        <v>45291</v>
      </c>
      <c r="G891" t="inlineStr">
        <is>
          <t>434-2023-12-31</t>
        </is>
      </c>
      <c r="H891" t="inlineStr">
        <is>
          <t>Campus Bogotá</t>
        </is>
      </c>
      <c r="I891" t="n">
        <v>200</v>
      </c>
      <c r="J891" t="n">
        <v>404.8999938964844</v>
      </c>
      <c r="AV891" t="n">
        <v>404.9</v>
      </c>
    </row>
    <row r="892">
      <c r="A892" t="n">
        <v>434</v>
      </c>
      <c r="B892" t="inlineStr">
        <is>
          <t>Generación de Residuos Peligrosos Mensual</t>
        </is>
      </c>
      <c r="C892" t="inlineStr">
        <is>
          <t>GESTIÓN AMBIENTAL</t>
        </is>
      </c>
      <c r="D892" t="inlineStr">
        <is>
          <t>Mensual</t>
        </is>
      </c>
      <c r="E892" t="inlineStr">
        <is>
          <t>Negativo</t>
        </is>
      </c>
      <c r="F892" s="105" t="n">
        <v>45291</v>
      </c>
      <c r="G892" t="inlineStr">
        <is>
          <t>434-2023-12-31</t>
        </is>
      </c>
      <c r="H892" t="inlineStr">
        <is>
          <t>City Campus</t>
        </is>
      </c>
      <c r="I892" t="n">
        <v>200</v>
      </c>
      <c r="J892" t="n">
        <v>0</v>
      </c>
      <c r="AV892" t="n">
        <v>0</v>
      </c>
    </row>
    <row r="893">
      <c r="A893" t="n">
        <v>434</v>
      </c>
      <c r="B893" t="inlineStr">
        <is>
          <t>Generación de Residuos Peligrosos Mensual</t>
        </is>
      </c>
      <c r="C893" t="inlineStr">
        <is>
          <t>GESTIÓN AMBIENTAL</t>
        </is>
      </c>
      <c r="D893" t="inlineStr">
        <is>
          <t>Mensual</t>
        </is>
      </c>
      <c r="E893" t="inlineStr">
        <is>
          <t>Negativo</t>
        </is>
      </c>
      <c r="F893" s="105" t="n">
        <v>45291</v>
      </c>
      <c r="G893" t="inlineStr">
        <is>
          <t>434-2023-12-31</t>
        </is>
      </c>
      <c r="H893" t="inlineStr">
        <is>
          <t>Sede Posgrado-Calle 85</t>
        </is>
      </c>
      <c r="I893" t="n">
        <v>200</v>
      </c>
      <c r="J893" t="n">
        <v>0</v>
      </c>
      <c r="AV893" t="n">
        <v>0</v>
      </c>
    </row>
    <row r="894">
      <c r="A894" t="n">
        <v>434</v>
      </c>
      <c r="B894" t="inlineStr">
        <is>
          <t>Generación de Residuos Peligrosos Mensual</t>
        </is>
      </c>
      <c r="C894" t="inlineStr">
        <is>
          <t>GESTIÓN AMBIENTAL</t>
        </is>
      </c>
      <c r="D894" t="inlineStr">
        <is>
          <t>Mensual</t>
        </is>
      </c>
      <c r="E894" t="inlineStr">
        <is>
          <t>Negativo</t>
        </is>
      </c>
      <c r="F894" s="105" t="n">
        <v>45291</v>
      </c>
      <c r="G894" t="inlineStr">
        <is>
          <t>434-2023-12-31</t>
        </is>
      </c>
      <c r="H894" t="inlineStr">
        <is>
          <t>Campus-Medellín</t>
        </is>
      </c>
      <c r="I894" t="n">
        <v>200</v>
      </c>
      <c r="J894" t="n">
        <v>10.5</v>
      </c>
      <c r="AV894" t="n">
        <v>10.5</v>
      </c>
    </row>
    <row r="895">
      <c r="A895" t="n">
        <v>434</v>
      </c>
      <c r="B895" t="inlineStr">
        <is>
          <t>Generación de Residuos Peligrosos Mensual</t>
        </is>
      </c>
      <c r="C895" t="inlineStr">
        <is>
          <t>GESTIÓN AMBIENTAL</t>
        </is>
      </c>
      <c r="D895" t="inlineStr">
        <is>
          <t>Mensual</t>
        </is>
      </c>
      <c r="E895" t="inlineStr">
        <is>
          <t>Negativo</t>
        </is>
      </c>
      <c r="F895" s="105" t="n">
        <v>45291</v>
      </c>
      <c r="G895" t="inlineStr">
        <is>
          <t>434-2023-12-31</t>
        </is>
      </c>
      <c r="H895" t="inlineStr">
        <is>
          <t>Sede Bienestar - Medellín</t>
        </is>
      </c>
      <c r="I895" t="n">
        <v>200</v>
      </c>
      <c r="J895" t="n">
        <v>0.300000011920929</v>
      </c>
      <c r="AV895" t="n">
        <v>0.3</v>
      </c>
    </row>
    <row r="896">
      <c r="A896" t="n">
        <v>434</v>
      </c>
      <c r="B896" t="inlineStr">
        <is>
          <t>Generación de Residuos Peligrosos Mensual</t>
        </is>
      </c>
      <c r="C896" t="inlineStr">
        <is>
          <t>GESTIÓN AMBIENTAL</t>
        </is>
      </c>
      <c r="D896" t="inlineStr">
        <is>
          <t>Mensual</t>
        </is>
      </c>
      <c r="E896" t="inlineStr">
        <is>
          <t>Negativo</t>
        </is>
      </c>
      <c r="F896" s="105" t="n">
        <v>45291</v>
      </c>
      <c r="G896" t="inlineStr">
        <is>
          <t>434-2023-12-31</t>
        </is>
      </c>
      <c r="H896" t="inlineStr">
        <is>
          <t>Consultorio Psicología - Medellin</t>
        </is>
      </c>
      <c r="I896" t="n">
        <v>200</v>
      </c>
      <c r="J896" t="n">
        <v>0</v>
      </c>
      <c r="AV896" t="n">
        <v>0</v>
      </c>
    </row>
    <row r="897">
      <c r="A897" t="n">
        <v>436</v>
      </c>
      <c r="B897" t="inlineStr">
        <is>
          <t>ANS documentos operativos</t>
        </is>
      </c>
      <c r="C897" t="inlineStr">
        <is>
          <t>Gestión de calidad</t>
        </is>
      </c>
      <c r="D897" t="inlineStr">
        <is>
          <t>Mensual</t>
        </is>
      </c>
      <c r="E897" t="inlineStr">
        <is>
          <t>Negativo</t>
        </is>
      </c>
      <c r="F897" s="105" t="n">
        <v>45291</v>
      </c>
      <c r="G897" t="inlineStr">
        <is>
          <t>436-2023-12-31</t>
        </is>
      </c>
      <c r="H897" t="inlineStr">
        <is>
          <t>Solicitud Documental</t>
        </is>
      </c>
      <c r="I897" t="n">
        <v>14</v>
      </c>
      <c r="J897" t="n">
        <v>9.199999809265137</v>
      </c>
      <c r="CP897" t="n">
        <v>9.199999999999999</v>
      </c>
    </row>
    <row r="898">
      <c r="A898" t="n">
        <v>436</v>
      </c>
      <c r="B898" t="inlineStr">
        <is>
          <t>ANS documentos operativos</t>
        </is>
      </c>
      <c r="C898" t="inlineStr">
        <is>
          <t>Gestión de calidad</t>
        </is>
      </c>
      <c r="D898" t="inlineStr">
        <is>
          <t>Mensual</t>
        </is>
      </c>
      <c r="E898" t="inlineStr">
        <is>
          <t>Negativo</t>
        </is>
      </c>
      <c r="F898" s="105" t="n">
        <v>45291</v>
      </c>
      <c r="G898" t="inlineStr">
        <is>
          <t>436-2023-12-31</t>
        </is>
      </c>
      <c r="H898" t="inlineStr">
        <is>
          <t>Flujo de aprobación</t>
        </is>
      </c>
      <c r="I898" t="n">
        <v>7</v>
      </c>
      <c r="J898" t="n">
        <v>3.5</v>
      </c>
      <c r="CP898" t="n">
        <v>3.5</v>
      </c>
    </row>
    <row r="899">
      <c r="A899" t="n">
        <v>203</v>
      </c>
      <c r="B899" t="inlineStr">
        <is>
          <t>Cumplimiento de Ingresos</t>
        </is>
      </c>
      <c r="C899" t="inlineStr">
        <is>
          <t>Planeación Financiera</t>
        </is>
      </c>
      <c r="D899" t="inlineStr">
        <is>
          <t>Trimestral</t>
        </is>
      </c>
      <c r="E899" t="inlineStr">
        <is>
          <t>Positivo</t>
        </is>
      </c>
      <c r="F899" s="105" t="n">
        <v>45291</v>
      </c>
      <c r="G899" t="inlineStr">
        <is>
          <t>203-2023-12-31</t>
        </is>
      </c>
      <c r="H899" t="inlineStr">
        <is>
          <t>Ingresos por matriculas</t>
        </is>
      </c>
      <c r="I899" t="n">
        <v>95</v>
      </c>
      <c r="J899" t="n">
        <v>101.4000015258789</v>
      </c>
      <c r="BA899" t="n">
        <v>240231931855</v>
      </c>
      <c r="BB899" t="n">
        <v>243589577604</v>
      </c>
    </row>
    <row r="900">
      <c r="A900" t="n">
        <v>203</v>
      </c>
      <c r="B900" t="inlineStr">
        <is>
          <t>Cumplimiento de Ingresos</t>
        </is>
      </c>
      <c r="C900" t="inlineStr">
        <is>
          <t>Planeación Financiera</t>
        </is>
      </c>
      <c r="D900" t="inlineStr">
        <is>
          <t>Trimestral</t>
        </is>
      </c>
      <c r="E900" t="inlineStr">
        <is>
          <t>Positivo</t>
        </is>
      </c>
      <c r="F900" s="105" t="n">
        <v>45291</v>
      </c>
      <c r="G900" t="inlineStr">
        <is>
          <t>203-2023-12-31</t>
        </is>
      </c>
      <c r="H900" t="inlineStr">
        <is>
          <t>Programas especiales</t>
        </is>
      </c>
      <c r="I900" t="n">
        <v>95</v>
      </c>
      <c r="J900" t="n">
        <v>125.5400009155273</v>
      </c>
      <c r="BA900" t="n">
        <v>14097721000</v>
      </c>
      <c r="BB900" t="n">
        <v>17697585527</v>
      </c>
    </row>
    <row r="901">
      <c r="A901" t="n">
        <v>203</v>
      </c>
      <c r="B901" t="inlineStr">
        <is>
          <t>Cumplimiento de Ingresos</t>
        </is>
      </c>
      <c r="C901" t="inlineStr">
        <is>
          <t>Planeación Financiera</t>
        </is>
      </c>
      <c r="D901" t="inlineStr">
        <is>
          <t>Trimestral</t>
        </is>
      </c>
      <c r="E901" t="inlineStr">
        <is>
          <t>Positivo</t>
        </is>
      </c>
      <c r="F901" s="105" t="n">
        <v>45291</v>
      </c>
      <c r="G901" t="inlineStr">
        <is>
          <t>203-2023-12-31</t>
        </is>
      </c>
      <c r="H901" t="inlineStr">
        <is>
          <t>Otros Ingresos</t>
        </is>
      </c>
      <c r="I901" t="n">
        <v>95</v>
      </c>
      <c r="J901" t="n">
        <v>118.6500015258789</v>
      </c>
      <c r="BA901" t="n">
        <v>10514786421</v>
      </c>
      <c r="BB901" t="n">
        <v>12475657870</v>
      </c>
    </row>
    <row r="902">
      <c r="A902" t="n">
        <v>215</v>
      </c>
      <c r="B902" t="inlineStr">
        <is>
          <t>Disminución de la Generación de Residuos per Cápita</t>
        </is>
      </c>
      <c r="C902" t="inlineStr">
        <is>
          <t>GESTIÓN AMBIENTAL</t>
        </is>
      </c>
      <c r="D902" t="inlineStr">
        <is>
          <t>Trimestral</t>
        </is>
      </c>
      <c r="E902" t="inlineStr">
        <is>
          <t>Positivo</t>
        </is>
      </c>
      <c r="F902" s="105" t="n">
        <v>45291</v>
      </c>
      <c r="G902" t="inlineStr">
        <is>
          <t>215-2023-12-31</t>
        </is>
      </c>
      <c r="H902" t="inlineStr">
        <is>
          <t>Sede Posgrado-Calle 85</t>
        </is>
      </c>
      <c r="I902" t="n">
        <v>1</v>
      </c>
      <c r="J902" t="n">
        <v>0</v>
      </c>
      <c r="AC902" t="n">
        <v>0</v>
      </c>
      <c r="AD902" t="n">
        <v>0</v>
      </c>
    </row>
    <row r="903">
      <c r="A903" t="n">
        <v>215</v>
      </c>
      <c r="B903" t="inlineStr">
        <is>
          <t>Disminución de la Generación de Residuos per Cápita</t>
        </is>
      </c>
      <c r="C903" t="inlineStr">
        <is>
          <t>GESTIÓN AMBIENTAL</t>
        </is>
      </c>
      <c r="D903" t="inlineStr">
        <is>
          <t>Trimestral</t>
        </is>
      </c>
      <c r="E903" t="inlineStr">
        <is>
          <t>Positivo</t>
        </is>
      </c>
      <c r="F903" s="105" t="n">
        <v>45291</v>
      </c>
      <c r="G903" t="inlineStr">
        <is>
          <t>215-2023-12-31</t>
        </is>
      </c>
      <c r="H903" t="inlineStr">
        <is>
          <t>Sede Bienestar - Medellín</t>
        </is>
      </c>
      <c r="I903" t="n">
        <v>1</v>
      </c>
      <c r="J903" t="n">
        <v>0</v>
      </c>
      <c r="AC903" t="n">
        <v>0</v>
      </c>
      <c r="AD903" t="n">
        <v>0</v>
      </c>
    </row>
    <row r="904">
      <c r="A904" t="n">
        <v>215</v>
      </c>
      <c r="B904" t="inlineStr">
        <is>
          <t>Disminución de la Generación de Residuos per Cápita</t>
        </is>
      </c>
      <c r="C904" t="inlineStr">
        <is>
          <t>GESTIÓN AMBIENTAL</t>
        </is>
      </c>
      <c r="D904" t="inlineStr">
        <is>
          <t>Trimestral</t>
        </is>
      </c>
      <c r="E904" t="inlineStr">
        <is>
          <t>Positivo</t>
        </is>
      </c>
      <c r="F904" s="105" t="n">
        <v>45291</v>
      </c>
      <c r="G904" t="inlineStr">
        <is>
          <t>215-2023-12-31</t>
        </is>
      </c>
      <c r="H904" t="inlineStr">
        <is>
          <t>Consultorio Psicología - Medellin</t>
        </is>
      </c>
      <c r="I904" t="n">
        <v>1</v>
      </c>
      <c r="J904" t="n">
        <v>0</v>
      </c>
      <c r="AC904" t="n">
        <v>0</v>
      </c>
      <c r="AD904" t="n">
        <v>0</v>
      </c>
    </row>
    <row r="905">
      <c r="A905" t="n">
        <v>215</v>
      </c>
      <c r="B905" t="inlineStr">
        <is>
          <t>Disminución de la Generación de Residuos per Cápita</t>
        </is>
      </c>
      <c r="C905" t="inlineStr">
        <is>
          <t>GESTIÓN AMBIENTAL</t>
        </is>
      </c>
      <c r="D905" t="inlineStr">
        <is>
          <t>Trimestral</t>
        </is>
      </c>
      <c r="E905" t="inlineStr">
        <is>
          <t>Positivo</t>
        </is>
      </c>
      <c r="F905" s="105" t="n">
        <v>45291</v>
      </c>
      <c r="G905" t="inlineStr">
        <is>
          <t>215-2023-12-31</t>
        </is>
      </c>
      <c r="H905" t="inlineStr">
        <is>
          <t>Campus Bogotá</t>
        </is>
      </c>
      <c r="I905" t="n">
        <v>1</v>
      </c>
      <c r="J905" t="n">
        <v>-236.1100006103516</v>
      </c>
      <c r="AC905" t="n">
        <v>0.36</v>
      </c>
      <c r="AD905" t="n">
        <v>1.21</v>
      </c>
    </row>
    <row r="906">
      <c r="A906" t="n">
        <v>215</v>
      </c>
      <c r="B906" t="inlineStr">
        <is>
          <t>Disminución de la Generación de Residuos per Cápita</t>
        </is>
      </c>
      <c r="C906" t="inlineStr">
        <is>
          <t>GESTIÓN AMBIENTAL</t>
        </is>
      </c>
      <c r="D906" t="inlineStr">
        <is>
          <t>Trimestral</t>
        </is>
      </c>
      <c r="E906" t="inlineStr">
        <is>
          <t>Positivo</t>
        </is>
      </c>
      <c r="F906" s="105" t="n">
        <v>45291</v>
      </c>
      <c r="G906" t="inlineStr">
        <is>
          <t>215-2023-12-31</t>
        </is>
      </c>
      <c r="H906" t="inlineStr">
        <is>
          <t>City Campus</t>
        </is>
      </c>
      <c r="I906" t="n">
        <v>1</v>
      </c>
      <c r="J906" t="n">
        <v>-22.57999992370605</v>
      </c>
      <c r="AC906" t="n">
        <v>0.31</v>
      </c>
      <c r="AD906" t="n">
        <v>0.38</v>
      </c>
    </row>
    <row r="907">
      <c r="A907" t="n">
        <v>215</v>
      </c>
      <c r="B907" t="inlineStr">
        <is>
          <t>Disminución de la Generación de Residuos per Cápita</t>
        </is>
      </c>
      <c r="C907" t="inlineStr">
        <is>
          <t>GESTIÓN AMBIENTAL</t>
        </is>
      </c>
      <c r="D907" t="inlineStr">
        <is>
          <t>Trimestral</t>
        </is>
      </c>
      <c r="E907" t="inlineStr">
        <is>
          <t>Positivo</t>
        </is>
      </c>
      <c r="F907" s="105" t="n">
        <v>45291</v>
      </c>
      <c r="G907" t="inlineStr">
        <is>
          <t>215-2023-12-31</t>
        </is>
      </c>
      <c r="H907" t="inlineStr">
        <is>
          <t>Campus-Medellín</t>
        </is>
      </c>
      <c r="I907" t="n">
        <v>0</v>
      </c>
      <c r="J907" t="n">
        <v>-86.36000061035156</v>
      </c>
      <c r="AC907" t="n">
        <v>0.22</v>
      </c>
      <c r="AD907" t="n">
        <v>0.41</v>
      </c>
    </row>
    <row r="908">
      <c r="A908" t="n">
        <v>219</v>
      </c>
      <c r="B908" t="inlineStr">
        <is>
          <t>Disminución del Consumo de Energía Eléctrica per Cápita</t>
        </is>
      </c>
      <c r="C908" t="inlineStr">
        <is>
          <t>GESTIÓN AMBIENTAL</t>
        </is>
      </c>
      <c r="D908" t="inlineStr">
        <is>
          <t>Trimestral</t>
        </is>
      </c>
      <c r="E908" t="inlineStr">
        <is>
          <t>Positivo</t>
        </is>
      </c>
      <c r="F908" s="105" t="n">
        <v>45291</v>
      </c>
      <c r="G908" t="inlineStr">
        <is>
          <t>219-2023-12-31</t>
        </is>
      </c>
      <c r="H908" t="inlineStr">
        <is>
          <t>City Campus</t>
        </is>
      </c>
      <c r="I908" t="n">
        <v>1</v>
      </c>
      <c r="J908" t="n">
        <v>-18.97999954223633</v>
      </c>
      <c r="O908" t="n">
        <v>583</v>
      </c>
      <c r="P908" t="n">
        <v>29</v>
      </c>
      <c r="Q908" t="n">
        <v>8166</v>
      </c>
      <c r="R908" t="n">
        <v>2922</v>
      </c>
      <c r="S908" t="n">
        <v>679</v>
      </c>
      <c r="T908" t="n">
        <v>30</v>
      </c>
      <c r="U908" t="n">
        <v>11072</v>
      </c>
      <c r="V908" t="n">
        <v>1948</v>
      </c>
      <c r="W908" t="n">
        <v>289560</v>
      </c>
      <c r="X908" t="n">
        <v>285570</v>
      </c>
    </row>
    <row r="909">
      <c r="A909" t="n">
        <v>219</v>
      </c>
      <c r="B909" t="inlineStr">
        <is>
          <t>Disminución del Consumo de Energía Eléctrica per Cápita</t>
        </is>
      </c>
      <c r="C909" t="inlineStr">
        <is>
          <t>GESTIÓN AMBIENTAL</t>
        </is>
      </c>
      <c r="D909" t="inlineStr">
        <is>
          <t>Trimestral</t>
        </is>
      </c>
      <c r="E909" t="inlineStr">
        <is>
          <t>Positivo</t>
        </is>
      </c>
      <c r="F909" s="105" t="n">
        <v>45291</v>
      </c>
      <c r="G909" t="inlineStr">
        <is>
          <t>219-2023-12-31</t>
        </is>
      </c>
      <c r="H909" t="inlineStr">
        <is>
          <t>Campus-Medellín</t>
        </is>
      </c>
      <c r="I909" t="n">
        <v>1</v>
      </c>
      <c r="J909" t="n">
        <v>27.43000030517578</v>
      </c>
      <c r="O909" t="n">
        <v>312</v>
      </c>
      <c r="P909" t="n">
        <v>867</v>
      </c>
      <c r="Q909" t="n">
        <v>9662</v>
      </c>
      <c r="R909" t="n">
        <v>171</v>
      </c>
      <c r="S909" t="n">
        <v>300</v>
      </c>
      <c r="T909" t="n">
        <v>828</v>
      </c>
      <c r="U909" t="n">
        <v>12287</v>
      </c>
      <c r="V909" t="n">
        <v>144</v>
      </c>
      <c r="W909" t="n">
        <v>82051.05</v>
      </c>
      <c r="X909" t="n">
        <v>139217</v>
      </c>
    </row>
    <row r="910">
      <c r="A910" t="n">
        <v>219</v>
      </c>
      <c r="B910" t="inlineStr">
        <is>
          <t>Disminución del Consumo de Energía Eléctrica per Cápita</t>
        </is>
      </c>
      <c r="C910" t="inlineStr">
        <is>
          <t>GESTIÓN AMBIENTAL</t>
        </is>
      </c>
      <c r="D910" t="inlineStr">
        <is>
          <t>Trimestral</t>
        </is>
      </c>
      <c r="E910" t="inlineStr">
        <is>
          <t>Positivo</t>
        </is>
      </c>
      <c r="F910" s="105" t="n">
        <v>45291</v>
      </c>
      <c r="G910" t="inlineStr">
        <is>
          <t>219-2023-12-31</t>
        </is>
      </c>
      <c r="H910" t="inlineStr">
        <is>
          <t>Sede Bienestar - Medellín</t>
        </is>
      </c>
      <c r="I910" t="n">
        <v>1</v>
      </c>
      <c r="J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t="n">
        <v>0</v>
      </c>
      <c r="W910" t="n">
        <v>24000</v>
      </c>
      <c r="X910" t="n">
        <v>0</v>
      </c>
    </row>
    <row r="911">
      <c r="A911" t="n">
        <v>219</v>
      </c>
      <c r="B911" t="inlineStr">
        <is>
          <t>Disminución del Consumo de Energía Eléctrica per Cápita</t>
        </is>
      </c>
      <c r="C911" t="inlineStr">
        <is>
          <t>GESTIÓN AMBIENTAL</t>
        </is>
      </c>
      <c r="D911" t="inlineStr">
        <is>
          <t>Trimestral</t>
        </is>
      </c>
      <c r="E911" t="inlineStr">
        <is>
          <t>Positivo</t>
        </is>
      </c>
      <c r="F911" s="105" t="n">
        <v>45291</v>
      </c>
      <c r="G911" t="inlineStr">
        <is>
          <t>219-2023-12-31</t>
        </is>
      </c>
      <c r="H911" t="inlineStr">
        <is>
          <t>Consultorio Psicología - Medellin</t>
        </is>
      </c>
      <c r="I911" t="n">
        <v>1</v>
      </c>
      <c r="J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t="n">
        <v>0</v>
      </c>
      <c r="W911" t="n">
        <v>0</v>
      </c>
      <c r="X911" t="n">
        <v>0</v>
      </c>
    </row>
    <row r="912">
      <c r="A912" t="n">
        <v>219</v>
      </c>
      <c r="B912" t="inlineStr">
        <is>
          <t>Disminución del Consumo de Energía Eléctrica per Cápita</t>
        </is>
      </c>
      <c r="C912" t="inlineStr">
        <is>
          <t>GESTIÓN AMBIENTAL</t>
        </is>
      </c>
      <c r="D912" t="inlineStr">
        <is>
          <t>Trimestral</t>
        </is>
      </c>
      <c r="E912" t="inlineStr">
        <is>
          <t>Positivo</t>
        </is>
      </c>
      <c r="F912" s="105" t="n">
        <v>45291</v>
      </c>
      <c r="G912" t="inlineStr">
        <is>
          <t>219-2023-12-31</t>
        </is>
      </c>
      <c r="H912" t="inlineStr">
        <is>
          <t>Campus Bogotá</t>
        </is>
      </c>
      <c r="I912" t="n">
        <v>1</v>
      </c>
      <c r="J912" t="n">
        <v>-4.260000228881836</v>
      </c>
      <c r="O912" t="n">
        <v>1859</v>
      </c>
      <c r="P912" t="n">
        <v>3240</v>
      </c>
      <c r="Q912" t="n">
        <v>13146</v>
      </c>
      <c r="R912" t="n">
        <v>0</v>
      </c>
      <c r="S912" t="n">
        <v>1872</v>
      </c>
      <c r="T912" t="n">
        <v>2992</v>
      </c>
      <c r="U912" t="n">
        <v>13656</v>
      </c>
      <c r="V912" t="n">
        <v>0</v>
      </c>
      <c r="W912" t="n">
        <v>391217</v>
      </c>
      <c r="X912" t="n">
        <v>380904</v>
      </c>
    </row>
    <row r="913">
      <c r="A913" t="n">
        <v>274</v>
      </c>
      <c r="B913" t="inlineStr">
        <is>
          <t>Cumplimiento total estudiantes antiguos</t>
        </is>
      </c>
      <c r="C913" t="inlineStr">
        <is>
          <t>Rematrícula</t>
        </is>
      </c>
      <c r="D913" t="inlineStr">
        <is>
          <t>Trimestral</t>
        </is>
      </c>
      <c r="E913" t="inlineStr">
        <is>
          <t>Positivo</t>
        </is>
      </c>
      <c r="F913" s="105" t="n">
        <v>45291</v>
      </c>
      <c r="G913" t="inlineStr">
        <is>
          <t>274-2023-12-31</t>
        </is>
      </c>
      <c r="H913" t="inlineStr">
        <is>
          <t>Posgrado Presencial</t>
        </is>
      </c>
      <c r="I913" t="n">
        <v>100</v>
      </c>
      <c r="J913" t="n">
        <v>115.2200012207031</v>
      </c>
      <c r="BC913" t="n">
        <v>333</v>
      </c>
      <c r="BD913" t="n">
        <v>289</v>
      </c>
    </row>
    <row r="914">
      <c r="A914" t="n">
        <v>274</v>
      </c>
      <c r="B914" t="inlineStr">
        <is>
          <t>Cumplimiento total estudiantes antiguos</t>
        </is>
      </c>
      <c r="C914" t="inlineStr">
        <is>
          <t>Rematrícula</t>
        </is>
      </c>
      <c r="D914" t="inlineStr">
        <is>
          <t>Trimestral</t>
        </is>
      </c>
      <c r="E914" t="inlineStr">
        <is>
          <t>Positivo</t>
        </is>
      </c>
      <c r="F914" s="105" t="n">
        <v>45291</v>
      </c>
      <c r="G914" t="inlineStr">
        <is>
          <t>274-2023-12-31</t>
        </is>
      </c>
      <c r="H914" t="inlineStr">
        <is>
          <t>Pregrado Presencial</t>
        </is>
      </c>
      <c r="I914" t="n">
        <v>100</v>
      </c>
      <c r="J914" t="n">
        <v>103.3499984741211</v>
      </c>
      <c r="BC914" t="n">
        <v>6168</v>
      </c>
      <c r="BD914" t="n">
        <v>5968</v>
      </c>
    </row>
    <row r="915">
      <c r="A915" t="n">
        <v>274</v>
      </c>
      <c r="B915" t="inlineStr">
        <is>
          <t>Cumplimiento total estudiantes antiguos</t>
        </is>
      </c>
      <c r="C915" t="inlineStr">
        <is>
          <t>Rematrícula</t>
        </is>
      </c>
      <c r="D915" t="inlineStr">
        <is>
          <t>Trimestral</t>
        </is>
      </c>
      <c r="E915" t="inlineStr">
        <is>
          <t>Positivo</t>
        </is>
      </c>
      <c r="F915" s="105" t="n">
        <v>45291</v>
      </c>
      <c r="G915" t="inlineStr">
        <is>
          <t>274-2023-12-31</t>
        </is>
      </c>
      <c r="H915" t="inlineStr">
        <is>
          <t>Pregrado Virtual</t>
        </is>
      </c>
      <c r="I915" t="n">
        <v>100</v>
      </c>
      <c r="J915" t="n">
        <v>96.08999633789062</v>
      </c>
      <c r="BC915" t="n">
        <v>32803</v>
      </c>
      <c r="BD915" t="n">
        <v>34138</v>
      </c>
    </row>
    <row r="916">
      <c r="A916" t="n">
        <v>274</v>
      </c>
      <c r="B916" t="inlineStr">
        <is>
          <t>Cumplimiento total estudiantes antiguos</t>
        </is>
      </c>
      <c r="C916" t="inlineStr">
        <is>
          <t>Rematrícula</t>
        </is>
      </c>
      <c r="D916" t="inlineStr">
        <is>
          <t>Trimestral</t>
        </is>
      </c>
      <c r="E916" t="inlineStr">
        <is>
          <t>Positivo</t>
        </is>
      </c>
      <c r="F916" s="105" t="n">
        <v>45291</v>
      </c>
      <c r="G916" t="inlineStr">
        <is>
          <t>274-2023-12-31</t>
        </is>
      </c>
      <c r="H916" t="inlineStr">
        <is>
          <t>Posgrado Virtual</t>
        </is>
      </c>
      <c r="I916" t="n">
        <v>100</v>
      </c>
      <c r="J916" t="n">
        <v>103.3899993896484</v>
      </c>
      <c r="BC916" t="n">
        <v>1465</v>
      </c>
      <c r="BD916" t="n">
        <v>1417</v>
      </c>
    </row>
    <row r="917">
      <c r="A917" t="n">
        <v>278</v>
      </c>
      <c r="B917" t="inlineStr">
        <is>
          <t>Docentes contratados - Metrica</t>
        </is>
      </c>
      <c r="C917" t="inlineStr">
        <is>
          <t>Gestión Docente</t>
        </is>
      </c>
      <c r="D917" t="inlineStr">
        <is>
          <t>Trimestral</t>
        </is>
      </c>
      <c r="E917" t="inlineStr">
        <is>
          <t>Positivo</t>
        </is>
      </c>
      <c r="F917" s="105" t="n">
        <v>45291</v>
      </c>
      <c r="G917" t="inlineStr">
        <is>
          <t>278-2023-12-31</t>
        </is>
      </c>
      <c r="H917" t="inlineStr">
        <is>
          <t>Tiempo completo</t>
        </is>
      </c>
      <c r="J917" t="n">
        <v>608</v>
      </c>
      <c r="BE917" t="n">
        <v>608</v>
      </c>
    </row>
    <row r="918">
      <c r="A918" t="n">
        <v>278</v>
      </c>
      <c r="B918" t="inlineStr">
        <is>
          <t>Docentes contratados - Metrica</t>
        </is>
      </c>
      <c r="C918" t="inlineStr">
        <is>
          <t>Gestión Docente</t>
        </is>
      </c>
      <c r="D918" t="inlineStr">
        <is>
          <t>Trimestral</t>
        </is>
      </c>
      <c r="E918" t="inlineStr">
        <is>
          <t>Positivo</t>
        </is>
      </c>
      <c r="F918" s="105" t="n">
        <v>45291</v>
      </c>
      <c r="G918" t="inlineStr">
        <is>
          <t>278-2023-12-31</t>
        </is>
      </c>
      <c r="H918" t="inlineStr">
        <is>
          <t>Medio tiempo</t>
        </is>
      </c>
      <c r="J918" t="n">
        <v>186</v>
      </c>
      <c r="BE918" t="n">
        <v>186</v>
      </c>
    </row>
    <row r="919">
      <c r="A919" t="n">
        <v>278</v>
      </c>
      <c r="B919" t="inlineStr">
        <is>
          <t>Docentes contratados - Metrica</t>
        </is>
      </c>
      <c r="C919" t="inlineStr">
        <is>
          <t>Gestión Docente</t>
        </is>
      </c>
      <c r="D919" t="inlineStr">
        <is>
          <t>Trimestral</t>
        </is>
      </c>
      <c r="E919" t="inlineStr">
        <is>
          <t>Positivo</t>
        </is>
      </c>
      <c r="F919" s="105" t="n">
        <v>45291</v>
      </c>
      <c r="G919" t="inlineStr">
        <is>
          <t>278-2023-12-31</t>
        </is>
      </c>
      <c r="H919" t="inlineStr">
        <is>
          <t>Catedra</t>
        </is>
      </c>
      <c r="J919" t="n">
        <v>223</v>
      </c>
      <c r="BE919" t="n">
        <v>223</v>
      </c>
    </row>
    <row r="920">
      <c r="A920" t="n">
        <v>286</v>
      </c>
      <c r="B920" t="inlineStr">
        <is>
          <t>Total docentes por nivel de estudios - Metrica</t>
        </is>
      </c>
      <c r="C920" t="inlineStr">
        <is>
          <t>Gestión Docente</t>
        </is>
      </c>
      <c r="D920" t="inlineStr">
        <is>
          <t>Trimestral</t>
        </is>
      </c>
      <c r="E920" t="inlineStr">
        <is>
          <t>Positivo</t>
        </is>
      </c>
      <c r="F920" s="105" t="n">
        <v>45291</v>
      </c>
      <c r="G920" t="inlineStr">
        <is>
          <t>286-2023-12-31</t>
        </is>
      </c>
      <c r="H920" t="inlineStr">
        <is>
          <t>Doctorado</t>
        </is>
      </c>
      <c r="J920" t="n">
        <v>62</v>
      </c>
      <c r="BF920" t="n">
        <v>62</v>
      </c>
    </row>
    <row r="921">
      <c r="A921" t="n">
        <v>286</v>
      </c>
      <c r="B921" t="inlineStr">
        <is>
          <t>Total docentes por nivel de estudios - Metrica</t>
        </is>
      </c>
      <c r="C921" t="inlineStr">
        <is>
          <t>Gestión Docente</t>
        </is>
      </c>
      <c r="D921" t="inlineStr">
        <is>
          <t>Trimestral</t>
        </is>
      </c>
      <c r="E921" t="inlineStr">
        <is>
          <t>Positivo</t>
        </is>
      </c>
      <c r="F921" s="105" t="n">
        <v>45291</v>
      </c>
      <c r="G921" t="inlineStr">
        <is>
          <t>286-2023-12-31</t>
        </is>
      </c>
      <c r="H921" t="inlineStr">
        <is>
          <t>Maestría</t>
        </is>
      </c>
      <c r="J921" t="n">
        <v>781</v>
      </c>
      <c r="BF921" t="n">
        <v>781</v>
      </c>
    </row>
    <row r="922">
      <c r="A922" t="n">
        <v>286</v>
      </c>
      <c r="B922" t="inlineStr">
        <is>
          <t>Total docentes por nivel de estudios - Metrica</t>
        </is>
      </c>
      <c r="C922" t="inlineStr">
        <is>
          <t>Gestión Docente</t>
        </is>
      </c>
      <c r="D922" t="inlineStr">
        <is>
          <t>Trimestral</t>
        </is>
      </c>
      <c r="E922" t="inlineStr">
        <is>
          <t>Positivo</t>
        </is>
      </c>
      <c r="F922" s="105" t="n">
        <v>45291</v>
      </c>
      <c r="G922" t="inlineStr">
        <is>
          <t>286-2023-12-31</t>
        </is>
      </c>
      <c r="H922" t="inlineStr">
        <is>
          <t>Especialización</t>
        </is>
      </c>
      <c r="J922" t="n">
        <v>108</v>
      </c>
      <c r="BF922" t="n">
        <v>108</v>
      </c>
    </row>
    <row r="923">
      <c r="A923" t="n">
        <v>286</v>
      </c>
      <c r="B923" t="inlineStr">
        <is>
          <t>Total docentes por nivel de estudios - Metrica</t>
        </is>
      </c>
      <c r="C923" t="inlineStr">
        <is>
          <t>Gestión Docente</t>
        </is>
      </c>
      <c r="D923" t="inlineStr">
        <is>
          <t>Trimestral</t>
        </is>
      </c>
      <c r="E923" t="inlineStr">
        <is>
          <t>Positivo</t>
        </is>
      </c>
      <c r="F923" s="105" t="n">
        <v>45291</v>
      </c>
      <c r="G923" t="inlineStr">
        <is>
          <t>286-2023-12-31</t>
        </is>
      </c>
      <c r="H923" t="inlineStr">
        <is>
          <t>Pregrado</t>
        </is>
      </c>
      <c r="J923" t="n">
        <v>66</v>
      </c>
      <c r="BF923" t="n">
        <v>66</v>
      </c>
    </row>
    <row r="924">
      <c r="A924" t="n">
        <v>292</v>
      </c>
      <c r="B924" t="inlineStr">
        <is>
          <t>Participación en Actividades deportivas</t>
        </is>
      </c>
      <c r="C924" t="inlineStr">
        <is>
          <t>Cultura y Deporte</t>
        </is>
      </c>
      <c r="D924" t="inlineStr">
        <is>
          <t>Trimestral</t>
        </is>
      </c>
      <c r="E924" t="inlineStr">
        <is>
          <t>Positivo</t>
        </is>
      </c>
      <c r="F924" s="105" t="n">
        <v>45291</v>
      </c>
      <c r="G924" t="inlineStr">
        <is>
          <t>292-2023-12-31</t>
        </is>
      </c>
      <c r="H924" t="inlineStr">
        <is>
          <t>Bogotá</t>
        </is>
      </c>
      <c r="I924" t="n">
        <v>3</v>
      </c>
      <c r="J924" t="n">
        <v>32.97000122070312</v>
      </c>
      <c r="BG924" t="n">
        <v>1566</v>
      </c>
      <c r="BH924" t="n">
        <v>1164</v>
      </c>
    </row>
    <row r="925">
      <c r="A925" t="n">
        <v>292</v>
      </c>
      <c r="B925" t="inlineStr">
        <is>
          <t>Participación en Actividades deportivas</t>
        </is>
      </c>
      <c r="C925" t="inlineStr">
        <is>
          <t>Cultura y Deporte</t>
        </is>
      </c>
      <c r="D925" t="inlineStr">
        <is>
          <t>Trimestral</t>
        </is>
      </c>
      <c r="E925" t="inlineStr">
        <is>
          <t>Positivo</t>
        </is>
      </c>
      <c r="F925" s="105" t="n">
        <v>45291</v>
      </c>
      <c r="G925" t="inlineStr">
        <is>
          <t>292-2023-12-31</t>
        </is>
      </c>
      <c r="H925" t="inlineStr">
        <is>
          <t>Medellín</t>
        </is>
      </c>
      <c r="I925" t="n">
        <v>3</v>
      </c>
      <c r="J925" t="n">
        <v>40.22999954223633</v>
      </c>
      <c r="BG925" t="n">
        <v>740</v>
      </c>
      <c r="BH925" t="n">
        <v>557</v>
      </c>
    </row>
    <row r="926">
      <c r="A926" t="n">
        <v>292</v>
      </c>
      <c r="B926" t="inlineStr">
        <is>
          <t>Participación en Actividades deportivas</t>
        </is>
      </c>
      <c r="C926" t="inlineStr">
        <is>
          <t>Cultura y Deporte</t>
        </is>
      </c>
      <c r="D926" t="inlineStr">
        <is>
          <t>Trimestral</t>
        </is>
      </c>
      <c r="E926" t="inlineStr">
        <is>
          <t>Positivo</t>
        </is>
      </c>
      <c r="F926" s="105" t="n">
        <v>45291</v>
      </c>
      <c r="G926" t="inlineStr">
        <is>
          <t>292-2023-12-31</t>
        </is>
      </c>
      <c r="H926" t="inlineStr">
        <is>
          <t>Virtual</t>
        </is>
      </c>
      <c r="I926" t="n">
        <v>3</v>
      </c>
      <c r="J926" t="n">
        <v>-12.93000030517578</v>
      </c>
      <c r="BG926" t="n">
        <v>309</v>
      </c>
      <c r="BH926" t="n">
        <v>344</v>
      </c>
    </row>
    <row r="927">
      <c r="A927" t="n">
        <v>294</v>
      </c>
      <c r="B927" t="inlineStr">
        <is>
          <t>Participación en actividades culturales</t>
        </is>
      </c>
      <c r="C927" t="inlineStr">
        <is>
          <t>Cultura y Deporte</t>
        </is>
      </c>
      <c r="D927" t="inlineStr">
        <is>
          <t>Trimestral</t>
        </is>
      </c>
      <c r="E927" t="inlineStr">
        <is>
          <t>Positivo</t>
        </is>
      </c>
      <c r="F927" s="105" t="n">
        <v>45291</v>
      </c>
      <c r="G927" t="inlineStr">
        <is>
          <t>294-2023-12-31</t>
        </is>
      </c>
      <c r="H927" t="inlineStr">
        <is>
          <t>Bogotá</t>
        </is>
      </c>
      <c r="I927" t="n">
        <v>3</v>
      </c>
      <c r="J927" t="n">
        <v>39.29000091552734</v>
      </c>
      <c r="BI927" t="n">
        <v>537</v>
      </c>
      <c r="BJ927" t="n">
        <v>382</v>
      </c>
    </row>
    <row r="928">
      <c r="A928" t="n">
        <v>294</v>
      </c>
      <c r="B928" t="inlineStr">
        <is>
          <t>Participación en actividades culturales</t>
        </is>
      </c>
      <c r="C928" t="inlineStr">
        <is>
          <t>Cultura y Deporte</t>
        </is>
      </c>
      <c r="D928" t="inlineStr">
        <is>
          <t>Trimestral</t>
        </is>
      </c>
      <c r="E928" t="inlineStr">
        <is>
          <t>Positivo</t>
        </is>
      </c>
      <c r="F928" s="105" t="n">
        <v>45291</v>
      </c>
      <c r="G928" t="inlineStr">
        <is>
          <t>294-2023-12-31</t>
        </is>
      </c>
      <c r="H928" t="inlineStr">
        <is>
          <t>Medellín</t>
        </is>
      </c>
      <c r="I928" t="n">
        <v>3</v>
      </c>
      <c r="J928" t="n">
        <v>35.83000183105469</v>
      </c>
      <c r="BI928" t="n">
        <v>414</v>
      </c>
      <c r="BJ928" t="n">
        <v>305</v>
      </c>
    </row>
    <row r="929">
      <c r="A929" t="n">
        <v>294</v>
      </c>
      <c r="B929" t="inlineStr">
        <is>
          <t>Participación en actividades culturales</t>
        </is>
      </c>
      <c r="C929" t="inlineStr">
        <is>
          <t>Cultura y Deporte</t>
        </is>
      </c>
      <c r="D929" t="inlineStr">
        <is>
          <t>Trimestral</t>
        </is>
      </c>
      <c r="E929" t="inlineStr">
        <is>
          <t>Positivo</t>
        </is>
      </c>
      <c r="F929" s="105" t="n">
        <v>45291</v>
      </c>
      <c r="G929" t="inlineStr">
        <is>
          <t>294-2023-12-31</t>
        </is>
      </c>
      <c r="H929" t="inlineStr">
        <is>
          <t>Virtual</t>
        </is>
      </c>
      <c r="I929" t="n">
        <v>3</v>
      </c>
      <c r="J929" t="n">
        <v>76.19000244140625</v>
      </c>
      <c r="BI929" t="n">
        <v>158</v>
      </c>
      <c r="BJ929" t="n">
        <v>94</v>
      </c>
    </row>
    <row r="930">
      <c r="A930" t="n">
        <v>362</v>
      </c>
      <c r="B930" t="inlineStr">
        <is>
          <t>Aseguramiento de matricula académica presencial</t>
        </is>
      </c>
      <c r="C930" t="inlineStr">
        <is>
          <t>Operaciones Académicas</t>
        </is>
      </c>
      <c r="D930" t="inlineStr">
        <is>
          <t>Trimestral</t>
        </is>
      </c>
      <c r="E930" t="inlineStr">
        <is>
          <t>Positivo</t>
        </is>
      </c>
      <c r="F930" s="105" t="n">
        <v>45291</v>
      </c>
      <c r="G930" t="inlineStr">
        <is>
          <t>362-2023-12-31</t>
        </is>
      </c>
      <c r="H930" t="inlineStr">
        <is>
          <t>Pregrado Presencial</t>
        </is>
      </c>
      <c r="I930" t="n">
        <v>100</v>
      </c>
      <c r="J930" t="n">
        <v>99.44000244140625</v>
      </c>
      <c r="CU930" t="n">
        <v>7464</v>
      </c>
      <c r="CV930" t="n">
        <v>7506</v>
      </c>
    </row>
    <row r="931">
      <c r="A931" t="n">
        <v>362</v>
      </c>
      <c r="B931" t="inlineStr">
        <is>
          <t>Aseguramiento de matricula académica presencial</t>
        </is>
      </c>
      <c r="C931" t="inlineStr">
        <is>
          <t>Operaciones Académicas</t>
        </is>
      </c>
      <c r="D931" t="inlineStr">
        <is>
          <t>Trimestral</t>
        </is>
      </c>
      <c r="E931" t="inlineStr">
        <is>
          <t>Positivo</t>
        </is>
      </c>
      <c r="F931" s="105" t="n">
        <v>45291</v>
      </c>
      <c r="G931" t="inlineStr">
        <is>
          <t>362-2023-12-31</t>
        </is>
      </c>
      <c r="H931" t="inlineStr">
        <is>
          <t>Posgrado Presencial</t>
        </is>
      </c>
      <c r="I931" t="n">
        <v>100</v>
      </c>
      <c r="J931" t="n">
        <v>95.33000183105469</v>
      </c>
      <c r="CU931" t="n">
        <v>531</v>
      </c>
      <c r="CV931" t="n">
        <v>557</v>
      </c>
    </row>
    <row r="932">
      <c r="A932" t="n">
        <v>369</v>
      </c>
      <c r="B932" t="inlineStr">
        <is>
          <t>Participación de POLI- voluntariados (Estudiantes- Colaboradores)</t>
        </is>
      </c>
      <c r="C932" t="inlineStr">
        <is>
          <t>Gestión de la Responsabilidad Social</t>
        </is>
      </c>
      <c r="D932" t="inlineStr">
        <is>
          <t>Trimestral</t>
        </is>
      </c>
      <c r="E932" t="inlineStr">
        <is>
          <t>Positivo</t>
        </is>
      </c>
      <c r="F932" s="105" t="n">
        <v>45291</v>
      </c>
      <c r="G932" t="inlineStr">
        <is>
          <t>369-2023-12-31</t>
        </is>
      </c>
      <c r="H932" t="inlineStr">
        <is>
          <t>Colaboradores</t>
        </is>
      </c>
      <c r="J932" t="n">
        <v>0</v>
      </c>
      <c r="BM932" t="n">
        <v>0</v>
      </c>
      <c r="BN932" t="n">
        <v>0</v>
      </c>
    </row>
    <row r="933">
      <c r="A933" t="n">
        <v>369</v>
      </c>
      <c r="B933" t="inlineStr">
        <is>
          <t>Participación de POLI- voluntariados (Estudiantes- Colaboradores)</t>
        </is>
      </c>
      <c r="C933" t="inlineStr">
        <is>
          <t>Gestión de la Responsabilidad Social</t>
        </is>
      </c>
      <c r="D933" t="inlineStr">
        <is>
          <t>Trimestral</t>
        </is>
      </c>
      <c r="E933" t="inlineStr">
        <is>
          <t>Positivo</t>
        </is>
      </c>
      <c r="F933" s="105" t="n">
        <v>45291</v>
      </c>
      <c r="G933" t="inlineStr">
        <is>
          <t>369-2023-12-31</t>
        </is>
      </c>
      <c r="H933" t="inlineStr">
        <is>
          <t>Estudiantes</t>
        </is>
      </c>
      <c r="J933" t="n">
        <v>0</v>
      </c>
      <c r="BM933" t="n">
        <v>96</v>
      </c>
      <c r="BN933" t="n">
        <v>0</v>
      </c>
    </row>
    <row r="934">
      <c r="A934" t="n">
        <v>375</v>
      </c>
      <c r="B934" t="inlineStr">
        <is>
          <t>Disponibilidad de catálogo de asignaturas pregrado y posgrado presencial</t>
        </is>
      </c>
      <c r="C934" t="inlineStr">
        <is>
          <t>Operaciones Académicas</t>
        </is>
      </c>
      <c r="D934" t="inlineStr">
        <is>
          <t>Trimestral</t>
        </is>
      </c>
      <c r="E934" t="inlineStr">
        <is>
          <t>Positivo</t>
        </is>
      </c>
      <c r="F934" s="105" t="n">
        <v>45291</v>
      </c>
      <c r="G934" t="inlineStr">
        <is>
          <t>375-2023-12-31</t>
        </is>
      </c>
      <c r="H934" t="inlineStr">
        <is>
          <t>Posgrado Presencial</t>
        </is>
      </c>
      <c r="I934" t="n">
        <v>100</v>
      </c>
      <c r="J934" t="n">
        <v>100</v>
      </c>
      <c r="CW934" t="n">
        <v>354</v>
      </c>
      <c r="CX934" t="n">
        <v>354</v>
      </c>
    </row>
    <row r="935">
      <c r="A935" t="n">
        <v>386</v>
      </c>
      <c r="B935" t="inlineStr">
        <is>
          <t>Cumplimiento Meta comercial Educación para toda la vida por linea</t>
        </is>
      </c>
      <c r="C935" t="inlineStr">
        <is>
          <t>Mercadeo y venta de educación para la vida</t>
        </is>
      </c>
      <c r="D935" t="inlineStr">
        <is>
          <t>Trimestral</t>
        </is>
      </c>
      <c r="E935" t="inlineStr">
        <is>
          <t>Positivo</t>
        </is>
      </c>
      <c r="F935" s="105" t="n">
        <v>45291</v>
      </c>
      <c r="G935" t="inlineStr">
        <is>
          <t>386-2023-12-31</t>
        </is>
      </c>
      <c r="H935" t="inlineStr">
        <is>
          <t>Otros ingresos (Cursos -Opciones de grado)</t>
        </is>
      </c>
      <c r="I935" t="n">
        <v>100</v>
      </c>
      <c r="J935" t="n">
        <v>67.27999877929688</v>
      </c>
      <c r="BO935" t="n">
        <v>2035554540</v>
      </c>
      <c r="BP935" t="n">
        <v>3025360000</v>
      </c>
    </row>
    <row r="936">
      <c r="A936" t="n">
        <v>408</v>
      </c>
      <c r="B936" t="inlineStr">
        <is>
          <t>Programas nuevos radicados por facultad</t>
        </is>
      </c>
      <c r="C936" t="inlineStr">
        <is>
          <t>Creación, modificación y cierre de programas académicos</t>
        </is>
      </c>
      <c r="D936" t="inlineStr">
        <is>
          <t>Trimestral</t>
        </is>
      </c>
      <c r="E936" t="inlineStr">
        <is>
          <t>Positivo</t>
        </is>
      </c>
      <c r="F936" s="105" t="n">
        <v>45291</v>
      </c>
      <c r="G936" t="inlineStr">
        <is>
          <t>408-2023-12-31</t>
        </is>
      </c>
      <c r="H936" t="inlineStr">
        <is>
          <t>Facultad negocios, gestión y sostenibilidad</t>
        </is>
      </c>
      <c r="I936" t="n">
        <v>100</v>
      </c>
      <c r="J936" t="n">
        <v>100</v>
      </c>
      <c r="BR936" t="n">
        <v>4</v>
      </c>
      <c r="BS936" t="n">
        <v>4</v>
      </c>
    </row>
    <row r="937">
      <c r="A937" t="n">
        <v>408</v>
      </c>
      <c r="B937" t="inlineStr">
        <is>
          <t>Programas nuevos radicados por facultad</t>
        </is>
      </c>
      <c r="C937" t="inlineStr">
        <is>
          <t>Creación, modificación y cierre de programas académicos</t>
        </is>
      </c>
      <c r="D937" t="inlineStr">
        <is>
          <t>Trimestral</t>
        </is>
      </c>
      <c r="E937" t="inlineStr">
        <is>
          <t>Positivo</t>
        </is>
      </c>
      <c r="F937" s="105" t="n">
        <v>45291</v>
      </c>
      <c r="G937" t="inlineStr">
        <is>
          <t>408-2023-12-31</t>
        </is>
      </c>
      <c r="H937" t="inlineStr">
        <is>
          <t>Facultad sociedad cultura y creatividad</t>
        </is>
      </c>
      <c r="I937" t="n">
        <v>100</v>
      </c>
      <c r="J937" t="n">
        <v>100</v>
      </c>
      <c r="BR937" t="n">
        <v>5</v>
      </c>
      <c r="BS937" t="n">
        <v>5</v>
      </c>
    </row>
    <row r="938">
      <c r="A938" t="n">
        <v>408</v>
      </c>
      <c r="B938" t="inlineStr">
        <is>
          <t>Programas nuevos radicados por facultad</t>
        </is>
      </c>
      <c r="C938" t="inlineStr">
        <is>
          <t>Creación, modificación y cierre de programas académicos</t>
        </is>
      </c>
      <c r="D938" t="inlineStr">
        <is>
          <t>Trimestral</t>
        </is>
      </c>
      <c r="E938" t="inlineStr">
        <is>
          <t>Positivo</t>
        </is>
      </c>
      <c r="F938" s="105" t="n">
        <v>45291</v>
      </c>
      <c r="G938" t="inlineStr">
        <is>
          <t>408-2023-12-31</t>
        </is>
      </c>
      <c r="H938" t="inlineStr">
        <is>
          <t>Facultad de ingeniera, diseño e innovación</t>
        </is>
      </c>
      <c r="I938" t="n">
        <v>100</v>
      </c>
      <c r="J938" t="n">
        <v>100</v>
      </c>
      <c r="BR938" t="n">
        <v>3</v>
      </c>
      <c r="BS938" t="n">
        <v>3</v>
      </c>
    </row>
    <row r="939">
      <c r="A939" t="n">
        <v>427</v>
      </c>
      <c r="B939" t="inlineStr">
        <is>
          <t>Consumo de Agua per Cápita Semestral</t>
        </is>
      </c>
      <c r="C939" t="inlineStr">
        <is>
          <t>GESTIÓN AMBIENTAL</t>
        </is>
      </c>
      <c r="D939" t="inlineStr">
        <is>
          <t>Trimestral</t>
        </is>
      </c>
      <c r="E939" t="inlineStr">
        <is>
          <t>Negativo</t>
        </is>
      </c>
      <c r="F939" s="105" t="n">
        <v>45291</v>
      </c>
      <c r="G939" t="inlineStr">
        <is>
          <t>427-2023-12-31</t>
        </is>
      </c>
      <c r="H939" t="inlineStr">
        <is>
          <t>Campus Bogotá</t>
        </is>
      </c>
      <c r="I939" t="n">
        <v>0.3</v>
      </c>
      <c r="J939" t="n">
        <v>0.239999994635582</v>
      </c>
      <c r="O939" t="n">
        <v>1859</v>
      </c>
      <c r="P939" t="n">
        <v>3240</v>
      </c>
      <c r="Q939" t="n">
        <v>13146</v>
      </c>
      <c r="R939" t="n">
        <v>0</v>
      </c>
      <c r="Y939" t="n">
        <v>4434</v>
      </c>
    </row>
    <row r="940">
      <c r="A940" t="n">
        <v>427</v>
      </c>
      <c r="B940" t="inlineStr">
        <is>
          <t>Consumo de Agua per Cápita Semestral</t>
        </is>
      </c>
      <c r="C940" t="inlineStr">
        <is>
          <t>GESTIÓN AMBIENTAL</t>
        </is>
      </c>
      <c r="D940" t="inlineStr">
        <is>
          <t>Trimestral</t>
        </is>
      </c>
      <c r="E940" t="inlineStr">
        <is>
          <t>Negativo</t>
        </is>
      </c>
      <c r="F940" s="105" t="n">
        <v>45291</v>
      </c>
      <c r="G940" t="inlineStr">
        <is>
          <t>427-2023-12-31</t>
        </is>
      </c>
      <c r="H940" t="inlineStr">
        <is>
          <t>Sede Posgrado-Calle 85</t>
        </is>
      </c>
      <c r="I940" t="n">
        <v>0.2</v>
      </c>
      <c r="J940" t="n">
        <v>0</v>
      </c>
      <c r="O940" t="n">
        <v>0</v>
      </c>
      <c r="P940" t="n">
        <v>0</v>
      </c>
      <c r="Q940" t="n">
        <v>0</v>
      </c>
      <c r="R940" t="n">
        <v>0</v>
      </c>
      <c r="Y940" t="n">
        <v>0</v>
      </c>
    </row>
    <row r="941">
      <c r="A941" t="n">
        <v>427</v>
      </c>
      <c r="B941" t="inlineStr">
        <is>
          <t>Consumo de Agua per Cápita Semestral</t>
        </is>
      </c>
      <c r="C941" t="inlineStr">
        <is>
          <t>GESTIÓN AMBIENTAL</t>
        </is>
      </c>
      <c r="D941" t="inlineStr">
        <is>
          <t>Trimestral</t>
        </is>
      </c>
      <c r="E941" t="inlineStr">
        <is>
          <t>Negativo</t>
        </is>
      </c>
      <c r="F941" s="105" t="n">
        <v>45291</v>
      </c>
      <c r="G941" t="inlineStr">
        <is>
          <t>427-2023-12-31</t>
        </is>
      </c>
      <c r="H941" t="inlineStr">
        <is>
          <t>Campus-Medellín</t>
        </is>
      </c>
      <c r="I941" t="n">
        <v>0.1</v>
      </c>
      <c r="J941" t="n">
        <v>0.1500000059604645</v>
      </c>
      <c r="O941" t="n">
        <v>312</v>
      </c>
      <c r="P941" t="n">
        <v>867</v>
      </c>
      <c r="Q941" t="n">
        <v>9662</v>
      </c>
      <c r="R941" t="n">
        <v>171</v>
      </c>
      <c r="Y941" t="n">
        <v>1693</v>
      </c>
    </row>
    <row r="942">
      <c r="A942" t="n">
        <v>427</v>
      </c>
      <c r="B942" t="inlineStr">
        <is>
          <t>Consumo de Agua per Cápita Semestral</t>
        </is>
      </c>
      <c r="C942" t="inlineStr">
        <is>
          <t>GESTIÓN AMBIENTAL</t>
        </is>
      </c>
      <c r="D942" t="inlineStr">
        <is>
          <t>Trimestral</t>
        </is>
      </c>
      <c r="E942" t="inlineStr">
        <is>
          <t>Negativo</t>
        </is>
      </c>
      <c r="F942" s="105" t="n">
        <v>45291</v>
      </c>
      <c r="G942" t="inlineStr">
        <is>
          <t>427-2023-12-31</t>
        </is>
      </c>
      <c r="H942" t="inlineStr">
        <is>
          <t>Consultorio Psicología - Medellin</t>
        </is>
      </c>
      <c r="I942" t="n">
        <v>0.2</v>
      </c>
      <c r="J942" t="n">
        <v>0</v>
      </c>
      <c r="O942" t="n">
        <v>0</v>
      </c>
      <c r="P942" t="n">
        <v>0</v>
      </c>
      <c r="Q942" t="n">
        <v>0</v>
      </c>
      <c r="R942" t="n">
        <v>0</v>
      </c>
      <c r="Y942" t="n">
        <v>0</v>
      </c>
    </row>
    <row r="943">
      <c r="A943" t="n">
        <v>427</v>
      </c>
      <c r="B943" t="inlineStr">
        <is>
          <t>Consumo de Agua per Cápita Semestral</t>
        </is>
      </c>
      <c r="C943" t="inlineStr">
        <is>
          <t>GESTIÓN AMBIENTAL</t>
        </is>
      </c>
      <c r="D943" t="inlineStr">
        <is>
          <t>Trimestral</t>
        </is>
      </c>
      <c r="E943" t="inlineStr">
        <is>
          <t>Negativo</t>
        </is>
      </c>
      <c r="F943" s="105" t="n">
        <v>45291</v>
      </c>
      <c r="G943" t="inlineStr">
        <is>
          <t>427-2023-12-31</t>
        </is>
      </c>
      <c r="H943" t="inlineStr">
        <is>
          <t>City Campus</t>
        </is>
      </c>
      <c r="I943" t="n">
        <v>0.15</v>
      </c>
      <c r="J943" t="n">
        <v>0.1700000017881393</v>
      </c>
      <c r="O943" t="n">
        <v>583</v>
      </c>
      <c r="P943" t="n">
        <v>29</v>
      </c>
      <c r="Q943" t="n">
        <v>8166</v>
      </c>
      <c r="R943" t="n">
        <v>2922</v>
      </c>
      <c r="Y943" t="n">
        <v>1949</v>
      </c>
    </row>
    <row r="944">
      <c r="A944" t="n">
        <v>428</v>
      </c>
      <c r="B944" t="inlineStr">
        <is>
          <t>Consumo de Energía Eléctrica per Cápita Semestral</t>
        </is>
      </c>
      <c r="C944" t="inlineStr">
        <is>
          <t>GESTIÓN AMBIENTAL</t>
        </is>
      </c>
      <c r="D944" t="inlineStr">
        <is>
          <t>Trimestral</t>
        </is>
      </c>
      <c r="E944" t="inlineStr">
        <is>
          <t>Negativo</t>
        </is>
      </c>
      <c r="F944" s="105" t="n">
        <v>45291</v>
      </c>
      <c r="G944" t="inlineStr">
        <is>
          <t>428-2023-12-31</t>
        </is>
      </c>
      <c r="H944" t="inlineStr">
        <is>
          <t>City Campus</t>
        </is>
      </c>
      <c r="I944" t="n">
        <v>25</v>
      </c>
      <c r="J944" t="n">
        <v>24.75</v>
      </c>
      <c r="O944" t="n">
        <v>583</v>
      </c>
      <c r="P944" t="n">
        <v>29</v>
      </c>
      <c r="Q944" t="n">
        <v>8166</v>
      </c>
      <c r="R944" t="n">
        <v>2922</v>
      </c>
      <c r="W944" t="n">
        <v>289560</v>
      </c>
    </row>
    <row r="945">
      <c r="A945" t="n">
        <v>428</v>
      </c>
      <c r="B945" t="inlineStr">
        <is>
          <t>Consumo de Energía Eléctrica per Cápita Semestral</t>
        </is>
      </c>
      <c r="C945" t="inlineStr">
        <is>
          <t>GESTIÓN AMBIENTAL</t>
        </is>
      </c>
      <c r="D945" t="inlineStr">
        <is>
          <t>Trimestral</t>
        </is>
      </c>
      <c r="E945" t="inlineStr">
        <is>
          <t>Negativo</t>
        </is>
      </c>
      <c r="F945" s="105" t="n">
        <v>45291</v>
      </c>
      <c r="G945" t="inlineStr">
        <is>
          <t>428-2023-12-31</t>
        </is>
      </c>
      <c r="H945" t="inlineStr">
        <is>
          <t>Sede Posgrado-Calle 85</t>
        </is>
      </c>
      <c r="I945" t="n">
        <v>1</v>
      </c>
      <c r="J945" t="n">
        <v>0</v>
      </c>
      <c r="O945" t="n">
        <v>0</v>
      </c>
      <c r="P945" t="n">
        <v>0</v>
      </c>
      <c r="Q945" t="n">
        <v>0</v>
      </c>
      <c r="R945" t="n">
        <v>0</v>
      </c>
      <c r="W945" t="n">
        <v>0</v>
      </c>
    </row>
    <row r="946">
      <c r="A946" t="n">
        <v>428</v>
      </c>
      <c r="B946" t="inlineStr">
        <is>
          <t>Consumo de Energía Eléctrica per Cápita Semestral</t>
        </is>
      </c>
      <c r="C946" t="inlineStr">
        <is>
          <t>GESTIÓN AMBIENTAL</t>
        </is>
      </c>
      <c r="D946" t="inlineStr">
        <is>
          <t>Trimestral</t>
        </is>
      </c>
      <c r="E946" t="inlineStr">
        <is>
          <t>Negativo</t>
        </is>
      </c>
      <c r="F946" s="105" t="n">
        <v>45291</v>
      </c>
      <c r="G946" t="inlineStr">
        <is>
          <t>428-2023-12-31</t>
        </is>
      </c>
      <c r="H946" t="inlineStr">
        <is>
          <t>Campus-Medellín</t>
        </is>
      </c>
      <c r="I946" t="n">
        <v>11</v>
      </c>
      <c r="J946" t="n">
        <v>7.449999809265137</v>
      </c>
      <c r="O946" t="n">
        <v>312</v>
      </c>
      <c r="P946" t="n">
        <v>867</v>
      </c>
      <c r="Q946" t="n">
        <v>9662</v>
      </c>
      <c r="R946" t="n">
        <v>171</v>
      </c>
      <c r="W946" t="n">
        <v>82051.05</v>
      </c>
    </row>
    <row r="947">
      <c r="A947" t="n">
        <v>428</v>
      </c>
      <c r="B947" t="inlineStr">
        <is>
          <t>Consumo de Energía Eléctrica per Cápita Semestral</t>
        </is>
      </c>
      <c r="C947" t="inlineStr">
        <is>
          <t>GESTIÓN AMBIENTAL</t>
        </is>
      </c>
      <c r="D947" t="inlineStr">
        <is>
          <t>Trimestral</t>
        </is>
      </c>
      <c r="E947" t="inlineStr">
        <is>
          <t>Negativo</t>
        </is>
      </c>
      <c r="F947" s="105" t="n">
        <v>45291</v>
      </c>
      <c r="G947" t="inlineStr">
        <is>
          <t>428-2023-12-31</t>
        </is>
      </c>
      <c r="H947" t="inlineStr">
        <is>
          <t>Sede Bienestar - Medellín</t>
        </is>
      </c>
      <c r="I947" t="n">
        <v>7</v>
      </c>
      <c r="O947" t="n">
        <v>0</v>
      </c>
      <c r="P947" t="n">
        <v>0</v>
      </c>
      <c r="Q947" t="n">
        <v>0</v>
      </c>
      <c r="R947" t="n">
        <v>0</v>
      </c>
      <c r="W947" t="n">
        <v>24000</v>
      </c>
    </row>
    <row r="948">
      <c r="A948" t="n">
        <v>428</v>
      </c>
      <c r="B948" t="inlineStr">
        <is>
          <t>Consumo de Energía Eléctrica per Cápita Semestral</t>
        </is>
      </c>
      <c r="C948" t="inlineStr">
        <is>
          <t>GESTIÓN AMBIENTAL</t>
        </is>
      </c>
      <c r="D948" t="inlineStr">
        <is>
          <t>Trimestral</t>
        </is>
      </c>
      <c r="E948" t="inlineStr">
        <is>
          <t>Negativo</t>
        </is>
      </c>
      <c r="F948" s="105" t="n">
        <v>45291</v>
      </c>
      <c r="G948" t="inlineStr">
        <is>
          <t>428-2023-12-31</t>
        </is>
      </c>
      <c r="H948" t="inlineStr">
        <is>
          <t>Consultorio Psicología - Medellin</t>
        </is>
      </c>
      <c r="I948" t="n">
        <v>1</v>
      </c>
      <c r="J948" t="n">
        <v>0</v>
      </c>
      <c r="O948" t="n">
        <v>0</v>
      </c>
      <c r="P948" t="n">
        <v>0</v>
      </c>
      <c r="Q948" t="n">
        <v>0</v>
      </c>
      <c r="R948" t="n">
        <v>0</v>
      </c>
      <c r="W948" t="n">
        <v>0</v>
      </c>
    </row>
    <row r="949">
      <c r="A949" t="n">
        <v>428</v>
      </c>
      <c r="B949" t="inlineStr">
        <is>
          <t>Consumo de Energía Eléctrica per Cápita Semestral</t>
        </is>
      </c>
      <c r="C949" t="inlineStr">
        <is>
          <t>GESTIÓN AMBIENTAL</t>
        </is>
      </c>
      <c r="D949" t="inlineStr">
        <is>
          <t>Trimestral</t>
        </is>
      </c>
      <c r="E949" t="inlineStr">
        <is>
          <t>Negativo</t>
        </is>
      </c>
      <c r="F949" s="105" t="n">
        <v>45291</v>
      </c>
      <c r="G949" t="inlineStr">
        <is>
          <t>428-2023-12-31</t>
        </is>
      </c>
      <c r="H949" t="inlineStr">
        <is>
          <t>Campus Bogotá</t>
        </is>
      </c>
      <c r="I949" t="n">
        <v>22</v>
      </c>
      <c r="J949" t="n">
        <v>21.44000053405762</v>
      </c>
      <c r="O949" t="n">
        <v>1859</v>
      </c>
      <c r="P949" t="n">
        <v>3240</v>
      </c>
      <c r="Q949" t="n">
        <v>13146</v>
      </c>
      <c r="R949" t="n">
        <v>0</v>
      </c>
      <c r="W949" t="n">
        <v>391217</v>
      </c>
    </row>
    <row r="950">
      <c r="A950" t="n">
        <v>429</v>
      </c>
      <c r="B950" t="inlineStr">
        <is>
          <t>Generación de Residuos Sólidos per Cápita Semestral</t>
        </is>
      </c>
      <c r="C950" t="inlineStr">
        <is>
          <t>GESTIÓN AMBIENTAL</t>
        </is>
      </c>
      <c r="D950" t="inlineStr">
        <is>
          <t>Trimestral</t>
        </is>
      </c>
      <c r="E950" t="inlineStr">
        <is>
          <t>Negativo</t>
        </is>
      </c>
      <c r="F950" s="105" t="n">
        <v>45291</v>
      </c>
      <c r="G950" t="inlineStr">
        <is>
          <t>429-2023-12-31</t>
        </is>
      </c>
      <c r="H950" t="inlineStr">
        <is>
          <t>Campus-Medellín</t>
        </is>
      </c>
      <c r="I950" t="n">
        <v>0.41</v>
      </c>
      <c r="J950" t="n">
        <v>0.4099999964237213</v>
      </c>
      <c r="O950" t="n">
        <v>312</v>
      </c>
      <c r="P950" t="n">
        <v>867</v>
      </c>
      <c r="Q950" t="n">
        <v>9662</v>
      </c>
      <c r="R950" t="n">
        <v>171</v>
      </c>
      <c r="AA950" t="n">
        <v>660.1</v>
      </c>
      <c r="AB950" t="n">
        <v>3809.56</v>
      </c>
    </row>
    <row r="951">
      <c r="A951" t="n">
        <v>429</v>
      </c>
      <c r="B951" t="inlineStr">
        <is>
          <t>Generación de Residuos Sólidos per Cápita Semestral</t>
        </is>
      </c>
      <c r="C951" t="inlineStr">
        <is>
          <t>GESTIÓN AMBIENTAL</t>
        </is>
      </c>
      <c r="D951" t="inlineStr">
        <is>
          <t>Trimestral</t>
        </is>
      </c>
      <c r="E951" t="inlineStr">
        <is>
          <t>Negativo</t>
        </is>
      </c>
      <c r="F951" s="105" t="n">
        <v>45291</v>
      </c>
      <c r="G951" t="inlineStr">
        <is>
          <t>429-2023-12-31</t>
        </is>
      </c>
      <c r="H951" t="inlineStr">
        <is>
          <t>Campus Bogotá</t>
        </is>
      </c>
      <c r="I951" t="n">
        <v>0.4</v>
      </c>
      <c r="J951" t="n">
        <v>1.210000038146973</v>
      </c>
      <c r="O951" t="n">
        <v>1859</v>
      </c>
      <c r="P951" t="n">
        <v>3240</v>
      </c>
      <c r="Q951" t="n">
        <v>13146</v>
      </c>
      <c r="R951" t="n">
        <v>0</v>
      </c>
      <c r="AA951" t="n">
        <v>5707</v>
      </c>
      <c r="AB951" t="n">
        <v>16387.7</v>
      </c>
    </row>
    <row r="952">
      <c r="A952" t="n">
        <v>429</v>
      </c>
      <c r="B952" t="inlineStr">
        <is>
          <t>Generación de Residuos Sólidos per Cápita Semestral</t>
        </is>
      </c>
      <c r="C952" t="inlineStr">
        <is>
          <t>GESTIÓN AMBIENTAL</t>
        </is>
      </c>
      <c r="D952" t="inlineStr">
        <is>
          <t>Trimestral</t>
        </is>
      </c>
      <c r="E952" t="inlineStr">
        <is>
          <t>Negativo</t>
        </is>
      </c>
      <c r="F952" s="105" t="n">
        <v>45291</v>
      </c>
      <c r="G952" t="inlineStr">
        <is>
          <t>429-2023-12-31</t>
        </is>
      </c>
      <c r="H952" t="inlineStr">
        <is>
          <t>City Campus</t>
        </is>
      </c>
      <c r="I952" t="n">
        <v>0.38</v>
      </c>
      <c r="J952" t="n">
        <v>0.3799999952316284</v>
      </c>
      <c r="O952" t="n">
        <v>583</v>
      </c>
      <c r="P952" t="n">
        <v>29</v>
      </c>
      <c r="Q952" t="n">
        <v>8166</v>
      </c>
      <c r="R952" t="n">
        <v>2922</v>
      </c>
      <c r="AA952" t="n">
        <v>148.2</v>
      </c>
      <c r="AB952" t="n">
        <v>4290.49</v>
      </c>
    </row>
    <row r="953">
      <c r="A953" t="n">
        <v>430</v>
      </c>
      <c r="B953" t="inlineStr">
        <is>
          <t>Cumplimiento ingresos por matriculas</t>
        </is>
      </c>
      <c r="C953" t="inlineStr">
        <is>
          <t>Planeación Financiera</t>
        </is>
      </c>
      <c r="D953" t="inlineStr">
        <is>
          <t>Trimestral</t>
        </is>
      </c>
      <c r="E953" t="inlineStr">
        <is>
          <t>Positivo</t>
        </is>
      </c>
      <c r="F953" s="105" t="n">
        <v>45291</v>
      </c>
      <c r="G953" t="inlineStr">
        <is>
          <t>430-2023-12-31</t>
        </is>
      </c>
      <c r="H953" t="inlineStr">
        <is>
          <t>Nuevos presencial</t>
        </is>
      </c>
      <c r="I953" t="n">
        <v>95</v>
      </c>
      <c r="J953" t="n">
        <v>109.9800033569336</v>
      </c>
      <c r="BT953" t="n">
        <v>11507768822</v>
      </c>
      <c r="BU953" t="n">
        <v>12656378158</v>
      </c>
    </row>
    <row r="954">
      <c r="A954" t="n">
        <v>430</v>
      </c>
      <c r="B954" t="inlineStr">
        <is>
          <t>Cumplimiento ingresos por matriculas</t>
        </is>
      </c>
      <c r="C954" t="inlineStr">
        <is>
          <t>Planeación Financiera</t>
        </is>
      </c>
      <c r="D954" t="inlineStr">
        <is>
          <t>Trimestral</t>
        </is>
      </c>
      <c r="E954" t="inlineStr">
        <is>
          <t>Positivo</t>
        </is>
      </c>
      <c r="F954" s="105" t="n">
        <v>45291</v>
      </c>
      <c r="G954" t="inlineStr">
        <is>
          <t>430-2023-12-31</t>
        </is>
      </c>
      <c r="H954" t="inlineStr">
        <is>
          <t>Nuevos Virtual</t>
        </is>
      </c>
      <c r="I954" t="n">
        <v>95</v>
      </c>
      <c r="J954" t="n">
        <v>101.4800033569336</v>
      </c>
      <c r="BT954" t="n">
        <v>37876348281</v>
      </c>
      <c r="BU954" t="n">
        <v>38438253894</v>
      </c>
    </row>
    <row r="955">
      <c r="A955" t="n">
        <v>430</v>
      </c>
      <c r="B955" t="inlineStr">
        <is>
          <t>Cumplimiento ingresos por matriculas</t>
        </is>
      </c>
      <c r="C955" t="inlineStr">
        <is>
          <t>Planeación Financiera</t>
        </is>
      </c>
      <c r="D955" t="inlineStr">
        <is>
          <t>Trimestral</t>
        </is>
      </c>
      <c r="E955" t="inlineStr">
        <is>
          <t>Positivo</t>
        </is>
      </c>
      <c r="F955" s="105" t="n">
        <v>45291</v>
      </c>
      <c r="G955" t="inlineStr">
        <is>
          <t>430-2023-12-31</t>
        </is>
      </c>
      <c r="H955" t="inlineStr">
        <is>
          <t>Antiguos Presencial</t>
        </is>
      </c>
      <c r="I955" t="n">
        <v>95</v>
      </c>
      <c r="J955" t="n">
        <v>99.62999725341797</v>
      </c>
      <c r="BT955" t="n">
        <v>56061657202</v>
      </c>
      <c r="BU955" t="n">
        <v>55854538738</v>
      </c>
    </row>
    <row r="956">
      <c r="A956" t="n">
        <v>430</v>
      </c>
      <c r="B956" t="inlineStr">
        <is>
          <t>Cumplimiento ingresos por matriculas</t>
        </is>
      </c>
      <c r="C956" t="inlineStr">
        <is>
          <t>Planeación Financiera</t>
        </is>
      </c>
      <c r="D956" t="inlineStr">
        <is>
          <t>Trimestral</t>
        </is>
      </c>
      <c r="E956" t="inlineStr">
        <is>
          <t>Positivo</t>
        </is>
      </c>
      <c r="F956" s="105" t="n">
        <v>45291</v>
      </c>
      <c r="G956" t="inlineStr">
        <is>
          <t>430-2023-12-31</t>
        </is>
      </c>
      <c r="H956" t="inlineStr">
        <is>
          <t>Antiguos Virtual</t>
        </is>
      </c>
      <c r="I956" t="n">
        <v>95</v>
      </c>
      <c r="J956" t="n">
        <v>101.370002746582</v>
      </c>
      <c r="BT956" t="n">
        <v>134786157549</v>
      </c>
      <c r="BU956" t="n">
        <v>136634629428</v>
      </c>
    </row>
    <row r="957">
      <c r="A957" t="n">
        <v>433</v>
      </c>
      <c r="B957" t="inlineStr">
        <is>
          <t>Generación de Residuos Peligrosos per Cápita Semestral</t>
        </is>
      </c>
      <c r="C957" t="inlineStr">
        <is>
          <t>GESTIÓN AMBIENTAL</t>
        </is>
      </c>
      <c r="D957" t="inlineStr">
        <is>
          <t>Trimestral</t>
        </is>
      </c>
      <c r="E957" t="inlineStr">
        <is>
          <t>Negativo</t>
        </is>
      </c>
      <c r="F957" s="105" t="n">
        <v>45291</v>
      </c>
      <c r="G957" t="inlineStr">
        <is>
          <t>433-2023-12-31</t>
        </is>
      </c>
      <c r="H957" t="inlineStr">
        <is>
          <t>Campus-Medellín</t>
        </is>
      </c>
      <c r="I957" t="n">
        <v>0.05</v>
      </c>
      <c r="J957" t="n">
        <v>0.009999999776482582</v>
      </c>
      <c r="O957" t="n">
        <v>312</v>
      </c>
      <c r="P957" t="n">
        <v>867</v>
      </c>
      <c r="Q957" t="n">
        <v>9662</v>
      </c>
      <c r="R957" t="n">
        <v>171</v>
      </c>
      <c r="BV957" t="n">
        <v>91</v>
      </c>
    </row>
    <row r="958">
      <c r="A958" t="n">
        <v>433</v>
      </c>
      <c r="B958" t="inlineStr">
        <is>
          <t>Generación de Residuos Peligrosos per Cápita Semestral</t>
        </is>
      </c>
      <c r="C958" t="inlineStr">
        <is>
          <t>GESTIÓN AMBIENTAL</t>
        </is>
      </c>
      <c r="D958" t="inlineStr">
        <is>
          <t>Trimestral</t>
        </is>
      </c>
      <c r="E958" t="inlineStr">
        <is>
          <t>Negativo</t>
        </is>
      </c>
      <c r="F958" s="105" t="n">
        <v>45291</v>
      </c>
      <c r="G958" t="inlineStr">
        <is>
          <t>433-2023-12-31</t>
        </is>
      </c>
      <c r="H958" t="inlineStr">
        <is>
          <t>City Campus</t>
        </is>
      </c>
      <c r="I958" t="n">
        <v>0.05</v>
      </c>
      <c r="J958" t="n">
        <v>0.05000000074505806</v>
      </c>
      <c r="O958" t="n">
        <v>583</v>
      </c>
      <c r="P958" t="n">
        <v>29</v>
      </c>
      <c r="Q958" t="n">
        <v>8166</v>
      </c>
      <c r="R958" t="n">
        <v>2922</v>
      </c>
      <c r="BV958" t="n">
        <v>619.71</v>
      </c>
    </row>
    <row r="959">
      <c r="A959" t="n">
        <v>433</v>
      </c>
      <c r="B959" t="inlineStr">
        <is>
          <t>Generación de Residuos Peligrosos per Cápita Semestral</t>
        </is>
      </c>
      <c r="C959" t="inlineStr">
        <is>
          <t>GESTIÓN AMBIENTAL</t>
        </is>
      </c>
      <c r="D959" t="inlineStr">
        <is>
          <t>Trimestral</t>
        </is>
      </c>
      <c r="E959" t="inlineStr">
        <is>
          <t>Negativo</t>
        </is>
      </c>
      <c r="F959" s="105" t="n">
        <v>45291</v>
      </c>
      <c r="G959" t="inlineStr">
        <is>
          <t>433-2023-12-31</t>
        </is>
      </c>
      <c r="H959" t="inlineStr">
        <is>
          <t>Sede Bienestar - Medellín</t>
        </is>
      </c>
      <c r="I959" t="n">
        <v>0.05</v>
      </c>
      <c r="O959" t="n">
        <v>0</v>
      </c>
      <c r="P959" t="n">
        <v>0</v>
      </c>
      <c r="Q959" t="n">
        <v>0</v>
      </c>
      <c r="R959" t="n">
        <v>0</v>
      </c>
      <c r="BV959" t="n">
        <v>1</v>
      </c>
    </row>
    <row r="960">
      <c r="A960" t="n">
        <v>433</v>
      </c>
      <c r="B960" t="inlineStr">
        <is>
          <t>Generación de Residuos Peligrosos per Cápita Semestral</t>
        </is>
      </c>
      <c r="C960" t="inlineStr">
        <is>
          <t>GESTIÓN AMBIENTAL</t>
        </is>
      </c>
      <c r="D960" t="inlineStr">
        <is>
          <t>Trimestral</t>
        </is>
      </c>
      <c r="E960" t="inlineStr">
        <is>
          <t>Negativo</t>
        </is>
      </c>
      <c r="F960" s="105" t="n">
        <v>45291</v>
      </c>
      <c r="G960" t="inlineStr">
        <is>
          <t>433-2023-12-31</t>
        </is>
      </c>
      <c r="H960" t="inlineStr">
        <is>
          <t>Campus Bogotá</t>
        </is>
      </c>
      <c r="I960" t="n">
        <v>0.05</v>
      </c>
      <c r="J960" t="n">
        <v>0.09000000357627869</v>
      </c>
      <c r="O960" t="n">
        <v>1859</v>
      </c>
      <c r="P960" t="n">
        <v>3240</v>
      </c>
      <c r="Q960" t="n">
        <v>13146</v>
      </c>
      <c r="R960" t="n">
        <v>0</v>
      </c>
      <c r="BV960" t="n">
        <v>1564.22</v>
      </c>
    </row>
    <row r="961">
      <c r="A961" t="n">
        <v>435</v>
      </c>
      <c r="B961" t="inlineStr">
        <is>
          <t>Disminución de la Generación de Residuos Peligrosos per Cápita</t>
        </is>
      </c>
      <c r="C961" t="inlineStr">
        <is>
          <t>GESTIÓN AMBIENTAL</t>
        </is>
      </c>
      <c r="D961" t="inlineStr">
        <is>
          <t>Trimestral</t>
        </is>
      </c>
      <c r="E961" t="inlineStr">
        <is>
          <t>Positivo</t>
        </is>
      </c>
      <c r="F961" s="105" t="n">
        <v>45291</v>
      </c>
      <c r="G961" t="inlineStr">
        <is>
          <t>435-2023-12-31</t>
        </is>
      </c>
      <c r="H961" t="inlineStr">
        <is>
          <t>Sede Posgrado-Calle 85</t>
        </is>
      </c>
      <c r="I961" t="n">
        <v>100</v>
      </c>
      <c r="J961" t="n">
        <v>0</v>
      </c>
      <c r="BW961" t="n">
        <v>0</v>
      </c>
      <c r="BX961" t="n">
        <v>0</v>
      </c>
    </row>
    <row r="962">
      <c r="A962" t="n">
        <v>435</v>
      </c>
      <c r="B962" t="inlineStr">
        <is>
          <t>Disminución de la Generación de Residuos Peligrosos per Cápita</t>
        </is>
      </c>
      <c r="C962" t="inlineStr">
        <is>
          <t>GESTIÓN AMBIENTAL</t>
        </is>
      </c>
      <c r="D962" t="inlineStr">
        <is>
          <t>Trimestral</t>
        </is>
      </c>
      <c r="E962" t="inlineStr">
        <is>
          <t>Positivo</t>
        </is>
      </c>
      <c r="F962" s="105" t="n">
        <v>45291</v>
      </c>
      <c r="G962" t="inlineStr">
        <is>
          <t>435-2023-12-31</t>
        </is>
      </c>
      <c r="H962" t="inlineStr">
        <is>
          <t>Sede Bienestar - Medellín</t>
        </is>
      </c>
      <c r="I962" t="n">
        <v>100</v>
      </c>
      <c r="J962" t="n">
        <v>0</v>
      </c>
      <c r="BW962" t="n">
        <v>0</v>
      </c>
      <c r="BX962" t="n">
        <v>0</v>
      </c>
    </row>
    <row r="963">
      <c r="A963" t="n">
        <v>435</v>
      </c>
      <c r="B963" t="inlineStr">
        <is>
          <t>Disminución de la Generación de Residuos Peligrosos per Cápita</t>
        </is>
      </c>
      <c r="C963" t="inlineStr">
        <is>
          <t>GESTIÓN AMBIENTAL</t>
        </is>
      </c>
      <c r="D963" t="inlineStr">
        <is>
          <t>Trimestral</t>
        </is>
      </c>
      <c r="E963" t="inlineStr">
        <is>
          <t>Positivo</t>
        </is>
      </c>
      <c r="F963" s="105" t="n">
        <v>45291</v>
      </c>
      <c r="G963" t="inlineStr">
        <is>
          <t>435-2023-12-31</t>
        </is>
      </c>
      <c r="H963" t="inlineStr">
        <is>
          <t>Consultorio Psicología - Medellin</t>
        </is>
      </c>
      <c r="I963" t="n">
        <v>100</v>
      </c>
      <c r="J963" t="n">
        <v>0</v>
      </c>
      <c r="BW963" t="n">
        <v>0</v>
      </c>
      <c r="BX963" t="n">
        <v>0</v>
      </c>
    </row>
    <row r="964">
      <c r="A964" t="n">
        <v>435</v>
      </c>
      <c r="B964" t="inlineStr">
        <is>
          <t>Disminución de la Generación de Residuos Peligrosos per Cápita</t>
        </is>
      </c>
      <c r="C964" t="inlineStr">
        <is>
          <t>GESTIÓN AMBIENTAL</t>
        </is>
      </c>
      <c r="D964" t="inlineStr">
        <is>
          <t>Trimestral</t>
        </is>
      </c>
      <c r="E964" t="inlineStr">
        <is>
          <t>Positivo</t>
        </is>
      </c>
      <c r="F964" s="105" t="n">
        <v>45291</v>
      </c>
      <c r="G964" t="inlineStr">
        <is>
          <t>435-2023-12-31</t>
        </is>
      </c>
      <c r="H964" t="inlineStr">
        <is>
          <t>Campus Bogotá</t>
        </is>
      </c>
      <c r="I964" t="n">
        <v>100</v>
      </c>
      <c r="J964" t="n">
        <v>-80</v>
      </c>
      <c r="BW964" t="n">
        <v>0.05</v>
      </c>
      <c r="BX964" t="n">
        <v>0.09</v>
      </c>
    </row>
    <row r="965">
      <c r="A965" t="n">
        <v>435</v>
      </c>
      <c r="B965" t="inlineStr">
        <is>
          <t>Disminución de la Generación de Residuos Peligrosos per Cápita</t>
        </is>
      </c>
      <c r="C965" t="inlineStr">
        <is>
          <t>GESTIÓN AMBIENTAL</t>
        </is>
      </c>
      <c r="D965" t="inlineStr">
        <is>
          <t>Trimestral</t>
        </is>
      </c>
      <c r="E965" t="inlineStr">
        <is>
          <t>Positivo</t>
        </is>
      </c>
      <c r="F965" s="105" t="n">
        <v>45291</v>
      </c>
      <c r="G965" t="inlineStr">
        <is>
          <t>435-2023-12-31</t>
        </is>
      </c>
      <c r="H965" t="inlineStr">
        <is>
          <t>Campus-Medellín</t>
        </is>
      </c>
      <c r="I965" t="n">
        <v>100</v>
      </c>
      <c r="J965" t="n">
        <v>-1011.109985351562</v>
      </c>
      <c r="BW965" t="n">
        <v>0.0009</v>
      </c>
      <c r="BX965" t="n">
        <v>0.01</v>
      </c>
    </row>
    <row r="966">
      <c r="A966" t="n">
        <v>435</v>
      </c>
      <c r="B966" t="inlineStr">
        <is>
          <t>Disminución de la Generación de Residuos Peligrosos per Cápita</t>
        </is>
      </c>
      <c r="C966" t="inlineStr">
        <is>
          <t>GESTIÓN AMBIENTAL</t>
        </is>
      </c>
      <c r="D966" t="inlineStr">
        <is>
          <t>Trimestral</t>
        </is>
      </c>
      <c r="E966" t="inlineStr">
        <is>
          <t>Positivo</t>
        </is>
      </c>
      <c r="F966" s="105" t="n">
        <v>45291</v>
      </c>
      <c r="G966" t="inlineStr">
        <is>
          <t>435-2023-12-31</t>
        </is>
      </c>
      <c r="H966" t="inlineStr">
        <is>
          <t>City Campus</t>
        </is>
      </c>
      <c r="I966" t="n">
        <v>100</v>
      </c>
      <c r="J966" t="n">
        <v>-150</v>
      </c>
      <c r="BW966" t="n">
        <v>0.02</v>
      </c>
      <c r="BX966" t="n">
        <v>0.05</v>
      </c>
    </row>
    <row r="967">
      <c r="A967" t="n">
        <v>439</v>
      </c>
      <c r="B967" t="inlineStr">
        <is>
          <t>Disponibilidad de catálogo de asignaturas pregrado y posgrado virtual</t>
        </is>
      </c>
      <c r="C967" t="inlineStr">
        <is>
          <t>Operaciones Académicas</t>
        </is>
      </c>
      <c r="D967" t="inlineStr">
        <is>
          <t>Trimestral</t>
        </is>
      </c>
      <c r="E967" t="inlineStr">
        <is>
          <t>Positivo</t>
        </is>
      </c>
      <c r="F967" s="105" t="n">
        <v>45291</v>
      </c>
      <c r="G967" t="inlineStr">
        <is>
          <t>439-2023-12-31</t>
        </is>
      </c>
      <c r="H967" t="inlineStr">
        <is>
          <t>Pregrado Virtual</t>
        </is>
      </c>
      <c r="I967" t="n">
        <v>100</v>
      </c>
      <c r="J967" t="n">
        <v>100</v>
      </c>
      <c r="CY967" t="n">
        <v>692</v>
      </c>
      <c r="CZ967" t="n">
        <v>692</v>
      </c>
    </row>
    <row r="968">
      <c r="A968" t="n">
        <v>439</v>
      </c>
      <c r="B968" t="inlineStr">
        <is>
          <t>Disponibilidad de catálogo de asignaturas pregrado y posgrado virtual</t>
        </is>
      </c>
      <c r="C968" t="inlineStr">
        <is>
          <t>Operaciones Académicas</t>
        </is>
      </c>
      <c r="D968" t="inlineStr">
        <is>
          <t>Trimestral</t>
        </is>
      </c>
      <c r="E968" t="inlineStr">
        <is>
          <t>Positivo</t>
        </is>
      </c>
      <c r="F968" s="105" t="n">
        <v>45291</v>
      </c>
      <c r="G968" t="inlineStr">
        <is>
          <t>439-2023-12-31</t>
        </is>
      </c>
      <c r="H968" t="inlineStr">
        <is>
          <t>Posgrado Virtual</t>
        </is>
      </c>
      <c r="I968" t="n">
        <v>100</v>
      </c>
      <c r="J968" t="n">
        <v>100</v>
      </c>
      <c r="CY968" t="n">
        <v>223</v>
      </c>
      <c r="CZ968" t="n">
        <v>223</v>
      </c>
    </row>
    <row r="969">
      <c r="A969" t="n">
        <v>440</v>
      </c>
      <c r="B969" t="inlineStr">
        <is>
          <t>Aseguramiento de matricula académica virtual</t>
        </is>
      </c>
      <c r="C969" t="inlineStr">
        <is>
          <t>Operaciones Académicas</t>
        </is>
      </c>
      <c r="D969" t="inlineStr">
        <is>
          <t>Trimestral</t>
        </is>
      </c>
      <c r="E969" t="inlineStr">
        <is>
          <t>Positivo</t>
        </is>
      </c>
      <c r="F969" s="105" t="n">
        <v>45291</v>
      </c>
      <c r="G969" t="inlineStr">
        <is>
          <t>440-2023-12-31</t>
        </is>
      </c>
      <c r="H969" t="inlineStr">
        <is>
          <t>Pregrado Virtual</t>
        </is>
      </c>
      <c r="I969" t="n">
        <v>98</v>
      </c>
      <c r="J969" t="n">
        <v>97.66000366210938</v>
      </c>
      <c r="DA969" t="n">
        <v>39580</v>
      </c>
      <c r="DB969" t="n">
        <v>40528</v>
      </c>
    </row>
    <row r="970">
      <c r="A970" t="n">
        <v>440</v>
      </c>
      <c r="B970" t="inlineStr">
        <is>
          <t>Aseguramiento de matricula académica virtual</t>
        </is>
      </c>
      <c r="C970" t="inlineStr">
        <is>
          <t>Operaciones Académicas</t>
        </is>
      </c>
      <c r="D970" t="inlineStr">
        <is>
          <t>Trimestral</t>
        </is>
      </c>
      <c r="E970" t="inlineStr">
        <is>
          <t>Positivo</t>
        </is>
      </c>
      <c r="F970" s="105" t="n">
        <v>45291</v>
      </c>
      <c r="G970" t="inlineStr">
        <is>
          <t>440-2023-12-31</t>
        </is>
      </c>
      <c r="H970" t="inlineStr">
        <is>
          <t>Posgrado Virtual</t>
        </is>
      </c>
      <c r="I970" t="n">
        <v>98</v>
      </c>
      <c r="J970" t="n">
        <v>98.98999786376953</v>
      </c>
      <c r="DA970" t="n">
        <v>2746</v>
      </c>
      <c r="DB970" t="n">
        <v>2774</v>
      </c>
    </row>
    <row r="971">
      <c r="A971" t="n">
        <v>213</v>
      </c>
      <c r="B971" t="inlineStr">
        <is>
          <t>Cumplimiento del Plan Anual del Sistema de Gestión Ambiental</t>
        </is>
      </c>
      <c r="C971" t="inlineStr">
        <is>
          <t>GESTIÓN AMBIENTAL</t>
        </is>
      </c>
      <c r="D971" t="inlineStr">
        <is>
          <t>Semestral</t>
        </is>
      </c>
      <c r="E971" t="inlineStr">
        <is>
          <t>Positivo</t>
        </is>
      </c>
      <c r="F971" s="105" t="n">
        <v>45291</v>
      </c>
      <c r="G971" t="inlineStr">
        <is>
          <t>213-2023-12-31</t>
        </is>
      </c>
      <c r="H971" t="inlineStr">
        <is>
          <t>Plan de Gestión Integral de Residuos</t>
        </is>
      </c>
      <c r="I971" t="n">
        <v>90</v>
      </c>
      <c r="J971" t="n">
        <v>100</v>
      </c>
      <c r="AW971" t="n">
        <v>66</v>
      </c>
      <c r="AX971" t="n">
        <v>66</v>
      </c>
    </row>
    <row r="972">
      <c r="A972" t="n">
        <v>213</v>
      </c>
      <c r="B972" t="inlineStr">
        <is>
          <t>Cumplimiento del Plan Anual del Sistema de Gestión Ambiental</t>
        </is>
      </c>
      <c r="C972" t="inlineStr">
        <is>
          <t>GESTIÓN AMBIENTAL</t>
        </is>
      </c>
      <c r="D972" t="inlineStr">
        <is>
          <t>Semestral</t>
        </is>
      </c>
      <c r="E972" t="inlineStr">
        <is>
          <t>Positivo</t>
        </is>
      </c>
      <c r="F972" s="105" t="n">
        <v>45291</v>
      </c>
      <c r="G972" t="inlineStr">
        <is>
          <t>213-2023-12-31</t>
        </is>
      </c>
      <c r="H972" t="inlineStr">
        <is>
          <t>Programa de Gestión del Ahorro y Uso Eficiente de la Energía</t>
        </is>
      </c>
      <c r="I972" t="n">
        <v>90</v>
      </c>
      <c r="J972" t="n">
        <v>100</v>
      </c>
      <c r="AW972" t="n">
        <v>9</v>
      </c>
      <c r="AX972" t="n">
        <v>9</v>
      </c>
    </row>
    <row r="973">
      <c r="A973" t="n">
        <v>213</v>
      </c>
      <c r="B973" t="inlineStr">
        <is>
          <t>Cumplimiento del Plan Anual del Sistema de Gestión Ambiental</t>
        </is>
      </c>
      <c r="C973" t="inlineStr">
        <is>
          <t>GESTIÓN AMBIENTAL</t>
        </is>
      </c>
      <c r="D973" t="inlineStr">
        <is>
          <t>Semestral</t>
        </is>
      </c>
      <c r="E973" t="inlineStr">
        <is>
          <t>Positivo</t>
        </is>
      </c>
      <c r="F973" s="105" t="n">
        <v>45291</v>
      </c>
      <c r="G973" t="inlineStr">
        <is>
          <t>213-2023-12-31</t>
        </is>
      </c>
      <c r="H973" t="inlineStr">
        <is>
          <t>Programa de Gestión de la Calidad, Ahorro y Uso Eficiente del Agua</t>
        </is>
      </c>
      <c r="I973" t="n">
        <v>90</v>
      </c>
      <c r="J973" t="n">
        <v>100</v>
      </c>
      <c r="AW973" t="n">
        <v>16</v>
      </c>
      <c r="AX973" t="n">
        <v>16</v>
      </c>
    </row>
    <row r="974">
      <c r="A974" t="n">
        <v>213</v>
      </c>
      <c r="B974" t="inlineStr">
        <is>
          <t>Cumplimiento del Plan Anual del Sistema de Gestión Ambiental</t>
        </is>
      </c>
      <c r="C974" t="inlineStr">
        <is>
          <t>GESTIÓN AMBIENTAL</t>
        </is>
      </c>
      <c r="D974" t="inlineStr">
        <is>
          <t>Semestral</t>
        </is>
      </c>
      <c r="E974" t="inlineStr">
        <is>
          <t>Positivo</t>
        </is>
      </c>
      <c r="F974" s="105" t="n">
        <v>45291</v>
      </c>
      <c r="G974" t="inlineStr">
        <is>
          <t>213-2023-12-31</t>
        </is>
      </c>
      <c r="H974" t="inlineStr">
        <is>
          <t>Programa de Gestión del la Calidad del Aire,  Ruido Ambiental y Publicidad Exterior Visual</t>
        </is>
      </c>
      <c r="I974" t="n">
        <v>90</v>
      </c>
      <c r="J974" t="n">
        <v>100</v>
      </c>
      <c r="AW974" t="n">
        <v>3</v>
      </c>
      <c r="AX974" t="n">
        <v>3</v>
      </c>
    </row>
    <row r="975">
      <c r="A975" t="n">
        <v>213</v>
      </c>
      <c r="B975" t="inlineStr">
        <is>
          <t>Cumplimiento del Plan Anual del Sistema de Gestión Ambiental</t>
        </is>
      </c>
      <c r="C975" t="inlineStr">
        <is>
          <t>GESTIÓN AMBIENTAL</t>
        </is>
      </c>
      <c r="D975" t="inlineStr">
        <is>
          <t>Semestral</t>
        </is>
      </c>
      <c r="E975" t="inlineStr">
        <is>
          <t>Positivo</t>
        </is>
      </c>
      <c r="F975" s="105" t="n">
        <v>45291</v>
      </c>
      <c r="G975" t="inlineStr">
        <is>
          <t>213-2023-12-31</t>
        </is>
      </c>
      <c r="H975" t="inlineStr">
        <is>
          <t>Programa de Gestión de Áreas Naturales</t>
        </is>
      </c>
      <c r="I975" t="n">
        <v>90</v>
      </c>
      <c r="J975" t="n">
        <v>100</v>
      </c>
      <c r="AW975" t="n">
        <v>3</v>
      </c>
      <c r="AX975" t="n">
        <v>3</v>
      </c>
    </row>
    <row r="976">
      <c r="A976" t="n">
        <v>213</v>
      </c>
      <c r="B976" t="inlineStr">
        <is>
          <t>Cumplimiento del Plan Anual del Sistema de Gestión Ambiental</t>
        </is>
      </c>
      <c r="C976" t="inlineStr">
        <is>
          <t>GESTIÓN AMBIENTAL</t>
        </is>
      </c>
      <c r="D976" t="inlineStr">
        <is>
          <t>Semestral</t>
        </is>
      </c>
      <c r="E976" t="inlineStr">
        <is>
          <t>Positivo</t>
        </is>
      </c>
      <c r="F976" s="105" t="n">
        <v>45291</v>
      </c>
      <c r="G976" t="inlineStr">
        <is>
          <t>213-2023-12-31</t>
        </is>
      </c>
      <c r="H976" t="inlineStr">
        <is>
          <t>Programa de Gestión de la Medición y Compensación de Gases de Efecto Invernadero</t>
        </is>
      </c>
      <c r="I976" t="n">
        <v>90</v>
      </c>
      <c r="J976" t="n">
        <v>100</v>
      </c>
      <c r="AW976" t="n">
        <v>3</v>
      </c>
      <c r="AX976" t="n">
        <v>3</v>
      </c>
    </row>
    <row r="977">
      <c r="A977" t="n">
        <v>213</v>
      </c>
      <c r="B977" t="inlineStr">
        <is>
          <t>Cumplimiento del Plan Anual del Sistema de Gestión Ambiental</t>
        </is>
      </c>
      <c r="C977" t="inlineStr">
        <is>
          <t>GESTIÓN AMBIENTAL</t>
        </is>
      </c>
      <c r="D977" t="inlineStr">
        <is>
          <t>Semestral</t>
        </is>
      </c>
      <c r="E977" t="inlineStr">
        <is>
          <t>Positivo</t>
        </is>
      </c>
      <c r="F977" s="105" t="n">
        <v>45291</v>
      </c>
      <c r="G977" t="inlineStr">
        <is>
          <t>213-2023-12-31</t>
        </is>
      </c>
      <c r="H977" t="inlineStr">
        <is>
          <t>Programa Gestión de la Educación y Comunicación Ambiental</t>
        </is>
      </c>
      <c r="I977" t="n">
        <v>90</v>
      </c>
      <c r="J977" t="n">
        <v>100</v>
      </c>
      <c r="AW977" t="n">
        <v>25</v>
      </c>
      <c r="AX977" t="n">
        <v>25</v>
      </c>
    </row>
    <row r="978">
      <c r="A978" t="n">
        <v>213</v>
      </c>
      <c r="B978" t="inlineStr">
        <is>
          <t>Cumplimiento del Plan Anual del Sistema de Gestión Ambiental</t>
        </is>
      </c>
      <c r="C978" t="inlineStr">
        <is>
          <t>GESTIÓN AMBIENTAL</t>
        </is>
      </c>
      <c r="D978" t="inlineStr">
        <is>
          <t>Semestral</t>
        </is>
      </c>
      <c r="E978" t="inlineStr">
        <is>
          <t>Positivo</t>
        </is>
      </c>
      <c r="F978" s="105" t="n">
        <v>45291</v>
      </c>
      <c r="G978" t="inlineStr">
        <is>
          <t>213-2023-12-31</t>
        </is>
      </c>
      <c r="H978" t="inlineStr">
        <is>
          <t>Actividades de Gestión</t>
        </is>
      </c>
      <c r="I978" t="n">
        <v>90</v>
      </c>
      <c r="J978" t="n">
        <v>100</v>
      </c>
      <c r="AW978" t="n">
        <v>19</v>
      </c>
      <c r="AX978" t="n">
        <v>19</v>
      </c>
    </row>
    <row r="979">
      <c r="A979" t="n">
        <v>238</v>
      </c>
      <c r="B979" t="inlineStr">
        <is>
          <t>Cumplimiento de la Protección del Medio Ambiente</t>
        </is>
      </c>
      <c r="C979" t="inlineStr">
        <is>
          <t>GESTIÓN AMBIENTAL</t>
        </is>
      </c>
      <c r="D979" t="inlineStr">
        <is>
          <t>Semestral</t>
        </is>
      </c>
      <c r="E979" t="inlineStr">
        <is>
          <t>Positivo</t>
        </is>
      </c>
      <c r="F979" s="105" t="n">
        <v>45291</v>
      </c>
      <c r="G979" t="inlineStr">
        <is>
          <t>238-2023-12-31</t>
        </is>
      </c>
      <c r="H979" t="inlineStr">
        <is>
          <t>Cumplimiento del Plan Anual del SGA</t>
        </is>
      </c>
      <c r="I979" t="n">
        <v>90</v>
      </c>
      <c r="J979" t="n">
        <v>100</v>
      </c>
      <c r="AY979" t="n">
        <v>1</v>
      </c>
      <c r="AZ979" t="n">
        <v>1</v>
      </c>
    </row>
    <row r="980">
      <c r="A980" t="n">
        <v>238</v>
      </c>
      <c r="B980" t="inlineStr">
        <is>
          <t>Cumplimiento de la Protección del Medio Ambiente</t>
        </is>
      </c>
      <c r="C980" t="inlineStr">
        <is>
          <t>GESTIÓN AMBIENTAL</t>
        </is>
      </c>
      <c r="D980" t="inlineStr">
        <is>
          <t>Semestral</t>
        </is>
      </c>
      <c r="E980" t="inlineStr">
        <is>
          <t>Positivo</t>
        </is>
      </c>
      <c r="F980" s="105" t="n">
        <v>45291</v>
      </c>
      <c r="G980" t="inlineStr">
        <is>
          <t>238-2023-12-31</t>
        </is>
      </c>
      <c r="H980" t="inlineStr">
        <is>
          <t>Cumplimiento Gestión Integral de Residuos</t>
        </is>
      </c>
      <c r="I980" t="n">
        <v>90</v>
      </c>
      <c r="J980" t="n">
        <v>64.29000091552734</v>
      </c>
      <c r="AY980" t="n">
        <v>9</v>
      </c>
      <c r="AZ980" t="n">
        <v>14</v>
      </c>
    </row>
    <row r="981">
      <c r="A981" t="n">
        <v>238</v>
      </c>
      <c r="B981" t="inlineStr">
        <is>
          <t>Cumplimiento de la Protección del Medio Ambiente</t>
        </is>
      </c>
      <c r="C981" t="inlineStr">
        <is>
          <t>GESTIÓN AMBIENTAL</t>
        </is>
      </c>
      <c r="D981" t="inlineStr">
        <is>
          <t>Semestral</t>
        </is>
      </c>
      <c r="E981" t="inlineStr">
        <is>
          <t>Positivo</t>
        </is>
      </c>
      <c r="F981" s="105" t="n">
        <v>45291</v>
      </c>
      <c r="G981" t="inlineStr">
        <is>
          <t>238-2023-12-31</t>
        </is>
      </c>
      <c r="H981" t="inlineStr">
        <is>
          <t>Cumplimiento Gestión del Ahorro y Uso Eficiente de Energía</t>
        </is>
      </c>
      <c r="I981" t="n">
        <v>90</v>
      </c>
      <c r="J981" t="n">
        <v>80</v>
      </c>
      <c r="AY981" t="n">
        <v>4</v>
      </c>
      <c r="AZ981" t="n">
        <v>5</v>
      </c>
    </row>
    <row r="982">
      <c r="A982" t="n">
        <v>238</v>
      </c>
      <c r="B982" t="inlineStr">
        <is>
          <t>Cumplimiento de la Protección del Medio Ambiente</t>
        </is>
      </c>
      <c r="C982" t="inlineStr">
        <is>
          <t>GESTIÓN AMBIENTAL</t>
        </is>
      </c>
      <c r="D982" t="inlineStr">
        <is>
          <t>Semestral</t>
        </is>
      </c>
      <c r="E982" t="inlineStr">
        <is>
          <t>Positivo</t>
        </is>
      </c>
      <c r="F982" s="105" t="n">
        <v>45291</v>
      </c>
      <c r="G982" t="inlineStr">
        <is>
          <t>238-2023-12-31</t>
        </is>
      </c>
      <c r="H982" t="inlineStr">
        <is>
          <t>Cumplimiento Gestión de la Calidad, Ahorro y Uso Eficiente del Agua</t>
        </is>
      </c>
      <c r="I982" t="n">
        <v>90</v>
      </c>
      <c r="J982" t="n">
        <v>71.43000030517578</v>
      </c>
      <c r="AY982" t="n">
        <v>5</v>
      </c>
      <c r="AZ982" t="n">
        <v>7</v>
      </c>
    </row>
    <row r="983">
      <c r="A983" t="n">
        <v>238</v>
      </c>
      <c r="B983" t="inlineStr">
        <is>
          <t>Cumplimiento de la Protección del Medio Ambiente</t>
        </is>
      </c>
      <c r="C983" t="inlineStr">
        <is>
          <t>GESTIÓN AMBIENTAL</t>
        </is>
      </c>
      <c r="D983" t="inlineStr">
        <is>
          <t>Semestral</t>
        </is>
      </c>
      <c r="E983" t="inlineStr">
        <is>
          <t>Positivo</t>
        </is>
      </c>
      <c r="F983" s="105" t="n">
        <v>45291</v>
      </c>
      <c r="G983" t="inlineStr">
        <is>
          <t>238-2023-12-31</t>
        </is>
      </c>
      <c r="H983" t="inlineStr">
        <is>
          <t>Cumplimiento Gestión del la Calidad del Aire,  Ruido Ambiental y Publicidad Exterior Visual</t>
        </is>
      </c>
      <c r="I983" t="n">
        <v>90</v>
      </c>
      <c r="J983" t="n">
        <v>50</v>
      </c>
      <c r="AY983" t="n">
        <v>1</v>
      </c>
      <c r="AZ983" t="n">
        <v>2</v>
      </c>
    </row>
    <row r="984">
      <c r="A984" t="n">
        <v>238</v>
      </c>
      <c r="B984" t="inlineStr">
        <is>
          <t>Cumplimiento de la Protección del Medio Ambiente</t>
        </is>
      </c>
      <c r="C984" t="inlineStr">
        <is>
          <t>GESTIÓN AMBIENTAL</t>
        </is>
      </c>
      <c r="D984" t="inlineStr">
        <is>
          <t>Semestral</t>
        </is>
      </c>
      <c r="E984" t="inlineStr">
        <is>
          <t>Positivo</t>
        </is>
      </c>
      <c r="F984" s="105" t="n">
        <v>45291</v>
      </c>
      <c r="G984" t="inlineStr">
        <is>
          <t>238-2023-12-31</t>
        </is>
      </c>
      <c r="H984" t="inlineStr">
        <is>
          <t>Cumplimiento Gestión de Áreas Naturales</t>
        </is>
      </c>
      <c r="I984" t="n">
        <v>90</v>
      </c>
      <c r="J984" t="n">
        <v>100</v>
      </c>
      <c r="AY984" t="n">
        <v>3</v>
      </c>
      <c r="AZ984" t="n">
        <v>3</v>
      </c>
    </row>
    <row r="985">
      <c r="A985" t="n">
        <v>238</v>
      </c>
      <c r="B985" t="inlineStr">
        <is>
          <t>Cumplimiento de la Protección del Medio Ambiente</t>
        </is>
      </c>
      <c r="C985" t="inlineStr">
        <is>
          <t>GESTIÓN AMBIENTAL</t>
        </is>
      </c>
      <c r="D985" t="inlineStr">
        <is>
          <t>Semestral</t>
        </is>
      </c>
      <c r="E985" t="inlineStr">
        <is>
          <t>Positivo</t>
        </is>
      </c>
      <c r="F985" s="105" t="n">
        <v>45291</v>
      </c>
      <c r="G985" t="inlineStr">
        <is>
          <t>238-2023-12-31</t>
        </is>
      </c>
      <c r="H985" t="inlineStr">
        <is>
          <t>Cumplimiento Gestión de la Medición y Compensación de GEI</t>
        </is>
      </c>
      <c r="I985" t="n">
        <v>90</v>
      </c>
      <c r="J985" t="n">
        <v>100</v>
      </c>
      <c r="AY985" t="n">
        <v>3</v>
      </c>
      <c r="AZ985" t="n">
        <v>3</v>
      </c>
    </row>
    <row r="986">
      <c r="A986" t="n">
        <v>238</v>
      </c>
      <c r="B986" t="inlineStr">
        <is>
          <t>Cumplimiento de la Protección del Medio Ambiente</t>
        </is>
      </c>
      <c r="C986" t="inlineStr">
        <is>
          <t>GESTIÓN AMBIENTAL</t>
        </is>
      </c>
      <c r="D986" t="inlineStr">
        <is>
          <t>Semestral</t>
        </is>
      </c>
      <c r="E986" t="inlineStr">
        <is>
          <t>Positivo</t>
        </is>
      </c>
      <c r="F986" s="105" t="n">
        <v>45291</v>
      </c>
      <c r="G986" t="inlineStr">
        <is>
          <t>238-2023-12-31</t>
        </is>
      </c>
      <c r="H986" t="inlineStr">
        <is>
          <t>Cumplimiento Gestión de la Educación y Comunicación Ambiental</t>
        </is>
      </c>
      <c r="I986" t="n">
        <v>90</v>
      </c>
      <c r="J986" t="n">
        <v>80</v>
      </c>
      <c r="AY986" t="n">
        <v>4</v>
      </c>
      <c r="AZ986" t="n">
        <v>5</v>
      </c>
    </row>
    <row r="987">
      <c r="A987" t="n">
        <v>306</v>
      </c>
      <c r="B987" t="inlineStr">
        <is>
          <t>Seguimiento KPI Plan de Desarrollo Institucional</t>
        </is>
      </c>
      <c r="C987" t="inlineStr">
        <is>
          <t>Desempeño Institucional</t>
        </is>
      </c>
      <c r="D987" t="inlineStr">
        <is>
          <t>Semestral</t>
        </is>
      </c>
      <c r="E987" t="inlineStr">
        <is>
          <t>Positivo</t>
        </is>
      </c>
      <c r="F987" s="105" t="n">
        <v>45291</v>
      </c>
      <c r="G987" t="inlineStr">
        <is>
          <t>306-2023-12-31</t>
        </is>
      </c>
      <c r="H987" t="inlineStr">
        <is>
          <t>Sostenibilidad</t>
        </is>
      </c>
      <c r="I987" t="n">
        <v>100</v>
      </c>
      <c r="J987" t="n">
        <v>113</v>
      </c>
      <c r="BY987" t="n">
        <v>113</v>
      </c>
    </row>
    <row r="988">
      <c r="A988" t="n">
        <v>306</v>
      </c>
      <c r="B988" t="inlineStr">
        <is>
          <t>Seguimiento KPI Plan de Desarrollo Institucional</t>
        </is>
      </c>
      <c r="C988" t="inlineStr">
        <is>
          <t>Desempeño Institucional</t>
        </is>
      </c>
      <c r="D988" t="inlineStr">
        <is>
          <t>Semestral</t>
        </is>
      </c>
      <c r="E988" t="inlineStr">
        <is>
          <t>Positivo</t>
        </is>
      </c>
      <c r="F988" s="105" t="n">
        <v>45291</v>
      </c>
      <c r="G988" t="inlineStr">
        <is>
          <t>306-2023-12-31</t>
        </is>
      </c>
      <c r="H988" t="inlineStr">
        <is>
          <t>Expansión</t>
        </is>
      </c>
      <c r="I988" t="n">
        <v>100</v>
      </c>
      <c r="J988" t="n">
        <v>102</v>
      </c>
      <c r="BY988" t="n">
        <v>102</v>
      </c>
    </row>
    <row r="989">
      <c r="A989" t="n">
        <v>373</v>
      </c>
      <c r="B989" t="inlineStr">
        <is>
          <t>Cumplimiento de planes anuales por líneas</t>
        </is>
      </c>
      <c r="C989" t="inlineStr">
        <is>
          <t>Planeación Estratégica</t>
        </is>
      </c>
      <c r="D989" t="inlineStr">
        <is>
          <t>Semestral</t>
        </is>
      </c>
      <c r="E989" t="inlineStr">
        <is>
          <t>Positivo</t>
        </is>
      </c>
      <c r="F989" s="105" t="n">
        <v>45291</v>
      </c>
      <c r="G989" t="inlineStr">
        <is>
          <t>373-2023-12-31</t>
        </is>
      </c>
      <c r="H989" t="inlineStr">
        <is>
          <t>Calidad</t>
        </is>
      </c>
      <c r="I989" t="n">
        <v>100</v>
      </c>
      <c r="J989" t="n">
        <v>97</v>
      </c>
      <c r="BZ989" t="n">
        <v>97</v>
      </c>
      <c r="CA989" t="n">
        <v>100</v>
      </c>
    </row>
    <row r="990">
      <c r="A990" t="n">
        <v>373</v>
      </c>
      <c r="B990" t="inlineStr">
        <is>
          <t>Cumplimiento de planes anuales por líneas</t>
        </is>
      </c>
      <c r="C990" t="inlineStr">
        <is>
          <t>Planeación Estratégica</t>
        </is>
      </c>
      <c r="D990" t="inlineStr">
        <is>
          <t>Semestral</t>
        </is>
      </c>
      <c r="E990" t="inlineStr">
        <is>
          <t>Positivo</t>
        </is>
      </c>
      <c r="F990" s="105" t="n">
        <v>45291</v>
      </c>
      <c r="G990" t="inlineStr">
        <is>
          <t>373-2023-12-31</t>
        </is>
      </c>
      <c r="H990" t="inlineStr">
        <is>
          <t>Expansión</t>
        </is>
      </c>
      <c r="I990" t="n">
        <v>100</v>
      </c>
      <c r="J990" t="n">
        <v>98</v>
      </c>
      <c r="BZ990" t="n">
        <v>98</v>
      </c>
      <c r="CA990" t="n">
        <v>100</v>
      </c>
    </row>
    <row r="991">
      <c r="A991" t="n">
        <v>373</v>
      </c>
      <c r="B991" t="inlineStr">
        <is>
          <t>Cumplimiento de planes anuales por líneas</t>
        </is>
      </c>
      <c r="C991" t="inlineStr">
        <is>
          <t>Planeación Estratégica</t>
        </is>
      </c>
      <c r="D991" t="inlineStr">
        <is>
          <t>Semestral</t>
        </is>
      </c>
      <c r="E991" t="inlineStr">
        <is>
          <t>Positivo</t>
        </is>
      </c>
      <c r="F991" s="105" t="n">
        <v>45291</v>
      </c>
      <c r="G991" t="inlineStr">
        <is>
          <t>373-2023-12-31</t>
        </is>
      </c>
      <c r="H991" t="inlineStr">
        <is>
          <t>Educación para toda la vida</t>
        </is>
      </c>
      <c r="I991" t="n">
        <v>100</v>
      </c>
      <c r="J991" t="n">
        <v>98</v>
      </c>
      <c r="BZ991" t="n">
        <v>98</v>
      </c>
      <c r="CA991" t="n">
        <v>100</v>
      </c>
    </row>
    <row r="992">
      <c r="A992" t="n">
        <v>373</v>
      </c>
      <c r="B992" t="inlineStr">
        <is>
          <t>Cumplimiento de planes anuales por líneas</t>
        </is>
      </c>
      <c r="C992" t="inlineStr">
        <is>
          <t>Planeación Estratégica</t>
        </is>
      </c>
      <c r="D992" t="inlineStr">
        <is>
          <t>Semestral</t>
        </is>
      </c>
      <c r="E992" t="inlineStr">
        <is>
          <t>Positivo</t>
        </is>
      </c>
      <c r="F992" s="105" t="n">
        <v>45291</v>
      </c>
      <c r="G992" t="inlineStr">
        <is>
          <t>373-2023-12-31</t>
        </is>
      </c>
      <c r="H992" t="inlineStr">
        <is>
          <t>Trasformación Organizacional</t>
        </is>
      </c>
      <c r="I992" t="n">
        <v>100</v>
      </c>
      <c r="J992" t="n">
        <v>95</v>
      </c>
      <c r="BZ992" t="n">
        <v>95</v>
      </c>
      <c r="CA992" t="n">
        <v>100</v>
      </c>
    </row>
    <row r="993">
      <c r="A993" t="n">
        <v>373</v>
      </c>
      <c r="B993" t="inlineStr">
        <is>
          <t>Cumplimiento de planes anuales por líneas</t>
        </is>
      </c>
      <c r="C993" t="inlineStr">
        <is>
          <t>Planeación Estratégica</t>
        </is>
      </c>
      <c r="D993" t="inlineStr">
        <is>
          <t>Semestral</t>
        </is>
      </c>
      <c r="E993" t="inlineStr">
        <is>
          <t>Positivo</t>
        </is>
      </c>
      <c r="F993" s="105" t="n">
        <v>45291</v>
      </c>
      <c r="G993" t="inlineStr">
        <is>
          <t>373-2023-12-31</t>
        </is>
      </c>
      <c r="H993" t="inlineStr">
        <is>
          <t>Experiencia</t>
        </is>
      </c>
      <c r="I993" t="n">
        <v>100</v>
      </c>
      <c r="J993" t="n">
        <v>96</v>
      </c>
      <c r="BZ993" t="n">
        <v>96</v>
      </c>
      <c r="CA993" t="n">
        <v>100</v>
      </c>
    </row>
    <row r="994">
      <c r="A994" t="n">
        <v>373</v>
      </c>
      <c r="B994" t="inlineStr">
        <is>
          <t>Cumplimiento de planes anuales por líneas</t>
        </is>
      </c>
      <c r="C994" t="inlineStr">
        <is>
          <t>Planeación Estratégica</t>
        </is>
      </c>
      <c r="D994" t="inlineStr">
        <is>
          <t>Semestral</t>
        </is>
      </c>
      <c r="E994" t="inlineStr">
        <is>
          <t>Positivo</t>
        </is>
      </c>
      <c r="F994" s="105" t="n">
        <v>45291</v>
      </c>
      <c r="G994" t="inlineStr">
        <is>
          <t>373-2023-12-31</t>
        </is>
      </c>
      <c r="H994" t="inlineStr">
        <is>
          <t>Sostenibilidad</t>
        </is>
      </c>
      <c r="I994" t="n">
        <v>100</v>
      </c>
      <c r="J994" t="n">
        <v>99</v>
      </c>
      <c r="BZ994" t="n">
        <v>99</v>
      </c>
      <c r="CA994" t="n">
        <v>100</v>
      </c>
    </row>
    <row r="995">
      <c r="A995" t="n">
        <v>390</v>
      </c>
      <c r="B995" t="inlineStr">
        <is>
          <t>Cumplimiento Plan Anual por escuela</t>
        </is>
      </c>
      <c r="C995" t="inlineStr">
        <is>
          <t>Planeación Estratégica</t>
        </is>
      </c>
      <c r="D995" t="inlineStr">
        <is>
          <t>Semestral</t>
        </is>
      </c>
      <c r="E995" t="inlineStr">
        <is>
          <t>Positivo</t>
        </is>
      </c>
      <c r="F995" s="105" t="n">
        <v>45291</v>
      </c>
      <c r="G995" t="inlineStr">
        <is>
          <t>390-2023-12-31</t>
        </is>
      </c>
      <c r="H995" t="inlineStr">
        <is>
          <t>ESCUELA DE CIENCIAS BÁSICAS</t>
        </is>
      </c>
      <c r="I995" t="n">
        <v>100</v>
      </c>
      <c r="J995" t="n">
        <v>100</v>
      </c>
      <c r="CB995" t="n">
        <v>100</v>
      </c>
      <c r="CC995" t="n">
        <v>100</v>
      </c>
    </row>
    <row r="996">
      <c r="A996" t="n">
        <v>390</v>
      </c>
      <c r="B996" t="inlineStr">
        <is>
          <t>Cumplimiento Plan Anual por escuela</t>
        </is>
      </c>
      <c r="C996" t="inlineStr">
        <is>
          <t>Planeación Estratégica</t>
        </is>
      </c>
      <c r="D996" t="inlineStr">
        <is>
          <t>Semestral</t>
        </is>
      </c>
      <c r="E996" t="inlineStr">
        <is>
          <t>Positivo</t>
        </is>
      </c>
      <c r="F996" s="105" t="n">
        <v>45291</v>
      </c>
      <c r="G996" t="inlineStr">
        <is>
          <t>390-2023-12-31</t>
        </is>
      </c>
      <c r="H996" t="inlineStr">
        <is>
          <t>ESCUELA DE  DISEÑO</t>
        </is>
      </c>
      <c r="I996" t="n">
        <v>100</v>
      </c>
      <c r="J996" t="n">
        <v>100</v>
      </c>
      <c r="CB996" t="n">
        <v>100</v>
      </c>
      <c r="CC996" t="n">
        <v>100</v>
      </c>
    </row>
    <row r="997">
      <c r="A997" t="n">
        <v>390</v>
      </c>
      <c r="B997" t="inlineStr">
        <is>
          <t>Cumplimiento Plan Anual por escuela</t>
        </is>
      </c>
      <c r="C997" t="inlineStr">
        <is>
          <t>Planeación Estratégica</t>
        </is>
      </c>
      <c r="D997" t="inlineStr">
        <is>
          <t>Semestral</t>
        </is>
      </c>
      <c r="E997" t="inlineStr">
        <is>
          <t>Positivo</t>
        </is>
      </c>
      <c r="F997" s="105" t="n">
        <v>45291</v>
      </c>
      <c r="G997" t="inlineStr">
        <is>
          <t>390-2023-12-31</t>
        </is>
      </c>
      <c r="H997" t="inlineStr">
        <is>
          <t>ESCUELA DE OPTIMIZACIÓN, INFRA Y AUTO</t>
        </is>
      </c>
      <c r="I997" t="n">
        <v>100</v>
      </c>
      <c r="J997" t="n">
        <v>99.37999725341797</v>
      </c>
      <c r="CB997" t="n">
        <v>99.38</v>
      </c>
      <c r="CC997" t="n">
        <v>100</v>
      </c>
    </row>
    <row r="998">
      <c r="A998" t="n">
        <v>390</v>
      </c>
      <c r="B998" t="inlineStr">
        <is>
          <t>Cumplimiento Plan Anual por escuela</t>
        </is>
      </c>
      <c r="C998" t="inlineStr">
        <is>
          <t>Planeación Estratégica</t>
        </is>
      </c>
      <c r="D998" t="inlineStr">
        <is>
          <t>Semestral</t>
        </is>
      </c>
      <c r="E998" t="inlineStr">
        <is>
          <t>Positivo</t>
        </is>
      </c>
      <c r="F998" s="105" t="n">
        <v>45291</v>
      </c>
      <c r="G998" t="inlineStr">
        <is>
          <t>390-2023-12-31</t>
        </is>
      </c>
      <c r="H998" t="inlineStr">
        <is>
          <t>ESCUELA TIC</t>
        </is>
      </c>
      <c r="I998" t="n">
        <v>100</v>
      </c>
      <c r="J998" t="n">
        <v>100</v>
      </c>
      <c r="CB998" t="n">
        <v>100</v>
      </c>
      <c r="CC998" t="n">
        <v>100</v>
      </c>
    </row>
    <row r="999">
      <c r="A999" t="n">
        <v>390</v>
      </c>
      <c r="B999" t="inlineStr">
        <is>
          <t>Cumplimiento Plan Anual por escuela</t>
        </is>
      </c>
      <c r="C999" t="inlineStr">
        <is>
          <t>Planeación Estratégica</t>
        </is>
      </c>
      <c r="D999" t="inlineStr">
        <is>
          <t>Semestral</t>
        </is>
      </c>
      <c r="E999" t="inlineStr">
        <is>
          <t>Positivo</t>
        </is>
      </c>
      <c r="F999" s="105" t="n">
        <v>45291</v>
      </c>
      <c r="G999" t="inlineStr">
        <is>
          <t>390-2023-12-31</t>
        </is>
      </c>
      <c r="H999" t="inlineStr">
        <is>
          <t>ESCUELA DE ADMINISTRACIÓN Y COMPETITIVIDAD</t>
        </is>
      </c>
      <c r="I999" t="n">
        <v>100</v>
      </c>
      <c r="J999" t="n">
        <v>92.86000061035156</v>
      </c>
      <c r="CB999" t="n">
        <v>92.86</v>
      </c>
      <c r="CC999" t="n">
        <v>100</v>
      </c>
    </row>
    <row r="1000">
      <c r="A1000" t="n">
        <v>390</v>
      </c>
      <c r="B1000" t="inlineStr">
        <is>
          <t>Cumplimiento Plan Anual por escuela</t>
        </is>
      </c>
      <c r="C1000" t="inlineStr">
        <is>
          <t>Planeación Estratégica</t>
        </is>
      </c>
      <c r="D1000" t="inlineStr">
        <is>
          <t>Semestral</t>
        </is>
      </c>
      <c r="E1000" t="inlineStr">
        <is>
          <t>Positivo</t>
        </is>
      </c>
      <c r="F1000" s="105" t="n">
        <v>45291</v>
      </c>
      <c r="G1000" t="inlineStr">
        <is>
          <t>390-2023-12-31</t>
        </is>
      </c>
      <c r="H1000" t="inlineStr">
        <is>
          <t>ESCUELA DE CONTABILIDAD INTERNACIONAL</t>
        </is>
      </c>
      <c r="I1000" t="n">
        <v>100</v>
      </c>
      <c r="J1000" t="n">
        <v>100</v>
      </c>
      <c r="CB1000" t="n">
        <v>100</v>
      </c>
      <c r="CC1000" t="n">
        <v>100</v>
      </c>
    </row>
    <row r="1001">
      <c r="A1001" t="n">
        <v>390</v>
      </c>
      <c r="B1001" t="inlineStr">
        <is>
          <t>Cumplimiento Plan Anual por escuela</t>
        </is>
      </c>
      <c r="C1001" t="inlineStr">
        <is>
          <t>Planeación Estratégica</t>
        </is>
      </c>
      <c r="D1001" t="inlineStr">
        <is>
          <t>Semestral</t>
        </is>
      </c>
      <c r="E1001" t="inlineStr">
        <is>
          <t>Positivo</t>
        </is>
      </c>
      <c r="F1001" s="105" t="n">
        <v>45291</v>
      </c>
      <c r="G1001" t="inlineStr">
        <is>
          <t>390-2023-12-31</t>
        </is>
      </c>
      <c r="H1001" t="inlineStr">
        <is>
          <t>ESCUELA DE NEGOCIOS Y DESARROLLO INTERNACIONAL</t>
        </is>
      </c>
      <c r="I1001" t="n">
        <v>100</v>
      </c>
      <c r="J1001" t="n">
        <v>100</v>
      </c>
      <c r="CB1001" t="n">
        <v>100</v>
      </c>
      <c r="CC1001" t="n">
        <v>100</v>
      </c>
    </row>
    <row r="1002">
      <c r="A1002" t="n">
        <v>390</v>
      </c>
      <c r="B1002" t="inlineStr">
        <is>
          <t>Cumplimiento Plan Anual por escuela</t>
        </is>
      </c>
      <c r="C1002" t="inlineStr">
        <is>
          <t>Planeación Estratégica</t>
        </is>
      </c>
      <c r="D1002" t="inlineStr">
        <is>
          <t>Semestral</t>
        </is>
      </c>
      <c r="E1002" t="inlineStr">
        <is>
          <t>Positivo</t>
        </is>
      </c>
      <c r="F1002" s="105" t="n">
        <v>45291</v>
      </c>
      <c r="G1002" t="inlineStr">
        <is>
          <t>390-2023-12-31</t>
        </is>
      </c>
      <c r="H1002" t="inlineStr">
        <is>
          <t>ESCUELA DE COMUNICACIÓN ARTES VISUALES Y DIGITALES</t>
        </is>
      </c>
      <c r="I1002" t="n">
        <v>100</v>
      </c>
      <c r="J1002" t="n">
        <v>100</v>
      </c>
      <c r="CB1002" t="n">
        <v>100</v>
      </c>
      <c r="CC1002" t="n">
        <v>100</v>
      </c>
    </row>
    <row r="1003">
      <c r="A1003" t="n">
        <v>390</v>
      </c>
      <c r="B1003" t="inlineStr">
        <is>
          <t>Cumplimiento Plan Anual por escuela</t>
        </is>
      </c>
      <c r="C1003" t="inlineStr">
        <is>
          <t>Planeación Estratégica</t>
        </is>
      </c>
      <c r="D1003" t="inlineStr">
        <is>
          <t>Semestral</t>
        </is>
      </c>
      <c r="E1003" t="inlineStr">
        <is>
          <t>Positivo</t>
        </is>
      </c>
      <c r="F1003" s="105" t="n">
        <v>45291</v>
      </c>
      <c r="G1003" t="inlineStr">
        <is>
          <t>390-2023-12-31</t>
        </is>
      </c>
      <c r="H1003" t="inlineStr">
        <is>
          <t>ESCUELA DE EDUCACIÓN E INNOVACIÓN</t>
        </is>
      </c>
      <c r="I1003" t="n">
        <v>100</v>
      </c>
      <c r="J1003" t="n">
        <v>100</v>
      </c>
      <c r="CB1003" t="n">
        <v>100</v>
      </c>
      <c r="CC1003" t="n">
        <v>100</v>
      </c>
    </row>
    <row r="1004">
      <c r="A1004" t="n">
        <v>390</v>
      </c>
      <c r="B1004" t="inlineStr">
        <is>
          <t>Cumplimiento Plan Anual por escuela</t>
        </is>
      </c>
      <c r="C1004" t="inlineStr">
        <is>
          <t>Planeación Estratégica</t>
        </is>
      </c>
      <c r="D1004" t="inlineStr">
        <is>
          <t>Semestral</t>
        </is>
      </c>
      <c r="E1004" t="inlineStr">
        <is>
          <t>Positivo</t>
        </is>
      </c>
      <c r="F1004" s="105" t="n">
        <v>45291</v>
      </c>
      <c r="G1004" t="inlineStr">
        <is>
          <t>390-2023-12-31</t>
        </is>
      </c>
      <c r="H1004" t="inlineStr">
        <is>
          <t>ESCUELA DE DERECHO Y GOBIERNO</t>
        </is>
      </c>
      <c r="I1004" t="n">
        <v>100</v>
      </c>
      <c r="J1004" t="n">
        <v>100</v>
      </c>
      <c r="CB1004" t="n">
        <v>100</v>
      </c>
      <c r="CC1004" t="n">
        <v>100</v>
      </c>
    </row>
    <row r="1005">
      <c r="A1005" t="n">
        <v>390</v>
      </c>
      <c r="B1005" t="inlineStr">
        <is>
          <t>Cumplimiento Plan Anual por escuela</t>
        </is>
      </c>
      <c r="C1005" t="inlineStr">
        <is>
          <t>Planeación Estratégica</t>
        </is>
      </c>
      <c r="D1005" t="inlineStr">
        <is>
          <t>Semestral</t>
        </is>
      </c>
      <c r="E1005" t="inlineStr">
        <is>
          <t>Positivo</t>
        </is>
      </c>
      <c r="F1005" s="105" t="n">
        <v>45291</v>
      </c>
      <c r="G1005" t="inlineStr">
        <is>
          <t>390-2023-12-31</t>
        </is>
      </c>
      <c r="H1005" t="inlineStr">
        <is>
          <t>ESCUELA DE MARKETING Y BRANDING</t>
        </is>
      </c>
      <c r="I1005" t="n">
        <v>100</v>
      </c>
      <c r="J1005" t="n">
        <v>98.75</v>
      </c>
      <c r="CB1005" t="n">
        <v>98.75</v>
      </c>
      <c r="CC1005" t="n">
        <v>100</v>
      </c>
    </row>
    <row r="1006">
      <c r="A1006" t="n">
        <v>390</v>
      </c>
      <c r="B1006" t="inlineStr">
        <is>
          <t>Cumplimiento Plan Anual por escuela</t>
        </is>
      </c>
      <c r="C1006" t="inlineStr">
        <is>
          <t>Planeación Estratégica</t>
        </is>
      </c>
      <c r="D1006" t="inlineStr">
        <is>
          <t>Semestral</t>
        </is>
      </c>
      <c r="E1006" t="inlineStr">
        <is>
          <t>Positivo</t>
        </is>
      </c>
      <c r="F1006" s="105" t="n">
        <v>45291</v>
      </c>
      <c r="G1006" t="inlineStr">
        <is>
          <t>390-2023-12-31</t>
        </is>
      </c>
      <c r="H1006" t="inlineStr">
        <is>
          <t>ESCUELA DE PSIC, TALENTO HUM Y SOC</t>
        </is>
      </c>
      <c r="I1006" t="n">
        <v>100</v>
      </c>
      <c r="J1006" t="n">
        <v>100</v>
      </c>
      <c r="CB1006" t="n">
        <v>100</v>
      </c>
      <c r="CC1006" t="n">
        <v>100</v>
      </c>
    </row>
    <row r="1007">
      <c r="A1007" t="n">
        <v>409</v>
      </c>
      <c r="B1007" t="inlineStr">
        <is>
          <t>Oportunidad en tiempo de envios</t>
        </is>
      </c>
      <c r="C1007" t="inlineStr">
        <is>
          <t>GESTIÓN JURÍDICA Y NORMATIVA</t>
        </is>
      </c>
      <c r="D1007" t="inlineStr">
        <is>
          <t>Semestral</t>
        </is>
      </c>
      <c r="E1007" t="inlineStr">
        <is>
          <t>Positivo</t>
        </is>
      </c>
      <c r="F1007" s="105" t="n">
        <v>45291</v>
      </c>
      <c r="G1007" t="inlineStr">
        <is>
          <t>409-2023-12-31</t>
        </is>
      </c>
      <c r="H1007" t="inlineStr">
        <is>
          <t>Diplomas</t>
        </is>
      </c>
      <c r="I1007" t="n">
        <v>80</v>
      </c>
      <c r="J1007" t="n">
        <v>100</v>
      </c>
      <c r="CQ1007" t="n">
        <v>534</v>
      </c>
      <c r="CR1007" t="n">
        <v>534</v>
      </c>
    </row>
    <row r="1008">
      <c r="A1008" t="n">
        <v>409</v>
      </c>
      <c r="B1008" t="inlineStr">
        <is>
          <t>Oportunidad en tiempo de envios</t>
        </is>
      </c>
      <c r="C1008" t="inlineStr">
        <is>
          <t>GESTIÓN JURÍDICA Y NORMATIVA</t>
        </is>
      </c>
      <c r="D1008" t="inlineStr">
        <is>
          <t>Semestral</t>
        </is>
      </c>
      <c r="E1008" t="inlineStr">
        <is>
          <t>Positivo</t>
        </is>
      </c>
      <c r="F1008" s="105" t="n">
        <v>45291</v>
      </c>
      <c r="G1008" t="inlineStr">
        <is>
          <t>409-2023-12-31</t>
        </is>
      </c>
      <c r="H1008" t="inlineStr">
        <is>
          <t>Otro Material</t>
        </is>
      </c>
      <c r="I1008" t="n">
        <v>80</v>
      </c>
      <c r="J1008" t="n">
        <v>100</v>
      </c>
      <c r="CQ1008" t="n">
        <v>375</v>
      </c>
      <c r="CR1008" t="n">
        <v>375</v>
      </c>
    </row>
    <row r="1009">
      <c r="A1009" t="n">
        <v>414</v>
      </c>
      <c r="B1009" t="inlineStr">
        <is>
          <t>Cumplimiento Plan Anual Rectoría</t>
        </is>
      </c>
      <c r="C1009" t="inlineStr">
        <is>
          <t>Planeación Estratégica</t>
        </is>
      </c>
      <c r="D1009" t="inlineStr">
        <is>
          <t>Semestral</t>
        </is>
      </c>
      <c r="E1009" t="inlineStr">
        <is>
          <t>Positivo</t>
        </is>
      </c>
      <c r="F1009" s="105" t="n">
        <v>45291</v>
      </c>
      <c r="G1009" t="inlineStr">
        <is>
          <t>414-2023-12-31</t>
        </is>
      </c>
      <c r="H1009" t="inlineStr">
        <is>
          <t>Vicerrectoría de crecimiento</t>
        </is>
      </c>
      <c r="I1009" t="n">
        <v>100</v>
      </c>
      <c r="J1009" t="n">
        <v>99.75</v>
      </c>
      <c r="CD1009" t="n">
        <v>99.75</v>
      </c>
      <c r="CE1009" t="n">
        <v>100</v>
      </c>
    </row>
    <row r="1010">
      <c r="A1010" t="n">
        <v>414</v>
      </c>
      <c r="B1010" t="inlineStr">
        <is>
          <t>Cumplimiento Plan Anual Rectoría</t>
        </is>
      </c>
      <c r="C1010" t="inlineStr">
        <is>
          <t>Planeación Estratégica</t>
        </is>
      </c>
      <c r="D1010" t="inlineStr">
        <is>
          <t>Semestral</t>
        </is>
      </c>
      <c r="E1010" t="inlineStr">
        <is>
          <t>Positivo</t>
        </is>
      </c>
      <c r="F1010" s="105" t="n">
        <v>45291</v>
      </c>
      <c r="G1010" t="inlineStr">
        <is>
          <t>414-2023-12-31</t>
        </is>
      </c>
      <c r="H1010" t="inlineStr">
        <is>
          <t>Vicerrectoría académica</t>
        </is>
      </c>
      <c r="I1010" t="n">
        <v>100</v>
      </c>
      <c r="J1010" t="n">
        <v>98.75</v>
      </c>
      <c r="CD1010" t="n">
        <v>98.75</v>
      </c>
      <c r="CE1010" t="n">
        <v>100</v>
      </c>
    </row>
    <row r="1011">
      <c r="A1011" t="n">
        <v>414</v>
      </c>
      <c r="B1011" t="inlineStr">
        <is>
          <t>Cumplimiento Plan Anual Rectoría</t>
        </is>
      </c>
      <c r="C1011" t="inlineStr">
        <is>
          <t>Planeación Estratégica</t>
        </is>
      </c>
      <c r="D1011" t="inlineStr">
        <is>
          <t>Semestral</t>
        </is>
      </c>
      <c r="E1011" t="inlineStr">
        <is>
          <t>Positivo</t>
        </is>
      </c>
      <c r="F1011" s="105" t="n">
        <v>45291</v>
      </c>
      <c r="G1011" t="inlineStr">
        <is>
          <t>414-2023-12-31</t>
        </is>
      </c>
      <c r="H1011" t="inlineStr">
        <is>
          <t>Gerencia sede Medellín</t>
        </is>
      </c>
      <c r="I1011" t="n">
        <v>100</v>
      </c>
      <c r="J1011" t="n">
        <v>86.43000030517578</v>
      </c>
      <c r="CD1011" t="n">
        <v>86.43000000000001</v>
      </c>
      <c r="CE1011" t="n">
        <v>100</v>
      </c>
    </row>
    <row r="1012">
      <c r="A1012" t="n">
        <v>414</v>
      </c>
      <c r="B1012" t="inlineStr">
        <is>
          <t>Cumplimiento Plan Anual Rectoría</t>
        </is>
      </c>
      <c r="C1012" t="inlineStr">
        <is>
          <t>Planeación Estratégica</t>
        </is>
      </c>
      <c r="D1012" t="inlineStr">
        <is>
          <t>Semestral</t>
        </is>
      </c>
      <c r="E1012" t="inlineStr">
        <is>
          <t>Positivo</t>
        </is>
      </c>
      <c r="F1012" s="105" t="n">
        <v>45291</v>
      </c>
      <c r="G1012" t="inlineStr">
        <is>
          <t>414-2023-12-31</t>
        </is>
      </c>
      <c r="H1012" t="inlineStr">
        <is>
          <t>Gerencia de estrategia</t>
        </is>
      </c>
      <c r="I1012" t="n">
        <v>100</v>
      </c>
      <c r="J1012" t="n">
        <v>100</v>
      </c>
      <c r="CD1012" t="n">
        <v>100</v>
      </c>
      <c r="CE1012" t="n">
        <v>100</v>
      </c>
    </row>
    <row r="1013">
      <c r="A1013" t="n">
        <v>414</v>
      </c>
      <c r="B1013" t="inlineStr">
        <is>
          <t>Cumplimiento Plan Anual Rectoría</t>
        </is>
      </c>
      <c r="C1013" t="inlineStr">
        <is>
          <t>Planeación Estratégica</t>
        </is>
      </c>
      <c r="D1013" t="inlineStr">
        <is>
          <t>Semestral</t>
        </is>
      </c>
      <c r="E1013" t="inlineStr">
        <is>
          <t>Positivo</t>
        </is>
      </c>
      <c r="F1013" s="105" t="n">
        <v>45291</v>
      </c>
      <c r="G1013" t="inlineStr">
        <is>
          <t>414-2023-12-31</t>
        </is>
      </c>
      <c r="H1013" t="inlineStr">
        <is>
          <t>Secretaria general</t>
        </is>
      </c>
      <c r="I1013" t="n">
        <v>100</v>
      </c>
      <c r="J1013" t="n">
        <v>94.59999847412109</v>
      </c>
      <c r="CD1013" t="n">
        <v>94.59999999999999</v>
      </c>
      <c r="CE1013" t="n">
        <v>100</v>
      </c>
    </row>
    <row r="1014">
      <c r="A1014" t="n">
        <v>414</v>
      </c>
      <c r="B1014" t="inlineStr">
        <is>
          <t>Cumplimiento Plan Anual Rectoría</t>
        </is>
      </c>
      <c r="C1014" t="inlineStr">
        <is>
          <t>Planeación Estratégica</t>
        </is>
      </c>
      <c r="D1014" t="inlineStr">
        <is>
          <t>Semestral</t>
        </is>
      </c>
      <c r="E1014" t="inlineStr">
        <is>
          <t>Positivo</t>
        </is>
      </c>
      <c r="F1014" s="105" t="n">
        <v>45291</v>
      </c>
      <c r="G1014" t="inlineStr">
        <is>
          <t>414-2023-12-31</t>
        </is>
      </c>
      <c r="H1014" t="inlineStr">
        <is>
          <t>Gerencia de  talento humano y desarrollo</t>
        </is>
      </c>
      <c r="I1014" t="n">
        <v>100</v>
      </c>
      <c r="J1014" t="n">
        <v>94.51000213623047</v>
      </c>
      <c r="CD1014" t="n">
        <v>94.51000000000001</v>
      </c>
      <c r="CE1014" t="n">
        <v>100</v>
      </c>
    </row>
    <row r="1015">
      <c r="A1015" t="n">
        <v>414</v>
      </c>
      <c r="B1015" t="inlineStr">
        <is>
          <t>Cumplimiento Plan Anual Rectoría</t>
        </is>
      </c>
      <c r="C1015" t="inlineStr">
        <is>
          <t>Planeación Estratégica</t>
        </is>
      </c>
      <c r="D1015" t="inlineStr">
        <is>
          <t>Semestral</t>
        </is>
      </c>
      <c r="E1015" t="inlineStr">
        <is>
          <t>Positivo</t>
        </is>
      </c>
      <c r="F1015" s="105" t="n">
        <v>45291</v>
      </c>
      <c r="G1015" t="inlineStr">
        <is>
          <t>414-2023-12-31</t>
        </is>
      </c>
      <c r="H1015" t="inlineStr">
        <is>
          <t>Vicerrectoría del estudiante</t>
        </is>
      </c>
      <c r="I1015" t="n">
        <v>100</v>
      </c>
      <c r="J1015" t="n">
        <v>97.40000152587891</v>
      </c>
      <c r="CD1015" t="n">
        <v>97.40000000000001</v>
      </c>
      <c r="CE1015" t="n">
        <v>100</v>
      </c>
    </row>
    <row r="1016">
      <c r="A1016" t="n">
        <v>414</v>
      </c>
      <c r="B1016" t="inlineStr">
        <is>
          <t>Cumplimiento Plan Anual Rectoría</t>
        </is>
      </c>
      <c r="C1016" t="inlineStr">
        <is>
          <t>Planeación Estratégica</t>
        </is>
      </c>
      <c r="D1016" t="inlineStr">
        <is>
          <t>Semestral</t>
        </is>
      </c>
      <c r="E1016" t="inlineStr">
        <is>
          <t>Positivo</t>
        </is>
      </c>
      <c r="F1016" s="105" t="n">
        <v>45291</v>
      </c>
      <c r="G1016" t="inlineStr">
        <is>
          <t>414-2023-12-31</t>
        </is>
      </c>
      <c r="H1016" t="inlineStr">
        <is>
          <t>Vicerrectoría financiera</t>
        </is>
      </c>
      <c r="I1016" t="n">
        <v>100</v>
      </c>
      <c r="J1016" t="n">
        <v>98.83000183105469</v>
      </c>
      <c r="CD1016" t="n">
        <v>98.83</v>
      </c>
      <c r="CE1016" t="n">
        <v>100</v>
      </c>
    </row>
    <row r="1017">
      <c r="A1017" t="n">
        <v>415</v>
      </c>
      <c r="B1017" t="inlineStr">
        <is>
          <t>Cumplimiento Plan Anual Vicerrectoría del estudiante</t>
        </is>
      </c>
      <c r="C1017" t="inlineStr">
        <is>
          <t>Planeación Estratégica</t>
        </is>
      </c>
      <c r="D1017" t="inlineStr">
        <is>
          <t>Semestral</t>
        </is>
      </c>
      <c r="E1017" t="inlineStr">
        <is>
          <t>Positivo</t>
        </is>
      </c>
      <c r="F1017" s="105" t="n">
        <v>45291</v>
      </c>
      <c r="G1017" t="inlineStr">
        <is>
          <t>415-2023-12-31</t>
        </is>
      </c>
      <c r="H1017" t="inlineStr">
        <is>
          <t>Director de gobierno digital</t>
        </is>
      </c>
      <c r="I1017" t="n">
        <v>100</v>
      </c>
      <c r="J1017" t="n">
        <v>91.51000213623047</v>
      </c>
      <c r="CF1017" t="n">
        <v>0</v>
      </c>
      <c r="CG1017" t="n">
        <v>0</v>
      </c>
    </row>
    <row r="1018">
      <c r="A1018" t="n">
        <v>415</v>
      </c>
      <c r="B1018" t="inlineStr">
        <is>
          <t>Cumplimiento Plan Anual Vicerrectoría del estudiante</t>
        </is>
      </c>
      <c r="C1018" t="inlineStr">
        <is>
          <t>Planeación Estratégica</t>
        </is>
      </c>
      <c r="D1018" t="inlineStr">
        <is>
          <t>Semestral</t>
        </is>
      </c>
      <c r="E1018" t="inlineStr">
        <is>
          <t>Positivo</t>
        </is>
      </c>
      <c r="F1018" s="105" t="n">
        <v>45291</v>
      </c>
      <c r="G1018" t="inlineStr">
        <is>
          <t>415-2023-12-31</t>
        </is>
      </c>
      <c r="H1018" t="inlineStr">
        <is>
          <t>Direccion bienestar universitario y huella grancolombiana</t>
        </is>
      </c>
      <c r="I1018" t="n">
        <v>100</v>
      </c>
      <c r="J1018" t="n">
        <v>100</v>
      </c>
      <c r="CF1018" t="n">
        <v>100</v>
      </c>
      <c r="CG1018" t="n">
        <v>100</v>
      </c>
    </row>
    <row r="1019">
      <c r="A1019" t="n">
        <v>415</v>
      </c>
      <c r="B1019" t="inlineStr">
        <is>
          <t>Cumplimiento Plan Anual Vicerrectoría del estudiante</t>
        </is>
      </c>
      <c r="C1019" t="inlineStr">
        <is>
          <t>Planeación Estratégica</t>
        </is>
      </c>
      <c r="D1019" t="inlineStr">
        <is>
          <t>Semestral</t>
        </is>
      </c>
      <c r="E1019" t="inlineStr">
        <is>
          <t>Positivo</t>
        </is>
      </c>
      <c r="F1019" s="105" t="n">
        <v>45291</v>
      </c>
      <c r="G1019" t="inlineStr">
        <is>
          <t>415-2023-12-31</t>
        </is>
      </c>
      <c r="H1019" t="inlineStr">
        <is>
          <t>BI y analítica</t>
        </is>
      </c>
      <c r="I1019" t="n">
        <v>100</v>
      </c>
      <c r="J1019" t="n">
        <v>98</v>
      </c>
      <c r="CF1019" t="n">
        <v>98</v>
      </c>
      <c r="CG1019" t="n">
        <v>100</v>
      </c>
    </row>
    <row r="1020">
      <c r="A1020" t="n">
        <v>415</v>
      </c>
      <c r="B1020" t="inlineStr">
        <is>
          <t>Cumplimiento Plan Anual Vicerrectoría del estudiante</t>
        </is>
      </c>
      <c r="C1020" t="inlineStr">
        <is>
          <t>Planeación Estratégica</t>
        </is>
      </c>
      <c r="D1020" t="inlineStr">
        <is>
          <t>Semestral</t>
        </is>
      </c>
      <c r="E1020" t="inlineStr">
        <is>
          <t>Positivo</t>
        </is>
      </c>
      <c r="F1020" s="105" t="n">
        <v>45291</v>
      </c>
      <c r="G1020" t="inlineStr">
        <is>
          <t>415-2023-12-31</t>
        </is>
      </c>
      <c r="H1020" t="inlineStr">
        <is>
          <t>Gerencia de operaciones</t>
        </is>
      </c>
      <c r="I1020" t="n">
        <v>100</v>
      </c>
      <c r="J1020" t="n">
        <v>100</v>
      </c>
      <c r="CF1020" t="n">
        <v>100</v>
      </c>
      <c r="CG1020" t="n">
        <v>100</v>
      </c>
    </row>
    <row r="1021">
      <c r="A1021" t="n">
        <v>415</v>
      </c>
      <c r="B1021" t="inlineStr">
        <is>
          <t>Cumplimiento Plan Anual Vicerrectoría del estudiante</t>
        </is>
      </c>
      <c r="C1021" t="inlineStr">
        <is>
          <t>Planeación Estratégica</t>
        </is>
      </c>
      <c r="D1021" t="inlineStr">
        <is>
          <t>Semestral</t>
        </is>
      </c>
      <c r="E1021" t="inlineStr">
        <is>
          <t>Positivo</t>
        </is>
      </c>
      <c r="F1021" s="105" t="n">
        <v>45291</v>
      </c>
      <c r="G1021" t="inlineStr">
        <is>
          <t>415-2023-12-31</t>
        </is>
      </c>
      <c r="H1021" t="inlineStr">
        <is>
          <t>Gerencia de servicio y permanencia</t>
        </is>
      </c>
      <c r="I1021" t="n">
        <v>100</v>
      </c>
      <c r="J1021" t="n">
        <v>100</v>
      </c>
      <c r="CF1021" t="n">
        <v>100</v>
      </c>
      <c r="CG1021" t="n">
        <v>100</v>
      </c>
    </row>
    <row r="1022">
      <c r="A1022" t="n">
        <v>415</v>
      </c>
      <c r="B1022" t="inlineStr">
        <is>
          <t>Cumplimiento Plan Anual Vicerrectoría del estudiante</t>
        </is>
      </c>
      <c r="C1022" t="inlineStr">
        <is>
          <t>Planeación Estratégica</t>
        </is>
      </c>
      <c r="D1022" t="inlineStr">
        <is>
          <t>Semestral</t>
        </is>
      </c>
      <c r="E1022" t="inlineStr">
        <is>
          <t>Positivo</t>
        </is>
      </c>
      <c r="F1022" s="105" t="n">
        <v>45291</v>
      </c>
      <c r="G1022" t="inlineStr">
        <is>
          <t>415-2023-12-31</t>
        </is>
      </c>
      <c r="H1022" t="inlineStr">
        <is>
          <t>Gerencia de tecnología e innovación digital</t>
        </is>
      </c>
      <c r="I1022" t="n">
        <v>100</v>
      </c>
      <c r="J1022" t="n">
        <v>84</v>
      </c>
      <c r="CF1022" t="n">
        <v>84</v>
      </c>
      <c r="CG1022" t="n">
        <v>100</v>
      </c>
    </row>
    <row r="1023">
      <c r="A1023" t="n">
        <v>415</v>
      </c>
      <c r="B1023" t="inlineStr">
        <is>
          <t>Cumplimiento Plan Anual Vicerrectoría del estudiante</t>
        </is>
      </c>
      <c r="C1023" t="inlineStr">
        <is>
          <t>Planeación Estratégica</t>
        </is>
      </c>
      <c r="D1023" t="inlineStr">
        <is>
          <t>Semestral</t>
        </is>
      </c>
      <c r="E1023" t="inlineStr">
        <is>
          <t>Positivo</t>
        </is>
      </c>
      <c r="F1023" s="105" t="n">
        <v>45291</v>
      </c>
      <c r="G1023" t="inlineStr">
        <is>
          <t>415-2023-12-31</t>
        </is>
      </c>
      <c r="H1023" t="inlineStr">
        <is>
          <t>Dirección de Experiencia E Inclusion</t>
        </is>
      </c>
      <c r="I1023" t="n">
        <v>100</v>
      </c>
      <c r="J1023" t="n">
        <v>90</v>
      </c>
      <c r="CF1023" t="n">
        <v>90</v>
      </c>
      <c r="CG1023" t="n">
        <v>100</v>
      </c>
    </row>
    <row r="1024">
      <c r="A1024" t="n">
        <v>415</v>
      </c>
      <c r="B1024" t="inlineStr">
        <is>
          <t>Cumplimiento Plan Anual Vicerrectoría del estudiante</t>
        </is>
      </c>
      <c r="C1024" t="inlineStr">
        <is>
          <t>Planeación Estratégica</t>
        </is>
      </c>
      <c r="D1024" t="inlineStr">
        <is>
          <t>Semestral</t>
        </is>
      </c>
      <c r="E1024" t="inlineStr">
        <is>
          <t>Positivo</t>
        </is>
      </c>
      <c r="F1024" s="105" t="n">
        <v>45291</v>
      </c>
      <c r="G1024" t="inlineStr">
        <is>
          <t>415-2023-12-31</t>
        </is>
      </c>
      <c r="H1024" t="inlineStr">
        <is>
          <t>Dirección nacional de registro y control</t>
        </is>
      </c>
      <c r="I1024" t="n">
        <v>100</v>
      </c>
      <c r="J1024" t="n">
        <v>100</v>
      </c>
      <c r="CF1024" t="n">
        <v>100</v>
      </c>
      <c r="CG1024" t="n">
        <v>100</v>
      </c>
    </row>
    <row r="1025">
      <c r="A1025" t="n">
        <v>416</v>
      </c>
      <c r="B1025" t="inlineStr">
        <is>
          <t>Cumplimiento Plan Anual Vicerrectoría de crecimiento</t>
        </is>
      </c>
      <c r="C1025" t="inlineStr">
        <is>
          <t>Planeación Estratégica</t>
        </is>
      </c>
      <c r="D1025" t="inlineStr">
        <is>
          <t>Semestral</t>
        </is>
      </c>
      <c r="E1025" t="inlineStr">
        <is>
          <t>Positivo</t>
        </is>
      </c>
      <c r="F1025" s="105" t="n">
        <v>45291</v>
      </c>
      <c r="G1025" t="inlineStr">
        <is>
          <t>416-2023-12-31</t>
        </is>
      </c>
      <c r="H1025" t="inlineStr">
        <is>
          <t>Gerencia de matriculas</t>
        </is>
      </c>
      <c r="I1025" t="n">
        <v>100</v>
      </c>
      <c r="J1025" t="n">
        <v>100</v>
      </c>
      <c r="CH1025" t="n">
        <v>100</v>
      </c>
      <c r="CI1025" t="n">
        <v>100</v>
      </c>
    </row>
    <row r="1026">
      <c r="A1026" t="n">
        <v>416</v>
      </c>
      <c r="B1026" t="inlineStr">
        <is>
          <t>Cumplimiento Plan Anual Vicerrectoría de crecimiento</t>
        </is>
      </c>
      <c r="C1026" t="inlineStr">
        <is>
          <t>Planeación Estratégica</t>
        </is>
      </c>
      <c r="D1026" t="inlineStr">
        <is>
          <t>Semestral</t>
        </is>
      </c>
      <c r="E1026" t="inlineStr">
        <is>
          <t>Positivo</t>
        </is>
      </c>
      <c r="F1026" s="105" t="n">
        <v>45291</v>
      </c>
      <c r="G1026" t="inlineStr">
        <is>
          <t>416-2023-12-31</t>
        </is>
      </c>
      <c r="H1026" t="inlineStr">
        <is>
          <t>Gerencia de mercadeo</t>
        </is>
      </c>
      <c r="I1026" t="n">
        <v>100</v>
      </c>
      <c r="J1026" t="n">
        <v>96</v>
      </c>
      <c r="CH1026" t="n">
        <v>96</v>
      </c>
      <c r="CI1026" t="n">
        <v>100</v>
      </c>
    </row>
    <row r="1027">
      <c r="A1027" t="n">
        <v>417</v>
      </c>
      <c r="B1027" t="inlineStr">
        <is>
          <t>Cumplimiento Plan Anual Vicerrectoría Financiera</t>
        </is>
      </c>
      <c r="C1027" t="inlineStr">
        <is>
          <t>Planeación Estratégica</t>
        </is>
      </c>
      <c r="D1027" t="inlineStr">
        <is>
          <t>Semestral</t>
        </is>
      </c>
      <c r="E1027" t="inlineStr">
        <is>
          <t>Positivo</t>
        </is>
      </c>
      <c r="F1027" s="105" t="n">
        <v>45291</v>
      </c>
      <c r="G1027" t="inlineStr">
        <is>
          <t>417-2023-12-31</t>
        </is>
      </c>
      <c r="H1027" t="inlineStr">
        <is>
          <t>Dirección de contabilidad</t>
        </is>
      </c>
      <c r="I1027" t="n">
        <v>100</v>
      </c>
      <c r="J1027" t="n">
        <v>94</v>
      </c>
      <c r="CJ1027" t="n">
        <v>94</v>
      </c>
      <c r="CK1027" t="n">
        <v>100</v>
      </c>
    </row>
    <row r="1028">
      <c r="A1028" t="n">
        <v>417</v>
      </c>
      <c r="B1028" t="inlineStr">
        <is>
          <t>Cumplimiento Plan Anual Vicerrectoría Financiera</t>
        </is>
      </c>
      <c r="C1028" t="inlineStr">
        <is>
          <t>Planeación Estratégica</t>
        </is>
      </c>
      <c r="D1028" t="inlineStr">
        <is>
          <t>Semestral</t>
        </is>
      </c>
      <c r="E1028" t="inlineStr">
        <is>
          <t>Positivo</t>
        </is>
      </c>
      <c r="F1028" s="105" t="n">
        <v>45291</v>
      </c>
      <c r="G1028" t="inlineStr">
        <is>
          <t>417-2023-12-31</t>
        </is>
      </c>
      <c r="H1028" t="inlineStr">
        <is>
          <t>Dirección de infraestructura</t>
        </is>
      </c>
      <c r="I1028" t="n">
        <v>100</v>
      </c>
      <c r="J1028" t="n">
        <v>86.66999816894531</v>
      </c>
      <c r="CJ1028" t="n">
        <v>86.67</v>
      </c>
      <c r="CK1028" t="n">
        <v>100</v>
      </c>
    </row>
    <row r="1029">
      <c r="A1029" t="n">
        <v>417</v>
      </c>
      <c r="B1029" t="inlineStr">
        <is>
          <t>Cumplimiento Plan Anual Vicerrectoría Financiera</t>
        </is>
      </c>
      <c r="C1029" t="inlineStr">
        <is>
          <t>Planeación Estratégica</t>
        </is>
      </c>
      <c r="D1029" t="inlineStr">
        <is>
          <t>Semestral</t>
        </is>
      </c>
      <c r="E1029" t="inlineStr">
        <is>
          <t>Positivo</t>
        </is>
      </c>
      <c r="F1029" s="105" t="n">
        <v>45291</v>
      </c>
      <c r="G1029" t="inlineStr">
        <is>
          <t>417-2023-12-31</t>
        </is>
      </c>
      <c r="H1029" t="inlineStr">
        <is>
          <t>Dirección planeación financiera y tesorería</t>
        </is>
      </c>
      <c r="I1029" t="n">
        <v>100</v>
      </c>
      <c r="J1029" t="n">
        <v>93.75</v>
      </c>
      <c r="CJ1029" t="n">
        <v>93.75</v>
      </c>
      <c r="CK1029" t="n">
        <v>100</v>
      </c>
    </row>
    <row r="1030">
      <c r="A1030" t="n">
        <v>417</v>
      </c>
      <c r="B1030" t="inlineStr">
        <is>
          <t>Cumplimiento Plan Anual Vicerrectoría Financiera</t>
        </is>
      </c>
      <c r="C1030" t="inlineStr">
        <is>
          <t>Planeación Estratégica</t>
        </is>
      </c>
      <c r="D1030" t="inlineStr">
        <is>
          <t>Semestral</t>
        </is>
      </c>
      <c r="E1030" t="inlineStr">
        <is>
          <t>Positivo</t>
        </is>
      </c>
      <c r="F1030" s="105" t="n">
        <v>45291</v>
      </c>
      <c r="G1030" t="inlineStr">
        <is>
          <t>417-2023-12-31</t>
        </is>
      </c>
      <c r="H1030" t="inlineStr">
        <is>
          <t>Dirección de relacionamiento de CSU</t>
        </is>
      </c>
      <c r="I1030" t="n">
        <v>100</v>
      </c>
      <c r="J1030" t="n">
        <v>98.75</v>
      </c>
      <c r="CJ1030" t="n">
        <v>98.75</v>
      </c>
      <c r="CK1030" t="n">
        <v>100</v>
      </c>
    </row>
    <row r="1031">
      <c r="A1031" t="n">
        <v>417</v>
      </c>
      <c r="B1031" t="inlineStr">
        <is>
          <t>Cumplimiento Plan Anual Vicerrectoría Financiera</t>
        </is>
      </c>
      <c r="C1031" t="inlineStr">
        <is>
          <t>Planeación Estratégica</t>
        </is>
      </c>
      <c r="D1031" t="inlineStr">
        <is>
          <t>Semestral</t>
        </is>
      </c>
      <c r="E1031" t="inlineStr">
        <is>
          <t>Positivo</t>
        </is>
      </c>
      <c r="F1031" s="105" t="n">
        <v>45291</v>
      </c>
      <c r="G1031" t="inlineStr">
        <is>
          <t>417-2023-12-31</t>
        </is>
      </c>
      <c r="H1031" t="inlineStr">
        <is>
          <t>Dirección de servicios administrativos</t>
        </is>
      </c>
      <c r="I1031" t="n">
        <v>100</v>
      </c>
      <c r="J1031" t="n">
        <v>94.16999816894531</v>
      </c>
      <c r="CJ1031" t="n">
        <v>94.17</v>
      </c>
      <c r="CK1031" t="n">
        <v>100</v>
      </c>
    </row>
    <row r="1032">
      <c r="A1032" t="n">
        <v>417</v>
      </c>
      <c r="B1032" t="inlineStr">
        <is>
          <t>Cumplimiento Plan Anual Vicerrectoría Financiera</t>
        </is>
      </c>
      <c r="C1032" t="inlineStr">
        <is>
          <t>Planeación Estratégica</t>
        </is>
      </c>
      <c r="D1032" t="inlineStr">
        <is>
          <t>Semestral</t>
        </is>
      </c>
      <c r="E1032" t="inlineStr">
        <is>
          <t>Positivo</t>
        </is>
      </c>
      <c r="F1032" s="105" t="n">
        <v>45291</v>
      </c>
      <c r="G1032" t="inlineStr">
        <is>
          <t>417-2023-12-31</t>
        </is>
      </c>
      <c r="H1032" t="inlineStr">
        <is>
          <t>Dirección de compras y abastecimiento</t>
        </is>
      </c>
      <c r="I1032" t="n">
        <v>100</v>
      </c>
      <c r="J1032" t="n">
        <v>99</v>
      </c>
      <c r="CJ1032" t="n">
        <v>99</v>
      </c>
      <c r="CK1032" t="n">
        <v>100</v>
      </c>
    </row>
    <row r="1033">
      <c r="A1033" t="n">
        <v>418</v>
      </c>
      <c r="B1033" t="inlineStr">
        <is>
          <t>Cumplimiento Plan Anual Vicerrectoría Académica</t>
        </is>
      </c>
      <c r="C1033" t="inlineStr">
        <is>
          <t>Planeación Estratégica</t>
        </is>
      </c>
      <c r="D1033" t="inlineStr">
        <is>
          <t>Semestral</t>
        </is>
      </c>
      <c r="E1033" t="inlineStr">
        <is>
          <t>Positivo</t>
        </is>
      </c>
      <c r="F1033" s="105" t="n">
        <v>45291</v>
      </c>
      <c r="G1033" t="inlineStr">
        <is>
          <t>418-2023-12-31</t>
        </is>
      </c>
      <c r="H1033" t="inlineStr">
        <is>
          <t>Dirección aseguramiento de la calidad</t>
        </is>
      </c>
      <c r="I1033" t="n">
        <v>100</v>
      </c>
      <c r="J1033" t="n">
        <v>87.5</v>
      </c>
      <c r="CL1033" t="n">
        <v>87.5</v>
      </c>
      <c r="CM1033" t="n">
        <v>100</v>
      </c>
    </row>
    <row r="1034">
      <c r="A1034" t="n">
        <v>418</v>
      </c>
      <c r="B1034" t="inlineStr">
        <is>
          <t>Cumplimiento Plan Anual Vicerrectoría Académica</t>
        </is>
      </c>
      <c r="C1034" t="inlineStr">
        <is>
          <t>Planeación Estratégica</t>
        </is>
      </c>
      <c r="D1034" t="inlineStr">
        <is>
          <t>Semestral</t>
        </is>
      </c>
      <c r="E1034" t="inlineStr">
        <is>
          <t>Positivo</t>
        </is>
      </c>
      <c r="F1034" s="105" t="n">
        <v>45291</v>
      </c>
      <c r="G1034" t="inlineStr">
        <is>
          <t>418-2023-12-31</t>
        </is>
      </c>
      <c r="H1034" t="inlineStr">
        <is>
          <t>Dirección investigación innovación y creación</t>
        </is>
      </c>
      <c r="I1034" t="n">
        <v>100</v>
      </c>
      <c r="J1034" t="n">
        <v>86.25</v>
      </c>
      <c r="CL1034" t="n">
        <v>86.25</v>
      </c>
      <c r="CM1034" t="n">
        <v>100</v>
      </c>
    </row>
    <row r="1035">
      <c r="A1035" t="n">
        <v>418</v>
      </c>
      <c r="B1035" t="inlineStr">
        <is>
          <t>Cumplimiento Plan Anual Vicerrectoría Académica</t>
        </is>
      </c>
      <c r="C1035" t="inlineStr">
        <is>
          <t>Planeación Estratégica</t>
        </is>
      </c>
      <c r="D1035" t="inlineStr">
        <is>
          <t>Semestral</t>
        </is>
      </c>
      <c r="E1035" t="inlineStr">
        <is>
          <t>Positivo</t>
        </is>
      </c>
      <c r="F1035" s="105" t="n">
        <v>45291</v>
      </c>
      <c r="G1035" t="inlineStr">
        <is>
          <t>418-2023-12-31</t>
        </is>
      </c>
      <c r="H1035" t="inlineStr">
        <is>
          <t>Dirección relaciones nacionales e internacionales</t>
        </is>
      </c>
      <c r="I1035" t="n">
        <v>100</v>
      </c>
      <c r="J1035" t="n">
        <v>90.94999694824219</v>
      </c>
      <c r="CL1035" t="n">
        <v>90.95</v>
      </c>
      <c r="CM1035" t="n">
        <v>100</v>
      </c>
    </row>
    <row r="1036">
      <c r="A1036" t="n">
        <v>418</v>
      </c>
      <c r="B1036" t="inlineStr">
        <is>
          <t>Cumplimiento Plan Anual Vicerrectoría Académica</t>
        </is>
      </c>
      <c r="C1036" t="inlineStr">
        <is>
          <t>Planeación Estratégica</t>
        </is>
      </c>
      <c r="D1036" t="inlineStr">
        <is>
          <t>Semestral</t>
        </is>
      </c>
      <c r="E1036" t="inlineStr">
        <is>
          <t>Positivo</t>
        </is>
      </c>
      <c r="F1036" s="105" t="n">
        <v>45291</v>
      </c>
      <c r="G1036" t="inlineStr">
        <is>
          <t>418-2023-12-31</t>
        </is>
      </c>
      <c r="H1036" t="inlineStr">
        <is>
          <t>Secretaria académica y de extensión</t>
        </is>
      </c>
      <c r="I1036" t="n">
        <v>100</v>
      </c>
      <c r="J1036" t="n">
        <v>99.77999877929688</v>
      </c>
      <c r="CL1036" t="n">
        <v>99.78</v>
      </c>
      <c r="CM1036" t="n">
        <v>100</v>
      </c>
    </row>
    <row r="1037">
      <c r="A1037" t="n">
        <v>418</v>
      </c>
      <c r="B1037" t="inlineStr">
        <is>
          <t>Cumplimiento Plan Anual Vicerrectoría Académica</t>
        </is>
      </c>
      <c r="C1037" t="inlineStr">
        <is>
          <t>Planeación Estratégica</t>
        </is>
      </c>
      <c r="D1037" t="inlineStr">
        <is>
          <t>Semestral</t>
        </is>
      </c>
      <c r="E1037" t="inlineStr">
        <is>
          <t>Positivo</t>
        </is>
      </c>
      <c r="F1037" s="105" t="n">
        <v>45291</v>
      </c>
      <c r="G1037" t="inlineStr">
        <is>
          <t>418-2023-12-31</t>
        </is>
      </c>
      <c r="H1037" t="inlineStr">
        <is>
          <t>Dirección de docencia</t>
        </is>
      </c>
      <c r="I1037" t="n">
        <v>100</v>
      </c>
      <c r="J1037" t="n">
        <v>100</v>
      </c>
      <c r="CL1037" t="n">
        <v>100</v>
      </c>
      <c r="CM1037" t="n">
        <v>100</v>
      </c>
    </row>
    <row r="1038">
      <c r="A1038" t="n">
        <v>418</v>
      </c>
      <c r="B1038" t="inlineStr">
        <is>
          <t>Cumplimiento Plan Anual Vicerrectoría Académica</t>
        </is>
      </c>
      <c r="C1038" t="inlineStr">
        <is>
          <t>Planeación Estratégica</t>
        </is>
      </c>
      <c r="D1038" t="inlineStr">
        <is>
          <t>Semestral</t>
        </is>
      </c>
      <c r="E1038" t="inlineStr">
        <is>
          <t>Positivo</t>
        </is>
      </c>
      <c r="F1038" s="105" t="n">
        <v>45291</v>
      </c>
      <c r="G1038" t="inlineStr">
        <is>
          <t>418-2023-12-31</t>
        </is>
      </c>
      <c r="H1038" t="inlineStr">
        <is>
          <t>Dirección de currículo presencial y virtual</t>
        </is>
      </c>
      <c r="I1038" t="n">
        <v>100</v>
      </c>
      <c r="J1038" t="n">
        <v>100</v>
      </c>
      <c r="CL1038" t="n">
        <v>100</v>
      </c>
      <c r="CM1038" t="n">
        <v>100</v>
      </c>
    </row>
    <row r="1039">
      <c r="A1039" t="n">
        <v>418</v>
      </c>
      <c r="B1039" t="inlineStr">
        <is>
          <t>Cumplimiento Plan Anual Vicerrectoría Académica</t>
        </is>
      </c>
      <c r="C1039" t="inlineStr">
        <is>
          <t>Planeación Estratégica</t>
        </is>
      </c>
      <c r="D1039" t="inlineStr">
        <is>
          <t>Semestral</t>
        </is>
      </c>
      <c r="E1039" t="inlineStr">
        <is>
          <t>Positivo</t>
        </is>
      </c>
      <c r="F1039" s="105" t="n">
        <v>45291</v>
      </c>
      <c r="G1039" t="inlineStr">
        <is>
          <t>418-2023-12-31</t>
        </is>
      </c>
      <c r="H1039" t="inlineStr">
        <is>
          <t>Facultad ingeniería diseño e innovación</t>
        </is>
      </c>
      <c r="I1039" t="n">
        <v>100</v>
      </c>
      <c r="J1039" t="n">
        <v>100</v>
      </c>
      <c r="CL1039" t="n">
        <v>100</v>
      </c>
      <c r="CM1039" t="n">
        <v>100</v>
      </c>
    </row>
    <row r="1040">
      <c r="A1040" t="n">
        <v>418</v>
      </c>
      <c r="B1040" t="inlineStr">
        <is>
          <t>Cumplimiento Plan Anual Vicerrectoría Académica</t>
        </is>
      </c>
      <c r="C1040" t="inlineStr">
        <is>
          <t>Planeación Estratégica</t>
        </is>
      </c>
      <c r="D1040" t="inlineStr">
        <is>
          <t>Semestral</t>
        </is>
      </c>
      <c r="E1040" t="inlineStr">
        <is>
          <t>Positivo</t>
        </is>
      </c>
      <c r="F1040" s="105" t="n">
        <v>45291</v>
      </c>
      <c r="G1040" t="inlineStr">
        <is>
          <t>418-2023-12-31</t>
        </is>
      </c>
      <c r="H1040" t="inlineStr">
        <is>
          <t>Facultad negocios gestión y sostenibilidad</t>
        </is>
      </c>
      <c r="I1040" t="n">
        <v>100</v>
      </c>
      <c r="J1040" t="n">
        <v>97.73999786376953</v>
      </c>
      <c r="CL1040" t="n">
        <v>97.73999999999999</v>
      </c>
      <c r="CM1040" t="n">
        <v>100</v>
      </c>
    </row>
    <row r="1041">
      <c r="A1041" t="n">
        <v>418</v>
      </c>
      <c r="B1041" t="inlineStr">
        <is>
          <t>Cumplimiento Plan Anual Vicerrectoría Académica</t>
        </is>
      </c>
      <c r="C1041" t="inlineStr">
        <is>
          <t>Planeación Estratégica</t>
        </is>
      </c>
      <c r="D1041" t="inlineStr">
        <is>
          <t>Semestral</t>
        </is>
      </c>
      <c r="E1041" t="inlineStr">
        <is>
          <t>Positivo</t>
        </is>
      </c>
      <c r="F1041" s="105" t="n">
        <v>45291</v>
      </c>
      <c r="G1041" t="inlineStr">
        <is>
          <t>418-2023-12-31</t>
        </is>
      </c>
      <c r="H1041" t="inlineStr">
        <is>
          <t>Facultad sociedad cultura y creatividad</t>
        </is>
      </c>
      <c r="I1041" t="n">
        <v>100</v>
      </c>
      <c r="J1041" t="n">
        <v>100</v>
      </c>
      <c r="CL1041" t="n">
        <v>100</v>
      </c>
      <c r="CM1041" t="n">
        <v>100</v>
      </c>
    </row>
    <row r="1042">
      <c r="A1042" t="n">
        <v>420</v>
      </c>
      <c r="B1042" t="inlineStr">
        <is>
          <t>Cumplimiento Plan Anual Gerencia de estrategia</t>
        </is>
      </c>
      <c r="C1042" t="inlineStr">
        <is>
          <t>Planeación Estratégica</t>
        </is>
      </c>
      <c r="D1042" t="inlineStr">
        <is>
          <t>Semestral</t>
        </is>
      </c>
      <c r="E1042" t="inlineStr">
        <is>
          <t>Positivo</t>
        </is>
      </c>
      <c r="F1042" s="105" t="n">
        <v>45291</v>
      </c>
      <c r="G1042" t="inlineStr">
        <is>
          <t>420-2023-12-31</t>
        </is>
      </c>
      <c r="H1042" t="inlineStr">
        <is>
          <t>SGC</t>
        </is>
      </c>
      <c r="I1042" t="n">
        <v>100</v>
      </c>
      <c r="J1042" t="n">
        <v>100</v>
      </c>
      <c r="CN1042" t="n">
        <v>100</v>
      </c>
      <c r="CO1042" t="n">
        <v>100</v>
      </c>
    </row>
    <row r="1043">
      <c r="A1043" t="n">
        <v>420</v>
      </c>
      <c r="B1043" t="inlineStr">
        <is>
          <t>Cumplimiento Plan Anual Gerencia de estrategia</t>
        </is>
      </c>
      <c r="C1043" t="inlineStr">
        <is>
          <t>Planeación Estratégica</t>
        </is>
      </c>
      <c r="D1043" t="inlineStr">
        <is>
          <t>Semestral</t>
        </is>
      </c>
      <c r="E1043" t="inlineStr">
        <is>
          <t>Positivo</t>
        </is>
      </c>
      <c r="F1043" s="105" t="n">
        <v>45291</v>
      </c>
      <c r="G1043" t="inlineStr">
        <is>
          <t>420-2023-12-31</t>
        </is>
      </c>
      <c r="H1043" t="inlineStr">
        <is>
          <t>SGA</t>
        </is>
      </c>
      <c r="I1043" t="n">
        <v>100</v>
      </c>
      <c r="J1043" t="n">
        <v>100</v>
      </c>
      <c r="CN1043" t="n">
        <v>100</v>
      </c>
      <c r="CO1043" t="n">
        <v>100</v>
      </c>
    </row>
    <row r="1044">
      <c r="A1044" t="n">
        <v>420</v>
      </c>
      <c r="B1044" t="inlineStr">
        <is>
          <t>Cumplimiento Plan Anual Gerencia de estrategia</t>
        </is>
      </c>
      <c r="C1044" t="inlineStr">
        <is>
          <t>Planeación Estratégica</t>
        </is>
      </c>
      <c r="D1044" t="inlineStr">
        <is>
          <t>Semestral</t>
        </is>
      </c>
      <c r="E1044" t="inlineStr">
        <is>
          <t>Positivo</t>
        </is>
      </c>
      <c r="F1044" s="105" t="n">
        <v>45291</v>
      </c>
      <c r="G1044" t="inlineStr">
        <is>
          <t>420-2023-12-31</t>
        </is>
      </c>
      <c r="H1044" t="inlineStr">
        <is>
          <t>Riesgos</t>
        </is>
      </c>
      <c r="I1044" t="n">
        <v>100</v>
      </c>
      <c r="J1044" t="n">
        <v>100</v>
      </c>
      <c r="CN1044" t="n">
        <v>100</v>
      </c>
      <c r="CO1044" t="n">
        <v>100</v>
      </c>
    </row>
    <row r="1045">
      <c r="A1045" t="n">
        <v>420</v>
      </c>
      <c r="B1045" t="inlineStr">
        <is>
          <t>Cumplimiento Plan Anual Gerencia de estrategia</t>
        </is>
      </c>
      <c r="C1045" t="inlineStr">
        <is>
          <t>Planeación Estratégica</t>
        </is>
      </c>
      <c r="D1045" t="inlineStr">
        <is>
          <t>Semestral</t>
        </is>
      </c>
      <c r="E1045" t="inlineStr">
        <is>
          <t>Positivo</t>
        </is>
      </c>
      <c r="F1045" s="105" t="n">
        <v>45291</v>
      </c>
      <c r="G1045" t="inlineStr">
        <is>
          <t>420-2023-12-31</t>
        </is>
      </c>
      <c r="H1045" t="inlineStr">
        <is>
          <t>Auditoría</t>
        </is>
      </c>
      <c r="I1045" t="n">
        <v>100</v>
      </c>
      <c r="J1045" t="n">
        <v>100</v>
      </c>
      <c r="CN1045" t="n">
        <v>100</v>
      </c>
      <c r="CO1045" t="n">
        <v>100</v>
      </c>
    </row>
    <row r="1046">
      <c r="A1046" t="n">
        <v>420</v>
      </c>
      <c r="B1046" t="inlineStr">
        <is>
          <t>Cumplimiento Plan Anual Gerencia de estrategia</t>
        </is>
      </c>
      <c r="C1046" t="inlineStr">
        <is>
          <t>Planeación Estratégica</t>
        </is>
      </c>
      <c r="D1046" t="inlineStr">
        <is>
          <t>Semestral</t>
        </is>
      </c>
      <c r="E1046" t="inlineStr">
        <is>
          <t>Positivo</t>
        </is>
      </c>
      <c r="F1046" s="105" t="n">
        <v>45291</v>
      </c>
      <c r="G1046" t="inlineStr">
        <is>
          <t>420-2023-12-31</t>
        </is>
      </c>
      <c r="H1046" t="inlineStr">
        <is>
          <t>Planeación estratégica</t>
        </is>
      </c>
      <c r="I1046" t="n">
        <v>100</v>
      </c>
      <c r="J1046" t="n">
        <v>100</v>
      </c>
      <c r="CN1046" t="n">
        <v>100</v>
      </c>
      <c r="CO1046" t="n">
        <v>100</v>
      </c>
    </row>
    <row r="1047">
      <c r="A1047" t="n">
        <v>432</v>
      </c>
      <c r="B1047" t="inlineStr">
        <is>
          <t>Intervención a la gestión del riesgo de los colaboradores</t>
        </is>
      </c>
      <c r="C1047" t="inlineStr">
        <is>
          <t>GESTIÓN DE SEGURIDAD Y SALUD EN EL TRABAJO</t>
        </is>
      </c>
      <c r="D1047" t="inlineStr">
        <is>
          <t>Semestral</t>
        </is>
      </c>
      <c r="E1047" t="inlineStr">
        <is>
          <t>Positivo</t>
        </is>
      </c>
      <c r="F1047" s="105" t="n">
        <v>45291</v>
      </c>
      <c r="G1047" t="inlineStr">
        <is>
          <t>432-2023-12-31</t>
        </is>
      </c>
      <c r="H1047" t="inlineStr">
        <is>
          <t>Plan estratégico de seguridad vial</t>
        </is>
      </c>
      <c r="I1047" t="n">
        <v>90</v>
      </c>
      <c r="J1047" t="n">
        <v>100</v>
      </c>
      <c r="CS1047" t="n">
        <v>11</v>
      </c>
      <c r="CT1047" t="n">
        <v>11</v>
      </c>
    </row>
    <row r="1048">
      <c r="A1048" t="n">
        <v>432</v>
      </c>
      <c r="B1048" t="inlineStr">
        <is>
          <t>Intervención a la gestión del riesgo de los colaboradores</t>
        </is>
      </c>
      <c r="C1048" t="inlineStr">
        <is>
          <t>GESTIÓN DE SEGURIDAD Y SALUD EN EL TRABAJO</t>
        </is>
      </c>
      <c r="D1048" t="inlineStr">
        <is>
          <t>Semestral</t>
        </is>
      </c>
      <c r="E1048" t="inlineStr">
        <is>
          <t>Positivo</t>
        </is>
      </c>
      <c r="F1048" s="105" t="n">
        <v>45291</v>
      </c>
      <c r="G1048" t="inlineStr">
        <is>
          <t>432-2023-12-31</t>
        </is>
      </c>
      <c r="H1048" t="inlineStr">
        <is>
          <t>Plan de gestión de riesgo psicosocial</t>
        </is>
      </c>
      <c r="I1048" t="n">
        <v>90</v>
      </c>
      <c r="J1048" t="n">
        <v>88.88999938964844</v>
      </c>
      <c r="CS1048" t="n">
        <v>8</v>
      </c>
      <c r="CT1048" t="n">
        <v>9</v>
      </c>
    </row>
    <row r="1049">
      <c r="A1049" t="n">
        <v>432</v>
      </c>
      <c r="B1049" t="inlineStr">
        <is>
          <t>Intervención a la gestión del riesgo de los colaboradores</t>
        </is>
      </c>
      <c r="C1049" t="inlineStr">
        <is>
          <t>GESTIÓN DE SEGURIDAD Y SALUD EN EL TRABAJO</t>
        </is>
      </c>
      <c r="D1049" t="inlineStr">
        <is>
          <t>Semestral</t>
        </is>
      </c>
      <c r="E1049" t="inlineStr">
        <is>
          <t>Positivo</t>
        </is>
      </c>
      <c r="F1049" s="105" t="n">
        <v>45291</v>
      </c>
      <c r="G1049" t="inlineStr">
        <is>
          <t>432-2023-12-31</t>
        </is>
      </c>
      <c r="H1049" t="inlineStr">
        <is>
          <t>Plan de gestión osteomuscular</t>
        </is>
      </c>
      <c r="I1049" t="n">
        <v>90</v>
      </c>
      <c r="J1049" t="n">
        <v>100</v>
      </c>
      <c r="CS1049" t="n">
        <v>5</v>
      </c>
      <c r="CT1049" t="n">
        <v>5</v>
      </c>
    </row>
    <row r="1050">
      <c r="A1050" t="n">
        <v>432</v>
      </c>
      <c r="B1050" t="inlineStr">
        <is>
          <t>Intervención a la gestión del riesgo de los colaboradores</t>
        </is>
      </c>
      <c r="C1050" t="inlineStr">
        <is>
          <t>GESTIÓN DE SEGURIDAD Y SALUD EN EL TRABAJO</t>
        </is>
      </c>
      <c r="D1050" t="inlineStr">
        <is>
          <t>Semestral</t>
        </is>
      </c>
      <c r="E1050" t="inlineStr">
        <is>
          <t>Positivo</t>
        </is>
      </c>
      <c r="F1050" s="105" t="n">
        <v>45291</v>
      </c>
      <c r="G1050" t="inlineStr">
        <is>
          <t>432-2023-12-31</t>
        </is>
      </c>
      <c r="H1050" t="inlineStr">
        <is>
          <t>Plan de gestión TAR</t>
        </is>
      </c>
      <c r="I1050" t="n">
        <v>90</v>
      </c>
      <c r="J1050" t="n">
        <v>100</v>
      </c>
      <c r="CS1050" t="n">
        <v>5</v>
      </c>
      <c r="CT1050" t="n">
        <v>5</v>
      </c>
    </row>
    <row r="1051">
      <c r="A1051" t="n">
        <v>432</v>
      </c>
      <c r="B1051" t="inlineStr">
        <is>
          <t>Intervención a la gestión del riesgo de los colaboradores</t>
        </is>
      </c>
      <c r="C1051" t="inlineStr">
        <is>
          <t>GESTIÓN DE SEGURIDAD Y SALUD EN EL TRABAJO</t>
        </is>
      </c>
      <c r="D1051" t="inlineStr">
        <is>
          <t>Semestral</t>
        </is>
      </c>
      <c r="E1051" t="inlineStr">
        <is>
          <t>Positivo</t>
        </is>
      </c>
      <c r="F1051" s="105" t="n">
        <v>45291</v>
      </c>
      <c r="G1051" t="inlineStr">
        <is>
          <t>432-2023-12-31</t>
        </is>
      </c>
      <c r="H1051" t="inlineStr">
        <is>
          <t>Plan de gestión de riesgo químico</t>
        </is>
      </c>
      <c r="I1051" t="n">
        <v>90</v>
      </c>
      <c r="J1051" t="n">
        <v>100</v>
      </c>
      <c r="CS1051" t="n">
        <v>8</v>
      </c>
      <c r="CT1051" t="n">
        <v>8</v>
      </c>
    </row>
    <row r="1052">
      <c r="A1052" t="n">
        <v>432</v>
      </c>
      <c r="B1052" t="inlineStr">
        <is>
          <t>Intervención a la gestión del riesgo de los colaboradores</t>
        </is>
      </c>
      <c r="C1052" t="inlineStr">
        <is>
          <t>GESTIÓN DE SEGURIDAD Y SALUD EN EL TRABAJO</t>
        </is>
      </c>
      <c r="D1052" t="inlineStr">
        <is>
          <t>Semestral</t>
        </is>
      </c>
      <c r="E1052" t="inlineStr">
        <is>
          <t>Positivo</t>
        </is>
      </c>
      <c r="F1052" s="105" t="n">
        <v>45291</v>
      </c>
      <c r="G1052" t="inlineStr">
        <is>
          <t>432-2023-12-31</t>
        </is>
      </c>
      <c r="H1052" t="inlineStr">
        <is>
          <t>Plan de de gestión conservación de la voz</t>
        </is>
      </c>
      <c r="I1052" t="n">
        <v>90</v>
      </c>
      <c r="J1052" t="n">
        <v>100</v>
      </c>
      <c r="CS1052" t="n">
        <v>4</v>
      </c>
      <c r="CT1052" t="n">
        <v>4</v>
      </c>
    </row>
    <row r="1053">
      <c r="A1053" t="n">
        <v>432</v>
      </c>
      <c r="B1053" t="inlineStr">
        <is>
          <t>Intervención a la gestión del riesgo de los colaboradores</t>
        </is>
      </c>
      <c r="C1053" t="inlineStr">
        <is>
          <t>GESTIÓN DE SEGURIDAD Y SALUD EN EL TRABAJO</t>
        </is>
      </c>
      <c r="D1053" t="inlineStr">
        <is>
          <t>Semestral</t>
        </is>
      </c>
      <c r="E1053" t="inlineStr">
        <is>
          <t>Positivo</t>
        </is>
      </c>
      <c r="F1053" s="105" t="n">
        <v>45291</v>
      </c>
      <c r="G1053" t="inlineStr">
        <is>
          <t>432-2023-12-31</t>
        </is>
      </c>
      <c r="H1053" t="inlineStr">
        <is>
          <t>Plan de gestión riesgo biológico</t>
        </is>
      </c>
      <c r="I1053" t="n">
        <v>90</v>
      </c>
      <c r="J1053" t="n">
        <v>100</v>
      </c>
      <c r="CS1053" t="n">
        <v>2</v>
      </c>
      <c r="CT1053" t="n">
        <v>2</v>
      </c>
    </row>
    <row r="1054">
      <c r="A1054" t="n">
        <v>432</v>
      </c>
      <c r="B1054" t="inlineStr">
        <is>
          <t>Intervención a la gestión del riesgo de los colaboradores</t>
        </is>
      </c>
      <c r="C1054" t="inlineStr">
        <is>
          <t>GESTIÓN DE SEGURIDAD Y SALUD EN EL TRABAJO</t>
        </is>
      </c>
      <c r="D1054" t="inlineStr">
        <is>
          <t>Semestral</t>
        </is>
      </c>
      <c r="E1054" t="inlineStr">
        <is>
          <t>Positivo</t>
        </is>
      </c>
      <c r="F1054" s="105" t="n">
        <v>45291</v>
      </c>
      <c r="G1054" t="inlineStr">
        <is>
          <t>432-2023-12-31</t>
        </is>
      </c>
      <c r="H1054" t="inlineStr">
        <is>
          <t>Plan de gestión Teletrabajadores</t>
        </is>
      </c>
      <c r="I1054" t="n">
        <v>90</v>
      </c>
      <c r="J1054" t="n">
        <v>100</v>
      </c>
      <c r="CS1054" t="n">
        <v>2</v>
      </c>
      <c r="CT1054" t="n">
        <v>2</v>
      </c>
    </row>
    <row r="1055">
      <c r="A1055" t="n">
        <v>432</v>
      </c>
      <c r="B1055" t="inlineStr">
        <is>
          <t>Intervención a la gestión del riesgo de los colaboradores</t>
        </is>
      </c>
      <c r="C1055" t="inlineStr">
        <is>
          <t>GESTIÓN DE SEGURIDAD Y SALUD EN EL TRABAJO</t>
        </is>
      </c>
      <c r="D1055" t="inlineStr">
        <is>
          <t>Semestral</t>
        </is>
      </c>
      <c r="E1055" t="inlineStr">
        <is>
          <t>Positivo</t>
        </is>
      </c>
      <c r="F1055" s="105" t="n">
        <v>45291</v>
      </c>
      <c r="G1055" t="inlineStr">
        <is>
          <t>432-2023-12-31</t>
        </is>
      </c>
      <c r="H1055" t="inlineStr">
        <is>
          <t>Plan de gestión inspecciones de seguridad</t>
        </is>
      </c>
      <c r="I1055" t="n">
        <v>90</v>
      </c>
      <c r="J1055" t="n">
        <v>100</v>
      </c>
      <c r="CS1055" t="n">
        <v>15</v>
      </c>
      <c r="CT1055" t="n">
        <v>15</v>
      </c>
    </row>
    <row r="1056">
      <c r="A1056" t="n">
        <v>216</v>
      </c>
      <c r="B1056" t="inlineStr">
        <is>
          <t>Disposición Ambientalmente Adecuada de Residuos Peligrosos</t>
        </is>
      </c>
      <c r="C1056" t="inlineStr">
        <is>
          <t>GESTIÓN AMBIENTAL</t>
        </is>
      </c>
      <c r="D1056" t="inlineStr">
        <is>
          <t>Anual</t>
        </is>
      </c>
      <c r="E1056" t="inlineStr">
        <is>
          <t>Positivo</t>
        </is>
      </c>
      <c r="F1056" s="105" t="n">
        <v>45291</v>
      </c>
      <c r="G1056" t="inlineStr">
        <is>
          <t>216-2023-12-31</t>
        </is>
      </c>
      <c r="H1056" t="inlineStr">
        <is>
          <t>Campus Bogotá</t>
        </is>
      </c>
      <c r="I1056" t="n">
        <v>100</v>
      </c>
      <c r="J1056" t="n">
        <v>100</v>
      </c>
      <c r="AE1056" t="n">
        <v>1570</v>
      </c>
      <c r="AF1056" t="n">
        <v>1570</v>
      </c>
    </row>
    <row r="1057">
      <c r="A1057" t="n">
        <v>216</v>
      </c>
      <c r="B1057" t="inlineStr">
        <is>
          <t>Disposición Ambientalmente Adecuada de Residuos Peligrosos</t>
        </is>
      </c>
      <c r="C1057" t="inlineStr">
        <is>
          <t>GESTIÓN AMBIENTAL</t>
        </is>
      </c>
      <c r="D1057" t="inlineStr">
        <is>
          <t>Anual</t>
        </is>
      </c>
      <c r="E1057" t="inlineStr">
        <is>
          <t>Positivo</t>
        </is>
      </c>
      <c r="F1057" s="105" t="n">
        <v>45291</v>
      </c>
      <c r="G1057" t="inlineStr">
        <is>
          <t>216-2023-12-31</t>
        </is>
      </c>
      <c r="H1057" t="inlineStr">
        <is>
          <t>City Campus</t>
        </is>
      </c>
      <c r="I1057" t="n">
        <v>100</v>
      </c>
      <c r="J1057" t="n">
        <v>100</v>
      </c>
      <c r="AE1057" t="n">
        <v>619.71</v>
      </c>
      <c r="AF1057" t="n">
        <v>619.71</v>
      </c>
    </row>
    <row r="1058">
      <c r="A1058" t="n">
        <v>216</v>
      </c>
      <c r="B1058" t="inlineStr">
        <is>
          <t>Disposición Ambientalmente Adecuada de Residuos Peligrosos</t>
        </is>
      </c>
      <c r="C1058" t="inlineStr">
        <is>
          <t>GESTIÓN AMBIENTAL</t>
        </is>
      </c>
      <c r="D1058" t="inlineStr">
        <is>
          <t>Anual</t>
        </is>
      </c>
      <c r="E1058" t="inlineStr">
        <is>
          <t>Positivo</t>
        </is>
      </c>
      <c r="F1058" s="105" t="n">
        <v>45291</v>
      </c>
      <c r="G1058" t="inlineStr">
        <is>
          <t>216-2023-12-31</t>
        </is>
      </c>
      <c r="H1058" t="inlineStr">
        <is>
          <t>Sede Bienestar - Medellín</t>
        </is>
      </c>
      <c r="I1058" t="n">
        <v>100</v>
      </c>
      <c r="J1058" t="n">
        <v>100</v>
      </c>
      <c r="AE1058" t="n">
        <v>1.2</v>
      </c>
      <c r="AF1058" t="n">
        <v>1.2</v>
      </c>
    </row>
    <row r="1059">
      <c r="A1059" t="n">
        <v>216</v>
      </c>
      <c r="B1059" t="inlineStr">
        <is>
          <t>Disposición Ambientalmente Adecuada de Residuos Peligrosos</t>
        </is>
      </c>
      <c r="C1059" t="inlineStr">
        <is>
          <t>GESTIÓN AMBIENTAL</t>
        </is>
      </c>
      <c r="D1059" t="inlineStr">
        <is>
          <t>Anual</t>
        </is>
      </c>
      <c r="E1059" t="inlineStr">
        <is>
          <t>Positivo</t>
        </is>
      </c>
      <c r="F1059" s="105" t="n">
        <v>45291</v>
      </c>
      <c r="G1059" t="inlineStr">
        <is>
          <t>216-2023-12-31</t>
        </is>
      </c>
      <c r="H1059" t="inlineStr">
        <is>
          <t>Campus-Medellín</t>
        </is>
      </c>
      <c r="I1059" t="n">
        <v>100</v>
      </c>
      <c r="J1059" t="n">
        <v>100</v>
      </c>
      <c r="AE1059" t="n">
        <v>102.8</v>
      </c>
      <c r="AF1059" t="n">
        <v>102.8</v>
      </c>
    </row>
    <row r="1060">
      <c r="A1060" t="n">
        <v>221</v>
      </c>
      <c r="B1060" t="inlineStr">
        <is>
          <t>Riesgo de la Calidad del Agua Potable</t>
        </is>
      </c>
      <c r="C1060" t="inlineStr">
        <is>
          <t>GESTIÓN AMBIENTAL</t>
        </is>
      </c>
      <c r="D1060" t="inlineStr">
        <is>
          <t>Anual</t>
        </is>
      </c>
      <c r="E1060" t="inlineStr">
        <is>
          <t>Positivo</t>
        </is>
      </c>
      <c r="F1060" s="105" t="n">
        <v>45291</v>
      </c>
      <c r="G1060" t="inlineStr">
        <is>
          <t>221-2023-12-31</t>
        </is>
      </c>
      <c r="H1060" t="inlineStr">
        <is>
          <t>Campus Bogotá</t>
        </is>
      </c>
      <c r="I1060" t="n">
        <v>100</v>
      </c>
      <c r="J1060" t="n">
        <v>100</v>
      </c>
      <c r="AG1060" t="n">
        <v>10</v>
      </c>
      <c r="AH1060" t="n">
        <v>10</v>
      </c>
    </row>
    <row r="1061">
      <c r="A1061" t="n">
        <v>221</v>
      </c>
      <c r="B1061" t="inlineStr">
        <is>
          <t>Riesgo de la Calidad del Agua Potable</t>
        </is>
      </c>
      <c r="C1061" t="inlineStr">
        <is>
          <t>GESTIÓN AMBIENTAL</t>
        </is>
      </c>
      <c r="D1061" t="inlineStr">
        <is>
          <t>Anual</t>
        </is>
      </c>
      <c r="E1061" t="inlineStr">
        <is>
          <t>Positivo</t>
        </is>
      </c>
      <c r="F1061" s="105" t="n">
        <v>45291</v>
      </c>
      <c r="G1061" t="inlineStr">
        <is>
          <t>221-2023-12-31</t>
        </is>
      </c>
      <c r="H1061" t="inlineStr">
        <is>
          <t>City Campus</t>
        </is>
      </c>
      <c r="I1061" t="n">
        <v>100</v>
      </c>
      <c r="J1061" t="n">
        <v>100</v>
      </c>
      <c r="AG1061" t="n">
        <v>4</v>
      </c>
      <c r="AH1061" t="n">
        <v>4</v>
      </c>
    </row>
    <row r="1062">
      <c r="A1062" t="n">
        <v>221</v>
      </c>
      <c r="B1062" t="inlineStr">
        <is>
          <t>Riesgo de la Calidad del Agua Potable</t>
        </is>
      </c>
      <c r="C1062" t="inlineStr">
        <is>
          <t>GESTIÓN AMBIENTAL</t>
        </is>
      </c>
      <c r="D1062" t="inlineStr">
        <is>
          <t>Anual</t>
        </is>
      </c>
      <c r="E1062" t="inlineStr">
        <is>
          <t>Positivo</t>
        </is>
      </c>
      <c r="F1062" s="105" t="n">
        <v>45291</v>
      </c>
      <c r="G1062" t="inlineStr">
        <is>
          <t>221-2023-12-31</t>
        </is>
      </c>
      <c r="H1062" t="inlineStr">
        <is>
          <t>Campus-Medellín</t>
        </is>
      </c>
      <c r="I1062" t="n">
        <v>100</v>
      </c>
      <c r="J1062" t="n">
        <v>100</v>
      </c>
      <c r="AG1062" t="n">
        <v>3</v>
      </c>
      <c r="AH1062" t="n">
        <v>3</v>
      </c>
    </row>
    <row r="1063">
      <c r="A1063" t="n">
        <v>222</v>
      </c>
      <c r="B1063" t="inlineStr">
        <is>
          <t>Calidad de las Aguas Residuales Domesticas</t>
        </is>
      </c>
      <c r="C1063" t="inlineStr">
        <is>
          <t>GESTIÓN AMBIENTAL</t>
        </is>
      </c>
      <c r="D1063" t="inlineStr">
        <is>
          <t>Anual</t>
        </is>
      </c>
      <c r="E1063" t="inlineStr">
        <is>
          <t>Positivo</t>
        </is>
      </c>
      <c r="F1063" s="105" t="n">
        <v>45291</v>
      </c>
      <c r="G1063" t="inlineStr">
        <is>
          <t>222-2023-12-31</t>
        </is>
      </c>
      <c r="H1063" t="inlineStr">
        <is>
          <t>Campus Bogotá</t>
        </is>
      </c>
      <c r="I1063" t="n">
        <v>90</v>
      </c>
      <c r="J1063" t="n">
        <v>68.75</v>
      </c>
      <c r="AI1063" t="n">
        <v>11</v>
      </c>
      <c r="AJ1063" t="n">
        <v>16</v>
      </c>
    </row>
    <row r="1064">
      <c r="A1064" t="n">
        <v>223</v>
      </c>
      <c r="B1064" t="inlineStr">
        <is>
          <t>Registro de Publicidad Exterior Visual</t>
        </is>
      </c>
      <c r="C1064" t="inlineStr">
        <is>
          <t>GESTIÓN AMBIENTAL</t>
        </is>
      </c>
      <c r="D1064" t="inlineStr">
        <is>
          <t>Anual</t>
        </is>
      </c>
      <c r="E1064" t="inlineStr">
        <is>
          <t>Positivo</t>
        </is>
      </c>
      <c r="F1064" s="105" t="n">
        <v>45291</v>
      </c>
      <c r="G1064" t="inlineStr">
        <is>
          <t>223-2023-12-31</t>
        </is>
      </c>
      <c r="H1064" t="inlineStr">
        <is>
          <t>Medellín</t>
        </is>
      </c>
      <c r="I1064" t="n">
        <v>100</v>
      </c>
      <c r="J1064" t="n">
        <v>100</v>
      </c>
      <c r="DC1064" t="n">
        <v>3</v>
      </c>
      <c r="DD1064" t="n">
        <v>3</v>
      </c>
    </row>
    <row r="1065">
      <c r="A1065" t="n">
        <v>223</v>
      </c>
      <c r="B1065" t="inlineStr">
        <is>
          <t>Registro de Publicidad Exterior Visual</t>
        </is>
      </c>
      <c r="C1065" t="inlineStr">
        <is>
          <t>GESTIÓN AMBIENTAL</t>
        </is>
      </c>
      <c r="D1065" t="inlineStr">
        <is>
          <t>Anual</t>
        </is>
      </c>
      <c r="E1065" t="inlineStr">
        <is>
          <t>Positivo</t>
        </is>
      </c>
      <c r="F1065" s="105" t="n">
        <v>45291</v>
      </c>
      <c r="G1065" t="inlineStr">
        <is>
          <t>223-2023-12-31</t>
        </is>
      </c>
      <c r="H1065" t="inlineStr">
        <is>
          <t>Bogotá</t>
        </is>
      </c>
      <c r="I1065" t="n">
        <v>100</v>
      </c>
      <c r="J1065" t="n">
        <v>100</v>
      </c>
      <c r="DC1065" t="n">
        <v>13</v>
      </c>
      <c r="DD1065" t="n">
        <v>13</v>
      </c>
    </row>
    <row r="1066">
      <c r="A1066" t="n">
        <v>224</v>
      </c>
      <c r="B1066" t="inlineStr">
        <is>
          <t>Cumplimiento Nivel de Emisión de Ruido</t>
        </is>
      </c>
      <c r="C1066" t="inlineStr">
        <is>
          <t>GESTIÓN AMBIENTAL</t>
        </is>
      </c>
      <c r="D1066" t="inlineStr">
        <is>
          <t>Anual</t>
        </is>
      </c>
      <c r="E1066" t="inlineStr">
        <is>
          <t>Positivo</t>
        </is>
      </c>
      <c r="F1066" s="105" t="n">
        <v>45291</v>
      </c>
      <c r="G1066" t="inlineStr">
        <is>
          <t>224-2023-12-31</t>
        </is>
      </c>
      <c r="H1066" t="inlineStr">
        <is>
          <t>Campus Bogotá</t>
        </is>
      </c>
      <c r="I1066" t="n">
        <v>100</v>
      </c>
      <c r="J1066" t="n">
        <v>100</v>
      </c>
      <c r="AK1066" t="n">
        <v>3</v>
      </c>
      <c r="AL1066" t="n">
        <v>7</v>
      </c>
    </row>
    <row r="1067">
      <c r="A1067" t="n">
        <v>224</v>
      </c>
      <c r="B1067" t="inlineStr">
        <is>
          <t>Cumplimiento Nivel de Emisión de Ruido</t>
        </is>
      </c>
      <c r="C1067" t="inlineStr">
        <is>
          <t>GESTIÓN AMBIENTAL</t>
        </is>
      </c>
      <c r="D1067" t="inlineStr">
        <is>
          <t>Anual</t>
        </is>
      </c>
      <c r="E1067" t="inlineStr">
        <is>
          <t>Positivo</t>
        </is>
      </c>
      <c r="F1067" s="105" t="n">
        <v>45291</v>
      </c>
      <c r="G1067" t="inlineStr">
        <is>
          <t>224-2023-12-31</t>
        </is>
      </c>
      <c r="H1067" t="inlineStr">
        <is>
          <t>Campus-Medellín</t>
        </is>
      </c>
      <c r="I1067" t="n">
        <v>100</v>
      </c>
      <c r="AK1067" t="n">
        <v>0</v>
      </c>
      <c r="AL1067" t="n">
        <v>1</v>
      </c>
    </row>
    <row r="1068">
      <c r="A1068" t="n">
        <v>224</v>
      </c>
      <c r="B1068" t="inlineStr">
        <is>
          <t>Cumplimiento Nivel de Emisión de Ruido</t>
        </is>
      </c>
      <c r="C1068" t="inlineStr">
        <is>
          <t>GESTIÓN AMBIENTAL</t>
        </is>
      </c>
      <c r="D1068" t="inlineStr">
        <is>
          <t>Anual</t>
        </is>
      </c>
      <c r="E1068" t="inlineStr">
        <is>
          <t>Positivo</t>
        </is>
      </c>
      <c r="F1068" s="105" t="n">
        <v>45291</v>
      </c>
      <c r="G1068" t="inlineStr">
        <is>
          <t>224-2023-12-31</t>
        </is>
      </c>
      <c r="H1068" t="inlineStr">
        <is>
          <t>Sede Posgrado-Calle 85</t>
        </is>
      </c>
      <c r="I1068" t="n">
        <v>100</v>
      </c>
      <c r="J1068" t="n">
        <v>100</v>
      </c>
      <c r="AK1068" t="n">
        <v>0</v>
      </c>
      <c r="AL1068" t="n">
        <v>0</v>
      </c>
    </row>
    <row r="1069">
      <c r="A1069" t="n">
        <v>224</v>
      </c>
      <c r="B1069" t="inlineStr">
        <is>
          <t>Cumplimiento Nivel de Emisión de Ruido</t>
        </is>
      </c>
      <c r="C1069" t="inlineStr">
        <is>
          <t>GESTIÓN AMBIENTAL</t>
        </is>
      </c>
      <c r="D1069" t="inlineStr">
        <is>
          <t>Anual</t>
        </is>
      </c>
      <c r="E1069" t="inlineStr">
        <is>
          <t>Positivo</t>
        </is>
      </c>
      <c r="F1069" s="105" t="n">
        <v>45291</v>
      </c>
      <c r="G1069" t="inlineStr">
        <is>
          <t>224-2023-12-31</t>
        </is>
      </c>
      <c r="H1069" t="inlineStr">
        <is>
          <t>City Campus</t>
        </is>
      </c>
      <c r="I1069" t="n">
        <v>100</v>
      </c>
      <c r="J1069" t="n">
        <v>100</v>
      </c>
      <c r="AK1069" t="n">
        <v>1</v>
      </c>
      <c r="AL1069" t="n">
        <v>1</v>
      </c>
    </row>
    <row r="1070">
      <c r="A1070" t="n">
        <v>226</v>
      </c>
      <c r="B1070" t="inlineStr">
        <is>
          <t>Generación de Gases de Efecto Invernadero</t>
        </is>
      </c>
      <c r="C1070" t="inlineStr">
        <is>
          <t>GESTIÓN AMBIENTAL</t>
        </is>
      </c>
      <c r="D1070" t="inlineStr">
        <is>
          <t>Anual</t>
        </is>
      </c>
      <c r="E1070" t="inlineStr">
        <is>
          <t>Positivo</t>
        </is>
      </c>
      <c r="F1070" s="105" t="n">
        <v>45291</v>
      </c>
      <c r="G1070" t="inlineStr">
        <is>
          <t>226-2023-12-31</t>
        </is>
      </c>
      <c r="H1070" t="inlineStr">
        <is>
          <t>Campus-Medellín</t>
        </is>
      </c>
      <c r="I1070" t="n">
        <v>2</v>
      </c>
      <c r="J1070" t="n">
        <v>49.77999877929688</v>
      </c>
      <c r="AM1070" t="n">
        <v>49.78</v>
      </c>
    </row>
    <row r="1071">
      <c r="A1071" t="n">
        <v>226</v>
      </c>
      <c r="B1071" t="inlineStr">
        <is>
          <t>Generación de Gases de Efecto Invernadero</t>
        </is>
      </c>
      <c r="C1071" t="inlineStr">
        <is>
          <t>GESTIÓN AMBIENTAL</t>
        </is>
      </c>
      <c r="D1071" t="inlineStr">
        <is>
          <t>Anual</t>
        </is>
      </c>
      <c r="E1071" t="inlineStr">
        <is>
          <t>Positivo</t>
        </is>
      </c>
      <c r="F1071" s="105" t="n">
        <v>45291</v>
      </c>
      <c r="G1071" t="inlineStr">
        <is>
          <t>226-2023-12-31</t>
        </is>
      </c>
      <c r="H1071" t="inlineStr">
        <is>
          <t>City Campus</t>
        </is>
      </c>
      <c r="I1071" t="n">
        <v>1</v>
      </c>
      <c r="J1071" t="n">
        <v>117.4000015258789</v>
      </c>
      <c r="AM1071" t="n">
        <v>117.4</v>
      </c>
    </row>
    <row r="1072">
      <c r="A1072" t="n">
        <v>226</v>
      </c>
      <c r="B1072" t="inlineStr">
        <is>
          <t>Generación de Gases de Efecto Invernadero</t>
        </is>
      </c>
      <c r="C1072" t="inlineStr">
        <is>
          <t>GESTIÓN AMBIENTAL</t>
        </is>
      </c>
      <c r="D1072" t="inlineStr">
        <is>
          <t>Anual</t>
        </is>
      </c>
      <c r="E1072" t="inlineStr">
        <is>
          <t>Positivo</t>
        </is>
      </c>
      <c r="F1072" s="105" t="n">
        <v>45291</v>
      </c>
      <c r="G1072" t="inlineStr">
        <is>
          <t>226-2023-12-31</t>
        </is>
      </c>
      <c r="H1072" t="inlineStr">
        <is>
          <t>Sede Bienestar - Medellín</t>
        </is>
      </c>
      <c r="I1072" t="n">
        <v>2</v>
      </c>
      <c r="J1072" t="n">
        <v>7.53000020980835</v>
      </c>
      <c r="AM1072" t="n">
        <v>7.53</v>
      </c>
    </row>
    <row r="1073">
      <c r="A1073" t="n">
        <v>226</v>
      </c>
      <c r="B1073" t="inlineStr">
        <is>
          <t>Generación de Gases de Efecto Invernadero</t>
        </is>
      </c>
      <c r="C1073" t="inlineStr">
        <is>
          <t>GESTIÓN AMBIENTAL</t>
        </is>
      </c>
      <c r="D1073" t="inlineStr">
        <is>
          <t>Anual</t>
        </is>
      </c>
      <c r="E1073" t="inlineStr">
        <is>
          <t>Positivo</t>
        </is>
      </c>
      <c r="F1073" s="105" t="n">
        <v>45291</v>
      </c>
      <c r="G1073" t="inlineStr">
        <is>
          <t>226-2023-12-31</t>
        </is>
      </c>
      <c r="H1073" t="inlineStr">
        <is>
          <t>Sede Posgrado-Calle 85</t>
        </is>
      </c>
      <c r="I1073" t="n">
        <v>1</v>
      </c>
      <c r="J1073" t="n">
        <v>10.32999992370605</v>
      </c>
      <c r="AM1073" t="n">
        <v>10.33</v>
      </c>
    </row>
    <row r="1074">
      <c r="A1074" t="n">
        <v>226</v>
      </c>
      <c r="B1074" t="inlineStr">
        <is>
          <t>Generación de Gases de Efecto Invernadero</t>
        </is>
      </c>
      <c r="C1074" t="inlineStr">
        <is>
          <t>GESTIÓN AMBIENTAL</t>
        </is>
      </c>
      <c r="D1074" t="inlineStr">
        <is>
          <t>Anual</t>
        </is>
      </c>
      <c r="E1074" t="inlineStr">
        <is>
          <t>Positivo</t>
        </is>
      </c>
      <c r="F1074" s="105" t="n">
        <v>45291</v>
      </c>
      <c r="G1074" t="inlineStr">
        <is>
          <t>226-2023-12-31</t>
        </is>
      </c>
      <c r="H1074" t="inlineStr">
        <is>
          <t>Campus Bogotá</t>
        </is>
      </c>
      <c r="I1074" t="n">
        <v>1</v>
      </c>
      <c r="J1074" t="n">
        <v>437.6499938964844</v>
      </c>
      <c r="AM1074" t="n">
        <v>437.65</v>
      </c>
    </row>
    <row r="1075">
      <c r="A1075" t="n">
        <v>227</v>
      </c>
      <c r="B1075" t="inlineStr">
        <is>
          <t>Generación de  Gases de Efecto Invernadero per Cápita</t>
        </is>
      </c>
      <c r="C1075" t="inlineStr">
        <is>
          <t>GESTIÓN AMBIENTAL</t>
        </is>
      </c>
      <c r="D1075" t="inlineStr">
        <is>
          <t>Anual</t>
        </is>
      </c>
      <c r="E1075" t="inlineStr">
        <is>
          <t>Negativo</t>
        </is>
      </c>
      <c r="F1075" s="105" t="n">
        <v>45291</v>
      </c>
      <c r="G1075" t="inlineStr">
        <is>
          <t>227-2023-12-31</t>
        </is>
      </c>
      <c r="H1075" t="inlineStr">
        <is>
          <t>Campus Bogotá</t>
        </is>
      </c>
      <c r="I1075" t="n">
        <v>0.3</v>
      </c>
      <c r="J1075" t="n">
        <v>0.009999999776482582</v>
      </c>
      <c r="AM1075" t="n">
        <v>437.65</v>
      </c>
      <c r="AN1075" t="n">
        <v>3731</v>
      </c>
      <c r="AO1075" t="n">
        <v>6232</v>
      </c>
      <c r="AP1075" t="n">
        <v>26802</v>
      </c>
      <c r="AQ1075" t="n">
        <v>0</v>
      </c>
    </row>
    <row r="1076">
      <c r="A1076" t="n">
        <v>227</v>
      </c>
      <c r="B1076" t="inlineStr">
        <is>
          <t>Generación de  Gases de Efecto Invernadero per Cápita</t>
        </is>
      </c>
      <c r="C1076" t="inlineStr">
        <is>
          <t>GESTIÓN AMBIENTAL</t>
        </is>
      </c>
      <c r="D1076" t="inlineStr">
        <is>
          <t>Anual</t>
        </is>
      </c>
      <c r="E1076" t="inlineStr">
        <is>
          <t>Negativo</t>
        </is>
      </c>
      <c r="F1076" s="105" t="n">
        <v>45291</v>
      </c>
      <c r="G1076" t="inlineStr">
        <is>
          <t>227-2023-12-31</t>
        </is>
      </c>
      <c r="H1076" t="inlineStr">
        <is>
          <t>Campus-Medellín</t>
        </is>
      </c>
      <c r="I1076" t="n">
        <v>0.3</v>
      </c>
      <c r="AM1076" t="n">
        <v>49.78</v>
      </c>
      <c r="AN1076" t="n">
        <v>612</v>
      </c>
      <c r="AO1076" t="n">
        <v>1695</v>
      </c>
      <c r="AP1076" t="n">
        <v>21949</v>
      </c>
      <c r="AQ1076" t="n">
        <v>315</v>
      </c>
    </row>
    <row r="1077">
      <c r="A1077" t="n">
        <v>227</v>
      </c>
      <c r="B1077" t="inlineStr">
        <is>
          <t>Generación de  Gases de Efecto Invernadero per Cápita</t>
        </is>
      </c>
      <c r="C1077" t="inlineStr">
        <is>
          <t>GESTIÓN AMBIENTAL</t>
        </is>
      </c>
      <c r="D1077" t="inlineStr">
        <is>
          <t>Anual</t>
        </is>
      </c>
      <c r="E1077" t="inlineStr">
        <is>
          <t>Negativo</t>
        </is>
      </c>
      <c r="F1077" s="105" t="n">
        <v>45291</v>
      </c>
      <c r="G1077" t="inlineStr">
        <is>
          <t>227-2023-12-31</t>
        </is>
      </c>
      <c r="H1077" t="inlineStr">
        <is>
          <t>City Campus</t>
        </is>
      </c>
      <c r="I1077" t="n">
        <v>0.3</v>
      </c>
      <c r="AM1077" t="n">
        <v>117.4</v>
      </c>
      <c r="AN1077" t="n">
        <v>1262</v>
      </c>
      <c r="AO1077" t="n">
        <v>59</v>
      </c>
      <c r="AP1077" t="n">
        <v>19238</v>
      </c>
      <c r="AQ1077" t="n">
        <v>4870</v>
      </c>
    </row>
    <row r="1078">
      <c r="A1078" t="n">
        <v>227</v>
      </c>
      <c r="B1078" t="inlineStr">
        <is>
          <t>Generación de  Gases de Efecto Invernadero per Cápita</t>
        </is>
      </c>
      <c r="C1078" t="inlineStr">
        <is>
          <t>GESTIÓN AMBIENTAL</t>
        </is>
      </c>
      <c r="D1078" t="inlineStr">
        <is>
          <t>Anual</t>
        </is>
      </c>
      <c r="E1078" t="inlineStr">
        <is>
          <t>Negativo</t>
        </is>
      </c>
      <c r="F1078" s="105" t="n">
        <v>45291</v>
      </c>
      <c r="G1078" t="inlineStr">
        <is>
          <t>227-2023-12-31</t>
        </is>
      </c>
      <c r="H1078" t="inlineStr">
        <is>
          <t>Sede Bienestar - Medellín</t>
        </is>
      </c>
      <c r="I1078" t="n">
        <v>0.3</v>
      </c>
      <c r="AM1078" t="n">
        <v>7.53</v>
      </c>
      <c r="AN1078" t="n">
        <v>59</v>
      </c>
      <c r="AO1078" t="n">
        <v>2355</v>
      </c>
      <c r="AP1078" t="n">
        <v>5496</v>
      </c>
      <c r="AQ1078" t="n">
        <v>0</v>
      </c>
    </row>
    <row r="1079">
      <c r="A1079" t="n">
        <v>228</v>
      </c>
      <c r="B1079" t="inlineStr">
        <is>
          <t>Compensación de Gases de Efecto Invernadero</t>
        </is>
      </c>
      <c r="C1079" t="inlineStr">
        <is>
          <t>GESTIÓN AMBIENTAL</t>
        </is>
      </c>
      <c r="D1079" t="inlineStr">
        <is>
          <t>Anual</t>
        </is>
      </c>
      <c r="E1079" t="inlineStr">
        <is>
          <t>Positivo</t>
        </is>
      </c>
      <c r="F1079" s="105" t="n">
        <v>45291</v>
      </c>
      <c r="G1079" t="inlineStr">
        <is>
          <t>228-2023-12-31</t>
        </is>
      </c>
      <c r="H1079" t="inlineStr">
        <is>
          <t>Campus Bogotá</t>
        </is>
      </c>
      <c r="I1079" t="n">
        <v>100</v>
      </c>
      <c r="J1079" t="n">
        <v>100</v>
      </c>
      <c r="AM1079" t="n">
        <v>437.65</v>
      </c>
      <c r="AR1079" t="n">
        <v>437.65</v>
      </c>
    </row>
    <row r="1080">
      <c r="A1080" t="n">
        <v>228</v>
      </c>
      <c r="B1080" t="inlineStr">
        <is>
          <t>Compensación de Gases de Efecto Invernadero</t>
        </is>
      </c>
      <c r="C1080" t="inlineStr">
        <is>
          <t>GESTIÓN AMBIENTAL</t>
        </is>
      </c>
      <c r="D1080" t="inlineStr">
        <is>
          <t>Anual</t>
        </is>
      </c>
      <c r="E1080" t="inlineStr">
        <is>
          <t>Positivo</t>
        </is>
      </c>
      <c r="F1080" s="105" t="n">
        <v>45291</v>
      </c>
      <c r="G1080" t="inlineStr">
        <is>
          <t>228-2023-12-31</t>
        </is>
      </c>
      <c r="H1080" t="inlineStr">
        <is>
          <t>Sede Posgrado-Calle 85</t>
        </is>
      </c>
      <c r="I1080" t="n">
        <v>100</v>
      </c>
      <c r="J1080" t="n">
        <v>100</v>
      </c>
      <c r="AM1080" t="n">
        <v>10.33</v>
      </c>
      <c r="AR1080" t="n">
        <v>10.33</v>
      </c>
    </row>
    <row r="1081">
      <c r="A1081" t="n">
        <v>228</v>
      </c>
      <c r="B1081" t="inlineStr">
        <is>
          <t>Compensación de Gases de Efecto Invernadero</t>
        </is>
      </c>
      <c r="C1081" t="inlineStr">
        <is>
          <t>GESTIÓN AMBIENTAL</t>
        </is>
      </c>
      <c r="D1081" t="inlineStr">
        <is>
          <t>Anual</t>
        </is>
      </c>
      <c r="E1081" t="inlineStr">
        <is>
          <t>Positivo</t>
        </is>
      </c>
      <c r="F1081" s="105" t="n">
        <v>45291</v>
      </c>
      <c r="G1081" t="inlineStr">
        <is>
          <t>228-2023-12-31</t>
        </is>
      </c>
      <c r="H1081" t="inlineStr">
        <is>
          <t>Sede Bienestar - Medellín</t>
        </is>
      </c>
      <c r="I1081" t="n">
        <v>100</v>
      </c>
      <c r="J1081" t="n">
        <v>100</v>
      </c>
      <c r="AM1081" t="n">
        <v>7.53</v>
      </c>
      <c r="AR1081" t="n">
        <v>7.53</v>
      </c>
    </row>
    <row r="1082">
      <c r="A1082" t="n">
        <v>228</v>
      </c>
      <c r="B1082" t="inlineStr">
        <is>
          <t>Compensación de Gases de Efecto Invernadero</t>
        </is>
      </c>
      <c r="C1082" t="inlineStr">
        <is>
          <t>GESTIÓN AMBIENTAL</t>
        </is>
      </c>
      <c r="D1082" t="inlineStr">
        <is>
          <t>Anual</t>
        </is>
      </c>
      <c r="E1082" t="inlineStr">
        <is>
          <t>Positivo</t>
        </is>
      </c>
      <c r="F1082" s="105" t="n">
        <v>45291</v>
      </c>
      <c r="G1082" t="inlineStr">
        <is>
          <t>228-2023-12-31</t>
        </is>
      </c>
      <c r="H1082" t="inlineStr">
        <is>
          <t>City Campus</t>
        </is>
      </c>
      <c r="I1082" t="n">
        <v>100</v>
      </c>
      <c r="J1082" t="n">
        <v>100</v>
      </c>
      <c r="AM1082" t="n">
        <v>117.4</v>
      </c>
      <c r="AR1082" t="n">
        <v>117.4</v>
      </c>
    </row>
    <row r="1083">
      <c r="A1083" t="n">
        <v>228</v>
      </c>
      <c r="B1083" t="inlineStr">
        <is>
          <t>Compensación de Gases de Efecto Invernadero</t>
        </is>
      </c>
      <c r="C1083" t="inlineStr">
        <is>
          <t>GESTIÓN AMBIENTAL</t>
        </is>
      </c>
      <c r="D1083" t="inlineStr">
        <is>
          <t>Anual</t>
        </is>
      </c>
      <c r="E1083" t="inlineStr">
        <is>
          <t>Positivo</t>
        </is>
      </c>
      <c r="F1083" s="105" t="n">
        <v>45291</v>
      </c>
      <c r="G1083" t="inlineStr">
        <is>
          <t>228-2023-12-31</t>
        </is>
      </c>
      <c r="H1083" t="inlineStr">
        <is>
          <t>Campus-Medellín</t>
        </is>
      </c>
      <c r="I1083" t="n">
        <v>100</v>
      </c>
      <c r="J1083" t="n">
        <v>100</v>
      </c>
      <c r="AM1083" t="n">
        <v>49.78</v>
      </c>
      <c r="AR1083" t="n">
        <v>49.78</v>
      </c>
    </row>
    <row r="1084">
      <c r="A1084" t="n">
        <v>255</v>
      </c>
      <c r="B1084" t="inlineStr">
        <is>
          <t>Informe anual de índice H</t>
        </is>
      </c>
      <c r="C1084" t="inlineStr">
        <is>
          <t>Editorial y Publicaciones</t>
        </is>
      </c>
      <c r="D1084" t="inlineStr">
        <is>
          <t>Anual</t>
        </is>
      </c>
      <c r="E1084" t="inlineStr">
        <is>
          <t>Positivo</t>
        </is>
      </c>
      <c r="F1084" s="105" t="n">
        <v>45291</v>
      </c>
      <c r="G1084" t="inlineStr">
        <is>
          <t>255-2023-12-31</t>
        </is>
      </c>
      <c r="H1084" t="inlineStr">
        <is>
          <t>H5 Libros</t>
        </is>
      </c>
      <c r="I1084" t="n">
        <v>100</v>
      </c>
      <c r="J1084" t="n">
        <v>18</v>
      </c>
      <c r="DE1084" t="n">
        <v>18</v>
      </c>
    </row>
    <row r="1085">
      <c r="A1085" t="n">
        <v>255</v>
      </c>
      <c r="B1085" t="inlineStr">
        <is>
          <t>Informe anual de índice H</t>
        </is>
      </c>
      <c r="C1085" t="inlineStr">
        <is>
          <t>Editorial y Publicaciones</t>
        </is>
      </c>
      <c r="D1085" t="inlineStr">
        <is>
          <t>Anual</t>
        </is>
      </c>
      <c r="E1085" t="inlineStr">
        <is>
          <t>Positivo</t>
        </is>
      </c>
      <c r="F1085" s="105" t="n">
        <v>45291</v>
      </c>
      <c r="G1085" t="inlineStr">
        <is>
          <t>255-2023-12-31</t>
        </is>
      </c>
      <c r="H1085" t="inlineStr">
        <is>
          <t>H10 Libros</t>
        </is>
      </c>
      <c r="I1085" t="n">
        <v>100</v>
      </c>
      <c r="J1085" t="n">
        <v>0</v>
      </c>
      <c r="DE1085" t="n">
        <v>0</v>
      </c>
    </row>
    <row r="1086">
      <c r="A1086" t="n">
        <v>255</v>
      </c>
      <c r="B1086" t="inlineStr">
        <is>
          <t>Informe anual de índice H</t>
        </is>
      </c>
      <c r="C1086" t="inlineStr">
        <is>
          <t>Editorial y Publicaciones</t>
        </is>
      </c>
      <c r="D1086" t="inlineStr">
        <is>
          <t>Anual</t>
        </is>
      </c>
      <c r="E1086" t="inlineStr">
        <is>
          <t>Positivo</t>
        </is>
      </c>
      <c r="F1086" s="105" t="n">
        <v>45291</v>
      </c>
      <c r="G1086" t="inlineStr">
        <is>
          <t>255-2023-12-31</t>
        </is>
      </c>
      <c r="H1086" t="inlineStr">
        <is>
          <t>H1 Revistas</t>
        </is>
      </c>
      <c r="I1086" t="n">
        <v>100</v>
      </c>
      <c r="J1086" t="n">
        <v>0</v>
      </c>
      <c r="DE1086" t="n">
        <v>0</v>
      </c>
    </row>
    <row r="1087">
      <c r="A1087" t="n">
        <v>255</v>
      </c>
      <c r="B1087" t="inlineStr">
        <is>
          <t>Informe anual de índice H</t>
        </is>
      </c>
      <c r="C1087" t="inlineStr">
        <is>
          <t>Editorial y Publicaciones</t>
        </is>
      </c>
      <c r="D1087" t="inlineStr">
        <is>
          <t>Anual</t>
        </is>
      </c>
      <c r="E1087" t="inlineStr">
        <is>
          <t>Positivo</t>
        </is>
      </c>
      <c r="F1087" s="105" t="n">
        <v>45291</v>
      </c>
      <c r="G1087" t="inlineStr">
        <is>
          <t>255-2023-12-31</t>
        </is>
      </c>
      <c r="H1087" t="inlineStr">
        <is>
          <t>H5 Revistas</t>
        </is>
      </c>
      <c r="I1087" t="n">
        <v>100</v>
      </c>
      <c r="J1087" t="n">
        <v>0</v>
      </c>
      <c r="DE1087" t="n">
        <v>0</v>
      </c>
    </row>
    <row r="1088">
      <c r="A1088" t="n">
        <v>208</v>
      </c>
      <c r="B1088" t="inlineStr">
        <is>
          <t>Consumo de Agua m3 Mensual</t>
        </is>
      </c>
      <c r="C1088" t="inlineStr">
        <is>
          <t>GESTIÓN AMBIENTAL</t>
        </is>
      </c>
      <c r="D1088" t="inlineStr">
        <is>
          <t>Mensual</t>
        </is>
      </c>
      <c r="E1088" t="inlineStr">
        <is>
          <t>Negativo</t>
        </is>
      </c>
      <c r="F1088" s="105" t="n">
        <v>45322</v>
      </c>
      <c r="G1088" t="inlineStr">
        <is>
          <t>208-2024-01-31</t>
        </is>
      </c>
      <c r="H1088" t="inlineStr">
        <is>
          <t>Campus Bogotá</t>
        </is>
      </c>
      <c r="I1088" t="n">
        <v>950</v>
      </c>
      <c r="J1088" t="n">
        <v>790</v>
      </c>
      <c r="K1088" t="n">
        <v>790</v>
      </c>
    </row>
    <row r="1089">
      <c r="A1089" t="n">
        <v>208</v>
      </c>
      <c r="B1089" t="inlineStr">
        <is>
          <t>Consumo de Agua m3 Mensual</t>
        </is>
      </c>
      <c r="C1089" t="inlineStr">
        <is>
          <t>GESTIÓN AMBIENTAL</t>
        </is>
      </c>
      <c r="D1089" t="inlineStr">
        <is>
          <t>Mensual</t>
        </is>
      </c>
      <c r="E1089" t="inlineStr">
        <is>
          <t>Negativo</t>
        </is>
      </c>
      <c r="F1089" s="105" t="n">
        <v>45322</v>
      </c>
      <c r="G1089" t="inlineStr">
        <is>
          <t>208-2024-01-31</t>
        </is>
      </c>
      <c r="H1089" t="inlineStr">
        <is>
          <t>City Campus</t>
        </is>
      </c>
      <c r="I1089" t="n">
        <v>350</v>
      </c>
      <c r="J1089" t="n">
        <v>341</v>
      </c>
      <c r="K1089" t="n">
        <v>341</v>
      </c>
    </row>
    <row r="1090">
      <c r="A1090" t="n">
        <v>208</v>
      </c>
      <c r="B1090" t="inlineStr">
        <is>
          <t>Consumo de Agua m3 Mensual</t>
        </is>
      </c>
      <c r="C1090" t="inlineStr">
        <is>
          <t>GESTIÓN AMBIENTAL</t>
        </is>
      </c>
      <c r="D1090" t="inlineStr">
        <is>
          <t>Mensual</t>
        </is>
      </c>
      <c r="E1090" t="inlineStr">
        <is>
          <t>Negativo</t>
        </is>
      </c>
      <c r="F1090" s="105" t="n">
        <v>45322</v>
      </c>
      <c r="G1090" t="inlineStr">
        <is>
          <t>208-2024-01-31</t>
        </is>
      </c>
      <c r="H1090" t="inlineStr">
        <is>
          <t>Sede Posgrado-Calle 85</t>
        </is>
      </c>
      <c r="I1090" t="n">
        <v>25</v>
      </c>
      <c r="J1090" t="n">
        <v>45</v>
      </c>
      <c r="K1090" t="n">
        <v>45</v>
      </c>
    </row>
    <row r="1091">
      <c r="A1091" t="n">
        <v>208</v>
      </c>
      <c r="B1091" t="inlineStr">
        <is>
          <t>Consumo de Agua m3 Mensual</t>
        </is>
      </c>
      <c r="C1091" t="inlineStr">
        <is>
          <t>GESTIÓN AMBIENTAL</t>
        </is>
      </c>
      <c r="D1091" t="inlineStr">
        <is>
          <t>Mensual</t>
        </is>
      </c>
      <c r="E1091" t="inlineStr">
        <is>
          <t>Negativo</t>
        </is>
      </c>
      <c r="F1091" s="105" t="n">
        <v>45322</v>
      </c>
      <c r="G1091" t="inlineStr">
        <is>
          <t>208-2024-01-31</t>
        </is>
      </c>
      <c r="H1091" t="inlineStr">
        <is>
          <t>Sede Bienestar - Medellín</t>
        </is>
      </c>
      <c r="I1091" t="n">
        <v>0</v>
      </c>
      <c r="J1091" t="n">
        <v>0</v>
      </c>
      <c r="K1091" t="n">
        <v>0</v>
      </c>
    </row>
    <row r="1092">
      <c r="A1092" t="n">
        <v>208</v>
      </c>
      <c r="B1092" t="inlineStr">
        <is>
          <t>Consumo de Agua m3 Mensual</t>
        </is>
      </c>
      <c r="C1092" t="inlineStr">
        <is>
          <t>GESTIÓN AMBIENTAL</t>
        </is>
      </c>
      <c r="D1092" t="inlineStr">
        <is>
          <t>Mensual</t>
        </is>
      </c>
      <c r="E1092" t="inlineStr">
        <is>
          <t>Negativo</t>
        </is>
      </c>
      <c r="F1092" s="105" t="n">
        <v>45322</v>
      </c>
      <c r="G1092" t="inlineStr">
        <is>
          <t>208-2024-01-31</t>
        </is>
      </c>
      <c r="H1092" t="inlineStr">
        <is>
          <t>Consultorio Psicología - Medellin</t>
        </is>
      </c>
      <c r="I1092" t="n">
        <v>25</v>
      </c>
      <c r="J1092" t="n">
        <v>6</v>
      </c>
      <c r="K1092" t="n">
        <v>6</v>
      </c>
    </row>
    <row r="1093">
      <c r="A1093" t="n">
        <v>208</v>
      </c>
      <c r="B1093" t="inlineStr">
        <is>
          <t>Consumo de Agua m3 Mensual</t>
        </is>
      </c>
      <c r="C1093" t="inlineStr">
        <is>
          <t>GESTIÓN AMBIENTAL</t>
        </is>
      </c>
      <c r="D1093" t="inlineStr">
        <is>
          <t>Mensual</t>
        </is>
      </c>
      <c r="E1093" t="inlineStr">
        <is>
          <t>Negativo</t>
        </is>
      </c>
      <c r="F1093" s="105" t="n">
        <v>45322</v>
      </c>
      <c r="G1093" t="inlineStr">
        <is>
          <t>208-2024-01-31</t>
        </is>
      </c>
      <c r="H1093" t="inlineStr">
        <is>
          <t>Campus-Medellín</t>
        </is>
      </c>
      <c r="I1093" t="n">
        <v>200</v>
      </c>
      <c r="J1093" t="n">
        <v>144</v>
      </c>
      <c r="K1093" t="n">
        <v>144</v>
      </c>
    </row>
    <row r="1094">
      <c r="A1094" t="n">
        <v>214</v>
      </c>
      <c r="B1094" t="inlineStr">
        <is>
          <t>Generación de Residuos Sólidos Mensual</t>
        </is>
      </c>
      <c r="C1094" t="inlineStr">
        <is>
          <t>GESTIÓN AMBIENTAL</t>
        </is>
      </c>
      <c r="D1094" t="inlineStr">
        <is>
          <t>Mensual</t>
        </is>
      </c>
      <c r="E1094" t="inlineStr">
        <is>
          <t>Negativo</t>
        </is>
      </c>
      <c r="F1094" s="105" t="n">
        <v>45322</v>
      </c>
      <c r="G1094" t="inlineStr">
        <is>
          <t>214-2024-01-31</t>
        </is>
      </c>
      <c r="H1094" t="inlineStr">
        <is>
          <t>Campus Bogotá</t>
        </is>
      </c>
      <c r="I1094" t="n">
        <v>5500</v>
      </c>
      <c r="J1094" t="n">
        <v>2491</v>
      </c>
      <c r="L1094" t="n">
        <v>1817</v>
      </c>
      <c r="M1094" t="n">
        <v>674</v>
      </c>
    </row>
    <row r="1095">
      <c r="A1095" t="n">
        <v>214</v>
      </c>
      <c r="B1095" t="inlineStr">
        <is>
          <t>Generación de Residuos Sólidos Mensual</t>
        </is>
      </c>
      <c r="C1095" t="inlineStr">
        <is>
          <t>GESTIÓN AMBIENTAL</t>
        </is>
      </c>
      <c r="D1095" t="inlineStr">
        <is>
          <t>Mensual</t>
        </is>
      </c>
      <c r="E1095" t="inlineStr">
        <is>
          <t>Negativo</t>
        </is>
      </c>
      <c r="F1095" s="105" t="n">
        <v>45322</v>
      </c>
      <c r="G1095" t="inlineStr">
        <is>
          <t>214-2024-01-31</t>
        </is>
      </c>
      <c r="H1095" t="inlineStr">
        <is>
          <t>City Campus</t>
        </is>
      </c>
      <c r="I1095" t="n">
        <v>1000</v>
      </c>
      <c r="J1095" t="n">
        <v>472.2000122070312</v>
      </c>
      <c r="L1095" t="n">
        <v>0</v>
      </c>
      <c r="M1095" t="n">
        <v>472.2</v>
      </c>
    </row>
    <row r="1096">
      <c r="A1096" t="n">
        <v>214</v>
      </c>
      <c r="B1096" t="inlineStr">
        <is>
          <t>Generación de Residuos Sólidos Mensual</t>
        </is>
      </c>
      <c r="C1096" t="inlineStr">
        <is>
          <t>GESTIÓN AMBIENTAL</t>
        </is>
      </c>
      <c r="D1096" t="inlineStr">
        <is>
          <t>Mensual</t>
        </is>
      </c>
      <c r="E1096" t="inlineStr">
        <is>
          <t>Negativo</t>
        </is>
      </c>
      <c r="F1096" s="105" t="n">
        <v>45322</v>
      </c>
      <c r="G1096" t="inlineStr">
        <is>
          <t>214-2024-01-31</t>
        </is>
      </c>
      <c r="H1096" t="inlineStr">
        <is>
          <t>Sede Posgrado-Calle 85</t>
        </is>
      </c>
      <c r="I1096" t="n">
        <v>7500</v>
      </c>
      <c r="J1096" t="n">
        <v>0</v>
      </c>
      <c r="L1096" t="n">
        <v>0</v>
      </c>
      <c r="M1096" t="n">
        <v>0</v>
      </c>
    </row>
    <row r="1097">
      <c r="A1097" t="n">
        <v>214</v>
      </c>
      <c r="B1097" t="inlineStr">
        <is>
          <t>Generación de Residuos Sólidos Mensual</t>
        </is>
      </c>
      <c r="C1097" t="inlineStr">
        <is>
          <t>GESTIÓN AMBIENTAL</t>
        </is>
      </c>
      <c r="D1097" t="inlineStr">
        <is>
          <t>Mensual</t>
        </is>
      </c>
      <c r="E1097" t="inlineStr">
        <is>
          <t>Negativo</t>
        </is>
      </c>
      <c r="F1097" s="105" t="n">
        <v>45322</v>
      </c>
      <c r="G1097" t="inlineStr">
        <is>
          <t>214-2024-01-31</t>
        </is>
      </c>
      <c r="H1097" t="inlineStr">
        <is>
          <t>Campus-Medellín</t>
        </is>
      </c>
      <c r="I1097" t="n">
        <v>1000</v>
      </c>
      <c r="J1097" t="n">
        <v>401.5</v>
      </c>
      <c r="L1097" t="n">
        <v>0</v>
      </c>
      <c r="M1097" t="n">
        <v>401.5</v>
      </c>
    </row>
    <row r="1098">
      <c r="A1098" t="n">
        <v>214</v>
      </c>
      <c r="B1098" t="inlineStr">
        <is>
          <t>Generación de Residuos Sólidos Mensual</t>
        </is>
      </c>
      <c r="C1098" t="inlineStr">
        <is>
          <t>GESTIÓN AMBIENTAL</t>
        </is>
      </c>
      <c r="D1098" t="inlineStr">
        <is>
          <t>Mensual</t>
        </is>
      </c>
      <c r="E1098" t="inlineStr">
        <is>
          <t>Negativo</t>
        </is>
      </c>
      <c r="F1098" s="105" t="n">
        <v>45322</v>
      </c>
      <c r="G1098" t="inlineStr">
        <is>
          <t>214-2024-01-31</t>
        </is>
      </c>
      <c r="H1098" t="inlineStr">
        <is>
          <t>Sede Bienestar - Medellín</t>
        </is>
      </c>
      <c r="I1098" t="n">
        <v>1</v>
      </c>
      <c r="J1098" t="n">
        <v>0</v>
      </c>
      <c r="L1098" t="n">
        <v>0</v>
      </c>
      <c r="M1098" t="n">
        <v>0</v>
      </c>
    </row>
    <row r="1099">
      <c r="A1099" t="n">
        <v>214</v>
      </c>
      <c r="B1099" t="inlineStr">
        <is>
          <t>Generación de Residuos Sólidos Mensual</t>
        </is>
      </c>
      <c r="C1099" t="inlineStr">
        <is>
          <t>GESTIÓN AMBIENTAL</t>
        </is>
      </c>
      <c r="D1099" t="inlineStr">
        <is>
          <t>Mensual</t>
        </is>
      </c>
      <c r="E1099" t="inlineStr">
        <is>
          <t>Negativo</t>
        </is>
      </c>
      <c r="F1099" s="105" t="n">
        <v>45322</v>
      </c>
      <c r="G1099" t="inlineStr">
        <is>
          <t>214-2024-01-31</t>
        </is>
      </c>
      <c r="H1099" t="inlineStr">
        <is>
          <t>Consultorio Psicología - Medellin</t>
        </is>
      </c>
      <c r="I1099" t="n">
        <v>1</v>
      </c>
      <c r="J1099" t="n">
        <v>11</v>
      </c>
      <c r="L1099" t="n">
        <v>1</v>
      </c>
      <c r="M1099" t="n">
        <v>10</v>
      </c>
    </row>
    <row r="1100">
      <c r="A1100" t="n">
        <v>217</v>
      </c>
      <c r="B1100" t="inlineStr">
        <is>
          <t>Aprovechamiento de Residuos</t>
        </is>
      </c>
      <c r="C1100" t="inlineStr">
        <is>
          <t>GESTIÓN AMBIENTAL</t>
        </is>
      </c>
      <c r="D1100" t="inlineStr">
        <is>
          <t>Mensual</t>
        </is>
      </c>
      <c r="E1100" t="inlineStr">
        <is>
          <t>Positivo</t>
        </is>
      </c>
      <c r="F1100" s="105" t="n">
        <v>45322</v>
      </c>
      <c r="G1100" t="inlineStr">
        <is>
          <t>217-2024-01-31</t>
        </is>
      </c>
      <c r="H1100" t="inlineStr">
        <is>
          <t>Consultorio Psicología - Medellin</t>
        </is>
      </c>
      <c r="I1100" t="n">
        <v>20</v>
      </c>
      <c r="J1100" t="n">
        <v>9.090000152587891</v>
      </c>
      <c r="L1100" t="n">
        <v>1</v>
      </c>
      <c r="M1100" t="n">
        <v>10</v>
      </c>
      <c r="AS1100" t="n">
        <v>1</v>
      </c>
    </row>
    <row r="1101">
      <c r="A1101" t="n">
        <v>218</v>
      </c>
      <c r="B1101" t="inlineStr">
        <is>
          <t>Consumo de Energía Eléctrica kWh Mensual</t>
        </is>
      </c>
      <c r="C1101" t="inlineStr">
        <is>
          <t>GESTIÓN AMBIENTAL</t>
        </is>
      </c>
      <c r="D1101" t="inlineStr">
        <is>
          <t>Mensual</t>
        </is>
      </c>
      <c r="E1101" t="inlineStr">
        <is>
          <t>Negativo</t>
        </is>
      </c>
      <c r="F1101" s="105" t="n">
        <v>45322</v>
      </c>
      <c r="G1101" t="inlineStr">
        <is>
          <t>218-2024-01-31</t>
        </is>
      </c>
      <c r="H1101" t="inlineStr">
        <is>
          <t>Campus Bogotá</t>
        </is>
      </c>
      <c r="I1101" t="n">
        <v>76000</v>
      </c>
      <c r="J1101" t="n">
        <v>55618.05859375</v>
      </c>
      <c r="N1101" t="n">
        <v>55618.06</v>
      </c>
    </row>
    <row r="1102">
      <c r="A1102" t="n">
        <v>218</v>
      </c>
      <c r="B1102" t="inlineStr">
        <is>
          <t>Consumo de Energía Eléctrica kWh Mensual</t>
        </is>
      </c>
      <c r="C1102" t="inlineStr">
        <is>
          <t>GESTIÓN AMBIENTAL</t>
        </is>
      </c>
      <c r="D1102" t="inlineStr">
        <is>
          <t>Mensual</t>
        </is>
      </c>
      <c r="E1102" t="inlineStr">
        <is>
          <t>Negativo</t>
        </is>
      </c>
      <c r="F1102" s="105" t="n">
        <v>45322</v>
      </c>
      <c r="G1102" t="inlineStr">
        <is>
          <t>218-2024-01-31</t>
        </is>
      </c>
      <c r="H1102" t="inlineStr">
        <is>
          <t>City Campus</t>
        </is>
      </c>
      <c r="I1102" t="n">
        <v>76000</v>
      </c>
      <c r="J1102" t="n">
        <v>39330</v>
      </c>
      <c r="N1102" t="n">
        <v>39330</v>
      </c>
    </row>
    <row r="1103">
      <c r="A1103" t="n">
        <v>218</v>
      </c>
      <c r="B1103" t="inlineStr">
        <is>
          <t>Consumo de Energía Eléctrica kWh Mensual</t>
        </is>
      </c>
      <c r="C1103" t="inlineStr">
        <is>
          <t>GESTIÓN AMBIENTAL</t>
        </is>
      </c>
      <c r="D1103" t="inlineStr">
        <is>
          <t>Mensual</t>
        </is>
      </c>
      <c r="E1103" t="inlineStr">
        <is>
          <t>Negativo</t>
        </is>
      </c>
      <c r="F1103" s="105" t="n">
        <v>45322</v>
      </c>
      <c r="G1103" t="inlineStr">
        <is>
          <t>218-2024-01-31</t>
        </is>
      </c>
      <c r="H1103" t="inlineStr">
        <is>
          <t>Sede Posgrado-Calle 85</t>
        </is>
      </c>
      <c r="I1103" t="n">
        <v>5000</v>
      </c>
      <c r="J1103" t="n">
        <v>3660</v>
      </c>
      <c r="N1103" t="n">
        <v>3660</v>
      </c>
    </row>
    <row r="1104">
      <c r="A1104" t="n">
        <v>218</v>
      </c>
      <c r="B1104" t="inlineStr">
        <is>
          <t>Consumo de Energía Eléctrica kWh Mensual</t>
        </is>
      </c>
      <c r="C1104" t="inlineStr">
        <is>
          <t>GESTIÓN AMBIENTAL</t>
        </is>
      </c>
      <c r="D1104" t="inlineStr">
        <is>
          <t>Mensual</t>
        </is>
      </c>
      <c r="E1104" t="inlineStr">
        <is>
          <t>Negativo</t>
        </is>
      </c>
      <c r="F1104" s="105" t="n">
        <v>45322</v>
      </c>
      <c r="G1104" t="inlineStr">
        <is>
          <t>218-2024-01-31</t>
        </is>
      </c>
      <c r="H1104" t="inlineStr">
        <is>
          <t>Campus-Medellín</t>
        </is>
      </c>
      <c r="I1104" t="n">
        <v>24000</v>
      </c>
      <c r="J1104" t="n">
        <v>19856</v>
      </c>
      <c r="N1104" t="n">
        <v>19856</v>
      </c>
    </row>
    <row r="1105">
      <c r="A1105" t="n">
        <v>218</v>
      </c>
      <c r="B1105" t="inlineStr">
        <is>
          <t>Consumo de Energía Eléctrica kWh Mensual</t>
        </is>
      </c>
      <c r="C1105" t="inlineStr">
        <is>
          <t>GESTIÓN AMBIENTAL</t>
        </is>
      </c>
      <c r="D1105" t="inlineStr">
        <is>
          <t>Mensual</t>
        </is>
      </c>
      <c r="E1105" t="inlineStr">
        <is>
          <t>Negativo</t>
        </is>
      </c>
      <c r="F1105" s="105" t="n">
        <v>45322</v>
      </c>
      <c r="G1105" t="inlineStr">
        <is>
          <t>218-2024-01-31</t>
        </is>
      </c>
      <c r="H1105" t="inlineStr">
        <is>
          <t>Consultorio Psicología - Medellin</t>
        </is>
      </c>
      <c r="I1105" t="n">
        <v>2000</v>
      </c>
      <c r="J1105" t="n">
        <v>1235</v>
      </c>
      <c r="N1105" t="n">
        <v>1235</v>
      </c>
    </row>
    <row r="1106">
      <c r="A1106" t="n">
        <v>218</v>
      </c>
      <c r="B1106" t="inlineStr">
        <is>
          <t>Consumo de Energía Eléctrica kWh Mensual</t>
        </is>
      </c>
      <c r="C1106" t="inlineStr">
        <is>
          <t>GESTIÓN AMBIENTAL</t>
        </is>
      </c>
      <c r="D1106" t="inlineStr">
        <is>
          <t>Mensual</t>
        </is>
      </c>
      <c r="E1106" t="inlineStr">
        <is>
          <t>Negativo</t>
        </is>
      </c>
      <c r="F1106" s="105" t="n">
        <v>45322</v>
      </c>
      <c r="G1106" t="inlineStr">
        <is>
          <t>218-2024-01-31</t>
        </is>
      </c>
      <c r="H1106" t="inlineStr">
        <is>
          <t>Sede Bienestar - Medellín</t>
        </is>
      </c>
      <c r="I1106" t="n">
        <v>5000</v>
      </c>
      <c r="J1106" t="n">
        <v>3240</v>
      </c>
      <c r="N1106" t="n">
        <v>3240</v>
      </c>
    </row>
    <row r="1107">
      <c r="A1107" t="n">
        <v>225</v>
      </c>
      <c r="B1107" t="inlineStr">
        <is>
          <t>Acciones para el Cuidado y Mantenimiento de las Especies de Flora y el Suelo de las Áreas Naturales</t>
        </is>
      </c>
      <c r="C1107" t="inlineStr">
        <is>
          <t>GESTIÓN AMBIENTAL</t>
        </is>
      </c>
      <c r="D1107" t="inlineStr">
        <is>
          <t>Mensual</t>
        </is>
      </c>
      <c r="E1107" t="inlineStr">
        <is>
          <t>Positivo</t>
        </is>
      </c>
      <c r="F1107" s="105" t="n">
        <v>45322</v>
      </c>
      <c r="G1107" t="inlineStr">
        <is>
          <t>225-2024-01-31</t>
        </is>
      </c>
      <c r="H1107" t="inlineStr">
        <is>
          <t>Sede Bienestar - Medellín</t>
        </is>
      </c>
      <c r="I1107" t="n">
        <v>1</v>
      </c>
      <c r="J1107" t="n">
        <v>1</v>
      </c>
      <c r="AT1107" t="n">
        <v>1</v>
      </c>
    </row>
    <row r="1108">
      <c r="A1108" t="n">
        <v>434</v>
      </c>
      <c r="B1108" t="inlineStr">
        <is>
          <t>Generación de Residuos Peligrosos Mensual</t>
        </is>
      </c>
      <c r="C1108" t="inlineStr">
        <is>
          <t>GESTIÓN AMBIENTAL</t>
        </is>
      </c>
      <c r="D1108" t="inlineStr">
        <is>
          <t>Mensual</t>
        </is>
      </c>
      <c r="E1108" t="inlineStr">
        <is>
          <t>Negativo</t>
        </is>
      </c>
      <c r="F1108" s="105" t="n">
        <v>45322</v>
      </c>
      <c r="G1108" t="inlineStr">
        <is>
          <t>434-2024-01-31</t>
        </is>
      </c>
      <c r="H1108" t="inlineStr">
        <is>
          <t>Campus Bogotá</t>
        </is>
      </c>
      <c r="I1108" t="n">
        <v>100</v>
      </c>
      <c r="J1108" t="n">
        <v>9.199999809265137</v>
      </c>
      <c r="AV1108" t="n">
        <v>9.199999999999999</v>
      </c>
    </row>
    <row r="1109">
      <c r="A1109" t="n">
        <v>434</v>
      </c>
      <c r="B1109" t="inlineStr">
        <is>
          <t>Generación de Residuos Peligrosos Mensual</t>
        </is>
      </c>
      <c r="C1109" t="inlineStr">
        <is>
          <t>GESTIÓN AMBIENTAL</t>
        </is>
      </c>
      <c r="D1109" t="inlineStr">
        <is>
          <t>Mensual</t>
        </is>
      </c>
      <c r="E1109" t="inlineStr">
        <is>
          <t>Negativo</t>
        </is>
      </c>
      <c r="F1109" s="105" t="n">
        <v>45322</v>
      </c>
      <c r="G1109" t="inlineStr">
        <is>
          <t>434-2024-01-31</t>
        </is>
      </c>
      <c r="H1109" t="inlineStr">
        <is>
          <t>City Campus</t>
        </is>
      </c>
      <c r="I1109" t="n">
        <v>25</v>
      </c>
      <c r="J1109" t="n">
        <v>0.449999988079071</v>
      </c>
      <c r="AV1109" t="n">
        <v>0.45</v>
      </c>
    </row>
    <row r="1110">
      <c r="A1110" t="n">
        <v>434</v>
      </c>
      <c r="B1110" t="inlineStr">
        <is>
          <t>Generación de Residuos Peligrosos Mensual</t>
        </is>
      </c>
      <c r="C1110" t="inlineStr">
        <is>
          <t>GESTIÓN AMBIENTAL</t>
        </is>
      </c>
      <c r="D1110" t="inlineStr">
        <is>
          <t>Mensual</t>
        </is>
      </c>
      <c r="E1110" t="inlineStr">
        <is>
          <t>Negativo</t>
        </is>
      </c>
      <c r="F1110" s="105" t="n">
        <v>45322</v>
      </c>
      <c r="G1110" t="inlineStr">
        <is>
          <t>434-2024-01-31</t>
        </is>
      </c>
      <c r="H1110" t="inlineStr">
        <is>
          <t>Sede Posgrado-Calle 85</t>
        </is>
      </c>
      <c r="I1110" t="n">
        <v>200</v>
      </c>
      <c r="J1110" t="n">
        <v>0</v>
      </c>
      <c r="AV1110" t="n">
        <v>0</v>
      </c>
    </row>
    <row r="1111">
      <c r="A1111" t="n">
        <v>434</v>
      </c>
      <c r="B1111" t="inlineStr">
        <is>
          <t>Generación de Residuos Peligrosos Mensual</t>
        </is>
      </c>
      <c r="C1111" t="inlineStr">
        <is>
          <t>GESTIÓN AMBIENTAL</t>
        </is>
      </c>
      <c r="D1111" t="inlineStr">
        <is>
          <t>Mensual</t>
        </is>
      </c>
      <c r="E1111" t="inlineStr">
        <is>
          <t>Negativo</t>
        </is>
      </c>
      <c r="F1111" s="105" t="n">
        <v>45322</v>
      </c>
      <c r="G1111" t="inlineStr">
        <is>
          <t>434-2024-01-31</t>
        </is>
      </c>
      <c r="H1111" t="inlineStr">
        <is>
          <t>Campus-Medellín</t>
        </is>
      </c>
      <c r="I1111" t="n">
        <v>25</v>
      </c>
      <c r="J1111" t="n">
        <v>0</v>
      </c>
      <c r="AV1111" t="n">
        <v>0</v>
      </c>
    </row>
    <row r="1112">
      <c r="A1112" t="n">
        <v>434</v>
      </c>
      <c r="B1112" t="inlineStr">
        <is>
          <t>Generación de Residuos Peligrosos Mensual</t>
        </is>
      </c>
      <c r="C1112" t="inlineStr">
        <is>
          <t>GESTIÓN AMBIENTAL</t>
        </is>
      </c>
      <c r="D1112" t="inlineStr">
        <is>
          <t>Mensual</t>
        </is>
      </c>
      <c r="E1112" t="inlineStr">
        <is>
          <t>Negativo</t>
        </is>
      </c>
      <c r="F1112" s="105" t="n">
        <v>45322</v>
      </c>
      <c r="G1112" t="inlineStr">
        <is>
          <t>434-2024-01-31</t>
        </is>
      </c>
      <c r="H1112" t="inlineStr">
        <is>
          <t>Sede Bienestar - Medellín</t>
        </is>
      </c>
      <c r="I1112" t="n">
        <v>10</v>
      </c>
      <c r="J1112" t="n">
        <v>0</v>
      </c>
      <c r="AV1112" t="n">
        <v>0</v>
      </c>
    </row>
    <row r="1113">
      <c r="A1113" t="n">
        <v>434</v>
      </c>
      <c r="B1113" t="inlineStr">
        <is>
          <t>Generación de Residuos Peligrosos Mensual</t>
        </is>
      </c>
      <c r="C1113" t="inlineStr">
        <is>
          <t>GESTIÓN AMBIENTAL</t>
        </is>
      </c>
      <c r="D1113" t="inlineStr">
        <is>
          <t>Mensual</t>
        </is>
      </c>
      <c r="E1113" t="inlineStr">
        <is>
          <t>Negativo</t>
        </is>
      </c>
      <c r="F1113" s="105" t="n">
        <v>45322</v>
      </c>
      <c r="G1113" t="inlineStr">
        <is>
          <t>434-2024-01-31</t>
        </is>
      </c>
      <c r="H1113" t="inlineStr">
        <is>
          <t>Consultorio Psicología - Medellin</t>
        </is>
      </c>
      <c r="I1113" t="n">
        <v>200</v>
      </c>
      <c r="J1113" t="n">
        <v>0</v>
      </c>
      <c r="AV1113" t="n">
        <v>0</v>
      </c>
    </row>
    <row r="1114">
      <c r="A1114" t="n">
        <v>436</v>
      </c>
      <c r="B1114" t="inlineStr">
        <is>
          <t>ANS documentos operativos</t>
        </is>
      </c>
      <c r="C1114" t="inlineStr">
        <is>
          <t>Gestión de calidad</t>
        </is>
      </c>
      <c r="D1114" t="inlineStr">
        <is>
          <t>Mensual</t>
        </is>
      </c>
      <c r="E1114" t="inlineStr">
        <is>
          <t>Negativo</t>
        </is>
      </c>
      <c r="F1114" s="105" t="n">
        <v>45322</v>
      </c>
      <c r="G1114" t="inlineStr">
        <is>
          <t>436-2024-01-31</t>
        </is>
      </c>
      <c r="H1114" t="inlineStr">
        <is>
          <t>Flujo de aprobación</t>
        </is>
      </c>
      <c r="I1114" t="n">
        <v>7</v>
      </c>
      <c r="J1114" t="n">
        <v>5.699999809265137</v>
      </c>
      <c r="CP1114" t="n">
        <v>5.7</v>
      </c>
    </row>
    <row r="1115">
      <c r="A1115" t="n">
        <v>436</v>
      </c>
      <c r="B1115" t="inlineStr">
        <is>
          <t>ANS documentos operativos</t>
        </is>
      </c>
      <c r="C1115" t="inlineStr">
        <is>
          <t>Gestión de calidad</t>
        </is>
      </c>
      <c r="D1115" t="inlineStr">
        <is>
          <t>Mensual</t>
        </is>
      </c>
      <c r="E1115" t="inlineStr">
        <is>
          <t>Negativo</t>
        </is>
      </c>
      <c r="F1115" s="105" t="n">
        <v>45322</v>
      </c>
      <c r="G1115" t="inlineStr">
        <is>
          <t>436-2024-01-31</t>
        </is>
      </c>
      <c r="H1115" t="inlineStr">
        <is>
          <t>Solicitud Documental</t>
        </is>
      </c>
      <c r="I1115" t="n">
        <v>14</v>
      </c>
      <c r="J1115" t="n">
        <v>4</v>
      </c>
      <c r="CP1115" t="n">
        <v>4</v>
      </c>
    </row>
    <row r="1116">
      <c r="A1116" t="n">
        <v>208</v>
      </c>
      <c r="B1116" t="inlineStr">
        <is>
          <t>Consumo de Agua m3 Mensual</t>
        </is>
      </c>
      <c r="C1116" t="inlineStr">
        <is>
          <t>GESTIÓN AMBIENTAL</t>
        </is>
      </c>
      <c r="D1116" t="inlineStr">
        <is>
          <t>Mensual</t>
        </is>
      </c>
      <c r="E1116" t="inlineStr">
        <is>
          <t>Negativo</t>
        </is>
      </c>
      <c r="F1116" s="105" t="n">
        <v>45351</v>
      </c>
      <c r="G1116" t="inlineStr">
        <is>
          <t>208-2024-02-29</t>
        </is>
      </c>
      <c r="H1116" t="inlineStr">
        <is>
          <t>Campus Bogotá</t>
        </is>
      </c>
      <c r="I1116" t="n">
        <v>950</v>
      </c>
      <c r="J1116" t="n">
        <v>848</v>
      </c>
      <c r="K1116" t="n">
        <v>848</v>
      </c>
    </row>
    <row r="1117">
      <c r="A1117" t="n">
        <v>208</v>
      </c>
      <c r="B1117" t="inlineStr">
        <is>
          <t>Consumo de Agua m3 Mensual</t>
        </is>
      </c>
      <c r="C1117" t="inlineStr">
        <is>
          <t>GESTIÓN AMBIENTAL</t>
        </is>
      </c>
      <c r="D1117" t="inlineStr">
        <is>
          <t>Mensual</t>
        </is>
      </c>
      <c r="E1117" t="inlineStr">
        <is>
          <t>Negativo</t>
        </is>
      </c>
      <c r="F1117" s="105" t="n">
        <v>45351</v>
      </c>
      <c r="G1117" t="inlineStr">
        <is>
          <t>208-2024-02-29</t>
        </is>
      </c>
      <c r="H1117" t="inlineStr">
        <is>
          <t>City Campus</t>
        </is>
      </c>
      <c r="I1117" t="n">
        <v>350</v>
      </c>
      <c r="J1117" t="n">
        <v>341</v>
      </c>
      <c r="K1117" t="n">
        <v>341</v>
      </c>
    </row>
    <row r="1118">
      <c r="A1118" t="n">
        <v>208</v>
      </c>
      <c r="B1118" t="inlineStr">
        <is>
          <t>Consumo de Agua m3 Mensual</t>
        </is>
      </c>
      <c r="C1118" t="inlineStr">
        <is>
          <t>GESTIÓN AMBIENTAL</t>
        </is>
      </c>
      <c r="D1118" t="inlineStr">
        <is>
          <t>Mensual</t>
        </is>
      </c>
      <c r="E1118" t="inlineStr">
        <is>
          <t>Negativo</t>
        </is>
      </c>
      <c r="F1118" s="105" t="n">
        <v>45351</v>
      </c>
      <c r="G1118" t="inlineStr">
        <is>
          <t>208-2024-02-29</t>
        </is>
      </c>
      <c r="H1118" t="inlineStr">
        <is>
          <t>Sede Posgrado-Calle 85</t>
        </is>
      </c>
      <c r="I1118" t="n">
        <v>25</v>
      </c>
      <c r="J1118" t="n">
        <v>19</v>
      </c>
      <c r="K1118" t="n">
        <v>19</v>
      </c>
    </row>
    <row r="1119">
      <c r="A1119" t="n">
        <v>208</v>
      </c>
      <c r="B1119" t="inlineStr">
        <is>
          <t>Consumo de Agua m3 Mensual</t>
        </is>
      </c>
      <c r="C1119" t="inlineStr">
        <is>
          <t>GESTIÓN AMBIENTAL</t>
        </is>
      </c>
      <c r="D1119" t="inlineStr">
        <is>
          <t>Mensual</t>
        </is>
      </c>
      <c r="E1119" t="inlineStr">
        <is>
          <t>Negativo</t>
        </is>
      </c>
      <c r="F1119" s="105" t="n">
        <v>45351</v>
      </c>
      <c r="G1119" t="inlineStr">
        <is>
          <t>208-2024-02-29</t>
        </is>
      </c>
      <c r="H1119" t="inlineStr">
        <is>
          <t>Sede Bienestar - Medellín</t>
        </is>
      </c>
      <c r="I1119" t="n">
        <v>0</v>
      </c>
      <c r="J1119" t="n">
        <v>0</v>
      </c>
      <c r="K1119" t="n">
        <v>0</v>
      </c>
    </row>
    <row r="1120">
      <c r="A1120" t="n">
        <v>208</v>
      </c>
      <c r="B1120" t="inlineStr">
        <is>
          <t>Consumo de Agua m3 Mensual</t>
        </is>
      </c>
      <c r="C1120" t="inlineStr">
        <is>
          <t>GESTIÓN AMBIENTAL</t>
        </is>
      </c>
      <c r="D1120" t="inlineStr">
        <is>
          <t>Mensual</t>
        </is>
      </c>
      <c r="E1120" t="inlineStr">
        <is>
          <t>Negativo</t>
        </is>
      </c>
      <c r="F1120" s="105" t="n">
        <v>45351</v>
      </c>
      <c r="G1120" t="inlineStr">
        <is>
          <t>208-2024-02-29</t>
        </is>
      </c>
      <c r="H1120" t="inlineStr">
        <is>
          <t>Consultorio Psicología - Medellin</t>
        </is>
      </c>
      <c r="I1120" t="n">
        <v>25</v>
      </c>
      <c r="J1120" t="n">
        <v>4</v>
      </c>
      <c r="K1120" t="n">
        <v>4</v>
      </c>
    </row>
    <row r="1121">
      <c r="A1121" t="n">
        <v>208</v>
      </c>
      <c r="B1121" t="inlineStr">
        <is>
          <t>Consumo de Agua m3 Mensual</t>
        </is>
      </c>
      <c r="C1121" t="inlineStr">
        <is>
          <t>GESTIÓN AMBIENTAL</t>
        </is>
      </c>
      <c r="D1121" t="inlineStr">
        <is>
          <t>Mensual</t>
        </is>
      </c>
      <c r="E1121" t="inlineStr">
        <is>
          <t>Negativo</t>
        </is>
      </c>
      <c r="F1121" s="105" t="n">
        <v>45351</v>
      </c>
      <c r="G1121" t="inlineStr">
        <is>
          <t>208-2024-02-29</t>
        </is>
      </c>
      <c r="H1121" t="inlineStr">
        <is>
          <t>Campus-Medellín</t>
        </is>
      </c>
      <c r="I1121" t="n">
        <v>200</v>
      </c>
      <c r="J1121" t="n">
        <v>95</v>
      </c>
      <c r="K1121" t="n">
        <v>95</v>
      </c>
    </row>
    <row r="1122">
      <c r="A1122" t="n">
        <v>214</v>
      </c>
      <c r="B1122" t="inlineStr">
        <is>
          <t>Generación de Residuos Sólidos Mensual</t>
        </is>
      </c>
      <c r="C1122" t="inlineStr">
        <is>
          <t>GESTIÓN AMBIENTAL</t>
        </is>
      </c>
      <c r="D1122" t="inlineStr">
        <is>
          <t>Mensual</t>
        </is>
      </c>
      <c r="E1122" t="inlineStr">
        <is>
          <t>Negativo</t>
        </is>
      </c>
      <c r="F1122" s="105" t="n">
        <v>45351</v>
      </c>
      <c r="G1122" t="inlineStr">
        <is>
          <t>214-2024-02-29</t>
        </is>
      </c>
      <c r="H1122" t="inlineStr">
        <is>
          <t>Campus Bogotá</t>
        </is>
      </c>
      <c r="I1122" t="n">
        <v>5500</v>
      </c>
      <c r="J1122" t="n">
        <v>3354</v>
      </c>
      <c r="L1122" t="n">
        <v>975</v>
      </c>
      <c r="M1122" t="n">
        <v>2379</v>
      </c>
    </row>
    <row r="1123">
      <c r="A1123" t="n">
        <v>214</v>
      </c>
      <c r="B1123" t="inlineStr">
        <is>
          <t>Generación de Residuos Sólidos Mensual</t>
        </is>
      </c>
      <c r="C1123" t="inlineStr">
        <is>
          <t>GESTIÓN AMBIENTAL</t>
        </is>
      </c>
      <c r="D1123" t="inlineStr">
        <is>
          <t>Mensual</t>
        </is>
      </c>
      <c r="E1123" t="inlineStr">
        <is>
          <t>Negativo</t>
        </is>
      </c>
      <c r="F1123" s="105" t="n">
        <v>45351</v>
      </c>
      <c r="G1123" t="inlineStr">
        <is>
          <t>214-2024-02-29</t>
        </is>
      </c>
      <c r="H1123" t="inlineStr">
        <is>
          <t>City Campus</t>
        </is>
      </c>
      <c r="I1123" t="n">
        <v>1000</v>
      </c>
      <c r="J1123" t="n">
        <v>989.4000244140625</v>
      </c>
      <c r="L1123" t="n">
        <v>11.1</v>
      </c>
      <c r="M1123" t="n">
        <v>978.3</v>
      </c>
    </row>
    <row r="1124">
      <c r="A1124" t="n">
        <v>214</v>
      </c>
      <c r="B1124" t="inlineStr">
        <is>
          <t>Generación de Residuos Sólidos Mensual</t>
        </is>
      </c>
      <c r="C1124" t="inlineStr">
        <is>
          <t>GESTIÓN AMBIENTAL</t>
        </is>
      </c>
      <c r="D1124" t="inlineStr">
        <is>
          <t>Mensual</t>
        </is>
      </c>
      <c r="E1124" t="inlineStr">
        <is>
          <t>Negativo</t>
        </is>
      </c>
      <c r="F1124" s="105" t="n">
        <v>45351</v>
      </c>
      <c r="G1124" t="inlineStr">
        <is>
          <t>214-2024-02-29</t>
        </is>
      </c>
      <c r="H1124" t="inlineStr">
        <is>
          <t>Sede Posgrado-Calle 85</t>
        </is>
      </c>
      <c r="I1124" t="n">
        <v>7500</v>
      </c>
      <c r="J1124" t="n">
        <v>0</v>
      </c>
      <c r="L1124" t="n">
        <v>0</v>
      </c>
      <c r="M1124" t="n">
        <v>0</v>
      </c>
    </row>
    <row r="1125">
      <c r="A1125" t="n">
        <v>214</v>
      </c>
      <c r="B1125" t="inlineStr">
        <is>
          <t>Generación de Residuos Sólidos Mensual</t>
        </is>
      </c>
      <c r="C1125" t="inlineStr">
        <is>
          <t>GESTIÓN AMBIENTAL</t>
        </is>
      </c>
      <c r="D1125" t="inlineStr">
        <is>
          <t>Mensual</t>
        </is>
      </c>
      <c r="E1125" t="inlineStr">
        <is>
          <t>Negativo</t>
        </is>
      </c>
      <c r="F1125" s="105" t="n">
        <v>45351</v>
      </c>
      <c r="G1125" t="inlineStr">
        <is>
          <t>214-2024-02-29</t>
        </is>
      </c>
      <c r="H1125" t="inlineStr">
        <is>
          <t>Campus-Medellín</t>
        </is>
      </c>
      <c r="I1125" t="n">
        <v>1000</v>
      </c>
      <c r="J1125" t="n">
        <v>1770.5</v>
      </c>
      <c r="L1125" t="n">
        <v>149.3</v>
      </c>
      <c r="M1125" t="n">
        <v>1621.2</v>
      </c>
    </row>
    <row r="1126">
      <c r="A1126" t="n">
        <v>214</v>
      </c>
      <c r="B1126" t="inlineStr">
        <is>
          <t>Generación de Residuos Sólidos Mensual</t>
        </is>
      </c>
      <c r="C1126" t="inlineStr">
        <is>
          <t>GESTIÓN AMBIENTAL</t>
        </is>
      </c>
      <c r="D1126" t="inlineStr">
        <is>
          <t>Mensual</t>
        </is>
      </c>
      <c r="E1126" t="inlineStr">
        <is>
          <t>Negativo</t>
        </is>
      </c>
      <c r="F1126" s="105" t="n">
        <v>45351</v>
      </c>
      <c r="G1126" t="inlineStr">
        <is>
          <t>214-2024-02-29</t>
        </is>
      </c>
      <c r="H1126" t="inlineStr">
        <is>
          <t>Sede Bienestar - Medellín</t>
        </is>
      </c>
      <c r="I1126" t="n">
        <v>1</v>
      </c>
      <c r="J1126" t="n">
        <v>0</v>
      </c>
      <c r="L1126" t="n">
        <v>0</v>
      </c>
      <c r="M1126" t="n">
        <v>0</v>
      </c>
    </row>
    <row r="1127">
      <c r="A1127" t="n">
        <v>214</v>
      </c>
      <c r="B1127" t="inlineStr">
        <is>
          <t>Generación de Residuos Sólidos Mensual</t>
        </is>
      </c>
      <c r="C1127" t="inlineStr">
        <is>
          <t>GESTIÓN AMBIENTAL</t>
        </is>
      </c>
      <c r="D1127" t="inlineStr">
        <is>
          <t>Mensual</t>
        </is>
      </c>
      <c r="E1127" t="inlineStr">
        <is>
          <t>Negativo</t>
        </is>
      </c>
      <c r="F1127" s="105" t="n">
        <v>45351</v>
      </c>
      <c r="G1127" t="inlineStr">
        <is>
          <t>214-2024-02-29</t>
        </is>
      </c>
      <c r="H1127" t="inlineStr">
        <is>
          <t>Consultorio Psicología - Medellin</t>
        </is>
      </c>
      <c r="I1127" t="n">
        <v>1</v>
      </c>
      <c r="J1127" t="n">
        <v>25</v>
      </c>
      <c r="L1127" t="n">
        <v>14</v>
      </c>
      <c r="M1127" t="n">
        <v>11</v>
      </c>
    </row>
    <row r="1128">
      <c r="A1128" t="n">
        <v>217</v>
      </c>
      <c r="B1128" t="inlineStr">
        <is>
          <t>Aprovechamiento de Residuos</t>
        </is>
      </c>
      <c r="C1128" t="inlineStr">
        <is>
          <t>GESTIÓN AMBIENTAL</t>
        </is>
      </c>
      <c r="D1128" t="inlineStr">
        <is>
          <t>Mensual</t>
        </is>
      </c>
      <c r="E1128" t="inlineStr">
        <is>
          <t>Positivo</t>
        </is>
      </c>
      <c r="F1128" s="105" t="n">
        <v>45351</v>
      </c>
      <c r="G1128" t="inlineStr">
        <is>
          <t>217-2024-02-29</t>
        </is>
      </c>
      <c r="H1128" t="inlineStr">
        <is>
          <t>City Campus</t>
        </is>
      </c>
      <c r="I1128" t="n">
        <v>20</v>
      </c>
      <c r="J1128" t="n">
        <v>1.120000004768372</v>
      </c>
      <c r="L1128" t="n">
        <v>11.1</v>
      </c>
      <c r="M1128" t="n">
        <v>978.3</v>
      </c>
      <c r="AS1128" t="n">
        <v>11.1</v>
      </c>
    </row>
    <row r="1129">
      <c r="A1129" t="n">
        <v>217</v>
      </c>
      <c r="B1129" t="inlineStr">
        <is>
          <t>Aprovechamiento de Residuos</t>
        </is>
      </c>
      <c r="C1129" t="inlineStr">
        <is>
          <t>GESTIÓN AMBIENTAL</t>
        </is>
      </c>
      <c r="D1129" t="inlineStr">
        <is>
          <t>Mensual</t>
        </is>
      </c>
      <c r="E1129" t="inlineStr">
        <is>
          <t>Positivo</t>
        </is>
      </c>
      <c r="F1129" s="105" t="n">
        <v>45351</v>
      </c>
      <c r="G1129" t="inlineStr">
        <is>
          <t>217-2024-02-29</t>
        </is>
      </c>
      <c r="H1129" t="inlineStr">
        <is>
          <t>Consultorio Psicología - Medellin</t>
        </is>
      </c>
      <c r="I1129" t="n">
        <v>20</v>
      </c>
      <c r="J1129" t="n">
        <v>56</v>
      </c>
      <c r="L1129" t="n">
        <v>14</v>
      </c>
      <c r="M1129" t="n">
        <v>11</v>
      </c>
      <c r="AS1129" t="n">
        <v>14</v>
      </c>
    </row>
    <row r="1130">
      <c r="A1130" t="n">
        <v>218</v>
      </c>
      <c r="B1130" t="inlineStr">
        <is>
          <t>Consumo de Energía Eléctrica kWh Mensual</t>
        </is>
      </c>
      <c r="C1130" t="inlineStr">
        <is>
          <t>GESTIÓN AMBIENTAL</t>
        </is>
      </c>
      <c r="D1130" t="inlineStr">
        <is>
          <t>Mensual</t>
        </is>
      </c>
      <c r="E1130" t="inlineStr">
        <is>
          <t>Negativo</t>
        </is>
      </c>
      <c r="F1130" s="105" t="n">
        <v>45351</v>
      </c>
      <c r="G1130" t="inlineStr">
        <is>
          <t>218-2024-02-29</t>
        </is>
      </c>
      <c r="H1130" t="inlineStr">
        <is>
          <t>Campus Bogotá</t>
        </is>
      </c>
      <c r="I1130" t="n">
        <v>76000</v>
      </c>
      <c r="J1130" t="n">
        <v>70094.9921875</v>
      </c>
      <c r="N1130" t="n">
        <v>70094.99000000001</v>
      </c>
    </row>
    <row r="1131">
      <c r="A1131" t="n">
        <v>218</v>
      </c>
      <c r="B1131" t="inlineStr">
        <is>
          <t>Consumo de Energía Eléctrica kWh Mensual</t>
        </is>
      </c>
      <c r="C1131" t="inlineStr">
        <is>
          <t>GESTIÓN AMBIENTAL</t>
        </is>
      </c>
      <c r="D1131" t="inlineStr">
        <is>
          <t>Mensual</t>
        </is>
      </c>
      <c r="E1131" t="inlineStr">
        <is>
          <t>Negativo</t>
        </is>
      </c>
      <c r="F1131" s="105" t="n">
        <v>45351</v>
      </c>
      <c r="G1131" t="inlineStr">
        <is>
          <t>218-2024-02-29</t>
        </is>
      </c>
      <c r="H1131" t="inlineStr">
        <is>
          <t>City Campus</t>
        </is>
      </c>
      <c r="I1131" t="n">
        <v>76000</v>
      </c>
      <c r="J1131" t="n">
        <v>48450</v>
      </c>
      <c r="N1131" t="n">
        <v>48450</v>
      </c>
    </row>
    <row r="1132">
      <c r="A1132" t="n">
        <v>218</v>
      </c>
      <c r="B1132" t="inlineStr">
        <is>
          <t>Consumo de Energía Eléctrica kWh Mensual</t>
        </is>
      </c>
      <c r="C1132" t="inlineStr">
        <is>
          <t>GESTIÓN AMBIENTAL</t>
        </is>
      </c>
      <c r="D1132" t="inlineStr">
        <is>
          <t>Mensual</t>
        </is>
      </c>
      <c r="E1132" t="inlineStr">
        <is>
          <t>Negativo</t>
        </is>
      </c>
      <c r="F1132" s="105" t="n">
        <v>45351</v>
      </c>
      <c r="G1132" t="inlineStr">
        <is>
          <t>218-2024-02-29</t>
        </is>
      </c>
      <c r="H1132" t="inlineStr">
        <is>
          <t>Sede Posgrado-Calle 85</t>
        </is>
      </c>
      <c r="I1132" t="n">
        <v>5000</v>
      </c>
      <c r="J1132" t="n">
        <v>4140</v>
      </c>
      <c r="N1132" t="n">
        <v>4140</v>
      </c>
    </row>
    <row r="1133">
      <c r="A1133" t="n">
        <v>218</v>
      </c>
      <c r="B1133" t="inlineStr">
        <is>
          <t>Consumo de Energía Eléctrica kWh Mensual</t>
        </is>
      </c>
      <c r="C1133" t="inlineStr">
        <is>
          <t>GESTIÓN AMBIENTAL</t>
        </is>
      </c>
      <c r="D1133" t="inlineStr">
        <is>
          <t>Mensual</t>
        </is>
      </c>
      <c r="E1133" t="inlineStr">
        <is>
          <t>Negativo</t>
        </is>
      </c>
      <c r="F1133" s="105" t="n">
        <v>45351</v>
      </c>
      <c r="G1133" t="inlineStr">
        <is>
          <t>218-2024-02-29</t>
        </is>
      </c>
      <c r="H1133" t="inlineStr">
        <is>
          <t>Campus-Medellín</t>
        </is>
      </c>
      <c r="I1133" t="n">
        <v>24000</v>
      </c>
      <c r="J1133" t="n">
        <v>10173</v>
      </c>
      <c r="N1133" t="n">
        <v>10173</v>
      </c>
    </row>
    <row r="1134">
      <c r="A1134" t="n">
        <v>218</v>
      </c>
      <c r="B1134" t="inlineStr">
        <is>
          <t>Consumo de Energía Eléctrica kWh Mensual</t>
        </is>
      </c>
      <c r="C1134" t="inlineStr">
        <is>
          <t>GESTIÓN AMBIENTAL</t>
        </is>
      </c>
      <c r="D1134" t="inlineStr">
        <is>
          <t>Mensual</t>
        </is>
      </c>
      <c r="E1134" t="inlineStr">
        <is>
          <t>Negativo</t>
        </is>
      </c>
      <c r="F1134" s="105" t="n">
        <v>45351</v>
      </c>
      <c r="G1134" t="inlineStr">
        <is>
          <t>218-2024-02-29</t>
        </is>
      </c>
      <c r="H1134" t="inlineStr">
        <is>
          <t>Sede Bienestar - Medellín</t>
        </is>
      </c>
      <c r="I1134" t="n">
        <v>5000</v>
      </c>
      <c r="J1134" t="n">
        <v>1680</v>
      </c>
      <c r="N1134" t="n">
        <v>1680</v>
      </c>
    </row>
    <row r="1135">
      <c r="A1135" t="n">
        <v>218</v>
      </c>
      <c r="B1135" t="inlineStr">
        <is>
          <t>Consumo de Energía Eléctrica kWh Mensual</t>
        </is>
      </c>
      <c r="C1135" t="inlineStr">
        <is>
          <t>GESTIÓN AMBIENTAL</t>
        </is>
      </c>
      <c r="D1135" t="inlineStr">
        <is>
          <t>Mensual</t>
        </is>
      </c>
      <c r="E1135" t="inlineStr">
        <is>
          <t>Negativo</t>
        </is>
      </c>
      <c r="F1135" s="105" t="n">
        <v>45351</v>
      </c>
      <c r="G1135" t="inlineStr">
        <is>
          <t>218-2024-02-29</t>
        </is>
      </c>
      <c r="H1135" t="inlineStr">
        <is>
          <t>Consultorio Psicología - Medellin</t>
        </is>
      </c>
      <c r="I1135" t="n">
        <v>2000</v>
      </c>
      <c r="J1135" t="n">
        <v>1138</v>
      </c>
      <c r="N1135" t="n">
        <v>1138</v>
      </c>
    </row>
    <row r="1136">
      <c r="A1136" t="n">
        <v>225</v>
      </c>
      <c r="B1136" t="inlineStr">
        <is>
          <t>Acciones para el Cuidado y Mantenimiento de las Especies de Flora y el Suelo de las Áreas Naturales</t>
        </is>
      </c>
      <c r="C1136" t="inlineStr">
        <is>
          <t>GESTIÓN AMBIENTAL</t>
        </is>
      </c>
      <c r="D1136" t="inlineStr">
        <is>
          <t>Mensual</t>
        </is>
      </c>
      <c r="E1136" t="inlineStr">
        <is>
          <t>Positivo</t>
        </is>
      </c>
      <c r="F1136" s="105" t="n">
        <v>45351</v>
      </c>
      <c r="G1136" t="inlineStr">
        <is>
          <t>225-2024-02-29</t>
        </is>
      </c>
      <c r="H1136" t="inlineStr">
        <is>
          <t>Consultorio Psicología - Medellin</t>
        </is>
      </c>
      <c r="I1136" t="n">
        <v>1</v>
      </c>
      <c r="J1136" t="n">
        <v>1</v>
      </c>
      <c r="AT1136" t="n">
        <v>1</v>
      </c>
    </row>
    <row r="1137">
      <c r="A1137" t="n">
        <v>434</v>
      </c>
      <c r="B1137" t="inlineStr">
        <is>
          <t>Generación de Residuos Peligrosos Mensual</t>
        </is>
      </c>
      <c r="C1137" t="inlineStr">
        <is>
          <t>GESTIÓN AMBIENTAL</t>
        </is>
      </c>
      <c r="D1137" t="inlineStr">
        <is>
          <t>Mensual</t>
        </is>
      </c>
      <c r="E1137" t="inlineStr">
        <is>
          <t>Negativo</t>
        </is>
      </c>
      <c r="F1137" s="105" t="n">
        <v>45351</v>
      </c>
      <c r="G1137" t="inlineStr">
        <is>
          <t>434-2024-02-29</t>
        </is>
      </c>
      <c r="H1137" t="inlineStr">
        <is>
          <t>Campus Bogotá</t>
        </is>
      </c>
      <c r="I1137" t="n">
        <v>100</v>
      </c>
      <c r="J1137" t="n">
        <v>95.84999847412109</v>
      </c>
      <c r="AV1137" t="n">
        <v>95.84999999999999</v>
      </c>
    </row>
    <row r="1138">
      <c r="A1138" t="n">
        <v>434</v>
      </c>
      <c r="B1138" t="inlineStr">
        <is>
          <t>Generación de Residuos Peligrosos Mensual</t>
        </is>
      </c>
      <c r="C1138" t="inlineStr">
        <is>
          <t>GESTIÓN AMBIENTAL</t>
        </is>
      </c>
      <c r="D1138" t="inlineStr">
        <is>
          <t>Mensual</t>
        </is>
      </c>
      <c r="E1138" t="inlineStr">
        <is>
          <t>Negativo</t>
        </is>
      </c>
      <c r="F1138" s="105" t="n">
        <v>45351</v>
      </c>
      <c r="G1138" t="inlineStr">
        <is>
          <t>434-2024-02-29</t>
        </is>
      </c>
      <c r="H1138" t="inlineStr">
        <is>
          <t>City Campus</t>
        </is>
      </c>
      <c r="I1138" t="n">
        <v>25</v>
      </c>
      <c r="J1138" t="n">
        <v>1.25</v>
      </c>
      <c r="AV1138" t="n">
        <v>1.25</v>
      </c>
    </row>
    <row r="1139">
      <c r="A1139" t="n">
        <v>434</v>
      </c>
      <c r="B1139" t="inlineStr">
        <is>
          <t>Generación de Residuos Peligrosos Mensual</t>
        </is>
      </c>
      <c r="C1139" t="inlineStr">
        <is>
          <t>GESTIÓN AMBIENTAL</t>
        </is>
      </c>
      <c r="D1139" t="inlineStr">
        <is>
          <t>Mensual</t>
        </is>
      </c>
      <c r="E1139" t="inlineStr">
        <is>
          <t>Negativo</t>
        </is>
      </c>
      <c r="F1139" s="105" t="n">
        <v>45351</v>
      </c>
      <c r="G1139" t="inlineStr">
        <is>
          <t>434-2024-02-29</t>
        </is>
      </c>
      <c r="H1139" t="inlineStr">
        <is>
          <t>Sede Posgrado-Calle 85</t>
        </is>
      </c>
      <c r="I1139" t="n">
        <v>200</v>
      </c>
      <c r="J1139" t="n">
        <v>0</v>
      </c>
      <c r="AV1139" t="n">
        <v>0</v>
      </c>
    </row>
    <row r="1140">
      <c r="A1140" t="n">
        <v>434</v>
      </c>
      <c r="B1140" t="inlineStr">
        <is>
          <t>Generación de Residuos Peligrosos Mensual</t>
        </is>
      </c>
      <c r="C1140" t="inlineStr">
        <is>
          <t>GESTIÓN AMBIENTAL</t>
        </is>
      </c>
      <c r="D1140" t="inlineStr">
        <is>
          <t>Mensual</t>
        </is>
      </c>
      <c r="E1140" t="inlineStr">
        <is>
          <t>Negativo</t>
        </is>
      </c>
      <c r="F1140" s="105" t="n">
        <v>45351</v>
      </c>
      <c r="G1140" t="inlineStr">
        <is>
          <t>434-2024-02-29</t>
        </is>
      </c>
      <c r="H1140" t="inlineStr">
        <is>
          <t>Campus-Medellín</t>
        </is>
      </c>
      <c r="I1140" t="n">
        <v>25</v>
      </c>
      <c r="J1140" t="n">
        <v>10.39999961853027</v>
      </c>
      <c r="AV1140" t="n">
        <v>10.4</v>
      </c>
    </row>
    <row r="1141">
      <c r="A1141" t="n">
        <v>434</v>
      </c>
      <c r="B1141" t="inlineStr">
        <is>
          <t>Generación de Residuos Peligrosos Mensual</t>
        </is>
      </c>
      <c r="C1141" t="inlineStr">
        <is>
          <t>GESTIÓN AMBIENTAL</t>
        </is>
      </c>
      <c r="D1141" t="inlineStr">
        <is>
          <t>Mensual</t>
        </is>
      </c>
      <c r="E1141" t="inlineStr">
        <is>
          <t>Negativo</t>
        </is>
      </c>
      <c r="F1141" s="105" t="n">
        <v>45351</v>
      </c>
      <c r="G1141" t="inlineStr">
        <is>
          <t>434-2024-02-29</t>
        </is>
      </c>
      <c r="H1141" t="inlineStr">
        <is>
          <t>Sede Bienestar - Medellín</t>
        </is>
      </c>
      <c r="I1141" t="n">
        <v>10</v>
      </c>
      <c r="J1141" t="n">
        <v>0.2000000029802322</v>
      </c>
      <c r="AV1141" t="n">
        <v>0.2</v>
      </c>
    </row>
    <row r="1142">
      <c r="A1142" t="n">
        <v>434</v>
      </c>
      <c r="B1142" t="inlineStr">
        <is>
          <t>Generación de Residuos Peligrosos Mensual</t>
        </is>
      </c>
      <c r="C1142" t="inlineStr">
        <is>
          <t>GESTIÓN AMBIENTAL</t>
        </is>
      </c>
      <c r="D1142" t="inlineStr">
        <is>
          <t>Mensual</t>
        </is>
      </c>
      <c r="E1142" t="inlineStr">
        <is>
          <t>Negativo</t>
        </is>
      </c>
      <c r="F1142" s="105" t="n">
        <v>45351</v>
      </c>
      <c r="G1142" t="inlineStr">
        <is>
          <t>434-2024-02-29</t>
        </is>
      </c>
      <c r="H1142" t="inlineStr">
        <is>
          <t>Consultorio Psicología - Medellin</t>
        </is>
      </c>
      <c r="I1142" t="n">
        <v>200</v>
      </c>
      <c r="J1142" t="n">
        <v>0</v>
      </c>
      <c r="AV1142" t="n">
        <v>0</v>
      </c>
    </row>
    <row r="1143">
      <c r="A1143" t="n">
        <v>436</v>
      </c>
      <c r="B1143" t="inlineStr">
        <is>
          <t>ANS documentos operativos</t>
        </is>
      </c>
      <c r="C1143" t="inlineStr">
        <is>
          <t>Gestión de calidad</t>
        </is>
      </c>
      <c r="D1143" t="inlineStr">
        <is>
          <t>Mensual</t>
        </is>
      </c>
      <c r="E1143" t="inlineStr">
        <is>
          <t>Negativo</t>
        </is>
      </c>
      <c r="F1143" s="105" t="n">
        <v>45351</v>
      </c>
      <c r="G1143" t="inlineStr">
        <is>
          <t>436-2024-02-29</t>
        </is>
      </c>
      <c r="H1143" t="inlineStr">
        <is>
          <t>Solicitud Documental</t>
        </is>
      </c>
      <c r="I1143" t="n">
        <v>14</v>
      </c>
      <c r="J1143" t="n">
        <v>6.099999904632568</v>
      </c>
      <c r="CP1143" t="n">
        <v>6.1</v>
      </c>
    </row>
    <row r="1144">
      <c r="A1144" t="n">
        <v>436</v>
      </c>
      <c r="B1144" t="inlineStr">
        <is>
          <t>ANS documentos operativos</t>
        </is>
      </c>
      <c r="C1144" t="inlineStr">
        <is>
          <t>Gestión de calidad</t>
        </is>
      </c>
      <c r="D1144" t="inlineStr">
        <is>
          <t>Mensual</t>
        </is>
      </c>
      <c r="E1144" t="inlineStr">
        <is>
          <t>Negativo</t>
        </is>
      </c>
      <c r="F1144" s="105" t="n">
        <v>45351</v>
      </c>
      <c r="G1144" t="inlineStr">
        <is>
          <t>436-2024-02-29</t>
        </is>
      </c>
      <c r="H1144" t="inlineStr">
        <is>
          <t>Flujo de aprobación</t>
        </is>
      </c>
      <c r="I1144" t="n">
        <v>7</v>
      </c>
      <c r="J1144" t="n">
        <v>7.400000095367432</v>
      </c>
      <c r="CP1144" t="n">
        <v>7.4</v>
      </c>
    </row>
    <row r="1145">
      <c r="A1145" t="n">
        <v>208</v>
      </c>
      <c r="B1145" t="inlineStr">
        <is>
          <t>Consumo de Agua m3 Mensual</t>
        </is>
      </c>
      <c r="C1145" t="inlineStr">
        <is>
          <t>GESTIÓN AMBIENTAL</t>
        </is>
      </c>
      <c r="D1145" t="inlineStr">
        <is>
          <t>Mensual</t>
        </is>
      </c>
      <c r="E1145" t="inlineStr">
        <is>
          <t>Negativo</t>
        </is>
      </c>
      <c r="F1145" s="105" t="n">
        <v>45382</v>
      </c>
      <c r="G1145" t="inlineStr">
        <is>
          <t>208-2024-03-31</t>
        </is>
      </c>
      <c r="H1145" t="inlineStr">
        <is>
          <t>Campus Bogotá</t>
        </is>
      </c>
      <c r="I1145" t="n">
        <v>950</v>
      </c>
      <c r="J1145" t="n">
        <v>850</v>
      </c>
      <c r="K1145" t="n">
        <v>850</v>
      </c>
    </row>
    <row r="1146">
      <c r="A1146" t="n">
        <v>208</v>
      </c>
      <c r="B1146" t="inlineStr">
        <is>
          <t>Consumo de Agua m3 Mensual</t>
        </is>
      </c>
      <c r="C1146" t="inlineStr">
        <is>
          <t>GESTIÓN AMBIENTAL</t>
        </is>
      </c>
      <c r="D1146" t="inlineStr">
        <is>
          <t>Mensual</t>
        </is>
      </c>
      <c r="E1146" t="inlineStr">
        <is>
          <t>Negativo</t>
        </is>
      </c>
      <c r="F1146" s="105" t="n">
        <v>45382</v>
      </c>
      <c r="G1146" t="inlineStr">
        <is>
          <t>208-2024-03-31</t>
        </is>
      </c>
      <c r="H1146" t="inlineStr">
        <is>
          <t>City Campus</t>
        </is>
      </c>
      <c r="I1146" t="n">
        <v>350</v>
      </c>
      <c r="J1146" t="n">
        <v>317.5</v>
      </c>
      <c r="K1146" t="n">
        <v>317.5</v>
      </c>
    </row>
    <row r="1147">
      <c r="A1147" t="n">
        <v>208</v>
      </c>
      <c r="B1147" t="inlineStr">
        <is>
          <t>Consumo de Agua m3 Mensual</t>
        </is>
      </c>
      <c r="C1147" t="inlineStr">
        <is>
          <t>GESTIÓN AMBIENTAL</t>
        </is>
      </c>
      <c r="D1147" t="inlineStr">
        <is>
          <t>Mensual</t>
        </is>
      </c>
      <c r="E1147" t="inlineStr">
        <is>
          <t>Negativo</t>
        </is>
      </c>
      <c r="F1147" s="105" t="n">
        <v>45382</v>
      </c>
      <c r="G1147" t="inlineStr">
        <is>
          <t>208-2024-03-31</t>
        </is>
      </c>
      <c r="H1147" t="inlineStr">
        <is>
          <t>Sede Posgrado-Calle 85</t>
        </is>
      </c>
      <c r="I1147" t="n">
        <v>25</v>
      </c>
      <c r="J1147" t="n">
        <v>19</v>
      </c>
      <c r="K1147" t="n">
        <v>19</v>
      </c>
    </row>
    <row r="1148">
      <c r="A1148" t="n">
        <v>208</v>
      </c>
      <c r="B1148" t="inlineStr">
        <is>
          <t>Consumo de Agua m3 Mensual</t>
        </is>
      </c>
      <c r="C1148" t="inlineStr">
        <is>
          <t>GESTIÓN AMBIENTAL</t>
        </is>
      </c>
      <c r="D1148" t="inlineStr">
        <is>
          <t>Mensual</t>
        </is>
      </c>
      <c r="E1148" t="inlineStr">
        <is>
          <t>Negativo</t>
        </is>
      </c>
      <c r="F1148" s="105" t="n">
        <v>45382</v>
      </c>
      <c r="G1148" t="inlineStr">
        <is>
          <t>208-2024-03-31</t>
        </is>
      </c>
      <c r="H1148" t="inlineStr">
        <is>
          <t>Sede Bienestar - Medellín</t>
        </is>
      </c>
      <c r="I1148" t="n">
        <v>0</v>
      </c>
      <c r="J1148" t="n">
        <v>0</v>
      </c>
      <c r="K1148" t="n">
        <v>0</v>
      </c>
    </row>
    <row r="1149">
      <c r="A1149" t="n">
        <v>208</v>
      </c>
      <c r="B1149" t="inlineStr">
        <is>
          <t>Consumo de Agua m3 Mensual</t>
        </is>
      </c>
      <c r="C1149" t="inlineStr">
        <is>
          <t>GESTIÓN AMBIENTAL</t>
        </is>
      </c>
      <c r="D1149" t="inlineStr">
        <is>
          <t>Mensual</t>
        </is>
      </c>
      <c r="E1149" t="inlineStr">
        <is>
          <t>Negativo</t>
        </is>
      </c>
      <c r="F1149" s="105" t="n">
        <v>45382</v>
      </c>
      <c r="G1149" t="inlineStr">
        <is>
          <t>208-2024-03-31</t>
        </is>
      </c>
      <c r="H1149" t="inlineStr">
        <is>
          <t>Consultorio Psicología - Medellin</t>
        </is>
      </c>
      <c r="I1149" t="n">
        <v>25</v>
      </c>
      <c r="J1149" t="n">
        <v>7</v>
      </c>
      <c r="K1149" t="n">
        <v>7</v>
      </c>
    </row>
    <row r="1150">
      <c r="A1150" t="n">
        <v>208</v>
      </c>
      <c r="B1150" t="inlineStr">
        <is>
          <t>Consumo de Agua m3 Mensual</t>
        </is>
      </c>
      <c r="C1150" t="inlineStr">
        <is>
          <t>GESTIÓN AMBIENTAL</t>
        </is>
      </c>
      <c r="D1150" t="inlineStr">
        <is>
          <t>Mensual</t>
        </is>
      </c>
      <c r="E1150" t="inlineStr">
        <is>
          <t>Negativo</t>
        </is>
      </c>
      <c r="F1150" s="105" t="n">
        <v>45382</v>
      </c>
      <c r="G1150" t="inlineStr">
        <is>
          <t>208-2024-03-31</t>
        </is>
      </c>
      <c r="H1150" t="inlineStr">
        <is>
          <t>Campus-Medellín</t>
        </is>
      </c>
      <c r="I1150" t="n">
        <v>200</v>
      </c>
      <c r="J1150" t="n">
        <v>281</v>
      </c>
      <c r="K1150" t="n">
        <v>281</v>
      </c>
    </row>
    <row r="1151">
      <c r="A1151" t="n">
        <v>214</v>
      </c>
      <c r="B1151" t="inlineStr">
        <is>
          <t>Generación de Residuos Sólidos Mensual</t>
        </is>
      </c>
      <c r="C1151" t="inlineStr">
        <is>
          <t>GESTIÓN AMBIENTAL</t>
        </is>
      </c>
      <c r="D1151" t="inlineStr">
        <is>
          <t>Mensual</t>
        </is>
      </c>
      <c r="E1151" t="inlineStr">
        <is>
          <t>Negativo</t>
        </is>
      </c>
      <c r="F1151" s="105" t="n">
        <v>45382</v>
      </c>
      <c r="G1151" t="inlineStr">
        <is>
          <t>214-2024-03-31</t>
        </is>
      </c>
      <c r="H1151" t="inlineStr">
        <is>
          <t>Campus Bogotá</t>
        </is>
      </c>
      <c r="I1151" t="n">
        <v>5500</v>
      </c>
      <c r="J1151" t="n">
        <v>3775</v>
      </c>
      <c r="L1151" t="n">
        <v>652</v>
      </c>
      <c r="M1151" t="n">
        <v>3112</v>
      </c>
    </row>
    <row r="1152">
      <c r="A1152" t="n">
        <v>214</v>
      </c>
      <c r="B1152" t="inlineStr">
        <is>
          <t>Generación de Residuos Sólidos Mensual</t>
        </is>
      </c>
      <c r="C1152" t="inlineStr">
        <is>
          <t>GESTIÓN AMBIENTAL</t>
        </is>
      </c>
      <c r="D1152" t="inlineStr">
        <is>
          <t>Mensual</t>
        </is>
      </c>
      <c r="E1152" t="inlineStr">
        <is>
          <t>Negativo</t>
        </is>
      </c>
      <c r="F1152" s="105" t="n">
        <v>45382</v>
      </c>
      <c r="G1152" t="inlineStr">
        <is>
          <t>214-2024-03-31</t>
        </is>
      </c>
      <c r="H1152" t="inlineStr">
        <is>
          <t>City Campus</t>
        </is>
      </c>
      <c r="I1152" t="n">
        <v>1000</v>
      </c>
      <c r="J1152" t="n">
        <v>1023.840026855469</v>
      </c>
      <c r="L1152" t="n">
        <v>227.4</v>
      </c>
      <c r="M1152" t="n">
        <v>796.4400000000001</v>
      </c>
    </row>
    <row r="1153">
      <c r="A1153" t="n">
        <v>214</v>
      </c>
      <c r="B1153" t="inlineStr">
        <is>
          <t>Generación de Residuos Sólidos Mensual</t>
        </is>
      </c>
      <c r="C1153" t="inlineStr">
        <is>
          <t>GESTIÓN AMBIENTAL</t>
        </is>
      </c>
      <c r="D1153" t="inlineStr">
        <is>
          <t>Mensual</t>
        </is>
      </c>
      <c r="E1153" t="inlineStr">
        <is>
          <t>Negativo</t>
        </is>
      </c>
      <c r="F1153" s="105" t="n">
        <v>45382</v>
      </c>
      <c r="G1153" t="inlineStr">
        <is>
          <t>214-2024-03-31</t>
        </is>
      </c>
      <c r="H1153" t="inlineStr">
        <is>
          <t>Sede Posgrado-Calle 85</t>
        </is>
      </c>
      <c r="I1153" t="n">
        <v>7500</v>
      </c>
      <c r="J1153" t="n">
        <v>0</v>
      </c>
      <c r="L1153" t="n">
        <v>0</v>
      </c>
      <c r="M1153" t="n">
        <v>0</v>
      </c>
    </row>
    <row r="1154">
      <c r="A1154" t="n">
        <v>214</v>
      </c>
      <c r="B1154" t="inlineStr">
        <is>
          <t>Generación de Residuos Sólidos Mensual</t>
        </is>
      </c>
      <c r="C1154" t="inlineStr">
        <is>
          <t>GESTIÓN AMBIENTAL</t>
        </is>
      </c>
      <c r="D1154" t="inlineStr">
        <is>
          <t>Mensual</t>
        </is>
      </c>
      <c r="E1154" t="inlineStr">
        <is>
          <t>Negativo</t>
        </is>
      </c>
      <c r="F1154" s="105" t="n">
        <v>45382</v>
      </c>
      <c r="G1154" t="inlineStr">
        <is>
          <t>214-2024-03-31</t>
        </is>
      </c>
      <c r="H1154" t="inlineStr">
        <is>
          <t>Campus-Medellín</t>
        </is>
      </c>
      <c r="I1154" t="n">
        <v>1000</v>
      </c>
      <c r="J1154" t="n">
        <v>727.6900024414062</v>
      </c>
      <c r="L1154" t="n">
        <v>120.39</v>
      </c>
      <c r="M1154" t="n">
        <v>607.2</v>
      </c>
    </row>
    <row r="1155">
      <c r="A1155" t="n">
        <v>214</v>
      </c>
      <c r="B1155" t="inlineStr">
        <is>
          <t>Generación de Residuos Sólidos Mensual</t>
        </is>
      </c>
      <c r="C1155" t="inlineStr">
        <is>
          <t>GESTIÓN AMBIENTAL</t>
        </is>
      </c>
      <c r="D1155" t="inlineStr">
        <is>
          <t>Mensual</t>
        </is>
      </c>
      <c r="E1155" t="inlineStr">
        <is>
          <t>Negativo</t>
        </is>
      </c>
      <c r="F1155" s="105" t="n">
        <v>45382</v>
      </c>
      <c r="G1155" t="inlineStr">
        <is>
          <t>214-2024-03-31</t>
        </is>
      </c>
      <c r="H1155" t="inlineStr">
        <is>
          <t>Sede Bienestar - Medellín</t>
        </is>
      </c>
      <c r="I1155" t="n">
        <v>1</v>
      </c>
      <c r="J1155" t="n">
        <v>0</v>
      </c>
      <c r="L1155" t="n">
        <v>0</v>
      </c>
      <c r="M1155" t="n">
        <v>0</v>
      </c>
    </row>
    <row r="1156">
      <c r="A1156" t="n">
        <v>214</v>
      </c>
      <c r="B1156" t="inlineStr">
        <is>
          <t>Generación de Residuos Sólidos Mensual</t>
        </is>
      </c>
      <c r="C1156" t="inlineStr">
        <is>
          <t>GESTIÓN AMBIENTAL</t>
        </is>
      </c>
      <c r="D1156" t="inlineStr">
        <is>
          <t>Mensual</t>
        </is>
      </c>
      <c r="E1156" t="inlineStr">
        <is>
          <t>Negativo</t>
        </is>
      </c>
      <c r="F1156" s="105" t="n">
        <v>45382</v>
      </c>
      <c r="G1156" t="inlineStr">
        <is>
          <t>214-2024-03-31</t>
        </is>
      </c>
      <c r="H1156" t="inlineStr">
        <is>
          <t>Consultorio Psicología - Medellin</t>
        </is>
      </c>
      <c r="I1156" t="n">
        <v>1</v>
      </c>
      <c r="J1156" t="n">
        <v>21.90999984741211</v>
      </c>
      <c r="L1156" t="n">
        <v>9.279999999999999</v>
      </c>
      <c r="M1156" t="n">
        <v>12.63</v>
      </c>
    </row>
    <row r="1157">
      <c r="A1157" t="n">
        <v>217</v>
      </c>
      <c r="B1157" t="inlineStr">
        <is>
          <t>Aprovechamiento de Residuos</t>
        </is>
      </c>
      <c r="C1157" t="inlineStr">
        <is>
          <t>GESTIÓN AMBIENTAL</t>
        </is>
      </c>
      <c r="D1157" t="inlineStr">
        <is>
          <t>Mensual</t>
        </is>
      </c>
      <c r="E1157" t="inlineStr">
        <is>
          <t>Positivo</t>
        </is>
      </c>
      <c r="F1157" s="105" t="n">
        <v>45382</v>
      </c>
      <c r="G1157" t="inlineStr">
        <is>
          <t>217-2024-03-31</t>
        </is>
      </c>
      <c r="H1157" t="inlineStr">
        <is>
          <t>City Campus</t>
        </is>
      </c>
      <c r="I1157" t="n">
        <v>20</v>
      </c>
      <c r="J1157" t="n">
        <v>22.20999908447266</v>
      </c>
      <c r="L1157" t="n">
        <v>227.4</v>
      </c>
      <c r="M1157" t="n">
        <v>796.4400000000001</v>
      </c>
      <c r="AS1157" t="n">
        <v>227.4</v>
      </c>
    </row>
    <row r="1158">
      <c r="A1158" t="n">
        <v>217</v>
      </c>
      <c r="B1158" t="inlineStr">
        <is>
          <t>Aprovechamiento de Residuos</t>
        </is>
      </c>
      <c r="C1158" t="inlineStr">
        <is>
          <t>GESTIÓN AMBIENTAL</t>
        </is>
      </c>
      <c r="D1158" t="inlineStr">
        <is>
          <t>Mensual</t>
        </is>
      </c>
      <c r="E1158" t="inlineStr">
        <is>
          <t>Positivo</t>
        </is>
      </c>
      <c r="F1158" s="105" t="n">
        <v>45382</v>
      </c>
      <c r="G1158" t="inlineStr">
        <is>
          <t>217-2024-03-31</t>
        </is>
      </c>
      <c r="H1158" t="inlineStr">
        <is>
          <t>Consultorio Psicología - Medellin</t>
        </is>
      </c>
      <c r="I1158" t="n">
        <v>20</v>
      </c>
      <c r="J1158" t="n">
        <v>42.36000061035156</v>
      </c>
      <c r="L1158" t="n">
        <v>9.279999999999999</v>
      </c>
      <c r="M1158" t="n">
        <v>12.63</v>
      </c>
      <c r="AS1158" t="n">
        <v>9.279999999999999</v>
      </c>
    </row>
    <row r="1159">
      <c r="A1159" t="n">
        <v>218</v>
      </c>
      <c r="B1159" t="inlineStr">
        <is>
          <t>Consumo de Energía Eléctrica kWh Mensual</t>
        </is>
      </c>
      <c r="C1159" t="inlineStr">
        <is>
          <t>GESTIÓN AMBIENTAL</t>
        </is>
      </c>
      <c r="D1159" t="inlineStr">
        <is>
          <t>Mensual</t>
        </is>
      </c>
      <c r="E1159" t="inlineStr">
        <is>
          <t>Negativo</t>
        </is>
      </c>
      <c r="F1159" s="105" t="n">
        <v>45382</v>
      </c>
      <c r="G1159" t="inlineStr">
        <is>
          <t>218-2024-03-31</t>
        </is>
      </c>
      <c r="H1159" t="inlineStr">
        <is>
          <t>Campus Bogotá</t>
        </is>
      </c>
      <c r="I1159" t="n">
        <v>76000</v>
      </c>
      <c r="J1159" t="n">
        <v>67615.7265625</v>
      </c>
      <c r="N1159" t="n">
        <v>67615.73</v>
      </c>
    </row>
    <row r="1160">
      <c r="A1160" t="n">
        <v>218</v>
      </c>
      <c r="B1160" t="inlineStr">
        <is>
          <t>Consumo de Energía Eléctrica kWh Mensual</t>
        </is>
      </c>
      <c r="C1160" t="inlineStr">
        <is>
          <t>GESTIÓN AMBIENTAL</t>
        </is>
      </c>
      <c r="D1160" t="inlineStr">
        <is>
          <t>Mensual</t>
        </is>
      </c>
      <c r="E1160" t="inlineStr">
        <is>
          <t>Negativo</t>
        </is>
      </c>
      <c r="F1160" s="105" t="n">
        <v>45382</v>
      </c>
      <c r="G1160" t="inlineStr">
        <is>
          <t>218-2024-03-31</t>
        </is>
      </c>
      <c r="H1160" t="inlineStr">
        <is>
          <t>City Campus</t>
        </is>
      </c>
      <c r="I1160" t="n">
        <v>76000</v>
      </c>
      <c r="J1160" t="n">
        <v>51870</v>
      </c>
      <c r="N1160" t="n">
        <v>51870</v>
      </c>
    </row>
    <row r="1161">
      <c r="A1161" t="n">
        <v>218</v>
      </c>
      <c r="B1161" t="inlineStr">
        <is>
          <t>Consumo de Energía Eléctrica kWh Mensual</t>
        </is>
      </c>
      <c r="C1161" t="inlineStr">
        <is>
          <t>GESTIÓN AMBIENTAL</t>
        </is>
      </c>
      <c r="D1161" t="inlineStr">
        <is>
          <t>Mensual</t>
        </is>
      </c>
      <c r="E1161" t="inlineStr">
        <is>
          <t>Negativo</t>
        </is>
      </c>
      <c r="F1161" s="105" t="n">
        <v>45382</v>
      </c>
      <c r="G1161" t="inlineStr">
        <is>
          <t>218-2024-03-31</t>
        </is>
      </c>
      <c r="H1161" t="inlineStr">
        <is>
          <t>Sede Posgrado-Calle 85</t>
        </is>
      </c>
      <c r="I1161" t="n">
        <v>5000</v>
      </c>
      <c r="J1161" t="n">
        <v>4680</v>
      </c>
      <c r="N1161" t="n">
        <v>4680</v>
      </c>
    </row>
    <row r="1162">
      <c r="A1162" t="n">
        <v>218</v>
      </c>
      <c r="B1162" t="inlineStr">
        <is>
          <t>Consumo de Energía Eléctrica kWh Mensual</t>
        </is>
      </c>
      <c r="C1162" t="inlineStr">
        <is>
          <t>GESTIÓN AMBIENTAL</t>
        </is>
      </c>
      <c r="D1162" t="inlineStr">
        <is>
          <t>Mensual</t>
        </is>
      </c>
      <c r="E1162" t="inlineStr">
        <is>
          <t>Negativo</t>
        </is>
      </c>
      <c r="F1162" s="105" t="n">
        <v>45382</v>
      </c>
      <c r="G1162" t="inlineStr">
        <is>
          <t>218-2024-03-31</t>
        </is>
      </c>
      <c r="H1162" t="inlineStr">
        <is>
          <t>Campus-Medellín</t>
        </is>
      </c>
      <c r="I1162" t="n">
        <v>24000</v>
      </c>
      <c r="J1162" t="n">
        <v>24290</v>
      </c>
      <c r="N1162" t="n">
        <v>24290</v>
      </c>
    </row>
    <row r="1163">
      <c r="A1163" t="n">
        <v>218</v>
      </c>
      <c r="B1163" t="inlineStr">
        <is>
          <t>Consumo de Energía Eléctrica kWh Mensual</t>
        </is>
      </c>
      <c r="C1163" t="inlineStr">
        <is>
          <t>GESTIÓN AMBIENTAL</t>
        </is>
      </c>
      <c r="D1163" t="inlineStr">
        <is>
          <t>Mensual</t>
        </is>
      </c>
      <c r="E1163" t="inlineStr">
        <is>
          <t>Negativo</t>
        </is>
      </c>
      <c r="F1163" s="105" t="n">
        <v>45382</v>
      </c>
      <c r="G1163" t="inlineStr">
        <is>
          <t>218-2024-03-31</t>
        </is>
      </c>
      <c r="H1163" t="inlineStr">
        <is>
          <t>Consultorio Psicología - Medellin</t>
        </is>
      </c>
      <c r="I1163" t="n">
        <v>2000</v>
      </c>
      <c r="J1163" t="n">
        <v>1453</v>
      </c>
      <c r="N1163" t="n">
        <v>1453</v>
      </c>
    </row>
    <row r="1164">
      <c r="A1164" t="n">
        <v>218</v>
      </c>
      <c r="B1164" t="inlineStr">
        <is>
          <t>Consumo de Energía Eléctrica kWh Mensual</t>
        </is>
      </c>
      <c r="C1164" t="inlineStr">
        <is>
          <t>GESTIÓN AMBIENTAL</t>
        </is>
      </c>
      <c r="D1164" t="inlineStr">
        <is>
          <t>Mensual</t>
        </is>
      </c>
      <c r="E1164" t="inlineStr">
        <is>
          <t>Negativo</t>
        </is>
      </c>
      <c r="F1164" s="105" t="n">
        <v>45382</v>
      </c>
      <c r="G1164" t="inlineStr">
        <is>
          <t>218-2024-03-31</t>
        </is>
      </c>
      <c r="H1164" t="inlineStr">
        <is>
          <t>Sede Bienestar - Medellín</t>
        </is>
      </c>
      <c r="I1164" t="n">
        <v>5000</v>
      </c>
      <c r="J1164" t="n">
        <v>3840</v>
      </c>
      <c r="N1164" t="n">
        <v>3840</v>
      </c>
    </row>
    <row r="1165">
      <c r="A1165" t="n">
        <v>434</v>
      </c>
      <c r="B1165" t="inlineStr">
        <is>
          <t>Generación de Residuos Peligrosos Mensual</t>
        </is>
      </c>
      <c r="C1165" t="inlineStr">
        <is>
          <t>GESTIÓN AMBIENTAL</t>
        </is>
      </c>
      <c r="D1165" t="inlineStr">
        <is>
          <t>Mensual</t>
        </is>
      </c>
      <c r="E1165" t="inlineStr">
        <is>
          <t>Negativo</t>
        </is>
      </c>
      <c r="F1165" s="105" t="n">
        <v>45382</v>
      </c>
      <c r="G1165" t="inlineStr">
        <is>
          <t>434-2024-03-31</t>
        </is>
      </c>
      <c r="H1165" t="inlineStr">
        <is>
          <t>Campus Bogotá</t>
        </is>
      </c>
      <c r="I1165" t="n">
        <v>100</v>
      </c>
      <c r="J1165" t="n">
        <v>19.04999923706055</v>
      </c>
      <c r="AV1165" t="n">
        <v>19.05</v>
      </c>
    </row>
    <row r="1166">
      <c r="A1166" t="n">
        <v>434</v>
      </c>
      <c r="B1166" t="inlineStr">
        <is>
          <t>Generación de Residuos Peligrosos Mensual</t>
        </is>
      </c>
      <c r="C1166" t="inlineStr">
        <is>
          <t>GESTIÓN AMBIENTAL</t>
        </is>
      </c>
      <c r="D1166" t="inlineStr">
        <is>
          <t>Mensual</t>
        </is>
      </c>
      <c r="E1166" t="inlineStr">
        <is>
          <t>Negativo</t>
        </is>
      </c>
      <c r="F1166" s="105" t="n">
        <v>45382</v>
      </c>
      <c r="G1166" t="inlineStr">
        <is>
          <t>434-2024-03-31</t>
        </is>
      </c>
      <c r="H1166" t="inlineStr">
        <is>
          <t>City Campus</t>
        </is>
      </c>
      <c r="I1166" t="n">
        <v>25</v>
      </c>
      <c r="J1166" t="n">
        <v>1.570000052452087</v>
      </c>
      <c r="AV1166" t="n">
        <v>1.57</v>
      </c>
    </row>
    <row r="1167">
      <c r="A1167" t="n">
        <v>434</v>
      </c>
      <c r="B1167" t="inlineStr">
        <is>
          <t>Generación de Residuos Peligrosos Mensual</t>
        </is>
      </c>
      <c r="C1167" t="inlineStr">
        <is>
          <t>GESTIÓN AMBIENTAL</t>
        </is>
      </c>
      <c r="D1167" t="inlineStr">
        <is>
          <t>Mensual</t>
        </is>
      </c>
      <c r="E1167" t="inlineStr">
        <is>
          <t>Negativo</t>
        </is>
      </c>
      <c r="F1167" s="105" t="n">
        <v>45382</v>
      </c>
      <c r="G1167" t="inlineStr">
        <is>
          <t>434-2024-03-31</t>
        </is>
      </c>
      <c r="H1167" t="inlineStr">
        <is>
          <t>Sede Posgrado-Calle 85</t>
        </is>
      </c>
      <c r="I1167" t="n">
        <v>200</v>
      </c>
      <c r="J1167" t="n">
        <v>0</v>
      </c>
      <c r="AV1167" t="n">
        <v>0</v>
      </c>
    </row>
    <row r="1168">
      <c r="A1168" t="n">
        <v>434</v>
      </c>
      <c r="B1168" t="inlineStr">
        <is>
          <t>Generación de Residuos Peligrosos Mensual</t>
        </is>
      </c>
      <c r="C1168" t="inlineStr">
        <is>
          <t>GESTIÓN AMBIENTAL</t>
        </is>
      </c>
      <c r="D1168" t="inlineStr">
        <is>
          <t>Mensual</t>
        </is>
      </c>
      <c r="E1168" t="inlineStr">
        <is>
          <t>Negativo</t>
        </is>
      </c>
      <c r="F1168" s="105" t="n">
        <v>45382</v>
      </c>
      <c r="G1168" t="inlineStr">
        <is>
          <t>434-2024-03-31</t>
        </is>
      </c>
      <c r="H1168" t="inlineStr">
        <is>
          <t>Campus-Medellín</t>
        </is>
      </c>
      <c r="I1168" t="n">
        <v>25</v>
      </c>
      <c r="J1168" t="n">
        <v>1.200000047683716</v>
      </c>
      <c r="AV1168" t="n">
        <v>1.2</v>
      </c>
    </row>
    <row r="1169">
      <c r="A1169" t="n">
        <v>434</v>
      </c>
      <c r="B1169" t="inlineStr">
        <is>
          <t>Generación de Residuos Peligrosos Mensual</t>
        </is>
      </c>
      <c r="C1169" t="inlineStr">
        <is>
          <t>GESTIÓN AMBIENTAL</t>
        </is>
      </c>
      <c r="D1169" t="inlineStr">
        <is>
          <t>Mensual</t>
        </is>
      </c>
      <c r="E1169" t="inlineStr">
        <is>
          <t>Negativo</t>
        </is>
      </c>
      <c r="F1169" s="105" t="n">
        <v>45382</v>
      </c>
      <c r="G1169" t="inlineStr">
        <is>
          <t>434-2024-03-31</t>
        </is>
      </c>
      <c r="H1169" t="inlineStr">
        <is>
          <t>Sede Bienestar - Medellín</t>
        </is>
      </c>
      <c r="I1169" t="n">
        <v>10</v>
      </c>
      <c r="J1169" t="n">
        <v>0.2000000029802322</v>
      </c>
      <c r="AV1169" t="n">
        <v>0.2</v>
      </c>
    </row>
    <row r="1170">
      <c r="A1170" t="n">
        <v>434</v>
      </c>
      <c r="B1170" t="inlineStr">
        <is>
          <t>Generación de Residuos Peligrosos Mensual</t>
        </is>
      </c>
      <c r="C1170" t="inlineStr">
        <is>
          <t>GESTIÓN AMBIENTAL</t>
        </is>
      </c>
      <c r="D1170" t="inlineStr">
        <is>
          <t>Mensual</t>
        </is>
      </c>
      <c r="E1170" t="inlineStr">
        <is>
          <t>Negativo</t>
        </is>
      </c>
      <c r="F1170" s="105" t="n">
        <v>45382</v>
      </c>
      <c r="G1170" t="inlineStr">
        <is>
          <t>434-2024-03-31</t>
        </is>
      </c>
      <c r="H1170" t="inlineStr">
        <is>
          <t>Consultorio Psicología - Medellin</t>
        </is>
      </c>
      <c r="I1170" t="n">
        <v>200</v>
      </c>
      <c r="J1170" t="n">
        <v>0</v>
      </c>
      <c r="AV1170" t="n">
        <v>0</v>
      </c>
    </row>
    <row r="1171">
      <c r="A1171" t="n">
        <v>436</v>
      </c>
      <c r="B1171" t="inlineStr">
        <is>
          <t>ANS documentos operativos</t>
        </is>
      </c>
      <c r="C1171" t="inlineStr">
        <is>
          <t>Gestión de calidad</t>
        </is>
      </c>
      <c r="D1171" t="inlineStr">
        <is>
          <t>Mensual</t>
        </is>
      </c>
      <c r="E1171" t="inlineStr">
        <is>
          <t>Negativo</t>
        </is>
      </c>
      <c r="F1171" s="105" t="n">
        <v>45382</v>
      </c>
      <c r="G1171" t="inlineStr">
        <is>
          <t>436-2024-03-31</t>
        </is>
      </c>
      <c r="H1171" t="inlineStr">
        <is>
          <t>Flujo de aprobación</t>
        </is>
      </c>
      <c r="I1171" t="n">
        <v>7</v>
      </c>
      <c r="J1171" t="n">
        <v>10.10000038146973</v>
      </c>
      <c r="CP1171" t="n">
        <v>10.1</v>
      </c>
    </row>
    <row r="1172">
      <c r="A1172" t="n">
        <v>213</v>
      </c>
      <c r="B1172" t="inlineStr">
        <is>
          <t>Cumplimiento del Plan Anual del Sistema de Gestión Ambiental</t>
        </is>
      </c>
      <c r="C1172" t="inlineStr">
        <is>
          <t>GESTIÓN AMBIENTAL</t>
        </is>
      </c>
      <c r="D1172" t="inlineStr">
        <is>
          <t>Semestral</t>
        </is>
      </c>
      <c r="E1172" t="inlineStr">
        <is>
          <t>Positivo</t>
        </is>
      </c>
      <c r="F1172" s="105" t="n">
        <v>45382</v>
      </c>
      <c r="G1172" t="inlineStr">
        <is>
          <t>213-2024-03-31</t>
        </is>
      </c>
      <c r="H1172" t="inlineStr">
        <is>
          <t>Plan de Gestión Integral de Residuos</t>
        </is>
      </c>
      <c r="I1172" t="n">
        <v>90</v>
      </c>
      <c r="J1172" t="n">
        <v>100</v>
      </c>
      <c r="AW1172" t="n">
        <v>45</v>
      </c>
      <c r="AX1172" t="n">
        <v>45</v>
      </c>
    </row>
    <row r="1173">
      <c r="A1173" t="n">
        <v>213</v>
      </c>
      <c r="B1173" t="inlineStr">
        <is>
          <t>Cumplimiento del Plan Anual del Sistema de Gestión Ambiental</t>
        </is>
      </c>
      <c r="C1173" t="inlineStr">
        <is>
          <t>GESTIÓN AMBIENTAL</t>
        </is>
      </c>
      <c r="D1173" t="inlineStr">
        <is>
          <t>Semestral</t>
        </is>
      </c>
      <c r="E1173" t="inlineStr">
        <is>
          <t>Positivo</t>
        </is>
      </c>
      <c r="F1173" s="105" t="n">
        <v>45382</v>
      </c>
      <c r="G1173" t="inlineStr">
        <is>
          <t>213-2024-03-31</t>
        </is>
      </c>
      <c r="H1173" t="inlineStr">
        <is>
          <t>Programa de Gestión del Ahorro y Uso Eficiente de la Energía</t>
        </is>
      </c>
      <c r="I1173" t="n">
        <v>90</v>
      </c>
      <c r="J1173" t="n">
        <v>100</v>
      </c>
      <c r="AW1173" t="n">
        <v>18</v>
      </c>
      <c r="AX1173" t="n">
        <v>18</v>
      </c>
    </row>
    <row r="1174">
      <c r="A1174" t="n">
        <v>213</v>
      </c>
      <c r="B1174" t="inlineStr">
        <is>
          <t>Cumplimiento del Plan Anual del Sistema de Gestión Ambiental</t>
        </is>
      </c>
      <c r="C1174" t="inlineStr">
        <is>
          <t>GESTIÓN AMBIENTAL</t>
        </is>
      </c>
      <c r="D1174" t="inlineStr">
        <is>
          <t>Semestral</t>
        </is>
      </c>
      <c r="E1174" t="inlineStr">
        <is>
          <t>Positivo</t>
        </is>
      </c>
      <c r="F1174" s="105" t="n">
        <v>45382</v>
      </c>
      <c r="G1174" t="inlineStr">
        <is>
          <t>213-2024-03-31</t>
        </is>
      </c>
      <c r="H1174" t="inlineStr">
        <is>
          <t>Programa de Gestión de la Calidad, Ahorro y Uso Eficiente del Agua</t>
        </is>
      </c>
      <c r="I1174" t="n">
        <v>90</v>
      </c>
      <c r="J1174" t="n">
        <v>100</v>
      </c>
      <c r="AW1174" t="n">
        <v>20</v>
      </c>
      <c r="AX1174" t="n">
        <v>20</v>
      </c>
    </row>
    <row r="1175">
      <c r="A1175" t="n">
        <v>213</v>
      </c>
      <c r="B1175" t="inlineStr">
        <is>
          <t>Cumplimiento del Plan Anual del Sistema de Gestión Ambiental</t>
        </is>
      </c>
      <c r="C1175" t="inlineStr">
        <is>
          <t>GESTIÓN AMBIENTAL</t>
        </is>
      </c>
      <c r="D1175" t="inlineStr">
        <is>
          <t>Semestral</t>
        </is>
      </c>
      <c r="E1175" t="inlineStr">
        <is>
          <t>Positivo</t>
        </is>
      </c>
      <c r="F1175" s="105" t="n">
        <v>45382</v>
      </c>
      <c r="G1175" t="inlineStr">
        <is>
          <t>213-2024-03-31</t>
        </is>
      </c>
      <c r="H1175" t="inlineStr">
        <is>
          <t>Programa de Gestión de Áreas Naturales</t>
        </is>
      </c>
      <c r="I1175" t="n">
        <v>90</v>
      </c>
      <c r="J1175" t="n">
        <v>100</v>
      </c>
      <c r="AW1175" t="n">
        <v>9</v>
      </c>
      <c r="AX1175" t="n">
        <v>9</v>
      </c>
    </row>
    <row r="1176">
      <c r="A1176" t="n">
        <v>213</v>
      </c>
      <c r="B1176" t="inlineStr">
        <is>
          <t>Cumplimiento del Plan Anual del Sistema de Gestión Ambiental</t>
        </is>
      </c>
      <c r="C1176" t="inlineStr">
        <is>
          <t>GESTIÓN AMBIENTAL</t>
        </is>
      </c>
      <c r="D1176" t="inlineStr">
        <is>
          <t>Semestral</t>
        </is>
      </c>
      <c r="E1176" t="inlineStr">
        <is>
          <t>Positivo</t>
        </is>
      </c>
      <c r="F1176" s="105" t="n">
        <v>45382</v>
      </c>
      <c r="G1176" t="inlineStr">
        <is>
          <t>213-2024-03-31</t>
        </is>
      </c>
      <c r="H1176" t="inlineStr">
        <is>
          <t>Programa de Gestión de la Medición y Compensación de Gases de Efecto Invernadero</t>
        </is>
      </c>
      <c r="I1176" t="n">
        <v>90</v>
      </c>
      <c r="J1176" t="n">
        <v>0</v>
      </c>
      <c r="AW1176" t="n">
        <v>0</v>
      </c>
      <c r="AX1176" t="n">
        <v>0</v>
      </c>
    </row>
    <row r="1177">
      <c r="A1177" t="n">
        <v>213</v>
      </c>
      <c r="B1177" t="inlineStr">
        <is>
          <t>Cumplimiento del Plan Anual del Sistema de Gestión Ambiental</t>
        </is>
      </c>
      <c r="C1177" t="inlineStr">
        <is>
          <t>GESTIÓN AMBIENTAL</t>
        </is>
      </c>
      <c r="D1177" t="inlineStr">
        <is>
          <t>Semestral</t>
        </is>
      </c>
      <c r="E1177" t="inlineStr">
        <is>
          <t>Positivo</t>
        </is>
      </c>
      <c r="F1177" s="105" t="n">
        <v>45382</v>
      </c>
      <c r="G1177" t="inlineStr">
        <is>
          <t>213-2024-03-31</t>
        </is>
      </c>
      <c r="H1177" t="inlineStr">
        <is>
          <t>Programa Gestión de la Educación y Comunicación Ambiental</t>
        </is>
      </c>
      <c r="I1177" t="n">
        <v>90</v>
      </c>
      <c r="J1177" t="n">
        <v>100</v>
      </c>
      <c r="AW1177" t="n">
        <v>16</v>
      </c>
      <c r="AX1177" t="n">
        <v>16</v>
      </c>
    </row>
    <row r="1178">
      <c r="A1178" t="n">
        <v>213</v>
      </c>
      <c r="B1178" t="inlineStr">
        <is>
          <t>Cumplimiento del Plan Anual del Sistema de Gestión Ambiental</t>
        </is>
      </c>
      <c r="C1178" t="inlineStr">
        <is>
          <t>GESTIÓN AMBIENTAL</t>
        </is>
      </c>
      <c r="D1178" t="inlineStr">
        <is>
          <t>Semestral</t>
        </is>
      </c>
      <c r="E1178" t="inlineStr">
        <is>
          <t>Positivo</t>
        </is>
      </c>
      <c r="F1178" s="105" t="n">
        <v>45382</v>
      </c>
      <c r="G1178" t="inlineStr">
        <is>
          <t>213-2024-03-31</t>
        </is>
      </c>
      <c r="H1178" t="inlineStr">
        <is>
          <t>Actividades de Gestión</t>
        </is>
      </c>
      <c r="I1178" t="n">
        <v>90</v>
      </c>
      <c r="J1178" t="n">
        <v>100</v>
      </c>
      <c r="AW1178" t="n">
        <v>15</v>
      </c>
      <c r="AX1178" t="n">
        <v>15</v>
      </c>
    </row>
    <row r="1179">
      <c r="A1179" t="n">
        <v>213</v>
      </c>
      <c r="B1179" t="inlineStr">
        <is>
          <t>Cumplimiento del Plan Anual del Sistema de Gestión Ambiental</t>
        </is>
      </c>
      <c r="C1179" t="inlineStr">
        <is>
          <t>GESTIÓN AMBIENTAL</t>
        </is>
      </c>
      <c r="D1179" t="inlineStr">
        <is>
          <t>Semestral</t>
        </is>
      </c>
      <c r="E1179" t="inlineStr">
        <is>
          <t>Positivo</t>
        </is>
      </c>
      <c r="F1179" s="105" t="n">
        <v>45382</v>
      </c>
      <c r="G1179" t="inlineStr">
        <is>
          <t>213-2024-03-31</t>
        </is>
      </c>
      <c r="H1179" t="inlineStr">
        <is>
          <t>Programa de Gestión del la Calidad del Aire,  Ruido Ambiental y Publicidad Exterior Visual</t>
        </is>
      </c>
      <c r="I1179" t="n">
        <v>90</v>
      </c>
      <c r="J1179" t="n">
        <v>100</v>
      </c>
      <c r="AW1179" t="n">
        <v>4</v>
      </c>
      <c r="AX1179" t="n">
        <v>4</v>
      </c>
    </row>
    <row r="1180">
      <c r="A1180" t="n">
        <v>238</v>
      </c>
      <c r="B1180" t="inlineStr">
        <is>
          <t>Cumplimiento de la Protección del Medio Ambiente</t>
        </is>
      </c>
      <c r="C1180" t="inlineStr">
        <is>
          <t>GESTIÓN AMBIENTAL</t>
        </is>
      </c>
      <c r="D1180" t="inlineStr">
        <is>
          <t>Semestral</t>
        </is>
      </c>
      <c r="E1180" t="inlineStr">
        <is>
          <t>Positivo</t>
        </is>
      </c>
      <c r="F1180" s="105" t="n">
        <v>45382</v>
      </c>
      <c r="G1180" t="inlineStr">
        <is>
          <t>238-2024-03-31</t>
        </is>
      </c>
      <c r="H1180" t="inlineStr">
        <is>
          <t>Cumplimiento del Plan Anual del SGA</t>
        </is>
      </c>
      <c r="I1180" t="n">
        <v>90</v>
      </c>
      <c r="J1180" t="n">
        <v>100</v>
      </c>
      <c r="AY1180" t="n">
        <v>1</v>
      </c>
      <c r="AZ1180" t="n">
        <v>1</v>
      </c>
    </row>
    <row r="1181">
      <c r="A1181" t="n">
        <v>238</v>
      </c>
      <c r="B1181" t="inlineStr">
        <is>
          <t>Cumplimiento de la Protección del Medio Ambiente</t>
        </is>
      </c>
      <c r="C1181" t="inlineStr">
        <is>
          <t>GESTIÓN AMBIENTAL</t>
        </is>
      </c>
      <c r="D1181" t="inlineStr">
        <is>
          <t>Semestral</t>
        </is>
      </c>
      <c r="E1181" t="inlineStr">
        <is>
          <t>Positivo</t>
        </is>
      </c>
      <c r="F1181" s="105" t="n">
        <v>45382</v>
      </c>
      <c r="G1181" t="inlineStr">
        <is>
          <t>238-2024-03-31</t>
        </is>
      </c>
      <c r="H1181" t="inlineStr">
        <is>
          <t>Cumplimiento Gestión del Ahorro y Uso Eficiente de Energía</t>
        </is>
      </c>
      <c r="I1181" t="n">
        <v>90</v>
      </c>
      <c r="J1181" t="n">
        <v>100</v>
      </c>
      <c r="AY1181" t="n">
        <v>3</v>
      </c>
      <c r="AZ1181" t="n">
        <v>3</v>
      </c>
    </row>
    <row r="1182">
      <c r="A1182" t="n">
        <v>238</v>
      </c>
      <c r="B1182" t="inlineStr">
        <is>
          <t>Cumplimiento de la Protección del Medio Ambiente</t>
        </is>
      </c>
      <c r="C1182" t="inlineStr">
        <is>
          <t>GESTIÓN AMBIENTAL</t>
        </is>
      </c>
      <c r="D1182" t="inlineStr">
        <is>
          <t>Semestral</t>
        </is>
      </c>
      <c r="E1182" t="inlineStr">
        <is>
          <t>Positivo</t>
        </is>
      </c>
      <c r="F1182" s="105" t="n">
        <v>45382</v>
      </c>
      <c r="G1182" t="inlineStr">
        <is>
          <t>238-2024-03-31</t>
        </is>
      </c>
      <c r="H1182" t="inlineStr">
        <is>
          <t>Cumplimiento Gestión de la Calidad, Ahorro y Uso Eficiente del Agua</t>
        </is>
      </c>
      <c r="I1182" t="n">
        <v>90</v>
      </c>
      <c r="J1182" t="n">
        <v>33.33000183105469</v>
      </c>
      <c r="AY1182" t="n">
        <v>1</v>
      </c>
      <c r="AZ1182" t="n">
        <v>3</v>
      </c>
    </row>
    <row r="1183">
      <c r="A1183" t="n">
        <v>238</v>
      </c>
      <c r="B1183" t="inlineStr">
        <is>
          <t>Cumplimiento de la Protección del Medio Ambiente</t>
        </is>
      </c>
      <c r="C1183" t="inlineStr">
        <is>
          <t>GESTIÓN AMBIENTAL</t>
        </is>
      </c>
      <c r="D1183" t="inlineStr">
        <is>
          <t>Semestral</t>
        </is>
      </c>
      <c r="E1183" t="inlineStr">
        <is>
          <t>Positivo</t>
        </is>
      </c>
      <c r="F1183" s="105" t="n">
        <v>45382</v>
      </c>
      <c r="G1183" t="inlineStr">
        <is>
          <t>238-2024-03-31</t>
        </is>
      </c>
      <c r="H1183" t="inlineStr">
        <is>
          <t>Cumplimiento Gestión del la Calidad del Aire,  Ruido Ambiental y Publicidad Exterior Visual</t>
        </is>
      </c>
      <c r="I1183" t="n">
        <v>90</v>
      </c>
      <c r="J1183" t="n">
        <v>0</v>
      </c>
      <c r="AY1183" t="n">
        <v>0</v>
      </c>
      <c r="AZ1183" t="n">
        <v>0</v>
      </c>
    </row>
    <row r="1184">
      <c r="A1184" t="n">
        <v>238</v>
      </c>
      <c r="B1184" t="inlineStr">
        <is>
          <t>Cumplimiento de la Protección del Medio Ambiente</t>
        </is>
      </c>
      <c r="C1184" t="inlineStr">
        <is>
          <t>GESTIÓN AMBIENTAL</t>
        </is>
      </c>
      <c r="D1184" t="inlineStr">
        <is>
          <t>Semestral</t>
        </is>
      </c>
      <c r="E1184" t="inlineStr">
        <is>
          <t>Positivo</t>
        </is>
      </c>
      <c r="F1184" s="105" t="n">
        <v>45382</v>
      </c>
      <c r="G1184" t="inlineStr">
        <is>
          <t>238-2024-03-31</t>
        </is>
      </c>
      <c r="H1184" t="inlineStr">
        <is>
          <t>Cumplimiento Gestión de Áreas Naturales</t>
        </is>
      </c>
      <c r="I1184" t="n">
        <v>90</v>
      </c>
      <c r="J1184" t="n">
        <v>100</v>
      </c>
      <c r="AY1184" t="n">
        <v>3</v>
      </c>
      <c r="AZ1184" t="n">
        <v>3</v>
      </c>
    </row>
    <row r="1185">
      <c r="A1185" t="n">
        <v>238</v>
      </c>
      <c r="B1185" t="inlineStr">
        <is>
          <t>Cumplimiento de la Protección del Medio Ambiente</t>
        </is>
      </c>
      <c r="C1185" t="inlineStr">
        <is>
          <t>GESTIÓN AMBIENTAL</t>
        </is>
      </c>
      <c r="D1185" t="inlineStr">
        <is>
          <t>Semestral</t>
        </is>
      </c>
      <c r="E1185" t="inlineStr">
        <is>
          <t>Positivo</t>
        </is>
      </c>
      <c r="F1185" s="105" t="n">
        <v>45382</v>
      </c>
      <c r="G1185" t="inlineStr">
        <is>
          <t>238-2024-03-31</t>
        </is>
      </c>
      <c r="H1185" t="inlineStr">
        <is>
          <t>Cumplimiento Gestión de la Medición y Compensación de GEI</t>
        </is>
      </c>
      <c r="I1185" t="n">
        <v>90</v>
      </c>
      <c r="J1185" t="n">
        <v>0</v>
      </c>
      <c r="AY1185" t="n">
        <v>0</v>
      </c>
      <c r="AZ1185" t="n">
        <v>0</v>
      </c>
    </row>
    <row r="1186">
      <c r="A1186" t="n">
        <v>238</v>
      </c>
      <c r="B1186" t="inlineStr">
        <is>
          <t>Cumplimiento de la Protección del Medio Ambiente</t>
        </is>
      </c>
      <c r="C1186" t="inlineStr">
        <is>
          <t>GESTIÓN AMBIENTAL</t>
        </is>
      </c>
      <c r="D1186" t="inlineStr">
        <is>
          <t>Semestral</t>
        </is>
      </c>
      <c r="E1186" t="inlineStr">
        <is>
          <t>Positivo</t>
        </is>
      </c>
      <c r="F1186" s="105" t="n">
        <v>45382</v>
      </c>
      <c r="G1186" t="inlineStr">
        <is>
          <t>238-2024-03-31</t>
        </is>
      </c>
      <c r="H1186" t="inlineStr">
        <is>
          <t>Cumplimiento Gestión de la Educación y Comunicación Ambiental</t>
        </is>
      </c>
      <c r="I1186" t="n">
        <v>90</v>
      </c>
      <c r="J1186" t="n">
        <v>50</v>
      </c>
      <c r="AY1186" t="n">
        <v>1</v>
      </c>
      <c r="AZ1186" t="n">
        <v>2</v>
      </c>
    </row>
    <row r="1187">
      <c r="A1187" t="n">
        <v>238</v>
      </c>
      <c r="B1187" t="inlineStr">
        <is>
          <t>Cumplimiento de la Protección del Medio Ambiente</t>
        </is>
      </c>
      <c r="C1187" t="inlineStr">
        <is>
          <t>GESTIÓN AMBIENTAL</t>
        </is>
      </c>
      <c r="D1187" t="inlineStr">
        <is>
          <t>Semestral</t>
        </is>
      </c>
      <c r="E1187" t="inlineStr">
        <is>
          <t>Positivo</t>
        </is>
      </c>
      <c r="F1187" s="105" t="n">
        <v>45382</v>
      </c>
      <c r="G1187" t="inlineStr">
        <is>
          <t>238-2024-03-31</t>
        </is>
      </c>
      <c r="H1187" t="inlineStr">
        <is>
          <t>Cumplimiento Gestión Integral de Residuos</t>
        </is>
      </c>
      <c r="I1187" t="n">
        <v>90</v>
      </c>
      <c r="J1187" t="n">
        <v>77.77999877929688</v>
      </c>
      <c r="AY1187" t="n">
        <v>7</v>
      </c>
      <c r="AZ1187" t="n">
        <v>9</v>
      </c>
    </row>
    <row r="1188">
      <c r="A1188" t="n">
        <v>373</v>
      </c>
      <c r="B1188" t="inlineStr">
        <is>
          <t>Cumplimiento de planes anuales por líneas</t>
        </is>
      </c>
      <c r="C1188" t="inlineStr">
        <is>
          <t>Planeación Estratégica</t>
        </is>
      </c>
      <c r="D1188" t="inlineStr">
        <is>
          <t>Semestral</t>
        </is>
      </c>
      <c r="E1188" t="inlineStr">
        <is>
          <t>Positivo</t>
        </is>
      </c>
      <c r="F1188" s="105" t="n">
        <v>45382</v>
      </c>
      <c r="G1188" t="inlineStr">
        <is>
          <t>373-2024-03-31</t>
        </is>
      </c>
      <c r="H1188" t="inlineStr">
        <is>
          <t>Sostenibilidad</t>
        </is>
      </c>
      <c r="I1188" t="n">
        <v>100</v>
      </c>
      <c r="J1188" t="n">
        <v>76.79000091552734</v>
      </c>
      <c r="BZ1188" t="n">
        <v>43</v>
      </c>
      <c r="CA1188" t="n">
        <v>56</v>
      </c>
    </row>
    <row r="1189">
      <c r="A1189" t="n">
        <v>390</v>
      </c>
      <c r="B1189" t="inlineStr">
        <is>
          <t>Cumplimiento Plan Anual por escuela</t>
        </is>
      </c>
      <c r="C1189" t="inlineStr">
        <is>
          <t>Planeación Estratégica</t>
        </is>
      </c>
      <c r="D1189" t="inlineStr">
        <is>
          <t>Semestral</t>
        </is>
      </c>
      <c r="E1189" t="inlineStr">
        <is>
          <t>Positivo</t>
        </is>
      </c>
      <c r="F1189" s="105" t="n">
        <v>45382</v>
      </c>
      <c r="G1189" t="inlineStr">
        <is>
          <t>390-2024-03-31</t>
        </is>
      </c>
      <c r="H1189" t="inlineStr">
        <is>
          <t>ESCUELA DE PSIC, TALENTO HUM Y SOC</t>
        </is>
      </c>
      <c r="I1189" t="n">
        <v>100</v>
      </c>
      <c r="J1189" t="n">
        <v>341.6499938964844</v>
      </c>
      <c r="CB1189" t="n">
        <v>23.95</v>
      </c>
      <c r="CC1189" t="n">
        <v>7.01</v>
      </c>
    </row>
    <row r="1190">
      <c r="A1190" t="n">
        <v>409</v>
      </c>
      <c r="B1190" t="inlineStr">
        <is>
          <t>Oportunidad en tiempo de envios</t>
        </is>
      </c>
      <c r="C1190" t="inlineStr">
        <is>
          <t>GESTIÓN JURÍDICA Y NORMATIVA</t>
        </is>
      </c>
      <c r="D1190" t="inlineStr">
        <is>
          <t>Semestral</t>
        </is>
      </c>
      <c r="E1190" t="inlineStr">
        <is>
          <t>Positivo</t>
        </is>
      </c>
      <c r="F1190" s="105" t="n">
        <v>45382</v>
      </c>
      <c r="G1190" t="inlineStr">
        <is>
          <t>409-2024-03-31</t>
        </is>
      </c>
      <c r="H1190" t="inlineStr">
        <is>
          <t>Diplomas</t>
        </is>
      </c>
      <c r="I1190" t="n">
        <v>95</v>
      </c>
      <c r="J1190" t="n">
        <v>95.16999816894531</v>
      </c>
      <c r="CQ1190" t="n">
        <v>138</v>
      </c>
      <c r="CR1190" t="n">
        <v>145</v>
      </c>
    </row>
    <row r="1191">
      <c r="A1191" t="n">
        <v>409</v>
      </c>
      <c r="B1191" t="inlineStr">
        <is>
          <t>Oportunidad en tiempo de envios</t>
        </is>
      </c>
      <c r="C1191" t="inlineStr">
        <is>
          <t>GESTIÓN JURÍDICA Y NORMATIVA</t>
        </is>
      </c>
      <c r="D1191" t="inlineStr">
        <is>
          <t>Semestral</t>
        </is>
      </c>
      <c r="E1191" t="inlineStr">
        <is>
          <t>Positivo</t>
        </is>
      </c>
      <c r="F1191" s="105" t="n">
        <v>45382</v>
      </c>
      <c r="G1191" t="inlineStr">
        <is>
          <t>409-2024-03-31</t>
        </is>
      </c>
      <c r="H1191" t="inlineStr">
        <is>
          <t>Otro Material</t>
        </is>
      </c>
      <c r="I1191" t="n">
        <v>95</v>
      </c>
      <c r="J1191" t="n">
        <v>100</v>
      </c>
      <c r="CQ1191" t="n">
        <v>209</v>
      </c>
      <c r="CR1191" t="n">
        <v>209</v>
      </c>
    </row>
    <row r="1192">
      <c r="A1192" t="n">
        <v>414</v>
      </c>
      <c r="B1192" t="inlineStr">
        <is>
          <t>Cumplimiento Plan Anual Rectoría</t>
        </is>
      </c>
      <c r="C1192" t="inlineStr">
        <is>
          <t>Planeación Estratégica</t>
        </is>
      </c>
      <c r="D1192" t="inlineStr">
        <is>
          <t>Semestral</t>
        </is>
      </c>
      <c r="E1192" t="inlineStr">
        <is>
          <t>Positivo</t>
        </is>
      </c>
      <c r="F1192" s="105" t="n">
        <v>45382</v>
      </c>
      <c r="G1192" t="inlineStr">
        <is>
          <t>414-2024-03-31</t>
        </is>
      </c>
      <c r="H1192" t="inlineStr">
        <is>
          <t>Vicerrectoría financiera</t>
        </is>
      </c>
      <c r="I1192" t="n">
        <v>100</v>
      </c>
      <c r="J1192" t="n">
        <v>83.33000183105469</v>
      </c>
      <c r="CD1192" t="n">
        <v>35</v>
      </c>
      <c r="CE1192" t="n">
        <v>42</v>
      </c>
    </row>
    <row r="1193">
      <c r="A1193" t="n">
        <v>414</v>
      </c>
      <c r="B1193" t="inlineStr">
        <is>
          <t>Cumplimiento Plan Anual Rectoría</t>
        </is>
      </c>
      <c r="C1193" t="inlineStr">
        <is>
          <t>Planeación Estratégica</t>
        </is>
      </c>
      <c r="D1193" t="inlineStr">
        <is>
          <t>Semestral</t>
        </is>
      </c>
      <c r="E1193" t="inlineStr">
        <is>
          <t>Positivo</t>
        </is>
      </c>
      <c r="F1193" s="105" t="n">
        <v>45382</v>
      </c>
      <c r="G1193" t="inlineStr">
        <is>
          <t>414-2024-03-31</t>
        </is>
      </c>
      <c r="H1193" t="inlineStr">
        <is>
          <t>Vicerrectoría de crecimiento</t>
        </is>
      </c>
      <c r="I1193" t="n">
        <v>100</v>
      </c>
      <c r="J1193" t="n">
        <v>88.45999908447266</v>
      </c>
      <c r="CD1193" t="n">
        <v>23</v>
      </c>
      <c r="CE1193" t="n">
        <v>26</v>
      </c>
    </row>
    <row r="1194">
      <c r="A1194" t="n">
        <v>414</v>
      </c>
      <c r="B1194" t="inlineStr">
        <is>
          <t>Cumplimiento Plan Anual Rectoría</t>
        </is>
      </c>
      <c r="C1194" t="inlineStr">
        <is>
          <t>Planeación Estratégica</t>
        </is>
      </c>
      <c r="D1194" t="inlineStr">
        <is>
          <t>Semestral</t>
        </is>
      </c>
      <c r="E1194" t="inlineStr">
        <is>
          <t>Positivo</t>
        </is>
      </c>
      <c r="F1194" s="105" t="n">
        <v>45382</v>
      </c>
      <c r="G1194" t="inlineStr">
        <is>
          <t>414-2024-03-31</t>
        </is>
      </c>
      <c r="H1194" t="inlineStr">
        <is>
          <t>Gerencia de  talento humano y desarrollo</t>
        </is>
      </c>
      <c r="I1194" t="n">
        <v>100</v>
      </c>
      <c r="J1194" t="n">
        <v>118.75</v>
      </c>
      <c r="CD1194" t="n">
        <v>57</v>
      </c>
      <c r="CE1194" t="n">
        <v>48</v>
      </c>
    </row>
    <row r="1195">
      <c r="A1195" t="n">
        <v>414</v>
      </c>
      <c r="B1195" t="inlineStr">
        <is>
          <t>Cumplimiento Plan Anual Rectoría</t>
        </is>
      </c>
      <c r="C1195" t="inlineStr">
        <is>
          <t>Planeación Estratégica</t>
        </is>
      </c>
      <c r="D1195" t="inlineStr">
        <is>
          <t>Semestral</t>
        </is>
      </c>
      <c r="E1195" t="inlineStr">
        <is>
          <t>Positivo</t>
        </is>
      </c>
      <c r="F1195" s="105" t="n">
        <v>45382</v>
      </c>
      <c r="G1195" t="inlineStr">
        <is>
          <t>414-2024-03-31</t>
        </is>
      </c>
      <c r="H1195" t="inlineStr">
        <is>
          <t>Gerencia de educación virtual</t>
        </is>
      </c>
      <c r="I1195" t="n">
        <v>100</v>
      </c>
      <c r="J1195" t="n">
        <v>83.77999877929688</v>
      </c>
      <c r="CD1195" t="n">
        <v>31</v>
      </c>
      <c r="CE1195" t="n">
        <v>37</v>
      </c>
    </row>
    <row r="1196">
      <c r="A1196" t="n">
        <v>414</v>
      </c>
      <c r="B1196" t="inlineStr">
        <is>
          <t>Cumplimiento Plan Anual Rectoría</t>
        </is>
      </c>
      <c r="C1196" t="inlineStr">
        <is>
          <t>Planeación Estratégica</t>
        </is>
      </c>
      <c r="D1196" t="inlineStr">
        <is>
          <t>Semestral</t>
        </is>
      </c>
      <c r="E1196" t="inlineStr">
        <is>
          <t>Positivo</t>
        </is>
      </c>
      <c r="F1196" s="105" t="n">
        <v>45382</v>
      </c>
      <c r="G1196" t="inlineStr">
        <is>
          <t>414-2024-03-31</t>
        </is>
      </c>
      <c r="H1196" t="inlineStr">
        <is>
          <t>Vicerrectoría del estudiante</t>
        </is>
      </c>
      <c r="I1196" t="n">
        <v>100</v>
      </c>
      <c r="J1196" t="n">
        <v>91.66999816894531</v>
      </c>
      <c r="CD1196" t="n">
        <v>77</v>
      </c>
      <c r="CE1196" t="n">
        <v>84</v>
      </c>
    </row>
    <row r="1197">
      <c r="A1197" t="n">
        <v>414</v>
      </c>
      <c r="B1197" t="inlineStr">
        <is>
          <t>Cumplimiento Plan Anual Rectoría</t>
        </is>
      </c>
      <c r="C1197" t="inlineStr">
        <is>
          <t>Planeación Estratégica</t>
        </is>
      </c>
      <c r="D1197" t="inlineStr">
        <is>
          <t>Semestral</t>
        </is>
      </c>
      <c r="E1197" t="inlineStr">
        <is>
          <t>Positivo</t>
        </is>
      </c>
      <c r="F1197" s="105" t="n">
        <v>45382</v>
      </c>
      <c r="G1197" t="inlineStr">
        <is>
          <t>414-2024-03-31</t>
        </is>
      </c>
      <c r="H1197" t="inlineStr">
        <is>
          <t>Gerencia de estrategia</t>
        </is>
      </c>
      <c r="I1197" t="n">
        <v>100</v>
      </c>
      <c r="J1197" t="n">
        <v>98.15000152587891</v>
      </c>
      <c r="CD1197" t="n">
        <v>53</v>
      </c>
      <c r="CE1197" t="n">
        <v>54</v>
      </c>
    </row>
    <row r="1198">
      <c r="A1198" t="n">
        <v>414</v>
      </c>
      <c r="B1198" t="inlineStr">
        <is>
          <t>Cumplimiento Plan Anual Rectoría</t>
        </is>
      </c>
      <c r="C1198" t="inlineStr">
        <is>
          <t>Planeación Estratégica</t>
        </is>
      </c>
      <c r="D1198" t="inlineStr">
        <is>
          <t>Semestral</t>
        </is>
      </c>
      <c r="E1198" t="inlineStr">
        <is>
          <t>Positivo</t>
        </is>
      </c>
      <c r="F1198" s="105" t="n">
        <v>45382</v>
      </c>
      <c r="G1198" t="inlineStr">
        <is>
          <t>414-2024-03-31</t>
        </is>
      </c>
      <c r="H1198" t="inlineStr">
        <is>
          <t>Vicerrectoría académica</t>
        </is>
      </c>
      <c r="I1198" t="n">
        <v>100</v>
      </c>
      <c r="J1198" t="n">
        <v>106.8499984741211</v>
      </c>
      <c r="CD1198" t="n">
        <v>78</v>
      </c>
      <c r="CE1198" t="n">
        <v>73</v>
      </c>
    </row>
    <row r="1199">
      <c r="A1199" t="n">
        <v>414</v>
      </c>
      <c r="B1199" t="inlineStr">
        <is>
          <t>Cumplimiento Plan Anual Rectoría</t>
        </is>
      </c>
      <c r="C1199" t="inlineStr">
        <is>
          <t>Planeación Estratégica</t>
        </is>
      </c>
      <c r="D1199" t="inlineStr">
        <is>
          <t>Semestral</t>
        </is>
      </c>
      <c r="E1199" t="inlineStr">
        <is>
          <t>Positivo</t>
        </is>
      </c>
      <c r="F1199" s="105" t="n">
        <v>45382</v>
      </c>
      <c r="G1199" t="inlineStr">
        <is>
          <t>414-2024-03-31</t>
        </is>
      </c>
      <c r="H1199" t="inlineStr">
        <is>
          <t>Secretaria general</t>
        </is>
      </c>
      <c r="I1199" t="n">
        <v>100</v>
      </c>
      <c r="J1199" t="n">
        <v>101.5899963378906</v>
      </c>
      <c r="CD1199" t="n">
        <v>64</v>
      </c>
      <c r="CE1199" t="n">
        <v>63</v>
      </c>
    </row>
    <row r="1200">
      <c r="A1200" t="n">
        <v>414</v>
      </c>
      <c r="B1200" t="inlineStr">
        <is>
          <t>Cumplimiento Plan Anual Rectoría</t>
        </is>
      </c>
      <c r="C1200" t="inlineStr">
        <is>
          <t>Planeación Estratégica</t>
        </is>
      </c>
      <c r="D1200" t="inlineStr">
        <is>
          <t>Semestral</t>
        </is>
      </c>
      <c r="E1200" t="inlineStr">
        <is>
          <t>Positivo</t>
        </is>
      </c>
      <c r="F1200" s="105" t="n">
        <v>45382</v>
      </c>
      <c r="G1200" t="inlineStr">
        <is>
          <t>414-2024-03-31</t>
        </is>
      </c>
      <c r="H1200" t="inlineStr">
        <is>
          <t>Gerencia sede Medellín</t>
        </is>
      </c>
      <c r="I1200" t="n">
        <v>100</v>
      </c>
      <c r="J1200" t="n">
        <v>121.1500015258789</v>
      </c>
      <c r="CD1200" t="n">
        <v>63</v>
      </c>
      <c r="CE1200" t="n">
        <v>52</v>
      </c>
    </row>
    <row r="1201">
      <c r="A1201" t="n">
        <v>415</v>
      </c>
      <c r="B1201" t="inlineStr">
        <is>
          <t>Cumplimiento Plan Anual Vicerrectoría del estudiante</t>
        </is>
      </c>
      <c r="C1201" t="inlineStr">
        <is>
          <t>Planeación Estratégica</t>
        </is>
      </c>
      <c r="D1201" t="inlineStr">
        <is>
          <t>Semestral</t>
        </is>
      </c>
      <c r="E1201" t="inlineStr">
        <is>
          <t>Positivo</t>
        </is>
      </c>
      <c r="F1201" s="105" t="n">
        <v>45382</v>
      </c>
      <c r="G1201" t="inlineStr">
        <is>
          <t>415-2024-03-31</t>
        </is>
      </c>
      <c r="H1201" t="inlineStr">
        <is>
          <t>Director de gobierno digital</t>
        </is>
      </c>
      <c r="I1201" t="n">
        <v>100</v>
      </c>
      <c r="J1201" t="n">
        <v>91.51000213623047</v>
      </c>
      <c r="CF1201" t="n">
        <v>18.75</v>
      </c>
      <c r="CG1201" t="n">
        <v>20.49</v>
      </c>
    </row>
    <row r="1202">
      <c r="A1202" t="n">
        <v>415</v>
      </c>
      <c r="B1202" t="inlineStr">
        <is>
          <t>Cumplimiento Plan Anual Vicerrectoría del estudiante</t>
        </is>
      </c>
      <c r="C1202" t="inlineStr">
        <is>
          <t>Planeación Estratégica</t>
        </is>
      </c>
      <c r="D1202" t="inlineStr">
        <is>
          <t>Semestral</t>
        </is>
      </c>
      <c r="E1202" t="inlineStr">
        <is>
          <t>Positivo</t>
        </is>
      </c>
      <c r="F1202" s="105" t="n">
        <v>45382</v>
      </c>
      <c r="G1202" t="inlineStr">
        <is>
          <t>415-2024-03-31</t>
        </is>
      </c>
      <c r="H1202" t="inlineStr">
        <is>
          <t>Gerencia de servicio y permanencia</t>
        </is>
      </c>
      <c r="I1202" t="n">
        <v>100</v>
      </c>
      <c r="J1202" t="n">
        <v>92.15000152587891</v>
      </c>
      <c r="CF1202" t="n">
        <v>62.8</v>
      </c>
      <c r="CG1202" t="n">
        <v>68.15000000000001</v>
      </c>
    </row>
    <row r="1203">
      <c r="A1203" t="n">
        <v>415</v>
      </c>
      <c r="B1203" t="inlineStr">
        <is>
          <t>Cumplimiento Plan Anual Vicerrectoría del estudiante</t>
        </is>
      </c>
      <c r="C1203" t="inlineStr">
        <is>
          <t>Planeación Estratégica</t>
        </is>
      </c>
      <c r="D1203" t="inlineStr">
        <is>
          <t>Semestral</t>
        </is>
      </c>
      <c r="E1203" t="inlineStr">
        <is>
          <t>Positivo</t>
        </is>
      </c>
      <c r="F1203" s="105" t="n">
        <v>45382</v>
      </c>
      <c r="G1203" t="inlineStr">
        <is>
          <t>415-2024-03-31</t>
        </is>
      </c>
      <c r="H1203" t="inlineStr">
        <is>
          <t>Dirección nacional de registro y control</t>
        </is>
      </c>
      <c r="I1203" t="n">
        <v>100</v>
      </c>
      <c r="J1203" t="n">
        <v>98.19000244140625</v>
      </c>
      <c r="CF1203" t="n">
        <v>37.33</v>
      </c>
      <c r="CG1203" t="n">
        <v>38.02</v>
      </c>
    </row>
    <row r="1204">
      <c r="A1204" t="n">
        <v>415</v>
      </c>
      <c r="B1204" t="inlineStr">
        <is>
          <t>Cumplimiento Plan Anual Vicerrectoría del estudiante</t>
        </is>
      </c>
      <c r="C1204" t="inlineStr">
        <is>
          <t>Planeación Estratégica</t>
        </is>
      </c>
      <c r="D1204" t="inlineStr">
        <is>
          <t>Semestral</t>
        </is>
      </c>
      <c r="E1204" t="inlineStr">
        <is>
          <t>Positivo</t>
        </is>
      </c>
      <c r="F1204" s="105" t="n">
        <v>45382</v>
      </c>
      <c r="G1204" t="inlineStr">
        <is>
          <t>415-2024-03-31</t>
        </is>
      </c>
      <c r="H1204" t="inlineStr">
        <is>
          <t>Dirección de desarrollo e innovación</t>
        </is>
      </c>
      <c r="I1204" t="n">
        <v>100</v>
      </c>
      <c r="J1204" t="n">
        <v>75.43000030517578</v>
      </c>
      <c r="CF1204" t="n">
        <v>41.33</v>
      </c>
      <c r="CG1204" t="n">
        <v>54.79</v>
      </c>
    </row>
    <row r="1205">
      <c r="A1205" t="n">
        <v>415</v>
      </c>
      <c r="B1205" t="inlineStr">
        <is>
          <t>Cumplimiento Plan Anual Vicerrectoría del estudiante</t>
        </is>
      </c>
      <c r="C1205" t="inlineStr">
        <is>
          <t>Planeación Estratégica</t>
        </is>
      </c>
      <c r="D1205" t="inlineStr">
        <is>
          <t>Semestral</t>
        </is>
      </c>
      <c r="E1205" t="inlineStr">
        <is>
          <t>Positivo</t>
        </is>
      </c>
      <c r="F1205" s="105" t="n">
        <v>45382</v>
      </c>
      <c r="G1205" t="inlineStr">
        <is>
          <t>415-2024-03-31</t>
        </is>
      </c>
      <c r="H1205" t="inlineStr">
        <is>
          <t>Director de permanencia</t>
        </is>
      </c>
      <c r="I1205" t="n">
        <v>100</v>
      </c>
      <c r="J1205" t="n">
        <v>87.94999694824219</v>
      </c>
      <c r="CF1205" t="n">
        <v>73.34</v>
      </c>
      <c r="CG1205" t="n">
        <v>83.39</v>
      </c>
    </row>
    <row r="1206">
      <c r="A1206" t="n">
        <v>415</v>
      </c>
      <c r="B1206" t="inlineStr">
        <is>
          <t>Cumplimiento Plan Anual Vicerrectoría del estudiante</t>
        </is>
      </c>
      <c r="C1206" t="inlineStr">
        <is>
          <t>Planeación Estratégica</t>
        </is>
      </c>
      <c r="D1206" t="inlineStr">
        <is>
          <t>Semestral</t>
        </is>
      </c>
      <c r="E1206" t="inlineStr">
        <is>
          <t>Positivo</t>
        </is>
      </c>
      <c r="F1206" s="105" t="n">
        <v>45382</v>
      </c>
      <c r="G1206" t="inlineStr">
        <is>
          <t>415-2024-03-31</t>
        </is>
      </c>
      <c r="H1206" t="inlineStr">
        <is>
          <t>Dirección de Experiencia E Inclusion</t>
        </is>
      </c>
      <c r="I1206" t="n">
        <v>100</v>
      </c>
      <c r="J1206" t="n">
        <v>115.1399993896484</v>
      </c>
      <c r="CF1206" t="n">
        <v>82.22</v>
      </c>
      <c r="CG1206" t="n">
        <v>71.41</v>
      </c>
    </row>
    <row r="1207">
      <c r="A1207" t="n">
        <v>415</v>
      </c>
      <c r="B1207" t="inlineStr">
        <is>
          <t>Cumplimiento Plan Anual Vicerrectoría del estudiante</t>
        </is>
      </c>
      <c r="C1207" t="inlineStr">
        <is>
          <t>Planeación Estratégica</t>
        </is>
      </c>
      <c r="D1207" t="inlineStr">
        <is>
          <t>Semestral</t>
        </is>
      </c>
      <c r="E1207" t="inlineStr">
        <is>
          <t>Positivo</t>
        </is>
      </c>
      <c r="F1207" s="105" t="n">
        <v>45382</v>
      </c>
      <c r="G1207" t="inlineStr">
        <is>
          <t>415-2024-03-31</t>
        </is>
      </c>
      <c r="H1207" t="inlineStr">
        <is>
          <t>BI y analítica</t>
        </is>
      </c>
      <c r="I1207" t="n">
        <v>100</v>
      </c>
      <c r="J1207" t="n">
        <v>114.0199966430664</v>
      </c>
      <c r="CF1207" t="n">
        <v>37</v>
      </c>
      <c r="CG1207" t="n">
        <v>32.45</v>
      </c>
    </row>
    <row r="1208">
      <c r="A1208" t="n">
        <v>415</v>
      </c>
      <c r="B1208" t="inlineStr">
        <is>
          <t>Cumplimiento Plan Anual Vicerrectoría del estudiante</t>
        </is>
      </c>
      <c r="C1208" t="inlineStr">
        <is>
          <t>Planeación Estratégica</t>
        </is>
      </c>
      <c r="D1208" t="inlineStr">
        <is>
          <t>Semestral</t>
        </is>
      </c>
      <c r="E1208" t="inlineStr">
        <is>
          <t>Positivo</t>
        </is>
      </c>
      <c r="F1208" s="105" t="n">
        <v>45382</v>
      </c>
      <c r="G1208" t="inlineStr">
        <is>
          <t>415-2024-03-31</t>
        </is>
      </c>
      <c r="H1208" t="inlineStr">
        <is>
          <t>Gerencia de operaciones</t>
        </is>
      </c>
      <c r="I1208" t="n">
        <v>100</v>
      </c>
      <c r="J1208" t="n">
        <v>67.20999908447266</v>
      </c>
      <c r="CF1208" t="n">
        <v>41</v>
      </c>
      <c r="CG1208" t="n">
        <v>61</v>
      </c>
    </row>
    <row r="1209">
      <c r="A1209" t="n">
        <v>415</v>
      </c>
      <c r="B1209" t="inlineStr">
        <is>
          <t>Cumplimiento Plan Anual Vicerrectoría del estudiante</t>
        </is>
      </c>
      <c r="C1209" t="inlineStr">
        <is>
          <t>Planeación Estratégica</t>
        </is>
      </c>
      <c r="D1209" t="inlineStr">
        <is>
          <t>Semestral</t>
        </is>
      </c>
      <c r="E1209" t="inlineStr">
        <is>
          <t>Positivo</t>
        </is>
      </c>
      <c r="F1209" s="105" t="n">
        <v>45382</v>
      </c>
      <c r="G1209" t="inlineStr">
        <is>
          <t>415-2024-03-31</t>
        </is>
      </c>
      <c r="H1209" t="inlineStr">
        <is>
          <t>Direccion bienestar universitario y huella grancolombiana</t>
        </is>
      </c>
      <c r="I1209" t="n">
        <v>100</v>
      </c>
      <c r="J1209" t="n">
        <v>41.06999969482422</v>
      </c>
      <c r="CF1209" t="n">
        <v>23.33</v>
      </c>
      <c r="CG1209" t="n">
        <v>56.81</v>
      </c>
    </row>
    <row r="1210">
      <c r="A1210" t="n">
        <v>415</v>
      </c>
      <c r="B1210" t="inlineStr">
        <is>
          <t>Cumplimiento Plan Anual Vicerrectoría del estudiante</t>
        </is>
      </c>
      <c r="C1210" t="inlineStr">
        <is>
          <t>Planeación Estratégica</t>
        </is>
      </c>
      <c r="D1210" t="inlineStr">
        <is>
          <t>Semestral</t>
        </is>
      </c>
      <c r="E1210" t="inlineStr">
        <is>
          <t>Positivo</t>
        </is>
      </c>
      <c r="F1210" s="105" t="n">
        <v>45382</v>
      </c>
      <c r="G1210" t="inlineStr">
        <is>
          <t>415-2024-03-31</t>
        </is>
      </c>
      <c r="H1210" t="inlineStr">
        <is>
          <t>Gerente de innovación y producto</t>
        </is>
      </c>
      <c r="I1210" t="n">
        <v>100</v>
      </c>
      <c r="J1210" t="n">
        <v>84.75</v>
      </c>
      <c r="CF1210" t="n">
        <v>27.5</v>
      </c>
      <c r="CG1210" t="n">
        <v>32.45</v>
      </c>
    </row>
    <row r="1211">
      <c r="A1211" t="n">
        <v>415</v>
      </c>
      <c r="B1211" t="inlineStr">
        <is>
          <t>Cumplimiento Plan Anual Vicerrectoría del estudiante</t>
        </is>
      </c>
      <c r="C1211" t="inlineStr">
        <is>
          <t>Planeación Estratégica</t>
        </is>
      </c>
      <c r="D1211" t="inlineStr">
        <is>
          <t>Semestral</t>
        </is>
      </c>
      <c r="E1211" t="inlineStr">
        <is>
          <t>Positivo</t>
        </is>
      </c>
      <c r="F1211" s="105" t="n">
        <v>45382</v>
      </c>
      <c r="G1211" t="inlineStr">
        <is>
          <t>415-2024-03-31</t>
        </is>
      </c>
      <c r="H1211" t="inlineStr">
        <is>
          <t>Director de operaciones integrales</t>
        </is>
      </c>
      <c r="I1211" t="n">
        <v>100</v>
      </c>
      <c r="J1211" t="n">
        <v>89.48999786376953</v>
      </c>
      <c r="CF1211" t="n">
        <v>29.2</v>
      </c>
      <c r="CG1211" t="n">
        <v>32.63</v>
      </c>
    </row>
    <row r="1212">
      <c r="A1212" t="n">
        <v>415</v>
      </c>
      <c r="B1212" t="inlineStr">
        <is>
          <t>Cumplimiento Plan Anual Vicerrectoría del estudiante</t>
        </is>
      </c>
      <c r="C1212" t="inlineStr">
        <is>
          <t>Planeación Estratégica</t>
        </is>
      </c>
      <c r="D1212" t="inlineStr">
        <is>
          <t>Semestral</t>
        </is>
      </c>
      <c r="E1212" t="inlineStr">
        <is>
          <t>Positivo</t>
        </is>
      </c>
      <c r="F1212" s="105" t="n">
        <v>45382</v>
      </c>
      <c r="G1212" t="inlineStr">
        <is>
          <t>415-2024-03-31</t>
        </is>
      </c>
      <c r="H1212" t="inlineStr">
        <is>
          <t>Director de servicio</t>
        </is>
      </c>
      <c r="I1212" t="n">
        <v>100</v>
      </c>
      <c r="J1212" t="n">
        <v>93.41000366210938</v>
      </c>
      <c r="CF1212" t="n">
        <v>80</v>
      </c>
      <c r="CG1212" t="n">
        <v>85.64</v>
      </c>
    </row>
    <row r="1213">
      <c r="A1213" t="n">
        <v>415</v>
      </c>
      <c r="B1213" t="inlineStr">
        <is>
          <t>Cumplimiento Plan Anual Vicerrectoría del estudiante</t>
        </is>
      </c>
      <c r="C1213" t="inlineStr">
        <is>
          <t>Planeación Estratégica</t>
        </is>
      </c>
      <c r="D1213" t="inlineStr">
        <is>
          <t>Semestral</t>
        </is>
      </c>
      <c r="E1213" t="inlineStr">
        <is>
          <t>Positivo</t>
        </is>
      </c>
      <c r="F1213" s="105" t="n">
        <v>45382</v>
      </c>
      <c r="G1213" t="inlineStr">
        <is>
          <t>415-2024-03-31</t>
        </is>
      </c>
      <c r="H1213" t="inlineStr">
        <is>
          <t>Director de operaciones IT</t>
        </is>
      </c>
      <c r="I1213" t="n">
        <v>100</v>
      </c>
      <c r="J1213" t="n">
        <v>0</v>
      </c>
      <c r="CF1213" t="n">
        <v>0</v>
      </c>
      <c r="CG1213" t="n">
        <v>6.56</v>
      </c>
    </row>
    <row r="1214">
      <c r="A1214" t="n">
        <v>416</v>
      </c>
      <c r="B1214" t="inlineStr">
        <is>
          <t>Cumplimiento Plan Anual Vicerrectoría de crecimiento</t>
        </is>
      </c>
      <c r="C1214" t="inlineStr">
        <is>
          <t>Planeación Estratégica</t>
        </is>
      </c>
      <c r="D1214" t="inlineStr">
        <is>
          <t>Semestral</t>
        </is>
      </c>
      <c r="E1214" t="inlineStr">
        <is>
          <t>Positivo</t>
        </is>
      </c>
      <c r="F1214" s="105" t="n">
        <v>45382</v>
      </c>
      <c r="G1214" t="inlineStr">
        <is>
          <t>416-2024-03-31</t>
        </is>
      </c>
      <c r="H1214" t="inlineStr">
        <is>
          <t>Director de estrategia marca</t>
        </is>
      </c>
      <c r="I1214" t="n">
        <v>100</v>
      </c>
      <c r="J1214" t="n">
        <v>126.9899978637695</v>
      </c>
      <c r="CH1214" t="n">
        <v>46.67</v>
      </c>
      <c r="CI1214" t="n">
        <v>36.75</v>
      </c>
    </row>
    <row r="1215">
      <c r="A1215" t="n">
        <v>416</v>
      </c>
      <c r="B1215" t="inlineStr">
        <is>
          <t>Cumplimiento Plan Anual Vicerrectoría de crecimiento</t>
        </is>
      </c>
      <c r="C1215" t="inlineStr">
        <is>
          <t>Planeación Estratégica</t>
        </is>
      </c>
      <c r="D1215" t="inlineStr">
        <is>
          <t>Semestral</t>
        </is>
      </c>
      <c r="E1215" t="inlineStr">
        <is>
          <t>Positivo</t>
        </is>
      </c>
      <c r="F1215" s="105" t="n">
        <v>45382</v>
      </c>
      <c r="G1215" t="inlineStr">
        <is>
          <t>416-2024-03-31</t>
        </is>
      </c>
      <c r="H1215" t="inlineStr">
        <is>
          <t>Gerencia de mercadeo</t>
        </is>
      </c>
      <c r="I1215" t="n">
        <v>100</v>
      </c>
      <c r="J1215" t="n">
        <v>92.12000274658203</v>
      </c>
      <c r="CH1215" t="n">
        <v>20</v>
      </c>
      <c r="CI1215" t="n">
        <v>21.71</v>
      </c>
    </row>
    <row r="1216">
      <c r="A1216" t="n">
        <v>416</v>
      </c>
      <c r="B1216" t="inlineStr">
        <is>
          <t>Cumplimiento Plan Anual Vicerrectoría de crecimiento</t>
        </is>
      </c>
      <c r="C1216" t="inlineStr">
        <is>
          <t>Planeación Estratégica</t>
        </is>
      </c>
      <c r="D1216" t="inlineStr">
        <is>
          <t>Semestral</t>
        </is>
      </c>
      <c r="E1216" t="inlineStr">
        <is>
          <t>Positivo</t>
        </is>
      </c>
      <c r="F1216" s="105" t="n">
        <v>45382</v>
      </c>
      <c r="G1216" t="inlineStr">
        <is>
          <t>416-2024-03-31</t>
        </is>
      </c>
      <c r="H1216" t="inlineStr">
        <is>
          <t>Gerencia de servicios corporativos</t>
        </is>
      </c>
      <c r="I1216" t="n">
        <v>100</v>
      </c>
      <c r="J1216" t="n">
        <v>318.4700012207031</v>
      </c>
      <c r="CH1216" t="n">
        <v>50</v>
      </c>
      <c r="CI1216" t="n">
        <v>15.7</v>
      </c>
    </row>
    <row r="1217">
      <c r="A1217" t="n">
        <v>416</v>
      </c>
      <c r="B1217" t="inlineStr">
        <is>
          <t>Cumplimiento Plan Anual Vicerrectoría de crecimiento</t>
        </is>
      </c>
      <c r="C1217" t="inlineStr">
        <is>
          <t>Planeación Estratégica</t>
        </is>
      </c>
      <c r="D1217" t="inlineStr">
        <is>
          <t>Semestral</t>
        </is>
      </c>
      <c r="E1217" t="inlineStr">
        <is>
          <t>Positivo</t>
        </is>
      </c>
      <c r="F1217" s="105" t="n">
        <v>45382</v>
      </c>
      <c r="G1217" t="inlineStr">
        <is>
          <t>416-2024-03-31</t>
        </is>
      </c>
      <c r="H1217" t="inlineStr">
        <is>
          <t>Director B2B y B2C</t>
        </is>
      </c>
      <c r="I1217" t="n">
        <v>100</v>
      </c>
      <c r="J1217" t="n">
        <v>98.08999633789062</v>
      </c>
      <c r="CH1217" t="n">
        <v>52.5</v>
      </c>
      <c r="CI1217" t="n">
        <v>53.52</v>
      </c>
    </row>
    <row r="1218">
      <c r="A1218" t="n">
        <v>416</v>
      </c>
      <c r="B1218" t="inlineStr">
        <is>
          <t>Cumplimiento Plan Anual Vicerrectoría de crecimiento</t>
        </is>
      </c>
      <c r="C1218" t="inlineStr">
        <is>
          <t>Planeación Estratégica</t>
        </is>
      </c>
      <c r="D1218" t="inlineStr">
        <is>
          <t>Semestral</t>
        </is>
      </c>
      <c r="E1218" t="inlineStr">
        <is>
          <t>Positivo</t>
        </is>
      </c>
      <c r="F1218" s="105" t="n">
        <v>45382</v>
      </c>
      <c r="G1218" t="inlineStr">
        <is>
          <t>416-2024-03-31</t>
        </is>
      </c>
      <c r="H1218" t="inlineStr">
        <is>
          <t>Gerencia de matriculas</t>
        </is>
      </c>
      <c r="I1218" t="n">
        <v>100</v>
      </c>
      <c r="J1218" t="n">
        <v>81.01999664306641</v>
      </c>
      <c r="CH1218" t="n">
        <v>33</v>
      </c>
      <c r="CI1218" t="n">
        <v>40.73</v>
      </c>
    </row>
    <row r="1219">
      <c r="A1219" t="n">
        <v>416</v>
      </c>
      <c r="B1219" t="inlineStr">
        <is>
          <t>Cumplimiento Plan Anual Vicerrectoría de crecimiento</t>
        </is>
      </c>
      <c r="C1219" t="inlineStr">
        <is>
          <t>Planeación Estratégica</t>
        </is>
      </c>
      <c r="D1219" t="inlineStr">
        <is>
          <t>Semestral</t>
        </is>
      </c>
      <c r="E1219" t="inlineStr">
        <is>
          <t>Positivo</t>
        </is>
      </c>
      <c r="F1219" s="105" t="n">
        <v>45382</v>
      </c>
      <c r="G1219" t="inlineStr">
        <is>
          <t>416-2024-03-31</t>
        </is>
      </c>
      <c r="H1219" t="inlineStr">
        <is>
          <t>Director de producto</t>
        </is>
      </c>
      <c r="I1219" t="n">
        <v>100</v>
      </c>
      <c r="J1219" t="n">
        <v>120.3600006103516</v>
      </c>
      <c r="CH1219" t="n">
        <v>17.5</v>
      </c>
      <c r="CI1219" t="n">
        <v>14.54</v>
      </c>
    </row>
    <row r="1220">
      <c r="A1220" t="n">
        <v>417</v>
      </c>
      <c r="B1220" t="inlineStr">
        <is>
          <t>Cumplimiento Plan Anual Vicerrectoría Financiera</t>
        </is>
      </c>
      <c r="C1220" t="inlineStr">
        <is>
          <t>Planeación Estratégica</t>
        </is>
      </c>
      <c r="D1220" t="inlineStr">
        <is>
          <t>Semestral</t>
        </is>
      </c>
      <c r="E1220" t="inlineStr">
        <is>
          <t>Positivo</t>
        </is>
      </c>
      <c r="F1220" s="105" t="n">
        <v>45382</v>
      </c>
      <c r="G1220" t="inlineStr">
        <is>
          <t>417-2024-03-31</t>
        </is>
      </c>
      <c r="H1220" t="inlineStr">
        <is>
          <t>Dirección de infraestructura</t>
        </is>
      </c>
      <c r="I1220" t="n">
        <v>100</v>
      </c>
      <c r="J1220" t="n">
        <v>109.0999984741211</v>
      </c>
      <c r="CJ1220" t="n">
        <v>66.67</v>
      </c>
      <c r="CK1220" t="n">
        <v>61.11</v>
      </c>
    </row>
    <row r="1221">
      <c r="A1221" t="n">
        <v>417</v>
      </c>
      <c r="B1221" t="inlineStr">
        <is>
          <t>Cumplimiento Plan Anual Vicerrectoría Financiera</t>
        </is>
      </c>
      <c r="C1221" t="inlineStr">
        <is>
          <t>Planeación Estratégica</t>
        </is>
      </c>
      <c r="D1221" t="inlineStr">
        <is>
          <t>Semestral</t>
        </is>
      </c>
      <c r="E1221" t="inlineStr">
        <is>
          <t>Positivo</t>
        </is>
      </c>
      <c r="F1221" s="105" t="n">
        <v>45382</v>
      </c>
      <c r="G1221" t="inlineStr">
        <is>
          <t>417-2024-03-31</t>
        </is>
      </c>
      <c r="H1221" t="inlineStr">
        <is>
          <t>Dirección de servicios administrativos</t>
        </is>
      </c>
      <c r="I1221" t="n">
        <v>100</v>
      </c>
      <c r="J1221" t="n">
        <v>109.4300003051758</v>
      </c>
      <c r="CJ1221" t="n">
        <v>52</v>
      </c>
      <c r="CK1221" t="n">
        <v>47.52</v>
      </c>
    </row>
    <row r="1222">
      <c r="A1222" t="n">
        <v>417</v>
      </c>
      <c r="B1222" t="inlineStr">
        <is>
          <t>Cumplimiento Plan Anual Vicerrectoría Financiera</t>
        </is>
      </c>
      <c r="C1222" t="inlineStr">
        <is>
          <t>Planeación Estratégica</t>
        </is>
      </c>
      <c r="D1222" t="inlineStr">
        <is>
          <t>Semestral</t>
        </is>
      </c>
      <c r="E1222" t="inlineStr">
        <is>
          <t>Positivo</t>
        </is>
      </c>
      <c r="F1222" s="105" t="n">
        <v>45382</v>
      </c>
      <c r="G1222" t="inlineStr">
        <is>
          <t>417-2024-03-31</t>
        </is>
      </c>
      <c r="H1222" t="inlineStr">
        <is>
          <t>Dirección de relacionamiento de CSU</t>
        </is>
      </c>
      <c r="I1222" t="n">
        <v>100</v>
      </c>
      <c r="J1222" t="n">
        <v>99.97000122070312</v>
      </c>
      <c r="CJ1222" t="n">
        <v>28.75</v>
      </c>
      <c r="CK1222" t="n">
        <v>28.76</v>
      </c>
    </row>
    <row r="1223">
      <c r="A1223" t="n">
        <v>417</v>
      </c>
      <c r="B1223" t="inlineStr">
        <is>
          <t>Cumplimiento Plan Anual Vicerrectoría Financiera</t>
        </is>
      </c>
      <c r="C1223" t="inlineStr">
        <is>
          <t>Planeación Estratégica</t>
        </is>
      </c>
      <c r="D1223" t="inlineStr">
        <is>
          <t>Semestral</t>
        </is>
      </c>
      <c r="E1223" t="inlineStr">
        <is>
          <t>Positivo</t>
        </is>
      </c>
      <c r="F1223" s="105" t="n">
        <v>45382</v>
      </c>
      <c r="G1223" t="inlineStr">
        <is>
          <t>417-2024-03-31</t>
        </is>
      </c>
      <c r="H1223" t="inlineStr">
        <is>
          <t>Dirección de contabilidad</t>
        </is>
      </c>
      <c r="I1223" t="n">
        <v>100</v>
      </c>
      <c r="J1223" t="n">
        <v>97.27999877929688</v>
      </c>
      <c r="CJ1223" t="n">
        <v>27.92</v>
      </c>
      <c r="CK1223" t="n">
        <v>28.7</v>
      </c>
    </row>
    <row r="1224">
      <c r="A1224" t="n">
        <v>417</v>
      </c>
      <c r="B1224" t="inlineStr">
        <is>
          <t>Cumplimiento Plan Anual Vicerrectoría Financiera</t>
        </is>
      </c>
      <c r="C1224" t="inlineStr">
        <is>
          <t>Planeación Estratégica</t>
        </is>
      </c>
      <c r="D1224" t="inlineStr">
        <is>
          <t>Semestral</t>
        </is>
      </c>
      <c r="E1224" t="inlineStr">
        <is>
          <t>Positivo</t>
        </is>
      </c>
      <c r="F1224" s="105" t="n">
        <v>45382</v>
      </c>
      <c r="G1224" t="inlineStr">
        <is>
          <t>417-2024-03-31</t>
        </is>
      </c>
      <c r="H1224" t="inlineStr">
        <is>
          <t>Dirección planeación financiera y tesorería</t>
        </is>
      </c>
      <c r="I1224" t="n">
        <v>100</v>
      </c>
      <c r="J1224" t="n">
        <v>110.2300033569336</v>
      </c>
      <c r="CJ1224" t="n">
        <v>53.33</v>
      </c>
      <c r="CK1224" t="n">
        <v>48.38</v>
      </c>
    </row>
    <row r="1225">
      <c r="A1225" t="n">
        <v>417</v>
      </c>
      <c r="B1225" t="inlineStr">
        <is>
          <t>Cumplimiento Plan Anual Vicerrectoría Financiera</t>
        </is>
      </c>
      <c r="C1225" t="inlineStr">
        <is>
          <t>Planeación Estratégica</t>
        </is>
      </c>
      <c r="D1225" t="inlineStr">
        <is>
          <t>Semestral</t>
        </is>
      </c>
      <c r="E1225" t="inlineStr">
        <is>
          <t>Positivo</t>
        </is>
      </c>
      <c r="F1225" s="105" t="n">
        <v>45382</v>
      </c>
      <c r="G1225" t="inlineStr">
        <is>
          <t>417-2024-03-31</t>
        </is>
      </c>
      <c r="H1225" t="inlineStr">
        <is>
          <t>Dirección de compras y abastecimiento</t>
        </is>
      </c>
      <c r="I1225" t="n">
        <v>100</v>
      </c>
      <c r="J1225" t="n">
        <v>68.05999755859375</v>
      </c>
      <c r="CJ1225" t="n">
        <v>25</v>
      </c>
      <c r="CK1225" t="n">
        <v>36.73</v>
      </c>
    </row>
    <row r="1226">
      <c r="A1226" t="n">
        <v>418</v>
      </c>
      <c r="B1226" t="inlineStr">
        <is>
          <t>Cumplimiento Plan Anual Vicerrectoría Académica</t>
        </is>
      </c>
      <c r="C1226" t="inlineStr">
        <is>
          <t>Planeación Estratégica</t>
        </is>
      </c>
      <c r="D1226" t="inlineStr">
        <is>
          <t>Semestral</t>
        </is>
      </c>
      <c r="E1226" t="inlineStr">
        <is>
          <t>Positivo</t>
        </is>
      </c>
      <c r="F1226" s="105" t="n">
        <v>45382</v>
      </c>
      <c r="G1226" t="inlineStr">
        <is>
          <t>418-2024-03-31</t>
        </is>
      </c>
      <c r="H1226" t="inlineStr">
        <is>
          <t>Dirección aseguramiento de la calidad</t>
        </is>
      </c>
      <c r="I1226" t="n">
        <v>100</v>
      </c>
      <c r="J1226" t="n">
        <v>129.3500061035156</v>
      </c>
      <c r="CL1226" t="n">
        <v>47.29</v>
      </c>
      <c r="CM1226" t="n">
        <v>36.56</v>
      </c>
    </row>
    <row r="1227">
      <c r="A1227" t="n">
        <v>418</v>
      </c>
      <c r="B1227" t="inlineStr">
        <is>
          <t>Cumplimiento Plan Anual Vicerrectoría Académica</t>
        </is>
      </c>
      <c r="C1227" t="inlineStr">
        <is>
          <t>Planeación Estratégica</t>
        </is>
      </c>
      <c r="D1227" t="inlineStr">
        <is>
          <t>Semestral</t>
        </is>
      </c>
      <c r="E1227" t="inlineStr">
        <is>
          <t>Positivo</t>
        </is>
      </c>
      <c r="F1227" s="105" t="n">
        <v>45382</v>
      </c>
      <c r="G1227" t="inlineStr">
        <is>
          <t>418-2024-03-31</t>
        </is>
      </c>
      <c r="H1227" t="inlineStr">
        <is>
          <t>Dirección relaciones nacionales e internacionales</t>
        </is>
      </c>
      <c r="I1227" t="n">
        <v>100</v>
      </c>
      <c r="J1227" t="n">
        <v>159.2400054931641</v>
      </c>
      <c r="CL1227" t="n">
        <v>25</v>
      </c>
      <c r="CM1227" t="n">
        <v>15.7</v>
      </c>
    </row>
    <row r="1228">
      <c r="A1228" t="n">
        <v>418</v>
      </c>
      <c r="B1228" t="inlineStr">
        <is>
          <t>Cumplimiento Plan Anual Vicerrectoría Académica</t>
        </is>
      </c>
      <c r="C1228" t="inlineStr">
        <is>
          <t>Planeación Estratégica</t>
        </is>
      </c>
      <c r="D1228" t="inlineStr">
        <is>
          <t>Semestral</t>
        </is>
      </c>
      <c r="E1228" t="inlineStr">
        <is>
          <t>Positivo</t>
        </is>
      </c>
      <c r="F1228" s="105" t="n">
        <v>45382</v>
      </c>
      <c r="G1228" t="inlineStr">
        <is>
          <t>418-2024-03-31</t>
        </is>
      </c>
      <c r="H1228" t="inlineStr">
        <is>
          <t>Facultad sociedad cultura y creatividad</t>
        </is>
      </c>
      <c r="I1228" t="n">
        <v>100</v>
      </c>
      <c r="J1228" t="n">
        <v>71.58000183105469</v>
      </c>
      <c r="CL1228" t="n">
        <v>17.33</v>
      </c>
      <c r="CM1228" t="n">
        <v>24.21</v>
      </c>
    </row>
    <row r="1229">
      <c r="A1229" t="n">
        <v>418</v>
      </c>
      <c r="B1229" t="inlineStr">
        <is>
          <t>Cumplimiento Plan Anual Vicerrectoría Académica</t>
        </is>
      </c>
      <c r="C1229" t="inlineStr">
        <is>
          <t>Planeación Estratégica</t>
        </is>
      </c>
      <c r="D1229" t="inlineStr">
        <is>
          <t>Semestral</t>
        </is>
      </c>
      <c r="E1229" t="inlineStr">
        <is>
          <t>Positivo</t>
        </is>
      </c>
      <c r="F1229" s="105" t="n">
        <v>45382</v>
      </c>
      <c r="G1229" t="inlineStr">
        <is>
          <t>418-2024-03-31</t>
        </is>
      </c>
      <c r="H1229" t="inlineStr">
        <is>
          <t>Dirección de docencia</t>
        </is>
      </c>
      <c r="I1229" t="n">
        <v>100</v>
      </c>
      <c r="J1229" t="n">
        <v>64.95999908447266</v>
      </c>
      <c r="CL1229" t="n">
        <v>46</v>
      </c>
      <c r="CM1229" t="n">
        <v>70.81</v>
      </c>
    </row>
    <row r="1230">
      <c r="A1230" t="n">
        <v>418</v>
      </c>
      <c r="B1230" t="inlineStr">
        <is>
          <t>Cumplimiento Plan Anual Vicerrectoría Académica</t>
        </is>
      </c>
      <c r="C1230" t="inlineStr">
        <is>
          <t>Planeación Estratégica</t>
        </is>
      </c>
      <c r="D1230" t="inlineStr">
        <is>
          <t>Semestral</t>
        </is>
      </c>
      <c r="E1230" t="inlineStr">
        <is>
          <t>Positivo</t>
        </is>
      </c>
      <c r="F1230" s="105" t="n">
        <v>45382</v>
      </c>
      <c r="G1230" t="inlineStr">
        <is>
          <t>418-2024-03-31</t>
        </is>
      </c>
      <c r="H1230" t="inlineStr">
        <is>
          <t>Facultad ingeniería diseño e innovación</t>
        </is>
      </c>
      <c r="I1230" t="n">
        <v>100</v>
      </c>
      <c r="J1230" t="n">
        <v>242.6100006103516</v>
      </c>
      <c r="CL1230" t="n">
        <v>67.98</v>
      </c>
      <c r="CM1230" t="n">
        <v>28.02</v>
      </c>
    </row>
    <row r="1231">
      <c r="A1231" t="n">
        <v>418</v>
      </c>
      <c r="B1231" t="inlineStr">
        <is>
          <t>Cumplimiento Plan Anual Vicerrectoría Académica</t>
        </is>
      </c>
      <c r="C1231" t="inlineStr">
        <is>
          <t>Planeación Estratégica</t>
        </is>
      </c>
      <c r="D1231" t="inlineStr">
        <is>
          <t>Semestral</t>
        </is>
      </c>
      <c r="E1231" t="inlineStr">
        <is>
          <t>Positivo</t>
        </is>
      </c>
      <c r="F1231" s="105" t="n">
        <v>45382</v>
      </c>
      <c r="G1231" t="inlineStr">
        <is>
          <t>418-2024-03-31</t>
        </is>
      </c>
      <c r="H1231" t="inlineStr">
        <is>
          <t>Secretaria académica y de extensión</t>
        </is>
      </c>
      <c r="I1231" t="n">
        <v>100</v>
      </c>
      <c r="CL1231" t="n">
        <v>0</v>
      </c>
      <c r="CM1231" t="n">
        <v>29.88</v>
      </c>
    </row>
    <row r="1232">
      <c r="A1232" t="n">
        <v>418</v>
      </c>
      <c r="B1232" t="inlineStr">
        <is>
          <t>Cumplimiento Plan Anual Vicerrectoría Académica</t>
        </is>
      </c>
      <c r="C1232" t="inlineStr">
        <is>
          <t>Planeación Estratégica</t>
        </is>
      </c>
      <c r="D1232" t="inlineStr">
        <is>
          <t>Semestral</t>
        </is>
      </c>
      <c r="E1232" t="inlineStr">
        <is>
          <t>Positivo</t>
        </is>
      </c>
      <c r="F1232" s="105" t="n">
        <v>45382</v>
      </c>
      <c r="G1232" t="inlineStr">
        <is>
          <t>418-2024-03-31</t>
        </is>
      </c>
      <c r="H1232" t="inlineStr">
        <is>
          <t>Facultad negocios gestión y sostenibilidad</t>
        </is>
      </c>
      <c r="I1232" t="n">
        <v>100</v>
      </c>
      <c r="J1232" t="n">
        <v>147.6399993896484</v>
      </c>
      <c r="CL1232" t="n">
        <v>44.5</v>
      </c>
      <c r="CM1232" t="n">
        <v>30.14</v>
      </c>
    </row>
    <row r="1233">
      <c r="A1233" t="n">
        <v>418</v>
      </c>
      <c r="B1233" t="inlineStr">
        <is>
          <t>Cumplimiento Plan Anual Vicerrectoría Académica</t>
        </is>
      </c>
      <c r="C1233" t="inlineStr">
        <is>
          <t>Planeación Estratégica</t>
        </is>
      </c>
      <c r="D1233" t="inlineStr">
        <is>
          <t>Semestral</t>
        </is>
      </c>
      <c r="E1233" t="inlineStr">
        <is>
          <t>Positivo</t>
        </is>
      </c>
      <c r="F1233" s="105" t="n">
        <v>45382</v>
      </c>
      <c r="G1233" t="inlineStr">
        <is>
          <t>418-2024-03-31</t>
        </is>
      </c>
      <c r="H1233" t="inlineStr">
        <is>
          <t>Dirección de currículo presencial y virtual</t>
        </is>
      </c>
      <c r="I1233" t="n">
        <v>100</v>
      </c>
      <c r="J1233" t="n">
        <v>69.12000274658203</v>
      </c>
      <c r="CL1233" t="n">
        <v>1.5</v>
      </c>
      <c r="CM1233" t="n">
        <v>2.17</v>
      </c>
    </row>
    <row r="1234">
      <c r="A1234" t="n">
        <v>418</v>
      </c>
      <c r="B1234" t="inlineStr">
        <is>
          <t>Cumplimiento Plan Anual Vicerrectoría Académica</t>
        </is>
      </c>
      <c r="C1234" t="inlineStr">
        <is>
          <t>Planeación Estratégica</t>
        </is>
      </c>
      <c r="D1234" t="inlineStr">
        <is>
          <t>Semestral</t>
        </is>
      </c>
      <c r="E1234" t="inlineStr">
        <is>
          <t>Positivo</t>
        </is>
      </c>
      <c r="F1234" s="105" t="n">
        <v>45382</v>
      </c>
      <c r="G1234" t="inlineStr">
        <is>
          <t>418-2024-03-31</t>
        </is>
      </c>
      <c r="H1234" t="inlineStr">
        <is>
          <t>Dirección investigación innovación y creación</t>
        </is>
      </c>
      <c r="I1234" t="n">
        <v>100</v>
      </c>
      <c r="J1234" t="n">
        <v>65.04000091552734</v>
      </c>
      <c r="CL1234" t="n">
        <v>56.21</v>
      </c>
      <c r="CM1234" t="n">
        <v>86.42</v>
      </c>
    </row>
    <row r="1235">
      <c r="A1235" t="n">
        <v>420</v>
      </c>
      <c r="B1235" t="inlineStr">
        <is>
          <t>Cumplimiento Plan Anual Gerencia de estrategia</t>
        </is>
      </c>
      <c r="C1235" t="inlineStr">
        <is>
          <t>Planeación Estratégica</t>
        </is>
      </c>
      <c r="D1235" t="inlineStr">
        <is>
          <t>Semestral</t>
        </is>
      </c>
      <c r="E1235" t="inlineStr">
        <is>
          <t>Positivo</t>
        </is>
      </c>
      <c r="F1235" s="105" t="n">
        <v>45382</v>
      </c>
      <c r="G1235" t="inlineStr">
        <is>
          <t>420-2024-03-31</t>
        </is>
      </c>
      <c r="H1235" t="inlineStr">
        <is>
          <t>SGC</t>
        </is>
      </c>
      <c r="I1235" t="n">
        <v>100</v>
      </c>
      <c r="J1235" t="n">
        <v>0</v>
      </c>
      <c r="CN1235" t="n">
        <v>0</v>
      </c>
      <c r="CO1235" t="n">
        <v>0</v>
      </c>
    </row>
    <row r="1236">
      <c r="A1236" t="n">
        <v>420</v>
      </c>
      <c r="B1236" t="inlineStr">
        <is>
          <t>Cumplimiento Plan Anual Gerencia de estrategia</t>
        </is>
      </c>
      <c r="C1236" t="inlineStr">
        <is>
          <t>Planeación Estratégica</t>
        </is>
      </c>
      <c r="D1236" t="inlineStr">
        <is>
          <t>Semestral</t>
        </is>
      </c>
      <c r="E1236" t="inlineStr">
        <is>
          <t>Positivo</t>
        </is>
      </c>
      <c r="F1236" s="105" t="n">
        <v>45382</v>
      </c>
      <c r="G1236" t="inlineStr">
        <is>
          <t>420-2024-03-31</t>
        </is>
      </c>
      <c r="H1236" t="inlineStr">
        <is>
          <t>SGA</t>
        </is>
      </c>
      <c r="I1236" t="n">
        <v>100</v>
      </c>
      <c r="J1236" t="n">
        <v>0</v>
      </c>
      <c r="CN1236" t="n">
        <v>0</v>
      </c>
      <c r="CO1236" t="n">
        <v>0</v>
      </c>
    </row>
    <row r="1237">
      <c r="A1237" t="n">
        <v>420</v>
      </c>
      <c r="B1237" t="inlineStr">
        <is>
          <t>Cumplimiento Plan Anual Gerencia de estrategia</t>
        </is>
      </c>
      <c r="C1237" t="inlineStr">
        <is>
          <t>Planeación Estratégica</t>
        </is>
      </c>
      <c r="D1237" t="inlineStr">
        <is>
          <t>Semestral</t>
        </is>
      </c>
      <c r="E1237" t="inlineStr">
        <is>
          <t>Positivo</t>
        </is>
      </c>
      <c r="F1237" s="105" t="n">
        <v>45382</v>
      </c>
      <c r="G1237" t="inlineStr">
        <is>
          <t>420-2024-03-31</t>
        </is>
      </c>
      <c r="H1237" t="inlineStr">
        <is>
          <t>Riesgos</t>
        </is>
      </c>
      <c r="I1237" t="n">
        <v>100</v>
      </c>
      <c r="J1237" t="n">
        <v>0</v>
      </c>
      <c r="CN1237" t="n">
        <v>0</v>
      </c>
      <c r="CO1237" t="n">
        <v>0</v>
      </c>
    </row>
    <row r="1238">
      <c r="A1238" t="n">
        <v>420</v>
      </c>
      <c r="B1238" t="inlineStr">
        <is>
          <t>Cumplimiento Plan Anual Gerencia de estrategia</t>
        </is>
      </c>
      <c r="C1238" t="inlineStr">
        <is>
          <t>Planeación Estratégica</t>
        </is>
      </c>
      <c r="D1238" t="inlineStr">
        <is>
          <t>Semestral</t>
        </is>
      </c>
      <c r="E1238" t="inlineStr">
        <is>
          <t>Positivo</t>
        </is>
      </c>
      <c r="F1238" s="105" t="n">
        <v>45382</v>
      </c>
      <c r="G1238" t="inlineStr">
        <is>
          <t>420-2024-03-31</t>
        </is>
      </c>
      <c r="H1238" t="inlineStr">
        <is>
          <t>Auditoría</t>
        </is>
      </c>
      <c r="I1238" t="n">
        <v>100</v>
      </c>
      <c r="J1238" t="n">
        <v>0</v>
      </c>
      <c r="CN1238" t="n">
        <v>0</v>
      </c>
      <c r="CO1238" t="n">
        <v>0</v>
      </c>
    </row>
    <row r="1239">
      <c r="A1239" t="n">
        <v>420</v>
      </c>
      <c r="B1239" t="inlineStr">
        <is>
          <t>Cumplimiento Plan Anual Gerencia de estrategia</t>
        </is>
      </c>
      <c r="C1239" t="inlineStr">
        <is>
          <t>Planeación Estratégica</t>
        </is>
      </c>
      <c r="D1239" t="inlineStr">
        <is>
          <t>Semestral</t>
        </is>
      </c>
      <c r="E1239" t="inlineStr">
        <is>
          <t>Positivo</t>
        </is>
      </c>
      <c r="F1239" s="105" t="n">
        <v>45382</v>
      </c>
      <c r="G1239" t="inlineStr">
        <is>
          <t>420-2024-03-31</t>
        </is>
      </c>
      <c r="H1239" t="inlineStr">
        <is>
          <t>Planeación estratégica</t>
        </is>
      </c>
      <c r="I1239" t="n">
        <v>100</v>
      </c>
      <c r="J1239" t="n">
        <v>0</v>
      </c>
      <c r="CN1239" t="n">
        <v>0</v>
      </c>
      <c r="CO1239" t="n">
        <v>0</v>
      </c>
    </row>
    <row r="1240">
      <c r="A1240" t="n">
        <v>420</v>
      </c>
      <c r="B1240" t="inlineStr">
        <is>
          <t>Cumplimiento Plan Anual Gerencia de estrategia</t>
        </is>
      </c>
      <c r="C1240" t="inlineStr">
        <is>
          <t>Planeación Estratégica</t>
        </is>
      </c>
      <c r="D1240" t="inlineStr">
        <is>
          <t>Semestral</t>
        </is>
      </c>
      <c r="E1240" t="inlineStr">
        <is>
          <t>Positivo</t>
        </is>
      </c>
      <c r="F1240" s="105" t="n">
        <v>45382</v>
      </c>
      <c r="G1240" t="inlineStr">
        <is>
          <t>420-2024-03-31</t>
        </is>
      </c>
      <c r="H1240" t="inlineStr">
        <is>
          <t>Estudios Internos</t>
        </is>
      </c>
      <c r="I1240" t="n">
        <v>100</v>
      </c>
      <c r="J1240" t="n">
        <v>0</v>
      </c>
      <c r="CN1240" t="n">
        <v>0</v>
      </c>
      <c r="CO1240" t="n">
        <v>0</v>
      </c>
    </row>
    <row r="1241">
      <c r="A1241" t="n">
        <v>432</v>
      </c>
      <c r="B1241" t="inlineStr">
        <is>
          <t>Intervención a la gestión del riesgo de los colaboradores</t>
        </is>
      </c>
      <c r="C1241" t="inlineStr">
        <is>
          <t>GESTIÓN DE SEGURIDAD Y SALUD EN EL TRABAJO</t>
        </is>
      </c>
      <c r="D1241" t="inlineStr">
        <is>
          <t>Semestral</t>
        </is>
      </c>
      <c r="E1241" t="inlineStr">
        <is>
          <t>Positivo</t>
        </is>
      </c>
      <c r="F1241" s="105" t="n">
        <v>45382</v>
      </c>
      <c r="G1241" t="inlineStr">
        <is>
          <t>432-2024-03-31</t>
        </is>
      </c>
      <c r="H1241" t="inlineStr">
        <is>
          <t>Plan de gestión TAR</t>
        </is>
      </c>
      <c r="I1241" t="n">
        <v>90</v>
      </c>
      <c r="J1241" t="n">
        <v>100</v>
      </c>
      <c r="CS1241" t="n">
        <v>5</v>
      </c>
      <c r="CT1241" t="n">
        <v>5</v>
      </c>
    </row>
    <row r="1242">
      <c r="A1242" t="n">
        <v>432</v>
      </c>
      <c r="B1242" t="inlineStr">
        <is>
          <t>Intervención a la gestión del riesgo de los colaboradores</t>
        </is>
      </c>
      <c r="C1242" t="inlineStr">
        <is>
          <t>GESTIÓN DE SEGURIDAD Y SALUD EN EL TRABAJO</t>
        </is>
      </c>
      <c r="D1242" t="inlineStr">
        <is>
          <t>Semestral</t>
        </is>
      </c>
      <c r="E1242" t="inlineStr">
        <is>
          <t>Positivo</t>
        </is>
      </c>
      <c r="F1242" s="105" t="n">
        <v>45382</v>
      </c>
      <c r="G1242" t="inlineStr">
        <is>
          <t>432-2024-03-31</t>
        </is>
      </c>
      <c r="H1242" t="inlineStr">
        <is>
          <t>Plan de gestión riesgo biológico</t>
        </is>
      </c>
      <c r="I1242" t="n">
        <v>90</v>
      </c>
      <c r="J1242" t="n">
        <v>100</v>
      </c>
      <c r="CS1242" t="n">
        <v>2</v>
      </c>
      <c r="CT1242" t="n">
        <v>2</v>
      </c>
    </row>
    <row r="1243">
      <c r="A1243" t="n">
        <v>432</v>
      </c>
      <c r="B1243" t="inlineStr">
        <is>
          <t>Intervención a la gestión del riesgo de los colaboradores</t>
        </is>
      </c>
      <c r="C1243" t="inlineStr">
        <is>
          <t>GESTIÓN DE SEGURIDAD Y SALUD EN EL TRABAJO</t>
        </is>
      </c>
      <c r="D1243" t="inlineStr">
        <is>
          <t>Semestral</t>
        </is>
      </c>
      <c r="E1243" t="inlineStr">
        <is>
          <t>Positivo</t>
        </is>
      </c>
      <c r="F1243" s="105" t="n">
        <v>45382</v>
      </c>
      <c r="G1243" t="inlineStr">
        <is>
          <t>432-2024-03-31</t>
        </is>
      </c>
      <c r="H1243" t="inlineStr">
        <is>
          <t>Plan de gestión inspecciones de seguridad</t>
        </is>
      </c>
      <c r="I1243" t="n">
        <v>90</v>
      </c>
      <c r="J1243" t="n">
        <v>100</v>
      </c>
      <c r="CS1243" t="n">
        <v>25</v>
      </c>
      <c r="CT1243" t="n">
        <v>25</v>
      </c>
    </row>
    <row r="1244">
      <c r="A1244" t="n">
        <v>432</v>
      </c>
      <c r="B1244" t="inlineStr">
        <is>
          <t>Intervención a la gestión del riesgo de los colaboradores</t>
        </is>
      </c>
      <c r="C1244" t="inlineStr">
        <is>
          <t>GESTIÓN DE SEGURIDAD Y SALUD EN EL TRABAJO</t>
        </is>
      </c>
      <c r="D1244" t="inlineStr">
        <is>
          <t>Semestral</t>
        </is>
      </c>
      <c r="E1244" t="inlineStr">
        <is>
          <t>Positivo</t>
        </is>
      </c>
      <c r="F1244" s="105" t="n">
        <v>45382</v>
      </c>
      <c r="G1244" t="inlineStr">
        <is>
          <t>432-2024-03-31</t>
        </is>
      </c>
      <c r="H1244" t="inlineStr">
        <is>
          <t>Plan de gestión de riesgo químico</t>
        </is>
      </c>
      <c r="I1244" t="n">
        <v>90</v>
      </c>
      <c r="J1244" t="n">
        <v>100</v>
      </c>
      <c r="CS1244" t="n">
        <v>7</v>
      </c>
      <c r="CT1244" t="n">
        <v>7</v>
      </c>
    </row>
    <row r="1245">
      <c r="A1245" t="n">
        <v>432</v>
      </c>
      <c r="B1245" t="inlineStr">
        <is>
          <t>Intervención a la gestión del riesgo de los colaboradores</t>
        </is>
      </c>
      <c r="C1245" t="inlineStr">
        <is>
          <t>GESTIÓN DE SEGURIDAD Y SALUD EN EL TRABAJO</t>
        </is>
      </c>
      <c r="D1245" t="inlineStr">
        <is>
          <t>Semestral</t>
        </is>
      </c>
      <c r="E1245" t="inlineStr">
        <is>
          <t>Positivo</t>
        </is>
      </c>
      <c r="F1245" s="105" t="n">
        <v>45382</v>
      </c>
      <c r="G1245" t="inlineStr">
        <is>
          <t>432-2024-03-31</t>
        </is>
      </c>
      <c r="H1245" t="inlineStr">
        <is>
          <t>Plan de gestión Teletrabajadores</t>
        </is>
      </c>
      <c r="I1245" t="n">
        <v>90</v>
      </c>
      <c r="J1245" t="n">
        <v>100</v>
      </c>
      <c r="CS1245" t="n">
        <v>3</v>
      </c>
      <c r="CT1245" t="n">
        <v>3</v>
      </c>
    </row>
    <row r="1246">
      <c r="A1246" t="n">
        <v>432</v>
      </c>
      <c r="B1246" t="inlineStr">
        <is>
          <t>Intervención a la gestión del riesgo de los colaboradores</t>
        </is>
      </c>
      <c r="C1246" t="inlineStr">
        <is>
          <t>GESTIÓN DE SEGURIDAD Y SALUD EN EL TRABAJO</t>
        </is>
      </c>
      <c r="D1246" t="inlineStr">
        <is>
          <t>Semestral</t>
        </is>
      </c>
      <c r="E1246" t="inlineStr">
        <is>
          <t>Positivo</t>
        </is>
      </c>
      <c r="F1246" s="105" t="n">
        <v>45382</v>
      </c>
      <c r="G1246" t="inlineStr">
        <is>
          <t>432-2024-03-31</t>
        </is>
      </c>
      <c r="H1246" t="inlineStr">
        <is>
          <t>Plan de gestión de riesgo psicosocial</t>
        </is>
      </c>
      <c r="I1246" t="n">
        <v>90</v>
      </c>
      <c r="J1246" t="n">
        <v>100</v>
      </c>
      <c r="CS1246" t="n">
        <v>6</v>
      </c>
      <c r="CT1246" t="n">
        <v>6</v>
      </c>
    </row>
    <row r="1247">
      <c r="A1247" t="n">
        <v>432</v>
      </c>
      <c r="B1247" t="inlineStr">
        <is>
          <t>Intervención a la gestión del riesgo de los colaboradores</t>
        </is>
      </c>
      <c r="C1247" t="inlineStr">
        <is>
          <t>GESTIÓN DE SEGURIDAD Y SALUD EN EL TRABAJO</t>
        </is>
      </c>
      <c r="D1247" t="inlineStr">
        <is>
          <t>Semestral</t>
        </is>
      </c>
      <c r="E1247" t="inlineStr">
        <is>
          <t>Positivo</t>
        </is>
      </c>
      <c r="F1247" s="105" t="n">
        <v>45382</v>
      </c>
      <c r="G1247" t="inlineStr">
        <is>
          <t>432-2024-03-31</t>
        </is>
      </c>
      <c r="H1247" t="inlineStr">
        <is>
          <t>Plan estratégico de seguridad vial</t>
        </is>
      </c>
      <c r="I1247" t="n">
        <v>90</v>
      </c>
      <c r="J1247" t="n">
        <v>100</v>
      </c>
      <c r="CS1247" t="n">
        <v>7</v>
      </c>
      <c r="CT1247" t="n">
        <v>7</v>
      </c>
    </row>
    <row r="1248">
      <c r="A1248" t="n">
        <v>432</v>
      </c>
      <c r="B1248" t="inlineStr">
        <is>
          <t>Intervención a la gestión del riesgo de los colaboradores</t>
        </is>
      </c>
      <c r="C1248" t="inlineStr">
        <is>
          <t>GESTIÓN DE SEGURIDAD Y SALUD EN EL TRABAJO</t>
        </is>
      </c>
      <c r="D1248" t="inlineStr">
        <is>
          <t>Semestral</t>
        </is>
      </c>
      <c r="E1248" t="inlineStr">
        <is>
          <t>Positivo</t>
        </is>
      </c>
      <c r="F1248" s="105" t="n">
        <v>45382</v>
      </c>
      <c r="G1248" t="inlineStr">
        <is>
          <t>432-2024-03-31</t>
        </is>
      </c>
      <c r="H1248" t="inlineStr">
        <is>
          <t>Plan de de gestión conservación de la voz</t>
        </is>
      </c>
      <c r="I1248" t="n">
        <v>90</v>
      </c>
      <c r="J1248" t="n">
        <v>100</v>
      </c>
      <c r="CS1248" t="n">
        <v>2</v>
      </c>
      <c r="CT1248" t="n">
        <v>2</v>
      </c>
    </row>
    <row r="1249">
      <c r="A1249" t="n">
        <v>432</v>
      </c>
      <c r="B1249" t="inlineStr">
        <is>
          <t>Intervención a la gestión del riesgo de los colaboradores</t>
        </is>
      </c>
      <c r="C1249" t="inlineStr">
        <is>
          <t>GESTIÓN DE SEGURIDAD Y SALUD EN EL TRABAJO</t>
        </is>
      </c>
      <c r="D1249" t="inlineStr">
        <is>
          <t>Semestral</t>
        </is>
      </c>
      <c r="E1249" t="inlineStr">
        <is>
          <t>Positivo</t>
        </is>
      </c>
      <c r="F1249" s="105" t="n">
        <v>45382</v>
      </c>
      <c r="G1249" t="inlineStr">
        <is>
          <t>432-2024-03-31</t>
        </is>
      </c>
      <c r="H1249" t="inlineStr">
        <is>
          <t>Plan de gestión osteomuscular</t>
        </is>
      </c>
      <c r="I1249" t="n">
        <v>90</v>
      </c>
      <c r="J1249" t="n">
        <v>100</v>
      </c>
      <c r="CS1249" t="n">
        <v>4</v>
      </c>
      <c r="CT1249" t="n">
        <v>4</v>
      </c>
    </row>
    <row r="1250">
      <c r="A1250" t="n">
        <v>469</v>
      </c>
      <c r="B1250" t="inlineStr">
        <is>
          <t>Cumplimiento Plan Anual Áreas sede Medellín</t>
        </is>
      </c>
      <c r="C1250" t="inlineStr">
        <is>
          <t>Planeación Estratégica</t>
        </is>
      </c>
      <c r="D1250" t="inlineStr">
        <is>
          <t>Semestral</t>
        </is>
      </c>
      <c r="E1250" t="inlineStr">
        <is>
          <t>Positivo</t>
        </is>
      </c>
      <c r="F1250" s="105" t="n">
        <v>45382</v>
      </c>
      <c r="G1250" t="inlineStr">
        <is>
          <t>469-2024-03-31</t>
        </is>
      </c>
      <c r="H1250" t="inlineStr">
        <is>
          <t>DIRECCIÓN DE MATRÍCULAS</t>
        </is>
      </c>
      <c r="I1250" t="n">
        <v>100</v>
      </c>
      <c r="J1250" t="n">
        <v>116.2799987792969</v>
      </c>
      <c r="DF1250" t="n">
        <v>100</v>
      </c>
      <c r="DG1250" t="n">
        <v>86</v>
      </c>
    </row>
    <row r="1251">
      <c r="A1251" t="n">
        <v>469</v>
      </c>
      <c r="B1251" t="inlineStr">
        <is>
          <t>Cumplimiento Plan Anual Áreas sede Medellín</t>
        </is>
      </c>
      <c r="C1251" t="inlineStr">
        <is>
          <t>Planeación Estratégica</t>
        </is>
      </c>
      <c r="D1251" t="inlineStr">
        <is>
          <t>Semestral</t>
        </is>
      </c>
      <c r="E1251" t="inlineStr">
        <is>
          <t>Positivo</t>
        </is>
      </c>
      <c r="F1251" s="105" t="n">
        <v>45382</v>
      </c>
      <c r="G1251" t="inlineStr">
        <is>
          <t>469-2024-03-31</t>
        </is>
      </c>
      <c r="H1251" t="inlineStr">
        <is>
          <t>FNGS-NEG Y DLLO INTER-NEGOCIOS INTERNACIONALES</t>
        </is>
      </c>
      <c r="I1251" t="n">
        <v>100</v>
      </c>
      <c r="J1251" t="n">
        <v>167.1300048828125</v>
      </c>
      <c r="DF1251" t="n">
        <v>60</v>
      </c>
      <c r="DG1251" t="n">
        <v>35.9</v>
      </c>
    </row>
    <row r="1252">
      <c r="A1252" t="n">
        <v>469</v>
      </c>
      <c r="B1252" t="inlineStr">
        <is>
          <t>Cumplimiento Plan Anual Áreas sede Medellín</t>
        </is>
      </c>
      <c r="C1252" t="inlineStr">
        <is>
          <t>Planeación Estratégica</t>
        </is>
      </c>
      <c r="D1252" t="inlineStr">
        <is>
          <t>Semestral</t>
        </is>
      </c>
      <c r="E1252" t="inlineStr">
        <is>
          <t>Positivo</t>
        </is>
      </c>
      <c r="F1252" s="105" t="n">
        <v>45382</v>
      </c>
      <c r="G1252" t="inlineStr">
        <is>
          <t>469-2024-03-31</t>
        </is>
      </c>
      <c r="H1252" t="inlineStr">
        <is>
          <t>FIDI-DISEÑO-DISEÑO GRAFICO</t>
        </is>
      </c>
      <c r="I1252" t="n">
        <v>100</v>
      </c>
      <c r="J1252" t="n">
        <v>183.9299926757812</v>
      </c>
      <c r="DF1252" t="n">
        <v>43.61</v>
      </c>
      <c r="DG1252" t="n">
        <v>23.71</v>
      </c>
    </row>
    <row r="1253">
      <c r="A1253" t="n">
        <v>469</v>
      </c>
      <c r="B1253" t="inlineStr">
        <is>
          <t>Cumplimiento Plan Anual Áreas sede Medellín</t>
        </is>
      </c>
      <c r="C1253" t="inlineStr">
        <is>
          <t>Planeación Estratégica</t>
        </is>
      </c>
      <c r="D1253" t="inlineStr">
        <is>
          <t>Semestral</t>
        </is>
      </c>
      <c r="E1253" t="inlineStr">
        <is>
          <t>Positivo</t>
        </is>
      </c>
      <c r="F1253" s="105" t="n">
        <v>45382</v>
      </c>
      <c r="G1253" t="inlineStr">
        <is>
          <t>469-2024-03-31</t>
        </is>
      </c>
      <c r="H1253" t="inlineStr">
        <is>
          <t>ADMON DE EMPRESAS</t>
        </is>
      </c>
      <c r="I1253" t="n">
        <v>100</v>
      </c>
      <c r="J1253" t="n">
        <v>136.0800018310547</v>
      </c>
      <c r="DF1253" t="n">
        <v>68.75</v>
      </c>
      <c r="DG1253" t="n">
        <v>50.52</v>
      </c>
    </row>
    <row r="1254">
      <c r="A1254" t="n">
        <v>469</v>
      </c>
      <c r="B1254" t="inlineStr">
        <is>
          <t>Cumplimiento Plan Anual Áreas sede Medellín</t>
        </is>
      </c>
      <c r="C1254" t="inlineStr">
        <is>
          <t>Planeación Estratégica</t>
        </is>
      </c>
      <c r="D1254" t="inlineStr">
        <is>
          <t>Semestral</t>
        </is>
      </c>
      <c r="E1254" t="inlineStr">
        <is>
          <t>Positivo</t>
        </is>
      </c>
      <c r="F1254" s="105" t="n">
        <v>45382</v>
      </c>
      <c r="G1254" t="inlineStr">
        <is>
          <t>469-2024-03-31</t>
        </is>
      </c>
      <c r="H1254" t="inlineStr">
        <is>
          <t>FSCC- DERECHO Y GOBIERNO-DERECHO</t>
        </is>
      </c>
      <c r="I1254" t="n">
        <v>100</v>
      </c>
      <c r="J1254" t="n">
        <v>24.51000022888184</v>
      </c>
      <c r="DF1254" t="n">
        <v>20.4</v>
      </c>
      <c r="DG1254" t="n">
        <v>83.23</v>
      </c>
    </row>
    <row r="1255">
      <c r="A1255" t="n">
        <v>469</v>
      </c>
      <c r="B1255" t="inlineStr">
        <is>
          <t>Cumplimiento Plan Anual Áreas sede Medellín</t>
        </is>
      </c>
      <c r="C1255" t="inlineStr">
        <is>
          <t>Planeación Estratégica</t>
        </is>
      </c>
      <c r="D1255" t="inlineStr">
        <is>
          <t>Semestral</t>
        </is>
      </c>
      <c r="E1255" t="inlineStr">
        <is>
          <t>Positivo</t>
        </is>
      </c>
      <c r="F1255" s="105" t="n">
        <v>45382</v>
      </c>
      <c r="G1255" t="inlineStr">
        <is>
          <t>469-2024-03-31</t>
        </is>
      </c>
      <c r="H1255" t="inlineStr">
        <is>
          <t>FIDI-CIENCIAS BÁSICAS MED</t>
        </is>
      </c>
      <c r="I1255" t="n">
        <v>100</v>
      </c>
      <c r="J1255" t="n">
        <v>161.8600006103516</v>
      </c>
      <c r="DF1255" t="n">
        <v>50</v>
      </c>
      <c r="DG1255" t="n">
        <v>30.89</v>
      </c>
    </row>
    <row r="1256">
      <c r="A1256" t="n">
        <v>469</v>
      </c>
      <c r="B1256" t="inlineStr">
        <is>
          <t>Cumplimiento Plan Anual Áreas sede Medellín</t>
        </is>
      </c>
      <c r="C1256" t="inlineStr">
        <is>
          <t>Planeación Estratégica</t>
        </is>
      </c>
      <c r="D1256" t="inlineStr">
        <is>
          <t>Semestral</t>
        </is>
      </c>
      <c r="E1256" t="inlineStr">
        <is>
          <t>Positivo</t>
        </is>
      </c>
      <c r="F1256" s="105" t="n">
        <v>45382</v>
      </c>
      <c r="G1256" t="inlineStr">
        <is>
          <t>469-2024-03-31</t>
        </is>
      </c>
      <c r="H1256" t="inlineStr">
        <is>
          <t>FIDI-OPINA-INGENIERIA INDUSTRIAL</t>
        </is>
      </c>
      <c r="I1256" t="n">
        <v>100</v>
      </c>
      <c r="J1256" t="n">
        <v>219.7400054931641</v>
      </c>
      <c r="DF1256" t="n">
        <v>45.75</v>
      </c>
      <c r="DG1256" t="n">
        <v>20.82</v>
      </c>
    </row>
    <row r="1257">
      <c r="A1257" t="n">
        <v>469</v>
      </c>
      <c r="B1257" t="inlineStr">
        <is>
          <t>Cumplimiento Plan Anual Áreas sede Medellín</t>
        </is>
      </c>
      <c r="C1257" t="inlineStr">
        <is>
          <t>Planeación Estratégica</t>
        </is>
      </c>
      <c r="D1257" t="inlineStr">
        <is>
          <t>Semestral</t>
        </is>
      </c>
      <c r="E1257" t="inlineStr">
        <is>
          <t>Positivo</t>
        </is>
      </c>
      <c r="F1257" s="105" t="n">
        <v>45382</v>
      </c>
      <c r="G1257" t="inlineStr">
        <is>
          <t>469-2024-03-31</t>
        </is>
      </c>
      <c r="H1257" t="inlineStr">
        <is>
          <t>FSCC - MARKETING MED</t>
        </is>
      </c>
      <c r="I1257" t="n">
        <v>100</v>
      </c>
      <c r="J1257" t="n">
        <v>535.3300170898438</v>
      </c>
      <c r="DF1257" t="n">
        <v>25</v>
      </c>
      <c r="DG1257" t="n">
        <v>4.67</v>
      </c>
    </row>
    <row r="1258">
      <c r="A1258" t="n">
        <v>469</v>
      </c>
      <c r="B1258" t="inlineStr">
        <is>
          <t>Cumplimiento Plan Anual Áreas sede Medellín</t>
        </is>
      </c>
      <c r="C1258" t="inlineStr">
        <is>
          <t>Planeación Estratégica</t>
        </is>
      </c>
      <c r="D1258" t="inlineStr">
        <is>
          <t>Semestral</t>
        </is>
      </c>
      <c r="E1258" t="inlineStr">
        <is>
          <t>Positivo</t>
        </is>
      </c>
      <c r="F1258" s="105" t="n">
        <v>45382</v>
      </c>
      <c r="G1258" t="inlineStr">
        <is>
          <t>469-2024-03-31</t>
        </is>
      </c>
      <c r="H1258" t="inlineStr">
        <is>
          <t>FSCC- EST.PSIC,TH Y SOC- PSICOLOGIA</t>
        </is>
      </c>
      <c r="I1258" t="n">
        <v>100</v>
      </c>
      <c r="J1258" t="n">
        <v>74.51999664306641</v>
      </c>
      <c r="DF1258" t="n">
        <v>24.25</v>
      </c>
      <c r="DG1258" t="n">
        <v>32.54</v>
      </c>
    </row>
    <row r="1259">
      <c r="A1259" t="n">
        <v>469</v>
      </c>
      <c r="B1259" t="inlineStr">
        <is>
          <t>Cumplimiento Plan Anual Áreas sede Medellín</t>
        </is>
      </c>
      <c r="C1259" t="inlineStr">
        <is>
          <t>Planeación Estratégica</t>
        </is>
      </c>
      <c r="D1259" t="inlineStr">
        <is>
          <t>Semestral</t>
        </is>
      </c>
      <c r="E1259" t="inlineStr">
        <is>
          <t>Positivo</t>
        </is>
      </c>
      <c r="F1259" s="105" t="n">
        <v>45382</v>
      </c>
      <c r="G1259" t="inlineStr">
        <is>
          <t>469-2024-03-31</t>
        </is>
      </c>
      <c r="H1259" t="inlineStr">
        <is>
          <t>FIDI-TIC -INGENIERIA DE SISTEMAS</t>
        </is>
      </c>
      <c r="I1259" t="n">
        <v>100</v>
      </c>
      <c r="J1259" t="n">
        <v>331.3599853515625</v>
      </c>
      <c r="DF1259" t="n">
        <v>40.36</v>
      </c>
      <c r="DG1259" t="n">
        <v>12.18</v>
      </c>
    </row>
    <row r="1260">
      <c r="A1260" t="n">
        <v>470</v>
      </c>
      <c r="B1260" t="inlineStr">
        <is>
          <t>Cumplimiento plan anual Secretaria académica y de extensión</t>
        </is>
      </c>
      <c r="C1260" t="inlineStr">
        <is>
          <t>Planeación Estratégica</t>
        </is>
      </c>
      <c r="D1260" t="inlineStr">
        <is>
          <t>Semestral</t>
        </is>
      </c>
      <c r="E1260" t="inlineStr">
        <is>
          <t>Positivo</t>
        </is>
      </c>
      <c r="F1260" s="105" t="n">
        <v>45382</v>
      </c>
      <c r="G1260" t="inlineStr">
        <is>
          <t>470-2024-03-31</t>
        </is>
      </c>
      <c r="H1260" t="inlineStr">
        <is>
          <t>DIRECTOR DE GRADUADOS Y PROYECCION EMP.</t>
        </is>
      </c>
      <c r="I1260" t="n">
        <v>100</v>
      </c>
      <c r="J1260" t="n">
        <v>132.5899963378906</v>
      </c>
      <c r="DH1260" t="n">
        <v>45</v>
      </c>
      <c r="DI1260" t="n">
        <v>33.94</v>
      </c>
    </row>
    <row r="1261">
      <c r="A1261" t="n">
        <v>470</v>
      </c>
      <c r="B1261" t="inlineStr">
        <is>
          <t>Cumplimiento plan anual Secretaria académica y de extensión</t>
        </is>
      </c>
      <c r="C1261" t="inlineStr">
        <is>
          <t>Planeación Estratégica</t>
        </is>
      </c>
      <c r="D1261" t="inlineStr">
        <is>
          <t>Semestral</t>
        </is>
      </c>
      <c r="E1261" t="inlineStr">
        <is>
          <t>Positivo</t>
        </is>
      </c>
      <c r="F1261" s="105" t="n">
        <v>45382</v>
      </c>
      <c r="G1261" t="inlineStr">
        <is>
          <t>470-2024-03-31</t>
        </is>
      </c>
      <c r="H1261" t="inlineStr">
        <is>
          <t>DIRECTOR AGENCIA TROMPO</t>
        </is>
      </c>
      <c r="I1261" t="n">
        <v>100</v>
      </c>
      <c r="J1261" t="n">
        <v>105.6100006103516</v>
      </c>
      <c r="DH1261" t="n">
        <v>52.17</v>
      </c>
      <c r="DI1261" t="n">
        <v>49.4</v>
      </c>
    </row>
    <row r="1262">
      <c r="A1262" t="n">
        <v>470</v>
      </c>
      <c r="B1262" t="inlineStr">
        <is>
          <t>Cumplimiento plan anual Secretaria académica y de extensión</t>
        </is>
      </c>
      <c r="C1262" t="inlineStr">
        <is>
          <t>Planeación Estratégica</t>
        </is>
      </c>
      <c r="D1262" t="inlineStr">
        <is>
          <t>Semestral</t>
        </is>
      </c>
      <c r="E1262" t="inlineStr">
        <is>
          <t>Positivo</t>
        </is>
      </c>
      <c r="F1262" s="105" t="n">
        <v>45382</v>
      </c>
      <c r="G1262" t="inlineStr">
        <is>
          <t>470-2024-03-31</t>
        </is>
      </c>
      <c r="H1262" t="inlineStr">
        <is>
          <t>DIRECTOR SISTEMA NACIONAL DE BIBLIOTECAS</t>
        </is>
      </c>
      <c r="I1262" t="n">
        <v>100</v>
      </c>
      <c r="DH1262" t="n">
        <v>0</v>
      </c>
      <c r="DI1262" t="n">
        <v>37.04</v>
      </c>
    </row>
    <row r="1263">
      <c r="A1263" t="n">
        <v>470</v>
      </c>
      <c r="B1263" t="inlineStr">
        <is>
          <t>Cumplimiento plan anual Secretaria académica y de extensión</t>
        </is>
      </c>
      <c r="C1263" t="inlineStr">
        <is>
          <t>Planeación Estratégica</t>
        </is>
      </c>
      <c r="D1263" t="inlineStr">
        <is>
          <t>Semestral</t>
        </is>
      </c>
      <c r="E1263" t="inlineStr">
        <is>
          <t>Positivo</t>
        </is>
      </c>
      <c r="F1263" s="105" t="n">
        <v>45382</v>
      </c>
      <c r="G1263" t="inlineStr">
        <is>
          <t>470-2024-03-31</t>
        </is>
      </c>
      <c r="H1263" t="inlineStr">
        <is>
          <t>DIRECTOR EDITORIAL</t>
        </is>
      </c>
      <c r="I1263" t="n">
        <v>100</v>
      </c>
      <c r="J1263" t="n">
        <v>44.75</v>
      </c>
      <c r="DH1263" t="n">
        <v>22</v>
      </c>
      <c r="DI1263" t="n">
        <v>49.16</v>
      </c>
    </row>
    <row r="1264">
      <c r="A1264" t="n">
        <v>470</v>
      </c>
      <c r="B1264" t="inlineStr">
        <is>
          <t>Cumplimiento plan anual Secretaria académica y de extensión</t>
        </is>
      </c>
      <c r="C1264" t="inlineStr">
        <is>
          <t>Planeación Estratégica</t>
        </is>
      </c>
      <c r="D1264" t="inlineStr">
        <is>
          <t>Semestral</t>
        </is>
      </c>
      <c r="E1264" t="inlineStr">
        <is>
          <t>Positivo</t>
        </is>
      </c>
      <c r="F1264" s="105" t="n">
        <v>45382</v>
      </c>
      <c r="G1264" t="inlineStr">
        <is>
          <t>470-2024-03-31</t>
        </is>
      </c>
      <c r="H1264" t="inlineStr">
        <is>
          <t>DIRECTOR CENTRO MEDIOS AUDIOVISUALES</t>
        </is>
      </c>
      <c r="I1264" t="n">
        <v>100</v>
      </c>
      <c r="J1264" t="n">
        <v>115.0500030517578</v>
      </c>
      <c r="DH1264" t="n">
        <v>50</v>
      </c>
      <c r="DI1264" t="n">
        <v>43.46</v>
      </c>
    </row>
    <row r="1265">
      <c r="A1265" t="n">
        <v>471</v>
      </c>
      <c r="B1265" t="inlineStr">
        <is>
          <t>Cumplimiento plan anual Gerencia de Talento Humano</t>
        </is>
      </c>
      <c r="C1265" t="inlineStr">
        <is>
          <t>Planeación Estratégica</t>
        </is>
      </c>
      <c r="D1265" t="inlineStr">
        <is>
          <t>Semestral</t>
        </is>
      </c>
      <c r="E1265" t="inlineStr">
        <is>
          <t>Positivo</t>
        </is>
      </c>
      <c r="F1265" s="105" t="n">
        <v>45382</v>
      </c>
      <c r="G1265" t="inlineStr">
        <is>
          <t>471-2024-03-31</t>
        </is>
      </c>
      <c r="H1265" t="inlineStr">
        <is>
          <t>DIRECTOR DE FORMACION Y DESARROLLO</t>
        </is>
      </c>
      <c r="I1265" t="n">
        <v>100</v>
      </c>
      <c r="J1265" t="n">
        <v>96.30000305175781</v>
      </c>
      <c r="DJ1265" t="n">
        <v>25</v>
      </c>
      <c r="DK1265" t="n">
        <v>25.96</v>
      </c>
    </row>
    <row r="1266">
      <c r="A1266" t="n">
        <v>471</v>
      </c>
      <c r="B1266" t="inlineStr">
        <is>
          <t>Cumplimiento plan anual Gerencia de Talento Humano</t>
        </is>
      </c>
      <c r="C1266" t="inlineStr">
        <is>
          <t>Planeación Estratégica</t>
        </is>
      </c>
      <c r="D1266" t="inlineStr">
        <is>
          <t>Semestral</t>
        </is>
      </c>
      <c r="E1266" t="inlineStr">
        <is>
          <t>Positivo</t>
        </is>
      </c>
      <c r="F1266" s="105" t="n">
        <v>45382</v>
      </c>
      <c r="G1266" t="inlineStr">
        <is>
          <t>471-2024-03-31</t>
        </is>
      </c>
      <c r="H1266" t="inlineStr">
        <is>
          <t>DIRECTOR DE ADMON LABORAL Y COMPENSACION</t>
        </is>
      </c>
      <c r="I1266" t="n">
        <v>100</v>
      </c>
      <c r="J1266" t="n">
        <v>103.25</v>
      </c>
      <c r="DJ1266" t="n">
        <v>40</v>
      </c>
      <c r="DK1266" t="n">
        <v>38.74</v>
      </c>
    </row>
    <row r="1267">
      <c r="A1267" t="n">
        <v>471</v>
      </c>
      <c r="B1267" t="inlineStr">
        <is>
          <t>Cumplimiento plan anual Gerencia de Talento Humano</t>
        </is>
      </c>
      <c r="C1267" t="inlineStr">
        <is>
          <t>Planeación Estratégica</t>
        </is>
      </c>
      <c r="D1267" t="inlineStr">
        <is>
          <t>Semestral</t>
        </is>
      </c>
      <c r="E1267" t="inlineStr">
        <is>
          <t>Positivo</t>
        </is>
      </c>
      <c r="F1267" s="105" t="n">
        <v>45382</v>
      </c>
      <c r="G1267" t="inlineStr">
        <is>
          <t>471-2024-03-31</t>
        </is>
      </c>
      <c r="H1267" t="inlineStr">
        <is>
          <t>DIRECTOR DE BIENESTAR Y RELAC. LABORALES</t>
        </is>
      </c>
      <c r="I1267" t="n">
        <v>100</v>
      </c>
      <c r="J1267" t="n">
        <v>147.3899993896484</v>
      </c>
      <c r="DJ1267" t="n">
        <v>48.33</v>
      </c>
      <c r="DK1267" t="n">
        <v>32.79</v>
      </c>
    </row>
    <row r="1268">
      <c r="A1268" t="n">
        <v>471</v>
      </c>
      <c r="B1268" t="inlineStr">
        <is>
          <t>Cumplimiento plan anual Gerencia de Talento Humano</t>
        </is>
      </c>
      <c r="C1268" t="inlineStr">
        <is>
          <t>Planeación Estratégica</t>
        </is>
      </c>
      <c r="D1268" t="inlineStr">
        <is>
          <t>Semestral</t>
        </is>
      </c>
      <c r="E1268" t="inlineStr">
        <is>
          <t>Positivo</t>
        </is>
      </c>
      <c r="F1268" s="105" t="n">
        <v>45382</v>
      </c>
      <c r="G1268" t="inlineStr">
        <is>
          <t>471-2024-03-31</t>
        </is>
      </c>
      <c r="H1268" t="inlineStr">
        <is>
          <t>DIRECTOR DE RELACIONES PUBLICAS Y PROTOC</t>
        </is>
      </c>
      <c r="I1268" t="n">
        <v>100</v>
      </c>
      <c r="J1268" t="n">
        <v>75.81999969482422</v>
      </c>
      <c r="DJ1268" t="n">
        <v>26.25</v>
      </c>
      <c r="DK1268" t="n">
        <v>34.62</v>
      </c>
    </row>
    <row r="1269">
      <c r="A1269" t="n">
        <v>471</v>
      </c>
      <c r="B1269" t="inlineStr">
        <is>
          <t>Cumplimiento plan anual Gerencia de Talento Humano</t>
        </is>
      </c>
      <c r="C1269" t="inlineStr">
        <is>
          <t>Planeación Estratégica</t>
        </is>
      </c>
      <c r="D1269" t="inlineStr">
        <is>
          <t>Semestral</t>
        </is>
      </c>
      <c r="E1269" t="inlineStr">
        <is>
          <t>Positivo</t>
        </is>
      </c>
      <c r="F1269" s="105" t="n">
        <v>45382</v>
      </c>
      <c r="G1269" t="inlineStr">
        <is>
          <t>471-2024-03-31</t>
        </is>
      </c>
      <c r="H1269" t="inlineStr">
        <is>
          <t>DIRECTOR DE COMUNICACIONES</t>
        </is>
      </c>
      <c r="I1269" t="n">
        <v>100</v>
      </c>
      <c r="J1269" t="n">
        <v>90.91000366210938</v>
      </c>
      <c r="DJ1269" t="n">
        <v>55.22</v>
      </c>
      <c r="DK1269" t="n">
        <v>60.74</v>
      </c>
    </row>
    <row r="1270">
      <c r="A1270" t="n">
        <v>471</v>
      </c>
      <c r="B1270" t="inlineStr">
        <is>
          <t>Cumplimiento plan anual Gerencia de Talento Humano</t>
        </is>
      </c>
      <c r="C1270" t="inlineStr">
        <is>
          <t>Planeación Estratégica</t>
        </is>
      </c>
      <c r="D1270" t="inlineStr">
        <is>
          <t>Semestral</t>
        </is>
      </c>
      <c r="E1270" t="inlineStr">
        <is>
          <t>Positivo</t>
        </is>
      </c>
      <c r="F1270" s="105" t="n">
        <v>45382</v>
      </c>
      <c r="G1270" t="inlineStr">
        <is>
          <t>471-2024-03-31</t>
        </is>
      </c>
      <c r="H1270" t="inlineStr">
        <is>
          <t>DIRECTOR DE COMUN. EXTERNAS SED MEDELLIN</t>
        </is>
      </c>
      <c r="I1270" t="n">
        <v>100</v>
      </c>
      <c r="J1270" t="n">
        <v>157.6900024414062</v>
      </c>
      <c r="DJ1270" t="n">
        <v>71.75</v>
      </c>
      <c r="DK1270" t="n">
        <v>45.5</v>
      </c>
    </row>
    <row r="1271">
      <c r="A1271" t="n">
        <v>471</v>
      </c>
      <c r="B1271" t="inlineStr">
        <is>
          <t>Cumplimiento plan anual Gerencia de Talento Humano</t>
        </is>
      </c>
      <c r="C1271" t="inlineStr">
        <is>
          <t>Planeación Estratégica</t>
        </is>
      </c>
      <c r="D1271" t="inlineStr">
        <is>
          <t>Semestral</t>
        </is>
      </c>
      <c r="E1271" t="inlineStr">
        <is>
          <t>Positivo</t>
        </is>
      </c>
      <c r="F1271" s="105" t="n">
        <v>45382</v>
      </c>
      <c r="G1271" t="inlineStr">
        <is>
          <t>471-2024-03-31</t>
        </is>
      </c>
      <c r="H1271" t="inlineStr">
        <is>
          <t>DIRECTOR DE GESTION DE TALENTO</t>
        </is>
      </c>
      <c r="I1271" t="n">
        <v>100</v>
      </c>
      <c r="J1271" t="n">
        <v>87.98999786376953</v>
      </c>
      <c r="DJ1271" t="n">
        <v>41.25</v>
      </c>
      <c r="DK1271" t="n">
        <v>46.88</v>
      </c>
    </row>
    <row r="1272">
      <c r="A1272" t="n">
        <v>208</v>
      </c>
      <c r="B1272" t="inlineStr">
        <is>
          <t>Consumo de Agua m3 Mensual</t>
        </is>
      </c>
      <c r="C1272" t="inlineStr">
        <is>
          <t>GESTIÓN AMBIENTAL</t>
        </is>
      </c>
      <c r="D1272" t="inlineStr">
        <is>
          <t>Mensual</t>
        </is>
      </c>
      <c r="E1272" t="inlineStr">
        <is>
          <t>Negativo</t>
        </is>
      </c>
      <c r="F1272" s="105" t="n">
        <v>45412</v>
      </c>
      <c r="G1272" t="inlineStr">
        <is>
          <t>208-2024-04-30</t>
        </is>
      </c>
      <c r="H1272" t="inlineStr">
        <is>
          <t>Campus Bogotá</t>
        </is>
      </c>
      <c r="I1272" t="n">
        <v>950</v>
      </c>
      <c r="J1272" t="n">
        <v>874</v>
      </c>
      <c r="K1272" t="n">
        <v>874</v>
      </c>
    </row>
    <row r="1273">
      <c r="A1273" t="n">
        <v>208</v>
      </c>
      <c r="B1273" t="inlineStr">
        <is>
          <t>Consumo de Agua m3 Mensual</t>
        </is>
      </c>
      <c r="C1273" t="inlineStr">
        <is>
          <t>GESTIÓN AMBIENTAL</t>
        </is>
      </c>
      <c r="D1273" t="inlineStr">
        <is>
          <t>Mensual</t>
        </is>
      </c>
      <c r="E1273" t="inlineStr">
        <is>
          <t>Negativo</t>
        </is>
      </c>
      <c r="F1273" s="105" t="n">
        <v>45412</v>
      </c>
      <c r="G1273" t="inlineStr">
        <is>
          <t>208-2024-04-30</t>
        </is>
      </c>
      <c r="H1273" t="inlineStr">
        <is>
          <t>City Campus</t>
        </is>
      </c>
      <c r="I1273" t="n">
        <v>350</v>
      </c>
      <c r="J1273" t="n">
        <v>317.5</v>
      </c>
      <c r="K1273" t="n">
        <v>317.5</v>
      </c>
    </row>
    <row r="1274">
      <c r="A1274" t="n">
        <v>208</v>
      </c>
      <c r="B1274" t="inlineStr">
        <is>
          <t>Consumo de Agua m3 Mensual</t>
        </is>
      </c>
      <c r="C1274" t="inlineStr">
        <is>
          <t>GESTIÓN AMBIENTAL</t>
        </is>
      </c>
      <c r="D1274" t="inlineStr">
        <is>
          <t>Mensual</t>
        </is>
      </c>
      <c r="E1274" t="inlineStr">
        <is>
          <t>Negativo</t>
        </is>
      </c>
      <c r="F1274" s="105" t="n">
        <v>45412</v>
      </c>
      <c r="G1274" t="inlineStr">
        <is>
          <t>208-2024-04-30</t>
        </is>
      </c>
      <c r="H1274" t="inlineStr">
        <is>
          <t>Sede Posgrado-Calle 85</t>
        </is>
      </c>
      <c r="I1274" t="n">
        <v>25</v>
      </c>
      <c r="J1274" t="n">
        <v>6.5</v>
      </c>
      <c r="K1274" t="n">
        <v>6.5</v>
      </c>
    </row>
    <row r="1275">
      <c r="A1275" t="n">
        <v>208</v>
      </c>
      <c r="B1275" t="inlineStr">
        <is>
          <t>Consumo de Agua m3 Mensual</t>
        </is>
      </c>
      <c r="C1275" t="inlineStr">
        <is>
          <t>GESTIÓN AMBIENTAL</t>
        </is>
      </c>
      <c r="D1275" t="inlineStr">
        <is>
          <t>Mensual</t>
        </is>
      </c>
      <c r="E1275" t="inlineStr">
        <is>
          <t>Negativo</t>
        </is>
      </c>
      <c r="F1275" s="105" t="n">
        <v>45412</v>
      </c>
      <c r="G1275" t="inlineStr">
        <is>
          <t>208-2024-04-30</t>
        </is>
      </c>
      <c r="H1275" t="inlineStr">
        <is>
          <t>Campus-Medellín</t>
        </is>
      </c>
      <c r="I1275" t="n">
        <v>200</v>
      </c>
      <c r="J1275" t="n">
        <v>319</v>
      </c>
      <c r="K1275" t="n">
        <v>319</v>
      </c>
    </row>
    <row r="1276">
      <c r="A1276" t="n">
        <v>208</v>
      </c>
      <c r="B1276" t="inlineStr">
        <is>
          <t>Consumo de Agua m3 Mensual</t>
        </is>
      </c>
      <c r="C1276" t="inlineStr">
        <is>
          <t>GESTIÓN AMBIENTAL</t>
        </is>
      </c>
      <c r="D1276" t="inlineStr">
        <is>
          <t>Mensual</t>
        </is>
      </c>
      <c r="E1276" t="inlineStr">
        <is>
          <t>Negativo</t>
        </is>
      </c>
      <c r="F1276" s="105" t="n">
        <v>45412</v>
      </c>
      <c r="G1276" t="inlineStr">
        <is>
          <t>208-2024-04-30</t>
        </is>
      </c>
      <c r="H1276" t="inlineStr">
        <is>
          <t>Sede Bienestar - Medellín</t>
        </is>
      </c>
      <c r="I1276" t="n">
        <v>0</v>
      </c>
      <c r="J1276" t="n">
        <v>0</v>
      </c>
      <c r="K1276" t="n">
        <v>0</v>
      </c>
    </row>
    <row r="1277">
      <c r="A1277" t="n">
        <v>208</v>
      </c>
      <c r="B1277" t="inlineStr">
        <is>
          <t>Consumo de Agua m3 Mensual</t>
        </is>
      </c>
      <c r="C1277" t="inlineStr">
        <is>
          <t>GESTIÓN AMBIENTAL</t>
        </is>
      </c>
      <c r="D1277" t="inlineStr">
        <is>
          <t>Mensual</t>
        </is>
      </c>
      <c r="E1277" t="inlineStr">
        <is>
          <t>Negativo</t>
        </is>
      </c>
      <c r="F1277" s="105" t="n">
        <v>45412</v>
      </c>
      <c r="G1277" t="inlineStr">
        <is>
          <t>208-2024-04-30</t>
        </is>
      </c>
      <c r="H1277" t="inlineStr">
        <is>
          <t>Consultorio Psicología - Medellin</t>
        </is>
      </c>
      <c r="I1277" t="n">
        <v>25</v>
      </c>
      <c r="J1277" t="n">
        <v>9</v>
      </c>
      <c r="K1277" t="n">
        <v>9</v>
      </c>
    </row>
    <row r="1278">
      <c r="A1278" t="n">
        <v>214</v>
      </c>
      <c r="B1278" t="inlineStr">
        <is>
          <t>Generación de Residuos Sólidos Mensual</t>
        </is>
      </c>
      <c r="C1278" t="inlineStr">
        <is>
          <t>GESTIÓN AMBIENTAL</t>
        </is>
      </c>
      <c r="D1278" t="inlineStr">
        <is>
          <t>Mensual</t>
        </is>
      </c>
      <c r="E1278" t="inlineStr">
        <is>
          <t>Negativo</t>
        </is>
      </c>
      <c r="F1278" s="105" t="n">
        <v>45412</v>
      </c>
      <c r="G1278" t="inlineStr">
        <is>
          <t>214-2024-04-30</t>
        </is>
      </c>
      <c r="H1278" t="inlineStr">
        <is>
          <t>Campus Bogotá</t>
        </is>
      </c>
      <c r="I1278" t="n">
        <v>5500</v>
      </c>
      <c r="J1278" t="n">
        <v>4508</v>
      </c>
      <c r="L1278" t="n">
        <v>1070</v>
      </c>
      <c r="M1278" t="n">
        <v>3438</v>
      </c>
    </row>
    <row r="1279">
      <c r="A1279" t="n">
        <v>214</v>
      </c>
      <c r="B1279" t="inlineStr">
        <is>
          <t>Generación de Residuos Sólidos Mensual</t>
        </is>
      </c>
      <c r="C1279" t="inlineStr">
        <is>
          <t>GESTIÓN AMBIENTAL</t>
        </is>
      </c>
      <c r="D1279" t="inlineStr">
        <is>
          <t>Mensual</t>
        </is>
      </c>
      <c r="E1279" t="inlineStr">
        <is>
          <t>Negativo</t>
        </is>
      </c>
      <c r="F1279" s="105" t="n">
        <v>45412</v>
      </c>
      <c r="G1279" t="inlineStr">
        <is>
          <t>214-2024-04-30</t>
        </is>
      </c>
      <c r="H1279" t="inlineStr">
        <is>
          <t>City Campus</t>
        </is>
      </c>
      <c r="I1279" t="n">
        <v>1000</v>
      </c>
      <c r="J1279" t="n">
        <v>1296.650024414062</v>
      </c>
      <c r="L1279" t="n">
        <v>205.39</v>
      </c>
      <c r="M1279" t="n">
        <v>1091.26</v>
      </c>
    </row>
    <row r="1280">
      <c r="A1280" t="n">
        <v>214</v>
      </c>
      <c r="B1280" t="inlineStr">
        <is>
          <t>Generación de Residuos Sólidos Mensual</t>
        </is>
      </c>
      <c r="C1280" t="inlineStr">
        <is>
          <t>GESTIÓN AMBIENTAL</t>
        </is>
      </c>
      <c r="D1280" t="inlineStr">
        <is>
          <t>Mensual</t>
        </is>
      </c>
      <c r="E1280" t="inlineStr">
        <is>
          <t>Negativo</t>
        </is>
      </c>
      <c r="F1280" s="105" t="n">
        <v>45412</v>
      </c>
      <c r="G1280" t="inlineStr">
        <is>
          <t>214-2024-04-30</t>
        </is>
      </c>
      <c r="H1280" t="inlineStr">
        <is>
          <t>Sede Posgrado-Calle 85</t>
        </is>
      </c>
      <c r="I1280" t="n">
        <v>7500</v>
      </c>
      <c r="J1280" t="n">
        <v>0</v>
      </c>
      <c r="L1280" t="n">
        <v>0</v>
      </c>
      <c r="M1280" t="n">
        <v>0</v>
      </c>
    </row>
    <row r="1281">
      <c r="A1281" t="n">
        <v>214</v>
      </c>
      <c r="B1281" t="inlineStr">
        <is>
          <t>Generación de Residuos Sólidos Mensual</t>
        </is>
      </c>
      <c r="C1281" t="inlineStr">
        <is>
          <t>GESTIÓN AMBIENTAL</t>
        </is>
      </c>
      <c r="D1281" t="inlineStr">
        <is>
          <t>Mensual</t>
        </is>
      </c>
      <c r="E1281" t="inlineStr">
        <is>
          <t>Negativo</t>
        </is>
      </c>
      <c r="F1281" s="105" t="n">
        <v>45412</v>
      </c>
      <c r="G1281" t="inlineStr">
        <is>
          <t>214-2024-04-30</t>
        </is>
      </c>
      <c r="H1281" t="inlineStr">
        <is>
          <t>Campus-Medellín</t>
        </is>
      </c>
      <c r="I1281" t="n">
        <v>1000</v>
      </c>
      <c r="J1281" t="n">
        <v>1648.43994140625</v>
      </c>
      <c r="L1281" t="n">
        <v>50.44</v>
      </c>
      <c r="M1281" t="n">
        <v>1598</v>
      </c>
    </row>
    <row r="1282">
      <c r="A1282" t="n">
        <v>214</v>
      </c>
      <c r="B1282" t="inlineStr">
        <is>
          <t>Generación de Residuos Sólidos Mensual</t>
        </is>
      </c>
      <c r="C1282" t="inlineStr">
        <is>
          <t>GESTIÓN AMBIENTAL</t>
        </is>
      </c>
      <c r="D1282" t="inlineStr">
        <is>
          <t>Mensual</t>
        </is>
      </c>
      <c r="E1282" t="inlineStr">
        <is>
          <t>Negativo</t>
        </is>
      </c>
      <c r="F1282" s="105" t="n">
        <v>45412</v>
      </c>
      <c r="G1282" t="inlineStr">
        <is>
          <t>214-2024-04-30</t>
        </is>
      </c>
      <c r="H1282" t="inlineStr">
        <is>
          <t>Sede Bienestar - Medellín</t>
        </is>
      </c>
      <c r="I1282" t="n">
        <v>1</v>
      </c>
      <c r="J1282" t="n">
        <v>0</v>
      </c>
      <c r="L1282" t="n">
        <v>0</v>
      </c>
      <c r="M1282" t="n">
        <v>0</v>
      </c>
    </row>
    <row r="1283">
      <c r="A1283" t="n">
        <v>214</v>
      </c>
      <c r="B1283" t="inlineStr">
        <is>
          <t>Generación de Residuos Sólidos Mensual</t>
        </is>
      </c>
      <c r="C1283" t="inlineStr">
        <is>
          <t>GESTIÓN AMBIENTAL</t>
        </is>
      </c>
      <c r="D1283" t="inlineStr">
        <is>
          <t>Mensual</t>
        </is>
      </c>
      <c r="E1283" t="inlineStr">
        <is>
          <t>Negativo</t>
        </is>
      </c>
      <c r="F1283" s="105" t="n">
        <v>45412</v>
      </c>
      <c r="G1283" t="inlineStr">
        <is>
          <t>214-2024-04-30</t>
        </is>
      </c>
      <c r="H1283" t="inlineStr">
        <is>
          <t>Consultorio Psicología - Medellin</t>
        </is>
      </c>
      <c r="I1283" t="n">
        <v>1</v>
      </c>
      <c r="J1283" t="n">
        <v>90.38999938964844</v>
      </c>
      <c r="L1283" t="n">
        <v>77.20999999999999</v>
      </c>
      <c r="M1283" t="n">
        <v>13.18</v>
      </c>
    </row>
    <row r="1284">
      <c r="A1284" t="n">
        <v>217</v>
      </c>
      <c r="B1284" t="inlineStr">
        <is>
          <t>Aprovechamiento de Residuos</t>
        </is>
      </c>
      <c r="C1284" t="inlineStr">
        <is>
          <t>GESTIÓN AMBIENTAL</t>
        </is>
      </c>
      <c r="D1284" t="inlineStr">
        <is>
          <t>Mensual</t>
        </is>
      </c>
      <c r="E1284" t="inlineStr">
        <is>
          <t>Positivo</t>
        </is>
      </c>
      <c r="F1284" s="105" t="n">
        <v>45412</v>
      </c>
      <c r="G1284" t="inlineStr">
        <is>
          <t>217-2024-04-30</t>
        </is>
      </c>
      <c r="H1284" t="inlineStr">
        <is>
          <t>City Campus</t>
        </is>
      </c>
      <c r="I1284" t="n">
        <v>20</v>
      </c>
      <c r="J1284" t="n">
        <v>15.84000015258789</v>
      </c>
      <c r="L1284" t="n">
        <v>205.39</v>
      </c>
      <c r="M1284" t="n">
        <v>1091.26</v>
      </c>
      <c r="AS1284" t="n">
        <v>205.39</v>
      </c>
    </row>
    <row r="1285">
      <c r="A1285" t="n">
        <v>217</v>
      </c>
      <c r="B1285" t="inlineStr">
        <is>
          <t>Aprovechamiento de Residuos</t>
        </is>
      </c>
      <c r="C1285" t="inlineStr">
        <is>
          <t>GESTIÓN AMBIENTAL</t>
        </is>
      </c>
      <c r="D1285" t="inlineStr">
        <is>
          <t>Mensual</t>
        </is>
      </c>
      <c r="E1285" t="inlineStr">
        <is>
          <t>Positivo</t>
        </is>
      </c>
      <c r="F1285" s="105" t="n">
        <v>45412</v>
      </c>
      <c r="G1285" t="inlineStr">
        <is>
          <t>217-2024-04-30</t>
        </is>
      </c>
      <c r="H1285" t="inlineStr">
        <is>
          <t>Consultorio Psicología - Medellin</t>
        </is>
      </c>
      <c r="I1285" t="n">
        <v>20</v>
      </c>
      <c r="J1285" t="n">
        <v>85.41999816894531</v>
      </c>
      <c r="L1285" t="n">
        <v>77.20999999999999</v>
      </c>
      <c r="M1285" t="n">
        <v>13.18</v>
      </c>
      <c r="AS1285" t="n">
        <v>77.20999999999999</v>
      </c>
    </row>
    <row r="1286">
      <c r="A1286" t="n">
        <v>218</v>
      </c>
      <c r="B1286" t="inlineStr">
        <is>
          <t>Consumo de Energía Eléctrica kWh Mensual</t>
        </is>
      </c>
      <c r="C1286" t="inlineStr">
        <is>
          <t>GESTIÓN AMBIENTAL</t>
        </is>
      </c>
      <c r="D1286" t="inlineStr">
        <is>
          <t>Mensual</t>
        </is>
      </c>
      <c r="E1286" t="inlineStr">
        <is>
          <t>Negativo</t>
        </is>
      </c>
      <c r="F1286" s="105" t="n">
        <v>45412</v>
      </c>
      <c r="G1286" t="inlineStr">
        <is>
          <t>218-2024-04-30</t>
        </is>
      </c>
      <c r="H1286" t="inlineStr">
        <is>
          <t>Campus Bogotá</t>
        </is>
      </c>
      <c r="I1286" t="n">
        <v>76000</v>
      </c>
      <c r="J1286" t="n">
        <v>73332.390625</v>
      </c>
      <c r="N1286" t="n">
        <v>73332.39</v>
      </c>
    </row>
    <row r="1287">
      <c r="A1287" t="n">
        <v>218</v>
      </c>
      <c r="B1287" t="inlineStr">
        <is>
          <t>Consumo de Energía Eléctrica kWh Mensual</t>
        </is>
      </c>
      <c r="C1287" t="inlineStr">
        <is>
          <t>GESTIÓN AMBIENTAL</t>
        </is>
      </c>
      <c r="D1287" t="inlineStr">
        <is>
          <t>Mensual</t>
        </is>
      </c>
      <c r="E1287" t="inlineStr">
        <is>
          <t>Negativo</t>
        </is>
      </c>
      <c r="F1287" s="105" t="n">
        <v>45412</v>
      </c>
      <c r="G1287" t="inlineStr">
        <is>
          <t>218-2024-04-30</t>
        </is>
      </c>
      <c r="H1287" t="inlineStr">
        <is>
          <t>City Campus</t>
        </is>
      </c>
      <c r="I1287" t="n">
        <v>76000</v>
      </c>
      <c r="J1287" t="n">
        <v>47880</v>
      </c>
      <c r="N1287" t="n">
        <v>47880</v>
      </c>
    </row>
    <row r="1288">
      <c r="A1288" t="n">
        <v>218</v>
      </c>
      <c r="B1288" t="inlineStr">
        <is>
          <t>Consumo de Energía Eléctrica kWh Mensual</t>
        </is>
      </c>
      <c r="C1288" t="inlineStr">
        <is>
          <t>GESTIÓN AMBIENTAL</t>
        </is>
      </c>
      <c r="D1288" t="inlineStr">
        <is>
          <t>Mensual</t>
        </is>
      </c>
      <c r="E1288" t="inlineStr">
        <is>
          <t>Negativo</t>
        </is>
      </c>
      <c r="F1288" s="105" t="n">
        <v>45412</v>
      </c>
      <c r="G1288" t="inlineStr">
        <is>
          <t>218-2024-04-30</t>
        </is>
      </c>
      <c r="H1288" t="inlineStr">
        <is>
          <t>Sede Posgrado-Calle 85</t>
        </is>
      </c>
      <c r="I1288" t="n">
        <v>5000</v>
      </c>
      <c r="J1288" t="n">
        <v>4740</v>
      </c>
      <c r="N1288" t="n">
        <v>4740</v>
      </c>
    </row>
    <row r="1289">
      <c r="A1289" t="n">
        <v>218</v>
      </c>
      <c r="B1289" t="inlineStr">
        <is>
          <t>Consumo de Energía Eléctrica kWh Mensual</t>
        </is>
      </c>
      <c r="C1289" t="inlineStr">
        <is>
          <t>GESTIÓN AMBIENTAL</t>
        </is>
      </c>
      <c r="D1289" t="inlineStr">
        <is>
          <t>Mensual</t>
        </is>
      </c>
      <c r="E1289" t="inlineStr">
        <is>
          <t>Negativo</t>
        </is>
      </c>
      <c r="F1289" s="105" t="n">
        <v>45412</v>
      </c>
      <c r="G1289" t="inlineStr">
        <is>
          <t>218-2024-04-30</t>
        </is>
      </c>
      <c r="H1289" t="inlineStr">
        <is>
          <t>Campus-Medellín</t>
        </is>
      </c>
      <c r="I1289" t="n">
        <v>24000</v>
      </c>
      <c r="J1289" t="n">
        <v>31339</v>
      </c>
      <c r="N1289" t="n">
        <v>31339</v>
      </c>
    </row>
    <row r="1290">
      <c r="A1290" t="n">
        <v>218</v>
      </c>
      <c r="B1290" t="inlineStr">
        <is>
          <t>Consumo de Energía Eléctrica kWh Mensual</t>
        </is>
      </c>
      <c r="C1290" t="inlineStr">
        <is>
          <t>GESTIÓN AMBIENTAL</t>
        </is>
      </c>
      <c r="D1290" t="inlineStr">
        <is>
          <t>Mensual</t>
        </is>
      </c>
      <c r="E1290" t="inlineStr">
        <is>
          <t>Negativo</t>
        </is>
      </c>
      <c r="F1290" s="105" t="n">
        <v>45412</v>
      </c>
      <c r="G1290" t="inlineStr">
        <is>
          <t>218-2024-04-30</t>
        </is>
      </c>
      <c r="H1290" t="inlineStr">
        <is>
          <t>Consultorio Psicología - Medellin</t>
        </is>
      </c>
      <c r="I1290" t="n">
        <v>2000</v>
      </c>
      <c r="J1290" t="n">
        <v>1608</v>
      </c>
      <c r="N1290" t="n">
        <v>1608</v>
      </c>
    </row>
    <row r="1291">
      <c r="A1291" t="n">
        <v>218</v>
      </c>
      <c r="B1291" t="inlineStr">
        <is>
          <t>Consumo de Energía Eléctrica kWh Mensual</t>
        </is>
      </c>
      <c r="C1291" t="inlineStr">
        <is>
          <t>GESTIÓN AMBIENTAL</t>
        </is>
      </c>
      <c r="D1291" t="inlineStr">
        <is>
          <t>Mensual</t>
        </is>
      </c>
      <c r="E1291" t="inlineStr">
        <is>
          <t>Negativo</t>
        </is>
      </c>
      <c r="F1291" s="105" t="n">
        <v>45412</v>
      </c>
      <c r="G1291" t="inlineStr">
        <is>
          <t>218-2024-04-30</t>
        </is>
      </c>
      <c r="H1291" t="inlineStr">
        <is>
          <t>Sede Bienestar - Medellín</t>
        </is>
      </c>
      <c r="I1291" t="n">
        <v>5000</v>
      </c>
      <c r="J1291" t="n">
        <v>5880</v>
      </c>
      <c r="N1291" t="n">
        <v>5880</v>
      </c>
    </row>
    <row r="1292">
      <c r="A1292" t="n">
        <v>434</v>
      </c>
      <c r="B1292" t="inlineStr">
        <is>
          <t>Generación de Residuos Peligrosos Mensual</t>
        </is>
      </c>
      <c r="C1292" t="inlineStr">
        <is>
          <t>GESTIÓN AMBIENTAL</t>
        </is>
      </c>
      <c r="D1292" t="inlineStr">
        <is>
          <t>Mensual</t>
        </is>
      </c>
      <c r="E1292" t="inlineStr">
        <is>
          <t>Negativo</t>
        </is>
      </c>
      <c r="F1292" s="105" t="n">
        <v>45412</v>
      </c>
      <c r="G1292" t="inlineStr">
        <is>
          <t>434-2024-04-30</t>
        </is>
      </c>
      <c r="H1292" t="inlineStr">
        <is>
          <t>Campus Bogotá</t>
        </is>
      </c>
      <c r="I1292" t="n">
        <v>100</v>
      </c>
      <c r="J1292" t="n">
        <v>85.40000152587891</v>
      </c>
      <c r="AV1292" t="n">
        <v>85.40000000000001</v>
      </c>
    </row>
    <row r="1293">
      <c r="A1293" t="n">
        <v>434</v>
      </c>
      <c r="B1293" t="inlineStr">
        <is>
          <t>Generación de Residuos Peligrosos Mensual</t>
        </is>
      </c>
      <c r="C1293" t="inlineStr">
        <is>
          <t>GESTIÓN AMBIENTAL</t>
        </is>
      </c>
      <c r="D1293" t="inlineStr">
        <is>
          <t>Mensual</t>
        </is>
      </c>
      <c r="E1293" t="inlineStr">
        <is>
          <t>Negativo</t>
        </is>
      </c>
      <c r="F1293" s="105" t="n">
        <v>45412</v>
      </c>
      <c r="G1293" t="inlineStr">
        <is>
          <t>434-2024-04-30</t>
        </is>
      </c>
      <c r="H1293" t="inlineStr">
        <is>
          <t>City Campus</t>
        </is>
      </c>
      <c r="I1293" t="n">
        <v>25</v>
      </c>
      <c r="J1293" t="n">
        <v>1.039999961853027</v>
      </c>
      <c r="AV1293" t="n">
        <v>1.04</v>
      </c>
    </row>
    <row r="1294">
      <c r="A1294" t="n">
        <v>434</v>
      </c>
      <c r="B1294" t="inlineStr">
        <is>
          <t>Generación de Residuos Peligrosos Mensual</t>
        </is>
      </c>
      <c r="C1294" t="inlineStr">
        <is>
          <t>GESTIÓN AMBIENTAL</t>
        </is>
      </c>
      <c r="D1294" t="inlineStr">
        <is>
          <t>Mensual</t>
        </is>
      </c>
      <c r="E1294" t="inlineStr">
        <is>
          <t>Negativo</t>
        </is>
      </c>
      <c r="F1294" s="105" t="n">
        <v>45412</v>
      </c>
      <c r="G1294" t="inlineStr">
        <is>
          <t>434-2024-04-30</t>
        </is>
      </c>
      <c r="H1294" t="inlineStr">
        <is>
          <t>Sede Posgrado-Calle 85</t>
        </is>
      </c>
      <c r="I1294" t="n">
        <v>200</v>
      </c>
      <c r="J1294" t="n">
        <v>0</v>
      </c>
      <c r="AV1294" t="n">
        <v>0</v>
      </c>
    </row>
    <row r="1295">
      <c r="A1295" t="n">
        <v>434</v>
      </c>
      <c r="B1295" t="inlineStr">
        <is>
          <t>Generación de Residuos Peligrosos Mensual</t>
        </is>
      </c>
      <c r="C1295" t="inlineStr">
        <is>
          <t>GESTIÓN AMBIENTAL</t>
        </is>
      </c>
      <c r="D1295" t="inlineStr">
        <is>
          <t>Mensual</t>
        </is>
      </c>
      <c r="E1295" t="inlineStr">
        <is>
          <t>Negativo</t>
        </is>
      </c>
      <c r="F1295" s="105" t="n">
        <v>45412</v>
      </c>
      <c r="G1295" t="inlineStr">
        <is>
          <t>434-2024-04-30</t>
        </is>
      </c>
      <c r="H1295" t="inlineStr">
        <is>
          <t>Campus-Medellín</t>
        </is>
      </c>
      <c r="I1295" t="n">
        <v>25</v>
      </c>
      <c r="J1295" t="n">
        <v>2.299999952316284</v>
      </c>
      <c r="AV1295" t="n">
        <v>2.3</v>
      </c>
    </row>
    <row r="1296">
      <c r="A1296" t="n">
        <v>434</v>
      </c>
      <c r="B1296" t="inlineStr">
        <is>
          <t>Generación de Residuos Peligrosos Mensual</t>
        </is>
      </c>
      <c r="C1296" t="inlineStr">
        <is>
          <t>GESTIÓN AMBIENTAL</t>
        </is>
      </c>
      <c r="D1296" t="inlineStr">
        <is>
          <t>Mensual</t>
        </is>
      </c>
      <c r="E1296" t="inlineStr">
        <is>
          <t>Negativo</t>
        </is>
      </c>
      <c r="F1296" s="105" t="n">
        <v>45412</v>
      </c>
      <c r="G1296" t="inlineStr">
        <is>
          <t>434-2024-04-30</t>
        </is>
      </c>
      <c r="H1296" t="inlineStr">
        <is>
          <t>Sede Bienestar - Medellín</t>
        </is>
      </c>
      <c r="I1296" t="n">
        <v>10</v>
      </c>
      <c r="J1296" t="n">
        <v>0.300000011920929</v>
      </c>
      <c r="AV1296" t="n">
        <v>0.3</v>
      </c>
    </row>
    <row r="1297">
      <c r="A1297" t="n">
        <v>434</v>
      </c>
      <c r="B1297" t="inlineStr">
        <is>
          <t>Generación de Residuos Peligrosos Mensual</t>
        </is>
      </c>
      <c r="C1297" t="inlineStr">
        <is>
          <t>GESTIÓN AMBIENTAL</t>
        </is>
      </c>
      <c r="D1297" t="inlineStr">
        <is>
          <t>Mensual</t>
        </is>
      </c>
      <c r="E1297" t="inlineStr">
        <is>
          <t>Negativo</t>
        </is>
      </c>
      <c r="F1297" s="105" t="n">
        <v>45412</v>
      </c>
      <c r="G1297" t="inlineStr">
        <is>
          <t>434-2024-04-30</t>
        </is>
      </c>
      <c r="H1297" t="inlineStr">
        <is>
          <t>Consultorio Psicología - Medellin</t>
        </is>
      </c>
      <c r="I1297" t="n">
        <v>200</v>
      </c>
      <c r="J1297" t="n">
        <v>0</v>
      </c>
      <c r="AV1297" t="n">
        <v>0</v>
      </c>
    </row>
    <row r="1298">
      <c r="A1298" t="n">
        <v>436</v>
      </c>
      <c r="B1298" t="inlineStr">
        <is>
          <t>ANS documentos operativos</t>
        </is>
      </c>
      <c r="C1298" t="inlineStr">
        <is>
          <t>Gestión de calidad</t>
        </is>
      </c>
      <c r="D1298" t="inlineStr">
        <is>
          <t>Mensual</t>
        </is>
      </c>
      <c r="E1298" t="inlineStr">
        <is>
          <t>Negativo</t>
        </is>
      </c>
      <c r="F1298" s="105" t="n">
        <v>45412</v>
      </c>
      <c r="G1298" t="inlineStr">
        <is>
          <t>436-2024-04-30</t>
        </is>
      </c>
      <c r="H1298" t="inlineStr">
        <is>
          <t>Flujo de aprobación</t>
        </is>
      </c>
      <c r="I1298" t="n">
        <v>7</v>
      </c>
      <c r="J1298" t="n">
        <v>4.099999904632568</v>
      </c>
      <c r="CP1298" t="n">
        <v>4.1</v>
      </c>
    </row>
    <row r="1299">
      <c r="A1299" t="n">
        <v>436</v>
      </c>
      <c r="B1299" t="inlineStr">
        <is>
          <t>ANS documentos operativos</t>
        </is>
      </c>
      <c r="C1299" t="inlineStr">
        <is>
          <t>Gestión de calidad</t>
        </is>
      </c>
      <c r="D1299" t="inlineStr">
        <is>
          <t>Mensual</t>
        </is>
      </c>
      <c r="E1299" t="inlineStr">
        <is>
          <t>Negativo</t>
        </is>
      </c>
      <c r="F1299" s="105" t="n">
        <v>45412</v>
      </c>
      <c r="G1299" t="inlineStr">
        <is>
          <t>436-2024-04-30</t>
        </is>
      </c>
      <c r="H1299" t="inlineStr">
        <is>
          <t>Solicitud Documental</t>
        </is>
      </c>
      <c r="I1299" t="n">
        <v>14</v>
      </c>
      <c r="J1299" t="n">
        <v>7</v>
      </c>
      <c r="CP1299" t="n">
        <v>7</v>
      </c>
    </row>
    <row r="1300">
      <c r="A1300" t="n">
        <v>208</v>
      </c>
      <c r="B1300" t="inlineStr">
        <is>
          <t>Consumo de Agua m3 Mensual</t>
        </is>
      </c>
      <c r="C1300" t="inlineStr">
        <is>
          <t>GESTIÓN AMBIENTAL</t>
        </is>
      </c>
      <c r="D1300" t="inlineStr">
        <is>
          <t>Mensual</t>
        </is>
      </c>
      <c r="E1300" t="inlineStr">
        <is>
          <t>Negativo</t>
        </is>
      </c>
      <c r="F1300" s="105" t="n">
        <v>45443</v>
      </c>
      <c r="G1300" t="inlineStr">
        <is>
          <t>208-2024-05-31</t>
        </is>
      </c>
      <c r="H1300" t="inlineStr">
        <is>
          <t>Campus Bogotá</t>
        </is>
      </c>
      <c r="I1300" t="n">
        <v>950</v>
      </c>
      <c r="J1300" t="n">
        <v>976</v>
      </c>
      <c r="K1300" t="n">
        <v>976</v>
      </c>
    </row>
    <row r="1301">
      <c r="A1301" t="n">
        <v>208</v>
      </c>
      <c r="B1301" t="inlineStr">
        <is>
          <t>Consumo de Agua m3 Mensual</t>
        </is>
      </c>
      <c r="C1301" t="inlineStr">
        <is>
          <t>GESTIÓN AMBIENTAL</t>
        </is>
      </c>
      <c r="D1301" t="inlineStr">
        <is>
          <t>Mensual</t>
        </is>
      </c>
      <c r="E1301" t="inlineStr">
        <is>
          <t>Negativo</t>
        </is>
      </c>
      <c r="F1301" s="105" t="n">
        <v>45443</v>
      </c>
      <c r="G1301" t="inlineStr">
        <is>
          <t>208-2024-05-31</t>
        </is>
      </c>
      <c r="H1301" t="inlineStr">
        <is>
          <t>City Campus</t>
        </is>
      </c>
      <c r="I1301" t="n">
        <v>350</v>
      </c>
      <c r="J1301" t="n">
        <v>220</v>
      </c>
      <c r="K1301" t="n">
        <v>220</v>
      </c>
    </row>
    <row r="1302">
      <c r="A1302" t="n">
        <v>208</v>
      </c>
      <c r="B1302" t="inlineStr">
        <is>
          <t>Consumo de Agua m3 Mensual</t>
        </is>
      </c>
      <c r="C1302" t="inlineStr">
        <is>
          <t>GESTIÓN AMBIENTAL</t>
        </is>
      </c>
      <c r="D1302" t="inlineStr">
        <is>
          <t>Mensual</t>
        </is>
      </c>
      <c r="E1302" t="inlineStr">
        <is>
          <t>Negativo</t>
        </is>
      </c>
      <c r="F1302" s="105" t="n">
        <v>45443</v>
      </c>
      <c r="G1302" t="inlineStr">
        <is>
          <t>208-2024-05-31</t>
        </is>
      </c>
      <c r="H1302" t="inlineStr">
        <is>
          <t>Sede Posgrado-Calle 85</t>
        </is>
      </c>
      <c r="I1302" t="n">
        <v>25</v>
      </c>
      <c r="J1302" t="n">
        <v>6.5</v>
      </c>
      <c r="K1302" t="n">
        <v>6.5</v>
      </c>
    </row>
    <row r="1303">
      <c r="A1303" t="n">
        <v>208</v>
      </c>
      <c r="B1303" t="inlineStr">
        <is>
          <t>Consumo de Agua m3 Mensual</t>
        </is>
      </c>
      <c r="C1303" t="inlineStr">
        <is>
          <t>GESTIÓN AMBIENTAL</t>
        </is>
      </c>
      <c r="D1303" t="inlineStr">
        <is>
          <t>Mensual</t>
        </is>
      </c>
      <c r="E1303" t="inlineStr">
        <is>
          <t>Negativo</t>
        </is>
      </c>
      <c r="F1303" s="105" t="n">
        <v>45443</v>
      </c>
      <c r="G1303" t="inlineStr">
        <is>
          <t>208-2024-05-31</t>
        </is>
      </c>
      <c r="H1303" t="inlineStr">
        <is>
          <t>Sede Bienestar - Medellín</t>
        </is>
      </c>
      <c r="I1303" t="n">
        <v>0</v>
      </c>
      <c r="J1303" t="n">
        <v>0</v>
      </c>
      <c r="K1303" t="n">
        <v>0</v>
      </c>
    </row>
    <row r="1304">
      <c r="A1304" t="n">
        <v>208</v>
      </c>
      <c r="B1304" t="inlineStr">
        <is>
          <t>Consumo de Agua m3 Mensual</t>
        </is>
      </c>
      <c r="C1304" t="inlineStr">
        <is>
          <t>GESTIÓN AMBIENTAL</t>
        </is>
      </c>
      <c r="D1304" t="inlineStr">
        <is>
          <t>Mensual</t>
        </is>
      </c>
      <c r="E1304" t="inlineStr">
        <is>
          <t>Negativo</t>
        </is>
      </c>
      <c r="F1304" s="105" t="n">
        <v>45443</v>
      </c>
      <c r="G1304" t="inlineStr">
        <is>
          <t>208-2024-05-31</t>
        </is>
      </c>
      <c r="H1304" t="inlineStr">
        <is>
          <t>Consultorio Psicología - Medellin</t>
        </is>
      </c>
      <c r="I1304" t="n">
        <v>25</v>
      </c>
      <c r="J1304" t="n">
        <v>7</v>
      </c>
      <c r="K1304" t="n">
        <v>7</v>
      </c>
    </row>
    <row r="1305">
      <c r="A1305" t="n">
        <v>208</v>
      </c>
      <c r="B1305" t="inlineStr">
        <is>
          <t>Consumo de Agua m3 Mensual</t>
        </is>
      </c>
      <c r="C1305" t="inlineStr">
        <is>
          <t>GESTIÓN AMBIENTAL</t>
        </is>
      </c>
      <c r="D1305" t="inlineStr">
        <is>
          <t>Mensual</t>
        </is>
      </c>
      <c r="E1305" t="inlineStr">
        <is>
          <t>Negativo</t>
        </is>
      </c>
      <c r="F1305" s="105" t="n">
        <v>45443</v>
      </c>
      <c r="G1305" t="inlineStr">
        <is>
          <t>208-2024-05-31</t>
        </is>
      </c>
      <c r="H1305" t="inlineStr">
        <is>
          <t>Campus-Medellín</t>
        </is>
      </c>
      <c r="I1305" t="n">
        <v>200</v>
      </c>
      <c r="J1305" t="n">
        <v>308</v>
      </c>
      <c r="K1305" t="n">
        <v>308</v>
      </c>
    </row>
    <row r="1306">
      <c r="A1306" t="n">
        <v>214</v>
      </c>
      <c r="B1306" t="inlineStr">
        <is>
          <t>Generación de Residuos Sólidos Mensual</t>
        </is>
      </c>
      <c r="C1306" t="inlineStr">
        <is>
          <t>GESTIÓN AMBIENTAL</t>
        </is>
      </c>
      <c r="D1306" t="inlineStr">
        <is>
          <t>Mensual</t>
        </is>
      </c>
      <c r="E1306" t="inlineStr">
        <is>
          <t>Negativo</t>
        </is>
      </c>
      <c r="F1306" s="105" t="n">
        <v>45443</v>
      </c>
      <c r="G1306" t="inlineStr">
        <is>
          <t>214-2024-05-31</t>
        </is>
      </c>
      <c r="H1306" t="inlineStr">
        <is>
          <t>Campus Bogotá</t>
        </is>
      </c>
      <c r="I1306" t="n">
        <v>5500</v>
      </c>
      <c r="J1306" t="n">
        <v>4803</v>
      </c>
      <c r="L1306" t="n">
        <v>1584</v>
      </c>
      <c r="M1306" t="n">
        <v>3219</v>
      </c>
    </row>
    <row r="1307">
      <c r="A1307" t="n">
        <v>214</v>
      </c>
      <c r="B1307" t="inlineStr">
        <is>
          <t>Generación de Residuos Sólidos Mensual</t>
        </is>
      </c>
      <c r="C1307" t="inlineStr">
        <is>
          <t>GESTIÓN AMBIENTAL</t>
        </is>
      </c>
      <c r="D1307" t="inlineStr">
        <is>
          <t>Mensual</t>
        </is>
      </c>
      <c r="E1307" t="inlineStr">
        <is>
          <t>Negativo</t>
        </is>
      </c>
      <c r="F1307" s="105" t="n">
        <v>45443</v>
      </c>
      <c r="G1307" t="inlineStr">
        <is>
          <t>214-2024-05-31</t>
        </is>
      </c>
      <c r="H1307" t="inlineStr">
        <is>
          <t>City Campus</t>
        </is>
      </c>
      <c r="I1307" t="n">
        <v>1000</v>
      </c>
      <c r="J1307" t="n">
        <v>1021.880004882812</v>
      </c>
      <c r="L1307" t="n">
        <v>275.82</v>
      </c>
      <c r="M1307" t="n">
        <v>746.0599999999999</v>
      </c>
    </row>
    <row r="1308">
      <c r="A1308" t="n">
        <v>214</v>
      </c>
      <c r="B1308" t="inlineStr">
        <is>
          <t>Generación de Residuos Sólidos Mensual</t>
        </is>
      </c>
      <c r="C1308" t="inlineStr">
        <is>
          <t>GESTIÓN AMBIENTAL</t>
        </is>
      </c>
      <c r="D1308" t="inlineStr">
        <is>
          <t>Mensual</t>
        </is>
      </c>
      <c r="E1308" t="inlineStr">
        <is>
          <t>Negativo</t>
        </is>
      </c>
      <c r="F1308" s="105" t="n">
        <v>45443</v>
      </c>
      <c r="G1308" t="inlineStr">
        <is>
          <t>214-2024-05-31</t>
        </is>
      </c>
      <c r="H1308" t="inlineStr">
        <is>
          <t>Sede Posgrado-Calle 85</t>
        </is>
      </c>
      <c r="I1308" t="n">
        <v>7500</v>
      </c>
      <c r="J1308" t="n">
        <v>0</v>
      </c>
      <c r="L1308" t="n">
        <v>0</v>
      </c>
      <c r="M1308" t="n">
        <v>0</v>
      </c>
    </row>
    <row r="1309">
      <c r="A1309" t="n">
        <v>214</v>
      </c>
      <c r="B1309" t="inlineStr">
        <is>
          <t>Generación de Residuos Sólidos Mensual</t>
        </is>
      </c>
      <c r="C1309" t="inlineStr">
        <is>
          <t>GESTIÓN AMBIENTAL</t>
        </is>
      </c>
      <c r="D1309" t="inlineStr">
        <is>
          <t>Mensual</t>
        </is>
      </c>
      <c r="E1309" t="inlineStr">
        <is>
          <t>Negativo</t>
        </is>
      </c>
      <c r="F1309" s="105" t="n">
        <v>45443</v>
      </c>
      <c r="G1309" t="inlineStr">
        <is>
          <t>214-2024-05-31</t>
        </is>
      </c>
      <c r="H1309" t="inlineStr">
        <is>
          <t>Campus-Medellín</t>
        </is>
      </c>
      <c r="I1309" t="n">
        <v>1000</v>
      </c>
      <c r="J1309" t="n">
        <v>1136.599975585938</v>
      </c>
      <c r="L1309" t="n">
        <v>76.09999999999999</v>
      </c>
      <c r="M1309" t="n">
        <v>1060.5</v>
      </c>
    </row>
    <row r="1310">
      <c r="A1310" t="n">
        <v>214</v>
      </c>
      <c r="B1310" t="inlineStr">
        <is>
          <t>Generación de Residuos Sólidos Mensual</t>
        </is>
      </c>
      <c r="C1310" t="inlineStr">
        <is>
          <t>GESTIÓN AMBIENTAL</t>
        </is>
      </c>
      <c r="D1310" t="inlineStr">
        <is>
          <t>Mensual</t>
        </is>
      </c>
      <c r="E1310" t="inlineStr">
        <is>
          <t>Negativo</t>
        </is>
      </c>
      <c r="F1310" s="105" t="n">
        <v>45443</v>
      </c>
      <c r="G1310" t="inlineStr">
        <is>
          <t>214-2024-05-31</t>
        </is>
      </c>
      <c r="H1310" t="inlineStr">
        <is>
          <t>Sede Bienestar - Medellín</t>
        </is>
      </c>
      <c r="I1310" t="n">
        <v>1</v>
      </c>
      <c r="J1310" t="n">
        <v>0</v>
      </c>
      <c r="L1310" t="n">
        <v>0</v>
      </c>
      <c r="M1310" t="n">
        <v>0</v>
      </c>
    </row>
    <row r="1311">
      <c r="A1311" t="n">
        <v>214</v>
      </c>
      <c r="B1311" t="inlineStr">
        <is>
          <t>Generación de Residuos Sólidos Mensual</t>
        </is>
      </c>
      <c r="C1311" t="inlineStr">
        <is>
          <t>GESTIÓN AMBIENTAL</t>
        </is>
      </c>
      <c r="D1311" t="inlineStr">
        <is>
          <t>Mensual</t>
        </is>
      </c>
      <c r="E1311" t="inlineStr">
        <is>
          <t>Negativo</t>
        </is>
      </c>
      <c r="F1311" s="105" t="n">
        <v>45443</v>
      </c>
      <c r="G1311" t="inlineStr">
        <is>
          <t>214-2024-05-31</t>
        </is>
      </c>
      <c r="H1311" t="inlineStr">
        <is>
          <t>Consultorio Psicología - Medellin</t>
        </is>
      </c>
      <c r="I1311" t="n">
        <v>1</v>
      </c>
      <c r="J1311" t="n">
        <v>44.86000061035156</v>
      </c>
      <c r="L1311" t="n">
        <v>33.76</v>
      </c>
      <c r="M1311" t="n">
        <v>11.1</v>
      </c>
    </row>
    <row r="1312">
      <c r="A1312" t="n">
        <v>217</v>
      </c>
      <c r="B1312" t="inlineStr">
        <is>
          <t>Aprovechamiento de Residuos</t>
        </is>
      </c>
      <c r="C1312" t="inlineStr">
        <is>
          <t>GESTIÓN AMBIENTAL</t>
        </is>
      </c>
      <c r="D1312" t="inlineStr">
        <is>
          <t>Mensual</t>
        </is>
      </c>
      <c r="E1312" t="inlineStr">
        <is>
          <t>Positivo</t>
        </is>
      </c>
      <c r="F1312" s="105" t="n">
        <v>45443</v>
      </c>
      <c r="G1312" t="inlineStr">
        <is>
          <t>217-2024-05-31</t>
        </is>
      </c>
      <c r="H1312" t="inlineStr">
        <is>
          <t>City Campus</t>
        </is>
      </c>
      <c r="I1312" t="n">
        <v>20</v>
      </c>
      <c r="J1312" t="n">
        <v>26.98999977111816</v>
      </c>
      <c r="L1312" t="n">
        <v>275.82</v>
      </c>
      <c r="M1312" t="n">
        <v>746.0599999999999</v>
      </c>
      <c r="AS1312" t="n">
        <v>275.82</v>
      </c>
    </row>
    <row r="1313">
      <c r="A1313" t="n">
        <v>217</v>
      </c>
      <c r="B1313" t="inlineStr">
        <is>
          <t>Aprovechamiento de Residuos</t>
        </is>
      </c>
      <c r="C1313" t="inlineStr">
        <is>
          <t>GESTIÓN AMBIENTAL</t>
        </is>
      </c>
      <c r="D1313" t="inlineStr">
        <is>
          <t>Mensual</t>
        </is>
      </c>
      <c r="E1313" t="inlineStr">
        <is>
          <t>Positivo</t>
        </is>
      </c>
      <c r="F1313" s="105" t="n">
        <v>45443</v>
      </c>
      <c r="G1313" t="inlineStr">
        <is>
          <t>217-2024-05-31</t>
        </is>
      </c>
      <c r="H1313" t="inlineStr">
        <is>
          <t>Consultorio Psicología - Medellin</t>
        </is>
      </c>
      <c r="I1313" t="n">
        <v>20</v>
      </c>
      <c r="J1313" t="n">
        <v>75.26000213623047</v>
      </c>
      <c r="L1313" t="n">
        <v>33.76</v>
      </c>
      <c r="M1313" t="n">
        <v>11.1</v>
      </c>
      <c r="AS1313" t="n">
        <v>33.76</v>
      </c>
    </row>
    <row r="1314">
      <c r="A1314" t="n">
        <v>218</v>
      </c>
      <c r="B1314" t="inlineStr">
        <is>
          <t>Consumo de Energía Eléctrica kWh Mensual</t>
        </is>
      </c>
      <c r="C1314" t="inlineStr">
        <is>
          <t>GESTIÓN AMBIENTAL</t>
        </is>
      </c>
      <c r="D1314" t="inlineStr">
        <is>
          <t>Mensual</t>
        </is>
      </c>
      <c r="E1314" t="inlineStr">
        <is>
          <t>Negativo</t>
        </is>
      </c>
      <c r="F1314" s="105" t="n">
        <v>45443</v>
      </c>
      <c r="G1314" t="inlineStr">
        <is>
          <t>218-2024-05-31</t>
        </is>
      </c>
      <c r="H1314" t="inlineStr">
        <is>
          <t>City Campus</t>
        </is>
      </c>
      <c r="I1314" t="n">
        <v>76000</v>
      </c>
      <c r="J1314" t="n">
        <v>46740</v>
      </c>
      <c r="N1314" t="n">
        <v>46740</v>
      </c>
    </row>
    <row r="1315">
      <c r="A1315" t="n">
        <v>218</v>
      </c>
      <c r="B1315" t="inlineStr">
        <is>
          <t>Consumo de Energía Eléctrica kWh Mensual</t>
        </is>
      </c>
      <c r="C1315" t="inlineStr">
        <is>
          <t>GESTIÓN AMBIENTAL</t>
        </is>
      </c>
      <c r="D1315" t="inlineStr">
        <is>
          <t>Mensual</t>
        </is>
      </c>
      <c r="E1315" t="inlineStr">
        <is>
          <t>Negativo</t>
        </is>
      </c>
      <c r="F1315" s="105" t="n">
        <v>45443</v>
      </c>
      <c r="G1315" t="inlineStr">
        <is>
          <t>218-2024-05-31</t>
        </is>
      </c>
      <c r="H1315" t="inlineStr">
        <is>
          <t>Sede Posgrado-Calle 85</t>
        </is>
      </c>
      <c r="I1315" t="n">
        <v>5000</v>
      </c>
      <c r="J1315" t="n">
        <v>4440</v>
      </c>
      <c r="N1315" t="n">
        <v>4440</v>
      </c>
    </row>
    <row r="1316">
      <c r="A1316" t="n">
        <v>218</v>
      </c>
      <c r="B1316" t="inlineStr">
        <is>
          <t>Consumo de Energía Eléctrica kWh Mensual</t>
        </is>
      </c>
      <c r="C1316" t="inlineStr">
        <is>
          <t>GESTIÓN AMBIENTAL</t>
        </is>
      </c>
      <c r="D1316" t="inlineStr">
        <is>
          <t>Mensual</t>
        </is>
      </c>
      <c r="E1316" t="inlineStr">
        <is>
          <t>Negativo</t>
        </is>
      </c>
      <c r="F1316" s="105" t="n">
        <v>45443</v>
      </c>
      <c r="G1316" t="inlineStr">
        <is>
          <t>218-2024-05-31</t>
        </is>
      </c>
      <c r="H1316" t="inlineStr">
        <is>
          <t>Campus-Medellín</t>
        </is>
      </c>
      <c r="I1316" t="n">
        <v>24000</v>
      </c>
      <c r="J1316" t="n">
        <v>26302</v>
      </c>
      <c r="N1316" t="n">
        <v>26302</v>
      </c>
    </row>
    <row r="1317">
      <c r="A1317" t="n">
        <v>218</v>
      </c>
      <c r="B1317" t="inlineStr">
        <is>
          <t>Consumo de Energía Eléctrica kWh Mensual</t>
        </is>
      </c>
      <c r="C1317" t="inlineStr">
        <is>
          <t>GESTIÓN AMBIENTAL</t>
        </is>
      </c>
      <c r="D1317" t="inlineStr">
        <is>
          <t>Mensual</t>
        </is>
      </c>
      <c r="E1317" t="inlineStr">
        <is>
          <t>Negativo</t>
        </is>
      </c>
      <c r="F1317" s="105" t="n">
        <v>45443</v>
      </c>
      <c r="G1317" t="inlineStr">
        <is>
          <t>218-2024-05-31</t>
        </is>
      </c>
      <c r="H1317" t="inlineStr">
        <is>
          <t>Sede Bienestar - Medellín</t>
        </is>
      </c>
      <c r="I1317" t="n">
        <v>5000</v>
      </c>
      <c r="J1317" t="n">
        <v>4320</v>
      </c>
      <c r="N1317" t="n">
        <v>4320</v>
      </c>
    </row>
    <row r="1318">
      <c r="A1318" t="n">
        <v>218</v>
      </c>
      <c r="B1318" t="inlineStr">
        <is>
          <t>Consumo de Energía Eléctrica kWh Mensual</t>
        </is>
      </c>
      <c r="C1318" t="inlineStr">
        <is>
          <t>GESTIÓN AMBIENTAL</t>
        </is>
      </c>
      <c r="D1318" t="inlineStr">
        <is>
          <t>Mensual</t>
        </is>
      </c>
      <c r="E1318" t="inlineStr">
        <is>
          <t>Negativo</t>
        </is>
      </c>
      <c r="F1318" s="105" t="n">
        <v>45443</v>
      </c>
      <c r="G1318" t="inlineStr">
        <is>
          <t>218-2024-05-31</t>
        </is>
      </c>
      <c r="H1318" t="inlineStr">
        <is>
          <t>Consultorio Psicología - Medellin</t>
        </is>
      </c>
      <c r="I1318" t="n">
        <v>2000</v>
      </c>
      <c r="J1318" t="n">
        <v>1432</v>
      </c>
      <c r="N1318" t="n">
        <v>1432</v>
      </c>
    </row>
    <row r="1319">
      <c r="A1319" t="n">
        <v>218</v>
      </c>
      <c r="B1319" t="inlineStr">
        <is>
          <t>Consumo de Energía Eléctrica kWh Mensual</t>
        </is>
      </c>
      <c r="C1319" t="inlineStr">
        <is>
          <t>GESTIÓN AMBIENTAL</t>
        </is>
      </c>
      <c r="D1319" t="inlineStr">
        <is>
          <t>Mensual</t>
        </is>
      </c>
      <c r="E1319" t="inlineStr">
        <is>
          <t>Negativo</t>
        </is>
      </c>
      <c r="F1319" s="105" t="n">
        <v>45443</v>
      </c>
      <c r="G1319" t="inlineStr">
        <is>
          <t>218-2024-05-31</t>
        </is>
      </c>
      <c r="H1319" t="inlineStr">
        <is>
          <t>Campus Bogotá</t>
        </is>
      </c>
      <c r="I1319" t="n">
        <v>76000</v>
      </c>
      <c r="J1319" t="n">
        <v>74045.1484375</v>
      </c>
      <c r="N1319" t="n">
        <v>74045.14999999999</v>
      </c>
    </row>
    <row r="1320">
      <c r="A1320" t="n">
        <v>434</v>
      </c>
      <c r="B1320" t="inlineStr">
        <is>
          <t>Generación de Residuos Peligrosos Mensual</t>
        </is>
      </c>
      <c r="C1320" t="inlineStr">
        <is>
          <t>GESTIÓN AMBIENTAL</t>
        </is>
      </c>
      <c r="D1320" t="inlineStr">
        <is>
          <t>Mensual</t>
        </is>
      </c>
      <c r="E1320" t="inlineStr">
        <is>
          <t>Negativo</t>
        </is>
      </c>
      <c r="F1320" s="105" t="n">
        <v>45443</v>
      </c>
      <c r="G1320" t="inlineStr">
        <is>
          <t>434-2024-05-31</t>
        </is>
      </c>
      <c r="H1320" t="inlineStr">
        <is>
          <t>Campus Bogotá</t>
        </is>
      </c>
      <c r="I1320" t="n">
        <v>100</v>
      </c>
      <c r="J1320" t="n">
        <v>40.06999969482422</v>
      </c>
      <c r="AV1320" t="n">
        <v>40.07</v>
      </c>
    </row>
    <row r="1321">
      <c r="A1321" t="n">
        <v>434</v>
      </c>
      <c r="B1321" t="inlineStr">
        <is>
          <t>Generación de Residuos Peligrosos Mensual</t>
        </is>
      </c>
      <c r="C1321" t="inlineStr">
        <is>
          <t>GESTIÓN AMBIENTAL</t>
        </is>
      </c>
      <c r="D1321" t="inlineStr">
        <is>
          <t>Mensual</t>
        </is>
      </c>
      <c r="E1321" t="inlineStr">
        <is>
          <t>Negativo</t>
        </is>
      </c>
      <c r="F1321" s="105" t="n">
        <v>45443</v>
      </c>
      <c r="G1321" t="inlineStr">
        <is>
          <t>434-2024-05-31</t>
        </is>
      </c>
      <c r="H1321" t="inlineStr">
        <is>
          <t>City Campus</t>
        </is>
      </c>
      <c r="I1321" t="n">
        <v>25</v>
      </c>
      <c r="J1321" t="n">
        <v>0.8299999833106995</v>
      </c>
      <c r="AV1321" t="n">
        <v>0.83</v>
      </c>
    </row>
    <row r="1322">
      <c r="A1322" t="n">
        <v>434</v>
      </c>
      <c r="B1322" t="inlineStr">
        <is>
          <t>Generación de Residuos Peligrosos Mensual</t>
        </is>
      </c>
      <c r="C1322" t="inlineStr">
        <is>
          <t>GESTIÓN AMBIENTAL</t>
        </is>
      </c>
      <c r="D1322" t="inlineStr">
        <is>
          <t>Mensual</t>
        </is>
      </c>
      <c r="E1322" t="inlineStr">
        <is>
          <t>Negativo</t>
        </is>
      </c>
      <c r="F1322" s="105" t="n">
        <v>45443</v>
      </c>
      <c r="G1322" t="inlineStr">
        <is>
          <t>434-2024-05-31</t>
        </is>
      </c>
      <c r="H1322" t="inlineStr">
        <is>
          <t>Sede Posgrado-Calle 85</t>
        </is>
      </c>
      <c r="I1322" t="n">
        <v>200</v>
      </c>
      <c r="J1322" t="n">
        <v>0</v>
      </c>
      <c r="AV1322" t="n">
        <v>0</v>
      </c>
    </row>
    <row r="1323">
      <c r="A1323" t="n">
        <v>434</v>
      </c>
      <c r="B1323" t="inlineStr">
        <is>
          <t>Generación de Residuos Peligrosos Mensual</t>
        </is>
      </c>
      <c r="C1323" t="inlineStr">
        <is>
          <t>GESTIÓN AMBIENTAL</t>
        </is>
      </c>
      <c r="D1323" t="inlineStr">
        <is>
          <t>Mensual</t>
        </is>
      </c>
      <c r="E1323" t="inlineStr">
        <is>
          <t>Negativo</t>
        </is>
      </c>
      <c r="F1323" s="105" t="n">
        <v>45443</v>
      </c>
      <c r="G1323" t="inlineStr">
        <is>
          <t>434-2024-05-31</t>
        </is>
      </c>
      <c r="H1323" t="inlineStr">
        <is>
          <t>Campus-Medellín</t>
        </is>
      </c>
      <c r="I1323" t="n">
        <v>25</v>
      </c>
      <c r="J1323" t="n">
        <v>0.8999999761581421</v>
      </c>
      <c r="AV1323" t="n">
        <v>0.9</v>
      </c>
    </row>
    <row r="1324">
      <c r="A1324" t="n">
        <v>434</v>
      </c>
      <c r="B1324" t="inlineStr">
        <is>
          <t>Generación de Residuos Peligrosos Mensual</t>
        </is>
      </c>
      <c r="C1324" t="inlineStr">
        <is>
          <t>GESTIÓN AMBIENTAL</t>
        </is>
      </c>
      <c r="D1324" t="inlineStr">
        <is>
          <t>Mensual</t>
        </is>
      </c>
      <c r="E1324" t="inlineStr">
        <is>
          <t>Negativo</t>
        </is>
      </c>
      <c r="F1324" s="105" t="n">
        <v>45443</v>
      </c>
      <c r="G1324" t="inlineStr">
        <is>
          <t>434-2024-05-31</t>
        </is>
      </c>
      <c r="H1324" t="inlineStr">
        <is>
          <t>Sede Bienestar - Medellín</t>
        </is>
      </c>
      <c r="I1324" t="n">
        <v>10</v>
      </c>
      <c r="J1324" t="n">
        <v>0.2000000029802322</v>
      </c>
      <c r="AV1324" t="n">
        <v>0.2</v>
      </c>
    </row>
    <row r="1325">
      <c r="A1325" t="n">
        <v>434</v>
      </c>
      <c r="B1325" t="inlineStr">
        <is>
          <t>Generación de Residuos Peligrosos Mensual</t>
        </is>
      </c>
      <c r="C1325" t="inlineStr">
        <is>
          <t>GESTIÓN AMBIENTAL</t>
        </is>
      </c>
      <c r="D1325" t="inlineStr">
        <is>
          <t>Mensual</t>
        </is>
      </c>
      <c r="E1325" t="inlineStr">
        <is>
          <t>Negativo</t>
        </is>
      </c>
      <c r="F1325" s="105" t="n">
        <v>45443</v>
      </c>
      <c r="G1325" t="inlineStr">
        <is>
          <t>434-2024-05-31</t>
        </is>
      </c>
      <c r="H1325" t="inlineStr">
        <is>
          <t>Consultorio Psicología - Medellin</t>
        </is>
      </c>
      <c r="I1325" t="n">
        <v>200</v>
      </c>
      <c r="J1325" t="n">
        <v>0</v>
      </c>
      <c r="AV1325" t="n">
        <v>0</v>
      </c>
    </row>
    <row r="1326">
      <c r="A1326" t="n">
        <v>436</v>
      </c>
      <c r="B1326" t="inlineStr">
        <is>
          <t>ANS documentos operativos</t>
        </is>
      </c>
      <c r="C1326" t="inlineStr">
        <is>
          <t>Gestión de calidad</t>
        </is>
      </c>
      <c r="D1326" t="inlineStr">
        <is>
          <t>Mensual</t>
        </is>
      </c>
      <c r="E1326" t="inlineStr">
        <is>
          <t>Negativo</t>
        </is>
      </c>
      <c r="F1326" s="105" t="n">
        <v>45443</v>
      </c>
      <c r="G1326" t="inlineStr">
        <is>
          <t>436-2024-05-31</t>
        </is>
      </c>
      <c r="H1326" t="inlineStr">
        <is>
          <t>Flujo de aprobación</t>
        </is>
      </c>
      <c r="I1326" t="n">
        <v>7</v>
      </c>
      <c r="J1326" t="n">
        <v>4.5</v>
      </c>
      <c r="CP1326" t="n">
        <v>4.5</v>
      </c>
    </row>
    <row r="1327">
      <c r="A1327" t="n">
        <v>436</v>
      </c>
      <c r="B1327" t="inlineStr">
        <is>
          <t>ANS documentos operativos</t>
        </is>
      </c>
      <c r="C1327" t="inlineStr">
        <is>
          <t>Gestión de calidad</t>
        </is>
      </c>
      <c r="D1327" t="inlineStr">
        <is>
          <t>Mensual</t>
        </is>
      </c>
      <c r="E1327" t="inlineStr">
        <is>
          <t>Negativo</t>
        </is>
      </c>
      <c r="F1327" s="105" t="n">
        <v>45443</v>
      </c>
      <c r="G1327" t="inlineStr">
        <is>
          <t>436-2024-05-31</t>
        </is>
      </c>
      <c r="H1327" t="inlineStr">
        <is>
          <t>Solicitud Documental</t>
        </is>
      </c>
      <c r="I1327" t="n">
        <v>14</v>
      </c>
      <c r="J1327" t="n">
        <v>6.099999904632568</v>
      </c>
      <c r="CP1327" t="n">
        <v>6.1</v>
      </c>
    </row>
    <row r="1328">
      <c r="A1328" t="n">
        <v>208</v>
      </c>
      <c r="B1328" t="inlineStr">
        <is>
          <t>Consumo de Agua m3 Mensual</t>
        </is>
      </c>
      <c r="C1328" t="inlineStr">
        <is>
          <t>GESTIÓN AMBIENTAL</t>
        </is>
      </c>
      <c r="D1328" t="inlineStr">
        <is>
          <t>Mensual</t>
        </is>
      </c>
      <c r="E1328" t="inlineStr">
        <is>
          <t>Negativo</t>
        </is>
      </c>
      <c r="F1328" s="105" t="n">
        <v>45473</v>
      </c>
      <c r="G1328" t="inlineStr">
        <is>
          <t>208-2024-06-30</t>
        </is>
      </c>
      <c r="H1328" t="inlineStr">
        <is>
          <t>Campus Bogotá</t>
        </is>
      </c>
      <c r="I1328" t="n">
        <v>950</v>
      </c>
      <c r="J1328" t="n">
        <v>766</v>
      </c>
      <c r="K1328" t="n">
        <v>766</v>
      </c>
    </row>
    <row r="1329">
      <c r="A1329" t="n">
        <v>208</v>
      </c>
      <c r="B1329" t="inlineStr">
        <is>
          <t>Consumo de Agua m3 Mensual</t>
        </is>
      </c>
      <c r="C1329" t="inlineStr">
        <is>
          <t>GESTIÓN AMBIENTAL</t>
        </is>
      </c>
      <c r="D1329" t="inlineStr">
        <is>
          <t>Mensual</t>
        </is>
      </c>
      <c r="E1329" t="inlineStr">
        <is>
          <t>Negativo</t>
        </is>
      </c>
      <c r="F1329" s="105" t="n">
        <v>45473</v>
      </c>
      <c r="G1329" t="inlineStr">
        <is>
          <t>208-2024-06-30</t>
        </is>
      </c>
      <c r="H1329" t="inlineStr">
        <is>
          <t>City Campus</t>
        </is>
      </c>
      <c r="I1329" t="n">
        <v>350</v>
      </c>
      <c r="J1329" t="n">
        <v>220</v>
      </c>
      <c r="K1329" t="n">
        <v>220</v>
      </c>
    </row>
    <row r="1330">
      <c r="A1330" t="n">
        <v>208</v>
      </c>
      <c r="B1330" t="inlineStr">
        <is>
          <t>Consumo de Agua m3 Mensual</t>
        </is>
      </c>
      <c r="C1330" t="inlineStr">
        <is>
          <t>GESTIÓN AMBIENTAL</t>
        </is>
      </c>
      <c r="D1330" t="inlineStr">
        <is>
          <t>Mensual</t>
        </is>
      </c>
      <c r="E1330" t="inlineStr">
        <is>
          <t>Negativo</t>
        </is>
      </c>
      <c r="F1330" s="105" t="n">
        <v>45473</v>
      </c>
      <c r="G1330" t="inlineStr">
        <is>
          <t>208-2024-06-30</t>
        </is>
      </c>
      <c r="H1330" t="inlineStr">
        <is>
          <t>Sede Posgrado-Calle 85</t>
        </is>
      </c>
      <c r="I1330" t="n">
        <v>25</v>
      </c>
      <c r="J1330" t="n">
        <v>5</v>
      </c>
      <c r="K1330" t="n">
        <v>5</v>
      </c>
    </row>
    <row r="1331">
      <c r="A1331" t="n">
        <v>208</v>
      </c>
      <c r="B1331" t="inlineStr">
        <is>
          <t>Consumo de Agua m3 Mensual</t>
        </is>
      </c>
      <c r="C1331" t="inlineStr">
        <is>
          <t>GESTIÓN AMBIENTAL</t>
        </is>
      </c>
      <c r="D1331" t="inlineStr">
        <is>
          <t>Mensual</t>
        </is>
      </c>
      <c r="E1331" t="inlineStr">
        <is>
          <t>Negativo</t>
        </is>
      </c>
      <c r="F1331" s="105" t="n">
        <v>45473</v>
      </c>
      <c r="G1331" t="inlineStr">
        <is>
          <t>208-2024-06-30</t>
        </is>
      </c>
      <c r="H1331" t="inlineStr">
        <is>
          <t>Campus-Medellín</t>
        </is>
      </c>
      <c r="I1331" t="n">
        <v>200</v>
      </c>
      <c r="J1331" t="n">
        <v>293</v>
      </c>
      <c r="K1331" t="n">
        <v>293</v>
      </c>
    </row>
    <row r="1332">
      <c r="A1332" t="n">
        <v>208</v>
      </c>
      <c r="B1332" t="inlineStr">
        <is>
          <t>Consumo de Agua m3 Mensual</t>
        </is>
      </c>
      <c r="C1332" t="inlineStr">
        <is>
          <t>GESTIÓN AMBIENTAL</t>
        </is>
      </c>
      <c r="D1332" t="inlineStr">
        <is>
          <t>Mensual</t>
        </is>
      </c>
      <c r="E1332" t="inlineStr">
        <is>
          <t>Negativo</t>
        </is>
      </c>
      <c r="F1332" s="105" t="n">
        <v>45473</v>
      </c>
      <c r="G1332" t="inlineStr">
        <is>
          <t>208-2024-06-30</t>
        </is>
      </c>
      <c r="H1332" t="inlineStr">
        <is>
          <t>Sede Bienestar - Medellín</t>
        </is>
      </c>
      <c r="I1332" t="n">
        <v>0</v>
      </c>
      <c r="J1332" t="n">
        <v>0</v>
      </c>
      <c r="K1332" t="n">
        <v>0</v>
      </c>
    </row>
    <row r="1333">
      <c r="A1333" t="n">
        <v>208</v>
      </c>
      <c r="B1333" t="inlineStr">
        <is>
          <t>Consumo de Agua m3 Mensual</t>
        </is>
      </c>
      <c r="C1333" t="inlineStr">
        <is>
          <t>GESTIÓN AMBIENTAL</t>
        </is>
      </c>
      <c r="D1333" t="inlineStr">
        <is>
          <t>Mensual</t>
        </is>
      </c>
      <c r="E1333" t="inlineStr">
        <is>
          <t>Negativo</t>
        </is>
      </c>
      <c r="F1333" s="105" t="n">
        <v>45473</v>
      </c>
      <c r="G1333" t="inlineStr">
        <is>
          <t>208-2024-06-30</t>
        </is>
      </c>
      <c r="H1333" t="inlineStr">
        <is>
          <t>Consultorio Psicología - Medellin</t>
        </is>
      </c>
      <c r="I1333" t="n">
        <v>25</v>
      </c>
      <c r="J1333" t="n">
        <v>7</v>
      </c>
      <c r="K1333" t="n">
        <v>7</v>
      </c>
    </row>
    <row r="1334">
      <c r="A1334" t="n">
        <v>214</v>
      </c>
      <c r="B1334" t="inlineStr">
        <is>
          <t>Generación de Residuos Sólidos Mensual</t>
        </is>
      </c>
      <c r="C1334" t="inlineStr">
        <is>
          <t>GESTIÓN AMBIENTAL</t>
        </is>
      </c>
      <c r="D1334" t="inlineStr">
        <is>
          <t>Mensual</t>
        </is>
      </c>
      <c r="E1334" t="inlineStr">
        <is>
          <t>Negativo</t>
        </is>
      </c>
      <c r="F1334" s="105" t="n">
        <v>45473</v>
      </c>
      <c r="G1334" t="inlineStr">
        <is>
          <t>214-2024-06-30</t>
        </is>
      </c>
      <c r="H1334" t="inlineStr">
        <is>
          <t>Campus Bogotá</t>
        </is>
      </c>
      <c r="I1334" t="n">
        <v>5500</v>
      </c>
      <c r="J1334" t="n">
        <v>2138.25</v>
      </c>
      <c r="L1334" t="n">
        <v>379.25</v>
      </c>
      <c r="M1334" t="n">
        <v>1759</v>
      </c>
    </row>
    <row r="1335">
      <c r="A1335" t="n">
        <v>214</v>
      </c>
      <c r="B1335" t="inlineStr">
        <is>
          <t>Generación de Residuos Sólidos Mensual</t>
        </is>
      </c>
      <c r="C1335" t="inlineStr">
        <is>
          <t>GESTIÓN AMBIENTAL</t>
        </is>
      </c>
      <c r="D1335" t="inlineStr">
        <is>
          <t>Mensual</t>
        </is>
      </c>
      <c r="E1335" t="inlineStr">
        <is>
          <t>Negativo</t>
        </is>
      </c>
      <c r="F1335" s="105" t="n">
        <v>45473</v>
      </c>
      <c r="G1335" t="inlineStr">
        <is>
          <t>214-2024-06-30</t>
        </is>
      </c>
      <c r="H1335" t="inlineStr">
        <is>
          <t>City Campus</t>
        </is>
      </c>
      <c r="I1335" t="n">
        <v>1000</v>
      </c>
      <c r="J1335" t="n">
        <v>556.8200073242188</v>
      </c>
      <c r="L1335" t="n">
        <v>137.35</v>
      </c>
      <c r="M1335" t="n">
        <v>419.47</v>
      </c>
    </row>
    <row r="1336">
      <c r="A1336" t="n">
        <v>214</v>
      </c>
      <c r="B1336" t="inlineStr">
        <is>
          <t>Generación de Residuos Sólidos Mensual</t>
        </is>
      </c>
      <c r="C1336" t="inlineStr">
        <is>
          <t>GESTIÓN AMBIENTAL</t>
        </is>
      </c>
      <c r="D1336" t="inlineStr">
        <is>
          <t>Mensual</t>
        </is>
      </c>
      <c r="E1336" t="inlineStr">
        <is>
          <t>Negativo</t>
        </is>
      </c>
      <c r="F1336" s="105" t="n">
        <v>45473</v>
      </c>
      <c r="G1336" t="inlineStr">
        <is>
          <t>214-2024-06-30</t>
        </is>
      </c>
      <c r="H1336" t="inlineStr">
        <is>
          <t>Sede Posgrado-Calle 85</t>
        </is>
      </c>
      <c r="I1336" t="n">
        <v>7500</v>
      </c>
      <c r="J1336" t="n">
        <v>0</v>
      </c>
      <c r="L1336" t="n">
        <v>0</v>
      </c>
      <c r="M1336" t="n">
        <v>0</v>
      </c>
    </row>
    <row r="1337">
      <c r="A1337" t="n">
        <v>214</v>
      </c>
      <c r="B1337" t="inlineStr">
        <is>
          <t>Generación de Residuos Sólidos Mensual</t>
        </is>
      </c>
      <c r="C1337" t="inlineStr">
        <is>
          <t>GESTIÓN AMBIENTAL</t>
        </is>
      </c>
      <c r="D1337" t="inlineStr">
        <is>
          <t>Mensual</t>
        </is>
      </c>
      <c r="E1337" t="inlineStr">
        <is>
          <t>Negativo</t>
        </is>
      </c>
      <c r="F1337" s="105" t="n">
        <v>45473</v>
      </c>
      <c r="G1337" t="inlineStr">
        <is>
          <t>214-2024-06-30</t>
        </is>
      </c>
      <c r="H1337" t="inlineStr">
        <is>
          <t>Campus-Medellín</t>
        </is>
      </c>
      <c r="I1337" t="n">
        <v>1000</v>
      </c>
      <c r="J1337" t="n">
        <v>476.3999938964844</v>
      </c>
      <c r="L1337" t="n">
        <v>13.7</v>
      </c>
      <c r="M1337" t="n">
        <v>462.7</v>
      </c>
    </row>
    <row r="1338">
      <c r="A1338" t="n">
        <v>214</v>
      </c>
      <c r="B1338" t="inlineStr">
        <is>
          <t>Generación de Residuos Sólidos Mensual</t>
        </is>
      </c>
      <c r="C1338" t="inlineStr">
        <is>
          <t>GESTIÓN AMBIENTAL</t>
        </is>
      </c>
      <c r="D1338" t="inlineStr">
        <is>
          <t>Mensual</t>
        </is>
      </c>
      <c r="E1338" t="inlineStr">
        <is>
          <t>Negativo</t>
        </is>
      </c>
      <c r="F1338" s="105" t="n">
        <v>45473</v>
      </c>
      <c r="G1338" t="inlineStr">
        <is>
          <t>214-2024-06-30</t>
        </is>
      </c>
      <c r="H1338" t="inlineStr">
        <is>
          <t>Sede Bienestar - Medellín</t>
        </is>
      </c>
      <c r="I1338" t="n">
        <v>1</v>
      </c>
      <c r="J1338" t="n">
        <v>0</v>
      </c>
      <c r="L1338" t="n">
        <v>0</v>
      </c>
      <c r="M1338" t="n">
        <v>0</v>
      </c>
    </row>
    <row r="1339">
      <c r="A1339" t="n">
        <v>214</v>
      </c>
      <c r="B1339" t="inlineStr">
        <is>
          <t>Generación de Residuos Sólidos Mensual</t>
        </is>
      </c>
      <c r="C1339" t="inlineStr">
        <is>
          <t>GESTIÓN AMBIENTAL</t>
        </is>
      </c>
      <c r="D1339" t="inlineStr">
        <is>
          <t>Mensual</t>
        </is>
      </c>
      <c r="E1339" t="inlineStr">
        <is>
          <t>Negativo</t>
        </is>
      </c>
      <c r="F1339" s="105" t="n">
        <v>45473</v>
      </c>
      <c r="G1339" t="inlineStr">
        <is>
          <t>214-2024-06-30</t>
        </is>
      </c>
      <c r="H1339" t="inlineStr">
        <is>
          <t>Consultorio Psicología - Medellin</t>
        </is>
      </c>
      <c r="I1339" t="n">
        <v>1</v>
      </c>
      <c r="J1339" t="n">
        <v>28.57999992370605</v>
      </c>
      <c r="L1339" t="n">
        <v>20.93</v>
      </c>
      <c r="M1339" t="n">
        <v>7.65</v>
      </c>
    </row>
    <row r="1340">
      <c r="A1340" t="n">
        <v>217</v>
      </c>
      <c r="B1340" t="inlineStr">
        <is>
          <t>Aprovechamiento de Residuos</t>
        </is>
      </c>
      <c r="C1340" t="inlineStr">
        <is>
          <t>GESTIÓN AMBIENTAL</t>
        </is>
      </c>
      <c r="D1340" t="inlineStr">
        <is>
          <t>Mensual</t>
        </is>
      </c>
      <c r="E1340" t="inlineStr">
        <is>
          <t>Positivo</t>
        </is>
      </c>
      <c r="F1340" s="105" t="n">
        <v>45473</v>
      </c>
      <c r="G1340" t="inlineStr">
        <is>
          <t>217-2024-06-30</t>
        </is>
      </c>
      <c r="H1340" t="inlineStr">
        <is>
          <t>Consultorio Psicología - Medellin</t>
        </is>
      </c>
      <c r="I1340" t="n">
        <v>20</v>
      </c>
      <c r="J1340" t="n">
        <v>73.23000335693359</v>
      </c>
      <c r="L1340" t="n">
        <v>20.93</v>
      </c>
      <c r="M1340" t="n">
        <v>7.65</v>
      </c>
      <c r="AS1340" t="n">
        <v>20.93</v>
      </c>
    </row>
    <row r="1341">
      <c r="A1341" t="n">
        <v>218</v>
      </c>
      <c r="B1341" t="inlineStr">
        <is>
          <t>Consumo de Energía Eléctrica kWh Mensual</t>
        </is>
      </c>
      <c r="C1341" t="inlineStr">
        <is>
          <t>GESTIÓN AMBIENTAL</t>
        </is>
      </c>
      <c r="D1341" t="inlineStr">
        <is>
          <t>Mensual</t>
        </is>
      </c>
      <c r="E1341" t="inlineStr">
        <is>
          <t>Negativo</t>
        </is>
      </c>
      <c r="F1341" s="105" t="n">
        <v>45473</v>
      </c>
      <c r="G1341" t="inlineStr">
        <is>
          <t>218-2024-06-30</t>
        </is>
      </c>
      <c r="H1341" t="inlineStr">
        <is>
          <t>Campus Bogotá</t>
        </is>
      </c>
      <c r="I1341" t="n">
        <v>76000</v>
      </c>
      <c r="J1341" t="n">
        <v>57897.6484375</v>
      </c>
      <c r="N1341" t="n">
        <v>57897.65</v>
      </c>
    </row>
    <row r="1342">
      <c r="A1342" t="n">
        <v>218</v>
      </c>
      <c r="B1342" t="inlineStr">
        <is>
          <t>Consumo de Energía Eléctrica kWh Mensual</t>
        </is>
      </c>
      <c r="C1342" t="inlineStr">
        <is>
          <t>GESTIÓN AMBIENTAL</t>
        </is>
      </c>
      <c r="D1342" t="inlineStr">
        <is>
          <t>Mensual</t>
        </is>
      </c>
      <c r="E1342" t="inlineStr">
        <is>
          <t>Negativo</t>
        </is>
      </c>
      <c r="F1342" s="105" t="n">
        <v>45473</v>
      </c>
      <c r="G1342" t="inlineStr">
        <is>
          <t>218-2024-06-30</t>
        </is>
      </c>
      <c r="H1342" t="inlineStr">
        <is>
          <t>City Campus</t>
        </is>
      </c>
      <c r="I1342" t="n">
        <v>76000</v>
      </c>
      <c r="J1342" t="n">
        <v>45030</v>
      </c>
      <c r="N1342" t="n">
        <v>45030</v>
      </c>
    </row>
    <row r="1343">
      <c r="A1343" t="n">
        <v>218</v>
      </c>
      <c r="B1343" t="inlineStr">
        <is>
          <t>Consumo de Energía Eléctrica kWh Mensual</t>
        </is>
      </c>
      <c r="C1343" t="inlineStr">
        <is>
          <t>GESTIÓN AMBIENTAL</t>
        </is>
      </c>
      <c r="D1343" t="inlineStr">
        <is>
          <t>Mensual</t>
        </is>
      </c>
      <c r="E1343" t="inlineStr">
        <is>
          <t>Negativo</t>
        </is>
      </c>
      <c r="F1343" s="105" t="n">
        <v>45473</v>
      </c>
      <c r="G1343" t="inlineStr">
        <is>
          <t>218-2024-06-30</t>
        </is>
      </c>
      <c r="H1343" t="inlineStr">
        <is>
          <t>Sede Posgrado-Calle 85</t>
        </is>
      </c>
      <c r="I1343" t="n">
        <v>5000</v>
      </c>
      <c r="J1343" t="n">
        <v>4260</v>
      </c>
      <c r="N1343" t="n">
        <v>4260</v>
      </c>
    </row>
    <row r="1344">
      <c r="A1344" t="n">
        <v>218</v>
      </c>
      <c r="B1344" t="inlineStr">
        <is>
          <t>Consumo de Energía Eléctrica kWh Mensual</t>
        </is>
      </c>
      <c r="C1344" t="inlineStr">
        <is>
          <t>GESTIÓN AMBIENTAL</t>
        </is>
      </c>
      <c r="D1344" t="inlineStr">
        <is>
          <t>Mensual</t>
        </is>
      </c>
      <c r="E1344" t="inlineStr">
        <is>
          <t>Negativo</t>
        </is>
      </c>
      <c r="F1344" s="105" t="n">
        <v>45473</v>
      </c>
      <c r="G1344" t="inlineStr">
        <is>
          <t>218-2024-06-30</t>
        </is>
      </c>
      <c r="H1344" t="inlineStr">
        <is>
          <t>Campus-Medellín</t>
        </is>
      </c>
      <c r="I1344" t="n">
        <v>24000</v>
      </c>
      <c r="J1344" t="n">
        <v>27377</v>
      </c>
      <c r="N1344" t="n">
        <v>27377</v>
      </c>
    </row>
    <row r="1345">
      <c r="A1345" t="n">
        <v>218</v>
      </c>
      <c r="B1345" t="inlineStr">
        <is>
          <t>Consumo de Energía Eléctrica kWh Mensual</t>
        </is>
      </c>
      <c r="C1345" t="inlineStr">
        <is>
          <t>GESTIÓN AMBIENTAL</t>
        </is>
      </c>
      <c r="D1345" t="inlineStr">
        <is>
          <t>Mensual</t>
        </is>
      </c>
      <c r="E1345" t="inlineStr">
        <is>
          <t>Negativo</t>
        </is>
      </c>
      <c r="F1345" s="105" t="n">
        <v>45473</v>
      </c>
      <c r="G1345" t="inlineStr">
        <is>
          <t>218-2024-06-30</t>
        </is>
      </c>
      <c r="H1345" t="inlineStr">
        <is>
          <t>Consultorio Psicología - Medellin</t>
        </is>
      </c>
      <c r="I1345" t="n">
        <v>2000</v>
      </c>
      <c r="J1345" t="n">
        <v>1484</v>
      </c>
      <c r="N1345" t="n">
        <v>1484</v>
      </c>
    </row>
    <row r="1346">
      <c r="A1346" t="n">
        <v>218</v>
      </c>
      <c r="B1346" t="inlineStr">
        <is>
          <t>Consumo de Energía Eléctrica kWh Mensual</t>
        </is>
      </c>
      <c r="C1346" t="inlineStr">
        <is>
          <t>GESTIÓN AMBIENTAL</t>
        </is>
      </c>
      <c r="D1346" t="inlineStr">
        <is>
          <t>Mensual</t>
        </is>
      </c>
      <c r="E1346" t="inlineStr">
        <is>
          <t>Negativo</t>
        </is>
      </c>
      <c r="F1346" s="105" t="n">
        <v>45473</v>
      </c>
      <c r="G1346" t="inlineStr">
        <is>
          <t>218-2024-06-30</t>
        </is>
      </c>
      <c r="H1346" t="inlineStr">
        <is>
          <t>Sede Bienestar - Medellín</t>
        </is>
      </c>
      <c r="I1346" t="n">
        <v>5000</v>
      </c>
      <c r="J1346" t="n">
        <v>4440</v>
      </c>
      <c r="N1346" t="n">
        <v>4440</v>
      </c>
    </row>
    <row r="1347">
      <c r="A1347" t="n">
        <v>434</v>
      </c>
      <c r="B1347" t="inlineStr">
        <is>
          <t>Generación de Residuos Peligrosos Mensual</t>
        </is>
      </c>
      <c r="C1347" t="inlineStr">
        <is>
          <t>GESTIÓN AMBIENTAL</t>
        </is>
      </c>
      <c r="D1347" t="inlineStr">
        <is>
          <t>Mensual</t>
        </is>
      </c>
      <c r="E1347" t="inlineStr">
        <is>
          <t>Negativo</t>
        </is>
      </c>
      <c r="F1347" s="105" t="n">
        <v>45473</v>
      </c>
      <c r="G1347" t="inlineStr">
        <is>
          <t>434-2024-06-30</t>
        </is>
      </c>
      <c r="H1347" t="inlineStr">
        <is>
          <t>Campus Bogotá</t>
        </is>
      </c>
      <c r="I1347" t="n">
        <v>100</v>
      </c>
      <c r="J1347" t="n">
        <v>2740.449951171875</v>
      </c>
      <c r="AV1347" t="n">
        <v>3055.95</v>
      </c>
    </row>
    <row r="1348">
      <c r="A1348" t="n">
        <v>434</v>
      </c>
      <c r="B1348" t="inlineStr">
        <is>
          <t>Generación de Residuos Peligrosos Mensual</t>
        </is>
      </c>
      <c r="C1348" t="inlineStr">
        <is>
          <t>GESTIÓN AMBIENTAL</t>
        </is>
      </c>
      <c r="D1348" t="inlineStr">
        <is>
          <t>Mensual</t>
        </is>
      </c>
      <c r="E1348" t="inlineStr">
        <is>
          <t>Negativo</t>
        </is>
      </c>
      <c r="F1348" s="105" t="n">
        <v>45473</v>
      </c>
      <c r="G1348" t="inlineStr">
        <is>
          <t>434-2024-06-30</t>
        </is>
      </c>
      <c r="H1348" t="inlineStr">
        <is>
          <t>City Campus</t>
        </is>
      </c>
      <c r="I1348" t="n">
        <v>25</v>
      </c>
      <c r="J1348" t="n">
        <v>477.5499877929688</v>
      </c>
      <c r="AV1348" t="n">
        <v>477.55</v>
      </c>
    </row>
    <row r="1349">
      <c r="A1349" t="n">
        <v>434</v>
      </c>
      <c r="B1349" t="inlineStr">
        <is>
          <t>Generación de Residuos Peligrosos Mensual</t>
        </is>
      </c>
      <c r="C1349" t="inlineStr">
        <is>
          <t>GESTIÓN AMBIENTAL</t>
        </is>
      </c>
      <c r="D1349" t="inlineStr">
        <is>
          <t>Mensual</t>
        </is>
      </c>
      <c r="E1349" t="inlineStr">
        <is>
          <t>Negativo</t>
        </is>
      </c>
      <c r="F1349" s="105" t="n">
        <v>45473</v>
      </c>
      <c r="G1349" t="inlineStr">
        <is>
          <t>434-2024-06-30</t>
        </is>
      </c>
      <c r="H1349" t="inlineStr">
        <is>
          <t>Sede Posgrado-Calle 85</t>
        </is>
      </c>
      <c r="I1349" t="n">
        <v>200</v>
      </c>
      <c r="J1349" t="n">
        <v>0</v>
      </c>
      <c r="AV1349" t="n">
        <v>0</v>
      </c>
    </row>
    <row r="1350">
      <c r="A1350" t="n">
        <v>434</v>
      </c>
      <c r="B1350" t="inlineStr">
        <is>
          <t>Generación de Residuos Peligrosos Mensual</t>
        </is>
      </c>
      <c r="C1350" t="inlineStr">
        <is>
          <t>GESTIÓN AMBIENTAL</t>
        </is>
      </c>
      <c r="D1350" t="inlineStr">
        <is>
          <t>Mensual</t>
        </is>
      </c>
      <c r="E1350" t="inlineStr">
        <is>
          <t>Negativo</t>
        </is>
      </c>
      <c r="F1350" s="105" t="n">
        <v>45473</v>
      </c>
      <c r="G1350" t="inlineStr">
        <is>
          <t>434-2024-06-30</t>
        </is>
      </c>
      <c r="H1350" t="inlineStr">
        <is>
          <t>Campus-Medellín</t>
        </is>
      </c>
      <c r="I1350" t="n">
        <v>25</v>
      </c>
      <c r="J1350" t="n">
        <v>0.8999999761581421</v>
      </c>
      <c r="AV1350" t="n">
        <v>0.9</v>
      </c>
    </row>
    <row r="1351">
      <c r="A1351" t="n">
        <v>434</v>
      </c>
      <c r="B1351" t="inlineStr">
        <is>
          <t>Generación de Residuos Peligrosos Mensual</t>
        </is>
      </c>
      <c r="C1351" t="inlineStr">
        <is>
          <t>GESTIÓN AMBIENTAL</t>
        </is>
      </c>
      <c r="D1351" t="inlineStr">
        <is>
          <t>Mensual</t>
        </is>
      </c>
      <c r="E1351" t="inlineStr">
        <is>
          <t>Negativo</t>
        </is>
      </c>
      <c r="F1351" s="105" t="n">
        <v>45473</v>
      </c>
      <c r="G1351" t="inlineStr">
        <is>
          <t>434-2024-06-30</t>
        </is>
      </c>
      <c r="H1351" t="inlineStr">
        <is>
          <t>Sede Bienestar - Medellín</t>
        </is>
      </c>
      <c r="I1351" t="n">
        <v>10</v>
      </c>
      <c r="J1351" t="n">
        <v>0.2000000029802322</v>
      </c>
      <c r="AV1351" t="n">
        <v>0.2</v>
      </c>
    </row>
    <row r="1352">
      <c r="A1352" t="n">
        <v>434</v>
      </c>
      <c r="B1352" t="inlineStr">
        <is>
          <t>Generación de Residuos Peligrosos Mensual</t>
        </is>
      </c>
      <c r="C1352" t="inlineStr">
        <is>
          <t>GESTIÓN AMBIENTAL</t>
        </is>
      </c>
      <c r="D1352" t="inlineStr">
        <is>
          <t>Mensual</t>
        </is>
      </c>
      <c r="E1352" t="inlineStr">
        <is>
          <t>Negativo</t>
        </is>
      </c>
      <c r="F1352" s="105" t="n">
        <v>45473</v>
      </c>
      <c r="G1352" t="inlineStr">
        <is>
          <t>434-2024-06-30</t>
        </is>
      </c>
      <c r="H1352" t="inlineStr">
        <is>
          <t>Consultorio Psicología - Medellin</t>
        </is>
      </c>
      <c r="I1352" t="n">
        <v>200</v>
      </c>
      <c r="J1352" t="n">
        <v>0</v>
      </c>
      <c r="AV1352" t="n">
        <v>0</v>
      </c>
    </row>
    <row r="1353">
      <c r="A1353" t="n">
        <v>436</v>
      </c>
      <c r="B1353" t="inlineStr">
        <is>
          <t>ANS documentos operativos</t>
        </is>
      </c>
      <c r="C1353" t="inlineStr">
        <is>
          <t>Gestión de calidad</t>
        </is>
      </c>
      <c r="D1353" t="inlineStr">
        <is>
          <t>Mensual</t>
        </is>
      </c>
      <c r="E1353" t="inlineStr">
        <is>
          <t>Negativo</t>
        </is>
      </c>
      <c r="F1353" s="105" t="n">
        <v>45473</v>
      </c>
      <c r="G1353" t="inlineStr">
        <is>
          <t>436-2024-06-30</t>
        </is>
      </c>
      <c r="H1353" t="inlineStr">
        <is>
          <t>Flujo de aprobación</t>
        </is>
      </c>
      <c r="I1353" t="n">
        <v>7</v>
      </c>
      <c r="J1353" t="n">
        <v>2</v>
      </c>
      <c r="CP1353" t="n">
        <v>2</v>
      </c>
    </row>
    <row r="1354">
      <c r="A1354" t="n">
        <v>436</v>
      </c>
      <c r="B1354" t="inlineStr">
        <is>
          <t>ANS documentos operativos</t>
        </is>
      </c>
      <c r="C1354" t="inlineStr">
        <is>
          <t>Gestión de calidad</t>
        </is>
      </c>
      <c r="D1354" t="inlineStr">
        <is>
          <t>Mensual</t>
        </is>
      </c>
      <c r="E1354" t="inlineStr">
        <is>
          <t>Negativo</t>
        </is>
      </c>
      <c r="F1354" s="105" t="n">
        <v>45473</v>
      </c>
      <c r="G1354" t="inlineStr">
        <is>
          <t>436-2024-06-30</t>
        </is>
      </c>
      <c r="H1354" t="inlineStr">
        <is>
          <t>Solicitud Documental</t>
        </is>
      </c>
      <c r="I1354" t="n">
        <v>14</v>
      </c>
      <c r="J1354" t="n">
        <v>6.800000190734863</v>
      </c>
      <c r="CP1354" t="n">
        <v>6.8</v>
      </c>
    </row>
    <row r="1355">
      <c r="A1355" t="n">
        <v>203</v>
      </c>
      <c r="B1355" t="inlineStr">
        <is>
          <t>Cumplimiento de Ingresos</t>
        </is>
      </c>
      <c r="C1355" t="inlineStr">
        <is>
          <t>Planeación Financiera</t>
        </is>
      </c>
      <c r="D1355" t="inlineStr">
        <is>
          <t>Trimestral</t>
        </is>
      </c>
      <c r="E1355" t="inlineStr">
        <is>
          <t>Positivo</t>
        </is>
      </c>
      <c r="F1355" s="105" t="n">
        <v>45473</v>
      </c>
      <c r="G1355" t="inlineStr">
        <is>
          <t>203-2024-06-30</t>
        </is>
      </c>
      <c r="H1355" t="inlineStr">
        <is>
          <t>Ingresos por matriculas</t>
        </is>
      </c>
      <c r="I1355" t="n">
        <v>95</v>
      </c>
      <c r="J1355" t="n">
        <v>101.879997253418</v>
      </c>
      <c r="BA1355" t="n">
        <v>131349325708</v>
      </c>
      <c r="BB1355" t="n">
        <v>133822033887</v>
      </c>
    </row>
    <row r="1356">
      <c r="A1356" t="n">
        <v>203</v>
      </c>
      <c r="B1356" t="inlineStr">
        <is>
          <t>Cumplimiento de Ingresos</t>
        </is>
      </c>
      <c r="C1356" t="inlineStr">
        <is>
          <t>Planeación Financiera</t>
        </is>
      </c>
      <c r="D1356" t="inlineStr">
        <is>
          <t>Trimestral</t>
        </is>
      </c>
      <c r="E1356" t="inlineStr">
        <is>
          <t>Positivo</t>
        </is>
      </c>
      <c r="F1356" s="105" t="n">
        <v>45473</v>
      </c>
      <c r="G1356" t="inlineStr">
        <is>
          <t>203-2024-06-30</t>
        </is>
      </c>
      <c r="H1356" t="inlineStr">
        <is>
          <t>Programas especiales</t>
        </is>
      </c>
      <c r="I1356" t="n">
        <v>95</v>
      </c>
      <c r="J1356" t="n">
        <v>103.2399978637695</v>
      </c>
      <c r="BA1356" t="n">
        <v>5441458845</v>
      </c>
      <c r="BB1356" t="n">
        <v>5617733530</v>
      </c>
    </row>
    <row r="1357">
      <c r="A1357" t="n">
        <v>215</v>
      </c>
      <c r="B1357" t="inlineStr">
        <is>
          <t>Disminución de la Generación de Residuos per Cápita</t>
        </is>
      </c>
      <c r="C1357" t="inlineStr">
        <is>
          <t>GESTIÓN AMBIENTAL</t>
        </is>
      </c>
      <c r="D1357" t="inlineStr">
        <is>
          <t>Trimestral</t>
        </is>
      </c>
      <c r="E1357" t="inlineStr">
        <is>
          <t>Positivo</t>
        </is>
      </c>
      <c r="F1357" s="105" t="n">
        <v>45473</v>
      </c>
      <c r="G1357" t="inlineStr">
        <is>
          <t>215-2024-06-30</t>
        </is>
      </c>
      <c r="H1357" t="inlineStr">
        <is>
          <t>Sede Posgrado-Calle 85</t>
        </is>
      </c>
      <c r="I1357" t="n">
        <v>1</v>
      </c>
      <c r="J1357" t="n">
        <v>0</v>
      </c>
      <c r="AC1357" t="n">
        <v>0</v>
      </c>
      <c r="AD1357" t="n">
        <v>0</v>
      </c>
    </row>
    <row r="1358">
      <c r="A1358" t="n">
        <v>215</v>
      </c>
      <c r="B1358" t="inlineStr">
        <is>
          <t>Disminución de la Generación de Residuos per Cápita</t>
        </is>
      </c>
      <c r="C1358" t="inlineStr">
        <is>
          <t>GESTIÓN AMBIENTAL</t>
        </is>
      </c>
      <c r="D1358" t="inlineStr">
        <is>
          <t>Trimestral</t>
        </is>
      </c>
      <c r="E1358" t="inlineStr">
        <is>
          <t>Positivo</t>
        </is>
      </c>
      <c r="F1358" s="105" t="n">
        <v>45473</v>
      </c>
      <c r="G1358" t="inlineStr">
        <is>
          <t>215-2024-06-30</t>
        </is>
      </c>
      <c r="H1358" t="inlineStr">
        <is>
          <t>Sede Bienestar - Medellín</t>
        </is>
      </c>
      <c r="I1358" t="n">
        <v>1</v>
      </c>
      <c r="J1358" t="n">
        <v>0</v>
      </c>
      <c r="AC1358" t="n">
        <v>0</v>
      </c>
      <c r="AD1358" t="n">
        <v>0</v>
      </c>
    </row>
    <row r="1359">
      <c r="A1359" t="n">
        <v>215</v>
      </c>
      <c r="B1359" t="inlineStr">
        <is>
          <t>Disminución de la Generación de Residuos per Cápita</t>
        </is>
      </c>
      <c r="C1359" t="inlineStr">
        <is>
          <t>GESTIÓN AMBIENTAL</t>
        </is>
      </c>
      <c r="D1359" t="inlineStr">
        <is>
          <t>Trimestral</t>
        </is>
      </c>
      <c r="E1359" t="inlineStr">
        <is>
          <t>Positivo</t>
        </is>
      </c>
      <c r="F1359" s="105" t="n">
        <v>45473</v>
      </c>
      <c r="G1359" t="inlineStr">
        <is>
          <t>215-2024-06-30</t>
        </is>
      </c>
      <c r="H1359" t="inlineStr">
        <is>
          <t>Campus Bogotá</t>
        </is>
      </c>
      <c r="I1359" t="n">
        <v>1</v>
      </c>
      <c r="J1359" t="n">
        <v>11.56999969482422</v>
      </c>
      <c r="AC1359" t="n">
        <v>1.21</v>
      </c>
      <c r="AD1359" t="n">
        <v>1.07</v>
      </c>
    </row>
    <row r="1360">
      <c r="A1360" t="n">
        <v>215</v>
      </c>
      <c r="B1360" t="inlineStr">
        <is>
          <t>Disminución de la Generación de Residuos per Cápita</t>
        </is>
      </c>
      <c r="C1360" t="inlineStr">
        <is>
          <t>GESTIÓN AMBIENTAL</t>
        </is>
      </c>
      <c r="D1360" t="inlineStr">
        <is>
          <t>Trimestral</t>
        </is>
      </c>
      <c r="E1360" t="inlineStr">
        <is>
          <t>Positivo</t>
        </is>
      </c>
      <c r="F1360" s="105" t="n">
        <v>45473</v>
      </c>
      <c r="G1360" t="inlineStr">
        <is>
          <t>215-2024-06-30</t>
        </is>
      </c>
      <c r="H1360" t="inlineStr">
        <is>
          <t>Campus-Medellín</t>
        </is>
      </c>
      <c r="I1360" t="n">
        <v>0</v>
      </c>
      <c r="J1360" t="n">
        <v>-2.440000057220459</v>
      </c>
      <c r="AC1360" t="n">
        <v>0.41</v>
      </c>
      <c r="AD1360" t="n">
        <v>0.42</v>
      </c>
    </row>
    <row r="1361">
      <c r="A1361" t="n">
        <v>215</v>
      </c>
      <c r="B1361" t="inlineStr">
        <is>
          <t>Disminución de la Generación de Residuos per Cápita</t>
        </is>
      </c>
      <c r="C1361" t="inlineStr">
        <is>
          <t>GESTIÓN AMBIENTAL</t>
        </is>
      </c>
      <c r="D1361" t="inlineStr">
        <is>
          <t>Trimestral</t>
        </is>
      </c>
      <c r="E1361" t="inlineStr">
        <is>
          <t>Positivo</t>
        </is>
      </c>
      <c r="F1361" s="105" t="n">
        <v>45473</v>
      </c>
      <c r="G1361" t="inlineStr">
        <is>
          <t>215-2024-06-30</t>
        </is>
      </c>
      <c r="H1361" t="inlineStr">
        <is>
          <t>City Campus</t>
        </is>
      </c>
      <c r="I1361" t="n">
        <v>1</v>
      </c>
      <c r="J1361" t="n">
        <v>7.889999866485596</v>
      </c>
      <c r="AC1361" t="n">
        <v>0.38</v>
      </c>
      <c r="AD1361" t="n">
        <v>0.35</v>
      </c>
    </row>
    <row r="1362">
      <c r="A1362" t="n">
        <v>219</v>
      </c>
      <c r="B1362" t="inlineStr">
        <is>
          <t>Disminución del Consumo de Energía Eléctrica per Cápita</t>
        </is>
      </c>
      <c r="C1362" t="inlineStr">
        <is>
          <t>GESTIÓN AMBIENTAL</t>
        </is>
      </c>
      <c r="D1362" t="inlineStr">
        <is>
          <t>Trimestral</t>
        </is>
      </c>
      <c r="E1362" t="inlineStr">
        <is>
          <t>Positivo</t>
        </is>
      </c>
      <c r="F1362" s="105" t="n">
        <v>45473</v>
      </c>
      <c r="G1362" t="inlineStr">
        <is>
          <t>219-2024-06-30</t>
        </is>
      </c>
      <c r="H1362" t="inlineStr">
        <is>
          <t>Sede Bienestar - Medellín</t>
        </is>
      </c>
      <c r="I1362" t="n">
        <v>1</v>
      </c>
      <c r="J1362" t="n">
        <v>-10.85000038146973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t="n">
        <v>0</v>
      </c>
      <c r="W1362" t="n">
        <v>23400</v>
      </c>
      <c r="X1362" t="n">
        <v>24000</v>
      </c>
    </row>
    <row r="1363">
      <c r="A1363" t="n">
        <v>219</v>
      </c>
      <c r="B1363" t="inlineStr">
        <is>
          <t>Disminución del Consumo de Energía Eléctrica per Cápita</t>
        </is>
      </c>
      <c r="C1363" t="inlineStr">
        <is>
          <t>GESTIÓN AMBIENTAL</t>
        </is>
      </c>
      <c r="D1363" t="inlineStr">
        <is>
          <t>Trimestral</t>
        </is>
      </c>
      <c r="E1363" t="inlineStr">
        <is>
          <t>Positivo</t>
        </is>
      </c>
      <c r="F1363" s="105" t="n">
        <v>45473</v>
      </c>
      <c r="G1363" t="inlineStr">
        <is>
          <t>219-2024-06-30</t>
        </is>
      </c>
      <c r="H1363" t="inlineStr">
        <is>
          <t>Campus Bogotá</t>
        </is>
      </c>
      <c r="I1363" t="n">
        <v>1</v>
      </c>
      <c r="J1363" t="n">
        <v>5.269999980926514</v>
      </c>
      <c r="O1363" t="n">
        <v>2176</v>
      </c>
      <c r="P1363" t="n">
        <v>3139</v>
      </c>
      <c r="Q1363" t="n">
        <v>14308</v>
      </c>
      <c r="R1363" t="n">
        <v>0</v>
      </c>
      <c r="S1363" t="n">
        <v>1859</v>
      </c>
      <c r="T1363" t="n">
        <v>3240</v>
      </c>
      <c r="U1363" t="n">
        <v>13146</v>
      </c>
      <c r="V1363" t="n">
        <v>0</v>
      </c>
      <c r="W1363" t="n">
        <v>398604</v>
      </c>
      <c r="X1363" t="n">
        <v>391217</v>
      </c>
    </row>
    <row r="1364">
      <c r="A1364" t="n">
        <v>219</v>
      </c>
      <c r="B1364" t="inlineStr">
        <is>
          <t>Disminución del Consumo de Energía Eléctrica per Cápita</t>
        </is>
      </c>
      <c r="C1364" t="inlineStr">
        <is>
          <t>GESTIÓN AMBIENTAL</t>
        </is>
      </c>
      <c r="D1364" t="inlineStr">
        <is>
          <t>Trimestral</t>
        </is>
      </c>
      <c r="E1364" t="inlineStr">
        <is>
          <t>Positivo</t>
        </is>
      </c>
      <c r="F1364" s="105" t="n">
        <v>45473</v>
      </c>
      <c r="G1364" t="inlineStr">
        <is>
          <t>219-2024-06-30</t>
        </is>
      </c>
      <c r="H1364" t="inlineStr">
        <is>
          <t>Campus-Medellín</t>
        </is>
      </c>
      <c r="I1364" t="n">
        <v>1</v>
      </c>
      <c r="J1364" t="n">
        <v>-20.26000022888184</v>
      </c>
      <c r="O1364" t="n">
        <v>427</v>
      </c>
      <c r="P1364" t="n">
        <v>972</v>
      </c>
      <c r="Q1364" t="n">
        <v>13150</v>
      </c>
      <c r="R1364" t="n">
        <v>4</v>
      </c>
      <c r="S1364" t="n">
        <v>312</v>
      </c>
      <c r="T1364" t="n">
        <v>867</v>
      </c>
      <c r="U1364" t="n">
        <v>9662</v>
      </c>
      <c r="V1364" t="n">
        <v>171</v>
      </c>
      <c r="W1364" t="n">
        <v>139337</v>
      </c>
      <c r="X1364" t="n">
        <v>82051.05</v>
      </c>
    </row>
    <row r="1365">
      <c r="A1365" t="n">
        <v>220</v>
      </c>
      <c r="B1365" t="inlineStr">
        <is>
          <t>Disminución del Consumo de Agua per Cápita</t>
        </is>
      </c>
      <c r="C1365" t="inlineStr">
        <is>
          <t>GESTIÓN AMBIENTAL</t>
        </is>
      </c>
      <c r="D1365" t="inlineStr">
        <is>
          <t>Trimestral</t>
        </is>
      </c>
      <c r="E1365" t="inlineStr">
        <is>
          <t>Positivo</t>
        </is>
      </c>
      <c r="F1365" s="105" t="n">
        <v>45473</v>
      </c>
      <c r="G1365" t="inlineStr">
        <is>
          <t>220-2024-06-30</t>
        </is>
      </c>
      <c r="H1365" t="inlineStr">
        <is>
          <t>Campus Bogotá</t>
        </is>
      </c>
      <c r="I1365" t="n">
        <v>1</v>
      </c>
      <c r="J1365" t="n">
        <v>-7.03000020980835</v>
      </c>
      <c r="O1365" t="n">
        <v>2176</v>
      </c>
      <c r="P1365" t="n">
        <v>3139</v>
      </c>
      <c r="Q1365" t="n">
        <v>14308</v>
      </c>
      <c r="R1365" t="n">
        <v>0</v>
      </c>
      <c r="S1365" t="n">
        <v>1859</v>
      </c>
      <c r="T1365" t="n">
        <v>3240</v>
      </c>
      <c r="U1365" t="n">
        <v>13146</v>
      </c>
      <c r="V1365" t="n">
        <v>0</v>
      </c>
      <c r="Y1365" t="n">
        <v>5104</v>
      </c>
      <c r="Z1365" t="n">
        <v>4434</v>
      </c>
    </row>
    <row r="1366">
      <c r="A1366" t="n">
        <v>274</v>
      </c>
      <c r="B1366" t="inlineStr">
        <is>
          <t>Cumplimiento total estudiantes antiguos</t>
        </is>
      </c>
      <c r="C1366" t="inlineStr">
        <is>
          <t>Rematrícula</t>
        </is>
      </c>
      <c r="D1366" t="inlineStr">
        <is>
          <t>Trimestral</t>
        </is>
      </c>
      <c r="E1366" t="inlineStr">
        <is>
          <t>Positivo</t>
        </is>
      </c>
      <c r="F1366" s="105" t="n">
        <v>45473</v>
      </c>
      <c r="G1366" t="inlineStr">
        <is>
          <t>274-2024-06-30</t>
        </is>
      </c>
      <c r="H1366" t="inlineStr">
        <is>
          <t>Posgrado Presencial</t>
        </is>
      </c>
      <c r="I1366" t="n">
        <v>100</v>
      </c>
      <c r="J1366" t="n">
        <v>112.9400024414062</v>
      </c>
      <c r="BC1366" t="n">
        <v>227</v>
      </c>
      <c r="BD1366" t="n">
        <v>201</v>
      </c>
    </row>
    <row r="1367">
      <c r="A1367" t="n">
        <v>274</v>
      </c>
      <c r="B1367" t="inlineStr">
        <is>
          <t>Cumplimiento total estudiantes antiguos</t>
        </is>
      </c>
      <c r="C1367" t="inlineStr">
        <is>
          <t>Rematrícula</t>
        </is>
      </c>
      <c r="D1367" t="inlineStr">
        <is>
          <t>Trimestral</t>
        </is>
      </c>
      <c r="E1367" t="inlineStr">
        <is>
          <t>Positivo</t>
        </is>
      </c>
      <c r="F1367" s="105" t="n">
        <v>45473</v>
      </c>
      <c r="G1367" t="inlineStr">
        <is>
          <t>274-2024-06-30</t>
        </is>
      </c>
      <c r="H1367" t="inlineStr">
        <is>
          <t>Pregrado Presencial</t>
        </is>
      </c>
      <c r="I1367" t="n">
        <v>100</v>
      </c>
      <c r="J1367" t="n">
        <v>103.379997253418</v>
      </c>
      <c r="BC1367" t="n">
        <v>6330</v>
      </c>
      <c r="BD1367" t="n">
        <v>6123</v>
      </c>
    </row>
    <row r="1368">
      <c r="A1368" t="n">
        <v>274</v>
      </c>
      <c r="B1368" t="inlineStr">
        <is>
          <t>Cumplimiento total estudiantes antiguos</t>
        </is>
      </c>
      <c r="C1368" t="inlineStr">
        <is>
          <t>Rematrícula</t>
        </is>
      </c>
      <c r="D1368" t="inlineStr">
        <is>
          <t>Trimestral</t>
        </is>
      </c>
      <c r="E1368" t="inlineStr">
        <is>
          <t>Positivo</t>
        </is>
      </c>
      <c r="F1368" s="105" t="n">
        <v>45473</v>
      </c>
      <c r="G1368" t="inlineStr">
        <is>
          <t>274-2024-06-30</t>
        </is>
      </c>
      <c r="H1368" t="inlineStr">
        <is>
          <t>Pregrado Virtual</t>
        </is>
      </c>
      <c r="I1368" t="n">
        <v>100</v>
      </c>
      <c r="J1368" t="n">
        <v>100.9700012207031</v>
      </c>
      <c r="BC1368" t="n">
        <v>31793</v>
      </c>
      <c r="BD1368" t="n">
        <v>31487</v>
      </c>
    </row>
    <row r="1369">
      <c r="A1369" t="n">
        <v>274</v>
      </c>
      <c r="B1369" t="inlineStr">
        <is>
          <t>Cumplimiento total estudiantes antiguos</t>
        </is>
      </c>
      <c r="C1369" t="inlineStr">
        <is>
          <t>Rematrícula</t>
        </is>
      </c>
      <c r="D1369" t="inlineStr">
        <is>
          <t>Trimestral</t>
        </is>
      </c>
      <c r="E1369" t="inlineStr">
        <is>
          <t>Positivo</t>
        </is>
      </c>
      <c r="F1369" s="105" t="n">
        <v>45473</v>
      </c>
      <c r="G1369" t="inlineStr">
        <is>
          <t>274-2024-06-30</t>
        </is>
      </c>
      <c r="H1369" t="inlineStr">
        <is>
          <t>Posgrado Virtual</t>
        </is>
      </c>
      <c r="I1369" t="n">
        <v>100</v>
      </c>
      <c r="J1369" t="n">
        <v>136.75</v>
      </c>
      <c r="BC1369" t="n">
        <v>1373</v>
      </c>
      <c r="BD1369" t="n">
        <v>1004</v>
      </c>
    </row>
    <row r="1370">
      <c r="A1370" t="n">
        <v>278</v>
      </c>
      <c r="B1370" t="inlineStr">
        <is>
          <t>Docentes contratados - Metrica</t>
        </is>
      </c>
      <c r="C1370" t="inlineStr">
        <is>
          <t>Gestión Docente</t>
        </is>
      </c>
      <c r="D1370" t="inlineStr">
        <is>
          <t>Trimestral</t>
        </is>
      </c>
      <c r="E1370" t="inlineStr">
        <is>
          <t>Positivo</t>
        </is>
      </c>
      <c r="F1370" s="105" t="n">
        <v>45473</v>
      </c>
      <c r="G1370" t="inlineStr">
        <is>
          <t>278-2024-06-30</t>
        </is>
      </c>
      <c r="H1370" t="inlineStr">
        <is>
          <t>Tiempo completo</t>
        </is>
      </c>
      <c r="J1370" t="n">
        <v>628</v>
      </c>
      <c r="BE1370" t="n">
        <v>628</v>
      </c>
    </row>
    <row r="1371">
      <c r="A1371" t="n">
        <v>278</v>
      </c>
      <c r="B1371" t="inlineStr">
        <is>
          <t>Docentes contratados - Metrica</t>
        </is>
      </c>
      <c r="C1371" t="inlineStr">
        <is>
          <t>Gestión Docente</t>
        </is>
      </c>
      <c r="D1371" t="inlineStr">
        <is>
          <t>Trimestral</t>
        </is>
      </c>
      <c r="E1371" t="inlineStr">
        <is>
          <t>Positivo</t>
        </is>
      </c>
      <c r="F1371" s="105" t="n">
        <v>45473</v>
      </c>
      <c r="G1371" t="inlineStr">
        <is>
          <t>278-2024-06-30</t>
        </is>
      </c>
      <c r="H1371" t="inlineStr">
        <is>
          <t>Medio tiempo</t>
        </is>
      </c>
      <c r="J1371" t="n">
        <v>221</v>
      </c>
      <c r="BE1371" t="n">
        <v>221</v>
      </c>
    </row>
    <row r="1372">
      <c r="A1372" t="n">
        <v>278</v>
      </c>
      <c r="B1372" t="inlineStr">
        <is>
          <t>Docentes contratados - Metrica</t>
        </is>
      </c>
      <c r="C1372" t="inlineStr">
        <is>
          <t>Gestión Docente</t>
        </is>
      </c>
      <c r="D1372" t="inlineStr">
        <is>
          <t>Trimestral</t>
        </is>
      </c>
      <c r="E1372" t="inlineStr">
        <is>
          <t>Positivo</t>
        </is>
      </c>
      <c r="F1372" s="105" t="n">
        <v>45473</v>
      </c>
      <c r="G1372" t="inlineStr">
        <is>
          <t>278-2024-06-30</t>
        </is>
      </c>
      <c r="H1372" t="inlineStr">
        <is>
          <t>Catedra</t>
        </is>
      </c>
      <c r="J1372" t="n">
        <v>231</v>
      </c>
      <c r="BE1372" t="n">
        <v>231</v>
      </c>
    </row>
    <row r="1373">
      <c r="A1373" t="n">
        <v>286</v>
      </c>
      <c r="B1373" t="inlineStr">
        <is>
          <t>Total docentes por nivel de estudios - Metrica</t>
        </is>
      </c>
      <c r="C1373" t="inlineStr">
        <is>
          <t>Gestión Docente</t>
        </is>
      </c>
      <c r="D1373" t="inlineStr">
        <is>
          <t>Trimestral</t>
        </is>
      </c>
      <c r="E1373" t="inlineStr">
        <is>
          <t>Positivo</t>
        </is>
      </c>
      <c r="F1373" s="105" t="n">
        <v>45473</v>
      </c>
      <c r="G1373" t="inlineStr">
        <is>
          <t>286-2024-06-30</t>
        </is>
      </c>
      <c r="H1373" t="inlineStr">
        <is>
          <t>Doctorado</t>
        </is>
      </c>
      <c r="J1373" t="n">
        <v>76</v>
      </c>
      <c r="BF1373" t="n">
        <v>76</v>
      </c>
    </row>
    <row r="1374">
      <c r="A1374" t="n">
        <v>286</v>
      </c>
      <c r="B1374" t="inlineStr">
        <is>
          <t>Total docentes por nivel de estudios - Metrica</t>
        </is>
      </c>
      <c r="C1374" t="inlineStr">
        <is>
          <t>Gestión Docente</t>
        </is>
      </c>
      <c r="D1374" t="inlineStr">
        <is>
          <t>Trimestral</t>
        </is>
      </c>
      <c r="E1374" t="inlineStr">
        <is>
          <t>Positivo</t>
        </is>
      </c>
      <c r="F1374" s="105" t="n">
        <v>45473</v>
      </c>
      <c r="G1374" t="inlineStr">
        <is>
          <t>286-2024-06-30</t>
        </is>
      </c>
      <c r="H1374" t="inlineStr">
        <is>
          <t>Especialización</t>
        </is>
      </c>
      <c r="J1374" t="n">
        <v>104</v>
      </c>
      <c r="BF1374" t="n">
        <v>104</v>
      </c>
    </row>
    <row r="1375">
      <c r="A1375" t="n">
        <v>286</v>
      </c>
      <c r="B1375" t="inlineStr">
        <is>
          <t>Total docentes por nivel de estudios - Metrica</t>
        </is>
      </c>
      <c r="C1375" t="inlineStr">
        <is>
          <t>Gestión Docente</t>
        </is>
      </c>
      <c r="D1375" t="inlineStr">
        <is>
          <t>Trimestral</t>
        </is>
      </c>
      <c r="E1375" t="inlineStr">
        <is>
          <t>Positivo</t>
        </is>
      </c>
      <c r="F1375" s="105" t="n">
        <v>45473</v>
      </c>
      <c r="G1375" t="inlineStr">
        <is>
          <t>286-2024-06-30</t>
        </is>
      </c>
      <c r="H1375" t="inlineStr">
        <is>
          <t>Pregrado</t>
        </is>
      </c>
      <c r="J1375" t="n">
        <v>79</v>
      </c>
      <c r="BF1375" t="n">
        <v>79</v>
      </c>
    </row>
    <row r="1376">
      <c r="A1376" t="n">
        <v>286</v>
      </c>
      <c r="B1376" t="inlineStr">
        <is>
          <t>Total docentes por nivel de estudios - Metrica</t>
        </is>
      </c>
      <c r="C1376" t="inlineStr">
        <is>
          <t>Gestión Docente</t>
        </is>
      </c>
      <c r="D1376" t="inlineStr">
        <is>
          <t>Trimestral</t>
        </is>
      </c>
      <c r="E1376" t="inlineStr">
        <is>
          <t>Positivo</t>
        </is>
      </c>
      <c r="F1376" s="105" t="n">
        <v>45473</v>
      </c>
      <c r="G1376" t="inlineStr">
        <is>
          <t>286-2024-06-30</t>
        </is>
      </c>
      <c r="H1376" t="inlineStr">
        <is>
          <t>Maestría</t>
        </is>
      </c>
      <c r="J1376" t="n">
        <v>821</v>
      </c>
      <c r="BF1376" t="n">
        <v>821</v>
      </c>
    </row>
    <row r="1377">
      <c r="A1377" t="n">
        <v>302</v>
      </c>
      <c r="B1377" t="inlineStr">
        <is>
          <t>N de solicitudes radicadas - (Metrica)</t>
        </is>
      </c>
      <c r="C1377" t="inlineStr">
        <is>
          <t>Centro de Medios Audiovisuales</t>
        </is>
      </c>
      <c r="D1377" t="inlineStr">
        <is>
          <t>Trimestral</t>
        </is>
      </c>
      <c r="E1377" t="inlineStr">
        <is>
          <t>Positivo</t>
        </is>
      </c>
      <c r="F1377" s="105" t="n">
        <v>45473</v>
      </c>
      <c r="G1377" t="inlineStr">
        <is>
          <t>302-2024-06-30</t>
        </is>
      </c>
      <c r="H1377" t="inlineStr">
        <is>
          <t>Equipos</t>
        </is>
      </c>
      <c r="J1377" t="n">
        <v>16507</v>
      </c>
      <c r="DL1377" t="n">
        <v>16507</v>
      </c>
    </row>
    <row r="1378">
      <c r="A1378" t="n">
        <v>302</v>
      </c>
      <c r="B1378" t="inlineStr">
        <is>
          <t>N de solicitudes radicadas - (Metrica)</t>
        </is>
      </c>
      <c r="C1378" t="inlineStr">
        <is>
          <t>Centro de Medios Audiovisuales</t>
        </is>
      </c>
      <c r="D1378" t="inlineStr">
        <is>
          <t>Trimestral</t>
        </is>
      </c>
      <c r="E1378" t="inlineStr">
        <is>
          <t>Positivo</t>
        </is>
      </c>
      <c r="F1378" s="105" t="n">
        <v>45473</v>
      </c>
      <c r="G1378" t="inlineStr">
        <is>
          <t>302-2024-06-30</t>
        </is>
      </c>
      <c r="H1378" t="inlineStr">
        <is>
          <t>Estudios</t>
        </is>
      </c>
      <c r="J1378" t="n">
        <v>700</v>
      </c>
      <c r="DL1378" t="n">
        <v>700</v>
      </c>
    </row>
    <row r="1379">
      <c r="A1379" t="n">
        <v>302</v>
      </c>
      <c r="B1379" t="inlineStr">
        <is>
          <t>N de solicitudes radicadas - (Metrica)</t>
        </is>
      </c>
      <c r="C1379" t="inlineStr">
        <is>
          <t>Centro de Medios Audiovisuales</t>
        </is>
      </c>
      <c r="D1379" t="inlineStr">
        <is>
          <t>Trimestral</t>
        </is>
      </c>
      <c r="E1379" t="inlineStr">
        <is>
          <t>Positivo</t>
        </is>
      </c>
      <c r="F1379" s="105" t="n">
        <v>45473</v>
      </c>
      <c r="G1379" t="inlineStr">
        <is>
          <t>302-2024-06-30</t>
        </is>
      </c>
      <c r="H1379" t="inlineStr">
        <is>
          <t>Eventos</t>
        </is>
      </c>
      <c r="J1379" t="n">
        <v>223</v>
      </c>
      <c r="DL1379" t="n">
        <v>223</v>
      </c>
    </row>
    <row r="1380">
      <c r="A1380" t="n">
        <v>302</v>
      </c>
      <c r="B1380" t="inlineStr">
        <is>
          <t>N de solicitudes radicadas - (Metrica)</t>
        </is>
      </c>
      <c r="C1380" t="inlineStr">
        <is>
          <t>Centro de Medios Audiovisuales</t>
        </is>
      </c>
      <c r="D1380" t="inlineStr">
        <is>
          <t>Trimestral</t>
        </is>
      </c>
      <c r="E1380" t="inlineStr">
        <is>
          <t>Positivo</t>
        </is>
      </c>
      <c r="F1380" s="105" t="n">
        <v>45473</v>
      </c>
      <c r="G1380" t="inlineStr">
        <is>
          <t>302-2024-06-30</t>
        </is>
      </c>
      <c r="H1380" t="inlineStr">
        <is>
          <t>Salas de postproducción</t>
        </is>
      </c>
      <c r="J1380" t="n">
        <v>448</v>
      </c>
      <c r="DL1380" t="n">
        <v>448</v>
      </c>
    </row>
    <row r="1381">
      <c r="A1381" t="n">
        <v>303</v>
      </c>
      <c r="B1381" t="inlineStr">
        <is>
          <t>Cumplimiento del cronograma de actividades de salud</t>
        </is>
      </c>
      <c r="C1381" t="inlineStr">
        <is>
          <t>Servicio de Salud</t>
        </is>
      </c>
      <c r="D1381" t="inlineStr">
        <is>
          <t>Trimestral</t>
        </is>
      </c>
      <c r="E1381" t="inlineStr">
        <is>
          <t>Positivo</t>
        </is>
      </c>
      <c r="F1381" s="105" t="n">
        <v>45473</v>
      </c>
      <c r="G1381" t="inlineStr">
        <is>
          <t>303-2024-06-30</t>
        </is>
      </c>
      <c r="H1381" t="inlineStr">
        <is>
          <t>Bogotá</t>
        </is>
      </c>
      <c r="I1381" t="n">
        <v>95</v>
      </c>
      <c r="J1381" t="n">
        <v>100</v>
      </c>
      <c r="BK1381" t="n">
        <v>14</v>
      </c>
      <c r="BL1381" t="n">
        <v>14</v>
      </c>
    </row>
    <row r="1382">
      <c r="A1382" t="n">
        <v>375</v>
      </c>
      <c r="B1382" t="inlineStr">
        <is>
          <t>Disponibilidad de catálogo de asignaturas pregrado y posgrado presencial</t>
        </is>
      </c>
      <c r="C1382" t="inlineStr">
        <is>
          <t>Operaciones Académicas</t>
        </is>
      </c>
      <c r="D1382" t="inlineStr">
        <is>
          <t>Trimestral</t>
        </is>
      </c>
      <c r="E1382" t="inlineStr">
        <is>
          <t>Positivo</t>
        </is>
      </c>
      <c r="F1382" s="105" t="n">
        <v>45473</v>
      </c>
      <c r="G1382" t="inlineStr">
        <is>
          <t>375-2024-06-30</t>
        </is>
      </c>
      <c r="H1382" t="inlineStr">
        <is>
          <t>Pregrado Presencial</t>
        </is>
      </c>
      <c r="I1382" t="n">
        <v>100</v>
      </c>
      <c r="J1382" t="n">
        <v>100</v>
      </c>
      <c r="CW1382" t="n">
        <v>816</v>
      </c>
      <c r="CX1382" t="n">
        <v>816</v>
      </c>
    </row>
    <row r="1383">
      <c r="A1383" t="n">
        <v>386</v>
      </c>
      <c r="B1383" t="inlineStr">
        <is>
          <t>Cumplimiento Meta comercial Educación para toda la vida por linea</t>
        </is>
      </c>
      <c r="C1383" t="inlineStr">
        <is>
          <t>Mercadeo y venta de educación para la vida</t>
        </is>
      </c>
      <c r="D1383" t="inlineStr">
        <is>
          <t>Trimestral</t>
        </is>
      </c>
      <c r="E1383" t="inlineStr">
        <is>
          <t>Positivo</t>
        </is>
      </c>
      <c r="F1383" s="105" t="n">
        <v>45473</v>
      </c>
      <c r="G1383" t="inlineStr">
        <is>
          <t>386-2024-06-30</t>
        </is>
      </c>
      <c r="H1383" t="inlineStr">
        <is>
          <t>Otros ingresos (Cursos -Opciones de grado)</t>
        </is>
      </c>
      <c r="I1383" t="n">
        <v>100</v>
      </c>
      <c r="J1383" t="n">
        <v>112.4300003051758</v>
      </c>
      <c r="BO1383" t="n">
        <v>2190929800</v>
      </c>
      <c r="BP1383" t="n">
        <v>1948786035</v>
      </c>
    </row>
    <row r="1384">
      <c r="A1384" t="n">
        <v>408</v>
      </c>
      <c r="B1384" t="inlineStr">
        <is>
          <t>Programas nuevos radicados por facultad</t>
        </is>
      </c>
      <c r="C1384" t="inlineStr">
        <is>
          <t>Creación, modificación y cierre de programas académicos</t>
        </is>
      </c>
      <c r="D1384" t="inlineStr">
        <is>
          <t>Trimestral</t>
        </is>
      </c>
      <c r="E1384" t="inlineStr">
        <is>
          <t>Positivo</t>
        </is>
      </c>
      <c r="F1384" s="105" t="n">
        <v>45473</v>
      </c>
      <c r="G1384" t="inlineStr">
        <is>
          <t>408-2024-06-30</t>
        </is>
      </c>
      <c r="H1384" t="inlineStr">
        <is>
          <t>Facultad de ingeniera, diseño e innovación</t>
        </is>
      </c>
      <c r="I1384" t="n">
        <v>100</v>
      </c>
      <c r="J1384" t="n">
        <v>0</v>
      </c>
      <c r="BR1384" t="n">
        <v>0</v>
      </c>
      <c r="BS1384" t="n">
        <v>0</v>
      </c>
    </row>
    <row r="1385">
      <c r="A1385" t="n">
        <v>408</v>
      </c>
      <c r="B1385" t="inlineStr">
        <is>
          <t>Programas nuevos radicados por facultad</t>
        </is>
      </c>
      <c r="C1385" t="inlineStr">
        <is>
          <t>Creación, modificación y cierre de programas académicos</t>
        </is>
      </c>
      <c r="D1385" t="inlineStr">
        <is>
          <t>Trimestral</t>
        </is>
      </c>
      <c r="E1385" t="inlineStr">
        <is>
          <t>Positivo</t>
        </is>
      </c>
      <c r="F1385" s="105" t="n">
        <v>45473</v>
      </c>
      <c r="G1385" t="inlineStr">
        <is>
          <t>408-2024-06-30</t>
        </is>
      </c>
      <c r="H1385" t="inlineStr">
        <is>
          <t>Facultad negocios, gestión y sostenibilidad</t>
        </is>
      </c>
      <c r="I1385" t="n">
        <v>100</v>
      </c>
      <c r="J1385" t="n">
        <v>0</v>
      </c>
      <c r="BR1385" t="n">
        <v>0</v>
      </c>
      <c r="BS1385" t="n">
        <v>0</v>
      </c>
    </row>
    <row r="1386">
      <c r="A1386" t="n">
        <v>408</v>
      </c>
      <c r="B1386" t="inlineStr">
        <is>
          <t>Programas nuevos radicados por facultad</t>
        </is>
      </c>
      <c r="C1386" t="inlineStr">
        <is>
          <t>Creación, modificación y cierre de programas académicos</t>
        </is>
      </c>
      <c r="D1386" t="inlineStr">
        <is>
          <t>Trimestral</t>
        </is>
      </c>
      <c r="E1386" t="inlineStr">
        <is>
          <t>Positivo</t>
        </is>
      </c>
      <c r="F1386" s="105" t="n">
        <v>45473</v>
      </c>
      <c r="G1386" t="inlineStr">
        <is>
          <t>408-2024-06-30</t>
        </is>
      </c>
      <c r="H1386" t="inlineStr">
        <is>
          <t>Facultad sociedad cultura y creatividad</t>
        </is>
      </c>
      <c r="I1386" t="n">
        <v>100</v>
      </c>
      <c r="J1386" t="n">
        <v>0</v>
      </c>
      <c r="BR1386" t="n">
        <v>0</v>
      </c>
      <c r="BS1386" t="n">
        <v>0</v>
      </c>
    </row>
    <row r="1387">
      <c r="A1387" t="n">
        <v>427</v>
      </c>
      <c r="B1387" t="inlineStr">
        <is>
          <t>Consumo de Agua per Cápita Semestral</t>
        </is>
      </c>
      <c r="C1387" t="inlineStr">
        <is>
          <t>GESTIÓN AMBIENTAL</t>
        </is>
      </c>
      <c r="D1387" t="inlineStr">
        <is>
          <t>Trimestral</t>
        </is>
      </c>
      <c r="E1387" t="inlineStr">
        <is>
          <t>Negativo</t>
        </is>
      </c>
      <c r="F1387" s="105" t="n">
        <v>45473</v>
      </c>
      <c r="G1387" t="inlineStr">
        <is>
          <t>427-2024-06-30</t>
        </is>
      </c>
      <c r="H1387" t="inlineStr">
        <is>
          <t>Campus Bogotá</t>
        </is>
      </c>
      <c r="I1387" t="n">
        <v>0.3</v>
      </c>
      <c r="J1387" t="n">
        <v>0.2599999904632568</v>
      </c>
      <c r="O1387" t="n">
        <v>2176</v>
      </c>
      <c r="P1387" t="n">
        <v>3139</v>
      </c>
      <c r="Q1387" t="n">
        <v>14308</v>
      </c>
      <c r="R1387" t="n">
        <v>0</v>
      </c>
      <c r="Y1387" t="n">
        <v>5104</v>
      </c>
    </row>
    <row r="1388">
      <c r="A1388" t="n">
        <v>427</v>
      </c>
      <c r="B1388" t="inlineStr">
        <is>
          <t>Consumo de Agua per Cápita Semestral</t>
        </is>
      </c>
      <c r="C1388" t="inlineStr">
        <is>
          <t>GESTIÓN AMBIENTAL</t>
        </is>
      </c>
      <c r="D1388" t="inlineStr">
        <is>
          <t>Trimestral</t>
        </is>
      </c>
      <c r="E1388" t="inlineStr">
        <is>
          <t>Negativo</t>
        </is>
      </c>
      <c r="F1388" s="105" t="n">
        <v>45473</v>
      </c>
      <c r="G1388" t="inlineStr">
        <is>
          <t>427-2024-06-30</t>
        </is>
      </c>
      <c r="H1388" t="inlineStr">
        <is>
          <t>City Campus</t>
        </is>
      </c>
      <c r="I1388" t="n">
        <v>0.15</v>
      </c>
      <c r="J1388" t="n">
        <v>0.119999997317791</v>
      </c>
      <c r="O1388" t="n">
        <v>530</v>
      </c>
      <c r="P1388" t="n">
        <v>24</v>
      </c>
      <c r="Q1388" t="n">
        <v>11628</v>
      </c>
      <c r="R1388" t="n">
        <v>2925</v>
      </c>
      <c r="Y1388" t="n">
        <v>1757</v>
      </c>
    </row>
    <row r="1389">
      <c r="A1389" t="n">
        <v>427</v>
      </c>
      <c r="B1389" t="inlineStr">
        <is>
          <t>Consumo de Agua per Cápita Semestral</t>
        </is>
      </c>
      <c r="C1389" t="inlineStr">
        <is>
          <t>GESTIÓN AMBIENTAL</t>
        </is>
      </c>
      <c r="D1389" t="inlineStr">
        <is>
          <t>Trimestral</t>
        </is>
      </c>
      <c r="E1389" t="inlineStr">
        <is>
          <t>Negativo</t>
        </is>
      </c>
      <c r="F1389" s="105" t="n">
        <v>45473</v>
      </c>
      <c r="G1389" t="inlineStr">
        <is>
          <t>427-2024-06-30</t>
        </is>
      </c>
      <c r="H1389" t="inlineStr">
        <is>
          <t>Sede Posgrado-Calle 85</t>
        </is>
      </c>
      <c r="I1389" t="n">
        <v>0.2</v>
      </c>
      <c r="J1389" t="n">
        <v>0</v>
      </c>
      <c r="O1389" t="n">
        <v>0</v>
      </c>
      <c r="P1389" t="n">
        <v>0</v>
      </c>
      <c r="Q1389" t="n">
        <v>0</v>
      </c>
      <c r="R1389" t="n">
        <v>0</v>
      </c>
      <c r="Y1389" t="n">
        <v>0</v>
      </c>
    </row>
    <row r="1390">
      <c r="A1390" t="n">
        <v>427</v>
      </c>
      <c r="B1390" t="inlineStr">
        <is>
          <t>Consumo de Agua per Cápita Semestral</t>
        </is>
      </c>
      <c r="C1390" t="inlineStr">
        <is>
          <t>GESTIÓN AMBIENTAL</t>
        </is>
      </c>
      <c r="D1390" t="inlineStr">
        <is>
          <t>Trimestral</t>
        </is>
      </c>
      <c r="E1390" t="inlineStr">
        <is>
          <t>Negativo</t>
        </is>
      </c>
      <c r="F1390" s="105" t="n">
        <v>45473</v>
      </c>
      <c r="G1390" t="inlineStr">
        <is>
          <t>427-2024-06-30</t>
        </is>
      </c>
      <c r="H1390" t="inlineStr">
        <is>
          <t>Sede Bienestar - Medellín</t>
        </is>
      </c>
      <c r="I1390" t="n">
        <v>0.2</v>
      </c>
      <c r="J1390" t="n">
        <v>0</v>
      </c>
      <c r="O1390" t="n">
        <v>0</v>
      </c>
      <c r="P1390" t="n">
        <v>0</v>
      </c>
      <c r="Q1390" t="n">
        <v>0</v>
      </c>
      <c r="R1390" t="n">
        <v>0</v>
      </c>
      <c r="Y1390" t="n">
        <v>0</v>
      </c>
    </row>
    <row r="1391">
      <c r="A1391" t="n">
        <v>427</v>
      </c>
      <c r="B1391" t="inlineStr">
        <is>
          <t>Consumo de Agua per Cápita Semestral</t>
        </is>
      </c>
      <c r="C1391" t="inlineStr">
        <is>
          <t>GESTIÓN AMBIENTAL</t>
        </is>
      </c>
      <c r="D1391" t="inlineStr">
        <is>
          <t>Trimestral</t>
        </is>
      </c>
      <c r="E1391" t="inlineStr">
        <is>
          <t>Negativo</t>
        </is>
      </c>
      <c r="F1391" s="105" t="n">
        <v>45473</v>
      </c>
      <c r="G1391" t="inlineStr">
        <is>
          <t>427-2024-06-30</t>
        </is>
      </c>
      <c r="H1391" t="inlineStr">
        <is>
          <t>Consultorio Psicología - Medellin</t>
        </is>
      </c>
      <c r="I1391" t="n">
        <v>0.2</v>
      </c>
      <c r="J1391" t="n">
        <v>0</v>
      </c>
      <c r="O1391" t="n">
        <v>0</v>
      </c>
      <c r="P1391" t="n">
        <v>0</v>
      </c>
      <c r="Q1391" t="n">
        <v>0</v>
      </c>
      <c r="R1391" t="n">
        <v>0</v>
      </c>
      <c r="Y1391" t="n">
        <v>0</v>
      </c>
    </row>
    <row r="1392">
      <c r="A1392" t="n">
        <v>427</v>
      </c>
      <c r="B1392" t="inlineStr">
        <is>
          <t>Consumo de Agua per Cápita Semestral</t>
        </is>
      </c>
      <c r="C1392" t="inlineStr">
        <is>
          <t>GESTIÓN AMBIENTAL</t>
        </is>
      </c>
      <c r="D1392" t="inlineStr">
        <is>
          <t>Trimestral</t>
        </is>
      </c>
      <c r="E1392" t="inlineStr">
        <is>
          <t>Negativo</t>
        </is>
      </c>
      <c r="F1392" s="105" t="n">
        <v>45473</v>
      </c>
      <c r="G1392" t="inlineStr">
        <is>
          <t>427-2024-06-30</t>
        </is>
      </c>
      <c r="H1392" t="inlineStr">
        <is>
          <t>Campus-Medellín</t>
        </is>
      </c>
      <c r="I1392" t="n">
        <v>0.1</v>
      </c>
      <c r="J1392" t="n">
        <v>0.1000000014901161</v>
      </c>
      <c r="O1392" t="n">
        <v>427</v>
      </c>
      <c r="P1392" t="n">
        <v>972</v>
      </c>
      <c r="Q1392" t="n">
        <v>13150</v>
      </c>
      <c r="R1392" t="n">
        <v>4</v>
      </c>
      <c r="Y1392" t="n">
        <v>1440</v>
      </c>
    </row>
    <row r="1393">
      <c r="A1393" t="n">
        <v>428</v>
      </c>
      <c r="B1393" t="inlineStr">
        <is>
          <t>Consumo de Energía Eléctrica per Cápita Semestral</t>
        </is>
      </c>
      <c r="C1393" t="inlineStr">
        <is>
          <t>GESTIÓN AMBIENTAL</t>
        </is>
      </c>
      <c r="D1393" t="inlineStr">
        <is>
          <t>Trimestral</t>
        </is>
      </c>
      <c r="E1393" t="inlineStr">
        <is>
          <t>Negativo</t>
        </is>
      </c>
      <c r="F1393" s="105" t="n">
        <v>45473</v>
      </c>
      <c r="G1393" t="inlineStr">
        <is>
          <t>428-2024-06-30</t>
        </is>
      </c>
      <c r="H1393" t="inlineStr">
        <is>
          <t>Campus Bogotá</t>
        </is>
      </c>
      <c r="I1393" t="n">
        <v>22</v>
      </c>
      <c r="J1393" t="n">
        <v>20.30999946594238</v>
      </c>
      <c r="O1393" t="n">
        <v>2176</v>
      </c>
      <c r="P1393" t="n">
        <v>3139</v>
      </c>
      <c r="Q1393" t="n">
        <v>14308</v>
      </c>
      <c r="R1393" t="n">
        <v>0</v>
      </c>
      <c r="W1393" t="n">
        <v>398604</v>
      </c>
    </row>
    <row r="1394">
      <c r="A1394" t="n">
        <v>428</v>
      </c>
      <c r="B1394" t="inlineStr">
        <is>
          <t>Consumo de Energía Eléctrica per Cápita Semestral</t>
        </is>
      </c>
      <c r="C1394" t="inlineStr">
        <is>
          <t>GESTIÓN AMBIENTAL</t>
        </is>
      </c>
      <c r="D1394" t="inlineStr">
        <is>
          <t>Trimestral</t>
        </is>
      </c>
      <c r="E1394" t="inlineStr">
        <is>
          <t>Negativo</t>
        </is>
      </c>
      <c r="F1394" s="105" t="n">
        <v>45473</v>
      </c>
      <c r="G1394" t="inlineStr">
        <is>
          <t>428-2024-06-30</t>
        </is>
      </c>
      <c r="H1394" t="inlineStr">
        <is>
          <t>City Campus</t>
        </is>
      </c>
      <c r="I1394" t="n">
        <v>25</v>
      </c>
      <c r="J1394" t="n">
        <v>18.48999977111816</v>
      </c>
      <c r="O1394" t="n">
        <v>530</v>
      </c>
      <c r="P1394" t="n">
        <v>24</v>
      </c>
      <c r="Q1394" t="n">
        <v>11628</v>
      </c>
      <c r="R1394" t="n">
        <v>2925</v>
      </c>
      <c r="W1394" t="n">
        <v>279300</v>
      </c>
    </row>
    <row r="1395">
      <c r="A1395" t="n">
        <v>428</v>
      </c>
      <c r="B1395" t="inlineStr">
        <is>
          <t>Consumo de Energía Eléctrica per Cápita Semestral</t>
        </is>
      </c>
      <c r="C1395" t="inlineStr">
        <is>
          <t>GESTIÓN AMBIENTAL</t>
        </is>
      </c>
      <c r="D1395" t="inlineStr">
        <is>
          <t>Trimestral</t>
        </is>
      </c>
      <c r="E1395" t="inlineStr">
        <is>
          <t>Negativo</t>
        </is>
      </c>
      <c r="F1395" s="105" t="n">
        <v>45473</v>
      </c>
      <c r="G1395" t="inlineStr">
        <is>
          <t>428-2024-06-30</t>
        </is>
      </c>
      <c r="H1395" t="inlineStr">
        <is>
          <t>Sede Posgrado-Calle 85</t>
        </is>
      </c>
      <c r="I1395" t="n">
        <v>1</v>
      </c>
      <c r="O1395" t="n">
        <v>0</v>
      </c>
      <c r="P1395" t="n">
        <v>0</v>
      </c>
      <c r="Q1395" t="n">
        <v>0</v>
      </c>
      <c r="R1395" t="n">
        <v>0</v>
      </c>
      <c r="W1395" t="n">
        <v>25920</v>
      </c>
    </row>
    <row r="1396">
      <c r="A1396" t="n">
        <v>428</v>
      </c>
      <c r="B1396" t="inlineStr">
        <is>
          <t>Consumo de Energía Eléctrica per Cápita Semestral</t>
        </is>
      </c>
      <c r="C1396" t="inlineStr">
        <is>
          <t>GESTIÓN AMBIENTAL</t>
        </is>
      </c>
      <c r="D1396" t="inlineStr">
        <is>
          <t>Trimestral</t>
        </is>
      </c>
      <c r="E1396" t="inlineStr">
        <is>
          <t>Negativo</t>
        </is>
      </c>
      <c r="F1396" s="105" t="n">
        <v>45473</v>
      </c>
      <c r="G1396" t="inlineStr">
        <is>
          <t>428-2024-06-30</t>
        </is>
      </c>
      <c r="H1396" t="inlineStr">
        <is>
          <t>Sede Bienestar - Medellín</t>
        </is>
      </c>
      <c r="I1396" t="n">
        <v>7</v>
      </c>
      <c r="O1396" t="n">
        <v>0</v>
      </c>
      <c r="P1396" t="n">
        <v>0</v>
      </c>
      <c r="Q1396" t="n">
        <v>0</v>
      </c>
      <c r="R1396" t="n">
        <v>0</v>
      </c>
      <c r="W1396" t="n">
        <v>23400</v>
      </c>
    </row>
    <row r="1397">
      <c r="A1397" t="n">
        <v>428</v>
      </c>
      <c r="B1397" t="inlineStr">
        <is>
          <t>Consumo de Energía Eléctrica per Cápita Semestral</t>
        </is>
      </c>
      <c r="C1397" t="inlineStr">
        <is>
          <t>GESTIÓN AMBIENTAL</t>
        </is>
      </c>
      <c r="D1397" t="inlineStr">
        <is>
          <t>Trimestral</t>
        </is>
      </c>
      <c r="E1397" t="inlineStr">
        <is>
          <t>Negativo</t>
        </is>
      </c>
      <c r="F1397" s="105" t="n">
        <v>45473</v>
      </c>
      <c r="G1397" t="inlineStr">
        <is>
          <t>428-2024-06-30</t>
        </is>
      </c>
      <c r="H1397" t="inlineStr">
        <is>
          <t>Consultorio Psicología - Medellin</t>
        </is>
      </c>
      <c r="I1397" t="n">
        <v>1</v>
      </c>
      <c r="O1397" t="n">
        <v>0</v>
      </c>
      <c r="P1397" t="n">
        <v>0</v>
      </c>
      <c r="Q1397" t="n">
        <v>0</v>
      </c>
      <c r="R1397" t="n">
        <v>0</v>
      </c>
      <c r="W1397" t="n">
        <v>8350</v>
      </c>
    </row>
    <row r="1398">
      <c r="A1398" t="n">
        <v>428</v>
      </c>
      <c r="B1398" t="inlineStr">
        <is>
          <t>Consumo de Energía Eléctrica per Cápita Semestral</t>
        </is>
      </c>
      <c r="C1398" t="inlineStr">
        <is>
          <t>GESTIÓN AMBIENTAL</t>
        </is>
      </c>
      <c r="D1398" t="inlineStr">
        <is>
          <t>Trimestral</t>
        </is>
      </c>
      <c r="E1398" t="inlineStr">
        <is>
          <t>Negativo</t>
        </is>
      </c>
      <c r="F1398" s="105" t="n">
        <v>45473</v>
      </c>
      <c r="G1398" t="inlineStr">
        <is>
          <t>428-2024-06-30</t>
        </is>
      </c>
      <c r="H1398" t="inlineStr">
        <is>
          <t>Campus-Medellín</t>
        </is>
      </c>
      <c r="I1398" t="n">
        <v>11</v>
      </c>
      <c r="J1398" t="n">
        <v>9.569999694824219</v>
      </c>
      <c r="O1398" t="n">
        <v>427</v>
      </c>
      <c r="P1398" t="n">
        <v>972</v>
      </c>
      <c r="Q1398" t="n">
        <v>13150</v>
      </c>
      <c r="R1398" t="n">
        <v>4</v>
      </c>
      <c r="W1398" t="n">
        <v>139337</v>
      </c>
    </row>
    <row r="1399">
      <c r="A1399" t="n">
        <v>429</v>
      </c>
      <c r="B1399" t="inlineStr">
        <is>
          <t>Generación de Residuos Sólidos per Cápita Semestral</t>
        </is>
      </c>
      <c r="C1399" t="inlineStr">
        <is>
          <t>GESTIÓN AMBIENTAL</t>
        </is>
      </c>
      <c r="D1399" t="inlineStr">
        <is>
          <t>Trimestral</t>
        </is>
      </c>
      <c r="E1399" t="inlineStr">
        <is>
          <t>Negativo</t>
        </is>
      </c>
      <c r="F1399" s="105" t="n">
        <v>45473</v>
      </c>
      <c r="G1399" t="inlineStr">
        <is>
          <t>429-2024-06-30</t>
        </is>
      </c>
      <c r="H1399" t="inlineStr">
        <is>
          <t>Campus Bogotá</t>
        </is>
      </c>
      <c r="I1399" t="n">
        <v>0.4</v>
      </c>
      <c r="J1399" t="n">
        <v>1.070000052452087</v>
      </c>
      <c r="O1399" t="n">
        <v>2176</v>
      </c>
      <c r="P1399" t="n">
        <v>3139</v>
      </c>
      <c r="Q1399" t="n">
        <v>14308</v>
      </c>
      <c r="R1399" t="n">
        <v>0</v>
      </c>
      <c r="AA1399" t="n">
        <v>6488.25</v>
      </c>
      <c r="AB1399" t="n">
        <v>14581</v>
      </c>
    </row>
    <row r="1400">
      <c r="A1400" t="n">
        <v>429</v>
      </c>
      <c r="B1400" t="inlineStr">
        <is>
          <t>Generación de Residuos Sólidos per Cápita Semestral</t>
        </is>
      </c>
      <c r="C1400" t="inlineStr">
        <is>
          <t>GESTIÓN AMBIENTAL</t>
        </is>
      </c>
      <c r="D1400" t="inlineStr">
        <is>
          <t>Trimestral</t>
        </is>
      </c>
      <c r="E1400" t="inlineStr">
        <is>
          <t>Negativo</t>
        </is>
      </c>
      <c r="F1400" s="105" t="n">
        <v>45473</v>
      </c>
      <c r="G1400" t="inlineStr">
        <is>
          <t>429-2024-06-30</t>
        </is>
      </c>
      <c r="H1400" t="inlineStr">
        <is>
          <t>Campus-Medellín</t>
        </is>
      </c>
      <c r="I1400" t="n">
        <v>0.41</v>
      </c>
      <c r="J1400" t="n">
        <v>0.4199999868869781</v>
      </c>
      <c r="O1400" t="n">
        <v>427</v>
      </c>
      <c r="P1400" t="n">
        <v>972</v>
      </c>
      <c r="Q1400" t="n">
        <v>13150</v>
      </c>
      <c r="R1400" t="n">
        <v>4</v>
      </c>
      <c r="AA1400" t="n">
        <v>410.03</v>
      </c>
      <c r="AB1400" t="n">
        <v>5751.1</v>
      </c>
    </row>
    <row r="1401">
      <c r="A1401" t="n">
        <v>429</v>
      </c>
      <c r="B1401" t="inlineStr">
        <is>
          <t>Generación de Residuos Sólidos per Cápita Semestral</t>
        </is>
      </c>
      <c r="C1401" t="inlineStr">
        <is>
          <t>GESTIÓN AMBIENTAL</t>
        </is>
      </c>
      <c r="D1401" t="inlineStr">
        <is>
          <t>Trimestral</t>
        </is>
      </c>
      <c r="E1401" t="inlineStr">
        <is>
          <t>Negativo</t>
        </is>
      </c>
      <c r="F1401" s="105" t="n">
        <v>45473</v>
      </c>
      <c r="G1401" t="inlineStr">
        <is>
          <t>429-2024-06-30</t>
        </is>
      </c>
      <c r="H1401" t="inlineStr">
        <is>
          <t>City Campus</t>
        </is>
      </c>
      <c r="I1401" t="n">
        <v>0.38</v>
      </c>
      <c r="J1401" t="n">
        <v>0.3499999940395355</v>
      </c>
      <c r="O1401" t="n">
        <v>530</v>
      </c>
      <c r="P1401" t="n">
        <v>24</v>
      </c>
      <c r="Q1401" t="n">
        <v>11628</v>
      </c>
      <c r="R1401" t="n">
        <v>2925</v>
      </c>
      <c r="AA1401" t="n">
        <v>857.0599999999999</v>
      </c>
      <c r="AB1401" t="n">
        <v>4503.76</v>
      </c>
    </row>
    <row r="1402">
      <c r="A1402" t="n">
        <v>429</v>
      </c>
      <c r="B1402" t="inlineStr">
        <is>
          <t>Generación de Residuos Sólidos per Cápita Semestral</t>
        </is>
      </c>
      <c r="C1402" t="inlineStr">
        <is>
          <t>GESTIÓN AMBIENTAL</t>
        </is>
      </c>
      <c r="D1402" t="inlineStr">
        <is>
          <t>Trimestral</t>
        </is>
      </c>
      <c r="E1402" t="inlineStr">
        <is>
          <t>Negativo</t>
        </is>
      </c>
      <c r="F1402" s="105" t="n">
        <v>45473</v>
      </c>
      <c r="G1402" t="inlineStr">
        <is>
          <t>429-2024-06-30</t>
        </is>
      </c>
      <c r="H1402" t="inlineStr">
        <is>
          <t>Consultorio Psicología - Medellin</t>
        </is>
      </c>
      <c r="I1402" t="n">
        <v>0.76</v>
      </c>
      <c r="J1402" t="n">
        <v>2.460000038146973</v>
      </c>
      <c r="O1402" t="n">
        <v>0</v>
      </c>
      <c r="P1402" t="n">
        <v>0</v>
      </c>
      <c r="Q1402" t="n">
        <v>0</v>
      </c>
      <c r="R1402" t="n">
        <v>0</v>
      </c>
      <c r="AA1402" t="n">
        <v>155.18</v>
      </c>
      <c r="AB1402" t="n">
        <v>66.56</v>
      </c>
    </row>
    <row r="1403">
      <c r="A1403" t="n">
        <v>430</v>
      </c>
      <c r="B1403" t="inlineStr">
        <is>
          <t>Cumplimiento ingresos por matriculas</t>
        </is>
      </c>
      <c r="C1403" t="inlineStr">
        <is>
          <t>Planeación Financiera</t>
        </is>
      </c>
      <c r="D1403" t="inlineStr">
        <is>
          <t>Trimestral</t>
        </is>
      </c>
      <c r="E1403" t="inlineStr">
        <is>
          <t>Positivo</t>
        </is>
      </c>
      <c r="F1403" s="105" t="n">
        <v>45473</v>
      </c>
      <c r="G1403" t="inlineStr">
        <is>
          <t>430-2024-06-30</t>
        </is>
      </c>
      <c r="H1403" t="inlineStr">
        <is>
          <t>Nuevos presencial</t>
        </is>
      </c>
      <c r="I1403" t="n">
        <v>95</v>
      </c>
      <c r="J1403" t="n">
        <v>96.77999877929688</v>
      </c>
      <c r="BT1403" t="n">
        <v>6729663992</v>
      </c>
      <c r="BU1403" t="n">
        <v>6512807453</v>
      </c>
    </row>
    <row r="1404">
      <c r="A1404" t="n">
        <v>430</v>
      </c>
      <c r="B1404" t="inlineStr">
        <is>
          <t>Cumplimiento ingresos por matriculas</t>
        </is>
      </c>
      <c r="C1404" t="inlineStr">
        <is>
          <t>Planeación Financiera</t>
        </is>
      </c>
      <c r="D1404" t="inlineStr">
        <is>
          <t>Trimestral</t>
        </is>
      </c>
      <c r="E1404" t="inlineStr">
        <is>
          <t>Positivo</t>
        </is>
      </c>
      <c r="F1404" s="105" t="n">
        <v>45473</v>
      </c>
      <c r="G1404" t="inlineStr">
        <is>
          <t>430-2024-06-30</t>
        </is>
      </c>
      <c r="H1404" t="inlineStr">
        <is>
          <t>Nuevos Virtual</t>
        </is>
      </c>
      <c r="I1404" t="n">
        <v>95</v>
      </c>
      <c r="J1404" t="n">
        <v>104.9899978637695</v>
      </c>
      <c r="BT1404" t="n">
        <v>22564825144</v>
      </c>
      <c r="BU1404" t="n">
        <v>23690391487</v>
      </c>
    </row>
    <row r="1405">
      <c r="A1405" t="n">
        <v>430</v>
      </c>
      <c r="B1405" t="inlineStr">
        <is>
          <t>Cumplimiento ingresos por matriculas</t>
        </is>
      </c>
      <c r="C1405" t="inlineStr">
        <is>
          <t>Planeación Financiera</t>
        </is>
      </c>
      <c r="D1405" t="inlineStr">
        <is>
          <t>Trimestral</t>
        </is>
      </c>
      <c r="E1405" t="inlineStr">
        <is>
          <t>Positivo</t>
        </is>
      </c>
      <c r="F1405" s="105" t="n">
        <v>45473</v>
      </c>
      <c r="G1405" t="inlineStr">
        <is>
          <t>430-2024-06-30</t>
        </is>
      </c>
      <c r="H1405" t="inlineStr">
        <is>
          <t>Antiguos Presencial</t>
        </is>
      </c>
      <c r="I1405" t="n">
        <v>95</v>
      </c>
      <c r="J1405" t="n">
        <v>101.7099990844727</v>
      </c>
      <c r="BT1405" t="n">
        <v>29726576544</v>
      </c>
      <c r="BU1405" t="n">
        <v>30234782434</v>
      </c>
    </row>
    <row r="1406">
      <c r="A1406" t="n">
        <v>430</v>
      </c>
      <c r="B1406" t="inlineStr">
        <is>
          <t>Cumplimiento ingresos por matriculas</t>
        </is>
      </c>
      <c r="C1406" t="inlineStr">
        <is>
          <t>Planeación Financiera</t>
        </is>
      </c>
      <c r="D1406" t="inlineStr">
        <is>
          <t>Trimestral</t>
        </is>
      </c>
      <c r="E1406" t="inlineStr">
        <is>
          <t>Positivo</t>
        </is>
      </c>
      <c r="F1406" s="105" t="n">
        <v>45473</v>
      </c>
      <c r="G1406" t="inlineStr">
        <is>
          <t>430-2024-06-30</t>
        </is>
      </c>
      <c r="H1406" t="inlineStr">
        <is>
          <t>Antiguos Virtual</t>
        </is>
      </c>
      <c r="I1406" t="n">
        <v>95</v>
      </c>
      <c r="J1406" t="n">
        <v>101.4599990844727</v>
      </c>
      <c r="BT1406" t="n">
        <v>72328260028</v>
      </c>
      <c r="BU1406" t="n">
        <v>73384052513</v>
      </c>
    </row>
    <row r="1407">
      <c r="A1407" t="n">
        <v>433</v>
      </c>
      <c r="B1407" t="inlineStr">
        <is>
          <t>Generación de Residuos Peligrosos per Cápita Semestral</t>
        </is>
      </c>
      <c r="C1407" t="inlineStr">
        <is>
          <t>GESTIÓN AMBIENTAL</t>
        </is>
      </c>
      <c r="D1407" t="inlineStr">
        <is>
          <t>Trimestral</t>
        </is>
      </c>
      <c r="E1407" t="inlineStr">
        <is>
          <t>Negativo</t>
        </is>
      </c>
      <c r="F1407" s="105" t="n">
        <v>45473</v>
      </c>
      <c r="G1407" t="inlineStr">
        <is>
          <t>433-2024-06-30</t>
        </is>
      </c>
      <c r="H1407" t="inlineStr">
        <is>
          <t>Campus Bogotá</t>
        </is>
      </c>
      <c r="I1407" t="n">
        <v>0.1</v>
      </c>
      <c r="J1407" t="n">
        <v>0.1500000059604645</v>
      </c>
      <c r="O1407" t="n">
        <v>2176</v>
      </c>
      <c r="P1407" t="n">
        <v>3139</v>
      </c>
      <c r="Q1407" t="n">
        <v>14308</v>
      </c>
      <c r="R1407" t="n">
        <v>0</v>
      </c>
      <c r="BV1407" t="n">
        <v>2990.02</v>
      </c>
    </row>
    <row r="1408">
      <c r="A1408" t="n">
        <v>433</v>
      </c>
      <c r="B1408" t="inlineStr">
        <is>
          <t>Generación de Residuos Peligrosos per Cápita Semestral</t>
        </is>
      </c>
      <c r="C1408" t="inlineStr">
        <is>
          <t>GESTIÓN AMBIENTAL</t>
        </is>
      </c>
      <c r="D1408" t="inlineStr">
        <is>
          <t>Trimestral</t>
        </is>
      </c>
      <c r="E1408" t="inlineStr">
        <is>
          <t>Negativo</t>
        </is>
      </c>
      <c r="F1408" s="105" t="n">
        <v>45473</v>
      </c>
      <c r="G1408" t="inlineStr">
        <is>
          <t>433-2024-06-30</t>
        </is>
      </c>
      <c r="H1408" t="inlineStr">
        <is>
          <t>Campus-Medellín</t>
        </is>
      </c>
      <c r="I1408" t="n">
        <v>0.05</v>
      </c>
      <c r="O1408" t="n">
        <v>427</v>
      </c>
      <c r="P1408" t="n">
        <v>972</v>
      </c>
      <c r="Q1408" t="n">
        <v>13150</v>
      </c>
      <c r="R1408" t="n">
        <v>4</v>
      </c>
      <c r="BV1408" t="n">
        <v>15.7</v>
      </c>
    </row>
    <row r="1409">
      <c r="A1409" t="n">
        <v>433</v>
      </c>
      <c r="B1409" t="inlineStr">
        <is>
          <t>Generación de Residuos Peligrosos per Cápita Semestral</t>
        </is>
      </c>
      <c r="C1409" t="inlineStr">
        <is>
          <t>GESTIÓN AMBIENTAL</t>
        </is>
      </c>
      <c r="D1409" t="inlineStr">
        <is>
          <t>Trimestral</t>
        </is>
      </c>
      <c r="E1409" t="inlineStr">
        <is>
          <t>Negativo</t>
        </is>
      </c>
      <c r="F1409" s="105" t="n">
        <v>45473</v>
      </c>
      <c r="G1409" t="inlineStr">
        <is>
          <t>433-2024-06-30</t>
        </is>
      </c>
      <c r="H1409" t="inlineStr">
        <is>
          <t>Sede Bienestar - Medellín</t>
        </is>
      </c>
      <c r="I1409" t="n">
        <v>0.05</v>
      </c>
      <c r="O1409" t="n">
        <v>0</v>
      </c>
      <c r="P1409" t="n">
        <v>0</v>
      </c>
      <c r="Q1409" t="n">
        <v>0</v>
      </c>
      <c r="R1409" t="n">
        <v>0</v>
      </c>
      <c r="BV1409" t="n">
        <v>1.1</v>
      </c>
    </row>
    <row r="1410">
      <c r="A1410" t="n">
        <v>433</v>
      </c>
      <c r="B1410" t="inlineStr">
        <is>
          <t>Generación de Residuos Peligrosos per Cápita Semestral</t>
        </is>
      </c>
      <c r="C1410" t="inlineStr">
        <is>
          <t>GESTIÓN AMBIENTAL</t>
        </is>
      </c>
      <c r="D1410" t="inlineStr">
        <is>
          <t>Trimestral</t>
        </is>
      </c>
      <c r="E1410" t="inlineStr">
        <is>
          <t>Negativo</t>
        </is>
      </c>
      <c r="F1410" s="105" t="n">
        <v>45473</v>
      </c>
      <c r="G1410" t="inlineStr">
        <is>
          <t>433-2024-06-30</t>
        </is>
      </c>
      <c r="H1410" t="inlineStr">
        <is>
          <t>City Campus</t>
        </is>
      </c>
      <c r="I1410" t="n">
        <v>0.05</v>
      </c>
      <c r="J1410" t="n">
        <v>0.02999999932944775</v>
      </c>
      <c r="O1410" t="n">
        <v>530</v>
      </c>
      <c r="P1410" t="n">
        <v>24</v>
      </c>
      <c r="Q1410" t="n">
        <v>11628</v>
      </c>
      <c r="R1410" t="n">
        <v>2925</v>
      </c>
      <c r="BV1410" t="n">
        <v>482.69</v>
      </c>
    </row>
    <row r="1411">
      <c r="A1411" t="n">
        <v>435</v>
      </c>
      <c r="B1411" t="inlineStr">
        <is>
          <t>Disminución de la Generación de Residuos Peligrosos per Cápita</t>
        </is>
      </c>
      <c r="C1411" t="inlineStr">
        <is>
          <t>GESTIÓN AMBIENTAL</t>
        </is>
      </c>
      <c r="D1411" t="inlineStr">
        <is>
          <t>Trimestral</t>
        </is>
      </c>
      <c r="E1411" t="inlineStr">
        <is>
          <t>Positivo</t>
        </is>
      </c>
      <c r="F1411" s="105" t="n">
        <v>45473</v>
      </c>
      <c r="G1411" t="inlineStr">
        <is>
          <t>435-2024-06-30</t>
        </is>
      </c>
      <c r="H1411" t="inlineStr">
        <is>
          <t>Sede Posgrado-Calle 85</t>
        </is>
      </c>
      <c r="I1411" t="n">
        <v>100</v>
      </c>
      <c r="J1411" t="n">
        <v>0</v>
      </c>
      <c r="BW1411" t="n">
        <v>0</v>
      </c>
      <c r="BX1411" t="n">
        <v>0</v>
      </c>
    </row>
    <row r="1412">
      <c r="A1412" t="n">
        <v>435</v>
      </c>
      <c r="B1412" t="inlineStr">
        <is>
          <t>Disminución de la Generación de Residuos Peligrosos per Cápita</t>
        </is>
      </c>
      <c r="C1412" t="inlineStr">
        <is>
          <t>GESTIÓN AMBIENTAL</t>
        </is>
      </c>
      <c r="D1412" t="inlineStr">
        <is>
          <t>Trimestral</t>
        </is>
      </c>
      <c r="E1412" t="inlineStr">
        <is>
          <t>Positivo</t>
        </is>
      </c>
      <c r="F1412" s="105" t="n">
        <v>45473</v>
      </c>
      <c r="G1412" t="inlineStr">
        <is>
          <t>435-2024-06-30</t>
        </is>
      </c>
      <c r="H1412" t="inlineStr">
        <is>
          <t>Consultorio Psicología - Medellin</t>
        </is>
      </c>
      <c r="I1412" t="n">
        <v>100</v>
      </c>
      <c r="J1412" t="n">
        <v>0</v>
      </c>
      <c r="BW1412" t="n">
        <v>0</v>
      </c>
      <c r="BX1412" t="n">
        <v>0</v>
      </c>
    </row>
    <row r="1413">
      <c r="A1413" t="n">
        <v>435</v>
      </c>
      <c r="B1413" t="inlineStr">
        <is>
          <t>Disminución de la Generación de Residuos Peligrosos per Cápita</t>
        </is>
      </c>
      <c r="C1413" t="inlineStr">
        <is>
          <t>GESTIÓN AMBIENTAL</t>
        </is>
      </c>
      <c r="D1413" t="inlineStr">
        <is>
          <t>Trimestral</t>
        </is>
      </c>
      <c r="E1413" t="inlineStr">
        <is>
          <t>Positivo</t>
        </is>
      </c>
      <c r="F1413" s="105" t="n">
        <v>45473</v>
      </c>
      <c r="G1413" t="inlineStr">
        <is>
          <t>435-2024-06-30</t>
        </is>
      </c>
      <c r="H1413" t="inlineStr">
        <is>
          <t>Campus-Medellín</t>
        </is>
      </c>
      <c r="I1413" t="n">
        <v>100</v>
      </c>
      <c r="J1413" t="n">
        <v>90</v>
      </c>
      <c r="BW1413" t="n">
        <v>0.01</v>
      </c>
      <c r="BX1413" t="n">
        <v>0.001</v>
      </c>
    </row>
    <row r="1414">
      <c r="A1414" t="n">
        <v>435</v>
      </c>
      <c r="B1414" t="inlineStr">
        <is>
          <t>Disminución de la Generación de Residuos Peligrosos per Cápita</t>
        </is>
      </c>
      <c r="C1414" t="inlineStr">
        <is>
          <t>GESTIÓN AMBIENTAL</t>
        </is>
      </c>
      <c r="D1414" t="inlineStr">
        <is>
          <t>Trimestral</t>
        </is>
      </c>
      <c r="E1414" t="inlineStr">
        <is>
          <t>Positivo</t>
        </is>
      </c>
      <c r="F1414" s="105" t="n">
        <v>45473</v>
      </c>
      <c r="G1414" t="inlineStr">
        <is>
          <t>435-2024-06-30</t>
        </is>
      </c>
      <c r="H1414" t="inlineStr">
        <is>
          <t>City Campus</t>
        </is>
      </c>
      <c r="I1414" t="n">
        <v>100</v>
      </c>
      <c r="J1414" t="n">
        <v>40</v>
      </c>
      <c r="BW1414" t="n">
        <v>0.05</v>
      </c>
      <c r="BX1414" t="n">
        <v>0.03</v>
      </c>
    </row>
    <row r="1415">
      <c r="A1415" t="n">
        <v>435</v>
      </c>
      <c r="B1415" t="inlineStr">
        <is>
          <t>Disminución de la Generación de Residuos Peligrosos per Cápita</t>
        </is>
      </c>
      <c r="C1415" t="inlineStr">
        <is>
          <t>GESTIÓN AMBIENTAL</t>
        </is>
      </c>
      <c r="D1415" t="inlineStr">
        <is>
          <t>Trimestral</t>
        </is>
      </c>
      <c r="E1415" t="inlineStr">
        <is>
          <t>Positivo</t>
        </is>
      </c>
      <c r="F1415" s="105" t="n">
        <v>45473</v>
      </c>
      <c r="G1415" t="inlineStr">
        <is>
          <t>435-2024-06-30</t>
        </is>
      </c>
      <c r="H1415" t="inlineStr">
        <is>
          <t>Campus Bogotá</t>
        </is>
      </c>
      <c r="I1415" t="n">
        <v>100</v>
      </c>
      <c r="J1415" t="n">
        <v>-66.66999816894531</v>
      </c>
      <c r="BW1415" t="n">
        <v>0.09</v>
      </c>
      <c r="BX1415" t="n">
        <v>0.15</v>
      </c>
    </row>
    <row r="1416">
      <c r="A1416" t="n">
        <v>439</v>
      </c>
      <c r="B1416" t="inlineStr">
        <is>
          <t>Disponibilidad de catálogo de asignaturas pregrado y posgrado virtual</t>
        </is>
      </c>
      <c r="C1416" t="inlineStr">
        <is>
          <t>Operaciones Académicas</t>
        </is>
      </c>
      <c r="D1416" t="inlineStr">
        <is>
          <t>Trimestral</t>
        </is>
      </c>
      <c r="E1416" t="inlineStr">
        <is>
          <t>Positivo</t>
        </is>
      </c>
      <c r="F1416" s="105" t="n">
        <v>45473</v>
      </c>
      <c r="G1416" t="inlineStr">
        <is>
          <t>439-2024-06-30</t>
        </is>
      </c>
      <c r="H1416" t="inlineStr">
        <is>
          <t>Pregrado Virtual</t>
        </is>
      </c>
      <c r="I1416" t="n">
        <v>100</v>
      </c>
      <c r="J1416" t="n">
        <v>100</v>
      </c>
      <c r="CY1416" t="n">
        <v>766</v>
      </c>
      <c r="CZ1416" t="n">
        <v>766</v>
      </c>
    </row>
    <row r="1417">
      <c r="A1417" t="n">
        <v>439</v>
      </c>
      <c r="B1417" t="inlineStr">
        <is>
          <t>Disponibilidad de catálogo de asignaturas pregrado y posgrado virtual</t>
        </is>
      </c>
      <c r="C1417" t="inlineStr">
        <is>
          <t>Operaciones Académicas</t>
        </is>
      </c>
      <c r="D1417" t="inlineStr">
        <is>
          <t>Trimestral</t>
        </is>
      </c>
      <c r="E1417" t="inlineStr">
        <is>
          <t>Positivo</t>
        </is>
      </c>
      <c r="F1417" s="105" t="n">
        <v>45473</v>
      </c>
      <c r="G1417" t="inlineStr">
        <is>
          <t>439-2024-06-30</t>
        </is>
      </c>
      <c r="H1417" t="inlineStr">
        <is>
          <t>Posgrado Virtual</t>
        </is>
      </c>
      <c r="I1417" t="n">
        <v>100</v>
      </c>
      <c r="J1417" t="n">
        <v>100</v>
      </c>
      <c r="CY1417" t="n">
        <v>256</v>
      </c>
      <c r="CZ1417" t="n">
        <v>256</v>
      </c>
    </row>
    <row r="1418">
      <c r="A1418" t="n">
        <v>440</v>
      </c>
      <c r="B1418" t="inlineStr">
        <is>
          <t>Aseguramiento de matricula académica virtual</t>
        </is>
      </c>
      <c r="C1418" t="inlineStr">
        <is>
          <t>Operaciones Académicas</t>
        </is>
      </c>
      <c r="D1418" t="inlineStr">
        <is>
          <t>Trimestral</t>
        </is>
      </c>
      <c r="E1418" t="inlineStr">
        <is>
          <t>Positivo</t>
        </is>
      </c>
      <c r="F1418" s="105" t="n">
        <v>45473</v>
      </c>
      <c r="G1418" t="inlineStr">
        <is>
          <t>440-2024-06-30</t>
        </is>
      </c>
      <c r="H1418" t="inlineStr">
        <is>
          <t>Posgrado Virtual</t>
        </is>
      </c>
      <c r="I1418" t="n">
        <v>98</v>
      </c>
      <c r="J1418" t="n">
        <v>99.30999755859375</v>
      </c>
      <c r="DA1418" t="n">
        <v>2874</v>
      </c>
      <c r="DB1418" t="n">
        <v>2894</v>
      </c>
    </row>
    <row r="1419">
      <c r="A1419" t="n">
        <v>440</v>
      </c>
      <c r="B1419" t="inlineStr">
        <is>
          <t>Aseguramiento de matricula académica virtual</t>
        </is>
      </c>
      <c r="C1419" t="inlineStr">
        <is>
          <t>Operaciones Académicas</t>
        </is>
      </c>
      <c r="D1419" t="inlineStr">
        <is>
          <t>Trimestral</t>
        </is>
      </c>
      <c r="E1419" t="inlineStr">
        <is>
          <t>Positivo</t>
        </is>
      </c>
      <c r="F1419" s="105" t="n">
        <v>45473</v>
      </c>
      <c r="G1419" t="inlineStr">
        <is>
          <t>440-2024-06-30</t>
        </is>
      </c>
      <c r="H1419" t="inlineStr">
        <is>
          <t>Pregrado Virtual</t>
        </is>
      </c>
      <c r="I1419" t="n">
        <v>98</v>
      </c>
      <c r="J1419" t="n">
        <v>99.76000213623047</v>
      </c>
      <c r="DA1419" t="n">
        <v>41138</v>
      </c>
      <c r="DB1419" t="n">
        <v>41238</v>
      </c>
    </row>
    <row r="1420">
      <c r="A1420" t="n">
        <v>473</v>
      </c>
      <c r="B1420" t="inlineStr">
        <is>
          <t>Programas con planes de estudios definidos</t>
        </is>
      </c>
      <c r="C1420" t="inlineStr">
        <is>
          <t>Gestión, Evaluación e Innovación Curricular</t>
        </is>
      </c>
      <c r="D1420" t="inlineStr">
        <is>
          <t>Trimestral</t>
        </is>
      </c>
      <c r="E1420" t="inlineStr">
        <is>
          <t>Positivo</t>
        </is>
      </c>
      <c r="F1420" s="105" t="n">
        <v>45473</v>
      </c>
      <c r="G1420" t="inlineStr">
        <is>
          <t>473-2024-06-30</t>
        </is>
      </c>
      <c r="H1420" t="inlineStr">
        <is>
          <t>Nuevos Programas Académicos</t>
        </is>
      </c>
      <c r="I1420" t="n">
        <v>100</v>
      </c>
      <c r="J1420" t="n">
        <v>100</v>
      </c>
      <c r="DM1420" t="n">
        <v>1</v>
      </c>
      <c r="DN1420" t="n">
        <v>1</v>
      </c>
    </row>
    <row r="1421">
      <c r="A1421" t="n">
        <v>473</v>
      </c>
      <c r="B1421" t="inlineStr">
        <is>
          <t>Programas con planes de estudios definidos</t>
        </is>
      </c>
      <c r="C1421" t="inlineStr">
        <is>
          <t>Gestión, Evaluación e Innovación Curricular</t>
        </is>
      </c>
      <c r="D1421" t="inlineStr">
        <is>
          <t>Trimestral</t>
        </is>
      </c>
      <c r="E1421" t="inlineStr">
        <is>
          <t>Positivo</t>
        </is>
      </c>
      <c r="F1421" s="105" t="n">
        <v>45473</v>
      </c>
      <c r="G1421" t="inlineStr">
        <is>
          <t>473-2024-06-30</t>
        </is>
      </c>
      <c r="H1421" t="inlineStr">
        <is>
          <t>Programas Renovación, modificación y acreditación</t>
        </is>
      </c>
      <c r="I1421" t="n">
        <v>100</v>
      </c>
      <c r="J1421" t="n">
        <v>100</v>
      </c>
      <c r="DM1421" t="n">
        <v>15</v>
      </c>
      <c r="DN1421" t="n">
        <v>15</v>
      </c>
    </row>
    <row r="1422">
      <c r="A1422" t="n">
        <v>474</v>
      </c>
      <c r="B1422" t="inlineStr">
        <is>
          <t>Programas con planes de estudios definidos por escuela (Nuevos Programas)</t>
        </is>
      </c>
      <c r="C1422" t="inlineStr">
        <is>
          <t>Gestión de Unidades Académicas</t>
        </is>
      </c>
      <c r="D1422" t="inlineStr">
        <is>
          <t>Trimestral</t>
        </is>
      </c>
      <c r="E1422" t="inlineStr">
        <is>
          <t>Positivo</t>
        </is>
      </c>
      <c r="F1422" s="105" t="n">
        <v>45473</v>
      </c>
      <c r="G1422" t="inlineStr">
        <is>
          <t>474-2024-06-30</t>
        </is>
      </c>
      <c r="H1422" t="inlineStr">
        <is>
          <t>ESCUELA DE CIENCIAS BÁSICAS</t>
        </is>
      </c>
      <c r="I1422" t="n">
        <v>100</v>
      </c>
      <c r="J1422" t="n">
        <v>0</v>
      </c>
      <c r="DO1422" t="n">
        <v>0</v>
      </c>
      <c r="DP1422" t="n">
        <v>0</v>
      </c>
    </row>
    <row r="1423">
      <c r="A1423" t="n">
        <v>474</v>
      </c>
      <c r="B1423" t="inlineStr">
        <is>
          <t>Programas con planes de estudios definidos por escuela (Nuevos Programas)</t>
        </is>
      </c>
      <c r="C1423" t="inlineStr">
        <is>
          <t>Gestión de Unidades Académicas</t>
        </is>
      </c>
      <c r="D1423" t="inlineStr">
        <is>
          <t>Trimestral</t>
        </is>
      </c>
      <c r="E1423" t="inlineStr">
        <is>
          <t>Positivo</t>
        </is>
      </c>
      <c r="F1423" s="105" t="n">
        <v>45473</v>
      </c>
      <c r="G1423" t="inlineStr">
        <is>
          <t>474-2024-06-30</t>
        </is>
      </c>
      <c r="H1423" t="inlineStr">
        <is>
          <t>ESCUELA DE  DISEÑO</t>
        </is>
      </c>
      <c r="I1423" t="n">
        <v>100</v>
      </c>
      <c r="J1423" t="n">
        <v>0</v>
      </c>
      <c r="DO1423" t="n">
        <v>0</v>
      </c>
      <c r="DP1423" t="n">
        <v>0</v>
      </c>
    </row>
    <row r="1424">
      <c r="A1424" t="n">
        <v>474</v>
      </c>
      <c r="B1424" t="inlineStr">
        <is>
          <t>Programas con planes de estudios definidos por escuela (Nuevos Programas)</t>
        </is>
      </c>
      <c r="C1424" t="inlineStr">
        <is>
          <t>Gestión de Unidades Académicas</t>
        </is>
      </c>
      <c r="D1424" t="inlineStr">
        <is>
          <t>Trimestral</t>
        </is>
      </c>
      <c r="E1424" t="inlineStr">
        <is>
          <t>Positivo</t>
        </is>
      </c>
      <c r="F1424" s="105" t="n">
        <v>45473</v>
      </c>
      <c r="G1424" t="inlineStr">
        <is>
          <t>474-2024-06-30</t>
        </is>
      </c>
      <c r="H1424" t="inlineStr">
        <is>
          <t>ESCUELA DE OPTIMIZACIÓN, INFRA Y AUTO</t>
        </is>
      </c>
      <c r="I1424" t="n">
        <v>100</v>
      </c>
      <c r="J1424" t="n">
        <v>0</v>
      </c>
      <c r="DO1424" t="n">
        <v>0</v>
      </c>
      <c r="DP1424" t="n">
        <v>0</v>
      </c>
    </row>
    <row r="1425">
      <c r="A1425" t="n">
        <v>474</v>
      </c>
      <c r="B1425" t="inlineStr">
        <is>
          <t>Programas con planes de estudios definidos por escuela (Nuevos Programas)</t>
        </is>
      </c>
      <c r="C1425" t="inlineStr">
        <is>
          <t>Gestión de Unidades Académicas</t>
        </is>
      </c>
      <c r="D1425" t="inlineStr">
        <is>
          <t>Trimestral</t>
        </is>
      </c>
      <c r="E1425" t="inlineStr">
        <is>
          <t>Positivo</t>
        </is>
      </c>
      <c r="F1425" s="105" t="n">
        <v>45473</v>
      </c>
      <c r="G1425" t="inlineStr">
        <is>
          <t>474-2024-06-30</t>
        </is>
      </c>
      <c r="H1425" t="inlineStr">
        <is>
          <t>ESCUELA TIC</t>
        </is>
      </c>
      <c r="I1425" t="n">
        <v>100</v>
      </c>
      <c r="J1425" t="n">
        <v>0</v>
      </c>
      <c r="DO1425" t="n">
        <v>0</v>
      </c>
      <c r="DP1425" t="n">
        <v>0</v>
      </c>
    </row>
    <row r="1426">
      <c r="A1426" t="n">
        <v>474</v>
      </c>
      <c r="B1426" t="inlineStr">
        <is>
          <t>Programas con planes de estudios definidos por escuela (Nuevos Programas)</t>
        </is>
      </c>
      <c r="C1426" t="inlineStr">
        <is>
          <t>Gestión de Unidades Académicas</t>
        </is>
      </c>
      <c r="D1426" t="inlineStr">
        <is>
          <t>Trimestral</t>
        </is>
      </c>
      <c r="E1426" t="inlineStr">
        <is>
          <t>Positivo</t>
        </is>
      </c>
      <c r="F1426" s="105" t="n">
        <v>45473</v>
      </c>
      <c r="G1426" t="inlineStr">
        <is>
          <t>474-2024-06-30</t>
        </is>
      </c>
      <c r="H1426" t="inlineStr">
        <is>
          <t>ESCUELA DE ADMINISTRACIÓN Y COMPETITIVIDAD</t>
        </is>
      </c>
      <c r="I1426" t="n">
        <v>100</v>
      </c>
      <c r="J1426" t="n">
        <v>0</v>
      </c>
      <c r="DO1426" t="n">
        <v>0</v>
      </c>
      <c r="DP1426" t="n">
        <v>0</v>
      </c>
    </row>
    <row r="1427">
      <c r="A1427" t="n">
        <v>474</v>
      </c>
      <c r="B1427" t="inlineStr">
        <is>
          <t>Programas con planes de estudios definidos por escuela (Nuevos Programas)</t>
        </is>
      </c>
      <c r="C1427" t="inlineStr">
        <is>
          <t>Gestión de Unidades Académicas</t>
        </is>
      </c>
      <c r="D1427" t="inlineStr">
        <is>
          <t>Trimestral</t>
        </is>
      </c>
      <c r="E1427" t="inlineStr">
        <is>
          <t>Positivo</t>
        </is>
      </c>
      <c r="F1427" s="105" t="n">
        <v>45473</v>
      </c>
      <c r="G1427" t="inlineStr">
        <is>
          <t>474-2024-06-30</t>
        </is>
      </c>
      <c r="H1427" t="inlineStr">
        <is>
          <t>ESCUELA DE CONTABILIDAD INTERNACIONAL</t>
        </is>
      </c>
      <c r="I1427" t="n">
        <v>100</v>
      </c>
      <c r="J1427" t="n">
        <v>0</v>
      </c>
      <c r="DO1427" t="n">
        <v>0</v>
      </c>
      <c r="DP1427" t="n">
        <v>0</v>
      </c>
    </row>
    <row r="1428">
      <c r="A1428" t="n">
        <v>474</v>
      </c>
      <c r="B1428" t="inlineStr">
        <is>
          <t>Programas con planes de estudios definidos por escuela (Nuevos Programas)</t>
        </is>
      </c>
      <c r="C1428" t="inlineStr">
        <is>
          <t>Gestión de Unidades Académicas</t>
        </is>
      </c>
      <c r="D1428" t="inlineStr">
        <is>
          <t>Trimestral</t>
        </is>
      </c>
      <c r="E1428" t="inlineStr">
        <is>
          <t>Positivo</t>
        </is>
      </c>
      <c r="F1428" s="105" t="n">
        <v>45473</v>
      </c>
      <c r="G1428" t="inlineStr">
        <is>
          <t>474-2024-06-30</t>
        </is>
      </c>
      <c r="H1428" t="inlineStr">
        <is>
          <t>ESCUELA DE NEGOCIOS Y DESARROLLO INTERNACIONAL</t>
        </is>
      </c>
      <c r="I1428" t="n">
        <v>100</v>
      </c>
      <c r="J1428" t="n">
        <v>0</v>
      </c>
      <c r="DO1428" t="n">
        <v>0</v>
      </c>
      <c r="DP1428" t="n">
        <v>0</v>
      </c>
    </row>
    <row r="1429">
      <c r="A1429" t="n">
        <v>474</v>
      </c>
      <c r="B1429" t="inlineStr">
        <is>
          <t>Programas con planes de estudios definidos por escuela (Nuevos Programas)</t>
        </is>
      </c>
      <c r="C1429" t="inlineStr">
        <is>
          <t>Gestión de Unidades Académicas</t>
        </is>
      </c>
      <c r="D1429" t="inlineStr">
        <is>
          <t>Trimestral</t>
        </is>
      </c>
      <c r="E1429" t="inlineStr">
        <is>
          <t>Positivo</t>
        </is>
      </c>
      <c r="F1429" s="105" t="n">
        <v>45473</v>
      </c>
      <c r="G1429" t="inlineStr">
        <is>
          <t>474-2024-06-30</t>
        </is>
      </c>
      <c r="H1429" t="inlineStr">
        <is>
          <t>ESCUELA DE COMUNICACIÓN ARTES VISUALES Y DIGITALES</t>
        </is>
      </c>
      <c r="I1429" t="n">
        <v>100</v>
      </c>
      <c r="J1429" t="n">
        <v>0</v>
      </c>
      <c r="DO1429" t="n">
        <v>0</v>
      </c>
      <c r="DP1429" t="n">
        <v>0</v>
      </c>
    </row>
    <row r="1430">
      <c r="A1430" t="n">
        <v>474</v>
      </c>
      <c r="B1430" t="inlineStr">
        <is>
          <t>Programas con planes de estudios definidos por escuela (Nuevos Programas)</t>
        </is>
      </c>
      <c r="C1430" t="inlineStr">
        <is>
          <t>Gestión de Unidades Académicas</t>
        </is>
      </c>
      <c r="D1430" t="inlineStr">
        <is>
          <t>Trimestral</t>
        </is>
      </c>
      <c r="E1430" t="inlineStr">
        <is>
          <t>Positivo</t>
        </is>
      </c>
      <c r="F1430" s="105" t="n">
        <v>45473</v>
      </c>
      <c r="G1430" t="inlineStr">
        <is>
          <t>474-2024-06-30</t>
        </is>
      </c>
      <c r="H1430" t="inlineStr">
        <is>
          <t>ESCUELA DE EDUCACIÓN E INNOVACIÓN</t>
        </is>
      </c>
      <c r="I1430" t="n">
        <v>100</v>
      </c>
      <c r="J1430" t="n">
        <v>0</v>
      </c>
      <c r="DO1430" t="n">
        <v>0</v>
      </c>
      <c r="DP1430" t="n">
        <v>0</v>
      </c>
    </row>
    <row r="1431">
      <c r="A1431" t="n">
        <v>474</v>
      </c>
      <c r="B1431" t="inlineStr">
        <is>
          <t>Programas con planes de estudios definidos por escuela (Nuevos Programas)</t>
        </is>
      </c>
      <c r="C1431" t="inlineStr">
        <is>
          <t>Gestión de Unidades Académicas</t>
        </is>
      </c>
      <c r="D1431" t="inlineStr">
        <is>
          <t>Trimestral</t>
        </is>
      </c>
      <c r="E1431" t="inlineStr">
        <is>
          <t>Positivo</t>
        </is>
      </c>
      <c r="F1431" s="105" t="n">
        <v>45473</v>
      </c>
      <c r="G1431" t="inlineStr">
        <is>
          <t>474-2024-06-30</t>
        </is>
      </c>
      <c r="H1431" t="inlineStr">
        <is>
          <t>ESCUELA DE DERECHO Y GOBIERNO</t>
        </is>
      </c>
      <c r="I1431" t="n">
        <v>100</v>
      </c>
      <c r="J1431" t="n">
        <v>0</v>
      </c>
      <c r="DO1431" t="n">
        <v>0</v>
      </c>
      <c r="DP1431" t="n">
        <v>0</v>
      </c>
    </row>
    <row r="1432">
      <c r="A1432" t="n">
        <v>474</v>
      </c>
      <c r="B1432" t="inlineStr">
        <is>
          <t>Programas con planes de estudios definidos por escuela (Nuevos Programas)</t>
        </is>
      </c>
      <c r="C1432" t="inlineStr">
        <is>
          <t>Gestión de Unidades Académicas</t>
        </is>
      </c>
      <c r="D1432" t="inlineStr">
        <is>
          <t>Trimestral</t>
        </is>
      </c>
      <c r="E1432" t="inlineStr">
        <is>
          <t>Positivo</t>
        </is>
      </c>
      <c r="F1432" s="105" t="n">
        <v>45473</v>
      </c>
      <c r="G1432" t="inlineStr">
        <is>
          <t>474-2024-06-30</t>
        </is>
      </c>
      <c r="H1432" t="inlineStr">
        <is>
          <t>ESCUELA DE MARKETING Y BRANDING</t>
        </is>
      </c>
      <c r="I1432" t="n">
        <v>100</v>
      </c>
      <c r="J1432" t="n">
        <v>0</v>
      </c>
      <c r="DO1432" t="n">
        <v>0</v>
      </c>
      <c r="DP1432" t="n">
        <v>0</v>
      </c>
    </row>
    <row r="1433">
      <c r="A1433" t="n">
        <v>474</v>
      </c>
      <c r="B1433" t="inlineStr">
        <is>
          <t>Programas con planes de estudios definidos por escuela (Nuevos Programas)</t>
        </is>
      </c>
      <c r="C1433" t="inlineStr">
        <is>
          <t>Gestión de Unidades Académicas</t>
        </is>
      </c>
      <c r="D1433" t="inlineStr">
        <is>
          <t>Trimestral</t>
        </is>
      </c>
      <c r="E1433" t="inlineStr">
        <is>
          <t>Positivo</t>
        </is>
      </c>
      <c r="F1433" s="105" t="n">
        <v>45473</v>
      </c>
      <c r="G1433" t="inlineStr">
        <is>
          <t>474-2024-06-30</t>
        </is>
      </c>
      <c r="H1433" t="inlineStr">
        <is>
          <t>ESCUELA DE PSIC, TALENTO HUM Y SOC</t>
        </is>
      </c>
      <c r="I1433" t="n">
        <v>100</v>
      </c>
      <c r="J1433" t="n">
        <v>100</v>
      </c>
      <c r="DO1433" t="n">
        <v>1</v>
      </c>
      <c r="DP1433" t="n">
        <v>1</v>
      </c>
    </row>
    <row r="1434">
      <c r="A1434" t="n">
        <v>476</v>
      </c>
      <c r="B1434" t="inlineStr">
        <is>
          <t>Programas con resultados de aprendizaje definidos</t>
        </is>
      </c>
      <c r="C1434" t="inlineStr">
        <is>
          <t>Gestión, Evaluación e Innovación Curricular</t>
        </is>
      </c>
      <c r="D1434" t="inlineStr">
        <is>
          <t>Trimestral</t>
        </is>
      </c>
      <c r="E1434" t="inlineStr">
        <is>
          <t>Positivo</t>
        </is>
      </c>
      <c r="F1434" s="105" t="n">
        <v>45473</v>
      </c>
      <c r="G1434" t="inlineStr">
        <is>
          <t>476-2024-06-30</t>
        </is>
      </c>
      <c r="H1434" t="inlineStr">
        <is>
          <t>Programas Renovación, modificación y acreditación</t>
        </is>
      </c>
      <c r="I1434" t="n">
        <v>100</v>
      </c>
      <c r="J1434" t="n">
        <v>100</v>
      </c>
      <c r="DQ1434" t="n">
        <v>15</v>
      </c>
      <c r="DR1434" t="n">
        <v>15</v>
      </c>
    </row>
    <row r="1435">
      <c r="A1435" t="n">
        <v>477</v>
      </c>
      <c r="B1435" t="inlineStr">
        <is>
          <t>Programas con planes de estudios definidos por escuela (Programas Renovación, modificación y acreditación)</t>
        </is>
      </c>
      <c r="C1435" t="inlineStr">
        <is>
          <t>Gestión de Unidades Académicas</t>
        </is>
      </c>
      <c r="D1435" t="inlineStr">
        <is>
          <t>Trimestral</t>
        </is>
      </c>
      <c r="E1435" t="inlineStr">
        <is>
          <t>Positivo</t>
        </is>
      </c>
      <c r="F1435" s="105" t="n">
        <v>45473</v>
      </c>
      <c r="G1435" t="inlineStr">
        <is>
          <t>477-2024-06-30</t>
        </is>
      </c>
      <c r="H1435" t="inlineStr">
        <is>
          <t>ESCUELA DE NEGOCIOS Y DESARROLLO INTERNACIONAL</t>
        </is>
      </c>
      <c r="I1435" t="n">
        <v>100</v>
      </c>
      <c r="J1435" t="n">
        <v>100</v>
      </c>
      <c r="DS1435" t="n">
        <v>1</v>
      </c>
      <c r="DT1435" t="n">
        <v>1</v>
      </c>
    </row>
    <row r="1436">
      <c r="A1436" t="n">
        <v>477</v>
      </c>
      <c r="B1436" t="inlineStr">
        <is>
          <t>Programas con planes de estudios definidos por escuela (Programas Renovación, modificación y acreditación)</t>
        </is>
      </c>
      <c r="C1436" t="inlineStr">
        <is>
          <t>Gestión de Unidades Académicas</t>
        </is>
      </c>
      <c r="D1436" t="inlineStr">
        <is>
          <t>Trimestral</t>
        </is>
      </c>
      <c r="E1436" t="inlineStr">
        <is>
          <t>Positivo</t>
        </is>
      </c>
      <c r="F1436" s="105" t="n">
        <v>45473</v>
      </c>
      <c r="G1436" t="inlineStr">
        <is>
          <t>477-2024-06-30</t>
        </is>
      </c>
      <c r="H1436" t="inlineStr">
        <is>
          <t>ESCUELA DE  DISEÑO</t>
        </is>
      </c>
      <c r="I1436" t="n">
        <v>100</v>
      </c>
      <c r="J1436" t="n">
        <v>100</v>
      </c>
      <c r="DS1436" t="n">
        <v>1</v>
      </c>
      <c r="DT1436" t="n">
        <v>1</v>
      </c>
    </row>
    <row r="1437">
      <c r="A1437" t="n">
        <v>477</v>
      </c>
      <c r="B1437" t="inlineStr">
        <is>
          <t>Programas con planes de estudios definidos por escuela (Programas Renovación, modificación y acreditación)</t>
        </is>
      </c>
      <c r="C1437" t="inlineStr">
        <is>
          <t>Gestión de Unidades Académicas</t>
        </is>
      </c>
      <c r="D1437" t="inlineStr">
        <is>
          <t>Trimestral</t>
        </is>
      </c>
      <c r="E1437" t="inlineStr">
        <is>
          <t>Positivo</t>
        </is>
      </c>
      <c r="F1437" s="105" t="n">
        <v>45473</v>
      </c>
      <c r="G1437" t="inlineStr">
        <is>
          <t>477-2024-06-30</t>
        </is>
      </c>
      <c r="H1437" t="inlineStr">
        <is>
          <t>ESCUELA DE MARKETING Y BRANDING</t>
        </is>
      </c>
      <c r="I1437" t="n">
        <v>100</v>
      </c>
      <c r="J1437" t="n">
        <v>100</v>
      </c>
      <c r="DS1437" t="n">
        <v>1</v>
      </c>
      <c r="DT1437" t="n">
        <v>1</v>
      </c>
    </row>
    <row r="1438">
      <c r="A1438" t="n">
        <v>477</v>
      </c>
      <c r="B1438" t="inlineStr">
        <is>
          <t>Programas con planes de estudios definidos por escuela (Programas Renovación, modificación y acreditación)</t>
        </is>
      </c>
      <c r="C1438" t="inlineStr">
        <is>
          <t>Gestión de Unidades Académicas</t>
        </is>
      </c>
      <c r="D1438" t="inlineStr">
        <is>
          <t>Trimestral</t>
        </is>
      </c>
      <c r="E1438" t="inlineStr">
        <is>
          <t>Positivo</t>
        </is>
      </c>
      <c r="F1438" s="105" t="n">
        <v>45473</v>
      </c>
      <c r="G1438" t="inlineStr">
        <is>
          <t>477-2024-06-30</t>
        </is>
      </c>
      <c r="H1438" t="inlineStr">
        <is>
          <t>ESCUELA TIC</t>
        </is>
      </c>
      <c r="I1438" t="n">
        <v>100</v>
      </c>
      <c r="J1438" t="n">
        <v>100</v>
      </c>
      <c r="DS1438" t="n">
        <v>2</v>
      </c>
      <c r="DT1438" t="n">
        <v>2</v>
      </c>
    </row>
    <row r="1439">
      <c r="A1439" t="n">
        <v>477</v>
      </c>
      <c r="B1439" t="inlineStr">
        <is>
          <t>Programas con planes de estudios definidos por escuela (Programas Renovación, modificación y acreditación)</t>
        </is>
      </c>
      <c r="C1439" t="inlineStr">
        <is>
          <t>Gestión de Unidades Académicas</t>
        </is>
      </c>
      <c r="D1439" t="inlineStr">
        <is>
          <t>Trimestral</t>
        </is>
      </c>
      <c r="E1439" t="inlineStr">
        <is>
          <t>Positivo</t>
        </is>
      </c>
      <c r="F1439" s="105" t="n">
        <v>45473</v>
      </c>
      <c r="G1439" t="inlineStr">
        <is>
          <t>477-2024-06-30</t>
        </is>
      </c>
      <c r="H1439" t="inlineStr">
        <is>
          <t>ESCUELA DE DERECHO Y GOBIERNO</t>
        </is>
      </c>
      <c r="I1439" t="n">
        <v>100</v>
      </c>
      <c r="J1439" t="n">
        <v>100</v>
      </c>
      <c r="DS1439" t="n">
        <v>3</v>
      </c>
      <c r="DT1439" t="n">
        <v>3</v>
      </c>
    </row>
    <row r="1440">
      <c r="A1440" t="n">
        <v>477</v>
      </c>
      <c r="B1440" t="inlineStr">
        <is>
          <t>Programas con planes de estudios definidos por escuela (Programas Renovación, modificación y acreditación)</t>
        </is>
      </c>
      <c r="C1440" t="inlineStr">
        <is>
          <t>Gestión de Unidades Académicas</t>
        </is>
      </c>
      <c r="D1440" t="inlineStr">
        <is>
          <t>Trimestral</t>
        </is>
      </c>
      <c r="E1440" t="inlineStr">
        <is>
          <t>Positivo</t>
        </is>
      </c>
      <c r="F1440" s="105" t="n">
        <v>45473</v>
      </c>
      <c r="G1440" t="inlineStr">
        <is>
          <t>477-2024-06-30</t>
        </is>
      </c>
      <c r="H1440" t="inlineStr">
        <is>
          <t>ESCUELA DE OPTIMIZACIÓN, INFRA Y AUTO</t>
        </is>
      </c>
      <c r="I1440" t="n">
        <v>100</v>
      </c>
      <c r="J1440" t="n">
        <v>100</v>
      </c>
      <c r="DS1440" t="n">
        <v>2</v>
      </c>
      <c r="DT1440" t="n">
        <v>2</v>
      </c>
    </row>
    <row r="1441">
      <c r="A1441" t="n">
        <v>477</v>
      </c>
      <c r="B1441" t="inlineStr">
        <is>
          <t>Programas con planes de estudios definidos por escuela (Programas Renovación, modificación y acreditación)</t>
        </is>
      </c>
      <c r="C1441" t="inlineStr">
        <is>
          <t>Gestión de Unidades Académicas</t>
        </is>
      </c>
      <c r="D1441" t="inlineStr">
        <is>
          <t>Trimestral</t>
        </is>
      </c>
      <c r="E1441" t="inlineStr">
        <is>
          <t>Positivo</t>
        </is>
      </c>
      <c r="F1441" s="105" t="n">
        <v>45473</v>
      </c>
      <c r="G1441" t="inlineStr">
        <is>
          <t>477-2024-06-30</t>
        </is>
      </c>
      <c r="H1441" t="inlineStr">
        <is>
          <t>ESCUELA DE PSIC, TALENTO HUM Y SOC</t>
        </is>
      </c>
      <c r="I1441" t="n">
        <v>100</v>
      </c>
      <c r="J1441" t="n">
        <v>100</v>
      </c>
      <c r="DS1441" t="n">
        <v>2</v>
      </c>
      <c r="DT1441" t="n">
        <v>2</v>
      </c>
    </row>
    <row r="1442">
      <c r="A1442" t="n">
        <v>477</v>
      </c>
      <c r="B1442" t="inlineStr">
        <is>
          <t>Programas con planes de estudios definidos por escuela (Programas Renovación, modificación y acreditación)</t>
        </is>
      </c>
      <c r="C1442" t="inlineStr">
        <is>
          <t>Gestión de Unidades Académicas</t>
        </is>
      </c>
      <c r="D1442" t="inlineStr">
        <is>
          <t>Trimestral</t>
        </is>
      </c>
      <c r="E1442" t="inlineStr">
        <is>
          <t>Positivo</t>
        </is>
      </c>
      <c r="F1442" s="105" t="n">
        <v>45473</v>
      </c>
      <c r="G1442" t="inlineStr">
        <is>
          <t>477-2024-06-30</t>
        </is>
      </c>
      <c r="H1442" t="inlineStr">
        <is>
          <t>ESCUELA DE CONTABILIDAD INTERNACIONAL</t>
        </is>
      </c>
      <c r="I1442" t="n">
        <v>100</v>
      </c>
      <c r="J1442" t="n">
        <v>100</v>
      </c>
      <c r="DS1442" t="n">
        <v>1</v>
      </c>
      <c r="DT1442" t="n">
        <v>1</v>
      </c>
    </row>
    <row r="1443">
      <c r="A1443" t="n">
        <v>477</v>
      </c>
      <c r="B1443" t="inlineStr">
        <is>
          <t>Programas con planes de estudios definidos por escuela (Programas Renovación, modificación y acreditación)</t>
        </is>
      </c>
      <c r="C1443" t="inlineStr">
        <is>
          <t>Gestión de Unidades Académicas</t>
        </is>
      </c>
      <c r="D1443" t="inlineStr">
        <is>
          <t>Trimestral</t>
        </is>
      </c>
      <c r="E1443" t="inlineStr">
        <is>
          <t>Positivo</t>
        </is>
      </c>
      <c r="F1443" s="105" t="n">
        <v>45473</v>
      </c>
      <c r="G1443" t="inlineStr">
        <is>
          <t>477-2024-06-30</t>
        </is>
      </c>
      <c r="H1443" t="inlineStr">
        <is>
          <t>ESCUELA DE EDUCACIÓN E INNOVACIÓN</t>
        </is>
      </c>
      <c r="I1443" t="n">
        <v>100</v>
      </c>
      <c r="J1443" t="n">
        <v>100</v>
      </c>
      <c r="DS1443" t="n">
        <v>1</v>
      </c>
      <c r="DT1443" t="n">
        <v>1</v>
      </c>
    </row>
    <row r="1444">
      <c r="A1444" t="n">
        <v>478</v>
      </c>
      <c r="B1444" t="inlineStr">
        <is>
          <t>Programas con planes de estudios definidos por escuela (Mantenimiento de programas)</t>
        </is>
      </c>
      <c r="C1444" t="inlineStr">
        <is>
          <t>Gestión de Unidades Académicas</t>
        </is>
      </c>
      <c r="D1444" t="inlineStr">
        <is>
          <t>Trimestral</t>
        </is>
      </c>
      <c r="E1444" t="inlineStr">
        <is>
          <t>Positivo</t>
        </is>
      </c>
      <c r="F1444" s="105" t="n">
        <v>45473</v>
      </c>
      <c r="G1444" t="inlineStr">
        <is>
          <t>478-2024-06-30</t>
        </is>
      </c>
      <c r="H1444" t="inlineStr">
        <is>
          <t>ESCUELA DE CIENCIAS BÁSICAS</t>
        </is>
      </c>
      <c r="I1444" t="n">
        <v>100</v>
      </c>
      <c r="J1444" t="n">
        <v>0</v>
      </c>
      <c r="DU1444" t="n">
        <v>0</v>
      </c>
      <c r="DV1444" t="n">
        <v>0</v>
      </c>
    </row>
    <row r="1445">
      <c r="A1445" t="n">
        <v>478</v>
      </c>
      <c r="B1445" t="inlineStr">
        <is>
          <t>Programas con planes de estudios definidos por escuela (Mantenimiento de programas)</t>
        </is>
      </c>
      <c r="C1445" t="inlineStr">
        <is>
          <t>Gestión de Unidades Académicas</t>
        </is>
      </c>
      <c r="D1445" t="inlineStr">
        <is>
          <t>Trimestral</t>
        </is>
      </c>
      <c r="E1445" t="inlineStr">
        <is>
          <t>Positivo</t>
        </is>
      </c>
      <c r="F1445" s="105" t="n">
        <v>45473</v>
      </c>
      <c r="G1445" t="inlineStr">
        <is>
          <t>478-2024-06-30</t>
        </is>
      </c>
      <c r="H1445" t="inlineStr">
        <is>
          <t>ESCUELA DE  DISEÑO</t>
        </is>
      </c>
      <c r="I1445" t="n">
        <v>100</v>
      </c>
      <c r="J1445" t="n">
        <v>0</v>
      </c>
      <c r="DU1445" t="n">
        <v>0</v>
      </c>
      <c r="DV1445" t="n">
        <v>0</v>
      </c>
    </row>
    <row r="1446">
      <c r="A1446" t="n">
        <v>478</v>
      </c>
      <c r="B1446" t="inlineStr">
        <is>
          <t>Programas con planes de estudios definidos por escuela (Mantenimiento de programas)</t>
        </is>
      </c>
      <c r="C1446" t="inlineStr">
        <is>
          <t>Gestión de Unidades Académicas</t>
        </is>
      </c>
      <c r="D1446" t="inlineStr">
        <is>
          <t>Trimestral</t>
        </is>
      </c>
      <c r="E1446" t="inlineStr">
        <is>
          <t>Positivo</t>
        </is>
      </c>
      <c r="F1446" s="105" t="n">
        <v>45473</v>
      </c>
      <c r="G1446" t="inlineStr">
        <is>
          <t>478-2024-06-30</t>
        </is>
      </c>
      <c r="H1446" t="inlineStr">
        <is>
          <t>ESCUELA DE OPTIMIZACIÓN, INFRA Y AUTO</t>
        </is>
      </c>
      <c r="I1446" t="n">
        <v>100</v>
      </c>
      <c r="J1446" t="n">
        <v>0</v>
      </c>
      <c r="DU1446" t="n">
        <v>0</v>
      </c>
      <c r="DV1446" t="n">
        <v>0</v>
      </c>
    </row>
    <row r="1447">
      <c r="A1447" t="n">
        <v>478</v>
      </c>
      <c r="B1447" t="inlineStr">
        <is>
          <t>Programas con planes de estudios definidos por escuela (Mantenimiento de programas)</t>
        </is>
      </c>
      <c r="C1447" t="inlineStr">
        <is>
          <t>Gestión de Unidades Académicas</t>
        </is>
      </c>
      <c r="D1447" t="inlineStr">
        <is>
          <t>Trimestral</t>
        </is>
      </c>
      <c r="E1447" t="inlineStr">
        <is>
          <t>Positivo</t>
        </is>
      </c>
      <c r="F1447" s="105" t="n">
        <v>45473</v>
      </c>
      <c r="G1447" t="inlineStr">
        <is>
          <t>478-2024-06-30</t>
        </is>
      </c>
      <c r="H1447" t="inlineStr">
        <is>
          <t>ESCUELA TIC</t>
        </is>
      </c>
      <c r="I1447" t="n">
        <v>100</v>
      </c>
      <c r="J1447" t="n">
        <v>0</v>
      </c>
      <c r="DU1447" t="n">
        <v>0</v>
      </c>
      <c r="DV1447" t="n">
        <v>0</v>
      </c>
    </row>
    <row r="1448">
      <c r="A1448" t="n">
        <v>478</v>
      </c>
      <c r="B1448" t="inlineStr">
        <is>
          <t>Programas con planes de estudios definidos por escuela (Mantenimiento de programas)</t>
        </is>
      </c>
      <c r="C1448" t="inlineStr">
        <is>
          <t>Gestión de Unidades Académicas</t>
        </is>
      </c>
      <c r="D1448" t="inlineStr">
        <is>
          <t>Trimestral</t>
        </is>
      </c>
      <c r="E1448" t="inlineStr">
        <is>
          <t>Positivo</t>
        </is>
      </c>
      <c r="F1448" s="105" t="n">
        <v>45473</v>
      </c>
      <c r="G1448" t="inlineStr">
        <is>
          <t>478-2024-06-30</t>
        </is>
      </c>
      <c r="H1448" t="inlineStr">
        <is>
          <t>ESCUELA DE ADMINISTRACIÓN Y COMPETITIVIDAD</t>
        </is>
      </c>
      <c r="I1448" t="n">
        <v>100</v>
      </c>
      <c r="J1448" t="n">
        <v>0</v>
      </c>
      <c r="DU1448" t="n">
        <v>0</v>
      </c>
      <c r="DV1448" t="n">
        <v>0</v>
      </c>
    </row>
    <row r="1449">
      <c r="A1449" t="n">
        <v>478</v>
      </c>
      <c r="B1449" t="inlineStr">
        <is>
          <t>Programas con planes de estudios definidos por escuela (Mantenimiento de programas)</t>
        </is>
      </c>
      <c r="C1449" t="inlineStr">
        <is>
          <t>Gestión de Unidades Académicas</t>
        </is>
      </c>
      <c r="D1449" t="inlineStr">
        <is>
          <t>Trimestral</t>
        </is>
      </c>
      <c r="E1449" t="inlineStr">
        <is>
          <t>Positivo</t>
        </is>
      </c>
      <c r="F1449" s="105" t="n">
        <v>45473</v>
      </c>
      <c r="G1449" t="inlineStr">
        <is>
          <t>478-2024-06-30</t>
        </is>
      </c>
      <c r="H1449" t="inlineStr">
        <is>
          <t>ESCUELA DE CONTABILIDAD INTERNACIONAL</t>
        </is>
      </c>
      <c r="I1449" t="n">
        <v>100</v>
      </c>
      <c r="J1449" t="n">
        <v>0</v>
      </c>
      <c r="DU1449" t="n">
        <v>0</v>
      </c>
      <c r="DV1449" t="n">
        <v>0</v>
      </c>
    </row>
    <row r="1450">
      <c r="A1450" t="n">
        <v>478</v>
      </c>
      <c r="B1450" t="inlineStr">
        <is>
          <t>Programas con planes de estudios definidos por escuela (Mantenimiento de programas)</t>
        </is>
      </c>
      <c r="C1450" t="inlineStr">
        <is>
          <t>Gestión de Unidades Académicas</t>
        </is>
      </c>
      <c r="D1450" t="inlineStr">
        <is>
          <t>Trimestral</t>
        </is>
      </c>
      <c r="E1450" t="inlineStr">
        <is>
          <t>Positivo</t>
        </is>
      </c>
      <c r="F1450" s="105" t="n">
        <v>45473</v>
      </c>
      <c r="G1450" t="inlineStr">
        <is>
          <t>478-2024-06-30</t>
        </is>
      </c>
      <c r="H1450" t="inlineStr">
        <is>
          <t>ESCUELA DE NEGOCIOS Y DESARROLLO INTERNACIONAL</t>
        </is>
      </c>
      <c r="I1450" t="n">
        <v>100</v>
      </c>
      <c r="J1450" t="n">
        <v>0</v>
      </c>
      <c r="DU1450" t="n">
        <v>0</v>
      </c>
      <c r="DV1450" t="n">
        <v>0</v>
      </c>
    </row>
    <row r="1451">
      <c r="A1451" t="n">
        <v>478</v>
      </c>
      <c r="B1451" t="inlineStr">
        <is>
          <t>Programas con planes de estudios definidos por escuela (Mantenimiento de programas)</t>
        </is>
      </c>
      <c r="C1451" t="inlineStr">
        <is>
          <t>Gestión de Unidades Académicas</t>
        </is>
      </c>
      <c r="D1451" t="inlineStr">
        <is>
          <t>Trimestral</t>
        </is>
      </c>
      <c r="E1451" t="inlineStr">
        <is>
          <t>Positivo</t>
        </is>
      </c>
      <c r="F1451" s="105" t="n">
        <v>45473</v>
      </c>
      <c r="G1451" t="inlineStr">
        <is>
          <t>478-2024-06-30</t>
        </is>
      </c>
      <c r="H1451" t="inlineStr">
        <is>
          <t>ESCUELA DE COMUNICACIÓN ARTES VISUALES Y DIGITALES</t>
        </is>
      </c>
      <c r="I1451" t="n">
        <v>100</v>
      </c>
      <c r="J1451" t="n">
        <v>0</v>
      </c>
      <c r="DU1451" t="n">
        <v>0</v>
      </c>
      <c r="DV1451" t="n">
        <v>0</v>
      </c>
    </row>
    <row r="1452">
      <c r="A1452" t="n">
        <v>478</v>
      </c>
      <c r="B1452" t="inlineStr">
        <is>
          <t>Programas con planes de estudios definidos por escuela (Mantenimiento de programas)</t>
        </is>
      </c>
      <c r="C1452" t="inlineStr">
        <is>
          <t>Gestión de Unidades Académicas</t>
        </is>
      </c>
      <c r="D1452" t="inlineStr">
        <is>
          <t>Trimestral</t>
        </is>
      </c>
      <c r="E1452" t="inlineStr">
        <is>
          <t>Positivo</t>
        </is>
      </c>
      <c r="F1452" s="105" t="n">
        <v>45473</v>
      </c>
      <c r="G1452" t="inlineStr">
        <is>
          <t>478-2024-06-30</t>
        </is>
      </c>
      <c r="H1452" t="inlineStr">
        <is>
          <t>ESCUELA DE EDUCACIÓN E INNOVACIÓN</t>
        </is>
      </c>
      <c r="I1452" t="n">
        <v>100</v>
      </c>
      <c r="J1452" t="n">
        <v>0</v>
      </c>
      <c r="DU1452" t="n">
        <v>0</v>
      </c>
      <c r="DV1452" t="n">
        <v>0</v>
      </c>
    </row>
    <row r="1453">
      <c r="A1453" t="n">
        <v>478</v>
      </c>
      <c r="B1453" t="inlineStr">
        <is>
          <t>Programas con planes de estudios definidos por escuela (Mantenimiento de programas)</t>
        </is>
      </c>
      <c r="C1453" t="inlineStr">
        <is>
          <t>Gestión de Unidades Académicas</t>
        </is>
      </c>
      <c r="D1453" t="inlineStr">
        <is>
          <t>Trimestral</t>
        </is>
      </c>
      <c r="E1453" t="inlineStr">
        <is>
          <t>Positivo</t>
        </is>
      </c>
      <c r="F1453" s="105" t="n">
        <v>45473</v>
      </c>
      <c r="G1453" t="inlineStr">
        <is>
          <t>478-2024-06-30</t>
        </is>
      </c>
      <c r="H1453" t="inlineStr">
        <is>
          <t>ESCUELA DE DERECHO Y GOBIERNO</t>
        </is>
      </c>
      <c r="I1453" t="n">
        <v>100</v>
      </c>
      <c r="J1453" t="n">
        <v>0</v>
      </c>
      <c r="DU1453" t="n">
        <v>0</v>
      </c>
      <c r="DV1453" t="n">
        <v>0</v>
      </c>
    </row>
    <row r="1454">
      <c r="A1454" t="n">
        <v>478</v>
      </c>
      <c r="B1454" t="inlineStr">
        <is>
          <t>Programas con planes de estudios definidos por escuela (Mantenimiento de programas)</t>
        </is>
      </c>
      <c r="C1454" t="inlineStr">
        <is>
          <t>Gestión de Unidades Académicas</t>
        </is>
      </c>
      <c r="D1454" t="inlineStr">
        <is>
          <t>Trimestral</t>
        </is>
      </c>
      <c r="E1454" t="inlineStr">
        <is>
          <t>Positivo</t>
        </is>
      </c>
      <c r="F1454" s="105" t="n">
        <v>45473</v>
      </c>
      <c r="G1454" t="inlineStr">
        <is>
          <t>478-2024-06-30</t>
        </is>
      </c>
      <c r="H1454" t="inlineStr">
        <is>
          <t>ESCUELA DE MARKETING Y BRANDING</t>
        </is>
      </c>
      <c r="I1454" t="n">
        <v>100</v>
      </c>
      <c r="J1454" t="n">
        <v>0</v>
      </c>
      <c r="DU1454" t="n">
        <v>0</v>
      </c>
      <c r="DV1454" t="n">
        <v>0</v>
      </c>
    </row>
    <row r="1455">
      <c r="A1455" t="n">
        <v>478</v>
      </c>
      <c r="B1455" t="inlineStr">
        <is>
          <t>Programas con planes de estudios definidos por escuela (Mantenimiento de programas)</t>
        </is>
      </c>
      <c r="C1455" t="inlineStr">
        <is>
          <t>Gestión de Unidades Académicas</t>
        </is>
      </c>
      <c r="D1455" t="inlineStr">
        <is>
          <t>Trimestral</t>
        </is>
      </c>
      <c r="E1455" t="inlineStr">
        <is>
          <t>Positivo</t>
        </is>
      </c>
      <c r="F1455" s="105" t="n">
        <v>45473</v>
      </c>
      <c r="G1455" t="inlineStr">
        <is>
          <t>478-2024-06-30</t>
        </is>
      </c>
      <c r="H1455" t="inlineStr">
        <is>
          <t>ESCUELA DE PSIC, TALENTO HUM Y SOC</t>
        </is>
      </c>
      <c r="I1455" t="n">
        <v>100</v>
      </c>
      <c r="J1455" t="n">
        <v>0</v>
      </c>
      <c r="DU1455" t="n">
        <v>0</v>
      </c>
      <c r="DV1455" t="n">
        <v>0</v>
      </c>
    </row>
    <row r="1456">
      <c r="A1456" t="n">
        <v>479</v>
      </c>
      <c r="B1456" t="inlineStr">
        <is>
          <t>Programas con resultados de aprendizaje definidos por escuela (Nuevos Programas)</t>
        </is>
      </c>
      <c r="C1456" t="inlineStr">
        <is>
          <t>Gestión de Unidades Académicas</t>
        </is>
      </c>
      <c r="D1456" t="inlineStr">
        <is>
          <t>Trimestral</t>
        </is>
      </c>
      <c r="E1456" t="inlineStr">
        <is>
          <t>Positivo</t>
        </is>
      </c>
      <c r="F1456" s="105" t="n">
        <v>45473</v>
      </c>
      <c r="G1456" t="inlineStr">
        <is>
          <t>479-2024-06-30</t>
        </is>
      </c>
      <c r="H1456" t="inlineStr">
        <is>
          <t>ESCUELA DE PSIC, TALENTO HUM Y SOC</t>
        </is>
      </c>
      <c r="I1456" t="n">
        <v>100</v>
      </c>
      <c r="J1456" t="n">
        <v>100</v>
      </c>
      <c r="DW1456" t="n">
        <v>1</v>
      </c>
      <c r="DX1456" t="n">
        <v>1</v>
      </c>
    </row>
    <row r="1457">
      <c r="A1457" t="n">
        <v>213</v>
      </c>
      <c r="B1457" t="inlineStr">
        <is>
          <t>Cumplimiento del Plan Anual del Sistema de Gestión Ambiental</t>
        </is>
      </c>
      <c r="C1457" t="inlineStr">
        <is>
          <t>GESTIÓN AMBIENTAL</t>
        </is>
      </c>
      <c r="D1457" t="inlineStr">
        <is>
          <t>Semestral</t>
        </is>
      </c>
      <c r="E1457" t="inlineStr">
        <is>
          <t>Positivo</t>
        </is>
      </c>
      <c r="F1457" s="105" t="n">
        <v>45473</v>
      </c>
      <c r="G1457" t="inlineStr">
        <is>
          <t>213-2024-06-30</t>
        </is>
      </c>
      <c r="H1457" t="inlineStr">
        <is>
          <t>Plan de Gestión Integral de Residuos</t>
        </is>
      </c>
      <c r="I1457" t="n">
        <v>90</v>
      </c>
      <c r="J1457" t="n">
        <v>100</v>
      </c>
      <c r="AW1457" t="n">
        <v>45</v>
      </c>
      <c r="AX1457" t="n">
        <v>45</v>
      </c>
    </row>
    <row r="1458">
      <c r="A1458" t="n">
        <v>213</v>
      </c>
      <c r="B1458" t="inlineStr">
        <is>
          <t>Cumplimiento del Plan Anual del Sistema de Gestión Ambiental</t>
        </is>
      </c>
      <c r="C1458" t="inlineStr">
        <is>
          <t>GESTIÓN AMBIENTAL</t>
        </is>
      </c>
      <c r="D1458" t="inlineStr">
        <is>
          <t>Semestral</t>
        </is>
      </c>
      <c r="E1458" t="inlineStr">
        <is>
          <t>Positivo</t>
        </is>
      </c>
      <c r="F1458" s="105" t="n">
        <v>45473</v>
      </c>
      <c r="G1458" t="inlineStr">
        <is>
          <t>213-2024-06-30</t>
        </is>
      </c>
      <c r="H1458" t="inlineStr">
        <is>
          <t>Programa de Gestión del Ahorro y Uso Eficiente de la Energía</t>
        </is>
      </c>
      <c r="I1458" t="n">
        <v>90</v>
      </c>
      <c r="J1458" t="n">
        <v>100</v>
      </c>
      <c r="AW1458" t="n">
        <v>18</v>
      </c>
      <c r="AX1458" t="n">
        <v>18</v>
      </c>
    </row>
    <row r="1459">
      <c r="A1459" t="n">
        <v>213</v>
      </c>
      <c r="B1459" t="inlineStr">
        <is>
          <t>Cumplimiento del Plan Anual del Sistema de Gestión Ambiental</t>
        </is>
      </c>
      <c r="C1459" t="inlineStr">
        <is>
          <t>GESTIÓN AMBIENTAL</t>
        </is>
      </c>
      <c r="D1459" t="inlineStr">
        <is>
          <t>Semestral</t>
        </is>
      </c>
      <c r="E1459" t="inlineStr">
        <is>
          <t>Positivo</t>
        </is>
      </c>
      <c r="F1459" s="105" t="n">
        <v>45473</v>
      </c>
      <c r="G1459" t="inlineStr">
        <is>
          <t>213-2024-06-30</t>
        </is>
      </c>
      <c r="H1459" t="inlineStr">
        <is>
          <t>Programa de Gestión de la Calidad, Ahorro y Uso Eficiente del Agua</t>
        </is>
      </c>
      <c r="I1459" t="n">
        <v>90</v>
      </c>
      <c r="J1459" t="n">
        <v>100</v>
      </c>
      <c r="AW1459" t="n">
        <v>26</v>
      </c>
      <c r="AX1459" t="n">
        <v>26</v>
      </c>
    </row>
    <row r="1460">
      <c r="A1460" t="n">
        <v>213</v>
      </c>
      <c r="B1460" t="inlineStr">
        <is>
          <t>Cumplimiento del Plan Anual del Sistema de Gestión Ambiental</t>
        </is>
      </c>
      <c r="C1460" t="inlineStr">
        <is>
          <t>GESTIÓN AMBIENTAL</t>
        </is>
      </c>
      <c r="D1460" t="inlineStr">
        <is>
          <t>Semestral</t>
        </is>
      </c>
      <c r="E1460" t="inlineStr">
        <is>
          <t>Positivo</t>
        </is>
      </c>
      <c r="F1460" s="105" t="n">
        <v>45473</v>
      </c>
      <c r="G1460" t="inlineStr">
        <is>
          <t>213-2024-06-30</t>
        </is>
      </c>
      <c r="H1460" t="inlineStr">
        <is>
          <t>Programa de Gestión del la Calidad del Aire,  Ruido Ambiental y Publicidad Exterior Visual</t>
        </is>
      </c>
      <c r="I1460" t="n">
        <v>90</v>
      </c>
      <c r="J1460" t="n">
        <v>100</v>
      </c>
      <c r="AW1460" t="n">
        <v>13</v>
      </c>
      <c r="AX1460" t="n">
        <v>13</v>
      </c>
    </row>
    <row r="1461">
      <c r="A1461" t="n">
        <v>213</v>
      </c>
      <c r="B1461" t="inlineStr">
        <is>
          <t>Cumplimiento del Plan Anual del Sistema de Gestión Ambiental</t>
        </is>
      </c>
      <c r="C1461" t="inlineStr">
        <is>
          <t>GESTIÓN AMBIENTAL</t>
        </is>
      </c>
      <c r="D1461" t="inlineStr">
        <is>
          <t>Semestral</t>
        </is>
      </c>
      <c r="E1461" t="inlineStr">
        <is>
          <t>Positivo</t>
        </is>
      </c>
      <c r="F1461" s="105" t="n">
        <v>45473</v>
      </c>
      <c r="G1461" t="inlineStr">
        <is>
          <t>213-2024-06-30</t>
        </is>
      </c>
      <c r="H1461" t="inlineStr">
        <is>
          <t>Programa de Gestión de Áreas Naturales</t>
        </is>
      </c>
      <c r="I1461" t="n">
        <v>90</v>
      </c>
      <c r="J1461" t="n">
        <v>100</v>
      </c>
      <c r="AW1461" t="n">
        <v>9</v>
      </c>
      <c r="AX1461" t="n">
        <v>9</v>
      </c>
    </row>
    <row r="1462">
      <c r="A1462" t="n">
        <v>213</v>
      </c>
      <c r="B1462" t="inlineStr">
        <is>
          <t>Cumplimiento del Plan Anual del Sistema de Gestión Ambiental</t>
        </is>
      </c>
      <c r="C1462" t="inlineStr">
        <is>
          <t>GESTIÓN AMBIENTAL</t>
        </is>
      </c>
      <c r="D1462" t="inlineStr">
        <is>
          <t>Semestral</t>
        </is>
      </c>
      <c r="E1462" t="inlineStr">
        <is>
          <t>Positivo</t>
        </is>
      </c>
      <c r="F1462" s="105" t="n">
        <v>45473</v>
      </c>
      <c r="G1462" t="inlineStr">
        <is>
          <t>213-2024-06-30</t>
        </is>
      </c>
      <c r="H1462" t="inlineStr">
        <is>
          <t>Programa de Gestión de la Medición y Compensación de Gases de Efecto Invernadero</t>
        </is>
      </c>
      <c r="I1462" t="n">
        <v>90</v>
      </c>
      <c r="J1462" t="n">
        <v>100</v>
      </c>
      <c r="AW1462" t="n">
        <v>2</v>
      </c>
      <c r="AX1462" t="n">
        <v>2</v>
      </c>
    </row>
    <row r="1463">
      <c r="A1463" t="n">
        <v>213</v>
      </c>
      <c r="B1463" t="inlineStr">
        <is>
          <t>Cumplimiento del Plan Anual del Sistema de Gestión Ambiental</t>
        </is>
      </c>
      <c r="C1463" t="inlineStr">
        <is>
          <t>GESTIÓN AMBIENTAL</t>
        </is>
      </c>
      <c r="D1463" t="inlineStr">
        <is>
          <t>Semestral</t>
        </is>
      </c>
      <c r="E1463" t="inlineStr">
        <is>
          <t>Positivo</t>
        </is>
      </c>
      <c r="F1463" s="105" t="n">
        <v>45473</v>
      </c>
      <c r="G1463" t="inlineStr">
        <is>
          <t>213-2024-06-30</t>
        </is>
      </c>
      <c r="H1463" t="inlineStr">
        <is>
          <t>Actividades de Gestión</t>
        </is>
      </c>
      <c r="I1463" t="n">
        <v>90</v>
      </c>
      <c r="J1463" t="n">
        <v>100</v>
      </c>
      <c r="AW1463" t="n">
        <v>13</v>
      </c>
      <c r="AX1463" t="n">
        <v>13</v>
      </c>
    </row>
    <row r="1464">
      <c r="A1464" t="n">
        <v>213</v>
      </c>
      <c r="B1464" t="inlineStr">
        <is>
          <t>Cumplimiento del Plan Anual del Sistema de Gestión Ambiental</t>
        </is>
      </c>
      <c r="C1464" t="inlineStr">
        <is>
          <t>GESTIÓN AMBIENTAL</t>
        </is>
      </c>
      <c r="D1464" t="inlineStr">
        <is>
          <t>Semestral</t>
        </is>
      </c>
      <c r="E1464" t="inlineStr">
        <is>
          <t>Positivo</t>
        </is>
      </c>
      <c r="F1464" s="105" t="n">
        <v>45473</v>
      </c>
      <c r="G1464" t="inlineStr">
        <is>
          <t>213-2024-06-30</t>
        </is>
      </c>
      <c r="H1464" t="inlineStr">
        <is>
          <t>Programa Gestión de la Educación y Comunicación Ambiental</t>
        </is>
      </c>
      <c r="I1464" t="n">
        <v>90</v>
      </c>
      <c r="J1464" t="n">
        <v>100</v>
      </c>
      <c r="AW1464" t="n">
        <v>45</v>
      </c>
      <c r="AX1464" t="n">
        <v>45</v>
      </c>
    </row>
    <row r="1465">
      <c r="A1465" t="n">
        <v>238</v>
      </c>
      <c r="B1465" t="inlineStr">
        <is>
          <t>Cumplimiento de la Protección del Medio Ambiente</t>
        </is>
      </c>
      <c r="C1465" t="inlineStr">
        <is>
          <t>GESTIÓN AMBIENTAL</t>
        </is>
      </c>
      <c r="D1465" t="inlineStr">
        <is>
          <t>Semestral</t>
        </is>
      </c>
      <c r="E1465" t="inlineStr">
        <is>
          <t>Positivo</t>
        </is>
      </c>
      <c r="F1465" s="105" t="n">
        <v>45473</v>
      </c>
      <c r="G1465" t="inlineStr">
        <is>
          <t>238-2024-06-30</t>
        </is>
      </c>
      <c r="H1465" t="inlineStr">
        <is>
          <t>Cumplimiento del Plan Anual del SGA</t>
        </is>
      </c>
      <c r="I1465" t="n">
        <v>90</v>
      </c>
      <c r="J1465" t="n">
        <v>100</v>
      </c>
      <c r="AY1465" t="n">
        <v>1</v>
      </c>
      <c r="AZ1465" t="n">
        <v>1</v>
      </c>
    </row>
    <row r="1466">
      <c r="A1466" t="n">
        <v>238</v>
      </c>
      <c r="B1466" t="inlineStr">
        <is>
          <t>Cumplimiento de la Protección del Medio Ambiente</t>
        </is>
      </c>
      <c r="C1466" t="inlineStr">
        <is>
          <t>GESTIÓN AMBIENTAL</t>
        </is>
      </c>
      <c r="D1466" t="inlineStr">
        <is>
          <t>Semestral</t>
        </is>
      </c>
      <c r="E1466" t="inlineStr">
        <is>
          <t>Positivo</t>
        </is>
      </c>
      <c r="F1466" s="105" t="n">
        <v>45473</v>
      </c>
      <c r="G1466" t="inlineStr">
        <is>
          <t>238-2024-06-30</t>
        </is>
      </c>
      <c r="H1466" t="inlineStr">
        <is>
          <t>Cumplimiento Gestión del Ahorro y Uso Eficiente de Energía</t>
        </is>
      </c>
      <c r="I1466" t="n">
        <v>90</v>
      </c>
      <c r="J1466" t="n">
        <v>100</v>
      </c>
      <c r="AY1466" t="n">
        <v>5</v>
      </c>
      <c r="AZ1466" t="n">
        <v>5</v>
      </c>
    </row>
    <row r="1467">
      <c r="A1467" t="n">
        <v>238</v>
      </c>
      <c r="B1467" t="inlineStr">
        <is>
          <t>Cumplimiento de la Protección del Medio Ambiente</t>
        </is>
      </c>
      <c r="C1467" t="inlineStr">
        <is>
          <t>GESTIÓN AMBIENTAL</t>
        </is>
      </c>
      <c r="D1467" t="inlineStr">
        <is>
          <t>Semestral</t>
        </is>
      </c>
      <c r="E1467" t="inlineStr">
        <is>
          <t>Positivo</t>
        </is>
      </c>
      <c r="F1467" s="105" t="n">
        <v>45473</v>
      </c>
      <c r="G1467" t="inlineStr">
        <is>
          <t>238-2024-06-30</t>
        </is>
      </c>
      <c r="H1467" t="inlineStr">
        <is>
          <t>Cumplimiento Gestión de la Calidad, Ahorro y Uso Eficiente del Agua</t>
        </is>
      </c>
      <c r="I1467" t="n">
        <v>90</v>
      </c>
      <c r="J1467" t="n">
        <v>80</v>
      </c>
      <c r="AY1467" t="n">
        <v>4</v>
      </c>
      <c r="AZ1467" t="n">
        <v>5</v>
      </c>
    </row>
    <row r="1468">
      <c r="A1468" t="n">
        <v>238</v>
      </c>
      <c r="B1468" t="inlineStr">
        <is>
          <t>Cumplimiento de la Protección del Medio Ambiente</t>
        </is>
      </c>
      <c r="C1468" t="inlineStr">
        <is>
          <t>GESTIÓN AMBIENTAL</t>
        </is>
      </c>
      <c r="D1468" t="inlineStr">
        <is>
          <t>Semestral</t>
        </is>
      </c>
      <c r="E1468" t="inlineStr">
        <is>
          <t>Positivo</t>
        </is>
      </c>
      <c r="F1468" s="105" t="n">
        <v>45473</v>
      </c>
      <c r="G1468" t="inlineStr">
        <is>
          <t>238-2024-06-30</t>
        </is>
      </c>
      <c r="H1468" t="inlineStr">
        <is>
          <t>Cumplimiento Gestión del la Calidad del Aire,  Ruido Ambiental y Publicidad Exterior Visual</t>
        </is>
      </c>
      <c r="I1468" t="n">
        <v>90</v>
      </c>
      <c r="J1468" t="n">
        <v>0</v>
      </c>
      <c r="AY1468" t="n">
        <v>0</v>
      </c>
      <c r="AZ1468" t="n">
        <v>0</v>
      </c>
    </row>
    <row r="1469">
      <c r="A1469" t="n">
        <v>238</v>
      </c>
      <c r="B1469" t="inlineStr">
        <is>
          <t>Cumplimiento de la Protección del Medio Ambiente</t>
        </is>
      </c>
      <c r="C1469" t="inlineStr">
        <is>
          <t>GESTIÓN AMBIENTAL</t>
        </is>
      </c>
      <c r="D1469" t="inlineStr">
        <is>
          <t>Semestral</t>
        </is>
      </c>
      <c r="E1469" t="inlineStr">
        <is>
          <t>Positivo</t>
        </is>
      </c>
      <c r="F1469" s="105" t="n">
        <v>45473</v>
      </c>
      <c r="G1469" t="inlineStr">
        <is>
          <t>238-2024-06-30</t>
        </is>
      </c>
      <c r="H1469" t="inlineStr">
        <is>
          <t>Cumplimiento Gestión de la Medición y Compensación de GEI</t>
        </is>
      </c>
      <c r="I1469" t="n">
        <v>90</v>
      </c>
      <c r="J1469" t="n">
        <v>0</v>
      </c>
      <c r="AY1469" t="n">
        <v>0</v>
      </c>
      <c r="AZ1469" t="n">
        <v>0</v>
      </c>
    </row>
    <row r="1470">
      <c r="A1470" t="n">
        <v>238</v>
      </c>
      <c r="B1470" t="inlineStr">
        <is>
          <t>Cumplimiento de la Protección del Medio Ambiente</t>
        </is>
      </c>
      <c r="C1470" t="inlineStr">
        <is>
          <t>GESTIÓN AMBIENTAL</t>
        </is>
      </c>
      <c r="D1470" t="inlineStr">
        <is>
          <t>Semestral</t>
        </is>
      </c>
      <c r="E1470" t="inlineStr">
        <is>
          <t>Positivo</t>
        </is>
      </c>
      <c r="F1470" s="105" t="n">
        <v>45473</v>
      </c>
      <c r="G1470" t="inlineStr">
        <is>
          <t>238-2024-06-30</t>
        </is>
      </c>
      <c r="H1470" t="inlineStr">
        <is>
          <t>Cumplimiento Gestión de Áreas Naturales</t>
        </is>
      </c>
      <c r="I1470" t="n">
        <v>90</v>
      </c>
      <c r="J1470" t="n">
        <v>100</v>
      </c>
      <c r="AY1470" t="n">
        <v>3</v>
      </c>
      <c r="AZ1470" t="n">
        <v>3</v>
      </c>
    </row>
    <row r="1471">
      <c r="A1471" t="n">
        <v>238</v>
      </c>
      <c r="B1471" t="inlineStr">
        <is>
          <t>Cumplimiento de la Protección del Medio Ambiente</t>
        </is>
      </c>
      <c r="C1471" t="inlineStr">
        <is>
          <t>GESTIÓN AMBIENTAL</t>
        </is>
      </c>
      <c r="D1471" t="inlineStr">
        <is>
          <t>Semestral</t>
        </is>
      </c>
      <c r="E1471" t="inlineStr">
        <is>
          <t>Positivo</t>
        </is>
      </c>
      <c r="F1471" s="105" t="n">
        <v>45473</v>
      </c>
      <c r="G1471" t="inlineStr">
        <is>
          <t>238-2024-06-30</t>
        </is>
      </c>
      <c r="H1471" t="inlineStr">
        <is>
          <t>Cumplimiento Gestión Integral de Residuos</t>
        </is>
      </c>
      <c r="I1471" t="n">
        <v>90</v>
      </c>
      <c r="J1471" t="n">
        <v>53.84999847412109</v>
      </c>
      <c r="AY1471" t="n">
        <v>7</v>
      </c>
      <c r="AZ1471" t="n">
        <v>13</v>
      </c>
    </row>
    <row r="1472">
      <c r="A1472" t="n">
        <v>238</v>
      </c>
      <c r="B1472" t="inlineStr">
        <is>
          <t>Cumplimiento de la Protección del Medio Ambiente</t>
        </is>
      </c>
      <c r="C1472" t="inlineStr">
        <is>
          <t>GESTIÓN AMBIENTAL</t>
        </is>
      </c>
      <c r="D1472" t="inlineStr">
        <is>
          <t>Semestral</t>
        </is>
      </c>
      <c r="E1472" t="inlineStr">
        <is>
          <t>Positivo</t>
        </is>
      </c>
      <c r="F1472" s="105" t="n">
        <v>45473</v>
      </c>
      <c r="G1472" t="inlineStr">
        <is>
          <t>238-2024-06-30</t>
        </is>
      </c>
      <c r="H1472" t="inlineStr">
        <is>
          <t>Cumplimiento Gestión de la Educación y Comunicación Ambiental</t>
        </is>
      </c>
      <c r="I1472" t="n">
        <v>90</v>
      </c>
      <c r="J1472" t="n">
        <v>100</v>
      </c>
      <c r="AY1472" t="n">
        <v>5</v>
      </c>
      <c r="AZ1472" t="n">
        <v>5</v>
      </c>
    </row>
    <row r="1473">
      <c r="A1473" t="n">
        <v>306</v>
      </c>
      <c r="B1473" t="inlineStr">
        <is>
          <t>Seguimiento KPI Plan de Desarrollo Institucional</t>
        </is>
      </c>
      <c r="C1473" t="inlineStr">
        <is>
          <t>Desempeño Institucional</t>
        </is>
      </c>
      <c r="D1473" t="inlineStr">
        <is>
          <t>Semestral</t>
        </is>
      </c>
      <c r="E1473" t="inlineStr">
        <is>
          <t>Positivo</t>
        </is>
      </c>
      <c r="F1473" s="105" t="n">
        <v>45473</v>
      </c>
      <c r="G1473" t="inlineStr">
        <is>
          <t>306-2024-06-30</t>
        </is>
      </c>
      <c r="H1473" t="inlineStr">
        <is>
          <t>Educación para toda la vida</t>
        </is>
      </c>
      <c r="I1473" t="n">
        <v>100</v>
      </c>
      <c r="J1473" t="n">
        <v>103</v>
      </c>
      <c r="BY1473" t="n">
        <v>103</v>
      </c>
    </row>
    <row r="1474">
      <c r="A1474" t="n">
        <v>373</v>
      </c>
      <c r="B1474" t="inlineStr">
        <is>
          <t>Cumplimiento de planes anuales por líneas</t>
        </is>
      </c>
      <c r="C1474" t="inlineStr">
        <is>
          <t>Planeación Estratégica</t>
        </is>
      </c>
      <c r="D1474" t="inlineStr">
        <is>
          <t>Semestral</t>
        </is>
      </c>
      <c r="E1474" t="inlineStr">
        <is>
          <t>Positivo</t>
        </is>
      </c>
      <c r="F1474" s="105" t="n">
        <v>45473</v>
      </c>
      <c r="G1474" t="inlineStr">
        <is>
          <t>373-2024-06-30</t>
        </is>
      </c>
      <c r="H1474" t="inlineStr">
        <is>
          <t>Sostenibilidad</t>
        </is>
      </c>
      <c r="I1474" t="n">
        <v>100</v>
      </c>
      <c r="J1474" t="n">
        <v>101.6100006103516</v>
      </c>
      <c r="BZ1474" t="n">
        <v>63</v>
      </c>
      <c r="CA1474" t="n">
        <v>62</v>
      </c>
    </row>
    <row r="1475">
      <c r="A1475" t="n">
        <v>390</v>
      </c>
      <c r="B1475" t="inlineStr">
        <is>
          <t>Cumplimiento Plan Anual por escuela</t>
        </is>
      </c>
      <c r="C1475" t="inlineStr">
        <is>
          <t>Planeación Estratégica</t>
        </is>
      </c>
      <c r="D1475" t="inlineStr">
        <is>
          <t>Semestral</t>
        </is>
      </c>
      <c r="E1475" t="inlineStr">
        <is>
          <t>Positivo</t>
        </is>
      </c>
      <c r="F1475" s="105" t="n">
        <v>45473</v>
      </c>
      <c r="G1475" t="inlineStr">
        <is>
          <t>390-2024-06-30</t>
        </is>
      </c>
      <c r="H1475" t="inlineStr">
        <is>
          <t>ESCUELA DE PSIC, TALENTO HUM Y SOC</t>
        </is>
      </c>
      <c r="I1475" t="n">
        <v>100</v>
      </c>
      <c r="J1475" t="n">
        <v>121.4000015258789</v>
      </c>
      <c r="CB1475" t="n">
        <v>44.65</v>
      </c>
      <c r="CC1475" t="n">
        <v>36.78</v>
      </c>
    </row>
    <row r="1476">
      <c r="A1476" t="n">
        <v>409</v>
      </c>
      <c r="B1476" t="inlineStr">
        <is>
          <t>Oportunidad en tiempo de envios</t>
        </is>
      </c>
      <c r="C1476" t="inlineStr">
        <is>
          <t>GESTIÓN JURÍDICA Y NORMATIVA</t>
        </is>
      </c>
      <c r="D1476" t="inlineStr">
        <is>
          <t>Semestral</t>
        </is>
      </c>
      <c r="E1476" t="inlineStr">
        <is>
          <t>Positivo</t>
        </is>
      </c>
      <c r="F1476" s="105" t="n">
        <v>45473</v>
      </c>
      <c r="G1476" t="inlineStr">
        <is>
          <t>409-2024-06-30</t>
        </is>
      </c>
      <c r="H1476" t="inlineStr">
        <is>
          <t>Diplomas</t>
        </is>
      </c>
      <c r="I1476" t="n">
        <v>95</v>
      </c>
      <c r="J1476" t="n">
        <v>97.08999633789062</v>
      </c>
      <c r="CQ1476" t="n">
        <v>267</v>
      </c>
      <c r="CR1476" t="n">
        <v>275</v>
      </c>
    </row>
    <row r="1477">
      <c r="A1477" t="n">
        <v>409</v>
      </c>
      <c r="B1477" t="inlineStr">
        <is>
          <t>Oportunidad en tiempo de envios</t>
        </is>
      </c>
      <c r="C1477" t="inlineStr">
        <is>
          <t>GESTIÓN JURÍDICA Y NORMATIVA</t>
        </is>
      </c>
      <c r="D1477" t="inlineStr">
        <is>
          <t>Semestral</t>
        </is>
      </c>
      <c r="E1477" t="inlineStr">
        <is>
          <t>Positivo</t>
        </is>
      </c>
      <c r="F1477" s="105" t="n">
        <v>45473</v>
      </c>
      <c r="G1477" t="inlineStr">
        <is>
          <t>409-2024-06-30</t>
        </is>
      </c>
      <c r="H1477" t="inlineStr">
        <is>
          <t>Otro Material</t>
        </is>
      </c>
      <c r="I1477" t="n">
        <v>95</v>
      </c>
      <c r="J1477" t="n">
        <v>100</v>
      </c>
      <c r="CQ1477" t="n">
        <v>257</v>
      </c>
      <c r="CR1477" t="n">
        <v>257</v>
      </c>
    </row>
    <row r="1478">
      <c r="A1478" t="n">
        <v>414</v>
      </c>
      <c r="B1478" t="inlineStr">
        <is>
          <t>Cumplimiento Plan Anual Rectoría</t>
        </is>
      </c>
      <c r="C1478" t="inlineStr">
        <is>
          <t>Planeación Estratégica</t>
        </is>
      </c>
      <c r="D1478" t="inlineStr">
        <is>
          <t>Semestral</t>
        </is>
      </c>
      <c r="E1478" t="inlineStr">
        <is>
          <t>Positivo</t>
        </is>
      </c>
      <c r="F1478" s="105" t="n">
        <v>45473</v>
      </c>
      <c r="G1478" t="inlineStr">
        <is>
          <t>414-2024-06-30</t>
        </is>
      </c>
      <c r="H1478" t="inlineStr">
        <is>
          <t>Vicerrectoría académica</t>
        </is>
      </c>
      <c r="I1478" t="n">
        <v>100</v>
      </c>
      <c r="J1478" t="n">
        <v>97.80999755859375</v>
      </c>
      <c r="CD1478" t="n">
        <v>80</v>
      </c>
      <c r="CE1478" t="n">
        <v>81.79000000000001</v>
      </c>
    </row>
    <row r="1479">
      <c r="A1479" t="n">
        <v>414</v>
      </c>
      <c r="B1479" t="inlineStr">
        <is>
          <t>Cumplimiento Plan Anual Rectoría</t>
        </is>
      </c>
      <c r="C1479" t="inlineStr">
        <is>
          <t>Planeación Estratégica</t>
        </is>
      </c>
      <c r="D1479" t="inlineStr">
        <is>
          <t>Semestral</t>
        </is>
      </c>
      <c r="E1479" t="inlineStr">
        <is>
          <t>Positivo</t>
        </is>
      </c>
      <c r="F1479" s="105" t="n">
        <v>45473</v>
      </c>
      <c r="G1479" t="inlineStr">
        <is>
          <t>414-2024-06-30</t>
        </is>
      </c>
      <c r="H1479" t="inlineStr">
        <is>
          <t>Vicerrectoría de crecimiento</t>
        </is>
      </c>
      <c r="I1479" t="n">
        <v>100</v>
      </c>
      <c r="J1479" t="n">
        <v>103.7799987792969</v>
      </c>
      <c r="CD1479" t="n">
        <v>42.33</v>
      </c>
      <c r="CE1479" t="n">
        <v>40.79</v>
      </c>
    </row>
    <row r="1480">
      <c r="A1480" t="n">
        <v>414</v>
      </c>
      <c r="B1480" t="inlineStr">
        <is>
          <t>Cumplimiento Plan Anual Rectoría</t>
        </is>
      </c>
      <c r="C1480" t="inlineStr">
        <is>
          <t>Planeación Estratégica</t>
        </is>
      </c>
      <c r="D1480" t="inlineStr">
        <is>
          <t>Semestral</t>
        </is>
      </c>
      <c r="E1480" t="inlineStr">
        <is>
          <t>Positivo</t>
        </is>
      </c>
      <c r="F1480" s="105" t="n">
        <v>45473</v>
      </c>
      <c r="G1480" t="inlineStr">
        <is>
          <t>414-2024-06-30</t>
        </is>
      </c>
      <c r="H1480" t="inlineStr">
        <is>
          <t>Gerencia sede Medellín</t>
        </is>
      </c>
      <c r="I1480" t="n">
        <v>100</v>
      </c>
      <c r="J1480" t="n">
        <v>95.26999664306641</v>
      </c>
      <c r="CD1480" t="n">
        <v>62.83</v>
      </c>
      <c r="CE1480" t="n">
        <v>65.95</v>
      </c>
    </row>
    <row r="1481">
      <c r="A1481" t="n">
        <v>414</v>
      </c>
      <c r="B1481" t="inlineStr">
        <is>
          <t>Cumplimiento Plan Anual Rectoría</t>
        </is>
      </c>
      <c r="C1481" t="inlineStr">
        <is>
          <t>Planeación Estratégica</t>
        </is>
      </c>
      <c r="D1481" t="inlineStr">
        <is>
          <t>Semestral</t>
        </is>
      </c>
      <c r="E1481" t="inlineStr">
        <is>
          <t>Positivo</t>
        </is>
      </c>
      <c r="F1481" s="105" t="n">
        <v>45473</v>
      </c>
      <c r="G1481" t="inlineStr">
        <is>
          <t>414-2024-06-30</t>
        </is>
      </c>
      <c r="H1481" t="inlineStr">
        <is>
          <t>Secretaria general</t>
        </is>
      </c>
      <c r="I1481" t="n">
        <v>100</v>
      </c>
      <c r="J1481" t="n">
        <v>107.9700012207031</v>
      </c>
      <c r="CD1481" t="n">
        <v>85.56999999999999</v>
      </c>
      <c r="CE1481" t="n">
        <v>79.25</v>
      </c>
    </row>
    <row r="1482">
      <c r="A1482" t="n">
        <v>414</v>
      </c>
      <c r="B1482" t="inlineStr">
        <is>
          <t>Cumplimiento Plan Anual Rectoría</t>
        </is>
      </c>
      <c r="C1482" t="inlineStr">
        <is>
          <t>Planeación Estratégica</t>
        </is>
      </c>
      <c r="D1482" t="inlineStr">
        <is>
          <t>Semestral</t>
        </is>
      </c>
      <c r="E1482" t="inlineStr">
        <is>
          <t>Positivo</t>
        </is>
      </c>
      <c r="F1482" s="105" t="n">
        <v>45473</v>
      </c>
      <c r="G1482" t="inlineStr">
        <is>
          <t>414-2024-06-30</t>
        </is>
      </c>
      <c r="H1482" t="inlineStr">
        <is>
          <t>Gerencia de estrategia</t>
        </is>
      </c>
      <c r="I1482" t="n">
        <v>100</v>
      </c>
      <c r="J1482" t="n">
        <v>99.69999694824219</v>
      </c>
      <c r="CD1482" t="n">
        <v>65.63</v>
      </c>
      <c r="CE1482" t="n">
        <v>65.83</v>
      </c>
    </row>
    <row r="1483">
      <c r="A1483" t="n">
        <v>414</v>
      </c>
      <c r="B1483" t="inlineStr">
        <is>
          <t>Cumplimiento Plan Anual Rectoría</t>
        </is>
      </c>
      <c r="C1483" t="inlineStr">
        <is>
          <t>Planeación Estratégica</t>
        </is>
      </c>
      <c r="D1483" t="inlineStr">
        <is>
          <t>Semestral</t>
        </is>
      </c>
      <c r="E1483" t="inlineStr">
        <is>
          <t>Positivo</t>
        </is>
      </c>
      <c r="F1483" s="105" t="n">
        <v>45473</v>
      </c>
      <c r="G1483" t="inlineStr">
        <is>
          <t>414-2024-06-30</t>
        </is>
      </c>
      <c r="H1483" t="inlineStr">
        <is>
          <t>Vicerrectoría del estudiante</t>
        </is>
      </c>
      <c r="I1483" t="n">
        <v>100</v>
      </c>
      <c r="J1483" t="n">
        <v>95.40000152587891</v>
      </c>
      <c r="CD1483" t="n">
        <v>88</v>
      </c>
      <c r="CE1483" t="n">
        <v>92.23999999999999</v>
      </c>
    </row>
    <row r="1484">
      <c r="A1484" t="n">
        <v>414</v>
      </c>
      <c r="B1484" t="inlineStr">
        <is>
          <t>Cumplimiento Plan Anual Rectoría</t>
        </is>
      </c>
      <c r="C1484" t="inlineStr">
        <is>
          <t>Planeación Estratégica</t>
        </is>
      </c>
      <c r="D1484" t="inlineStr">
        <is>
          <t>Semestral</t>
        </is>
      </c>
      <c r="E1484" t="inlineStr">
        <is>
          <t>Positivo</t>
        </is>
      </c>
      <c r="F1484" s="105" t="n">
        <v>45473</v>
      </c>
      <c r="G1484" t="inlineStr">
        <is>
          <t>414-2024-06-30</t>
        </is>
      </c>
      <c r="H1484" t="inlineStr">
        <is>
          <t>Vicerrectoría financiera</t>
        </is>
      </c>
      <c r="I1484" t="n">
        <v>100</v>
      </c>
      <c r="J1484" t="n">
        <v>93.25</v>
      </c>
      <c r="CD1484" t="n">
        <v>48.34</v>
      </c>
      <c r="CE1484" t="n">
        <v>51.84</v>
      </c>
    </row>
    <row r="1485">
      <c r="A1485" t="n">
        <v>414</v>
      </c>
      <c r="B1485" t="inlineStr">
        <is>
          <t>Cumplimiento Plan Anual Rectoría</t>
        </is>
      </c>
      <c r="C1485" t="inlineStr">
        <is>
          <t>Planeación Estratégica</t>
        </is>
      </c>
      <c r="D1485" t="inlineStr">
        <is>
          <t>Semestral</t>
        </is>
      </c>
      <c r="E1485" t="inlineStr">
        <is>
          <t>Positivo</t>
        </is>
      </c>
      <c r="F1485" s="105" t="n">
        <v>45473</v>
      </c>
      <c r="G1485" t="inlineStr">
        <is>
          <t>414-2024-06-30</t>
        </is>
      </c>
      <c r="H1485" t="inlineStr">
        <is>
          <t>Gerencia de  talento humano y desarrollo</t>
        </is>
      </c>
      <c r="I1485" t="n">
        <v>100</v>
      </c>
      <c r="J1485" t="n">
        <v>121.1699981689453</v>
      </c>
      <c r="CD1485" t="n">
        <v>62.5</v>
      </c>
      <c r="CE1485" t="n">
        <v>51.58</v>
      </c>
    </row>
    <row r="1486">
      <c r="A1486" t="n">
        <v>414</v>
      </c>
      <c r="B1486" t="inlineStr">
        <is>
          <t>Cumplimiento Plan Anual Rectoría</t>
        </is>
      </c>
      <c r="C1486" t="inlineStr">
        <is>
          <t>Planeación Estratégica</t>
        </is>
      </c>
      <c r="D1486" t="inlineStr">
        <is>
          <t>Semestral</t>
        </is>
      </c>
      <c r="E1486" t="inlineStr">
        <is>
          <t>Positivo</t>
        </is>
      </c>
      <c r="F1486" s="105" t="n">
        <v>45473</v>
      </c>
      <c r="G1486" t="inlineStr">
        <is>
          <t>414-2024-06-30</t>
        </is>
      </c>
      <c r="H1486" t="inlineStr">
        <is>
          <t>Gerencia de educación virtual</t>
        </is>
      </c>
      <c r="I1486" t="n">
        <v>100</v>
      </c>
      <c r="J1486" t="n">
        <v>86.22000122070312</v>
      </c>
      <c r="CD1486" t="n">
        <v>45</v>
      </c>
      <c r="CE1486" t="n">
        <v>52.19</v>
      </c>
    </row>
    <row r="1487">
      <c r="A1487" t="n">
        <v>415</v>
      </c>
      <c r="B1487" t="inlineStr">
        <is>
          <t>Cumplimiento Plan Anual Vicerrectoría del estudiante</t>
        </is>
      </c>
      <c r="C1487" t="inlineStr">
        <is>
          <t>Planeación Estratégica</t>
        </is>
      </c>
      <c r="D1487" t="inlineStr">
        <is>
          <t>Semestral</t>
        </is>
      </c>
      <c r="E1487" t="inlineStr">
        <is>
          <t>Positivo</t>
        </is>
      </c>
      <c r="F1487" s="105" t="n">
        <v>45473</v>
      </c>
      <c r="G1487" t="inlineStr">
        <is>
          <t>415-2024-06-30</t>
        </is>
      </c>
      <c r="H1487" t="inlineStr">
        <is>
          <t>Gerente de innovación y producto</t>
        </is>
      </c>
      <c r="I1487" t="n">
        <v>100</v>
      </c>
      <c r="J1487" t="n">
        <v>90.41999816894531</v>
      </c>
      <c r="CF1487" t="n">
        <v>48.5</v>
      </c>
      <c r="CG1487" t="n">
        <v>53.64</v>
      </c>
    </row>
    <row r="1488">
      <c r="A1488" t="n">
        <v>415</v>
      </c>
      <c r="B1488" t="inlineStr">
        <is>
          <t>Cumplimiento Plan Anual Vicerrectoría del estudiante</t>
        </is>
      </c>
      <c r="C1488" t="inlineStr">
        <is>
          <t>Planeación Estratégica</t>
        </is>
      </c>
      <c r="D1488" t="inlineStr">
        <is>
          <t>Semestral</t>
        </is>
      </c>
      <c r="E1488" t="inlineStr">
        <is>
          <t>Positivo</t>
        </is>
      </c>
      <c r="F1488" s="105" t="n">
        <v>45473</v>
      </c>
      <c r="G1488" t="inlineStr">
        <is>
          <t>415-2024-06-30</t>
        </is>
      </c>
      <c r="H1488" t="inlineStr">
        <is>
          <t>BI y analítica</t>
        </is>
      </c>
      <c r="I1488" t="n">
        <v>100</v>
      </c>
      <c r="J1488" t="n">
        <v>74.56999969482422</v>
      </c>
      <c r="CF1488" t="n">
        <v>40</v>
      </c>
      <c r="CG1488" t="n">
        <v>53.64</v>
      </c>
    </row>
    <row r="1489">
      <c r="A1489" t="n">
        <v>415</v>
      </c>
      <c r="B1489" t="inlineStr">
        <is>
          <t>Cumplimiento Plan Anual Vicerrectoría del estudiante</t>
        </is>
      </c>
      <c r="C1489" t="inlineStr">
        <is>
          <t>Planeación Estratégica</t>
        </is>
      </c>
      <c r="D1489" t="inlineStr">
        <is>
          <t>Semestral</t>
        </is>
      </c>
      <c r="E1489" t="inlineStr">
        <is>
          <t>Positivo</t>
        </is>
      </c>
      <c r="F1489" s="105" t="n">
        <v>45473</v>
      </c>
      <c r="G1489" t="inlineStr">
        <is>
          <t>415-2024-06-30</t>
        </is>
      </c>
      <c r="H1489" t="inlineStr">
        <is>
          <t>Gerencia de operaciones</t>
        </is>
      </c>
      <c r="I1489" t="n">
        <v>100</v>
      </c>
      <c r="J1489" t="n">
        <v>83.45999908447266</v>
      </c>
      <c r="CF1489" t="n">
        <v>65.67</v>
      </c>
      <c r="CG1489" t="n">
        <v>78.68000000000001</v>
      </c>
    </row>
    <row r="1490">
      <c r="A1490" t="n">
        <v>415</v>
      </c>
      <c r="B1490" t="inlineStr">
        <is>
          <t>Cumplimiento Plan Anual Vicerrectoría del estudiante</t>
        </is>
      </c>
      <c r="C1490" t="inlineStr">
        <is>
          <t>Planeación Estratégica</t>
        </is>
      </c>
      <c r="D1490" t="inlineStr">
        <is>
          <t>Semestral</t>
        </is>
      </c>
      <c r="E1490" t="inlineStr">
        <is>
          <t>Positivo</t>
        </is>
      </c>
      <c r="F1490" s="105" t="n">
        <v>45473</v>
      </c>
      <c r="G1490" t="inlineStr">
        <is>
          <t>415-2024-06-30</t>
        </is>
      </c>
      <c r="H1490" t="inlineStr">
        <is>
          <t>Dirección nacional de registro y control</t>
        </is>
      </c>
      <c r="I1490" t="n">
        <v>100</v>
      </c>
      <c r="J1490" t="n">
        <v>121.8300018310547</v>
      </c>
      <c r="CF1490" t="n">
        <v>43.92</v>
      </c>
      <c r="CG1490" t="n">
        <v>36.05</v>
      </c>
    </row>
    <row r="1491">
      <c r="A1491" t="n">
        <v>415</v>
      </c>
      <c r="B1491" t="inlineStr">
        <is>
          <t>Cumplimiento Plan Anual Vicerrectoría del estudiante</t>
        </is>
      </c>
      <c r="C1491" t="inlineStr">
        <is>
          <t>Planeación Estratégica</t>
        </is>
      </c>
      <c r="D1491" t="inlineStr">
        <is>
          <t>Semestral</t>
        </is>
      </c>
      <c r="E1491" t="inlineStr">
        <is>
          <t>Positivo</t>
        </is>
      </c>
      <c r="F1491" s="105" t="n">
        <v>45473</v>
      </c>
      <c r="G1491" t="inlineStr">
        <is>
          <t>415-2024-06-30</t>
        </is>
      </c>
      <c r="H1491" t="inlineStr">
        <is>
          <t>Gerencia de servicio y permanencia</t>
        </is>
      </c>
      <c r="I1491" t="n">
        <v>100</v>
      </c>
      <c r="J1491" t="n">
        <v>85.87999725341797</v>
      </c>
      <c r="CF1491" t="n">
        <v>68.59999999999999</v>
      </c>
      <c r="CG1491" t="n">
        <v>79.88</v>
      </c>
    </row>
    <row r="1492">
      <c r="A1492" t="n">
        <v>415</v>
      </c>
      <c r="B1492" t="inlineStr">
        <is>
          <t>Cumplimiento Plan Anual Vicerrectoría del estudiante</t>
        </is>
      </c>
      <c r="C1492" t="inlineStr">
        <is>
          <t>Planeación Estratégica</t>
        </is>
      </c>
      <c r="D1492" t="inlineStr">
        <is>
          <t>Semestral</t>
        </is>
      </c>
      <c r="E1492" t="inlineStr">
        <is>
          <t>Positivo</t>
        </is>
      </c>
      <c r="F1492" s="105" t="n">
        <v>45473</v>
      </c>
      <c r="G1492" t="inlineStr">
        <is>
          <t>415-2024-06-30</t>
        </is>
      </c>
      <c r="H1492" t="inlineStr">
        <is>
          <t>Director de gobierno digital</t>
        </is>
      </c>
      <c r="I1492" t="n">
        <v>100</v>
      </c>
      <c r="J1492" t="n">
        <v>123.0899963378906</v>
      </c>
      <c r="CF1492" t="n">
        <v>57.83</v>
      </c>
      <c r="CG1492" t="n">
        <v>46.98</v>
      </c>
    </row>
    <row r="1493">
      <c r="A1493" t="n">
        <v>415</v>
      </c>
      <c r="B1493" t="inlineStr">
        <is>
          <t>Cumplimiento Plan Anual Vicerrectoría del estudiante</t>
        </is>
      </c>
      <c r="C1493" t="inlineStr">
        <is>
          <t>Planeación Estratégica</t>
        </is>
      </c>
      <c r="D1493" t="inlineStr">
        <is>
          <t>Semestral</t>
        </is>
      </c>
      <c r="E1493" t="inlineStr">
        <is>
          <t>Positivo</t>
        </is>
      </c>
      <c r="F1493" s="105" t="n">
        <v>45473</v>
      </c>
      <c r="G1493" t="inlineStr">
        <is>
          <t>415-2024-06-30</t>
        </is>
      </c>
      <c r="H1493" t="inlineStr">
        <is>
          <t>Director de operaciones integrales</t>
        </is>
      </c>
      <c r="I1493" t="n">
        <v>100</v>
      </c>
      <c r="J1493" t="n">
        <v>97</v>
      </c>
      <c r="CF1493" t="n">
        <v>97</v>
      </c>
      <c r="CG1493" t="n">
        <v>100</v>
      </c>
    </row>
    <row r="1494">
      <c r="A1494" t="n">
        <v>415</v>
      </c>
      <c r="B1494" t="inlineStr">
        <is>
          <t>Cumplimiento Plan Anual Vicerrectoría del estudiante</t>
        </is>
      </c>
      <c r="C1494" t="inlineStr">
        <is>
          <t>Planeación Estratégica</t>
        </is>
      </c>
      <c r="D1494" t="inlineStr">
        <is>
          <t>Semestral</t>
        </is>
      </c>
      <c r="E1494" t="inlineStr">
        <is>
          <t>Positivo</t>
        </is>
      </c>
      <c r="F1494" s="105" t="n">
        <v>45473</v>
      </c>
      <c r="G1494" t="inlineStr">
        <is>
          <t>415-2024-06-30</t>
        </is>
      </c>
      <c r="H1494" t="inlineStr">
        <is>
          <t>Dirección de Experiencia E Inclusion</t>
        </is>
      </c>
      <c r="I1494" t="n">
        <v>100</v>
      </c>
      <c r="J1494" t="n">
        <v>106.6800003051758</v>
      </c>
      <c r="CF1494" t="n">
        <v>86.67</v>
      </c>
      <c r="CG1494" t="n">
        <v>81.23999999999999</v>
      </c>
    </row>
    <row r="1495">
      <c r="A1495" t="n">
        <v>415</v>
      </c>
      <c r="B1495" t="inlineStr">
        <is>
          <t>Cumplimiento Plan Anual Vicerrectoría del estudiante</t>
        </is>
      </c>
      <c r="C1495" t="inlineStr">
        <is>
          <t>Planeación Estratégica</t>
        </is>
      </c>
      <c r="D1495" t="inlineStr">
        <is>
          <t>Semestral</t>
        </is>
      </c>
      <c r="E1495" t="inlineStr">
        <is>
          <t>Positivo</t>
        </is>
      </c>
      <c r="F1495" s="105" t="n">
        <v>45473</v>
      </c>
      <c r="G1495" t="inlineStr">
        <is>
          <t>415-2024-06-30</t>
        </is>
      </c>
      <c r="H1495" t="inlineStr">
        <is>
          <t>Direccion bienestar universitario y huella grancolombiana</t>
        </is>
      </c>
      <c r="I1495" t="n">
        <v>100</v>
      </c>
      <c r="J1495" t="n">
        <v>73.29000091552734</v>
      </c>
      <c r="CF1495" t="n">
        <v>52.22</v>
      </c>
      <c r="CG1495" t="n">
        <v>71.25</v>
      </c>
    </row>
    <row r="1496">
      <c r="A1496" t="n">
        <v>415</v>
      </c>
      <c r="B1496" t="inlineStr">
        <is>
          <t>Cumplimiento Plan Anual Vicerrectoría del estudiante</t>
        </is>
      </c>
      <c r="C1496" t="inlineStr">
        <is>
          <t>Planeación Estratégica</t>
        </is>
      </c>
      <c r="D1496" t="inlineStr">
        <is>
          <t>Semestral</t>
        </is>
      </c>
      <c r="E1496" t="inlineStr">
        <is>
          <t>Positivo</t>
        </is>
      </c>
      <c r="F1496" s="105" t="n">
        <v>45473</v>
      </c>
      <c r="G1496" t="inlineStr">
        <is>
          <t>415-2024-06-30</t>
        </is>
      </c>
      <c r="H1496" t="inlineStr">
        <is>
          <t>Dirección de desarrollo e innovación</t>
        </is>
      </c>
      <c r="I1496" t="n">
        <v>100</v>
      </c>
      <c r="J1496" t="n">
        <v>84.72000122070312</v>
      </c>
      <c r="CF1496" t="n">
        <v>54.67</v>
      </c>
      <c r="CG1496" t="n">
        <v>64.53</v>
      </c>
    </row>
    <row r="1497">
      <c r="A1497" t="n">
        <v>415</v>
      </c>
      <c r="B1497" t="inlineStr">
        <is>
          <t>Cumplimiento Plan Anual Vicerrectoría del estudiante</t>
        </is>
      </c>
      <c r="C1497" t="inlineStr">
        <is>
          <t>Planeación Estratégica</t>
        </is>
      </c>
      <c r="D1497" t="inlineStr">
        <is>
          <t>Semestral</t>
        </is>
      </c>
      <c r="E1497" t="inlineStr">
        <is>
          <t>Positivo</t>
        </is>
      </c>
      <c r="F1497" s="105" t="n">
        <v>45473</v>
      </c>
      <c r="G1497" t="inlineStr">
        <is>
          <t>415-2024-06-30</t>
        </is>
      </c>
      <c r="H1497" t="inlineStr">
        <is>
          <t>Director de permanencia</t>
        </is>
      </c>
      <c r="I1497" t="n">
        <v>100</v>
      </c>
      <c r="J1497" t="n">
        <v>88.26999664306641</v>
      </c>
      <c r="CF1497" t="n">
        <v>77.5</v>
      </c>
      <c r="CG1497" t="n">
        <v>87.8</v>
      </c>
    </row>
    <row r="1498">
      <c r="A1498" t="n">
        <v>415</v>
      </c>
      <c r="B1498" t="inlineStr">
        <is>
          <t>Cumplimiento Plan Anual Vicerrectoría del estudiante</t>
        </is>
      </c>
      <c r="C1498" t="inlineStr">
        <is>
          <t>Planeación Estratégica</t>
        </is>
      </c>
      <c r="D1498" t="inlineStr">
        <is>
          <t>Semestral</t>
        </is>
      </c>
      <c r="E1498" t="inlineStr">
        <is>
          <t>Positivo</t>
        </is>
      </c>
      <c r="F1498" s="105" t="n">
        <v>45473</v>
      </c>
      <c r="G1498" t="inlineStr">
        <is>
          <t>415-2024-06-30</t>
        </is>
      </c>
      <c r="H1498" t="inlineStr">
        <is>
          <t>Director de operaciones IT</t>
        </is>
      </c>
      <c r="I1498" t="n">
        <v>100</v>
      </c>
      <c r="J1498" t="n">
        <v>95.25</v>
      </c>
      <c r="CF1498" t="n">
        <v>26.66</v>
      </c>
      <c r="CG1498" t="n">
        <v>27.99</v>
      </c>
    </row>
    <row r="1499">
      <c r="A1499" t="n">
        <v>415</v>
      </c>
      <c r="B1499" t="inlineStr">
        <is>
          <t>Cumplimiento Plan Anual Vicerrectoría del estudiante</t>
        </is>
      </c>
      <c r="C1499" t="inlineStr">
        <is>
          <t>Planeación Estratégica</t>
        </is>
      </c>
      <c r="D1499" t="inlineStr">
        <is>
          <t>Semestral</t>
        </is>
      </c>
      <c r="E1499" t="inlineStr">
        <is>
          <t>Positivo</t>
        </is>
      </c>
      <c r="F1499" s="105" t="n">
        <v>45473</v>
      </c>
      <c r="G1499" t="inlineStr">
        <is>
          <t>415-2024-06-30</t>
        </is>
      </c>
      <c r="H1499" t="inlineStr">
        <is>
          <t>Director de servicio</t>
        </is>
      </c>
      <c r="I1499" t="n">
        <v>100</v>
      </c>
      <c r="J1499" t="n">
        <v>85</v>
      </c>
      <c r="CF1499" t="n">
        <v>85</v>
      </c>
      <c r="CG1499" t="n">
        <v>100</v>
      </c>
    </row>
    <row r="1500">
      <c r="A1500" t="n">
        <v>416</v>
      </c>
      <c r="B1500" t="inlineStr">
        <is>
          <t>Cumplimiento Plan Anual Vicerrectoría de crecimiento</t>
        </is>
      </c>
      <c r="C1500" t="inlineStr">
        <is>
          <t>Planeación Estratégica</t>
        </is>
      </c>
      <c r="D1500" t="inlineStr">
        <is>
          <t>Semestral</t>
        </is>
      </c>
      <c r="E1500" t="inlineStr">
        <is>
          <t>Positivo</t>
        </is>
      </c>
      <c r="F1500" s="105" t="n">
        <v>45473</v>
      </c>
      <c r="G1500" t="inlineStr">
        <is>
          <t>416-2024-06-30</t>
        </is>
      </c>
      <c r="H1500" t="inlineStr">
        <is>
          <t>Director de estrategia marca</t>
        </is>
      </c>
      <c r="I1500" t="n">
        <v>100</v>
      </c>
      <c r="J1500" t="n">
        <v>107.1600036621094</v>
      </c>
      <c r="CH1500" t="n">
        <v>61.67</v>
      </c>
      <c r="CI1500" t="n">
        <v>57.55</v>
      </c>
    </row>
    <row r="1501">
      <c r="A1501" t="n">
        <v>416</v>
      </c>
      <c r="B1501" t="inlineStr">
        <is>
          <t>Cumplimiento Plan Anual Vicerrectoría de crecimiento</t>
        </is>
      </c>
      <c r="C1501" t="inlineStr">
        <is>
          <t>Planeación Estratégica</t>
        </is>
      </c>
      <c r="D1501" t="inlineStr">
        <is>
          <t>Semestral</t>
        </is>
      </c>
      <c r="E1501" t="inlineStr">
        <is>
          <t>Positivo</t>
        </is>
      </c>
      <c r="F1501" s="105" t="n">
        <v>45473</v>
      </c>
      <c r="G1501" t="inlineStr">
        <is>
          <t>416-2024-06-30</t>
        </is>
      </c>
      <c r="H1501" t="inlineStr">
        <is>
          <t>Director B2B y B2C</t>
        </is>
      </c>
      <c r="I1501" t="n">
        <v>100</v>
      </c>
      <c r="J1501" t="n">
        <v>101.870002746582</v>
      </c>
      <c r="CH1501" t="n">
        <v>60</v>
      </c>
      <c r="CI1501" t="n">
        <v>58.9</v>
      </c>
    </row>
    <row r="1502">
      <c r="A1502" t="n">
        <v>416</v>
      </c>
      <c r="B1502" t="inlineStr">
        <is>
          <t>Cumplimiento Plan Anual Vicerrectoría de crecimiento</t>
        </is>
      </c>
      <c r="C1502" t="inlineStr">
        <is>
          <t>Planeación Estratégica</t>
        </is>
      </c>
      <c r="D1502" t="inlineStr">
        <is>
          <t>Semestral</t>
        </is>
      </c>
      <c r="E1502" t="inlineStr">
        <is>
          <t>Positivo</t>
        </is>
      </c>
      <c r="F1502" s="105" t="n">
        <v>45473</v>
      </c>
      <c r="G1502" t="inlineStr">
        <is>
          <t>416-2024-06-30</t>
        </is>
      </c>
      <c r="H1502" t="inlineStr">
        <is>
          <t>Gerencia de matriculas</t>
        </is>
      </c>
      <c r="I1502" t="n">
        <v>100</v>
      </c>
      <c r="J1502" t="n">
        <v>100.8499984741211</v>
      </c>
      <c r="CH1502" t="n">
        <v>61.45</v>
      </c>
      <c r="CI1502" t="n">
        <v>60.93</v>
      </c>
    </row>
    <row r="1503">
      <c r="A1503" t="n">
        <v>416</v>
      </c>
      <c r="B1503" t="inlineStr">
        <is>
          <t>Cumplimiento Plan Anual Vicerrectoría de crecimiento</t>
        </is>
      </c>
      <c r="C1503" t="inlineStr">
        <is>
          <t>Planeación Estratégica</t>
        </is>
      </c>
      <c r="D1503" t="inlineStr">
        <is>
          <t>Semestral</t>
        </is>
      </c>
      <c r="E1503" t="inlineStr">
        <is>
          <t>Positivo</t>
        </is>
      </c>
      <c r="F1503" s="105" t="n">
        <v>45473</v>
      </c>
      <c r="G1503" t="inlineStr">
        <is>
          <t>416-2024-06-30</t>
        </is>
      </c>
      <c r="H1503" t="inlineStr">
        <is>
          <t>Gerencia de mercadeo</t>
        </is>
      </c>
      <c r="I1503" t="n">
        <v>100</v>
      </c>
      <c r="J1503" t="n">
        <v>97.16000366210938</v>
      </c>
      <c r="CH1503" t="n">
        <v>41.67</v>
      </c>
      <c r="CI1503" t="n">
        <v>42.89</v>
      </c>
    </row>
    <row r="1504">
      <c r="A1504" t="n">
        <v>416</v>
      </c>
      <c r="B1504" t="inlineStr">
        <is>
          <t>Cumplimiento Plan Anual Vicerrectoría de crecimiento</t>
        </is>
      </c>
      <c r="C1504" t="inlineStr">
        <is>
          <t>Planeación Estratégica</t>
        </is>
      </c>
      <c r="D1504" t="inlineStr">
        <is>
          <t>Semestral</t>
        </is>
      </c>
      <c r="E1504" t="inlineStr">
        <is>
          <t>Positivo</t>
        </is>
      </c>
      <c r="F1504" s="105" t="n">
        <v>45473</v>
      </c>
      <c r="G1504" t="inlineStr">
        <is>
          <t>416-2024-06-30</t>
        </is>
      </c>
      <c r="H1504" t="inlineStr">
        <is>
          <t>Director de producto</t>
        </is>
      </c>
      <c r="I1504" t="n">
        <v>100</v>
      </c>
      <c r="J1504" t="n">
        <v>96.47000122070312</v>
      </c>
      <c r="CH1504" t="n">
        <v>35</v>
      </c>
      <c r="CI1504" t="n">
        <v>36.28</v>
      </c>
    </row>
    <row r="1505">
      <c r="A1505" t="n">
        <v>416</v>
      </c>
      <c r="B1505" t="inlineStr">
        <is>
          <t>Cumplimiento Plan Anual Vicerrectoría de crecimiento</t>
        </is>
      </c>
      <c r="C1505" t="inlineStr">
        <is>
          <t>Planeación Estratégica</t>
        </is>
      </c>
      <c r="D1505" t="inlineStr">
        <is>
          <t>Semestral</t>
        </is>
      </c>
      <c r="E1505" t="inlineStr">
        <is>
          <t>Positivo</t>
        </is>
      </c>
      <c r="F1505" s="105" t="n">
        <v>45473</v>
      </c>
      <c r="G1505" t="inlineStr">
        <is>
          <t>416-2024-06-30</t>
        </is>
      </c>
      <c r="H1505" t="inlineStr">
        <is>
          <t>Gerencia de servicios corporativos</t>
        </is>
      </c>
      <c r="I1505" t="n">
        <v>100</v>
      </c>
      <c r="J1505" t="n">
        <v>213.5200042724609</v>
      </c>
      <c r="CH1505" t="n">
        <v>90</v>
      </c>
      <c r="CI1505" t="n">
        <v>42.15</v>
      </c>
    </row>
    <row r="1506">
      <c r="A1506" t="n">
        <v>417</v>
      </c>
      <c r="B1506" t="inlineStr">
        <is>
          <t>Cumplimiento Plan Anual Vicerrectoría Financiera</t>
        </is>
      </c>
      <c r="C1506" t="inlineStr">
        <is>
          <t>Planeación Estratégica</t>
        </is>
      </c>
      <c r="D1506" t="inlineStr">
        <is>
          <t>Semestral</t>
        </is>
      </c>
      <c r="E1506" t="inlineStr">
        <is>
          <t>Positivo</t>
        </is>
      </c>
      <c r="F1506" s="105" t="n">
        <v>45473</v>
      </c>
      <c r="G1506" t="inlineStr">
        <is>
          <t>417-2024-06-30</t>
        </is>
      </c>
      <c r="H1506" t="inlineStr">
        <is>
          <t>Dirección de compras y abastecimiento</t>
        </is>
      </c>
      <c r="I1506" t="n">
        <v>100</v>
      </c>
      <c r="J1506" t="n">
        <v>100</v>
      </c>
      <c r="CJ1506" t="n">
        <v>48.75</v>
      </c>
      <c r="CK1506" t="n">
        <v>48.75</v>
      </c>
    </row>
    <row r="1507">
      <c r="A1507" t="n">
        <v>417</v>
      </c>
      <c r="B1507" t="inlineStr">
        <is>
          <t>Cumplimiento Plan Anual Vicerrectoría Financiera</t>
        </is>
      </c>
      <c r="C1507" t="inlineStr">
        <is>
          <t>Planeación Estratégica</t>
        </is>
      </c>
      <c r="D1507" t="inlineStr">
        <is>
          <t>Semestral</t>
        </is>
      </c>
      <c r="E1507" t="inlineStr">
        <is>
          <t>Positivo</t>
        </is>
      </c>
      <c r="F1507" s="105" t="n">
        <v>45473</v>
      </c>
      <c r="G1507" t="inlineStr">
        <is>
          <t>417-2024-06-30</t>
        </is>
      </c>
      <c r="H1507" t="inlineStr">
        <is>
          <t>Dirección de servicios administrativos</t>
        </is>
      </c>
      <c r="I1507" t="n">
        <v>100</v>
      </c>
      <c r="J1507" t="n">
        <v>109.3099975585938</v>
      </c>
      <c r="CJ1507" t="n">
        <v>43.31</v>
      </c>
      <c r="CK1507" t="n">
        <v>39.62</v>
      </c>
    </row>
    <row r="1508">
      <c r="A1508" t="n">
        <v>417</v>
      </c>
      <c r="B1508" t="inlineStr">
        <is>
          <t>Cumplimiento Plan Anual Vicerrectoría Financiera</t>
        </is>
      </c>
      <c r="C1508" t="inlineStr">
        <is>
          <t>Planeación Estratégica</t>
        </is>
      </c>
      <c r="D1508" t="inlineStr">
        <is>
          <t>Semestral</t>
        </is>
      </c>
      <c r="E1508" t="inlineStr">
        <is>
          <t>Positivo</t>
        </is>
      </c>
      <c r="F1508" s="105" t="n">
        <v>45473</v>
      </c>
      <c r="G1508" t="inlineStr">
        <is>
          <t>417-2024-06-30</t>
        </is>
      </c>
      <c r="H1508" t="inlineStr">
        <is>
          <t>Dirección de relacionamiento de CSU</t>
        </is>
      </c>
      <c r="I1508" t="n">
        <v>100</v>
      </c>
      <c r="J1508" t="n">
        <v>104.3000030517578</v>
      </c>
      <c r="CJ1508" t="n">
        <v>49.23</v>
      </c>
      <c r="CK1508" t="n">
        <v>47.2</v>
      </c>
    </row>
    <row r="1509">
      <c r="A1509" t="n">
        <v>417</v>
      </c>
      <c r="B1509" t="inlineStr">
        <is>
          <t>Cumplimiento Plan Anual Vicerrectoría Financiera</t>
        </is>
      </c>
      <c r="C1509" t="inlineStr">
        <is>
          <t>Planeación Estratégica</t>
        </is>
      </c>
      <c r="D1509" t="inlineStr">
        <is>
          <t>Semestral</t>
        </is>
      </c>
      <c r="E1509" t="inlineStr">
        <is>
          <t>Positivo</t>
        </is>
      </c>
      <c r="F1509" s="105" t="n">
        <v>45473</v>
      </c>
      <c r="G1509" t="inlineStr">
        <is>
          <t>417-2024-06-30</t>
        </is>
      </c>
      <c r="H1509" t="inlineStr">
        <is>
          <t>Dirección planeación financiera y tesorería</t>
        </is>
      </c>
      <c r="I1509" t="n">
        <v>100</v>
      </c>
      <c r="J1509" t="n">
        <v>141.2700042724609</v>
      </c>
      <c r="CJ1509" t="n">
        <v>52.24</v>
      </c>
      <c r="CK1509" t="n">
        <v>36.98</v>
      </c>
    </row>
    <row r="1510">
      <c r="A1510" t="n">
        <v>417</v>
      </c>
      <c r="B1510" t="inlineStr">
        <is>
          <t>Cumplimiento Plan Anual Vicerrectoría Financiera</t>
        </is>
      </c>
      <c r="C1510" t="inlineStr">
        <is>
          <t>Planeación Estratégica</t>
        </is>
      </c>
      <c r="D1510" t="inlineStr">
        <is>
          <t>Semestral</t>
        </is>
      </c>
      <c r="E1510" t="inlineStr">
        <is>
          <t>Positivo</t>
        </is>
      </c>
      <c r="F1510" s="105" t="n">
        <v>45473</v>
      </c>
      <c r="G1510" t="inlineStr">
        <is>
          <t>417-2024-06-30</t>
        </is>
      </c>
      <c r="H1510" t="inlineStr">
        <is>
          <t>Dirección de infraestructura</t>
        </is>
      </c>
      <c r="I1510" t="n">
        <v>100</v>
      </c>
      <c r="J1510" t="n">
        <v>118.6699981689453</v>
      </c>
      <c r="CJ1510" t="n">
        <v>83.25</v>
      </c>
      <c r="CK1510" t="n">
        <v>70.15000000000001</v>
      </c>
    </row>
    <row r="1511">
      <c r="A1511" t="n">
        <v>417</v>
      </c>
      <c r="B1511" t="inlineStr">
        <is>
          <t>Cumplimiento Plan Anual Vicerrectoría Financiera</t>
        </is>
      </c>
      <c r="C1511" t="inlineStr">
        <is>
          <t>Planeación Estratégica</t>
        </is>
      </c>
      <c r="D1511" t="inlineStr">
        <is>
          <t>Semestral</t>
        </is>
      </c>
      <c r="E1511" t="inlineStr">
        <is>
          <t>Positivo</t>
        </is>
      </c>
      <c r="F1511" s="105" t="n">
        <v>45473</v>
      </c>
      <c r="G1511" t="inlineStr">
        <is>
          <t>417-2024-06-30</t>
        </is>
      </c>
      <c r="H1511" t="inlineStr">
        <is>
          <t>Dirección de contabilidad</t>
        </is>
      </c>
      <c r="I1511" t="n">
        <v>100</v>
      </c>
      <c r="J1511" t="n">
        <v>99.13999938964844</v>
      </c>
      <c r="CJ1511" t="n">
        <v>58.73</v>
      </c>
      <c r="CK1511" t="n">
        <v>59.24</v>
      </c>
    </row>
    <row r="1512">
      <c r="A1512" t="n">
        <v>418</v>
      </c>
      <c r="B1512" t="inlineStr">
        <is>
          <t>Cumplimiento Plan Anual Vicerrectoría Académica</t>
        </is>
      </c>
      <c r="C1512" t="inlineStr">
        <is>
          <t>Planeación Estratégica</t>
        </is>
      </c>
      <c r="D1512" t="inlineStr">
        <is>
          <t>Semestral</t>
        </is>
      </c>
      <c r="E1512" t="inlineStr">
        <is>
          <t>Positivo</t>
        </is>
      </c>
      <c r="F1512" s="105" t="n">
        <v>45473</v>
      </c>
      <c r="G1512" t="inlineStr">
        <is>
          <t>418-2024-06-30</t>
        </is>
      </c>
      <c r="H1512" t="inlineStr">
        <is>
          <t>Facultad negocios gestión y sostenibilidad</t>
        </is>
      </c>
      <c r="I1512" t="n">
        <v>100</v>
      </c>
      <c r="J1512" t="n">
        <v>109.4599990844727</v>
      </c>
      <c r="CL1512" t="n">
        <v>65.25</v>
      </c>
      <c r="CM1512" t="n">
        <v>59.61</v>
      </c>
    </row>
    <row r="1513">
      <c r="A1513" t="n">
        <v>418</v>
      </c>
      <c r="B1513" t="inlineStr">
        <is>
          <t>Cumplimiento Plan Anual Vicerrectoría Académica</t>
        </is>
      </c>
      <c r="C1513" t="inlineStr">
        <is>
          <t>Planeación Estratégica</t>
        </is>
      </c>
      <c r="D1513" t="inlineStr">
        <is>
          <t>Semestral</t>
        </is>
      </c>
      <c r="E1513" t="inlineStr">
        <is>
          <t>Positivo</t>
        </is>
      </c>
      <c r="F1513" s="105" t="n">
        <v>45473</v>
      </c>
      <c r="G1513" t="inlineStr">
        <is>
          <t>418-2024-06-30</t>
        </is>
      </c>
      <c r="H1513" t="inlineStr">
        <is>
          <t>Dirección de docencia</t>
        </is>
      </c>
      <c r="I1513" t="n">
        <v>100</v>
      </c>
      <c r="J1513" t="n">
        <v>86.41999816894531</v>
      </c>
      <c r="CL1513" t="n">
        <v>65.5</v>
      </c>
      <c r="CM1513" t="n">
        <v>75.79000000000001</v>
      </c>
    </row>
    <row r="1514">
      <c r="A1514" t="n">
        <v>418</v>
      </c>
      <c r="B1514" t="inlineStr">
        <is>
          <t>Cumplimiento Plan Anual Vicerrectoría Académica</t>
        </is>
      </c>
      <c r="C1514" t="inlineStr">
        <is>
          <t>Planeación Estratégica</t>
        </is>
      </c>
      <c r="D1514" t="inlineStr">
        <is>
          <t>Semestral</t>
        </is>
      </c>
      <c r="E1514" t="inlineStr">
        <is>
          <t>Positivo</t>
        </is>
      </c>
      <c r="F1514" s="105" t="n">
        <v>45473</v>
      </c>
      <c r="G1514" t="inlineStr">
        <is>
          <t>418-2024-06-30</t>
        </is>
      </c>
      <c r="H1514" t="inlineStr">
        <is>
          <t>Dirección aseguramiento de la calidad</t>
        </is>
      </c>
      <c r="I1514" t="n">
        <v>100</v>
      </c>
      <c r="J1514" t="n">
        <v>135.4900054931641</v>
      </c>
      <c r="CL1514" t="n">
        <v>67.12</v>
      </c>
      <c r="CM1514" t="n">
        <v>49.54</v>
      </c>
    </row>
    <row r="1515">
      <c r="A1515" t="n">
        <v>418</v>
      </c>
      <c r="B1515" t="inlineStr">
        <is>
          <t>Cumplimiento Plan Anual Vicerrectoría Académica</t>
        </is>
      </c>
      <c r="C1515" t="inlineStr">
        <is>
          <t>Planeación Estratégica</t>
        </is>
      </c>
      <c r="D1515" t="inlineStr">
        <is>
          <t>Semestral</t>
        </is>
      </c>
      <c r="E1515" t="inlineStr">
        <is>
          <t>Positivo</t>
        </is>
      </c>
      <c r="F1515" s="105" t="n">
        <v>45473</v>
      </c>
      <c r="G1515" t="inlineStr">
        <is>
          <t>418-2024-06-30</t>
        </is>
      </c>
      <c r="H1515" t="inlineStr">
        <is>
          <t>Dirección investigación innovación y creación</t>
        </is>
      </c>
      <c r="I1515" t="n">
        <v>100</v>
      </c>
      <c r="J1515" t="n">
        <v>68.09999847412109</v>
      </c>
      <c r="CL1515" t="n">
        <v>61</v>
      </c>
      <c r="CM1515" t="n">
        <v>89.58</v>
      </c>
    </row>
    <row r="1516">
      <c r="A1516" t="n">
        <v>418</v>
      </c>
      <c r="B1516" t="inlineStr">
        <is>
          <t>Cumplimiento Plan Anual Vicerrectoría Académica</t>
        </is>
      </c>
      <c r="C1516" t="inlineStr">
        <is>
          <t>Planeación Estratégica</t>
        </is>
      </c>
      <c r="D1516" t="inlineStr">
        <is>
          <t>Semestral</t>
        </is>
      </c>
      <c r="E1516" t="inlineStr">
        <is>
          <t>Positivo</t>
        </is>
      </c>
      <c r="F1516" s="105" t="n">
        <v>45473</v>
      </c>
      <c r="G1516" t="inlineStr">
        <is>
          <t>418-2024-06-30</t>
        </is>
      </c>
      <c r="H1516" t="inlineStr">
        <is>
          <t>Facultad ingeniería diseño e innovación</t>
        </is>
      </c>
      <c r="I1516" t="n">
        <v>100</v>
      </c>
      <c r="J1516" t="n">
        <v>106</v>
      </c>
      <c r="CL1516" t="n">
        <v>67.98</v>
      </c>
      <c r="CM1516" t="n">
        <v>64.13</v>
      </c>
    </row>
    <row r="1517">
      <c r="A1517" t="n">
        <v>418</v>
      </c>
      <c r="B1517" t="inlineStr">
        <is>
          <t>Cumplimiento Plan Anual Vicerrectoría Académica</t>
        </is>
      </c>
      <c r="C1517" t="inlineStr">
        <is>
          <t>Planeación Estratégica</t>
        </is>
      </c>
      <c r="D1517" t="inlineStr">
        <is>
          <t>Semestral</t>
        </is>
      </c>
      <c r="E1517" t="inlineStr">
        <is>
          <t>Positivo</t>
        </is>
      </c>
      <c r="F1517" s="105" t="n">
        <v>45473</v>
      </c>
      <c r="G1517" t="inlineStr">
        <is>
          <t>418-2024-06-30</t>
        </is>
      </c>
      <c r="H1517" t="inlineStr">
        <is>
          <t>Secretaria académica y de extensión</t>
        </is>
      </c>
      <c r="I1517" t="n">
        <v>100</v>
      </c>
      <c r="J1517" t="n">
        <v>109.870002746582</v>
      </c>
      <c r="CL1517" t="n">
        <v>57</v>
      </c>
      <c r="CM1517" t="n">
        <v>51.88</v>
      </c>
    </row>
    <row r="1518">
      <c r="A1518" t="n">
        <v>418</v>
      </c>
      <c r="B1518" t="inlineStr">
        <is>
          <t>Cumplimiento Plan Anual Vicerrectoría Académica</t>
        </is>
      </c>
      <c r="C1518" t="inlineStr">
        <is>
          <t>Planeación Estratégica</t>
        </is>
      </c>
      <c r="D1518" t="inlineStr">
        <is>
          <t>Semestral</t>
        </is>
      </c>
      <c r="E1518" t="inlineStr">
        <is>
          <t>Positivo</t>
        </is>
      </c>
      <c r="F1518" s="105" t="n">
        <v>45473</v>
      </c>
      <c r="G1518" t="inlineStr">
        <is>
          <t>418-2024-06-30</t>
        </is>
      </c>
      <c r="H1518" t="inlineStr">
        <is>
          <t>Dirección relaciones nacionales e internacionales</t>
        </is>
      </c>
      <c r="I1518" t="n">
        <v>100</v>
      </c>
      <c r="J1518" t="n">
        <v>106.7600021362305</v>
      </c>
      <c r="CL1518" t="n">
        <v>45</v>
      </c>
      <c r="CM1518" t="n">
        <v>42.15</v>
      </c>
    </row>
    <row r="1519">
      <c r="A1519" t="n">
        <v>418</v>
      </c>
      <c r="B1519" t="inlineStr">
        <is>
          <t>Cumplimiento Plan Anual Vicerrectoría Académica</t>
        </is>
      </c>
      <c r="C1519" t="inlineStr">
        <is>
          <t>Planeación Estratégica</t>
        </is>
      </c>
      <c r="D1519" t="inlineStr">
        <is>
          <t>Semestral</t>
        </is>
      </c>
      <c r="E1519" t="inlineStr">
        <is>
          <t>Positivo</t>
        </is>
      </c>
      <c r="F1519" s="105" t="n">
        <v>45473</v>
      </c>
      <c r="G1519" t="inlineStr">
        <is>
          <t>418-2024-06-30</t>
        </is>
      </c>
      <c r="H1519" t="inlineStr">
        <is>
          <t>Facultad sociedad cultura y creatividad</t>
        </is>
      </c>
      <c r="I1519" t="n">
        <v>100</v>
      </c>
      <c r="J1519" t="n">
        <v>101.9599990844727</v>
      </c>
      <c r="CL1519" t="n">
        <v>47.33</v>
      </c>
      <c r="CM1519" t="n">
        <v>46.42</v>
      </c>
    </row>
    <row r="1520">
      <c r="A1520" t="n">
        <v>418</v>
      </c>
      <c r="B1520" t="inlineStr">
        <is>
          <t>Cumplimiento Plan Anual Vicerrectoría Académica</t>
        </is>
      </c>
      <c r="C1520" t="inlineStr">
        <is>
          <t>Planeación Estratégica</t>
        </is>
      </c>
      <c r="D1520" t="inlineStr">
        <is>
          <t>Semestral</t>
        </is>
      </c>
      <c r="E1520" t="inlineStr">
        <is>
          <t>Positivo</t>
        </is>
      </c>
      <c r="F1520" s="105" t="n">
        <v>45473</v>
      </c>
      <c r="G1520" t="inlineStr">
        <is>
          <t>418-2024-06-30</t>
        </is>
      </c>
      <c r="H1520" t="inlineStr">
        <is>
          <t>Dirección de currículo presencial y virtual</t>
        </is>
      </c>
      <c r="I1520" t="n">
        <v>100</v>
      </c>
      <c r="J1520" t="n">
        <v>83.04000091552734</v>
      </c>
      <c r="CL1520" t="n">
        <v>16.25</v>
      </c>
      <c r="CM1520" t="n">
        <v>19.57</v>
      </c>
    </row>
    <row r="1521">
      <c r="A1521" t="n">
        <v>420</v>
      </c>
      <c r="B1521" t="inlineStr">
        <is>
          <t>Cumplimiento Plan Anual Gerencia de estrategia</t>
        </is>
      </c>
      <c r="C1521" t="inlineStr">
        <is>
          <t>Planeación Estratégica</t>
        </is>
      </c>
      <c r="D1521" t="inlineStr">
        <is>
          <t>Semestral</t>
        </is>
      </c>
      <c r="E1521" t="inlineStr">
        <is>
          <t>Positivo</t>
        </is>
      </c>
      <c r="F1521" s="105" t="n">
        <v>45473</v>
      </c>
      <c r="G1521" t="inlineStr">
        <is>
          <t>420-2024-06-30</t>
        </is>
      </c>
      <c r="H1521" t="inlineStr">
        <is>
          <t>SGC</t>
        </is>
      </c>
      <c r="I1521" t="n">
        <v>100</v>
      </c>
      <c r="J1521" t="n">
        <v>97</v>
      </c>
      <c r="CN1521" t="n">
        <v>70.20999999999999</v>
      </c>
      <c r="CO1521" t="n">
        <v>72.38</v>
      </c>
    </row>
    <row r="1522">
      <c r="A1522" t="n">
        <v>420</v>
      </c>
      <c r="B1522" t="inlineStr">
        <is>
          <t>Cumplimiento Plan Anual Gerencia de estrategia</t>
        </is>
      </c>
      <c r="C1522" t="inlineStr">
        <is>
          <t>Planeación Estratégica</t>
        </is>
      </c>
      <c r="D1522" t="inlineStr">
        <is>
          <t>Semestral</t>
        </is>
      </c>
      <c r="E1522" t="inlineStr">
        <is>
          <t>Positivo</t>
        </is>
      </c>
      <c r="F1522" s="105" t="n">
        <v>45473</v>
      </c>
      <c r="G1522" t="inlineStr">
        <is>
          <t>420-2024-06-30</t>
        </is>
      </c>
      <c r="H1522" t="inlineStr">
        <is>
          <t>Auditoría</t>
        </is>
      </c>
      <c r="I1522" t="n">
        <v>100</v>
      </c>
      <c r="J1522" t="n">
        <v>77.98999786376953</v>
      </c>
      <c r="CN1522" t="n">
        <v>45.5</v>
      </c>
      <c r="CO1522" t="n">
        <v>58.34</v>
      </c>
    </row>
    <row r="1523">
      <c r="A1523" t="n">
        <v>420</v>
      </c>
      <c r="B1523" t="inlineStr">
        <is>
          <t>Cumplimiento Plan Anual Gerencia de estrategia</t>
        </is>
      </c>
      <c r="C1523" t="inlineStr">
        <is>
          <t>Planeación Estratégica</t>
        </is>
      </c>
      <c r="D1523" t="inlineStr">
        <is>
          <t>Semestral</t>
        </is>
      </c>
      <c r="E1523" t="inlineStr">
        <is>
          <t>Positivo</t>
        </is>
      </c>
      <c r="F1523" s="105" t="n">
        <v>45473</v>
      </c>
      <c r="G1523" t="inlineStr">
        <is>
          <t>420-2024-06-30</t>
        </is>
      </c>
      <c r="H1523" t="inlineStr">
        <is>
          <t>Planeación estratégica</t>
        </is>
      </c>
      <c r="I1523" t="n">
        <v>100</v>
      </c>
      <c r="J1523" t="n">
        <v>92.40000152587891</v>
      </c>
      <c r="CN1523" t="n">
        <v>53.96</v>
      </c>
      <c r="CO1523" t="n">
        <v>58.4</v>
      </c>
    </row>
    <row r="1524">
      <c r="A1524" t="n">
        <v>420</v>
      </c>
      <c r="B1524" t="inlineStr">
        <is>
          <t>Cumplimiento Plan Anual Gerencia de estrategia</t>
        </is>
      </c>
      <c r="C1524" t="inlineStr">
        <is>
          <t>Planeación Estratégica</t>
        </is>
      </c>
      <c r="D1524" t="inlineStr">
        <is>
          <t>Semestral</t>
        </is>
      </c>
      <c r="E1524" t="inlineStr">
        <is>
          <t>Positivo</t>
        </is>
      </c>
      <c r="F1524" s="105" t="n">
        <v>45473</v>
      </c>
      <c r="G1524" t="inlineStr">
        <is>
          <t>420-2024-06-30</t>
        </is>
      </c>
      <c r="H1524" t="inlineStr">
        <is>
          <t>SGA</t>
        </is>
      </c>
      <c r="I1524" t="n">
        <v>100</v>
      </c>
      <c r="J1524" t="n">
        <v>111.4400024414062</v>
      </c>
      <c r="CN1524" t="n">
        <v>25.92</v>
      </c>
      <c r="CO1524" t="n">
        <v>23.26</v>
      </c>
    </row>
    <row r="1525">
      <c r="A1525" t="n">
        <v>420</v>
      </c>
      <c r="B1525" t="inlineStr">
        <is>
          <t>Cumplimiento Plan Anual Gerencia de estrategia</t>
        </is>
      </c>
      <c r="C1525" t="inlineStr">
        <is>
          <t>Planeación Estratégica</t>
        </is>
      </c>
      <c r="D1525" t="inlineStr">
        <is>
          <t>Semestral</t>
        </is>
      </c>
      <c r="E1525" t="inlineStr">
        <is>
          <t>Positivo</t>
        </is>
      </c>
      <c r="F1525" s="105" t="n">
        <v>45473</v>
      </c>
      <c r="G1525" t="inlineStr">
        <is>
          <t>420-2024-06-30</t>
        </is>
      </c>
      <c r="H1525" t="inlineStr">
        <is>
          <t>Estudios Internos</t>
        </is>
      </c>
      <c r="I1525" t="n">
        <v>100</v>
      </c>
      <c r="J1525" t="n">
        <v>55.95000076293945</v>
      </c>
      <c r="CN1525" t="n">
        <v>25</v>
      </c>
      <c r="CO1525" t="n">
        <v>44.68</v>
      </c>
    </row>
    <row r="1526">
      <c r="A1526" t="n">
        <v>420</v>
      </c>
      <c r="B1526" t="inlineStr">
        <is>
          <t>Cumplimiento Plan Anual Gerencia de estrategia</t>
        </is>
      </c>
      <c r="C1526" t="inlineStr">
        <is>
          <t>Planeación Estratégica</t>
        </is>
      </c>
      <c r="D1526" t="inlineStr">
        <is>
          <t>Semestral</t>
        </is>
      </c>
      <c r="E1526" t="inlineStr">
        <is>
          <t>Positivo</t>
        </is>
      </c>
      <c r="F1526" s="105" t="n">
        <v>45473</v>
      </c>
      <c r="G1526" t="inlineStr">
        <is>
          <t>420-2024-06-30</t>
        </is>
      </c>
      <c r="H1526" t="inlineStr">
        <is>
          <t>Riesgos</t>
        </is>
      </c>
      <c r="I1526" t="n">
        <v>100</v>
      </c>
      <c r="J1526" t="n">
        <v>103.4700012207031</v>
      </c>
      <c r="CN1526" t="n">
        <v>66.25</v>
      </c>
      <c r="CO1526" t="n">
        <v>64.03</v>
      </c>
    </row>
    <row r="1527">
      <c r="A1527" t="n">
        <v>432</v>
      </c>
      <c r="B1527" t="inlineStr">
        <is>
          <t>Intervención a la gestión del riesgo de los colaboradores</t>
        </is>
      </c>
      <c r="C1527" t="inlineStr">
        <is>
          <t>GESTIÓN DE SEGURIDAD Y SALUD EN EL TRABAJO</t>
        </is>
      </c>
      <c r="D1527" t="inlineStr">
        <is>
          <t>Semestral</t>
        </is>
      </c>
      <c r="E1527" t="inlineStr">
        <is>
          <t>Positivo</t>
        </is>
      </c>
      <c r="F1527" s="105" t="n">
        <v>45473</v>
      </c>
      <c r="G1527" t="inlineStr">
        <is>
          <t>432-2024-06-30</t>
        </is>
      </c>
      <c r="H1527" t="inlineStr">
        <is>
          <t>Plan de gestión TAR</t>
        </is>
      </c>
      <c r="I1527" t="n">
        <v>90</v>
      </c>
      <c r="J1527" t="n">
        <v>100</v>
      </c>
      <c r="CS1527" t="n">
        <v>7</v>
      </c>
      <c r="CT1527" t="n">
        <v>7</v>
      </c>
    </row>
    <row r="1528">
      <c r="A1528" t="n">
        <v>432</v>
      </c>
      <c r="B1528" t="inlineStr">
        <is>
          <t>Intervención a la gestión del riesgo de los colaboradores</t>
        </is>
      </c>
      <c r="C1528" t="inlineStr">
        <is>
          <t>GESTIÓN DE SEGURIDAD Y SALUD EN EL TRABAJO</t>
        </is>
      </c>
      <c r="D1528" t="inlineStr">
        <is>
          <t>Semestral</t>
        </is>
      </c>
      <c r="E1528" t="inlineStr">
        <is>
          <t>Positivo</t>
        </is>
      </c>
      <c r="F1528" s="105" t="n">
        <v>45473</v>
      </c>
      <c r="G1528" t="inlineStr">
        <is>
          <t>432-2024-06-30</t>
        </is>
      </c>
      <c r="H1528" t="inlineStr">
        <is>
          <t>Plan de gestión riesgo biológico</t>
        </is>
      </c>
      <c r="I1528" t="n">
        <v>90</v>
      </c>
      <c r="J1528" t="n">
        <v>100</v>
      </c>
      <c r="CS1528" t="n">
        <v>1</v>
      </c>
      <c r="CT1528" t="n">
        <v>1</v>
      </c>
    </row>
    <row r="1529">
      <c r="A1529" t="n">
        <v>432</v>
      </c>
      <c r="B1529" t="inlineStr">
        <is>
          <t>Intervención a la gestión del riesgo de los colaboradores</t>
        </is>
      </c>
      <c r="C1529" t="inlineStr">
        <is>
          <t>GESTIÓN DE SEGURIDAD Y SALUD EN EL TRABAJO</t>
        </is>
      </c>
      <c r="D1529" t="inlineStr">
        <is>
          <t>Semestral</t>
        </is>
      </c>
      <c r="E1529" t="inlineStr">
        <is>
          <t>Positivo</t>
        </is>
      </c>
      <c r="F1529" s="105" t="n">
        <v>45473</v>
      </c>
      <c r="G1529" t="inlineStr">
        <is>
          <t>432-2024-06-30</t>
        </is>
      </c>
      <c r="H1529" t="inlineStr">
        <is>
          <t>Plan de gestión de riesgo psicosocial</t>
        </is>
      </c>
      <c r="I1529" t="n">
        <v>90</v>
      </c>
      <c r="J1529" t="n">
        <v>100</v>
      </c>
      <c r="CS1529" t="n">
        <v>18</v>
      </c>
      <c r="CT1529" t="n">
        <v>18</v>
      </c>
    </row>
    <row r="1530">
      <c r="A1530" t="n">
        <v>432</v>
      </c>
      <c r="B1530" t="inlineStr">
        <is>
          <t>Intervención a la gestión del riesgo de los colaboradores</t>
        </is>
      </c>
      <c r="C1530" t="inlineStr">
        <is>
          <t>GESTIÓN DE SEGURIDAD Y SALUD EN EL TRABAJO</t>
        </is>
      </c>
      <c r="D1530" t="inlineStr">
        <is>
          <t>Semestral</t>
        </is>
      </c>
      <c r="E1530" t="inlineStr">
        <is>
          <t>Positivo</t>
        </is>
      </c>
      <c r="F1530" s="105" t="n">
        <v>45473</v>
      </c>
      <c r="G1530" t="inlineStr">
        <is>
          <t>432-2024-06-30</t>
        </is>
      </c>
      <c r="H1530" t="inlineStr">
        <is>
          <t>Plan estratégico de seguridad vial</t>
        </is>
      </c>
      <c r="I1530" t="n">
        <v>90</v>
      </c>
      <c r="J1530" t="n">
        <v>100</v>
      </c>
      <c r="CS1530" t="n">
        <v>15</v>
      </c>
      <c r="CT1530" t="n">
        <v>15</v>
      </c>
    </row>
    <row r="1531">
      <c r="A1531" t="n">
        <v>432</v>
      </c>
      <c r="B1531" t="inlineStr">
        <is>
          <t>Intervención a la gestión del riesgo de los colaboradores</t>
        </is>
      </c>
      <c r="C1531" t="inlineStr">
        <is>
          <t>GESTIÓN DE SEGURIDAD Y SALUD EN EL TRABAJO</t>
        </is>
      </c>
      <c r="D1531" t="inlineStr">
        <is>
          <t>Semestral</t>
        </is>
      </c>
      <c r="E1531" t="inlineStr">
        <is>
          <t>Positivo</t>
        </is>
      </c>
      <c r="F1531" s="105" t="n">
        <v>45473</v>
      </c>
      <c r="G1531" t="inlineStr">
        <is>
          <t>432-2024-06-30</t>
        </is>
      </c>
      <c r="H1531" t="inlineStr">
        <is>
          <t>Plan de gestión osteomuscular</t>
        </is>
      </c>
      <c r="I1531" t="n">
        <v>90</v>
      </c>
      <c r="J1531" t="n">
        <v>100</v>
      </c>
      <c r="CS1531" t="n">
        <v>19</v>
      </c>
      <c r="CT1531" t="n">
        <v>19</v>
      </c>
    </row>
    <row r="1532">
      <c r="A1532" t="n">
        <v>432</v>
      </c>
      <c r="B1532" t="inlineStr">
        <is>
          <t>Intervención a la gestión del riesgo de los colaboradores</t>
        </is>
      </c>
      <c r="C1532" t="inlineStr">
        <is>
          <t>GESTIÓN DE SEGURIDAD Y SALUD EN EL TRABAJO</t>
        </is>
      </c>
      <c r="D1532" t="inlineStr">
        <is>
          <t>Semestral</t>
        </is>
      </c>
      <c r="E1532" t="inlineStr">
        <is>
          <t>Positivo</t>
        </is>
      </c>
      <c r="F1532" s="105" t="n">
        <v>45473</v>
      </c>
      <c r="G1532" t="inlineStr">
        <is>
          <t>432-2024-06-30</t>
        </is>
      </c>
      <c r="H1532" t="inlineStr">
        <is>
          <t>Plan de gestión inspecciones de seguridad</t>
        </is>
      </c>
      <c r="I1532" t="n">
        <v>90</v>
      </c>
      <c r="J1532" t="n">
        <v>100</v>
      </c>
      <c r="CS1532" t="n">
        <v>24</v>
      </c>
      <c r="CT1532" t="n">
        <v>24</v>
      </c>
    </row>
    <row r="1533">
      <c r="A1533" t="n">
        <v>432</v>
      </c>
      <c r="B1533" t="inlineStr">
        <is>
          <t>Intervención a la gestión del riesgo de los colaboradores</t>
        </is>
      </c>
      <c r="C1533" t="inlineStr">
        <is>
          <t>GESTIÓN DE SEGURIDAD Y SALUD EN EL TRABAJO</t>
        </is>
      </c>
      <c r="D1533" t="inlineStr">
        <is>
          <t>Semestral</t>
        </is>
      </c>
      <c r="E1533" t="inlineStr">
        <is>
          <t>Positivo</t>
        </is>
      </c>
      <c r="F1533" s="105" t="n">
        <v>45473</v>
      </c>
      <c r="G1533" t="inlineStr">
        <is>
          <t>432-2024-06-30</t>
        </is>
      </c>
      <c r="H1533" t="inlineStr">
        <is>
          <t>Plan de de gestión conservación de la voz</t>
        </is>
      </c>
      <c r="I1533" t="n">
        <v>90</v>
      </c>
      <c r="J1533" t="n">
        <v>100</v>
      </c>
      <c r="CS1533" t="n">
        <v>10</v>
      </c>
      <c r="CT1533" t="n">
        <v>10</v>
      </c>
    </row>
    <row r="1534">
      <c r="A1534" t="n">
        <v>432</v>
      </c>
      <c r="B1534" t="inlineStr">
        <is>
          <t>Intervención a la gestión del riesgo de los colaboradores</t>
        </is>
      </c>
      <c r="C1534" t="inlineStr">
        <is>
          <t>GESTIÓN DE SEGURIDAD Y SALUD EN EL TRABAJO</t>
        </is>
      </c>
      <c r="D1534" t="inlineStr">
        <is>
          <t>Semestral</t>
        </is>
      </c>
      <c r="E1534" t="inlineStr">
        <is>
          <t>Positivo</t>
        </is>
      </c>
      <c r="F1534" s="105" t="n">
        <v>45473</v>
      </c>
      <c r="G1534" t="inlineStr">
        <is>
          <t>432-2024-06-30</t>
        </is>
      </c>
      <c r="H1534" t="inlineStr">
        <is>
          <t>Plan de gestión Teletrabajadores</t>
        </is>
      </c>
      <c r="I1534" t="n">
        <v>90</v>
      </c>
      <c r="J1534" t="n">
        <v>100</v>
      </c>
      <c r="CS1534" t="n">
        <v>2</v>
      </c>
      <c r="CT1534" t="n">
        <v>2</v>
      </c>
    </row>
    <row r="1535">
      <c r="A1535" t="n">
        <v>432</v>
      </c>
      <c r="B1535" t="inlineStr">
        <is>
          <t>Intervención a la gestión del riesgo de los colaboradores</t>
        </is>
      </c>
      <c r="C1535" t="inlineStr">
        <is>
          <t>GESTIÓN DE SEGURIDAD Y SALUD EN EL TRABAJO</t>
        </is>
      </c>
      <c r="D1535" t="inlineStr">
        <is>
          <t>Semestral</t>
        </is>
      </c>
      <c r="E1535" t="inlineStr">
        <is>
          <t>Positivo</t>
        </is>
      </c>
      <c r="F1535" s="105" t="n">
        <v>45473</v>
      </c>
      <c r="G1535" t="inlineStr">
        <is>
          <t>432-2024-06-30</t>
        </is>
      </c>
      <c r="H1535" t="inlineStr">
        <is>
          <t>Plan de gestión de riesgo químico</t>
        </is>
      </c>
      <c r="I1535" t="n">
        <v>90</v>
      </c>
      <c r="J1535" t="n">
        <v>100</v>
      </c>
      <c r="CS1535" t="n">
        <v>7</v>
      </c>
      <c r="CT1535" t="n">
        <v>7</v>
      </c>
    </row>
    <row r="1536">
      <c r="A1536" t="n">
        <v>456</v>
      </c>
      <c r="B1536" t="inlineStr">
        <is>
          <t>Impacto de campañas de Mailing</t>
        </is>
      </c>
      <c r="C1536" t="inlineStr">
        <is>
          <t>Comunicaciones Internas</t>
        </is>
      </c>
      <c r="D1536" t="inlineStr">
        <is>
          <t>Semestral</t>
        </is>
      </c>
      <c r="E1536" t="inlineStr">
        <is>
          <t>Positivo</t>
        </is>
      </c>
      <c r="F1536" s="105" t="n">
        <v>45473</v>
      </c>
      <c r="G1536" t="inlineStr">
        <is>
          <t>456-2024-06-30</t>
        </is>
      </c>
      <c r="H1536" t="inlineStr">
        <is>
          <t>Graduados</t>
        </is>
      </c>
      <c r="I1536" t="n">
        <v>100</v>
      </c>
      <c r="J1536" t="n">
        <v>96.43000030517578</v>
      </c>
      <c r="DY1536" t="n">
        <v>28</v>
      </c>
      <c r="DZ1536" t="n">
        <v>27</v>
      </c>
    </row>
    <row r="1537">
      <c r="A1537" t="n">
        <v>456</v>
      </c>
      <c r="B1537" t="inlineStr">
        <is>
          <t>Impacto de campañas de Mailing</t>
        </is>
      </c>
      <c r="C1537" t="inlineStr">
        <is>
          <t>Comunicaciones Internas</t>
        </is>
      </c>
      <c r="D1537" t="inlineStr">
        <is>
          <t>Semestral</t>
        </is>
      </c>
      <c r="E1537" t="inlineStr">
        <is>
          <t>Positivo</t>
        </is>
      </c>
      <c r="F1537" s="105" t="n">
        <v>45473</v>
      </c>
      <c r="G1537" t="inlineStr">
        <is>
          <t>456-2024-06-30</t>
        </is>
      </c>
      <c r="H1537" t="inlineStr">
        <is>
          <t>Colaboradores</t>
        </is>
      </c>
      <c r="I1537" t="n">
        <v>100</v>
      </c>
      <c r="J1537" t="n">
        <v>101.5199966430664</v>
      </c>
      <c r="DY1537" t="n">
        <v>66</v>
      </c>
      <c r="DZ1537" t="n">
        <v>67</v>
      </c>
    </row>
    <row r="1538">
      <c r="A1538" t="n">
        <v>456</v>
      </c>
      <c r="B1538" t="inlineStr">
        <is>
          <t>Impacto de campañas de Mailing</t>
        </is>
      </c>
      <c r="C1538" t="inlineStr">
        <is>
          <t>Comunicaciones Internas</t>
        </is>
      </c>
      <c r="D1538" t="inlineStr">
        <is>
          <t>Semestral</t>
        </is>
      </c>
      <c r="E1538" t="inlineStr">
        <is>
          <t>Positivo</t>
        </is>
      </c>
      <c r="F1538" s="105" t="n">
        <v>45473</v>
      </c>
      <c r="G1538" t="inlineStr">
        <is>
          <t>456-2024-06-30</t>
        </is>
      </c>
      <c r="H1538" t="inlineStr">
        <is>
          <t>Estudiantes</t>
        </is>
      </c>
      <c r="I1538" t="n">
        <v>100</v>
      </c>
      <c r="J1538" t="n">
        <v>100</v>
      </c>
      <c r="DY1538" t="n">
        <v>19</v>
      </c>
      <c r="DZ1538" t="n">
        <v>19</v>
      </c>
    </row>
    <row r="1539">
      <c r="A1539" t="n">
        <v>457</v>
      </c>
      <c r="B1539" t="inlineStr">
        <is>
          <t>Apertura de enlaces en mensajes de texto</t>
        </is>
      </c>
      <c r="C1539" t="inlineStr">
        <is>
          <t>Comunicaciones Internas</t>
        </is>
      </c>
      <c r="D1539" t="inlineStr">
        <is>
          <t>Semestral</t>
        </is>
      </c>
      <c r="E1539" t="inlineStr">
        <is>
          <t>Positivo</t>
        </is>
      </c>
      <c r="F1539" s="105" t="n">
        <v>45473</v>
      </c>
      <c r="G1539" t="inlineStr">
        <is>
          <t>457-2024-06-30</t>
        </is>
      </c>
      <c r="H1539" t="inlineStr">
        <is>
          <t>Estudiantes</t>
        </is>
      </c>
      <c r="I1539" t="n">
        <v>100</v>
      </c>
      <c r="J1539" t="n">
        <v>100</v>
      </c>
      <c r="EA1539" t="n">
        <v>4</v>
      </c>
      <c r="EB1539" t="n">
        <v>4</v>
      </c>
    </row>
    <row r="1540">
      <c r="A1540" t="n">
        <v>457</v>
      </c>
      <c r="B1540" t="inlineStr">
        <is>
          <t>Apertura de enlaces en mensajes de texto</t>
        </is>
      </c>
      <c r="C1540" t="inlineStr">
        <is>
          <t>Comunicaciones Internas</t>
        </is>
      </c>
      <c r="D1540" t="inlineStr">
        <is>
          <t>Semestral</t>
        </is>
      </c>
      <c r="E1540" t="inlineStr">
        <is>
          <t>Positivo</t>
        </is>
      </c>
      <c r="F1540" s="105" t="n">
        <v>45473</v>
      </c>
      <c r="G1540" t="inlineStr">
        <is>
          <t>457-2024-06-30</t>
        </is>
      </c>
      <c r="H1540" t="inlineStr">
        <is>
          <t>Graduados</t>
        </is>
      </c>
      <c r="I1540" t="n">
        <v>100</v>
      </c>
      <c r="J1540" t="n">
        <v>75</v>
      </c>
      <c r="EA1540" t="n">
        <v>4</v>
      </c>
      <c r="EB1540" t="n">
        <v>3</v>
      </c>
    </row>
    <row r="1541">
      <c r="A1541" t="n">
        <v>457</v>
      </c>
      <c r="B1541" t="inlineStr">
        <is>
          <t>Apertura de enlaces en mensajes de texto</t>
        </is>
      </c>
      <c r="C1541" t="inlineStr">
        <is>
          <t>Comunicaciones Internas</t>
        </is>
      </c>
      <c r="D1541" t="inlineStr">
        <is>
          <t>Semestral</t>
        </is>
      </c>
      <c r="E1541" t="inlineStr">
        <is>
          <t>Positivo</t>
        </is>
      </c>
      <c r="F1541" s="105" t="n">
        <v>45473</v>
      </c>
      <c r="G1541" t="inlineStr">
        <is>
          <t>457-2024-06-30</t>
        </is>
      </c>
      <c r="H1541" t="inlineStr">
        <is>
          <t>Colaboradores</t>
        </is>
      </c>
      <c r="I1541" t="n">
        <v>100</v>
      </c>
      <c r="J1541" t="n">
        <v>100</v>
      </c>
      <c r="EA1541" t="n">
        <v>2</v>
      </c>
      <c r="EB1541" t="n">
        <v>2</v>
      </c>
    </row>
    <row r="1542">
      <c r="A1542" t="n">
        <v>469</v>
      </c>
      <c r="B1542" t="inlineStr">
        <is>
          <t>Cumplimiento Plan Anual Áreas sede Medellín</t>
        </is>
      </c>
      <c r="C1542" t="inlineStr">
        <is>
          <t>Planeación Estratégica</t>
        </is>
      </c>
      <c r="D1542" t="inlineStr">
        <is>
          <t>Semestral</t>
        </is>
      </c>
      <c r="E1542" t="inlineStr">
        <is>
          <t>Positivo</t>
        </is>
      </c>
      <c r="F1542" s="105" t="n">
        <v>45473</v>
      </c>
      <c r="G1542" t="inlineStr">
        <is>
          <t>469-2024-06-30</t>
        </is>
      </c>
      <c r="H1542" t="inlineStr">
        <is>
          <t>FSCC- DERECHO Y GOBIERNO-DERECHO</t>
        </is>
      </c>
      <c r="I1542" t="n">
        <v>100</v>
      </c>
      <c r="J1542" t="n">
        <v>91.20999908447266</v>
      </c>
      <c r="DF1542" t="n">
        <v>82</v>
      </c>
      <c r="DG1542" t="n">
        <v>89.90000000000001</v>
      </c>
    </row>
    <row r="1543">
      <c r="A1543" t="n">
        <v>469</v>
      </c>
      <c r="B1543" t="inlineStr">
        <is>
          <t>Cumplimiento Plan Anual Áreas sede Medellín</t>
        </is>
      </c>
      <c r="C1543" t="inlineStr">
        <is>
          <t>Planeación Estratégica</t>
        </is>
      </c>
      <c r="D1543" t="inlineStr">
        <is>
          <t>Semestral</t>
        </is>
      </c>
      <c r="E1543" t="inlineStr">
        <is>
          <t>Positivo</t>
        </is>
      </c>
      <c r="F1543" s="105" t="n">
        <v>45473</v>
      </c>
      <c r="G1543" t="inlineStr">
        <is>
          <t>469-2024-06-30</t>
        </is>
      </c>
      <c r="H1543" t="inlineStr">
        <is>
          <t>FIDI-OPINA-INGENIERIA INDUSTRIAL</t>
        </is>
      </c>
      <c r="I1543" t="n">
        <v>100</v>
      </c>
      <c r="J1543" t="n">
        <v>112</v>
      </c>
      <c r="DF1543" t="n">
        <v>45.75</v>
      </c>
      <c r="DG1543" t="n">
        <v>40.85</v>
      </c>
    </row>
    <row r="1544">
      <c r="A1544" t="n">
        <v>469</v>
      </c>
      <c r="B1544" t="inlineStr">
        <is>
          <t>Cumplimiento Plan Anual Áreas sede Medellín</t>
        </is>
      </c>
      <c r="C1544" t="inlineStr">
        <is>
          <t>Planeación Estratégica</t>
        </is>
      </c>
      <c r="D1544" t="inlineStr">
        <is>
          <t>Semestral</t>
        </is>
      </c>
      <c r="E1544" t="inlineStr">
        <is>
          <t>Positivo</t>
        </is>
      </c>
      <c r="F1544" s="105" t="n">
        <v>45473</v>
      </c>
      <c r="G1544" t="inlineStr">
        <is>
          <t>469-2024-06-30</t>
        </is>
      </c>
      <c r="H1544" t="inlineStr">
        <is>
          <t>FIDI-CIENCIAS BÁSICAS MED</t>
        </is>
      </c>
      <c r="I1544" t="n">
        <v>100</v>
      </c>
      <c r="J1544" t="n">
        <v>99.08999633789062</v>
      </c>
      <c r="DF1544" t="n">
        <v>50</v>
      </c>
      <c r="DG1544" t="n">
        <v>50.46</v>
      </c>
    </row>
    <row r="1545">
      <c r="A1545" t="n">
        <v>469</v>
      </c>
      <c r="B1545" t="inlineStr">
        <is>
          <t>Cumplimiento Plan Anual Áreas sede Medellín</t>
        </is>
      </c>
      <c r="C1545" t="inlineStr">
        <is>
          <t>Planeación Estratégica</t>
        </is>
      </c>
      <c r="D1545" t="inlineStr">
        <is>
          <t>Semestral</t>
        </is>
      </c>
      <c r="E1545" t="inlineStr">
        <is>
          <t>Positivo</t>
        </is>
      </c>
      <c r="F1545" s="105" t="n">
        <v>45473</v>
      </c>
      <c r="G1545" t="inlineStr">
        <is>
          <t>469-2024-06-30</t>
        </is>
      </c>
      <c r="H1545" t="inlineStr">
        <is>
          <t>DIRECCIÓN DE MATRÍCULAS</t>
        </is>
      </c>
      <c r="I1545" t="n">
        <v>100</v>
      </c>
      <c r="J1545" t="n">
        <v>100</v>
      </c>
      <c r="DF1545" t="n">
        <v>100</v>
      </c>
      <c r="DG1545" t="n">
        <v>100</v>
      </c>
    </row>
    <row r="1546">
      <c r="A1546" t="n">
        <v>469</v>
      </c>
      <c r="B1546" t="inlineStr">
        <is>
          <t>Cumplimiento Plan Anual Áreas sede Medellín</t>
        </is>
      </c>
      <c r="C1546" t="inlineStr">
        <is>
          <t>Planeación Estratégica</t>
        </is>
      </c>
      <c r="D1546" t="inlineStr">
        <is>
          <t>Semestral</t>
        </is>
      </c>
      <c r="E1546" t="inlineStr">
        <is>
          <t>Positivo</t>
        </is>
      </c>
      <c r="F1546" s="105" t="n">
        <v>45473</v>
      </c>
      <c r="G1546" t="inlineStr">
        <is>
          <t>469-2024-06-30</t>
        </is>
      </c>
      <c r="H1546" t="inlineStr">
        <is>
          <t>FSCC - MARKETING MED</t>
        </is>
      </c>
      <c r="I1546" t="n">
        <v>100</v>
      </c>
      <c r="J1546" t="n">
        <v>144.5899963378906</v>
      </c>
      <c r="DF1546" t="n">
        <v>50</v>
      </c>
      <c r="DG1546" t="n">
        <v>34.58</v>
      </c>
    </row>
    <row r="1547">
      <c r="A1547" t="n">
        <v>469</v>
      </c>
      <c r="B1547" t="inlineStr">
        <is>
          <t>Cumplimiento Plan Anual Áreas sede Medellín</t>
        </is>
      </c>
      <c r="C1547" t="inlineStr">
        <is>
          <t>Planeación Estratégica</t>
        </is>
      </c>
      <c r="D1547" t="inlineStr">
        <is>
          <t>Semestral</t>
        </is>
      </c>
      <c r="E1547" t="inlineStr">
        <is>
          <t>Positivo</t>
        </is>
      </c>
      <c r="F1547" s="105" t="n">
        <v>45473</v>
      </c>
      <c r="G1547" t="inlineStr">
        <is>
          <t>469-2024-06-30</t>
        </is>
      </c>
      <c r="H1547" t="inlineStr">
        <is>
          <t>FIDI-TIC -INGENIERIA DE SISTEMAS</t>
        </is>
      </c>
      <c r="I1547" t="n">
        <v>100</v>
      </c>
      <c r="J1547" t="n">
        <v>135.9400024414062</v>
      </c>
      <c r="DF1547" t="n">
        <v>40.36</v>
      </c>
      <c r="DG1547" t="n">
        <v>29.69</v>
      </c>
    </row>
    <row r="1548">
      <c r="A1548" t="n">
        <v>469</v>
      </c>
      <c r="B1548" t="inlineStr">
        <is>
          <t>Cumplimiento Plan Anual Áreas sede Medellín</t>
        </is>
      </c>
      <c r="C1548" t="inlineStr">
        <is>
          <t>Planeación Estratégica</t>
        </is>
      </c>
      <c r="D1548" t="inlineStr">
        <is>
          <t>Semestral</t>
        </is>
      </c>
      <c r="E1548" t="inlineStr">
        <is>
          <t>Positivo</t>
        </is>
      </c>
      <c r="F1548" s="105" t="n">
        <v>45473</v>
      </c>
      <c r="G1548" t="inlineStr">
        <is>
          <t>469-2024-06-30</t>
        </is>
      </c>
      <c r="H1548" t="inlineStr">
        <is>
          <t>FSCC- EST.PSIC,TH Y SOC- PSICOLOGIA</t>
        </is>
      </c>
      <c r="I1548" t="n">
        <v>100</v>
      </c>
      <c r="J1548" t="n">
        <v>125.1399993896484</v>
      </c>
      <c r="DF1548" t="n">
        <v>68.75</v>
      </c>
      <c r="DG1548" t="n">
        <v>54.94</v>
      </c>
    </row>
    <row r="1549">
      <c r="A1549" t="n">
        <v>469</v>
      </c>
      <c r="B1549" t="inlineStr">
        <is>
          <t>Cumplimiento Plan Anual Áreas sede Medellín</t>
        </is>
      </c>
      <c r="C1549" t="inlineStr">
        <is>
          <t>Planeación Estratégica</t>
        </is>
      </c>
      <c r="D1549" t="inlineStr">
        <is>
          <t>Semestral</t>
        </is>
      </c>
      <c r="E1549" t="inlineStr">
        <is>
          <t>Positivo</t>
        </is>
      </c>
      <c r="F1549" s="105" t="n">
        <v>45473</v>
      </c>
      <c r="G1549" t="inlineStr">
        <is>
          <t>469-2024-06-30</t>
        </is>
      </c>
      <c r="H1549" t="inlineStr">
        <is>
          <t>FIDI-DISEÑO-DISEÑO GRAFICO</t>
        </is>
      </c>
      <c r="I1549" t="n">
        <v>100</v>
      </c>
      <c r="J1549" t="n">
        <v>109.1600036621094</v>
      </c>
      <c r="DF1549" t="n">
        <v>43.61</v>
      </c>
      <c r="DG1549" t="n">
        <v>39.95</v>
      </c>
    </row>
    <row r="1550">
      <c r="A1550" t="n">
        <v>469</v>
      </c>
      <c r="B1550" t="inlineStr">
        <is>
          <t>Cumplimiento Plan Anual Áreas sede Medellín</t>
        </is>
      </c>
      <c r="C1550" t="inlineStr">
        <is>
          <t>Planeación Estratégica</t>
        </is>
      </c>
      <c r="D1550" t="inlineStr">
        <is>
          <t>Semestral</t>
        </is>
      </c>
      <c r="E1550" t="inlineStr">
        <is>
          <t>Positivo</t>
        </is>
      </c>
      <c r="F1550" s="105" t="n">
        <v>45473</v>
      </c>
      <c r="G1550" t="inlineStr">
        <is>
          <t>469-2024-06-30</t>
        </is>
      </c>
      <c r="H1550" t="inlineStr">
        <is>
          <t>ADMON DE EMPRESAS</t>
        </is>
      </c>
      <c r="I1550" t="n">
        <v>100</v>
      </c>
      <c r="J1550" t="n">
        <v>99.66999816894531</v>
      </c>
      <c r="DF1550" t="n">
        <v>68.75</v>
      </c>
      <c r="DG1550" t="n">
        <v>68.98</v>
      </c>
    </row>
    <row r="1551">
      <c r="A1551" t="n">
        <v>469</v>
      </c>
      <c r="B1551" t="inlineStr">
        <is>
          <t>Cumplimiento Plan Anual Áreas sede Medellín</t>
        </is>
      </c>
      <c r="C1551" t="inlineStr">
        <is>
          <t>Planeación Estratégica</t>
        </is>
      </c>
      <c r="D1551" t="inlineStr">
        <is>
          <t>Semestral</t>
        </is>
      </c>
      <c r="E1551" t="inlineStr">
        <is>
          <t>Positivo</t>
        </is>
      </c>
      <c r="F1551" s="105" t="n">
        <v>45473</v>
      </c>
      <c r="G1551" t="inlineStr">
        <is>
          <t>469-2024-06-30</t>
        </is>
      </c>
      <c r="H1551" t="inlineStr">
        <is>
          <t>FNGS-NEG Y DLLO INTER-NEGOCIOS INTERNACIONALES</t>
        </is>
      </c>
      <c r="I1551" t="n">
        <v>100</v>
      </c>
      <c r="J1551" t="n">
        <v>126.5</v>
      </c>
      <c r="DF1551" t="n">
        <v>72.5</v>
      </c>
      <c r="DG1551" t="n">
        <v>57.31</v>
      </c>
    </row>
    <row r="1552">
      <c r="A1552" t="n">
        <v>470</v>
      </c>
      <c r="B1552" t="inlineStr">
        <is>
          <t>Cumplimiento plan anual Secretaria académica y de extensión</t>
        </is>
      </c>
      <c r="C1552" t="inlineStr">
        <is>
          <t>Planeación Estratégica</t>
        </is>
      </c>
      <c r="D1552" t="inlineStr">
        <is>
          <t>Semestral</t>
        </is>
      </c>
      <c r="E1552" t="inlineStr">
        <is>
          <t>Positivo</t>
        </is>
      </c>
      <c r="F1552" s="105" t="n">
        <v>45473</v>
      </c>
      <c r="G1552" t="inlineStr">
        <is>
          <t>470-2024-06-30</t>
        </is>
      </c>
      <c r="H1552" t="inlineStr">
        <is>
          <t>DIRECTOR SISTEMA NACIONAL DE BIBLIOTECAS</t>
        </is>
      </c>
      <c r="I1552" t="n">
        <v>100</v>
      </c>
      <c r="J1552" t="n">
        <v>105.6500015258789</v>
      </c>
      <c r="DH1552" t="n">
        <v>60</v>
      </c>
      <c r="DI1552" t="n">
        <v>56.79</v>
      </c>
    </row>
    <row r="1553">
      <c r="A1553" t="n">
        <v>470</v>
      </c>
      <c r="B1553" t="inlineStr">
        <is>
          <t>Cumplimiento plan anual Secretaria académica y de extensión</t>
        </is>
      </c>
      <c r="C1553" t="inlineStr">
        <is>
          <t>Planeación Estratégica</t>
        </is>
      </c>
      <c r="D1553" t="inlineStr">
        <is>
          <t>Semestral</t>
        </is>
      </c>
      <c r="E1553" t="inlineStr">
        <is>
          <t>Positivo</t>
        </is>
      </c>
      <c r="F1553" s="105" t="n">
        <v>45473</v>
      </c>
      <c r="G1553" t="inlineStr">
        <is>
          <t>470-2024-06-30</t>
        </is>
      </c>
      <c r="H1553" t="inlineStr">
        <is>
          <t>DIRECTOR AGENCIA TROMPO</t>
        </is>
      </c>
      <c r="I1553" t="n">
        <v>100</v>
      </c>
      <c r="J1553" t="n">
        <v>121.3099975585938</v>
      </c>
      <c r="DH1553" t="n">
        <v>90</v>
      </c>
      <c r="DI1553" t="n">
        <v>74.19</v>
      </c>
    </row>
    <row r="1554">
      <c r="A1554" t="n">
        <v>470</v>
      </c>
      <c r="B1554" t="inlineStr">
        <is>
          <t>Cumplimiento plan anual Secretaria académica y de extensión</t>
        </is>
      </c>
      <c r="C1554" t="inlineStr">
        <is>
          <t>Planeación Estratégica</t>
        </is>
      </c>
      <c r="D1554" t="inlineStr">
        <is>
          <t>Semestral</t>
        </is>
      </c>
      <c r="E1554" t="inlineStr">
        <is>
          <t>Positivo</t>
        </is>
      </c>
      <c r="F1554" s="105" t="n">
        <v>45473</v>
      </c>
      <c r="G1554" t="inlineStr">
        <is>
          <t>470-2024-06-30</t>
        </is>
      </c>
      <c r="H1554" t="inlineStr">
        <is>
          <t>DIRECTOR CENTRO MEDIOS AUDIOVISUALES</t>
        </is>
      </c>
      <c r="I1554" t="n">
        <v>100</v>
      </c>
      <c r="J1554" t="n">
        <v>111.7600021362305</v>
      </c>
      <c r="DH1554" t="n">
        <v>80</v>
      </c>
      <c r="DI1554" t="n">
        <v>71.58</v>
      </c>
    </row>
    <row r="1555">
      <c r="A1555" t="n">
        <v>470</v>
      </c>
      <c r="B1555" t="inlineStr">
        <is>
          <t>Cumplimiento plan anual Secretaria académica y de extensión</t>
        </is>
      </c>
      <c r="C1555" t="inlineStr">
        <is>
          <t>Planeación Estratégica</t>
        </is>
      </c>
      <c r="D1555" t="inlineStr">
        <is>
          <t>Semestral</t>
        </is>
      </c>
      <c r="E1555" t="inlineStr">
        <is>
          <t>Positivo</t>
        </is>
      </c>
      <c r="F1555" s="105" t="n">
        <v>45473</v>
      </c>
      <c r="G1555" t="inlineStr">
        <is>
          <t>470-2024-06-30</t>
        </is>
      </c>
      <c r="H1555" t="inlineStr">
        <is>
          <t>DIRECTOR EDITORIAL</t>
        </is>
      </c>
      <c r="I1555" t="n">
        <v>100</v>
      </c>
      <c r="J1555" t="n">
        <v>93.97000122070312</v>
      </c>
      <c r="DH1555" t="n">
        <v>63.75</v>
      </c>
      <c r="DI1555" t="n">
        <v>67.84</v>
      </c>
    </row>
    <row r="1556">
      <c r="A1556" t="n">
        <v>470</v>
      </c>
      <c r="B1556" t="inlineStr">
        <is>
          <t>Cumplimiento plan anual Secretaria académica y de extensión</t>
        </is>
      </c>
      <c r="C1556" t="inlineStr">
        <is>
          <t>Planeación Estratégica</t>
        </is>
      </c>
      <c r="D1556" t="inlineStr">
        <is>
          <t>Semestral</t>
        </is>
      </c>
      <c r="E1556" t="inlineStr">
        <is>
          <t>Positivo</t>
        </is>
      </c>
      <c r="F1556" s="105" t="n">
        <v>45473</v>
      </c>
      <c r="G1556" t="inlineStr">
        <is>
          <t>470-2024-06-30</t>
        </is>
      </c>
      <c r="H1556" t="inlineStr">
        <is>
          <t>DIRECTOR DE GRADUADOS Y PROYECCION EMP.</t>
        </is>
      </c>
      <c r="I1556" t="n">
        <v>100</v>
      </c>
      <c r="J1556" t="n">
        <v>157.8200073242188</v>
      </c>
      <c r="DH1556" t="n">
        <v>55</v>
      </c>
      <c r="DI1556" t="n">
        <v>34.85</v>
      </c>
    </row>
    <row r="1557">
      <c r="A1557" t="n">
        <v>471</v>
      </c>
      <c r="B1557" t="inlineStr">
        <is>
          <t>Cumplimiento plan anual Gerencia de Talento Humano</t>
        </is>
      </c>
      <c r="C1557" t="inlineStr">
        <is>
          <t>Planeación Estratégica</t>
        </is>
      </c>
      <c r="D1557" t="inlineStr">
        <is>
          <t>Semestral</t>
        </is>
      </c>
      <c r="E1557" t="inlineStr">
        <is>
          <t>Positivo</t>
        </is>
      </c>
      <c r="F1557" s="105" t="n">
        <v>45473</v>
      </c>
      <c r="G1557" t="inlineStr">
        <is>
          <t>471-2024-06-30</t>
        </is>
      </c>
      <c r="H1557" t="inlineStr">
        <is>
          <t>DIRECTOR DE BIENESTAR Y RELAC. LABORALES</t>
        </is>
      </c>
      <c r="I1557" t="n">
        <v>100</v>
      </c>
      <c r="J1557" t="n">
        <v>80.31999969482422</v>
      </c>
      <c r="DJ1557" t="n">
        <v>55</v>
      </c>
      <c r="DK1557" t="n">
        <v>68.48</v>
      </c>
    </row>
    <row r="1558">
      <c r="A1558" t="n">
        <v>471</v>
      </c>
      <c r="B1558" t="inlineStr">
        <is>
          <t>Cumplimiento plan anual Gerencia de Talento Humano</t>
        </is>
      </c>
      <c r="C1558" t="inlineStr">
        <is>
          <t>Planeación Estratégica</t>
        </is>
      </c>
      <c r="D1558" t="inlineStr">
        <is>
          <t>Semestral</t>
        </is>
      </c>
      <c r="E1558" t="inlineStr">
        <is>
          <t>Positivo</t>
        </is>
      </c>
      <c r="F1558" s="105" t="n">
        <v>45473</v>
      </c>
      <c r="G1558" t="inlineStr">
        <is>
          <t>471-2024-06-30</t>
        </is>
      </c>
      <c r="H1558" t="inlineStr">
        <is>
          <t>DIRECTOR DE GESTION DE TALENTO</t>
        </is>
      </c>
      <c r="I1558" t="n">
        <v>100</v>
      </c>
      <c r="J1558" t="n">
        <v>121.1699981689453</v>
      </c>
      <c r="DJ1558" t="n">
        <v>62.5</v>
      </c>
      <c r="DK1558" t="n">
        <v>51.58</v>
      </c>
    </row>
    <row r="1559">
      <c r="A1559" t="n">
        <v>471</v>
      </c>
      <c r="B1559" t="inlineStr">
        <is>
          <t>Cumplimiento plan anual Gerencia de Talento Humano</t>
        </is>
      </c>
      <c r="C1559" t="inlineStr">
        <is>
          <t>Planeación Estratégica</t>
        </is>
      </c>
      <c r="D1559" t="inlineStr">
        <is>
          <t>Semestral</t>
        </is>
      </c>
      <c r="E1559" t="inlineStr">
        <is>
          <t>Positivo</t>
        </is>
      </c>
      <c r="F1559" s="105" t="n">
        <v>45473</v>
      </c>
      <c r="G1559" t="inlineStr">
        <is>
          <t>471-2024-06-30</t>
        </is>
      </c>
      <c r="H1559" t="inlineStr">
        <is>
          <t>DIRECTOR DE RELACIONES PUBLICAS Y PROTOC</t>
        </is>
      </c>
      <c r="I1559" t="n">
        <v>100</v>
      </c>
      <c r="J1559" t="n">
        <v>108.8300018310547</v>
      </c>
      <c r="DJ1559" t="n">
        <v>60</v>
      </c>
      <c r="DK1559" t="n">
        <v>55.13</v>
      </c>
    </row>
    <row r="1560">
      <c r="A1560" t="n">
        <v>471</v>
      </c>
      <c r="B1560" t="inlineStr">
        <is>
          <t>Cumplimiento plan anual Gerencia de Talento Humano</t>
        </is>
      </c>
      <c r="C1560" t="inlineStr">
        <is>
          <t>Planeación Estratégica</t>
        </is>
      </c>
      <c r="D1560" t="inlineStr">
        <is>
          <t>Semestral</t>
        </is>
      </c>
      <c r="E1560" t="inlineStr">
        <is>
          <t>Positivo</t>
        </is>
      </c>
      <c r="F1560" s="105" t="n">
        <v>45473</v>
      </c>
      <c r="G1560" t="inlineStr">
        <is>
          <t>471-2024-06-30</t>
        </is>
      </c>
      <c r="H1560" t="inlineStr">
        <is>
          <t>DIRECTOR DE FORMACION Y DESARROLLO</t>
        </is>
      </c>
      <c r="I1560" t="n">
        <v>100</v>
      </c>
      <c r="J1560" t="n">
        <v>76.22000122070312</v>
      </c>
      <c r="DJ1560" t="n">
        <v>37.5</v>
      </c>
      <c r="DK1560" t="n">
        <v>49.2</v>
      </c>
    </row>
    <row r="1561">
      <c r="A1561" t="n">
        <v>471</v>
      </c>
      <c r="B1561" t="inlineStr">
        <is>
          <t>Cumplimiento plan anual Gerencia de Talento Humano</t>
        </is>
      </c>
      <c r="C1561" t="inlineStr">
        <is>
          <t>Planeación Estratégica</t>
        </is>
      </c>
      <c r="D1561" t="inlineStr">
        <is>
          <t>Semestral</t>
        </is>
      </c>
      <c r="E1561" t="inlineStr">
        <is>
          <t>Positivo</t>
        </is>
      </c>
      <c r="F1561" s="105" t="n">
        <v>45473</v>
      </c>
      <c r="G1561" t="inlineStr">
        <is>
          <t>471-2024-06-30</t>
        </is>
      </c>
      <c r="H1561" t="inlineStr">
        <is>
          <t>DIRECTOR DE COMUNICACIONES</t>
        </is>
      </c>
      <c r="I1561" t="n">
        <v>100</v>
      </c>
      <c r="J1561" t="n">
        <v>95.58999633789062</v>
      </c>
      <c r="DJ1561" t="n">
        <v>64.17</v>
      </c>
      <c r="DK1561" t="n">
        <v>67.13</v>
      </c>
    </row>
    <row r="1562">
      <c r="A1562" t="n">
        <v>471</v>
      </c>
      <c r="B1562" t="inlineStr">
        <is>
          <t>Cumplimiento plan anual Gerencia de Talento Humano</t>
        </is>
      </c>
      <c r="C1562" t="inlineStr">
        <is>
          <t>Planeación Estratégica</t>
        </is>
      </c>
      <c r="D1562" t="inlineStr">
        <is>
          <t>Semestral</t>
        </is>
      </c>
      <c r="E1562" t="inlineStr">
        <is>
          <t>Positivo</t>
        </is>
      </c>
      <c r="F1562" s="105" t="n">
        <v>45473</v>
      </c>
      <c r="G1562" t="inlineStr">
        <is>
          <t>471-2024-06-30</t>
        </is>
      </c>
      <c r="H1562" t="inlineStr">
        <is>
          <t>DIRECTOR DE ADMON LABORAL Y COMPENSACION</t>
        </is>
      </c>
      <c r="I1562" t="n">
        <v>100</v>
      </c>
      <c r="J1562" t="n">
        <v>108.4100036621094</v>
      </c>
      <c r="DJ1562" t="n">
        <v>50</v>
      </c>
      <c r="DK1562" t="n">
        <v>46.12</v>
      </c>
    </row>
    <row r="1563">
      <c r="A1563" t="n">
        <v>471</v>
      </c>
      <c r="B1563" t="inlineStr">
        <is>
          <t>Cumplimiento plan anual Gerencia de Talento Humano</t>
        </is>
      </c>
      <c r="C1563" t="inlineStr">
        <is>
          <t>Planeación Estratégica</t>
        </is>
      </c>
      <c r="D1563" t="inlineStr">
        <is>
          <t>Semestral</t>
        </is>
      </c>
      <c r="E1563" t="inlineStr">
        <is>
          <t>Positivo</t>
        </is>
      </c>
      <c r="F1563" s="105" t="n">
        <v>45473</v>
      </c>
      <c r="G1563" t="inlineStr">
        <is>
          <t>471-2024-06-30</t>
        </is>
      </c>
      <c r="H1563" t="inlineStr">
        <is>
          <t>DIRECTOR DE COMUN. EXTERNAS SED MEDELLIN</t>
        </is>
      </c>
      <c r="I1563" t="n">
        <v>100</v>
      </c>
      <c r="J1563" t="n">
        <v>148.3899993896484</v>
      </c>
      <c r="DJ1563" t="n">
        <v>100</v>
      </c>
      <c r="DK1563" t="n">
        <v>67.39</v>
      </c>
    </row>
    <row r="1564">
      <c r="A1564" t="n">
        <v>208</v>
      </c>
      <c r="B1564" t="inlineStr">
        <is>
          <t>Consumo de Agua m3 Mensual</t>
        </is>
      </c>
      <c r="C1564" t="inlineStr">
        <is>
          <t>GESTIÓN AMBIENTAL</t>
        </is>
      </c>
      <c r="D1564" t="inlineStr">
        <is>
          <t>Mensual</t>
        </is>
      </c>
      <c r="E1564" t="inlineStr">
        <is>
          <t>Negativo</t>
        </is>
      </c>
      <c r="F1564" s="105" t="n">
        <v>45504</v>
      </c>
      <c r="G1564" t="inlineStr">
        <is>
          <t>208-2024-07-31</t>
        </is>
      </c>
      <c r="H1564" t="inlineStr">
        <is>
          <t>Campus Bogotá</t>
        </is>
      </c>
      <c r="I1564" t="n">
        <v>950</v>
      </c>
      <c r="J1564" t="n">
        <v>608</v>
      </c>
      <c r="K1564" t="n">
        <v>608</v>
      </c>
    </row>
    <row r="1565">
      <c r="A1565" t="n">
        <v>208</v>
      </c>
      <c r="B1565" t="inlineStr">
        <is>
          <t>Consumo de Agua m3 Mensual</t>
        </is>
      </c>
      <c r="C1565" t="inlineStr">
        <is>
          <t>GESTIÓN AMBIENTAL</t>
        </is>
      </c>
      <c r="D1565" t="inlineStr">
        <is>
          <t>Mensual</t>
        </is>
      </c>
      <c r="E1565" t="inlineStr">
        <is>
          <t>Negativo</t>
        </is>
      </c>
      <c r="F1565" s="105" t="n">
        <v>45504</v>
      </c>
      <c r="G1565" t="inlineStr">
        <is>
          <t>208-2024-07-31</t>
        </is>
      </c>
      <c r="H1565" t="inlineStr">
        <is>
          <t>City Campus</t>
        </is>
      </c>
      <c r="I1565" t="n">
        <v>350</v>
      </c>
      <c r="J1565" t="n">
        <v>258</v>
      </c>
      <c r="K1565" t="n">
        <v>258</v>
      </c>
    </row>
    <row r="1566">
      <c r="A1566" t="n">
        <v>208</v>
      </c>
      <c r="B1566" t="inlineStr">
        <is>
          <t>Consumo de Agua m3 Mensual</t>
        </is>
      </c>
      <c r="C1566" t="inlineStr">
        <is>
          <t>GESTIÓN AMBIENTAL</t>
        </is>
      </c>
      <c r="D1566" t="inlineStr">
        <is>
          <t>Mensual</t>
        </is>
      </c>
      <c r="E1566" t="inlineStr">
        <is>
          <t>Negativo</t>
        </is>
      </c>
      <c r="F1566" s="105" t="n">
        <v>45504</v>
      </c>
      <c r="G1566" t="inlineStr">
        <is>
          <t>208-2024-07-31</t>
        </is>
      </c>
      <c r="H1566" t="inlineStr">
        <is>
          <t>Sede Posgrado-Calle 85</t>
        </is>
      </c>
      <c r="I1566" t="n">
        <v>25</v>
      </c>
      <c r="J1566" t="n">
        <v>5</v>
      </c>
      <c r="K1566" t="n">
        <v>5</v>
      </c>
    </row>
    <row r="1567">
      <c r="A1567" t="n">
        <v>208</v>
      </c>
      <c r="B1567" t="inlineStr">
        <is>
          <t>Consumo de Agua m3 Mensual</t>
        </is>
      </c>
      <c r="C1567" t="inlineStr">
        <is>
          <t>GESTIÓN AMBIENTAL</t>
        </is>
      </c>
      <c r="D1567" t="inlineStr">
        <is>
          <t>Mensual</t>
        </is>
      </c>
      <c r="E1567" t="inlineStr">
        <is>
          <t>Negativo</t>
        </is>
      </c>
      <c r="F1567" s="105" t="n">
        <v>45504</v>
      </c>
      <c r="G1567" t="inlineStr">
        <is>
          <t>208-2024-07-31</t>
        </is>
      </c>
      <c r="H1567" t="inlineStr">
        <is>
          <t>Campus-Medellín</t>
        </is>
      </c>
      <c r="I1567" t="n">
        <v>200</v>
      </c>
      <c r="J1567" t="n">
        <v>208</v>
      </c>
      <c r="K1567" t="n">
        <v>208</v>
      </c>
    </row>
    <row r="1568">
      <c r="A1568" t="n">
        <v>208</v>
      </c>
      <c r="B1568" t="inlineStr">
        <is>
          <t>Consumo de Agua m3 Mensual</t>
        </is>
      </c>
      <c r="C1568" t="inlineStr">
        <is>
          <t>GESTIÓN AMBIENTAL</t>
        </is>
      </c>
      <c r="D1568" t="inlineStr">
        <is>
          <t>Mensual</t>
        </is>
      </c>
      <c r="E1568" t="inlineStr">
        <is>
          <t>Negativo</t>
        </is>
      </c>
      <c r="F1568" s="105" t="n">
        <v>45504</v>
      </c>
      <c r="G1568" t="inlineStr">
        <is>
          <t>208-2024-07-31</t>
        </is>
      </c>
      <c r="H1568" t="inlineStr">
        <is>
          <t>Sede Bienestar - Medellín</t>
        </is>
      </c>
      <c r="I1568" t="n">
        <v>0</v>
      </c>
      <c r="J1568" t="n">
        <v>0</v>
      </c>
      <c r="K1568" t="n">
        <v>0</v>
      </c>
    </row>
    <row r="1569">
      <c r="A1569" t="n">
        <v>208</v>
      </c>
      <c r="B1569" t="inlineStr">
        <is>
          <t>Consumo de Agua m3 Mensual</t>
        </is>
      </c>
      <c r="C1569" t="inlineStr">
        <is>
          <t>GESTIÓN AMBIENTAL</t>
        </is>
      </c>
      <c r="D1569" t="inlineStr">
        <is>
          <t>Mensual</t>
        </is>
      </c>
      <c r="E1569" t="inlineStr">
        <is>
          <t>Negativo</t>
        </is>
      </c>
      <c r="F1569" s="105" t="n">
        <v>45504</v>
      </c>
      <c r="G1569" t="inlineStr">
        <is>
          <t>208-2024-07-31</t>
        </is>
      </c>
      <c r="H1569" t="inlineStr">
        <is>
          <t>Consultorio Psicología - Medellin</t>
        </is>
      </c>
      <c r="I1569" t="n">
        <v>25</v>
      </c>
      <c r="J1569" t="n">
        <v>7</v>
      </c>
      <c r="K1569" t="n">
        <v>7</v>
      </c>
    </row>
    <row r="1570">
      <c r="A1570" t="n">
        <v>214</v>
      </c>
      <c r="B1570" t="inlineStr">
        <is>
          <t>Generación de Residuos Sólidos Mensual</t>
        </is>
      </c>
      <c r="C1570" t="inlineStr">
        <is>
          <t>GESTIÓN AMBIENTAL</t>
        </is>
      </c>
      <c r="D1570" t="inlineStr">
        <is>
          <t>Mensual</t>
        </is>
      </c>
      <c r="E1570" t="inlineStr">
        <is>
          <t>Negativo</t>
        </is>
      </c>
      <c r="F1570" s="105" t="n">
        <v>45504</v>
      </c>
      <c r="G1570" t="inlineStr">
        <is>
          <t>214-2024-07-31</t>
        </is>
      </c>
      <c r="H1570" t="inlineStr">
        <is>
          <t>Campus Bogotá</t>
        </is>
      </c>
      <c r="I1570" t="n">
        <v>5500</v>
      </c>
      <c r="J1570" t="n">
        <v>1401</v>
      </c>
      <c r="L1570" t="n">
        <v>659</v>
      </c>
      <c r="M1570" t="n">
        <v>1134</v>
      </c>
    </row>
    <row r="1571">
      <c r="A1571" t="n">
        <v>214</v>
      </c>
      <c r="B1571" t="inlineStr">
        <is>
          <t>Generación de Residuos Sólidos Mensual</t>
        </is>
      </c>
      <c r="C1571" t="inlineStr">
        <is>
          <t>GESTIÓN AMBIENTAL</t>
        </is>
      </c>
      <c r="D1571" t="inlineStr">
        <is>
          <t>Mensual</t>
        </is>
      </c>
      <c r="E1571" t="inlineStr">
        <is>
          <t>Negativo</t>
        </is>
      </c>
      <c r="F1571" s="105" t="n">
        <v>45504</v>
      </c>
      <c r="G1571" t="inlineStr">
        <is>
          <t>214-2024-07-31</t>
        </is>
      </c>
      <c r="H1571" t="inlineStr">
        <is>
          <t>City Campus</t>
        </is>
      </c>
      <c r="I1571" t="n">
        <v>1000</v>
      </c>
      <c r="J1571" t="n">
        <v>571.8300170898438</v>
      </c>
      <c r="L1571" t="n">
        <v>122.68</v>
      </c>
      <c r="M1571" t="n">
        <v>596.2</v>
      </c>
    </row>
    <row r="1572">
      <c r="A1572" t="n">
        <v>214</v>
      </c>
      <c r="B1572" t="inlineStr">
        <is>
          <t>Generación de Residuos Sólidos Mensual</t>
        </is>
      </c>
      <c r="C1572" t="inlineStr">
        <is>
          <t>GESTIÓN AMBIENTAL</t>
        </is>
      </c>
      <c r="D1572" t="inlineStr">
        <is>
          <t>Mensual</t>
        </is>
      </c>
      <c r="E1572" t="inlineStr">
        <is>
          <t>Negativo</t>
        </is>
      </c>
      <c r="F1572" s="105" t="n">
        <v>45504</v>
      </c>
      <c r="G1572" t="inlineStr">
        <is>
          <t>214-2024-07-31</t>
        </is>
      </c>
      <c r="H1572" t="inlineStr">
        <is>
          <t>Sede Posgrado-Calle 85</t>
        </is>
      </c>
      <c r="I1572" t="n">
        <v>7500</v>
      </c>
      <c r="J1572" t="n">
        <v>0</v>
      </c>
      <c r="L1572" t="n">
        <v>0</v>
      </c>
      <c r="M1572" t="n">
        <v>0</v>
      </c>
    </row>
    <row r="1573">
      <c r="A1573" t="n">
        <v>214</v>
      </c>
      <c r="B1573" t="inlineStr">
        <is>
          <t>Generación de Residuos Sólidos Mensual</t>
        </is>
      </c>
      <c r="C1573" t="inlineStr">
        <is>
          <t>GESTIÓN AMBIENTAL</t>
        </is>
      </c>
      <c r="D1573" t="inlineStr">
        <is>
          <t>Mensual</t>
        </is>
      </c>
      <c r="E1573" t="inlineStr">
        <is>
          <t>Negativo</t>
        </is>
      </c>
      <c r="F1573" s="105" t="n">
        <v>45504</v>
      </c>
      <c r="G1573" t="inlineStr">
        <is>
          <t>214-2024-07-31</t>
        </is>
      </c>
      <c r="H1573" t="inlineStr">
        <is>
          <t>Campus-Medellín</t>
        </is>
      </c>
      <c r="I1573" t="n">
        <v>1000</v>
      </c>
      <c r="J1573" t="n">
        <v>594.5999755859375</v>
      </c>
      <c r="L1573" t="n">
        <v>82.40000000000001</v>
      </c>
      <c r="M1573" t="n">
        <v>512.2</v>
      </c>
    </row>
    <row r="1574">
      <c r="A1574" t="n">
        <v>214</v>
      </c>
      <c r="B1574" t="inlineStr">
        <is>
          <t>Generación de Residuos Sólidos Mensual</t>
        </is>
      </c>
      <c r="C1574" t="inlineStr">
        <is>
          <t>GESTIÓN AMBIENTAL</t>
        </is>
      </c>
      <c r="D1574" t="inlineStr">
        <is>
          <t>Mensual</t>
        </is>
      </c>
      <c r="E1574" t="inlineStr">
        <is>
          <t>Negativo</t>
        </is>
      </c>
      <c r="F1574" s="105" t="n">
        <v>45504</v>
      </c>
      <c r="G1574" t="inlineStr">
        <is>
          <t>214-2024-07-31</t>
        </is>
      </c>
      <c r="H1574" t="inlineStr">
        <is>
          <t>Sede Bienestar - Medellín</t>
        </is>
      </c>
      <c r="I1574" t="n">
        <v>1</v>
      </c>
      <c r="J1574" t="n">
        <v>0</v>
      </c>
      <c r="L1574" t="n">
        <v>0</v>
      </c>
      <c r="M1574" t="n">
        <v>0</v>
      </c>
    </row>
    <row r="1575">
      <c r="A1575" t="n">
        <v>217</v>
      </c>
      <c r="B1575" t="inlineStr">
        <is>
          <t>Aprovechamiento de Residuos</t>
        </is>
      </c>
      <c r="C1575" t="inlineStr">
        <is>
          <t>GESTIÓN AMBIENTAL</t>
        </is>
      </c>
      <c r="D1575" t="inlineStr">
        <is>
          <t>Mensual</t>
        </is>
      </c>
      <c r="E1575" t="inlineStr">
        <is>
          <t>Positivo</t>
        </is>
      </c>
      <c r="F1575" s="105" t="n">
        <v>45504</v>
      </c>
      <c r="G1575" t="inlineStr">
        <is>
          <t>217-2024-07-31</t>
        </is>
      </c>
      <c r="H1575" t="inlineStr">
        <is>
          <t>Sede Posgrado-Calle 85</t>
        </is>
      </c>
      <c r="I1575" t="n">
        <v>20</v>
      </c>
      <c r="J1575" t="n">
        <v>0</v>
      </c>
      <c r="L1575" t="n">
        <v>0</v>
      </c>
      <c r="M1575" t="n">
        <v>0</v>
      </c>
      <c r="AS1575" t="n">
        <v>0</v>
      </c>
    </row>
    <row r="1576">
      <c r="A1576" t="n">
        <v>217</v>
      </c>
      <c r="B1576" t="inlineStr">
        <is>
          <t>Aprovechamiento de Residuos</t>
        </is>
      </c>
      <c r="C1576" t="inlineStr">
        <is>
          <t>GESTIÓN AMBIENTAL</t>
        </is>
      </c>
      <c r="D1576" t="inlineStr">
        <is>
          <t>Mensual</t>
        </is>
      </c>
      <c r="E1576" t="inlineStr">
        <is>
          <t>Positivo</t>
        </is>
      </c>
      <c r="F1576" s="105" t="n">
        <v>45504</v>
      </c>
      <c r="G1576" t="inlineStr">
        <is>
          <t>217-2024-07-31</t>
        </is>
      </c>
      <c r="H1576" t="inlineStr">
        <is>
          <t>Sede Bienestar - Medellín</t>
        </is>
      </c>
      <c r="I1576" t="n">
        <v>20</v>
      </c>
      <c r="J1576" t="n">
        <v>0</v>
      </c>
      <c r="L1576" t="n">
        <v>0</v>
      </c>
      <c r="M1576" t="n">
        <v>0</v>
      </c>
      <c r="AS1576" t="n">
        <v>0</v>
      </c>
    </row>
    <row r="1577">
      <c r="A1577" t="n">
        <v>217</v>
      </c>
      <c r="B1577" t="inlineStr">
        <is>
          <t>Aprovechamiento de Residuos</t>
        </is>
      </c>
      <c r="C1577" t="inlineStr">
        <is>
          <t>GESTIÓN AMBIENTAL</t>
        </is>
      </c>
      <c r="D1577" t="inlineStr">
        <is>
          <t>Mensual</t>
        </is>
      </c>
      <c r="E1577" t="inlineStr">
        <is>
          <t>Positivo</t>
        </is>
      </c>
      <c r="F1577" s="105" t="n">
        <v>45504</v>
      </c>
      <c r="G1577" t="inlineStr">
        <is>
          <t>217-2024-07-31</t>
        </is>
      </c>
      <c r="H1577" t="inlineStr">
        <is>
          <t>Campus Bogotá</t>
        </is>
      </c>
      <c r="I1577" t="n">
        <v>20</v>
      </c>
      <c r="J1577" t="n">
        <v>47.04000091552734</v>
      </c>
      <c r="L1577" t="n">
        <v>659</v>
      </c>
      <c r="M1577" t="n">
        <v>1134</v>
      </c>
      <c r="AS1577" t="n">
        <v>659</v>
      </c>
    </row>
    <row r="1578">
      <c r="A1578" t="n">
        <v>217</v>
      </c>
      <c r="B1578" t="inlineStr">
        <is>
          <t>Aprovechamiento de Residuos</t>
        </is>
      </c>
      <c r="C1578" t="inlineStr">
        <is>
          <t>GESTIÓN AMBIENTAL</t>
        </is>
      </c>
      <c r="D1578" t="inlineStr">
        <is>
          <t>Mensual</t>
        </is>
      </c>
      <c r="E1578" t="inlineStr">
        <is>
          <t>Positivo</t>
        </is>
      </c>
      <c r="F1578" s="105" t="n">
        <v>45504</v>
      </c>
      <c r="G1578" t="inlineStr">
        <is>
          <t>217-2024-07-31</t>
        </is>
      </c>
      <c r="H1578" t="inlineStr">
        <is>
          <t>City Campus</t>
        </is>
      </c>
      <c r="I1578" t="n">
        <v>20</v>
      </c>
      <c r="J1578" t="n">
        <v>17.06999969482422</v>
      </c>
      <c r="L1578" t="n">
        <v>122.68</v>
      </c>
      <c r="M1578" t="n">
        <v>596.2</v>
      </c>
      <c r="AS1578" t="n">
        <v>122.68</v>
      </c>
    </row>
    <row r="1579">
      <c r="A1579" t="n">
        <v>217</v>
      </c>
      <c r="B1579" t="inlineStr">
        <is>
          <t>Aprovechamiento de Residuos</t>
        </is>
      </c>
      <c r="C1579" t="inlineStr">
        <is>
          <t>GESTIÓN AMBIENTAL</t>
        </is>
      </c>
      <c r="D1579" t="inlineStr">
        <is>
          <t>Mensual</t>
        </is>
      </c>
      <c r="E1579" t="inlineStr">
        <is>
          <t>Positivo</t>
        </is>
      </c>
      <c r="F1579" s="105" t="n">
        <v>45504</v>
      </c>
      <c r="G1579" t="inlineStr">
        <is>
          <t>217-2024-07-31</t>
        </is>
      </c>
      <c r="H1579" t="inlineStr">
        <is>
          <t>Campus-Medellín</t>
        </is>
      </c>
      <c r="I1579" t="n">
        <v>20</v>
      </c>
      <c r="J1579" t="n">
        <v>13.85999965667725</v>
      </c>
      <c r="L1579" t="n">
        <v>82.40000000000001</v>
      </c>
      <c r="M1579" t="n">
        <v>512.2</v>
      </c>
      <c r="AS1579" t="n">
        <v>82.40000000000001</v>
      </c>
    </row>
    <row r="1580">
      <c r="A1580" t="n">
        <v>217</v>
      </c>
      <c r="B1580" t="inlineStr">
        <is>
          <t>Aprovechamiento de Residuos</t>
        </is>
      </c>
      <c r="C1580" t="inlineStr">
        <is>
          <t>GESTIÓN AMBIENTAL</t>
        </is>
      </c>
      <c r="D1580" t="inlineStr">
        <is>
          <t>Mensual</t>
        </is>
      </c>
      <c r="E1580" t="inlineStr">
        <is>
          <t>Positivo</t>
        </is>
      </c>
      <c r="F1580" s="105" t="n">
        <v>45504</v>
      </c>
      <c r="G1580" t="inlineStr">
        <is>
          <t>217-2024-07-31</t>
        </is>
      </c>
      <c r="H1580" t="inlineStr">
        <is>
          <t>Consultorio Psicología - Medellin</t>
        </is>
      </c>
      <c r="I1580" t="n">
        <v>20</v>
      </c>
      <c r="J1580" t="n">
        <v>12.59000015258789</v>
      </c>
      <c r="L1580" t="n">
        <v>1.1</v>
      </c>
      <c r="M1580" t="n">
        <v>7.64</v>
      </c>
      <c r="AS1580" t="n">
        <v>1.1</v>
      </c>
    </row>
    <row r="1581">
      <c r="A1581" t="n">
        <v>218</v>
      </c>
      <c r="B1581" t="inlineStr">
        <is>
          <t>Consumo de Energía Eléctrica kWh Mensual</t>
        </is>
      </c>
      <c r="C1581" t="inlineStr">
        <is>
          <t>GESTIÓN AMBIENTAL</t>
        </is>
      </c>
      <c r="D1581" t="inlineStr">
        <is>
          <t>Mensual</t>
        </is>
      </c>
      <c r="E1581" t="inlineStr">
        <is>
          <t>Negativo</t>
        </is>
      </c>
      <c r="F1581" s="105" t="n">
        <v>45504</v>
      </c>
      <c r="G1581" t="inlineStr">
        <is>
          <t>218-2024-07-31</t>
        </is>
      </c>
      <c r="H1581" t="inlineStr">
        <is>
          <t>Campus Bogotá</t>
        </is>
      </c>
      <c r="I1581" t="n">
        <v>76000</v>
      </c>
      <c r="J1581" t="n">
        <v>60232</v>
      </c>
      <c r="N1581" t="n">
        <v>60232</v>
      </c>
    </row>
    <row r="1582">
      <c r="A1582" t="n">
        <v>218</v>
      </c>
      <c r="B1582" t="inlineStr">
        <is>
          <t>Consumo de Energía Eléctrica kWh Mensual</t>
        </is>
      </c>
      <c r="C1582" t="inlineStr">
        <is>
          <t>GESTIÓN AMBIENTAL</t>
        </is>
      </c>
      <c r="D1582" t="inlineStr">
        <is>
          <t>Mensual</t>
        </is>
      </c>
      <c r="E1582" t="inlineStr">
        <is>
          <t>Negativo</t>
        </is>
      </c>
      <c r="F1582" s="105" t="n">
        <v>45504</v>
      </c>
      <c r="G1582" t="inlineStr">
        <is>
          <t>218-2024-07-31</t>
        </is>
      </c>
      <c r="H1582" t="inlineStr">
        <is>
          <t>City Campus</t>
        </is>
      </c>
      <c r="I1582" t="n">
        <v>76000</v>
      </c>
      <c r="J1582" t="n">
        <v>41040</v>
      </c>
      <c r="N1582" t="n">
        <v>41040</v>
      </c>
    </row>
    <row r="1583">
      <c r="A1583" t="n">
        <v>218</v>
      </c>
      <c r="B1583" t="inlineStr">
        <is>
          <t>Consumo de Energía Eléctrica kWh Mensual</t>
        </is>
      </c>
      <c r="C1583" t="inlineStr">
        <is>
          <t>GESTIÓN AMBIENTAL</t>
        </is>
      </c>
      <c r="D1583" t="inlineStr">
        <is>
          <t>Mensual</t>
        </is>
      </c>
      <c r="E1583" t="inlineStr">
        <is>
          <t>Negativo</t>
        </is>
      </c>
      <c r="F1583" s="105" t="n">
        <v>45504</v>
      </c>
      <c r="G1583" t="inlineStr">
        <is>
          <t>218-2024-07-31</t>
        </is>
      </c>
      <c r="H1583" t="inlineStr">
        <is>
          <t>Sede Posgrado-Calle 85</t>
        </is>
      </c>
      <c r="I1583" t="n">
        <v>5000</v>
      </c>
      <c r="J1583" t="n">
        <v>4320</v>
      </c>
      <c r="N1583" t="n">
        <v>4320</v>
      </c>
    </row>
    <row r="1584">
      <c r="A1584" t="n">
        <v>218</v>
      </c>
      <c r="B1584" t="inlineStr">
        <is>
          <t>Consumo de Energía Eléctrica kWh Mensual</t>
        </is>
      </c>
      <c r="C1584" t="inlineStr">
        <is>
          <t>GESTIÓN AMBIENTAL</t>
        </is>
      </c>
      <c r="D1584" t="inlineStr">
        <is>
          <t>Mensual</t>
        </is>
      </c>
      <c r="E1584" t="inlineStr">
        <is>
          <t>Negativo</t>
        </is>
      </c>
      <c r="F1584" s="105" t="n">
        <v>45504</v>
      </c>
      <c r="G1584" t="inlineStr">
        <is>
          <t>218-2024-07-31</t>
        </is>
      </c>
      <c r="H1584" t="inlineStr">
        <is>
          <t>Campus-Medellín</t>
        </is>
      </c>
      <c r="I1584" t="n">
        <v>24000</v>
      </c>
      <c r="J1584" t="n">
        <v>20721</v>
      </c>
      <c r="N1584" t="n">
        <v>20721</v>
      </c>
    </row>
    <row r="1585">
      <c r="A1585" t="n">
        <v>218</v>
      </c>
      <c r="B1585" t="inlineStr">
        <is>
          <t>Consumo de Energía Eléctrica kWh Mensual</t>
        </is>
      </c>
      <c r="C1585" t="inlineStr">
        <is>
          <t>GESTIÓN AMBIENTAL</t>
        </is>
      </c>
      <c r="D1585" t="inlineStr">
        <is>
          <t>Mensual</t>
        </is>
      </c>
      <c r="E1585" t="inlineStr">
        <is>
          <t>Negativo</t>
        </is>
      </c>
      <c r="F1585" s="105" t="n">
        <v>45504</v>
      </c>
      <c r="G1585" t="inlineStr">
        <is>
          <t>218-2024-07-31</t>
        </is>
      </c>
      <c r="H1585" t="inlineStr">
        <is>
          <t>Sede Bienestar - Medellín</t>
        </is>
      </c>
      <c r="I1585" t="n">
        <v>5000</v>
      </c>
      <c r="J1585" t="n">
        <v>3480</v>
      </c>
      <c r="N1585" t="n">
        <v>3480</v>
      </c>
    </row>
    <row r="1586">
      <c r="A1586" t="n">
        <v>218</v>
      </c>
      <c r="B1586" t="inlineStr">
        <is>
          <t>Consumo de Energía Eléctrica kWh Mensual</t>
        </is>
      </c>
      <c r="C1586" t="inlineStr">
        <is>
          <t>GESTIÓN AMBIENTAL</t>
        </is>
      </c>
      <c r="D1586" t="inlineStr">
        <is>
          <t>Mensual</t>
        </is>
      </c>
      <c r="E1586" t="inlineStr">
        <is>
          <t>Negativo</t>
        </is>
      </c>
      <c r="F1586" s="105" t="n">
        <v>45504</v>
      </c>
      <c r="G1586" t="inlineStr">
        <is>
          <t>218-2024-07-31</t>
        </is>
      </c>
      <c r="H1586" t="inlineStr">
        <is>
          <t>Consultorio Psicología - Medellin</t>
        </is>
      </c>
      <c r="I1586" t="n">
        <v>2000</v>
      </c>
      <c r="J1586" t="n">
        <v>1334</v>
      </c>
      <c r="N1586" t="n">
        <v>1334</v>
      </c>
    </row>
    <row r="1587">
      <c r="A1587" t="n">
        <v>225</v>
      </c>
      <c r="B1587" t="inlineStr">
        <is>
          <t>Acciones para el Cuidado y Mantenimiento de las Especies de Flora y el Suelo de las Áreas Naturales</t>
        </is>
      </c>
      <c r="C1587" t="inlineStr">
        <is>
          <t>GESTIÓN AMBIENTAL</t>
        </is>
      </c>
      <c r="D1587" t="inlineStr">
        <is>
          <t>Mensual</t>
        </is>
      </c>
      <c r="E1587" t="inlineStr">
        <is>
          <t>Positivo</t>
        </is>
      </c>
      <c r="F1587" s="105" t="n">
        <v>45504</v>
      </c>
      <c r="G1587" t="inlineStr">
        <is>
          <t>225-2024-07-31</t>
        </is>
      </c>
      <c r="H1587" t="inlineStr">
        <is>
          <t>Campus Bogotá</t>
        </is>
      </c>
      <c r="I1587" t="n">
        <v>1</v>
      </c>
      <c r="J1587" t="n">
        <v>4</v>
      </c>
      <c r="AT1587" t="n">
        <v>4</v>
      </c>
    </row>
    <row r="1588">
      <c r="A1588" t="n">
        <v>225</v>
      </c>
      <c r="B1588" t="inlineStr">
        <is>
          <t>Acciones para el Cuidado y Mantenimiento de las Especies de Flora y el Suelo de las Áreas Naturales</t>
        </is>
      </c>
      <c r="C1588" t="inlineStr">
        <is>
          <t>GESTIÓN AMBIENTAL</t>
        </is>
      </c>
      <c r="D1588" t="inlineStr">
        <is>
          <t>Mensual</t>
        </is>
      </c>
      <c r="E1588" t="inlineStr">
        <is>
          <t>Positivo</t>
        </is>
      </c>
      <c r="F1588" s="105" t="n">
        <v>45504</v>
      </c>
      <c r="G1588" t="inlineStr">
        <is>
          <t>225-2024-07-31</t>
        </is>
      </c>
      <c r="H1588" t="inlineStr">
        <is>
          <t>City Campus</t>
        </is>
      </c>
      <c r="I1588" t="n">
        <v>1</v>
      </c>
      <c r="J1588" t="n">
        <v>4</v>
      </c>
      <c r="AT1588" t="n">
        <v>4</v>
      </c>
    </row>
    <row r="1589">
      <c r="A1589" t="n">
        <v>225</v>
      </c>
      <c r="B1589" t="inlineStr">
        <is>
          <t>Acciones para el Cuidado y Mantenimiento de las Especies de Flora y el Suelo de las Áreas Naturales</t>
        </is>
      </c>
      <c r="C1589" t="inlineStr">
        <is>
          <t>GESTIÓN AMBIENTAL</t>
        </is>
      </c>
      <c r="D1589" t="inlineStr">
        <is>
          <t>Mensual</t>
        </is>
      </c>
      <c r="E1589" t="inlineStr">
        <is>
          <t>Positivo</t>
        </is>
      </c>
      <c r="F1589" s="105" t="n">
        <v>45504</v>
      </c>
      <c r="G1589" t="inlineStr">
        <is>
          <t>225-2024-07-31</t>
        </is>
      </c>
      <c r="H1589" t="inlineStr">
        <is>
          <t>Sede Posgrado-Calle 85</t>
        </is>
      </c>
      <c r="I1589" t="n">
        <v>1</v>
      </c>
      <c r="J1589" t="n">
        <v>0</v>
      </c>
      <c r="AT1589" t="n">
        <v>0</v>
      </c>
    </row>
    <row r="1590">
      <c r="A1590" t="n">
        <v>225</v>
      </c>
      <c r="B1590" t="inlineStr">
        <is>
          <t>Acciones para el Cuidado y Mantenimiento de las Especies de Flora y el Suelo de las Áreas Naturales</t>
        </is>
      </c>
      <c r="C1590" t="inlineStr">
        <is>
          <t>GESTIÓN AMBIENTAL</t>
        </is>
      </c>
      <c r="D1590" t="inlineStr">
        <is>
          <t>Mensual</t>
        </is>
      </c>
      <c r="E1590" t="inlineStr">
        <is>
          <t>Positivo</t>
        </is>
      </c>
      <c r="F1590" s="105" t="n">
        <v>45504</v>
      </c>
      <c r="G1590" t="inlineStr">
        <is>
          <t>225-2024-07-31</t>
        </is>
      </c>
      <c r="H1590" t="inlineStr">
        <is>
          <t>Sede Bienestar - Medellín</t>
        </is>
      </c>
      <c r="I1590" t="n">
        <v>1</v>
      </c>
      <c r="J1590" t="n">
        <v>1</v>
      </c>
      <c r="AT1590" t="n">
        <v>1</v>
      </c>
    </row>
    <row r="1591">
      <c r="A1591" t="n">
        <v>225</v>
      </c>
      <c r="B1591" t="inlineStr">
        <is>
          <t>Acciones para el Cuidado y Mantenimiento de las Especies de Flora y el Suelo de las Áreas Naturales</t>
        </is>
      </c>
      <c r="C1591" t="inlineStr">
        <is>
          <t>GESTIÓN AMBIENTAL</t>
        </is>
      </c>
      <c r="D1591" t="inlineStr">
        <is>
          <t>Mensual</t>
        </is>
      </c>
      <c r="E1591" t="inlineStr">
        <is>
          <t>Positivo</t>
        </is>
      </c>
      <c r="F1591" s="105" t="n">
        <v>45504</v>
      </c>
      <c r="G1591" t="inlineStr">
        <is>
          <t>225-2024-07-31</t>
        </is>
      </c>
      <c r="H1591" t="inlineStr">
        <is>
          <t>Consultorio Psicología - Medellin</t>
        </is>
      </c>
      <c r="I1591" t="n">
        <v>1</v>
      </c>
      <c r="J1591" t="n">
        <v>1</v>
      </c>
      <c r="AT1591" t="n">
        <v>1</v>
      </c>
    </row>
    <row r="1592">
      <c r="A1592" t="n">
        <v>225</v>
      </c>
      <c r="B1592" t="inlineStr">
        <is>
          <t>Acciones para el Cuidado y Mantenimiento de las Especies de Flora y el Suelo de las Áreas Naturales</t>
        </is>
      </c>
      <c r="C1592" t="inlineStr">
        <is>
          <t>GESTIÓN AMBIENTAL</t>
        </is>
      </c>
      <c r="D1592" t="inlineStr">
        <is>
          <t>Mensual</t>
        </is>
      </c>
      <c r="E1592" t="inlineStr">
        <is>
          <t>Positivo</t>
        </is>
      </c>
      <c r="F1592" s="105" t="n">
        <v>45504</v>
      </c>
      <c r="G1592" t="inlineStr">
        <is>
          <t>225-2024-07-31</t>
        </is>
      </c>
      <c r="H1592" t="inlineStr">
        <is>
          <t>Campus-Medellín</t>
        </is>
      </c>
      <c r="I1592" t="n">
        <v>1</v>
      </c>
      <c r="J1592" t="n">
        <v>10</v>
      </c>
      <c r="AT1592" t="n">
        <v>10</v>
      </c>
    </row>
    <row r="1593">
      <c r="A1593" t="n">
        <v>434</v>
      </c>
      <c r="B1593" t="inlineStr">
        <is>
          <t>Generación de Residuos Peligrosos Mensual</t>
        </is>
      </c>
      <c r="C1593" t="inlineStr">
        <is>
          <t>GESTIÓN AMBIENTAL</t>
        </is>
      </c>
      <c r="D1593" t="inlineStr">
        <is>
          <t>Mensual</t>
        </is>
      </c>
      <c r="E1593" t="inlineStr">
        <is>
          <t>Negativo</t>
        </is>
      </c>
      <c r="F1593" s="105" t="n">
        <v>45504</v>
      </c>
      <c r="G1593" t="inlineStr">
        <is>
          <t>434-2024-07-31</t>
        </is>
      </c>
      <c r="H1593" t="inlineStr">
        <is>
          <t>Campus Bogotá</t>
        </is>
      </c>
      <c r="I1593" t="n">
        <v>100</v>
      </c>
      <c r="J1593" t="n">
        <v>1689.099975585938</v>
      </c>
      <c r="AV1593" t="n">
        <v>1689.93</v>
      </c>
    </row>
    <row r="1594">
      <c r="A1594" t="n">
        <v>434</v>
      </c>
      <c r="B1594" t="inlineStr">
        <is>
          <t>Generación de Residuos Peligrosos Mensual</t>
        </is>
      </c>
      <c r="C1594" t="inlineStr">
        <is>
          <t>GESTIÓN AMBIENTAL</t>
        </is>
      </c>
      <c r="D1594" t="inlineStr">
        <is>
          <t>Mensual</t>
        </is>
      </c>
      <c r="E1594" t="inlineStr">
        <is>
          <t>Negativo</t>
        </is>
      </c>
      <c r="F1594" s="105" t="n">
        <v>45504</v>
      </c>
      <c r="G1594" t="inlineStr">
        <is>
          <t>434-2024-07-31</t>
        </is>
      </c>
      <c r="H1594" t="inlineStr">
        <is>
          <t>City Campus</t>
        </is>
      </c>
      <c r="I1594" t="n">
        <v>25</v>
      </c>
      <c r="J1594" t="n">
        <v>0</v>
      </c>
      <c r="AV1594" t="n">
        <v>0.31</v>
      </c>
    </row>
    <row r="1595">
      <c r="A1595" t="n">
        <v>434</v>
      </c>
      <c r="B1595" t="inlineStr">
        <is>
          <t>Generación de Residuos Peligrosos Mensual</t>
        </is>
      </c>
      <c r="C1595" t="inlineStr">
        <is>
          <t>GESTIÓN AMBIENTAL</t>
        </is>
      </c>
      <c r="D1595" t="inlineStr">
        <is>
          <t>Mensual</t>
        </is>
      </c>
      <c r="E1595" t="inlineStr">
        <is>
          <t>Negativo</t>
        </is>
      </c>
      <c r="F1595" s="105" t="n">
        <v>45504</v>
      </c>
      <c r="G1595" t="inlineStr">
        <is>
          <t>434-2024-07-31</t>
        </is>
      </c>
      <c r="H1595" t="inlineStr">
        <is>
          <t>Sede Posgrado-Calle 85</t>
        </is>
      </c>
      <c r="I1595" t="n">
        <v>200</v>
      </c>
      <c r="J1595" t="n">
        <v>0</v>
      </c>
      <c r="AV1595" t="n">
        <v>0</v>
      </c>
    </row>
    <row r="1596">
      <c r="A1596" t="n">
        <v>434</v>
      </c>
      <c r="B1596" t="inlineStr">
        <is>
          <t>Generación de Residuos Peligrosos Mensual</t>
        </is>
      </c>
      <c r="C1596" t="inlineStr">
        <is>
          <t>GESTIÓN AMBIENTAL</t>
        </is>
      </c>
      <c r="D1596" t="inlineStr">
        <is>
          <t>Mensual</t>
        </is>
      </c>
      <c r="E1596" t="inlineStr">
        <is>
          <t>Negativo</t>
        </is>
      </c>
      <c r="F1596" s="105" t="n">
        <v>45504</v>
      </c>
      <c r="G1596" t="inlineStr">
        <is>
          <t>434-2024-07-31</t>
        </is>
      </c>
      <c r="H1596" t="inlineStr">
        <is>
          <t>Campus-Medellín</t>
        </is>
      </c>
      <c r="I1596" t="n">
        <v>25</v>
      </c>
      <c r="J1596" t="n">
        <v>0.5</v>
      </c>
      <c r="AV1596" t="n">
        <v>0.5</v>
      </c>
    </row>
    <row r="1597">
      <c r="A1597" t="n">
        <v>434</v>
      </c>
      <c r="B1597" t="inlineStr">
        <is>
          <t>Generación de Residuos Peligrosos Mensual</t>
        </is>
      </c>
      <c r="C1597" t="inlineStr">
        <is>
          <t>GESTIÓN AMBIENTAL</t>
        </is>
      </c>
      <c r="D1597" t="inlineStr">
        <is>
          <t>Mensual</t>
        </is>
      </c>
      <c r="E1597" t="inlineStr">
        <is>
          <t>Negativo</t>
        </is>
      </c>
      <c r="F1597" s="105" t="n">
        <v>45504</v>
      </c>
      <c r="G1597" t="inlineStr">
        <is>
          <t>434-2024-07-31</t>
        </is>
      </c>
      <c r="H1597" t="inlineStr">
        <is>
          <t>Sede Bienestar - Medellín</t>
        </is>
      </c>
      <c r="I1597" t="n">
        <v>10</v>
      </c>
      <c r="J1597" t="n">
        <v>0</v>
      </c>
      <c r="AV1597" t="n">
        <v>0.12</v>
      </c>
    </row>
    <row r="1598">
      <c r="A1598" t="n">
        <v>436</v>
      </c>
      <c r="B1598" t="inlineStr">
        <is>
          <t>ANS documentos operativos</t>
        </is>
      </c>
      <c r="C1598" t="inlineStr">
        <is>
          <t>Gestión de calidad</t>
        </is>
      </c>
      <c r="D1598" t="inlineStr">
        <is>
          <t>Mensual</t>
        </is>
      </c>
      <c r="E1598" t="inlineStr">
        <is>
          <t>Negativo</t>
        </is>
      </c>
      <c r="F1598" s="105" t="n">
        <v>45504</v>
      </c>
      <c r="G1598" t="inlineStr">
        <is>
          <t>436-2024-07-31</t>
        </is>
      </c>
      <c r="H1598" t="inlineStr">
        <is>
          <t>Solicitud Documental</t>
        </is>
      </c>
      <c r="I1598" t="n">
        <v>7</v>
      </c>
      <c r="J1598" t="n">
        <v>6.800000190734863</v>
      </c>
      <c r="CP1598" t="n">
        <v>6.8</v>
      </c>
    </row>
    <row r="1599">
      <c r="A1599" t="n">
        <v>436</v>
      </c>
      <c r="B1599" t="inlineStr">
        <is>
          <t>ANS documentos operativos</t>
        </is>
      </c>
      <c r="C1599" t="inlineStr">
        <is>
          <t>Gestión de calidad</t>
        </is>
      </c>
      <c r="D1599" t="inlineStr">
        <is>
          <t>Mensual</t>
        </is>
      </c>
      <c r="E1599" t="inlineStr">
        <is>
          <t>Negativo</t>
        </is>
      </c>
      <c r="F1599" s="105" t="n">
        <v>45504</v>
      </c>
      <c r="G1599" t="inlineStr">
        <is>
          <t>436-2024-07-31</t>
        </is>
      </c>
      <c r="H1599" t="inlineStr">
        <is>
          <t>Flujo de aprobación</t>
        </is>
      </c>
      <c r="I1599" t="n">
        <v>7</v>
      </c>
      <c r="J1599" t="n">
        <v>2.599999904632568</v>
      </c>
      <c r="CP1599" t="n">
        <v>2.6</v>
      </c>
    </row>
    <row r="1600">
      <c r="A1600" t="n">
        <v>208</v>
      </c>
      <c r="B1600" t="inlineStr">
        <is>
          <t>Consumo de Agua m3 Mensual</t>
        </is>
      </c>
      <c r="C1600" t="inlineStr">
        <is>
          <t>GESTIÓN AMBIENTAL</t>
        </is>
      </c>
      <c r="D1600" t="inlineStr">
        <is>
          <t>Mensual</t>
        </is>
      </c>
      <c r="E1600" t="inlineStr">
        <is>
          <t>Negativo</t>
        </is>
      </c>
      <c r="F1600" s="105" t="n">
        <v>45535</v>
      </c>
      <c r="G1600" t="inlineStr">
        <is>
          <t>208-2024-08-31</t>
        </is>
      </c>
      <c r="H1600" t="inlineStr">
        <is>
          <t>Campus Bogotá</t>
        </is>
      </c>
      <c r="I1600" t="n">
        <v>950</v>
      </c>
      <c r="J1600" t="n">
        <v>782</v>
      </c>
      <c r="K1600" t="n">
        <v>782</v>
      </c>
    </row>
    <row r="1601">
      <c r="A1601" t="n">
        <v>208</v>
      </c>
      <c r="B1601" t="inlineStr">
        <is>
          <t>Consumo de Agua m3 Mensual</t>
        </is>
      </c>
      <c r="C1601" t="inlineStr">
        <is>
          <t>GESTIÓN AMBIENTAL</t>
        </is>
      </c>
      <c r="D1601" t="inlineStr">
        <is>
          <t>Mensual</t>
        </is>
      </c>
      <c r="E1601" t="inlineStr">
        <is>
          <t>Negativo</t>
        </is>
      </c>
      <c r="F1601" s="105" t="n">
        <v>45535</v>
      </c>
      <c r="G1601" t="inlineStr">
        <is>
          <t>208-2024-08-31</t>
        </is>
      </c>
      <c r="H1601" t="inlineStr">
        <is>
          <t>City Campus</t>
        </is>
      </c>
      <c r="I1601" t="n">
        <v>350</v>
      </c>
      <c r="J1601" t="n">
        <v>258</v>
      </c>
      <c r="K1601" t="n">
        <v>258</v>
      </c>
    </row>
    <row r="1602">
      <c r="A1602" t="n">
        <v>208</v>
      </c>
      <c r="B1602" t="inlineStr">
        <is>
          <t>Consumo de Agua m3 Mensual</t>
        </is>
      </c>
      <c r="C1602" t="inlineStr">
        <is>
          <t>GESTIÓN AMBIENTAL</t>
        </is>
      </c>
      <c r="D1602" t="inlineStr">
        <is>
          <t>Mensual</t>
        </is>
      </c>
      <c r="E1602" t="inlineStr">
        <is>
          <t>Negativo</t>
        </is>
      </c>
      <c r="F1602" s="105" t="n">
        <v>45535</v>
      </c>
      <c r="G1602" t="inlineStr">
        <is>
          <t>208-2024-08-31</t>
        </is>
      </c>
      <c r="H1602" t="inlineStr">
        <is>
          <t>Sede Posgrado-Calle 85</t>
        </is>
      </c>
      <c r="I1602" t="n">
        <v>25</v>
      </c>
      <c r="J1602" t="n">
        <v>7.5</v>
      </c>
      <c r="K1602" t="n">
        <v>7.5</v>
      </c>
    </row>
    <row r="1603">
      <c r="A1603" t="n">
        <v>208</v>
      </c>
      <c r="B1603" t="inlineStr">
        <is>
          <t>Consumo de Agua m3 Mensual</t>
        </is>
      </c>
      <c r="C1603" t="inlineStr">
        <is>
          <t>GESTIÓN AMBIENTAL</t>
        </is>
      </c>
      <c r="D1603" t="inlineStr">
        <is>
          <t>Mensual</t>
        </is>
      </c>
      <c r="E1603" t="inlineStr">
        <is>
          <t>Negativo</t>
        </is>
      </c>
      <c r="F1603" s="105" t="n">
        <v>45535</v>
      </c>
      <c r="G1603" t="inlineStr">
        <is>
          <t>208-2024-08-31</t>
        </is>
      </c>
      <c r="H1603" t="inlineStr">
        <is>
          <t>Sede Bienestar - Medellín</t>
        </is>
      </c>
      <c r="I1603" t="n">
        <v>0</v>
      </c>
      <c r="J1603" t="n">
        <v>0</v>
      </c>
      <c r="K1603" t="n">
        <v>0</v>
      </c>
    </row>
    <row r="1604">
      <c r="A1604" t="n">
        <v>208</v>
      </c>
      <c r="B1604" t="inlineStr">
        <is>
          <t>Consumo de Agua m3 Mensual</t>
        </is>
      </c>
      <c r="C1604" t="inlineStr">
        <is>
          <t>GESTIÓN AMBIENTAL</t>
        </is>
      </c>
      <c r="D1604" t="inlineStr">
        <is>
          <t>Mensual</t>
        </is>
      </c>
      <c r="E1604" t="inlineStr">
        <is>
          <t>Negativo</t>
        </is>
      </c>
      <c r="F1604" s="105" t="n">
        <v>45535</v>
      </c>
      <c r="G1604" t="inlineStr">
        <is>
          <t>208-2024-08-31</t>
        </is>
      </c>
      <c r="H1604" t="inlineStr">
        <is>
          <t>Consultorio Psicología - Medellin</t>
        </is>
      </c>
      <c r="I1604" t="n">
        <v>25</v>
      </c>
      <c r="J1604" t="n">
        <v>3</v>
      </c>
      <c r="K1604" t="n">
        <v>3</v>
      </c>
    </row>
    <row r="1605">
      <c r="A1605" t="n">
        <v>208</v>
      </c>
      <c r="B1605" t="inlineStr">
        <is>
          <t>Consumo de Agua m3 Mensual</t>
        </is>
      </c>
      <c r="C1605" t="inlineStr">
        <is>
          <t>GESTIÓN AMBIENTAL</t>
        </is>
      </c>
      <c r="D1605" t="inlineStr">
        <is>
          <t>Mensual</t>
        </is>
      </c>
      <c r="E1605" t="inlineStr">
        <is>
          <t>Negativo</t>
        </is>
      </c>
      <c r="F1605" s="105" t="n">
        <v>45535</v>
      </c>
      <c r="G1605" t="inlineStr">
        <is>
          <t>208-2024-08-31</t>
        </is>
      </c>
      <c r="H1605" t="inlineStr">
        <is>
          <t>Campus-Medellín</t>
        </is>
      </c>
      <c r="I1605" t="n">
        <v>200</v>
      </c>
      <c r="J1605" t="n">
        <v>231</v>
      </c>
      <c r="K1605" t="n">
        <v>231</v>
      </c>
    </row>
    <row r="1606">
      <c r="A1606" t="n">
        <v>214</v>
      </c>
      <c r="B1606" t="inlineStr">
        <is>
          <t>Generación de Residuos Sólidos Mensual</t>
        </is>
      </c>
      <c r="C1606" t="inlineStr">
        <is>
          <t>GESTIÓN AMBIENTAL</t>
        </is>
      </c>
      <c r="D1606" t="inlineStr">
        <is>
          <t>Mensual</t>
        </is>
      </c>
      <c r="E1606" t="inlineStr">
        <is>
          <t>Negativo</t>
        </is>
      </c>
      <c r="F1606" s="105" t="n">
        <v>45535</v>
      </c>
      <c r="G1606" t="inlineStr">
        <is>
          <t>214-2024-08-31</t>
        </is>
      </c>
      <c r="H1606" t="inlineStr">
        <is>
          <t>Campus Bogotá</t>
        </is>
      </c>
      <c r="I1606" t="n">
        <v>5500</v>
      </c>
      <c r="J1606" t="n">
        <v>4619</v>
      </c>
      <c r="L1606" t="n">
        <v>1200</v>
      </c>
      <c r="M1606" t="n">
        <v>3419</v>
      </c>
    </row>
    <row r="1607">
      <c r="A1607" t="n">
        <v>214</v>
      </c>
      <c r="B1607" t="inlineStr">
        <is>
          <t>Generación de Residuos Sólidos Mensual</t>
        </is>
      </c>
      <c r="C1607" t="inlineStr">
        <is>
          <t>GESTIÓN AMBIENTAL</t>
        </is>
      </c>
      <c r="D1607" t="inlineStr">
        <is>
          <t>Mensual</t>
        </is>
      </c>
      <c r="E1607" t="inlineStr">
        <is>
          <t>Negativo</t>
        </is>
      </c>
      <c r="F1607" s="105" t="n">
        <v>45535</v>
      </c>
      <c r="G1607" t="inlineStr">
        <is>
          <t>214-2024-08-31</t>
        </is>
      </c>
      <c r="H1607" t="inlineStr">
        <is>
          <t>City Campus</t>
        </is>
      </c>
      <c r="I1607" t="n">
        <v>1000</v>
      </c>
      <c r="J1607" t="n">
        <v>961.9600219726562</v>
      </c>
      <c r="L1607" t="n">
        <v>162.71</v>
      </c>
      <c r="M1607" t="n">
        <v>799.25</v>
      </c>
    </row>
    <row r="1608">
      <c r="A1608" t="n">
        <v>214</v>
      </c>
      <c r="B1608" t="inlineStr">
        <is>
          <t>Generación de Residuos Sólidos Mensual</t>
        </is>
      </c>
      <c r="C1608" t="inlineStr">
        <is>
          <t>GESTIÓN AMBIENTAL</t>
        </is>
      </c>
      <c r="D1608" t="inlineStr">
        <is>
          <t>Mensual</t>
        </is>
      </c>
      <c r="E1608" t="inlineStr">
        <is>
          <t>Negativo</t>
        </is>
      </c>
      <c r="F1608" s="105" t="n">
        <v>45535</v>
      </c>
      <c r="G1608" t="inlineStr">
        <is>
          <t>214-2024-08-31</t>
        </is>
      </c>
      <c r="H1608" t="inlineStr">
        <is>
          <t>Sede Posgrado-Calle 85</t>
        </is>
      </c>
      <c r="I1608" t="n">
        <v>7500</v>
      </c>
      <c r="J1608" t="n">
        <v>0</v>
      </c>
      <c r="L1608" t="n">
        <v>0</v>
      </c>
      <c r="M1608" t="n">
        <v>0</v>
      </c>
    </row>
    <row r="1609">
      <c r="A1609" t="n">
        <v>214</v>
      </c>
      <c r="B1609" t="inlineStr">
        <is>
          <t>Generación de Residuos Sólidos Mensual</t>
        </is>
      </c>
      <c r="C1609" t="inlineStr">
        <is>
          <t>GESTIÓN AMBIENTAL</t>
        </is>
      </c>
      <c r="D1609" t="inlineStr">
        <is>
          <t>Mensual</t>
        </is>
      </c>
      <c r="E1609" t="inlineStr">
        <is>
          <t>Negativo</t>
        </is>
      </c>
      <c r="F1609" s="105" t="n">
        <v>45535</v>
      </c>
      <c r="G1609" t="inlineStr">
        <is>
          <t>214-2024-08-31</t>
        </is>
      </c>
      <c r="H1609" t="inlineStr">
        <is>
          <t>Sede Bienestar - Medellín</t>
        </is>
      </c>
      <c r="I1609" t="n">
        <v>1</v>
      </c>
      <c r="J1609" t="n">
        <v>0</v>
      </c>
      <c r="L1609" t="n">
        <v>0</v>
      </c>
      <c r="M1609" t="n">
        <v>0</v>
      </c>
    </row>
    <row r="1610">
      <c r="A1610" t="n">
        <v>214</v>
      </c>
      <c r="B1610" t="inlineStr">
        <is>
          <t>Generación de Residuos Sólidos Mensual</t>
        </is>
      </c>
      <c r="C1610" t="inlineStr">
        <is>
          <t>GESTIÓN AMBIENTAL</t>
        </is>
      </c>
      <c r="D1610" t="inlineStr">
        <is>
          <t>Mensual</t>
        </is>
      </c>
      <c r="E1610" t="inlineStr">
        <is>
          <t>Negativo</t>
        </is>
      </c>
      <c r="F1610" s="105" t="n">
        <v>45535</v>
      </c>
      <c r="G1610" t="inlineStr">
        <is>
          <t>214-2024-08-31</t>
        </is>
      </c>
      <c r="H1610" t="inlineStr">
        <is>
          <t>Consultorio Psicología - Medellin</t>
        </is>
      </c>
      <c r="I1610" t="n">
        <v>1</v>
      </c>
      <c r="J1610" t="n">
        <v>10.64000034332275</v>
      </c>
      <c r="L1610" t="n">
        <v>0.9</v>
      </c>
      <c r="M1610" t="n">
        <v>9.74</v>
      </c>
    </row>
    <row r="1611">
      <c r="A1611" t="n">
        <v>217</v>
      </c>
      <c r="B1611" t="inlineStr">
        <is>
          <t>Aprovechamiento de Residuos</t>
        </is>
      </c>
      <c r="C1611" t="inlineStr">
        <is>
          <t>GESTIÓN AMBIENTAL</t>
        </is>
      </c>
      <c r="D1611" t="inlineStr">
        <is>
          <t>Mensual</t>
        </is>
      </c>
      <c r="E1611" t="inlineStr">
        <is>
          <t>Positivo</t>
        </is>
      </c>
      <c r="F1611" s="105" t="n">
        <v>45535</v>
      </c>
      <c r="G1611" t="inlineStr">
        <is>
          <t>217-2024-08-31</t>
        </is>
      </c>
      <c r="H1611" t="inlineStr">
        <is>
          <t>Campus Bogotá</t>
        </is>
      </c>
      <c r="I1611" t="n">
        <v>20</v>
      </c>
      <c r="J1611" t="n">
        <v>25.97999954223633</v>
      </c>
      <c r="L1611" t="n">
        <v>1200</v>
      </c>
      <c r="M1611" t="n">
        <v>3419</v>
      </c>
      <c r="AS1611" t="n">
        <v>1200</v>
      </c>
    </row>
    <row r="1612">
      <c r="A1612" t="n">
        <v>217</v>
      </c>
      <c r="B1612" t="inlineStr">
        <is>
          <t>Aprovechamiento de Residuos</t>
        </is>
      </c>
      <c r="C1612" t="inlineStr">
        <is>
          <t>GESTIÓN AMBIENTAL</t>
        </is>
      </c>
      <c r="D1612" t="inlineStr">
        <is>
          <t>Mensual</t>
        </is>
      </c>
      <c r="E1612" t="inlineStr">
        <is>
          <t>Positivo</t>
        </is>
      </c>
      <c r="F1612" s="105" t="n">
        <v>45535</v>
      </c>
      <c r="G1612" t="inlineStr">
        <is>
          <t>217-2024-08-31</t>
        </is>
      </c>
      <c r="H1612" t="inlineStr">
        <is>
          <t>City Campus</t>
        </is>
      </c>
      <c r="I1612" t="n">
        <v>20</v>
      </c>
      <c r="J1612" t="n">
        <v>16.90999984741211</v>
      </c>
      <c r="L1612" t="n">
        <v>162.71</v>
      </c>
      <c r="M1612" t="n">
        <v>799.25</v>
      </c>
      <c r="AS1612" t="n">
        <v>162.71</v>
      </c>
    </row>
    <row r="1613">
      <c r="A1613" t="n">
        <v>217</v>
      </c>
      <c r="B1613" t="inlineStr">
        <is>
          <t>Aprovechamiento de Residuos</t>
        </is>
      </c>
      <c r="C1613" t="inlineStr">
        <is>
          <t>GESTIÓN AMBIENTAL</t>
        </is>
      </c>
      <c r="D1613" t="inlineStr">
        <is>
          <t>Mensual</t>
        </is>
      </c>
      <c r="E1613" t="inlineStr">
        <is>
          <t>Positivo</t>
        </is>
      </c>
      <c r="F1613" s="105" t="n">
        <v>45535</v>
      </c>
      <c r="G1613" t="inlineStr">
        <is>
          <t>217-2024-08-31</t>
        </is>
      </c>
      <c r="H1613" t="inlineStr">
        <is>
          <t>Sede Posgrado-Calle 85</t>
        </is>
      </c>
      <c r="I1613" t="n">
        <v>20</v>
      </c>
      <c r="J1613" t="n">
        <v>0</v>
      </c>
      <c r="L1613" t="n">
        <v>0</v>
      </c>
      <c r="M1613" t="n">
        <v>0</v>
      </c>
      <c r="AS1613" t="n">
        <v>0</v>
      </c>
    </row>
    <row r="1614">
      <c r="A1614" t="n">
        <v>217</v>
      </c>
      <c r="B1614" t="inlineStr">
        <is>
          <t>Aprovechamiento de Residuos</t>
        </is>
      </c>
      <c r="C1614" t="inlineStr">
        <is>
          <t>GESTIÓN AMBIENTAL</t>
        </is>
      </c>
      <c r="D1614" t="inlineStr">
        <is>
          <t>Mensual</t>
        </is>
      </c>
      <c r="E1614" t="inlineStr">
        <is>
          <t>Positivo</t>
        </is>
      </c>
      <c r="F1614" s="105" t="n">
        <v>45535</v>
      </c>
      <c r="G1614" t="inlineStr">
        <is>
          <t>217-2024-08-31</t>
        </is>
      </c>
      <c r="H1614" t="inlineStr">
        <is>
          <t>Sede Bienestar - Medellín</t>
        </is>
      </c>
      <c r="I1614" t="n">
        <v>20</v>
      </c>
      <c r="J1614" t="n">
        <v>0</v>
      </c>
      <c r="L1614" t="n">
        <v>0</v>
      </c>
      <c r="M1614" t="n">
        <v>0</v>
      </c>
      <c r="AS1614" t="n">
        <v>0</v>
      </c>
    </row>
    <row r="1615">
      <c r="A1615" t="n">
        <v>217</v>
      </c>
      <c r="B1615" t="inlineStr">
        <is>
          <t>Aprovechamiento de Residuos</t>
        </is>
      </c>
      <c r="C1615" t="inlineStr">
        <is>
          <t>GESTIÓN AMBIENTAL</t>
        </is>
      </c>
      <c r="D1615" t="inlineStr">
        <is>
          <t>Mensual</t>
        </is>
      </c>
      <c r="E1615" t="inlineStr">
        <is>
          <t>Positivo</t>
        </is>
      </c>
      <c r="F1615" s="105" t="n">
        <v>45535</v>
      </c>
      <c r="G1615" t="inlineStr">
        <is>
          <t>217-2024-08-31</t>
        </is>
      </c>
      <c r="H1615" t="inlineStr">
        <is>
          <t>Campus-Medellín</t>
        </is>
      </c>
      <c r="I1615" t="n">
        <v>20</v>
      </c>
      <c r="J1615" t="n">
        <v>17.45999908447266</v>
      </c>
      <c r="L1615" t="n">
        <v>63.8</v>
      </c>
      <c r="M1615" t="n">
        <v>301.62</v>
      </c>
      <c r="AS1615" t="n">
        <v>63.8</v>
      </c>
    </row>
    <row r="1616">
      <c r="A1616" t="n">
        <v>217</v>
      </c>
      <c r="B1616" t="inlineStr">
        <is>
          <t>Aprovechamiento de Residuos</t>
        </is>
      </c>
      <c r="C1616" t="inlineStr">
        <is>
          <t>GESTIÓN AMBIENTAL</t>
        </is>
      </c>
      <c r="D1616" t="inlineStr">
        <is>
          <t>Mensual</t>
        </is>
      </c>
      <c r="E1616" t="inlineStr">
        <is>
          <t>Positivo</t>
        </is>
      </c>
      <c r="F1616" s="105" t="n">
        <v>45535</v>
      </c>
      <c r="G1616" t="inlineStr">
        <is>
          <t>217-2024-08-31</t>
        </is>
      </c>
      <c r="H1616" t="inlineStr">
        <is>
          <t>Consultorio Psicología - Medellin</t>
        </is>
      </c>
      <c r="I1616" t="n">
        <v>20</v>
      </c>
      <c r="J1616" t="n">
        <v>8.460000038146973</v>
      </c>
      <c r="L1616" t="n">
        <v>0.9</v>
      </c>
      <c r="M1616" t="n">
        <v>9.74</v>
      </c>
      <c r="AS1616" t="n">
        <v>0.9</v>
      </c>
    </row>
    <row r="1617">
      <c r="A1617" t="n">
        <v>218</v>
      </c>
      <c r="B1617" t="inlineStr">
        <is>
          <t>Consumo de Energía Eléctrica kWh Mensual</t>
        </is>
      </c>
      <c r="C1617" t="inlineStr">
        <is>
          <t>GESTIÓN AMBIENTAL</t>
        </is>
      </c>
      <c r="D1617" t="inlineStr">
        <is>
          <t>Mensual</t>
        </is>
      </c>
      <c r="E1617" t="inlineStr">
        <is>
          <t>Negativo</t>
        </is>
      </c>
      <c r="F1617" s="105" t="n">
        <v>45535</v>
      </c>
      <c r="G1617" t="inlineStr">
        <is>
          <t>218-2024-08-31</t>
        </is>
      </c>
      <c r="H1617" t="inlineStr">
        <is>
          <t>City Campus</t>
        </is>
      </c>
      <c r="I1617" t="n">
        <v>76000</v>
      </c>
      <c r="J1617" t="n">
        <v>46170</v>
      </c>
      <c r="N1617" t="n">
        <v>46170</v>
      </c>
    </row>
    <row r="1618">
      <c r="A1618" t="n">
        <v>218</v>
      </c>
      <c r="B1618" t="inlineStr">
        <is>
          <t>Consumo de Energía Eléctrica kWh Mensual</t>
        </is>
      </c>
      <c r="C1618" t="inlineStr">
        <is>
          <t>GESTIÓN AMBIENTAL</t>
        </is>
      </c>
      <c r="D1618" t="inlineStr">
        <is>
          <t>Mensual</t>
        </is>
      </c>
      <c r="E1618" t="inlineStr">
        <is>
          <t>Negativo</t>
        </is>
      </c>
      <c r="F1618" s="105" t="n">
        <v>45535</v>
      </c>
      <c r="G1618" t="inlineStr">
        <is>
          <t>218-2024-08-31</t>
        </is>
      </c>
      <c r="H1618" t="inlineStr">
        <is>
          <t>Sede Posgrado-Calle 85</t>
        </is>
      </c>
      <c r="I1618" t="n">
        <v>5000</v>
      </c>
      <c r="J1618" t="n">
        <v>4500</v>
      </c>
      <c r="N1618" t="n">
        <v>4500</v>
      </c>
    </row>
    <row r="1619">
      <c r="A1619" t="n">
        <v>218</v>
      </c>
      <c r="B1619" t="inlineStr">
        <is>
          <t>Consumo de Energía Eléctrica kWh Mensual</t>
        </is>
      </c>
      <c r="C1619" t="inlineStr">
        <is>
          <t>GESTIÓN AMBIENTAL</t>
        </is>
      </c>
      <c r="D1619" t="inlineStr">
        <is>
          <t>Mensual</t>
        </is>
      </c>
      <c r="E1619" t="inlineStr">
        <is>
          <t>Negativo</t>
        </is>
      </c>
      <c r="F1619" s="105" t="n">
        <v>45535</v>
      </c>
      <c r="G1619" t="inlineStr">
        <is>
          <t>218-2024-08-31</t>
        </is>
      </c>
      <c r="H1619" t="inlineStr">
        <is>
          <t>Campus-Medellín</t>
        </is>
      </c>
      <c r="I1619" t="n">
        <v>24000</v>
      </c>
      <c r="J1619" t="n">
        <v>17050</v>
      </c>
      <c r="N1619" t="n">
        <v>17050</v>
      </c>
    </row>
    <row r="1620">
      <c r="A1620" t="n">
        <v>218</v>
      </c>
      <c r="B1620" t="inlineStr">
        <is>
          <t>Consumo de Energía Eléctrica kWh Mensual</t>
        </is>
      </c>
      <c r="C1620" t="inlineStr">
        <is>
          <t>GESTIÓN AMBIENTAL</t>
        </is>
      </c>
      <c r="D1620" t="inlineStr">
        <is>
          <t>Mensual</t>
        </is>
      </c>
      <c r="E1620" t="inlineStr">
        <is>
          <t>Negativo</t>
        </is>
      </c>
      <c r="F1620" s="105" t="n">
        <v>45535</v>
      </c>
      <c r="G1620" t="inlineStr">
        <is>
          <t>218-2024-08-31</t>
        </is>
      </c>
      <c r="H1620" t="inlineStr">
        <is>
          <t>Sede Bienestar - Medellín</t>
        </is>
      </c>
      <c r="I1620" t="n">
        <v>5000</v>
      </c>
      <c r="J1620" t="n">
        <v>2400</v>
      </c>
      <c r="N1620" t="n">
        <v>2400</v>
      </c>
    </row>
    <row r="1621">
      <c r="A1621" t="n">
        <v>218</v>
      </c>
      <c r="B1621" t="inlineStr">
        <is>
          <t>Consumo de Energía Eléctrica kWh Mensual</t>
        </is>
      </c>
      <c r="C1621" t="inlineStr">
        <is>
          <t>GESTIÓN AMBIENTAL</t>
        </is>
      </c>
      <c r="D1621" t="inlineStr">
        <is>
          <t>Mensual</t>
        </is>
      </c>
      <c r="E1621" t="inlineStr">
        <is>
          <t>Negativo</t>
        </is>
      </c>
      <c r="F1621" s="105" t="n">
        <v>45535</v>
      </c>
      <c r="G1621" t="inlineStr">
        <is>
          <t>218-2024-08-31</t>
        </is>
      </c>
      <c r="H1621" t="inlineStr">
        <is>
          <t>Consultorio Psicología - Medellin</t>
        </is>
      </c>
      <c r="I1621" t="n">
        <v>2000</v>
      </c>
      <c r="J1621" t="n">
        <v>1115</v>
      </c>
      <c r="N1621" t="n">
        <v>1115</v>
      </c>
    </row>
    <row r="1622">
      <c r="A1622" t="n">
        <v>218</v>
      </c>
      <c r="B1622" t="inlineStr">
        <is>
          <t>Consumo de Energía Eléctrica kWh Mensual</t>
        </is>
      </c>
      <c r="C1622" t="inlineStr">
        <is>
          <t>GESTIÓN AMBIENTAL</t>
        </is>
      </c>
      <c r="D1622" t="inlineStr">
        <is>
          <t>Mensual</t>
        </is>
      </c>
      <c r="E1622" t="inlineStr">
        <is>
          <t>Negativo</t>
        </is>
      </c>
      <c r="F1622" s="105" t="n">
        <v>45535</v>
      </c>
      <c r="G1622" t="inlineStr">
        <is>
          <t>218-2024-08-31</t>
        </is>
      </c>
      <c r="H1622" t="inlineStr">
        <is>
          <t>Campus Bogotá</t>
        </is>
      </c>
      <c r="I1622" t="n">
        <v>76000</v>
      </c>
      <c r="J1622" t="n">
        <v>70574.9296875</v>
      </c>
      <c r="N1622" t="n">
        <v>70574.92999999999</v>
      </c>
    </row>
    <row r="1623">
      <c r="A1623" t="n">
        <v>225</v>
      </c>
      <c r="B1623" t="inlineStr">
        <is>
          <t>Acciones para el Cuidado y Mantenimiento de las Especies de Flora y el Suelo de las Áreas Naturales</t>
        </is>
      </c>
      <c r="C1623" t="inlineStr">
        <is>
          <t>GESTIÓN AMBIENTAL</t>
        </is>
      </c>
      <c r="D1623" t="inlineStr">
        <is>
          <t>Mensual</t>
        </is>
      </c>
      <c r="E1623" t="inlineStr">
        <is>
          <t>Positivo</t>
        </is>
      </c>
      <c r="F1623" s="105" t="n">
        <v>45535</v>
      </c>
      <c r="G1623" t="inlineStr">
        <is>
          <t>225-2024-08-31</t>
        </is>
      </c>
      <c r="H1623" t="inlineStr">
        <is>
          <t>Campus Bogotá</t>
        </is>
      </c>
      <c r="I1623" t="n">
        <v>1</v>
      </c>
      <c r="J1623" t="n">
        <v>5</v>
      </c>
      <c r="AT1623" t="n">
        <v>5</v>
      </c>
    </row>
    <row r="1624">
      <c r="A1624" t="n">
        <v>225</v>
      </c>
      <c r="B1624" t="inlineStr">
        <is>
          <t>Acciones para el Cuidado y Mantenimiento de las Especies de Flora y el Suelo de las Áreas Naturales</t>
        </is>
      </c>
      <c r="C1624" t="inlineStr">
        <is>
          <t>GESTIÓN AMBIENTAL</t>
        </is>
      </c>
      <c r="D1624" t="inlineStr">
        <is>
          <t>Mensual</t>
        </is>
      </c>
      <c r="E1624" t="inlineStr">
        <is>
          <t>Positivo</t>
        </is>
      </c>
      <c r="F1624" s="105" t="n">
        <v>45535</v>
      </c>
      <c r="G1624" t="inlineStr">
        <is>
          <t>225-2024-08-31</t>
        </is>
      </c>
      <c r="H1624" t="inlineStr">
        <is>
          <t>City Campus</t>
        </is>
      </c>
      <c r="I1624" t="n">
        <v>1</v>
      </c>
      <c r="J1624" t="n">
        <v>4</v>
      </c>
      <c r="AT1624" t="n">
        <v>4</v>
      </c>
    </row>
    <row r="1625">
      <c r="A1625" t="n">
        <v>225</v>
      </c>
      <c r="B1625" t="inlineStr">
        <is>
          <t>Acciones para el Cuidado y Mantenimiento de las Especies de Flora y el Suelo de las Áreas Naturales</t>
        </is>
      </c>
      <c r="C1625" t="inlineStr">
        <is>
          <t>GESTIÓN AMBIENTAL</t>
        </is>
      </c>
      <c r="D1625" t="inlineStr">
        <is>
          <t>Mensual</t>
        </is>
      </c>
      <c r="E1625" t="inlineStr">
        <is>
          <t>Positivo</t>
        </is>
      </c>
      <c r="F1625" s="105" t="n">
        <v>45535</v>
      </c>
      <c r="G1625" t="inlineStr">
        <is>
          <t>225-2024-08-31</t>
        </is>
      </c>
      <c r="H1625" t="inlineStr">
        <is>
          <t>Campus-Medellín</t>
        </is>
      </c>
      <c r="I1625" t="n">
        <v>1</v>
      </c>
      <c r="J1625" t="n">
        <v>10</v>
      </c>
      <c r="AT1625" t="n">
        <v>10</v>
      </c>
    </row>
    <row r="1626">
      <c r="A1626" t="n">
        <v>225</v>
      </c>
      <c r="B1626" t="inlineStr">
        <is>
          <t>Acciones para el Cuidado y Mantenimiento de las Especies de Flora y el Suelo de las Áreas Naturales</t>
        </is>
      </c>
      <c r="C1626" t="inlineStr">
        <is>
          <t>GESTIÓN AMBIENTAL</t>
        </is>
      </c>
      <c r="D1626" t="inlineStr">
        <is>
          <t>Mensual</t>
        </is>
      </c>
      <c r="E1626" t="inlineStr">
        <is>
          <t>Positivo</t>
        </is>
      </c>
      <c r="F1626" s="105" t="n">
        <v>45535</v>
      </c>
      <c r="G1626" t="inlineStr">
        <is>
          <t>225-2024-08-31</t>
        </is>
      </c>
      <c r="H1626" t="inlineStr">
        <is>
          <t>Sede Bienestar - Medellín</t>
        </is>
      </c>
      <c r="I1626" t="n">
        <v>1</v>
      </c>
      <c r="J1626" t="n">
        <v>1</v>
      </c>
      <c r="AT1626" t="n">
        <v>1</v>
      </c>
    </row>
    <row r="1627">
      <c r="A1627" t="n">
        <v>225</v>
      </c>
      <c r="B1627" t="inlineStr">
        <is>
          <t>Acciones para el Cuidado y Mantenimiento de las Especies de Flora y el Suelo de las Áreas Naturales</t>
        </is>
      </c>
      <c r="C1627" t="inlineStr">
        <is>
          <t>GESTIÓN AMBIENTAL</t>
        </is>
      </c>
      <c r="D1627" t="inlineStr">
        <is>
          <t>Mensual</t>
        </is>
      </c>
      <c r="E1627" t="inlineStr">
        <is>
          <t>Positivo</t>
        </is>
      </c>
      <c r="F1627" s="105" t="n">
        <v>45535</v>
      </c>
      <c r="G1627" t="inlineStr">
        <is>
          <t>225-2024-08-31</t>
        </is>
      </c>
      <c r="H1627" t="inlineStr">
        <is>
          <t>Consultorio Psicología - Medellin</t>
        </is>
      </c>
      <c r="I1627" t="n">
        <v>1</v>
      </c>
      <c r="J1627" t="n">
        <v>1</v>
      </c>
      <c r="AT1627" t="n">
        <v>1</v>
      </c>
    </row>
    <row r="1628">
      <c r="A1628" t="n">
        <v>434</v>
      </c>
      <c r="B1628" t="inlineStr">
        <is>
          <t>Generación de Residuos Peligrosos Mensual</t>
        </is>
      </c>
      <c r="C1628" t="inlineStr">
        <is>
          <t>GESTIÓN AMBIENTAL</t>
        </is>
      </c>
      <c r="D1628" t="inlineStr">
        <is>
          <t>Mensual</t>
        </is>
      </c>
      <c r="E1628" t="inlineStr">
        <is>
          <t>Negativo</t>
        </is>
      </c>
      <c r="F1628" s="105" t="n">
        <v>45535</v>
      </c>
      <c r="G1628" t="inlineStr">
        <is>
          <t>434-2024-08-31</t>
        </is>
      </c>
      <c r="H1628" t="inlineStr">
        <is>
          <t>Sede Posgrado-Calle 85</t>
        </is>
      </c>
      <c r="I1628" t="n">
        <v>200</v>
      </c>
      <c r="J1628" t="n">
        <v>0</v>
      </c>
      <c r="AV1628" t="n">
        <v>0</v>
      </c>
    </row>
    <row r="1629">
      <c r="A1629" t="n">
        <v>434</v>
      </c>
      <c r="B1629" t="inlineStr">
        <is>
          <t>Generación de Residuos Peligrosos Mensual</t>
        </is>
      </c>
      <c r="C1629" t="inlineStr">
        <is>
          <t>GESTIÓN AMBIENTAL</t>
        </is>
      </c>
      <c r="D1629" t="inlineStr">
        <is>
          <t>Mensual</t>
        </is>
      </c>
      <c r="E1629" t="inlineStr">
        <is>
          <t>Negativo</t>
        </is>
      </c>
      <c r="F1629" s="105" t="n">
        <v>45535</v>
      </c>
      <c r="G1629" t="inlineStr">
        <is>
          <t>434-2024-08-31</t>
        </is>
      </c>
      <c r="H1629" t="inlineStr">
        <is>
          <t>City Campus</t>
        </is>
      </c>
      <c r="I1629" t="n">
        <v>25</v>
      </c>
      <c r="J1629" t="n">
        <v>1.350000023841858</v>
      </c>
      <c r="AV1629" t="n">
        <v>1.35</v>
      </c>
    </row>
    <row r="1630">
      <c r="A1630" t="n">
        <v>434</v>
      </c>
      <c r="B1630" t="inlineStr">
        <is>
          <t>Generación de Residuos Peligrosos Mensual</t>
        </is>
      </c>
      <c r="C1630" t="inlineStr">
        <is>
          <t>GESTIÓN AMBIENTAL</t>
        </is>
      </c>
      <c r="D1630" t="inlineStr">
        <is>
          <t>Mensual</t>
        </is>
      </c>
      <c r="E1630" t="inlineStr">
        <is>
          <t>Negativo</t>
        </is>
      </c>
      <c r="F1630" s="105" t="n">
        <v>45535</v>
      </c>
      <c r="G1630" t="inlineStr">
        <is>
          <t>434-2024-08-31</t>
        </is>
      </c>
      <c r="H1630" t="inlineStr">
        <is>
          <t>Campus Bogotá</t>
        </is>
      </c>
      <c r="I1630" t="n">
        <v>100</v>
      </c>
      <c r="J1630" t="n">
        <v>246.9499969482422</v>
      </c>
      <c r="AV1630" t="n">
        <v>246.95</v>
      </c>
    </row>
    <row r="1631">
      <c r="A1631" t="n">
        <v>434</v>
      </c>
      <c r="B1631" t="inlineStr">
        <is>
          <t>Generación de Residuos Peligrosos Mensual</t>
        </is>
      </c>
      <c r="C1631" t="inlineStr">
        <is>
          <t>GESTIÓN AMBIENTAL</t>
        </is>
      </c>
      <c r="D1631" t="inlineStr">
        <is>
          <t>Mensual</t>
        </is>
      </c>
      <c r="E1631" t="inlineStr">
        <is>
          <t>Negativo</t>
        </is>
      </c>
      <c r="F1631" s="105" t="n">
        <v>45535</v>
      </c>
      <c r="G1631" t="inlineStr">
        <is>
          <t>434-2024-08-31</t>
        </is>
      </c>
      <c r="H1631" t="inlineStr">
        <is>
          <t>Sede Bienestar - Medellín</t>
        </is>
      </c>
      <c r="I1631" t="n">
        <v>10</v>
      </c>
      <c r="J1631" t="n">
        <v>0.2000000029802322</v>
      </c>
      <c r="AV1631" t="n">
        <v>0.2</v>
      </c>
    </row>
    <row r="1632">
      <c r="A1632" t="n">
        <v>434</v>
      </c>
      <c r="B1632" t="inlineStr">
        <is>
          <t>Generación de Residuos Peligrosos Mensual</t>
        </is>
      </c>
      <c r="C1632" t="inlineStr">
        <is>
          <t>GESTIÓN AMBIENTAL</t>
        </is>
      </c>
      <c r="D1632" t="inlineStr">
        <is>
          <t>Mensual</t>
        </is>
      </c>
      <c r="E1632" t="inlineStr">
        <is>
          <t>Negativo</t>
        </is>
      </c>
      <c r="F1632" s="105" t="n">
        <v>45535</v>
      </c>
      <c r="G1632" t="inlineStr">
        <is>
          <t>434-2024-08-31</t>
        </is>
      </c>
      <c r="H1632" t="inlineStr">
        <is>
          <t>Campus-Medellín</t>
        </is>
      </c>
      <c r="I1632" t="n">
        <v>25</v>
      </c>
      <c r="J1632" t="n">
        <v>606.5999755859375</v>
      </c>
      <c r="AV1632" t="n">
        <v>606.6</v>
      </c>
    </row>
    <row r="1633">
      <c r="A1633" t="n">
        <v>436</v>
      </c>
      <c r="B1633" t="inlineStr">
        <is>
          <t>ANS documentos operativos</t>
        </is>
      </c>
      <c r="C1633" t="inlineStr">
        <is>
          <t>Gestión de calidad</t>
        </is>
      </c>
      <c r="D1633" t="inlineStr">
        <is>
          <t>Mensual</t>
        </is>
      </c>
      <c r="E1633" t="inlineStr">
        <is>
          <t>Negativo</t>
        </is>
      </c>
      <c r="F1633" s="105" t="n">
        <v>45535</v>
      </c>
      <c r="G1633" t="inlineStr">
        <is>
          <t>436-2024-08-31</t>
        </is>
      </c>
      <c r="H1633" t="inlineStr">
        <is>
          <t>Solicitud Documental</t>
        </is>
      </c>
      <c r="I1633" t="n">
        <v>7</v>
      </c>
      <c r="J1633" t="n">
        <v>7.5</v>
      </c>
      <c r="CP1633" t="n">
        <v>7.5</v>
      </c>
    </row>
    <row r="1634">
      <c r="A1634" t="n">
        <v>436</v>
      </c>
      <c r="B1634" t="inlineStr">
        <is>
          <t>ANS documentos operativos</t>
        </is>
      </c>
      <c r="C1634" t="inlineStr">
        <is>
          <t>Gestión de calidad</t>
        </is>
      </c>
      <c r="D1634" t="inlineStr">
        <is>
          <t>Mensual</t>
        </is>
      </c>
      <c r="E1634" t="inlineStr">
        <is>
          <t>Negativo</t>
        </is>
      </c>
      <c r="F1634" s="105" t="n">
        <v>45535</v>
      </c>
      <c r="G1634" t="inlineStr">
        <is>
          <t>436-2024-08-31</t>
        </is>
      </c>
      <c r="H1634" t="inlineStr">
        <is>
          <t>Flujo de aprobación</t>
        </is>
      </c>
      <c r="I1634" t="n">
        <v>7</v>
      </c>
      <c r="J1634" t="n">
        <v>1</v>
      </c>
      <c r="CP1634" t="n">
        <v>1</v>
      </c>
    </row>
    <row r="1635">
      <c r="A1635" t="n">
        <v>208</v>
      </c>
      <c r="B1635" t="inlineStr">
        <is>
          <t>Consumo de Agua m3 Mensual</t>
        </is>
      </c>
      <c r="C1635" t="inlineStr">
        <is>
          <t>GESTIÓN AMBIENTAL</t>
        </is>
      </c>
      <c r="D1635" t="inlineStr">
        <is>
          <t>Mensual</t>
        </is>
      </c>
      <c r="E1635" t="inlineStr">
        <is>
          <t>Negativo</t>
        </is>
      </c>
      <c r="F1635" s="105" t="n">
        <v>45565</v>
      </c>
      <c r="G1635" t="inlineStr">
        <is>
          <t>208-2024-09-30</t>
        </is>
      </c>
      <c r="H1635" t="inlineStr">
        <is>
          <t>Campus Bogotá</t>
        </is>
      </c>
      <c r="I1635" t="n">
        <v>950</v>
      </c>
      <c r="J1635" t="n">
        <v>861</v>
      </c>
      <c r="K1635" t="n">
        <v>861</v>
      </c>
    </row>
    <row r="1636">
      <c r="A1636" t="n">
        <v>208</v>
      </c>
      <c r="B1636" t="inlineStr">
        <is>
          <t>Consumo de Agua m3 Mensual</t>
        </is>
      </c>
      <c r="C1636" t="inlineStr">
        <is>
          <t>GESTIÓN AMBIENTAL</t>
        </is>
      </c>
      <c r="D1636" t="inlineStr">
        <is>
          <t>Mensual</t>
        </is>
      </c>
      <c r="E1636" t="inlineStr">
        <is>
          <t>Negativo</t>
        </is>
      </c>
      <c r="F1636" s="105" t="n">
        <v>45565</v>
      </c>
      <c r="G1636" t="inlineStr">
        <is>
          <t>208-2024-09-30</t>
        </is>
      </c>
      <c r="H1636" t="inlineStr">
        <is>
          <t>City Campus</t>
        </is>
      </c>
      <c r="I1636" t="n">
        <v>350</v>
      </c>
      <c r="J1636" t="n">
        <v>397.5</v>
      </c>
      <c r="K1636" t="n">
        <v>397.5</v>
      </c>
    </row>
    <row r="1637">
      <c r="A1637" t="n">
        <v>208</v>
      </c>
      <c r="B1637" t="inlineStr">
        <is>
          <t>Consumo de Agua m3 Mensual</t>
        </is>
      </c>
      <c r="C1637" t="inlineStr">
        <is>
          <t>GESTIÓN AMBIENTAL</t>
        </is>
      </c>
      <c r="D1637" t="inlineStr">
        <is>
          <t>Mensual</t>
        </is>
      </c>
      <c r="E1637" t="inlineStr">
        <is>
          <t>Negativo</t>
        </is>
      </c>
      <c r="F1637" s="105" t="n">
        <v>45565</v>
      </c>
      <c r="G1637" t="inlineStr">
        <is>
          <t>208-2024-09-30</t>
        </is>
      </c>
      <c r="H1637" t="inlineStr">
        <is>
          <t>Sede Posgrado-Calle 85</t>
        </is>
      </c>
      <c r="I1637" t="n">
        <v>25</v>
      </c>
      <c r="J1637" t="n">
        <v>7.5</v>
      </c>
      <c r="K1637" t="n">
        <v>7.5</v>
      </c>
    </row>
    <row r="1638">
      <c r="A1638" t="n">
        <v>208</v>
      </c>
      <c r="B1638" t="inlineStr">
        <is>
          <t>Consumo de Agua m3 Mensual</t>
        </is>
      </c>
      <c r="C1638" t="inlineStr">
        <is>
          <t>GESTIÓN AMBIENTAL</t>
        </is>
      </c>
      <c r="D1638" t="inlineStr">
        <is>
          <t>Mensual</t>
        </is>
      </c>
      <c r="E1638" t="inlineStr">
        <is>
          <t>Negativo</t>
        </is>
      </c>
      <c r="F1638" s="105" t="n">
        <v>45565</v>
      </c>
      <c r="G1638" t="inlineStr">
        <is>
          <t>208-2024-09-30</t>
        </is>
      </c>
      <c r="H1638" t="inlineStr">
        <is>
          <t>Sede Bienestar - Medellín</t>
        </is>
      </c>
      <c r="I1638" t="n">
        <v>0</v>
      </c>
      <c r="J1638" t="n">
        <v>0</v>
      </c>
      <c r="K1638" t="n">
        <v>0</v>
      </c>
    </row>
    <row r="1639">
      <c r="A1639" t="n">
        <v>208</v>
      </c>
      <c r="B1639" t="inlineStr">
        <is>
          <t>Consumo de Agua m3 Mensual</t>
        </is>
      </c>
      <c r="C1639" t="inlineStr">
        <is>
          <t>GESTIÓN AMBIENTAL</t>
        </is>
      </c>
      <c r="D1639" t="inlineStr">
        <is>
          <t>Mensual</t>
        </is>
      </c>
      <c r="E1639" t="inlineStr">
        <is>
          <t>Negativo</t>
        </is>
      </c>
      <c r="F1639" s="105" t="n">
        <v>45565</v>
      </c>
      <c r="G1639" t="inlineStr">
        <is>
          <t>208-2024-09-30</t>
        </is>
      </c>
      <c r="H1639" t="inlineStr">
        <is>
          <t>Consultorio Psicología - Medellin</t>
        </is>
      </c>
      <c r="I1639" t="n">
        <v>25</v>
      </c>
      <c r="J1639" t="n">
        <v>5</v>
      </c>
      <c r="K1639" t="n">
        <v>5</v>
      </c>
    </row>
    <row r="1640">
      <c r="A1640" t="n">
        <v>208</v>
      </c>
      <c r="B1640" t="inlineStr">
        <is>
          <t>Consumo de Agua m3 Mensual</t>
        </is>
      </c>
      <c r="C1640" t="inlineStr">
        <is>
          <t>GESTIÓN AMBIENTAL</t>
        </is>
      </c>
      <c r="D1640" t="inlineStr">
        <is>
          <t>Mensual</t>
        </is>
      </c>
      <c r="E1640" t="inlineStr">
        <is>
          <t>Negativo</t>
        </is>
      </c>
      <c r="F1640" s="105" t="n">
        <v>45565</v>
      </c>
      <c r="G1640" t="inlineStr">
        <is>
          <t>208-2024-09-30</t>
        </is>
      </c>
      <c r="H1640" t="inlineStr">
        <is>
          <t>Campus-Medellín</t>
        </is>
      </c>
      <c r="I1640" t="n">
        <v>200</v>
      </c>
      <c r="J1640" t="n">
        <v>195</v>
      </c>
      <c r="K1640" t="n">
        <v>195</v>
      </c>
    </row>
    <row r="1641">
      <c r="A1641" t="n">
        <v>214</v>
      </c>
      <c r="B1641" t="inlineStr">
        <is>
          <t>Generación de Residuos Sólidos Mensual</t>
        </is>
      </c>
      <c r="C1641" t="inlineStr">
        <is>
          <t>GESTIÓN AMBIENTAL</t>
        </is>
      </c>
      <c r="D1641" t="inlineStr">
        <is>
          <t>Mensual</t>
        </is>
      </c>
      <c r="E1641" t="inlineStr">
        <is>
          <t>Negativo</t>
        </is>
      </c>
      <c r="F1641" s="105" t="n">
        <v>45565</v>
      </c>
      <c r="G1641" t="inlineStr">
        <is>
          <t>214-2024-09-30</t>
        </is>
      </c>
      <c r="H1641" t="inlineStr">
        <is>
          <t>Campus Bogotá</t>
        </is>
      </c>
      <c r="I1641" t="n">
        <v>5500</v>
      </c>
      <c r="J1641" t="n">
        <v>3675</v>
      </c>
      <c r="L1641" t="n">
        <v>518</v>
      </c>
      <c r="M1641" t="n">
        <v>3157</v>
      </c>
    </row>
    <row r="1642">
      <c r="A1642" t="n">
        <v>214</v>
      </c>
      <c r="B1642" t="inlineStr">
        <is>
          <t>Generación de Residuos Sólidos Mensual</t>
        </is>
      </c>
      <c r="C1642" t="inlineStr">
        <is>
          <t>GESTIÓN AMBIENTAL</t>
        </is>
      </c>
      <c r="D1642" t="inlineStr">
        <is>
          <t>Mensual</t>
        </is>
      </c>
      <c r="E1642" t="inlineStr">
        <is>
          <t>Negativo</t>
        </is>
      </c>
      <c r="F1642" s="105" t="n">
        <v>45565</v>
      </c>
      <c r="G1642" t="inlineStr">
        <is>
          <t>214-2024-09-30</t>
        </is>
      </c>
      <c r="H1642" t="inlineStr">
        <is>
          <t>City Campus</t>
        </is>
      </c>
      <c r="I1642" t="n">
        <v>1000</v>
      </c>
      <c r="J1642" t="n">
        <v>0</v>
      </c>
      <c r="L1642" t="n">
        <v>252.65</v>
      </c>
      <c r="M1642" t="n">
        <v>886.05</v>
      </c>
    </row>
    <row r="1643">
      <c r="A1643" t="n">
        <v>214</v>
      </c>
      <c r="B1643" t="inlineStr">
        <is>
          <t>Generación de Residuos Sólidos Mensual</t>
        </is>
      </c>
      <c r="C1643" t="inlineStr">
        <is>
          <t>GESTIÓN AMBIENTAL</t>
        </is>
      </c>
      <c r="D1643" t="inlineStr">
        <is>
          <t>Mensual</t>
        </is>
      </c>
      <c r="E1643" t="inlineStr">
        <is>
          <t>Negativo</t>
        </is>
      </c>
      <c r="F1643" s="105" t="n">
        <v>45565</v>
      </c>
      <c r="G1643" t="inlineStr">
        <is>
          <t>214-2024-09-30</t>
        </is>
      </c>
      <c r="H1643" t="inlineStr">
        <is>
          <t>Sede Posgrado-Calle 85</t>
        </is>
      </c>
      <c r="I1643" t="n">
        <v>7500</v>
      </c>
      <c r="J1643" t="n">
        <v>0</v>
      </c>
      <c r="L1643" t="n">
        <v>0</v>
      </c>
      <c r="M1643" t="n">
        <v>0</v>
      </c>
    </row>
    <row r="1644">
      <c r="A1644" t="n">
        <v>214</v>
      </c>
      <c r="B1644" t="inlineStr">
        <is>
          <t>Generación de Residuos Sólidos Mensual</t>
        </is>
      </c>
      <c r="C1644" t="inlineStr">
        <is>
          <t>GESTIÓN AMBIENTAL</t>
        </is>
      </c>
      <c r="D1644" t="inlineStr">
        <is>
          <t>Mensual</t>
        </is>
      </c>
      <c r="E1644" t="inlineStr">
        <is>
          <t>Negativo</t>
        </is>
      </c>
      <c r="F1644" s="105" t="n">
        <v>45565</v>
      </c>
      <c r="G1644" t="inlineStr">
        <is>
          <t>214-2024-09-30</t>
        </is>
      </c>
      <c r="H1644" t="inlineStr">
        <is>
          <t>Campus-Medellín</t>
        </is>
      </c>
      <c r="I1644" t="n">
        <v>1000</v>
      </c>
      <c r="J1644" t="n">
        <v>1448.719970703125</v>
      </c>
      <c r="L1644" t="n">
        <v>223.42</v>
      </c>
      <c r="M1644" t="n">
        <v>1125.58</v>
      </c>
    </row>
    <row r="1645">
      <c r="A1645" t="n">
        <v>214</v>
      </c>
      <c r="B1645" t="inlineStr">
        <is>
          <t>Generación de Residuos Sólidos Mensual</t>
        </is>
      </c>
      <c r="C1645" t="inlineStr">
        <is>
          <t>GESTIÓN AMBIENTAL</t>
        </is>
      </c>
      <c r="D1645" t="inlineStr">
        <is>
          <t>Mensual</t>
        </is>
      </c>
      <c r="E1645" t="inlineStr">
        <is>
          <t>Negativo</t>
        </is>
      </c>
      <c r="F1645" s="105" t="n">
        <v>45565</v>
      </c>
      <c r="G1645" t="inlineStr">
        <is>
          <t>214-2024-09-30</t>
        </is>
      </c>
      <c r="H1645" t="inlineStr">
        <is>
          <t>Sede Bienestar - Medellín</t>
        </is>
      </c>
      <c r="I1645" t="n">
        <v>1</v>
      </c>
      <c r="J1645" t="n">
        <v>0</v>
      </c>
      <c r="L1645" t="n">
        <v>0</v>
      </c>
      <c r="M1645" t="n">
        <v>0</v>
      </c>
    </row>
    <row r="1646">
      <c r="A1646" t="n">
        <v>214</v>
      </c>
      <c r="B1646" t="inlineStr">
        <is>
          <t>Generación de Residuos Sólidos Mensual</t>
        </is>
      </c>
      <c r="C1646" t="inlineStr">
        <is>
          <t>GESTIÓN AMBIENTAL</t>
        </is>
      </c>
      <c r="D1646" t="inlineStr">
        <is>
          <t>Mensual</t>
        </is>
      </c>
      <c r="E1646" t="inlineStr">
        <is>
          <t>Negativo</t>
        </is>
      </c>
      <c r="F1646" s="105" t="n">
        <v>45565</v>
      </c>
      <c r="G1646" t="inlineStr">
        <is>
          <t>214-2024-09-30</t>
        </is>
      </c>
      <c r="H1646" t="inlineStr">
        <is>
          <t>Consultorio Psicología - Medellin</t>
        </is>
      </c>
      <c r="I1646" t="n">
        <v>1</v>
      </c>
      <c r="J1646" t="n">
        <v>9.039999961853027</v>
      </c>
      <c r="L1646" t="n">
        <v>1.64</v>
      </c>
      <c r="M1646" t="n">
        <v>7.4</v>
      </c>
    </row>
    <row r="1647">
      <c r="A1647" t="n">
        <v>217</v>
      </c>
      <c r="B1647" t="inlineStr">
        <is>
          <t>Aprovechamiento de Residuos</t>
        </is>
      </c>
      <c r="C1647" t="inlineStr">
        <is>
          <t>GESTIÓN AMBIENTAL</t>
        </is>
      </c>
      <c r="D1647" t="inlineStr">
        <is>
          <t>Mensual</t>
        </is>
      </c>
      <c r="E1647" t="inlineStr">
        <is>
          <t>Positivo</t>
        </is>
      </c>
      <c r="F1647" s="105" t="n">
        <v>45565</v>
      </c>
      <c r="G1647" t="inlineStr">
        <is>
          <t>217-2024-09-30</t>
        </is>
      </c>
      <c r="H1647" t="inlineStr">
        <is>
          <t>City Campus</t>
        </is>
      </c>
      <c r="I1647" t="n">
        <v>20</v>
      </c>
      <c r="J1647" t="n">
        <v>22.19000053405762</v>
      </c>
      <c r="L1647" t="n">
        <v>252.65</v>
      </c>
      <c r="M1647" t="n">
        <v>886.05</v>
      </c>
      <c r="AS1647" t="n">
        <v>252.65</v>
      </c>
    </row>
    <row r="1648">
      <c r="A1648" t="n">
        <v>217</v>
      </c>
      <c r="B1648" t="inlineStr">
        <is>
          <t>Aprovechamiento de Residuos</t>
        </is>
      </c>
      <c r="C1648" t="inlineStr">
        <is>
          <t>GESTIÓN AMBIENTAL</t>
        </is>
      </c>
      <c r="D1648" t="inlineStr">
        <is>
          <t>Mensual</t>
        </is>
      </c>
      <c r="E1648" t="inlineStr">
        <is>
          <t>Positivo</t>
        </is>
      </c>
      <c r="F1648" s="105" t="n">
        <v>45565</v>
      </c>
      <c r="G1648" t="inlineStr">
        <is>
          <t>217-2024-09-30</t>
        </is>
      </c>
      <c r="H1648" t="inlineStr">
        <is>
          <t>Campus-Medellín</t>
        </is>
      </c>
      <c r="I1648" t="n">
        <v>20</v>
      </c>
      <c r="J1648" t="n">
        <v>15.42000007629395</v>
      </c>
      <c r="L1648" t="n">
        <v>223.42</v>
      </c>
      <c r="M1648" t="n">
        <v>1125.58</v>
      </c>
      <c r="AS1648" t="n">
        <v>223.42</v>
      </c>
    </row>
    <row r="1649">
      <c r="A1649" t="n">
        <v>217</v>
      </c>
      <c r="B1649" t="inlineStr">
        <is>
          <t>Aprovechamiento de Residuos</t>
        </is>
      </c>
      <c r="C1649" t="inlineStr">
        <is>
          <t>GESTIÓN AMBIENTAL</t>
        </is>
      </c>
      <c r="D1649" t="inlineStr">
        <is>
          <t>Mensual</t>
        </is>
      </c>
      <c r="E1649" t="inlineStr">
        <is>
          <t>Positivo</t>
        </is>
      </c>
      <c r="F1649" s="105" t="n">
        <v>45565</v>
      </c>
      <c r="G1649" t="inlineStr">
        <is>
          <t>217-2024-09-30</t>
        </is>
      </c>
      <c r="H1649" t="inlineStr">
        <is>
          <t>Campus Bogotá</t>
        </is>
      </c>
      <c r="I1649" t="n">
        <v>20</v>
      </c>
      <c r="J1649" t="n">
        <v>14.10000038146973</v>
      </c>
      <c r="L1649" t="n">
        <v>518</v>
      </c>
      <c r="M1649" t="n">
        <v>3157</v>
      </c>
      <c r="AS1649" t="n">
        <v>518</v>
      </c>
    </row>
    <row r="1650">
      <c r="A1650" t="n">
        <v>217</v>
      </c>
      <c r="B1650" t="inlineStr">
        <is>
          <t>Aprovechamiento de Residuos</t>
        </is>
      </c>
      <c r="C1650" t="inlineStr">
        <is>
          <t>GESTIÓN AMBIENTAL</t>
        </is>
      </c>
      <c r="D1650" t="inlineStr">
        <is>
          <t>Mensual</t>
        </is>
      </c>
      <c r="E1650" t="inlineStr">
        <is>
          <t>Positivo</t>
        </is>
      </c>
      <c r="F1650" s="105" t="n">
        <v>45565</v>
      </c>
      <c r="G1650" t="inlineStr">
        <is>
          <t>217-2024-09-30</t>
        </is>
      </c>
      <c r="H1650" t="inlineStr">
        <is>
          <t>Consultorio Psicología - Medellin</t>
        </is>
      </c>
      <c r="I1650" t="n">
        <v>20</v>
      </c>
      <c r="J1650" t="n">
        <v>18.13999938964844</v>
      </c>
      <c r="L1650" t="n">
        <v>1.64</v>
      </c>
      <c r="M1650" t="n">
        <v>7.4</v>
      </c>
      <c r="AS1650" t="n">
        <v>1.64</v>
      </c>
    </row>
    <row r="1651">
      <c r="A1651" t="n">
        <v>218</v>
      </c>
      <c r="B1651" t="inlineStr">
        <is>
          <t>Consumo de Energía Eléctrica kWh Mensual</t>
        </is>
      </c>
      <c r="C1651" t="inlineStr">
        <is>
          <t>GESTIÓN AMBIENTAL</t>
        </is>
      </c>
      <c r="D1651" t="inlineStr">
        <is>
          <t>Mensual</t>
        </is>
      </c>
      <c r="E1651" t="inlineStr">
        <is>
          <t>Negativo</t>
        </is>
      </c>
      <c r="F1651" s="105" t="n">
        <v>45565</v>
      </c>
      <c r="G1651" t="inlineStr">
        <is>
          <t>218-2024-09-30</t>
        </is>
      </c>
      <c r="H1651" t="inlineStr">
        <is>
          <t>Campus Bogotá</t>
        </is>
      </c>
      <c r="I1651" t="n">
        <v>76000</v>
      </c>
      <c r="J1651" t="n">
        <v>66652.5234375</v>
      </c>
      <c r="N1651" t="n">
        <v>66652.52</v>
      </c>
    </row>
    <row r="1652">
      <c r="A1652" t="n">
        <v>218</v>
      </c>
      <c r="B1652" t="inlineStr">
        <is>
          <t>Consumo de Energía Eléctrica kWh Mensual</t>
        </is>
      </c>
      <c r="C1652" t="inlineStr">
        <is>
          <t>GESTIÓN AMBIENTAL</t>
        </is>
      </c>
      <c r="D1652" t="inlineStr">
        <is>
          <t>Mensual</t>
        </is>
      </c>
      <c r="E1652" t="inlineStr">
        <is>
          <t>Negativo</t>
        </is>
      </c>
      <c r="F1652" s="105" t="n">
        <v>45565</v>
      </c>
      <c r="G1652" t="inlineStr">
        <is>
          <t>218-2024-09-30</t>
        </is>
      </c>
      <c r="H1652" t="inlineStr">
        <is>
          <t>City Campus</t>
        </is>
      </c>
      <c r="I1652" t="n">
        <v>76000</v>
      </c>
      <c r="J1652" t="n">
        <v>45600</v>
      </c>
      <c r="N1652" t="n">
        <v>45600</v>
      </c>
    </row>
    <row r="1653">
      <c r="A1653" t="n">
        <v>218</v>
      </c>
      <c r="B1653" t="inlineStr">
        <is>
          <t>Consumo de Energía Eléctrica kWh Mensual</t>
        </is>
      </c>
      <c r="C1653" t="inlineStr">
        <is>
          <t>GESTIÓN AMBIENTAL</t>
        </is>
      </c>
      <c r="D1653" t="inlineStr">
        <is>
          <t>Mensual</t>
        </is>
      </c>
      <c r="E1653" t="inlineStr">
        <is>
          <t>Negativo</t>
        </is>
      </c>
      <c r="F1653" s="105" t="n">
        <v>45565</v>
      </c>
      <c r="G1653" t="inlineStr">
        <is>
          <t>218-2024-09-30</t>
        </is>
      </c>
      <c r="H1653" t="inlineStr">
        <is>
          <t>Sede Posgrado-Calle 85</t>
        </is>
      </c>
      <c r="I1653" t="n">
        <v>5000</v>
      </c>
      <c r="J1653" t="n">
        <v>4860</v>
      </c>
      <c r="N1653" t="n">
        <v>4860</v>
      </c>
    </row>
    <row r="1654">
      <c r="A1654" t="n">
        <v>218</v>
      </c>
      <c r="B1654" t="inlineStr">
        <is>
          <t>Consumo de Energía Eléctrica kWh Mensual</t>
        </is>
      </c>
      <c r="C1654" t="inlineStr">
        <is>
          <t>GESTIÓN AMBIENTAL</t>
        </is>
      </c>
      <c r="D1654" t="inlineStr">
        <is>
          <t>Mensual</t>
        </is>
      </c>
      <c r="E1654" t="inlineStr">
        <is>
          <t>Negativo</t>
        </is>
      </c>
      <c r="F1654" s="105" t="n">
        <v>45565</v>
      </c>
      <c r="G1654" t="inlineStr">
        <is>
          <t>218-2024-09-30</t>
        </is>
      </c>
      <c r="H1654" t="inlineStr">
        <is>
          <t>Campus-Medellín</t>
        </is>
      </c>
      <c r="I1654" t="n">
        <v>24000</v>
      </c>
      <c r="J1654" t="n">
        <v>24149</v>
      </c>
      <c r="N1654" t="n">
        <v>24149</v>
      </c>
    </row>
    <row r="1655">
      <c r="A1655" t="n">
        <v>218</v>
      </c>
      <c r="B1655" t="inlineStr">
        <is>
          <t>Consumo de Energía Eléctrica kWh Mensual</t>
        </is>
      </c>
      <c r="C1655" t="inlineStr">
        <is>
          <t>GESTIÓN AMBIENTAL</t>
        </is>
      </c>
      <c r="D1655" t="inlineStr">
        <is>
          <t>Mensual</t>
        </is>
      </c>
      <c r="E1655" t="inlineStr">
        <is>
          <t>Negativo</t>
        </is>
      </c>
      <c r="F1655" s="105" t="n">
        <v>45565</v>
      </c>
      <c r="G1655" t="inlineStr">
        <is>
          <t>218-2024-09-30</t>
        </is>
      </c>
      <c r="H1655" t="inlineStr">
        <is>
          <t>Consultorio Psicología - Medellin</t>
        </is>
      </c>
      <c r="I1655" t="n">
        <v>2000</v>
      </c>
      <c r="J1655" t="n">
        <v>1235</v>
      </c>
      <c r="N1655" t="n">
        <v>1235</v>
      </c>
    </row>
    <row r="1656">
      <c r="A1656" t="n">
        <v>218</v>
      </c>
      <c r="B1656" t="inlineStr">
        <is>
          <t>Consumo de Energía Eléctrica kWh Mensual</t>
        </is>
      </c>
      <c r="C1656" t="inlineStr">
        <is>
          <t>GESTIÓN AMBIENTAL</t>
        </is>
      </c>
      <c r="D1656" t="inlineStr">
        <is>
          <t>Mensual</t>
        </is>
      </c>
      <c r="E1656" t="inlineStr">
        <is>
          <t>Negativo</t>
        </is>
      </c>
      <c r="F1656" s="105" t="n">
        <v>45565</v>
      </c>
      <c r="G1656" t="inlineStr">
        <is>
          <t>218-2024-09-30</t>
        </is>
      </c>
      <c r="H1656" t="inlineStr">
        <is>
          <t>Sede Bienestar - Medellín</t>
        </is>
      </c>
      <c r="I1656" t="n">
        <v>5000</v>
      </c>
      <c r="J1656" t="n">
        <v>3360</v>
      </c>
      <c r="N1656" t="n">
        <v>3360</v>
      </c>
    </row>
    <row r="1657">
      <c r="A1657" t="n">
        <v>225</v>
      </c>
      <c r="B1657" t="inlineStr">
        <is>
          <t>Acciones para el Cuidado y Mantenimiento de las Especies de Flora y el Suelo de las Áreas Naturales</t>
        </is>
      </c>
      <c r="C1657" t="inlineStr">
        <is>
          <t>GESTIÓN AMBIENTAL</t>
        </is>
      </c>
      <c r="D1657" t="inlineStr">
        <is>
          <t>Mensual</t>
        </is>
      </c>
      <c r="E1657" t="inlineStr">
        <is>
          <t>Positivo</t>
        </is>
      </c>
      <c r="F1657" s="105" t="n">
        <v>45565</v>
      </c>
      <c r="G1657" t="inlineStr">
        <is>
          <t>225-2024-09-30</t>
        </is>
      </c>
      <c r="H1657" t="inlineStr">
        <is>
          <t>Campus Bogotá</t>
        </is>
      </c>
      <c r="I1657" t="n">
        <v>1</v>
      </c>
      <c r="J1657" t="n">
        <v>6</v>
      </c>
      <c r="AT1657" t="n">
        <v>6</v>
      </c>
    </row>
    <row r="1658">
      <c r="A1658" t="n">
        <v>225</v>
      </c>
      <c r="B1658" t="inlineStr">
        <is>
          <t>Acciones para el Cuidado y Mantenimiento de las Especies de Flora y el Suelo de las Áreas Naturales</t>
        </is>
      </c>
      <c r="C1658" t="inlineStr">
        <is>
          <t>GESTIÓN AMBIENTAL</t>
        </is>
      </c>
      <c r="D1658" t="inlineStr">
        <is>
          <t>Mensual</t>
        </is>
      </c>
      <c r="E1658" t="inlineStr">
        <is>
          <t>Positivo</t>
        </is>
      </c>
      <c r="F1658" s="105" t="n">
        <v>45565</v>
      </c>
      <c r="G1658" t="inlineStr">
        <is>
          <t>225-2024-09-30</t>
        </is>
      </c>
      <c r="H1658" t="inlineStr">
        <is>
          <t>City Campus</t>
        </is>
      </c>
      <c r="I1658" t="n">
        <v>1</v>
      </c>
      <c r="J1658" t="n">
        <v>4</v>
      </c>
      <c r="AT1658" t="n">
        <v>4</v>
      </c>
    </row>
    <row r="1659">
      <c r="A1659" t="n">
        <v>225</v>
      </c>
      <c r="B1659" t="inlineStr">
        <is>
          <t>Acciones para el Cuidado y Mantenimiento de las Especies de Flora y el Suelo de las Áreas Naturales</t>
        </is>
      </c>
      <c r="C1659" t="inlineStr">
        <is>
          <t>GESTIÓN AMBIENTAL</t>
        </is>
      </c>
      <c r="D1659" t="inlineStr">
        <is>
          <t>Mensual</t>
        </is>
      </c>
      <c r="E1659" t="inlineStr">
        <is>
          <t>Positivo</t>
        </is>
      </c>
      <c r="F1659" s="105" t="n">
        <v>45565</v>
      </c>
      <c r="G1659" t="inlineStr">
        <is>
          <t>225-2024-09-30</t>
        </is>
      </c>
      <c r="H1659" t="inlineStr">
        <is>
          <t>Campus-Medellín</t>
        </is>
      </c>
      <c r="I1659" t="n">
        <v>1</v>
      </c>
      <c r="J1659" t="n">
        <v>10</v>
      </c>
      <c r="AT1659" t="n">
        <v>10</v>
      </c>
    </row>
    <row r="1660">
      <c r="A1660" t="n">
        <v>225</v>
      </c>
      <c r="B1660" t="inlineStr">
        <is>
          <t>Acciones para el Cuidado y Mantenimiento de las Especies de Flora y el Suelo de las Áreas Naturales</t>
        </is>
      </c>
      <c r="C1660" t="inlineStr">
        <is>
          <t>GESTIÓN AMBIENTAL</t>
        </is>
      </c>
      <c r="D1660" t="inlineStr">
        <is>
          <t>Mensual</t>
        </is>
      </c>
      <c r="E1660" t="inlineStr">
        <is>
          <t>Positivo</t>
        </is>
      </c>
      <c r="F1660" s="105" t="n">
        <v>45565</v>
      </c>
      <c r="G1660" t="inlineStr">
        <is>
          <t>225-2024-09-30</t>
        </is>
      </c>
      <c r="H1660" t="inlineStr">
        <is>
          <t>Sede Bienestar - Medellín</t>
        </is>
      </c>
      <c r="I1660" t="n">
        <v>1</v>
      </c>
      <c r="J1660" t="n">
        <v>1</v>
      </c>
      <c r="AT1660" t="n">
        <v>1</v>
      </c>
    </row>
    <row r="1661">
      <c r="A1661" t="n">
        <v>225</v>
      </c>
      <c r="B1661" t="inlineStr">
        <is>
          <t>Acciones para el Cuidado y Mantenimiento de las Especies de Flora y el Suelo de las Áreas Naturales</t>
        </is>
      </c>
      <c r="C1661" t="inlineStr">
        <is>
          <t>GESTIÓN AMBIENTAL</t>
        </is>
      </c>
      <c r="D1661" t="inlineStr">
        <is>
          <t>Mensual</t>
        </is>
      </c>
      <c r="E1661" t="inlineStr">
        <is>
          <t>Positivo</t>
        </is>
      </c>
      <c r="F1661" s="105" t="n">
        <v>45565</v>
      </c>
      <c r="G1661" t="inlineStr">
        <is>
          <t>225-2024-09-30</t>
        </is>
      </c>
      <c r="H1661" t="inlineStr">
        <is>
          <t>Consultorio Psicología - Medellin</t>
        </is>
      </c>
      <c r="I1661" t="n">
        <v>1</v>
      </c>
      <c r="J1661" t="n">
        <v>1</v>
      </c>
      <c r="AT1661" t="n">
        <v>1</v>
      </c>
    </row>
    <row r="1662">
      <c r="A1662" t="n">
        <v>434</v>
      </c>
      <c r="B1662" t="inlineStr">
        <is>
          <t>Generación de Residuos Peligrosos Mensual</t>
        </is>
      </c>
      <c r="C1662" t="inlineStr">
        <is>
          <t>GESTIÓN AMBIENTAL</t>
        </is>
      </c>
      <c r="D1662" t="inlineStr">
        <is>
          <t>Mensual</t>
        </is>
      </c>
      <c r="E1662" t="inlineStr">
        <is>
          <t>Negativo</t>
        </is>
      </c>
      <c r="F1662" s="105" t="n">
        <v>45565</v>
      </c>
      <c r="G1662" t="inlineStr">
        <is>
          <t>434-2024-09-30</t>
        </is>
      </c>
      <c r="H1662" t="inlineStr">
        <is>
          <t>Sede Posgrado-Calle 85</t>
        </is>
      </c>
      <c r="I1662" t="n">
        <v>200</v>
      </c>
      <c r="J1662" t="n">
        <v>0</v>
      </c>
      <c r="AV1662" t="n">
        <v>0</v>
      </c>
    </row>
    <row r="1663">
      <c r="A1663" t="n">
        <v>434</v>
      </c>
      <c r="B1663" t="inlineStr">
        <is>
          <t>Generación de Residuos Peligrosos Mensual</t>
        </is>
      </c>
      <c r="C1663" t="inlineStr">
        <is>
          <t>GESTIÓN AMBIENTAL</t>
        </is>
      </c>
      <c r="D1663" t="inlineStr">
        <is>
          <t>Mensual</t>
        </is>
      </c>
      <c r="E1663" t="inlineStr">
        <is>
          <t>Negativo</t>
        </is>
      </c>
      <c r="F1663" s="105" t="n">
        <v>45565</v>
      </c>
      <c r="G1663" t="inlineStr">
        <is>
          <t>434-2024-09-30</t>
        </is>
      </c>
      <c r="H1663" t="inlineStr">
        <is>
          <t>Campus-Medellín</t>
        </is>
      </c>
      <c r="I1663" t="n">
        <v>25</v>
      </c>
      <c r="J1663" t="n">
        <v>0.5</v>
      </c>
      <c r="AV1663" t="n">
        <v>0.5</v>
      </c>
    </row>
    <row r="1664">
      <c r="A1664" t="n">
        <v>434</v>
      </c>
      <c r="B1664" t="inlineStr">
        <is>
          <t>Generación de Residuos Peligrosos Mensual</t>
        </is>
      </c>
      <c r="C1664" t="inlineStr">
        <is>
          <t>GESTIÓN AMBIENTAL</t>
        </is>
      </c>
      <c r="D1664" t="inlineStr">
        <is>
          <t>Mensual</t>
        </is>
      </c>
      <c r="E1664" t="inlineStr">
        <is>
          <t>Negativo</t>
        </is>
      </c>
      <c r="F1664" s="105" t="n">
        <v>45565</v>
      </c>
      <c r="G1664" t="inlineStr">
        <is>
          <t>434-2024-09-30</t>
        </is>
      </c>
      <c r="H1664" t="inlineStr">
        <is>
          <t>Sede Bienestar - Medellín</t>
        </is>
      </c>
      <c r="I1664" t="n">
        <v>10</v>
      </c>
      <c r="J1664" t="n">
        <v>0.2000000029802322</v>
      </c>
      <c r="AV1664" t="n">
        <v>0.2</v>
      </c>
    </row>
    <row r="1665">
      <c r="A1665" t="n">
        <v>434</v>
      </c>
      <c r="B1665" t="inlineStr">
        <is>
          <t>Generación de Residuos Peligrosos Mensual</t>
        </is>
      </c>
      <c r="C1665" t="inlineStr">
        <is>
          <t>GESTIÓN AMBIENTAL</t>
        </is>
      </c>
      <c r="D1665" t="inlineStr">
        <is>
          <t>Mensual</t>
        </is>
      </c>
      <c r="E1665" t="inlineStr">
        <is>
          <t>Negativo</t>
        </is>
      </c>
      <c r="F1665" s="105" t="n">
        <v>45565</v>
      </c>
      <c r="G1665" t="inlineStr">
        <is>
          <t>434-2024-09-30</t>
        </is>
      </c>
      <c r="H1665" t="inlineStr">
        <is>
          <t>Consultorio Psicología - Medellin</t>
        </is>
      </c>
      <c r="I1665" t="n">
        <v>200</v>
      </c>
      <c r="J1665" t="n">
        <v>0</v>
      </c>
      <c r="AV1665" t="n">
        <v>0</v>
      </c>
    </row>
    <row r="1666">
      <c r="A1666" t="n">
        <v>434</v>
      </c>
      <c r="B1666" t="inlineStr">
        <is>
          <t>Generación de Residuos Peligrosos Mensual</t>
        </is>
      </c>
      <c r="C1666" t="inlineStr">
        <is>
          <t>GESTIÓN AMBIENTAL</t>
        </is>
      </c>
      <c r="D1666" t="inlineStr">
        <is>
          <t>Mensual</t>
        </is>
      </c>
      <c r="E1666" t="inlineStr">
        <is>
          <t>Negativo</t>
        </is>
      </c>
      <c r="F1666" s="105" t="n">
        <v>45565</v>
      </c>
      <c r="G1666" t="inlineStr">
        <is>
          <t>434-2024-09-30</t>
        </is>
      </c>
      <c r="H1666" t="inlineStr">
        <is>
          <t>City Campus</t>
        </is>
      </c>
      <c r="I1666" t="n">
        <v>25</v>
      </c>
      <c r="J1666" t="n">
        <v>0.7200000286102295</v>
      </c>
      <c r="AV1666" t="n">
        <v>0.72</v>
      </c>
    </row>
    <row r="1667">
      <c r="A1667" t="n">
        <v>434</v>
      </c>
      <c r="B1667" t="inlineStr">
        <is>
          <t>Generación de Residuos Peligrosos Mensual</t>
        </is>
      </c>
      <c r="C1667" t="inlineStr">
        <is>
          <t>GESTIÓN AMBIENTAL</t>
        </is>
      </c>
      <c r="D1667" t="inlineStr">
        <is>
          <t>Mensual</t>
        </is>
      </c>
      <c r="E1667" t="inlineStr">
        <is>
          <t>Negativo</t>
        </is>
      </c>
      <c r="F1667" s="105" t="n">
        <v>45565</v>
      </c>
      <c r="G1667" t="inlineStr">
        <is>
          <t>434-2024-09-30</t>
        </is>
      </c>
      <c r="H1667" t="inlineStr">
        <is>
          <t>Campus Bogotá</t>
        </is>
      </c>
      <c r="I1667" t="n">
        <v>100</v>
      </c>
      <c r="J1667" t="n">
        <v>14.94999980926514</v>
      </c>
      <c r="AV1667" t="n">
        <v>14.95</v>
      </c>
    </row>
    <row r="1668">
      <c r="A1668" t="n">
        <v>436</v>
      </c>
      <c r="B1668" t="inlineStr">
        <is>
          <t>ANS documentos operativos</t>
        </is>
      </c>
      <c r="C1668" t="inlineStr">
        <is>
          <t>Gestión de calidad</t>
        </is>
      </c>
      <c r="D1668" t="inlineStr">
        <is>
          <t>Mensual</t>
        </is>
      </c>
      <c r="E1668" t="inlineStr">
        <is>
          <t>Negativo</t>
        </is>
      </c>
      <c r="F1668" s="105" t="n">
        <v>45565</v>
      </c>
      <c r="G1668" t="inlineStr">
        <is>
          <t>436-2024-09-30</t>
        </is>
      </c>
      <c r="H1668" t="inlineStr">
        <is>
          <t>Flujo de aprobación</t>
        </is>
      </c>
      <c r="I1668" t="n">
        <v>7</v>
      </c>
      <c r="J1668" t="n">
        <v>4</v>
      </c>
      <c r="CP1668" t="n">
        <v>4</v>
      </c>
    </row>
    <row r="1669">
      <c r="A1669" t="n">
        <v>436</v>
      </c>
      <c r="B1669" t="inlineStr">
        <is>
          <t>ANS documentos operativos</t>
        </is>
      </c>
      <c r="C1669" t="inlineStr">
        <is>
          <t>Gestión de calidad</t>
        </is>
      </c>
      <c r="D1669" t="inlineStr">
        <is>
          <t>Mensual</t>
        </is>
      </c>
      <c r="E1669" t="inlineStr">
        <is>
          <t>Negativo</t>
        </is>
      </c>
      <c r="F1669" s="105" t="n">
        <v>45565</v>
      </c>
      <c r="G1669" t="inlineStr">
        <is>
          <t>436-2024-09-30</t>
        </is>
      </c>
      <c r="H1669" t="inlineStr">
        <is>
          <t>Solicitud Documental</t>
        </is>
      </c>
      <c r="I1669" t="n">
        <v>7</v>
      </c>
      <c r="J1669" t="n">
        <v>6.5</v>
      </c>
      <c r="CP1669" t="n">
        <v>6.5</v>
      </c>
    </row>
    <row r="1670">
      <c r="A1670" t="n">
        <v>485</v>
      </c>
      <c r="B1670" t="inlineStr">
        <is>
          <t>Oportunidad en el cierre de acciones</t>
        </is>
      </c>
      <c r="C1670" t="inlineStr">
        <is>
          <t>Gestión de calidad</t>
        </is>
      </c>
      <c r="D1670" t="inlineStr">
        <is>
          <t>Mensual</t>
        </is>
      </c>
      <c r="E1670" t="inlineStr">
        <is>
          <t>Positivo</t>
        </is>
      </c>
      <c r="F1670" s="105" t="n">
        <v>45565</v>
      </c>
      <c r="G1670" t="inlineStr">
        <is>
          <t>485-2024-09-30</t>
        </is>
      </c>
      <c r="H1670" t="inlineStr">
        <is>
          <t>Auditoría interna</t>
        </is>
      </c>
      <c r="I1670" t="n">
        <v>80</v>
      </c>
      <c r="J1670" t="n">
        <v>0</v>
      </c>
      <c r="EC1670" t="n">
        <v>0</v>
      </c>
      <c r="ED1670" t="n">
        <v>0</v>
      </c>
    </row>
    <row r="1671">
      <c r="A1671" t="n">
        <v>485</v>
      </c>
      <c r="B1671" t="inlineStr">
        <is>
          <t>Oportunidad en el cierre de acciones</t>
        </is>
      </c>
      <c r="C1671" t="inlineStr">
        <is>
          <t>Gestión de calidad</t>
        </is>
      </c>
      <c r="D1671" t="inlineStr">
        <is>
          <t>Mensual</t>
        </is>
      </c>
      <c r="E1671" t="inlineStr">
        <is>
          <t>Positivo</t>
        </is>
      </c>
      <c r="F1671" s="105" t="n">
        <v>45565</v>
      </c>
      <c r="G1671" t="inlineStr">
        <is>
          <t>485-2024-09-30</t>
        </is>
      </c>
      <c r="H1671" t="inlineStr">
        <is>
          <t>Auditoría externa</t>
        </is>
      </c>
      <c r="I1671" t="n">
        <v>80</v>
      </c>
      <c r="J1671" t="n">
        <v>0</v>
      </c>
      <c r="EC1671" t="n">
        <v>0</v>
      </c>
      <c r="ED1671" t="n">
        <v>0</v>
      </c>
    </row>
    <row r="1672">
      <c r="A1672" t="n">
        <v>485</v>
      </c>
      <c r="B1672" t="inlineStr">
        <is>
          <t>Oportunidad en el cierre de acciones</t>
        </is>
      </c>
      <c r="C1672" t="inlineStr">
        <is>
          <t>Gestión de calidad</t>
        </is>
      </c>
      <c r="D1672" t="inlineStr">
        <is>
          <t>Mensual</t>
        </is>
      </c>
      <c r="E1672" t="inlineStr">
        <is>
          <t>Positivo</t>
        </is>
      </c>
      <c r="F1672" s="105" t="n">
        <v>45565</v>
      </c>
      <c r="G1672" t="inlineStr">
        <is>
          <t>485-2024-09-30</t>
        </is>
      </c>
      <c r="H1672" t="inlineStr">
        <is>
          <t>Indicadores</t>
        </is>
      </c>
      <c r="I1672" t="n">
        <v>80</v>
      </c>
      <c r="J1672" t="n">
        <v>0</v>
      </c>
      <c r="EC1672" t="n">
        <v>0</v>
      </c>
      <c r="ED1672" t="n">
        <v>0</v>
      </c>
    </row>
    <row r="1673">
      <c r="A1673" t="n">
        <v>485</v>
      </c>
      <c r="B1673" t="inlineStr">
        <is>
          <t>Oportunidad en el cierre de acciones</t>
        </is>
      </c>
      <c r="C1673" t="inlineStr">
        <is>
          <t>Gestión de calidad</t>
        </is>
      </c>
      <c r="D1673" t="inlineStr">
        <is>
          <t>Mensual</t>
        </is>
      </c>
      <c r="E1673" t="inlineStr">
        <is>
          <t>Positivo</t>
        </is>
      </c>
      <c r="F1673" s="105" t="n">
        <v>45565</v>
      </c>
      <c r="G1673" t="inlineStr">
        <is>
          <t>485-2024-09-30</t>
        </is>
      </c>
      <c r="H1673" t="inlineStr">
        <is>
          <t>Riesgos</t>
        </is>
      </c>
      <c r="I1673" t="n">
        <v>80</v>
      </c>
      <c r="J1673" t="n">
        <v>0</v>
      </c>
      <c r="EC1673" t="n">
        <v>0</v>
      </c>
      <c r="ED1673" t="n">
        <v>0</v>
      </c>
    </row>
    <row r="1674">
      <c r="A1674" t="n">
        <v>485</v>
      </c>
      <c r="B1674" t="inlineStr">
        <is>
          <t>Oportunidad en el cierre de acciones</t>
        </is>
      </c>
      <c r="C1674" t="inlineStr">
        <is>
          <t>Gestión de calidad</t>
        </is>
      </c>
      <c r="D1674" t="inlineStr">
        <is>
          <t>Mensual</t>
        </is>
      </c>
      <c r="E1674" t="inlineStr">
        <is>
          <t>Positivo</t>
        </is>
      </c>
      <c r="F1674" s="105" t="n">
        <v>45565</v>
      </c>
      <c r="G1674" t="inlineStr">
        <is>
          <t>485-2024-09-30</t>
        </is>
      </c>
      <c r="H1674" t="inlineStr">
        <is>
          <t>Autoevaluación</t>
        </is>
      </c>
      <c r="I1674" t="n">
        <v>80</v>
      </c>
      <c r="J1674" t="n">
        <v>0</v>
      </c>
      <c r="EC1674" t="n">
        <v>0</v>
      </c>
      <c r="ED1674" t="n">
        <v>0</v>
      </c>
    </row>
    <row r="1675">
      <c r="A1675" t="n">
        <v>485</v>
      </c>
      <c r="B1675" t="inlineStr">
        <is>
          <t>Oportunidad en el cierre de acciones</t>
        </is>
      </c>
      <c r="C1675" t="inlineStr">
        <is>
          <t>Gestión de calidad</t>
        </is>
      </c>
      <c r="D1675" t="inlineStr">
        <is>
          <t>Mensual</t>
        </is>
      </c>
      <c r="E1675" t="inlineStr">
        <is>
          <t>Positivo</t>
        </is>
      </c>
      <c r="F1675" s="105" t="n">
        <v>45565</v>
      </c>
      <c r="G1675" t="inlineStr">
        <is>
          <t>485-2024-09-30</t>
        </is>
      </c>
      <c r="H1675" t="inlineStr">
        <is>
          <t>Entes de control</t>
        </is>
      </c>
      <c r="I1675" t="n">
        <v>80</v>
      </c>
      <c r="J1675" t="n">
        <v>0</v>
      </c>
      <c r="EC1675" t="n">
        <v>0</v>
      </c>
      <c r="ED1675" t="n">
        <v>0</v>
      </c>
    </row>
    <row r="1676">
      <c r="A1676" t="n">
        <v>485</v>
      </c>
      <c r="B1676" t="inlineStr">
        <is>
          <t>Oportunidad en el cierre de acciones</t>
        </is>
      </c>
      <c r="C1676" t="inlineStr">
        <is>
          <t>Gestión de calidad</t>
        </is>
      </c>
      <c r="D1676" t="inlineStr">
        <is>
          <t>Mensual</t>
        </is>
      </c>
      <c r="E1676" t="inlineStr">
        <is>
          <t>Positivo</t>
        </is>
      </c>
      <c r="F1676" s="105" t="n">
        <v>45565</v>
      </c>
      <c r="G1676" t="inlineStr">
        <is>
          <t>485-2024-09-30</t>
        </is>
      </c>
      <c r="H1676" t="inlineStr">
        <is>
          <t>Seguimiento y control</t>
        </is>
      </c>
      <c r="I1676" t="n">
        <v>80</v>
      </c>
      <c r="J1676" t="n">
        <v>100</v>
      </c>
      <c r="EC1676" t="n">
        <v>1</v>
      </c>
      <c r="ED1676" t="n">
        <v>1</v>
      </c>
    </row>
    <row r="1677">
      <c r="A1677" t="n">
        <v>485</v>
      </c>
      <c r="B1677" t="inlineStr">
        <is>
          <t>Oportunidad en el cierre de acciones</t>
        </is>
      </c>
      <c r="C1677" t="inlineStr">
        <is>
          <t>Gestión de calidad</t>
        </is>
      </c>
      <c r="D1677" t="inlineStr">
        <is>
          <t>Mensual</t>
        </is>
      </c>
      <c r="E1677" t="inlineStr">
        <is>
          <t>Positivo</t>
        </is>
      </c>
      <c r="F1677" s="105" t="n">
        <v>45565</v>
      </c>
      <c r="G1677" t="inlineStr">
        <is>
          <t>485-2024-09-30</t>
        </is>
      </c>
      <c r="H1677" t="inlineStr">
        <is>
          <t>Experiencia</t>
        </is>
      </c>
      <c r="I1677" t="n">
        <v>80</v>
      </c>
      <c r="J1677" t="n">
        <v>0</v>
      </c>
      <c r="EC1677" t="n">
        <v>0</v>
      </c>
      <c r="ED1677" t="n">
        <v>0</v>
      </c>
    </row>
    <row r="1678">
      <c r="A1678" t="n">
        <v>213</v>
      </c>
      <c r="B1678" t="inlineStr">
        <is>
          <t>Cumplimiento del Plan Anual del Sistema de Gestión Ambiental</t>
        </is>
      </c>
      <c r="C1678" t="inlineStr">
        <is>
          <t>GESTIÓN AMBIENTAL</t>
        </is>
      </c>
      <c r="D1678" t="inlineStr">
        <is>
          <t>Semestral</t>
        </is>
      </c>
      <c r="E1678" t="inlineStr">
        <is>
          <t>Positivo</t>
        </is>
      </c>
      <c r="F1678" s="105" t="n">
        <v>45565</v>
      </c>
      <c r="G1678" t="inlineStr">
        <is>
          <t>213-2024-09-30</t>
        </is>
      </c>
      <c r="H1678" t="inlineStr">
        <is>
          <t>Programa de Gestión de Áreas Naturales</t>
        </is>
      </c>
      <c r="I1678" t="n">
        <v>90</v>
      </c>
      <c r="J1678" t="n">
        <v>100</v>
      </c>
      <c r="AW1678" t="n">
        <v>9</v>
      </c>
      <c r="AX1678" t="n">
        <v>9</v>
      </c>
    </row>
    <row r="1679">
      <c r="A1679" t="n">
        <v>213</v>
      </c>
      <c r="B1679" t="inlineStr">
        <is>
          <t>Cumplimiento del Plan Anual del Sistema de Gestión Ambiental</t>
        </is>
      </c>
      <c r="C1679" t="inlineStr">
        <is>
          <t>GESTIÓN AMBIENTAL</t>
        </is>
      </c>
      <c r="D1679" t="inlineStr">
        <is>
          <t>Semestral</t>
        </is>
      </c>
      <c r="E1679" t="inlineStr">
        <is>
          <t>Positivo</t>
        </is>
      </c>
      <c r="F1679" s="105" t="n">
        <v>45565</v>
      </c>
      <c r="G1679" t="inlineStr">
        <is>
          <t>213-2024-09-30</t>
        </is>
      </c>
      <c r="H1679" t="inlineStr">
        <is>
          <t>Programa Gestión de la Educación y Comunicación Ambiental</t>
        </is>
      </c>
      <c r="I1679" t="n">
        <v>90</v>
      </c>
      <c r="J1679" t="n">
        <v>100</v>
      </c>
      <c r="AW1679" t="n">
        <v>33</v>
      </c>
      <c r="AX1679" t="n">
        <v>33</v>
      </c>
    </row>
    <row r="1680">
      <c r="A1680" t="n">
        <v>213</v>
      </c>
      <c r="B1680" t="inlineStr">
        <is>
          <t>Cumplimiento del Plan Anual del Sistema de Gestión Ambiental</t>
        </is>
      </c>
      <c r="C1680" t="inlineStr">
        <is>
          <t>GESTIÓN AMBIENTAL</t>
        </is>
      </c>
      <c r="D1680" t="inlineStr">
        <is>
          <t>Semestral</t>
        </is>
      </c>
      <c r="E1680" t="inlineStr">
        <is>
          <t>Positivo</t>
        </is>
      </c>
      <c r="F1680" s="105" t="n">
        <v>45565</v>
      </c>
      <c r="G1680" t="inlineStr">
        <is>
          <t>213-2024-09-30</t>
        </is>
      </c>
      <c r="H1680" t="inlineStr">
        <is>
          <t>Programa de Gestión de la Calidad, Ahorro y Uso Eficiente del Agua</t>
        </is>
      </c>
      <c r="I1680" t="n">
        <v>90</v>
      </c>
      <c r="J1680" t="n">
        <v>93.55000305175781</v>
      </c>
      <c r="AW1680" t="n">
        <v>31</v>
      </c>
      <c r="AX1680" t="n">
        <v>29</v>
      </c>
    </row>
    <row r="1681">
      <c r="A1681" t="n">
        <v>213</v>
      </c>
      <c r="B1681" t="inlineStr">
        <is>
          <t>Cumplimiento del Plan Anual del Sistema de Gestión Ambiental</t>
        </is>
      </c>
      <c r="C1681" t="inlineStr">
        <is>
          <t>GESTIÓN AMBIENTAL</t>
        </is>
      </c>
      <c r="D1681" t="inlineStr">
        <is>
          <t>Semestral</t>
        </is>
      </c>
      <c r="E1681" t="inlineStr">
        <is>
          <t>Positivo</t>
        </is>
      </c>
      <c r="F1681" s="105" t="n">
        <v>45565</v>
      </c>
      <c r="G1681" t="inlineStr">
        <is>
          <t>213-2024-09-30</t>
        </is>
      </c>
      <c r="H1681" t="inlineStr">
        <is>
          <t>Programa de Gestión del la Calidad del Aire,  Ruido Ambiental y Publicidad Exterior Visual</t>
        </is>
      </c>
      <c r="I1681" t="n">
        <v>90</v>
      </c>
      <c r="J1681" t="n">
        <v>100</v>
      </c>
      <c r="AW1681" t="n">
        <v>9</v>
      </c>
      <c r="AX1681" t="n">
        <v>9</v>
      </c>
    </row>
    <row r="1682">
      <c r="A1682" t="n">
        <v>213</v>
      </c>
      <c r="B1682" t="inlineStr">
        <is>
          <t>Cumplimiento del Plan Anual del Sistema de Gestión Ambiental</t>
        </is>
      </c>
      <c r="C1682" t="inlineStr">
        <is>
          <t>GESTIÓN AMBIENTAL</t>
        </is>
      </c>
      <c r="D1682" t="inlineStr">
        <is>
          <t>Semestral</t>
        </is>
      </c>
      <c r="E1682" t="inlineStr">
        <is>
          <t>Positivo</t>
        </is>
      </c>
      <c r="F1682" s="105" t="n">
        <v>45565</v>
      </c>
      <c r="G1682" t="inlineStr">
        <is>
          <t>213-2024-09-30</t>
        </is>
      </c>
      <c r="H1682" t="inlineStr">
        <is>
          <t>Programa de Gestión del Ahorro y Uso Eficiente de la Energía</t>
        </is>
      </c>
      <c r="I1682" t="n">
        <v>90</v>
      </c>
      <c r="J1682" t="n">
        <v>100</v>
      </c>
      <c r="AW1682" t="n">
        <v>18</v>
      </c>
      <c r="AX1682" t="n">
        <v>18</v>
      </c>
    </row>
    <row r="1683">
      <c r="A1683" t="n">
        <v>213</v>
      </c>
      <c r="B1683" t="inlineStr">
        <is>
          <t>Cumplimiento del Plan Anual del Sistema de Gestión Ambiental</t>
        </is>
      </c>
      <c r="C1683" t="inlineStr">
        <is>
          <t>GESTIÓN AMBIENTAL</t>
        </is>
      </c>
      <c r="D1683" t="inlineStr">
        <is>
          <t>Semestral</t>
        </is>
      </c>
      <c r="E1683" t="inlineStr">
        <is>
          <t>Positivo</t>
        </is>
      </c>
      <c r="F1683" s="105" t="n">
        <v>45565</v>
      </c>
      <c r="G1683" t="inlineStr">
        <is>
          <t>213-2024-09-30</t>
        </is>
      </c>
      <c r="H1683" t="inlineStr">
        <is>
          <t>Programa de Gestión de la Medición y Compensación de Gases de Efecto Invernadero</t>
        </is>
      </c>
      <c r="I1683" t="n">
        <v>90</v>
      </c>
      <c r="J1683" t="n">
        <v>100</v>
      </c>
      <c r="AW1683" t="n">
        <v>8</v>
      </c>
      <c r="AX1683" t="n">
        <v>8</v>
      </c>
    </row>
    <row r="1684">
      <c r="A1684" t="n">
        <v>213</v>
      </c>
      <c r="B1684" t="inlineStr">
        <is>
          <t>Cumplimiento del Plan Anual del Sistema de Gestión Ambiental</t>
        </is>
      </c>
      <c r="C1684" t="inlineStr">
        <is>
          <t>GESTIÓN AMBIENTAL</t>
        </is>
      </c>
      <c r="D1684" t="inlineStr">
        <is>
          <t>Semestral</t>
        </is>
      </c>
      <c r="E1684" t="inlineStr">
        <is>
          <t>Positivo</t>
        </is>
      </c>
      <c r="F1684" s="105" t="n">
        <v>45565</v>
      </c>
      <c r="G1684" t="inlineStr">
        <is>
          <t>213-2024-09-30</t>
        </is>
      </c>
      <c r="H1684" t="inlineStr">
        <is>
          <t>Actividades de Gestión</t>
        </is>
      </c>
      <c r="I1684" t="n">
        <v>90</v>
      </c>
      <c r="J1684" t="n">
        <v>91.30000305175781</v>
      </c>
      <c r="AW1684" t="n">
        <v>23</v>
      </c>
      <c r="AX1684" t="n">
        <v>21</v>
      </c>
    </row>
    <row r="1685">
      <c r="A1685" t="n">
        <v>213</v>
      </c>
      <c r="B1685" t="inlineStr">
        <is>
          <t>Cumplimiento del Plan Anual del Sistema de Gestión Ambiental</t>
        </is>
      </c>
      <c r="C1685" t="inlineStr">
        <is>
          <t>GESTIÓN AMBIENTAL</t>
        </is>
      </c>
      <c r="D1685" t="inlineStr">
        <is>
          <t>Semestral</t>
        </is>
      </c>
      <c r="E1685" t="inlineStr">
        <is>
          <t>Positivo</t>
        </is>
      </c>
      <c r="F1685" s="105" t="n">
        <v>45565</v>
      </c>
      <c r="G1685" t="inlineStr">
        <is>
          <t>213-2024-09-30</t>
        </is>
      </c>
      <c r="H1685" t="inlineStr">
        <is>
          <t>Plan de Gestión Integral de Residuos</t>
        </is>
      </c>
      <c r="I1685" t="n">
        <v>90</v>
      </c>
      <c r="J1685" t="n">
        <v>100</v>
      </c>
      <c r="AW1685" t="n">
        <v>50</v>
      </c>
      <c r="AX1685" t="n">
        <v>50</v>
      </c>
    </row>
    <row r="1686">
      <c r="A1686" t="n">
        <v>238</v>
      </c>
      <c r="B1686" t="inlineStr">
        <is>
          <t>Cumplimiento de la Protección del Medio Ambiente</t>
        </is>
      </c>
      <c r="C1686" t="inlineStr">
        <is>
          <t>GESTIÓN AMBIENTAL</t>
        </is>
      </c>
      <c r="D1686" t="inlineStr">
        <is>
          <t>Semestral</t>
        </is>
      </c>
      <c r="E1686" t="inlineStr">
        <is>
          <t>Positivo</t>
        </is>
      </c>
      <c r="F1686" s="105" t="n">
        <v>45565</v>
      </c>
      <c r="G1686" t="inlineStr">
        <is>
          <t>238-2024-09-30</t>
        </is>
      </c>
      <c r="H1686" t="inlineStr">
        <is>
          <t>Cumplimiento del Plan Anual del SGA</t>
        </is>
      </c>
      <c r="I1686" t="n">
        <v>90</v>
      </c>
      <c r="J1686" t="n">
        <v>100</v>
      </c>
      <c r="AY1686" t="n">
        <v>1</v>
      </c>
      <c r="AZ1686" t="n">
        <v>1</v>
      </c>
    </row>
    <row r="1687">
      <c r="A1687" t="n">
        <v>238</v>
      </c>
      <c r="B1687" t="inlineStr">
        <is>
          <t>Cumplimiento de la Protección del Medio Ambiente</t>
        </is>
      </c>
      <c r="C1687" t="inlineStr">
        <is>
          <t>GESTIÓN AMBIENTAL</t>
        </is>
      </c>
      <c r="D1687" t="inlineStr">
        <is>
          <t>Semestral</t>
        </is>
      </c>
      <c r="E1687" t="inlineStr">
        <is>
          <t>Positivo</t>
        </is>
      </c>
      <c r="F1687" s="105" t="n">
        <v>45565</v>
      </c>
      <c r="G1687" t="inlineStr">
        <is>
          <t>238-2024-09-30</t>
        </is>
      </c>
      <c r="H1687" t="inlineStr">
        <is>
          <t>Cumplimiento Gestión Integral de Residuos</t>
        </is>
      </c>
      <c r="I1687" t="n">
        <v>90</v>
      </c>
      <c r="J1687" t="n">
        <v>66.66999816894531</v>
      </c>
      <c r="AY1687" t="n">
        <v>6</v>
      </c>
      <c r="AZ1687" t="n">
        <v>9</v>
      </c>
    </row>
    <row r="1688">
      <c r="A1688" t="n">
        <v>238</v>
      </c>
      <c r="B1688" t="inlineStr">
        <is>
          <t>Cumplimiento de la Protección del Medio Ambiente</t>
        </is>
      </c>
      <c r="C1688" t="inlineStr">
        <is>
          <t>GESTIÓN AMBIENTAL</t>
        </is>
      </c>
      <c r="D1688" t="inlineStr">
        <is>
          <t>Semestral</t>
        </is>
      </c>
      <c r="E1688" t="inlineStr">
        <is>
          <t>Positivo</t>
        </is>
      </c>
      <c r="F1688" s="105" t="n">
        <v>45565</v>
      </c>
      <c r="G1688" t="inlineStr">
        <is>
          <t>238-2024-09-30</t>
        </is>
      </c>
      <c r="H1688" t="inlineStr">
        <is>
          <t>Cumplimiento Gestión del Ahorro y Uso Eficiente de Energía</t>
        </is>
      </c>
      <c r="I1688" t="n">
        <v>90</v>
      </c>
      <c r="J1688" t="n">
        <v>100</v>
      </c>
      <c r="AY1688" t="n">
        <v>3</v>
      </c>
      <c r="AZ1688" t="n">
        <v>3</v>
      </c>
    </row>
    <row r="1689">
      <c r="A1689" t="n">
        <v>238</v>
      </c>
      <c r="B1689" t="inlineStr">
        <is>
          <t>Cumplimiento de la Protección del Medio Ambiente</t>
        </is>
      </c>
      <c r="C1689" t="inlineStr">
        <is>
          <t>GESTIÓN AMBIENTAL</t>
        </is>
      </c>
      <c r="D1689" t="inlineStr">
        <is>
          <t>Semestral</t>
        </is>
      </c>
      <c r="E1689" t="inlineStr">
        <is>
          <t>Positivo</t>
        </is>
      </c>
      <c r="F1689" s="105" t="n">
        <v>45565</v>
      </c>
      <c r="G1689" t="inlineStr">
        <is>
          <t>238-2024-09-30</t>
        </is>
      </c>
      <c r="H1689" t="inlineStr">
        <is>
          <t>Cumplimiento Gestión de la Calidad, Ahorro y Uso Eficiente del Agua</t>
        </is>
      </c>
      <c r="I1689" t="n">
        <v>90</v>
      </c>
      <c r="J1689" t="n">
        <v>100</v>
      </c>
      <c r="AY1689" t="n">
        <v>3</v>
      </c>
      <c r="AZ1689" t="n">
        <v>3</v>
      </c>
    </row>
    <row r="1690">
      <c r="A1690" t="n">
        <v>238</v>
      </c>
      <c r="B1690" t="inlineStr">
        <is>
          <t>Cumplimiento de la Protección del Medio Ambiente</t>
        </is>
      </c>
      <c r="C1690" t="inlineStr">
        <is>
          <t>GESTIÓN AMBIENTAL</t>
        </is>
      </c>
      <c r="D1690" t="inlineStr">
        <is>
          <t>Semestral</t>
        </is>
      </c>
      <c r="E1690" t="inlineStr">
        <is>
          <t>Positivo</t>
        </is>
      </c>
      <c r="F1690" s="105" t="n">
        <v>45565</v>
      </c>
      <c r="G1690" t="inlineStr">
        <is>
          <t>238-2024-09-30</t>
        </is>
      </c>
      <c r="H1690" t="inlineStr">
        <is>
          <t>Cumplimiento Gestión de Áreas Naturales</t>
        </is>
      </c>
      <c r="I1690" t="n">
        <v>90</v>
      </c>
      <c r="J1690" t="n">
        <v>100</v>
      </c>
      <c r="AY1690" t="n">
        <v>3</v>
      </c>
      <c r="AZ1690" t="n">
        <v>3</v>
      </c>
    </row>
    <row r="1691">
      <c r="A1691" t="n">
        <v>238</v>
      </c>
      <c r="B1691" t="inlineStr">
        <is>
          <t>Cumplimiento de la Protección del Medio Ambiente</t>
        </is>
      </c>
      <c r="C1691" t="inlineStr">
        <is>
          <t>GESTIÓN AMBIENTAL</t>
        </is>
      </c>
      <c r="D1691" t="inlineStr">
        <is>
          <t>Semestral</t>
        </is>
      </c>
      <c r="E1691" t="inlineStr">
        <is>
          <t>Positivo</t>
        </is>
      </c>
      <c r="F1691" s="105" t="n">
        <v>45565</v>
      </c>
      <c r="G1691" t="inlineStr">
        <is>
          <t>238-2024-09-30</t>
        </is>
      </c>
      <c r="H1691" t="inlineStr">
        <is>
          <t>Cumplimiento Gestión de la Medición y Compensación de GEI</t>
        </is>
      </c>
      <c r="I1691" t="n">
        <v>90</v>
      </c>
      <c r="J1691" t="n">
        <v>0</v>
      </c>
      <c r="AY1691" t="n">
        <v>0</v>
      </c>
      <c r="AZ1691" t="n">
        <v>0</v>
      </c>
    </row>
    <row r="1692">
      <c r="A1692" t="n">
        <v>238</v>
      </c>
      <c r="B1692" t="inlineStr">
        <is>
          <t>Cumplimiento de la Protección del Medio Ambiente</t>
        </is>
      </c>
      <c r="C1692" t="inlineStr">
        <is>
          <t>GESTIÓN AMBIENTAL</t>
        </is>
      </c>
      <c r="D1692" t="inlineStr">
        <is>
          <t>Semestral</t>
        </is>
      </c>
      <c r="E1692" t="inlineStr">
        <is>
          <t>Positivo</t>
        </is>
      </c>
      <c r="F1692" s="105" t="n">
        <v>45565</v>
      </c>
      <c r="G1692" t="inlineStr">
        <is>
          <t>238-2024-09-30</t>
        </is>
      </c>
      <c r="H1692" t="inlineStr">
        <is>
          <t>Cumplimiento Gestión de la Educación y Comunicación Ambiental</t>
        </is>
      </c>
      <c r="I1692" t="n">
        <v>90</v>
      </c>
      <c r="J1692" t="n">
        <v>0</v>
      </c>
      <c r="AY1692" t="n">
        <v>0</v>
      </c>
      <c r="AZ1692" t="n">
        <v>0</v>
      </c>
    </row>
    <row r="1693">
      <c r="A1693" t="n">
        <v>373</v>
      </c>
      <c r="B1693" t="inlineStr">
        <is>
          <t>Cumplimiento de planes anuales por líneas</t>
        </is>
      </c>
      <c r="C1693" t="inlineStr">
        <is>
          <t>Planeación Estratégica</t>
        </is>
      </c>
      <c r="D1693" t="inlineStr">
        <is>
          <t>Semestral</t>
        </is>
      </c>
      <c r="E1693" t="inlineStr">
        <is>
          <t>Positivo</t>
        </is>
      </c>
      <c r="F1693" s="105" t="n">
        <v>45565</v>
      </c>
      <c r="G1693" t="inlineStr">
        <is>
          <t>373-2024-09-30</t>
        </is>
      </c>
      <c r="H1693" t="inlineStr">
        <is>
          <t>Calidad</t>
        </is>
      </c>
      <c r="I1693" t="n">
        <v>100</v>
      </c>
      <c r="J1693" t="n">
        <v>96.47000122070312</v>
      </c>
      <c r="BZ1693" t="n">
        <v>82</v>
      </c>
      <c r="CA1693" t="n">
        <v>85</v>
      </c>
    </row>
    <row r="1694">
      <c r="A1694" t="n">
        <v>373</v>
      </c>
      <c r="B1694" t="inlineStr">
        <is>
          <t>Cumplimiento de planes anuales por líneas</t>
        </is>
      </c>
      <c r="C1694" t="inlineStr">
        <is>
          <t>Planeación Estratégica</t>
        </is>
      </c>
      <c r="D1694" t="inlineStr">
        <is>
          <t>Semestral</t>
        </is>
      </c>
      <c r="E1694" t="inlineStr">
        <is>
          <t>Positivo</t>
        </is>
      </c>
      <c r="F1694" s="105" t="n">
        <v>45565</v>
      </c>
      <c r="G1694" t="inlineStr">
        <is>
          <t>373-2024-09-30</t>
        </is>
      </c>
      <c r="H1694" t="inlineStr">
        <is>
          <t>Expansión</t>
        </is>
      </c>
      <c r="I1694" t="n">
        <v>100</v>
      </c>
      <c r="J1694" t="n">
        <v>100</v>
      </c>
      <c r="BZ1694" t="n">
        <v>86</v>
      </c>
      <c r="CA1694" t="n">
        <v>86</v>
      </c>
    </row>
    <row r="1695">
      <c r="A1695" t="n">
        <v>373</v>
      </c>
      <c r="B1695" t="inlineStr">
        <is>
          <t>Cumplimiento de planes anuales por líneas</t>
        </is>
      </c>
      <c r="C1695" t="inlineStr">
        <is>
          <t>Planeación Estratégica</t>
        </is>
      </c>
      <c r="D1695" t="inlineStr">
        <is>
          <t>Semestral</t>
        </is>
      </c>
      <c r="E1695" t="inlineStr">
        <is>
          <t>Positivo</t>
        </is>
      </c>
      <c r="F1695" s="105" t="n">
        <v>45565</v>
      </c>
      <c r="G1695" t="inlineStr">
        <is>
          <t>373-2024-09-30</t>
        </is>
      </c>
      <c r="H1695" t="inlineStr">
        <is>
          <t>Educación para toda la vida</t>
        </is>
      </c>
      <c r="I1695" t="n">
        <v>100</v>
      </c>
      <c r="J1695" t="n">
        <v>103.4499969482422</v>
      </c>
      <c r="BZ1695" t="n">
        <v>90</v>
      </c>
      <c r="CA1695" t="n">
        <v>87</v>
      </c>
    </row>
    <row r="1696">
      <c r="A1696" t="n">
        <v>373</v>
      </c>
      <c r="B1696" t="inlineStr">
        <is>
          <t>Cumplimiento de planes anuales por líneas</t>
        </is>
      </c>
      <c r="C1696" t="inlineStr">
        <is>
          <t>Planeación Estratégica</t>
        </is>
      </c>
      <c r="D1696" t="inlineStr">
        <is>
          <t>Semestral</t>
        </is>
      </c>
      <c r="E1696" t="inlineStr">
        <is>
          <t>Positivo</t>
        </is>
      </c>
      <c r="F1696" s="105" t="n">
        <v>45565</v>
      </c>
      <c r="G1696" t="inlineStr">
        <is>
          <t>373-2024-09-30</t>
        </is>
      </c>
      <c r="H1696" t="inlineStr">
        <is>
          <t>Trasformación Organizacional</t>
        </is>
      </c>
      <c r="I1696" t="n">
        <v>100</v>
      </c>
      <c r="J1696" t="n">
        <v>98.77999877929688</v>
      </c>
      <c r="BZ1696" t="n">
        <v>81</v>
      </c>
      <c r="CA1696" t="n">
        <v>82</v>
      </c>
    </row>
    <row r="1697">
      <c r="A1697" t="n">
        <v>373</v>
      </c>
      <c r="B1697" t="inlineStr">
        <is>
          <t>Cumplimiento de planes anuales por líneas</t>
        </is>
      </c>
      <c r="C1697" t="inlineStr">
        <is>
          <t>Planeación Estratégica</t>
        </is>
      </c>
      <c r="D1697" t="inlineStr">
        <is>
          <t>Semestral</t>
        </is>
      </c>
      <c r="E1697" t="inlineStr">
        <is>
          <t>Positivo</t>
        </is>
      </c>
      <c r="F1697" s="105" t="n">
        <v>45565</v>
      </c>
      <c r="G1697" t="inlineStr">
        <is>
          <t>373-2024-09-30</t>
        </is>
      </c>
      <c r="H1697" t="inlineStr">
        <is>
          <t>Sostenibilidad</t>
        </is>
      </c>
      <c r="I1697" t="n">
        <v>100</v>
      </c>
      <c r="J1697" t="n">
        <v>100</v>
      </c>
      <c r="BZ1697" t="n">
        <v>84</v>
      </c>
      <c r="CA1697" t="n">
        <v>84</v>
      </c>
    </row>
    <row r="1698">
      <c r="A1698" t="n">
        <v>373</v>
      </c>
      <c r="B1698" t="inlineStr">
        <is>
          <t>Cumplimiento de planes anuales por líneas</t>
        </is>
      </c>
      <c r="C1698" t="inlineStr">
        <is>
          <t>Planeación Estratégica</t>
        </is>
      </c>
      <c r="D1698" t="inlineStr">
        <is>
          <t>Semestral</t>
        </is>
      </c>
      <c r="E1698" t="inlineStr">
        <is>
          <t>Positivo</t>
        </is>
      </c>
      <c r="F1698" s="105" t="n">
        <v>45565</v>
      </c>
      <c r="G1698" t="inlineStr">
        <is>
          <t>373-2024-09-30</t>
        </is>
      </c>
      <c r="H1698" t="inlineStr">
        <is>
          <t>Experiencia</t>
        </is>
      </c>
      <c r="I1698" t="n">
        <v>100</v>
      </c>
      <c r="J1698" t="n">
        <v>98.81999969482422</v>
      </c>
      <c r="BZ1698" t="n">
        <v>84</v>
      </c>
      <c r="CA1698" t="n">
        <v>85</v>
      </c>
    </row>
    <row r="1699">
      <c r="A1699" t="n">
        <v>390</v>
      </c>
      <c r="B1699" t="inlineStr">
        <is>
          <t>Cumplimiento Plan Anual por escuela</t>
        </is>
      </c>
      <c r="C1699" t="inlineStr">
        <is>
          <t>Planeación Estratégica</t>
        </is>
      </c>
      <c r="D1699" t="inlineStr">
        <is>
          <t>Semestral</t>
        </is>
      </c>
      <c r="E1699" t="inlineStr">
        <is>
          <t>Positivo</t>
        </is>
      </c>
      <c r="F1699" s="105" t="n">
        <v>45565</v>
      </c>
      <c r="G1699" t="inlineStr">
        <is>
          <t>390-2024-09-30</t>
        </is>
      </c>
      <c r="H1699" t="inlineStr">
        <is>
          <t>ESCUELA DE CIENCIAS BÁSICAS</t>
        </is>
      </c>
      <c r="I1699" t="n">
        <v>100</v>
      </c>
      <c r="J1699" t="n">
        <v>82.5</v>
      </c>
      <c r="CB1699" t="n">
        <v>81.89</v>
      </c>
      <c r="CC1699" t="n">
        <v>99.26000000000001</v>
      </c>
    </row>
    <row r="1700">
      <c r="A1700" t="n">
        <v>390</v>
      </c>
      <c r="B1700" t="inlineStr">
        <is>
          <t>Cumplimiento Plan Anual por escuela</t>
        </is>
      </c>
      <c r="C1700" t="inlineStr">
        <is>
          <t>Planeación Estratégica</t>
        </is>
      </c>
      <c r="D1700" t="inlineStr">
        <is>
          <t>Semestral</t>
        </is>
      </c>
      <c r="E1700" t="inlineStr">
        <is>
          <t>Positivo</t>
        </is>
      </c>
      <c r="F1700" s="105" t="n">
        <v>45565</v>
      </c>
      <c r="G1700" t="inlineStr">
        <is>
          <t>390-2024-09-30</t>
        </is>
      </c>
      <c r="H1700" t="inlineStr">
        <is>
          <t>ESCUELA DE  DISEÑO</t>
        </is>
      </c>
      <c r="I1700" t="n">
        <v>100</v>
      </c>
      <c r="J1700" t="n">
        <v>72.09999847412109</v>
      </c>
      <c r="CB1700" t="n">
        <v>71.43000000000001</v>
      </c>
      <c r="CC1700" t="n">
        <v>99.06999999999999</v>
      </c>
    </row>
    <row r="1701">
      <c r="A1701" t="n">
        <v>390</v>
      </c>
      <c r="B1701" t="inlineStr">
        <is>
          <t>Cumplimiento Plan Anual por escuela</t>
        </is>
      </c>
      <c r="C1701" t="inlineStr">
        <is>
          <t>Planeación Estratégica</t>
        </is>
      </c>
      <c r="D1701" t="inlineStr">
        <is>
          <t>Semestral</t>
        </is>
      </c>
      <c r="E1701" t="inlineStr">
        <is>
          <t>Positivo</t>
        </is>
      </c>
      <c r="F1701" s="105" t="n">
        <v>45565</v>
      </c>
      <c r="G1701" t="inlineStr">
        <is>
          <t>390-2024-09-30</t>
        </is>
      </c>
      <c r="H1701" t="inlineStr">
        <is>
          <t>ESCUELA DE OPTIMIZACIÓN, INFRA Y AUTO</t>
        </is>
      </c>
      <c r="I1701" t="n">
        <v>100</v>
      </c>
      <c r="J1701" t="n">
        <v>82.79000091552734</v>
      </c>
      <c r="CB1701" t="n">
        <v>82.79000000000001</v>
      </c>
      <c r="CC1701" t="n">
        <v>100</v>
      </c>
    </row>
    <row r="1702">
      <c r="A1702" t="n">
        <v>390</v>
      </c>
      <c r="B1702" t="inlineStr">
        <is>
          <t>Cumplimiento Plan Anual por escuela</t>
        </is>
      </c>
      <c r="C1702" t="inlineStr">
        <is>
          <t>Planeación Estratégica</t>
        </is>
      </c>
      <c r="D1702" t="inlineStr">
        <is>
          <t>Semestral</t>
        </is>
      </c>
      <c r="E1702" t="inlineStr">
        <is>
          <t>Positivo</t>
        </is>
      </c>
      <c r="F1702" s="105" t="n">
        <v>45565</v>
      </c>
      <c r="G1702" t="inlineStr">
        <is>
          <t>390-2024-09-30</t>
        </is>
      </c>
      <c r="H1702" t="inlineStr">
        <is>
          <t>ESCUELA TIC</t>
        </is>
      </c>
      <c r="I1702" t="n">
        <v>100</v>
      </c>
      <c r="J1702" t="n">
        <v>82.58000183105469</v>
      </c>
      <c r="CB1702" t="n">
        <v>81.01000000000001</v>
      </c>
      <c r="CC1702" t="n">
        <v>98.09999999999999</v>
      </c>
    </row>
    <row r="1703">
      <c r="A1703" t="n">
        <v>390</v>
      </c>
      <c r="B1703" t="inlineStr">
        <is>
          <t>Cumplimiento Plan Anual por escuela</t>
        </is>
      </c>
      <c r="C1703" t="inlineStr">
        <is>
          <t>Planeación Estratégica</t>
        </is>
      </c>
      <c r="D1703" t="inlineStr">
        <is>
          <t>Semestral</t>
        </is>
      </c>
      <c r="E1703" t="inlineStr">
        <is>
          <t>Positivo</t>
        </is>
      </c>
      <c r="F1703" s="105" t="n">
        <v>45565</v>
      </c>
      <c r="G1703" t="inlineStr">
        <is>
          <t>390-2024-09-30</t>
        </is>
      </c>
      <c r="H1703" t="inlineStr">
        <is>
          <t>ESCUELA DE ADMINISTRACIÓN Y COMPETITIVIDAD</t>
        </is>
      </c>
      <c r="I1703" t="n">
        <v>100</v>
      </c>
      <c r="J1703" t="n">
        <v>91.09999847412109</v>
      </c>
      <c r="CB1703" t="n">
        <v>88.33</v>
      </c>
      <c r="CC1703" t="n">
        <v>96.95999999999999</v>
      </c>
    </row>
    <row r="1704">
      <c r="A1704" t="n">
        <v>390</v>
      </c>
      <c r="B1704" t="inlineStr">
        <is>
          <t>Cumplimiento Plan Anual por escuela</t>
        </is>
      </c>
      <c r="C1704" t="inlineStr">
        <is>
          <t>Planeación Estratégica</t>
        </is>
      </c>
      <c r="D1704" t="inlineStr">
        <is>
          <t>Semestral</t>
        </is>
      </c>
      <c r="E1704" t="inlineStr">
        <is>
          <t>Positivo</t>
        </is>
      </c>
      <c r="F1704" s="105" t="n">
        <v>45565</v>
      </c>
      <c r="G1704" t="inlineStr">
        <is>
          <t>390-2024-09-30</t>
        </is>
      </c>
      <c r="H1704" t="inlineStr">
        <is>
          <t>ESCUELA DE CONTABILIDAD INTERNACIONAL</t>
        </is>
      </c>
      <c r="I1704" t="n">
        <v>100</v>
      </c>
      <c r="J1704" t="n">
        <v>81.94000244140625</v>
      </c>
      <c r="CB1704" t="n">
        <v>81.94</v>
      </c>
      <c r="CC1704" t="n">
        <v>100</v>
      </c>
    </row>
    <row r="1705">
      <c r="A1705" t="n">
        <v>390</v>
      </c>
      <c r="B1705" t="inlineStr">
        <is>
          <t>Cumplimiento Plan Anual por escuela</t>
        </is>
      </c>
      <c r="C1705" t="inlineStr">
        <is>
          <t>Planeación Estratégica</t>
        </is>
      </c>
      <c r="D1705" t="inlineStr">
        <is>
          <t>Semestral</t>
        </is>
      </c>
      <c r="E1705" t="inlineStr">
        <is>
          <t>Positivo</t>
        </is>
      </c>
      <c r="F1705" s="105" t="n">
        <v>45565</v>
      </c>
      <c r="G1705" t="inlineStr">
        <is>
          <t>390-2024-09-30</t>
        </is>
      </c>
      <c r="H1705" t="inlineStr">
        <is>
          <t>ESCUELA DE NEGOCIOS Y DESARROLLO INTERNACIONAL</t>
        </is>
      </c>
      <c r="I1705" t="n">
        <v>100</v>
      </c>
      <c r="J1705" t="n">
        <v>92.16999816894531</v>
      </c>
      <c r="CB1705" t="n">
        <v>92.17</v>
      </c>
      <c r="CC1705" t="n">
        <v>100</v>
      </c>
    </row>
    <row r="1706">
      <c r="A1706" t="n">
        <v>390</v>
      </c>
      <c r="B1706" t="inlineStr">
        <is>
          <t>Cumplimiento Plan Anual por escuela</t>
        </is>
      </c>
      <c r="C1706" t="inlineStr">
        <is>
          <t>Planeación Estratégica</t>
        </is>
      </c>
      <c r="D1706" t="inlineStr">
        <is>
          <t>Semestral</t>
        </is>
      </c>
      <c r="E1706" t="inlineStr">
        <is>
          <t>Positivo</t>
        </is>
      </c>
      <c r="F1706" s="105" t="n">
        <v>45565</v>
      </c>
      <c r="G1706" t="inlineStr">
        <is>
          <t>390-2024-09-30</t>
        </is>
      </c>
      <c r="H1706" t="inlineStr">
        <is>
          <t>ESCUELA DE COMUNICACIÓN ARTES VISUALES Y DIGITALES</t>
        </is>
      </c>
      <c r="I1706" t="n">
        <v>100</v>
      </c>
      <c r="J1706" t="n">
        <v>87.58000183105469</v>
      </c>
      <c r="CB1706" t="n">
        <v>87.58</v>
      </c>
      <c r="CC1706" t="n">
        <v>100</v>
      </c>
    </row>
    <row r="1707">
      <c r="A1707" t="n">
        <v>390</v>
      </c>
      <c r="B1707" t="inlineStr">
        <is>
          <t>Cumplimiento Plan Anual por escuela</t>
        </is>
      </c>
      <c r="C1707" t="inlineStr">
        <is>
          <t>Planeación Estratégica</t>
        </is>
      </c>
      <c r="D1707" t="inlineStr">
        <is>
          <t>Semestral</t>
        </is>
      </c>
      <c r="E1707" t="inlineStr">
        <is>
          <t>Positivo</t>
        </is>
      </c>
      <c r="F1707" s="105" t="n">
        <v>45565</v>
      </c>
      <c r="G1707" t="inlineStr">
        <is>
          <t>390-2024-09-30</t>
        </is>
      </c>
      <c r="H1707" t="inlineStr">
        <is>
          <t>ESCUELA DE EDUCACIÓN E INNOVACIÓN</t>
        </is>
      </c>
      <c r="I1707" t="n">
        <v>100</v>
      </c>
      <c r="J1707" t="n">
        <v>85.40000152587891</v>
      </c>
      <c r="CB1707" t="n">
        <v>85.40000000000001</v>
      </c>
      <c r="CC1707" t="n">
        <v>100</v>
      </c>
    </row>
    <row r="1708">
      <c r="A1708" t="n">
        <v>390</v>
      </c>
      <c r="B1708" t="inlineStr">
        <is>
          <t>Cumplimiento Plan Anual por escuela</t>
        </is>
      </c>
      <c r="C1708" t="inlineStr">
        <is>
          <t>Planeación Estratégica</t>
        </is>
      </c>
      <c r="D1708" t="inlineStr">
        <is>
          <t>Semestral</t>
        </is>
      </c>
      <c r="E1708" t="inlineStr">
        <is>
          <t>Positivo</t>
        </is>
      </c>
      <c r="F1708" s="105" t="n">
        <v>45565</v>
      </c>
      <c r="G1708" t="inlineStr">
        <is>
          <t>390-2024-09-30</t>
        </is>
      </c>
      <c r="H1708" t="inlineStr">
        <is>
          <t>ESCUELA DE DERECHO Y GOBIERNO</t>
        </is>
      </c>
      <c r="I1708" t="n">
        <v>100</v>
      </c>
      <c r="J1708" t="n">
        <v>70.66999816894531</v>
      </c>
      <c r="CB1708" t="n">
        <v>70.67</v>
      </c>
      <c r="CC1708" t="n">
        <v>100</v>
      </c>
    </row>
    <row r="1709">
      <c r="A1709" t="n">
        <v>390</v>
      </c>
      <c r="B1709" t="inlineStr">
        <is>
          <t>Cumplimiento Plan Anual por escuela</t>
        </is>
      </c>
      <c r="C1709" t="inlineStr">
        <is>
          <t>Planeación Estratégica</t>
        </is>
      </c>
      <c r="D1709" t="inlineStr">
        <is>
          <t>Semestral</t>
        </is>
      </c>
      <c r="E1709" t="inlineStr">
        <is>
          <t>Positivo</t>
        </is>
      </c>
      <c r="F1709" s="105" t="n">
        <v>45565</v>
      </c>
      <c r="G1709" t="inlineStr">
        <is>
          <t>390-2024-09-30</t>
        </is>
      </c>
      <c r="H1709" t="inlineStr">
        <is>
          <t>ESCUELA DE MARKETING Y BRANDING</t>
        </is>
      </c>
      <c r="I1709" t="n">
        <v>100</v>
      </c>
      <c r="J1709" t="n">
        <v>81</v>
      </c>
      <c r="CB1709" t="n">
        <v>81</v>
      </c>
      <c r="CC1709" t="n">
        <v>100</v>
      </c>
    </row>
    <row r="1710">
      <c r="A1710" t="n">
        <v>390</v>
      </c>
      <c r="B1710" t="inlineStr">
        <is>
          <t>Cumplimiento Plan Anual por escuela</t>
        </is>
      </c>
      <c r="C1710" t="inlineStr">
        <is>
          <t>Planeación Estratégica</t>
        </is>
      </c>
      <c r="D1710" t="inlineStr">
        <is>
          <t>Semestral</t>
        </is>
      </c>
      <c r="E1710" t="inlineStr">
        <is>
          <t>Positivo</t>
        </is>
      </c>
      <c r="F1710" s="105" t="n">
        <v>45565</v>
      </c>
      <c r="G1710" t="inlineStr">
        <is>
          <t>390-2024-09-30</t>
        </is>
      </c>
      <c r="H1710" t="inlineStr">
        <is>
          <t>ESCUELA DE PSIC, TALENTO HUM Y SOC</t>
        </is>
      </c>
      <c r="I1710" t="n">
        <v>100</v>
      </c>
      <c r="J1710" t="n">
        <v>90.12999725341797</v>
      </c>
      <c r="CB1710" t="n">
        <v>89.67</v>
      </c>
      <c r="CC1710" t="n">
        <v>99.48999999999999</v>
      </c>
    </row>
    <row r="1711">
      <c r="A1711" t="n">
        <v>409</v>
      </c>
      <c r="B1711" t="inlineStr">
        <is>
          <t>Oportunidad en tiempo de envios</t>
        </is>
      </c>
      <c r="C1711" t="inlineStr">
        <is>
          <t>GESTIÓN JURÍDICA Y NORMATIVA</t>
        </is>
      </c>
      <c r="D1711" t="inlineStr">
        <is>
          <t>Semestral</t>
        </is>
      </c>
      <c r="E1711" t="inlineStr">
        <is>
          <t>Positivo</t>
        </is>
      </c>
      <c r="F1711" s="105" t="n">
        <v>45565</v>
      </c>
      <c r="G1711" t="inlineStr">
        <is>
          <t>409-2024-09-30</t>
        </is>
      </c>
      <c r="H1711" t="inlineStr">
        <is>
          <t>Diplomas</t>
        </is>
      </c>
      <c r="I1711" t="n">
        <v>95</v>
      </c>
      <c r="J1711" t="n">
        <v>95.38999938964844</v>
      </c>
      <c r="CQ1711" t="n">
        <v>414</v>
      </c>
      <c r="CR1711" t="n">
        <v>434</v>
      </c>
    </row>
    <row r="1712">
      <c r="A1712" t="n">
        <v>409</v>
      </c>
      <c r="B1712" t="inlineStr">
        <is>
          <t>Oportunidad en tiempo de envios</t>
        </is>
      </c>
      <c r="C1712" t="inlineStr">
        <is>
          <t>GESTIÓN JURÍDICA Y NORMATIVA</t>
        </is>
      </c>
      <c r="D1712" t="inlineStr">
        <is>
          <t>Semestral</t>
        </is>
      </c>
      <c r="E1712" t="inlineStr">
        <is>
          <t>Positivo</t>
        </is>
      </c>
      <c r="F1712" s="105" t="n">
        <v>45565</v>
      </c>
      <c r="G1712" t="inlineStr">
        <is>
          <t>409-2024-09-30</t>
        </is>
      </c>
      <c r="H1712" t="inlineStr">
        <is>
          <t>Otro Material</t>
        </is>
      </c>
      <c r="I1712" t="n">
        <v>95</v>
      </c>
      <c r="J1712" t="n">
        <v>100</v>
      </c>
      <c r="CQ1712" t="n">
        <v>261</v>
      </c>
      <c r="CR1712" t="n">
        <v>261</v>
      </c>
    </row>
    <row r="1713">
      <c r="A1713" t="n">
        <v>414</v>
      </c>
      <c r="B1713" t="inlineStr">
        <is>
          <t>Cumplimiento Plan Anual Rectoría</t>
        </is>
      </c>
      <c r="C1713" t="inlineStr">
        <is>
          <t>Planeación Estratégica</t>
        </is>
      </c>
      <c r="D1713" t="inlineStr">
        <is>
          <t>Semestral</t>
        </is>
      </c>
      <c r="E1713" t="inlineStr">
        <is>
          <t>Positivo</t>
        </is>
      </c>
      <c r="F1713" s="105" t="n">
        <v>45565</v>
      </c>
      <c r="G1713" t="inlineStr">
        <is>
          <t>414-2024-09-30</t>
        </is>
      </c>
      <c r="H1713" t="inlineStr">
        <is>
          <t>Vicerrectoría de crecimiento</t>
        </is>
      </c>
      <c r="I1713" t="n">
        <v>100</v>
      </c>
      <c r="J1713" t="n">
        <v>109.2099990844727</v>
      </c>
      <c r="CD1713" t="n">
        <v>83</v>
      </c>
      <c r="CE1713" t="n">
        <v>76</v>
      </c>
    </row>
    <row r="1714">
      <c r="A1714" t="n">
        <v>414</v>
      </c>
      <c r="B1714" t="inlineStr">
        <is>
          <t>Cumplimiento Plan Anual Rectoría</t>
        </is>
      </c>
      <c r="C1714" t="inlineStr">
        <is>
          <t>Planeación Estratégica</t>
        </is>
      </c>
      <c r="D1714" t="inlineStr">
        <is>
          <t>Semestral</t>
        </is>
      </c>
      <c r="E1714" t="inlineStr">
        <is>
          <t>Positivo</t>
        </is>
      </c>
      <c r="F1714" s="105" t="n">
        <v>45565</v>
      </c>
      <c r="G1714" t="inlineStr">
        <is>
          <t>414-2024-09-30</t>
        </is>
      </c>
      <c r="H1714" t="inlineStr">
        <is>
          <t>Vicerrectoría del estudiante</t>
        </is>
      </c>
      <c r="I1714" t="n">
        <v>100</v>
      </c>
      <c r="J1714" t="n">
        <v>100</v>
      </c>
      <c r="CD1714" t="n">
        <v>99</v>
      </c>
      <c r="CE1714" t="n">
        <v>99</v>
      </c>
    </row>
    <row r="1715">
      <c r="A1715" t="n">
        <v>414</v>
      </c>
      <c r="B1715" t="inlineStr">
        <is>
          <t>Cumplimiento Plan Anual Rectoría</t>
        </is>
      </c>
      <c r="C1715" t="inlineStr">
        <is>
          <t>Planeación Estratégica</t>
        </is>
      </c>
      <c r="D1715" t="inlineStr">
        <is>
          <t>Semestral</t>
        </is>
      </c>
      <c r="E1715" t="inlineStr">
        <is>
          <t>Positivo</t>
        </is>
      </c>
      <c r="F1715" s="105" t="n">
        <v>45565</v>
      </c>
      <c r="G1715" t="inlineStr">
        <is>
          <t>414-2024-09-30</t>
        </is>
      </c>
      <c r="H1715" t="inlineStr">
        <is>
          <t>Vicerrectoría financiera</t>
        </is>
      </c>
      <c r="I1715" t="n">
        <v>100</v>
      </c>
      <c r="J1715" t="n">
        <v>108.0500030517578</v>
      </c>
      <c r="CD1715" t="n">
        <v>94</v>
      </c>
      <c r="CE1715" t="n">
        <v>87</v>
      </c>
    </row>
    <row r="1716">
      <c r="A1716" t="n">
        <v>414</v>
      </c>
      <c r="B1716" t="inlineStr">
        <is>
          <t>Cumplimiento Plan Anual Rectoría</t>
        </is>
      </c>
      <c r="C1716" t="inlineStr">
        <is>
          <t>Planeación Estratégica</t>
        </is>
      </c>
      <c r="D1716" t="inlineStr">
        <is>
          <t>Semestral</t>
        </is>
      </c>
      <c r="E1716" t="inlineStr">
        <is>
          <t>Positivo</t>
        </is>
      </c>
      <c r="F1716" s="105" t="n">
        <v>45565</v>
      </c>
      <c r="G1716" t="inlineStr">
        <is>
          <t>414-2024-09-30</t>
        </is>
      </c>
      <c r="H1716" t="inlineStr">
        <is>
          <t>Vicerrectoría académica</t>
        </is>
      </c>
      <c r="I1716" t="n">
        <v>100</v>
      </c>
      <c r="J1716" t="n">
        <v>92.55000305175781</v>
      </c>
      <c r="CD1716" t="n">
        <v>87</v>
      </c>
      <c r="CE1716" t="n">
        <v>94</v>
      </c>
    </row>
    <row r="1717">
      <c r="A1717" t="n">
        <v>414</v>
      </c>
      <c r="B1717" t="inlineStr">
        <is>
          <t>Cumplimiento Plan Anual Rectoría</t>
        </is>
      </c>
      <c r="C1717" t="inlineStr">
        <is>
          <t>Planeación Estratégica</t>
        </is>
      </c>
      <c r="D1717" t="inlineStr">
        <is>
          <t>Semestral</t>
        </is>
      </c>
      <c r="E1717" t="inlineStr">
        <is>
          <t>Positivo</t>
        </is>
      </c>
      <c r="F1717" s="105" t="n">
        <v>45565</v>
      </c>
      <c r="G1717" t="inlineStr">
        <is>
          <t>414-2024-09-30</t>
        </is>
      </c>
      <c r="H1717" t="inlineStr">
        <is>
          <t>Gerencia de estrategia</t>
        </is>
      </c>
      <c r="I1717" t="n">
        <v>100</v>
      </c>
      <c r="J1717" t="n">
        <v>100</v>
      </c>
      <c r="CD1717" t="n">
        <v>88</v>
      </c>
      <c r="CE1717" t="n">
        <v>88</v>
      </c>
    </row>
    <row r="1718">
      <c r="A1718" t="n">
        <v>414</v>
      </c>
      <c r="B1718" t="inlineStr">
        <is>
          <t>Cumplimiento Plan Anual Rectoría</t>
        </is>
      </c>
      <c r="C1718" t="inlineStr">
        <is>
          <t>Planeación Estratégica</t>
        </is>
      </c>
      <c r="D1718" t="inlineStr">
        <is>
          <t>Semestral</t>
        </is>
      </c>
      <c r="E1718" t="inlineStr">
        <is>
          <t>Positivo</t>
        </is>
      </c>
      <c r="F1718" s="105" t="n">
        <v>45565</v>
      </c>
      <c r="G1718" t="inlineStr">
        <is>
          <t>414-2024-09-30</t>
        </is>
      </c>
      <c r="H1718" t="inlineStr">
        <is>
          <t>Gerencia de  talento humano y desarrollo</t>
        </is>
      </c>
      <c r="I1718" t="n">
        <v>100</v>
      </c>
      <c r="J1718" t="n">
        <v>95.95999908447266</v>
      </c>
      <c r="CD1718" t="n">
        <v>95</v>
      </c>
      <c r="CE1718" t="n">
        <v>99</v>
      </c>
    </row>
    <row r="1719">
      <c r="A1719" t="n">
        <v>414</v>
      </c>
      <c r="B1719" t="inlineStr">
        <is>
          <t>Cumplimiento Plan Anual Rectoría</t>
        </is>
      </c>
      <c r="C1719" t="inlineStr">
        <is>
          <t>Planeación Estratégica</t>
        </is>
      </c>
      <c r="D1719" t="inlineStr">
        <is>
          <t>Semestral</t>
        </is>
      </c>
      <c r="E1719" t="inlineStr">
        <is>
          <t>Positivo</t>
        </is>
      </c>
      <c r="F1719" s="105" t="n">
        <v>45565</v>
      </c>
      <c r="G1719" t="inlineStr">
        <is>
          <t>414-2024-09-30</t>
        </is>
      </c>
      <c r="H1719" t="inlineStr">
        <is>
          <t>Gerencia sede Medellín</t>
        </is>
      </c>
      <c r="I1719" t="n">
        <v>100</v>
      </c>
      <c r="J1719" t="n">
        <v>105.620002746582</v>
      </c>
      <c r="CD1719" t="n">
        <v>94</v>
      </c>
      <c r="CE1719" t="n">
        <v>89</v>
      </c>
    </row>
    <row r="1720">
      <c r="A1720" t="n">
        <v>414</v>
      </c>
      <c r="B1720" t="inlineStr">
        <is>
          <t>Cumplimiento Plan Anual Rectoría</t>
        </is>
      </c>
      <c r="C1720" t="inlineStr">
        <is>
          <t>Planeación Estratégica</t>
        </is>
      </c>
      <c r="D1720" t="inlineStr">
        <is>
          <t>Semestral</t>
        </is>
      </c>
      <c r="E1720" t="inlineStr">
        <is>
          <t>Positivo</t>
        </is>
      </c>
      <c r="F1720" s="105" t="n">
        <v>45565</v>
      </c>
      <c r="G1720" t="inlineStr">
        <is>
          <t>414-2024-09-30</t>
        </is>
      </c>
      <c r="H1720" t="inlineStr">
        <is>
          <t>Secretaria general</t>
        </is>
      </c>
      <c r="I1720" t="n">
        <v>100</v>
      </c>
      <c r="J1720" t="n">
        <v>101.0899963378906</v>
      </c>
      <c r="CD1720" t="n">
        <v>93</v>
      </c>
      <c r="CE1720" t="n">
        <v>92</v>
      </c>
    </row>
    <row r="1721">
      <c r="A1721" t="n">
        <v>414</v>
      </c>
      <c r="B1721" t="inlineStr">
        <is>
          <t>Cumplimiento Plan Anual Rectoría</t>
        </is>
      </c>
      <c r="C1721" t="inlineStr">
        <is>
          <t>Planeación Estratégica</t>
        </is>
      </c>
      <c r="D1721" t="inlineStr">
        <is>
          <t>Semestral</t>
        </is>
      </c>
      <c r="E1721" t="inlineStr">
        <is>
          <t>Positivo</t>
        </is>
      </c>
      <c r="F1721" s="105" t="n">
        <v>45565</v>
      </c>
      <c r="G1721" t="inlineStr">
        <is>
          <t>414-2024-09-30</t>
        </is>
      </c>
      <c r="H1721" t="inlineStr">
        <is>
          <t>Gerencia de educación virtual</t>
        </is>
      </c>
      <c r="I1721" t="n">
        <v>100</v>
      </c>
      <c r="J1721" t="n">
        <v>83.91000366210938</v>
      </c>
      <c r="CD1721" t="n">
        <v>73</v>
      </c>
      <c r="CE1721" t="n">
        <v>87</v>
      </c>
    </row>
    <row r="1722">
      <c r="A1722" t="n">
        <v>415</v>
      </c>
      <c r="B1722" t="inlineStr">
        <is>
          <t>Cumplimiento Plan Anual Vicerrectoría del estudiante</t>
        </is>
      </c>
      <c r="C1722" t="inlineStr">
        <is>
          <t>Planeación Estratégica</t>
        </is>
      </c>
      <c r="D1722" t="inlineStr">
        <is>
          <t>Semestral</t>
        </is>
      </c>
      <c r="E1722" t="inlineStr">
        <is>
          <t>Positivo</t>
        </is>
      </c>
      <c r="F1722" s="105" t="n">
        <v>45565</v>
      </c>
      <c r="G1722" t="inlineStr">
        <is>
          <t>415-2024-09-30</t>
        </is>
      </c>
      <c r="H1722" t="inlineStr">
        <is>
          <t>Gerencia de operaciones</t>
        </is>
      </c>
      <c r="I1722" t="n">
        <v>100</v>
      </c>
      <c r="J1722" t="n">
        <v>100</v>
      </c>
      <c r="CF1722" t="n">
        <v>100</v>
      </c>
      <c r="CG1722" t="n">
        <v>100</v>
      </c>
    </row>
    <row r="1723">
      <c r="A1723" t="n">
        <v>415</v>
      </c>
      <c r="B1723" t="inlineStr">
        <is>
          <t>Cumplimiento Plan Anual Vicerrectoría del estudiante</t>
        </is>
      </c>
      <c r="C1723" t="inlineStr">
        <is>
          <t>Planeación Estratégica</t>
        </is>
      </c>
      <c r="D1723" t="inlineStr">
        <is>
          <t>Semestral</t>
        </is>
      </c>
      <c r="E1723" t="inlineStr">
        <is>
          <t>Positivo</t>
        </is>
      </c>
      <c r="F1723" s="105" t="n">
        <v>45565</v>
      </c>
      <c r="G1723" t="inlineStr">
        <is>
          <t>415-2024-09-30</t>
        </is>
      </c>
      <c r="H1723" t="inlineStr">
        <is>
          <t>Gerencia de servicio y permanencia</t>
        </is>
      </c>
      <c r="I1723" t="n">
        <v>100</v>
      </c>
      <c r="J1723" t="n">
        <v>96</v>
      </c>
      <c r="CF1723" t="n">
        <v>96</v>
      </c>
      <c r="CG1723" t="n">
        <v>100</v>
      </c>
    </row>
    <row r="1724">
      <c r="A1724" t="n">
        <v>415</v>
      </c>
      <c r="B1724" t="inlineStr">
        <is>
          <t>Cumplimiento Plan Anual Vicerrectoría del estudiante</t>
        </is>
      </c>
      <c r="C1724" t="inlineStr">
        <is>
          <t>Planeación Estratégica</t>
        </is>
      </c>
      <c r="D1724" t="inlineStr">
        <is>
          <t>Semestral</t>
        </is>
      </c>
      <c r="E1724" t="inlineStr">
        <is>
          <t>Positivo</t>
        </is>
      </c>
      <c r="F1724" s="105" t="n">
        <v>45565</v>
      </c>
      <c r="G1724" t="inlineStr">
        <is>
          <t>415-2024-09-30</t>
        </is>
      </c>
      <c r="H1724" t="inlineStr">
        <is>
          <t>Gerencia de tecnología e innovación digital</t>
        </is>
      </c>
      <c r="I1724" t="n">
        <v>100</v>
      </c>
      <c r="J1724" t="n">
        <v>0</v>
      </c>
      <c r="CF1724" t="n">
        <v>0</v>
      </c>
      <c r="CG1724" t="n">
        <v>0</v>
      </c>
    </row>
    <row r="1725">
      <c r="A1725" t="n">
        <v>415</v>
      </c>
      <c r="B1725" t="inlineStr">
        <is>
          <t>Cumplimiento Plan Anual Vicerrectoría del estudiante</t>
        </is>
      </c>
      <c r="C1725" t="inlineStr">
        <is>
          <t>Planeación Estratégica</t>
        </is>
      </c>
      <c r="D1725" t="inlineStr">
        <is>
          <t>Semestral</t>
        </is>
      </c>
      <c r="E1725" t="inlineStr">
        <is>
          <t>Positivo</t>
        </is>
      </c>
      <c r="F1725" s="105" t="n">
        <v>45565</v>
      </c>
      <c r="G1725" t="inlineStr">
        <is>
          <t>415-2024-09-30</t>
        </is>
      </c>
      <c r="H1725" t="inlineStr">
        <is>
          <t>BI y analítica</t>
        </is>
      </c>
      <c r="I1725" t="n">
        <v>100</v>
      </c>
      <c r="J1725" t="n">
        <v>60</v>
      </c>
      <c r="CF1725" t="n">
        <v>60</v>
      </c>
      <c r="CG1725" t="n">
        <v>100</v>
      </c>
    </row>
    <row r="1726">
      <c r="A1726" t="n">
        <v>415</v>
      </c>
      <c r="B1726" t="inlineStr">
        <is>
          <t>Cumplimiento Plan Anual Vicerrectoría del estudiante</t>
        </is>
      </c>
      <c r="C1726" t="inlineStr">
        <is>
          <t>Planeación Estratégica</t>
        </is>
      </c>
      <c r="D1726" t="inlineStr">
        <is>
          <t>Semestral</t>
        </is>
      </c>
      <c r="E1726" t="inlineStr">
        <is>
          <t>Positivo</t>
        </is>
      </c>
      <c r="F1726" s="105" t="n">
        <v>45565</v>
      </c>
      <c r="G1726" t="inlineStr">
        <is>
          <t>415-2024-09-30</t>
        </is>
      </c>
      <c r="H1726" t="inlineStr">
        <is>
          <t>Dirección nacional de registro y control</t>
        </is>
      </c>
      <c r="I1726" t="n">
        <v>100</v>
      </c>
      <c r="J1726" t="n">
        <v>100</v>
      </c>
      <c r="CF1726" t="n">
        <v>100</v>
      </c>
      <c r="CG1726" t="n">
        <v>100</v>
      </c>
    </row>
    <row r="1727">
      <c r="A1727" t="n">
        <v>415</v>
      </c>
      <c r="B1727" t="inlineStr">
        <is>
          <t>Cumplimiento Plan Anual Vicerrectoría del estudiante</t>
        </is>
      </c>
      <c r="C1727" t="inlineStr">
        <is>
          <t>Planeación Estratégica</t>
        </is>
      </c>
      <c r="D1727" t="inlineStr">
        <is>
          <t>Semestral</t>
        </is>
      </c>
      <c r="E1727" t="inlineStr">
        <is>
          <t>Positivo</t>
        </is>
      </c>
      <c r="F1727" s="105" t="n">
        <v>45565</v>
      </c>
      <c r="G1727" t="inlineStr">
        <is>
          <t>415-2024-09-30</t>
        </is>
      </c>
      <c r="H1727" t="inlineStr">
        <is>
          <t>Dirección de Experiencia E Inclusion</t>
        </is>
      </c>
      <c r="I1727" t="n">
        <v>100</v>
      </c>
      <c r="J1727" t="n">
        <v>96.62000274658203</v>
      </c>
      <c r="CF1727" t="n">
        <v>96.11</v>
      </c>
      <c r="CG1727" t="n">
        <v>99.47</v>
      </c>
    </row>
    <row r="1728">
      <c r="A1728" t="n">
        <v>415</v>
      </c>
      <c r="B1728" t="inlineStr">
        <is>
          <t>Cumplimiento Plan Anual Vicerrectoría del estudiante</t>
        </is>
      </c>
      <c r="C1728" t="inlineStr">
        <is>
          <t>Planeación Estratégica</t>
        </is>
      </c>
      <c r="D1728" t="inlineStr">
        <is>
          <t>Semestral</t>
        </is>
      </c>
      <c r="E1728" t="inlineStr">
        <is>
          <t>Positivo</t>
        </is>
      </c>
      <c r="F1728" s="105" t="n">
        <v>45565</v>
      </c>
      <c r="G1728" t="inlineStr">
        <is>
          <t>415-2024-09-30</t>
        </is>
      </c>
      <c r="H1728" t="inlineStr">
        <is>
          <t>Direccion bienestar universitario y huella grancolombiana</t>
        </is>
      </c>
      <c r="I1728" t="n">
        <v>100</v>
      </c>
      <c r="J1728" t="n">
        <v>100</v>
      </c>
      <c r="CF1728" t="n">
        <v>100</v>
      </c>
      <c r="CG1728" t="n">
        <v>100</v>
      </c>
    </row>
    <row r="1729">
      <c r="A1729" t="n">
        <v>415</v>
      </c>
      <c r="B1729" t="inlineStr">
        <is>
          <t>Cumplimiento Plan Anual Vicerrectoría del estudiante</t>
        </is>
      </c>
      <c r="C1729" t="inlineStr">
        <is>
          <t>Planeación Estratégica</t>
        </is>
      </c>
      <c r="D1729" t="inlineStr">
        <is>
          <t>Semestral</t>
        </is>
      </c>
      <c r="E1729" t="inlineStr">
        <is>
          <t>Positivo</t>
        </is>
      </c>
      <c r="F1729" s="105" t="n">
        <v>45565</v>
      </c>
      <c r="G1729" t="inlineStr">
        <is>
          <t>415-2024-09-30</t>
        </is>
      </c>
      <c r="H1729" t="inlineStr">
        <is>
          <t>Director de gobierno digital</t>
        </is>
      </c>
      <c r="I1729" t="n">
        <v>100</v>
      </c>
      <c r="J1729" t="n">
        <v>95</v>
      </c>
      <c r="CF1729" t="n">
        <v>95</v>
      </c>
      <c r="CG1729" t="n">
        <v>100</v>
      </c>
    </row>
    <row r="1730">
      <c r="A1730" t="n">
        <v>415</v>
      </c>
      <c r="B1730" t="inlineStr">
        <is>
          <t>Cumplimiento Plan Anual Vicerrectoría del estudiante</t>
        </is>
      </c>
      <c r="C1730" t="inlineStr">
        <is>
          <t>Planeación Estratégica</t>
        </is>
      </c>
      <c r="D1730" t="inlineStr">
        <is>
          <t>Semestral</t>
        </is>
      </c>
      <c r="E1730" t="inlineStr">
        <is>
          <t>Positivo</t>
        </is>
      </c>
      <c r="F1730" s="105" t="n">
        <v>45565</v>
      </c>
      <c r="G1730" t="inlineStr">
        <is>
          <t>415-2024-09-30</t>
        </is>
      </c>
      <c r="H1730" t="inlineStr">
        <is>
          <t>Gerente de innovación y producto</t>
        </is>
      </c>
      <c r="I1730" t="n">
        <v>100</v>
      </c>
      <c r="J1730" t="n">
        <v>76.5</v>
      </c>
      <c r="CF1730" t="n">
        <v>76.5</v>
      </c>
      <c r="CG1730" t="n">
        <v>100</v>
      </c>
    </row>
    <row r="1731">
      <c r="A1731" t="n">
        <v>415</v>
      </c>
      <c r="B1731" t="inlineStr">
        <is>
          <t>Cumplimiento Plan Anual Vicerrectoría del estudiante</t>
        </is>
      </c>
      <c r="C1731" t="inlineStr">
        <is>
          <t>Planeación Estratégica</t>
        </is>
      </c>
      <c r="D1731" t="inlineStr">
        <is>
          <t>Semestral</t>
        </is>
      </c>
      <c r="E1731" t="inlineStr">
        <is>
          <t>Positivo</t>
        </is>
      </c>
      <c r="F1731" s="105" t="n">
        <v>45565</v>
      </c>
      <c r="G1731" t="inlineStr">
        <is>
          <t>415-2024-09-30</t>
        </is>
      </c>
      <c r="H1731" t="inlineStr">
        <is>
          <t>Dirección de desarrollo e innovación</t>
        </is>
      </c>
      <c r="I1731" t="n">
        <v>100</v>
      </c>
      <c r="J1731" t="n">
        <v>87.87999725341797</v>
      </c>
      <c r="CF1731" t="n">
        <v>87.33</v>
      </c>
      <c r="CG1731" t="n">
        <v>99.37</v>
      </c>
    </row>
    <row r="1732">
      <c r="A1732" t="n">
        <v>415</v>
      </c>
      <c r="B1732" t="inlineStr">
        <is>
          <t>Cumplimiento Plan Anual Vicerrectoría del estudiante</t>
        </is>
      </c>
      <c r="C1732" t="inlineStr">
        <is>
          <t>Planeación Estratégica</t>
        </is>
      </c>
      <c r="D1732" t="inlineStr">
        <is>
          <t>Semestral</t>
        </is>
      </c>
      <c r="E1732" t="inlineStr">
        <is>
          <t>Positivo</t>
        </is>
      </c>
      <c r="F1732" s="105" t="n">
        <v>45565</v>
      </c>
      <c r="G1732" t="inlineStr">
        <is>
          <t>415-2024-09-30</t>
        </is>
      </c>
      <c r="H1732" t="inlineStr">
        <is>
          <t>Director de operaciones IT</t>
        </is>
      </c>
      <c r="I1732" t="n">
        <v>100</v>
      </c>
      <c r="J1732" t="n">
        <v>90</v>
      </c>
      <c r="CF1732" t="n">
        <v>90</v>
      </c>
      <c r="CG1732" t="n">
        <v>100</v>
      </c>
    </row>
    <row r="1733">
      <c r="A1733" t="n">
        <v>415</v>
      </c>
      <c r="B1733" t="inlineStr">
        <is>
          <t>Cumplimiento Plan Anual Vicerrectoría del estudiante</t>
        </is>
      </c>
      <c r="C1733" t="inlineStr">
        <is>
          <t>Planeación Estratégica</t>
        </is>
      </c>
      <c r="D1733" t="inlineStr">
        <is>
          <t>Semestral</t>
        </is>
      </c>
      <c r="E1733" t="inlineStr">
        <is>
          <t>Positivo</t>
        </is>
      </c>
      <c r="F1733" s="105" t="n">
        <v>45565</v>
      </c>
      <c r="G1733" t="inlineStr">
        <is>
          <t>415-2024-09-30</t>
        </is>
      </c>
      <c r="H1733" t="inlineStr">
        <is>
          <t>Director de operaciones integrales</t>
        </is>
      </c>
      <c r="I1733" t="n">
        <v>100</v>
      </c>
      <c r="J1733" t="n">
        <v>100</v>
      </c>
      <c r="CF1733" t="n">
        <v>100</v>
      </c>
      <c r="CG1733" t="n">
        <v>100</v>
      </c>
    </row>
    <row r="1734">
      <c r="A1734" t="n">
        <v>415</v>
      </c>
      <c r="B1734" t="inlineStr">
        <is>
          <t>Cumplimiento Plan Anual Vicerrectoría del estudiante</t>
        </is>
      </c>
      <c r="C1734" t="inlineStr">
        <is>
          <t>Planeación Estratégica</t>
        </is>
      </c>
      <c r="D1734" t="inlineStr">
        <is>
          <t>Semestral</t>
        </is>
      </c>
      <c r="E1734" t="inlineStr">
        <is>
          <t>Positivo</t>
        </is>
      </c>
      <c r="F1734" s="105" t="n">
        <v>45565</v>
      </c>
      <c r="G1734" t="inlineStr">
        <is>
          <t>415-2024-09-30</t>
        </is>
      </c>
      <c r="H1734" t="inlineStr">
        <is>
          <t>Director de permanencia</t>
        </is>
      </c>
      <c r="I1734" t="n">
        <v>100</v>
      </c>
      <c r="J1734" t="n">
        <v>100</v>
      </c>
      <c r="CF1734" t="n">
        <v>100</v>
      </c>
      <c r="CG1734" t="n">
        <v>100</v>
      </c>
    </row>
    <row r="1735">
      <c r="A1735" t="n">
        <v>415</v>
      </c>
      <c r="B1735" t="inlineStr">
        <is>
          <t>Cumplimiento Plan Anual Vicerrectoría del estudiante</t>
        </is>
      </c>
      <c r="C1735" t="inlineStr">
        <is>
          <t>Planeación Estratégica</t>
        </is>
      </c>
      <c r="D1735" t="inlineStr">
        <is>
          <t>Semestral</t>
        </is>
      </c>
      <c r="E1735" t="inlineStr">
        <is>
          <t>Positivo</t>
        </is>
      </c>
      <c r="F1735" s="105" t="n">
        <v>45565</v>
      </c>
      <c r="G1735" t="inlineStr">
        <is>
          <t>415-2024-09-30</t>
        </is>
      </c>
      <c r="H1735" t="inlineStr">
        <is>
          <t>Director de servicio</t>
        </is>
      </c>
      <c r="I1735" t="n">
        <v>100</v>
      </c>
      <c r="J1735" t="n">
        <v>100</v>
      </c>
      <c r="CF1735" t="n">
        <v>100</v>
      </c>
      <c r="CG1735" t="n">
        <v>100</v>
      </c>
    </row>
    <row r="1736">
      <c r="A1736" t="n">
        <v>416</v>
      </c>
      <c r="B1736" t="inlineStr">
        <is>
          <t>Cumplimiento Plan Anual Vicerrectoría de crecimiento</t>
        </is>
      </c>
      <c r="C1736" t="inlineStr">
        <is>
          <t>Planeación Estratégica</t>
        </is>
      </c>
      <c r="D1736" t="inlineStr">
        <is>
          <t>Semestral</t>
        </is>
      </c>
      <c r="E1736" t="inlineStr">
        <is>
          <t>Positivo</t>
        </is>
      </c>
      <c r="F1736" s="105" t="n">
        <v>45565</v>
      </c>
      <c r="G1736" t="inlineStr">
        <is>
          <t>416-2024-09-30</t>
        </is>
      </c>
      <c r="H1736" t="inlineStr">
        <is>
          <t>Gerencia de matriculas</t>
        </is>
      </c>
      <c r="I1736" t="n">
        <v>100</v>
      </c>
      <c r="J1736" t="n">
        <v>109.8899993896484</v>
      </c>
      <c r="CH1736" t="n">
        <v>100</v>
      </c>
      <c r="CI1736" t="n">
        <v>91</v>
      </c>
    </row>
    <row r="1737">
      <c r="A1737" t="n">
        <v>416</v>
      </c>
      <c r="B1737" t="inlineStr">
        <is>
          <t>Cumplimiento Plan Anual Vicerrectoría de crecimiento</t>
        </is>
      </c>
      <c r="C1737" t="inlineStr">
        <is>
          <t>Planeación Estratégica</t>
        </is>
      </c>
      <c r="D1737" t="inlineStr">
        <is>
          <t>Semestral</t>
        </is>
      </c>
      <c r="E1737" t="inlineStr">
        <is>
          <t>Positivo</t>
        </is>
      </c>
      <c r="F1737" s="105" t="n">
        <v>45565</v>
      </c>
      <c r="G1737" t="inlineStr">
        <is>
          <t>416-2024-09-30</t>
        </is>
      </c>
      <c r="H1737" t="inlineStr">
        <is>
          <t>Gerencia de mercadeo</t>
        </is>
      </c>
      <c r="I1737" t="n">
        <v>100</v>
      </c>
      <c r="J1737" t="n">
        <v>87.80000305175781</v>
      </c>
      <c r="CH1737" t="n">
        <v>72</v>
      </c>
      <c r="CI1737" t="n">
        <v>82</v>
      </c>
    </row>
    <row r="1738">
      <c r="A1738" t="n">
        <v>416</v>
      </c>
      <c r="B1738" t="inlineStr">
        <is>
          <t>Cumplimiento Plan Anual Vicerrectoría de crecimiento</t>
        </is>
      </c>
      <c r="C1738" t="inlineStr">
        <is>
          <t>Planeación Estratégica</t>
        </is>
      </c>
      <c r="D1738" t="inlineStr">
        <is>
          <t>Semestral</t>
        </is>
      </c>
      <c r="E1738" t="inlineStr">
        <is>
          <t>Positivo</t>
        </is>
      </c>
      <c r="F1738" s="105" t="n">
        <v>45565</v>
      </c>
      <c r="G1738" t="inlineStr">
        <is>
          <t>416-2024-09-30</t>
        </is>
      </c>
      <c r="H1738" t="inlineStr">
        <is>
          <t>Gerencia de servicios corporativos</t>
        </is>
      </c>
      <c r="I1738" t="n">
        <v>100</v>
      </c>
      <c r="J1738" t="n">
        <v>109.7600021362305</v>
      </c>
      <c r="CH1738" t="n">
        <v>90</v>
      </c>
      <c r="CI1738" t="n">
        <v>82</v>
      </c>
    </row>
    <row r="1739">
      <c r="A1739" t="n">
        <v>416</v>
      </c>
      <c r="B1739" t="inlineStr">
        <is>
          <t>Cumplimiento Plan Anual Vicerrectoría de crecimiento</t>
        </is>
      </c>
      <c r="C1739" t="inlineStr">
        <is>
          <t>Planeación Estratégica</t>
        </is>
      </c>
      <c r="D1739" t="inlineStr">
        <is>
          <t>Semestral</t>
        </is>
      </c>
      <c r="E1739" t="inlineStr">
        <is>
          <t>Positivo</t>
        </is>
      </c>
      <c r="F1739" s="105" t="n">
        <v>45565</v>
      </c>
      <c r="G1739" t="inlineStr">
        <is>
          <t>416-2024-09-30</t>
        </is>
      </c>
      <c r="H1739" t="inlineStr">
        <is>
          <t>Director B2B y B2C</t>
        </is>
      </c>
      <c r="I1739" t="n">
        <v>100</v>
      </c>
      <c r="J1739" t="n">
        <v>94.73999786376953</v>
      </c>
      <c r="CH1739" t="n">
        <v>90</v>
      </c>
      <c r="CI1739" t="n">
        <v>95</v>
      </c>
    </row>
    <row r="1740">
      <c r="A1740" t="n">
        <v>416</v>
      </c>
      <c r="B1740" t="inlineStr">
        <is>
          <t>Cumplimiento Plan Anual Vicerrectoría de crecimiento</t>
        </is>
      </c>
      <c r="C1740" t="inlineStr">
        <is>
          <t>Planeación Estratégica</t>
        </is>
      </c>
      <c r="D1740" t="inlineStr">
        <is>
          <t>Semestral</t>
        </is>
      </c>
      <c r="E1740" t="inlineStr">
        <is>
          <t>Positivo</t>
        </is>
      </c>
      <c r="F1740" s="105" t="n">
        <v>45565</v>
      </c>
      <c r="G1740" t="inlineStr">
        <is>
          <t>416-2024-09-30</t>
        </is>
      </c>
      <c r="H1740" t="inlineStr">
        <is>
          <t>Director de producto</t>
        </is>
      </c>
      <c r="I1740" t="n">
        <v>100</v>
      </c>
      <c r="J1740" t="n">
        <v>98.75</v>
      </c>
      <c r="CH1740" t="n">
        <v>79</v>
      </c>
      <c r="CI1740" t="n">
        <v>80</v>
      </c>
    </row>
    <row r="1741">
      <c r="A1741" t="n">
        <v>416</v>
      </c>
      <c r="B1741" t="inlineStr">
        <is>
          <t>Cumplimiento Plan Anual Vicerrectoría de crecimiento</t>
        </is>
      </c>
      <c r="C1741" t="inlineStr">
        <is>
          <t>Planeación Estratégica</t>
        </is>
      </c>
      <c r="D1741" t="inlineStr">
        <is>
          <t>Semestral</t>
        </is>
      </c>
      <c r="E1741" t="inlineStr">
        <is>
          <t>Positivo</t>
        </is>
      </c>
      <c r="F1741" s="105" t="n">
        <v>45565</v>
      </c>
      <c r="G1741" t="inlineStr">
        <is>
          <t>416-2024-09-30</t>
        </is>
      </c>
      <c r="H1741" t="inlineStr">
        <is>
          <t>Director de estrategia marca</t>
        </is>
      </c>
      <c r="I1741" t="n">
        <v>100</v>
      </c>
      <c r="J1741" t="n">
        <v>97.75</v>
      </c>
      <c r="CH1741" t="n">
        <v>87</v>
      </c>
      <c r="CI1741" t="n">
        <v>89</v>
      </c>
    </row>
    <row r="1742">
      <c r="A1742" t="n">
        <v>417</v>
      </c>
      <c r="B1742" t="inlineStr">
        <is>
          <t>Cumplimiento Plan Anual Vicerrectoría Financiera</t>
        </is>
      </c>
      <c r="C1742" t="inlineStr">
        <is>
          <t>Planeación Estratégica</t>
        </is>
      </c>
      <c r="D1742" t="inlineStr">
        <is>
          <t>Semestral</t>
        </is>
      </c>
      <c r="E1742" t="inlineStr">
        <is>
          <t>Positivo</t>
        </is>
      </c>
      <c r="F1742" s="105" t="n">
        <v>45565</v>
      </c>
      <c r="G1742" t="inlineStr">
        <is>
          <t>417-2024-09-30</t>
        </is>
      </c>
      <c r="H1742" t="inlineStr">
        <is>
          <t>Dirección de contabilidad</t>
        </is>
      </c>
      <c r="I1742" t="n">
        <v>100</v>
      </c>
      <c r="J1742" t="n">
        <v>105.8099975585938</v>
      </c>
      <c r="CJ1742" t="n">
        <v>91</v>
      </c>
      <c r="CK1742" t="n">
        <v>86</v>
      </c>
    </row>
    <row r="1743">
      <c r="A1743" t="n">
        <v>417</v>
      </c>
      <c r="B1743" t="inlineStr">
        <is>
          <t>Cumplimiento Plan Anual Vicerrectoría Financiera</t>
        </is>
      </c>
      <c r="C1743" t="inlineStr">
        <is>
          <t>Planeación Estratégica</t>
        </is>
      </c>
      <c r="D1743" t="inlineStr">
        <is>
          <t>Semestral</t>
        </is>
      </c>
      <c r="E1743" t="inlineStr">
        <is>
          <t>Positivo</t>
        </is>
      </c>
      <c r="F1743" s="105" t="n">
        <v>45565</v>
      </c>
      <c r="G1743" t="inlineStr">
        <is>
          <t>417-2024-09-30</t>
        </is>
      </c>
      <c r="H1743" t="inlineStr">
        <is>
          <t>Dirección de infraestructura</t>
        </is>
      </c>
      <c r="I1743" t="n">
        <v>100</v>
      </c>
      <c r="J1743" t="n">
        <v>106.5899963378906</v>
      </c>
      <c r="CJ1743" t="n">
        <v>97</v>
      </c>
      <c r="CK1743" t="n">
        <v>91</v>
      </c>
    </row>
    <row r="1744">
      <c r="A1744" t="n">
        <v>417</v>
      </c>
      <c r="B1744" t="inlineStr">
        <is>
          <t>Cumplimiento Plan Anual Vicerrectoría Financiera</t>
        </is>
      </c>
      <c r="C1744" t="inlineStr">
        <is>
          <t>Planeación Estratégica</t>
        </is>
      </c>
      <c r="D1744" t="inlineStr">
        <is>
          <t>Semestral</t>
        </is>
      </c>
      <c r="E1744" t="inlineStr">
        <is>
          <t>Positivo</t>
        </is>
      </c>
      <c r="F1744" s="105" t="n">
        <v>45565</v>
      </c>
      <c r="G1744" t="inlineStr">
        <is>
          <t>417-2024-09-30</t>
        </is>
      </c>
      <c r="H1744" t="inlineStr">
        <is>
          <t>Dirección planeación financiera y tesorería</t>
        </is>
      </c>
      <c r="I1744" t="n">
        <v>100</v>
      </c>
      <c r="J1744" t="n">
        <v>93.18000030517578</v>
      </c>
      <c r="CJ1744" t="n">
        <v>82</v>
      </c>
      <c r="CK1744" t="n">
        <v>88</v>
      </c>
    </row>
    <row r="1745">
      <c r="A1745" t="n">
        <v>417</v>
      </c>
      <c r="B1745" t="inlineStr">
        <is>
          <t>Cumplimiento Plan Anual Vicerrectoría Financiera</t>
        </is>
      </c>
      <c r="C1745" t="inlineStr">
        <is>
          <t>Planeación Estratégica</t>
        </is>
      </c>
      <c r="D1745" t="inlineStr">
        <is>
          <t>Semestral</t>
        </is>
      </c>
      <c r="E1745" t="inlineStr">
        <is>
          <t>Positivo</t>
        </is>
      </c>
      <c r="F1745" s="105" t="n">
        <v>45565</v>
      </c>
      <c r="G1745" t="inlineStr">
        <is>
          <t>417-2024-09-30</t>
        </is>
      </c>
      <c r="H1745" t="inlineStr">
        <is>
          <t>Dirección de relacionamiento de CSU</t>
        </is>
      </c>
      <c r="I1745" t="n">
        <v>100</v>
      </c>
      <c r="J1745" t="n">
        <v>104.879997253418</v>
      </c>
      <c r="CJ1745" t="n">
        <v>86</v>
      </c>
      <c r="CK1745" t="n">
        <v>82</v>
      </c>
    </row>
    <row r="1746">
      <c r="A1746" t="n">
        <v>417</v>
      </c>
      <c r="B1746" t="inlineStr">
        <is>
          <t>Cumplimiento Plan Anual Vicerrectoría Financiera</t>
        </is>
      </c>
      <c r="C1746" t="inlineStr">
        <is>
          <t>Planeación Estratégica</t>
        </is>
      </c>
      <c r="D1746" t="inlineStr">
        <is>
          <t>Semestral</t>
        </is>
      </c>
      <c r="E1746" t="inlineStr">
        <is>
          <t>Positivo</t>
        </is>
      </c>
      <c r="F1746" s="105" t="n">
        <v>45565</v>
      </c>
      <c r="G1746" t="inlineStr">
        <is>
          <t>417-2024-09-30</t>
        </is>
      </c>
      <c r="H1746" t="inlineStr">
        <is>
          <t>Dirección de servicios administrativos</t>
        </is>
      </c>
      <c r="I1746" t="n">
        <v>100</v>
      </c>
      <c r="J1746" t="n">
        <v>91.56999969482422</v>
      </c>
      <c r="CJ1746" t="n">
        <v>76</v>
      </c>
      <c r="CK1746" t="n">
        <v>83</v>
      </c>
    </row>
    <row r="1747">
      <c r="A1747" t="n">
        <v>417</v>
      </c>
      <c r="B1747" t="inlineStr">
        <is>
          <t>Cumplimiento Plan Anual Vicerrectoría Financiera</t>
        </is>
      </c>
      <c r="C1747" t="inlineStr">
        <is>
          <t>Planeación Estratégica</t>
        </is>
      </c>
      <c r="D1747" t="inlineStr">
        <is>
          <t>Semestral</t>
        </is>
      </c>
      <c r="E1747" t="inlineStr">
        <is>
          <t>Positivo</t>
        </is>
      </c>
      <c r="F1747" s="105" t="n">
        <v>45565</v>
      </c>
      <c r="G1747" t="inlineStr">
        <is>
          <t>417-2024-09-30</t>
        </is>
      </c>
      <c r="H1747" t="inlineStr">
        <is>
          <t>Dirección de compras y abastecimiento</t>
        </is>
      </c>
      <c r="I1747" t="n">
        <v>100</v>
      </c>
      <c r="J1747" t="n">
        <v>98.88999938964844</v>
      </c>
      <c r="CJ1747" t="n">
        <v>89</v>
      </c>
      <c r="CK1747" t="n">
        <v>90</v>
      </c>
    </row>
    <row r="1748">
      <c r="A1748" t="n">
        <v>418</v>
      </c>
      <c r="B1748" t="inlineStr">
        <is>
          <t>Cumplimiento Plan Anual Vicerrectoría Académica</t>
        </is>
      </c>
      <c r="C1748" t="inlineStr">
        <is>
          <t>Planeación Estratégica</t>
        </is>
      </c>
      <c r="D1748" t="inlineStr">
        <is>
          <t>Semestral</t>
        </is>
      </c>
      <c r="E1748" t="inlineStr">
        <is>
          <t>Positivo</t>
        </is>
      </c>
      <c r="F1748" s="105" t="n">
        <v>45565</v>
      </c>
      <c r="G1748" t="inlineStr">
        <is>
          <t>418-2024-09-30</t>
        </is>
      </c>
      <c r="H1748" t="inlineStr">
        <is>
          <t>Dirección aseguramiento de la calidad</t>
        </is>
      </c>
      <c r="I1748" t="n">
        <v>100</v>
      </c>
      <c r="J1748" t="n">
        <v>108.75</v>
      </c>
      <c r="CL1748" t="n">
        <v>87</v>
      </c>
      <c r="CM1748" t="n">
        <v>80</v>
      </c>
    </row>
    <row r="1749">
      <c r="A1749" t="n">
        <v>418</v>
      </c>
      <c r="B1749" t="inlineStr">
        <is>
          <t>Cumplimiento Plan Anual Vicerrectoría Académica</t>
        </is>
      </c>
      <c r="C1749" t="inlineStr">
        <is>
          <t>Planeación Estratégica</t>
        </is>
      </c>
      <c r="D1749" t="inlineStr">
        <is>
          <t>Semestral</t>
        </is>
      </c>
      <c r="E1749" t="inlineStr">
        <is>
          <t>Positivo</t>
        </is>
      </c>
      <c r="F1749" s="105" t="n">
        <v>45565</v>
      </c>
      <c r="G1749" t="inlineStr">
        <is>
          <t>418-2024-09-30</t>
        </is>
      </c>
      <c r="H1749" t="inlineStr">
        <is>
          <t>Dirección investigación innovación y creación</t>
        </is>
      </c>
      <c r="I1749" t="n">
        <v>100</v>
      </c>
      <c r="J1749" t="n">
        <v>61.61999893188477</v>
      </c>
      <c r="CL1749" t="n">
        <v>61</v>
      </c>
      <c r="CM1749" t="n">
        <v>99</v>
      </c>
    </row>
    <row r="1750">
      <c r="A1750" t="n">
        <v>418</v>
      </c>
      <c r="B1750" t="inlineStr">
        <is>
          <t>Cumplimiento Plan Anual Vicerrectoría Académica</t>
        </is>
      </c>
      <c r="C1750" t="inlineStr">
        <is>
          <t>Planeación Estratégica</t>
        </is>
      </c>
      <c r="D1750" t="inlineStr">
        <is>
          <t>Semestral</t>
        </is>
      </c>
      <c r="E1750" t="inlineStr">
        <is>
          <t>Positivo</t>
        </is>
      </c>
      <c r="F1750" s="105" t="n">
        <v>45565</v>
      </c>
      <c r="G1750" t="inlineStr">
        <is>
          <t>418-2024-09-30</t>
        </is>
      </c>
      <c r="H1750" t="inlineStr">
        <is>
          <t>Dirección relaciones nacionales e internacionales</t>
        </is>
      </c>
      <c r="I1750" t="n">
        <v>100</v>
      </c>
      <c r="J1750" t="n">
        <v>91.45999908447266</v>
      </c>
      <c r="CL1750" t="n">
        <v>75</v>
      </c>
      <c r="CM1750" t="n">
        <v>82</v>
      </c>
    </row>
    <row r="1751">
      <c r="A1751" t="n">
        <v>418</v>
      </c>
      <c r="B1751" t="inlineStr">
        <is>
          <t>Cumplimiento Plan Anual Vicerrectoría Académica</t>
        </is>
      </c>
      <c r="C1751" t="inlineStr">
        <is>
          <t>Planeación Estratégica</t>
        </is>
      </c>
      <c r="D1751" t="inlineStr">
        <is>
          <t>Semestral</t>
        </is>
      </c>
      <c r="E1751" t="inlineStr">
        <is>
          <t>Positivo</t>
        </is>
      </c>
      <c r="F1751" s="105" t="n">
        <v>45565</v>
      </c>
      <c r="G1751" t="inlineStr">
        <is>
          <t>418-2024-09-30</t>
        </is>
      </c>
      <c r="H1751" t="inlineStr">
        <is>
          <t>Secretaria académica y de extensión</t>
        </is>
      </c>
      <c r="I1751" t="n">
        <v>100</v>
      </c>
      <c r="J1751" t="n">
        <v>108.2399978637695</v>
      </c>
      <c r="CL1751" t="n">
        <v>92</v>
      </c>
      <c r="CM1751" t="n">
        <v>85</v>
      </c>
    </row>
    <row r="1752">
      <c r="A1752" t="n">
        <v>418</v>
      </c>
      <c r="B1752" t="inlineStr">
        <is>
          <t>Cumplimiento Plan Anual Vicerrectoría Académica</t>
        </is>
      </c>
      <c r="C1752" t="inlineStr">
        <is>
          <t>Planeación Estratégica</t>
        </is>
      </c>
      <c r="D1752" t="inlineStr">
        <is>
          <t>Semestral</t>
        </is>
      </c>
      <c r="E1752" t="inlineStr">
        <is>
          <t>Positivo</t>
        </is>
      </c>
      <c r="F1752" s="105" t="n">
        <v>45565</v>
      </c>
      <c r="G1752" t="inlineStr">
        <is>
          <t>418-2024-09-30</t>
        </is>
      </c>
      <c r="H1752" t="inlineStr">
        <is>
          <t>Dirección de docencia</t>
        </is>
      </c>
      <c r="I1752" t="n">
        <v>100</v>
      </c>
      <c r="J1752" t="n">
        <v>103.1600036621094</v>
      </c>
      <c r="CL1752" t="n">
        <v>98</v>
      </c>
      <c r="CM1752" t="n">
        <v>95</v>
      </c>
    </row>
    <row r="1753">
      <c r="A1753" t="n">
        <v>418</v>
      </c>
      <c r="B1753" t="inlineStr">
        <is>
          <t>Cumplimiento Plan Anual Vicerrectoría Académica</t>
        </is>
      </c>
      <c r="C1753" t="inlineStr">
        <is>
          <t>Planeación Estratégica</t>
        </is>
      </c>
      <c r="D1753" t="inlineStr">
        <is>
          <t>Semestral</t>
        </is>
      </c>
      <c r="E1753" t="inlineStr">
        <is>
          <t>Positivo</t>
        </is>
      </c>
      <c r="F1753" s="105" t="n">
        <v>45565</v>
      </c>
      <c r="G1753" t="inlineStr">
        <is>
          <t>418-2024-09-30</t>
        </is>
      </c>
      <c r="H1753" t="inlineStr">
        <is>
          <t>Dirección de currículo presencial y virtual</t>
        </is>
      </c>
      <c r="I1753" t="n">
        <v>100</v>
      </c>
      <c r="J1753" t="n">
        <v>109.7600021362305</v>
      </c>
      <c r="CL1753" t="n">
        <v>90</v>
      </c>
      <c r="CM1753" t="n">
        <v>82</v>
      </c>
    </row>
    <row r="1754">
      <c r="A1754" t="n">
        <v>418</v>
      </c>
      <c r="B1754" t="inlineStr">
        <is>
          <t>Cumplimiento Plan Anual Vicerrectoría Académica</t>
        </is>
      </c>
      <c r="C1754" t="inlineStr">
        <is>
          <t>Planeación Estratégica</t>
        </is>
      </c>
      <c r="D1754" t="inlineStr">
        <is>
          <t>Semestral</t>
        </is>
      </c>
      <c r="E1754" t="inlineStr">
        <is>
          <t>Positivo</t>
        </is>
      </c>
      <c r="F1754" s="105" t="n">
        <v>45565</v>
      </c>
      <c r="G1754" t="inlineStr">
        <is>
          <t>418-2024-09-30</t>
        </is>
      </c>
      <c r="H1754" t="inlineStr">
        <is>
          <t>Facultad ingeniería diseño e innovación</t>
        </is>
      </c>
      <c r="I1754" t="n">
        <v>100</v>
      </c>
      <c r="J1754" t="n">
        <v>93.68000030517578</v>
      </c>
      <c r="CL1754" t="n">
        <v>89</v>
      </c>
      <c r="CM1754" t="n">
        <v>95</v>
      </c>
    </row>
    <row r="1755">
      <c r="A1755" t="n">
        <v>418</v>
      </c>
      <c r="B1755" t="inlineStr">
        <is>
          <t>Cumplimiento Plan Anual Vicerrectoría Académica</t>
        </is>
      </c>
      <c r="C1755" t="inlineStr">
        <is>
          <t>Planeación Estratégica</t>
        </is>
      </c>
      <c r="D1755" t="inlineStr">
        <is>
          <t>Semestral</t>
        </is>
      </c>
      <c r="E1755" t="inlineStr">
        <is>
          <t>Positivo</t>
        </is>
      </c>
      <c r="F1755" s="105" t="n">
        <v>45565</v>
      </c>
      <c r="G1755" t="inlineStr">
        <is>
          <t>418-2024-09-30</t>
        </is>
      </c>
      <c r="H1755" t="inlineStr">
        <is>
          <t>Facultad negocios gestión y sostenibilidad</t>
        </is>
      </c>
      <c r="I1755" t="n">
        <v>100</v>
      </c>
      <c r="J1755" t="n">
        <v>93.26000213623047</v>
      </c>
      <c r="CL1755" t="n">
        <v>83</v>
      </c>
      <c r="CM1755" t="n">
        <v>89</v>
      </c>
    </row>
    <row r="1756">
      <c r="A1756" t="n">
        <v>418</v>
      </c>
      <c r="B1756" t="inlineStr">
        <is>
          <t>Cumplimiento Plan Anual Vicerrectoría Académica</t>
        </is>
      </c>
      <c r="C1756" t="inlineStr">
        <is>
          <t>Planeación Estratégica</t>
        </is>
      </c>
      <c r="D1756" t="inlineStr">
        <is>
          <t>Semestral</t>
        </is>
      </c>
      <c r="E1756" t="inlineStr">
        <is>
          <t>Positivo</t>
        </is>
      </c>
      <c r="F1756" s="105" t="n">
        <v>45565</v>
      </c>
      <c r="G1756" t="inlineStr">
        <is>
          <t>418-2024-09-30</t>
        </is>
      </c>
      <c r="H1756" t="inlineStr">
        <is>
          <t>Facultad sociedad cultura y creatividad</t>
        </is>
      </c>
      <c r="I1756" t="n">
        <v>100</v>
      </c>
      <c r="J1756" t="n">
        <v>112.5</v>
      </c>
      <c r="CL1756" t="n">
        <v>90</v>
      </c>
      <c r="CM1756" t="n">
        <v>80</v>
      </c>
    </row>
    <row r="1757">
      <c r="A1757" t="n">
        <v>420</v>
      </c>
      <c r="B1757" t="inlineStr">
        <is>
          <t>Cumplimiento Plan Anual Gerencia de estrategia</t>
        </is>
      </c>
      <c r="C1757" t="inlineStr">
        <is>
          <t>Planeación Estratégica</t>
        </is>
      </c>
      <c r="D1757" t="inlineStr">
        <is>
          <t>Semestral</t>
        </is>
      </c>
      <c r="E1757" t="inlineStr">
        <is>
          <t>Positivo</t>
        </is>
      </c>
      <c r="F1757" s="105" t="n">
        <v>45565</v>
      </c>
      <c r="G1757" t="inlineStr">
        <is>
          <t>420-2024-09-30</t>
        </is>
      </c>
      <c r="H1757" t="inlineStr">
        <is>
          <t>SGC</t>
        </is>
      </c>
      <c r="I1757" t="n">
        <v>100</v>
      </c>
      <c r="J1757" t="n">
        <v>101.0400009155273</v>
      </c>
      <c r="CN1757" t="n">
        <v>97</v>
      </c>
      <c r="CO1757" t="n">
        <v>96</v>
      </c>
    </row>
    <row r="1758">
      <c r="A1758" t="n">
        <v>420</v>
      </c>
      <c r="B1758" t="inlineStr">
        <is>
          <t>Cumplimiento Plan Anual Gerencia de estrategia</t>
        </is>
      </c>
      <c r="C1758" t="inlineStr">
        <is>
          <t>Planeación Estratégica</t>
        </is>
      </c>
      <c r="D1758" t="inlineStr">
        <is>
          <t>Semestral</t>
        </is>
      </c>
      <c r="E1758" t="inlineStr">
        <is>
          <t>Positivo</t>
        </is>
      </c>
      <c r="F1758" s="105" t="n">
        <v>45565</v>
      </c>
      <c r="G1758" t="inlineStr">
        <is>
          <t>420-2024-09-30</t>
        </is>
      </c>
      <c r="H1758" t="inlineStr">
        <is>
          <t>SGA</t>
        </is>
      </c>
      <c r="I1758" t="n">
        <v>100</v>
      </c>
      <c r="J1758" t="n">
        <v>172.4100036621094</v>
      </c>
      <c r="CN1758" t="n">
        <v>50</v>
      </c>
      <c r="CO1758" t="n">
        <v>29</v>
      </c>
    </row>
    <row r="1759">
      <c r="A1759" t="n">
        <v>420</v>
      </c>
      <c r="B1759" t="inlineStr">
        <is>
          <t>Cumplimiento Plan Anual Gerencia de estrategia</t>
        </is>
      </c>
      <c r="C1759" t="inlineStr">
        <is>
          <t>Planeación Estratégica</t>
        </is>
      </c>
      <c r="D1759" t="inlineStr">
        <is>
          <t>Semestral</t>
        </is>
      </c>
      <c r="E1759" t="inlineStr">
        <is>
          <t>Positivo</t>
        </is>
      </c>
      <c r="F1759" s="105" t="n">
        <v>45565</v>
      </c>
      <c r="G1759" t="inlineStr">
        <is>
          <t>420-2024-09-30</t>
        </is>
      </c>
      <c r="H1759" t="inlineStr">
        <is>
          <t>Riesgos</t>
        </is>
      </c>
      <c r="I1759" t="n">
        <v>100</v>
      </c>
      <c r="J1759" t="n">
        <v>91.66999816894531</v>
      </c>
      <c r="CN1759" t="n">
        <v>88</v>
      </c>
      <c r="CO1759" t="n">
        <v>96</v>
      </c>
    </row>
    <row r="1760">
      <c r="A1760" t="n">
        <v>420</v>
      </c>
      <c r="B1760" t="inlineStr">
        <is>
          <t>Cumplimiento Plan Anual Gerencia de estrategia</t>
        </is>
      </c>
      <c r="C1760" t="inlineStr">
        <is>
          <t>Planeación Estratégica</t>
        </is>
      </c>
      <c r="D1760" t="inlineStr">
        <is>
          <t>Semestral</t>
        </is>
      </c>
      <c r="E1760" t="inlineStr">
        <is>
          <t>Positivo</t>
        </is>
      </c>
      <c r="F1760" s="105" t="n">
        <v>45565</v>
      </c>
      <c r="G1760" t="inlineStr">
        <is>
          <t>420-2024-09-30</t>
        </is>
      </c>
      <c r="H1760" t="inlineStr">
        <is>
          <t>Auditoría</t>
        </is>
      </c>
      <c r="I1760" t="n">
        <v>100</v>
      </c>
      <c r="J1760" t="n">
        <v>84.26999664306641</v>
      </c>
      <c r="CN1760" t="n">
        <v>75</v>
      </c>
      <c r="CO1760" t="n">
        <v>89</v>
      </c>
    </row>
    <row r="1761">
      <c r="A1761" t="n">
        <v>420</v>
      </c>
      <c r="B1761" t="inlineStr">
        <is>
          <t>Cumplimiento Plan Anual Gerencia de estrategia</t>
        </is>
      </c>
      <c r="C1761" t="inlineStr">
        <is>
          <t>Planeación Estratégica</t>
        </is>
      </c>
      <c r="D1761" t="inlineStr">
        <is>
          <t>Semestral</t>
        </is>
      </c>
      <c r="E1761" t="inlineStr">
        <is>
          <t>Positivo</t>
        </is>
      </c>
      <c r="F1761" s="105" t="n">
        <v>45565</v>
      </c>
      <c r="G1761" t="inlineStr">
        <is>
          <t>420-2024-09-30</t>
        </is>
      </c>
      <c r="H1761" t="inlineStr">
        <is>
          <t>Planeación estratégica</t>
        </is>
      </c>
      <c r="I1761" t="n">
        <v>100</v>
      </c>
      <c r="J1761" t="n">
        <v>109.8399963378906</v>
      </c>
      <c r="CN1761" t="n">
        <v>67</v>
      </c>
      <c r="CO1761" t="n">
        <v>61</v>
      </c>
    </row>
    <row r="1762">
      <c r="A1762" t="n">
        <v>420</v>
      </c>
      <c r="B1762" t="inlineStr">
        <is>
          <t>Cumplimiento Plan Anual Gerencia de estrategia</t>
        </is>
      </c>
      <c r="C1762" t="inlineStr">
        <is>
          <t>Planeación Estratégica</t>
        </is>
      </c>
      <c r="D1762" t="inlineStr">
        <is>
          <t>Semestral</t>
        </is>
      </c>
      <c r="E1762" t="inlineStr">
        <is>
          <t>Positivo</t>
        </is>
      </c>
      <c r="F1762" s="105" t="n">
        <v>45565</v>
      </c>
      <c r="G1762" t="inlineStr">
        <is>
          <t>420-2024-09-30</t>
        </is>
      </c>
      <c r="H1762" t="inlineStr">
        <is>
          <t>Estudios Internos</t>
        </is>
      </c>
      <c r="I1762" t="n">
        <v>100</v>
      </c>
      <c r="J1762" t="n">
        <v>105.2600021362305</v>
      </c>
      <c r="CN1762" t="n">
        <v>100</v>
      </c>
      <c r="CO1762" t="n">
        <v>95</v>
      </c>
    </row>
    <row r="1763">
      <c r="A1763" t="n">
        <v>469</v>
      </c>
      <c r="B1763" t="inlineStr">
        <is>
          <t>Cumplimiento Plan Anual Áreas sede Medellín</t>
        </is>
      </c>
      <c r="C1763" t="inlineStr">
        <is>
          <t>Planeación Estratégica</t>
        </is>
      </c>
      <c r="D1763" t="inlineStr">
        <is>
          <t>Semestral</t>
        </is>
      </c>
      <c r="E1763" t="inlineStr">
        <is>
          <t>Positivo</t>
        </is>
      </c>
      <c r="F1763" s="105" t="n">
        <v>45565</v>
      </c>
      <c r="G1763" t="inlineStr">
        <is>
          <t>469-2024-09-30</t>
        </is>
      </c>
      <c r="H1763" t="inlineStr">
        <is>
          <t>DIRECCIÓN DE MATRÍCULAS</t>
        </is>
      </c>
      <c r="I1763" t="n">
        <v>100</v>
      </c>
      <c r="J1763" t="n">
        <v>100</v>
      </c>
      <c r="DF1763" t="n">
        <v>99</v>
      </c>
      <c r="DG1763" t="n">
        <v>99</v>
      </c>
    </row>
    <row r="1764">
      <c r="A1764" t="n">
        <v>469</v>
      </c>
      <c r="B1764" t="inlineStr">
        <is>
          <t>Cumplimiento Plan Anual Áreas sede Medellín</t>
        </is>
      </c>
      <c r="C1764" t="inlineStr">
        <is>
          <t>Planeación Estratégica</t>
        </is>
      </c>
      <c r="D1764" t="inlineStr">
        <is>
          <t>Semestral</t>
        </is>
      </c>
      <c r="E1764" t="inlineStr">
        <is>
          <t>Positivo</t>
        </is>
      </c>
      <c r="F1764" s="105" t="n">
        <v>45565</v>
      </c>
      <c r="G1764" t="inlineStr">
        <is>
          <t>469-2024-09-30</t>
        </is>
      </c>
      <c r="H1764" t="inlineStr">
        <is>
          <t>FSCC- DERECHO Y GOBIERNO-DERECHO</t>
        </is>
      </c>
      <c r="I1764" t="n">
        <v>100</v>
      </c>
      <c r="J1764" t="n">
        <v>90</v>
      </c>
      <c r="DF1764" t="n">
        <v>90</v>
      </c>
      <c r="DG1764" t="n">
        <v>100</v>
      </c>
    </row>
    <row r="1765">
      <c r="A1765" t="n">
        <v>469</v>
      </c>
      <c r="B1765" t="inlineStr">
        <is>
          <t>Cumplimiento Plan Anual Áreas sede Medellín</t>
        </is>
      </c>
      <c r="C1765" t="inlineStr">
        <is>
          <t>Planeación Estratégica</t>
        </is>
      </c>
      <c r="D1765" t="inlineStr">
        <is>
          <t>Semestral</t>
        </is>
      </c>
      <c r="E1765" t="inlineStr">
        <is>
          <t>Positivo</t>
        </is>
      </c>
      <c r="F1765" s="105" t="n">
        <v>45565</v>
      </c>
      <c r="G1765" t="inlineStr">
        <is>
          <t>469-2024-09-30</t>
        </is>
      </c>
      <c r="H1765" t="inlineStr">
        <is>
          <t>FIDI-DISEÑO-DISEÑO GRAFICO</t>
        </is>
      </c>
      <c r="I1765" t="n">
        <v>100</v>
      </c>
      <c r="J1765" t="n">
        <v>101.3000030517578</v>
      </c>
      <c r="DF1765" t="n">
        <v>78</v>
      </c>
      <c r="DG1765" t="n">
        <v>77</v>
      </c>
    </row>
    <row r="1766">
      <c r="A1766" t="n">
        <v>469</v>
      </c>
      <c r="B1766" t="inlineStr">
        <is>
          <t>Cumplimiento Plan Anual Áreas sede Medellín</t>
        </is>
      </c>
      <c r="C1766" t="inlineStr">
        <is>
          <t>Planeación Estratégica</t>
        </is>
      </c>
      <c r="D1766" t="inlineStr">
        <is>
          <t>Semestral</t>
        </is>
      </c>
      <c r="E1766" t="inlineStr">
        <is>
          <t>Positivo</t>
        </is>
      </c>
      <c r="F1766" s="105" t="n">
        <v>45565</v>
      </c>
      <c r="G1766" t="inlineStr">
        <is>
          <t>469-2024-09-30</t>
        </is>
      </c>
      <c r="H1766" t="inlineStr">
        <is>
          <t>FIDI-TIC -INGENIERIA DE SISTEMAS</t>
        </is>
      </c>
      <c r="I1766" t="n">
        <v>100</v>
      </c>
      <c r="J1766" t="n">
        <v>105.2600021362305</v>
      </c>
      <c r="DF1766" t="n">
        <v>80</v>
      </c>
      <c r="DG1766" t="n">
        <v>76</v>
      </c>
    </row>
    <row r="1767">
      <c r="A1767" t="n">
        <v>469</v>
      </c>
      <c r="B1767" t="inlineStr">
        <is>
          <t>Cumplimiento Plan Anual Áreas sede Medellín</t>
        </is>
      </c>
      <c r="C1767" t="inlineStr">
        <is>
          <t>Planeación Estratégica</t>
        </is>
      </c>
      <c r="D1767" t="inlineStr">
        <is>
          <t>Semestral</t>
        </is>
      </c>
      <c r="E1767" t="inlineStr">
        <is>
          <t>Positivo</t>
        </is>
      </c>
      <c r="F1767" s="105" t="n">
        <v>45565</v>
      </c>
      <c r="G1767" t="inlineStr">
        <is>
          <t>469-2024-09-30</t>
        </is>
      </c>
      <c r="H1767" t="inlineStr">
        <is>
          <t>FIDI-OPINA-INGENIERIA INDUSTRIAL</t>
        </is>
      </c>
      <c r="I1767" t="n">
        <v>100</v>
      </c>
      <c r="J1767" t="n">
        <v>103.8499984741211</v>
      </c>
      <c r="DF1767" t="n">
        <v>81</v>
      </c>
      <c r="DG1767" t="n">
        <v>78</v>
      </c>
    </row>
    <row r="1768">
      <c r="A1768" t="n">
        <v>469</v>
      </c>
      <c r="B1768" t="inlineStr">
        <is>
          <t>Cumplimiento Plan Anual Áreas sede Medellín</t>
        </is>
      </c>
      <c r="C1768" t="inlineStr">
        <is>
          <t>Planeación Estratégica</t>
        </is>
      </c>
      <c r="D1768" t="inlineStr">
        <is>
          <t>Semestral</t>
        </is>
      </c>
      <c r="E1768" t="inlineStr">
        <is>
          <t>Positivo</t>
        </is>
      </c>
      <c r="F1768" s="105" t="n">
        <v>45565</v>
      </c>
      <c r="G1768" t="inlineStr">
        <is>
          <t>469-2024-09-30</t>
        </is>
      </c>
      <c r="H1768" t="inlineStr">
        <is>
          <t>FNGS-NEG Y DLLO INTER-NEGOCIOS INTERNACIONALES</t>
        </is>
      </c>
      <c r="I1768" t="n">
        <v>100</v>
      </c>
      <c r="J1768" t="n">
        <v>95.44999694824219</v>
      </c>
      <c r="DF1768" t="n">
        <v>84</v>
      </c>
      <c r="DG1768" t="n">
        <v>88</v>
      </c>
    </row>
    <row r="1769">
      <c r="A1769" t="n">
        <v>469</v>
      </c>
      <c r="B1769" t="inlineStr">
        <is>
          <t>Cumplimiento Plan Anual Áreas sede Medellín</t>
        </is>
      </c>
      <c r="C1769" t="inlineStr">
        <is>
          <t>Planeación Estratégica</t>
        </is>
      </c>
      <c r="D1769" t="inlineStr">
        <is>
          <t>Semestral</t>
        </is>
      </c>
      <c r="E1769" t="inlineStr">
        <is>
          <t>Positivo</t>
        </is>
      </c>
      <c r="F1769" s="105" t="n">
        <v>45565</v>
      </c>
      <c r="G1769" t="inlineStr">
        <is>
          <t>469-2024-09-30</t>
        </is>
      </c>
      <c r="H1769" t="inlineStr">
        <is>
          <t>FSCC- EST.PSIC,TH Y SOC- PSICOLOGIA</t>
        </is>
      </c>
      <c r="I1769" t="n">
        <v>100</v>
      </c>
      <c r="J1769" t="n">
        <v>94.37999725341797</v>
      </c>
      <c r="DF1769" t="n">
        <v>84</v>
      </c>
      <c r="DG1769" t="n">
        <v>89</v>
      </c>
    </row>
    <row r="1770">
      <c r="A1770" t="n">
        <v>469</v>
      </c>
      <c r="B1770" t="inlineStr">
        <is>
          <t>Cumplimiento Plan Anual Áreas sede Medellín</t>
        </is>
      </c>
      <c r="C1770" t="inlineStr">
        <is>
          <t>Planeación Estratégica</t>
        </is>
      </c>
      <c r="D1770" t="inlineStr">
        <is>
          <t>Semestral</t>
        </is>
      </c>
      <c r="E1770" t="inlineStr">
        <is>
          <t>Positivo</t>
        </is>
      </c>
      <c r="F1770" s="105" t="n">
        <v>45565</v>
      </c>
      <c r="G1770" t="inlineStr">
        <is>
          <t>469-2024-09-30</t>
        </is>
      </c>
      <c r="H1770" t="inlineStr">
        <is>
          <t>FIDI-CIENCIAS BÁSICAS MED</t>
        </is>
      </c>
      <c r="I1770" t="n">
        <v>100</v>
      </c>
      <c r="J1770" t="n">
        <v>90</v>
      </c>
      <c r="DF1770" t="n">
        <v>72</v>
      </c>
      <c r="DG1770" t="n">
        <v>80</v>
      </c>
    </row>
    <row r="1771">
      <c r="A1771" t="n">
        <v>469</v>
      </c>
      <c r="B1771" t="inlineStr">
        <is>
          <t>Cumplimiento Plan Anual Áreas sede Medellín</t>
        </is>
      </c>
      <c r="C1771" t="inlineStr">
        <is>
          <t>Planeación Estratégica</t>
        </is>
      </c>
      <c r="D1771" t="inlineStr">
        <is>
          <t>Semestral</t>
        </is>
      </c>
      <c r="E1771" t="inlineStr">
        <is>
          <t>Positivo</t>
        </is>
      </c>
      <c r="F1771" s="105" t="n">
        <v>45565</v>
      </c>
      <c r="G1771" t="inlineStr">
        <is>
          <t>469-2024-09-30</t>
        </is>
      </c>
      <c r="H1771" t="inlineStr">
        <is>
          <t>ADMON DE EMPRESAS</t>
        </is>
      </c>
      <c r="I1771" t="n">
        <v>100</v>
      </c>
      <c r="J1771" t="n">
        <v>76.66999816894531</v>
      </c>
      <c r="DF1771" t="n">
        <v>69</v>
      </c>
      <c r="DG1771" t="n">
        <v>90</v>
      </c>
    </row>
    <row r="1772">
      <c r="A1772" t="n">
        <v>469</v>
      </c>
      <c r="B1772" t="inlineStr">
        <is>
          <t>Cumplimiento Plan Anual Áreas sede Medellín</t>
        </is>
      </c>
      <c r="C1772" t="inlineStr">
        <is>
          <t>Planeación Estratégica</t>
        </is>
      </c>
      <c r="D1772" t="inlineStr">
        <is>
          <t>Semestral</t>
        </is>
      </c>
      <c r="E1772" t="inlineStr">
        <is>
          <t>Positivo</t>
        </is>
      </c>
      <c r="F1772" s="105" t="n">
        <v>45565</v>
      </c>
      <c r="G1772" t="inlineStr">
        <is>
          <t>469-2024-09-30</t>
        </is>
      </c>
      <c r="H1772" t="inlineStr">
        <is>
          <t>FSCC - MARKETING MED</t>
        </is>
      </c>
      <c r="I1772" t="n">
        <v>100</v>
      </c>
      <c r="J1772" t="n">
        <v>94.94000244140625</v>
      </c>
      <c r="DF1772" t="n">
        <v>75</v>
      </c>
      <c r="DG1772" t="n">
        <v>79</v>
      </c>
    </row>
    <row r="1773">
      <c r="A1773" t="n">
        <v>470</v>
      </c>
      <c r="B1773" t="inlineStr">
        <is>
          <t>Cumplimiento plan anual Secretaria académica y de extensión</t>
        </is>
      </c>
      <c r="C1773" t="inlineStr">
        <is>
          <t>Planeación Estratégica</t>
        </is>
      </c>
      <c r="D1773" t="inlineStr">
        <is>
          <t>Semestral</t>
        </is>
      </c>
      <c r="E1773" t="inlineStr">
        <is>
          <t>Positivo</t>
        </is>
      </c>
      <c r="F1773" s="105" t="n">
        <v>45565</v>
      </c>
      <c r="G1773" t="inlineStr">
        <is>
          <t>470-2024-09-30</t>
        </is>
      </c>
      <c r="H1773" t="inlineStr">
        <is>
          <t>DIRECTOR SISTEMA NACIONAL DE BIBLIOTECAS</t>
        </is>
      </c>
      <c r="I1773" t="n">
        <v>100</v>
      </c>
      <c r="J1773" t="n">
        <v>108.1399993896484</v>
      </c>
      <c r="DH1773" t="n">
        <v>93</v>
      </c>
      <c r="DI1773" t="n">
        <v>86</v>
      </c>
    </row>
    <row r="1774">
      <c r="A1774" t="n">
        <v>470</v>
      </c>
      <c r="B1774" t="inlineStr">
        <is>
          <t>Cumplimiento plan anual Secretaria académica y de extensión</t>
        </is>
      </c>
      <c r="C1774" t="inlineStr">
        <is>
          <t>Planeación Estratégica</t>
        </is>
      </c>
      <c r="D1774" t="inlineStr">
        <is>
          <t>Semestral</t>
        </is>
      </c>
      <c r="E1774" t="inlineStr">
        <is>
          <t>Positivo</t>
        </is>
      </c>
      <c r="F1774" s="105" t="n">
        <v>45565</v>
      </c>
      <c r="G1774" t="inlineStr">
        <is>
          <t>470-2024-09-30</t>
        </is>
      </c>
      <c r="H1774" t="inlineStr">
        <is>
          <t>DIRECTOR EDITORIAL</t>
        </is>
      </c>
      <c r="I1774" t="n">
        <v>100</v>
      </c>
      <c r="J1774" t="n">
        <v>105.5599975585938</v>
      </c>
      <c r="DH1774" t="n">
        <v>95</v>
      </c>
      <c r="DI1774" t="n">
        <v>90</v>
      </c>
    </row>
    <row r="1775">
      <c r="A1775" t="n">
        <v>470</v>
      </c>
      <c r="B1775" t="inlineStr">
        <is>
          <t>Cumplimiento plan anual Secretaria académica y de extensión</t>
        </is>
      </c>
      <c r="C1775" t="inlineStr">
        <is>
          <t>Planeación Estratégica</t>
        </is>
      </c>
      <c r="D1775" t="inlineStr">
        <is>
          <t>Semestral</t>
        </is>
      </c>
      <c r="E1775" t="inlineStr">
        <is>
          <t>Positivo</t>
        </is>
      </c>
      <c r="F1775" s="105" t="n">
        <v>45565</v>
      </c>
      <c r="G1775" t="inlineStr">
        <is>
          <t>470-2024-09-30</t>
        </is>
      </c>
      <c r="H1775" t="inlineStr">
        <is>
          <t>DIRECTOR CENTRO MEDIOS AUDIOVISUALES</t>
        </is>
      </c>
      <c r="I1775" t="n">
        <v>100</v>
      </c>
      <c r="J1775" t="n">
        <v>104.3000030517578</v>
      </c>
      <c r="DH1775" t="n">
        <v>97</v>
      </c>
      <c r="DI1775" t="n">
        <v>93</v>
      </c>
    </row>
    <row r="1776">
      <c r="A1776" t="n">
        <v>470</v>
      </c>
      <c r="B1776" t="inlineStr">
        <is>
          <t>Cumplimiento plan anual Secretaria académica y de extensión</t>
        </is>
      </c>
      <c r="C1776" t="inlineStr">
        <is>
          <t>Planeación Estratégica</t>
        </is>
      </c>
      <c r="D1776" t="inlineStr">
        <is>
          <t>Semestral</t>
        </is>
      </c>
      <c r="E1776" t="inlineStr">
        <is>
          <t>Positivo</t>
        </is>
      </c>
      <c r="F1776" s="105" t="n">
        <v>45565</v>
      </c>
      <c r="G1776" t="inlineStr">
        <is>
          <t>470-2024-09-30</t>
        </is>
      </c>
      <c r="H1776" t="inlineStr">
        <is>
          <t>DIRECTOR AGENCIA TROMPO</t>
        </is>
      </c>
      <c r="I1776" t="n">
        <v>100</v>
      </c>
      <c r="J1776" t="n">
        <v>103.3300018310547</v>
      </c>
      <c r="DH1776" t="n">
        <v>93</v>
      </c>
      <c r="DI1776" t="n">
        <v>90</v>
      </c>
    </row>
    <row r="1777">
      <c r="A1777" t="n">
        <v>470</v>
      </c>
      <c r="B1777" t="inlineStr">
        <is>
          <t>Cumplimiento plan anual Secretaria académica y de extensión</t>
        </is>
      </c>
      <c r="C1777" t="inlineStr">
        <is>
          <t>Planeación Estratégica</t>
        </is>
      </c>
      <c r="D1777" t="inlineStr">
        <is>
          <t>Semestral</t>
        </is>
      </c>
      <c r="E1777" t="inlineStr">
        <is>
          <t>Positivo</t>
        </is>
      </c>
      <c r="F1777" s="105" t="n">
        <v>45565</v>
      </c>
      <c r="G1777" t="inlineStr">
        <is>
          <t>470-2024-09-30</t>
        </is>
      </c>
      <c r="H1777" t="inlineStr">
        <is>
          <t>DIRECTOR DE GRADUADOS Y PROYECCION EMP.</t>
        </is>
      </c>
      <c r="I1777" t="n">
        <v>100</v>
      </c>
      <c r="J1777" t="n">
        <v>102.7399978637695</v>
      </c>
      <c r="DH1777" t="n">
        <v>75</v>
      </c>
      <c r="DI1777" t="n">
        <v>73</v>
      </c>
    </row>
    <row r="1778">
      <c r="A1778" t="n">
        <v>471</v>
      </c>
      <c r="B1778" t="inlineStr">
        <is>
          <t>Cumplimiento plan anual Gerencia de Talento Humano</t>
        </is>
      </c>
      <c r="C1778" t="inlineStr">
        <is>
          <t>Planeación Estratégica</t>
        </is>
      </c>
      <c r="D1778" t="inlineStr">
        <is>
          <t>Semestral</t>
        </is>
      </c>
      <c r="E1778" t="inlineStr">
        <is>
          <t>Positivo</t>
        </is>
      </c>
      <c r="F1778" s="105" t="n">
        <v>45565</v>
      </c>
      <c r="G1778" t="inlineStr">
        <is>
          <t>471-2024-09-30</t>
        </is>
      </c>
      <c r="H1778" t="inlineStr">
        <is>
          <t>DIRECTOR DE BIENESTAR Y RELAC. LABORALES</t>
        </is>
      </c>
      <c r="I1778" t="n">
        <v>100</v>
      </c>
      <c r="J1778" t="n">
        <v>98.88999938964844</v>
      </c>
      <c r="DJ1778" t="n">
        <v>89</v>
      </c>
      <c r="DK1778" t="n">
        <v>90</v>
      </c>
    </row>
    <row r="1779">
      <c r="A1779" t="n">
        <v>471</v>
      </c>
      <c r="B1779" t="inlineStr">
        <is>
          <t>Cumplimiento plan anual Gerencia de Talento Humano</t>
        </is>
      </c>
      <c r="C1779" t="inlineStr">
        <is>
          <t>Planeación Estratégica</t>
        </is>
      </c>
      <c r="D1779" t="inlineStr">
        <is>
          <t>Semestral</t>
        </is>
      </c>
      <c r="E1779" t="inlineStr">
        <is>
          <t>Positivo</t>
        </is>
      </c>
      <c r="F1779" s="105" t="n">
        <v>45565</v>
      </c>
      <c r="G1779" t="inlineStr">
        <is>
          <t>471-2024-09-30</t>
        </is>
      </c>
      <c r="H1779" t="inlineStr">
        <is>
          <t>DIRECTOR DE FORMACION Y DESARROLLO</t>
        </is>
      </c>
      <c r="I1779" t="n">
        <v>100</v>
      </c>
      <c r="J1779" t="n">
        <v>71.43000030517578</v>
      </c>
      <c r="DJ1779" t="n">
        <v>60</v>
      </c>
      <c r="DK1779" t="n">
        <v>84</v>
      </c>
    </row>
    <row r="1780">
      <c r="A1780" t="n">
        <v>471</v>
      </c>
      <c r="B1780" t="inlineStr">
        <is>
          <t>Cumplimiento plan anual Gerencia de Talento Humano</t>
        </is>
      </c>
      <c r="C1780" t="inlineStr">
        <is>
          <t>Planeación Estratégica</t>
        </is>
      </c>
      <c r="D1780" t="inlineStr">
        <is>
          <t>Semestral</t>
        </is>
      </c>
      <c r="E1780" t="inlineStr">
        <is>
          <t>Positivo</t>
        </is>
      </c>
      <c r="F1780" s="105" t="n">
        <v>45565</v>
      </c>
      <c r="G1780" t="inlineStr">
        <is>
          <t>471-2024-09-30</t>
        </is>
      </c>
      <c r="H1780" t="inlineStr">
        <is>
          <t>DIRECTOR DE RELACIONES PUBLICAS Y PROTOC</t>
        </is>
      </c>
      <c r="I1780" t="n">
        <v>100</v>
      </c>
      <c r="J1780" t="n">
        <v>104.6500015258789</v>
      </c>
      <c r="DJ1780" t="n">
        <v>90</v>
      </c>
      <c r="DK1780" t="n">
        <v>86</v>
      </c>
    </row>
    <row r="1781">
      <c r="A1781" t="n">
        <v>471</v>
      </c>
      <c r="B1781" t="inlineStr">
        <is>
          <t>Cumplimiento plan anual Gerencia de Talento Humano</t>
        </is>
      </c>
      <c r="C1781" t="inlineStr">
        <is>
          <t>Planeación Estratégica</t>
        </is>
      </c>
      <c r="D1781" t="inlineStr">
        <is>
          <t>Semestral</t>
        </is>
      </c>
      <c r="E1781" t="inlineStr">
        <is>
          <t>Positivo</t>
        </is>
      </c>
      <c r="F1781" s="105" t="n">
        <v>45565</v>
      </c>
      <c r="G1781" t="inlineStr">
        <is>
          <t>471-2024-09-30</t>
        </is>
      </c>
      <c r="H1781" t="inlineStr">
        <is>
          <t>DIRECTOR DE ADMON LABORAL Y COMPENSACION</t>
        </is>
      </c>
      <c r="I1781" t="n">
        <v>100</v>
      </c>
      <c r="J1781" t="n">
        <v>96.38999938964844</v>
      </c>
      <c r="DJ1781" t="n">
        <v>80</v>
      </c>
      <c r="DK1781" t="n">
        <v>83</v>
      </c>
    </row>
    <row r="1782">
      <c r="A1782" t="n">
        <v>471</v>
      </c>
      <c r="B1782" t="inlineStr">
        <is>
          <t>Cumplimiento plan anual Gerencia de Talento Humano</t>
        </is>
      </c>
      <c r="C1782" t="inlineStr">
        <is>
          <t>Planeación Estratégica</t>
        </is>
      </c>
      <c r="D1782" t="inlineStr">
        <is>
          <t>Semestral</t>
        </is>
      </c>
      <c r="E1782" t="inlineStr">
        <is>
          <t>Positivo</t>
        </is>
      </c>
      <c r="F1782" s="105" t="n">
        <v>45565</v>
      </c>
      <c r="G1782" t="inlineStr">
        <is>
          <t>471-2024-09-30</t>
        </is>
      </c>
      <c r="H1782" t="inlineStr">
        <is>
          <t>DIRECTOR DE GESTION DE TALENTO</t>
        </is>
      </c>
      <c r="I1782" t="n">
        <v>100</v>
      </c>
      <c r="J1782" t="n">
        <v>87.65000152587891</v>
      </c>
      <c r="DJ1782" t="n">
        <v>71</v>
      </c>
      <c r="DK1782" t="n">
        <v>81</v>
      </c>
    </row>
    <row r="1783">
      <c r="A1783" t="n">
        <v>471</v>
      </c>
      <c r="B1783" t="inlineStr">
        <is>
          <t>Cumplimiento plan anual Gerencia de Talento Humano</t>
        </is>
      </c>
      <c r="C1783" t="inlineStr">
        <is>
          <t>Planeación Estratégica</t>
        </is>
      </c>
      <c r="D1783" t="inlineStr">
        <is>
          <t>Semestral</t>
        </is>
      </c>
      <c r="E1783" t="inlineStr">
        <is>
          <t>Positivo</t>
        </is>
      </c>
      <c r="F1783" s="105" t="n">
        <v>45565</v>
      </c>
      <c r="G1783" t="inlineStr">
        <is>
          <t>471-2024-09-30</t>
        </is>
      </c>
      <c r="H1783" t="inlineStr">
        <is>
          <t>DIRECTOR DE COMUNICACIONES</t>
        </is>
      </c>
      <c r="I1783" t="n">
        <v>100</v>
      </c>
      <c r="J1783" t="n">
        <v>67.02999877929688</v>
      </c>
      <c r="DJ1783" t="n">
        <v>61</v>
      </c>
      <c r="DK1783" t="n">
        <v>91</v>
      </c>
    </row>
    <row r="1784">
      <c r="A1784" t="n">
        <v>471</v>
      </c>
      <c r="B1784" t="inlineStr">
        <is>
          <t>Cumplimiento plan anual Gerencia de Talento Humano</t>
        </is>
      </c>
      <c r="C1784" t="inlineStr">
        <is>
          <t>Planeación Estratégica</t>
        </is>
      </c>
      <c r="D1784" t="inlineStr">
        <is>
          <t>Semestral</t>
        </is>
      </c>
      <c r="E1784" t="inlineStr">
        <is>
          <t>Positivo</t>
        </is>
      </c>
      <c r="F1784" s="105" t="n">
        <v>45565</v>
      </c>
      <c r="G1784" t="inlineStr">
        <is>
          <t>471-2024-09-30</t>
        </is>
      </c>
      <c r="H1784" t="inlineStr">
        <is>
          <t>DIRECTOR DE COMUN. EXTERNAS SED MEDELLIN</t>
        </is>
      </c>
      <c r="I1784" t="n">
        <v>100</v>
      </c>
      <c r="J1784" t="n">
        <v>111.1100006103516</v>
      </c>
      <c r="DJ1784" t="n">
        <v>100</v>
      </c>
      <c r="DK1784" t="n">
        <v>90</v>
      </c>
    </row>
    <row r="1785">
      <c r="A1785" t="n">
        <v>208</v>
      </c>
      <c r="B1785" t="inlineStr">
        <is>
          <t>Consumo de Agua m3 Mensual</t>
        </is>
      </c>
      <c r="C1785" t="inlineStr">
        <is>
          <t>GESTIÓN AMBIENTAL</t>
        </is>
      </c>
      <c r="D1785" t="inlineStr">
        <is>
          <t>Mensual</t>
        </is>
      </c>
      <c r="E1785" t="inlineStr">
        <is>
          <t>Negativo</t>
        </is>
      </c>
      <c r="F1785" s="105" t="n">
        <v>45596</v>
      </c>
      <c r="G1785" t="inlineStr">
        <is>
          <t>208-2024-10-31</t>
        </is>
      </c>
      <c r="H1785" t="inlineStr">
        <is>
          <t>Campus Bogotá</t>
        </is>
      </c>
      <c r="I1785" t="n">
        <v>950</v>
      </c>
      <c r="J1785" t="n">
        <v>704</v>
      </c>
      <c r="K1785" t="n">
        <v>704</v>
      </c>
    </row>
    <row r="1786">
      <c r="A1786" t="n">
        <v>208</v>
      </c>
      <c r="B1786" t="inlineStr">
        <is>
          <t>Consumo de Agua m3 Mensual</t>
        </is>
      </c>
      <c r="C1786" t="inlineStr">
        <is>
          <t>GESTIÓN AMBIENTAL</t>
        </is>
      </c>
      <c r="D1786" t="inlineStr">
        <is>
          <t>Mensual</t>
        </is>
      </c>
      <c r="E1786" t="inlineStr">
        <is>
          <t>Negativo</t>
        </is>
      </c>
      <c r="F1786" s="105" t="n">
        <v>45596</v>
      </c>
      <c r="G1786" t="inlineStr">
        <is>
          <t>208-2024-10-31</t>
        </is>
      </c>
      <c r="H1786" t="inlineStr">
        <is>
          <t>Sede Posgrado-Calle 85</t>
        </is>
      </c>
      <c r="I1786" t="n">
        <v>25</v>
      </c>
      <c r="J1786" t="n">
        <v>16.5</v>
      </c>
      <c r="K1786" t="n">
        <v>16.5</v>
      </c>
    </row>
    <row r="1787">
      <c r="A1787" t="n">
        <v>208</v>
      </c>
      <c r="B1787" t="inlineStr">
        <is>
          <t>Consumo de Agua m3 Mensual</t>
        </is>
      </c>
      <c r="C1787" t="inlineStr">
        <is>
          <t>GESTIÓN AMBIENTAL</t>
        </is>
      </c>
      <c r="D1787" t="inlineStr">
        <is>
          <t>Mensual</t>
        </is>
      </c>
      <c r="E1787" t="inlineStr">
        <is>
          <t>Negativo</t>
        </is>
      </c>
      <c r="F1787" s="105" t="n">
        <v>45596</v>
      </c>
      <c r="G1787" t="inlineStr">
        <is>
          <t>208-2024-10-31</t>
        </is>
      </c>
      <c r="H1787" t="inlineStr">
        <is>
          <t>Campus-Medellín</t>
        </is>
      </c>
      <c r="I1787" t="n">
        <v>200</v>
      </c>
      <c r="J1787" t="n">
        <v>217</v>
      </c>
      <c r="K1787" t="n">
        <v>217</v>
      </c>
    </row>
    <row r="1788">
      <c r="A1788" t="n">
        <v>208</v>
      </c>
      <c r="B1788" t="inlineStr">
        <is>
          <t>Consumo de Agua m3 Mensual</t>
        </is>
      </c>
      <c r="C1788" t="inlineStr">
        <is>
          <t>GESTIÓN AMBIENTAL</t>
        </is>
      </c>
      <c r="D1788" t="inlineStr">
        <is>
          <t>Mensual</t>
        </is>
      </c>
      <c r="E1788" t="inlineStr">
        <is>
          <t>Negativo</t>
        </is>
      </c>
      <c r="F1788" s="105" t="n">
        <v>45596</v>
      </c>
      <c r="G1788" t="inlineStr">
        <is>
          <t>208-2024-10-31</t>
        </is>
      </c>
      <c r="H1788" t="inlineStr">
        <is>
          <t>Sede Bienestar - Medellín</t>
        </is>
      </c>
      <c r="I1788" t="n">
        <v>0</v>
      </c>
      <c r="J1788" t="n">
        <v>0</v>
      </c>
      <c r="K1788" t="n">
        <v>0</v>
      </c>
    </row>
    <row r="1789">
      <c r="A1789" t="n">
        <v>208</v>
      </c>
      <c r="B1789" t="inlineStr">
        <is>
          <t>Consumo de Agua m3 Mensual</t>
        </is>
      </c>
      <c r="C1789" t="inlineStr">
        <is>
          <t>GESTIÓN AMBIENTAL</t>
        </is>
      </c>
      <c r="D1789" t="inlineStr">
        <is>
          <t>Mensual</t>
        </is>
      </c>
      <c r="E1789" t="inlineStr">
        <is>
          <t>Negativo</t>
        </is>
      </c>
      <c r="F1789" s="105" t="n">
        <v>45596</v>
      </c>
      <c r="G1789" t="inlineStr">
        <is>
          <t>208-2024-10-31</t>
        </is>
      </c>
      <c r="H1789" t="inlineStr">
        <is>
          <t>Consultorio Psicología - Medellin</t>
        </is>
      </c>
      <c r="I1789" t="n">
        <v>25</v>
      </c>
      <c r="J1789" t="n">
        <v>10</v>
      </c>
      <c r="K1789" t="n">
        <v>10</v>
      </c>
    </row>
    <row r="1790">
      <c r="A1790" t="n">
        <v>208</v>
      </c>
      <c r="B1790" t="inlineStr">
        <is>
          <t>Consumo de Agua m3 Mensual</t>
        </is>
      </c>
      <c r="C1790" t="inlineStr">
        <is>
          <t>GESTIÓN AMBIENTAL</t>
        </is>
      </c>
      <c r="D1790" t="inlineStr">
        <is>
          <t>Mensual</t>
        </is>
      </c>
      <c r="E1790" t="inlineStr">
        <is>
          <t>Negativo</t>
        </is>
      </c>
      <c r="F1790" s="105" t="n">
        <v>45596</v>
      </c>
      <c r="G1790" t="inlineStr">
        <is>
          <t>208-2024-10-31</t>
        </is>
      </c>
      <c r="H1790" t="inlineStr">
        <is>
          <t>City Campus</t>
        </is>
      </c>
      <c r="I1790" t="n">
        <v>350</v>
      </c>
      <c r="J1790" t="n">
        <v>397.5</v>
      </c>
      <c r="K1790" t="n">
        <v>397.5</v>
      </c>
    </row>
    <row r="1791">
      <c r="A1791" t="n">
        <v>214</v>
      </c>
      <c r="B1791" t="inlineStr">
        <is>
          <t>Generación de Residuos Sólidos Mensual</t>
        </is>
      </c>
      <c r="C1791" t="inlineStr">
        <is>
          <t>GESTIÓN AMBIENTAL</t>
        </is>
      </c>
      <c r="D1791" t="inlineStr">
        <is>
          <t>Mensual</t>
        </is>
      </c>
      <c r="E1791" t="inlineStr">
        <is>
          <t>Negativo</t>
        </is>
      </c>
      <c r="F1791" s="105" t="n">
        <v>45596</v>
      </c>
      <c r="G1791" t="inlineStr">
        <is>
          <t>214-2024-10-31</t>
        </is>
      </c>
      <c r="H1791" t="inlineStr">
        <is>
          <t>Campus Bogotá</t>
        </is>
      </c>
      <c r="I1791" t="n">
        <v>5500</v>
      </c>
      <c r="J1791" t="n">
        <v>4230</v>
      </c>
      <c r="L1791" t="n">
        <v>1906</v>
      </c>
      <c r="M1791" t="n">
        <v>2324</v>
      </c>
    </row>
    <row r="1792">
      <c r="A1792" t="n">
        <v>214</v>
      </c>
      <c r="B1792" t="inlineStr">
        <is>
          <t>Generación de Residuos Sólidos Mensual</t>
        </is>
      </c>
      <c r="C1792" t="inlineStr">
        <is>
          <t>GESTIÓN AMBIENTAL</t>
        </is>
      </c>
      <c r="D1792" t="inlineStr">
        <is>
          <t>Mensual</t>
        </is>
      </c>
      <c r="E1792" t="inlineStr">
        <is>
          <t>Negativo</t>
        </is>
      </c>
      <c r="F1792" s="105" t="n">
        <v>45596</v>
      </c>
      <c r="G1792" t="inlineStr">
        <is>
          <t>214-2024-10-31</t>
        </is>
      </c>
      <c r="H1792" t="inlineStr">
        <is>
          <t>City Campus</t>
        </is>
      </c>
      <c r="I1792" t="n">
        <v>1000</v>
      </c>
      <c r="J1792" t="n">
        <v>1160.160034179688</v>
      </c>
      <c r="L1792" t="n">
        <v>157.14</v>
      </c>
      <c r="M1792" t="n">
        <v>1003.02</v>
      </c>
    </row>
    <row r="1793">
      <c r="A1793" t="n">
        <v>214</v>
      </c>
      <c r="B1793" t="inlineStr">
        <is>
          <t>Generación de Residuos Sólidos Mensual</t>
        </is>
      </c>
      <c r="C1793" t="inlineStr">
        <is>
          <t>GESTIÓN AMBIENTAL</t>
        </is>
      </c>
      <c r="D1793" t="inlineStr">
        <is>
          <t>Mensual</t>
        </is>
      </c>
      <c r="E1793" t="inlineStr">
        <is>
          <t>Negativo</t>
        </is>
      </c>
      <c r="F1793" s="105" t="n">
        <v>45596</v>
      </c>
      <c r="G1793" t="inlineStr">
        <is>
          <t>214-2024-10-31</t>
        </is>
      </c>
      <c r="H1793" t="inlineStr">
        <is>
          <t>Sede Posgrado-Calle 85</t>
        </is>
      </c>
      <c r="I1793" t="n">
        <v>7500</v>
      </c>
      <c r="J1793" t="n">
        <v>0</v>
      </c>
      <c r="L1793" t="n">
        <v>0</v>
      </c>
      <c r="M1793" t="n">
        <v>0</v>
      </c>
    </row>
    <row r="1794">
      <c r="A1794" t="n">
        <v>214</v>
      </c>
      <c r="B1794" t="inlineStr">
        <is>
          <t>Generación de Residuos Sólidos Mensual</t>
        </is>
      </c>
      <c r="C1794" t="inlineStr">
        <is>
          <t>GESTIÓN AMBIENTAL</t>
        </is>
      </c>
      <c r="D1794" t="inlineStr">
        <is>
          <t>Mensual</t>
        </is>
      </c>
      <c r="E1794" t="inlineStr">
        <is>
          <t>Negativo</t>
        </is>
      </c>
      <c r="F1794" s="105" t="n">
        <v>45596</v>
      </c>
      <c r="G1794" t="inlineStr">
        <is>
          <t>214-2024-10-31</t>
        </is>
      </c>
      <c r="H1794" t="inlineStr">
        <is>
          <t>Campus-Medellín</t>
        </is>
      </c>
      <c r="I1794" t="n">
        <v>1000</v>
      </c>
      <c r="J1794" t="n">
        <v>0</v>
      </c>
      <c r="L1794" t="n">
        <v>0</v>
      </c>
      <c r="M1794" t="n">
        <v>585.9</v>
      </c>
    </row>
    <row r="1795">
      <c r="A1795" t="n">
        <v>214</v>
      </c>
      <c r="B1795" t="inlineStr">
        <is>
          <t>Generación de Residuos Sólidos Mensual</t>
        </is>
      </c>
      <c r="C1795" t="inlineStr">
        <is>
          <t>GESTIÓN AMBIENTAL</t>
        </is>
      </c>
      <c r="D1795" t="inlineStr">
        <is>
          <t>Mensual</t>
        </is>
      </c>
      <c r="E1795" t="inlineStr">
        <is>
          <t>Negativo</t>
        </is>
      </c>
      <c r="F1795" s="105" t="n">
        <v>45596</v>
      </c>
      <c r="G1795" t="inlineStr">
        <is>
          <t>214-2024-10-31</t>
        </is>
      </c>
      <c r="H1795" t="inlineStr">
        <is>
          <t>Sede Bienestar - Medellín</t>
        </is>
      </c>
      <c r="I1795" t="n">
        <v>1</v>
      </c>
      <c r="J1795" t="n">
        <v>0</v>
      </c>
      <c r="L1795" t="n">
        <v>0</v>
      </c>
      <c r="M1795" t="n">
        <v>0</v>
      </c>
    </row>
    <row r="1796">
      <c r="A1796" t="n">
        <v>214</v>
      </c>
      <c r="B1796" t="inlineStr">
        <is>
          <t>Generación de Residuos Sólidos Mensual</t>
        </is>
      </c>
      <c r="C1796" t="inlineStr">
        <is>
          <t>GESTIÓN AMBIENTAL</t>
        </is>
      </c>
      <c r="D1796" t="inlineStr">
        <is>
          <t>Mensual</t>
        </is>
      </c>
      <c r="E1796" t="inlineStr">
        <is>
          <t>Negativo</t>
        </is>
      </c>
      <c r="F1796" s="105" t="n">
        <v>45596</v>
      </c>
      <c r="G1796" t="inlineStr">
        <is>
          <t>214-2024-10-31</t>
        </is>
      </c>
      <c r="H1796" t="inlineStr">
        <is>
          <t>Consultorio Psicología - Medellin</t>
        </is>
      </c>
      <c r="I1796" t="n">
        <v>1</v>
      </c>
      <c r="J1796" t="n">
        <v>12.89999961853027</v>
      </c>
      <c r="L1796" t="n">
        <v>2.4</v>
      </c>
      <c r="M1796" t="n">
        <v>10.5</v>
      </c>
    </row>
    <row r="1797">
      <c r="A1797" t="n">
        <v>217</v>
      </c>
      <c r="B1797" t="inlineStr">
        <is>
          <t>Aprovechamiento de Residuos</t>
        </is>
      </c>
      <c r="C1797" t="inlineStr">
        <is>
          <t>GESTIÓN AMBIENTAL</t>
        </is>
      </c>
      <c r="D1797" t="inlineStr">
        <is>
          <t>Mensual</t>
        </is>
      </c>
      <c r="E1797" t="inlineStr">
        <is>
          <t>Positivo</t>
        </is>
      </c>
      <c r="F1797" s="105" t="n">
        <v>45596</v>
      </c>
      <c r="G1797" t="inlineStr">
        <is>
          <t>217-2024-10-31</t>
        </is>
      </c>
      <c r="H1797" t="inlineStr">
        <is>
          <t>Campus Bogotá</t>
        </is>
      </c>
      <c r="I1797" t="n">
        <v>20</v>
      </c>
      <c r="J1797" t="n">
        <v>45.06000137329102</v>
      </c>
      <c r="L1797" t="n">
        <v>1906</v>
      </c>
      <c r="M1797" t="n">
        <v>2324</v>
      </c>
      <c r="AS1797" t="n">
        <v>1906</v>
      </c>
    </row>
    <row r="1798">
      <c r="A1798" t="n">
        <v>217</v>
      </c>
      <c r="B1798" t="inlineStr">
        <is>
          <t>Aprovechamiento de Residuos</t>
        </is>
      </c>
      <c r="C1798" t="inlineStr">
        <is>
          <t>GESTIÓN AMBIENTAL</t>
        </is>
      </c>
      <c r="D1798" t="inlineStr">
        <is>
          <t>Mensual</t>
        </is>
      </c>
      <c r="E1798" t="inlineStr">
        <is>
          <t>Positivo</t>
        </is>
      </c>
      <c r="F1798" s="105" t="n">
        <v>45596</v>
      </c>
      <c r="G1798" t="inlineStr">
        <is>
          <t>217-2024-10-31</t>
        </is>
      </c>
      <c r="H1798" t="inlineStr">
        <is>
          <t>City Campus</t>
        </is>
      </c>
      <c r="I1798" t="n">
        <v>20</v>
      </c>
      <c r="J1798" t="n">
        <v>13.53999996185303</v>
      </c>
      <c r="L1798" t="n">
        <v>157.14</v>
      </c>
      <c r="M1798" t="n">
        <v>1003.02</v>
      </c>
      <c r="AS1798" t="n">
        <v>157.14</v>
      </c>
    </row>
    <row r="1799">
      <c r="A1799" t="n">
        <v>217</v>
      </c>
      <c r="B1799" t="inlineStr">
        <is>
          <t>Aprovechamiento de Residuos</t>
        </is>
      </c>
      <c r="C1799" t="inlineStr">
        <is>
          <t>GESTIÓN AMBIENTAL</t>
        </is>
      </c>
      <c r="D1799" t="inlineStr">
        <is>
          <t>Mensual</t>
        </is>
      </c>
      <c r="E1799" t="inlineStr">
        <is>
          <t>Positivo</t>
        </is>
      </c>
      <c r="F1799" s="105" t="n">
        <v>45596</v>
      </c>
      <c r="G1799" t="inlineStr">
        <is>
          <t>217-2024-10-31</t>
        </is>
      </c>
      <c r="H1799" t="inlineStr">
        <is>
          <t>Sede Posgrado-Calle 85</t>
        </is>
      </c>
      <c r="I1799" t="n">
        <v>20</v>
      </c>
      <c r="J1799" t="n">
        <v>0</v>
      </c>
      <c r="L1799" t="n">
        <v>0</v>
      </c>
      <c r="M1799" t="n">
        <v>0</v>
      </c>
      <c r="AS1799" t="n">
        <v>0</v>
      </c>
    </row>
    <row r="1800">
      <c r="A1800" t="n">
        <v>217</v>
      </c>
      <c r="B1800" t="inlineStr">
        <is>
          <t>Aprovechamiento de Residuos</t>
        </is>
      </c>
      <c r="C1800" t="inlineStr">
        <is>
          <t>GESTIÓN AMBIENTAL</t>
        </is>
      </c>
      <c r="D1800" t="inlineStr">
        <is>
          <t>Mensual</t>
        </is>
      </c>
      <c r="E1800" t="inlineStr">
        <is>
          <t>Positivo</t>
        </is>
      </c>
      <c r="F1800" s="105" t="n">
        <v>45596</v>
      </c>
      <c r="G1800" t="inlineStr">
        <is>
          <t>217-2024-10-31</t>
        </is>
      </c>
      <c r="H1800" t="inlineStr">
        <is>
          <t>Sede Bienestar - Medellín</t>
        </is>
      </c>
      <c r="I1800" t="n">
        <v>20</v>
      </c>
      <c r="J1800" t="n">
        <v>0</v>
      </c>
      <c r="L1800" t="n">
        <v>0</v>
      </c>
      <c r="M1800" t="n">
        <v>0</v>
      </c>
      <c r="AS1800" t="n">
        <v>0</v>
      </c>
    </row>
    <row r="1801">
      <c r="A1801" t="n">
        <v>217</v>
      </c>
      <c r="B1801" t="inlineStr">
        <is>
          <t>Aprovechamiento de Residuos</t>
        </is>
      </c>
      <c r="C1801" t="inlineStr">
        <is>
          <t>GESTIÓN AMBIENTAL</t>
        </is>
      </c>
      <c r="D1801" t="inlineStr">
        <is>
          <t>Mensual</t>
        </is>
      </c>
      <c r="E1801" t="inlineStr">
        <is>
          <t>Positivo</t>
        </is>
      </c>
      <c r="F1801" s="105" t="n">
        <v>45596</v>
      </c>
      <c r="G1801" t="inlineStr">
        <is>
          <t>217-2024-10-31</t>
        </is>
      </c>
      <c r="H1801" t="inlineStr">
        <is>
          <t>Campus-Medellín</t>
        </is>
      </c>
      <c r="I1801" t="n">
        <v>20</v>
      </c>
      <c r="L1801" t="n">
        <v>0</v>
      </c>
      <c r="M1801" t="n">
        <v>585.9</v>
      </c>
      <c r="AS1801" t="n">
        <v>0</v>
      </c>
    </row>
    <row r="1802">
      <c r="A1802" t="n">
        <v>217</v>
      </c>
      <c r="B1802" t="inlineStr">
        <is>
          <t>Aprovechamiento de Residuos</t>
        </is>
      </c>
      <c r="C1802" t="inlineStr">
        <is>
          <t>GESTIÓN AMBIENTAL</t>
        </is>
      </c>
      <c r="D1802" t="inlineStr">
        <is>
          <t>Mensual</t>
        </is>
      </c>
      <c r="E1802" t="inlineStr">
        <is>
          <t>Positivo</t>
        </is>
      </c>
      <c r="F1802" s="105" t="n">
        <v>45596</v>
      </c>
      <c r="G1802" t="inlineStr">
        <is>
          <t>217-2024-10-31</t>
        </is>
      </c>
      <c r="H1802" t="inlineStr">
        <is>
          <t>Consultorio Psicología - Medellin</t>
        </is>
      </c>
      <c r="I1802" t="n">
        <v>20</v>
      </c>
      <c r="J1802" t="n">
        <v>10.85000038146973</v>
      </c>
      <c r="L1802" t="n">
        <v>2.4</v>
      </c>
      <c r="M1802" t="n">
        <v>10.5</v>
      </c>
      <c r="AS1802" t="n">
        <v>1.4</v>
      </c>
    </row>
    <row r="1803">
      <c r="A1803" t="n">
        <v>218</v>
      </c>
      <c r="B1803" t="inlineStr">
        <is>
          <t>Consumo de Energía Eléctrica kWh Mensual</t>
        </is>
      </c>
      <c r="C1803" t="inlineStr">
        <is>
          <t>GESTIÓN AMBIENTAL</t>
        </is>
      </c>
      <c r="D1803" t="inlineStr">
        <is>
          <t>Mensual</t>
        </is>
      </c>
      <c r="E1803" t="inlineStr">
        <is>
          <t>Negativo</t>
        </is>
      </c>
      <c r="F1803" s="105" t="n">
        <v>45596</v>
      </c>
      <c r="G1803" t="inlineStr">
        <is>
          <t>218-2024-10-31</t>
        </is>
      </c>
      <c r="H1803" t="inlineStr">
        <is>
          <t>Campus Bogotá</t>
        </is>
      </c>
      <c r="I1803" t="n">
        <v>76000</v>
      </c>
      <c r="J1803" t="n">
        <v>69141.4921875</v>
      </c>
      <c r="N1803" t="n">
        <v>69141.49000000001</v>
      </c>
    </row>
    <row r="1804">
      <c r="A1804" t="n">
        <v>218</v>
      </c>
      <c r="B1804" t="inlineStr">
        <is>
          <t>Consumo de Energía Eléctrica kWh Mensual</t>
        </is>
      </c>
      <c r="C1804" t="inlineStr">
        <is>
          <t>GESTIÓN AMBIENTAL</t>
        </is>
      </c>
      <c r="D1804" t="inlineStr">
        <is>
          <t>Mensual</t>
        </is>
      </c>
      <c r="E1804" t="inlineStr">
        <is>
          <t>Negativo</t>
        </is>
      </c>
      <c r="F1804" s="105" t="n">
        <v>45596</v>
      </c>
      <c r="G1804" t="inlineStr">
        <is>
          <t>218-2024-10-31</t>
        </is>
      </c>
      <c r="H1804" t="inlineStr">
        <is>
          <t>City Campus</t>
        </is>
      </c>
      <c r="I1804" t="n">
        <v>76000</v>
      </c>
      <c r="J1804" t="n">
        <v>49020</v>
      </c>
      <c r="N1804" t="n">
        <v>49020</v>
      </c>
    </row>
    <row r="1805">
      <c r="A1805" t="n">
        <v>218</v>
      </c>
      <c r="B1805" t="inlineStr">
        <is>
          <t>Consumo de Energía Eléctrica kWh Mensual</t>
        </is>
      </c>
      <c r="C1805" t="inlineStr">
        <is>
          <t>GESTIÓN AMBIENTAL</t>
        </is>
      </c>
      <c r="D1805" t="inlineStr">
        <is>
          <t>Mensual</t>
        </is>
      </c>
      <c r="E1805" t="inlineStr">
        <is>
          <t>Negativo</t>
        </is>
      </c>
      <c r="F1805" s="105" t="n">
        <v>45596</v>
      </c>
      <c r="G1805" t="inlineStr">
        <is>
          <t>218-2024-10-31</t>
        </is>
      </c>
      <c r="H1805" t="inlineStr">
        <is>
          <t>Sede Posgrado-Calle 85</t>
        </is>
      </c>
      <c r="I1805" t="n">
        <v>5000</v>
      </c>
      <c r="J1805" t="n">
        <v>3900</v>
      </c>
      <c r="N1805" t="n">
        <v>3900</v>
      </c>
    </row>
    <row r="1806">
      <c r="A1806" t="n">
        <v>218</v>
      </c>
      <c r="B1806" t="inlineStr">
        <is>
          <t>Consumo de Energía Eléctrica kWh Mensual</t>
        </is>
      </c>
      <c r="C1806" t="inlineStr">
        <is>
          <t>GESTIÓN AMBIENTAL</t>
        </is>
      </c>
      <c r="D1806" t="inlineStr">
        <is>
          <t>Mensual</t>
        </is>
      </c>
      <c r="E1806" t="inlineStr">
        <is>
          <t>Negativo</t>
        </is>
      </c>
      <c r="F1806" s="105" t="n">
        <v>45596</v>
      </c>
      <c r="G1806" t="inlineStr">
        <is>
          <t>218-2024-10-31</t>
        </is>
      </c>
      <c r="H1806" t="inlineStr">
        <is>
          <t>Sede Bienestar - Medellín</t>
        </is>
      </c>
      <c r="I1806" t="n">
        <v>5000</v>
      </c>
      <c r="J1806" t="n">
        <v>4800</v>
      </c>
      <c r="N1806" t="n">
        <v>4800</v>
      </c>
    </row>
    <row r="1807">
      <c r="A1807" t="n">
        <v>218</v>
      </c>
      <c r="B1807" t="inlineStr">
        <is>
          <t>Consumo de Energía Eléctrica kWh Mensual</t>
        </is>
      </c>
      <c r="C1807" t="inlineStr">
        <is>
          <t>GESTIÓN AMBIENTAL</t>
        </is>
      </c>
      <c r="D1807" t="inlineStr">
        <is>
          <t>Mensual</t>
        </is>
      </c>
      <c r="E1807" t="inlineStr">
        <is>
          <t>Negativo</t>
        </is>
      </c>
      <c r="F1807" s="105" t="n">
        <v>45596</v>
      </c>
      <c r="G1807" t="inlineStr">
        <is>
          <t>218-2024-10-31</t>
        </is>
      </c>
      <c r="H1807" t="inlineStr">
        <is>
          <t>Consultorio Psicología - Medellin</t>
        </is>
      </c>
      <c r="I1807" t="n">
        <v>2000</v>
      </c>
      <c r="J1807" t="n">
        <v>1636</v>
      </c>
      <c r="N1807" t="n">
        <v>1636</v>
      </c>
    </row>
    <row r="1808">
      <c r="A1808" t="n">
        <v>218</v>
      </c>
      <c r="B1808" t="inlineStr">
        <is>
          <t>Consumo de Energía Eléctrica kWh Mensual</t>
        </is>
      </c>
      <c r="C1808" t="inlineStr">
        <is>
          <t>GESTIÓN AMBIENTAL</t>
        </is>
      </c>
      <c r="D1808" t="inlineStr">
        <is>
          <t>Mensual</t>
        </is>
      </c>
      <c r="E1808" t="inlineStr">
        <is>
          <t>Negativo</t>
        </is>
      </c>
      <c r="F1808" s="105" t="n">
        <v>45596</v>
      </c>
      <c r="G1808" t="inlineStr">
        <is>
          <t>218-2024-10-31</t>
        </is>
      </c>
      <c r="H1808" t="inlineStr">
        <is>
          <t>Campus-Medellín</t>
        </is>
      </c>
      <c r="I1808" t="n">
        <v>24000</v>
      </c>
      <c r="J1808" t="n">
        <v>27921</v>
      </c>
      <c r="N1808" t="n">
        <v>27921</v>
      </c>
    </row>
    <row r="1809">
      <c r="A1809" t="n">
        <v>225</v>
      </c>
      <c r="B1809" t="inlineStr">
        <is>
          <t>Acciones para el Cuidado y Mantenimiento de las Especies de Flora y el Suelo de las Áreas Naturales</t>
        </is>
      </c>
      <c r="C1809" t="inlineStr">
        <is>
          <t>GESTIÓN AMBIENTAL</t>
        </is>
      </c>
      <c r="D1809" t="inlineStr">
        <is>
          <t>Mensual</t>
        </is>
      </c>
      <c r="E1809" t="inlineStr">
        <is>
          <t>Positivo</t>
        </is>
      </c>
      <c r="F1809" s="105" t="n">
        <v>45596</v>
      </c>
      <c r="G1809" t="inlineStr">
        <is>
          <t>225-2024-10-31</t>
        </is>
      </c>
      <c r="H1809" t="inlineStr">
        <is>
          <t>Campus Bogotá</t>
        </is>
      </c>
      <c r="I1809" t="n">
        <v>1</v>
      </c>
      <c r="J1809" t="n">
        <v>5</v>
      </c>
      <c r="AT1809" t="n">
        <v>5</v>
      </c>
    </row>
    <row r="1810">
      <c r="A1810" t="n">
        <v>225</v>
      </c>
      <c r="B1810" t="inlineStr">
        <is>
          <t>Acciones para el Cuidado y Mantenimiento de las Especies de Flora y el Suelo de las Áreas Naturales</t>
        </is>
      </c>
      <c r="C1810" t="inlineStr">
        <is>
          <t>GESTIÓN AMBIENTAL</t>
        </is>
      </c>
      <c r="D1810" t="inlineStr">
        <is>
          <t>Mensual</t>
        </is>
      </c>
      <c r="E1810" t="inlineStr">
        <is>
          <t>Positivo</t>
        </is>
      </c>
      <c r="F1810" s="105" t="n">
        <v>45596</v>
      </c>
      <c r="G1810" t="inlineStr">
        <is>
          <t>225-2024-10-31</t>
        </is>
      </c>
      <c r="H1810" t="inlineStr">
        <is>
          <t>City Campus</t>
        </is>
      </c>
      <c r="I1810" t="n">
        <v>1</v>
      </c>
      <c r="J1810" t="n">
        <v>3</v>
      </c>
      <c r="AT1810" t="n">
        <v>3</v>
      </c>
    </row>
    <row r="1811">
      <c r="A1811" t="n">
        <v>225</v>
      </c>
      <c r="B1811" t="inlineStr">
        <is>
          <t>Acciones para el Cuidado y Mantenimiento de las Especies de Flora y el Suelo de las Áreas Naturales</t>
        </is>
      </c>
      <c r="C1811" t="inlineStr">
        <is>
          <t>GESTIÓN AMBIENTAL</t>
        </is>
      </c>
      <c r="D1811" t="inlineStr">
        <is>
          <t>Mensual</t>
        </is>
      </c>
      <c r="E1811" t="inlineStr">
        <is>
          <t>Positivo</t>
        </is>
      </c>
      <c r="F1811" s="105" t="n">
        <v>45596</v>
      </c>
      <c r="G1811" t="inlineStr">
        <is>
          <t>225-2024-10-31</t>
        </is>
      </c>
      <c r="H1811" t="inlineStr">
        <is>
          <t>Sede Posgrado-Calle 85</t>
        </is>
      </c>
      <c r="I1811" t="n">
        <v>1</v>
      </c>
      <c r="J1811" t="n">
        <v>0</v>
      </c>
      <c r="AT1811" t="n">
        <v>0</v>
      </c>
    </row>
    <row r="1812">
      <c r="A1812" t="n">
        <v>225</v>
      </c>
      <c r="B1812" t="inlineStr">
        <is>
          <t>Acciones para el Cuidado y Mantenimiento de las Especies de Flora y el Suelo de las Áreas Naturales</t>
        </is>
      </c>
      <c r="C1812" t="inlineStr">
        <is>
          <t>GESTIÓN AMBIENTAL</t>
        </is>
      </c>
      <c r="D1812" t="inlineStr">
        <is>
          <t>Mensual</t>
        </is>
      </c>
      <c r="E1812" t="inlineStr">
        <is>
          <t>Positivo</t>
        </is>
      </c>
      <c r="F1812" s="105" t="n">
        <v>45596</v>
      </c>
      <c r="G1812" t="inlineStr">
        <is>
          <t>225-2024-10-31</t>
        </is>
      </c>
      <c r="H1812" t="inlineStr">
        <is>
          <t>Campus-Medellín</t>
        </is>
      </c>
      <c r="I1812" t="n">
        <v>1</v>
      </c>
      <c r="J1812" t="n">
        <v>10</v>
      </c>
      <c r="AT1812" t="n">
        <v>10</v>
      </c>
    </row>
    <row r="1813">
      <c r="A1813" t="n">
        <v>225</v>
      </c>
      <c r="B1813" t="inlineStr">
        <is>
          <t>Acciones para el Cuidado y Mantenimiento de las Especies de Flora y el Suelo de las Áreas Naturales</t>
        </is>
      </c>
      <c r="C1813" t="inlineStr">
        <is>
          <t>GESTIÓN AMBIENTAL</t>
        </is>
      </c>
      <c r="D1813" t="inlineStr">
        <is>
          <t>Mensual</t>
        </is>
      </c>
      <c r="E1813" t="inlineStr">
        <is>
          <t>Positivo</t>
        </is>
      </c>
      <c r="F1813" s="105" t="n">
        <v>45596</v>
      </c>
      <c r="G1813" t="inlineStr">
        <is>
          <t>225-2024-10-31</t>
        </is>
      </c>
      <c r="H1813" t="inlineStr">
        <is>
          <t>Sede Bienestar - Medellín</t>
        </is>
      </c>
      <c r="I1813" t="n">
        <v>1</v>
      </c>
      <c r="J1813" t="n">
        <v>1</v>
      </c>
      <c r="AT1813" t="n">
        <v>1</v>
      </c>
    </row>
    <row r="1814">
      <c r="A1814" t="n">
        <v>225</v>
      </c>
      <c r="B1814" t="inlineStr">
        <is>
          <t>Acciones para el Cuidado y Mantenimiento de las Especies de Flora y el Suelo de las Áreas Naturales</t>
        </is>
      </c>
      <c r="C1814" t="inlineStr">
        <is>
          <t>GESTIÓN AMBIENTAL</t>
        </is>
      </c>
      <c r="D1814" t="inlineStr">
        <is>
          <t>Mensual</t>
        </is>
      </c>
      <c r="E1814" t="inlineStr">
        <is>
          <t>Positivo</t>
        </is>
      </c>
      <c r="F1814" s="105" t="n">
        <v>45596</v>
      </c>
      <c r="G1814" t="inlineStr">
        <is>
          <t>225-2024-10-31</t>
        </is>
      </c>
      <c r="H1814" t="inlineStr">
        <is>
          <t>Consultorio Psicología - Medellin</t>
        </is>
      </c>
      <c r="I1814" t="n">
        <v>1</v>
      </c>
      <c r="J1814" t="n">
        <v>1</v>
      </c>
      <c r="AT1814" t="n">
        <v>1</v>
      </c>
    </row>
    <row r="1815">
      <c r="A1815" t="n">
        <v>434</v>
      </c>
      <c r="B1815" t="inlineStr">
        <is>
          <t>Generación de Residuos Peligrosos Mensual</t>
        </is>
      </c>
      <c r="C1815" t="inlineStr">
        <is>
          <t>GESTIÓN AMBIENTAL</t>
        </is>
      </c>
      <c r="D1815" t="inlineStr">
        <is>
          <t>Mensual</t>
        </is>
      </c>
      <c r="E1815" t="inlineStr">
        <is>
          <t>Negativo</t>
        </is>
      </c>
      <c r="F1815" s="105" t="n">
        <v>45596</v>
      </c>
      <c r="G1815" t="inlineStr">
        <is>
          <t>434-2024-10-31</t>
        </is>
      </c>
      <c r="H1815" t="inlineStr">
        <is>
          <t>Sede Posgrado-Calle 85</t>
        </is>
      </c>
      <c r="I1815" t="n">
        <v>200</v>
      </c>
      <c r="J1815" t="n">
        <v>0</v>
      </c>
      <c r="AV1815" t="n">
        <v>0</v>
      </c>
    </row>
    <row r="1816">
      <c r="A1816" t="n">
        <v>434</v>
      </c>
      <c r="B1816" t="inlineStr">
        <is>
          <t>Generación de Residuos Peligrosos Mensual</t>
        </is>
      </c>
      <c r="C1816" t="inlineStr">
        <is>
          <t>GESTIÓN AMBIENTAL</t>
        </is>
      </c>
      <c r="D1816" t="inlineStr">
        <is>
          <t>Mensual</t>
        </is>
      </c>
      <c r="E1816" t="inlineStr">
        <is>
          <t>Negativo</t>
        </is>
      </c>
      <c r="F1816" s="105" t="n">
        <v>45596</v>
      </c>
      <c r="G1816" t="inlineStr">
        <is>
          <t>434-2024-10-31</t>
        </is>
      </c>
      <c r="H1816" t="inlineStr">
        <is>
          <t>Campus-Medellín</t>
        </is>
      </c>
      <c r="I1816" t="n">
        <v>25</v>
      </c>
      <c r="J1816" t="n">
        <v>99</v>
      </c>
      <c r="AV1816" t="n">
        <v>99</v>
      </c>
    </row>
    <row r="1817">
      <c r="A1817" t="n">
        <v>434</v>
      </c>
      <c r="B1817" t="inlineStr">
        <is>
          <t>Generación de Residuos Peligrosos Mensual</t>
        </is>
      </c>
      <c r="C1817" t="inlineStr">
        <is>
          <t>GESTIÓN AMBIENTAL</t>
        </is>
      </c>
      <c r="D1817" t="inlineStr">
        <is>
          <t>Mensual</t>
        </is>
      </c>
      <c r="E1817" t="inlineStr">
        <is>
          <t>Negativo</t>
        </is>
      </c>
      <c r="F1817" s="105" t="n">
        <v>45596</v>
      </c>
      <c r="G1817" t="inlineStr">
        <is>
          <t>434-2024-10-31</t>
        </is>
      </c>
      <c r="H1817" t="inlineStr">
        <is>
          <t>Consultorio Psicología - Medellin</t>
        </is>
      </c>
      <c r="I1817" t="n">
        <v>200</v>
      </c>
      <c r="J1817" t="n">
        <v>0</v>
      </c>
      <c r="AV1817" t="n">
        <v>0</v>
      </c>
    </row>
    <row r="1818">
      <c r="A1818" t="n">
        <v>434</v>
      </c>
      <c r="B1818" t="inlineStr">
        <is>
          <t>Generación de Residuos Peligrosos Mensual</t>
        </is>
      </c>
      <c r="C1818" t="inlineStr">
        <is>
          <t>GESTIÓN AMBIENTAL</t>
        </is>
      </c>
      <c r="D1818" t="inlineStr">
        <is>
          <t>Mensual</t>
        </is>
      </c>
      <c r="E1818" t="inlineStr">
        <is>
          <t>Negativo</t>
        </is>
      </c>
      <c r="F1818" s="105" t="n">
        <v>45596</v>
      </c>
      <c r="G1818" t="inlineStr">
        <is>
          <t>434-2024-10-31</t>
        </is>
      </c>
      <c r="H1818" t="inlineStr">
        <is>
          <t>Sede Bienestar - Medellín</t>
        </is>
      </c>
      <c r="I1818" t="n">
        <v>10</v>
      </c>
      <c r="J1818" t="n">
        <v>0.2000000029802322</v>
      </c>
      <c r="AV1818" t="n">
        <v>0.2</v>
      </c>
    </row>
    <row r="1819">
      <c r="A1819" t="n">
        <v>434</v>
      </c>
      <c r="B1819" t="inlineStr">
        <is>
          <t>Generación de Residuos Peligrosos Mensual</t>
        </is>
      </c>
      <c r="C1819" t="inlineStr">
        <is>
          <t>GESTIÓN AMBIENTAL</t>
        </is>
      </c>
      <c r="D1819" t="inlineStr">
        <is>
          <t>Mensual</t>
        </is>
      </c>
      <c r="E1819" t="inlineStr">
        <is>
          <t>Negativo</t>
        </is>
      </c>
      <c r="F1819" s="105" t="n">
        <v>45596</v>
      </c>
      <c r="G1819" t="inlineStr">
        <is>
          <t>434-2024-10-31</t>
        </is>
      </c>
      <c r="H1819" t="inlineStr">
        <is>
          <t>Campus Bogotá</t>
        </is>
      </c>
      <c r="I1819" t="n">
        <v>100</v>
      </c>
      <c r="J1819" t="n">
        <v>355.1000061035156</v>
      </c>
      <c r="AV1819" t="n">
        <v>355.1</v>
      </c>
    </row>
    <row r="1820">
      <c r="A1820" t="n">
        <v>434</v>
      </c>
      <c r="B1820" t="inlineStr">
        <is>
          <t>Generación de Residuos Peligrosos Mensual</t>
        </is>
      </c>
      <c r="C1820" t="inlineStr">
        <is>
          <t>GESTIÓN AMBIENTAL</t>
        </is>
      </c>
      <c r="D1820" t="inlineStr">
        <is>
          <t>Mensual</t>
        </is>
      </c>
      <c r="E1820" t="inlineStr">
        <is>
          <t>Negativo</t>
        </is>
      </c>
      <c r="F1820" s="105" t="n">
        <v>45596</v>
      </c>
      <c r="G1820" t="inlineStr">
        <is>
          <t>434-2024-10-31</t>
        </is>
      </c>
      <c r="H1820" t="inlineStr">
        <is>
          <t>City Campus</t>
        </is>
      </c>
      <c r="I1820" t="n">
        <v>25</v>
      </c>
      <c r="J1820" t="n">
        <v>538.0800170898438</v>
      </c>
      <c r="AV1820" t="n">
        <v>538.08</v>
      </c>
    </row>
    <row r="1821">
      <c r="A1821" t="n">
        <v>436</v>
      </c>
      <c r="B1821" t="inlineStr">
        <is>
          <t>ANS documentos operativos</t>
        </is>
      </c>
      <c r="C1821" t="inlineStr">
        <is>
          <t>Gestión de calidad</t>
        </is>
      </c>
      <c r="D1821" t="inlineStr">
        <is>
          <t>Mensual</t>
        </is>
      </c>
      <c r="E1821" t="inlineStr">
        <is>
          <t>Negativo</t>
        </is>
      </c>
      <c r="F1821" s="105" t="n">
        <v>45596</v>
      </c>
      <c r="G1821" t="inlineStr">
        <is>
          <t>436-2024-10-31</t>
        </is>
      </c>
      <c r="H1821" t="inlineStr">
        <is>
          <t>Solicitud Documental</t>
        </is>
      </c>
      <c r="I1821" t="n">
        <v>7</v>
      </c>
      <c r="J1821" t="n">
        <v>5.400000095367432</v>
      </c>
      <c r="CP1821" t="n">
        <v>5.4</v>
      </c>
    </row>
    <row r="1822">
      <c r="A1822" t="n">
        <v>436</v>
      </c>
      <c r="B1822" t="inlineStr">
        <is>
          <t>ANS documentos operativos</t>
        </is>
      </c>
      <c r="C1822" t="inlineStr">
        <is>
          <t>Gestión de calidad</t>
        </is>
      </c>
      <c r="D1822" t="inlineStr">
        <is>
          <t>Mensual</t>
        </is>
      </c>
      <c r="E1822" t="inlineStr">
        <is>
          <t>Negativo</t>
        </is>
      </c>
      <c r="F1822" s="105" t="n">
        <v>45596</v>
      </c>
      <c r="G1822" t="inlineStr">
        <is>
          <t>436-2024-10-31</t>
        </is>
      </c>
      <c r="H1822" t="inlineStr">
        <is>
          <t>Flujo de aprobación</t>
        </is>
      </c>
      <c r="I1822" t="n">
        <v>7</v>
      </c>
      <c r="J1822" t="n">
        <v>2.599999904632568</v>
      </c>
      <c r="CP1822" t="n">
        <v>2.6</v>
      </c>
    </row>
    <row r="1823">
      <c r="A1823" t="n">
        <v>485</v>
      </c>
      <c r="B1823" t="inlineStr">
        <is>
          <t>Oportunidad en el cierre de acciones</t>
        </is>
      </c>
      <c r="C1823" t="inlineStr">
        <is>
          <t>Gestión de calidad</t>
        </is>
      </c>
      <c r="D1823" t="inlineStr">
        <is>
          <t>Mensual</t>
        </is>
      </c>
      <c r="E1823" t="inlineStr">
        <is>
          <t>Positivo</t>
        </is>
      </c>
      <c r="F1823" s="105" t="n">
        <v>45596</v>
      </c>
      <c r="G1823" t="inlineStr">
        <is>
          <t>485-2024-10-31</t>
        </is>
      </c>
      <c r="H1823" t="inlineStr">
        <is>
          <t>Auditoría interna</t>
        </is>
      </c>
      <c r="I1823" t="n">
        <v>80</v>
      </c>
      <c r="J1823" t="n">
        <v>100</v>
      </c>
      <c r="EC1823" t="n">
        <v>1</v>
      </c>
      <c r="ED1823" t="n">
        <v>1</v>
      </c>
    </row>
    <row r="1824">
      <c r="A1824" t="n">
        <v>485</v>
      </c>
      <c r="B1824" t="inlineStr">
        <is>
          <t>Oportunidad en el cierre de acciones</t>
        </is>
      </c>
      <c r="C1824" t="inlineStr">
        <is>
          <t>Gestión de calidad</t>
        </is>
      </c>
      <c r="D1824" t="inlineStr">
        <is>
          <t>Mensual</t>
        </is>
      </c>
      <c r="E1824" t="inlineStr">
        <is>
          <t>Positivo</t>
        </is>
      </c>
      <c r="F1824" s="105" t="n">
        <v>45596</v>
      </c>
      <c r="G1824" t="inlineStr">
        <is>
          <t>485-2024-10-31</t>
        </is>
      </c>
      <c r="H1824" t="inlineStr">
        <is>
          <t>Auditoría externa</t>
        </is>
      </c>
      <c r="I1824" t="n">
        <v>80</v>
      </c>
      <c r="J1824" t="n">
        <v>0</v>
      </c>
      <c r="EC1824" t="n">
        <v>0</v>
      </c>
      <c r="ED1824" t="n">
        <v>0</v>
      </c>
    </row>
    <row r="1825">
      <c r="A1825" t="n">
        <v>485</v>
      </c>
      <c r="B1825" t="inlineStr">
        <is>
          <t>Oportunidad en el cierre de acciones</t>
        </is>
      </c>
      <c r="C1825" t="inlineStr">
        <is>
          <t>Gestión de calidad</t>
        </is>
      </c>
      <c r="D1825" t="inlineStr">
        <is>
          <t>Mensual</t>
        </is>
      </c>
      <c r="E1825" t="inlineStr">
        <is>
          <t>Positivo</t>
        </is>
      </c>
      <c r="F1825" s="105" t="n">
        <v>45596</v>
      </c>
      <c r="G1825" t="inlineStr">
        <is>
          <t>485-2024-10-31</t>
        </is>
      </c>
      <c r="H1825" t="inlineStr">
        <is>
          <t>Indicadores</t>
        </is>
      </c>
      <c r="I1825" t="n">
        <v>80</v>
      </c>
      <c r="J1825" t="n">
        <v>0</v>
      </c>
      <c r="EC1825" t="n">
        <v>0</v>
      </c>
      <c r="ED1825" t="n">
        <v>0</v>
      </c>
    </row>
    <row r="1826">
      <c r="A1826" t="n">
        <v>485</v>
      </c>
      <c r="B1826" t="inlineStr">
        <is>
          <t>Oportunidad en el cierre de acciones</t>
        </is>
      </c>
      <c r="C1826" t="inlineStr">
        <is>
          <t>Gestión de calidad</t>
        </is>
      </c>
      <c r="D1826" t="inlineStr">
        <is>
          <t>Mensual</t>
        </is>
      </c>
      <c r="E1826" t="inlineStr">
        <is>
          <t>Positivo</t>
        </is>
      </c>
      <c r="F1826" s="105" t="n">
        <v>45596</v>
      </c>
      <c r="G1826" t="inlineStr">
        <is>
          <t>485-2024-10-31</t>
        </is>
      </c>
      <c r="H1826" t="inlineStr">
        <is>
          <t>Riesgos</t>
        </is>
      </c>
      <c r="I1826" t="n">
        <v>80</v>
      </c>
      <c r="J1826" t="n">
        <v>0</v>
      </c>
      <c r="EC1826" t="n">
        <v>0</v>
      </c>
      <c r="ED1826" t="n">
        <v>0</v>
      </c>
    </row>
    <row r="1827">
      <c r="A1827" t="n">
        <v>485</v>
      </c>
      <c r="B1827" t="inlineStr">
        <is>
          <t>Oportunidad en el cierre de acciones</t>
        </is>
      </c>
      <c r="C1827" t="inlineStr">
        <is>
          <t>Gestión de calidad</t>
        </is>
      </c>
      <c r="D1827" t="inlineStr">
        <is>
          <t>Mensual</t>
        </is>
      </c>
      <c r="E1827" t="inlineStr">
        <is>
          <t>Positivo</t>
        </is>
      </c>
      <c r="F1827" s="105" t="n">
        <v>45596</v>
      </c>
      <c r="G1827" t="inlineStr">
        <is>
          <t>485-2024-10-31</t>
        </is>
      </c>
      <c r="H1827" t="inlineStr">
        <is>
          <t>Autoevaluación</t>
        </is>
      </c>
      <c r="I1827" t="n">
        <v>80</v>
      </c>
      <c r="J1827" t="n">
        <v>0</v>
      </c>
      <c r="EC1827" t="n">
        <v>0</v>
      </c>
      <c r="ED1827" t="n">
        <v>0</v>
      </c>
    </row>
    <row r="1828">
      <c r="A1828" t="n">
        <v>485</v>
      </c>
      <c r="B1828" t="inlineStr">
        <is>
          <t>Oportunidad en el cierre de acciones</t>
        </is>
      </c>
      <c r="C1828" t="inlineStr">
        <is>
          <t>Gestión de calidad</t>
        </is>
      </c>
      <c r="D1828" t="inlineStr">
        <is>
          <t>Mensual</t>
        </is>
      </c>
      <c r="E1828" t="inlineStr">
        <is>
          <t>Positivo</t>
        </is>
      </c>
      <c r="F1828" s="105" t="n">
        <v>45596</v>
      </c>
      <c r="G1828" t="inlineStr">
        <is>
          <t>485-2024-10-31</t>
        </is>
      </c>
      <c r="H1828" t="inlineStr">
        <is>
          <t>Entes de control</t>
        </is>
      </c>
      <c r="I1828" t="n">
        <v>80</v>
      </c>
      <c r="J1828" t="n">
        <v>0</v>
      </c>
      <c r="EC1828" t="n">
        <v>0</v>
      </c>
      <c r="ED1828" t="n">
        <v>0</v>
      </c>
    </row>
    <row r="1829">
      <c r="A1829" t="n">
        <v>485</v>
      </c>
      <c r="B1829" t="inlineStr">
        <is>
          <t>Oportunidad en el cierre de acciones</t>
        </is>
      </c>
      <c r="C1829" t="inlineStr">
        <is>
          <t>Gestión de calidad</t>
        </is>
      </c>
      <c r="D1829" t="inlineStr">
        <is>
          <t>Mensual</t>
        </is>
      </c>
      <c r="E1829" t="inlineStr">
        <is>
          <t>Positivo</t>
        </is>
      </c>
      <c r="F1829" s="105" t="n">
        <v>45596</v>
      </c>
      <c r="G1829" t="inlineStr">
        <is>
          <t>485-2024-10-31</t>
        </is>
      </c>
      <c r="H1829" t="inlineStr">
        <is>
          <t>Seguimiento y control</t>
        </is>
      </c>
      <c r="I1829" t="n">
        <v>80</v>
      </c>
      <c r="J1829" t="n">
        <v>0</v>
      </c>
      <c r="EC1829" t="n">
        <v>0</v>
      </c>
      <c r="ED1829" t="n">
        <v>0</v>
      </c>
    </row>
    <row r="1830">
      <c r="A1830" t="n">
        <v>485</v>
      </c>
      <c r="B1830" t="inlineStr">
        <is>
          <t>Oportunidad en el cierre de acciones</t>
        </is>
      </c>
      <c r="C1830" t="inlineStr">
        <is>
          <t>Gestión de calidad</t>
        </is>
      </c>
      <c r="D1830" t="inlineStr">
        <is>
          <t>Mensual</t>
        </is>
      </c>
      <c r="E1830" t="inlineStr">
        <is>
          <t>Positivo</t>
        </is>
      </c>
      <c r="F1830" s="105" t="n">
        <v>45596</v>
      </c>
      <c r="G1830" t="inlineStr">
        <is>
          <t>485-2024-10-31</t>
        </is>
      </c>
      <c r="H1830" t="inlineStr">
        <is>
          <t>Experiencia</t>
        </is>
      </c>
      <c r="I1830" t="n">
        <v>80</v>
      </c>
      <c r="J1830" t="n">
        <v>0</v>
      </c>
      <c r="EC1830" t="n">
        <v>0</v>
      </c>
      <c r="ED1830" t="n">
        <v>0</v>
      </c>
    </row>
    <row r="1831">
      <c r="A1831" t="n">
        <v>485</v>
      </c>
      <c r="B1831" t="inlineStr">
        <is>
          <t>Oportunidad en el cierre de acciones</t>
        </is>
      </c>
      <c r="C1831" t="inlineStr">
        <is>
          <t>Gestión de calidad</t>
        </is>
      </c>
      <c r="D1831" t="inlineStr">
        <is>
          <t>Mensual</t>
        </is>
      </c>
      <c r="E1831" t="inlineStr">
        <is>
          <t>Positivo</t>
        </is>
      </c>
      <c r="F1831" s="105" t="n">
        <v>45596</v>
      </c>
      <c r="G1831" t="inlineStr">
        <is>
          <t>485-2024-10-31</t>
        </is>
      </c>
      <c r="H1831" t="inlineStr">
        <is>
          <t>Revisión por la dirección</t>
        </is>
      </c>
      <c r="I1831" t="n">
        <v>80</v>
      </c>
      <c r="J1831" t="n">
        <v>0</v>
      </c>
      <c r="EC1831" t="n">
        <v>0</v>
      </c>
      <c r="ED1831" t="n">
        <v>0</v>
      </c>
    </row>
    <row r="1832">
      <c r="A1832" t="n">
        <v>488</v>
      </c>
      <c r="B1832" t="inlineStr">
        <is>
          <t>Oportunidad en el cierre de actividades de los planes de mejora</t>
        </is>
      </c>
      <c r="C1832" t="inlineStr">
        <is>
          <t>Gestión de calidad</t>
        </is>
      </c>
      <c r="D1832" t="inlineStr">
        <is>
          <t>Mensual</t>
        </is>
      </c>
      <c r="E1832" t="inlineStr">
        <is>
          <t>Positivo</t>
        </is>
      </c>
      <c r="F1832" s="105" t="n">
        <v>45596</v>
      </c>
      <c r="G1832" t="inlineStr">
        <is>
          <t>488-2024-10-31</t>
        </is>
      </c>
      <c r="H1832" t="inlineStr">
        <is>
          <t>Auditoría interna</t>
        </is>
      </c>
      <c r="I1832" t="n">
        <v>85</v>
      </c>
      <c r="J1832" t="n">
        <v>78.26000213623047</v>
      </c>
      <c r="EE1832" t="n">
        <v>108</v>
      </c>
      <c r="EF1832" t="n">
        <v>138</v>
      </c>
    </row>
    <row r="1833">
      <c r="A1833" t="n">
        <v>488</v>
      </c>
      <c r="B1833" t="inlineStr">
        <is>
          <t>Oportunidad en el cierre de actividades de los planes de mejora</t>
        </is>
      </c>
      <c r="C1833" t="inlineStr">
        <is>
          <t>Gestión de calidad</t>
        </is>
      </c>
      <c r="D1833" t="inlineStr">
        <is>
          <t>Mensual</t>
        </is>
      </c>
      <c r="E1833" t="inlineStr">
        <is>
          <t>Positivo</t>
        </is>
      </c>
      <c r="F1833" s="105" t="n">
        <v>45596</v>
      </c>
      <c r="G1833" t="inlineStr">
        <is>
          <t>488-2024-10-31</t>
        </is>
      </c>
      <c r="H1833" t="inlineStr">
        <is>
          <t>Auditoría externa</t>
        </is>
      </c>
      <c r="I1833" t="n">
        <v>85</v>
      </c>
      <c r="J1833" t="n">
        <v>100</v>
      </c>
      <c r="EE1833" t="n">
        <v>45</v>
      </c>
      <c r="EF1833" t="n">
        <v>45</v>
      </c>
    </row>
    <row r="1834">
      <c r="A1834" t="n">
        <v>488</v>
      </c>
      <c r="B1834" t="inlineStr">
        <is>
          <t>Oportunidad en el cierre de actividades de los planes de mejora</t>
        </is>
      </c>
      <c r="C1834" t="inlineStr">
        <is>
          <t>Gestión de calidad</t>
        </is>
      </c>
      <c r="D1834" t="inlineStr">
        <is>
          <t>Mensual</t>
        </is>
      </c>
      <c r="E1834" t="inlineStr">
        <is>
          <t>Positivo</t>
        </is>
      </c>
      <c r="F1834" s="105" t="n">
        <v>45596</v>
      </c>
      <c r="G1834" t="inlineStr">
        <is>
          <t>488-2024-10-31</t>
        </is>
      </c>
      <c r="H1834" t="inlineStr">
        <is>
          <t>Indicadores</t>
        </is>
      </c>
      <c r="I1834" t="n">
        <v>85</v>
      </c>
      <c r="J1834" t="n">
        <v>100</v>
      </c>
      <c r="EE1834" t="n">
        <v>105</v>
      </c>
      <c r="EF1834" t="n">
        <v>105</v>
      </c>
    </row>
    <row r="1835">
      <c r="A1835" t="n">
        <v>488</v>
      </c>
      <c r="B1835" t="inlineStr">
        <is>
          <t>Oportunidad en el cierre de actividades de los planes de mejora</t>
        </is>
      </c>
      <c r="C1835" t="inlineStr">
        <is>
          <t>Gestión de calidad</t>
        </is>
      </c>
      <c r="D1835" t="inlineStr">
        <is>
          <t>Mensual</t>
        </is>
      </c>
      <c r="E1835" t="inlineStr">
        <is>
          <t>Positivo</t>
        </is>
      </c>
      <c r="F1835" s="105" t="n">
        <v>45596</v>
      </c>
      <c r="G1835" t="inlineStr">
        <is>
          <t>488-2024-10-31</t>
        </is>
      </c>
      <c r="H1835" t="inlineStr">
        <is>
          <t>Riesgos</t>
        </is>
      </c>
      <c r="I1835" t="n">
        <v>85</v>
      </c>
      <c r="J1835" t="n">
        <v>0</v>
      </c>
      <c r="EE1835" t="n">
        <v>0</v>
      </c>
      <c r="EF1835" t="n">
        <v>0</v>
      </c>
    </row>
    <row r="1836">
      <c r="A1836" t="n">
        <v>488</v>
      </c>
      <c r="B1836" t="inlineStr">
        <is>
          <t>Oportunidad en el cierre de actividades de los planes de mejora</t>
        </is>
      </c>
      <c r="C1836" t="inlineStr">
        <is>
          <t>Gestión de calidad</t>
        </is>
      </c>
      <c r="D1836" t="inlineStr">
        <is>
          <t>Mensual</t>
        </is>
      </c>
      <c r="E1836" t="inlineStr">
        <is>
          <t>Positivo</t>
        </is>
      </c>
      <c r="F1836" s="105" t="n">
        <v>45596</v>
      </c>
      <c r="G1836" t="inlineStr">
        <is>
          <t>488-2024-10-31</t>
        </is>
      </c>
      <c r="H1836" t="inlineStr">
        <is>
          <t>Entes de control</t>
        </is>
      </c>
      <c r="I1836" t="n">
        <v>85</v>
      </c>
      <c r="J1836" t="n">
        <v>100</v>
      </c>
      <c r="EE1836" t="n">
        <v>28</v>
      </c>
      <c r="EF1836" t="n">
        <v>28</v>
      </c>
    </row>
    <row r="1837">
      <c r="A1837" t="n">
        <v>488</v>
      </c>
      <c r="B1837" t="inlineStr">
        <is>
          <t>Oportunidad en el cierre de actividades de los planes de mejora</t>
        </is>
      </c>
      <c r="C1837" t="inlineStr">
        <is>
          <t>Gestión de calidad</t>
        </is>
      </c>
      <c r="D1837" t="inlineStr">
        <is>
          <t>Mensual</t>
        </is>
      </c>
      <c r="E1837" t="inlineStr">
        <is>
          <t>Positivo</t>
        </is>
      </c>
      <c r="F1837" s="105" t="n">
        <v>45596</v>
      </c>
      <c r="G1837" t="inlineStr">
        <is>
          <t>488-2024-10-31</t>
        </is>
      </c>
      <c r="H1837" t="inlineStr">
        <is>
          <t>Seguimiento y control</t>
        </is>
      </c>
      <c r="I1837" t="n">
        <v>85</v>
      </c>
      <c r="J1837" t="n">
        <v>100</v>
      </c>
      <c r="EE1837" t="n">
        <v>40</v>
      </c>
      <c r="EF1837" t="n">
        <v>40</v>
      </c>
    </row>
    <row r="1838">
      <c r="A1838" t="n">
        <v>488</v>
      </c>
      <c r="B1838" t="inlineStr">
        <is>
          <t>Oportunidad en el cierre de actividades de los planes de mejora</t>
        </is>
      </c>
      <c r="C1838" t="inlineStr">
        <is>
          <t>Gestión de calidad</t>
        </is>
      </c>
      <c r="D1838" t="inlineStr">
        <is>
          <t>Mensual</t>
        </is>
      </c>
      <c r="E1838" t="inlineStr">
        <is>
          <t>Positivo</t>
        </is>
      </c>
      <c r="F1838" s="105" t="n">
        <v>45596</v>
      </c>
      <c r="G1838" t="inlineStr">
        <is>
          <t>488-2024-10-31</t>
        </is>
      </c>
      <c r="H1838" t="inlineStr">
        <is>
          <t>Experiencia</t>
        </is>
      </c>
      <c r="I1838" t="n">
        <v>85</v>
      </c>
      <c r="J1838" t="n">
        <v>0</v>
      </c>
      <c r="EE1838" t="n">
        <v>0</v>
      </c>
      <c r="EF1838" t="n">
        <v>0</v>
      </c>
    </row>
    <row r="1839">
      <c r="A1839" t="n">
        <v>488</v>
      </c>
      <c r="B1839" t="inlineStr">
        <is>
          <t>Oportunidad en el cierre de actividades de los planes de mejora</t>
        </is>
      </c>
      <c r="C1839" t="inlineStr">
        <is>
          <t>Gestión de calidad</t>
        </is>
      </c>
      <c r="D1839" t="inlineStr">
        <is>
          <t>Mensual</t>
        </is>
      </c>
      <c r="E1839" t="inlineStr">
        <is>
          <t>Positivo</t>
        </is>
      </c>
      <c r="F1839" s="105" t="n">
        <v>45596</v>
      </c>
      <c r="G1839" t="inlineStr">
        <is>
          <t>488-2024-10-31</t>
        </is>
      </c>
      <c r="H1839" t="inlineStr">
        <is>
          <t>Revisión por la dirección</t>
        </is>
      </c>
      <c r="I1839" t="n">
        <v>85</v>
      </c>
      <c r="J1839" t="n">
        <v>100</v>
      </c>
      <c r="EE1839" t="n">
        <v>9</v>
      </c>
      <c r="EF1839" t="n">
        <v>9</v>
      </c>
    </row>
    <row r="1840">
      <c r="A1840" t="n">
        <v>208</v>
      </c>
      <c r="B1840" t="inlineStr">
        <is>
          <t>Consumo de Agua m3 Mensual</t>
        </is>
      </c>
      <c r="C1840" t="inlineStr">
        <is>
          <t>GESTIÓN AMBIENTAL</t>
        </is>
      </c>
      <c r="D1840" t="inlineStr">
        <is>
          <t>Mensual</t>
        </is>
      </c>
      <c r="E1840" t="inlineStr">
        <is>
          <t>Negativo</t>
        </is>
      </c>
      <c r="F1840" s="105" t="n">
        <v>45626</v>
      </c>
      <c r="G1840" t="inlineStr">
        <is>
          <t>208-2024-11-30</t>
        </is>
      </c>
      <c r="H1840" t="inlineStr">
        <is>
          <t>Campus Bogotá</t>
        </is>
      </c>
      <c r="I1840" t="n">
        <v>950</v>
      </c>
      <c r="J1840" t="n">
        <v>633</v>
      </c>
      <c r="K1840" t="n">
        <v>633</v>
      </c>
    </row>
    <row r="1841">
      <c r="A1841" t="n">
        <v>208</v>
      </c>
      <c r="B1841" t="inlineStr">
        <is>
          <t>Consumo de Agua m3 Mensual</t>
        </is>
      </c>
      <c r="C1841" t="inlineStr">
        <is>
          <t>GESTIÓN AMBIENTAL</t>
        </is>
      </c>
      <c r="D1841" t="inlineStr">
        <is>
          <t>Mensual</t>
        </is>
      </c>
      <c r="E1841" t="inlineStr">
        <is>
          <t>Negativo</t>
        </is>
      </c>
      <c r="F1841" s="105" t="n">
        <v>45626</v>
      </c>
      <c r="G1841" t="inlineStr">
        <is>
          <t>208-2024-11-30</t>
        </is>
      </c>
      <c r="H1841" t="inlineStr">
        <is>
          <t>Sede Posgrado-Calle 85</t>
        </is>
      </c>
      <c r="I1841" t="n">
        <v>25</v>
      </c>
      <c r="J1841" t="n">
        <v>16.5</v>
      </c>
      <c r="K1841" t="n">
        <v>16.5</v>
      </c>
    </row>
    <row r="1842">
      <c r="A1842" t="n">
        <v>208</v>
      </c>
      <c r="B1842" t="inlineStr">
        <is>
          <t>Consumo de Agua m3 Mensual</t>
        </is>
      </c>
      <c r="C1842" t="inlineStr">
        <is>
          <t>GESTIÓN AMBIENTAL</t>
        </is>
      </c>
      <c r="D1842" t="inlineStr">
        <is>
          <t>Mensual</t>
        </is>
      </c>
      <c r="E1842" t="inlineStr">
        <is>
          <t>Negativo</t>
        </is>
      </c>
      <c r="F1842" s="105" t="n">
        <v>45626</v>
      </c>
      <c r="G1842" t="inlineStr">
        <is>
          <t>208-2024-11-30</t>
        </is>
      </c>
      <c r="H1842" t="inlineStr">
        <is>
          <t>Campus-Medellín</t>
        </is>
      </c>
      <c r="I1842" t="n">
        <v>200</v>
      </c>
      <c r="J1842" t="n">
        <v>232</v>
      </c>
      <c r="K1842" t="n">
        <v>232</v>
      </c>
    </row>
    <row r="1843">
      <c r="A1843" t="n">
        <v>208</v>
      </c>
      <c r="B1843" t="inlineStr">
        <is>
          <t>Consumo de Agua m3 Mensual</t>
        </is>
      </c>
      <c r="C1843" t="inlineStr">
        <is>
          <t>GESTIÓN AMBIENTAL</t>
        </is>
      </c>
      <c r="D1843" t="inlineStr">
        <is>
          <t>Mensual</t>
        </is>
      </c>
      <c r="E1843" t="inlineStr">
        <is>
          <t>Negativo</t>
        </is>
      </c>
      <c r="F1843" s="105" t="n">
        <v>45626</v>
      </c>
      <c r="G1843" t="inlineStr">
        <is>
          <t>208-2024-11-30</t>
        </is>
      </c>
      <c r="H1843" t="inlineStr">
        <is>
          <t>Sede Bienestar - Medellín</t>
        </is>
      </c>
      <c r="I1843" t="n">
        <v>0</v>
      </c>
      <c r="J1843" t="n">
        <v>0</v>
      </c>
      <c r="K1843" t="n">
        <v>0</v>
      </c>
    </row>
    <row r="1844">
      <c r="A1844" t="n">
        <v>208</v>
      </c>
      <c r="B1844" t="inlineStr">
        <is>
          <t>Consumo de Agua m3 Mensual</t>
        </is>
      </c>
      <c r="C1844" t="inlineStr">
        <is>
          <t>GESTIÓN AMBIENTAL</t>
        </is>
      </c>
      <c r="D1844" t="inlineStr">
        <is>
          <t>Mensual</t>
        </is>
      </c>
      <c r="E1844" t="inlineStr">
        <is>
          <t>Negativo</t>
        </is>
      </c>
      <c r="F1844" s="105" t="n">
        <v>45626</v>
      </c>
      <c r="G1844" t="inlineStr">
        <is>
          <t>208-2024-11-30</t>
        </is>
      </c>
      <c r="H1844" t="inlineStr">
        <is>
          <t>Consultorio Psicología - Medellin</t>
        </is>
      </c>
      <c r="I1844" t="n">
        <v>25</v>
      </c>
      <c r="J1844" t="n">
        <v>15</v>
      </c>
      <c r="K1844" t="n">
        <v>15</v>
      </c>
    </row>
    <row r="1845">
      <c r="A1845" t="n">
        <v>208</v>
      </c>
      <c r="B1845" t="inlineStr">
        <is>
          <t>Consumo de Agua m3 Mensual</t>
        </is>
      </c>
      <c r="C1845" t="inlineStr">
        <is>
          <t>GESTIÓN AMBIENTAL</t>
        </is>
      </c>
      <c r="D1845" t="inlineStr">
        <is>
          <t>Mensual</t>
        </is>
      </c>
      <c r="E1845" t="inlineStr">
        <is>
          <t>Negativo</t>
        </is>
      </c>
      <c r="F1845" s="105" t="n">
        <v>45626</v>
      </c>
      <c r="G1845" t="inlineStr">
        <is>
          <t>208-2024-11-30</t>
        </is>
      </c>
      <c r="H1845" t="inlineStr">
        <is>
          <t>City Campus</t>
        </is>
      </c>
      <c r="I1845" t="n">
        <v>350</v>
      </c>
      <c r="J1845" t="n">
        <v>218.5</v>
      </c>
      <c r="K1845" t="n">
        <v>218.5</v>
      </c>
    </row>
    <row r="1846">
      <c r="A1846" t="n">
        <v>214</v>
      </c>
      <c r="B1846" t="inlineStr">
        <is>
          <t>Generación de Residuos Sólidos Mensual</t>
        </is>
      </c>
      <c r="C1846" t="inlineStr">
        <is>
          <t>GESTIÓN AMBIENTAL</t>
        </is>
      </c>
      <c r="D1846" t="inlineStr">
        <is>
          <t>Mensual</t>
        </is>
      </c>
      <c r="E1846" t="inlineStr">
        <is>
          <t>Negativo</t>
        </is>
      </c>
      <c r="F1846" s="105" t="n">
        <v>45626</v>
      </c>
      <c r="G1846" t="inlineStr">
        <is>
          <t>214-2024-11-30</t>
        </is>
      </c>
      <c r="H1846" t="inlineStr">
        <is>
          <t>Campus Bogotá</t>
        </is>
      </c>
      <c r="I1846" t="n">
        <v>5500</v>
      </c>
      <c r="J1846" t="n">
        <v>3601</v>
      </c>
      <c r="L1846" t="n">
        <v>741</v>
      </c>
      <c r="M1846" t="n">
        <v>2860</v>
      </c>
    </row>
    <row r="1847">
      <c r="A1847" t="n">
        <v>214</v>
      </c>
      <c r="B1847" t="inlineStr">
        <is>
          <t>Generación de Residuos Sólidos Mensual</t>
        </is>
      </c>
      <c r="C1847" t="inlineStr">
        <is>
          <t>GESTIÓN AMBIENTAL</t>
        </is>
      </c>
      <c r="D1847" t="inlineStr">
        <is>
          <t>Mensual</t>
        </is>
      </c>
      <c r="E1847" t="inlineStr">
        <is>
          <t>Negativo</t>
        </is>
      </c>
      <c r="F1847" s="105" t="n">
        <v>45626</v>
      </c>
      <c r="G1847" t="inlineStr">
        <is>
          <t>214-2024-11-30</t>
        </is>
      </c>
      <c r="H1847" t="inlineStr">
        <is>
          <t>City Campus</t>
        </is>
      </c>
      <c r="I1847" t="n">
        <v>1000</v>
      </c>
      <c r="J1847" t="n">
        <v>1177.050048828125</v>
      </c>
      <c r="L1847" t="n">
        <v>194.25</v>
      </c>
      <c r="M1847" t="n">
        <v>982.8</v>
      </c>
    </row>
    <row r="1848">
      <c r="A1848" t="n">
        <v>214</v>
      </c>
      <c r="B1848" t="inlineStr">
        <is>
          <t>Generación de Residuos Sólidos Mensual</t>
        </is>
      </c>
      <c r="C1848" t="inlineStr">
        <is>
          <t>GESTIÓN AMBIENTAL</t>
        </is>
      </c>
      <c r="D1848" t="inlineStr">
        <is>
          <t>Mensual</t>
        </is>
      </c>
      <c r="E1848" t="inlineStr">
        <is>
          <t>Negativo</t>
        </is>
      </c>
      <c r="F1848" s="105" t="n">
        <v>45626</v>
      </c>
      <c r="G1848" t="inlineStr">
        <is>
          <t>214-2024-11-30</t>
        </is>
      </c>
      <c r="H1848" t="inlineStr">
        <is>
          <t>Sede Posgrado-Calle 85</t>
        </is>
      </c>
      <c r="I1848" t="n">
        <v>7500</v>
      </c>
      <c r="J1848" t="n">
        <v>0</v>
      </c>
      <c r="L1848" t="n">
        <v>0</v>
      </c>
      <c r="M1848" t="n">
        <v>0</v>
      </c>
    </row>
    <row r="1849">
      <c r="A1849" t="n">
        <v>214</v>
      </c>
      <c r="B1849" t="inlineStr">
        <is>
          <t>Generación de Residuos Sólidos Mensual</t>
        </is>
      </c>
      <c r="C1849" t="inlineStr">
        <is>
          <t>GESTIÓN AMBIENTAL</t>
        </is>
      </c>
      <c r="D1849" t="inlineStr">
        <is>
          <t>Mensual</t>
        </is>
      </c>
      <c r="E1849" t="inlineStr">
        <is>
          <t>Negativo</t>
        </is>
      </c>
      <c r="F1849" s="105" t="n">
        <v>45626</v>
      </c>
      <c r="G1849" t="inlineStr">
        <is>
          <t>214-2024-11-30</t>
        </is>
      </c>
      <c r="H1849" t="inlineStr">
        <is>
          <t>Sede Bienestar - Medellín</t>
        </is>
      </c>
      <c r="I1849" t="n">
        <v>1</v>
      </c>
      <c r="J1849" t="n">
        <v>0</v>
      </c>
      <c r="L1849" t="n">
        <v>0</v>
      </c>
      <c r="M1849" t="n">
        <v>0</v>
      </c>
    </row>
    <row r="1850">
      <c r="A1850" t="n">
        <v>214</v>
      </c>
      <c r="B1850" t="inlineStr">
        <is>
          <t>Generación de Residuos Sólidos Mensual</t>
        </is>
      </c>
      <c r="C1850" t="inlineStr">
        <is>
          <t>GESTIÓN AMBIENTAL</t>
        </is>
      </c>
      <c r="D1850" t="inlineStr">
        <is>
          <t>Mensual</t>
        </is>
      </c>
      <c r="E1850" t="inlineStr">
        <is>
          <t>Negativo</t>
        </is>
      </c>
      <c r="F1850" s="105" t="n">
        <v>45626</v>
      </c>
      <c r="G1850" t="inlineStr">
        <is>
          <t>214-2024-11-30</t>
        </is>
      </c>
      <c r="H1850" t="inlineStr">
        <is>
          <t>Consultorio Psicología - Medellin</t>
        </is>
      </c>
      <c r="I1850" t="n">
        <v>1</v>
      </c>
      <c r="J1850" t="n">
        <v>12.65999984741211</v>
      </c>
      <c r="L1850" t="n">
        <v>4.34</v>
      </c>
      <c r="M1850" t="n">
        <v>8.34</v>
      </c>
    </row>
    <row r="1851">
      <c r="A1851" t="n">
        <v>217</v>
      </c>
      <c r="B1851" t="inlineStr">
        <is>
          <t>Aprovechamiento de Residuos</t>
        </is>
      </c>
      <c r="C1851" t="inlineStr">
        <is>
          <t>GESTIÓN AMBIENTAL</t>
        </is>
      </c>
      <c r="D1851" t="inlineStr">
        <is>
          <t>Mensual</t>
        </is>
      </c>
      <c r="E1851" t="inlineStr">
        <is>
          <t>Positivo</t>
        </is>
      </c>
      <c r="F1851" s="105" t="n">
        <v>45626</v>
      </c>
      <c r="G1851" t="inlineStr">
        <is>
          <t>217-2024-11-30</t>
        </is>
      </c>
      <c r="H1851" t="inlineStr">
        <is>
          <t>Campus Bogotá</t>
        </is>
      </c>
      <c r="I1851" t="n">
        <v>20</v>
      </c>
      <c r="J1851" t="n">
        <v>20.57999992370605</v>
      </c>
      <c r="L1851" t="n">
        <v>741</v>
      </c>
      <c r="M1851" t="n">
        <v>2860</v>
      </c>
      <c r="AS1851" t="n">
        <v>741</v>
      </c>
    </row>
    <row r="1852">
      <c r="A1852" t="n">
        <v>217</v>
      </c>
      <c r="B1852" t="inlineStr">
        <is>
          <t>Aprovechamiento de Residuos</t>
        </is>
      </c>
      <c r="C1852" t="inlineStr">
        <is>
          <t>GESTIÓN AMBIENTAL</t>
        </is>
      </c>
      <c r="D1852" t="inlineStr">
        <is>
          <t>Mensual</t>
        </is>
      </c>
      <c r="E1852" t="inlineStr">
        <is>
          <t>Positivo</t>
        </is>
      </c>
      <c r="F1852" s="105" t="n">
        <v>45626</v>
      </c>
      <c r="G1852" t="inlineStr">
        <is>
          <t>217-2024-11-30</t>
        </is>
      </c>
      <c r="H1852" t="inlineStr">
        <is>
          <t>City Campus</t>
        </is>
      </c>
      <c r="I1852" t="n">
        <v>20</v>
      </c>
      <c r="J1852" t="n">
        <v>16.5</v>
      </c>
      <c r="L1852" t="n">
        <v>194.25</v>
      </c>
      <c r="M1852" t="n">
        <v>982.8</v>
      </c>
      <c r="AS1852" t="n">
        <v>194.25</v>
      </c>
    </row>
    <row r="1853">
      <c r="A1853" t="n">
        <v>217</v>
      </c>
      <c r="B1853" t="inlineStr">
        <is>
          <t>Aprovechamiento de Residuos</t>
        </is>
      </c>
      <c r="C1853" t="inlineStr">
        <is>
          <t>GESTIÓN AMBIENTAL</t>
        </is>
      </c>
      <c r="D1853" t="inlineStr">
        <is>
          <t>Mensual</t>
        </is>
      </c>
      <c r="E1853" t="inlineStr">
        <is>
          <t>Positivo</t>
        </is>
      </c>
      <c r="F1853" s="105" t="n">
        <v>45626</v>
      </c>
      <c r="G1853" t="inlineStr">
        <is>
          <t>217-2024-11-30</t>
        </is>
      </c>
      <c r="H1853" t="inlineStr">
        <is>
          <t>Sede Posgrado-Calle 85</t>
        </is>
      </c>
      <c r="I1853" t="n">
        <v>20</v>
      </c>
      <c r="J1853" t="n">
        <v>0</v>
      </c>
      <c r="L1853" t="n">
        <v>0</v>
      </c>
      <c r="M1853" t="n">
        <v>0</v>
      </c>
      <c r="AS1853" t="n">
        <v>0</v>
      </c>
    </row>
    <row r="1854">
      <c r="A1854" t="n">
        <v>217</v>
      </c>
      <c r="B1854" t="inlineStr">
        <is>
          <t>Aprovechamiento de Residuos</t>
        </is>
      </c>
      <c r="C1854" t="inlineStr">
        <is>
          <t>GESTIÓN AMBIENTAL</t>
        </is>
      </c>
      <c r="D1854" t="inlineStr">
        <is>
          <t>Mensual</t>
        </is>
      </c>
      <c r="E1854" t="inlineStr">
        <is>
          <t>Positivo</t>
        </is>
      </c>
      <c r="F1854" s="105" t="n">
        <v>45626</v>
      </c>
      <c r="G1854" t="inlineStr">
        <is>
          <t>217-2024-11-30</t>
        </is>
      </c>
      <c r="H1854" t="inlineStr">
        <is>
          <t>Sede Bienestar - Medellín</t>
        </is>
      </c>
      <c r="I1854" t="n">
        <v>20</v>
      </c>
      <c r="J1854" t="n">
        <v>0</v>
      </c>
      <c r="L1854" t="n">
        <v>0</v>
      </c>
      <c r="M1854" t="n">
        <v>0</v>
      </c>
      <c r="AS1854" t="n">
        <v>0</v>
      </c>
    </row>
    <row r="1855">
      <c r="A1855" t="n">
        <v>217</v>
      </c>
      <c r="B1855" t="inlineStr">
        <is>
          <t>Aprovechamiento de Residuos</t>
        </is>
      </c>
      <c r="C1855" t="inlineStr">
        <is>
          <t>GESTIÓN AMBIENTAL</t>
        </is>
      </c>
      <c r="D1855" t="inlineStr">
        <is>
          <t>Mensual</t>
        </is>
      </c>
      <c r="E1855" t="inlineStr">
        <is>
          <t>Positivo</t>
        </is>
      </c>
      <c r="F1855" s="105" t="n">
        <v>45626</v>
      </c>
      <c r="G1855" t="inlineStr">
        <is>
          <t>217-2024-11-30</t>
        </is>
      </c>
      <c r="H1855" t="inlineStr">
        <is>
          <t>Consultorio Psicología - Medellin</t>
        </is>
      </c>
      <c r="I1855" t="n">
        <v>20</v>
      </c>
      <c r="J1855" t="n">
        <v>34.22999954223633</v>
      </c>
      <c r="L1855" t="n">
        <v>4.34</v>
      </c>
      <c r="M1855" t="n">
        <v>8.34</v>
      </c>
      <c r="AS1855" t="n">
        <v>4.34</v>
      </c>
    </row>
    <row r="1856">
      <c r="A1856" t="n">
        <v>218</v>
      </c>
      <c r="B1856" t="inlineStr">
        <is>
          <t>Consumo de Energía Eléctrica kWh Mensual</t>
        </is>
      </c>
      <c r="C1856" t="inlineStr">
        <is>
          <t>GESTIÓN AMBIENTAL</t>
        </is>
      </c>
      <c r="D1856" t="inlineStr">
        <is>
          <t>Mensual</t>
        </is>
      </c>
      <c r="E1856" t="inlineStr">
        <is>
          <t>Negativo</t>
        </is>
      </c>
      <c r="F1856" s="105" t="n">
        <v>45626</v>
      </c>
      <c r="G1856" t="inlineStr">
        <is>
          <t>218-2024-11-30</t>
        </is>
      </c>
      <c r="H1856" t="inlineStr">
        <is>
          <t>Campus Bogotá</t>
        </is>
      </c>
      <c r="I1856" t="n">
        <v>76000</v>
      </c>
      <c r="J1856" t="n">
        <v>69628.359375</v>
      </c>
      <c r="N1856" t="n">
        <v>69628.36</v>
      </c>
    </row>
    <row r="1857">
      <c r="A1857" t="n">
        <v>218</v>
      </c>
      <c r="B1857" t="inlineStr">
        <is>
          <t>Consumo de Energía Eléctrica kWh Mensual</t>
        </is>
      </c>
      <c r="C1857" t="inlineStr">
        <is>
          <t>GESTIÓN AMBIENTAL</t>
        </is>
      </c>
      <c r="D1857" t="inlineStr">
        <is>
          <t>Mensual</t>
        </is>
      </c>
      <c r="E1857" t="inlineStr">
        <is>
          <t>Negativo</t>
        </is>
      </c>
      <c r="F1857" s="105" t="n">
        <v>45626</v>
      </c>
      <c r="G1857" t="inlineStr">
        <is>
          <t>218-2024-11-30</t>
        </is>
      </c>
      <c r="H1857" t="inlineStr">
        <is>
          <t>City Campus</t>
        </is>
      </c>
      <c r="I1857" t="n">
        <v>76000</v>
      </c>
      <c r="J1857" t="n">
        <v>42750</v>
      </c>
      <c r="N1857" t="n">
        <v>42750</v>
      </c>
    </row>
    <row r="1858">
      <c r="A1858" t="n">
        <v>218</v>
      </c>
      <c r="B1858" t="inlineStr">
        <is>
          <t>Consumo de Energía Eléctrica kWh Mensual</t>
        </is>
      </c>
      <c r="C1858" t="inlineStr">
        <is>
          <t>GESTIÓN AMBIENTAL</t>
        </is>
      </c>
      <c r="D1858" t="inlineStr">
        <is>
          <t>Mensual</t>
        </is>
      </c>
      <c r="E1858" t="inlineStr">
        <is>
          <t>Negativo</t>
        </is>
      </c>
      <c r="F1858" s="105" t="n">
        <v>45626</v>
      </c>
      <c r="G1858" t="inlineStr">
        <is>
          <t>218-2024-11-30</t>
        </is>
      </c>
      <c r="H1858" t="inlineStr">
        <is>
          <t>Sede Posgrado-Calle 85</t>
        </is>
      </c>
      <c r="I1858" t="n">
        <v>5000</v>
      </c>
      <c r="J1858" t="n">
        <v>4080</v>
      </c>
      <c r="N1858" t="n">
        <v>4080</v>
      </c>
    </row>
    <row r="1859">
      <c r="A1859" t="n">
        <v>218</v>
      </c>
      <c r="B1859" t="inlineStr">
        <is>
          <t>Consumo de Energía Eléctrica kWh Mensual</t>
        </is>
      </c>
      <c r="C1859" t="inlineStr">
        <is>
          <t>GESTIÓN AMBIENTAL</t>
        </is>
      </c>
      <c r="D1859" t="inlineStr">
        <is>
          <t>Mensual</t>
        </is>
      </c>
      <c r="E1859" t="inlineStr">
        <is>
          <t>Negativo</t>
        </is>
      </c>
      <c r="F1859" s="105" t="n">
        <v>45626</v>
      </c>
      <c r="G1859" t="inlineStr">
        <is>
          <t>218-2024-11-30</t>
        </is>
      </c>
      <c r="H1859" t="inlineStr">
        <is>
          <t>Campus-Medellín</t>
        </is>
      </c>
      <c r="I1859" t="n">
        <v>24000</v>
      </c>
      <c r="J1859" t="n">
        <v>25277</v>
      </c>
      <c r="N1859" t="n">
        <v>25277</v>
      </c>
    </row>
    <row r="1860">
      <c r="A1860" t="n">
        <v>218</v>
      </c>
      <c r="B1860" t="inlineStr">
        <is>
          <t>Consumo de Energía Eléctrica kWh Mensual</t>
        </is>
      </c>
      <c r="C1860" t="inlineStr">
        <is>
          <t>GESTIÓN AMBIENTAL</t>
        </is>
      </c>
      <c r="D1860" t="inlineStr">
        <is>
          <t>Mensual</t>
        </is>
      </c>
      <c r="E1860" t="inlineStr">
        <is>
          <t>Negativo</t>
        </is>
      </c>
      <c r="F1860" s="105" t="n">
        <v>45626</v>
      </c>
      <c r="G1860" t="inlineStr">
        <is>
          <t>218-2024-11-30</t>
        </is>
      </c>
      <c r="H1860" t="inlineStr">
        <is>
          <t>Sede Bienestar - Medellín</t>
        </is>
      </c>
      <c r="I1860" t="n">
        <v>5000</v>
      </c>
      <c r="J1860" t="n">
        <v>4200</v>
      </c>
      <c r="N1860" t="n">
        <v>4200</v>
      </c>
    </row>
    <row r="1861">
      <c r="A1861" t="n">
        <v>218</v>
      </c>
      <c r="B1861" t="inlineStr">
        <is>
          <t>Consumo de Energía Eléctrica kWh Mensual</t>
        </is>
      </c>
      <c r="C1861" t="inlineStr">
        <is>
          <t>GESTIÓN AMBIENTAL</t>
        </is>
      </c>
      <c r="D1861" t="inlineStr">
        <is>
          <t>Mensual</t>
        </is>
      </c>
      <c r="E1861" t="inlineStr">
        <is>
          <t>Negativo</t>
        </is>
      </c>
      <c r="F1861" s="105" t="n">
        <v>45626</v>
      </c>
      <c r="G1861" t="inlineStr">
        <is>
          <t>218-2024-11-30</t>
        </is>
      </c>
      <c r="H1861" t="inlineStr">
        <is>
          <t>Consultorio Psicología - Medellin</t>
        </is>
      </c>
      <c r="I1861" t="n">
        <v>2000</v>
      </c>
      <c r="J1861" t="n">
        <v>1270</v>
      </c>
      <c r="N1861" t="n">
        <v>1270</v>
      </c>
    </row>
    <row r="1862">
      <c r="A1862" t="n">
        <v>225</v>
      </c>
      <c r="B1862" t="inlineStr">
        <is>
          <t>Acciones para el Cuidado y Mantenimiento de las Especies de Flora y el Suelo de las Áreas Naturales</t>
        </is>
      </c>
      <c r="C1862" t="inlineStr">
        <is>
          <t>GESTIÓN AMBIENTAL</t>
        </is>
      </c>
      <c r="D1862" t="inlineStr">
        <is>
          <t>Mensual</t>
        </is>
      </c>
      <c r="E1862" t="inlineStr">
        <is>
          <t>Positivo</t>
        </is>
      </c>
      <c r="F1862" s="105" t="n">
        <v>45626</v>
      </c>
      <c r="G1862" t="inlineStr">
        <is>
          <t>225-2024-11-30</t>
        </is>
      </c>
      <c r="H1862" t="inlineStr">
        <is>
          <t>City Campus</t>
        </is>
      </c>
      <c r="I1862" t="n">
        <v>1</v>
      </c>
      <c r="J1862" t="n">
        <v>4</v>
      </c>
      <c r="AT1862" t="n">
        <v>4</v>
      </c>
    </row>
    <row r="1863">
      <c r="A1863" t="n">
        <v>225</v>
      </c>
      <c r="B1863" t="inlineStr">
        <is>
          <t>Acciones para el Cuidado y Mantenimiento de las Especies de Flora y el Suelo de las Áreas Naturales</t>
        </is>
      </c>
      <c r="C1863" t="inlineStr">
        <is>
          <t>GESTIÓN AMBIENTAL</t>
        </is>
      </c>
      <c r="D1863" t="inlineStr">
        <is>
          <t>Mensual</t>
        </is>
      </c>
      <c r="E1863" t="inlineStr">
        <is>
          <t>Positivo</t>
        </is>
      </c>
      <c r="F1863" s="105" t="n">
        <v>45626</v>
      </c>
      <c r="G1863" t="inlineStr">
        <is>
          <t>225-2024-11-30</t>
        </is>
      </c>
      <c r="H1863" t="inlineStr">
        <is>
          <t>Campus-Medellín</t>
        </is>
      </c>
      <c r="I1863" t="n">
        <v>1</v>
      </c>
      <c r="J1863" t="n">
        <v>10</v>
      </c>
      <c r="AT1863" t="n">
        <v>10</v>
      </c>
    </row>
    <row r="1864">
      <c r="A1864" t="n">
        <v>225</v>
      </c>
      <c r="B1864" t="inlineStr">
        <is>
          <t>Acciones para el Cuidado y Mantenimiento de las Especies de Flora y el Suelo de las Áreas Naturales</t>
        </is>
      </c>
      <c r="C1864" t="inlineStr">
        <is>
          <t>GESTIÓN AMBIENTAL</t>
        </is>
      </c>
      <c r="D1864" t="inlineStr">
        <is>
          <t>Mensual</t>
        </is>
      </c>
      <c r="E1864" t="inlineStr">
        <is>
          <t>Positivo</t>
        </is>
      </c>
      <c r="F1864" s="105" t="n">
        <v>45626</v>
      </c>
      <c r="G1864" t="inlineStr">
        <is>
          <t>225-2024-11-30</t>
        </is>
      </c>
      <c r="H1864" t="inlineStr">
        <is>
          <t>Sede Bienestar - Medellín</t>
        </is>
      </c>
      <c r="I1864" t="n">
        <v>1</v>
      </c>
      <c r="J1864" t="n">
        <v>1</v>
      </c>
      <c r="AT1864" t="n">
        <v>1</v>
      </c>
    </row>
    <row r="1865">
      <c r="A1865" t="n">
        <v>225</v>
      </c>
      <c r="B1865" t="inlineStr">
        <is>
          <t>Acciones para el Cuidado y Mantenimiento de las Especies de Flora y el Suelo de las Áreas Naturales</t>
        </is>
      </c>
      <c r="C1865" t="inlineStr">
        <is>
          <t>GESTIÓN AMBIENTAL</t>
        </is>
      </c>
      <c r="D1865" t="inlineStr">
        <is>
          <t>Mensual</t>
        </is>
      </c>
      <c r="E1865" t="inlineStr">
        <is>
          <t>Positivo</t>
        </is>
      </c>
      <c r="F1865" s="105" t="n">
        <v>45626</v>
      </c>
      <c r="G1865" t="inlineStr">
        <is>
          <t>225-2024-11-30</t>
        </is>
      </c>
      <c r="H1865" t="inlineStr">
        <is>
          <t>Consultorio Psicología - Medellin</t>
        </is>
      </c>
      <c r="I1865" t="n">
        <v>1</v>
      </c>
      <c r="J1865" t="n">
        <v>1</v>
      </c>
      <c r="AT1865" t="n">
        <v>1</v>
      </c>
    </row>
    <row r="1866">
      <c r="A1866" t="n">
        <v>225</v>
      </c>
      <c r="B1866" t="inlineStr">
        <is>
          <t>Acciones para el Cuidado y Mantenimiento de las Especies de Flora y el Suelo de las Áreas Naturales</t>
        </is>
      </c>
      <c r="C1866" t="inlineStr">
        <is>
          <t>GESTIÓN AMBIENTAL</t>
        </is>
      </c>
      <c r="D1866" t="inlineStr">
        <is>
          <t>Mensual</t>
        </is>
      </c>
      <c r="E1866" t="inlineStr">
        <is>
          <t>Positivo</t>
        </is>
      </c>
      <c r="F1866" s="105" t="n">
        <v>45626</v>
      </c>
      <c r="G1866" t="inlineStr">
        <is>
          <t>225-2024-11-30</t>
        </is>
      </c>
      <c r="H1866" t="inlineStr">
        <is>
          <t>Campus Bogotá</t>
        </is>
      </c>
      <c r="I1866" t="n">
        <v>1</v>
      </c>
      <c r="J1866" t="n">
        <v>6</v>
      </c>
      <c r="AT1866" t="n">
        <v>6</v>
      </c>
    </row>
    <row r="1867">
      <c r="A1867" t="n">
        <v>434</v>
      </c>
      <c r="B1867" t="inlineStr">
        <is>
          <t>Generación de Residuos Peligrosos Mensual</t>
        </is>
      </c>
      <c r="C1867" t="inlineStr">
        <is>
          <t>GESTIÓN AMBIENTAL</t>
        </is>
      </c>
      <c r="D1867" t="inlineStr">
        <is>
          <t>Mensual</t>
        </is>
      </c>
      <c r="E1867" t="inlineStr">
        <is>
          <t>Negativo</t>
        </is>
      </c>
      <c r="F1867" s="105" t="n">
        <v>45626</v>
      </c>
      <c r="G1867" t="inlineStr">
        <is>
          <t>434-2024-11-30</t>
        </is>
      </c>
      <c r="H1867" t="inlineStr">
        <is>
          <t>Campus Bogotá</t>
        </is>
      </c>
      <c r="I1867" t="n">
        <v>100</v>
      </c>
      <c r="J1867" t="n">
        <v>72.77999877929688</v>
      </c>
      <c r="AV1867" t="n">
        <v>72.78</v>
      </c>
    </row>
    <row r="1868">
      <c r="A1868" t="n">
        <v>434</v>
      </c>
      <c r="B1868" t="inlineStr">
        <is>
          <t>Generación de Residuos Peligrosos Mensual</t>
        </is>
      </c>
      <c r="C1868" t="inlineStr">
        <is>
          <t>GESTIÓN AMBIENTAL</t>
        </is>
      </c>
      <c r="D1868" t="inlineStr">
        <is>
          <t>Mensual</t>
        </is>
      </c>
      <c r="E1868" t="inlineStr">
        <is>
          <t>Negativo</t>
        </is>
      </c>
      <c r="F1868" s="105" t="n">
        <v>45626</v>
      </c>
      <c r="G1868" t="inlineStr">
        <is>
          <t>434-2024-11-30</t>
        </is>
      </c>
      <c r="H1868" t="inlineStr">
        <is>
          <t>Sede Posgrado-Calle 85</t>
        </is>
      </c>
      <c r="I1868" t="n">
        <v>200</v>
      </c>
      <c r="J1868" t="n">
        <v>0</v>
      </c>
      <c r="AV1868" t="n">
        <v>0</v>
      </c>
    </row>
    <row r="1869">
      <c r="A1869" t="n">
        <v>434</v>
      </c>
      <c r="B1869" t="inlineStr">
        <is>
          <t>Generación de Residuos Peligrosos Mensual</t>
        </is>
      </c>
      <c r="C1869" t="inlineStr">
        <is>
          <t>GESTIÓN AMBIENTAL</t>
        </is>
      </c>
      <c r="D1869" t="inlineStr">
        <is>
          <t>Mensual</t>
        </is>
      </c>
      <c r="E1869" t="inlineStr">
        <is>
          <t>Negativo</t>
        </is>
      </c>
      <c r="F1869" s="105" t="n">
        <v>45626</v>
      </c>
      <c r="G1869" t="inlineStr">
        <is>
          <t>434-2024-11-30</t>
        </is>
      </c>
      <c r="H1869" t="inlineStr">
        <is>
          <t>Campus-Medellín</t>
        </is>
      </c>
      <c r="I1869" t="n">
        <v>25</v>
      </c>
      <c r="J1869" t="n">
        <v>1</v>
      </c>
      <c r="AV1869" t="n">
        <v>1</v>
      </c>
    </row>
    <row r="1870">
      <c r="A1870" t="n">
        <v>434</v>
      </c>
      <c r="B1870" t="inlineStr">
        <is>
          <t>Generación de Residuos Peligrosos Mensual</t>
        </is>
      </c>
      <c r="C1870" t="inlineStr">
        <is>
          <t>GESTIÓN AMBIENTAL</t>
        </is>
      </c>
      <c r="D1870" t="inlineStr">
        <is>
          <t>Mensual</t>
        </is>
      </c>
      <c r="E1870" t="inlineStr">
        <is>
          <t>Negativo</t>
        </is>
      </c>
      <c r="F1870" s="105" t="n">
        <v>45626</v>
      </c>
      <c r="G1870" t="inlineStr">
        <is>
          <t>434-2024-11-30</t>
        </is>
      </c>
      <c r="H1870" t="inlineStr">
        <is>
          <t>Sede Bienestar - Medellín</t>
        </is>
      </c>
      <c r="I1870" t="n">
        <v>10</v>
      </c>
      <c r="J1870" t="n">
        <v>0.1000000014901161</v>
      </c>
      <c r="AV1870" t="n">
        <v>0.1</v>
      </c>
    </row>
    <row r="1871">
      <c r="A1871" t="n">
        <v>434</v>
      </c>
      <c r="B1871" t="inlineStr">
        <is>
          <t>Generación de Residuos Peligrosos Mensual</t>
        </is>
      </c>
      <c r="C1871" t="inlineStr">
        <is>
          <t>GESTIÓN AMBIENTAL</t>
        </is>
      </c>
      <c r="D1871" t="inlineStr">
        <is>
          <t>Mensual</t>
        </is>
      </c>
      <c r="E1871" t="inlineStr">
        <is>
          <t>Negativo</t>
        </is>
      </c>
      <c r="F1871" s="105" t="n">
        <v>45626</v>
      </c>
      <c r="G1871" t="inlineStr">
        <is>
          <t>434-2024-11-30</t>
        </is>
      </c>
      <c r="H1871" t="inlineStr">
        <is>
          <t>Consultorio Psicología - Medellin</t>
        </is>
      </c>
      <c r="I1871" t="n">
        <v>200</v>
      </c>
      <c r="J1871" t="n">
        <v>0</v>
      </c>
      <c r="AV1871" t="n">
        <v>0</v>
      </c>
    </row>
    <row r="1872">
      <c r="A1872" t="n">
        <v>434</v>
      </c>
      <c r="B1872" t="inlineStr">
        <is>
          <t>Generación de Residuos Peligrosos Mensual</t>
        </is>
      </c>
      <c r="C1872" t="inlineStr">
        <is>
          <t>GESTIÓN AMBIENTAL</t>
        </is>
      </c>
      <c r="D1872" t="inlineStr">
        <is>
          <t>Mensual</t>
        </is>
      </c>
      <c r="E1872" t="inlineStr">
        <is>
          <t>Negativo</t>
        </is>
      </c>
      <c r="F1872" s="105" t="n">
        <v>45626</v>
      </c>
      <c r="G1872" t="inlineStr">
        <is>
          <t>434-2024-11-30</t>
        </is>
      </c>
      <c r="H1872" t="inlineStr">
        <is>
          <t>City Campus</t>
        </is>
      </c>
      <c r="I1872" t="n">
        <v>25</v>
      </c>
      <c r="AV1872" t="n">
        <v>0</v>
      </c>
    </row>
    <row r="1873">
      <c r="A1873" t="n">
        <v>436</v>
      </c>
      <c r="B1873" t="inlineStr">
        <is>
          <t>ANS documentos operativos</t>
        </is>
      </c>
      <c r="C1873" t="inlineStr">
        <is>
          <t>Gestión de calidad</t>
        </is>
      </c>
      <c r="D1873" t="inlineStr">
        <is>
          <t>Mensual</t>
        </is>
      </c>
      <c r="E1873" t="inlineStr">
        <is>
          <t>Negativo</t>
        </is>
      </c>
      <c r="F1873" s="105" t="n">
        <v>45626</v>
      </c>
      <c r="G1873" t="inlineStr">
        <is>
          <t>436-2024-11-30</t>
        </is>
      </c>
      <c r="H1873" t="inlineStr">
        <is>
          <t>Flujo de aprobación</t>
        </is>
      </c>
      <c r="I1873" t="n">
        <v>7</v>
      </c>
      <c r="J1873" t="n">
        <v>2</v>
      </c>
      <c r="CP1873" t="n">
        <v>2</v>
      </c>
    </row>
    <row r="1874">
      <c r="A1874" t="n">
        <v>436</v>
      </c>
      <c r="B1874" t="inlineStr">
        <is>
          <t>ANS documentos operativos</t>
        </is>
      </c>
      <c r="C1874" t="inlineStr">
        <is>
          <t>Gestión de calidad</t>
        </is>
      </c>
      <c r="D1874" t="inlineStr">
        <is>
          <t>Mensual</t>
        </is>
      </c>
      <c r="E1874" t="inlineStr">
        <is>
          <t>Negativo</t>
        </is>
      </c>
      <c r="F1874" s="105" t="n">
        <v>45626</v>
      </c>
      <c r="G1874" t="inlineStr">
        <is>
          <t>436-2024-11-30</t>
        </is>
      </c>
      <c r="H1874" t="inlineStr">
        <is>
          <t>Solicitud Documental</t>
        </is>
      </c>
      <c r="I1874" t="n">
        <v>7</v>
      </c>
      <c r="J1874" t="n">
        <v>8</v>
      </c>
      <c r="CP1874" t="n">
        <v>8</v>
      </c>
    </row>
    <row r="1875">
      <c r="A1875" t="n">
        <v>485</v>
      </c>
      <c r="B1875" t="inlineStr">
        <is>
          <t>Oportunidad en el cierre de acciones</t>
        </is>
      </c>
      <c r="C1875" t="inlineStr">
        <is>
          <t>Gestión de calidad</t>
        </is>
      </c>
      <c r="D1875" t="inlineStr">
        <is>
          <t>Mensual</t>
        </is>
      </c>
      <c r="E1875" t="inlineStr">
        <is>
          <t>Positivo</t>
        </is>
      </c>
      <c r="F1875" s="105" t="n">
        <v>45626</v>
      </c>
      <c r="G1875" t="inlineStr">
        <is>
          <t>485-2024-11-30</t>
        </is>
      </c>
      <c r="H1875" t="inlineStr">
        <is>
          <t>Auditoría interna</t>
        </is>
      </c>
      <c r="I1875" t="n">
        <v>80</v>
      </c>
      <c r="J1875" t="n">
        <v>0</v>
      </c>
      <c r="EC1875" t="n">
        <v>0</v>
      </c>
      <c r="ED1875" t="n">
        <v>0</v>
      </c>
    </row>
    <row r="1876">
      <c r="A1876" t="n">
        <v>485</v>
      </c>
      <c r="B1876" t="inlineStr">
        <is>
          <t>Oportunidad en el cierre de acciones</t>
        </is>
      </c>
      <c r="C1876" t="inlineStr">
        <is>
          <t>Gestión de calidad</t>
        </is>
      </c>
      <c r="D1876" t="inlineStr">
        <is>
          <t>Mensual</t>
        </is>
      </c>
      <c r="E1876" t="inlineStr">
        <is>
          <t>Positivo</t>
        </is>
      </c>
      <c r="F1876" s="105" t="n">
        <v>45626</v>
      </c>
      <c r="G1876" t="inlineStr">
        <is>
          <t>485-2024-11-30</t>
        </is>
      </c>
      <c r="H1876" t="inlineStr">
        <is>
          <t>Auditoría externa</t>
        </is>
      </c>
      <c r="I1876" t="n">
        <v>80</v>
      </c>
      <c r="J1876" t="n">
        <v>0</v>
      </c>
      <c r="EC1876" t="n">
        <v>0</v>
      </c>
      <c r="ED1876" t="n">
        <v>0</v>
      </c>
    </row>
    <row r="1877">
      <c r="A1877" t="n">
        <v>485</v>
      </c>
      <c r="B1877" t="inlineStr">
        <is>
          <t>Oportunidad en el cierre de acciones</t>
        </is>
      </c>
      <c r="C1877" t="inlineStr">
        <is>
          <t>Gestión de calidad</t>
        </is>
      </c>
      <c r="D1877" t="inlineStr">
        <is>
          <t>Mensual</t>
        </is>
      </c>
      <c r="E1877" t="inlineStr">
        <is>
          <t>Positivo</t>
        </is>
      </c>
      <c r="F1877" s="105" t="n">
        <v>45626</v>
      </c>
      <c r="G1877" t="inlineStr">
        <is>
          <t>485-2024-11-30</t>
        </is>
      </c>
      <c r="H1877" t="inlineStr">
        <is>
          <t>Indicadores</t>
        </is>
      </c>
      <c r="I1877" t="n">
        <v>80</v>
      </c>
      <c r="J1877" t="n">
        <v>0</v>
      </c>
      <c r="EC1877" t="n">
        <v>0</v>
      </c>
      <c r="ED1877" t="n">
        <v>0</v>
      </c>
    </row>
    <row r="1878">
      <c r="A1878" t="n">
        <v>485</v>
      </c>
      <c r="B1878" t="inlineStr">
        <is>
          <t>Oportunidad en el cierre de acciones</t>
        </is>
      </c>
      <c r="C1878" t="inlineStr">
        <is>
          <t>Gestión de calidad</t>
        </is>
      </c>
      <c r="D1878" t="inlineStr">
        <is>
          <t>Mensual</t>
        </is>
      </c>
      <c r="E1878" t="inlineStr">
        <is>
          <t>Positivo</t>
        </is>
      </c>
      <c r="F1878" s="105" t="n">
        <v>45626</v>
      </c>
      <c r="G1878" t="inlineStr">
        <is>
          <t>485-2024-11-30</t>
        </is>
      </c>
      <c r="H1878" t="inlineStr">
        <is>
          <t>Riesgos</t>
        </is>
      </c>
      <c r="I1878" t="n">
        <v>80</v>
      </c>
      <c r="J1878" t="n">
        <v>0</v>
      </c>
      <c r="EC1878" t="n">
        <v>0</v>
      </c>
      <c r="ED1878" t="n">
        <v>0</v>
      </c>
    </row>
    <row r="1879">
      <c r="A1879" t="n">
        <v>485</v>
      </c>
      <c r="B1879" t="inlineStr">
        <is>
          <t>Oportunidad en el cierre de acciones</t>
        </is>
      </c>
      <c r="C1879" t="inlineStr">
        <is>
          <t>Gestión de calidad</t>
        </is>
      </c>
      <c r="D1879" t="inlineStr">
        <is>
          <t>Mensual</t>
        </is>
      </c>
      <c r="E1879" t="inlineStr">
        <is>
          <t>Positivo</t>
        </is>
      </c>
      <c r="F1879" s="105" t="n">
        <v>45626</v>
      </c>
      <c r="G1879" t="inlineStr">
        <is>
          <t>485-2024-11-30</t>
        </is>
      </c>
      <c r="H1879" t="inlineStr">
        <is>
          <t>Autoevaluación</t>
        </is>
      </c>
      <c r="I1879" t="n">
        <v>80</v>
      </c>
      <c r="J1879" t="n">
        <v>0</v>
      </c>
      <c r="EC1879" t="n">
        <v>0</v>
      </c>
      <c r="ED1879" t="n">
        <v>0</v>
      </c>
    </row>
    <row r="1880">
      <c r="A1880" t="n">
        <v>485</v>
      </c>
      <c r="B1880" t="inlineStr">
        <is>
          <t>Oportunidad en el cierre de acciones</t>
        </is>
      </c>
      <c r="C1880" t="inlineStr">
        <is>
          <t>Gestión de calidad</t>
        </is>
      </c>
      <c r="D1880" t="inlineStr">
        <is>
          <t>Mensual</t>
        </is>
      </c>
      <c r="E1880" t="inlineStr">
        <is>
          <t>Positivo</t>
        </is>
      </c>
      <c r="F1880" s="105" t="n">
        <v>45626</v>
      </c>
      <c r="G1880" t="inlineStr">
        <is>
          <t>485-2024-11-30</t>
        </is>
      </c>
      <c r="H1880" t="inlineStr">
        <is>
          <t>Entes de control</t>
        </is>
      </c>
      <c r="I1880" t="n">
        <v>80</v>
      </c>
      <c r="J1880" t="n">
        <v>0</v>
      </c>
      <c r="EC1880" t="n">
        <v>0</v>
      </c>
      <c r="ED1880" t="n">
        <v>0</v>
      </c>
    </row>
    <row r="1881">
      <c r="A1881" t="n">
        <v>485</v>
      </c>
      <c r="B1881" t="inlineStr">
        <is>
          <t>Oportunidad en el cierre de acciones</t>
        </is>
      </c>
      <c r="C1881" t="inlineStr">
        <is>
          <t>Gestión de calidad</t>
        </is>
      </c>
      <c r="D1881" t="inlineStr">
        <is>
          <t>Mensual</t>
        </is>
      </c>
      <c r="E1881" t="inlineStr">
        <is>
          <t>Positivo</t>
        </is>
      </c>
      <c r="F1881" s="105" t="n">
        <v>45626</v>
      </c>
      <c r="G1881" t="inlineStr">
        <is>
          <t>485-2024-11-30</t>
        </is>
      </c>
      <c r="H1881" t="inlineStr">
        <is>
          <t>Seguimiento y control</t>
        </is>
      </c>
      <c r="I1881" t="n">
        <v>80</v>
      </c>
      <c r="J1881" t="n">
        <v>100</v>
      </c>
      <c r="EC1881" t="n">
        <v>1</v>
      </c>
      <c r="ED1881" t="n">
        <v>1</v>
      </c>
    </row>
    <row r="1882">
      <c r="A1882" t="n">
        <v>485</v>
      </c>
      <c r="B1882" t="inlineStr">
        <is>
          <t>Oportunidad en el cierre de acciones</t>
        </is>
      </c>
      <c r="C1882" t="inlineStr">
        <is>
          <t>Gestión de calidad</t>
        </is>
      </c>
      <c r="D1882" t="inlineStr">
        <is>
          <t>Mensual</t>
        </is>
      </c>
      <c r="E1882" t="inlineStr">
        <is>
          <t>Positivo</t>
        </is>
      </c>
      <c r="F1882" s="105" t="n">
        <v>45626</v>
      </c>
      <c r="G1882" t="inlineStr">
        <is>
          <t>485-2024-11-30</t>
        </is>
      </c>
      <c r="H1882" t="inlineStr">
        <is>
          <t>Experiencia</t>
        </is>
      </c>
      <c r="I1882" t="n">
        <v>80</v>
      </c>
      <c r="J1882" t="n">
        <v>0</v>
      </c>
      <c r="EC1882" t="n">
        <v>0</v>
      </c>
      <c r="ED1882" t="n">
        <v>0</v>
      </c>
    </row>
    <row r="1883">
      <c r="A1883" t="n">
        <v>485</v>
      </c>
      <c r="B1883" t="inlineStr">
        <is>
          <t>Oportunidad en el cierre de acciones</t>
        </is>
      </c>
      <c r="C1883" t="inlineStr">
        <is>
          <t>Gestión de calidad</t>
        </is>
      </c>
      <c r="D1883" t="inlineStr">
        <is>
          <t>Mensual</t>
        </is>
      </c>
      <c r="E1883" t="inlineStr">
        <is>
          <t>Positivo</t>
        </is>
      </c>
      <c r="F1883" s="105" t="n">
        <v>45626</v>
      </c>
      <c r="G1883" t="inlineStr">
        <is>
          <t>485-2024-11-30</t>
        </is>
      </c>
      <c r="H1883" t="inlineStr">
        <is>
          <t>Revisión por la dirección</t>
        </is>
      </c>
      <c r="I1883" t="n">
        <v>80</v>
      </c>
      <c r="J1883" t="n">
        <v>0</v>
      </c>
      <c r="EC1883" t="n">
        <v>0</v>
      </c>
      <c r="ED1883" t="n">
        <v>0</v>
      </c>
    </row>
    <row r="1884">
      <c r="A1884" t="n">
        <v>488</v>
      </c>
      <c r="B1884" t="inlineStr">
        <is>
          <t>Oportunidad en el cierre de actividades de los planes de mejora</t>
        </is>
      </c>
      <c r="C1884" t="inlineStr">
        <is>
          <t>Gestión de calidad</t>
        </is>
      </c>
      <c r="D1884" t="inlineStr">
        <is>
          <t>Mensual</t>
        </is>
      </c>
      <c r="E1884" t="inlineStr">
        <is>
          <t>Positivo</t>
        </is>
      </c>
      <c r="F1884" s="105" t="n">
        <v>45626</v>
      </c>
      <c r="G1884" t="inlineStr">
        <is>
          <t>488-2024-11-30</t>
        </is>
      </c>
      <c r="H1884" t="inlineStr">
        <is>
          <t>Auditoría interna</t>
        </is>
      </c>
      <c r="I1884" t="n">
        <v>85</v>
      </c>
      <c r="J1884" t="n">
        <v>92.11000061035156</v>
      </c>
      <c r="EE1884" t="n">
        <v>105</v>
      </c>
      <c r="EF1884" t="n">
        <v>114</v>
      </c>
    </row>
    <row r="1885">
      <c r="A1885" t="n">
        <v>488</v>
      </c>
      <c r="B1885" t="inlineStr">
        <is>
          <t>Oportunidad en el cierre de actividades de los planes de mejora</t>
        </is>
      </c>
      <c r="C1885" t="inlineStr">
        <is>
          <t>Gestión de calidad</t>
        </is>
      </c>
      <c r="D1885" t="inlineStr">
        <is>
          <t>Mensual</t>
        </is>
      </c>
      <c r="E1885" t="inlineStr">
        <is>
          <t>Positivo</t>
        </is>
      </c>
      <c r="F1885" s="105" t="n">
        <v>45626</v>
      </c>
      <c r="G1885" t="inlineStr">
        <is>
          <t>488-2024-11-30</t>
        </is>
      </c>
      <c r="H1885" t="inlineStr">
        <is>
          <t>Auditoría externa</t>
        </is>
      </c>
      <c r="I1885" t="n">
        <v>85</v>
      </c>
      <c r="J1885" t="n">
        <v>95.73999786376953</v>
      </c>
      <c r="EE1885" t="n">
        <v>45</v>
      </c>
      <c r="EF1885" t="n">
        <v>47</v>
      </c>
    </row>
    <row r="1886">
      <c r="A1886" t="n">
        <v>488</v>
      </c>
      <c r="B1886" t="inlineStr">
        <is>
          <t>Oportunidad en el cierre de actividades de los planes de mejora</t>
        </is>
      </c>
      <c r="C1886" t="inlineStr">
        <is>
          <t>Gestión de calidad</t>
        </is>
      </c>
      <c r="D1886" t="inlineStr">
        <is>
          <t>Mensual</t>
        </is>
      </c>
      <c r="E1886" t="inlineStr">
        <is>
          <t>Positivo</t>
        </is>
      </c>
      <c r="F1886" s="105" t="n">
        <v>45626</v>
      </c>
      <c r="G1886" t="inlineStr">
        <is>
          <t>488-2024-11-30</t>
        </is>
      </c>
      <c r="H1886" t="inlineStr">
        <is>
          <t>Indicadores</t>
        </is>
      </c>
      <c r="I1886" t="n">
        <v>85</v>
      </c>
      <c r="J1886" t="n">
        <v>98.19999694824219</v>
      </c>
      <c r="EE1886" t="n">
        <v>109</v>
      </c>
      <c r="EF1886" t="n">
        <v>111</v>
      </c>
    </row>
    <row r="1887">
      <c r="A1887" t="n">
        <v>488</v>
      </c>
      <c r="B1887" t="inlineStr">
        <is>
          <t>Oportunidad en el cierre de actividades de los planes de mejora</t>
        </is>
      </c>
      <c r="C1887" t="inlineStr">
        <is>
          <t>Gestión de calidad</t>
        </is>
      </c>
      <c r="D1887" t="inlineStr">
        <is>
          <t>Mensual</t>
        </is>
      </c>
      <c r="E1887" t="inlineStr">
        <is>
          <t>Positivo</t>
        </is>
      </c>
      <c r="F1887" s="105" t="n">
        <v>45626</v>
      </c>
      <c r="G1887" t="inlineStr">
        <is>
          <t>488-2024-11-30</t>
        </is>
      </c>
      <c r="H1887" t="inlineStr">
        <is>
          <t>Riesgos</t>
        </is>
      </c>
      <c r="I1887" t="n">
        <v>85</v>
      </c>
      <c r="J1887" t="n">
        <v>0</v>
      </c>
      <c r="EE1887" t="n">
        <v>0</v>
      </c>
      <c r="EF1887" t="n">
        <v>0</v>
      </c>
    </row>
    <row r="1888">
      <c r="A1888" t="n">
        <v>488</v>
      </c>
      <c r="B1888" t="inlineStr">
        <is>
          <t>Oportunidad en el cierre de actividades de los planes de mejora</t>
        </is>
      </c>
      <c r="C1888" t="inlineStr">
        <is>
          <t>Gestión de calidad</t>
        </is>
      </c>
      <c r="D1888" t="inlineStr">
        <is>
          <t>Mensual</t>
        </is>
      </c>
      <c r="E1888" t="inlineStr">
        <is>
          <t>Positivo</t>
        </is>
      </c>
      <c r="F1888" s="105" t="n">
        <v>45626</v>
      </c>
      <c r="G1888" t="inlineStr">
        <is>
          <t>488-2024-11-30</t>
        </is>
      </c>
      <c r="H1888" t="inlineStr">
        <is>
          <t>Autoevaluación</t>
        </is>
      </c>
      <c r="I1888" t="n">
        <v>85</v>
      </c>
      <c r="J1888" t="n">
        <v>0</v>
      </c>
      <c r="EE1888" t="n">
        <v>0</v>
      </c>
      <c r="EF1888" t="n">
        <v>0</v>
      </c>
    </row>
    <row r="1889">
      <c r="A1889" t="n">
        <v>488</v>
      </c>
      <c r="B1889" t="inlineStr">
        <is>
          <t>Oportunidad en el cierre de actividades de los planes de mejora</t>
        </is>
      </c>
      <c r="C1889" t="inlineStr">
        <is>
          <t>Gestión de calidad</t>
        </is>
      </c>
      <c r="D1889" t="inlineStr">
        <is>
          <t>Mensual</t>
        </is>
      </c>
      <c r="E1889" t="inlineStr">
        <is>
          <t>Positivo</t>
        </is>
      </c>
      <c r="F1889" s="105" t="n">
        <v>45626</v>
      </c>
      <c r="G1889" t="inlineStr">
        <is>
          <t>488-2024-11-30</t>
        </is>
      </c>
      <c r="H1889" t="inlineStr">
        <is>
          <t>Entes de control</t>
        </is>
      </c>
      <c r="I1889" t="n">
        <v>85</v>
      </c>
      <c r="J1889" t="n">
        <v>100</v>
      </c>
      <c r="EE1889" t="n">
        <v>28</v>
      </c>
      <c r="EF1889" t="n">
        <v>28</v>
      </c>
    </row>
    <row r="1890">
      <c r="A1890" t="n">
        <v>488</v>
      </c>
      <c r="B1890" t="inlineStr">
        <is>
          <t>Oportunidad en el cierre de actividades de los planes de mejora</t>
        </is>
      </c>
      <c r="C1890" t="inlineStr">
        <is>
          <t>Gestión de calidad</t>
        </is>
      </c>
      <c r="D1890" t="inlineStr">
        <is>
          <t>Mensual</t>
        </is>
      </c>
      <c r="E1890" t="inlineStr">
        <is>
          <t>Positivo</t>
        </is>
      </c>
      <c r="F1890" s="105" t="n">
        <v>45626</v>
      </c>
      <c r="G1890" t="inlineStr">
        <is>
          <t>488-2024-11-30</t>
        </is>
      </c>
      <c r="H1890" t="inlineStr">
        <is>
          <t>Seguimiento y control</t>
        </is>
      </c>
      <c r="I1890" t="n">
        <v>85</v>
      </c>
      <c r="J1890" t="n">
        <v>95.55999755859375</v>
      </c>
      <c r="EE1890" t="n">
        <v>43</v>
      </c>
      <c r="EF1890" t="n">
        <v>45</v>
      </c>
    </row>
    <row r="1891">
      <c r="A1891" t="n">
        <v>488</v>
      </c>
      <c r="B1891" t="inlineStr">
        <is>
          <t>Oportunidad en el cierre de actividades de los planes de mejora</t>
        </is>
      </c>
      <c r="C1891" t="inlineStr">
        <is>
          <t>Gestión de calidad</t>
        </is>
      </c>
      <c r="D1891" t="inlineStr">
        <is>
          <t>Mensual</t>
        </is>
      </c>
      <c r="E1891" t="inlineStr">
        <is>
          <t>Positivo</t>
        </is>
      </c>
      <c r="F1891" s="105" t="n">
        <v>45626</v>
      </c>
      <c r="G1891" t="inlineStr">
        <is>
          <t>488-2024-11-30</t>
        </is>
      </c>
      <c r="H1891" t="inlineStr">
        <is>
          <t>Experiencia</t>
        </is>
      </c>
      <c r="I1891" t="n">
        <v>85</v>
      </c>
      <c r="J1891" t="n">
        <v>0</v>
      </c>
      <c r="EE1891" t="n">
        <v>0</v>
      </c>
      <c r="EF1891" t="n">
        <v>0</v>
      </c>
    </row>
    <row r="1892">
      <c r="A1892" t="n">
        <v>488</v>
      </c>
      <c r="B1892" t="inlineStr">
        <is>
          <t>Oportunidad en el cierre de actividades de los planes de mejora</t>
        </is>
      </c>
      <c r="C1892" t="inlineStr">
        <is>
          <t>Gestión de calidad</t>
        </is>
      </c>
      <c r="D1892" t="inlineStr">
        <is>
          <t>Mensual</t>
        </is>
      </c>
      <c r="E1892" t="inlineStr">
        <is>
          <t>Positivo</t>
        </is>
      </c>
      <c r="F1892" s="105" t="n">
        <v>45626</v>
      </c>
      <c r="G1892" t="inlineStr">
        <is>
          <t>488-2024-11-30</t>
        </is>
      </c>
      <c r="H1892" t="inlineStr">
        <is>
          <t>Revisión por la dirección</t>
        </is>
      </c>
      <c r="I1892" t="n">
        <v>85</v>
      </c>
      <c r="J1892" t="n">
        <v>100</v>
      </c>
      <c r="EE1892" t="n">
        <v>11</v>
      </c>
      <c r="EF1892" t="n">
        <v>11</v>
      </c>
    </row>
    <row r="1893">
      <c r="A1893" t="n">
        <v>208</v>
      </c>
      <c r="B1893" t="inlineStr">
        <is>
          <t>Consumo de Agua m3 Mensual</t>
        </is>
      </c>
      <c r="C1893" t="inlineStr">
        <is>
          <t>GESTIÓN AMBIENTAL</t>
        </is>
      </c>
      <c r="D1893" t="inlineStr">
        <is>
          <t>Mensual</t>
        </is>
      </c>
      <c r="E1893" t="inlineStr">
        <is>
          <t>Negativo</t>
        </is>
      </c>
      <c r="F1893" s="105" t="n">
        <v>45657</v>
      </c>
      <c r="G1893" t="inlineStr">
        <is>
          <t>208-2024-12-31</t>
        </is>
      </c>
      <c r="H1893" t="inlineStr">
        <is>
          <t>Campus Bogotá</t>
        </is>
      </c>
      <c r="I1893" t="n">
        <v>950</v>
      </c>
      <c r="J1893" t="n">
        <v>500</v>
      </c>
      <c r="K1893" t="n">
        <v>500</v>
      </c>
    </row>
    <row r="1894">
      <c r="A1894" t="n">
        <v>208</v>
      </c>
      <c r="B1894" t="inlineStr">
        <is>
          <t>Consumo de Agua m3 Mensual</t>
        </is>
      </c>
      <c r="C1894" t="inlineStr">
        <is>
          <t>GESTIÓN AMBIENTAL</t>
        </is>
      </c>
      <c r="D1894" t="inlineStr">
        <is>
          <t>Mensual</t>
        </is>
      </c>
      <c r="E1894" t="inlineStr">
        <is>
          <t>Negativo</t>
        </is>
      </c>
      <c r="F1894" s="105" t="n">
        <v>45657</v>
      </c>
      <c r="G1894" t="inlineStr">
        <is>
          <t>208-2024-12-31</t>
        </is>
      </c>
      <c r="H1894" t="inlineStr">
        <is>
          <t>Sede Posgrado-Calle 85</t>
        </is>
      </c>
      <c r="I1894" t="n">
        <v>25</v>
      </c>
      <c r="J1894" t="n">
        <v>22.5</v>
      </c>
      <c r="K1894" t="n">
        <v>22.5</v>
      </c>
    </row>
    <row r="1895">
      <c r="A1895" t="n">
        <v>208</v>
      </c>
      <c r="B1895" t="inlineStr">
        <is>
          <t>Consumo de Agua m3 Mensual</t>
        </is>
      </c>
      <c r="C1895" t="inlineStr">
        <is>
          <t>GESTIÓN AMBIENTAL</t>
        </is>
      </c>
      <c r="D1895" t="inlineStr">
        <is>
          <t>Mensual</t>
        </is>
      </c>
      <c r="E1895" t="inlineStr">
        <is>
          <t>Negativo</t>
        </is>
      </c>
      <c r="F1895" s="105" t="n">
        <v>45657</v>
      </c>
      <c r="G1895" t="inlineStr">
        <is>
          <t>208-2024-12-31</t>
        </is>
      </c>
      <c r="H1895" t="inlineStr">
        <is>
          <t>Campus-Medellín</t>
        </is>
      </c>
      <c r="I1895" t="n">
        <v>200</v>
      </c>
      <c r="J1895" t="n">
        <v>192</v>
      </c>
      <c r="K1895" t="n">
        <v>192</v>
      </c>
    </row>
    <row r="1896">
      <c r="A1896" t="n">
        <v>208</v>
      </c>
      <c r="B1896" t="inlineStr">
        <is>
          <t>Consumo de Agua m3 Mensual</t>
        </is>
      </c>
      <c r="C1896" t="inlineStr">
        <is>
          <t>GESTIÓN AMBIENTAL</t>
        </is>
      </c>
      <c r="D1896" t="inlineStr">
        <is>
          <t>Mensual</t>
        </is>
      </c>
      <c r="E1896" t="inlineStr">
        <is>
          <t>Negativo</t>
        </is>
      </c>
      <c r="F1896" s="105" t="n">
        <v>45657</v>
      </c>
      <c r="G1896" t="inlineStr">
        <is>
          <t>208-2024-12-31</t>
        </is>
      </c>
      <c r="H1896" t="inlineStr">
        <is>
          <t>Sede Bienestar - Medellín</t>
        </is>
      </c>
      <c r="I1896" t="n">
        <v>0</v>
      </c>
      <c r="J1896" t="n">
        <v>0</v>
      </c>
      <c r="K1896" t="n">
        <v>0</v>
      </c>
    </row>
    <row r="1897">
      <c r="A1897" t="n">
        <v>208</v>
      </c>
      <c r="B1897" t="inlineStr">
        <is>
          <t>Consumo de Agua m3 Mensual</t>
        </is>
      </c>
      <c r="C1897" t="inlineStr">
        <is>
          <t>GESTIÓN AMBIENTAL</t>
        </is>
      </c>
      <c r="D1897" t="inlineStr">
        <is>
          <t>Mensual</t>
        </is>
      </c>
      <c r="E1897" t="inlineStr">
        <is>
          <t>Negativo</t>
        </is>
      </c>
      <c r="F1897" s="105" t="n">
        <v>45657</v>
      </c>
      <c r="G1897" t="inlineStr">
        <is>
          <t>208-2024-12-31</t>
        </is>
      </c>
      <c r="H1897" t="inlineStr">
        <is>
          <t>Consultorio Psicología - Medellin</t>
        </is>
      </c>
      <c r="I1897" t="n">
        <v>25</v>
      </c>
      <c r="J1897" t="n">
        <v>6</v>
      </c>
      <c r="K1897" t="n">
        <v>6</v>
      </c>
    </row>
    <row r="1898">
      <c r="A1898" t="n">
        <v>208</v>
      </c>
      <c r="B1898" t="inlineStr">
        <is>
          <t>Consumo de Agua m3 Mensual</t>
        </is>
      </c>
      <c r="C1898" t="inlineStr">
        <is>
          <t>GESTIÓN AMBIENTAL</t>
        </is>
      </c>
      <c r="D1898" t="inlineStr">
        <is>
          <t>Mensual</t>
        </is>
      </c>
      <c r="E1898" t="inlineStr">
        <is>
          <t>Negativo</t>
        </is>
      </c>
      <c r="F1898" s="105" t="n">
        <v>45657</v>
      </c>
      <c r="G1898" t="inlineStr">
        <is>
          <t>208-2024-12-31</t>
        </is>
      </c>
      <c r="H1898" t="inlineStr">
        <is>
          <t>City Campus</t>
        </is>
      </c>
      <c r="I1898" t="n">
        <v>350</v>
      </c>
      <c r="J1898" t="n">
        <v>218.5</v>
      </c>
      <c r="K1898" t="n">
        <v>218.5</v>
      </c>
    </row>
    <row r="1899">
      <c r="A1899" t="n">
        <v>214</v>
      </c>
      <c r="B1899" t="inlineStr">
        <is>
          <t>Generación de Residuos Sólidos Mensual</t>
        </is>
      </c>
      <c r="C1899" t="inlineStr">
        <is>
          <t>GESTIÓN AMBIENTAL</t>
        </is>
      </c>
      <c r="D1899" t="inlineStr">
        <is>
          <t>Mensual</t>
        </is>
      </c>
      <c r="E1899" t="inlineStr">
        <is>
          <t>Negativo</t>
        </is>
      </c>
      <c r="F1899" s="105" t="n">
        <v>45657</v>
      </c>
      <c r="G1899" t="inlineStr">
        <is>
          <t>214-2024-12-31</t>
        </is>
      </c>
      <c r="H1899" t="inlineStr">
        <is>
          <t>Campus Bogotá</t>
        </is>
      </c>
      <c r="I1899" t="n">
        <v>5500</v>
      </c>
      <c r="J1899" t="n">
        <v>1180</v>
      </c>
      <c r="L1899" t="n">
        <v>474</v>
      </c>
      <c r="M1899" t="n">
        <v>706</v>
      </c>
    </row>
    <row r="1900">
      <c r="A1900" t="n">
        <v>214</v>
      </c>
      <c r="B1900" t="inlineStr">
        <is>
          <t>Generación de Residuos Sólidos Mensual</t>
        </is>
      </c>
      <c r="C1900" t="inlineStr">
        <is>
          <t>GESTIÓN AMBIENTAL</t>
        </is>
      </c>
      <c r="D1900" t="inlineStr">
        <is>
          <t>Mensual</t>
        </is>
      </c>
      <c r="E1900" t="inlineStr">
        <is>
          <t>Negativo</t>
        </is>
      </c>
      <c r="F1900" s="105" t="n">
        <v>45657</v>
      </c>
      <c r="G1900" t="inlineStr">
        <is>
          <t>214-2024-12-31</t>
        </is>
      </c>
      <c r="H1900" t="inlineStr">
        <is>
          <t>City Campus</t>
        </is>
      </c>
      <c r="I1900" t="n">
        <v>1000</v>
      </c>
      <c r="J1900" t="n">
        <v>0</v>
      </c>
      <c r="L1900" t="n">
        <v>11</v>
      </c>
      <c r="M1900" t="n">
        <v>442.2</v>
      </c>
    </row>
    <row r="1901">
      <c r="A1901" t="n">
        <v>214</v>
      </c>
      <c r="B1901" t="inlineStr">
        <is>
          <t>Generación de Residuos Sólidos Mensual</t>
        </is>
      </c>
      <c r="C1901" t="inlineStr">
        <is>
          <t>GESTIÓN AMBIENTAL</t>
        </is>
      </c>
      <c r="D1901" t="inlineStr">
        <is>
          <t>Mensual</t>
        </is>
      </c>
      <c r="E1901" t="inlineStr">
        <is>
          <t>Negativo</t>
        </is>
      </c>
      <c r="F1901" s="105" t="n">
        <v>45657</v>
      </c>
      <c r="G1901" t="inlineStr">
        <is>
          <t>214-2024-12-31</t>
        </is>
      </c>
      <c r="H1901" t="inlineStr">
        <is>
          <t>Sede Posgrado-Calle 85</t>
        </is>
      </c>
      <c r="I1901" t="n">
        <v>7500</v>
      </c>
      <c r="J1901" t="n">
        <v>0</v>
      </c>
      <c r="L1901" t="n">
        <v>0</v>
      </c>
      <c r="M1901" t="n">
        <v>0</v>
      </c>
    </row>
    <row r="1902">
      <c r="A1902" t="n">
        <v>214</v>
      </c>
      <c r="B1902" t="inlineStr">
        <is>
          <t>Generación de Residuos Sólidos Mensual</t>
        </is>
      </c>
      <c r="C1902" t="inlineStr">
        <is>
          <t>GESTIÓN AMBIENTAL</t>
        </is>
      </c>
      <c r="D1902" t="inlineStr">
        <is>
          <t>Mensual</t>
        </is>
      </c>
      <c r="E1902" t="inlineStr">
        <is>
          <t>Negativo</t>
        </is>
      </c>
      <c r="F1902" s="105" t="n">
        <v>45657</v>
      </c>
      <c r="G1902" t="inlineStr">
        <is>
          <t>214-2024-12-31</t>
        </is>
      </c>
      <c r="H1902" t="inlineStr">
        <is>
          <t>Campus-Medellín</t>
        </is>
      </c>
      <c r="I1902" t="n">
        <v>1000</v>
      </c>
      <c r="J1902" t="n">
        <v>310.2000122070312</v>
      </c>
      <c r="L1902" t="n">
        <v>39.7</v>
      </c>
      <c r="M1902" t="n">
        <v>270.5</v>
      </c>
    </row>
    <row r="1903">
      <c r="A1903" t="n">
        <v>214</v>
      </c>
      <c r="B1903" t="inlineStr">
        <is>
          <t>Generación de Residuos Sólidos Mensual</t>
        </is>
      </c>
      <c r="C1903" t="inlineStr">
        <is>
          <t>GESTIÓN AMBIENTAL</t>
        </is>
      </c>
      <c r="D1903" t="inlineStr">
        <is>
          <t>Mensual</t>
        </is>
      </c>
      <c r="E1903" t="inlineStr">
        <is>
          <t>Negativo</t>
        </is>
      </c>
      <c r="F1903" s="105" t="n">
        <v>45657</v>
      </c>
      <c r="G1903" t="inlineStr">
        <is>
          <t>214-2024-12-31</t>
        </is>
      </c>
      <c r="H1903" t="inlineStr">
        <is>
          <t>Sede Bienestar - Medellín</t>
        </is>
      </c>
      <c r="I1903" t="n">
        <v>1</v>
      </c>
      <c r="J1903" t="n">
        <v>0</v>
      </c>
      <c r="L1903" t="n">
        <v>0</v>
      </c>
      <c r="M1903" t="n">
        <v>0</v>
      </c>
    </row>
    <row r="1904">
      <c r="A1904" t="n">
        <v>214</v>
      </c>
      <c r="B1904" t="inlineStr">
        <is>
          <t>Generación de Residuos Sólidos Mensual</t>
        </is>
      </c>
      <c r="C1904" t="inlineStr">
        <is>
          <t>GESTIÓN AMBIENTAL</t>
        </is>
      </c>
      <c r="D1904" t="inlineStr">
        <is>
          <t>Mensual</t>
        </is>
      </c>
      <c r="E1904" t="inlineStr">
        <is>
          <t>Negativo</t>
        </is>
      </c>
      <c r="F1904" s="105" t="n">
        <v>45657</v>
      </c>
      <c r="G1904" t="inlineStr">
        <is>
          <t>214-2024-12-31</t>
        </is>
      </c>
      <c r="H1904" t="inlineStr">
        <is>
          <t>Consultorio Psicología - Medellin</t>
        </is>
      </c>
      <c r="I1904" t="n">
        <v>1</v>
      </c>
      <c r="J1904" t="n">
        <v>0</v>
      </c>
      <c r="L1904" t="n">
        <v>2.71</v>
      </c>
      <c r="M1904" t="n">
        <v>4.01</v>
      </c>
    </row>
    <row r="1905">
      <c r="A1905" t="n">
        <v>217</v>
      </c>
      <c r="B1905" t="inlineStr">
        <is>
          <t>Aprovechamiento de Residuos</t>
        </is>
      </c>
      <c r="C1905" t="inlineStr">
        <is>
          <t>GESTIÓN AMBIENTAL</t>
        </is>
      </c>
      <c r="D1905" t="inlineStr">
        <is>
          <t>Mensual</t>
        </is>
      </c>
      <c r="E1905" t="inlineStr">
        <is>
          <t>Positivo</t>
        </is>
      </c>
      <c r="F1905" s="105" t="n">
        <v>45657</v>
      </c>
      <c r="G1905" t="inlineStr">
        <is>
          <t>217-2024-12-31</t>
        </is>
      </c>
      <c r="H1905" t="inlineStr">
        <is>
          <t>Campus Bogotá</t>
        </is>
      </c>
      <c r="I1905" t="n">
        <v>20</v>
      </c>
      <c r="J1905" t="n">
        <v>40.16999816894531</v>
      </c>
      <c r="L1905" t="n">
        <v>474</v>
      </c>
      <c r="M1905" t="n">
        <v>706</v>
      </c>
      <c r="AS1905" t="n">
        <v>474</v>
      </c>
    </row>
    <row r="1906">
      <c r="A1906" t="n">
        <v>217</v>
      </c>
      <c r="B1906" t="inlineStr">
        <is>
          <t>Aprovechamiento de Residuos</t>
        </is>
      </c>
      <c r="C1906" t="inlineStr">
        <is>
          <t>GESTIÓN AMBIENTAL</t>
        </is>
      </c>
      <c r="D1906" t="inlineStr">
        <is>
          <t>Mensual</t>
        </is>
      </c>
      <c r="E1906" t="inlineStr">
        <is>
          <t>Positivo</t>
        </is>
      </c>
      <c r="F1906" s="105" t="n">
        <v>45657</v>
      </c>
      <c r="G1906" t="inlineStr">
        <is>
          <t>217-2024-12-31</t>
        </is>
      </c>
      <c r="H1906" t="inlineStr">
        <is>
          <t>City Campus</t>
        </is>
      </c>
      <c r="I1906" t="n">
        <v>20</v>
      </c>
      <c r="J1906" t="n">
        <v>2.430000066757202</v>
      </c>
      <c r="L1906" t="n">
        <v>11</v>
      </c>
      <c r="M1906" t="n">
        <v>442.2</v>
      </c>
      <c r="AS1906" t="n">
        <v>11</v>
      </c>
    </row>
    <row r="1907">
      <c r="A1907" t="n">
        <v>217</v>
      </c>
      <c r="B1907" t="inlineStr">
        <is>
          <t>Aprovechamiento de Residuos</t>
        </is>
      </c>
      <c r="C1907" t="inlineStr">
        <is>
          <t>GESTIÓN AMBIENTAL</t>
        </is>
      </c>
      <c r="D1907" t="inlineStr">
        <is>
          <t>Mensual</t>
        </is>
      </c>
      <c r="E1907" t="inlineStr">
        <is>
          <t>Positivo</t>
        </is>
      </c>
      <c r="F1907" s="105" t="n">
        <v>45657</v>
      </c>
      <c r="G1907" t="inlineStr">
        <is>
          <t>217-2024-12-31</t>
        </is>
      </c>
      <c r="H1907" t="inlineStr">
        <is>
          <t>Sede Posgrado-Calle 85</t>
        </is>
      </c>
      <c r="I1907" t="n">
        <v>20</v>
      </c>
      <c r="J1907" t="n">
        <v>0</v>
      </c>
      <c r="L1907" t="n">
        <v>0</v>
      </c>
      <c r="M1907" t="n">
        <v>0</v>
      </c>
      <c r="AS1907" t="n">
        <v>0</v>
      </c>
    </row>
    <row r="1908">
      <c r="A1908" t="n">
        <v>217</v>
      </c>
      <c r="B1908" t="inlineStr">
        <is>
          <t>Aprovechamiento de Residuos</t>
        </is>
      </c>
      <c r="C1908" t="inlineStr">
        <is>
          <t>GESTIÓN AMBIENTAL</t>
        </is>
      </c>
      <c r="D1908" t="inlineStr">
        <is>
          <t>Mensual</t>
        </is>
      </c>
      <c r="E1908" t="inlineStr">
        <is>
          <t>Positivo</t>
        </is>
      </c>
      <c r="F1908" s="105" t="n">
        <v>45657</v>
      </c>
      <c r="G1908" t="inlineStr">
        <is>
          <t>217-2024-12-31</t>
        </is>
      </c>
      <c r="H1908" t="inlineStr">
        <is>
          <t>Campus-Medellín</t>
        </is>
      </c>
      <c r="I1908" t="n">
        <v>20</v>
      </c>
      <c r="J1908" t="n">
        <v>12.80000019073486</v>
      </c>
      <c r="L1908" t="n">
        <v>39.7</v>
      </c>
      <c r="M1908" t="n">
        <v>270.5</v>
      </c>
      <c r="AS1908" t="n">
        <v>39.7</v>
      </c>
    </row>
    <row r="1909">
      <c r="A1909" t="n">
        <v>217</v>
      </c>
      <c r="B1909" t="inlineStr">
        <is>
          <t>Aprovechamiento de Residuos</t>
        </is>
      </c>
      <c r="C1909" t="inlineStr">
        <is>
          <t>GESTIÓN AMBIENTAL</t>
        </is>
      </c>
      <c r="D1909" t="inlineStr">
        <is>
          <t>Mensual</t>
        </is>
      </c>
      <c r="E1909" t="inlineStr">
        <is>
          <t>Positivo</t>
        </is>
      </c>
      <c r="F1909" s="105" t="n">
        <v>45657</v>
      </c>
      <c r="G1909" t="inlineStr">
        <is>
          <t>217-2024-12-31</t>
        </is>
      </c>
      <c r="H1909" t="inlineStr">
        <is>
          <t>Consultorio Psicología - Medellin</t>
        </is>
      </c>
      <c r="I1909" t="n">
        <v>20</v>
      </c>
      <c r="J1909" t="n">
        <v>40.33000183105469</v>
      </c>
      <c r="L1909" t="n">
        <v>2.71</v>
      </c>
      <c r="M1909" t="n">
        <v>4.01</v>
      </c>
      <c r="AS1909" t="n">
        <v>2.71</v>
      </c>
    </row>
    <row r="1910">
      <c r="A1910" t="n">
        <v>218</v>
      </c>
      <c r="B1910" t="inlineStr">
        <is>
          <t>Consumo de Energía Eléctrica kWh Mensual</t>
        </is>
      </c>
      <c r="C1910" t="inlineStr">
        <is>
          <t>GESTIÓN AMBIENTAL</t>
        </is>
      </c>
      <c r="D1910" t="inlineStr">
        <is>
          <t>Mensual</t>
        </is>
      </c>
      <c r="E1910" t="inlineStr">
        <is>
          <t>Negativo</t>
        </is>
      </c>
      <c r="F1910" s="105" t="n">
        <v>45657</v>
      </c>
      <c r="G1910" t="inlineStr">
        <is>
          <t>218-2024-12-31</t>
        </is>
      </c>
      <c r="H1910" t="inlineStr">
        <is>
          <t>City Campus</t>
        </is>
      </c>
      <c r="I1910" t="n">
        <v>76000</v>
      </c>
      <c r="J1910" t="n">
        <v>42180</v>
      </c>
      <c r="N1910" t="n">
        <v>42180</v>
      </c>
    </row>
    <row r="1911">
      <c r="A1911" t="n">
        <v>218</v>
      </c>
      <c r="B1911" t="inlineStr">
        <is>
          <t>Consumo de Energía Eléctrica kWh Mensual</t>
        </is>
      </c>
      <c r="C1911" t="inlineStr">
        <is>
          <t>GESTIÓN AMBIENTAL</t>
        </is>
      </c>
      <c r="D1911" t="inlineStr">
        <is>
          <t>Mensual</t>
        </is>
      </c>
      <c r="E1911" t="inlineStr">
        <is>
          <t>Negativo</t>
        </is>
      </c>
      <c r="F1911" s="105" t="n">
        <v>45657</v>
      </c>
      <c r="G1911" t="inlineStr">
        <is>
          <t>218-2024-12-31</t>
        </is>
      </c>
      <c r="H1911" t="inlineStr">
        <is>
          <t>Sede Posgrado-Calle 85</t>
        </is>
      </c>
      <c r="I1911" t="n">
        <v>5000</v>
      </c>
      <c r="J1911" t="n">
        <v>3600</v>
      </c>
      <c r="N1911" t="n">
        <v>3600</v>
      </c>
    </row>
    <row r="1912">
      <c r="A1912" t="n">
        <v>218</v>
      </c>
      <c r="B1912" t="inlineStr">
        <is>
          <t>Consumo de Energía Eléctrica kWh Mensual</t>
        </is>
      </c>
      <c r="C1912" t="inlineStr">
        <is>
          <t>GESTIÓN AMBIENTAL</t>
        </is>
      </c>
      <c r="D1912" t="inlineStr">
        <is>
          <t>Mensual</t>
        </is>
      </c>
      <c r="E1912" t="inlineStr">
        <is>
          <t>Negativo</t>
        </is>
      </c>
      <c r="F1912" s="105" t="n">
        <v>45657</v>
      </c>
      <c r="G1912" t="inlineStr">
        <is>
          <t>218-2024-12-31</t>
        </is>
      </c>
      <c r="H1912" t="inlineStr">
        <is>
          <t>Campus-Medellín</t>
        </is>
      </c>
      <c r="I1912" t="n">
        <v>24000</v>
      </c>
      <c r="J1912" t="n">
        <v>22720</v>
      </c>
      <c r="N1912" t="n">
        <v>22720</v>
      </c>
    </row>
    <row r="1913">
      <c r="A1913" t="n">
        <v>218</v>
      </c>
      <c r="B1913" t="inlineStr">
        <is>
          <t>Consumo de Energía Eléctrica kWh Mensual</t>
        </is>
      </c>
      <c r="C1913" t="inlineStr">
        <is>
          <t>GESTIÓN AMBIENTAL</t>
        </is>
      </c>
      <c r="D1913" t="inlineStr">
        <is>
          <t>Mensual</t>
        </is>
      </c>
      <c r="E1913" t="inlineStr">
        <is>
          <t>Negativo</t>
        </is>
      </c>
      <c r="F1913" s="105" t="n">
        <v>45657</v>
      </c>
      <c r="G1913" t="inlineStr">
        <is>
          <t>218-2024-12-31</t>
        </is>
      </c>
      <c r="H1913" t="inlineStr">
        <is>
          <t>Sede Bienestar - Medellín</t>
        </is>
      </c>
      <c r="I1913" t="n">
        <v>5000</v>
      </c>
      <c r="J1913" t="n">
        <v>4080</v>
      </c>
      <c r="N1913" t="n">
        <v>4080</v>
      </c>
    </row>
    <row r="1914">
      <c r="A1914" t="n">
        <v>218</v>
      </c>
      <c r="B1914" t="inlineStr">
        <is>
          <t>Consumo de Energía Eléctrica kWh Mensual</t>
        </is>
      </c>
      <c r="C1914" t="inlineStr">
        <is>
          <t>GESTIÓN AMBIENTAL</t>
        </is>
      </c>
      <c r="D1914" t="inlineStr">
        <is>
          <t>Mensual</t>
        </is>
      </c>
      <c r="E1914" t="inlineStr">
        <is>
          <t>Negativo</t>
        </is>
      </c>
      <c r="F1914" s="105" t="n">
        <v>45657</v>
      </c>
      <c r="G1914" t="inlineStr">
        <is>
          <t>218-2024-12-31</t>
        </is>
      </c>
      <c r="H1914" t="inlineStr">
        <is>
          <t>Consultorio Psicología - Medellin</t>
        </is>
      </c>
      <c r="I1914" t="n">
        <v>2000</v>
      </c>
      <c r="J1914" t="n">
        <v>945</v>
      </c>
      <c r="N1914" t="n">
        <v>945</v>
      </c>
    </row>
    <row r="1915">
      <c r="A1915" t="n">
        <v>218</v>
      </c>
      <c r="B1915" t="inlineStr">
        <is>
          <t>Consumo de Energía Eléctrica kWh Mensual</t>
        </is>
      </c>
      <c r="C1915" t="inlineStr">
        <is>
          <t>GESTIÓN AMBIENTAL</t>
        </is>
      </c>
      <c r="D1915" t="inlineStr">
        <is>
          <t>Mensual</t>
        </is>
      </c>
      <c r="E1915" t="inlineStr">
        <is>
          <t>Negativo</t>
        </is>
      </c>
      <c r="F1915" s="105" t="n">
        <v>45657</v>
      </c>
      <c r="G1915" t="inlineStr">
        <is>
          <t>218-2024-12-31</t>
        </is>
      </c>
      <c r="H1915" t="inlineStr">
        <is>
          <t>Campus Bogotá</t>
        </is>
      </c>
      <c r="I1915" t="n">
        <v>76000</v>
      </c>
      <c r="J1915" t="n">
        <v>53449.55078125</v>
      </c>
      <c r="N1915" t="n">
        <v>53449.55</v>
      </c>
    </row>
    <row r="1916">
      <c r="A1916" t="n">
        <v>225</v>
      </c>
      <c r="B1916" t="inlineStr">
        <is>
          <t>Acciones para el Cuidado y Mantenimiento de las Especies de Flora y el Suelo de las Áreas Naturales</t>
        </is>
      </c>
      <c r="C1916" t="inlineStr">
        <is>
          <t>GESTIÓN AMBIENTAL</t>
        </is>
      </c>
      <c r="D1916" t="inlineStr">
        <is>
          <t>Mensual</t>
        </is>
      </c>
      <c r="E1916" t="inlineStr">
        <is>
          <t>Positivo</t>
        </is>
      </c>
      <c r="F1916" s="105" t="n">
        <v>45657</v>
      </c>
      <c r="G1916" t="inlineStr">
        <is>
          <t>225-2024-12-31</t>
        </is>
      </c>
      <c r="H1916" t="inlineStr">
        <is>
          <t>Campus Bogotá</t>
        </is>
      </c>
      <c r="I1916" t="n">
        <v>1</v>
      </c>
      <c r="J1916" t="n">
        <v>3</v>
      </c>
      <c r="AT1916" t="n">
        <v>3</v>
      </c>
    </row>
    <row r="1917">
      <c r="A1917" t="n">
        <v>225</v>
      </c>
      <c r="B1917" t="inlineStr">
        <is>
          <t>Acciones para el Cuidado y Mantenimiento de las Especies de Flora y el Suelo de las Áreas Naturales</t>
        </is>
      </c>
      <c r="C1917" t="inlineStr">
        <is>
          <t>GESTIÓN AMBIENTAL</t>
        </is>
      </c>
      <c r="D1917" t="inlineStr">
        <is>
          <t>Mensual</t>
        </is>
      </c>
      <c r="E1917" t="inlineStr">
        <is>
          <t>Positivo</t>
        </is>
      </c>
      <c r="F1917" s="105" t="n">
        <v>45657</v>
      </c>
      <c r="G1917" t="inlineStr">
        <is>
          <t>225-2024-12-31</t>
        </is>
      </c>
      <c r="H1917" t="inlineStr">
        <is>
          <t>City Campus</t>
        </is>
      </c>
      <c r="I1917" t="n">
        <v>1</v>
      </c>
      <c r="J1917" t="n">
        <v>3</v>
      </c>
      <c r="AT1917" t="n">
        <v>3</v>
      </c>
    </row>
    <row r="1918">
      <c r="A1918" t="n">
        <v>225</v>
      </c>
      <c r="B1918" t="inlineStr">
        <is>
          <t>Acciones para el Cuidado y Mantenimiento de las Especies de Flora y el Suelo de las Áreas Naturales</t>
        </is>
      </c>
      <c r="C1918" t="inlineStr">
        <is>
          <t>GESTIÓN AMBIENTAL</t>
        </is>
      </c>
      <c r="D1918" t="inlineStr">
        <is>
          <t>Mensual</t>
        </is>
      </c>
      <c r="E1918" t="inlineStr">
        <is>
          <t>Positivo</t>
        </is>
      </c>
      <c r="F1918" s="105" t="n">
        <v>45657</v>
      </c>
      <c r="G1918" t="inlineStr">
        <is>
          <t>225-2024-12-31</t>
        </is>
      </c>
      <c r="H1918" t="inlineStr">
        <is>
          <t>Sede Posgrado-Calle 85</t>
        </is>
      </c>
      <c r="I1918" t="n">
        <v>1</v>
      </c>
      <c r="J1918" t="n">
        <v>0</v>
      </c>
      <c r="AT1918" t="n">
        <v>0</v>
      </c>
    </row>
    <row r="1919">
      <c r="A1919" t="n">
        <v>225</v>
      </c>
      <c r="B1919" t="inlineStr">
        <is>
          <t>Acciones para el Cuidado y Mantenimiento de las Especies de Flora y el Suelo de las Áreas Naturales</t>
        </is>
      </c>
      <c r="C1919" t="inlineStr">
        <is>
          <t>GESTIÓN AMBIENTAL</t>
        </is>
      </c>
      <c r="D1919" t="inlineStr">
        <is>
          <t>Mensual</t>
        </is>
      </c>
      <c r="E1919" t="inlineStr">
        <is>
          <t>Positivo</t>
        </is>
      </c>
      <c r="F1919" s="105" t="n">
        <v>45657</v>
      </c>
      <c r="G1919" t="inlineStr">
        <is>
          <t>225-2024-12-31</t>
        </is>
      </c>
      <c r="H1919" t="inlineStr">
        <is>
          <t>Campus-Medellín</t>
        </is>
      </c>
      <c r="I1919" t="n">
        <v>1</v>
      </c>
      <c r="J1919" t="n">
        <v>10</v>
      </c>
      <c r="AT1919" t="n">
        <v>10</v>
      </c>
    </row>
    <row r="1920">
      <c r="A1920" t="n">
        <v>225</v>
      </c>
      <c r="B1920" t="inlineStr">
        <is>
          <t>Acciones para el Cuidado y Mantenimiento de las Especies de Flora y el Suelo de las Áreas Naturales</t>
        </is>
      </c>
      <c r="C1920" t="inlineStr">
        <is>
          <t>GESTIÓN AMBIENTAL</t>
        </is>
      </c>
      <c r="D1920" t="inlineStr">
        <is>
          <t>Mensual</t>
        </is>
      </c>
      <c r="E1920" t="inlineStr">
        <is>
          <t>Positivo</t>
        </is>
      </c>
      <c r="F1920" s="105" t="n">
        <v>45657</v>
      </c>
      <c r="G1920" t="inlineStr">
        <is>
          <t>225-2024-12-31</t>
        </is>
      </c>
      <c r="H1920" t="inlineStr">
        <is>
          <t>Consultorio Psicología - Medellin</t>
        </is>
      </c>
      <c r="I1920" t="n">
        <v>1</v>
      </c>
      <c r="J1920" t="n">
        <v>1</v>
      </c>
      <c r="AT1920" t="n">
        <v>1</v>
      </c>
    </row>
    <row r="1921">
      <c r="A1921" t="n">
        <v>225</v>
      </c>
      <c r="B1921" t="inlineStr">
        <is>
          <t>Acciones para el Cuidado y Mantenimiento de las Especies de Flora y el Suelo de las Áreas Naturales</t>
        </is>
      </c>
      <c r="C1921" t="inlineStr">
        <is>
          <t>GESTIÓN AMBIENTAL</t>
        </is>
      </c>
      <c r="D1921" t="inlineStr">
        <is>
          <t>Mensual</t>
        </is>
      </c>
      <c r="E1921" t="inlineStr">
        <is>
          <t>Positivo</t>
        </is>
      </c>
      <c r="F1921" s="105" t="n">
        <v>45657</v>
      </c>
      <c r="G1921" t="inlineStr">
        <is>
          <t>225-2024-12-31</t>
        </is>
      </c>
      <c r="H1921" t="inlineStr">
        <is>
          <t>Sede Bienestar - Medellín</t>
        </is>
      </c>
      <c r="I1921" t="n">
        <v>1</v>
      </c>
      <c r="J1921" t="n">
        <v>1</v>
      </c>
      <c r="AT1921" t="n">
        <v>1</v>
      </c>
    </row>
    <row r="1922">
      <c r="A1922" t="n">
        <v>434</v>
      </c>
      <c r="B1922" t="inlineStr">
        <is>
          <t>Generación de Residuos Peligrosos Mensual</t>
        </is>
      </c>
      <c r="C1922" t="inlineStr">
        <is>
          <t>GESTIÓN AMBIENTAL</t>
        </is>
      </c>
      <c r="D1922" t="inlineStr">
        <is>
          <t>Mensual</t>
        </is>
      </c>
      <c r="E1922" t="inlineStr">
        <is>
          <t>Negativo</t>
        </is>
      </c>
      <c r="F1922" s="105" t="n">
        <v>45657</v>
      </c>
      <c r="G1922" t="inlineStr">
        <is>
          <t>434-2024-12-31</t>
        </is>
      </c>
      <c r="H1922" t="inlineStr">
        <is>
          <t>Campus Bogotá</t>
        </is>
      </c>
      <c r="I1922" t="n">
        <v>100</v>
      </c>
      <c r="J1922" t="n">
        <v>2355.60009765625</v>
      </c>
      <c r="AV1922" t="n">
        <v>2355.6</v>
      </c>
    </row>
    <row r="1923">
      <c r="A1923" t="n">
        <v>434</v>
      </c>
      <c r="B1923" t="inlineStr">
        <is>
          <t>Generación de Residuos Peligrosos Mensual</t>
        </is>
      </c>
      <c r="C1923" t="inlineStr">
        <is>
          <t>GESTIÓN AMBIENTAL</t>
        </is>
      </c>
      <c r="D1923" t="inlineStr">
        <is>
          <t>Mensual</t>
        </is>
      </c>
      <c r="E1923" t="inlineStr">
        <is>
          <t>Negativo</t>
        </is>
      </c>
      <c r="F1923" s="105" t="n">
        <v>45657</v>
      </c>
      <c r="G1923" t="inlineStr">
        <is>
          <t>434-2024-12-31</t>
        </is>
      </c>
      <c r="H1923" t="inlineStr">
        <is>
          <t>City Campus</t>
        </is>
      </c>
      <c r="I1923" t="n">
        <v>25</v>
      </c>
      <c r="J1923" t="n">
        <v>1.789999961853027</v>
      </c>
      <c r="AV1923" t="n">
        <v>1.79</v>
      </c>
    </row>
    <row r="1924">
      <c r="A1924" t="n">
        <v>434</v>
      </c>
      <c r="B1924" t="inlineStr">
        <is>
          <t>Generación de Residuos Peligrosos Mensual</t>
        </is>
      </c>
      <c r="C1924" t="inlineStr">
        <is>
          <t>GESTIÓN AMBIENTAL</t>
        </is>
      </c>
      <c r="D1924" t="inlineStr">
        <is>
          <t>Mensual</t>
        </is>
      </c>
      <c r="E1924" t="inlineStr">
        <is>
          <t>Negativo</t>
        </is>
      </c>
      <c r="F1924" s="105" t="n">
        <v>45657</v>
      </c>
      <c r="G1924" t="inlineStr">
        <is>
          <t>434-2024-12-31</t>
        </is>
      </c>
      <c r="H1924" t="inlineStr">
        <is>
          <t>Campus-Medellín</t>
        </is>
      </c>
      <c r="I1924" t="n">
        <v>25</v>
      </c>
      <c r="J1924" t="n">
        <v>6.900000095367432</v>
      </c>
      <c r="AV1924" t="n">
        <v>6.9</v>
      </c>
    </row>
    <row r="1925">
      <c r="A1925" t="n">
        <v>434</v>
      </c>
      <c r="B1925" t="inlineStr">
        <is>
          <t>Generación de Residuos Peligrosos Mensual</t>
        </is>
      </c>
      <c r="C1925" t="inlineStr">
        <is>
          <t>GESTIÓN AMBIENTAL</t>
        </is>
      </c>
      <c r="D1925" t="inlineStr">
        <is>
          <t>Mensual</t>
        </is>
      </c>
      <c r="E1925" t="inlineStr">
        <is>
          <t>Negativo</t>
        </is>
      </c>
      <c r="F1925" s="105" t="n">
        <v>45657</v>
      </c>
      <c r="G1925" t="inlineStr">
        <is>
          <t>434-2024-12-31</t>
        </is>
      </c>
      <c r="H1925" t="inlineStr">
        <is>
          <t>Sede Bienestar - Medellín</t>
        </is>
      </c>
      <c r="I1925" t="n">
        <v>10</v>
      </c>
      <c r="J1925" t="n">
        <v>0.2000000029802322</v>
      </c>
      <c r="AV1925" t="n">
        <v>0.2</v>
      </c>
    </row>
    <row r="1926">
      <c r="A1926" t="n">
        <v>434</v>
      </c>
      <c r="B1926" t="inlineStr">
        <is>
          <t>Generación de Residuos Peligrosos Mensual</t>
        </is>
      </c>
      <c r="C1926" t="inlineStr">
        <is>
          <t>GESTIÓN AMBIENTAL</t>
        </is>
      </c>
      <c r="D1926" t="inlineStr">
        <is>
          <t>Mensual</t>
        </is>
      </c>
      <c r="E1926" t="inlineStr">
        <is>
          <t>Negativo</t>
        </is>
      </c>
      <c r="F1926" s="105" t="n">
        <v>45657</v>
      </c>
      <c r="G1926" t="inlineStr">
        <is>
          <t>434-2024-12-31</t>
        </is>
      </c>
      <c r="H1926" t="inlineStr">
        <is>
          <t>Consultorio Psicología - Medellin</t>
        </is>
      </c>
      <c r="I1926" t="n">
        <v>200</v>
      </c>
      <c r="J1926" t="n">
        <v>0</v>
      </c>
      <c r="AV1926" t="n">
        <v>0</v>
      </c>
    </row>
    <row r="1927">
      <c r="A1927" t="n">
        <v>436</v>
      </c>
      <c r="B1927" t="inlineStr">
        <is>
          <t>ANS documentos operativos</t>
        </is>
      </c>
      <c r="C1927" t="inlineStr">
        <is>
          <t>Gestión de calidad</t>
        </is>
      </c>
      <c r="D1927" t="inlineStr">
        <is>
          <t>Mensual</t>
        </is>
      </c>
      <c r="E1927" t="inlineStr">
        <is>
          <t>Negativo</t>
        </is>
      </c>
      <c r="F1927" s="105" t="n">
        <v>45657</v>
      </c>
      <c r="G1927" t="inlineStr">
        <is>
          <t>436-2024-12-31</t>
        </is>
      </c>
      <c r="H1927" t="inlineStr">
        <is>
          <t>Flujo de aprobación</t>
        </is>
      </c>
      <c r="I1927" t="n">
        <v>7</v>
      </c>
      <c r="J1927" t="n">
        <v>10.88000011444092</v>
      </c>
      <c r="CP1927" t="n">
        <v>10.88</v>
      </c>
    </row>
    <row r="1928">
      <c r="A1928" t="n">
        <v>436</v>
      </c>
      <c r="B1928" t="inlineStr">
        <is>
          <t>ANS documentos operativos</t>
        </is>
      </c>
      <c r="C1928" t="inlineStr">
        <is>
          <t>Gestión de calidad</t>
        </is>
      </c>
      <c r="D1928" t="inlineStr">
        <is>
          <t>Mensual</t>
        </is>
      </c>
      <c r="E1928" t="inlineStr">
        <is>
          <t>Negativo</t>
        </is>
      </c>
      <c r="F1928" s="105" t="n">
        <v>45657</v>
      </c>
      <c r="G1928" t="inlineStr">
        <is>
          <t>436-2024-12-31</t>
        </is>
      </c>
      <c r="H1928" t="inlineStr">
        <is>
          <t>Solicitud Documental</t>
        </is>
      </c>
      <c r="I1928" t="n">
        <v>7</v>
      </c>
      <c r="J1928" t="n">
        <v>6.090000152587891</v>
      </c>
      <c r="CP1928" t="n">
        <v>6.09</v>
      </c>
    </row>
    <row r="1929">
      <c r="A1929" t="n">
        <v>485</v>
      </c>
      <c r="B1929" t="inlineStr">
        <is>
          <t>Oportunidad en el cierre de acciones</t>
        </is>
      </c>
      <c r="C1929" t="inlineStr">
        <is>
          <t>Gestión de calidad</t>
        </is>
      </c>
      <c r="D1929" t="inlineStr">
        <is>
          <t>Mensual</t>
        </is>
      </c>
      <c r="E1929" t="inlineStr">
        <is>
          <t>Positivo</t>
        </is>
      </c>
      <c r="F1929" s="105" t="n">
        <v>45657</v>
      </c>
      <c r="G1929" t="inlineStr">
        <is>
          <t>485-2024-12-31</t>
        </is>
      </c>
      <c r="H1929" t="inlineStr">
        <is>
          <t>Auditoría interna</t>
        </is>
      </c>
      <c r="I1929" t="n">
        <v>80</v>
      </c>
      <c r="J1929" t="n">
        <v>0</v>
      </c>
      <c r="EC1929" t="n">
        <v>0</v>
      </c>
      <c r="ED1929" t="n">
        <v>0</v>
      </c>
    </row>
    <row r="1930">
      <c r="A1930" t="n">
        <v>485</v>
      </c>
      <c r="B1930" t="inlineStr">
        <is>
          <t>Oportunidad en el cierre de acciones</t>
        </is>
      </c>
      <c r="C1930" t="inlineStr">
        <is>
          <t>Gestión de calidad</t>
        </is>
      </c>
      <c r="D1930" t="inlineStr">
        <is>
          <t>Mensual</t>
        </is>
      </c>
      <c r="E1930" t="inlineStr">
        <is>
          <t>Positivo</t>
        </is>
      </c>
      <c r="F1930" s="105" t="n">
        <v>45657</v>
      </c>
      <c r="G1930" t="inlineStr">
        <is>
          <t>485-2024-12-31</t>
        </is>
      </c>
      <c r="H1930" t="inlineStr">
        <is>
          <t>Auditoría externa</t>
        </is>
      </c>
      <c r="I1930" t="n">
        <v>80</v>
      </c>
      <c r="J1930" t="n">
        <v>0</v>
      </c>
      <c r="EC1930" t="n">
        <v>0</v>
      </c>
      <c r="ED1930" t="n">
        <v>0</v>
      </c>
    </row>
    <row r="1931">
      <c r="A1931" t="n">
        <v>485</v>
      </c>
      <c r="B1931" t="inlineStr">
        <is>
          <t>Oportunidad en el cierre de acciones</t>
        </is>
      </c>
      <c r="C1931" t="inlineStr">
        <is>
          <t>Gestión de calidad</t>
        </is>
      </c>
      <c r="D1931" t="inlineStr">
        <is>
          <t>Mensual</t>
        </is>
      </c>
      <c r="E1931" t="inlineStr">
        <is>
          <t>Positivo</t>
        </is>
      </c>
      <c r="F1931" s="105" t="n">
        <v>45657</v>
      </c>
      <c r="G1931" t="inlineStr">
        <is>
          <t>485-2024-12-31</t>
        </is>
      </c>
      <c r="H1931" t="inlineStr">
        <is>
          <t>Indicadores</t>
        </is>
      </c>
      <c r="I1931" t="n">
        <v>80</v>
      </c>
      <c r="J1931" t="n">
        <v>0</v>
      </c>
      <c r="EC1931" t="n">
        <v>0</v>
      </c>
      <c r="ED1931" t="n">
        <v>0</v>
      </c>
    </row>
    <row r="1932">
      <c r="A1932" t="n">
        <v>485</v>
      </c>
      <c r="B1932" t="inlineStr">
        <is>
          <t>Oportunidad en el cierre de acciones</t>
        </is>
      </c>
      <c r="C1932" t="inlineStr">
        <is>
          <t>Gestión de calidad</t>
        </is>
      </c>
      <c r="D1932" t="inlineStr">
        <is>
          <t>Mensual</t>
        </is>
      </c>
      <c r="E1932" t="inlineStr">
        <is>
          <t>Positivo</t>
        </is>
      </c>
      <c r="F1932" s="105" t="n">
        <v>45657</v>
      </c>
      <c r="G1932" t="inlineStr">
        <is>
          <t>485-2024-12-31</t>
        </is>
      </c>
      <c r="H1932" t="inlineStr">
        <is>
          <t>Riesgos</t>
        </is>
      </c>
      <c r="I1932" t="n">
        <v>80</v>
      </c>
      <c r="J1932" t="n">
        <v>0</v>
      </c>
      <c r="EC1932" t="n">
        <v>0</v>
      </c>
      <c r="ED1932" t="n">
        <v>0</v>
      </c>
    </row>
    <row r="1933">
      <c r="A1933" t="n">
        <v>485</v>
      </c>
      <c r="B1933" t="inlineStr">
        <is>
          <t>Oportunidad en el cierre de acciones</t>
        </is>
      </c>
      <c r="C1933" t="inlineStr">
        <is>
          <t>Gestión de calidad</t>
        </is>
      </c>
      <c r="D1933" t="inlineStr">
        <is>
          <t>Mensual</t>
        </is>
      </c>
      <c r="E1933" t="inlineStr">
        <is>
          <t>Positivo</t>
        </is>
      </c>
      <c r="F1933" s="105" t="n">
        <v>45657</v>
      </c>
      <c r="G1933" t="inlineStr">
        <is>
          <t>485-2024-12-31</t>
        </is>
      </c>
      <c r="H1933" t="inlineStr">
        <is>
          <t>Autoevaluación</t>
        </is>
      </c>
      <c r="I1933" t="n">
        <v>80</v>
      </c>
      <c r="J1933" t="n">
        <v>0</v>
      </c>
      <c r="EC1933" t="n">
        <v>0</v>
      </c>
      <c r="ED1933" t="n">
        <v>0</v>
      </c>
    </row>
    <row r="1934">
      <c r="A1934" t="n">
        <v>485</v>
      </c>
      <c r="B1934" t="inlineStr">
        <is>
          <t>Oportunidad en el cierre de acciones</t>
        </is>
      </c>
      <c r="C1934" t="inlineStr">
        <is>
          <t>Gestión de calidad</t>
        </is>
      </c>
      <c r="D1934" t="inlineStr">
        <is>
          <t>Mensual</t>
        </is>
      </c>
      <c r="E1934" t="inlineStr">
        <is>
          <t>Positivo</t>
        </is>
      </c>
      <c r="F1934" s="105" t="n">
        <v>45657</v>
      </c>
      <c r="G1934" t="inlineStr">
        <is>
          <t>485-2024-12-31</t>
        </is>
      </c>
      <c r="H1934" t="inlineStr">
        <is>
          <t>Entes de control</t>
        </is>
      </c>
      <c r="I1934" t="n">
        <v>80</v>
      </c>
      <c r="J1934" t="n">
        <v>0</v>
      </c>
      <c r="EC1934" t="n">
        <v>0</v>
      </c>
      <c r="ED1934" t="n">
        <v>0</v>
      </c>
    </row>
    <row r="1935">
      <c r="A1935" t="n">
        <v>485</v>
      </c>
      <c r="B1935" t="inlineStr">
        <is>
          <t>Oportunidad en el cierre de acciones</t>
        </is>
      </c>
      <c r="C1935" t="inlineStr">
        <is>
          <t>Gestión de calidad</t>
        </is>
      </c>
      <c r="D1935" t="inlineStr">
        <is>
          <t>Mensual</t>
        </is>
      </c>
      <c r="E1935" t="inlineStr">
        <is>
          <t>Positivo</t>
        </is>
      </c>
      <c r="F1935" s="105" t="n">
        <v>45657</v>
      </c>
      <c r="G1935" t="inlineStr">
        <is>
          <t>485-2024-12-31</t>
        </is>
      </c>
      <c r="H1935" t="inlineStr">
        <is>
          <t>Seguimiento y control</t>
        </is>
      </c>
      <c r="I1935" t="n">
        <v>80</v>
      </c>
      <c r="J1935" t="n">
        <v>60</v>
      </c>
      <c r="EC1935" t="n">
        <v>3</v>
      </c>
      <c r="ED1935" t="n">
        <v>5</v>
      </c>
    </row>
    <row r="1936">
      <c r="A1936" t="n">
        <v>485</v>
      </c>
      <c r="B1936" t="inlineStr">
        <is>
          <t>Oportunidad en el cierre de acciones</t>
        </is>
      </c>
      <c r="C1936" t="inlineStr">
        <is>
          <t>Gestión de calidad</t>
        </is>
      </c>
      <c r="D1936" t="inlineStr">
        <is>
          <t>Mensual</t>
        </is>
      </c>
      <c r="E1936" t="inlineStr">
        <is>
          <t>Positivo</t>
        </is>
      </c>
      <c r="F1936" s="105" t="n">
        <v>45657</v>
      </c>
      <c r="G1936" t="inlineStr">
        <is>
          <t>485-2024-12-31</t>
        </is>
      </c>
      <c r="H1936" t="inlineStr">
        <is>
          <t>Revisión por la dirección</t>
        </is>
      </c>
      <c r="I1936" t="n">
        <v>80</v>
      </c>
      <c r="J1936" t="n">
        <v>100</v>
      </c>
      <c r="EC1936" t="n">
        <v>1</v>
      </c>
      <c r="ED1936" t="n">
        <v>1</v>
      </c>
    </row>
    <row r="1937">
      <c r="A1937" t="n">
        <v>488</v>
      </c>
      <c r="B1937" t="inlineStr">
        <is>
          <t>Oportunidad en el cierre de actividades de los planes de mejora</t>
        </is>
      </c>
      <c r="C1937" t="inlineStr">
        <is>
          <t>Gestión de calidad</t>
        </is>
      </c>
      <c r="D1937" t="inlineStr">
        <is>
          <t>Mensual</t>
        </is>
      </c>
      <c r="E1937" t="inlineStr">
        <is>
          <t>Positivo</t>
        </is>
      </c>
      <c r="F1937" s="105" t="n">
        <v>45657</v>
      </c>
      <c r="G1937" t="inlineStr">
        <is>
          <t>488-2024-12-31</t>
        </is>
      </c>
      <c r="H1937" t="inlineStr">
        <is>
          <t>Auditoría interna</t>
        </is>
      </c>
      <c r="I1937" t="n">
        <v>85</v>
      </c>
      <c r="J1937" t="n">
        <v>82.34999847412109</v>
      </c>
      <c r="EE1937" t="n">
        <v>98</v>
      </c>
      <c r="EF1937" t="n">
        <v>119</v>
      </c>
    </row>
    <row r="1938">
      <c r="A1938" t="n">
        <v>488</v>
      </c>
      <c r="B1938" t="inlineStr">
        <is>
          <t>Oportunidad en el cierre de actividades de los planes de mejora</t>
        </is>
      </c>
      <c r="C1938" t="inlineStr">
        <is>
          <t>Gestión de calidad</t>
        </is>
      </c>
      <c r="D1938" t="inlineStr">
        <is>
          <t>Mensual</t>
        </is>
      </c>
      <c r="E1938" t="inlineStr">
        <is>
          <t>Positivo</t>
        </is>
      </c>
      <c r="F1938" s="105" t="n">
        <v>45657</v>
      </c>
      <c r="G1938" t="inlineStr">
        <is>
          <t>488-2024-12-31</t>
        </is>
      </c>
      <c r="H1938" t="inlineStr">
        <is>
          <t>Auditoría externa</t>
        </is>
      </c>
      <c r="I1938" t="n">
        <v>85</v>
      </c>
      <c r="J1938" t="n">
        <v>90.23999786376953</v>
      </c>
      <c r="EE1938" t="n">
        <v>37</v>
      </c>
      <c r="EF1938" t="n">
        <v>41</v>
      </c>
    </row>
    <row r="1939">
      <c r="A1939" t="n">
        <v>488</v>
      </c>
      <c r="B1939" t="inlineStr">
        <is>
          <t>Oportunidad en el cierre de actividades de los planes de mejora</t>
        </is>
      </c>
      <c r="C1939" t="inlineStr">
        <is>
          <t>Gestión de calidad</t>
        </is>
      </c>
      <c r="D1939" t="inlineStr">
        <is>
          <t>Mensual</t>
        </is>
      </c>
      <c r="E1939" t="inlineStr">
        <is>
          <t>Positivo</t>
        </is>
      </c>
      <c r="F1939" s="105" t="n">
        <v>45657</v>
      </c>
      <c r="G1939" t="inlineStr">
        <is>
          <t>488-2024-12-31</t>
        </is>
      </c>
      <c r="H1939" t="inlineStr">
        <is>
          <t>Indicadores</t>
        </is>
      </c>
      <c r="I1939" t="n">
        <v>85</v>
      </c>
      <c r="J1939" t="n">
        <v>98.20999908447266</v>
      </c>
      <c r="EE1939" t="n">
        <v>110</v>
      </c>
      <c r="EF1939" t="n">
        <v>112</v>
      </c>
    </row>
    <row r="1940">
      <c r="A1940" t="n">
        <v>488</v>
      </c>
      <c r="B1940" t="inlineStr">
        <is>
          <t>Oportunidad en el cierre de actividades de los planes de mejora</t>
        </is>
      </c>
      <c r="C1940" t="inlineStr">
        <is>
          <t>Gestión de calidad</t>
        </is>
      </c>
      <c r="D1940" t="inlineStr">
        <is>
          <t>Mensual</t>
        </is>
      </c>
      <c r="E1940" t="inlineStr">
        <is>
          <t>Positivo</t>
        </is>
      </c>
      <c r="F1940" s="105" t="n">
        <v>45657</v>
      </c>
      <c r="G1940" t="inlineStr">
        <is>
          <t>488-2024-12-31</t>
        </is>
      </c>
      <c r="H1940" t="inlineStr">
        <is>
          <t>Autoevaluación</t>
        </is>
      </c>
      <c r="I1940" t="n">
        <v>85</v>
      </c>
      <c r="J1940" t="n">
        <v>0</v>
      </c>
      <c r="EE1940" t="n">
        <v>0</v>
      </c>
      <c r="EF1940" t="n">
        <v>0</v>
      </c>
    </row>
    <row r="1941">
      <c r="A1941" t="n">
        <v>488</v>
      </c>
      <c r="B1941" t="inlineStr">
        <is>
          <t>Oportunidad en el cierre de actividades de los planes de mejora</t>
        </is>
      </c>
      <c r="C1941" t="inlineStr">
        <is>
          <t>Gestión de calidad</t>
        </is>
      </c>
      <c r="D1941" t="inlineStr">
        <is>
          <t>Mensual</t>
        </is>
      </c>
      <c r="E1941" t="inlineStr">
        <is>
          <t>Positivo</t>
        </is>
      </c>
      <c r="F1941" s="105" t="n">
        <v>45657</v>
      </c>
      <c r="G1941" t="inlineStr">
        <is>
          <t>488-2024-12-31</t>
        </is>
      </c>
      <c r="H1941" t="inlineStr">
        <is>
          <t>Entes de control</t>
        </is>
      </c>
      <c r="I1941" t="n">
        <v>85</v>
      </c>
      <c r="J1941" t="n">
        <v>100</v>
      </c>
      <c r="EE1941" t="n">
        <v>27</v>
      </c>
      <c r="EF1941" t="n">
        <v>27</v>
      </c>
    </row>
    <row r="1942">
      <c r="A1942" t="n">
        <v>488</v>
      </c>
      <c r="B1942" t="inlineStr">
        <is>
          <t>Oportunidad en el cierre de actividades de los planes de mejora</t>
        </is>
      </c>
      <c r="C1942" t="inlineStr">
        <is>
          <t>Gestión de calidad</t>
        </is>
      </c>
      <c r="D1942" t="inlineStr">
        <is>
          <t>Mensual</t>
        </is>
      </c>
      <c r="E1942" t="inlineStr">
        <is>
          <t>Positivo</t>
        </is>
      </c>
      <c r="F1942" s="105" t="n">
        <v>45657</v>
      </c>
      <c r="G1942" t="inlineStr">
        <is>
          <t>488-2024-12-31</t>
        </is>
      </c>
      <c r="H1942" t="inlineStr">
        <is>
          <t>Seguimiento y control</t>
        </is>
      </c>
      <c r="I1942" t="n">
        <v>85</v>
      </c>
      <c r="J1942" t="n">
        <v>91.48999786376953</v>
      </c>
      <c r="EE1942" t="n">
        <v>43</v>
      </c>
      <c r="EF1942" t="n">
        <v>47</v>
      </c>
    </row>
    <row r="1943">
      <c r="A1943" t="n">
        <v>488</v>
      </c>
      <c r="B1943" t="inlineStr">
        <is>
          <t>Oportunidad en el cierre de actividades de los planes de mejora</t>
        </is>
      </c>
      <c r="C1943" t="inlineStr">
        <is>
          <t>Gestión de calidad</t>
        </is>
      </c>
      <c r="D1943" t="inlineStr">
        <is>
          <t>Mensual</t>
        </is>
      </c>
      <c r="E1943" t="inlineStr">
        <is>
          <t>Positivo</t>
        </is>
      </c>
      <c r="F1943" s="105" t="n">
        <v>45657</v>
      </c>
      <c r="G1943" t="inlineStr">
        <is>
          <t>488-2024-12-31</t>
        </is>
      </c>
      <c r="H1943" t="inlineStr">
        <is>
          <t>Experiencia</t>
        </is>
      </c>
      <c r="I1943" t="n">
        <v>85</v>
      </c>
      <c r="J1943" t="n">
        <v>0</v>
      </c>
      <c r="EE1943" t="n">
        <v>0</v>
      </c>
      <c r="EF1943" t="n">
        <v>0</v>
      </c>
    </row>
    <row r="1944">
      <c r="A1944" t="n">
        <v>488</v>
      </c>
      <c r="B1944" t="inlineStr">
        <is>
          <t>Oportunidad en el cierre de actividades de los planes de mejora</t>
        </is>
      </c>
      <c r="C1944" t="inlineStr">
        <is>
          <t>Gestión de calidad</t>
        </is>
      </c>
      <c r="D1944" t="inlineStr">
        <is>
          <t>Mensual</t>
        </is>
      </c>
      <c r="E1944" t="inlineStr">
        <is>
          <t>Positivo</t>
        </is>
      </c>
      <c r="F1944" s="105" t="n">
        <v>45657</v>
      </c>
      <c r="G1944" t="inlineStr">
        <is>
          <t>488-2024-12-31</t>
        </is>
      </c>
      <c r="H1944" t="inlineStr">
        <is>
          <t>Revisión por la dirección</t>
        </is>
      </c>
      <c r="I1944" t="n">
        <v>85</v>
      </c>
      <c r="J1944" t="n">
        <v>100</v>
      </c>
      <c r="EE1944" t="n">
        <v>11</v>
      </c>
      <c r="EF1944" t="n">
        <v>11</v>
      </c>
    </row>
    <row r="1945">
      <c r="A1945" t="n">
        <v>488</v>
      </c>
      <c r="B1945" t="inlineStr">
        <is>
          <t>Oportunidad en el cierre de actividades de los planes de mejora</t>
        </is>
      </c>
      <c r="C1945" t="inlineStr">
        <is>
          <t>Gestión de calidad</t>
        </is>
      </c>
      <c r="D1945" t="inlineStr">
        <is>
          <t>Mensual</t>
        </is>
      </c>
      <c r="E1945" t="inlineStr">
        <is>
          <t>Positivo</t>
        </is>
      </c>
      <c r="F1945" s="105" t="n">
        <v>45657</v>
      </c>
      <c r="G1945" t="inlineStr">
        <is>
          <t>488-2024-12-31</t>
        </is>
      </c>
      <c r="H1945" t="inlineStr">
        <is>
          <t>Riesgos</t>
        </is>
      </c>
      <c r="I1945" t="n">
        <v>85</v>
      </c>
      <c r="EE1945" t="n">
        <v>0</v>
      </c>
      <c r="EF1945" t="n">
        <v>0</v>
      </c>
    </row>
    <row r="1946">
      <c r="A1946" t="n">
        <v>203</v>
      </c>
      <c r="B1946" t="inlineStr">
        <is>
          <t>Cumplimiento de Ingresos</t>
        </is>
      </c>
      <c r="C1946" t="inlineStr">
        <is>
          <t>Planeación Financiera</t>
        </is>
      </c>
      <c r="D1946" t="inlineStr">
        <is>
          <t>Trimestral</t>
        </is>
      </c>
      <c r="E1946" t="inlineStr">
        <is>
          <t>Positivo</t>
        </is>
      </c>
      <c r="F1946" s="105" t="n">
        <v>45657</v>
      </c>
      <c r="G1946" t="inlineStr">
        <is>
          <t>203-2024-12-31</t>
        </is>
      </c>
      <c r="H1946" t="inlineStr">
        <is>
          <t>Ingresos por matriculas</t>
        </is>
      </c>
      <c r="I1946" t="n">
        <v>95</v>
      </c>
      <c r="J1946" t="n">
        <v>102.9400024414062</v>
      </c>
      <c r="BA1946" t="n">
        <v>262025322345</v>
      </c>
      <c r="BB1946" t="n">
        <v>269722295152</v>
      </c>
    </row>
    <row r="1947">
      <c r="A1947" t="n">
        <v>203</v>
      </c>
      <c r="B1947" t="inlineStr">
        <is>
          <t>Cumplimiento de Ingresos</t>
        </is>
      </c>
      <c r="C1947" t="inlineStr">
        <is>
          <t>Planeación Financiera</t>
        </is>
      </c>
      <c r="D1947" t="inlineStr">
        <is>
          <t>Trimestral</t>
        </is>
      </c>
      <c r="E1947" t="inlineStr">
        <is>
          <t>Positivo</t>
        </is>
      </c>
      <c r="F1947" s="105" t="n">
        <v>45657</v>
      </c>
      <c r="G1947" t="inlineStr">
        <is>
          <t>203-2024-12-31</t>
        </is>
      </c>
      <c r="H1947" t="inlineStr">
        <is>
          <t>Programas especiales</t>
        </is>
      </c>
      <c r="I1947" t="n">
        <v>95</v>
      </c>
      <c r="J1947" t="n">
        <v>85.40000152587891</v>
      </c>
      <c r="BA1947" t="n">
        <v>15507493100</v>
      </c>
      <c r="BB1947" t="n">
        <v>13243138849</v>
      </c>
    </row>
    <row r="1948">
      <c r="A1948" t="n">
        <v>203</v>
      </c>
      <c r="B1948" t="inlineStr">
        <is>
          <t>Cumplimiento de Ingresos</t>
        </is>
      </c>
      <c r="C1948" t="inlineStr">
        <is>
          <t>Planeación Financiera</t>
        </is>
      </c>
      <c r="D1948" t="inlineStr">
        <is>
          <t>Trimestral</t>
        </is>
      </c>
      <c r="E1948" t="inlineStr">
        <is>
          <t>Positivo</t>
        </is>
      </c>
      <c r="F1948" s="105" t="n">
        <v>45657</v>
      </c>
      <c r="G1948" t="inlineStr">
        <is>
          <t>203-2024-12-31</t>
        </is>
      </c>
      <c r="H1948" t="inlineStr">
        <is>
          <t>Otros Ingresos</t>
        </is>
      </c>
      <c r="I1948" t="n">
        <v>95</v>
      </c>
      <c r="J1948" t="n">
        <v>123.0999984741211</v>
      </c>
      <c r="BA1948" t="n">
        <v>12105637225</v>
      </c>
      <c r="BB1948" t="n">
        <v>14901687928</v>
      </c>
    </row>
    <row r="1949">
      <c r="A1949" t="n">
        <v>215</v>
      </c>
      <c r="B1949" t="inlineStr">
        <is>
          <t>Disminución de la Generación de Residuos per Cápita</t>
        </is>
      </c>
      <c r="C1949" t="inlineStr">
        <is>
          <t>GESTIÓN AMBIENTAL</t>
        </is>
      </c>
      <c r="D1949" t="inlineStr">
        <is>
          <t>Trimestral</t>
        </is>
      </c>
      <c r="E1949" t="inlineStr">
        <is>
          <t>Positivo</t>
        </is>
      </c>
      <c r="F1949" s="105" t="n">
        <v>45657</v>
      </c>
      <c r="G1949" t="inlineStr">
        <is>
          <t>215-2024-12-31</t>
        </is>
      </c>
      <c r="H1949" t="inlineStr">
        <is>
          <t>Campus-Medellín</t>
        </is>
      </c>
      <c r="I1949" t="n">
        <v>0</v>
      </c>
      <c r="J1949" t="n">
        <v>28.56999969482422</v>
      </c>
      <c r="AC1949" t="n">
        <v>0.42</v>
      </c>
      <c r="AD1949" t="n">
        <v>0.3</v>
      </c>
    </row>
    <row r="1950">
      <c r="A1950" t="n">
        <v>219</v>
      </c>
      <c r="B1950" t="inlineStr">
        <is>
          <t>Disminución del Consumo de Energía Eléctrica per Cápita</t>
        </is>
      </c>
      <c r="C1950" t="inlineStr">
        <is>
          <t>GESTIÓN AMBIENTAL</t>
        </is>
      </c>
      <c r="D1950" t="inlineStr">
        <is>
          <t>Trimestral</t>
        </is>
      </c>
      <c r="E1950" t="inlineStr">
        <is>
          <t>Positivo</t>
        </is>
      </c>
      <c r="F1950" s="105" t="n">
        <v>45657</v>
      </c>
      <c r="G1950" t="inlineStr">
        <is>
          <t>219-2024-12-31</t>
        </is>
      </c>
      <c r="H1950" t="inlineStr">
        <is>
          <t>Campus Bogotá</t>
        </is>
      </c>
      <c r="I1950" t="n">
        <v>1</v>
      </c>
      <c r="J1950" t="n">
        <v>-2.369999885559082</v>
      </c>
      <c r="O1950" t="n">
        <v>2232</v>
      </c>
      <c r="P1950" t="n">
        <v>2683</v>
      </c>
      <c r="Q1950" t="n">
        <v>13824</v>
      </c>
      <c r="R1950" t="n">
        <v>0</v>
      </c>
      <c r="S1950" t="n">
        <v>2176</v>
      </c>
      <c r="T1950" t="n">
        <v>3139</v>
      </c>
      <c r="U1950" t="n">
        <v>14308</v>
      </c>
      <c r="V1950" t="n">
        <v>0</v>
      </c>
      <c r="W1950" t="n">
        <v>389679</v>
      </c>
      <c r="X1950" t="n">
        <v>398604</v>
      </c>
    </row>
    <row r="1951">
      <c r="A1951" t="n">
        <v>219</v>
      </c>
      <c r="B1951" t="inlineStr">
        <is>
          <t>Disminución del Consumo de Energía Eléctrica per Cápita</t>
        </is>
      </c>
      <c r="C1951" t="inlineStr">
        <is>
          <t>GESTIÓN AMBIENTAL</t>
        </is>
      </c>
      <c r="D1951" t="inlineStr">
        <is>
          <t>Trimestral</t>
        </is>
      </c>
      <c r="E1951" t="inlineStr">
        <is>
          <t>Positivo</t>
        </is>
      </c>
      <c r="F1951" s="105" t="n">
        <v>45657</v>
      </c>
      <c r="G1951" t="inlineStr">
        <is>
          <t>219-2024-12-31</t>
        </is>
      </c>
      <c r="H1951" t="inlineStr">
        <is>
          <t>City Campus</t>
        </is>
      </c>
      <c r="I1951" t="n">
        <v>1</v>
      </c>
      <c r="J1951" t="n">
        <v>-19.6299991607666</v>
      </c>
      <c r="O1951" t="n">
        <v>477</v>
      </c>
      <c r="P1951" t="n">
        <v>24</v>
      </c>
      <c r="Q1951" t="n">
        <v>8635</v>
      </c>
      <c r="R1951" t="n">
        <v>2925</v>
      </c>
      <c r="S1951" t="n">
        <v>530</v>
      </c>
      <c r="T1951" t="n">
        <v>24</v>
      </c>
      <c r="U1951" t="n">
        <v>11628</v>
      </c>
      <c r="V1951" t="n">
        <v>2925</v>
      </c>
      <c r="W1951" t="n">
        <v>266760</v>
      </c>
      <c r="X1951" t="n">
        <v>279300</v>
      </c>
    </row>
    <row r="1952">
      <c r="A1952" t="n">
        <v>219</v>
      </c>
      <c r="B1952" t="inlineStr">
        <is>
          <t>Disminución del Consumo de Energía Eléctrica per Cápita</t>
        </is>
      </c>
      <c r="C1952" t="inlineStr">
        <is>
          <t>GESTIÓN AMBIENTAL</t>
        </is>
      </c>
      <c r="D1952" t="inlineStr">
        <is>
          <t>Trimestral</t>
        </is>
      </c>
      <c r="E1952" t="inlineStr">
        <is>
          <t>Positivo</t>
        </is>
      </c>
      <c r="F1952" s="105" t="n">
        <v>45657</v>
      </c>
      <c r="G1952" t="inlineStr">
        <is>
          <t>219-2024-12-31</t>
        </is>
      </c>
      <c r="H1952" t="inlineStr">
        <is>
          <t>Campus-Medellín</t>
        </is>
      </c>
      <c r="I1952" t="n">
        <v>1</v>
      </c>
      <c r="J1952" t="n">
        <v>-30.89999961853027</v>
      </c>
      <c r="O1952" t="n">
        <v>374</v>
      </c>
      <c r="P1952" t="n">
        <v>922</v>
      </c>
      <c r="Q1952" t="n">
        <v>10413</v>
      </c>
      <c r="R1952" t="n">
        <v>5</v>
      </c>
      <c r="S1952" t="n">
        <v>427</v>
      </c>
      <c r="T1952" t="n">
        <v>972</v>
      </c>
      <c r="U1952" t="n">
        <v>13150</v>
      </c>
      <c r="V1952" t="n">
        <v>4</v>
      </c>
      <c r="W1952" t="n">
        <v>137838</v>
      </c>
      <c r="X1952" t="n">
        <v>130401</v>
      </c>
    </row>
    <row r="1953">
      <c r="A1953" t="n">
        <v>219</v>
      </c>
      <c r="B1953" t="inlineStr">
        <is>
          <t>Disminución del Consumo de Energía Eléctrica per Cápita</t>
        </is>
      </c>
      <c r="C1953" t="inlineStr">
        <is>
          <t>GESTIÓN AMBIENTAL</t>
        </is>
      </c>
      <c r="D1953" t="inlineStr">
        <is>
          <t>Trimestral</t>
        </is>
      </c>
      <c r="E1953" t="inlineStr">
        <is>
          <t>Positivo</t>
        </is>
      </c>
      <c r="F1953" s="105" t="n">
        <v>45657</v>
      </c>
      <c r="G1953" t="inlineStr">
        <is>
          <t>219-2024-12-31</t>
        </is>
      </c>
      <c r="H1953" t="inlineStr">
        <is>
          <t>Sede Bienestar - Medellín</t>
        </is>
      </c>
      <c r="I1953" t="n">
        <v>1</v>
      </c>
      <c r="J1953" t="n">
        <v>7.670000076293945</v>
      </c>
      <c r="O1953" t="n">
        <v>9</v>
      </c>
      <c r="P1953" t="n">
        <v>26</v>
      </c>
      <c r="Q1953" t="n">
        <v>2938</v>
      </c>
      <c r="R1953" t="n">
        <v>0</v>
      </c>
      <c r="S1953" t="n">
        <v>6</v>
      </c>
      <c r="T1953" t="n">
        <v>19</v>
      </c>
      <c r="U1953" t="n">
        <v>3030</v>
      </c>
      <c r="V1953" t="n">
        <v>0</v>
      </c>
      <c r="W1953" t="n">
        <v>22320</v>
      </c>
      <c r="X1953" t="n">
        <v>23640</v>
      </c>
    </row>
    <row r="1954">
      <c r="A1954" t="n">
        <v>219</v>
      </c>
      <c r="B1954" t="inlineStr">
        <is>
          <t>Disminución del Consumo de Energía Eléctrica per Cápita</t>
        </is>
      </c>
      <c r="C1954" t="inlineStr">
        <is>
          <t>GESTIÓN AMBIENTAL</t>
        </is>
      </c>
      <c r="D1954" t="inlineStr">
        <is>
          <t>Trimestral</t>
        </is>
      </c>
      <c r="E1954" t="inlineStr">
        <is>
          <t>Positivo</t>
        </is>
      </c>
      <c r="F1954" s="105" t="n">
        <v>45657</v>
      </c>
      <c r="G1954" t="inlineStr">
        <is>
          <t>219-2024-12-31</t>
        </is>
      </c>
      <c r="H1954" t="inlineStr">
        <is>
          <t>Consultorio Psicología - Medellin</t>
        </is>
      </c>
      <c r="I1954" t="n">
        <v>1</v>
      </c>
      <c r="J1954" t="n">
        <v>-19.23999977111816</v>
      </c>
      <c r="O1954" t="n">
        <v>10</v>
      </c>
      <c r="P1954" t="n">
        <v>10</v>
      </c>
      <c r="Q1954" t="n">
        <v>48</v>
      </c>
      <c r="R1954" t="n">
        <v>0</v>
      </c>
      <c r="S1954" t="n">
        <v>12</v>
      </c>
      <c r="T1954" t="n">
        <v>14</v>
      </c>
      <c r="U1954" t="n">
        <v>64</v>
      </c>
      <c r="V1954" t="n">
        <v>0</v>
      </c>
      <c r="W1954" t="n">
        <v>7535</v>
      </c>
      <c r="X1954" t="n">
        <v>8265</v>
      </c>
    </row>
    <row r="1955">
      <c r="A1955" t="n">
        <v>219</v>
      </c>
      <c r="B1955" t="inlineStr">
        <is>
          <t>Disminución del Consumo de Energía Eléctrica per Cápita</t>
        </is>
      </c>
      <c r="C1955" t="inlineStr">
        <is>
          <t>GESTIÓN AMBIENTAL</t>
        </is>
      </c>
      <c r="D1955" t="inlineStr">
        <is>
          <t>Trimestral</t>
        </is>
      </c>
      <c r="E1955" t="inlineStr">
        <is>
          <t>Positivo</t>
        </is>
      </c>
      <c r="F1955" s="105" t="n">
        <v>45657</v>
      </c>
      <c r="G1955" t="inlineStr">
        <is>
          <t>219-2024-12-31</t>
        </is>
      </c>
      <c r="H1955" t="inlineStr">
        <is>
          <t>Sede Posgrado-Calle 85</t>
        </is>
      </c>
      <c r="I1955" t="n">
        <v>1</v>
      </c>
      <c r="J1955" t="n">
        <v>7.920000076293945</v>
      </c>
      <c r="O1955" t="n">
        <v>66</v>
      </c>
      <c r="P1955" t="n">
        <v>71</v>
      </c>
      <c r="Q1955" t="n">
        <v>135</v>
      </c>
      <c r="R1955" t="n">
        <v>0</v>
      </c>
      <c r="S1955" t="n">
        <v>40</v>
      </c>
      <c r="T1955" t="n">
        <v>28</v>
      </c>
      <c r="U1955" t="n">
        <v>189</v>
      </c>
      <c r="V1955" t="n">
        <v>0</v>
      </c>
      <c r="W1955" t="n">
        <v>25260</v>
      </c>
      <c r="X1955" t="n">
        <v>25920</v>
      </c>
    </row>
    <row r="1956">
      <c r="A1956" t="n">
        <v>220</v>
      </c>
      <c r="B1956" t="inlineStr">
        <is>
          <t>Disminución del Consumo de Agua per Cápita</t>
        </is>
      </c>
      <c r="C1956" t="inlineStr">
        <is>
          <t>GESTIÓN AMBIENTAL</t>
        </is>
      </c>
      <c r="D1956" t="inlineStr">
        <is>
          <t>Trimestral</t>
        </is>
      </c>
      <c r="E1956" t="inlineStr">
        <is>
          <t>Positivo</t>
        </is>
      </c>
      <c r="F1956" s="105" t="n">
        <v>45657</v>
      </c>
      <c r="G1956" t="inlineStr">
        <is>
          <t>220-2024-12-31</t>
        </is>
      </c>
      <c r="H1956" t="inlineStr">
        <is>
          <t>Campus Bogotá</t>
        </is>
      </c>
      <c r="I1956" t="n">
        <v>1</v>
      </c>
      <c r="J1956" t="n">
        <v>16.1299991607666</v>
      </c>
      <c r="O1956" t="n">
        <v>2232</v>
      </c>
      <c r="P1956" t="n">
        <v>2683</v>
      </c>
      <c r="Q1956" t="n">
        <v>13824</v>
      </c>
      <c r="R1956" t="n">
        <v>0</v>
      </c>
      <c r="S1956" t="n">
        <v>2176</v>
      </c>
      <c r="T1956" t="n">
        <v>3139</v>
      </c>
      <c r="U1956" t="n">
        <v>14308</v>
      </c>
      <c r="V1956" t="n">
        <v>0</v>
      </c>
      <c r="Y1956" t="n">
        <v>4088</v>
      </c>
      <c r="Z1956" t="n">
        <v>5104</v>
      </c>
    </row>
    <row r="1957">
      <c r="A1957" t="n">
        <v>220</v>
      </c>
      <c r="B1957" t="inlineStr">
        <is>
          <t>Disminución del Consumo de Agua per Cápita</t>
        </is>
      </c>
      <c r="C1957" t="inlineStr">
        <is>
          <t>GESTIÓN AMBIENTAL</t>
        </is>
      </c>
      <c r="D1957" t="inlineStr">
        <is>
          <t>Trimestral</t>
        </is>
      </c>
      <c r="E1957" t="inlineStr">
        <is>
          <t>Positivo</t>
        </is>
      </c>
      <c r="F1957" s="105" t="n">
        <v>45657</v>
      </c>
      <c r="G1957" t="inlineStr">
        <is>
          <t>220-2024-12-31</t>
        </is>
      </c>
      <c r="H1957" t="inlineStr">
        <is>
          <t>City Campus</t>
        </is>
      </c>
      <c r="I1957" t="n">
        <v>1</v>
      </c>
      <c r="J1957" t="n">
        <v>-23.04000091552734</v>
      </c>
      <c r="O1957" t="n">
        <v>477</v>
      </c>
      <c r="P1957" t="n">
        <v>24</v>
      </c>
      <c r="Q1957" t="n">
        <v>8635</v>
      </c>
      <c r="R1957" t="n">
        <v>2925</v>
      </c>
      <c r="S1957" t="n">
        <v>530</v>
      </c>
      <c r="T1957" t="n">
        <v>24</v>
      </c>
      <c r="U1957" t="n">
        <v>11628</v>
      </c>
      <c r="V1957" t="n">
        <v>2925</v>
      </c>
      <c r="Y1957" t="n">
        <v>1748</v>
      </c>
      <c r="Z1957" t="n">
        <v>1757</v>
      </c>
    </row>
    <row r="1958">
      <c r="A1958" t="n">
        <v>220</v>
      </c>
      <c r="B1958" t="inlineStr">
        <is>
          <t>Disminución del Consumo de Agua per Cápita</t>
        </is>
      </c>
      <c r="C1958" t="inlineStr">
        <is>
          <t>GESTIÓN AMBIENTAL</t>
        </is>
      </c>
      <c r="D1958" t="inlineStr">
        <is>
          <t>Trimestral</t>
        </is>
      </c>
      <c r="E1958" t="inlineStr">
        <is>
          <t>Positivo</t>
        </is>
      </c>
      <c r="F1958" s="105" t="n">
        <v>45657</v>
      </c>
      <c r="G1958" t="inlineStr">
        <is>
          <t>220-2024-12-31</t>
        </is>
      </c>
      <c r="H1958" t="inlineStr">
        <is>
          <t>Sede Posgrado-Calle 85</t>
        </is>
      </c>
      <c r="I1958" t="n">
        <v>1</v>
      </c>
      <c r="J1958" t="n">
        <v>14.56999969482422</v>
      </c>
      <c r="O1958" t="n">
        <v>66</v>
      </c>
      <c r="P1958" t="n">
        <v>71</v>
      </c>
      <c r="Q1958" t="n">
        <v>135</v>
      </c>
      <c r="R1958" t="n">
        <v>0</v>
      </c>
      <c r="S1958" t="n">
        <v>40</v>
      </c>
      <c r="T1958" t="n">
        <v>28</v>
      </c>
      <c r="U1958" t="n">
        <v>189</v>
      </c>
      <c r="V1958" t="n">
        <v>0</v>
      </c>
      <c r="Y1958" t="n">
        <v>76</v>
      </c>
      <c r="Z1958" t="n">
        <v>73</v>
      </c>
    </row>
    <row r="1959">
      <c r="A1959" t="n">
        <v>220</v>
      </c>
      <c r="B1959" t="inlineStr">
        <is>
          <t>Disminución del Consumo de Agua per Cápita</t>
        </is>
      </c>
      <c r="C1959" t="inlineStr">
        <is>
          <t>GESTIÓN AMBIENTAL</t>
        </is>
      </c>
      <c r="D1959" t="inlineStr">
        <is>
          <t>Trimestral</t>
        </is>
      </c>
      <c r="E1959" t="inlineStr">
        <is>
          <t>Positivo</t>
        </is>
      </c>
      <c r="F1959" s="105" t="n">
        <v>45657</v>
      </c>
      <c r="G1959" t="inlineStr">
        <is>
          <t>220-2024-12-31</t>
        </is>
      </c>
      <c r="H1959" t="inlineStr">
        <is>
          <t>Campus-Medellín</t>
        </is>
      </c>
      <c r="I1959" t="n">
        <v>1</v>
      </c>
      <c r="J1959" t="n">
        <v>39.7400016784668</v>
      </c>
      <c r="O1959" t="n">
        <v>374</v>
      </c>
      <c r="P1959" t="n">
        <v>922</v>
      </c>
      <c r="Q1959" t="n">
        <v>10413</v>
      </c>
      <c r="R1959" t="n">
        <v>5</v>
      </c>
      <c r="S1959" t="n">
        <v>427</v>
      </c>
      <c r="T1959" t="n">
        <v>972</v>
      </c>
      <c r="U1959" t="n">
        <v>13150</v>
      </c>
      <c r="V1959" t="n">
        <v>4</v>
      </c>
      <c r="Y1959" t="n">
        <v>1275</v>
      </c>
      <c r="Z1959" t="n">
        <v>2509</v>
      </c>
    </row>
    <row r="1960">
      <c r="A1960" t="n">
        <v>220</v>
      </c>
      <c r="B1960" t="inlineStr">
        <is>
          <t>Disminución del Consumo de Agua per Cápita</t>
        </is>
      </c>
      <c r="C1960" t="inlineStr">
        <is>
          <t>GESTIÓN AMBIENTAL</t>
        </is>
      </c>
      <c r="D1960" t="inlineStr">
        <is>
          <t>Trimestral</t>
        </is>
      </c>
      <c r="E1960" t="inlineStr">
        <is>
          <t>Positivo</t>
        </is>
      </c>
      <c r="F1960" s="105" t="n">
        <v>45657</v>
      </c>
      <c r="G1960" t="inlineStr">
        <is>
          <t>220-2024-12-31</t>
        </is>
      </c>
      <c r="H1960" t="inlineStr">
        <is>
          <t>Sede Bienestar - Medellín</t>
        </is>
      </c>
      <c r="I1960" t="n">
        <v>1</v>
      </c>
      <c r="O1960" t="n">
        <v>9</v>
      </c>
      <c r="P1960" t="n">
        <v>26</v>
      </c>
      <c r="Q1960" t="n">
        <v>2938</v>
      </c>
      <c r="R1960" t="n">
        <v>0</v>
      </c>
      <c r="S1960" t="n">
        <v>6</v>
      </c>
      <c r="T1960" t="n">
        <v>19</v>
      </c>
      <c r="U1960" t="n">
        <v>3030</v>
      </c>
      <c r="V1960" t="n">
        <v>0</v>
      </c>
      <c r="Y1960" t="n">
        <v>0</v>
      </c>
      <c r="Z1960" t="n">
        <v>0</v>
      </c>
    </row>
    <row r="1961">
      <c r="A1961" t="n">
        <v>220</v>
      </c>
      <c r="B1961" t="inlineStr">
        <is>
          <t>Disminución del Consumo de Agua per Cápita</t>
        </is>
      </c>
      <c r="C1961" t="inlineStr">
        <is>
          <t>GESTIÓN AMBIENTAL</t>
        </is>
      </c>
      <c r="D1961" t="inlineStr">
        <is>
          <t>Trimestral</t>
        </is>
      </c>
      <c r="E1961" t="inlineStr">
        <is>
          <t>Positivo</t>
        </is>
      </c>
      <c r="F1961" s="105" t="n">
        <v>45657</v>
      </c>
      <c r="G1961" t="inlineStr">
        <is>
          <t>220-2024-12-31</t>
        </is>
      </c>
      <c r="H1961" t="inlineStr">
        <is>
          <t>Consultorio Psicología - Medellin</t>
        </is>
      </c>
      <c r="I1961" t="n">
        <v>1</v>
      </c>
      <c r="J1961" t="n">
        <v>15.0600004196167</v>
      </c>
      <c r="O1961" t="n">
        <v>10</v>
      </c>
      <c r="P1961" t="n">
        <v>10</v>
      </c>
      <c r="Q1961" t="n">
        <v>48</v>
      </c>
      <c r="R1961" t="n">
        <v>0</v>
      </c>
      <c r="S1961" t="n">
        <v>12</v>
      </c>
      <c r="T1961" t="n">
        <v>14</v>
      </c>
      <c r="U1961" t="n">
        <v>64</v>
      </c>
      <c r="V1961" t="n">
        <v>0</v>
      </c>
      <c r="Y1961" t="n">
        <v>46</v>
      </c>
      <c r="Z1961" t="n">
        <v>67</v>
      </c>
    </row>
    <row r="1962">
      <c r="A1962" t="n">
        <v>275</v>
      </c>
      <c r="B1962" t="inlineStr">
        <is>
          <t>Satisfacción Institucional por grupo de interes</t>
        </is>
      </c>
      <c r="C1962" t="inlineStr">
        <is>
          <t>EXPERIENCIA INSTITUCIONAL</t>
        </is>
      </c>
      <c r="D1962" t="inlineStr">
        <is>
          <t>Trimestral</t>
        </is>
      </c>
      <c r="E1962" t="inlineStr">
        <is>
          <t>Positivo</t>
        </is>
      </c>
      <c r="F1962" s="105" t="n">
        <v>45657</v>
      </c>
      <c r="G1962" t="inlineStr">
        <is>
          <t>275-2024-12-31</t>
        </is>
      </c>
      <c r="H1962" t="inlineStr">
        <is>
          <t>Administrativos</t>
        </is>
      </c>
      <c r="I1962" t="n">
        <v>80</v>
      </c>
      <c r="J1962" t="n">
        <v>107.5</v>
      </c>
      <c r="EG1962" t="n">
        <v>86</v>
      </c>
    </row>
    <row r="1963">
      <c r="A1963" t="n">
        <v>275</v>
      </c>
      <c r="B1963" t="inlineStr">
        <is>
          <t>Satisfacción Institucional por grupo de interes</t>
        </is>
      </c>
      <c r="C1963" t="inlineStr">
        <is>
          <t>EXPERIENCIA INSTITUCIONAL</t>
        </is>
      </c>
      <c r="D1963" t="inlineStr">
        <is>
          <t>Trimestral</t>
        </is>
      </c>
      <c r="E1963" t="inlineStr">
        <is>
          <t>Positivo</t>
        </is>
      </c>
      <c r="F1963" s="105" t="n">
        <v>45657</v>
      </c>
      <c r="G1963" t="inlineStr">
        <is>
          <t>275-2024-12-31</t>
        </is>
      </c>
      <c r="H1963" t="inlineStr">
        <is>
          <t>Estudiantes</t>
        </is>
      </c>
      <c r="I1963" t="n">
        <v>80</v>
      </c>
      <c r="J1963" t="n">
        <v>111.25</v>
      </c>
      <c r="EG1963" t="n">
        <v>89</v>
      </c>
    </row>
    <row r="1964">
      <c r="A1964" t="n">
        <v>275</v>
      </c>
      <c r="B1964" t="inlineStr">
        <is>
          <t>Satisfacción Institucional por grupo de interes</t>
        </is>
      </c>
      <c r="C1964" t="inlineStr">
        <is>
          <t>EXPERIENCIA INSTITUCIONAL</t>
        </is>
      </c>
      <c r="D1964" t="inlineStr">
        <is>
          <t>Trimestral</t>
        </is>
      </c>
      <c r="E1964" t="inlineStr">
        <is>
          <t>Positivo</t>
        </is>
      </c>
      <c r="F1964" s="105" t="n">
        <v>45657</v>
      </c>
      <c r="G1964" t="inlineStr">
        <is>
          <t>275-2024-12-31</t>
        </is>
      </c>
      <c r="H1964" t="inlineStr">
        <is>
          <t>Docentes</t>
        </is>
      </c>
      <c r="I1964" t="n">
        <v>80</v>
      </c>
      <c r="J1964" t="n">
        <v>110</v>
      </c>
      <c r="EG1964" t="n">
        <v>88</v>
      </c>
    </row>
    <row r="1965">
      <c r="A1965" t="n">
        <v>278</v>
      </c>
      <c r="B1965" t="inlineStr">
        <is>
          <t>Docentes contratados - Metrica</t>
        </is>
      </c>
      <c r="C1965" t="inlineStr">
        <is>
          <t>Gestión Docente</t>
        </is>
      </c>
      <c r="D1965" t="inlineStr">
        <is>
          <t>Trimestral</t>
        </is>
      </c>
      <c r="E1965" t="inlineStr">
        <is>
          <t>Positivo</t>
        </is>
      </c>
      <c r="F1965" s="105" t="n">
        <v>45657</v>
      </c>
      <c r="G1965" t="inlineStr">
        <is>
          <t>278-2024-12-31</t>
        </is>
      </c>
      <c r="H1965" t="inlineStr">
        <is>
          <t>Tiempo completo</t>
        </is>
      </c>
      <c r="J1965" t="n">
        <v>629</v>
      </c>
      <c r="BE1965" t="n">
        <v>629</v>
      </c>
    </row>
    <row r="1966">
      <c r="A1966" t="n">
        <v>278</v>
      </c>
      <c r="B1966" t="inlineStr">
        <is>
          <t>Docentes contratados - Metrica</t>
        </is>
      </c>
      <c r="C1966" t="inlineStr">
        <is>
          <t>Gestión Docente</t>
        </is>
      </c>
      <c r="D1966" t="inlineStr">
        <is>
          <t>Trimestral</t>
        </is>
      </c>
      <c r="E1966" t="inlineStr">
        <is>
          <t>Positivo</t>
        </is>
      </c>
      <c r="F1966" s="105" t="n">
        <v>45657</v>
      </c>
      <c r="G1966" t="inlineStr">
        <is>
          <t>278-2024-12-31</t>
        </is>
      </c>
      <c r="H1966" t="inlineStr">
        <is>
          <t>Medio tiempo</t>
        </is>
      </c>
      <c r="J1966" t="n">
        <v>202</v>
      </c>
      <c r="BE1966" t="n">
        <v>202</v>
      </c>
    </row>
    <row r="1967">
      <c r="A1967" t="n">
        <v>278</v>
      </c>
      <c r="B1967" t="inlineStr">
        <is>
          <t>Docentes contratados - Metrica</t>
        </is>
      </c>
      <c r="C1967" t="inlineStr">
        <is>
          <t>Gestión Docente</t>
        </is>
      </c>
      <c r="D1967" t="inlineStr">
        <is>
          <t>Trimestral</t>
        </is>
      </c>
      <c r="E1967" t="inlineStr">
        <is>
          <t>Positivo</t>
        </is>
      </c>
      <c r="F1967" s="105" t="n">
        <v>45657</v>
      </c>
      <c r="G1967" t="inlineStr">
        <is>
          <t>278-2024-12-31</t>
        </is>
      </c>
      <c r="H1967" t="inlineStr">
        <is>
          <t>Catedra</t>
        </is>
      </c>
      <c r="J1967" t="n">
        <v>187</v>
      </c>
      <c r="BE1967" t="n">
        <v>187</v>
      </c>
    </row>
    <row r="1968">
      <c r="A1968" t="n">
        <v>286</v>
      </c>
      <c r="B1968" t="inlineStr">
        <is>
          <t>Total docentes por nivel de estudios - Metrica</t>
        </is>
      </c>
      <c r="C1968" t="inlineStr">
        <is>
          <t>Gestión Docente</t>
        </is>
      </c>
      <c r="D1968" t="inlineStr">
        <is>
          <t>Trimestral</t>
        </is>
      </c>
      <c r="E1968" t="inlineStr">
        <is>
          <t>Positivo</t>
        </is>
      </c>
      <c r="F1968" s="105" t="n">
        <v>45657</v>
      </c>
      <c r="G1968" t="inlineStr">
        <is>
          <t>286-2024-12-31</t>
        </is>
      </c>
      <c r="H1968" t="inlineStr">
        <is>
          <t>Doctorado</t>
        </is>
      </c>
      <c r="J1968" t="n">
        <v>79</v>
      </c>
      <c r="BF1968" t="n">
        <v>79</v>
      </c>
    </row>
    <row r="1969">
      <c r="A1969" t="n">
        <v>286</v>
      </c>
      <c r="B1969" t="inlineStr">
        <is>
          <t>Total docentes por nivel de estudios - Metrica</t>
        </is>
      </c>
      <c r="C1969" t="inlineStr">
        <is>
          <t>Gestión Docente</t>
        </is>
      </c>
      <c r="D1969" t="inlineStr">
        <is>
          <t>Trimestral</t>
        </is>
      </c>
      <c r="E1969" t="inlineStr">
        <is>
          <t>Positivo</t>
        </is>
      </c>
      <c r="F1969" s="105" t="n">
        <v>45657</v>
      </c>
      <c r="G1969" t="inlineStr">
        <is>
          <t>286-2024-12-31</t>
        </is>
      </c>
      <c r="H1969" t="inlineStr">
        <is>
          <t>Maestría</t>
        </is>
      </c>
      <c r="J1969" t="n">
        <v>761</v>
      </c>
      <c r="BF1969" t="n">
        <v>761</v>
      </c>
    </row>
    <row r="1970">
      <c r="A1970" t="n">
        <v>286</v>
      </c>
      <c r="B1970" t="inlineStr">
        <is>
          <t>Total docentes por nivel de estudios - Metrica</t>
        </is>
      </c>
      <c r="C1970" t="inlineStr">
        <is>
          <t>Gestión Docente</t>
        </is>
      </c>
      <c r="D1970" t="inlineStr">
        <is>
          <t>Trimestral</t>
        </is>
      </c>
      <c r="E1970" t="inlineStr">
        <is>
          <t>Positivo</t>
        </is>
      </c>
      <c r="F1970" s="105" t="n">
        <v>45657</v>
      </c>
      <c r="G1970" t="inlineStr">
        <is>
          <t>286-2024-12-31</t>
        </is>
      </c>
      <c r="H1970" t="inlineStr">
        <is>
          <t>Especialización</t>
        </is>
      </c>
      <c r="J1970" t="n">
        <v>99</v>
      </c>
      <c r="BF1970" t="n">
        <v>99</v>
      </c>
    </row>
    <row r="1971">
      <c r="A1971" t="n">
        <v>286</v>
      </c>
      <c r="B1971" t="inlineStr">
        <is>
          <t>Total docentes por nivel de estudios - Metrica</t>
        </is>
      </c>
      <c r="C1971" t="inlineStr">
        <is>
          <t>Gestión Docente</t>
        </is>
      </c>
      <c r="D1971" t="inlineStr">
        <is>
          <t>Trimestral</t>
        </is>
      </c>
      <c r="E1971" t="inlineStr">
        <is>
          <t>Positivo</t>
        </is>
      </c>
      <c r="F1971" s="105" t="n">
        <v>45657</v>
      </c>
      <c r="G1971" t="inlineStr">
        <is>
          <t>286-2024-12-31</t>
        </is>
      </c>
      <c r="H1971" t="inlineStr">
        <is>
          <t>Pregrado</t>
        </is>
      </c>
      <c r="J1971" t="n">
        <v>79</v>
      </c>
      <c r="BF1971" t="n">
        <v>79</v>
      </c>
    </row>
    <row r="1972">
      <c r="A1972" t="n">
        <v>294</v>
      </c>
      <c r="B1972" t="inlineStr">
        <is>
          <t>Participación en actividades culturales</t>
        </is>
      </c>
      <c r="C1972" t="inlineStr">
        <is>
          <t>Cultura y Deporte</t>
        </is>
      </c>
      <c r="D1972" t="inlineStr">
        <is>
          <t>Trimestral</t>
        </is>
      </c>
      <c r="E1972" t="inlineStr">
        <is>
          <t>Positivo</t>
        </is>
      </c>
      <c r="F1972" s="105" t="n">
        <v>45657</v>
      </c>
      <c r="G1972" t="inlineStr">
        <is>
          <t>294-2024-12-31</t>
        </is>
      </c>
      <c r="H1972" t="inlineStr">
        <is>
          <t>Virtual</t>
        </is>
      </c>
      <c r="I1972" t="n">
        <v>3</v>
      </c>
      <c r="J1972" t="n">
        <v>-0.6800000071525574</v>
      </c>
      <c r="BI1972" t="n">
        <v>147</v>
      </c>
      <c r="BJ1972" t="n">
        <v>148</v>
      </c>
    </row>
    <row r="1973">
      <c r="A1973" t="n">
        <v>302</v>
      </c>
      <c r="B1973" t="inlineStr">
        <is>
          <t>N de solicitudes radicadas - (Metrica)</t>
        </is>
      </c>
      <c r="C1973" t="inlineStr">
        <is>
          <t>Centro de Medios Audiovisuales</t>
        </is>
      </c>
      <c r="D1973" t="inlineStr">
        <is>
          <t>Trimestral</t>
        </is>
      </c>
      <c r="E1973" t="inlineStr">
        <is>
          <t>Positivo</t>
        </is>
      </c>
      <c r="F1973" s="105" t="n">
        <v>45657</v>
      </c>
      <c r="G1973" t="inlineStr">
        <is>
          <t>302-2024-12-31</t>
        </is>
      </c>
      <c r="H1973" t="inlineStr">
        <is>
          <t>Equipos</t>
        </is>
      </c>
      <c r="J1973" t="n">
        <v>17199</v>
      </c>
      <c r="DL1973" t="n">
        <v>17199</v>
      </c>
    </row>
    <row r="1974">
      <c r="A1974" t="n">
        <v>302</v>
      </c>
      <c r="B1974" t="inlineStr">
        <is>
          <t>N de solicitudes radicadas - (Metrica)</t>
        </is>
      </c>
      <c r="C1974" t="inlineStr">
        <is>
          <t>Centro de Medios Audiovisuales</t>
        </is>
      </c>
      <c r="D1974" t="inlineStr">
        <is>
          <t>Trimestral</t>
        </is>
      </c>
      <c r="E1974" t="inlineStr">
        <is>
          <t>Positivo</t>
        </is>
      </c>
      <c r="F1974" s="105" t="n">
        <v>45657</v>
      </c>
      <c r="G1974" t="inlineStr">
        <is>
          <t>302-2024-12-31</t>
        </is>
      </c>
      <c r="H1974" t="inlineStr">
        <is>
          <t>Salas de postproducción</t>
        </is>
      </c>
      <c r="J1974" t="n">
        <v>660</v>
      </c>
      <c r="DL1974" t="n">
        <v>660</v>
      </c>
    </row>
    <row r="1975">
      <c r="A1975" t="n">
        <v>302</v>
      </c>
      <c r="B1975" t="inlineStr">
        <is>
          <t>N de solicitudes radicadas - (Metrica)</t>
        </is>
      </c>
      <c r="C1975" t="inlineStr">
        <is>
          <t>Centro de Medios Audiovisuales</t>
        </is>
      </c>
      <c r="D1975" t="inlineStr">
        <is>
          <t>Trimestral</t>
        </is>
      </c>
      <c r="E1975" t="inlineStr">
        <is>
          <t>Positivo</t>
        </is>
      </c>
      <c r="F1975" s="105" t="n">
        <v>45657</v>
      </c>
      <c r="G1975" t="inlineStr">
        <is>
          <t>302-2024-12-31</t>
        </is>
      </c>
      <c r="H1975" t="inlineStr">
        <is>
          <t>Eventos</t>
        </is>
      </c>
      <c r="J1975" t="n">
        <v>331</v>
      </c>
      <c r="DL1975" t="n">
        <v>331</v>
      </c>
    </row>
    <row r="1976">
      <c r="A1976" t="n">
        <v>302</v>
      </c>
      <c r="B1976" t="inlineStr">
        <is>
          <t>N de solicitudes radicadas - (Metrica)</t>
        </is>
      </c>
      <c r="C1976" t="inlineStr">
        <is>
          <t>Centro de Medios Audiovisuales</t>
        </is>
      </c>
      <c r="D1976" t="inlineStr">
        <is>
          <t>Trimestral</t>
        </is>
      </c>
      <c r="E1976" t="inlineStr">
        <is>
          <t>Positivo</t>
        </is>
      </c>
      <c r="F1976" s="105" t="n">
        <v>45657</v>
      </c>
      <c r="G1976" t="inlineStr">
        <is>
          <t>302-2024-12-31</t>
        </is>
      </c>
      <c r="H1976" t="inlineStr">
        <is>
          <t>Estudios</t>
        </is>
      </c>
      <c r="J1976" t="n">
        <v>952</v>
      </c>
      <c r="DL1976" t="n">
        <v>952</v>
      </c>
    </row>
    <row r="1977">
      <c r="A1977" t="n">
        <v>362</v>
      </c>
      <c r="B1977" t="inlineStr">
        <is>
          <t>Aseguramiento de matricula académica presencial</t>
        </is>
      </c>
      <c r="C1977" t="inlineStr">
        <is>
          <t>Operaciones Académicas</t>
        </is>
      </c>
      <c r="D1977" t="inlineStr">
        <is>
          <t>Trimestral</t>
        </is>
      </c>
      <c r="E1977" t="inlineStr">
        <is>
          <t>Positivo</t>
        </is>
      </c>
      <c r="F1977" s="105" t="n">
        <v>45657</v>
      </c>
      <c r="G1977" t="inlineStr">
        <is>
          <t>362-2024-12-31</t>
        </is>
      </c>
      <c r="H1977" t="inlineStr">
        <is>
          <t>Pregrado Presencial</t>
        </is>
      </c>
      <c r="I1977" t="n">
        <v>98</v>
      </c>
      <c r="J1977" t="n">
        <v>99.62999725341797</v>
      </c>
      <c r="CU1977" t="n">
        <v>7530</v>
      </c>
      <c r="CV1977" t="n">
        <v>7558</v>
      </c>
    </row>
    <row r="1978">
      <c r="A1978" t="n">
        <v>362</v>
      </c>
      <c r="B1978" t="inlineStr">
        <is>
          <t>Aseguramiento de matricula académica presencial</t>
        </is>
      </c>
      <c r="C1978" t="inlineStr">
        <is>
          <t>Operaciones Académicas</t>
        </is>
      </c>
      <c r="D1978" t="inlineStr">
        <is>
          <t>Trimestral</t>
        </is>
      </c>
      <c r="E1978" t="inlineStr">
        <is>
          <t>Positivo</t>
        </is>
      </c>
      <c r="F1978" s="105" t="n">
        <v>45657</v>
      </c>
      <c r="G1978" t="inlineStr">
        <is>
          <t>362-2024-12-31</t>
        </is>
      </c>
      <c r="H1978" t="inlineStr">
        <is>
          <t>Posgrado Presencial</t>
        </is>
      </c>
      <c r="I1978" t="n">
        <v>98</v>
      </c>
      <c r="J1978" t="n">
        <v>97.69999694824219</v>
      </c>
      <c r="CU1978" t="n">
        <v>595</v>
      </c>
      <c r="CV1978" t="n">
        <v>609</v>
      </c>
    </row>
    <row r="1979">
      <c r="A1979" t="n">
        <v>369</v>
      </c>
      <c r="B1979" t="inlineStr">
        <is>
          <t>Participación de POLI- voluntariados (Estudiantes- Colaboradores)</t>
        </is>
      </c>
      <c r="C1979" t="inlineStr">
        <is>
          <t>Gestión de la Responsabilidad Social</t>
        </is>
      </c>
      <c r="D1979" t="inlineStr">
        <is>
          <t>Trimestral</t>
        </is>
      </c>
      <c r="E1979" t="inlineStr">
        <is>
          <t>Positivo</t>
        </is>
      </c>
      <c r="F1979" s="105" t="n">
        <v>45657</v>
      </c>
      <c r="G1979" t="inlineStr">
        <is>
          <t>369-2024-12-31</t>
        </is>
      </c>
      <c r="H1979" t="inlineStr">
        <is>
          <t>Estudiantes</t>
        </is>
      </c>
      <c r="I1979" t="n">
        <v>100</v>
      </c>
      <c r="J1979" t="n">
        <v>51.02000045776367</v>
      </c>
      <c r="BM1979" t="n">
        <v>50</v>
      </c>
      <c r="BN1979" t="n">
        <v>98</v>
      </c>
    </row>
    <row r="1980">
      <c r="A1980" t="n">
        <v>369</v>
      </c>
      <c r="B1980" t="inlineStr">
        <is>
          <t>Participación de POLI- voluntariados (Estudiantes- Colaboradores)</t>
        </is>
      </c>
      <c r="C1980" t="inlineStr">
        <is>
          <t>Gestión de la Responsabilidad Social</t>
        </is>
      </c>
      <c r="D1980" t="inlineStr">
        <is>
          <t>Trimestral</t>
        </is>
      </c>
      <c r="E1980" t="inlineStr">
        <is>
          <t>Positivo</t>
        </is>
      </c>
      <c r="F1980" s="105" t="n">
        <v>45657</v>
      </c>
      <c r="G1980" t="inlineStr">
        <is>
          <t>369-2024-12-31</t>
        </is>
      </c>
      <c r="H1980" t="inlineStr">
        <is>
          <t>Colaboradores</t>
        </is>
      </c>
      <c r="I1980" t="n">
        <v>100</v>
      </c>
      <c r="J1980" t="n">
        <v>270</v>
      </c>
      <c r="BM1980" t="n">
        <v>27</v>
      </c>
      <c r="BN1980" t="n">
        <v>10</v>
      </c>
    </row>
    <row r="1981">
      <c r="A1981" t="n">
        <v>386</v>
      </c>
      <c r="B1981" t="inlineStr">
        <is>
          <t>Cumplimiento Meta comercial Educación para toda la vida por linea</t>
        </is>
      </c>
      <c r="C1981" t="inlineStr">
        <is>
          <t>Mercadeo y venta de educación para la vida</t>
        </is>
      </c>
      <c r="D1981" t="inlineStr">
        <is>
          <t>Trimestral</t>
        </is>
      </c>
      <c r="E1981" t="inlineStr">
        <is>
          <t>Positivo</t>
        </is>
      </c>
      <c r="F1981" s="105" t="n">
        <v>45657</v>
      </c>
      <c r="G1981" t="inlineStr">
        <is>
          <t>386-2024-12-31</t>
        </is>
      </c>
      <c r="H1981" t="inlineStr">
        <is>
          <t>B2B</t>
        </is>
      </c>
      <c r="I1981" t="n">
        <v>100</v>
      </c>
      <c r="J1981" t="n">
        <v>137</v>
      </c>
      <c r="BO1981" t="n">
        <v>3309780602</v>
      </c>
      <c r="BP1981" t="n">
        <v>2415925326</v>
      </c>
    </row>
    <row r="1982">
      <c r="A1982" t="n">
        <v>386</v>
      </c>
      <c r="B1982" t="inlineStr">
        <is>
          <t>Cumplimiento Meta comercial Educación para toda la vida por linea</t>
        </is>
      </c>
      <c r="C1982" t="inlineStr">
        <is>
          <t>Mercadeo y venta de educación para la vida</t>
        </is>
      </c>
      <c r="D1982" t="inlineStr">
        <is>
          <t>Trimestral</t>
        </is>
      </c>
      <c r="E1982" t="inlineStr">
        <is>
          <t>Positivo</t>
        </is>
      </c>
      <c r="F1982" s="105" t="n">
        <v>45657</v>
      </c>
      <c r="G1982" t="inlineStr">
        <is>
          <t>386-2024-12-31</t>
        </is>
      </c>
      <c r="H1982" t="inlineStr">
        <is>
          <t>B2G</t>
        </is>
      </c>
      <c r="I1982" t="n">
        <v>100</v>
      </c>
      <c r="J1982" t="n">
        <v>24.93000030517578</v>
      </c>
      <c r="BO1982" t="n">
        <v>1255318307</v>
      </c>
      <c r="BP1982" t="n">
        <v>5036160021</v>
      </c>
    </row>
    <row r="1983">
      <c r="A1983" t="n">
        <v>386</v>
      </c>
      <c r="B1983" t="inlineStr">
        <is>
          <t>Cumplimiento Meta comercial Educación para toda la vida por linea</t>
        </is>
      </c>
      <c r="C1983" t="inlineStr">
        <is>
          <t>Mercadeo y venta de educación para la vida</t>
        </is>
      </c>
      <c r="D1983" t="inlineStr">
        <is>
          <t>Trimestral</t>
        </is>
      </c>
      <c r="E1983" t="inlineStr">
        <is>
          <t>Positivo</t>
        </is>
      </c>
      <c r="F1983" s="105" t="n">
        <v>45657</v>
      </c>
      <c r="G1983" t="inlineStr">
        <is>
          <t>386-2024-12-31</t>
        </is>
      </c>
      <c r="H1983" t="inlineStr">
        <is>
          <t>Otros ingresos (Cursos -Opciones de grado)</t>
        </is>
      </c>
      <c r="I1983" t="n">
        <v>100</v>
      </c>
      <c r="J1983" t="n">
        <v>114.2099990844727</v>
      </c>
      <c r="BO1983" t="n">
        <v>2985432782</v>
      </c>
      <c r="BP1983" t="n">
        <v>2613948908</v>
      </c>
    </row>
    <row r="1984">
      <c r="A1984" t="n">
        <v>408</v>
      </c>
      <c r="B1984" t="inlineStr">
        <is>
          <t>Programas nuevos radicados por facultad</t>
        </is>
      </c>
      <c r="C1984" t="inlineStr">
        <is>
          <t>Creación, modificación y cierre de programas académicos</t>
        </is>
      </c>
      <c r="D1984" t="inlineStr">
        <is>
          <t>Trimestral</t>
        </is>
      </c>
      <c r="E1984" t="inlineStr">
        <is>
          <t>Positivo</t>
        </is>
      </c>
      <c r="F1984" s="105" t="n">
        <v>45657</v>
      </c>
      <c r="G1984" t="inlineStr">
        <is>
          <t>408-2024-12-31</t>
        </is>
      </c>
      <c r="H1984" t="inlineStr">
        <is>
          <t>Facultad de ingeniera, diseño e innovación</t>
        </is>
      </c>
      <c r="I1984" t="n">
        <v>100</v>
      </c>
      <c r="J1984" t="n">
        <v>100</v>
      </c>
      <c r="BR1984" t="n">
        <v>2</v>
      </c>
      <c r="BS1984" t="n">
        <v>2</v>
      </c>
    </row>
    <row r="1985">
      <c r="A1985" t="n">
        <v>408</v>
      </c>
      <c r="B1985" t="inlineStr">
        <is>
          <t>Programas nuevos radicados por facultad</t>
        </is>
      </c>
      <c r="C1985" t="inlineStr">
        <is>
          <t>Creación, modificación y cierre de programas académicos</t>
        </is>
      </c>
      <c r="D1985" t="inlineStr">
        <is>
          <t>Trimestral</t>
        </is>
      </c>
      <c r="E1985" t="inlineStr">
        <is>
          <t>Positivo</t>
        </is>
      </c>
      <c r="F1985" s="105" t="n">
        <v>45657</v>
      </c>
      <c r="G1985" t="inlineStr">
        <is>
          <t>408-2024-12-31</t>
        </is>
      </c>
      <c r="H1985" t="inlineStr">
        <is>
          <t>Facultad sociedad cultura y creatividad</t>
        </is>
      </c>
      <c r="I1985" t="n">
        <v>100</v>
      </c>
      <c r="J1985" t="n">
        <v>100</v>
      </c>
      <c r="BR1985" t="n">
        <v>3</v>
      </c>
      <c r="BS1985" t="n">
        <v>3</v>
      </c>
    </row>
    <row r="1986">
      <c r="A1986" t="n">
        <v>408</v>
      </c>
      <c r="B1986" t="inlineStr">
        <is>
          <t>Programas nuevos radicados por facultad</t>
        </is>
      </c>
      <c r="C1986" t="inlineStr">
        <is>
          <t>Creación, modificación y cierre de programas académicos</t>
        </is>
      </c>
      <c r="D1986" t="inlineStr">
        <is>
          <t>Trimestral</t>
        </is>
      </c>
      <c r="E1986" t="inlineStr">
        <is>
          <t>Positivo</t>
        </is>
      </c>
      <c r="F1986" s="105" t="n">
        <v>45657</v>
      </c>
      <c r="G1986" t="inlineStr">
        <is>
          <t>408-2024-12-31</t>
        </is>
      </c>
      <c r="H1986" t="inlineStr">
        <is>
          <t>Facultad negocios, gestión y sostenibilidad</t>
        </is>
      </c>
      <c r="I1986" t="n">
        <v>100</v>
      </c>
      <c r="J1986" t="n">
        <v>100</v>
      </c>
      <c r="BR1986" t="n">
        <v>1</v>
      </c>
      <c r="BS1986" t="n">
        <v>1</v>
      </c>
    </row>
    <row r="1987">
      <c r="A1987" t="n">
        <v>427</v>
      </c>
      <c r="B1987" t="inlineStr">
        <is>
          <t>Consumo de Agua per Cápita Semestral</t>
        </is>
      </c>
      <c r="C1987" t="inlineStr">
        <is>
          <t>GESTIÓN AMBIENTAL</t>
        </is>
      </c>
      <c r="D1987" t="inlineStr">
        <is>
          <t>Trimestral</t>
        </is>
      </c>
      <c r="E1987" t="inlineStr">
        <is>
          <t>Negativo</t>
        </is>
      </c>
      <c r="F1987" s="105" t="n">
        <v>45657</v>
      </c>
      <c r="G1987" t="inlineStr">
        <is>
          <t>427-2024-12-31</t>
        </is>
      </c>
      <c r="H1987" t="inlineStr">
        <is>
          <t>Campus Bogotá</t>
        </is>
      </c>
      <c r="I1987" t="n">
        <v>0.3</v>
      </c>
      <c r="J1987" t="n">
        <v>0.2199999988079071</v>
      </c>
      <c r="O1987" t="n">
        <v>2232</v>
      </c>
      <c r="P1987" t="n">
        <v>2683</v>
      </c>
      <c r="Q1987" t="n">
        <v>13824</v>
      </c>
      <c r="R1987" t="n">
        <v>0</v>
      </c>
      <c r="Y1987" t="n">
        <v>4088</v>
      </c>
    </row>
    <row r="1988">
      <c r="A1988" t="n">
        <v>427</v>
      </c>
      <c r="B1988" t="inlineStr">
        <is>
          <t>Consumo de Agua per Cápita Semestral</t>
        </is>
      </c>
      <c r="C1988" t="inlineStr">
        <is>
          <t>GESTIÓN AMBIENTAL</t>
        </is>
      </c>
      <c r="D1988" t="inlineStr">
        <is>
          <t>Trimestral</t>
        </is>
      </c>
      <c r="E1988" t="inlineStr">
        <is>
          <t>Negativo</t>
        </is>
      </c>
      <c r="F1988" s="105" t="n">
        <v>45657</v>
      </c>
      <c r="G1988" t="inlineStr">
        <is>
          <t>427-2024-12-31</t>
        </is>
      </c>
      <c r="H1988" t="inlineStr">
        <is>
          <t>City Campus</t>
        </is>
      </c>
      <c r="I1988" t="n">
        <v>0.15</v>
      </c>
      <c r="J1988" t="n">
        <v>0.1400000005960464</v>
      </c>
      <c r="O1988" t="n">
        <v>477</v>
      </c>
      <c r="P1988" t="n">
        <v>24</v>
      </c>
      <c r="Q1988" t="n">
        <v>8635</v>
      </c>
      <c r="R1988" t="n">
        <v>2925</v>
      </c>
      <c r="Y1988" t="n">
        <v>1748</v>
      </c>
    </row>
    <row r="1989">
      <c r="A1989" t="n">
        <v>427</v>
      </c>
      <c r="B1989" t="inlineStr">
        <is>
          <t>Consumo de Agua per Cápita Semestral</t>
        </is>
      </c>
      <c r="C1989" t="inlineStr">
        <is>
          <t>GESTIÓN AMBIENTAL</t>
        </is>
      </c>
      <c r="D1989" t="inlineStr">
        <is>
          <t>Trimestral</t>
        </is>
      </c>
      <c r="E1989" t="inlineStr">
        <is>
          <t>Negativo</t>
        </is>
      </c>
      <c r="F1989" s="105" t="n">
        <v>45657</v>
      </c>
      <c r="G1989" t="inlineStr">
        <is>
          <t>427-2024-12-31</t>
        </is>
      </c>
      <c r="H1989" t="inlineStr">
        <is>
          <t>Sede Posgrado-Calle 85</t>
        </is>
      </c>
      <c r="I1989" t="n">
        <v>0.2</v>
      </c>
      <c r="J1989" t="n">
        <v>0.2800000011920929</v>
      </c>
      <c r="O1989" t="n">
        <v>66</v>
      </c>
      <c r="P1989" t="n">
        <v>71</v>
      </c>
      <c r="Q1989" t="n">
        <v>135</v>
      </c>
      <c r="R1989" t="n">
        <v>0</v>
      </c>
      <c r="Y1989" t="n">
        <v>76</v>
      </c>
    </row>
    <row r="1990">
      <c r="A1990" t="n">
        <v>427</v>
      </c>
      <c r="B1990" t="inlineStr">
        <is>
          <t>Consumo de Agua per Cápita Semestral</t>
        </is>
      </c>
      <c r="C1990" t="inlineStr">
        <is>
          <t>GESTIÓN AMBIENTAL</t>
        </is>
      </c>
      <c r="D1990" t="inlineStr">
        <is>
          <t>Trimestral</t>
        </is>
      </c>
      <c r="E1990" t="inlineStr">
        <is>
          <t>Negativo</t>
        </is>
      </c>
      <c r="F1990" s="105" t="n">
        <v>45657</v>
      </c>
      <c r="G1990" t="inlineStr">
        <is>
          <t>427-2024-12-31</t>
        </is>
      </c>
      <c r="H1990" t="inlineStr">
        <is>
          <t>Campus-Medellín</t>
        </is>
      </c>
      <c r="I1990" t="n">
        <v>0.1</v>
      </c>
      <c r="J1990" t="n">
        <v>0.1099999994039536</v>
      </c>
      <c r="O1990" t="n">
        <v>374</v>
      </c>
      <c r="P1990" t="n">
        <v>922</v>
      </c>
      <c r="Q1990" t="n">
        <v>10413</v>
      </c>
      <c r="R1990" t="n">
        <v>5</v>
      </c>
      <c r="Y1990" t="n">
        <v>1275</v>
      </c>
    </row>
    <row r="1991">
      <c r="A1991" t="n">
        <v>427</v>
      </c>
      <c r="B1991" t="inlineStr">
        <is>
          <t>Consumo de Agua per Cápita Semestral</t>
        </is>
      </c>
      <c r="C1991" t="inlineStr">
        <is>
          <t>GESTIÓN AMBIENTAL</t>
        </is>
      </c>
      <c r="D1991" t="inlineStr">
        <is>
          <t>Trimestral</t>
        </is>
      </c>
      <c r="E1991" t="inlineStr">
        <is>
          <t>Negativo</t>
        </is>
      </c>
      <c r="F1991" s="105" t="n">
        <v>45657</v>
      </c>
      <c r="G1991" t="inlineStr">
        <is>
          <t>427-2024-12-31</t>
        </is>
      </c>
      <c r="H1991" t="inlineStr">
        <is>
          <t>Sede Bienestar - Medellín</t>
        </is>
      </c>
      <c r="I1991" t="n">
        <v>0.2</v>
      </c>
      <c r="O1991" t="n">
        <v>9</v>
      </c>
      <c r="P1991" t="n">
        <v>26</v>
      </c>
      <c r="Q1991" t="n">
        <v>2938</v>
      </c>
      <c r="R1991" t="n">
        <v>0</v>
      </c>
      <c r="Y1991" t="n">
        <v>0</v>
      </c>
    </row>
    <row r="1992">
      <c r="A1992" t="n">
        <v>427</v>
      </c>
      <c r="B1992" t="inlineStr">
        <is>
          <t>Consumo de Agua per Cápita Semestral</t>
        </is>
      </c>
      <c r="C1992" t="inlineStr">
        <is>
          <t>GESTIÓN AMBIENTAL</t>
        </is>
      </c>
      <c r="D1992" t="inlineStr">
        <is>
          <t>Trimestral</t>
        </is>
      </c>
      <c r="E1992" t="inlineStr">
        <is>
          <t>Negativo</t>
        </is>
      </c>
      <c r="F1992" s="105" t="n">
        <v>45657</v>
      </c>
      <c r="G1992" t="inlineStr">
        <is>
          <t>427-2024-12-31</t>
        </is>
      </c>
      <c r="H1992" t="inlineStr">
        <is>
          <t>Consultorio Psicología - Medellin</t>
        </is>
      </c>
      <c r="I1992" t="n">
        <v>0.2</v>
      </c>
      <c r="J1992" t="n">
        <v>0.6800000071525574</v>
      </c>
      <c r="O1992" t="n">
        <v>10</v>
      </c>
      <c r="P1992" t="n">
        <v>10</v>
      </c>
      <c r="Q1992" t="n">
        <v>48</v>
      </c>
      <c r="R1992" t="n">
        <v>0</v>
      </c>
      <c r="Y1992" t="n">
        <v>46</v>
      </c>
    </row>
    <row r="1993">
      <c r="A1993" t="n">
        <v>428</v>
      </c>
      <c r="B1993" t="inlineStr">
        <is>
          <t>Consumo de Energía Eléctrica per Cápita Semestral</t>
        </is>
      </c>
      <c r="C1993" t="inlineStr">
        <is>
          <t>GESTIÓN AMBIENTAL</t>
        </is>
      </c>
      <c r="D1993" t="inlineStr">
        <is>
          <t>Trimestral</t>
        </is>
      </c>
      <c r="E1993" t="inlineStr">
        <is>
          <t>Negativo</t>
        </is>
      </c>
      <c r="F1993" s="105" t="n">
        <v>45657</v>
      </c>
      <c r="G1993" t="inlineStr">
        <is>
          <t>428-2024-12-31</t>
        </is>
      </c>
      <c r="H1993" t="inlineStr">
        <is>
          <t>Campus Bogotá</t>
        </is>
      </c>
      <c r="I1993" t="n">
        <v>22</v>
      </c>
      <c r="J1993" t="n">
        <v>20.79999923706055</v>
      </c>
      <c r="O1993" t="n">
        <v>2232</v>
      </c>
      <c r="P1993" t="n">
        <v>2683</v>
      </c>
      <c r="Q1993" t="n">
        <v>13824</v>
      </c>
      <c r="R1993" t="n">
        <v>0</v>
      </c>
      <c r="W1993" t="n">
        <v>389679</v>
      </c>
    </row>
    <row r="1994">
      <c r="A1994" t="n">
        <v>428</v>
      </c>
      <c r="B1994" t="inlineStr">
        <is>
          <t>Consumo de Energía Eléctrica per Cápita Semestral</t>
        </is>
      </c>
      <c r="C1994" t="inlineStr">
        <is>
          <t>GESTIÓN AMBIENTAL</t>
        </is>
      </c>
      <c r="D1994" t="inlineStr">
        <is>
          <t>Trimestral</t>
        </is>
      </c>
      <c r="E1994" t="inlineStr">
        <is>
          <t>Negativo</t>
        </is>
      </c>
      <c r="F1994" s="105" t="n">
        <v>45657</v>
      </c>
      <c r="G1994" t="inlineStr">
        <is>
          <t>428-2024-12-31</t>
        </is>
      </c>
      <c r="H1994" t="inlineStr">
        <is>
          <t>City Campus</t>
        </is>
      </c>
      <c r="I1994" t="n">
        <v>25</v>
      </c>
      <c r="J1994" t="n">
        <v>22.1200008392334</v>
      </c>
      <c r="O1994" t="n">
        <v>477</v>
      </c>
      <c r="P1994" t="n">
        <v>24</v>
      </c>
      <c r="Q1994" t="n">
        <v>8635</v>
      </c>
      <c r="R1994" t="n">
        <v>2925</v>
      </c>
      <c r="W1994" t="n">
        <v>266760</v>
      </c>
    </row>
    <row r="1995">
      <c r="A1995" t="n">
        <v>428</v>
      </c>
      <c r="B1995" t="inlineStr">
        <is>
          <t>Consumo de Energía Eléctrica per Cápita Semestral</t>
        </is>
      </c>
      <c r="C1995" t="inlineStr">
        <is>
          <t>GESTIÓN AMBIENTAL</t>
        </is>
      </c>
      <c r="D1995" t="inlineStr">
        <is>
          <t>Trimestral</t>
        </is>
      </c>
      <c r="E1995" t="inlineStr">
        <is>
          <t>Negativo</t>
        </is>
      </c>
      <c r="F1995" s="105" t="n">
        <v>45657</v>
      </c>
      <c r="G1995" t="inlineStr">
        <is>
          <t>428-2024-12-31</t>
        </is>
      </c>
      <c r="H1995" t="inlineStr">
        <is>
          <t>Sede Posgrado-Calle 85</t>
        </is>
      </c>
      <c r="I1995" t="n">
        <v>1</v>
      </c>
      <c r="J1995" t="n">
        <v>92.87000274658203</v>
      </c>
      <c r="O1995" t="n">
        <v>66</v>
      </c>
      <c r="P1995" t="n">
        <v>71</v>
      </c>
      <c r="Q1995" t="n">
        <v>135</v>
      </c>
      <c r="R1995" t="n">
        <v>0</v>
      </c>
      <c r="W1995" t="n">
        <v>25260</v>
      </c>
    </row>
    <row r="1996">
      <c r="A1996" t="n">
        <v>428</v>
      </c>
      <c r="B1996" t="inlineStr">
        <is>
          <t>Consumo de Energía Eléctrica per Cápita Semestral</t>
        </is>
      </c>
      <c r="C1996" t="inlineStr">
        <is>
          <t>GESTIÓN AMBIENTAL</t>
        </is>
      </c>
      <c r="D1996" t="inlineStr">
        <is>
          <t>Trimestral</t>
        </is>
      </c>
      <c r="E1996" t="inlineStr">
        <is>
          <t>Negativo</t>
        </is>
      </c>
      <c r="F1996" s="105" t="n">
        <v>45657</v>
      </c>
      <c r="G1996" t="inlineStr">
        <is>
          <t>428-2024-12-31</t>
        </is>
      </c>
      <c r="H1996" t="inlineStr">
        <is>
          <t>Sede Bienestar - Medellín</t>
        </is>
      </c>
      <c r="I1996" t="n">
        <v>7</v>
      </c>
      <c r="J1996" t="n">
        <v>7.510000228881836</v>
      </c>
      <c r="O1996" t="n">
        <v>9</v>
      </c>
      <c r="P1996" t="n">
        <v>26</v>
      </c>
      <c r="Q1996" t="n">
        <v>2938</v>
      </c>
      <c r="R1996" t="n">
        <v>0</v>
      </c>
      <c r="W1996" t="n">
        <v>22320</v>
      </c>
    </row>
    <row r="1997">
      <c r="A1997" t="n">
        <v>428</v>
      </c>
      <c r="B1997" t="inlineStr">
        <is>
          <t>Consumo de Energía Eléctrica per Cápita Semestral</t>
        </is>
      </c>
      <c r="C1997" t="inlineStr">
        <is>
          <t>GESTIÓN AMBIENTAL</t>
        </is>
      </c>
      <c r="D1997" t="inlineStr">
        <is>
          <t>Trimestral</t>
        </is>
      </c>
      <c r="E1997" t="inlineStr">
        <is>
          <t>Negativo</t>
        </is>
      </c>
      <c r="F1997" s="105" t="n">
        <v>45657</v>
      </c>
      <c r="G1997" t="inlineStr">
        <is>
          <t>428-2024-12-31</t>
        </is>
      </c>
      <c r="H1997" t="inlineStr">
        <is>
          <t>Consultorio Psicología - Medellin</t>
        </is>
      </c>
      <c r="I1997" t="n">
        <v>1</v>
      </c>
      <c r="J1997" t="n">
        <v>110.8099975585938</v>
      </c>
      <c r="O1997" t="n">
        <v>10</v>
      </c>
      <c r="P1997" t="n">
        <v>10</v>
      </c>
      <c r="Q1997" t="n">
        <v>48</v>
      </c>
      <c r="R1997" t="n">
        <v>0</v>
      </c>
      <c r="W1997" t="n">
        <v>7535</v>
      </c>
    </row>
    <row r="1998">
      <c r="A1998" t="n">
        <v>428</v>
      </c>
      <c r="B1998" t="inlineStr">
        <is>
          <t>Consumo de Energía Eléctrica per Cápita Semestral</t>
        </is>
      </c>
      <c r="C1998" t="inlineStr">
        <is>
          <t>GESTIÓN AMBIENTAL</t>
        </is>
      </c>
      <c r="D1998" t="inlineStr">
        <is>
          <t>Trimestral</t>
        </is>
      </c>
      <c r="E1998" t="inlineStr">
        <is>
          <t>Negativo</t>
        </is>
      </c>
      <c r="F1998" s="105" t="n">
        <v>45657</v>
      </c>
      <c r="G1998" t="inlineStr">
        <is>
          <t>428-2024-12-31</t>
        </is>
      </c>
      <c r="H1998" t="inlineStr">
        <is>
          <t>Campus-Medellín</t>
        </is>
      </c>
      <c r="I1998" t="n">
        <v>11</v>
      </c>
      <c r="J1998" t="n">
        <v>11.77000045776367</v>
      </c>
      <c r="O1998" t="n">
        <v>374</v>
      </c>
      <c r="P1998" t="n">
        <v>922</v>
      </c>
      <c r="Q1998" t="n">
        <v>10413</v>
      </c>
      <c r="R1998" t="n">
        <v>5</v>
      </c>
      <c r="W1998" t="n">
        <v>137838</v>
      </c>
    </row>
    <row r="1999">
      <c r="A1999" t="n">
        <v>429</v>
      </c>
      <c r="B1999" t="inlineStr">
        <is>
          <t>Generación de Residuos Sólidos per Cápita Semestral</t>
        </is>
      </c>
      <c r="C1999" t="inlineStr">
        <is>
          <t>GESTIÓN AMBIENTAL</t>
        </is>
      </c>
      <c r="D1999" t="inlineStr">
        <is>
          <t>Trimestral</t>
        </is>
      </c>
      <c r="E1999" t="inlineStr">
        <is>
          <t>Negativo</t>
        </is>
      </c>
      <c r="F1999" s="105" t="n">
        <v>45657</v>
      </c>
      <c r="G1999" t="inlineStr">
        <is>
          <t>429-2024-12-31</t>
        </is>
      </c>
      <c r="H1999" t="inlineStr">
        <is>
          <t>Campus Bogotá</t>
        </is>
      </c>
      <c r="I1999" t="n">
        <v>0.4</v>
      </c>
      <c r="J1999" t="n">
        <v>1.039999961853027</v>
      </c>
      <c r="O1999" t="n">
        <v>2232</v>
      </c>
      <c r="P1999" t="n">
        <v>2683</v>
      </c>
      <c r="Q1999" t="n">
        <v>13824</v>
      </c>
      <c r="R1999" t="n">
        <v>0</v>
      </c>
      <c r="AA1999" t="n">
        <v>5972</v>
      </c>
      <c r="AB1999" t="n">
        <v>13600</v>
      </c>
    </row>
    <row r="2000">
      <c r="A2000" t="n">
        <v>429</v>
      </c>
      <c r="B2000" t="inlineStr">
        <is>
          <t>Generación de Residuos Sólidos per Cápita Semestral</t>
        </is>
      </c>
      <c r="C2000" t="inlineStr">
        <is>
          <t>GESTIÓN AMBIENTAL</t>
        </is>
      </c>
      <c r="D2000" t="inlineStr">
        <is>
          <t>Trimestral</t>
        </is>
      </c>
      <c r="E2000" t="inlineStr">
        <is>
          <t>Negativo</t>
        </is>
      </c>
      <c r="F2000" s="105" t="n">
        <v>45657</v>
      </c>
      <c r="G2000" t="inlineStr">
        <is>
          <t>429-2024-12-31</t>
        </is>
      </c>
      <c r="H2000" t="inlineStr">
        <is>
          <t>Sede Posgrado-Calle 85</t>
        </is>
      </c>
      <c r="I2000" t="n">
        <v>0.76</v>
      </c>
      <c r="J2000" t="n">
        <v>0</v>
      </c>
      <c r="O2000" t="n">
        <v>66</v>
      </c>
      <c r="P2000" t="n">
        <v>71</v>
      </c>
      <c r="Q2000" t="n">
        <v>135</v>
      </c>
      <c r="R2000" t="n">
        <v>0</v>
      </c>
      <c r="AA2000" t="n">
        <v>0</v>
      </c>
      <c r="AB2000" t="n">
        <v>0</v>
      </c>
    </row>
    <row r="2001">
      <c r="A2001" t="n">
        <v>429</v>
      </c>
      <c r="B2001" t="inlineStr">
        <is>
          <t>Generación de Residuos Sólidos per Cápita Semestral</t>
        </is>
      </c>
      <c r="C2001" t="inlineStr">
        <is>
          <t>GESTIÓN AMBIENTAL</t>
        </is>
      </c>
      <c r="D2001" t="inlineStr">
        <is>
          <t>Trimestral</t>
        </is>
      </c>
      <c r="E2001" t="inlineStr">
        <is>
          <t>Negativo</t>
        </is>
      </c>
      <c r="F2001" s="105" t="n">
        <v>45657</v>
      </c>
      <c r="G2001" t="inlineStr">
        <is>
          <t>429-2024-12-31</t>
        </is>
      </c>
      <c r="H2001" t="inlineStr">
        <is>
          <t>Campus-Medellín</t>
        </is>
      </c>
      <c r="I2001" t="n">
        <v>0.41</v>
      </c>
      <c r="J2001" t="n">
        <v>0.300000011920929</v>
      </c>
      <c r="O2001" t="n">
        <v>374</v>
      </c>
      <c r="P2001" t="n">
        <v>922</v>
      </c>
      <c r="Q2001" t="n">
        <v>10413</v>
      </c>
      <c r="R2001" t="n">
        <v>5</v>
      </c>
      <c r="AA2001" t="n">
        <v>582.3200000000001</v>
      </c>
      <c r="AB2001" t="n">
        <v>2879.8</v>
      </c>
    </row>
    <row r="2002">
      <c r="A2002" t="n">
        <v>429</v>
      </c>
      <c r="B2002" t="inlineStr">
        <is>
          <t>Generación de Residuos Sólidos per Cápita Semestral</t>
        </is>
      </c>
      <c r="C2002" t="inlineStr">
        <is>
          <t>GESTIÓN AMBIENTAL</t>
        </is>
      </c>
      <c r="D2002" t="inlineStr">
        <is>
          <t>Trimestral</t>
        </is>
      </c>
      <c r="E2002" t="inlineStr">
        <is>
          <t>Negativo</t>
        </is>
      </c>
      <c r="F2002" s="105" t="n">
        <v>45657</v>
      </c>
      <c r="G2002" t="inlineStr">
        <is>
          <t>429-2024-12-31</t>
        </is>
      </c>
      <c r="H2002" t="inlineStr">
        <is>
          <t>Sede Bienestar - Medellín</t>
        </is>
      </c>
      <c r="I2002" t="n">
        <v>0.76</v>
      </c>
      <c r="J2002" t="n">
        <v>0</v>
      </c>
      <c r="O2002" t="n">
        <v>9</v>
      </c>
      <c r="P2002" t="n">
        <v>26</v>
      </c>
      <c r="Q2002" t="n">
        <v>2938</v>
      </c>
      <c r="R2002" t="n">
        <v>0</v>
      </c>
      <c r="AA2002" t="n">
        <v>0</v>
      </c>
      <c r="AB2002" t="n">
        <v>0</v>
      </c>
    </row>
    <row r="2003">
      <c r="A2003" t="n">
        <v>429</v>
      </c>
      <c r="B2003" t="inlineStr">
        <is>
          <t>Generación de Residuos Sólidos per Cápita Semestral</t>
        </is>
      </c>
      <c r="C2003" t="inlineStr">
        <is>
          <t>GESTIÓN AMBIENTAL</t>
        </is>
      </c>
      <c r="D2003" t="inlineStr">
        <is>
          <t>Trimestral</t>
        </is>
      </c>
      <c r="E2003" t="inlineStr">
        <is>
          <t>Negativo</t>
        </is>
      </c>
      <c r="F2003" s="105" t="n">
        <v>45657</v>
      </c>
      <c r="G2003" t="inlineStr">
        <is>
          <t>429-2024-12-31</t>
        </is>
      </c>
      <c r="H2003" t="inlineStr">
        <is>
          <t>Consultorio Psicología - Medellin</t>
        </is>
      </c>
      <c r="I2003" t="n">
        <v>0.76</v>
      </c>
      <c r="J2003" t="n">
        <v>0.8899999856948853</v>
      </c>
      <c r="O2003" t="n">
        <v>10</v>
      </c>
      <c r="P2003" t="n">
        <v>10</v>
      </c>
      <c r="Q2003" t="n">
        <v>48</v>
      </c>
      <c r="R2003" t="n">
        <v>0</v>
      </c>
      <c r="AA2003" t="n">
        <v>13.07</v>
      </c>
      <c r="AB2003" t="n">
        <v>47.63</v>
      </c>
    </row>
    <row r="2004">
      <c r="A2004" t="n">
        <v>429</v>
      </c>
      <c r="B2004" t="inlineStr">
        <is>
          <t>Generación de Residuos Sólidos per Cápita Semestral</t>
        </is>
      </c>
      <c r="C2004" t="inlineStr">
        <is>
          <t>GESTIÓN AMBIENTAL</t>
        </is>
      </c>
      <c r="D2004" t="inlineStr">
        <is>
          <t>Trimestral</t>
        </is>
      </c>
      <c r="E2004" t="inlineStr">
        <is>
          <t>Negativo</t>
        </is>
      </c>
      <c r="F2004" s="105" t="n">
        <v>45657</v>
      </c>
      <c r="G2004" t="inlineStr">
        <is>
          <t>429-2024-12-31</t>
        </is>
      </c>
      <c r="H2004" t="inlineStr">
        <is>
          <t>City Campus</t>
        </is>
      </c>
      <c r="I2004" t="n">
        <v>0.38</v>
      </c>
      <c r="J2004" t="n">
        <v>0.449999988079071</v>
      </c>
      <c r="O2004" t="n">
        <v>477</v>
      </c>
      <c r="P2004" t="n">
        <v>24</v>
      </c>
      <c r="Q2004" t="n">
        <v>8635</v>
      </c>
      <c r="R2004" t="n">
        <v>2925</v>
      </c>
      <c r="AA2004" t="n">
        <v>907.4299999999999</v>
      </c>
      <c r="AB2004" t="n">
        <v>4562.36</v>
      </c>
    </row>
    <row r="2005">
      <c r="A2005" t="n">
        <v>433</v>
      </c>
      <c r="B2005" t="inlineStr">
        <is>
          <t>Generación de Residuos Peligrosos per Cápita Semestral</t>
        </is>
      </c>
      <c r="C2005" t="inlineStr">
        <is>
          <t>GESTIÓN AMBIENTAL</t>
        </is>
      </c>
      <c r="D2005" t="inlineStr">
        <is>
          <t>Trimestral</t>
        </is>
      </c>
      <c r="E2005" t="inlineStr">
        <is>
          <t>Negativo</t>
        </is>
      </c>
      <c r="F2005" s="105" t="n">
        <v>45657</v>
      </c>
      <c r="G2005" t="inlineStr">
        <is>
          <t>433-2024-12-31</t>
        </is>
      </c>
      <c r="H2005" t="inlineStr">
        <is>
          <t>Campus Bogotá</t>
        </is>
      </c>
      <c r="I2005" t="n">
        <v>0.1</v>
      </c>
      <c r="J2005" t="n">
        <v>0.2700000107288361</v>
      </c>
      <c r="O2005" t="n">
        <v>2232</v>
      </c>
      <c r="P2005" t="n">
        <v>2683</v>
      </c>
      <c r="Q2005" t="n">
        <v>13824</v>
      </c>
      <c r="R2005" t="n">
        <v>0</v>
      </c>
      <c r="BV2005" t="n">
        <v>5072.81</v>
      </c>
    </row>
    <row r="2006">
      <c r="A2006" t="n">
        <v>433</v>
      </c>
      <c r="B2006" t="inlineStr">
        <is>
          <t>Generación de Residuos Peligrosos per Cápita Semestral</t>
        </is>
      </c>
      <c r="C2006" t="inlineStr">
        <is>
          <t>GESTIÓN AMBIENTAL</t>
        </is>
      </c>
      <c r="D2006" t="inlineStr">
        <is>
          <t>Trimestral</t>
        </is>
      </c>
      <c r="E2006" t="inlineStr">
        <is>
          <t>Negativo</t>
        </is>
      </c>
      <c r="F2006" s="105" t="n">
        <v>45657</v>
      </c>
      <c r="G2006" t="inlineStr">
        <is>
          <t>433-2024-12-31</t>
        </is>
      </c>
      <c r="H2006" t="inlineStr">
        <is>
          <t>City Campus</t>
        </is>
      </c>
      <c r="I2006" t="n">
        <v>0.05</v>
      </c>
      <c r="J2006" t="n">
        <v>0.03999999910593033</v>
      </c>
      <c r="O2006" t="n">
        <v>477</v>
      </c>
      <c r="P2006" t="n">
        <v>24</v>
      </c>
      <c r="Q2006" t="n">
        <v>8635</v>
      </c>
      <c r="R2006" t="n">
        <v>2925</v>
      </c>
      <c r="BV2006" t="n">
        <v>542.25</v>
      </c>
    </row>
    <row r="2007">
      <c r="A2007" t="n">
        <v>433</v>
      </c>
      <c r="B2007" t="inlineStr">
        <is>
          <t>Generación de Residuos Peligrosos per Cápita Semestral</t>
        </is>
      </c>
      <c r="C2007" t="inlineStr">
        <is>
          <t>GESTIÓN AMBIENTAL</t>
        </is>
      </c>
      <c r="D2007" t="inlineStr">
        <is>
          <t>Trimestral</t>
        </is>
      </c>
      <c r="E2007" t="inlineStr">
        <is>
          <t>Negativo</t>
        </is>
      </c>
      <c r="F2007" s="105" t="n">
        <v>45657</v>
      </c>
      <c r="G2007" t="inlineStr">
        <is>
          <t>433-2024-12-31</t>
        </is>
      </c>
      <c r="H2007" t="inlineStr">
        <is>
          <t>Sede Posgrado-Calle 85</t>
        </is>
      </c>
      <c r="I2007" t="n">
        <v>0.05</v>
      </c>
      <c r="J2007" t="n">
        <v>0</v>
      </c>
      <c r="O2007" t="n">
        <v>66</v>
      </c>
      <c r="P2007" t="n">
        <v>71</v>
      </c>
      <c r="Q2007" t="n">
        <v>135</v>
      </c>
      <c r="R2007" t="n">
        <v>0</v>
      </c>
      <c r="BV2007" t="n">
        <v>0</v>
      </c>
    </row>
    <row r="2008">
      <c r="A2008" t="n">
        <v>433</v>
      </c>
      <c r="B2008" t="inlineStr">
        <is>
          <t>Generación de Residuos Peligrosos per Cápita Semestral</t>
        </is>
      </c>
      <c r="C2008" t="inlineStr">
        <is>
          <t>GESTIÓN AMBIENTAL</t>
        </is>
      </c>
      <c r="D2008" t="inlineStr">
        <is>
          <t>Trimestral</t>
        </is>
      </c>
      <c r="E2008" t="inlineStr">
        <is>
          <t>Negativo</t>
        </is>
      </c>
      <c r="F2008" s="105" t="n">
        <v>45657</v>
      </c>
      <c r="G2008" t="inlineStr">
        <is>
          <t>433-2024-12-31</t>
        </is>
      </c>
      <c r="H2008" t="inlineStr">
        <is>
          <t>Campus-Medellín</t>
        </is>
      </c>
      <c r="I2008" t="n">
        <v>0.05</v>
      </c>
      <c r="J2008" t="n">
        <v>0.05999999865889549</v>
      </c>
      <c r="O2008" t="n">
        <v>374</v>
      </c>
      <c r="P2008" t="n">
        <v>922</v>
      </c>
      <c r="Q2008" t="n">
        <v>10413</v>
      </c>
      <c r="R2008" t="n">
        <v>5</v>
      </c>
      <c r="BV2008" t="n">
        <v>714.5</v>
      </c>
    </row>
    <row r="2009">
      <c r="A2009" t="n">
        <v>433</v>
      </c>
      <c r="B2009" t="inlineStr">
        <is>
          <t>Generación de Residuos Peligrosos per Cápita Semestral</t>
        </is>
      </c>
      <c r="C2009" t="inlineStr">
        <is>
          <t>GESTIÓN AMBIENTAL</t>
        </is>
      </c>
      <c r="D2009" t="inlineStr">
        <is>
          <t>Trimestral</t>
        </is>
      </c>
      <c r="E2009" t="inlineStr">
        <is>
          <t>Negativo</t>
        </is>
      </c>
      <c r="F2009" s="105" t="n">
        <v>45657</v>
      </c>
      <c r="G2009" t="inlineStr">
        <is>
          <t>433-2024-12-31</t>
        </is>
      </c>
      <c r="H2009" t="inlineStr">
        <is>
          <t>Consultorio Psicología - Medellin</t>
        </is>
      </c>
      <c r="I2009" t="n">
        <v>0.05</v>
      </c>
      <c r="J2009" t="n">
        <v>0</v>
      </c>
      <c r="O2009" t="n">
        <v>10</v>
      </c>
      <c r="P2009" t="n">
        <v>10</v>
      </c>
      <c r="Q2009" t="n">
        <v>48</v>
      </c>
      <c r="R2009" t="n">
        <v>0</v>
      </c>
      <c r="BV2009" t="n">
        <v>0</v>
      </c>
    </row>
    <row r="2010">
      <c r="A2010" t="n">
        <v>433</v>
      </c>
      <c r="B2010" t="inlineStr">
        <is>
          <t>Generación de Residuos Peligrosos per Cápita Semestral</t>
        </is>
      </c>
      <c r="C2010" t="inlineStr">
        <is>
          <t>GESTIÓN AMBIENTAL</t>
        </is>
      </c>
      <c r="D2010" t="inlineStr">
        <is>
          <t>Trimestral</t>
        </is>
      </c>
      <c r="E2010" t="inlineStr">
        <is>
          <t>Negativo</t>
        </is>
      </c>
      <c r="F2010" s="105" t="n">
        <v>45657</v>
      </c>
      <c r="G2010" t="inlineStr">
        <is>
          <t>433-2024-12-31</t>
        </is>
      </c>
      <c r="H2010" t="inlineStr">
        <is>
          <t>Sede Bienestar - Medellín</t>
        </is>
      </c>
      <c r="I2010" t="n">
        <v>0.05</v>
      </c>
      <c r="O2010" t="n">
        <v>9</v>
      </c>
      <c r="P2010" t="n">
        <v>26</v>
      </c>
      <c r="Q2010" t="n">
        <v>2938</v>
      </c>
      <c r="R2010" t="n">
        <v>0</v>
      </c>
      <c r="BV2010" t="n">
        <v>1.02</v>
      </c>
    </row>
    <row r="2011">
      <c r="A2011" t="n">
        <v>435</v>
      </c>
      <c r="B2011" t="inlineStr">
        <is>
          <t>Disminución de la Generación de Residuos Peligrosos per Cápita</t>
        </is>
      </c>
      <c r="C2011" t="inlineStr">
        <is>
          <t>GESTIÓN AMBIENTAL</t>
        </is>
      </c>
      <c r="D2011" t="inlineStr">
        <is>
          <t>Trimestral</t>
        </is>
      </c>
      <c r="E2011" t="inlineStr">
        <is>
          <t>Positivo</t>
        </is>
      </c>
      <c r="F2011" s="105" t="n">
        <v>45657</v>
      </c>
      <c r="G2011" t="inlineStr">
        <is>
          <t>435-2024-12-31</t>
        </is>
      </c>
      <c r="H2011" t="inlineStr">
        <is>
          <t>Campus Bogotá</t>
        </is>
      </c>
      <c r="I2011" t="n">
        <v>100</v>
      </c>
      <c r="J2011" t="n">
        <v>-80</v>
      </c>
      <c r="BW2011" t="n">
        <v>0.15</v>
      </c>
      <c r="BX2011" t="n">
        <v>0.27</v>
      </c>
    </row>
    <row r="2012">
      <c r="A2012" t="n">
        <v>435</v>
      </c>
      <c r="B2012" t="inlineStr">
        <is>
          <t>Disminución de la Generación de Residuos Peligrosos per Cápita</t>
        </is>
      </c>
      <c r="C2012" t="inlineStr">
        <is>
          <t>GESTIÓN AMBIENTAL</t>
        </is>
      </c>
      <c r="D2012" t="inlineStr">
        <is>
          <t>Trimestral</t>
        </is>
      </c>
      <c r="E2012" t="inlineStr">
        <is>
          <t>Positivo</t>
        </is>
      </c>
      <c r="F2012" s="105" t="n">
        <v>45657</v>
      </c>
      <c r="G2012" t="inlineStr">
        <is>
          <t>435-2024-12-31</t>
        </is>
      </c>
      <c r="H2012" t="inlineStr">
        <is>
          <t>City Campus</t>
        </is>
      </c>
      <c r="I2012" t="n">
        <v>100</v>
      </c>
      <c r="J2012" t="n">
        <v>-33.33000183105469</v>
      </c>
      <c r="BW2012" t="n">
        <v>0.03</v>
      </c>
      <c r="BX2012" t="n">
        <v>0.04</v>
      </c>
    </row>
    <row r="2013">
      <c r="A2013" t="n">
        <v>435</v>
      </c>
      <c r="B2013" t="inlineStr">
        <is>
          <t>Disminución de la Generación de Residuos Peligrosos per Cápita</t>
        </is>
      </c>
      <c r="C2013" t="inlineStr">
        <is>
          <t>GESTIÓN AMBIENTAL</t>
        </is>
      </c>
      <c r="D2013" t="inlineStr">
        <is>
          <t>Trimestral</t>
        </is>
      </c>
      <c r="E2013" t="inlineStr">
        <is>
          <t>Positivo</t>
        </is>
      </c>
      <c r="F2013" s="105" t="n">
        <v>45657</v>
      </c>
      <c r="G2013" t="inlineStr">
        <is>
          <t>435-2024-12-31</t>
        </is>
      </c>
      <c r="H2013" t="inlineStr">
        <is>
          <t>Sede Posgrado-Calle 85</t>
        </is>
      </c>
      <c r="I2013" t="n">
        <v>100</v>
      </c>
      <c r="J2013" t="n">
        <v>0</v>
      </c>
      <c r="BW2013" t="n">
        <v>0</v>
      </c>
      <c r="BX2013" t="n">
        <v>0</v>
      </c>
    </row>
    <row r="2014">
      <c r="A2014" t="n">
        <v>435</v>
      </c>
      <c r="B2014" t="inlineStr">
        <is>
          <t>Disminución de la Generación de Residuos Peligrosos per Cápita</t>
        </is>
      </c>
      <c r="C2014" t="inlineStr">
        <is>
          <t>GESTIÓN AMBIENTAL</t>
        </is>
      </c>
      <c r="D2014" t="inlineStr">
        <is>
          <t>Trimestral</t>
        </is>
      </c>
      <c r="E2014" t="inlineStr">
        <is>
          <t>Positivo</t>
        </is>
      </c>
      <c r="F2014" s="105" t="n">
        <v>45657</v>
      </c>
      <c r="G2014" t="inlineStr">
        <is>
          <t>435-2024-12-31</t>
        </is>
      </c>
      <c r="H2014" t="inlineStr">
        <is>
          <t>Campus-Medellín</t>
        </is>
      </c>
      <c r="I2014" t="n">
        <v>100</v>
      </c>
      <c r="J2014" t="n">
        <v>0</v>
      </c>
      <c r="BW2014" t="n">
        <v>0</v>
      </c>
      <c r="BX2014" t="n">
        <v>0.06</v>
      </c>
    </row>
    <row r="2015">
      <c r="A2015" t="n">
        <v>435</v>
      </c>
      <c r="B2015" t="inlineStr">
        <is>
          <t>Disminución de la Generación de Residuos Peligrosos per Cápita</t>
        </is>
      </c>
      <c r="C2015" t="inlineStr">
        <is>
          <t>GESTIÓN AMBIENTAL</t>
        </is>
      </c>
      <c r="D2015" t="inlineStr">
        <is>
          <t>Trimestral</t>
        </is>
      </c>
      <c r="E2015" t="inlineStr">
        <is>
          <t>Positivo</t>
        </is>
      </c>
      <c r="F2015" s="105" t="n">
        <v>45657</v>
      </c>
      <c r="G2015" t="inlineStr">
        <is>
          <t>435-2024-12-31</t>
        </is>
      </c>
      <c r="H2015" t="inlineStr">
        <is>
          <t>Sede Bienestar - Medellín</t>
        </is>
      </c>
      <c r="I2015" t="n">
        <v>100</v>
      </c>
      <c r="J2015" t="n">
        <v>100</v>
      </c>
      <c r="BW2015" t="n">
        <v>1.1</v>
      </c>
      <c r="BX2015" t="n">
        <v>0</v>
      </c>
    </row>
    <row r="2016">
      <c r="A2016" t="n">
        <v>435</v>
      </c>
      <c r="B2016" t="inlineStr">
        <is>
          <t>Disminución de la Generación de Residuos Peligrosos per Cápita</t>
        </is>
      </c>
      <c r="C2016" t="inlineStr">
        <is>
          <t>GESTIÓN AMBIENTAL</t>
        </is>
      </c>
      <c r="D2016" t="inlineStr">
        <is>
          <t>Trimestral</t>
        </is>
      </c>
      <c r="E2016" t="inlineStr">
        <is>
          <t>Positivo</t>
        </is>
      </c>
      <c r="F2016" s="105" t="n">
        <v>45657</v>
      </c>
      <c r="G2016" t="inlineStr">
        <is>
          <t>435-2024-12-31</t>
        </is>
      </c>
      <c r="H2016" t="inlineStr">
        <is>
          <t>Consultorio Psicología - Medellin</t>
        </is>
      </c>
      <c r="I2016" t="n">
        <v>100</v>
      </c>
      <c r="J2016" t="n">
        <v>0</v>
      </c>
      <c r="BW2016" t="n">
        <v>0</v>
      </c>
      <c r="BX2016" t="n">
        <v>0</v>
      </c>
    </row>
    <row r="2017">
      <c r="A2017" t="n">
        <v>440</v>
      </c>
      <c r="B2017" t="inlineStr">
        <is>
          <t>Aseguramiento de matricula académica virtual</t>
        </is>
      </c>
      <c r="C2017" t="inlineStr">
        <is>
          <t>Operaciones Académicas</t>
        </is>
      </c>
      <c r="D2017" t="inlineStr">
        <is>
          <t>Trimestral</t>
        </is>
      </c>
      <c r="E2017" t="inlineStr">
        <is>
          <t>Positivo</t>
        </is>
      </c>
      <c r="F2017" s="105" t="n">
        <v>45657</v>
      </c>
      <c r="G2017" t="inlineStr">
        <is>
          <t>440-2024-12-31</t>
        </is>
      </c>
      <c r="H2017" t="inlineStr">
        <is>
          <t>Pregrado Virtual</t>
        </is>
      </c>
      <c r="I2017" t="n">
        <v>98</v>
      </c>
      <c r="J2017" t="n">
        <v>99.25</v>
      </c>
      <c r="DA2017" t="n">
        <v>40471</v>
      </c>
      <c r="DB2017" t="n">
        <v>40775</v>
      </c>
    </row>
    <row r="2018">
      <c r="A2018" t="n">
        <v>440</v>
      </c>
      <c r="B2018" t="inlineStr">
        <is>
          <t>Aseguramiento de matricula académica virtual</t>
        </is>
      </c>
      <c r="C2018" t="inlineStr">
        <is>
          <t>Operaciones Académicas</t>
        </is>
      </c>
      <c r="D2018" t="inlineStr">
        <is>
          <t>Trimestral</t>
        </is>
      </c>
      <c r="E2018" t="inlineStr">
        <is>
          <t>Positivo</t>
        </is>
      </c>
      <c r="F2018" s="105" t="n">
        <v>45657</v>
      </c>
      <c r="G2018" t="inlineStr">
        <is>
          <t>440-2024-12-31</t>
        </is>
      </c>
      <c r="H2018" t="inlineStr">
        <is>
          <t>Posgrado Virtual</t>
        </is>
      </c>
      <c r="I2018" t="n">
        <v>98</v>
      </c>
      <c r="J2018" t="n">
        <v>99.01999664306641</v>
      </c>
      <c r="DA2018" t="n">
        <v>3025</v>
      </c>
      <c r="DB2018" t="n">
        <v>3055</v>
      </c>
    </row>
    <row r="2019">
      <c r="A2019" t="n">
        <v>473</v>
      </c>
      <c r="B2019" t="inlineStr">
        <is>
          <t>Programas con planes de estudios definidos</t>
        </is>
      </c>
      <c r="C2019" t="inlineStr">
        <is>
          <t>Gestión, Evaluación e Innovación Curricular</t>
        </is>
      </c>
      <c r="D2019" t="inlineStr">
        <is>
          <t>Trimestral</t>
        </is>
      </c>
      <c r="E2019" t="inlineStr">
        <is>
          <t>Positivo</t>
        </is>
      </c>
      <c r="F2019" s="105" t="n">
        <v>45657</v>
      </c>
      <c r="G2019" t="inlineStr">
        <is>
          <t>473-2024-12-31</t>
        </is>
      </c>
      <c r="H2019" t="inlineStr">
        <is>
          <t>Mantenimiento de programas</t>
        </is>
      </c>
      <c r="I2019" t="n">
        <v>100</v>
      </c>
      <c r="J2019" t="n">
        <v>100</v>
      </c>
      <c r="DM2019" t="n">
        <v>4</v>
      </c>
      <c r="DN2019" t="n">
        <v>4</v>
      </c>
    </row>
    <row r="2020">
      <c r="A2020" t="n">
        <v>473</v>
      </c>
      <c r="B2020" t="inlineStr">
        <is>
          <t>Programas con planes de estudios definidos</t>
        </is>
      </c>
      <c r="C2020" t="inlineStr">
        <is>
          <t>Gestión, Evaluación e Innovación Curricular</t>
        </is>
      </c>
      <c r="D2020" t="inlineStr">
        <is>
          <t>Trimestral</t>
        </is>
      </c>
      <c r="E2020" t="inlineStr">
        <is>
          <t>Positivo</t>
        </is>
      </c>
      <c r="F2020" s="105" t="n">
        <v>45657</v>
      </c>
      <c r="G2020" t="inlineStr">
        <is>
          <t>473-2024-12-31</t>
        </is>
      </c>
      <c r="H2020" t="inlineStr">
        <is>
          <t>Programas Renovación, modificación y acreditación</t>
        </is>
      </c>
      <c r="I2020" t="n">
        <v>100</v>
      </c>
      <c r="J2020" t="n">
        <v>100</v>
      </c>
      <c r="DM2020" t="n">
        <v>3</v>
      </c>
      <c r="DN2020" t="n">
        <v>3</v>
      </c>
    </row>
    <row r="2021">
      <c r="A2021" t="n">
        <v>473</v>
      </c>
      <c r="B2021" t="inlineStr">
        <is>
          <t>Programas con planes de estudios definidos</t>
        </is>
      </c>
      <c r="C2021" t="inlineStr">
        <is>
          <t>Gestión, Evaluación e Innovación Curricular</t>
        </is>
      </c>
      <c r="D2021" t="inlineStr">
        <is>
          <t>Trimestral</t>
        </is>
      </c>
      <c r="E2021" t="inlineStr">
        <is>
          <t>Positivo</t>
        </is>
      </c>
      <c r="F2021" s="105" t="n">
        <v>45657</v>
      </c>
      <c r="G2021" t="inlineStr">
        <is>
          <t>473-2024-12-31</t>
        </is>
      </c>
      <c r="H2021" t="inlineStr">
        <is>
          <t>Nuevos Programas Académicos</t>
        </is>
      </c>
      <c r="I2021" t="n">
        <v>100</v>
      </c>
      <c r="J2021" t="n">
        <v>100</v>
      </c>
      <c r="DM2021" t="n">
        <v>10</v>
      </c>
      <c r="DN2021" t="n">
        <v>10</v>
      </c>
    </row>
    <row r="2022">
      <c r="A2022" t="n">
        <v>474</v>
      </c>
      <c r="B2022" t="inlineStr">
        <is>
          <t>Programas con planes de estudios definidos por escuela (Nuevos Programas)</t>
        </is>
      </c>
      <c r="C2022" t="inlineStr">
        <is>
          <t>Gestión de Unidades Académicas</t>
        </is>
      </c>
      <c r="D2022" t="inlineStr">
        <is>
          <t>Trimestral</t>
        </is>
      </c>
      <c r="E2022" t="inlineStr">
        <is>
          <t>Positivo</t>
        </is>
      </c>
      <c r="F2022" s="105" t="n">
        <v>45657</v>
      </c>
      <c r="G2022" t="inlineStr">
        <is>
          <t>474-2024-12-31</t>
        </is>
      </c>
      <c r="H2022" t="inlineStr">
        <is>
          <t>ESCUELA DE CIENCIAS BÁSICAS</t>
        </is>
      </c>
      <c r="I2022" t="n">
        <v>100</v>
      </c>
      <c r="J2022" t="n">
        <v>100</v>
      </c>
      <c r="DO2022" t="n">
        <v>1</v>
      </c>
      <c r="DP2022" t="n">
        <v>1</v>
      </c>
    </row>
    <row r="2023">
      <c r="A2023" t="n">
        <v>474</v>
      </c>
      <c r="B2023" t="inlineStr">
        <is>
          <t>Programas con planes de estudios definidos por escuela (Nuevos Programas)</t>
        </is>
      </c>
      <c r="C2023" t="inlineStr">
        <is>
          <t>Gestión de Unidades Académicas</t>
        </is>
      </c>
      <c r="D2023" t="inlineStr">
        <is>
          <t>Trimestral</t>
        </is>
      </c>
      <c r="E2023" t="inlineStr">
        <is>
          <t>Positivo</t>
        </is>
      </c>
      <c r="F2023" s="105" t="n">
        <v>45657</v>
      </c>
      <c r="G2023" t="inlineStr">
        <is>
          <t>474-2024-12-31</t>
        </is>
      </c>
      <c r="H2023" t="inlineStr">
        <is>
          <t>ESCUELA DE  DISEÑO</t>
        </is>
      </c>
      <c r="I2023" t="n">
        <v>100</v>
      </c>
      <c r="J2023" t="n">
        <v>0</v>
      </c>
      <c r="DO2023" t="n">
        <v>0</v>
      </c>
      <c r="DP2023" t="n">
        <v>0</v>
      </c>
    </row>
    <row r="2024">
      <c r="A2024" t="n">
        <v>474</v>
      </c>
      <c r="B2024" t="inlineStr">
        <is>
          <t>Programas con planes de estudios definidos por escuela (Nuevos Programas)</t>
        </is>
      </c>
      <c r="C2024" t="inlineStr">
        <is>
          <t>Gestión de Unidades Académicas</t>
        </is>
      </c>
      <c r="D2024" t="inlineStr">
        <is>
          <t>Trimestral</t>
        </is>
      </c>
      <c r="E2024" t="inlineStr">
        <is>
          <t>Positivo</t>
        </is>
      </c>
      <c r="F2024" s="105" t="n">
        <v>45657</v>
      </c>
      <c r="G2024" t="inlineStr">
        <is>
          <t>474-2024-12-31</t>
        </is>
      </c>
      <c r="H2024" t="inlineStr">
        <is>
          <t>ESCUELA DE OPTIMIZACIÓN, INFRA Y AUTO</t>
        </is>
      </c>
      <c r="I2024" t="n">
        <v>100</v>
      </c>
      <c r="J2024" t="n">
        <v>0</v>
      </c>
      <c r="DO2024" t="n">
        <v>0</v>
      </c>
      <c r="DP2024" t="n">
        <v>0</v>
      </c>
    </row>
    <row r="2025">
      <c r="A2025" t="n">
        <v>474</v>
      </c>
      <c r="B2025" t="inlineStr">
        <is>
          <t>Programas con planes de estudios definidos por escuela (Nuevos Programas)</t>
        </is>
      </c>
      <c r="C2025" t="inlineStr">
        <is>
          <t>Gestión de Unidades Académicas</t>
        </is>
      </c>
      <c r="D2025" t="inlineStr">
        <is>
          <t>Trimestral</t>
        </is>
      </c>
      <c r="E2025" t="inlineStr">
        <is>
          <t>Positivo</t>
        </is>
      </c>
      <c r="F2025" s="105" t="n">
        <v>45657</v>
      </c>
      <c r="G2025" t="inlineStr">
        <is>
          <t>474-2024-12-31</t>
        </is>
      </c>
      <c r="H2025" t="inlineStr">
        <is>
          <t>ESCUELA TIC</t>
        </is>
      </c>
      <c r="I2025" t="n">
        <v>100</v>
      </c>
      <c r="J2025" t="n">
        <v>100</v>
      </c>
      <c r="DO2025" t="n">
        <v>1</v>
      </c>
      <c r="DP2025" t="n">
        <v>1</v>
      </c>
    </row>
    <row r="2026">
      <c r="A2026" t="n">
        <v>474</v>
      </c>
      <c r="B2026" t="inlineStr">
        <is>
          <t>Programas con planes de estudios definidos por escuela (Nuevos Programas)</t>
        </is>
      </c>
      <c r="C2026" t="inlineStr">
        <is>
          <t>Gestión de Unidades Académicas</t>
        </is>
      </c>
      <c r="D2026" t="inlineStr">
        <is>
          <t>Trimestral</t>
        </is>
      </c>
      <c r="E2026" t="inlineStr">
        <is>
          <t>Positivo</t>
        </is>
      </c>
      <c r="F2026" s="105" t="n">
        <v>45657</v>
      </c>
      <c r="G2026" t="inlineStr">
        <is>
          <t>474-2024-12-31</t>
        </is>
      </c>
      <c r="H2026" t="inlineStr">
        <is>
          <t>ESCUELA DE ADMINISTRACIÓN Y COMPETITIVIDAD</t>
        </is>
      </c>
      <c r="I2026" t="n">
        <v>100</v>
      </c>
      <c r="J2026" t="n">
        <v>0</v>
      </c>
      <c r="DO2026" t="n">
        <v>0</v>
      </c>
      <c r="DP2026" t="n">
        <v>0</v>
      </c>
    </row>
    <row r="2027">
      <c r="A2027" t="n">
        <v>474</v>
      </c>
      <c r="B2027" t="inlineStr">
        <is>
          <t>Programas con planes de estudios definidos por escuela (Nuevos Programas)</t>
        </is>
      </c>
      <c r="C2027" t="inlineStr">
        <is>
          <t>Gestión de Unidades Académicas</t>
        </is>
      </c>
      <c r="D2027" t="inlineStr">
        <is>
          <t>Trimestral</t>
        </is>
      </c>
      <c r="E2027" t="inlineStr">
        <is>
          <t>Positivo</t>
        </is>
      </c>
      <c r="F2027" s="105" t="n">
        <v>45657</v>
      </c>
      <c r="G2027" t="inlineStr">
        <is>
          <t>474-2024-12-31</t>
        </is>
      </c>
      <c r="H2027" t="inlineStr">
        <is>
          <t>ESCUELA DE CONTABILIDAD INTERNACIONAL</t>
        </is>
      </c>
      <c r="I2027" t="n">
        <v>100</v>
      </c>
      <c r="J2027" t="n">
        <v>100</v>
      </c>
      <c r="DO2027" t="n">
        <v>1</v>
      </c>
      <c r="DP2027" t="n">
        <v>1</v>
      </c>
    </row>
    <row r="2028">
      <c r="A2028" t="n">
        <v>474</v>
      </c>
      <c r="B2028" t="inlineStr">
        <is>
          <t>Programas con planes de estudios definidos por escuela (Nuevos Programas)</t>
        </is>
      </c>
      <c r="C2028" t="inlineStr">
        <is>
          <t>Gestión de Unidades Académicas</t>
        </is>
      </c>
      <c r="D2028" t="inlineStr">
        <is>
          <t>Trimestral</t>
        </is>
      </c>
      <c r="E2028" t="inlineStr">
        <is>
          <t>Positivo</t>
        </is>
      </c>
      <c r="F2028" s="105" t="n">
        <v>45657</v>
      </c>
      <c r="G2028" t="inlineStr">
        <is>
          <t>474-2024-12-31</t>
        </is>
      </c>
      <c r="H2028" t="inlineStr">
        <is>
          <t>ESCUELA DE NEGOCIOS Y DESARROLLO INTERNACIONAL</t>
        </is>
      </c>
      <c r="I2028" t="n">
        <v>100</v>
      </c>
      <c r="J2028" t="n">
        <v>0</v>
      </c>
      <c r="DO2028" t="n">
        <v>0</v>
      </c>
      <c r="DP2028" t="n">
        <v>0</v>
      </c>
    </row>
    <row r="2029">
      <c r="A2029" t="n">
        <v>474</v>
      </c>
      <c r="B2029" t="inlineStr">
        <is>
          <t>Programas con planes de estudios definidos por escuela (Nuevos Programas)</t>
        </is>
      </c>
      <c r="C2029" t="inlineStr">
        <is>
          <t>Gestión de Unidades Académicas</t>
        </is>
      </c>
      <c r="D2029" t="inlineStr">
        <is>
          <t>Trimestral</t>
        </is>
      </c>
      <c r="E2029" t="inlineStr">
        <is>
          <t>Positivo</t>
        </is>
      </c>
      <c r="F2029" s="105" t="n">
        <v>45657</v>
      </c>
      <c r="G2029" t="inlineStr">
        <is>
          <t>474-2024-12-31</t>
        </is>
      </c>
      <c r="H2029" t="inlineStr">
        <is>
          <t>ESCUELA DE COMUNICACIÓN ARTES VISUALES Y DIGITALES</t>
        </is>
      </c>
      <c r="I2029" t="n">
        <v>100</v>
      </c>
      <c r="J2029" t="n">
        <v>100</v>
      </c>
      <c r="DO2029" t="n">
        <v>1</v>
      </c>
      <c r="DP2029" t="n">
        <v>1</v>
      </c>
    </row>
    <row r="2030">
      <c r="A2030" t="n">
        <v>474</v>
      </c>
      <c r="B2030" t="inlineStr">
        <is>
          <t>Programas con planes de estudios definidos por escuela (Nuevos Programas)</t>
        </is>
      </c>
      <c r="C2030" t="inlineStr">
        <is>
          <t>Gestión de Unidades Académicas</t>
        </is>
      </c>
      <c r="D2030" t="inlineStr">
        <is>
          <t>Trimestral</t>
        </is>
      </c>
      <c r="E2030" t="inlineStr">
        <is>
          <t>Positivo</t>
        </is>
      </c>
      <c r="F2030" s="105" t="n">
        <v>45657</v>
      </c>
      <c r="G2030" t="inlineStr">
        <is>
          <t>474-2024-12-31</t>
        </is>
      </c>
      <c r="H2030" t="inlineStr">
        <is>
          <t>ESCUELA DE EDUCACIÓN E INNOVACIÓN</t>
        </is>
      </c>
      <c r="I2030" t="n">
        <v>100</v>
      </c>
      <c r="J2030" t="n">
        <v>0</v>
      </c>
      <c r="DO2030" t="n">
        <v>0</v>
      </c>
      <c r="DP2030" t="n">
        <v>0</v>
      </c>
    </row>
    <row r="2031">
      <c r="A2031" t="n">
        <v>474</v>
      </c>
      <c r="B2031" t="inlineStr">
        <is>
          <t>Programas con planes de estudios definidos por escuela (Nuevos Programas)</t>
        </is>
      </c>
      <c r="C2031" t="inlineStr">
        <is>
          <t>Gestión de Unidades Académicas</t>
        </is>
      </c>
      <c r="D2031" t="inlineStr">
        <is>
          <t>Trimestral</t>
        </is>
      </c>
      <c r="E2031" t="inlineStr">
        <is>
          <t>Positivo</t>
        </is>
      </c>
      <c r="F2031" s="105" t="n">
        <v>45657</v>
      </c>
      <c r="G2031" t="inlineStr">
        <is>
          <t>474-2024-12-31</t>
        </is>
      </c>
      <c r="H2031" t="inlineStr">
        <is>
          <t>ESCUELA DE DERECHO Y GOBIERNO</t>
        </is>
      </c>
      <c r="I2031" t="n">
        <v>100</v>
      </c>
      <c r="J2031" t="n">
        <v>100</v>
      </c>
      <c r="DO2031" t="n">
        <v>2</v>
      </c>
      <c r="DP2031" t="n">
        <v>2</v>
      </c>
    </row>
    <row r="2032">
      <c r="A2032" t="n">
        <v>474</v>
      </c>
      <c r="B2032" t="inlineStr">
        <is>
          <t>Programas con planes de estudios definidos por escuela (Nuevos Programas)</t>
        </is>
      </c>
      <c r="C2032" t="inlineStr">
        <is>
          <t>Gestión de Unidades Académicas</t>
        </is>
      </c>
      <c r="D2032" t="inlineStr">
        <is>
          <t>Trimestral</t>
        </is>
      </c>
      <c r="E2032" t="inlineStr">
        <is>
          <t>Positivo</t>
        </is>
      </c>
      <c r="F2032" s="105" t="n">
        <v>45657</v>
      </c>
      <c r="G2032" t="inlineStr">
        <is>
          <t>474-2024-12-31</t>
        </is>
      </c>
      <c r="H2032" t="inlineStr">
        <is>
          <t>ESCUELA DE MARKETING Y BRANDING</t>
        </is>
      </c>
      <c r="I2032" t="n">
        <v>100</v>
      </c>
      <c r="J2032" t="n">
        <v>0</v>
      </c>
      <c r="DO2032" t="n">
        <v>0</v>
      </c>
      <c r="DP2032" t="n">
        <v>0</v>
      </c>
    </row>
    <row r="2033">
      <c r="A2033" t="n">
        <v>474</v>
      </c>
      <c r="B2033" t="inlineStr">
        <is>
          <t>Programas con planes de estudios definidos por escuela (Nuevos Programas)</t>
        </is>
      </c>
      <c r="C2033" t="inlineStr">
        <is>
          <t>Gestión de Unidades Académicas</t>
        </is>
      </c>
      <c r="D2033" t="inlineStr">
        <is>
          <t>Trimestral</t>
        </is>
      </c>
      <c r="E2033" t="inlineStr">
        <is>
          <t>Positivo</t>
        </is>
      </c>
      <c r="F2033" s="105" t="n">
        <v>45657</v>
      </c>
      <c r="G2033" t="inlineStr">
        <is>
          <t>474-2024-12-31</t>
        </is>
      </c>
      <c r="H2033" t="inlineStr">
        <is>
          <t>ESCUELA DE PSIC, TALENTO HUM Y SOC</t>
        </is>
      </c>
      <c r="I2033" t="n">
        <v>100</v>
      </c>
      <c r="J2033" t="n">
        <v>100</v>
      </c>
      <c r="DO2033" t="n">
        <v>4</v>
      </c>
      <c r="DP2033" t="n">
        <v>4</v>
      </c>
    </row>
    <row r="2034">
      <c r="A2034" t="n">
        <v>476</v>
      </c>
      <c r="B2034" t="inlineStr">
        <is>
          <t>Programas con resultados de aprendizaje definidos</t>
        </is>
      </c>
      <c r="C2034" t="inlineStr">
        <is>
          <t>Gestión, Evaluación e Innovación Curricular</t>
        </is>
      </c>
      <c r="D2034" t="inlineStr">
        <is>
          <t>Trimestral</t>
        </is>
      </c>
      <c r="E2034" t="inlineStr">
        <is>
          <t>Positivo</t>
        </is>
      </c>
      <c r="F2034" s="105" t="n">
        <v>45657</v>
      </c>
      <c r="G2034" t="inlineStr">
        <is>
          <t>476-2024-12-31</t>
        </is>
      </c>
      <c r="H2034" t="inlineStr">
        <is>
          <t>Mantenimiento de programas</t>
        </is>
      </c>
      <c r="I2034" t="n">
        <v>100</v>
      </c>
      <c r="J2034" t="n">
        <v>100</v>
      </c>
      <c r="DQ2034" t="n">
        <v>2</v>
      </c>
      <c r="DR2034" t="n">
        <v>2</v>
      </c>
    </row>
    <row r="2035">
      <c r="A2035" t="n">
        <v>476</v>
      </c>
      <c r="B2035" t="inlineStr">
        <is>
          <t>Programas con resultados de aprendizaje definidos</t>
        </is>
      </c>
      <c r="C2035" t="inlineStr">
        <is>
          <t>Gestión, Evaluación e Innovación Curricular</t>
        </is>
      </c>
      <c r="D2035" t="inlineStr">
        <is>
          <t>Trimestral</t>
        </is>
      </c>
      <c r="E2035" t="inlineStr">
        <is>
          <t>Positivo</t>
        </is>
      </c>
      <c r="F2035" s="105" t="n">
        <v>45657</v>
      </c>
      <c r="G2035" t="inlineStr">
        <is>
          <t>476-2024-12-31</t>
        </is>
      </c>
      <c r="H2035" t="inlineStr">
        <is>
          <t>Nuevos Programas Académicos</t>
        </is>
      </c>
      <c r="I2035" t="n">
        <v>100</v>
      </c>
      <c r="J2035" t="n">
        <v>100</v>
      </c>
      <c r="DQ2035" t="n">
        <v>10</v>
      </c>
      <c r="DR2035" t="n">
        <v>10</v>
      </c>
    </row>
    <row r="2036">
      <c r="A2036" t="n">
        <v>476</v>
      </c>
      <c r="B2036" t="inlineStr">
        <is>
          <t>Programas con resultados de aprendizaje definidos</t>
        </is>
      </c>
      <c r="C2036" t="inlineStr">
        <is>
          <t>Gestión, Evaluación e Innovación Curricular</t>
        </is>
      </c>
      <c r="D2036" t="inlineStr">
        <is>
          <t>Trimestral</t>
        </is>
      </c>
      <c r="E2036" t="inlineStr">
        <is>
          <t>Positivo</t>
        </is>
      </c>
      <c r="F2036" s="105" t="n">
        <v>45657</v>
      </c>
      <c r="G2036" t="inlineStr">
        <is>
          <t>476-2024-12-31</t>
        </is>
      </c>
      <c r="H2036" t="inlineStr">
        <is>
          <t>Programas Renovación, modificación y acreditación</t>
        </is>
      </c>
      <c r="I2036" t="n">
        <v>100</v>
      </c>
      <c r="J2036" t="n">
        <v>100</v>
      </c>
      <c r="DQ2036" t="n">
        <v>3</v>
      </c>
      <c r="DR2036" t="n">
        <v>3</v>
      </c>
    </row>
    <row r="2037">
      <c r="A2037" t="n">
        <v>478</v>
      </c>
      <c r="B2037" t="inlineStr">
        <is>
          <t>Programas con planes de estudios definidos por escuela (Mantenimiento de programas)</t>
        </is>
      </c>
      <c r="C2037" t="inlineStr">
        <is>
          <t>Gestión de Unidades Académicas</t>
        </is>
      </c>
      <c r="D2037" t="inlineStr">
        <is>
          <t>Trimestral</t>
        </is>
      </c>
      <c r="E2037" t="inlineStr">
        <is>
          <t>Positivo</t>
        </is>
      </c>
      <c r="F2037" s="105" t="n">
        <v>45657</v>
      </c>
      <c r="G2037" t="inlineStr">
        <is>
          <t>478-2024-12-31</t>
        </is>
      </c>
      <c r="H2037" t="inlineStr">
        <is>
          <t>ESCUELA DE OPTIMIZACIÓN, INFRA Y AUTO</t>
        </is>
      </c>
      <c r="I2037" t="n">
        <v>100</v>
      </c>
      <c r="J2037" t="n">
        <v>100</v>
      </c>
      <c r="DU2037" t="n">
        <v>1</v>
      </c>
      <c r="DV2037" t="n">
        <v>1</v>
      </c>
    </row>
    <row r="2038">
      <c r="A2038" t="n">
        <v>479</v>
      </c>
      <c r="B2038" t="inlineStr">
        <is>
          <t>Programas con resultados de aprendizaje definidos por escuela (Nuevos Programas)</t>
        </is>
      </c>
      <c r="C2038" t="inlineStr">
        <is>
          <t>Gestión de Unidades Académicas</t>
        </is>
      </c>
      <c r="D2038" t="inlineStr">
        <is>
          <t>Trimestral</t>
        </is>
      </c>
      <c r="E2038" t="inlineStr">
        <is>
          <t>Positivo</t>
        </is>
      </c>
      <c r="F2038" s="105" t="n">
        <v>45657</v>
      </c>
      <c r="G2038" t="inlineStr">
        <is>
          <t>479-2024-12-31</t>
        </is>
      </c>
      <c r="H2038" t="inlineStr">
        <is>
          <t>ESCUELA DE CIENCIAS BÁSICAS</t>
        </is>
      </c>
      <c r="I2038" t="n">
        <v>100</v>
      </c>
      <c r="J2038" t="n">
        <v>100</v>
      </c>
      <c r="DW2038" t="n">
        <v>1</v>
      </c>
      <c r="DX2038" t="n">
        <v>1</v>
      </c>
    </row>
    <row r="2039">
      <c r="A2039" t="n">
        <v>479</v>
      </c>
      <c r="B2039" t="inlineStr">
        <is>
          <t>Programas con resultados de aprendizaje definidos por escuela (Nuevos Programas)</t>
        </is>
      </c>
      <c r="C2039" t="inlineStr">
        <is>
          <t>Gestión de Unidades Académicas</t>
        </is>
      </c>
      <c r="D2039" t="inlineStr">
        <is>
          <t>Trimestral</t>
        </is>
      </c>
      <c r="E2039" t="inlineStr">
        <is>
          <t>Positivo</t>
        </is>
      </c>
      <c r="F2039" s="105" t="n">
        <v>45657</v>
      </c>
      <c r="G2039" t="inlineStr">
        <is>
          <t>479-2024-12-31</t>
        </is>
      </c>
      <c r="H2039" t="inlineStr">
        <is>
          <t>ESCUELA DE  DISEÑO</t>
        </is>
      </c>
      <c r="I2039" t="n">
        <v>100</v>
      </c>
      <c r="J2039" t="n">
        <v>0</v>
      </c>
      <c r="DW2039" t="n">
        <v>0</v>
      </c>
      <c r="DX2039" t="n">
        <v>0</v>
      </c>
    </row>
    <row r="2040">
      <c r="A2040" t="n">
        <v>479</v>
      </c>
      <c r="B2040" t="inlineStr">
        <is>
          <t>Programas con resultados de aprendizaje definidos por escuela (Nuevos Programas)</t>
        </is>
      </c>
      <c r="C2040" t="inlineStr">
        <is>
          <t>Gestión de Unidades Académicas</t>
        </is>
      </c>
      <c r="D2040" t="inlineStr">
        <is>
          <t>Trimestral</t>
        </is>
      </c>
      <c r="E2040" t="inlineStr">
        <is>
          <t>Positivo</t>
        </is>
      </c>
      <c r="F2040" s="105" t="n">
        <v>45657</v>
      </c>
      <c r="G2040" t="inlineStr">
        <is>
          <t>479-2024-12-31</t>
        </is>
      </c>
      <c r="H2040" t="inlineStr">
        <is>
          <t>ESCUELA DE OPTIMIZACIÓN, INFRA Y AUTO</t>
        </is>
      </c>
      <c r="I2040" t="n">
        <v>100</v>
      </c>
      <c r="J2040" t="n">
        <v>0</v>
      </c>
      <c r="DW2040" t="n">
        <v>0</v>
      </c>
      <c r="DX2040" t="n">
        <v>0</v>
      </c>
    </row>
    <row r="2041">
      <c r="A2041" t="n">
        <v>479</v>
      </c>
      <c r="B2041" t="inlineStr">
        <is>
          <t>Programas con resultados de aprendizaje definidos por escuela (Nuevos Programas)</t>
        </is>
      </c>
      <c r="C2041" t="inlineStr">
        <is>
          <t>Gestión de Unidades Académicas</t>
        </is>
      </c>
      <c r="D2041" t="inlineStr">
        <is>
          <t>Trimestral</t>
        </is>
      </c>
      <c r="E2041" t="inlineStr">
        <is>
          <t>Positivo</t>
        </is>
      </c>
      <c r="F2041" s="105" t="n">
        <v>45657</v>
      </c>
      <c r="G2041" t="inlineStr">
        <is>
          <t>479-2024-12-31</t>
        </is>
      </c>
      <c r="H2041" t="inlineStr">
        <is>
          <t>ESCUELA TIC</t>
        </is>
      </c>
      <c r="I2041" t="n">
        <v>100</v>
      </c>
      <c r="J2041" t="n">
        <v>100</v>
      </c>
      <c r="DW2041" t="n">
        <v>1</v>
      </c>
      <c r="DX2041" t="n">
        <v>1</v>
      </c>
    </row>
    <row r="2042">
      <c r="A2042" t="n">
        <v>479</v>
      </c>
      <c r="B2042" t="inlineStr">
        <is>
          <t>Programas con resultados de aprendizaje definidos por escuela (Nuevos Programas)</t>
        </is>
      </c>
      <c r="C2042" t="inlineStr">
        <is>
          <t>Gestión de Unidades Académicas</t>
        </is>
      </c>
      <c r="D2042" t="inlineStr">
        <is>
          <t>Trimestral</t>
        </is>
      </c>
      <c r="E2042" t="inlineStr">
        <is>
          <t>Positivo</t>
        </is>
      </c>
      <c r="F2042" s="105" t="n">
        <v>45657</v>
      </c>
      <c r="G2042" t="inlineStr">
        <is>
          <t>479-2024-12-31</t>
        </is>
      </c>
      <c r="H2042" t="inlineStr">
        <is>
          <t>ESCUELA DE ADMINISTRACIÓN Y COMPETITIVIDAD</t>
        </is>
      </c>
      <c r="I2042" t="n">
        <v>100</v>
      </c>
      <c r="J2042" t="n">
        <v>0</v>
      </c>
      <c r="DW2042" t="n">
        <v>0</v>
      </c>
      <c r="DX2042" t="n">
        <v>0</v>
      </c>
    </row>
    <row r="2043">
      <c r="A2043" t="n">
        <v>479</v>
      </c>
      <c r="B2043" t="inlineStr">
        <is>
          <t>Programas con resultados de aprendizaje definidos por escuela (Nuevos Programas)</t>
        </is>
      </c>
      <c r="C2043" t="inlineStr">
        <is>
          <t>Gestión de Unidades Académicas</t>
        </is>
      </c>
      <c r="D2043" t="inlineStr">
        <is>
          <t>Trimestral</t>
        </is>
      </c>
      <c r="E2043" t="inlineStr">
        <is>
          <t>Positivo</t>
        </is>
      </c>
      <c r="F2043" s="105" t="n">
        <v>45657</v>
      </c>
      <c r="G2043" t="inlineStr">
        <is>
          <t>479-2024-12-31</t>
        </is>
      </c>
      <c r="H2043" t="inlineStr">
        <is>
          <t>ESCUELA DE CONTABILIDAD INTERNACIONAL</t>
        </is>
      </c>
      <c r="I2043" t="n">
        <v>100</v>
      </c>
      <c r="J2043" t="n">
        <v>100</v>
      </c>
      <c r="DW2043" t="n">
        <v>1</v>
      </c>
      <c r="DX2043" t="n">
        <v>1</v>
      </c>
    </row>
    <row r="2044">
      <c r="A2044" t="n">
        <v>479</v>
      </c>
      <c r="B2044" t="inlineStr">
        <is>
          <t>Programas con resultados de aprendizaje definidos por escuela (Nuevos Programas)</t>
        </is>
      </c>
      <c r="C2044" t="inlineStr">
        <is>
          <t>Gestión de Unidades Académicas</t>
        </is>
      </c>
      <c r="D2044" t="inlineStr">
        <is>
          <t>Trimestral</t>
        </is>
      </c>
      <c r="E2044" t="inlineStr">
        <is>
          <t>Positivo</t>
        </is>
      </c>
      <c r="F2044" s="105" t="n">
        <v>45657</v>
      </c>
      <c r="G2044" t="inlineStr">
        <is>
          <t>479-2024-12-31</t>
        </is>
      </c>
      <c r="H2044" t="inlineStr">
        <is>
          <t>ESCUELA DE NEGOCIOS Y DESARROLLO INTERNACIONAL</t>
        </is>
      </c>
      <c r="I2044" t="n">
        <v>100</v>
      </c>
      <c r="J2044" t="n">
        <v>0</v>
      </c>
      <c r="DW2044" t="n">
        <v>0</v>
      </c>
      <c r="DX2044" t="n">
        <v>0</v>
      </c>
    </row>
    <row r="2045">
      <c r="A2045" t="n">
        <v>479</v>
      </c>
      <c r="B2045" t="inlineStr">
        <is>
          <t>Programas con resultados de aprendizaje definidos por escuela (Nuevos Programas)</t>
        </is>
      </c>
      <c r="C2045" t="inlineStr">
        <is>
          <t>Gestión de Unidades Académicas</t>
        </is>
      </c>
      <c r="D2045" t="inlineStr">
        <is>
          <t>Trimestral</t>
        </is>
      </c>
      <c r="E2045" t="inlineStr">
        <is>
          <t>Positivo</t>
        </is>
      </c>
      <c r="F2045" s="105" t="n">
        <v>45657</v>
      </c>
      <c r="G2045" t="inlineStr">
        <is>
          <t>479-2024-12-31</t>
        </is>
      </c>
      <c r="H2045" t="inlineStr">
        <is>
          <t>ESCUELA DE COMUNICACIÓN ARTES VISUALES Y DIGITALES</t>
        </is>
      </c>
      <c r="I2045" t="n">
        <v>100</v>
      </c>
      <c r="J2045" t="n">
        <v>100</v>
      </c>
      <c r="DW2045" t="n">
        <v>1</v>
      </c>
      <c r="DX2045" t="n">
        <v>1</v>
      </c>
    </row>
    <row r="2046">
      <c r="A2046" t="n">
        <v>479</v>
      </c>
      <c r="B2046" t="inlineStr">
        <is>
          <t>Programas con resultados de aprendizaje definidos por escuela (Nuevos Programas)</t>
        </is>
      </c>
      <c r="C2046" t="inlineStr">
        <is>
          <t>Gestión de Unidades Académicas</t>
        </is>
      </c>
      <c r="D2046" t="inlineStr">
        <is>
          <t>Trimestral</t>
        </is>
      </c>
      <c r="E2046" t="inlineStr">
        <is>
          <t>Positivo</t>
        </is>
      </c>
      <c r="F2046" s="105" t="n">
        <v>45657</v>
      </c>
      <c r="G2046" t="inlineStr">
        <is>
          <t>479-2024-12-31</t>
        </is>
      </c>
      <c r="H2046" t="inlineStr">
        <is>
          <t>ESCUELA DE EDUCACIÓN E INNOVACIÓN</t>
        </is>
      </c>
      <c r="I2046" t="n">
        <v>100</v>
      </c>
      <c r="J2046" t="n">
        <v>0</v>
      </c>
      <c r="DW2046" t="n">
        <v>0</v>
      </c>
      <c r="DX2046" t="n">
        <v>0</v>
      </c>
    </row>
    <row r="2047">
      <c r="A2047" t="n">
        <v>479</v>
      </c>
      <c r="B2047" t="inlineStr">
        <is>
          <t>Programas con resultados de aprendizaje definidos por escuela (Nuevos Programas)</t>
        </is>
      </c>
      <c r="C2047" t="inlineStr">
        <is>
          <t>Gestión de Unidades Académicas</t>
        </is>
      </c>
      <c r="D2047" t="inlineStr">
        <is>
          <t>Trimestral</t>
        </is>
      </c>
      <c r="E2047" t="inlineStr">
        <is>
          <t>Positivo</t>
        </is>
      </c>
      <c r="F2047" s="105" t="n">
        <v>45657</v>
      </c>
      <c r="G2047" t="inlineStr">
        <is>
          <t>479-2024-12-31</t>
        </is>
      </c>
      <c r="H2047" t="inlineStr">
        <is>
          <t>ESCUELA DE DERECHO Y GOBIERNO</t>
        </is>
      </c>
      <c r="I2047" t="n">
        <v>100</v>
      </c>
      <c r="J2047" t="n">
        <v>100</v>
      </c>
      <c r="DW2047" t="n">
        <v>2</v>
      </c>
      <c r="DX2047" t="n">
        <v>2</v>
      </c>
    </row>
    <row r="2048">
      <c r="A2048" t="n">
        <v>479</v>
      </c>
      <c r="B2048" t="inlineStr">
        <is>
          <t>Programas con resultados de aprendizaje definidos por escuela (Nuevos Programas)</t>
        </is>
      </c>
      <c r="C2048" t="inlineStr">
        <is>
          <t>Gestión de Unidades Académicas</t>
        </is>
      </c>
      <c r="D2048" t="inlineStr">
        <is>
          <t>Trimestral</t>
        </is>
      </c>
      <c r="E2048" t="inlineStr">
        <is>
          <t>Positivo</t>
        </is>
      </c>
      <c r="F2048" s="105" t="n">
        <v>45657</v>
      </c>
      <c r="G2048" t="inlineStr">
        <is>
          <t>479-2024-12-31</t>
        </is>
      </c>
      <c r="H2048" t="inlineStr">
        <is>
          <t>ESCUELA DE MARKETING Y BRANDING</t>
        </is>
      </c>
      <c r="I2048" t="n">
        <v>100</v>
      </c>
      <c r="J2048" t="n">
        <v>0</v>
      </c>
      <c r="DW2048" t="n">
        <v>0</v>
      </c>
      <c r="DX2048" t="n">
        <v>0</v>
      </c>
    </row>
    <row r="2049">
      <c r="A2049" t="n">
        <v>479</v>
      </c>
      <c r="B2049" t="inlineStr">
        <is>
          <t>Programas con resultados de aprendizaje definidos por escuela (Nuevos Programas)</t>
        </is>
      </c>
      <c r="C2049" t="inlineStr">
        <is>
          <t>Gestión de Unidades Académicas</t>
        </is>
      </c>
      <c r="D2049" t="inlineStr">
        <is>
          <t>Trimestral</t>
        </is>
      </c>
      <c r="E2049" t="inlineStr">
        <is>
          <t>Positivo</t>
        </is>
      </c>
      <c r="F2049" s="105" t="n">
        <v>45657</v>
      </c>
      <c r="G2049" t="inlineStr">
        <is>
          <t>479-2024-12-31</t>
        </is>
      </c>
      <c r="H2049" t="inlineStr">
        <is>
          <t>ESCUELA DE PSIC, TALENTO HUM Y SOC</t>
        </is>
      </c>
      <c r="I2049" t="n">
        <v>100</v>
      </c>
      <c r="J2049" t="n">
        <v>100</v>
      </c>
      <c r="DW2049" t="n">
        <v>4</v>
      </c>
      <c r="DX2049" t="n">
        <v>4</v>
      </c>
    </row>
    <row r="2050">
      <c r="A2050" t="n">
        <v>480</v>
      </c>
      <c r="B2050" t="inlineStr">
        <is>
          <t>Programas con resultados de aprendizaje definidos por escuela (Programas Renovación, modificación y acreditación)</t>
        </is>
      </c>
      <c r="C2050" t="inlineStr">
        <is>
          <t>Gestión de Unidades Académicas</t>
        </is>
      </c>
      <c r="D2050" t="inlineStr">
        <is>
          <t>Trimestral</t>
        </is>
      </c>
      <c r="E2050" t="inlineStr">
        <is>
          <t>Positivo</t>
        </is>
      </c>
      <c r="F2050" s="105" t="n">
        <v>45657</v>
      </c>
      <c r="G2050" t="inlineStr">
        <is>
          <t>480-2024-12-31</t>
        </is>
      </c>
      <c r="H2050" t="inlineStr">
        <is>
          <t>ESCUELA DE OPTIMIZACIÓN, INFRA Y AUTO</t>
        </is>
      </c>
      <c r="I2050" t="n">
        <v>100</v>
      </c>
      <c r="J2050" t="n">
        <v>100</v>
      </c>
      <c r="EH2050" t="n">
        <v>2</v>
      </c>
      <c r="EI2050" t="n">
        <v>2</v>
      </c>
    </row>
    <row r="2051">
      <c r="A2051" t="n">
        <v>213</v>
      </c>
      <c r="B2051" t="inlineStr">
        <is>
          <t>Cumplimiento del Plan Anual del Sistema de Gestión Ambiental</t>
        </is>
      </c>
      <c r="C2051" t="inlineStr">
        <is>
          <t>GESTIÓN AMBIENTAL</t>
        </is>
      </c>
      <c r="D2051" t="inlineStr">
        <is>
          <t>Semestral</t>
        </is>
      </c>
      <c r="E2051" t="inlineStr">
        <is>
          <t>Positivo</t>
        </is>
      </c>
      <c r="F2051" s="105" t="n">
        <v>45657</v>
      </c>
      <c r="G2051" t="inlineStr">
        <is>
          <t>213-2024-12-31</t>
        </is>
      </c>
      <c r="H2051" t="inlineStr">
        <is>
          <t>Plan de Gestión Integral de Residuos</t>
        </is>
      </c>
      <c r="I2051" t="n">
        <v>90</v>
      </c>
      <c r="J2051" t="n">
        <v>100</v>
      </c>
      <c r="AW2051" t="n">
        <v>70</v>
      </c>
      <c r="AX2051" t="n">
        <v>70</v>
      </c>
    </row>
    <row r="2052">
      <c r="A2052" t="n">
        <v>213</v>
      </c>
      <c r="B2052" t="inlineStr">
        <is>
          <t>Cumplimiento del Plan Anual del Sistema de Gestión Ambiental</t>
        </is>
      </c>
      <c r="C2052" t="inlineStr">
        <is>
          <t>GESTIÓN AMBIENTAL</t>
        </is>
      </c>
      <c r="D2052" t="inlineStr">
        <is>
          <t>Semestral</t>
        </is>
      </c>
      <c r="E2052" t="inlineStr">
        <is>
          <t>Positivo</t>
        </is>
      </c>
      <c r="F2052" s="105" t="n">
        <v>45657</v>
      </c>
      <c r="G2052" t="inlineStr">
        <is>
          <t>213-2024-12-31</t>
        </is>
      </c>
      <c r="H2052" t="inlineStr">
        <is>
          <t>Programa de Gestión del Ahorro y Uso Eficiente de la Energía</t>
        </is>
      </c>
      <c r="I2052" t="n">
        <v>90</v>
      </c>
      <c r="J2052" t="n">
        <v>100</v>
      </c>
      <c r="AW2052" t="n">
        <v>18</v>
      </c>
      <c r="AX2052" t="n">
        <v>18</v>
      </c>
    </row>
    <row r="2053">
      <c r="A2053" t="n">
        <v>213</v>
      </c>
      <c r="B2053" t="inlineStr">
        <is>
          <t>Cumplimiento del Plan Anual del Sistema de Gestión Ambiental</t>
        </is>
      </c>
      <c r="C2053" t="inlineStr">
        <is>
          <t>GESTIÓN AMBIENTAL</t>
        </is>
      </c>
      <c r="D2053" t="inlineStr">
        <is>
          <t>Semestral</t>
        </is>
      </c>
      <c r="E2053" t="inlineStr">
        <is>
          <t>Positivo</t>
        </is>
      </c>
      <c r="F2053" s="105" t="n">
        <v>45657</v>
      </c>
      <c r="G2053" t="inlineStr">
        <is>
          <t>213-2024-12-31</t>
        </is>
      </c>
      <c r="H2053" t="inlineStr">
        <is>
          <t>Programa de Gestión de la Calidad, Ahorro y Uso Eficiente del Agua</t>
        </is>
      </c>
      <c r="I2053" t="n">
        <v>90</v>
      </c>
      <c r="J2053" t="n">
        <v>100</v>
      </c>
      <c r="AW2053" t="n">
        <v>31</v>
      </c>
      <c r="AX2053" t="n">
        <v>31</v>
      </c>
    </row>
    <row r="2054">
      <c r="A2054" t="n">
        <v>213</v>
      </c>
      <c r="B2054" t="inlineStr">
        <is>
          <t>Cumplimiento del Plan Anual del Sistema de Gestión Ambiental</t>
        </is>
      </c>
      <c r="C2054" t="inlineStr">
        <is>
          <t>GESTIÓN AMBIENTAL</t>
        </is>
      </c>
      <c r="D2054" t="inlineStr">
        <is>
          <t>Semestral</t>
        </is>
      </c>
      <c r="E2054" t="inlineStr">
        <is>
          <t>Positivo</t>
        </is>
      </c>
      <c r="F2054" s="105" t="n">
        <v>45657</v>
      </c>
      <c r="G2054" t="inlineStr">
        <is>
          <t>213-2024-12-31</t>
        </is>
      </c>
      <c r="H2054" t="inlineStr">
        <is>
          <t>Programa de Gestión del la Calidad del Aire,  Ruido Ambiental y Publicidad Exterior Visual</t>
        </is>
      </c>
      <c r="I2054" t="n">
        <v>90</v>
      </c>
      <c r="J2054" t="n">
        <v>100</v>
      </c>
      <c r="AW2054" t="n">
        <v>4</v>
      </c>
      <c r="AX2054" t="n">
        <v>4</v>
      </c>
    </row>
    <row r="2055">
      <c r="A2055" t="n">
        <v>213</v>
      </c>
      <c r="B2055" t="inlineStr">
        <is>
          <t>Cumplimiento del Plan Anual del Sistema de Gestión Ambiental</t>
        </is>
      </c>
      <c r="C2055" t="inlineStr">
        <is>
          <t>GESTIÓN AMBIENTAL</t>
        </is>
      </c>
      <c r="D2055" t="inlineStr">
        <is>
          <t>Semestral</t>
        </is>
      </c>
      <c r="E2055" t="inlineStr">
        <is>
          <t>Positivo</t>
        </is>
      </c>
      <c r="F2055" s="105" t="n">
        <v>45657</v>
      </c>
      <c r="G2055" t="inlineStr">
        <is>
          <t>213-2024-12-31</t>
        </is>
      </c>
      <c r="H2055" t="inlineStr">
        <is>
          <t>Programa de Gestión de la Medición y Compensación de Gases de Efecto Invernadero</t>
        </is>
      </c>
      <c r="I2055" t="n">
        <v>90</v>
      </c>
      <c r="J2055" t="n">
        <v>100</v>
      </c>
      <c r="AW2055" t="n">
        <v>3</v>
      </c>
      <c r="AX2055" t="n">
        <v>3</v>
      </c>
    </row>
    <row r="2056">
      <c r="A2056" t="n">
        <v>213</v>
      </c>
      <c r="B2056" t="inlineStr">
        <is>
          <t>Cumplimiento del Plan Anual del Sistema de Gestión Ambiental</t>
        </is>
      </c>
      <c r="C2056" t="inlineStr">
        <is>
          <t>GESTIÓN AMBIENTAL</t>
        </is>
      </c>
      <c r="D2056" t="inlineStr">
        <is>
          <t>Semestral</t>
        </is>
      </c>
      <c r="E2056" t="inlineStr">
        <is>
          <t>Positivo</t>
        </is>
      </c>
      <c r="F2056" s="105" t="n">
        <v>45657</v>
      </c>
      <c r="G2056" t="inlineStr">
        <is>
          <t>213-2024-12-31</t>
        </is>
      </c>
      <c r="H2056" t="inlineStr">
        <is>
          <t>Programa Gestión de la Educación y Comunicación Ambiental</t>
        </is>
      </c>
      <c r="I2056" t="n">
        <v>90</v>
      </c>
      <c r="J2056" t="n">
        <v>100</v>
      </c>
      <c r="AW2056" t="n">
        <v>42</v>
      </c>
      <c r="AX2056" t="n">
        <v>42</v>
      </c>
    </row>
    <row r="2057">
      <c r="A2057" t="n">
        <v>213</v>
      </c>
      <c r="B2057" t="inlineStr">
        <is>
          <t>Cumplimiento del Plan Anual del Sistema de Gestión Ambiental</t>
        </is>
      </c>
      <c r="C2057" t="inlineStr">
        <is>
          <t>GESTIÓN AMBIENTAL</t>
        </is>
      </c>
      <c r="D2057" t="inlineStr">
        <is>
          <t>Semestral</t>
        </is>
      </c>
      <c r="E2057" t="inlineStr">
        <is>
          <t>Positivo</t>
        </is>
      </c>
      <c r="F2057" s="105" t="n">
        <v>45657</v>
      </c>
      <c r="G2057" t="inlineStr">
        <is>
          <t>213-2024-12-31</t>
        </is>
      </c>
      <c r="H2057" t="inlineStr">
        <is>
          <t>Actividades de Gestión</t>
        </is>
      </c>
      <c r="I2057" t="n">
        <v>90</v>
      </c>
      <c r="J2057" t="n">
        <v>100</v>
      </c>
      <c r="AW2057" t="n">
        <v>26</v>
      </c>
      <c r="AX2057" t="n">
        <v>26</v>
      </c>
    </row>
    <row r="2058">
      <c r="A2058" t="n">
        <v>213</v>
      </c>
      <c r="B2058" t="inlineStr">
        <is>
          <t>Cumplimiento del Plan Anual del Sistema de Gestión Ambiental</t>
        </is>
      </c>
      <c r="C2058" t="inlineStr">
        <is>
          <t>GESTIÓN AMBIENTAL</t>
        </is>
      </c>
      <c r="D2058" t="inlineStr">
        <is>
          <t>Semestral</t>
        </is>
      </c>
      <c r="E2058" t="inlineStr">
        <is>
          <t>Positivo</t>
        </is>
      </c>
      <c r="F2058" s="105" t="n">
        <v>45657</v>
      </c>
      <c r="G2058" t="inlineStr">
        <is>
          <t>213-2024-12-31</t>
        </is>
      </c>
      <c r="H2058" t="inlineStr">
        <is>
          <t>Programa de Gestión de Áreas Naturales</t>
        </is>
      </c>
      <c r="I2058" t="n">
        <v>90</v>
      </c>
      <c r="J2058" t="n">
        <v>100</v>
      </c>
      <c r="AW2058" t="n">
        <v>9</v>
      </c>
      <c r="AX2058" t="n">
        <v>9</v>
      </c>
    </row>
    <row r="2059">
      <c r="A2059" t="n">
        <v>238</v>
      </c>
      <c r="B2059" t="inlineStr">
        <is>
          <t>Cumplimiento de la Protección del Medio Ambiente</t>
        </is>
      </c>
      <c r="C2059" t="inlineStr">
        <is>
          <t>GESTIÓN AMBIENTAL</t>
        </is>
      </c>
      <c r="D2059" t="inlineStr">
        <is>
          <t>Semestral</t>
        </is>
      </c>
      <c r="E2059" t="inlineStr">
        <is>
          <t>Positivo</t>
        </is>
      </c>
      <c r="F2059" s="105" t="n">
        <v>45657</v>
      </c>
      <c r="G2059" t="inlineStr">
        <is>
          <t>238-2024-12-31</t>
        </is>
      </c>
      <c r="H2059" t="inlineStr">
        <is>
          <t>Cumplimiento del Plan Anual del SGA</t>
        </is>
      </c>
      <c r="I2059" t="n">
        <v>90</v>
      </c>
      <c r="J2059" t="n">
        <v>100</v>
      </c>
      <c r="AY2059" t="n">
        <v>1</v>
      </c>
      <c r="AZ2059" t="n">
        <v>1</v>
      </c>
    </row>
    <row r="2060">
      <c r="A2060" t="n">
        <v>238</v>
      </c>
      <c r="B2060" t="inlineStr">
        <is>
          <t>Cumplimiento de la Protección del Medio Ambiente</t>
        </is>
      </c>
      <c r="C2060" t="inlineStr">
        <is>
          <t>GESTIÓN AMBIENTAL</t>
        </is>
      </c>
      <c r="D2060" t="inlineStr">
        <is>
          <t>Semestral</t>
        </is>
      </c>
      <c r="E2060" t="inlineStr">
        <is>
          <t>Positivo</t>
        </is>
      </c>
      <c r="F2060" s="105" t="n">
        <v>45657</v>
      </c>
      <c r="G2060" t="inlineStr">
        <is>
          <t>238-2024-12-31</t>
        </is>
      </c>
      <c r="H2060" t="inlineStr">
        <is>
          <t>Cumplimiento Gestión del Ahorro y Uso Eficiente de Energía</t>
        </is>
      </c>
      <c r="I2060" t="n">
        <v>90</v>
      </c>
      <c r="J2060" t="n">
        <v>80</v>
      </c>
      <c r="AY2060" t="n">
        <v>4</v>
      </c>
      <c r="AZ2060" t="n">
        <v>5</v>
      </c>
    </row>
    <row r="2061">
      <c r="A2061" t="n">
        <v>238</v>
      </c>
      <c r="B2061" t="inlineStr">
        <is>
          <t>Cumplimiento de la Protección del Medio Ambiente</t>
        </is>
      </c>
      <c r="C2061" t="inlineStr">
        <is>
          <t>GESTIÓN AMBIENTAL</t>
        </is>
      </c>
      <c r="D2061" t="inlineStr">
        <is>
          <t>Semestral</t>
        </is>
      </c>
      <c r="E2061" t="inlineStr">
        <is>
          <t>Positivo</t>
        </is>
      </c>
      <c r="F2061" s="105" t="n">
        <v>45657</v>
      </c>
      <c r="G2061" t="inlineStr">
        <is>
          <t>238-2024-12-31</t>
        </is>
      </c>
      <c r="H2061" t="inlineStr">
        <is>
          <t>Cumplimiento Gestión de la Calidad, Ahorro y Uso Eficiente del Agua</t>
        </is>
      </c>
      <c r="I2061" t="n">
        <v>90</v>
      </c>
      <c r="J2061" t="n">
        <v>71.43000030517578</v>
      </c>
      <c r="AY2061" t="n">
        <v>5</v>
      </c>
      <c r="AZ2061" t="n">
        <v>7</v>
      </c>
    </row>
    <row r="2062">
      <c r="A2062" t="n">
        <v>238</v>
      </c>
      <c r="B2062" t="inlineStr">
        <is>
          <t>Cumplimiento de la Protección del Medio Ambiente</t>
        </is>
      </c>
      <c r="C2062" t="inlineStr">
        <is>
          <t>GESTIÓN AMBIENTAL</t>
        </is>
      </c>
      <c r="D2062" t="inlineStr">
        <is>
          <t>Semestral</t>
        </is>
      </c>
      <c r="E2062" t="inlineStr">
        <is>
          <t>Positivo</t>
        </is>
      </c>
      <c r="F2062" s="105" t="n">
        <v>45657</v>
      </c>
      <c r="G2062" t="inlineStr">
        <is>
          <t>238-2024-12-31</t>
        </is>
      </c>
      <c r="H2062" t="inlineStr">
        <is>
          <t>Cumplimiento Gestión del la Calidad del Aire,  Ruido Ambiental y Publicidad Exterior Visual</t>
        </is>
      </c>
      <c r="I2062" t="n">
        <v>90</v>
      </c>
      <c r="J2062" t="n">
        <v>100</v>
      </c>
      <c r="AY2062" t="n">
        <v>2</v>
      </c>
      <c r="AZ2062" t="n">
        <v>2</v>
      </c>
    </row>
    <row r="2063">
      <c r="A2063" t="n">
        <v>238</v>
      </c>
      <c r="B2063" t="inlineStr">
        <is>
          <t>Cumplimiento de la Protección del Medio Ambiente</t>
        </is>
      </c>
      <c r="C2063" t="inlineStr">
        <is>
          <t>GESTIÓN AMBIENTAL</t>
        </is>
      </c>
      <c r="D2063" t="inlineStr">
        <is>
          <t>Semestral</t>
        </is>
      </c>
      <c r="E2063" t="inlineStr">
        <is>
          <t>Positivo</t>
        </is>
      </c>
      <c r="F2063" s="105" t="n">
        <v>45657</v>
      </c>
      <c r="G2063" t="inlineStr">
        <is>
          <t>238-2024-12-31</t>
        </is>
      </c>
      <c r="H2063" t="inlineStr">
        <is>
          <t>Cumplimiento Gestión de Áreas Naturales</t>
        </is>
      </c>
      <c r="I2063" t="n">
        <v>90</v>
      </c>
      <c r="J2063" t="n">
        <v>100</v>
      </c>
      <c r="AY2063" t="n">
        <v>3</v>
      </c>
      <c r="AZ2063" t="n">
        <v>3</v>
      </c>
    </row>
    <row r="2064">
      <c r="A2064" t="n">
        <v>238</v>
      </c>
      <c r="B2064" t="inlineStr">
        <is>
          <t>Cumplimiento de la Protección del Medio Ambiente</t>
        </is>
      </c>
      <c r="C2064" t="inlineStr">
        <is>
          <t>GESTIÓN AMBIENTAL</t>
        </is>
      </c>
      <c r="D2064" t="inlineStr">
        <is>
          <t>Semestral</t>
        </is>
      </c>
      <c r="E2064" t="inlineStr">
        <is>
          <t>Positivo</t>
        </is>
      </c>
      <c r="F2064" s="105" t="n">
        <v>45657</v>
      </c>
      <c r="G2064" t="inlineStr">
        <is>
          <t>238-2024-12-31</t>
        </is>
      </c>
      <c r="H2064" t="inlineStr">
        <is>
          <t>Cumplimiento Gestión de la Medición y Compensación de GEI</t>
        </is>
      </c>
      <c r="I2064" t="n">
        <v>90</v>
      </c>
      <c r="J2064" t="n">
        <v>100</v>
      </c>
      <c r="AY2064" t="n">
        <v>3</v>
      </c>
      <c r="AZ2064" t="n">
        <v>3</v>
      </c>
    </row>
    <row r="2065">
      <c r="A2065" t="n">
        <v>238</v>
      </c>
      <c r="B2065" t="inlineStr">
        <is>
          <t>Cumplimiento de la Protección del Medio Ambiente</t>
        </is>
      </c>
      <c r="C2065" t="inlineStr">
        <is>
          <t>GESTIÓN AMBIENTAL</t>
        </is>
      </c>
      <c r="D2065" t="inlineStr">
        <is>
          <t>Semestral</t>
        </is>
      </c>
      <c r="E2065" t="inlineStr">
        <is>
          <t>Positivo</t>
        </is>
      </c>
      <c r="F2065" s="105" t="n">
        <v>45657</v>
      </c>
      <c r="G2065" t="inlineStr">
        <is>
          <t>238-2024-12-31</t>
        </is>
      </c>
      <c r="H2065" t="inlineStr">
        <is>
          <t>Cumplimiento Gestión de la Educación y Comunicación Ambiental</t>
        </is>
      </c>
      <c r="I2065" t="n">
        <v>90</v>
      </c>
      <c r="J2065" t="n">
        <v>100</v>
      </c>
      <c r="AY2065" t="n">
        <v>5</v>
      </c>
      <c r="AZ2065" t="n">
        <v>5</v>
      </c>
    </row>
    <row r="2066">
      <c r="A2066" t="n">
        <v>238</v>
      </c>
      <c r="B2066" t="inlineStr">
        <is>
          <t>Cumplimiento de la Protección del Medio Ambiente</t>
        </is>
      </c>
      <c r="C2066" t="inlineStr">
        <is>
          <t>GESTIÓN AMBIENTAL</t>
        </is>
      </c>
      <c r="D2066" t="inlineStr">
        <is>
          <t>Semestral</t>
        </is>
      </c>
      <c r="E2066" t="inlineStr">
        <is>
          <t>Positivo</t>
        </is>
      </c>
      <c r="F2066" s="105" t="n">
        <v>45657</v>
      </c>
      <c r="G2066" t="inlineStr">
        <is>
          <t>238-2024-12-31</t>
        </is>
      </c>
      <c r="H2066" t="inlineStr">
        <is>
          <t>Cumplimiento Gestión Integral de Residuos</t>
        </is>
      </c>
      <c r="I2066" t="n">
        <v>90</v>
      </c>
      <c r="J2066" t="n">
        <v>64.29000091552734</v>
      </c>
      <c r="AY2066" t="n">
        <v>9</v>
      </c>
      <c r="AZ2066" t="n">
        <v>14</v>
      </c>
    </row>
    <row r="2067">
      <c r="A2067" t="n">
        <v>306</v>
      </c>
      <c r="B2067" t="inlineStr">
        <is>
          <t>Seguimiento KPI Plan de Desarrollo Institucional</t>
        </is>
      </c>
      <c r="C2067" t="inlineStr">
        <is>
          <t>Desempeño Institucional</t>
        </is>
      </c>
      <c r="D2067" t="inlineStr">
        <is>
          <t>Semestral</t>
        </is>
      </c>
      <c r="E2067" t="inlineStr">
        <is>
          <t>Positivo</t>
        </is>
      </c>
      <c r="F2067" s="105" t="n">
        <v>45657</v>
      </c>
      <c r="G2067" t="inlineStr">
        <is>
          <t>306-2024-12-31</t>
        </is>
      </c>
      <c r="H2067" t="inlineStr">
        <is>
          <t>Calidad</t>
        </is>
      </c>
      <c r="I2067" t="n">
        <v>100</v>
      </c>
      <c r="J2067" t="n">
        <v>98</v>
      </c>
      <c r="BY2067" t="n">
        <v>98</v>
      </c>
    </row>
    <row r="2068">
      <c r="A2068" t="n">
        <v>306</v>
      </c>
      <c r="B2068" t="inlineStr">
        <is>
          <t>Seguimiento KPI Plan de Desarrollo Institucional</t>
        </is>
      </c>
      <c r="C2068" t="inlineStr">
        <is>
          <t>Desempeño Institucional</t>
        </is>
      </c>
      <c r="D2068" t="inlineStr">
        <is>
          <t>Semestral</t>
        </is>
      </c>
      <c r="E2068" t="inlineStr">
        <is>
          <t>Positivo</t>
        </is>
      </c>
      <c r="F2068" s="105" t="n">
        <v>45657</v>
      </c>
      <c r="G2068" t="inlineStr">
        <is>
          <t>306-2024-12-31</t>
        </is>
      </c>
      <c r="H2068" t="inlineStr">
        <is>
          <t>Expansión</t>
        </is>
      </c>
      <c r="I2068" t="n">
        <v>100</v>
      </c>
      <c r="J2068" t="n">
        <v>108</v>
      </c>
      <c r="BY2068" t="n">
        <v>108</v>
      </c>
    </row>
    <row r="2069">
      <c r="A2069" t="n">
        <v>306</v>
      </c>
      <c r="B2069" t="inlineStr">
        <is>
          <t>Seguimiento KPI Plan de Desarrollo Institucional</t>
        </is>
      </c>
      <c r="C2069" t="inlineStr">
        <is>
          <t>Desempeño Institucional</t>
        </is>
      </c>
      <c r="D2069" t="inlineStr">
        <is>
          <t>Semestral</t>
        </is>
      </c>
      <c r="E2069" t="inlineStr">
        <is>
          <t>Positivo</t>
        </is>
      </c>
      <c r="F2069" s="105" t="n">
        <v>45657</v>
      </c>
      <c r="G2069" t="inlineStr">
        <is>
          <t>306-2024-12-31</t>
        </is>
      </c>
      <c r="H2069" t="inlineStr">
        <is>
          <t>Educación para toda la vida</t>
        </is>
      </c>
      <c r="I2069" t="n">
        <v>100</v>
      </c>
      <c r="J2069" t="n">
        <v>91</v>
      </c>
      <c r="BY2069" t="n">
        <v>91</v>
      </c>
    </row>
    <row r="2070">
      <c r="A2070" t="n">
        <v>306</v>
      </c>
      <c r="B2070" t="inlineStr">
        <is>
          <t>Seguimiento KPI Plan de Desarrollo Institucional</t>
        </is>
      </c>
      <c r="C2070" t="inlineStr">
        <is>
          <t>Desempeño Institucional</t>
        </is>
      </c>
      <c r="D2070" t="inlineStr">
        <is>
          <t>Semestral</t>
        </is>
      </c>
      <c r="E2070" t="inlineStr">
        <is>
          <t>Positivo</t>
        </is>
      </c>
      <c r="F2070" s="105" t="n">
        <v>45657</v>
      </c>
      <c r="G2070" t="inlineStr">
        <is>
          <t>306-2024-12-31</t>
        </is>
      </c>
      <c r="H2070" t="inlineStr">
        <is>
          <t>Trasformación Organizacional</t>
        </is>
      </c>
      <c r="I2070" t="n">
        <v>100</v>
      </c>
      <c r="J2070" t="n">
        <v>100</v>
      </c>
      <c r="BY2070" t="n">
        <v>100</v>
      </c>
    </row>
    <row r="2071">
      <c r="A2071" t="n">
        <v>306</v>
      </c>
      <c r="B2071" t="inlineStr">
        <is>
          <t>Seguimiento KPI Plan de Desarrollo Institucional</t>
        </is>
      </c>
      <c r="C2071" t="inlineStr">
        <is>
          <t>Desempeño Institucional</t>
        </is>
      </c>
      <c r="D2071" t="inlineStr">
        <is>
          <t>Semestral</t>
        </is>
      </c>
      <c r="E2071" t="inlineStr">
        <is>
          <t>Positivo</t>
        </is>
      </c>
      <c r="F2071" s="105" t="n">
        <v>45657</v>
      </c>
      <c r="G2071" t="inlineStr">
        <is>
          <t>306-2024-12-31</t>
        </is>
      </c>
      <c r="H2071" t="inlineStr">
        <is>
          <t>Experiencia</t>
        </is>
      </c>
      <c r="I2071" t="n">
        <v>100</v>
      </c>
      <c r="J2071" t="n">
        <v>101</v>
      </c>
      <c r="BY2071" t="n">
        <v>101</v>
      </c>
    </row>
    <row r="2072">
      <c r="A2072" t="n">
        <v>306</v>
      </c>
      <c r="B2072" t="inlineStr">
        <is>
          <t>Seguimiento KPI Plan de Desarrollo Institucional</t>
        </is>
      </c>
      <c r="C2072" t="inlineStr">
        <is>
          <t>Desempeño Institucional</t>
        </is>
      </c>
      <c r="D2072" t="inlineStr">
        <is>
          <t>Semestral</t>
        </is>
      </c>
      <c r="E2072" t="inlineStr">
        <is>
          <t>Positivo</t>
        </is>
      </c>
      <c r="F2072" s="105" t="n">
        <v>45657</v>
      </c>
      <c r="G2072" t="inlineStr">
        <is>
          <t>306-2024-12-31</t>
        </is>
      </c>
      <c r="H2072" t="inlineStr">
        <is>
          <t>Sostenibilidad</t>
        </is>
      </c>
      <c r="I2072" t="n">
        <v>100</v>
      </c>
      <c r="J2072" t="n">
        <v>108</v>
      </c>
      <c r="BY2072" t="n">
        <v>108</v>
      </c>
    </row>
    <row r="2073">
      <c r="A2073" t="n">
        <v>373</v>
      </c>
      <c r="B2073" t="inlineStr">
        <is>
          <t>Cumplimiento de planes anuales por líneas</t>
        </is>
      </c>
      <c r="C2073" t="inlineStr">
        <is>
          <t>Planeación Estratégica</t>
        </is>
      </c>
      <c r="D2073" t="inlineStr">
        <is>
          <t>Semestral</t>
        </is>
      </c>
      <c r="E2073" t="inlineStr">
        <is>
          <t>Positivo</t>
        </is>
      </c>
      <c r="F2073" s="105" t="n">
        <v>45657</v>
      </c>
      <c r="G2073" t="inlineStr">
        <is>
          <t>373-2024-12-31</t>
        </is>
      </c>
      <c r="H2073" t="inlineStr">
        <is>
          <t>Calidad</t>
        </is>
      </c>
      <c r="I2073" t="n">
        <v>100</v>
      </c>
      <c r="J2073" t="n">
        <v>99</v>
      </c>
      <c r="BZ2073" t="n">
        <v>99</v>
      </c>
      <c r="CA2073" t="n">
        <v>100</v>
      </c>
    </row>
    <row r="2074">
      <c r="A2074" t="n">
        <v>373</v>
      </c>
      <c r="B2074" t="inlineStr">
        <is>
          <t>Cumplimiento de planes anuales por líneas</t>
        </is>
      </c>
      <c r="C2074" t="inlineStr">
        <is>
          <t>Planeación Estratégica</t>
        </is>
      </c>
      <c r="D2074" t="inlineStr">
        <is>
          <t>Semestral</t>
        </is>
      </c>
      <c r="E2074" t="inlineStr">
        <is>
          <t>Positivo</t>
        </is>
      </c>
      <c r="F2074" s="105" t="n">
        <v>45657</v>
      </c>
      <c r="G2074" t="inlineStr">
        <is>
          <t>373-2024-12-31</t>
        </is>
      </c>
      <c r="H2074" t="inlineStr">
        <is>
          <t>Expansión</t>
        </is>
      </c>
      <c r="I2074" t="n">
        <v>100</v>
      </c>
      <c r="J2074" t="n">
        <v>98</v>
      </c>
      <c r="BZ2074" t="n">
        <v>98</v>
      </c>
      <c r="CA2074" t="n">
        <v>100</v>
      </c>
    </row>
    <row r="2075">
      <c r="A2075" t="n">
        <v>373</v>
      </c>
      <c r="B2075" t="inlineStr">
        <is>
          <t>Cumplimiento de planes anuales por líneas</t>
        </is>
      </c>
      <c r="C2075" t="inlineStr">
        <is>
          <t>Planeación Estratégica</t>
        </is>
      </c>
      <c r="D2075" t="inlineStr">
        <is>
          <t>Semestral</t>
        </is>
      </c>
      <c r="E2075" t="inlineStr">
        <is>
          <t>Positivo</t>
        </is>
      </c>
      <c r="F2075" s="105" t="n">
        <v>45657</v>
      </c>
      <c r="G2075" t="inlineStr">
        <is>
          <t>373-2024-12-31</t>
        </is>
      </c>
      <c r="H2075" t="inlineStr">
        <is>
          <t>Educación para toda la vida</t>
        </is>
      </c>
      <c r="I2075" t="n">
        <v>100</v>
      </c>
      <c r="J2075" t="n">
        <v>100</v>
      </c>
      <c r="BZ2075" t="n">
        <v>100</v>
      </c>
      <c r="CA2075" t="n">
        <v>100</v>
      </c>
    </row>
    <row r="2076">
      <c r="A2076" t="n">
        <v>373</v>
      </c>
      <c r="B2076" t="inlineStr">
        <is>
          <t>Cumplimiento de planes anuales por líneas</t>
        </is>
      </c>
      <c r="C2076" t="inlineStr">
        <is>
          <t>Planeación Estratégica</t>
        </is>
      </c>
      <c r="D2076" t="inlineStr">
        <is>
          <t>Semestral</t>
        </is>
      </c>
      <c r="E2076" t="inlineStr">
        <is>
          <t>Positivo</t>
        </is>
      </c>
      <c r="F2076" s="105" t="n">
        <v>45657</v>
      </c>
      <c r="G2076" t="inlineStr">
        <is>
          <t>373-2024-12-31</t>
        </is>
      </c>
      <c r="H2076" t="inlineStr">
        <is>
          <t>Trasformación Organizacional</t>
        </is>
      </c>
      <c r="I2076" t="n">
        <v>100</v>
      </c>
      <c r="J2076" t="n">
        <v>99</v>
      </c>
      <c r="BZ2076" t="n">
        <v>99</v>
      </c>
      <c r="CA2076" t="n">
        <v>100</v>
      </c>
    </row>
    <row r="2077">
      <c r="A2077" t="n">
        <v>373</v>
      </c>
      <c r="B2077" t="inlineStr">
        <is>
          <t>Cumplimiento de planes anuales por líneas</t>
        </is>
      </c>
      <c r="C2077" t="inlineStr">
        <is>
          <t>Planeación Estratégica</t>
        </is>
      </c>
      <c r="D2077" t="inlineStr">
        <is>
          <t>Semestral</t>
        </is>
      </c>
      <c r="E2077" t="inlineStr">
        <is>
          <t>Positivo</t>
        </is>
      </c>
      <c r="F2077" s="105" t="n">
        <v>45657</v>
      </c>
      <c r="G2077" t="inlineStr">
        <is>
          <t>373-2024-12-31</t>
        </is>
      </c>
      <c r="H2077" t="inlineStr">
        <is>
          <t>Experiencia</t>
        </is>
      </c>
      <c r="I2077" t="n">
        <v>100</v>
      </c>
      <c r="J2077" t="n">
        <v>99</v>
      </c>
      <c r="BZ2077" t="n">
        <v>99</v>
      </c>
      <c r="CA2077" t="n">
        <v>100</v>
      </c>
    </row>
    <row r="2078">
      <c r="A2078" t="n">
        <v>373</v>
      </c>
      <c r="B2078" t="inlineStr">
        <is>
          <t>Cumplimiento de planes anuales por líneas</t>
        </is>
      </c>
      <c r="C2078" t="inlineStr">
        <is>
          <t>Planeación Estratégica</t>
        </is>
      </c>
      <c r="D2078" t="inlineStr">
        <is>
          <t>Semestral</t>
        </is>
      </c>
      <c r="E2078" t="inlineStr">
        <is>
          <t>Positivo</t>
        </is>
      </c>
      <c r="F2078" s="105" t="n">
        <v>45657</v>
      </c>
      <c r="G2078" t="inlineStr">
        <is>
          <t>373-2024-12-31</t>
        </is>
      </c>
      <c r="H2078" t="inlineStr">
        <is>
          <t>Sostenibilidad</t>
        </is>
      </c>
      <c r="I2078" t="n">
        <v>100</v>
      </c>
      <c r="J2078" t="n">
        <v>97</v>
      </c>
      <c r="BZ2078" t="n">
        <v>97</v>
      </c>
      <c r="CA2078" t="n">
        <v>100</v>
      </c>
    </row>
    <row r="2079">
      <c r="A2079" t="n">
        <v>390</v>
      </c>
      <c r="B2079" t="inlineStr">
        <is>
          <t>Cumplimiento Plan Anual por escuela</t>
        </is>
      </c>
      <c r="C2079" t="inlineStr">
        <is>
          <t>Planeación Estratégica</t>
        </is>
      </c>
      <c r="D2079" t="inlineStr">
        <is>
          <t>Semestral</t>
        </is>
      </c>
      <c r="E2079" t="inlineStr">
        <is>
          <t>Positivo</t>
        </is>
      </c>
      <c r="F2079" s="105" t="n">
        <v>45657</v>
      </c>
      <c r="G2079" t="inlineStr">
        <is>
          <t>390-2024-12-31</t>
        </is>
      </c>
      <c r="H2079" t="inlineStr">
        <is>
          <t>ESCUELA DE CIENCIAS BÁSICAS</t>
        </is>
      </c>
      <c r="I2079" t="n">
        <v>100</v>
      </c>
      <c r="J2079" t="n">
        <v>100</v>
      </c>
      <c r="CB2079" t="n">
        <v>100</v>
      </c>
      <c r="CC2079" t="n">
        <v>100</v>
      </c>
    </row>
    <row r="2080">
      <c r="A2080" t="n">
        <v>390</v>
      </c>
      <c r="B2080" t="inlineStr">
        <is>
          <t>Cumplimiento Plan Anual por escuela</t>
        </is>
      </c>
      <c r="C2080" t="inlineStr">
        <is>
          <t>Planeación Estratégica</t>
        </is>
      </c>
      <c r="D2080" t="inlineStr">
        <is>
          <t>Semestral</t>
        </is>
      </c>
      <c r="E2080" t="inlineStr">
        <is>
          <t>Positivo</t>
        </is>
      </c>
      <c r="F2080" s="105" t="n">
        <v>45657</v>
      </c>
      <c r="G2080" t="inlineStr">
        <is>
          <t>390-2024-12-31</t>
        </is>
      </c>
      <c r="H2080" t="inlineStr">
        <is>
          <t>ESCUELA DE  DISEÑO</t>
        </is>
      </c>
      <c r="I2080" t="n">
        <v>100</v>
      </c>
      <c r="J2080" t="n">
        <v>99</v>
      </c>
      <c r="CB2080" t="n">
        <v>99</v>
      </c>
      <c r="CC2080" t="n">
        <v>100</v>
      </c>
    </row>
    <row r="2081">
      <c r="A2081" t="n">
        <v>390</v>
      </c>
      <c r="B2081" t="inlineStr">
        <is>
          <t>Cumplimiento Plan Anual por escuela</t>
        </is>
      </c>
      <c r="C2081" t="inlineStr">
        <is>
          <t>Planeación Estratégica</t>
        </is>
      </c>
      <c r="D2081" t="inlineStr">
        <is>
          <t>Semestral</t>
        </is>
      </c>
      <c r="E2081" t="inlineStr">
        <is>
          <t>Positivo</t>
        </is>
      </c>
      <c r="F2081" s="105" t="n">
        <v>45657</v>
      </c>
      <c r="G2081" t="inlineStr">
        <is>
          <t>390-2024-12-31</t>
        </is>
      </c>
      <c r="H2081" t="inlineStr">
        <is>
          <t>ESCUELA DE OPTIMIZACIÓN, INFRA Y AUTO</t>
        </is>
      </c>
      <c r="I2081" t="n">
        <v>100</v>
      </c>
      <c r="J2081" t="n">
        <v>100</v>
      </c>
      <c r="CB2081" t="n">
        <v>100</v>
      </c>
      <c r="CC2081" t="n">
        <v>100</v>
      </c>
    </row>
    <row r="2082">
      <c r="A2082" t="n">
        <v>390</v>
      </c>
      <c r="B2082" t="inlineStr">
        <is>
          <t>Cumplimiento Plan Anual por escuela</t>
        </is>
      </c>
      <c r="C2082" t="inlineStr">
        <is>
          <t>Planeación Estratégica</t>
        </is>
      </c>
      <c r="D2082" t="inlineStr">
        <is>
          <t>Semestral</t>
        </is>
      </c>
      <c r="E2082" t="inlineStr">
        <is>
          <t>Positivo</t>
        </is>
      </c>
      <c r="F2082" s="105" t="n">
        <v>45657</v>
      </c>
      <c r="G2082" t="inlineStr">
        <is>
          <t>390-2024-12-31</t>
        </is>
      </c>
      <c r="H2082" t="inlineStr">
        <is>
          <t>ESCUELA TIC</t>
        </is>
      </c>
      <c r="I2082" t="n">
        <v>100</v>
      </c>
      <c r="J2082" t="n">
        <v>100</v>
      </c>
      <c r="CB2082" t="n">
        <v>100</v>
      </c>
      <c r="CC2082" t="n">
        <v>100</v>
      </c>
    </row>
    <row r="2083">
      <c r="A2083" t="n">
        <v>390</v>
      </c>
      <c r="B2083" t="inlineStr">
        <is>
          <t>Cumplimiento Plan Anual por escuela</t>
        </is>
      </c>
      <c r="C2083" t="inlineStr">
        <is>
          <t>Planeación Estratégica</t>
        </is>
      </c>
      <c r="D2083" t="inlineStr">
        <is>
          <t>Semestral</t>
        </is>
      </c>
      <c r="E2083" t="inlineStr">
        <is>
          <t>Positivo</t>
        </is>
      </c>
      <c r="F2083" s="105" t="n">
        <v>45657</v>
      </c>
      <c r="G2083" t="inlineStr">
        <is>
          <t>390-2024-12-31</t>
        </is>
      </c>
      <c r="H2083" t="inlineStr">
        <is>
          <t>ESCUELA DE ADMINISTRACIÓN Y COMPETITIVIDAD</t>
        </is>
      </c>
      <c r="I2083" t="n">
        <v>100</v>
      </c>
      <c r="J2083" t="n">
        <v>100</v>
      </c>
      <c r="CB2083" t="n">
        <v>100</v>
      </c>
      <c r="CC2083" t="n">
        <v>100</v>
      </c>
    </row>
    <row r="2084">
      <c r="A2084" t="n">
        <v>390</v>
      </c>
      <c r="B2084" t="inlineStr">
        <is>
          <t>Cumplimiento Plan Anual por escuela</t>
        </is>
      </c>
      <c r="C2084" t="inlineStr">
        <is>
          <t>Planeación Estratégica</t>
        </is>
      </c>
      <c r="D2084" t="inlineStr">
        <is>
          <t>Semestral</t>
        </is>
      </c>
      <c r="E2084" t="inlineStr">
        <is>
          <t>Positivo</t>
        </is>
      </c>
      <c r="F2084" s="105" t="n">
        <v>45657</v>
      </c>
      <c r="G2084" t="inlineStr">
        <is>
          <t>390-2024-12-31</t>
        </is>
      </c>
      <c r="H2084" t="inlineStr">
        <is>
          <t>ESCUELA DE CONTABILIDAD INTERNACIONAL</t>
        </is>
      </c>
      <c r="I2084" t="n">
        <v>100</v>
      </c>
      <c r="J2084" t="n">
        <v>100</v>
      </c>
      <c r="CB2084" t="n">
        <v>100</v>
      </c>
      <c r="CC2084" t="n">
        <v>100</v>
      </c>
    </row>
    <row r="2085">
      <c r="A2085" t="n">
        <v>390</v>
      </c>
      <c r="B2085" t="inlineStr">
        <is>
          <t>Cumplimiento Plan Anual por escuela</t>
        </is>
      </c>
      <c r="C2085" t="inlineStr">
        <is>
          <t>Planeación Estratégica</t>
        </is>
      </c>
      <c r="D2085" t="inlineStr">
        <is>
          <t>Semestral</t>
        </is>
      </c>
      <c r="E2085" t="inlineStr">
        <is>
          <t>Positivo</t>
        </is>
      </c>
      <c r="F2085" s="105" t="n">
        <v>45657</v>
      </c>
      <c r="G2085" t="inlineStr">
        <is>
          <t>390-2024-12-31</t>
        </is>
      </c>
      <c r="H2085" t="inlineStr">
        <is>
          <t>ESCUELA DE NEGOCIOS Y DESARROLLO INTERNACIONAL</t>
        </is>
      </c>
      <c r="I2085" t="n">
        <v>100</v>
      </c>
      <c r="J2085" t="n">
        <v>100</v>
      </c>
      <c r="CB2085" t="n">
        <v>100</v>
      </c>
      <c r="CC2085" t="n">
        <v>100</v>
      </c>
    </row>
    <row r="2086">
      <c r="A2086" t="n">
        <v>390</v>
      </c>
      <c r="B2086" t="inlineStr">
        <is>
          <t>Cumplimiento Plan Anual por escuela</t>
        </is>
      </c>
      <c r="C2086" t="inlineStr">
        <is>
          <t>Planeación Estratégica</t>
        </is>
      </c>
      <c r="D2086" t="inlineStr">
        <is>
          <t>Semestral</t>
        </is>
      </c>
      <c r="E2086" t="inlineStr">
        <is>
          <t>Positivo</t>
        </is>
      </c>
      <c r="F2086" s="105" t="n">
        <v>45657</v>
      </c>
      <c r="G2086" t="inlineStr">
        <is>
          <t>390-2024-12-31</t>
        </is>
      </c>
      <c r="H2086" t="inlineStr">
        <is>
          <t>ESCUELA DE COMUNICACIÓN ARTES VISUALES Y DIGITALES</t>
        </is>
      </c>
      <c r="I2086" t="n">
        <v>100</v>
      </c>
      <c r="J2086" t="n">
        <v>100</v>
      </c>
      <c r="CB2086" t="n">
        <v>100</v>
      </c>
      <c r="CC2086" t="n">
        <v>100</v>
      </c>
    </row>
    <row r="2087">
      <c r="A2087" t="n">
        <v>390</v>
      </c>
      <c r="B2087" t="inlineStr">
        <is>
          <t>Cumplimiento Plan Anual por escuela</t>
        </is>
      </c>
      <c r="C2087" t="inlineStr">
        <is>
          <t>Planeación Estratégica</t>
        </is>
      </c>
      <c r="D2087" t="inlineStr">
        <is>
          <t>Semestral</t>
        </is>
      </c>
      <c r="E2087" t="inlineStr">
        <is>
          <t>Positivo</t>
        </is>
      </c>
      <c r="F2087" s="105" t="n">
        <v>45657</v>
      </c>
      <c r="G2087" t="inlineStr">
        <is>
          <t>390-2024-12-31</t>
        </is>
      </c>
      <c r="H2087" t="inlineStr">
        <is>
          <t>ESCUELA DE EDUCACIÓN E INNOVACIÓN</t>
        </is>
      </c>
      <c r="I2087" t="n">
        <v>100</v>
      </c>
      <c r="J2087" t="n">
        <v>100</v>
      </c>
      <c r="CB2087" t="n">
        <v>100</v>
      </c>
      <c r="CC2087" t="n">
        <v>100</v>
      </c>
    </row>
    <row r="2088">
      <c r="A2088" t="n">
        <v>390</v>
      </c>
      <c r="B2088" t="inlineStr">
        <is>
          <t>Cumplimiento Plan Anual por escuela</t>
        </is>
      </c>
      <c r="C2088" t="inlineStr">
        <is>
          <t>Planeación Estratégica</t>
        </is>
      </c>
      <c r="D2088" t="inlineStr">
        <is>
          <t>Semestral</t>
        </is>
      </c>
      <c r="E2088" t="inlineStr">
        <is>
          <t>Positivo</t>
        </is>
      </c>
      <c r="F2088" s="105" t="n">
        <v>45657</v>
      </c>
      <c r="G2088" t="inlineStr">
        <is>
          <t>390-2024-12-31</t>
        </is>
      </c>
      <c r="H2088" t="inlineStr">
        <is>
          <t>ESCUELA DE DERECHO Y GOBIERNO</t>
        </is>
      </c>
      <c r="I2088" t="n">
        <v>100</v>
      </c>
      <c r="J2088" t="n">
        <v>100</v>
      </c>
      <c r="CB2088" t="n">
        <v>100</v>
      </c>
      <c r="CC2088" t="n">
        <v>100</v>
      </c>
    </row>
    <row r="2089">
      <c r="A2089" t="n">
        <v>390</v>
      </c>
      <c r="B2089" t="inlineStr">
        <is>
          <t>Cumplimiento Plan Anual por escuela</t>
        </is>
      </c>
      <c r="C2089" t="inlineStr">
        <is>
          <t>Planeación Estratégica</t>
        </is>
      </c>
      <c r="D2089" t="inlineStr">
        <is>
          <t>Semestral</t>
        </is>
      </c>
      <c r="E2089" t="inlineStr">
        <is>
          <t>Positivo</t>
        </is>
      </c>
      <c r="F2089" s="105" t="n">
        <v>45657</v>
      </c>
      <c r="G2089" t="inlineStr">
        <is>
          <t>390-2024-12-31</t>
        </is>
      </c>
      <c r="H2089" t="inlineStr">
        <is>
          <t>ESCUELA DE MARKETING Y BRANDING</t>
        </is>
      </c>
      <c r="I2089" t="n">
        <v>100</v>
      </c>
      <c r="J2089" t="n">
        <v>100</v>
      </c>
      <c r="CB2089" t="n">
        <v>100</v>
      </c>
      <c r="CC2089" t="n">
        <v>100</v>
      </c>
    </row>
    <row r="2090">
      <c r="A2090" t="n">
        <v>390</v>
      </c>
      <c r="B2090" t="inlineStr">
        <is>
          <t>Cumplimiento Plan Anual por escuela</t>
        </is>
      </c>
      <c r="C2090" t="inlineStr">
        <is>
          <t>Planeación Estratégica</t>
        </is>
      </c>
      <c r="D2090" t="inlineStr">
        <is>
          <t>Semestral</t>
        </is>
      </c>
      <c r="E2090" t="inlineStr">
        <is>
          <t>Positivo</t>
        </is>
      </c>
      <c r="F2090" s="105" t="n">
        <v>45657</v>
      </c>
      <c r="G2090" t="inlineStr">
        <is>
          <t>390-2024-12-31</t>
        </is>
      </c>
      <c r="H2090" t="inlineStr">
        <is>
          <t>ESCUELA DE PSIC, TALENTO HUM Y SOC</t>
        </is>
      </c>
      <c r="I2090" t="n">
        <v>100</v>
      </c>
      <c r="J2090" t="n">
        <v>100</v>
      </c>
      <c r="CB2090" t="n">
        <v>100</v>
      </c>
      <c r="CC2090" t="n">
        <v>100</v>
      </c>
    </row>
    <row r="2091">
      <c r="A2091" t="n">
        <v>409</v>
      </c>
      <c r="B2091" t="inlineStr">
        <is>
          <t>Oportunidad en tiempo de envios</t>
        </is>
      </c>
      <c r="C2091" t="inlineStr">
        <is>
          <t>GESTIÓN JURÍDICA Y NORMATIVA</t>
        </is>
      </c>
      <c r="D2091" t="inlineStr">
        <is>
          <t>Semestral</t>
        </is>
      </c>
      <c r="E2091" t="inlineStr">
        <is>
          <t>Positivo</t>
        </is>
      </c>
      <c r="F2091" s="105" t="n">
        <v>45657</v>
      </c>
      <c r="G2091" t="inlineStr">
        <is>
          <t>409-2024-12-31</t>
        </is>
      </c>
      <c r="H2091" t="inlineStr">
        <is>
          <t>Diplomas</t>
        </is>
      </c>
      <c r="I2091" t="n">
        <v>95</v>
      </c>
      <c r="J2091" t="n">
        <v>93.66000366210938</v>
      </c>
      <c r="CQ2091" t="n">
        <v>325</v>
      </c>
      <c r="CR2091" t="n">
        <v>347</v>
      </c>
    </row>
    <row r="2092">
      <c r="A2092" t="n">
        <v>414</v>
      </c>
      <c r="B2092" t="inlineStr">
        <is>
          <t>Cumplimiento Plan Anual Rectoría</t>
        </is>
      </c>
      <c r="C2092" t="inlineStr">
        <is>
          <t>Planeación Estratégica</t>
        </is>
      </c>
      <c r="D2092" t="inlineStr">
        <is>
          <t>Semestral</t>
        </is>
      </c>
      <c r="E2092" t="inlineStr">
        <is>
          <t>Positivo</t>
        </is>
      </c>
      <c r="F2092" s="105" t="n">
        <v>45657</v>
      </c>
      <c r="G2092" t="inlineStr">
        <is>
          <t>414-2024-12-31</t>
        </is>
      </c>
      <c r="H2092" t="inlineStr">
        <is>
          <t>Vicerrectoría de crecimiento</t>
        </is>
      </c>
      <c r="I2092" t="n">
        <v>100</v>
      </c>
      <c r="J2092" t="n">
        <v>100</v>
      </c>
      <c r="CD2092" t="n">
        <v>100</v>
      </c>
      <c r="CE2092" t="n">
        <v>100</v>
      </c>
    </row>
    <row r="2093">
      <c r="A2093" t="n">
        <v>414</v>
      </c>
      <c r="B2093" t="inlineStr">
        <is>
          <t>Cumplimiento Plan Anual Rectoría</t>
        </is>
      </c>
      <c r="C2093" t="inlineStr">
        <is>
          <t>Planeación Estratégica</t>
        </is>
      </c>
      <c r="D2093" t="inlineStr">
        <is>
          <t>Semestral</t>
        </is>
      </c>
      <c r="E2093" t="inlineStr">
        <is>
          <t>Positivo</t>
        </is>
      </c>
      <c r="F2093" s="105" t="n">
        <v>45657</v>
      </c>
      <c r="G2093" t="inlineStr">
        <is>
          <t>414-2024-12-31</t>
        </is>
      </c>
      <c r="H2093" t="inlineStr">
        <is>
          <t>Vicerrectoría del estudiante</t>
        </is>
      </c>
      <c r="I2093" t="n">
        <v>100</v>
      </c>
      <c r="J2093" t="n">
        <v>100</v>
      </c>
      <c r="CD2093" t="n">
        <v>100</v>
      </c>
      <c r="CE2093" t="n">
        <v>100</v>
      </c>
    </row>
    <row r="2094">
      <c r="A2094" t="n">
        <v>414</v>
      </c>
      <c r="B2094" t="inlineStr">
        <is>
          <t>Cumplimiento Plan Anual Rectoría</t>
        </is>
      </c>
      <c r="C2094" t="inlineStr">
        <is>
          <t>Planeación Estratégica</t>
        </is>
      </c>
      <c r="D2094" t="inlineStr">
        <is>
          <t>Semestral</t>
        </is>
      </c>
      <c r="E2094" t="inlineStr">
        <is>
          <t>Positivo</t>
        </is>
      </c>
      <c r="F2094" s="105" t="n">
        <v>45657</v>
      </c>
      <c r="G2094" t="inlineStr">
        <is>
          <t>414-2024-12-31</t>
        </is>
      </c>
      <c r="H2094" t="inlineStr">
        <is>
          <t>Vicerrectoría financiera</t>
        </is>
      </c>
      <c r="I2094" t="n">
        <v>100</v>
      </c>
      <c r="J2094" t="n">
        <v>100</v>
      </c>
      <c r="CD2094" t="n">
        <v>100</v>
      </c>
      <c r="CE2094" t="n">
        <v>100</v>
      </c>
    </row>
    <row r="2095">
      <c r="A2095" t="n">
        <v>414</v>
      </c>
      <c r="B2095" t="inlineStr">
        <is>
          <t>Cumplimiento Plan Anual Rectoría</t>
        </is>
      </c>
      <c r="C2095" t="inlineStr">
        <is>
          <t>Planeación Estratégica</t>
        </is>
      </c>
      <c r="D2095" t="inlineStr">
        <is>
          <t>Semestral</t>
        </is>
      </c>
      <c r="E2095" t="inlineStr">
        <is>
          <t>Positivo</t>
        </is>
      </c>
      <c r="F2095" s="105" t="n">
        <v>45657</v>
      </c>
      <c r="G2095" t="inlineStr">
        <is>
          <t>414-2024-12-31</t>
        </is>
      </c>
      <c r="H2095" t="inlineStr">
        <is>
          <t>Vicerrectoría académica</t>
        </is>
      </c>
      <c r="I2095" t="n">
        <v>100</v>
      </c>
      <c r="J2095" t="n">
        <v>100</v>
      </c>
      <c r="CD2095" t="n">
        <v>100</v>
      </c>
      <c r="CE2095" t="n">
        <v>100</v>
      </c>
    </row>
    <row r="2096">
      <c r="A2096" t="n">
        <v>414</v>
      </c>
      <c r="B2096" t="inlineStr">
        <is>
          <t>Cumplimiento Plan Anual Rectoría</t>
        </is>
      </c>
      <c r="C2096" t="inlineStr">
        <is>
          <t>Planeación Estratégica</t>
        </is>
      </c>
      <c r="D2096" t="inlineStr">
        <is>
          <t>Semestral</t>
        </is>
      </c>
      <c r="E2096" t="inlineStr">
        <is>
          <t>Positivo</t>
        </is>
      </c>
      <c r="F2096" s="105" t="n">
        <v>45657</v>
      </c>
      <c r="G2096" t="inlineStr">
        <is>
          <t>414-2024-12-31</t>
        </is>
      </c>
      <c r="H2096" t="inlineStr">
        <is>
          <t>Gerencia de estrategia</t>
        </is>
      </c>
      <c r="I2096" t="n">
        <v>100</v>
      </c>
      <c r="J2096" t="n">
        <v>100</v>
      </c>
      <c r="CD2096" t="n">
        <v>100</v>
      </c>
      <c r="CE2096" t="n">
        <v>100</v>
      </c>
    </row>
    <row r="2097">
      <c r="A2097" t="n">
        <v>414</v>
      </c>
      <c r="B2097" t="inlineStr">
        <is>
          <t>Cumplimiento Plan Anual Rectoría</t>
        </is>
      </c>
      <c r="C2097" t="inlineStr">
        <is>
          <t>Planeación Estratégica</t>
        </is>
      </c>
      <c r="D2097" t="inlineStr">
        <is>
          <t>Semestral</t>
        </is>
      </c>
      <c r="E2097" t="inlineStr">
        <is>
          <t>Positivo</t>
        </is>
      </c>
      <c r="F2097" s="105" t="n">
        <v>45657</v>
      </c>
      <c r="G2097" t="inlineStr">
        <is>
          <t>414-2024-12-31</t>
        </is>
      </c>
      <c r="H2097" t="inlineStr">
        <is>
          <t>Gerencia de  talento humano y desarrollo</t>
        </is>
      </c>
      <c r="I2097" t="n">
        <v>100</v>
      </c>
      <c r="J2097" t="n">
        <v>99</v>
      </c>
      <c r="CD2097" t="n">
        <v>99</v>
      </c>
      <c r="CE2097" t="n">
        <v>100</v>
      </c>
    </row>
    <row r="2098">
      <c r="A2098" t="n">
        <v>414</v>
      </c>
      <c r="B2098" t="inlineStr">
        <is>
          <t>Cumplimiento Plan Anual Rectoría</t>
        </is>
      </c>
      <c r="C2098" t="inlineStr">
        <is>
          <t>Planeación Estratégica</t>
        </is>
      </c>
      <c r="D2098" t="inlineStr">
        <is>
          <t>Semestral</t>
        </is>
      </c>
      <c r="E2098" t="inlineStr">
        <is>
          <t>Positivo</t>
        </is>
      </c>
      <c r="F2098" s="105" t="n">
        <v>45657</v>
      </c>
      <c r="G2098" t="inlineStr">
        <is>
          <t>414-2024-12-31</t>
        </is>
      </c>
      <c r="H2098" t="inlineStr">
        <is>
          <t>Gerencia sede Medellín</t>
        </is>
      </c>
      <c r="I2098" t="n">
        <v>100</v>
      </c>
      <c r="J2098" t="n">
        <v>94</v>
      </c>
      <c r="CD2098" t="n">
        <v>94</v>
      </c>
      <c r="CE2098" t="n">
        <v>100</v>
      </c>
    </row>
    <row r="2099">
      <c r="A2099" t="n">
        <v>414</v>
      </c>
      <c r="B2099" t="inlineStr">
        <is>
          <t>Cumplimiento Plan Anual Rectoría</t>
        </is>
      </c>
      <c r="C2099" t="inlineStr">
        <is>
          <t>Planeación Estratégica</t>
        </is>
      </c>
      <c r="D2099" t="inlineStr">
        <is>
          <t>Semestral</t>
        </is>
      </c>
      <c r="E2099" t="inlineStr">
        <is>
          <t>Positivo</t>
        </is>
      </c>
      <c r="F2099" s="105" t="n">
        <v>45657</v>
      </c>
      <c r="G2099" t="inlineStr">
        <is>
          <t>414-2024-12-31</t>
        </is>
      </c>
      <c r="H2099" t="inlineStr">
        <is>
          <t>Secretaria general</t>
        </is>
      </c>
      <c r="I2099" t="n">
        <v>100</v>
      </c>
      <c r="J2099" t="n">
        <v>100</v>
      </c>
      <c r="CD2099" t="n">
        <v>100</v>
      </c>
      <c r="CE2099" t="n">
        <v>100</v>
      </c>
    </row>
    <row r="2100">
      <c r="A2100" t="n">
        <v>414</v>
      </c>
      <c r="B2100" t="inlineStr">
        <is>
          <t>Cumplimiento Plan Anual Rectoría</t>
        </is>
      </c>
      <c r="C2100" t="inlineStr">
        <is>
          <t>Planeación Estratégica</t>
        </is>
      </c>
      <c r="D2100" t="inlineStr">
        <is>
          <t>Semestral</t>
        </is>
      </c>
      <c r="E2100" t="inlineStr">
        <is>
          <t>Positivo</t>
        </is>
      </c>
      <c r="F2100" s="105" t="n">
        <v>45657</v>
      </c>
      <c r="G2100" t="inlineStr">
        <is>
          <t>414-2024-12-31</t>
        </is>
      </c>
      <c r="H2100" t="inlineStr">
        <is>
          <t>Gerencia de educación virtual</t>
        </is>
      </c>
      <c r="I2100" t="n">
        <v>100</v>
      </c>
      <c r="J2100" t="n">
        <v>96</v>
      </c>
      <c r="CD2100" t="n">
        <v>96</v>
      </c>
      <c r="CE2100" t="n">
        <v>100</v>
      </c>
    </row>
    <row r="2101">
      <c r="A2101" t="n">
        <v>415</v>
      </c>
      <c r="B2101" t="inlineStr">
        <is>
          <t>Cumplimiento Plan Anual Vicerrectoría del estudiante</t>
        </is>
      </c>
      <c r="C2101" t="inlineStr">
        <is>
          <t>Planeación Estratégica</t>
        </is>
      </c>
      <c r="D2101" t="inlineStr">
        <is>
          <t>Semestral</t>
        </is>
      </c>
      <c r="E2101" t="inlineStr">
        <is>
          <t>Positivo</t>
        </is>
      </c>
      <c r="F2101" s="105" t="n">
        <v>45657</v>
      </c>
      <c r="G2101" t="inlineStr">
        <is>
          <t>415-2024-12-31</t>
        </is>
      </c>
      <c r="H2101" t="inlineStr">
        <is>
          <t>Gerencia de operaciones</t>
        </is>
      </c>
      <c r="I2101" t="n">
        <v>100</v>
      </c>
      <c r="J2101" t="n">
        <v>100</v>
      </c>
      <c r="CF2101" t="n">
        <v>100</v>
      </c>
      <c r="CG2101" t="n">
        <v>100</v>
      </c>
    </row>
    <row r="2102">
      <c r="A2102" t="n">
        <v>415</v>
      </c>
      <c r="B2102" t="inlineStr">
        <is>
          <t>Cumplimiento Plan Anual Vicerrectoría del estudiante</t>
        </is>
      </c>
      <c r="C2102" t="inlineStr">
        <is>
          <t>Planeación Estratégica</t>
        </is>
      </c>
      <c r="D2102" t="inlineStr">
        <is>
          <t>Semestral</t>
        </is>
      </c>
      <c r="E2102" t="inlineStr">
        <is>
          <t>Positivo</t>
        </is>
      </c>
      <c r="F2102" s="105" t="n">
        <v>45657</v>
      </c>
      <c r="G2102" t="inlineStr">
        <is>
          <t>415-2024-12-31</t>
        </is>
      </c>
      <c r="H2102" t="inlineStr">
        <is>
          <t>Gerencia de servicio y permanencia</t>
        </is>
      </c>
      <c r="I2102" t="n">
        <v>100</v>
      </c>
      <c r="J2102" t="n">
        <v>100</v>
      </c>
      <c r="CF2102" t="n">
        <v>100</v>
      </c>
      <c r="CG2102" t="n">
        <v>100</v>
      </c>
    </row>
    <row r="2103">
      <c r="A2103" t="n">
        <v>415</v>
      </c>
      <c r="B2103" t="inlineStr">
        <is>
          <t>Cumplimiento Plan Anual Vicerrectoría del estudiante</t>
        </is>
      </c>
      <c r="C2103" t="inlineStr">
        <is>
          <t>Planeación Estratégica</t>
        </is>
      </c>
      <c r="D2103" t="inlineStr">
        <is>
          <t>Semestral</t>
        </is>
      </c>
      <c r="E2103" t="inlineStr">
        <is>
          <t>Positivo</t>
        </is>
      </c>
      <c r="F2103" s="105" t="n">
        <v>45657</v>
      </c>
      <c r="G2103" t="inlineStr">
        <is>
          <t>415-2024-12-31</t>
        </is>
      </c>
      <c r="H2103" t="inlineStr">
        <is>
          <t>Gerencia de tecnología e innovación digital</t>
        </is>
      </c>
      <c r="I2103" t="n">
        <v>100</v>
      </c>
      <c r="J2103" t="n">
        <v>94</v>
      </c>
      <c r="CF2103" t="n">
        <v>94</v>
      </c>
      <c r="CG2103" t="n">
        <v>100</v>
      </c>
    </row>
    <row r="2104">
      <c r="A2104" t="n">
        <v>415</v>
      </c>
      <c r="B2104" t="inlineStr">
        <is>
          <t>Cumplimiento Plan Anual Vicerrectoría del estudiante</t>
        </is>
      </c>
      <c r="C2104" t="inlineStr">
        <is>
          <t>Planeación Estratégica</t>
        </is>
      </c>
      <c r="D2104" t="inlineStr">
        <is>
          <t>Semestral</t>
        </is>
      </c>
      <c r="E2104" t="inlineStr">
        <is>
          <t>Positivo</t>
        </is>
      </c>
      <c r="F2104" s="105" t="n">
        <v>45657</v>
      </c>
      <c r="G2104" t="inlineStr">
        <is>
          <t>415-2024-12-31</t>
        </is>
      </c>
      <c r="H2104" t="inlineStr">
        <is>
          <t>BI y analítica</t>
        </is>
      </c>
      <c r="I2104" t="n">
        <v>100</v>
      </c>
      <c r="J2104" t="n">
        <v>95</v>
      </c>
      <c r="CF2104" t="n">
        <v>95</v>
      </c>
      <c r="CG2104" t="n">
        <v>100</v>
      </c>
    </row>
    <row r="2105">
      <c r="A2105" t="n">
        <v>415</v>
      </c>
      <c r="B2105" t="inlineStr">
        <is>
          <t>Cumplimiento Plan Anual Vicerrectoría del estudiante</t>
        </is>
      </c>
      <c r="C2105" t="inlineStr">
        <is>
          <t>Planeación Estratégica</t>
        </is>
      </c>
      <c r="D2105" t="inlineStr">
        <is>
          <t>Semestral</t>
        </is>
      </c>
      <c r="E2105" t="inlineStr">
        <is>
          <t>Positivo</t>
        </is>
      </c>
      <c r="F2105" s="105" t="n">
        <v>45657</v>
      </c>
      <c r="G2105" t="inlineStr">
        <is>
          <t>415-2024-12-31</t>
        </is>
      </c>
      <c r="H2105" t="inlineStr">
        <is>
          <t>Dirección nacional de registro y control</t>
        </is>
      </c>
      <c r="I2105" t="n">
        <v>100</v>
      </c>
      <c r="J2105" t="n">
        <v>100</v>
      </c>
      <c r="CF2105" t="n">
        <v>100</v>
      </c>
      <c r="CG2105" t="n">
        <v>100</v>
      </c>
    </row>
    <row r="2106">
      <c r="A2106" t="n">
        <v>415</v>
      </c>
      <c r="B2106" t="inlineStr">
        <is>
          <t>Cumplimiento Plan Anual Vicerrectoría del estudiante</t>
        </is>
      </c>
      <c r="C2106" t="inlineStr">
        <is>
          <t>Planeación Estratégica</t>
        </is>
      </c>
      <c r="D2106" t="inlineStr">
        <is>
          <t>Semestral</t>
        </is>
      </c>
      <c r="E2106" t="inlineStr">
        <is>
          <t>Positivo</t>
        </is>
      </c>
      <c r="F2106" s="105" t="n">
        <v>45657</v>
      </c>
      <c r="G2106" t="inlineStr">
        <is>
          <t>415-2024-12-31</t>
        </is>
      </c>
      <c r="H2106" t="inlineStr">
        <is>
          <t>Dirección de Experiencia E Inclusion</t>
        </is>
      </c>
      <c r="I2106" t="n">
        <v>100</v>
      </c>
      <c r="J2106" t="n">
        <v>100</v>
      </c>
      <c r="CF2106" t="n">
        <v>100</v>
      </c>
      <c r="CG2106" t="n">
        <v>100</v>
      </c>
    </row>
    <row r="2107">
      <c r="A2107" t="n">
        <v>415</v>
      </c>
      <c r="B2107" t="inlineStr">
        <is>
          <t>Cumplimiento Plan Anual Vicerrectoría del estudiante</t>
        </is>
      </c>
      <c r="C2107" t="inlineStr">
        <is>
          <t>Planeación Estratégica</t>
        </is>
      </c>
      <c r="D2107" t="inlineStr">
        <is>
          <t>Semestral</t>
        </is>
      </c>
      <c r="E2107" t="inlineStr">
        <is>
          <t>Positivo</t>
        </is>
      </c>
      <c r="F2107" s="105" t="n">
        <v>45657</v>
      </c>
      <c r="G2107" t="inlineStr">
        <is>
          <t>415-2024-12-31</t>
        </is>
      </c>
      <c r="H2107" t="inlineStr">
        <is>
          <t>Direccion bienestar universitario y huella grancolombiana</t>
        </is>
      </c>
      <c r="I2107" t="n">
        <v>100</v>
      </c>
      <c r="J2107" t="n">
        <v>97</v>
      </c>
      <c r="CF2107" t="n">
        <v>97</v>
      </c>
      <c r="CG2107" t="n">
        <v>100</v>
      </c>
    </row>
    <row r="2108">
      <c r="A2108" t="n">
        <v>415</v>
      </c>
      <c r="B2108" t="inlineStr">
        <is>
          <t>Cumplimiento Plan Anual Vicerrectoría del estudiante</t>
        </is>
      </c>
      <c r="C2108" t="inlineStr">
        <is>
          <t>Planeación Estratégica</t>
        </is>
      </c>
      <c r="D2108" t="inlineStr">
        <is>
          <t>Semestral</t>
        </is>
      </c>
      <c r="E2108" t="inlineStr">
        <is>
          <t>Positivo</t>
        </is>
      </c>
      <c r="F2108" s="105" t="n">
        <v>45657</v>
      </c>
      <c r="G2108" t="inlineStr">
        <is>
          <t>415-2024-12-31</t>
        </is>
      </c>
      <c r="H2108" t="inlineStr">
        <is>
          <t>Director de gobierno digital</t>
        </is>
      </c>
      <c r="I2108" t="n">
        <v>100</v>
      </c>
      <c r="J2108" t="n">
        <v>97</v>
      </c>
      <c r="CF2108" t="n">
        <v>97</v>
      </c>
      <c r="CG2108" t="n">
        <v>100</v>
      </c>
    </row>
    <row r="2109">
      <c r="A2109" t="n">
        <v>415</v>
      </c>
      <c r="B2109" t="inlineStr">
        <is>
          <t>Cumplimiento Plan Anual Vicerrectoría del estudiante</t>
        </is>
      </c>
      <c r="C2109" t="inlineStr">
        <is>
          <t>Planeación Estratégica</t>
        </is>
      </c>
      <c r="D2109" t="inlineStr">
        <is>
          <t>Semestral</t>
        </is>
      </c>
      <c r="E2109" t="inlineStr">
        <is>
          <t>Positivo</t>
        </is>
      </c>
      <c r="F2109" s="105" t="n">
        <v>45657</v>
      </c>
      <c r="G2109" t="inlineStr">
        <is>
          <t>415-2024-12-31</t>
        </is>
      </c>
      <c r="H2109" t="inlineStr">
        <is>
          <t>Gerente de innovación y producto</t>
        </is>
      </c>
      <c r="I2109" t="n">
        <v>100</v>
      </c>
      <c r="J2109" t="n">
        <v>100</v>
      </c>
      <c r="CF2109" t="n">
        <v>100</v>
      </c>
      <c r="CG2109" t="n">
        <v>100</v>
      </c>
    </row>
    <row r="2110">
      <c r="A2110" t="n">
        <v>415</v>
      </c>
      <c r="B2110" t="inlineStr">
        <is>
          <t>Cumplimiento Plan Anual Vicerrectoría del estudiante</t>
        </is>
      </c>
      <c r="C2110" t="inlineStr">
        <is>
          <t>Planeación Estratégica</t>
        </is>
      </c>
      <c r="D2110" t="inlineStr">
        <is>
          <t>Semestral</t>
        </is>
      </c>
      <c r="E2110" t="inlineStr">
        <is>
          <t>Positivo</t>
        </is>
      </c>
      <c r="F2110" s="105" t="n">
        <v>45657</v>
      </c>
      <c r="G2110" t="inlineStr">
        <is>
          <t>415-2024-12-31</t>
        </is>
      </c>
      <c r="H2110" t="inlineStr">
        <is>
          <t>Dirección de desarrollo e innovación</t>
        </is>
      </c>
      <c r="I2110" t="n">
        <v>100</v>
      </c>
      <c r="J2110" t="n">
        <v>94</v>
      </c>
      <c r="CF2110" t="n">
        <v>94</v>
      </c>
      <c r="CG2110" t="n">
        <v>100</v>
      </c>
    </row>
    <row r="2111">
      <c r="A2111" t="n">
        <v>415</v>
      </c>
      <c r="B2111" t="inlineStr">
        <is>
          <t>Cumplimiento Plan Anual Vicerrectoría del estudiante</t>
        </is>
      </c>
      <c r="C2111" t="inlineStr">
        <is>
          <t>Planeación Estratégica</t>
        </is>
      </c>
      <c r="D2111" t="inlineStr">
        <is>
          <t>Semestral</t>
        </is>
      </c>
      <c r="E2111" t="inlineStr">
        <is>
          <t>Positivo</t>
        </is>
      </c>
      <c r="F2111" s="105" t="n">
        <v>45657</v>
      </c>
      <c r="G2111" t="inlineStr">
        <is>
          <t>415-2024-12-31</t>
        </is>
      </c>
      <c r="H2111" t="inlineStr">
        <is>
          <t>Director de operaciones IT</t>
        </is>
      </c>
      <c r="I2111" t="n">
        <v>100</v>
      </c>
      <c r="J2111" t="n">
        <v>100</v>
      </c>
      <c r="CF2111" t="n">
        <v>100</v>
      </c>
      <c r="CG2111" t="n">
        <v>100</v>
      </c>
    </row>
    <row r="2112">
      <c r="A2112" t="n">
        <v>415</v>
      </c>
      <c r="B2112" t="inlineStr">
        <is>
          <t>Cumplimiento Plan Anual Vicerrectoría del estudiante</t>
        </is>
      </c>
      <c r="C2112" t="inlineStr">
        <is>
          <t>Planeación Estratégica</t>
        </is>
      </c>
      <c r="D2112" t="inlineStr">
        <is>
          <t>Semestral</t>
        </is>
      </c>
      <c r="E2112" t="inlineStr">
        <is>
          <t>Positivo</t>
        </is>
      </c>
      <c r="F2112" s="105" t="n">
        <v>45657</v>
      </c>
      <c r="G2112" t="inlineStr">
        <is>
          <t>415-2024-12-31</t>
        </is>
      </c>
      <c r="H2112" t="inlineStr">
        <is>
          <t>Director de operaciones integrales</t>
        </is>
      </c>
      <c r="I2112" t="n">
        <v>100</v>
      </c>
      <c r="J2112" t="n">
        <v>100</v>
      </c>
      <c r="CF2112" t="n">
        <v>100</v>
      </c>
      <c r="CG2112" t="n">
        <v>100</v>
      </c>
    </row>
    <row r="2113">
      <c r="A2113" t="n">
        <v>415</v>
      </c>
      <c r="B2113" t="inlineStr">
        <is>
          <t>Cumplimiento Plan Anual Vicerrectoría del estudiante</t>
        </is>
      </c>
      <c r="C2113" t="inlineStr">
        <is>
          <t>Planeación Estratégica</t>
        </is>
      </c>
      <c r="D2113" t="inlineStr">
        <is>
          <t>Semestral</t>
        </is>
      </c>
      <c r="E2113" t="inlineStr">
        <is>
          <t>Positivo</t>
        </is>
      </c>
      <c r="F2113" s="105" t="n">
        <v>45657</v>
      </c>
      <c r="G2113" t="inlineStr">
        <is>
          <t>415-2024-12-31</t>
        </is>
      </c>
      <c r="H2113" t="inlineStr">
        <is>
          <t>Director de servicio</t>
        </is>
      </c>
      <c r="I2113" t="n">
        <v>100</v>
      </c>
      <c r="J2113" t="n">
        <v>100</v>
      </c>
      <c r="CF2113" t="n">
        <v>100</v>
      </c>
      <c r="CG2113" t="n">
        <v>100</v>
      </c>
    </row>
    <row r="2114">
      <c r="A2114" t="n">
        <v>415</v>
      </c>
      <c r="B2114" t="inlineStr">
        <is>
          <t>Cumplimiento Plan Anual Vicerrectoría del estudiante</t>
        </is>
      </c>
      <c r="C2114" t="inlineStr">
        <is>
          <t>Planeación Estratégica</t>
        </is>
      </c>
      <c r="D2114" t="inlineStr">
        <is>
          <t>Semestral</t>
        </is>
      </c>
      <c r="E2114" t="inlineStr">
        <is>
          <t>Positivo</t>
        </is>
      </c>
      <c r="F2114" s="105" t="n">
        <v>45657</v>
      </c>
      <c r="G2114" t="inlineStr">
        <is>
          <t>415-2024-12-31</t>
        </is>
      </c>
      <c r="H2114" t="inlineStr">
        <is>
          <t>Director de permanencia</t>
        </is>
      </c>
      <c r="I2114" t="n">
        <v>100</v>
      </c>
      <c r="J2114" t="n">
        <v>100</v>
      </c>
      <c r="CF2114" t="n">
        <v>100</v>
      </c>
      <c r="CG2114" t="n">
        <v>100</v>
      </c>
    </row>
    <row r="2115">
      <c r="A2115" t="n">
        <v>416</v>
      </c>
      <c r="B2115" t="inlineStr">
        <is>
          <t>Cumplimiento Plan Anual Vicerrectoría de crecimiento</t>
        </is>
      </c>
      <c r="C2115" t="inlineStr">
        <is>
          <t>Planeación Estratégica</t>
        </is>
      </c>
      <c r="D2115" t="inlineStr">
        <is>
          <t>Semestral</t>
        </is>
      </c>
      <c r="E2115" t="inlineStr">
        <is>
          <t>Positivo</t>
        </is>
      </c>
      <c r="F2115" s="105" t="n">
        <v>45657</v>
      </c>
      <c r="G2115" t="inlineStr">
        <is>
          <t>416-2024-12-31</t>
        </is>
      </c>
      <c r="H2115" t="inlineStr">
        <is>
          <t>Gerencia de matriculas</t>
        </is>
      </c>
      <c r="I2115" t="n">
        <v>100</v>
      </c>
      <c r="J2115" t="n">
        <v>100</v>
      </c>
      <c r="CH2115" t="n">
        <v>100</v>
      </c>
      <c r="CI2115" t="n">
        <v>100</v>
      </c>
    </row>
    <row r="2116">
      <c r="A2116" t="n">
        <v>416</v>
      </c>
      <c r="B2116" t="inlineStr">
        <is>
          <t>Cumplimiento Plan Anual Vicerrectoría de crecimiento</t>
        </is>
      </c>
      <c r="C2116" t="inlineStr">
        <is>
          <t>Planeación Estratégica</t>
        </is>
      </c>
      <c r="D2116" t="inlineStr">
        <is>
          <t>Semestral</t>
        </is>
      </c>
      <c r="E2116" t="inlineStr">
        <is>
          <t>Positivo</t>
        </is>
      </c>
      <c r="F2116" s="105" t="n">
        <v>45657</v>
      </c>
      <c r="G2116" t="inlineStr">
        <is>
          <t>416-2024-12-31</t>
        </is>
      </c>
      <c r="H2116" t="inlineStr">
        <is>
          <t>Gerencia de mercadeo</t>
        </is>
      </c>
      <c r="I2116" t="n">
        <v>100</v>
      </c>
      <c r="J2116" t="n">
        <v>100</v>
      </c>
      <c r="CH2116" t="n">
        <v>100</v>
      </c>
      <c r="CI2116" t="n">
        <v>100</v>
      </c>
    </row>
    <row r="2117">
      <c r="A2117" t="n">
        <v>416</v>
      </c>
      <c r="B2117" t="inlineStr">
        <is>
          <t>Cumplimiento Plan Anual Vicerrectoría de crecimiento</t>
        </is>
      </c>
      <c r="C2117" t="inlineStr">
        <is>
          <t>Planeación Estratégica</t>
        </is>
      </c>
      <c r="D2117" t="inlineStr">
        <is>
          <t>Semestral</t>
        </is>
      </c>
      <c r="E2117" t="inlineStr">
        <is>
          <t>Positivo</t>
        </is>
      </c>
      <c r="F2117" s="105" t="n">
        <v>45657</v>
      </c>
      <c r="G2117" t="inlineStr">
        <is>
          <t>416-2024-12-31</t>
        </is>
      </c>
      <c r="H2117" t="inlineStr">
        <is>
          <t>Gerencia de servicios corporativos</t>
        </is>
      </c>
      <c r="I2117" t="n">
        <v>100</v>
      </c>
      <c r="J2117" t="n">
        <v>100</v>
      </c>
      <c r="CH2117" t="n">
        <v>100</v>
      </c>
      <c r="CI2117" t="n">
        <v>100</v>
      </c>
    </row>
    <row r="2118">
      <c r="A2118" t="n">
        <v>416</v>
      </c>
      <c r="B2118" t="inlineStr">
        <is>
          <t>Cumplimiento Plan Anual Vicerrectoría de crecimiento</t>
        </is>
      </c>
      <c r="C2118" t="inlineStr">
        <is>
          <t>Planeación Estratégica</t>
        </is>
      </c>
      <c r="D2118" t="inlineStr">
        <is>
          <t>Semestral</t>
        </is>
      </c>
      <c r="E2118" t="inlineStr">
        <is>
          <t>Positivo</t>
        </is>
      </c>
      <c r="F2118" s="105" t="n">
        <v>45657</v>
      </c>
      <c r="G2118" t="inlineStr">
        <is>
          <t>416-2024-12-31</t>
        </is>
      </c>
      <c r="H2118" t="inlineStr">
        <is>
          <t>Director B2B y B2C</t>
        </is>
      </c>
      <c r="I2118" t="n">
        <v>100</v>
      </c>
      <c r="J2118" t="n">
        <v>100</v>
      </c>
      <c r="CH2118" t="n">
        <v>100</v>
      </c>
      <c r="CI2118" t="n">
        <v>100</v>
      </c>
    </row>
    <row r="2119">
      <c r="A2119" t="n">
        <v>416</v>
      </c>
      <c r="B2119" t="inlineStr">
        <is>
          <t>Cumplimiento Plan Anual Vicerrectoría de crecimiento</t>
        </is>
      </c>
      <c r="C2119" t="inlineStr">
        <is>
          <t>Planeación Estratégica</t>
        </is>
      </c>
      <c r="D2119" t="inlineStr">
        <is>
          <t>Semestral</t>
        </is>
      </c>
      <c r="E2119" t="inlineStr">
        <is>
          <t>Positivo</t>
        </is>
      </c>
      <c r="F2119" s="105" t="n">
        <v>45657</v>
      </c>
      <c r="G2119" t="inlineStr">
        <is>
          <t>416-2024-12-31</t>
        </is>
      </c>
      <c r="H2119" t="inlineStr">
        <is>
          <t>Director de producto</t>
        </is>
      </c>
      <c r="I2119" t="n">
        <v>100</v>
      </c>
      <c r="J2119" t="n">
        <v>100</v>
      </c>
      <c r="CH2119" t="n">
        <v>100</v>
      </c>
      <c r="CI2119" t="n">
        <v>100</v>
      </c>
    </row>
    <row r="2120">
      <c r="A2120" t="n">
        <v>416</v>
      </c>
      <c r="B2120" t="inlineStr">
        <is>
          <t>Cumplimiento Plan Anual Vicerrectoría de crecimiento</t>
        </is>
      </c>
      <c r="C2120" t="inlineStr">
        <is>
          <t>Planeación Estratégica</t>
        </is>
      </c>
      <c r="D2120" t="inlineStr">
        <is>
          <t>Semestral</t>
        </is>
      </c>
      <c r="E2120" t="inlineStr">
        <is>
          <t>Positivo</t>
        </is>
      </c>
      <c r="F2120" s="105" t="n">
        <v>45657</v>
      </c>
      <c r="G2120" t="inlineStr">
        <is>
          <t>416-2024-12-31</t>
        </is>
      </c>
      <c r="H2120" t="inlineStr">
        <is>
          <t>Director de estrategia marca</t>
        </is>
      </c>
      <c r="I2120" t="n">
        <v>100</v>
      </c>
      <c r="J2120" t="n">
        <v>100</v>
      </c>
      <c r="CH2120" t="n">
        <v>100</v>
      </c>
      <c r="CI2120" t="n">
        <v>100</v>
      </c>
    </row>
    <row r="2121">
      <c r="A2121" t="n">
        <v>417</v>
      </c>
      <c r="B2121" t="inlineStr">
        <is>
          <t>Cumplimiento Plan Anual Vicerrectoría Financiera</t>
        </is>
      </c>
      <c r="C2121" t="inlineStr">
        <is>
          <t>Planeación Estratégica</t>
        </is>
      </c>
      <c r="D2121" t="inlineStr">
        <is>
          <t>Semestral</t>
        </is>
      </c>
      <c r="E2121" t="inlineStr">
        <is>
          <t>Positivo</t>
        </is>
      </c>
      <c r="F2121" s="105" t="n">
        <v>45657</v>
      </c>
      <c r="G2121" t="inlineStr">
        <is>
          <t>417-2024-12-31</t>
        </is>
      </c>
      <c r="H2121" t="inlineStr">
        <is>
          <t>Dirección de contabilidad</t>
        </is>
      </c>
      <c r="I2121" t="n">
        <v>100</v>
      </c>
      <c r="J2121" t="n">
        <v>100</v>
      </c>
      <c r="CJ2121" t="n">
        <v>100</v>
      </c>
      <c r="CK2121" t="n">
        <v>100</v>
      </c>
    </row>
    <row r="2122">
      <c r="A2122" t="n">
        <v>417</v>
      </c>
      <c r="B2122" t="inlineStr">
        <is>
          <t>Cumplimiento Plan Anual Vicerrectoría Financiera</t>
        </is>
      </c>
      <c r="C2122" t="inlineStr">
        <is>
          <t>Planeación Estratégica</t>
        </is>
      </c>
      <c r="D2122" t="inlineStr">
        <is>
          <t>Semestral</t>
        </is>
      </c>
      <c r="E2122" t="inlineStr">
        <is>
          <t>Positivo</t>
        </is>
      </c>
      <c r="F2122" s="105" t="n">
        <v>45657</v>
      </c>
      <c r="G2122" t="inlineStr">
        <is>
          <t>417-2024-12-31</t>
        </is>
      </c>
      <c r="H2122" t="inlineStr">
        <is>
          <t>Dirección de infraestructura</t>
        </is>
      </c>
      <c r="I2122" t="n">
        <v>100</v>
      </c>
      <c r="J2122" t="n">
        <v>100</v>
      </c>
      <c r="CJ2122" t="n">
        <v>100</v>
      </c>
      <c r="CK2122" t="n">
        <v>100</v>
      </c>
    </row>
    <row r="2123">
      <c r="A2123" t="n">
        <v>417</v>
      </c>
      <c r="B2123" t="inlineStr">
        <is>
          <t>Cumplimiento Plan Anual Vicerrectoría Financiera</t>
        </is>
      </c>
      <c r="C2123" t="inlineStr">
        <is>
          <t>Planeación Estratégica</t>
        </is>
      </c>
      <c r="D2123" t="inlineStr">
        <is>
          <t>Semestral</t>
        </is>
      </c>
      <c r="E2123" t="inlineStr">
        <is>
          <t>Positivo</t>
        </is>
      </c>
      <c r="F2123" s="105" t="n">
        <v>45657</v>
      </c>
      <c r="G2123" t="inlineStr">
        <is>
          <t>417-2024-12-31</t>
        </is>
      </c>
      <c r="H2123" t="inlineStr">
        <is>
          <t>Dirección planeación financiera y tesorería</t>
        </is>
      </c>
      <c r="I2123" t="n">
        <v>100</v>
      </c>
      <c r="J2123" t="n">
        <v>100</v>
      </c>
      <c r="CJ2123" t="n">
        <v>100</v>
      </c>
      <c r="CK2123" t="n">
        <v>100</v>
      </c>
    </row>
    <row r="2124">
      <c r="A2124" t="n">
        <v>417</v>
      </c>
      <c r="B2124" t="inlineStr">
        <is>
          <t>Cumplimiento Plan Anual Vicerrectoría Financiera</t>
        </is>
      </c>
      <c r="C2124" t="inlineStr">
        <is>
          <t>Planeación Estratégica</t>
        </is>
      </c>
      <c r="D2124" t="inlineStr">
        <is>
          <t>Semestral</t>
        </is>
      </c>
      <c r="E2124" t="inlineStr">
        <is>
          <t>Positivo</t>
        </is>
      </c>
      <c r="F2124" s="105" t="n">
        <v>45657</v>
      </c>
      <c r="G2124" t="inlineStr">
        <is>
          <t>417-2024-12-31</t>
        </is>
      </c>
      <c r="H2124" t="inlineStr">
        <is>
          <t>Dirección de relacionamiento de CSU</t>
        </is>
      </c>
      <c r="I2124" t="n">
        <v>100</v>
      </c>
      <c r="J2124" t="n">
        <v>97</v>
      </c>
      <c r="CJ2124" t="n">
        <v>97</v>
      </c>
      <c r="CK2124" t="n">
        <v>100</v>
      </c>
    </row>
    <row r="2125">
      <c r="A2125" t="n">
        <v>417</v>
      </c>
      <c r="B2125" t="inlineStr">
        <is>
          <t>Cumplimiento Plan Anual Vicerrectoría Financiera</t>
        </is>
      </c>
      <c r="C2125" t="inlineStr">
        <is>
          <t>Planeación Estratégica</t>
        </is>
      </c>
      <c r="D2125" t="inlineStr">
        <is>
          <t>Semestral</t>
        </is>
      </c>
      <c r="E2125" t="inlineStr">
        <is>
          <t>Positivo</t>
        </is>
      </c>
      <c r="F2125" s="105" t="n">
        <v>45657</v>
      </c>
      <c r="G2125" t="inlineStr">
        <is>
          <t>417-2024-12-31</t>
        </is>
      </c>
      <c r="H2125" t="inlineStr">
        <is>
          <t>Dirección de servicios administrativos</t>
        </is>
      </c>
      <c r="I2125" t="n">
        <v>100</v>
      </c>
      <c r="J2125" t="n">
        <v>97</v>
      </c>
      <c r="CJ2125" t="n">
        <v>97</v>
      </c>
      <c r="CK2125" t="n">
        <v>100</v>
      </c>
    </row>
    <row r="2126">
      <c r="A2126" t="n">
        <v>417</v>
      </c>
      <c r="B2126" t="inlineStr">
        <is>
          <t>Cumplimiento Plan Anual Vicerrectoría Financiera</t>
        </is>
      </c>
      <c r="C2126" t="inlineStr">
        <is>
          <t>Planeación Estratégica</t>
        </is>
      </c>
      <c r="D2126" t="inlineStr">
        <is>
          <t>Semestral</t>
        </is>
      </c>
      <c r="E2126" t="inlineStr">
        <is>
          <t>Positivo</t>
        </is>
      </c>
      <c r="F2126" s="105" t="n">
        <v>45657</v>
      </c>
      <c r="G2126" t="inlineStr">
        <is>
          <t>417-2024-12-31</t>
        </is>
      </c>
      <c r="H2126" t="inlineStr">
        <is>
          <t>Dirección de compras y abastecimiento</t>
        </is>
      </c>
      <c r="I2126" t="n">
        <v>100</v>
      </c>
      <c r="J2126" t="n">
        <v>99</v>
      </c>
      <c r="CJ2126" t="n">
        <v>99</v>
      </c>
      <c r="CK2126" t="n">
        <v>100</v>
      </c>
    </row>
    <row r="2127">
      <c r="A2127" t="n">
        <v>418</v>
      </c>
      <c r="B2127" t="inlineStr">
        <is>
          <t>Cumplimiento Plan Anual Vicerrectoría Académica</t>
        </is>
      </c>
      <c r="C2127" t="inlineStr">
        <is>
          <t>Planeación Estratégica</t>
        </is>
      </c>
      <c r="D2127" t="inlineStr">
        <is>
          <t>Semestral</t>
        </is>
      </c>
      <c r="E2127" t="inlineStr">
        <is>
          <t>Positivo</t>
        </is>
      </c>
      <c r="F2127" s="105" t="n">
        <v>45657</v>
      </c>
      <c r="G2127" t="inlineStr">
        <is>
          <t>418-2024-12-31</t>
        </is>
      </c>
      <c r="H2127" t="inlineStr">
        <is>
          <t>Dirección aseguramiento de la calidad</t>
        </is>
      </c>
      <c r="I2127" t="n">
        <v>100</v>
      </c>
      <c r="J2127" t="n">
        <v>100</v>
      </c>
      <c r="CL2127" t="n">
        <v>100</v>
      </c>
      <c r="CM2127" t="n">
        <v>100</v>
      </c>
    </row>
    <row r="2128">
      <c r="A2128" t="n">
        <v>418</v>
      </c>
      <c r="B2128" t="inlineStr">
        <is>
          <t>Cumplimiento Plan Anual Vicerrectoría Académica</t>
        </is>
      </c>
      <c r="C2128" t="inlineStr">
        <is>
          <t>Planeación Estratégica</t>
        </is>
      </c>
      <c r="D2128" t="inlineStr">
        <is>
          <t>Semestral</t>
        </is>
      </c>
      <c r="E2128" t="inlineStr">
        <is>
          <t>Positivo</t>
        </is>
      </c>
      <c r="F2128" s="105" t="n">
        <v>45657</v>
      </c>
      <c r="G2128" t="inlineStr">
        <is>
          <t>418-2024-12-31</t>
        </is>
      </c>
      <c r="H2128" t="inlineStr">
        <is>
          <t>Dirección investigación innovación y creación</t>
        </is>
      </c>
      <c r="I2128" t="n">
        <v>100</v>
      </c>
      <c r="J2128" t="n">
        <v>100</v>
      </c>
      <c r="CL2128" t="n">
        <v>100</v>
      </c>
      <c r="CM2128" t="n">
        <v>100</v>
      </c>
    </row>
    <row r="2129">
      <c r="A2129" t="n">
        <v>418</v>
      </c>
      <c r="B2129" t="inlineStr">
        <is>
          <t>Cumplimiento Plan Anual Vicerrectoría Académica</t>
        </is>
      </c>
      <c r="C2129" t="inlineStr">
        <is>
          <t>Planeación Estratégica</t>
        </is>
      </c>
      <c r="D2129" t="inlineStr">
        <is>
          <t>Semestral</t>
        </is>
      </c>
      <c r="E2129" t="inlineStr">
        <is>
          <t>Positivo</t>
        </is>
      </c>
      <c r="F2129" s="105" t="n">
        <v>45657</v>
      </c>
      <c r="G2129" t="inlineStr">
        <is>
          <t>418-2024-12-31</t>
        </is>
      </c>
      <c r="H2129" t="inlineStr">
        <is>
          <t>Dirección relaciones nacionales e internacionales</t>
        </is>
      </c>
      <c r="I2129" t="n">
        <v>100</v>
      </c>
      <c r="J2129" t="n">
        <v>80</v>
      </c>
      <c r="CL2129" t="n">
        <v>80</v>
      </c>
      <c r="CM2129" t="n">
        <v>100</v>
      </c>
    </row>
    <row r="2130">
      <c r="A2130" t="n">
        <v>418</v>
      </c>
      <c r="B2130" t="inlineStr">
        <is>
          <t>Cumplimiento Plan Anual Vicerrectoría Académica</t>
        </is>
      </c>
      <c r="C2130" t="inlineStr">
        <is>
          <t>Planeación Estratégica</t>
        </is>
      </c>
      <c r="D2130" t="inlineStr">
        <is>
          <t>Semestral</t>
        </is>
      </c>
      <c r="E2130" t="inlineStr">
        <is>
          <t>Positivo</t>
        </is>
      </c>
      <c r="F2130" s="105" t="n">
        <v>45657</v>
      </c>
      <c r="G2130" t="inlineStr">
        <is>
          <t>418-2024-12-31</t>
        </is>
      </c>
      <c r="H2130" t="inlineStr">
        <is>
          <t>Secretaria académica y de extensión</t>
        </is>
      </c>
      <c r="I2130" t="n">
        <v>100</v>
      </c>
      <c r="J2130" t="n">
        <v>100</v>
      </c>
      <c r="CL2130" t="n">
        <v>100</v>
      </c>
      <c r="CM2130" t="n">
        <v>100</v>
      </c>
    </row>
    <row r="2131">
      <c r="A2131" t="n">
        <v>418</v>
      </c>
      <c r="B2131" t="inlineStr">
        <is>
          <t>Cumplimiento Plan Anual Vicerrectoría Académica</t>
        </is>
      </c>
      <c r="C2131" t="inlineStr">
        <is>
          <t>Planeación Estratégica</t>
        </is>
      </c>
      <c r="D2131" t="inlineStr">
        <is>
          <t>Semestral</t>
        </is>
      </c>
      <c r="E2131" t="inlineStr">
        <is>
          <t>Positivo</t>
        </is>
      </c>
      <c r="F2131" s="105" t="n">
        <v>45657</v>
      </c>
      <c r="G2131" t="inlineStr">
        <is>
          <t>418-2024-12-31</t>
        </is>
      </c>
      <c r="H2131" t="inlineStr">
        <is>
          <t>Dirección de docencia</t>
        </is>
      </c>
      <c r="I2131" t="n">
        <v>100</v>
      </c>
      <c r="J2131" t="n">
        <v>100</v>
      </c>
      <c r="CL2131" t="n">
        <v>100</v>
      </c>
      <c r="CM2131" t="n">
        <v>100</v>
      </c>
    </row>
    <row r="2132">
      <c r="A2132" t="n">
        <v>418</v>
      </c>
      <c r="B2132" t="inlineStr">
        <is>
          <t>Cumplimiento Plan Anual Vicerrectoría Académica</t>
        </is>
      </c>
      <c r="C2132" t="inlineStr">
        <is>
          <t>Planeación Estratégica</t>
        </is>
      </c>
      <c r="D2132" t="inlineStr">
        <is>
          <t>Semestral</t>
        </is>
      </c>
      <c r="E2132" t="inlineStr">
        <is>
          <t>Positivo</t>
        </is>
      </c>
      <c r="F2132" s="105" t="n">
        <v>45657</v>
      </c>
      <c r="G2132" t="inlineStr">
        <is>
          <t>418-2024-12-31</t>
        </is>
      </c>
      <c r="H2132" t="inlineStr">
        <is>
          <t>Dirección de currículo presencial y virtual</t>
        </is>
      </c>
      <c r="I2132" t="n">
        <v>100</v>
      </c>
      <c r="J2132" t="n">
        <v>100</v>
      </c>
      <c r="CL2132" t="n">
        <v>100</v>
      </c>
      <c r="CM2132" t="n">
        <v>100</v>
      </c>
    </row>
    <row r="2133">
      <c r="A2133" t="n">
        <v>418</v>
      </c>
      <c r="B2133" t="inlineStr">
        <is>
          <t>Cumplimiento Plan Anual Vicerrectoría Académica</t>
        </is>
      </c>
      <c r="C2133" t="inlineStr">
        <is>
          <t>Planeación Estratégica</t>
        </is>
      </c>
      <c r="D2133" t="inlineStr">
        <is>
          <t>Semestral</t>
        </is>
      </c>
      <c r="E2133" t="inlineStr">
        <is>
          <t>Positivo</t>
        </is>
      </c>
      <c r="F2133" s="105" t="n">
        <v>45657</v>
      </c>
      <c r="G2133" t="inlineStr">
        <is>
          <t>418-2024-12-31</t>
        </is>
      </c>
      <c r="H2133" t="inlineStr">
        <is>
          <t>Facultad ingeniería diseño e innovación</t>
        </is>
      </c>
      <c r="I2133" t="n">
        <v>100</v>
      </c>
      <c r="J2133" t="n">
        <v>100</v>
      </c>
      <c r="CL2133" t="n">
        <v>100</v>
      </c>
      <c r="CM2133" t="n">
        <v>100</v>
      </c>
    </row>
    <row r="2134">
      <c r="A2134" t="n">
        <v>418</v>
      </c>
      <c r="B2134" t="inlineStr">
        <is>
          <t>Cumplimiento Plan Anual Vicerrectoría Académica</t>
        </is>
      </c>
      <c r="C2134" t="inlineStr">
        <is>
          <t>Planeación Estratégica</t>
        </is>
      </c>
      <c r="D2134" t="inlineStr">
        <is>
          <t>Semestral</t>
        </is>
      </c>
      <c r="E2134" t="inlineStr">
        <is>
          <t>Positivo</t>
        </is>
      </c>
      <c r="F2134" s="105" t="n">
        <v>45657</v>
      </c>
      <c r="G2134" t="inlineStr">
        <is>
          <t>418-2024-12-31</t>
        </is>
      </c>
      <c r="H2134" t="inlineStr">
        <is>
          <t>Facultad negocios gestión y sostenibilidad</t>
        </is>
      </c>
      <c r="I2134" t="n">
        <v>100</v>
      </c>
      <c r="J2134" t="n">
        <v>100</v>
      </c>
      <c r="CL2134" t="n">
        <v>100</v>
      </c>
      <c r="CM2134" t="n">
        <v>100</v>
      </c>
    </row>
    <row r="2135">
      <c r="A2135" t="n">
        <v>418</v>
      </c>
      <c r="B2135" t="inlineStr">
        <is>
          <t>Cumplimiento Plan Anual Vicerrectoría Académica</t>
        </is>
      </c>
      <c r="C2135" t="inlineStr">
        <is>
          <t>Planeación Estratégica</t>
        </is>
      </c>
      <c r="D2135" t="inlineStr">
        <is>
          <t>Semestral</t>
        </is>
      </c>
      <c r="E2135" t="inlineStr">
        <is>
          <t>Positivo</t>
        </is>
      </c>
      <c r="F2135" s="105" t="n">
        <v>45657</v>
      </c>
      <c r="G2135" t="inlineStr">
        <is>
          <t>418-2024-12-31</t>
        </is>
      </c>
      <c r="H2135" t="inlineStr">
        <is>
          <t>Facultad sociedad cultura y creatividad</t>
        </is>
      </c>
      <c r="I2135" t="n">
        <v>100</v>
      </c>
      <c r="J2135" t="n">
        <v>100</v>
      </c>
      <c r="CL2135" t="n">
        <v>100</v>
      </c>
      <c r="CM2135" t="n">
        <v>100</v>
      </c>
    </row>
    <row r="2136">
      <c r="A2136" t="n">
        <v>420</v>
      </c>
      <c r="B2136" t="inlineStr">
        <is>
          <t>Cumplimiento Plan Anual Gerencia de estrategia</t>
        </is>
      </c>
      <c r="C2136" t="inlineStr">
        <is>
          <t>Planeación Estratégica</t>
        </is>
      </c>
      <c r="D2136" t="inlineStr">
        <is>
          <t>Semestral</t>
        </is>
      </c>
      <c r="E2136" t="inlineStr">
        <is>
          <t>Positivo</t>
        </is>
      </c>
      <c r="F2136" s="105" t="n">
        <v>45657</v>
      </c>
      <c r="G2136" t="inlineStr">
        <is>
          <t>420-2024-12-31</t>
        </is>
      </c>
      <c r="H2136" t="inlineStr">
        <is>
          <t>SGC</t>
        </is>
      </c>
      <c r="I2136" t="n">
        <v>100</v>
      </c>
      <c r="J2136" t="n">
        <v>100</v>
      </c>
      <c r="CN2136" t="n">
        <v>100</v>
      </c>
      <c r="CO2136" t="n">
        <v>100</v>
      </c>
    </row>
    <row r="2137">
      <c r="A2137" t="n">
        <v>420</v>
      </c>
      <c r="B2137" t="inlineStr">
        <is>
          <t>Cumplimiento Plan Anual Gerencia de estrategia</t>
        </is>
      </c>
      <c r="C2137" t="inlineStr">
        <is>
          <t>Planeación Estratégica</t>
        </is>
      </c>
      <c r="D2137" t="inlineStr">
        <is>
          <t>Semestral</t>
        </is>
      </c>
      <c r="E2137" t="inlineStr">
        <is>
          <t>Positivo</t>
        </is>
      </c>
      <c r="F2137" s="105" t="n">
        <v>45657</v>
      </c>
      <c r="G2137" t="inlineStr">
        <is>
          <t>420-2024-12-31</t>
        </is>
      </c>
      <c r="H2137" t="inlineStr">
        <is>
          <t>SGA</t>
        </is>
      </c>
      <c r="I2137" t="n">
        <v>100</v>
      </c>
      <c r="J2137" t="n">
        <v>100</v>
      </c>
      <c r="CN2137" t="n">
        <v>100</v>
      </c>
      <c r="CO2137" t="n">
        <v>100</v>
      </c>
    </row>
    <row r="2138">
      <c r="A2138" t="n">
        <v>420</v>
      </c>
      <c r="B2138" t="inlineStr">
        <is>
          <t>Cumplimiento Plan Anual Gerencia de estrategia</t>
        </is>
      </c>
      <c r="C2138" t="inlineStr">
        <is>
          <t>Planeación Estratégica</t>
        </is>
      </c>
      <c r="D2138" t="inlineStr">
        <is>
          <t>Semestral</t>
        </is>
      </c>
      <c r="E2138" t="inlineStr">
        <is>
          <t>Positivo</t>
        </is>
      </c>
      <c r="F2138" s="105" t="n">
        <v>45657</v>
      </c>
      <c r="G2138" t="inlineStr">
        <is>
          <t>420-2024-12-31</t>
        </is>
      </c>
      <c r="H2138" t="inlineStr">
        <is>
          <t>Riesgos</t>
        </is>
      </c>
      <c r="I2138" t="n">
        <v>100</v>
      </c>
      <c r="J2138" t="n">
        <v>100</v>
      </c>
      <c r="CN2138" t="n">
        <v>100</v>
      </c>
      <c r="CO2138" t="n">
        <v>100</v>
      </c>
    </row>
    <row r="2139">
      <c r="A2139" t="n">
        <v>420</v>
      </c>
      <c r="B2139" t="inlineStr">
        <is>
          <t>Cumplimiento Plan Anual Gerencia de estrategia</t>
        </is>
      </c>
      <c r="C2139" t="inlineStr">
        <is>
          <t>Planeación Estratégica</t>
        </is>
      </c>
      <c r="D2139" t="inlineStr">
        <is>
          <t>Semestral</t>
        </is>
      </c>
      <c r="E2139" t="inlineStr">
        <is>
          <t>Positivo</t>
        </is>
      </c>
      <c r="F2139" s="105" t="n">
        <v>45657</v>
      </c>
      <c r="G2139" t="inlineStr">
        <is>
          <t>420-2024-12-31</t>
        </is>
      </c>
      <c r="H2139" t="inlineStr">
        <is>
          <t>Auditoría</t>
        </is>
      </c>
      <c r="I2139" t="n">
        <v>100</v>
      </c>
      <c r="J2139" t="n">
        <v>80</v>
      </c>
      <c r="CN2139" t="n">
        <v>80</v>
      </c>
      <c r="CO2139" t="n">
        <v>100</v>
      </c>
    </row>
    <row r="2140">
      <c r="A2140" t="n">
        <v>420</v>
      </c>
      <c r="B2140" t="inlineStr">
        <is>
          <t>Cumplimiento Plan Anual Gerencia de estrategia</t>
        </is>
      </c>
      <c r="C2140" t="inlineStr">
        <is>
          <t>Planeación Estratégica</t>
        </is>
      </c>
      <c r="D2140" t="inlineStr">
        <is>
          <t>Semestral</t>
        </is>
      </c>
      <c r="E2140" t="inlineStr">
        <is>
          <t>Positivo</t>
        </is>
      </c>
      <c r="F2140" s="105" t="n">
        <v>45657</v>
      </c>
      <c r="G2140" t="inlineStr">
        <is>
          <t>420-2024-12-31</t>
        </is>
      </c>
      <c r="H2140" t="inlineStr">
        <is>
          <t>Planeación estratégica</t>
        </is>
      </c>
      <c r="I2140" t="n">
        <v>100</v>
      </c>
      <c r="J2140" t="n">
        <v>100</v>
      </c>
      <c r="CN2140" t="n">
        <v>100</v>
      </c>
      <c r="CO2140" t="n">
        <v>100</v>
      </c>
    </row>
    <row r="2141">
      <c r="A2141" t="n">
        <v>420</v>
      </c>
      <c r="B2141" t="inlineStr">
        <is>
          <t>Cumplimiento Plan Anual Gerencia de estrategia</t>
        </is>
      </c>
      <c r="C2141" t="inlineStr">
        <is>
          <t>Planeación Estratégica</t>
        </is>
      </c>
      <c r="D2141" t="inlineStr">
        <is>
          <t>Semestral</t>
        </is>
      </c>
      <c r="E2141" t="inlineStr">
        <is>
          <t>Positivo</t>
        </is>
      </c>
      <c r="F2141" s="105" t="n">
        <v>45657</v>
      </c>
      <c r="G2141" t="inlineStr">
        <is>
          <t>420-2024-12-31</t>
        </is>
      </c>
      <c r="H2141" t="inlineStr">
        <is>
          <t>Estudios Internos</t>
        </is>
      </c>
      <c r="I2141" t="n">
        <v>100</v>
      </c>
      <c r="J2141" t="n">
        <v>100</v>
      </c>
      <c r="CN2141" t="n">
        <v>100</v>
      </c>
      <c r="CO2141" t="n">
        <v>100</v>
      </c>
    </row>
    <row r="2142">
      <c r="A2142" t="n">
        <v>432</v>
      </c>
      <c r="B2142" t="inlineStr">
        <is>
          <t>Intervención a la gestión del riesgo de los colaboradores</t>
        </is>
      </c>
      <c r="C2142" t="inlineStr">
        <is>
          <t>GESTIÓN DE SEGURIDAD Y SALUD EN EL TRABAJO</t>
        </is>
      </c>
      <c r="D2142" t="inlineStr">
        <is>
          <t>Semestral</t>
        </is>
      </c>
      <c r="E2142" t="inlineStr">
        <is>
          <t>Positivo</t>
        </is>
      </c>
      <c r="F2142" s="105" t="n">
        <v>45657</v>
      </c>
      <c r="G2142" t="inlineStr">
        <is>
          <t>432-2024-12-31</t>
        </is>
      </c>
      <c r="H2142" t="inlineStr">
        <is>
          <t>Plan estratégico de seguridad vial</t>
        </is>
      </c>
      <c r="I2142" t="n">
        <v>90</v>
      </c>
      <c r="J2142" t="n">
        <v>100</v>
      </c>
      <c r="CS2142" t="n">
        <v>13</v>
      </c>
      <c r="CT2142" t="n">
        <v>13</v>
      </c>
    </row>
    <row r="2143">
      <c r="A2143" t="n">
        <v>432</v>
      </c>
      <c r="B2143" t="inlineStr">
        <is>
          <t>Intervención a la gestión del riesgo de los colaboradores</t>
        </is>
      </c>
      <c r="C2143" t="inlineStr">
        <is>
          <t>GESTIÓN DE SEGURIDAD Y SALUD EN EL TRABAJO</t>
        </is>
      </c>
      <c r="D2143" t="inlineStr">
        <is>
          <t>Semestral</t>
        </is>
      </c>
      <c r="E2143" t="inlineStr">
        <is>
          <t>Positivo</t>
        </is>
      </c>
      <c r="F2143" s="105" t="n">
        <v>45657</v>
      </c>
      <c r="G2143" t="inlineStr">
        <is>
          <t>432-2024-12-31</t>
        </is>
      </c>
      <c r="H2143" t="inlineStr">
        <is>
          <t>Plan de gestión de riesgo psicosocial</t>
        </is>
      </c>
      <c r="I2143" t="n">
        <v>90</v>
      </c>
      <c r="J2143" t="n">
        <v>100</v>
      </c>
      <c r="CS2143" t="n">
        <v>10</v>
      </c>
      <c r="CT2143" t="n">
        <v>10</v>
      </c>
    </row>
    <row r="2144">
      <c r="A2144" t="n">
        <v>432</v>
      </c>
      <c r="B2144" t="inlineStr">
        <is>
          <t>Intervención a la gestión del riesgo de los colaboradores</t>
        </is>
      </c>
      <c r="C2144" t="inlineStr">
        <is>
          <t>GESTIÓN DE SEGURIDAD Y SALUD EN EL TRABAJO</t>
        </is>
      </c>
      <c r="D2144" t="inlineStr">
        <is>
          <t>Semestral</t>
        </is>
      </c>
      <c r="E2144" t="inlineStr">
        <is>
          <t>Positivo</t>
        </is>
      </c>
      <c r="F2144" s="105" t="n">
        <v>45657</v>
      </c>
      <c r="G2144" t="inlineStr">
        <is>
          <t>432-2024-12-31</t>
        </is>
      </c>
      <c r="H2144" t="inlineStr">
        <is>
          <t>Plan de gestión osteomuscular</t>
        </is>
      </c>
      <c r="I2144" t="n">
        <v>90</v>
      </c>
      <c r="J2144" t="n">
        <v>100</v>
      </c>
      <c r="CS2144" t="n">
        <v>7</v>
      </c>
      <c r="CT2144" t="n">
        <v>7</v>
      </c>
    </row>
    <row r="2145">
      <c r="A2145" t="n">
        <v>432</v>
      </c>
      <c r="B2145" t="inlineStr">
        <is>
          <t>Intervención a la gestión del riesgo de los colaboradores</t>
        </is>
      </c>
      <c r="C2145" t="inlineStr">
        <is>
          <t>GESTIÓN DE SEGURIDAD Y SALUD EN EL TRABAJO</t>
        </is>
      </c>
      <c r="D2145" t="inlineStr">
        <is>
          <t>Semestral</t>
        </is>
      </c>
      <c r="E2145" t="inlineStr">
        <is>
          <t>Positivo</t>
        </is>
      </c>
      <c r="F2145" s="105" t="n">
        <v>45657</v>
      </c>
      <c r="G2145" t="inlineStr">
        <is>
          <t>432-2024-12-31</t>
        </is>
      </c>
      <c r="H2145" t="inlineStr">
        <is>
          <t>Plan de gestión TAR</t>
        </is>
      </c>
      <c r="I2145" t="n">
        <v>90</v>
      </c>
      <c r="J2145" t="n">
        <v>100</v>
      </c>
      <c r="CS2145" t="n">
        <v>4</v>
      </c>
      <c r="CT2145" t="n">
        <v>4</v>
      </c>
    </row>
    <row r="2146">
      <c r="A2146" t="n">
        <v>432</v>
      </c>
      <c r="B2146" t="inlineStr">
        <is>
          <t>Intervención a la gestión del riesgo de los colaboradores</t>
        </is>
      </c>
      <c r="C2146" t="inlineStr">
        <is>
          <t>GESTIÓN DE SEGURIDAD Y SALUD EN EL TRABAJO</t>
        </is>
      </c>
      <c r="D2146" t="inlineStr">
        <is>
          <t>Semestral</t>
        </is>
      </c>
      <c r="E2146" t="inlineStr">
        <is>
          <t>Positivo</t>
        </is>
      </c>
      <c r="F2146" s="105" t="n">
        <v>45657</v>
      </c>
      <c r="G2146" t="inlineStr">
        <is>
          <t>432-2024-12-31</t>
        </is>
      </c>
      <c r="H2146" t="inlineStr">
        <is>
          <t>Plan de gestión de riesgo químico</t>
        </is>
      </c>
      <c r="I2146" t="n">
        <v>90</v>
      </c>
      <c r="J2146" t="n">
        <v>100</v>
      </c>
      <c r="CS2146" t="n">
        <v>8</v>
      </c>
      <c r="CT2146" t="n">
        <v>8</v>
      </c>
    </row>
    <row r="2147">
      <c r="A2147" t="n">
        <v>432</v>
      </c>
      <c r="B2147" t="inlineStr">
        <is>
          <t>Intervención a la gestión del riesgo de los colaboradores</t>
        </is>
      </c>
      <c r="C2147" t="inlineStr">
        <is>
          <t>GESTIÓN DE SEGURIDAD Y SALUD EN EL TRABAJO</t>
        </is>
      </c>
      <c r="D2147" t="inlineStr">
        <is>
          <t>Semestral</t>
        </is>
      </c>
      <c r="E2147" t="inlineStr">
        <is>
          <t>Positivo</t>
        </is>
      </c>
      <c r="F2147" s="105" t="n">
        <v>45657</v>
      </c>
      <c r="G2147" t="inlineStr">
        <is>
          <t>432-2024-12-31</t>
        </is>
      </c>
      <c r="H2147" t="inlineStr">
        <is>
          <t>Plan de de gestión conservación de la voz</t>
        </is>
      </c>
      <c r="I2147" t="n">
        <v>90</v>
      </c>
      <c r="J2147" t="n">
        <v>100</v>
      </c>
      <c r="CS2147" t="n">
        <v>3</v>
      </c>
      <c r="CT2147" t="n">
        <v>3</v>
      </c>
    </row>
    <row r="2148">
      <c r="A2148" t="n">
        <v>432</v>
      </c>
      <c r="B2148" t="inlineStr">
        <is>
          <t>Intervención a la gestión del riesgo de los colaboradores</t>
        </is>
      </c>
      <c r="C2148" t="inlineStr">
        <is>
          <t>GESTIÓN DE SEGURIDAD Y SALUD EN EL TRABAJO</t>
        </is>
      </c>
      <c r="D2148" t="inlineStr">
        <is>
          <t>Semestral</t>
        </is>
      </c>
      <c r="E2148" t="inlineStr">
        <is>
          <t>Positivo</t>
        </is>
      </c>
      <c r="F2148" s="105" t="n">
        <v>45657</v>
      </c>
      <c r="G2148" t="inlineStr">
        <is>
          <t>432-2024-12-31</t>
        </is>
      </c>
      <c r="H2148" t="inlineStr">
        <is>
          <t>Plan de gestión riesgo biológico</t>
        </is>
      </c>
      <c r="I2148" t="n">
        <v>90</v>
      </c>
      <c r="J2148" t="n">
        <v>100</v>
      </c>
      <c r="CS2148" t="n">
        <v>1</v>
      </c>
      <c r="CT2148" t="n">
        <v>1</v>
      </c>
    </row>
    <row r="2149">
      <c r="A2149" t="n">
        <v>432</v>
      </c>
      <c r="B2149" t="inlineStr">
        <is>
          <t>Intervención a la gestión del riesgo de los colaboradores</t>
        </is>
      </c>
      <c r="C2149" t="inlineStr">
        <is>
          <t>GESTIÓN DE SEGURIDAD Y SALUD EN EL TRABAJO</t>
        </is>
      </c>
      <c r="D2149" t="inlineStr">
        <is>
          <t>Semestral</t>
        </is>
      </c>
      <c r="E2149" t="inlineStr">
        <is>
          <t>Positivo</t>
        </is>
      </c>
      <c r="F2149" s="105" t="n">
        <v>45657</v>
      </c>
      <c r="G2149" t="inlineStr">
        <is>
          <t>432-2024-12-31</t>
        </is>
      </c>
      <c r="H2149" t="inlineStr">
        <is>
          <t>Plan de gestión Teletrabajadores</t>
        </is>
      </c>
      <c r="I2149" t="n">
        <v>90</v>
      </c>
      <c r="J2149" t="n">
        <v>100</v>
      </c>
      <c r="CS2149" t="n">
        <v>3</v>
      </c>
      <c r="CT2149" t="n">
        <v>3</v>
      </c>
    </row>
    <row r="2150">
      <c r="A2150" t="n">
        <v>432</v>
      </c>
      <c r="B2150" t="inlineStr">
        <is>
          <t>Intervención a la gestión del riesgo de los colaboradores</t>
        </is>
      </c>
      <c r="C2150" t="inlineStr">
        <is>
          <t>GESTIÓN DE SEGURIDAD Y SALUD EN EL TRABAJO</t>
        </is>
      </c>
      <c r="D2150" t="inlineStr">
        <is>
          <t>Semestral</t>
        </is>
      </c>
      <c r="E2150" t="inlineStr">
        <is>
          <t>Positivo</t>
        </is>
      </c>
      <c r="F2150" s="105" t="n">
        <v>45657</v>
      </c>
      <c r="G2150" t="inlineStr">
        <is>
          <t>432-2024-12-31</t>
        </is>
      </c>
      <c r="H2150" t="inlineStr">
        <is>
          <t>Plan de gestión inspecciones de seguridad</t>
        </is>
      </c>
      <c r="I2150" t="n">
        <v>90</v>
      </c>
      <c r="J2150" t="n">
        <v>100</v>
      </c>
      <c r="CS2150" t="n">
        <v>18</v>
      </c>
      <c r="CT2150" t="n">
        <v>18</v>
      </c>
    </row>
    <row r="2151">
      <c r="A2151" t="n">
        <v>456</v>
      </c>
      <c r="B2151" t="inlineStr">
        <is>
          <t>Impacto de campañas de Mailing</t>
        </is>
      </c>
      <c r="C2151" t="inlineStr">
        <is>
          <t>Comunicaciones Internas</t>
        </is>
      </c>
      <c r="D2151" t="inlineStr">
        <is>
          <t>Semestral</t>
        </is>
      </c>
      <c r="E2151" t="inlineStr">
        <is>
          <t>Positivo</t>
        </is>
      </c>
      <c r="F2151" s="105" t="n">
        <v>45657</v>
      </c>
      <c r="G2151" t="inlineStr">
        <is>
          <t>456-2024-12-31</t>
        </is>
      </c>
      <c r="H2151" t="inlineStr">
        <is>
          <t>Graduados</t>
        </is>
      </c>
      <c r="I2151" t="n">
        <v>100</v>
      </c>
      <c r="J2151" t="n">
        <v>92.86000061035156</v>
      </c>
      <c r="DY2151" t="n">
        <v>28</v>
      </c>
      <c r="DZ2151" t="n">
        <v>26</v>
      </c>
    </row>
    <row r="2152">
      <c r="A2152" t="n">
        <v>456</v>
      </c>
      <c r="B2152" t="inlineStr">
        <is>
          <t>Impacto de campañas de Mailing</t>
        </is>
      </c>
      <c r="C2152" t="inlineStr">
        <is>
          <t>Comunicaciones Internas</t>
        </is>
      </c>
      <c r="D2152" t="inlineStr">
        <is>
          <t>Semestral</t>
        </is>
      </c>
      <c r="E2152" t="inlineStr">
        <is>
          <t>Positivo</t>
        </is>
      </c>
      <c r="F2152" s="105" t="n">
        <v>45657</v>
      </c>
      <c r="G2152" t="inlineStr">
        <is>
          <t>456-2024-12-31</t>
        </is>
      </c>
      <c r="H2152" t="inlineStr">
        <is>
          <t>Estudiantes</t>
        </is>
      </c>
      <c r="I2152" t="n">
        <v>100</v>
      </c>
      <c r="J2152" t="n">
        <v>94.73999786376953</v>
      </c>
      <c r="DY2152" t="n">
        <v>19</v>
      </c>
      <c r="DZ2152" t="n">
        <v>18</v>
      </c>
    </row>
    <row r="2153">
      <c r="A2153" t="n">
        <v>456</v>
      </c>
      <c r="B2153" t="inlineStr">
        <is>
          <t>Impacto de campañas de Mailing</t>
        </is>
      </c>
      <c r="C2153" t="inlineStr">
        <is>
          <t>Comunicaciones Internas</t>
        </is>
      </c>
      <c r="D2153" t="inlineStr">
        <is>
          <t>Semestral</t>
        </is>
      </c>
      <c r="E2153" t="inlineStr">
        <is>
          <t>Positivo</t>
        </is>
      </c>
      <c r="F2153" s="105" t="n">
        <v>45657</v>
      </c>
      <c r="G2153" t="inlineStr">
        <is>
          <t>456-2024-12-31</t>
        </is>
      </c>
      <c r="H2153" t="inlineStr">
        <is>
          <t>Colaboradores</t>
        </is>
      </c>
      <c r="I2153" t="n">
        <v>100</v>
      </c>
      <c r="J2153" t="n">
        <v>95.44999694824219</v>
      </c>
      <c r="DY2153" t="n">
        <v>66</v>
      </c>
      <c r="DZ2153" t="n">
        <v>63</v>
      </c>
    </row>
    <row r="2154">
      <c r="A2154" t="n">
        <v>457</v>
      </c>
      <c r="B2154" t="inlineStr">
        <is>
          <t>Apertura de enlaces en mensajes de texto</t>
        </is>
      </c>
      <c r="C2154" t="inlineStr">
        <is>
          <t>Comunicaciones Internas</t>
        </is>
      </c>
      <c r="D2154" t="inlineStr">
        <is>
          <t>Semestral</t>
        </is>
      </c>
      <c r="E2154" t="inlineStr">
        <is>
          <t>Positivo</t>
        </is>
      </c>
      <c r="F2154" s="105" t="n">
        <v>45657</v>
      </c>
      <c r="G2154" t="inlineStr">
        <is>
          <t>457-2024-12-31</t>
        </is>
      </c>
      <c r="H2154" t="inlineStr">
        <is>
          <t>Graduados</t>
        </is>
      </c>
      <c r="I2154" t="n">
        <v>100</v>
      </c>
      <c r="J2154" t="n">
        <v>25</v>
      </c>
      <c r="EA2154" t="n">
        <v>4</v>
      </c>
      <c r="EB2154" t="n">
        <v>1</v>
      </c>
    </row>
    <row r="2155">
      <c r="A2155" t="n">
        <v>457</v>
      </c>
      <c r="B2155" t="inlineStr">
        <is>
          <t>Apertura de enlaces en mensajes de texto</t>
        </is>
      </c>
      <c r="C2155" t="inlineStr">
        <is>
          <t>Comunicaciones Internas</t>
        </is>
      </c>
      <c r="D2155" t="inlineStr">
        <is>
          <t>Semestral</t>
        </is>
      </c>
      <c r="E2155" t="inlineStr">
        <is>
          <t>Positivo</t>
        </is>
      </c>
      <c r="F2155" s="105" t="n">
        <v>45657</v>
      </c>
      <c r="G2155" t="inlineStr">
        <is>
          <t>457-2024-12-31</t>
        </is>
      </c>
      <c r="H2155" t="inlineStr">
        <is>
          <t>Estudiantes</t>
        </is>
      </c>
      <c r="I2155" t="n">
        <v>100</v>
      </c>
      <c r="J2155" t="n">
        <v>75</v>
      </c>
      <c r="EA2155" t="n">
        <v>4</v>
      </c>
      <c r="EB2155" t="n">
        <v>3</v>
      </c>
    </row>
    <row r="2156">
      <c r="A2156" t="n">
        <v>457</v>
      </c>
      <c r="B2156" t="inlineStr">
        <is>
          <t>Apertura de enlaces en mensajes de texto</t>
        </is>
      </c>
      <c r="C2156" t="inlineStr">
        <is>
          <t>Comunicaciones Internas</t>
        </is>
      </c>
      <c r="D2156" t="inlineStr">
        <is>
          <t>Semestral</t>
        </is>
      </c>
      <c r="E2156" t="inlineStr">
        <is>
          <t>Positivo</t>
        </is>
      </c>
      <c r="F2156" s="105" t="n">
        <v>45657</v>
      </c>
      <c r="G2156" t="inlineStr">
        <is>
          <t>457-2024-12-31</t>
        </is>
      </c>
      <c r="H2156" t="inlineStr">
        <is>
          <t>Colaboradores</t>
        </is>
      </c>
      <c r="I2156" t="n">
        <v>100</v>
      </c>
      <c r="J2156" t="n">
        <v>150</v>
      </c>
      <c r="EA2156" t="n">
        <v>2</v>
      </c>
      <c r="EB2156" t="n">
        <v>3</v>
      </c>
    </row>
    <row r="2157">
      <c r="A2157" t="n">
        <v>469</v>
      </c>
      <c r="B2157" t="inlineStr">
        <is>
          <t>Cumplimiento Plan Anual Áreas sede Medellín</t>
        </is>
      </c>
      <c r="C2157" t="inlineStr">
        <is>
          <t>Planeación Estratégica</t>
        </is>
      </c>
      <c r="D2157" t="inlineStr">
        <is>
          <t>Semestral</t>
        </is>
      </c>
      <c r="E2157" t="inlineStr">
        <is>
          <t>Positivo</t>
        </is>
      </c>
      <c r="F2157" s="105" t="n">
        <v>45657</v>
      </c>
      <c r="G2157" t="inlineStr">
        <is>
          <t>469-2024-12-31</t>
        </is>
      </c>
      <c r="H2157" t="inlineStr">
        <is>
          <t>DIRECCIÓN DE MATRÍCULAS</t>
        </is>
      </c>
      <c r="I2157" t="n">
        <v>100</v>
      </c>
      <c r="J2157" t="n">
        <v>100</v>
      </c>
      <c r="DF2157" t="n">
        <v>100</v>
      </c>
      <c r="DG2157" t="n">
        <v>100</v>
      </c>
    </row>
    <row r="2158">
      <c r="A2158" t="n">
        <v>469</v>
      </c>
      <c r="B2158" t="inlineStr">
        <is>
          <t>Cumplimiento Plan Anual Áreas sede Medellín</t>
        </is>
      </c>
      <c r="C2158" t="inlineStr">
        <is>
          <t>Planeación Estratégica</t>
        </is>
      </c>
      <c r="D2158" t="inlineStr">
        <is>
          <t>Semestral</t>
        </is>
      </c>
      <c r="E2158" t="inlineStr">
        <is>
          <t>Positivo</t>
        </is>
      </c>
      <c r="F2158" s="105" t="n">
        <v>45657</v>
      </c>
      <c r="G2158" t="inlineStr">
        <is>
          <t>469-2024-12-31</t>
        </is>
      </c>
      <c r="H2158" t="inlineStr">
        <is>
          <t>FSCC- DERECHO Y GOBIERNO-DERECHO</t>
        </is>
      </c>
      <c r="I2158" t="n">
        <v>100</v>
      </c>
      <c r="J2158" t="n">
        <v>100</v>
      </c>
      <c r="DF2158" t="n">
        <v>100</v>
      </c>
      <c r="DG2158" t="n">
        <v>100</v>
      </c>
    </row>
    <row r="2159">
      <c r="A2159" t="n">
        <v>469</v>
      </c>
      <c r="B2159" t="inlineStr">
        <is>
          <t>Cumplimiento Plan Anual Áreas sede Medellín</t>
        </is>
      </c>
      <c r="C2159" t="inlineStr">
        <is>
          <t>Planeación Estratégica</t>
        </is>
      </c>
      <c r="D2159" t="inlineStr">
        <is>
          <t>Semestral</t>
        </is>
      </c>
      <c r="E2159" t="inlineStr">
        <is>
          <t>Positivo</t>
        </is>
      </c>
      <c r="F2159" s="105" t="n">
        <v>45657</v>
      </c>
      <c r="G2159" t="inlineStr">
        <is>
          <t>469-2024-12-31</t>
        </is>
      </c>
      <c r="H2159" t="inlineStr">
        <is>
          <t>FIDI-DISEÑO-DISEÑO GRAFICO</t>
        </is>
      </c>
      <c r="I2159" t="n">
        <v>100</v>
      </c>
      <c r="J2159" t="n">
        <v>100</v>
      </c>
      <c r="DF2159" t="n">
        <v>100</v>
      </c>
      <c r="DG2159" t="n">
        <v>100</v>
      </c>
    </row>
    <row r="2160">
      <c r="A2160" t="n">
        <v>469</v>
      </c>
      <c r="B2160" t="inlineStr">
        <is>
          <t>Cumplimiento Plan Anual Áreas sede Medellín</t>
        </is>
      </c>
      <c r="C2160" t="inlineStr">
        <is>
          <t>Planeación Estratégica</t>
        </is>
      </c>
      <c r="D2160" t="inlineStr">
        <is>
          <t>Semestral</t>
        </is>
      </c>
      <c r="E2160" t="inlineStr">
        <is>
          <t>Positivo</t>
        </is>
      </c>
      <c r="F2160" s="105" t="n">
        <v>45657</v>
      </c>
      <c r="G2160" t="inlineStr">
        <is>
          <t>469-2024-12-31</t>
        </is>
      </c>
      <c r="H2160" t="inlineStr">
        <is>
          <t>FIDI-TIC -INGENIERIA DE SISTEMAS</t>
        </is>
      </c>
      <c r="I2160" t="n">
        <v>100</v>
      </c>
      <c r="J2160" t="n">
        <v>100</v>
      </c>
      <c r="DF2160" t="n">
        <v>100</v>
      </c>
      <c r="DG2160" t="n">
        <v>100</v>
      </c>
    </row>
    <row r="2161">
      <c r="A2161" t="n">
        <v>469</v>
      </c>
      <c r="B2161" t="inlineStr">
        <is>
          <t>Cumplimiento Plan Anual Áreas sede Medellín</t>
        </is>
      </c>
      <c r="C2161" t="inlineStr">
        <is>
          <t>Planeación Estratégica</t>
        </is>
      </c>
      <c r="D2161" t="inlineStr">
        <is>
          <t>Semestral</t>
        </is>
      </c>
      <c r="E2161" t="inlineStr">
        <is>
          <t>Positivo</t>
        </is>
      </c>
      <c r="F2161" s="105" t="n">
        <v>45657</v>
      </c>
      <c r="G2161" t="inlineStr">
        <is>
          <t>469-2024-12-31</t>
        </is>
      </c>
      <c r="H2161" t="inlineStr">
        <is>
          <t>FIDI-OPINA-INGENIERIA INDUSTRIAL</t>
        </is>
      </c>
      <c r="I2161" t="n">
        <v>100</v>
      </c>
      <c r="J2161" t="n">
        <v>100</v>
      </c>
      <c r="DF2161" t="n">
        <v>100</v>
      </c>
      <c r="DG2161" t="n">
        <v>100</v>
      </c>
    </row>
    <row r="2162">
      <c r="A2162" t="n">
        <v>469</v>
      </c>
      <c r="B2162" t="inlineStr">
        <is>
          <t>Cumplimiento Plan Anual Áreas sede Medellín</t>
        </is>
      </c>
      <c r="C2162" t="inlineStr">
        <is>
          <t>Planeación Estratégica</t>
        </is>
      </c>
      <c r="D2162" t="inlineStr">
        <is>
          <t>Semestral</t>
        </is>
      </c>
      <c r="E2162" t="inlineStr">
        <is>
          <t>Positivo</t>
        </is>
      </c>
      <c r="F2162" s="105" t="n">
        <v>45657</v>
      </c>
      <c r="G2162" t="inlineStr">
        <is>
          <t>469-2024-12-31</t>
        </is>
      </c>
      <c r="H2162" t="inlineStr">
        <is>
          <t>FNGS-NEG Y DLLO INTER-NEGOCIOS INTERNACIONALES</t>
        </is>
      </c>
      <c r="I2162" t="n">
        <v>100</v>
      </c>
      <c r="J2162" t="n">
        <v>100</v>
      </c>
      <c r="DF2162" t="n">
        <v>100</v>
      </c>
      <c r="DG2162" t="n">
        <v>100</v>
      </c>
    </row>
    <row r="2163">
      <c r="A2163" t="n">
        <v>469</v>
      </c>
      <c r="B2163" t="inlineStr">
        <is>
          <t>Cumplimiento Plan Anual Áreas sede Medellín</t>
        </is>
      </c>
      <c r="C2163" t="inlineStr">
        <is>
          <t>Planeación Estratégica</t>
        </is>
      </c>
      <c r="D2163" t="inlineStr">
        <is>
          <t>Semestral</t>
        </is>
      </c>
      <c r="E2163" t="inlineStr">
        <is>
          <t>Positivo</t>
        </is>
      </c>
      <c r="F2163" s="105" t="n">
        <v>45657</v>
      </c>
      <c r="G2163" t="inlineStr">
        <is>
          <t>469-2024-12-31</t>
        </is>
      </c>
      <c r="H2163" t="inlineStr">
        <is>
          <t>FSCC- EST.PSIC,TH Y SOC- PSICOLOGIA</t>
        </is>
      </c>
      <c r="I2163" t="n">
        <v>100</v>
      </c>
      <c r="J2163" t="n">
        <v>100</v>
      </c>
      <c r="DF2163" t="n">
        <v>100</v>
      </c>
      <c r="DG2163" t="n">
        <v>100</v>
      </c>
    </row>
    <row r="2164">
      <c r="A2164" t="n">
        <v>469</v>
      </c>
      <c r="B2164" t="inlineStr">
        <is>
          <t>Cumplimiento Plan Anual Áreas sede Medellín</t>
        </is>
      </c>
      <c r="C2164" t="inlineStr">
        <is>
          <t>Planeación Estratégica</t>
        </is>
      </c>
      <c r="D2164" t="inlineStr">
        <is>
          <t>Semestral</t>
        </is>
      </c>
      <c r="E2164" t="inlineStr">
        <is>
          <t>Positivo</t>
        </is>
      </c>
      <c r="F2164" s="105" t="n">
        <v>45657</v>
      </c>
      <c r="G2164" t="inlineStr">
        <is>
          <t>469-2024-12-31</t>
        </is>
      </c>
      <c r="H2164" t="inlineStr">
        <is>
          <t>FIDI-CIENCIAS BÁSICAS MED</t>
        </is>
      </c>
      <c r="I2164" t="n">
        <v>100</v>
      </c>
      <c r="J2164" t="n">
        <v>97</v>
      </c>
      <c r="DF2164" t="n">
        <v>97</v>
      </c>
      <c r="DG2164" t="n">
        <v>100</v>
      </c>
    </row>
    <row r="2165">
      <c r="A2165" t="n">
        <v>469</v>
      </c>
      <c r="B2165" t="inlineStr">
        <is>
          <t>Cumplimiento Plan Anual Áreas sede Medellín</t>
        </is>
      </c>
      <c r="C2165" t="inlineStr">
        <is>
          <t>Planeación Estratégica</t>
        </is>
      </c>
      <c r="D2165" t="inlineStr">
        <is>
          <t>Semestral</t>
        </is>
      </c>
      <c r="E2165" t="inlineStr">
        <is>
          <t>Positivo</t>
        </is>
      </c>
      <c r="F2165" s="105" t="n">
        <v>45657</v>
      </c>
      <c r="G2165" t="inlineStr">
        <is>
          <t>469-2024-12-31</t>
        </is>
      </c>
      <c r="H2165" t="inlineStr">
        <is>
          <t>FSCC - MARKETING MED</t>
        </is>
      </c>
      <c r="I2165" t="n">
        <v>100</v>
      </c>
      <c r="J2165" t="n">
        <v>100</v>
      </c>
      <c r="DF2165" t="n">
        <v>100</v>
      </c>
      <c r="DG2165" t="n">
        <v>100</v>
      </c>
    </row>
    <row r="2166">
      <c r="A2166" t="n">
        <v>469</v>
      </c>
      <c r="B2166" t="inlineStr">
        <is>
          <t>Cumplimiento Plan Anual Áreas sede Medellín</t>
        </is>
      </c>
      <c r="C2166" t="inlineStr">
        <is>
          <t>Planeación Estratégica</t>
        </is>
      </c>
      <c r="D2166" t="inlineStr">
        <is>
          <t>Semestral</t>
        </is>
      </c>
      <c r="E2166" t="inlineStr">
        <is>
          <t>Positivo</t>
        </is>
      </c>
      <c r="F2166" s="105" t="n">
        <v>45657</v>
      </c>
      <c r="G2166" t="inlineStr">
        <is>
          <t>469-2024-12-31</t>
        </is>
      </c>
      <c r="H2166" t="inlineStr">
        <is>
          <t>ADMON DE EMPRESAS</t>
        </is>
      </c>
      <c r="I2166" t="n">
        <v>100</v>
      </c>
      <c r="J2166" t="n">
        <v>100</v>
      </c>
      <c r="DF2166" t="n">
        <v>100</v>
      </c>
      <c r="DG2166" t="n">
        <v>100</v>
      </c>
    </row>
    <row r="2167">
      <c r="A2167" t="n">
        <v>470</v>
      </c>
      <c r="B2167" t="inlineStr">
        <is>
          <t>Cumplimiento plan anual Secretaria académica y de extensión</t>
        </is>
      </c>
      <c r="C2167" t="inlineStr">
        <is>
          <t>Planeación Estratégica</t>
        </is>
      </c>
      <c r="D2167" t="inlineStr">
        <is>
          <t>Semestral</t>
        </is>
      </c>
      <c r="E2167" t="inlineStr">
        <is>
          <t>Positivo</t>
        </is>
      </c>
      <c r="F2167" s="105" t="n">
        <v>45657</v>
      </c>
      <c r="G2167" t="inlineStr">
        <is>
          <t>470-2024-12-31</t>
        </is>
      </c>
      <c r="H2167" t="inlineStr">
        <is>
          <t>DIRECTOR SISTEMA NACIONAL DE BIBLIOTECAS</t>
        </is>
      </c>
      <c r="I2167" t="n">
        <v>100</v>
      </c>
      <c r="J2167" t="n">
        <v>100</v>
      </c>
      <c r="DH2167" t="n">
        <v>100</v>
      </c>
      <c r="DI2167" t="n">
        <v>100</v>
      </c>
    </row>
    <row r="2168">
      <c r="A2168" t="n">
        <v>470</v>
      </c>
      <c r="B2168" t="inlineStr">
        <is>
          <t>Cumplimiento plan anual Secretaria académica y de extensión</t>
        </is>
      </c>
      <c r="C2168" t="inlineStr">
        <is>
          <t>Planeación Estratégica</t>
        </is>
      </c>
      <c r="D2168" t="inlineStr">
        <is>
          <t>Semestral</t>
        </is>
      </c>
      <c r="E2168" t="inlineStr">
        <is>
          <t>Positivo</t>
        </is>
      </c>
      <c r="F2168" s="105" t="n">
        <v>45657</v>
      </c>
      <c r="G2168" t="inlineStr">
        <is>
          <t>470-2024-12-31</t>
        </is>
      </c>
      <c r="H2168" t="inlineStr">
        <is>
          <t>DIRECTOR EDITORIAL</t>
        </is>
      </c>
      <c r="I2168" t="n">
        <v>100</v>
      </c>
      <c r="J2168" t="n">
        <v>100</v>
      </c>
      <c r="DH2168" t="n">
        <v>100</v>
      </c>
      <c r="DI2168" t="n">
        <v>100</v>
      </c>
    </row>
    <row r="2169">
      <c r="A2169" t="n">
        <v>470</v>
      </c>
      <c r="B2169" t="inlineStr">
        <is>
          <t>Cumplimiento plan anual Secretaria académica y de extensión</t>
        </is>
      </c>
      <c r="C2169" t="inlineStr">
        <is>
          <t>Planeación Estratégica</t>
        </is>
      </c>
      <c r="D2169" t="inlineStr">
        <is>
          <t>Semestral</t>
        </is>
      </c>
      <c r="E2169" t="inlineStr">
        <is>
          <t>Positivo</t>
        </is>
      </c>
      <c r="F2169" s="105" t="n">
        <v>45657</v>
      </c>
      <c r="G2169" t="inlineStr">
        <is>
          <t>470-2024-12-31</t>
        </is>
      </c>
      <c r="H2169" t="inlineStr">
        <is>
          <t>DIRECTOR CENTRO MEDIOS AUDIOVISUALES</t>
        </is>
      </c>
      <c r="I2169" t="n">
        <v>100</v>
      </c>
      <c r="J2169" t="n">
        <v>100</v>
      </c>
      <c r="DH2169" t="n">
        <v>100</v>
      </c>
      <c r="DI2169" t="n">
        <v>100</v>
      </c>
    </row>
    <row r="2170">
      <c r="A2170" t="n">
        <v>470</v>
      </c>
      <c r="B2170" t="inlineStr">
        <is>
          <t>Cumplimiento plan anual Secretaria académica y de extensión</t>
        </is>
      </c>
      <c r="C2170" t="inlineStr">
        <is>
          <t>Planeación Estratégica</t>
        </is>
      </c>
      <c r="D2170" t="inlineStr">
        <is>
          <t>Semestral</t>
        </is>
      </c>
      <c r="E2170" t="inlineStr">
        <is>
          <t>Positivo</t>
        </is>
      </c>
      <c r="F2170" s="105" t="n">
        <v>45657</v>
      </c>
      <c r="G2170" t="inlineStr">
        <is>
          <t>470-2024-12-31</t>
        </is>
      </c>
      <c r="H2170" t="inlineStr">
        <is>
          <t>DIRECTOR AGENCIA TROMPO</t>
        </is>
      </c>
      <c r="I2170" t="n">
        <v>100</v>
      </c>
      <c r="J2170" t="n">
        <v>100</v>
      </c>
      <c r="DH2170" t="n">
        <v>100</v>
      </c>
      <c r="DI2170" t="n">
        <v>100</v>
      </c>
    </row>
    <row r="2171">
      <c r="A2171" t="n">
        <v>470</v>
      </c>
      <c r="B2171" t="inlineStr">
        <is>
          <t>Cumplimiento plan anual Secretaria académica y de extensión</t>
        </is>
      </c>
      <c r="C2171" t="inlineStr">
        <is>
          <t>Planeación Estratégica</t>
        </is>
      </c>
      <c r="D2171" t="inlineStr">
        <is>
          <t>Semestral</t>
        </is>
      </c>
      <c r="E2171" t="inlineStr">
        <is>
          <t>Positivo</t>
        </is>
      </c>
      <c r="F2171" s="105" t="n">
        <v>45657</v>
      </c>
      <c r="G2171" t="inlineStr">
        <is>
          <t>470-2024-12-31</t>
        </is>
      </c>
      <c r="H2171" t="inlineStr">
        <is>
          <t>DIRECTOR DE GRADUADOS Y PROYECCION EMP.</t>
        </is>
      </c>
      <c r="I2171" t="n">
        <v>100</v>
      </c>
      <c r="J2171" t="n">
        <v>100</v>
      </c>
      <c r="DH2171" t="n">
        <v>100</v>
      </c>
      <c r="DI2171" t="n">
        <v>100</v>
      </c>
    </row>
    <row r="2172">
      <c r="A2172" t="n">
        <v>471</v>
      </c>
      <c r="B2172" t="inlineStr">
        <is>
          <t>Cumplimiento plan anual Gerencia de Talento Humano</t>
        </is>
      </c>
      <c r="C2172" t="inlineStr">
        <is>
          <t>Planeación Estratégica</t>
        </is>
      </c>
      <c r="D2172" t="inlineStr">
        <is>
          <t>Semestral</t>
        </is>
      </c>
      <c r="E2172" t="inlineStr">
        <is>
          <t>Positivo</t>
        </is>
      </c>
      <c r="F2172" s="105" t="n">
        <v>45657</v>
      </c>
      <c r="G2172" t="inlineStr">
        <is>
          <t>471-2024-12-31</t>
        </is>
      </c>
      <c r="H2172" t="inlineStr">
        <is>
          <t>DIRECTOR DE FORMACION Y DESARROLLO</t>
        </is>
      </c>
      <c r="I2172" t="n">
        <v>100</v>
      </c>
      <c r="J2172" t="n">
        <v>100</v>
      </c>
      <c r="DJ2172" t="n">
        <v>100</v>
      </c>
      <c r="DK2172" t="n">
        <v>100</v>
      </c>
    </row>
    <row r="2173">
      <c r="A2173" t="n">
        <v>471</v>
      </c>
      <c r="B2173" t="inlineStr">
        <is>
          <t>Cumplimiento plan anual Gerencia de Talento Humano</t>
        </is>
      </c>
      <c r="C2173" t="inlineStr">
        <is>
          <t>Planeación Estratégica</t>
        </is>
      </c>
      <c r="D2173" t="inlineStr">
        <is>
          <t>Semestral</t>
        </is>
      </c>
      <c r="E2173" t="inlineStr">
        <is>
          <t>Positivo</t>
        </is>
      </c>
      <c r="F2173" s="105" t="n">
        <v>45657</v>
      </c>
      <c r="G2173" t="inlineStr">
        <is>
          <t>471-2024-12-31</t>
        </is>
      </c>
      <c r="H2173" t="inlineStr">
        <is>
          <t>DIRECTOR DE COMUN. EXTERNAS SED MEDELLIN</t>
        </is>
      </c>
      <c r="I2173" t="n">
        <v>100</v>
      </c>
      <c r="J2173" t="n">
        <v>100</v>
      </c>
      <c r="DJ2173" t="n">
        <v>100</v>
      </c>
      <c r="DK2173" t="n">
        <v>100</v>
      </c>
    </row>
    <row r="2174">
      <c r="A2174" t="n">
        <v>471</v>
      </c>
      <c r="B2174" t="inlineStr">
        <is>
          <t>Cumplimiento plan anual Gerencia de Talento Humano</t>
        </is>
      </c>
      <c r="C2174" t="inlineStr">
        <is>
          <t>Planeación Estratégica</t>
        </is>
      </c>
      <c r="D2174" t="inlineStr">
        <is>
          <t>Semestral</t>
        </is>
      </c>
      <c r="E2174" t="inlineStr">
        <is>
          <t>Positivo</t>
        </is>
      </c>
      <c r="F2174" s="105" t="n">
        <v>45657</v>
      </c>
      <c r="G2174" t="inlineStr">
        <is>
          <t>471-2024-12-31</t>
        </is>
      </c>
      <c r="H2174" t="inlineStr">
        <is>
          <t>DIRECTOR DE RELACIONES PUBLICAS Y PROTOC</t>
        </is>
      </c>
      <c r="I2174" t="n">
        <v>100</v>
      </c>
      <c r="J2174" t="n">
        <v>100</v>
      </c>
      <c r="DJ2174" t="n">
        <v>100</v>
      </c>
      <c r="DK2174" t="n">
        <v>100</v>
      </c>
    </row>
    <row r="2175">
      <c r="A2175" t="n">
        <v>471</v>
      </c>
      <c r="B2175" t="inlineStr">
        <is>
          <t>Cumplimiento plan anual Gerencia de Talento Humano</t>
        </is>
      </c>
      <c r="C2175" t="inlineStr">
        <is>
          <t>Planeación Estratégica</t>
        </is>
      </c>
      <c r="D2175" t="inlineStr">
        <is>
          <t>Semestral</t>
        </is>
      </c>
      <c r="E2175" t="inlineStr">
        <is>
          <t>Positivo</t>
        </is>
      </c>
      <c r="F2175" s="105" t="n">
        <v>45657</v>
      </c>
      <c r="G2175" t="inlineStr">
        <is>
          <t>471-2024-12-31</t>
        </is>
      </c>
      <c r="H2175" t="inlineStr">
        <is>
          <t>DIRECTOR DE COMUNICACIONES</t>
        </is>
      </c>
      <c r="I2175" t="n">
        <v>100</v>
      </c>
      <c r="J2175" t="n">
        <v>100</v>
      </c>
      <c r="DJ2175" t="n">
        <v>100</v>
      </c>
      <c r="DK2175" t="n">
        <v>100</v>
      </c>
    </row>
    <row r="2176">
      <c r="A2176" t="n">
        <v>471</v>
      </c>
      <c r="B2176" t="inlineStr">
        <is>
          <t>Cumplimiento plan anual Gerencia de Talento Humano</t>
        </is>
      </c>
      <c r="C2176" t="inlineStr">
        <is>
          <t>Planeación Estratégica</t>
        </is>
      </c>
      <c r="D2176" t="inlineStr">
        <is>
          <t>Semestral</t>
        </is>
      </c>
      <c r="E2176" t="inlineStr">
        <is>
          <t>Positivo</t>
        </is>
      </c>
      <c r="F2176" s="105" t="n">
        <v>45657</v>
      </c>
      <c r="G2176" t="inlineStr">
        <is>
          <t>471-2024-12-31</t>
        </is>
      </c>
      <c r="H2176" t="inlineStr">
        <is>
          <t>DIRECTOR DE ADMON LABORAL Y COMPENSACION</t>
        </is>
      </c>
      <c r="I2176" t="n">
        <v>100</v>
      </c>
      <c r="J2176" t="n">
        <v>100</v>
      </c>
      <c r="DJ2176" t="n">
        <v>100</v>
      </c>
      <c r="DK2176" t="n">
        <v>100</v>
      </c>
    </row>
    <row r="2177">
      <c r="A2177" t="n">
        <v>471</v>
      </c>
      <c r="B2177" t="inlineStr">
        <is>
          <t>Cumplimiento plan anual Gerencia de Talento Humano</t>
        </is>
      </c>
      <c r="C2177" t="inlineStr">
        <is>
          <t>Planeación Estratégica</t>
        </is>
      </c>
      <c r="D2177" t="inlineStr">
        <is>
          <t>Semestral</t>
        </is>
      </c>
      <c r="E2177" t="inlineStr">
        <is>
          <t>Positivo</t>
        </is>
      </c>
      <c r="F2177" s="105" t="n">
        <v>45657</v>
      </c>
      <c r="G2177" t="inlineStr">
        <is>
          <t>471-2024-12-31</t>
        </is>
      </c>
      <c r="H2177" t="inlineStr">
        <is>
          <t>DIRECTOR DE GESTION DE TALENTO</t>
        </is>
      </c>
      <c r="I2177" t="n">
        <v>100</v>
      </c>
      <c r="J2177" t="n">
        <v>96</v>
      </c>
      <c r="DJ2177" t="n">
        <v>96</v>
      </c>
      <c r="DK2177" t="n">
        <v>100</v>
      </c>
    </row>
    <row r="2178">
      <c r="A2178" t="n">
        <v>471</v>
      </c>
      <c r="B2178" t="inlineStr">
        <is>
          <t>Cumplimiento plan anual Gerencia de Talento Humano</t>
        </is>
      </c>
      <c r="C2178" t="inlineStr">
        <is>
          <t>Planeación Estratégica</t>
        </is>
      </c>
      <c r="D2178" t="inlineStr">
        <is>
          <t>Semestral</t>
        </is>
      </c>
      <c r="E2178" t="inlineStr">
        <is>
          <t>Positivo</t>
        </is>
      </c>
      <c r="F2178" s="105" t="n">
        <v>45657</v>
      </c>
      <c r="G2178" t="inlineStr">
        <is>
          <t>471-2024-12-31</t>
        </is>
      </c>
      <c r="H2178" t="inlineStr">
        <is>
          <t>DIRECTOR DE BIENESTAR Y RELAC. LABORALES</t>
        </is>
      </c>
      <c r="I2178" t="n">
        <v>100</v>
      </c>
      <c r="J2178" t="n">
        <v>97</v>
      </c>
      <c r="DJ2178" t="n">
        <v>97</v>
      </c>
      <c r="DK2178" t="n">
        <v>100</v>
      </c>
    </row>
    <row r="2179">
      <c r="A2179" t="n">
        <v>216</v>
      </c>
      <c r="B2179" t="inlineStr">
        <is>
          <t>Disposición Ambientalmente Adecuada de Residuos Peligrosos</t>
        </is>
      </c>
      <c r="C2179" t="inlineStr">
        <is>
          <t>GESTIÓN AMBIENTAL</t>
        </is>
      </c>
      <c r="D2179" t="inlineStr">
        <is>
          <t>Anual</t>
        </is>
      </c>
      <c r="E2179" t="inlineStr">
        <is>
          <t>Positivo</t>
        </is>
      </c>
      <c r="F2179" s="105" t="n">
        <v>45657</v>
      </c>
      <c r="G2179" t="inlineStr">
        <is>
          <t>216-2024-12-31</t>
        </is>
      </c>
      <c r="H2179" t="inlineStr">
        <is>
          <t>City Campus</t>
        </is>
      </c>
      <c r="I2179" t="n">
        <v>100</v>
      </c>
      <c r="J2179" t="n">
        <v>100</v>
      </c>
      <c r="AE2179" t="n">
        <v>1024.94</v>
      </c>
      <c r="AF2179" t="n">
        <v>1024.94</v>
      </c>
    </row>
    <row r="2180">
      <c r="A2180" t="n">
        <v>216</v>
      </c>
      <c r="B2180" t="inlineStr">
        <is>
          <t>Disposición Ambientalmente Adecuada de Residuos Peligrosos</t>
        </is>
      </c>
      <c r="C2180" t="inlineStr">
        <is>
          <t>GESTIÓN AMBIENTAL</t>
        </is>
      </c>
      <c r="D2180" t="inlineStr">
        <is>
          <t>Anual</t>
        </is>
      </c>
      <c r="E2180" t="inlineStr">
        <is>
          <t>Positivo</t>
        </is>
      </c>
      <c r="F2180" s="105" t="n">
        <v>45657</v>
      </c>
      <c r="G2180" t="inlineStr">
        <is>
          <t>216-2024-12-31</t>
        </is>
      </c>
      <c r="H2180" t="inlineStr">
        <is>
          <t>Sede Posgrado-Calle 85</t>
        </is>
      </c>
      <c r="I2180" t="n">
        <v>100</v>
      </c>
      <c r="J2180" t="n">
        <v>0</v>
      </c>
      <c r="AE2180" t="n">
        <v>0</v>
      </c>
      <c r="AF2180" t="n">
        <v>0</v>
      </c>
    </row>
    <row r="2181">
      <c r="A2181" t="n">
        <v>216</v>
      </c>
      <c r="B2181" t="inlineStr">
        <is>
          <t>Disposición Ambientalmente Adecuada de Residuos Peligrosos</t>
        </is>
      </c>
      <c r="C2181" t="inlineStr">
        <is>
          <t>GESTIÓN AMBIENTAL</t>
        </is>
      </c>
      <c r="D2181" t="inlineStr">
        <is>
          <t>Anual</t>
        </is>
      </c>
      <c r="E2181" t="inlineStr">
        <is>
          <t>Positivo</t>
        </is>
      </c>
      <c r="F2181" s="105" t="n">
        <v>45657</v>
      </c>
      <c r="G2181" t="inlineStr">
        <is>
          <t>216-2024-12-31</t>
        </is>
      </c>
      <c r="H2181" t="inlineStr">
        <is>
          <t>Campus-Medellín</t>
        </is>
      </c>
      <c r="I2181" t="n">
        <v>100</v>
      </c>
      <c r="J2181" t="n">
        <v>100</v>
      </c>
      <c r="AE2181" t="n">
        <v>730.2</v>
      </c>
      <c r="AF2181" t="n">
        <v>730.2</v>
      </c>
    </row>
    <row r="2182">
      <c r="A2182" t="n">
        <v>216</v>
      </c>
      <c r="B2182" t="inlineStr">
        <is>
          <t>Disposición Ambientalmente Adecuada de Residuos Peligrosos</t>
        </is>
      </c>
      <c r="C2182" t="inlineStr">
        <is>
          <t>GESTIÓN AMBIENTAL</t>
        </is>
      </c>
      <c r="D2182" t="inlineStr">
        <is>
          <t>Anual</t>
        </is>
      </c>
      <c r="E2182" t="inlineStr">
        <is>
          <t>Positivo</t>
        </is>
      </c>
      <c r="F2182" s="105" t="n">
        <v>45657</v>
      </c>
      <c r="G2182" t="inlineStr">
        <is>
          <t>216-2024-12-31</t>
        </is>
      </c>
      <c r="H2182" t="inlineStr">
        <is>
          <t>Sede Bienestar - Medellín</t>
        </is>
      </c>
      <c r="I2182" t="n">
        <v>100</v>
      </c>
      <c r="J2182" t="n">
        <v>100</v>
      </c>
      <c r="AE2182" t="n">
        <v>2.12</v>
      </c>
      <c r="AF2182" t="n">
        <v>2.12</v>
      </c>
    </row>
    <row r="2183">
      <c r="A2183" t="n">
        <v>216</v>
      </c>
      <c r="B2183" t="inlineStr">
        <is>
          <t>Disposición Ambientalmente Adecuada de Residuos Peligrosos</t>
        </is>
      </c>
      <c r="C2183" t="inlineStr">
        <is>
          <t>GESTIÓN AMBIENTAL</t>
        </is>
      </c>
      <c r="D2183" t="inlineStr">
        <is>
          <t>Anual</t>
        </is>
      </c>
      <c r="E2183" t="inlineStr">
        <is>
          <t>Positivo</t>
        </is>
      </c>
      <c r="F2183" s="105" t="n">
        <v>45657</v>
      </c>
      <c r="G2183" t="inlineStr">
        <is>
          <t>216-2024-12-31</t>
        </is>
      </c>
      <c r="H2183" t="inlineStr">
        <is>
          <t>Consultorio Psicología - Medellin</t>
        </is>
      </c>
      <c r="I2183" t="n">
        <v>100</v>
      </c>
      <c r="J2183" t="n">
        <v>0</v>
      </c>
      <c r="AE2183" t="n">
        <v>0</v>
      </c>
      <c r="AF2183" t="n">
        <v>0</v>
      </c>
    </row>
    <row r="2184">
      <c r="A2184" t="n">
        <v>216</v>
      </c>
      <c r="B2184" t="inlineStr">
        <is>
          <t>Disposición Ambientalmente Adecuada de Residuos Peligrosos</t>
        </is>
      </c>
      <c r="C2184" t="inlineStr">
        <is>
          <t>GESTIÓN AMBIENTAL</t>
        </is>
      </c>
      <c r="D2184" t="inlineStr">
        <is>
          <t>Anual</t>
        </is>
      </c>
      <c r="E2184" t="inlineStr">
        <is>
          <t>Positivo</t>
        </is>
      </c>
      <c r="F2184" s="105" t="n">
        <v>45657</v>
      </c>
      <c r="G2184" t="inlineStr">
        <is>
          <t>216-2024-12-31</t>
        </is>
      </c>
      <c r="H2184" t="inlineStr">
        <is>
          <t>Campus Bogotá</t>
        </is>
      </c>
      <c r="I2184" t="n">
        <v>100</v>
      </c>
      <c r="J2184" t="n">
        <v>100</v>
      </c>
      <c r="AE2184" t="n">
        <v>8040.23</v>
      </c>
      <c r="AF2184" t="n">
        <v>8040.23</v>
      </c>
    </row>
    <row r="2185">
      <c r="A2185" t="n">
        <v>221</v>
      </c>
      <c r="B2185" t="inlineStr">
        <is>
          <t>Riesgo de la Calidad del Agua Potable</t>
        </is>
      </c>
      <c r="C2185" t="inlineStr">
        <is>
          <t>GESTIÓN AMBIENTAL</t>
        </is>
      </c>
      <c r="D2185" t="inlineStr">
        <is>
          <t>Anual</t>
        </is>
      </c>
      <c r="E2185" t="inlineStr">
        <is>
          <t>Positivo</t>
        </is>
      </c>
      <c r="F2185" s="105" t="n">
        <v>45657</v>
      </c>
      <c r="G2185" t="inlineStr">
        <is>
          <t>221-2024-12-31</t>
        </is>
      </c>
      <c r="H2185" t="inlineStr">
        <is>
          <t>Campus Bogotá</t>
        </is>
      </c>
      <c r="I2185" t="n">
        <v>100</v>
      </c>
      <c r="J2185" t="n">
        <v>25</v>
      </c>
      <c r="AG2185" t="n">
        <v>2</v>
      </c>
      <c r="AH2185" t="n">
        <v>8</v>
      </c>
    </row>
    <row r="2186">
      <c r="A2186" t="n">
        <v>221</v>
      </c>
      <c r="B2186" t="inlineStr">
        <is>
          <t>Riesgo de la Calidad del Agua Potable</t>
        </is>
      </c>
      <c r="C2186" t="inlineStr">
        <is>
          <t>GESTIÓN AMBIENTAL</t>
        </is>
      </c>
      <c r="D2186" t="inlineStr">
        <is>
          <t>Anual</t>
        </is>
      </c>
      <c r="E2186" t="inlineStr">
        <is>
          <t>Positivo</t>
        </is>
      </c>
      <c r="F2186" s="105" t="n">
        <v>45657</v>
      </c>
      <c r="G2186" t="inlineStr">
        <is>
          <t>221-2024-12-31</t>
        </is>
      </c>
      <c r="H2186" t="inlineStr">
        <is>
          <t>City Campus</t>
        </is>
      </c>
      <c r="I2186" t="n">
        <v>100</v>
      </c>
      <c r="J2186" t="n">
        <v>0</v>
      </c>
      <c r="AG2186" t="n">
        <v>0</v>
      </c>
      <c r="AH2186" t="n">
        <v>4</v>
      </c>
    </row>
    <row r="2187">
      <c r="A2187" t="n">
        <v>221</v>
      </c>
      <c r="B2187" t="inlineStr">
        <is>
          <t>Riesgo de la Calidad del Agua Potable</t>
        </is>
      </c>
      <c r="C2187" t="inlineStr">
        <is>
          <t>GESTIÓN AMBIENTAL</t>
        </is>
      </c>
      <c r="D2187" t="inlineStr">
        <is>
          <t>Anual</t>
        </is>
      </c>
      <c r="E2187" t="inlineStr">
        <is>
          <t>Positivo</t>
        </is>
      </c>
      <c r="F2187" s="105" t="n">
        <v>45657</v>
      </c>
      <c r="G2187" t="inlineStr">
        <is>
          <t>221-2024-12-31</t>
        </is>
      </c>
      <c r="H2187" t="inlineStr">
        <is>
          <t>Sede Posgrado-Calle 85</t>
        </is>
      </c>
      <c r="I2187" t="n">
        <v>100</v>
      </c>
      <c r="J2187" t="n">
        <v>0</v>
      </c>
      <c r="AG2187" t="n">
        <v>0</v>
      </c>
      <c r="AH2187" t="n">
        <v>0</v>
      </c>
    </row>
    <row r="2188">
      <c r="A2188" t="n">
        <v>221</v>
      </c>
      <c r="B2188" t="inlineStr">
        <is>
          <t>Riesgo de la Calidad del Agua Potable</t>
        </is>
      </c>
      <c r="C2188" t="inlineStr">
        <is>
          <t>GESTIÓN AMBIENTAL</t>
        </is>
      </c>
      <c r="D2188" t="inlineStr">
        <is>
          <t>Anual</t>
        </is>
      </c>
      <c r="E2188" t="inlineStr">
        <is>
          <t>Positivo</t>
        </is>
      </c>
      <c r="F2188" s="105" t="n">
        <v>45657</v>
      </c>
      <c r="G2188" t="inlineStr">
        <is>
          <t>221-2024-12-31</t>
        </is>
      </c>
      <c r="H2188" t="inlineStr">
        <is>
          <t>Sede Bienestar - Medellín</t>
        </is>
      </c>
      <c r="I2188" t="n">
        <v>100</v>
      </c>
      <c r="J2188" t="n">
        <v>0</v>
      </c>
      <c r="AG2188" t="n">
        <v>0</v>
      </c>
      <c r="AH2188" t="n">
        <v>0</v>
      </c>
    </row>
    <row r="2189">
      <c r="A2189" t="n">
        <v>221</v>
      </c>
      <c r="B2189" t="inlineStr">
        <is>
          <t>Riesgo de la Calidad del Agua Potable</t>
        </is>
      </c>
      <c r="C2189" t="inlineStr">
        <is>
          <t>GESTIÓN AMBIENTAL</t>
        </is>
      </c>
      <c r="D2189" t="inlineStr">
        <is>
          <t>Anual</t>
        </is>
      </c>
      <c r="E2189" t="inlineStr">
        <is>
          <t>Positivo</t>
        </is>
      </c>
      <c r="F2189" s="105" t="n">
        <v>45657</v>
      </c>
      <c r="G2189" t="inlineStr">
        <is>
          <t>221-2024-12-31</t>
        </is>
      </c>
      <c r="H2189" t="inlineStr">
        <is>
          <t>Consultorio Psicología - Medellin</t>
        </is>
      </c>
      <c r="I2189" t="n">
        <v>100</v>
      </c>
      <c r="J2189" t="n">
        <v>0</v>
      </c>
      <c r="AG2189" t="n">
        <v>0</v>
      </c>
      <c r="AH2189" t="n">
        <v>0</v>
      </c>
    </row>
    <row r="2190">
      <c r="A2190" t="n">
        <v>221</v>
      </c>
      <c r="B2190" t="inlineStr">
        <is>
          <t>Riesgo de la Calidad del Agua Potable</t>
        </is>
      </c>
      <c r="C2190" t="inlineStr">
        <is>
          <t>GESTIÓN AMBIENTAL</t>
        </is>
      </c>
      <c r="D2190" t="inlineStr">
        <is>
          <t>Anual</t>
        </is>
      </c>
      <c r="E2190" t="inlineStr">
        <is>
          <t>Positivo</t>
        </is>
      </c>
      <c r="F2190" s="105" t="n">
        <v>45657</v>
      </c>
      <c r="G2190" t="inlineStr">
        <is>
          <t>221-2024-12-31</t>
        </is>
      </c>
      <c r="H2190" t="inlineStr">
        <is>
          <t>Campus-Medellín</t>
        </is>
      </c>
      <c r="I2190" t="n">
        <v>100</v>
      </c>
      <c r="J2190" t="n">
        <v>100</v>
      </c>
      <c r="AG2190" t="n">
        <v>3</v>
      </c>
      <c r="AH2190" t="n">
        <v>3</v>
      </c>
    </row>
    <row r="2191">
      <c r="A2191" t="n">
        <v>222</v>
      </c>
      <c r="B2191" t="inlineStr">
        <is>
          <t>Calidad de las Aguas Residuales Domesticas</t>
        </is>
      </c>
      <c r="C2191" t="inlineStr">
        <is>
          <t>GESTIÓN AMBIENTAL</t>
        </is>
      </c>
      <c r="D2191" t="inlineStr">
        <is>
          <t>Anual</t>
        </is>
      </c>
      <c r="E2191" t="inlineStr">
        <is>
          <t>Positivo</t>
        </is>
      </c>
      <c r="F2191" s="105" t="n">
        <v>45657</v>
      </c>
      <c r="G2191" t="inlineStr">
        <is>
          <t>222-2024-12-31</t>
        </is>
      </c>
      <c r="H2191" t="inlineStr">
        <is>
          <t>Campus Bogotá</t>
        </is>
      </c>
      <c r="I2191" t="n">
        <v>90</v>
      </c>
      <c r="J2191" t="n">
        <v>68.75</v>
      </c>
      <c r="AI2191" t="n">
        <v>11</v>
      </c>
      <c r="AJ2191" t="n">
        <v>16</v>
      </c>
    </row>
    <row r="2192">
      <c r="A2192" t="n">
        <v>223</v>
      </c>
      <c r="B2192" t="inlineStr">
        <is>
          <t>Registro de Publicidad Exterior Visual</t>
        </is>
      </c>
      <c r="C2192" t="inlineStr">
        <is>
          <t>GESTIÓN AMBIENTAL</t>
        </is>
      </c>
      <c r="D2192" t="inlineStr">
        <is>
          <t>Anual</t>
        </is>
      </c>
      <c r="E2192" t="inlineStr">
        <is>
          <t>Positivo</t>
        </is>
      </c>
      <c r="F2192" s="105" t="n">
        <v>45657</v>
      </c>
      <c r="G2192" t="inlineStr">
        <is>
          <t>223-2024-12-31</t>
        </is>
      </c>
      <c r="H2192" t="inlineStr">
        <is>
          <t>Medellín</t>
        </is>
      </c>
      <c r="I2192" t="n">
        <v>100</v>
      </c>
      <c r="J2192" t="n">
        <v>100</v>
      </c>
      <c r="DC2192" t="n">
        <v>3</v>
      </c>
      <c r="DD2192" t="n">
        <v>3</v>
      </c>
    </row>
    <row r="2193">
      <c r="A2193" t="n">
        <v>223</v>
      </c>
      <c r="B2193" t="inlineStr">
        <is>
          <t>Registro de Publicidad Exterior Visual</t>
        </is>
      </c>
      <c r="C2193" t="inlineStr">
        <is>
          <t>GESTIÓN AMBIENTAL</t>
        </is>
      </c>
      <c r="D2193" t="inlineStr">
        <is>
          <t>Anual</t>
        </is>
      </c>
      <c r="E2193" t="inlineStr">
        <is>
          <t>Positivo</t>
        </is>
      </c>
      <c r="F2193" s="105" t="n">
        <v>45657</v>
      </c>
      <c r="G2193" t="inlineStr">
        <is>
          <t>223-2024-12-31</t>
        </is>
      </c>
      <c r="H2193" t="inlineStr">
        <is>
          <t>Bogotá</t>
        </is>
      </c>
      <c r="I2193" t="n">
        <v>100</v>
      </c>
      <c r="J2193" t="n">
        <v>92.86000061035156</v>
      </c>
      <c r="DC2193" t="n">
        <v>13</v>
      </c>
      <c r="DD2193" t="n">
        <v>14</v>
      </c>
    </row>
    <row r="2194">
      <c r="A2194" t="n">
        <v>224</v>
      </c>
      <c r="B2194" t="inlineStr">
        <is>
          <t>Cumplimiento Nivel de Emisión de Ruido</t>
        </is>
      </c>
      <c r="C2194" t="inlineStr">
        <is>
          <t>GESTIÓN AMBIENTAL</t>
        </is>
      </c>
      <c r="D2194" t="inlineStr">
        <is>
          <t>Anual</t>
        </is>
      </c>
      <c r="E2194" t="inlineStr">
        <is>
          <t>Positivo</t>
        </is>
      </c>
      <c r="F2194" s="105" t="n">
        <v>45657</v>
      </c>
      <c r="G2194" t="inlineStr">
        <is>
          <t>224-2024-12-31</t>
        </is>
      </c>
      <c r="H2194" t="inlineStr">
        <is>
          <t>Campus Bogotá</t>
        </is>
      </c>
      <c r="I2194" t="n">
        <v>100</v>
      </c>
      <c r="J2194" t="n">
        <v>100</v>
      </c>
      <c r="AK2194" t="n">
        <v>5</v>
      </c>
      <c r="AL2194" t="n">
        <v>5</v>
      </c>
    </row>
    <row r="2195">
      <c r="A2195" t="n">
        <v>224</v>
      </c>
      <c r="B2195" t="inlineStr">
        <is>
          <t>Cumplimiento Nivel de Emisión de Ruido</t>
        </is>
      </c>
      <c r="C2195" t="inlineStr">
        <is>
          <t>GESTIÓN AMBIENTAL</t>
        </is>
      </c>
      <c r="D2195" t="inlineStr">
        <is>
          <t>Anual</t>
        </is>
      </c>
      <c r="E2195" t="inlineStr">
        <is>
          <t>Positivo</t>
        </is>
      </c>
      <c r="F2195" s="105" t="n">
        <v>45657</v>
      </c>
      <c r="G2195" t="inlineStr">
        <is>
          <t>224-2024-12-31</t>
        </is>
      </c>
      <c r="H2195" t="inlineStr">
        <is>
          <t>Sede Posgrado-Calle 85</t>
        </is>
      </c>
      <c r="I2195" t="n">
        <v>100</v>
      </c>
      <c r="J2195" t="n">
        <v>0</v>
      </c>
      <c r="AK2195" t="n">
        <v>0</v>
      </c>
      <c r="AL2195" t="n">
        <v>0</v>
      </c>
    </row>
    <row r="2196">
      <c r="A2196" t="n">
        <v>224</v>
      </c>
      <c r="B2196" t="inlineStr">
        <is>
          <t>Cumplimiento Nivel de Emisión de Ruido</t>
        </is>
      </c>
      <c r="C2196" t="inlineStr">
        <is>
          <t>GESTIÓN AMBIENTAL</t>
        </is>
      </c>
      <c r="D2196" t="inlineStr">
        <is>
          <t>Anual</t>
        </is>
      </c>
      <c r="E2196" t="inlineStr">
        <is>
          <t>Positivo</t>
        </is>
      </c>
      <c r="F2196" s="105" t="n">
        <v>45657</v>
      </c>
      <c r="G2196" t="inlineStr">
        <is>
          <t>224-2024-12-31</t>
        </is>
      </c>
      <c r="H2196" t="inlineStr">
        <is>
          <t>Campus-Medellín</t>
        </is>
      </c>
      <c r="I2196" t="n">
        <v>100</v>
      </c>
      <c r="J2196" t="n">
        <v>100</v>
      </c>
      <c r="AK2196" t="n">
        <v>2</v>
      </c>
      <c r="AL2196" t="n">
        <v>2</v>
      </c>
    </row>
    <row r="2197">
      <c r="A2197" t="n">
        <v>224</v>
      </c>
      <c r="B2197" t="inlineStr">
        <is>
          <t>Cumplimiento Nivel de Emisión de Ruido</t>
        </is>
      </c>
      <c r="C2197" t="inlineStr">
        <is>
          <t>GESTIÓN AMBIENTAL</t>
        </is>
      </c>
      <c r="D2197" t="inlineStr">
        <is>
          <t>Anual</t>
        </is>
      </c>
      <c r="E2197" t="inlineStr">
        <is>
          <t>Positivo</t>
        </is>
      </c>
      <c r="F2197" s="105" t="n">
        <v>45657</v>
      </c>
      <c r="G2197" t="inlineStr">
        <is>
          <t>224-2024-12-31</t>
        </is>
      </c>
      <c r="H2197" t="inlineStr">
        <is>
          <t>Consultorio Psicología - Medellin</t>
        </is>
      </c>
      <c r="I2197" t="n">
        <v>100</v>
      </c>
      <c r="J2197" t="n">
        <v>0</v>
      </c>
      <c r="AK2197" t="n">
        <v>0</v>
      </c>
      <c r="AL2197" t="n">
        <v>0</v>
      </c>
    </row>
    <row r="2198">
      <c r="A2198" t="n">
        <v>224</v>
      </c>
      <c r="B2198" t="inlineStr">
        <is>
          <t>Cumplimiento Nivel de Emisión de Ruido</t>
        </is>
      </c>
      <c r="C2198" t="inlineStr">
        <is>
          <t>GESTIÓN AMBIENTAL</t>
        </is>
      </c>
      <c r="D2198" t="inlineStr">
        <is>
          <t>Anual</t>
        </is>
      </c>
      <c r="E2198" t="inlineStr">
        <is>
          <t>Positivo</t>
        </is>
      </c>
      <c r="F2198" s="105" t="n">
        <v>45657</v>
      </c>
      <c r="G2198" t="inlineStr">
        <is>
          <t>224-2024-12-31</t>
        </is>
      </c>
      <c r="H2198" t="inlineStr">
        <is>
          <t>City Campus</t>
        </is>
      </c>
      <c r="I2198" t="n">
        <v>100</v>
      </c>
      <c r="J2198" t="n">
        <v>100</v>
      </c>
      <c r="AK2198" t="n">
        <v>2</v>
      </c>
      <c r="AL2198" t="n">
        <v>2</v>
      </c>
    </row>
    <row r="2199">
      <c r="A2199" t="n">
        <v>224</v>
      </c>
      <c r="B2199" t="inlineStr">
        <is>
          <t>Cumplimiento Nivel de Emisión de Ruido</t>
        </is>
      </c>
      <c r="C2199" t="inlineStr">
        <is>
          <t>GESTIÓN AMBIENTAL</t>
        </is>
      </c>
      <c r="D2199" t="inlineStr">
        <is>
          <t>Anual</t>
        </is>
      </c>
      <c r="E2199" t="inlineStr">
        <is>
          <t>Positivo</t>
        </is>
      </c>
      <c r="F2199" s="105" t="n">
        <v>45657</v>
      </c>
      <c r="G2199" t="inlineStr">
        <is>
          <t>224-2024-12-31</t>
        </is>
      </c>
      <c r="H2199" t="inlineStr">
        <is>
          <t>Sede Bienestar - Medellín</t>
        </is>
      </c>
      <c r="I2199" t="n">
        <v>100</v>
      </c>
      <c r="J2199" t="n">
        <v>100</v>
      </c>
      <c r="AK2199" t="n">
        <v>1</v>
      </c>
      <c r="AL2199" t="n">
        <v>1</v>
      </c>
    </row>
    <row r="2200">
      <c r="A2200" t="n">
        <v>226</v>
      </c>
      <c r="B2200" t="inlineStr">
        <is>
          <t>Generación de Gases de Efecto Invernadero</t>
        </is>
      </c>
      <c r="C2200" t="inlineStr">
        <is>
          <t>GESTIÓN AMBIENTAL</t>
        </is>
      </c>
      <c r="D2200" t="inlineStr">
        <is>
          <t>Anual</t>
        </is>
      </c>
      <c r="E2200" t="inlineStr">
        <is>
          <t>Positivo</t>
        </is>
      </c>
      <c r="F2200" s="105" t="n">
        <v>45657</v>
      </c>
      <c r="G2200" t="inlineStr">
        <is>
          <t>226-2024-12-31</t>
        </is>
      </c>
      <c r="H2200" t="inlineStr">
        <is>
          <t>Campus Bogotá</t>
        </is>
      </c>
      <c r="I2200" t="n">
        <v>1</v>
      </c>
      <c r="J2200" t="n">
        <v>1805.56005859375</v>
      </c>
      <c r="AM2200" t="n">
        <v>1805.56</v>
      </c>
    </row>
    <row r="2201">
      <c r="A2201" t="n">
        <v>226</v>
      </c>
      <c r="B2201" t="inlineStr">
        <is>
          <t>Generación de Gases de Efecto Invernadero</t>
        </is>
      </c>
      <c r="C2201" t="inlineStr">
        <is>
          <t>GESTIÓN AMBIENTAL</t>
        </is>
      </c>
      <c r="D2201" t="inlineStr">
        <is>
          <t>Anual</t>
        </is>
      </c>
      <c r="E2201" t="inlineStr">
        <is>
          <t>Positivo</t>
        </is>
      </c>
      <c r="F2201" s="105" t="n">
        <v>45657</v>
      </c>
      <c r="G2201" t="inlineStr">
        <is>
          <t>226-2024-12-31</t>
        </is>
      </c>
      <c r="H2201" t="inlineStr">
        <is>
          <t>City Campus</t>
        </is>
      </c>
      <c r="I2201" t="n">
        <v>1</v>
      </c>
      <c r="J2201" t="n">
        <v>1087.219970703125</v>
      </c>
      <c r="AM2201" t="n">
        <v>1087.22</v>
      </c>
    </row>
    <row r="2202">
      <c r="A2202" t="n">
        <v>226</v>
      </c>
      <c r="B2202" t="inlineStr">
        <is>
          <t>Generación de Gases de Efecto Invernadero</t>
        </is>
      </c>
      <c r="C2202" t="inlineStr">
        <is>
          <t>GESTIÓN AMBIENTAL</t>
        </is>
      </c>
      <c r="D2202" t="inlineStr">
        <is>
          <t>Anual</t>
        </is>
      </c>
      <c r="E2202" t="inlineStr">
        <is>
          <t>Positivo</t>
        </is>
      </c>
      <c r="F2202" s="105" t="n">
        <v>45657</v>
      </c>
      <c r="G2202" t="inlineStr">
        <is>
          <t>226-2024-12-31</t>
        </is>
      </c>
      <c r="H2202" t="inlineStr">
        <is>
          <t>Sede Posgrado-Calle 85</t>
        </is>
      </c>
      <c r="I2202" t="n">
        <v>1</v>
      </c>
      <c r="J2202" t="n">
        <v>37.29000091552734</v>
      </c>
      <c r="AM2202" t="n">
        <v>37.29</v>
      </c>
    </row>
    <row r="2203">
      <c r="A2203" t="n">
        <v>226</v>
      </c>
      <c r="B2203" t="inlineStr">
        <is>
          <t>Generación de Gases de Efecto Invernadero</t>
        </is>
      </c>
      <c r="C2203" t="inlineStr">
        <is>
          <t>GESTIÓN AMBIENTAL</t>
        </is>
      </c>
      <c r="D2203" t="inlineStr">
        <is>
          <t>Anual</t>
        </is>
      </c>
      <c r="E2203" t="inlineStr">
        <is>
          <t>Positivo</t>
        </is>
      </c>
      <c r="F2203" s="105" t="n">
        <v>45657</v>
      </c>
      <c r="G2203" t="inlineStr">
        <is>
          <t>226-2024-12-31</t>
        </is>
      </c>
      <c r="H2203" t="inlineStr">
        <is>
          <t>Sede Bienestar - Medellín</t>
        </is>
      </c>
      <c r="I2203" t="n">
        <v>2</v>
      </c>
      <c r="J2203" t="n">
        <v>19.63999938964844</v>
      </c>
      <c r="AM2203" t="n">
        <v>19.64</v>
      </c>
    </row>
    <row r="2204">
      <c r="A2204" t="n">
        <v>226</v>
      </c>
      <c r="B2204" t="inlineStr">
        <is>
          <t>Generación de Gases de Efecto Invernadero</t>
        </is>
      </c>
      <c r="C2204" t="inlineStr">
        <is>
          <t>GESTIÓN AMBIENTAL</t>
        </is>
      </c>
      <c r="D2204" t="inlineStr">
        <is>
          <t>Anual</t>
        </is>
      </c>
      <c r="E2204" t="inlineStr">
        <is>
          <t>Positivo</t>
        </is>
      </c>
      <c r="F2204" s="105" t="n">
        <v>45657</v>
      </c>
      <c r="G2204" t="inlineStr">
        <is>
          <t>226-2024-12-31</t>
        </is>
      </c>
      <c r="H2204" t="inlineStr">
        <is>
          <t>Consultorio Psicología - Medellin</t>
        </is>
      </c>
      <c r="I2204" t="n">
        <v>2</v>
      </c>
      <c r="J2204" t="n">
        <v>11.22999954223633</v>
      </c>
      <c r="AM2204" t="n">
        <v>11.23</v>
      </c>
    </row>
    <row r="2205">
      <c r="A2205" t="n">
        <v>226</v>
      </c>
      <c r="B2205" t="inlineStr">
        <is>
          <t>Generación de Gases de Efecto Invernadero</t>
        </is>
      </c>
      <c r="C2205" t="inlineStr">
        <is>
          <t>GESTIÓN AMBIENTAL</t>
        </is>
      </c>
      <c r="D2205" t="inlineStr">
        <is>
          <t>Anual</t>
        </is>
      </c>
      <c r="E2205" t="inlineStr">
        <is>
          <t>Positivo</t>
        </is>
      </c>
      <c r="F2205" s="105" t="n">
        <v>45657</v>
      </c>
      <c r="G2205" t="inlineStr">
        <is>
          <t>226-2024-12-31</t>
        </is>
      </c>
      <c r="H2205" t="inlineStr">
        <is>
          <t>Campus-Medellín</t>
        </is>
      </c>
      <c r="I2205" t="n">
        <v>2</v>
      </c>
      <c r="J2205" t="n">
        <v>570.1699829101562</v>
      </c>
      <c r="AM2205" t="n">
        <v>570.17</v>
      </c>
    </row>
    <row r="2206">
      <c r="A2206" t="n">
        <v>255</v>
      </c>
      <c r="B2206" t="inlineStr">
        <is>
          <t>Informe anual de índice H</t>
        </is>
      </c>
      <c r="C2206" t="inlineStr">
        <is>
          <t>Editorial y Publicaciones</t>
        </is>
      </c>
      <c r="D2206" t="inlineStr">
        <is>
          <t>Anual</t>
        </is>
      </c>
      <c r="E2206" t="inlineStr">
        <is>
          <t>Positivo</t>
        </is>
      </c>
      <c r="F2206" s="105" t="n">
        <v>45657</v>
      </c>
      <c r="G2206" t="inlineStr">
        <is>
          <t>255-2024-12-31</t>
        </is>
      </c>
      <c r="H2206" t="inlineStr">
        <is>
          <t>H5 Libros</t>
        </is>
      </c>
      <c r="I2206" t="n">
        <v>100</v>
      </c>
      <c r="J2206" t="n">
        <v>13</v>
      </c>
      <c r="DE2206" t="n">
        <v>13</v>
      </c>
    </row>
    <row r="2207">
      <c r="A2207" t="n">
        <v>255</v>
      </c>
      <c r="B2207" t="inlineStr">
        <is>
          <t>Informe anual de índice H</t>
        </is>
      </c>
      <c r="C2207" t="inlineStr">
        <is>
          <t>Editorial y Publicaciones</t>
        </is>
      </c>
      <c r="D2207" t="inlineStr">
        <is>
          <t>Anual</t>
        </is>
      </c>
      <c r="E2207" t="inlineStr">
        <is>
          <t>Positivo</t>
        </is>
      </c>
      <c r="F2207" s="105" t="n">
        <v>45657</v>
      </c>
      <c r="G2207" t="inlineStr">
        <is>
          <t>255-2024-12-31</t>
        </is>
      </c>
      <c r="H2207" t="inlineStr">
        <is>
          <t>H10 Libros</t>
        </is>
      </c>
      <c r="I2207" t="n">
        <v>100</v>
      </c>
      <c r="J2207" t="n">
        <v>17</v>
      </c>
      <c r="DE2207" t="n">
        <v>17</v>
      </c>
    </row>
    <row r="2208">
      <c r="A2208" t="n">
        <v>255</v>
      </c>
      <c r="B2208" t="inlineStr">
        <is>
          <t>Informe anual de índice H</t>
        </is>
      </c>
      <c r="C2208" t="inlineStr">
        <is>
          <t>Editorial y Publicaciones</t>
        </is>
      </c>
      <c r="D2208" t="inlineStr">
        <is>
          <t>Anual</t>
        </is>
      </c>
      <c r="E2208" t="inlineStr">
        <is>
          <t>Positivo</t>
        </is>
      </c>
      <c r="F2208" s="105" t="n">
        <v>45657</v>
      </c>
      <c r="G2208" t="inlineStr">
        <is>
          <t>255-2024-12-31</t>
        </is>
      </c>
      <c r="H2208" t="inlineStr">
        <is>
          <t>H1 Revistas</t>
        </is>
      </c>
      <c r="I2208" t="n">
        <v>100</v>
      </c>
      <c r="J2208" t="n">
        <v>0</v>
      </c>
      <c r="DE2208" t="n">
        <v>0</v>
      </c>
    </row>
    <row r="2209">
      <c r="A2209" t="n">
        <v>255</v>
      </c>
      <c r="B2209" t="inlineStr">
        <is>
          <t>Informe anual de índice H</t>
        </is>
      </c>
      <c r="C2209" t="inlineStr">
        <is>
          <t>Editorial y Publicaciones</t>
        </is>
      </c>
      <c r="D2209" t="inlineStr">
        <is>
          <t>Anual</t>
        </is>
      </c>
      <c r="E2209" t="inlineStr">
        <is>
          <t>Positivo</t>
        </is>
      </c>
      <c r="F2209" s="105" t="n">
        <v>45657</v>
      </c>
      <c r="G2209" t="inlineStr">
        <is>
          <t>255-2024-12-31</t>
        </is>
      </c>
      <c r="H2209" t="inlineStr">
        <is>
          <t>H5 Revistas</t>
        </is>
      </c>
      <c r="I2209" t="n">
        <v>100</v>
      </c>
      <c r="J2209" t="n">
        <v>0</v>
      </c>
      <c r="DE2209" t="n">
        <v>0</v>
      </c>
    </row>
    <row r="2210">
      <c r="A2210" t="n">
        <v>255</v>
      </c>
      <c r="B2210" t="inlineStr">
        <is>
          <t>Informe anual de índice H</t>
        </is>
      </c>
      <c r="C2210" t="inlineStr">
        <is>
          <t>Editorial y Publicaciones</t>
        </is>
      </c>
      <c r="D2210" t="inlineStr">
        <is>
          <t>Anual</t>
        </is>
      </c>
      <c r="E2210" t="inlineStr">
        <is>
          <t>Positivo</t>
        </is>
      </c>
      <c r="F2210" s="105" t="n">
        <v>45657</v>
      </c>
      <c r="G2210" t="inlineStr">
        <is>
          <t>255-2024-12-31</t>
        </is>
      </c>
      <c r="H2210" t="inlineStr">
        <is>
          <t>H10 Revistas</t>
        </is>
      </c>
      <c r="I2210" t="n">
        <v>100</v>
      </c>
      <c r="J2210" t="n">
        <v>0</v>
      </c>
      <c r="DE2210" t="n">
        <v>0</v>
      </c>
    </row>
    <row r="2211">
      <c r="A2211" t="n">
        <v>208</v>
      </c>
      <c r="B2211" t="inlineStr">
        <is>
          <t>Consumo de Agua m3 Mensual</t>
        </is>
      </c>
      <c r="C2211" t="inlineStr">
        <is>
          <t>GESTIÓN AMBIENTAL</t>
        </is>
      </c>
      <c r="D2211" t="inlineStr">
        <is>
          <t>Mensual</t>
        </is>
      </c>
      <c r="E2211" t="inlineStr">
        <is>
          <t>Negativo</t>
        </is>
      </c>
      <c r="F2211" s="105" t="n">
        <v>45688</v>
      </c>
      <c r="G2211" t="inlineStr">
        <is>
          <t>208-2025-01-31</t>
        </is>
      </c>
      <c r="H2211" t="inlineStr">
        <is>
          <t>Campus Bogotá</t>
        </is>
      </c>
      <c r="I2211" t="n">
        <v>950</v>
      </c>
      <c r="J2211" t="n">
        <v>440</v>
      </c>
      <c r="K2211" t="n">
        <v>440</v>
      </c>
    </row>
    <row r="2212">
      <c r="A2212" t="n">
        <v>208</v>
      </c>
      <c r="B2212" t="inlineStr">
        <is>
          <t>Consumo de Agua m3 Mensual</t>
        </is>
      </c>
      <c r="C2212" t="inlineStr">
        <is>
          <t>GESTIÓN AMBIENTAL</t>
        </is>
      </c>
      <c r="D2212" t="inlineStr">
        <is>
          <t>Mensual</t>
        </is>
      </c>
      <c r="E2212" t="inlineStr">
        <is>
          <t>Negativo</t>
        </is>
      </c>
      <c r="F2212" s="105" t="n">
        <v>45688</v>
      </c>
      <c r="G2212" t="inlineStr">
        <is>
          <t>208-2025-01-31</t>
        </is>
      </c>
      <c r="H2212" t="inlineStr">
        <is>
          <t>Sede Posgrado-Calle 85</t>
        </is>
      </c>
      <c r="I2212" t="n">
        <v>25</v>
      </c>
      <c r="J2212" t="n">
        <v>22.5</v>
      </c>
      <c r="K2212" t="n">
        <v>22.5</v>
      </c>
    </row>
    <row r="2213">
      <c r="A2213" t="n">
        <v>208</v>
      </c>
      <c r="B2213" t="inlineStr">
        <is>
          <t>Consumo de Agua m3 Mensual</t>
        </is>
      </c>
      <c r="C2213" t="inlineStr">
        <is>
          <t>GESTIÓN AMBIENTAL</t>
        </is>
      </c>
      <c r="D2213" t="inlineStr">
        <is>
          <t>Mensual</t>
        </is>
      </c>
      <c r="E2213" t="inlineStr">
        <is>
          <t>Negativo</t>
        </is>
      </c>
      <c r="F2213" s="105" t="n">
        <v>45688</v>
      </c>
      <c r="G2213" t="inlineStr">
        <is>
          <t>208-2025-01-31</t>
        </is>
      </c>
      <c r="H2213" t="inlineStr">
        <is>
          <t>Campus-Medellín</t>
        </is>
      </c>
      <c r="I2213" t="n">
        <v>200</v>
      </c>
      <c r="J2213" t="n">
        <v>88</v>
      </c>
      <c r="K2213" t="n">
        <v>88</v>
      </c>
    </row>
    <row r="2214">
      <c r="A2214" t="n">
        <v>208</v>
      </c>
      <c r="B2214" t="inlineStr">
        <is>
          <t>Consumo de Agua m3 Mensual</t>
        </is>
      </c>
      <c r="C2214" t="inlineStr">
        <is>
          <t>GESTIÓN AMBIENTAL</t>
        </is>
      </c>
      <c r="D2214" t="inlineStr">
        <is>
          <t>Mensual</t>
        </is>
      </c>
      <c r="E2214" t="inlineStr">
        <is>
          <t>Negativo</t>
        </is>
      </c>
      <c r="F2214" s="105" t="n">
        <v>45688</v>
      </c>
      <c r="G2214" t="inlineStr">
        <is>
          <t>208-2025-01-31</t>
        </is>
      </c>
      <c r="H2214" t="inlineStr">
        <is>
          <t>Sede Bienestar - Medellín</t>
        </is>
      </c>
      <c r="I2214" t="n">
        <v>0</v>
      </c>
      <c r="J2214" t="n">
        <v>0</v>
      </c>
      <c r="K2214" t="n">
        <v>0</v>
      </c>
    </row>
    <row r="2215">
      <c r="A2215" t="n">
        <v>208</v>
      </c>
      <c r="B2215" t="inlineStr">
        <is>
          <t>Consumo de Agua m3 Mensual</t>
        </is>
      </c>
      <c r="C2215" t="inlineStr">
        <is>
          <t>GESTIÓN AMBIENTAL</t>
        </is>
      </c>
      <c r="D2215" t="inlineStr">
        <is>
          <t>Mensual</t>
        </is>
      </c>
      <c r="E2215" t="inlineStr">
        <is>
          <t>Negativo</t>
        </is>
      </c>
      <c r="F2215" s="105" t="n">
        <v>45688</v>
      </c>
      <c r="G2215" t="inlineStr">
        <is>
          <t>208-2025-01-31</t>
        </is>
      </c>
      <c r="H2215" t="inlineStr">
        <is>
          <t>Consultorio Psicología - Medellin</t>
        </is>
      </c>
      <c r="I2215" t="n">
        <v>25</v>
      </c>
      <c r="J2215" t="n">
        <v>0</v>
      </c>
      <c r="K2215" t="n">
        <v>0</v>
      </c>
    </row>
    <row r="2216">
      <c r="A2216" t="n">
        <v>208</v>
      </c>
      <c r="B2216" t="inlineStr">
        <is>
          <t>Consumo de Agua m3 Mensual</t>
        </is>
      </c>
      <c r="C2216" t="inlineStr">
        <is>
          <t>GESTIÓN AMBIENTAL</t>
        </is>
      </c>
      <c r="D2216" t="inlineStr">
        <is>
          <t>Mensual</t>
        </is>
      </c>
      <c r="E2216" t="inlineStr">
        <is>
          <t>Negativo</t>
        </is>
      </c>
      <c r="F2216" s="105" t="n">
        <v>45688</v>
      </c>
      <c r="G2216" t="inlineStr">
        <is>
          <t>208-2025-01-31</t>
        </is>
      </c>
      <c r="H2216" t="inlineStr">
        <is>
          <t>City Campus</t>
        </is>
      </c>
      <c r="I2216" t="n">
        <v>350</v>
      </c>
      <c r="J2216" t="n">
        <v>249.5</v>
      </c>
      <c r="K2216" t="n">
        <v>249.5</v>
      </c>
    </row>
    <row r="2217">
      <c r="A2217" t="n">
        <v>214</v>
      </c>
      <c r="B2217" t="inlineStr">
        <is>
          <t>Generación de Residuos Sólidos Mensual</t>
        </is>
      </c>
      <c r="C2217" t="inlineStr">
        <is>
          <t>GESTIÓN AMBIENTAL</t>
        </is>
      </c>
      <c r="D2217" t="inlineStr">
        <is>
          <t>Mensual</t>
        </is>
      </c>
      <c r="E2217" t="inlineStr">
        <is>
          <t>Negativo</t>
        </is>
      </c>
      <c r="F2217" s="105" t="n">
        <v>45688</v>
      </c>
      <c r="G2217" t="inlineStr">
        <is>
          <t>214-2025-01-31</t>
        </is>
      </c>
      <c r="H2217" t="inlineStr">
        <is>
          <t>City Campus</t>
        </is>
      </c>
      <c r="I2217" t="n">
        <v>1000</v>
      </c>
      <c r="J2217" t="n">
        <v>406.5599975585938</v>
      </c>
      <c r="L2217" t="n">
        <v>80.7</v>
      </c>
      <c r="M2217" t="n">
        <v>325.86</v>
      </c>
    </row>
    <row r="2218">
      <c r="A2218" t="n">
        <v>214</v>
      </c>
      <c r="B2218" t="inlineStr">
        <is>
          <t>Generación de Residuos Sólidos Mensual</t>
        </is>
      </c>
      <c r="C2218" t="inlineStr">
        <is>
          <t>GESTIÓN AMBIENTAL</t>
        </is>
      </c>
      <c r="D2218" t="inlineStr">
        <is>
          <t>Mensual</t>
        </is>
      </c>
      <c r="E2218" t="inlineStr">
        <is>
          <t>Negativo</t>
        </is>
      </c>
      <c r="F2218" s="105" t="n">
        <v>45688</v>
      </c>
      <c r="G2218" t="inlineStr">
        <is>
          <t>214-2025-01-31</t>
        </is>
      </c>
      <c r="H2218" t="inlineStr">
        <is>
          <t>Sede Posgrado-Calle 85</t>
        </is>
      </c>
      <c r="I2218" t="n">
        <v>7500</v>
      </c>
      <c r="J2218" t="n">
        <v>0</v>
      </c>
      <c r="L2218" t="n">
        <v>0</v>
      </c>
      <c r="M2218" t="n">
        <v>0</v>
      </c>
    </row>
    <row r="2219">
      <c r="A2219" t="n">
        <v>214</v>
      </c>
      <c r="B2219" t="inlineStr">
        <is>
          <t>Generación de Residuos Sólidos Mensual</t>
        </is>
      </c>
      <c r="C2219" t="inlineStr">
        <is>
          <t>GESTIÓN AMBIENTAL</t>
        </is>
      </c>
      <c r="D2219" t="inlineStr">
        <is>
          <t>Mensual</t>
        </is>
      </c>
      <c r="E2219" t="inlineStr">
        <is>
          <t>Negativo</t>
        </is>
      </c>
      <c r="F2219" s="105" t="n">
        <v>45688</v>
      </c>
      <c r="G2219" t="inlineStr">
        <is>
          <t>214-2025-01-31</t>
        </is>
      </c>
      <c r="H2219" t="inlineStr">
        <is>
          <t>Campus-Medellín</t>
        </is>
      </c>
      <c r="I2219" t="n">
        <v>1000</v>
      </c>
      <c r="J2219" t="n">
        <v>406.8999938964844</v>
      </c>
      <c r="L2219" t="n">
        <v>0</v>
      </c>
      <c r="M2219" t="n">
        <v>406.9</v>
      </c>
    </row>
    <row r="2220">
      <c r="A2220" t="n">
        <v>214</v>
      </c>
      <c r="B2220" t="inlineStr">
        <is>
          <t>Generación de Residuos Sólidos Mensual</t>
        </is>
      </c>
      <c r="C2220" t="inlineStr">
        <is>
          <t>GESTIÓN AMBIENTAL</t>
        </is>
      </c>
      <c r="D2220" t="inlineStr">
        <is>
          <t>Mensual</t>
        </is>
      </c>
      <c r="E2220" t="inlineStr">
        <is>
          <t>Negativo</t>
        </is>
      </c>
      <c r="F2220" s="105" t="n">
        <v>45688</v>
      </c>
      <c r="G2220" t="inlineStr">
        <is>
          <t>214-2025-01-31</t>
        </is>
      </c>
      <c r="H2220" t="inlineStr">
        <is>
          <t>Sede Bienestar - Medellín</t>
        </is>
      </c>
      <c r="I2220" t="n">
        <v>1</v>
      </c>
      <c r="J2220" t="n">
        <v>0</v>
      </c>
      <c r="L2220" t="n">
        <v>0</v>
      </c>
      <c r="M2220" t="n">
        <v>0</v>
      </c>
    </row>
    <row r="2221">
      <c r="A2221" t="n">
        <v>214</v>
      </c>
      <c r="B2221" t="inlineStr">
        <is>
          <t>Generación de Residuos Sólidos Mensual</t>
        </is>
      </c>
      <c r="C2221" t="inlineStr">
        <is>
          <t>GESTIÓN AMBIENTAL</t>
        </is>
      </c>
      <c r="D2221" t="inlineStr">
        <is>
          <t>Mensual</t>
        </is>
      </c>
      <c r="E2221" t="inlineStr">
        <is>
          <t>Negativo</t>
        </is>
      </c>
      <c r="F2221" s="105" t="n">
        <v>45688</v>
      </c>
      <c r="G2221" t="inlineStr">
        <is>
          <t>214-2025-01-31</t>
        </is>
      </c>
      <c r="H2221" t="inlineStr">
        <is>
          <t>Consultorio Psicología - Medellin</t>
        </is>
      </c>
      <c r="I2221" t="n">
        <v>1</v>
      </c>
      <c r="J2221" t="n">
        <v>110.3600006103516</v>
      </c>
      <c r="L2221" t="n">
        <v>57.34</v>
      </c>
      <c r="M2221" t="n">
        <v>53.02</v>
      </c>
    </row>
    <row r="2222">
      <c r="A2222" t="n">
        <v>214</v>
      </c>
      <c r="B2222" t="inlineStr">
        <is>
          <t>Generación de Residuos Sólidos Mensual</t>
        </is>
      </c>
      <c r="C2222" t="inlineStr">
        <is>
          <t>GESTIÓN AMBIENTAL</t>
        </is>
      </c>
      <c r="D2222" t="inlineStr">
        <is>
          <t>Mensual</t>
        </is>
      </c>
      <c r="E2222" t="inlineStr">
        <is>
          <t>Negativo</t>
        </is>
      </c>
      <c r="F2222" s="105" t="n">
        <v>45688</v>
      </c>
      <c r="G2222" t="inlineStr">
        <is>
          <t>214-2025-01-31</t>
        </is>
      </c>
      <c r="H2222" t="inlineStr">
        <is>
          <t>Campus Bogotá</t>
        </is>
      </c>
      <c r="I2222" t="n">
        <v>5500</v>
      </c>
      <c r="J2222" t="n">
        <v>1130.93994140625</v>
      </c>
      <c r="L2222" t="n">
        <v>533.3</v>
      </c>
      <c r="M2222" t="n">
        <v>597.64</v>
      </c>
    </row>
    <row r="2223">
      <c r="A2223" t="n">
        <v>217</v>
      </c>
      <c r="B2223" t="inlineStr">
        <is>
          <t>Aprovechamiento de Residuos</t>
        </is>
      </c>
      <c r="C2223" t="inlineStr">
        <is>
          <t>GESTIÓN AMBIENTAL</t>
        </is>
      </c>
      <c r="D2223" t="inlineStr">
        <is>
          <t>Mensual</t>
        </is>
      </c>
      <c r="E2223" t="inlineStr">
        <is>
          <t>Positivo</t>
        </is>
      </c>
      <c r="F2223" s="105" t="n">
        <v>45688</v>
      </c>
      <c r="G2223" t="inlineStr">
        <is>
          <t>217-2025-01-31</t>
        </is>
      </c>
      <c r="H2223" t="inlineStr">
        <is>
          <t>City Campus</t>
        </is>
      </c>
      <c r="I2223" t="n">
        <v>20</v>
      </c>
      <c r="J2223" t="n">
        <v>19.85000038146973</v>
      </c>
      <c r="L2223" t="n">
        <v>80.7</v>
      </c>
      <c r="M2223" t="n">
        <v>325.86</v>
      </c>
      <c r="AS2223" t="n">
        <v>80.7</v>
      </c>
    </row>
    <row r="2224">
      <c r="A2224" t="n">
        <v>217</v>
      </c>
      <c r="B2224" t="inlineStr">
        <is>
          <t>Aprovechamiento de Residuos</t>
        </is>
      </c>
      <c r="C2224" t="inlineStr">
        <is>
          <t>GESTIÓN AMBIENTAL</t>
        </is>
      </c>
      <c r="D2224" t="inlineStr">
        <is>
          <t>Mensual</t>
        </is>
      </c>
      <c r="E2224" t="inlineStr">
        <is>
          <t>Positivo</t>
        </is>
      </c>
      <c r="F2224" s="105" t="n">
        <v>45688</v>
      </c>
      <c r="G2224" t="inlineStr">
        <is>
          <t>217-2025-01-31</t>
        </is>
      </c>
      <c r="H2224" t="inlineStr">
        <is>
          <t>Sede Posgrado-Calle 85</t>
        </is>
      </c>
      <c r="I2224" t="n">
        <v>20</v>
      </c>
      <c r="J2224" t="n">
        <v>0</v>
      </c>
      <c r="L2224" t="n">
        <v>0</v>
      </c>
      <c r="M2224" t="n">
        <v>0</v>
      </c>
      <c r="AS2224" t="n">
        <v>0</v>
      </c>
    </row>
    <row r="2225">
      <c r="A2225" t="n">
        <v>217</v>
      </c>
      <c r="B2225" t="inlineStr">
        <is>
          <t>Aprovechamiento de Residuos</t>
        </is>
      </c>
      <c r="C2225" t="inlineStr">
        <is>
          <t>GESTIÓN AMBIENTAL</t>
        </is>
      </c>
      <c r="D2225" t="inlineStr">
        <is>
          <t>Mensual</t>
        </is>
      </c>
      <c r="E2225" t="inlineStr">
        <is>
          <t>Positivo</t>
        </is>
      </c>
      <c r="F2225" s="105" t="n">
        <v>45688</v>
      </c>
      <c r="G2225" t="inlineStr">
        <is>
          <t>217-2025-01-31</t>
        </is>
      </c>
      <c r="H2225" t="inlineStr">
        <is>
          <t>Campus-Medellín</t>
        </is>
      </c>
      <c r="I2225" t="n">
        <v>20</v>
      </c>
      <c r="J2225" t="n">
        <v>0</v>
      </c>
      <c r="L2225" t="n">
        <v>0</v>
      </c>
      <c r="M2225" t="n">
        <v>406.9</v>
      </c>
      <c r="AS2225" t="n">
        <v>0</v>
      </c>
    </row>
    <row r="2226">
      <c r="A2226" t="n">
        <v>217</v>
      </c>
      <c r="B2226" t="inlineStr">
        <is>
          <t>Aprovechamiento de Residuos</t>
        </is>
      </c>
      <c r="C2226" t="inlineStr">
        <is>
          <t>GESTIÓN AMBIENTAL</t>
        </is>
      </c>
      <c r="D2226" t="inlineStr">
        <is>
          <t>Mensual</t>
        </is>
      </c>
      <c r="E2226" t="inlineStr">
        <is>
          <t>Positivo</t>
        </is>
      </c>
      <c r="F2226" s="105" t="n">
        <v>45688</v>
      </c>
      <c r="G2226" t="inlineStr">
        <is>
          <t>217-2025-01-31</t>
        </is>
      </c>
      <c r="H2226" t="inlineStr">
        <is>
          <t>Sede Bienestar - Medellín</t>
        </is>
      </c>
      <c r="I2226" t="n">
        <v>20</v>
      </c>
      <c r="J2226" t="n">
        <v>0</v>
      </c>
      <c r="L2226" t="n">
        <v>0</v>
      </c>
      <c r="M2226" t="n">
        <v>0</v>
      </c>
      <c r="AS2226" t="n">
        <v>0</v>
      </c>
    </row>
    <row r="2227">
      <c r="A2227" t="n">
        <v>217</v>
      </c>
      <c r="B2227" t="inlineStr">
        <is>
          <t>Aprovechamiento de Residuos</t>
        </is>
      </c>
      <c r="C2227" t="inlineStr">
        <is>
          <t>GESTIÓN AMBIENTAL</t>
        </is>
      </c>
      <c r="D2227" t="inlineStr">
        <is>
          <t>Mensual</t>
        </is>
      </c>
      <c r="E2227" t="inlineStr">
        <is>
          <t>Positivo</t>
        </is>
      </c>
      <c r="F2227" s="105" t="n">
        <v>45688</v>
      </c>
      <c r="G2227" t="inlineStr">
        <is>
          <t>217-2025-01-31</t>
        </is>
      </c>
      <c r="H2227" t="inlineStr">
        <is>
          <t>Consultorio Psicología - Medellin</t>
        </is>
      </c>
      <c r="I2227" t="n">
        <v>20</v>
      </c>
      <c r="J2227" t="n">
        <v>51.95999908447266</v>
      </c>
      <c r="L2227" t="n">
        <v>57.34</v>
      </c>
      <c r="M2227" t="n">
        <v>53.02</v>
      </c>
      <c r="AS2227" t="n">
        <v>57.34</v>
      </c>
    </row>
    <row r="2228">
      <c r="A2228" t="n">
        <v>217</v>
      </c>
      <c r="B2228" t="inlineStr">
        <is>
          <t>Aprovechamiento de Residuos</t>
        </is>
      </c>
      <c r="C2228" t="inlineStr">
        <is>
          <t>GESTIÓN AMBIENTAL</t>
        </is>
      </c>
      <c r="D2228" t="inlineStr">
        <is>
          <t>Mensual</t>
        </is>
      </c>
      <c r="E2228" t="inlineStr">
        <is>
          <t>Positivo</t>
        </is>
      </c>
      <c r="F2228" s="105" t="n">
        <v>45688</v>
      </c>
      <c r="G2228" t="inlineStr">
        <is>
          <t>217-2025-01-31</t>
        </is>
      </c>
      <c r="H2228" t="inlineStr">
        <is>
          <t>Campus Bogotá</t>
        </is>
      </c>
      <c r="I2228" t="n">
        <v>20</v>
      </c>
      <c r="J2228" t="n">
        <v>240.6799926757812</v>
      </c>
      <c r="L2228" t="n">
        <v>533.3</v>
      </c>
      <c r="M2228" t="n">
        <v>597.64</v>
      </c>
      <c r="AS2228" t="n">
        <v>2722</v>
      </c>
    </row>
    <row r="2229">
      <c r="A2229" t="n">
        <v>218</v>
      </c>
      <c r="B2229" t="inlineStr">
        <is>
          <t>Consumo de Energía Eléctrica kWh Mensual</t>
        </is>
      </c>
      <c r="C2229" t="inlineStr">
        <is>
          <t>GESTIÓN AMBIENTAL</t>
        </is>
      </c>
      <c r="D2229" t="inlineStr">
        <is>
          <t>Mensual</t>
        </is>
      </c>
      <c r="E2229" t="inlineStr">
        <is>
          <t>Negativo</t>
        </is>
      </c>
      <c r="F2229" s="105" t="n">
        <v>45688</v>
      </c>
      <c r="G2229" t="inlineStr">
        <is>
          <t>218-2025-01-31</t>
        </is>
      </c>
      <c r="H2229" t="inlineStr">
        <is>
          <t>City Campus</t>
        </is>
      </c>
      <c r="I2229" t="n">
        <v>76000</v>
      </c>
      <c r="J2229" t="n">
        <v>42180</v>
      </c>
      <c r="N2229" t="n">
        <v>42180</v>
      </c>
    </row>
    <row r="2230">
      <c r="A2230" t="n">
        <v>218</v>
      </c>
      <c r="B2230" t="inlineStr">
        <is>
          <t>Consumo de Energía Eléctrica kWh Mensual</t>
        </is>
      </c>
      <c r="C2230" t="inlineStr">
        <is>
          <t>GESTIÓN AMBIENTAL</t>
        </is>
      </c>
      <c r="D2230" t="inlineStr">
        <is>
          <t>Mensual</t>
        </is>
      </c>
      <c r="E2230" t="inlineStr">
        <is>
          <t>Negativo</t>
        </is>
      </c>
      <c r="F2230" s="105" t="n">
        <v>45688</v>
      </c>
      <c r="G2230" t="inlineStr">
        <is>
          <t>218-2025-01-31</t>
        </is>
      </c>
      <c r="H2230" t="inlineStr">
        <is>
          <t>Sede Posgrado-Calle 85</t>
        </is>
      </c>
      <c r="I2230" t="n">
        <v>5000</v>
      </c>
      <c r="J2230" t="n">
        <v>3600</v>
      </c>
      <c r="N2230" t="n">
        <v>3600</v>
      </c>
    </row>
    <row r="2231">
      <c r="A2231" t="n">
        <v>218</v>
      </c>
      <c r="B2231" t="inlineStr">
        <is>
          <t>Consumo de Energía Eléctrica kWh Mensual</t>
        </is>
      </c>
      <c r="C2231" t="inlineStr">
        <is>
          <t>GESTIÓN AMBIENTAL</t>
        </is>
      </c>
      <c r="D2231" t="inlineStr">
        <is>
          <t>Mensual</t>
        </is>
      </c>
      <c r="E2231" t="inlineStr">
        <is>
          <t>Negativo</t>
        </is>
      </c>
      <c r="F2231" s="105" t="n">
        <v>45688</v>
      </c>
      <c r="G2231" t="inlineStr">
        <is>
          <t>218-2025-01-31</t>
        </is>
      </c>
      <c r="H2231" t="inlineStr">
        <is>
          <t>Campus-Medellín</t>
        </is>
      </c>
      <c r="I2231" t="n">
        <v>24000</v>
      </c>
      <c r="J2231" t="n">
        <v>10775</v>
      </c>
      <c r="N2231" t="n">
        <v>10775</v>
      </c>
    </row>
    <row r="2232">
      <c r="A2232" t="n">
        <v>218</v>
      </c>
      <c r="B2232" t="inlineStr">
        <is>
          <t>Consumo de Energía Eléctrica kWh Mensual</t>
        </is>
      </c>
      <c r="C2232" t="inlineStr">
        <is>
          <t>GESTIÓN AMBIENTAL</t>
        </is>
      </c>
      <c r="D2232" t="inlineStr">
        <is>
          <t>Mensual</t>
        </is>
      </c>
      <c r="E2232" t="inlineStr">
        <is>
          <t>Negativo</t>
        </is>
      </c>
      <c r="F2232" s="105" t="n">
        <v>45688</v>
      </c>
      <c r="G2232" t="inlineStr">
        <is>
          <t>218-2025-01-31</t>
        </is>
      </c>
      <c r="H2232" t="inlineStr">
        <is>
          <t>Sede Bienestar - Medellín</t>
        </is>
      </c>
      <c r="I2232" t="n">
        <v>5000</v>
      </c>
      <c r="J2232" t="n">
        <v>600</v>
      </c>
      <c r="N2232" t="n">
        <v>600</v>
      </c>
    </row>
    <row r="2233">
      <c r="A2233" t="n">
        <v>218</v>
      </c>
      <c r="B2233" t="inlineStr">
        <is>
          <t>Consumo de Energía Eléctrica kWh Mensual</t>
        </is>
      </c>
      <c r="C2233" t="inlineStr">
        <is>
          <t>GESTIÓN AMBIENTAL</t>
        </is>
      </c>
      <c r="D2233" t="inlineStr">
        <is>
          <t>Mensual</t>
        </is>
      </c>
      <c r="E2233" t="inlineStr">
        <is>
          <t>Negativo</t>
        </is>
      </c>
      <c r="F2233" s="105" t="n">
        <v>45688</v>
      </c>
      <c r="G2233" t="inlineStr">
        <is>
          <t>218-2025-01-31</t>
        </is>
      </c>
      <c r="H2233" t="inlineStr">
        <is>
          <t>Consultorio Psicología - Medellin</t>
        </is>
      </c>
      <c r="I2233" t="n">
        <v>2000</v>
      </c>
      <c r="J2233" t="n">
        <v>1712</v>
      </c>
      <c r="N2233" t="n">
        <v>1712</v>
      </c>
    </row>
    <row r="2234">
      <c r="A2234" t="n">
        <v>218</v>
      </c>
      <c r="B2234" t="inlineStr">
        <is>
          <t>Consumo de Energía Eléctrica kWh Mensual</t>
        </is>
      </c>
      <c r="C2234" t="inlineStr">
        <is>
          <t>GESTIÓN AMBIENTAL</t>
        </is>
      </c>
      <c r="D2234" t="inlineStr">
        <is>
          <t>Mensual</t>
        </is>
      </c>
      <c r="E2234" t="inlineStr">
        <is>
          <t>Negativo</t>
        </is>
      </c>
      <c r="F2234" s="105" t="n">
        <v>45688</v>
      </c>
      <c r="G2234" t="inlineStr">
        <is>
          <t>218-2025-01-31</t>
        </is>
      </c>
      <c r="H2234" t="inlineStr">
        <is>
          <t>Campus Bogotá</t>
        </is>
      </c>
      <c r="I2234" t="n">
        <v>76000</v>
      </c>
      <c r="J2234" t="n">
        <v>54500.96875</v>
      </c>
      <c r="N2234" t="n">
        <v>54500.97</v>
      </c>
    </row>
    <row r="2235">
      <c r="A2235" t="n">
        <v>225</v>
      </c>
      <c r="B2235" t="inlineStr">
        <is>
          <t>Acciones para el Cuidado y Mantenimiento de las Especies de Flora y el Suelo de las Áreas Naturales</t>
        </is>
      </c>
      <c r="C2235" t="inlineStr">
        <is>
          <t>GESTIÓN AMBIENTAL</t>
        </is>
      </c>
      <c r="D2235" t="inlineStr">
        <is>
          <t>Mensual</t>
        </is>
      </c>
      <c r="E2235" t="inlineStr">
        <is>
          <t>Positivo</t>
        </is>
      </c>
      <c r="F2235" s="105" t="n">
        <v>45688</v>
      </c>
      <c r="G2235" t="inlineStr">
        <is>
          <t>225-2025-01-31</t>
        </is>
      </c>
      <c r="H2235" t="inlineStr">
        <is>
          <t>Campus Bogotá</t>
        </is>
      </c>
      <c r="I2235" t="n">
        <v>1</v>
      </c>
      <c r="J2235" t="n">
        <v>6</v>
      </c>
      <c r="AT2235" t="n">
        <v>6</v>
      </c>
    </row>
    <row r="2236">
      <c r="A2236" t="n">
        <v>225</v>
      </c>
      <c r="B2236" t="inlineStr">
        <is>
          <t>Acciones para el Cuidado y Mantenimiento de las Especies de Flora y el Suelo de las Áreas Naturales</t>
        </is>
      </c>
      <c r="C2236" t="inlineStr">
        <is>
          <t>GESTIÓN AMBIENTAL</t>
        </is>
      </c>
      <c r="D2236" t="inlineStr">
        <is>
          <t>Mensual</t>
        </is>
      </c>
      <c r="E2236" t="inlineStr">
        <is>
          <t>Positivo</t>
        </is>
      </c>
      <c r="F2236" s="105" t="n">
        <v>45688</v>
      </c>
      <c r="G2236" t="inlineStr">
        <is>
          <t>225-2025-01-31</t>
        </is>
      </c>
      <c r="H2236" t="inlineStr">
        <is>
          <t>City Campus</t>
        </is>
      </c>
      <c r="I2236" t="n">
        <v>1</v>
      </c>
      <c r="J2236" t="n">
        <v>4</v>
      </c>
      <c r="AT2236" t="n">
        <v>4</v>
      </c>
    </row>
    <row r="2237">
      <c r="A2237" t="n">
        <v>225</v>
      </c>
      <c r="B2237" t="inlineStr">
        <is>
          <t>Acciones para el Cuidado y Mantenimiento de las Especies de Flora y el Suelo de las Áreas Naturales</t>
        </is>
      </c>
      <c r="C2237" t="inlineStr">
        <is>
          <t>GESTIÓN AMBIENTAL</t>
        </is>
      </c>
      <c r="D2237" t="inlineStr">
        <is>
          <t>Mensual</t>
        </is>
      </c>
      <c r="E2237" t="inlineStr">
        <is>
          <t>Positivo</t>
        </is>
      </c>
      <c r="F2237" s="105" t="n">
        <v>45688</v>
      </c>
      <c r="G2237" t="inlineStr">
        <is>
          <t>225-2025-01-31</t>
        </is>
      </c>
      <c r="H2237" t="inlineStr">
        <is>
          <t>Sede Posgrado-Calle 85</t>
        </is>
      </c>
      <c r="I2237" t="n">
        <v>1</v>
      </c>
      <c r="J2237" t="n">
        <v>0</v>
      </c>
      <c r="AT2237" t="n">
        <v>0</v>
      </c>
    </row>
    <row r="2238">
      <c r="A2238" t="n">
        <v>225</v>
      </c>
      <c r="B2238" t="inlineStr">
        <is>
          <t>Acciones para el Cuidado y Mantenimiento de las Especies de Flora y el Suelo de las Áreas Naturales</t>
        </is>
      </c>
      <c r="C2238" t="inlineStr">
        <is>
          <t>GESTIÓN AMBIENTAL</t>
        </is>
      </c>
      <c r="D2238" t="inlineStr">
        <is>
          <t>Mensual</t>
        </is>
      </c>
      <c r="E2238" t="inlineStr">
        <is>
          <t>Positivo</t>
        </is>
      </c>
      <c r="F2238" s="105" t="n">
        <v>45688</v>
      </c>
      <c r="G2238" t="inlineStr">
        <is>
          <t>225-2025-01-31</t>
        </is>
      </c>
      <c r="H2238" t="inlineStr">
        <is>
          <t>Campus-Medellín</t>
        </is>
      </c>
      <c r="I2238" t="n">
        <v>1</v>
      </c>
      <c r="J2238" t="n">
        <v>10</v>
      </c>
      <c r="AT2238" t="n">
        <v>10</v>
      </c>
    </row>
    <row r="2239">
      <c r="A2239" t="n">
        <v>225</v>
      </c>
      <c r="B2239" t="inlineStr">
        <is>
          <t>Acciones para el Cuidado y Mantenimiento de las Especies de Flora y el Suelo de las Áreas Naturales</t>
        </is>
      </c>
      <c r="C2239" t="inlineStr">
        <is>
          <t>GESTIÓN AMBIENTAL</t>
        </is>
      </c>
      <c r="D2239" t="inlineStr">
        <is>
          <t>Mensual</t>
        </is>
      </c>
      <c r="E2239" t="inlineStr">
        <is>
          <t>Positivo</t>
        </is>
      </c>
      <c r="F2239" s="105" t="n">
        <v>45688</v>
      </c>
      <c r="G2239" t="inlineStr">
        <is>
          <t>225-2025-01-31</t>
        </is>
      </c>
      <c r="H2239" t="inlineStr">
        <is>
          <t>Sede Bienestar - Medellín</t>
        </is>
      </c>
      <c r="I2239" t="n">
        <v>1</v>
      </c>
      <c r="J2239" t="n">
        <v>1</v>
      </c>
      <c r="AT2239" t="n">
        <v>1</v>
      </c>
    </row>
    <row r="2240">
      <c r="A2240" t="n">
        <v>225</v>
      </c>
      <c r="B2240" t="inlineStr">
        <is>
          <t>Acciones para el Cuidado y Mantenimiento de las Especies de Flora y el Suelo de las Áreas Naturales</t>
        </is>
      </c>
      <c r="C2240" t="inlineStr">
        <is>
          <t>GESTIÓN AMBIENTAL</t>
        </is>
      </c>
      <c r="D2240" t="inlineStr">
        <is>
          <t>Mensual</t>
        </is>
      </c>
      <c r="E2240" t="inlineStr">
        <is>
          <t>Positivo</t>
        </is>
      </c>
      <c r="F2240" s="105" t="n">
        <v>45688</v>
      </c>
      <c r="G2240" t="inlineStr">
        <is>
          <t>225-2025-01-31</t>
        </is>
      </c>
      <c r="H2240" t="inlineStr">
        <is>
          <t>Consultorio Psicología - Medellin</t>
        </is>
      </c>
      <c r="I2240" t="n">
        <v>1</v>
      </c>
      <c r="J2240" t="n">
        <v>1</v>
      </c>
      <c r="AT2240" t="n">
        <v>1</v>
      </c>
    </row>
    <row r="2241">
      <c r="A2241" t="n">
        <v>434</v>
      </c>
      <c r="B2241" t="inlineStr">
        <is>
          <t>Generación de Residuos Peligrosos Mensual</t>
        </is>
      </c>
      <c r="C2241" t="inlineStr">
        <is>
          <t>GESTIÓN AMBIENTAL</t>
        </is>
      </c>
      <c r="D2241" t="inlineStr">
        <is>
          <t>Mensual</t>
        </is>
      </c>
      <c r="E2241" t="inlineStr">
        <is>
          <t>Negativo</t>
        </is>
      </c>
      <c r="F2241" s="105" t="n">
        <v>45688</v>
      </c>
      <c r="G2241" t="inlineStr">
        <is>
          <t>434-2025-01-31</t>
        </is>
      </c>
      <c r="H2241" t="inlineStr">
        <is>
          <t>Campus Bogotá</t>
        </is>
      </c>
      <c r="I2241" t="n">
        <v>100</v>
      </c>
      <c r="J2241" t="n">
        <v>2071.719970703125</v>
      </c>
      <c r="AV2241" t="n">
        <v>2071.72</v>
      </c>
    </row>
    <row r="2242">
      <c r="A2242" t="n">
        <v>434</v>
      </c>
      <c r="B2242" t="inlineStr">
        <is>
          <t>Generación de Residuos Peligrosos Mensual</t>
        </is>
      </c>
      <c r="C2242" t="inlineStr">
        <is>
          <t>GESTIÓN AMBIENTAL</t>
        </is>
      </c>
      <c r="D2242" t="inlineStr">
        <is>
          <t>Mensual</t>
        </is>
      </c>
      <c r="E2242" t="inlineStr">
        <is>
          <t>Negativo</t>
        </is>
      </c>
      <c r="F2242" s="105" t="n">
        <v>45688</v>
      </c>
      <c r="G2242" t="inlineStr">
        <is>
          <t>434-2025-01-31</t>
        </is>
      </c>
      <c r="H2242" t="inlineStr">
        <is>
          <t>Sede Posgrado-Calle 85</t>
        </is>
      </c>
      <c r="I2242" t="n">
        <v>200</v>
      </c>
      <c r="J2242" t="n">
        <v>0</v>
      </c>
      <c r="AV2242" t="n">
        <v>0</v>
      </c>
    </row>
    <row r="2243">
      <c r="A2243" t="n">
        <v>434</v>
      </c>
      <c r="B2243" t="inlineStr">
        <is>
          <t>Generación de Residuos Peligrosos Mensual</t>
        </is>
      </c>
      <c r="C2243" t="inlineStr">
        <is>
          <t>GESTIÓN AMBIENTAL</t>
        </is>
      </c>
      <c r="D2243" t="inlineStr">
        <is>
          <t>Mensual</t>
        </is>
      </c>
      <c r="E2243" t="inlineStr">
        <is>
          <t>Negativo</t>
        </is>
      </c>
      <c r="F2243" s="105" t="n">
        <v>45688</v>
      </c>
      <c r="G2243" t="inlineStr">
        <is>
          <t>434-2025-01-31</t>
        </is>
      </c>
      <c r="H2243" t="inlineStr">
        <is>
          <t>Campus-Medellín</t>
        </is>
      </c>
      <c r="I2243" t="n">
        <v>25</v>
      </c>
      <c r="J2243" t="n">
        <v>0</v>
      </c>
      <c r="AV2243" t="n">
        <v>0</v>
      </c>
    </row>
    <row r="2244">
      <c r="A2244" t="n">
        <v>434</v>
      </c>
      <c r="B2244" t="inlineStr">
        <is>
          <t>Generación de Residuos Peligrosos Mensual</t>
        </is>
      </c>
      <c r="C2244" t="inlineStr">
        <is>
          <t>GESTIÓN AMBIENTAL</t>
        </is>
      </c>
      <c r="D2244" t="inlineStr">
        <is>
          <t>Mensual</t>
        </is>
      </c>
      <c r="E2244" t="inlineStr">
        <is>
          <t>Negativo</t>
        </is>
      </c>
      <c r="F2244" s="105" t="n">
        <v>45688</v>
      </c>
      <c r="G2244" t="inlineStr">
        <is>
          <t>434-2025-01-31</t>
        </is>
      </c>
      <c r="H2244" t="inlineStr">
        <is>
          <t>Sede Bienestar - Medellín</t>
        </is>
      </c>
      <c r="I2244" t="n">
        <v>10</v>
      </c>
      <c r="J2244" t="n">
        <v>0</v>
      </c>
      <c r="AV2244" t="n">
        <v>0</v>
      </c>
    </row>
    <row r="2245">
      <c r="A2245" t="n">
        <v>434</v>
      </c>
      <c r="B2245" t="inlineStr">
        <is>
          <t>Generación de Residuos Peligrosos Mensual</t>
        </is>
      </c>
      <c r="C2245" t="inlineStr">
        <is>
          <t>GESTIÓN AMBIENTAL</t>
        </is>
      </c>
      <c r="D2245" t="inlineStr">
        <is>
          <t>Mensual</t>
        </is>
      </c>
      <c r="E2245" t="inlineStr">
        <is>
          <t>Negativo</t>
        </is>
      </c>
      <c r="F2245" s="105" t="n">
        <v>45688</v>
      </c>
      <c r="G2245" t="inlineStr">
        <is>
          <t>434-2025-01-31</t>
        </is>
      </c>
      <c r="H2245" t="inlineStr">
        <is>
          <t>Consultorio Psicología - Medellin</t>
        </is>
      </c>
      <c r="I2245" t="n">
        <v>200</v>
      </c>
      <c r="J2245" t="n">
        <v>0</v>
      </c>
      <c r="AV2245" t="n">
        <v>0</v>
      </c>
    </row>
    <row r="2246">
      <c r="A2246" t="n">
        <v>434</v>
      </c>
      <c r="B2246" t="inlineStr">
        <is>
          <t>Generación de Residuos Peligrosos Mensual</t>
        </is>
      </c>
      <c r="C2246" t="inlineStr">
        <is>
          <t>GESTIÓN AMBIENTAL</t>
        </is>
      </c>
      <c r="D2246" t="inlineStr">
        <is>
          <t>Mensual</t>
        </is>
      </c>
      <c r="E2246" t="inlineStr">
        <is>
          <t>Negativo</t>
        </is>
      </c>
      <c r="F2246" s="105" t="n">
        <v>45688</v>
      </c>
      <c r="G2246" t="inlineStr">
        <is>
          <t>434-2025-01-31</t>
        </is>
      </c>
      <c r="H2246" t="inlineStr">
        <is>
          <t>City Campus</t>
        </is>
      </c>
      <c r="I2246" t="n">
        <v>25</v>
      </c>
      <c r="J2246" t="n">
        <v>0.75</v>
      </c>
      <c r="AV2246" t="n">
        <v>0.75</v>
      </c>
    </row>
    <row r="2247">
      <c r="A2247" t="n">
        <v>436</v>
      </c>
      <c r="B2247" t="inlineStr">
        <is>
          <t>ANS documentos operativos</t>
        </is>
      </c>
      <c r="C2247" t="inlineStr">
        <is>
          <t>Gestión de calidad</t>
        </is>
      </c>
      <c r="D2247" t="inlineStr">
        <is>
          <t>Mensual</t>
        </is>
      </c>
      <c r="E2247" t="inlineStr">
        <is>
          <t>Negativo</t>
        </is>
      </c>
      <c r="F2247" s="105" t="n">
        <v>45688</v>
      </c>
      <c r="G2247" t="inlineStr">
        <is>
          <t>436-2025-01-31</t>
        </is>
      </c>
      <c r="H2247" t="inlineStr">
        <is>
          <t>Flujo de aprobación</t>
        </is>
      </c>
      <c r="I2247" t="n">
        <v>7</v>
      </c>
      <c r="J2247" t="n">
        <v>3.099999904632568</v>
      </c>
      <c r="CP2247" t="n">
        <v>3.1</v>
      </c>
    </row>
    <row r="2248">
      <c r="A2248" t="n">
        <v>436</v>
      </c>
      <c r="B2248" t="inlineStr">
        <is>
          <t>ANS documentos operativos</t>
        </is>
      </c>
      <c r="C2248" t="inlineStr">
        <is>
          <t>Gestión de calidad</t>
        </is>
      </c>
      <c r="D2248" t="inlineStr">
        <is>
          <t>Mensual</t>
        </is>
      </c>
      <c r="E2248" t="inlineStr">
        <is>
          <t>Negativo</t>
        </is>
      </c>
      <c r="F2248" s="105" t="n">
        <v>45688</v>
      </c>
      <c r="G2248" t="inlineStr">
        <is>
          <t>436-2025-01-31</t>
        </is>
      </c>
      <c r="H2248" t="inlineStr">
        <is>
          <t>Solicitud Documental</t>
        </is>
      </c>
      <c r="I2248" t="n">
        <v>7</v>
      </c>
      <c r="J2248" t="n">
        <v>6.099999904632568</v>
      </c>
      <c r="CP2248" t="n">
        <v>6.1</v>
      </c>
    </row>
    <row r="2249">
      <c r="A2249" t="n">
        <v>485</v>
      </c>
      <c r="B2249" t="inlineStr">
        <is>
          <t>Oportunidad en el cierre de acciones</t>
        </is>
      </c>
      <c r="C2249" t="inlineStr">
        <is>
          <t>Gestión de calidad</t>
        </is>
      </c>
      <c r="D2249" t="inlineStr">
        <is>
          <t>Mensual</t>
        </is>
      </c>
      <c r="E2249" t="inlineStr">
        <is>
          <t>Positivo</t>
        </is>
      </c>
      <c r="F2249" s="105" t="n">
        <v>45688</v>
      </c>
      <c r="G2249" t="inlineStr">
        <is>
          <t>485-2025-01-31</t>
        </is>
      </c>
      <c r="H2249" t="inlineStr">
        <is>
          <t>Indicadores</t>
        </is>
      </c>
      <c r="I2249" t="n">
        <v>80</v>
      </c>
      <c r="J2249" t="n">
        <v>100</v>
      </c>
      <c r="EC2249" t="n">
        <v>0</v>
      </c>
      <c r="ED2249" t="n">
        <v>0</v>
      </c>
    </row>
    <row r="2250">
      <c r="A2250" t="n">
        <v>485</v>
      </c>
      <c r="B2250" t="inlineStr">
        <is>
          <t>Oportunidad en el cierre de acciones</t>
        </is>
      </c>
      <c r="C2250" t="inlineStr">
        <is>
          <t>Gestión de calidad</t>
        </is>
      </c>
      <c r="D2250" t="inlineStr">
        <is>
          <t>Mensual</t>
        </is>
      </c>
      <c r="E2250" t="inlineStr">
        <is>
          <t>Positivo</t>
        </is>
      </c>
      <c r="F2250" s="105" t="n">
        <v>45688</v>
      </c>
      <c r="G2250" t="inlineStr">
        <is>
          <t>485-2025-01-31</t>
        </is>
      </c>
      <c r="H2250" t="inlineStr">
        <is>
          <t>Auditoría interna</t>
        </is>
      </c>
      <c r="I2250" t="n">
        <v>80</v>
      </c>
      <c r="J2250" t="n">
        <v>100</v>
      </c>
      <c r="EC2250" t="n">
        <v>0</v>
      </c>
      <c r="ED2250" t="n">
        <v>0</v>
      </c>
    </row>
    <row r="2251">
      <c r="A2251" t="n">
        <v>485</v>
      </c>
      <c r="B2251" t="inlineStr">
        <is>
          <t>Oportunidad en el cierre de acciones</t>
        </is>
      </c>
      <c r="C2251" t="inlineStr">
        <is>
          <t>Gestión de calidad</t>
        </is>
      </c>
      <c r="D2251" t="inlineStr">
        <is>
          <t>Mensual</t>
        </is>
      </c>
      <c r="E2251" t="inlineStr">
        <is>
          <t>Positivo</t>
        </is>
      </c>
      <c r="F2251" s="105" t="n">
        <v>45688</v>
      </c>
      <c r="G2251" t="inlineStr">
        <is>
          <t>485-2025-01-31</t>
        </is>
      </c>
      <c r="H2251" t="inlineStr">
        <is>
          <t>Seguimiento y control</t>
        </is>
      </c>
      <c r="I2251" t="n">
        <v>80</v>
      </c>
      <c r="J2251" t="n">
        <v>100</v>
      </c>
      <c r="EC2251" t="n">
        <v>1</v>
      </c>
      <c r="ED2251" t="n">
        <v>1</v>
      </c>
    </row>
    <row r="2252">
      <c r="A2252" t="n">
        <v>488</v>
      </c>
      <c r="B2252" t="inlineStr">
        <is>
          <t>Oportunidad en el cierre de actividades de los planes de mejora</t>
        </is>
      </c>
      <c r="C2252" t="inlineStr">
        <is>
          <t>Gestión de calidad</t>
        </is>
      </c>
      <c r="D2252" t="inlineStr">
        <is>
          <t>Mensual</t>
        </is>
      </c>
      <c r="E2252" t="inlineStr">
        <is>
          <t>Positivo</t>
        </is>
      </c>
      <c r="F2252" s="105" t="n">
        <v>45688</v>
      </c>
      <c r="G2252" t="inlineStr">
        <is>
          <t>488-2025-01-31</t>
        </is>
      </c>
      <c r="H2252" t="inlineStr">
        <is>
          <t>Auditoría interna</t>
        </is>
      </c>
      <c r="I2252" t="n">
        <v>85</v>
      </c>
      <c r="J2252" t="n">
        <v>78.79000091552734</v>
      </c>
      <c r="EE2252" t="n">
        <v>26</v>
      </c>
      <c r="EF2252" t="n">
        <v>33</v>
      </c>
    </row>
    <row r="2253">
      <c r="A2253" t="n">
        <v>488</v>
      </c>
      <c r="B2253" t="inlineStr">
        <is>
          <t>Oportunidad en el cierre de actividades de los planes de mejora</t>
        </is>
      </c>
      <c r="C2253" t="inlineStr">
        <is>
          <t>Gestión de calidad</t>
        </is>
      </c>
      <c r="D2253" t="inlineStr">
        <is>
          <t>Mensual</t>
        </is>
      </c>
      <c r="E2253" t="inlineStr">
        <is>
          <t>Positivo</t>
        </is>
      </c>
      <c r="F2253" s="105" t="n">
        <v>45688</v>
      </c>
      <c r="G2253" t="inlineStr">
        <is>
          <t>488-2025-01-31</t>
        </is>
      </c>
      <c r="H2253" t="inlineStr">
        <is>
          <t>Auditoría externa</t>
        </is>
      </c>
      <c r="I2253" t="n">
        <v>85</v>
      </c>
      <c r="J2253" t="n">
        <v>40</v>
      </c>
      <c r="EE2253" t="n">
        <v>2</v>
      </c>
      <c r="EF2253" t="n">
        <v>5</v>
      </c>
    </row>
    <row r="2254">
      <c r="A2254" t="n">
        <v>488</v>
      </c>
      <c r="B2254" t="inlineStr">
        <is>
          <t>Oportunidad en el cierre de actividades de los planes de mejora</t>
        </is>
      </c>
      <c r="C2254" t="inlineStr">
        <is>
          <t>Gestión de calidad</t>
        </is>
      </c>
      <c r="D2254" t="inlineStr">
        <is>
          <t>Mensual</t>
        </is>
      </c>
      <c r="E2254" t="inlineStr">
        <is>
          <t>Positivo</t>
        </is>
      </c>
      <c r="F2254" s="105" t="n">
        <v>45688</v>
      </c>
      <c r="G2254" t="inlineStr">
        <is>
          <t>488-2025-01-31</t>
        </is>
      </c>
      <c r="H2254" t="inlineStr">
        <is>
          <t>Indicadores</t>
        </is>
      </c>
      <c r="I2254" t="n">
        <v>85</v>
      </c>
      <c r="J2254" t="n">
        <v>82.61000061035156</v>
      </c>
      <c r="EE2254" t="n">
        <v>19</v>
      </c>
      <c r="EF2254" t="n">
        <v>23</v>
      </c>
    </row>
    <row r="2255">
      <c r="A2255" t="n">
        <v>488</v>
      </c>
      <c r="B2255" t="inlineStr">
        <is>
          <t>Oportunidad en el cierre de actividades de los planes de mejora</t>
        </is>
      </c>
      <c r="C2255" t="inlineStr">
        <is>
          <t>Gestión de calidad</t>
        </is>
      </c>
      <c r="D2255" t="inlineStr">
        <is>
          <t>Mensual</t>
        </is>
      </c>
      <c r="E2255" t="inlineStr">
        <is>
          <t>Positivo</t>
        </is>
      </c>
      <c r="F2255" s="105" t="n">
        <v>45688</v>
      </c>
      <c r="G2255" t="inlineStr">
        <is>
          <t>488-2025-01-31</t>
        </is>
      </c>
      <c r="H2255" t="inlineStr">
        <is>
          <t>Riesgos</t>
        </is>
      </c>
      <c r="I2255" t="n">
        <v>85</v>
      </c>
      <c r="J2255" t="n">
        <v>0</v>
      </c>
      <c r="EE2255" t="n">
        <v>0</v>
      </c>
      <c r="EF2255" t="n">
        <v>0</v>
      </c>
    </row>
    <row r="2256">
      <c r="A2256" t="n">
        <v>488</v>
      </c>
      <c r="B2256" t="inlineStr">
        <is>
          <t>Oportunidad en el cierre de actividades de los planes de mejora</t>
        </is>
      </c>
      <c r="C2256" t="inlineStr">
        <is>
          <t>Gestión de calidad</t>
        </is>
      </c>
      <c r="D2256" t="inlineStr">
        <is>
          <t>Mensual</t>
        </is>
      </c>
      <c r="E2256" t="inlineStr">
        <is>
          <t>Positivo</t>
        </is>
      </c>
      <c r="F2256" s="105" t="n">
        <v>45688</v>
      </c>
      <c r="G2256" t="inlineStr">
        <is>
          <t>488-2025-01-31</t>
        </is>
      </c>
      <c r="H2256" t="inlineStr">
        <is>
          <t>Autoevaluación</t>
        </is>
      </c>
      <c r="I2256" t="n">
        <v>85</v>
      </c>
      <c r="J2256" t="n">
        <v>0</v>
      </c>
      <c r="EE2256" t="n">
        <v>0</v>
      </c>
      <c r="EF2256" t="n">
        <v>0</v>
      </c>
    </row>
    <row r="2257">
      <c r="A2257" t="n">
        <v>488</v>
      </c>
      <c r="B2257" t="inlineStr">
        <is>
          <t>Oportunidad en el cierre de actividades de los planes de mejora</t>
        </is>
      </c>
      <c r="C2257" t="inlineStr">
        <is>
          <t>Gestión de calidad</t>
        </is>
      </c>
      <c r="D2257" t="inlineStr">
        <is>
          <t>Mensual</t>
        </is>
      </c>
      <c r="E2257" t="inlineStr">
        <is>
          <t>Positivo</t>
        </is>
      </c>
      <c r="F2257" s="105" t="n">
        <v>45688</v>
      </c>
      <c r="G2257" t="inlineStr">
        <is>
          <t>488-2025-01-31</t>
        </is>
      </c>
      <c r="H2257" t="inlineStr">
        <is>
          <t>Entes de control</t>
        </is>
      </c>
      <c r="I2257" t="n">
        <v>85</v>
      </c>
      <c r="J2257" t="n">
        <v>0</v>
      </c>
      <c r="EE2257" t="n">
        <v>0</v>
      </c>
      <c r="EF2257" t="n">
        <v>0</v>
      </c>
    </row>
    <row r="2258">
      <c r="A2258" t="n">
        <v>488</v>
      </c>
      <c r="B2258" t="inlineStr">
        <is>
          <t>Oportunidad en el cierre de actividades de los planes de mejora</t>
        </is>
      </c>
      <c r="C2258" t="inlineStr">
        <is>
          <t>Gestión de calidad</t>
        </is>
      </c>
      <c r="D2258" t="inlineStr">
        <is>
          <t>Mensual</t>
        </is>
      </c>
      <c r="E2258" t="inlineStr">
        <is>
          <t>Positivo</t>
        </is>
      </c>
      <c r="F2258" s="105" t="n">
        <v>45688</v>
      </c>
      <c r="G2258" t="inlineStr">
        <is>
          <t>488-2025-01-31</t>
        </is>
      </c>
      <c r="H2258" t="inlineStr">
        <is>
          <t>Seguimiento y control</t>
        </is>
      </c>
      <c r="I2258" t="n">
        <v>85</v>
      </c>
      <c r="J2258" t="n">
        <v>79.02999877929688</v>
      </c>
      <c r="EE2258" t="n">
        <v>49</v>
      </c>
      <c r="EF2258" t="n">
        <v>62</v>
      </c>
    </row>
    <row r="2259">
      <c r="A2259" t="n">
        <v>488</v>
      </c>
      <c r="B2259" t="inlineStr">
        <is>
          <t>Oportunidad en el cierre de actividades de los planes de mejora</t>
        </is>
      </c>
      <c r="C2259" t="inlineStr">
        <is>
          <t>Gestión de calidad</t>
        </is>
      </c>
      <c r="D2259" t="inlineStr">
        <is>
          <t>Mensual</t>
        </is>
      </c>
      <c r="E2259" t="inlineStr">
        <is>
          <t>Positivo</t>
        </is>
      </c>
      <c r="F2259" s="105" t="n">
        <v>45688</v>
      </c>
      <c r="G2259" t="inlineStr">
        <is>
          <t>488-2025-01-31</t>
        </is>
      </c>
      <c r="H2259" t="inlineStr">
        <is>
          <t>Experiencia</t>
        </is>
      </c>
      <c r="I2259" t="n">
        <v>85</v>
      </c>
      <c r="J2259" t="n">
        <v>0</v>
      </c>
      <c r="EE2259" t="n">
        <v>0</v>
      </c>
      <c r="EF2259" t="n">
        <v>0</v>
      </c>
    </row>
    <row r="2260">
      <c r="A2260" t="n">
        <v>488</v>
      </c>
      <c r="B2260" t="inlineStr">
        <is>
          <t>Oportunidad en el cierre de actividades de los planes de mejora</t>
        </is>
      </c>
      <c r="C2260" t="inlineStr">
        <is>
          <t>Gestión de calidad</t>
        </is>
      </c>
      <c r="D2260" t="inlineStr">
        <is>
          <t>Mensual</t>
        </is>
      </c>
      <c r="E2260" t="inlineStr">
        <is>
          <t>Positivo</t>
        </is>
      </c>
      <c r="F2260" s="105" t="n">
        <v>45688</v>
      </c>
      <c r="G2260" t="inlineStr">
        <is>
          <t>488-2025-01-31</t>
        </is>
      </c>
      <c r="H2260" t="inlineStr">
        <is>
          <t>Revisión por la dirección</t>
        </is>
      </c>
      <c r="I2260" t="n">
        <v>85</v>
      </c>
      <c r="J2260" t="n">
        <v>0</v>
      </c>
      <c r="EE2260" t="n">
        <v>0</v>
      </c>
      <c r="EF2260" t="n">
        <v>0</v>
      </c>
    </row>
    <row r="2261">
      <c r="A2261" t="n">
        <v>509</v>
      </c>
      <c r="B2261" t="inlineStr">
        <is>
          <t>Cumplimiento a cronograma de proyectos 2025</t>
        </is>
      </c>
      <c r="C2261" t="inlineStr">
        <is>
          <t>Gestión de Proyectos</t>
        </is>
      </c>
      <c r="D2261" t="inlineStr">
        <is>
          <t>Mensual</t>
        </is>
      </c>
      <c r="E2261" t="inlineStr">
        <is>
          <t>Positivo</t>
        </is>
      </c>
      <c r="F2261" s="105" t="n">
        <v>45688</v>
      </c>
      <c r="G2261" t="inlineStr">
        <is>
          <t>509-2025-01-31</t>
        </is>
      </c>
      <c r="H2261" t="inlineStr">
        <is>
          <t>Acreditación Institucional fase III Etapa de evaluación externa o evaluación por pares</t>
        </is>
      </c>
      <c r="I2261" t="n">
        <v>90</v>
      </c>
      <c r="J2261" t="n">
        <v>100</v>
      </c>
      <c r="EJ2261" t="n">
        <v>6</v>
      </c>
      <c r="EK2261" t="n">
        <v>6</v>
      </c>
    </row>
    <row r="2262">
      <c r="A2262" t="n">
        <v>509</v>
      </c>
      <c r="B2262" t="inlineStr">
        <is>
          <t>Cumplimiento a cronograma de proyectos 2025</t>
        </is>
      </c>
      <c r="C2262" t="inlineStr">
        <is>
          <t>Gestión de Proyectos</t>
        </is>
      </c>
      <c r="D2262" t="inlineStr">
        <is>
          <t>Mensual</t>
        </is>
      </c>
      <c r="E2262" t="inlineStr">
        <is>
          <t>Positivo</t>
        </is>
      </c>
      <c r="F2262" s="105" t="n">
        <v>45688</v>
      </c>
      <c r="G2262" t="inlineStr">
        <is>
          <t>509-2025-01-31</t>
        </is>
      </c>
      <c r="H2262" t="inlineStr">
        <is>
          <t>Actualización de TRD y creación del Plan de Gestión documental</t>
        </is>
      </c>
      <c r="I2262" t="n">
        <v>90</v>
      </c>
      <c r="J2262" t="n">
        <v>0</v>
      </c>
      <c r="EJ2262" t="n">
        <v>0</v>
      </c>
      <c r="EK2262" t="n">
        <v>0</v>
      </c>
    </row>
    <row r="2263">
      <c r="A2263" t="n">
        <v>509</v>
      </c>
      <c r="B2263" t="inlineStr">
        <is>
          <t>Cumplimiento a cronograma de proyectos 2025</t>
        </is>
      </c>
      <c r="C2263" t="inlineStr">
        <is>
          <t>Gestión de Proyectos</t>
        </is>
      </c>
      <c r="D2263" t="inlineStr">
        <is>
          <t>Mensual</t>
        </is>
      </c>
      <c r="E2263" t="inlineStr">
        <is>
          <t>Positivo</t>
        </is>
      </c>
      <c r="F2263" s="105" t="n">
        <v>45688</v>
      </c>
      <c r="G2263" t="inlineStr">
        <is>
          <t>509-2025-01-31</t>
        </is>
      </c>
      <c r="H2263" t="inlineStr">
        <is>
          <t>Ecosistema E3</t>
        </is>
      </c>
      <c r="I2263" t="n">
        <v>90</v>
      </c>
      <c r="J2263" t="n">
        <v>100</v>
      </c>
      <c r="EJ2263" t="n">
        <v>95</v>
      </c>
      <c r="EK2263" t="n">
        <v>95</v>
      </c>
    </row>
    <row r="2264">
      <c r="A2264" t="n">
        <v>509</v>
      </c>
      <c r="B2264" t="inlineStr">
        <is>
          <t>Cumplimiento a cronograma de proyectos 2025</t>
        </is>
      </c>
      <c r="C2264" t="inlineStr">
        <is>
          <t>Gestión de Proyectos</t>
        </is>
      </c>
      <c r="D2264" t="inlineStr">
        <is>
          <t>Mensual</t>
        </is>
      </c>
      <c r="E2264" t="inlineStr">
        <is>
          <t>Positivo</t>
        </is>
      </c>
      <c r="F2264" s="105" t="n">
        <v>45688</v>
      </c>
      <c r="G2264" t="inlineStr">
        <is>
          <t>509-2025-01-31</t>
        </is>
      </c>
      <c r="H2264" t="inlineStr">
        <is>
          <t>Fortalecimiento de la investigación, la innovación y la creación</t>
        </is>
      </c>
      <c r="I2264" t="n">
        <v>90</v>
      </c>
      <c r="J2264" t="n">
        <v>0</v>
      </c>
      <c r="EJ2264" t="n">
        <v>0</v>
      </c>
      <c r="EK2264" t="n">
        <v>0</v>
      </c>
    </row>
    <row r="2265">
      <c r="A2265" t="n">
        <v>509</v>
      </c>
      <c r="B2265" t="inlineStr">
        <is>
          <t>Cumplimiento a cronograma de proyectos 2025</t>
        </is>
      </c>
      <c r="C2265" t="inlineStr">
        <is>
          <t>Gestión de Proyectos</t>
        </is>
      </c>
      <c r="D2265" t="inlineStr">
        <is>
          <t>Mensual</t>
        </is>
      </c>
      <c r="E2265" t="inlineStr">
        <is>
          <t>Positivo</t>
        </is>
      </c>
      <c r="F2265" s="105" t="n">
        <v>45688</v>
      </c>
      <c r="G2265" t="inlineStr">
        <is>
          <t>509-2025-01-31</t>
        </is>
      </c>
      <c r="H2265" t="inlineStr">
        <is>
          <t>Fortalecimiento de planta docente</t>
        </is>
      </c>
      <c r="I2265" t="n">
        <v>90</v>
      </c>
      <c r="J2265" t="n">
        <v>98.76999664306641</v>
      </c>
      <c r="EJ2265" t="n">
        <v>81</v>
      </c>
      <c r="EK2265" t="n">
        <v>80</v>
      </c>
    </row>
    <row r="2266">
      <c r="A2266" t="n">
        <v>509</v>
      </c>
      <c r="B2266" t="inlineStr">
        <is>
          <t>Cumplimiento a cronograma de proyectos 2025</t>
        </is>
      </c>
      <c r="C2266" t="inlineStr">
        <is>
          <t>Gestión de Proyectos</t>
        </is>
      </c>
      <c r="D2266" t="inlineStr">
        <is>
          <t>Mensual</t>
        </is>
      </c>
      <c r="E2266" t="inlineStr">
        <is>
          <t>Positivo</t>
        </is>
      </c>
      <c r="F2266" s="105" t="n">
        <v>45688</v>
      </c>
      <c r="G2266" t="inlineStr">
        <is>
          <t>509-2025-01-31</t>
        </is>
      </c>
      <c r="H2266" t="inlineStr">
        <is>
          <t>Gobierno de datos</t>
        </is>
      </c>
      <c r="I2266" t="n">
        <v>90</v>
      </c>
      <c r="J2266" t="n">
        <v>0</v>
      </c>
      <c r="EJ2266" t="n">
        <v>0</v>
      </c>
      <c r="EK2266" t="n">
        <v>0</v>
      </c>
    </row>
    <row r="2267">
      <c r="A2267" t="n">
        <v>509</v>
      </c>
      <c r="B2267" t="inlineStr">
        <is>
          <t>Cumplimiento a cronograma de proyectos 2025</t>
        </is>
      </c>
      <c r="C2267" t="inlineStr">
        <is>
          <t>Gestión de Proyectos</t>
        </is>
      </c>
      <c r="D2267" t="inlineStr">
        <is>
          <t>Mensual</t>
        </is>
      </c>
      <c r="E2267" t="inlineStr">
        <is>
          <t>Positivo</t>
        </is>
      </c>
      <c r="F2267" s="105" t="n">
        <v>45688</v>
      </c>
      <c r="G2267" t="inlineStr">
        <is>
          <t>509-2025-01-31</t>
        </is>
      </c>
      <c r="H2267" t="inlineStr">
        <is>
          <t>Herramientas de Gestión para el mejoramiento continuo</t>
        </is>
      </c>
      <c r="I2267" t="n">
        <v>90</v>
      </c>
      <c r="J2267" t="n">
        <v>0</v>
      </c>
      <c r="EJ2267" t="n">
        <v>0</v>
      </c>
      <c r="EK2267" t="n">
        <v>0</v>
      </c>
    </row>
    <row r="2268">
      <c r="A2268" t="n">
        <v>509</v>
      </c>
      <c r="B2268" t="inlineStr">
        <is>
          <t>Cumplimiento a cronograma de proyectos 2025</t>
        </is>
      </c>
      <c r="C2268" t="inlineStr">
        <is>
          <t>Gestión de Proyectos</t>
        </is>
      </c>
      <c r="D2268" t="inlineStr">
        <is>
          <t>Mensual</t>
        </is>
      </c>
      <c r="E2268" t="inlineStr">
        <is>
          <t>Positivo</t>
        </is>
      </c>
      <c r="F2268" s="105" t="n">
        <v>45688</v>
      </c>
      <c r="G2268" t="inlineStr">
        <is>
          <t>509-2025-01-31</t>
        </is>
      </c>
      <c r="H2268" t="inlineStr">
        <is>
          <t>Proyecto de Permanencia institucional</t>
        </is>
      </c>
      <c r="I2268" t="n">
        <v>90</v>
      </c>
      <c r="J2268" t="n">
        <v>0</v>
      </c>
      <c r="EJ2268" t="n">
        <v>0</v>
      </c>
      <c r="EK2268" t="n">
        <v>0</v>
      </c>
    </row>
    <row r="2269">
      <c r="A2269" t="n">
        <v>509</v>
      </c>
      <c r="B2269" t="inlineStr">
        <is>
          <t>Cumplimiento a cronograma de proyectos 2025</t>
        </is>
      </c>
      <c r="C2269" t="inlineStr">
        <is>
          <t>Gestión de Proyectos</t>
        </is>
      </c>
      <c r="D2269" t="inlineStr">
        <is>
          <t>Mensual</t>
        </is>
      </c>
      <c r="E2269" t="inlineStr">
        <is>
          <t>Positivo</t>
        </is>
      </c>
      <c r="F2269" s="105" t="n">
        <v>45688</v>
      </c>
      <c r="G2269" t="inlineStr">
        <is>
          <t>509-2025-01-31</t>
        </is>
      </c>
      <c r="H2269" t="inlineStr">
        <is>
          <t>Reingenieria de aplicaciones</t>
        </is>
      </c>
      <c r="I2269" t="n">
        <v>90</v>
      </c>
      <c r="J2269" t="n">
        <v>0</v>
      </c>
      <c r="EJ2269" t="n">
        <v>0</v>
      </c>
      <c r="EK2269" t="n">
        <v>0</v>
      </c>
    </row>
    <row r="2270">
      <c r="A2270" t="n">
        <v>509</v>
      </c>
      <c r="B2270" t="inlineStr">
        <is>
          <t>Cumplimiento a cronograma de proyectos 2025</t>
        </is>
      </c>
      <c r="C2270" t="inlineStr">
        <is>
          <t>Gestión de Proyectos</t>
        </is>
      </c>
      <c r="D2270" t="inlineStr">
        <is>
          <t>Mensual</t>
        </is>
      </c>
      <c r="E2270" t="inlineStr">
        <is>
          <t>Positivo</t>
        </is>
      </c>
      <c r="F2270" s="105" t="n">
        <v>45688</v>
      </c>
      <c r="G2270" t="inlineStr">
        <is>
          <t>509-2025-01-31</t>
        </is>
      </c>
      <c r="H2270" t="inlineStr">
        <is>
          <t>SOPHIA Sistema de Optimización y Programación Horaria Institucional  Académica  I Fase</t>
        </is>
      </c>
      <c r="I2270" t="n">
        <v>90</v>
      </c>
      <c r="J2270" t="n">
        <v>0</v>
      </c>
      <c r="EJ2270" t="n">
        <v>0</v>
      </c>
      <c r="EK2270" t="n">
        <v>0</v>
      </c>
    </row>
    <row r="2271">
      <c r="A2271" t="n">
        <v>509</v>
      </c>
      <c r="B2271" t="inlineStr">
        <is>
          <t>Cumplimiento a cronograma de proyectos 2025</t>
        </is>
      </c>
      <c r="C2271" t="inlineStr">
        <is>
          <t>Gestión de Proyectos</t>
        </is>
      </c>
      <c r="D2271" t="inlineStr">
        <is>
          <t>Mensual</t>
        </is>
      </c>
      <c r="E2271" t="inlineStr">
        <is>
          <t>Positivo</t>
        </is>
      </c>
      <c r="F2271" s="105" t="n">
        <v>45688</v>
      </c>
      <c r="G2271" t="inlineStr">
        <is>
          <t>509-2025-01-31</t>
        </is>
      </c>
      <c r="H2271" t="inlineStr">
        <is>
          <t>Modelo de seguimiento al graduado</t>
        </is>
      </c>
      <c r="I2271" t="n">
        <v>90</v>
      </c>
      <c r="J2271" t="n">
        <v>0</v>
      </c>
      <c r="EJ2271" t="n">
        <v>0</v>
      </c>
      <c r="EK2271" t="n">
        <v>0</v>
      </c>
    </row>
    <row r="2272">
      <c r="A2272" t="n">
        <v>509</v>
      </c>
      <c r="B2272" t="inlineStr">
        <is>
          <t>Cumplimiento a cronograma de proyectos 2025</t>
        </is>
      </c>
      <c r="C2272" t="inlineStr">
        <is>
          <t>Gestión de Proyectos</t>
        </is>
      </c>
      <c r="D2272" t="inlineStr">
        <is>
          <t>Mensual</t>
        </is>
      </c>
      <c r="E2272" t="inlineStr">
        <is>
          <t>Positivo</t>
        </is>
      </c>
      <c r="F2272" s="105" t="n">
        <v>45688</v>
      </c>
      <c r="G2272" t="inlineStr">
        <is>
          <t>509-2025-01-31</t>
        </is>
      </c>
      <c r="H2272" t="inlineStr">
        <is>
          <t>SER PRO Fase II</t>
        </is>
      </c>
      <c r="I2272" t="n">
        <v>90</v>
      </c>
      <c r="J2272" t="n">
        <v>0</v>
      </c>
      <c r="EJ2272" t="n">
        <v>0</v>
      </c>
      <c r="EK2272" t="n">
        <v>0</v>
      </c>
    </row>
    <row r="2273">
      <c r="A2273" t="n">
        <v>509</v>
      </c>
      <c r="B2273" t="inlineStr">
        <is>
          <t>Cumplimiento a cronograma de proyectos 2025</t>
        </is>
      </c>
      <c r="C2273" t="inlineStr">
        <is>
          <t>Gestión de Proyectos</t>
        </is>
      </c>
      <c r="D2273" t="inlineStr">
        <is>
          <t>Mensual</t>
        </is>
      </c>
      <c r="E2273" t="inlineStr">
        <is>
          <t>Positivo</t>
        </is>
      </c>
      <c r="F2273" s="105" t="n">
        <v>45688</v>
      </c>
      <c r="G2273" t="inlineStr">
        <is>
          <t>509-2025-01-31</t>
        </is>
      </c>
      <c r="H2273" t="inlineStr">
        <is>
          <t>Centro de Idiomas POLI</t>
        </is>
      </c>
      <c r="I2273" t="n">
        <v>90</v>
      </c>
      <c r="J2273" t="n">
        <v>0</v>
      </c>
      <c r="EJ2273" t="n">
        <v>0</v>
      </c>
      <c r="EK2273" t="n">
        <v>0</v>
      </c>
    </row>
    <row r="2274">
      <c r="A2274" t="n">
        <v>509</v>
      </c>
      <c r="B2274" t="inlineStr">
        <is>
          <t>Cumplimiento a cronograma de proyectos 2025</t>
        </is>
      </c>
      <c r="C2274" t="inlineStr">
        <is>
          <t>Gestión de Proyectos</t>
        </is>
      </c>
      <c r="D2274" t="inlineStr">
        <is>
          <t>Mensual</t>
        </is>
      </c>
      <c r="E2274" t="inlineStr">
        <is>
          <t>Positivo</t>
        </is>
      </c>
      <c r="F2274" s="105" t="n">
        <v>45688</v>
      </c>
      <c r="G2274" t="inlineStr">
        <is>
          <t>509-2025-01-31</t>
        </is>
      </c>
      <c r="H2274" t="inlineStr">
        <is>
          <t>Colegio Virtual</t>
        </is>
      </c>
      <c r="I2274" t="n">
        <v>90</v>
      </c>
      <c r="J2274" t="n">
        <v>0</v>
      </c>
      <c r="EJ2274" t="n">
        <v>0</v>
      </c>
      <c r="EK2274" t="n">
        <v>0</v>
      </c>
    </row>
    <row r="2275">
      <c r="A2275" t="n">
        <v>509</v>
      </c>
      <c r="B2275" t="inlineStr">
        <is>
          <t>Cumplimiento a cronograma de proyectos 2025</t>
        </is>
      </c>
      <c r="C2275" t="inlineStr">
        <is>
          <t>Gestión de Proyectos</t>
        </is>
      </c>
      <c r="D2275" t="inlineStr">
        <is>
          <t>Mensual</t>
        </is>
      </c>
      <c r="E2275" t="inlineStr">
        <is>
          <t>Positivo</t>
        </is>
      </c>
      <c r="F2275" s="105" t="n">
        <v>45688</v>
      </c>
      <c r="G2275" t="inlineStr">
        <is>
          <t>509-2025-01-31</t>
        </is>
      </c>
      <c r="H2275" t="inlineStr">
        <is>
          <t>Institución de educación para el trabajo y desarrollo humano IETDH</t>
        </is>
      </c>
      <c r="I2275" t="n">
        <v>90</v>
      </c>
      <c r="J2275" t="n">
        <v>0</v>
      </c>
      <c r="EJ2275" t="n">
        <v>0</v>
      </c>
      <c r="EK2275" t="n">
        <v>0</v>
      </c>
    </row>
    <row r="2276">
      <c r="A2276" t="n">
        <v>509</v>
      </c>
      <c r="B2276" t="inlineStr">
        <is>
          <t>Cumplimiento a cronograma de proyectos 2025</t>
        </is>
      </c>
      <c r="C2276" t="inlineStr">
        <is>
          <t>Gestión de Proyectos</t>
        </is>
      </c>
      <c r="D2276" t="inlineStr">
        <is>
          <t>Mensual</t>
        </is>
      </c>
      <c r="E2276" t="inlineStr">
        <is>
          <t>Positivo</t>
        </is>
      </c>
      <c r="F2276" s="105" t="n">
        <v>45688</v>
      </c>
      <c r="G2276" t="inlineStr">
        <is>
          <t>509-2025-01-31</t>
        </is>
      </c>
      <c r="H2276" t="inlineStr">
        <is>
          <t>Plataforma Tecnologica de Gestión de información Curricular</t>
        </is>
      </c>
      <c r="I2276" t="n">
        <v>90</v>
      </c>
      <c r="J2276" t="n">
        <v>0</v>
      </c>
      <c r="EJ2276" t="n">
        <v>0</v>
      </c>
      <c r="EK2276" t="n">
        <v>0</v>
      </c>
    </row>
    <row r="2277">
      <c r="A2277" t="n">
        <v>509</v>
      </c>
      <c r="B2277" t="inlineStr">
        <is>
          <t>Cumplimiento a cronograma de proyectos 2025</t>
        </is>
      </c>
      <c r="C2277" t="inlineStr">
        <is>
          <t>Gestión de Proyectos</t>
        </is>
      </c>
      <c r="D2277" t="inlineStr">
        <is>
          <t>Mensual</t>
        </is>
      </c>
      <c r="E2277" t="inlineStr">
        <is>
          <t>Positivo</t>
        </is>
      </c>
      <c r="F2277" s="105" t="n">
        <v>45688</v>
      </c>
      <c r="G2277" t="inlineStr">
        <is>
          <t>509-2025-01-31</t>
        </is>
      </c>
      <c r="H2277" t="inlineStr">
        <is>
          <t>Sistema de medición de resultados de aprendizaje</t>
        </is>
      </c>
      <c r="I2277" t="n">
        <v>90</v>
      </c>
      <c r="J2277" t="n">
        <v>0</v>
      </c>
      <c r="EJ2277" t="n">
        <v>0</v>
      </c>
      <c r="EK2277" t="n">
        <v>0</v>
      </c>
    </row>
    <row r="2278">
      <c r="A2278" t="n">
        <v>509</v>
      </c>
      <c r="B2278" t="inlineStr">
        <is>
          <t>Cumplimiento a cronograma de proyectos 2025</t>
        </is>
      </c>
      <c r="C2278" t="inlineStr">
        <is>
          <t>Gestión de Proyectos</t>
        </is>
      </c>
      <c r="D2278" t="inlineStr">
        <is>
          <t>Mensual</t>
        </is>
      </c>
      <c r="E2278" t="inlineStr">
        <is>
          <t>Positivo</t>
        </is>
      </c>
      <c r="F2278" s="105" t="n">
        <v>45688</v>
      </c>
      <c r="G2278" t="inlineStr">
        <is>
          <t>509-2025-01-31</t>
        </is>
      </c>
      <c r="H2278" t="inlineStr">
        <is>
          <t>ADN POLI</t>
        </is>
      </c>
      <c r="I2278" t="n">
        <v>90</v>
      </c>
      <c r="J2278" t="n">
        <v>0</v>
      </c>
      <c r="EJ2278" t="n">
        <v>0</v>
      </c>
      <c r="EK2278" t="n">
        <v>0</v>
      </c>
    </row>
    <row r="2279">
      <c r="A2279" t="n">
        <v>208</v>
      </c>
      <c r="B2279" t="inlineStr">
        <is>
          <t>Consumo de Agua m3 Mensual</t>
        </is>
      </c>
      <c r="C2279" t="inlineStr">
        <is>
          <t>GESTIÓN AMBIENTAL</t>
        </is>
      </c>
      <c r="D2279" t="inlineStr">
        <is>
          <t>Mensual</t>
        </is>
      </c>
      <c r="E2279" t="inlineStr">
        <is>
          <t>Negativo</t>
        </is>
      </c>
      <c r="F2279" s="105" t="n">
        <v>45716</v>
      </c>
      <c r="G2279" t="inlineStr">
        <is>
          <t>208-2025-02-28</t>
        </is>
      </c>
      <c r="H2279" t="inlineStr">
        <is>
          <t>Campus Bogotá</t>
        </is>
      </c>
      <c r="I2279" t="n">
        <v>950</v>
      </c>
      <c r="J2279" t="n">
        <v>632</v>
      </c>
      <c r="K2279" t="n">
        <v>632</v>
      </c>
    </row>
    <row r="2280">
      <c r="A2280" t="n">
        <v>208</v>
      </c>
      <c r="B2280" t="inlineStr">
        <is>
          <t>Consumo de Agua m3 Mensual</t>
        </is>
      </c>
      <c r="C2280" t="inlineStr">
        <is>
          <t>GESTIÓN AMBIENTAL</t>
        </is>
      </c>
      <c r="D2280" t="inlineStr">
        <is>
          <t>Mensual</t>
        </is>
      </c>
      <c r="E2280" t="inlineStr">
        <is>
          <t>Negativo</t>
        </is>
      </c>
      <c r="F2280" s="105" t="n">
        <v>45716</v>
      </c>
      <c r="G2280" t="inlineStr">
        <is>
          <t>208-2025-02-28</t>
        </is>
      </c>
      <c r="H2280" t="inlineStr">
        <is>
          <t>Sede Posgrado-Calle 85</t>
        </is>
      </c>
      <c r="I2280" t="n">
        <v>25</v>
      </c>
      <c r="J2280" t="n">
        <v>13.5</v>
      </c>
      <c r="K2280" t="n">
        <v>13.5</v>
      </c>
    </row>
    <row r="2281">
      <c r="A2281" t="n">
        <v>208</v>
      </c>
      <c r="B2281" t="inlineStr">
        <is>
          <t>Consumo de Agua m3 Mensual</t>
        </is>
      </c>
      <c r="C2281" t="inlineStr">
        <is>
          <t>GESTIÓN AMBIENTAL</t>
        </is>
      </c>
      <c r="D2281" t="inlineStr">
        <is>
          <t>Mensual</t>
        </is>
      </c>
      <c r="E2281" t="inlineStr">
        <is>
          <t>Negativo</t>
        </is>
      </c>
      <c r="F2281" s="105" t="n">
        <v>45716</v>
      </c>
      <c r="G2281" t="inlineStr">
        <is>
          <t>208-2025-02-28</t>
        </is>
      </c>
      <c r="H2281" t="inlineStr">
        <is>
          <t>Campus-Medellín</t>
        </is>
      </c>
      <c r="I2281" t="n">
        <v>200</v>
      </c>
      <c r="J2281" t="n">
        <v>228</v>
      </c>
      <c r="K2281" t="n">
        <v>228</v>
      </c>
    </row>
    <row r="2282">
      <c r="A2282" t="n">
        <v>208</v>
      </c>
      <c r="B2282" t="inlineStr">
        <is>
          <t>Consumo de Agua m3 Mensual</t>
        </is>
      </c>
      <c r="C2282" t="inlineStr">
        <is>
          <t>GESTIÓN AMBIENTAL</t>
        </is>
      </c>
      <c r="D2282" t="inlineStr">
        <is>
          <t>Mensual</t>
        </is>
      </c>
      <c r="E2282" t="inlineStr">
        <is>
          <t>Negativo</t>
        </is>
      </c>
      <c r="F2282" s="105" t="n">
        <v>45716</v>
      </c>
      <c r="G2282" t="inlineStr">
        <is>
          <t>208-2025-02-28</t>
        </is>
      </c>
      <c r="H2282" t="inlineStr">
        <is>
          <t>Sede Bienestar - Medellín</t>
        </is>
      </c>
      <c r="I2282" t="n">
        <v>0</v>
      </c>
      <c r="J2282" t="n">
        <v>0</v>
      </c>
      <c r="K2282" t="n">
        <v>0</v>
      </c>
    </row>
    <row r="2283">
      <c r="A2283" t="n">
        <v>208</v>
      </c>
      <c r="B2283" t="inlineStr">
        <is>
          <t>Consumo de Agua m3 Mensual</t>
        </is>
      </c>
      <c r="C2283" t="inlineStr">
        <is>
          <t>GESTIÓN AMBIENTAL</t>
        </is>
      </c>
      <c r="D2283" t="inlineStr">
        <is>
          <t>Mensual</t>
        </is>
      </c>
      <c r="E2283" t="inlineStr">
        <is>
          <t>Negativo</t>
        </is>
      </c>
      <c r="F2283" s="105" t="n">
        <v>45716</v>
      </c>
      <c r="G2283" t="inlineStr">
        <is>
          <t>208-2025-02-28</t>
        </is>
      </c>
      <c r="H2283" t="inlineStr">
        <is>
          <t>Consultorio Psicología - Medellin</t>
        </is>
      </c>
      <c r="I2283" t="n">
        <v>25</v>
      </c>
      <c r="J2283" t="n">
        <v>0</v>
      </c>
      <c r="K2283" t="n">
        <v>0</v>
      </c>
    </row>
    <row r="2284">
      <c r="A2284" t="n">
        <v>208</v>
      </c>
      <c r="B2284" t="inlineStr">
        <is>
          <t>Consumo de Agua m3 Mensual</t>
        </is>
      </c>
      <c r="C2284" t="inlineStr">
        <is>
          <t>GESTIÓN AMBIENTAL</t>
        </is>
      </c>
      <c r="D2284" t="inlineStr">
        <is>
          <t>Mensual</t>
        </is>
      </c>
      <c r="E2284" t="inlineStr">
        <is>
          <t>Negativo</t>
        </is>
      </c>
      <c r="F2284" s="105" t="n">
        <v>45716</v>
      </c>
      <c r="G2284" t="inlineStr">
        <is>
          <t>208-2025-02-28</t>
        </is>
      </c>
      <c r="H2284" t="inlineStr">
        <is>
          <t>City Campus</t>
        </is>
      </c>
      <c r="I2284" t="n">
        <v>350</v>
      </c>
      <c r="J2284" t="n">
        <v>249.5</v>
      </c>
      <c r="K2284" t="n">
        <v>249.5</v>
      </c>
    </row>
    <row r="2285">
      <c r="A2285" t="n">
        <v>214</v>
      </c>
      <c r="B2285" t="inlineStr">
        <is>
          <t>Generación de Residuos Sólidos Mensual</t>
        </is>
      </c>
      <c r="C2285" t="inlineStr">
        <is>
          <t>GESTIÓN AMBIENTAL</t>
        </is>
      </c>
      <c r="D2285" t="inlineStr">
        <is>
          <t>Mensual</t>
        </is>
      </c>
      <c r="E2285" t="inlineStr">
        <is>
          <t>Negativo</t>
        </is>
      </c>
      <c r="F2285" s="105" t="n">
        <v>45716</v>
      </c>
      <c r="G2285" t="inlineStr">
        <is>
          <t>214-2025-02-28</t>
        </is>
      </c>
      <c r="H2285" t="inlineStr">
        <is>
          <t>City Campus</t>
        </is>
      </c>
      <c r="I2285" t="n">
        <v>1000</v>
      </c>
      <c r="J2285" t="n">
        <v>1009.260009765625</v>
      </c>
      <c r="L2285" t="n">
        <v>102.1</v>
      </c>
      <c r="M2285" t="n">
        <v>907.16</v>
      </c>
    </row>
    <row r="2286">
      <c r="A2286" t="n">
        <v>214</v>
      </c>
      <c r="B2286" t="inlineStr">
        <is>
          <t>Generación de Residuos Sólidos Mensual</t>
        </is>
      </c>
      <c r="C2286" t="inlineStr">
        <is>
          <t>GESTIÓN AMBIENTAL</t>
        </is>
      </c>
      <c r="D2286" t="inlineStr">
        <is>
          <t>Mensual</t>
        </is>
      </c>
      <c r="E2286" t="inlineStr">
        <is>
          <t>Negativo</t>
        </is>
      </c>
      <c r="F2286" s="105" t="n">
        <v>45716</v>
      </c>
      <c r="G2286" t="inlineStr">
        <is>
          <t>214-2025-02-28</t>
        </is>
      </c>
      <c r="H2286" t="inlineStr">
        <is>
          <t>Sede Posgrado-Calle 85</t>
        </is>
      </c>
      <c r="I2286" t="n">
        <v>7500</v>
      </c>
      <c r="J2286" t="n">
        <v>0</v>
      </c>
      <c r="L2286" t="n">
        <v>0</v>
      </c>
      <c r="M2286" t="n">
        <v>0</v>
      </c>
    </row>
    <row r="2287">
      <c r="A2287" t="n">
        <v>214</v>
      </c>
      <c r="B2287" t="inlineStr">
        <is>
          <t>Generación de Residuos Sólidos Mensual</t>
        </is>
      </c>
      <c r="C2287" t="inlineStr">
        <is>
          <t>GESTIÓN AMBIENTAL</t>
        </is>
      </c>
      <c r="D2287" t="inlineStr">
        <is>
          <t>Mensual</t>
        </is>
      </c>
      <c r="E2287" t="inlineStr">
        <is>
          <t>Negativo</t>
        </is>
      </c>
      <c r="F2287" s="105" t="n">
        <v>45716</v>
      </c>
      <c r="G2287" t="inlineStr">
        <is>
          <t>214-2025-02-28</t>
        </is>
      </c>
      <c r="H2287" t="inlineStr">
        <is>
          <t>Campus-Medellín</t>
        </is>
      </c>
      <c r="I2287" t="n">
        <v>1000</v>
      </c>
      <c r="J2287" t="n">
        <v>886.7999877929688</v>
      </c>
      <c r="L2287" t="n">
        <v>148.9</v>
      </c>
      <c r="M2287" t="n">
        <v>737.9</v>
      </c>
    </row>
    <row r="2288">
      <c r="A2288" t="n">
        <v>214</v>
      </c>
      <c r="B2288" t="inlineStr">
        <is>
          <t>Generación de Residuos Sólidos Mensual</t>
        </is>
      </c>
      <c r="C2288" t="inlineStr">
        <is>
          <t>GESTIÓN AMBIENTAL</t>
        </is>
      </c>
      <c r="D2288" t="inlineStr">
        <is>
          <t>Mensual</t>
        </is>
      </c>
      <c r="E2288" t="inlineStr">
        <is>
          <t>Negativo</t>
        </is>
      </c>
      <c r="F2288" s="105" t="n">
        <v>45716</v>
      </c>
      <c r="G2288" t="inlineStr">
        <is>
          <t>214-2025-02-28</t>
        </is>
      </c>
      <c r="H2288" t="inlineStr">
        <is>
          <t>Sede Bienestar - Medellín</t>
        </is>
      </c>
      <c r="I2288" t="n">
        <v>1</v>
      </c>
      <c r="J2288" t="n">
        <v>0</v>
      </c>
      <c r="L2288" t="n">
        <v>0</v>
      </c>
      <c r="M2288" t="n">
        <v>0</v>
      </c>
    </row>
    <row r="2289">
      <c r="A2289" t="n">
        <v>214</v>
      </c>
      <c r="B2289" t="inlineStr">
        <is>
          <t>Generación de Residuos Sólidos Mensual</t>
        </is>
      </c>
      <c r="C2289" t="inlineStr">
        <is>
          <t>GESTIÓN AMBIENTAL</t>
        </is>
      </c>
      <c r="D2289" t="inlineStr">
        <is>
          <t>Mensual</t>
        </is>
      </c>
      <c r="E2289" t="inlineStr">
        <is>
          <t>Negativo</t>
        </is>
      </c>
      <c r="F2289" s="105" t="n">
        <v>45716</v>
      </c>
      <c r="G2289" t="inlineStr">
        <is>
          <t>214-2025-02-28</t>
        </is>
      </c>
      <c r="H2289" t="inlineStr">
        <is>
          <t>Consultorio Psicología - Medellin</t>
        </is>
      </c>
      <c r="I2289" t="n">
        <v>1</v>
      </c>
      <c r="J2289" t="n">
        <v>28.42000007629395</v>
      </c>
      <c r="L2289" t="n">
        <v>5.06</v>
      </c>
      <c r="M2289" t="n">
        <v>23.36</v>
      </c>
    </row>
    <row r="2290">
      <c r="A2290" t="n">
        <v>214</v>
      </c>
      <c r="B2290" t="inlineStr">
        <is>
          <t>Generación de Residuos Sólidos Mensual</t>
        </is>
      </c>
      <c r="C2290" t="inlineStr">
        <is>
          <t>GESTIÓN AMBIENTAL</t>
        </is>
      </c>
      <c r="D2290" t="inlineStr">
        <is>
          <t>Mensual</t>
        </is>
      </c>
      <c r="E2290" t="inlineStr">
        <is>
          <t>Negativo</t>
        </is>
      </c>
      <c r="F2290" s="105" t="n">
        <v>45716</v>
      </c>
      <c r="G2290" t="inlineStr">
        <is>
          <t>214-2025-02-28</t>
        </is>
      </c>
      <c r="H2290" t="inlineStr">
        <is>
          <t>Campus Bogotá</t>
        </is>
      </c>
      <c r="I2290" t="n">
        <v>5500</v>
      </c>
      <c r="J2290" t="n">
        <v>3092.35009765625</v>
      </c>
      <c r="L2290" t="n">
        <v>1028.9</v>
      </c>
      <c r="M2290" t="n">
        <v>2063.45</v>
      </c>
    </row>
    <row r="2291">
      <c r="A2291" t="n">
        <v>217</v>
      </c>
      <c r="B2291" t="inlineStr">
        <is>
          <t>Aprovechamiento de Residuos</t>
        </is>
      </c>
      <c r="C2291" t="inlineStr">
        <is>
          <t>GESTIÓN AMBIENTAL</t>
        </is>
      </c>
      <c r="D2291" t="inlineStr">
        <is>
          <t>Mensual</t>
        </is>
      </c>
      <c r="E2291" t="inlineStr">
        <is>
          <t>Positivo</t>
        </is>
      </c>
      <c r="F2291" s="105" t="n">
        <v>45716</v>
      </c>
      <c r="G2291" t="inlineStr">
        <is>
          <t>217-2025-02-28</t>
        </is>
      </c>
      <c r="H2291" t="inlineStr">
        <is>
          <t>City Campus</t>
        </is>
      </c>
      <c r="I2291" t="n">
        <v>20</v>
      </c>
      <c r="J2291" t="n">
        <v>10.11999988555908</v>
      </c>
      <c r="L2291" t="n">
        <v>102.1</v>
      </c>
      <c r="M2291" t="n">
        <v>907.16</v>
      </c>
      <c r="AS2291" t="n">
        <v>102.1</v>
      </c>
    </row>
    <row r="2292">
      <c r="A2292" t="n">
        <v>217</v>
      </c>
      <c r="B2292" t="inlineStr">
        <is>
          <t>Aprovechamiento de Residuos</t>
        </is>
      </c>
      <c r="C2292" t="inlineStr">
        <is>
          <t>GESTIÓN AMBIENTAL</t>
        </is>
      </c>
      <c r="D2292" t="inlineStr">
        <is>
          <t>Mensual</t>
        </is>
      </c>
      <c r="E2292" t="inlineStr">
        <is>
          <t>Positivo</t>
        </is>
      </c>
      <c r="F2292" s="105" t="n">
        <v>45716</v>
      </c>
      <c r="G2292" t="inlineStr">
        <is>
          <t>217-2025-02-28</t>
        </is>
      </c>
      <c r="H2292" t="inlineStr">
        <is>
          <t>Sede Posgrado-Calle 85</t>
        </is>
      </c>
      <c r="I2292" t="n">
        <v>20</v>
      </c>
      <c r="J2292" t="n">
        <v>0</v>
      </c>
      <c r="L2292" t="n">
        <v>0</v>
      </c>
      <c r="M2292" t="n">
        <v>0</v>
      </c>
      <c r="AS2292" t="n">
        <v>0</v>
      </c>
    </row>
    <row r="2293">
      <c r="A2293" t="n">
        <v>217</v>
      </c>
      <c r="B2293" t="inlineStr">
        <is>
          <t>Aprovechamiento de Residuos</t>
        </is>
      </c>
      <c r="C2293" t="inlineStr">
        <is>
          <t>GESTIÓN AMBIENTAL</t>
        </is>
      </c>
      <c r="D2293" t="inlineStr">
        <is>
          <t>Mensual</t>
        </is>
      </c>
      <c r="E2293" t="inlineStr">
        <is>
          <t>Positivo</t>
        </is>
      </c>
      <c r="F2293" s="105" t="n">
        <v>45716</v>
      </c>
      <c r="G2293" t="inlineStr">
        <is>
          <t>217-2025-02-28</t>
        </is>
      </c>
      <c r="H2293" t="inlineStr">
        <is>
          <t>Campus-Medellín</t>
        </is>
      </c>
      <c r="I2293" t="n">
        <v>20</v>
      </c>
      <c r="J2293" t="n">
        <v>16.79000091552734</v>
      </c>
      <c r="L2293" t="n">
        <v>148.9</v>
      </c>
      <c r="M2293" t="n">
        <v>737.9</v>
      </c>
      <c r="AS2293" t="n">
        <v>148.9</v>
      </c>
    </row>
    <row r="2294">
      <c r="A2294" t="n">
        <v>217</v>
      </c>
      <c r="B2294" t="inlineStr">
        <is>
          <t>Aprovechamiento de Residuos</t>
        </is>
      </c>
      <c r="C2294" t="inlineStr">
        <is>
          <t>GESTIÓN AMBIENTAL</t>
        </is>
      </c>
      <c r="D2294" t="inlineStr">
        <is>
          <t>Mensual</t>
        </is>
      </c>
      <c r="E2294" t="inlineStr">
        <is>
          <t>Positivo</t>
        </is>
      </c>
      <c r="F2294" s="105" t="n">
        <v>45716</v>
      </c>
      <c r="G2294" t="inlineStr">
        <is>
          <t>217-2025-02-28</t>
        </is>
      </c>
      <c r="H2294" t="inlineStr">
        <is>
          <t>Sede Bienestar - Medellín</t>
        </is>
      </c>
      <c r="I2294" t="n">
        <v>20</v>
      </c>
      <c r="J2294" t="n">
        <v>0</v>
      </c>
      <c r="L2294" t="n">
        <v>0</v>
      </c>
      <c r="M2294" t="n">
        <v>0</v>
      </c>
      <c r="AS2294" t="n">
        <v>0</v>
      </c>
    </row>
    <row r="2295">
      <c r="A2295" t="n">
        <v>217</v>
      </c>
      <c r="B2295" t="inlineStr">
        <is>
          <t>Aprovechamiento de Residuos</t>
        </is>
      </c>
      <c r="C2295" t="inlineStr">
        <is>
          <t>GESTIÓN AMBIENTAL</t>
        </is>
      </c>
      <c r="D2295" t="inlineStr">
        <is>
          <t>Mensual</t>
        </is>
      </c>
      <c r="E2295" t="inlineStr">
        <is>
          <t>Positivo</t>
        </is>
      </c>
      <c r="F2295" s="105" t="n">
        <v>45716</v>
      </c>
      <c r="G2295" t="inlineStr">
        <is>
          <t>217-2025-02-28</t>
        </is>
      </c>
      <c r="H2295" t="inlineStr">
        <is>
          <t>Consultorio Psicología - Medellin</t>
        </is>
      </c>
      <c r="I2295" t="n">
        <v>20</v>
      </c>
      <c r="J2295" t="n">
        <v>17.79999923706055</v>
      </c>
      <c r="L2295" t="n">
        <v>5.06</v>
      </c>
      <c r="M2295" t="n">
        <v>23.36</v>
      </c>
      <c r="AS2295" t="n">
        <v>5.06</v>
      </c>
    </row>
    <row r="2296">
      <c r="A2296" t="n">
        <v>217</v>
      </c>
      <c r="B2296" t="inlineStr">
        <is>
          <t>Aprovechamiento de Residuos</t>
        </is>
      </c>
      <c r="C2296" t="inlineStr">
        <is>
          <t>GESTIÓN AMBIENTAL</t>
        </is>
      </c>
      <c r="D2296" t="inlineStr">
        <is>
          <t>Mensual</t>
        </is>
      </c>
      <c r="E2296" t="inlineStr">
        <is>
          <t>Positivo</t>
        </is>
      </c>
      <c r="F2296" s="105" t="n">
        <v>45716</v>
      </c>
      <c r="G2296" t="inlineStr">
        <is>
          <t>217-2025-02-28</t>
        </is>
      </c>
      <c r="H2296" t="inlineStr">
        <is>
          <t>Campus Bogotá</t>
        </is>
      </c>
      <c r="I2296" t="n">
        <v>20</v>
      </c>
      <c r="J2296" t="n">
        <v>61.29999923706055</v>
      </c>
      <c r="L2296" t="n">
        <v>1028.9</v>
      </c>
      <c r="M2296" t="n">
        <v>2063.45</v>
      </c>
      <c r="AS2296" t="n">
        <v>1895.64</v>
      </c>
    </row>
    <row r="2297">
      <c r="A2297" t="n">
        <v>218</v>
      </c>
      <c r="B2297" t="inlineStr">
        <is>
          <t>Consumo de Energía Eléctrica kWh Mensual</t>
        </is>
      </c>
      <c r="C2297" t="inlineStr">
        <is>
          <t>GESTIÓN AMBIENTAL</t>
        </is>
      </c>
      <c r="D2297" t="inlineStr">
        <is>
          <t>Mensual</t>
        </is>
      </c>
      <c r="E2297" t="inlineStr">
        <is>
          <t>Negativo</t>
        </is>
      </c>
      <c r="F2297" s="105" t="n">
        <v>45716</v>
      </c>
      <c r="G2297" t="inlineStr">
        <is>
          <t>218-2025-02-28</t>
        </is>
      </c>
      <c r="H2297" t="inlineStr">
        <is>
          <t>Campus Bogotá</t>
        </is>
      </c>
      <c r="I2297" t="n">
        <v>76000</v>
      </c>
      <c r="J2297" t="n">
        <v>66782.390625</v>
      </c>
      <c r="N2297" t="n">
        <v>66782.39</v>
      </c>
    </row>
    <row r="2298">
      <c r="A2298" t="n">
        <v>218</v>
      </c>
      <c r="B2298" t="inlineStr">
        <is>
          <t>Consumo de Energía Eléctrica kWh Mensual</t>
        </is>
      </c>
      <c r="C2298" t="inlineStr">
        <is>
          <t>GESTIÓN AMBIENTAL</t>
        </is>
      </c>
      <c r="D2298" t="inlineStr">
        <is>
          <t>Mensual</t>
        </is>
      </c>
      <c r="E2298" t="inlineStr">
        <is>
          <t>Negativo</t>
        </is>
      </c>
      <c r="F2298" s="105" t="n">
        <v>45716</v>
      </c>
      <c r="G2298" t="inlineStr">
        <is>
          <t>218-2025-02-28</t>
        </is>
      </c>
      <c r="H2298" t="inlineStr">
        <is>
          <t>Sede Posgrado-Calle 85</t>
        </is>
      </c>
      <c r="I2298" t="n">
        <v>5000</v>
      </c>
      <c r="J2298" t="n">
        <v>3660</v>
      </c>
      <c r="N2298" t="n">
        <v>3660</v>
      </c>
    </row>
    <row r="2299">
      <c r="A2299" t="n">
        <v>218</v>
      </c>
      <c r="B2299" t="inlineStr">
        <is>
          <t>Consumo de Energía Eléctrica kWh Mensual</t>
        </is>
      </c>
      <c r="C2299" t="inlineStr">
        <is>
          <t>GESTIÓN AMBIENTAL</t>
        </is>
      </c>
      <c r="D2299" t="inlineStr">
        <is>
          <t>Mensual</t>
        </is>
      </c>
      <c r="E2299" t="inlineStr">
        <is>
          <t>Negativo</t>
        </is>
      </c>
      <c r="F2299" s="105" t="n">
        <v>45716</v>
      </c>
      <c r="G2299" t="inlineStr">
        <is>
          <t>218-2025-02-28</t>
        </is>
      </c>
      <c r="H2299" t="inlineStr">
        <is>
          <t>Campus-Medellín</t>
        </is>
      </c>
      <c r="I2299" t="n">
        <v>24000</v>
      </c>
      <c r="J2299" t="n">
        <v>20253</v>
      </c>
      <c r="N2299" t="n">
        <v>20253</v>
      </c>
    </row>
    <row r="2300">
      <c r="A2300" t="n">
        <v>218</v>
      </c>
      <c r="B2300" t="inlineStr">
        <is>
          <t>Consumo de Energía Eléctrica kWh Mensual</t>
        </is>
      </c>
      <c r="C2300" t="inlineStr">
        <is>
          <t>GESTIÓN AMBIENTAL</t>
        </is>
      </c>
      <c r="D2300" t="inlineStr">
        <is>
          <t>Mensual</t>
        </is>
      </c>
      <c r="E2300" t="inlineStr">
        <is>
          <t>Negativo</t>
        </is>
      </c>
      <c r="F2300" s="105" t="n">
        <v>45716</v>
      </c>
      <c r="G2300" t="inlineStr">
        <is>
          <t>218-2025-02-28</t>
        </is>
      </c>
      <c r="H2300" t="inlineStr">
        <is>
          <t>Sede Bienestar - Medellín</t>
        </is>
      </c>
      <c r="I2300" t="n">
        <v>5000</v>
      </c>
      <c r="J2300" t="n">
        <v>600</v>
      </c>
      <c r="N2300" t="n">
        <v>600</v>
      </c>
    </row>
    <row r="2301">
      <c r="A2301" t="n">
        <v>218</v>
      </c>
      <c r="B2301" t="inlineStr">
        <is>
          <t>Consumo de Energía Eléctrica kWh Mensual</t>
        </is>
      </c>
      <c r="C2301" t="inlineStr">
        <is>
          <t>GESTIÓN AMBIENTAL</t>
        </is>
      </c>
      <c r="D2301" t="inlineStr">
        <is>
          <t>Mensual</t>
        </is>
      </c>
      <c r="E2301" t="inlineStr">
        <is>
          <t>Negativo</t>
        </is>
      </c>
      <c r="F2301" s="105" t="n">
        <v>45716</v>
      </c>
      <c r="G2301" t="inlineStr">
        <is>
          <t>218-2025-02-28</t>
        </is>
      </c>
      <c r="H2301" t="inlineStr">
        <is>
          <t>Consultorio Psicología - Medellin</t>
        </is>
      </c>
      <c r="I2301" t="n">
        <v>2000</v>
      </c>
      <c r="J2301" t="n">
        <v>1368</v>
      </c>
      <c r="N2301" t="n">
        <v>1368</v>
      </c>
    </row>
    <row r="2302">
      <c r="A2302" t="n">
        <v>218</v>
      </c>
      <c r="B2302" t="inlineStr">
        <is>
          <t>Consumo de Energía Eléctrica kWh Mensual</t>
        </is>
      </c>
      <c r="C2302" t="inlineStr">
        <is>
          <t>GESTIÓN AMBIENTAL</t>
        </is>
      </c>
      <c r="D2302" t="inlineStr">
        <is>
          <t>Mensual</t>
        </is>
      </c>
      <c r="E2302" t="inlineStr">
        <is>
          <t>Negativo</t>
        </is>
      </c>
      <c r="F2302" s="105" t="n">
        <v>45716</v>
      </c>
      <c r="G2302" t="inlineStr">
        <is>
          <t>218-2025-02-28</t>
        </is>
      </c>
      <c r="H2302" t="inlineStr">
        <is>
          <t>City Campus</t>
        </is>
      </c>
      <c r="I2302" t="n">
        <v>76000</v>
      </c>
      <c r="J2302" t="n">
        <v>42100</v>
      </c>
      <c r="N2302" t="n">
        <v>42100</v>
      </c>
    </row>
    <row r="2303">
      <c r="A2303" t="n">
        <v>225</v>
      </c>
      <c r="B2303" t="inlineStr">
        <is>
          <t>Acciones para el Cuidado y Mantenimiento de las Especies de Flora y el Suelo de las Áreas Naturales</t>
        </is>
      </c>
      <c r="C2303" t="inlineStr">
        <is>
          <t>GESTIÓN AMBIENTAL</t>
        </is>
      </c>
      <c r="D2303" t="inlineStr">
        <is>
          <t>Mensual</t>
        </is>
      </c>
      <c r="E2303" t="inlineStr">
        <is>
          <t>Positivo</t>
        </is>
      </c>
      <c r="F2303" s="105" t="n">
        <v>45716</v>
      </c>
      <c r="G2303" t="inlineStr">
        <is>
          <t>225-2025-02-28</t>
        </is>
      </c>
      <c r="H2303" t="inlineStr">
        <is>
          <t>Campus Bogotá</t>
        </is>
      </c>
      <c r="I2303" t="n">
        <v>1</v>
      </c>
      <c r="J2303" t="n">
        <v>5</v>
      </c>
      <c r="AT2303" t="n">
        <v>5</v>
      </c>
    </row>
    <row r="2304">
      <c r="A2304" t="n">
        <v>225</v>
      </c>
      <c r="B2304" t="inlineStr">
        <is>
          <t>Acciones para el Cuidado y Mantenimiento de las Especies de Flora y el Suelo de las Áreas Naturales</t>
        </is>
      </c>
      <c r="C2304" t="inlineStr">
        <is>
          <t>GESTIÓN AMBIENTAL</t>
        </is>
      </c>
      <c r="D2304" t="inlineStr">
        <is>
          <t>Mensual</t>
        </is>
      </c>
      <c r="E2304" t="inlineStr">
        <is>
          <t>Positivo</t>
        </is>
      </c>
      <c r="F2304" s="105" t="n">
        <v>45716</v>
      </c>
      <c r="G2304" t="inlineStr">
        <is>
          <t>225-2025-02-28</t>
        </is>
      </c>
      <c r="H2304" t="inlineStr">
        <is>
          <t>City Campus</t>
        </is>
      </c>
      <c r="I2304" t="n">
        <v>1</v>
      </c>
      <c r="J2304" t="n">
        <v>3</v>
      </c>
      <c r="AT2304" t="n">
        <v>3</v>
      </c>
    </row>
    <row r="2305">
      <c r="A2305" t="n">
        <v>225</v>
      </c>
      <c r="B2305" t="inlineStr">
        <is>
          <t>Acciones para el Cuidado y Mantenimiento de las Especies de Flora y el Suelo de las Áreas Naturales</t>
        </is>
      </c>
      <c r="C2305" t="inlineStr">
        <is>
          <t>GESTIÓN AMBIENTAL</t>
        </is>
      </c>
      <c r="D2305" t="inlineStr">
        <is>
          <t>Mensual</t>
        </is>
      </c>
      <c r="E2305" t="inlineStr">
        <is>
          <t>Positivo</t>
        </is>
      </c>
      <c r="F2305" s="105" t="n">
        <v>45716</v>
      </c>
      <c r="G2305" t="inlineStr">
        <is>
          <t>225-2025-02-28</t>
        </is>
      </c>
      <c r="H2305" t="inlineStr">
        <is>
          <t>Sede Posgrado-Calle 85</t>
        </is>
      </c>
      <c r="I2305" t="n">
        <v>1</v>
      </c>
      <c r="J2305" t="n">
        <v>0</v>
      </c>
      <c r="AT2305" t="n">
        <v>0</v>
      </c>
    </row>
    <row r="2306">
      <c r="A2306" t="n">
        <v>225</v>
      </c>
      <c r="B2306" t="inlineStr">
        <is>
          <t>Acciones para el Cuidado y Mantenimiento de las Especies de Flora y el Suelo de las Áreas Naturales</t>
        </is>
      </c>
      <c r="C2306" t="inlineStr">
        <is>
          <t>GESTIÓN AMBIENTAL</t>
        </is>
      </c>
      <c r="D2306" t="inlineStr">
        <is>
          <t>Mensual</t>
        </is>
      </c>
      <c r="E2306" t="inlineStr">
        <is>
          <t>Positivo</t>
        </is>
      </c>
      <c r="F2306" s="105" t="n">
        <v>45716</v>
      </c>
      <c r="G2306" t="inlineStr">
        <is>
          <t>225-2025-02-28</t>
        </is>
      </c>
      <c r="H2306" t="inlineStr">
        <is>
          <t>Campus-Medellín</t>
        </is>
      </c>
      <c r="I2306" t="n">
        <v>1</v>
      </c>
      <c r="J2306" t="n">
        <v>10</v>
      </c>
      <c r="AT2306" t="n">
        <v>10</v>
      </c>
    </row>
    <row r="2307">
      <c r="A2307" t="n">
        <v>225</v>
      </c>
      <c r="B2307" t="inlineStr">
        <is>
          <t>Acciones para el Cuidado y Mantenimiento de las Especies de Flora y el Suelo de las Áreas Naturales</t>
        </is>
      </c>
      <c r="C2307" t="inlineStr">
        <is>
          <t>GESTIÓN AMBIENTAL</t>
        </is>
      </c>
      <c r="D2307" t="inlineStr">
        <is>
          <t>Mensual</t>
        </is>
      </c>
      <c r="E2307" t="inlineStr">
        <is>
          <t>Positivo</t>
        </is>
      </c>
      <c r="F2307" s="105" t="n">
        <v>45716</v>
      </c>
      <c r="G2307" t="inlineStr">
        <is>
          <t>225-2025-02-28</t>
        </is>
      </c>
      <c r="H2307" t="inlineStr">
        <is>
          <t>Sede Bienestar - Medellín</t>
        </is>
      </c>
      <c r="I2307" t="n">
        <v>1</v>
      </c>
      <c r="J2307" t="n">
        <v>1</v>
      </c>
      <c r="AT2307" t="n">
        <v>1</v>
      </c>
    </row>
    <row r="2308">
      <c r="A2308" t="n">
        <v>225</v>
      </c>
      <c r="B2308" t="inlineStr">
        <is>
          <t>Acciones para el Cuidado y Mantenimiento de las Especies de Flora y el Suelo de las Áreas Naturales</t>
        </is>
      </c>
      <c r="C2308" t="inlineStr">
        <is>
          <t>GESTIÓN AMBIENTAL</t>
        </is>
      </c>
      <c r="D2308" t="inlineStr">
        <is>
          <t>Mensual</t>
        </is>
      </c>
      <c r="E2308" t="inlineStr">
        <is>
          <t>Positivo</t>
        </is>
      </c>
      <c r="F2308" s="105" t="n">
        <v>45716</v>
      </c>
      <c r="G2308" t="inlineStr">
        <is>
          <t>225-2025-02-28</t>
        </is>
      </c>
      <c r="H2308" t="inlineStr">
        <is>
          <t>Consultorio Psicología - Medellin</t>
        </is>
      </c>
      <c r="I2308" t="n">
        <v>1</v>
      </c>
      <c r="J2308" t="n">
        <v>1</v>
      </c>
      <c r="AT2308" t="n">
        <v>1</v>
      </c>
    </row>
    <row r="2309">
      <c r="A2309" t="n">
        <v>434</v>
      </c>
      <c r="B2309" t="inlineStr">
        <is>
          <t>Generación de Residuos Peligrosos Mensual</t>
        </is>
      </c>
      <c r="C2309" t="inlineStr">
        <is>
          <t>GESTIÓN AMBIENTAL</t>
        </is>
      </c>
      <c r="D2309" t="inlineStr">
        <is>
          <t>Mensual</t>
        </is>
      </c>
      <c r="E2309" t="inlineStr">
        <is>
          <t>Negativo</t>
        </is>
      </c>
      <c r="F2309" s="105" t="n">
        <v>45716</v>
      </c>
      <c r="G2309" t="inlineStr">
        <is>
          <t>434-2025-02-28</t>
        </is>
      </c>
      <c r="H2309" t="inlineStr">
        <is>
          <t>City Campus</t>
        </is>
      </c>
      <c r="I2309" t="n">
        <v>25</v>
      </c>
      <c r="J2309" t="n">
        <v>1.169999957084656</v>
      </c>
      <c r="AV2309" t="n">
        <v>1.17</v>
      </c>
    </row>
    <row r="2310">
      <c r="A2310" t="n">
        <v>434</v>
      </c>
      <c r="B2310" t="inlineStr">
        <is>
          <t>Generación de Residuos Peligrosos Mensual</t>
        </is>
      </c>
      <c r="C2310" t="inlineStr">
        <is>
          <t>GESTIÓN AMBIENTAL</t>
        </is>
      </c>
      <c r="D2310" t="inlineStr">
        <is>
          <t>Mensual</t>
        </is>
      </c>
      <c r="E2310" t="inlineStr">
        <is>
          <t>Negativo</t>
        </is>
      </c>
      <c r="F2310" s="105" t="n">
        <v>45716</v>
      </c>
      <c r="G2310" t="inlineStr">
        <is>
          <t>434-2025-02-28</t>
        </is>
      </c>
      <c r="H2310" t="inlineStr">
        <is>
          <t>Sede Posgrado-Calle 85</t>
        </is>
      </c>
      <c r="I2310" t="n">
        <v>200</v>
      </c>
      <c r="J2310" t="n">
        <v>0</v>
      </c>
      <c r="AV2310" t="n">
        <v>0</v>
      </c>
    </row>
    <row r="2311">
      <c r="A2311" t="n">
        <v>434</v>
      </c>
      <c r="B2311" t="inlineStr">
        <is>
          <t>Generación de Residuos Peligrosos Mensual</t>
        </is>
      </c>
      <c r="C2311" t="inlineStr">
        <is>
          <t>GESTIÓN AMBIENTAL</t>
        </is>
      </c>
      <c r="D2311" t="inlineStr">
        <is>
          <t>Mensual</t>
        </is>
      </c>
      <c r="E2311" t="inlineStr">
        <is>
          <t>Negativo</t>
        </is>
      </c>
      <c r="F2311" s="105" t="n">
        <v>45716</v>
      </c>
      <c r="G2311" t="inlineStr">
        <is>
          <t>434-2025-02-28</t>
        </is>
      </c>
      <c r="H2311" t="inlineStr">
        <is>
          <t>Campus-Medellín</t>
        </is>
      </c>
      <c r="I2311" t="n">
        <v>25</v>
      </c>
      <c r="J2311" t="n">
        <v>11.80000019073486</v>
      </c>
      <c r="AV2311" t="n">
        <v>11.8</v>
      </c>
    </row>
    <row r="2312">
      <c r="A2312" t="n">
        <v>434</v>
      </c>
      <c r="B2312" t="inlineStr">
        <is>
          <t>Generación de Residuos Peligrosos Mensual</t>
        </is>
      </c>
      <c r="C2312" t="inlineStr">
        <is>
          <t>GESTIÓN AMBIENTAL</t>
        </is>
      </c>
      <c r="D2312" t="inlineStr">
        <is>
          <t>Mensual</t>
        </is>
      </c>
      <c r="E2312" t="inlineStr">
        <is>
          <t>Negativo</t>
        </is>
      </c>
      <c r="F2312" s="105" t="n">
        <v>45716</v>
      </c>
      <c r="G2312" t="inlineStr">
        <is>
          <t>434-2025-02-28</t>
        </is>
      </c>
      <c r="H2312" t="inlineStr">
        <is>
          <t>Sede Bienestar - Medellín</t>
        </is>
      </c>
      <c r="I2312" t="n">
        <v>10</v>
      </c>
      <c r="J2312" t="n">
        <v>0</v>
      </c>
      <c r="AV2312" t="n">
        <v>0</v>
      </c>
    </row>
    <row r="2313">
      <c r="A2313" t="n">
        <v>434</v>
      </c>
      <c r="B2313" t="inlineStr">
        <is>
          <t>Generación de Residuos Peligrosos Mensual</t>
        </is>
      </c>
      <c r="C2313" t="inlineStr">
        <is>
          <t>GESTIÓN AMBIENTAL</t>
        </is>
      </c>
      <c r="D2313" t="inlineStr">
        <is>
          <t>Mensual</t>
        </is>
      </c>
      <c r="E2313" t="inlineStr">
        <is>
          <t>Negativo</t>
        </is>
      </c>
      <c r="F2313" s="105" t="n">
        <v>45716</v>
      </c>
      <c r="G2313" t="inlineStr">
        <is>
          <t>434-2025-02-28</t>
        </is>
      </c>
      <c r="H2313" t="inlineStr">
        <is>
          <t>Consultorio Psicología - Medellin</t>
        </is>
      </c>
      <c r="I2313" t="n">
        <v>200</v>
      </c>
      <c r="J2313" t="n">
        <v>0</v>
      </c>
      <c r="AV2313" t="n">
        <v>0</v>
      </c>
    </row>
    <row r="2314">
      <c r="A2314" t="n">
        <v>434</v>
      </c>
      <c r="B2314" t="inlineStr">
        <is>
          <t>Generación de Residuos Peligrosos Mensual</t>
        </is>
      </c>
      <c r="C2314" t="inlineStr">
        <is>
          <t>GESTIÓN AMBIENTAL</t>
        </is>
      </c>
      <c r="D2314" t="inlineStr">
        <is>
          <t>Mensual</t>
        </is>
      </c>
      <c r="E2314" t="inlineStr">
        <is>
          <t>Negativo</t>
        </is>
      </c>
      <c r="F2314" s="105" t="n">
        <v>45716</v>
      </c>
      <c r="G2314" t="inlineStr">
        <is>
          <t>434-2025-02-28</t>
        </is>
      </c>
      <c r="H2314" t="inlineStr">
        <is>
          <t>Campus Bogotá</t>
        </is>
      </c>
      <c r="I2314" t="n">
        <v>100</v>
      </c>
      <c r="J2314" t="n">
        <v>58.70999908447266</v>
      </c>
      <c r="AV2314" t="n">
        <v>58.71</v>
      </c>
    </row>
    <row r="2315">
      <c r="A2315" t="n">
        <v>436</v>
      </c>
      <c r="B2315" t="inlineStr">
        <is>
          <t>ANS documentos operativos</t>
        </is>
      </c>
      <c r="C2315" t="inlineStr">
        <is>
          <t>Gestión de calidad</t>
        </is>
      </c>
      <c r="D2315" t="inlineStr">
        <is>
          <t>Mensual</t>
        </is>
      </c>
      <c r="E2315" t="inlineStr">
        <is>
          <t>Negativo</t>
        </is>
      </c>
      <c r="F2315" s="105" t="n">
        <v>45716</v>
      </c>
      <c r="G2315" t="inlineStr">
        <is>
          <t>436-2025-02-28</t>
        </is>
      </c>
      <c r="H2315" t="inlineStr">
        <is>
          <t>Flujo de aprobación</t>
        </is>
      </c>
      <c r="I2315" t="n">
        <v>7</v>
      </c>
      <c r="J2315" t="n">
        <v>1.409999966621399</v>
      </c>
      <c r="CP2315" t="n">
        <v>1.41</v>
      </c>
    </row>
    <row r="2316">
      <c r="A2316" t="n">
        <v>436</v>
      </c>
      <c r="B2316" t="inlineStr">
        <is>
          <t>ANS documentos operativos</t>
        </is>
      </c>
      <c r="C2316" t="inlineStr">
        <is>
          <t>Gestión de calidad</t>
        </is>
      </c>
      <c r="D2316" t="inlineStr">
        <is>
          <t>Mensual</t>
        </is>
      </c>
      <c r="E2316" t="inlineStr">
        <is>
          <t>Negativo</t>
        </is>
      </c>
      <c r="F2316" s="105" t="n">
        <v>45716</v>
      </c>
      <c r="G2316" t="inlineStr">
        <is>
          <t>436-2025-02-28</t>
        </is>
      </c>
      <c r="H2316" t="inlineStr">
        <is>
          <t>Solicitud Documental</t>
        </is>
      </c>
      <c r="I2316" t="n">
        <v>7</v>
      </c>
      <c r="J2316" t="n">
        <v>1.929999947547913</v>
      </c>
      <c r="CP2316" t="n">
        <v>1.93</v>
      </c>
    </row>
    <row r="2317">
      <c r="A2317" t="n">
        <v>485</v>
      </c>
      <c r="B2317" t="inlineStr">
        <is>
          <t>Oportunidad en el cierre de acciones</t>
        </is>
      </c>
      <c r="C2317" t="inlineStr">
        <is>
          <t>Gestión de calidad</t>
        </is>
      </c>
      <c r="D2317" t="inlineStr">
        <is>
          <t>Mensual</t>
        </is>
      </c>
      <c r="E2317" t="inlineStr">
        <is>
          <t>Positivo</t>
        </is>
      </c>
      <c r="F2317" s="105" t="n">
        <v>45716</v>
      </c>
      <c r="G2317" t="inlineStr">
        <is>
          <t>485-2025-02-28</t>
        </is>
      </c>
      <c r="H2317" t="inlineStr">
        <is>
          <t>Auditoría interna</t>
        </is>
      </c>
      <c r="I2317" t="n">
        <v>80</v>
      </c>
      <c r="J2317" t="n">
        <v>33.33000183105469</v>
      </c>
      <c r="EC2317" t="n">
        <v>1</v>
      </c>
      <c r="ED2317" t="n">
        <v>3</v>
      </c>
    </row>
    <row r="2318">
      <c r="A2318" t="n">
        <v>485</v>
      </c>
      <c r="B2318" t="inlineStr">
        <is>
          <t>Oportunidad en el cierre de acciones</t>
        </is>
      </c>
      <c r="C2318" t="inlineStr">
        <is>
          <t>Gestión de calidad</t>
        </is>
      </c>
      <c r="D2318" t="inlineStr">
        <is>
          <t>Mensual</t>
        </is>
      </c>
      <c r="E2318" t="inlineStr">
        <is>
          <t>Positivo</t>
        </is>
      </c>
      <c r="F2318" s="105" t="n">
        <v>45716</v>
      </c>
      <c r="G2318" t="inlineStr">
        <is>
          <t>485-2025-02-28</t>
        </is>
      </c>
      <c r="H2318" t="inlineStr">
        <is>
          <t>Auditoría externa</t>
        </is>
      </c>
      <c r="I2318" t="n">
        <v>80</v>
      </c>
      <c r="J2318" t="n">
        <v>0</v>
      </c>
      <c r="EC2318" t="n">
        <v>0</v>
      </c>
      <c r="ED2318" t="n">
        <v>0</v>
      </c>
    </row>
    <row r="2319">
      <c r="A2319" t="n">
        <v>485</v>
      </c>
      <c r="B2319" t="inlineStr">
        <is>
          <t>Oportunidad en el cierre de acciones</t>
        </is>
      </c>
      <c r="C2319" t="inlineStr">
        <is>
          <t>Gestión de calidad</t>
        </is>
      </c>
      <c r="D2319" t="inlineStr">
        <is>
          <t>Mensual</t>
        </is>
      </c>
      <c r="E2319" t="inlineStr">
        <is>
          <t>Positivo</t>
        </is>
      </c>
      <c r="F2319" s="105" t="n">
        <v>45716</v>
      </c>
      <c r="G2319" t="inlineStr">
        <is>
          <t>485-2025-02-28</t>
        </is>
      </c>
      <c r="H2319" t="inlineStr">
        <is>
          <t>Indicadores</t>
        </is>
      </c>
      <c r="I2319" t="n">
        <v>80</v>
      </c>
      <c r="J2319" t="n">
        <v>0</v>
      </c>
      <c r="EC2319" t="n">
        <v>0</v>
      </c>
      <c r="ED2319" t="n">
        <v>0</v>
      </c>
    </row>
    <row r="2320">
      <c r="A2320" t="n">
        <v>485</v>
      </c>
      <c r="B2320" t="inlineStr">
        <is>
          <t>Oportunidad en el cierre de acciones</t>
        </is>
      </c>
      <c r="C2320" t="inlineStr">
        <is>
          <t>Gestión de calidad</t>
        </is>
      </c>
      <c r="D2320" t="inlineStr">
        <is>
          <t>Mensual</t>
        </is>
      </c>
      <c r="E2320" t="inlineStr">
        <is>
          <t>Positivo</t>
        </is>
      </c>
      <c r="F2320" s="105" t="n">
        <v>45716</v>
      </c>
      <c r="G2320" t="inlineStr">
        <is>
          <t>485-2025-02-28</t>
        </is>
      </c>
      <c r="H2320" t="inlineStr">
        <is>
          <t>Riesgos</t>
        </is>
      </c>
      <c r="I2320" t="n">
        <v>80</v>
      </c>
      <c r="J2320" t="n">
        <v>0</v>
      </c>
      <c r="EC2320" t="n">
        <v>0</v>
      </c>
      <c r="ED2320" t="n">
        <v>0</v>
      </c>
    </row>
    <row r="2321">
      <c r="A2321" t="n">
        <v>485</v>
      </c>
      <c r="B2321" t="inlineStr">
        <is>
          <t>Oportunidad en el cierre de acciones</t>
        </is>
      </c>
      <c r="C2321" t="inlineStr">
        <is>
          <t>Gestión de calidad</t>
        </is>
      </c>
      <c r="D2321" t="inlineStr">
        <is>
          <t>Mensual</t>
        </is>
      </c>
      <c r="E2321" t="inlineStr">
        <is>
          <t>Positivo</t>
        </is>
      </c>
      <c r="F2321" s="105" t="n">
        <v>45716</v>
      </c>
      <c r="G2321" t="inlineStr">
        <is>
          <t>485-2025-02-28</t>
        </is>
      </c>
      <c r="H2321" t="inlineStr">
        <is>
          <t>Autoevaluación</t>
        </is>
      </c>
      <c r="I2321" t="n">
        <v>80</v>
      </c>
      <c r="J2321" t="n">
        <v>0</v>
      </c>
      <c r="EC2321" t="n">
        <v>0</v>
      </c>
      <c r="ED2321" t="n">
        <v>0</v>
      </c>
    </row>
    <row r="2322">
      <c r="A2322" t="n">
        <v>485</v>
      </c>
      <c r="B2322" t="inlineStr">
        <is>
          <t>Oportunidad en el cierre de acciones</t>
        </is>
      </c>
      <c r="C2322" t="inlineStr">
        <is>
          <t>Gestión de calidad</t>
        </is>
      </c>
      <c r="D2322" t="inlineStr">
        <is>
          <t>Mensual</t>
        </is>
      </c>
      <c r="E2322" t="inlineStr">
        <is>
          <t>Positivo</t>
        </is>
      </c>
      <c r="F2322" s="105" t="n">
        <v>45716</v>
      </c>
      <c r="G2322" t="inlineStr">
        <is>
          <t>485-2025-02-28</t>
        </is>
      </c>
      <c r="H2322" t="inlineStr">
        <is>
          <t>Entes de control</t>
        </is>
      </c>
      <c r="I2322" t="n">
        <v>80</v>
      </c>
      <c r="J2322" t="n">
        <v>0</v>
      </c>
      <c r="EC2322" t="n">
        <v>0</v>
      </c>
      <c r="ED2322" t="n">
        <v>0</v>
      </c>
    </row>
    <row r="2323">
      <c r="A2323" t="n">
        <v>485</v>
      </c>
      <c r="B2323" t="inlineStr">
        <is>
          <t>Oportunidad en el cierre de acciones</t>
        </is>
      </c>
      <c r="C2323" t="inlineStr">
        <is>
          <t>Gestión de calidad</t>
        </is>
      </c>
      <c r="D2323" t="inlineStr">
        <is>
          <t>Mensual</t>
        </is>
      </c>
      <c r="E2323" t="inlineStr">
        <is>
          <t>Positivo</t>
        </is>
      </c>
      <c r="F2323" s="105" t="n">
        <v>45716</v>
      </c>
      <c r="G2323" t="inlineStr">
        <is>
          <t>485-2025-02-28</t>
        </is>
      </c>
      <c r="H2323" t="inlineStr">
        <is>
          <t>Experiencia</t>
        </is>
      </c>
      <c r="I2323" t="n">
        <v>80</v>
      </c>
      <c r="J2323" t="n">
        <v>0</v>
      </c>
      <c r="EC2323" t="n">
        <v>0</v>
      </c>
      <c r="ED2323" t="n">
        <v>0</v>
      </c>
    </row>
    <row r="2324">
      <c r="A2324" t="n">
        <v>485</v>
      </c>
      <c r="B2324" t="inlineStr">
        <is>
          <t>Oportunidad en el cierre de acciones</t>
        </is>
      </c>
      <c r="C2324" t="inlineStr">
        <is>
          <t>Gestión de calidad</t>
        </is>
      </c>
      <c r="D2324" t="inlineStr">
        <is>
          <t>Mensual</t>
        </is>
      </c>
      <c r="E2324" t="inlineStr">
        <is>
          <t>Positivo</t>
        </is>
      </c>
      <c r="F2324" s="105" t="n">
        <v>45716</v>
      </c>
      <c r="G2324" t="inlineStr">
        <is>
          <t>485-2025-02-28</t>
        </is>
      </c>
      <c r="H2324" t="inlineStr">
        <is>
          <t>Revisión por la dirección</t>
        </is>
      </c>
      <c r="I2324" t="n">
        <v>80</v>
      </c>
      <c r="J2324" t="n">
        <v>0</v>
      </c>
      <c r="EC2324" t="n">
        <v>0</v>
      </c>
      <c r="ED2324" t="n">
        <v>0</v>
      </c>
    </row>
    <row r="2325">
      <c r="A2325" t="n">
        <v>485</v>
      </c>
      <c r="B2325" t="inlineStr">
        <is>
          <t>Oportunidad en el cierre de acciones</t>
        </is>
      </c>
      <c r="C2325" t="inlineStr">
        <is>
          <t>Gestión de calidad</t>
        </is>
      </c>
      <c r="D2325" t="inlineStr">
        <is>
          <t>Mensual</t>
        </is>
      </c>
      <c r="E2325" t="inlineStr">
        <is>
          <t>Positivo</t>
        </is>
      </c>
      <c r="F2325" s="105" t="n">
        <v>45716</v>
      </c>
      <c r="G2325" t="inlineStr">
        <is>
          <t>485-2025-02-28</t>
        </is>
      </c>
      <c r="H2325" t="inlineStr">
        <is>
          <t>Seguimiento y control</t>
        </is>
      </c>
      <c r="I2325" t="n">
        <v>80</v>
      </c>
      <c r="J2325" t="n">
        <v>66.66999816894531</v>
      </c>
      <c r="EC2325" t="n">
        <v>2</v>
      </c>
      <c r="ED2325" t="n">
        <v>3</v>
      </c>
    </row>
    <row r="2326">
      <c r="A2326" t="n">
        <v>488</v>
      </c>
      <c r="B2326" t="inlineStr">
        <is>
          <t>Oportunidad en el cierre de actividades de los planes de mejora</t>
        </is>
      </c>
      <c r="C2326" t="inlineStr">
        <is>
          <t>Gestión de calidad</t>
        </is>
      </c>
      <c r="D2326" t="inlineStr">
        <is>
          <t>Mensual</t>
        </is>
      </c>
      <c r="E2326" t="inlineStr">
        <is>
          <t>Positivo</t>
        </is>
      </c>
      <c r="F2326" s="105" t="n">
        <v>45716</v>
      </c>
      <c r="G2326" t="inlineStr">
        <is>
          <t>488-2025-02-28</t>
        </is>
      </c>
      <c r="H2326" t="inlineStr">
        <is>
          <t>Auditoría interna</t>
        </is>
      </c>
      <c r="I2326" t="n">
        <v>85</v>
      </c>
      <c r="J2326" t="n">
        <v>73.33000183105469</v>
      </c>
      <c r="EE2326" t="n">
        <v>22</v>
      </c>
      <c r="EF2326" t="n">
        <v>30</v>
      </c>
    </row>
    <row r="2327">
      <c r="A2327" t="n">
        <v>488</v>
      </c>
      <c r="B2327" t="inlineStr">
        <is>
          <t>Oportunidad en el cierre de actividades de los planes de mejora</t>
        </is>
      </c>
      <c r="C2327" t="inlineStr">
        <is>
          <t>Gestión de calidad</t>
        </is>
      </c>
      <c r="D2327" t="inlineStr">
        <is>
          <t>Mensual</t>
        </is>
      </c>
      <c r="E2327" t="inlineStr">
        <is>
          <t>Positivo</t>
        </is>
      </c>
      <c r="F2327" s="105" t="n">
        <v>45716</v>
      </c>
      <c r="G2327" t="inlineStr">
        <is>
          <t>488-2025-02-28</t>
        </is>
      </c>
      <c r="H2327" t="inlineStr">
        <is>
          <t>Auditoría externa</t>
        </is>
      </c>
      <c r="I2327" t="n">
        <v>85</v>
      </c>
      <c r="J2327" t="n">
        <v>40</v>
      </c>
      <c r="EE2327" t="n">
        <v>4</v>
      </c>
      <c r="EF2327" t="n">
        <v>10</v>
      </c>
    </row>
    <row r="2328">
      <c r="A2328" t="n">
        <v>488</v>
      </c>
      <c r="B2328" t="inlineStr">
        <is>
          <t>Oportunidad en el cierre de actividades de los planes de mejora</t>
        </is>
      </c>
      <c r="C2328" t="inlineStr">
        <is>
          <t>Gestión de calidad</t>
        </is>
      </c>
      <c r="D2328" t="inlineStr">
        <is>
          <t>Mensual</t>
        </is>
      </c>
      <c r="E2328" t="inlineStr">
        <is>
          <t>Positivo</t>
        </is>
      </c>
      <c r="F2328" s="105" t="n">
        <v>45716</v>
      </c>
      <c r="G2328" t="inlineStr">
        <is>
          <t>488-2025-02-28</t>
        </is>
      </c>
      <c r="H2328" t="inlineStr">
        <is>
          <t>Riesgos</t>
        </is>
      </c>
      <c r="I2328" t="n">
        <v>85</v>
      </c>
      <c r="J2328" t="n">
        <v>0</v>
      </c>
      <c r="EE2328" t="n">
        <v>0</v>
      </c>
      <c r="EF2328" t="n">
        <v>0</v>
      </c>
    </row>
    <row r="2329">
      <c r="A2329" t="n">
        <v>488</v>
      </c>
      <c r="B2329" t="inlineStr">
        <is>
          <t>Oportunidad en el cierre de actividades de los planes de mejora</t>
        </is>
      </c>
      <c r="C2329" t="inlineStr">
        <is>
          <t>Gestión de calidad</t>
        </is>
      </c>
      <c r="D2329" t="inlineStr">
        <is>
          <t>Mensual</t>
        </is>
      </c>
      <c r="E2329" t="inlineStr">
        <is>
          <t>Positivo</t>
        </is>
      </c>
      <c r="F2329" s="105" t="n">
        <v>45716</v>
      </c>
      <c r="G2329" t="inlineStr">
        <is>
          <t>488-2025-02-28</t>
        </is>
      </c>
      <c r="H2329" t="inlineStr">
        <is>
          <t>Autoevaluación</t>
        </is>
      </c>
      <c r="I2329" t="n">
        <v>85</v>
      </c>
      <c r="J2329" t="n">
        <v>0</v>
      </c>
      <c r="EE2329" t="n">
        <v>0</v>
      </c>
      <c r="EF2329" t="n">
        <v>0</v>
      </c>
    </row>
    <row r="2330">
      <c r="A2330" t="n">
        <v>488</v>
      </c>
      <c r="B2330" t="inlineStr">
        <is>
          <t>Oportunidad en el cierre de actividades de los planes de mejora</t>
        </is>
      </c>
      <c r="C2330" t="inlineStr">
        <is>
          <t>Gestión de calidad</t>
        </is>
      </c>
      <c r="D2330" t="inlineStr">
        <is>
          <t>Mensual</t>
        </is>
      </c>
      <c r="E2330" t="inlineStr">
        <is>
          <t>Positivo</t>
        </is>
      </c>
      <c r="F2330" s="105" t="n">
        <v>45716</v>
      </c>
      <c r="G2330" t="inlineStr">
        <is>
          <t>488-2025-02-28</t>
        </is>
      </c>
      <c r="H2330" t="inlineStr">
        <is>
          <t>Entes de control</t>
        </is>
      </c>
      <c r="I2330" t="n">
        <v>85</v>
      </c>
      <c r="J2330" t="n">
        <v>0</v>
      </c>
      <c r="EE2330" t="n">
        <v>0</v>
      </c>
      <c r="EF2330" t="n">
        <v>0</v>
      </c>
    </row>
    <row r="2331">
      <c r="A2331" t="n">
        <v>488</v>
      </c>
      <c r="B2331" t="inlineStr">
        <is>
          <t>Oportunidad en el cierre de actividades de los planes de mejora</t>
        </is>
      </c>
      <c r="C2331" t="inlineStr">
        <is>
          <t>Gestión de calidad</t>
        </is>
      </c>
      <c r="D2331" t="inlineStr">
        <is>
          <t>Mensual</t>
        </is>
      </c>
      <c r="E2331" t="inlineStr">
        <is>
          <t>Positivo</t>
        </is>
      </c>
      <c r="F2331" s="105" t="n">
        <v>45716</v>
      </c>
      <c r="G2331" t="inlineStr">
        <is>
          <t>488-2025-02-28</t>
        </is>
      </c>
      <c r="H2331" t="inlineStr">
        <is>
          <t>Seguimiento y control</t>
        </is>
      </c>
      <c r="I2331" t="n">
        <v>85</v>
      </c>
      <c r="J2331" t="n">
        <v>81.36000061035156</v>
      </c>
      <c r="EE2331" t="n">
        <v>48</v>
      </c>
      <c r="EF2331" t="n">
        <v>59</v>
      </c>
    </row>
    <row r="2332">
      <c r="A2332" t="n">
        <v>488</v>
      </c>
      <c r="B2332" t="inlineStr">
        <is>
          <t>Oportunidad en el cierre de actividades de los planes de mejora</t>
        </is>
      </c>
      <c r="C2332" t="inlineStr">
        <is>
          <t>Gestión de calidad</t>
        </is>
      </c>
      <c r="D2332" t="inlineStr">
        <is>
          <t>Mensual</t>
        </is>
      </c>
      <c r="E2332" t="inlineStr">
        <is>
          <t>Positivo</t>
        </is>
      </c>
      <c r="F2332" s="105" t="n">
        <v>45716</v>
      </c>
      <c r="G2332" t="inlineStr">
        <is>
          <t>488-2025-02-28</t>
        </is>
      </c>
      <c r="H2332" t="inlineStr">
        <is>
          <t>Experiencia</t>
        </is>
      </c>
      <c r="I2332" t="n">
        <v>85</v>
      </c>
      <c r="J2332" t="n">
        <v>0</v>
      </c>
      <c r="EE2332" t="n">
        <v>0</v>
      </c>
      <c r="EF2332" t="n">
        <v>0</v>
      </c>
    </row>
    <row r="2333">
      <c r="A2333" t="n">
        <v>488</v>
      </c>
      <c r="B2333" t="inlineStr">
        <is>
          <t>Oportunidad en el cierre de actividades de los planes de mejora</t>
        </is>
      </c>
      <c r="C2333" t="inlineStr">
        <is>
          <t>Gestión de calidad</t>
        </is>
      </c>
      <c r="D2333" t="inlineStr">
        <is>
          <t>Mensual</t>
        </is>
      </c>
      <c r="E2333" t="inlineStr">
        <is>
          <t>Positivo</t>
        </is>
      </c>
      <c r="F2333" s="105" t="n">
        <v>45716</v>
      </c>
      <c r="G2333" t="inlineStr">
        <is>
          <t>488-2025-02-28</t>
        </is>
      </c>
      <c r="H2333" t="inlineStr">
        <is>
          <t>Revisión por la dirección</t>
        </is>
      </c>
      <c r="I2333" t="n">
        <v>85</v>
      </c>
      <c r="J2333" t="n">
        <v>100</v>
      </c>
      <c r="EE2333" t="n">
        <v>11</v>
      </c>
      <c r="EF2333" t="n">
        <v>11</v>
      </c>
    </row>
    <row r="2334">
      <c r="A2334" t="n">
        <v>488</v>
      </c>
      <c r="B2334" t="inlineStr">
        <is>
          <t>Oportunidad en el cierre de actividades de los planes de mejora</t>
        </is>
      </c>
      <c r="C2334" t="inlineStr">
        <is>
          <t>Gestión de calidad</t>
        </is>
      </c>
      <c r="D2334" t="inlineStr">
        <is>
          <t>Mensual</t>
        </is>
      </c>
      <c r="E2334" t="inlineStr">
        <is>
          <t>Positivo</t>
        </is>
      </c>
      <c r="F2334" s="105" t="n">
        <v>45716</v>
      </c>
      <c r="G2334" t="inlineStr">
        <is>
          <t>488-2025-02-28</t>
        </is>
      </c>
      <c r="H2334" t="inlineStr">
        <is>
          <t>Indicadores</t>
        </is>
      </c>
      <c r="I2334" t="n">
        <v>85</v>
      </c>
      <c r="J2334" t="n">
        <v>76.91999816894531</v>
      </c>
      <c r="EE2334" t="n">
        <v>20</v>
      </c>
      <c r="EF2334" t="n">
        <v>26</v>
      </c>
    </row>
    <row r="2335">
      <c r="A2335" t="n">
        <v>509</v>
      </c>
      <c r="B2335" t="inlineStr">
        <is>
          <t>Cumplimiento a cronograma de proyectos 2025</t>
        </is>
      </c>
      <c r="C2335" t="inlineStr">
        <is>
          <t>Gestión de Proyectos</t>
        </is>
      </c>
      <c r="D2335" t="inlineStr">
        <is>
          <t>Mensual</t>
        </is>
      </c>
      <c r="E2335" t="inlineStr">
        <is>
          <t>Positivo</t>
        </is>
      </c>
      <c r="F2335" s="105" t="n">
        <v>45716</v>
      </c>
      <c r="G2335" t="inlineStr">
        <is>
          <t>509-2025-02-28</t>
        </is>
      </c>
      <c r="H2335" t="inlineStr">
        <is>
          <t>Acreditación Institucional fase III Etapa de evaluación externa o evaluación por pares</t>
        </is>
      </c>
      <c r="I2335" t="n">
        <v>90</v>
      </c>
      <c r="J2335" t="n">
        <v>100</v>
      </c>
      <c r="EJ2335" t="n">
        <v>6</v>
      </c>
      <c r="EK2335" t="n">
        <v>6</v>
      </c>
    </row>
    <row r="2336">
      <c r="A2336" t="n">
        <v>509</v>
      </c>
      <c r="B2336" t="inlineStr">
        <is>
          <t>Cumplimiento a cronograma de proyectos 2025</t>
        </is>
      </c>
      <c r="C2336" t="inlineStr">
        <is>
          <t>Gestión de Proyectos</t>
        </is>
      </c>
      <c r="D2336" t="inlineStr">
        <is>
          <t>Mensual</t>
        </is>
      </c>
      <c r="E2336" t="inlineStr">
        <is>
          <t>Positivo</t>
        </is>
      </c>
      <c r="F2336" s="105" t="n">
        <v>45716</v>
      </c>
      <c r="G2336" t="inlineStr">
        <is>
          <t>509-2025-02-28</t>
        </is>
      </c>
      <c r="H2336" t="inlineStr">
        <is>
          <t>Actualización de TRD y creación del Plan de Gestión documental</t>
        </is>
      </c>
      <c r="I2336" t="n">
        <v>90</v>
      </c>
      <c r="J2336" t="n">
        <v>0</v>
      </c>
      <c r="EJ2336" t="n">
        <v>0</v>
      </c>
      <c r="EK2336" t="n">
        <v>0</v>
      </c>
    </row>
    <row r="2337">
      <c r="A2337" t="n">
        <v>509</v>
      </c>
      <c r="B2337" t="inlineStr">
        <is>
          <t>Cumplimiento a cronograma de proyectos 2025</t>
        </is>
      </c>
      <c r="C2337" t="inlineStr">
        <is>
          <t>Gestión de Proyectos</t>
        </is>
      </c>
      <c r="D2337" t="inlineStr">
        <is>
          <t>Mensual</t>
        </is>
      </c>
      <c r="E2337" t="inlineStr">
        <is>
          <t>Positivo</t>
        </is>
      </c>
      <c r="F2337" s="105" t="n">
        <v>45716</v>
      </c>
      <c r="G2337" t="inlineStr">
        <is>
          <t>509-2025-02-28</t>
        </is>
      </c>
      <c r="H2337" t="inlineStr">
        <is>
          <t>Ecosistema E3</t>
        </is>
      </c>
      <c r="I2337" t="n">
        <v>90</v>
      </c>
      <c r="J2337" t="n">
        <v>100</v>
      </c>
      <c r="EJ2337" t="n">
        <v>100</v>
      </c>
      <c r="EK2337" t="n">
        <v>100</v>
      </c>
    </row>
    <row r="2338">
      <c r="A2338" t="n">
        <v>509</v>
      </c>
      <c r="B2338" t="inlineStr">
        <is>
          <t>Cumplimiento a cronograma de proyectos 2025</t>
        </is>
      </c>
      <c r="C2338" t="inlineStr">
        <is>
          <t>Gestión de Proyectos</t>
        </is>
      </c>
      <c r="D2338" t="inlineStr">
        <is>
          <t>Mensual</t>
        </is>
      </c>
      <c r="E2338" t="inlineStr">
        <is>
          <t>Positivo</t>
        </is>
      </c>
      <c r="F2338" s="105" t="n">
        <v>45716</v>
      </c>
      <c r="G2338" t="inlineStr">
        <is>
          <t>509-2025-02-28</t>
        </is>
      </c>
      <c r="H2338" t="inlineStr">
        <is>
          <t>Fortalecimiento de la investigación, la innovación y la creación</t>
        </is>
      </c>
      <c r="I2338" t="n">
        <v>90</v>
      </c>
      <c r="J2338" t="n">
        <v>0</v>
      </c>
      <c r="EJ2338" t="n">
        <v>0</v>
      </c>
      <c r="EK2338" t="n">
        <v>0</v>
      </c>
    </row>
    <row r="2339">
      <c r="A2339" t="n">
        <v>509</v>
      </c>
      <c r="B2339" t="inlineStr">
        <is>
          <t>Cumplimiento a cronograma de proyectos 2025</t>
        </is>
      </c>
      <c r="C2339" t="inlineStr">
        <is>
          <t>Gestión de Proyectos</t>
        </is>
      </c>
      <c r="D2339" t="inlineStr">
        <is>
          <t>Mensual</t>
        </is>
      </c>
      <c r="E2339" t="inlineStr">
        <is>
          <t>Positivo</t>
        </is>
      </c>
      <c r="F2339" s="105" t="n">
        <v>45716</v>
      </c>
      <c r="G2339" t="inlineStr">
        <is>
          <t>509-2025-02-28</t>
        </is>
      </c>
      <c r="H2339" t="inlineStr">
        <is>
          <t>Fortalecimiento de planta docente</t>
        </is>
      </c>
      <c r="I2339" t="n">
        <v>90</v>
      </c>
      <c r="J2339" t="n">
        <v>97.52999877929688</v>
      </c>
      <c r="EJ2339" t="n">
        <v>81</v>
      </c>
      <c r="EK2339" t="n">
        <v>79</v>
      </c>
    </row>
    <row r="2340">
      <c r="A2340" t="n">
        <v>509</v>
      </c>
      <c r="B2340" t="inlineStr">
        <is>
          <t>Cumplimiento a cronograma de proyectos 2025</t>
        </is>
      </c>
      <c r="C2340" t="inlineStr">
        <is>
          <t>Gestión de Proyectos</t>
        </is>
      </c>
      <c r="D2340" t="inlineStr">
        <is>
          <t>Mensual</t>
        </is>
      </c>
      <c r="E2340" t="inlineStr">
        <is>
          <t>Positivo</t>
        </is>
      </c>
      <c r="F2340" s="105" t="n">
        <v>45716</v>
      </c>
      <c r="G2340" t="inlineStr">
        <is>
          <t>509-2025-02-28</t>
        </is>
      </c>
      <c r="H2340" t="inlineStr">
        <is>
          <t>Gobierno de datos</t>
        </is>
      </c>
      <c r="I2340" t="n">
        <v>90</v>
      </c>
      <c r="J2340" t="n">
        <v>0</v>
      </c>
      <c r="EJ2340" t="n">
        <v>0</v>
      </c>
      <c r="EK2340" t="n">
        <v>0</v>
      </c>
    </row>
    <row r="2341">
      <c r="A2341" t="n">
        <v>509</v>
      </c>
      <c r="B2341" t="inlineStr">
        <is>
          <t>Cumplimiento a cronograma de proyectos 2025</t>
        </is>
      </c>
      <c r="C2341" t="inlineStr">
        <is>
          <t>Gestión de Proyectos</t>
        </is>
      </c>
      <c r="D2341" t="inlineStr">
        <is>
          <t>Mensual</t>
        </is>
      </c>
      <c r="E2341" t="inlineStr">
        <is>
          <t>Positivo</t>
        </is>
      </c>
      <c r="F2341" s="105" t="n">
        <v>45716</v>
      </c>
      <c r="G2341" t="inlineStr">
        <is>
          <t>509-2025-02-28</t>
        </is>
      </c>
      <c r="H2341" t="inlineStr">
        <is>
          <t>Herramientas de Gestión para el mejoramiento continuo</t>
        </is>
      </c>
      <c r="I2341" t="n">
        <v>90</v>
      </c>
      <c r="J2341" t="n">
        <v>0</v>
      </c>
      <c r="EJ2341" t="n">
        <v>0</v>
      </c>
      <c r="EK2341" t="n">
        <v>0</v>
      </c>
    </row>
    <row r="2342">
      <c r="A2342" t="n">
        <v>509</v>
      </c>
      <c r="B2342" t="inlineStr">
        <is>
          <t>Cumplimiento a cronograma de proyectos 2025</t>
        </is>
      </c>
      <c r="C2342" t="inlineStr">
        <is>
          <t>Gestión de Proyectos</t>
        </is>
      </c>
      <c r="D2342" t="inlineStr">
        <is>
          <t>Mensual</t>
        </is>
      </c>
      <c r="E2342" t="inlineStr">
        <is>
          <t>Positivo</t>
        </is>
      </c>
      <c r="F2342" s="105" t="n">
        <v>45716</v>
      </c>
      <c r="G2342" t="inlineStr">
        <is>
          <t>509-2025-02-28</t>
        </is>
      </c>
      <c r="H2342" t="inlineStr">
        <is>
          <t>Proyecto de Permanencia institucional</t>
        </is>
      </c>
      <c r="I2342" t="n">
        <v>90</v>
      </c>
      <c r="J2342" t="n">
        <v>97.22000122070312</v>
      </c>
      <c r="EJ2342" t="n">
        <v>36</v>
      </c>
      <c r="EK2342" t="n">
        <v>35</v>
      </c>
    </row>
    <row r="2343">
      <c r="A2343" t="n">
        <v>509</v>
      </c>
      <c r="B2343" t="inlineStr">
        <is>
          <t>Cumplimiento a cronograma de proyectos 2025</t>
        </is>
      </c>
      <c r="C2343" t="inlineStr">
        <is>
          <t>Gestión de Proyectos</t>
        </is>
      </c>
      <c r="D2343" t="inlineStr">
        <is>
          <t>Mensual</t>
        </is>
      </c>
      <c r="E2343" t="inlineStr">
        <is>
          <t>Positivo</t>
        </is>
      </c>
      <c r="F2343" s="105" t="n">
        <v>45716</v>
      </c>
      <c r="G2343" t="inlineStr">
        <is>
          <t>509-2025-02-28</t>
        </is>
      </c>
      <c r="H2343" t="inlineStr">
        <is>
          <t>Reingenieria de aplicaciones</t>
        </is>
      </c>
      <c r="I2343" t="n">
        <v>90</v>
      </c>
      <c r="J2343" t="n">
        <v>0</v>
      </c>
      <c r="EJ2343" t="n">
        <v>0</v>
      </c>
      <c r="EK2343" t="n">
        <v>0</v>
      </c>
    </row>
    <row r="2344">
      <c r="A2344" t="n">
        <v>509</v>
      </c>
      <c r="B2344" t="inlineStr">
        <is>
          <t>Cumplimiento a cronograma de proyectos 2025</t>
        </is>
      </c>
      <c r="C2344" t="inlineStr">
        <is>
          <t>Gestión de Proyectos</t>
        </is>
      </c>
      <c r="D2344" t="inlineStr">
        <is>
          <t>Mensual</t>
        </is>
      </c>
      <c r="E2344" t="inlineStr">
        <is>
          <t>Positivo</t>
        </is>
      </c>
      <c r="F2344" s="105" t="n">
        <v>45716</v>
      </c>
      <c r="G2344" t="inlineStr">
        <is>
          <t>509-2025-02-28</t>
        </is>
      </c>
      <c r="H2344" t="inlineStr">
        <is>
          <t>SOPHIA Sistema de Optimización y Programación Horaria Institucional  Académica  I Fase</t>
        </is>
      </c>
      <c r="I2344" t="n">
        <v>90</v>
      </c>
      <c r="J2344" t="n">
        <v>0</v>
      </c>
      <c r="EJ2344" t="n">
        <v>0</v>
      </c>
      <c r="EK2344" t="n">
        <v>0</v>
      </c>
    </row>
    <row r="2345">
      <c r="A2345" t="n">
        <v>509</v>
      </c>
      <c r="B2345" t="inlineStr">
        <is>
          <t>Cumplimiento a cronograma de proyectos 2025</t>
        </is>
      </c>
      <c r="C2345" t="inlineStr">
        <is>
          <t>Gestión de Proyectos</t>
        </is>
      </c>
      <c r="D2345" t="inlineStr">
        <is>
          <t>Mensual</t>
        </is>
      </c>
      <c r="E2345" t="inlineStr">
        <is>
          <t>Positivo</t>
        </is>
      </c>
      <c r="F2345" s="105" t="n">
        <v>45716</v>
      </c>
      <c r="G2345" t="inlineStr">
        <is>
          <t>509-2025-02-28</t>
        </is>
      </c>
      <c r="H2345" t="inlineStr">
        <is>
          <t>Modelo de seguimiento al graduado</t>
        </is>
      </c>
      <c r="I2345" t="n">
        <v>90</v>
      </c>
      <c r="J2345" t="n">
        <v>0</v>
      </c>
      <c r="EJ2345" t="n">
        <v>0</v>
      </c>
      <c r="EK2345" t="n">
        <v>0</v>
      </c>
    </row>
    <row r="2346">
      <c r="A2346" t="n">
        <v>509</v>
      </c>
      <c r="B2346" t="inlineStr">
        <is>
          <t>Cumplimiento a cronograma de proyectos 2025</t>
        </is>
      </c>
      <c r="C2346" t="inlineStr">
        <is>
          <t>Gestión de Proyectos</t>
        </is>
      </c>
      <c r="D2346" t="inlineStr">
        <is>
          <t>Mensual</t>
        </is>
      </c>
      <c r="E2346" t="inlineStr">
        <is>
          <t>Positivo</t>
        </is>
      </c>
      <c r="F2346" s="105" t="n">
        <v>45716</v>
      </c>
      <c r="G2346" t="inlineStr">
        <is>
          <t>509-2025-02-28</t>
        </is>
      </c>
      <c r="H2346" t="inlineStr">
        <is>
          <t>SER PRO Fase II</t>
        </is>
      </c>
      <c r="I2346" t="n">
        <v>90</v>
      </c>
      <c r="J2346" t="n">
        <v>0</v>
      </c>
      <c r="EJ2346" t="n">
        <v>0</v>
      </c>
      <c r="EK2346" t="n">
        <v>0</v>
      </c>
    </row>
    <row r="2347">
      <c r="A2347" t="n">
        <v>509</v>
      </c>
      <c r="B2347" t="inlineStr">
        <is>
          <t>Cumplimiento a cronograma de proyectos 2025</t>
        </is>
      </c>
      <c r="C2347" t="inlineStr">
        <is>
          <t>Gestión de Proyectos</t>
        </is>
      </c>
      <c r="D2347" t="inlineStr">
        <is>
          <t>Mensual</t>
        </is>
      </c>
      <c r="E2347" t="inlineStr">
        <is>
          <t>Positivo</t>
        </is>
      </c>
      <c r="F2347" s="105" t="n">
        <v>45716</v>
      </c>
      <c r="G2347" t="inlineStr">
        <is>
          <t>509-2025-02-28</t>
        </is>
      </c>
      <c r="H2347" t="inlineStr">
        <is>
          <t>Colegio Virtual</t>
        </is>
      </c>
      <c r="I2347" t="n">
        <v>90</v>
      </c>
      <c r="J2347" t="n">
        <v>0</v>
      </c>
      <c r="EJ2347" t="n">
        <v>0</v>
      </c>
      <c r="EK2347" t="n">
        <v>0</v>
      </c>
    </row>
    <row r="2348">
      <c r="A2348" t="n">
        <v>509</v>
      </c>
      <c r="B2348" t="inlineStr">
        <is>
          <t>Cumplimiento a cronograma de proyectos 2025</t>
        </is>
      </c>
      <c r="C2348" t="inlineStr">
        <is>
          <t>Gestión de Proyectos</t>
        </is>
      </c>
      <c r="D2348" t="inlineStr">
        <is>
          <t>Mensual</t>
        </is>
      </c>
      <c r="E2348" t="inlineStr">
        <is>
          <t>Positivo</t>
        </is>
      </c>
      <c r="F2348" s="105" t="n">
        <v>45716</v>
      </c>
      <c r="G2348" t="inlineStr">
        <is>
          <t>509-2025-02-28</t>
        </is>
      </c>
      <c r="H2348" t="inlineStr">
        <is>
          <t>Institución de educación para el trabajo y desarrollo humano IETDH</t>
        </is>
      </c>
      <c r="I2348" t="n">
        <v>90</v>
      </c>
      <c r="J2348" t="n">
        <v>0</v>
      </c>
      <c r="EJ2348" t="n">
        <v>0</v>
      </c>
      <c r="EK2348" t="n">
        <v>0</v>
      </c>
    </row>
    <row r="2349">
      <c r="A2349" t="n">
        <v>509</v>
      </c>
      <c r="B2349" t="inlineStr">
        <is>
          <t>Cumplimiento a cronograma de proyectos 2025</t>
        </is>
      </c>
      <c r="C2349" t="inlineStr">
        <is>
          <t>Gestión de Proyectos</t>
        </is>
      </c>
      <c r="D2349" t="inlineStr">
        <is>
          <t>Mensual</t>
        </is>
      </c>
      <c r="E2349" t="inlineStr">
        <is>
          <t>Positivo</t>
        </is>
      </c>
      <c r="F2349" s="105" t="n">
        <v>45716</v>
      </c>
      <c r="G2349" t="inlineStr">
        <is>
          <t>509-2025-02-28</t>
        </is>
      </c>
      <c r="H2349" t="inlineStr">
        <is>
          <t>Plataforma Tecnologica de Gestión de información Curricular</t>
        </is>
      </c>
      <c r="I2349" t="n">
        <v>90</v>
      </c>
      <c r="J2349" t="n">
        <v>0</v>
      </c>
      <c r="EJ2349" t="n">
        <v>0</v>
      </c>
      <c r="EK2349" t="n">
        <v>0</v>
      </c>
    </row>
    <row r="2350">
      <c r="A2350" t="n">
        <v>509</v>
      </c>
      <c r="B2350" t="inlineStr">
        <is>
          <t>Cumplimiento a cronograma de proyectos 2025</t>
        </is>
      </c>
      <c r="C2350" t="inlineStr">
        <is>
          <t>Gestión de Proyectos</t>
        </is>
      </c>
      <c r="D2350" t="inlineStr">
        <is>
          <t>Mensual</t>
        </is>
      </c>
      <c r="E2350" t="inlineStr">
        <is>
          <t>Positivo</t>
        </is>
      </c>
      <c r="F2350" s="105" t="n">
        <v>45716</v>
      </c>
      <c r="G2350" t="inlineStr">
        <is>
          <t>509-2025-02-28</t>
        </is>
      </c>
      <c r="H2350" t="inlineStr">
        <is>
          <t>Sistema de medición de resultados de aprendizaje</t>
        </is>
      </c>
      <c r="I2350" t="n">
        <v>90</v>
      </c>
      <c r="J2350" t="n">
        <v>0</v>
      </c>
      <c r="EJ2350" t="n">
        <v>0</v>
      </c>
      <c r="EK2350" t="n">
        <v>0</v>
      </c>
    </row>
    <row r="2351">
      <c r="A2351" t="n">
        <v>509</v>
      </c>
      <c r="B2351" t="inlineStr">
        <is>
          <t>Cumplimiento a cronograma de proyectos 2025</t>
        </is>
      </c>
      <c r="C2351" t="inlineStr">
        <is>
          <t>Gestión de Proyectos</t>
        </is>
      </c>
      <c r="D2351" t="inlineStr">
        <is>
          <t>Mensual</t>
        </is>
      </c>
      <c r="E2351" t="inlineStr">
        <is>
          <t>Positivo</t>
        </is>
      </c>
      <c r="F2351" s="105" t="n">
        <v>45716</v>
      </c>
      <c r="G2351" t="inlineStr">
        <is>
          <t>509-2025-02-28</t>
        </is>
      </c>
      <c r="H2351" t="inlineStr">
        <is>
          <t>ADN POLI</t>
        </is>
      </c>
      <c r="I2351" t="n">
        <v>90</v>
      </c>
      <c r="J2351" t="n">
        <v>0</v>
      </c>
      <c r="EJ2351" t="n">
        <v>0</v>
      </c>
      <c r="EK2351" t="n">
        <v>0</v>
      </c>
    </row>
    <row r="2352">
      <c r="A2352" t="n">
        <v>208</v>
      </c>
      <c r="B2352" t="inlineStr">
        <is>
          <t>Consumo de Agua m3 Mensual</t>
        </is>
      </c>
      <c r="C2352" t="inlineStr">
        <is>
          <t>GESTIÓN AMBIENTAL</t>
        </is>
      </c>
      <c r="D2352" t="inlineStr">
        <is>
          <t>Mensual</t>
        </is>
      </c>
      <c r="E2352" t="inlineStr">
        <is>
          <t>Negativo</t>
        </is>
      </c>
      <c r="F2352" s="105" t="n">
        <v>45747</v>
      </c>
      <c r="G2352" t="inlineStr">
        <is>
          <t>208-2025-03-31</t>
        </is>
      </c>
      <c r="H2352" t="inlineStr">
        <is>
          <t>Campus Bogotá</t>
        </is>
      </c>
      <c r="I2352" t="n">
        <v>950</v>
      </c>
      <c r="J2352" t="n">
        <v>721</v>
      </c>
      <c r="K2352" t="n">
        <v>721</v>
      </c>
    </row>
    <row r="2353">
      <c r="A2353" t="n">
        <v>208</v>
      </c>
      <c r="B2353" t="inlineStr">
        <is>
          <t>Consumo de Agua m3 Mensual</t>
        </is>
      </c>
      <c r="C2353" t="inlineStr">
        <is>
          <t>GESTIÓN AMBIENTAL</t>
        </is>
      </c>
      <c r="D2353" t="inlineStr">
        <is>
          <t>Mensual</t>
        </is>
      </c>
      <c r="E2353" t="inlineStr">
        <is>
          <t>Negativo</t>
        </is>
      </c>
      <c r="F2353" s="105" t="n">
        <v>45747</v>
      </c>
      <c r="G2353" t="inlineStr">
        <is>
          <t>208-2025-03-31</t>
        </is>
      </c>
      <c r="H2353" t="inlineStr">
        <is>
          <t>City Campus</t>
        </is>
      </c>
      <c r="I2353" t="n">
        <v>350</v>
      </c>
      <c r="J2353" t="n">
        <v>371</v>
      </c>
      <c r="K2353" t="n">
        <v>371</v>
      </c>
    </row>
    <row r="2354">
      <c r="A2354" t="n">
        <v>208</v>
      </c>
      <c r="B2354" t="inlineStr">
        <is>
          <t>Consumo de Agua m3 Mensual</t>
        </is>
      </c>
      <c r="C2354" t="inlineStr">
        <is>
          <t>GESTIÓN AMBIENTAL</t>
        </is>
      </c>
      <c r="D2354" t="inlineStr">
        <is>
          <t>Mensual</t>
        </is>
      </c>
      <c r="E2354" t="inlineStr">
        <is>
          <t>Negativo</t>
        </is>
      </c>
      <c r="F2354" s="105" t="n">
        <v>45747</v>
      </c>
      <c r="G2354" t="inlineStr">
        <is>
          <t>208-2025-03-31</t>
        </is>
      </c>
      <c r="H2354" t="inlineStr">
        <is>
          <t>Campus-Medellín</t>
        </is>
      </c>
      <c r="I2354" t="n">
        <v>200</v>
      </c>
      <c r="J2354" t="n">
        <v>204</v>
      </c>
      <c r="K2354" t="n">
        <v>204</v>
      </c>
    </row>
    <row r="2355">
      <c r="A2355" t="n">
        <v>208</v>
      </c>
      <c r="B2355" t="inlineStr">
        <is>
          <t>Consumo de Agua m3 Mensual</t>
        </is>
      </c>
      <c r="C2355" t="inlineStr">
        <is>
          <t>GESTIÓN AMBIENTAL</t>
        </is>
      </c>
      <c r="D2355" t="inlineStr">
        <is>
          <t>Mensual</t>
        </is>
      </c>
      <c r="E2355" t="inlineStr">
        <is>
          <t>Negativo</t>
        </is>
      </c>
      <c r="F2355" s="105" t="n">
        <v>45747</v>
      </c>
      <c r="G2355" t="inlineStr">
        <is>
          <t>208-2025-03-31</t>
        </is>
      </c>
      <c r="H2355" t="inlineStr">
        <is>
          <t>Sede Bienestar - Medellín</t>
        </is>
      </c>
      <c r="I2355" t="n">
        <v>0</v>
      </c>
      <c r="J2355" t="n">
        <v>0</v>
      </c>
      <c r="K2355" t="n">
        <v>0</v>
      </c>
    </row>
    <row r="2356">
      <c r="A2356" t="n">
        <v>208</v>
      </c>
      <c r="B2356" t="inlineStr">
        <is>
          <t>Consumo de Agua m3 Mensual</t>
        </is>
      </c>
      <c r="C2356" t="inlineStr">
        <is>
          <t>GESTIÓN AMBIENTAL</t>
        </is>
      </c>
      <c r="D2356" t="inlineStr">
        <is>
          <t>Mensual</t>
        </is>
      </c>
      <c r="E2356" t="inlineStr">
        <is>
          <t>Negativo</t>
        </is>
      </c>
      <c r="F2356" s="105" t="n">
        <v>45747</v>
      </c>
      <c r="G2356" t="inlineStr">
        <is>
          <t>208-2025-03-31</t>
        </is>
      </c>
      <c r="H2356" t="inlineStr">
        <is>
          <t>Consultorio Psicología - Medellin</t>
        </is>
      </c>
      <c r="I2356" t="n">
        <v>25</v>
      </c>
      <c r="J2356" t="n">
        <v>0</v>
      </c>
      <c r="K2356" t="n">
        <v>0</v>
      </c>
    </row>
    <row r="2357">
      <c r="A2357" t="n">
        <v>208</v>
      </c>
      <c r="B2357" t="inlineStr">
        <is>
          <t>Consumo de Agua m3 Mensual</t>
        </is>
      </c>
      <c r="C2357" t="inlineStr">
        <is>
          <t>GESTIÓN AMBIENTAL</t>
        </is>
      </c>
      <c r="D2357" t="inlineStr">
        <is>
          <t>Mensual</t>
        </is>
      </c>
      <c r="E2357" t="inlineStr">
        <is>
          <t>Negativo</t>
        </is>
      </c>
      <c r="F2357" s="105" t="n">
        <v>45747</v>
      </c>
      <c r="G2357" t="inlineStr">
        <is>
          <t>208-2025-03-31</t>
        </is>
      </c>
      <c r="H2357" t="inlineStr">
        <is>
          <t>Sede Posgrado-Calle 85</t>
        </is>
      </c>
      <c r="I2357" t="n">
        <v>25</v>
      </c>
      <c r="J2357" t="n">
        <v>13.5</v>
      </c>
      <c r="K2357" t="n">
        <v>13.5</v>
      </c>
    </row>
    <row r="2358">
      <c r="A2358" t="n">
        <v>214</v>
      </c>
      <c r="B2358" t="inlineStr">
        <is>
          <t>Generación de Residuos Sólidos Mensual</t>
        </is>
      </c>
      <c r="C2358" t="inlineStr">
        <is>
          <t>GESTIÓN AMBIENTAL</t>
        </is>
      </c>
      <c r="D2358" t="inlineStr">
        <is>
          <t>Mensual</t>
        </is>
      </c>
      <c r="E2358" t="inlineStr">
        <is>
          <t>Negativo</t>
        </is>
      </c>
      <c r="F2358" s="105" t="n">
        <v>45747</v>
      </c>
      <c r="G2358" t="inlineStr">
        <is>
          <t>214-2025-03-31</t>
        </is>
      </c>
      <c r="H2358" t="inlineStr">
        <is>
          <t>City Campus</t>
        </is>
      </c>
      <c r="I2358" t="n">
        <v>1000</v>
      </c>
      <c r="J2358" t="n">
        <v>1286.890014648438</v>
      </c>
      <c r="L2358" t="n">
        <v>210.69</v>
      </c>
      <c r="M2358" t="n">
        <v>1076.2</v>
      </c>
    </row>
    <row r="2359">
      <c r="A2359" t="n">
        <v>214</v>
      </c>
      <c r="B2359" t="inlineStr">
        <is>
          <t>Generación de Residuos Sólidos Mensual</t>
        </is>
      </c>
      <c r="C2359" t="inlineStr">
        <is>
          <t>GESTIÓN AMBIENTAL</t>
        </is>
      </c>
      <c r="D2359" t="inlineStr">
        <is>
          <t>Mensual</t>
        </is>
      </c>
      <c r="E2359" t="inlineStr">
        <is>
          <t>Negativo</t>
        </is>
      </c>
      <c r="F2359" s="105" t="n">
        <v>45747</v>
      </c>
      <c r="G2359" t="inlineStr">
        <is>
          <t>214-2025-03-31</t>
        </is>
      </c>
      <c r="H2359" t="inlineStr">
        <is>
          <t>Sede Posgrado-Calle 85</t>
        </is>
      </c>
      <c r="I2359" t="n">
        <v>7500</v>
      </c>
      <c r="J2359" t="n">
        <v>37.70999908447266</v>
      </c>
      <c r="L2359" t="n">
        <v>22.73</v>
      </c>
      <c r="M2359" t="n">
        <v>14.98</v>
      </c>
    </row>
    <row r="2360">
      <c r="A2360" t="n">
        <v>214</v>
      </c>
      <c r="B2360" t="inlineStr">
        <is>
          <t>Generación de Residuos Sólidos Mensual</t>
        </is>
      </c>
      <c r="C2360" t="inlineStr">
        <is>
          <t>GESTIÓN AMBIENTAL</t>
        </is>
      </c>
      <c r="D2360" t="inlineStr">
        <is>
          <t>Mensual</t>
        </is>
      </c>
      <c r="E2360" t="inlineStr">
        <is>
          <t>Negativo</t>
        </is>
      </c>
      <c r="F2360" s="105" t="n">
        <v>45747</v>
      </c>
      <c r="G2360" t="inlineStr">
        <is>
          <t>214-2025-03-31</t>
        </is>
      </c>
      <c r="H2360" t="inlineStr">
        <is>
          <t>Campus-Medellín</t>
        </is>
      </c>
      <c r="I2360" t="n">
        <v>1000</v>
      </c>
      <c r="J2360" t="n">
        <v>1257.77001953125</v>
      </c>
      <c r="L2360" t="n">
        <v>120.47</v>
      </c>
      <c r="M2360" t="n">
        <v>1137.3</v>
      </c>
    </row>
    <row r="2361">
      <c r="A2361" t="n">
        <v>214</v>
      </c>
      <c r="B2361" t="inlineStr">
        <is>
          <t>Generación de Residuos Sólidos Mensual</t>
        </is>
      </c>
      <c r="C2361" t="inlineStr">
        <is>
          <t>GESTIÓN AMBIENTAL</t>
        </is>
      </c>
      <c r="D2361" t="inlineStr">
        <is>
          <t>Mensual</t>
        </is>
      </c>
      <c r="E2361" t="inlineStr">
        <is>
          <t>Negativo</t>
        </is>
      </c>
      <c r="F2361" s="105" t="n">
        <v>45747</v>
      </c>
      <c r="G2361" t="inlineStr">
        <is>
          <t>214-2025-03-31</t>
        </is>
      </c>
      <c r="H2361" t="inlineStr">
        <is>
          <t>Sede Bienestar - Medellín</t>
        </is>
      </c>
      <c r="I2361" t="n">
        <v>1</v>
      </c>
      <c r="J2361" t="n">
        <v>0</v>
      </c>
      <c r="L2361" t="n">
        <v>0</v>
      </c>
      <c r="M2361" t="n">
        <v>0</v>
      </c>
    </row>
    <row r="2362">
      <c r="A2362" t="n">
        <v>214</v>
      </c>
      <c r="B2362" t="inlineStr">
        <is>
          <t>Generación de Residuos Sólidos Mensual</t>
        </is>
      </c>
      <c r="C2362" t="inlineStr">
        <is>
          <t>GESTIÓN AMBIENTAL</t>
        </is>
      </c>
      <c r="D2362" t="inlineStr">
        <is>
          <t>Mensual</t>
        </is>
      </c>
      <c r="E2362" t="inlineStr">
        <is>
          <t>Negativo</t>
        </is>
      </c>
      <c r="F2362" s="105" t="n">
        <v>45747</v>
      </c>
      <c r="G2362" t="inlineStr">
        <is>
          <t>214-2025-03-31</t>
        </is>
      </c>
      <c r="H2362" t="inlineStr">
        <is>
          <t>Consultorio Psicología - Medellin</t>
        </is>
      </c>
      <c r="I2362" t="n">
        <v>1</v>
      </c>
      <c r="J2362" t="n">
        <v>50.58000183105469</v>
      </c>
      <c r="L2362" t="n">
        <v>25.82</v>
      </c>
      <c r="M2362" t="n">
        <v>24.76</v>
      </c>
    </row>
    <row r="2363">
      <c r="A2363" t="n">
        <v>214</v>
      </c>
      <c r="B2363" t="inlineStr">
        <is>
          <t>Generación de Residuos Sólidos Mensual</t>
        </is>
      </c>
      <c r="C2363" t="inlineStr">
        <is>
          <t>GESTIÓN AMBIENTAL</t>
        </is>
      </c>
      <c r="D2363" t="inlineStr">
        <is>
          <t>Mensual</t>
        </is>
      </c>
      <c r="E2363" t="inlineStr">
        <is>
          <t>Negativo</t>
        </is>
      </c>
      <c r="F2363" s="105" t="n">
        <v>45747</v>
      </c>
      <c r="G2363" t="inlineStr">
        <is>
          <t>214-2025-03-31</t>
        </is>
      </c>
      <c r="H2363" t="inlineStr">
        <is>
          <t>Campus Bogotá</t>
        </is>
      </c>
      <c r="I2363" t="n">
        <v>5500</v>
      </c>
      <c r="J2363" t="n">
        <v>3844.31005859375</v>
      </c>
      <c r="L2363" t="n">
        <v>423.31</v>
      </c>
      <c r="M2363" t="n">
        <v>3421</v>
      </c>
    </row>
    <row r="2364">
      <c r="A2364" t="n">
        <v>217</v>
      </c>
      <c r="B2364" t="inlineStr">
        <is>
          <t>Aprovechamiento de Residuos</t>
        </is>
      </c>
      <c r="C2364" t="inlineStr">
        <is>
          <t>GESTIÓN AMBIENTAL</t>
        </is>
      </c>
      <c r="D2364" t="inlineStr">
        <is>
          <t>Mensual</t>
        </is>
      </c>
      <c r="E2364" t="inlineStr">
        <is>
          <t>Positivo</t>
        </is>
      </c>
      <c r="F2364" s="105" t="n">
        <v>45747</v>
      </c>
      <c r="G2364" t="inlineStr">
        <is>
          <t>217-2025-03-31</t>
        </is>
      </c>
      <c r="H2364" t="inlineStr">
        <is>
          <t>City Campus</t>
        </is>
      </c>
      <c r="I2364" t="n">
        <v>20</v>
      </c>
      <c r="J2364" t="n">
        <v>16.3700008392334</v>
      </c>
      <c r="L2364" t="n">
        <v>210.69</v>
      </c>
      <c r="M2364" t="n">
        <v>1076.2</v>
      </c>
      <c r="AS2364" t="n">
        <v>210.69</v>
      </c>
    </row>
    <row r="2365">
      <c r="A2365" t="n">
        <v>217</v>
      </c>
      <c r="B2365" t="inlineStr">
        <is>
          <t>Aprovechamiento de Residuos</t>
        </is>
      </c>
      <c r="C2365" t="inlineStr">
        <is>
          <t>GESTIÓN AMBIENTAL</t>
        </is>
      </c>
      <c r="D2365" t="inlineStr">
        <is>
          <t>Mensual</t>
        </is>
      </c>
      <c r="E2365" t="inlineStr">
        <is>
          <t>Positivo</t>
        </is>
      </c>
      <c r="F2365" s="105" t="n">
        <v>45747</v>
      </c>
      <c r="G2365" t="inlineStr">
        <is>
          <t>217-2025-03-31</t>
        </is>
      </c>
      <c r="H2365" t="inlineStr">
        <is>
          <t>Sede Posgrado-Calle 85</t>
        </is>
      </c>
      <c r="I2365" t="n">
        <v>20</v>
      </c>
      <c r="J2365" t="n">
        <v>60.27999877929688</v>
      </c>
      <c r="L2365" t="n">
        <v>22.73</v>
      </c>
      <c r="M2365" t="n">
        <v>14.98</v>
      </c>
      <c r="AS2365" t="n">
        <v>22.73</v>
      </c>
    </row>
    <row r="2366">
      <c r="A2366" t="n">
        <v>217</v>
      </c>
      <c r="B2366" t="inlineStr">
        <is>
          <t>Aprovechamiento de Residuos</t>
        </is>
      </c>
      <c r="C2366" t="inlineStr">
        <is>
          <t>GESTIÓN AMBIENTAL</t>
        </is>
      </c>
      <c r="D2366" t="inlineStr">
        <is>
          <t>Mensual</t>
        </is>
      </c>
      <c r="E2366" t="inlineStr">
        <is>
          <t>Positivo</t>
        </is>
      </c>
      <c r="F2366" s="105" t="n">
        <v>45747</v>
      </c>
      <c r="G2366" t="inlineStr">
        <is>
          <t>217-2025-03-31</t>
        </is>
      </c>
      <c r="H2366" t="inlineStr">
        <is>
          <t>Campus-Medellín</t>
        </is>
      </c>
      <c r="I2366" t="n">
        <v>20</v>
      </c>
      <c r="J2366" t="n">
        <v>9.579999923706055</v>
      </c>
      <c r="L2366" t="n">
        <v>120.47</v>
      </c>
      <c r="M2366" t="n">
        <v>1137.3</v>
      </c>
      <c r="AS2366" t="n">
        <v>120.47</v>
      </c>
    </row>
    <row r="2367">
      <c r="A2367" t="n">
        <v>217</v>
      </c>
      <c r="B2367" t="inlineStr">
        <is>
          <t>Aprovechamiento de Residuos</t>
        </is>
      </c>
      <c r="C2367" t="inlineStr">
        <is>
          <t>GESTIÓN AMBIENTAL</t>
        </is>
      </c>
      <c r="D2367" t="inlineStr">
        <is>
          <t>Mensual</t>
        </is>
      </c>
      <c r="E2367" t="inlineStr">
        <is>
          <t>Positivo</t>
        </is>
      </c>
      <c r="F2367" s="105" t="n">
        <v>45747</v>
      </c>
      <c r="G2367" t="inlineStr">
        <is>
          <t>217-2025-03-31</t>
        </is>
      </c>
      <c r="H2367" t="inlineStr">
        <is>
          <t>Sede Bienestar - Medellín</t>
        </is>
      </c>
      <c r="I2367" t="n">
        <v>20</v>
      </c>
      <c r="J2367" t="n">
        <v>0</v>
      </c>
      <c r="L2367" t="n">
        <v>0</v>
      </c>
      <c r="M2367" t="n">
        <v>0</v>
      </c>
      <c r="AS2367" t="n">
        <v>0</v>
      </c>
    </row>
    <row r="2368">
      <c r="A2368" t="n">
        <v>217</v>
      </c>
      <c r="B2368" t="inlineStr">
        <is>
          <t>Aprovechamiento de Residuos</t>
        </is>
      </c>
      <c r="C2368" t="inlineStr">
        <is>
          <t>GESTIÓN AMBIENTAL</t>
        </is>
      </c>
      <c r="D2368" t="inlineStr">
        <is>
          <t>Mensual</t>
        </is>
      </c>
      <c r="E2368" t="inlineStr">
        <is>
          <t>Positivo</t>
        </is>
      </c>
      <c r="F2368" s="105" t="n">
        <v>45747</v>
      </c>
      <c r="G2368" t="inlineStr">
        <is>
          <t>217-2025-03-31</t>
        </is>
      </c>
      <c r="H2368" t="inlineStr">
        <is>
          <t>Consultorio Psicología - Medellin</t>
        </is>
      </c>
      <c r="I2368" t="n">
        <v>20</v>
      </c>
      <c r="J2368" t="n">
        <v>51.04999923706055</v>
      </c>
      <c r="L2368" t="n">
        <v>25.82</v>
      </c>
      <c r="M2368" t="n">
        <v>24.76</v>
      </c>
      <c r="AS2368" t="n">
        <v>25.82</v>
      </c>
    </row>
    <row r="2369">
      <c r="A2369" t="n">
        <v>217</v>
      </c>
      <c r="B2369" t="inlineStr">
        <is>
          <t>Aprovechamiento de Residuos</t>
        </is>
      </c>
      <c r="C2369" t="inlineStr">
        <is>
          <t>GESTIÓN AMBIENTAL</t>
        </is>
      </c>
      <c r="D2369" t="inlineStr">
        <is>
          <t>Mensual</t>
        </is>
      </c>
      <c r="E2369" t="inlineStr">
        <is>
          <t>Positivo</t>
        </is>
      </c>
      <c r="F2369" s="105" t="n">
        <v>45747</v>
      </c>
      <c r="G2369" t="inlineStr">
        <is>
          <t>217-2025-03-31</t>
        </is>
      </c>
      <c r="H2369" t="inlineStr">
        <is>
          <t>Campus Bogotá</t>
        </is>
      </c>
      <c r="I2369" t="n">
        <v>20</v>
      </c>
      <c r="J2369" t="n">
        <v>36.56999969482422</v>
      </c>
      <c r="L2369" t="n">
        <v>423.31</v>
      </c>
      <c r="M2369" t="n">
        <v>3421</v>
      </c>
      <c r="AS2369" t="n">
        <v>1405.91</v>
      </c>
    </row>
    <row r="2370">
      <c r="A2370" t="n">
        <v>218</v>
      </c>
      <c r="B2370" t="inlineStr">
        <is>
          <t>Consumo de Energía Eléctrica kWh Mensual</t>
        </is>
      </c>
      <c r="C2370" t="inlineStr">
        <is>
          <t>GESTIÓN AMBIENTAL</t>
        </is>
      </c>
      <c r="D2370" t="inlineStr">
        <is>
          <t>Mensual</t>
        </is>
      </c>
      <c r="E2370" t="inlineStr">
        <is>
          <t>Negativo</t>
        </is>
      </c>
      <c r="F2370" s="105" t="n">
        <v>45747</v>
      </c>
      <c r="G2370" t="inlineStr">
        <is>
          <t>218-2025-03-31</t>
        </is>
      </c>
      <c r="H2370" t="inlineStr">
        <is>
          <t>Campus Bogotá</t>
        </is>
      </c>
      <c r="I2370" t="n">
        <v>76000</v>
      </c>
      <c r="J2370" t="n">
        <v>76546.4609375</v>
      </c>
      <c r="N2370" t="n">
        <v>76546.46000000001</v>
      </c>
    </row>
    <row r="2371">
      <c r="A2371" t="n">
        <v>218</v>
      </c>
      <c r="B2371" t="inlineStr">
        <is>
          <t>Consumo de Energía Eléctrica kWh Mensual</t>
        </is>
      </c>
      <c r="C2371" t="inlineStr">
        <is>
          <t>GESTIÓN AMBIENTAL</t>
        </is>
      </c>
      <c r="D2371" t="inlineStr">
        <is>
          <t>Mensual</t>
        </is>
      </c>
      <c r="E2371" t="inlineStr">
        <is>
          <t>Negativo</t>
        </is>
      </c>
      <c r="F2371" s="105" t="n">
        <v>45747</v>
      </c>
      <c r="G2371" t="inlineStr">
        <is>
          <t>218-2025-03-31</t>
        </is>
      </c>
      <c r="H2371" t="inlineStr">
        <is>
          <t>City Campus</t>
        </is>
      </c>
      <c r="I2371" t="n">
        <v>76000</v>
      </c>
      <c r="J2371" t="n">
        <v>49020</v>
      </c>
      <c r="N2371" t="n">
        <v>49020</v>
      </c>
    </row>
    <row r="2372">
      <c r="A2372" t="n">
        <v>218</v>
      </c>
      <c r="B2372" t="inlineStr">
        <is>
          <t>Consumo de Energía Eléctrica kWh Mensual</t>
        </is>
      </c>
      <c r="C2372" t="inlineStr">
        <is>
          <t>GESTIÓN AMBIENTAL</t>
        </is>
      </c>
      <c r="D2372" t="inlineStr">
        <is>
          <t>Mensual</t>
        </is>
      </c>
      <c r="E2372" t="inlineStr">
        <is>
          <t>Negativo</t>
        </is>
      </c>
      <c r="F2372" s="105" t="n">
        <v>45747</v>
      </c>
      <c r="G2372" t="inlineStr">
        <is>
          <t>218-2025-03-31</t>
        </is>
      </c>
      <c r="H2372" t="inlineStr">
        <is>
          <t>Sede Posgrado-Calle 85</t>
        </is>
      </c>
      <c r="I2372" t="n">
        <v>5000</v>
      </c>
      <c r="J2372" t="n">
        <v>4260</v>
      </c>
      <c r="N2372" t="n">
        <v>4260</v>
      </c>
    </row>
    <row r="2373">
      <c r="A2373" t="n">
        <v>218</v>
      </c>
      <c r="B2373" t="inlineStr">
        <is>
          <t>Consumo de Energía Eléctrica kWh Mensual</t>
        </is>
      </c>
      <c r="C2373" t="inlineStr">
        <is>
          <t>GESTIÓN AMBIENTAL</t>
        </is>
      </c>
      <c r="D2373" t="inlineStr">
        <is>
          <t>Mensual</t>
        </is>
      </c>
      <c r="E2373" t="inlineStr">
        <is>
          <t>Negativo</t>
        </is>
      </c>
      <c r="F2373" s="105" t="n">
        <v>45747</v>
      </c>
      <c r="G2373" t="inlineStr">
        <is>
          <t>218-2025-03-31</t>
        </is>
      </c>
      <c r="H2373" t="inlineStr">
        <is>
          <t>Campus-Medellín</t>
        </is>
      </c>
      <c r="I2373" t="n">
        <v>24000</v>
      </c>
      <c r="J2373" t="n">
        <v>24510</v>
      </c>
      <c r="N2373" t="n">
        <v>24510</v>
      </c>
    </row>
    <row r="2374">
      <c r="A2374" t="n">
        <v>218</v>
      </c>
      <c r="B2374" t="inlineStr">
        <is>
          <t>Consumo de Energía Eléctrica kWh Mensual</t>
        </is>
      </c>
      <c r="C2374" t="inlineStr">
        <is>
          <t>GESTIÓN AMBIENTAL</t>
        </is>
      </c>
      <c r="D2374" t="inlineStr">
        <is>
          <t>Mensual</t>
        </is>
      </c>
      <c r="E2374" t="inlineStr">
        <is>
          <t>Negativo</t>
        </is>
      </c>
      <c r="F2374" s="105" t="n">
        <v>45747</v>
      </c>
      <c r="G2374" t="inlineStr">
        <is>
          <t>218-2025-03-31</t>
        </is>
      </c>
      <c r="H2374" t="inlineStr">
        <is>
          <t>Sede Bienestar - Medellín</t>
        </is>
      </c>
      <c r="I2374" t="n">
        <v>5000</v>
      </c>
      <c r="J2374" t="n">
        <v>120</v>
      </c>
      <c r="N2374" t="n">
        <v>120</v>
      </c>
    </row>
    <row r="2375">
      <c r="A2375" t="n">
        <v>218</v>
      </c>
      <c r="B2375" t="inlineStr">
        <is>
          <t>Consumo de Energía Eléctrica kWh Mensual</t>
        </is>
      </c>
      <c r="C2375" t="inlineStr">
        <is>
          <t>GESTIÓN AMBIENTAL</t>
        </is>
      </c>
      <c r="D2375" t="inlineStr">
        <is>
          <t>Mensual</t>
        </is>
      </c>
      <c r="E2375" t="inlineStr">
        <is>
          <t>Negativo</t>
        </is>
      </c>
      <c r="F2375" s="105" t="n">
        <v>45747</v>
      </c>
      <c r="G2375" t="inlineStr">
        <is>
          <t>218-2025-03-31</t>
        </is>
      </c>
      <c r="H2375" t="inlineStr">
        <is>
          <t>Consultorio Psicología - Medellin</t>
        </is>
      </c>
      <c r="I2375" t="n">
        <v>2000</v>
      </c>
      <c r="J2375" t="n">
        <v>1647.079956054688</v>
      </c>
      <c r="N2375" t="n">
        <v>1647.08</v>
      </c>
    </row>
    <row r="2376">
      <c r="A2376" t="n">
        <v>225</v>
      </c>
      <c r="B2376" t="inlineStr">
        <is>
          <t>Acciones para el Cuidado y Mantenimiento de las Especies de Flora y el Suelo de las Áreas Naturales</t>
        </is>
      </c>
      <c r="C2376" t="inlineStr">
        <is>
          <t>GESTIÓN AMBIENTAL</t>
        </is>
      </c>
      <c r="D2376" t="inlineStr">
        <is>
          <t>Mensual</t>
        </is>
      </c>
      <c r="E2376" t="inlineStr">
        <is>
          <t>Positivo</t>
        </is>
      </c>
      <c r="F2376" s="105" t="n">
        <v>45747</v>
      </c>
      <c r="G2376" t="inlineStr">
        <is>
          <t>225-2025-03-31</t>
        </is>
      </c>
      <c r="H2376" t="inlineStr">
        <is>
          <t>Campus Bogotá</t>
        </is>
      </c>
      <c r="I2376" t="n">
        <v>1</v>
      </c>
      <c r="J2376" t="n">
        <v>5</v>
      </c>
      <c r="AT2376" t="n">
        <v>5</v>
      </c>
    </row>
    <row r="2377">
      <c r="A2377" t="n">
        <v>225</v>
      </c>
      <c r="B2377" t="inlineStr">
        <is>
          <t>Acciones para el Cuidado y Mantenimiento de las Especies de Flora y el Suelo de las Áreas Naturales</t>
        </is>
      </c>
      <c r="C2377" t="inlineStr">
        <is>
          <t>GESTIÓN AMBIENTAL</t>
        </is>
      </c>
      <c r="D2377" t="inlineStr">
        <is>
          <t>Mensual</t>
        </is>
      </c>
      <c r="E2377" t="inlineStr">
        <is>
          <t>Positivo</t>
        </is>
      </c>
      <c r="F2377" s="105" t="n">
        <v>45747</v>
      </c>
      <c r="G2377" t="inlineStr">
        <is>
          <t>225-2025-03-31</t>
        </is>
      </c>
      <c r="H2377" t="inlineStr">
        <is>
          <t>City Campus</t>
        </is>
      </c>
      <c r="I2377" t="n">
        <v>1</v>
      </c>
      <c r="J2377" t="n">
        <v>3</v>
      </c>
      <c r="AT2377" t="n">
        <v>3</v>
      </c>
    </row>
    <row r="2378">
      <c r="A2378" t="n">
        <v>225</v>
      </c>
      <c r="B2378" t="inlineStr">
        <is>
          <t>Acciones para el Cuidado y Mantenimiento de las Especies de Flora y el Suelo de las Áreas Naturales</t>
        </is>
      </c>
      <c r="C2378" t="inlineStr">
        <is>
          <t>GESTIÓN AMBIENTAL</t>
        </is>
      </c>
      <c r="D2378" t="inlineStr">
        <is>
          <t>Mensual</t>
        </is>
      </c>
      <c r="E2378" t="inlineStr">
        <is>
          <t>Positivo</t>
        </is>
      </c>
      <c r="F2378" s="105" t="n">
        <v>45747</v>
      </c>
      <c r="G2378" t="inlineStr">
        <is>
          <t>225-2025-03-31</t>
        </is>
      </c>
      <c r="H2378" t="inlineStr">
        <is>
          <t>Sede Posgrado-Calle 85</t>
        </is>
      </c>
      <c r="I2378" t="n">
        <v>1</v>
      </c>
      <c r="J2378" t="n">
        <v>0</v>
      </c>
      <c r="AT2378" t="n">
        <v>0</v>
      </c>
    </row>
    <row r="2379">
      <c r="A2379" t="n">
        <v>225</v>
      </c>
      <c r="B2379" t="inlineStr">
        <is>
          <t>Acciones para el Cuidado y Mantenimiento de las Especies de Flora y el Suelo de las Áreas Naturales</t>
        </is>
      </c>
      <c r="C2379" t="inlineStr">
        <is>
          <t>GESTIÓN AMBIENTAL</t>
        </is>
      </c>
      <c r="D2379" t="inlineStr">
        <is>
          <t>Mensual</t>
        </is>
      </c>
      <c r="E2379" t="inlineStr">
        <is>
          <t>Positivo</t>
        </is>
      </c>
      <c r="F2379" s="105" t="n">
        <v>45747</v>
      </c>
      <c r="G2379" t="inlineStr">
        <is>
          <t>225-2025-03-31</t>
        </is>
      </c>
      <c r="H2379" t="inlineStr">
        <is>
          <t>Campus-Medellín</t>
        </is>
      </c>
      <c r="I2379" t="n">
        <v>1</v>
      </c>
      <c r="J2379" t="n">
        <v>10</v>
      </c>
      <c r="AT2379" t="n">
        <v>10</v>
      </c>
    </row>
    <row r="2380">
      <c r="A2380" t="n">
        <v>225</v>
      </c>
      <c r="B2380" t="inlineStr">
        <is>
          <t>Acciones para el Cuidado y Mantenimiento de las Especies de Flora y el Suelo de las Áreas Naturales</t>
        </is>
      </c>
      <c r="C2380" t="inlineStr">
        <is>
          <t>GESTIÓN AMBIENTAL</t>
        </is>
      </c>
      <c r="D2380" t="inlineStr">
        <is>
          <t>Mensual</t>
        </is>
      </c>
      <c r="E2380" t="inlineStr">
        <is>
          <t>Positivo</t>
        </is>
      </c>
      <c r="F2380" s="105" t="n">
        <v>45747</v>
      </c>
      <c r="G2380" t="inlineStr">
        <is>
          <t>225-2025-03-31</t>
        </is>
      </c>
      <c r="H2380" t="inlineStr">
        <is>
          <t>Sede Bienestar - Medellín</t>
        </is>
      </c>
      <c r="I2380" t="n">
        <v>1</v>
      </c>
      <c r="J2380" t="n">
        <v>2</v>
      </c>
      <c r="AT2380" t="n">
        <v>2</v>
      </c>
    </row>
    <row r="2381">
      <c r="A2381" t="n">
        <v>225</v>
      </c>
      <c r="B2381" t="inlineStr">
        <is>
          <t>Acciones para el Cuidado y Mantenimiento de las Especies de Flora y el Suelo de las Áreas Naturales</t>
        </is>
      </c>
      <c r="C2381" t="inlineStr">
        <is>
          <t>GESTIÓN AMBIENTAL</t>
        </is>
      </c>
      <c r="D2381" t="inlineStr">
        <is>
          <t>Mensual</t>
        </is>
      </c>
      <c r="E2381" t="inlineStr">
        <is>
          <t>Positivo</t>
        </is>
      </c>
      <c r="F2381" s="105" t="n">
        <v>45747</v>
      </c>
      <c r="G2381" t="inlineStr">
        <is>
          <t>225-2025-03-31</t>
        </is>
      </c>
      <c r="H2381" t="inlineStr">
        <is>
          <t>Consultorio Psicología - Medellin</t>
        </is>
      </c>
      <c r="I2381" t="n">
        <v>1</v>
      </c>
      <c r="J2381" t="n">
        <v>1</v>
      </c>
      <c r="AT2381" t="n">
        <v>1</v>
      </c>
    </row>
    <row r="2382">
      <c r="A2382" t="n">
        <v>239</v>
      </c>
      <c r="B2382" t="inlineStr">
        <is>
          <t>Portafolio de Proyectos - Metrica</t>
        </is>
      </c>
      <c r="C2382" t="inlineStr">
        <is>
          <t>Gestión de Proyectos</t>
        </is>
      </c>
      <c r="D2382" t="inlineStr">
        <is>
          <t>Mensual</t>
        </is>
      </c>
      <c r="E2382" t="inlineStr">
        <is>
          <t>Positivo</t>
        </is>
      </c>
      <c r="F2382" s="105" t="n">
        <v>45747</v>
      </c>
      <c r="G2382" t="inlineStr">
        <is>
          <t>239-2025-03-31</t>
        </is>
      </c>
      <c r="H2382" t="inlineStr">
        <is>
          <t>Planificación</t>
        </is>
      </c>
      <c r="J2382" t="n">
        <v>4</v>
      </c>
      <c r="AU2382" t="n">
        <v>4</v>
      </c>
    </row>
    <row r="2383">
      <c r="A2383" t="n">
        <v>239</v>
      </c>
      <c r="B2383" t="inlineStr">
        <is>
          <t>Portafolio de Proyectos - Metrica</t>
        </is>
      </c>
      <c r="C2383" t="inlineStr">
        <is>
          <t>Gestión de Proyectos</t>
        </is>
      </c>
      <c r="D2383" t="inlineStr">
        <is>
          <t>Mensual</t>
        </is>
      </c>
      <c r="E2383" t="inlineStr">
        <is>
          <t>Positivo</t>
        </is>
      </c>
      <c r="F2383" s="105" t="n">
        <v>45747</v>
      </c>
      <c r="G2383" t="inlineStr">
        <is>
          <t>239-2025-03-31</t>
        </is>
      </c>
      <c r="H2383" t="inlineStr">
        <is>
          <t>Ejecución</t>
        </is>
      </c>
      <c r="J2383" t="n">
        <v>12</v>
      </c>
      <c r="AU2383" t="n">
        <v>12</v>
      </c>
    </row>
    <row r="2384">
      <c r="A2384" t="n">
        <v>239</v>
      </c>
      <c r="B2384" t="inlineStr">
        <is>
          <t>Portafolio de Proyectos - Metrica</t>
        </is>
      </c>
      <c r="C2384" t="inlineStr">
        <is>
          <t>Gestión de Proyectos</t>
        </is>
      </c>
      <c r="D2384" t="inlineStr">
        <is>
          <t>Mensual</t>
        </is>
      </c>
      <c r="E2384" t="inlineStr">
        <is>
          <t>Positivo</t>
        </is>
      </c>
      <c r="F2384" s="105" t="n">
        <v>45747</v>
      </c>
      <c r="G2384" t="inlineStr">
        <is>
          <t>239-2025-03-31</t>
        </is>
      </c>
      <c r="H2384" t="inlineStr">
        <is>
          <t>Cierre</t>
        </is>
      </c>
      <c r="J2384" t="n">
        <v>1</v>
      </c>
      <c r="AU2384" t="n">
        <v>1</v>
      </c>
    </row>
    <row r="2385">
      <c r="A2385" t="n">
        <v>239</v>
      </c>
      <c r="B2385" t="inlineStr">
        <is>
          <t>Portafolio de Proyectos - Metrica</t>
        </is>
      </c>
      <c r="C2385" t="inlineStr">
        <is>
          <t>Gestión de Proyectos</t>
        </is>
      </c>
      <c r="D2385" t="inlineStr">
        <is>
          <t>Mensual</t>
        </is>
      </c>
      <c r="E2385" t="inlineStr">
        <is>
          <t>Positivo</t>
        </is>
      </c>
      <c r="F2385" s="105" t="n">
        <v>45747</v>
      </c>
      <c r="G2385" t="inlineStr">
        <is>
          <t>239-2025-03-31</t>
        </is>
      </c>
      <c r="H2385" t="inlineStr">
        <is>
          <t>Finalizados</t>
        </is>
      </c>
      <c r="J2385" t="n">
        <v>22</v>
      </c>
      <c r="AU2385" t="n">
        <v>22</v>
      </c>
    </row>
    <row r="2386">
      <c r="A2386" t="n">
        <v>239</v>
      </c>
      <c r="B2386" t="inlineStr">
        <is>
          <t>Portafolio de Proyectos - Metrica</t>
        </is>
      </c>
      <c r="C2386" t="inlineStr">
        <is>
          <t>Gestión de Proyectos</t>
        </is>
      </c>
      <c r="D2386" t="inlineStr">
        <is>
          <t>Mensual</t>
        </is>
      </c>
      <c r="E2386" t="inlineStr">
        <is>
          <t>Positivo</t>
        </is>
      </c>
      <c r="F2386" s="105" t="n">
        <v>45747</v>
      </c>
      <c r="G2386" t="inlineStr">
        <is>
          <t>239-2025-03-31</t>
        </is>
      </c>
      <c r="H2386" t="inlineStr">
        <is>
          <t>Stand by</t>
        </is>
      </c>
      <c r="J2386" t="n">
        <v>3</v>
      </c>
      <c r="AU2386" t="n">
        <v>3</v>
      </c>
    </row>
    <row r="2387">
      <c r="A2387" t="n">
        <v>434</v>
      </c>
      <c r="B2387" t="inlineStr">
        <is>
          <t>Generación de Residuos Peligrosos Mensual</t>
        </is>
      </c>
      <c r="C2387" t="inlineStr">
        <is>
          <t>GESTIÓN AMBIENTAL</t>
        </is>
      </c>
      <c r="D2387" t="inlineStr">
        <is>
          <t>Mensual</t>
        </is>
      </c>
      <c r="E2387" t="inlineStr">
        <is>
          <t>Negativo</t>
        </is>
      </c>
      <c r="F2387" s="105" t="n">
        <v>45747</v>
      </c>
      <c r="G2387" t="inlineStr">
        <is>
          <t>434-2025-03-31</t>
        </is>
      </c>
      <c r="H2387" t="inlineStr">
        <is>
          <t>City Campus</t>
        </is>
      </c>
      <c r="I2387" t="n">
        <v>25</v>
      </c>
      <c r="J2387" t="n">
        <v>1.840000033378601</v>
      </c>
      <c r="AV2387" t="n">
        <v>1.84</v>
      </c>
    </row>
    <row r="2388">
      <c r="A2388" t="n">
        <v>434</v>
      </c>
      <c r="B2388" t="inlineStr">
        <is>
          <t>Generación de Residuos Peligrosos Mensual</t>
        </is>
      </c>
      <c r="C2388" t="inlineStr">
        <is>
          <t>GESTIÓN AMBIENTAL</t>
        </is>
      </c>
      <c r="D2388" t="inlineStr">
        <is>
          <t>Mensual</t>
        </is>
      </c>
      <c r="E2388" t="inlineStr">
        <is>
          <t>Negativo</t>
        </is>
      </c>
      <c r="F2388" s="105" t="n">
        <v>45747</v>
      </c>
      <c r="G2388" t="inlineStr">
        <is>
          <t>434-2025-03-31</t>
        </is>
      </c>
      <c r="H2388" t="inlineStr">
        <is>
          <t>Sede Posgrado-Calle 85</t>
        </is>
      </c>
      <c r="I2388" t="n">
        <v>200</v>
      </c>
      <c r="J2388" t="n">
        <v>0</v>
      </c>
      <c r="AV2388" t="n">
        <v>0</v>
      </c>
    </row>
    <row r="2389">
      <c r="A2389" t="n">
        <v>434</v>
      </c>
      <c r="B2389" t="inlineStr">
        <is>
          <t>Generación de Residuos Peligrosos Mensual</t>
        </is>
      </c>
      <c r="C2389" t="inlineStr">
        <is>
          <t>GESTIÓN AMBIENTAL</t>
        </is>
      </c>
      <c r="D2389" t="inlineStr">
        <is>
          <t>Mensual</t>
        </is>
      </c>
      <c r="E2389" t="inlineStr">
        <is>
          <t>Negativo</t>
        </is>
      </c>
      <c r="F2389" s="105" t="n">
        <v>45747</v>
      </c>
      <c r="G2389" t="inlineStr">
        <is>
          <t>434-2025-03-31</t>
        </is>
      </c>
      <c r="H2389" t="inlineStr">
        <is>
          <t>Campus-Medellín</t>
        </is>
      </c>
      <c r="I2389" t="n">
        <v>25</v>
      </c>
      <c r="J2389" t="n">
        <v>1.399999976158142</v>
      </c>
      <c r="AV2389" t="n">
        <v>1.4</v>
      </c>
    </row>
    <row r="2390">
      <c r="A2390" t="n">
        <v>434</v>
      </c>
      <c r="B2390" t="inlineStr">
        <is>
          <t>Generación de Residuos Peligrosos Mensual</t>
        </is>
      </c>
      <c r="C2390" t="inlineStr">
        <is>
          <t>GESTIÓN AMBIENTAL</t>
        </is>
      </c>
      <c r="D2390" t="inlineStr">
        <is>
          <t>Mensual</t>
        </is>
      </c>
      <c r="E2390" t="inlineStr">
        <is>
          <t>Negativo</t>
        </is>
      </c>
      <c r="F2390" s="105" t="n">
        <v>45747</v>
      </c>
      <c r="G2390" t="inlineStr">
        <is>
          <t>434-2025-03-31</t>
        </is>
      </c>
      <c r="H2390" t="inlineStr">
        <is>
          <t>Sede Bienestar - Medellín</t>
        </is>
      </c>
      <c r="I2390" t="n">
        <v>10</v>
      </c>
      <c r="J2390" t="n">
        <v>0</v>
      </c>
      <c r="AV2390" t="n">
        <v>0</v>
      </c>
    </row>
    <row r="2391">
      <c r="A2391" t="n">
        <v>434</v>
      </c>
      <c r="B2391" t="inlineStr">
        <is>
          <t>Generación de Residuos Peligrosos Mensual</t>
        </is>
      </c>
      <c r="C2391" t="inlineStr">
        <is>
          <t>GESTIÓN AMBIENTAL</t>
        </is>
      </c>
      <c r="D2391" t="inlineStr">
        <is>
          <t>Mensual</t>
        </is>
      </c>
      <c r="E2391" t="inlineStr">
        <is>
          <t>Negativo</t>
        </is>
      </c>
      <c r="F2391" s="105" t="n">
        <v>45747</v>
      </c>
      <c r="G2391" t="inlineStr">
        <is>
          <t>434-2025-03-31</t>
        </is>
      </c>
      <c r="H2391" t="inlineStr">
        <is>
          <t>Consultorio Psicología - Medellin</t>
        </is>
      </c>
      <c r="I2391" t="n">
        <v>200</v>
      </c>
      <c r="J2391" t="n">
        <v>0</v>
      </c>
      <c r="AV2391" t="n">
        <v>0</v>
      </c>
    </row>
    <row r="2392">
      <c r="A2392" t="n">
        <v>434</v>
      </c>
      <c r="B2392" t="inlineStr">
        <is>
          <t>Generación de Residuos Peligrosos Mensual</t>
        </is>
      </c>
      <c r="C2392" t="inlineStr">
        <is>
          <t>GESTIÓN AMBIENTAL</t>
        </is>
      </c>
      <c r="D2392" t="inlineStr">
        <is>
          <t>Mensual</t>
        </is>
      </c>
      <c r="E2392" t="inlineStr">
        <is>
          <t>Negativo</t>
        </is>
      </c>
      <c r="F2392" s="105" t="n">
        <v>45747</v>
      </c>
      <c r="G2392" t="inlineStr">
        <is>
          <t>434-2025-03-31</t>
        </is>
      </c>
      <c r="H2392" t="inlineStr">
        <is>
          <t>Campus Bogotá</t>
        </is>
      </c>
      <c r="I2392" t="n">
        <v>100</v>
      </c>
      <c r="J2392" t="n">
        <v>50.04999923706055</v>
      </c>
      <c r="AV2392" t="n">
        <v>50.05</v>
      </c>
    </row>
    <row r="2393">
      <c r="A2393" t="n">
        <v>436</v>
      </c>
      <c r="B2393" t="inlineStr">
        <is>
          <t>ANS documentos operativos</t>
        </is>
      </c>
      <c r="C2393" t="inlineStr">
        <is>
          <t>Gestión de calidad</t>
        </is>
      </c>
      <c r="D2393" t="inlineStr">
        <is>
          <t>Mensual</t>
        </is>
      </c>
      <c r="E2393" t="inlineStr">
        <is>
          <t>Negativo</t>
        </is>
      </c>
      <c r="F2393" s="105" t="n">
        <v>45747</v>
      </c>
      <c r="G2393" t="inlineStr">
        <is>
          <t>436-2025-03-31</t>
        </is>
      </c>
      <c r="H2393" t="inlineStr">
        <is>
          <t>Solicitud Documental</t>
        </is>
      </c>
      <c r="I2393" t="n">
        <v>7</v>
      </c>
      <c r="J2393" t="n">
        <v>6.670000076293945</v>
      </c>
      <c r="CP2393" t="n">
        <v>6.67</v>
      </c>
    </row>
    <row r="2394">
      <c r="A2394" t="n">
        <v>436</v>
      </c>
      <c r="B2394" t="inlineStr">
        <is>
          <t>ANS documentos operativos</t>
        </is>
      </c>
      <c r="C2394" t="inlineStr">
        <is>
          <t>Gestión de calidad</t>
        </is>
      </c>
      <c r="D2394" t="inlineStr">
        <is>
          <t>Mensual</t>
        </is>
      </c>
      <c r="E2394" t="inlineStr">
        <is>
          <t>Negativo</t>
        </is>
      </c>
      <c r="F2394" s="105" t="n">
        <v>45747</v>
      </c>
      <c r="G2394" t="inlineStr">
        <is>
          <t>436-2025-03-31</t>
        </is>
      </c>
      <c r="H2394" t="inlineStr">
        <is>
          <t>Flujo de aprobación</t>
        </is>
      </c>
      <c r="I2394" t="n">
        <v>7</v>
      </c>
      <c r="J2394" t="n">
        <v>3.930000066757202</v>
      </c>
      <c r="CP2394" t="n">
        <v>3.93</v>
      </c>
    </row>
    <row r="2395">
      <c r="A2395" t="n">
        <v>485</v>
      </c>
      <c r="B2395" t="inlineStr">
        <is>
          <t>Oportunidad en el cierre de acciones</t>
        </is>
      </c>
      <c r="C2395" t="inlineStr">
        <is>
          <t>Gestión de calidad</t>
        </is>
      </c>
      <c r="D2395" t="inlineStr">
        <is>
          <t>Mensual</t>
        </is>
      </c>
      <c r="E2395" t="inlineStr">
        <is>
          <t>Positivo</t>
        </is>
      </c>
      <c r="F2395" s="105" t="n">
        <v>45747</v>
      </c>
      <c r="G2395" t="inlineStr">
        <is>
          <t>485-2025-03-31</t>
        </is>
      </c>
      <c r="H2395" t="inlineStr">
        <is>
          <t>Auditoría interna</t>
        </is>
      </c>
      <c r="I2395" t="n">
        <v>80</v>
      </c>
      <c r="J2395" t="n">
        <v>100</v>
      </c>
      <c r="EC2395" t="n">
        <v>2</v>
      </c>
      <c r="ED2395" t="n">
        <v>2</v>
      </c>
    </row>
    <row r="2396">
      <c r="A2396" t="n">
        <v>485</v>
      </c>
      <c r="B2396" t="inlineStr">
        <is>
          <t>Oportunidad en el cierre de acciones</t>
        </is>
      </c>
      <c r="C2396" t="inlineStr">
        <is>
          <t>Gestión de calidad</t>
        </is>
      </c>
      <c r="D2396" t="inlineStr">
        <is>
          <t>Mensual</t>
        </is>
      </c>
      <c r="E2396" t="inlineStr">
        <is>
          <t>Positivo</t>
        </is>
      </c>
      <c r="F2396" s="105" t="n">
        <v>45747</v>
      </c>
      <c r="G2396" t="inlineStr">
        <is>
          <t>485-2025-03-31</t>
        </is>
      </c>
      <c r="H2396" t="inlineStr">
        <is>
          <t>Auditoría externa</t>
        </is>
      </c>
      <c r="I2396" t="n">
        <v>80</v>
      </c>
      <c r="J2396" t="n">
        <v>0</v>
      </c>
      <c r="EC2396" t="n">
        <v>0</v>
      </c>
      <c r="ED2396" t="n">
        <v>0</v>
      </c>
    </row>
    <row r="2397">
      <c r="A2397" t="n">
        <v>485</v>
      </c>
      <c r="B2397" t="inlineStr">
        <is>
          <t>Oportunidad en el cierre de acciones</t>
        </is>
      </c>
      <c r="C2397" t="inlineStr">
        <is>
          <t>Gestión de calidad</t>
        </is>
      </c>
      <c r="D2397" t="inlineStr">
        <is>
          <t>Mensual</t>
        </is>
      </c>
      <c r="E2397" t="inlineStr">
        <is>
          <t>Positivo</t>
        </is>
      </c>
      <c r="F2397" s="105" t="n">
        <v>45747</v>
      </c>
      <c r="G2397" t="inlineStr">
        <is>
          <t>485-2025-03-31</t>
        </is>
      </c>
      <c r="H2397" t="inlineStr">
        <is>
          <t>Indicadores</t>
        </is>
      </c>
      <c r="I2397" t="n">
        <v>80</v>
      </c>
      <c r="J2397" t="n">
        <v>0</v>
      </c>
      <c r="EC2397" t="n">
        <v>0</v>
      </c>
      <c r="ED2397" t="n">
        <v>0</v>
      </c>
    </row>
    <row r="2398">
      <c r="A2398" t="n">
        <v>485</v>
      </c>
      <c r="B2398" t="inlineStr">
        <is>
          <t>Oportunidad en el cierre de acciones</t>
        </is>
      </c>
      <c r="C2398" t="inlineStr">
        <is>
          <t>Gestión de calidad</t>
        </is>
      </c>
      <c r="D2398" t="inlineStr">
        <is>
          <t>Mensual</t>
        </is>
      </c>
      <c r="E2398" t="inlineStr">
        <is>
          <t>Positivo</t>
        </is>
      </c>
      <c r="F2398" s="105" t="n">
        <v>45747</v>
      </c>
      <c r="G2398" t="inlineStr">
        <is>
          <t>485-2025-03-31</t>
        </is>
      </c>
      <c r="H2398" t="inlineStr">
        <is>
          <t>Riesgos</t>
        </is>
      </c>
      <c r="I2398" t="n">
        <v>80</v>
      </c>
      <c r="J2398" t="n">
        <v>0</v>
      </c>
      <c r="EC2398" t="n">
        <v>0</v>
      </c>
      <c r="ED2398" t="n">
        <v>0</v>
      </c>
    </row>
    <row r="2399">
      <c r="A2399" t="n">
        <v>485</v>
      </c>
      <c r="B2399" t="inlineStr">
        <is>
          <t>Oportunidad en el cierre de acciones</t>
        </is>
      </c>
      <c r="C2399" t="inlineStr">
        <is>
          <t>Gestión de calidad</t>
        </is>
      </c>
      <c r="D2399" t="inlineStr">
        <is>
          <t>Mensual</t>
        </is>
      </c>
      <c r="E2399" t="inlineStr">
        <is>
          <t>Positivo</t>
        </is>
      </c>
      <c r="F2399" s="105" t="n">
        <v>45747</v>
      </c>
      <c r="G2399" t="inlineStr">
        <is>
          <t>485-2025-03-31</t>
        </is>
      </c>
      <c r="H2399" t="inlineStr">
        <is>
          <t>Autoevaluación</t>
        </is>
      </c>
      <c r="I2399" t="n">
        <v>80</v>
      </c>
      <c r="J2399" t="n">
        <v>0</v>
      </c>
      <c r="EC2399" t="n">
        <v>0</v>
      </c>
      <c r="ED2399" t="n">
        <v>0</v>
      </c>
    </row>
    <row r="2400">
      <c r="A2400" t="n">
        <v>485</v>
      </c>
      <c r="B2400" t="inlineStr">
        <is>
          <t>Oportunidad en el cierre de acciones</t>
        </is>
      </c>
      <c r="C2400" t="inlineStr">
        <is>
          <t>Gestión de calidad</t>
        </is>
      </c>
      <c r="D2400" t="inlineStr">
        <is>
          <t>Mensual</t>
        </is>
      </c>
      <c r="E2400" t="inlineStr">
        <is>
          <t>Positivo</t>
        </is>
      </c>
      <c r="F2400" s="105" t="n">
        <v>45747</v>
      </c>
      <c r="G2400" t="inlineStr">
        <is>
          <t>485-2025-03-31</t>
        </is>
      </c>
      <c r="H2400" t="inlineStr">
        <is>
          <t>Entes de control</t>
        </is>
      </c>
      <c r="I2400" t="n">
        <v>80</v>
      </c>
      <c r="J2400" t="n">
        <v>0</v>
      </c>
      <c r="EC2400" t="n">
        <v>0</v>
      </c>
      <c r="ED2400" t="n">
        <v>0</v>
      </c>
    </row>
    <row r="2401">
      <c r="A2401" t="n">
        <v>485</v>
      </c>
      <c r="B2401" t="inlineStr">
        <is>
          <t>Oportunidad en el cierre de acciones</t>
        </is>
      </c>
      <c r="C2401" t="inlineStr">
        <is>
          <t>Gestión de calidad</t>
        </is>
      </c>
      <c r="D2401" t="inlineStr">
        <is>
          <t>Mensual</t>
        </is>
      </c>
      <c r="E2401" t="inlineStr">
        <is>
          <t>Positivo</t>
        </is>
      </c>
      <c r="F2401" s="105" t="n">
        <v>45747</v>
      </c>
      <c r="G2401" t="inlineStr">
        <is>
          <t>485-2025-03-31</t>
        </is>
      </c>
      <c r="H2401" t="inlineStr">
        <is>
          <t>Seguimiento y control</t>
        </is>
      </c>
      <c r="I2401" t="n">
        <v>80</v>
      </c>
      <c r="J2401" t="n">
        <v>0</v>
      </c>
      <c r="EC2401" t="n">
        <v>0</v>
      </c>
      <c r="ED2401" t="n">
        <v>0</v>
      </c>
    </row>
    <row r="2402">
      <c r="A2402" t="n">
        <v>485</v>
      </c>
      <c r="B2402" t="inlineStr">
        <is>
          <t>Oportunidad en el cierre de acciones</t>
        </is>
      </c>
      <c r="C2402" t="inlineStr">
        <is>
          <t>Gestión de calidad</t>
        </is>
      </c>
      <c r="D2402" t="inlineStr">
        <is>
          <t>Mensual</t>
        </is>
      </c>
      <c r="E2402" t="inlineStr">
        <is>
          <t>Positivo</t>
        </is>
      </c>
      <c r="F2402" s="105" t="n">
        <v>45747</v>
      </c>
      <c r="G2402" t="inlineStr">
        <is>
          <t>485-2025-03-31</t>
        </is>
      </c>
      <c r="H2402" t="inlineStr">
        <is>
          <t>Experiencia</t>
        </is>
      </c>
      <c r="I2402" t="n">
        <v>80</v>
      </c>
      <c r="J2402" t="n">
        <v>0</v>
      </c>
      <c r="EC2402" t="n">
        <v>0</v>
      </c>
      <c r="ED2402" t="n">
        <v>0</v>
      </c>
    </row>
    <row r="2403">
      <c r="A2403" t="n">
        <v>485</v>
      </c>
      <c r="B2403" t="inlineStr">
        <is>
          <t>Oportunidad en el cierre de acciones</t>
        </is>
      </c>
      <c r="C2403" t="inlineStr">
        <is>
          <t>Gestión de calidad</t>
        </is>
      </c>
      <c r="D2403" t="inlineStr">
        <is>
          <t>Mensual</t>
        </is>
      </c>
      <c r="E2403" t="inlineStr">
        <is>
          <t>Positivo</t>
        </is>
      </c>
      <c r="F2403" s="105" t="n">
        <v>45747</v>
      </c>
      <c r="G2403" t="inlineStr">
        <is>
          <t>485-2025-03-31</t>
        </is>
      </c>
      <c r="H2403" t="inlineStr">
        <is>
          <t>Revisión por la dirección</t>
        </is>
      </c>
      <c r="I2403" t="n">
        <v>80</v>
      </c>
      <c r="J2403" t="n">
        <v>0</v>
      </c>
      <c r="EC2403" t="n">
        <v>0</v>
      </c>
      <c r="ED2403" t="n">
        <v>0</v>
      </c>
    </row>
    <row r="2404">
      <c r="A2404" t="n">
        <v>488</v>
      </c>
      <c r="B2404" t="inlineStr">
        <is>
          <t>Oportunidad en el cierre de actividades de los planes de mejora</t>
        </is>
      </c>
      <c r="C2404" t="inlineStr">
        <is>
          <t>Gestión de calidad</t>
        </is>
      </c>
      <c r="D2404" t="inlineStr">
        <is>
          <t>Mensual</t>
        </is>
      </c>
      <c r="E2404" t="inlineStr">
        <is>
          <t>Positivo</t>
        </is>
      </c>
      <c r="F2404" s="105" t="n">
        <v>45747</v>
      </c>
      <c r="G2404" t="inlineStr">
        <is>
          <t>488-2025-03-31</t>
        </is>
      </c>
      <c r="H2404" t="inlineStr">
        <is>
          <t>Auditoría interna</t>
        </is>
      </c>
      <c r="I2404" t="n">
        <v>85</v>
      </c>
      <c r="J2404" t="n">
        <v>0</v>
      </c>
      <c r="EE2404" t="n">
        <v>0</v>
      </c>
      <c r="EF2404" t="n">
        <v>0</v>
      </c>
    </row>
    <row r="2405">
      <c r="A2405" t="n">
        <v>488</v>
      </c>
      <c r="B2405" t="inlineStr">
        <is>
          <t>Oportunidad en el cierre de actividades de los planes de mejora</t>
        </is>
      </c>
      <c r="C2405" t="inlineStr">
        <is>
          <t>Gestión de calidad</t>
        </is>
      </c>
      <c r="D2405" t="inlineStr">
        <is>
          <t>Mensual</t>
        </is>
      </c>
      <c r="E2405" t="inlineStr">
        <is>
          <t>Positivo</t>
        </is>
      </c>
      <c r="F2405" s="105" t="n">
        <v>45747</v>
      </c>
      <c r="G2405" t="inlineStr">
        <is>
          <t>488-2025-03-31</t>
        </is>
      </c>
      <c r="H2405" t="inlineStr">
        <is>
          <t>Auditoría externa</t>
        </is>
      </c>
      <c r="I2405" t="n">
        <v>85</v>
      </c>
      <c r="J2405" t="n">
        <v>0</v>
      </c>
      <c r="EE2405" t="n">
        <v>0</v>
      </c>
      <c r="EF2405" t="n">
        <v>0</v>
      </c>
    </row>
    <row r="2406">
      <c r="A2406" t="n">
        <v>488</v>
      </c>
      <c r="B2406" t="inlineStr">
        <is>
          <t>Oportunidad en el cierre de actividades de los planes de mejora</t>
        </is>
      </c>
      <c r="C2406" t="inlineStr">
        <is>
          <t>Gestión de calidad</t>
        </is>
      </c>
      <c r="D2406" t="inlineStr">
        <is>
          <t>Mensual</t>
        </is>
      </c>
      <c r="E2406" t="inlineStr">
        <is>
          <t>Positivo</t>
        </is>
      </c>
      <c r="F2406" s="105" t="n">
        <v>45747</v>
      </c>
      <c r="G2406" t="inlineStr">
        <is>
          <t>488-2025-03-31</t>
        </is>
      </c>
      <c r="H2406" t="inlineStr">
        <is>
          <t>Indicadores</t>
        </is>
      </c>
      <c r="I2406" t="n">
        <v>85</v>
      </c>
      <c r="J2406" t="n">
        <v>0</v>
      </c>
      <c r="EE2406" t="n">
        <v>0</v>
      </c>
      <c r="EF2406" t="n">
        <v>0</v>
      </c>
    </row>
    <row r="2407">
      <c r="A2407" t="n">
        <v>488</v>
      </c>
      <c r="B2407" t="inlineStr">
        <is>
          <t>Oportunidad en el cierre de actividades de los planes de mejora</t>
        </is>
      </c>
      <c r="C2407" t="inlineStr">
        <is>
          <t>Gestión de calidad</t>
        </is>
      </c>
      <c r="D2407" t="inlineStr">
        <is>
          <t>Mensual</t>
        </is>
      </c>
      <c r="E2407" t="inlineStr">
        <is>
          <t>Positivo</t>
        </is>
      </c>
      <c r="F2407" s="105" t="n">
        <v>45747</v>
      </c>
      <c r="G2407" t="inlineStr">
        <is>
          <t>488-2025-03-31</t>
        </is>
      </c>
      <c r="H2407" t="inlineStr">
        <is>
          <t>Riesgos</t>
        </is>
      </c>
      <c r="I2407" t="n">
        <v>85</v>
      </c>
      <c r="J2407" t="n">
        <v>0</v>
      </c>
      <c r="EE2407" t="n">
        <v>0</v>
      </c>
      <c r="EF2407" t="n">
        <v>0</v>
      </c>
    </row>
    <row r="2408">
      <c r="A2408" t="n">
        <v>488</v>
      </c>
      <c r="B2408" t="inlineStr">
        <is>
          <t>Oportunidad en el cierre de actividades de los planes de mejora</t>
        </is>
      </c>
      <c r="C2408" t="inlineStr">
        <is>
          <t>Gestión de calidad</t>
        </is>
      </c>
      <c r="D2408" t="inlineStr">
        <is>
          <t>Mensual</t>
        </is>
      </c>
      <c r="E2408" t="inlineStr">
        <is>
          <t>Positivo</t>
        </is>
      </c>
      <c r="F2408" s="105" t="n">
        <v>45747</v>
      </c>
      <c r="G2408" t="inlineStr">
        <is>
          <t>488-2025-03-31</t>
        </is>
      </c>
      <c r="H2408" t="inlineStr">
        <is>
          <t>Autoevaluación</t>
        </is>
      </c>
      <c r="I2408" t="n">
        <v>85</v>
      </c>
      <c r="J2408" t="n">
        <v>0</v>
      </c>
      <c r="EE2408" t="n">
        <v>0</v>
      </c>
      <c r="EF2408" t="n">
        <v>0</v>
      </c>
    </row>
    <row r="2409">
      <c r="A2409" t="n">
        <v>488</v>
      </c>
      <c r="B2409" t="inlineStr">
        <is>
          <t>Oportunidad en el cierre de actividades de los planes de mejora</t>
        </is>
      </c>
      <c r="C2409" t="inlineStr">
        <is>
          <t>Gestión de calidad</t>
        </is>
      </c>
      <c r="D2409" t="inlineStr">
        <is>
          <t>Mensual</t>
        </is>
      </c>
      <c r="E2409" t="inlineStr">
        <is>
          <t>Positivo</t>
        </is>
      </c>
      <c r="F2409" s="105" t="n">
        <v>45747</v>
      </c>
      <c r="G2409" t="inlineStr">
        <is>
          <t>488-2025-03-31</t>
        </is>
      </c>
      <c r="H2409" t="inlineStr">
        <is>
          <t>Entes de control</t>
        </is>
      </c>
      <c r="I2409" t="n">
        <v>85</v>
      </c>
      <c r="J2409" t="n">
        <v>0</v>
      </c>
      <c r="EE2409" t="n">
        <v>0</v>
      </c>
      <c r="EF2409" t="n">
        <v>0</v>
      </c>
    </row>
    <row r="2410">
      <c r="A2410" t="n">
        <v>488</v>
      </c>
      <c r="B2410" t="inlineStr">
        <is>
          <t>Oportunidad en el cierre de actividades de los planes de mejora</t>
        </is>
      </c>
      <c r="C2410" t="inlineStr">
        <is>
          <t>Gestión de calidad</t>
        </is>
      </c>
      <c r="D2410" t="inlineStr">
        <is>
          <t>Mensual</t>
        </is>
      </c>
      <c r="E2410" t="inlineStr">
        <is>
          <t>Positivo</t>
        </is>
      </c>
      <c r="F2410" s="105" t="n">
        <v>45747</v>
      </c>
      <c r="G2410" t="inlineStr">
        <is>
          <t>488-2025-03-31</t>
        </is>
      </c>
      <c r="H2410" t="inlineStr">
        <is>
          <t>Seguimiento y control</t>
        </is>
      </c>
      <c r="I2410" t="n">
        <v>85</v>
      </c>
      <c r="J2410" t="n">
        <v>0</v>
      </c>
      <c r="EE2410" t="n">
        <v>0</v>
      </c>
      <c r="EF2410" t="n">
        <v>0</v>
      </c>
    </row>
    <row r="2411">
      <c r="A2411" t="n">
        <v>488</v>
      </c>
      <c r="B2411" t="inlineStr">
        <is>
          <t>Oportunidad en el cierre de actividades de los planes de mejora</t>
        </is>
      </c>
      <c r="C2411" t="inlineStr">
        <is>
          <t>Gestión de calidad</t>
        </is>
      </c>
      <c r="D2411" t="inlineStr">
        <is>
          <t>Mensual</t>
        </is>
      </c>
      <c r="E2411" t="inlineStr">
        <is>
          <t>Positivo</t>
        </is>
      </c>
      <c r="F2411" s="105" t="n">
        <v>45747</v>
      </c>
      <c r="G2411" t="inlineStr">
        <is>
          <t>488-2025-03-31</t>
        </is>
      </c>
      <c r="H2411" t="inlineStr">
        <is>
          <t>Experiencia</t>
        </is>
      </c>
      <c r="I2411" t="n">
        <v>85</v>
      </c>
      <c r="J2411" t="n">
        <v>0</v>
      </c>
      <c r="EE2411" t="n">
        <v>0</v>
      </c>
      <c r="EF2411" t="n">
        <v>0</v>
      </c>
    </row>
    <row r="2412">
      <c r="A2412" t="n">
        <v>488</v>
      </c>
      <c r="B2412" t="inlineStr">
        <is>
          <t>Oportunidad en el cierre de actividades de los planes de mejora</t>
        </is>
      </c>
      <c r="C2412" t="inlineStr">
        <is>
          <t>Gestión de calidad</t>
        </is>
      </c>
      <c r="D2412" t="inlineStr">
        <is>
          <t>Mensual</t>
        </is>
      </c>
      <c r="E2412" t="inlineStr">
        <is>
          <t>Positivo</t>
        </is>
      </c>
      <c r="F2412" s="105" t="n">
        <v>45747</v>
      </c>
      <c r="G2412" t="inlineStr">
        <is>
          <t>488-2025-03-31</t>
        </is>
      </c>
      <c r="H2412" t="inlineStr">
        <is>
          <t>Revisión por la dirección</t>
        </is>
      </c>
      <c r="I2412" t="n">
        <v>85</v>
      </c>
      <c r="J2412" t="n">
        <v>0</v>
      </c>
      <c r="EE2412" t="n">
        <v>0</v>
      </c>
      <c r="EF2412" t="n">
        <v>0</v>
      </c>
    </row>
    <row r="2413">
      <c r="A2413" t="n">
        <v>509</v>
      </c>
      <c r="B2413" t="inlineStr">
        <is>
          <t>Cumplimiento a cronograma de proyectos 2025</t>
        </is>
      </c>
      <c r="C2413" t="inlineStr">
        <is>
          <t>Gestión de Proyectos</t>
        </is>
      </c>
      <c r="D2413" t="inlineStr">
        <is>
          <t>Mensual</t>
        </is>
      </c>
      <c r="E2413" t="inlineStr">
        <is>
          <t>Positivo</t>
        </is>
      </c>
      <c r="F2413" s="105" t="n">
        <v>45747</v>
      </c>
      <c r="G2413" t="inlineStr">
        <is>
          <t>509-2025-03-31</t>
        </is>
      </c>
      <c r="H2413" t="inlineStr">
        <is>
          <t>Acreditación Institucional fase III Etapa de evaluación externa o evaluación por pares</t>
        </is>
      </c>
      <c r="I2413" t="n">
        <v>90</v>
      </c>
      <c r="J2413" t="n">
        <v>100</v>
      </c>
      <c r="EJ2413" t="n">
        <v>20</v>
      </c>
      <c r="EK2413" t="n">
        <v>20</v>
      </c>
    </row>
    <row r="2414">
      <c r="A2414" t="n">
        <v>509</v>
      </c>
      <c r="B2414" t="inlineStr">
        <is>
          <t>Cumplimiento a cronograma de proyectos 2025</t>
        </is>
      </c>
      <c r="C2414" t="inlineStr">
        <is>
          <t>Gestión de Proyectos</t>
        </is>
      </c>
      <c r="D2414" t="inlineStr">
        <is>
          <t>Mensual</t>
        </is>
      </c>
      <c r="E2414" t="inlineStr">
        <is>
          <t>Positivo</t>
        </is>
      </c>
      <c r="F2414" s="105" t="n">
        <v>45747</v>
      </c>
      <c r="G2414" t="inlineStr">
        <is>
          <t>509-2025-03-31</t>
        </is>
      </c>
      <c r="H2414" t="inlineStr">
        <is>
          <t>Actualización de TRD y creación del Plan de Gestión documental</t>
        </is>
      </c>
      <c r="I2414" t="n">
        <v>90</v>
      </c>
      <c r="J2414" t="n">
        <v>80</v>
      </c>
      <c r="EJ2414" t="n">
        <v>35</v>
      </c>
      <c r="EK2414" t="n">
        <v>28</v>
      </c>
    </row>
    <row r="2415">
      <c r="A2415" t="n">
        <v>509</v>
      </c>
      <c r="B2415" t="inlineStr">
        <is>
          <t>Cumplimiento a cronograma de proyectos 2025</t>
        </is>
      </c>
      <c r="C2415" t="inlineStr">
        <is>
          <t>Gestión de Proyectos</t>
        </is>
      </c>
      <c r="D2415" t="inlineStr">
        <is>
          <t>Mensual</t>
        </is>
      </c>
      <c r="E2415" t="inlineStr">
        <is>
          <t>Positivo</t>
        </is>
      </c>
      <c r="F2415" s="105" t="n">
        <v>45747</v>
      </c>
      <c r="G2415" t="inlineStr">
        <is>
          <t>509-2025-03-31</t>
        </is>
      </c>
      <c r="H2415" t="inlineStr">
        <is>
          <t>Ecosistema E3</t>
        </is>
      </c>
      <c r="I2415" t="n">
        <v>90</v>
      </c>
      <c r="J2415" t="n">
        <v>100</v>
      </c>
      <c r="EJ2415" t="n">
        <v>73</v>
      </c>
      <c r="EK2415" t="n">
        <v>73</v>
      </c>
    </row>
    <row r="2416">
      <c r="A2416" t="n">
        <v>509</v>
      </c>
      <c r="B2416" t="inlineStr">
        <is>
          <t>Cumplimiento a cronograma de proyectos 2025</t>
        </is>
      </c>
      <c r="C2416" t="inlineStr">
        <is>
          <t>Gestión de Proyectos</t>
        </is>
      </c>
      <c r="D2416" t="inlineStr">
        <is>
          <t>Mensual</t>
        </is>
      </c>
      <c r="E2416" t="inlineStr">
        <is>
          <t>Positivo</t>
        </is>
      </c>
      <c r="F2416" s="105" t="n">
        <v>45747</v>
      </c>
      <c r="G2416" t="inlineStr">
        <is>
          <t>509-2025-03-31</t>
        </is>
      </c>
      <c r="H2416" t="inlineStr">
        <is>
          <t>Fortalecimiento de planta docente</t>
        </is>
      </c>
      <c r="I2416" t="n">
        <v>90</v>
      </c>
      <c r="J2416" t="n">
        <v>94</v>
      </c>
      <c r="EJ2416" t="n">
        <v>50</v>
      </c>
      <c r="EK2416" t="n">
        <v>47</v>
      </c>
    </row>
    <row r="2417">
      <c r="A2417" t="n">
        <v>509</v>
      </c>
      <c r="B2417" t="inlineStr">
        <is>
          <t>Cumplimiento a cronograma de proyectos 2025</t>
        </is>
      </c>
      <c r="C2417" t="inlineStr">
        <is>
          <t>Gestión de Proyectos</t>
        </is>
      </c>
      <c r="D2417" t="inlineStr">
        <is>
          <t>Mensual</t>
        </is>
      </c>
      <c r="E2417" t="inlineStr">
        <is>
          <t>Positivo</t>
        </is>
      </c>
      <c r="F2417" s="105" t="n">
        <v>45747</v>
      </c>
      <c r="G2417" t="inlineStr">
        <is>
          <t>509-2025-03-31</t>
        </is>
      </c>
      <c r="H2417" t="inlineStr">
        <is>
          <t>Gobierno de datos</t>
        </is>
      </c>
      <c r="I2417" t="n">
        <v>90</v>
      </c>
      <c r="J2417" t="n">
        <v>83.33000183105469</v>
      </c>
      <c r="EJ2417" t="n">
        <v>12</v>
      </c>
      <c r="EK2417" t="n">
        <v>10</v>
      </c>
    </row>
    <row r="2418">
      <c r="A2418" t="n">
        <v>509</v>
      </c>
      <c r="B2418" t="inlineStr">
        <is>
          <t>Cumplimiento a cronograma de proyectos 2025</t>
        </is>
      </c>
      <c r="C2418" t="inlineStr">
        <is>
          <t>Gestión de Proyectos</t>
        </is>
      </c>
      <c r="D2418" t="inlineStr">
        <is>
          <t>Mensual</t>
        </is>
      </c>
      <c r="E2418" t="inlineStr">
        <is>
          <t>Positivo</t>
        </is>
      </c>
      <c r="F2418" s="105" t="n">
        <v>45747</v>
      </c>
      <c r="G2418" t="inlineStr">
        <is>
          <t>509-2025-03-31</t>
        </is>
      </c>
      <c r="H2418" t="inlineStr">
        <is>
          <t>Herramientas de Gestión para el mejoramiento continuo</t>
        </is>
      </c>
      <c r="I2418" t="n">
        <v>90</v>
      </c>
      <c r="J2418" t="n">
        <v>100</v>
      </c>
      <c r="EJ2418" t="n">
        <v>3</v>
      </c>
      <c r="EK2418" t="n">
        <v>3</v>
      </c>
    </row>
    <row r="2419">
      <c r="A2419" t="n">
        <v>509</v>
      </c>
      <c r="B2419" t="inlineStr">
        <is>
          <t>Cumplimiento a cronograma de proyectos 2025</t>
        </is>
      </c>
      <c r="C2419" t="inlineStr">
        <is>
          <t>Gestión de Proyectos</t>
        </is>
      </c>
      <c r="D2419" t="inlineStr">
        <is>
          <t>Mensual</t>
        </is>
      </c>
      <c r="E2419" t="inlineStr">
        <is>
          <t>Positivo</t>
        </is>
      </c>
      <c r="F2419" s="105" t="n">
        <v>45747</v>
      </c>
      <c r="G2419" t="inlineStr">
        <is>
          <t>509-2025-03-31</t>
        </is>
      </c>
      <c r="H2419" t="inlineStr">
        <is>
          <t>Proyecto de Permanencia institucional</t>
        </is>
      </c>
      <c r="I2419" t="n">
        <v>90</v>
      </c>
      <c r="J2419" t="n">
        <v>94.44000244140625</v>
      </c>
      <c r="EJ2419" t="n">
        <v>54</v>
      </c>
      <c r="EK2419" t="n">
        <v>51</v>
      </c>
    </row>
    <row r="2420">
      <c r="A2420" t="n">
        <v>509</v>
      </c>
      <c r="B2420" t="inlineStr">
        <is>
          <t>Cumplimiento a cronograma de proyectos 2025</t>
        </is>
      </c>
      <c r="C2420" t="inlineStr">
        <is>
          <t>Gestión de Proyectos</t>
        </is>
      </c>
      <c r="D2420" t="inlineStr">
        <is>
          <t>Mensual</t>
        </is>
      </c>
      <c r="E2420" t="inlineStr">
        <is>
          <t>Positivo</t>
        </is>
      </c>
      <c r="F2420" s="105" t="n">
        <v>45747</v>
      </c>
      <c r="G2420" t="inlineStr">
        <is>
          <t>509-2025-03-31</t>
        </is>
      </c>
      <c r="H2420" t="inlineStr">
        <is>
          <t>Reingenieria de aplicaciones</t>
        </is>
      </c>
      <c r="I2420" t="n">
        <v>90</v>
      </c>
      <c r="J2420" t="n">
        <v>100</v>
      </c>
      <c r="EJ2420" t="n">
        <v>25</v>
      </c>
      <c r="EK2420" t="n">
        <v>25</v>
      </c>
    </row>
    <row r="2421">
      <c r="A2421" t="n">
        <v>213</v>
      </c>
      <c r="B2421" t="inlineStr">
        <is>
          <t>Cumplimiento del Plan Anual del Sistema de Gestión Ambiental</t>
        </is>
      </c>
      <c r="C2421" t="inlineStr">
        <is>
          <t>GESTIÓN AMBIENTAL</t>
        </is>
      </c>
      <c r="D2421" t="inlineStr">
        <is>
          <t>Semestral</t>
        </is>
      </c>
      <c r="E2421" t="inlineStr">
        <is>
          <t>Positivo</t>
        </is>
      </c>
      <c r="F2421" s="105" t="n">
        <v>45747</v>
      </c>
      <c r="G2421" t="inlineStr">
        <is>
          <t>213-2025-03-31</t>
        </is>
      </c>
      <c r="H2421" t="inlineStr">
        <is>
          <t>Plan de Gestión Integral de Residuos</t>
        </is>
      </c>
      <c r="I2421" t="n">
        <v>90</v>
      </c>
      <c r="J2421" t="n">
        <v>100</v>
      </c>
      <c r="AW2421" t="n">
        <v>51</v>
      </c>
      <c r="AX2421" t="n">
        <v>51</v>
      </c>
    </row>
    <row r="2422">
      <c r="A2422" t="n">
        <v>213</v>
      </c>
      <c r="B2422" t="inlineStr">
        <is>
          <t>Cumplimiento del Plan Anual del Sistema de Gestión Ambiental</t>
        </is>
      </c>
      <c r="C2422" t="inlineStr">
        <is>
          <t>GESTIÓN AMBIENTAL</t>
        </is>
      </c>
      <c r="D2422" t="inlineStr">
        <is>
          <t>Semestral</t>
        </is>
      </c>
      <c r="E2422" t="inlineStr">
        <is>
          <t>Positivo</t>
        </is>
      </c>
      <c r="F2422" s="105" t="n">
        <v>45747</v>
      </c>
      <c r="G2422" t="inlineStr">
        <is>
          <t>213-2025-03-31</t>
        </is>
      </c>
      <c r="H2422" t="inlineStr">
        <is>
          <t>Programa de Gestión del Ahorro y Uso Eficiente de la Energía</t>
        </is>
      </c>
      <c r="I2422" t="n">
        <v>90</v>
      </c>
      <c r="J2422" t="n">
        <v>100</v>
      </c>
      <c r="AW2422" t="n">
        <v>9</v>
      </c>
      <c r="AX2422" t="n">
        <v>9</v>
      </c>
    </row>
    <row r="2423">
      <c r="A2423" t="n">
        <v>213</v>
      </c>
      <c r="B2423" t="inlineStr">
        <is>
          <t>Cumplimiento del Plan Anual del Sistema de Gestión Ambiental</t>
        </is>
      </c>
      <c r="C2423" t="inlineStr">
        <is>
          <t>GESTIÓN AMBIENTAL</t>
        </is>
      </c>
      <c r="D2423" t="inlineStr">
        <is>
          <t>Semestral</t>
        </is>
      </c>
      <c r="E2423" t="inlineStr">
        <is>
          <t>Positivo</t>
        </is>
      </c>
      <c r="F2423" s="105" t="n">
        <v>45747</v>
      </c>
      <c r="G2423" t="inlineStr">
        <is>
          <t>213-2025-03-31</t>
        </is>
      </c>
      <c r="H2423" t="inlineStr">
        <is>
          <t>Programa de Gestión de la Calidad, Ahorro y Uso Eficiente del Agua</t>
        </is>
      </c>
      <c r="I2423" t="n">
        <v>90</v>
      </c>
      <c r="J2423" t="n">
        <v>100</v>
      </c>
      <c r="AW2423" t="n">
        <v>19</v>
      </c>
      <c r="AX2423" t="n">
        <v>19</v>
      </c>
    </row>
    <row r="2424">
      <c r="A2424" t="n">
        <v>213</v>
      </c>
      <c r="B2424" t="inlineStr">
        <is>
          <t>Cumplimiento del Plan Anual del Sistema de Gestión Ambiental</t>
        </is>
      </c>
      <c r="C2424" t="inlineStr">
        <is>
          <t>GESTIÓN AMBIENTAL</t>
        </is>
      </c>
      <c r="D2424" t="inlineStr">
        <is>
          <t>Semestral</t>
        </is>
      </c>
      <c r="E2424" t="inlineStr">
        <is>
          <t>Positivo</t>
        </is>
      </c>
      <c r="F2424" s="105" t="n">
        <v>45747</v>
      </c>
      <c r="G2424" t="inlineStr">
        <is>
          <t>213-2025-03-31</t>
        </is>
      </c>
      <c r="H2424" t="inlineStr">
        <is>
          <t>Programa de Gestión del la Calidad del Aire,  Ruido Ambiental y Publicidad Exterior Visual</t>
        </is>
      </c>
      <c r="I2424" t="n">
        <v>90</v>
      </c>
      <c r="J2424" t="n">
        <v>100</v>
      </c>
      <c r="AW2424" t="n">
        <v>6</v>
      </c>
      <c r="AX2424" t="n">
        <v>6</v>
      </c>
    </row>
    <row r="2425">
      <c r="A2425" t="n">
        <v>213</v>
      </c>
      <c r="B2425" t="inlineStr">
        <is>
          <t>Cumplimiento del Plan Anual del Sistema de Gestión Ambiental</t>
        </is>
      </c>
      <c r="C2425" t="inlineStr">
        <is>
          <t>GESTIÓN AMBIENTAL</t>
        </is>
      </c>
      <c r="D2425" t="inlineStr">
        <is>
          <t>Semestral</t>
        </is>
      </c>
      <c r="E2425" t="inlineStr">
        <is>
          <t>Positivo</t>
        </is>
      </c>
      <c r="F2425" s="105" t="n">
        <v>45747</v>
      </c>
      <c r="G2425" t="inlineStr">
        <is>
          <t>213-2025-03-31</t>
        </is>
      </c>
      <c r="H2425" t="inlineStr">
        <is>
          <t>Programa de Gestión de Áreas Naturales</t>
        </is>
      </c>
      <c r="I2425" t="n">
        <v>90</v>
      </c>
      <c r="J2425" t="n">
        <v>100</v>
      </c>
      <c r="AW2425" t="n">
        <v>10</v>
      </c>
      <c r="AX2425" t="n">
        <v>10</v>
      </c>
    </row>
    <row r="2426">
      <c r="A2426" t="n">
        <v>213</v>
      </c>
      <c r="B2426" t="inlineStr">
        <is>
          <t>Cumplimiento del Plan Anual del Sistema de Gestión Ambiental</t>
        </is>
      </c>
      <c r="C2426" t="inlineStr">
        <is>
          <t>GESTIÓN AMBIENTAL</t>
        </is>
      </c>
      <c r="D2426" t="inlineStr">
        <is>
          <t>Semestral</t>
        </is>
      </c>
      <c r="E2426" t="inlineStr">
        <is>
          <t>Positivo</t>
        </is>
      </c>
      <c r="F2426" s="105" t="n">
        <v>45747</v>
      </c>
      <c r="G2426" t="inlineStr">
        <is>
          <t>213-2025-03-31</t>
        </is>
      </c>
      <c r="H2426" t="inlineStr">
        <is>
          <t>Programa de Gestión de la Medición y Compensación de Gases de Efecto Invernadero</t>
        </is>
      </c>
      <c r="I2426" t="n">
        <v>90</v>
      </c>
      <c r="J2426" t="n">
        <v>100</v>
      </c>
      <c r="AW2426" t="n">
        <v>2</v>
      </c>
      <c r="AX2426" t="n">
        <v>2</v>
      </c>
    </row>
    <row r="2427">
      <c r="A2427" t="n">
        <v>213</v>
      </c>
      <c r="B2427" t="inlineStr">
        <is>
          <t>Cumplimiento del Plan Anual del Sistema de Gestión Ambiental</t>
        </is>
      </c>
      <c r="C2427" t="inlineStr">
        <is>
          <t>GESTIÓN AMBIENTAL</t>
        </is>
      </c>
      <c r="D2427" t="inlineStr">
        <is>
          <t>Semestral</t>
        </is>
      </c>
      <c r="E2427" t="inlineStr">
        <is>
          <t>Positivo</t>
        </is>
      </c>
      <c r="F2427" s="105" t="n">
        <v>45747</v>
      </c>
      <c r="G2427" t="inlineStr">
        <is>
          <t>213-2025-03-31</t>
        </is>
      </c>
      <c r="H2427" t="inlineStr">
        <is>
          <t>Actividades de Gestión</t>
        </is>
      </c>
      <c r="I2427" t="n">
        <v>90</v>
      </c>
      <c r="J2427" t="n">
        <v>100</v>
      </c>
      <c r="AW2427" t="n">
        <v>24</v>
      </c>
      <c r="AX2427" t="n">
        <v>24</v>
      </c>
    </row>
    <row r="2428">
      <c r="A2428" t="n">
        <v>213</v>
      </c>
      <c r="B2428" t="inlineStr">
        <is>
          <t>Cumplimiento del Plan Anual del Sistema de Gestión Ambiental</t>
        </is>
      </c>
      <c r="C2428" t="inlineStr">
        <is>
          <t>GESTIÓN AMBIENTAL</t>
        </is>
      </c>
      <c r="D2428" t="inlineStr">
        <is>
          <t>Semestral</t>
        </is>
      </c>
      <c r="E2428" t="inlineStr">
        <is>
          <t>Positivo</t>
        </is>
      </c>
      <c r="F2428" s="105" t="n">
        <v>45747</v>
      </c>
      <c r="G2428" t="inlineStr">
        <is>
          <t>213-2025-03-31</t>
        </is>
      </c>
      <c r="H2428" t="inlineStr">
        <is>
          <t>Programa Gestión de la Educación y Comunicación Ambiental</t>
        </is>
      </c>
      <c r="I2428" t="n">
        <v>90</v>
      </c>
      <c r="J2428" t="n">
        <v>100</v>
      </c>
      <c r="AW2428" t="n">
        <v>10</v>
      </c>
      <c r="AX2428" t="n">
        <v>10</v>
      </c>
    </row>
    <row r="2429">
      <c r="A2429" t="n">
        <v>238</v>
      </c>
      <c r="B2429" t="inlineStr">
        <is>
          <t>Cumplimiento de la Protección del Medio Ambiente</t>
        </is>
      </c>
      <c r="C2429" t="inlineStr">
        <is>
          <t>GESTIÓN AMBIENTAL</t>
        </is>
      </c>
      <c r="D2429" t="inlineStr">
        <is>
          <t>Semestral</t>
        </is>
      </c>
      <c r="E2429" t="inlineStr">
        <is>
          <t>Positivo</t>
        </is>
      </c>
      <c r="F2429" s="105" t="n">
        <v>45747</v>
      </c>
      <c r="G2429" t="inlineStr">
        <is>
          <t>238-2025-03-31</t>
        </is>
      </c>
      <c r="H2429" t="inlineStr">
        <is>
          <t>Cumplimiento del Plan Anual del SGA</t>
        </is>
      </c>
      <c r="I2429" t="n">
        <v>90</v>
      </c>
      <c r="J2429" t="n">
        <v>95.23999786376953</v>
      </c>
      <c r="AY2429" t="n">
        <v>20</v>
      </c>
      <c r="AZ2429" t="n">
        <v>21</v>
      </c>
    </row>
    <row r="2430">
      <c r="A2430" t="n">
        <v>238</v>
      </c>
      <c r="B2430" t="inlineStr">
        <is>
          <t>Cumplimiento de la Protección del Medio Ambiente</t>
        </is>
      </c>
      <c r="C2430" t="inlineStr">
        <is>
          <t>GESTIÓN AMBIENTAL</t>
        </is>
      </c>
      <c r="D2430" t="inlineStr">
        <is>
          <t>Semestral</t>
        </is>
      </c>
      <c r="E2430" t="inlineStr">
        <is>
          <t>Positivo</t>
        </is>
      </c>
      <c r="F2430" s="105" t="n">
        <v>45747</v>
      </c>
      <c r="G2430" t="inlineStr">
        <is>
          <t>238-2025-03-31</t>
        </is>
      </c>
      <c r="H2430" t="inlineStr">
        <is>
          <t>Cumplimiento Gestión Integral de Residuos</t>
        </is>
      </c>
      <c r="I2430" t="n">
        <v>90</v>
      </c>
      <c r="J2430" t="n">
        <v>88.88999938964844</v>
      </c>
      <c r="AY2430" t="n">
        <v>8</v>
      </c>
      <c r="AZ2430" t="n">
        <v>9</v>
      </c>
    </row>
    <row r="2431">
      <c r="A2431" t="n">
        <v>238</v>
      </c>
      <c r="B2431" t="inlineStr">
        <is>
          <t>Cumplimiento de la Protección del Medio Ambiente</t>
        </is>
      </c>
      <c r="C2431" t="inlineStr">
        <is>
          <t>GESTIÓN AMBIENTAL</t>
        </is>
      </c>
      <c r="D2431" t="inlineStr">
        <is>
          <t>Semestral</t>
        </is>
      </c>
      <c r="E2431" t="inlineStr">
        <is>
          <t>Positivo</t>
        </is>
      </c>
      <c r="F2431" s="105" t="n">
        <v>45747</v>
      </c>
      <c r="G2431" t="inlineStr">
        <is>
          <t>238-2025-03-31</t>
        </is>
      </c>
      <c r="H2431" t="inlineStr">
        <is>
          <t>Cumplimiento Gestión del Ahorro y Uso Eficiente de Energía</t>
        </is>
      </c>
      <c r="I2431" t="n">
        <v>90</v>
      </c>
      <c r="J2431" t="n">
        <v>100</v>
      </c>
      <c r="AY2431" t="n">
        <v>3</v>
      </c>
      <c r="AZ2431" t="n">
        <v>3</v>
      </c>
    </row>
    <row r="2432">
      <c r="A2432" t="n">
        <v>238</v>
      </c>
      <c r="B2432" t="inlineStr">
        <is>
          <t>Cumplimiento de la Protección del Medio Ambiente</t>
        </is>
      </c>
      <c r="C2432" t="inlineStr">
        <is>
          <t>GESTIÓN AMBIENTAL</t>
        </is>
      </c>
      <c r="D2432" t="inlineStr">
        <is>
          <t>Semestral</t>
        </is>
      </c>
      <c r="E2432" t="inlineStr">
        <is>
          <t>Positivo</t>
        </is>
      </c>
      <c r="F2432" s="105" t="n">
        <v>45747</v>
      </c>
      <c r="G2432" t="inlineStr">
        <is>
          <t>238-2025-03-31</t>
        </is>
      </c>
      <c r="H2432" t="inlineStr">
        <is>
          <t>Cumplimiento Gestión de la Calidad, Ahorro y Uso Eficiente del Agua</t>
        </is>
      </c>
      <c r="I2432" t="n">
        <v>90</v>
      </c>
      <c r="J2432" t="n">
        <v>100</v>
      </c>
      <c r="AY2432" t="n">
        <v>3</v>
      </c>
      <c r="AZ2432" t="n">
        <v>3</v>
      </c>
    </row>
    <row r="2433">
      <c r="A2433" t="n">
        <v>238</v>
      </c>
      <c r="B2433" t="inlineStr">
        <is>
          <t>Cumplimiento de la Protección del Medio Ambiente</t>
        </is>
      </c>
      <c r="C2433" t="inlineStr">
        <is>
          <t>GESTIÓN AMBIENTAL</t>
        </is>
      </c>
      <c r="D2433" t="inlineStr">
        <is>
          <t>Semestral</t>
        </is>
      </c>
      <c r="E2433" t="inlineStr">
        <is>
          <t>Positivo</t>
        </is>
      </c>
      <c r="F2433" s="105" t="n">
        <v>45747</v>
      </c>
      <c r="G2433" t="inlineStr">
        <is>
          <t>238-2025-03-31</t>
        </is>
      </c>
      <c r="H2433" t="inlineStr">
        <is>
          <t>Cumplimiento Gestión del la Calidad del Aire,  Ruido Ambiental y Publicidad Exterior Visual</t>
        </is>
      </c>
      <c r="I2433" t="n">
        <v>90</v>
      </c>
      <c r="J2433" t="n">
        <v>0</v>
      </c>
      <c r="AY2433" t="n">
        <v>0</v>
      </c>
      <c r="AZ2433" t="n">
        <v>0</v>
      </c>
    </row>
    <row r="2434">
      <c r="A2434" t="n">
        <v>238</v>
      </c>
      <c r="B2434" t="inlineStr">
        <is>
          <t>Cumplimiento de la Protección del Medio Ambiente</t>
        </is>
      </c>
      <c r="C2434" t="inlineStr">
        <is>
          <t>GESTIÓN AMBIENTAL</t>
        </is>
      </c>
      <c r="D2434" t="inlineStr">
        <is>
          <t>Semestral</t>
        </is>
      </c>
      <c r="E2434" t="inlineStr">
        <is>
          <t>Positivo</t>
        </is>
      </c>
      <c r="F2434" s="105" t="n">
        <v>45747</v>
      </c>
      <c r="G2434" t="inlineStr">
        <is>
          <t>238-2025-03-31</t>
        </is>
      </c>
      <c r="H2434" t="inlineStr">
        <is>
          <t>Cumplimiento Gestión de la Medición y Compensación de GEI</t>
        </is>
      </c>
      <c r="I2434" t="n">
        <v>90</v>
      </c>
      <c r="J2434" t="n">
        <v>0</v>
      </c>
      <c r="AY2434" t="n">
        <v>0</v>
      </c>
      <c r="AZ2434" t="n">
        <v>0</v>
      </c>
    </row>
    <row r="2435">
      <c r="A2435" t="n">
        <v>238</v>
      </c>
      <c r="B2435" t="inlineStr">
        <is>
          <t>Cumplimiento de la Protección del Medio Ambiente</t>
        </is>
      </c>
      <c r="C2435" t="inlineStr">
        <is>
          <t>GESTIÓN AMBIENTAL</t>
        </is>
      </c>
      <c r="D2435" t="inlineStr">
        <is>
          <t>Semestral</t>
        </is>
      </c>
      <c r="E2435" t="inlineStr">
        <is>
          <t>Positivo</t>
        </is>
      </c>
      <c r="F2435" s="105" t="n">
        <v>45747</v>
      </c>
      <c r="G2435" t="inlineStr">
        <is>
          <t>238-2025-03-31</t>
        </is>
      </c>
      <c r="H2435" t="inlineStr">
        <is>
          <t>Cumplimiento Gestión de la Educación y Comunicación Ambiental</t>
        </is>
      </c>
      <c r="I2435" t="n">
        <v>90</v>
      </c>
      <c r="J2435" t="n">
        <v>100</v>
      </c>
      <c r="AY2435" t="n">
        <v>2</v>
      </c>
      <c r="AZ2435" t="n">
        <v>2</v>
      </c>
    </row>
    <row r="2436">
      <c r="A2436" t="n">
        <v>238</v>
      </c>
      <c r="B2436" t="inlineStr">
        <is>
          <t>Cumplimiento de la Protección del Medio Ambiente</t>
        </is>
      </c>
      <c r="C2436" t="inlineStr">
        <is>
          <t>GESTIÓN AMBIENTAL</t>
        </is>
      </c>
      <c r="D2436" t="inlineStr">
        <is>
          <t>Semestral</t>
        </is>
      </c>
      <c r="E2436" t="inlineStr">
        <is>
          <t>Positivo</t>
        </is>
      </c>
      <c r="F2436" s="105" t="n">
        <v>45747</v>
      </c>
      <c r="G2436" t="inlineStr">
        <is>
          <t>238-2025-03-31</t>
        </is>
      </c>
      <c r="H2436" t="inlineStr">
        <is>
          <t>Cumplimiento Gestión de Áreas Naturales</t>
        </is>
      </c>
      <c r="I2436" t="n">
        <v>90</v>
      </c>
      <c r="J2436" t="n">
        <v>100</v>
      </c>
      <c r="AY2436" t="n">
        <v>3</v>
      </c>
      <c r="AZ2436" t="n">
        <v>3</v>
      </c>
    </row>
    <row r="2437">
      <c r="A2437" t="n">
        <v>373</v>
      </c>
      <c r="B2437" t="inlineStr">
        <is>
          <t>Cumplimiento de planes anuales por líneas</t>
        </is>
      </c>
      <c r="C2437" t="inlineStr">
        <is>
          <t>Planeación Estratégica</t>
        </is>
      </c>
      <c r="D2437" t="inlineStr">
        <is>
          <t>Semestral</t>
        </is>
      </c>
      <c r="E2437" t="inlineStr">
        <is>
          <t>Positivo</t>
        </is>
      </c>
      <c r="F2437" s="105" t="n">
        <v>45747</v>
      </c>
      <c r="G2437" t="inlineStr">
        <is>
          <t>373-2025-03-31</t>
        </is>
      </c>
      <c r="H2437" t="inlineStr">
        <is>
          <t>Expansión</t>
        </is>
      </c>
      <c r="I2437" t="n">
        <v>100</v>
      </c>
      <c r="J2437" t="n">
        <v>110.5299987792969</v>
      </c>
      <c r="BZ2437" t="n">
        <v>21</v>
      </c>
      <c r="CA2437" t="n">
        <v>19</v>
      </c>
    </row>
    <row r="2438">
      <c r="A2438" t="n">
        <v>373</v>
      </c>
      <c r="B2438" t="inlineStr">
        <is>
          <t>Cumplimiento de planes anuales por líneas</t>
        </is>
      </c>
      <c r="C2438" t="inlineStr">
        <is>
          <t>Planeación Estratégica</t>
        </is>
      </c>
      <c r="D2438" t="inlineStr">
        <is>
          <t>Semestral</t>
        </is>
      </c>
      <c r="E2438" t="inlineStr">
        <is>
          <t>Positivo</t>
        </is>
      </c>
      <c r="F2438" s="105" t="n">
        <v>45747</v>
      </c>
      <c r="G2438" t="inlineStr">
        <is>
          <t>373-2025-03-31</t>
        </is>
      </c>
      <c r="H2438" t="inlineStr">
        <is>
          <t>Educación para toda la vida</t>
        </is>
      </c>
      <c r="I2438" t="n">
        <v>100</v>
      </c>
      <c r="J2438" t="n">
        <v>92</v>
      </c>
      <c r="BZ2438" t="n">
        <v>23</v>
      </c>
      <c r="CA2438" t="n">
        <v>25</v>
      </c>
    </row>
    <row r="2439">
      <c r="A2439" t="n">
        <v>373</v>
      </c>
      <c r="B2439" t="inlineStr">
        <is>
          <t>Cumplimiento de planes anuales por líneas</t>
        </is>
      </c>
      <c r="C2439" t="inlineStr">
        <is>
          <t>Planeación Estratégica</t>
        </is>
      </c>
      <c r="D2439" t="inlineStr">
        <is>
          <t>Semestral</t>
        </is>
      </c>
      <c r="E2439" t="inlineStr">
        <is>
          <t>Positivo</t>
        </is>
      </c>
      <c r="F2439" s="105" t="n">
        <v>45747</v>
      </c>
      <c r="G2439" t="inlineStr">
        <is>
          <t>373-2025-03-31</t>
        </is>
      </c>
      <c r="H2439" t="inlineStr">
        <is>
          <t>Trasformación Organizacional</t>
        </is>
      </c>
      <c r="I2439" t="n">
        <v>100</v>
      </c>
      <c r="J2439" t="n">
        <v>106.4499969482422</v>
      </c>
      <c r="BZ2439" t="n">
        <v>33</v>
      </c>
      <c r="CA2439" t="n">
        <v>31</v>
      </c>
    </row>
    <row r="2440">
      <c r="A2440" t="n">
        <v>373</v>
      </c>
      <c r="B2440" t="inlineStr">
        <is>
          <t>Cumplimiento de planes anuales por líneas</t>
        </is>
      </c>
      <c r="C2440" t="inlineStr">
        <is>
          <t>Planeación Estratégica</t>
        </is>
      </c>
      <c r="D2440" t="inlineStr">
        <is>
          <t>Semestral</t>
        </is>
      </c>
      <c r="E2440" t="inlineStr">
        <is>
          <t>Positivo</t>
        </is>
      </c>
      <c r="F2440" s="105" t="n">
        <v>45747</v>
      </c>
      <c r="G2440" t="inlineStr">
        <is>
          <t>373-2025-03-31</t>
        </is>
      </c>
      <c r="H2440" t="inlineStr">
        <is>
          <t>Experiencia</t>
        </is>
      </c>
      <c r="I2440" t="n">
        <v>100</v>
      </c>
      <c r="J2440" t="n">
        <v>102.9400024414062</v>
      </c>
      <c r="BZ2440" t="n">
        <v>35</v>
      </c>
      <c r="CA2440" t="n">
        <v>34</v>
      </c>
    </row>
    <row r="2441">
      <c r="A2441" t="n">
        <v>373</v>
      </c>
      <c r="B2441" t="inlineStr">
        <is>
          <t>Cumplimiento de planes anuales por líneas</t>
        </is>
      </c>
      <c r="C2441" t="inlineStr">
        <is>
          <t>Planeación Estratégica</t>
        </is>
      </c>
      <c r="D2441" t="inlineStr">
        <is>
          <t>Semestral</t>
        </is>
      </c>
      <c r="E2441" t="inlineStr">
        <is>
          <t>Positivo</t>
        </is>
      </c>
      <c r="F2441" s="105" t="n">
        <v>45747</v>
      </c>
      <c r="G2441" t="inlineStr">
        <is>
          <t>373-2025-03-31</t>
        </is>
      </c>
      <c r="H2441" t="inlineStr">
        <is>
          <t>Sostenibilidad</t>
        </is>
      </c>
      <c r="I2441" t="n">
        <v>100</v>
      </c>
      <c r="J2441" t="n">
        <v>112</v>
      </c>
      <c r="BZ2441" t="n">
        <v>28</v>
      </c>
      <c r="CA2441" t="n">
        <v>25</v>
      </c>
    </row>
    <row r="2442">
      <c r="A2442" t="n">
        <v>373</v>
      </c>
      <c r="B2442" t="inlineStr">
        <is>
          <t>Cumplimiento de planes anuales por líneas</t>
        </is>
      </c>
      <c r="C2442" t="inlineStr">
        <is>
          <t>Planeación Estratégica</t>
        </is>
      </c>
      <c r="D2442" t="inlineStr">
        <is>
          <t>Semestral</t>
        </is>
      </c>
      <c r="E2442" t="inlineStr">
        <is>
          <t>Positivo</t>
        </is>
      </c>
      <c r="F2442" s="105" t="n">
        <v>45747</v>
      </c>
      <c r="G2442" t="inlineStr">
        <is>
          <t>373-2025-03-31</t>
        </is>
      </c>
      <c r="H2442" t="inlineStr">
        <is>
          <t>Calidad</t>
        </is>
      </c>
      <c r="I2442" t="n">
        <v>100</v>
      </c>
      <c r="J2442" t="n">
        <v>120.8300018310547</v>
      </c>
      <c r="BZ2442" t="n">
        <v>29</v>
      </c>
      <c r="CA2442" t="n">
        <v>24</v>
      </c>
    </row>
    <row r="2443">
      <c r="A2443" t="n">
        <v>390</v>
      </c>
      <c r="B2443" t="inlineStr">
        <is>
          <t>Cumplimiento Plan Anual por escuela</t>
        </is>
      </c>
      <c r="C2443" t="inlineStr">
        <is>
          <t>Planeación Estratégica</t>
        </is>
      </c>
      <c r="D2443" t="inlineStr">
        <is>
          <t>Semestral</t>
        </is>
      </c>
      <c r="E2443" t="inlineStr">
        <is>
          <t>Positivo</t>
        </is>
      </c>
      <c r="F2443" s="105" t="n">
        <v>45747</v>
      </c>
      <c r="G2443" t="inlineStr">
        <is>
          <t>390-2025-03-31</t>
        </is>
      </c>
      <c r="H2443" t="inlineStr">
        <is>
          <t>ESCUELA DE CIENCIAS BÁSICAS</t>
        </is>
      </c>
      <c r="I2443" t="n">
        <v>100</v>
      </c>
      <c r="J2443" t="n">
        <v>190.9100036621094</v>
      </c>
      <c r="CB2443" t="n">
        <v>21</v>
      </c>
      <c r="CC2443" t="n">
        <v>11</v>
      </c>
    </row>
    <row r="2444">
      <c r="A2444" t="n">
        <v>390</v>
      </c>
      <c r="B2444" t="inlineStr">
        <is>
          <t>Cumplimiento Plan Anual por escuela</t>
        </is>
      </c>
      <c r="C2444" t="inlineStr">
        <is>
          <t>Planeación Estratégica</t>
        </is>
      </c>
      <c r="D2444" t="inlineStr">
        <is>
          <t>Semestral</t>
        </is>
      </c>
      <c r="E2444" t="inlineStr">
        <is>
          <t>Positivo</t>
        </is>
      </c>
      <c r="F2444" s="105" t="n">
        <v>45747</v>
      </c>
      <c r="G2444" t="inlineStr">
        <is>
          <t>390-2025-03-31</t>
        </is>
      </c>
      <c r="H2444" t="inlineStr">
        <is>
          <t>ESCUELA DE  DISEÑO</t>
        </is>
      </c>
      <c r="I2444" t="n">
        <v>100</v>
      </c>
      <c r="J2444" t="n">
        <v>87.12000274658203</v>
      </c>
      <c r="CB2444" t="n">
        <v>16.17</v>
      </c>
      <c r="CC2444" t="n">
        <v>18.56</v>
      </c>
    </row>
    <row r="2445">
      <c r="A2445" t="n">
        <v>390</v>
      </c>
      <c r="B2445" t="inlineStr">
        <is>
          <t>Cumplimiento Plan Anual por escuela</t>
        </is>
      </c>
      <c r="C2445" t="inlineStr">
        <is>
          <t>Planeación Estratégica</t>
        </is>
      </c>
      <c r="D2445" t="inlineStr">
        <is>
          <t>Semestral</t>
        </is>
      </c>
      <c r="E2445" t="inlineStr">
        <is>
          <t>Positivo</t>
        </is>
      </c>
      <c r="F2445" s="105" t="n">
        <v>45747</v>
      </c>
      <c r="G2445" t="inlineStr">
        <is>
          <t>390-2025-03-31</t>
        </is>
      </c>
      <c r="H2445" t="inlineStr">
        <is>
          <t>ESCUELA DE OPTIMIZACIÓN, INFRA Y AUTO</t>
        </is>
      </c>
      <c r="I2445" t="n">
        <v>100</v>
      </c>
      <c r="J2445" t="n">
        <v>226.2100067138672</v>
      </c>
      <c r="CB2445" t="n">
        <v>33.75</v>
      </c>
      <c r="CC2445" t="n">
        <v>14.92</v>
      </c>
    </row>
    <row r="2446">
      <c r="A2446" t="n">
        <v>390</v>
      </c>
      <c r="B2446" t="inlineStr">
        <is>
          <t>Cumplimiento Plan Anual por escuela</t>
        </is>
      </c>
      <c r="C2446" t="inlineStr">
        <is>
          <t>Planeación Estratégica</t>
        </is>
      </c>
      <c r="D2446" t="inlineStr">
        <is>
          <t>Semestral</t>
        </is>
      </c>
      <c r="E2446" t="inlineStr">
        <is>
          <t>Positivo</t>
        </is>
      </c>
      <c r="F2446" s="105" t="n">
        <v>45747</v>
      </c>
      <c r="G2446" t="inlineStr">
        <is>
          <t>390-2025-03-31</t>
        </is>
      </c>
      <c r="H2446" t="inlineStr">
        <is>
          <t>ESCUELA TIC</t>
        </is>
      </c>
      <c r="I2446" t="n">
        <v>100</v>
      </c>
      <c r="J2446" t="n">
        <v>184.5899963378906</v>
      </c>
      <c r="CB2446" t="n">
        <v>19.4</v>
      </c>
      <c r="CC2446" t="n">
        <v>10.51</v>
      </c>
    </row>
    <row r="2447">
      <c r="A2447" t="n">
        <v>390</v>
      </c>
      <c r="B2447" t="inlineStr">
        <is>
          <t>Cumplimiento Plan Anual por escuela</t>
        </is>
      </c>
      <c r="C2447" t="inlineStr">
        <is>
          <t>Planeación Estratégica</t>
        </is>
      </c>
      <c r="D2447" t="inlineStr">
        <is>
          <t>Semestral</t>
        </is>
      </c>
      <c r="E2447" t="inlineStr">
        <is>
          <t>Positivo</t>
        </is>
      </c>
      <c r="F2447" s="105" t="n">
        <v>45747</v>
      </c>
      <c r="G2447" t="inlineStr">
        <is>
          <t>390-2025-03-31</t>
        </is>
      </c>
      <c r="H2447" t="inlineStr">
        <is>
          <t>ESCUELA DE ADMINISTRACIÓN Y COMPETITIVIDAD</t>
        </is>
      </c>
      <c r="I2447" t="n">
        <v>100</v>
      </c>
      <c r="J2447" t="n">
        <v>93.05999755859375</v>
      </c>
      <c r="CB2447" t="n">
        <v>15.83</v>
      </c>
      <c r="CC2447" t="n">
        <v>17.01</v>
      </c>
    </row>
    <row r="2448">
      <c r="A2448" t="n">
        <v>390</v>
      </c>
      <c r="B2448" t="inlineStr">
        <is>
          <t>Cumplimiento Plan Anual por escuela</t>
        </is>
      </c>
      <c r="C2448" t="inlineStr">
        <is>
          <t>Planeación Estratégica</t>
        </is>
      </c>
      <c r="D2448" t="inlineStr">
        <is>
          <t>Semestral</t>
        </is>
      </c>
      <c r="E2448" t="inlineStr">
        <is>
          <t>Positivo</t>
        </is>
      </c>
      <c r="F2448" s="105" t="n">
        <v>45747</v>
      </c>
      <c r="G2448" t="inlineStr">
        <is>
          <t>390-2025-03-31</t>
        </is>
      </c>
      <c r="H2448" t="inlineStr">
        <is>
          <t>ESCUELA DE CONTABILIDAD INTERNACIONAL</t>
        </is>
      </c>
      <c r="I2448" t="n">
        <v>100</v>
      </c>
      <c r="J2448" t="n">
        <v>154.8800048828125</v>
      </c>
      <c r="CB2448" t="n">
        <v>30</v>
      </c>
      <c r="CC2448" t="n">
        <v>19.37</v>
      </c>
    </row>
    <row r="2449">
      <c r="A2449" t="n">
        <v>390</v>
      </c>
      <c r="B2449" t="inlineStr">
        <is>
          <t>Cumplimiento Plan Anual por escuela</t>
        </is>
      </c>
      <c r="C2449" t="inlineStr">
        <is>
          <t>Planeación Estratégica</t>
        </is>
      </c>
      <c r="D2449" t="inlineStr">
        <is>
          <t>Semestral</t>
        </is>
      </c>
      <c r="E2449" t="inlineStr">
        <is>
          <t>Positivo</t>
        </is>
      </c>
      <c r="F2449" s="105" t="n">
        <v>45747</v>
      </c>
      <c r="G2449" t="inlineStr">
        <is>
          <t>390-2025-03-31</t>
        </is>
      </c>
      <c r="H2449" t="inlineStr">
        <is>
          <t>ESCUELA DE NEGOCIOS Y DESARROLLO INTERNACIONAL</t>
        </is>
      </c>
      <c r="I2449" t="n">
        <v>100</v>
      </c>
      <c r="J2449" t="n">
        <v>175.6799926757812</v>
      </c>
      <c r="CB2449" t="n">
        <v>39</v>
      </c>
      <c r="CC2449" t="n">
        <v>22.2</v>
      </c>
    </row>
    <row r="2450">
      <c r="A2450" t="n">
        <v>390</v>
      </c>
      <c r="B2450" t="inlineStr">
        <is>
          <t>Cumplimiento Plan Anual por escuela</t>
        </is>
      </c>
      <c r="C2450" t="inlineStr">
        <is>
          <t>Planeación Estratégica</t>
        </is>
      </c>
      <c r="D2450" t="inlineStr">
        <is>
          <t>Semestral</t>
        </is>
      </c>
      <c r="E2450" t="inlineStr">
        <is>
          <t>Positivo</t>
        </is>
      </c>
      <c r="F2450" s="105" t="n">
        <v>45747</v>
      </c>
      <c r="G2450" t="inlineStr">
        <is>
          <t>390-2025-03-31</t>
        </is>
      </c>
      <c r="H2450" t="inlineStr">
        <is>
          <t>ESCUELA DE COMUNICACIÓN ARTES VISUALES Y DIGITALES</t>
        </is>
      </c>
      <c r="I2450" t="n">
        <v>100</v>
      </c>
      <c r="J2450" t="n">
        <v>120.0800018310547</v>
      </c>
      <c r="CB2450" t="n">
        <v>25</v>
      </c>
      <c r="CC2450" t="n">
        <v>20.82</v>
      </c>
    </row>
    <row r="2451">
      <c r="A2451" t="n">
        <v>390</v>
      </c>
      <c r="B2451" t="inlineStr">
        <is>
          <t>Cumplimiento Plan Anual por escuela</t>
        </is>
      </c>
      <c r="C2451" t="inlineStr">
        <is>
          <t>Planeación Estratégica</t>
        </is>
      </c>
      <c r="D2451" t="inlineStr">
        <is>
          <t>Semestral</t>
        </is>
      </c>
      <c r="E2451" t="inlineStr">
        <is>
          <t>Positivo</t>
        </is>
      </c>
      <c r="F2451" s="105" t="n">
        <v>45747</v>
      </c>
      <c r="G2451" t="inlineStr">
        <is>
          <t>390-2025-03-31</t>
        </is>
      </c>
      <c r="H2451" t="inlineStr">
        <is>
          <t>ESCUELA DE DERECHO Y GOBIERNO</t>
        </is>
      </c>
      <c r="I2451" t="n">
        <v>100</v>
      </c>
      <c r="J2451" t="n">
        <v>120.0800018310547</v>
      </c>
      <c r="CB2451" t="n">
        <v>25</v>
      </c>
      <c r="CC2451" t="n">
        <v>20.82</v>
      </c>
    </row>
    <row r="2452">
      <c r="A2452" t="n">
        <v>390</v>
      </c>
      <c r="B2452" t="inlineStr">
        <is>
          <t>Cumplimiento Plan Anual por escuela</t>
        </is>
      </c>
      <c r="C2452" t="inlineStr">
        <is>
          <t>Planeación Estratégica</t>
        </is>
      </c>
      <c r="D2452" t="inlineStr">
        <is>
          <t>Semestral</t>
        </is>
      </c>
      <c r="E2452" t="inlineStr">
        <is>
          <t>Positivo</t>
        </is>
      </c>
      <c r="F2452" s="105" t="n">
        <v>45747</v>
      </c>
      <c r="G2452" t="inlineStr">
        <is>
          <t>390-2025-03-31</t>
        </is>
      </c>
      <c r="H2452" t="inlineStr">
        <is>
          <t>ESCUELA DE MARKETING Y BRANDING</t>
        </is>
      </c>
      <c r="I2452" t="n">
        <v>100</v>
      </c>
      <c r="J2452" t="n">
        <v>100</v>
      </c>
      <c r="CB2452" t="n">
        <v>20.82</v>
      </c>
      <c r="CC2452" t="n">
        <v>20.82</v>
      </c>
    </row>
    <row r="2453">
      <c r="A2453" t="n">
        <v>390</v>
      </c>
      <c r="B2453" t="inlineStr">
        <is>
          <t>Cumplimiento Plan Anual por escuela</t>
        </is>
      </c>
      <c r="C2453" t="inlineStr">
        <is>
          <t>Planeación Estratégica</t>
        </is>
      </c>
      <c r="D2453" t="inlineStr">
        <is>
          <t>Semestral</t>
        </is>
      </c>
      <c r="E2453" t="inlineStr">
        <is>
          <t>Positivo</t>
        </is>
      </c>
      <c r="F2453" s="105" t="n">
        <v>45747</v>
      </c>
      <c r="G2453" t="inlineStr">
        <is>
          <t>390-2025-03-31</t>
        </is>
      </c>
      <c r="H2453" t="inlineStr">
        <is>
          <t>ESCUELA DE PSIC, TALENTO HUM Y SOC</t>
        </is>
      </c>
      <c r="I2453" t="n">
        <v>100</v>
      </c>
      <c r="J2453" t="n">
        <v>116.4700012207031</v>
      </c>
      <c r="CB2453" t="n">
        <v>24.25</v>
      </c>
      <c r="CC2453" t="n">
        <v>20.82</v>
      </c>
    </row>
    <row r="2454">
      <c r="A2454" t="n">
        <v>390</v>
      </c>
      <c r="B2454" t="inlineStr">
        <is>
          <t>Cumplimiento Plan Anual por escuela</t>
        </is>
      </c>
      <c r="C2454" t="inlineStr">
        <is>
          <t>Planeación Estratégica</t>
        </is>
      </c>
      <c r="D2454" t="inlineStr">
        <is>
          <t>Semestral</t>
        </is>
      </c>
      <c r="E2454" t="inlineStr">
        <is>
          <t>Positivo</t>
        </is>
      </c>
      <c r="F2454" s="105" t="n">
        <v>45747</v>
      </c>
      <c r="G2454" t="inlineStr">
        <is>
          <t>390-2025-03-31</t>
        </is>
      </c>
      <c r="H2454" t="inlineStr">
        <is>
          <t>ESCUELA DE EDUCACIÓN E INNOVACIÓN</t>
        </is>
      </c>
      <c r="I2454" t="n">
        <v>100</v>
      </c>
      <c r="J2454" t="n">
        <v>117.6999969482422</v>
      </c>
      <c r="CB2454" t="n">
        <v>25</v>
      </c>
      <c r="CC2454" t="n">
        <v>21.24</v>
      </c>
    </row>
    <row r="2455">
      <c r="A2455" t="n">
        <v>409</v>
      </c>
      <c r="B2455" t="inlineStr">
        <is>
          <t>Oportunidad en tiempo de envios</t>
        </is>
      </c>
      <c r="C2455" t="inlineStr">
        <is>
          <t>GESTIÓN JURÍDICA Y NORMATIVA</t>
        </is>
      </c>
      <c r="D2455" t="inlineStr">
        <is>
          <t>Semestral</t>
        </is>
      </c>
      <c r="E2455" t="inlineStr">
        <is>
          <t>Positivo</t>
        </is>
      </c>
      <c r="F2455" s="105" t="n">
        <v>45747</v>
      </c>
      <c r="G2455" t="inlineStr">
        <is>
          <t>409-2025-03-31</t>
        </is>
      </c>
      <c r="H2455" t="inlineStr">
        <is>
          <t>Otro Material</t>
        </is>
      </c>
      <c r="I2455" t="n">
        <v>95</v>
      </c>
      <c r="J2455" t="n">
        <v>100</v>
      </c>
      <c r="CQ2455" t="n">
        <v>163</v>
      </c>
      <c r="CR2455" t="n">
        <v>163</v>
      </c>
    </row>
    <row r="2456">
      <c r="A2456" t="n">
        <v>409</v>
      </c>
      <c r="B2456" t="inlineStr">
        <is>
          <t>Oportunidad en tiempo de envios</t>
        </is>
      </c>
      <c r="C2456" t="inlineStr">
        <is>
          <t>GESTIÓN JURÍDICA Y NORMATIVA</t>
        </is>
      </c>
      <c r="D2456" t="inlineStr">
        <is>
          <t>Semestral</t>
        </is>
      </c>
      <c r="E2456" t="inlineStr">
        <is>
          <t>Positivo</t>
        </is>
      </c>
      <c r="F2456" s="105" t="n">
        <v>45747</v>
      </c>
      <c r="G2456" t="inlineStr">
        <is>
          <t>409-2025-03-31</t>
        </is>
      </c>
      <c r="H2456" t="inlineStr">
        <is>
          <t>Diplomas</t>
        </is>
      </c>
      <c r="I2456" t="n">
        <v>95</v>
      </c>
      <c r="J2456" t="n">
        <v>100</v>
      </c>
      <c r="CQ2456" t="n">
        <v>1308</v>
      </c>
      <c r="CR2456" t="n">
        <v>1308</v>
      </c>
    </row>
    <row r="2457">
      <c r="A2457" t="n">
        <v>414</v>
      </c>
      <c r="B2457" t="inlineStr">
        <is>
          <t>Cumplimiento Plan Anual Rectoría</t>
        </is>
      </c>
      <c r="C2457" t="inlineStr">
        <is>
          <t>Planeación Estratégica</t>
        </is>
      </c>
      <c r="D2457" t="inlineStr">
        <is>
          <t>Semestral</t>
        </is>
      </c>
      <c r="E2457" t="inlineStr">
        <is>
          <t>Positivo</t>
        </is>
      </c>
      <c r="F2457" s="105" t="n">
        <v>45747</v>
      </c>
      <c r="G2457" t="inlineStr">
        <is>
          <t>414-2025-03-31</t>
        </is>
      </c>
      <c r="H2457" t="inlineStr">
        <is>
          <t>Vicerrectoría de crecimiento</t>
        </is>
      </c>
      <c r="I2457" t="n">
        <v>100</v>
      </c>
      <c r="J2457" t="n">
        <v>96.30000305175781</v>
      </c>
      <c r="CD2457" t="n">
        <v>20.83</v>
      </c>
      <c r="CE2457" t="n">
        <v>21.63</v>
      </c>
    </row>
    <row r="2458">
      <c r="A2458" t="n">
        <v>414</v>
      </c>
      <c r="B2458" t="inlineStr">
        <is>
          <t>Cumplimiento Plan Anual Rectoría</t>
        </is>
      </c>
      <c r="C2458" t="inlineStr">
        <is>
          <t>Planeación Estratégica</t>
        </is>
      </c>
      <c r="D2458" t="inlineStr">
        <is>
          <t>Semestral</t>
        </is>
      </c>
      <c r="E2458" t="inlineStr">
        <is>
          <t>Positivo</t>
        </is>
      </c>
      <c r="F2458" s="105" t="n">
        <v>45747</v>
      </c>
      <c r="G2458" t="inlineStr">
        <is>
          <t>414-2025-03-31</t>
        </is>
      </c>
      <c r="H2458" t="inlineStr">
        <is>
          <t>Vicerrectoría del estudiante</t>
        </is>
      </c>
      <c r="I2458" t="n">
        <v>100</v>
      </c>
      <c r="J2458" t="n">
        <v>95.31999969482422</v>
      </c>
      <c r="CD2458" t="n">
        <v>43.36</v>
      </c>
      <c r="CE2458" t="n">
        <v>45.49</v>
      </c>
    </row>
    <row r="2459">
      <c r="A2459" t="n">
        <v>414</v>
      </c>
      <c r="B2459" t="inlineStr">
        <is>
          <t>Cumplimiento Plan Anual Rectoría</t>
        </is>
      </c>
      <c r="C2459" t="inlineStr">
        <is>
          <t>Planeación Estratégica</t>
        </is>
      </c>
      <c r="D2459" t="inlineStr">
        <is>
          <t>Semestral</t>
        </is>
      </c>
      <c r="E2459" t="inlineStr">
        <is>
          <t>Positivo</t>
        </is>
      </c>
      <c r="F2459" s="105" t="n">
        <v>45747</v>
      </c>
      <c r="G2459" t="inlineStr">
        <is>
          <t>414-2025-03-31</t>
        </is>
      </c>
      <c r="H2459" t="inlineStr">
        <is>
          <t>Vicerrectoría financiera</t>
        </is>
      </c>
      <c r="I2459" t="n">
        <v>100</v>
      </c>
      <c r="J2459" t="n">
        <v>91.19000244140625</v>
      </c>
      <c r="CD2459" t="n">
        <v>38.92</v>
      </c>
      <c r="CE2459" t="n">
        <v>42.68</v>
      </c>
    </row>
    <row r="2460">
      <c r="A2460" t="n">
        <v>414</v>
      </c>
      <c r="B2460" t="inlineStr">
        <is>
          <t>Cumplimiento Plan Anual Rectoría</t>
        </is>
      </c>
      <c r="C2460" t="inlineStr">
        <is>
          <t>Planeación Estratégica</t>
        </is>
      </c>
      <c r="D2460" t="inlineStr">
        <is>
          <t>Semestral</t>
        </is>
      </c>
      <c r="E2460" t="inlineStr">
        <is>
          <t>Positivo</t>
        </is>
      </c>
      <c r="F2460" s="105" t="n">
        <v>45747</v>
      </c>
      <c r="G2460" t="inlineStr">
        <is>
          <t>414-2025-03-31</t>
        </is>
      </c>
      <c r="H2460" t="inlineStr">
        <is>
          <t>Gerencia de estrategia</t>
        </is>
      </c>
      <c r="I2460" t="n">
        <v>100</v>
      </c>
      <c r="J2460" t="n">
        <v>186.3399963378906</v>
      </c>
      <c r="CD2460" t="n">
        <v>21</v>
      </c>
      <c r="CE2460" t="n">
        <v>11.27</v>
      </c>
    </row>
    <row r="2461">
      <c r="A2461" t="n">
        <v>414</v>
      </c>
      <c r="B2461" t="inlineStr">
        <is>
          <t>Cumplimiento Plan Anual Rectoría</t>
        </is>
      </c>
      <c r="C2461" t="inlineStr">
        <is>
          <t>Planeación Estratégica</t>
        </is>
      </c>
      <c r="D2461" t="inlineStr">
        <is>
          <t>Semestral</t>
        </is>
      </c>
      <c r="E2461" t="inlineStr">
        <is>
          <t>Positivo</t>
        </is>
      </c>
      <c r="F2461" s="105" t="n">
        <v>45747</v>
      </c>
      <c r="G2461" t="inlineStr">
        <is>
          <t>414-2025-03-31</t>
        </is>
      </c>
      <c r="H2461" t="inlineStr">
        <is>
          <t>Gerencia de  talento humano y desarrollo</t>
        </is>
      </c>
      <c r="I2461" t="n">
        <v>100</v>
      </c>
      <c r="J2461" t="n">
        <v>123.629997253418</v>
      </c>
      <c r="CD2461" t="n">
        <v>41.12</v>
      </c>
      <c r="CE2461" t="n">
        <v>33.26</v>
      </c>
    </row>
    <row r="2462">
      <c r="A2462" t="n">
        <v>414</v>
      </c>
      <c r="B2462" t="inlineStr">
        <is>
          <t>Cumplimiento Plan Anual Rectoría</t>
        </is>
      </c>
      <c r="C2462" t="inlineStr">
        <is>
          <t>Planeación Estratégica</t>
        </is>
      </c>
      <c r="D2462" t="inlineStr">
        <is>
          <t>Semestral</t>
        </is>
      </c>
      <c r="E2462" t="inlineStr">
        <is>
          <t>Positivo</t>
        </is>
      </c>
      <c r="F2462" s="105" t="n">
        <v>45747</v>
      </c>
      <c r="G2462" t="inlineStr">
        <is>
          <t>414-2025-03-31</t>
        </is>
      </c>
      <c r="H2462" t="inlineStr">
        <is>
          <t>Gerencia sede Medellín</t>
        </is>
      </c>
      <c r="I2462" t="n">
        <v>100</v>
      </c>
      <c r="J2462" t="n">
        <v>50.15999984741211</v>
      </c>
      <c r="CD2462" t="n">
        <v>23.5</v>
      </c>
      <c r="CE2462" t="n">
        <v>46.85</v>
      </c>
    </row>
    <row r="2463">
      <c r="A2463" t="n">
        <v>414</v>
      </c>
      <c r="B2463" t="inlineStr">
        <is>
          <t>Cumplimiento Plan Anual Rectoría</t>
        </is>
      </c>
      <c r="C2463" t="inlineStr">
        <is>
          <t>Planeación Estratégica</t>
        </is>
      </c>
      <c r="D2463" t="inlineStr">
        <is>
          <t>Semestral</t>
        </is>
      </c>
      <c r="E2463" t="inlineStr">
        <is>
          <t>Positivo</t>
        </is>
      </c>
      <c r="F2463" s="105" t="n">
        <v>45747</v>
      </c>
      <c r="G2463" t="inlineStr">
        <is>
          <t>414-2025-03-31</t>
        </is>
      </c>
      <c r="H2463" t="inlineStr">
        <is>
          <t>Secretaria general</t>
        </is>
      </c>
      <c r="I2463" t="n">
        <v>100</v>
      </c>
      <c r="J2463" t="n">
        <v>89.16999816894531</v>
      </c>
      <c r="CD2463" t="n">
        <v>33.75</v>
      </c>
      <c r="CE2463" t="n">
        <v>37.85</v>
      </c>
    </row>
    <row r="2464">
      <c r="A2464" t="n">
        <v>414</v>
      </c>
      <c r="B2464" t="inlineStr">
        <is>
          <t>Cumplimiento Plan Anual Rectoría</t>
        </is>
      </c>
      <c r="C2464" t="inlineStr">
        <is>
          <t>Planeación Estratégica</t>
        </is>
      </c>
      <c r="D2464" t="inlineStr">
        <is>
          <t>Semestral</t>
        </is>
      </c>
      <c r="E2464" t="inlineStr">
        <is>
          <t>Positivo</t>
        </is>
      </c>
      <c r="F2464" s="105" t="n">
        <v>45747</v>
      </c>
      <c r="G2464" t="inlineStr">
        <is>
          <t>414-2025-03-31</t>
        </is>
      </c>
      <c r="H2464" t="inlineStr">
        <is>
          <t>Gerencia de educación virtual</t>
        </is>
      </c>
      <c r="I2464" t="n">
        <v>100</v>
      </c>
      <c r="J2464" t="n">
        <v>0</v>
      </c>
      <c r="CD2464" t="n">
        <v>0</v>
      </c>
      <c r="CE2464" t="n">
        <v>0</v>
      </c>
    </row>
    <row r="2465">
      <c r="A2465" t="n">
        <v>414</v>
      </c>
      <c r="B2465" t="inlineStr">
        <is>
          <t>Cumplimiento Plan Anual Rectoría</t>
        </is>
      </c>
      <c r="C2465" t="inlineStr">
        <is>
          <t>Planeación Estratégica</t>
        </is>
      </c>
      <c r="D2465" t="inlineStr">
        <is>
          <t>Semestral</t>
        </is>
      </c>
      <c r="E2465" t="inlineStr">
        <is>
          <t>Positivo</t>
        </is>
      </c>
      <c r="F2465" s="105" t="n">
        <v>45747</v>
      </c>
      <c r="G2465" t="inlineStr">
        <is>
          <t>414-2025-03-31</t>
        </is>
      </c>
      <c r="H2465" t="inlineStr">
        <is>
          <t>Vicerrectoría académica</t>
        </is>
      </c>
      <c r="I2465" t="n">
        <v>100</v>
      </c>
      <c r="J2465" t="n">
        <v>154.1699981689453</v>
      </c>
      <c r="CD2465" t="n">
        <v>33.67</v>
      </c>
      <c r="CE2465" t="n">
        <v>21.84</v>
      </c>
    </row>
    <row r="2466">
      <c r="A2466" t="n">
        <v>415</v>
      </c>
      <c r="B2466" t="inlineStr">
        <is>
          <t>Cumplimiento Plan Anual Vicerrectoría del estudiante</t>
        </is>
      </c>
      <c r="C2466" t="inlineStr">
        <is>
          <t>Planeación Estratégica</t>
        </is>
      </c>
      <c r="D2466" t="inlineStr">
        <is>
          <t>Semestral</t>
        </is>
      </c>
      <c r="E2466" t="inlineStr">
        <is>
          <t>Positivo</t>
        </is>
      </c>
      <c r="F2466" s="105" t="n">
        <v>45747</v>
      </c>
      <c r="G2466" t="inlineStr">
        <is>
          <t>415-2025-03-31</t>
        </is>
      </c>
      <c r="H2466" t="inlineStr">
        <is>
          <t>Gerencia de operaciones</t>
        </is>
      </c>
      <c r="I2466" t="n">
        <v>100</v>
      </c>
      <c r="J2466" t="n">
        <v>98.05999755859375</v>
      </c>
      <c r="CF2466" t="n">
        <v>30.79</v>
      </c>
      <c r="CG2466" t="n">
        <v>31.4</v>
      </c>
    </row>
    <row r="2467">
      <c r="A2467" t="n">
        <v>415</v>
      </c>
      <c r="B2467" t="inlineStr">
        <is>
          <t>Cumplimiento Plan Anual Vicerrectoría del estudiante</t>
        </is>
      </c>
      <c r="C2467" t="inlineStr">
        <is>
          <t>Planeación Estratégica</t>
        </is>
      </c>
      <c r="D2467" t="inlineStr">
        <is>
          <t>Semestral</t>
        </is>
      </c>
      <c r="E2467" t="inlineStr">
        <is>
          <t>Positivo</t>
        </is>
      </c>
      <c r="F2467" s="105" t="n">
        <v>45747</v>
      </c>
      <c r="G2467" t="inlineStr">
        <is>
          <t>415-2025-03-31</t>
        </is>
      </c>
      <c r="H2467" t="inlineStr">
        <is>
          <t>Gerencia de servicio y permanencia</t>
        </is>
      </c>
      <c r="I2467" t="n">
        <v>100</v>
      </c>
      <c r="J2467" t="n">
        <v>91.98999786376953</v>
      </c>
      <c r="CF2467" t="n">
        <v>55.9</v>
      </c>
      <c r="CG2467" t="n">
        <v>60.77</v>
      </c>
    </row>
    <row r="2468">
      <c r="A2468" t="n">
        <v>415</v>
      </c>
      <c r="B2468" t="inlineStr">
        <is>
          <t>Cumplimiento Plan Anual Vicerrectoría del estudiante</t>
        </is>
      </c>
      <c r="C2468" t="inlineStr">
        <is>
          <t>Planeación Estratégica</t>
        </is>
      </c>
      <c r="D2468" t="inlineStr">
        <is>
          <t>Semestral</t>
        </is>
      </c>
      <c r="E2468" t="inlineStr">
        <is>
          <t>Positivo</t>
        </is>
      </c>
      <c r="F2468" s="105" t="n">
        <v>45747</v>
      </c>
      <c r="G2468" t="inlineStr">
        <is>
          <t>415-2025-03-31</t>
        </is>
      </c>
      <c r="H2468" t="inlineStr">
        <is>
          <t>Gerencia de tecnología e innovación digital</t>
        </is>
      </c>
      <c r="I2468" t="n">
        <v>100</v>
      </c>
      <c r="J2468" t="n">
        <v>86.52999877929688</v>
      </c>
      <c r="CF2468" t="n">
        <v>37.08</v>
      </c>
      <c r="CG2468" t="n">
        <v>42.85</v>
      </c>
    </row>
    <row r="2469">
      <c r="A2469" t="n">
        <v>415</v>
      </c>
      <c r="B2469" t="inlineStr">
        <is>
          <t>Cumplimiento Plan Anual Vicerrectoría del estudiante</t>
        </is>
      </c>
      <c r="C2469" t="inlineStr">
        <is>
          <t>Planeación Estratégica</t>
        </is>
      </c>
      <c r="D2469" t="inlineStr">
        <is>
          <t>Semestral</t>
        </is>
      </c>
      <c r="E2469" t="inlineStr">
        <is>
          <t>Positivo</t>
        </is>
      </c>
      <c r="F2469" s="105" t="n">
        <v>45747</v>
      </c>
      <c r="G2469" t="inlineStr">
        <is>
          <t>415-2025-03-31</t>
        </is>
      </c>
      <c r="H2469" t="inlineStr">
        <is>
          <t>BI y analítica</t>
        </is>
      </c>
      <c r="I2469" t="n">
        <v>100</v>
      </c>
      <c r="J2469" t="n">
        <v>235.2899932861328</v>
      </c>
      <c r="CF2469" t="n">
        <v>63.34</v>
      </c>
      <c r="CG2469" t="n">
        <v>26.92</v>
      </c>
    </row>
    <row r="2470">
      <c r="A2470" t="n">
        <v>415</v>
      </c>
      <c r="B2470" t="inlineStr">
        <is>
          <t>Cumplimiento Plan Anual Vicerrectoría del estudiante</t>
        </is>
      </c>
      <c r="C2470" t="inlineStr">
        <is>
          <t>Planeación Estratégica</t>
        </is>
      </c>
      <c r="D2470" t="inlineStr">
        <is>
          <t>Semestral</t>
        </is>
      </c>
      <c r="E2470" t="inlineStr">
        <is>
          <t>Positivo</t>
        </is>
      </c>
      <c r="F2470" s="105" t="n">
        <v>45747</v>
      </c>
      <c r="G2470" t="inlineStr">
        <is>
          <t>415-2025-03-31</t>
        </is>
      </c>
      <c r="H2470" t="inlineStr">
        <is>
          <t>Dirección nacional de registro y control</t>
        </is>
      </c>
      <c r="I2470" t="n">
        <v>100</v>
      </c>
      <c r="J2470" t="n">
        <v>86.65000152587891</v>
      </c>
      <c r="CF2470" t="n">
        <v>27.66</v>
      </c>
      <c r="CG2470" t="n">
        <v>31.92</v>
      </c>
    </row>
    <row r="2471">
      <c r="A2471" t="n">
        <v>415</v>
      </c>
      <c r="B2471" t="inlineStr">
        <is>
          <t>Cumplimiento Plan Anual Vicerrectoría del estudiante</t>
        </is>
      </c>
      <c r="C2471" t="inlineStr">
        <is>
          <t>Planeación Estratégica</t>
        </is>
      </c>
      <c r="D2471" t="inlineStr">
        <is>
          <t>Semestral</t>
        </is>
      </c>
      <c r="E2471" t="inlineStr">
        <is>
          <t>Positivo</t>
        </is>
      </c>
      <c r="F2471" s="105" t="n">
        <v>45747</v>
      </c>
      <c r="G2471" t="inlineStr">
        <is>
          <t>415-2025-03-31</t>
        </is>
      </c>
      <c r="H2471" t="inlineStr">
        <is>
          <t>Dirección de Experiencia E Inclusion</t>
        </is>
      </c>
      <c r="I2471" t="n">
        <v>100</v>
      </c>
      <c r="J2471" t="n">
        <v>125.0400009155273</v>
      </c>
      <c r="CF2471" t="n">
        <v>37.5</v>
      </c>
      <c r="CG2471" t="n">
        <v>29.99</v>
      </c>
    </row>
    <row r="2472">
      <c r="A2472" t="n">
        <v>415</v>
      </c>
      <c r="B2472" t="inlineStr">
        <is>
          <t>Cumplimiento Plan Anual Vicerrectoría del estudiante</t>
        </is>
      </c>
      <c r="C2472" t="inlineStr">
        <is>
          <t>Planeación Estratégica</t>
        </is>
      </c>
      <c r="D2472" t="inlineStr">
        <is>
          <t>Semestral</t>
        </is>
      </c>
      <c r="E2472" t="inlineStr">
        <is>
          <t>Positivo</t>
        </is>
      </c>
      <c r="F2472" s="105" t="n">
        <v>45747</v>
      </c>
      <c r="G2472" t="inlineStr">
        <is>
          <t>415-2025-03-31</t>
        </is>
      </c>
      <c r="H2472" t="inlineStr">
        <is>
          <t>Director de gobierno digital</t>
        </is>
      </c>
      <c r="I2472" t="n">
        <v>100</v>
      </c>
      <c r="J2472" t="n">
        <v>86.52999877929688</v>
      </c>
      <c r="CF2472" t="n">
        <v>37.08</v>
      </c>
      <c r="CG2472" t="n">
        <v>42.85</v>
      </c>
    </row>
    <row r="2473">
      <c r="A2473" t="n">
        <v>415</v>
      </c>
      <c r="B2473" t="inlineStr">
        <is>
          <t>Cumplimiento Plan Anual Vicerrectoría del estudiante</t>
        </is>
      </c>
      <c r="C2473" t="inlineStr">
        <is>
          <t>Planeación Estratégica</t>
        </is>
      </c>
      <c r="D2473" t="inlineStr">
        <is>
          <t>Semestral</t>
        </is>
      </c>
      <c r="E2473" t="inlineStr">
        <is>
          <t>Positivo</t>
        </is>
      </c>
      <c r="F2473" s="105" t="n">
        <v>45747</v>
      </c>
      <c r="G2473" t="inlineStr">
        <is>
          <t>415-2025-03-31</t>
        </is>
      </c>
      <c r="H2473" t="inlineStr">
        <is>
          <t>Gerente de innovación y producto</t>
        </is>
      </c>
      <c r="I2473" t="n">
        <v>100</v>
      </c>
      <c r="J2473" t="n">
        <v>0</v>
      </c>
      <c r="CF2473" t="n">
        <v>0</v>
      </c>
      <c r="CG2473" t="n">
        <v>0</v>
      </c>
    </row>
    <row r="2474">
      <c r="A2474" t="n">
        <v>415</v>
      </c>
      <c r="B2474" t="inlineStr">
        <is>
          <t>Cumplimiento Plan Anual Vicerrectoría del estudiante</t>
        </is>
      </c>
      <c r="C2474" t="inlineStr">
        <is>
          <t>Planeación Estratégica</t>
        </is>
      </c>
      <c r="D2474" t="inlineStr">
        <is>
          <t>Semestral</t>
        </is>
      </c>
      <c r="E2474" t="inlineStr">
        <is>
          <t>Positivo</t>
        </is>
      </c>
      <c r="F2474" s="105" t="n">
        <v>45747</v>
      </c>
      <c r="G2474" t="inlineStr">
        <is>
          <t>415-2025-03-31</t>
        </is>
      </c>
      <c r="H2474" t="inlineStr">
        <is>
          <t>Dirección de desarrollo e innovación</t>
        </is>
      </c>
      <c r="I2474" t="n">
        <v>100</v>
      </c>
      <c r="J2474" t="n">
        <v>86.52999877929688</v>
      </c>
      <c r="CF2474" t="n">
        <v>37.08</v>
      </c>
      <c r="CG2474" t="n">
        <v>42.85</v>
      </c>
    </row>
    <row r="2475">
      <c r="A2475" t="n">
        <v>415</v>
      </c>
      <c r="B2475" t="inlineStr">
        <is>
          <t>Cumplimiento Plan Anual Vicerrectoría del estudiante</t>
        </is>
      </c>
      <c r="C2475" t="inlineStr">
        <is>
          <t>Planeación Estratégica</t>
        </is>
      </c>
      <c r="D2475" t="inlineStr">
        <is>
          <t>Semestral</t>
        </is>
      </c>
      <c r="E2475" t="inlineStr">
        <is>
          <t>Positivo</t>
        </is>
      </c>
      <c r="F2475" s="105" t="n">
        <v>45747</v>
      </c>
      <c r="G2475" t="inlineStr">
        <is>
          <t>415-2025-03-31</t>
        </is>
      </c>
      <c r="H2475" t="inlineStr">
        <is>
          <t>Director de operaciones IT</t>
        </is>
      </c>
      <c r="I2475" t="n">
        <v>100</v>
      </c>
      <c r="J2475" t="n">
        <v>76.62999725341797</v>
      </c>
      <c r="CF2475" t="n">
        <v>40.55</v>
      </c>
      <c r="CG2475" t="n">
        <v>52.92</v>
      </c>
    </row>
    <row r="2476">
      <c r="A2476" t="n">
        <v>415</v>
      </c>
      <c r="B2476" t="inlineStr">
        <is>
          <t>Cumplimiento Plan Anual Vicerrectoría del estudiante</t>
        </is>
      </c>
      <c r="C2476" t="inlineStr">
        <is>
          <t>Planeación Estratégica</t>
        </is>
      </c>
      <c r="D2476" t="inlineStr">
        <is>
          <t>Semestral</t>
        </is>
      </c>
      <c r="E2476" t="inlineStr">
        <is>
          <t>Positivo</t>
        </is>
      </c>
      <c r="F2476" s="105" t="n">
        <v>45747</v>
      </c>
      <c r="G2476" t="inlineStr">
        <is>
          <t>415-2025-03-31</t>
        </is>
      </c>
      <c r="H2476" t="inlineStr">
        <is>
          <t>Director de operaciones integrales</t>
        </is>
      </c>
      <c r="I2476" t="n">
        <v>100</v>
      </c>
      <c r="J2476" t="n">
        <v>106.1999969482422</v>
      </c>
      <c r="CF2476" t="n">
        <v>33.92</v>
      </c>
      <c r="CG2476" t="n">
        <v>31.94</v>
      </c>
    </row>
    <row r="2477">
      <c r="A2477" t="n">
        <v>415</v>
      </c>
      <c r="B2477" t="inlineStr">
        <is>
          <t>Cumplimiento Plan Anual Vicerrectoría del estudiante</t>
        </is>
      </c>
      <c r="C2477" t="inlineStr">
        <is>
          <t>Planeación Estratégica</t>
        </is>
      </c>
      <c r="D2477" t="inlineStr">
        <is>
          <t>Semestral</t>
        </is>
      </c>
      <c r="E2477" t="inlineStr">
        <is>
          <t>Positivo</t>
        </is>
      </c>
      <c r="F2477" s="105" t="n">
        <v>45747</v>
      </c>
      <c r="G2477" t="inlineStr">
        <is>
          <t>415-2025-03-31</t>
        </is>
      </c>
      <c r="H2477" t="inlineStr">
        <is>
          <t>Director de permanencia</t>
        </is>
      </c>
      <c r="I2477" t="n">
        <v>100</v>
      </c>
      <c r="J2477" t="n">
        <v>88.77999877929688</v>
      </c>
      <c r="CF2477" t="n">
        <v>65.62</v>
      </c>
      <c r="CG2477" t="n">
        <v>73.91</v>
      </c>
    </row>
    <row r="2478">
      <c r="A2478" t="n">
        <v>415</v>
      </c>
      <c r="B2478" t="inlineStr">
        <is>
          <t>Cumplimiento Plan Anual Vicerrectoría del estudiante</t>
        </is>
      </c>
      <c r="C2478" t="inlineStr">
        <is>
          <t>Planeación Estratégica</t>
        </is>
      </c>
      <c r="D2478" t="inlineStr">
        <is>
          <t>Semestral</t>
        </is>
      </c>
      <c r="E2478" t="inlineStr">
        <is>
          <t>Positivo</t>
        </is>
      </c>
      <c r="F2478" s="105" t="n">
        <v>45747</v>
      </c>
      <c r="G2478" t="inlineStr">
        <is>
          <t>415-2025-03-31</t>
        </is>
      </c>
      <c r="H2478" t="inlineStr">
        <is>
          <t>Director de servicio</t>
        </is>
      </c>
      <c r="I2478" t="n">
        <v>100</v>
      </c>
      <c r="J2478" t="n">
        <v>99.12000274658203</v>
      </c>
      <c r="CF2478" t="n">
        <v>65</v>
      </c>
      <c r="CG2478" t="n">
        <v>65.58</v>
      </c>
    </row>
    <row r="2479">
      <c r="A2479" t="n">
        <v>415</v>
      </c>
      <c r="B2479" t="inlineStr">
        <is>
          <t>Cumplimiento Plan Anual Vicerrectoría del estudiante</t>
        </is>
      </c>
      <c r="C2479" t="inlineStr">
        <is>
          <t>Planeación Estratégica</t>
        </is>
      </c>
      <c r="D2479" t="inlineStr">
        <is>
          <t>Semestral</t>
        </is>
      </c>
      <c r="E2479" t="inlineStr">
        <is>
          <t>Positivo</t>
        </is>
      </c>
      <c r="F2479" s="105" t="n">
        <v>45747</v>
      </c>
      <c r="G2479" t="inlineStr">
        <is>
          <t>415-2025-03-31</t>
        </is>
      </c>
      <c r="H2479" t="inlineStr">
        <is>
          <t>Direccion bienestar universitario y huella grancolombiana</t>
        </is>
      </c>
      <c r="I2479" t="n">
        <v>100</v>
      </c>
      <c r="J2479" t="n">
        <v>94.55000305175781</v>
      </c>
      <c r="CF2479" t="n">
        <v>54.77</v>
      </c>
      <c r="CG2479" t="n">
        <v>57.93</v>
      </c>
    </row>
    <row r="2480">
      <c r="A2480" t="n">
        <v>416</v>
      </c>
      <c r="B2480" t="inlineStr">
        <is>
          <t>Cumplimiento Plan Anual Vicerrectoría de crecimiento</t>
        </is>
      </c>
      <c r="C2480" t="inlineStr">
        <is>
          <t>Planeación Estratégica</t>
        </is>
      </c>
      <c r="D2480" t="inlineStr">
        <is>
          <t>Semestral</t>
        </is>
      </c>
      <c r="E2480" t="inlineStr">
        <is>
          <t>Positivo</t>
        </is>
      </c>
      <c r="F2480" s="105" t="n">
        <v>45747</v>
      </c>
      <c r="G2480" t="inlineStr">
        <is>
          <t>416-2025-03-31</t>
        </is>
      </c>
      <c r="H2480" t="inlineStr">
        <is>
          <t>Gerencia de matriculas</t>
        </is>
      </c>
      <c r="I2480" t="n">
        <v>100</v>
      </c>
      <c r="J2480" t="n">
        <v>98.19999694824219</v>
      </c>
      <c r="CH2480" t="n">
        <v>30</v>
      </c>
      <c r="CI2480" t="n">
        <v>30.55</v>
      </c>
    </row>
    <row r="2481">
      <c r="A2481" t="n">
        <v>416</v>
      </c>
      <c r="B2481" t="inlineStr">
        <is>
          <t>Cumplimiento Plan Anual Vicerrectoría de crecimiento</t>
        </is>
      </c>
      <c r="C2481" t="inlineStr">
        <is>
          <t>Planeación Estratégica</t>
        </is>
      </c>
      <c r="D2481" t="inlineStr">
        <is>
          <t>Semestral</t>
        </is>
      </c>
      <c r="E2481" t="inlineStr">
        <is>
          <t>Positivo</t>
        </is>
      </c>
      <c r="F2481" s="105" t="n">
        <v>45747</v>
      </c>
      <c r="G2481" t="inlineStr">
        <is>
          <t>416-2025-03-31</t>
        </is>
      </c>
      <c r="H2481" t="inlineStr">
        <is>
          <t>Gerencia de mercadeo</t>
        </is>
      </c>
      <c r="I2481" t="n">
        <v>100</v>
      </c>
      <c r="J2481" t="n">
        <v>94.63999938964844</v>
      </c>
      <c r="CH2481" t="n">
        <v>16.25</v>
      </c>
      <c r="CI2481" t="n">
        <v>17.17</v>
      </c>
    </row>
    <row r="2482">
      <c r="A2482" t="n">
        <v>416</v>
      </c>
      <c r="B2482" t="inlineStr">
        <is>
          <t>Cumplimiento Plan Anual Vicerrectoría de crecimiento</t>
        </is>
      </c>
      <c r="C2482" t="inlineStr">
        <is>
          <t>Planeación Estratégica</t>
        </is>
      </c>
      <c r="D2482" t="inlineStr">
        <is>
          <t>Semestral</t>
        </is>
      </c>
      <c r="E2482" t="inlineStr">
        <is>
          <t>Positivo</t>
        </is>
      </c>
      <c r="F2482" s="105" t="n">
        <v>45747</v>
      </c>
      <c r="G2482" t="inlineStr">
        <is>
          <t>416-2025-03-31</t>
        </is>
      </c>
      <c r="H2482" t="inlineStr">
        <is>
          <t>Gerencia de servicios corporativos</t>
        </is>
      </c>
      <c r="I2482" t="n">
        <v>100</v>
      </c>
      <c r="J2482" t="n">
        <v>121.7300033569336</v>
      </c>
      <c r="CH2482" t="n">
        <v>33</v>
      </c>
      <c r="CI2482" t="n">
        <v>27.11</v>
      </c>
    </row>
    <row r="2483">
      <c r="A2483" t="n">
        <v>416</v>
      </c>
      <c r="B2483" t="inlineStr">
        <is>
          <t>Cumplimiento Plan Anual Vicerrectoría de crecimiento</t>
        </is>
      </c>
      <c r="C2483" t="inlineStr">
        <is>
          <t>Planeación Estratégica</t>
        </is>
      </c>
      <c r="D2483" t="inlineStr">
        <is>
          <t>Semestral</t>
        </is>
      </c>
      <c r="E2483" t="inlineStr">
        <is>
          <t>Positivo</t>
        </is>
      </c>
      <c r="F2483" s="105" t="n">
        <v>45747</v>
      </c>
      <c r="G2483" t="inlineStr">
        <is>
          <t>416-2025-03-31</t>
        </is>
      </c>
      <c r="H2483" t="inlineStr">
        <is>
          <t>Director B2B y B2C</t>
        </is>
      </c>
      <c r="I2483" t="n">
        <v>100</v>
      </c>
      <c r="J2483" t="n">
        <v>85.05000305175781</v>
      </c>
      <c r="CH2483" t="n">
        <v>19</v>
      </c>
      <c r="CI2483" t="n">
        <v>22.34</v>
      </c>
    </row>
    <row r="2484">
      <c r="A2484" t="n">
        <v>416</v>
      </c>
      <c r="B2484" t="inlineStr">
        <is>
          <t>Cumplimiento Plan Anual Vicerrectoría de crecimiento</t>
        </is>
      </c>
      <c r="C2484" t="inlineStr">
        <is>
          <t>Planeación Estratégica</t>
        </is>
      </c>
      <c r="D2484" t="inlineStr">
        <is>
          <t>Semestral</t>
        </is>
      </c>
      <c r="E2484" t="inlineStr">
        <is>
          <t>Positivo</t>
        </is>
      </c>
      <c r="F2484" s="105" t="n">
        <v>45747</v>
      </c>
      <c r="G2484" t="inlineStr">
        <is>
          <t>416-2025-03-31</t>
        </is>
      </c>
      <c r="H2484" t="inlineStr">
        <is>
          <t>Director de producto</t>
        </is>
      </c>
      <c r="I2484" t="n">
        <v>100</v>
      </c>
      <c r="J2484" t="n">
        <v>553.0999755859375</v>
      </c>
      <c r="CH2484" t="n">
        <v>6.25</v>
      </c>
      <c r="CI2484" t="n">
        <v>1.13</v>
      </c>
    </row>
    <row r="2485">
      <c r="A2485" t="n">
        <v>416</v>
      </c>
      <c r="B2485" t="inlineStr">
        <is>
          <t>Cumplimiento Plan Anual Vicerrectoría de crecimiento</t>
        </is>
      </c>
      <c r="C2485" t="inlineStr">
        <is>
          <t>Planeación Estratégica</t>
        </is>
      </c>
      <c r="D2485" t="inlineStr">
        <is>
          <t>Semestral</t>
        </is>
      </c>
      <c r="E2485" t="inlineStr">
        <is>
          <t>Positivo</t>
        </is>
      </c>
      <c r="F2485" s="105" t="n">
        <v>45747</v>
      </c>
      <c r="G2485" t="inlineStr">
        <is>
          <t>416-2025-03-31</t>
        </is>
      </c>
      <c r="H2485" t="inlineStr">
        <is>
          <t>Director de estrategia marca</t>
        </is>
      </c>
      <c r="I2485" t="n">
        <v>100</v>
      </c>
      <c r="J2485" t="n">
        <v>72.80000305175781</v>
      </c>
      <c r="CH2485" t="n">
        <v>25</v>
      </c>
      <c r="CI2485" t="n">
        <v>34.34</v>
      </c>
    </row>
    <row r="2486">
      <c r="A2486" t="n">
        <v>417</v>
      </c>
      <c r="B2486" t="inlineStr">
        <is>
          <t>Cumplimiento Plan Anual Vicerrectoría Financiera</t>
        </is>
      </c>
      <c r="C2486" t="inlineStr">
        <is>
          <t>Planeación Estratégica</t>
        </is>
      </c>
      <c r="D2486" t="inlineStr">
        <is>
          <t>Semestral</t>
        </is>
      </c>
      <c r="E2486" t="inlineStr">
        <is>
          <t>Positivo</t>
        </is>
      </c>
      <c r="F2486" s="105" t="n">
        <v>45747</v>
      </c>
      <c r="G2486" t="inlineStr">
        <is>
          <t>417-2025-03-31</t>
        </is>
      </c>
      <c r="H2486" t="inlineStr">
        <is>
          <t>Dirección de contabilidad</t>
        </is>
      </c>
      <c r="I2486" t="n">
        <v>100</v>
      </c>
      <c r="J2486" t="n">
        <v>71.06999969482422</v>
      </c>
      <c r="CJ2486" t="n">
        <v>29.33</v>
      </c>
      <c r="CK2486" t="n">
        <v>41.27</v>
      </c>
    </row>
    <row r="2487">
      <c r="A2487" t="n">
        <v>417</v>
      </c>
      <c r="B2487" t="inlineStr">
        <is>
          <t>Cumplimiento Plan Anual Vicerrectoría Financiera</t>
        </is>
      </c>
      <c r="C2487" t="inlineStr">
        <is>
          <t>Planeación Estratégica</t>
        </is>
      </c>
      <c r="D2487" t="inlineStr">
        <is>
          <t>Semestral</t>
        </is>
      </c>
      <c r="E2487" t="inlineStr">
        <is>
          <t>Positivo</t>
        </is>
      </c>
      <c r="F2487" s="105" t="n">
        <v>45747</v>
      </c>
      <c r="G2487" t="inlineStr">
        <is>
          <t>417-2025-03-31</t>
        </is>
      </c>
      <c r="H2487" t="inlineStr">
        <is>
          <t>Dirección de infraestructura</t>
        </is>
      </c>
      <c r="I2487" t="n">
        <v>100</v>
      </c>
      <c r="J2487" t="n">
        <v>109.0299987792969</v>
      </c>
      <c r="CJ2487" t="n">
        <v>44.79</v>
      </c>
      <c r="CK2487" t="n">
        <v>41.08</v>
      </c>
    </row>
    <row r="2488">
      <c r="A2488" t="n">
        <v>417</v>
      </c>
      <c r="B2488" t="inlineStr">
        <is>
          <t>Cumplimiento Plan Anual Vicerrectoría Financiera</t>
        </is>
      </c>
      <c r="C2488" t="inlineStr">
        <is>
          <t>Planeación Estratégica</t>
        </is>
      </c>
      <c r="D2488" t="inlineStr">
        <is>
          <t>Semestral</t>
        </is>
      </c>
      <c r="E2488" t="inlineStr">
        <is>
          <t>Positivo</t>
        </is>
      </c>
      <c r="F2488" s="105" t="n">
        <v>45747</v>
      </c>
      <c r="G2488" t="inlineStr">
        <is>
          <t>417-2025-03-31</t>
        </is>
      </c>
      <c r="H2488" t="inlineStr">
        <is>
          <t>Dirección planeación financiera y tesorería</t>
        </is>
      </c>
      <c r="I2488" t="n">
        <v>100</v>
      </c>
      <c r="J2488" t="n">
        <v>93.70999908447266</v>
      </c>
      <c r="CJ2488" t="n">
        <v>28.6</v>
      </c>
      <c r="CK2488" t="n">
        <v>30.52</v>
      </c>
    </row>
    <row r="2489">
      <c r="A2489" t="n">
        <v>417</v>
      </c>
      <c r="B2489" t="inlineStr">
        <is>
          <t>Cumplimiento Plan Anual Vicerrectoría Financiera</t>
        </is>
      </c>
      <c r="C2489" t="inlineStr">
        <is>
          <t>Planeación Estratégica</t>
        </is>
      </c>
      <c r="D2489" t="inlineStr">
        <is>
          <t>Semestral</t>
        </is>
      </c>
      <c r="E2489" t="inlineStr">
        <is>
          <t>Positivo</t>
        </is>
      </c>
      <c r="F2489" s="105" t="n">
        <v>45747</v>
      </c>
      <c r="G2489" t="inlineStr">
        <is>
          <t>417-2025-03-31</t>
        </is>
      </c>
      <c r="H2489" t="inlineStr">
        <is>
          <t>Dirección de servicios administrativos</t>
        </is>
      </c>
      <c r="I2489" t="n">
        <v>100</v>
      </c>
      <c r="J2489" t="n">
        <v>94.79000091552734</v>
      </c>
      <c r="CJ2489" t="n">
        <v>30</v>
      </c>
      <c r="CK2489" t="n">
        <v>31.65</v>
      </c>
    </row>
    <row r="2490">
      <c r="A2490" t="n">
        <v>417</v>
      </c>
      <c r="B2490" t="inlineStr">
        <is>
          <t>Cumplimiento Plan Anual Vicerrectoría Financiera</t>
        </is>
      </c>
      <c r="C2490" t="inlineStr">
        <is>
          <t>Planeación Estratégica</t>
        </is>
      </c>
      <c r="D2490" t="inlineStr">
        <is>
          <t>Semestral</t>
        </is>
      </c>
      <c r="E2490" t="inlineStr">
        <is>
          <t>Positivo</t>
        </is>
      </c>
      <c r="F2490" s="105" t="n">
        <v>45747</v>
      </c>
      <c r="G2490" t="inlineStr">
        <is>
          <t>417-2025-03-31</t>
        </is>
      </c>
      <c r="H2490" t="inlineStr">
        <is>
          <t>Dirección de compras y abastecimiento</t>
        </is>
      </c>
      <c r="I2490" t="n">
        <v>100</v>
      </c>
      <c r="J2490" t="n">
        <v>86.41999816894531</v>
      </c>
      <c r="CJ2490" t="n">
        <v>24.25</v>
      </c>
      <c r="CK2490" t="n">
        <v>28.06</v>
      </c>
    </row>
    <row r="2491">
      <c r="A2491" t="n">
        <v>417</v>
      </c>
      <c r="B2491" t="inlineStr">
        <is>
          <t>Cumplimiento Plan Anual Vicerrectoría Financiera</t>
        </is>
      </c>
      <c r="C2491" t="inlineStr">
        <is>
          <t>Planeación Estratégica</t>
        </is>
      </c>
      <c r="D2491" t="inlineStr">
        <is>
          <t>Semestral</t>
        </is>
      </c>
      <c r="E2491" t="inlineStr">
        <is>
          <t>Positivo</t>
        </is>
      </c>
      <c r="F2491" s="105" t="n">
        <v>45747</v>
      </c>
      <c r="G2491" t="inlineStr">
        <is>
          <t>417-2025-03-31</t>
        </is>
      </c>
      <c r="H2491" t="inlineStr">
        <is>
          <t>Dirección de relacionamiento de CSU</t>
        </is>
      </c>
      <c r="I2491" t="n">
        <v>100</v>
      </c>
      <c r="J2491" t="n">
        <v>107.0500030517578</v>
      </c>
      <c r="CJ2491" t="n">
        <v>25.21</v>
      </c>
      <c r="CK2491" t="n">
        <v>23.55</v>
      </c>
    </row>
    <row r="2492">
      <c r="A2492" t="n">
        <v>418</v>
      </c>
      <c r="B2492" t="inlineStr">
        <is>
          <t>Cumplimiento Plan Anual Vicerrectoría Académica</t>
        </is>
      </c>
      <c r="C2492" t="inlineStr">
        <is>
          <t>Planeación Estratégica</t>
        </is>
      </c>
      <c r="D2492" t="inlineStr">
        <is>
          <t>Semestral</t>
        </is>
      </c>
      <c r="E2492" t="inlineStr">
        <is>
          <t>Positivo</t>
        </is>
      </c>
      <c r="F2492" s="105" t="n">
        <v>45747</v>
      </c>
      <c r="G2492" t="inlineStr">
        <is>
          <t>418-2025-03-31</t>
        </is>
      </c>
      <c r="H2492" t="inlineStr">
        <is>
          <t>Dirección aseguramiento de la calidad</t>
        </is>
      </c>
      <c r="I2492" t="n">
        <v>100</v>
      </c>
      <c r="J2492" t="n">
        <v>105.7200012207031</v>
      </c>
      <c r="CL2492" t="n">
        <v>26.6</v>
      </c>
      <c r="CM2492" t="n">
        <v>25.16</v>
      </c>
    </row>
    <row r="2493">
      <c r="A2493" t="n">
        <v>418</v>
      </c>
      <c r="B2493" t="inlineStr">
        <is>
          <t>Cumplimiento Plan Anual Vicerrectoría Académica</t>
        </is>
      </c>
      <c r="C2493" t="inlineStr">
        <is>
          <t>Planeación Estratégica</t>
        </is>
      </c>
      <c r="D2493" t="inlineStr">
        <is>
          <t>Semestral</t>
        </is>
      </c>
      <c r="E2493" t="inlineStr">
        <is>
          <t>Positivo</t>
        </is>
      </c>
      <c r="F2493" s="105" t="n">
        <v>45747</v>
      </c>
      <c r="G2493" t="inlineStr">
        <is>
          <t>418-2025-03-31</t>
        </is>
      </c>
      <c r="H2493" t="inlineStr">
        <is>
          <t>Dirección relaciones nacionales e internacionales</t>
        </is>
      </c>
      <c r="I2493" t="n">
        <v>100</v>
      </c>
      <c r="J2493" t="n">
        <v>69.27999877929688</v>
      </c>
      <c r="CL2493" t="n">
        <v>35</v>
      </c>
      <c r="CM2493" t="n">
        <v>50.52</v>
      </c>
    </row>
    <row r="2494">
      <c r="A2494" t="n">
        <v>418</v>
      </c>
      <c r="B2494" t="inlineStr">
        <is>
          <t>Cumplimiento Plan Anual Vicerrectoría Académica</t>
        </is>
      </c>
      <c r="C2494" t="inlineStr">
        <is>
          <t>Planeación Estratégica</t>
        </is>
      </c>
      <c r="D2494" t="inlineStr">
        <is>
          <t>Semestral</t>
        </is>
      </c>
      <c r="E2494" t="inlineStr">
        <is>
          <t>Positivo</t>
        </is>
      </c>
      <c r="F2494" s="105" t="n">
        <v>45747</v>
      </c>
      <c r="G2494" t="inlineStr">
        <is>
          <t>418-2025-03-31</t>
        </is>
      </c>
      <c r="H2494" t="inlineStr">
        <is>
          <t>Secretaria académica y de extensión</t>
        </is>
      </c>
      <c r="I2494" t="n">
        <v>100</v>
      </c>
      <c r="J2494" t="n">
        <v>422.8299865722656</v>
      </c>
      <c r="CL2494" t="n">
        <v>20</v>
      </c>
      <c r="CM2494" t="n">
        <v>4.73</v>
      </c>
    </row>
    <row r="2495">
      <c r="A2495" t="n">
        <v>418</v>
      </c>
      <c r="B2495" t="inlineStr">
        <is>
          <t>Cumplimiento Plan Anual Vicerrectoría Académica</t>
        </is>
      </c>
      <c r="C2495" t="inlineStr">
        <is>
          <t>Planeación Estratégica</t>
        </is>
      </c>
      <c r="D2495" t="inlineStr">
        <is>
          <t>Semestral</t>
        </is>
      </c>
      <c r="E2495" t="inlineStr">
        <is>
          <t>Positivo</t>
        </is>
      </c>
      <c r="F2495" s="105" t="n">
        <v>45747</v>
      </c>
      <c r="G2495" t="inlineStr">
        <is>
          <t>418-2025-03-31</t>
        </is>
      </c>
      <c r="H2495" t="inlineStr">
        <is>
          <t>Dirección de docencia</t>
        </is>
      </c>
      <c r="I2495" t="n">
        <v>100</v>
      </c>
      <c r="J2495" t="n">
        <v>118.0699996948242</v>
      </c>
      <c r="CL2495" t="n">
        <v>38.75</v>
      </c>
      <c r="CM2495" t="n">
        <v>32.82</v>
      </c>
    </row>
    <row r="2496">
      <c r="A2496" t="n">
        <v>418</v>
      </c>
      <c r="B2496" t="inlineStr">
        <is>
          <t>Cumplimiento Plan Anual Vicerrectoría Académica</t>
        </is>
      </c>
      <c r="C2496" t="inlineStr">
        <is>
          <t>Planeación Estratégica</t>
        </is>
      </c>
      <c r="D2496" t="inlineStr">
        <is>
          <t>Semestral</t>
        </is>
      </c>
      <c r="E2496" t="inlineStr">
        <is>
          <t>Positivo</t>
        </is>
      </c>
      <c r="F2496" s="105" t="n">
        <v>45747</v>
      </c>
      <c r="G2496" t="inlineStr">
        <is>
          <t>418-2025-03-31</t>
        </is>
      </c>
      <c r="H2496" t="inlineStr">
        <is>
          <t>Dirección de currículo presencial y virtual</t>
        </is>
      </c>
      <c r="I2496" t="n">
        <v>100</v>
      </c>
      <c r="J2496" t="n">
        <v>28.01000022888184</v>
      </c>
      <c r="CL2496" t="n">
        <v>6.33</v>
      </c>
      <c r="CM2496" t="n">
        <v>22.6</v>
      </c>
    </row>
    <row r="2497">
      <c r="A2497" t="n">
        <v>418</v>
      </c>
      <c r="B2497" t="inlineStr">
        <is>
          <t>Cumplimiento Plan Anual Vicerrectoría Académica</t>
        </is>
      </c>
      <c r="C2497" t="inlineStr">
        <is>
          <t>Planeación Estratégica</t>
        </is>
      </c>
      <c r="D2497" t="inlineStr">
        <is>
          <t>Semestral</t>
        </is>
      </c>
      <c r="E2497" t="inlineStr">
        <is>
          <t>Positivo</t>
        </is>
      </c>
      <c r="F2497" s="105" t="n">
        <v>45747</v>
      </c>
      <c r="G2497" t="inlineStr">
        <is>
          <t>418-2025-03-31</t>
        </is>
      </c>
      <c r="H2497" t="inlineStr">
        <is>
          <t>Facultad ingeniería diseño e innovación</t>
        </is>
      </c>
      <c r="I2497" t="n">
        <v>100</v>
      </c>
      <c r="J2497" t="n">
        <v>129.4100036621094</v>
      </c>
      <c r="CL2497" t="n">
        <v>37.75</v>
      </c>
      <c r="CM2497" t="n">
        <v>29.17</v>
      </c>
    </row>
    <row r="2498">
      <c r="A2498" t="n">
        <v>418</v>
      </c>
      <c r="B2498" t="inlineStr">
        <is>
          <t>Cumplimiento Plan Anual Vicerrectoría Académica</t>
        </is>
      </c>
      <c r="C2498" t="inlineStr">
        <is>
          <t>Planeación Estratégica</t>
        </is>
      </c>
      <c r="D2498" t="inlineStr">
        <is>
          <t>Semestral</t>
        </is>
      </c>
      <c r="E2498" t="inlineStr">
        <is>
          <t>Positivo</t>
        </is>
      </c>
      <c r="F2498" s="105" t="n">
        <v>45747</v>
      </c>
      <c r="G2498" t="inlineStr">
        <is>
          <t>418-2025-03-31</t>
        </is>
      </c>
      <c r="H2498" t="inlineStr">
        <is>
          <t>Facultad negocios gestión y sostenibilidad</t>
        </is>
      </c>
      <c r="I2498" t="n">
        <v>100</v>
      </c>
      <c r="J2498" t="n">
        <v>35.13999938964844</v>
      </c>
      <c r="CL2498" t="n">
        <v>15.6</v>
      </c>
      <c r="CM2498" t="n">
        <v>44.39</v>
      </c>
    </row>
    <row r="2499">
      <c r="A2499" t="n">
        <v>418</v>
      </c>
      <c r="B2499" t="inlineStr">
        <is>
          <t>Cumplimiento Plan Anual Vicerrectoría Académica</t>
        </is>
      </c>
      <c r="C2499" t="inlineStr">
        <is>
          <t>Planeación Estratégica</t>
        </is>
      </c>
      <c r="D2499" t="inlineStr">
        <is>
          <t>Semestral</t>
        </is>
      </c>
      <c r="E2499" t="inlineStr">
        <is>
          <t>Positivo</t>
        </is>
      </c>
      <c r="F2499" s="105" t="n">
        <v>45747</v>
      </c>
      <c r="G2499" t="inlineStr">
        <is>
          <t>418-2025-03-31</t>
        </is>
      </c>
      <c r="H2499" t="inlineStr">
        <is>
          <t>Facultad sociedad cultura y creatividad</t>
        </is>
      </c>
      <c r="I2499" t="n">
        <v>100</v>
      </c>
      <c r="J2499" t="n">
        <v>136.8800048828125</v>
      </c>
      <c r="CL2499" t="n">
        <v>35.11</v>
      </c>
      <c r="CM2499" t="n">
        <v>25.65</v>
      </c>
    </row>
    <row r="2500">
      <c r="A2500" t="n">
        <v>418</v>
      </c>
      <c r="B2500" t="inlineStr">
        <is>
          <t>Cumplimiento Plan Anual Vicerrectoría Académica</t>
        </is>
      </c>
      <c r="C2500" t="inlineStr">
        <is>
          <t>Planeación Estratégica</t>
        </is>
      </c>
      <c r="D2500" t="inlineStr">
        <is>
          <t>Semestral</t>
        </is>
      </c>
      <c r="E2500" t="inlineStr">
        <is>
          <t>Positivo</t>
        </is>
      </c>
      <c r="F2500" s="105" t="n">
        <v>45747</v>
      </c>
      <c r="G2500" t="inlineStr">
        <is>
          <t>418-2025-03-31</t>
        </is>
      </c>
      <c r="H2500" t="inlineStr">
        <is>
          <t>Dirección investigación innovación y creación</t>
        </is>
      </c>
      <c r="I2500" t="n">
        <v>100</v>
      </c>
      <c r="J2500" t="n">
        <v>1175</v>
      </c>
      <c r="CL2500" t="n">
        <v>11.75</v>
      </c>
      <c r="CM2500" t="n">
        <v>1</v>
      </c>
    </row>
    <row r="2501">
      <c r="A2501" t="n">
        <v>420</v>
      </c>
      <c r="B2501" t="inlineStr">
        <is>
          <t>Cumplimiento Plan Anual Gerencia de estrategia</t>
        </is>
      </c>
      <c r="C2501" t="inlineStr">
        <is>
          <t>Planeación Estratégica</t>
        </is>
      </c>
      <c r="D2501" t="inlineStr">
        <is>
          <t>Semestral</t>
        </is>
      </c>
      <c r="E2501" t="inlineStr">
        <is>
          <t>Positivo</t>
        </is>
      </c>
      <c r="F2501" s="105" t="n">
        <v>45747</v>
      </c>
      <c r="G2501" t="inlineStr">
        <is>
          <t>420-2025-03-31</t>
        </is>
      </c>
      <c r="H2501" t="inlineStr">
        <is>
          <t>SGC</t>
        </is>
      </c>
      <c r="I2501" t="n">
        <v>100</v>
      </c>
      <c r="J2501" t="n">
        <v>129.6600036621094</v>
      </c>
      <c r="CN2501" t="n">
        <v>32.04</v>
      </c>
      <c r="CO2501" t="n">
        <v>24.71</v>
      </c>
    </row>
    <row r="2502">
      <c r="A2502" t="n">
        <v>420</v>
      </c>
      <c r="B2502" t="inlineStr">
        <is>
          <t>Cumplimiento Plan Anual Gerencia de estrategia</t>
        </is>
      </c>
      <c r="C2502" t="inlineStr">
        <is>
          <t>Planeación Estratégica</t>
        </is>
      </c>
      <c r="D2502" t="inlineStr">
        <is>
          <t>Semestral</t>
        </is>
      </c>
      <c r="E2502" t="inlineStr">
        <is>
          <t>Positivo</t>
        </is>
      </c>
      <c r="F2502" s="105" t="n">
        <v>45747</v>
      </c>
      <c r="G2502" t="inlineStr">
        <is>
          <t>420-2025-03-31</t>
        </is>
      </c>
      <c r="H2502" t="inlineStr">
        <is>
          <t>SGA</t>
        </is>
      </c>
      <c r="I2502" t="n">
        <v>100</v>
      </c>
      <c r="J2502" t="n">
        <v>122.0400009155273</v>
      </c>
      <c r="CN2502" t="n">
        <v>22.81</v>
      </c>
      <c r="CO2502" t="n">
        <v>18.69</v>
      </c>
    </row>
    <row r="2503">
      <c r="A2503" t="n">
        <v>420</v>
      </c>
      <c r="B2503" t="inlineStr">
        <is>
          <t>Cumplimiento Plan Anual Gerencia de estrategia</t>
        </is>
      </c>
      <c r="C2503" t="inlineStr">
        <is>
          <t>Planeación Estratégica</t>
        </is>
      </c>
      <c r="D2503" t="inlineStr">
        <is>
          <t>Semestral</t>
        </is>
      </c>
      <c r="E2503" t="inlineStr">
        <is>
          <t>Positivo</t>
        </is>
      </c>
      <c r="F2503" s="105" t="n">
        <v>45747</v>
      </c>
      <c r="G2503" t="inlineStr">
        <is>
          <t>420-2025-03-31</t>
        </is>
      </c>
      <c r="H2503" t="inlineStr">
        <is>
          <t>Riesgos</t>
        </is>
      </c>
      <c r="I2503" t="n">
        <v>100</v>
      </c>
      <c r="J2503" t="n">
        <v>142.2200012207031</v>
      </c>
      <c r="CN2503" t="n">
        <v>32</v>
      </c>
      <c r="CO2503" t="n">
        <v>22.5</v>
      </c>
    </row>
    <row r="2504">
      <c r="A2504" t="n">
        <v>420</v>
      </c>
      <c r="B2504" t="inlineStr">
        <is>
          <t>Cumplimiento Plan Anual Gerencia de estrategia</t>
        </is>
      </c>
      <c r="C2504" t="inlineStr">
        <is>
          <t>Planeación Estratégica</t>
        </is>
      </c>
      <c r="D2504" t="inlineStr">
        <is>
          <t>Semestral</t>
        </is>
      </c>
      <c r="E2504" t="inlineStr">
        <is>
          <t>Positivo</t>
        </is>
      </c>
      <c r="F2504" s="105" t="n">
        <v>45747</v>
      </c>
      <c r="G2504" t="inlineStr">
        <is>
          <t>420-2025-03-31</t>
        </is>
      </c>
      <c r="H2504" t="inlineStr">
        <is>
          <t>Auditoría</t>
        </is>
      </c>
      <c r="I2504" t="n">
        <v>100</v>
      </c>
      <c r="J2504" t="n">
        <v>113.7600021362305</v>
      </c>
      <c r="CN2504" t="n">
        <v>11.16</v>
      </c>
      <c r="CO2504" t="n">
        <v>9.81</v>
      </c>
    </row>
    <row r="2505">
      <c r="A2505" t="n">
        <v>420</v>
      </c>
      <c r="B2505" t="inlineStr">
        <is>
          <t>Cumplimiento Plan Anual Gerencia de estrategia</t>
        </is>
      </c>
      <c r="C2505" t="inlineStr">
        <is>
          <t>Planeación Estratégica</t>
        </is>
      </c>
      <c r="D2505" t="inlineStr">
        <is>
          <t>Semestral</t>
        </is>
      </c>
      <c r="E2505" t="inlineStr">
        <is>
          <t>Positivo</t>
        </is>
      </c>
      <c r="F2505" s="105" t="n">
        <v>45747</v>
      </c>
      <c r="G2505" t="inlineStr">
        <is>
          <t>420-2025-03-31</t>
        </is>
      </c>
      <c r="H2505" t="inlineStr">
        <is>
          <t>Planeación estratégica</t>
        </is>
      </c>
      <c r="I2505" t="n">
        <v>100</v>
      </c>
      <c r="J2505" t="n">
        <v>111.3499984741211</v>
      </c>
      <c r="CN2505" t="n">
        <v>40.92</v>
      </c>
      <c r="CO2505" t="n">
        <v>36.75</v>
      </c>
    </row>
    <row r="2506">
      <c r="A2506" t="n">
        <v>420</v>
      </c>
      <c r="B2506" t="inlineStr">
        <is>
          <t>Cumplimiento Plan Anual Gerencia de estrategia</t>
        </is>
      </c>
      <c r="C2506" t="inlineStr">
        <is>
          <t>Planeación Estratégica</t>
        </is>
      </c>
      <c r="D2506" t="inlineStr">
        <is>
          <t>Semestral</t>
        </is>
      </c>
      <c r="E2506" t="inlineStr">
        <is>
          <t>Positivo</t>
        </is>
      </c>
      <c r="F2506" s="105" t="n">
        <v>45747</v>
      </c>
      <c r="G2506" t="inlineStr">
        <is>
          <t>420-2025-03-31</t>
        </is>
      </c>
      <c r="H2506" t="inlineStr">
        <is>
          <t>Estudios Internos</t>
        </is>
      </c>
      <c r="I2506" t="n">
        <v>100</v>
      </c>
      <c r="J2506" t="n">
        <v>114.1600036621094</v>
      </c>
      <c r="CN2506" t="n">
        <v>10</v>
      </c>
      <c r="CO2506" t="n">
        <v>8.76</v>
      </c>
    </row>
    <row r="2507">
      <c r="A2507" t="n">
        <v>432</v>
      </c>
      <c r="B2507" t="inlineStr">
        <is>
          <t>Intervención a la gestión del riesgo de los colaboradores</t>
        </is>
      </c>
      <c r="C2507" t="inlineStr">
        <is>
          <t>GESTIÓN DE SEGURIDAD Y SALUD EN EL TRABAJO</t>
        </is>
      </c>
      <c r="D2507" t="inlineStr">
        <is>
          <t>Semestral</t>
        </is>
      </c>
      <c r="E2507" t="inlineStr">
        <is>
          <t>Positivo</t>
        </is>
      </c>
      <c r="F2507" s="105" t="n">
        <v>45747</v>
      </c>
      <c r="G2507" t="inlineStr">
        <is>
          <t>432-2025-03-31</t>
        </is>
      </c>
      <c r="H2507" t="inlineStr">
        <is>
          <t>Plan estratégico de seguridad vial</t>
        </is>
      </c>
      <c r="I2507" t="n">
        <v>90</v>
      </c>
      <c r="J2507" t="n">
        <v>100</v>
      </c>
      <c r="CS2507" t="n">
        <v>7</v>
      </c>
      <c r="CT2507" t="n">
        <v>7</v>
      </c>
    </row>
    <row r="2508">
      <c r="A2508" t="n">
        <v>432</v>
      </c>
      <c r="B2508" t="inlineStr">
        <is>
          <t>Intervención a la gestión del riesgo de los colaboradores</t>
        </is>
      </c>
      <c r="C2508" t="inlineStr">
        <is>
          <t>GESTIÓN DE SEGURIDAD Y SALUD EN EL TRABAJO</t>
        </is>
      </c>
      <c r="D2508" t="inlineStr">
        <is>
          <t>Semestral</t>
        </is>
      </c>
      <c r="E2508" t="inlineStr">
        <is>
          <t>Positivo</t>
        </is>
      </c>
      <c r="F2508" s="105" t="n">
        <v>45747</v>
      </c>
      <c r="G2508" t="inlineStr">
        <is>
          <t>432-2025-03-31</t>
        </is>
      </c>
      <c r="H2508" t="inlineStr">
        <is>
          <t>Plan de gestión de riesgo psicosocial</t>
        </is>
      </c>
      <c r="I2508" t="n">
        <v>90</v>
      </c>
      <c r="J2508" t="n">
        <v>100</v>
      </c>
      <c r="CS2508" t="n">
        <v>7</v>
      </c>
      <c r="CT2508" t="n">
        <v>7</v>
      </c>
    </row>
    <row r="2509">
      <c r="A2509" t="n">
        <v>432</v>
      </c>
      <c r="B2509" t="inlineStr">
        <is>
          <t>Intervención a la gestión del riesgo de los colaboradores</t>
        </is>
      </c>
      <c r="C2509" t="inlineStr">
        <is>
          <t>GESTIÓN DE SEGURIDAD Y SALUD EN EL TRABAJO</t>
        </is>
      </c>
      <c r="D2509" t="inlineStr">
        <is>
          <t>Semestral</t>
        </is>
      </c>
      <c r="E2509" t="inlineStr">
        <is>
          <t>Positivo</t>
        </is>
      </c>
      <c r="F2509" s="105" t="n">
        <v>45747</v>
      </c>
      <c r="G2509" t="inlineStr">
        <is>
          <t>432-2025-03-31</t>
        </is>
      </c>
      <c r="H2509" t="inlineStr">
        <is>
          <t>Plan de gestión osteomuscular</t>
        </is>
      </c>
      <c r="I2509" t="n">
        <v>90</v>
      </c>
      <c r="J2509" t="n">
        <v>100</v>
      </c>
      <c r="CS2509" t="n">
        <v>7</v>
      </c>
      <c r="CT2509" t="n">
        <v>7</v>
      </c>
    </row>
    <row r="2510">
      <c r="A2510" t="n">
        <v>432</v>
      </c>
      <c r="B2510" t="inlineStr">
        <is>
          <t>Intervención a la gestión del riesgo de los colaboradores</t>
        </is>
      </c>
      <c r="C2510" t="inlineStr">
        <is>
          <t>GESTIÓN DE SEGURIDAD Y SALUD EN EL TRABAJO</t>
        </is>
      </c>
      <c r="D2510" t="inlineStr">
        <is>
          <t>Semestral</t>
        </is>
      </c>
      <c r="E2510" t="inlineStr">
        <is>
          <t>Positivo</t>
        </is>
      </c>
      <c r="F2510" s="105" t="n">
        <v>45747</v>
      </c>
      <c r="G2510" t="inlineStr">
        <is>
          <t>432-2025-03-31</t>
        </is>
      </c>
      <c r="H2510" t="inlineStr">
        <is>
          <t>Plan de gestión TAR</t>
        </is>
      </c>
      <c r="I2510" t="n">
        <v>90</v>
      </c>
      <c r="J2510" t="n">
        <v>100</v>
      </c>
      <c r="CS2510" t="n">
        <v>10</v>
      </c>
      <c r="CT2510" t="n">
        <v>10</v>
      </c>
    </row>
    <row r="2511">
      <c r="A2511" t="n">
        <v>432</v>
      </c>
      <c r="B2511" t="inlineStr">
        <is>
          <t>Intervención a la gestión del riesgo de los colaboradores</t>
        </is>
      </c>
      <c r="C2511" t="inlineStr">
        <is>
          <t>GESTIÓN DE SEGURIDAD Y SALUD EN EL TRABAJO</t>
        </is>
      </c>
      <c r="D2511" t="inlineStr">
        <is>
          <t>Semestral</t>
        </is>
      </c>
      <c r="E2511" t="inlineStr">
        <is>
          <t>Positivo</t>
        </is>
      </c>
      <c r="F2511" s="105" t="n">
        <v>45747</v>
      </c>
      <c r="G2511" t="inlineStr">
        <is>
          <t>432-2025-03-31</t>
        </is>
      </c>
      <c r="H2511" t="inlineStr">
        <is>
          <t>Plan de de gestión conservación de la voz</t>
        </is>
      </c>
      <c r="I2511" t="n">
        <v>90</v>
      </c>
      <c r="J2511" t="n">
        <v>100</v>
      </c>
      <c r="CS2511" t="n">
        <v>4</v>
      </c>
      <c r="CT2511" t="n">
        <v>4</v>
      </c>
    </row>
    <row r="2512">
      <c r="A2512" t="n">
        <v>432</v>
      </c>
      <c r="B2512" t="inlineStr">
        <is>
          <t>Intervención a la gestión del riesgo de los colaboradores</t>
        </is>
      </c>
      <c r="C2512" t="inlineStr">
        <is>
          <t>GESTIÓN DE SEGURIDAD Y SALUD EN EL TRABAJO</t>
        </is>
      </c>
      <c r="D2512" t="inlineStr">
        <is>
          <t>Semestral</t>
        </is>
      </c>
      <c r="E2512" t="inlineStr">
        <is>
          <t>Positivo</t>
        </is>
      </c>
      <c r="F2512" s="105" t="n">
        <v>45747</v>
      </c>
      <c r="G2512" t="inlineStr">
        <is>
          <t>432-2025-03-31</t>
        </is>
      </c>
      <c r="H2512" t="inlineStr">
        <is>
          <t>Plan de gestión riesgo biológico</t>
        </is>
      </c>
      <c r="I2512" t="n">
        <v>90</v>
      </c>
      <c r="J2512" t="n">
        <v>100</v>
      </c>
      <c r="CS2512" t="n">
        <v>2</v>
      </c>
      <c r="CT2512" t="n">
        <v>2</v>
      </c>
    </row>
    <row r="2513">
      <c r="A2513" t="n">
        <v>432</v>
      </c>
      <c r="B2513" t="inlineStr">
        <is>
          <t>Intervención a la gestión del riesgo de los colaboradores</t>
        </is>
      </c>
      <c r="C2513" t="inlineStr">
        <is>
          <t>GESTIÓN DE SEGURIDAD Y SALUD EN EL TRABAJO</t>
        </is>
      </c>
      <c r="D2513" t="inlineStr">
        <is>
          <t>Semestral</t>
        </is>
      </c>
      <c r="E2513" t="inlineStr">
        <is>
          <t>Positivo</t>
        </is>
      </c>
      <c r="F2513" s="105" t="n">
        <v>45747</v>
      </c>
      <c r="G2513" t="inlineStr">
        <is>
          <t>432-2025-03-31</t>
        </is>
      </c>
      <c r="H2513" t="inlineStr">
        <is>
          <t>Plan de gestión Teletrabajadores</t>
        </is>
      </c>
      <c r="I2513" t="n">
        <v>90</v>
      </c>
      <c r="J2513" t="n">
        <v>100</v>
      </c>
      <c r="CS2513" t="n">
        <v>1</v>
      </c>
      <c r="CT2513" t="n">
        <v>1</v>
      </c>
    </row>
    <row r="2514">
      <c r="A2514" t="n">
        <v>432</v>
      </c>
      <c r="B2514" t="inlineStr">
        <is>
          <t>Intervención a la gestión del riesgo de los colaboradores</t>
        </is>
      </c>
      <c r="C2514" t="inlineStr">
        <is>
          <t>GESTIÓN DE SEGURIDAD Y SALUD EN EL TRABAJO</t>
        </is>
      </c>
      <c r="D2514" t="inlineStr">
        <is>
          <t>Semestral</t>
        </is>
      </c>
      <c r="E2514" t="inlineStr">
        <is>
          <t>Positivo</t>
        </is>
      </c>
      <c r="F2514" s="105" t="n">
        <v>45747</v>
      </c>
      <c r="G2514" t="inlineStr">
        <is>
          <t>432-2025-03-31</t>
        </is>
      </c>
      <c r="H2514" t="inlineStr">
        <is>
          <t>Plan de gestión inspecciones de seguridad</t>
        </is>
      </c>
      <c r="I2514" t="n">
        <v>90</v>
      </c>
      <c r="J2514" t="n">
        <v>100</v>
      </c>
      <c r="CS2514" t="n">
        <v>20</v>
      </c>
      <c r="CT2514" t="n">
        <v>20</v>
      </c>
    </row>
    <row r="2515">
      <c r="A2515" t="n">
        <v>432</v>
      </c>
      <c r="B2515" t="inlineStr">
        <is>
          <t>Intervención a la gestión del riesgo de los colaboradores</t>
        </is>
      </c>
      <c r="C2515" t="inlineStr">
        <is>
          <t>GESTIÓN DE SEGURIDAD Y SALUD EN EL TRABAJO</t>
        </is>
      </c>
      <c r="D2515" t="inlineStr">
        <is>
          <t>Semestral</t>
        </is>
      </c>
      <c r="E2515" t="inlineStr">
        <is>
          <t>Positivo</t>
        </is>
      </c>
      <c r="F2515" s="105" t="n">
        <v>45747</v>
      </c>
      <c r="G2515" t="inlineStr">
        <is>
          <t>432-2025-03-31</t>
        </is>
      </c>
      <c r="H2515" t="inlineStr">
        <is>
          <t>Plan de gestión de riesgo químico</t>
        </is>
      </c>
      <c r="I2515" t="n">
        <v>90</v>
      </c>
      <c r="J2515" t="n">
        <v>100</v>
      </c>
      <c r="CS2515" t="n">
        <v>3</v>
      </c>
      <c r="CT2515" t="n">
        <v>3</v>
      </c>
    </row>
    <row r="2516">
      <c r="A2516" t="n">
        <v>456</v>
      </c>
      <c r="B2516" t="inlineStr">
        <is>
          <t>Impacto de campañas de Mailing</t>
        </is>
      </c>
      <c r="C2516" t="inlineStr">
        <is>
          <t>Comunicaciones Internas</t>
        </is>
      </c>
      <c r="D2516" t="inlineStr">
        <is>
          <t>Semestral</t>
        </is>
      </c>
      <c r="E2516" t="inlineStr">
        <is>
          <t>Positivo</t>
        </is>
      </c>
      <c r="F2516" s="105" t="n">
        <v>45747</v>
      </c>
      <c r="G2516" t="inlineStr">
        <is>
          <t>456-2025-03-31</t>
        </is>
      </c>
      <c r="H2516" t="inlineStr">
        <is>
          <t>Colaboradores</t>
        </is>
      </c>
      <c r="I2516" t="n">
        <v>100</v>
      </c>
      <c r="J2516" t="n">
        <v>105.7099990844727</v>
      </c>
      <c r="DY2516" t="n">
        <v>70</v>
      </c>
      <c r="DZ2516" t="n">
        <v>74</v>
      </c>
    </row>
    <row r="2517">
      <c r="A2517" t="n">
        <v>456</v>
      </c>
      <c r="B2517" t="inlineStr">
        <is>
          <t>Impacto de campañas de Mailing</t>
        </is>
      </c>
      <c r="C2517" t="inlineStr">
        <is>
          <t>Comunicaciones Internas</t>
        </is>
      </c>
      <c r="D2517" t="inlineStr">
        <is>
          <t>Semestral</t>
        </is>
      </c>
      <c r="E2517" t="inlineStr">
        <is>
          <t>Positivo</t>
        </is>
      </c>
      <c r="F2517" s="105" t="n">
        <v>45747</v>
      </c>
      <c r="G2517" t="inlineStr">
        <is>
          <t>456-2025-03-31</t>
        </is>
      </c>
      <c r="H2517" t="inlineStr">
        <is>
          <t>Estudiantes</t>
        </is>
      </c>
      <c r="I2517" t="n">
        <v>100</v>
      </c>
      <c r="J2517" t="n">
        <v>110</v>
      </c>
      <c r="DY2517" t="n">
        <v>20</v>
      </c>
      <c r="DZ2517" t="n">
        <v>22</v>
      </c>
    </row>
    <row r="2518">
      <c r="A2518" t="n">
        <v>456</v>
      </c>
      <c r="B2518" t="inlineStr">
        <is>
          <t>Impacto de campañas de Mailing</t>
        </is>
      </c>
      <c r="C2518" t="inlineStr">
        <is>
          <t>Comunicaciones Internas</t>
        </is>
      </c>
      <c r="D2518" t="inlineStr">
        <is>
          <t>Semestral</t>
        </is>
      </c>
      <c r="E2518" t="inlineStr">
        <is>
          <t>Positivo</t>
        </is>
      </c>
      <c r="F2518" s="105" t="n">
        <v>45747</v>
      </c>
      <c r="G2518" t="inlineStr">
        <is>
          <t>456-2025-03-31</t>
        </is>
      </c>
      <c r="H2518" t="inlineStr">
        <is>
          <t>Graduados</t>
        </is>
      </c>
      <c r="I2518" t="n">
        <v>100</v>
      </c>
      <c r="J2518" t="n">
        <v>104.5500030517578</v>
      </c>
      <c r="DY2518" t="n">
        <v>22</v>
      </c>
      <c r="DZ2518" t="n">
        <v>23</v>
      </c>
    </row>
    <row r="2519">
      <c r="A2519" t="n">
        <v>457</v>
      </c>
      <c r="B2519" t="inlineStr">
        <is>
          <t>Apertura de enlaces en mensajes de texto</t>
        </is>
      </c>
      <c r="C2519" t="inlineStr">
        <is>
          <t>Comunicaciones Internas</t>
        </is>
      </c>
      <c r="D2519" t="inlineStr">
        <is>
          <t>Semestral</t>
        </is>
      </c>
      <c r="E2519" t="inlineStr">
        <is>
          <t>Positivo</t>
        </is>
      </c>
      <c r="F2519" s="105" t="n">
        <v>45747</v>
      </c>
      <c r="G2519" t="inlineStr">
        <is>
          <t>457-2025-03-31</t>
        </is>
      </c>
      <c r="H2519" t="inlineStr">
        <is>
          <t>Colaboradores</t>
        </is>
      </c>
      <c r="I2519" t="n">
        <v>100</v>
      </c>
      <c r="J2519" t="n">
        <v>300</v>
      </c>
      <c r="EA2519" t="n">
        <v>2</v>
      </c>
      <c r="EB2519" t="n">
        <v>6</v>
      </c>
    </row>
    <row r="2520">
      <c r="A2520" t="n">
        <v>457</v>
      </c>
      <c r="B2520" t="inlineStr">
        <is>
          <t>Apertura de enlaces en mensajes de texto</t>
        </is>
      </c>
      <c r="C2520" t="inlineStr">
        <is>
          <t>Comunicaciones Internas</t>
        </is>
      </c>
      <c r="D2520" t="inlineStr">
        <is>
          <t>Semestral</t>
        </is>
      </c>
      <c r="E2520" t="inlineStr">
        <is>
          <t>Positivo</t>
        </is>
      </c>
      <c r="F2520" s="105" t="n">
        <v>45747</v>
      </c>
      <c r="G2520" t="inlineStr">
        <is>
          <t>457-2025-03-31</t>
        </is>
      </c>
      <c r="H2520" t="inlineStr">
        <is>
          <t>Estudiantes</t>
        </is>
      </c>
      <c r="I2520" t="n">
        <v>100</v>
      </c>
      <c r="J2520" t="n">
        <v>200</v>
      </c>
      <c r="EA2520" t="n">
        <v>3</v>
      </c>
      <c r="EB2520" t="n">
        <v>6</v>
      </c>
    </row>
    <row r="2521">
      <c r="A2521" t="n">
        <v>457</v>
      </c>
      <c r="B2521" t="inlineStr">
        <is>
          <t>Apertura de enlaces en mensajes de texto</t>
        </is>
      </c>
      <c r="C2521" t="inlineStr">
        <is>
          <t>Comunicaciones Internas</t>
        </is>
      </c>
      <c r="D2521" t="inlineStr">
        <is>
          <t>Semestral</t>
        </is>
      </c>
      <c r="E2521" t="inlineStr">
        <is>
          <t>Positivo</t>
        </is>
      </c>
      <c r="F2521" s="105" t="n">
        <v>45747</v>
      </c>
      <c r="G2521" t="inlineStr">
        <is>
          <t>457-2025-03-31</t>
        </is>
      </c>
      <c r="H2521" t="inlineStr">
        <is>
          <t>Graduados</t>
        </is>
      </c>
      <c r="I2521" t="n">
        <v>100</v>
      </c>
      <c r="J2521" t="n">
        <v>100</v>
      </c>
      <c r="EA2521" t="n">
        <v>2</v>
      </c>
      <c r="EB2521" t="n">
        <v>2</v>
      </c>
    </row>
    <row r="2522">
      <c r="A2522" t="n">
        <v>469</v>
      </c>
      <c r="B2522" t="inlineStr">
        <is>
          <t>Cumplimiento Plan Anual Áreas sede Medellín</t>
        </is>
      </c>
      <c r="C2522" t="inlineStr">
        <is>
          <t>Planeación Estratégica</t>
        </is>
      </c>
      <c r="D2522" t="inlineStr">
        <is>
          <t>Semestral</t>
        </is>
      </c>
      <c r="E2522" t="inlineStr">
        <is>
          <t>Positivo</t>
        </is>
      </c>
      <c r="F2522" s="105" t="n">
        <v>45747</v>
      </c>
      <c r="G2522" t="inlineStr">
        <is>
          <t>469-2025-03-31</t>
        </is>
      </c>
      <c r="H2522" t="inlineStr">
        <is>
          <t>FSCC- DERECHO Y GOBIERNO-DERECHO</t>
        </is>
      </c>
      <c r="I2522" t="n">
        <v>100</v>
      </c>
      <c r="J2522" t="n">
        <v>132.0800018310547</v>
      </c>
      <c r="DF2522" t="n">
        <v>27.5</v>
      </c>
      <c r="DG2522" t="n">
        <v>20.82</v>
      </c>
    </row>
    <row r="2523">
      <c r="A2523" t="n">
        <v>469</v>
      </c>
      <c r="B2523" t="inlineStr">
        <is>
          <t>Cumplimiento Plan Anual Áreas sede Medellín</t>
        </is>
      </c>
      <c r="C2523" t="inlineStr">
        <is>
          <t>Planeación Estratégica</t>
        </is>
      </c>
      <c r="D2523" t="inlineStr">
        <is>
          <t>Semestral</t>
        </is>
      </c>
      <c r="E2523" t="inlineStr">
        <is>
          <t>Positivo</t>
        </is>
      </c>
      <c r="F2523" s="105" t="n">
        <v>45747</v>
      </c>
      <c r="G2523" t="inlineStr">
        <is>
          <t>469-2025-03-31</t>
        </is>
      </c>
      <c r="H2523" t="inlineStr">
        <is>
          <t>FIDI-TIC -INGENIERIA DE SISTEMAS</t>
        </is>
      </c>
      <c r="I2523" t="n">
        <v>100</v>
      </c>
      <c r="J2523" t="n">
        <v>186.4900054931641</v>
      </c>
      <c r="DF2523" t="n">
        <v>19.6</v>
      </c>
      <c r="DG2523" t="n">
        <v>10.51</v>
      </c>
    </row>
    <row r="2524">
      <c r="A2524" t="n">
        <v>469</v>
      </c>
      <c r="B2524" t="inlineStr">
        <is>
          <t>Cumplimiento Plan Anual Áreas sede Medellín</t>
        </is>
      </c>
      <c r="C2524" t="inlineStr">
        <is>
          <t>Planeación Estratégica</t>
        </is>
      </c>
      <c r="D2524" t="inlineStr">
        <is>
          <t>Semestral</t>
        </is>
      </c>
      <c r="E2524" t="inlineStr">
        <is>
          <t>Positivo</t>
        </is>
      </c>
      <c r="F2524" s="105" t="n">
        <v>45747</v>
      </c>
      <c r="G2524" t="inlineStr">
        <is>
          <t>469-2025-03-31</t>
        </is>
      </c>
      <c r="H2524" t="inlineStr">
        <is>
          <t>FIDI-OPINA-INGENIERIA INDUSTRIAL</t>
        </is>
      </c>
      <c r="I2524" t="n">
        <v>100</v>
      </c>
      <c r="J2524" t="n">
        <v>86.62999725341797</v>
      </c>
      <c r="DF2524" t="n">
        <v>18.6</v>
      </c>
      <c r="DG2524" t="n">
        <v>21.47</v>
      </c>
    </row>
    <row r="2525">
      <c r="A2525" t="n">
        <v>469</v>
      </c>
      <c r="B2525" t="inlineStr">
        <is>
          <t>Cumplimiento Plan Anual Áreas sede Medellín</t>
        </is>
      </c>
      <c r="C2525" t="inlineStr">
        <is>
          <t>Planeación Estratégica</t>
        </is>
      </c>
      <c r="D2525" t="inlineStr">
        <is>
          <t>Semestral</t>
        </is>
      </c>
      <c r="E2525" t="inlineStr">
        <is>
          <t>Positivo</t>
        </is>
      </c>
      <c r="F2525" s="105" t="n">
        <v>45747</v>
      </c>
      <c r="G2525" t="inlineStr">
        <is>
          <t>469-2025-03-31</t>
        </is>
      </c>
      <c r="H2525" t="inlineStr">
        <is>
          <t>FNGS-NEG Y DLLO INTER-NEGOCIOS INTERNACIONALES</t>
        </is>
      </c>
      <c r="I2525" t="n">
        <v>100</v>
      </c>
      <c r="J2525" t="n">
        <v>149.8500061035156</v>
      </c>
      <c r="DF2525" t="n">
        <v>40.37</v>
      </c>
      <c r="DG2525" t="n">
        <v>26.94</v>
      </c>
    </row>
    <row r="2526">
      <c r="A2526" t="n">
        <v>469</v>
      </c>
      <c r="B2526" t="inlineStr">
        <is>
          <t>Cumplimiento Plan Anual Áreas sede Medellín</t>
        </is>
      </c>
      <c r="C2526" t="inlineStr">
        <is>
          <t>Planeación Estratégica</t>
        </is>
      </c>
      <c r="D2526" t="inlineStr">
        <is>
          <t>Semestral</t>
        </is>
      </c>
      <c r="E2526" t="inlineStr">
        <is>
          <t>Positivo</t>
        </is>
      </c>
      <c r="F2526" s="105" t="n">
        <v>45747</v>
      </c>
      <c r="G2526" t="inlineStr">
        <is>
          <t>469-2025-03-31</t>
        </is>
      </c>
      <c r="H2526" t="inlineStr">
        <is>
          <t>FSCC- EST.PSIC,TH Y SOC- PSICOLOGIA</t>
        </is>
      </c>
      <c r="I2526" t="n">
        <v>100</v>
      </c>
      <c r="J2526" t="n">
        <v>149.1699981689453</v>
      </c>
      <c r="DF2526" t="n">
        <v>26</v>
      </c>
      <c r="DG2526" t="n">
        <v>17.43</v>
      </c>
    </row>
    <row r="2527">
      <c r="A2527" t="n">
        <v>469</v>
      </c>
      <c r="B2527" t="inlineStr">
        <is>
          <t>Cumplimiento Plan Anual Áreas sede Medellín</t>
        </is>
      </c>
      <c r="C2527" t="inlineStr">
        <is>
          <t>Planeación Estratégica</t>
        </is>
      </c>
      <c r="D2527" t="inlineStr">
        <is>
          <t>Semestral</t>
        </is>
      </c>
      <c r="E2527" t="inlineStr">
        <is>
          <t>Positivo</t>
        </is>
      </c>
      <c r="F2527" s="105" t="n">
        <v>45747</v>
      </c>
      <c r="G2527" t="inlineStr">
        <is>
          <t>469-2025-03-31</t>
        </is>
      </c>
      <c r="H2527" t="inlineStr">
        <is>
          <t>FIDI-CIENCIAS BÁSICAS MED</t>
        </is>
      </c>
      <c r="I2527" t="n">
        <v>100</v>
      </c>
      <c r="J2527" t="n">
        <v>114.9400024414062</v>
      </c>
      <c r="DF2527" t="n">
        <v>21</v>
      </c>
      <c r="DG2527" t="n">
        <v>18.27</v>
      </c>
    </row>
    <row r="2528">
      <c r="A2528" t="n">
        <v>469</v>
      </c>
      <c r="B2528" t="inlineStr">
        <is>
          <t>Cumplimiento Plan Anual Áreas sede Medellín</t>
        </is>
      </c>
      <c r="C2528" t="inlineStr">
        <is>
          <t>Planeación Estratégica</t>
        </is>
      </c>
      <c r="D2528" t="inlineStr">
        <is>
          <t>Semestral</t>
        </is>
      </c>
      <c r="E2528" t="inlineStr">
        <is>
          <t>Positivo</t>
        </is>
      </c>
      <c r="F2528" s="105" t="n">
        <v>45747</v>
      </c>
      <c r="G2528" t="inlineStr">
        <is>
          <t>469-2025-03-31</t>
        </is>
      </c>
      <c r="H2528" t="inlineStr">
        <is>
          <t>ADMON DE EMPRESAS</t>
        </is>
      </c>
      <c r="I2528" t="n">
        <v>100</v>
      </c>
      <c r="J2528" t="n">
        <v>93.98999786376953</v>
      </c>
      <c r="DF2528" t="n">
        <v>27.86</v>
      </c>
      <c r="DG2528" t="n">
        <v>29.64</v>
      </c>
    </row>
    <row r="2529">
      <c r="A2529" t="n">
        <v>469</v>
      </c>
      <c r="B2529" t="inlineStr">
        <is>
          <t>Cumplimiento Plan Anual Áreas sede Medellín</t>
        </is>
      </c>
      <c r="C2529" t="inlineStr">
        <is>
          <t>Planeación Estratégica</t>
        </is>
      </c>
      <c r="D2529" t="inlineStr">
        <is>
          <t>Semestral</t>
        </is>
      </c>
      <c r="E2529" t="inlineStr">
        <is>
          <t>Positivo</t>
        </is>
      </c>
      <c r="F2529" s="105" t="n">
        <v>45747</v>
      </c>
      <c r="G2529" t="inlineStr">
        <is>
          <t>469-2025-03-31</t>
        </is>
      </c>
      <c r="H2529" t="inlineStr">
        <is>
          <t>FSCC - MARKETING MED</t>
        </is>
      </c>
      <c r="I2529" t="n">
        <v>100</v>
      </c>
      <c r="J2529" t="n">
        <v>30.02000045776367</v>
      </c>
      <c r="DF2529" t="n">
        <v>6.25</v>
      </c>
      <c r="DG2529" t="n">
        <v>20.82</v>
      </c>
    </row>
    <row r="2530">
      <c r="A2530" t="n">
        <v>469</v>
      </c>
      <c r="B2530" t="inlineStr">
        <is>
          <t>Cumplimiento Plan Anual Áreas sede Medellín</t>
        </is>
      </c>
      <c r="C2530" t="inlineStr">
        <is>
          <t>Planeación Estratégica</t>
        </is>
      </c>
      <c r="D2530" t="inlineStr">
        <is>
          <t>Semestral</t>
        </is>
      </c>
      <c r="E2530" t="inlineStr">
        <is>
          <t>Positivo</t>
        </is>
      </c>
      <c r="F2530" s="105" t="n">
        <v>45747</v>
      </c>
      <c r="G2530" t="inlineStr">
        <is>
          <t>469-2025-03-31</t>
        </is>
      </c>
      <c r="H2530" t="inlineStr">
        <is>
          <t>FIDI-DISEÑO-DISEÑO GRAFICO</t>
        </is>
      </c>
      <c r="I2530" t="n">
        <v>100</v>
      </c>
      <c r="J2530" t="n">
        <v>119.120002746582</v>
      </c>
      <c r="DF2530" t="n">
        <v>19.5</v>
      </c>
      <c r="DG2530" t="n">
        <v>16.37</v>
      </c>
    </row>
    <row r="2531">
      <c r="A2531" t="n">
        <v>470</v>
      </c>
      <c r="B2531" t="inlineStr">
        <is>
          <t>Cumplimiento plan anual Secretaria académica y de extensión</t>
        </is>
      </c>
      <c r="C2531" t="inlineStr">
        <is>
          <t>Planeación Estratégica</t>
        </is>
      </c>
      <c r="D2531" t="inlineStr">
        <is>
          <t>Semestral</t>
        </is>
      </c>
      <c r="E2531" t="inlineStr">
        <is>
          <t>Positivo</t>
        </is>
      </c>
      <c r="F2531" s="105" t="n">
        <v>45747</v>
      </c>
      <c r="G2531" t="inlineStr">
        <is>
          <t>470-2025-03-31</t>
        </is>
      </c>
      <c r="H2531" t="inlineStr">
        <is>
          <t>DIRECTOR EDITORIAL</t>
        </is>
      </c>
      <c r="I2531" t="n">
        <v>100</v>
      </c>
      <c r="J2531" t="n">
        <v>355.0899963378906</v>
      </c>
      <c r="DH2531" t="n">
        <v>34.16</v>
      </c>
      <c r="DI2531" t="n">
        <v>9.619999999999999</v>
      </c>
    </row>
    <row r="2532">
      <c r="A2532" t="n">
        <v>470</v>
      </c>
      <c r="B2532" t="inlineStr">
        <is>
          <t>Cumplimiento plan anual Secretaria académica y de extensión</t>
        </is>
      </c>
      <c r="C2532" t="inlineStr">
        <is>
          <t>Planeación Estratégica</t>
        </is>
      </c>
      <c r="D2532" t="inlineStr">
        <is>
          <t>Semestral</t>
        </is>
      </c>
      <c r="E2532" t="inlineStr">
        <is>
          <t>Positivo</t>
        </is>
      </c>
      <c r="F2532" s="105" t="n">
        <v>45747</v>
      </c>
      <c r="G2532" t="inlineStr">
        <is>
          <t>470-2025-03-31</t>
        </is>
      </c>
      <c r="H2532" t="inlineStr">
        <is>
          <t>DIRECTOR CENTRO MEDIOS AUDIOVISUALES</t>
        </is>
      </c>
      <c r="I2532" t="n">
        <v>100</v>
      </c>
      <c r="J2532" t="n">
        <v>107.5599975585938</v>
      </c>
      <c r="DH2532" t="n">
        <v>16.5</v>
      </c>
      <c r="DI2532" t="n">
        <v>15.34</v>
      </c>
    </row>
    <row r="2533">
      <c r="A2533" t="n">
        <v>470</v>
      </c>
      <c r="B2533" t="inlineStr">
        <is>
          <t>Cumplimiento plan anual Secretaria académica y de extensión</t>
        </is>
      </c>
      <c r="C2533" t="inlineStr">
        <is>
          <t>Planeación Estratégica</t>
        </is>
      </c>
      <c r="D2533" t="inlineStr">
        <is>
          <t>Semestral</t>
        </is>
      </c>
      <c r="E2533" t="inlineStr">
        <is>
          <t>Positivo</t>
        </is>
      </c>
      <c r="F2533" s="105" t="n">
        <v>45747</v>
      </c>
      <c r="G2533" t="inlineStr">
        <is>
          <t>470-2025-03-31</t>
        </is>
      </c>
      <c r="H2533" t="inlineStr">
        <is>
          <t>DIRECTOR AGENCIA TROMPO</t>
        </is>
      </c>
      <c r="I2533" t="n">
        <v>100</v>
      </c>
      <c r="J2533" t="n">
        <v>98.16999816894531</v>
      </c>
      <c r="DH2533" t="n">
        <v>15</v>
      </c>
      <c r="DI2533" t="n">
        <v>15.28</v>
      </c>
    </row>
    <row r="2534">
      <c r="A2534" t="n">
        <v>470</v>
      </c>
      <c r="B2534" t="inlineStr">
        <is>
          <t>Cumplimiento plan anual Secretaria académica y de extensión</t>
        </is>
      </c>
      <c r="C2534" t="inlineStr">
        <is>
          <t>Planeación Estratégica</t>
        </is>
      </c>
      <c r="D2534" t="inlineStr">
        <is>
          <t>Semestral</t>
        </is>
      </c>
      <c r="E2534" t="inlineStr">
        <is>
          <t>Positivo</t>
        </is>
      </c>
      <c r="F2534" s="105" t="n">
        <v>45747</v>
      </c>
      <c r="G2534" t="inlineStr">
        <is>
          <t>470-2025-03-31</t>
        </is>
      </c>
      <c r="H2534" t="inlineStr">
        <is>
          <t>DIRECTOR DE GRADUADOS Y PROYECCION EMP.</t>
        </is>
      </c>
      <c r="I2534" t="n">
        <v>100</v>
      </c>
      <c r="J2534" t="n">
        <v>1095.52001953125</v>
      </c>
      <c r="DH2534" t="n">
        <v>85.56</v>
      </c>
      <c r="DI2534" t="n">
        <v>7.81</v>
      </c>
    </row>
    <row r="2535">
      <c r="A2535" t="n">
        <v>470</v>
      </c>
      <c r="B2535" t="inlineStr">
        <is>
          <t>Cumplimiento plan anual Secretaria académica y de extensión</t>
        </is>
      </c>
      <c r="C2535" t="inlineStr">
        <is>
          <t>Planeación Estratégica</t>
        </is>
      </c>
      <c r="D2535" t="inlineStr">
        <is>
          <t>Semestral</t>
        </is>
      </c>
      <c r="E2535" t="inlineStr">
        <is>
          <t>Positivo</t>
        </is>
      </c>
      <c r="F2535" s="105" t="n">
        <v>45747</v>
      </c>
      <c r="G2535" t="inlineStr">
        <is>
          <t>470-2025-03-31</t>
        </is>
      </c>
      <c r="H2535" t="inlineStr">
        <is>
          <t>DIRECTOR SISTEMA NACIONAL DE BIBLIOTECAS</t>
        </is>
      </c>
      <c r="I2535" t="n">
        <v>100</v>
      </c>
      <c r="J2535" t="n">
        <v>107.6900024414062</v>
      </c>
      <c r="DH2535" t="n">
        <v>14</v>
      </c>
      <c r="DI2535" t="n">
        <v>13</v>
      </c>
    </row>
    <row r="2536">
      <c r="A2536" t="n">
        <v>471</v>
      </c>
      <c r="B2536" t="inlineStr">
        <is>
          <t>Cumplimiento plan anual Gerencia de Talento Humano</t>
        </is>
      </c>
      <c r="C2536" t="inlineStr">
        <is>
          <t>Planeación Estratégica</t>
        </is>
      </c>
      <c r="D2536" t="inlineStr">
        <is>
          <t>Semestral</t>
        </is>
      </c>
      <c r="E2536" t="inlineStr">
        <is>
          <t>Positivo</t>
        </is>
      </c>
      <c r="F2536" s="105" t="n">
        <v>45747</v>
      </c>
      <c r="G2536" t="inlineStr">
        <is>
          <t>471-2025-03-31</t>
        </is>
      </c>
      <c r="H2536" t="inlineStr">
        <is>
          <t>DIRECTOR DE BIENESTAR Y RELAC. LABORALES</t>
        </is>
      </c>
      <c r="I2536" t="n">
        <v>100</v>
      </c>
      <c r="J2536" t="n">
        <v>100.4199981689453</v>
      </c>
      <c r="DJ2536" t="n">
        <v>33.12</v>
      </c>
      <c r="DK2536" t="n">
        <v>32.98</v>
      </c>
    </row>
    <row r="2537">
      <c r="A2537" t="n">
        <v>471</v>
      </c>
      <c r="B2537" t="inlineStr">
        <is>
          <t>Cumplimiento plan anual Gerencia de Talento Humano</t>
        </is>
      </c>
      <c r="C2537" t="inlineStr">
        <is>
          <t>Planeación Estratégica</t>
        </is>
      </c>
      <c r="D2537" t="inlineStr">
        <is>
          <t>Semestral</t>
        </is>
      </c>
      <c r="E2537" t="inlineStr">
        <is>
          <t>Positivo</t>
        </is>
      </c>
      <c r="F2537" s="105" t="n">
        <v>45747</v>
      </c>
      <c r="G2537" t="inlineStr">
        <is>
          <t>471-2025-03-31</t>
        </is>
      </c>
      <c r="H2537" t="inlineStr">
        <is>
          <t>DIRECTOR DE FORMACION Y DESARROLLO</t>
        </is>
      </c>
      <c r="I2537" t="n">
        <v>100</v>
      </c>
      <c r="J2537" t="n">
        <v>73.41000366210938</v>
      </c>
      <c r="DJ2537" t="n">
        <v>22.25</v>
      </c>
      <c r="DK2537" t="n">
        <v>30.31</v>
      </c>
    </row>
    <row r="2538">
      <c r="A2538" t="n">
        <v>471</v>
      </c>
      <c r="B2538" t="inlineStr">
        <is>
          <t>Cumplimiento plan anual Gerencia de Talento Humano</t>
        </is>
      </c>
      <c r="C2538" t="inlineStr">
        <is>
          <t>Planeación Estratégica</t>
        </is>
      </c>
      <c r="D2538" t="inlineStr">
        <is>
          <t>Semestral</t>
        </is>
      </c>
      <c r="E2538" t="inlineStr">
        <is>
          <t>Positivo</t>
        </is>
      </c>
      <c r="F2538" s="105" t="n">
        <v>45747</v>
      </c>
      <c r="G2538" t="inlineStr">
        <is>
          <t>471-2025-03-31</t>
        </is>
      </c>
      <c r="H2538" t="inlineStr">
        <is>
          <t>DIRECTOR DE RELACIONES PUBLICAS Y PROTOC</t>
        </is>
      </c>
      <c r="I2538" t="n">
        <v>100</v>
      </c>
      <c r="J2538" t="n">
        <v>86.16000366210938</v>
      </c>
      <c r="DJ2538" t="n">
        <v>33.75</v>
      </c>
      <c r="DK2538" t="n">
        <v>39.17</v>
      </c>
    </row>
    <row r="2539">
      <c r="A2539" t="n">
        <v>471</v>
      </c>
      <c r="B2539" t="inlineStr">
        <is>
          <t>Cumplimiento plan anual Gerencia de Talento Humano</t>
        </is>
      </c>
      <c r="C2539" t="inlineStr">
        <is>
          <t>Planeación Estratégica</t>
        </is>
      </c>
      <c r="D2539" t="inlineStr">
        <is>
          <t>Semestral</t>
        </is>
      </c>
      <c r="E2539" t="inlineStr">
        <is>
          <t>Positivo</t>
        </is>
      </c>
      <c r="F2539" s="105" t="n">
        <v>45747</v>
      </c>
      <c r="G2539" t="inlineStr">
        <is>
          <t>471-2025-03-31</t>
        </is>
      </c>
      <c r="H2539" t="inlineStr">
        <is>
          <t>DIRECTOR DE COMUNICACIONES</t>
        </is>
      </c>
      <c r="I2539" t="n">
        <v>100</v>
      </c>
      <c r="J2539" t="n">
        <v>57.59000015258789</v>
      </c>
      <c r="DJ2539" t="n">
        <v>21.25</v>
      </c>
      <c r="DK2539" t="n">
        <v>36.9</v>
      </c>
    </row>
    <row r="2540">
      <c r="A2540" t="n">
        <v>471</v>
      </c>
      <c r="B2540" t="inlineStr">
        <is>
          <t>Cumplimiento plan anual Gerencia de Talento Humano</t>
        </is>
      </c>
      <c r="C2540" t="inlineStr">
        <is>
          <t>Planeación Estratégica</t>
        </is>
      </c>
      <c r="D2540" t="inlineStr">
        <is>
          <t>Semestral</t>
        </is>
      </c>
      <c r="E2540" t="inlineStr">
        <is>
          <t>Positivo</t>
        </is>
      </c>
      <c r="F2540" s="105" t="n">
        <v>45747</v>
      </c>
      <c r="G2540" t="inlineStr">
        <is>
          <t>471-2025-03-31</t>
        </is>
      </c>
      <c r="H2540" t="inlineStr">
        <is>
          <t>DIRECTOR DE ADMON LABORAL Y COMPENSACION</t>
        </is>
      </c>
      <c r="I2540" t="n">
        <v>100</v>
      </c>
      <c r="J2540" t="n">
        <v>103.5100021362305</v>
      </c>
      <c r="DJ2540" t="n">
        <v>24.17</v>
      </c>
      <c r="DK2540" t="n">
        <v>23.35</v>
      </c>
    </row>
    <row r="2541">
      <c r="A2541" t="n">
        <v>471</v>
      </c>
      <c r="B2541" t="inlineStr">
        <is>
          <t>Cumplimiento plan anual Gerencia de Talento Humano</t>
        </is>
      </c>
      <c r="C2541" t="inlineStr">
        <is>
          <t>Planeación Estratégica</t>
        </is>
      </c>
      <c r="D2541" t="inlineStr">
        <is>
          <t>Semestral</t>
        </is>
      </c>
      <c r="E2541" t="inlineStr">
        <is>
          <t>Positivo</t>
        </is>
      </c>
      <c r="F2541" s="105" t="n">
        <v>45747</v>
      </c>
      <c r="G2541" t="inlineStr">
        <is>
          <t>471-2025-03-31</t>
        </is>
      </c>
      <c r="H2541" t="inlineStr">
        <is>
          <t>DIRECTOR DE GESTION DE TALENTO</t>
        </is>
      </c>
      <c r="I2541" t="n">
        <v>100</v>
      </c>
      <c r="J2541" t="n">
        <v>116.9000015258789</v>
      </c>
      <c r="DJ2541" t="n">
        <v>51.11</v>
      </c>
      <c r="DK2541" t="n">
        <v>43.72</v>
      </c>
    </row>
    <row r="2542">
      <c r="A2542" t="n">
        <v>471</v>
      </c>
      <c r="B2542" t="inlineStr">
        <is>
          <t>Cumplimiento plan anual Gerencia de Talento Humano</t>
        </is>
      </c>
      <c r="C2542" t="inlineStr">
        <is>
          <t>Planeación Estratégica</t>
        </is>
      </c>
      <c r="D2542" t="inlineStr">
        <is>
          <t>Semestral</t>
        </is>
      </c>
      <c r="E2542" t="inlineStr">
        <is>
          <t>Positivo</t>
        </is>
      </c>
      <c r="F2542" s="105" t="n">
        <v>45747</v>
      </c>
      <c r="G2542" t="inlineStr">
        <is>
          <t>471-2025-03-31</t>
        </is>
      </c>
      <c r="H2542" t="inlineStr">
        <is>
          <t>DIRECTOR DE COMUN. EXTERNAS SED MEDELLIN</t>
        </is>
      </c>
      <c r="I2542" t="n">
        <v>100</v>
      </c>
      <c r="J2542" t="n">
        <v>186.5700073242188</v>
      </c>
      <c r="DJ2542" t="n">
        <v>50</v>
      </c>
      <c r="DK2542" t="n">
        <v>26.8</v>
      </c>
    </row>
    <row r="2543">
      <c r="A2543" t="n">
        <v>510</v>
      </c>
      <c r="B2543" t="inlineStr">
        <is>
          <t>Frecuencia de incidentes de riesgos</t>
        </is>
      </c>
      <c r="C2543" t="inlineStr">
        <is>
          <t>GESTIÓN DE RIESGOS</t>
        </is>
      </c>
      <c r="D2543" t="inlineStr">
        <is>
          <t>Semestral</t>
        </is>
      </c>
      <c r="E2543" t="inlineStr">
        <is>
          <t>Positivo</t>
        </is>
      </c>
      <c r="F2543" s="105" t="n">
        <v>45747</v>
      </c>
      <c r="G2543" t="inlineStr">
        <is>
          <t>510-2025-03-31</t>
        </is>
      </c>
      <c r="H2543" t="inlineStr">
        <is>
          <t>Revisión y asesorías</t>
        </is>
      </c>
      <c r="EL2543" t="n">
        <v>0</v>
      </c>
      <c r="EM2543" t="n">
        <v>128</v>
      </c>
    </row>
    <row r="2544">
      <c r="A2544" t="n">
        <v>511</v>
      </c>
      <c r="B2544" t="inlineStr">
        <is>
          <t>Eficacia de controles</t>
        </is>
      </c>
      <c r="C2544" t="inlineStr">
        <is>
          <t>GESTIÓN DE RIESGOS</t>
        </is>
      </c>
      <c r="D2544" t="inlineStr">
        <is>
          <t>Semestral</t>
        </is>
      </c>
      <c r="E2544" t="inlineStr">
        <is>
          <t>Positivo</t>
        </is>
      </c>
      <c r="F2544" s="105" t="n">
        <v>45747</v>
      </c>
      <c r="G2544" t="inlineStr">
        <is>
          <t>511-2025-03-31</t>
        </is>
      </c>
      <c r="H2544" t="inlineStr">
        <is>
          <t>Estratégicos</t>
        </is>
      </c>
      <c r="J2544" t="n">
        <v>80.84999847412109</v>
      </c>
      <c r="EN2544" t="n">
        <v>0</v>
      </c>
      <c r="EO2544" t="n">
        <v>0</v>
      </c>
    </row>
    <row r="2545">
      <c r="A2545" t="n">
        <v>511</v>
      </c>
      <c r="B2545" t="inlineStr">
        <is>
          <t>Eficacia de controles</t>
        </is>
      </c>
      <c r="C2545" t="inlineStr">
        <is>
          <t>GESTIÓN DE RIESGOS</t>
        </is>
      </c>
      <c r="D2545" t="inlineStr">
        <is>
          <t>Semestral</t>
        </is>
      </c>
      <c r="E2545" t="inlineStr">
        <is>
          <t>Positivo</t>
        </is>
      </c>
      <c r="F2545" s="105" t="n">
        <v>45747</v>
      </c>
      <c r="G2545" t="inlineStr">
        <is>
          <t>511-2025-03-31</t>
        </is>
      </c>
      <c r="H2545" t="inlineStr">
        <is>
          <t>Proyectos</t>
        </is>
      </c>
      <c r="J2545" t="n">
        <v>100</v>
      </c>
      <c r="EN2545" t="n">
        <v>0</v>
      </c>
      <c r="EO2545" t="n">
        <v>0</v>
      </c>
    </row>
    <row r="2546">
      <c r="A2546" t="n">
        <v>511</v>
      </c>
      <c r="B2546" t="inlineStr">
        <is>
          <t>Eficacia de controles</t>
        </is>
      </c>
      <c r="C2546" t="inlineStr">
        <is>
          <t>GESTIÓN DE RIESGOS</t>
        </is>
      </c>
      <c r="D2546" t="inlineStr">
        <is>
          <t>Semestral</t>
        </is>
      </c>
      <c r="E2546" t="inlineStr">
        <is>
          <t>Positivo</t>
        </is>
      </c>
      <c r="F2546" s="105" t="n">
        <v>45747</v>
      </c>
      <c r="G2546" t="inlineStr">
        <is>
          <t>511-2025-03-31</t>
        </is>
      </c>
      <c r="H2546" t="inlineStr">
        <is>
          <t>Financieros</t>
        </is>
      </c>
      <c r="J2546" t="n">
        <v>100</v>
      </c>
      <c r="EN2546" t="n">
        <v>0</v>
      </c>
      <c r="EO2546" t="n">
        <v>0</v>
      </c>
    </row>
    <row r="2547">
      <c r="A2547" t="n">
        <v>511</v>
      </c>
      <c r="B2547" t="inlineStr">
        <is>
          <t>Eficacia de controles</t>
        </is>
      </c>
      <c r="C2547" t="inlineStr">
        <is>
          <t>GESTIÓN DE RIESGOS</t>
        </is>
      </c>
      <c r="D2547" t="inlineStr">
        <is>
          <t>Semestral</t>
        </is>
      </c>
      <c r="E2547" t="inlineStr">
        <is>
          <t>Positivo</t>
        </is>
      </c>
      <c r="F2547" s="105" t="n">
        <v>45747</v>
      </c>
      <c r="G2547" t="inlineStr">
        <is>
          <t>511-2025-03-31</t>
        </is>
      </c>
      <c r="H2547" t="inlineStr">
        <is>
          <t>Legal/ Cumplimiento</t>
        </is>
      </c>
      <c r="J2547" t="n">
        <v>92.86000061035156</v>
      </c>
      <c r="EN2547" t="n">
        <v>0</v>
      </c>
      <c r="EO2547" t="n">
        <v>0</v>
      </c>
    </row>
    <row r="2548">
      <c r="A2548" t="n">
        <v>511</v>
      </c>
      <c r="B2548" t="inlineStr">
        <is>
          <t>Eficacia de controles</t>
        </is>
      </c>
      <c r="C2548" t="inlineStr">
        <is>
          <t>GESTIÓN DE RIESGOS</t>
        </is>
      </c>
      <c r="D2548" t="inlineStr">
        <is>
          <t>Semestral</t>
        </is>
      </c>
      <c r="E2548" t="inlineStr">
        <is>
          <t>Positivo</t>
        </is>
      </c>
      <c r="F2548" s="105" t="n">
        <v>45747</v>
      </c>
      <c r="G2548" t="inlineStr">
        <is>
          <t>511-2025-03-31</t>
        </is>
      </c>
      <c r="H2548" t="inlineStr">
        <is>
          <t>Tecnológico</t>
        </is>
      </c>
      <c r="J2548" t="n">
        <v>0</v>
      </c>
      <c r="EN2548" t="n">
        <v>0</v>
      </c>
      <c r="EO2548" t="n">
        <v>0</v>
      </c>
    </row>
    <row r="2549">
      <c r="A2549" t="n">
        <v>511</v>
      </c>
      <c r="B2549" t="inlineStr">
        <is>
          <t>Eficacia de controles</t>
        </is>
      </c>
      <c r="C2549" t="inlineStr">
        <is>
          <t>GESTIÓN DE RIESGOS</t>
        </is>
      </c>
      <c r="D2549" t="inlineStr">
        <is>
          <t>Semestral</t>
        </is>
      </c>
      <c r="E2549" t="inlineStr">
        <is>
          <t>Positivo</t>
        </is>
      </c>
      <c r="F2549" s="105" t="n">
        <v>45747</v>
      </c>
      <c r="G2549" t="inlineStr">
        <is>
          <t>511-2025-03-31</t>
        </is>
      </c>
      <c r="H2549" t="inlineStr">
        <is>
          <t>Operativos</t>
        </is>
      </c>
      <c r="J2549" t="n">
        <v>0</v>
      </c>
      <c r="EN2549" t="n">
        <v>0</v>
      </c>
      <c r="EO2549" t="n">
        <v>0</v>
      </c>
    </row>
    <row r="2550">
      <c r="A2550" t="n">
        <v>511</v>
      </c>
      <c r="B2550" t="inlineStr">
        <is>
          <t>Eficacia de controles</t>
        </is>
      </c>
      <c r="C2550" t="inlineStr">
        <is>
          <t>GESTIÓN DE RIESGOS</t>
        </is>
      </c>
      <c r="D2550" t="inlineStr">
        <is>
          <t>Semestral</t>
        </is>
      </c>
      <c r="E2550" t="inlineStr">
        <is>
          <t>Positivo</t>
        </is>
      </c>
      <c r="F2550" s="105" t="n">
        <v>45747</v>
      </c>
      <c r="G2550" t="inlineStr">
        <is>
          <t>511-2025-03-31</t>
        </is>
      </c>
      <c r="H2550" t="inlineStr">
        <is>
          <t>Reputacionales</t>
        </is>
      </c>
      <c r="J2550" t="n">
        <v>0</v>
      </c>
      <c r="EN2550" t="n">
        <v>0</v>
      </c>
      <c r="EO2550" t="n">
        <v>0</v>
      </c>
    </row>
    <row r="2551">
      <c r="A2551" t="n">
        <v>208</v>
      </c>
      <c r="B2551" t="inlineStr">
        <is>
          <t>Consumo de Agua m3 Mensual</t>
        </is>
      </c>
      <c r="C2551" t="inlineStr">
        <is>
          <t>GESTIÓN AMBIENTAL</t>
        </is>
      </c>
      <c r="D2551" t="inlineStr">
        <is>
          <t>Mensual</t>
        </is>
      </c>
      <c r="E2551" t="inlineStr">
        <is>
          <t>Negativo</t>
        </is>
      </c>
      <c r="F2551" s="105" t="n">
        <v>45777</v>
      </c>
      <c r="G2551" t="inlineStr">
        <is>
          <t>208-2025-04-30</t>
        </is>
      </c>
      <c r="H2551" t="inlineStr">
        <is>
          <t>Campus Bogotá</t>
        </is>
      </c>
      <c r="I2551" t="n">
        <v>950</v>
      </c>
      <c r="J2551" t="n">
        <v>653</v>
      </c>
      <c r="K2551" t="n">
        <v>653</v>
      </c>
    </row>
    <row r="2552">
      <c r="A2552" t="n">
        <v>208</v>
      </c>
      <c r="B2552" t="inlineStr">
        <is>
          <t>Consumo de Agua m3 Mensual</t>
        </is>
      </c>
      <c r="C2552" t="inlineStr">
        <is>
          <t>GESTIÓN AMBIENTAL</t>
        </is>
      </c>
      <c r="D2552" t="inlineStr">
        <is>
          <t>Mensual</t>
        </is>
      </c>
      <c r="E2552" t="inlineStr">
        <is>
          <t>Negativo</t>
        </is>
      </c>
      <c r="F2552" s="105" t="n">
        <v>45777</v>
      </c>
      <c r="G2552" t="inlineStr">
        <is>
          <t>208-2025-04-30</t>
        </is>
      </c>
      <c r="H2552" t="inlineStr">
        <is>
          <t>City Campus</t>
        </is>
      </c>
      <c r="I2552" t="n">
        <v>350</v>
      </c>
      <c r="J2552" t="n">
        <v>371</v>
      </c>
      <c r="K2552" t="n">
        <v>371</v>
      </c>
    </row>
    <row r="2553">
      <c r="A2553" t="n">
        <v>208</v>
      </c>
      <c r="B2553" t="inlineStr">
        <is>
          <t>Consumo de Agua m3 Mensual</t>
        </is>
      </c>
      <c r="C2553" t="inlineStr">
        <is>
          <t>GESTIÓN AMBIENTAL</t>
        </is>
      </c>
      <c r="D2553" t="inlineStr">
        <is>
          <t>Mensual</t>
        </is>
      </c>
      <c r="E2553" t="inlineStr">
        <is>
          <t>Negativo</t>
        </is>
      </c>
      <c r="F2553" s="105" t="n">
        <v>45777</v>
      </c>
      <c r="G2553" t="inlineStr">
        <is>
          <t>208-2025-04-30</t>
        </is>
      </c>
      <c r="H2553" t="inlineStr">
        <is>
          <t>Sede Posgrado-Calle 85</t>
        </is>
      </c>
      <c r="I2553" t="n">
        <v>25</v>
      </c>
      <c r="J2553" t="n">
        <v>20</v>
      </c>
      <c r="K2553" t="n">
        <v>20</v>
      </c>
    </row>
    <row r="2554">
      <c r="A2554" t="n">
        <v>208</v>
      </c>
      <c r="B2554" t="inlineStr">
        <is>
          <t>Consumo de Agua m3 Mensual</t>
        </is>
      </c>
      <c r="C2554" t="inlineStr">
        <is>
          <t>GESTIÓN AMBIENTAL</t>
        </is>
      </c>
      <c r="D2554" t="inlineStr">
        <is>
          <t>Mensual</t>
        </is>
      </c>
      <c r="E2554" t="inlineStr">
        <is>
          <t>Negativo</t>
        </is>
      </c>
      <c r="F2554" s="105" t="n">
        <v>45777</v>
      </c>
      <c r="G2554" t="inlineStr">
        <is>
          <t>208-2025-04-30</t>
        </is>
      </c>
      <c r="H2554" t="inlineStr">
        <is>
          <t>Campus-Medellín</t>
        </is>
      </c>
      <c r="I2554" t="n">
        <v>200</v>
      </c>
      <c r="J2554" t="n">
        <v>211</v>
      </c>
      <c r="K2554" t="n">
        <v>211</v>
      </c>
    </row>
    <row r="2555">
      <c r="A2555" t="n">
        <v>208</v>
      </c>
      <c r="B2555" t="inlineStr">
        <is>
          <t>Consumo de Agua m3 Mensual</t>
        </is>
      </c>
      <c r="C2555" t="inlineStr">
        <is>
          <t>GESTIÓN AMBIENTAL</t>
        </is>
      </c>
      <c r="D2555" t="inlineStr">
        <is>
          <t>Mensual</t>
        </is>
      </c>
      <c r="E2555" t="inlineStr">
        <is>
          <t>Negativo</t>
        </is>
      </c>
      <c r="F2555" s="105" t="n">
        <v>45777</v>
      </c>
      <c r="G2555" t="inlineStr">
        <is>
          <t>208-2025-04-30</t>
        </is>
      </c>
      <c r="H2555" t="inlineStr">
        <is>
          <t>Sede Bienestar - Medellín</t>
        </is>
      </c>
      <c r="I2555" t="n">
        <v>0</v>
      </c>
      <c r="J2555" t="n">
        <v>0</v>
      </c>
      <c r="K2555" t="n">
        <v>0</v>
      </c>
    </row>
    <row r="2556">
      <c r="A2556" t="n">
        <v>208</v>
      </c>
      <c r="B2556" t="inlineStr">
        <is>
          <t>Consumo de Agua m3 Mensual</t>
        </is>
      </c>
      <c r="C2556" t="inlineStr">
        <is>
          <t>GESTIÓN AMBIENTAL</t>
        </is>
      </c>
      <c r="D2556" t="inlineStr">
        <is>
          <t>Mensual</t>
        </is>
      </c>
      <c r="E2556" t="inlineStr">
        <is>
          <t>Negativo</t>
        </is>
      </c>
      <c r="F2556" s="105" t="n">
        <v>45777</v>
      </c>
      <c r="G2556" t="inlineStr">
        <is>
          <t>208-2025-04-30</t>
        </is>
      </c>
      <c r="H2556" t="inlineStr">
        <is>
          <t>Consultorio Psicología - Medellin</t>
        </is>
      </c>
      <c r="I2556" t="n">
        <v>25</v>
      </c>
      <c r="J2556" t="n">
        <v>16</v>
      </c>
      <c r="K2556" t="n">
        <v>16</v>
      </c>
    </row>
    <row r="2557">
      <c r="A2557" t="n">
        <v>214</v>
      </c>
      <c r="B2557" t="inlineStr">
        <is>
          <t>Generación de Residuos Sólidos Mensual</t>
        </is>
      </c>
      <c r="C2557" t="inlineStr">
        <is>
          <t>GESTIÓN AMBIENTAL</t>
        </is>
      </c>
      <c r="D2557" t="inlineStr">
        <is>
          <t>Mensual</t>
        </is>
      </c>
      <c r="E2557" t="inlineStr">
        <is>
          <t>Negativo</t>
        </is>
      </c>
      <c r="F2557" s="105" t="n">
        <v>45777</v>
      </c>
      <c r="G2557" t="inlineStr">
        <is>
          <t>214-2025-04-30</t>
        </is>
      </c>
      <c r="H2557" t="inlineStr">
        <is>
          <t>City Campus</t>
        </is>
      </c>
      <c r="I2557" t="n">
        <v>1000</v>
      </c>
      <c r="J2557" t="n">
        <v>998.4299926757812</v>
      </c>
      <c r="L2557" t="n">
        <v>176.66</v>
      </c>
      <c r="M2557" t="n">
        <v>821.77</v>
      </c>
    </row>
    <row r="2558">
      <c r="A2558" t="n">
        <v>214</v>
      </c>
      <c r="B2558" t="inlineStr">
        <is>
          <t>Generación de Residuos Sólidos Mensual</t>
        </is>
      </c>
      <c r="C2558" t="inlineStr">
        <is>
          <t>GESTIÓN AMBIENTAL</t>
        </is>
      </c>
      <c r="D2558" t="inlineStr">
        <is>
          <t>Mensual</t>
        </is>
      </c>
      <c r="E2558" t="inlineStr">
        <is>
          <t>Negativo</t>
        </is>
      </c>
      <c r="F2558" s="105" t="n">
        <v>45777</v>
      </c>
      <c r="G2558" t="inlineStr">
        <is>
          <t>214-2025-04-30</t>
        </is>
      </c>
      <c r="H2558" t="inlineStr">
        <is>
          <t>Sede Posgrado-Calle 85</t>
        </is>
      </c>
      <c r="I2558" t="n">
        <v>7500</v>
      </c>
      <c r="J2558" t="n">
        <v>110.9800033569336</v>
      </c>
      <c r="L2558" t="n">
        <v>47.69</v>
      </c>
      <c r="M2558" t="n">
        <v>63.29</v>
      </c>
    </row>
    <row r="2559">
      <c r="A2559" t="n">
        <v>214</v>
      </c>
      <c r="B2559" t="inlineStr">
        <is>
          <t>Generación de Residuos Sólidos Mensual</t>
        </is>
      </c>
      <c r="C2559" t="inlineStr">
        <is>
          <t>GESTIÓN AMBIENTAL</t>
        </is>
      </c>
      <c r="D2559" t="inlineStr">
        <is>
          <t>Mensual</t>
        </is>
      </c>
      <c r="E2559" t="inlineStr">
        <is>
          <t>Negativo</t>
        </is>
      </c>
      <c r="F2559" s="105" t="n">
        <v>45777</v>
      </c>
      <c r="G2559" t="inlineStr">
        <is>
          <t>214-2025-04-30</t>
        </is>
      </c>
      <c r="H2559" t="inlineStr">
        <is>
          <t>Campus-Medellín</t>
        </is>
      </c>
      <c r="I2559" t="n">
        <v>1000</v>
      </c>
      <c r="J2559" t="n">
        <v>649.5</v>
      </c>
      <c r="L2559" t="n">
        <v>50.4</v>
      </c>
      <c r="M2559" t="n">
        <v>599.1</v>
      </c>
    </row>
    <row r="2560">
      <c r="A2560" t="n">
        <v>214</v>
      </c>
      <c r="B2560" t="inlineStr">
        <is>
          <t>Generación de Residuos Sólidos Mensual</t>
        </is>
      </c>
      <c r="C2560" t="inlineStr">
        <is>
          <t>GESTIÓN AMBIENTAL</t>
        </is>
      </c>
      <c r="D2560" t="inlineStr">
        <is>
          <t>Mensual</t>
        </is>
      </c>
      <c r="E2560" t="inlineStr">
        <is>
          <t>Negativo</t>
        </is>
      </c>
      <c r="F2560" s="105" t="n">
        <v>45777</v>
      </c>
      <c r="G2560" t="inlineStr">
        <is>
          <t>214-2025-04-30</t>
        </is>
      </c>
      <c r="H2560" t="inlineStr">
        <is>
          <t>Sede Bienestar - Medellín</t>
        </is>
      </c>
      <c r="I2560" t="n">
        <v>1</v>
      </c>
      <c r="J2560" t="n">
        <v>0</v>
      </c>
      <c r="L2560" t="n">
        <v>0</v>
      </c>
      <c r="M2560" t="n">
        <v>0</v>
      </c>
    </row>
    <row r="2561">
      <c r="A2561" t="n">
        <v>214</v>
      </c>
      <c r="B2561" t="inlineStr">
        <is>
          <t>Generación de Residuos Sólidos Mensual</t>
        </is>
      </c>
      <c r="C2561" t="inlineStr">
        <is>
          <t>GESTIÓN AMBIENTAL</t>
        </is>
      </c>
      <c r="D2561" t="inlineStr">
        <is>
          <t>Mensual</t>
        </is>
      </c>
      <c r="E2561" t="inlineStr">
        <is>
          <t>Negativo</t>
        </is>
      </c>
      <c r="F2561" s="105" t="n">
        <v>45777</v>
      </c>
      <c r="G2561" t="inlineStr">
        <is>
          <t>214-2025-04-30</t>
        </is>
      </c>
      <c r="H2561" t="inlineStr">
        <is>
          <t>Consultorio Psicología - Medellin</t>
        </is>
      </c>
      <c r="I2561" t="n">
        <v>1</v>
      </c>
      <c r="J2561" t="n">
        <v>36.93999862670898</v>
      </c>
      <c r="L2561" t="n">
        <v>14.8</v>
      </c>
      <c r="M2561" t="n">
        <v>22.14</v>
      </c>
    </row>
    <row r="2562">
      <c r="A2562" t="n">
        <v>214</v>
      </c>
      <c r="B2562" t="inlineStr">
        <is>
          <t>Generación de Residuos Sólidos Mensual</t>
        </is>
      </c>
      <c r="C2562" t="inlineStr">
        <is>
          <t>GESTIÓN AMBIENTAL</t>
        </is>
      </c>
      <c r="D2562" t="inlineStr">
        <is>
          <t>Mensual</t>
        </is>
      </c>
      <c r="E2562" t="inlineStr">
        <is>
          <t>Negativo</t>
        </is>
      </c>
      <c r="F2562" s="105" t="n">
        <v>45777</v>
      </c>
      <c r="G2562" t="inlineStr">
        <is>
          <t>214-2025-04-30</t>
        </is>
      </c>
      <c r="H2562" t="inlineStr">
        <is>
          <t>Campus Bogotá</t>
        </is>
      </c>
      <c r="I2562" t="n">
        <v>5500</v>
      </c>
      <c r="J2562" t="n">
        <v>3516.7900390625</v>
      </c>
      <c r="L2562" t="n">
        <v>1017.34</v>
      </c>
      <c r="M2562" t="n">
        <v>2499.45</v>
      </c>
    </row>
    <row r="2563">
      <c r="A2563" t="n">
        <v>217</v>
      </c>
      <c r="B2563" t="inlineStr">
        <is>
          <t>Aprovechamiento de Residuos</t>
        </is>
      </c>
      <c r="C2563" t="inlineStr">
        <is>
          <t>GESTIÓN AMBIENTAL</t>
        </is>
      </c>
      <c r="D2563" t="inlineStr">
        <is>
          <t>Mensual</t>
        </is>
      </c>
      <c r="E2563" t="inlineStr">
        <is>
          <t>Positivo</t>
        </is>
      </c>
      <c r="F2563" s="105" t="n">
        <v>45777</v>
      </c>
      <c r="G2563" t="inlineStr">
        <is>
          <t>217-2025-04-30</t>
        </is>
      </c>
      <c r="H2563" t="inlineStr">
        <is>
          <t>City Campus</t>
        </is>
      </c>
      <c r="I2563" t="n">
        <v>20</v>
      </c>
      <c r="J2563" t="n">
        <v>17.69000053405762</v>
      </c>
      <c r="L2563" t="n">
        <v>176.66</v>
      </c>
      <c r="M2563" t="n">
        <v>821.77</v>
      </c>
      <c r="AS2563" t="n">
        <v>176.66</v>
      </c>
    </row>
    <row r="2564">
      <c r="A2564" t="n">
        <v>217</v>
      </c>
      <c r="B2564" t="inlineStr">
        <is>
          <t>Aprovechamiento de Residuos</t>
        </is>
      </c>
      <c r="C2564" t="inlineStr">
        <is>
          <t>GESTIÓN AMBIENTAL</t>
        </is>
      </c>
      <c r="D2564" t="inlineStr">
        <is>
          <t>Mensual</t>
        </is>
      </c>
      <c r="E2564" t="inlineStr">
        <is>
          <t>Positivo</t>
        </is>
      </c>
      <c r="F2564" s="105" t="n">
        <v>45777</v>
      </c>
      <c r="G2564" t="inlineStr">
        <is>
          <t>217-2025-04-30</t>
        </is>
      </c>
      <c r="H2564" t="inlineStr">
        <is>
          <t>Sede Posgrado-Calle 85</t>
        </is>
      </c>
      <c r="I2564" t="n">
        <v>20</v>
      </c>
      <c r="J2564" t="n">
        <v>42.97000122070312</v>
      </c>
      <c r="L2564" t="n">
        <v>47.69</v>
      </c>
      <c r="M2564" t="n">
        <v>63.29</v>
      </c>
      <c r="AS2564" t="n">
        <v>47.69</v>
      </c>
    </row>
    <row r="2565">
      <c r="A2565" t="n">
        <v>217</v>
      </c>
      <c r="B2565" t="inlineStr">
        <is>
          <t>Aprovechamiento de Residuos</t>
        </is>
      </c>
      <c r="C2565" t="inlineStr">
        <is>
          <t>GESTIÓN AMBIENTAL</t>
        </is>
      </c>
      <c r="D2565" t="inlineStr">
        <is>
          <t>Mensual</t>
        </is>
      </c>
      <c r="E2565" t="inlineStr">
        <is>
          <t>Positivo</t>
        </is>
      </c>
      <c r="F2565" s="105" t="n">
        <v>45777</v>
      </c>
      <c r="G2565" t="inlineStr">
        <is>
          <t>217-2025-04-30</t>
        </is>
      </c>
      <c r="H2565" t="inlineStr">
        <is>
          <t>Campus-Medellín</t>
        </is>
      </c>
      <c r="I2565" t="n">
        <v>20</v>
      </c>
      <c r="J2565" t="n">
        <v>7.760000228881836</v>
      </c>
      <c r="L2565" t="n">
        <v>50.4</v>
      </c>
      <c r="M2565" t="n">
        <v>599.1</v>
      </c>
      <c r="AS2565" t="n">
        <v>50.4</v>
      </c>
    </row>
    <row r="2566">
      <c r="A2566" t="n">
        <v>217</v>
      </c>
      <c r="B2566" t="inlineStr">
        <is>
          <t>Aprovechamiento de Residuos</t>
        </is>
      </c>
      <c r="C2566" t="inlineStr">
        <is>
          <t>GESTIÓN AMBIENTAL</t>
        </is>
      </c>
      <c r="D2566" t="inlineStr">
        <is>
          <t>Mensual</t>
        </is>
      </c>
      <c r="E2566" t="inlineStr">
        <is>
          <t>Positivo</t>
        </is>
      </c>
      <c r="F2566" s="105" t="n">
        <v>45777</v>
      </c>
      <c r="G2566" t="inlineStr">
        <is>
          <t>217-2025-04-30</t>
        </is>
      </c>
      <c r="H2566" t="inlineStr">
        <is>
          <t>Sede Bienestar - Medellín</t>
        </is>
      </c>
      <c r="I2566" t="n">
        <v>20</v>
      </c>
      <c r="J2566" t="n">
        <v>0</v>
      </c>
      <c r="L2566" t="n">
        <v>0</v>
      </c>
      <c r="M2566" t="n">
        <v>0</v>
      </c>
      <c r="AS2566" t="n">
        <v>0</v>
      </c>
    </row>
    <row r="2567">
      <c r="A2567" t="n">
        <v>217</v>
      </c>
      <c r="B2567" t="inlineStr">
        <is>
          <t>Aprovechamiento de Residuos</t>
        </is>
      </c>
      <c r="C2567" t="inlineStr">
        <is>
          <t>GESTIÓN AMBIENTAL</t>
        </is>
      </c>
      <c r="D2567" t="inlineStr">
        <is>
          <t>Mensual</t>
        </is>
      </c>
      <c r="E2567" t="inlineStr">
        <is>
          <t>Positivo</t>
        </is>
      </c>
      <c r="F2567" s="105" t="n">
        <v>45777</v>
      </c>
      <c r="G2567" t="inlineStr">
        <is>
          <t>217-2025-04-30</t>
        </is>
      </c>
      <c r="H2567" t="inlineStr">
        <is>
          <t>Consultorio Psicología - Medellin</t>
        </is>
      </c>
      <c r="I2567" t="n">
        <v>20</v>
      </c>
      <c r="J2567" t="n">
        <v>40.06000137329102</v>
      </c>
      <c r="L2567" t="n">
        <v>14.8</v>
      </c>
      <c r="M2567" t="n">
        <v>22.14</v>
      </c>
      <c r="AS2567" t="n">
        <v>14.8</v>
      </c>
    </row>
    <row r="2568">
      <c r="A2568" t="n">
        <v>217</v>
      </c>
      <c r="B2568" t="inlineStr">
        <is>
          <t>Aprovechamiento de Residuos</t>
        </is>
      </c>
      <c r="C2568" t="inlineStr">
        <is>
          <t>GESTIÓN AMBIENTAL</t>
        </is>
      </c>
      <c r="D2568" t="inlineStr">
        <is>
          <t>Mensual</t>
        </is>
      </c>
      <c r="E2568" t="inlineStr">
        <is>
          <t>Positivo</t>
        </is>
      </c>
      <c r="F2568" s="105" t="n">
        <v>45777</v>
      </c>
      <c r="G2568" t="inlineStr">
        <is>
          <t>217-2025-04-30</t>
        </is>
      </c>
      <c r="H2568" t="inlineStr">
        <is>
          <t>Campus Bogotá</t>
        </is>
      </c>
      <c r="I2568" t="n">
        <v>20</v>
      </c>
      <c r="J2568" t="n">
        <v>60.27000045776367</v>
      </c>
      <c r="L2568" t="n">
        <v>1017.34</v>
      </c>
      <c r="M2568" t="n">
        <v>2499.45</v>
      </c>
      <c r="AS2568" t="n">
        <v>2119.58</v>
      </c>
    </row>
    <row r="2569">
      <c r="A2569" t="n">
        <v>218</v>
      </c>
      <c r="B2569" t="inlineStr">
        <is>
          <t>Consumo de Energía Eléctrica kWh Mensual</t>
        </is>
      </c>
      <c r="C2569" t="inlineStr">
        <is>
          <t>GESTIÓN AMBIENTAL</t>
        </is>
      </c>
      <c r="D2569" t="inlineStr">
        <is>
          <t>Mensual</t>
        </is>
      </c>
      <c r="E2569" t="inlineStr">
        <is>
          <t>Negativo</t>
        </is>
      </c>
      <c r="F2569" s="105" t="n">
        <v>45777</v>
      </c>
      <c r="G2569" t="inlineStr">
        <is>
          <t>218-2025-04-30</t>
        </is>
      </c>
      <c r="H2569" t="inlineStr">
        <is>
          <t>Campus Bogotá</t>
        </is>
      </c>
      <c r="I2569" t="n">
        <v>76000</v>
      </c>
      <c r="J2569" t="n">
        <v>64284.8515625</v>
      </c>
      <c r="N2569" t="n">
        <v>64284.85</v>
      </c>
    </row>
    <row r="2570">
      <c r="A2570" t="n">
        <v>218</v>
      </c>
      <c r="B2570" t="inlineStr">
        <is>
          <t>Consumo de Energía Eléctrica kWh Mensual</t>
        </is>
      </c>
      <c r="C2570" t="inlineStr">
        <is>
          <t>GESTIÓN AMBIENTAL</t>
        </is>
      </c>
      <c r="D2570" t="inlineStr">
        <is>
          <t>Mensual</t>
        </is>
      </c>
      <c r="E2570" t="inlineStr">
        <is>
          <t>Negativo</t>
        </is>
      </c>
      <c r="F2570" s="105" t="n">
        <v>45777</v>
      </c>
      <c r="G2570" t="inlineStr">
        <is>
          <t>218-2025-04-30</t>
        </is>
      </c>
      <c r="H2570" t="inlineStr">
        <is>
          <t>Sede Posgrado-Calle 85</t>
        </is>
      </c>
      <c r="I2570" t="n">
        <v>5000</v>
      </c>
      <c r="J2570" t="n">
        <v>4020</v>
      </c>
      <c r="N2570" t="n">
        <v>4020</v>
      </c>
    </row>
    <row r="2571">
      <c r="A2571" t="n">
        <v>218</v>
      </c>
      <c r="B2571" t="inlineStr">
        <is>
          <t>Consumo de Energía Eléctrica kWh Mensual</t>
        </is>
      </c>
      <c r="C2571" t="inlineStr">
        <is>
          <t>GESTIÓN AMBIENTAL</t>
        </is>
      </c>
      <c r="D2571" t="inlineStr">
        <is>
          <t>Mensual</t>
        </is>
      </c>
      <c r="E2571" t="inlineStr">
        <is>
          <t>Negativo</t>
        </is>
      </c>
      <c r="F2571" s="105" t="n">
        <v>45777</v>
      </c>
      <c r="G2571" t="inlineStr">
        <is>
          <t>218-2025-04-30</t>
        </is>
      </c>
      <c r="H2571" t="inlineStr">
        <is>
          <t>Campus-Medellín</t>
        </is>
      </c>
      <c r="I2571" t="n">
        <v>24000</v>
      </c>
      <c r="J2571" t="n">
        <v>20556</v>
      </c>
      <c r="N2571" t="n">
        <v>20556</v>
      </c>
    </row>
    <row r="2572">
      <c r="A2572" t="n">
        <v>218</v>
      </c>
      <c r="B2572" t="inlineStr">
        <is>
          <t>Consumo de Energía Eléctrica kWh Mensual</t>
        </is>
      </c>
      <c r="C2572" t="inlineStr">
        <is>
          <t>GESTIÓN AMBIENTAL</t>
        </is>
      </c>
      <c r="D2572" t="inlineStr">
        <is>
          <t>Mensual</t>
        </is>
      </c>
      <c r="E2572" t="inlineStr">
        <is>
          <t>Negativo</t>
        </is>
      </c>
      <c r="F2572" s="105" t="n">
        <v>45777</v>
      </c>
      <c r="G2572" t="inlineStr">
        <is>
          <t>218-2025-04-30</t>
        </is>
      </c>
      <c r="H2572" t="inlineStr">
        <is>
          <t>Sede Bienestar - Medellín</t>
        </is>
      </c>
      <c r="I2572" t="n">
        <v>5000</v>
      </c>
      <c r="J2572" t="n">
        <v>120</v>
      </c>
      <c r="N2572" t="n">
        <v>120</v>
      </c>
    </row>
    <row r="2573">
      <c r="A2573" t="n">
        <v>218</v>
      </c>
      <c r="B2573" t="inlineStr">
        <is>
          <t>Consumo de Energía Eléctrica kWh Mensual</t>
        </is>
      </c>
      <c r="C2573" t="inlineStr">
        <is>
          <t>GESTIÓN AMBIENTAL</t>
        </is>
      </c>
      <c r="D2573" t="inlineStr">
        <is>
          <t>Mensual</t>
        </is>
      </c>
      <c r="E2573" t="inlineStr">
        <is>
          <t>Negativo</t>
        </is>
      </c>
      <c r="F2573" s="105" t="n">
        <v>45777</v>
      </c>
      <c r="G2573" t="inlineStr">
        <is>
          <t>218-2025-04-30</t>
        </is>
      </c>
      <c r="H2573" t="inlineStr">
        <is>
          <t>Consultorio Psicología - Medellin</t>
        </is>
      </c>
      <c r="I2573" t="n">
        <v>2000</v>
      </c>
      <c r="J2573" t="n">
        <v>2609</v>
      </c>
      <c r="N2573" t="n">
        <v>2609</v>
      </c>
    </row>
    <row r="2574">
      <c r="A2574" t="n">
        <v>218</v>
      </c>
      <c r="B2574" t="inlineStr">
        <is>
          <t>Consumo de Energía Eléctrica kWh Mensual</t>
        </is>
      </c>
      <c r="C2574" t="inlineStr">
        <is>
          <t>GESTIÓN AMBIENTAL</t>
        </is>
      </c>
      <c r="D2574" t="inlineStr">
        <is>
          <t>Mensual</t>
        </is>
      </c>
      <c r="E2574" t="inlineStr">
        <is>
          <t>Negativo</t>
        </is>
      </c>
      <c r="F2574" s="105" t="n">
        <v>45777</v>
      </c>
      <c r="G2574" t="inlineStr">
        <is>
          <t>218-2025-04-30</t>
        </is>
      </c>
      <c r="H2574" t="inlineStr">
        <is>
          <t>City Campus</t>
        </is>
      </c>
      <c r="I2574" t="n">
        <v>76000</v>
      </c>
      <c r="J2574" t="n">
        <v>47880</v>
      </c>
      <c r="N2574" t="n">
        <v>47880</v>
      </c>
    </row>
    <row r="2575">
      <c r="A2575" t="n">
        <v>225</v>
      </c>
      <c r="B2575" t="inlineStr">
        <is>
          <t>Acciones para el Cuidado y Mantenimiento de las Especies de Flora y el Suelo de las Áreas Naturales</t>
        </is>
      </c>
      <c r="C2575" t="inlineStr">
        <is>
          <t>GESTIÓN AMBIENTAL</t>
        </is>
      </c>
      <c r="D2575" t="inlineStr">
        <is>
          <t>Mensual</t>
        </is>
      </c>
      <c r="E2575" t="inlineStr">
        <is>
          <t>Positivo</t>
        </is>
      </c>
      <c r="F2575" s="105" t="n">
        <v>45777</v>
      </c>
      <c r="G2575" t="inlineStr">
        <is>
          <t>225-2025-04-30</t>
        </is>
      </c>
      <c r="H2575" t="inlineStr">
        <is>
          <t>Campus Bogotá</t>
        </is>
      </c>
      <c r="I2575" t="n">
        <v>1</v>
      </c>
      <c r="J2575" t="n">
        <v>8</v>
      </c>
      <c r="AT2575" t="n">
        <v>8</v>
      </c>
    </row>
    <row r="2576">
      <c r="A2576" t="n">
        <v>225</v>
      </c>
      <c r="B2576" t="inlineStr">
        <is>
          <t>Acciones para el Cuidado y Mantenimiento de las Especies de Flora y el Suelo de las Áreas Naturales</t>
        </is>
      </c>
      <c r="C2576" t="inlineStr">
        <is>
          <t>GESTIÓN AMBIENTAL</t>
        </is>
      </c>
      <c r="D2576" t="inlineStr">
        <is>
          <t>Mensual</t>
        </is>
      </c>
      <c r="E2576" t="inlineStr">
        <is>
          <t>Positivo</t>
        </is>
      </c>
      <c r="F2576" s="105" t="n">
        <v>45777</v>
      </c>
      <c r="G2576" t="inlineStr">
        <is>
          <t>225-2025-04-30</t>
        </is>
      </c>
      <c r="H2576" t="inlineStr">
        <is>
          <t>City Campus</t>
        </is>
      </c>
      <c r="I2576" t="n">
        <v>1</v>
      </c>
      <c r="J2576" t="n">
        <v>5</v>
      </c>
      <c r="AT2576" t="n">
        <v>5</v>
      </c>
    </row>
    <row r="2577">
      <c r="A2577" t="n">
        <v>225</v>
      </c>
      <c r="B2577" t="inlineStr">
        <is>
          <t>Acciones para el Cuidado y Mantenimiento de las Especies de Flora y el Suelo de las Áreas Naturales</t>
        </is>
      </c>
      <c r="C2577" t="inlineStr">
        <is>
          <t>GESTIÓN AMBIENTAL</t>
        </is>
      </c>
      <c r="D2577" t="inlineStr">
        <is>
          <t>Mensual</t>
        </is>
      </c>
      <c r="E2577" t="inlineStr">
        <is>
          <t>Positivo</t>
        </is>
      </c>
      <c r="F2577" s="105" t="n">
        <v>45777</v>
      </c>
      <c r="G2577" t="inlineStr">
        <is>
          <t>225-2025-04-30</t>
        </is>
      </c>
      <c r="H2577" t="inlineStr">
        <is>
          <t>Sede Posgrado-Calle 85</t>
        </is>
      </c>
      <c r="I2577" t="n">
        <v>1</v>
      </c>
      <c r="J2577" t="n">
        <v>0</v>
      </c>
      <c r="AT2577" t="n">
        <v>0</v>
      </c>
    </row>
    <row r="2578">
      <c r="A2578" t="n">
        <v>225</v>
      </c>
      <c r="B2578" t="inlineStr">
        <is>
          <t>Acciones para el Cuidado y Mantenimiento de las Especies de Flora y el Suelo de las Áreas Naturales</t>
        </is>
      </c>
      <c r="C2578" t="inlineStr">
        <is>
          <t>GESTIÓN AMBIENTAL</t>
        </is>
      </c>
      <c r="D2578" t="inlineStr">
        <is>
          <t>Mensual</t>
        </is>
      </c>
      <c r="E2578" t="inlineStr">
        <is>
          <t>Positivo</t>
        </is>
      </c>
      <c r="F2578" s="105" t="n">
        <v>45777</v>
      </c>
      <c r="G2578" t="inlineStr">
        <is>
          <t>225-2025-04-30</t>
        </is>
      </c>
      <c r="H2578" t="inlineStr">
        <is>
          <t>Campus-Medellín</t>
        </is>
      </c>
      <c r="I2578" t="n">
        <v>1</v>
      </c>
      <c r="J2578" t="n">
        <v>10</v>
      </c>
      <c r="AT2578" t="n">
        <v>10</v>
      </c>
    </row>
    <row r="2579">
      <c r="A2579" t="n">
        <v>225</v>
      </c>
      <c r="B2579" t="inlineStr">
        <is>
          <t>Acciones para el Cuidado y Mantenimiento de las Especies de Flora y el Suelo de las Áreas Naturales</t>
        </is>
      </c>
      <c r="C2579" t="inlineStr">
        <is>
          <t>GESTIÓN AMBIENTAL</t>
        </is>
      </c>
      <c r="D2579" t="inlineStr">
        <is>
          <t>Mensual</t>
        </is>
      </c>
      <c r="E2579" t="inlineStr">
        <is>
          <t>Positivo</t>
        </is>
      </c>
      <c r="F2579" s="105" t="n">
        <v>45777</v>
      </c>
      <c r="G2579" t="inlineStr">
        <is>
          <t>225-2025-04-30</t>
        </is>
      </c>
      <c r="H2579" t="inlineStr">
        <is>
          <t>Sede Bienestar - Medellín</t>
        </is>
      </c>
      <c r="I2579" t="n">
        <v>1</v>
      </c>
      <c r="J2579" t="n">
        <v>2</v>
      </c>
      <c r="AT2579" t="n">
        <v>2</v>
      </c>
    </row>
    <row r="2580">
      <c r="A2580" t="n">
        <v>225</v>
      </c>
      <c r="B2580" t="inlineStr">
        <is>
          <t>Acciones para el Cuidado y Mantenimiento de las Especies de Flora y el Suelo de las Áreas Naturales</t>
        </is>
      </c>
      <c r="C2580" t="inlineStr">
        <is>
          <t>GESTIÓN AMBIENTAL</t>
        </is>
      </c>
      <c r="D2580" t="inlineStr">
        <is>
          <t>Mensual</t>
        </is>
      </c>
      <c r="E2580" t="inlineStr">
        <is>
          <t>Positivo</t>
        </is>
      </c>
      <c r="F2580" s="105" t="n">
        <v>45777</v>
      </c>
      <c r="G2580" t="inlineStr">
        <is>
          <t>225-2025-04-30</t>
        </is>
      </c>
      <c r="H2580" t="inlineStr">
        <is>
          <t>Consultorio Psicología - Medellin</t>
        </is>
      </c>
      <c r="I2580" t="n">
        <v>1</v>
      </c>
      <c r="J2580" t="n">
        <v>1</v>
      </c>
      <c r="AT2580" t="n">
        <v>1</v>
      </c>
    </row>
    <row r="2581">
      <c r="A2581" t="n">
        <v>239</v>
      </c>
      <c r="B2581" t="inlineStr">
        <is>
          <t>Portafolio de Proyectos - Metrica</t>
        </is>
      </c>
      <c r="C2581" t="inlineStr">
        <is>
          <t>Gestión de Proyectos</t>
        </is>
      </c>
      <c r="D2581" t="inlineStr">
        <is>
          <t>Mensual</t>
        </is>
      </c>
      <c r="E2581" t="inlineStr">
        <is>
          <t>Positivo</t>
        </is>
      </c>
      <c r="F2581" s="105" t="n">
        <v>45777</v>
      </c>
      <c r="G2581" t="inlineStr">
        <is>
          <t>239-2025-04-30</t>
        </is>
      </c>
      <c r="H2581" t="inlineStr">
        <is>
          <t>Planificación</t>
        </is>
      </c>
      <c r="J2581" t="n">
        <v>3</v>
      </c>
      <c r="AU2581" t="n">
        <v>3</v>
      </c>
    </row>
    <row r="2582">
      <c r="A2582" t="n">
        <v>239</v>
      </c>
      <c r="B2582" t="inlineStr">
        <is>
          <t>Portafolio de Proyectos - Metrica</t>
        </is>
      </c>
      <c r="C2582" t="inlineStr">
        <is>
          <t>Gestión de Proyectos</t>
        </is>
      </c>
      <c r="D2582" t="inlineStr">
        <is>
          <t>Mensual</t>
        </is>
      </c>
      <c r="E2582" t="inlineStr">
        <is>
          <t>Positivo</t>
        </is>
      </c>
      <c r="F2582" s="105" t="n">
        <v>45777</v>
      </c>
      <c r="G2582" t="inlineStr">
        <is>
          <t>239-2025-04-30</t>
        </is>
      </c>
      <c r="H2582" t="inlineStr">
        <is>
          <t>Ejecución</t>
        </is>
      </c>
      <c r="J2582" t="n">
        <v>11</v>
      </c>
      <c r="AU2582" t="n">
        <v>11</v>
      </c>
    </row>
    <row r="2583">
      <c r="A2583" t="n">
        <v>239</v>
      </c>
      <c r="B2583" t="inlineStr">
        <is>
          <t>Portafolio de Proyectos - Metrica</t>
        </is>
      </c>
      <c r="C2583" t="inlineStr">
        <is>
          <t>Gestión de Proyectos</t>
        </is>
      </c>
      <c r="D2583" t="inlineStr">
        <is>
          <t>Mensual</t>
        </is>
      </c>
      <c r="E2583" t="inlineStr">
        <is>
          <t>Positivo</t>
        </is>
      </c>
      <c r="F2583" s="105" t="n">
        <v>45777</v>
      </c>
      <c r="G2583" t="inlineStr">
        <is>
          <t>239-2025-04-30</t>
        </is>
      </c>
      <c r="H2583" t="inlineStr">
        <is>
          <t>Cierre</t>
        </is>
      </c>
      <c r="J2583" t="n">
        <v>1</v>
      </c>
      <c r="AU2583" t="n">
        <v>1</v>
      </c>
    </row>
    <row r="2584">
      <c r="A2584" t="n">
        <v>239</v>
      </c>
      <c r="B2584" t="inlineStr">
        <is>
          <t>Portafolio de Proyectos - Metrica</t>
        </is>
      </c>
      <c r="C2584" t="inlineStr">
        <is>
          <t>Gestión de Proyectos</t>
        </is>
      </c>
      <c r="D2584" t="inlineStr">
        <is>
          <t>Mensual</t>
        </is>
      </c>
      <c r="E2584" t="inlineStr">
        <is>
          <t>Positivo</t>
        </is>
      </c>
      <c r="F2584" s="105" t="n">
        <v>45777</v>
      </c>
      <c r="G2584" t="inlineStr">
        <is>
          <t>239-2025-04-30</t>
        </is>
      </c>
      <c r="H2584" t="inlineStr">
        <is>
          <t>Stand by</t>
        </is>
      </c>
      <c r="J2584" t="n">
        <v>3</v>
      </c>
      <c r="AU2584" t="n">
        <v>3</v>
      </c>
    </row>
    <row r="2585">
      <c r="A2585" t="n">
        <v>239</v>
      </c>
      <c r="B2585" t="inlineStr">
        <is>
          <t>Portafolio de Proyectos - Metrica</t>
        </is>
      </c>
      <c r="C2585" t="inlineStr">
        <is>
          <t>Gestión de Proyectos</t>
        </is>
      </c>
      <c r="D2585" t="inlineStr">
        <is>
          <t>Mensual</t>
        </is>
      </c>
      <c r="E2585" t="inlineStr">
        <is>
          <t>Positivo</t>
        </is>
      </c>
      <c r="F2585" s="105" t="n">
        <v>45777</v>
      </c>
      <c r="G2585" t="inlineStr">
        <is>
          <t>239-2025-04-30</t>
        </is>
      </c>
      <c r="H2585" t="inlineStr">
        <is>
          <t>Finalizados</t>
        </is>
      </c>
      <c r="J2585" t="n">
        <v>22</v>
      </c>
      <c r="AU2585" t="n">
        <v>22</v>
      </c>
    </row>
    <row r="2586">
      <c r="A2586" t="n">
        <v>434</v>
      </c>
      <c r="B2586" t="inlineStr">
        <is>
          <t>Generación de Residuos Peligrosos Mensual</t>
        </is>
      </c>
      <c r="C2586" t="inlineStr">
        <is>
          <t>GESTIÓN AMBIENTAL</t>
        </is>
      </c>
      <c r="D2586" t="inlineStr">
        <is>
          <t>Mensual</t>
        </is>
      </c>
      <c r="E2586" t="inlineStr">
        <is>
          <t>Negativo</t>
        </is>
      </c>
      <c r="F2586" s="105" t="n">
        <v>45777</v>
      </c>
      <c r="G2586" t="inlineStr">
        <is>
          <t>434-2025-04-30</t>
        </is>
      </c>
      <c r="H2586" t="inlineStr">
        <is>
          <t>Campus Bogotá</t>
        </is>
      </c>
      <c r="I2586" t="n">
        <v>100</v>
      </c>
      <c r="J2586" t="n">
        <v>118.9599990844727</v>
      </c>
      <c r="AV2586" t="n">
        <v>118.96</v>
      </c>
    </row>
    <row r="2587">
      <c r="A2587" t="n">
        <v>434</v>
      </c>
      <c r="B2587" t="inlineStr">
        <is>
          <t>Generación de Residuos Peligrosos Mensual</t>
        </is>
      </c>
      <c r="C2587" t="inlineStr">
        <is>
          <t>GESTIÓN AMBIENTAL</t>
        </is>
      </c>
      <c r="D2587" t="inlineStr">
        <is>
          <t>Mensual</t>
        </is>
      </c>
      <c r="E2587" t="inlineStr">
        <is>
          <t>Negativo</t>
        </is>
      </c>
      <c r="F2587" s="105" t="n">
        <v>45777</v>
      </c>
      <c r="G2587" t="inlineStr">
        <is>
          <t>434-2025-04-30</t>
        </is>
      </c>
      <c r="H2587" t="inlineStr">
        <is>
          <t>City Campus</t>
        </is>
      </c>
      <c r="I2587" t="n">
        <v>25</v>
      </c>
      <c r="J2587" t="n">
        <v>1.179999947547913</v>
      </c>
      <c r="AV2587" t="n">
        <v>1.18</v>
      </c>
    </row>
    <row r="2588">
      <c r="A2588" t="n">
        <v>434</v>
      </c>
      <c r="B2588" t="inlineStr">
        <is>
          <t>Generación de Residuos Peligrosos Mensual</t>
        </is>
      </c>
      <c r="C2588" t="inlineStr">
        <is>
          <t>GESTIÓN AMBIENTAL</t>
        </is>
      </c>
      <c r="D2588" t="inlineStr">
        <is>
          <t>Mensual</t>
        </is>
      </c>
      <c r="E2588" t="inlineStr">
        <is>
          <t>Negativo</t>
        </is>
      </c>
      <c r="F2588" s="105" t="n">
        <v>45777</v>
      </c>
      <c r="G2588" t="inlineStr">
        <is>
          <t>434-2025-04-30</t>
        </is>
      </c>
      <c r="H2588" t="inlineStr">
        <is>
          <t>Sede Posgrado-Calle 85</t>
        </is>
      </c>
      <c r="I2588" t="n">
        <v>200</v>
      </c>
      <c r="J2588" t="n">
        <v>0</v>
      </c>
      <c r="AV2588" t="n">
        <v>0</v>
      </c>
    </row>
    <row r="2589">
      <c r="A2589" t="n">
        <v>434</v>
      </c>
      <c r="B2589" t="inlineStr">
        <is>
          <t>Generación de Residuos Peligrosos Mensual</t>
        </is>
      </c>
      <c r="C2589" t="inlineStr">
        <is>
          <t>GESTIÓN AMBIENTAL</t>
        </is>
      </c>
      <c r="D2589" t="inlineStr">
        <is>
          <t>Mensual</t>
        </is>
      </c>
      <c r="E2589" t="inlineStr">
        <is>
          <t>Negativo</t>
        </is>
      </c>
      <c r="F2589" s="105" t="n">
        <v>45777</v>
      </c>
      <c r="G2589" t="inlineStr">
        <is>
          <t>434-2025-04-30</t>
        </is>
      </c>
      <c r="H2589" t="inlineStr">
        <is>
          <t>Campus-Medellín</t>
        </is>
      </c>
      <c r="I2589" t="n">
        <v>25</v>
      </c>
      <c r="J2589" t="n">
        <v>6.400000095367432</v>
      </c>
      <c r="AV2589" t="n">
        <v>6.4</v>
      </c>
    </row>
    <row r="2590">
      <c r="A2590" t="n">
        <v>434</v>
      </c>
      <c r="B2590" t="inlineStr">
        <is>
          <t>Generación de Residuos Peligrosos Mensual</t>
        </is>
      </c>
      <c r="C2590" t="inlineStr">
        <is>
          <t>GESTIÓN AMBIENTAL</t>
        </is>
      </c>
      <c r="D2590" t="inlineStr">
        <is>
          <t>Mensual</t>
        </is>
      </c>
      <c r="E2590" t="inlineStr">
        <is>
          <t>Negativo</t>
        </is>
      </c>
      <c r="F2590" s="105" t="n">
        <v>45777</v>
      </c>
      <c r="G2590" t="inlineStr">
        <is>
          <t>434-2025-04-30</t>
        </is>
      </c>
      <c r="H2590" t="inlineStr">
        <is>
          <t>Consultorio Psicología - Medellin</t>
        </is>
      </c>
      <c r="I2590" t="n">
        <v>200</v>
      </c>
      <c r="J2590" t="n">
        <v>0</v>
      </c>
      <c r="AV2590" t="n">
        <v>0</v>
      </c>
    </row>
    <row r="2591">
      <c r="A2591" t="n">
        <v>434</v>
      </c>
      <c r="B2591" t="inlineStr">
        <is>
          <t>Generación de Residuos Peligrosos Mensual</t>
        </is>
      </c>
      <c r="C2591" t="inlineStr">
        <is>
          <t>GESTIÓN AMBIENTAL</t>
        </is>
      </c>
      <c r="D2591" t="inlineStr">
        <is>
          <t>Mensual</t>
        </is>
      </c>
      <c r="E2591" t="inlineStr">
        <is>
          <t>Negativo</t>
        </is>
      </c>
      <c r="F2591" s="105" t="n">
        <v>45777</v>
      </c>
      <c r="G2591" t="inlineStr">
        <is>
          <t>434-2025-04-30</t>
        </is>
      </c>
      <c r="H2591" t="inlineStr">
        <is>
          <t>Sede Bienestar - Medellín</t>
        </is>
      </c>
      <c r="I2591" t="n">
        <v>10</v>
      </c>
      <c r="J2591" t="n">
        <v>0.2000000029802322</v>
      </c>
      <c r="AV2591" t="n">
        <v>0.2</v>
      </c>
    </row>
    <row r="2592">
      <c r="A2592" t="n">
        <v>436</v>
      </c>
      <c r="B2592" t="inlineStr">
        <is>
          <t>ANS documentos operativos</t>
        </is>
      </c>
      <c r="C2592" t="inlineStr">
        <is>
          <t>Gestión de calidad</t>
        </is>
      </c>
      <c r="D2592" t="inlineStr">
        <is>
          <t>Mensual</t>
        </is>
      </c>
      <c r="E2592" t="inlineStr">
        <is>
          <t>Negativo</t>
        </is>
      </c>
      <c r="F2592" s="105" t="n">
        <v>45777</v>
      </c>
      <c r="G2592" t="inlineStr">
        <is>
          <t>436-2025-04-30</t>
        </is>
      </c>
      <c r="H2592" t="inlineStr">
        <is>
          <t>Solicitud Documental</t>
        </is>
      </c>
      <c r="I2592" t="n">
        <v>7</v>
      </c>
      <c r="J2592" t="n">
        <v>3.720000028610229</v>
      </c>
      <c r="CP2592" t="n">
        <v>3.72</v>
      </c>
    </row>
    <row r="2593">
      <c r="A2593" t="n">
        <v>436</v>
      </c>
      <c r="B2593" t="inlineStr">
        <is>
          <t>ANS documentos operativos</t>
        </is>
      </c>
      <c r="C2593" t="inlineStr">
        <is>
          <t>Gestión de calidad</t>
        </is>
      </c>
      <c r="D2593" t="inlineStr">
        <is>
          <t>Mensual</t>
        </is>
      </c>
      <c r="E2593" t="inlineStr">
        <is>
          <t>Negativo</t>
        </is>
      </c>
      <c r="F2593" s="105" t="n">
        <v>45777</v>
      </c>
      <c r="G2593" t="inlineStr">
        <is>
          <t>436-2025-04-30</t>
        </is>
      </c>
      <c r="H2593" t="inlineStr">
        <is>
          <t>Flujo de aprobación</t>
        </is>
      </c>
      <c r="I2593" t="n">
        <v>7</v>
      </c>
      <c r="J2593" t="n">
        <v>2.680000066757202</v>
      </c>
      <c r="CP2593" t="n">
        <v>2.68</v>
      </c>
    </row>
    <row r="2594">
      <c r="A2594" t="n">
        <v>485</v>
      </c>
      <c r="B2594" t="inlineStr">
        <is>
          <t>Oportunidad en el cierre de acciones</t>
        </is>
      </c>
      <c r="C2594" t="inlineStr">
        <is>
          <t>Gestión de calidad</t>
        </is>
      </c>
      <c r="D2594" t="inlineStr">
        <is>
          <t>Mensual</t>
        </is>
      </c>
      <c r="E2594" t="inlineStr">
        <is>
          <t>Positivo</t>
        </is>
      </c>
      <c r="F2594" s="105" t="n">
        <v>45777</v>
      </c>
      <c r="G2594" t="inlineStr">
        <is>
          <t>485-2025-04-30</t>
        </is>
      </c>
      <c r="H2594" t="inlineStr">
        <is>
          <t>Auditoría interna</t>
        </is>
      </c>
      <c r="I2594" t="n">
        <v>80</v>
      </c>
      <c r="J2594" t="n">
        <v>100</v>
      </c>
      <c r="EC2594" t="n">
        <v>4</v>
      </c>
      <c r="ED2594" t="n">
        <v>4</v>
      </c>
    </row>
    <row r="2595">
      <c r="A2595" t="n">
        <v>485</v>
      </c>
      <c r="B2595" t="inlineStr">
        <is>
          <t>Oportunidad en el cierre de acciones</t>
        </is>
      </c>
      <c r="C2595" t="inlineStr">
        <is>
          <t>Gestión de calidad</t>
        </is>
      </c>
      <c r="D2595" t="inlineStr">
        <is>
          <t>Mensual</t>
        </is>
      </c>
      <c r="E2595" t="inlineStr">
        <is>
          <t>Positivo</t>
        </is>
      </c>
      <c r="F2595" s="105" t="n">
        <v>45777</v>
      </c>
      <c r="G2595" t="inlineStr">
        <is>
          <t>485-2025-04-30</t>
        </is>
      </c>
      <c r="H2595" t="inlineStr">
        <is>
          <t>Auditoría externa</t>
        </is>
      </c>
      <c r="I2595" t="n">
        <v>80</v>
      </c>
      <c r="J2595" t="n">
        <v>0</v>
      </c>
      <c r="EC2595" t="n">
        <v>0</v>
      </c>
      <c r="ED2595" t="n">
        <v>0</v>
      </c>
    </row>
    <row r="2596">
      <c r="A2596" t="n">
        <v>485</v>
      </c>
      <c r="B2596" t="inlineStr">
        <is>
          <t>Oportunidad en el cierre de acciones</t>
        </is>
      </c>
      <c r="C2596" t="inlineStr">
        <is>
          <t>Gestión de calidad</t>
        </is>
      </c>
      <c r="D2596" t="inlineStr">
        <is>
          <t>Mensual</t>
        </is>
      </c>
      <c r="E2596" t="inlineStr">
        <is>
          <t>Positivo</t>
        </is>
      </c>
      <c r="F2596" s="105" t="n">
        <v>45777</v>
      </c>
      <c r="G2596" t="inlineStr">
        <is>
          <t>485-2025-04-30</t>
        </is>
      </c>
      <c r="H2596" t="inlineStr">
        <is>
          <t>Indicadores</t>
        </is>
      </c>
      <c r="I2596" t="n">
        <v>80</v>
      </c>
      <c r="J2596" t="n">
        <v>0</v>
      </c>
      <c r="EC2596" t="n">
        <v>0</v>
      </c>
      <c r="ED2596" t="n">
        <v>0</v>
      </c>
    </row>
    <row r="2597">
      <c r="A2597" t="n">
        <v>485</v>
      </c>
      <c r="B2597" t="inlineStr">
        <is>
          <t>Oportunidad en el cierre de acciones</t>
        </is>
      </c>
      <c r="C2597" t="inlineStr">
        <is>
          <t>Gestión de calidad</t>
        </is>
      </c>
      <c r="D2597" t="inlineStr">
        <is>
          <t>Mensual</t>
        </is>
      </c>
      <c r="E2597" t="inlineStr">
        <is>
          <t>Positivo</t>
        </is>
      </c>
      <c r="F2597" s="105" t="n">
        <v>45777</v>
      </c>
      <c r="G2597" t="inlineStr">
        <is>
          <t>485-2025-04-30</t>
        </is>
      </c>
      <c r="H2597" t="inlineStr">
        <is>
          <t>Riesgos</t>
        </is>
      </c>
      <c r="I2597" t="n">
        <v>80</v>
      </c>
      <c r="J2597" t="n">
        <v>0</v>
      </c>
      <c r="EC2597" t="n">
        <v>0</v>
      </c>
      <c r="ED2597" t="n">
        <v>0</v>
      </c>
    </row>
    <row r="2598">
      <c r="A2598" t="n">
        <v>485</v>
      </c>
      <c r="B2598" t="inlineStr">
        <is>
          <t>Oportunidad en el cierre de acciones</t>
        </is>
      </c>
      <c r="C2598" t="inlineStr">
        <is>
          <t>Gestión de calidad</t>
        </is>
      </c>
      <c r="D2598" t="inlineStr">
        <is>
          <t>Mensual</t>
        </is>
      </c>
      <c r="E2598" t="inlineStr">
        <is>
          <t>Positivo</t>
        </is>
      </c>
      <c r="F2598" s="105" t="n">
        <v>45777</v>
      </c>
      <c r="G2598" t="inlineStr">
        <is>
          <t>485-2025-04-30</t>
        </is>
      </c>
      <c r="H2598" t="inlineStr">
        <is>
          <t>Autoevaluación</t>
        </is>
      </c>
      <c r="I2598" t="n">
        <v>80</v>
      </c>
      <c r="J2598" t="n">
        <v>0</v>
      </c>
      <c r="EC2598" t="n">
        <v>0</v>
      </c>
      <c r="ED2598" t="n">
        <v>0</v>
      </c>
    </row>
    <row r="2599">
      <c r="A2599" t="n">
        <v>485</v>
      </c>
      <c r="B2599" t="inlineStr">
        <is>
          <t>Oportunidad en el cierre de acciones</t>
        </is>
      </c>
      <c r="C2599" t="inlineStr">
        <is>
          <t>Gestión de calidad</t>
        </is>
      </c>
      <c r="D2599" t="inlineStr">
        <is>
          <t>Mensual</t>
        </is>
      </c>
      <c r="E2599" t="inlineStr">
        <is>
          <t>Positivo</t>
        </is>
      </c>
      <c r="F2599" s="105" t="n">
        <v>45777</v>
      </c>
      <c r="G2599" t="inlineStr">
        <is>
          <t>485-2025-04-30</t>
        </is>
      </c>
      <c r="H2599" t="inlineStr">
        <is>
          <t>Entes de control</t>
        </is>
      </c>
      <c r="I2599" t="n">
        <v>80</v>
      </c>
      <c r="J2599" t="n">
        <v>0</v>
      </c>
      <c r="EC2599" t="n">
        <v>0</v>
      </c>
      <c r="ED2599" t="n">
        <v>0</v>
      </c>
    </row>
    <row r="2600">
      <c r="A2600" t="n">
        <v>485</v>
      </c>
      <c r="B2600" t="inlineStr">
        <is>
          <t>Oportunidad en el cierre de acciones</t>
        </is>
      </c>
      <c r="C2600" t="inlineStr">
        <is>
          <t>Gestión de calidad</t>
        </is>
      </c>
      <c r="D2600" t="inlineStr">
        <is>
          <t>Mensual</t>
        </is>
      </c>
      <c r="E2600" t="inlineStr">
        <is>
          <t>Positivo</t>
        </is>
      </c>
      <c r="F2600" s="105" t="n">
        <v>45777</v>
      </c>
      <c r="G2600" t="inlineStr">
        <is>
          <t>485-2025-04-30</t>
        </is>
      </c>
      <c r="H2600" t="inlineStr">
        <is>
          <t>Seguimiento y control</t>
        </is>
      </c>
      <c r="I2600" t="n">
        <v>80</v>
      </c>
      <c r="J2600" t="n">
        <v>0</v>
      </c>
      <c r="EC2600" t="n">
        <v>0</v>
      </c>
      <c r="ED2600" t="n">
        <v>0</v>
      </c>
    </row>
    <row r="2601">
      <c r="A2601" t="n">
        <v>485</v>
      </c>
      <c r="B2601" t="inlineStr">
        <is>
          <t>Oportunidad en el cierre de acciones</t>
        </is>
      </c>
      <c r="C2601" t="inlineStr">
        <is>
          <t>Gestión de calidad</t>
        </is>
      </c>
      <c r="D2601" t="inlineStr">
        <is>
          <t>Mensual</t>
        </is>
      </c>
      <c r="E2601" t="inlineStr">
        <is>
          <t>Positivo</t>
        </is>
      </c>
      <c r="F2601" s="105" t="n">
        <v>45777</v>
      </c>
      <c r="G2601" t="inlineStr">
        <is>
          <t>485-2025-04-30</t>
        </is>
      </c>
      <c r="H2601" t="inlineStr">
        <is>
          <t>Experiencia</t>
        </is>
      </c>
      <c r="I2601" t="n">
        <v>80</v>
      </c>
      <c r="J2601" t="n">
        <v>0</v>
      </c>
      <c r="EC2601" t="n">
        <v>0</v>
      </c>
      <c r="ED2601" t="n">
        <v>0</v>
      </c>
    </row>
    <row r="2602">
      <c r="A2602" t="n">
        <v>485</v>
      </c>
      <c r="B2602" t="inlineStr">
        <is>
          <t>Oportunidad en el cierre de acciones</t>
        </is>
      </c>
      <c r="C2602" t="inlineStr">
        <is>
          <t>Gestión de calidad</t>
        </is>
      </c>
      <c r="D2602" t="inlineStr">
        <is>
          <t>Mensual</t>
        </is>
      </c>
      <c r="E2602" t="inlineStr">
        <is>
          <t>Positivo</t>
        </is>
      </c>
      <c r="F2602" s="105" t="n">
        <v>45777</v>
      </c>
      <c r="G2602" t="inlineStr">
        <is>
          <t>485-2025-04-30</t>
        </is>
      </c>
      <c r="H2602" t="inlineStr">
        <is>
          <t>Revisión por la dirección</t>
        </is>
      </c>
      <c r="I2602" t="n">
        <v>80</v>
      </c>
      <c r="J2602" t="n">
        <v>0</v>
      </c>
      <c r="EC2602" t="n">
        <v>0</v>
      </c>
      <c r="ED2602" t="n">
        <v>0</v>
      </c>
    </row>
    <row r="2603">
      <c r="A2603" t="n">
        <v>488</v>
      </c>
      <c r="B2603" t="inlineStr">
        <is>
          <t>Oportunidad en el cierre de actividades de los planes de mejora</t>
        </is>
      </c>
      <c r="C2603" t="inlineStr">
        <is>
          <t>Gestión de calidad</t>
        </is>
      </c>
      <c r="D2603" t="inlineStr">
        <is>
          <t>Mensual</t>
        </is>
      </c>
      <c r="E2603" t="inlineStr">
        <is>
          <t>Positivo</t>
        </is>
      </c>
      <c r="F2603" s="105" t="n">
        <v>45777</v>
      </c>
      <c r="G2603" t="inlineStr">
        <is>
          <t>488-2025-04-30</t>
        </is>
      </c>
      <c r="H2603" t="inlineStr">
        <is>
          <t>Auditoría interna</t>
        </is>
      </c>
      <c r="I2603" t="n">
        <v>85</v>
      </c>
      <c r="J2603" t="n">
        <v>60</v>
      </c>
      <c r="EE2603" t="n">
        <v>3</v>
      </c>
      <c r="EF2603" t="n">
        <v>5</v>
      </c>
    </row>
    <row r="2604">
      <c r="A2604" t="n">
        <v>488</v>
      </c>
      <c r="B2604" t="inlineStr">
        <is>
          <t>Oportunidad en el cierre de actividades de los planes de mejora</t>
        </is>
      </c>
      <c r="C2604" t="inlineStr">
        <is>
          <t>Gestión de calidad</t>
        </is>
      </c>
      <c r="D2604" t="inlineStr">
        <is>
          <t>Mensual</t>
        </is>
      </c>
      <c r="E2604" t="inlineStr">
        <is>
          <t>Positivo</t>
        </is>
      </c>
      <c r="F2604" s="105" t="n">
        <v>45777</v>
      </c>
      <c r="G2604" t="inlineStr">
        <is>
          <t>488-2025-04-30</t>
        </is>
      </c>
      <c r="H2604" t="inlineStr">
        <is>
          <t>Auditoría externa</t>
        </is>
      </c>
      <c r="I2604" t="n">
        <v>85</v>
      </c>
      <c r="J2604" t="n">
        <v>47.36999893188477</v>
      </c>
      <c r="EE2604" t="n">
        <v>9</v>
      </c>
      <c r="EF2604" t="n">
        <v>19</v>
      </c>
    </row>
    <row r="2605">
      <c r="A2605" t="n">
        <v>488</v>
      </c>
      <c r="B2605" t="inlineStr">
        <is>
          <t>Oportunidad en el cierre de actividades de los planes de mejora</t>
        </is>
      </c>
      <c r="C2605" t="inlineStr">
        <is>
          <t>Gestión de calidad</t>
        </is>
      </c>
      <c r="D2605" t="inlineStr">
        <is>
          <t>Mensual</t>
        </is>
      </c>
      <c r="E2605" t="inlineStr">
        <is>
          <t>Positivo</t>
        </is>
      </c>
      <c r="F2605" s="105" t="n">
        <v>45777</v>
      </c>
      <c r="G2605" t="inlineStr">
        <is>
          <t>488-2025-04-30</t>
        </is>
      </c>
      <c r="H2605" t="inlineStr">
        <is>
          <t>Indicadores</t>
        </is>
      </c>
      <c r="I2605" t="n">
        <v>85</v>
      </c>
      <c r="J2605" t="n">
        <v>60</v>
      </c>
      <c r="EE2605" t="n">
        <v>3</v>
      </c>
      <c r="EF2605" t="n">
        <v>5</v>
      </c>
    </row>
    <row r="2606">
      <c r="A2606" t="n">
        <v>488</v>
      </c>
      <c r="B2606" t="inlineStr">
        <is>
          <t>Oportunidad en el cierre de actividades de los planes de mejora</t>
        </is>
      </c>
      <c r="C2606" t="inlineStr">
        <is>
          <t>Gestión de calidad</t>
        </is>
      </c>
      <c r="D2606" t="inlineStr">
        <is>
          <t>Mensual</t>
        </is>
      </c>
      <c r="E2606" t="inlineStr">
        <is>
          <t>Positivo</t>
        </is>
      </c>
      <c r="F2606" s="105" t="n">
        <v>45777</v>
      </c>
      <c r="G2606" t="inlineStr">
        <is>
          <t>488-2025-04-30</t>
        </is>
      </c>
      <c r="H2606" t="inlineStr">
        <is>
          <t>Autoevaluación</t>
        </is>
      </c>
      <c r="I2606" t="n">
        <v>85</v>
      </c>
      <c r="J2606" t="n">
        <v>0</v>
      </c>
      <c r="EE2606" t="n">
        <v>0</v>
      </c>
      <c r="EF2606" t="n">
        <v>0</v>
      </c>
    </row>
    <row r="2607">
      <c r="A2607" t="n">
        <v>488</v>
      </c>
      <c r="B2607" t="inlineStr">
        <is>
          <t>Oportunidad en el cierre de actividades de los planes de mejora</t>
        </is>
      </c>
      <c r="C2607" t="inlineStr">
        <is>
          <t>Gestión de calidad</t>
        </is>
      </c>
      <c r="D2607" t="inlineStr">
        <is>
          <t>Mensual</t>
        </is>
      </c>
      <c r="E2607" t="inlineStr">
        <is>
          <t>Positivo</t>
        </is>
      </c>
      <c r="F2607" s="105" t="n">
        <v>45777</v>
      </c>
      <c r="G2607" t="inlineStr">
        <is>
          <t>488-2025-04-30</t>
        </is>
      </c>
      <c r="H2607" t="inlineStr">
        <is>
          <t>Entes de control</t>
        </is>
      </c>
      <c r="I2607" t="n">
        <v>85</v>
      </c>
      <c r="J2607" t="n">
        <v>0</v>
      </c>
      <c r="EE2607" t="n">
        <v>0</v>
      </c>
      <c r="EF2607" t="n">
        <v>0</v>
      </c>
    </row>
    <row r="2608">
      <c r="A2608" t="n">
        <v>488</v>
      </c>
      <c r="B2608" t="inlineStr">
        <is>
          <t>Oportunidad en el cierre de actividades de los planes de mejora</t>
        </is>
      </c>
      <c r="C2608" t="inlineStr">
        <is>
          <t>Gestión de calidad</t>
        </is>
      </c>
      <c r="D2608" t="inlineStr">
        <is>
          <t>Mensual</t>
        </is>
      </c>
      <c r="E2608" t="inlineStr">
        <is>
          <t>Positivo</t>
        </is>
      </c>
      <c r="F2608" s="105" t="n">
        <v>45777</v>
      </c>
      <c r="G2608" t="inlineStr">
        <is>
          <t>488-2025-04-30</t>
        </is>
      </c>
      <c r="H2608" t="inlineStr">
        <is>
          <t>Seguimiento y control</t>
        </is>
      </c>
      <c r="I2608" t="n">
        <v>85</v>
      </c>
      <c r="J2608" t="n">
        <v>70</v>
      </c>
      <c r="EE2608" t="n">
        <v>14</v>
      </c>
      <c r="EF2608" t="n">
        <v>20</v>
      </c>
    </row>
    <row r="2609">
      <c r="A2609" t="n">
        <v>488</v>
      </c>
      <c r="B2609" t="inlineStr">
        <is>
          <t>Oportunidad en el cierre de actividades de los planes de mejora</t>
        </is>
      </c>
      <c r="C2609" t="inlineStr">
        <is>
          <t>Gestión de calidad</t>
        </is>
      </c>
      <c r="D2609" t="inlineStr">
        <is>
          <t>Mensual</t>
        </is>
      </c>
      <c r="E2609" t="inlineStr">
        <is>
          <t>Positivo</t>
        </is>
      </c>
      <c r="F2609" s="105" t="n">
        <v>45777</v>
      </c>
      <c r="G2609" t="inlineStr">
        <is>
          <t>488-2025-04-30</t>
        </is>
      </c>
      <c r="H2609" t="inlineStr">
        <is>
          <t>Experiencia</t>
        </is>
      </c>
      <c r="I2609" t="n">
        <v>85</v>
      </c>
      <c r="J2609" t="n">
        <v>0</v>
      </c>
      <c r="EE2609" t="n">
        <v>0</v>
      </c>
      <c r="EF2609" t="n">
        <v>0</v>
      </c>
    </row>
    <row r="2610">
      <c r="A2610" t="n">
        <v>488</v>
      </c>
      <c r="B2610" t="inlineStr">
        <is>
          <t>Oportunidad en el cierre de actividades de los planes de mejora</t>
        </is>
      </c>
      <c r="C2610" t="inlineStr">
        <is>
          <t>Gestión de calidad</t>
        </is>
      </c>
      <c r="D2610" t="inlineStr">
        <is>
          <t>Mensual</t>
        </is>
      </c>
      <c r="E2610" t="inlineStr">
        <is>
          <t>Positivo</t>
        </is>
      </c>
      <c r="F2610" s="105" t="n">
        <v>45777</v>
      </c>
      <c r="G2610" t="inlineStr">
        <is>
          <t>488-2025-04-30</t>
        </is>
      </c>
      <c r="H2610" t="inlineStr">
        <is>
          <t>Revisión por la dirección</t>
        </is>
      </c>
      <c r="I2610" t="n">
        <v>85</v>
      </c>
      <c r="J2610" t="n">
        <v>0</v>
      </c>
      <c r="EE2610" t="n">
        <v>0</v>
      </c>
      <c r="EF2610" t="n">
        <v>0</v>
      </c>
    </row>
    <row r="2611">
      <c r="A2611" t="n">
        <v>488</v>
      </c>
      <c r="B2611" t="inlineStr">
        <is>
          <t>Oportunidad en el cierre de actividades de los planes de mejora</t>
        </is>
      </c>
      <c r="C2611" t="inlineStr">
        <is>
          <t>Gestión de calidad</t>
        </is>
      </c>
      <c r="D2611" t="inlineStr">
        <is>
          <t>Mensual</t>
        </is>
      </c>
      <c r="E2611" t="inlineStr">
        <is>
          <t>Positivo</t>
        </is>
      </c>
      <c r="F2611" s="105" t="n">
        <v>45777</v>
      </c>
      <c r="G2611" t="inlineStr">
        <is>
          <t>488-2025-04-30</t>
        </is>
      </c>
      <c r="H2611" t="inlineStr">
        <is>
          <t>Riesgos</t>
        </is>
      </c>
      <c r="I2611" t="n">
        <v>85</v>
      </c>
      <c r="J2611" t="n">
        <v>100</v>
      </c>
      <c r="EE2611" t="n">
        <v>8</v>
      </c>
      <c r="EF2611" t="n">
        <v>8</v>
      </c>
    </row>
    <row r="2612">
      <c r="A2612" t="n">
        <v>509</v>
      </c>
      <c r="B2612" t="inlineStr">
        <is>
          <t>Cumplimiento a cronograma de proyectos 2025</t>
        </is>
      </c>
      <c r="C2612" t="inlineStr">
        <is>
          <t>Gestión de Proyectos</t>
        </is>
      </c>
      <c r="D2612" t="inlineStr">
        <is>
          <t>Mensual</t>
        </is>
      </c>
      <c r="E2612" t="inlineStr">
        <is>
          <t>Positivo</t>
        </is>
      </c>
      <c r="F2612" s="105" t="n">
        <v>45777</v>
      </c>
      <c r="G2612" t="inlineStr">
        <is>
          <t>509-2025-04-30</t>
        </is>
      </c>
      <c r="H2612" t="inlineStr">
        <is>
          <t>Acreditación Institucional fase III Etapa de evaluación externa o evaluación por pares</t>
        </is>
      </c>
      <c r="I2612" t="n">
        <v>90</v>
      </c>
      <c r="J2612" t="n">
        <v>100</v>
      </c>
      <c r="EJ2612" t="n">
        <v>31</v>
      </c>
      <c r="EK2612" t="n">
        <v>31</v>
      </c>
    </row>
    <row r="2613">
      <c r="A2613" t="n">
        <v>509</v>
      </c>
      <c r="B2613" t="inlineStr">
        <is>
          <t>Cumplimiento a cronograma de proyectos 2025</t>
        </is>
      </c>
      <c r="C2613" t="inlineStr">
        <is>
          <t>Gestión de Proyectos</t>
        </is>
      </c>
      <c r="D2613" t="inlineStr">
        <is>
          <t>Mensual</t>
        </is>
      </c>
      <c r="E2613" t="inlineStr">
        <is>
          <t>Positivo</t>
        </is>
      </c>
      <c r="F2613" s="105" t="n">
        <v>45777</v>
      </c>
      <c r="G2613" t="inlineStr">
        <is>
          <t>509-2025-04-30</t>
        </is>
      </c>
      <c r="H2613" t="inlineStr">
        <is>
          <t>Actualización de TRD y creación del Plan de Gestión documental</t>
        </is>
      </c>
      <c r="I2613" t="n">
        <v>90</v>
      </c>
      <c r="J2613" t="n">
        <v>80.76999664306641</v>
      </c>
      <c r="EJ2613" t="n">
        <v>52</v>
      </c>
      <c r="EK2613" t="n">
        <v>42</v>
      </c>
    </row>
    <row r="2614">
      <c r="A2614" t="n">
        <v>509</v>
      </c>
      <c r="B2614" t="inlineStr">
        <is>
          <t>Cumplimiento a cronograma de proyectos 2025</t>
        </is>
      </c>
      <c r="C2614" t="inlineStr">
        <is>
          <t>Gestión de Proyectos</t>
        </is>
      </c>
      <c r="D2614" t="inlineStr">
        <is>
          <t>Mensual</t>
        </is>
      </c>
      <c r="E2614" t="inlineStr">
        <is>
          <t>Positivo</t>
        </is>
      </c>
      <c r="F2614" s="105" t="n">
        <v>45777</v>
      </c>
      <c r="G2614" t="inlineStr">
        <is>
          <t>509-2025-04-30</t>
        </is>
      </c>
      <c r="H2614" t="inlineStr">
        <is>
          <t>Fortalecimiento de la investigación, la innovación y la creación</t>
        </is>
      </c>
      <c r="I2614" t="n">
        <v>90</v>
      </c>
      <c r="J2614" t="n">
        <v>100</v>
      </c>
      <c r="EJ2614" t="n">
        <v>4</v>
      </c>
      <c r="EK2614" t="n">
        <v>4</v>
      </c>
    </row>
    <row r="2615">
      <c r="A2615" t="n">
        <v>509</v>
      </c>
      <c r="B2615" t="inlineStr">
        <is>
          <t>Cumplimiento a cronograma de proyectos 2025</t>
        </is>
      </c>
      <c r="C2615" t="inlineStr">
        <is>
          <t>Gestión de Proyectos</t>
        </is>
      </c>
      <c r="D2615" t="inlineStr">
        <is>
          <t>Mensual</t>
        </is>
      </c>
      <c r="E2615" t="inlineStr">
        <is>
          <t>Positivo</t>
        </is>
      </c>
      <c r="F2615" s="105" t="n">
        <v>45777</v>
      </c>
      <c r="G2615" t="inlineStr">
        <is>
          <t>509-2025-04-30</t>
        </is>
      </c>
      <c r="H2615" t="inlineStr">
        <is>
          <t>Fortalecimiento de planta docente</t>
        </is>
      </c>
      <c r="I2615" t="n">
        <v>90</v>
      </c>
      <c r="J2615" t="n">
        <v>100</v>
      </c>
      <c r="EJ2615" t="n">
        <v>59</v>
      </c>
      <c r="EK2615" t="n">
        <v>59</v>
      </c>
    </row>
    <row r="2616">
      <c r="A2616" t="n">
        <v>509</v>
      </c>
      <c r="B2616" t="inlineStr">
        <is>
          <t>Cumplimiento a cronograma de proyectos 2025</t>
        </is>
      </c>
      <c r="C2616" t="inlineStr">
        <is>
          <t>Gestión de Proyectos</t>
        </is>
      </c>
      <c r="D2616" t="inlineStr">
        <is>
          <t>Mensual</t>
        </is>
      </c>
      <c r="E2616" t="inlineStr">
        <is>
          <t>Positivo</t>
        </is>
      </c>
      <c r="F2616" s="105" t="n">
        <v>45777</v>
      </c>
      <c r="G2616" t="inlineStr">
        <is>
          <t>509-2025-04-30</t>
        </is>
      </c>
      <c r="H2616" t="inlineStr">
        <is>
          <t>Proyecto de Permanencia institucional</t>
        </is>
      </c>
      <c r="I2616" t="n">
        <v>90</v>
      </c>
      <c r="J2616" t="n">
        <v>95.70999908447266</v>
      </c>
      <c r="EJ2616" t="n">
        <v>70</v>
      </c>
      <c r="EK2616" t="n">
        <v>67</v>
      </c>
    </row>
    <row r="2617">
      <c r="A2617" t="n">
        <v>509</v>
      </c>
      <c r="B2617" t="inlineStr">
        <is>
          <t>Cumplimiento a cronograma de proyectos 2025</t>
        </is>
      </c>
      <c r="C2617" t="inlineStr">
        <is>
          <t>Gestión de Proyectos</t>
        </is>
      </c>
      <c r="D2617" t="inlineStr">
        <is>
          <t>Mensual</t>
        </is>
      </c>
      <c r="E2617" t="inlineStr">
        <is>
          <t>Positivo</t>
        </is>
      </c>
      <c r="F2617" s="105" t="n">
        <v>45777</v>
      </c>
      <c r="G2617" t="inlineStr">
        <is>
          <t>509-2025-04-30</t>
        </is>
      </c>
      <c r="H2617" t="inlineStr">
        <is>
          <t>Reingenieria de aplicaciones</t>
        </is>
      </c>
      <c r="I2617" t="n">
        <v>90</v>
      </c>
      <c r="J2617" t="n">
        <v>90.31999969482422</v>
      </c>
      <c r="EJ2617" t="n">
        <v>31</v>
      </c>
      <c r="EK2617" t="n">
        <v>28</v>
      </c>
    </row>
    <row r="2618">
      <c r="A2618" t="n">
        <v>509</v>
      </c>
      <c r="B2618" t="inlineStr">
        <is>
          <t>Cumplimiento a cronograma de proyectos 2025</t>
        </is>
      </c>
      <c r="C2618" t="inlineStr">
        <is>
          <t>Gestión de Proyectos</t>
        </is>
      </c>
      <c r="D2618" t="inlineStr">
        <is>
          <t>Mensual</t>
        </is>
      </c>
      <c r="E2618" t="inlineStr">
        <is>
          <t>Positivo</t>
        </is>
      </c>
      <c r="F2618" s="105" t="n">
        <v>45777</v>
      </c>
      <c r="G2618" t="inlineStr">
        <is>
          <t>509-2025-04-30</t>
        </is>
      </c>
      <c r="H2618" t="inlineStr">
        <is>
          <t>SOPHIA Sistema de Optimización y Programación Horaria Institucional  Académica  I Fase</t>
        </is>
      </c>
      <c r="I2618" t="n">
        <v>90</v>
      </c>
      <c r="J2618" t="n">
        <v>95</v>
      </c>
      <c r="EJ2618" t="n">
        <v>80</v>
      </c>
      <c r="EK2618" t="n">
        <v>76</v>
      </c>
    </row>
    <row r="2619">
      <c r="A2619" t="n">
        <v>208</v>
      </c>
      <c r="B2619" t="inlineStr">
        <is>
          <t>Consumo de Agua m3 Mensual</t>
        </is>
      </c>
      <c r="C2619" t="inlineStr">
        <is>
          <t>GESTIÓN AMBIENTAL</t>
        </is>
      </c>
      <c r="D2619" t="inlineStr">
        <is>
          <t>Mensual</t>
        </is>
      </c>
      <c r="E2619" t="inlineStr">
        <is>
          <t>Negativo</t>
        </is>
      </c>
      <c r="F2619" s="105" t="n">
        <v>45808</v>
      </c>
      <c r="G2619" t="inlineStr">
        <is>
          <t>208-2025-05-31</t>
        </is>
      </c>
      <c r="H2619" t="inlineStr">
        <is>
          <t>Campus Bogotá</t>
        </is>
      </c>
      <c r="I2619" t="n">
        <v>950</v>
      </c>
      <c r="J2619" t="n">
        <v>687</v>
      </c>
      <c r="K2619" t="n">
        <v>687</v>
      </c>
    </row>
    <row r="2620">
      <c r="A2620" t="n">
        <v>208</v>
      </c>
      <c r="B2620" t="inlineStr">
        <is>
          <t>Consumo de Agua m3 Mensual</t>
        </is>
      </c>
      <c r="C2620" t="inlineStr">
        <is>
          <t>GESTIÓN AMBIENTAL</t>
        </is>
      </c>
      <c r="D2620" t="inlineStr">
        <is>
          <t>Mensual</t>
        </is>
      </c>
      <c r="E2620" t="inlineStr">
        <is>
          <t>Negativo</t>
        </is>
      </c>
      <c r="F2620" s="105" t="n">
        <v>45808</v>
      </c>
      <c r="G2620" t="inlineStr">
        <is>
          <t>208-2025-05-31</t>
        </is>
      </c>
      <c r="H2620" t="inlineStr">
        <is>
          <t>Sede Posgrado-Calle 85</t>
        </is>
      </c>
      <c r="I2620" t="n">
        <v>25</v>
      </c>
      <c r="J2620" t="n">
        <v>20</v>
      </c>
      <c r="K2620" t="n">
        <v>20</v>
      </c>
    </row>
    <row r="2621">
      <c r="A2621" t="n">
        <v>208</v>
      </c>
      <c r="B2621" t="inlineStr">
        <is>
          <t>Consumo de Agua m3 Mensual</t>
        </is>
      </c>
      <c r="C2621" t="inlineStr">
        <is>
          <t>GESTIÓN AMBIENTAL</t>
        </is>
      </c>
      <c r="D2621" t="inlineStr">
        <is>
          <t>Mensual</t>
        </is>
      </c>
      <c r="E2621" t="inlineStr">
        <is>
          <t>Negativo</t>
        </is>
      </c>
      <c r="F2621" s="105" t="n">
        <v>45808</v>
      </c>
      <c r="G2621" t="inlineStr">
        <is>
          <t>208-2025-05-31</t>
        </is>
      </c>
      <c r="H2621" t="inlineStr">
        <is>
          <t>Campus-Medellín</t>
        </is>
      </c>
      <c r="I2621" t="n">
        <v>200</v>
      </c>
      <c r="J2621" t="n">
        <v>190</v>
      </c>
      <c r="K2621" t="n">
        <v>190</v>
      </c>
    </row>
    <row r="2622">
      <c r="A2622" t="n">
        <v>208</v>
      </c>
      <c r="B2622" t="inlineStr">
        <is>
          <t>Consumo de Agua m3 Mensual</t>
        </is>
      </c>
      <c r="C2622" t="inlineStr">
        <is>
          <t>GESTIÓN AMBIENTAL</t>
        </is>
      </c>
      <c r="D2622" t="inlineStr">
        <is>
          <t>Mensual</t>
        </is>
      </c>
      <c r="E2622" t="inlineStr">
        <is>
          <t>Negativo</t>
        </is>
      </c>
      <c r="F2622" s="105" t="n">
        <v>45808</v>
      </c>
      <c r="G2622" t="inlineStr">
        <is>
          <t>208-2025-05-31</t>
        </is>
      </c>
      <c r="H2622" t="inlineStr">
        <is>
          <t>Sede Bienestar - Medellín</t>
        </is>
      </c>
      <c r="I2622" t="n">
        <v>0</v>
      </c>
      <c r="J2622" t="n">
        <v>0</v>
      </c>
      <c r="K2622" t="n">
        <v>0</v>
      </c>
    </row>
    <row r="2623">
      <c r="A2623" t="n">
        <v>208</v>
      </c>
      <c r="B2623" t="inlineStr">
        <is>
          <t>Consumo de Agua m3 Mensual</t>
        </is>
      </c>
      <c r="C2623" t="inlineStr">
        <is>
          <t>GESTIÓN AMBIENTAL</t>
        </is>
      </c>
      <c r="D2623" t="inlineStr">
        <is>
          <t>Mensual</t>
        </is>
      </c>
      <c r="E2623" t="inlineStr">
        <is>
          <t>Negativo</t>
        </is>
      </c>
      <c r="F2623" s="105" t="n">
        <v>45808</v>
      </c>
      <c r="G2623" t="inlineStr">
        <is>
          <t>208-2025-05-31</t>
        </is>
      </c>
      <c r="H2623" t="inlineStr">
        <is>
          <t>Consultorio Psicología - Medellin</t>
        </is>
      </c>
      <c r="I2623" t="n">
        <v>25</v>
      </c>
      <c r="J2623" t="n">
        <v>26</v>
      </c>
      <c r="K2623" t="n">
        <v>26</v>
      </c>
    </row>
    <row r="2624">
      <c r="A2624" t="n">
        <v>208</v>
      </c>
      <c r="B2624" t="inlineStr">
        <is>
          <t>Consumo de Agua m3 Mensual</t>
        </is>
      </c>
      <c r="C2624" t="inlineStr">
        <is>
          <t>GESTIÓN AMBIENTAL</t>
        </is>
      </c>
      <c r="D2624" t="inlineStr">
        <is>
          <t>Mensual</t>
        </is>
      </c>
      <c r="E2624" t="inlineStr">
        <is>
          <t>Negativo</t>
        </is>
      </c>
      <c r="F2624" s="105" t="n">
        <v>45808</v>
      </c>
      <c r="G2624" t="inlineStr">
        <is>
          <t>208-2025-05-31</t>
        </is>
      </c>
      <c r="H2624" t="inlineStr">
        <is>
          <t>City Campus</t>
        </is>
      </c>
      <c r="I2624" t="n">
        <v>350</v>
      </c>
      <c r="J2624" t="n">
        <v>517.5</v>
      </c>
      <c r="K2624" t="n">
        <v>517.5</v>
      </c>
    </row>
    <row r="2625">
      <c r="A2625" t="n">
        <v>214</v>
      </c>
      <c r="B2625" t="inlineStr">
        <is>
          <t>Generación de Residuos Sólidos Mensual</t>
        </is>
      </c>
      <c r="C2625" t="inlineStr">
        <is>
          <t>GESTIÓN AMBIENTAL</t>
        </is>
      </c>
      <c r="D2625" t="inlineStr">
        <is>
          <t>Mensual</t>
        </is>
      </c>
      <c r="E2625" t="inlineStr">
        <is>
          <t>Negativo</t>
        </is>
      </c>
      <c r="F2625" s="105" t="n">
        <v>45808</v>
      </c>
      <c r="G2625" t="inlineStr">
        <is>
          <t>214-2025-05-31</t>
        </is>
      </c>
      <c r="H2625" t="inlineStr">
        <is>
          <t>City Campus</t>
        </is>
      </c>
      <c r="I2625" t="n">
        <v>1000</v>
      </c>
      <c r="J2625" t="n">
        <v>1181.579956054688</v>
      </c>
      <c r="L2625" t="n">
        <v>107.87</v>
      </c>
      <c r="M2625" t="n">
        <v>1073.71</v>
      </c>
    </row>
    <row r="2626">
      <c r="A2626" t="n">
        <v>214</v>
      </c>
      <c r="B2626" t="inlineStr">
        <is>
          <t>Generación de Residuos Sólidos Mensual</t>
        </is>
      </c>
      <c r="C2626" t="inlineStr">
        <is>
          <t>GESTIÓN AMBIENTAL</t>
        </is>
      </c>
      <c r="D2626" t="inlineStr">
        <is>
          <t>Mensual</t>
        </is>
      </c>
      <c r="E2626" t="inlineStr">
        <is>
          <t>Negativo</t>
        </is>
      </c>
      <c r="F2626" s="105" t="n">
        <v>45808</v>
      </c>
      <c r="G2626" t="inlineStr">
        <is>
          <t>214-2025-05-31</t>
        </is>
      </c>
      <c r="H2626" t="inlineStr">
        <is>
          <t>Sede Posgrado-Calle 85</t>
        </is>
      </c>
      <c r="I2626" t="n">
        <v>7500</v>
      </c>
      <c r="J2626" t="n">
        <v>30.07999992370605</v>
      </c>
      <c r="L2626" t="n">
        <v>8.06</v>
      </c>
      <c r="M2626" t="n">
        <v>22.02</v>
      </c>
    </row>
    <row r="2627">
      <c r="A2627" t="n">
        <v>214</v>
      </c>
      <c r="B2627" t="inlineStr">
        <is>
          <t>Generación de Residuos Sólidos Mensual</t>
        </is>
      </c>
      <c r="C2627" t="inlineStr">
        <is>
          <t>GESTIÓN AMBIENTAL</t>
        </is>
      </c>
      <c r="D2627" t="inlineStr">
        <is>
          <t>Mensual</t>
        </is>
      </c>
      <c r="E2627" t="inlineStr">
        <is>
          <t>Negativo</t>
        </is>
      </c>
      <c r="F2627" s="105" t="n">
        <v>45808</v>
      </c>
      <c r="G2627" t="inlineStr">
        <is>
          <t>214-2025-05-31</t>
        </is>
      </c>
      <c r="H2627" t="inlineStr">
        <is>
          <t>Campus-Medellín</t>
        </is>
      </c>
      <c r="I2627" t="n">
        <v>1000</v>
      </c>
      <c r="J2627" t="n">
        <v>944.2000122070312</v>
      </c>
      <c r="L2627" t="n">
        <v>76.09999999999999</v>
      </c>
      <c r="M2627" t="n">
        <v>868.1</v>
      </c>
    </row>
    <row r="2628">
      <c r="A2628" t="n">
        <v>214</v>
      </c>
      <c r="B2628" t="inlineStr">
        <is>
          <t>Generación de Residuos Sólidos Mensual</t>
        </is>
      </c>
      <c r="C2628" t="inlineStr">
        <is>
          <t>GESTIÓN AMBIENTAL</t>
        </is>
      </c>
      <c r="D2628" t="inlineStr">
        <is>
          <t>Mensual</t>
        </is>
      </c>
      <c r="E2628" t="inlineStr">
        <is>
          <t>Negativo</t>
        </is>
      </c>
      <c r="F2628" s="105" t="n">
        <v>45808</v>
      </c>
      <c r="G2628" t="inlineStr">
        <is>
          <t>214-2025-05-31</t>
        </is>
      </c>
      <c r="H2628" t="inlineStr">
        <is>
          <t>Sede Bienestar - Medellín</t>
        </is>
      </c>
      <c r="I2628" t="n">
        <v>1</v>
      </c>
      <c r="J2628" t="n">
        <v>242.25</v>
      </c>
      <c r="L2628" t="n">
        <v>35.14</v>
      </c>
      <c r="M2628" t="n">
        <v>207.11</v>
      </c>
    </row>
    <row r="2629">
      <c r="A2629" t="n">
        <v>214</v>
      </c>
      <c r="B2629" t="inlineStr">
        <is>
          <t>Generación de Residuos Sólidos Mensual</t>
        </is>
      </c>
      <c r="C2629" t="inlineStr">
        <is>
          <t>GESTIÓN AMBIENTAL</t>
        </is>
      </c>
      <c r="D2629" t="inlineStr">
        <is>
          <t>Mensual</t>
        </is>
      </c>
      <c r="E2629" t="inlineStr">
        <is>
          <t>Negativo</t>
        </is>
      </c>
      <c r="F2629" s="105" t="n">
        <v>45808</v>
      </c>
      <c r="G2629" t="inlineStr">
        <is>
          <t>214-2025-05-31</t>
        </is>
      </c>
      <c r="H2629" t="inlineStr">
        <is>
          <t>Consultorio Psicología - Medellin</t>
        </is>
      </c>
      <c r="I2629" t="n">
        <v>1</v>
      </c>
      <c r="J2629" t="n">
        <v>36.27000045776367</v>
      </c>
      <c r="L2629" t="n">
        <v>7.66</v>
      </c>
      <c r="M2629" t="n">
        <v>28.61</v>
      </c>
    </row>
    <row r="2630">
      <c r="A2630" t="n">
        <v>214</v>
      </c>
      <c r="B2630" t="inlineStr">
        <is>
          <t>Generación de Residuos Sólidos Mensual</t>
        </is>
      </c>
      <c r="C2630" t="inlineStr">
        <is>
          <t>GESTIÓN AMBIENTAL</t>
        </is>
      </c>
      <c r="D2630" t="inlineStr">
        <is>
          <t>Mensual</t>
        </is>
      </c>
      <c r="E2630" t="inlineStr">
        <is>
          <t>Negativo</t>
        </is>
      </c>
      <c r="F2630" s="105" t="n">
        <v>45808</v>
      </c>
      <c r="G2630" t="inlineStr">
        <is>
          <t>214-2025-05-31</t>
        </is>
      </c>
      <c r="H2630" t="inlineStr">
        <is>
          <t>Campus Bogotá</t>
        </is>
      </c>
      <c r="I2630" t="n">
        <v>5500</v>
      </c>
      <c r="J2630" t="n">
        <v>3065.1298828125</v>
      </c>
      <c r="L2630" t="n">
        <v>400.13</v>
      </c>
      <c r="M2630" t="n">
        <v>2665</v>
      </c>
    </row>
    <row r="2631">
      <c r="A2631" t="n">
        <v>217</v>
      </c>
      <c r="B2631" t="inlineStr">
        <is>
          <t>Aprovechamiento de Residuos</t>
        </is>
      </c>
      <c r="C2631" t="inlineStr">
        <is>
          <t>GESTIÓN AMBIENTAL</t>
        </is>
      </c>
      <c r="D2631" t="inlineStr">
        <is>
          <t>Mensual</t>
        </is>
      </c>
      <c r="E2631" t="inlineStr">
        <is>
          <t>Positivo</t>
        </is>
      </c>
      <c r="F2631" s="105" t="n">
        <v>45808</v>
      </c>
      <c r="G2631" t="inlineStr">
        <is>
          <t>217-2025-05-31</t>
        </is>
      </c>
      <c r="H2631" t="inlineStr">
        <is>
          <t>City Campus</t>
        </is>
      </c>
      <c r="I2631" t="n">
        <v>20</v>
      </c>
      <c r="J2631" t="n">
        <v>9.130000114440918</v>
      </c>
      <c r="L2631" t="n">
        <v>107.87</v>
      </c>
      <c r="M2631" t="n">
        <v>1073.71</v>
      </c>
      <c r="AS2631" t="n">
        <v>107.87</v>
      </c>
    </row>
    <row r="2632">
      <c r="A2632" t="n">
        <v>217</v>
      </c>
      <c r="B2632" t="inlineStr">
        <is>
          <t>Aprovechamiento de Residuos</t>
        </is>
      </c>
      <c r="C2632" t="inlineStr">
        <is>
          <t>GESTIÓN AMBIENTAL</t>
        </is>
      </c>
      <c r="D2632" t="inlineStr">
        <is>
          <t>Mensual</t>
        </is>
      </c>
      <c r="E2632" t="inlineStr">
        <is>
          <t>Positivo</t>
        </is>
      </c>
      <c r="F2632" s="105" t="n">
        <v>45808</v>
      </c>
      <c r="G2632" t="inlineStr">
        <is>
          <t>217-2025-05-31</t>
        </is>
      </c>
      <c r="H2632" t="inlineStr">
        <is>
          <t>Sede Posgrado-Calle 85</t>
        </is>
      </c>
      <c r="I2632" t="n">
        <v>20</v>
      </c>
      <c r="J2632" t="n">
        <v>26.79999923706055</v>
      </c>
      <c r="L2632" t="n">
        <v>8.06</v>
      </c>
      <c r="M2632" t="n">
        <v>22.02</v>
      </c>
      <c r="AS2632" t="n">
        <v>8.06</v>
      </c>
    </row>
    <row r="2633">
      <c r="A2633" t="n">
        <v>217</v>
      </c>
      <c r="B2633" t="inlineStr">
        <is>
          <t>Aprovechamiento de Residuos</t>
        </is>
      </c>
      <c r="C2633" t="inlineStr">
        <is>
          <t>GESTIÓN AMBIENTAL</t>
        </is>
      </c>
      <c r="D2633" t="inlineStr">
        <is>
          <t>Mensual</t>
        </is>
      </c>
      <c r="E2633" t="inlineStr">
        <is>
          <t>Positivo</t>
        </is>
      </c>
      <c r="F2633" s="105" t="n">
        <v>45808</v>
      </c>
      <c r="G2633" t="inlineStr">
        <is>
          <t>217-2025-05-31</t>
        </is>
      </c>
      <c r="H2633" t="inlineStr">
        <is>
          <t>Campus-Medellín</t>
        </is>
      </c>
      <c r="I2633" t="n">
        <v>20</v>
      </c>
      <c r="J2633" t="n">
        <v>8.060000419616699</v>
      </c>
      <c r="L2633" t="n">
        <v>76.09999999999999</v>
      </c>
      <c r="M2633" t="n">
        <v>868.1</v>
      </c>
      <c r="AS2633" t="n">
        <v>76.09999999999999</v>
      </c>
    </row>
    <row r="2634">
      <c r="A2634" t="n">
        <v>217</v>
      </c>
      <c r="B2634" t="inlineStr">
        <is>
          <t>Aprovechamiento de Residuos</t>
        </is>
      </c>
      <c r="C2634" t="inlineStr">
        <is>
          <t>GESTIÓN AMBIENTAL</t>
        </is>
      </c>
      <c r="D2634" t="inlineStr">
        <is>
          <t>Mensual</t>
        </is>
      </c>
      <c r="E2634" t="inlineStr">
        <is>
          <t>Positivo</t>
        </is>
      </c>
      <c r="F2634" s="105" t="n">
        <v>45808</v>
      </c>
      <c r="G2634" t="inlineStr">
        <is>
          <t>217-2025-05-31</t>
        </is>
      </c>
      <c r="H2634" t="inlineStr">
        <is>
          <t>Sede Bienestar - Medellín</t>
        </is>
      </c>
      <c r="I2634" t="n">
        <v>20</v>
      </c>
      <c r="J2634" t="n">
        <v>14.51000022888184</v>
      </c>
      <c r="L2634" t="n">
        <v>35.14</v>
      </c>
      <c r="M2634" t="n">
        <v>207.11</v>
      </c>
      <c r="AS2634" t="n">
        <v>35.14</v>
      </c>
    </row>
    <row r="2635">
      <c r="A2635" t="n">
        <v>217</v>
      </c>
      <c r="B2635" t="inlineStr">
        <is>
          <t>Aprovechamiento de Residuos</t>
        </is>
      </c>
      <c r="C2635" t="inlineStr">
        <is>
          <t>GESTIÓN AMBIENTAL</t>
        </is>
      </c>
      <c r="D2635" t="inlineStr">
        <is>
          <t>Mensual</t>
        </is>
      </c>
      <c r="E2635" t="inlineStr">
        <is>
          <t>Positivo</t>
        </is>
      </c>
      <c r="F2635" s="105" t="n">
        <v>45808</v>
      </c>
      <c r="G2635" t="inlineStr">
        <is>
          <t>217-2025-05-31</t>
        </is>
      </c>
      <c r="H2635" t="inlineStr">
        <is>
          <t>Consultorio Psicología - Medellin</t>
        </is>
      </c>
      <c r="I2635" t="n">
        <v>20</v>
      </c>
      <c r="J2635" t="n">
        <v>21.1200008392334</v>
      </c>
      <c r="L2635" t="n">
        <v>7.66</v>
      </c>
      <c r="M2635" t="n">
        <v>28.61</v>
      </c>
      <c r="AS2635" t="n">
        <v>7.66</v>
      </c>
    </row>
    <row r="2636">
      <c r="A2636" t="n">
        <v>217</v>
      </c>
      <c r="B2636" t="inlineStr">
        <is>
          <t>Aprovechamiento de Residuos</t>
        </is>
      </c>
      <c r="C2636" t="inlineStr">
        <is>
          <t>GESTIÓN AMBIENTAL</t>
        </is>
      </c>
      <c r="D2636" t="inlineStr">
        <is>
          <t>Mensual</t>
        </is>
      </c>
      <c r="E2636" t="inlineStr">
        <is>
          <t>Positivo</t>
        </is>
      </c>
      <c r="F2636" s="105" t="n">
        <v>45808</v>
      </c>
      <c r="G2636" t="inlineStr">
        <is>
          <t>217-2025-05-31</t>
        </is>
      </c>
      <c r="H2636" t="inlineStr">
        <is>
          <t>Campus Bogotá</t>
        </is>
      </c>
      <c r="I2636" t="n">
        <v>20</v>
      </c>
      <c r="J2636" t="n">
        <v>45.79999923706055</v>
      </c>
      <c r="L2636" t="n">
        <v>400.13</v>
      </c>
      <c r="M2636" t="n">
        <v>2665</v>
      </c>
      <c r="AS2636" t="n">
        <v>1403.83</v>
      </c>
    </row>
    <row r="2637">
      <c r="A2637" t="n">
        <v>218</v>
      </c>
      <c r="B2637" t="inlineStr">
        <is>
          <t>Consumo de Energía Eléctrica kWh Mensual</t>
        </is>
      </c>
      <c r="C2637" t="inlineStr">
        <is>
          <t>GESTIÓN AMBIENTAL</t>
        </is>
      </c>
      <c r="D2637" t="inlineStr">
        <is>
          <t>Mensual</t>
        </is>
      </c>
      <c r="E2637" t="inlineStr">
        <is>
          <t>Negativo</t>
        </is>
      </c>
      <c r="F2637" s="105" t="n">
        <v>45808</v>
      </c>
      <c r="G2637" t="inlineStr">
        <is>
          <t>218-2025-05-31</t>
        </is>
      </c>
      <c r="H2637" t="inlineStr">
        <is>
          <t>Campus Bogotá</t>
        </is>
      </c>
      <c r="I2637" t="n">
        <v>76000</v>
      </c>
      <c r="J2637" t="n">
        <v>71249.6328125</v>
      </c>
      <c r="N2637" t="n">
        <v>71249.63</v>
      </c>
    </row>
    <row r="2638">
      <c r="A2638" t="n">
        <v>218</v>
      </c>
      <c r="B2638" t="inlineStr">
        <is>
          <t>Consumo de Energía Eléctrica kWh Mensual</t>
        </is>
      </c>
      <c r="C2638" t="inlineStr">
        <is>
          <t>GESTIÓN AMBIENTAL</t>
        </is>
      </c>
      <c r="D2638" t="inlineStr">
        <is>
          <t>Mensual</t>
        </is>
      </c>
      <c r="E2638" t="inlineStr">
        <is>
          <t>Negativo</t>
        </is>
      </c>
      <c r="F2638" s="105" t="n">
        <v>45808</v>
      </c>
      <c r="G2638" t="inlineStr">
        <is>
          <t>218-2025-05-31</t>
        </is>
      </c>
      <c r="H2638" t="inlineStr">
        <is>
          <t>City Campus</t>
        </is>
      </c>
      <c r="I2638" t="n">
        <v>76000</v>
      </c>
      <c r="J2638" t="n">
        <v>46740</v>
      </c>
      <c r="N2638" t="n">
        <v>46740</v>
      </c>
    </row>
    <row r="2639">
      <c r="A2639" t="n">
        <v>218</v>
      </c>
      <c r="B2639" t="inlineStr">
        <is>
          <t>Consumo de Energía Eléctrica kWh Mensual</t>
        </is>
      </c>
      <c r="C2639" t="inlineStr">
        <is>
          <t>GESTIÓN AMBIENTAL</t>
        </is>
      </c>
      <c r="D2639" t="inlineStr">
        <is>
          <t>Mensual</t>
        </is>
      </c>
      <c r="E2639" t="inlineStr">
        <is>
          <t>Negativo</t>
        </is>
      </c>
      <c r="F2639" s="105" t="n">
        <v>45808</v>
      </c>
      <c r="G2639" t="inlineStr">
        <is>
          <t>218-2025-05-31</t>
        </is>
      </c>
      <c r="H2639" t="inlineStr">
        <is>
          <t>Campus-Medellín</t>
        </is>
      </c>
      <c r="I2639" t="n">
        <v>24000</v>
      </c>
      <c r="J2639" t="n">
        <v>21705</v>
      </c>
      <c r="N2639" t="n">
        <v>21705</v>
      </c>
    </row>
    <row r="2640">
      <c r="A2640" t="n">
        <v>218</v>
      </c>
      <c r="B2640" t="inlineStr">
        <is>
          <t>Consumo de Energía Eléctrica kWh Mensual</t>
        </is>
      </c>
      <c r="C2640" t="inlineStr">
        <is>
          <t>GESTIÓN AMBIENTAL</t>
        </is>
      </c>
      <c r="D2640" t="inlineStr">
        <is>
          <t>Mensual</t>
        </is>
      </c>
      <c r="E2640" t="inlineStr">
        <is>
          <t>Negativo</t>
        </is>
      </c>
      <c r="F2640" s="105" t="n">
        <v>45808</v>
      </c>
      <c r="G2640" t="inlineStr">
        <is>
          <t>218-2025-05-31</t>
        </is>
      </c>
      <c r="H2640" t="inlineStr">
        <is>
          <t>Sede Bienestar - Medellín</t>
        </is>
      </c>
      <c r="I2640" t="n">
        <v>5000</v>
      </c>
      <c r="J2640" t="n">
        <v>0</v>
      </c>
      <c r="N2640" t="n">
        <v>0</v>
      </c>
    </row>
    <row r="2641">
      <c r="A2641" t="n">
        <v>218</v>
      </c>
      <c r="B2641" t="inlineStr">
        <is>
          <t>Consumo de Energía Eléctrica kWh Mensual</t>
        </is>
      </c>
      <c r="C2641" t="inlineStr">
        <is>
          <t>GESTIÓN AMBIENTAL</t>
        </is>
      </c>
      <c r="D2641" t="inlineStr">
        <is>
          <t>Mensual</t>
        </is>
      </c>
      <c r="E2641" t="inlineStr">
        <is>
          <t>Negativo</t>
        </is>
      </c>
      <c r="F2641" s="105" t="n">
        <v>45808</v>
      </c>
      <c r="G2641" t="inlineStr">
        <is>
          <t>218-2025-05-31</t>
        </is>
      </c>
      <c r="H2641" t="inlineStr">
        <is>
          <t>Consultorio Psicología - Medellin</t>
        </is>
      </c>
      <c r="I2641" t="n">
        <v>2000</v>
      </c>
      <c r="J2641" t="n">
        <v>2553</v>
      </c>
      <c r="N2641" t="n">
        <v>2553</v>
      </c>
    </row>
    <row r="2642">
      <c r="A2642" t="n">
        <v>218</v>
      </c>
      <c r="B2642" t="inlineStr">
        <is>
          <t>Consumo de Energía Eléctrica kWh Mensual</t>
        </is>
      </c>
      <c r="C2642" t="inlineStr">
        <is>
          <t>GESTIÓN AMBIENTAL</t>
        </is>
      </c>
      <c r="D2642" t="inlineStr">
        <is>
          <t>Mensual</t>
        </is>
      </c>
      <c r="E2642" t="inlineStr">
        <is>
          <t>Negativo</t>
        </is>
      </c>
      <c r="F2642" s="105" t="n">
        <v>45808</v>
      </c>
      <c r="G2642" t="inlineStr">
        <is>
          <t>218-2025-05-31</t>
        </is>
      </c>
      <c r="H2642" t="inlineStr">
        <is>
          <t>Sede Posgrado-Calle 85</t>
        </is>
      </c>
      <c r="I2642" t="n">
        <v>5000</v>
      </c>
      <c r="J2642" t="n">
        <v>4080</v>
      </c>
      <c r="N2642" t="n">
        <v>4080</v>
      </c>
    </row>
    <row r="2643">
      <c r="A2643" t="n">
        <v>225</v>
      </c>
      <c r="B2643" t="inlineStr">
        <is>
          <t>Acciones para el Cuidado y Mantenimiento de las Especies de Flora y el Suelo de las Áreas Naturales</t>
        </is>
      </c>
      <c r="C2643" t="inlineStr">
        <is>
          <t>GESTIÓN AMBIENTAL</t>
        </is>
      </c>
      <c r="D2643" t="inlineStr">
        <is>
          <t>Mensual</t>
        </is>
      </c>
      <c r="E2643" t="inlineStr">
        <is>
          <t>Positivo</t>
        </is>
      </c>
      <c r="F2643" s="105" t="n">
        <v>45808</v>
      </c>
      <c r="G2643" t="inlineStr">
        <is>
          <t>225-2025-05-31</t>
        </is>
      </c>
      <c r="H2643" t="inlineStr">
        <is>
          <t>Campus Bogotá</t>
        </is>
      </c>
      <c r="I2643" t="n">
        <v>1</v>
      </c>
      <c r="J2643" t="n">
        <v>11</v>
      </c>
      <c r="AT2643" t="n">
        <v>11</v>
      </c>
    </row>
    <row r="2644">
      <c r="A2644" t="n">
        <v>225</v>
      </c>
      <c r="B2644" t="inlineStr">
        <is>
          <t>Acciones para el Cuidado y Mantenimiento de las Especies de Flora y el Suelo de las Áreas Naturales</t>
        </is>
      </c>
      <c r="C2644" t="inlineStr">
        <is>
          <t>GESTIÓN AMBIENTAL</t>
        </is>
      </c>
      <c r="D2644" t="inlineStr">
        <is>
          <t>Mensual</t>
        </is>
      </c>
      <c r="E2644" t="inlineStr">
        <is>
          <t>Positivo</t>
        </is>
      </c>
      <c r="F2644" s="105" t="n">
        <v>45808</v>
      </c>
      <c r="G2644" t="inlineStr">
        <is>
          <t>225-2025-05-31</t>
        </is>
      </c>
      <c r="H2644" t="inlineStr">
        <is>
          <t>City Campus</t>
        </is>
      </c>
      <c r="I2644" t="n">
        <v>1</v>
      </c>
      <c r="J2644" t="n">
        <v>4</v>
      </c>
      <c r="AT2644" t="n">
        <v>4</v>
      </c>
    </row>
    <row r="2645">
      <c r="A2645" t="n">
        <v>225</v>
      </c>
      <c r="B2645" t="inlineStr">
        <is>
          <t>Acciones para el Cuidado y Mantenimiento de las Especies de Flora y el Suelo de las Áreas Naturales</t>
        </is>
      </c>
      <c r="C2645" t="inlineStr">
        <is>
          <t>GESTIÓN AMBIENTAL</t>
        </is>
      </c>
      <c r="D2645" t="inlineStr">
        <is>
          <t>Mensual</t>
        </is>
      </c>
      <c r="E2645" t="inlineStr">
        <is>
          <t>Positivo</t>
        </is>
      </c>
      <c r="F2645" s="105" t="n">
        <v>45808</v>
      </c>
      <c r="G2645" t="inlineStr">
        <is>
          <t>225-2025-05-31</t>
        </is>
      </c>
      <c r="H2645" t="inlineStr">
        <is>
          <t>Sede Posgrado-Calle 85</t>
        </is>
      </c>
      <c r="I2645" t="n">
        <v>1</v>
      </c>
      <c r="J2645" t="n">
        <v>0</v>
      </c>
      <c r="AT2645" t="n">
        <v>0</v>
      </c>
    </row>
    <row r="2646">
      <c r="A2646" t="n">
        <v>225</v>
      </c>
      <c r="B2646" t="inlineStr">
        <is>
          <t>Acciones para el Cuidado y Mantenimiento de las Especies de Flora y el Suelo de las Áreas Naturales</t>
        </is>
      </c>
      <c r="C2646" t="inlineStr">
        <is>
          <t>GESTIÓN AMBIENTAL</t>
        </is>
      </c>
      <c r="D2646" t="inlineStr">
        <is>
          <t>Mensual</t>
        </is>
      </c>
      <c r="E2646" t="inlineStr">
        <is>
          <t>Positivo</t>
        </is>
      </c>
      <c r="F2646" s="105" t="n">
        <v>45808</v>
      </c>
      <c r="G2646" t="inlineStr">
        <is>
          <t>225-2025-05-31</t>
        </is>
      </c>
      <c r="H2646" t="inlineStr">
        <is>
          <t>Campus-Medellín</t>
        </is>
      </c>
      <c r="I2646" t="n">
        <v>1</v>
      </c>
      <c r="J2646" t="n">
        <v>10</v>
      </c>
      <c r="AT2646" t="n">
        <v>10</v>
      </c>
    </row>
    <row r="2647">
      <c r="A2647" t="n">
        <v>225</v>
      </c>
      <c r="B2647" t="inlineStr">
        <is>
          <t>Acciones para el Cuidado y Mantenimiento de las Especies de Flora y el Suelo de las Áreas Naturales</t>
        </is>
      </c>
      <c r="C2647" t="inlineStr">
        <is>
          <t>GESTIÓN AMBIENTAL</t>
        </is>
      </c>
      <c r="D2647" t="inlineStr">
        <is>
          <t>Mensual</t>
        </is>
      </c>
      <c r="E2647" t="inlineStr">
        <is>
          <t>Positivo</t>
        </is>
      </c>
      <c r="F2647" s="105" t="n">
        <v>45808</v>
      </c>
      <c r="G2647" t="inlineStr">
        <is>
          <t>225-2025-05-31</t>
        </is>
      </c>
      <c r="H2647" t="inlineStr">
        <is>
          <t>Sede Bienestar - Medellín</t>
        </is>
      </c>
      <c r="I2647" t="n">
        <v>1</v>
      </c>
      <c r="J2647" t="n">
        <v>2</v>
      </c>
      <c r="AT2647" t="n">
        <v>2</v>
      </c>
    </row>
    <row r="2648">
      <c r="A2648" t="n">
        <v>225</v>
      </c>
      <c r="B2648" t="inlineStr">
        <is>
          <t>Acciones para el Cuidado y Mantenimiento de las Especies de Flora y el Suelo de las Áreas Naturales</t>
        </is>
      </c>
      <c r="C2648" t="inlineStr">
        <is>
          <t>GESTIÓN AMBIENTAL</t>
        </is>
      </c>
      <c r="D2648" t="inlineStr">
        <is>
          <t>Mensual</t>
        </is>
      </c>
      <c r="E2648" t="inlineStr">
        <is>
          <t>Positivo</t>
        </is>
      </c>
      <c r="F2648" s="105" t="n">
        <v>45808</v>
      </c>
      <c r="G2648" t="inlineStr">
        <is>
          <t>225-2025-05-31</t>
        </is>
      </c>
      <c r="H2648" t="inlineStr">
        <is>
          <t>Consultorio Psicología - Medellin</t>
        </is>
      </c>
      <c r="I2648" t="n">
        <v>1</v>
      </c>
      <c r="J2648" t="n">
        <v>1</v>
      </c>
      <c r="AT2648" t="n">
        <v>1</v>
      </c>
    </row>
    <row r="2649">
      <c r="A2649" t="n">
        <v>239</v>
      </c>
      <c r="B2649" t="inlineStr">
        <is>
          <t>Portafolio de Proyectos - Metrica</t>
        </is>
      </c>
      <c r="C2649" t="inlineStr">
        <is>
          <t>Gestión de Proyectos</t>
        </is>
      </c>
      <c r="D2649" t="inlineStr">
        <is>
          <t>Mensual</t>
        </is>
      </c>
      <c r="E2649" t="inlineStr">
        <is>
          <t>Positivo</t>
        </is>
      </c>
      <c r="F2649" s="105" t="n">
        <v>45808</v>
      </c>
      <c r="G2649" t="inlineStr">
        <is>
          <t>239-2025-05-31</t>
        </is>
      </c>
      <c r="H2649" t="inlineStr">
        <is>
          <t>Planificación</t>
        </is>
      </c>
      <c r="J2649" t="n">
        <v>3</v>
      </c>
      <c r="AU2649" t="n">
        <v>3</v>
      </c>
    </row>
    <row r="2650">
      <c r="A2650" t="n">
        <v>239</v>
      </c>
      <c r="B2650" t="inlineStr">
        <is>
          <t>Portafolio de Proyectos - Metrica</t>
        </is>
      </c>
      <c r="C2650" t="inlineStr">
        <is>
          <t>Gestión de Proyectos</t>
        </is>
      </c>
      <c r="D2650" t="inlineStr">
        <is>
          <t>Mensual</t>
        </is>
      </c>
      <c r="E2650" t="inlineStr">
        <is>
          <t>Positivo</t>
        </is>
      </c>
      <c r="F2650" s="105" t="n">
        <v>45808</v>
      </c>
      <c r="G2650" t="inlineStr">
        <is>
          <t>239-2025-05-31</t>
        </is>
      </c>
      <c r="H2650" t="inlineStr">
        <is>
          <t>Ejecución</t>
        </is>
      </c>
      <c r="J2650" t="n">
        <v>14</v>
      </c>
      <c r="AU2650" t="n">
        <v>14</v>
      </c>
    </row>
    <row r="2651">
      <c r="A2651" t="n">
        <v>239</v>
      </c>
      <c r="B2651" t="inlineStr">
        <is>
          <t>Portafolio de Proyectos - Metrica</t>
        </is>
      </c>
      <c r="C2651" t="inlineStr">
        <is>
          <t>Gestión de Proyectos</t>
        </is>
      </c>
      <c r="D2651" t="inlineStr">
        <is>
          <t>Mensual</t>
        </is>
      </c>
      <c r="E2651" t="inlineStr">
        <is>
          <t>Positivo</t>
        </is>
      </c>
      <c r="F2651" s="105" t="n">
        <v>45808</v>
      </c>
      <c r="G2651" t="inlineStr">
        <is>
          <t>239-2025-05-31</t>
        </is>
      </c>
      <c r="H2651" t="inlineStr">
        <is>
          <t>Cierre</t>
        </is>
      </c>
      <c r="J2651" t="n">
        <v>0</v>
      </c>
      <c r="AU2651" t="n">
        <v>0</v>
      </c>
    </row>
    <row r="2652">
      <c r="A2652" t="n">
        <v>239</v>
      </c>
      <c r="B2652" t="inlineStr">
        <is>
          <t>Portafolio de Proyectos - Metrica</t>
        </is>
      </c>
      <c r="C2652" t="inlineStr">
        <is>
          <t>Gestión de Proyectos</t>
        </is>
      </c>
      <c r="D2652" t="inlineStr">
        <is>
          <t>Mensual</t>
        </is>
      </c>
      <c r="E2652" t="inlineStr">
        <is>
          <t>Positivo</t>
        </is>
      </c>
      <c r="F2652" s="105" t="n">
        <v>45808</v>
      </c>
      <c r="G2652" t="inlineStr">
        <is>
          <t>239-2025-05-31</t>
        </is>
      </c>
      <c r="H2652" t="inlineStr">
        <is>
          <t>Finalizados</t>
        </is>
      </c>
      <c r="J2652" t="n">
        <v>22</v>
      </c>
      <c r="AU2652" t="n">
        <v>22</v>
      </c>
    </row>
    <row r="2653">
      <c r="A2653" t="n">
        <v>239</v>
      </c>
      <c r="B2653" t="inlineStr">
        <is>
          <t>Portafolio de Proyectos - Metrica</t>
        </is>
      </c>
      <c r="C2653" t="inlineStr">
        <is>
          <t>Gestión de Proyectos</t>
        </is>
      </c>
      <c r="D2653" t="inlineStr">
        <is>
          <t>Mensual</t>
        </is>
      </c>
      <c r="E2653" t="inlineStr">
        <is>
          <t>Positivo</t>
        </is>
      </c>
      <c r="F2653" s="105" t="n">
        <v>45808</v>
      </c>
      <c r="G2653" t="inlineStr">
        <is>
          <t>239-2025-05-31</t>
        </is>
      </c>
      <c r="H2653" t="inlineStr">
        <is>
          <t>Stand by</t>
        </is>
      </c>
      <c r="J2653" t="n">
        <v>3</v>
      </c>
      <c r="AU2653" t="n">
        <v>3</v>
      </c>
    </row>
    <row r="2654">
      <c r="A2654" t="n">
        <v>434</v>
      </c>
      <c r="B2654" t="inlineStr">
        <is>
          <t>Generación de Residuos Peligrosos Mensual</t>
        </is>
      </c>
      <c r="C2654" t="inlineStr">
        <is>
          <t>GESTIÓN AMBIENTAL</t>
        </is>
      </c>
      <c r="D2654" t="inlineStr">
        <is>
          <t>Mensual</t>
        </is>
      </c>
      <c r="E2654" t="inlineStr">
        <is>
          <t>Negativo</t>
        </is>
      </c>
      <c r="F2654" s="105" t="n">
        <v>45808</v>
      </c>
      <c r="G2654" t="inlineStr">
        <is>
          <t>434-2025-05-31</t>
        </is>
      </c>
      <c r="H2654" t="inlineStr">
        <is>
          <t>Campus Bogotá</t>
        </is>
      </c>
      <c r="I2654" t="n">
        <v>100</v>
      </c>
      <c r="J2654" t="n">
        <v>9.819999694824219</v>
      </c>
      <c r="AV2654" t="n">
        <v>9.82</v>
      </c>
    </row>
    <row r="2655">
      <c r="A2655" t="n">
        <v>434</v>
      </c>
      <c r="B2655" t="inlineStr">
        <is>
          <t>Generación de Residuos Peligrosos Mensual</t>
        </is>
      </c>
      <c r="C2655" t="inlineStr">
        <is>
          <t>GESTIÓN AMBIENTAL</t>
        </is>
      </c>
      <c r="D2655" t="inlineStr">
        <is>
          <t>Mensual</t>
        </is>
      </c>
      <c r="E2655" t="inlineStr">
        <is>
          <t>Negativo</t>
        </is>
      </c>
      <c r="F2655" s="105" t="n">
        <v>45808</v>
      </c>
      <c r="G2655" t="inlineStr">
        <is>
          <t>434-2025-05-31</t>
        </is>
      </c>
      <c r="H2655" t="inlineStr">
        <is>
          <t>Sede Posgrado-Calle 85</t>
        </is>
      </c>
      <c r="I2655" t="n">
        <v>200</v>
      </c>
      <c r="J2655" t="n">
        <v>0</v>
      </c>
      <c r="AV2655" t="n">
        <v>0</v>
      </c>
    </row>
    <row r="2656">
      <c r="A2656" t="n">
        <v>434</v>
      </c>
      <c r="B2656" t="inlineStr">
        <is>
          <t>Generación de Residuos Peligrosos Mensual</t>
        </is>
      </c>
      <c r="C2656" t="inlineStr">
        <is>
          <t>GESTIÓN AMBIENTAL</t>
        </is>
      </c>
      <c r="D2656" t="inlineStr">
        <is>
          <t>Mensual</t>
        </is>
      </c>
      <c r="E2656" t="inlineStr">
        <is>
          <t>Negativo</t>
        </is>
      </c>
      <c r="F2656" s="105" t="n">
        <v>45808</v>
      </c>
      <c r="G2656" t="inlineStr">
        <is>
          <t>434-2025-05-31</t>
        </is>
      </c>
      <c r="H2656" t="inlineStr">
        <is>
          <t>Campus-Medellín</t>
        </is>
      </c>
      <c r="I2656" t="n">
        <v>25</v>
      </c>
      <c r="J2656" t="n">
        <v>1.600000023841858</v>
      </c>
      <c r="AV2656" t="n">
        <v>1.6</v>
      </c>
    </row>
    <row r="2657">
      <c r="A2657" t="n">
        <v>434</v>
      </c>
      <c r="B2657" t="inlineStr">
        <is>
          <t>Generación de Residuos Peligrosos Mensual</t>
        </is>
      </c>
      <c r="C2657" t="inlineStr">
        <is>
          <t>GESTIÓN AMBIENTAL</t>
        </is>
      </c>
      <c r="D2657" t="inlineStr">
        <is>
          <t>Mensual</t>
        </is>
      </c>
      <c r="E2657" t="inlineStr">
        <is>
          <t>Negativo</t>
        </is>
      </c>
      <c r="F2657" s="105" t="n">
        <v>45808</v>
      </c>
      <c r="G2657" t="inlineStr">
        <is>
          <t>434-2025-05-31</t>
        </is>
      </c>
      <c r="H2657" t="inlineStr">
        <is>
          <t>Sede Bienestar - Medellín</t>
        </is>
      </c>
      <c r="I2657" t="n">
        <v>10</v>
      </c>
      <c r="J2657" t="n">
        <v>0.1000000014901161</v>
      </c>
      <c r="AV2657" t="n">
        <v>0.1</v>
      </c>
    </row>
    <row r="2658">
      <c r="A2658" t="n">
        <v>434</v>
      </c>
      <c r="B2658" t="inlineStr">
        <is>
          <t>Generación de Residuos Peligrosos Mensual</t>
        </is>
      </c>
      <c r="C2658" t="inlineStr">
        <is>
          <t>GESTIÓN AMBIENTAL</t>
        </is>
      </c>
      <c r="D2658" t="inlineStr">
        <is>
          <t>Mensual</t>
        </is>
      </c>
      <c r="E2658" t="inlineStr">
        <is>
          <t>Negativo</t>
        </is>
      </c>
      <c r="F2658" s="105" t="n">
        <v>45808</v>
      </c>
      <c r="G2658" t="inlineStr">
        <is>
          <t>434-2025-05-31</t>
        </is>
      </c>
      <c r="H2658" t="inlineStr">
        <is>
          <t>Consultorio Psicología - Medellin</t>
        </is>
      </c>
      <c r="I2658" t="n">
        <v>200</v>
      </c>
      <c r="J2658" t="n">
        <v>0</v>
      </c>
      <c r="AV2658" t="n">
        <v>0</v>
      </c>
    </row>
    <row r="2659">
      <c r="A2659" t="n">
        <v>434</v>
      </c>
      <c r="B2659" t="inlineStr">
        <is>
          <t>Generación de Residuos Peligrosos Mensual</t>
        </is>
      </c>
      <c r="C2659" t="inlineStr">
        <is>
          <t>GESTIÓN AMBIENTAL</t>
        </is>
      </c>
      <c r="D2659" t="inlineStr">
        <is>
          <t>Mensual</t>
        </is>
      </c>
      <c r="E2659" t="inlineStr">
        <is>
          <t>Negativo</t>
        </is>
      </c>
      <c r="F2659" s="105" t="n">
        <v>45808</v>
      </c>
      <c r="G2659" t="inlineStr">
        <is>
          <t>434-2025-05-31</t>
        </is>
      </c>
      <c r="H2659" t="inlineStr">
        <is>
          <t>City Campus</t>
        </is>
      </c>
      <c r="I2659" t="n">
        <v>25</v>
      </c>
      <c r="J2659" t="n">
        <v>1.080000042915344</v>
      </c>
      <c r="AV2659" t="n">
        <v>1.08</v>
      </c>
    </row>
    <row r="2660">
      <c r="A2660" t="n">
        <v>436</v>
      </c>
      <c r="B2660" t="inlineStr">
        <is>
          <t>ANS documentos operativos</t>
        </is>
      </c>
      <c r="C2660" t="inlineStr">
        <is>
          <t>Gestión de calidad</t>
        </is>
      </c>
      <c r="D2660" t="inlineStr">
        <is>
          <t>Mensual</t>
        </is>
      </c>
      <c r="E2660" t="inlineStr">
        <is>
          <t>Negativo</t>
        </is>
      </c>
      <c r="F2660" s="105" t="n">
        <v>45808</v>
      </c>
      <c r="G2660" t="inlineStr">
        <is>
          <t>436-2025-05-31</t>
        </is>
      </c>
      <c r="H2660" t="inlineStr">
        <is>
          <t>Solicitud Documental</t>
        </is>
      </c>
      <c r="I2660" t="n">
        <v>7</v>
      </c>
      <c r="J2660" t="n">
        <v>4.690000057220459</v>
      </c>
      <c r="CP2660" t="n">
        <v>4.69</v>
      </c>
    </row>
    <row r="2661">
      <c r="A2661" t="n">
        <v>436</v>
      </c>
      <c r="B2661" t="inlineStr">
        <is>
          <t>ANS documentos operativos</t>
        </is>
      </c>
      <c r="C2661" t="inlineStr">
        <is>
          <t>Gestión de calidad</t>
        </is>
      </c>
      <c r="D2661" t="inlineStr">
        <is>
          <t>Mensual</t>
        </is>
      </c>
      <c r="E2661" t="inlineStr">
        <is>
          <t>Negativo</t>
        </is>
      </c>
      <c r="F2661" s="105" t="n">
        <v>45808</v>
      </c>
      <c r="G2661" t="inlineStr">
        <is>
          <t>436-2025-05-31</t>
        </is>
      </c>
      <c r="H2661" t="inlineStr">
        <is>
          <t>Flujo de aprobación</t>
        </is>
      </c>
      <c r="I2661" t="n">
        <v>7</v>
      </c>
      <c r="J2661" t="n">
        <v>5.480000019073486</v>
      </c>
      <c r="CP2661" t="n">
        <v>5.48</v>
      </c>
    </row>
    <row r="2662">
      <c r="A2662" t="n">
        <v>485</v>
      </c>
      <c r="B2662" t="inlineStr">
        <is>
          <t>Oportunidad en el cierre de acciones</t>
        </is>
      </c>
      <c r="C2662" t="inlineStr">
        <is>
          <t>Gestión de calidad</t>
        </is>
      </c>
      <c r="D2662" t="inlineStr">
        <is>
          <t>Mensual</t>
        </is>
      </c>
      <c r="E2662" t="inlineStr">
        <is>
          <t>Positivo</t>
        </is>
      </c>
      <c r="F2662" s="105" t="n">
        <v>45808</v>
      </c>
      <c r="G2662" t="inlineStr">
        <is>
          <t>485-2025-05-31</t>
        </is>
      </c>
      <c r="H2662" t="inlineStr">
        <is>
          <t>Auditoría interna</t>
        </is>
      </c>
      <c r="I2662" t="n">
        <v>80</v>
      </c>
      <c r="J2662" t="n">
        <v>100</v>
      </c>
      <c r="EC2662" t="n">
        <v>2</v>
      </c>
      <c r="ED2662" t="n">
        <v>2</v>
      </c>
    </row>
    <row r="2663">
      <c r="A2663" t="n">
        <v>485</v>
      </c>
      <c r="B2663" t="inlineStr">
        <is>
          <t>Oportunidad en el cierre de acciones</t>
        </is>
      </c>
      <c r="C2663" t="inlineStr">
        <is>
          <t>Gestión de calidad</t>
        </is>
      </c>
      <c r="D2663" t="inlineStr">
        <is>
          <t>Mensual</t>
        </is>
      </c>
      <c r="E2663" t="inlineStr">
        <is>
          <t>Positivo</t>
        </is>
      </c>
      <c r="F2663" s="105" t="n">
        <v>45808</v>
      </c>
      <c r="G2663" t="inlineStr">
        <is>
          <t>485-2025-05-31</t>
        </is>
      </c>
      <c r="H2663" t="inlineStr">
        <is>
          <t>Auditoría externa</t>
        </is>
      </c>
      <c r="I2663" t="n">
        <v>80</v>
      </c>
      <c r="J2663" t="n">
        <v>0</v>
      </c>
      <c r="EC2663" t="n">
        <v>0</v>
      </c>
      <c r="ED2663" t="n">
        <v>0</v>
      </c>
    </row>
    <row r="2664">
      <c r="A2664" t="n">
        <v>485</v>
      </c>
      <c r="B2664" t="inlineStr">
        <is>
          <t>Oportunidad en el cierre de acciones</t>
        </is>
      </c>
      <c r="C2664" t="inlineStr">
        <is>
          <t>Gestión de calidad</t>
        </is>
      </c>
      <c r="D2664" t="inlineStr">
        <is>
          <t>Mensual</t>
        </is>
      </c>
      <c r="E2664" t="inlineStr">
        <is>
          <t>Positivo</t>
        </is>
      </c>
      <c r="F2664" s="105" t="n">
        <v>45808</v>
      </c>
      <c r="G2664" t="inlineStr">
        <is>
          <t>485-2025-05-31</t>
        </is>
      </c>
      <c r="H2664" t="inlineStr">
        <is>
          <t>Indicadores</t>
        </is>
      </c>
      <c r="I2664" t="n">
        <v>80</v>
      </c>
      <c r="J2664" t="n">
        <v>0</v>
      </c>
      <c r="EC2664" t="n">
        <v>0</v>
      </c>
      <c r="ED2664" t="n">
        <v>0</v>
      </c>
    </row>
    <row r="2665">
      <c r="A2665" t="n">
        <v>485</v>
      </c>
      <c r="B2665" t="inlineStr">
        <is>
          <t>Oportunidad en el cierre de acciones</t>
        </is>
      </c>
      <c r="C2665" t="inlineStr">
        <is>
          <t>Gestión de calidad</t>
        </is>
      </c>
      <c r="D2665" t="inlineStr">
        <is>
          <t>Mensual</t>
        </is>
      </c>
      <c r="E2665" t="inlineStr">
        <is>
          <t>Positivo</t>
        </is>
      </c>
      <c r="F2665" s="105" t="n">
        <v>45808</v>
      </c>
      <c r="G2665" t="inlineStr">
        <is>
          <t>485-2025-05-31</t>
        </is>
      </c>
      <c r="H2665" t="inlineStr">
        <is>
          <t>Riesgos</t>
        </is>
      </c>
      <c r="I2665" t="n">
        <v>80</v>
      </c>
      <c r="J2665" t="n">
        <v>0</v>
      </c>
      <c r="EC2665" t="n">
        <v>0</v>
      </c>
      <c r="ED2665" t="n">
        <v>0</v>
      </c>
    </row>
    <row r="2666">
      <c r="A2666" t="n">
        <v>485</v>
      </c>
      <c r="B2666" t="inlineStr">
        <is>
          <t>Oportunidad en el cierre de acciones</t>
        </is>
      </c>
      <c r="C2666" t="inlineStr">
        <is>
          <t>Gestión de calidad</t>
        </is>
      </c>
      <c r="D2666" t="inlineStr">
        <is>
          <t>Mensual</t>
        </is>
      </c>
      <c r="E2666" t="inlineStr">
        <is>
          <t>Positivo</t>
        </is>
      </c>
      <c r="F2666" s="105" t="n">
        <v>45808</v>
      </c>
      <c r="G2666" t="inlineStr">
        <is>
          <t>485-2025-05-31</t>
        </is>
      </c>
      <c r="H2666" t="inlineStr">
        <is>
          <t>Autoevaluación</t>
        </is>
      </c>
      <c r="I2666" t="n">
        <v>80</v>
      </c>
      <c r="J2666" t="n">
        <v>0</v>
      </c>
      <c r="EC2666" t="n">
        <v>0</v>
      </c>
      <c r="ED2666" t="n">
        <v>0</v>
      </c>
    </row>
    <row r="2667">
      <c r="A2667" t="n">
        <v>485</v>
      </c>
      <c r="B2667" t="inlineStr">
        <is>
          <t>Oportunidad en el cierre de acciones</t>
        </is>
      </c>
      <c r="C2667" t="inlineStr">
        <is>
          <t>Gestión de calidad</t>
        </is>
      </c>
      <c r="D2667" t="inlineStr">
        <is>
          <t>Mensual</t>
        </is>
      </c>
      <c r="E2667" t="inlineStr">
        <is>
          <t>Positivo</t>
        </is>
      </c>
      <c r="F2667" s="105" t="n">
        <v>45808</v>
      </c>
      <c r="G2667" t="inlineStr">
        <is>
          <t>485-2025-05-31</t>
        </is>
      </c>
      <c r="H2667" t="inlineStr">
        <is>
          <t>Entes de control</t>
        </is>
      </c>
      <c r="I2667" t="n">
        <v>80</v>
      </c>
      <c r="J2667" t="n">
        <v>0</v>
      </c>
      <c r="EC2667" t="n">
        <v>0</v>
      </c>
      <c r="ED2667" t="n">
        <v>0</v>
      </c>
    </row>
    <row r="2668">
      <c r="A2668" t="n">
        <v>485</v>
      </c>
      <c r="B2668" t="inlineStr">
        <is>
          <t>Oportunidad en el cierre de acciones</t>
        </is>
      </c>
      <c r="C2668" t="inlineStr">
        <is>
          <t>Gestión de calidad</t>
        </is>
      </c>
      <c r="D2668" t="inlineStr">
        <is>
          <t>Mensual</t>
        </is>
      </c>
      <c r="E2668" t="inlineStr">
        <is>
          <t>Positivo</t>
        </is>
      </c>
      <c r="F2668" s="105" t="n">
        <v>45808</v>
      </c>
      <c r="G2668" t="inlineStr">
        <is>
          <t>485-2025-05-31</t>
        </is>
      </c>
      <c r="H2668" t="inlineStr">
        <is>
          <t>Seguimiento y control</t>
        </is>
      </c>
      <c r="I2668" t="n">
        <v>80</v>
      </c>
      <c r="J2668" t="n">
        <v>0</v>
      </c>
      <c r="EC2668" t="n">
        <v>0</v>
      </c>
      <c r="ED2668" t="n">
        <v>0</v>
      </c>
    </row>
    <row r="2669">
      <c r="A2669" t="n">
        <v>485</v>
      </c>
      <c r="B2669" t="inlineStr">
        <is>
          <t>Oportunidad en el cierre de acciones</t>
        </is>
      </c>
      <c r="C2669" t="inlineStr">
        <is>
          <t>Gestión de calidad</t>
        </is>
      </c>
      <c r="D2669" t="inlineStr">
        <is>
          <t>Mensual</t>
        </is>
      </c>
      <c r="E2669" t="inlineStr">
        <is>
          <t>Positivo</t>
        </is>
      </c>
      <c r="F2669" s="105" t="n">
        <v>45808</v>
      </c>
      <c r="G2669" t="inlineStr">
        <is>
          <t>485-2025-05-31</t>
        </is>
      </c>
      <c r="H2669" t="inlineStr">
        <is>
          <t>Experiencia</t>
        </is>
      </c>
      <c r="I2669" t="n">
        <v>80</v>
      </c>
      <c r="J2669" t="n">
        <v>0</v>
      </c>
      <c r="EC2669" t="n">
        <v>0</v>
      </c>
      <c r="ED2669" t="n">
        <v>0</v>
      </c>
    </row>
    <row r="2670">
      <c r="A2670" t="n">
        <v>485</v>
      </c>
      <c r="B2670" t="inlineStr">
        <is>
          <t>Oportunidad en el cierre de acciones</t>
        </is>
      </c>
      <c r="C2670" t="inlineStr">
        <is>
          <t>Gestión de calidad</t>
        </is>
      </c>
      <c r="D2670" t="inlineStr">
        <is>
          <t>Mensual</t>
        </is>
      </c>
      <c r="E2670" t="inlineStr">
        <is>
          <t>Positivo</t>
        </is>
      </c>
      <c r="F2670" s="105" t="n">
        <v>45808</v>
      </c>
      <c r="G2670" t="inlineStr">
        <is>
          <t>485-2025-05-31</t>
        </is>
      </c>
      <c r="H2670" t="inlineStr">
        <is>
          <t>Revisión por la dirección</t>
        </is>
      </c>
      <c r="I2670" t="n">
        <v>80</v>
      </c>
      <c r="J2670" t="n">
        <v>0</v>
      </c>
      <c r="EC2670" t="n">
        <v>0</v>
      </c>
      <c r="ED2670" t="n">
        <v>0</v>
      </c>
    </row>
    <row r="2671">
      <c r="A2671" t="n">
        <v>488</v>
      </c>
      <c r="B2671" t="inlineStr">
        <is>
          <t>Oportunidad en el cierre de actividades de los planes de mejora</t>
        </is>
      </c>
      <c r="C2671" t="inlineStr">
        <is>
          <t>Gestión de calidad</t>
        </is>
      </c>
      <c r="D2671" t="inlineStr">
        <is>
          <t>Mensual</t>
        </is>
      </c>
      <c r="E2671" t="inlineStr">
        <is>
          <t>Positivo</t>
        </is>
      </c>
      <c r="F2671" s="105" t="n">
        <v>45808</v>
      </c>
      <c r="G2671" t="inlineStr">
        <is>
          <t>488-2025-05-31</t>
        </is>
      </c>
      <c r="H2671" t="inlineStr">
        <is>
          <t>Auditoría interna</t>
        </is>
      </c>
      <c r="I2671" t="n">
        <v>85</v>
      </c>
      <c r="J2671" t="n">
        <v>60</v>
      </c>
      <c r="EE2671" t="n">
        <v>3</v>
      </c>
      <c r="EF2671" t="n">
        <v>5</v>
      </c>
    </row>
    <row r="2672">
      <c r="A2672" t="n">
        <v>488</v>
      </c>
      <c r="B2672" t="inlineStr">
        <is>
          <t>Oportunidad en el cierre de actividades de los planes de mejora</t>
        </is>
      </c>
      <c r="C2672" t="inlineStr">
        <is>
          <t>Gestión de calidad</t>
        </is>
      </c>
      <c r="D2672" t="inlineStr">
        <is>
          <t>Mensual</t>
        </is>
      </c>
      <c r="E2672" t="inlineStr">
        <is>
          <t>Positivo</t>
        </is>
      </c>
      <c r="F2672" s="105" t="n">
        <v>45808</v>
      </c>
      <c r="G2672" t="inlineStr">
        <is>
          <t>488-2025-05-31</t>
        </is>
      </c>
      <c r="H2672" t="inlineStr">
        <is>
          <t>Auditoría externa</t>
        </is>
      </c>
      <c r="I2672" t="n">
        <v>85</v>
      </c>
      <c r="J2672" t="n">
        <v>25</v>
      </c>
      <c r="EE2672" t="n">
        <v>4</v>
      </c>
      <c r="EF2672" t="n">
        <v>16</v>
      </c>
    </row>
    <row r="2673">
      <c r="A2673" t="n">
        <v>488</v>
      </c>
      <c r="B2673" t="inlineStr">
        <is>
          <t>Oportunidad en el cierre de actividades de los planes de mejora</t>
        </is>
      </c>
      <c r="C2673" t="inlineStr">
        <is>
          <t>Gestión de calidad</t>
        </is>
      </c>
      <c r="D2673" t="inlineStr">
        <is>
          <t>Mensual</t>
        </is>
      </c>
      <c r="E2673" t="inlineStr">
        <is>
          <t>Positivo</t>
        </is>
      </c>
      <c r="F2673" s="105" t="n">
        <v>45808</v>
      </c>
      <c r="G2673" t="inlineStr">
        <is>
          <t>488-2025-05-31</t>
        </is>
      </c>
      <c r="H2673" t="inlineStr">
        <is>
          <t>Riesgos</t>
        </is>
      </c>
      <c r="I2673" t="n">
        <v>85</v>
      </c>
      <c r="J2673" t="n">
        <v>89.36000061035156</v>
      </c>
      <c r="EE2673" t="n">
        <v>42</v>
      </c>
      <c r="EF2673" t="n">
        <v>47</v>
      </c>
    </row>
    <row r="2674">
      <c r="A2674" t="n">
        <v>488</v>
      </c>
      <c r="B2674" t="inlineStr">
        <is>
          <t>Oportunidad en el cierre de actividades de los planes de mejora</t>
        </is>
      </c>
      <c r="C2674" t="inlineStr">
        <is>
          <t>Gestión de calidad</t>
        </is>
      </c>
      <c r="D2674" t="inlineStr">
        <is>
          <t>Mensual</t>
        </is>
      </c>
      <c r="E2674" t="inlineStr">
        <is>
          <t>Positivo</t>
        </is>
      </c>
      <c r="F2674" s="105" t="n">
        <v>45808</v>
      </c>
      <c r="G2674" t="inlineStr">
        <is>
          <t>488-2025-05-31</t>
        </is>
      </c>
      <c r="H2674" t="inlineStr">
        <is>
          <t>Autoevaluación</t>
        </is>
      </c>
      <c r="I2674" t="n">
        <v>85</v>
      </c>
      <c r="J2674" t="n">
        <v>0</v>
      </c>
      <c r="EE2674" t="n">
        <v>0</v>
      </c>
      <c r="EF2674" t="n">
        <v>0</v>
      </c>
    </row>
    <row r="2675">
      <c r="A2675" t="n">
        <v>488</v>
      </c>
      <c r="B2675" t="inlineStr">
        <is>
          <t>Oportunidad en el cierre de actividades de los planes de mejora</t>
        </is>
      </c>
      <c r="C2675" t="inlineStr">
        <is>
          <t>Gestión de calidad</t>
        </is>
      </c>
      <c r="D2675" t="inlineStr">
        <is>
          <t>Mensual</t>
        </is>
      </c>
      <c r="E2675" t="inlineStr">
        <is>
          <t>Positivo</t>
        </is>
      </c>
      <c r="F2675" s="105" t="n">
        <v>45808</v>
      </c>
      <c r="G2675" t="inlineStr">
        <is>
          <t>488-2025-05-31</t>
        </is>
      </c>
      <c r="H2675" t="inlineStr">
        <is>
          <t>Entes de control</t>
        </is>
      </c>
      <c r="I2675" t="n">
        <v>85</v>
      </c>
      <c r="J2675" t="n">
        <v>0</v>
      </c>
      <c r="EE2675" t="n">
        <v>0</v>
      </c>
      <c r="EF2675" t="n">
        <v>0</v>
      </c>
    </row>
    <row r="2676">
      <c r="A2676" t="n">
        <v>488</v>
      </c>
      <c r="B2676" t="inlineStr">
        <is>
          <t>Oportunidad en el cierre de actividades de los planes de mejora</t>
        </is>
      </c>
      <c r="C2676" t="inlineStr">
        <is>
          <t>Gestión de calidad</t>
        </is>
      </c>
      <c r="D2676" t="inlineStr">
        <is>
          <t>Mensual</t>
        </is>
      </c>
      <c r="E2676" t="inlineStr">
        <is>
          <t>Positivo</t>
        </is>
      </c>
      <c r="F2676" s="105" t="n">
        <v>45808</v>
      </c>
      <c r="G2676" t="inlineStr">
        <is>
          <t>488-2025-05-31</t>
        </is>
      </c>
      <c r="H2676" t="inlineStr">
        <is>
          <t>Seguimiento y control</t>
        </is>
      </c>
      <c r="I2676" t="n">
        <v>85</v>
      </c>
      <c r="J2676" t="n">
        <v>46.15000152587891</v>
      </c>
      <c r="EE2676" t="n">
        <v>6</v>
      </c>
      <c r="EF2676" t="n">
        <v>13</v>
      </c>
    </row>
    <row r="2677">
      <c r="A2677" t="n">
        <v>488</v>
      </c>
      <c r="B2677" t="inlineStr">
        <is>
          <t>Oportunidad en el cierre de actividades de los planes de mejora</t>
        </is>
      </c>
      <c r="C2677" t="inlineStr">
        <is>
          <t>Gestión de calidad</t>
        </is>
      </c>
      <c r="D2677" t="inlineStr">
        <is>
          <t>Mensual</t>
        </is>
      </c>
      <c r="E2677" t="inlineStr">
        <is>
          <t>Positivo</t>
        </is>
      </c>
      <c r="F2677" s="105" t="n">
        <v>45808</v>
      </c>
      <c r="G2677" t="inlineStr">
        <is>
          <t>488-2025-05-31</t>
        </is>
      </c>
      <c r="H2677" t="inlineStr">
        <is>
          <t>Experiencia</t>
        </is>
      </c>
      <c r="I2677" t="n">
        <v>85</v>
      </c>
      <c r="J2677" t="n">
        <v>0</v>
      </c>
      <c r="EE2677" t="n">
        <v>0</v>
      </c>
      <c r="EF2677" t="n">
        <v>0</v>
      </c>
    </row>
    <row r="2678">
      <c r="A2678" t="n">
        <v>488</v>
      </c>
      <c r="B2678" t="inlineStr">
        <is>
          <t>Oportunidad en el cierre de actividades de los planes de mejora</t>
        </is>
      </c>
      <c r="C2678" t="inlineStr">
        <is>
          <t>Gestión de calidad</t>
        </is>
      </c>
      <c r="D2678" t="inlineStr">
        <is>
          <t>Mensual</t>
        </is>
      </c>
      <c r="E2678" t="inlineStr">
        <is>
          <t>Positivo</t>
        </is>
      </c>
      <c r="F2678" s="105" t="n">
        <v>45808</v>
      </c>
      <c r="G2678" t="inlineStr">
        <is>
          <t>488-2025-05-31</t>
        </is>
      </c>
      <c r="H2678" t="inlineStr">
        <is>
          <t>Revisión por la dirección</t>
        </is>
      </c>
      <c r="I2678" t="n">
        <v>85</v>
      </c>
      <c r="J2678" t="n">
        <v>0</v>
      </c>
      <c r="EE2678" t="n">
        <v>0</v>
      </c>
      <c r="EF2678" t="n">
        <v>0</v>
      </c>
    </row>
    <row r="2679">
      <c r="A2679" t="n">
        <v>488</v>
      </c>
      <c r="B2679" t="inlineStr">
        <is>
          <t>Oportunidad en el cierre de actividades de los planes de mejora</t>
        </is>
      </c>
      <c r="C2679" t="inlineStr">
        <is>
          <t>Gestión de calidad</t>
        </is>
      </c>
      <c r="D2679" t="inlineStr">
        <is>
          <t>Mensual</t>
        </is>
      </c>
      <c r="E2679" t="inlineStr">
        <is>
          <t>Positivo</t>
        </is>
      </c>
      <c r="F2679" s="105" t="n">
        <v>45808</v>
      </c>
      <c r="G2679" t="inlineStr">
        <is>
          <t>488-2025-05-31</t>
        </is>
      </c>
      <c r="H2679" t="inlineStr">
        <is>
          <t>Indicadores</t>
        </is>
      </c>
      <c r="I2679" t="n">
        <v>85</v>
      </c>
      <c r="J2679" t="n">
        <v>66.66999816894531</v>
      </c>
      <c r="EE2679" t="n">
        <v>2</v>
      </c>
      <c r="EF2679" t="n">
        <v>3</v>
      </c>
    </row>
    <row r="2680">
      <c r="A2680" t="n">
        <v>509</v>
      </c>
      <c r="B2680" t="inlineStr">
        <is>
          <t>Cumplimiento a cronograma de proyectos 2025</t>
        </is>
      </c>
      <c r="C2680" t="inlineStr">
        <is>
          <t>Gestión de Proyectos</t>
        </is>
      </c>
      <c r="D2680" t="inlineStr">
        <is>
          <t>Mensual</t>
        </is>
      </c>
      <c r="E2680" t="inlineStr">
        <is>
          <t>Positivo</t>
        </is>
      </c>
      <c r="F2680" s="105" t="n">
        <v>45808</v>
      </c>
      <c r="G2680" t="inlineStr">
        <is>
          <t>509-2025-05-31</t>
        </is>
      </c>
      <c r="H2680" t="inlineStr">
        <is>
          <t>Proyecto de Permanencia institucional</t>
        </is>
      </c>
      <c r="I2680" t="n">
        <v>90</v>
      </c>
      <c r="J2680" t="n">
        <v>94.29000091552734</v>
      </c>
      <c r="EJ2680" t="n">
        <v>70</v>
      </c>
      <c r="EK2680" t="n">
        <v>66</v>
      </c>
    </row>
    <row r="2681">
      <c r="A2681" t="n">
        <v>509</v>
      </c>
      <c r="B2681" t="inlineStr">
        <is>
          <t>Cumplimiento a cronograma de proyectos 2025</t>
        </is>
      </c>
      <c r="C2681" t="inlineStr">
        <is>
          <t>Gestión de Proyectos</t>
        </is>
      </c>
      <c r="D2681" t="inlineStr">
        <is>
          <t>Mensual</t>
        </is>
      </c>
      <c r="E2681" t="inlineStr">
        <is>
          <t>Positivo</t>
        </is>
      </c>
      <c r="F2681" s="105" t="n">
        <v>45808</v>
      </c>
      <c r="G2681" t="inlineStr">
        <is>
          <t>509-2025-05-31</t>
        </is>
      </c>
      <c r="H2681" t="inlineStr">
        <is>
          <t>Reingenieria de aplicaciones</t>
        </is>
      </c>
      <c r="I2681" t="n">
        <v>90</v>
      </c>
      <c r="J2681" t="n">
        <v>98.08000183105469</v>
      </c>
      <c r="EJ2681" t="n">
        <v>52</v>
      </c>
      <c r="EK2681" t="n">
        <v>51</v>
      </c>
    </row>
    <row r="2682">
      <c r="A2682" t="n">
        <v>509</v>
      </c>
      <c r="B2682" t="inlineStr">
        <is>
          <t>Cumplimiento a cronograma de proyectos 2025</t>
        </is>
      </c>
      <c r="C2682" t="inlineStr">
        <is>
          <t>Gestión de Proyectos</t>
        </is>
      </c>
      <c r="D2682" t="inlineStr">
        <is>
          <t>Mensual</t>
        </is>
      </c>
      <c r="E2682" t="inlineStr">
        <is>
          <t>Positivo</t>
        </is>
      </c>
      <c r="F2682" s="105" t="n">
        <v>45808</v>
      </c>
      <c r="G2682" t="inlineStr">
        <is>
          <t>509-2025-05-31</t>
        </is>
      </c>
      <c r="H2682" t="inlineStr">
        <is>
          <t>SOPHIA Sistema de Optimización y Programación Horaria Institucional  Académica  I Fase</t>
        </is>
      </c>
      <c r="I2682" t="n">
        <v>90</v>
      </c>
      <c r="J2682" t="n">
        <v>97.73000335693359</v>
      </c>
      <c r="EJ2682" t="n">
        <v>88</v>
      </c>
      <c r="EK2682" t="n">
        <v>86</v>
      </c>
    </row>
    <row r="2683">
      <c r="A2683" t="n">
        <v>509</v>
      </c>
      <c r="B2683" t="inlineStr">
        <is>
          <t>Cumplimiento a cronograma de proyectos 2025</t>
        </is>
      </c>
      <c r="C2683" t="inlineStr">
        <is>
          <t>Gestión de Proyectos</t>
        </is>
      </c>
      <c r="D2683" t="inlineStr">
        <is>
          <t>Mensual</t>
        </is>
      </c>
      <c r="E2683" t="inlineStr">
        <is>
          <t>Positivo</t>
        </is>
      </c>
      <c r="F2683" s="105" t="n">
        <v>45808</v>
      </c>
      <c r="G2683" t="inlineStr">
        <is>
          <t>509-2025-05-31</t>
        </is>
      </c>
      <c r="H2683" t="inlineStr">
        <is>
          <t>Modelo de seguimiento al graduado</t>
        </is>
      </c>
      <c r="I2683" t="n">
        <v>90</v>
      </c>
      <c r="J2683" t="n">
        <v>0</v>
      </c>
      <c r="EJ2683" t="n">
        <v>0</v>
      </c>
      <c r="EK2683" t="n">
        <v>0</v>
      </c>
    </row>
    <row r="2684">
      <c r="A2684" t="n">
        <v>509</v>
      </c>
      <c r="B2684" t="inlineStr">
        <is>
          <t>Cumplimiento a cronograma de proyectos 2025</t>
        </is>
      </c>
      <c r="C2684" t="inlineStr">
        <is>
          <t>Gestión de Proyectos</t>
        </is>
      </c>
      <c r="D2684" t="inlineStr">
        <is>
          <t>Mensual</t>
        </is>
      </c>
      <c r="E2684" t="inlineStr">
        <is>
          <t>Positivo</t>
        </is>
      </c>
      <c r="F2684" s="105" t="n">
        <v>45808</v>
      </c>
      <c r="G2684" t="inlineStr">
        <is>
          <t>509-2025-05-31</t>
        </is>
      </c>
      <c r="H2684" t="inlineStr">
        <is>
          <t>SER PRO Fase II</t>
        </is>
      </c>
      <c r="I2684" t="n">
        <v>90</v>
      </c>
      <c r="J2684" t="n">
        <v>0</v>
      </c>
      <c r="EJ2684" t="n">
        <v>0</v>
      </c>
      <c r="EK2684" t="n">
        <v>0</v>
      </c>
    </row>
    <row r="2685">
      <c r="A2685" t="n">
        <v>509</v>
      </c>
      <c r="B2685" t="inlineStr">
        <is>
          <t>Cumplimiento a cronograma de proyectos 2025</t>
        </is>
      </c>
      <c r="C2685" t="inlineStr">
        <is>
          <t>Gestión de Proyectos</t>
        </is>
      </c>
      <c r="D2685" t="inlineStr">
        <is>
          <t>Mensual</t>
        </is>
      </c>
      <c r="E2685" t="inlineStr">
        <is>
          <t>Positivo</t>
        </is>
      </c>
      <c r="F2685" s="105" t="n">
        <v>45808</v>
      </c>
      <c r="G2685" t="inlineStr">
        <is>
          <t>509-2025-05-31</t>
        </is>
      </c>
      <c r="H2685" t="inlineStr">
        <is>
          <t>Centro de Idiomas POLI</t>
        </is>
      </c>
      <c r="I2685" t="n">
        <v>90</v>
      </c>
      <c r="J2685" t="n">
        <v>0</v>
      </c>
      <c r="EK2685" t="n">
        <v>0</v>
      </c>
    </row>
    <row r="2686">
      <c r="A2686" t="n">
        <v>509</v>
      </c>
      <c r="B2686" t="inlineStr">
        <is>
          <t>Cumplimiento a cronograma de proyectos 2025</t>
        </is>
      </c>
      <c r="C2686" t="inlineStr">
        <is>
          <t>Gestión de Proyectos</t>
        </is>
      </c>
      <c r="D2686" t="inlineStr">
        <is>
          <t>Mensual</t>
        </is>
      </c>
      <c r="E2686" t="inlineStr">
        <is>
          <t>Positivo</t>
        </is>
      </c>
      <c r="F2686" s="105" t="n">
        <v>45808</v>
      </c>
      <c r="G2686" t="inlineStr">
        <is>
          <t>509-2025-05-31</t>
        </is>
      </c>
      <c r="H2686" t="inlineStr">
        <is>
          <t>Colegio Virtual</t>
        </is>
      </c>
      <c r="I2686" t="n">
        <v>90</v>
      </c>
      <c r="J2686" t="n">
        <v>0</v>
      </c>
      <c r="EJ2686" t="n">
        <v>0</v>
      </c>
      <c r="EK2686" t="n">
        <v>0</v>
      </c>
    </row>
    <row r="2687">
      <c r="A2687" t="n">
        <v>509</v>
      </c>
      <c r="B2687" t="inlineStr">
        <is>
          <t>Cumplimiento a cronograma de proyectos 2025</t>
        </is>
      </c>
      <c r="C2687" t="inlineStr">
        <is>
          <t>Gestión de Proyectos</t>
        </is>
      </c>
      <c r="D2687" t="inlineStr">
        <is>
          <t>Mensual</t>
        </is>
      </c>
      <c r="E2687" t="inlineStr">
        <is>
          <t>Positivo</t>
        </is>
      </c>
      <c r="F2687" s="105" t="n">
        <v>45808</v>
      </c>
      <c r="G2687" t="inlineStr">
        <is>
          <t>509-2025-05-31</t>
        </is>
      </c>
      <c r="H2687" t="inlineStr">
        <is>
          <t>Institución de educación para el trabajo y desarrollo humano IETDH</t>
        </is>
      </c>
      <c r="I2687" t="n">
        <v>90</v>
      </c>
      <c r="J2687" t="n">
        <v>0</v>
      </c>
      <c r="EJ2687" t="n">
        <v>0</v>
      </c>
      <c r="EK2687" t="n">
        <v>0</v>
      </c>
    </row>
    <row r="2688">
      <c r="A2688" t="n">
        <v>208</v>
      </c>
      <c r="B2688" t="inlineStr">
        <is>
          <t>Consumo de Agua m3 Mensual</t>
        </is>
      </c>
      <c r="C2688" t="inlineStr">
        <is>
          <t>GESTIÓN AMBIENTAL</t>
        </is>
      </c>
      <c r="D2688" t="inlineStr">
        <is>
          <t>Mensual</t>
        </is>
      </c>
      <c r="E2688" t="inlineStr">
        <is>
          <t>Negativo</t>
        </is>
      </c>
      <c r="F2688" s="105" t="n">
        <v>45838</v>
      </c>
      <c r="G2688" t="inlineStr">
        <is>
          <t>208-2025-06-30</t>
        </is>
      </c>
      <c r="H2688" t="inlineStr">
        <is>
          <t>Campus Bogotá</t>
        </is>
      </c>
      <c r="I2688" t="n">
        <v>950</v>
      </c>
      <c r="J2688" t="n">
        <v>716</v>
      </c>
      <c r="K2688" t="n">
        <v>716</v>
      </c>
    </row>
    <row r="2689">
      <c r="A2689" t="n">
        <v>208</v>
      </c>
      <c r="B2689" t="inlineStr">
        <is>
          <t>Consumo de Agua m3 Mensual</t>
        </is>
      </c>
      <c r="C2689" t="inlineStr">
        <is>
          <t>GESTIÓN AMBIENTAL</t>
        </is>
      </c>
      <c r="D2689" t="inlineStr">
        <is>
          <t>Mensual</t>
        </is>
      </c>
      <c r="E2689" t="inlineStr">
        <is>
          <t>Negativo</t>
        </is>
      </c>
      <c r="F2689" s="105" t="n">
        <v>45838</v>
      </c>
      <c r="G2689" t="inlineStr">
        <is>
          <t>208-2025-06-30</t>
        </is>
      </c>
      <c r="H2689" t="inlineStr">
        <is>
          <t>Sede Posgrado-Calle 85</t>
        </is>
      </c>
      <c r="I2689" t="n">
        <v>25</v>
      </c>
      <c r="J2689" t="n">
        <v>13</v>
      </c>
      <c r="K2689" t="n">
        <v>13</v>
      </c>
    </row>
    <row r="2690">
      <c r="A2690" t="n">
        <v>208</v>
      </c>
      <c r="B2690" t="inlineStr">
        <is>
          <t>Consumo de Agua m3 Mensual</t>
        </is>
      </c>
      <c r="C2690" t="inlineStr">
        <is>
          <t>GESTIÓN AMBIENTAL</t>
        </is>
      </c>
      <c r="D2690" t="inlineStr">
        <is>
          <t>Mensual</t>
        </is>
      </c>
      <c r="E2690" t="inlineStr">
        <is>
          <t>Negativo</t>
        </is>
      </c>
      <c r="F2690" s="105" t="n">
        <v>45838</v>
      </c>
      <c r="G2690" t="inlineStr">
        <is>
          <t>208-2025-06-30</t>
        </is>
      </c>
      <c r="H2690" t="inlineStr">
        <is>
          <t>Campus-Medellín</t>
        </is>
      </c>
      <c r="I2690" t="n">
        <v>200</v>
      </c>
      <c r="J2690" t="n">
        <v>153</v>
      </c>
      <c r="K2690" t="n">
        <v>153</v>
      </c>
    </row>
    <row r="2691">
      <c r="A2691" t="n">
        <v>208</v>
      </c>
      <c r="B2691" t="inlineStr">
        <is>
          <t>Consumo de Agua m3 Mensual</t>
        </is>
      </c>
      <c r="C2691" t="inlineStr">
        <is>
          <t>GESTIÓN AMBIENTAL</t>
        </is>
      </c>
      <c r="D2691" t="inlineStr">
        <is>
          <t>Mensual</t>
        </is>
      </c>
      <c r="E2691" t="inlineStr">
        <is>
          <t>Negativo</t>
        </is>
      </c>
      <c r="F2691" s="105" t="n">
        <v>45838</v>
      </c>
      <c r="G2691" t="inlineStr">
        <is>
          <t>208-2025-06-30</t>
        </is>
      </c>
      <c r="H2691" t="inlineStr">
        <is>
          <t>Sede Bienestar - Medellín</t>
        </is>
      </c>
      <c r="I2691" t="n">
        <v>0</v>
      </c>
      <c r="J2691" t="n">
        <v>0</v>
      </c>
      <c r="K2691" t="n">
        <v>0</v>
      </c>
    </row>
    <row r="2692">
      <c r="A2692" t="n">
        <v>208</v>
      </c>
      <c r="B2692" t="inlineStr">
        <is>
          <t>Consumo de Agua m3 Mensual</t>
        </is>
      </c>
      <c r="C2692" t="inlineStr">
        <is>
          <t>GESTIÓN AMBIENTAL</t>
        </is>
      </c>
      <c r="D2692" t="inlineStr">
        <is>
          <t>Mensual</t>
        </is>
      </c>
      <c r="E2692" t="inlineStr">
        <is>
          <t>Negativo</t>
        </is>
      </c>
      <c r="F2692" s="105" t="n">
        <v>45838</v>
      </c>
      <c r="G2692" t="inlineStr">
        <is>
          <t>208-2025-06-30</t>
        </is>
      </c>
      <c r="H2692" t="inlineStr">
        <is>
          <t>Consultorio Psicología - Medellin</t>
        </is>
      </c>
      <c r="I2692" t="n">
        <v>25</v>
      </c>
      <c r="J2692" t="n">
        <v>9</v>
      </c>
      <c r="K2692" t="n">
        <v>9</v>
      </c>
    </row>
    <row r="2693">
      <c r="A2693" t="n">
        <v>208</v>
      </c>
      <c r="B2693" t="inlineStr">
        <is>
          <t>Consumo de Agua m3 Mensual</t>
        </is>
      </c>
      <c r="C2693" t="inlineStr">
        <is>
          <t>GESTIÓN AMBIENTAL</t>
        </is>
      </c>
      <c r="D2693" t="inlineStr">
        <is>
          <t>Mensual</t>
        </is>
      </c>
      <c r="E2693" t="inlineStr">
        <is>
          <t>Negativo</t>
        </is>
      </c>
      <c r="F2693" s="105" t="n">
        <v>45838</v>
      </c>
      <c r="G2693" t="inlineStr">
        <is>
          <t>208-2025-06-30</t>
        </is>
      </c>
      <c r="H2693" t="inlineStr">
        <is>
          <t>City Campus</t>
        </is>
      </c>
      <c r="I2693" t="n">
        <v>350</v>
      </c>
      <c r="J2693" t="n">
        <v>517.5</v>
      </c>
      <c r="K2693" t="n">
        <v>517.5</v>
      </c>
    </row>
    <row r="2694">
      <c r="A2694" t="n">
        <v>214</v>
      </c>
      <c r="B2694" t="inlineStr">
        <is>
          <t>Generación de Residuos Sólidos Mensual</t>
        </is>
      </c>
      <c r="C2694" t="inlineStr">
        <is>
          <t>GESTIÓN AMBIENTAL</t>
        </is>
      </c>
      <c r="D2694" t="inlineStr">
        <is>
          <t>Mensual</t>
        </is>
      </c>
      <c r="E2694" t="inlineStr">
        <is>
          <t>Negativo</t>
        </is>
      </c>
      <c r="F2694" s="105" t="n">
        <v>45838</v>
      </c>
      <c r="G2694" t="inlineStr">
        <is>
          <t>214-2025-06-30</t>
        </is>
      </c>
      <c r="H2694" t="inlineStr">
        <is>
          <t>City Campus</t>
        </is>
      </c>
      <c r="I2694" t="n">
        <v>1000</v>
      </c>
      <c r="J2694" t="n">
        <v>681.8900146484375</v>
      </c>
      <c r="L2694" t="n">
        <v>69.01000000000001</v>
      </c>
      <c r="M2694" t="n">
        <v>612.88</v>
      </c>
    </row>
    <row r="2695">
      <c r="A2695" t="n">
        <v>214</v>
      </c>
      <c r="B2695" t="inlineStr">
        <is>
          <t>Generación de Residuos Sólidos Mensual</t>
        </is>
      </c>
      <c r="C2695" t="inlineStr">
        <is>
          <t>GESTIÓN AMBIENTAL</t>
        </is>
      </c>
      <c r="D2695" t="inlineStr">
        <is>
          <t>Mensual</t>
        </is>
      </c>
      <c r="E2695" t="inlineStr">
        <is>
          <t>Negativo</t>
        </is>
      </c>
      <c r="F2695" s="105" t="n">
        <v>45838</v>
      </c>
      <c r="G2695" t="inlineStr">
        <is>
          <t>214-2025-06-30</t>
        </is>
      </c>
      <c r="H2695" t="inlineStr">
        <is>
          <t>Sede Posgrado-Calle 85</t>
        </is>
      </c>
      <c r="I2695" t="n">
        <v>7500</v>
      </c>
      <c r="J2695" t="n">
        <v>49.91999816894531</v>
      </c>
      <c r="L2695" t="n">
        <v>15.06</v>
      </c>
      <c r="M2695" t="n">
        <v>34.86</v>
      </c>
    </row>
    <row r="2696">
      <c r="A2696" t="n">
        <v>214</v>
      </c>
      <c r="B2696" t="inlineStr">
        <is>
          <t>Generación de Residuos Sólidos Mensual</t>
        </is>
      </c>
      <c r="C2696" t="inlineStr">
        <is>
          <t>GESTIÓN AMBIENTAL</t>
        </is>
      </c>
      <c r="D2696" t="inlineStr">
        <is>
          <t>Mensual</t>
        </is>
      </c>
      <c r="E2696" t="inlineStr">
        <is>
          <t>Negativo</t>
        </is>
      </c>
      <c r="F2696" s="105" t="n">
        <v>45838</v>
      </c>
      <c r="G2696" t="inlineStr">
        <is>
          <t>214-2025-06-30</t>
        </is>
      </c>
      <c r="H2696" t="inlineStr">
        <is>
          <t>Campus-Medellín</t>
        </is>
      </c>
      <c r="I2696" t="n">
        <v>1000</v>
      </c>
      <c r="J2696" t="n">
        <v>492.7999877929688</v>
      </c>
      <c r="L2696" t="n">
        <v>13.7</v>
      </c>
      <c r="M2696" t="n">
        <v>479.1</v>
      </c>
    </row>
    <row r="2697">
      <c r="A2697" t="n">
        <v>214</v>
      </c>
      <c r="B2697" t="inlineStr">
        <is>
          <t>Generación de Residuos Sólidos Mensual</t>
        </is>
      </c>
      <c r="C2697" t="inlineStr">
        <is>
          <t>GESTIÓN AMBIENTAL</t>
        </is>
      </c>
      <c r="D2697" t="inlineStr">
        <is>
          <t>Mensual</t>
        </is>
      </c>
      <c r="E2697" t="inlineStr">
        <is>
          <t>Negativo</t>
        </is>
      </c>
      <c r="F2697" s="105" t="n">
        <v>45838</v>
      </c>
      <c r="G2697" t="inlineStr">
        <is>
          <t>214-2025-06-30</t>
        </is>
      </c>
      <c r="H2697" t="inlineStr">
        <is>
          <t>Sede Bienestar - Medellín</t>
        </is>
      </c>
      <c r="I2697" t="n">
        <v>1</v>
      </c>
      <c r="J2697" t="n">
        <v>116.9199981689453</v>
      </c>
      <c r="L2697" t="n">
        <v>8.550000000000001</v>
      </c>
      <c r="M2697" t="n">
        <v>108.37</v>
      </c>
    </row>
    <row r="2698">
      <c r="A2698" t="n">
        <v>214</v>
      </c>
      <c r="B2698" t="inlineStr">
        <is>
          <t>Generación de Residuos Sólidos Mensual</t>
        </is>
      </c>
      <c r="C2698" t="inlineStr">
        <is>
          <t>GESTIÓN AMBIENTAL</t>
        </is>
      </c>
      <c r="D2698" t="inlineStr">
        <is>
          <t>Mensual</t>
        </is>
      </c>
      <c r="E2698" t="inlineStr">
        <is>
          <t>Negativo</t>
        </is>
      </c>
      <c r="F2698" s="105" t="n">
        <v>45838</v>
      </c>
      <c r="G2698" t="inlineStr">
        <is>
          <t>214-2025-06-30</t>
        </is>
      </c>
      <c r="H2698" t="inlineStr">
        <is>
          <t>Consultorio Psicología - Medellin</t>
        </is>
      </c>
      <c r="I2698" t="n">
        <v>1</v>
      </c>
      <c r="J2698" t="n">
        <v>24.15999984741211</v>
      </c>
      <c r="L2698" t="n">
        <v>9</v>
      </c>
      <c r="M2698" t="n">
        <v>15.16</v>
      </c>
    </row>
    <row r="2699">
      <c r="A2699" t="n">
        <v>214</v>
      </c>
      <c r="B2699" t="inlineStr">
        <is>
          <t>Generación de Residuos Sólidos Mensual</t>
        </is>
      </c>
      <c r="C2699" t="inlineStr">
        <is>
          <t>GESTIÓN AMBIENTAL</t>
        </is>
      </c>
      <c r="D2699" t="inlineStr">
        <is>
          <t>Mensual</t>
        </is>
      </c>
      <c r="E2699" t="inlineStr">
        <is>
          <t>Negativo</t>
        </is>
      </c>
      <c r="F2699" s="105" t="n">
        <v>45838</v>
      </c>
      <c r="G2699" t="inlineStr">
        <is>
          <t>214-2025-06-30</t>
        </is>
      </c>
      <c r="H2699" t="inlineStr">
        <is>
          <t>Campus Bogotá</t>
        </is>
      </c>
      <c r="I2699" t="n">
        <v>5500</v>
      </c>
      <c r="J2699" t="n">
        <v>1264.469970703125</v>
      </c>
      <c r="L2699" t="n">
        <v>353.99</v>
      </c>
      <c r="M2699" t="n">
        <v>910.48</v>
      </c>
    </row>
    <row r="2700">
      <c r="A2700" t="n">
        <v>217</v>
      </c>
      <c r="B2700" t="inlineStr">
        <is>
          <t>Aprovechamiento de Residuos</t>
        </is>
      </c>
      <c r="C2700" t="inlineStr">
        <is>
          <t>GESTIÓN AMBIENTAL</t>
        </is>
      </c>
      <c r="D2700" t="inlineStr">
        <is>
          <t>Mensual</t>
        </is>
      </c>
      <c r="E2700" t="inlineStr">
        <is>
          <t>Positivo</t>
        </is>
      </c>
      <c r="F2700" s="105" t="n">
        <v>45838</v>
      </c>
      <c r="G2700" t="inlineStr">
        <is>
          <t>217-2025-06-30</t>
        </is>
      </c>
      <c r="H2700" t="inlineStr">
        <is>
          <t>City Campus</t>
        </is>
      </c>
      <c r="I2700" t="n">
        <v>20</v>
      </c>
      <c r="J2700" t="n">
        <v>19.95000076293945</v>
      </c>
      <c r="L2700" t="n">
        <v>69.01000000000001</v>
      </c>
      <c r="M2700" t="n">
        <v>612.88</v>
      </c>
      <c r="AS2700" t="n">
        <v>136.01</v>
      </c>
    </row>
    <row r="2701">
      <c r="A2701" t="n">
        <v>217</v>
      </c>
      <c r="B2701" t="inlineStr">
        <is>
          <t>Aprovechamiento de Residuos</t>
        </is>
      </c>
      <c r="C2701" t="inlineStr">
        <is>
          <t>GESTIÓN AMBIENTAL</t>
        </is>
      </c>
      <c r="D2701" t="inlineStr">
        <is>
          <t>Mensual</t>
        </is>
      </c>
      <c r="E2701" t="inlineStr">
        <is>
          <t>Positivo</t>
        </is>
      </c>
      <c r="F2701" s="105" t="n">
        <v>45838</v>
      </c>
      <c r="G2701" t="inlineStr">
        <is>
          <t>217-2025-06-30</t>
        </is>
      </c>
      <c r="H2701" t="inlineStr">
        <is>
          <t>Sede Posgrado-Calle 85</t>
        </is>
      </c>
      <c r="I2701" t="n">
        <v>20</v>
      </c>
      <c r="J2701" t="n">
        <v>30.17000007629395</v>
      </c>
      <c r="L2701" t="n">
        <v>15.06</v>
      </c>
      <c r="M2701" t="n">
        <v>34.86</v>
      </c>
      <c r="AS2701" t="n">
        <v>15.06</v>
      </c>
    </row>
    <row r="2702">
      <c r="A2702" t="n">
        <v>217</v>
      </c>
      <c r="B2702" t="inlineStr">
        <is>
          <t>Aprovechamiento de Residuos</t>
        </is>
      </c>
      <c r="C2702" t="inlineStr">
        <is>
          <t>GESTIÓN AMBIENTAL</t>
        </is>
      </c>
      <c r="D2702" t="inlineStr">
        <is>
          <t>Mensual</t>
        </is>
      </c>
      <c r="E2702" t="inlineStr">
        <is>
          <t>Positivo</t>
        </is>
      </c>
      <c r="F2702" s="105" t="n">
        <v>45838</v>
      </c>
      <c r="G2702" t="inlineStr">
        <is>
          <t>217-2025-06-30</t>
        </is>
      </c>
      <c r="H2702" t="inlineStr">
        <is>
          <t>Campus-Medellín</t>
        </is>
      </c>
      <c r="I2702" t="n">
        <v>20</v>
      </c>
      <c r="J2702" t="n">
        <v>2.640000104904175</v>
      </c>
      <c r="L2702" t="n">
        <v>13.7</v>
      </c>
      <c r="M2702" t="n">
        <v>479.1</v>
      </c>
      <c r="AS2702" t="n">
        <v>13</v>
      </c>
    </row>
    <row r="2703">
      <c r="A2703" t="n">
        <v>217</v>
      </c>
      <c r="B2703" t="inlineStr">
        <is>
          <t>Aprovechamiento de Residuos</t>
        </is>
      </c>
      <c r="C2703" t="inlineStr">
        <is>
          <t>GESTIÓN AMBIENTAL</t>
        </is>
      </c>
      <c r="D2703" t="inlineStr">
        <is>
          <t>Mensual</t>
        </is>
      </c>
      <c r="E2703" t="inlineStr">
        <is>
          <t>Positivo</t>
        </is>
      </c>
      <c r="F2703" s="105" t="n">
        <v>45838</v>
      </c>
      <c r="G2703" t="inlineStr">
        <is>
          <t>217-2025-06-30</t>
        </is>
      </c>
      <c r="H2703" t="inlineStr">
        <is>
          <t>Sede Bienestar - Medellín</t>
        </is>
      </c>
      <c r="I2703" t="n">
        <v>20</v>
      </c>
      <c r="J2703" t="n">
        <v>0</v>
      </c>
      <c r="L2703" t="n">
        <v>8.550000000000001</v>
      </c>
      <c r="M2703" t="n">
        <v>108.37</v>
      </c>
      <c r="AS2703" t="n">
        <v>0</v>
      </c>
    </row>
    <row r="2704">
      <c r="A2704" t="n">
        <v>217</v>
      </c>
      <c r="B2704" t="inlineStr">
        <is>
          <t>Aprovechamiento de Residuos</t>
        </is>
      </c>
      <c r="C2704" t="inlineStr">
        <is>
          <t>GESTIÓN AMBIENTAL</t>
        </is>
      </c>
      <c r="D2704" t="inlineStr">
        <is>
          <t>Mensual</t>
        </is>
      </c>
      <c r="E2704" t="inlineStr">
        <is>
          <t>Positivo</t>
        </is>
      </c>
      <c r="F2704" s="105" t="n">
        <v>45838</v>
      </c>
      <c r="G2704" t="inlineStr">
        <is>
          <t>217-2025-06-30</t>
        </is>
      </c>
      <c r="H2704" t="inlineStr">
        <is>
          <t>Consultorio Psicología - Medellin</t>
        </is>
      </c>
      <c r="I2704" t="n">
        <v>20</v>
      </c>
      <c r="J2704" t="n">
        <v>37.25</v>
      </c>
      <c r="L2704" t="n">
        <v>9</v>
      </c>
      <c r="M2704" t="n">
        <v>15.16</v>
      </c>
      <c r="AS2704" t="n">
        <v>9</v>
      </c>
    </row>
    <row r="2705">
      <c r="A2705" t="n">
        <v>217</v>
      </c>
      <c r="B2705" t="inlineStr">
        <is>
          <t>Aprovechamiento de Residuos</t>
        </is>
      </c>
      <c r="C2705" t="inlineStr">
        <is>
          <t>GESTIÓN AMBIENTAL</t>
        </is>
      </c>
      <c r="D2705" t="inlineStr">
        <is>
          <t>Mensual</t>
        </is>
      </c>
      <c r="E2705" t="inlineStr">
        <is>
          <t>Positivo</t>
        </is>
      </c>
      <c r="F2705" s="105" t="n">
        <v>45838</v>
      </c>
      <c r="G2705" t="inlineStr">
        <is>
          <t>217-2025-06-30</t>
        </is>
      </c>
      <c r="H2705" t="inlineStr">
        <is>
          <t>Campus Bogotá</t>
        </is>
      </c>
      <c r="I2705" t="n">
        <v>20</v>
      </c>
      <c r="J2705" t="n">
        <v>83.58999633789062</v>
      </c>
      <c r="L2705" t="n">
        <v>353.99</v>
      </c>
      <c r="M2705" t="n">
        <v>910.48</v>
      </c>
      <c r="AS2705" t="n">
        <v>1056.99</v>
      </c>
    </row>
    <row r="2706">
      <c r="A2706" t="n">
        <v>218</v>
      </c>
      <c r="B2706" t="inlineStr">
        <is>
          <t>Consumo de Energía Eléctrica kWh Mensual</t>
        </is>
      </c>
      <c r="C2706" t="inlineStr">
        <is>
          <t>GESTIÓN AMBIENTAL</t>
        </is>
      </c>
      <c r="D2706" t="inlineStr">
        <is>
          <t>Mensual</t>
        </is>
      </c>
      <c r="E2706" t="inlineStr">
        <is>
          <t>Negativo</t>
        </is>
      </c>
      <c r="F2706" s="105" t="n">
        <v>45838</v>
      </c>
      <c r="G2706" t="inlineStr">
        <is>
          <t>218-2025-06-30</t>
        </is>
      </c>
      <c r="H2706" t="inlineStr">
        <is>
          <t>Campus Bogotá</t>
        </is>
      </c>
      <c r="I2706" t="n">
        <v>76000</v>
      </c>
      <c r="J2706" t="n">
        <v>57969.87890625</v>
      </c>
      <c r="N2706" t="n">
        <v>57969.88</v>
      </c>
    </row>
    <row r="2707">
      <c r="A2707" t="n">
        <v>218</v>
      </c>
      <c r="B2707" t="inlineStr">
        <is>
          <t>Consumo de Energía Eléctrica kWh Mensual</t>
        </is>
      </c>
      <c r="C2707" t="inlineStr">
        <is>
          <t>GESTIÓN AMBIENTAL</t>
        </is>
      </c>
      <c r="D2707" t="inlineStr">
        <is>
          <t>Mensual</t>
        </is>
      </c>
      <c r="E2707" t="inlineStr">
        <is>
          <t>Negativo</t>
        </is>
      </c>
      <c r="F2707" s="105" t="n">
        <v>45838</v>
      </c>
      <c r="G2707" t="inlineStr">
        <is>
          <t>218-2025-06-30</t>
        </is>
      </c>
      <c r="H2707" t="inlineStr">
        <is>
          <t>City Campus</t>
        </is>
      </c>
      <c r="I2707" t="n">
        <v>76000</v>
      </c>
      <c r="J2707" t="n">
        <v>46740</v>
      </c>
      <c r="N2707" t="n">
        <v>46740</v>
      </c>
    </row>
    <row r="2708">
      <c r="A2708" t="n">
        <v>218</v>
      </c>
      <c r="B2708" t="inlineStr">
        <is>
          <t>Consumo de Energía Eléctrica kWh Mensual</t>
        </is>
      </c>
      <c r="C2708" t="inlineStr">
        <is>
          <t>GESTIÓN AMBIENTAL</t>
        </is>
      </c>
      <c r="D2708" t="inlineStr">
        <is>
          <t>Mensual</t>
        </is>
      </c>
      <c r="E2708" t="inlineStr">
        <is>
          <t>Negativo</t>
        </is>
      </c>
      <c r="F2708" s="105" t="n">
        <v>45838</v>
      </c>
      <c r="G2708" t="inlineStr">
        <is>
          <t>218-2025-06-30</t>
        </is>
      </c>
      <c r="H2708" t="inlineStr">
        <is>
          <t>Sede Posgrado-Calle 85</t>
        </is>
      </c>
      <c r="I2708" t="n">
        <v>5000</v>
      </c>
      <c r="J2708" t="n">
        <v>4380</v>
      </c>
      <c r="N2708" t="n">
        <v>4380</v>
      </c>
    </row>
    <row r="2709">
      <c r="A2709" t="n">
        <v>218</v>
      </c>
      <c r="B2709" t="inlineStr">
        <is>
          <t>Consumo de Energía Eléctrica kWh Mensual</t>
        </is>
      </c>
      <c r="C2709" t="inlineStr">
        <is>
          <t>GESTIÓN AMBIENTAL</t>
        </is>
      </c>
      <c r="D2709" t="inlineStr">
        <is>
          <t>Mensual</t>
        </is>
      </c>
      <c r="E2709" t="inlineStr">
        <is>
          <t>Negativo</t>
        </is>
      </c>
      <c r="F2709" s="105" t="n">
        <v>45838</v>
      </c>
      <c r="G2709" t="inlineStr">
        <is>
          <t>218-2025-06-30</t>
        </is>
      </c>
      <c r="H2709" t="inlineStr">
        <is>
          <t>Sede Bienestar - Medellín</t>
        </is>
      </c>
      <c r="I2709" t="n">
        <v>5000</v>
      </c>
      <c r="J2709" t="n">
        <v>0</v>
      </c>
      <c r="N2709" t="n">
        <v>0</v>
      </c>
    </row>
    <row r="2710">
      <c r="A2710" t="n">
        <v>218</v>
      </c>
      <c r="B2710" t="inlineStr">
        <is>
          <t>Consumo de Energía Eléctrica kWh Mensual</t>
        </is>
      </c>
      <c r="C2710" t="inlineStr">
        <is>
          <t>GESTIÓN AMBIENTAL</t>
        </is>
      </c>
      <c r="D2710" t="inlineStr">
        <is>
          <t>Mensual</t>
        </is>
      </c>
      <c r="E2710" t="inlineStr">
        <is>
          <t>Negativo</t>
        </is>
      </c>
      <c r="F2710" s="105" t="n">
        <v>45838</v>
      </c>
      <c r="G2710" t="inlineStr">
        <is>
          <t>218-2025-06-30</t>
        </is>
      </c>
      <c r="H2710" t="inlineStr">
        <is>
          <t>Consultorio Psicología - Medellin</t>
        </is>
      </c>
      <c r="I2710" t="n">
        <v>2000</v>
      </c>
      <c r="J2710" t="n">
        <v>2835</v>
      </c>
      <c r="N2710" t="n">
        <v>2835</v>
      </c>
    </row>
    <row r="2711">
      <c r="A2711" t="n">
        <v>218</v>
      </c>
      <c r="B2711" t="inlineStr">
        <is>
          <t>Consumo de Energía Eléctrica kWh Mensual</t>
        </is>
      </c>
      <c r="C2711" t="inlineStr">
        <is>
          <t>GESTIÓN AMBIENTAL</t>
        </is>
      </c>
      <c r="D2711" t="inlineStr">
        <is>
          <t>Mensual</t>
        </is>
      </c>
      <c r="E2711" t="inlineStr">
        <is>
          <t>Negativo</t>
        </is>
      </c>
      <c r="F2711" s="105" t="n">
        <v>45838</v>
      </c>
      <c r="G2711" t="inlineStr">
        <is>
          <t>218-2025-06-30</t>
        </is>
      </c>
      <c r="H2711" t="inlineStr">
        <is>
          <t>Campus-Medellín</t>
        </is>
      </c>
      <c r="I2711" t="n">
        <v>24000</v>
      </c>
      <c r="J2711" t="n">
        <v>18604</v>
      </c>
      <c r="N2711" t="n">
        <v>18604</v>
      </c>
    </row>
    <row r="2712">
      <c r="A2712" t="n">
        <v>225</v>
      </c>
      <c r="B2712" t="inlineStr">
        <is>
          <t>Acciones para el Cuidado y Mantenimiento de las Especies de Flora y el Suelo de las Áreas Naturales</t>
        </is>
      </c>
      <c r="C2712" t="inlineStr">
        <is>
          <t>GESTIÓN AMBIENTAL</t>
        </is>
      </c>
      <c r="D2712" t="inlineStr">
        <is>
          <t>Mensual</t>
        </is>
      </c>
      <c r="E2712" t="inlineStr">
        <is>
          <t>Positivo</t>
        </is>
      </c>
      <c r="F2712" s="105" t="n">
        <v>45838</v>
      </c>
      <c r="G2712" t="inlineStr">
        <is>
          <t>225-2025-06-30</t>
        </is>
      </c>
      <c r="H2712" t="inlineStr">
        <is>
          <t>Campus Bogotá</t>
        </is>
      </c>
      <c r="I2712" t="n">
        <v>1</v>
      </c>
      <c r="J2712" t="n">
        <v>9</v>
      </c>
      <c r="AT2712" t="n">
        <v>9</v>
      </c>
    </row>
    <row r="2713">
      <c r="A2713" t="n">
        <v>225</v>
      </c>
      <c r="B2713" t="inlineStr">
        <is>
          <t>Acciones para el Cuidado y Mantenimiento de las Especies de Flora y el Suelo de las Áreas Naturales</t>
        </is>
      </c>
      <c r="C2713" t="inlineStr">
        <is>
          <t>GESTIÓN AMBIENTAL</t>
        </is>
      </c>
      <c r="D2713" t="inlineStr">
        <is>
          <t>Mensual</t>
        </is>
      </c>
      <c r="E2713" t="inlineStr">
        <is>
          <t>Positivo</t>
        </is>
      </c>
      <c r="F2713" s="105" t="n">
        <v>45838</v>
      </c>
      <c r="G2713" t="inlineStr">
        <is>
          <t>225-2025-06-30</t>
        </is>
      </c>
      <c r="H2713" t="inlineStr">
        <is>
          <t>City Campus</t>
        </is>
      </c>
      <c r="I2713" t="n">
        <v>1</v>
      </c>
      <c r="J2713" t="n">
        <v>5</v>
      </c>
      <c r="AT2713" t="n">
        <v>5</v>
      </c>
    </row>
    <row r="2714">
      <c r="A2714" t="n">
        <v>225</v>
      </c>
      <c r="B2714" t="inlineStr">
        <is>
          <t>Acciones para el Cuidado y Mantenimiento de las Especies de Flora y el Suelo de las Áreas Naturales</t>
        </is>
      </c>
      <c r="C2714" t="inlineStr">
        <is>
          <t>GESTIÓN AMBIENTAL</t>
        </is>
      </c>
      <c r="D2714" t="inlineStr">
        <is>
          <t>Mensual</t>
        </is>
      </c>
      <c r="E2714" t="inlineStr">
        <is>
          <t>Positivo</t>
        </is>
      </c>
      <c r="F2714" s="105" t="n">
        <v>45838</v>
      </c>
      <c r="G2714" t="inlineStr">
        <is>
          <t>225-2025-06-30</t>
        </is>
      </c>
      <c r="H2714" t="inlineStr">
        <is>
          <t>Sede Posgrado-Calle 85</t>
        </is>
      </c>
      <c r="I2714" t="n">
        <v>1</v>
      </c>
      <c r="J2714" t="n">
        <v>0</v>
      </c>
      <c r="AT2714" t="n">
        <v>0</v>
      </c>
    </row>
    <row r="2715">
      <c r="A2715" t="n">
        <v>225</v>
      </c>
      <c r="B2715" t="inlineStr">
        <is>
          <t>Acciones para el Cuidado y Mantenimiento de las Especies de Flora y el Suelo de las Áreas Naturales</t>
        </is>
      </c>
      <c r="C2715" t="inlineStr">
        <is>
          <t>GESTIÓN AMBIENTAL</t>
        </is>
      </c>
      <c r="D2715" t="inlineStr">
        <is>
          <t>Mensual</t>
        </is>
      </c>
      <c r="E2715" t="inlineStr">
        <is>
          <t>Positivo</t>
        </is>
      </c>
      <c r="F2715" s="105" t="n">
        <v>45838</v>
      </c>
      <c r="G2715" t="inlineStr">
        <is>
          <t>225-2025-06-30</t>
        </is>
      </c>
      <c r="H2715" t="inlineStr">
        <is>
          <t>Campus-Medellín</t>
        </is>
      </c>
      <c r="I2715" t="n">
        <v>1</v>
      </c>
      <c r="J2715" t="n">
        <v>10</v>
      </c>
      <c r="AT2715" t="n">
        <v>10</v>
      </c>
    </row>
    <row r="2716">
      <c r="A2716" t="n">
        <v>225</v>
      </c>
      <c r="B2716" t="inlineStr">
        <is>
          <t>Acciones para el Cuidado y Mantenimiento de las Especies de Flora y el Suelo de las Áreas Naturales</t>
        </is>
      </c>
      <c r="C2716" t="inlineStr">
        <is>
          <t>GESTIÓN AMBIENTAL</t>
        </is>
      </c>
      <c r="D2716" t="inlineStr">
        <is>
          <t>Mensual</t>
        </is>
      </c>
      <c r="E2716" t="inlineStr">
        <is>
          <t>Positivo</t>
        </is>
      </c>
      <c r="F2716" s="105" t="n">
        <v>45838</v>
      </c>
      <c r="G2716" t="inlineStr">
        <is>
          <t>225-2025-06-30</t>
        </is>
      </c>
      <c r="H2716" t="inlineStr">
        <is>
          <t>Sede Bienestar - Medellín</t>
        </is>
      </c>
      <c r="I2716" t="n">
        <v>1</v>
      </c>
      <c r="J2716" t="n">
        <v>1</v>
      </c>
      <c r="AT2716" t="n">
        <v>1</v>
      </c>
    </row>
    <row r="2717">
      <c r="A2717" t="n">
        <v>225</v>
      </c>
      <c r="B2717" t="inlineStr">
        <is>
          <t>Acciones para el Cuidado y Mantenimiento de las Especies de Flora y el Suelo de las Áreas Naturales</t>
        </is>
      </c>
      <c r="C2717" t="inlineStr">
        <is>
          <t>GESTIÓN AMBIENTAL</t>
        </is>
      </c>
      <c r="D2717" t="inlineStr">
        <is>
          <t>Mensual</t>
        </is>
      </c>
      <c r="E2717" t="inlineStr">
        <is>
          <t>Positivo</t>
        </is>
      </c>
      <c r="F2717" s="105" t="n">
        <v>45838</v>
      </c>
      <c r="G2717" t="inlineStr">
        <is>
          <t>225-2025-06-30</t>
        </is>
      </c>
      <c r="H2717" t="inlineStr">
        <is>
          <t>Consultorio Psicología - Medellin</t>
        </is>
      </c>
      <c r="I2717" t="n">
        <v>1</v>
      </c>
      <c r="J2717" t="n">
        <v>1</v>
      </c>
      <c r="AT2717" t="n">
        <v>1</v>
      </c>
    </row>
    <row r="2718">
      <c r="A2718" t="n">
        <v>239</v>
      </c>
      <c r="B2718" t="inlineStr">
        <is>
          <t>Portafolio de Proyectos - Metrica</t>
        </is>
      </c>
      <c r="C2718" t="inlineStr">
        <is>
          <t>Gestión de Proyectos</t>
        </is>
      </c>
      <c r="D2718" t="inlineStr">
        <is>
          <t>Mensual</t>
        </is>
      </c>
      <c r="E2718" t="inlineStr">
        <is>
          <t>Positivo</t>
        </is>
      </c>
      <c r="F2718" s="105" t="n">
        <v>45838</v>
      </c>
      <c r="G2718" t="inlineStr">
        <is>
          <t>239-2025-06-30</t>
        </is>
      </c>
      <c r="H2718" t="inlineStr">
        <is>
          <t>Planificación</t>
        </is>
      </c>
      <c r="J2718" t="n">
        <v>1</v>
      </c>
      <c r="AU2718" t="n">
        <v>1</v>
      </c>
    </row>
    <row r="2719">
      <c r="A2719" t="n">
        <v>239</v>
      </c>
      <c r="B2719" t="inlineStr">
        <is>
          <t>Portafolio de Proyectos - Metrica</t>
        </is>
      </c>
      <c r="C2719" t="inlineStr">
        <is>
          <t>Gestión de Proyectos</t>
        </is>
      </c>
      <c r="D2719" t="inlineStr">
        <is>
          <t>Mensual</t>
        </is>
      </c>
      <c r="E2719" t="inlineStr">
        <is>
          <t>Positivo</t>
        </is>
      </c>
      <c r="F2719" s="105" t="n">
        <v>45838</v>
      </c>
      <c r="G2719" t="inlineStr">
        <is>
          <t>239-2025-06-30</t>
        </is>
      </c>
      <c r="H2719" t="inlineStr">
        <is>
          <t>Ejecución</t>
        </is>
      </c>
      <c r="J2719" t="n">
        <v>14</v>
      </c>
      <c r="AU2719" t="n">
        <v>14</v>
      </c>
    </row>
    <row r="2720">
      <c r="A2720" t="n">
        <v>239</v>
      </c>
      <c r="B2720" t="inlineStr">
        <is>
          <t>Portafolio de Proyectos - Metrica</t>
        </is>
      </c>
      <c r="C2720" t="inlineStr">
        <is>
          <t>Gestión de Proyectos</t>
        </is>
      </c>
      <c r="D2720" t="inlineStr">
        <is>
          <t>Mensual</t>
        </is>
      </c>
      <c r="E2720" t="inlineStr">
        <is>
          <t>Positivo</t>
        </is>
      </c>
      <c r="F2720" s="105" t="n">
        <v>45838</v>
      </c>
      <c r="G2720" t="inlineStr">
        <is>
          <t>239-2025-06-30</t>
        </is>
      </c>
      <c r="H2720" t="inlineStr">
        <is>
          <t>Cierre</t>
        </is>
      </c>
      <c r="J2720" t="n">
        <v>0</v>
      </c>
      <c r="AU2720" t="n">
        <v>0</v>
      </c>
    </row>
    <row r="2721">
      <c r="A2721" t="n">
        <v>239</v>
      </c>
      <c r="B2721" t="inlineStr">
        <is>
          <t>Portafolio de Proyectos - Metrica</t>
        </is>
      </c>
      <c r="C2721" t="inlineStr">
        <is>
          <t>Gestión de Proyectos</t>
        </is>
      </c>
      <c r="D2721" t="inlineStr">
        <is>
          <t>Mensual</t>
        </is>
      </c>
      <c r="E2721" t="inlineStr">
        <is>
          <t>Positivo</t>
        </is>
      </c>
      <c r="F2721" s="105" t="n">
        <v>45838</v>
      </c>
      <c r="G2721" t="inlineStr">
        <is>
          <t>239-2025-06-30</t>
        </is>
      </c>
      <c r="H2721" t="inlineStr">
        <is>
          <t>Finalizados</t>
        </is>
      </c>
      <c r="J2721" t="n">
        <v>23</v>
      </c>
      <c r="AU2721" t="n">
        <v>23</v>
      </c>
    </row>
    <row r="2722">
      <c r="A2722" t="n">
        <v>239</v>
      </c>
      <c r="B2722" t="inlineStr">
        <is>
          <t>Portafolio de Proyectos - Metrica</t>
        </is>
      </c>
      <c r="C2722" t="inlineStr">
        <is>
          <t>Gestión de Proyectos</t>
        </is>
      </c>
      <c r="D2722" t="inlineStr">
        <is>
          <t>Mensual</t>
        </is>
      </c>
      <c r="E2722" t="inlineStr">
        <is>
          <t>Positivo</t>
        </is>
      </c>
      <c r="F2722" s="105" t="n">
        <v>45838</v>
      </c>
      <c r="G2722" t="inlineStr">
        <is>
          <t>239-2025-06-30</t>
        </is>
      </c>
      <c r="H2722" t="inlineStr">
        <is>
          <t>Stand by</t>
        </is>
      </c>
      <c r="J2722" t="n">
        <v>3</v>
      </c>
      <c r="AU2722" t="n">
        <v>3</v>
      </c>
    </row>
    <row r="2723">
      <c r="A2723" t="n">
        <v>434</v>
      </c>
      <c r="B2723" t="inlineStr">
        <is>
          <t>Generación de Residuos Peligrosos Mensual</t>
        </is>
      </c>
      <c r="C2723" t="inlineStr">
        <is>
          <t>GESTIÓN AMBIENTAL</t>
        </is>
      </c>
      <c r="D2723" t="inlineStr">
        <is>
          <t>Mensual</t>
        </is>
      </c>
      <c r="E2723" t="inlineStr">
        <is>
          <t>Negativo</t>
        </is>
      </c>
      <c r="F2723" s="105" t="n">
        <v>45838</v>
      </c>
      <c r="G2723" t="inlineStr">
        <is>
          <t>434-2025-06-30</t>
        </is>
      </c>
      <c r="H2723" t="inlineStr">
        <is>
          <t>Campus Bogotá</t>
        </is>
      </c>
      <c r="I2723" t="n">
        <v>100</v>
      </c>
      <c r="J2723" t="n">
        <v>18.82999992370605</v>
      </c>
      <c r="AV2723" t="n">
        <v>18.83</v>
      </c>
    </row>
    <row r="2724">
      <c r="A2724" t="n">
        <v>434</v>
      </c>
      <c r="B2724" t="inlineStr">
        <is>
          <t>Generación de Residuos Peligrosos Mensual</t>
        </is>
      </c>
      <c r="C2724" t="inlineStr">
        <is>
          <t>GESTIÓN AMBIENTAL</t>
        </is>
      </c>
      <c r="D2724" t="inlineStr">
        <is>
          <t>Mensual</t>
        </is>
      </c>
      <c r="E2724" t="inlineStr">
        <is>
          <t>Negativo</t>
        </is>
      </c>
      <c r="F2724" s="105" t="n">
        <v>45838</v>
      </c>
      <c r="G2724" t="inlineStr">
        <is>
          <t>434-2025-06-30</t>
        </is>
      </c>
      <c r="H2724" t="inlineStr">
        <is>
          <t>Sede Posgrado-Calle 85</t>
        </is>
      </c>
      <c r="I2724" t="n">
        <v>200</v>
      </c>
      <c r="J2724" t="n">
        <v>0</v>
      </c>
      <c r="AV2724" t="n">
        <v>0</v>
      </c>
    </row>
    <row r="2725">
      <c r="A2725" t="n">
        <v>434</v>
      </c>
      <c r="B2725" t="inlineStr">
        <is>
          <t>Generación de Residuos Peligrosos Mensual</t>
        </is>
      </c>
      <c r="C2725" t="inlineStr">
        <is>
          <t>GESTIÓN AMBIENTAL</t>
        </is>
      </c>
      <c r="D2725" t="inlineStr">
        <is>
          <t>Mensual</t>
        </is>
      </c>
      <c r="E2725" t="inlineStr">
        <is>
          <t>Negativo</t>
        </is>
      </c>
      <c r="F2725" s="105" t="n">
        <v>45838</v>
      </c>
      <c r="G2725" t="inlineStr">
        <is>
          <t>434-2025-06-30</t>
        </is>
      </c>
      <c r="H2725" t="inlineStr">
        <is>
          <t>Campus-Medellín</t>
        </is>
      </c>
      <c r="I2725" t="n">
        <v>25</v>
      </c>
      <c r="J2725" t="n">
        <v>0</v>
      </c>
      <c r="AV2725" t="n">
        <v>0</v>
      </c>
    </row>
    <row r="2726">
      <c r="A2726" t="n">
        <v>434</v>
      </c>
      <c r="B2726" t="inlineStr">
        <is>
          <t>Generación de Residuos Peligrosos Mensual</t>
        </is>
      </c>
      <c r="C2726" t="inlineStr">
        <is>
          <t>GESTIÓN AMBIENTAL</t>
        </is>
      </c>
      <c r="D2726" t="inlineStr">
        <is>
          <t>Mensual</t>
        </is>
      </c>
      <c r="E2726" t="inlineStr">
        <is>
          <t>Negativo</t>
        </is>
      </c>
      <c r="F2726" s="105" t="n">
        <v>45838</v>
      </c>
      <c r="G2726" t="inlineStr">
        <is>
          <t>434-2025-06-30</t>
        </is>
      </c>
      <c r="H2726" t="inlineStr">
        <is>
          <t>Sede Bienestar - Medellín</t>
        </is>
      </c>
      <c r="I2726" t="n">
        <v>10</v>
      </c>
      <c r="J2726" t="n">
        <v>0</v>
      </c>
      <c r="AV2726" t="n">
        <v>0</v>
      </c>
    </row>
    <row r="2727">
      <c r="A2727" t="n">
        <v>434</v>
      </c>
      <c r="B2727" t="inlineStr">
        <is>
          <t>Generación de Residuos Peligrosos Mensual</t>
        </is>
      </c>
      <c r="C2727" t="inlineStr">
        <is>
          <t>GESTIÓN AMBIENTAL</t>
        </is>
      </c>
      <c r="D2727" t="inlineStr">
        <is>
          <t>Mensual</t>
        </is>
      </c>
      <c r="E2727" t="inlineStr">
        <is>
          <t>Negativo</t>
        </is>
      </c>
      <c r="F2727" s="105" t="n">
        <v>45838</v>
      </c>
      <c r="G2727" t="inlineStr">
        <is>
          <t>434-2025-06-30</t>
        </is>
      </c>
      <c r="H2727" t="inlineStr">
        <is>
          <t>Consultorio Psicología - Medellin</t>
        </is>
      </c>
      <c r="I2727" t="n">
        <v>200</v>
      </c>
      <c r="J2727" t="n">
        <v>0</v>
      </c>
      <c r="AV2727" t="n">
        <v>0</v>
      </c>
    </row>
    <row r="2728">
      <c r="A2728" t="n">
        <v>434</v>
      </c>
      <c r="B2728" t="inlineStr">
        <is>
          <t>Generación de Residuos Peligrosos Mensual</t>
        </is>
      </c>
      <c r="C2728" t="inlineStr">
        <is>
          <t>GESTIÓN AMBIENTAL</t>
        </is>
      </c>
      <c r="D2728" t="inlineStr">
        <is>
          <t>Mensual</t>
        </is>
      </c>
      <c r="E2728" t="inlineStr">
        <is>
          <t>Negativo</t>
        </is>
      </c>
      <c r="F2728" s="105" t="n">
        <v>45838</v>
      </c>
      <c r="G2728" t="inlineStr">
        <is>
          <t>434-2025-06-30</t>
        </is>
      </c>
      <c r="H2728" t="inlineStr">
        <is>
          <t>City Campus</t>
        </is>
      </c>
      <c r="I2728" t="n">
        <v>25</v>
      </c>
      <c r="J2728" t="n">
        <v>111.75</v>
      </c>
      <c r="AV2728" t="n">
        <v>111.75</v>
      </c>
    </row>
    <row r="2729">
      <c r="A2729" t="n">
        <v>436</v>
      </c>
      <c r="B2729" t="inlineStr">
        <is>
          <t>ANS documentos operativos</t>
        </is>
      </c>
      <c r="C2729" t="inlineStr">
        <is>
          <t>Gestión de calidad</t>
        </is>
      </c>
      <c r="D2729" t="inlineStr">
        <is>
          <t>Mensual</t>
        </is>
      </c>
      <c r="E2729" t="inlineStr">
        <is>
          <t>Negativo</t>
        </is>
      </c>
      <c r="F2729" s="105" t="n">
        <v>45838</v>
      </c>
      <c r="G2729" t="inlineStr">
        <is>
          <t>436-2025-06-30</t>
        </is>
      </c>
      <c r="H2729" t="inlineStr">
        <is>
          <t>Solicitud Documental</t>
        </is>
      </c>
      <c r="I2729" t="n">
        <v>7</v>
      </c>
      <c r="J2729" t="n">
        <v>5.050000190734863</v>
      </c>
      <c r="CP2729" t="n">
        <v>5.05</v>
      </c>
    </row>
    <row r="2730">
      <c r="A2730" t="n">
        <v>436</v>
      </c>
      <c r="B2730" t="inlineStr">
        <is>
          <t>ANS documentos operativos</t>
        </is>
      </c>
      <c r="C2730" t="inlineStr">
        <is>
          <t>Gestión de calidad</t>
        </is>
      </c>
      <c r="D2730" t="inlineStr">
        <is>
          <t>Mensual</t>
        </is>
      </c>
      <c r="E2730" t="inlineStr">
        <is>
          <t>Negativo</t>
        </is>
      </c>
      <c r="F2730" s="105" t="n">
        <v>45838</v>
      </c>
      <c r="G2730" t="inlineStr">
        <is>
          <t>436-2025-06-30</t>
        </is>
      </c>
      <c r="H2730" t="inlineStr">
        <is>
          <t>Flujo de aprobación</t>
        </is>
      </c>
      <c r="I2730" t="n">
        <v>7</v>
      </c>
      <c r="J2730" t="n">
        <v>6.880000114440918</v>
      </c>
      <c r="CP2730" t="n">
        <v>6.88</v>
      </c>
    </row>
    <row r="2731">
      <c r="A2731" t="n">
        <v>485</v>
      </c>
      <c r="B2731" t="inlineStr">
        <is>
          <t>Oportunidad en el cierre de acciones</t>
        </is>
      </c>
      <c r="C2731" t="inlineStr">
        <is>
          <t>Gestión de calidad</t>
        </is>
      </c>
      <c r="D2731" t="inlineStr">
        <is>
          <t>Mensual</t>
        </is>
      </c>
      <c r="E2731" t="inlineStr">
        <is>
          <t>Positivo</t>
        </is>
      </c>
      <c r="F2731" s="105" t="n">
        <v>45838</v>
      </c>
      <c r="G2731" t="inlineStr">
        <is>
          <t>485-2025-06-30</t>
        </is>
      </c>
      <c r="H2731" t="inlineStr">
        <is>
          <t>Auditoría interna</t>
        </is>
      </c>
      <c r="I2731" t="n">
        <v>80</v>
      </c>
      <c r="J2731" t="n">
        <v>0</v>
      </c>
      <c r="EC2731" t="n">
        <v>0</v>
      </c>
      <c r="ED2731" t="n">
        <v>0</v>
      </c>
    </row>
    <row r="2732">
      <c r="A2732" t="n">
        <v>485</v>
      </c>
      <c r="B2732" t="inlineStr">
        <is>
          <t>Oportunidad en el cierre de acciones</t>
        </is>
      </c>
      <c r="C2732" t="inlineStr">
        <is>
          <t>Gestión de calidad</t>
        </is>
      </c>
      <c r="D2732" t="inlineStr">
        <is>
          <t>Mensual</t>
        </is>
      </c>
      <c r="E2732" t="inlineStr">
        <is>
          <t>Positivo</t>
        </is>
      </c>
      <c r="F2732" s="105" t="n">
        <v>45838</v>
      </c>
      <c r="G2732" t="inlineStr">
        <is>
          <t>485-2025-06-30</t>
        </is>
      </c>
      <c r="H2732" t="inlineStr">
        <is>
          <t>Auditoría externa</t>
        </is>
      </c>
      <c r="I2732" t="n">
        <v>80</v>
      </c>
      <c r="J2732" t="n">
        <v>0</v>
      </c>
      <c r="EC2732" t="n">
        <v>0</v>
      </c>
      <c r="ED2732" t="n">
        <v>0</v>
      </c>
    </row>
    <row r="2733">
      <c r="A2733" t="n">
        <v>485</v>
      </c>
      <c r="B2733" t="inlineStr">
        <is>
          <t>Oportunidad en el cierre de acciones</t>
        </is>
      </c>
      <c r="C2733" t="inlineStr">
        <is>
          <t>Gestión de calidad</t>
        </is>
      </c>
      <c r="D2733" t="inlineStr">
        <is>
          <t>Mensual</t>
        </is>
      </c>
      <c r="E2733" t="inlineStr">
        <is>
          <t>Positivo</t>
        </is>
      </c>
      <c r="F2733" s="105" t="n">
        <v>45838</v>
      </c>
      <c r="G2733" t="inlineStr">
        <is>
          <t>485-2025-06-30</t>
        </is>
      </c>
      <c r="H2733" t="inlineStr">
        <is>
          <t>Riesgos</t>
        </is>
      </c>
      <c r="I2733" t="n">
        <v>80</v>
      </c>
      <c r="J2733" t="n">
        <v>0</v>
      </c>
      <c r="EC2733" t="n">
        <v>0</v>
      </c>
      <c r="ED2733" t="n">
        <v>0</v>
      </c>
    </row>
    <row r="2734">
      <c r="A2734" t="n">
        <v>485</v>
      </c>
      <c r="B2734" t="inlineStr">
        <is>
          <t>Oportunidad en el cierre de acciones</t>
        </is>
      </c>
      <c r="C2734" t="inlineStr">
        <is>
          <t>Gestión de calidad</t>
        </is>
      </c>
      <c r="D2734" t="inlineStr">
        <is>
          <t>Mensual</t>
        </is>
      </c>
      <c r="E2734" t="inlineStr">
        <is>
          <t>Positivo</t>
        </is>
      </c>
      <c r="F2734" s="105" t="n">
        <v>45838</v>
      </c>
      <c r="G2734" t="inlineStr">
        <is>
          <t>485-2025-06-30</t>
        </is>
      </c>
      <c r="H2734" t="inlineStr">
        <is>
          <t>Autoevaluación</t>
        </is>
      </c>
      <c r="I2734" t="n">
        <v>80</v>
      </c>
      <c r="J2734" t="n">
        <v>0</v>
      </c>
      <c r="EC2734" t="n">
        <v>0</v>
      </c>
      <c r="ED2734" t="n">
        <v>0</v>
      </c>
    </row>
    <row r="2735">
      <c r="A2735" t="n">
        <v>485</v>
      </c>
      <c r="B2735" t="inlineStr">
        <is>
          <t>Oportunidad en el cierre de acciones</t>
        </is>
      </c>
      <c r="C2735" t="inlineStr">
        <is>
          <t>Gestión de calidad</t>
        </is>
      </c>
      <c r="D2735" t="inlineStr">
        <is>
          <t>Mensual</t>
        </is>
      </c>
      <c r="E2735" t="inlineStr">
        <is>
          <t>Positivo</t>
        </is>
      </c>
      <c r="F2735" s="105" t="n">
        <v>45838</v>
      </c>
      <c r="G2735" t="inlineStr">
        <is>
          <t>485-2025-06-30</t>
        </is>
      </c>
      <c r="H2735" t="inlineStr">
        <is>
          <t>Entes de control</t>
        </is>
      </c>
      <c r="I2735" t="n">
        <v>80</v>
      </c>
      <c r="J2735" t="n">
        <v>0</v>
      </c>
      <c r="EC2735" t="n">
        <v>0</v>
      </c>
      <c r="ED2735" t="n">
        <v>0</v>
      </c>
    </row>
    <row r="2736">
      <c r="A2736" t="n">
        <v>485</v>
      </c>
      <c r="B2736" t="inlineStr">
        <is>
          <t>Oportunidad en el cierre de acciones</t>
        </is>
      </c>
      <c r="C2736" t="inlineStr">
        <is>
          <t>Gestión de calidad</t>
        </is>
      </c>
      <c r="D2736" t="inlineStr">
        <is>
          <t>Mensual</t>
        </is>
      </c>
      <c r="E2736" t="inlineStr">
        <is>
          <t>Positivo</t>
        </is>
      </c>
      <c r="F2736" s="105" t="n">
        <v>45838</v>
      </c>
      <c r="G2736" t="inlineStr">
        <is>
          <t>485-2025-06-30</t>
        </is>
      </c>
      <c r="H2736" t="inlineStr">
        <is>
          <t>Seguimiento y control</t>
        </is>
      </c>
      <c r="I2736" t="n">
        <v>80</v>
      </c>
      <c r="J2736" t="n">
        <v>100</v>
      </c>
      <c r="EC2736" t="n">
        <v>1</v>
      </c>
      <c r="ED2736" t="n">
        <v>1</v>
      </c>
    </row>
    <row r="2737">
      <c r="A2737" t="n">
        <v>485</v>
      </c>
      <c r="B2737" t="inlineStr">
        <is>
          <t>Oportunidad en el cierre de acciones</t>
        </is>
      </c>
      <c r="C2737" t="inlineStr">
        <is>
          <t>Gestión de calidad</t>
        </is>
      </c>
      <c r="D2737" t="inlineStr">
        <is>
          <t>Mensual</t>
        </is>
      </c>
      <c r="E2737" t="inlineStr">
        <is>
          <t>Positivo</t>
        </is>
      </c>
      <c r="F2737" s="105" t="n">
        <v>45838</v>
      </c>
      <c r="G2737" t="inlineStr">
        <is>
          <t>485-2025-06-30</t>
        </is>
      </c>
      <c r="H2737" t="inlineStr">
        <is>
          <t>Experiencia</t>
        </is>
      </c>
      <c r="I2737" t="n">
        <v>80</v>
      </c>
      <c r="J2737" t="n">
        <v>0</v>
      </c>
      <c r="EC2737" t="n">
        <v>0</v>
      </c>
      <c r="ED2737" t="n">
        <v>0</v>
      </c>
    </row>
    <row r="2738">
      <c r="A2738" t="n">
        <v>485</v>
      </c>
      <c r="B2738" t="inlineStr">
        <is>
          <t>Oportunidad en el cierre de acciones</t>
        </is>
      </c>
      <c r="C2738" t="inlineStr">
        <is>
          <t>Gestión de calidad</t>
        </is>
      </c>
      <c r="D2738" t="inlineStr">
        <is>
          <t>Mensual</t>
        </is>
      </c>
      <c r="E2738" t="inlineStr">
        <is>
          <t>Positivo</t>
        </is>
      </c>
      <c r="F2738" s="105" t="n">
        <v>45838</v>
      </c>
      <c r="G2738" t="inlineStr">
        <is>
          <t>485-2025-06-30</t>
        </is>
      </c>
      <c r="H2738" t="inlineStr">
        <is>
          <t>Revisión por la dirección</t>
        </is>
      </c>
      <c r="I2738" t="n">
        <v>80</v>
      </c>
      <c r="J2738" t="n">
        <v>0</v>
      </c>
      <c r="EC2738" t="n">
        <v>0</v>
      </c>
      <c r="ED2738" t="n">
        <v>0</v>
      </c>
    </row>
    <row r="2739">
      <c r="A2739" t="n">
        <v>485</v>
      </c>
      <c r="B2739" t="inlineStr">
        <is>
          <t>Oportunidad en el cierre de acciones</t>
        </is>
      </c>
      <c r="C2739" t="inlineStr">
        <is>
          <t>Gestión de calidad</t>
        </is>
      </c>
      <c r="D2739" t="inlineStr">
        <is>
          <t>Mensual</t>
        </is>
      </c>
      <c r="E2739" t="inlineStr">
        <is>
          <t>Positivo</t>
        </is>
      </c>
      <c r="F2739" s="105" t="n">
        <v>45838</v>
      </c>
      <c r="G2739" t="inlineStr">
        <is>
          <t>485-2025-06-30</t>
        </is>
      </c>
      <c r="H2739" t="inlineStr">
        <is>
          <t>Indicadores</t>
        </is>
      </c>
      <c r="I2739" t="n">
        <v>80</v>
      </c>
      <c r="J2739" t="n">
        <v>50</v>
      </c>
      <c r="EC2739" t="n">
        <v>1</v>
      </c>
      <c r="ED2739" t="n">
        <v>2</v>
      </c>
    </row>
    <row r="2740">
      <c r="A2740" t="n">
        <v>488</v>
      </c>
      <c r="B2740" t="inlineStr">
        <is>
          <t>Oportunidad en el cierre de actividades de los planes de mejora</t>
        </is>
      </c>
      <c r="C2740" t="inlineStr">
        <is>
          <t>Gestión de calidad</t>
        </is>
      </c>
      <c r="D2740" t="inlineStr">
        <is>
          <t>Mensual</t>
        </is>
      </c>
      <c r="E2740" t="inlineStr">
        <is>
          <t>Positivo</t>
        </is>
      </c>
      <c r="F2740" s="105" t="n">
        <v>45838</v>
      </c>
      <c r="G2740" t="inlineStr">
        <is>
          <t>488-2025-06-30</t>
        </is>
      </c>
      <c r="H2740" t="inlineStr">
        <is>
          <t>Auditoría interna</t>
        </is>
      </c>
      <c r="I2740" t="n">
        <v>85</v>
      </c>
      <c r="J2740" t="n">
        <v>66.66999816894531</v>
      </c>
      <c r="EE2740" t="n">
        <v>2</v>
      </c>
      <c r="EF2740" t="n">
        <v>3</v>
      </c>
    </row>
    <row r="2741">
      <c r="A2741" t="n">
        <v>488</v>
      </c>
      <c r="B2741" t="inlineStr">
        <is>
          <t>Oportunidad en el cierre de actividades de los planes de mejora</t>
        </is>
      </c>
      <c r="C2741" t="inlineStr">
        <is>
          <t>Gestión de calidad</t>
        </is>
      </c>
      <c r="D2741" t="inlineStr">
        <is>
          <t>Mensual</t>
        </is>
      </c>
      <c r="E2741" t="inlineStr">
        <is>
          <t>Positivo</t>
        </is>
      </c>
      <c r="F2741" s="105" t="n">
        <v>45838</v>
      </c>
      <c r="G2741" t="inlineStr">
        <is>
          <t>488-2025-06-30</t>
        </is>
      </c>
      <c r="H2741" t="inlineStr">
        <is>
          <t>Indicadores</t>
        </is>
      </c>
      <c r="I2741" t="n">
        <v>85</v>
      </c>
      <c r="J2741" t="n">
        <v>0</v>
      </c>
      <c r="EE2741" t="n">
        <v>0</v>
      </c>
      <c r="EF2741" t="n">
        <v>3</v>
      </c>
    </row>
    <row r="2742">
      <c r="A2742" t="n">
        <v>488</v>
      </c>
      <c r="B2742" t="inlineStr">
        <is>
          <t>Oportunidad en el cierre de actividades de los planes de mejora</t>
        </is>
      </c>
      <c r="C2742" t="inlineStr">
        <is>
          <t>Gestión de calidad</t>
        </is>
      </c>
      <c r="D2742" t="inlineStr">
        <is>
          <t>Mensual</t>
        </is>
      </c>
      <c r="E2742" t="inlineStr">
        <is>
          <t>Positivo</t>
        </is>
      </c>
      <c r="F2742" s="105" t="n">
        <v>45838</v>
      </c>
      <c r="G2742" t="inlineStr">
        <is>
          <t>488-2025-06-30</t>
        </is>
      </c>
      <c r="H2742" t="inlineStr">
        <is>
          <t>Riesgos</t>
        </is>
      </c>
      <c r="I2742" t="n">
        <v>85</v>
      </c>
      <c r="J2742" t="n">
        <v>100</v>
      </c>
      <c r="EE2742" t="n">
        <v>28</v>
      </c>
      <c r="EF2742" t="n">
        <v>28</v>
      </c>
    </row>
    <row r="2743">
      <c r="A2743" t="n">
        <v>488</v>
      </c>
      <c r="B2743" t="inlineStr">
        <is>
          <t>Oportunidad en el cierre de actividades de los planes de mejora</t>
        </is>
      </c>
      <c r="C2743" t="inlineStr">
        <is>
          <t>Gestión de calidad</t>
        </is>
      </c>
      <c r="D2743" t="inlineStr">
        <is>
          <t>Mensual</t>
        </is>
      </c>
      <c r="E2743" t="inlineStr">
        <is>
          <t>Positivo</t>
        </is>
      </c>
      <c r="F2743" s="105" t="n">
        <v>45838</v>
      </c>
      <c r="G2743" t="inlineStr">
        <is>
          <t>488-2025-06-30</t>
        </is>
      </c>
      <c r="H2743" t="inlineStr">
        <is>
          <t>Autoevaluación</t>
        </is>
      </c>
      <c r="I2743" t="n">
        <v>85</v>
      </c>
      <c r="J2743" t="n">
        <v>0</v>
      </c>
      <c r="EE2743" t="n">
        <v>0</v>
      </c>
      <c r="EF2743" t="n">
        <v>0</v>
      </c>
    </row>
    <row r="2744">
      <c r="A2744" t="n">
        <v>488</v>
      </c>
      <c r="B2744" t="inlineStr">
        <is>
          <t>Oportunidad en el cierre de actividades de los planes de mejora</t>
        </is>
      </c>
      <c r="C2744" t="inlineStr">
        <is>
          <t>Gestión de calidad</t>
        </is>
      </c>
      <c r="D2744" t="inlineStr">
        <is>
          <t>Mensual</t>
        </is>
      </c>
      <c r="E2744" t="inlineStr">
        <is>
          <t>Positivo</t>
        </is>
      </c>
      <c r="F2744" s="105" t="n">
        <v>45838</v>
      </c>
      <c r="G2744" t="inlineStr">
        <is>
          <t>488-2025-06-30</t>
        </is>
      </c>
      <c r="H2744" t="inlineStr">
        <is>
          <t>Entes de control</t>
        </is>
      </c>
      <c r="I2744" t="n">
        <v>85</v>
      </c>
      <c r="J2744" t="n">
        <v>0</v>
      </c>
      <c r="EE2744" t="n">
        <v>0</v>
      </c>
      <c r="EF2744" t="n">
        <v>0</v>
      </c>
    </row>
    <row r="2745">
      <c r="A2745" t="n">
        <v>488</v>
      </c>
      <c r="B2745" t="inlineStr">
        <is>
          <t>Oportunidad en el cierre de actividades de los planes de mejora</t>
        </is>
      </c>
      <c r="C2745" t="inlineStr">
        <is>
          <t>Gestión de calidad</t>
        </is>
      </c>
      <c r="D2745" t="inlineStr">
        <is>
          <t>Mensual</t>
        </is>
      </c>
      <c r="E2745" t="inlineStr">
        <is>
          <t>Positivo</t>
        </is>
      </c>
      <c r="F2745" s="105" t="n">
        <v>45838</v>
      </c>
      <c r="G2745" t="inlineStr">
        <is>
          <t>488-2025-06-30</t>
        </is>
      </c>
      <c r="H2745" t="inlineStr">
        <is>
          <t>Seguimiento y control</t>
        </is>
      </c>
      <c r="I2745" t="n">
        <v>85</v>
      </c>
      <c r="J2745" t="n">
        <v>44.43999862670898</v>
      </c>
      <c r="EE2745" t="n">
        <v>4</v>
      </c>
      <c r="EF2745" t="n">
        <v>9</v>
      </c>
    </row>
    <row r="2746">
      <c r="A2746" t="n">
        <v>488</v>
      </c>
      <c r="B2746" t="inlineStr">
        <is>
          <t>Oportunidad en el cierre de actividades de los planes de mejora</t>
        </is>
      </c>
      <c r="C2746" t="inlineStr">
        <is>
          <t>Gestión de calidad</t>
        </is>
      </c>
      <c r="D2746" t="inlineStr">
        <is>
          <t>Mensual</t>
        </is>
      </c>
      <c r="E2746" t="inlineStr">
        <is>
          <t>Positivo</t>
        </is>
      </c>
      <c r="F2746" s="105" t="n">
        <v>45838</v>
      </c>
      <c r="G2746" t="inlineStr">
        <is>
          <t>488-2025-06-30</t>
        </is>
      </c>
      <c r="H2746" t="inlineStr">
        <is>
          <t>Experiencia</t>
        </is>
      </c>
      <c r="I2746" t="n">
        <v>85</v>
      </c>
      <c r="J2746" t="n">
        <v>0</v>
      </c>
      <c r="EE2746" t="n">
        <v>0</v>
      </c>
      <c r="EF2746" t="n">
        <v>0</v>
      </c>
    </row>
    <row r="2747">
      <c r="A2747" t="n">
        <v>488</v>
      </c>
      <c r="B2747" t="inlineStr">
        <is>
          <t>Oportunidad en el cierre de actividades de los planes de mejora</t>
        </is>
      </c>
      <c r="C2747" t="inlineStr">
        <is>
          <t>Gestión de calidad</t>
        </is>
      </c>
      <c r="D2747" t="inlineStr">
        <is>
          <t>Mensual</t>
        </is>
      </c>
      <c r="E2747" t="inlineStr">
        <is>
          <t>Positivo</t>
        </is>
      </c>
      <c r="F2747" s="105" t="n">
        <v>45838</v>
      </c>
      <c r="G2747" t="inlineStr">
        <is>
          <t>488-2025-06-30</t>
        </is>
      </c>
      <c r="H2747" t="inlineStr">
        <is>
          <t>Revisión por la dirección</t>
        </is>
      </c>
      <c r="I2747" t="n">
        <v>85</v>
      </c>
      <c r="J2747" t="n">
        <v>0</v>
      </c>
      <c r="EE2747" t="n">
        <v>0</v>
      </c>
      <c r="EF2747" t="n">
        <v>0</v>
      </c>
    </row>
    <row r="2748">
      <c r="A2748" t="n">
        <v>488</v>
      </c>
      <c r="B2748" t="inlineStr">
        <is>
          <t>Oportunidad en el cierre de actividades de los planes de mejora</t>
        </is>
      </c>
      <c r="C2748" t="inlineStr">
        <is>
          <t>Gestión de calidad</t>
        </is>
      </c>
      <c r="D2748" t="inlineStr">
        <is>
          <t>Mensual</t>
        </is>
      </c>
      <c r="E2748" t="inlineStr">
        <is>
          <t>Positivo</t>
        </is>
      </c>
      <c r="F2748" s="105" t="n">
        <v>45838</v>
      </c>
      <c r="G2748" t="inlineStr">
        <is>
          <t>488-2025-06-30</t>
        </is>
      </c>
      <c r="H2748" t="inlineStr">
        <is>
          <t>Auditoría externa</t>
        </is>
      </c>
      <c r="I2748" t="n">
        <v>85</v>
      </c>
      <c r="J2748" t="n">
        <v>53.33000183105469</v>
      </c>
      <c r="EE2748" t="n">
        <v>8</v>
      </c>
      <c r="EF2748" t="n">
        <v>15</v>
      </c>
    </row>
    <row r="2749">
      <c r="A2749" t="n">
        <v>509</v>
      </c>
      <c r="B2749" t="inlineStr">
        <is>
          <t>Cumplimiento a cronograma de proyectos 2025</t>
        </is>
      </c>
      <c r="C2749" t="inlineStr">
        <is>
          <t>Gestión de Proyectos</t>
        </is>
      </c>
      <c r="D2749" t="inlineStr">
        <is>
          <t>Mensual</t>
        </is>
      </c>
      <c r="E2749" t="inlineStr">
        <is>
          <t>Positivo</t>
        </is>
      </c>
      <c r="F2749" s="105" t="n">
        <v>45838</v>
      </c>
      <c r="G2749" t="inlineStr">
        <is>
          <t>509-2025-06-30</t>
        </is>
      </c>
      <c r="H2749" t="inlineStr">
        <is>
          <t>Acreditación Institucional fase III Etapa de evaluación externa o evaluación por pares</t>
        </is>
      </c>
      <c r="I2749" t="n">
        <v>90</v>
      </c>
      <c r="J2749" t="n">
        <v>100</v>
      </c>
      <c r="EJ2749" t="n">
        <v>55</v>
      </c>
      <c r="EK2749" t="n">
        <v>55</v>
      </c>
    </row>
    <row r="2750">
      <c r="A2750" t="n">
        <v>509</v>
      </c>
      <c r="B2750" t="inlineStr">
        <is>
          <t>Cumplimiento a cronograma de proyectos 2025</t>
        </is>
      </c>
      <c r="C2750" t="inlineStr">
        <is>
          <t>Gestión de Proyectos</t>
        </is>
      </c>
      <c r="D2750" t="inlineStr">
        <is>
          <t>Mensual</t>
        </is>
      </c>
      <c r="E2750" t="inlineStr">
        <is>
          <t>Positivo</t>
        </is>
      </c>
      <c r="F2750" s="105" t="n">
        <v>45838</v>
      </c>
      <c r="G2750" t="inlineStr">
        <is>
          <t>509-2025-06-30</t>
        </is>
      </c>
      <c r="H2750" t="inlineStr">
        <is>
          <t>Actualización de TRD y creación del Plan de Gestión documental</t>
        </is>
      </c>
      <c r="I2750" t="n">
        <v>90</v>
      </c>
      <c r="J2750" t="n">
        <v>109.879997253418</v>
      </c>
      <c r="EJ2750" t="n">
        <v>81</v>
      </c>
      <c r="EK2750" t="n">
        <v>89</v>
      </c>
    </row>
    <row r="2751">
      <c r="A2751" t="n">
        <v>509</v>
      </c>
      <c r="B2751" t="inlineStr">
        <is>
          <t>Cumplimiento a cronograma de proyectos 2025</t>
        </is>
      </c>
      <c r="C2751" t="inlineStr">
        <is>
          <t>Gestión de Proyectos</t>
        </is>
      </c>
      <c r="D2751" t="inlineStr">
        <is>
          <t>Mensual</t>
        </is>
      </c>
      <c r="E2751" t="inlineStr">
        <is>
          <t>Positivo</t>
        </is>
      </c>
      <c r="F2751" s="105" t="n">
        <v>45838</v>
      </c>
      <c r="G2751" t="inlineStr">
        <is>
          <t>509-2025-06-30</t>
        </is>
      </c>
      <c r="H2751" t="inlineStr">
        <is>
          <t>Ecosistema E3</t>
        </is>
      </c>
      <c r="I2751" t="n">
        <v>90</v>
      </c>
      <c r="J2751" t="n">
        <v>95.91999816894531</v>
      </c>
      <c r="EJ2751" t="n">
        <v>98</v>
      </c>
      <c r="EK2751" t="n">
        <v>94</v>
      </c>
    </row>
    <row r="2752">
      <c r="A2752" t="n">
        <v>509</v>
      </c>
      <c r="B2752" t="inlineStr">
        <is>
          <t>Cumplimiento a cronograma de proyectos 2025</t>
        </is>
      </c>
      <c r="C2752" t="inlineStr">
        <is>
          <t>Gestión de Proyectos</t>
        </is>
      </c>
      <c r="D2752" t="inlineStr">
        <is>
          <t>Mensual</t>
        </is>
      </c>
      <c r="E2752" t="inlineStr">
        <is>
          <t>Positivo</t>
        </is>
      </c>
      <c r="F2752" s="105" t="n">
        <v>45838</v>
      </c>
      <c r="G2752" t="inlineStr">
        <is>
          <t>509-2025-06-30</t>
        </is>
      </c>
      <c r="H2752" t="inlineStr">
        <is>
          <t>Fortalecimiento de la investigación, la innovación y la creación</t>
        </is>
      </c>
      <c r="I2752" t="n">
        <v>90</v>
      </c>
      <c r="J2752" t="n">
        <v>97.13999938964844</v>
      </c>
      <c r="EJ2752" t="n">
        <v>35</v>
      </c>
      <c r="EK2752" t="n">
        <v>34</v>
      </c>
    </row>
    <row r="2753">
      <c r="A2753" t="n">
        <v>509</v>
      </c>
      <c r="B2753" t="inlineStr">
        <is>
          <t>Cumplimiento a cronograma de proyectos 2025</t>
        </is>
      </c>
      <c r="C2753" t="inlineStr">
        <is>
          <t>Gestión de Proyectos</t>
        </is>
      </c>
      <c r="D2753" t="inlineStr">
        <is>
          <t>Mensual</t>
        </is>
      </c>
      <c r="E2753" t="inlineStr">
        <is>
          <t>Positivo</t>
        </is>
      </c>
      <c r="F2753" s="105" t="n">
        <v>45838</v>
      </c>
      <c r="G2753" t="inlineStr">
        <is>
          <t>509-2025-06-30</t>
        </is>
      </c>
      <c r="H2753" t="inlineStr">
        <is>
          <t>Fortalecimiento de planta docente</t>
        </is>
      </c>
      <c r="I2753" t="n">
        <v>90</v>
      </c>
      <c r="J2753" t="n">
        <v>98.56999969482422</v>
      </c>
      <c r="EJ2753" t="n">
        <v>70</v>
      </c>
      <c r="EK2753" t="n">
        <v>69</v>
      </c>
    </row>
    <row r="2754">
      <c r="A2754" t="n">
        <v>509</v>
      </c>
      <c r="B2754" t="inlineStr">
        <is>
          <t>Cumplimiento a cronograma de proyectos 2025</t>
        </is>
      </c>
      <c r="C2754" t="inlineStr">
        <is>
          <t>Gestión de Proyectos</t>
        </is>
      </c>
      <c r="D2754" t="inlineStr">
        <is>
          <t>Mensual</t>
        </is>
      </c>
      <c r="E2754" t="inlineStr">
        <is>
          <t>Positivo</t>
        </is>
      </c>
      <c r="F2754" s="105" t="n">
        <v>45838</v>
      </c>
      <c r="G2754" t="inlineStr">
        <is>
          <t>509-2025-06-30</t>
        </is>
      </c>
      <c r="H2754" t="inlineStr">
        <is>
          <t>Gobierno de datos</t>
        </is>
      </c>
      <c r="I2754" t="n">
        <v>90</v>
      </c>
      <c r="J2754" t="n">
        <v>0</v>
      </c>
      <c r="EJ2754" t="n">
        <v>0</v>
      </c>
      <c r="EK2754" t="n">
        <v>0</v>
      </c>
    </row>
    <row r="2755">
      <c r="A2755" t="n">
        <v>509</v>
      </c>
      <c r="B2755" t="inlineStr">
        <is>
          <t>Cumplimiento a cronograma de proyectos 2025</t>
        </is>
      </c>
      <c r="C2755" t="inlineStr">
        <is>
          <t>Gestión de Proyectos</t>
        </is>
      </c>
      <c r="D2755" t="inlineStr">
        <is>
          <t>Mensual</t>
        </is>
      </c>
      <c r="E2755" t="inlineStr">
        <is>
          <t>Positivo</t>
        </is>
      </c>
      <c r="F2755" s="105" t="n">
        <v>45838</v>
      </c>
      <c r="G2755" t="inlineStr">
        <is>
          <t>509-2025-06-30</t>
        </is>
      </c>
      <c r="H2755" t="inlineStr">
        <is>
          <t>Herramientas de Gestión para el mejoramiento continuo</t>
        </is>
      </c>
      <c r="I2755" t="n">
        <v>90</v>
      </c>
      <c r="J2755" t="n">
        <v>0</v>
      </c>
      <c r="EJ2755" t="n">
        <v>0</v>
      </c>
      <c r="EK2755" t="n">
        <v>0</v>
      </c>
    </row>
    <row r="2756">
      <c r="A2756" t="n">
        <v>509</v>
      </c>
      <c r="B2756" t="inlineStr">
        <is>
          <t>Cumplimiento a cronograma de proyectos 2025</t>
        </is>
      </c>
      <c r="C2756" t="inlineStr">
        <is>
          <t>Gestión de Proyectos</t>
        </is>
      </c>
      <c r="D2756" t="inlineStr">
        <is>
          <t>Mensual</t>
        </is>
      </c>
      <c r="E2756" t="inlineStr">
        <is>
          <t>Positivo</t>
        </is>
      </c>
      <c r="F2756" s="105" t="n">
        <v>45838</v>
      </c>
      <c r="G2756" t="inlineStr">
        <is>
          <t>509-2025-06-30</t>
        </is>
      </c>
      <c r="H2756" t="inlineStr">
        <is>
          <t>Proyecto de Permanencia institucional</t>
        </is>
      </c>
      <c r="I2756" t="n">
        <v>90</v>
      </c>
      <c r="J2756" t="n">
        <v>0</v>
      </c>
      <c r="EJ2756" t="n">
        <v>0</v>
      </c>
      <c r="EK2756" t="n">
        <v>0</v>
      </c>
    </row>
    <row r="2757">
      <c r="A2757" t="n">
        <v>509</v>
      </c>
      <c r="B2757" t="inlineStr">
        <is>
          <t>Cumplimiento a cronograma de proyectos 2025</t>
        </is>
      </c>
      <c r="C2757" t="inlineStr">
        <is>
          <t>Gestión de Proyectos</t>
        </is>
      </c>
      <c r="D2757" t="inlineStr">
        <is>
          <t>Mensual</t>
        </is>
      </c>
      <c r="E2757" t="inlineStr">
        <is>
          <t>Positivo</t>
        </is>
      </c>
      <c r="F2757" s="105" t="n">
        <v>45838</v>
      </c>
      <c r="G2757" t="inlineStr">
        <is>
          <t>509-2025-06-30</t>
        </is>
      </c>
      <c r="H2757" t="inlineStr">
        <is>
          <t>Reingenieria de aplicaciones</t>
        </is>
      </c>
      <c r="I2757" t="n">
        <v>90</v>
      </c>
      <c r="J2757" t="n">
        <v>0</v>
      </c>
      <c r="EJ2757" t="n">
        <v>0</v>
      </c>
      <c r="EK2757" t="n">
        <v>0</v>
      </c>
    </row>
    <row r="2758">
      <c r="A2758" t="n">
        <v>509</v>
      </c>
      <c r="B2758" t="inlineStr">
        <is>
          <t>Cumplimiento a cronograma de proyectos 2025</t>
        </is>
      </c>
      <c r="C2758" t="inlineStr">
        <is>
          <t>Gestión de Proyectos</t>
        </is>
      </c>
      <c r="D2758" t="inlineStr">
        <is>
          <t>Mensual</t>
        </is>
      </c>
      <c r="E2758" t="inlineStr">
        <is>
          <t>Positivo</t>
        </is>
      </c>
      <c r="F2758" s="105" t="n">
        <v>45838</v>
      </c>
      <c r="G2758" t="inlineStr">
        <is>
          <t>509-2025-06-30</t>
        </is>
      </c>
      <c r="H2758" t="inlineStr">
        <is>
          <t>SOPHIA Sistema de Optimización y Programación Horaria Institucional  Académica  I Fase</t>
        </is>
      </c>
      <c r="I2758" t="n">
        <v>90</v>
      </c>
      <c r="J2758" t="n">
        <v>0</v>
      </c>
      <c r="EJ2758" t="n">
        <v>0</v>
      </c>
      <c r="EK2758" t="n">
        <v>0</v>
      </c>
    </row>
    <row r="2759">
      <c r="A2759" t="n">
        <v>509</v>
      </c>
      <c r="B2759" t="inlineStr">
        <is>
          <t>Cumplimiento a cronograma de proyectos 2025</t>
        </is>
      </c>
      <c r="C2759" t="inlineStr">
        <is>
          <t>Gestión de Proyectos</t>
        </is>
      </c>
      <c r="D2759" t="inlineStr">
        <is>
          <t>Mensual</t>
        </is>
      </c>
      <c r="E2759" t="inlineStr">
        <is>
          <t>Positivo</t>
        </is>
      </c>
      <c r="F2759" s="105" t="n">
        <v>45838</v>
      </c>
      <c r="G2759" t="inlineStr">
        <is>
          <t>509-2025-06-30</t>
        </is>
      </c>
      <c r="H2759" t="inlineStr">
        <is>
          <t>Modelo de seguimiento al graduado</t>
        </is>
      </c>
      <c r="I2759" t="n">
        <v>90</v>
      </c>
      <c r="J2759" t="n">
        <v>0</v>
      </c>
      <c r="EJ2759" t="n">
        <v>0</v>
      </c>
      <c r="EK2759" t="n">
        <v>0</v>
      </c>
    </row>
    <row r="2760">
      <c r="A2760" t="n">
        <v>509</v>
      </c>
      <c r="B2760" t="inlineStr">
        <is>
          <t>Cumplimiento a cronograma de proyectos 2025</t>
        </is>
      </c>
      <c r="C2760" t="inlineStr">
        <is>
          <t>Gestión de Proyectos</t>
        </is>
      </c>
      <c r="D2760" t="inlineStr">
        <is>
          <t>Mensual</t>
        </is>
      </c>
      <c r="E2760" t="inlineStr">
        <is>
          <t>Positivo</t>
        </is>
      </c>
      <c r="F2760" s="105" t="n">
        <v>45838</v>
      </c>
      <c r="G2760" t="inlineStr">
        <is>
          <t>509-2025-06-30</t>
        </is>
      </c>
      <c r="H2760" t="inlineStr">
        <is>
          <t>SER PRO Fase II</t>
        </is>
      </c>
      <c r="I2760" t="n">
        <v>90</v>
      </c>
      <c r="J2760" t="n">
        <v>0</v>
      </c>
      <c r="EJ2760" t="n">
        <v>0</v>
      </c>
      <c r="EK2760" t="n">
        <v>0</v>
      </c>
    </row>
    <row r="2761">
      <c r="A2761" t="n">
        <v>509</v>
      </c>
      <c r="B2761" t="inlineStr">
        <is>
          <t>Cumplimiento a cronograma de proyectos 2025</t>
        </is>
      </c>
      <c r="C2761" t="inlineStr">
        <is>
          <t>Gestión de Proyectos</t>
        </is>
      </c>
      <c r="D2761" t="inlineStr">
        <is>
          <t>Mensual</t>
        </is>
      </c>
      <c r="E2761" t="inlineStr">
        <is>
          <t>Positivo</t>
        </is>
      </c>
      <c r="F2761" s="105" t="n">
        <v>45838</v>
      </c>
      <c r="G2761" t="inlineStr">
        <is>
          <t>509-2025-06-30</t>
        </is>
      </c>
      <c r="H2761" t="inlineStr">
        <is>
          <t>Centro de Idiomas POLI</t>
        </is>
      </c>
      <c r="I2761" t="n">
        <v>90</v>
      </c>
      <c r="J2761" t="n">
        <v>0</v>
      </c>
      <c r="EJ2761" t="n">
        <v>0</v>
      </c>
      <c r="EK2761" t="n">
        <v>0</v>
      </c>
    </row>
    <row r="2762">
      <c r="A2762" t="n">
        <v>509</v>
      </c>
      <c r="B2762" t="inlineStr">
        <is>
          <t>Cumplimiento a cronograma de proyectos 2025</t>
        </is>
      </c>
      <c r="C2762" t="inlineStr">
        <is>
          <t>Gestión de Proyectos</t>
        </is>
      </c>
      <c r="D2762" t="inlineStr">
        <is>
          <t>Mensual</t>
        </is>
      </c>
      <c r="E2762" t="inlineStr">
        <is>
          <t>Positivo</t>
        </is>
      </c>
      <c r="F2762" s="105" t="n">
        <v>45838</v>
      </c>
      <c r="G2762" t="inlineStr">
        <is>
          <t>509-2025-06-30</t>
        </is>
      </c>
      <c r="H2762" t="inlineStr">
        <is>
          <t>Colegio Virtual</t>
        </is>
      </c>
      <c r="I2762" t="n">
        <v>90</v>
      </c>
      <c r="J2762" t="n">
        <v>0</v>
      </c>
      <c r="EJ2762" t="n">
        <v>0</v>
      </c>
      <c r="EK2762" t="n">
        <v>0</v>
      </c>
    </row>
    <row r="2763">
      <c r="A2763" t="n">
        <v>509</v>
      </c>
      <c r="B2763" t="inlineStr">
        <is>
          <t>Cumplimiento a cronograma de proyectos 2025</t>
        </is>
      </c>
      <c r="C2763" t="inlineStr">
        <is>
          <t>Gestión de Proyectos</t>
        </is>
      </c>
      <c r="D2763" t="inlineStr">
        <is>
          <t>Mensual</t>
        </is>
      </c>
      <c r="E2763" t="inlineStr">
        <is>
          <t>Positivo</t>
        </is>
      </c>
      <c r="F2763" s="105" t="n">
        <v>45838</v>
      </c>
      <c r="G2763" t="inlineStr">
        <is>
          <t>509-2025-06-30</t>
        </is>
      </c>
      <c r="H2763" t="inlineStr">
        <is>
          <t>Institución de educación para el trabajo y desarrollo humano IETDH</t>
        </is>
      </c>
      <c r="I2763" t="n">
        <v>90</v>
      </c>
      <c r="J2763" t="n">
        <v>0</v>
      </c>
      <c r="EJ2763" t="n">
        <v>0</v>
      </c>
      <c r="EK2763" t="n">
        <v>0</v>
      </c>
    </row>
    <row r="2764">
      <c r="A2764" t="n">
        <v>509</v>
      </c>
      <c r="B2764" t="inlineStr">
        <is>
          <t>Cumplimiento a cronograma de proyectos 2025</t>
        </is>
      </c>
      <c r="C2764" t="inlineStr">
        <is>
          <t>Gestión de Proyectos</t>
        </is>
      </c>
      <c r="D2764" t="inlineStr">
        <is>
          <t>Mensual</t>
        </is>
      </c>
      <c r="E2764" t="inlineStr">
        <is>
          <t>Positivo</t>
        </is>
      </c>
      <c r="F2764" s="105" t="n">
        <v>45838</v>
      </c>
      <c r="G2764" t="inlineStr">
        <is>
          <t>509-2025-06-30</t>
        </is>
      </c>
      <c r="H2764" t="inlineStr">
        <is>
          <t>Plataforma Tecnologica de Gestión de información Curricular</t>
        </is>
      </c>
      <c r="I2764" t="n">
        <v>90</v>
      </c>
      <c r="J2764" t="n">
        <v>0</v>
      </c>
      <c r="EJ2764" t="n">
        <v>0</v>
      </c>
      <c r="EK2764" t="n">
        <v>0</v>
      </c>
    </row>
    <row r="2765">
      <c r="A2765" t="n">
        <v>509</v>
      </c>
      <c r="B2765" t="inlineStr">
        <is>
          <t>Cumplimiento a cronograma de proyectos 2025</t>
        </is>
      </c>
      <c r="C2765" t="inlineStr">
        <is>
          <t>Gestión de Proyectos</t>
        </is>
      </c>
      <c r="D2765" t="inlineStr">
        <is>
          <t>Mensual</t>
        </is>
      </c>
      <c r="E2765" t="inlineStr">
        <is>
          <t>Positivo</t>
        </is>
      </c>
      <c r="F2765" s="105" t="n">
        <v>45838</v>
      </c>
      <c r="G2765" t="inlineStr">
        <is>
          <t>509-2025-06-30</t>
        </is>
      </c>
      <c r="H2765" t="inlineStr">
        <is>
          <t>Sistema de medición de resultados de aprendizaje</t>
        </is>
      </c>
      <c r="I2765" t="n">
        <v>90</v>
      </c>
      <c r="J2765" t="n">
        <v>0</v>
      </c>
      <c r="EJ2765" t="n">
        <v>0</v>
      </c>
      <c r="EK2765" t="n">
        <v>0</v>
      </c>
    </row>
    <row r="2766">
      <c r="A2766" t="n">
        <v>509</v>
      </c>
      <c r="B2766" t="inlineStr">
        <is>
          <t>Cumplimiento a cronograma de proyectos 2025</t>
        </is>
      </c>
      <c r="C2766" t="inlineStr">
        <is>
          <t>Gestión de Proyectos</t>
        </is>
      </c>
      <c r="D2766" t="inlineStr">
        <is>
          <t>Mensual</t>
        </is>
      </c>
      <c r="E2766" t="inlineStr">
        <is>
          <t>Positivo</t>
        </is>
      </c>
      <c r="F2766" s="105" t="n">
        <v>45838</v>
      </c>
      <c r="G2766" t="inlineStr">
        <is>
          <t>509-2025-06-30</t>
        </is>
      </c>
      <c r="H2766" t="inlineStr">
        <is>
          <t>ADN POLI</t>
        </is>
      </c>
      <c r="I2766" t="n">
        <v>90</v>
      </c>
      <c r="J2766" t="n">
        <v>0</v>
      </c>
      <c r="EJ2766" t="n">
        <v>0</v>
      </c>
      <c r="EK2766" t="n">
        <v>0</v>
      </c>
    </row>
    <row r="2767">
      <c r="A2767" t="n">
        <v>203</v>
      </c>
      <c r="B2767" t="inlineStr">
        <is>
          <t>Cumplimiento de Ingresos</t>
        </is>
      </c>
      <c r="C2767" t="inlineStr">
        <is>
          <t>Planeación Financiera</t>
        </is>
      </c>
      <c r="D2767" t="inlineStr">
        <is>
          <t>Trimestral</t>
        </is>
      </c>
      <c r="E2767" t="inlineStr">
        <is>
          <t>Positivo</t>
        </is>
      </c>
      <c r="F2767" s="105" t="n">
        <v>45838</v>
      </c>
      <c r="G2767" t="inlineStr">
        <is>
          <t>203-2025-06-30</t>
        </is>
      </c>
      <c r="H2767" t="inlineStr">
        <is>
          <t>Ingresos por matriculas</t>
        </is>
      </c>
      <c r="I2767" t="n">
        <v>95</v>
      </c>
      <c r="J2767" t="n">
        <v>110.7799987792969</v>
      </c>
      <c r="BA2767" t="n">
        <v>137196246234</v>
      </c>
      <c r="BB2767" t="n">
        <v>151992602412</v>
      </c>
    </row>
    <row r="2768">
      <c r="A2768" t="n">
        <v>203</v>
      </c>
      <c r="B2768" t="inlineStr">
        <is>
          <t>Cumplimiento de Ingresos</t>
        </is>
      </c>
      <c r="C2768" t="inlineStr">
        <is>
          <t>Planeación Financiera</t>
        </is>
      </c>
      <c r="D2768" t="inlineStr">
        <is>
          <t>Trimestral</t>
        </is>
      </c>
      <c r="E2768" t="inlineStr">
        <is>
          <t>Positivo</t>
        </is>
      </c>
      <c r="F2768" s="105" t="n">
        <v>45838</v>
      </c>
      <c r="G2768" t="inlineStr">
        <is>
          <t>203-2025-06-30</t>
        </is>
      </c>
      <c r="H2768" t="inlineStr">
        <is>
          <t>Programas especiales</t>
        </is>
      </c>
      <c r="I2768" t="n">
        <v>95</v>
      </c>
      <c r="J2768" t="n">
        <v>128.4100036621094</v>
      </c>
      <c r="BA2768" t="n">
        <v>6845877311</v>
      </c>
      <c r="BB2768" t="n">
        <v>8790948119</v>
      </c>
    </row>
    <row r="2769">
      <c r="A2769" t="n">
        <v>203</v>
      </c>
      <c r="B2769" t="inlineStr">
        <is>
          <t>Cumplimiento de Ingresos</t>
        </is>
      </c>
      <c r="C2769" t="inlineStr">
        <is>
          <t>Planeación Financiera</t>
        </is>
      </c>
      <c r="D2769" t="inlineStr">
        <is>
          <t>Trimestral</t>
        </is>
      </c>
      <c r="E2769" t="inlineStr">
        <is>
          <t>Positivo</t>
        </is>
      </c>
      <c r="F2769" s="105" t="n">
        <v>45838</v>
      </c>
      <c r="G2769" t="inlineStr">
        <is>
          <t>203-2025-06-30</t>
        </is>
      </c>
      <c r="H2769" t="inlineStr">
        <is>
          <t>Otros Ingresos</t>
        </is>
      </c>
      <c r="I2769" t="n">
        <v>95</v>
      </c>
      <c r="J2769" t="n">
        <v>115.2799987792969</v>
      </c>
      <c r="BA2769" t="n">
        <v>5908643785</v>
      </c>
      <c r="BB2769" t="n">
        <v>6811594765.9</v>
      </c>
    </row>
    <row r="2770">
      <c r="A2770" t="n">
        <v>215</v>
      </c>
      <c r="B2770" t="inlineStr">
        <is>
          <t>Disminución de la Generación de Residuos per Cápita</t>
        </is>
      </c>
      <c r="C2770" t="inlineStr">
        <is>
          <t>GESTIÓN AMBIENTAL</t>
        </is>
      </c>
      <c r="D2770" t="inlineStr">
        <is>
          <t>Trimestral</t>
        </is>
      </c>
      <c r="E2770" t="inlineStr">
        <is>
          <t>Positivo</t>
        </is>
      </c>
      <c r="F2770" s="105" t="n">
        <v>45838</v>
      </c>
      <c r="G2770" t="inlineStr">
        <is>
          <t>215-2025-06-30</t>
        </is>
      </c>
      <c r="H2770" t="inlineStr">
        <is>
          <t>Campus Bogotá</t>
        </is>
      </c>
      <c r="I2770" t="n">
        <v>1</v>
      </c>
      <c r="J2770" t="n">
        <v>0</v>
      </c>
      <c r="AC2770" t="n">
        <v>1.04</v>
      </c>
      <c r="AD2770" t="n">
        <v>1.04</v>
      </c>
    </row>
    <row r="2771">
      <c r="A2771" t="n">
        <v>215</v>
      </c>
      <c r="B2771" t="inlineStr">
        <is>
          <t>Disminución de la Generación de Residuos per Cápita</t>
        </is>
      </c>
      <c r="C2771" t="inlineStr">
        <is>
          <t>GESTIÓN AMBIENTAL</t>
        </is>
      </c>
      <c r="D2771" t="inlineStr">
        <is>
          <t>Trimestral</t>
        </is>
      </c>
      <c r="E2771" t="inlineStr">
        <is>
          <t>Positivo</t>
        </is>
      </c>
      <c r="F2771" s="105" t="n">
        <v>45838</v>
      </c>
      <c r="G2771" t="inlineStr">
        <is>
          <t>215-2025-06-30</t>
        </is>
      </c>
      <c r="H2771" t="inlineStr">
        <is>
          <t>City Campus</t>
        </is>
      </c>
      <c r="I2771" t="n">
        <v>1</v>
      </c>
      <c r="J2771" t="n">
        <v>22.21999931335449</v>
      </c>
      <c r="AC2771" t="n">
        <v>0.45</v>
      </c>
      <c r="AD2771" t="n">
        <v>0.35</v>
      </c>
    </row>
    <row r="2772">
      <c r="A2772" t="n">
        <v>215</v>
      </c>
      <c r="B2772" t="inlineStr">
        <is>
          <t>Disminución de la Generación de Residuos per Cápita</t>
        </is>
      </c>
      <c r="C2772" t="inlineStr">
        <is>
          <t>GESTIÓN AMBIENTAL</t>
        </is>
      </c>
      <c r="D2772" t="inlineStr">
        <is>
          <t>Trimestral</t>
        </is>
      </c>
      <c r="E2772" t="inlineStr">
        <is>
          <t>Positivo</t>
        </is>
      </c>
      <c r="F2772" s="105" t="n">
        <v>45838</v>
      </c>
      <c r="G2772" t="inlineStr">
        <is>
          <t>215-2025-06-30</t>
        </is>
      </c>
      <c r="H2772" t="inlineStr">
        <is>
          <t>Sede Posgrado-Calle 85</t>
        </is>
      </c>
      <c r="I2772" t="n">
        <v>1</v>
      </c>
      <c r="J2772" t="n">
        <v>0</v>
      </c>
      <c r="AC2772" t="n">
        <v>0</v>
      </c>
      <c r="AD2772" t="n">
        <v>0.82</v>
      </c>
    </row>
    <row r="2773">
      <c r="A2773" t="n">
        <v>215</v>
      </c>
      <c r="B2773" t="inlineStr">
        <is>
          <t>Disminución de la Generación de Residuos per Cápita</t>
        </is>
      </c>
      <c r="C2773" t="inlineStr">
        <is>
          <t>GESTIÓN AMBIENTAL</t>
        </is>
      </c>
      <c r="D2773" t="inlineStr">
        <is>
          <t>Trimestral</t>
        </is>
      </c>
      <c r="E2773" t="inlineStr">
        <is>
          <t>Positivo</t>
        </is>
      </c>
      <c r="F2773" s="105" t="n">
        <v>45838</v>
      </c>
      <c r="G2773" t="inlineStr">
        <is>
          <t>215-2025-06-30</t>
        </is>
      </c>
      <c r="H2773" t="inlineStr">
        <is>
          <t>Campus-Medellín</t>
        </is>
      </c>
      <c r="I2773" t="n">
        <v>0</v>
      </c>
      <c r="J2773" t="n">
        <v>-16.67000007629395</v>
      </c>
      <c r="AC2773" t="n">
        <v>0.3</v>
      </c>
      <c r="AD2773" t="n">
        <v>0.35</v>
      </c>
    </row>
    <row r="2774">
      <c r="A2774" t="n">
        <v>215</v>
      </c>
      <c r="B2774" t="inlineStr">
        <is>
          <t>Disminución de la Generación de Residuos per Cápita</t>
        </is>
      </c>
      <c r="C2774" t="inlineStr">
        <is>
          <t>GESTIÓN AMBIENTAL</t>
        </is>
      </c>
      <c r="D2774" t="inlineStr">
        <is>
          <t>Trimestral</t>
        </is>
      </c>
      <c r="E2774" t="inlineStr">
        <is>
          <t>Positivo</t>
        </is>
      </c>
      <c r="F2774" s="105" t="n">
        <v>45838</v>
      </c>
      <c r="G2774" t="inlineStr">
        <is>
          <t>215-2025-06-30</t>
        </is>
      </c>
      <c r="H2774" t="inlineStr">
        <is>
          <t>Sede Bienestar - Medellín</t>
        </is>
      </c>
      <c r="I2774" t="n">
        <v>1</v>
      </c>
      <c r="J2774" t="n">
        <v>0</v>
      </c>
      <c r="AC2774" t="n">
        <v>0</v>
      </c>
      <c r="AD2774" t="n">
        <v>0.03</v>
      </c>
    </row>
    <row r="2775">
      <c r="A2775" t="n">
        <v>215</v>
      </c>
      <c r="B2775" t="inlineStr">
        <is>
          <t>Disminución de la Generación de Residuos per Cápita</t>
        </is>
      </c>
      <c r="C2775" t="inlineStr">
        <is>
          <t>GESTIÓN AMBIENTAL</t>
        </is>
      </c>
      <c r="D2775" t="inlineStr">
        <is>
          <t>Trimestral</t>
        </is>
      </c>
      <c r="E2775" t="inlineStr">
        <is>
          <t>Positivo</t>
        </is>
      </c>
      <c r="F2775" s="105" t="n">
        <v>45838</v>
      </c>
      <c r="G2775" t="inlineStr">
        <is>
          <t>215-2025-06-30</t>
        </is>
      </c>
      <c r="H2775" t="inlineStr">
        <is>
          <t>Consultorio Psicología - Medellin</t>
        </is>
      </c>
      <c r="I2775" t="n">
        <v>1</v>
      </c>
      <c r="J2775" t="n">
        <v>-255.0599975585938</v>
      </c>
      <c r="AC2775" t="n">
        <v>0.89</v>
      </c>
      <c r="AD2775" t="n">
        <v>3.16</v>
      </c>
    </row>
    <row r="2776">
      <c r="A2776" t="n">
        <v>219</v>
      </c>
      <c r="B2776" t="inlineStr">
        <is>
          <t>Disminución del Consumo de Energía Eléctrica per Cápita</t>
        </is>
      </c>
      <c r="C2776" t="inlineStr">
        <is>
          <t>GESTIÓN AMBIENTAL</t>
        </is>
      </c>
      <c r="D2776" t="inlineStr">
        <is>
          <t>Trimestral</t>
        </is>
      </c>
      <c r="E2776" t="inlineStr">
        <is>
          <t>Positivo</t>
        </is>
      </c>
      <c r="F2776" s="105" t="n">
        <v>45838</v>
      </c>
      <c r="G2776" t="inlineStr">
        <is>
          <t>219-2025-06-30</t>
        </is>
      </c>
      <c r="H2776" t="inlineStr">
        <is>
          <t>Campus Bogotá</t>
        </is>
      </c>
      <c r="I2776" t="n">
        <v>1</v>
      </c>
      <c r="J2776" t="n">
        <v>2.569999933242798</v>
      </c>
      <c r="O2776" t="n">
        <v>2338</v>
      </c>
      <c r="P2776" t="n">
        <v>2240</v>
      </c>
      <c r="Q2776" t="n">
        <v>14736</v>
      </c>
      <c r="R2776" t="n">
        <v>0</v>
      </c>
      <c r="S2776" t="n">
        <v>2232</v>
      </c>
      <c r="T2776" t="n">
        <v>2683</v>
      </c>
      <c r="U2776" t="n">
        <v>13824</v>
      </c>
      <c r="V2776" t="n">
        <v>0</v>
      </c>
      <c r="W2776" t="n">
        <v>391333.21</v>
      </c>
      <c r="X2776" t="n">
        <v>389679</v>
      </c>
    </row>
    <row r="2777">
      <c r="A2777" t="n">
        <v>219</v>
      </c>
      <c r="B2777" t="inlineStr">
        <is>
          <t>Disminución del Consumo de Energía Eléctrica per Cápita</t>
        </is>
      </c>
      <c r="C2777" t="inlineStr">
        <is>
          <t>GESTIÓN AMBIENTAL</t>
        </is>
      </c>
      <c r="D2777" t="inlineStr">
        <is>
          <t>Trimestral</t>
        </is>
      </c>
      <c r="E2777" t="inlineStr">
        <is>
          <t>Positivo</t>
        </is>
      </c>
      <c r="F2777" s="105" t="n">
        <v>45838</v>
      </c>
      <c r="G2777" t="inlineStr">
        <is>
          <t>219-2025-06-30</t>
        </is>
      </c>
      <c r="H2777" t="inlineStr">
        <is>
          <t>Sede Posgrado-Calle 85</t>
        </is>
      </c>
      <c r="I2777" t="n">
        <v>1</v>
      </c>
      <c r="J2777" t="n">
        <v>7.039999961853027</v>
      </c>
      <c r="O2777" t="n">
        <v>51</v>
      </c>
      <c r="P2777" t="n">
        <v>38</v>
      </c>
      <c r="Q2777" t="n">
        <v>189</v>
      </c>
      <c r="R2777" t="n">
        <v>0</v>
      </c>
      <c r="S2777" t="n">
        <v>66</v>
      </c>
      <c r="T2777" t="n">
        <v>71</v>
      </c>
      <c r="U2777" t="n">
        <v>135</v>
      </c>
      <c r="V2777" t="n">
        <v>0</v>
      </c>
      <c r="W2777" t="n">
        <v>24000</v>
      </c>
      <c r="X2777" t="n">
        <v>25260</v>
      </c>
    </row>
    <row r="2778">
      <c r="A2778" t="n">
        <v>219</v>
      </c>
      <c r="B2778" t="inlineStr">
        <is>
          <t>Disminución del Consumo de Energía Eléctrica per Cápita</t>
        </is>
      </c>
      <c r="C2778" t="inlineStr">
        <is>
          <t>GESTIÓN AMBIENTAL</t>
        </is>
      </c>
      <c r="D2778" t="inlineStr">
        <is>
          <t>Trimestral</t>
        </is>
      </c>
      <c r="E2778" t="inlineStr">
        <is>
          <t>Positivo</t>
        </is>
      </c>
      <c r="F2778" s="105" t="n">
        <v>45838</v>
      </c>
      <c r="G2778" t="inlineStr">
        <is>
          <t>219-2025-06-30</t>
        </is>
      </c>
      <c r="H2778" t="inlineStr">
        <is>
          <t>Campus-Medellín</t>
        </is>
      </c>
      <c r="I2778" t="n">
        <v>1</v>
      </c>
      <c r="J2778" t="n">
        <v>38.18999862670898</v>
      </c>
      <c r="O2778" t="n">
        <v>387</v>
      </c>
      <c r="P2778" t="n">
        <v>810</v>
      </c>
      <c r="Q2778" t="n">
        <v>13541</v>
      </c>
      <c r="R2778" t="n">
        <v>144</v>
      </c>
      <c r="S2778" t="n">
        <v>374</v>
      </c>
      <c r="T2778" t="n">
        <v>922</v>
      </c>
      <c r="U2778" t="n">
        <v>10413</v>
      </c>
      <c r="V2778" t="n">
        <v>5</v>
      </c>
      <c r="W2778" t="n">
        <v>108240</v>
      </c>
      <c r="X2778" t="n">
        <v>137838</v>
      </c>
    </row>
    <row r="2779">
      <c r="A2779" t="n">
        <v>219</v>
      </c>
      <c r="B2779" t="inlineStr">
        <is>
          <t>Disminución del Consumo de Energía Eléctrica per Cápita</t>
        </is>
      </c>
      <c r="C2779" t="inlineStr">
        <is>
          <t>GESTIÓN AMBIENTAL</t>
        </is>
      </c>
      <c r="D2779" t="inlineStr">
        <is>
          <t>Trimestral</t>
        </is>
      </c>
      <c r="E2779" t="inlineStr">
        <is>
          <t>Positivo</t>
        </is>
      </c>
      <c r="F2779" s="105" t="n">
        <v>45838</v>
      </c>
      <c r="G2779" t="inlineStr">
        <is>
          <t>219-2025-06-30</t>
        </is>
      </c>
      <c r="H2779" t="inlineStr">
        <is>
          <t>Sede Bienestar - Medellín</t>
        </is>
      </c>
      <c r="I2779" t="n">
        <v>1</v>
      </c>
      <c r="J2779" t="n">
        <v>96.44999694824219</v>
      </c>
      <c r="O2779" t="n">
        <v>24</v>
      </c>
      <c r="P2779" t="n">
        <v>24</v>
      </c>
      <c r="Q2779" t="n">
        <v>3553</v>
      </c>
      <c r="R2779" t="n">
        <v>0</v>
      </c>
      <c r="S2779" t="n">
        <v>9</v>
      </c>
      <c r="T2779" t="n">
        <v>26</v>
      </c>
      <c r="U2779" t="n">
        <v>2938</v>
      </c>
      <c r="V2779" t="n">
        <v>0</v>
      </c>
      <c r="W2779" t="n">
        <v>960</v>
      </c>
      <c r="X2779" t="n">
        <v>22320</v>
      </c>
    </row>
    <row r="2780">
      <c r="A2780" t="n">
        <v>219</v>
      </c>
      <c r="B2780" t="inlineStr">
        <is>
          <t>Disminución del Consumo de Energía Eléctrica per Cápita</t>
        </is>
      </c>
      <c r="C2780" t="inlineStr">
        <is>
          <t>GESTIÓN AMBIENTAL</t>
        </is>
      </c>
      <c r="D2780" t="inlineStr">
        <is>
          <t>Trimestral</t>
        </is>
      </c>
      <c r="E2780" t="inlineStr">
        <is>
          <t>Positivo</t>
        </is>
      </c>
      <c r="F2780" s="105" t="n">
        <v>45838</v>
      </c>
      <c r="G2780" t="inlineStr">
        <is>
          <t>219-2025-06-30</t>
        </is>
      </c>
      <c r="H2780" t="inlineStr">
        <is>
          <t>Consultorio Psicología - Medellin</t>
        </is>
      </c>
      <c r="I2780" t="n">
        <v>1</v>
      </c>
      <c r="J2780" t="n">
        <v>-54.95000076293945</v>
      </c>
      <c r="O2780" t="n">
        <v>12</v>
      </c>
      <c r="P2780" t="n">
        <v>10</v>
      </c>
      <c r="Q2780" t="n">
        <v>60</v>
      </c>
      <c r="R2780" t="n">
        <v>0</v>
      </c>
      <c r="S2780" t="n">
        <v>10</v>
      </c>
      <c r="T2780" t="n">
        <v>10</v>
      </c>
      <c r="U2780" t="n">
        <v>48</v>
      </c>
      <c r="V2780" t="n">
        <v>0</v>
      </c>
      <c r="W2780" t="n">
        <v>14079</v>
      </c>
      <c r="X2780" t="n">
        <v>7535</v>
      </c>
    </row>
    <row r="2781">
      <c r="A2781" t="n">
        <v>219</v>
      </c>
      <c r="B2781" t="inlineStr">
        <is>
          <t>Disminución del Consumo de Energía Eléctrica per Cápita</t>
        </is>
      </c>
      <c r="C2781" t="inlineStr">
        <is>
          <t>GESTIÓN AMBIENTAL</t>
        </is>
      </c>
      <c r="D2781" t="inlineStr">
        <is>
          <t>Trimestral</t>
        </is>
      </c>
      <c r="E2781" t="inlineStr">
        <is>
          <t>Positivo</t>
        </is>
      </c>
      <c r="F2781" s="105" t="n">
        <v>45838</v>
      </c>
      <c r="G2781" t="inlineStr">
        <is>
          <t>219-2025-06-30</t>
        </is>
      </c>
      <c r="H2781" t="inlineStr">
        <is>
          <t>City Campus</t>
        </is>
      </c>
      <c r="I2781" t="n">
        <v>1</v>
      </c>
      <c r="J2781" t="n">
        <v>20.47999954223633</v>
      </c>
      <c r="O2781" t="n">
        <v>483</v>
      </c>
      <c r="P2781" t="n">
        <v>23</v>
      </c>
      <c r="Q2781" t="n">
        <v>11976</v>
      </c>
      <c r="R2781" t="n">
        <v>3010</v>
      </c>
      <c r="S2781" t="n">
        <v>477</v>
      </c>
      <c r="T2781" t="n">
        <v>24</v>
      </c>
      <c r="U2781" t="n">
        <v>8635</v>
      </c>
      <c r="V2781" t="n">
        <v>2925</v>
      </c>
      <c r="W2781" t="n">
        <v>272460</v>
      </c>
      <c r="X2781" t="n">
        <v>266760</v>
      </c>
    </row>
    <row r="2782">
      <c r="A2782" t="n">
        <v>220</v>
      </c>
      <c r="B2782" t="inlineStr">
        <is>
          <t>Disminución del Consumo de Agua per Cápita</t>
        </is>
      </c>
      <c r="C2782" t="inlineStr">
        <is>
          <t>GESTIÓN AMBIENTAL</t>
        </is>
      </c>
      <c r="D2782" t="inlineStr">
        <is>
          <t>Trimestral</t>
        </is>
      </c>
      <c r="E2782" t="inlineStr">
        <is>
          <t>Positivo</t>
        </is>
      </c>
      <c r="F2782" s="105" t="n">
        <v>45838</v>
      </c>
      <c r="G2782" t="inlineStr">
        <is>
          <t>220-2025-06-30</t>
        </is>
      </c>
      <c r="H2782" t="inlineStr">
        <is>
          <t>Campus Bogotá</t>
        </is>
      </c>
      <c r="I2782" t="n">
        <v>1</v>
      </c>
      <c r="J2782" t="n">
        <v>26.82999992370605</v>
      </c>
      <c r="O2782" t="n">
        <v>2338</v>
      </c>
      <c r="P2782" t="n">
        <v>2240</v>
      </c>
      <c r="Q2782" t="n">
        <v>14736</v>
      </c>
      <c r="R2782" t="n">
        <v>0</v>
      </c>
      <c r="S2782" t="n">
        <v>2232</v>
      </c>
      <c r="T2782" t="n">
        <v>2683</v>
      </c>
      <c r="U2782" t="n">
        <v>13824</v>
      </c>
      <c r="V2782" t="n">
        <v>0</v>
      </c>
      <c r="Y2782" t="n">
        <v>3849</v>
      </c>
      <c r="Z2782" t="n">
        <v>5104</v>
      </c>
    </row>
    <row r="2783">
      <c r="A2783" t="n">
        <v>220</v>
      </c>
      <c r="B2783" t="inlineStr">
        <is>
          <t>Disminución del Consumo de Agua per Cápita</t>
        </is>
      </c>
      <c r="C2783" t="inlineStr">
        <is>
          <t>GESTIÓN AMBIENTAL</t>
        </is>
      </c>
      <c r="D2783" t="inlineStr">
        <is>
          <t>Trimestral</t>
        </is>
      </c>
      <c r="E2783" t="inlineStr">
        <is>
          <t>Positivo</t>
        </is>
      </c>
      <c r="F2783" s="105" t="n">
        <v>45838</v>
      </c>
      <c r="G2783" t="inlineStr">
        <is>
          <t>220-2025-06-30</t>
        </is>
      </c>
      <c r="H2783" t="inlineStr">
        <is>
          <t>City Campus</t>
        </is>
      </c>
      <c r="I2783" t="n">
        <v>1</v>
      </c>
      <c r="J2783" t="n">
        <v>-0.7200000286102295</v>
      </c>
      <c r="O2783" t="n">
        <v>483</v>
      </c>
      <c r="P2783" t="n">
        <v>23</v>
      </c>
      <c r="Q2783" t="n">
        <v>11976</v>
      </c>
      <c r="R2783" t="n">
        <v>3010</v>
      </c>
      <c r="S2783" t="n">
        <v>477</v>
      </c>
      <c r="T2783" t="n">
        <v>24</v>
      </c>
      <c r="U2783" t="n">
        <v>8635</v>
      </c>
      <c r="V2783" t="n">
        <v>2925</v>
      </c>
      <c r="Y2783" t="n">
        <v>2273</v>
      </c>
      <c r="Z2783" t="n">
        <v>1757</v>
      </c>
    </row>
    <row r="2784">
      <c r="A2784" t="n">
        <v>220</v>
      </c>
      <c r="B2784" t="inlineStr">
        <is>
          <t>Disminución del Consumo de Agua per Cápita</t>
        </is>
      </c>
      <c r="C2784" t="inlineStr">
        <is>
          <t>GESTIÓN AMBIENTAL</t>
        </is>
      </c>
      <c r="D2784" t="inlineStr">
        <is>
          <t>Trimestral</t>
        </is>
      </c>
      <c r="E2784" t="inlineStr">
        <is>
          <t>Positivo</t>
        </is>
      </c>
      <c r="F2784" s="105" t="n">
        <v>45838</v>
      </c>
      <c r="G2784" t="inlineStr">
        <is>
          <t>220-2025-06-30</t>
        </is>
      </c>
      <c r="H2784" t="inlineStr">
        <is>
          <t>Sede Posgrado-Calle 85</t>
        </is>
      </c>
      <c r="I2784" t="n">
        <v>1</v>
      </c>
      <c r="J2784" t="n">
        <v>-37.38000106811523</v>
      </c>
      <c r="O2784" t="n">
        <v>51</v>
      </c>
      <c r="P2784" t="n">
        <v>38</v>
      </c>
      <c r="Q2784" t="n">
        <v>189</v>
      </c>
      <c r="R2784" t="n">
        <v>0</v>
      </c>
      <c r="S2784" t="n">
        <v>66</v>
      </c>
      <c r="T2784" t="n">
        <v>71</v>
      </c>
      <c r="U2784" t="n">
        <v>135</v>
      </c>
      <c r="V2784" t="n">
        <v>0</v>
      </c>
      <c r="Y2784" t="n">
        <v>102.5</v>
      </c>
      <c r="Z2784" t="n">
        <v>73</v>
      </c>
    </row>
    <row r="2785">
      <c r="A2785" t="n">
        <v>220</v>
      </c>
      <c r="B2785" t="inlineStr">
        <is>
          <t>Disminución del Consumo de Agua per Cápita</t>
        </is>
      </c>
      <c r="C2785" t="inlineStr">
        <is>
          <t>GESTIÓN AMBIENTAL</t>
        </is>
      </c>
      <c r="D2785" t="inlineStr">
        <is>
          <t>Trimestral</t>
        </is>
      </c>
      <c r="E2785" t="inlineStr">
        <is>
          <t>Positivo</t>
        </is>
      </c>
      <c r="F2785" s="105" t="n">
        <v>45838</v>
      </c>
      <c r="G2785" t="inlineStr">
        <is>
          <t>220-2025-06-30</t>
        </is>
      </c>
      <c r="H2785" t="inlineStr">
        <is>
          <t>Campus-Medellín</t>
        </is>
      </c>
      <c r="I2785" t="n">
        <v>1</v>
      </c>
      <c r="J2785" t="n">
        <v>64.70999908447266</v>
      </c>
      <c r="O2785" t="n">
        <v>387</v>
      </c>
      <c r="P2785" t="n">
        <v>810</v>
      </c>
      <c r="Q2785" t="n">
        <v>13541</v>
      </c>
      <c r="R2785" t="n">
        <v>144</v>
      </c>
      <c r="S2785" t="n">
        <v>374</v>
      </c>
      <c r="T2785" t="n">
        <v>922</v>
      </c>
      <c r="U2785" t="n">
        <v>10413</v>
      </c>
      <c r="V2785" t="n">
        <v>5</v>
      </c>
      <c r="Y2785" t="n">
        <v>1125</v>
      </c>
      <c r="Z2785" t="n">
        <v>2509</v>
      </c>
    </row>
    <row r="2786">
      <c r="A2786" t="n">
        <v>220</v>
      </c>
      <c r="B2786" t="inlineStr">
        <is>
          <t>Disminución del Consumo de Agua per Cápita</t>
        </is>
      </c>
      <c r="C2786" t="inlineStr">
        <is>
          <t>GESTIÓN AMBIENTAL</t>
        </is>
      </c>
      <c r="D2786" t="inlineStr">
        <is>
          <t>Trimestral</t>
        </is>
      </c>
      <c r="E2786" t="inlineStr">
        <is>
          <t>Positivo</t>
        </is>
      </c>
      <c r="F2786" s="105" t="n">
        <v>45838</v>
      </c>
      <c r="G2786" t="inlineStr">
        <is>
          <t>220-2025-06-30</t>
        </is>
      </c>
      <c r="H2786" t="inlineStr">
        <is>
          <t>Consultorio Psicología - Medellin</t>
        </is>
      </c>
      <c r="I2786" t="n">
        <v>1</v>
      </c>
      <c r="J2786" t="n">
        <v>98.76000213623047</v>
      </c>
      <c r="O2786" t="n">
        <v>12</v>
      </c>
      <c r="P2786" t="n">
        <v>10</v>
      </c>
      <c r="Q2786" t="n">
        <v>60</v>
      </c>
      <c r="R2786" t="n">
        <v>0</v>
      </c>
      <c r="S2786" t="n">
        <v>10</v>
      </c>
      <c r="T2786" t="n">
        <v>10</v>
      </c>
      <c r="U2786" t="n">
        <v>48</v>
      </c>
      <c r="V2786" t="n">
        <v>0</v>
      </c>
      <c r="Y2786" t="n">
        <v>1</v>
      </c>
      <c r="Z2786" t="n">
        <v>67</v>
      </c>
    </row>
    <row r="2787">
      <c r="A2787" t="n">
        <v>220</v>
      </c>
      <c r="B2787" t="inlineStr">
        <is>
          <t>Disminución del Consumo de Agua per Cápita</t>
        </is>
      </c>
      <c r="C2787" t="inlineStr">
        <is>
          <t>GESTIÓN AMBIENTAL</t>
        </is>
      </c>
      <c r="D2787" t="inlineStr">
        <is>
          <t>Trimestral</t>
        </is>
      </c>
      <c r="E2787" t="inlineStr">
        <is>
          <t>Positivo</t>
        </is>
      </c>
      <c r="F2787" s="105" t="n">
        <v>45838</v>
      </c>
      <c r="G2787" t="inlineStr">
        <is>
          <t>220-2025-06-30</t>
        </is>
      </c>
      <c r="H2787" t="inlineStr">
        <is>
          <t>Sede Bienestar - Medellín</t>
        </is>
      </c>
      <c r="I2787" t="n">
        <v>1</v>
      </c>
      <c r="O2787" t="n">
        <v>24</v>
      </c>
      <c r="P2787" t="n">
        <v>24</v>
      </c>
      <c r="Q2787" t="n">
        <v>3553</v>
      </c>
      <c r="R2787" t="n">
        <v>0</v>
      </c>
      <c r="S2787" t="n">
        <v>9</v>
      </c>
      <c r="T2787" t="n">
        <v>26</v>
      </c>
      <c r="U2787" t="n">
        <v>2938</v>
      </c>
      <c r="V2787" t="n">
        <v>0</v>
      </c>
      <c r="Y2787" t="n">
        <v>0</v>
      </c>
      <c r="Z2787" t="n">
        <v>0</v>
      </c>
    </row>
    <row r="2788">
      <c r="A2788" t="n">
        <v>274</v>
      </c>
      <c r="B2788" t="inlineStr">
        <is>
          <t>Cumplimiento total estudiantes antiguos</t>
        </is>
      </c>
      <c r="C2788" t="inlineStr">
        <is>
          <t>Rematrícula</t>
        </is>
      </c>
      <c r="D2788" t="inlineStr">
        <is>
          <t>Trimestral</t>
        </is>
      </c>
      <c r="E2788" t="inlineStr">
        <is>
          <t>Positivo</t>
        </is>
      </c>
      <c r="F2788" s="105" t="n">
        <v>45838</v>
      </c>
      <c r="G2788" t="inlineStr">
        <is>
          <t>274-2025-06-30</t>
        </is>
      </c>
      <c r="H2788" t="inlineStr">
        <is>
          <t>Posgrado Presencial</t>
        </is>
      </c>
      <c r="I2788" t="n">
        <v>100</v>
      </c>
      <c r="J2788" t="n">
        <v>106.3899993896484</v>
      </c>
      <c r="BC2788" t="n">
        <v>283</v>
      </c>
      <c r="BD2788" t="n">
        <v>266</v>
      </c>
    </row>
    <row r="2789">
      <c r="A2789" t="n">
        <v>274</v>
      </c>
      <c r="B2789" t="inlineStr">
        <is>
          <t>Cumplimiento total estudiantes antiguos</t>
        </is>
      </c>
      <c r="C2789" t="inlineStr">
        <is>
          <t>Rematrícula</t>
        </is>
      </c>
      <c r="D2789" t="inlineStr">
        <is>
          <t>Trimestral</t>
        </is>
      </c>
      <c r="E2789" t="inlineStr">
        <is>
          <t>Positivo</t>
        </is>
      </c>
      <c r="F2789" s="105" t="n">
        <v>45838</v>
      </c>
      <c r="G2789" t="inlineStr">
        <is>
          <t>274-2025-06-30</t>
        </is>
      </c>
      <c r="H2789" t="inlineStr">
        <is>
          <t>Pregrado Presencial</t>
        </is>
      </c>
      <c r="I2789" t="n">
        <v>100</v>
      </c>
      <c r="J2789" t="n">
        <v>103.8600006103516</v>
      </c>
      <c r="BC2789" t="n">
        <v>6504</v>
      </c>
      <c r="BD2789" t="n">
        <v>6262</v>
      </c>
    </row>
    <row r="2790">
      <c r="A2790" t="n">
        <v>274</v>
      </c>
      <c r="B2790" t="inlineStr">
        <is>
          <t>Cumplimiento total estudiantes antiguos</t>
        </is>
      </c>
      <c r="C2790" t="inlineStr">
        <is>
          <t>Rematrícula</t>
        </is>
      </c>
      <c r="D2790" t="inlineStr">
        <is>
          <t>Trimestral</t>
        </is>
      </c>
      <c r="E2790" t="inlineStr">
        <is>
          <t>Positivo</t>
        </is>
      </c>
      <c r="F2790" s="105" t="n">
        <v>45838</v>
      </c>
      <c r="G2790" t="inlineStr">
        <is>
          <t>274-2025-06-30</t>
        </is>
      </c>
      <c r="H2790" t="inlineStr">
        <is>
          <t>Pregrado Virtual</t>
        </is>
      </c>
      <c r="I2790" t="n">
        <v>100</v>
      </c>
      <c r="J2790" t="n">
        <v>107.0599975585938</v>
      </c>
      <c r="BC2790" t="n">
        <v>33982</v>
      </c>
      <c r="BD2790" t="n">
        <v>31740</v>
      </c>
    </row>
    <row r="2791">
      <c r="A2791" t="n">
        <v>274</v>
      </c>
      <c r="B2791" t="inlineStr">
        <is>
          <t>Cumplimiento total estudiantes antiguos</t>
        </is>
      </c>
      <c r="C2791" t="inlineStr">
        <is>
          <t>Rematrícula</t>
        </is>
      </c>
      <c r="D2791" t="inlineStr">
        <is>
          <t>Trimestral</t>
        </is>
      </c>
      <c r="E2791" t="inlineStr">
        <is>
          <t>Positivo</t>
        </is>
      </c>
      <c r="F2791" s="105" t="n">
        <v>45838</v>
      </c>
      <c r="G2791" t="inlineStr">
        <is>
          <t>274-2025-06-30</t>
        </is>
      </c>
      <c r="H2791" t="inlineStr">
        <is>
          <t>Posgrado Virtual</t>
        </is>
      </c>
      <c r="I2791" t="n">
        <v>100</v>
      </c>
      <c r="J2791" t="n">
        <v>89.87000274658203</v>
      </c>
      <c r="BC2791" t="n">
        <v>1580</v>
      </c>
      <c r="BD2791" t="n">
        <v>1758</v>
      </c>
    </row>
    <row r="2792">
      <c r="A2792" t="n">
        <v>275</v>
      </c>
      <c r="B2792" t="inlineStr">
        <is>
          <t>Satisfacción Institucional por grupo de interes</t>
        </is>
      </c>
      <c r="C2792" t="inlineStr">
        <is>
          <t>EXPERIENCIA INSTITUCIONAL</t>
        </is>
      </c>
      <c r="D2792" t="inlineStr">
        <is>
          <t>Trimestral</t>
        </is>
      </c>
      <c r="E2792" t="inlineStr">
        <is>
          <t>Positivo</t>
        </is>
      </c>
      <c r="F2792" s="105" t="n">
        <v>45838</v>
      </c>
      <c r="G2792" t="inlineStr">
        <is>
          <t>275-2025-06-30</t>
        </is>
      </c>
      <c r="H2792" t="inlineStr">
        <is>
          <t>Estudiantes</t>
        </is>
      </c>
      <c r="I2792" t="n">
        <v>80</v>
      </c>
      <c r="J2792" t="n">
        <v>90</v>
      </c>
      <c r="EG2792" t="n">
        <v>90</v>
      </c>
    </row>
    <row r="2793">
      <c r="A2793" t="n">
        <v>278</v>
      </c>
      <c r="B2793" t="inlineStr">
        <is>
          <t>Docentes contratados - Metrica</t>
        </is>
      </c>
      <c r="C2793" t="inlineStr">
        <is>
          <t>Gestión Docente</t>
        </is>
      </c>
      <c r="D2793" t="inlineStr">
        <is>
          <t>Trimestral</t>
        </is>
      </c>
      <c r="E2793" t="inlineStr">
        <is>
          <t>Positivo</t>
        </is>
      </c>
      <c r="F2793" s="105" t="n">
        <v>45838</v>
      </c>
      <c r="G2793" t="inlineStr">
        <is>
          <t>278-2025-06-30</t>
        </is>
      </c>
      <c r="H2793" t="inlineStr">
        <is>
          <t>Tiempo completo</t>
        </is>
      </c>
      <c r="J2793" t="n">
        <v>671</v>
      </c>
      <c r="BE2793" t="n">
        <v>671</v>
      </c>
    </row>
    <row r="2794">
      <c r="A2794" t="n">
        <v>278</v>
      </c>
      <c r="B2794" t="inlineStr">
        <is>
          <t>Docentes contratados - Metrica</t>
        </is>
      </c>
      <c r="C2794" t="inlineStr">
        <is>
          <t>Gestión Docente</t>
        </is>
      </c>
      <c r="D2794" t="inlineStr">
        <is>
          <t>Trimestral</t>
        </is>
      </c>
      <c r="E2794" t="inlineStr">
        <is>
          <t>Positivo</t>
        </is>
      </c>
      <c r="F2794" s="105" t="n">
        <v>45838</v>
      </c>
      <c r="G2794" t="inlineStr">
        <is>
          <t>278-2025-06-30</t>
        </is>
      </c>
      <c r="H2794" t="inlineStr">
        <is>
          <t>Catedra</t>
        </is>
      </c>
      <c r="J2794" t="n">
        <v>142</v>
      </c>
      <c r="BE2794" t="n">
        <v>142</v>
      </c>
    </row>
    <row r="2795">
      <c r="A2795" t="n">
        <v>278</v>
      </c>
      <c r="B2795" t="inlineStr">
        <is>
          <t>Docentes contratados - Metrica</t>
        </is>
      </c>
      <c r="C2795" t="inlineStr">
        <is>
          <t>Gestión Docente</t>
        </is>
      </c>
      <c r="D2795" t="inlineStr">
        <is>
          <t>Trimestral</t>
        </is>
      </c>
      <c r="E2795" t="inlineStr">
        <is>
          <t>Positivo</t>
        </is>
      </c>
      <c r="F2795" s="105" t="n">
        <v>45838</v>
      </c>
      <c r="G2795" t="inlineStr">
        <is>
          <t>278-2025-06-30</t>
        </is>
      </c>
      <c r="H2795" t="inlineStr">
        <is>
          <t>Medio tiempo</t>
        </is>
      </c>
      <c r="J2795" t="n">
        <v>286</v>
      </c>
      <c r="BE2795" t="n">
        <v>286</v>
      </c>
    </row>
    <row r="2796">
      <c r="A2796" t="n">
        <v>286</v>
      </c>
      <c r="B2796" t="inlineStr">
        <is>
          <t>Total docentes por nivel de estudios - Metrica</t>
        </is>
      </c>
      <c r="C2796" t="inlineStr">
        <is>
          <t>Gestión Docente</t>
        </is>
      </c>
      <c r="D2796" t="inlineStr">
        <is>
          <t>Trimestral</t>
        </is>
      </c>
      <c r="E2796" t="inlineStr">
        <is>
          <t>Positivo</t>
        </is>
      </c>
      <c r="F2796" s="105" t="n">
        <v>45838</v>
      </c>
      <c r="G2796" t="inlineStr">
        <is>
          <t>286-2025-06-30</t>
        </is>
      </c>
      <c r="H2796" t="inlineStr">
        <is>
          <t>Doctorado</t>
        </is>
      </c>
      <c r="J2796" t="n">
        <v>94</v>
      </c>
      <c r="BF2796" t="n">
        <v>94</v>
      </c>
    </row>
    <row r="2797">
      <c r="A2797" t="n">
        <v>286</v>
      </c>
      <c r="B2797" t="inlineStr">
        <is>
          <t>Total docentes por nivel de estudios - Metrica</t>
        </is>
      </c>
      <c r="C2797" t="inlineStr">
        <is>
          <t>Gestión Docente</t>
        </is>
      </c>
      <c r="D2797" t="inlineStr">
        <is>
          <t>Trimestral</t>
        </is>
      </c>
      <c r="E2797" t="inlineStr">
        <is>
          <t>Positivo</t>
        </is>
      </c>
      <c r="F2797" s="105" t="n">
        <v>45838</v>
      </c>
      <c r="G2797" t="inlineStr">
        <is>
          <t>286-2025-06-30</t>
        </is>
      </c>
      <c r="H2797" t="inlineStr">
        <is>
          <t>Maestría</t>
        </is>
      </c>
      <c r="J2797" t="n">
        <v>846</v>
      </c>
      <c r="BF2797" t="n">
        <v>846</v>
      </c>
    </row>
    <row r="2798">
      <c r="A2798" t="n">
        <v>286</v>
      </c>
      <c r="B2798" t="inlineStr">
        <is>
          <t>Total docentes por nivel de estudios - Metrica</t>
        </is>
      </c>
      <c r="C2798" t="inlineStr">
        <is>
          <t>Gestión Docente</t>
        </is>
      </c>
      <c r="D2798" t="inlineStr">
        <is>
          <t>Trimestral</t>
        </is>
      </c>
      <c r="E2798" t="inlineStr">
        <is>
          <t>Positivo</t>
        </is>
      </c>
      <c r="F2798" s="105" t="n">
        <v>45838</v>
      </c>
      <c r="G2798" t="inlineStr">
        <is>
          <t>286-2025-06-30</t>
        </is>
      </c>
      <c r="H2798" t="inlineStr">
        <is>
          <t>Especialización</t>
        </is>
      </c>
      <c r="J2798" t="n">
        <v>90</v>
      </c>
      <c r="BF2798" t="n">
        <v>90</v>
      </c>
    </row>
    <row r="2799">
      <c r="A2799" t="n">
        <v>286</v>
      </c>
      <c r="B2799" t="inlineStr">
        <is>
          <t>Total docentes por nivel de estudios - Metrica</t>
        </is>
      </c>
      <c r="C2799" t="inlineStr">
        <is>
          <t>Gestión Docente</t>
        </is>
      </c>
      <c r="D2799" t="inlineStr">
        <is>
          <t>Trimestral</t>
        </is>
      </c>
      <c r="E2799" t="inlineStr">
        <is>
          <t>Positivo</t>
        </is>
      </c>
      <c r="F2799" s="105" t="n">
        <v>45838</v>
      </c>
      <c r="G2799" t="inlineStr">
        <is>
          <t>286-2025-06-30</t>
        </is>
      </c>
      <c r="H2799" t="inlineStr">
        <is>
          <t>Pregrado</t>
        </is>
      </c>
      <c r="J2799" t="n">
        <v>69</v>
      </c>
      <c r="BF2799" t="n">
        <v>69</v>
      </c>
    </row>
    <row r="2800">
      <c r="A2800" t="n">
        <v>292</v>
      </c>
      <c r="B2800" t="inlineStr">
        <is>
          <t>Participación en Actividades deportivas</t>
        </is>
      </c>
      <c r="C2800" t="inlineStr">
        <is>
          <t>Cultura y Deporte</t>
        </is>
      </c>
      <c r="D2800" t="inlineStr">
        <is>
          <t>Trimestral</t>
        </is>
      </c>
      <c r="E2800" t="inlineStr">
        <is>
          <t>Positivo</t>
        </is>
      </c>
      <c r="F2800" s="105" t="n">
        <v>45838</v>
      </c>
      <c r="G2800" t="inlineStr">
        <is>
          <t>292-2025-06-30</t>
        </is>
      </c>
      <c r="H2800" t="inlineStr">
        <is>
          <t>Bogotá</t>
        </is>
      </c>
      <c r="I2800" t="n">
        <v>8</v>
      </c>
      <c r="J2800" t="n">
        <v>0.1700000017881393</v>
      </c>
      <c r="BG2800" t="n">
        <v>1784</v>
      </c>
      <c r="BH2800" t="n">
        <v>1781</v>
      </c>
    </row>
    <row r="2801">
      <c r="A2801" t="n">
        <v>292</v>
      </c>
      <c r="B2801" t="inlineStr">
        <is>
          <t>Participación en Actividades deportivas</t>
        </is>
      </c>
      <c r="C2801" t="inlineStr">
        <is>
          <t>Cultura y Deporte</t>
        </is>
      </c>
      <c r="D2801" t="inlineStr">
        <is>
          <t>Trimestral</t>
        </is>
      </c>
      <c r="E2801" t="inlineStr">
        <is>
          <t>Positivo</t>
        </is>
      </c>
      <c r="F2801" s="105" t="n">
        <v>45838</v>
      </c>
      <c r="G2801" t="inlineStr">
        <is>
          <t>292-2025-06-30</t>
        </is>
      </c>
      <c r="H2801" t="inlineStr">
        <is>
          <t>Medellín</t>
        </is>
      </c>
      <c r="I2801" t="n">
        <v>8</v>
      </c>
      <c r="J2801" t="n">
        <v>-17.68000030517578</v>
      </c>
      <c r="BG2801" t="n">
        <v>689</v>
      </c>
      <c r="BH2801" t="n">
        <v>837</v>
      </c>
    </row>
    <row r="2802">
      <c r="A2802" t="n">
        <v>292</v>
      </c>
      <c r="B2802" t="inlineStr">
        <is>
          <t>Participación en Actividades deportivas</t>
        </is>
      </c>
      <c r="C2802" t="inlineStr">
        <is>
          <t>Cultura y Deporte</t>
        </is>
      </c>
      <c r="D2802" t="inlineStr">
        <is>
          <t>Trimestral</t>
        </is>
      </c>
      <c r="E2802" t="inlineStr">
        <is>
          <t>Positivo</t>
        </is>
      </c>
      <c r="F2802" s="105" t="n">
        <v>45838</v>
      </c>
      <c r="G2802" t="inlineStr">
        <is>
          <t>292-2025-06-30</t>
        </is>
      </c>
      <c r="H2802" t="inlineStr">
        <is>
          <t>Virtual</t>
        </is>
      </c>
      <c r="I2802" t="n">
        <v>8</v>
      </c>
      <c r="J2802" t="n">
        <v>126.4499969482422</v>
      </c>
      <c r="BG2802" t="n">
        <v>779</v>
      </c>
      <c r="BH2802" t="n">
        <v>344</v>
      </c>
    </row>
    <row r="2803">
      <c r="A2803" t="n">
        <v>294</v>
      </c>
      <c r="B2803" t="inlineStr">
        <is>
          <t>Participación en actividades culturales</t>
        </is>
      </c>
      <c r="C2803" t="inlineStr">
        <is>
          <t>Cultura y Deporte</t>
        </is>
      </c>
      <c r="D2803" t="inlineStr">
        <is>
          <t>Trimestral</t>
        </is>
      </c>
      <c r="E2803" t="inlineStr">
        <is>
          <t>Positivo</t>
        </is>
      </c>
      <c r="F2803" s="105" t="n">
        <v>45838</v>
      </c>
      <c r="G2803" t="inlineStr">
        <is>
          <t>294-2025-06-30</t>
        </is>
      </c>
      <c r="H2803" t="inlineStr">
        <is>
          <t>Medellín</t>
        </is>
      </c>
      <c r="I2803" t="n">
        <v>8</v>
      </c>
      <c r="J2803" t="n">
        <v>-17.36000061035156</v>
      </c>
      <c r="BI2803" t="n">
        <v>376</v>
      </c>
      <c r="BJ2803" t="n">
        <v>455</v>
      </c>
    </row>
    <row r="2804">
      <c r="A2804" t="n">
        <v>294</v>
      </c>
      <c r="B2804" t="inlineStr">
        <is>
          <t>Participación en actividades culturales</t>
        </is>
      </c>
      <c r="C2804" t="inlineStr">
        <is>
          <t>Cultura y Deporte</t>
        </is>
      </c>
      <c r="D2804" t="inlineStr">
        <is>
          <t>Trimestral</t>
        </is>
      </c>
      <c r="E2804" t="inlineStr">
        <is>
          <t>Positivo</t>
        </is>
      </c>
      <c r="F2804" s="105" t="n">
        <v>45838</v>
      </c>
      <c r="G2804" t="inlineStr">
        <is>
          <t>294-2025-06-30</t>
        </is>
      </c>
      <c r="H2804" t="inlineStr">
        <is>
          <t>Virtual</t>
        </is>
      </c>
      <c r="I2804" t="n">
        <v>8</v>
      </c>
      <c r="J2804" t="n">
        <v>-22.98999977111816</v>
      </c>
      <c r="BI2804" t="n">
        <v>134</v>
      </c>
      <c r="BJ2804" t="n">
        <v>174</v>
      </c>
    </row>
    <row r="2805">
      <c r="A2805" t="n">
        <v>294</v>
      </c>
      <c r="B2805" t="inlineStr">
        <is>
          <t>Participación en actividades culturales</t>
        </is>
      </c>
      <c r="C2805" t="inlineStr">
        <is>
          <t>Cultura y Deporte</t>
        </is>
      </c>
      <c r="D2805" t="inlineStr">
        <is>
          <t>Trimestral</t>
        </is>
      </c>
      <c r="E2805" t="inlineStr">
        <is>
          <t>Positivo</t>
        </is>
      </c>
      <c r="F2805" s="105" t="n">
        <v>45838</v>
      </c>
      <c r="G2805" t="inlineStr">
        <is>
          <t>294-2025-06-30</t>
        </is>
      </c>
      <c r="H2805" t="inlineStr">
        <is>
          <t>Bogotá</t>
        </is>
      </c>
      <c r="I2805" t="n">
        <v>8</v>
      </c>
      <c r="J2805" t="n">
        <v>-0.8199999928474426</v>
      </c>
      <c r="BI2805" t="n">
        <v>725</v>
      </c>
      <c r="BJ2805" t="n">
        <v>731</v>
      </c>
    </row>
    <row r="2806">
      <c r="A2806" t="n">
        <v>302</v>
      </c>
      <c r="B2806" t="inlineStr">
        <is>
          <t>N de solicitudes radicadas - (Metrica)</t>
        </is>
      </c>
      <c r="C2806" t="inlineStr">
        <is>
          <t>Centro de Medios Audiovisuales</t>
        </is>
      </c>
      <c r="D2806" t="inlineStr">
        <is>
          <t>Trimestral</t>
        </is>
      </c>
      <c r="E2806" t="inlineStr">
        <is>
          <t>Positivo</t>
        </is>
      </c>
      <c r="F2806" s="105" t="n">
        <v>45838</v>
      </c>
      <c r="G2806" t="inlineStr">
        <is>
          <t>302-2025-06-30</t>
        </is>
      </c>
      <c r="H2806" t="inlineStr">
        <is>
          <t>Equipos</t>
        </is>
      </c>
      <c r="J2806" t="n">
        <v>19569</v>
      </c>
      <c r="DL2806" t="n">
        <v>19569</v>
      </c>
    </row>
    <row r="2807">
      <c r="A2807" t="n">
        <v>302</v>
      </c>
      <c r="B2807" t="inlineStr">
        <is>
          <t>N de solicitudes radicadas - (Metrica)</t>
        </is>
      </c>
      <c r="C2807" t="inlineStr">
        <is>
          <t>Centro de Medios Audiovisuales</t>
        </is>
      </c>
      <c r="D2807" t="inlineStr">
        <is>
          <t>Trimestral</t>
        </is>
      </c>
      <c r="E2807" t="inlineStr">
        <is>
          <t>Positivo</t>
        </is>
      </c>
      <c r="F2807" s="105" t="n">
        <v>45838</v>
      </c>
      <c r="G2807" t="inlineStr">
        <is>
          <t>302-2025-06-30</t>
        </is>
      </c>
      <c r="H2807" t="inlineStr">
        <is>
          <t>Salas de postproducción</t>
        </is>
      </c>
      <c r="J2807" t="n">
        <v>778</v>
      </c>
      <c r="DL2807" t="n">
        <v>778</v>
      </c>
    </row>
    <row r="2808">
      <c r="A2808" t="n">
        <v>302</v>
      </c>
      <c r="B2808" t="inlineStr">
        <is>
          <t>N de solicitudes radicadas - (Metrica)</t>
        </is>
      </c>
      <c r="C2808" t="inlineStr">
        <is>
          <t>Centro de Medios Audiovisuales</t>
        </is>
      </c>
      <c r="D2808" t="inlineStr">
        <is>
          <t>Trimestral</t>
        </is>
      </c>
      <c r="E2808" t="inlineStr">
        <is>
          <t>Positivo</t>
        </is>
      </c>
      <c r="F2808" s="105" t="n">
        <v>45838</v>
      </c>
      <c r="G2808" t="inlineStr">
        <is>
          <t>302-2025-06-30</t>
        </is>
      </c>
      <c r="H2808" t="inlineStr">
        <is>
          <t>Estudios</t>
        </is>
      </c>
      <c r="J2808" t="n">
        <v>997</v>
      </c>
      <c r="DL2808" t="n">
        <v>997</v>
      </c>
    </row>
    <row r="2809">
      <c r="A2809" t="n">
        <v>302</v>
      </c>
      <c r="B2809" t="inlineStr">
        <is>
          <t>N de solicitudes radicadas - (Metrica)</t>
        </is>
      </c>
      <c r="C2809" t="inlineStr">
        <is>
          <t>Centro de Medios Audiovisuales</t>
        </is>
      </c>
      <c r="D2809" t="inlineStr">
        <is>
          <t>Trimestral</t>
        </is>
      </c>
      <c r="E2809" t="inlineStr">
        <is>
          <t>Positivo</t>
        </is>
      </c>
      <c r="F2809" s="105" t="n">
        <v>45838</v>
      </c>
      <c r="G2809" t="inlineStr">
        <is>
          <t>302-2025-06-30</t>
        </is>
      </c>
      <c r="H2809" t="inlineStr">
        <is>
          <t>Eventos</t>
        </is>
      </c>
      <c r="J2809" t="n">
        <v>368</v>
      </c>
      <c r="DL2809" t="n">
        <v>368</v>
      </c>
    </row>
    <row r="2810">
      <c r="A2810" t="n">
        <v>303</v>
      </c>
      <c r="B2810" t="inlineStr">
        <is>
          <t>Cumplimiento del cronograma de actividades de salud</t>
        </is>
      </c>
      <c r="C2810" t="inlineStr">
        <is>
          <t>Servicio de Salud</t>
        </is>
      </c>
      <c r="D2810" t="inlineStr">
        <is>
          <t>Trimestral</t>
        </is>
      </c>
      <c r="E2810" t="inlineStr">
        <is>
          <t>Positivo</t>
        </is>
      </c>
      <c r="F2810" s="105" t="n">
        <v>45838</v>
      </c>
      <c r="G2810" t="inlineStr">
        <is>
          <t>303-2025-06-30</t>
        </is>
      </c>
      <c r="H2810" t="inlineStr">
        <is>
          <t>Medellín</t>
        </is>
      </c>
      <c r="I2810" t="n">
        <v>95</v>
      </c>
      <c r="J2810" t="n">
        <v>100</v>
      </c>
      <c r="BK2810" t="n">
        <v>14</v>
      </c>
      <c r="BL2810" t="n">
        <v>14</v>
      </c>
    </row>
    <row r="2811">
      <c r="A2811" t="n">
        <v>303</v>
      </c>
      <c r="B2811" t="inlineStr">
        <is>
          <t>Cumplimiento del cronograma de actividades de salud</t>
        </is>
      </c>
      <c r="C2811" t="inlineStr">
        <is>
          <t>Servicio de Salud</t>
        </is>
      </c>
      <c r="D2811" t="inlineStr">
        <is>
          <t>Trimestral</t>
        </is>
      </c>
      <c r="E2811" t="inlineStr">
        <is>
          <t>Positivo</t>
        </is>
      </c>
      <c r="F2811" s="105" t="n">
        <v>45838</v>
      </c>
      <c r="G2811" t="inlineStr">
        <is>
          <t>303-2025-06-30</t>
        </is>
      </c>
      <c r="H2811" t="inlineStr">
        <is>
          <t>Virtual</t>
        </is>
      </c>
      <c r="I2811" t="n">
        <v>95</v>
      </c>
      <c r="J2811" t="n">
        <v>0</v>
      </c>
      <c r="BK2811" t="n">
        <v>0</v>
      </c>
      <c r="BL2811" t="n">
        <v>0</v>
      </c>
    </row>
    <row r="2812">
      <c r="A2812" t="n">
        <v>303</v>
      </c>
      <c r="B2812" t="inlineStr">
        <is>
          <t>Cumplimiento del cronograma de actividades de salud</t>
        </is>
      </c>
      <c r="C2812" t="inlineStr">
        <is>
          <t>Servicio de Salud</t>
        </is>
      </c>
      <c r="D2812" t="inlineStr">
        <is>
          <t>Trimestral</t>
        </is>
      </c>
      <c r="E2812" t="inlineStr">
        <is>
          <t>Positivo</t>
        </is>
      </c>
      <c r="F2812" s="105" t="n">
        <v>45838</v>
      </c>
      <c r="G2812" t="inlineStr">
        <is>
          <t>303-2025-06-30</t>
        </is>
      </c>
      <c r="H2812" t="inlineStr">
        <is>
          <t>Bogotá</t>
        </is>
      </c>
      <c r="I2812" t="n">
        <v>95</v>
      </c>
      <c r="J2812" t="n">
        <v>82.34999847412109</v>
      </c>
      <c r="BK2812" t="n">
        <v>14</v>
      </c>
      <c r="BL2812" t="n">
        <v>17</v>
      </c>
    </row>
    <row r="2813">
      <c r="A2813" t="n">
        <v>362</v>
      </c>
      <c r="B2813" t="inlineStr">
        <is>
          <t>Aseguramiento de matricula académica presencial</t>
        </is>
      </c>
      <c r="C2813" t="inlineStr">
        <is>
          <t>Operaciones Académicas</t>
        </is>
      </c>
      <c r="D2813" t="inlineStr">
        <is>
          <t>Trimestral</t>
        </is>
      </c>
      <c r="E2813" t="inlineStr">
        <is>
          <t>Positivo</t>
        </is>
      </c>
      <c r="F2813" s="105" t="n">
        <v>45838</v>
      </c>
      <c r="G2813" t="inlineStr">
        <is>
          <t>362-2025-06-30</t>
        </is>
      </c>
      <c r="H2813" t="inlineStr">
        <is>
          <t>Posgrado Presencial</t>
        </is>
      </c>
      <c r="I2813" t="n">
        <v>98</v>
      </c>
      <c r="J2813" t="n">
        <v>98.63999938964844</v>
      </c>
      <c r="CU2813" t="n">
        <v>655</v>
      </c>
      <c r="CV2813" t="n">
        <v>664</v>
      </c>
    </row>
    <row r="2814">
      <c r="A2814" t="n">
        <v>362</v>
      </c>
      <c r="B2814" t="inlineStr">
        <is>
          <t>Aseguramiento de matricula académica presencial</t>
        </is>
      </c>
      <c r="C2814" t="inlineStr">
        <is>
          <t>Operaciones Académicas</t>
        </is>
      </c>
      <c r="D2814" t="inlineStr">
        <is>
          <t>Trimestral</t>
        </is>
      </c>
      <c r="E2814" t="inlineStr">
        <is>
          <t>Positivo</t>
        </is>
      </c>
      <c r="F2814" s="105" t="n">
        <v>45838</v>
      </c>
      <c r="G2814" t="inlineStr">
        <is>
          <t>362-2025-06-30</t>
        </is>
      </c>
      <c r="H2814" t="inlineStr">
        <is>
          <t>Pregrado Presencial</t>
        </is>
      </c>
      <c r="I2814" t="n">
        <v>98</v>
      </c>
      <c r="J2814" t="n">
        <v>99.72000122070312</v>
      </c>
      <c r="CU2814" t="n">
        <v>8056</v>
      </c>
      <c r="CV2814" t="n">
        <v>8079</v>
      </c>
    </row>
    <row r="2815">
      <c r="A2815" t="n">
        <v>369</v>
      </c>
      <c r="B2815" t="inlineStr">
        <is>
          <t>Participación de POLI- voluntariados (Estudiantes- Colaboradores)</t>
        </is>
      </c>
      <c r="C2815" t="inlineStr">
        <is>
          <t>Gestión de la Responsabilidad Social</t>
        </is>
      </c>
      <c r="D2815" t="inlineStr">
        <is>
          <t>Trimestral</t>
        </is>
      </c>
      <c r="E2815" t="inlineStr">
        <is>
          <t>Positivo</t>
        </is>
      </c>
      <c r="F2815" s="105" t="n">
        <v>45838</v>
      </c>
      <c r="G2815" t="inlineStr">
        <is>
          <t>369-2025-06-30</t>
        </is>
      </c>
      <c r="H2815" t="inlineStr">
        <is>
          <t>Estudiantes</t>
        </is>
      </c>
      <c r="I2815" t="n">
        <v>100</v>
      </c>
      <c r="J2815" t="n">
        <v>90.13999938964844</v>
      </c>
      <c r="BM2815" t="n">
        <v>64</v>
      </c>
      <c r="BN2815" t="n">
        <v>71</v>
      </c>
    </row>
    <row r="2816">
      <c r="A2816" t="n">
        <v>369</v>
      </c>
      <c r="B2816" t="inlineStr">
        <is>
          <t>Participación de POLI- voluntariados (Estudiantes- Colaboradores)</t>
        </is>
      </c>
      <c r="C2816" t="inlineStr">
        <is>
          <t>Gestión de la Responsabilidad Social</t>
        </is>
      </c>
      <c r="D2816" t="inlineStr">
        <is>
          <t>Trimestral</t>
        </is>
      </c>
      <c r="E2816" t="inlineStr">
        <is>
          <t>Positivo</t>
        </is>
      </c>
      <c r="F2816" s="105" t="n">
        <v>45838</v>
      </c>
      <c r="G2816" t="inlineStr">
        <is>
          <t>369-2025-06-30</t>
        </is>
      </c>
      <c r="H2816" t="inlineStr">
        <is>
          <t>Colaboradores</t>
        </is>
      </c>
      <c r="I2816" t="n">
        <v>100</v>
      </c>
      <c r="J2816" t="n">
        <v>80</v>
      </c>
      <c r="BM2816" t="n">
        <v>8</v>
      </c>
      <c r="BN2816" t="n">
        <v>10</v>
      </c>
    </row>
    <row r="2817">
      <c r="A2817" t="n">
        <v>375</v>
      </c>
      <c r="B2817" t="inlineStr">
        <is>
          <t>Disponibilidad de catálogo de asignaturas pregrado y posgrado presencial</t>
        </is>
      </c>
      <c r="C2817" t="inlineStr">
        <is>
          <t>Operaciones Académicas</t>
        </is>
      </c>
      <c r="D2817" t="inlineStr">
        <is>
          <t>Trimestral</t>
        </is>
      </c>
      <c r="E2817" t="inlineStr">
        <is>
          <t>Positivo</t>
        </is>
      </c>
      <c r="F2817" s="105" t="n">
        <v>45838</v>
      </c>
      <c r="G2817" t="inlineStr">
        <is>
          <t>375-2025-06-30</t>
        </is>
      </c>
      <c r="H2817" t="inlineStr">
        <is>
          <t>Posgrado Presencial</t>
        </is>
      </c>
      <c r="I2817" t="n">
        <v>100</v>
      </c>
      <c r="J2817" t="n">
        <v>100</v>
      </c>
      <c r="CW2817" t="n">
        <v>354</v>
      </c>
      <c r="CX2817" t="n">
        <v>354</v>
      </c>
    </row>
    <row r="2818">
      <c r="A2818" t="n">
        <v>375</v>
      </c>
      <c r="B2818" t="inlineStr">
        <is>
          <t>Disponibilidad de catálogo de asignaturas pregrado y posgrado presencial</t>
        </is>
      </c>
      <c r="C2818" t="inlineStr">
        <is>
          <t>Operaciones Académicas</t>
        </is>
      </c>
      <c r="D2818" t="inlineStr">
        <is>
          <t>Trimestral</t>
        </is>
      </c>
      <c r="E2818" t="inlineStr">
        <is>
          <t>Positivo</t>
        </is>
      </c>
      <c r="F2818" s="105" t="n">
        <v>45838</v>
      </c>
      <c r="G2818" t="inlineStr">
        <is>
          <t>375-2025-06-30</t>
        </is>
      </c>
      <c r="H2818" t="inlineStr">
        <is>
          <t>Pregrado Presencial</t>
        </is>
      </c>
      <c r="I2818" t="n">
        <v>100</v>
      </c>
      <c r="J2818" t="n">
        <v>100</v>
      </c>
      <c r="CW2818" t="n">
        <v>816</v>
      </c>
      <c r="CX2818" t="n">
        <v>816</v>
      </c>
    </row>
    <row r="2819">
      <c r="A2819" t="n">
        <v>386</v>
      </c>
      <c r="B2819" t="inlineStr">
        <is>
          <t>Cumplimiento Meta comercial Educación para toda la vida por linea</t>
        </is>
      </c>
      <c r="C2819" t="inlineStr">
        <is>
          <t>Mercadeo y venta de educación para la vida</t>
        </is>
      </c>
      <c r="D2819" t="inlineStr">
        <is>
          <t>Trimestral</t>
        </is>
      </c>
      <c r="E2819" t="inlineStr">
        <is>
          <t>Positivo</t>
        </is>
      </c>
      <c r="F2819" s="105" t="n">
        <v>45838</v>
      </c>
      <c r="G2819" t="inlineStr">
        <is>
          <t>386-2025-06-30</t>
        </is>
      </c>
      <c r="H2819" t="inlineStr">
        <is>
          <t>B2B</t>
        </is>
      </c>
      <c r="I2819" t="n">
        <v>100</v>
      </c>
      <c r="J2819" t="n">
        <v>116.8399963378906</v>
      </c>
      <c r="BO2819" t="n">
        <v>1447414435</v>
      </c>
      <c r="BP2819" t="n">
        <v>1238772716</v>
      </c>
    </row>
    <row r="2820">
      <c r="A2820" t="n">
        <v>386</v>
      </c>
      <c r="B2820" t="inlineStr">
        <is>
          <t>Cumplimiento Meta comercial Educación para toda la vida por linea</t>
        </is>
      </c>
      <c r="C2820" t="inlineStr">
        <is>
          <t>Mercadeo y venta de educación para la vida</t>
        </is>
      </c>
      <c r="D2820" t="inlineStr">
        <is>
          <t>Trimestral</t>
        </is>
      </c>
      <c r="E2820" t="inlineStr">
        <is>
          <t>Positivo</t>
        </is>
      </c>
      <c r="F2820" s="105" t="n">
        <v>45838</v>
      </c>
      <c r="G2820" t="inlineStr">
        <is>
          <t>386-2025-06-30</t>
        </is>
      </c>
      <c r="H2820" t="inlineStr">
        <is>
          <t>B2G</t>
        </is>
      </c>
      <c r="I2820" t="n">
        <v>100</v>
      </c>
      <c r="J2820" t="n">
        <v>126.4800033569336</v>
      </c>
      <c r="BO2820" t="n">
        <v>3358906184</v>
      </c>
      <c r="BP2820" t="n">
        <v>2655651556</v>
      </c>
    </row>
    <row r="2821">
      <c r="A2821" t="n">
        <v>386</v>
      </c>
      <c r="B2821" t="inlineStr">
        <is>
          <t>Cumplimiento Meta comercial Educación para toda la vida por linea</t>
        </is>
      </c>
      <c r="C2821" t="inlineStr">
        <is>
          <t>Mercadeo y venta de educación para la vida</t>
        </is>
      </c>
      <c r="D2821" t="inlineStr">
        <is>
          <t>Trimestral</t>
        </is>
      </c>
      <c r="E2821" t="inlineStr">
        <is>
          <t>Positivo</t>
        </is>
      </c>
      <c r="F2821" s="105" t="n">
        <v>45838</v>
      </c>
      <c r="G2821" t="inlineStr">
        <is>
          <t>386-2025-06-30</t>
        </is>
      </c>
      <c r="H2821" t="inlineStr">
        <is>
          <t>Otros ingresos (Cursos -Opciones de grado)</t>
        </is>
      </c>
      <c r="I2821" t="n">
        <v>100</v>
      </c>
      <c r="J2821" t="n">
        <v>112.9899978637695</v>
      </c>
      <c r="BO2821" t="n">
        <v>3334725583</v>
      </c>
      <c r="BP2821" t="n">
        <v>2951453039</v>
      </c>
    </row>
    <row r="2822">
      <c r="A2822" t="n">
        <v>408</v>
      </c>
      <c r="B2822" t="inlineStr">
        <is>
          <t>Programas nuevos radicados por facultad</t>
        </is>
      </c>
      <c r="C2822" t="inlineStr">
        <is>
          <t>Creación, modificación y cierre de programas académicos</t>
        </is>
      </c>
      <c r="D2822" t="inlineStr">
        <is>
          <t>Trimestral</t>
        </is>
      </c>
      <c r="E2822" t="inlineStr">
        <is>
          <t>Positivo</t>
        </is>
      </c>
      <c r="F2822" s="105" t="n">
        <v>45838</v>
      </c>
      <c r="G2822" t="inlineStr">
        <is>
          <t>408-2025-06-30</t>
        </is>
      </c>
      <c r="H2822" t="inlineStr">
        <is>
          <t>Facultad sociedad cultura y creatividad</t>
        </is>
      </c>
      <c r="I2822" t="n">
        <v>100</v>
      </c>
      <c r="J2822" t="n">
        <v>100</v>
      </c>
      <c r="BR2822" t="n">
        <v>2</v>
      </c>
      <c r="BS2822" t="n">
        <v>2</v>
      </c>
    </row>
    <row r="2823">
      <c r="A2823" t="n">
        <v>427</v>
      </c>
      <c r="B2823" t="inlineStr">
        <is>
          <t>Consumo de Agua per Cápita Semestral</t>
        </is>
      </c>
      <c r="C2823" t="inlineStr">
        <is>
          <t>GESTIÓN AMBIENTAL</t>
        </is>
      </c>
      <c r="D2823" t="inlineStr">
        <is>
          <t>Trimestral</t>
        </is>
      </c>
      <c r="E2823" t="inlineStr">
        <is>
          <t>Negativo</t>
        </is>
      </c>
      <c r="F2823" s="105" t="n">
        <v>45838</v>
      </c>
      <c r="G2823" t="inlineStr">
        <is>
          <t>427-2025-06-30</t>
        </is>
      </c>
      <c r="H2823" t="inlineStr">
        <is>
          <t>Campus Bogotá</t>
        </is>
      </c>
      <c r="I2823" t="n">
        <v>0.3</v>
      </c>
      <c r="J2823" t="n">
        <v>0.2000000029802322</v>
      </c>
      <c r="O2823" t="n">
        <v>2338</v>
      </c>
      <c r="P2823" t="n">
        <v>2240</v>
      </c>
      <c r="Q2823" t="n">
        <v>14736</v>
      </c>
      <c r="R2823" t="n">
        <v>0</v>
      </c>
      <c r="Y2823" t="n">
        <v>3849</v>
      </c>
    </row>
    <row r="2824">
      <c r="A2824" t="n">
        <v>427</v>
      </c>
      <c r="B2824" t="inlineStr">
        <is>
          <t>Consumo de Agua per Cápita Semestral</t>
        </is>
      </c>
      <c r="C2824" t="inlineStr">
        <is>
          <t>GESTIÓN AMBIENTAL</t>
        </is>
      </c>
      <c r="D2824" t="inlineStr">
        <is>
          <t>Trimestral</t>
        </is>
      </c>
      <c r="E2824" t="inlineStr">
        <is>
          <t>Negativo</t>
        </is>
      </c>
      <c r="F2824" s="105" t="n">
        <v>45838</v>
      </c>
      <c r="G2824" t="inlineStr">
        <is>
          <t>427-2025-06-30</t>
        </is>
      </c>
      <c r="H2824" t="inlineStr">
        <is>
          <t>City Campus</t>
        </is>
      </c>
      <c r="I2824" t="n">
        <v>0.15</v>
      </c>
      <c r="J2824" t="n">
        <v>0.1500000059604645</v>
      </c>
      <c r="O2824" t="n">
        <v>483</v>
      </c>
      <c r="P2824" t="n">
        <v>23</v>
      </c>
      <c r="Q2824" t="n">
        <v>11976</v>
      </c>
      <c r="R2824" t="n">
        <v>3010</v>
      </c>
      <c r="Y2824" t="n">
        <v>2273</v>
      </c>
    </row>
    <row r="2825">
      <c r="A2825" t="n">
        <v>427</v>
      </c>
      <c r="B2825" t="inlineStr">
        <is>
          <t>Consumo de Agua per Cápita Semestral</t>
        </is>
      </c>
      <c r="C2825" t="inlineStr">
        <is>
          <t>GESTIÓN AMBIENTAL</t>
        </is>
      </c>
      <c r="D2825" t="inlineStr">
        <is>
          <t>Trimestral</t>
        </is>
      </c>
      <c r="E2825" t="inlineStr">
        <is>
          <t>Negativo</t>
        </is>
      </c>
      <c r="F2825" s="105" t="n">
        <v>45838</v>
      </c>
      <c r="G2825" t="inlineStr">
        <is>
          <t>427-2025-06-30</t>
        </is>
      </c>
      <c r="H2825" t="inlineStr">
        <is>
          <t>Sede Posgrado-Calle 85</t>
        </is>
      </c>
      <c r="I2825" t="n">
        <v>0.2</v>
      </c>
      <c r="J2825" t="n">
        <v>0.3700000047683716</v>
      </c>
      <c r="O2825" t="n">
        <v>51</v>
      </c>
      <c r="P2825" t="n">
        <v>38</v>
      </c>
      <c r="Q2825" t="n">
        <v>189</v>
      </c>
      <c r="R2825" t="n">
        <v>0</v>
      </c>
      <c r="Y2825" t="n">
        <v>102.5</v>
      </c>
    </row>
    <row r="2826">
      <c r="A2826" t="n">
        <v>427</v>
      </c>
      <c r="B2826" t="inlineStr">
        <is>
          <t>Consumo de Agua per Cápita Semestral</t>
        </is>
      </c>
      <c r="C2826" t="inlineStr">
        <is>
          <t>GESTIÓN AMBIENTAL</t>
        </is>
      </c>
      <c r="D2826" t="inlineStr">
        <is>
          <t>Trimestral</t>
        </is>
      </c>
      <c r="E2826" t="inlineStr">
        <is>
          <t>Negativo</t>
        </is>
      </c>
      <c r="F2826" s="105" t="n">
        <v>45838</v>
      </c>
      <c r="G2826" t="inlineStr">
        <is>
          <t>427-2025-06-30</t>
        </is>
      </c>
      <c r="H2826" t="inlineStr">
        <is>
          <t>Campus-Medellín</t>
        </is>
      </c>
      <c r="I2826" t="n">
        <v>0.1</v>
      </c>
      <c r="J2826" t="n">
        <v>0.07999999821186066</v>
      </c>
      <c r="O2826" t="n">
        <v>387</v>
      </c>
      <c r="P2826" t="n">
        <v>810</v>
      </c>
      <c r="Q2826" t="n">
        <v>13541</v>
      </c>
      <c r="R2826" t="n">
        <v>144</v>
      </c>
      <c r="Y2826" t="n">
        <v>1125</v>
      </c>
    </row>
    <row r="2827">
      <c r="A2827" t="n">
        <v>427</v>
      </c>
      <c r="B2827" t="inlineStr">
        <is>
          <t>Consumo de Agua per Cápita Semestral</t>
        </is>
      </c>
      <c r="C2827" t="inlineStr">
        <is>
          <t>GESTIÓN AMBIENTAL</t>
        </is>
      </c>
      <c r="D2827" t="inlineStr">
        <is>
          <t>Trimestral</t>
        </is>
      </c>
      <c r="E2827" t="inlineStr">
        <is>
          <t>Negativo</t>
        </is>
      </c>
      <c r="F2827" s="105" t="n">
        <v>45838</v>
      </c>
      <c r="G2827" t="inlineStr">
        <is>
          <t>427-2025-06-30</t>
        </is>
      </c>
      <c r="H2827" t="inlineStr">
        <is>
          <t>Consultorio Psicología - Medellin</t>
        </is>
      </c>
      <c r="I2827" t="n">
        <v>0.2</v>
      </c>
      <c r="J2827" t="n">
        <v>0.009999999776482582</v>
      </c>
      <c r="O2827" t="n">
        <v>12</v>
      </c>
      <c r="P2827" t="n">
        <v>10</v>
      </c>
      <c r="Q2827" t="n">
        <v>60</v>
      </c>
      <c r="R2827" t="n">
        <v>0</v>
      </c>
      <c r="Y2827" t="n">
        <v>1</v>
      </c>
    </row>
    <row r="2828">
      <c r="A2828" t="n">
        <v>427</v>
      </c>
      <c r="B2828" t="inlineStr">
        <is>
          <t>Consumo de Agua per Cápita Semestral</t>
        </is>
      </c>
      <c r="C2828" t="inlineStr">
        <is>
          <t>GESTIÓN AMBIENTAL</t>
        </is>
      </c>
      <c r="D2828" t="inlineStr">
        <is>
          <t>Trimestral</t>
        </is>
      </c>
      <c r="E2828" t="inlineStr">
        <is>
          <t>Negativo</t>
        </is>
      </c>
      <c r="F2828" s="105" t="n">
        <v>45838</v>
      </c>
      <c r="G2828" t="inlineStr">
        <is>
          <t>427-2025-06-30</t>
        </is>
      </c>
      <c r="H2828" t="inlineStr">
        <is>
          <t>Sede Bienestar - Medellín</t>
        </is>
      </c>
      <c r="I2828" t="n">
        <v>0.2</v>
      </c>
      <c r="O2828" t="n">
        <v>24</v>
      </c>
      <c r="P2828" t="n">
        <v>24</v>
      </c>
      <c r="Q2828" t="n">
        <v>3553</v>
      </c>
      <c r="R2828" t="n">
        <v>0</v>
      </c>
      <c r="Y2828" t="n">
        <v>0</v>
      </c>
    </row>
    <row r="2829">
      <c r="A2829" t="n">
        <v>428</v>
      </c>
      <c r="B2829" t="inlineStr">
        <is>
          <t>Consumo de Energía Eléctrica per Cápita Semestral</t>
        </is>
      </c>
      <c r="C2829" t="inlineStr">
        <is>
          <t>GESTIÓN AMBIENTAL</t>
        </is>
      </c>
      <c r="D2829" t="inlineStr">
        <is>
          <t>Trimestral</t>
        </is>
      </c>
      <c r="E2829" t="inlineStr">
        <is>
          <t>Negativo</t>
        </is>
      </c>
      <c r="F2829" s="105" t="n">
        <v>45838</v>
      </c>
      <c r="G2829" t="inlineStr">
        <is>
          <t>428-2025-06-30</t>
        </is>
      </c>
      <c r="H2829" t="inlineStr">
        <is>
          <t>Campus Bogotá</t>
        </is>
      </c>
      <c r="I2829" t="n">
        <v>22</v>
      </c>
      <c r="J2829" t="n">
        <v>20.26000022888184</v>
      </c>
      <c r="O2829" t="n">
        <v>2338</v>
      </c>
      <c r="P2829" t="n">
        <v>2240</v>
      </c>
      <c r="Q2829" t="n">
        <v>14736</v>
      </c>
      <c r="R2829" t="n">
        <v>0</v>
      </c>
      <c r="W2829" t="n">
        <v>391333.21</v>
      </c>
    </row>
    <row r="2830">
      <c r="A2830" t="n">
        <v>428</v>
      </c>
      <c r="B2830" t="inlineStr">
        <is>
          <t>Consumo de Energía Eléctrica per Cápita Semestral</t>
        </is>
      </c>
      <c r="C2830" t="inlineStr">
        <is>
          <t>GESTIÓN AMBIENTAL</t>
        </is>
      </c>
      <c r="D2830" t="inlineStr">
        <is>
          <t>Trimestral</t>
        </is>
      </c>
      <c r="E2830" t="inlineStr">
        <is>
          <t>Negativo</t>
        </is>
      </c>
      <c r="F2830" s="105" t="n">
        <v>45838</v>
      </c>
      <c r="G2830" t="inlineStr">
        <is>
          <t>428-2025-06-30</t>
        </is>
      </c>
      <c r="H2830" t="inlineStr">
        <is>
          <t>Sede Posgrado-Calle 85</t>
        </is>
      </c>
      <c r="I2830" t="n">
        <v>1</v>
      </c>
      <c r="J2830" t="n">
        <v>86.33000183105469</v>
      </c>
      <c r="O2830" t="n">
        <v>51</v>
      </c>
      <c r="P2830" t="n">
        <v>38</v>
      </c>
      <c r="Q2830" t="n">
        <v>189</v>
      </c>
      <c r="R2830" t="n">
        <v>0</v>
      </c>
      <c r="W2830" t="n">
        <v>24000</v>
      </c>
    </row>
    <row r="2831">
      <c r="A2831" t="n">
        <v>428</v>
      </c>
      <c r="B2831" t="inlineStr">
        <is>
          <t>Consumo de Energía Eléctrica per Cápita Semestral</t>
        </is>
      </c>
      <c r="C2831" t="inlineStr">
        <is>
          <t>GESTIÓN AMBIENTAL</t>
        </is>
      </c>
      <c r="D2831" t="inlineStr">
        <is>
          <t>Trimestral</t>
        </is>
      </c>
      <c r="E2831" t="inlineStr">
        <is>
          <t>Negativo</t>
        </is>
      </c>
      <c r="F2831" s="105" t="n">
        <v>45838</v>
      </c>
      <c r="G2831" t="inlineStr">
        <is>
          <t>428-2025-06-30</t>
        </is>
      </c>
      <c r="H2831" t="inlineStr">
        <is>
          <t>Campus-Medellín</t>
        </is>
      </c>
      <c r="I2831" t="n">
        <v>11</v>
      </c>
      <c r="J2831" t="n">
        <v>7.269999980926514</v>
      </c>
      <c r="O2831" t="n">
        <v>387</v>
      </c>
      <c r="P2831" t="n">
        <v>810</v>
      </c>
      <c r="Q2831" t="n">
        <v>13541</v>
      </c>
      <c r="R2831" t="n">
        <v>144</v>
      </c>
      <c r="W2831" t="n">
        <v>108240</v>
      </c>
    </row>
    <row r="2832">
      <c r="A2832" t="n">
        <v>428</v>
      </c>
      <c r="B2832" t="inlineStr">
        <is>
          <t>Consumo de Energía Eléctrica per Cápita Semestral</t>
        </is>
      </c>
      <c r="C2832" t="inlineStr">
        <is>
          <t>GESTIÓN AMBIENTAL</t>
        </is>
      </c>
      <c r="D2832" t="inlineStr">
        <is>
          <t>Trimestral</t>
        </is>
      </c>
      <c r="E2832" t="inlineStr">
        <is>
          <t>Negativo</t>
        </is>
      </c>
      <c r="F2832" s="105" t="n">
        <v>45838</v>
      </c>
      <c r="G2832" t="inlineStr">
        <is>
          <t>428-2025-06-30</t>
        </is>
      </c>
      <c r="H2832" t="inlineStr">
        <is>
          <t>Sede Bienestar - Medellín</t>
        </is>
      </c>
      <c r="I2832" t="n">
        <v>7</v>
      </c>
      <c r="J2832" t="n">
        <v>0.2700000107288361</v>
      </c>
      <c r="O2832" t="n">
        <v>24</v>
      </c>
      <c r="P2832" t="n">
        <v>24</v>
      </c>
      <c r="Q2832" t="n">
        <v>3553</v>
      </c>
      <c r="R2832" t="n">
        <v>0</v>
      </c>
      <c r="W2832" t="n">
        <v>960</v>
      </c>
    </row>
    <row r="2833">
      <c r="A2833" t="n">
        <v>428</v>
      </c>
      <c r="B2833" t="inlineStr">
        <is>
          <t>Consumo de Energía Eléctrica per Cápita Semestral</t>
        </is>
      </c>
      <c r="C2833" t="inlineStr">
        <is>
          <t>GESTIÓN AMBIENTAL</t>
        </is>
      </c>
      <c r="D2833" t="inlineStr">
        <is>
          <t>Trimestral</t>
        </is>
      </c>
      <c r="E2833" t="inlineStr">
        <is>
          <t>Negativo</t>
        </is>
      </c>
      <c r="F2833" s="105" t="n">
        <v>45838</v>
      </c>
      <c r="G2833" t="inlineStr">
        <is>
          <t>428-2025-06-30</t>
        </is>
      </c>
      <c r="H2833" t="inlineStr">
        <is>
          <t>Consultorio Psicología - Medellin</t>
        </is>
      </c>
      <c r="I2833" t="n">
        <v>1</v>
      </c>
      <c r="J2833" t="n">
        <v>171.6999969482422</v>
      </c>
      <c r="O2833" t="n">
        <v>12</v>
      </c>
      <c r="P2833" t="n">
        <v>10</v>
      </c>
      <c r="Q2833" t="n">
        <v>60</v>
      </c>
      <c r="R2833" t="n">
        <v>0</v>
      </c>
      <c r="W2833" t="n">
        <v>14079</v>
      </c>
    </row>
    <row r="2834">
      <c r="A2834" t="n">
        <v>428</v>
      </c>
      <c r="B2834" t="inlineStr">
        <is>
          <t>Consumo de Energía Eléctrica per Cápita Semestral</t>
        </is>
      </c>
      <c r="C2834" t="inlineStr">
        <is>
          <t>GESTIÓN AMBIENTAL</t>
        </is>
      </c>
      <c r="D2834" t="inlineStr">
        <is>
          <t>Trimestral</t>
        </is>
      </c>
      <c r="E2834" t="inlineStr">
        <is>
          <t>Negativo</t>
        </is>
      </c>
      <c r="F2834" s="105" t="n">
        <v>45838</v>
      </c>
      <c r="G2834" t="inlineStr">
        <is>
          <t>428-2025-06-30</t>
        </is>
      </c>
      <c r="H2834" t="inlineStr">
        <is>
          <t>City Campus</t>
        </is>
      </c>
      <c r="I2834" t="n">
        <v>25</v>
      </c>
      <c r="J2834" t="n">
        <v>17.59000015258789</v>
      </c>
      <c r="O2834" t="n">
        <v>483</v>
      </c>
      <c r="P2834" t="n">
        <v>23</v>
      </c>
      <c r="Q2834" t="n">
        <v>11976</v>
      </c>
      <c r="R2834" t="n">
        <v>3010</v>
      </c>
      <c r="W2834" t="n">
        <v>272460</v>
      </c>
    </row>
    <row r="2835">
      <c r="A2835" t="n">
        <v>429</v>
      </c>
      <c r="B2835" t="inlineStr">
        <is>
          <t>Generación de Residuos Sólidos per Cápita Semestral</t>
        </is>
      </c>
      <c r="C2835" t="inlineStr">
        <is>
          <t>GESTIÓN AMBIENTAL</t>
        </is>
      </c>
      <c r="D2835" t="inlineStr">
        <is>
          <t>Trimestral</t>
        </is>
      </c>
      <c r="E2835" t="inlineStr">
        <is>
          <t>Negativo</t>
        </is>
      </c>
      <c r="F2835" s="105" t="n">
        <v>45838</v>
      </c>
      <c r="G2835" t="inlineStr">
        <is>
          <t>429-2025-06-30</t>
        </is>
      </c>
      <c r="H2835" t="inlineStr">
        <is>
          <t>Campus Bogotá</t>
        </is>
      </c>
      <c r="I2835" t="n">
        <v>0.4</v>
      </c>
      <c r="J2835" t="n">
        <v>1.039999961853027</v>
      </c>
      <c r="O2835" t="n">
        <v>2338</v>
      </c>
      <c r="P2835" t="n">
        <v>2240</v>
      </c>
      <c r="Q2835" t="n">
        <v>14736</v>
      </c>
      <c r="R2835" t="n">
        <v>0</v>
      </c>
      <c r="AA2835" t="n">
        <v>5366</v>
      </c>
      <c r="AB2835" t="n">
        <v>14776</v>
      </c>
    </row>
    <row r="2836">
      <c r="A2836" t="n">
        <v>429</v>
      </c>
      <c r="B2836" t="inlineStr">
        <is>
          <t>Generación de Residuos Sólidos per Cápita Semestral</t>
        </is>
      </c>
      <c r="C2836" t="inlineStr">
        <is>
          <t>GESTIÓN AMBIENTAL</t>
        </is>
      </c>
      <c r="D2836" t="inlineStr">
        <is>
          <t>Trimestral</t>
        </is>
      </c>
      <c r="E2836" t="inlineStr">
        <is>
          <t>Negativo</t>
        </is>
      </c>
      <c r="F2836" s="105" t="n">
        <v>45838</v>
      </c>
      <c r="G2836" t="inlineStr">
        <is>
          <t>429-2025-06-30</t>
        </is>
      </c>
      <c r="H2836" t="inlineStr">
        <is>
          <t>City Campus</t>
        </is>
      </c>
      <c r="I2836" t="n">
        <v>0.38</v>
      </c>
      <c r="J2836" t="n">
        <v>0.3499999940395355</v>
      </c>
      <c r="O2836" t="n">
        <v>483</v>
      </c>
      <c r="P2836" t="n">
        <v>23</v>
      </c>
      <c r="Q2836" t="n">
        <v>11976</v>
      </c>
      <c r="R2836" t="n">
        <v>3010</v>
      </c>
      <c r="AA2836" t="n">
        <v>1002.36</v>
      </c>
      <c r="AB2836" t="n">
        <v>4453.61</v>
      </c>
    </row>
    <row r="2837">
      <c r="A2837" t="n">
        <v>429</v>
      </c>
      <c r="B2837" t="inlineStr">
        <is>
          <t>Generación de Residuos Sólidos per Cápita Semestral</t>
        </is>
      </c>
      <c r="C2837" t="inlineStr">
        <is>
          <t>GESTIÓN AMBIENTAL</t>
        </is>
      </c>
      <c r="D2837" t="inlineStr">
        <is>
          <t>Trimestral</t>
        </is>
      </c>
      <c r="E2837" t="inlineStr">
        <is>
          <t>Negativo</t>
        </is>
      </c>
      <c r="F2837" s="105" t="n">
        <v>45838</v>
      </c>
      <c r="G2837" t="inlineStr">
        <is>
          <t>429-2025-06-30</t>
        </is>
      </c>
      <c r="H2837" t="inlineStr">
        <is>
          <t>Campus-Medellín</t>
        </is>
      </c>
      <c r="I2837" t="n">
        <v>0.41</v>
      </c>
      <c r="J2837" t="n">
        <v>0.3499999940395355</v>
      </c>
      <c r="O2837" t="n">
        <v>387</v>
      </c>
      <c r="P2837" t="n">
        <v>810</v>
      </c>
      <c r="Q2837" t="n">
        <v>13541</v>
      </c>
      <c r="R2837" t="n">
        <v>144</v>
      </c>
      <c r="AA2837" t="n">
        <v>671.5</v>
      </c>
      <c r="AB2837" t="n">
        <v>4565.9</v>
      </c>
    </row>
    <row r="2838">
      <c r="A2838" t="n">
        <v>429</v>
      </c>
      <c r="B2838" t="inlineStr">
        <is>
          <t>Generación de Residuos Sólidos per Cápita Semestral</t>
        </is>
      </c>
      <c r="C2838" t="inlineStr">
        <is>
          <t>GESTIÓN AMBIENTAL</t>
        </is>
      </c>
      <c r="D2838" t="inlineStr">
        <is>
          <t>Trimestral</t>
        </is>
      </c>
      <c r="E2838" t="inlineStr">
        <is>
          <t>Negativo</t>
        </is>
      </c>
      <c r="F2838" s="105" t="n">
        <v>45838</v>
      </c>
      <c r="G2838" t="inlineStr">
        <is>
          <t>429-2025-06-30</t>
        </is>
      </c>
      <c r="H2838" t="inlineStr">
        <is>
          <t>Sede Bienestar - Medellín</t>
        </is>
      </c>
      <c r="I2838" t="n">
        <v>0.76</v>
      </c>
      <c r="J2838" t="n">
        <v>0.02999999932944775</v>
      </c>
      <c r="O2838" t="n">
        <v>24</v>
      </c>
      <c r="P2838" t="n">
        <v>24</v>
      </c>
      <c r="Q2838" t="n">
        <v>3553</v>
      </c>
      <c r="R2838" t="n">
        <v>0</v>
      </c>
      <c r="AA2838" t="n">
        <v>0</v>
      </c>
      <c r="AB2838" t="n">
        <v>113.5</v>
      </c>
    </row>
    <row r="2839">
      <c r="A2839" t="n">
        <v>429</v>
      </c>
      <c r="B2839" t="inlineStr">
        <is>
          <t>Generación de Residuos Sólidos per Cápita Semestral</t>
        </is>
      </c>
      <c r="C2839" t="inlineStr">
        <is>
          <t>GESTIÓN AMBIENTAL</t>
        </is>
      </c>
      <c r="D2839" t="inlineStr">
        <is>
          <t>Trimestral</t>
        </is>
      </c>
      <c r="E2839" t="inlineStr">
        <is>
          <t>Negativo</t>
        </is>
      </c>
      <c r="F2839" s="105" t="n">
        <v>45838</v>
      </c>
      <c r="G2839" t="inlineStr">
        <is>
          <t>429-2025-06-30</t>
        </is>
      </c>
      <c r="H2839" t="inlineStr">
        <is>
          <t>Consultorio Psicología - Medellin</t>
        </is>
      </c>
      <c r="I2839" t="n">
        <v>0.76</v>
      </c>
      <c r="J2839" t="n">
        <v>3.160000085830688</v>
      </c>
      <c r="O2839" t="n">
        <v>12</v>
      </c>
      <c r="P2839" t="n">
        <v>10</v>
      </c>
      <c r="Q2839" t="n">
        <v>60</v>
      </c>
      <c r="R2839" t="n">
        <v>0</v>
      </c>
      <c r="AA2839" t="n">
        <v>119.68</v>
      </c>
      <c r="AB2839" t="n">
        <v>139.75</v>
      </c>
    </row>
    <row r="2840">
      <c r="A2840" t="n">
        <v>429</v>
      </c>
      <c r="B2840" t="inlineStr">
        <is>
          <t>Generación de Residuos Sólidos per Cápita Semestral</t>
        </is>
      </c>
      <c r="C2840" t="inlineStr">
        <is>
          <t>GESTIÓN AMBIENTAL</t>
        </is>
      </c>
      <c r="D2840" t="inlineStr">
        <is>
          <t>Trimestral</t>
        </is>
      </c>
      <c r="E2840" t="inlineStr">
        <is>
          <t>Negativo</t>
        </is>
      </c>
      <c r="F2840" s="105" t="n">
        <v>45838</v>
      </c>
      <c r="G2840" t="inlineStr">
        <is>
          <t>429-2025-06-30</t>
        </is>
      </c>
      <c r="H2840" t="inlineStr">
        <is>
          <t>Sede Posgrado-Calle 85</t>
        </is>
      </c>
      <c r="I2840" t="n">
        <v>0.76</v>
      </c>
      <c r="J2840" t="n">
        <v>0.8199999928474426</v>
      </c>
      <c r="O2840" t="n">
        <v>51</v>
      </c>
      <c r="P2840" t="n">
        <v>38</v>
      </c>
      <c r="Q2840" t="n">
        <v>189</v>
      </c>
      <c r="R2840" t="n">
        <v>0</v>
      </c>
      <c r="AA2840" t="n">
        <v>97.09</v>
      </c>
      <c r="AB2840" t="n">
        <v>130.7</v>
      </c>
    </row>
    <row r="2841">
      <c r="A2841" t="n">
        <v>430</v>
      </c>
      <c r="B2841" t="inlineStr">
        <is>
          <t>Cumplimiento ingresos por matriculas</t>
        </is>
      </c>
      <c r="C2841" t="inlineStr">
        <is>
          <t>Planeación Financiera</t>
        </is>
      </c>
      <c r="D2841" t="inlineStr">
        <is>
          <t>Trimestral</t>
        </is>
      </c>
      <c r="E2841" t="inlineStr">
        <is>
          <t>Positivo</t>
        </is>
      </c>
      <c r="F2841" s="105" t="n">
        <v>45838</v>
      </c>
      <c r="G2841" t="inlineStr">
        <is>
          <t>430-2025-06-30</t>
        </is>
      </c>
      <c r="H2841" t="inlineStr">
        <is>
          <t>Nuevos presencial</t>
        </is>
      </c>
      <c r="I2841" t="n">
        <v>95</v>
      </c>
      <c r="J2841" t="n">
        <v>105.8600006103516</v>
      </c>
      <c r="BT2841" t="n">
        <v>7801404954</v>
      </c>
      <c r="BU2841" t="n">
        <v>8258189707</v>
      </c>
    </row>
    <row r="2842">
      <c r="A2842" t="n">
        <v>430</v>
      </c>
      <c r="B2842" t="inlineStr">
        <is>
          <t>Cumplimiento ingresos por matriculas</t>
        </is>
      </c>
      <c r="C2842" t="inlineStr">
        <is>
          <t>Planeación Financiera</t>
        </is>
      </c>
      <c r="D2842" t="inlineStr">
        <is>
          <t>Trimestral</t>
        </is>
      </c>
      <c r="E2842" t="inlineStr">
        <is>
          <t>Positivo</t>
        </is>
      </c>
      <c r="F2842" s="105" t="n">
        <v>45838</v>
      </c>
      <c r="G2842" t="inlineStr">
        <is>
          <t>430-2025-06-30</t>
        </is>
      </c>
      <c r="H2842" t="inlineStr">
        <is>
          <t>Nuevos Virtual</t>
        </is>
      </c>
      <c r="I2842" t="n">
        <v>95</v>
      </c>
      <c r="J2842" t="n">
        <v>140.3500061035156</v>
      </c>
      <c r="BT2842" t="n">
        <v>19813377903</v>
      </c>
      <c r="BU2842" t="n">
        <v>27807465798</v>
      </c>
    </row>
    <row r="2843">
      <c r="A2843" t="n">
        <v>430</v>
      </c>
      <c r="B2843" t="inlineStr">
        <is>
          <t>Cumplimiento ingresos por matriculas</t>
        </is>
      </c>
      <c r="C2843" t="inlineStr">
        <is>
          <t>Planeación Financiera</t>
        </is>
      </c>
      <c r="D2843" t="inlineStr">
        <is>
          <t>Trimestral</t>
        </is>
      </c>
      <c r="E2843" t="inlineStr">
        <is>
          <t>Positivo</t>
        </is>
      </c>
      <c r="F2843" s="105" t="n">
        <v>45838</v>
      </c>
      <c r="G2843" t="inlineStr">
        <is>
          <t>430-2025-06-30</t>
        </is>
      </c>
      <c r="H2843" t="inlineStr">
        <is>
          <t>Antiguos Presencial</t>
        </is>
      </c>
      <c r="I2843" t="n">
        <v>95</v>
      </c>
      <c r="J2843" t="n">
        <v>104.0100021362305</v>
      </c>
      <c r="BT2843" t="n">
        <v>32422336096</v>
      </c>
      <c r="BU2843" t="n">
        <v>33721059502</v>
      </c>
    </row>
    <row r="2844">
      <c r="A2844" t="n">
        <v>430</v>
      </c>
      <c r="B2844" t="inlineStr">
        <is>
          <t>Cumplimiento ingresos por matriculas</t>
        </is>
      </c>
      <c r="C2844" t="inlineStr">
        <is>
          <t>Planeación Financiera</t>
        </is>
      </c>
      <c r="D2844" t="inlineStr">
        <is>
          <t>Trimestral</t>
        </is>
      </c>
      <c r="E2844" t="inlineStr">
        <is>
          <t>Positivo</t>
        </is>
      </c>
      <c r="F2844" s="105" t="n">
        <v>45838</v>
      </c>
      <c r="G2844" t="inlineStr">
        <is>
          <t>430-2025-06-30</t>
        </is>
      </c>
      <c r="H2844" t="inlineStr">
        <is>
          <t>Antiguos Virtual</t>
        </is>
      </c>
      <c r="I2844" t="n">
        <v>95</v>
      </c>
      <c r="J2844" t="n">
        <v>106.5500030517578</v>
      </c>
      <c r="BT2844" t="n">
        <v>77159127282</v>
      </c>
      <c r="BU2844" t="n">
        <v>82213230475</v>
      </c>
    </row>
    <row r="2845">
      <c r="A2845" t="n">
        <v>433</v>
      </c>
      <c r="B2845" t="inlineStr">
        <is>
          <t>Generación de Residuos Peligrosos per Cápita Semestral</t>
        </is>
      </c>
      <c r="C2845" t="inlineStr">
        <is>
          <t>GESTIÓN AMBIENTAL</t>
        </is>
      </c>
      <c r="D2845" t="inlineStr">
        <is>
          <t>Trimestral</t>
        </is>
      </c>
      <c r="E2845" t="inlineStr">
        <is>
          <t>Negativo</t>
        </is>
      </c>
      <c r="F2845" s="105" t="n">
        <v>45838</v>
      </c>
      <c r="G2845" t="inlineStr">
        <is>
          <t>433-2025-06-30</t>
        </is>
      </c>
      <c r="H2845" t="inlineStr">
        <is>
          <t>Campus Bogotá</t>
        </is>
      </c>
      <c r="I2845" t="n">
        <v>0.1</v>
      </c>
      <c r="J2845" t="n">
        <v>0.05000000074505806</v>
      </c>
      <c r="O2845" t="n">
        <v>2338</v>
      </c>
      <c r="P2845" t="n">
        <v>2240</v>
      </c>
      <c r="Q2845" t="n">
        <v>14736</v>
      </c>
      <c r="R2845" t="n">
        <v>0</v>
      </c>
      <c r="BV2845" t="n">
        <v>980.96</v>
      </c>
    </row>
    <row r="2846">
      <c r="A2846" t="n">
        <v>433</v>
      </c>
      <c r="B2846" t="inlineStr">
        <is>
          <t>Generación de Residuos Peligrosos per Cápita Semestral</t>
        </is>
      </c>
      <c r="C2846" t="inlineStr">
        <is>
          <t>GESTIÓN AMBIENTAL</t>
        </is>
      </c>
      <c r="D2846" t="inlineStr">
        <is>
          <t>Trimestral</t>
        </is>
      </c>
      <c r="E2846" t="inlineStr">
        <is>
          <t>Negativo</t>
        </is>
      </c>
      <c r="F2846" s="105" t="n">
        <v>45838</v>
      </c>
      <c r="G2846" t="inlineStr">
        <is>
          <t>433-2025-06-30</t>
        </is>
      </c>
      <c r="H2846" t="inlineStr">
        <is>
          <t>City Campus</t>
        </is>
      </c>
      <c r="I2846" t="n">
        <v>0.05</v>
      </c>
      <c r="J2846" t="n">
        <v>0</v>
      </c>
      <c r="O2846" t="n">
        <v>483</v>
      </c>
      <c r="P2846" t="n">
        <v>23</v>
      </c>
      <c r="Q2846" t="n">
        <v>11976</v>
      </c>
      <c r="R2846" t="n">
        <v>3010</v>
      </c>
      <c r="BV2846" t="n">
        <v>57.32</v>
      </c>
    </row>
    <row r="2847">
      <c r="A2847" t="n">
        <v>433</v>
      </c>
      <c r="B2847" t="inlineStr">
        <is>
          <t>Generación de Residuos Peligrosos per Cápita Semestral</t>
        </is>
      </c>
      <c r="C2847" t="inlineStr">
        <is>
          <t>GESTIÓN AMBIENTAL</t>
        </is>
      </c>
      <c r="D2847" t="inlineStr">
        <is>
          <t>Trimestral</t>
        </is>
      </c>
      <c r="E2847" t="inlineStr">
        <is>
          <t>Negativo</t>
        </is>
      </c>
      <c r="F2847" s="105" t="n">
        <v>45838</v>
      </c>
      <c r="G2847" t="inlineStr">
        <is>
          <t>433-2025-06-30</t>
        </is>
      </c>
      <c r="H2847" t="inlineStr">
        <is>
          <t>Sede Posgrado-Calle 85</t>
        </is>
      </c>
      <c r="I2847" t="n">
        <v>0.05</v>
      </c>
      <c r="J2847" t="n">
        <v>0</v>
      </c>
      <c r="O2847" t="n">
        <v>51</v>
      </c>
      <c r="P2847" t="n">
        <v>38</v>
      </c>
      <c r="Q2847" t="n">
        <v>189</v>
      </c>
      <c r="R2847" t="n">
        <v>0</v>
      </c>
      <c r="BV2847" t="n">
        <v>0</v>
      </c>
    </row>
    <row r="2848">
      <c r="A2848" t="n">
        <v>433</v>
      </c>
      <c r="B2848" t="inlineStr">
        <is>
          <t>Generación de Residuos Peligrosos per Cápita Semestral</t>
        </is>
      </c>
      <c r="C2848" t="inlineStr">
        <is>
          <t>GESTIÓN AMBIENTAL</t>
        </is>
      </c>
      <c r="D2848" t="inlineStr">
        <is>
          <t>Trimestral</t>
        </is>
      </c>
      <c r="E2848" t="inlineStr">
        <is>
          <t>Negativo</t>
        </is>
      </c>
      <c r="F2848" s="105" t="n">
        <v>45838</v>
      </c>
      <c r="G2848" t="inlineStr">
        <is>
          <t>433-2025-06-30</t>
        </is>
      </c>
      <c r="H2848" t="inlineStr">
        <is>
          <t>Campus-Medellín</t>
        </is>
      </c>
      <c r="I2848" t="n">
        <v>0.05</v>
      </c>
      <c r="J2848" t="n">
        <v>0</v>
      </c>
      <c r="O2848" t="n">
        <v>387</v>
      </c>
      <c r="P2848" t="n">
        <v>810</v>
      </c>
      <c r="Q2848" t="n">
        <v>13541</v>
      </c>
      <c r="R2848" t="n">
        <v>144</v>
      </c>
      <c r="BV2848" t="n">
        <v>20.95</v>
      </c>
    </row>
    <row r="2849">
      <c r="A2849" t="n">
        <v>433</v>
      </c>
      <c r="B2849" t="inlineStr">
        <is>
          <t>Generación de Residuos Peligrosos per Cápita Semestral</t>
        </is>
      </c>
      <c r="C2849" t="inlineStr">
        <is>
          <t>GESTIÓN AMBIENTAL</t>
        </is>
      </c>
      <c r="D2849" t="inlineStr">
        <is>
          <t>Trimestral</t>
        </is>
      </c>
      <c r="E2849" t="inlineStr">
        <is>
          <t>Negativo</t>
        </is>
      </c>
      <c r="F2849" s="105" t="n">
        <v>45838</v>
      </c>
      <c r="G2849" t="inlineStr">
        <is>
          <t>433-2025-06-30</t>
        </is>
      </c>
      <c r="H2849" t="inlineStr">
        <is>
          <t>Sede Bienestar - Medellín</t>
        </is>
      </c>
      <c r="I2849" t="n">
        <v>0.05</v>
      </c>
      <c r="J2849" t="n">
        <v>0</v>
      </c>
      <c r="O2849" t="n">
        <v>24</v>
      </c>
      <c r="P2849" t="n">
        <v>24</v>
      </c>
      <c r="Q2849" t="n">
        <v>3553</v>
      </c>
      <c r="R2849" t="n">
        <v>0</v>
      </c>
      <c r="BV2849" t="n">
        <v>0.73</v>
      </c>
    </row>
    <row r="2850">
      <c r="A2850" t="n">
        <v>433</v>
      </c>
      <c r="B2850" t="inlineStr">
        <is>
          <t>Generación de Residuos Peligrosos per Cápita Semestral</t>
        </is>
      </c>
      <c r="C2850" t="inlineStr">
        <is>
          <t>GESTIÓN AMBIENTAL</t>
        </is>
      </c>
      <c r="D2850" t="inlineStr">
        <is>
          <t>Trimestral</t>
        </is>
      </c>
      <c r="E2850" t="inlineStr">
        <is>
          <t>Negativo</t>
        </is>
      </c>
      <c r="F2850" s="105" t="n">
        <v>45838</v>
      </c>
      <c r="G2850" t="inlineStr">
        <is>
          <t>433-2025-06-30</t>
        </is>
      </c>
      <c r="H2850" t="inlineStr">
        <is>
          <t>Consultorio Psicología - Medellin</t>
        </is>
      </c>
      <c r="I2850" t="n">
        <v>0.05</v>
      </c>
      <c r="O2850" t="n">
        <v>12</v>
      </c>
      <c r="P2850" t="n">
        <v>10</v>
      </c>
      <c r="Q2850" t="n">
        <v>60</v>
      </c>
      <c r="R2850" t="n">
        <v>0</v>
      </c>
      <c r="BV2850" t="n">
        <v>0</v>
      </c>
    </row>
    <row r="2851">
      <c r="A2851" t="n">
        <v>435</v>
      </c>
      <c r="B2851" t="inlineStr">
        <is>
          <t>Disminución de la Generación de Residuos Peligrosos per Cápita</t>
        </is>
      </c>
      <c r="C2851" t="inlineStr">
        <is>
          <t>GESTIÓN AMBIENTAL</t>
        </is>
      </c>
      <c r="D2851" t="inlineStr">
        <is>
          <t>Trimestral</t>
        </is>
      </c>
      <c r="E2851" t="inlineStr">
        <is>
          <t>Positivo</t>
        </is>
      </c>
      <c r="F2851" s="105" t="n">
        <v>45838</v>
      </c>
      <c r="G2851" t="inlineStr">
        <is>
          <t>435-2025-06-30</t>
        </is>
      </c>
      <c r="H2851" t="inlineStr">
        <is>
          <t>Campus Bogotá</t>
        </is>
      </c>
      <c r="I2851" t="n">
        <v>100</v>
      </c>
      <c r="J2851" t="n">
        <v>66.66999816894531</v>
      </c>
      <c r="BW2851" t="n">
        <v>0.15</v>
      </c>
      <c r="BX2851" t="n">
        <v>0.05</v>
      </c>
    </row>
    <row r="2852">
      <c r="A2852" t="n">
        <v>435</v>
      </c>
      <c r="B2852" t="inlineStr">
        <is>
          <t>Disminución de la Generación de Residuos Peligrosos per Cápita</t>
        </is>
      </c>
      <c r="C2852" t="inlineStr">
        <is>
          <t>GESTIÓN AMBIENTAL</t>
        </is>
      </c>
      <c r="D2852" t="inlineStr">
        <is>
          <t>Trimestral</t>
        </is>
      </c>
      <c r="E2852" t="inlineStr">
        <is>
          <t>Positivo</t>
        </is>
      </c>
      <c r="F2852" s="105" t="n">
        <v>45838</v>
      </c>
      <c r="G2852" t="inlineStr">
        <is>
          <t>435-2025-06-30</t>
        </is>
      </c>
      <c r="H2852" t="inlineStr">
        <is>
          <t>Sede Posgrado-Calle 85</t>
        </is>
      </c>
      <c r="I2852" t="n">
        <v>100</v>
      </c>
      <c r="J2852" t="n">
        <v>0</v>
      </c>
      <c r="BW2852" t="n">
        <v>0</v>
      </c>
      <c r="BX2852" t="n">
        <v>0</v>
      </c>
    </row>
    <row r="2853">
      <c r="A2853" t="n">
        <v>435</v>
      </c>
      <c r="B2853" t="inlineStr">
        <is>
          <t>Disminución de la Generación de Residuos Peligrosos per Cápita</t>
        </is>
      </c>
      <c r="C2853" t="inlineStr">
        <is>
          <t>GESTIÓN AMBIENTAL</t>
        </is>
      </c>
      <c r="D2853" t="inlineStr">
        <is>
          <t>Trimestral</t>
        </is>
      </c>
      <c r="E2853" t="inlineStr">
        <is>
          <t>Positivo</t>
        </is>
      </c>
      <c r="F2853" s="105" t="n">
        <v>45838</v>
      </c>
      <c r="G2853" t="inlineStr">
        <is>
          <t>435-2025-06-30</t>
        </is>
      </c>
      <c r="H2853" t="inlineStr">
        <is>
          <t>Campus-Medellín</t>
        </is>
      </c>
      <c r="I2853" t="n">
        <v>100</v>
      </c>
      <c r="J2853" t="n">
        <v>0</v>
      </c>
      <c r="BW2853" t="n">
        <v>0</v>
      </c>
      <c r="BX2853" t="n">
        <v>0</v>
      </c>
    </row>
    <row r="2854">
      <c r="A2854" t="n">
        <v>435</v>
      </c>
      <c r="B2854" t="inlineStr">
        <is>
          <t>Disminución de la Generación de Residuos Peligrosos per Cápita</t>
        </is>
      </c>
      <c r="C2854" t="inlineStr">
        <is>
          <t>GESTIÓN AMBIENTAL</t>
        </is>
      </c>
      <c r="D2854" t="inlineStr">
        <is>
          <t>Trimestral</t>
        </is>
      </c>
      <c r="E2854" t="inlineStr">
        <is>
          <t>Positivo</t>
        </is>
      </c>
      <c r="F2854" s="105" t="n">
        <v>45838</v>
      </c>
      <c r="G2854" t="inlineStr">
        <is>
          <t>435-2025-06-30</t>
        </is>
      </c>
      <c r="H2854" t="inlineStr">
        <is>
          <t>Sede Bienestar - Medellín</t>
        </is>
      </c>
      <c r="I2854" t="n">
        <v>100</v>
      </c>
      <c r="J2854" t="n">
        <v>100</v>
      </c>
      <c r="BW2854" t="n">
        <v>1.1</v>
      </c>
      <c r="BX2854" t="n">
        <v>0</v>
      </c>
    </row>
    <row r="2855">
      <c r="A2855" t="n">
        <v>435</v>
      </c>
      <c r="B2855" t="inlineStr">
        <is>
          <t>Disminución de la Generación de Residuos Peligrosos per Cápita</t>
        </is>
      </c>
      <c r="C2855" t="inlineStr">
        <is>
          <t>GESTIÓN AMBIENTAL</t>
        </is>
      </c>
      <c r="D2855" t="inlineStr">
        <is>
          <t>Trimestral</t>
        </is>
      </c>
      <c r="E2855" t="inlineStr">
        <is>
          <t>Positivo</t>
        </is>
      </c>
      <c r="F2855" s="105" t="n">
        <v>45838</v>
      </c>
      <c r="G2855" t="inlineStr">
        <is>
          <t>435-2025-06-30</t>
        </is>
      </c>
      <c r="H2855" t="inlineStr">
        <is>
          <t>City Campus</t>
        </is>
      </c>
      <c r="I2855" t="n">
        <v>100</v>
      </c>
      <c r="J2855" t="n">
        <v>100</v>
      </c>
      <c r="BW2855" t="n">
        <v>0.03</v>
      </c>
      <c r="BX2855" t="n">
        <v>0</v>
      </c>
    </row>
    <row r="2856">
      <c r="A2856" t="n">
        <v>439</v>
      </c>
      <c r="B2856" t="inlineStr">
        <is>
          <t>Disponibilidad de catálogo de asignaturas pregrado y posgrado virtual</t>
        </is>
      </c>
      <c r="C2856" t="inlineStr">
        <is>
          <t>Operaciones Académicas</t>
        </is>
      </c>
      <c r="D2856" t="inlineStr">
        <is>
          <t>Trimestral</t>
        </is>
      </c>
      <c r="E2856" t="inlineStr">
        <is>
          <t>Positivo</t>
        </is>
      </c>
      <c r="F2856" s="105" t="n">
        <v>45838</v>
      </c>
      <c r="G2856" t="inlineStr">
        <is>
          <t>439-2025-06-30</t>
        </is>
      </c>
      <c r="H2856" t="inlineStr">
        <is>
          <t>Posgrado Virtual</t>
        </is>
      </c>
      <c r="I2856" t="n">
        <v>100</v>
      </c>
      <c r="J2856" t="n">
        <v>100</v>
      </c>
      <c r="CY2856" t="n">
        <v>342</v>
      </c>
      <c r="CZ2856" t="n">
        <v>342</v>
      </c>
    </row>
    <row r="2857">
      <c r="A2857" t="n">
        <v>439</v>
      </c>
      <c r="B2857" t="inlineStr">
        <is>
          <t>Disponibilidad de catálogo de asignaturas pregrado y posgrado virtual</t>
        </is>
      </c>
      <c r="C2857" t="inlineStr">
        <is>
          <t>Operaciones Académicas</t>
        </is>
      </c>
      <c r="D2857" t="inlineStr">
        <is>
          <t>Trimestral</t>
        </is>
      </c>
      <c r="E2857" t="inlineStr">
        <is>
          <t>Positivo</t>
        </is>
      </c>
      <c r="F2857" s="105" t="n">
        <v>45838</v>
      </c>
      <c r="G2857" t="inlineStr">
        <is>
          <t>439-2025-06-30</t>
        </is>
      </c>
      <c r="H2857" t="inlineStr">
        <is>
          <t>Pregrado Virtual</t>
        </is>
      </c>
      <c r="I2857" t="n">
        <v>100</v>
      </c>
      <c r="J2857" t="n">
        <v>100</v>
      </c>
      <c r="CY2857" t="n">
        <v>824</v>
      </c>
      <c r="CZ2857" t="n">
        <v>824</v>
      </c>
    </row>
    <row r="2858">
      <c r="A2858" t="n">
        <v>440</v>
      </c>
      <c r="B2858" t="inlineStr">
        <is>
          <t>Aseguramiento de matricula académica virtual</t>
        </is>
      </c>
      <c r="C2858" t="inlineStr">
        <is>
          <t>Operaciones Académicas</t>
        </is>
      </c>
      <c r="D2858" t="inlineStr">
        <is>
          <t>Trimestral</t>
        </is>
      </c>
      <c r="E2858" t="inlineStr">
        <is>
          <t>Positivo</t>
        </is>
      </c>
      <c r="F2858" s="105" t="n">
        <v>45838</v>
      </c>
      <c r="G2858" t="inlineStr">
        <is>
          <t>440-2025-06-30</t>
        </is>
      </c>
      <c r="H2858" t="inlineStr">
        <is>
          <t>Pregrado Virtual</t>
        </is>
      </c>
      <c r="I2858" t="n">
        <v>98</v>
      </c>
      <c r="J2858" t="n">
        <v>99.80999755859375</v>
      </c>
      <c r="DA2858" t="n">
        <v>43934</v>
      </c>
      <c r="DB2858" t="n">
        <v>44016</v>
      </c>
    </row>
    <row r="2859">
      <c r="A2859" t="n">
        <v>440</v>
      </c>
      <c r="B2859" t="inlineStr">
        <is>
          <t>Aseguramiento de matricula académica virtual</t>
        </is>
      </c>
      <c r="C2859" t="inlineStr">
        <is>
          <t>Operaciones Académicas</t>
        </is>
      </c>
      <c r="D2859" t="inlineStr">
        <is>
          <t>Trimestral</t>
        </is>
      </c>
      <c r="E2859" t="inlineStr">
        <is>
          <t>Positivo</t>
        </is>
      </c>
      <c r="F2859" s="105" t="n">
        <v>45838</v>
      </c>
      <c r="G2859" t="inlineStr">
        <is>
          <t>440-2025-06-30</t>
        </is>
      </c>
      <c r="H2859" t="inlineStr">
        <is>
          <t>Posgrado Virtual</t>
        </is>
      </c>
      <c r="I2859" t="n">
        <v>98</v>
      </c>
      <c r="J2859" t="n">
        <v>99.25</v>
      </c>
      <c r="DA2859" t="n">
        <v>3717</v>
      </c>
      <c r="DB2859" t="n">
        <v>3745</v>
      </c>
    </row>
    <row r="2860">
      <c r="A2860" t="n">
        <v>473</v>
      </c>
      <c r="B2860" t="inlineStr">
        <is>
          <t>Programas con planes de estudios definidos</t>
        </is>
      </c>
      <c r="C2860" t="inlineStr">
        <is>
          <t>Gestión, Evaluación e Innovación Curricular</t>
        </is>
      </c>
      <c r="D2860" t="inlineStr">
        <is>
          <t>Trimestral</t>
        </is>
      </c>
      <c r="E2860" t="inlineStr">
        <is>
          <t>Positivo</t>
        </is>
      </c>
      <c r="F2860" s="105" t="n">
        <v>45838</v>
      </c>
      <c r="G2860" t="inlineStr">
        <is>
          <t>473-2025-06-30</t>
        </is>
      </c>
      <c r="H2860" t="inlineStr">
        <is>
          <t>Nuevos Programas Académicos</t>
        </is>
      </c>
      <c r="I2860" t="n">
        <v>100</v>
      </c>
      <c r="J2860" t="n">
        <v>100</v>
      </c>
      <c r="DM2860" t="n">
        <v>1</v>
      </c>
      <c r="DN2860" t="n">
        <v>1</v>
      </c>
    </row>
    <row r="2861">
      <c r="A2861" t="n">
        <v>473</v>
      </c>
      <c r="B2861" t="inlineStr">
        <is>
          <t>Programas con planes de estudios definidos</t>
        </is>
      </c>
      <c r="C2861" t="inlineStr">
        <is>
          <t>Gestión, Evaluación e Innovación Curricular</t>
        </is>
      </c>
      <c r="D2861" t="inlineStr">
        <is>
          <t>Trimestral</t>
        </is>
      </c>
      <c r="E2861" t="inlineStr">
        <is>
          <t>Positivo</t>
        </is>
      </c>
      <c r="F2861" s="105" t="n">
        <v>45838</v>
      </c>
      <c r="G2861" t="inlineStr">
        <is>
          <t>473-2025-06-30</t>
        </is>
      </c>
      <c r="H2861" t="inlineStr">
        <is>
          <t>Programas Renovación, modificación y acreditación</t>
        </is>
      </c>
      <c r="I2861" t="n">
        <v>100</v>
      </c>
      <c r="J2861" t="n">
        <v>100</v>
      </c>
      <c r="DM2861" t="n">
        <v>5</v>
      </c>
      <c r="DN2861" t="n">
        <v>5</v>
      </c>
    </row>
    <row r="2862">
      <c r="A2862" t="n">
        <v>473</v>
      </c>
      <c r="B2862" t="inlineStr">
        <is>
          <t>Programas con planes de estudios definidos</t>
        </is>
      </c>
      <c r="C2862" t="inlineStr">
        <is>
          <t>Gestión, Evaluación e Innovación Curricular</t>
        </is>
      </c>
      <c r="D2862" t="inlineStr">
        <is>
          <t>Trimestral</t>
        </is>
      </c>
      <c r="E2862" t="inlineStr">
        <is>
          <t>Positivo</t>
        </is>
      </c>
      <c r="F2862" s="105" t="n">
        <v>45838</v>
      </c>
      <c r="G2862" t="inlineStr">
        <is>
          <t>473-2025-06-30</t>
        </is>
      </c>
      <c r="H2862" t="inlineStr">
        <is>
          <t>Mantenimiento de programas</t>
        </is>
      </c>
      <c r="I2862" t="n">
        <v>100</v>
      </c>
      <c r="J2862" t="n">
        <v>100</v>
      </c>
      <c r="DM2862" t="n">
        <v>66</v>
      </c>
      <c r="DN2862" t="n">
        <v>66</v>
      </c>
    </row>
    <row r="2863">
      <c r="A2863" t="n">
        <v>476</v>
      </c>
      <c r="B2863" t="inlineStr">
        <is>
          <t>Programas con resultados de aprendizaje definidos</t>
        </is>
      </c>
      <c r="C2863" t="inlineStr">
        <is>
          <t>Gestión, Evaluación e Innovación Curricular</t>
        </is>
      </c>
      <c r="D2863" t="inlineStr">
        <is>
          <t>Trimestral</t>
        </is>
      </c>
      <c r="E2863" t="inlineStr">
        <is>
          <t>Positivo</t>
        </is>
      </c>
      <c r="F2863" s="105" t="n">
        <v>45838</v>
      </c>
      <c r="G2863" t="inlineStr">
        <is>
          <t>476-2025-06-30</t>
        </is>
      </c>
      <c r="H2863" t="inlineStr">
        <is>
          <t>Nuevos Programas Académicos</t>
        </is>
      </c>
      <c r="I2863" t="n">
        <v>100</v>
      </c>
      <c r="J2863" t="n">
        <v>100</v>
      </c>
      <c r="DQ2863" t="n">
        <v>1</v>
      </c>
      <c r="DR2863" t="n">
        <v>1</v>
      </c>
    </row>
    <row r="2864">
      <c r="A2864" t="n">
        <v>476</v>
      </c>
      <c r="B2864" t="inlineStr">
        <is>
          <t>Programas con resultados de aprendizaje definidos</t>
        </is>
      </c>
      <c r="C2864" t="inlineStr">
        <is>
          <t>Gestión, Evaluación e Innovación Curricular</t>
        </is>
      </c>
      <c r="D2864" t="inlineStr">
        <is>
          <t>Trimestral</t>
        </is>
      </c>
      <c r="E2864" t="inlineStr">
        <is>
          <t>Positivo</t>
        </is>
      </c>
      <c r="F2864" s="105" t="n">
        <v>45838</v>
      </c>
      <c r="G2864" t="inlineStr">
        <is>
          <t>476-2025-06-30</t>
        </is>
      </c>
      <c r="H2864" t="inlineStr">
        <is>
          <t>Programas Renovación, modificación y acreditación</t>
        </is>
      </c>
      <c r="I2864" t="n">
        <v>100</v>
      </c>
      <c r="J2864" t="n">
        <v>100</v>
      </c>
      <c r="DQ2864" t="n">
        <v>5</v>
      </c>
      <c r="DR2864" t="n">
        <v>5</v>
      </c>
    </row>
    <row r="2865">
      <c r="A2865" t="n">
        <v>476</v>
      </c>
      <c r="B2865" t="inlineStr">
        <is>
          <t>Programas con resultados de aprendizaje definidos</t>
        </is>
      </c>
      <c r="C2865" t="inlineStr">
        <is>
          <t>Gestión, Evaluación e Innovación Curricular</t>
        </is>
      </c>
      <c r="D2865" t="inlineStr">
        <is>
          <t>Trimestral</t>
        </is>
      </c>
      <c r="E2865" t="inlineStr">
        <is>
          <t>Positivo</t>
        </is>
      </c>
      <c r="F2865" s="105" t="n">
        <v>45838</v>
      </c>
      <c r="G2865" t="inlineStr">
        <is>
          <t>476-2025-06-30</t>
        </is>
      </c>
      <c r="H2865" t="inlineStr">
        <is>
          <t>Mantenimiento de programas</t>
        </is>
      </c>
      <c r="I2865" t="n">
        <v>100</v>
      </c>
      <c r="J2865" t="n">
        <v>0</v>
      </c>
      <c r="DQ2865" t="n">
        <v>0</v>
      </c>
      <c r="DR2865" t="n">
        <v>0</v>
      </c>
    </row>
    <row r="2866">
      <c r="A2866" t="n">
        <v>519</v>
      </c>
      <c r="B2866" t="inlineStr">
        <is>
          <t>% de publicaciones con sentimiento neutro o negativo</t>
        </is>
      </c>
      <c r="C2866" t="inlineStr">
        <is>
          <t>Comunicaciones Externas</t>
        </is>
      </c>
      <c r="D2866" t="inlineStr">
        <is>
          <t>Trimestral</t>
        </is>
      </c>
      <c r="E2866" t="inlineStr">
        <is>
          <t>Positivo</t>
        </is>
      </c>
      <c r="F2866" s="105" t="n">
        <v>45838</v>
      </c>
      <c r="G2866" t="inlineStr">
        <is>
          <t>519-2025-06-30</t>
        </is>
      </c>
      <c r="H2866" t="inlineStr">
        <is>
          <t>Neutro</t>
        </is>
      </c>
      <c r="I2866" t="n">
        <v>100</v>
      </c>
      <c r="J2866" t="n">
        <v>112.9000015258789</v>
      </c>
      <c r="EP2866" t="n">
        <v>45</v>
      </c>
      <c r="EQ2866" t="n">
        <v>39.86</v>
      </c>
    </row>
    <row r="2867">
      <c r="A2867" t="n">
        <v>519</v>
      </c>
      <c r="B2867" t="inlineStr">
        <is>
          <t>% de publicaciones con sentimiento neutro o negativo</t>
        </is>
      </c>
      <c r="C2867" t="inlineStr">
        <is>
          <t>Comunicaciones Externas</t>
        </is>
      </c>
      <c r="D2867" t="inlineStr">
        <is>
          <t>Trimestral</t>
        </is>
      </c>
      <c r="E2867" t="inlineStr">
        <is>
          <t>Positivo</t>
        </is>
      </c>
      <c r="F2867" s="105" t="n">
        <v>45838</v>
      </c>
      <c r="G2867" t="inlineStr">
        <is>
          <t>519-2025-06-30</t>
        </is>
      </c>
      <c r="H2867" t="inlineStr">
        <is>
          <t>Negativo</t>
        </is>
      </c>
      <c r="I2867" t="n">
        <v>100</v>
      </c>
      <c r="J2867" t="n">
        <v>750</v>
      </c>
      <c r="EP2867" t="n">
        <v>3</v>
      </c>
      <c r="EQ2867" t="n">
        <v>0.4</v>
      </c>
    </row>
    <row r="2868">
      <c r="A2868" t="n">
        <v>523</v>
      </c>
      <c r="B2868" t="inlineStr">
        <is>
          <t>Ingresos totales de educación para la vida</t>
        </is>
      </c>
      <c r="C2868" t="inlineStr">
        <is>
          <t>Planeación Financiera</t>
        </is>
      </c>
      <c r="D2868" t="inlineStr">
        <is>
          <t>Trimestral</t>
        </is>
      </c>
      <c r="E2868" t="inlineStr">
        <is>
          <t>Positivo</t>
        </is>
      </c>
      <c r="F2868" s="105" t="n">
        <v>45838</v>
      </c>
      <c r="G2868" t="inlineStr">
        <is>
          <t>523-2025-06-30</t>
        </is>
      </c>
      <c r="H2868" t="inlineStr">
        <is>
          <t>B2G</t>
        </is>
      </c>
      <c r="I2868" t="n">
        <v>95</v>
      </c>
      <c r="J2868" t="n">
        <v>126.4800033569336</v>
      </c>
      <c r="ER2868" t="n">
        <v>2655651556</v>
      </c>
      <c r="ES2868" t="n">
        <v>3358906184</v>
      </c>
    </row>
    <row r="2869">
      <c r="A2869" t="n">
        <v>523</v>
      </c>
      <c r="B2869" t="inlineStr">
        <is>
          <t>Ingresos totales de educación para la vida</t>
        </is>
      </c>
      <c r="C2869" t="inlineStr">
        <is>
          <t>Planeación Financiera</t>
        </is>
      </c>
      <c r="D2869" t="inlineStr">
        <is>
          <t>Trimestral</t>
        </is>
      </c>
      <c r="E2869" t="inlineStr">
        <is>
          <t>Positivo</t>
        </is>
      </c>
      <c r="F2869" s="105" t="n">
        <v>45838</v>
      </c>
      <c r="G2869" t="inlineStr">
        <is>
          <t>523-2025-06-30</t>
        </is>
      </c>
      <c r="H2869" t="inlineStr">
        <is>
          <t>Opciones de grado</t>
        </is>
      </c>
      <c r="I2869" t="n">
        <v>95</v>
      </c>
      <c r="J2869" t="n">
        <v>136.5899963378906</v>
      </c>
      <c r="ER2869" t="n">
        <v>2797663886</v>
      </c>
      <c r="ES2869" t="n">
        <v>3821459750</v>
      </c>
    </row>
    <row r="2870">
      <c r="A2870" t="n">
        <v>523</v>
      </c>
      <c r="B2870" t="inlineStr">
        <is>
          <t>Ingresos totales de educación para la vida</t>
        </is>
      </c>
      <c r="C2870" t="inlineStr">
        <is>
          <t>Planeación Financiera</t>
        </is>
      </c>
      <c r="D2870" t="inlineStr">
        <is>
          <t>Trimestral</t>
        </is>
      </c>
      <c r="E2870" t="inlineStr">
        <is>
          <t>Positivo</t>
        </is>
      </c>
      <c r="F2870" s="105" t="n">
        <v>45838</v>
      </c>
      <c r="G2870" t="inlineStr">
        <is>
          <t>523-2025-06-30</t>
        </is>
      </c>
      <c r="H2870" t="inlineStr">
        <is>
          <t>B2B- B2C</t>
        </is>
      </c>
      <c r="I2870" t="n">
        <v>95</v>
      </c>
      <c r="J2870" t="n">
        <v>102.5400009155273</v>
      </c>
      <c r="ER2870" t="n">
        <v>1392561870</v>
      </c>
      <c r="ES2870" t="n">
        <v>1427952335</v>
      </c>
    </row>
    <row r="2871">
      <c r="A2871" t="n">
        <v>524</v>
      </c>
      <c r="B2871" t="inlineStr">
        <is>
          <t>Total Leads por canales de captación</t>
        </is>
      </c>
      <c r="C2871" t="inlineStr">
        <is>
          <t>Mercadeo de programas académicos</t>
        </is>
      </c>
      <c r="D2871" t="inlineStr">
        <is>
          <t>Trimestral</t>
        </is>
      </c>
      <c r="E2871" t="inlineStr">
        <is>
          <t>Positivo</t>
        </is>
      </c>
      <c r="F2871" s="105" t="n">
        <v>45838</v>
      </c>
      <c r="G2871" t="inlineStr">
        <is>
          <t>524-2025-06-30</t>
        </is>
      </c>
      <c r="H2871" t="inlineStr">
        <is>
          <t>Digital</t>
        </is>
      </c>
      <c r="I2871" t="n">
        <v>100</v>
      </c>
      <c r="J2871" t="n">
        <v>93.31999969482422</v>
      </c>
      <c r="ET2871" t="n">
        <v>107405</v>
      </c>
      <c r="EU2871" t="n">
        <v>115090</v>
      </c>
    </row>
    <row r="2872">
      <c r="A2872" t="n">
        <v>524</v>
      </c>
      <c r="B2872" t="inlineStr">
        <is>
          <t>Total Leads por canales de captación</t>
        </is>
      </c>
      <c r="C2872" t="inlineStr">
        <is>
          <t>Mercadeo de programas académicos</t>
        </is>
      </c>
      <c r="D2872" t="inlineStr">
        <is>
          <t>Trimestral</t>
        </is>
      </c>
      <c r="E2872" t="inlineStr">
        <is>
          <t>Positivo</t>
        </is>
      </c>
      <c r="F2872" s="105" t="n">
        <v>45838</v>
      </c>
      <c r="G2872" t="inlineStr">
        <is>
          <t>524-2025-06-30</t>
        </is>
      </c>
      <c r="H2872" t="inlineStr">
        <is>
          <t>ATL</t>
        </is>
      </c>
      <c r="I2872" t="n">
        <v>100</v>
      </c>
      <c r="J2872" t="n">
        <v>112.9499969482422</v>
      </c>
      <c r="ET2872" t="n">
        <v>14925</v>
      </c>
      <c r="EU2872" t="n">
        <v>13214</v>
      </c>
    </row>
    <row r="2873">
      <c r="A2873" t="n">
        <v>524</v>
      </c>
      <c r="B2873" t="inlineStr">
        <is>
          <t>Total Leads por canales de captación</t>
        </is>
      </c>
      <c r="C2873" t="inlineStr">
        <is>
          <t>Mercadeo de programas académicos</t>
        </is>
      </c>
      <c r="D2873" t="inlineStr">
        <is>
          <t>Trimestral</t>
        </is>
      </c>
      <c r="E2873" t="inlineStr">
        <is>
          <t>Positivo</t>
        </is>
      </c>
      <c r="F2873" s="105" t="n">
        <v>45838</v>
      </c>
      <c r="G2873" t="inlineStr">
        <is>
          <t>524-2025-06-30</t>
        </is>
      </c>
      <c r="H2873" t="inlineStr">
        <is>
          <t>BTL</t>
        </is>
      </c>
      <c r="I2873" t="n">
        <v>100</v>
      </c>
      <c r="J2873" t="n">
        <v>178.1199951171875</v>
      </c>
      <c r="ET2873" t="n">
        <v>5219</v>
      </c>
      <c r="EU2873" t="n">
        <v>2930</v>
      </c>
    </row>
    <row r="2874">
      <c r="A2874" t="n">
        <v>524</v>
      </c>
      <c r="B2874" t="inlineStr">
        <is>
          <t>Total Leads por canales de captación</t>
        </is>
      </c>
      <c r="C2874" t="inlineStr">
        <is>
          <t>Mercadeo de programas académicos</t>
        </is>
      </c>
      <c r="D2874" t="inlineStr">
        <is>
          <t>Trimestral</t>
        </is>
      </c>
      <c r="E2874" t="inlineStr">
        <is>
          <t>Positivo</t>
        </is>
      </c>
      <c r="F2874" s="105" t="n">
        <v>45838</v>
      </c>
      <c r="G2874" t="inlineStr">
        <is>
          <t>524-2025-06-30</t>
        </is>
      </c>
      <c r="H2874" t="inlineStr">
        <is>
          <t>CSU-High School-B2B</t>
        </is>
      </c>
      <c r="I2874" t="n">
        <v>100</v>
      </c>
      <c r="J2874" t="n">
        <v>104.6100006103516</v>
      </c>
      <c r="ET2874" t="n">
        <v>41780</v>
      </c>
      <c r="EU2874" t="n">
        <v>39937</v>
      </c>
    </row>
    <row r="2875">
      <c r="A2875" t="n">
        <v>524</v>
      </c>
      <c r="B2875" t="inlineStr">
        <is>
          <t>Total Leads por canales de captación</t>
        </is>
      </c>
      <c r="C2875" t="inlineStr">
        <is>
          <t>Mercadeo de programas académicos</t>
        </is>
      </c>
      <c r="D2875" t="inlineStr">
        <is>
          <t>Trimestral</t>
        </is>
      </c>
      <c r="E2875" t="inlineStr">
        <is>
          <t>Positivo</t>
        </is>
      </c>
      <c r="F2875" s="105" t="n">
        <v>45838</v>
      </c>
      <c r="G2875" t="inlineStr">
        <is>
          <t>524-2025-06-30</t>
        </is>
      </c>
      <c r="H2875" t="inlineStr">
        <is>
          <t>Whatsapp</t>
        </is>
      </c>
      <c r="I2875" t="n">
        <v>100</v>
      </c>
      <c r="J2875" t="n">
        <v>74.30999755859375</v>
      </c>
      <c r="ET2875" t="n">
        <v>1183</v>
      </c>
      <c r="EU2875" t="n">
        <v>1592</v>
      </c>
    </row>
    <row r="2876">
      <c r="A2876" t="n">
        <v>524</v>
      </c>
      <c r="B2876" t="inlineStr">
        <is>
          <t>Total Leads por canales de captación</t>
        </is>
      </c>
      <c r="C2876" t="inlineStr">
        <is>
          <t>Mercadeo de programas académicos</t>
        </is>
      </c>
      <c r="D2876" t="inlineStr">
        <is>
          <t>Trimestral</t>
        </is>
      </c>
      <c r="E2876" t="inlineStr">
        <is>
          <t>Positivo</t>
        </is>
      </c>
      <c r="F2876" s="105" t="n">
        <v>45838</v>
      </c>
      <c r="G2876" t="inlineStr">
        <is>
          <t>524-2025-06-30</t>
        </is>
      </c>
      <c r="H2876" t="inlineStr">
        <is>
          <t>Inbound</t>
        </is>
      </c>
      <c r="I2876" t="n">
        <v>100</v>
      </c>
      <c r="J2876" t="n">
        <v>221.3800048828125</v>
      </c>
      <c r="ET2876" t="n">
        <v>2143</v>
      </c>
      <c r="EU2876" t="n">
        <v>968</v>
      </c>
    </row>
    <row r="2877">
      <c r="A2877" t="n">
        <v>532</v>
      </c>
      <c r="B2877" t="inlineStr">
        <is>
          <t>Actividades de Cooperación en Internacionalización</t>
        </is>
      </c>
      <c r="C2877" t="inlineStr">
        <is>
          <t>VISIBILIDAD NACIONAL E INTERNACIONAL</t>
        </is>
      </c>
      <c r="D2877" t="inlineStr">
        <is>
          <t>Trimestral</t>
        </is>
      </c>
      <c r="E2877" t="inlineStr">
        <is>
          <t>Positivo</t>
        </is>
      </c>
      <c r="F2877" s="105" t="n">
        <v>45838</v>
      </c>
      <c r="G2877" t="inlineStr">
        <is>
          <t>532-2025-06-30</t>
        </is>
      </c>
      <c r="H2877" t="inlineStr">
        <is>
          <t>Organización de escenarios de visibilidad nacional e internacional</t>
        </is>
      </c>
      <c r="I2877" t="n">
        <v>100</v>
      </c>
      <c r="J2877" t="n">
        <v>132</v>
      </c>
      <c r="EV2877" t="n">
        <v>66</v>
      </c>
      <c r="EW2877" t="n">
        <v>50</v>
      </c>
    </row>
    <row r="2878">
      <c r="A2878" t="n">
        <v>532</v>
      </c>
      <c r="B2878" t="inlineStr">
        <is>
          <t>Actividades de Cooperación en Internacionalización</t>
        </is>
      </c>
      <c r="C2878" t="inlineStr">
        <is>
          <t>VISIBILIDAD NACIONAL E INTERNACIONAL</t>
        </is>
      </c>
      <c r="D2878" t="inlineStr">
        <is>
          <t>Trimestral</t>
        </is>
      </c>
      <c r="E2878" t="inlineStr">
        <is>
          <t>Positivo</t>
        </is>
      </c>
      <c r="F2878" s="105" t="n">
        <v>45838</v>
      </c>
      <c r="G2878" t="inlineStr">
        <is>
          <t>532-2025-06-30</t>
        </is>
      </c>
      <c r="H2878" t="inlineStr">
        <is>
          <t>Clases espejo</t>
        </is>
      </c>
      <c r="I2878" t="n">
        <v>100</v>
      </c>
      <c r="J2878" t="n">
        <v>136</v>
      </c>
      <c r="EV2878" t="n">
        <v>136</v>
      </c>
      <c r="EW2878" t="n">
        <v>100</v>
      </c>
    </row>
    <row r="2879">
      <c r="A2879" t="n">
        <v>532</v>
      </c>
      <c r="B2879" t="inlineStr">
        <is>
          <t>Actividades de Cooperación en Internacionalización</t>
        </is>
      </c>
      <c r="C2879" t="inlineStr">
        <is>
          <t>VISIBILIDAD NACIONAL E INTERNACIONAL</t>
        </is>
      </c>
      <c r="D2879" t="inlineStr">
        <is>
          <t>Trimestral</t>
        </is>
      </c>
      <c r="E2879" t="inlineStr">
        <is>
          <t>Positivo</t>
        </is>
      </c>
      <c r="F2879" s="105" t="n">
        <v>45838</v>
      </c>
      <c r="G2879" t="inlineStr">
        <is>
          <t>532-2025-06-30</t>
        </is>
      </c>
      <c r="H2879" t="inlineStr">
        <is>
          <t>Seminarios y cursos internacionales virtuales impartidos y certificados por entidades externas</t>
        </is>
      </c>
      <c r="I2879" t="n">
        <v>100</v>
      </c>
      <c r="J2879" t="n">
        <v>100</v>
      </c>
      <c r="EV2879" t="n">
        <v>6</v>
      </c>
      <c r="EW2879" t="n">
        <v>6</v>
      </c>
    </row>
    <row r="2880">
      <c r="A2880" t="n">
        <v>532</v>
      </c>
      <c r="B2880" t="inlineStr">
        <is>
          <t>Actividades de Cooperación en Internacionalización</t>
        </is>
      </c>
      <c r="C2880" t="inlineStr">
        <is>
          <t>VISIBILIDAD NACIONAL E INTERNACIONAL</t>
        </is>
      </c>
      <c r="D2880" t="inlineStr">
        <is>
          <t>Trimestral</t>
        </is>
      </c>
      <c r="E2880" t="inlineStr">
        <is>
          <t>Positivo</t>
        </is>
      </c>
      <c r="F2880" s="105" t="n">
        <v>45838</v>
      </c>
      <c r="G2880" t="inlineStr">
        <is>
          <t>532-2025-06-30</t>
        </is>
      </c>
      <c r="H2880" t="inlineStr">
        <is>
          <t>N de asignaturas COIL - (Collaborative Online International Learning)</t>
        </is>
      </c>
      <c r="I2880" t="n">
        <v>100</v>
      </c>
      <c r="J2880" t="n">
        <v>132</v>
      </c>
      <c r="EV2880" t="n">
        <v>33</v>
      </c>
      <c r="EW2880" t="n">
        <v>25</v>
      </c>
    </row>
    <row r="2881">
      <c r="A2881" t="n">
        <v>533</v>
      </c>
      <c r="B2881" t="inlineStr">
        <is>
          <t>Participación de estudiantes externos invitados a actividades de cooperación nacional e internacional</t>
        </is>
      </c>
      <c r="C2881" t="inlineStr">
        <is>
          <t>VISIBILIDAD NACIONAL E INTERNACIONAL</t>
        </is>
      </c>
      <c r="D2881" t="inlineStr">
        <is>
          <t>Trimestral</t>
        </is>
      </c>
      <c r="E2881" t="inlineStr">
        <is>
          <t>Positivo</t>
        </is>
      </c>
      <c r="F2881" s="105" t="n">
        <v>45838</v>
      </c>
      <c r="G2881" t="inlineStr">
        <is>
          <t>533-2025-06-30</t>
        </is>
      </c>
      <c r="H2881" t="inlineStr">
        <is>
          <t>Movilidad Física Entrante Estudiantes</t>
        </is>
      </c>
      <c r="I2881" t="n">
        <v>100</v>
      </c>
      <c r="J2881" t="n">
        <v>103.75</v>
      </c>
      <c r="EX2881" t="n">
        <v>80</v>
      </c>
      <c r="EY2881" t="n">
        <v>83</v>
      </c>
    </row>
    <row r="2882">
      <c r="A2882" t="n">
        <v>533</v>
      </c>
      <c r="B2882" t="inlineStr">
        <is>
          <t>Participación de estudiantes externos invitados a actividades de cooperación nacional e internacional</t>
        </is>
      </c>
      <c r="C2882" t="inlineStr">
        <is>
          <t>VISIBILIDAD NACIONAL E INTERNACIONAL</t>
        </is>
      </c>
      <c r="D2882" t="inlineStr">
        <is>
          <t>Trimestral</t>
        </is>
      </c>
      <c r="E2882" t="inlineStr">
        <is>
          <t>Positivo</t>
        </is>
      </c>
      <c r="F2882" s="105" t="n">
        <v>45838</v>
      </c>
      <c r="G2882" t="inlineStr">
        <is>
          <t>533-2025-06-30</t>
        </is>
      </c>
      <c r="H2882" t="inlineStr">
        <is>
          <t>Participación estudiantes invitados en eventos académicos virtuales en Poli</t>
        </is>
      </c>
      <c r="I2882" t="n">
        <v>100</v>
      </c>
      <c r="J2882" t="n">
        <v>127</v>
      </c>
      <c r="EX2882" t="n">
        <v>800</v>
      </c>
      <c r="EY2882" t="n">
        <v>1016</v>
      </c>
    </row>
    <row r="2883">
      <c r="A2883" t="n">
        <v>534</v>
      </c>
      <c r="B2883" t="inlineStr">
        <is>
          <t>Participación de estudiantes POLI en actividades de cooperación nacional e internacional</t>
        </is>
      </c>
      <c r="C2883" t="inlineStr">
        <is>
          <t>VISIBILIDAD NACIONAL E INTERNACIONAL</t>
        </is>
      </c>
      <c r="D2883" t="inlineStr">
        <is>
          <t>Trimestral</t>
        </is>
      </c>
      <c r="E2883" t="inlineStr">
        <is>
          <t>Positivo</t>
        </is>
      </c>
      <c r="F2883" s="105" t="n">
        <v>45838</v>
      </c>
      <c r="G2883" t="inlineStr">
        <is>
          <t>534-2025-06-30</t>
        </is>
      </c>
      <c r="H2883" t="inlineStr">
        <is>
          <t>Movilidad Física Saliente Estudiantes</t>
        </is>
      </c>
      <c r="I2883" t="n">
        <v>100</v>
      </c>
      <c r="J2883" t="n">
        <v>103</v>
      </c>
      <c r="EZ2883" t="n">
        <v>100</v>
      </c>
      <c r="FA2883" t="n">
        <v>103</v>
      </c>
    </row>
    <row r="2884">
      <c r="A2884" t="n">
        <v>534</v>
      </c>
      <c r="B2884" t="inlineStr">
        <is>
          <t>Participación de estudiantes POLI en actividades de cooperación nacional e internacional</t>
        </is>
      </c>
      <c r="C2884" t="inlineStr">
        <is>
          <t>VISIBILIDAD NACIONAL E INTERNACIONAL</t>
        </is>
      </c>
      <c r="D2884" t="inlineStr">
        <is>
          <t>Trimestral</t>
        </is>
      </c>
      <c r="E2884" t="inlineStr">
        <is>
          <t>Positivo</t>
        </is>
      </c>
      <c r="F2884" s="105" t="n">
        <v>45838</v>
      </c>
      <c r="G2884" t="inlineStr">
        <is>
          <t>534-2025-06-30</t>
        </is>
      </c>
      <c r="H2884" t="inlineStr">
        <is>
          <t>Participación estudiantes Poli en eventos académicos nacionales e internacionales virtuales</t>
        </is>
      </c>
      <c r="I2884" t="n">
        <v>100</v>
      </c>
      <c r="J2884" t="n">
        <v>137.1999969482422</v>
      </c>
      <c r="EZ2884" t="n">
        <v>1000</v>
      </c>
      <c r="FA2884" t="n">
        <v>1372</v>
      </c>
    </row>
    <row r="2885">
      <c r="A2885" t="n">
        <v>535</v>
      </c>
      <c r="B2885" t="inlineStr">
        <is>
          <t>Participación de profesores externos invitados a actividades de cooperación nacional e internacional</t>
        </is>
      </c>
      <c r="C2885" t="inlineStr">
        <is>
          <t>VISIBILIDAD NACIONAL E INTERNACIONAL</t>
        </is>
      </c>
      <c r="D2885" t="inlineStr">
        <is>
          <t>Trimestral</t>
        </is>
      </c>
      <c r="E2885" t="inlineStr">
        <is>
          <t>Positivo</t>
        </is>
      </c>
      <c r="F2885" s="105" t="n">
        <v>45838</v>
      </c>
      <c r="G2885" t="inlineStr">
        <is>
          <t>535-2025-06-30</t>
        </is>
      </c>
      <c r="H2885" t="inlineStr">
        <is>
          <t>Participación docentes invitados en eventos académicos virtuales en Poli</t>
        </is>
      </c>
      <c r="I2885" t="n">
        <v>100</v>
      </c>
      <c r="J2885" t="n">
        <v>151.25</v>
      </c>
      <c r="FB2885" t="n">
        <v>80</v>
      </c>
      <c r="FC2885" t="n">
        <v>121</v>
      </c>
    </row>
    <row r="2886">
      <c r="A2886" t="n">
        <v>535</v>
      </c>
      <c r="B2886" t="inlineStr">
        <is>
          <t>Participación de profesores externos invitados a actividades de cooperación nacional e internacional</t>
        </is>
      </c>
      <c r="C2886" t="inlineStr">
        <is>
          <t>VISIBILIDAD NACIONAL E INTERNACIONAL</t>
        </is>
      </c>
      <c r="D2886" t="inlineStr">
        <is>
          <t>Trimestral</t>
        </is>
      </c>
      <c r="E2886" t="inlineStr">
        <is>
          <t>Positivo</t>
        </is>
      </c>
      <c r="F2886" s="105" t="n">
        <v>45838</v>
      </c>
      <c r="G2886" t="inlineStr">
        <is>
          <t>535-2025-06-30</t>
        </is>
      </c>
      <c r="H2886" t="inlineStr">
        <is>
          <t>Movilidad Física Entrantes Profesores</t>
        </is>
      </c>
      <c r="I2886" t="n">
        <v>100</v>
      </c>
      <c r="J2886" t="n">
        <v>111.4300003051758</v>
      </c>
      <c r="FB2886" t="n">
        <v>70</v>
      </c>
      <c r="FC2886" t="n">
        <v>78</v>
      </c>
    </row>
    <row r="2887">
      <c r="A2887" t="n">
        <v>536</v>
      </c>
      <c r="B2887" t="inlineStr">
        <is>
          <t>Participación de profesores POLI en actividades de cooperación nacional e internacional</t>
        </is>
      </c>
      <c r="C2887" t="inlineStr">
        <is>
          <t>VISIBILIDAD NACIONAL E INTERNACIONAL</t>
        </is>
      </c>
      <c r="D2887" t="inlineStr">
        <is>
          <t>Trimestral</t>
        </is>
      </c>
      <c r="E2887" t="inlineStr">
        <is>
          <t>Positivo</t>
        </is>
      </c>
      <c r="F2887" s="105" t="n">
        <v>45838</v>
      </c>
      <c r="G2887" t="inlineStr">
        <is>
          <t>536-2025-06-30</t>
        </is>
      </c>
      <c r="H2887" t="inlineStr">
        <is>
          <t>Movilidad Física Profesores Salientes</t>
        </is>
      </c>
      <c r="I2887" t="n">
        <v>100</v>
      </c>
      <c r="J2887" t="n">
        <v>111.4300003051758</v>
      </c>
      <c r="FD2887" t="n">
        <v>70</v>
      </c>
      <c r="FE2887" t="n">
        <v>78</v>
      </c>
    </row>
    <row r="2888">
      <c r="A2888" t="n">
        <v>536</v>
      </c>
      <c r="B2888" t="inlineStr">
        <is>
          <t>Participación de profesores POLI en actividades de cooperación nacional e internacional</t>
        </is>
      </c>
      <c r="C2888" t="inlineStr">
        <is>
          <t>VISIBILIDAD NACIONAL E INTERNACIONAL</t>
        </is>
      </c>
      <c r="D2888" t="inlineStr">
        <is>
          <t>Trimestral</t>
        </is>
      </c>
      <c r="E2888" t="inlineStr">
        <is>
          <t>Positivo</t>
        </is>
      </c>
      <c r="F2888" s="105" t="n">
        <v>45838</v>
      </c>
      <c r="G2888" t="inlineStr">
        <is>
          <t>536-2025-06-30</t>
        </is>
      </c>
      <c r="H2888" t="inlineStr">
        <is>
          <t>Participación docentes Poli en eventos académicos nacionales e internacionales virtuales</t>
        </is>
      </c>
      <c r="I2888" t="n">
        <v>100</v>
      </c>
      <c r="J2888" t="n">
        <v>107.5</v>
      </c>
      <c r="FD2888" t="n">
        <v>80</v>
      </c>
      <c r="FE2888" t="n">
        <v>86</v>
      </c>
    </row>
    <row r="2889">
      <c r="A2889" t="n">
        <v>543</v>
      </c>
      <c r="B2889" t="inlineStr">
        <is>
          <t>Tasa de interacción por usuario</t>
        </is>
      </c>
      <c r="C2889" t="inlineStr">
        <is>
          <t>Editorial y Publicaciones</t>
        </is>
      </c>
      <c r="D2889" t="inlineStr">
        <is>
          <t>Trimestral</t>
        </is>
      </c>
      <c r="E2889" t="inlineStr">
        <is>
          <t>Positivo</t>
        </is>
      </c>
      <c r="F2889" s="105" t="n">
        <v>45838</v>
      </c>
      <c r="G2889" t="inlineStr">
        <is>
          <t>543-2025-06-30</t>
        </is>
      </c>
      <c r="H2889" t="inlineStr">
        <is>
          <t>Catálogo Editorial (Libros)</t>
        </is>
      </c>
      <c r="J2889" t="n">
        <v>7.400000095367432</v>
      </c>
      <c r="FF2889" t="n">
        <v>37000</v>
      </c>
      <c r="FG2889" t="n">
        <v>5000</v>
      </c>
    </row>
    <row r="2890">
      <c r="A2890" t="n">
        <v>543</v>
      </c>
      <c r="B2890" t="inlineStr">
        <is>
          <t>Tasa de interacción por usuario</t>
        </is>
      </c>
      <c r="C2890" t="inlineStr">
        <is>
          <t>Editorial y Publicaciones</t>
        </is>
      </c>
      <c r="D2890" t="inlineStr">
        <is>
          <t>Trimestral</t>
        </is>
      </c>
      <c r="E2890" t="inlineStr">
        <is>
          <t>Positivo</t>
        </is>
      </c>
      <c r="F2890" s="105" t="n">
        <v>45838</v>
      </c>
      <c r="G2890" t="inlineStr">
        <is>
          <t>543-2025-06-30</t>
        </is>
      </c>
      <c r="H2890" t="inlineStr">
        <is>
          <t>MI-Books (Libros interactivos)</t>
        </is>
      </c>
      <c r="J2890" t="n">
        <v>6.849999904632568</v>
      </c>
      <c r="FF2890" t="n">
        <v>8900</v>
      </c>
      <c r="FG2890" t="n">
        <v>1300</v>
      </c>
    </row>
    <row r="2891">
      <c r="A2891" t="n">
        <v>544</v>
      </c>
      <c r="B2891" t="inlineStr">
        <is>
          <t>Producción de ambientes inmersivos LEI</t>
        </is>
      </c>
      <c r="C2891" t="inlineStr">
        <is>
          <t>LEI</t>
        </is>
      </c>
      <c r="D2891" t="inlineStr">
        <is>
          <t>Trimestral</t>
        </is>
      </c>
      <c r="E2891" t="inlineStr">
        <is>
          <t>Positivo</t>
        </is>
      </c>
      <c r="F2891" s="105" t="n">
        <v>45838</v>
      </c>
      <c r="G2891" t="inlineStr">
        <is>
          <t>544-2025-06-30</t>
        </is>
      </c>
      <c r="H2891" t="inlineStr">
        <is>
          <t>Diseño pedagógico</t>
        </is>
      </c>
      <c r="I2891" t="n">
        <v>100</v>
      </c>
      <c r="J2891" t="n">
        <v>200</v>
      </c>
      <c r="FH2891" t="n">
        <v>1</v>
      </c>
      <c r="FI2891" t="n">
        <v>2</v>
      </c>
    </row>
    <row r="2892">
      <c r="A2892" t="n">
        <v>544</v>
      </c>
      <c r="B2892" t="inlineStr">
        <is>
          <t>Producción de ambientes inmersivos LEI</t>
        </is>
      </c>
      <c r="C2892" t="inlineStr">
        <is>
          <t>LEI</t>
        </is>
      </c>
      <c r="D2892" t="inlineStr">
        <is>
          <t>Trimestral</t>
        </is>
      </c>
      <c r="E2892" t="inlineStr">
        <is>
          <t>Positivo</t>
        </is>
      </c>
      <c r="F2892" s="105" t="n">
        <v>45838</v>
      </c>
      <c r="G2892" t="inlineStr">
        <is>
          <t>544-2025-06-30</t>
        </is>
      </c>
      <c r="H2892" t="inlineStr">
        <is>
          <t>Desarrollo</t>
        </is>
      </c>
      <c r="I2892" t="n">
        <v>100</v>
      </c>
      <c r="J2892" t="n">
        <v>400</v>
      </c>
      <c r="FH2892" t="n">
        <v>1</v>
      </c>
      <c r="FI2892" t="n">
        <v>4</v>
      </c>
    </row>
    <row r="2893">
      <c r="A2893" t="n">
        <v>544</v>
      </c>
      <c r="B2893" t="inlineStr">
        <is>
          <t>Producción de ambientes inmersivos LEI</t>
        </is>
      </c>
      <c r="C2893" t="inlineStr">
        <is>
          <t>LEI</t>
        </is>
      </c>
      <c r="D2893" t="inlineStr">
        <is>
          <t>Trimestral</t>
        </is>
      </c>
      <c r="E2893" t="inlineStr">
        <is>
          <t>Positivo</t>
        </is>
      </c>
      <c r="F2893" s="105" t="n">
        <v>45838</v>
      </c>
      <c r="G2893" t="inlineStr">
        <is>
          <t>544-2025-06-30</t>
        </is>
      </c>
      <c r="H2893" t="inlineStr">
        <is>
          <t>Pruebas</t>
        </is>
      </c>
      <c r="I2893" t="n">
        <v>100</v>
      </c>
      <c r="J2893" t="n">
        <v>100</v>
      </c>
      <c r="FH2893" t="n">
        <v>1</v>
      </c>
      <c r="FI2893" t="n">
        <v>1</v>
      </c>
    </row>
    <row r="2894">
      <c r="A2894" t="n">
        <v>544</v>
      </c>
      <c r="B2894" t="inlineStr">
        <is>
          <t>Producción de ambientes inmersivos LEI</t>
        </is>
      </c>
      <c r="C2894" t="inlineStr">
        <is>
          <t>LEI</t>
        </is>
      </c>
      <c r="D2894" t="inlineStr">
        <is>
          <t>Trimestral</t>
        </is>
      </c>
      <c r="E2894" t="inlineStr">
        <is>
          <t>Positivo</t>
        </is>
      </c>
      <c r="F2894" s="105" t="n">
        <v>45838</v>
      </c>
      <c r="G2894" t="inlineStr">
        <is>
          <t>544-2025-06-30</t>
        </is>
      </c>
      <c r="H2894" t="inlineStr">
        <is>
          <t>Implementación</t>
        </is>
      </c>
      <c r="I2894" t="n">
        <v>100</v>
      </c>
      <c r="J2894" t="n">
        <v>300</v>
      </c>
      <c r="FH2894" t="n">
        <v>1</v>
      </c>
      <c r="FI2894" t="n">
        <v>3</v>
      </c>
    </row>
    <row r="2895">
      <c r="A2895" t="n">
        <v>213</v>
      </c>
      <c r="B2895" t="inlineStr">
        <is>
          <t>Cumplimiento del Plan Anual del Sistema de Gestión Ambiental</t>
        </is>
      </c>
      <c r="C2895" t="inlineStr">
        <is>
          <t>GESTIÓN AMBIENTAL</t>
        </is>
      </c>
      <c r="D2895" t="inlineStr">
        <is>
          <t>Semestral</t>
        </is>
      </c>
      <c r="E2895" t="inlineStr">
        <is>
          <t>Positivo</t>
        </is>
      </c>
      <c r="F2895" s="105" t="n">
        <v>45838</v>
      </c>
      <c r="G2895" t="inlineStr">
        <is>
          <t>213-2025-06-30</t>
        </is>
      </c>
      <c r="H2895" t="inlineStr">
        <is>
          <t>Plan de Gestión Integral de Residuos</t>
        </is>
      </c>
      <c r="I2895" t="n">
        <v>90</v>
      </c>
      <c r="J2895" t="n">
        <v>94.55000305175781</v>
      </c>
      <c r="AW2895" t="n">
        <v>55</v>
      </c>
      <c r="AX2895" t="n">
        <v>52</v>
      </c>
    </row>
    <row r="2896">
      <c r="A2896" t="n">
        <v>213</v>
      </c>
      <c r="B2896" t="inlineStr">
        <is>
          <t>Cumplimiento del Plan Anual del Sistema de Gestión Ambiental</t>
        </is>
      </c>
      <c r="C2896" t="inlineStr">
        <is>
          <t>GESTIÓN AMBIENTAL</t>
        </is>
      </c>
      <c r="D2896" t="inlineStr">
        <is>
          <t>Semestral</t>
        </is>
      </c>
      <c r="E2896" t="inlineStr">
        <is>
          <t>Positivo</t>
        </is>
      </c>
      <c r="F2896" s="105" t="n">
        <v>45838</v>
      </c>
      <c r="G2896" t="inlineStr">
        <is>
          <t>213-2025-06-30</t>
        </is>
      </c>
      <c r="H2896" t="inlineStr">
        <is>
          <t>Programa de Gestión del Ahorro y Uso Eficiente de la Energía</t>
        </is>
      </c>
      <c r="I2896" t="n">
        <v>90</v>
      </c>
      <c r="J2896" t="n">
        <v>100</v>
      </c>
      <c r="AW2896" t="n">
        <v>6</v>
      </c>
      <c r="AX2896" t="n">
        <v>6</v>
      </c>
    </row>
    <row r="2897">
      <c r="A2897" t="n">
        <v>213</v>
      </c>
      <c r="B2897" t="inlineStr">
        <is>
          <t>Cumplimiento del Plan Anual del Sistema de Gestión Ambiental</t>
        </is>
      </c>
      <c r="C2897" t="inlineStr">
        <is>
          <t>GESTIÓN AMBIENTAL</t>
        </is>
      </c>
      <c r="D2897" t="inlineStr">
        <is>
          <t>Semestral</t>
        </is>
      </c>
      <c r="E2897" t="inlineStr">
        <is>
          <t>Positivo</t>
        </is>
      </c>
      <c r="F2897" s="105" t="n">
        <v>45838</v>
      </c>
      <c r="G2897" t="inlineStr">
        <is>
          <t>213-2025-06-30</t>
        </is>
      </c>
      <c r="H2897" t="inlineStr">
        <is>
          <t>Programa de Gestión de la Calidad, Ahorro y Uso Eficiente del Agua</t>
        </is>
      </c>
      <c r="I2897" t="n">
        <v>90</v>
      </c>
      <c r="J2897" t="n">
        <v>100</v>
      </c>
      <c r="AW2897" t="n">
        <v>25</v>
      </c>
      <c r="AX2897" t="n">
        <v>25</v>
      </c>
    </row>
    <row r="2898">
      <c r="A2898" t="n">
        <v>213</v>
      </c>
      <c r="B2898" t="inlineStr">
        <is>
          <t>Cumplimiento del Plan Anual del Sistema de Gestión Ambiental</t>
        </is>
      </c>
      <c r="C2898" t="inlineStr">
        <is>
          <t>GESTIÓN AMBIENTAL</t>
        </is>
      </c>
      <c r="D2898" t="inlineStr">
        <is>
          <t>Semestral</t>
        </is>
      </c>
      <c r="E2898" t="inlineStr">
        <is>
          <t>Positivo</t>
        </is>
      </c>
      <c r="F2898" s="105" t="n">
        <v>45838</v>
      </c>
      <c r="G2898" t="inlineStr">
        <is>
          <t>213-2025-06-30</t>
        </is>
      </c>
      <c r="H2898" t="inlineStr">
        <is>
          <t>Programa de Gestión del la Calidad del Aire,  Ruido Ambiental y Publicidad Exterior Visual</t>
        </is>
      </c>
      <c r="I2898" t="n">
        <v>90</v>
      </c>
      <c r="J2898" t="n">
        <v>100</v>
      </c>
      <c r="AW2898" t="n">
        <v>3</v>
      </c>
      <c r="AX2898" t="n">
        <v>3</v>
      </c>
    </row>
    <row r="2899">
      <c r="A2899" t="n">
        <v>213</v>
      </c>
      <c r="B2899" t="inlineStr">
        <is>
          <t>Cumplimiento del Plan Anual del Sistema de Gestión Ambiental</t>
        </is>
      </c>
      <c r="C2899" t="inlineStr">
        <is>
          <t>GESTIÓN AMBIENTAL</t>
        </is>
      </c>
      <c r="D2899" t="inlineStr">
        <is>
          <t>Semestral</t>
        </is>
      </c>
      <c r="E2899" t="inlineStr">
        <is>
          <t>Positivo</t>
        </is>
      </c>
      <c r="F2899" s="105" t="n">
        <v>45838</v>
      </c>
      <c r="G2899" t="inlineStr">
        <is>
          <t>213-2025-06-30</t>
        </is>
      </c>
      <c r="H2899" t="inlineStr">
        <is>
          <t>Programa de Gestión de Áreas Naturales</t>
        </is>
      </c>
      <c r="I2899" t="n">
        <v>90</v>
      </c>
      <c r="J2899" t="n">
        <v>100</v>
      </c>
      <c r="AW2899" t="n">
        <v>10</v>
      </c>
      <c r="AX2899" t="n">
        <v>10</v>
      </c>
    </row>
    <row r="2900">
      <c r="A2900" t="n">
        <v>213</v>
      </c>
      <c r="B2900" t="inlineStr">
        <is>
          <t>Cumplimiento del Plan Anual del Sistema de Gestión Ambiental</t>
        </is>
      </c>
      <c r="C2900" t="inlineStr">
        <is>
          <t>GESTIÓN AMBIENTAL</t>
        </is>
      </c>
      <c r="D2900" t="inlineStr">
        <is>
          <t>Semestral</t>
        </is>
      </c>
      <c r="E2900" t="inlineStr">
        <is>
          <t>Positivo</t>
        </is>
      </c>
      <c r="F2900" s="105" t="n">
        <v>45838</v>
      </c>
      <c r="G2900" t="inlineStr">
        <is>
          <t>213-2025-06-30</t>
        </is>
      </c>
      <c r="H2900" t="inlineStr">
        <is>
          <t>Programa de Gestión de la Medición y Compensación de Gases de Efecto Invernadero</t>
        </is>
      </c>
      <c r="I2900" t="n">
        <v>90</v>
      </c>
      <c r="J2900" t="n">
        <v>0</v>
      </c>
      <c r="AW2900" t="n">
        <v>0</v>
      </c>
      <c r="AX2900" t="n">
        <v>0</v>
      </c>
    </row>
    <row r="2901">
      <c r="A2901" t="n">
        <v>213</v>
      </c>
      <c r="B2901" t="inlineStr">
        <is>
          <t>Cumplimiento del Plan Anual del Sistema de Gestión Ambiental</t>
        </is>
      </c>
      <c r="C2901" t="inlineStr">
        <is>
          <t>GESTIÓN AMBIENTAL</t>
        </is>
      </c>
      <c r="D2901" t="inlineStr">
        <is>
          <t>Semestral</t>
        </is>
      </c>
      <c r="E2901" t="inlineStr">
        <is>
          <t>Positivo</t>
        </is>
      </c>
      <c r="F2901" s="105" t="n">
        <v>45838</v>
      </c>
      <c r="G2901" t="inlineStr">
        <is>
          <t>213-2025-06-30</t>
        </is>
      </c>
      <c r="H2901" t="inlineStr">
        <is>
          <t>Programa Gestión de la Educación y Comunicación Ambiental</t>
        </is>
      </c>
      <c r="I2901" t="n">
        <v>90</v>
      </c>
      <c r="J2901" t="n">
        <v>78.94999694824219</v>
      </c>
      <c r="AW2901" t="n">
        <v>19</v>
      </c>
      <c r="AX2901" t="n">
        <v>15</v>
      </c>
    </row>
    <row r="2902">
      <c r="A2902" t="n">
        <v>213</v>
      </c>
      <c r="B2902" t="inlineStr">
        <is>
          <t>Cumplimiento del Plan Anual del Sistema de Gestión Ambiental</t>
        </is>
      </c>
      <c r="C2902" t="inlineStr">
        <is>
          <t>GESTIÓN AMBIENTAL</t>
        </is>
      </c>
      <c r="D2902" t="inlineStr">
        <is>
          <t>Semestral</t>
        </is>
      </c>
      <c r="E2902" t="inlineStr">
        <is>
          <t>Positivo</t>
        </is>
      </c>
      <c r="F2902" s="105" t="n">
        <v>45838</v>
      </c>
      <c r="G2902" t="inlineStr">
        <is>
          <t>213-2025-06-30</t>
        </is>
      </c>
      <c r="H2902" t="inlineStr">
        <is>
          <t>Actividades de Gestión</t>
        </is>
      </c>
      <c r="I2902" t="n">
        <v>90</v>
      </c>
      <c r="J2902" t="n">
        <v>88.88999938964844</v>
      </c>
      <c r="AW2902" t="n">
        <v>18</v>
      </c>
      <c r="AX2902" t="n">
        <v>16</v>
      </c>
    </row>
    <row r="2903">
      <c r="A2903" t="n">
        <v>238</v>
      </c>
      <c r="B2903" t="inlineStr">
        <is>
          <t>Cumplimiento de la Protección del Medio Ambiente</t>
        </is>
      </c>
      <c r="C2903" t="inlineStr">
        <is>
          <t>GESTIÓN AMBIENTAL</t>
        </is>
      </c>
      <c r="D2903" t="inlineStr">
        <is>
          <t>Semestral</t>
        </is>
      </c>
      <c r="E2903" t="inlineStr">
        <is>
          <t>Positivo</t>
        </is>
      </c>
      <c r="F2903" s="105" t="n">
        <v>45838</v>
      </c>
      <c r="G2903" t="inlineStr">
        <is>
          <t>238-2025-06-30</t>
        </is>
      </c>
      <c r="H2903" t="inlineStr">
        <is>
          <t>Cumplimiento del Plan Anual del SGA</t>
        </is>
      </c>
      <c r="I2903" t="n">
        <v>90</v>
      </c>
      <c r="J2903" t="n">
        <v>90.62999725341797</v>
      </c>
      <c r="AY2903" t="n">
        <v>29</v>
      </c>
      <c r="AZ2903" t="n">
        <v>32</v>
      </c>
    </row>
    <row r="2904">
      <c r="A2904" t="n">
        <v>238</v>
      </c>
      <c r="B2904" t="inlineStr">
        <is>
          <t>Cumplimiento de la Protección del Medio Ambiente</t>
        </is>
      </c>
      <c r="C2904" t="inlineStr">
        <is>
          <t>GESTIÓN AMBIENTAL</t>
        </is>
      </c>
      <c r="D2904" t="inlineStr">
        <is>
          <t>Semestral</t>
        </is>
      </c>
      <c r="E2904" t="inlineStr">
        <is>
          <t>Positivo</t>
        </is>
      </c>
      <c r="F2904" s="105" t="n">
        <v>45838</v>
      </c>
      <c r="G2904" t="inlineStr">
        <is>
          <t>238-2025-06-30</t>
        </is>
      </c>
      <c r="H2904" t="inlineStr">
        <is>
          <t>Cumplimiento Gestión Integral de Residuos</t>
        </is>
      </c>
      <c r="I2904" t="n">
        <v>90</v>
      </c>
      <c r="J2904" t="n">
        <v>92.30999755859375</v>
      </c>
      <c r="AY2904" t="n">
        <v>12</v>
      </c>
      <c r="AZ2904" t="n">
        <v>13</v>
      </c>
    </row>
    <row r="2905">
      <c r="A2905" t="n">
        <v>238</v>
      </c>
      <c r="B2905" t="inlineStr">
        <is>
          <t>Cumplimiento de la Protección del Medio Ambiente</t>
        </is>
      </c>
      <c r="C2905" t="inlineStr">
        <is>
          <t>GESTIÓN AMBIENTAL</t>
        </is>
      </c>
      <c r="D2905" t="inlineStr">
        <is>
          <t>Semestral</t>
        </is>
      </c>
      <c r="E2905" t="inlineStr">
        <is>
          <t>Positivo</t>
        </is>
      </c>
      <c r="F2905" s="105" t="n">
        <v>45838</v>
      </c>
      <c r="G2905" t="inlineStr">
        <is>
          <t>238-2025-06-30</t>
        </is>
      </c>
      <c r="H2905" t="inlineStr">
        <is>
          <t>Cumplimiento Gestión del Ahorro y Uso Eficiente de Energía</t>
        </is>
      </c>
      <c r="I2905" t="n">
        <v>90</v>
      </c>
      <c r="J2905" t="n">
        <v>100</v>
      </c>
      <c r="AY2905" t="n">
        <v>5</v>
      </c>
      <c r="AZ2905" t="n">
        <v>5</v>
      </c>
    </row>
    <row r="2906">
      <c r="A2906" t="n">
        <v>238</v>
      </c>
      <c r="B2906" t="inlineStr">
        <is>
          <t>Cumplimiento de la Protección del Medio Ambiente</t>
        </is>
      </c>
      <c r="C2906" t="inlineStr">
        <is>
          <t>GESTIÓN AMBIENTAL</t>
        </is>
      </c>
      <c r="D2906" t="inlineStr">
        <is>
          <t>Semestral</t>
        </is>
      </c>
      <c r="E2906" t="inlineStr">
        <is>
          <t>Positivo</t>
        </is>
      </c>
      <c r="F2906" s="105" t="n">
        <v>45838</v>
      </c>
      <c r="G2906" t="inlineStr">
        <is>
          <t>238-2025-06-30</t>
        </is>
      </c>
      <c r="H2906" t="inlineStr">
        <is>
          <t>Cumplimiento Gestión de la Calidad, Ahorro y Uso Eficiente del Agua</t>
        </is>
      </c>
      <c r="I2906" t="n">
        <v>90</v>
      </c>
      <c r="J2906" t="n">
        <v>100</v>
      </c>
      <c r="AY2906" t="n">
        <v>5</v>
      </c>
      <c r="AZ2906" t="n">
        <v>5</v>
      </c>
    </row>
    <row r="2907">
      <c r="A2907" t="n">
        <v>238</v>
      </c>
      <c r="B2907" t="inlineStr">
        <is>
          <t>Cumplimiento de la Protección del Medio Ambiente</t>
        </is>
      </c>
      <c r="C2907" t="inlineStr">
        <is>
          <t>GESTIÓN AMBIENTAL</t>
        </is>
      </c>
      <c r="D2907" t="inlineStr">
        <is>
          <t>Semestral</t>
        </is>
      </c>
      <c r="E2907" t="inlineStr">
        <is>
          <t>Positivo</t>
        </is>
      </c>
      <c r="F2907" s="105" t="n">
        <v>45838</v>
      </c>
      <c r="G2907" t="inlineStr">
        <is>
          <t>238-2025-06-30</t>
        </is>
      </c>
      <c r="H2907" t="inlineStr">
        <is>
          <t>Cumplimiento Gestión del la Calidad del Aire,  Ruido Ambiental y Publicidad Exterior Visual</t>
        </is>
      </c>
      <c r="I2907" t="n">
        <v>90</v>
      </c>
      <c r="J2907" t="n">
        <v>0</v>
      </c>
      <c r="AY2907" t="n">
        <v>0</v>
      </c>
      <c r="AZ2907" t="n">
        <v>0</v>
      </c>
    </row>
    <row r="2908">
      <c r="A2908" t="n">
        <v>238</v>
      </c>
      <c r="B2908" t="inlineStr">
        <is>
          <t>Cumplimiento de la Protección del Medio Ambiente</t>
        </is>
      </c>
      <c r="C2908" t="inlineStr">
        <is>
          <t>GESTIÓN AMBIENTAL</t>
        </is>
      </c>
      <c r="D2908" t="inlineStr">
        <is>
          <t>Semestral</t>
        </is>
      </c>
      <c r="E2908" t="inlineStr">
        <is>
          <t>Positivo</t>
        </is>
      </c>
      <c r="F2908" s="105" t="n">
        <v>45838</v>
      </c>
      <c r="G2908" t="inlineStr">
        <is>
          <t>238-2025-06-30</t>
        </is>
      </c>
      <c r="H2908" t="inlineStr">
        <is>
          <t>Cumplimiento Gestión de Áreas Naturales</t>
        </is>
      </c>
      <c r="I2908" t="n">
        <v>90</v>
      </c>
      <c r="J2908" t="n">
        <v>100</v>
      </c>
      <c r="AY2908" t="n">
        <v>3</v>
      </c>
      <c r="AZ2908" t="n">
        <v>3</v>
      </c>
    </row>
    <row r="2909">
      <c r="A2909" t="n">
        <v>238</v>
      </c>
      <c r="B2909" t="inlineStr">
        <is>
          <t>Cumplimiento de la Protección del Medio Ambiente</t>
        </is>
      </c>
      <c r="C2909" t="inlineStr">
        <is>
          <t>GESTIÓN AMBIENTAL</t>
        </is>
      </c>
      <c r="D2909" t="inlineStr">
        <is>
          <t>Semestral</t>
        </is>
      </c>
      <c r="E2909" t="inlineStr">
        <is>
          <t>Positivo</t>
        </is>
      </c>
      <c r="F2909" s="105" t="n">
        <v>45838</v>
      </c>
      <c r="G2909" t="inlineStr">
        <is>
          <t>238-2025-06-30</t>
        </is>
      </c>
      <c r="H2909" t="inlineStr">
        <is>
          <t>Cumplimiento Gestión de la Medición y Compensación de GEI</t>
        </is>
      </c>
      <c r="I2909" t="n">
        <v>90</v>
      </c>
      <c r="J2909" t="n">
        <v>0</v>
      </c>
      <c r="AY2909" t="n">
        <v>0</v>
      </c>
      <c r="AZ2909" t="n">
        <v>0</v>
      </c>
    </row>
    <row r="2910">
      <c r="A2910" t="n">
        <v>238</v>
      </c>
      <c r="B2910" t="inlineStr">
        <is>
          <t>Cumplimiento de la Protección del Medio Ambiente</t>
        </is>
      </c>
      <c r="C2910" t="inlineStr">
        <is>
          <t>GESTIÓN AMBIENTAL</t>
        </is>
      </c>
      <c r="D2910" t="inlineStr">
        <is>
          <t>Semestral</t>
        </is>
      </c>
      <c r="E2910" t="inlineStr">
        <is>
          <t>Positivo</t>
        </is>
      </c>
      <c r="F2910" s="105" t="n">
        <v>45838</v>
      </c>
      <c r="G2910" t="inlineStr">
        <is>
          <t>238-2025-06-30</t>
        </is>
      </c>
      <c r="H2910" t="inlineStr">
        <is>
          <t>Cumplimiento Gestión de la Educación y Comunicación Ambiental</t>
        </is>
      </c>
      <c r="I2910" t="n">
        <v>90</v>
      </c>
      <c r="J2910" t="n">
        <v>60</v>
      </c>
      <c r="AY2910" t="n">
        <v>3</v>
      </c>
      <c r="AZ2910" t="n">
        <v>5</v>
      </c>
    </row>
    <row r="2911">
      <c r="A2911" t="n">
        <v>306</v>
      </c>
      <c r="B2911" t="inlineStr">
        <is>
          <t>Seguimiento KPI Plan de Desarrollo Institucional</t>
        </is>
      </c>
      <c r="C2911" t="inlineStr">
        <is>
          <t>Desempeño Institucional</t>
        </is>
      </c>
      <c r="D2911" t="inlineStr">
        <is>
          <t>Semestral</t>
        </is>
      </c>
      <c r="E2911" t="inlineStr">
        <is>
          <t>Positivo</t>
        </is>
      </c>
      <c r="F2911" s="105" t="n">
        <v>45838</v>
      </c>
      <c r="G2911" t="inlineStr">
        <is>
          <t>306-2025-06-30</t>
        </is>
      </c>
      <c r="H2911" t="inlineStr">
        <is>
          <t>Calidad</t>
        </is>
      </c>
      <c r="I2911" t="n">
        <v>100</v>
      </c>
      <c r="J2911" t="n">
        <v>104</v>
      </c>
      <c r="BY2911" t="n">
        <v>104</v>
      </c>
    </row>
    <row r="2912">
      <c r="A2912" t="n">
        <v>306</v>
      </c>
      <c r="B2912" t="inlineStr">
        <is>
          <t>Seguimiento KPI Plan de Desarrollo Institucional</t>
        </is>
      </c>
      <c r="C2912" t="inlineStr">
        <is>
          <t>Desempeño Institucional</t>
        </is>
      </c>
      <c r="D2912" t="inlineStr">
        <is>
          <t>Semestral</t>
        </is>
      </c>
      <c r="E2912" t="inlineStr">
        <is>
          <t>Positivo</t>
        </is>
      </c>
      <c r="F2912" s="105" t="n">
        <v>45838</v>
      </c>
      <c r="G2912" t="inlineStr">
        <is>
          <t>306-2025-06-30</t>
        </is>
      </c>
      <c r="H2912" t="inlineStr">
        <is>
          <t>Educación para toda la vida</t>
        </is>
      </c>
      <c r="I2912" t="n">
        <v>100</v>
      </c>
      <c r="J2912" t="n">
        <v>127</v>
      </c>
      <c r="BY2912" t="n">
        <v>127</v>
      </c>
    </row>
    <row r="2913">
      <c r="A2913" t="n">
        <v>306</v>
      </c>
      <c r="B2913" t="inlineStr">
        <is>
          <t>Seguimiento KPI Plan de Desarrollo Institucional</t>
        </is>
      </c>
      <c r="C2913" t="inlineStr">
        <is>
          <t>Desempeño Institucional</t>
        </is>
      </c>
      <c r="D2913" t="inlineStr">
        <is>
          <t>Semestral</t>
        </is>
      </c>
      <c r="E2913" t="inlineStr">
        <is>
          <t>Positivo</t>
        </is>
      </c>
      <c r="F2913" s="105" t="n">
        <v>45838</v>
      </c>
      <c r="G2913" t="inlineStr">
        <is>
          <t>306-2025-06-30</t>
        </is>
      </c>
      <c r="H2913" t="inlineStr">
        <is>
          <t>Trasformación Organizacional</t>
        </is>
      </c>
      <c r="I2913" t="n">
        <v>100</v>
      </c>
      <c r="J2913" t="n">
        <v>102</v>
      </c>
      <c r="BY2913" t="n">
        <v>102</v>
      </c>
    </row>
    <row r="2914">
      <c r="A2914" t="n">
        <v>306</v>
      </c>
      <c r="B2914" t="inlineStr">
        <is>
          <t>Seguimiento KPI Plan de Desarrollo Institucional</t>
        </is>
      </c>
      <c r="C2914" t="inlineStr">
        <is>
          <t>Desempeño Institucional</t>
        </is>
      </c>
      <c r="D2914" t="inlineStr">
        <is>
          <t>Semestral</t>
        </is>
      </c>
      <c r="E2914" t="inlineStr">
        <is>
          <t>Positivo</t>
        </is>
      </c>
      <c r="F2914" s="105" t="n">
        <v>45838</v>
      </c>
      <c r="G2914" t="inlineStr">
        <is>
          <t>306-2025-06-30</t>
        </is>
      </c>
      <c r="H2914" t="inlineStr">
        <is>
          <t>Experiencia</t>
        </is>
      </c>
      <c r="I2914" t="n">
        <v>100</v>
      </c>
      <c r="J2914" t="n">
        <v>106</v>
      </c>
      <c r="BY2914" t="n">
        <v>106</v>
      </c>
    </row>
    <row r="2915">
      <c r="A2915" t="n">
        <v>306</v>
      </c>
      <c r="B2915" t="inlineStr">
        <is>
          <t>Seguimiento KPI Plan de Desarrollo Institucional</t>
        </is>
      </c>
      <c r="C2915" t="inlineStr">
        <is>
          <t>Desempeño Institucional</t>
        </is>
      </c>
      <c r="D2915" t="inlineStr">
        <is>
          <t>Semestral</t>
        </is>
      </c>
      <c r="E2915" t="inlineStr">
        <is>
          <t>Positivo</t>
        </is>
      </c>
      <c r="F2915" s="105" t="n">
        <v>45838</v>
      </c>
      <c r="G2915" t="inlineStr">
        <is>
          <t>306-2025-06-30</t>
        </is>
      </c>
      <c r="H2915" t="inlineStr">
        <is>
          <t>Sostenibilidad</t>
        </is>
      </c>
      <c r="I2915" t="n">
        <v>100</v>
      </c>
      <c r="J2915" t="n">
        <v>108</v>
      </c>
      <c r="BY2915" t="n">
        <v>108</v>
      </c>
    </row>
    <row r="2916">
      <c r="A2916" t="n">
        <v>306</v>
      </c>
      <c r="B2916" t="inlineStr">
        <is>
          <t>Seguimiento KPI Plan de Desarrollo Institucional</t>
        </is>
      </c>
      <c r="C2916" t="inlineStr">
        <is>
          <t>Desempeño Institucional</t>
        </is>
      </c>
      <c r="D2916" t="inlineStr">
        <is>
          <t>Semestral</t>
        </is>
      </c>
      <c r="E2916" t="inlineStr">
        <is>
          <t>Positivo</t>
        </is>
      </c>
      <c r="F2916" s="105" t="n">
        <v>45838</v>
      </c>
      <c r="G2916" t="inlineStr">
        <is>
          <t>306-2025-06-30</t>
        </is>
      </c>
      <c r="H2916" t="inlineStr">
        <is>
          <t>Expansión</t>
        </is>
      </c>
      <c r="I2916" t="n">
        <v>100</v>
      </c>
      <c r="J2916" t="n">
        <v>105</v>
      </c>
      <c r="BY2916" t="n">
        <v>105</v>
      </c>
    </row>
    <row r="2917">
      <c r="A2917" t="n">
        <v>373</v>
      </c>
      <c r="B2917" t="inlineStr">
        <is>
          <t>Cumplimiento de planes anuales por líneas</t>
        </is>
      </c>
      <c r="C2917" t="inlineStr">
        <is>
          <t>Planeación Estratégica</t>
        </is>
      </c>
      <c r="D2917" t="inlineStr">
        <is>
          <t>Semestral</t>
        </is>
      </c>
      <c r="E2917" t="inlineStr">
        <is>
          <t>Positivo</t>
        </is>
      </c>
      <c r="F2917" s="105" t="n">
        <v>45838</v>
      </c>
      <c r="G2917" t="inlineStr">
        <is>
          <t>373-2025-06-30</t>
        </is>
      </c>
      <c r="H2917" t="inlineStr">
        <is>
          <t>Expansión</t>
        </is>
      </c>
      <c r="I2917" t="n">
        <v>100</v>
      </c>
      <c r="J2917" t="n">
        <v>96.55000305175781</v>
      </c>
      <c r="BZ2917" t="n">
        <v>56</v>
      </c>
      <c r="CA2917" t="n">
        <v>58</v>
      </c>
    </row>
    <row r="2918">
      <c r="A2918" t="n">
        <v>373</v>
      </c>
      <c r="B2918" t="inlineStr">
        <is>
          <t>Cumplimiento de planes anuales por líneas</t>
        </is>
      </c>
      <c r="C2918" t="inlineStr">
        <is>
          <t>Planeación Estratégica</t>
        </is>
      </c>
      <c r="D2918" t="inlineStr">
        <is>
          <t>Semestral</t>
        </is>
      </c>
      <c r="E2918" t="inlineStr">
        <is>
          <t>Positivo</t>
        </is>
      </c>
      <c r="F2918" s="105" t="n">
        <v>45838</v>
      </c>
      <c r="G2918" t="inlineStr">
        <is>
          <t>373-2025-06-30</t>
        </is>
      </c>
      <c r="H2918" t="inlineStr">
        <is>
          <t>Educación para toda la vida</t>
        </is>
      </c>
      <c r="I2918" t="n">
        <v>100</v>
      </c>
      <c r="J2918" t="n">
        <v>101.6900024414062</v>
      </c>
      <c r="BZ2918" t="n">
        <v>60</v>
      </c>
      <c r="CA2918" t="n">
        <v>59</v>
      </c>
    </row>
    <row r="2919">
      <c r="A2919" t="n">
        <v>373</v>
      </c>
      <c r="B2919" t="inlineStr">
        <is>
          <t>Cumplimiento de planes anuales por líneas</t>
        </is>
      </c>
      <c r="C2919" t="inlineStr">
        <is>
          <t>Planeación Estratégica</t>
        </is>
      </c>
      <c r="D2919" t="inlineStr">
        <is>
          <t>Semestral</t>
        </is>
      </c>
      <c r="E2919" t="inlineStr">
        <is>
          <t>Positivo</t>
        </is>
      </c>
      <c r="F2919" s="105" t="n">
        <v>45838</v>
      </c>
      <c r="G2919" t="inlineStr">
        <is>
          <t>373-2025-06-30</t>
        </is>
      </c>
      <c r="H2919" t="inlineStr">
        <is>
          <t>Trasformación Organizacional</t>
        </is>
      </c>
      <c r="I2919" t="n">
        <v>100</v>
      </c>
      <c r="J2919" t="n">
        <v>100</v>
      </c>
      <c r="BZ2919" t="n">
        <v>57</v>
      </c>
      <c r="CA2919" t="n">
        <v>57</v>
      </c>
    </row>
    <row r="2920">
      <c r="A2920" t="n">
        <v>373</v>
      </c>
      <c r="B2920" t="inlineStr">
        <is>
          <t>Cumplimiento de planes anuales por líneas</t>
        </is>
      </c>
      <c r="C2920" t="inlineStr">
        <is>
          <t>Planeación Estratégica</t>
        </is>
      </c>
      <c r="D2920" t="inlineStr">
        <is>
          <t>Semestral</t>
        </is>
      </c>
      <c r="E2920" t="inlineStr">
        <is>
          <t>Positivo</t>
        </is>
      </c>
      <c r="F2920" s="105" t="n">
        <v>45838</v>
      </c>
      <c r="G2920" t="inlineStr">
        <is>
          <t>373-2025-06-30</t>
        </is>
      </c>
      <c r="H2920" t="inlineStr">
        <is>
          <t>Experiencia</t>
        </is>
      </c>
      <c r="I2920" t="n">
        <v>100</v>
      </c>
      <c r="J2920" t="n">
        <v>100</v>
      </c>
      <c r="BZ2920" t="n">
        <v>65</v>
      </c>
      <c r="CA2920" t="n">
        <v>65</v>
      </c>
    </row>
    <row r="2921">
      <c r="A2921" t="n">
        <v>373</v>
      </c>
      <c r="B2921" t="inlineStr">
        <is>
          <t>Cumplimiento de planes anuales por líneas</t>
        </is>
      </c>
      <c r="C2921" t="inlineStr">
        <is>
          <t>Planeación Estratégica</t>
        </is>
      </c>
      <c r="D2921" t="inlineStr">
        <is>
          <t>Semestral</t>
        </is>
      </c>
      <c r="E2921" t="inlineStr">
        <is>
          <t>Positivo</t>
        </is>
      </c>
      <c r="F2921" s="105" t="n">
        <v>45838</v>
      </c>
      <c r="G2921" t="inlineStr">
        <is>
          <t>373-2025-06-30</t>
        </is>
      </c>
      <c r="H2921" t="inlineStr">
        <is>
          <t>Sostenibilidad</t>
        </is>
      </c>
      <c r="I2921" t="n">
        <v>100</v>
      </c>
      <c r="J2921" t="n">
        <v>101.7200012207031</v>
      </c>
      <c r="BZ2921" t="n">
        <v>59</v>
      </c>
      <c r="CA2921" t="n">
        <v>58</v>
      </c>
    </row>
    <row r="2922">
      <c r="A2922" t="n">
        <v>373</v>
      </c>
      <c r="B2922" t="inlineStr">
        <is>
          <t>Cumplimiento de planes anuales por líneas</t>
        </is>
      </c>
      <c r="C2922" t="inlineStr">
        <is>
          <t>Planeación Estratégica</t>
        </is>
      </c>
      <c r="D2922" t="inlineStr">
        <is>
          <t>Semestral</t>
        </is>
      </c>
      <c r="E2922" t="inlineStr">
        <is>
          <t>Positivo</t>
        </is>
      </c>
      <c r="F2922" s="105" t="n">
        <v>45838</v>
      </c>
      <c r="G2922" t="inlineStr">
        <is>
          <t>373-2025-06-30</t>
        </is>
      </c>
      <c r="H2922" t="inlineStr">
        <is>
          <t>Calidad</t>
        </is>
      </c>
      <c r="I2922" t="n">
        <v>100</v>
      </c>
      <c r="J2922" t="n">
        <v>110.5299987792969</v>
      </c>
      <c r="BZ2922" t="n">
        <v>63</v>
      </c>
      <c r="CA2922" t="n">
        <v>57</v>
      </c>
    </row>
    <row r="2923">
      <c r="A2923" t="n">
        <v>390</v>
      </c>
      <c r="B2923" t="inlineStr">
        <is>
          <t>Cumplimiento Plan Anual por escuela</t>
        </is>
      </c>
      <c r="C2923" t="inlineStr">
        <is>
          <t>Planeación Estratégica</t>
        </is>
      </c>
      <c r="D2923" t="inlineStr">
        <is>
          <t>Semestral</t>
        </is>
      </c>
      <c r="E2923" t="inlineStr">
        <is>
          <t>Positivo</t>
        </is>
      </c>
      <c r="F2923" s="105" t="n">
        <v>45838</v>
      </c>
      <c r="G2923" t="inlineStr">
        <is>
          <t>390-2025-06-30</t>
        </is>
      </c>
      <c r="H2923" t="inlineStr">
        <is>
          <t>ESCUELA DE CIENCIAS BÁSICAS</t>
        </is>
      </c>
      <c r="I2923" t="n">
        <v>100</v>
      </c>
      <c r="J2923" t="n">
        <v>95.65000152587891</v>
      </c>
      <c r="CB2923" t="n">
        <v>44</v>
      </c>
      <c r="CC2923" t="n">
        <v>46</v>
      </c>
    </row>
    <row r="2924">
      <c r="A2924" t="n">
        <v>390</v>
      </c>
      <c r="B2924" t="inlineStr">
        <is>
          <t>Cumplimiento Plan Anual por escuela</t>
        </is>
      </c>
      <c r="C2924" t="inlineStr">
        <is>
          <t>Planeación Estratégica</t>
        </is>
      </c>
      <c r="D2924" t="inlineStr">
        <is>
          <t>Semestral</t>
        </is>
      </c>
      <c r="E2924" t="inlineStr">
        <is>
          <t>Positivo</t>
        </is>
      </c>
      <c r="F2924" s="105" t="n">
        <v>45838</v>
      </c>
      <c r="G2924" t="inlineStr">
        <is>
          <t>390-2025-06-30</t>
        </is>
      </c>
      <c r="H2924" t="inlineStr">
        <is>
          <t>ESCUELA DE  DISEÑO</t>
        </is>
      </c>
      <c r="I2924" t="n">
        <v>100</v>
      </c>
      <c r="J2924" t="n">
        <v>92.16000366210938</v>
      </c>
      <c r="CB2924" t="n">
        <v>47</v>
      </c>
      <c r="CC2924" t="n">
        <v>51</v>
      </c>
    </row>
    <row r="2925">
      <c r="A2925" t="n">
        <v>390</v>
      </c>
      <c r="B2925" t="inlineStr">
        <is>
          <t>Cumplimiento Plan Anual por escuela</t>
        </is>
      </c>
      <c r="C2925" t="inlineStr">
        <is>
          <t>Planeación Estratégica</t>
        </is>
      </c>
      <c r="D2925" t="inlineStr">
        <is>
          <t>Semestral</t>
        </is>
      </c>
      <c r="E2925" t="inlineStr">
        <is>
          <t>Positivo</t>
        </is>
      </c>
      <c r="F2925" s="105" t="n">
        <v>45838</v>
      </c>
      <c r="G2925" t="inlineStr">
        <is>
          <t>390-2025-06-30</t>
        </is>
      </c>
      <c r="H2925" t="inlineStr">
        <is>
          <t>ESCUELA DE OPTIMIZACIÓN, INFRA Y AUTO</t>
        </is>
      </c>
      <c r="I2925" t="n">
        <v>100</v>
      </c>
      <c r="J2925" t="n">
        <v>102</v>
      </c>
      <c r="CB2925" t="n">
        <v>51</v>
      </c>
      <c r="CC2925" t="n">
        <v>50</v>
      </c>
    </row>
    <row r="2926">
      <c r="A2926" t="n">
        <v>390</v>
      </c>
      <c r="B2926" t="inlineStr">
        <is>
          <t>Cumplimiento Plan Anual por escuela</t>
        </is>
      </c>
      <c r="C2926" t="inlineStr">
        <is>
          <t>Planeación Estratégica</t>
        </is>
      </c>
      <c r="D2926" t="inlineStr">
        <is>
          <t>Semestral</t>
        </is>
      </c>
      <c r="E2926" t="inlineStr">
        <is>
          <t>Positivo</t>
        </is>
      </c>
      <c r="F2926" s="105" t="n">
        <v>45838</v>
      </c>
      <c r="G2926" t="inlineStr">
        <is>
          <t>390-2025-06-30</t>
        </is>
      </c>
      <c r="H2926" t="inlineStr">
        <is>
          <t>ESCUELA TIC</t>
        </is>
      </c>
      <c r="I2926" t="n">
        <v>100</v>
      </c>
      <c r="J2926" t="n">
        <v>95.65000152587891</v>
      </c>
      <c r="CB2926" t="n">
        <v>44</v>
      </c>
      <c r="CC2926" t="n">
        <v>46</v>
      </c>
    </row>
    <row r="2927">
      <c r="A2927" t="n">
        <v>390</v>
      </c>
      <c r="B2927" t="inlineStr">
        <is>
          <t>Cumplimiento Plan Anual por escuela</t>
        </is>
      </c>
      <c r="C2927" t="inlineStr">
        <is>
          <t>Planeación Estratégica</t>
        </is>
      </c>
      <c r="D2927" t="inlineStr">
        <is>
          <t>Semestral</t>
        </is>
      </c>
      <c r="E2927" t="inlineStr">
        <is>
          <t>Positivo</t>
        </is>
      </c>
      <c r="F2927" s="105" t="n">
        <v>45838</v>
      </c>
      <c r="G2927" t="inlineStr">
        <is>
          <t>390-2025-06-30</t>
        </is>
      </c>
      <c r="H2927" t="inlineStr">
        <is>
          <t>ESCUELA DE ADMINISTRACIÓN Y COMPETITIVIDAD</t>
        </is>
      </c>
      <c r="I2927" t="n">
        <v>100</v>
      </c>
      <c r="J2927" t="n">
        <v>128.5700073242188</v>
      </c>
      <c r="CB2927" t="n">
        <v>63</v>
      </c>
      <c r="CC2927" t="n">
        <v>49</v>
      </c>
    </row>
    <row r="2928">
      <c r="A2928" t="n">
        <v>390</v>
      </c>
      <c r="B2928" t="inlineStr">
        <is>
          <t>Cumplimiento Plan Anual por escuela</t>
        </is>
      </c>
      <c r="C2928" t="inlineStr">
        <is>
          <t>Planeación Estratégica</t>
        </is>
      </c>
      <c r="D2928" t="inlineStr">
        <is>
          <t>Semestral</t>
        </is>
      </c>
      <c r="E2928" t="inlineStr">
        <is>
          <t>Positivo</t>
        </is>
      </c>
      <c r="F2928" s="105" t="n">
        <v>45838</v>
      </c>
      <c r="G2928" t="inlineStr">
        <is>
          <t>390-2025-06-30</t>
        </is>
      </c>
      <c r="H2928" t="inlineStr">
        <is>
          <t>ESCUELA DE CONTABILIDAD INTERNACIONAL</t>
        </is>
      </c>
      <c r="I2928" t="n">
        <v>100</v>
      </c>
      <c r="J2928" t="n">
        <v>113.3300018310547</v>
      </c>
      <c r="CB2928" t="n">
        <v>68</v>
      </c>
      <c r="CC2928" t="n">
        <v>60</v>
      </c>
    </row>
    <row r="2929">
      <c r="A2929" t="n">
        <v>390</v>
      </c>
      <c r="B2929" t="inlineStr">
        <is>
          <t>Cumplimiento Plan Anual por escuela</t>
        </is>
      </c>
      <c r="C2929" t="inlineStr">
        <is>
          <t>Planeación Estratégica</t>
        </is>
      </c>
      <c r="D2929" t="inlineStr">
        <is>
          <t>Semestral</t>
        </is>
      </c>
      <c r="E2929" t="inlineStr">
        <is>
          <t>Positivo</t>
        </is>
      </c>
      <c r="F2929" s="105" t="n">
        <v>45838</v>
      </c>
      <c r="G2929" t="inlineStr">
        <is>
          <t>390-2025-06-30</t>
        </is>
      </c>
      <c r="H2929" t="inlineStr">
        <is>
          <t>ESCUELA DE NEGOCIOS Y DESARROLLO INTERNACIONAL</t>
        </is>
      </c>
      <c r="I2929" t="n">
        <v>100</v>
      </c>
      <c r="J2929" t="n">
        <v>134.5500030517578</v>
      </c>
      <c r="CB2929" t="n">
        <v>74</v>
      </c>
      <c r="CC2929" t="n">
        <v>55</v>
      </c>
    </row>
    <row r="2930">
      <c r="A2930" t="n">
        <v>390</v>
      </c>
      <c r="B2930" t="inlineStr">
        <is>
          <t>Cumplimiento Plan Anual por escuela</t>
        </is>
      </c>
      <c r="C2930" t="inlineStr">
        <is>
          <t>Planeación Estratégica</t>
        </is>
      </c>
      <c r="D2930" t="inlineStr">
        <is>
          <t>Semestral</t>
        </is>
      </c>
      <c r="E2930" t="inlineStr">
        <is>
          <t>Positivo</t>
        </is>
      </c>
      <c r="F2930" s="105" t="n">
        <v>45838</v>
      </c>
      <c r="G2930" t="inlineStr">
        <is>
          <t>390-2025-06-30</t>
        </is>
      </c>
      <c r="H2930" t="inlineStr">
        <is>
          <t>ESCUELA DE COMUNICACIÓN ARTES VISUALES Y DIGITALES</t>
        </is>
      </c>
      <c r="I2930" t="n">
        <v>100</v>
      </c>
      <c r="J2930" t="n">
        <v>92.58999633789062</v>
      </c>
      <c r="CB2930" t="n">
        <v>50</v>
      </c>
      <c r="CC2930" t="n">
        <v>54</v>
      </c>
    </row>
    <row r="2931">
      <c r="A2931" t="n">
        <v>390</v>
      </c>
      <c r="B2931" t="inlineStr">
        <is>
          <t>Cumplimiento Plan Anual por escuela</t>
        </is>
      </c>
      <c r="C2931" t="inlineStr">
        <is>
          <t>Planeación Estratégica</t>
        </is>
      </c>
      <c r="D2931" t="inlineStr">
        <is>
          <t>Semestral</t>
        </is>
      </c>
      <c r="E2931" t="inlineStr">
        <is>
          <t>Positivo</t>
        </is>
      </c>
      <c r="F2931" s="105" t="n">
        <v>45838</v>
      </c>
      <c r="G2931" t="inlineStr">
        <is>
          <t>390-2025-06-30</t>
        </is>
      </c>
      <c r="H2931" t="inlineStr">
        <is>
          <t>ESCUELA DE EDUCACIÓN E INNOVACIÓN</t>
        </is>
      </c>
      <c r="I2931" t="n">
        <v>100</v>
      </c>
      <c r="J2931" t="n">
        <v>96.30000305175781</v>
      </c>
      <c r="CB2931" t="n">
        <v>52</v>
      </c>
      <c r="CC2931" t="n">
        <v>54</v>
      </c>
    </row>
    <row r="2932">
      <c r="A2932" t="n">
        <v>390</v>
      </c>
      <c r="B2932" t="inlineStr">
        <is>
          <t>Cumplimiento Plan Anual por escuela</t>
        </is>
      </c>
      <c r="C2932" t="inlineStr">
        <is>
          <t>Planeación Estratégica</t>
        </is>
      </c>
      <c r="D2932" t="inlineStr">
        <is>
          <t>Semestral</t>
        </is>
      </c>
      <c r="E2932" t="inlineStr">
        <is>
          <t>Positivo</t>
        </is>
      </c>
      <c r="F2932" s="105" t="n">
        <v>45838</v>
      </c>
      <c r="G2932" t="inlineStr">
        <is>
          <t>390-2025-06-30</t>
        </is>
      </c>
      <c r="H2932" t="inlineStr">
        <is>
          <t>ESCUELA DE DERECHO Y GOBIERNO</t>
        </is>
      </c>
      <c r="I2932" t="n">
        <v>100</v>
      </c>
      <c r="J2932" t="n">
        <v>107.4100036621094</v>
      </c>
      <c r="CB2932" t="n">
        <v>58</v>
      </c>
      <c r="CC2932" t="n">
        <v>54</v>
      </c>
    </row>
    <row r="2933">
      <c r="A2933" t="n">
        <v>390</v>
      </c>
      <c r="B2933" t="inlineStr">
        <is>
          <t>Cumplimiento Plan Anual por escuela</t>
        </is>
      </c>
      <c r="C2933" t="inlineStr">
        <is>
          <t>Planeación Estratégica</t>
        </is>
      </c>
      <c r="D2933" t="inlineStr">
        <is>
          <t>Semestral</t>
        </is>
      </c>
      <c r="E2933" t="inlineStr">
        <is>
          <t>Positivo</t>
        </is>
      </c>
      <c r="F2933" s="105" t="n">
        <v>45838</v>
      </c>
      <c r="G2933" t="inlineStr">
        <is>
          <t>390-2025-06-30</t>
        </is>
      </c>
      <c r="H2933" t="inlineStr">
        <is>
          <t>ESCUELA DE MARKETING Y BRANDING</t>
        </is>
      </c>
      <c r="I2933" t="n">
        <v>100</v>
      </c>
      <c r="J2933" t="n">
        <v>92.58999633789062</v>
      </c>
      <c r="CB2933" t="n">
        <v>50</v>
      </c>
      <c r="CC2933" t="n">
        <v>54</v>
      </c>
    </row>
    <row r="2934">
      <c r="A2934" t="n">
        <v>390</v>
      </c>
      <c r="B2934" t="inlineStr">
        <is>
          <t>Cumplimiento Plan Anual por escuela</t>
        </is>
      </c>
      <c r="C2934" t="inlineStr">
        <is>
          <t>Planeación Estratégica</t>
        </is>
      </c>
      <c r="D2934" t="inlineStr">
        <is>
          <t>Semestral</t>
        </is>
      </c>
      <c r="E2934" t="inlineStr">
        <is>
          <t>Positivo</t>
        </is>
      </c>
      <c r="F2934" s="105" t="n">
        <v>45838</v>
      </c>
      <c r="G2934" t="inlineStr">
        <is>
          <t>390-2025-06-30</t>
        </is>
      </c>
      <c r="H2934" t="inlineStr">
        <is>
          <t>ESCUELA DE PSIC, TALENTO HUM Y SOC</t>
        </is>
      </c>
      <c r="I2934" t="n">
        <v>100</v>
      </c>
      <c r="J2934" t="n">
        <v>91.80000305175781</v>
      </c>
      <c r="CB2934" t="n">
        <v>49.5</v>
      </c>
      <c r="CC2934" t="n">
        <v>53.92</v>
      </c>
    </row>
    <row r="2935">
      <c r="A2935" t="n">
        <v>414</v>
      </c>
      <c r="B2935" t="inlineStr">
        <is>
          <t>Cumplimiento Plan Anual Rectoría</t>
        </is>
      </c>
      <c r="C2935" t="inlineStr">
        <is>
          <t>Planeación Estratégica</t>
        </is>
      </c>
      <c r="D2935" t="inlineStr">
        <is>
          <t>Semestral</t>
        </is>
      </c>
      <c r="E2935" t="inlineStr">
        <is>
          <t>Positivo</t>
        </is>
      </c>
      <c r="F2935" s="105" t="n">
        <v>45838</v>
      </c>
      <c r="G2935" t="inlineStr">
        <is>
          <t>414-2025-06-30</t>
        </is>
      </c>
      <c r="H2935" t="inlineStr">
        <is>
          <t>Vicerrectoría de crecimiento</t>
        </is>
      </c>
      <c r="I2935" t="n">
        <v>100</v>
      </c>
      <c r="J2935" t="n">
        <v>78.83000183105469</v>
      </c>
      <c r="CD2935" t="n">
        <v>68.3</v>
      </c>
      <c r="CE2935" t="n">
        <v>86.64</v>
      </c>
    </row>
    <row r="2936">
      <c r="A2936" t="n">
        <v>414</v>
      </c>
      <c r="B2936" t="inlineStr">
        <is>
          <t>Cumplimiento Plan Anual Rectoría</t>
        </is>
      </c>
      <c r="C2936" t="inlineStr">
        <is>
          <t>Planeación Estratégica</t>
        </is>
      </c>
      <c r="D2936" t="inlineStr">
        <is>
          <t>Semestral</t>
        </is>
      </c>
      <c r="E2936" t="inlineStr">
        <is>
          <t>Positivo</t>
        </is>
      </c>
      <c r="F2936" s="105" t="n">
        <v>45838</v>
      </c>
      <c r="G2936" t="inlineStr">
        <is>
          <t>414-2025-06-30</t>
        </is>
      </c>
      <c r="H2936" t="inlineStr">
        <is>
          <t>Vicerrectoría del estudiante</t>
        </is>
      </c>
      <c r="I2936" t="n">
        <v>100</v>
      </c>
      <c r="J2936" t="n">
        <v>83.12999725341797</v>
      </c>
      <c r="CD2936" t="n">
        <v>69</v>
      </c>
      <c r="CE2936" t="n">
        <v>83</v>
      </c>
    </row>
    <row r="2937">
      <c r="A2937" t="n">
        <v>414</v>
      </c>
      <c r="B2937" t="inlineStr">
        <is>
          <t>Cumplimiento Plan Anual Rectoría</t>
        </is>
      </c>
      <c r="C2937" t="inlineStr">
        <is>
          <t>Planeación Estratégica</t>
        </is>
      </c>
      <c r="D2937" t="inlineStr">
        <is>
          <t>Semestral</t>
        </is>
      </c>
      <c r="E2937" t="inlineStr">
        <is>
          <t>Positivo</t>
        </is>
      </c>
      <c r="F2937" s="105" t="n">
        <v>45838</v>
      </c>
      <c r="G2937" t="inlineStr">
        <is>
          <t>414-2025-06-30</t>
        </is>
      </c>
      <c r="H2937" t="inlineStr">
        <is>
          <t>Vicerrectoría financiera</t>
        </is>
      </c>
      <c r="I2937" t="n">
        <v>100</v>
      </c>
      <c r="J2937" t="n">
        <v>87.66999816894531</v>
      </c>
      <c r="CD2937" t="n">
        <v>64</v>
      </c>
      <c r="CE2937" t="n">
        <v>73</v>
      </c>
    </row>
    <row r="2938">
      <c r="A2938" t="n">
        <v>414</v>
      </c>
      <c r="B2938" t="inlineStr">
        <is>
          <t>Cumplimiento Plan Anual Rectoría</t>
        </is>
      </c>
      <c r="C2938" t="inlineStr">
        <is>
          <t>Planeación Estratégica</t>
        </is>
      </c>
      <c r="D2938" t="inlineStr">
        <is>
          <t>Semestral</t>
        </is>
      </c>
      <c r="E2938" t="inlineStr">
        <is>
          <t>Positivo</t>
        </is>
      </c>
      <c r="F2938" s="105" t="n">
        <v>45838</v>
      </c>
      <c r="G2938" t="inlineStr">
        <is>
          <t>414-2025-06-30</t>
        </is>
      </c>
      <c r="H2938" t="inlineStr">
        <is>
          <t>Vicerrectoría académica</t>
        </is>
      </c>
      <c r="I2938" t="n">
        <v>100</v>
      </c>
      <c r="J2938" t="n">
        <v>116.3600006103516</v>
      </c>
      <c r="CD2938" t="n">
        <v>64</v>
      </c>
      <c r="CE2938" t="n">
        <v>55</v>
      </c>
    </row>
    <row r="2939">
      <c r="A2939" t="n">
        <v>414</v>
      </c>
      <c r="B2939" t="inlineStr">
        <is>
          <t>Cumplimiento Plan Anual Rectoría</t>
        </is>
      </c>
      <c r="C2939" t="inlineStr">
        <is>
          <t>Planeación Estratégica</t>
        </is>
      </c>
      <c r="D2939" t="inlineStr">
        <is>
          <t>Semestral</t>
        </is>
      </c>
      <c r="E2939" t="inlineStr">
        <is>
          <t>Positivo</t>
        </is>
      </c>
      <c r="F2939" s="105" t="n">
        <v>45838</v>
      </c>
      <c r="G2939" t="inlineStr">
        <is>
          <t>414-2025-06-30</t>
        </is>
      </c>
      <c r="H2939" t="inlineStr">
        <is>
          <t>Gerencia de estrategia</t>
        </is>
      </c>
      <c r="I2939" t="n">
        <v>100</v>
      </c>
      <c r="J2939" t="n">
        <v>110.870002746582</v>
      </c>
      <c r="CD2939" t="n">
        <v>51</v>
      </c>
      <c r="CE2939" t="n">
        <v>46</v>
      </c>
    </row>
    <row r="2940">
      <c r="A2940" t="n">
        <v>414</v>
      </c>
      <c r="B2940" t="inlineStr">
        <is>
          <t>Cumplimiento Plan Anual Rectoría</t>
        </is>
      </c>
      <c r="C2940" t="inlineStr">
        <is>
          <t>Planeación Estratégica</t>
        </is>
      </c>
      <c r="D2940" t="inlineStr">
        <is>
          <t>Semestral</t>
        </is>
      </c>
      <c r="E2940" t="inlineStr">
        <is>
          <t>Positivo</t>
        </is>
      </c>
      <c r="F2940" s="105" t="n">
        <v>45838</v>
      </c>
      <c r="G2940" t="inlineStr">
        <is>
          <t>414-2025-06-30</t>
        </is>
      </c>
      <c r="H2940" t="inlineStr">
        <is>
          <t>Gerencia de  talento humano y desarrollo</t>
        </is>
      </c>
      <c r="I2940" t="n">
        <v>100</v>
      </c>
      <c r="J2940" t="n">
        <v>100</v>
      </c>
      <c r="CD2940" t="n">
        <v>31</v>
      </c>
      <c r="CE2940" t="n">
        <v>31</v>
      </c>
    </row>
    <row r="2941">
      <c r="A2941" t="n">
        <v>414</v>
      </c>
      <c r="B2941" t="inlineStr">
        <is>
          <t>Cumplimiento Plan Anual Rectoría</t>
        </is>
      </c>
      <c r="C2941" t="inlineStr">
        <is>
          <t>Planeación Estratégica</t>
        </is>
      </c>
      <c r="D2941" t="inlineStr">
        <is>
          <t>Semestral</t>
        </is>
      </c>
      <c r="E2941" t="inlineStr">
        <is>
          <t>Positivo</t>
        </is>
      </c>
      <c r="F2941" s="105" t="n">
        <v>45838</v>
      </c>
      <c r="G2941" t="inlineStr">
        <is>
          <t>414-2025-06-30</t>
        </is>
      </c>
      <c r="H2941" t="inlineStr">
        <is>
          <t>Gerencia sede Medellín</t>
        </is>
      </c>
      <c r="I2941" t="n">
        <v>100</v>
      </c>
      <c r="J2941" t="n">
        <v>68.12000274658203</v>
      </c>
      <c r="CD2941" t="n">
        <v>47</v>
      </c>
      <c r="CE2941" t="n">
        <v>69</v>
      </c>
    </row>
    <row r="2942">
      <c r="A2942" t="n">
        <v>414</v>
      </c>
      <c r="B2942" t="inlineStr">
        <is>
          <t>Cumplimiento Plan Anual Rectoría</t>
        </is>
      </c>
      <c r="C2942" t="inlineStr">
        <is>
          <t>Planeación Estratégica</t>
        </is>
      </c>
      <c r="D2942" t="inlineStr">
        <is>
          <t>Semestral</t>
        </is>
      </c>
      <c r="E2942" t="inlineStr">
        <is>
          <t>Positivo</t>
        </is>
      </c>
      <c r="F2942" s="105" t="n">
        <v>45838</v>
      </c>
      <c r="G2942" t="inlineStr">
        <is>
          <t>414-2025-06-30</t>
        </is>
      </c>
      <c r="H2942" t="inlineStr">
        <is>
          <t>Gerencia de educación virtual</t>
        </is>
      </c>
      <c r="I2942" t="n">
        <v>100</v>
      </c>
      <c r="J2942" t="n">
        <v>229.1699981689453</v>
      </c>
      <c r="CD2942" t="n">
        <v>55</v>
      </c>
      <c r="CE2942" t="n">
        <v>24</v>
      </c>
    </row>
    <row r="2943">
      <c r="A2943" t="n">
        <v>414</v>
      </c>
      <c r="B2943" t="inlineStr">
        <is>
          <t>Cumplimiento Plan Anual Rectoría</t>
        </is>
      </c>
      <c r="C2943" t="inlineStr">
        <is>
          <t>Planeación Estratégica</t>
        </is>
      </c>
      <c r="D2943" t="inlineStr">
        <is>
          <t>Semestral</t>
        </is>
      </c>
      <c r="E2943" t="inlineStr">
        <is>
          <t>Positivo</t>
        </is>
      </c>
      <c r="F2943" s="105" t="n">
        <v>45838</v>
      </c>
      <c r="G2943" t="inlineStr">
        <is>
          <t>414-2025-06-30</t>
        </is>
      </c>
      <c r="H2943" t="inlineStr">
        <is>
          <t>Secretaria general</t>
        </is>
      </c>
      <c r="I2943" t="n">
        <v>100</v>
      </c>
      <c r="J2943" t="n">
        <v>102.8000030517578</v>
      </c>
      <c r="CD2943" t="n">
        <v>71.437</v>
      </c>
      <c r="CE2943" t="n">
        <v>69.48999999999999</v>
      </c>
    </row>
    <row r="2944">
      <c r="A2944" t="n">
        <v>415</v>
      </c>
      <c r="B2944" t="inlineStr">
        <is>
          <t>Cumplimiento Plan Anual Vicerrectoría del estudiante</t>
        </is>
      </c>
      <c r="C2944" t="inlineStr">
        <is>
          <t>Planeación Estratégica</t>
        </is>
      </c>
      <c r="D2944" t="inlineStr">
        <is>
          <t>Semestral</t>
        </is>
      </c>
      <c r="E2944" t="inlineStr">
        <is>
          <t>Positivo</t>
        </is>
      </c>
      <c r="F2944" s="105" t="n">
        <v>45838</v>
      </c>
      <c r="G2944" t="inlineStr">
        <is>
          <t>415-2025-06-30</t>
        </is>
      </c>
      <c r="H2944" t="inlineStr">
        <is>
          <t>Gerencia de operaciones</t>
        </is>
      </c>
      <c r="I2944" t="n">
        <v>100</v>
      </c>
      <c r="J2944" t="n">
        <v>98.41000366210938</v>
      </c>
      <c r="CF2944" t="n">
        <v>62</v>
      </c>
      <c r="CG2944" t="n">
        <v>63</v>
      </c>
    </row>
    <row r="2945">
      <c r="A2945" t="n">
        <v>415</v>
      </c>
      <c r="B2945" t="inlineStr">
        <is>
          <t>Cumplimiento Plan Anual Vicerrectoría del estudiante</t>
        </is>
      </c>
      <c r="C2945" t="inlineStr">
        <is>
          <t>Planeación Estratégica</t>
        </is>
      </c>
      <c r="D2945" t="inlineStr">
        <is>
          <t>Semestral</t>
        </is>
      </c>
      <c r="E2945" t="inlineStr">
        <is>
          <t>Positivo</t>
        </is>
      </c>
      <c r="F2945" s="105" t="n">
        <v>45838</v>
      </c>
      <c r="G2945" t="inlineStr">
        <is>
          <t>415-2025-06-30</t>
        </is>
      </c>
      <c r="H2945" t="inlineStr">
        <is>
          <t>Gerencia de servicio y permanencia</t>
        </is>
      </c>
      <c r="I2945" t="n">
        <v>100</v>
      </c>
      <c r="J2945" t="n">
        <v>88.51000213623047</v>
      </c>
      <c r="CF2945" t="n">
        <v>77</v>
      </c>
      <c r="CG2945" t="n">
        <v>87</v>
      </c>
    </row>
    <row r="2946">
      <c r="A2946" t="n">
        <v>415</v>
      </c>
      <c r="B2946" t="inlineStr">
        <is>
          <t>Cumplimiento Plan Anual Vicerrectoría del estudiante</t>
        </is>
      </c>
      <c r="C2946" t="inlineStr">
        <is>
          <t>Planeación Estratégica</t>
        </is>
      </c>
      <c r="D2946" t="inlineStr">
        <is>
          <t>Semestral</t>
        </is>
      </c>
      <c r="E2946" t="inlineStr">
        <is>
          <t>Positivo</t>
        </is>
      </c>
      <c r="F2946" s="105" t="n">
        <v>45838</v>
      </c>
      <c r="G2946" t="inlineStr">
        <is>
          <t>415-2025-06-30</t>
        </is>
      </c>
      <c r="H2946" t="inlineStr">
        <is>
          <t>Gerencia de tecnología e innovación digital</t>
        </is>
      </c>
      <c r="I2946" t="n">
        <v>100</v>
      </c>
      <c r="J2946" t="n">
        <v>96.87999725341797</v>
      </c>
      <c r="CF2946" t="n">
        <v>62</v>
      </c>
      <c r="CG2946" t="n">
        <v>64</v>
      </c>
    </row>
    <row r="2947">
      <c r="A2947" t="n">
        <v>415</v>
      </c>
      <c r="B2947" t="inlineStr">
        <is>
          <t>Cumplimiento Plan Anual Vicerrectoría del estudiante</t>
        </is>
      </c>
      <c r="C2947" t="inlineStr">
        <is>
          <t>Planeación Estratégica</t>
        </is>
      </c>
      <c r="D2947" t="inlineStr">
        <is>
          <t>Semestral</t>
        </is>
      </c>
      <c r="E2947" t="inlineStr">
        <is>
          <t>Positivo</t>
        </is>
      </c>
      <c r="F2947" s="105" t="n">
        <v>45838</v>
      </c>
      <c r="G2947" t="inlineStr">
        <is>
          <t>415-2025-06-30</t>
        </is>
      </c>
      <c r="H2947" t="inlineStr">
        <is>
          <t>BI y analítica</t>
        </is>
      </c>
      <c r="I2947" t="n">
        <v>100</v>
      </c>
      <c r="J2947" t="n">
        <v>119.6100006103516</v>
      </c>
      <c r="CF2947" t="n">
        <v>61</v>
      </c>
      <c r="CG2947" t="n">
        <v>51</v>
      </c>
    </row>
    <row r="2948">
      <c r="A2948" t="n">
        <v>415</v>
      </c>
      <c r="B2948" t="inlineStr">
        <is>
          <t>Cumplimiento Plan Anual Vicerrectoría del estudiante</t>
        </is>
      </c>
      <c r="C2948" t="inlineStr">
        <is>
          <t>Planeación Estratégica</t>
        </is>
      </c>
      <c r="D2948" t="inlineStr">
        <is>
          <t>Semestral</t>
        </is>
      </c>
      <c r="E2948" t="inlineStr">
        <is>
          <t>Positivo</t>
        </is>
      </c>
      <c r="F2948" s="105" t="n">
        <v>45838</v>
      </c>
      <c r="G2948" t="inlineStr">
        <is>
          <t>415-2025-06-30</t>
        </is>
      </c>
      <c r="H2948" t="inlineStr">
        <is>
          <t>Dirección nacional de registro y control</t>
        </is>
      </c>
      <c r="I2948" t="n">
        <v>100</v>
      </c>
      <c r="J2948" t="n">
        <v>100</v>
      </c>
      <c r="CF2948" t="n">
        <v>67</v>
      </c>
      <c r="CG2948" t="n">
        <v>67</v>
      </c>
    </row>
    <row r="2949">
      <c r="A2949" t="n">
        <v>415</v>
      </c>
      <c r="B2949" t="inlineStr">
        <is>
          <t>Cumplimiento Plan Anual Vicerrectoría del estudiante</t>
        </is>
      </c>
      <c r="C2949" t="inlineStr">
        <is>
          <t>Planeación Estratégica</t>
        </is>
      </c>
      <c r="D2949" t="inlineStr">
        <is>
          <t>Semestral</t>
        </is>
      </c>
      <c r="E2949" t="inlineStr">
        <is>
          <t>Positivo</t>
        </is>
      </c>
      <c r="F2949" s="105" t="n">
        <v>45838</v>
      </c>
      <c r="G2949" t="inlineStr">
        <is>
          <t>415-2025-06-30</t>
        </is>
      </c>
      <c r="H2949" t="inlineStr">
        <is>
          <t>Dirección de Experiencia E Inclusion</t>
        </is>
      </c>
      <c r="I2949" t="n">
        <v>100</v>
      </c>
      <c r="J2949" t="n">
        <v>84.93000030517578</v>
      </c>
      <c r="CF2949" t="n">
        <v>62</v>
      </c>
      <c r="CG2949" t="n">
        <v>73</v>
      </c>
    </row>
    <row r="2950">
      <c r="A2950" t="n">
        <v>415</v>
      </c>
      <c r="B2950" t="inlineStr">
        <is>
          <t>Cumplimiento Plan Anual Vicerrectoría del estudiante</t>
        </is>
      </c>
      <c r="C2950" t="inlineStr">
        <is>
          <t>Planeación Estratégica</t>
        </is>
      </c>
      <c r="D2950" t="inlineStr">
        <is>
          <t>Semestral</t>
        </is>
      </c>
      <c r="E2950" t="inlineStr">
        <is>
          <t>Positivo</t>
        </is>
      </c>
      <c r="F2950" s="105" t="n">
        <v>45838</v>
      </c>
      <c r="G2950" t="inlineStr">
        <is>
          <t>415-2025-06-30</t>
        </is>
      </c>
      <c r="H2950" t="inlineStr">
        <is>
          <t>Direccion bienestar universitario y huella grancolombiana</t>
        </is>
      </c>
      <c r="I2950" t="n">
        <v>100</v>
      </c>
      <c r="J2950" t="n">
        <v>84.33999633789062</v>
      </c>
      <c r="CF2950" t="n">
        <v>70</v>
      </c>
      <c r="CG2950" t="n">
        <v>83</v>
      </c>
    </row>
    <row r="2951">
      <c r="A2951" t="n">
        <v>415</v>
      </c>
      <c r="B2951" t="inlineStr">
        <is>
          <t>Cumplimiento Plan Anual Vicerrectoría del estudiante</t>
        </is>
      </c>
      <c r="C2951" t="inlineStr">
        <is>
          <t>Planeación Estratégica</t>
        </is>
      </c>
      <c r="D2951" t="inlineStr">
        <is>
          <t>Semestral</t>
        </is>
      </c>
      <c r="E2951" t="inlineStr">
        <is>
          <t>Positivo</t>
        </is>
      </c>
      <c r="F2951" s="105" t="n">
        <v>45838</v>
      </c>
      <c r="G2951" t="inlineStr">
        <is>
          <t>415-2025-06-30</t>
        </is>
      </c>
      <c r="H2951" t="inlineStr">
        <is>
          <t>Director de gobierno digital</t>
        </is>
      </c>
      <c r="I2951" t="n">
        <v>100</v>
      </c>
      <c r="J2951" t="n">
        <v>103.129997253418</v>
      </c>
      <c r="CF2951" t="n">
        <v>66</v>
      </c>
      <c r="CG2951" t="n">
        <v>64</v>
      </c>
    </row>
    <row r="2952">
      <c r="A2952" t="n">
        <v>415</v>
      </c>
      <c r="B2952" t="inlineStr">
        <is>
          <t>Cumplimiento Plan Anual Vicerrectoría del estudiante</t>
        </is>
      </c>
      <c r="C2952" t="inlineStr">
        <is>
          <t>Planeación Estratégica</t>
        </is>
      </c>
      <c r="D2952" t="inlineStr">
        <is>
          <t>Semestral</t>
        </is>
      </c>
      <c r="E2952" t="inlineStr">
        <is>
          <t>Positivo</t>
        </is>
      </c>
      <c r="F2952" s="105" t="n">
        <v>45838</v>
      </c>
      <c r="G2952" t="inlineStr">
        <is>
          <t>415-2025-06-30</t>
        </is>
      </c>
      <c r="H2952" t="inlineStr">
        <is>
          <t>Gerente de innovación y producto</t>
        </is>
      </c>
      <c r="I2952" t="n">
        <v>100</v>
      </c>
      <c r="J2952" t="n">
        <v>0</v>
      </c>
      <c r="CF2952" t="n">
        <v>0</v>
      </c>
      <c r="CG2952" t="n">
        <v>0</v>
      </c>
    </row>
    <row r="2953">
      <c r="A2953" t="n">
        <v>415</v>
      </c>
      <c r="B2953" t="inlineStr">
        <is>
          <t>Cumplimiento Plan Anual Vicerrectoría del estudiante</t>
        </is>
      </c>
      <c r="C2953" t="inlineStr">
        <is>
          <t>Planeación Estratégica</t>
        </is>
      </c>
      <c r="D2953" t="inlineStr">
        <is>
          <t>Semestral</t>
        </is>
      </c>
      <c r="E2953" t="inlineStr">
        <is>
          <t>Positivo</t>
        </is>
      </c>
      <c r="F2953" s="105" t="n">
        <v>45838</v>
      </c>
      <c r="G2953" t="inlineStr">
        <is>
          <t>415-2025-06-30</t>
        </is>
      </c>
      <c r="H2953" t="inlineStr">
        <is>
          <t>Dirección de desarrollo e innovación</t>
        </is>
      </c>
      <c r="I2953" t="n">
        <v>100</v>
      </c>
      <c r="J2953" t="n">
        <v>97.01000213623047</v>
      </c>
      <c r="CF2953" t="n">
        <v>65</v>
      </c>
      <c r="CG2953" t="n">
        <v>67</v>
      </c>
    </row>
    <row r="2954">
      <c r="A2954" t="n">
        <v>415</v>
      </c>
      <c r="B2954" t="inlineStr">
        <is>
          <t>Cumplimiento Plan Anual Vicerrectoría del estudiante</t>
        </is>
      </c>
      <c r="C2954" t="inlineStr">
        <is>
          <t>Planeación Estratégica</t>
        </is>
      </c>
      <c r="D2954" t="inlineStr">
        <is>
          <t>Semestral</t>
        </is>
      </c>
      <c r="E2954" t="inlineStr">
        <is>
          <t>Positivo</t>
        </is>
      </c>
      <c r="F2954" s="105" t="n">
        <v>45838</v>
      </c>
      <c r="G2954" t="inlineStr">
        <is>
          <t>415-2025-06-30</t>
        </is>
      </c>
      <c r="H2954" t="inlineStr">
        <is>
          <t>Director de operaciones IT</t>
        </is>
      </c>
      <c r="I2954" t="n">
        <v>100</v>
      </c>
      <c r="J2954" t="n">
        <v>102.8199996948242</v>
      </c>
      <c r="CF2954" t="n">
        <v>73</v>
      </c>
      <c r="CG2954" t="n">
        <v>71</v>
      </c>
    </row>
    <row r="2955">
      <c r="A2955" t="n">
        <v>415</v>
      </c>
      <c r="B2955" t="inlineStr">
        <is>
          <t>Cumplimiento Plan Anual Vicerrectoría del estudiante</t>
        </is>
      </c>
      <c r="C2955" t="inlineStr">
        <is>
          <t>Planeación Estratégica</t>
        </is>
      </c>
      <c r="D2955" t="inlineStr">
        <is>
          <t>Semestral</t>
        </is>
      </c>
      <c r="E2955" t="inlineStr">
        <is>
          <t>Positivo</t>
        </is>
      </c>
      <c r="F2955" s="105" t="n">
        <v>45838</v>
      </c>
      <c r="G2955" t="inlineStr">
        <is>
          <t>415-2025-06-30</t>
        </is>
      </c>
      <c r="H2955" t="inlineStr">
        <is>
          <t>Director de operaciones integrales</t>
        </is>
      </c>
      <c r="I2955" t="n">
        <v>100</v>
      </c>
      <c r="J2955" t="n">
        <v>90.31999969482422</v>
      </c>
      <c r="CF2955" t="n">
        <v>56</v>
      </c>
      <c r="CG2955" t="n">
        <v>62</v>
      </c>
    </row>
    <row r="2956">
      <c r="A2956" t="n">
        <v>415</v>
      </c>
      <c r="B2956" t="inlineStr">
        <is>
          <t>Cumplimiento Plan Anual Vicerrectoría del estudiante</t>
        </is>
      </c>
      <c r="C2956" t="inlineStr">
        <is>
          <t>Planeación Estratégica</t>
        </is>
      </c>
      <c r="D2956" t="inlineStr">
        <is>
          <t>Semestral</t>
        </is>
      </c>
      <c r="E2956" t="inlineStr">
        <is>
          <t>Positivo</t>
        </is>
      </c>
      <c r="F2956" s="105" t="n">
        <v>45838</v>
      </c>
      <c r="G2956" t="inlineStr">
        <is>
          <t>415-2025-06-30</t>
        </is>
      </c>
      <c r="H2956" t="inlineStr">
        <is>
          <t>Director de permanencia</t>
        </is>
      </c>
      <c r="I2956" t="n">
        <v>100</v>
      </c>
      <c r="J2956" t="n">
        <v>87.76000213623047</v>
      </c>
      <c r="CF2956" t="n">
        <v>86</v>
      </c>
      <c r="CG2956" t="n">
        <v>98</v>
      </c>
    </row>
    <row r="2957">
      <c r="A2957" t="n">
        <v>415</v>
      </c>
      <c r="B2957" t="inlineStr">
        <is>
          <t>Cumplimiento Plan Anual Vicerrectoría del estudiante</t>
        </is>
      </c>
      <c r="C2957" t="inlineStr">
        <is>
          <t>Planeación Estratégica</t>
        </is>
      </c>
      <c r="D2957" t="inlineStr">
        <is>
          <t>Semestral</t>
        </is>
      </c>
      <c r="E2957" t="inlineStr">
        <is>
          <t>Positivo</t>
        </is>
      </c>
      <c r="F2957" s="105" t="n">
        <v>45838</v>
      </c>
      <c r="G2957" t="inlineStr">
        <is>
          <t>415-2025-06-30</t>
        </is>
      </c>
      <c r="H2957" t="inlineStr">
        <is>
          <t>Director de servicio</t>
        </is>
      </c>
      <c r="I2957" t="n">
        <v>100</v>
      </c>
      <c r="J2957" t="n">
        <v>100</v>
      </c>
      <c r="CF2957" t="n">
        <v>81</v>
      </c>
      <c r="CG2957" t="n">
        <v>81</v>
      </c>
    </row>
    <row r="2958">
      <c r="A2958" t="n">
        <v>416</v>
      </c>
      <c r="B2958" t="inlineStr">
        <is>
          <t>Cumplimiento Plan Anual Vicerrectoría de crecimiento</t>
        </is>
      </c>
      <c r="C2958" t="inlineStr">
        <is>
          <t>Planeación Estratégica</t>
        </is>
      </c>
      <c r="D2958" t="inlineStr">
        <is>
          <t>Semestral</t>
        </is>
      </c>
      <c r="E2958" t="inlineStr">
        <is>
          <t>Positivo</t>
        </is>
      </c>
      <c r="F2958" s="105" t="n">
        <v>45838</v>
      </c>
      <c r="G2958" t="inlineStr">
        <is>
          <t>416-2025-06-30</t>
        </is>
      </c>
      <c r="H2958" t="inlineStr">
        <is>
          <t>Gerencia de matriculas</t>
        </is>
      </c>
      <c r="I2958" t="n">
        <v>100</v>
      </c>
      <c r="J2958" t="n">
        <v>117.7399978637695</v>
      </c>
      <c r="CH2958" t="n">
        <v>73</v>
      </c>
      <c r="CI2958" t="n">
        <v>62</v>
      </c>
    </row>
    <row r="2959">
      <c r="A2959" t="n">
        <v>416</v>
      </c>
      <c r="B2959" t="inlineStr">
        <is>
          <t>Cumplimiento Plan Anual Vicerrectoría de crecimiento</t>
        </is>
      </c>
      <c r="C2959" t="inlineStr">
        <is>
          <t>Planeación Estratégica</t>
        </is>
      </c>
      <c r="D2959" t="inlineStr">
        <is>
          <t>Semestral</t>
        </is>
      </c>
      <c r="E2959" t="inlineStr">
        <is>
          <t>Positivo</t>
        </is>
      </c>
      <c r="F2959" s="105" t="n">
        <v>45838</v>
      </c>
      <c r="G2959" t="inlineStr">
        <is>
          <t>416-2025-06-30</t>
        </is>
      </c>
      <c r="H2959" t="inlineStr">
        <is>
          <t>Gerencia de mercadeo</t>
        </is>
      </c>
      <c r="I2959" t="n">
        <v>100</v>
      </c>
      <c r="J2959" t="n">
        <v>66.66999816894531</v>
      </c>
      <c r="CH2959" t="n">
        <v>66</v>
      </c>
      <c r="CI2959" t="n">
        <v>99</v>
      </c>
    </row>
    <row r="2960">
      <c r="A2960" t="n">
        <v>416</v>
      </c>
      <c r="B2960" t="inlineStr">
        <is>
          <t>Cumplimiento Plan Anual Vicerrectoría de crecimiento</t>
        </is>
      </c>
      <c r="C2960" t="inlineStr">
        <is>
          <t>Planeación Estratégica</t>
        </is>
      </c>
      <c r="D2960" t="inlineStr">
        <is>
          <t>Semestral</t>
        </is>
      </c>
      <c r="E2960" t="inlineStr">
        <is>
          <t>Positivo</t>
        </is>
      </c>
      <c r="F2960" s="105" t="n">
        <v>45838</v>
      </c>
      <c r="G2960" t="inlineStr">
        <is>
          <t>416-2025-06-30</t>
        </is>
      </c>
      <c r="H2960" t="inlineStr">
        <is>
          <t>Gerencia de servicios corporativos</t>
        </is>
      </c>
      <c r="I2960" t="n">
        <v>100</v>
      </c>
      <c r="J2960" t="n">
        <v>100</v>
      </c>
      <c r="CH2960" t="n">
        <v>40</v>
      </c>
      <c r="CI2960" t="n">
        <v>40</v>
      </c>
    </row>
    <row r="2961">
      <c r="A2961" t="n">
        <v>416</v>
      </c>
      <c r="B2961" t="inlineStr">
        <is>
          <t>Cumplimiento Plan Anual Vicerrectoría de crecimiento</t>
        </is>
      </c>
      <c r="C2961" t="inlineStr">
        <is>
          <t>Planeación Estratégica</t>
        </is>
      </c>
      <c r="D2961" t="inlineStr">
        <is>
          <t>Semestral</t>
        </is>
      </c>
      <c r="E2961" t="inlineStr">
        <is>
          <t>Positivo</t>
        </is>
      </c>
      <c r="F2961" s="105" t="n">
        <v>45838</v>
      </c>
      <c r="G2961" t="inlineStr">
        <is>
          <t>416-2025-06-30</t>
        </is>
      </c>
      <c r="H2961" t="inlineStr">
        <is>
          <t>Director B2B y B2C</t>
        </is>
      </c>
      <c r="I2961" t="n">
        <v>100</v>
      </c>
      <c r="J2961" t="n">
        <v>172.4100036621094</v>
      </c>
      <c r="CH2961" t="n">
        <v>100</v>
      </c>
      <c r="CI2961" t="n">
        <v>58</v>
      </c>
    </row>
    <row r="2962">
      <c r="A2962" t="n">
        <v>416</v>
      </c>
      <c r="B2962" t="inlineStr">
        <is>
          <t>Cumplimiento Plan Anual Vicerrectoría de crecimiento</t>
        </is>
      </c>
      <c r="C2962" t="inlineStr">
        <is>
          <t>Planeación Estratégica</t>
        </is>
      </c>
      <c r="D2962" t="inlineStr">
        <is>
          <t>Semestral</t>
        </is>
      </c>
      <c r="E2962" t="inlineStr">
        <is>
          <t>Positivo</t>
        </is>
      </c>
      <c r="F2962" s="105" t="n">
        <v>45838</v>
      </c>
      <c r="G2962" t="inlineStr">
        <is>
          <t>416-2025-06-30</t>
        </is>
      </c>
      <c r="H2962" t="inlineStr">
        <is>
          <t>Director de producto</t>
        </is>
      </c>
      <c r="I2962" t="n">
        <v>100</v>
      </c>
      <c r="J2962" t="n">
        <v>118.5999984741211</v>
      </c>
      <c r="CH2962" t="n">
        <v>51</v>
      </c>
      <c r="CI2962" t="n">
        <v>43</v>
      </c>
    </row>
    <row r="2963">
      <c r="A2963" t="n">
        <v>416</v>
      </c>
      <c r="B2963" t="inlineStr">
        <is>
          <t>Cumplimiento Plan Anual Vicerrectoría de crecimiento</t>
        </is>
      </c>
      <c r="C2963" t="inlineStr">
        <is>
          <t>Planeación Estratégica</t>
        </is>
      </c>
      <c r="D2963" t="inlineStr">
        <is>
          <t>Semestral</t>
        </is>
      </c>
      <c r="E2963" t="inlineStr">
        <is>
          <t>Positivo</t>
        </is>
      </c>
      <c r="F2963" s="105" t="n">
        <v>45838</v>
      </c>
      <c r="G2963" t="inlineStr">
        <is>
          <t>416-2025-06-30</t>
        </is>
      </c>
      <c r="H2963" t="inlineStr">
        <is>
          <t>Director de estrategia marca</t>
        </is>
      </c>
      <c r="I2963" t="n">
        <v>100</v>
      </c>
      <c r="J2963" t="n">
        <v>80</v>
      </c>
      <c r="CH2963" t="n">
        <v>80</v>
      </c>
      <c r="CI2963" t="n">
        <v>100</v>
      </c>
    </row>
    <row r="2964">
      <c r="A2964" t="n">
        <v>417</v>
      </c>
      <c r="B2964" t="inlineStr">
        <is>
          <t>Cumplimiento Plan Anual Vicerrectoría Financiera</t>
        </is>
      </c>
      <c r="C2964" t="inlineStr">
        <is>
          <t>Planeación Estratégica</t>
        </is>
      </c>
      <c r="D2964" t="inlineStr">
        <is>
          <t>Semestral</t>
        </is>
      </c>
      <c r="E2964" t="inlineStr">
        <is>
          <t>Positivo</t>
        </is>
      </c>
      <c r="F2964" s="105" t="n">
        <v>45838</v>
      </c>
      <c r="G2964" t="inlineStr">
        <is>
          <t>417-2025-06-30</t>
        </is>
      </c>
      <c r="H2964" t="inlineStr">
        <is>
          <t>Dirección de contabilidad</t>
        </is>
      </c>
      <c r="I2964" t="n">
        <v>100</v>
      </c>
      <c r="J2964" t="n">
        <v>117.9100036621094</v>
      </c>
      <c r="CJ2964" t="n">
        <v>79</v>
      </c>
      <c r="CK2964" t="n">
        <v>67</v>
      </c>
    </row>
    <row r="2965">
      <c r="A2965" t="n">
        <v>417</v>
      </c>
      <c r="B2965" t="inlineStr">
        <is>
          <t>Cumplimiento Plan Anual Vicerrectoría Financiera</t>
        </is>
      </c>
      <c r="C2965" t="inlineStr">
        <is>
          <t>Planeación Estratégica</t>
        </is>
      </c>
      <c r="D2965" t="inlineStr">
        <is>
          <t>Semestral</t>
        </is>
      </c>
      <c r="E2965" t="inlineStr">
        <is>
          <t>Positivo</t>
        </is>
      </c>
      <c r="F2965" s="105" t="n">
        <v>45838</v>
      </c>
      <c r="G2965" t="inlineStr">
        <is>
          <t>417-2025-06-30</t>
        </is>
      </c>
      <c r="H2965" t="inlineStr">
        <is>
          <t>Dirección de infraestructura</t>
        </is>
      </c>
      <c r="I2965" t="n">
        <v>100</v>
      </c>
      <c r="J2965" t="n">
        <v>88.88999938964844</v>
      </c>
      <c r="CJ2965" t="n">
        <v>64</v>
      </c>
      <c r="CK2965" t="n">
        <v>72</v>
      </c>
    </row>
    <row r="2966">
      <c r="A2966" t="n">
        <v>417</v>
      </c>
      <c r="B2966" t="inlineStr">
        <is>
          <t>Cumplimiento Plan Anual Vicerrectoría Financiera</t>
        </is>
      </c>
      <c r="C2966" t="inlineStr">
        <is>
          <t>Planeación Estratégica</t>
        </is>
      </c>
      <c r="D2966" t="inlineStr">
        <is>
          <t>Semestral</t>
        </is>
      </c>
      <c r="E2966" t="inlineStr">
        <is>
          <t>Positivo</t>
        </is>
      </c>
      <c r="F2966" s="105" t="n">
        <v>45838</v>
      </c>
      <c r="G2966" t="inlineStr">
        <is>
          <t>417-2025-06-30</t>
        </is>
      </c>
      <c r="H2966" t="inlineStr">
        <is>
          <t>Dirección planeación financiera y tesorería</t>
        </is>
      </c>
      <c r="I2966" t="n">
        <v>100</v>
      </c>
      <c r="J2966" t="n">
        <v>112</v>
      </c>
      <c r="CJ2966" t="n">
        <v>84</v>
      </c>
      <c r="CK2966" t="n">
        <v>75</v>
      </c>
    </row>
    <row r="2967">
      <c r="A2967" t="n">
        <v>417</v>
      </c>
      <c r="B2967" t="inlineStr">
        <is>
          <t>Cumplimiento Plan Anual Vicerrectoría Financiera</t>
        </is>
      </c>
      <c r="C2967" t="inlineStr">
        <is>
          <t>Planeación Estratégica</t>
        </is>
      </c>
      <c r="D2967" t="inlineStr">
        <is>
          <t>Semestral</t>
        </is>
      </c>
      <c r="E2967" t="inlineStr">
        <is>
          <t>Positivo</t>
        </is>
      </c>
      <c r="F2967" s="105" t="n">
        <v>45838</v>
      </c>
      <c r="G2967" t="inlineStr">
        <is>
          <t>417-2025-06-30</t>
        </is>
      </c>
      <c r="H2967" t="inlineStr">
        <is>
          <t>Dirección de servicios administrativos</t>
        </is>
      </c>
      <c r="I2967" t="n">
        <v>100</v>
      </c>
      <c r="J2967" t="n">
        <v>88.88999938964844</v>
      </c>
      <c r="CJ2967" t="n">
        <v>48</v>
      </c>
      <c r="CK2967" t="n">
        <v>54</v>
      </c>
    </row>
    <row r="2968">
      <c r="A2968" t="n">
        <v>417</v>
      </c>
      <c r="B2968" t="inlineStr">
        <is>
          <t>Cumplimiento Plan Anual Vicerrectoría Financiera</t>
        </is>
      </c>
      <c r="C2968" t="inlineStr">
        <is>
          <t>Planeación Estratégica</t>
        </is>
      </c>
      <c r="D2968" t="inlineStr">
        <is>
          <t>Semestral</t>
        </is>
      </c>
      <c r="E2968" t="inlineStr">
        <is>
          <t>Positivo</t>
        </is>
      </c>
      <c r="F2968" s="105" t="n">
        <v>45838</v>
      </c>
      <c r="G2968" t="inlineStr">
        <is>
          <t>417-2025-06-30</t>
        </is>
      </c>
      <c r="H2968" t="inlineStr">
        <is>
          <t>Dirección de compras y abastecimiento</t>
        </is>
      </c>
      <c r="I2968" t="n">
        <v>100</v>
      </c>
      <c r="J2968" t="n">
        <v>90.91000366210938</v>
      </c>
      <c r="CJ2968" t="n">
        <v>50</v>
      </c>
      <c r="CK2968" t="n">
        <v>55</v>
      </c>
    </row>
    <row r="2969">
      <c r="A2969" t="n">
        <v>417</v>
      </c>
      <c r="B2969" t="inlineStr">
        <is>
          <t>Cumplimiento Plan Anual Vicerrectoría Financiera</t>
        </is>
      </c>
      <c r="C2969" t="inlineStr">
        <is>
          <t>Planeación Estratégica</t>
        </is>
      </c>
      <c r="D2969" t="inlineStr">
        <is>
          <t>Semestral</t>
        </is>
      </c>
      <c r="E2969" t="inlineStr">
        <is>
          <t>Positivo</t>
        </is>
      </c>
      <c r="F2969" s="105" t="n">
        <v>45838</v>
      </c>
      <c r="G2969" t="inlineStr">
        <is>
          <t>417-2025-06-30</t>
        </is>
      </c>
      <c r="H2969" t="inlineStr">
        <is>
          <t>Dirección de relacionamiento de CSU</t>
        </is>
      </c>
      <c r="I2969" t="n">
        <v>100</v>
      </c>
      <c r="J2969" t="n">
        <v>109.0899963378906</v>
      </c>
      <c r="CJ2969" t="n">
        <v>60</v>
      </c>
      <c r="CK2969" t="n">
        <v>55</v>
      </c>
    </row>
    <row r="2970">
      <c r="A2970" t="n">
        <v>418</v>
      </c>
      <c r="B2970" t="inlineStr">
        <is>
          <t>Cumplimiento Plan Anual Vicerrectoría Académica</t>
        </is>
      </c>
      <c r="C2970" t="inlineStr">
        <is>
          <t>Planeación Estratégica</t>
        </is>
      </c>
      <c r="D2970" t="inlineStr">
        <is>
          <t>Semestral</t>
        </is>
      </c>
      <c r="E2970" t="inlineStr">
        <is>
          <t>Positivo</t>
        </is>
      </c>
      <c r="F2970" s="105" t="n">
        <v>45838</v>
      </c>
      <c r="G2970" t="inlineStr">
        <is>
          <t>418-2025-06-30</t>
        </is>
      </c>
      <c r="H2970" t="inlineStr">
        <is>
          <t>Dirección aseguramiento de la calidad</t>
        </is>
      </c>
      <c r="I2970" t="n">
        <v>100</v>
      </c>
      <c r="J2970" t="n">
        <v>105.6600036621094</v>
      </c>
      <c r="CL2970" t="n">
        <v>56</v>
      </c>
      <c r="CM2970" t="n">
        <v>53</v>
      </c>
    </row>
    <row r="2971">
      <c r="A2971" t="n">
        <v>418</v>
      </c>
      <c r="B2971" t="inlineStr">
        <is>
          <t>Cumplimiento Plan Anual Vicerrectoría Académica</t>
        </is>
      </c>
      <c r="C2971" t="inlineStr">
        <is>
          <t>Planeación Estratégica</t>
        </is>
      </c>
      <c r="D2971" t="inlineStr">
        <is>
          <t>Semestral</t>
        </is>
      </c>
      <c r="E2971" t="inlineStr">
        <is>
          <t>Positivo</t>
        </is>
      </c>
      <c r="F2971" s="105" t="n">
        <v>45838</v>
      </c>
      <c r="G2971" t="inlineStr">
        <is>
          <t>418-2025-06-30</t>
        </is>
      </c>
      <c r="H2971" t="inlineStr">
        <is>
          <t>Dirección investigación innovación y creación</t>
        </is>
      </c>
      <c r="I2971" t="n">
        <v>100</v>
      </c>
      <c r="J2971" t="n">
        <v>100</v>
      </c>
      <c r="CL2971" t="n">
        <v>32</v>
      </c>
      <c r="CM2971" t="n">
        <v>32</v>
      </c>
    </row>
    <row r="2972">
      <c r="A2972" t="n">
        <v>418</v>
      </c>
      <c r="B2972" t="inlineStr">
        <is>
          <t>Cumplimiento Plan Anual Vicerrectoría Académica</t>
        </is>
      </c>
      <c r="C2972" t="inlineStr">
        <is>
          <t>Planeación Estratégica</t>
        </is>
      </c>
      <c r="D2972" t="inlineStr">
        <is>
          <t>Semestral</t>
        </is>
      </c>
      <c r="E2972" t="inlineStr">
        <is>
          <t>Positivo</t>
        </is>
      </c>
      <c r="F2972" s="105" t="n">
        <v>45838</v>
      </c>
      <c r="G2972" t="inlineStr">
        <is>
          <t>418-2025-06-30</t>
        </is>
      </c>
      <c r="H2972" t="inlineStr">
        <is>
          <t>Dirección relaciones nacionales e internacionales</t>
        </is>
      </c>
      <c r="I2972" t="n">
        <v>100</v>
      </c>
      <c r="J2972" t="n">
        <v>100</v>
      </c>
      <c r="CL2972" t="n">
        <v>75</v>
      </c>
      <c r="CM2972" t="n">
        <v>75</v>
      </c>
    </row>
    <row r="2973">
      <c r="A2973" t="n">
        <v>418</v>
      </c>
      <c r="B2973" t="inlineStr">
        <is>
          <t>Cumplimiento Plan Anual Vicerrectoría Académica</t>
        </is>
      </c>
      <c r="C2973" t="inlineStr">
        <is>
          <t>Planeación Estratégica</t>
        </is>
      </c>
      <c r="D2973" t="inlineStr">
        <is>
          <t>Semestral</t>
        </is>
      </c>
      <c r="E2973" t="inlineStr">
        <is>
          <t>Positivo</t>
        </is>
      </c>
      <c r="F2973" s="105" t="n">
        <v>45838</v>
      </c>
      <c r="G2973" t="inlineStr">
        <is>
          <t>418-2025-06-30</t>
        </is>
      </c>
      <c r="H2973" t="inlineStr">
        <is>
          <t>Secretaria académica y de extensión</t>
        </is>
      </c>
      <c r="I2973" t="n">
        <v>100</v>
      </c>
      <c r="J2973" t="n">
        <v>133.3300018310547</v>
      </c>
      <c r="CL2973" t="n">
        <v>76</v>
      </c>
      <c r="CM2973" t="n">
        <v>57</v>
      </c>
    </row>
    <row r="2974">
      <c r="A2974" t="n">
        <v>418</v>
      </c>
      <c r="B2974" t="inlineStr">
        <is>
          <t>Cumplimiento Plan Anual Vicerrectoría Académica</t>
        </is>
      </c>
      <c r="C2974" t="inlineStr">
        <is>
          <t>Planeación Estratégica</t>
        </is>
      </c>
      <c r="D2974" t="inlineStr">
        <is>
          <t>Semestral</t>
        </is>
      </c>
      <c r="E2974" t="inlineStr">
        <is>
          <t>Positivo</t>
        </is>
      </c>
      <c r="F2974" s="105" t="n">
        <v>45838</v>
      </c>
      <c r="G2974" t="inlineStr">
        <is>
          <t>418-2025-06-30</t>
        </is>
      </c>
      <c r="H2974" t="inlineStr">
        <is>
          <t>Dirección de docencia</t>
        </is>
      </c>
      <c r="I2974" t="n">
        <v>100</v>
      </c>
      <c r="J2974" t="n">
        <v>0</v>
      </c>
      <c r="CL2974" t="n">
        <v>0</v>
      </c>
      <c r="CM2974" t="n">
        <v>0</v>
      </c>
    </row>
    <row r="2975">
      <c r="A2975" t="n">
        <v>418</v>
      </c>
      <c r="B2975" t="inlineStr">
        <is>
          <t>Cumplimiento Plan Anual Vicerrectoría Académica</t>
        </is>
      </c>
      <c r="C2975" t="inlineStr">
        <is>
          <t>Planeación Estratégica</t>
        </is>
      </c>
      <c r="D2975" t="inlineStr">
        <is>
          <t>Semestral</t>
        </is>
      </c>
      <c r="E2975" t="inlineStr">
        <is>
          <t>Positivo</t>
        </is>
      </c>
      <c r="F2975" s="105" t="n">
        <v>45838</v>
      </c>
      <c r="G2975" t="inlineStr">
        <is>
          <t>418-2025-06-30</t>
        </is>
      </c>
      <c r="H2975" t="inlineStr">
        <is>
          <t>Dirección de currículo presencial y virtual</t>
        </is>
      </c>
      <c r="I2975" t="n">
        <v>100</v>
      </c>
      <c r="J2975" t="n">
        <v>100</v>
      </c>
      <c r="CL2975" t="n">
        <v>78</v>
      </c>
      <c r="CM2975" t="n">
        <v>78</v>
      </c>
    </row>
    <row r="2976">
      <c r="A2976" t="n">
        <v>418</v>
      </c>
      <c r="B2976" t="inlineStr">
        <is>
          <t>Cumplimiento Plan Anual Vicerrectoría Académica</t>
        </is>
      </c>
      <c r="C2976" t="inlineStr">
        <is>
          <t>Planeación Estratégica</t>
        </is>
      </c>
      <c r="D2976" t="inlineStr">
        <is>
          <t>Semestral</t>
        </is>
      </c>
      <c r="E2976" t="inlineStr">
        <is>
          <t>Positivo</t>
        </is>
      </c>
      <c r="F2976" s="105" t="n">
        <v>45838</v>
      </c>
      <c r="G2976" t="inlineStr">
        <is>
          <t>418-2025-06-30</t>
        </is>
      </c>
      <c r="H2976" t="inlineStr">
        <is>
          <t>Facultad ingeniería diseño e innovación</t>
        </is>
      </c>
      <c r="I2976" t="n">
        <v>100</v>
      </c>
      <c r="J2976" t="n">
        <v>98.61000061035156</v>
      </c>
      <c r="CL2976" t="n">
        <v>71</v>
      </c>
      <c r="CM2976" t="n">
        <v>72</v>
      </c>
    </row>
    <row r="2977">
      <c r="A2977" t="n">
        <v>418</v>
      </c>
      <c r="B2977" t="inlineStr">
        <is>
          <t>Cumplimiento Plan Anual Vicerrectoría Académica</t>
        </is>
      </c>
      <c r="C2977" t="inlineStr">
        <is>
          <t>Planeación Estratégica</t>
        </is>
      </c>
      <c r="D2977" t="inlineStr">
        <is>
          <t>Semestral</t>
        </is>
      </c>
      <c r="E2977" t="inlineStr">
        <is>
          <t>Positivo</t>
        </is>
      </c>
      <c r="F2977" s="105" t="n">
        <v>45838</v>
      </c>
      <c r="G2977" t="inlineStr">
        <is>
          <t>418-2025-06-30</t>
        </is>
      </c>
      <c r="H2977" t="inlineStr">
        <is>
          <t>Facultad negocios gestión y sostenibilidad</t>
        </is>
      </c>
      <c r="I2977" t="n">
        <v>100</v>
      </c>
      <c r="J2977" t="n">
        <v>95.88999938964844</v>
      </c>
      <c r="CL2977" t="n">
        <v>70</v>
      </c>
      <c r="CM2977" t="n">
        <v>73</v>
      </c>
    </row>
    <row r="2978">
      <c r="A2978" t="n">
        <v>418</v>
      </c>
      <c r="B2978" t="inlineStr">
        <is>
          <t>Cumplimiento Plan Anual Vicerrectoría Académica</t>
        </is>
      </c>
      <c r="C2978" t="inlineStr">
        <is>
          <t>Planeación Estratégica</t>
        </is>
      </c>
      <c r="D2978" t="inlineStr">
        <is>
          <t>Semestral</t>
        </is>
      </c>
      <c r="E2978" t="inlineStr">
        <is>
          <t>Positivo</t>
        </is>
      </c>
      <c r="F2978" s="105" t="n">
        <v>45838</v>
      </c>
      <c r="G2978" t="inlineStr">
        <is>
          <t>418-2025-06-30</t>
        </is>
      </c>
      <c r="H2978" t="inlineStr">
        <is>
          <t>Facultad sociedad cultura y creatividad</t>
        </is>
      </c>
      <c r="I2978" t="n">
        <v>100</v>
      </c>
      <c r="J2978" t="n">
        <v>113.1600036621094</v>
      </c>
      <c r="CL2978" t="n">
        <v>86</v>
      </c>
      <c r="CM2978" t="n">
        <v>76</v>
      </c>
    </row>
    <row r="2979">
      <c r="A2979" t="n">
        <v>420</v>
      </c>
      <c r="B2979" t="inlineStr">
        <is>
          <t>Cumplimiento Plan Anual Gerencia de estrategia</t>
        </is>
      </c>
      <c r="C2979" t="inlineStr">
        <is>
          <t>Planeación Estratégica</t>
        </is>
      </c>
      <c r="D2979" t="inlineStr">
        <is>
          <t>Semestral</t>
        </is>
      </c>
      <c r="E2979" t="inlineStr">
        <is>
          <t>Positivo</t>
        </is>
      </c>
      <c r="F2979" s="105" t="n">
        <v>45838</v>
      </c>
      <c r="G2979" t="inlineStr">
        <is>
          <t>420-2025-06-30</t>
        </is>
      </c>
      <c r="H2979" t="inlineStr">
        <is>
          <t>SGC</t>
        </is>
      </c>
      <c r="I2979" t="n">
        <v>100</v>
      </c>
      <c r="J2979" t="n">
        <v>93.09999847412109</v>
      </c>
      <c r="CN2979" t="n">
        <v>54</v>
      </c>
      <c r="CO2979" t="n">
        <v>58</v>
      </c>
    </row>
    <row r="2980">
      <c r="A2980" t="n">
        <v>420</v>
      </c>
      <c r="B2980" t="inlineStr">
        <is>
          <t>Cumplimiento Plan Anual Gerencia de estrategia</t>
        </is>
      </c>
      <c r="C2980" t="inlineStr">
        <is>
          <t>Planeación Estratégica</t>
        </is>
      </c>
      <c r="D2980" t="inlineStr">
        <is>
          <t>Semestral</t>
        </is>
      </c>
      <c r="E2980" t="inlineStr">
        <is>
          <t>Positivo</t>
        </is>
      </c>
      <c r="F2980" s="105" t="n">
        <v>45838</v>
      </c>
      <c r="G2980" t="inlineStr">
        <is>
          <t>420-2025-06-30</t>
        </is>
      </c>
      <c r="H2980" t="inlineStr">
        <is>
          <t>SGA</t>
        </is>
      </c>
      <c r="I2980" t="n">
        <v>100</v>
      </c>
      <c r="J2980" t="n">
        <v>134.7799987792969</v>
      </c>
      <c r="CN2980" t="n">
        <v>31</v>
      </c>
      <c r="CO2980" t="n">
        <v>23</v>
      </c>
    </row>
    <row r="2981">
      <c r="A2981" t="n">
        <v>420</v>
      </c>
      <c r="B2981" t="inlineStr">
        <is>
          <t>Cumplimiento Plan Anual Gerencia de estrategia</t>
        </is>
      </c>
      <c r="C2981" t="inlineStr">
        <is>
          <t>Planeación Estratégica</t>
        </is>
      </c>
      <c r="D2981" t="inlineStr">
        <is>
          <t>Semestral</t>
        </is>
      </c>
      <c r="E2981" t="inlineStr">
        <is>
          <t>Positivo</t>
        </is>
      </c>
      <c r="F2981" s="105" t="n">
        <v>45838</v>
      </c>
      <c r="G2981" t="inlineStr">
        <is>
          <t>420-2025-06-30</t>
        </is>
      </c>
      <c r="H2981" t="inlineStr">
        <is>
          <t>Riesgos</t>
        </is>
      </c>
      <c r="I2981" t="n">
        <v>100</v>
      </c>
      <c r="J2981" t="n">
        <v>114.2900009155273</v>
      </c>
      <c r="CN2981" t="n">
        <v>64</v>
      </c>
      <c r="CO2981" t="n">
        <v>56</v>
      </c>
    </row>
    <row r="2982">
      <c r="A2982" t="n">
        <v>420</v>
      </c>
      <c r="B2982" t="inlineStr">
        <is>
          <t>Cumplimiento Plan Anual Gerencia de estrategia</t>
        </is>
      </c>
      <c r="C2982" t="inlineStr">
        <is>
          <t>Planeación Estratégica</t>
        </is>
      </c>
      <c r="D2982" t="inlineStr">
        <is>
          <t>Semestral</t>
        </is>
      </c>
      <c r="E2982" t="inlineStr">
        <is>
          <t>Positivo</t>
        </is>
      </c>
      <c r="F2982" s="105" t="n">
        <v>45838</v>
      </c>
      <c r="G2982" t="inlineStr">
        <is>
          <t>420-2025-06-30</t>
        </is>
      </c>
      <c r="H2982" t="inlineStr">
        <is>
          <t>Auditoría</t>
        </is>
      </c>
      <c r="I2982" t="n">
        <v>100</v>
      </c>
      <c r="J2982" t="n">
        <v>107.6900024414062</v>
      </c>
      <c r="CN2982" t="n">
        <v>42</v>
      </c>
      <c r="CO2982" t="n">
        <v>39</v>
      </c>
    </row>
    <row r="2983">
      <c r="A2983" t="n">
        <v>420</v>
      </c>
      <c r="B2983" t="inlineStr">
        <is>
          <t>Cumplimiento Plan Anual Gerencia de estrategia</t>
        </is>
      </c>
      <c r="C2983" t="inlineStr">
        <is>
          <t>Planeación Estratégica</t>
        </is>
      </c>
      <c r="D2983" t="inlineStr">
        <is>
          <t>Semestral</t>
        </is>
      </c>
      <c r="E2983" t="inlineStr">
        <is>
          <t>Positivo</t>
        </is>
      </c>
      <c r="F2983" s="105" t="n">
        <v>45838</v>
      </c>
      <c r="G2983" t="inlineStr">
        <is>
          <t>420-2025-06-30</t>
        </is>
      </c>
      <c r="H2983" t="inlineStr">
        <is>
          <t>Estudios Internos</t>
        </is>
      </c>
      <c r="I2983" t="n">
        <v>100</v>
      </c>
      <c r="J2983" t="n">
        <v>101.75</v>
      </c>
      <c r="CN2983" t="n">
        <v>58</v>
      </c>
      <c r="CO2983" t="n">
        <v>57</v>
      </c>
    </row>
    <row r="2984">
      <c r="A2984" t="n">
        <v>420</v>
      </c>
      <c r="B2984" t="inlineStr">
        <is>
          <t>Cumplimiento Plan Anual Gerencia de estrategia</t>
        </is>
      </c>
      <c r="C2984" t="inlineStr">
        <is>
          <t>Planeación Estratégica</t>
        </is>
      </c>
      <c r="D2984" t="inlineStr">
        <is>
          <t>Semestral</t>
        </is>
      </c>
      <c r="E2984" t="inlineStr">
        <is>
          <t>Positivo</t>
        </is>
      </c>
      <c r="F2984" s="105" t="n">
        <v>45838</v>
      </c>
      <c r="G2984" t="inlineStr">
        <is>
          <t>420-2025-06-30</t>
        </is>
      </c>
      <c r="H2984" t="inlineStr">
        <is>
          <t>Planeación estratégica</t>
        </is>
      </c>
      <c r="I2984" t="n">
        <v>100</v>
      </c>
      <c r="J2984" t="n">
        <v>99.51999664306641</v>
      </c>
      <c r="CN2984" t="n">
        <v>68.39</v>
      </c>
      <c r="CO2984" t="n">
        <v>68.72</v>
      </c>
    </row>
    <row r="2985">
      <c r="A2985" t="n">
        <v>432</v>
      </c>
      <c r="B2985" t="inlineStr">
        <is>
          <t>Intervención a la gestión del riesgo de los colaboradores</t>
        </is>
      </c>
      <c r="C2985" t="inlineStr">
        <is>
          <t>GESTIÓN DE SEGURIDAD Y SALUD EN EL TRABAJO</t>
        </is>
      </c>
      <c r="D2985" t="inlineStr">
        <is>
          <t>Semestral</t>
        </is>
      </c>
      <c r="E2985" t="inlineStr">
        <is>
          <t>Positivo</t>
        </is>
      </c>
      <c r="F2985" s="105" t="n">
        <v>45838</v>
      </c>
      <c r="G2985" t="inlineStr">
        <is>
          <t>432-2025-06-30</t>
        </is>
      </c>
      <c r="H2985" t="inlineStr">
        <is>
          <t>Plan estratégico de seguridad vial</t>
        </is>
      </c>
      <c r="I2985" t="n">
        <v>90</v>
      </c>
      <c r="J2985" t="n">
        <v>100</v>
      </c>
      <c r="CS2985" t="n">
        <v>8</v>
      </c>
      <c r="CT2985" t="n">
        <v>8</v>
      </c>
    </row>
    <row r="2986">
      <c r="A2986" t="n">
        <v>432</v>
      </c>
      <c r="B2986" t="inlineStr">
        <is>
          <t>Intervención a la gestión del riesgo de los colaboradores</t>
        </is>
      </c>
      <c r="C2986" t="inlineStr">
        <is>
          <t>GESTIÓN DE SEGURIDAD Y SALUD EN EL TRABAJO</t>
        </is>
      </c>
      <c r="D2986" t="inlineStr">
        <is>
          <t>Semestral</t>
        </is>
      </c>
      <c r="E2986" t="inlineStr">
        <is>
          <t>Positivo</t>
        </is>
      </c>
      <c r="F2986" s="105" t="n">
        <v>45838</v>
      </c>
      <c r="G2986" t="inlineStr">
        <is>
          <t>432-2025-06-30</t>
        </is>
      </c>
      <c r="H2986" t="inlineStr">
        <is>
          <t>Plan de gestión de riesgo psicosocial</t>
        </is>
      </c>
      <c r="I2986" t="n">
        <v>90</v>
      </c>
      <c r="J2986" t="n">
        <v>100</v>
      </c>
      <c r="CS2986" t="n">
        <v>16</v>
      </c>
      <c r="CT2986" t="n">
        <v>16</v>
      </c>
    </row>
    <row r="2987">
      <c r="A2987" t="n">
        <v>432</v>
      </c>
      <c r="B2987" t="inlineStr">
        <is>
          <t>Intervención a la gestión del riesgo de los colaboradores</t>
        </is>
      </c>
      <c r="C2987" t="inlineStr">
        <is>
          <t>GESTIÓN DE SEGURIDAD Y SALUD EN EL TRABAJO</t>
        </is>
      </c>
      <c r="D2987" t="inlineStr">
        <is>
          <t>Semestral</t>
        </is>
      </c>
      <c r="E2987" t="inlineStr">
        <is>
          <t>Positivo</t>
        </is>
      </c>
      <c r="F2987" s="105" t="n">
        <v>45838</v>
      </c>
      <c r="G2987" t="inlineStr">
        <is>
          <t>432-2025-06-30</t>
        </is>
      </c>
      <c r="H2987" t="inlineStr">
        <is>
          <t>Plan de gestión osteomuscular</t>
        </is>
      </c>
      <c r="I2987" t="n">
        <v>90</v>
      </c>
      <c r="J2987" t="n">
        <v>100</v>
      </c>
      <c r="CS2987" t="n">
        <v>24</v>
      </c>
      <c r="CT2987" t="n">
        <v>24</v>
      </c>
    </row>
    <row r="2988">
      <c r="A2988" t="n">
        <v>432</v>
      </c>
      <c r="B2988" t="inlineStr">
        <is>
          <t>Intervención a la gestión del riesgo de los colaboradores</t>
        </is>
      </c>
      <c r="C2988" t="inlineStr">
        <is>
          <t>GESTIÓN DE SEGURIDAD Y SALUD EN EL TRABAJO</t>
        </is>
      </c>
      <c r="D2988" t="inlineStr">
        <is>
          <t>Semestral</t>
        </is>
      </c>
      <c r="E2988" t="inlineStr">
        <is>
          <t>Positivo</t>
        </is>
      </c>
      <c r="F2988" s="105" t="n">
        <v>45838</v>
      </c>
      <c r="G2988" t="inlineStr">
        <is>
          <t>432-2025-06-30</t>
        </is>
      </c>
      <c r="H2988" t="inlineStr">
        <is>
          <t>Plan de gestión TAR</t>
        </is>
      </c>
      <c r="I2988" t="n">
        <v>90</v>
      </c>
      <c r="J2988" t="n">
        <v>100</v>
      </c>
      <c r="CS2988" t="n">
        <v>10</v>
      </c>
      <c r="CT2988" t="n">
        <v>10</v>
      </c>
    </row>
    <row r="2989">
      <c r="A2989" t="n">
        <v>432</v>
      </c>
      <c r="B2989" t="inlineStr">
        <is>
          <t>Intervención a la gestión del riesgo de los colaboradores</t>
        </is>
      </c>
      <c r="C2989" t="inlineStr">
        <is>
          <t>GESTIÓN DE SEGURIDAD Y SALUD EN EL TRABAJO</t>
        </is>
      </c>
      <c r="D2989" t="inlineStr">
        <is>
          <t>Semestral</t>
        </is>
      </c>
      <c r="E2989" t="inlineStr">
        <is>
          <t>Positivo</t>
        </is>
      </c>
      <c r="F2989" s="105" t="n">
        <v>45838</v>
      </c>
      <c r="G2989" t="inlineStr">
        <is>
          <t>432-2025-06-30</t>
        </is>
      </c>
      <c r="H2989" t="inlineStr">
        <is>
          <t>Plan de de gestión conservación de la voz</t>
        </is>
      </c>
      <c r="I2989" t="n">
        <v>90</v>
      </c>
      <c r="J2989" t="n">
        <v>100</v>
      </c>
      <c r="CS2989" t="n">
        <v>4</v>
      </c>
      <c r="CT2989" t="n">
        <v>4</v>
      </c>
    </row>
    <row r="2990">
      <c r="A2990" t="n">
        <v>432</v>
      </c>
      <c r="B2990" t="inlineStr">
        <is>
          <t>Intervención a la gestión del riesgo de los colaboradores</t>
        </is>
      </c>
      <c r="C2990" t="inlineStr">
        <is>
          <t>GESTIÓN DE SEGURIDAD Y SALUD EN EL TRABAJO</t>
        </is>
      </c>
      <c r="D2990" t="inlineStr">
        <is>
          <t>Semestral</t>
        </is>
      </c>
      <c r="E2990" t="inlineStr">
        <is>
          <t>Positivo</t>
        </is>
      </c>
      <c r="F2990" s="105" t="n">
        <v>45838</v>
      </c>
      <c r="G2990" t="inlineStr">
        <is>
          <t>432-2025-06-30</t>
        </is>
      </c>
      <c r="H2990" t="inlineStr">
        <is>
          <t>Plan de gestión riesgo biológico</t>
        </is>
      </c>
      <c r="I2990" t="n">
        <v>90</v>
      </c>
      <c r="J2990" t="n">
        <v>100</v>
      </c>
      <c r="CS2990" t="n">
        <v>1</v>
      </c>
      <c r="CT2990" t="n">
        <v>1</v>
      </c>
    </row>
    <row r="2991">
      <c r="A2991" t="n">
        <v>432</v>
      </c>
      <c r="B2991" t="inlineStr">
        <is>
          <t>Intervención a la gestión del riesgo de los colaboradores</t>
        </is>
      </c>
      <c r="C2991" t="inlineStr">
        <is>
          <t>GESTIÓN DE SEGURIDAD Y SALUD EN EL TRABAJO</t>
        </is>
      </c>
      <c r="D2991" t="inlineStr">
        <is>
          <t>Semestral</t>
        </is>
      </c>
      <c r="E2991" t="inlineStr">
        <is>
          <t>Positivo</t>
        </is>
      </c>
      <c r="F2991" s="105" t="n">
        <v>45838</v>
      </c>
      <c r="G2991" t="inlineStr">
        <is>
          <t>432-2025-06-30</t>
        </is>
      </c>
      <c r="H2991" t="inlineStr">
        <is>
          <t>Plan de gestión Teletrabajadores</t>
        </is>
      </c>
      <c r="I2991" t="n">
        <v>90</v>
      </c>
      <c r="J2991" t="n">
        <v>100</v>
      </c>
      <c r="CS2991" t="n">
        <v>2</v>
      </c>
      <c r="CT2991" t="n">
        <v>2</v>
      </c>
    </row>
    <row r="2992">
      <c r="A2992" t="n">
        <v>432</v>
      </c>
      <c r="B2992" t="inlineStr">
        <is>
          <t>Intervención a la gestión del riesgo de los colaboradores</t>
        </is>
      </c>
      <c r="C2992" t="inlineStr">
        <is>
          <t>GESTIÓN DE SEGURIDAD Y SALUD EN EL TRABAJO</t>
        </is>
      </c>
      <c r="D2992" t="inlineStr">
        <is>
          <t>Semestral</t>
        </is>
      </c>
      <c r="E2992" t="inlineStr">
        <is>
          <t>Positivo</t>
        </is>
      </c>
      <c r="F2992" s="105" t="n">
        <v>45838</v>
      </c>
      <c r="G2992" t="inlineStr">
        <is>
          <t>432-2025-06-30</t>
        </is>
      </c>
      <c r="H2992" t="inlineStr">
        <is>
          <t>Plan de gestión inspecciones de seguridad</t>
        </is>
      </c>
      <c r="I2992" t="n">
        <v>90</v>
      </c>
      <c r="J2992" t="n">
        <v>100</v>
      </c>
      <c r="CS2992" t="n">
        <v>15</v>
      </c>
      <c r="CT2992" t="n">
        <v>15</v>
      </c>
    </row>
    <row r="2993">
      <c r="A2993" t="n">
        <v>432</v>
      </c>
      <c r="B2993" t="inlineStr">
        <is>
          <t>Intervención a la gestión del riesgo de los colaboradores</t>
        </is>
      </c>
      <c r="C2993" t="inlineStr">
        <is>
          <t>GESTIÓN DE SEGURIDAD Y SALUD EN EL TRABAJO</t>
        </is>
      </c>
      <c r="D2993" t="inlineStr">
        <is>
          <t>Semestral</t>
        </is>
      </c>
      <c r="E2993" t="inlineStr">
        <is>
          <t>Positivo</t>
        </is>
      </c>
      <c r="F2993" s="105" t="n">
        <v>45838</v>
      </c>
      <c r="G2993" t="inlineStr">
        <is>
          <t>432-2025-06-30</t>
        </is>
      </c>
      <c r="H2993" t="inlineStr">
        <is>
          <t>Plan de gestión de riesgo químico</t>
        </is>
      </c>
      <c r="I2993" t="n">
        <v>90</v>
      </c>
      <c r="J2993" t="n">
        <v>100</v>
      </c>
      <c r="CS2993" t="n">
        <v>3</v>
      </c>
      <c r="CT2993" t="n">
        <v>3</v>
      </c>
    </row>
    <row r="2994">
      <c r="A2994" t="n">
        <v>456</v>
      </c>
      <c r="B2994" t="inlineStr">
        <is>
          <t>Impacto de campañas de Mailing</t>
        </is>
      </c>
      <c r="C2994" t="inlineStr">
        <is>
          <t>Comunicaciones Internas</t>
        </is>
      </c>
      <c r="D2994" t="inlineStr">
        <is>
          <t>Semestral</t>
        </is>
      </c>
      <c r="E2994" t="inlineStr">
        <is>
          <t>Positivo</t>
        </is>
      </c>
      <c r="F2994" s="105" t="n">
        <v>45838</v>
      </c>
      <c r="G2994" t="inlineStr">
        <is>
          <t>456-2025-06-30</t>
        </is>
      </c>
      <c r="H2994" t="inlineStr">
        <is>
          <t>Colaboradores</t>
        </is>
      </c>
      <c r="I2994" t="n">
        <v>100</v>
      </c>
      <c r="J2994" t="n">
        <v>110</v>
      </c>
      <c r="DY2994" t="n">
        <v>60</v>
      </c>
      <c r="DZ2994" t="n">
        <v>66</v>
      </c>
    </row>
    <row r="2995">
      <c r="A2995" t="n">
        <v>456</v>
      </c>
      <c r="B2995" t="inlineStr">
        <is>
          <t>Impacto de campañas de Mailing</t>
        </is>
      </c>
      <c r="C2995" t="inlineStr">
        <is>
          <t>Comunicaciones Internas</t>
        </is>
      </c>
      <c r="D2995" t="inlineStr">
        <is>
          <t>Semestral</t>
        </is>
      </c>
      <c r="E2995" t="inlineStr">
        <is>
          <t>Positivo</t>
        </is>
      </c>
      <c r="F2995" s="105" t="n">
        <v>45838</v>
      </c>
      <c r="G2995" t="inlineStr">
        <is>
          <t>456-2025-06-30</t>
        </is>
      </c>
      <c r="H2995" t="inlineStr">
        <is>
          <t>Estudiantes</t>
        </is>
      </c>
      <c r="I2995" t="n">
        <v>100</v>
      </c>
      <c r="J2995" t="n">
        <v>93.33000183105469</v>
      </c>
      <c r="DY2995" t="n">
        <v>15</v>
      </c>
      <c r="DZ2995" t="n">
        <v>14</v>
      </c>
    </row>
    <row r="2996">
      <c r="A2996" t="n">
        <v>456</v>
      </c>
      <c r="B2996" t="inlineStr">
        <is>
          <t>Impacto de campañas de Mailing</t>
        </is>
      </c>
      <c r="C2996" t="inlineStr">
        <is>
          <t>Comunicaciones Internas</t>
        </is>
      </c>
      <c r="D2996" t="inlineStr">
        <is>
          <t>Semestral</t>
        </is>
      </c>
      <c r="E2996" t="inlineStr">
        <is>
          <t>Positivo</t>
        </is>
      </c>
      <c r="F2996" s="105" t="n">
        <v>45838</v>
      </c>
      <c r="G2996" t="inlineStr">
        <is>
          <t>456-2025-06-30</t>
        </is>
      </c>
      <c r="H2996" t="inlineStr">
        <is>
          <t>Graduados</t>
        </is>
      </c>
      <c r="I2996" t="n">
        <v>100</v>
      </c>
      <c r="J2996" t="n">
        <v>95.44999694824219</v>
      </c>
      <c r="DY2996" t="n">
        <v>22</v>
      </c>
      <c r="DZ2996" t="n">
        <v>21</v>
      </c>
    </row>
    <row r="2997">
      <c r="A2997" t="n">
        <v>457</v>
      </c>
      <c r="B2997" t="inlineStr">
        <is>
          <t>Apertura de enlaces en mensajes de texto</t>
        </is>
      </c>
      <c r="C2997" t="inlineStr">
        <is>
          <t>Comunicaciones Internas</t>
        </is>
      </c>
      <c r="D2997" t="inlineStr">
        <is>
          <t>Semestral</t>
        </is>
      </c>
      <c r="E2997" t="inlineStr">
        <is>
          <t>Positivo</t>
        </is>
      </c>
      <c r="F2997" s="105" t="n">
        <v>45838</v>
      </c>
      <c r="G2997" t="inlineStr">
        <is>
          <t>457-2025-06-30</t>
        </is>
      </c>
      <c r="H2997" t="inlineStr">
        <is>
          <t>Colaboradores</t>
        </is>
      </c>
      <c r="I2997" t="n">
        <v>100</v>
      </c>
      <c r="J2997" t="n">
        <v>100</v>
      </c>
      <c r="EA2997" t="n">
        <v>2</v>
      </c>
      <c r="EB2997" t="n">
        <v>2</v>
      </c>
    </row>
    <row r="2998">
      <c r="A2998" t="n">
        <v>457</v>
      </c>
      <c r="B2998" t="inlineStr">
        <is>
          <t>Apertura de enlaces en mensajes de texto</t>
        </is>
      </c>
      <c r="C2998" t="inlineStr">
        <is>
          <t>Comunicaciones Internas</t>
        </is>
      </c>
      <c r="D2998" t="inlineStr">
        <is>
          <t>Semestral</t>
        </is>
      </c>
      <c r="E2998" t="inlineStr">
        <is>
          <t>Positivo</t>
        </is>
      </c>
      <c r="F2998" s="105" t="n">
        <v>45838</v>
      </c>
      <c r="G2998" t="inlineStr">
        <is>
          <t>457-2025-06-30</t>
        </is>
      </c>
      <c r="H2998" t="inlineStr">
        <is>
          <t>Graduados</t>
        </is>
      </c>
      <c r="I2998" t="n">
        <v>100</v>
      </c>
      <c r="J2998" t="n">
        <v>50</v>
      </c>
      <c r="EA2998" t="n">
        <v>2</v>
      </c>
      <c r="EB2998" t="n">
        <v>1</v>
      </c>
    </row>
    <row r="2999">
      <c r="A2999" t="n">
        <v>457</v>
      </c>
      <c r="B2999" t="inlineStr">
        <is>
          <t>Apertura de enlaces en mensajes de texto</t>
        </is>
      </c>
      <c r="C2999" t="inlineStr">
        <is>
          <t>Comunicaciones Internas</t>
        </is>
      </c>
      <c r="D2999" t="inlineStr">
        <is>
          <t>Semestral</t>
        </is>
      </c>
      <c r="E2999" t="inlineStr">
        <is>
          <t>Positivo</t>
        </is>
      </c>
      <c r="F2999" s="105" t="n">
        <v>45838</v>
      </c>
      <c r="G2999" t="inlineStr">
        <is>
          <t>457-2025-06-30</t>
        </is>
      </c>
      <c r="H2999" t="inlineStr">
        <is>
          <t>Estudiantes</t>
        </is>
      </c>
      <c r="I2999" t="n">
        <v>100</v>
      </c>
      <c r="J2999" t="n">
        <v>100</v>
      </c>
      <c r="EA2999" t="n">
        <v>2</v>
      </c>
      <c r="EB2999" t="n">
        <v>2</v>
      </c>
    </row>
    <row r="3000">
      <c r="A3000" t="n">
        <v>469</v>
      </c>
      <c r="B3000" t="inlineStr">
        <is>
          <t>Cumplimiento Plan Anual Áreas sede Medellín</t>
        </is>
      </c>
      <c r="C3000" t="inlineStr">
        <is>
          <t>Planeación Estratégica</t>
        </is>
      </c>
      <c r="D3000" t="inlineStr">
        <is>
          <t>Semestral</t>
        </is>
      </c>
      <c r="E3000" t="inlineStr">
        <is>
          <t>Positivo</t>
        </is>
      </c>
      <c r="F3000" s="105" t="n">
        <v>45838</v>
      </c>
      <c r="G3000" t="inlineStr">
        <is>
          <t>469-2025-06-30</t>
        </is>
      </c>
      <c r="H3000" t="inlineStr">
        <is>
          <t>FSCC- DERECHO Y GOBIERNO-DERECHO</t>
        </is>
      </c>
      <c r="I3000" t="n">
        <v>100</v>
      </c>
      <c r="J3000" t="n">
        <v>114.8099975585938</v>
      </c>
      <c r="DF3000" t="n">
        <v>62</v>
      </c>
      <c r="DG3000" t="n">
        <v>54</v>
      </c>
    </row>
    <row r="3001">
      <c r="A3001" t="n">
        <v>469</v>
      </c>
      <c r="B3001" t="inlineStr">
        <is>
          <t>Cumplimiento Plan Anual Áreas sede Medellín</t>
        </is>
      </c>
      <c r="C3001" t="inlineStr">
        <is>
          <t>Planeación Estratégica</t>
        </is>
      </c>
      <c r="D3001" t="inlineStr">
        <is>
          <t>Semestral</t>
        </is>
      </c>
      <c r="E3001" t="inlineStr">
        <is>
          <t>Positivo</t>
        </is>
      </c>
      <c r="F3001" s="105" t="n">
        <v>45838</v>
      </c>
      <c r="G3001" t="inlineStr">
        <is>
          <t>469-2025-06-30</t>
        </is>
      </c>
      <c r="H3001" t="inlineStr">
        <is>
          <t>FIDI-DISEÑO-DISEÑO GRAFICO</t>
        </is>
      </c>
      <c r="I3001" t="n">
        <v>100</v>
      </c>
      <c r="J3001" t="n">
        <v>96</v>
      </c>
      <c r="DF3001" t="n">
        <v>48</v>
      </c>
      <c r="DG3001" t="n">
        <v>50</v>
      </c>
    </row>
    <row r="3002">
      <c r="A3002" t="n">
        <v>469</v>
      </c>
      <c r="B3002" t="inlineStr">
        <is>
          <t>Cumplimiento Plan Anual Áreas sede Medellín</t>
        </is>
      </c>
      <c r="C3002" t="inlineStr">
        <is>
          <t>Planeación Estratégica</t>
        </is>
      </c>
      <c r="D3002" t="inlineStr">
        <is>
          <t>Semestral</t>
        </is>
      </c>
      <c r="E3002" t="inlineStr">
        <is>
          <t>Positivo</t>
        </is>
      </c>
      <c r="F3002" s="105" t="n">
        <v>45838</v>
      </c>
      <c r="G3002" t="inlineStr">
        <is>
          <t>469-2025-06-30</t>
        </is>
      </c>
      <c r="H3002" t="inlineStr">
        <is>
          <t>FIDI-TIC -INGENIERIA DE SISTEMAS</t>
        </is>
      </c>
      <c r="I3002" t="n">
        <v>100</v>
      </c>
      <c r="J3002" t="n">
        <v>113.0400009155273</v>
      </c>
      <c r="DF3002" t="n">
        <v>52</v>
      </c>
      <c r="DG3002" t="n">
        <v>46</v>
      </c>
    </row>
    <row r="3003">
      <c r="A3003" t="n">
        <v>469</v>
      </c>
      <c r="B3003" t="inlineStr">
        <is>
          <t>Cumplimiento Plan Anual Áreas sede Medellín</t>
        </is>
      </c>
      <c r="C3003" t="inlineStr">
        <is>
          <t>Planeación Estratégica</t>
        </is>
      </c>
      <c r="D3003" t="inlineStr">
        <is>
          <t>Semestral</t>
        </is>
      </c>
      <c r="E3003" t="inlineStr">
        <is>
          <t>Positivo</t>
        </is>
      </c>
      <c r="F3003" s="105" t="n">
        <v>45838</v>
      </c>
      <c r="G3003" t="inlineStr">
        <is>
          <t>469-2025-06-30</t>
        </is>
      </c>
      <c r="H3003" t="inlineStr">
        <is>
          <t>FIDI-OPINA-INGENIERIA INDUSTRIAL</t>
        </is>
      </c>
      <c r="I3003" t="n">
        <v>100</v>
      </c>
      <c r="J3003" t="n">
        <v>96.15000152587891</v>
      </c>
      <c r="DF3003" t="n">
        <v>50</v>
      </c>
      <c r="DG3003" t="n">
        <v>52</v>
      </c>
    </row>
    <row r="3004">
      <c r="A3004" t="n">
        <v>469</v>
      </c>
      <c r="B3004" t="inlineStr">
        <is>
          <t>Cumplimiento Plan Anual Áreas sede Medellín</t>
        </is>
      </c>
      <c r="C3004" t="inlineStr">
        <is>
          <t>Planeación Estratégica</t>
        </is>
      </c>
      <c r="D3004" t="inlineStr">
        <is>
          <t>Semestral</t>
        </is>
      </c>
      <c r="E3004" t="inlineStr">
        <is>
          <t>Positivo</t>
        </is>
      </c>
      <c r="F3004" s="105" t="n">
        <v>45838</v>
      </c>
      <c r="G3004" t="inlineStr">
        <is>
          <t>469-2025-06-30</t>
        </is>
      </c>
      <c r="H3004" t="inlineStr">
        <is>
          <t>FNGS-NEG Y DLLO INTER-NEGOCIOS INTERNACIONALES</t>
        </is>
      </c>
      <c r="I3004" t="n">
        <v>100</v>
      </c>
      <c r="J3004" t="n">
        <v>122.9499969482422</v>
      </c>
      <c r="DF3004" t="n">
        <v>75</v>
      </c>
      <c r="DG3004" t="n">
        <v>61</v>
      </c>
    </row>
    <row r="3005">
      <c r="A3005" t="n">
        <v>469</v>
      </c>
      <c r="B3005" t="inlineStr">
        <is>
          <t>Cumplimiento Plan Anual Áreas sede Medellín</t>
        </is>
      </c>
      <c r="C3005" t="inlineStr">
        <is>
          <t>Planeación Estratégica</t>
        </is>
      </c>
      <c r="D3005" t="inlineStr">
        <is>
          <t>Semestral</t>
        </is>
      </c>
      <c r="E3005" t="inlineStr">
        <is>
          <t>Positivo</t>
        </is>
      </c>
      <c r="F3005" s="105" t="n">
        <v>45838</v>
      </c>
      <c r="G3005" t="inlineStr">
        <is>
          <t>469-2025-06-30</t>
        </is>
      </c>
      <c r="H3005" t="inlineStr">
        <is>
          <t>FSCC- EST.PSIC,TH Y SOC- PSICOLOGIA</t>
        </is>
      </c>
      <c r="I3005" t="n">
        <v>100</v>
      </c>
      <c r="J3005" t="n">
        <v>132.6499938964844</v>
      </c>
      <c r="DF3005" t="n">
        <v>65</v>
      </c>
      <c r="DG3005" t="n">
        <v>49</v>
      </c>
    </row>
    <row r="3006">
      <c r="A3006" t="n">
        <v>469</v>
      </c>
      <c r="B3006" t="inlineStr">
        <is>
          <t>Cumplimiento Plan Anual Áreas sede Medellín</t>
        </is>
      </c>
      <c r="C3006" t="inlineStr">
        <is>
          <t>Planeación Estratégica</t>
        </is>
      </c>
      <c r="D3006" t="inlineStr">
        <is>
          <t>Semestral</t>
        </is>
      </c>
      <c r="E3006" t="inlineStr">
        <is>
          <t>Positivo</t>
        </is>
      </c>
      <c r="F3006" s="105" t="n">
        <v>45838</v>
      </c>
      <c r="G3006" t="inlineStr">
        <is>
          <t>469-2025-06-30</t>
        </is>
      </c>
      <c r="H3006" t="inlineStr">
        <is>
          <t>FIDI-CIENCIAS BÁSICAS MED</t>
        </is>
      </c>
      <c r="I3006" t="n">
        <v>100</v>
      </c>
      <c r="J3006" t="n">
        <v>81.12999725341797</v>
      </c>
      <c r="DF3006" t="n">
        <v>43</v>
      </c>
      <c r="DG3006" t="n">
        <v>53</v>
      </c>
    </row>
    <row r="3007">
      <c r="A3007" t="n">
        <v>469</v>
      </c>
      <c r="B3007" t="inlineStr">
        <is>
          <t>Cumplimiento Plan Anual Áreas sede Medellín</t>
        </is>
      </c>
      <c r="C3007" t="inlineStr">
        <is>
          <t>Planeación Estratégica</t>
        </is>
      </c>
      <c r="D3007" t="inlineStr">
        <is>
          <t>Semestral</t>
        </is>
      </c>
      <c r="E3007" t="inlineStr">
        <is>
          <t>Positivo</t>
        </is>
      </c>
      <c r="F3007" s="105" t="n">
        <v>45838</v>
      </c>
      <c r="G3007" t="inlineStr">
        <is>
          <t>469-2025-06-30</t>
        </is>
      </c>
      <c r="H3007" t="inlineStr">
        <is>
          <t>ADMON DE EMPRESAS</t>
        </is>
      </c>
      <c r="I3007" t="n">
        <v>100</v>
      </c>
      <c r="J3007" t="n">
        <v>82.34999847412109</v>
      </c>
      <c r="DF3007" t="n">
        <v>56</v>
      </c>
      <c r="DG3007" t="n">
        <v>68</v>
      </c>
    </row>
    <row r="3008">
      <c r="A3008" t="n">
        <v>469</v>
      </c>
      <c r="B3008" t="inlineStr">
        <is>
          <t>Cumplimiento Plan Anual Áreas sede Medellín</t>
        </is>
      </c>
      <c r="C3008" t="inlineStr">
        <is>
          <t>Planeación Estratégica</t>
        </is>
      </c>
      <c r="D3008" t="inlineStr">
        <is>
          <t>Semestral</t>
        </is>
      </c>
      <c r="E3008" t="inlineStr">
        <is>
          <t>Positivo</t>
        </is>
      </c>
      <c r="F3008" s="105" t="n">
        <v>45838</v>
      </c>
      <c r="G3008" t="inlineStr">
        <is>
          <t>469-2025-06-30</t>
        </is>
      </c>
      <c r="H3008" t="inlineStr">
        <is>
          <t>FSCC - MARKETING MED</t>
        </is>
      </c>
      <c r="I3008" t="n">
        <v>100</v>
      </c>
      <c r="J3008" t="n">
        <v>92.58999633789062</v>
      </c>
      <c r="DF3008" t="n">
        <v>50</v>
      </c>
      <c r="DG3008" t="n">
        <v>54</v>
      </c>
    </row>
    <row r="3009">
      <c r="A3009" t="n">
        <v>470</v>
      </c>
      <c r="B3009" t="inlineStr">
        <is>
          <t>Cumplimiento plan anual Secretaria académica y de extensión</t>
        </is>
      </c>
      <c r="C3009" t="inlineStr">
        <is>
          <t>Planeación Estratégica</t>
        </is>
      </c>
      <c r="D3009" t="inlineStr">
        <is>
          <t>Semestral</t>
        </is>
      </c>
      <c r="E3009" t="inlineStr">
        <is>
          <t>Positivo</t>
        </is>
      </c>
      <c r="F3009" s="105" t="n">
        <v>45838</v>
      </c>
      <c r="G3009" t="inlineStr">
        <is>
          <t>470-2025-06-30</t>
        </is>
      </c>
      <c r="H3009" t="inlineStr">
        <is>
          <t>DIRECTOR SISTEMA NACIONAL DE BIBLIOTECAS</t>
        </is>
      </c>
      <c r="I3009" t="n">
        <v>100</v>
      </c>
      <c r="J3009" t="n">
        <v>100</v>
      </c>
      <c r="DH3009" t="n">
        <v>38</v>
      </c>
      <c r="DI3009" t="n">
        <v>38</v>
      </c>
    </row>
    <row r="3010">
      <c r="A3010" t="n">
        <v>470</v>
      </c>
      <c r="B3010" t="inlineStr">
        <is>
          <t>Cumplimiento plan anual Secretaria académica y de extensión</t>
        </is>
      </c>
      <c r="C3010" t="inlineStr">
        <is>
          <t>Planeación Estratégica</t>
        </is>
      </c>
      <c r="D3010" t="inlineStr">
        <is>
          <t>Semestral</t>
        </is>
      </c>
      <c r="E3010" t="inlineStr">
        <is>
          <t>Positivo</t>
        </is>
      </c>
      <c r="F3010" s="105" t="n">
        <v>45838</v>
      </c>
      <c r="G3010" t="inlineStr">
        <is>
          <t>470-2025-06-30</t>
        </is>
      </c>
      <c r="H3010" t="inlineStr">
        <is>
          <t>DIRECTOR EDITORIAL</t>
        </is>
      </c>
      <c r="I3010" t="n">
        <v>100</v>
      </c>
      <c r="J3010" t="n">
        <v>172.9700012207031</v>
      </c>
      <c r="DH3010" t="n">
        <v>64</v>
      </c>
      <c r="DI3010" t="n">
        <v>37</v>
      </c>
    </row>
    <row r="3011">
      <c r="A3011" t="n">
        <v>470</v>
      </c>
      <c r="B3011" t="inlineStr">
        <is>
          <t>Cumplimiento plan anual Secretaria académica y de extensión</t>
        </is>
      </c>
      <c r="C3011" t="inlineStr">
        <is>
          <t>Planeación Estratégica</t>
        </is>
      </c>
      <c r="D3011" t="inlineStr">
        <is>
          <t>Semestral</t>
        </is>
      </c>
      <c r="E3011" t="inlineStr">
        <is>
          <t>Positivo</t>
        </is>
      </c>
      <c r="F3011" s="105" t="n">
        <v>45838</v>
      </c>
      <c r="G3011" t="inlineStr">
        <is>
          <t>470-2025-06-30</t>
        </is>
      </c>
      <c r="H3011" t="inlineStr">
        <is>
          <t>DIRECTOR CENTRO MEDIOS AUDIOVISUALES</t>
        </is>
      </c>
      <c r="I3011" t="n">
        <v>100</v>
      </c>
      <c r="J3011" t="n">
        <v>150.9400024414062</v>
      </c>
      <c r="DH3011" t="n">
        <v>80</v>
      </c>
      <c r="DI3011" t="n">
        <v>53</v>
      </c>
    </row>
    <row r="3012">
      <c r="A3012" t="n">
        <v>470</v>
      </c>
      <c r="B3012" t="inlineStr">
        <is>
          <t>Cumplimiento plan anual Secretaria académica y de extensión</t>
        </is>
      </c>
      <c r="C3012" t="inlineStr">
        <is>
          <t>Planeación Estratégica</t>
        </is>
      </c>
      <c r="D3012" t="inlineStr">
        <is>
          <t>Semestral</t>
        </is>
      </c>
      <c r="E3012" t="inlineStr">
        <is>
          <t>Positivo</t>
        </is>
      </c>
      <c r="F3012" s="105" t="n">
        <v>45838</v>
      </c>
      <c r="G3012" t="inlineStr">
        <is>
          <t>470-2025-06-30</t>
        </is>
      </c>
      <c r="H3012" t="inlineStr">
        <is>
          <t>DIRECTOR AGENCIA TROMPO</t>
        </is>
      </c>
      <c r="I3012" t="n">
        <v>100</v>
      </c>
      <c r="J3012" t="n">
        <v>81.12999725341797</v>
      </c>
      <c r="DH3012" t="n">
        <v>43</v>
      </c>
      <c r="DI3012" t="n">
        <v>53</v>
      </c>
    </row>
    <row r="3013">
      <c r="A3013" t="n">
        <v>470</v>
      </c>
      <c r="B3013" t="inlineStr">
        <is>
          <t>Cumplimiento plan anual Secretaria académica y de extensión</t>
        </is>
      </c>
      <c r="C3013" t="inlineStr">
        <is>
          <t>Planeación Estratégica</t>
        </is>
      </c>
      <c r="D3013" t="inlineStr">
        <is>
          <t>Semestral</t>
        </is>
      </c>
      <c r="E3013" t="inlineStr">
        <is>
          <t>Positivo</t>
        </is>
      </c>
      <c r="F3013" s="105" t="n">
        <v>45838</v>
      </c>
      <c r="G3013" t="inlineStr">
        <is>
          <t>470-2025-06-30</t>
        </is>
      </c>
      <c r="H3013" t="inlineStr">
        <is>
          <t>DIRECTOR DE GRADUADOS Y PROYECCION EMP.</t>
        </is>
      </c>
      <c r="I3013" t="n">
        <v>100</v>
      </c>
      <c r="J3013" t="n">
        <v>236.8399963378906</v>
      </c>
      <c r="DH3013" t="n">
        <v>90</v>
      </c>
      <c r="DI3013" t="n">
        <v>38</v>
      </c>
    </row>
    <row r="3014">
      <c r="A3014" t="n">
        <v>471</v>
      </c>
      <c r="B3014" t="inlineStr">
        <is>
          <t>Cumplimiento plan anual Gerencia de Talento Humano</t>
        </is>
      </c>
      <c r="C3014" t="inlineStr">
        <is>
          <t>Planeación Estratégica</t>
        </is>
      </c>
      <c r="D3014" t="inlineStr">
        <is>
          <t>Semestral</t>
        </is>
      </c>
      <c r="E3014" t="inlineStr">
        <is>
          <t>Positivo</t>
        </is>
      </c>
      <c r="F3014" s="105" t="n">
        <v>45838</v>
      </c>
      <c r="G3014" t="inlineStr">
        <is>
          <t>471-2025-06-30</t>
        </is>
      </c>
      <c r="H3014" t="inlineStr">
        <is>
          <t>DIRECTOR DE BIENESTAR Y RELAC. LABORALES</t>
        </is>
      </c>
      <c r="I3014" t="n">
        <v>100</v>
      </c>
      <c r="J3014" t="n">
        <v>100</v>
      </c>
      <c r="DJ3014" t="n">
        <v>34</v>
      </c>
      <c r="DK3014" t="n">
        <v>34</v>
      </c>
    </row>
    <row r="3015">
      <c r="A3015" t="n">
        <v>471</v>
      </c>
      <c r="B3015" t="inlineStr">
        <is>
          <t>Cumplimiento plan anual Gerencia de Talento Humano</t>
        </is>
      </c>
      <c r="C3015" t="inlineStr">
        <is>
          <t>Planeación Estratégica</t>
        </is>
      </c>
      <c r="D3015" t="inlineStr">
        <is>
          <t>Semestral</t>
        </is>
      </c>
      <c r="E3015" t="inlineStr">
        <is>
          <t>Positivo</t>
        </is>
      </c>
      <c r="F3015" s="105" t="n">
        <v>45838</v>
      </c>
      <c r="G3015" t="inlineStr">
        <is>
          <t>471-2025-06-30</t>
        </is>
      </c>
      <c r="H3015" t="inlineStr">
        <is>
          <t>DIRECTOR DE FORMACION Y DESARROLLO</t>
        </is>
      </c>
      <c r="I3015" t="n">
        <v>100</v>
      </c>
      <c r="J3015" t="n">
        <v>73.33000183105469</v>
      </c>
      <c r="DJ3015" t="n">
        <v>22</v>
      </c>
      <c r="DK3015" t="n">
        <v>30</v>
      </c>
    </row>
    <row r="3016">
      <c r="A3016" t="n">
        <v>471</v>
      </c>
      <c r="B3016" t="inlineStr">
        <is>
          <t>Cumplimiento plan anual Gerencia de Talento Humano</t>
        </is>
      </c>
      <c r="C3016" t="inlineStr">
        <is>
          <t>Planeación Estratégica</t>
        </is>
      </c>
      <c r="D3016" t="inlineStr">
        <is>
          <t>Semestral</t>
        </is>
      </c>
      <c r="E3016" t="inlineStr">
        <is>
          <t>Positivo</t>
        </is>
      </c>
      <c r="F3016" s="105" t="n">
        <v>45838</v>
      </c>
      <c r="G3016" t="inlineStr">
        <is>
          <t>471-2025-06-30</t>
        </is>
      </c>
      <c r="H3016" t="inlineStr">
        <is>
          <t>DIRECTOR DE RELACIONES PUBLICAS Y PROTOC</t>
        </is>
      </c>
      <c r="I3016" t="n">
        <v>100</v>
      </c>
      <c r="J3016" t="n">
        <v>87.18000030517578</v>
      </c>
      <c r="DJ3016" t="n">
        <v>34</v>
      </c>
      <c r="DK3016" t="n">
        <v>39</v>
      </c>
    </row>
    <row r="3017">
      <c r="A3017" t="n">
        <v>471</v>
      </c>
      <c r="B3017" t="inlineStr">
        <is>
          <t>Cumplimiento plan anual Gerencia de Talento Humano</t>
        </is>
      </c>
      <c r="C3017" t="inlineStr">
        <is>
          <t>Planeación Estratégica</t>
        </is>
      </c>
      <c r="D3017" t="inlineStr">
        <is>
          <t>Semestral</t>
        </is>
      </c>
      <c r="E3017" t="inlineStr">
        <is>
          <t>Positivo</t>
        </is>
      </c>
      <c r="F3017" s="105" t="n">
        <v>45838</v>
      </c>
      <c r="G3017" t="inlineStr">
        <is>
          <t>471-2025-06-30</t>
        </is>
      </c>
      <c r="H3017" t="inlineStr">
        <is>
          <t>DIRECTOR DE COMUNICACIONES</t>
        </is>
      </c>
      <c r="I3017" t="n">
        <v>100</v>
      </c>
      <c r="J3017" t="n">
        <v>87.5</v>
      </c>
      <c r="DJ3017" t="n">
        <v>21</v>
      </c>
      <c r="DK3017" t="n">
        <v>24</v>
      </c>
    </row>
    <row r="3018">
      <c r="A3018" t="n">
        <v>471</v>
      </c>
      <c r="B3018" t="inlineStr">
        <is>
          <t>Cumplimiento plan anual Gerencia de Talento Humano</t>
        </is>
      </c>
      <c r="C3018" t="inlineStr">
        <is>
          <t>Planeación Estratégica</t>
        </is>
      </c>
      <c r="D3018" t="inlineStr">
        <is>
          <t>Semestral</t>
        </is>
      </c>
      <c r="E3018" t="inlineStr">
        <is>
          <t>Positivo</t>
        </is>
      </c>
      <c r="F3018" s="105" t="n">
        <v>45838</v>
      </c>
      <c r="G3018" t="inlineStr">
        <is>
          <t>471-2025-06-30</t>
        </is>
      </c>
      <c r="H3018" t="inlineStr">
        <is>
          <t>DIRECTOR DE ADMON LABORAL Y COMPENSACION</t>
        </is>
      </c>
      <c r="I3018" t="n">
        <v>100</v>
      </c>
      <c r="J3018" t="n">
        <v>104.3499984741211</v>
      </c>
      <c r="DJ3018" t="n">
        <v>24</v>
      </c>
      <c r="DK3018" t="n">
        <v>23</v>
      </c>
    </row>
    <row r="3019">
      <c r="A3019" t="n">
        <v>471</v>
      </c>
      <c r="B3019" t="inlineStr">
        <is>
          <t>Cumplimiento plan anual Gerencia de Talento Humano</t>
        </is>
      </c>
      <c r="C3019" t="inlineStr">
        <is>
          <t>Planeación Estratégica</t>
        </is>
      </c>
      <c r="D3019" t="inlineStr">
        <is>
          <t>Semestral</t>
        </is>
      </c>
      <c r="E3019" t="inlineStr">
        <is>
          <t>Positivo</t>
        </is>
      </c>
      <c r="F3019" s="105" t="n">
        <v>45838</v>
      </c>
      <c r="G3019" t="inlineStr">
        <is>
          <t>471-2025-06-30</t>
        </is>
      </c>
      <c r="H3019" t="inlineStr">
        <is>
          <t>DIRECTOR DE GESTION DE TALENTO</t>
        </is>
      </c>
      <c r="I3019" t="n">
        <v>100</v>
      </c>
      <c r="J3019" t="n">
        <v>105.879997253418</v>
      </c>
      <c r="DJ3019" t="n">
        <v>54</v>
      </c>
      <c r="DK3019" t="n">
        <v>51</v>
      </c>
    </row>
    <row r="3020">
      <c r="A3020" t="n">
        <v>471</v>
      </c>
      <c r="B3020" t="inlineStr">
        <is>
          <t>Cumplimiento plan anual Gerencia de Talento Humano</t>
        </is>
      </c>
      <c r="C3020" t="inlineStr">
        <is>
          <t>Planeación Estratégica</t>
        </is>
      </c>
      <c r="D3020" t="inlineStr">
        <is>
          <t>Semestral</t>
        </is>
      </c>
      <c r="E3020" t="inlineStr">
        <is>
          <t>Positivo</t>
        </is>
      </c>
      <c r="F3020" s="105" t="n">
        <v>45838</v>
      </c>
      <c r="G3020" t="inlineStr">
        <is>
          <t>471-2025-06-30</t>
        </is>
      </c>
      <c r="H3020" t="inlineStr">
        <is>
          <t>DIRECTOR DE COMUN. EXTERNAS SED MEDELLIN</t>
        </is>
      </c>
      <c r="I3020" t="n">
        <v>100</v>
      </c>
      <c r="J3020" t="n">
        <v>99.87999725341797</v>
      </c>
      <c r="DJ3020" t="n">
        <v>50</v>
      </c>
      <c r="DK3020" t="n">
        <v>50.06</v>
      </c>
    </row>
    <row r="3021">
      <c r="A3021" t="n">
        <v>510</v>
      </c>
      <c r="B3021" t="inlineStr">
        <is>
          <t>Frecuencia de incidentes de riesgos</t>
        </is>
      </c>
      <c r="C3021" t="inlineStr">
        <is>
          <t>GESTIÓN DE RIESGOS</t>
        </is>
      </c>
      <c r="D3021" t="inlineStr">
        <is>
          <t>Semestral</t>
        </is>
      </c>
      <c r="E3021" t="inlineStr">
        <is>
          <t>Positivo</t>
        </is>
      </c>
      <c r="F3021" s="105" t="n">
        <v>45838</v>
      </c>
      <c r="G3021" t="inlineStr">
        <is>
          <t>510-2025-06-30</t>
        </is>
      </c>
      <c r="H3021" t="inlineStr">
        <is>
          <t>Revisión y asesorías</t>
        </is>
      </c>
      <c r="EL3021" t="n">
        <v>0</v>
      </c>
      <c r="EM3021" t="n">
        <v>128</v>
      </c>
    </row>
    <row r="3022">
      <c r="A3022" t="n">
        <v>511</v>
      </c>
      <c r="B3022" t="inlineStr">
        <is>
          <t>Eficacia de controles</t>
        </is>
      </c>
      <c r="C3022" t="inlineStr">
        <is>
          <t>GESTIÓN DE RIESGOS</t>
        </is>
      </c>
      <c r="D3022" t="inlineStr">
        <is>
          <t>Semestral</t>
        </is>
      </c>
      <c r="E3022" t="inlineStr">
        <is>
          <t>Positivo</t>
        </is>
      </c>
      <c r="F3022" s="105" t="n">
        <v>45838</v>
      </c>
      <c r="G3022" t="inlineStr">
        <is>
          <t>511-2025-06-30</t>
        </is>
      </c>
      <c r="H3022" t="inlineStr">
        <is>
          <t>Estratégicos</t>
        </is>
      </c>
      <c r="J3022" t="n">
        <v>80.84999847412109</v>
      </c>
      <c r="EN3022" t="n">
        <v>38</v>
      </c>
      <c r="EO3022" t="n">
        <v>47</v>
      </c>
    </row>
    <row r="3023">
      <c r="A3023" t="n">
        <v>511</v>
      </c>
      <c r="B3023" t="inlineStr">
        <is>
          <t>Eficacia de controles</t>
        </is>
      </c>
      <c r="C3023" t="inlineStr">
        <is>
          <t>GESTIÓN DE RIESGOS</t>
        </is>
      </c>
      <c r="D3023" t="inlineStr">
        <is>
          <t>Semestral</t>
        </is>
      </c>
      <c r="E3023" t="inlineStr">
        <is>
          <t>Positivo</t>
        </is>
      </c>
      <c r="F3023" s="105" t="n">
        <v>45838</v>
      </c>
      <c r="G3023" t="inlineStr">
        <is>
          <t>511-2025-06-30</t>
        </is>
      </c>
      <c r="H3023" t="inlineStr">
        <is>
          <t>Proyectos</t>
        </is>
      </c>
      <c r="J3023" t="n">
        <v>100</v>
      </c>
      <c r="EN3023" t="n">
        <v>48</v>
      </c>
      <c r="EO3023" t="n">
        <v>48</v>
      </c>
    </row>
    <row r="3024">
      <c r="A3024" t="n">
        <v>511</v>
      </c>
      <c r="B3024" t="inlineStr">
        <is>
          <t>Eficacia de controles</t>
        </is>
      </c>
      <c r="C3024" t="inlineStr">
        <is>
          <t>GESTIÓN DE RIESGOS</t>
        </is>
      </c>
      <c r="D3024" t="inlineStr">
        <is>
          <t>Semestral</t>
        </is>
      </c>
      <c r="E3024" t="inlineStr">
        <is>
          <t>Positivo</t>
        </is>
      </c>
      <c r="F3024" s="105" t="n">
        <v>45838</v>
      </c>
      <c r="G3024" t="inlineStr">
        <is>
          <t>511-2025-06-30</t>
        </is>
      </c>
      <c r="H3024" t="inlineStr">
        <is>
          <t>Financieros</t>
        </is>
      </c>
      <c r="J3024" t="n">
        <v>100</v>
      </c>
      <c r="EN3024" t="n">
        <v>21</v>
      </c>
      <c r="EO3024" t="n">
        <v>21</v>
      </c>
    </row>
    <row r="3025">
      <c r="A3025" t="n">
        <v>511</v>
      </c>
      <c r="B3025" t="inlineStr">
        <is>
          <t>Eficacia de controles</t>
        </is>
      </c>
      <c r="C3025" t="inlineStr">
        <is>
          <t>GESTIÓN DE RIESGOS</t>
        </is>
      </c>
      <c r="D3025" t="inlineStr">
        <is>
          <t>Semestral</t>
        </is>
      </c>
      <c r="E3025" t="inlineStr">
        <is>
          <t>Positivo</t>
        </is>
      </c>
      <c r="F3025" s="105" t="n">
        <v>45838</v>
      </c>
      <c r="G3025" t="inlineStr">
        <is>
          <t>511-2025-06-30</t>
        </is>
      </c>
      <c r="H3025" t="inlineStr">
        <is>
          <t>Legal/ Cumplimiento</t>
        </is>
      </c>
      <c r="J3025" t="n">
        <v>92.86000061035156</v>
      </c>
      <c r="EN3025" t="n">
        <v>13</v>
      </c>
      <c r="EO3025" t="n">
        <v>14</v>
      </c>
    </row>
    <row r="3026">
      <c r="A3026" t="n">
        <v>511</v>
      </c>
      <c r="B3026" t="inlineStr">
        <is>
          <t>Eficacia de controles</t>
        </is>
      </c>
      <c r="C3026" t="inlineStr">
        <is>
          <t>GESTIÓN DE RIESGOS</t>
        </is>
      </c>
      <c r="D3026" t="inlineStr">
        <is>
          <t>Semestral</t>
        </is>
      </c>
      <c r="E3026" t="inlineStr">
        <is>
          <t>Positivo</t>
        </is>
      </c>
      <c r="F3026" s="105" t="n">
        <v>45838</v>
      </c>
      <c r="G3026" t="inlineStr">
        <is>
          <t>511-2025-06-30</t>
        </is>
      </c>
      <c r="H3026" t="inlineStr">
        <is>
          <t>Tecnológico</t>
        </is>
      </c>
      <c r="J3026" t="n">
        <v>75</v>
      </c>
      <c r="EN3026" t="n">
        <v>9</v>
      </c>
      <c r="EO3026" t="n">
        <v>12</v>
      </c>
    </row>
    <row r="3027">
      <c r="A3027" t="n">
        <v>511</v>
      </c>
      <c r="B3027" t="inlineStr">
        <is>
          <t>Eficacia de controles</t>
        </is>
      </c>
      <c r="C3027" t="inlineStr">
        <is>
          <t>GESTIÓN DE RIESGOS</t>
        </is>
      </c>
      <c r="D3027" t="inlineStr">
        <is>
          <t>Semestral</t>
        </is>
      </c>
      <c r="E3027" t="inlineStr">
        <is>
          <t>Positivo</t>
        </is>
      </c>
      <c r="F3027" s="105" t="n">
        <v>45838</v>
      </c>
      <c r="G3027" t="inlineStr">
        <is>
          <t>511-2025-06-30</t>
        </is>
      </c>
      <c r="H3027" t="inlineStr">
        <is>
          <t>Operativos</t>
        </is>
      </c>
      <c r="J3027" t="n">
        <v>82.31999969482422</v>
      </c>
      <c r="EN3027" t="n">
        <v>163</v>
      </c>
      <c r="EO3027" t="n">
        <v>198</v>
      </c>
    </row>
    <row r="3028">
      <c r="A3028" t="n">
        <v>511</v>
      </c>
      <c r="B3028" t="inlineStr">
        <is>
          <t>Eficacia de controles</t>
        </is>
      </c>
      <c r="C3028" t="inlineStr">
        <is>
          <t>GESTIÓN DE RIESGOS</t>
        </is>
      </c>
      <c r="D3028" t="inlineStr">
        <is>
          <t>Semestral</t>
        </is>
      </c>
      <c r="E3028" t="inlineStr">
        <is>
          <t>Positivo</t>
        </is>
      </c>
      <c r="F3028" s="105" t="n">
        <v>45838</v>
      </c>
      <c r="G3028" t="inlineStr">
        <is>
          <t>511-2025-06-30</t>
        </is>
      </c>
      <c r="H3028" t="inlineStr">
        <is>
          <t>Reputacionales</t>
        </is>
      </c>
      <c r="J3028" t="n">
        <v>100</v>
      </c>
      <c r="EN3028" t="n">
        <v>12</v>
      </c>
      <c r="EO3028" t="n">
        <v>12</v>
      </c>
    </row>
    <row r="3029">
      <c r="A3029" t="n">
        <v>208</v>
      </c>
      <c r="B3029" t="inlineStr">
        <is>
          <t>Consumo de Agua m3 Mensual</t>
        </is>
      </c>
      <c r="C3029" t="inlineStr">
        <is>
          <t>GESTIÓN AMBIENTAL</t>
        </is>
      </c>
      <c r="D3029" t="inlineStr">
        <is>
          <t>Mensual</t>
        </is>
      </c>
      <c r="E3029" t="inlineStr">
        <is>
          <t>Negativo</t>
        </is>
      </c>
      <c r="F3029" s="105" t="n">
        <v>45869</v>
      </c>
      <c r="G3029" t="inlineStr">
        <is>
          <t>208-2025-07-31</t>
        </is>
      </c>
      <c r="H3029" t="inlineStr">
        <is>
          <t>Campus Bogotá</t>
        </is>
      </c>
      <c r="I3029" t="n">
        <v>950</v>
      </c>
      <c r="J3029" t="n">
        <v>484</v>
      </c>
      <c r="K3029" t="n">
        <v>484</v>
      </c>
    </row>
    <row r="3030">
      <c r="A3030" t="n">
        <v>208</v>
      </c>
      <c r="B3030" t="inlineStr">
        <is>
          <t>Consumo de Agua m3 Mensual</t>
        </is>
      </c>
      <c r="C3030" t="inlineStr">
        <is>
          <t>GESTIÓN AMBIENTAL</t>
        </is>
      </c>
      <c r="D3030" t="inlineStr">
        <is>
          <t>Mensual</t>
        </is>
      </c>
      <c r="E3030" t="inlineStr">
        <is>
          <t>Negativo</t>
        </is>
      </c>
      <c r="F3030" s="105" t="n">
        <v>45869</v>
      </c>
      <c r="G3030" t="inlineStr">
        <is>
          <t>208-2025-07-31</t>
        </is>
      </c>
      <c r="H3030" t="inlineStr">
        <is>
          <t>Sede Posgrado-Calle 85</t>
        </is>
      </c>
      <c r="I3030" t="n">
        <v>25</v>
      </c>
      <c r="J3030" t="n">
        <v>13</v>
      </c>
      <c r="K3030" t="n">
        <v>13</v>
      </c>
    </row>
    <row r="3031">
      <c r="A3031" t="n">
        <v>208</v>
      </c>
      <c r="B3031" t="inlineStr">
        <is>
          <t>Consumo de Agua m3 Mensual</t>
        </is>
      </c>
      <c r="C3031" t="inlineStr">
        <is>
          <t>GESTIÓN AMBIENTAL</t>
        </is>
      </c>
      <c r="D3031" t="inlineStr">
        <is>
          <t>Mensual</t>
        </is>
      </c>
      <c r="E3031" t="inlineStr">
        <is>
          <t>Negativo</t>
        </is>
      </c>
      <c r="F3031" s="105" t="n">
        <v>45869</v>
      </c>
      <c r="G3031" t="inlineStr">
        <is>
          <t>208-2025-07-31</t>
        </is>
      </c>
      <c r="H3031" t="inlineStr">
        <is>
          <t>Campus-Medellín</t>
        </is>
      </c>
      <c r="I3031" t="n">
        <v>200</v>
      </c>
      <c r="J3031" t="n">
        <v>123</v>
      </c>
      <c r="K3031" t="n">
        <v>123</v>
      </c>
    </row>
    <row r="3032">
      <c r="A3032" t="n">
        <v>208</v>
      </c>
      <c r="B3032" t="inlineStr">
        <is>
          <t>Consumo de Agua m3 Mensual</t>
        </is>
      </c>
      <c r="C3032" t="inlineStr">
        <is>
          <t>GESTIÓN AMBIENTAL</t>
        </is>
      </c>
      <c r="D3032" t="inlineStr">
        <is>
          <t>Mensual</t>
        </is>
      </c>
      <c r="E3032" t="inlineStr">
        <is>
          <t>Negativo</t>
        </is>
      </c>
      <c r="F3032" s="105" t="n">
        <v>45869</v>
      </c>
      <c r="G3032" t="inlineStr">
        <is>
          <t>208-2025-07-31</t>
        </is>
      </c>
      <c r="H3032" t="inlineStr">
        <is>
          <t>Sede Bienestar - Medellín</t>
        </is>
      </c>
      <c r="I3032" t="n">
        <v>0</v>
      </c>
      <c r="J3032" t="n">
        <v>0</v>
      </c>
      <c r="K3032" t="n">
        <v>0</v>
      </c>
    </row>
    <row r="3033">
      <c r="A3033" t="n">
        <v>208</v>
      </c>
      <c r="B3033" t="inlineStr">
        <is>
          <t>Consumo de Agua m3 Mensual</t>
        </is>
      </c>
      <c r="C3033" t="inlineStr">
        <is>
          <t>GESTIÓN AMBIENTAL</t>
        </is>
      </c>
      <c r="D3033" t="inlineStr">
        <is>
          <t>Mensual</t>
        </is>
      </c>
      <c r="E3033" t="inlineStr">
        <is>
          <t>Negativo</t>
        </is>
      </c>
      <c r="F3033" s="105" t="n">
        <v>45869</v>
      </c>
      <c r="G3033" t="inlineStr">
        <is>
          <t>208-2025-07-31</t>
        </is>
      </c>
      <c r="H3033" t="inlineStr">
        <is>
          <t>Consultorio Psicología - Medellin</t>
        </is>
      </c>
      <c r="I3033" t="n">
        <v>25</v>
      </c>
      <c r="J3033" t="n">
        <v>14</v>
      </c>
      <c r="K3033" t="n">
        <v>14</v>
      </c>
    </row>
    <row r="3034">
      <c r="A3034" t="n">
        <v>208</v>
      </c>
      <c r="B3034" t="inlineStr">
        <is>
          <t>Consumo de Agua m3 Mensual</t>
        </is>
      </c>
      <c r="C3034" t="inlineStr">
        <is>
          <t>GESTIÓN AMBIENTAL</t>
        </is>
      </c>
      <c r="D3034" t="inlineStr">
        <is>
          <t>Mensual</t>
        </is>
      </c>
      <c r="E3034" t="inlineStr">
        <is>
          <t>Negativo</t>
        </is>
      </c>
      <c r="F3034" s="105" t="n">
        <v>45869</v>
      </c>
      <c r="G3034" t="inlineStr">
        <is>
          <t>208-2025-07-31</t>
        </is>
      </c>
      <c r="H3034" t="inlineStr">
        <is>
          <t>City Campus</t>
        </is>
      </c>
      <c r="I3034" t="n">
        <v>350</v>
      </c>
      <c r="J3034" t="n">
        <v>409.5</v>
      </c>
      <c r="K3034" t="n">
        <v>409.5</v>
      </c>
    </row>
    <row r="3035">
      <c r="A3035" t="n">
        <v>214</v>
      </c>
      <c r="B3035" t="inlineStr">
        <is>
          <t>Generación de Residuos Sólidos Mensual</t>
        </is>
      </c>
      <c r="C3035" t="inlineStr">
        <is>
          <t>GESTIÓN AMBIENTAL</t>
        </is>
      </c>
      <c r="D3035" t="inlineStr">
        <is>
          <t>Mensual</t>
        </is>
      </c>
      <c r="E3035" t="inlineStr">
        <is>
          <t>Negativo</t>
        </is>
      </c>
      <c r="F3035" s="105" t="n">
        <v>45869</v>
      </c>
      <c r="G3035" t="inlineStr">
        <is>
          <t>214-2025-07-31</t>
        </is>
      </c>
      <c r="H3035" t="inlineStr">
        <is>
          <t>City Campus</t>
        </is>
      </c>
      <c r="I3035" t="n">
        <v>1000</v>
      </c>
      <c r="J3035" t="n">
        <v>992.47998046875</v>
      </c>
      <c r="L3035" t="n">
        <v>237.25</v>
      </c>
      <c r="M3035" t="n">
        <v>755.23</v>
      </c>
    </row>
    <row r="3036">
      <c r="A3036" t="n">
        <v>214</v>
      </c>
      <c r="B3036" t="inlineStr">
        <is>
          <t>Generación de Residuos Sólidos Mensual</t>
        </is>
      </c>
      <c r="C3036" t="inlineStr">
        <is>
          <t>GESTIÓN AMBIENTAL</t>
        </is>
      </c>
      <c r="D3036" t="inlineStr">
        <is>
          <t>Mensual</t>
        </is>
      </c>
      <c r="E3036" t="inlineStr">
        <is>
          <t>Negativo</t>
        </is>
      </c>
      <c r="F3036" s="105" t="n">
        <v>45869</v>
      </c>
      <c r="G3036" t="inlineStr">
        <is>
          <t>214-2025-07-31</t>
        </is>
      </c>
      <c r="H3036" t="inlineStr">
        <is>
          <t>Sede Posgrado-Calle 85</t>
        </is>
      </c>
      <c r="I3036" t="n">
        <v>7500</v>
      </c>
      <c r="J3036" t="n">
        <v>3.640000104904175</v>
      </c>
      <c r="L3036" t="n">
        <v>0</v>
      </c>
      <c r="M3036" t="n">
        <v>3.64</v>
      </c>
    </row>
    <row r="3037">
      <c r="A3037" t="n">
        <v>214</v>
      </c>
      <c r="B3037" t="inlineStr">
        <is>
          <t>Generación de Residuos Sólidos Mensual</t>
        </is>
      </c>
      <c r="C3037" t="inlineStr">
        <is>
          <t>GESTIÓN AMBIENTAL</t>
        </is>
      </c>
      <c r="D3037" t="inlineStr">
        <is>
          <t>Mensual</t>
        </is>
      </c>
      <c r="E3037" t="inlineStr">
        <is>
          <t>Negativo</t>
        </is>
      </c>
      <c r="F3037" s="105" t="n">
        <v>45869</v>
      </c>
      <c r="G3037" t="inlineStr">
        <is>
          <t>214-2025-07-31</t>
        </is>
      </c>
      <c r="H3037" t="inlineStr">
        <is>
          <t>Campus-Medellín</t>
        </is>
      </c>
      <c r="I3037" t="n">
        <v>1000</v>
      </c>
      <c r="J3037" t="n">
        <v>496.1000061035156</v>
      </c>
      <c r="L3037" t="n">
        <v>23.6</v>
      </c>
      <c r="M3037" t="n">
        <v>472.5</v>
      </c>
    </row>
    <row r="3038">
      <c r="A3038" t="n">
        <v>214</v>
      </c>
      <c r="B3038" t="inlineStr">
        <is>
          <t>Generación de Residuos Sólidos Mensual</t>
        </is>
      </c>
      <c r="C3038" t="inlineStr">
        <is>
          <t>GESTIÓN AMBIENTAL</t>
        </is>
      </c>
      <c r="D3038" t="inlineStr">
        <is>
          <t>Mensual</t>
        </is>
      </c>
      <c r="E3038" t="inlineStr">
        <is>
          <t>Negativo</t>
        </is>
      </c>
      <c r="F3038" s="105" t="n">
        <v>45869</v>
      </c>
      <c r="G3038" t="inlineStr">
        <is>
          <t>214-2025-07-31</t>
        </is>
      </c>
      <c r="H3038" t="inlineStr">
        <is>
          <t>Sede Bienestar - Medellín</t>
        </is>
      </c>
      <c r="I3038" t="n">
        <v>1</v>
      </c>
      <c r="J3038" t="n">
        <v>103.3099975585938</v>
      </c>
      <c r="L3038" t="n">
        <v>9.91</v>
      </c>
      <c r="M3038" t="n">
        <v>93.40000000000001</v>
      </c>
    </row>
    <row r="3039">
      <c r="A3039" t="n">
        <v>214</v>
      </c>
      <c r="B3039" t="inlineStr">
        <is>
          <t>Generación de Residuos Sólidos Mensual</t>
        </is>
      </c>
      <c r="C3039" t="inlineStr">
        <is>
          <t>GESTIÓN AMBIENTAL</t>
        </is>
      </c>
      <c r="D3039" t="inlineStr">
        <is>
          <t>Mensual</t>
        </is>
      </c>
      <c r="E3039" t="inlineStr">
        <is>
          <t>Negativo</t>
        </is>
      </c>
      <c r="F3039" s="105" t="n">
        <v>45869</v>
      </c>
      <c r="G3039" t="inlineStr">
        <is>
          <t>214-2025-07-31</t>
        </is>
      </c>
      <c r="H3039" t="inlineStr">
        <is>
          <t>Consultorio Psicología - Medellin</t>
        </is>
      </c>
      <c r="I3039" t="n">
        <v>1</v>
      </c>
      <c r="J3039" t="n">
        <v>48.95000076293945</v>
      </c>
      <c r="L3039" t="n">
        <v>22.15</v>
      </c>
      <c r="M3039" t="n">
        <v>26.8</v>
      </c>
    </row>
    <row r="3040">
      <c r="A3040" t="n">
        <v>214</v>
      </c>
      <c r="B3040" t="inlineStr">
        <is>
          <t>Generación de Residuos Sólidos Mensual</t>
        </is>
      </c>
      <c r="C3040" t="inlineStr">
        <is>
          <t>GESTIÓN AMBIENTAL</t>
        </is>
      </c>
      <c r="D3040" t="inlineStr">
        <is>
          <t>Mensual</t>
        </is>
      </c>
      <c r="E3040" t="inlineStr">
        <is>
          <t>Negativo</t>
        </is>
      </c>
      <c r="F3040" s="105" t="n">
        <v>45869</v>
      </c>
      <c r="G3040" t="inlineStr">
        <is>
          <t>214-2025-07-31</t>
        </is>
      </c>
      <c r="H3040" t="inlineStr">
        <is>
          <t>Campus Bogotá</t>
        </is>
      </c>
      <c r="I3040" t="n">
        <v>5500</v>
      </c>
      <c r="J3040" t="n">
        <v>812.3499755859375</v>
      </c>
      <c r="L3040" t="n">
        <v>194.75</v>
      </c>
      <c r="M3040" t="n">
        <v>617.6</v>
      </c>
    </row>
    <row r="3041">
      <c r="A3041" t="n">
        <v>217</v>
      </c>
      <c r="B3041" t="inlineStr">
        <is>
          <t>Aprovechamiento de Residuos</t>
        </is>
      </c>
      <c r="C3041" t="inlineStr">
        <is>
          <t>GESTIÓN AMBIENTAL</t>
        </is>
      </c>
      <c r="D3041" t="inlineStr">
        <is>
          <t>Mensual</t>
        </is>
      </c>
      <c r="E3041" t="inlineStr">
        <is>
          <t>Positivo</t>
        </is>
      </c>
      <c r="F3041" s="105" t="n">
        <v>45869</v>
      </c>
      <c r="G3041" t="inlineStr">
        <is>
          <t>217-2025-07-31</t>
        </is>
      </c>
      <c r="H3041" t="inlineStr">
        <is>
          <t>City Campus</t>
        </is>
      </c>
      <c r="I3041" t="n">
        <v>20</v>
      </c>
      <c r="J3041" t="n">
        <v>23.89999961853027</v>
      </c>
      <c r="L3041" t="n">
        <v>237.25</v>
      </c>
      <c r="M3041" t="n">
        <v>755.23</v>
      </c>
      <c r="AS3041" t="n">
        <v>237.25</v>
      </c>
    </row>
    <row r="3042">
      <c r="A3042" t="n">
        <v>217</v>
      </c>
      <c r="B3042" t="inlineStr">
        <is>
          <t>Aprovechamiento de Residuos</t>
        </is>
      </c>
      <c r="C3042" t="inlineStr">
        <is>
          <t>GESTIÓN AMBIENTAL</t>
        </is>
      </c>
      <c r="D3042" t="inlineStr">
        <is>
          <t>Mensual</t>
        </is>
      </c>
      <c r="E3042" t="inlineStr">
        <is>
          <t>Positivo</t>
        </is>
      </c>
      <c r="F3042" s="105" t="n">
        <v>45869</v>
      </c>
      <c r="G3042" t="inlineStr">
        <is>
          <t>217-2025-07-31</t>
        </is>
      </c>
      <c r="H3042" t="inlineStr">
        <is>
          <t>Sede Posgrado-Calle 85</t>
        </is>
      </c>
      <c r="I3042" t="n">
        <v>20</v>
      </c>
      <c r="J3042" t="n">
        <v>0</v>
      </c>
      <c r="L3042" t="n">
        <v>0</v>
      </c>
      <c r="M3042" t="n">
        <v>3.64</v>
      </c>
      <c r="AS3042" t="n">
        <v>0</v>
      </c>
    </row>
    <row r="3043">
      <c r="A3043" t="n">
        <v>217</v>
      </c>
      <c r="B3043" t="inlineStr">
        <is>
          <t>Aprovechamiento de Residuos</t>
        </is>
      </c>
      <c r="C3043" t="inlineStr">
        <is>
          <t>GESTIÓN AMBIENTAL</t>
        </is>
      </c>
      <c r="D3043" t="inlineStr">
        <is>
          <t>Mensual</t>
        </is>
      </c>
      <c r="E3043" t="inlineStr">
        <is>
          <t>Positivo</t>
        </is>
      </c>
      <c r="F3043" s="105" t="n">
        <v>45869</v>
      </c>
      <c r="G3043" t="inlineStr">
        <is>
          <t>217-2025-07-31</t>
        </is>
      </c>
      <c r="H3043" t="inlineStr">
        <is>
          <t>Campus-Medellín</t>
        </is>
      </c>
      <c r="I3043" t="n">
        <v>20</v>
      </c>
      <c r="J3043" t="n">
        <v>4.760000228881836</v>
      </c>
      <c r="L3043" t="n">
        <v>23.6</v>
      </c>
      <c r="M3043" t="n">
        <v>472.5</v>
      </c>
      <c r="AS3043" t="n">
        <v>23.6</v>
      </c>
    </row>
    <row r="3044">
      <c r="A3044" t="n">
        <v>217</v>
      </c>
      <c r="B3044" t="inlineStr">
        <is>
          <t>Aprovechamiento de Residuos</t>
        </is>
      </c>
      <c r="C3044" t="inlineStr">
        <is>
          <t>GESTIÓN AMBIENTAL</t>
        </is>
      </c>
      <c r="D3044" t="inlineStr">
        <is>
          <t>Mensual</t>
        </is>
      </c>
      <c r="E3044" t="inlineStr">
        <is>
          <t>Positivo</t>
        </is>
      </c>
      <c r="F3044" s="105" t="n">
        <v>45869</v>
      </c>
      <c r="G3044" t="inlineStr">
        <is>
          <t>217-2025-07-31</t>
        </is>
      </c>
      <c r="H3044" t="inlineStr">
        <is>
          <t>Sede Bienestar - Medellín</t>
        </is>
      </c>
      <c r="I3044" t="n">
        <v>20</v>
      </c>
      <c r="J3044" t="n">
        <v>9.590000152587891</v>
      </c>
      <c r="L3044" t="n">
        <v>9.91</v>
      </c>
      <c r="M3044" t="n">
        <v>93.40000000000001</v>
      </c>
      <c r="AS3044" t="n">
        <v>9.91</v>
      </c>
    </row>
    <row r="3045">
      <c r="A3045" t="n">
        <v>217</v>
      </c>
      <c r="B3045" t="inlineStr">
        <is>
          <t>Aprovechamiento de Residuos</t>
        </is>
      </c>
      <c r="C3045" t="inlineStr">
        <is>
          <t>GESTIÓN AMBIENTAL</t>
        </is>
      </c>
      <c r="D3045" t="inlineStr">
        <is>
          <t>Mensual</t>
        </is>
      </c>
      <c r="E3045" t="inlineStr">
        <is>
          <t>Positivo</t>
        </is>
      </c>
      <c r="F3045" s="105" t="n">
        <v>45869</v>
      </c>
      <c r="G3045" t="inlineStr">
        <is>
          <t>217-2025-07-31</t>
        </is>
      </c>
      <c r="H3045" t="inlineStr">
        <is>
          <t>Consultorio Psicología - Medellin</t>
        </is>
      </c>
      <c r="I3045" t="n">
        <v>20</v>
      </c>
      <c r="J3045" t="n">
        <v>45.25</v>
      </c>
      <c r="L3045" t="n">
        <v>22.15</v>
      </c>
      <c r="M3045" t="n">
        <v>26.8</v>
      </c>
      <c r="AS3045" t="n">
        <v>22.15</v>
      </c>
    </row>
    <row r="3046">
      <c r="A3046" t="n">
        <v>217</v>
      </c>
      <c r="B3046" t="inlineStr">
        <is>
          <t>Aprovechamiento de Residuos</t>
        </is>
      </c>
      <c r="C3046" t="inlineStr">
        <is>
          <t>GESTIÓN AMBIENTAL</t>
        </is>
      </c>
      <c r="D3046" t="inlineStr">
        <is>
          <t>Mensual</t>
        </is>
      </c>
      <c r="E3046" t="inlineStr">
        <is>
          <t>Positivo</t>
        </is>
      </c>
      <c r="F3046" s="105" t="n">
        <v>45869</v>
      </c>
      <c r="G3046" t="inlineStr">
        <is>
          <t>217-2025-07-31</t>
        </is>
      </c>
      <c r="H3046" t="inlineStr">
        <is>
          <t>Campus Bogotá</t>
        </is>
      </c>
      <c r="I3046" t="n">
        <v>20</v>
      </c>
      <c r="J3046" t="n">
        <v>116.6699981689453</v>
      </c>
      <c r="L3046" t="n">
        <v>194.75</v>
      </c>
      <c r="M3046" t="n">
        <v>617.6</v>
      </c>
      <c r="AS3046" t="n">
        <v>947.75</v>
      </c>
    </row>
    <row r="3047">
      <c r="A3047" t="n">
        <v>218</v>
      </c>
      <c r="B3047" t="inlineStr">
        <is>
          <t>Consumo de Energía Eléctrica kWh Mensual</t>
        </is>
      </c>
      <c r="C3047" t="inlineStr">
        <is>
          <t>GESTIÓN AMBIENTAL</t>
        </is>
      </c>
      <c r="D3047" t="inlineStr">
        <is>
          <t>Mensual</t>
        </is>
      </c>
      <c r="E3047" t="inlineStr">
        <is>
          <t>Negativo</t>
        </is>
      </c>
      <c r="F3047" s="105" t="n">
        <v>45869</v>
      </c>
      <c r="G3047" t="inlineStr">
        <is>
          <t>218-2025-07-31</t>
        </is>
      </c>
      <c r="H3047" t="inlineStr">
        <is>
          <t>City Campus</t>
        </is>
      </c>
      <c r="I3047" t="n">
        <v>76000</v>
      </c>
      <c r="J3047" t="n">
        <v>39900</v>
      </c>
      <c r="N3047" t="n">
        <v>39900</v>
      </c>
    </row>
    <row r="3048">
      <c r="A3048" t="n">
        <v>218</v>
      </c>
      <c r="B3048" t="inlineStr">
        <is>
          <t>Consumo de Energía Eléctrica kWh Mensual</t>
        </is>
      </c>
      <c r="C3048" t="inlineStr">
        <is>
          <t>GESTIÓN AMBIENTAL</t>
        </is>
      </c>
      <c r="D3048" t="inlineStr">
        <is>
          <t>Mensual</t>
        </is>
      </c>
      <c r="E3048" t="inlineStr">
        <is>
          <t>Negativo</t>
        </is>
      </c>
      <c r="F3048" s="105" t="n">
        <v>45869</v>
      </c>
      <c r="G3048" t="inlineStr">
        <is>
          <t>218-2025-07-31</t>
        </is>
      </c>
      <c r="H3048" t="inlineStr">
        <is>
          <t>Sede Posgrado-Calle 85</t>
        </is>
      </c>
      <c r="I3048" t="n">
        <v>5000</v>
      </c>
      <c r="J3048" t="n">
        <v>3960</v>
      </c>
      <c r="N3048" t="n">
        <v>3960</v>
      </c>
    </row>
    <row r="3049">
      <c r="A3049" t="n">
        <v>218</v>
      </c>
      <c r="B3049" t="inlineStr">
        <is>
          <t>Consumo de Energía Eléctrica kWh Mensual</t>
        </is>
      </c>
      <c r="C3049" t="inlineStr">
        <is>
          <t>GESTIÓN AMBIENTAL</t>
        </is>
      </c>
      <c r="D3049" t="inlineStr">
        <is>
          <t>Mensual</t>
        </is>
      </c>
      <c r="E3049" t="inlineStr">
        <is>
          <t>Negativo</t>
        </is>
      </c>
      <c r="F3049" s="105" t="n">
        <v>45869</v>
      </c>
      <c r="G3049" t="inlineStr">
        <is>
          <t>218-2025-07-31</t>
        </is>
      </c>
      <c r="H3049" t="inlineStr">
        <is>
          <t>Campus-Medellín</t>
        </is>
      </c>
      <c r="I3049" t="n">
        <v>24000</v>
      </c>
      <c r="J3049" t="n">
        <v>15532</v>
      </c>
      <c r="N3049" t="n">
        <v>15532</v>
      </c>
    </row>
    <row r="3050">
      <c r="A3050" t="n">
        <v>218</v>
      </c>
      <c r="B3050" t="inlineStr">
        <is>
          <t>Consumo de Energía Eléctrica kWh Mensual</t>
        </is>
      </c>
      <c r="C3050" t="inlineStr">
        <is>
          <t>GESTIÓN AMBIENTAL</t>
        </is>
      </c>
      <c r="D3050" t="inlineStr">
        <is>
          <t>Mensual</t>
        </is>
      </c>
      <c r="E3050" t="inlineStr">
        <is>
          <t>Negativo</t>
        </is>
      </c>
      <c r="F3050" s="105" t="n">
        <v>45869</v>
      </c>
      <c r="G3050" t="inlineStr">
        <is>
          <t>218-2025-07-31</t>
        </is>
      </c>
      <c r="H3050" t="inlineStr">
        <is>
          <t>Sede Bienestar - Medellín</t>
        </is>
      </c>
      <c r="I3050" t="n">
        <v>5000</v>
      </c>
      <c r="J3050" t="n">
        <v>4290</v>
      </c>
      <c r="N3050" t="n">
        <v>4290</v>
      </c>
    </row>
    <row r="3051">
      <c r="A3051" t="n">
        <v>218</v>
      </c>
      <c r="B3051" t="inlineStr">
        <is>
          <t>Consumo de Energía Eléctrica kWh Mensual</t>
        </is>
      </c>
      <c r="C3051" t="inlineStr">
        <is>
          <t>GESTIÓN AMBIENTAL</t>
        </is>
      </c>
      <c r="D3051" t="inlineStr">
        <is>
          <t>Mensual</t>
        </is>
      </c>
      <c r="E3051" t="inlineStr">
        <is>
          <t>Negativo</t>
        </is>
      </c>
      <c r="F3051" s="105" t="n">
        <v>45869</v>
      </c>
      <c r="G3051" t="inlineStr">
        <is>
          <t>218-2025-07-31</t>
        </is>
      </c>
      <c r="H3051" t="inlineStr">
        <is>
          <t>Consultorio Psicología - Medellin</t>
        </is>
      </c>
      <c r="I3051" t="n">
        <v>2000</v>
      </c>
      <c r="J3051" t="n">
        <v>2398</v>
      </c>
      <c r="N3051" t="n">
        <v>2398</v>
      </c>
    </row>
    <row r="3052">
      <c r="A3052" t="n">
        <v>218</v>
      </c>
      <c r="B3052" t="inlineStr">
        <is>
          <t>Consumo de Energía Eléctrica kWh Mensual</t>
        </is>
      </c>
      <c r="C3052" t="inlineStr">
        <is>
          <t>GESTIÓN AMBIENTAL</t>
        </is>
      </c>
      <c r="D3052" t="inlineStr">
        <is>
          <t>Mensual</t>
        </is>
      </c>
      <c r="E3052" t="inlineStr">
        <is>
          <t>Negativo</t>
        </is>
      </c>
      <c r="F3052" s="105" t="n">
        <v>45869</v>
      </c>
      <c r="G3052" t="inlineStr">
        <is>
          <t>218-2025-07-31</t>
        </is>
      </c>
      <c r="H3052" t="inlineStr">
        <is>
          <t>Campus Bogotá</t>
        </is>
      </c>
      <c r="I3052" t="n">
        <v>76000</v>
      </c>
      <c r="J3052" t="n">
        <v>60391.6484375</v>
      </c>
      <c r="N3052" t="n">
        <v>60391.65</v>
      </c>
    </row>
    <row r="3053">
      <c r="A3053" t="n">
        <v>225</v>
      </c>
      <c r="B3053" t="inlineStr">
        <is>
          <t>Acciones para el Cuidado y Mantenimiento de las Especies de Flora y el Suelo de las Áreas Naturales</t>
        </is>
      </c>
      <c r="C3053" t="inlineStr">
        <is>
          <t>GESTIÓN AMBIENTAL</t>
        </is>
      </c>
      <c r="D3053" t="inlineStr">
        <is>
          <t>Mensual</t>
        </is>
      </c>
      <c r="E3053" t="inlineStr">
        <is>
          <t>Positivo</t>
        </is>
      </c>
      <c r="F3053" s="105" t="n">
        <v>45869</v>
      </c>
      <c r="G3053" t="inlineStr">
        <is>
          <t>225-2025-07-31</t>
        </is>
      </c>
      <c r="H3053" t="inlineStr">
        <is>
          <t>Campus Bogotá</t>
        </is>
      </c>
      <c r="I3053" t="n">
        <v>1</v>
      </c>
      <c r="J3053" t="n">
        <v>6</v>
      </c>
      <c r="AT3053" t="n">
        <v>6</v>
      </c>
    </row>
    <row r="3054">
      <c r="A3054" t="n">
        <v>225</v>
      </c>
      <c r="B3054" t="inlineStr">
        <is>
          <t>Acciones para el Cuidado y Mantenimiento de las Especies de Flora y el Suelo de las Áreas Naturales</t>
        </is>
      </c>
      <c r="C3054" t="inlineStr">
        <is>
          <t>GESTIÓN AMBIENTAL</t>
        </is>
      </c>
      <c r="D3054" t="inlineStr">
        <is>
          <t>Mensual</t>
        </is>
      </c>
      <c r="E3054" t="inlineStr">
        <is>
          <t>Positivo</t>
        </is>
      </c>
      <c r="F3054" s="105" t="n">
        <v>45869</v>
      </c>
      <c r="G3054" t="inlineStr">
        <is>
          <t>225-2025-07-31</t>
        </is>
      </c>
      <c r="H3054" t="inlineStr">
        <is>
          <t>City Campus</t>
        </is>
      </c>
      <c r="I3054" t="n">
        <v>1</v>
      </c>
      <c r="J3054" t="n">
        <v>0</v>
      </c>
      <c r="AT3054" t="n">
        <v>0</v>
      </c>
    </row>
    <row r="3055">
      <c r="A3055" t="n">
        <v>225</v>
      </c>
      <c r="B3055" t="inlineStr">
        <is>
          <t>Acciones para el Cuidado y Mantenimiento de las Especies de Flora y el Suelo de las Áreas Naturales</t>
        </is>
      </c>
      <c r="C3055" t="inlineStr">
        <is>
          <t>GESTIÓN AMBIENTAL</t>
        </is>
      </c>
      <c r="D3055" t="inlineStr">
        <is>
          <t>Mensual</t>
        </is>
      </c>
      <c r="E3055" t="inlineStr">
        <is>
          <t>Positivo</t>
        </is>
      </c>
      <c r="F3055" s="105" t="n">
        <v>45869</v>
      </c>
      <c r="G3055" t="inlineStr">
        <is>
          <t>225-2025-07-31</t>
        </is>
      </c>
      <c r="H3055" t="inlineStr">
        <is>
          <t>Sede Posgrado-Calle 85</t>
        </is>
      </c>
      <c r="I3055" t="n">
        <v>1</v>
      </c>
      <c r="J3055" t="n">
        <v>0</v>
      </c>
      <c r="AT3055" t="n">
        <v>0</v>
      </c>
    </row>
    <row r="3056">
      <c r="A3056" t="n">
        <v>225</v>
      </c>
      <c r="B3056" t="inlineStr">
        <is>
          <t>Acciones para el Cuidado y Mantenimiento de las Especies de Flora y el Suelo de las Áreas Naturales</t>
        </is>
      </c>
      <c r="C3056" t="inlineStr">
        <is>
          <t>GESTIÓN AMBIENTAL</t>
        </is>
      </c>
      <c r="D3056" t="inlineStr">
        <is>
          <t>Mensual</t>
        </is>
      </c>
      <c r="E3056" t="inlineStr">
        <is>
          <t>Positivo</t>
        </is>
      </c>
      <c r="F3056" s="105" t="n">
        <v>45869</v>
      </c>
      <c r="G3056" t="inlineStr">
        <is>
          <t>225-2025-07-31</t>
        </is>
      </c>
      <c r="H3056" t="inlineStr">
        <is>
          <t>Campus-Medellín</t>
        </is>
      </c>
      <c r="I3056" t="n">
        <v>1</v>
      </c>
      <c r="J3056" t="n">
        <v>10</v>
      </c>
      <c r="AT3056" t="n">
        <v>10</v>
      </c>
    </row>
    <row r="3057">
      <c r="A3057" t="n">
        <v>225</v>
      </c>
      <c r="B3057" t="inlineStr">
        <is>
          <t>Acciones para el Cuidado y Mantenimiento de las Especies de Flora y el Suelo de las Áreas Naturales</t>
        </is>
      </c>
      <c r="C3057" t="inlineStr">
        <is>
          <t>GESTIÓN AMBIENTAL</t>
        </is>
      </c>
      <c r="D3057" t="inlineStr">
        <is>
          <t>Mensual</t>
        </is>
      </c>
      <c r="E3057" t="inlineStr">
        <is>
          <t>Positivo</t>
        </is>
      </c>
      <c r="F3057" s="105" t="n">
        <v>45869</v>
      </c>
      <c r="G3057" t="inlineStr">
        <is>
          <t>225-2025-07-31</t>
        </is>
      </c>
      <c r="H3057" t="inlineStr">
        <is>
          <t>Sede Bienestar - Medellín</t>
        </is>
      </c>
      <c r="I3057" t="n">
        <v>1</v>
      </c>
      <c r="J3057" t="n">
        <v>1</v>
      </c>
      <c r="AT3057" t="n">
        <v>1</v>
      </c>
    </row>
    <row r="3058">
      <c r="A3058" t="n">
        <v>225</v>
      </c>
      <c r="B3058" t="inlineStr">
        <is>
          <t>Acciones para el Cuidado y Mantenimiento de las Especies de Flora y el Suelo de las Áreas Naturales</t>
        </is>
      </c>
      <c r="C3058" t="inlineStr">
        <is>
          <t>GESTIÓN AMBIENTAL</t>
        </is>
      </c>
      <c r="D3058" t="inlineStr">
        <is>
          <t>Mensual</t>
        </is>
      </c>
      <c r="E3058" t="inlineStr">
        <is>
          <t>Positivo</t>
        </is>
      </c>
      <c r="F3058" s="105" t="n">
        <v>45869</v>
      </c>
      <c r="G3058" t="inlineStr">
        <is>
          <t>225-2025-07-31</t>
        </is>
      </c>
      <c r="H3058" t="inlineStr">
        <is>
          <t>Consultorio Psicología - Medellin</t>
        </is>
      </c>
      <c r="I3058" t="n">
        <v>1</v>
      </c>
      <c r="J3058" t="n">
        <v>1</v>
      </c>
      <c r="AT3058" t="n">
        <v>1</v>
      </c>
    </row>
    <row r="3059">
      <c r="A3059" t="n">
        <v>239</v>
      </c>
      <c r="B3059" t="inlineStr">
        <is>
          <t>Portafolio de Proyectos - Metrica</t>
        </is>
      </c>
      <c r="C3059" t="inlineStr">
        <is>
          <t>Gestión de Proyectos</t>
        </is>
      </c>
      <c r="D3059" t="inlineStr">
        <is>
          <t>Mensual</t>
        </is>
      </c>
      <c r="E3059" t="inlineStr">
        <is>
          <t>Positivo</t>
        </is>
      </c>
      <c r="F3059" s="105" t="n">
        <v>45869</v>
      </c>
      <c r="G3059" t="inlineStr">
        <is>
          <t>239-2025-07-31</t>
        </is>
      </c>
      <c r="H3059" t="inlineStr">
        <is>
          <t>Planificación</t>
        </is>
      </c>
      <c r="J3059" t="n">
        <v>1</v>
      </c>
      <c r="AU3059" t="n">
        <v>1</v>
      </c>
    </row>
    <row r="3060">
      <c r="A3060" t="n">
        <v>239</v>
      </c>
      <c r="B3060" t="inlineStr">
        <is>
          <t>Portafolio de Proyectos - Metrica</t>
        </is>
      </c>
      <c r="C3060" t="inlineStr">
        <is>
          <t>Gestión de Proyectos</t>
        </is>
      </c>
      <c r="D3060" t="inlineStr">
        <is>
          <t>Mensual</t>
        </is>
      </c>
      <c r="E3060" t="inlineStr">
        <is>
          <t>Positivo</t>
        </is>
      </c>
      <c r="F3060" s="105" t="n">
        <v>45869</v>
      </c>
      <c r="G3060" t="inlineStr">
        <is>
          <t>239-2025-07-31</t>
        </is>
      </c>
      <c r="H3060" t="inlineStr">
        <is>
          <t>Cierre</t>
        </is>
      </c>
      <c r="J3060" t="n">
        <v>0</v>
      </c>
      <c r="AU3060" t="n">
        <v>0</v>
      </c>
    </row>
    <row r="3061">
      <c r="A3061" t="n">
        <v>239</v>
      </c>
      <c r="B3061" t="inlineStr">
        <is>
          <t>Portafolio de Proyectos - Metrica</t>
        </is>
      </c>
      <c r="C3061" t="inlineStr">
        <is>
          <t>Gestión de Proyectos</t>
        </is>
      </c>
      <c r="D3061" t="inlineStr">
        <is>
          <t>Mensual</t>
        </is>
      </c>
      <c r="E3061" t="inlineStr">
        <is>
          <t>Positivo</t>
        </is>
      </c>
      <c r="F3061" s="105" t="n">
        <v>45869</v>
      </c>
      <c r="G3061" t="inlineStr">
        <is>
          <t>239-2025-07-31</t>
        </is>
      </c>
      <c r="H3061" t="inlineStr">
        <is>
          <t>Finalizados</t>
        </is>
      </c>
      <c r="J3061" t="n">
        <v>23</v>
      </c>
      <c r="AU3061" t="n">
        <v>23</v>
      </c>
    </row>
    <row r="3062">
      <c r="A3062" t="n">
        <v>239</v>
      </c>
      <c r="B3062" t="inlineStr">
        <is>
          <t>Portafolio de Proyectos - Metrica</t>
        </is>
      </c>
      <c r="C3062" t="inlineStr">
        <is>
          <t>Gestión de Proyectos</t>
        </is>
      </c>
      <c r="D3062" t="inlineStr">
        <is>
          <t>Mensual</t>
        </is>
      </c>
      <c r="E3062" t="inlineStr">
        <is>
          <t>Positivo</t>
        </is>
      </c>
      <c r="F3062" s="105" t="n">
        <v>45869</v>
      </c>
      <c r="G3062" t="inlineStr">
        <is>
          <t>239-2025-07-31</t>
        </is>
      </c>
      <c r="H3062" t="inlineStr">
        <is>
          <t>Stand by</t>
        </is>
      </c>
      <c r="J3062" t="n">
        <v>3</v>
      </c>
      <c r="AU3062" t="n">
        <v>3</v>
      </c>
    </row>
    <row r="3063">
      <c r="A3063" t="n">
        <v>239</v>
      </c>
      <c r="B3063" t="inlineStr">
        <is>
          <t>Portafolio de Proyectos - Metrica</t>
        </is>
      </c>
      <c r="C3063" t="inlineStr">
        <is>
          <t>Gestión de Proyectos</t>
        </is>
      </c>
      <c r="D3063" t="inlineStr">
        <is>
          <t>Mensual</t>
        </is>
      </c>
      <c r="E3063" t="inlineStr">
        <is>
          <t>Positivo</t>
        </is>
      </c>
      <c r="F3063" s="105" t="n">
        <v>45869</v>
      </c>
      <c r="G3063" t="inlineStr">
        <is>
          <t>239-2025-07-31</t>
        </is>
      </c>
      <c r="H3063" t="inlineStr">
        <is>
          <t>Ejecución</t>
        </is>
      </c>
      <c r="J3063" t="n">
        <v>15</v>
      </c>
      <c r="AU3063" t="n">
        <v>15</v>
      </c>
    </row>
    <row r="3064">
      <c r="A3064" t="n">
        <v>434</v>
      </c>
      <c r="B3064" t="inlineStr">
        <is>
          <t>Generación de Residuos Peligrosos Mensual</t>
        </is>
      </c>
      <c r="C3064" t="inlineStr">
        <is>
          <t>GESTIÓN AMBIENTAL</t>
        </is>
      </c>
      <c r="D3064" t="inlineStr">
        <is>
          <t>Mensual</t>
        </is>
      </c>
      <c r="E3064" t="inlineStr">
        <is>
          <t>Negativo</t>
        </is>
      </c>
      <c r="F3064" s="105" t="n">
        <v>45869</v>
      </c>
      <c r="G3064" t="inlineStr">
        <is>
          <t>434-2025-07-31</t>
        </is>
      </c>
      <c r="H3064" t="inlineStr">
        <is>
          <t>Campus Bogotá</t>
        </is>
      </c>
      <c r="I3064" t="n">
        <v>100</v>
      </c>
      <c r="J3064" t="n">
        <v>310.3999938964844</v>
      </c>
      <c r="AV3064" t="n">
        <v>310.4</v>
      </c>
    </row>
    <row r="3065">
      <c r="A3065" t="n">
        <v>434</v>
      </c>
      <c r="B3065" t="inlineStr">
        <is>
          <t>Generación de Residuos Peligrosos Mensual</t>
        </is>
      </c>
      <c r="C3065" t="inlineStr">
        <is>
          <t>GESTIÓN AMBIENTAL</t>
        </is>
      </c>
      <c r="D3065" t="inlineStr">
        <is>
          <t>Mensual</t>
        </is>
      </c>
      <c r="E3065" t="inlineStr">
        <is>
          <t>Negativo</t>
        </is>
      </c>
      <c r="F3065" s="105" t="n">
        <v>45869</v>
      </c>
      <c r="G3065" t="inlineStr">
        <is>
          <t>434-2025-07-31</t>
        </is>
      </c>
      <c r="H3065" t="inlineStr">
        <is>
          <t>Sede Posgrado-Calle 85</t>
        </is>
      </c>
      <c r="I3065" t="n">
        <v>200</v>
      </c>
      <c r="J3065" t="n">
        <v>0</v>
      </c>
      <c r="AV3065" t="n">
        <v>0</v>
      </c>
    </row>
    <row r="3066">
      <c r="A3066" t="n">
        <v>434</v>
      </c>
      <c r="B3066" t="inlineStr">
        <is>
          <t>Generación de Residuos Peligrosos Mensual</t>
        </is>
      </c>
      <c r="C3066" t="inlineStr">
        <is>
          <t>GESTIÓN AMBIENTAL</t>
        </is>
      </c>
      <c r="D3066" t="inlineStr">
        <is>
          <t>Mensual</t>
        </is>
      </c>
      <c r="E3066" t="inlineStr">
        <is>
          <t>Negativo</t>
        </is>
      </c>
      <c r="F3066" s="105" t="n">
        <v>45869</v>
      </c>
      <c r="G3066" t="inlineStr">
        <is>
          <t>434-2025-07-31</t>
        </is>
      </c>
      <c r="H3066" t="inlineStr">
        <is>
          <t>Campus-Medellín</t>
        </is>
      </c>
      <c r="I3066" t="n">
        <v>25</v>
      </c>
      <c r="J3066" t="n">
        <v>0</v>
      </c>
      <c r="AV3066" t="n">
        <v>0</v>
      </c>
    </row>
    <row r="3067">
      <c r="A3067" t="n">
        <v>434</v>
      </c>
      <c r="B3067" t="inlineStr">
        <is>
          <t>Generación de Residuos Peligrosos Mensual</t>
        </is>
      </c>
      <c r="C3067" t="inlineStr">
        <is>
          <t>GESTIÓN AMBIENTAL</t>
        </is>
      </c>
      <c r="D3067" t="inlineStr">
        <is>
          <t>Mensual</t>
        </is>
      </c>
      <c r="E3067" t="inlineStr">
        <is>
          <t>Negativo</t>
        </is>
      </c>
      <c r="F3067" s="105" t="n">
        <v>45869</v>
      </c>
      <c r="G3067" t="inlineStr">
        <is>
          <t>434-2025-07-31</t>
        </is>
      </c>
      <c r="H3067" t="inlineStr">
        <is>
          <t>Sede Bienestar - Medellín</t>
        </is>
      </c>
      <c r="I3067" t="n">
        <v>10</v>
      </c>
      <c r="J3067" t="n">
        <v>0</v>
      </c>
      <c r="AV3067" t="n">
        <v>0</v>
      </c>
    </row>
    <row r="3068">
      <c r="A3068" t="n">
        <v>434</v>
      </c>
      <c r="B3068" t="inlineStr">
        <is>
          <t>Generación de Residuos Peligrosos Mensual</t>
        </is>
      </c>
      <c r="C3068" t="inlineStr">
        <is>
          <t>GESTIÓN AMBIENTAL</t>
        </is>
      </c>
      <c r="D3068" t="inlineStr">
        <is>
          <t>Mensual</t>
        </is>
      </c>
      <c r="E3068" t="inlineStr">
        <is>
          <t>Negativo</t>
        </is>
      </c>
      <c r="F3068" s="105" t="n">
        <v>45869</v>
      </c>
      <c r="G3068" t="inlineStr">
        <is>
          <t>434-2025-07-31</t>
        </is>
      </c>
      <c r="H3068" t="inlineStr">
        <is>
          <t>Consultorio Psicología - Medellin</t>
        </is>
      </c>
      <c r="I3068" t="n">
        <v>200</v>
      </c>
      <c r="J3068" t="n">
        <v>0</v>
      </c>
      <c r="AV3068" t="n">
        <v>0</v>
      </c>
    </row>
    <row r="3069">
      <c r="A3069" t="n">
        <v>434</v>
      </c>
      <c r="B3069" t="inlineStr">
        <is>
          <t>Generación de Residuos Peligrosos Mensual</t>
        </is>
      </c>
      <c r="C3069" t="inlineStr">
        <is>
          <t>GESTIÓN AMBIENTAL</t>
        </is>
      </c>
      <c r="D3069" t="inlineStr">
        <is>
          <t>Mensual</t>
        </is>
      </c>
      <c r="E3069" t="inlineStr">
        <is>
          <t>Negativo</t>
        </is>
      </c>
      <c r="F3069" s="105" t="n">
        <v>45869</v>
      </c>
      <c r="G3069" t="inlineStr">
        <is>
          <t>434-2025-07-31</t>
        </is>
      </c>
      <c r="H3069" t="inlineStr">
        <is>
          <t>City Campus</t>
        </is>
      </c>
      <c r="I3069" t="n">
        <v>25</v>
      </c>
      <c r="J3069" t="n">
        <v>1.710000038146973</v>
      </c>
      <c r="AV3069" t="n">
        <v>1.71</v>
      </c>
    </row>
    <row r="3070">
      <c r="A3070" t="n">
        <v>436</v>
      </c>
      <c r="B3070" t="inlineStr">
        <is>
          <t>ANS documentos operativos</t>
        </is>
      </c>
      <c r="C3070" t="inlineStr">
        <is>
          <t>Gestión de calidad</t>
        </is>
      </c>
      <c r="D3070" t="inlineStr">
        <is>
          <t>Mensual</t>
        </is>
      </c>
      <c r="E3070" t="inlineStr">
        <is>
          <t>Negativo</t>
        </is>
      </c>
      <c r="F3070" s="105" t="n">
        <v>45869</v>
      </c>
      <c r="G3070" t="inlineStr">
        <is>
          <t>436-2025-07-31</t>
        </is>
      </c>
      <c r="H3070" t="inlineStr">
        <is>
          <t>Solicitud Documental</t>
        </is>
      </c>
      <c r="I3070" t="n">
        <v>7</v>
      </c>
      <c r="J3070" t="n">
        <v>4.590000152587891</v>
      </c>
      <c r="CP3070" t="n">
        <v>4.59</v>
      </c>
    </row>
    <row r="3071">
      <c r="A3071" t="n">
        <v>436</v>
      </c>
      <c r="B3071" t="inlineStr">
        <is>
          <t>ANS documentos operativos</t>
        </is>
      </c>
      <c r="C3071" t="inlineStr">
        <is>
          <t>Gestión de calidad</t>
        </is>
      </c>
      <c r="D3071" t="inlineStr">
        <is>
          <t>Mensual</t>
        </is>
      </c>
      <c r="E3071" t="inlineStr">
        <is>
          <t>Negativo</t>
        </is>
      </c>
      <c r="F3071" s="105" t="n">
        <v>45869</v>
      </c>
      <c r="G3071" t="inlineStr">
        <is>
          <t>436-2025-07-31</t>
        </is>
      </c>
      <c r="H3071" t="inlineStr">
        <is>
          <t>Flujo de aprobación</t>
        </is>
      </c>
      <c r="I3071" t="n">
        <v>7</v>
      </c>
      <c r="J3071" t="n">
        <v>8.819999694824219</v>
      </c>
      <c r="CP3071" t="n">
        <v>8.82</v>
      </c>
    </row>
    <row r="3072">
      <c r="A3072" t="n">
        <v>485</v>
      </c>
      <c r="B3072" t="inlineStr">
        <is>
          <t>Oportunidad en el cierre de acciones</t>
        </is>
      </c>
      <c r="C3072" t="inlineStr">
        <is>
          <t>Gestión de calidad</t>
        </is>
      </c>
      <c r="D3072" t="inlineStr">
        <is>
          <t>Mensual</t>
        </is>
      </c>
      <c r="E3072" t="inlineStr">
        <is>
          <t>Positivo</t>
        </is>
      </c>
      <c r="F3072" s="105" t="n">
        <v>45869</v>
      </c>
      <c r="G3072" t="inlineStr">
        <is>
          <t>485-2025-07-31</t>
        </is>
      </c>
      <c r="H3072" t="inlineStr">
        <is>
          <t>Indicadores</t>
        </is>
      </c>
      <c r="I3072" t="n">
        <v>80</v>
      </c>
      <c r="J3072" t="n">
        <v>100</v>
      </c>
      <c r="EC3072" t="n">
        <v>1</v>
      </c>
      <c r="ED3072" t="n">
        <v>1</v>
      </c>
    </row>
    <row r="3073">
      <c r="A3073" t="n">
        <v>485</v>
      </c>
      <c r="B3073" t="inlineStr">
        <is>
          <t>Oportunidad en el cierre de acciones</t>
        </is>
      </c>
      <c r="C3073" t="inlineStr">
        <is>
          <t>Gestión de calidad</t>
        </is>
      </c>
      <c r="D3073" t="inlineStr">
        <is>
          <t>Mensual</t>
        </is>
      </c>
      <c r="E3073" t="inlineStr">
        <is>
          <t>Positivo</t>
        </is>
      </c>
      <c r="F3073" s="105" t="n">
        <v>45869</v>
      </c>
      <c r="G3073" t="inlineStr">
        <is>
          <t>485-2025-07-31</t>
        </is>
      </c>
      <c r="H3073" t="inlineStr">
        <is>
          <t>Riesgos</t>
        </is>
      </c>
      <c r="I3073" t="n">
        <v>80</v>
      </c>
      <c r="J3073" t="n">
        <v>100</v>
      </c>
      <c r="EC3073" t="n">
        <v>1</v>
      </c>
      <c r="ED3073" t="n">
        <v>1</v>
      </c>
    </row>
    <row r="3074">
      <c r="A3074" t="n">
        <v>485</v>
      </c>
      <c r="B3074" t="inlineStr">
        <is>
          <t>Oportunidad en el cierre de acciones</t>
        </is>
      </c>
      <c r="C3074" t="inlineStr">
        <is>
          <t>Gestión de calidad</t>
        </is>
      </c>
      <c r="D3074" t="inlineStr">
        <is>
          <t>Mensual</t>
        </is>
      </c>
      <c r="E3074" t="inlineStr">
        <is>
          <t>Positivo</t>
        </is>
      </c>
      <c r="F3074" s="105" t="n">
        <v>45869</v>
      </c>
      <c r="G3074" t="inlineStr">
        <is>
          <t>485-2025-07-31</t>
        </is>
      </c>
      <c r="H3074" t="inlineStr">
        <is>
          <t>Autoevaluación</t>
        </is>
      </c>
      <c r="I3074" t="n">
        <v>80</v>
      </c>
      <c r="J3074" t="n">
        <v>0</v>
      </c>
      <c r="EC3074" t="n">
        <v>0</v>
      </c>
      <c r="ED3074" t="n">
        <v>0</v>
      </c>
    </row>
    <row r="3075">
      <c r="A3075" t="n">
        <v>485</v>
      </c>
      <c r="B3075" t="inlineStr">
        <is>
          <t>Oportunidad en el cierre de acciones</t>
        </is>
      </c>
      <c r="C3075" t="inlineStr">
        <is>
          <t>Gestión de calidad</t>
        </is>
      </c>
      <c r="D3075" t="inlineStr">
        <is>
          <t>Mensual</t>
        </is>
      </c>
      <c r="E3075" t="inlineStr">
        <is>
          <t>Positivo</t>
        </is>
      </c>
      <c r="F3075" s="105" t="n">
        <v>45869</v>
      </c>
      <c r="G3075" t="inlineStr">
        <is>
          <t>485-2025-07-31</t>
        </is>
      </c>
      <c r="H3075" t="inlineStr">
        <is>
          <t>Entes de control</t>
        </is>
      </c>
      <c r="I3075" t="n">
        <v>80</v>
      </c>
      <c r="J3075" t="n">
        <v>0</v>
      </c>
      <c r="EC3075" t="n">
        <v>0</v>
      </c>
      <c r="ED3075" t="n">
        <v>0</v>
      </c>
    </row>
    <row r="3076">
      <c r="A3076" t="n">
        <v>485</v>
      </c>
      <c r="B3076" t="inlineStr">
        <is>
          <t>Oportunidad en el cierre de acciones</t>
        </is>
      </c>
      <c r="C3076" t="inlineStr">
        <is>
          <t>Gestión de calidad</t>
        </is>
      </c>
      <c r="D3076" t="inlineStr">
        <is>
          <t>Mensual</t>
        </is>
      </c>
      <c r="E3076" t="inlineStr">
        <is>
          <t>Positivo</t>
        </is>
      </c>
      <c r="F3076" s="105" t="n">
        <v>45869</v>
      </c>
      <c r="G3076" t="inlineStr">
        <is>
          <t>485-2025-07-31</t>
        </is>
      </c>
      <c r="H3076" t="inlineStr">
        <is>
          <t>Seguimiento y control</t>
        </is>
      </c>
      <c r="I3076" t="n">
        <v>80</v>
      </c>
      <c r="J3076" t="n">
        <v>0</v>
      </c>
      <c r="EC3076" t="n">
        <v>0</v>
      </c>
      <c r="ED3076" t="n">
        <v>1</v>
      </c>
    </row>
    <row r="3077">
      <c r="A3077" t="n">
        <v>488</v>
      </c>
      <c r="B3077" t="inlineStr">
        <is>
          <t>Oportunidad en el cierre de actividades de los planes de mejora</t>
        </is>
      </c>
      <c r="C3077" t="inlineStr">
        <is>
          <t>Gestión de calidad</t>
        </is>
      </c>
      <c r="D3077" t="inlineStr">
        <is>
          <t>Mensual</t>
        </is>
      </c>
      <c r="E3077" t="inlineStr">
        <is>
          <t>Positivo</t>
        </is>
      </c>
      <c r="F3077" s="105" t="n">
        <v>45869</v>
      </c>
      <c r="G3077" t="inlineStr">
        <is>
          <t>488-2025-07-31</t>
        </is>
      </c>
      <c r="H3077" t="inlineStr">
        <is>
          <t>Auditoría interna</t>
        </is>
      </c>
      <c r="I3077" t="n">
        <v>85</v>
      </c>
      <c r="J3077" t="n">
        <v>33.33000183105469</v>
      </c>
      <c r="EE3077" t="n">
        <v>1</v>
      </c>
      <c r="EF3077" t="n">
        <v>3</v>
      </c>
    </row>
    <row r="3078">
      <c r="A3078" t="n">
        <v>488</v>
      </c>
      <c r="B3078" t="inlineStr">
        <is>
          <t>Oportunidad en el cierre de actividades de los planes de mejora</t>
        </is>
      </c>
      <c r="C3078" t="inlineStr">
        <is>
          <t>Gestión de calidad</t>
        </is>
      </c>
      <c r="D3078" t="inlineStr">
        <is>
          <t>Mensual</t>
        </is>
      </c>
      <c r="E3078" t="inlineStr">
        <is>
          <t>Positivo</t>
        </is>
      </c>
      <c r="F3078" s="105" t="n">
        <v>45869</v>
      </c>
      <c r="G3078" t="inlineStr">
        <is>
          <t>488-2025-07-31</t>
        </is>
      </c>
      <c r="H3078" t="inlineStr">
        <is>
          <t>Auditoría externa</t>
        </is>
      </c>
      <c r="I3078" t="n">
        <v>85</v>
      </c>
      <c r="J3078" t="n">
        <v>60</v>
      </c>
      <c r="EE3078" t="n">
        <v>6</v>
      </c>
      <c r="EF3078" t="n">
        <v>10</v>
      </c>
    </row>
    <row r="3079">
      <c r="A3079" t="n">
        <v>488</v>
      </c>
      <c r="B3079" t="inlineStr">
        <is>
          <t>Oportunidad en el cierre de actividades de los planes de mejora</t>
        </is>
      </c>
      <c r="C3079" t="inlineStr">
        <is>
          <t>Gestión de calidad</t>
        </is>
      </c>
      <c r="D3079" t="inlineStr">
        <is>
          <t>Mensual</t>
        </is>
      </c>
      <c r="E3079" t="inlineStr">
        <is>
          <t>Positivo</t>
        </is>
      </c>
      <c r="F3079" s="105" t="n">
        <v>45869</v>
      </c>
      <c r="G3079" t="inlineStr">
        <is>
          <t>488-2025-07-31</t>
        </is>
      </c>
      <c r="H3079" t="inlineStr">
        <is>
          <t>Indicadores</t>
        </is>
      </c>
      <c r="I3079" t="n">
        <v>85</v>
      </c>
      <c r="J3079" t="n">
        <v>100</v>
      </c>
      <c r="EE3079" t="n">
        <v>7</v>
      </c>
      <c r="EF3079" t="n">
        <v>7</v>
      </c>
    </row>
    <row r="3080">
      <c r="A3080" t="n">
        <v>488</v>
      </c>
      <c r="B3080" t="inlineStr">
        <is>
          <t>Oportunidad en el cierre de actividades de los planes de mejora</t>
        </is>
      </c>
      <c r="C3080" t="inlineStr">
        <is>
          <t>Gestión de calidad</t>
        </is>
      </c>
      <c r="D3080" t="inlineStr">
        <is>
          <t>Mensual</t>
        </is>
      </c>
      <c r="E3080" t="inlineStr">
        <is>
          <t>Positivo</t>
        </is>
      </c>
      <c r="F3080" s="105" t="n">
        <v>45869</v>
      </c>
      <c r="G3080" t="inlineStr">
        <is>
          <t>488-2025-07-31</t>
        </is>
      </c>
      <c r="H3080" t="inlineStr">
        <is>
          <t>Riesgos</t>
        </is>
      </c>
      <c r="I3080" t="n">
        <v>85</v>
      </c>
      <c r="J3080" t="n">
        <v>89.47000122070312</v>
      </c>
      <c r="EE3080" t="n">
        <v>34</v>
      </c>
      <c r="EF3080" t="n">
        <v>38</v>
      </c>
    </row>
    <row r="3081">
      <c r="A3081" t="n">
        <v>488</v>
      </c>
      <c r="B3081" t="inlineStr">
        <is>
          <t>Oportunidad en el cierre de actividades de los planes de mejora</t>
        </is>
      </c>
      <c r="C3081" t="inlineStr">
        <is>
          <t>Gestión de calidad</t>
        </is>
      </c>
      <c r="D3081" t="inlineStr">
        <is>
          <t>Mensual</t>
        </is>
      </c>
      <c r="E3081" t="inlineStr">
        <is>
          <t>Positivo</t>
        </is>
      </c>
      <c r="F3081" s="105" t="n">
        <v>45869</v>
      </c>
      <c r="G3081" t="inlineStr">
        <is>
          <t>488-2025-07-31</t>
        </is>
      </c>
      <c r="H3081" t="inlineStr">
        <is>
          <t>Autoevaluación</t>
        </is>
      </c>
      <c r="I3081" t="n">
        <v>85</v>
      </c>
      <c r="J3081" t="n">
        <v>0</v>
      </c>
      <c r="EE3081" t="n">
        <v>0</v>
      </c>
      <c r="EF3081" t="n">
        <v>0</v>
      </c>
    </row>
    <row r="3082">
      <c r="A3082" t="n">
        <v>488</v>
      </c>
      <c r="B3082" t="inlineStr">
        <is>
          <t>Oportunidad en el cierre de actividades de los planes de mejora</t>
        </is>
      </c>
      <c r="C3082" t="inlineStr">
        <is>
          <t>Gestión de calidad</t>
        </is>
      </c>
      <c r="D3082" t="inlineStr">
        <is>
          <t>Mensual</t>
        </is>
      </c>
      <c r="E3082" t="inlineStr">
        <is>
          <t>Positivo</t>
        </is>
      </c>
      <c r="F3082" s="105" t="n">
        <v>45869</v>
      </c>
      <c r="G3082" t="inlineStr">
        <is>
          <t>488-2025-07-31</t>
        </is>
      </c>
      <c r="H3082" t="inlineStr">
        <is>
          <t>Entes de control</t>
        </is>
      </c>
      <c r="I3082" t="n">
        <v>85</v>
      </c>
      <c r="J3082" t="n">
        <v>0</v>
      </c>
      <c r="EE3082" t="n">
        <v>0</v>
      </c>
      <c r="EF3082" t="n">
        <v>0</v>
      </c>
    </row>
    <row r="3083">
      <c r="A3083" t="n">
        <v>488</v>
      </c>
      <c r="B3083" t="inlineStr">
        <is>
          <t>Oportunidad en el cierre de actividades de los planes de mejora</t>
        </is>
      </c>
      <c r="C3083" t="inlineStr">
        <is>
          <t>Gestión de calidad</t>
        </is>
      </c>
      <c r="D3083" t="inlineStr">
        <is>
          <t>Mensual</t>
        </is>
      </c>
      <c r="E3083" t="inlineStr">
        <is>
          <t>Positivo</t>
        </is>
      </c>
      <c r="F3083" s="105" t="n">
        <v>45869</v>
      </c>
      <c r="G3083" t="inlineStr">
        <is>
          <t>488-2025-07-31</t>
        </is>
      </c>
      <c r="H3083" t="inlineStr">
        <is>
          <t>Experiencia</t>
        </is>
      </c>
      <c r="I3083" t="n">
        <v>85</v>
      </c>
      <c r="J3083" t="n">
        <v>0</v>
      </c>
      <c r="EE3083" t="n">
        <v>0</v>
      </c>
      <c r="EF3083" t="n">
        <v>0</v>
      </c>
    </row>
    <row r="3084">
      <c r="A3084" t="n">
        <v>488</v>
      </c>
      <c r="B3084" t="inlineStr">
        <is>
          <t>Oportunidad en el cierre de actividades de los planes de mejora</t>
        </is>
      </c>
      <c r="C3084" t="inlineStr">
        <is>
          <t>Gestión de calidad</t>
        </is>
      </c>
      <c r="D3084" t="inlineStr">
        <is>
          <t>Mensual</t>
        </is>
      </c>
      <c r="E3084" t="inlineStr">
        <is>
          <t>Positivo</t>
        </is>
      </c>
      <c r="F3084" s="105" t="n">
        <v>45869</v>
      </c>
      <c r="G3084" t="inlineStr">
        <is>
          <t>488-2025-07-31</t>
        </is>
      </c>
      <c r="H3084" t="inlineStr">
        <is>
          <t>Revisión por la dirección</t>
        </is>
      </c>
      <c r="I3084" t="n">
        <v>85</v>
      </c>
      <c r="J3084" t="n">
        <v>0</v>
      </c>
      <c r="EE3084" t="n">
        <v>0</v>
      </c>
      <c r="EF3084" t="n">
        <v>0</v>
      </c>
    </row>
    <row r="3085">
      <c r="A3085" t="n">
        <v>488</v>
      </c>
      <c r="B3085" t="inlineStr">
        <is>
          <t>Oportunidad en el cierre de actividades de los planes de mejora</t>
        </is>
      </c>
      <c r="C3085" t="inlineStr">
        <is>
          <t>Gestión de calidad</t>
        </is>
      </c>
      <c r="D3085" t="inlineStr">
        <is>
          <t>Mensual</t>
        </is>
      </c>
      <c r="E3085" t="inlineStr">
        <is>
          <t>Positivo</t>
        </is>
      </c>
      <c r="F3085" s="105" t="n">
        <v>45869</v>
      </c>
      <c r="G3085" t="inlineStr">
        <is>
          <t>488-2025-07-31</t>
        </is>
      </c>
      <c r="H3085" t="inlineStr">
        <is>
          <t>Seguimiento y control</t>
        </is>
      </c>
      <c r="I3085" t="n">
        <v>85</v>
      </c>
      <c r="J3085" t="n">
        <v>85.70999908447266</v>
      </c>
      <c r="EE3085" t="n">
        <v>18</v>
      </c>
      <c r="EF3085" t="n">
        <v>21</v>
      </c>
    </row>
    <row r="3086">
      <c r="A3086" t="n">
        <v>509</v>
      </c>
      <c r="B3086" t="inlineStr">
        <is>
          <t>Cumplimiento a cronograma de proyectos 2025</t>
        </is>
      </c>
      <c r="C3086" t="inlineStr">
        <is>
          <t>Gestión de Proyectos</t>
        </is>
      </c>
      <c r="D3086" t="inlineStr">
        <is>
          <t>Mensual</t>
        </is>
      </c>
      <c r="E3086" t="inlineStr">
        <is>
          <t>Positivo</t>
        </is>
      </c>
      <c r="F3086" s="105" t="n">
        <v>45869</v>
      </c>
      <c r="G3086" t="inlineStr">
        <is>
          <t>509-2025-07-31</t>
        </is>
      </c>
      <c r="H3086" t="inlineStr">
        <is>
          <t>Acreditación Institucional fase III Etapa de evaluación externa o evaluación por pares</t>
        </is>
      </c>
      <c r="I3086" t="n">
        <v>90</v>
      </c>
      <c r="J3086" t="n">
        <v>100</v>
      </c>
      <c r="EJ3086" t="n">
        <v>55</v>
      </c>
      <c r="EK3086" t="n">
        <v>55</v>
      </c>
    </row>
    <row r="3087">
      <c r="A3087" t="n">
        <v>509</v>
      </c>
      <c r="B3087" t="inlineStr">
        <is>
          <t>Cumplimiento a cronograma de proyectos 2025</t>
        </is>
      </c>
      <c r="C3087" t="inlineStr">
        <is>
          <t>Gestión de Proyectos</t>
        </is>
      </c>
      <c r="D3087" t="inlineStr">
        <is>
          <t>Mensual</t>
        </is>
      </c>
      <c r="E3087" t="inlineStr">
        <is>
          <t>Positivo</t>
        </is>
      </c>
      <c r="F3087" s="105" t="n">
        <v>45869</v>
      </c>
      <c r="G3087" t="inlineStr">
        <is>
          <t>509-2025-07-31</t>
        </is>
      </c>
      <c r="H3087" t="inlineStr">
        <is>
          <t>Actualización de TRD y creación del Plan de Gestión documental</t>
        </is>
      </c>
      <c r="I3087" t="n">
        <v>90</v>
      </c>
      <c r="J3087" t="n">
        <v>89.88999938964844</v>
      </c>
      <c r="EJ3087" t="n">
        <v>89</v>
      </c>
      <c r="EK3087" t="n">
        <v>80</v>
      </c>
    </row>
    <row r="3088">
      <c r="A3088" t="n">
        <v>509</v>
      </c>
      <c r="B3088" t="inlineStr">
        <is>
          <t>Cumplimiento a cronograma de proyectos 2025</t>
        </is>
      </c>
      <c r="C3088" t="inlineStr">
        <is>
          <t>Gestión de Proyectos</t>
        </is>
      </c>
      <c r="D3088" t="inlineStr">
        <is>
          <t>Mensual</t>
        </is>
      </c>
      <c r="E3088" t="inlineStr">
        <is>
          <t>Positivo</t>
        </is>
      </c>
      <c r="F3088" s="105" t="n">
        <v>45869</v>
      </c>
      <c r="G3088" t="inlineStr">
        <is>
          <t>509-2025-07-31</t>
        </is>
      </c>
      <c r="H3088" t="inlineStr">
        <is>
          <t>Ecosistema E3</t>
        </is>
      </c>
      <c r="I3088" t="n">
        <v>90</v>
      </c>
      <c r="J3088" t="n">
        <v>95.91999816894531</v>
      </c>
      <c r="EJ3088" t="n">
        <v>98</v>
      </c>
      <c r="EK3088" t="n">
        <v>94</v>
      </c>
    </row>
    <row r="3089">
      <c r="A3089" t="n">
        <v>509</v>
      </c>
      <c r="B3089" t="inlineStr">
        <is>
          <t>Cumplimiento a cronograma de proyectos 2025</t>
        </is>
      </c>
      <c r="C3089" t="inlineStr">
        <is>
          <t>Gestión de Proyectos</t>
        </is>
      </c>
      <c r="D3089" t="inlineStr">
        <is>
          <t>Mensual</t>
        </is>
      </c>
      <c r="E3089" t="inlineStr">
        <is>
          <t>Positivo</t>
        </is>
      </c>
      <c r="F3089" s="105" t="n">
        <v>45869</v>
      </c>
      <c r="G3089" t="inlineStr">
        <is>
          <t>509-2025-07-31</t>
        </is>
      </c>
      <c r="H3089" t="inlineStr">
        <is>
          <t>Fortalecimiento de la investigación, la innovación y la creación</t>
        </is>
      </c>
      <c r="I3089" t="n">
        <v>90</v>
      </c>
      <c r="J3089" t="n">
        <v>0</v>
      </c>
      <c r="EJ3089" t="n">
        <v>0</v>
      </c>
      <c r="EK3089" t="n">
        <v>0</v>
      </c>
    </row>
    <row r="3090">
      <c r="A3090" t="n">
        <v>509</v>
      </c>
      <c r="B3090" t="inlineStr">
        <is>
          <t>Cumplimiento a cronograma de proyectos 2025</t>
        </is>
      </c>
      <c r="C3090" t="inlineStr">
        <is>
          <t>Gestión de Proyectos</t>
        </is>
      </c>
      <c r="D3090" t="inlineStr">
        <is>
          <t>Mensual</t>
        </is>
      </c>
      <c r="E3090" t="inlineStr">
        <is>
          <t>Positivo</t>
        </is>
      </c>
      <c r="F3090" s="105" t="n">
        <v>45869</v>
      </c>
      <c r="G3090" t="inlineStr">
        <is>
          <t>509-2025-07-31</t>
        </is>
      </c>
      <c r="H3090" t="inlineStr">
        <is>
          <t>Fortalecimiento de planta docente</t>
        </is>
      </c>
      <c r="I3090" t="n">
        <v>90</v>
      </c>
      <c r="J3090" t="n">
        <v>98.56999969482422</v>
      </c>
      <c r="EJ3090" t="n">
        <v>70</v>
      </c>
      <c r="EK3090" t="n">
        <v>69</v>
      </c>
    </row>
    <row r="3091">
      <c r="A3091" t="n">
        <v>509</v>
      </c>
      <c r="B3091" t="inlineStr">
        <is>
          <t>Cumplimiento a cronograma de proyectos 2025</t>
        </is>
      </c>
      <c r="C3091" t="inlineStr">
        <is>
          <t>Gestión de Proyectos</t>
        </is>
      </c>
      <c r="D3091" t="inlineStr">
        <is>
          <t>Mensual</t>
        </is>
      </c>
      <c r="E3091" t="inlineStr">
        <is>
          <t>Positivo</t>
        </is>
      </c>
      <c r="F3091" s="105" t="n">
        <v>45869</v>
      </c>
      <c r="G3091" t="inlineStr">
        <is>
          <t>509-2025-07-31</t>
        </is>
      </c>
      <c r="H3091" t="inlineStr">
        <is>
          <t>Gobierno de datos</t>
        </is>
      </c>
      <c r="I3091" t="n">
        <v>90</v>
      </c>
      <c r="J3091" t="n">
        <v>0</v>
      </c>
      <c r="EJ3091" t="n">
        <v>0</v>
      </c>
      <c r="EK3091" t="n">
        <v>0</v>
      </c>
    </row>
    <row r="3092">
      <c r="A3092" t="n">
        <v>509</v>
      </c>
      <c r="B3092" t="inlineStr">
        <is>
          <t>Cumplimiento a cronograma de proyectos 2025</t>
        </is>
      </c>
      <c r="C3092" t="inlineStr">
        <is>
          <t>Gestión de Proyectos</t>
        </is>
      </c>
      <c r="D3092" t="inlineStr">
        <is>
          <t>Mensual</t>
        </is>
      </c>
      <c r="E3092" t="inlineStr">
        <is>
          <t>Positivo</t>
        </is>
      </c>
      <c r="F3092" s="105" t="n">
        <v>45869</v>
      </c>
      <c r="G3092" t="inlineStr">
        <is>
          <t>509-2025-07-31</t>
        </is>
      </c>
      <c r="H3092" t="inlineStr">
        <is>
          <t>Herramientas de Gestión para el mejoramiento continuo</t>
        </is>
      </c>
      <c r="I3092" t="n">
        <v>90</v>
      </c>
      <c r="J3092" t="n">
        <v>95.44999694824219</v>
      </c>
      <c r="EJ3092" t="n">
        <v>22</v>
      </c>
      <c r="EK3092" t="n">
        <v>21</v>
      </c>
    </row>
    <row r="3093">
      <c r="A3093" t="n">
        <v>509</v>
      </c>
      <c r="B3093" t="inlineStr">
        <is>
          <t>Cumplimiento a cronograma de proyectos 2025</t>
        </is>
      </c>
      <c r="C3093" t="inlineStr">
        <is>
          <t>Gestión de Proyectos</t>
        </is>
      </c>
      <c r="D3093" t="inlineStr">
        <is>
          <t>Mensual</t>
        </is>
      </c>
      <c r="E3093" t="inlineStr">
        <is>
          <t>Positivo</t>
        </is>
      </c>
      <c r="F3093" s="105" t="n">
        <v>45869</v>
      </c>
      <c r="G3093" t="inlineStr">
        <is>
          <t>509-2025-07-31</t>
        </is>
      </c>
      <c r="H3093" t="inlineStr">
        <is>
          <t>Proyecto de Permanencia institucional</t>
        </is>
      </c>
      <c r="I3093" t="n">
        <v>90</v>
      </c>
      <c r="J3093" t="n">
        <v>0</v>
      </c>
      <c r="EJ3093" t="n">
        <v>0</v>
      </c>
      <c r="EK3093" t="n">
        <v>0</v>
      </c>
    </row>
    <row r="3094">
      <c r="A3094" t="n">
        <v>509</v>
      </c>
      <c r="B3094" t="inlineStr">
        <is>
          <t>Cumplimiento a cronograma de proyectos 2025</t>
        </is>
      </c>
      <c r="C3094" t="inlineStr">
        <is>
          <t>Gestión de Proyectos</t>
        </is>
      </c>
      <c r="D3094" t="inlineStr">
        <is>
          <t>Mensual</t>
        </is>
      </c>
      <c r="E3094" t="inlineStr">
        <is>
          <t>Positivo</t>
        </is>
      </c>
      <c r="F3094" s="105" t="n">
        <v>45869</v>
      </c>
      <c r="G3094" t="inlineStr">
        <is>
          <t>509-2025-07-31</t>
        </is>
      </c>
      <c r="H3094" t="inlineStr">
        <is>
          <t>Reingenieria de aplicaciones</t>
        </is>
      </c>
      <c r="I3094" t="n">
        <v>90</v>
      </c>
      <c r="J3094" t="n">
        <v>0</v>
      </c>
      <c r="EJ3094" t="n">
        <v>0</v>
      </c>
      <c r="EK3094" t="n">
        <v>0</v>
      </c>
    </row>
    <row r="3095">
      <c r="A3095" t="n">
        <v>509</v>
      </c>
      <c r="B3095" t="inlineStr">
        <is>
          <t>Cumplimiento a cronograma de proyectos 2025</t>
        </is>
      </c>
      <c r="C3095" t="inlineStr">
        <is>
          <t>Gestión de Proyectos</t>
        </is>
      </c>
      <c r="D3095" t="inlineStr">
        <is>
          <t>Mensual</t>
        </is>
      </c>
      <c r="E3095" t="inlineStr">
        <is>
          <t>Positivo</t>
        </is>
      </c>
      <c r="F3095" s="105" t="n">
        <v>45869</v>
      </c>
      <c r="G3095" t="inlineStr">
        <is>
          <t>509-2025-07-31</t>
        </is>
      </c>
      <c r="H3095" t="inlineStr">
        <is>
          <t>SOPHIA Sistema de Optimización y Programación Horaria Institucional  Académica  I Fase</t>
        </is>
      </c>
      <c r="I3095" t="n">
        <v>90</v>
      </c>
      <c r="J3095" t="n">
        <v>0</v>
      </c>
      <c r="EJ3095" t="n">
        <v>0</v>
      </c>
      <c r="EK3095" t="n">
        <v>0</v>
      </c>
    </row>
    <row r="3096">
      <c r="A3096" t="n">
        <v>509</v>
      </c>
      <c r="B3096" t="inlineStr">
        <is>
          <t>Cumplimiento a cronograma de proyectos 2025</t>
        </is>
      </c>
      <c r="C3096" t="inlineStr">
        <is>
          <t>Gestión de Proyectos</t>
        </is>
      </c>
      <c r="D3096" t="inlineStr">
        <is>
          <t>Mensual</t>
        </is>
      </c>
      <c r="E3096" t="inlineStr">
        <is>
          <t>Positivo</t>
        </is>
      </c>
      <c r="F3096" s="105" t="n">
        <v>45869</v>
      </c>
      <c r="G3096" t="inlineStr">
        <is>
          <t>509-2025-07-31</t>
        </is>
      </c>
      <c r="H3096" t="inlineStr">
        <is>
          <t>Modelo de seguimiento al graduado</t>
        </is>
      </c>
      <c r="I3096" t="n">
        <v>90</v>
      </c>
      <c r="J3096" t="n">
        <v>97.13999938964844</v>
      </c>
      <c r="EJ3096" t="n">
        <v>70</v>
      </c>
      <c r="EK3096" t="n">
        <v>68</v>
      </c>
    </row>
    <row r="3097">
      <c r="A3097" t="n">
        <v>509</v>
      </c>
      <c r="B3097" t="inlineStr">
        <is>
          <t>Cumplimiento a cronograma de proyectos 2025</t>
        </is>
      </c>
      <c r="C3097" t="inlineStr">
        <is>
          <t>Gestión de Proyectos</t>
        </is>
      </c>
      <c r="D3097" t="inlineStr">
        <is>
          <t>Mensual</t>
        </is>
      </c>
      <c r="E3097" t="inlineStr">
        <is>
          <t>Positivo</t>
        </is>
      </c>
      <c r="F3097" s="105" t="n">
        <v>45869</v>
      </c>
      <c r="G3097" t="inlineStr">
        <is>
          <t>509-2025-07-31</t>
        </is>
      </c>
      <c r="H3097" t="inlineStr">
        <is>
          <t>SER PRO Fase II</t>
        </is>
      </c>
      <c r="I3097" t="n">
        <v>90</v>
      </c>
      <c r="J3097" t="n">
        <v>0</v>
      </c>
      <c r="EJ3097" t="n">
        <v>0</v>
      </c>
      <c r="EK3097" t="n">
        <v>0</v>
      </c>
    </row>
    <row r="3098">
      <c r="A3098" t="n">
        <v>509</v>
      </c>
      <c r="B3098" t="inlineStr">
        <is>
          <t>Cumplimiento a cronograma de proyectos 2025</t>
        </is>
      </c>
      <c r="C3098" t="inlineStr">
        <is>
          <t>Gestión de Proyectos</t>
        </is>
      </c>
      <c r="D3098" t="inlineStr">
        <is>
          <t>Mensual</t>
        </is>
      </c>
      <c r="E3098" t="inlineStr">
        <is>
          <t>Positivo</t>
        </is>
      </c>
      <c r="F3098" s="105" t="n">
        <v>45869</v>
      </c>
      <c r="G3098" t="inlineStr">
        <is>
          <t>509-2025-07-31</t>
        </is>
      </c>
      <c r="H3098" t="inlineStr">
        <is>
          <t>Centro de Idiomas POLI</t>
        </is>
      </c>
      <c r="I3098" t="n">
        <v>90</v>
      </c>
      <c r="J3098" t="n">
        <v>0</v>
      </c>
      <c r="EJ3098" t="n">
        <v>0</v>
      </c>
      <c r="EK3098" t="n">
        <v>0</v>
      </c>
    </row>
    <row r="3099">
      <c r="A3099" t="n">
        <v>509</v>
      </c>
      <c r="B3099" t="inlineStr">
        <is>
          <t>Cumplimiento a cronograma de proyectos 2025</t>
        </is>
      </c>
      <c r="C3099" t="inlineStr">
        <is>
          <t>Gestión de Proyectos</t>
        </is>
      </c>
      <c r="D3099" t="inlineStr">
        <is>
          <t>Mensual</t>
        </is>
      </c>
      <c r="E3099" t="inlineStr">
        <is>
          <t>Positivo</t>
        </is>
      </c>
      <c r="F3099" s="105" t="n">
        <v>45869</v>
      </c>
      <c r="G3099" t="inlineStr">
        <is>
          <t>509-2025-07-31</t>
        </is>
      </c>
      <c r="H3099" t="inlineStr">
        <is>
          <t>Colegio Virtual</t>
        </is>
      </c>
      <c r="I3099" t="n">
        <v>90</v>
      </c>
      <c r="J3099" t="n">
        <v>0</v>
      </c>
      <c r="EJ3099" t="n">
        <v>0</v>
      </c>
      <c r="EK3099" t="n">
        <v>0</v>
      </c>
    </row>
    <row r="3100">
      <c r="A3100" t="n">
        <v>509</v>
      </c>
      <c r="B3100" t="inlineStr">
        <is>
          <t>Cumplimiento a cronograma de proyectos 2025</t>
        </is>
      </c>
      <c r="C3100" t="inlineStr">
        <is>
          <t>Gestión de Proyectos</t>
        </is>
      </c>
      <c r="D3100" t="inlineStr">
        <is>
          <t>Mensual</t>
        </is>
      </c>
      <c r="E3100" t="inlineStr">
        <is>
          <t>Positivo</t>
        </is>
      </c>
      <c r="F3100" s="105" t="n">
        <v>45869</v>
      </c>
      <c r="G3100" t="inlineStr">
        <is>
          <t>509-2025-07-31</t>
        </is>
      </c>
      <c r="H3100" t="inlineStr">
        <is>
          <t>Institución de educación para el trabajo y desarrollo humano IETDH</t>
        </is>
      </c>
      <c r="I3100" t="n">
        <v>90</v>
      </c>
      <c r="J3100" t="n">
        <v>0</v>
      </c>
      <c r="EJ3100" t="n">
        <v>0</v>
      </c>
      <c r="EK3100" t="n">
        <v>0</v>
      </c>
    </row>
    <row r="3101">
      <c r="A3101" t="n">
        <v>509</v>
      </c>
      <c r="B3101" t="inlineStr">
        <is>
          <t>Cumplimiento a cronograma de proyectos 2025</t>
        </is>
      </c>
      <c r="C3101" t="inlineStr">
        <is>
          <t>Gestión de Proyectos</t>
        </is>
      </c>
      <c r="D3101" t="inlineStr">
        <is>
          <t>Mensual</t>
        </is>
      </c>
      <c r="E3101" t="inlineStr">
        <is>
          <t>Positivo</t>
        </is>
      </c>
      <c r="F3101" s="105" t="n">
        <v>45869</v>
      </c>
      <c r="G3101" t="inlineStr">
        <is>
          <t>509-2025-07-31</t>
        </is>
      </c>
      <c r="H3101" t="inlineStr">
        <is>
          <t>Plataforma Tecnologica de Gestión de información Curricular</t>
        </is>
      </c>
      <c r="I3101" t="n">
        <v>90</v>
      </c>
      <c r="J3101" t="n">
        <v>0</v>
      </c>
      <c r="EJ3101" t="n">
        <v>0</v>
      </c>
      <c r="EK3101" t="n">
        <v>0</v>
      </c>
    </row>
    <row r="3102">
      <c r="A3102" t="n">
        <v>509</v>
      </c>
      <c r="B3102" t="inlineStr">
        <is>
          <t>Cumplimiento a cronograma de proyectos 2025</t>
        </is>
      </c>
      <c r="C3102" t="inlineStr">
        <is>
          <t>Gestión de Proyectos</t>
        </is>
      </c>
      <c r="D3102" t="inlineStr">
        <is>
          <t>Mensual</t>
        </is>
      </c>
      <c r="E3102" t="inlineStr">
        <is>
          <t>Positivo</t>
        </is>
      </c>
      <c r="F3102" s="105" t="n">
        <v>45869</v>
      </c>
      <c r="G3102" t="inlineStr">
        <is>
          <t>509-2025-07-31</t>
        </is>
      </c>
      <c r="H3102" t="inlineStr">
        <is>
          <t>Sistema de medición de resultados de aprendizaje</t>
        </is>
      </c>
      <c r="I3102" t="n">
        <v>90</v>
      </c>
      <c r="J3102" t="n">
        <v>0</v>
      </c>
      <c r="EJ3102" t="n">
        <v>0</v>
      </c>
      <c r="EK3102" t="n">
        <v>0</v>
      </c>
    </row>
    <row r="3103">
      <c r="A3103" t="n">
        <v>509</v>
      </c>
      <c r="B3103" t="inlineStr">
        <is>
          <t>Cumplimiento a cronograma de proyectos 2025</t>
        </is>
      </c>
      <c r="C3103" t="inlineStr">
        <is>
          <t>Gestión de Proyectos</t>
        </is>
      </c>
      <c r="D3103" t="inlineStr">
        <is>
          <t>Mensual</t>
        </is>
      </c>
      <c r="E3103" t="inlineStr">
        <is>
          <t>Positivo</t>
        </is>
      </c>
      <c r="F3103" s="105" t="n">
        <v>45869</v>
      </c>
      <c r="G3103" t="inlineStr">
        <is>
          <t>509-2025-07-31</t>
        </is>
      </c>
      <c r="H3103" t="inlineStr">
        <is>
          <t>ADN POLI</t>
        </is>
      </c>
      <c r="I3103" t="n">
        <v>90</v>
      </c>
      <c r="J3103" t="n">
        <v>100</v>
      </c>
      <c r="EJ3103" t="n">
        <v>25</v>
      </c>
      <c r="EK3103" t="n">
        <v>25</v>
      </c>
    </row>
    <row r="3104">
      <c r="A3104" t="n">
        <v>208</v>
      </c>
      <c r="B3104" t="inlineStr">
        <is>
          <t>Consumo de Agua m3 Mensual</t>
        </is>
      </c>
      <c r="C3104" t="inlineStr">
        <is>
          <t>GESTIÓN AMBIENTAL</t>
        </is>
      </c>
      <c r="D3104" t="inlineStr">
        <is>
          <t>Mensual</t>
        </is>
      </c>
      <c r="E3104" t="inlineStr">
        <is>
          <t>Negativo</t>
        </is>
      </c>
      <c r="F3104" s="105" t="n">
        <v>45900</v>
      </c>
      <c r="G3104" t="inlineStr">
        <is>
          <t>208-2025-08-31</t>
        </is>
      </c>
      <c r="H3104" t="inlineStr">
        <is>
          <t>Campus Bogotá</t>
        </is>
      </c>
      <c r="I3104" t="n">
        <v>950</v>
      </c>
      <c r="J3104" t="n">
        <v>659</v>
      </c>
      <c r="K3104" t="n">
        <v>659</v>
      </c>
    </row>
    <row r="3105">
      <c r="A3105" t="n">
        <v>208</v>
      </c>
      <c r="B3105" t="inlineStr">
        <is>
          <t>Consumo de Agua m3 Mensual</t>
        </is>
      </c>
      <c r="C3105" t="inlineStr">
        <is>
          <t>GESTIÓN AMBIENTAL</t>
        </is>
      </c>
      <c r="D3105" t="inlineStr">
        <is>
          <t>Mensual</t>
        </is>
      </c>
      <c r="E3105" t="inlineStr">
        <is>
          <t>Negativo</t>
        </is>
      </c>
      <c r="F3105" s="105" t="n">
        <v>45900</v>
      </c>
      <c r="G3105" t="inlineStr">
        <is>
          <t>208-2025-08-31</t>
        </is>
      </c>
      <c r="H3105" t="inlineStr">
        <is>
          <t>Sede Posgrado-Calle 85</t>
        </is>
      </c>
      <c r="I3105" t="n">
        <v>25</v>
      </c>
      <c r="J3105" t="n">
        <v>5.5</v>
      </c>
      <c r="K3105" t="n">
        <v>5.5</v>
      </c>
    </row>
    <row r="3106">
      <c r="A3106" t="n">
        <v>208</v>
      </c>
      <c r="B3106" t="inlineStr">
        <is>
          <t>Consumo de Agua m3 Mensual</t>
        </is>
      </c>
      <c r="C3106" t="inlineStr">
        <is>
          <t>GESTIÓN AMBIENTAL</t>
        </is>
      </c>
      <c r="D3106" t="inlineStr">
        <is>
          <t>Mensual</t>
        </is>
      </c>
      <c r="E3106" t="inlineStr">
        <is>
          <t>Negativo</t>
        </is>
      </c>
      <c r="F3106" s="105" t="n">
        <v>45900</v>
      </c>
      <c r="G3106" t="inlineStr">
        <is>
          <t>208-2025-08-31</t>
        </is>
      </c>
      <c r="H3106" t="inlineStr">
        <is>
          <t>Campus-Medellín</t>
        </is>
      </c>
      <c r="I3106" t="n">
        <v>200</v>
      </c>
      <c r="J3106" t="n">
        <v>169</v>
      </c>
      <c r="K3106" t="n">
        <v>169</v>
      </c>
    </row>
    <row r="3107">
      <c r="A3107" t="n">
        <v>208</v>
      </c>
      <c r="B3107" t="inlineStr">
        <is>
          <t>Consumo de Agua m3 Mensual</t>
        </is>
      </c>
      <c r="C3107" t="inlineStr">
        <is>
          <t>GESTIÓN AMBIENTAL</t>
        </is>
      </c>
      <c r="D3107" t="inlineStr">
        <is>
          <t>Mensual</t>
        </is>
      </c>
      <c r="E3107" t="inlineStr">
        <is>
          <t>Negativo</t>
        </is>
      </c>
      <c r="F3107" s="105" t="n">
        <v>45900</v>
      </c>
      <c r="G3107" t="inlineStr">
        <is>
          <t>208-2025-08-31</t>
        </is>
      </c>
      <c r="H3107" t="inlineStr">
        <is>
          <t>Sede Bienestar - Medellín</t>
        </is>
      </c>
      <c r="I3107" t="n">
        <v>0</v>
      </c>
      <c r="J3107" t="n">
        <v>0</v>
      </c>
      <c r="K3107" t="n">
        <v>0</v>
      </c>
    </row>
    <row r="3108">
      <c r="A3108" t="n">
        <v>208</v>
      </c>
      <c r="B3108" t="inlineStr">
        <is>
          <t>Consumo de Agua m3 Mensual</t>
        </is>
      </c>
      <c r="C3108" t="inlineStr">
        <is>
          <t>GESTIÓN AMBIENTAL</t>
        </is>
      </c>
      <c r="D3108" t="inlineStr">
        <is>
          <t>Mensual</t>
        </is>
      </c>
      <c r="E3108" t="inlineStr">
        <is>
          <t>Negativo</t>
        </is>
      </c>
      <c r="F3108" s="105" t="n">
        <v>45900</v>
      </c>
      <c r="G3108" t="inlineStr">
        <is>
          <t>208-2025-08-31</t>
        </is>
      </c>
      <c r="H3108" t="inlineStr">
        <is>
          <t>Consultorio Psicología - Medellin</t>
        </is>
      </c>
      <c r="I3108" t="n">
        <v>25</v>
      </c>
      <c r="J3108" t="n">
        <v>18</v>
      </c>
      <c r="K3108" t="n">
        <v>18</v>
      </c>
    </row>
    <row r="3109">
      <c r="A3109" t="n">
        <v>208</v>
      </c>
      <c r="B3109" t="inlineStr">
        <is>
          <t>Consumo de Agua m3 Mensual</t>
        </is>
      </c>
      <c r="C3109" t="inlineStr">
        <is>
          <t>GESTIÓN AMBIENTAL</t>
        </is>
      </c>
      <c r="D3109" t="inlineStr">
        <is>
          <t>Mensual</t>
        </is>
      </c>
      <c r="E3109" t="inlineStr">
        <is>
          <t>Negativo</t>
        </is>
      </c>
      <c r="F3109" s="105" t="n">
        <v>45900</v>
      </c>
      <c r="G3109" t="inlineStr">
        <is>
          <t>208-2025-08-31</t>
        </is>
      </c>
      <c r="H3109" t="inlineStr">
        <is>
          <t>City Campus</t>
        </is>
      </c>
      <c r="I3109" t="n">
        <v>350</v>
      </c>
      <c r="J3109" t="n">
        <v>409.5</v>
      </c>
      <c r="K3109" t="n">
        <v>409.5</v>
      </c>
    </row>
    <row r="3110">
      <c r="A3110" t="n">
        <v>214</v>
      </c>
      <c r="B3110" t="inlineStr">
        <is>
          <t>Generación de Residuos Sólidos Mensual</t>
        </is>
      </c>
      <c r="C3110" t="inlineStr">
        <is>
          <t>GESTIÓN AMBIENTAL</t>
        </is>
      </c>
      <c r="D3110" t="inlineStr">
        <is>
          <t>Mensual</t>
        </is>
      </c>
      <c r="E3110" t="inlineStr">
        <is>
          <t>Negativo</t>
        </is>
      </c>
      <c r="F3110" s="105" t="n">
        <v>45900</v>
      </c>
      <c r="G3110" t="inlineStr">
        <is>
          <t>214-2025-08-31</t>
        </is>
      </c>
      <c r="H3110" t="inlineStr">
        <is>
          <t>Campus Bogotá</t>
        </is>
      </c>
      <c r="I3110" t="n">
        <v>5500</v>
      </c>
      <c r="J3110" t="n">
        <v>2743.510009765625</v>
      </c>
      <c r="L3110" t="n">
        <v>139.21</v>
      </c>
      <c r="M3110" t="n">
        <v>2604.3</v>
      </c>
    </row>
    <row r="3111">
      <c r="A3111" t="n">
        <v>214</v>
      </c>
      <c r="B3111" t="inlineStr">
        <is>
          <t>Generación de Residuos Sólidos Mensual</t>
        </is>
      </c>
      <c r="C3111" t="inlineStr">
        <is>
          <t>GESTIÓN AMBIENTAL</t>
        </is>
      </c>
      <c r="D3111" t="inlineStr">
        <is>
          <t>Mensual</t>
        </is>
      </c>
      <c r="E3111" t="inlineStr">
        <is>
          <t>Negativo</t>
        </is>
      </c>
      <c r="F3111" s="105" t="n">
        <v>45900</v>
      </c>
      <c r="G3111" t="inlineStr">
        <is>
          <t>214-2025-08-31</t>
        </is>
      </c>
      <c r="H3111" t="inlineStr">
        <is>
          <t>City Campus</t>
        </is>
      </c>
      <c r="I3111" t="n">
        <v>1000</v>
      </c>
      <c r="J3111" t="n">
        <v>1181.77001953125</v>
      </c>
      <c r="L3111" t="n">
        <v>251.79</v>
      </c>
      <c r="M3111" t="n">
        <v>929.98</v>
      </c>
    </row>
    <row r="3112">
      <c r="A3112" t="n">
        <v>214</v>
      </c>
      <c r="B3112" t="inlineStr">
        <is>
          <t>Generación de Residuos Sólidos Mensual</t>
        </is>
      </c>
      <c r="C3112" t="inlineStr">
        <is>
          <t>GESTIÓN AMBIENTAL</t>
        </is>
      </c>
      <c r="D3112" t="inlineStr">
        <is>
          <t>Mensual</t>
        </is>
      </c>
      <c r="E3112" t="inlineStr">
        <is>
          <t>Negativo</t>
        </is>
      </c>
      <c r="F3112" s="105" t="n">
        <v>45900</v>
      </c>
      <c r="G3112" t="inlineStr">
        <is>
          <t>214-2025-08-31</t>
        </is>
      </c>
      <c r="H3112" t="inlineStr">
        <is>
          <t>Sede Posgrado-Calle 85</t>
        </is>
      </c>
      <c r="I3112" t="n">
        <v>7500</v>
      </c>
      <c r="J3112" t="n">
        <v>18.67000007629395</v>
      </c>
      <c r="L3112" t="n">
        <v>10.6</v>
      </c>
      <c r="M3112" t="n">
        <v>8.07</v>
      </c>
    </row>
    <row r="3113">
      <c r="A3113" t="n">
        <v>214</v>
      </c>
      <c r="B3113" t="inlineStr">
        <is>
          <t>Generación de Residuos Sólidos Mensual</t>
        </is>
      </c>
      <c r="C3113" t="inlineStr">
        <is>
          <t>GESTIÓN AMBIENTAL</t>
        </is>
      </c>
      <c r="D3113" t="inlineStr">
        <is>
          <t>Mensual</t>
        </is>
      </c>
      <c r="E3113" t="inlineStr">
        <is>
          <t>Negativo</t>
        </is>
      </c>
      <c r="F3113" s="105" t="n">
        <v>45900</v>
      </c>
      <c r="G3113" t="inlineStr">
        <is>
          <t>214-2025-08-31</t>
        </is>
      </c>
      <c r="H3113" t="inlineStr">
        <is>
          <t>Sede Bienestar - Medellín</t>
        </is>
      </c>
      <c r="I3113" t="n">
        <v>1</v>
      </c>
      <c r="J3113" t="n">
        <v>167.6499938964844</v>
      </c>
      <c r="L3113" t="n">
        <v>23.52</v>
      </c>
      <c r="M3113" t="n">
        <v>144.13</v>
      </c>
    </row>
    <row r="3114">
      <c r="A3114" t="n">
        <v>214</v>
      </c>
      <c r="B3114" t="inlineStr">
        <is>
          <t>Generación de Residuos Sólidos Mensual</t>
        </is>
      </c>
      <c r="C3114" t="inlineStr">
        <is>
          <t>GESTIÓN AMBIENTAL</t>
        </is>
      </c>
      <c r="D3114" t="inlineStr">
        <is>
          <t>Mensual</t>
        </is>
      </c>
      <c r="E3114" t="inlineStr">
        <is>
          <t>Negativo</t>
        </is>
      </c>
      <c r="F3114" s="105" t="n">
        <v>45900</v>
      </c>
      <c r="G3114" t="inlineStr">
        <is>
          <t>214-2025-08-31</t>
        </is>
      </c>
      <c r="H3114" t="inlineStr">
        <is>
          <t>Consultorio Psicología - Medellin</t>
        </is>
      </c>
      <c r="I3114" t="n">
        <v>1</v>
      </c>
      <c r="J3114" t="n">
        <v>25.29999923706055</v>
      </c>
      <c r="L3114" t="n">
        <v>4.88</v>
      </c>
      <c r="M3114" t="n">
        <v>20.42</v>
      </c>
    </row>
    <row r="3115">
      <c r="A3115" t="n">
        <v>214</v>
      </c>
      <c r="B3115" t="inlineStr">
        <is>
          <t>Generación de Residuos Sólidos Mensual</t>
        </is>
      </c>
      <c r="C3115" t="inlineStr">
        <is>
          <t>GESTIÓN AMBIENTAL</t>
        </is>
      </c>
      <c r="D3115" t="inlineStr">
        <is>
          <t>Mensual</t>
        </is>
      </c>
      <c r="E3115" t="inlineStr">
        <is>
          <t>Negativo</t>
        </is>
      </c>
      <c r="F3115" s="105" t="n">
        <v>45900</v>
      </c>
      <c r="G3115" t="inlineStr">
        <is>
          <t>214-2025-08-31</t>
        </is>
      </c>
      <c r="H3115" t="inlineStr">
        <is>
          <t>Campus-Medellín</t>
        </is>
      </c>
      <c r="I3115" t="n">
        <v>1000</v>
      </c>
      <c r="J3115" t="n">
        <v>983.97998046875</v>
      </c>
      <c r="L3115" t="n">
        <v>63.08</v>
      </c>
      <c r="M3115" t="n">
        <v>920.9</v>
      </c>
    </row>
    <row r="3116">
      <c r="A3116" t="n">
        <v>217</v>
      </c>
      <c r="B3116" t="inlineStr">
        <is>
          <t>Aprovechamiento de Residuos</t>
        </is>
      </c>
      <c r="C3116" t="inlineStr">
        <is>
          <t>GESTIÓN AMBIENTAL</t>
        </is>
      </c>
      <c r="D3116" t="inlineStr">
        <is>
          <t>Mensual</t>
        </is>
      </c>
      <c r="E3116" t="inlineStr">
        <is>
          <t>Positivo</t>
        </is>
      </c>
      <c r="F3116" s="105" t="n">
        <v>45900</v>
      </c>
      <c r="G3116" t="inlineStr">
        <is>
          <t>217-2025-08-31</t>
        </is>
      </c>
      <c r="H3116" t="inlineStr">
        <is>
          <t>Campus Bogotá</t>
        </is>
      </c>
      <c r="I3116" t="n">
        <v>20</v>
      </c>
      <c r="J3116" t="n">
        <v>38.31000137329102</v>
      </c>
      <c r="L3116" t="n">
        <v>139.21</v>
      </c>
      <c r="M3116" t="n">
        <v>2604.3</v>
      </c>
      <c r="AS3116" t="n">
        <v>1050.91</v>
      </c>
    </row>
    <row r="3117">
      <c r="A3117" t="n">
        <v>217</v>
      </c>
      <c r="B3117" t="inlineStr">
        <is>
          <t>Aprovechamiento de Residuos</t>
        </is>
      </c>
      <c r="C3117" t="inlineStr">
        <is>
          <t>GESTIÓN AMBIENTAL</t>
        </is>
      </c>
      <c r="D3117" t="inlineStr">
        <is>
          <t>Mensual</t>
        </is>
      </c>
      <c r="E3117" t="inlineStr">
        <is>
          <t>Positivo</t>
        </is>
      </c>
      <c r="F3117" s="105" t="n">
        <v>45900</v>
      </c>
      <c r="G3117" t="inlineStr">
        <is>
          <t>217-2025-08-31</t>
        </is>
      </c>
      <c r="H3117" t="inlineStr">
        <is>
          <t>City Campus</t>
        </is>
      </c>
      <c r="I3117" t="n">
        <v>20</v>
      </c>
      <c r="J3117" t="n">
        <v>21.30999946594238</v>
      </c>
      <c r="L3117" t="n">
        <v>251.79</v>
      </c>
      <c r="M3117" t="n">
        <v>929.98</v>
      </c>
      <c r="AS3117" t="n">
        <v>251.79</v>
      </c>
    </row>
    <row r="3118">
      <c r="A3118" t="n">
        <v>217</v>
      </c>
      <c r="B3118" t="inlineStr">
        <is>
          <t>Aprovechamiento de Residuos</t>
        </is>
      </c>
      <c r="C3118" t="inlineStr">
        <is>
          <t>GESTIÓN AMBIENTAL</t>
        </is>
      </c>
      <c r="D3118" t="inlineStr">
        <is>
          <t>Mensual</t>
        </is>
      </c>
      <c r="E3118" t="inlineStr">
        <is>
          <t>Positivo</t>
        </is>
      </c>
      <c r="F3118" s="105" t="n">
        <v>45900</v>
      </c>
      <c r="G3118" t="inlineStr">
        <is>
          <t>217-2025-08-31</t>
        </is>
      </c>
      <c r="H3118" t="inlineStr">
        <is>
          <t>Sede Posgrado-Calle 85</t>
        </is>
      </c>
      <c r="I3118" t="n">
        <v>20</v>
      </c>
      <c r="J3118" t="n">
        <v>56.77999877929688</v>
      </c>
      <c r="L3118" t="n">
        <v>10.6</v>
      </c>
      <c r="M3118" t="n">
        <v>8.07</v>
      </c>
      <c r="AS3118" t="n">
        <v>10.6</v>
      </c>
    </row>
    <row r="3119">
      <c r="A3119" t="n">
        <v>217</v>
      </c>
      <c r="B3119" t="inlineStr">
        <is>
          <t>Aprovechamiento de Residuos</t>
        </is>
      </c>
      <c r="C3119" t="inlineStr">
        <is>
          <t>GESTIÓN AMBIENTAL</t>
        </is>
      </c>
      <c r="D3119" t="inlineStr">
        <is>
          <t>Mensual</t>
        </is>
      </c>
      <c r="E3119" t="inlineStr">
        <is>
          <t>Positivo</t>
        </is>
      </c>
      <c r="F3119" s="105" t="n">
        <v>45900</v>
      </c>
      <c r="G3119" t="inlineStr">
        <is>
          <t>217-2025-08-31</t>
        </is>
      </c>
      <c r="H3119" t="inlineStr">
        <is>
          <t>Sede Bienestar - Medellín</t>
        </is>
      </c>
      <c r="I3119" t="n">
        <v>20</v>
      </c>
      <c r="J3119" t="n">
        <v>14.02999973297119</v>
      </c>
      <c r="L3119" t="n">
        <v>23.52</v>
      </c>
      <c r="M3119" t="n">
        <v>144.13</v>
      </c>
      <c r="AS3119" t="n">
        <v>23.52</v>
      </c>
    </row>
    <row r="3120">
      <c r="A3120" t="n">
        <v>217</v>
      </c>
      <c r="B3120" t="inlineStr">
        <is>
          <t>Aprovechamiento de Residuos</t>
        </is>
      </c>
      <c r="C3120" t="inlineStr">
        <is>
          <t>GESTIÓN AMBIENTAL</t>
        </is>
      </c>
      <c r="D3120" t="inlineStr">
        <is>
          <t>Mensual</t>
        </is>
      </c>
      <c r="E3120" t="inlineStr">
        <is>
          <t>Positivo</t>
        </is>
      </c>
      <c r="F3120" s="105" t="n">
        <v>45900</v>
      </c>
      <c r="G3120" t="inlineStr">
        <is>
          <t>217-2025-08-31</t>
        </is>
      </c>
      <c r="H3120" t="inlineStr">
        <is>
          <t>Consultorio Psicología - Medellin</t>
        </is>
      </c>
      <c r="I3120" t="n">
        <v>20</v>
      </c>
      <c r="J3120" t="n">
        <v>19.29000091552734</v>
      </c>
      <c r="L3120" t="n">
        <v>4.88</v>
      </c>
      <c r="M3120" t="n">
        <v>20.42</v>
      </c>
      <c r="AS3120" t="n">
        <v>4.88</v>
      </c>
    </row>
    <row r="3121">
      <c r="A3121" t="n">
        <v>217</v>
      </c>
      <c r="B3121" t="inlineStr">
        <is>
          <t>Aprovechamiento de Residuos</t>
        </is>
      </c>
      <c r="C3121" t="inlineStr">
        <is>
          <t>GESTIÓN AMBIENTAL</t>
        </is>
      </c>
      <c r="D3121" t="inlineStr">
        <is>
          <t>Mensual</t>
        </is>
      </c>
      <c r="E3121" t="inlineStr">
        <is>
          <t>Positivo</t>
        </is>
      </c>
      <c r="F3121" s="105" t="n">
        <v>45900</v>
      </c>
      <c r="G3121" t="inlineStr">
        <is>
          <t>217-2025-08-31</t>
        </is>
      </c>
      <c r="H3121" t="inlineStr">
        <is>
          <t>Campus-Medellín</t>
        </is>
      </c>
      <c r="I3121" t="n">
        <v>20</v>
      </c>
      <c r="J3121" t="n">
        <v>6.480000019073486</v>
      </c>
      <c r="L3121" t="n">
        <v>63.08</v>
      </c>
      <c r="M3121" t="n">
        <v>920.9</v>
      </c>
      <c r="AS3121" t="n">
        <v>63.8</v>
      </c>
    </row>
    <row r="3122">
      <c r="A3122" t="n">
        <v>218</v>
      </c>
      <c r="B3122" t="inlineStr">
        <is>
          <t>Consumo de Energía Eléctrica kWh Mensual</t>
        </is>
      </c>
      <c r="C3122" t="inlineStr">
        <is>
          <t>GESTIÓN AMBIENTAL</t>
        </is>
      </c>
      <c r="D3122" t="inlineStr">
        <is>
          <t>Mensual</t>
        </is>
      </c>
      <c r="E3122" t="inlineStr">
        <is>
          <t>Negativo</t>
        </is>
      </c>
      <c r="F3122" s="105" t="n">
        <v>45900</v>
      </c>
      <c r="G3122" t="inlineStr">
        <is>
          <t>218-2025-08-31</t>
        </is>
      </c>
      <c r="H3122" t="inlineStr">
        <is>
          <t>Campus Bogotá</t>
        </is>
      </c>
      <c r="I3122" t="n">
        <v>76000</v>
      </c>
      <c r="J3122" t="n">
        <v>66504.6171875</v>
      </c>
      <c r="N3122" t="n">
        <v>66504.62</v>
      </c>
    </row>
    <row r="3123">
      <c r="A3123" t="n">
        <v>218</v>
      </c>
      <c r="B3123" t="inlineStr">
        <is>
          <t>Consumo de Energía Eléctrica kWh Mensual</t>
        </is>
      </c>
      <c r="C3123" t="inlineStr">
        <is>
          <t>GESTIÓN AMBIENTAL</t>
        </is>
      </c>
      <c r="D3123" t="inlineStr">
        <is>
          <t>Mensual</t>
        </is>
      </c>
      <c r="E3123" t="inlineStr">
        <is>
          <t>Negativo</t>
        </is>
      </c>
      <c r="F3123" s="105" t="n">
        <v>45900</v>
      </c>
      <c r="G3123" t="inlineStr">
        <is>
          <t>218-2025-08-31</t>
        </is>
      </c>
      <c r="H3123" t="inlineStr">
        <is>
          <t>Sede Posgrado-Calle 85</t>
        </is>
      </c>
      <c r="I3123" t="n">
        <v>5000</v>
      </c>
      <c r="J3123" t="n">
        <v>3900</v>
      </c>
      <c r="N3123" t="n">
        <v>3900</v>
      </c>
    </row>
    <row r="3124">
      <c r="A3124" t="n">
        <v>218</v>
      </c>
      <c r="B3124" t="inlineStr">
        <is>
          <t>Consumo de Energía Eléctrica kWh Mensual</t>
        </is>
      </c>
      <c r="C3124" t="inlineStr">
        <is>
          <t>GESTIÓN AMBIENTAL</t>
        </is>
      </c>
      <c r="D3124" t="inlineStr">
        <is>
          <t>Mensual</t>
        </is>
      </c>
      <c r="E3124" t="inlineStr">
        <is>
          <t>Negativo</t>
        </is>
      </c>
      <c r="F3124" s="105" t="n">
        <v>45900</v>
      </c>
      <c r="G3124" t="inlineStr">
        <is>
          <t>218-2025-08-31</t>
        </is>
      </c>
      <c r="H3124" t="inlineStr">
        <is>
          <t>Campus-Medellín</t>
        </is>
      </c>
      <c r="I3124" t="n">
        <v>24000</v>
      </c>
      <c r="J3124" t="n">
        <v>20638</v>
      </c>
      <c r="N3124" t="n">
        <v>20638</v>
      </c>
    </row>
    <row r="3125">
      <c r="A3125" t="n">
        <v>218</v>
      </c>
      <c r="B3125" t="inlineStr">
        <is>
          <t>Consumo de Energía Eléctrica kWh Mensual</t>
        </is>
      </c>
      <c r="C3125" t="inlineStr">
        <is>
          <t>GESTIÓN AMBIENTAL</t>
        </is>
      </c>
      <c r="D3125" t="inlineStr">
        <is>
          <t>Mensual</t>
        </is>
      </c>
      <c r="E3125" t="inlineStr">
        <is>
          <t>Negativo</t>
        </is>
      </c>
      <c r="F3125" s="105" t="n">
        <v>45900</v>
      </c>
      <c r="G3125" t="inlineStr">
        <is>
          <t>218-2025-08-31</t>
        </is>
      </c>
      <c r="H3125" t="inlineStr">
        <is>
          <t>Sede Bienestar - Medellín</t>
        </is>
      </c>
      <c r="I3125" t="n">
        <v>5000</v>
      </c>
      <c r="J3125" t="n">
        <v>6874</v>
      </c>
      <c r="N3125" t="n">
        <v>6874</v>
      </c>
    </row>
    <row r="3126">
      <c r="A3126" t="n">
        <v>218</v>
      </c>
      <c r="B3126" t="inlineStr">
        <is>
          <t>Consumo de Energía Eléctrica kWh Mensual</t>
        </is>
      </c>
      <c r="C3126" t="inlineStr">
        <is>
          <t>GESTIÓN AMBIENTAL</t>
        </is>
      </c>
      <c r="D3126" t="inlineStr">
        <is>
          <t>Mensual</t>
        </is>
      </c>
      <c r="E3126" t="inlineStr">
        <is>
          <t>Negativo</t>
        </is>
      </c>
      <c r="F3126" s="105" t="n">
        <v>45900</v>
      </c>
      <c r="G3126" t="inlineStr">
        <is>
          <t>218-2025-08-31</t>
        </is>
      </c>
      <c r="H3126" t="inlineStr">
        <is>
          <t>Consultorio Psicología - Medellin</t>
        </is>
      </c>
      <c r="I3126" t="n">
        <v>2000</v>
      </c>
      <c r="J3126" t="n">
        <v>2522</v>
      </c>
      <c r="N3126" t="n">
        <v>2522</v>
      </c>
    </row>
    <row r="3127">
      <c r="A3127" t="n">
        <v>218</v>
      </c>
      <c r="B3127" t="inlineStr">
        <is>
          <t>Consumo de Energía Eléctrica kWh Mensual</t>
        </is>
      </c>
      <c r="C3127" t="inlineStr">
        <is>
          <t>GESTIÓN AMBIENTAL</t>
        </is>
      </c>
      <c r="D3127" t="inlineStr">
        <is>
          <t>Mensual</t>
        </is>
      </c>
      <c r="E3127" t="inlineStr">
        <is>
          <t>Negativo</t>
        </is>
      </c>
      <c r="F3127" s="105" t="n">
        <v>45900</v>
      </c>
      <c r="G3127" t="inlineStr">
        <is>
          <t>218-2025-08-31</t>
        </is>
      </c>
      <c r="H3127" t="inlineStr">
        <is>
          <t>City Campus</t>
        </is>
      </c>
      <c r="I3127" t="n">
        <v>76000</v>
      </c>
      <c r="J3127" t="n">
        <v>42180</v>
      </c>
      <c r="N3127" t="n">
        <v>42180</v>
      </c>
    </row>
    <row r="3128">
      <c r="A3128" t="n">
        <v>225</v>
      </c>
      <c r="B3128" t="inlineStr">
        <is>
          <t>Acciones para el Cuidado y Mantenimiento de las Especies de Flora y el Suelo de las Áreas Naturales</t>
        </is>
      </c>
      <c r="C3128" t="inlineStr">
        <is>
          <t>GESTIÓN AMBIENTAL</t>
        </is>
      </c>
      <c r="D3128" t="inlineStr">
        <is>
          <t>Mensual</t>
        </is>
      </c>
      <c r="E3128" t="inlineStr">
        <is>
          <t>Positivo</t>
        </is>
      </c>
      <c r="F3128" s="105" t="n">
        <v>45900</v>
      </c>
      <c r="G3128" t="inlineStr">
        <is>
          <t>225-2025-08-31</t>
        </is>
      </c>
      <c r="H3128" t="inlineStr">
        <is>
          <t>Campus Bogotá</t>
        </is>
      </c>
      <c r="I3128" t="n">
        <v>1</v>
      </c>
      <c r="J3128" t="n">
        <v>5</v>
      </c>
      <c r="AT3128" t="n">
        <v>5</v>
      </c>
    </row>
    <row r="3129">
      <c r="A3129" t="n">
        <v>225</v>
      </c>
      <c r="B3129" t="inlineStr">
        <is>
          <t>Acciones para el Cuidado y Mantenimiento de las Especies de Flora y el Suelo de las Áreas Naturales</t>
        </is>
      </c>
      <c r="C3129" t="inlineStr">
        <is>
          <t>GESTIÓN AMBIENTAL</t>
        </is>
      </c>
      <c r="D3129" t="inlineStr">
        <is>
          <t>Mensual</t>
        </is>
      </c>
      <c r="E3129" t="inlineStr">
        <is>
          <t>Positivo</t>
        </is>
      </c>
      <c r="F3129" s="105" t="n">
        <v>45900</v>
      </c>
      <c r="G3129" t="inlineStr">
        <is>
          <t>225-2025-08-31</t>
        </is>
      </c>
      <c r="H3129" t="inlineStr">
        <is>
          <t>City Campus</t>
        </is>
      </c>
      <c r="I3129" t="n">
        <v>1</v>
      </c>
      <c r="J3129" t="n">
        <v>0</v>
      </c>
      <c r="AT3129" t="n">
        <v>0</v>
      </c>
    </row>
    <row r="3130">
      <c r="A3130" t="n">
        <v>225</v>
      </c>
      <c r="B3130" t="inlineStr">
        <is>
          <t>Acciones para el Cuidado y Mantenimiento de las Especies de Flora y el Suelo de las Áreas Naturales</t>
        </is>
      </c>
      <c r="C3130" t="inlineStr">
        <is>
          <t>GESTIÓN AMBIENTAL</t>
        </is>
      </c>
      <c r="D3130" t="inlineStr">
        <is>
          <t>Mensual</t>
        </is>
      </c>
      <c r="E3130" t="inlineStr">
        <is>
          <t>Positivo</t>
        </is>
      </c>
      <c r="F3130" s="105" t="n">
        <v>45900</v>
      </c>
      <c r="G3130" t="inlineStr">
        <is>
          <t>225-2025-08-31</t>
        </is>
      </c>
      <c r="H3130" t="inlineStr">
        <is>
          <t>Sede Posgrado-Calle 85</t>
        </is>
      </c>
      <c r="I3130" t="n">
        <v>1</v>
      </c>
      <c r="J3130" t="n">
        <v>0</v>
      </c>
      <c r="AT3130" t="n">
        <v>0</v>
      </c>
    </row>
    <row r="3131">
      <c r="A3131" t="n">
        <v>225</v>
      </c>
      <c r="B3131" t="inlineStr">
        <is>
          <t>Acciones para el Cuidado y Mantenimiento de las Especies de Flora y el Suelo de las Áreas Naturales</t>
        </is>
      </c>
      <c r="C3131" t="inlineStr">
        <is>
          <t>GESTIÓN AMBIENTAL</t>
        </is>
      </c>
      <c r="D3131" t="inlineStr">
        <is>
          <t>Mensual</t>
        </is>
      </c>
      <c r="E3131" t="inlineStr">
        <is>
          <t>Positivo</t>
        </is>
      </c>
      <c r="F3131" s="105" t="n">
        <v>45900</v>
      </c>
      <c r="G3131" t="inlineStr">
        <is>
          <t>225-2025-08-31</t>
        </is>
      </c>
      <c r="H3131" t="inlineStr">
        <is>
          <t>Campus-Medellín</t>
        </is>
      </c>
      <c r="I3131" t="n">
        <v>1</v>
      </c>
      <c r="J3131" t="n">
        <v>10</v>
      </c>
      <c r="AT3131" t="n">
        <v>10</v>
      </c>
    </row>
    <row r="3132">
      <c r="A3132" t="n">
        <v>225</v>
      </c>
      <c r="B3132" t="inlineStr">
        <is>
          <t>Acciones para el Cuidado y Mantenimiento de las Especies de Flora y el Suelo de las Áreas Naturales</t>
        </is>
      </c>
      <c r="C3132" t="inlineStr">
        <is>
          <t>GESTIÓN AMBIENTAL</t>
        </is>
      </c>
      <c r="D3132" t="inlineStr">
        <is>
          <t>Mensual</t>
        </is>
      </c>
      <c r="E3132" t="inlineStr">
        <is>
          <t>Positivo</t>
        </is>
      </c>
      <c r="F3132" s="105" t="n">
        <v>45900</v>
      </c>
      <c r="G3132" t="inlineStr">
        <is>
          <t>225-2025-08-31</t>
        </is>
      </c>
      <c r="H3132" t="inlineStr">
        <is>
          <t>Sede Bienestar - Medellín</t>
        </is>
      </c>
      <c r="I3132" t="n">
        <v>1</v>
      </c>
      <c r="J3132" t="n">
        <v>1</v>
      </c>
      <c r="AT3132" t="n">
        <v>1</v>
      </c>
    </row>
    <row r="3133">
      <c r="A3133" t="n">
        <v>225</v>
      </c>
      <c r="B3133" t="inlineStr">
        <is>
          <t>Acciones para el Cuidado y Mantenimiento de las Especies de Flora y el Suelo de las Áreas Naturales</t>
        </is>
      </c>
      <c r="C3133" t="inlineStr">
        <is>
          <t>GESTIÓN AMBIENTAL</t>
        </is>
      </c>
      <c r="D3133" t="inlineStr">
        <is>
          <t>Mensual</t>
        </is>
      </c>
      <c r="E3133" t="inlineStr">
        <is>
          <t>Positivo</t>
        </is>
      </c>
      <c r="F3133" s="105" t="n">
        <v>45900</v>
      </c>
      <c r="G3133" t="inlineStr">
        <is>
          <t>225-2025-08-31</t>
        </is>
      </c>
      <c r="H3133" t="inlineStr">
        <is>
          <t>Consultorio Psicología - Medellin</t>
        </is>
      </c>
      <c r="I3133" t="n">
        <v>1</v>
      </c>
      <c r="J3133" t="n">
        <v>1</v>
      </c>
      <c r="AT3133" t="n">
        <v>1</v>
      </c>
    </row>
    <row r="3134">
      <c r="A3134" t="n">
        <v>239</v>
      </c>
      <c r="B3134" t="inlineStr">
        <is>
          <t>Portafolio de Proyectos - Metrica</t>
        </is>
      </c>
      <c r="C3134" t="inlineStr">
        <is>
          <t>Gestión de Proyectos</t>
        </is>
      </c>
      <c r="D3134" t="inlineStr">
        <is>
          <t>Mensual</t>
        </is>
      </c>
      <c r="E3134" t="inlineStr">
        <is>
          <t>Positivo</t>
        </is>
      </c>
      <c r="F3134" s="105" t="n">
        <v>45900</v>
      </c>
      <c r="G3134" t="inlineStr">
        <is>
          <t>239-2025-08-31</t>
        </is>
      </c>
      <c r="H3134" t="inlineStr">
        <is>
          <t>Planificación</t>
        </is>
      </c>
      <c r="J3134" t="n">
        <v>1</v>
      </c>
      <c r="AU3134" t="n">
        <v>1</v>
      </c>
    </row>
    <row r="3135">
      <c r="A3135" t="n">
        <v>239</v>
      </c>
      <c r="B3135" t="inlineStr">
        <is>
          <t>Portafolio de Proyectos - Metrica</t>
        </is>
      </c>
      <c r="C3135" t="inlineStr">
        <is>
          <t>Gestión de Proyectos</t>
        </is>
      </c>
      <c r="D3135" t="inlineStr">
        <is>
          <t>Mensual</t>
        </is>
      </c>
      <c r="E3135" t="inlineStr">
        <is>
          <t>Positivo</t>
        </is>
      </c>
      <c r="F3135" s="105" t="n">
        <v>45900</v>
      </c>
      <c r="G3135" t="inlineStr">
        <is>
          <t>239-2025-08-31</t>
        </is>
      </c>
      <c r="H3135" t="inlineStr">
        <is>
          <t>Ejecución</t>
        </is>
      </c>
      <c r="J3135" t="n">
        <v>14</v>
      </c>
      <c r="AU3135" t="n">
        <v>14</v>
      </c>
    </row>
    <row r="3136">
      <c r="A3136" t="n">
        <v>239</v>
      </c>
      <c r="B3136" t="inlineStr">
        <is>
          <t>Portafolio de Proyectos - Metrica</t>
        </is>
      </c>
      <c r="C3136" t="inlineStr">
        <is>
          <t>Gestión de Proyectos</t>
        </is>
      </c>
      <c r="D3136" t="inlineStr">
        <is>
          <t>Mensual</t>
        </is>
      </c>
      <c r="E3136" t="inlineStr">
        <is>
          <t>Positivo</t>
        </is>
      </c>
      <c r="F3136" s="105" t="n">
        <v>45900</v>
      </c>
      <c r="G3136" t="inlineStr">
        <is>
          <t>239-2025-08-31</t>
        </is>
      </c>
      <c r="H3136" t="inlineStr">
        <is>
          <t>Finalizados</t>
        </is>
      </c>
      <c r="J3136" t="n">
        <v>23</v>
      </c>
      <c r="AU3136" t="n">
        <v>23</v>
      </c>
    </row>
    <row r="3137">
      <c r="A3137" t="n">
        <v>239</v>
      </c>
      <c r="B3137" t="inlineStr">
        <is>
          <t>Portafolio de Proyectos - Metrica</t>
        </is>
      </c>
      <c r="C3137" t="inlineStr">
        <is>
          <t>Gestión de Proyectos</t>
        </is>
      </c>
      <c r="D3137" t="inlineStr">
        <is>
          <t>Mensual</t>
        </is>
      </c>
      <c r="E3137" t="inlineStr">
        <is>
          <t>Positivo</t>
        </is>
      </c>
      <c r="F3137" s="105" t="n">
        <v>45900</v>
      </c>
      <c r="G3137" t="inlineStr">
        <is>
          <t>239-2025-08-31</t>
        </is>
      </c>
      <c r="H3137" t="inlineStr">
        <is>
          <t>Stand by</t>
        </is>
      </c>
      <c r="J3137" t="n">
        <v>3</v>
      </c>
      <c r="AU3137" t="n">
        <v>3</v>
      </c>
    </row>
    <row r="3138">
      <c r="A3138" t="n">
        <v>239</v>
      </c>
      <c r="B3138" t="inlineStr">
        <is>
          <t>Portafolio de Proyectos - Metrica</t>
        </is>
      </c>
      <c r="C3138" t="inlineStr">
        <is>
          <t>Gestión de Proyectos</t>
        </is>
      </c>
      <c r="D3138" t="inlineStr">
        <is>
          <t>Mensual</t>
        </is>
      </c>
      <c r="E3138" t="inlineStr">
        <is>
          <t>Positivo</t>
        </is>
      </c>
      <c r="F3138" s="105" t="n">
        <v>45900</v>
      </c>
      <c r="G3138" t="inlineStr">
        <is>
          <t>239-2025-08-31</t>
        </is>
      </c>
      <c r="H3138" t="inlineStr">
        <is>
          <t>Cierre</t>
        </is>
      </c>
      <c r="AU3138" t="n">
        <v>0</v>
      </c>
    </row>
    <row r="3139">
      <c r="A3139" t="n">
        <v>434</v>
      </c>
      <c r="B3139" t="inlineStr">
        <is>
          <t>Generación de Residuos Peligrosos Mensual</t>
        </is>
      </c>
      <c r="C3139" t="inlineStr">
        <is>
          <t>GESTIÓN AMBIENTAL</t>
        </is>
      </c>
      <c r="D3139" t="inlineStr">
        <is>
          <t>Mensual</t>
        </is>
      </c>
      <c r="E3139" t="inlineStr">
        <is>
          <t>Negativo</t>
        </is>
      </c>
      <c r="F3139" s="105" t="n">
        <v>45900</v>
      </c>
      <c r="G3139" t="inlineStr">
        <is>
          <t>434-2025-08-31</t>
        </is>
      </c>
      <c r="H3139" t="inlineStr">
        <is>
          <t>Campus Bogotá</t>
        </is>
      </c>
      <c r="I3139" t="n">
        <v>100</v>
      </c>
      <c r="J3139" t="n">
        <v>63.90999984741211</v>
      </c>
      <c r="AV3139" t="n">
        <v>63.91</v>
      </c>
    </row>
    <row r="3140">
      <c r="A3140" t="n">
        <v>434</v>
      </c>
      <c r="B3140" t="inlineStr">
        <is>
          <t>Generación de Residuos Peligrosos Mensual</t>
        </is>
      </c>
      <c r="C3140" t="inlineStr">
        <is>
          <t>GESTIÓN AMBIENTAL</t>
        </is>
      </c>
      <c r="D3140" t="inlineStr">
        <is>
          <t>Mensual</t>
        </is>
      </c>
      <c r="E3140" t="inlineStr">
        <is>
          <t>Negativo</t>
        </is>
      </c>
      <c r="F3140" s="105" t="n">
        <v>45900</v>
      </c>
      <c r="G3140" t="inlineStr">
        <is>
          <t>434-2025-08-31</t>
        </is>
      </c>
      <c r="H3140" t="inlineStr">
        <is>
          <t>Sede Posgrado-Calle 85</t>
        </is>
      </c>
      <c r="I3140" t="n">
        <v>200</v>
      </c>
      <c r="J3140" t="n">
        <v>0</v>
      </c>
      <c r="AV3140" t="n">
        <v>0</v>
      </c>
    </row>
    <row r="3141">
      <c r="A3141" t="n">
        <v>434</v>
      </c>
      <c r="B3141" t="inlineStr">
        <is>
          <t>Generación de Residuos Peligrosos Mensual</t>
        </is>
      </c>
      <c r="C3141" t="inlineStr">
        <is>
          <t>GESTIÓN AMBIENTAL</t>
        </is>
      </c>
      <c r="D3141" t="inlineStr">
        <is>
          <t>Mensual</t>
        </is>
      </c>
      <c r="E3141" t="inlineStr">
        <is>
          <t>Negativo</t>
        </is>
      </c>
      <c r="F3141" s="105" t="n">
        <v>45900</v>
      </c>
      <c r="G3141" t="inlineStr">
        <is>
          <t>434-2025-08-31</t>
        </is>
      </c>
      <c r="H3141" t="inlineStr">
        <is>
          <t>Campus-Medellín</t>
        </is>
      </c>
      <c r="I3141" t="n">
        <v>25</v>
      </c>
      <c r="J3141" t="n">
        <v>19</v>
      </c>
      <c r="AV3141" t="n">
        <v>19</v>
      </c>
    </row>
    <row r="3142">
      <c r="A3142" t="n">
        <v>434</v>
      </c>
      <c r="B3142" t="inlineStr">
        <is>
          <t>Generación de Residuos Peligrosos Mensual</t>
        </is>
      </c>
      <c r="C3142" t="inlineStr">
        <is>
          <t>GESTIÓN AMBIENTAL</t>
        </is>
      </c>
      <c r="D3142" t="inlineStr">
        <is>
          <t>Mensual</t>
        </is>
      </c>
      <c r="E3142" t="inlineStr">
        <is>
          <t>Negativo</t>
        </is>
      </c>
      <c r="F3142" s="105" t="n">
        <v>45900</v>
      </c>
      <c r="G3142" t="inlineStr">
        <is>
          <t>434-2025-08-31</t>
        </is>
      </c>
      <c r="H3142" t="inlineStr">
        <is>
          <t>Sede Bienestar - Medellín</t>
        </is>
      </c>
      <c r="I3142" t="n">
        <v>10</v>
      </c>
      <c r="J3142" t="n">
        <v>0.5</v>
      </c>
      <c r="AV3142" t="n">
        <v>0.5</v>
      </c>
    </row>
    <row r="3143">
      <c r="A3143" t="n">
        <v>434</v>
      </c>
      <c r="B3143" t="inlineStr">
        <is>
          <t>Generación de Residuos Peligrosos Mensual</t>
        </is>
      </c>
      <c r="C3143" t="inlineStr">
        <is>
          <t>GESTIÓN AMBIENTAL</t>
        </is>
      </c>
      <c r="D3143" t="inlineStr">
        <is>
          <t>Mensual</t>
        </is>
      </c>
      <c r="E3143" t="inlineStr">
        <is>
          <t>Negativo</t>
        </is>
      </c>
      <c r="F3143" s="105" t="n">
        <v>45900</v>
      </c>
      <c r="G3143" t="inlineStr">
        <is>
          <t>434-2025-08-31</t>
        </is>
      </c>
      <c r="H3143" t="inlineStr">
        <is>
          <t>Consultorio Psicología - Medellin</t>
        </is>
      </c>
      <c r="I3143" t="n">
        <v>200</v>
      </c>
      <c r="J3143" t="n">
        <v>0</v>
      </c>
      <c r="AV3143" t="n">
        <v>0</v>
      </c>
    </row>
    <row r="3144">
      <c r="A3144" t="n">
        <v>434</v>
      </c>
      <c r="B3144" t="inlineStr">
        <is>
          <t>Generación de Residuos Peligrosos Mensual</t>
        </is>
      </c>
      <c r="C3144" t="inlineStr">
        <is>
          <t>GESTIÓN AMBIENTAL</t>
        </is>
      </c>
      <c r="D3144" t="inlineStr">
        <is>
          <t>Mensual</t>
        </is>
      </c>
      <c r="E3144" t="inlineStr">
        <is>
          <t>Negativo</t>
        </is>
      </c>
      <c r="F3144" s="105" t="n">
        <v>45900</v>
      </c>
      <c r="G3144" t="inlineStr">
        <is>
          <t>434-2025-08-31</t>
        </is>
      </c>
      <c r="H3144" t="inlineStr">
        <is>
          <t>City Campus</t>
        </is>
      </c>
      <c r="I3144" t="n">
        <v>25</v>
      </c>
      <c r="J3144" t="n">
        <v>1.340000033378601</v>
      </c>
      <c r="AV3144" t="n">
        <v>1.34</v>
      </c>
    </row>
    <row r="3145">
      <c r="A3145" t="n">
        <v>436</v>
      </c>
      <c r="B3145" t="inlineStr">
        <is>
          <t>ANS documentos operativos</t>
        </is>
      </c>
      <c r="C3145" t="inlineStr">
        <is>
          <t>Gestión de calidad</t>
        </is>
      </c>
      <c r="D3145" t="inlineStr">
        <is>
          <t>Mensual</t>
        </is>
      </c>
      <c r="E3145" t="inlineStr">
        <is>
          <t>Negativo</t>
        </is>
      </c>
      <c r="F3145" s="105" t="n">
        <v>45900</v>
      </c>
      <c r="G3145" t="inlineStr">
        <is>
          <t>436-2025-08-31</t>
        </is>
      </c>
      <c r="H3145" t="inlineStr">
        <is>
          <t>Solicitud Documental</t>
        </is>
      </c>
      <c r="I3145" t="n">
        <v>7</v>
      </c>
      <c r="J3145" t="n">
        <v>5.949999809265137</v>
      </c>
      <c r="CP3145" t="n">
        <v>5.95</v>
      </c>
    </row>
    <row r="3146">
      <c r="A3146" t="n">
        <v>436</v>
      </c>
      <c r="B3146" t="inlineStr">
        <is>
          <t>ANS documentos operativos</t>
        </is>
      </c>
      <c r="C3146" t="inlineStr">
        <is>
          <t>Gestión de calidad</t>
        </is>
      </c>
      <c r="D3146" t="inlineStr">
        <is>
          <t>Mensual</t>
        </is>
      </c>
      <c r="E3146" t="inlineStr">
        <is>
          <t>Negativo</t>
        </is>
      </c>
      <c r="F3146" s="105" t="n">
        <v>45900</v>
      </c>
      <c r="G3146" t="inlineStr">
        <is>
          <t>436-2025-08-31</t>
        </is>
      </c>
      <c r="H3146" t="inlineStr">
        <is>
          <t>Flujo de aprobación</t>
        </is>
      </c>
      <c r="I3146" t="n">
        <v>7</v>
      </c>
      <c r="J3146" t="n">
        <v>8.220000267028809</v>
      </c>
      <c r="CP3146" t="n">
        <v>8.220000000000001</v>
      </c>
    </row>
    <row r="3147">
      <c r="A3147" t="n">
        <v>485</v>
      </c>
      <c r="B3147" t="inlineStr">
        <is>
          <t>Oportunidad en el cierre de acciones</t>
        </is>
      </c>
      <c r="C3147" t="inlineStr">
        <is>
          <t>Gestión de calidad</t>
        </is>
      </c>
      <c r="D3147" t="inlineStr">
        <is>
          <t>Mensual</t>
        </is>
      </c>
      <c r="E3147" t="inlineStr">
        <is>
          <t>Positivo</t>
        </is>
      </c>
      <c r="F3147" s="105" t="n">
        <v>45900</v>
      </c>
      <c r="G3147" t="inlineStr">
        <is>
          <t>485-2025-08-31</t>
        </is>
      </c>
      <c r="H3147" t="inlineStr">
        <is>
          <t>Auditoría interna</t>
        </is>
      </c>
      <c r="I3147" t="n">
        <v>80</v>
      </c>
      <c r="J3147" t="n">
        <v>100</v>
      </c>
      <c r="EC3147" t="n">
        <v>1</v>
      </c>
      <c r="ED3147" t="n">
        <v>1</v>
      </c>
    </row>
    <row r="3148">
      <c r="A3148" t="n">
        <v>485</v>
      </c>
      <c r="B3148" t="inlineStr">
        <is>
          <t>Oportunidad en el cierre de acciones</t>
        </is>
      </c>
      <c r="C3148" t="inlineStr">
        <is>
          <t>Gestión de calidad</t>
        </is>
      </c>
      <c r="D3148" t="inlineStr">
        <is>
          <t>Mensual</t>
        </is>
      </c>
      <c r="E3148" t="inlineStr">
        <is>
          <t>Positivo</t>
        </is>
      </c>
      <c r="F3148" s="105" t="n">
        <v>45900</v>
      </c>
      <c r="G3148" t="inlineStr">
        <is>
          <t>485-2025-08-31</t>
        </is>
      </c>
      <c r="H3148" t="inlineStr">
        <is>
          <t>Auditoría externa</t>
        </is>
      </c>
      <c r="I3148" t="n">
        <v>80</v>
      </c>
      <c r="J3148" t="n">
        <v>0</v>
      </c>
      <c r="EC3148" t="n">
        <v>0</v>
      </c>
      <c r="ED3148" t="n">
        <v>2</v>
      </c>
    </row>
    <row r="3149">
      <c r="A3149" t="n">
        <v>485</v>
      </c>
      <c r="B3149" t="inlineStr">
        <is>
          <t>Oportunidad en el cierre de acciones</t>
        </is>
      </c>
      <c r="C3149" t="inlineStr">
        <is>
          <t>Gestión de calidad</t>
        </is>
      </c>
      <c r="D3149" t="inlineStr">
        <is>
          <t>Mensual</t>
        </is>
      </c>
      <c r="E3149" t="inlineStr">
        <is>
          <t>Positivo</t>
        </is>
      </c>
      <c r="F3149" s="105" t="n">
        <v>45900</v>
      </c>
      <c r="G3149" t="inlineStr">
        <is>
          <t>485-2025-08-31</t>
        </is>
      </c>
      <c r="H3149" t="inlineStr">
        <is>
          <t>Indicadores</t>
        </is>
      </c>
      <c r="I3149" t="n">
        <v>80</v>
      </c>
      <c r="J3149" t="n">
        <v>0</v>
      </c>
      <c r="EC3149" t="n">
        <v>0</v>
      </c>
      <c r="ED3149" t="n">
        <v>0</v>
      </c>
    </row>
    <row r="3150">
      <c r="A3150" t="n">
        <v>485</v>
      </c>
      <c r="B3150" t="inlineStr">
        <is>
          <t>Oportunidad en el cierre de acciones</t>
        </is>
      </c>
      <c r="C3150" t="inlineStr">
        <is>
          <t>Gestión de calidad</t>
        </is>
      </c>
      <c r="D3150" t="inlineStr">
        <is>
          <t>Mensual</t>
        </is>
      </c>
      <c r="E3150" t="inlineStr">
        <is>
          <t>Positivo</t>
        </is>
      </c>
      <c r="F3150" s="105" t="n">
        <v>45900</v>
      </c>
      <c r="G3150" t="inlineStr">
        <is>
          <t>485-2025-08-31</t>
        </is>
      </c>
      <c r="H3150" t="inlineStr">
        <is>
          <t>Riesgos</t>
        </is>
      </c>
      <c r="I3150" t="n">
        <v>80</v>
      </c>
      <c r="J3150" t="n">
        <v>0</v>
      </c>
      <c r="EC3150" t="n">
        <v>0</v>
      </c>
      <c r="ED3150" t="n">
        <v>0</v>
      </c>
    </row>
    <row r="3151">
      <c r="A3151" t="n">
        <v>485</v>
      </c>
      <c r="B3151" t="inlineStr">
        <is>
          <t>Oportunidad en el cierre de acciones</t>
        </is>
      </c>
      <c r="C3151" t="inlineStr">
        <is>
          <t>Gestión de calidad</t>
        </is>
      </c>
      <c r="D3151" t="inlineStr">
        <is>
          <t>Mensual</t>
        </is>
      </c>
      <c r="E3151" t="inlineStr">
        <is>
          <t>Positivo</t>
        </is>
      </c>
      <c r="F3151" s="105" t="n">
        <v>45900</v>
      </c>
      <c r="G3151" t="inlineStr">
        <is>
          <t>485-2025-08-31</t>
        </is>
      </c>
      <c r="H3151" t="inlineStr">
        <is>
          <t>Seguimiento y control</t>
        </is>
      </c>
      <c r="I3151" t="n">
        <v>80</v>
      </c>
      <c r="J3151" t="n">
        <v>100</v>
      </c>
      <c r="EC3151" t="n">
        <v>1</v>
      </c>
      <c r="ED3151" t="n">
        <v>1</v>
      </c>
    </row>
    <row r="3152">
      <c r="A3152" t="n">
        <v>488</v>
      </c>
      <c r="B3152" t="inlineStr">
        <is>
          <t>Oportunidad en el cierre de actividades de los planes de mejora</t>
        </is>
      </c>
      <c r="C3152" t="inlineStr">
        <is>
          <t>Gestión de calidad</t>
        </is>
      </c>
      <c r="D3152" t="inlineStr">
        <is>
          <t>Mensual</t>
        </is>
      </c>
      <c r="E3152" t="inlineStr">
        <is>
          <t>Positivo</t>
        </is>
      </c>
      <c r="F3152" s="105" t="n">
        <v>45900</v>
      </c>
      <c r="G3152" t="inlineStr">
        <is>
          <t>488-2025-08-31</t>
        </is>
      </c>
      <c r="H3152" t="inlineStr">
        <is>
          <t>Auditoría interna</t>
        </is>
      </c>
      <c r="I3152" t="n">
        <v>85</v>
      </c>
      <c r="J3152" t="n">
        <v>92.86000061035156</v>
      </c>
      <c r="EE3152" t="n">
        <v>13</v>
      </c>
      <c r="EF3152" t="n">
        <v>14</v>
      </c>
    </row>
    <row r="3153">
      <c r="A3153" t="n">
        <v>488</v>
      </c>
      <c r="B3153" t="inlineStr">
        <is>
          <t>Oportunidad en el cierre de actividades de los planes de mejora</t>
        </is>
      </c>
      <c r="C3153" t="inlineStr">
        <is>
          <t>Gestión de calidad</t>
        </is>
      </c>
      <c r="D3153" t="inlineStr">
        <is>
          <t>Mensual</t>
        </is>
      </c>
      <c r="E3153" t="inlineStr">
        <is>
          <t>Positivo</t>
        </is>
      </c>
      <c r="F3153" s="105" t="n">
        <v>45900</v>
      </c>
      <c r="G3153" t="inlineStr">
        <is>
          <t>488-2025-08-31</t>
        </is>
      </c>
      <c r="H3153" t="inlineStr">
        <is>
          <t>Auditoría externa</t>
        </is>
      </c>
      <c r="I3153" t="n">
        <v>85</v>
      </c>
      <c r="J3153" t="n">
        <v>100</v>
      </c>
      <c r="EE3153" t="n">
        <v>2</v>
      </c>
      <c r="EF3153" t="n">
        <v>2</v>
      </c>
    </row>
    <row r="3154">
      <c r="A3154" t="n">
        <v>488</v>
      </c>
      <c r="B3154" t="inlineStr">
        <is>
          <t>Oportunidad en el cierre de actividades de los planes de mejora</t>
        </is>
      </c>
      <c r="C3154" t="inlineStr">
        <is>
          <t>Gestión de calidad</t>
        </is>
      </c>
      <c r="D3154" t="inlineStr">
        <is>
          <t>Mensual</t>
        </is>
      </c>
      <c r="E3154" t="inlineStr">
        <is>
          <t>Positivo</t>
        </is>
      </c>
      <c r="F3154" s="105" t="n">
        <v>45900</v>
      </c>
      <c r="G3154" t="inlineStr">
        <is>
          <t>488-2025-08-31</t>
        </is>
      </c>
      <c r="H3154" t="inlineStr">
        <is>
          <t>Indicadores</t>
        </is>
      </c>
      <c r="I3154" t="n">
        <v>85</v>
      </c>
      <c r="J3154" t="n">
        <v>100</v>
      </c>
      <c r="EE3154" t="n">
        <v>5</v>
      </c>
      <c r="EF3154" t="n">
        <v>5</v>
      </c>
    </row>
    <row r="3155">
      <c r="A3155" t="n">
        <v>488</v>
      </c>
      <c r="B3155" t="inlineStr">
        <is>
          <t>Oportunidad en el cierre de actividades de los planes de mejora</t>
        </is>
      </c>
      <c r="C3155" t="inlineStr">
        <is>
          <t>Gestión de calidad</t>
        </is>
      </c>
      <c r="D3155" t="inlineStr">
        <is>
          <t>Mensual</t>
        </is>
      </c>
      <c r="E3155" t="inlineStr">
        <is>
          <t>Positivo</t>
        </is>
      </c>
      <c r="F3155" s="105" t="n">
        <v>45900</v>
      </c>
      <c r="G3155" t="inlineStr">
        <is>
          <t>488-2025-08-31</t>
        </is>
      </c>
      <c r="H3155" t="inlineStr">
        <is>
          <t>Riesgos</t>
        </is>
      </c>
      <c r="I3155" t="n">
        <v>85</v>
      </c>
      <c r="J3155" t="n">
        <v>77.55000305175781</v>
      </c>
      <c r="EE3155" t="n">
        <v>38</v>
      </c>
      <c r="EF3155" t="n">
        <v>49</v>
      </c>
    </row>
    <row r="3156">
      <c r="A3156" t="n">
        <v>488</v>
      </c>
      <c r="B3156" t="inlineStr">
        <is>
          <t>Oportunidad en el cierre de actividades de los planes de mejora</t>
        </is>
      </c>
      <c r="C3156" t="inlineStr">
        <is>
          <t>Gestión de calidad</t>
        </is>
      </c>
      <c r="D3156" t="inlineStr">
        <is>
          <t>Mensual</t>
        </is>
      </c>
      <c r="E3156" t="inlineStr">
        <is>
          <t>Positivo</t>
        </is>
      </c>
      <c r="F3156" s="105" t="n">
        <v>45900</v>
      </c>
      <c r="G3156" t="inlineStr">
        <is>
          <t>488-2025-08-31</t>
        </is>
      </c>
      <c r="H3156" t="inlineStr">
        <is>
          <t>Autoevaluación</t>
        </is>
      </c>
      <c r="I3156" t="n">
        <v>85</v>
      </c>
      <c r="J3156" t="n">
        <v>0</v>
      </c>
      <c r="EE3156" t="n">
        <v>0</v>
      </c>
      <c r="EF3156" t="n">
        <v>0</v>
      </c>
    </row>
    <row r="3157">
      <c r="A3157" t="n">
        <v>488</v>
      </c>
      <c r="B3157" t="inlineStr">
        <is>
          <t>Oportunidad en el cierre de actividades de los planes de mejora</t>
        </is>
      </c>
      <c r="C3157" t="inlineStr">
        <is>
          <t>Gestión de calidad</t>
        </is>
      </c>
      <c r="D3157" t="inlineStr">
        <is>
          <t>Mensual</t>
        </is>
      </c>
      <c r="E3157" t="inlineStr">
        <is>
          <t>Positivo</t>
        </is>
      </c>
      <c r="F3157" s="105" t="n">
        <v>45900</v>
      </c>
      <c r="G3157" t="inlineStr">
        <is>
          <t>488-2025-08-31</t>
        </is>
      </c>
      <c r="H3157" t="inlineStr">
        <is>
          <t>Entes de control</t>
        </is>
      </c>
      <c r="I3157" t="n">
        <v>85</v>
      </c>
      <c r="J3157" t="n">
        <v>0</v>
      </c>
      <c r="EE3157" t="n">
        <v>0</v>
      </c>
      <c r="EF3157" t="n">
        <v>0</v>
      </c>
    </row>
    <row r="3158">
      <c r="A3158" t="n">
        <v>488</v>
      </c>
      <c r="B3158" t="inlineStr">
        <is>
          <t>Oportunidad en el cierre de actividades de los planes de mejora</t>
        </is>
      </c>
      <c r="C3158" t="inlineStr">
        <is>
          <t>Gestión de calidad</t>
        </is>
      </c>
      <c r="D3158" t="inlineStr">
        <is>
          <t>Mensual</t>
        </is>
      </c>
      <c r="E3158" t="inlineStr">
        <is>
          <t>Positivo</t>
        </is>
      </c>
      <c r="F3158" s="105" t="n">
        <v>45900</v>
      </c>
      <c r="G3158" t="inlineStr">
        <is>
          <t>488-2025-08-31</t>
        </is>
      </c>
      <c r="H3158" t="inlineStr">
        <is>
          <t>Seguimiento y control</t>
        </is>
      </c>
      <c r="I3158" t="n">
        <v>85</v>
      </c>
      <c r="J3158" t="n">
        <v>66.66999816894531</v>
      </c>
      <c r="EE3158" t="n">
        <v>6</v>
      </c>
      <c r="EF3158" t="n">
        <v>9</v>
      </c>
    </row>
    <row r="3159">
      <c r="A3159" t="n">
        <v>488</v>
      </c>
      <c r="B3159" t="inlineStr">
        <is>
          <t>Oportunidad en el cierre de actividades de los planes de mejora</t>
        </is>
      </c>
      <c r="C3159" t="inlineStr">
        <is>
          <t>Gestión de calidad</t>
        </is>
      </c>
      <c r="D3159" t="inlineStr">
        <is>
          <t>Mensual</t>
        </is>
      </c>
      <c r="E3159" t="inlineStr">
        <is>
          <t>Positivo</t>
        </is>
      </c>
      <c r="F3159" s="105" t="n">
        <v>45900</v>
      </c>
      <c r="G3159" t="inlineStr">
        <is>
          <t>488-2025-08-31</t>
        </is>
      </c>
      <c r="H3159" t="inlineStr">
        <is>
          <t>Experiencia</t>
        </is>
      </c>
      <c r="I3159" t="n">
        <v>85</v>
      </c>
      <c r="J3159" t="n">
        <v>0</v>
      </c>
      <c r="EE3159" t="n">
        <v>0</v>
      </c>
      <c r="EF3159" t="n">
        <v>0</v>
      </c>
    </row>
    <row r="3160">
      <c r="A3160" t="n">
        <v>488</v>
      </c>
      <c r="B3160" t="inlineStr">
        <is>
          <t>Oportunidad en el cierre de actividades de los planes de mejora</t>
        </is>
      </c>
      <c r="C3160" t="inlineStr">
        <is>
          <t>Gestión de calidad</t>
        </is>
      </c>
      <c r="D3160" t="inlineStr">
        <is>
          <t>Mensual</t>
        </is>
      </c>
      <c r="E3160" t="inlineStr">
        <is>
          <t>Positivo</t>
        </is>
      </c>
      <c r="F3160" s="105" t="n">
        <v>45900</v>
      </c>
      <c r="G3160" t="inlineStr">
        <is>
          <t>488-2025-08-31</t>
        </is>
      </c>
      <c r="H3160" t="inlineStr">
        <is>
          <t>Revisión por la dirección</t>
        </is>
      </c>
      <c r="I3160" t="n">
        <v>85</v>
      </c>
      <c r="J3160" t="n">
        <v>0</v>
      </c>
      <c r="EE3160" t="n">
        <v>0</v>
      </c>
      <c r="EF3160" t="n">
        <v>0</v>
      </c>
    </row>
    <row r="3161">
      <c r="A3161" t="n">
        <v>509</v>
      </c>
      <c r="B3161" t="inlineStr">
        <is>
          <t>Cumplimiento a cronograma de proyectos 2025</t>
        </is>
      </c>
      <c r="C3161" t="inlineStr">
        <is>
          <t>Gestión de Proyectos</t>
        </is>
      </c>
      <c r="D3161" t="inlineStr">
        <is>
          <t>Mensual</t>
        </is>
      </c>
      <c r="E3161" t="inlineStr">
        <is>
          <t>Positivo</t>
        </is>
      </c>
      <c r="F3161" s="105" t="n">
        <v>45900</v>
      </c>
      <c r="G3161" t="inlineStr">
        <is>
          <t>509-2025-08-31</t>
        </is>
      </c>
      <c r="H3161" t="inlineStr">
        <is>
          <t>Acreditación Institucional fase III Etapa de evaluación externa o evaluación por pares</t>
        </is>
      </c>
      <c r="I3161" t="n">
        <v>90</v>
      </c>
      <c r="J3161" t="n">
        <v>98.51000213623047</v>
      </c>
      <c r="EJ3161" t="n">
        <v>67</v>
      </c>
      <c r="EK3161" t="n">
        <v>66</v>
      </c>
    </row>
    <row r="3162">
      <c r="A3162" t="n">
        <v>509</v>
      </c>
      <c r="B3162" t="inlineStr">
        <is>
          <t>Cumplimiento a cronograma de proyectos 2025</t>
        </is>
      </c>
      <c r="C3162" t="inlineStr">
        <is>
          <t>Gestión de Proyectos</t>
        </is>
      </c>
      <c r="D3162" t="inlineStr">
        <is>
          <t>Mensual</t>
        </is>
      </c>
      <c r="E3162" t="inlineStr">
        <is>
          <t>Positivo</t>
        </is>
      </c>
      <c r="F3162" s="105" t="n">
        <v>45900</v>
      </c>
      <c r="G3162" t="inlineStr">
        <is>
          <t>509-2025-08-31</t>
        </is>
      </c>
      <c r="H3162" t="inlineStr">
        <is>
          <t>Actualización de TRD y creación del Plan de Gestión documental</t>
        </is>
      </c>
      <c r="I3162" t="n">
        <v>90</v>
      </c>
      <c r="J3162" t="n">
        <v>91.36000061035156</v>
      </c>
      <c r="EJ3162" t="n">
        <v>81</v>
      </c>
      <c r="EK3162" t="n">
        <v>74</v>
      </c>
    </row>
    <row r="3163">
      <c r="A3163" t="n">
        <v>509</v>
      </c>
      <c r="B3163" t="inlineStr">
        <is>
          <t>Cumplimiento a cronograma de proyectos 2025</t>
        </is>
      </c>
      <c r="C3163" t="inlineStr">
        <is>
          <t>Gestión de Proyectos</t>
        </is>
      </c>
      <c r="D3163" t="inlineStr">
        <is>
          <t>Mensual</t>
        </is>
      </c>
      <c r="E3163" t="inlineStr">
        <is>
          <t>Positivo</t>
        </is>
      </c>
      <c r="F3163" s="105" t="n">
        <v>45900</v>
      </c>
      <c r="G3163" t="inlineStr">
        <is>
          <t>509-2025-08-31</t>
        </is>
      </c>
      <c r="H3163" t="inlineStr">
        <is>
          <t>Ecosistema E3</t>
        </is>
      </c>
      <c r="I3163" t="n">
        <v>90</v>
      </c>
      <c r="J3163" t="n">
        <v>102.0800018310547</v>
      </c>
      <c r="EJ3163" t="n">
        <v>96</v>
      </c>
      <c r="EK3163" t="n">
        <v>98</v>
      </c>
    </row>
    <row r="3164">
      <c r="A3164" t="n">
        <v>509</v>
      </c>
      <c r="B3164" t="inlineStr">
        <is>
          <t>Cumplimiento a cronograma de proyectos 2025</t>
        </is>
      </c>
      <c r="C3164" t="inlineStr">
        <is>
          <t>Gestión de Proyectos</t>
        </is>
      </c>
      <c r="D3164" t="inlineStr">
        <is>
          <t>Mensual</t>
        </is>
      </c>
      <c r="E3164" t="inlineStr">
        <is>
          <t>Positivo</t>
        </is>
      </c>
      <c r="F3164" s="105" t="n">
        <v>45900</v>
      </c>
      <c r="G3164" t="inlineStr">
        <is>
          <t>509-2025-08-31</t>
        </is>
      </c>
      <c r="H3164" t="inlineStr">
        <is>
          <t>Fortalecimiento de la investigación, la innovación y la creación</t>
        </is>
      </c>
      <c r="I3164" t="n">
        <v>90</v>
      </c>
      <c r="J3164" t="n">
        <v>95.83000183105469</v>
      </c>
      <c r="EJ3164" t="n">
        <v>48</v>
      </c>
      <c r="EK3164" t="n">
        <v>46</v>
      </c>
    </row>
    <row r="3165">
      <c r="A3165" t="n">
        <v>509</v>
      </c>
      <c r="B3165" t="inlineStr">
        <is>
          <t>Cumplimiento a cronograma de proyectos 2025</t>
        </is>
      </c>
      <c r="C3165" t="inlineStr">
        <is>
          <t>Gestión de Proyectos</t>
        </is>
      </c>
      <c r="D3165" t="inlineStr">
        <is>
          <t>Mensual</t>
        </is>
      </c>
      <c r="E3165" t="inlineStr">
        <is>
          <t>Positivo</t>
        </is>
      </c>
      <c r="F3165" s="105" t="n">
        <v>45900</v>
      </c>
      <c r="G3165" t="inlineStr">
        <is>
          <t>509-2025-08-31</t>
        </is>
      </c>
      <c r="H3165" t="inlineStr">
        <is>
          <t>Fortalecimiento de planta docente</t>
        </is>
      </c>
      <c r="I3165" t="n">
        <v>90</v>
      </c>
      <c r="J3165" t="n">
        <v>100</v>
      </c>
      <c r="EJ3165" t="n">
        <v>74</v>
      </c>
      <c r="EK3165" t="n">
        <v>74</v>
      </c>
    </row>
    <row r="3166">
      <c r="A3166" t="n">
        <v>509</v>
      </c>
      <c r="B3166" t="inlineStr">
        <is>
          <t>Cumplimiento a cronograma de proyectos 2025</t>
        </is>
      </c>
      <c r="C3166" t="inlineStr">
        <is>
          <t>Gestión de Proyectos</t>
        </is>
      </c>
      <c r="D3166" t="inlineStr">
        <is>
          <t>Mensual</t>
        </is>
      </c>
      <c r="E3166" t="inlineStr">
        <is>
          <t>Positivo</t>
        </is>
      </c>
      <c r="F3166" s="105" t="n">
        <v>45900</v>
      </c>
      <c r="G3166" t="inlineStr">
        <is>
          <t>509-2025-08-31</t>
        </is>
      </c>
      <c r="H3166" t="inlineStr">
        <is>
          <t>Gobierno de datos</t>
        </is>
      </c>
      <c r="I3166" t="n">
        <v>90</v>
      </c>
      <c r="J3166" t="n">
        <v>21.43000030517578</v>
      </c>
      <c r="EJ3166" t="n">
        <v>56</v>
      </c>
      <c r="EK3166" t="n">
        <v>12</v>
      </c>
    </row>
    <row r="3167">
      <c r="A3167" t="n">
        <v>509</v>
      </c>
      <c r="B3167" t="inlineStr">
        <is>
          <t>Cumplimiento a cronograma de proyectos 2025</t>
        </is>
      </c>
      <c r="C3167" t="inlineStr">
        <is>
          <t>Gestión de Proyectos</t>
        </is>
      </c>
      <c r="D3167" t="inlineStr">
        <is>
          <t>Mensual</t>
        </is>
      </c>
      <c r="E3167" t="inlineStr">
        <is>
          <t>Positivo</t>
        </is>
      </c>
      <c r="F3167" s="105" t="n">
        <v>45900</v>
      </c>
      <c r="G3167" t="inlineStr">
        <is>
          <t>509-2025-08-31</t>
        </is>
      </c>
      <c r="H3167" t="inlineStr">
        <is>
          <t>Herramientas de Gestión para el mejoramiento continuo</t>
        </is>
      </c>
      <c r="I3167" t="n">
        <v>90</v>
      </c>
      <c r="J3167" t="n">
        <v>92.30999755859375</v>
      </c>
      <c r="EJ3167" t="n">
        <v>26</v>
      </c>
      <c r="EK3167" t="n">
        <v>24</v>
      </c>
    </row>
    <row r="3168">
      <c r="A3168" t="n">
        <v>509</v>
      </c>
      <c r="B3168" t="inlineStr">
        <is>
          <t>Cumplimiento a cronograma de proyectos 2025</t>
        </is>
      </c>
      <c r="C3168" t="inlineStr">
        <is>
          <t>Gestión de Proyectos</t>
        </is>
      </c>
      <c r="D3168" t="inlineStr">
        <is>
          <t>Mensual</t>
        </is>
      </c>
      <c r="E3168" t="inlineStr">
        <is>
          <t>Positivo</t>
        </is>
      </c>
      <c r="F3168" s="105" t="n">
        <v>45900</v>
      </c>
      <c r="G3168" t="inlineStr">
        <is>
          <t>509-2025-08-31</t>
        </is>
      </c>
      <c r="H3168" t="inlineStr">
        <is>
          <t>Proyecto de Permanencia institucional</t>
        </is>
      </c>
      <c r="I3168" t="n">
        <v>90</v>
      </c>
      <c r="J3168" t="n">
        <v>94.51000213623047</v>
      </c>
      <c r="EJ3168" t="n">
        <v>91</v>
      </c>
      <c r="EK3168" t="n">
        <v>86</v>
      </c>
    </row>
    <row r="3169">
      <c r="A3169" t="n">
        <v>509</v>
      </c>
      <c r="B3169" t="inlineStr">
        <is>
          <t>Cumplimiento a cronograma de proyectos 2025</t>
        </is>
      </c>
      <c r="C3169" t="inlineStr">
        <is>
          <t>Gestión de Proyectos</t>
        </is>
      </c>
      <c r="D3169" t="inlineStr">
        <is>
          <t>Mensual</t>
        </is>
      </c>
      <c r="E3169" t="inlineStr">
        <is>
          <t>Positivo</t>
        </is>
      </c>
      <c r="F3169" s="105" t="n">
        <v>45900</v>
      </c>
      <c r="G3169" t="inlineStr">
        <is>
          <t>509-2025-08-31</t>
        </is>
      </c>
      <c r="H3169" t="inlineStr">
        <is>
          <t>Reingenieria de aplicaciones</t>
        </is>
      </c>
      <c r="I3169" t="n">
        <v>90</v>
      </c>
      <c r="J3169" t="n">
        <v>95.05999755859375</v>
      </c>
      <c r="EJ3169" t="n">
        <v>81</v>
      </c>
      <c r="EK3169" t="n">
        <v>77</v>
      </c>
    </row>
    <row r="3170">
      <c r="A3170" t="n">
        <v>509</v>
      </c>
      <c r="B3170" t="inlineStr">
        <is>
          <t>Cumplimiento a cronograma de proyectos 2025</t>
        </is>
      </c>
      <c r="C3170" t="inlineStr">
        <is>
          <t>Gestión de Proyectos</t>
        </is>
      </c>
      <c r="D3170" t="inlineStr">
        <is>
          <t>Mensual</t>
        </is>
      </c>
      <c r="E3170" t="inlineStr">
        <is>
          <t>Positivo</t>
        </is>
      </c>
      <c r="F3170" s="105" t="n">
        <v>45900</v>
      </c>
      <c r="G3170" t="inlineStr">
        <is>
          <t>509-2025-08-31</t>
        </is>
      </c>
      <c r="H3170" t="inlineStr">
        <is>
          <t>SOPHIA Sistema de Optimización y Programación Horaria Institucional  Académica  I Fase</t>
        </is>
      </c>
      <c r="I3170" t="n">
        <v>90</v>
      </c>
      <c r="J3170" t="n">
        <v>96.83999633789062</v>
      </c>
      <c r="EJ3170" t="n">
        <v>95</v>
      </c>
      <c r="EK3170" t="n">
        <v>92</v>
      </c>
    </row>
    <row r="3171">
      <c r="A3171" t="n">
        <v>509</v>
      </c>
      <c r="B3171" t="inlineStr">
        <is>
          <t>Cumplimiento a cronograma de proyectos 2025</t>
        </is>
      </c>
      <c r="C3171" t="inlineStr">
        <is>
          <t>Gestión de Proyectos</t>
        </is>
      </c>
      <c r="D3171" t="inlineStr">
        <is>
          <t>Mensual</t>
        </is>
      </c>
      <c r="E3171" t="inlineStr">
        <is>
          <t>Positivo</t>
        </is>
      </c>
      <c r="F3171" s="105" t="n">
        <v>45900</v>
      </c>
      <c r="G3171" t="inlineStr">
        <is>
          <t>509-2025-08-31</t>
        </is>
      </c>
      <c r="H3171" t="inlineStr">
        <is>
          <t>Modelo de seguimiento al graduado</t>
        </is>
      </c>
      <c r="I3171" t="n">
        <v>90</v>
      </c>
      <c r="J3171" t="n">
        <v>0</v>
      </c>
      <c r="EJ3171" t="n">
        <v>0</v>
      </c>
      <c r="EK3171" t="n">
        <v>0</v>
      </c>
    </row>
    <row r="3172">
      <c r="A3172" t="n">
        <v>509</v>
      </c>
      <c r="B3172" t="inlineStr">
        <is>
          <t>Cumplimiento a cronograma de proyectos 2025</t>
        </is>
      </c>
      <c r="C3172" t="inlineStr">
        <is>
          <t>Gestión de Proyectos</t>
        </is>
      </c>
      <c r="D3172" t="inlineStr">
        <is>
          <t>Mensual</t>
        </is>
      </c>
      <c r="E3172" t="inlineStr">
        <is>
          <t>Positivo</t>
        </is>
      </c>
      <c r="F3172" s="105" t="n">
        <v>45900</v>
      </c>
      <c r="G3172" t="inlineStr">
        <is>
          <t>509-2025-08-31</t>
        </is>
      </c>
      <c r="H3172" t="inlineStr">
        <is>
          <t>SER PRO Fase II</t>
        </is>
      </c>
      <c r="I3172" t="n">
        <v>90</v>
      </c>
      <c r="J3172" t="n">
        <v>0</v>
      </c>
      <c r="EJ3172" t="n">
        <v>0</v>
      </c>
      <c r="EK3172" t="n">
        <v>0</v>
      </c>
    </row>
    <row r="3173">
      <c r="A3173" t="n">
        <v>509</v>
      </c>
      <c r="B3173" t="inlineStr">
        <is>
          <t>Cumplimiento a cronograma de proyectos 2025</t>
        </is>
      </c>
      <c r="C3173" t="inlineStr">
        <is>
          <t>Gestión de Proyectos</t>
        </is>
      </c>
      <c r="D3173" t="inlineStr">
        <is>
          <t>Mensual</t>
        </is>
      </c>
      <c r="E3173" t="inlineStr">
        <is>
          <t>Positivo</t>
        </is>
      </c>
      <c r="F3173" s="105" t="n">
        <v>45900</v>
      </c>
      <c r="G3173" t="inlineStr">
        <is>
          <t>509-2025-08-31</t>
        </is>
      </c>
      <c r="H3173" t="inlineStr">
        <is>
          <t>Centro de Idiomas POLI</t>
        </is>
      </c>
      <c r="I3173" t="n">
        <v>90</v>
      </c>
      <c r="J3173" t="n">
        <v>0</v>
      </c>
      <c r="EJ3173" t="n">
        <v>0</v>
      </c>
      <c r="EK3173" t="n">
        <v>0</v>
      </c>
    </row>
    <row r="3174">
      <c r="A3174" t="n">
        <v>509</v>
      </c>
      <c r="B3174" t="inlineStr">
        <is>
          <t>Cumplimiento a cronograma de proyectos 2025</t>
        </is>
      </c>
      <c r="C3174" t="inlineStr">
        <is>
          <t>Gestión de Proyectos</t>
        </is>
      </c>
      <c r="D3174" t="inlineStr">
        <is>
          <t>Mensual</t>
        </is>
      </c>
      <c r="E3174" t="inlineStr">
        <is>
          <t>Positivo</t>
        </is>
      </c>
      <c r="F3174" s="105" t="n">
        <v>45900</v>
      </c>
      <c r="G3174" t="inlineStr">
        <is>
          <t>509-2025-08-31</t>
        </is>
      </c>
      <c r="H3174" t="inlineStr">
        <is>
          <t>Colegio Virtual</t>
        </is>
      </c>
      <c r="I3174" t="n">
        <v>90</v>
      </c>
      <c r="J3174" t="n">
        <v>0</v>
      </c>
      <c r="EJ3174" t="n">
        <v>0</v>
      </c>
      <c r="EK3174" t="n">
        <v>0</v>
      </c>
    </row>
    <row r="3175">
      <c r="A3175" t="n">
        <v>509</v>
      </c>
      <c r="B3175" t="inlineStr">
        <is>
          <t>Cumplimiento a cronograma de proyectos 2025</t>
        </is>
      </c>
      <c r="C3175" t="inlineStr">
        <is>
          <t>Gestión de Proyectos</t>
        </is>
      </c>
      <c r="D3175" t="inlineStr">
        <is>
          <t>Mensual</t>
        </is>
      </c>
      <c r="E3175" t="inlineStr">
        <is>
          <t>Positivo</t>
        </is>
      </c>
      <c r="F3175" s="105" t="n">
        <v>45900</v>
      </c>
      <c r="G3175" t="inlineStr">
        <is>
          <t>509-2025-08-31</t>
        </is>
      </c>
      <c r="H3175" t="inlineStr">
        <is>
          <t>Institución de educación para el trabajo y desarrollo humano IETDH</t>
        </is>
      </c>
      <c r="I3175" t="n">
        <v>90</v>
      </c>
      <c r="J3175" t="n">
        <v>0</v>
      </c>
      <c r="EJ3175" t="n">
        <v>0</v>
      </c>
      <c r="EK3175" t="n">
        <v>0</v>
      </c>
    </row>
    <row r="3176">
      <c r="A3176" t="n">
        <v>509</v>
      </c>
      <c r="B3176" t="inlineStr">
        <is>
          <t>Cumplimiento a cronograma de proyectos 2025</t>
        </is>
      </c>
      <c r="C3176" t="inlineStr">
        <is>
          <t>Gestión de Proyectos</t>
        </is>
      </c>
      <c r="D3176" t="inlineStr">
        <is>
          <t>Mensual</t>
        </is>
      </c>
      <c r="E3176" t="inlineStr">
        <is>
          <t>Positivo</t>
        </is>
      </c>
      <c r="F3176" s="105" t="n">
        <v>45900</v>
      </c>
      <c r="G3176" t="inlineStr">
        <is>
          <t>509-2025-08-31</t>
        </is>
      </c>
      <c r="H3176" t="inlineStr">
        <is>
          <t>Plataforma Tecnologica de Gestión de información Curricular</t>
        </is>
      </c>
      <c r="I3176" t="n">
        <v>90</v>
      </c>
      <c r="J3176" t="n">
        <v>100</v>
      </c>
      <c r="EJ3176" t="n">
        <v>46</v>
      </c>
      <c r="EK3176" t="n">
        <v>46</v>
      </c>
    </row>
    <row r="3177">
      <c r="A3177" t="n">
        <v>509</v>
      </c>
      <c r="B3177" t="inlineStr">
        <is>
          <t>Cumplimiento a cronograma de proyectos 2025</t>
        </is>
      </c>
      <c r="C3177" t="inlineStr">
        <is>
          <t>Gestión de Proyectos</t>
        </is>
      </c>
      <c r="D3177" t="inlineStr">
        <is>
          <t>Mensual</t>
        </is>
      </c>
      <c r="E3177" t="inlineStr">
        <is>
          <t>Positivo</t>
        </is>
      </c>
      <c r="F3177" s="105" t="n">
        <v>45900</v>
      </c>
      <c r="G3177" t="inlineStr">
        <is>
          <t>509-2025-08-31</t>
        </is>
      </c>
      <c r="H3177" t="inlineStr">
        <is>
          <t>Sistema de medición de resultados de aprendizaje</t>
        </is>
      </c>
      <c r="I3177" t="n">
        <v>90</v>
      </c>
      <c r="J3177" t="n">
        <v>0</v>
      </c>
      <c r="EJ3177" t="n">
        <v>0</v>
      </c>
      <c r="EK3177" t="n">
        <v>0</v>
      </c>
    </row>
    <row r="3178">
      <c r="A3178" t="n">
        <v>509</v>
      </c>
      <c r="B3178" t="inlineStr">
        <is>
          <t>Cumplimiento a cronograma de proyectos 2025</t>
        </is>
      </c>
      <c r="C3178" t="inlineStr">
        <is>
          <t>Gestión de Proyectos</t>
        </is>
      </c>
      <c r="D3178" t="inlineStr">
        <is>
          <t>Mensual</t>
        </is>
      </c>
      <c r="E3178" t="inlineStr">
        <is>
          <t>Positivo</t>
        </is>
      </c>
      <c r="F3178" s="105" t="n">
        <v>45900</v>
      </c>
      <c r="G3178" t="inlineStr">
        <is>
          <t>509-2025-08-31</t>
        </is>
      </c>
      <c r="H3178" t="inlineStr">
        <is>
          <t>ADN POLI</t>
        </is>
      </c>
      <c r="I3178" t="n">
        <v>90</v>
      </c>
      <c r="J3178" t="n">
        <v>95.12000274658203</v>
      </c>
      <c r="EJ3178" t="n">
        <v>41</v>
      </c>
      <c r="EK3178" t="n">
        <v>39</v>
      </c>
    </row>
    <row r="3179">
      <c r="A3179" t="n">
        <v>208</v>
      </c>
      <c r="B3179" t="inlineStr">
        <is>
          <t>Consumo de Agua m3 Mensual</t>
        </is>
      </c>
      <c r="C3179" t="inlineStr">
        <is>
          <t>GESTIÓN AMBIENTAL</t>
        </is>
      </c>
      <c r="D3179" t="inlineStr">
        <is>
          <t>Mensual</t>
        </is>
      </c>
      <c r="E3179" t="inlineStr">
        <is>
          <t>Negativo</t>
        </is>
      </c>
      <c r="F3179" s="105" t="n">
        <v>45930</v>
      </c>
      <c r="G3179" t="inlineStr">
        <is>
          <t>208-2025-09-30</t>
        </is>
      </c>
      <c r="H3179" t="inlineStr">
        <is>
          <t>Campus Bogotá</t>
        </is>
      </c>
      <c r="I3179" t="n">
        <v>950</v>
      </c>
      <c r="J3179" t="n">
        <v>757</v>
      </c>
      <c r="K3179" t="n">
        <v>757</v>
      </c>
    </row>
    <row r="3180">
      <c r="A3180" t="n">
        <v>208</v>
      </c>
      <c r="B3180" t="inlineStr">
        <is>
          <t>Consumo de Agua m3 Mensual</t>
        </is>
      </c>
      <c r="C3180" t="inlineStr">
        <is>
          <t>GESTIÓN AMBIENTAL</t>
        </is>
      </c>
      <c r="D3180" t="inlineStr">
        <is>
          <t>Mensual</t>
        </is>
      </c>
      <c r="E3180" t="inlineStr">
        <is>
          <t>Negativo</t>
        </is>
      </c>
      <c r="F3180" s="105" t="n">
        <v>45930</v>
      </c>
      <c r="G3180" t="inlineStr">
        <is>
          <t>208-2025-09-30</t>
        </is>
      </c>
      <c r="H3180" t="inlineStr">
        <is>
          <t>Sede Posgrado-Calle 85</t>
        </is>
      </c>
      <c r="I3180" t="n">
        <v>25</v>
      </c>
      <c r="J3180" t="n">
        <v>5.5</v>
      </c>
      <c r="K3180" t="n">
        <v>5.5</v>
      </c>
    </row>
    <row r="3181">
      <c r="A3181" t="n">
        <v>208</v>
      </c>
      <c r="B3181" t="inlineStr">
        <is>
          <t>Consumo de Agua m3 Mensual</t>
        </is>
      </c>
      <c r="C3181" t="inlineStr">
        <is>
          <t>GESTIÓN AMBIENTAL</t>
        </is>
      </c>
      <c r="D3181" t="inlineStr">
        <is>
          <t>Mensual</t>
        </is>
      </c>
      <c r="E3181" t="inlineStr">
        <is>
          <t>Negativo</t>
        </is>
      </c>
      <c r="F3181" s="105" t="n">
        <v>45930</v>
      </c>
      <c r="G3181" t="inlineStr">
        <is>
          <t>208-2025-09-30</t>
        </is>
      </c>
      <c r="H3181" t="inlineStr">
        <is>
          <t>Campus-Medellín</t>
        </is>
      </c>
      <c r="I3181" t="n">
        <v>200</v>
      </c>
      <c r="J3181" t="n">
        <v>210</v>
      </c>
      <c r="K3181" t="n">
        <v>210</v>
      </c>
    </row>
    <row r="3182">
      <c r="A3182" t="n">
        <v>208</v>
      </c>
      <c r="B3182" t="inlineStr">
        <is>
          <t>Consumo de Agua m3 Mensual</t>
        </is>
      </c>
      <c r="C3182" t="inlineStr">
        <is>
          <t>GESTIÓN AMBIENTAL</t>
        </is>
      </c>
      <c r="D3182" t="inlineStr">
        <is>
          <t>Mensual</t>
        </is>
      </c>
      <c r="E3182" t="inlineStr">
        <is>
          <t>Negativo</t>
        </is>
      </c>
      <c r="F3182" s="105" t="n">
        <v>45930</v>
      </c>
      <c r="G3182" t="inlineStr">
        <is>
          <t>208-2025-09-30</t>
        </is>
      </c>
      <c r="H3182" t="inlineStr">
        <is>
          <t>Sede Bienestar - Medellín</t>
        </is>
      </c>
      <c r="I3182" t="n">
        <v>0</v>
      </c>
      <c r="J3182" t="n">
        <v>0</v>
      </c>
      <c r="K3182" t="n">
        <v>0</v>
      </c>
    </row>
    <row r="3183">
      <c r="A3183" t="n">
        <v>208</v>
      </c>
      <c r="B3183" t="inlineStr">
        <is>
          <t>Consumo de Agua m3 Mensual</t>
        </is>
      </c>
      <c r="C3183" t="inlineStr">
        <is>
          <t>GESTIÓN AMBIENTAL</t>
        </is>
      </c>
      <c r="D3183" t="inlineStr">
        <is>
          <t>Mensual</t>
        </is>
      </c>
      <c r="E3183" t="inlineStr">
        <is>
          <t>Negativo</t>
        </is>
      </c>
      <c r="F3183" s="105" t="n">
        <v>45930</v>
      </c>
      <c r="G3183" t="inlineStr">
        <is>
          <t>208-2025-09-30</t>
        </is>
      </c>
      <c r="H3183" t="inlineStr">
        <is>
          <t>Consultorio Psicología - Medellin</t>
        </is>
      </c>
      <c r="I3183" t="n">
        <v>25</v>
      </c>
      <c r="J3183" t="n">
        <v>21</v>
      </c>
      <c r="K3183" t="n">
        <v>21</v>
      </c>
    </row>
    <row r="3184">
      <c r="A3184" t="n">
        <v>208</v>
      </c>
      <c r="B3184" t="inlineStr">
        <is>
          <t>Consumo de Agua m3 Mensual</t>
        </is>
      </c>
      <c r="C3184" t="inlineStr">
        <is>
          <t>GESTIÓN AMBIENTAL</t>
        </is>
      </c>
      <c r="D3184" t="inlineStr">
        <is>
          <t>Mensual</t>
        </is>
      </c>
      <c r="E3184" t="inlineStr">
        <is>
          <t>Negativo</t>
        </is>
      </c>
      <c r="F3184" s="105" t="n">
        <v>45930</v>
      </c>
      <c r="G3184" t="inlineStr">
        <is>
          <t>208-2025-09-30</t>
        </is>
      </c>
      <c r="H3184" t="inlineStr">
        <is>
          <t>City Campus</t>
        </is>
      </c>
      <c r="I3184" t="n">
        <v>350</v>
      </c>
      <c r="J3184" t="n">
        <v>358.5</v>
      </c>
      <c r="K3184" t="n">
        <v>358.5</v>
      </c>
    </row>
    <row r="3185">
      <c r="A3185" t="n">
        <v>214</v>
      </c>
      <c r="B3185" t="inlineStr">
        <is>
          <t>Generación de Residuos Sólidos Mensual</t>
        </is>
      </c>
      <c r="C3185" t="inlineStr">
        <is>
          <t>GESTIÓN AMBIENTAL</t>
        </is>
      </c>
      <c r="D3185" t="inlineStr">
        <is>
          <t>Mensual</t>
        </is>
      </c>
      <c r="E3185" t="inlineStr">
        <is>
          <t>Negativo</t>
        </is>
      </c>
      <c r="F3185" s="105" t="n">
        <v>45930</v>
      </c>
      <c r="G3185" t="inlineStr">
        <is>
          <t>214-2025-09-30</t>
        </is>
      </c>
      <c r="H3185" t="inlineStr">
        <is>
          <t>Campus Bogotá</t>
        </is>
      </c>
      <c r="I3185" t="n">
        <v>5500</v>
      </c>
      <c r="J3185" t="n">
        <v>2462.0400390625</v>
      </c>
      <c r="L3185" t="n">
        <v>62.71</v>
      </c>
      <c r="M3185" t="n">
        <v>2399.33</v>
      </c>
    </row>
    <row r="3186">
      <c r="A3186" t="n">
        <v>214</v>
      </c>
      <c r="B3186" t="inlineStr">
        <is>
          <t>Generación de Residuos Sólidos Mensual</t>
        </is>
      </c>
      <c r="C3186" t="inlineStr">
        <is>
          <t>GESTIÓN AMBIENTAL</t>
        </is>
      </c>
      <c r="D3186" t="inlineStr">
        <is>
          <t>Mensual</t>
        </is>
      </c>
      <c r="E3186" t="inlineStr">
        <is>
          <t>Negativo</t>
        </is>
      </c>
      <c r="F3186" s="105" t="n">
        <v>45930</v>
      </c>
      <c r="G3186" t="inlineStr">
        <is>
          <t>214-2025-09-30</t>
        </is>
      </c>
      <c r="H3186" t="inlineStr">
        <is>
          <t>City Campus</t>
        </is>
      </c>
      <c r="I3186" t="n">
        <v>1000</v>
      </c>
      <c r="J3186" t="n">
        <v>1334.030029296875</v>
      </c>
      <c r="L3186" t="n">
        <v>329.69</v>
      </c>
      <c r="M3186" t="n">
        <v>1004.34</v>
      </c>
    </row>
    <row r="3187">
      <c r="A3187" t="n">
        <v>214</v>
      </c>
      <c r="B3187" t="inlineStr">
        <is>
          <t>Generación de Residuos Sólidos Mensual</t>
        </is>
      </c>
      <c r="C3187" t="inlineStr">
        <is>
          <t>GESTIÓN AMBIENTAL</t>
        </is>
      </c>
      <c r="D3187" t="inlineStr">
        <is>
          <t>Mensual</t>
        </is>
      </c>
      <c r="E3187" t="inlineStr">
        <is>
          <t>Negativo</t>
        </is>
      </c>
      <c r="F3187" s="105" t="n">
        <v>45930</v>
      </c>
      <c r="G3187" t="inlineStr">
        <is>
          <t>214-2025-09-30</t>
        </is>
      </c>
      <c r="H3187" t="inlineStr">
        <is>
          <t>Sede Posgrado-Calle 85</t>
        </is>
      </c>
      <c r="I3187" t="n">
        <v>7500</v>
      </c>
      <c r="J3187" t="n">
        <v>84.30000305175781</v>
      </c>
      <c r="L3187" t="n">
        <v>26.97</v>
      </c>
      <c r="M3187" t="n">
        <v>57.33</v>
      </c>
    </row>
    <row r="3188">
      <c r="A3188" t="n">
        <v>214</v>
      </c>
      <c r="B3188" t="inlineStr">
        <is>
          <t>Generación de Residuos Sólidos Mensual</t>
        </is>
      </c>
      <c r="C3188" t="inlineStr">
        <is>
          <t>GESTIÓN AMBIENTAL</t>
        </is>
      </c>
      <c r="D3188" t="inlineStr">
        <is>
          <t>Mensual</t>
        </is>
      </c>
      <c r="E3188" t="inlineStr">
        <is>
          <t>Negativo</t>
        </is>
      </c>
      <c r="F3188" s="105" t="n">
        <v>45930</v>
      </c>
      <c r="G3188" t="inlineStr">
        <is>
          <t>214-2025-09-30</t>
        </is>
      </c>
      <c r="H3188" t="inlineStr">
        <is>
          <t>Sede Bienestar - Medellín</t>
        </is>
      </c>
      <c r="I3188" t="n">
        <v>1</v>
      </c>
      <c r="J3188" t="n">
        <v>240.3999938964844</v>
      </c>
      <c r="L3188" t="n">
        <v>24.4</v>
      </c>
      <c r="M3188" t="n">
        <v>216</v>
      </c>
    </row>
    <row r="3189">
      <c r="A3189" t="n">
        <v>214</v>
      </c>
      <c r="B3189" t="inlineStr">
        <is>
          <t>Generación de Residuos Sólidos Mensual</t>
        </is>
      </c>
      <c r="C3189" t="inlineStr">
        <is>
          <t>GESTIÓN AMBIENTAL</t>
        </is>
      </c>
      <c r="D3189" t="inlineStr">
        <is>
          <t>Mensual</t>
        </is>
      </c>
      <c r="E3189" t="inlineStr">
        <is>
          <t>Negativo</t>
        </is>
      </c>
      <c r="F3189" s="105" t="n">
        <v>45930</v>
      </c>
      <c r="G3189" t="inlineStr">
        <is>
          <t>214-2025-09-30</t>
        </is>
      </c>
      <c r="H3189" t="inlineStr">
        <is>
          <t>Consultorio Psicología - Medellin</t>
        </is>
      </c>
      <c r="I3189" t="n">
        <v>1</v>
      </c>
      <c r="J3189" t="n">
        <v>35.72000122070312</v>
      </c>
      <c r="L3189" t="n">
        <v>8.82</v>
      </c>
      <c r="M3189" t="n">
        <v>26.9</v>
      </c>
    </row>
    <row r="3190">
      <c r="A3190" t="n">
        <v>214</v>
      </c>
      <c r="B3190" t="inlineStr">
        <is>
          <t>Generación de Residuos Sólidos Mensual</t>
        </is>
      </c>
      <c r="C3190" t="inlineStr">
        <is>
          <t>GESTIÓN AMBIENTAL</t>
        </is>
      </c>
      <c r="D3190" t="inlineStr">
        <is>
          <t>Mensual</t>
        </is>
      </c>
      <c r="E3190" t="inlineStr">
        <is>
          <t>Negativo</t>
        </is>
      </c>
      <c r="F3190" s="105" t="n">
        <v>45930</v>
      </c>
      <c r="G3190" t="inlineStr">
        <is>
          <t>214-2025-09-30</t>
        </is>
      </c>
      <c r="H3190" t="inlineStr">
        <is>
          <t>Campus-Medellín</t>
        </is>
      </c>
      <c r="I3190" t="n">
        <v>1000</v>
      </c>
      <c r="J3190" t="n">
        <v>1165.099975585938</v>
      </c>
      <c r="L3190" t="n">
        <v>233.4</v>
      </c>
      <c r="M3190" t="n">
        <v>931.7</v>
      </c>
    </row>
    <row r="3191">
      <c r="A3191" t="n">
        <v>217</v>
      </c>
      <c r="B3191" t="inlineStr">
        <is>
          <t>Aprovechamiento de Residuos</t>
        </is>
      </c>
      <c r="C3191" t="inlineStr">
        <is>
          <t>GESTIÓN AMBIENTAL</t>
        </is>
      </c>
      <c r="D3191" t="inlineStr">
        <is>
          <t>Mensual</t>
        </is>
      </c>
      <c r="E3191" t="inlineStr">
        <is>
          <t>Positivo</t>
        </is>
      </c>
      <c r="F3191" s="105" t="n">
        <v>45930</v>
      </c>
      <c r="G3191" t="inlineStr">
        <is>
          <t>217-2025-09-30</t>
        </is>
      </c>
      <c r="H3191" t="inlineStr">
        <is>
          <t>Campus Bogotá</t>
        </is>
      </c>
      <c r="I3191" t="n">
        <v>20</v>
      </c>
      <c r="J3191" t="n">
        <v>59.95999908447266</v>
      </c>
      <c r="L3191" t="n">
        <v>62.71</v>
      </c>
      <c r="M3191" t="n">
        <v>2399.33</v>
      </c>
      <c r="AS3191" t="n">
        <v>1476.23</v>
      </c>
    </row>
    <row r="3192">
      <c r="A3192" t="n">
        <v>217</v>
      </c>
      <c r="B3192" t="inlineStr">
        <is>
          <t>Aprovechamiento de Residuos</t>
        </is>
      </c>
      <c r="C3192" t="inlineStr">
        <is>
          <t>GESTIÓN AMBIENTAL</t>
        </is>
      </c>
      <c r="D3192" t="inlineStr">
        <is>
          <t>Mensual</t>
        </is>
      </c>
      <c r="E3192" t="inlineStr">
        <is>
          <t>Positivo</t>
        </is>
      </c>
      <c r="F3192" s="105" t="n">
        <v>45930</v>
      </c>
      <c r="G3192" t="inlineStr">
        <is>
          <t>217-2025-09-30</t>
        </is>
      </c>
      <c r="H3192" t="inlineStr">
        <is>
          <t>City Campus</t>
        </is>
      </c>
      <c r="I3192" t="n">
        <v>20</v>
      </c>
      <c r="J3192" t="n">
        <v>24.70999908447266</v>
      </c>
      <c r="L3192" t="n">
        <v>329.69</v>
      </c>
      <c r="M3192" t="n">
        <v>1004.34</v>
      </c>
      <c r="AS3192" t="n">
        <v>329.69</v>
      </c>
    </row>
    <row r="3193">
      <c r="A3193" t="n">
        <v>217</v>
      </c>
      <c r="B3193" t="inlineStr">
        <is>
          <t>Aprovechamiento de Residuos</t>
        </is>
      </c>
      <c r="C3193" t="inlineStr">
        <is>
          <t>GESTIÓN AMBIENTAL</t>
        </is>
      </c>
      <c r="D3193" t="inlineStr">
        <is>
          <t>Mensual</t>
        </is>
      </c>
      <c r="E3193" t="inlineStr">
        <is>
          <t>Positivo</t>
        </is>
      </c>
      <c r="F3193" s="105" t="n">
        <v>45930</v>
      </c>
      <c r="G3193" t="inlineStr">
        <is>
          <t>217-2025-09-30</t>
        </is>
      </c>
      <c r="H3193" t="inlineStr">
        <is>
          <t>Sede Posgrado-Calle 85</t>
        </is>
      </c>
      <c r="I3193" t="n">
        <v>20</v>
      </c>
      <c r="J3193" t="n">
        <v>35.08000183105469</v>
      </c>
      <c r="L3193" t="n">
        <v>26.97</v>
      </c>
      <c r="M3193" t="n">
        <v>57.33</v>
      </c>
      <c r="AS3193" t="n">
        <v>29.57</v>
      </c>
    </row>
    <row r="3194">
      <c r="A3194" t="n">
        <v>217</v>
      </c>
      <c r="B3194" t="inlineStr">
        <is>
          <t>Aprovechamiento de Residuos</t>
        </is>
      </c>
      <c r="C3194" t="inlineStr">
        <is>
          <t>GESTIÓN AMBIENTAL</t>
        </is>
      </c>
      <c r="D3194" t="inlineStr">
        <is>
          <t>Mensual</t>
        </is>
      </c>
      <c r="E3194" t="inlineStr">
        <is>
          <t>Positivo</t>
        </is>
      </c>
      <c r="F3194" s="105" t="n">
        <v>45930</v>
      </c>
      <c r="G3194" t="inlineStr">
        <is>
          <t>217-2025-09-30</t>
        </is>
      </c>
      <c r="H3194" t="inlineStr">
        <is>
          <t>Sede Bienestar - Medellín</t>
        </is>
      </c>
      <c r="I3194" t="n">
        <v>20</v>
      </c>
      <c r="J3194" t="n">
        <v>10.14999961853027</v>
      </c>
      <c r="L3194" t="n">
        <v>24.4</v>
      </c>
      <c r="M3194" t="n">
        <v>216</v>
      </c>
      <c r="AS3194" t="n">
        <v>24.4</v>
      </c>
    </row>
    <row r="3195">
      <c r="A3195" t="n">
        <v>217</v>
      </c>
      <c r="B3195" t="inlineStr">
        <is>
          <t>Aprovechamiento de Residuos</t>
        </is>
      </c>
      <c r="C3195" t="inlineStr">
        <is>
          <t>GESTIÓN AMBIENTAL</t>
        </is>
      </c>
      <c r="D3195" t="inlineStr">
        <is>
          <t>Mensual</t>
        </is>
      </c>
      <c r="E3195" t="inlineStr">
        <is>
          <t>Positivo</t>
        </is>
      </c>
      <c r="F3195" s="105" t="n">
        <v>45930</v>
      </c>
      <c r="G3195" t="inlineStr">
        <is>
          <t>217-2025-09-30</t>
        </is>
      </c>
      <c r="H3195" t="inlineStr">
        <is>
          <t>Consultorio Psicología - Medellin</t>
        </is>
      </c>
      <c r="I3195" t="n">
        <v>20</v>
      </c>
      <c r="J3195" t="n">
        <v>24.69000053405762</v>
      </c>
      <c r="L3195" t="n">
        <v>8.82</v>
      </c>
      <c r="M3195" t="n">
        <v>26.9</v>
      </c>
      <c r="AS3195" t="n">
        <v>8.82</v>
      </c>
    </row>
    <row r="3196">
      <c r="A3196" t="n">
        <v>217</v>
      </c>
      <c r="B3196" t="inlineStr">
        <is>
          <t>Aprovechamiento de Residuos</t>
        </is>
      </c>
      <c r="C3196" t="inlineStr">
        <is>
          <t>GESTIÓN AMBIENTAL</t>
        </is>
      </c>
      <c r="D3196" t="inlineStr">
        <is>
          <t>Mensual</t>
        </is>
      </c>
      <c r="E3196" t="inlineStr">
        <is>
          <t>Positivo</t>
        </is>
      </c>
      <c r="F3196" s="105" t="n">
        <v>45930</v>
      </c>
      <c r="G3196" t="inlineStr">
        <is>
          <t>217-2025-09-30</t>
        </is>
      </c>
      <c r="H3196" t="inlineStr">
        <is>
          <t>Campus-Medellín</t>
        </is>
      </c>
      <c r="I3196" t="n">
        <v>20</v>
      </c>
      <c r="J3196" t="n">
        <v>20.03000068664551</v>
      </c>
      <c r="L3196" t="n">
        <v>233.4</v>
      </c>
      <c r="M3196" t="n">
        <v>931.7</v>
      </c>
      <c r="AS3196" t="n">
        <v>233.4</v>
      </c>
    </row>
    <row r="3197">
      <c r="A3197" t="n">
        <v>218</v>
      </c>
      <c r="B3197" t="inlineStr">
        <is>
          <t>Consumo de Energía Eléctrica kWh Mensual</t>
        </is>
      </c>
      <c r="C3197" t="inlineStr">
        <is>
          <t>GESTIÓN AMBIENTAL</t>
        </is>
      </c>
      <c r="D3197" t="inlineStr">
        <is>
          <t>Mensual</t>
        </is>
      </c>
      <c r="E3197" t="inlineStr">
        <is>
          <t>Negativo</t>
        </is>
      </c>
      <c r="F3197" s="105" t="n">
        <v>45930</v>
      </c>
      <c r="G3197" t="inlineStr">
        <is>
          <t>218-2025-09-30</t>
        </is>
      </c>
      <c r="H3197" t="inlineStr">
        <is>
          <t>City Campus</t>
        </is>
      </c>
      <c r="I3197" t="n">
        <v>76000</v>
      </c>
      <c r="J3197" t="n">
        <v>46740</v>
      </c>
      <c r="N3197" t="n">
        <v>46740</v>
      </c>
    </row>
    <row r="3198">
      <c r="A3198" t="n">
        <v>218</v>
      </c>
      <c r="B3198" t="inlineStr">
        <is>
          <t>Consumo de Energía Eléctrica kWh Mensual</t>
        </is>
      </c>
      <c r="C3198" t="inlineStr">
        <is>
          <t>GESTIÓN AMBIENTAL</t>
        </is>
      </c>
      <c r="D3198" t="inlineStr">
        <is>
          <t>Mensual</t>
        </is>
      </c>
      <c r="E3198" t="inlineStr">
        <is>
          <t>Negativo</t>
        </is>
      </c>
      <c r="F3198" s="105" t="n">
        <v>45930</v>
      </c>
      <c r="G3198" t="inlineStr">
        <is>
          <t>218-2025-09-30</t>
        </is>
      </c>
      <c r="H3198" t="inlineStr">
        <is>
          <t>Sede Posgrado-Calle 85</t>
        </is>
      </c>
      <c r="I3198" t="n">
        <v>5000</v>
      </c>
      <c r="J3198" t="n">
        <v>4620</v>
      </c>
      <c r="N3198" t="n">
        <v>4620</v>
      </c>
    </row>
    <row r="3199">
      <c r="A3199" t="n">
        <v>218</v>
      </c>
      <c r="B3199" t="inlineStr">
        <is>
          <t>Consumo de Energía Eléctrica kWh Mensual</t>
        </is>
      </c>
      <c r="C3199" t="inlineStr">
        <is>
          <t>GESTIÓN AMBIENTAL</t>
        </is>
      </c>
      <c r="D3199" t="inlineStr">
        <is>
          <t>Mensual</t>
        </is>
      </c>
      <c r="E3199" t="inlineStr">
        <is>
          <t>Negativo</t>
        </is>
      </c>
      <c r="F3199" s="105" t="n">
        <v>45930</v>
      </c>
      <c r="G3199" t="inlineStr">
        <is>
          <t>218-2025-09-30</t>
        </is>
      </c>
      <c r="H3199" t="inlineStr">
        <is>
          <t>Campus-Medellín</t>
        </is>
      </c>
      <c r="I3199" t="n">
        <v>24000</v>
      </c>
      <c r="J3199" t="n">
        <v>21654</v>
      </c>
      <c r="N3199" t="n">
        <v>21654</v>
      </c>
    </row>
    <row r="3200">
      <c r="A3200" t="n">
        <v>218</v>
      </c>
      <c r="B3200" t="inlineStr">
        <is>
          <t>Consumo de Energía Eléctrica kWh Mensual</t>
        </is>
      </c>
      <c r="C3200" t="inlineStr">
        <is>
          <t>GESTIÓN AMBIENTAL</t>
        </is>
      </c>
      <c r="D3200" t="inlineStr">
        <is>
          <t>Mensual</t>
        </is>
      </c>
      <c r="E3200" t="inlineStr">
        <is>
          <t>Negativo</t>
        </is>
      </c>
      <c r="F3200" s="105" t="n">
        <v>45930</v>
      </c>
      <c r="G3200" t="inlineStr">
        <is>
          <t>218-2025-09-30</t>
        </is>
      </c>
      <c r="H3200" t="inlineStr">
        <is>
          <t>Sede Bienestar - Medellín</t>
        </is>
      </c>
      <c r="I3200" t="n">
        <v>5000</v>
      </c>
      <c r="J3200" t="n">
        <v>8843</v>
      </c>
      <c r="N3200" t="n">
        <v>8843</v>
      </c>
    </row>
    <row r="3201">
      <c r="A3201" t="n">
        <v>218</v>
      </c>
      <c r="B3201" t="inlineStr">
        <is>
          <t>Consumo de Energía Eléctrica kWh Mensual</t>
        </is>
      </c>
      <c r="C3201" t="inlineStr">
        <is>
          <t>GESTIÓN AMBIENTAL</t>
        </is>
      </c>
      <c r="D3201" t="inlineStr">
        <is>
          <t>Mensual</t>
        </is>
      </c>
      <c r="E3201" t="inlineStr">
        <is>
          <t>Negativo</t>
        </is>
      </c>
      <c r="F3201" s="105" t="n">
        <v>45930</v>
      </c>
      <c r="G3201" t="inlineStr">
        <is>
          <t>218-2025-09-30</t>
        </is>
      </c>
      <c r="H3201" t="inlineStr">
        <is>
          <t>Consultorio Psicología - Medellin</t>
        </is>
      </c>
      <c r="I3201" t="n">
        <v>2000</v>
      </c>
      <c r="J3201" t="n">
        <v>2800</v>
      </c>
      <c r="N3201" t="n">
        <v>2800</v>
      </c>
    </row>
    <row r="3202">
      <c r="A3202" t="n">
        <v>218</v>
      </c>
      <c r="B3202" t="inlineStr">
        <is>
          <t>Consumo de Energía Eléctrica kWh Mensual</t>
        </is>
      </c>
      <c r="C3202" t="inlineStr">
        <is>
          <t>GESTIÓN AMBIENTAL</t>
        </is>
      </c>
      <c r="D3202" t="inlineStr">
        <is>
          <t>Mensual</t>
        </is>
      </c>
      <c r="E3202" t="inlineStr">
        <is>
          <t>Negativo</t>
        </is>
      </c>
      <c r="F3202" s="105" t="n">
        <v>45930</v>
      </c>
      <c r="G3202" t="inlineStr">
        <is>
          <t>218-2025-09-30</t>
        </is>
      </c>
      <c r="H3202" t="inlineStr">
        <is>
          <t>Campus Bogotá</t>
        </is>
      </c>
      <c r="I3202" t="n">
        <v>76000</v>
      </c>
      <c r="J3202" t="n">
        <v>69944.59375</v>
      </c>
      <c r="N3202" t="n">
        <v>69944.59</v>
      </c>
    </row>
    <row r="3203">
      <c r="A3203" t="n">
        <v>225</v>
      </c>
      <c r="B3203" t="inlineStr">
        <is>
          <t>Acciones para el Cuidado y Mantenimiento de las Especies de Flora y el Suelo de las Áreas Naturales</t>
        </is>
      </c>
      <c r="C3203" t="inlineStr">
        <is>
          <t>GESTIÓN AMBIENTAL</t>
        </is>
      </c>
      <c r="D3203" t="inlineStr">
        <is>
          <t>Mensual</t>
        </is>
      </c>
      <c r="E3203" t="inlineStr">
        <is>
          <t>Positivo</t>
        </is>
      </c>
      <c r="F3203" s="105" t="n">
        <v>45930</v>
      </c>
      <c r="G3203" t="inlineStr">
        <is>
          <t>225-2025-09-30</t>
        </is>
      </c>
      <c r="H3203" t="inlineStr">
        <is>
          <t>Campus Bogotá</t>
        </is>
      </c>
      <c r="I3203" t="n">
        <v>1</v>
      </c>
      <c r="J3203" t="n">
        <v>7</v>
      </c>
      <c r="AT3203" t="n">
        <v>7</v>
      </c>
    </row>
    <row r="3204">
      <c r="A3204" t="n">
        <v>225</v>
      </c>
      <c r="B3204" t="inlineStr">
        <is>
          <t>Acciones para el Cuidado y Mantenimiento de las Especies de Flora y el Suelo de las Áreas Naturales</t>
        </is>
      </c>
      <c r="C3204" t="inlineStr">
        <is>
          <t>GESTIÓN AMBIENTAL</t>
        </is>
      </c>
      <c r="D3204" t="inlineStr">
        <is>
          <t>Mensual</t>
        </is>
      </c>
      <c r="E3204" t="inlineStr">
        <is>
          <t>Positivo</t>
        </is>
      </c>
      <c r="F3204" s="105" t="n">
        <v>45930</v>
      </c>
      <c r="G3204" t="inlineStr">
        <is>
          <t>225-2025-09-30</t>
        </is>
      </c>
      <c r="H3204" t="inlineStr">
        <is>
          <t>Sede Posgrado-Calle 85</t>
        </is>
      </c>
      <c r="I3204" t="n">
        <v>1</v>
      </c>
      <c r="J3204" t="n">
        <v>0</v>
      </c>
      <c r="AT3204" t="n">
        <v>0</v>
      </c>
    </row>
    <row r="3205">
      <c r="A3205" t="n">
        <v>225</v>
      </c>
      <c r="B3205" t="inlineStr">
        <is>
          <t>Acciones para el Cuidado y Mantenimiento de las Especies de Flora y el Suelo de las Áreas Naturales</t>
        </is>
      </c>
      <c r="C3205" t="inlineStr">
        <is>
          <t>GESTIÓN AMBIENTAL</t>
        </is>
      </c>
      <c r="D3205" t="inlineStr">
        <is>
          <t>Mensual</t>
        </is>
      </c>
      <c r="E3205" t="inlineStr">
        <is>
          <t>Positivo</t>
        </is>
      </c>
      <c r="F3205" s="105" t="n">
        <v>45930</v>
      </c>
      <c r="G3205" t="inlineStr">
        <is>
          <t>225-2025-09-30</t>
        </is>
      </c>
      <c r="H3205" t="inlineStr">
        <is>
          <t>Campus-Medellín</t>
        </is>
      </c>
      <c r="I3205" t="n">
        <v>1</v>
      </c>
      <c r="J3205" t="n">
        <v>10</v>
      </c>
      <c r="AT3205" t="n">
        <v>10</v>
      </c>
    </row>
    <row r="3206">
      <c r="A3206" t="n">
        <v>225</v>
      </c>
      <c r="B3206" t="inlineStr">
        <is>
          <t>Acciones para el Cuidado y Mantenimiento de las Especies de Flora y el Suelo de las Áreas Naturales</t>
        </is>
      </c>
      <c r="C3206" t="inlineStr">
        <is>
          <t>GESTIÓN AMBIENTAL</t>
        </is>
      </c>
      <c r="D3206" t="inlineStr">
        <is>
          <t>Mensual</t>
        </is>
      </c>
      <c r="E3206" t="inlineStr">
        <is>
          <t>Positivo</t>
        </is>
      </c>
      <c r="F3206" s="105" t="n">
        <v>45930</v>
      </c>
      <c r="G3206" t="inlineStr">
        <is>
          <t>225-2025-09-30</t>
        </is>
      </c>
      <c r="H3206" t="inlineStr">
        <is>
          <t>Sede Bienestar - Medellín</t>
        </is>
      </c>
      <c r="I3206" t="n">
        <v>1</v>
      </c>
      <c r="J3206" t="n">
        <v>1</v>
      </c>
      <c r="AT3206" t="n">
        <v>1</v>
      </c>
    </row>
    <row r="3207">
      <c r="A3207" t="n">
        <v>225</v>
      </c>
      <c r="B3207" t="inlineStr">
        <is>
          <t>Acciones para el Cuidado y Mantenimiento de las Especies de Flora y el Suelo de las Áreas Naturales</t>
        </is>
      </c>
      <c r="C3207" t="inlineStr">
        <is>
          <t>GESTIÓN AMBIENTAL</t>
        </is>
      </c>
      <c r="D3207" t="inlineStr">
        <is>
          <t>Mensual</t>
        </is>
      </c>
      <c r="E3207" t="inlineStr">
        <is>
          <t>Positivo</t>
        </is>
      </c>
      <c r="F3207" s="105" t="n">
        <v>45930</v>
      </c>
      <c r="G3207" t="inlineStr">
        <is>
          <t>225-2025-09-30</t>
        </is>
      </c>
      <c r="H3207" t="inlineStr">
        <is>
          <t>Consultorio Psicología - Medellin</t>
        </is>
      </c>
      <c r="I3207" t="n">
        <v>1</v>
      </c>
      <c r="J3207" t="n">
        <v>1</v>
      </c>
      <c r="AT3207" t="n">
        <v>1</v>
      </c>
    </row>
    <row r="3208">
      <c r="A3208" t="n">
        <v>225</v>
      </c>
      <c r="B3208" t="inlineStr">
        <is>
          <t>Acciones para el Cuidado y Mantenimiento de las Especies de Flora y el Suelo de las Áreas Naturales</t>
        </is>
      </c>
      <c r="C3208" t="inlineStr">
        <is>
          <t>GESTIÓN AMBIENTAL</t>
        </is>
      </c>
      <c r="D3208" t="inlineStr">
        <is>
          <t>Mensual</t>
        </is>
      </c>
      <c r="E3208" t="inlineStr">
        <is>
          <t>Positivo</t>
        </is>
      </c>
      <c r="F3208" s="105" t="n">
        <v>45930</v>
      </c>
      <c r="G3208" t="inlineStr">
        <is>
          <t>225-2025-09-30</t>
        </is>
      </c>
      <c r="H3208" t="inlineStr">
        <is>
          <t>City Campus</t>
        </is>
      </c>
      <c r="I3208" t="n">
        <v>1</v>
      </c>
      <c r="AT3208" t="n">
        <v>0</v>
      </c>
    </row>
    <row r="3209">
      <c r="A3209" t="n">
        <v>239</v>
      </c>
      <c r="B3209" t="inlineStr">
        <is>
          <t>Portafolio de Proyectos - Metrica</t>
        </is>
      </c>
      <c r="C3209" t="inlineStr">
        <is>
          <t>Gestión de Proyectos</t>
        </is>
      </c>
      <c r="D3209" t="inlineStr">
        <is>
          <t>Mensual</t>
        </is>
      </c>
      <c r="E3209" t="inlineStr">
        <is>
          <t>Positivo</t>
        </is>
      </c>
      <c r="F3209" s="105" t="n">
        <v>45930</v>
      </c>
      <c r="G3209" t="inlineStr">
        <is>
          <t>239-2025-09-30</t>
        </is>
      </c>
      <c r="H3209" t="inlineStr">
        <is>
          <t>Planificación</t>
        </is>
      </c>
      <c r="J3209" t="n">
        <v>2</v>
      </c>
      <c r="AU3209" t="n">
        <v>2</v>
      </c>
    </row>
    <row r="3210">
      <c r="A3210" t="n">
        <v>239</v>
      </c>
      <c r="B3210" t="inlineStr">
        <is>
          <t>Portafolio de Proyectos - Metrica</t>
        </is>
      </c>
      <c r="C3210" t="inlineStr">
        <is>
          <t>Gestión de Proyectos</t>
        </is>
      </c>
      <c r="D3210" t="inlineStr">
        <is>
          <t>Mensual</t>
        </is>
      </c>
      <c r="E3210" t="inlineStr">
        <is>
          <t>Positivo</t>
        </is>
      </c>
      <c r="F3210" s="105" t="n">
        <v>45930</v>
      </c>
      <c r="G3210" t="inlineStr">
        <is>
          <t>239-2025-09-30</t>
        </is>
      </c>
      <c r="H3210" t="inlineStr">
        <is>
          <t>Ejecución</t>
        </is>
      </c>
      <c r="J3210" t="n">
        <v>12</v>
      </c>
      <c r="AU3210" t="n">
        <v>12</v>
      </c>
    </row>
    <row r="3211">
      <c r="A3211" t="n">
        <v>239</v>
      </c>
      <c r="B3211" t="inlineStr">
        <is>
          <t>Portafolio de Proyectos - Metrica</t>
        </is>
      </c>
      <c r="C3211" t="inlineStr">
        <is>
          <t>Gestión de Proyectos</t>
        </is>
      </c>
      <c r="D3211" t="inlineStr">
        <is>
          <t>Mensual</t>
        </is>
      </c>
      <c r="E3211" t="inlineStr">
        <is>
          <t>Positivo</t>
        </is>
      </c>
      <c r="F3211" s="105" t="n">
        <v>45930</v>
      </c>
      <c r="G3211" t="inlineStr">
        <is>
          <t>239-2025-09-30</t>
        </is>
      </c>
      <c r="H3211" t="inlineStr">
        <is>
          <t>Cierre</t>
        </is>
      </c>
      <c r="J3211" t="n">
        <v>2</v>
      </c>
      <c r="AU3211" t="n">
        <v>2</v>
      </c>
    </row>
    <row r="3212">
      <c r="A3212" t="n">
        <v>239</v>
      </c>
      <c r="B3212" t="inlineStr">
        <is>
          <t>Portafolio de Proyectos - Metrica</t>
        </is>
      </c>
      <c r="C3212" t="inlineStr">
        <is>
          <t>Gestión de Proyectos</t>
        </is>
      </c>
      <c r="D3212" t="inlineStr">
        <is>
          <t>Mensual</t>
        </is>
      </c>
      <c r="E3212" t="inlineStr">
        <is>
          <t>Positivo</t>
        </is>
      </c>
      <c r="F3212" s="105" t="n">
        <v>45930</v>
      </c>
      <c r="G3212" t="inlineStr">
        <is>
          <t>239-2025-09-30</t>
        </is>
      </c>
      <c r="H3212" t="inlineStr">
        <is>
          <t>Finalizados</t>
        </is>
      </c>
      <c r="J3212" t="n">
        <v>23</v>
      </c>
      <c r="AU3212" t="n">
        <v>23</v>
      </c>
    </row>
    <row r="3213">
      <c r="A3213" t="n">
        <v>239</v>
      </c>
      <c r="B3213" t="inlineStr">
        <is>
          <t>Portafolio de Proyectos - Metrica</t>
        </is>
      </c>
      <c r="C3213" t="inlineStr">
        <is>
          <t>Gestión de Proyectos</t>
        </is>
      </c>
      <c r="D3213" t="inlineStr">
        <is>
          <t>Mensual</t>
        </is>
      </c>
      <c r="E3213" t="inlineStr">
        <is>
          <t>Positivo</t>
        </is>
      </c>
      <c r="F3213" s="105" t="n">
        <v>45930</v>
      </c>
      <c r="G3213" t="inlineStr">
        <is>
          <t>239-2025-09-30</t>
        </is>
      </c>
      <c r="H3213" t="inlineStr">
        <is>
          <t>Stand by</t>
        </is>
      </c>
      <c r="J3213" t="n">
        <v>4</v>
      </c>
      <c r="AU3213" t="n">
        <v>4</v>
      </c>
    </row>
    <row r="3214">
      <c r="A3214" t="n">
        <v>434</v>
      </c>
      <c r="B3214" t="inlineStr">
        <is>
          <t>Generación de Residuos Peligrosos Mensual</t>
        </is>
      </c>
      <c r="C3214" t="inlineStr">
        <is>
          <t>GESTIÓN AMBIENTAL</t>
        </is>
      </c>
      <c r="D3214" t="inlineStr">
        <is>
          <t>Mensual</t>
        </is>
      </c>
      <c r="E3214" t="inlineStr">
        <is>
          <t>Negativo</t>
        </is>
      </c>
      <c r="F3214" s="105" t="n">
        <v>45930</v>
      </c>
      <c r="G3214" t="inlineStr">
        <is>
          <t>434-2025-09-30</t>
        </is>
      </c>
      <c r="H3214" t="inlineStr">
        <is>
          <t>Campus Bogotá</t>
        </is>
      </c>
      <c r="I3214" t="n">
        <v>100</v>
      </c>
      <c r="J3214" t="n">
        <v>83.72000122070312</v>
      </c>
      <c r="AV3214" t="n">
        <v>83.72</v>
      </c>
    </row>
    <row r="3215">
      <c r="A3215" t="n">
        <v>434</v>
      </c>
      <c r="B3215" t="inlineStr">
        <is>
          <t>Generación de Residuos Peligrosos Mensual</t>
        </is>
      </c>
      <c r="C3215" t="inlineStr">
        <is>
          <t>GESTIÓN AMBIENTAL</t>
        </is>
      </c>
      <c r="D3215" t="inlineStr">
        <is>
          <t>Mensual</t>
        </is>
      </c>
      <c r="E3215" t="inlineStr">
        <is>
          <t>Negativo</t>
        </is>
      </c>
      <c r="F3215" s="105" t="n">
        <v>45930</v>
      </c>
      <c r="G3215" t="inlineStr">
        <is>
          <t>434-2025-09-30</t>
        </is>
      </c>
      <c r="H3215" t="inlineStr">
        <is>
          <t>Sede Posgrado-Calle 85</t>
        </is>
      </c>
      <c r="I3215" t="n">
        <v>200</v>
      </c>
      <c r="J3215" t="n">
        <v>0</v>
      </c>
      <c r="AV3215" t="n">
        <v>0</v>
      </c>
    </row>
    <row r="3216">
      <c r="A3216" t="n">
        <v>434</v>
      </c>
      <c r="B3216" t="inlineStr">
        <is>
          <t>Generación de Residuos Peligrosos Mensual</t>
        </is>
      </c>
      <c r="C3216" t="inlineStr">
        <is>
          <t>GESTIÓN AMBIENTAL</t>
        </is>
      </c>
      <c r="D3216" t="inlineStr">
        <is>
          <t>Mensual</t>
        </is>
      </c>
      <c r="E3216" t="inlineStr">
        <is>
          <t>Negativo</t>
        </is>
      </c>
      <c r="F3216" s="105" t="n">
        <v>45930</v>
      </c>
      <c r="G3216" t="inlineStr">
        <is>
          <t>434-2025-09-30</t>
        </is>
      </c>
      <c r="H3216" t="inlineStr">
        <is>
          <t>Campus-Medellín</t>
        </is>
      </c>
      <c r="I3216" t="n">
        <v>25</v>
      </c>
      <c r="J3216" t="n">
        <v>23.39999961853027</v>
      </c>
      <c r="AV3216" t="n">
        <v>23.4</v>
      </c>
    </row>
    <row r="3217">
      <c r="A3217" t="n">
        <v>434</v>
      </c>
      <c r="B3217" t="inlineStr">
        <is>
          <t>Generación de Residuos Peligrosos Mensual</t>
        </is>
      </c>
      <c r="C3217" t="inlineStr">
        <is>
          <t>GESTIÓN AMBIENTAL</t>
        </is>
      </c>
      <c r="D3217" t="inlineStr">
        <is>
          <t>Mensual</t>
        </is>
      </c>
      <c r="E3217" t="inlineStr">
        <is>
          <t>Negativo</t>
        </is>
      </c>
      <c r="F3217" s="105" t="n">
        <v>45930</v>
      </c>
      <c r="G3217" t="inlineStr">
        <is>
          <t>434-2025-09-30</t>
        </is>
      </c>
      <c r="H3217" t="inlineStr">
        <is>
          <t>Sede Bienestar - Medellín</t>
        </is>
      </c>
      <c r="I3217" t="n">
        <v>10</v>
      </c>
      <c r="J3217" t="n">
        <v>0.1000000014901161</v>
      </c>
      <c r="AV3217" t="n">
        <v>0.1</v>
      </c>
    </row>
    <row r="3218">
      <c r="A3218" t="n">
        <v>434</v>
      </c>
      <c r="B3218" t="inlineStr">
        <is>
          <t>Generación de Residuos Peligrosos Mensual</t>
        </is>
      </c>
      <c r="C3218" t="inlineStr">
        <is>
          <t>GESTIÓN AMBIENTAL</t>
        </is>
      </c>
      <c r="D3218" t="inlineStr">
        <is>
          <t>Mensual</t>
        </is>
      </c>
      <c r="E3218" t="inlineStr">
        <is>
          <t>Negativo</t>
        </is>
      </c>
      <c r="F3218" s="105" t="n">
        <v>45930</v>
      </c>
      <c r="G3218" t="inlineStr">
        <is>
          <t>434-2025-09-30</t>
        </is>
      </c>
      <c r="H3218" t="inlineStr">
        <is>
          <t>Consultorio Psicología - Medellin</t>
        </is>
      </c>
      <c r="I3218" t="n">
        <v>200</v>
      </c>
      <c r="J3218" t="n">
        <v>0</v>
      </c>
      <c r="AV3218" t="n">
        <v>0</v>
      </c>
    </row>
    <row r="3219">
      <c r="A3219" t="n">
        <v>434</v>
      </c>
      <c r="B3219" t="inlineStr">
        <is>
          <t>Generación de Residuos Peligrosos Mensual</t>
        </is>
      </c>
      <c r="C3219" t="inlineStr">
        <is>
          <t>GESTIÓN AMBIENTAL</t>
        </is>
      </c>
      <c r="D3219" t="inlineStr">
        <is>
          <t>Mensual</t>
        </is>
      </c>
      <c r="E3219" t="inlineStr">
        <is>
          <t>Negativo</t>
        </is>
      </c>
      <c r="F3219" s="105" t="n">
        <v>45930</v>
      </c>
      <c r="G3219" t="inlineStr">
        <is>
          <t>434-2025-09-30</t>
        </is>
      </c>
      <c r="H3219" t="inlineStr">
        <is>
          <t>City Campus</t>
        </is>
      </c>
      <c r="I3219" t="n">
        <v>25</v>
      </c>
      <c r="J3219" t="n">
        <v>2.509999990463257</v>
      </c>
      <c r="AV3219" t="n">
        <v>2.51</v>
      </c>
    </row>
    <row r="3220">
      <c r="A3220" t="n">
        <v>436</v>
      </c>
      <c r="B3220" t="inlineStr">
        <is>
          <t>ANS documentos operativos</t>
        </is>
      </c>
      <c r="C3220" t="inlineStr">
        <is>
          <t>Gestión de calidad</t>
        </is>
      </c>
      <c r="D3220" t="inlineStr">
        <is>
          <t>Mensual</t>
        </is>
      </c>
      <c r="E3220" t="inlineStr">
        <is>
          <t>Negativo</t>
        </is>
      </c>
      <c r="F3220" s="105" t="n">
        <v>45930</v>
      </c>
      <c r="G3220" t="inlineStr">
        <is>
          <t>436-2025-09-30</t>
        </is>
      </c>
      <c r="H3220" t="inlineStr">
        <is>
          <t>Solicitud Documental</t>
        </is>
      </c>
      <c r="I3220" t="n">
        <v>7</v>
      </c>
      <c r="J3220" t="n">
        <v>3.529999971389771</v>
      </c>
      <c r="CP3220" t="n">
        <v>3.53</v>
      </c>
    </row>
    <row r="3221">
      <c r="A3221" t="n">
        <v>436</v>
      </c>
      <c r="B3221" t="inlineStr">
        <is>
          <t>ANS documentos operativos</t>
        </is>
      </c>
      <c r="C3221" t="inlineStr">
        <is>
          <t>Gestión de calidad</t>
        </is>
      </c>
      <c r="D3221" t="inlineStr">
        <is>
          <t>Mensual</t>
        </is>
      </c>
      <c r="E3221" t="inlineStr">
        <is>
          <t>Negativo</t>
        </is>
      </c>
      <c r="F3221" s="105" t="n">
        <v>45930</v>
      </c>
      <c r="G3221" t="inlineStr">
        <is>
          <t>436-2025-09-30</t>
        </is>
      </c>
      <c r="H3221" t="inlineStr">
        <is>
          <t>Flujo de aprobación</t>
        </is>
      </c>
      <c r="I3221" t="n">
        <v>7</v>
      </c>
      <c r="J3221" t="n">
        <v>3.549999952316284</v>
      </c>
      <c r="CP3221" t="n">
        <v>3.55</v>
      </c>
    </row>
    <row r="3222">
      <c r="A3222" t="n">
        <v>485</v>
      </c>
      <c r="B3222" t="inlineStr">
        <is>
          <t>Oportunidad en el cierre de acciones</t>
        </is>
      </c>
      <c r="C3222" t="inlineStr">
        <is>
          <t>Gestión de calidad</t>
        </is>
      </c>
      <c r="D3222" t="inlineStr">
        <is>
          <t>Mensual</t>
        </is>
      </c>
      <c r="E3222" t="inlineStr">
        <is>
          <t>Positivo</t>
        </is>
      </c>
      <c r="F3222" s="105" t="n">
        <v>45930</v>
      </c>
      <c r="G3222" t="inlineStr">
        <is>
          <t>485-2025-09-30</t>
        </is>
      </c>
      <c r="H3222" t="inlineStr">
        <is>
          <t>Auditoría externa</t>
        </is>
      </c>
      <c r="I3222" t="n">
        <v>80</v>
      </c>
      <c r="J3222" t="n">
        <v>100</v>
      </c>
      <c r="EC3222" t="n">
        <v>4</v>
      </c>
      <c r="ED3222" t="n">
        <v>4</v>
      </c>
    </row>
    <row r="3223">
      <c r="A3223" t="n">
        <v>485</v>
      </c>
      <c r="B3223" t="inlineStr">
        <is>
          <t>Oportunidad en el cierre de acciones</t>
        </is>
      </c>
      <c r="C3223" t="inlineStr">
        <is>
          <t>Gestión de calidad</t>
        </is>
      </c>
      <c r="D3223" t="inlineStr">
        <is>
          <t>Mensual</t>
        </is>
      </c>
      <c r="E3223" t="inlineStr">
        <is>
          <t>Positivo</t>
        </is>
      </c>
      <c r="F3223" s="105" t="n">
        <v>45930</v>
      </c>
      <c r="G3223" t="inlineStr">
        <is>
          <t>485-2025-09-30</t>
        </is>
      </c>
      <c r="H3223" t="inlineStr">
        <is>
          <t>Indicadores</t>
        </is>
      </c>
      <c r="I3223" t="n">
        <v>80</v>
      </c>
      <c r="J3223" t="n">
        <v>0</v>
      </c>
      <c r="EC3223" t="n">
        <v>0</v>
      </c>
      <c r="ED3223" t="n">
        <v>0</v>
      </c>
    </row>
    <row r="3224">
      <c r="A3224" t="n">
        <v>485</v>
      </c>
      <c r="B3224" t="inlineStr">
        <is>
          <t>Oportunidad en el cierre de acciones</t>
        </is>
      </c>
      <c r="C3224" t="inlineStr">
        <is>
          <t>Gestión de calidad</t>
        </is>
      </c>
      <c r="D3224" t="inlineStr">
        <is>
          <t>Mensual</t>
        </is>
      </c>
      <c r="E3224" t="inlineStr">
        <is>
          <t>Positivo</t>
        </is>
      </c>
      <c r="F3224" s="105" t="n">
        <v>45930</v>
      </c>
      <c r="G3224" t="inlineStr">
        <is>
          <t>485-2025-09-30</t>
        </is>
      </c>
      <c r="H3224" t="inlineStr">
        <is>
          <t>Riesgos</t>
        </is>
      </c>
      <c r="I3224" t="n">
        <v>80</v>
      </c>
      <c r="J3224" t="n">
        <v>0</v>
      </c>
      <c r="EC3224" t="n">
        <v>0</v>
      </c>
      <c r="ED3224" t="n">
        <v>2</v>
      </c>
    </row>
    <row r="3225">
      <c r="A3225" t="n">
        <v>485</v>
      </c>
      <c r="B3225" t="inlineStr">
        <is>
          <t>Oportunidad en el cierre de acciones</t>
        </is>
      </c>
      <c r="C3225" t="inlineStr">
        <is>
          <t>Gestión de calidad</t>
        </is>
      </c>
      <c r="D3225" t="inlineStr">
        <is>
          <t>Mensual</t>
        </is>
      </c>
      <c r="E3225" t="inlineStr">
        <is>
          <t>Positivo</t>
        </is>
      </c>
      <c r="F3225" s="105" t="n">
        <v>45930</v>
      </c>
      <c r="G3225" t="inlineStr">
        <is>
          <t>485-2025-09-30</t>
        </is>
      </c>
      <c r="H3225" t="inlineStr">
        <is>
          <t>Autoevaluación</t>
        </is>
      </c>
      <c r="I3225" t="n">
        <v>80</v>
      </c>
      <c r="J3225" t="n">
        <v>0</v>
      </c>
      <c r="EC3225" t="n">
        <v>0</v>
      </c>
      <c r="ED3225" t="n">
        <v>0</v>
      </c>
    </row>
    <row r="3226">
      <c r="A3226" t="n">
        <v>485</v>
      </c>
      <c r="B3226" t="inlineStr">
        <is>
          <t>Oportunidad en el cierre de acciones</t>
        </is>
      </c>
      <c r="C3226" t="inlineStr">
        <is>
          <t>Gestión de calidad</t>
        </is>
      </c>
      <c r="D3226" t="inlineStr">
        <is>
          <t>Mensual</t>
        </is>
      </c>
      <c r="E3226" t="inlineStr">
        <is>
          <t>Positivo</t>
        </is>
      </c>
      <c r="F3226" s="105" t="n">
        <v>45930</v>
      </c>
      <c r="G3226" t="inlineStr">
        <is>
          <t>485-2025-09-30</t>
        </is>
      </c>
      <c r="H3226" t="inlineStr">
        <is>
          <t>Entes de control</t>
        </is>
      </c>
      <c r="I3226" t="n">
        <v>80</v>
      </c>
      <c r="J3226" t="n">
        <v>0</v>
      </c>
      <c r="EC3226" t="n">
        <v>0</v>
      </c>
      <c r="ED3226" t="n">
        <v>0</v>
      </c>
    </row>
    <row r="3227">
      <c r="A3227" t="n">
        <v>485</v>
      </c>
      <c r="B3227" t="inlineStr">
        <is>
          <t>Oportunidad en el cierre de acciones</t>
        </is>
      </c>
      <c r="C3227" t="inlineStr">
        <is>
          <t>Gestión de calidad</t>
        </is>
      </c>
      <c r="D3227" t="inlineStr">
        <is>
          <t>Mensual</t>
        </is>
      </c>
      <c r="E3227" t="inlineStr">
        <is>
          <t>Positivo</t>
        </is>
      </c>
      <c r="F3227" s="105" t="n">
        <v>45930</v>
      </c>
      <c r="G3227" t="inlineStr">
        <is>
          <t>485-2025-09-30</t>
        </is>
      </c>
      <c r="H3227" t="inlineStr">
        <is>
          <t>Seguimiento y control</t>
        </is>
      </c>
      <c r="I3227" t="n">
        <v>80</v>
      </c>
      <c r="J3227" t="n">
        <v>100</v>
      </c>
      <c r="EC3227" t="n">
        <v>1</v>
      </c>
      <c r="ED3227" t="n">
        <v>1</v>
      </c>
    </row>
    <row r="3228">
      <c r="A3228" t="n">
        <v>485</v>
      </c>
      <c r="B3228" t="inlineStr">
        <is>
          <t>Oportunidad en el cierre de acciones</t>
        </is>
      </c>
      <c r="C3228" t="inlineStr">
        <is>
          <t>Gestión de calidad</t>
        </is>
      </c>
      <c r="D3228" t="inlineStr">
        <is>
          <t>Mensual</t>
        </is>
      </c>
      <c r="E3228" t="inlineStr">
        <is>
          <t>Positivo</t>
        </is>
      </c>
      <c r="F3228" s="105" t="n">
        <v>45930</v>
      </c>
      <c r="G3228" t="inlineStr">
        <is>
          <t>485-2025-09-30</t>
        </is>
      </c>
      <c r="H3228" t="inlineStr">
        <is>
          <t>Revisión por la dirección</t>
        </is>
      </c>
      <c r="I3228" t="n">
        <v>80</v>
      </c>
      <c r="J3228" t="n">
        <v>0</v>
      </c>
      <c r="EC3228" t="n">
        <v>0</v>
      </c>
      <c r="ED3228" t="n">
        <v>0</v>
      </c>
    </row>
    <row r="3229">
      <c r="A3229" t="n">
        <v>485</v>
      </c>
      <c r="B3229" t="inlineStr">
        <is>
          <t>Oportunidad en el cierre de acciones</t>
        </is>
      </c>
      <c r="C3229" t="inlineStr">
        <is>
          <t>Gestión de calidad</t>
        </is>
      </c>
      <c r="D3229" t="inlineStr">
        <is>
          <t>Mensual</t>
        </is>
      </c>
      <c r="E3229" t="inlineStr">
        <is>
          <t>Positivo</t>
        </is>
      </c>
      <c r="F3229" s="105" t="n">
        <v>45930</v>
      </c>
      <c r="G3229" t="inlineStr">
        <is>
          <t>485-2025-09-30</t>
        </is>
      </c>
      <c r="H3229" t="inlineStr">
        <is>
          <t>Auditoría interna</t>
        </is>
      </c>
      <c r="I3229" t="n">
        <v>80</v>
      </c>
      <c r="EC3229" t="n">
        <v>0</v>
      </c>
      <c r="ED3229" t="n">
        <v>1</v>
      </c>
    </row>
    <row r="3230">
      <c r="A3230" t="n">
        <v>488</v>
      </c>
      <c r="B3230" t="inlineStr">
        <is>
          <t>Oportunidad en el cierre de actividades de los planes de mejora</t>
        </is>
      </c>
      <c r="C3230" t="inlineStr">
        <is>
          <t>Gestión de calidad</t>
        </is>
      </c>
      <c r="D3230" t="inlineStr">
        <is>
          <t>Mensual</t>
        </is>
      </c>
      <c r="E3230" t="inlineStr">
        <is>
          <t>Positivo</t>
        </is>
      </c>
      <c r="F3230" s="105" t="n">
        <v>45930</v>
      </c>
      <c r="G3230" t="inlineStr">
        <is>
          <t>488-2025-09-30</t>
        </is>
      </c>
      <c r="H3230" t="inlineStr">
        <is>
          <t>Auditoría externa</t>
        </is>
      </c>
      <c r="I3230" t="n">
        <v>85</v>
      </c>
      <c r="J3230" t="n">
        <v>0</v>
      </c>
      <c r="EE3230" t="n">
        <v>0</v>
      </c>
      <c r="EF3230" t="n">
        <v>0</v>
      </c>
    </row>
    <row r="3231">
      <c r="A3231" t="n">
        <v>488</v>
      </c>
      <c r="B3231" t="inlineStr">
        <is>
          <t>Oportunidad en el cierre de actividades de los planes de mejora</t>
        </is>
      </c>
      <c r="C3231" t="inlineStr">
        <is>
          <t>Gestión de calidad</t>
        </is>
      </c>
      <c r="D3231" t="inlineStr">
        <is>
          <t>Mensual</t>
        </is>
      </c>
      <c r="E3231" t="inlineStr">
        <is>
          <t>Positivo</t>
        </is>
      </c>
      <c r="F3231" s="105" t="n">
        <v>45930</v>
      </c>
      <c r="G3231" t="inlineStr">
        <is>
          <t>488-2025-09-30</t>
        </is>
      </c>
      <c r="H3231" t="inlineStr">
        <is>
          <t>Indicadores</t>
        </is>
      </c>
      <c r="I3231" t="n">
        <v>85</v>
      </c>
      <c r="J3231" t="n">
        <v>0</v>
      </c>
      <c r="EE3231" t="n">
        <v>0</v>
      </c>
      <c r="EF3231" t="n">
        <v>1</v>
      </c>
    </row>
    <row r="3232">
      <c r="A3232" t="n">
        <v>488</v>
      </c>
      <c r="B3232" t="inlineStr">
        <is>
          <t>Oportunidad en el cierre de actividades de los planes de mejora</t>
        </is>
      </c>
      <c r="C3232" t="inlineStr">
        <is>
          <t>Gestión de calidad</t>
        </is>
      </c>
      <c r="D3232" t="inlineStr">
        <is>
          <t>Mensual</t>
        </is>
      </c>
      <c r="E3232" t="inlineStr">
        <is>
          <t>Positivo</t>
        </is>
      </c>
      <c r="F3232" s="105" t="n">
        <v>45930</v>
      </c>
      <c r="G3232" t="inlineStr">
        <is>
          <t>488-2025-09-30</t>
        </is>
      </c>
      <c r="H3232" t="inlineStr">
        <is>
          <t>Riesgos</t>
        </is>
      </c>
      <c r="I3232" t="n">
        <v>85</v>
      </c>
      <c r="J3232" t="n">
        <v>96.43000030517578</v>
      </c>
      <c r="EE3232" t="n">
        <v>54</v>
      </c>
      <c r="EF3232" t="n">
        <v>56</v>
      </c>
    </row>
    <row r="3233">
      <c r="A3233" t="n">
        <v>488</v>
      </c>
      <c r="B3233" t="inlineStr">
        <is>
          <t>Oportunidad en el cierre de actividades de los planes de mejora</t>
        </is>
      </c>
      <c r="C3233" t="inlineStr">
        <is>
          <t>Gestión de calidad</t>
        </is>
      </c>
      <c r="D3233" t="inlineStr">
        <is>
          <t>Mensual</t>
        </is>
      </c>
      <c r="E3233" t="inlineStr">
        <is>
          <t>Positivo</t>
        </is>
      </c>
      <c r="F3233" s="105" t="n">
        <v>45930</v>
      </c>
      <c r="G3233" t="inlineStr">
        <is>
          <t>488-2025-09-30</t>
        </is>
      </c>
      <c r="H3233" t="inlineStr">
        <is>
          <t>Autoevaluación</t>
        </is>
      </c>
      <c r="I3233" t="n">
        <v>85</v>
      </c>
      <c r="J3233" t="n">
        <v>0</v>
      </c>
      <c r="EE3233" t="n">
        <v>0</v>
      </c>
      <c r="EF3233" t="n">
        <v>0</v>
      </c>
    </row>
    <row r="3234">
      <c r="A3234" t="n">
        <v>488</v>
      </c>
      <c r="B3234" t="inlineStr">
        <is>
          <t>Oportunidad en el cierre de actividades de los planes de mejora</t>
        </is>
      </c>
      <c r="C3234" t="inlineStr">
        <is>
          <t>Gestión de calidad</t>
        </is>
      </c>
      <c r="D3234" t="inlineStr">
        <is>
          <t>Mensual</t>
        </is>
      </c>
      <c r="E3234" t="inlineStr">
        <is>
          <t>Positivo</t>
        </is>
      </c>
      <c r="F3234" s="105" t="n">
        <v>45930</v>
      </c>
      <c r="G3234" t="inlineStr">
        <is>
          <t>488-2025-09-30</t>
        </is>
      </c>
      <c r="H3234" t="inlineStr">
        <is>
          <t>Entes de control</t>
        </is>
      </c>
      <c r="I3234" t="n">
        <v>85</v>
      </c>
      <c r="J3234" t="n">
        <v>0</v>
      </c>
      <c r="EE3234" t="n">
        <v>0</v>
      </c>
      <c r="EF3234" t="n">
        <v>0</v>
      </c>
    </row>
    <row r="3235">
      <c r="A3235" t="n">
        <v>488</v>
      </c>
      <c r="B3235" t="inlineStr">
        <is>
          <t>Oportunidad en el cierre de actividades de los planes de mejora</t>
        </is>
      </c>
      <c r="C3235" t="inlineStr">
        <is>
          <t>Gestión de calidad</t>
        </is>
      </c>
      <c r="D3235" t="inlineStr">
        <is>
          <t>Mensual</t>
        </is>
      </c>
      <c r="E3235" t="inlineStr">
        <is>
          <t>Positivo</t>
        </is>
      </c>
      <c r="F3235" s="105" t="n">
        <v>45930</v>
      </c>
      <c r="G3235" t="inlineStr">
        <is>
          <t>488-2025-09-30</t>
        </is>
      </c>
      <c r="H3235" t="inlineStr">
        <is>
          <t>Seguimiento y control</t>
        </is>
      </c>
      <c r="I3235" t="n">
        <v>85</v>
      </c>
      <c r="J3235" t="n">
        <v>68</v>
      </c>
      <c r="EE3235" t="n">
        <v>17</v>
      </c>
      <c r="EF3235" t="n">
        <v>25</v>
      </c>
    </row>
    <row r="3236">
      <c r="A3236" t="n">
        <v>488</v>
      </c>
      <c r="B3236" t="inlineStr">
        <is>
          <t>Oportunidad en el cierre de actividades de los planes de mejora</t>
        </is>
      </c>
      <c r="C3236" t="inlineStr">
        <is>
          <t>Gestión de calidad</t>
        </is>
      </c>
      <c r="D3236" t="inlineStr">
        <is>
          <t>Mensual</t>
        </is>
      </c>
      <c r="E3236" t="inlineStr">
        <is>
          <t>Positivo</t>
        </is>
      </c>
      <c r="F3236" s="105" t="n">
        <v>45930</v>
      </c>
      <c r="G3236" t="inlineStr">
        <is>
          <t>488-2025-09-30</t>
        </is>
      </c>
      <c r="H3236" t="inlineStr">
        <is>
          <t>Experiencia</t>
        </is>
      </c>
      <c r="I3236" t="n">
        <v>85</v>
      </c>
      <c r="J3236" t="n">
        <v>0</v>
      </c>
      <c r="EE3236" t="n">
        <v>0</v>
      </c>
      <c r="EF3236" t="n">
        <v>0</v>
      </c>
    </row>
    <row r="3237">
      <c r="A3237" t="n">
        <v>488</v>
      </c>
      <c r="B3237" t="inlineStr">
        <is>
          <t>Oportunidad en el cierre de actividades de los planes de mejora</t>
        </is>
      </c>
      <c r="C3237" t="inlineStr">
        <is>
          <t>Gestión de calidad</t>
        </is>
      </c>
      <c r="D3237" t="inlineStr">
        <is>
          <t>Mensual</t>
        </is>
      </c>
      <c r="E3237" t="inlineStr">
        <is>
          <t>Positivo</t>
        </is>
      </c>
      <c r="F3237" s="105" t="n">
        <v>45930</v>
      </c>
      <c r="G3237" t="inlineStr">
        <is>
          <t>488-2025-09-30</t>
        </is>
      </c>
      <c r="H3237" t="inlineStr">
        <is>
          <t>Revisión por la dirección</t>
        </is>
      </c>
      <c r="I3237" t="n">
        <v>85</v>
      </c>
      <c r="J3237" t="n">
        <v>0</v>
      </c>
      <c r="EE3237" t="n">
        <v>0</v>
      </c>
      <c r="EF3237" t="n">
        <v>0</v>
      </c>
    </row>
    <row r="3238">
      <c r="A3238" t="n">
        <v>488</v>
      </c>
      <c r="B3238" t="inlineStr">
        <is>
          <t>Oportunidad en el cierre de actividades de los planes de mejora</t>
        </is>
      </c>
      <c r="C3238" t="inlineStr">
        <is>
          <t>Gestión de calidad</t>
        </is>
      </c>
      <c r="D3238" t="inlineStr">
        <is>
          <t>Mensual</t>
        </is>
      </c>
      <c r="E3238" t="inlineStr">
        <is>
          <t>Positivo</t>
        </is>
      </c>
      <c r="F3238" s="105" t="n">
        <v>45930</v>
      </c>
      <c r="G3238" t="inlineStr">
        <is>
          <t>488-2025-09-30</t>
        </is>
      </c>
      <c r="H3238" t="inlineStr">
        <is>
          <t>Auditoría interna</t>
        </is>
      </c>
      <c r="I3238" t="n">
        <v>85</v>
      </c>
      <c r="J3238" t="n">
        <v>87.5</v>
      </c>
      <c r="EE3238" t="n">
        <v>35</v>
      </c>
      <c r="EF3238" t="n">
        <v>40</v>
      </c>
    </row>
    <row r="3239">
      <c r="A3239" t="n">
        <v>509</v>
      </c>
      <c r="B3239" t="inlineStr">
        <is>
          <t>Cumplimiento a cronograma de proyectos 2025</t>
        </is>
      </c>
      <c r="C3239" t="inlineStr">
        <is>
          <t>Gestión de Proyectos</t>
        </is>
      </c>
      <c r="D3239" t="inlineStr">
        <is>
          <t>Mensual</t>
        </is>
      </c>
      <c r="E3239" t="inlineStr">
        <is>
          <t>Positivo</t>
        </is>
      </c>
      <c r="F3239" s="105" t="n">
        <v>45930</v>
      </c>
      <c r="G3239" t="inlineStr">
        <is>
          <t>509-2025-09-30</t>
        </is>
      </c>
      <c r="H3239" t="inlineStr">
        <is>
          <t>Acreditación Institucional fase III Etapa de evaluación externa o evaluación por pares</t>
        </is>
      </c>
      <c r="I3239" t="n">
        <v>90</v>
      </c>
      <c r="J3239" t="n">
        <v>96.38999938964844</v>
      </c>
      <c r="EJ3239" t="n">
        <v>83</v>
      </c>
      <c r="EK3239" t="n">
        <v>80</v>
      </c>
    </row>
    <row r="3240">
      <c r="A3240" t="n">
        <v>509</v>
      </c>
      <c r="B3240" t="inlineStr">
        <is>
          <t>Cumplimiento a cronograma de proyectos 2025</t>
        </is>
      </c>
      <c r="C3240" t="inlineStr">
        <is>
          <t>Gestión de Proyectos</t>
        </is>
      </c>
      <c r="D3240" t="inlineStr">
        <is>
          <t>Mensual</t>
        </is>
      </c>
      <c r="E3240" t="inlineStr">
        <is>
          <t>Positivo</t>
        </is>
      </c>
      <c r="F3240" s="105" t="n">
        <v>45930</v>
      </c>
      <c r="G3240" t="inlineStr">
        <is>
          <t>509-2025-09-30</t>
        </is>
      </c>
      <c r="H3240" t="inlineStr">
        <is>
          <t>Actualización de TRD y creación del Plan de Gestión documental</t>
        </is>
      </c>
      <c r="I3240" t="n">
        <v>90</v>
      </c>
      <c r="J3240" t="n">
        <v>91.11000061035156</v>
      </c>
      <c r="EJ3240" t="n">
        <v>90</v>
      </c>
      <c r="EK3240" t="n">
        <v>82</v>
      </c>
    </row>
    <row r="3241">
      <c r="A3241" t="n">
        <v>509</v>
      </c>
      <c r="B3241" t="inlineStr">
        <is>
          <t>Cumplimiento a cronograma de proyectos 2025</t>
        </is>
      </c>
      <c r="C3241" t="inlineStr">
        <is>
          <t>Gestión de Proyectos</t>
        </is>
      </c>
      <c r="D3241" t="inlineStr">
        <is>
          <t>Mensual</t>
        </is>
      </c>
      <c r="E3241" t="inlineStr">
        <is>
          <t>Positivo</t>
        </is>
      </c>
      <c r="F3241" s="105" t="n">
        <v>45930</v>
      </c>
      <c r="G3241" t="inlineStr">
        <is>
          <t>509-2025-09-30</t>
        </is>
      </c>
      <c r="H3241" t="inlineStr">
        <is>
          <t>Ecosistema E3</t>
        </is>
      </c>
      <c r="I3241" t="n">
        <v>90</v>
      </c>
      <c r="J3241" t="n">
        <v>99</v>
      </c>
      <c r="EJ3241" t="n">
        <v>100</v>
      </c>
      <c r="EK3241" t="n">
        <v>99</v>
      </c>
    </row>
    <row r="3242">
      <c r="A3242" t="n">
        <v>509</v>
      </c>
      <c r="B3242" t="inlineStr">
        <is>
          <t>Cumplimiento a cronograma de proyectos 2025</t>
        </is>
      </c>
      <c r="C3242" t="inlineStr">
        <is>
          <t>Gestión de Proyectos</t>
        </is>
      </c>
      <c r="D3242" t="inlineStr">
        <is>
          <t>Mensual</t>
        </is>
      </c>
      <c r="E3242" t="inlineStr">
        <is>
          <t>Positivo</t>
        </is>
      </c>
      <c r="F3242" s="105" t="n">
        <v>45930</v>
      </c>
      <c r="G3242" t="inlineStr">
        <is>
          <t>509-2025-09-30</t>
        </is>
      </c>
      <c r="H3242" t="inlineStr">
        <is>
          <t>Fortalecimiento de la investigación, la innovación y la creación</t>
        </is>
      </c>
      <c r="I3242" t="n">
        <v>90</v>
      </c>
      <c r="J3242" t="n">
        <v>98.69999694824219</v>
      </c>
      <c r="EJ3242" t="n">
        <v>77</v>
      </c>
      <c r="EK3242" t="n">
        <v>76</v>
      </c>
    </row>
    <row r="3243">
      <c r="A3243" t="n">
        <v>509</v>
      </c>
      <c r="B3243" t="inlineStr">
        <is>
          <t>Cumplimiento a cronograma de proyectos 2025</t>
        </is>
      </c>
      <c r="C3243" t="inlineStr">
        <is>
          <t>Gestión de Proyectos</t>
        </is>
      </c>
      <c r="D3243" t="inlineStr">
        <is>
          <t>Mensual</t>
        </is>
      </c>
      <c r="E3243" t="inlineStr">
        <is>
          <t>Positivo</t>
        </is>
      </c>
      <c r="F3243" s="105" t="n">
        <v>45930</v>
      </c>
      <c r="G3243" t="inlineStr">
        <is>
          <t>509-2025-09-30</t>
        </is>
      </c>
      <c r="H3243" t="inlineStr">
        <is>
          <t>Fortalecimiento de planta docente</t>
        </is>
      </c>
      <c r="I3243" t="n">
        <v>90</v>
      </c>
      <c r="J3243" t="n">
        <v>98.84999847412109</v>
      </c>
      <c r="EJ3243" t="n">
        <v>87</v>
      </c>
      <c r="EK3243" t="n">
        <v>86</v>
      </c>
    </row>
    <row r="3244">
      <c r="A3244" t="n">
        <v>509</v>
      </c>
      <c r="B3244" t="inlineStr">
        <is>
          <t>Cumplimiento a cronograma de proyectos 2025</t>
        </is>
      </c>
      <c r="C3244" t="inlineStr">
        <is>
          <t>Gestión de Proyectos</t>
        </is>
      </c>
      <c r="D3244" t="inlineStr">
        <is>
          <t>Mensual</t>
        </is>
      </c>
      <c r="E3244" t="inlineStr">
        <is>
          <t>Positivo</t>
        </is>
      </c>
      <c r="F3244" s="105" t="n">
        <v>45930</v>
      </c>
      <c r="G3244" t="inlineStr">
        <is>
          <t>509-2025-09-30</t>
        </is>
      </c>
      <c r="H3244" t="inlineStr">
        <is>
          <t>Gobierno de datos</t>
        </is>
      </c>
      <c r="I3244" t="n">
        <v>90</v>
      </c>
      <c r="J3244" t="n">
        <v>0</v>
      </c>
      <c r="EJ3244" t="n">
        <v>0</v>
      </c>
      <c r="EK3244" t="n">
        <v>0</v>
      </c>
    </row>
    <row r="3245">
      <c r="A3245" t="n">
        <v>509</v>
      </c>
      <c r="B3245" t="inlineStr">
        <is>
          <t>Cumplimiento a cronograma de proyectos 2025</t>
        </is>
      </c>
      <c r="C3245" t="inlineStr">
        <is>
          <t>Gestión de Proyectos</t>
        </is>
      </c>
      <c r="D3245" t="inlineStr">
        <is>
          <t>Mensual</t>
        </is>
      </c>
      <c r="E3245" t="inlineStr">
        <is>
          <t>Positivo</t>
        </is>
      </c>
      <c r="F3245" s="105" t="n">
        <v>45930</v>
      </c>
      <c r="G3245" t="inlineStr">
        <is>
          <t>509-2025-09-30</t>
        </is>
      </c>
      <c r="H3245" t="inlineStr">
        <is>
          <t>Herramientas de Gestión para el mejoramiento continuo</t>
        </is>
      </c>
      <c r="I3245" t="n">
        <v>90</v>
      </c>
      <c r="J3245" t="n">
        <v>92.44999694824219</v>
      </c>
      <c r="EJ3245" t="n">
        <v>53</v>
      </c>
      <c r="EK3245" t="n">
        <v>49</v>
      </c>
    </row>
    <row r="3246">
      <c r="A3246" t="n">
        <v>509</v>
      </c>
      <c r="B3246" t="inlineStr">
        <is>
          <t>Cumplimiento a cronograma de proyectos 2025</t>
        </is>
      </c>
      <c r="C3246" t="inlineStr">
        <is>
          <t>Gestión de Proyectos</t>
        </is>
      </c>
      <c r="D3246" t="inlineStr">
        <is>
          <t>Mensual</t>
        </is>
      </c>
      <c r="E3246" t="inlineStr">
        <is>
          <t>Positivo</t>
        </is>
      </c>
      <c r="F3246" s="105" t="n">
        <v>45930</v>
      </c>
      <c r="G3246" t="inlineStr">
        <is>
          <t>509-2025-09-30</t>
        </is>
      </c>
      <c r="H3246" t="inlineStr">
        <is>
          <t>Proyecto de Permanencia institucional</t>
        </is>
      </c>
      <c r="I3246" t="n">
        <v>90</v>
      </c>
      <c r="J3246" t="n">
        <v>97.94000244140625</v>
      </c>
      <c r="EJ3246" t="n">
        <v>97</v>
      </c>
      <c r="EK3246" t="n">
        <v>95</v>
      </c>
    </row>
    <row r="3247">
      <c r="A3247" t="n">
        <v>509</v>
      </c>
      <c r="B3247" t="inlineStr">
        <is>
          <t>Cumplimiento a cronograma de proyectos 2025</t>
        </is>
      </c>
      <c r="C3247" t="inlineStr">
        <is>
          <t>Gestión de Proyectos</t>
        </is>
      </c>
      <c r="D3247" t="inlineStr">
        <is>
          <t>Mensual</t>
        </is>
      </c>
      <c r="E3247" t="inlineStr">
        <is>
          <t>Positivo</t>
        </is>
      </c>
      <c r="F3247" s="105" t="n">
        <v>45930</v>
      </c>
      <c r="G3247" t="inlineStr">
        <is>
          <t>509-2025-09-30</t>
        </is>
      </c>
      <c r="H3247" t="inlineStr">
        <is>
          <t>Reingenieria de aplicaciones</t>
        </is>
      </c>
      <c r="I3247" t="n">
        <v>90</v>
      </c>
      <c r="J3247" t="n">
        <v>97.94000244140625</v>
      </c>
      <c r="EJ3247" t="n">
        <v>97</v>
      </c>
      <c r="EK3247" t="n">
        <v>95</v>
      </c>
    </row>
    <row r="3248">
      <c r="A3248" t="n">
        <v>509</v>
      </c>
      <c r="B3248" t="inlineStr">
        <is>
          <t>Cumplimiento a cronograma de proyectos 2025</t>
        </is>
      </c>
      <c r="C3248" t="inlineStr">
        <is>
          <t>Gestión de Proyectos</t>
        </is>
      </c>
      <c r="D3248" t="inlineStr">
        <is>
          <t>Mensual</t>
        </is>
      </c>
      <c r="E3248" t="inlineStr">
        <is>
          <t>Positivo</t>
        </is>
      </c>
      <c r="F3248" s="105" t="n">
        <v>45930</v>
      </c>
      <c r="G3248" t="inlineStr">
        <is>
          <t>509-2025-09-30</t>
        </is>
      </c>
      <c r="H3248" t="inlineStr">
        <is>
          <t>SOPHIA Sistema de Optimización y Programación Horaria Institucional  Académica  I Fase</t>
        </is>
      </c>
      <c r="I3248" t="n">
        <v>90</v>
      </c>
      <c r="J3248" t="n">
        <v>95.55999755859375</v>
      </c>
      <c r="EJ3248" t="n">
        <v>90</v>
      </c>
      <c r="EK3248" t="n">
        <v>86</v>
      </c>
    </row>
    <row r="3249">
      <c r="A3249" t="n">
        <v>509</v>
      </c>
      <c r="B3249" t="inlineStr">
        <is>
          <t>Cumplimiento a cronograma de proyectos 2025</t>
        </is>
      </c>
      <c r="C3249" t="inlineStr">
        <is>
          <t>Gestión de Proyectos</t>
        </is>
      </c>
      <c r="D3249" t="inlineStr">
        <is>
          <t>Mensual</t>
        </is>
      </c>
      <c r="E3249" t="inlineStr">
        <is>
          <t>Positivo</t>
        </is>
      </c>
      <c r="F3249" s="105" t="n">
        <v>45930</v>
      </c>
      <c r="G3249" t="inlineStr">
        <is>
          <t>509-2025-09-30</t>
        </is>
      </c>
      <c r="H3249" t="inlineStr">
        <is>
          <t>Modelo de seguimiento al graduado</t>
        </is>
      </c>
      <c r="I3249" t="n">
        <v>90</v>
      </c>
      <c r="J3249" t="n">
        <v>94.44000244140625</v>
      </c>
      <c r="EJ3249" t="n">
        <v>90</v>
      </c>
      <c r="EK3249" t="n">
        <v>85</v>
      </c>
    </row>
    <row r="3250">
      <c r="A3250" t="n">
        <v>509</v>
      </c>
      <c r="B3250" t="inlineStr">
        <is>
          <t>Cumplimiento a cronograma de proyectos 2025</t>
        </is>
      </c>
      <c r="C3250" t="inlineStr">
        <is>
          <t>Gestión de Proyectos</t>
        </is>
      </c>
      <c r="D3250" t="inlineStr">
        <is>
          <t>Mensual</t>
        </is>
      </c>
      <c r="E3250" t="inlineStr">
        <is>
          <t>Positivo</t>
        </is>
      </c>
      <c r="F3250" s="105" t="n">
        <v>45930</v>
      </c>
      <c r="G3250" t="inlineStr">
        <is>
          <t>509-2025-09-30</t>
        </is>
      </c>
      <c r="H3250" t="inlineStr">
        <is>
          <t>SER PRO Fase II</t>
        </is>
      </c>
      <c r="I3250" t="n">
        <v>90</v>
      </c>
      <c r="J3250" t="n">
        <v>0</v>
      </c>
      <c r="EJ3250" t="n">
        <v>0</v>
      </c>
      <c r="EK3250" t="n">
        <v>0</v>
      </c>
    </row>
    <row r="3251">
      <c r="A3251" t="n">
        <v>509</v>
      </c>
      <c r="B3251" t="inlineStr">
        <is>
          <t>Cumplimiento a cronograma de proyectos 2025</t>
        </is>
      </c>
      <c r="C3251" t="inlineStr">
        <is>
          <t>Gestión de Proyectos</t>
        </is>
      </c>
      <c r="D3251" t="inlineStr">
        <is>
          <t>Mensual</t>
        </is>
      </c>
      <c r="E3251" t="inlineStr">
        <is>
          <t>Positivo</t>
        </is>
      </c>
      <c r="F3251" s="105" t="n">
        <v>45930</v>
      </c>
      <c r="G3251" t="inlineStr">
        <is>
          <t>509-2025-09-30</t>
        </is>
      </c>
      <c r="H3251" t="inlineStr">
        <is>
          <t>Centro de Idiomas POLI</t>
        </is>
      </c>
      <c r="I3251" t="n">
        <v>90</v>
      </c>
      <c r="J3251" t="n">
        <v>0</v>
      </c>
      <c r="EJ3251" t="n">
        <v>0</v>
      </c>
      <c r="EK3251" t="n">
        <v>0</v>
      </c>
    </row>
    <row r="3252">
      <c r="A3252" t="n">
        <v>509</v>
      </c>
      <c r="B3252" t="inlineStr">
        <is>
          <t>Cumplimiento a cronograma de proyectos 2025</t>
        </is>
      </c>
      <c r="C3252" t="inlineStr">
        <is>
          <t>Gestión de Proyectos</t>
        </is>
      </c>
      <c r="D3252" t="inlineStr">
        <is>
          <t>Mensual</t>
        </is>
      </c>
      <c r="E3252" t="inlineStr">
        <is>
          <t>Positivo</t>
        </is>
      </c>
      <c r="F3252" s="105" t="n">
        <v>45930</v>
      </c>
      <c r="G3252" t="inlineStr">
        <is>
          <t>509-2025-09-30</t>
        </is>
      </c>
      <c r="H3252" t="inlineStr">
        <is>
          <t>Colegio Virtual</t>
        </is>
      </c>
      <c r="I3252" t="n">
        <v>90</v>
      </c>
      <c r="J3252" t="n">
        <v>0</v>
      </c>
      <c r="EJ3252" t="n">
        <v>0</v>
      </c>
      <c r="EK3252" t="n">
        <v>0</v>
      </c>
    </row>
    <row r="3253">
      <c r="A3253" t="n">
        <v>509</v>
      </c>
      <c r="B3253" t="inlineStr">
        <is>
          <t>Cumplimiento a cronograma de proyectos 2025</t>
        </is>
      </c>
      <c r="C3253" t="inlineStr">
        <is>
          <t>Gestión de Proyectos</t>
        </is>
      </c>
      <c r="D3253" t="inlineStr">
        <is>
          <t>Mensual</t>
        </is>
      </c>
      <c r="E3253" t="inlineStr">
        <is>
          <t>Positivo</t>
        </is>
      </c>
      <c r="F3253" s="105" t="n">
        <v>45930</v>
      </c>
      <c r="G3253" t="inlineStr">
        <is>
          <t>509-2025-09-30</t>
        </is>
      </c>
      <c r="H3253" t="inlineStr">
        <is>
          <t>Institución de educación para el trabajo y desarrollo humano IETDH</t>
        </is>
      </c>
      <c r="I3253" t="n">
        <v>90</v>
      </c>
      <c r="J3253" t="n">
        <v>0</v>
      </c>
      <c r="EJ3253" t="n">
        <v>0</v>
      </c>
      <c r="EK3253" t="n">
        <v>0</v>
      </c>
    </row>
    <row r="3254">
      <c r="A3254" t="n">
        <v>509</v>
      </c>
      <c r="B3254" t="inlineStr">
        <is>
          <t>Cumplimiento a cronograma de proyectos 2025</t>
        </is>
      </c>
      <c r="C3254" t="inlineStr">
        <is>
          <t>Gestión de Proyectos</t>
        </is>
      </c>
      <c r="D3254" t="inlineStr">
        <is>
          <t>Mensual</t>
        </is>
      </c>
      <c r="E3254" t="inlineStr">
        <is>
          <t>Positivo</t>
        </is>
      </c>
      <c r="F3254" s="105" t="n">
        <v>45930</v>
      </c>
      <c r="G3254" t="inlineStr">
        <is>
          <t>509-2025-09-30</t>
        </is>
      </c>
      <c r="H3254" t="inlineStr">
        <is>
          <t>Plataforma Tecnologica de Gestión de información Curricular</t>
        </is>
      </c>
      <c r="I3254" t="n">
        <v>90</v>
      </c>
      <c r="J3254" t="n">
        <v>97.13999938964844</v>
      </c>
      <c r="EJ3254" t="n">
        <v>70</v>
      </c>
      <c r="EK3254" t="n">
        <v>68</v>
      </c>
    </row>
    <row r="3255">
      <c r="A3255" t="n">
        <v>509</v>
      </c>
      <c r="B3255" t="inlineStr">
        <is>
          <t>Cumplimiento a cronograma de proyectos 2025</t>
        </is>
      </c>
      <c r="C3255" t="inlineStr">
        <is>
          <t>Gestión de Proyectos</t>
        </is>
      </c>
      <c r="D3255" t="inlineStr">
        <is>
          <t>Mensual</t>
        </is>
      </c>
      <c r="E3255" t="inlineStr">
        <is>
          <t>Positivo</t>
        </is>
      </c>
      <c r="F3255" s="105" t="n">
        <v>45930</v>
      </c>
      <c r="G3255" t="inlineStr">
        <is>
          <t>509-2025-09-30</t>
        </is>
      </c>
      <c r="H3255" t="inlineStr">
        <is>
          <t>Sistema de medición de resultados de aprendizaje</t>
        </is>
      </c>
      <c r="I3255" t="n">
        <v>90</v>
      </c>
      <c r="J3255" t="n">
        <v>0</v>
      </c>
      <c r="EJ3255" t="n">
        <v>0</v>
      </c>
      <c r="EK3255" t="n">
        <v>0</v>
      </c>
    </row>
    <row r="3256">
      <c r="A3256" t="n">
        <v>509</v>
      </c>
      <c r="B3256" t="inlineStr">
        <is>
          <t>Cumplimiento a cronograma de proyectos 2025</t>
        </is>
      </c>
      <c r="C3256" t="inlineStr">
        <is>
          <t>Gestión de Proyectos</t>
        </is>
      </c>
      <c r="D3256" t="inlineStr">
        <is>
          <t>Mensual</t>
        </is>
      </c>
      <c r="E3256" t="inlineStr">
        <is>
          <t>Positivo</t>
        </is>
      </c>
      <c r="F3256" s="105" t="n">
        <v>45930</v>
      </c>
      <c r="G3256" t="inlineStr">
        <is>
          <t>509-2025-09-30</t>
        </is>
      </c>
      <c r="H3256" t="inlineStr">
        <is>
          <t>ADN POLI</t>
        </is>
      </c>
      <c r="I3256" t="n">
        <v>90</v>
      </c>
      <c r="J3256" t="n">
        <v>100</v>
      </c>
      <c r="EJ3256" t="n">
        <v>56</v>
      </c>
      <c r="EK3256" t="n">
        <v>56</v>
      </c>
    </row>
    <row r="3257">
      <c r="A3257" t="n">
        <v>213</v>
      </c>
      <c r="B3257" t="inlineStr">
        <is>
          <t>Cumplimiento del Plan Anual del Sistema de Gestión Ambiental</t>
        </is>
      </c>
      <c r="C3257" t="inlineStr">
        <is>
          <t>GESTIÓN AMBIENTAL</t>
        </is>
      </c>
      <c r="D3257" t="inlineStr">
        <is>
          <t>Semestral</t>
        </is>
      </c>
      <c r="E3257" t="inlineStr">
        <is>
          <t>Positivo</t>
        </is>
      </c>
      <c r="F3257" s="105" t="n">
        <v>45930</v>
      </c>
      <c r="G3257" t="inlineStr">
        <is>
          <t>213-2025-09-30</t>
        </is>
      </c>
      <c r="H3257" t="inlineStr">
        <is>
          <t>Plan de Gestión Integral de Residuos</t>
        </is>
      </c>
      <c r="I3257" t="n">
        <v>90</v>
      </c>
      <c r="J3257" t="n">
        <v>100</v>
      </c>
      <c r="AW3257" t="n">
        <v>63</v>
      </c>
      <c r="AX3257" t="n">
        <v>63</v>
      </c>
    </row>
    <row r="3258">
      <c r="A3258" t="n">
        <v>213</v>
      </c>
      <c r="B3258" t="inlineStr">
        <is>
          <t>Cumplimiento del Plan Anual del Sistema de Gestión Ambiental</t>
        </is>
      </c>
      <c r="C3258" t="inlineStr">
        <is>
          <t>GESTIÓN AMBIENTAL</t>
        </is>
      </c>
      <c r="D3258" t="inlineStr">
        <is>
          <t>Semestral</t>
        </is>
      </c>
      <c r="E3258" t="inlineStr">
        <is>
          <t>Positivo</t>
        </is>
      </c>
      <c r="F3258" s="105" t="n">
        <v>45930</v>
      </c>
      <c r="G3258" t="inlineStr">
        <is>
          <t>213-2025-09-30</t>
        </is>
      </c>
      <c r="H3258" t="inlineStr">
        <is>
          <t>Programa de Gestión del Ahorro y Uso Eficiente de la Energía</t>
        </is>
      </c>
      <c r="I3258" t="n">
        <v>90</v>
      </c>
      <c r="J3258" t="n">
        <v>100</v>
      </c>
      <c r="AW3258" t="n">
        <v>6</v>
      </c>
      <c r="AX3258" t="n">
        <v>6</v>
      </c>
    </row>
    <row r="3259">
      <c r="A3259" t="n">
        <v>213</v>
      </c>
      <c r="B3259" t="inlineStr">
        <is>
          <t>Cumplimiento del Plan Anual del Sistema de Gestión Ambiental</t>
        </is>
      </c>
      <c r="C3259" t="inlineStr">
        <is>
          <t>GESTIÓN AMBIENTAL</t>
        </is>
      </c>
      <c r="D3259" t="inlineStr">
        <is>
          <t>Semestral</t>
        </is>
      </c>
      <c r="E3259" t="inlineStr">
        <is>
          <t>Positivo</t>
        </is>
      </c>
      <c r="F3259" s="105" t="n">
        <v>45930</v>
      </c>
      <c r="G3259" t="inlineStr">
        <is>
          <t>213-2025-09-30</t>
        </is>
      </c>
      <c r="H3259" t="inlineStr">
        <is>
          <t>Programa de Gestión de la Calidad, Ahorro y Uso Eficiente del Agua</t>
        </is>
      </c>
      <c r="I3259" t="n">
        <v>90</v>
      </c>
      <c r="J3259" t="n">
        <v>100</v>
      </c>
      <c r="AW3259" t="n">
        <v>35</v>
      </c>
      <c r="AX3259" t="n">
        <v>35</v>
      </c>
    </row>
    <row r="3260">
      <c r="A3260" t="n">
        <v>213</v>
      </c>
      <c r="B3260" t="inlineStr">
        <is>
          <t>Cumplimiento del Plan Anual del Sistema de Gestión Ambiental</t>
        </is>
      </c>
      <c r="C3260" t="inlineStr">
        <is>
          <t>GESTIÓN AMBIENTAL</t>
        </is>
      </c>
      <c r="D3260" t="inlineStr">
        <is>
          <t>Semestral</t>
        </is>
      </c>
      <c r="E3260" t="inlineStr">
        <is>
          <t>Positivo</t>
        </is>
      </c>
      <c r="F3260" s="105" t="n">
        <v>45930</v>
      </c>
      <c r="G3260" t="inlineStr">
        <is>
          <t>213-2025-09-30</t>
        </is>
      </c>
      <c r="H3260" t="inlineStr">
        <is>
          <t>Programa de Gestión del la Calidad del Aire,  Ruido Ambiental y Publicidad Exterior Visual</t>
        </is>
      </c>
      <c r="I3260" t="n">
        <v>90</v>
      </c>
      <c r="J3260" t="n">
        <v>100</v>
      </c>
      <c r="AW3260" t="n">
        <v>20</v>
      </c>
      <c r="AX3260" t="n">
        <v>20</v>
      </c>
    </row>
    <row r="3261">
      <c r="A3261" t="n">
        <v>213</v>
      </c>
      <c r="B3261" t="inlineStr">
        <is>
          <t>Cumplimiento del Plan Anual del Sistema de Gestión Ambiental</t>
        </is>
      </c>
      <c r="C3261" t="inlineStr">
        <is>
          <t>GESTIÓN AMBIENTAL</t>
        </is>
      </c>
      <c r="D3261" t="inlineStr">
        <is>
          <t>Semestral</t>
        </is>
      </c>
      <c r="E3261" t="inlineStr">
        <is>
          <t>Positivo</t>
        </is>
      </c>
      <c r="F3261" s="105" t="n">
        <v>45930</v>
      </c>
      <c r="G3261" t="inlineStr">
        <is>
          <t>213-2025-09-30</t>
        </is>
      </c>
      <c r="H3261" t="inlineStr">
        <is>
          <t>Programa de Gestión de Áreas Naturales</t>
        </is>
      </c>
      <c r="I3261" t="n">
        <v>90</v>
      </c>
      <c r="J3261" t="n">
        <v>100</v>
      </c>
      <c r="AW3261" t="n">
        <v>10</v>
      </c>
      <c r="AX3261" t="n">
        <v>10</v>
      </c>
    </row>
    <row r="3262">
      <c r="A3262" t="n">
        <v>213</v>
      </c>
      <c r="B3262" t="inlineStr">
        <is>
          <t>Cumplimiento del Plan Anual del Sistema de Gestión Ambiental</t>
        </is>
      </c>
      <c r="C3262" t="inlineStr">
        <is>
          <t>GESTIÓN AMBIENTAL</t>
        </is>
      </c>
      <c r="D3262" t="inlineStr">
        <is>
          <t>Semestral</t>
        </is>
      </c>
      <c r="E3262" t="inlineStr">
        <is>
          <t>Positivo</t>
        </is>
      </c>
      <c r="F3262" s="105" t="n">
        <v>45930</v>
      </c>
      <c r="G3262" t="inlineStr">
        <is>
          <t>213-2025-09-30</t>
        </is>
      </c>
      <c r="H3262" t="inlineStr">
        <is>
          <t>Programa de Gestión de la Medición y Compensación de Gases de Efecto Invernadero</t>
        </is>
      </c>
      <c r="I3262" t="n">
        <v>90</v>
      </c>
      <c r="J3262" t="n">
        <v>100</v>
      </c>
      <c r="AW3262" t="n">
        <v>3</v>
      </c>
      <c r="AX3262" t="n">
        <v>3</v>
      </c>
    </row>
    <row r="3263">
      <c r="A3263" t="n">
        <v>213</v>
      </c>
      <c r="B3263" t="inlineStr">
        <is>
          <t>Cumplimiento del Plan Anual del Sistema de Gestión Ambiental</t>
        </is>
      </c>
      <c r="C3263" t="inlineStr">
        <is>
          <t>GESTIÓN AMBIENTAL</t>
        </is>
      </c>
      <c r="D3263" t="inlineStr">
        <is>
          <t>Semestral</t>
        </is>
      </c>
      <c r="E3263" t="inlineStr">
        <is>
          <t>Positivo</t>
        </is>
      </c>
      <c r="F3263" s="105" t="n">
        <v>45930</v>
      </c>
      <c r="G3263" t="inlineStr">
        <is>
          <t>213-2025-09-30</t>
        </is>
      </c>
      <c r="H3263" t="inlineStr">
        <is>
          <t>Programa Gestión de la Educación y Comunicación Ambiental</t>
        </is>
      </c>
      <c r="I3263" t="n">
        <v>90</v>
      </c>
      <c r="J3263" t="n">
        <v>100</v>
      </c>
      <c r="AW3263" t="n">
        <v>30</v>
      </c>
      <c r="AX3263" t="n">
        <v>30</v>
      </c>
    </row>
    <row r="3264">
      <c r="A3264" t="n">
        <v>213</v>
      </c>
      <c r="B3264" t="inlineStr">
        <is>
          <t>Cumplimiento del Plan Anual del Sistema de Gestión Ambiental</t>
        </is>
      </c>
      <c r="C3264" t="inlineStr">
        <is>
          <t>GESTIÓN AMBIENTAL</t>
        </is>
      </c>
      <c r="D3264" t="inlineStr">
        <is>
          <t>Semestral</t>
        </is>
      </c>
      <c r="E3264" t="inlineStr">
        <is>
          <t>Positivo</t>
        </is>
      </c>
      <c r="F3264" s="105" t="n">
        <v>45930</v>
      </c>
      <c r="G3264" t="inlineStr">
        <is>
          <t>213-2025-09-30</t>
        </is>
      </c>
      <c r="H3264" t="inlineStr">
        <is>
          <t>Actividades de Gestión</t>
        </is>
      </c>
      <c r="I3264" t="n">
        <v>90</v>
      </c>
      <c r="J3264" t="n">
        <v>100</v>
      </c>
      <c r="AW3264" t="n">
        <v>30</v>
      </c>
      <c r="AX3264" t="n">
        <v>30</v>
      </c>
    </row>
    <row r="3265">
      <c r="A3265" t="n">
        <v>238</v>
      </c>
      <c r="B3265" t="inlineStr">
        <is>
          <t>Cumplimiento de la Protección del Medio Ambiente</t>
        </is>
      </c>
      <c r="C3265" t="inlineStr">
        <is>
          <t>GESTIÓN AMBIENTAL</t>
        </is>
      </c>
      <c r="D3265" t="inlineStr">
        <is>
          <t>Semestral</t>
        </is>
      </c>
      <c r="E3265" t="inlineStr">
        <is>
          <t>Positivo</t>
        </is>
      </c>
      <c r="F3265" s="105" t="n">
        <v>45930</v>
      </c>
      <c r="G3265" t="inlineStr">
        <is>
          <t>238-2025-09-30</t>
        </is>
      </c>
      <c r="H3265" t="inlineStr">
        <is>
          <t>Cumplimiento del Plan Anual del SGA</t>
        </is>
      </c>
      <c r="I3265" t="n">
        <v>90</v>
      </c>
      <c r="J3265" t="n">
        <v>94.73999786376953</v>
      </c>
      <c r="AY3265" t="n">
        <v>18</v>
      </c>
      <c r="AZ3265" t="n">
        <v>19</v>
      </c>
    </row>
    <row r="3266">
      <c r="A3266" t="n">
        <v>238</v>
      </c>
      <c r="B3266" t="inlineStr">
        <is>
          <t>Cumplimiento de la Protección del Medio Ambiente</t>
        </is>
      </c>
      <c r="C3266" t="inlineStr">
        <is>
          <t>GESTIÓN AMBIENTAL</t>
        </is>
      </c>
      <c r="D3266" t="inlineStr">
        <is>
          <t>Semestral</t>
        </is>
      </c>
      <c r="E3266" t="inlineStr">
        <is>
          <t>Positivo</t>
        </is>
      </c>
      <c r="F3266" s="105" t="n">
        <v>45930</v>
      </c>
      <c r="G3266" t="inlineStr">
        <is>
          <t>238-2025-09-30</t>
        </is>
      </c>
      <c r="H3266" t="inlineStr">
        <is>
          <t>Cumplimiento Gestión Integral de Residuos</t>
        </is>
      </c>
      <c r="I3266" t="n">
        <v>90</v>
      </c>
      <c r="J3266" t="n">
        <v>88.88999938964844</v>
      </c>
      <c r="AY3266" t="n">
        <v>8</v>
      </c>
      <c r="AZ3266" t="n">
        <v>9</v>
      </c>
    </row>
    <row r="3267">
      <c r="A3267" t="n">
        <v>238</v>
      </c>
      <c r="B3267" t="inlineStr">
        <is>
          <t>Cumplimiento de la Protección del Medio Ambiente</t>
        </is>
      </c>
      <c r="C3267" t="inlineStr">
        <is>
          <t>GESTIÓN AMBIENTAL</t>
        </is>
      </c>
      <c r="D3267" t="inlineStr">
        <is>
          <t>Semestral</t>
        </is>
      </c>
      <c r="E3267" t="inlineStr">
        <is>
          <t>Positivo</t>
        </is>
      </c>
      <c r="F3267" s="105" t="n">
        <v>45930</v>
      </c>
      <c r="G3267" t="inlineStr">
        <is>
          <t>238-2025-09-30</t>
        </is>
      </c>
      <c r="H3267" t="inlineStr">
        <is>
          <t>Cumplimiento Gestión del Ahorro y Uso Eficiente de Energía</t>
        </is>
      </c>
      <c r="I3267" t="n">
        <v>90</v>
      </c>
      <c r="J3267" t="n">
        <v>100</v>
      </c>
      <c r="AY3267" t="n">
        <v>3</v>
      </c>
      <c r="AZ3267" t="n">
        <v>3</v>
      </c>
    </row>
    <row r="3268">
      <c r="A3268" t="n">
        <v>238</v>
      </c>
      <c r="B3268" t="inlineStr">
        <is>
          <t>Cumplimiento de la Protección del Medio Ambiente</t>
        </is>
      </c>
      <c r="C3268" t="inlineStr">
        <is>
          <t>GESTIÓN AMBIENTAL</t>
        </is>
      </c>
      <c r="D3268" t="inlineStr">
        <is>
          <t>Semestral</t>
        </is>
      </c>
      <c r="E3268" t="inlineStr">
        <is>
          <t>Positivo</t>
        </is>
      </c>
      <c r="F3268" s="105" t="n">
        <v>45930</v>
      </c>
      <c r="G3268" t="inlineStr">
        <is>
          <t>238-2025-09-30</t>
        </is>
      </c>
      <c r="H3268" t="inlineStr">
        <is>
          <t>Cumplimiento Gestión de la Calidad, Ahorro y Uso Eficiente del Agua</t>
        </is>
      </c>
      <c r="I3268" t="n">
        <v>90</v>
      </c>
      <c r="J3268" t="n">
        <v>100</v>
      </c>
      <c r="AY3268" t="n">
        <v>3</v>
      </c>
      <c r="AZ3268" t="n">
        <v>3</v>
      </c>
    </row>
    <row r="3269">
      <c r="A3269" t="n">
        <v>238</v>
      </c>
      <c r="B3269" t="inlineStr">
        <is>
          <t>Cumplimiento de la Protección del Medio Ambiente</t>
        </is>
      </c>
      <c r="C3269" t="inlineStr">
        <is>
          <t>GESTIÓN AMBIENTAL</t>
        </is>
      </c>
      <c r="D3269" t="inlineStr">
        <is>
          <t>Semestral</t>
        </is>
      </c>
      <c r="E3269" t="inlineStr">
        <is>
          <t>Positivo</t>
        </is>
      </c>
      <c r="F3269" s="105" t="n">
        <v>45930</v>
      </c>
      <c r="G3269" t="inlineStr">
        <is>
          <t>238-2025-09-30</t>
        </is>
      </c>
      <c r="H3269" t="inlineStr">
        <is>
          <t>Cumplimiento Gestión del la Calidad del Aire,  Ruido Ambiental y Publicidad Exterior Visual</t>
        </is>
      </c>
      <c r="I3269" t="n">
        <v>90</v>
      </c>
      <c r="J3269" t="n">
        <v>0</v>
      </c>
      <c r="AY3269" t="n">
        <v>0</v>
      </c>
      <c r="AZ3269" t="n">
        <v>0</v>
      </c>
    </row>
    <row r="3270">
      <c r="A3270" t="n">
        <v>238</v>
      </c>
      <c r="B3270" t="inlineStr">
        <is>
          <t>Cumplimiento de la Protección del Medio Ambiente</t>
        </is>
      </c>
      <c r="C3270" t="inlineStr">
        <is>
          <t>GESTIÓN AMBIENTAL</t>
        </is>
      </c>
      <c r="D3270" t="inlineStr">
        <is>
          <t>Semestral</t>
        </is>
      </c>
      <c r="E3270" t="inlineStr">
        <is>
          <t>Positivo</t>
        </is>
      </c>
      <c r="F3270" s="105" t="n">
        <v>45930</v>
      </c>
      <c r="G3270" t="inlineStr">
        <is>
          <t>238-2025-09-30</t>
        </is>
      </c>
      <c r="H3270" t="inlineStr">
        <is>
          <t>Cumplimiento Gestión de Áreas Naturales</t>
        </is>
      </c>
      <c r="I3270" t="n">
        <v>90</v>
      </c>
      <c r="J3270" t="n">
        <v>100</v>
      </c>
      <c r="AY3270" t="n">
        <v>3</v>
      </c>
      <c r="AZ3270" t="n">
        <v>3</v>
      </c>
    </row>
    <row r="3271">
      <c r="A3271" t="n">
        <v>238</v>
      </c>
      <c r="B3271" t="inlineStr">
        <is>
          <t>Cumplimiento de la Protección del Medio Ambiente</t>
        </is>
      </c>
      <c r="C3271" t="inlineStr">
        <is>
          <t>GESTIÓN AMBIENTAL</t>
        </is>
      </c>
      <c r="D3271" t="inlineStr">
        <is>
          <t>Semestral</t>
        </is>
      </c>
      <c r="E3271" t="inlineStr">
        <is>
          <t>Positivo</t>
        </is>
      </c>
      <c r="F3271" s="105" t="n">
        <v>45930</v>
      </c>
      <c r="G3271" t="inlineStr">
        <is>
          <t>238-2025-09-30</t>
        </is>
      </c>
      <c r="H3271" t="inlineStr">
        <is>
          <t>Cumplimiento Gestión de la Medición y Compensación de GEI</t>
        </is>
      </c>
      <c r="I3271" t="n">
        <v>90</v>
      </c>
      <c r="J3271" t="n">
        <v>0</v>
      </c>
      <c r="AY3271" t="n">
        <v>0</v>
      </c>
      <c r="AZ3271" t="n">
        <v>0</v>
      </c>
    </row>
    <row r="3272">
      <c r="A3272" t="n">
        <v>238</v>
      </c>
      <c r="B3272" t="inlineStr">
        <is>
          <t>Cumplimiento de la Protección del Medio Ambiente</t>
        </is>
      </c>
      <c r="C3272" t="inlineStr">
        <is>
          <t>GESTIÓN AMBIENTAL</t>
        </is>
      </c>
      <c r="D3272" t="inlineStr">
        <is>
          <t>Semestral</t>
        </is>
      </c>
      <c r="E3272" t="inlineStr">
        <is>
          <t>Positivo</t>
        </is>
      </c>
      <c r="F3272" s="105" t="n">
        <v>45930</v>
      </c>
      <c r="G3272" t="inlineStr">
        <is>
          <t>238-2025-09-30</t>
        </is>
      </c>
      <c r="H3272" t="inlineStr">
        <is>
          <t>Cumplimiento Gestión de la Educación y Comunicación Ambiental</t>
        </is>
      </c>
      <c r="I3272" t="n">
        <v>90</v>
      </c>
      <c r="J3272" t="n">
        <v>0</v>
      </c>
      <c r="AY3272" t="n">
        <v>0</v>
      </c>
      <c r="AZ3272" t="n">
        <v>0</v>
      </c>
    </row>
    <row r="3273">
      <c r="A3273" t="n">
        <v>306</v>
      </c>
      <c r="B3273" t="inlineStr">
        <is>
          <t>Seguimiento KPI Plan de Desarrollo Institucional</t>
        </is>
      </c>
      <c r="C3273" t="inlineStr">
        <is>
          <t>Desempeño Institucional</t>
        </is>
      </c>
      <c r="D3273" t="inlineStr">
        <is>
          <t>Semestral</t>
        </is>
      </c>
      <c r="E3273" t="inlineStr">
        <is>
          <t>Positivo</t>
        </is>
      </c>
      <c r="F3273" s="105" t="n">
        <v>45930</v>
      </c>
      <c r="G3273" t="inlineStr">
        <is>
          <t>306-2025-09-30</t>
        </is>
      </c>
      <c r="H3273" t="inlineStr">
        <is>
          <t>Calidad</t>
        </is>
      </c>
      <c r="I3273" t="n">
        <v>100</v>
      </c>
      <c r="J3273" t="n">
        <v>100</v>
      </c>
      <c r="BY3273" t="n">
        <v>100</v>
      </c>
    </row>
    <row r="3274">
      <c r="A3274" t="n">
        <v>306</v>
      </c>
      <c r="B3274" t="inlineStr">
        <is>
          <t>Seguimiento KPI Plan de Desarrollo Institucional</t>
        </is>
      </c>
      <c r="C3274" t="inlineStr">
        <is>
          <t>Desempeño Institucional</t>
        </is>
      </c>
      <c r="D3274" t="inlineStr">
        <is>
          <t>Semestral</t>
        </is>
      </c>
      <c r="E3274" t="inlineStr">
        <is>
          <t>Positivo</t>
        </is>
      </c>
      <c r="F3274" s="105" t="n">
        <v>45930</v>
      </c>
      <c r="G3274" t="inlineStr">
        <is>
          <t>306-2025-09-30</t>
        </is>
      </c>
      <c r="H3274" t="inlineStr">
        <is>
          <t>Educación para toda la vida</t>
        </is>
      </c>
      <c r="I3274" t="n">
        <v>100</v>
      </c>
      <c r="J3274" t="n">
        <v>119</v>
      </c>
      <c r="BY3274" t="n">
        <v>119</v>
      </c>
    </row>
    <row r="3275">
      <c r="A3275" t="n">
        <v>306</v>
      </c>
      <c r="B3275" t="inlineStr">
        <is>
          <t>Seguimiento KPI Plan de Desarrollo Institucional</t>
        </is>
      </c>
      <c r="C3275" t="inlineStr">
        <is>
          <t>Desempeño Institucional</t>
        </is>
      </c>
      <c r="D3275" t="inlineStr">
        <is>
          <t>Semestral</t>
        </is>
      </c>
      <c r="E3275" t="inlineStr">
        <is>
          <t>Positivo</t>
        </is>
      </c>
      <c r="F3275" s="105" t="n">
        <v>45930</v>
      </c>
      <c r="G3275" t="inlineStr">
        <is>
          <t>306-2025-09-30</t>
        </is>
      </c>
      <c r="H3275" t="inlineStr">
        <is>
          <t>Trasformación Organizacional</t>
        </is>
      </c>
      <c r="I3275" t="n">
        <v>100</v>
      </c>
      <c r="J3275" t="n">
        <v>104</v>
      </c>
      <c r="BY3275" t="n">
        <v>104</v>
      </c>
    </row>
    <row r="3276">
      <c r="A3276" t="n">
        <v>306</v>
      </c>
      <c r="B3276" t="inlineStr">
        <is>
          <t>Seguimiento KPI Plan de Desarrollo Institucional</t>
        </is>
      </c>
      <c r="C3276" t="inlineStr">
        <is>
          <t>Desempeño Institucional</t>
        </is>
      </c>
      <c r="D3276" t="inlineStr">
        <is>
          <t>Semestral</t>
        </is>
      </c>
      <c r="E3276" t="inlineStr">
        <is>
          <t>Positivo</t>
        </is>
      </c>
      <c r="F3276" s="105" t="n">
        <v>45930</v>
      </c>
      <c r="G3276" t="inlineStr">
        <is>
          <t>306-2025-09-30</t>
        </is>
      </c>
      <c r="H3276" t="inlineStr">
        <is>
          <t>Experiencia</t>
        </is>
      </c>
      <c r="I3276" t="n">
        <v>100</v>
      </c>
      <c r="J3276" t="n">
        <v>103</v>
      </c>
      <c r="BY3276" t="n">
        <v>103</v>
      </c>
    </row>
    <row r="3277">
      <c r="A3277" t="n">
        <v>306</v>
      </c>
      <c r="B3277" t="inlineStr">
        <is>
          <t>Seguimiento KPI Plan de Desarrollo Institucional</t>
        </is>
      </c>
      <c r="C3277" t="inlineStr">
        <is>
          <t>Desempeño Institucional</t>
        </is>
      </c>
      <c r="D3277" t="inlineStr">
        <is>
          <t>Semestral</t>
        </is>
      </c>
      <c r="E3277" t="inlineStr">
        <is>
          <t>Positivo</t>
        </is>
      </c>
      <c r="F3277" s="105" t="n">
        <v>45930</v>
      </c>
      <c r="G3277" t="inlineStr">
        <is>
          <t>306-2025-09-30</t>
        </is>
      </c>
      <c r="H3277" t="inlineStr">
        <is>
          <t>Sostenibilidad</t>
        </is>
      </c>
      <c r="I3277" t="n">
        <v>100</v>
      </c>
      <c r="J3277" t="n">
        <v>104</v>
      </c>
      <c r="BY3277" t="n">
        <v>104</v>
      </c>
    </row>
    <row r="3278">
      <c r="A3278" t="n">
        <v>306</v>
      </c>
      <c r="B3278" t="inlineStr">
        <is>
          <t>Seguimiento KPI Plan de Desarrollo Institucional</t>
        </is>
      </c>
      <c r="C3278" t="inlineStr">
        <is>
          <t>Desempeño Institucional</t>
        </is>
      </c>
      <c r="D3278" t="inlineStr">
        <is>
          <t>Semestral</t>
        </is>
      </c>
      <c r="E3278" t="inlineStr">
        <is>
          <t>Positivo</t>
        </is>
      </c>
      <c r="F3278" s="105" t="n">
        <v>45930</v>
      </c>
      <c r="G3278" t="inlineStr">
        <is>
          <t>306-2025-09-30</t>
        </is>
      </c>
      <c r="H3278" t="inlineStr">
        <is>
          <t>Expansión</t>
        </is>
      </c>
      <c r="I3278" t="n">
        <v>100</v>
      </c>
      <c r="J3278" t="n">
        <v>105</v>
      </c>
      <c r="BY3278" t="n">
        <v>105</v>
      </c>
    </row>
    <row r="3279">
      <c r="A3279" t="n">
        <v>373</v>
      </c>
      <c r="B3279" t="inlineStr">
        <is>
          <t>Cumplimiento de planes anuales por líneas</t>
        </is>
      </c>
      <c r="C3279" t="inlineStr">
        <is>
          <t>Planeación Estratégica</t>
        </is>
      </c>
      <c r="D3279" t="inlineStr">
        <is>
          <t>Semestral</t>
        </is>
      </c>
      <c r="E3279" t="inlineStr">
        <is>
          <t>Positivo</t>
        </is>
      </c>
      <c r="F3279" s="105" t="n">
        <v>45930</v>
      </c>
      <c r="G3279" t="inlineStr">
        <is>
          <t>373-2025-09-30</t>
        </is>
      </c>
      <c r="H3279" t="inlineStr">
        <is>
          <t>Calidad</t>
        </is>
      </c>
      <c r="I3279" t="n">
        <v>100</v>
      </c>
      <c r="J3279" t="n">
        <v>96.69999694824219</v>
      </c>
      <c r="BZ3279" t="n">
        <v>88</v>
      </c>
      <c r="CA3279" t="n">
        <v>91</v>
      </c>
    </row>
    <row r="3280">
      <c r="A3280" t="n">
        <v>373</v>
      </c>
      <c r="B3280" t="inlineStr">
        <is>
          <t>Cumplimiento de planes anuales por líneas</t>
        </is>
      </c>
      <c r="C3280" t="inlineStr">
        <is>
          <t>Planeación Estratégica</t>
        </is>
      </c>
      <c r="D3280" t="inlineStr">
        <is>
          <t>Semestral</t>
        </is>
      </c>
      <c r="E3280" t="inlineStr">
        <is>
          <t>Positivo</t>
        </is>
      </c>
      <c r="F3280" s="105" t="n">
        <v>45930</v>
      </c>
      <c r="G3280" t="inlineStr">
        <is>
          <t>373-2025-09-30</t>
        </is>
      </c>
      <c r="H3280" t="inlineStr">
        <is>
          <t>Expansión</t>
        </is>
      </c>
      <c r="I3280" t="n">
        <v>100</v>
      </c>
      <c r="J3280" t="n">
        <v>97.75</v>
      </c>
      <c r="BZ3280" t="n">
        <v>87</v>
      </c>
      <c r="CA3280" t="n">
        <v>89</v>
      </c>
    </row>
    <row r="3281">
      <c r="A3281" t="n">
        <v>373</v>
      </c>
      <c r="B3281" t="inlineStr">
        <is>
          <t>Cumplimiento de planes anuales por líneas</t>
        </is>
      </c>
      <c r="C3281" t="inlineStr">
        <is>
          <t>Planeación Estratégica</t>
        </is>
      </c>
      <c r="D3281" t="inlineStr">
        <is>
          <t>Semestral</t>
        </is>
      </c>
      <c r="E3281" t="inlineStr">
        <is>
          <t>Positivo</t>
        </is>
      </c>
      <c r="F3281" s="105" t="n">
        <v>45930</v>
      </c>
      <c r="G3281" t="inlineStr">
        <is>
          <t>373-2025-09-30</t>
        </is>
      </c>
      <c r="H3281" t="inlineStr">
        <is>
          <t>Educación para toda la vida</t>
        </is>
      </c>
      <c r="I3281" t="n">
        <v>100</v>
      </c>
      <c r="J3281" t="n">
        <v>94.51000213623047</v>
      </c>
      <c r="BZ3281" t="n">
        <v>86</v>
      </c>
      <c r="CA3281" t="n">
        <v>91</v>
      </c>
    </row>
    <row r="3282">
      <c r="A3282" t="n">
        <v>373</v>
      </c>
      <c r="B3282" t="inlineStr">
        <is>
          <t>Cumplimiento de planes anuales por líneas</t>
        </is>
      </c>
      <c r="C3282" t="inlineStr">
        <is>
          <t>Planeación Estratégica</t>
        </is>
      </c>
      <c r="D3282" t="inlineStr">
        <is>
          <t>Semestral</t>
        </is>
      </c>
      <c r="E3282" t="inlineStr">
        <is>
          <t>Positivo</t>
        </is>
      </c>
      <c r="F3282" s="105" t="n">
        <v>45930</v>
      </c>
      <c r="G3282" t="inlineStr">
        <is>
          <t>373-2025-09-30</t>
        </is>
      </c>
      <c r="H3282" t="inlineStr">
        <is>
          <t>Experiencia</t>
        </is>
      </c>
      <c r="I3282" t="n">
        <v>100</v>
      </c>
      <c r="J3282" t="n">
        <v>96.73999786376953</v>
      </c>
      <c r="BZ3282" t="n">
        <v>89</v>
      </c>
      <c r="CA3282" t="n">
        <v>92</v>
      </c>
    </row>
    <row r="3283">
      <c r="A3283" t="n">
        <v>373</v>
      </c>
      <c r="B3283" t="inlineStr">
        <is>
          <t>Cumplimiento de planes anuales por líneas</t>
        </is>
      </c>
      <c r="C3283" t="inlineStr">
        <is>
          <t>Planeación Estratégica</t>
        </is>
      </c>
      <c r="D3283" t="inlineStr">
        <is>
          <t>Semestral</t>
        </is>
      </c>
      <c r="E3283" t="inlineStr">
        <is>
          <t>Positivo</t>
        </is>
      </c>
      <c r="F3283" s="105" t="n">
        <v>45930</v>
      </c>
      <c r="G3283" t="inlineStr">
        <is>
          <t>373-2025-09-30</t>
        </is>
      </c>
      <c r="H3283" t="inlineStr">
        <is>
          <t>Sostenibilidad</t>
        </is>
      </c>
      <c r="I3283" t="n">
        <v>100</v>
      </c>
      <c r="J3283" t="n">
        <v>97.75</v>
      </c>
      <c r="BZ3283" t="n">
        <v>87</v>
      </c>
      <c r="CA3283" t="n">
        <v>89</v>
      </c>
    </row>
    <row r="3284">
      <c r="A3284" t="n">
        <v>373</v>
      </c>
      <c r="B3284" t="inlineStr">
        <is>
          <t>Cumplimiento de planes anuales por líneas</t>
        </is>
      </c>
      <c r="C3284" t="inlineStr">
        <is>
          <t>Planeación Estratégica</t>
        </is>
      </c>
      <c r="D3284" t="inlineStr">
        <is>
          <t>Semestral</t>
        </is>
      </c>
      <c r="E3284" t="inlineStr">
        <is>
          <t>Positivo</t>
        </is>
      </c>
      <c r="F3284" s="105" t="n">
        <v>45930</v>
      </c>
      <c r="G3284" t="inlineStr">
        <is>
          <t>373-2025-09-30</t>
        </is>
      </c>
      <c r="H3284" t="inlineStr">
        <is>
          <t>Trasformación Organizacional</t>
        </is>
      </c>
      <c r="I3284" t="n">
        <v>100</v>
      </c>
      <c r="J3284" t="n">
        <v>94.44000244140625</v>
      </c>
      <c r="BZ3284" t="n">
        <v>85</v>
      </c>
      <c r="CA3284" t="n">
        <v>90</v>
      </c>
    </row>
    <row r="3285">
      <c r="A3285" t="n">
        <v>390</v>
      </c>
      <c r="B3285" t="inlineStr">
        <is>
          <t>Cumplimiento Plan Anual por escuela</t>
        </is>
      </c>
      <c r="C3285" t="inlineStr">
        <is>
          <t>Planeación Estratégica</t>
        </is>
      </c>
      <c r="D3285" t="inlineStr">
        <is>
          <t>Semestral</t>
        </is>
      </c>
      <c r="E3285" t="inlineStr">
        <is>
          <t>Positivo</t>
        </is>
      </c>
      <c r="F3285" s="105" t="n">
        <v>45930</v>
      </c>
      <c r="G3285" t="inlineStr">
        <is>
          <t>390-2025-09-30</t>
        </is>
      </c>
      <c r="H3285" t="inlineStr">
        <is>
          <t>ESCUELA DE CIENCIAS BÁSICAS</t>
        </is>
      </c>
      <c r="I3285" t="n">
        <v>100</v>
      </c>
      <c r="J3285" t="n">
        <v>98.80000305175781</v>
      </c>
      <c r="CB3285" t="n">
        <v>82</v>
      </c>
      <c r="CC3285" t="n">
        <v>83</v>
      </c>
    </row>
    <row r="3286">
      <c r="A3286" t="n">
        <v>390</v>
      </c>
      <c r="B3286" t="inlineStr">
        <is>
          <t>Cumplimiento Plan Anual por escuela</t>
        </is>
      </c>
      <c r="C3286" t="inlineStr">
        <is>
          <t>Planeación Estratégica</t>
        </is>
      </c>
      <c r="D3286" t="inlineStr">
        <is>
          <t>Semestral</t>
        </is>
      </c>
      <c r="E3286" t="inlineStr">
        <is>
          <t>Positivo</t>
        </is>
      </c>
      <c r="F3286" s="105" t="n">
        <v>45930</v>
      </c>
      <c r="G3286" t="inlineStr">
        <is>
          <t>390-2025-09-30</t>
        </is>
      </c>
      <c r="H3286" t="inlineStr">
        <is>
          <t>ESCUELA DE  DISEÑO</t>
        </is>
      </c>
      <c r="I3286" t="n">
        <v>100</v>
      </c>
      <c r="J3286" t="n">
        <v>96.43000030517578</v>
      </c>
      <c r="CB3286" t="n">
        <v>81</v>
      </c>
      <c r="CC3286" t="n">
        <v>84</v>
      </c>
    </row>
    <row r="3287">
      <c r="A3287" t="n">
        <v>390</v>
      </c>
      <c r="B3287" t="inlineStr">
        <is>
          <t>Cumplimiento Plan Anual por escuela</t>
        </is>
      </c>
      <c r="C3287" t="inlineStr">
        <is>
          <t>Planeación Estratégica</t>
        </is>
      </c>
      <c r="D3287" t="inlineStr">
        <is>
          <t>Semestral</t>
        </is>
      </c>
      <c r="E3287" t="inlineStr">
        <is>
          <t>Positivo</t>
        </is>
      </c>
      <c r="F3287" s="105" t="n">
        <v>45930</v>
      </c>
      <c r="G3287" t="inlineStr">
        <is>
          <t>390-2025-09-30</t>
        </is>
      </c>
      <c r="H3287" t="inlineStr">
        <is>
          <t>ESCUELA DE OPTIMIZACIÓN, INFRA Y AUTO</t>
        </is>
      </c>
      <c r="I3287" t="n">
        <v>100</v>
      </c>
      <c r="J3287" t="n">
        <v>115.120002746582</v>
      </c>
      <c r="CB3287" t="n">
        <v>99</v>
      </c>
      <c r="CC3287" t="n">
        <v>86</v>
      </c>
    </row>
    <row r="3288">
      <c r="A3288" t="n">
        <v>390</v>
      </c>
      <c r="B3288" t="inlineStr">
        <is>
          <t>Cumplimiento Plan Anual por escuela</t>
        </is>
      </c>
      <c r="C3288" t="inlineStr">
        <is>
          <t>Planeación Estratégica</t>
        </is>
      </c>
      <c r="D3288" t="inlineStr">
        <is>
          <t>Semestral</t>
        </is>
      </c>
      <c r="E3288" t="inlineStr">
        <is>
          <t>Positivo</t>
        </is>
      </c>
      <c r="F3288" s="105" t="n">
        <v>45930</v>
      </c>
      <c r="G3288" t="inlineStr">
        <is>
          <t>390-2025-09-30</t>
        </is>
      </c>
      <c r="H3288" t="inlineStr">
        <is>
          <t>ESCUELA TIC</t>
        </is>
      </c>
      <c r="I3288" t="n">
        <v>100</v>
      </c>
      <c r="J3288" t="n">
        <v>100</v>
      </c>
      <c r="CB3288" t="n">
        <v>83</v>
      </c>
      <c r="CC3288" t="n">
        <v>83</v>
      </c>
    </row>
    <row r="3289">
      <c r="A3289" t="n">
        <v>390</v>
      </c>
      <c r="B3289" t="inlineStr">
        <is>
          <t>Cumplimiento Plan Anual por escuela</t>
        </is>
      </c>
      <c r="C3289" t="inlineStr">
        <is>
          <t>Planeación Estratégica</t>
        </is>
      </c>
      <c r="D3289" t="inlineStr">
        <is>
          <t>Semestral</t>
        </is>
      </c>
      <c r="E3289" t="inlineStr">
        <is>
          <t>Positivo</t>
        </is>
      </c>
      <c r="F3289" s="105" t="n">
        <v>45930</v>
      </c>
      <c r="G3289" t="inlineStr">
        <is>
          <t>390-2025-09-30</t>
        </is>
      </c>
      <c r="H3289" t="inlineStr">
        <is>
          <t>ESCUELA DE ADMINISTRACIÓN Y COMPETITIVIDAD</t>
        </is>
      </c>
      <c r="I3289" t="n">
        <v>100</v>
      </c>
      <c r="J3289" t="n">
        <v>101.2200012207031</v>
      </c>
      <c r="CB3289" t="n">
        <v>83</v>
      </c>
      <c r="CC3289" t="n">
        <v>82</v>
      </c>
    </row>
    <row r="3290">
      <c r="A3290" t="n">
        <v>390</v>
      </c>
      <c r="B3290" t="inlineStr">
        <is>
          <t>Cumplimiento Plan Anual por escuela</t>
        </is>
      </c>
      <c r="C3290" t="inlineStr">
        <is>
          <t>Planeación Estratégica</t>
        </is>
      </c>
      <c r="D3290" t="inlineStr">
        <is>
          <t>Semestral</t>
        </is>
      </c>
      <c r="E3290" t="inlineStr">
        <is>
          <t>Positivo</t>
        </is>
      </c>
      <c r="F3290" s="105" t="n">
        <v>45930</v>
      </c>
      <c r="G3290" t="inlineStr">
        <is>
          <t>390-2025-09-30</t>
        </is>
      </c>
      <c r="H3290" t="inlineStr">
        <is>
          <t>ESCUELA DE CONTABILIDAD INTERNACIONAL</t>
        </is>
      </c>
      <c r="I3290" t="n">
        <v>100</v>
      </c>
      <c r="J3290" t="n">
        <v>104.4000015258789</v>
      </c>
      <c r="CB3290" t="n">
        <v>95</v>
      </c>
      <c r="CC3290" t="n">
        <v>91</v>
      </c>
    </row>
    <row r="3291">
      <c r="A3291" t="n">
        <v>390</v>
      </c>
      <c r="B3291" t="inlineStr">
        <is>
          <t>Cumplimiento Plan Anual por escuela</t>
        </is>
      </c>
      <c r="C3291" t="inlineStr">
        <is>
          <t>Planeación Estratégica</t>
        </is>
      </c>
      <c r="D3291" t="inlineStr">
        <is>
          <t>Semestral</t>
        </is>
      </c>
      <c r="E3291" t="inlineStr">
        <is>
          <t>Positivo</t>
        </is>
      </c>
      <c r="F3291" s="105" t="n">
        <v>45930</v>
      </c>
      <c r="G3291" t="inlineStr">
        <is>
          <t>390-2025-09-30</t>
        </is>
      </c>
      <c r="H3291" t="inlineStr">
        <is>
          <t>ESCUELA DE NEGOCIOS Y DESARROLLO INTERNACIONAL</t>
        </is>
      </c>
      <c r="I3291" t="n">
        <v>100</v>
      </c>
      <c r="J3291" t="n">
        <v>105.6800003051758</v>
      </c>
      <c r="CB3291" t="n">
        <v>93</v>
      </c>
      <c r="CC3291" t="n">
        <v>88</v>
      </c>
    </row>
    <row r="3292">
      <c r="A3292" t="n">
        <v>390</v>
      </c>
      <c r="B3292" t="inlineStr">
        <is>
          <t>Cumplimiento Plan Anual por escuela</t>
        </is>
      </c>
      <c r="C3292" t="inlineStr">
        <is>
          <t>Planeación Estratégica</t>
        </is>
      </c>
      <c r="D3292" t="inlineStr">
        <is>
          <t>Semestral</t>
        </is>
      </c>
      <c r="E3292" t="inlineStr">
        <is>
          <t>Positivo</t>
        </is>
      </c>
      <c r="F3292" s="105" t="n">
        <v>45930</v>
      </c>
      <c r="G3292" t="inlineStr">
        <is>
          <t>390-2025-09-30</t>
        </is>
      </c>
      <c r="H3292" t="inlineStr">
        <is>
          <t>ESCUELA DE COMUNICACIÓN ARTES VISUALES Y DIGITALES</t>
        </is>
      </c>
      <c r="I3292" t="n">
        <v>100</v>
      </c>
      <c r="J3292" t="n">
        <v>95.51000213623047</v>
      </c>
      <c r="CB3292" t="n">
        <v>85</v>
      </c>
      <c r="CC3292" t="n">
        <v>89</v>
      </c>
    </row>
    <row r="3293">
      <c r="A3293" t="n">
        <v>390</v>
      </c>
      <c r="B3293" t="inlineStr">
        <is>
          <t>Cumplimiento Plan Anual por escuela</t>
        </is>
      </c>
      <c r="C3293" t="inlineStr">
        <is>
          <t>Planeación Estratégica</t>
        </is>
      </c>
      <c r="D3293" t="inlineStr">
        <is>
          <t>Semestral</t>
        </is>
      </c>
      <c r="E3293" t="inlineStr">
        <is>
          <t>Positivo</t>
        </is>
      </c>
      <c r="F3293" s="105" t="n">
        <v>45930</v>
      </c>
      <c r="G3293" t="inlineStr">
        <is>
          <t>390-2025-09-30</t>
        </is>
      </c>
      <c r="H3293" t="inlineStr">
        <is>
          <t>ESCUELA DE EDUCACIÓN E INNOVACIÓN</t>
        </is>
      </c>
      <c r="I3293" t="n">
        <v>100</v>
      </c>
      <c r="J3293" t="n">
        <v>95.51000213623047</v>
      </c>
      <c r="CB3293" t="n">
        <v>85</v>
      </c>
      <c r="CC3293" t="n">
        <v>89</v>
      </c>
    </row>
    <row r="3294">
      <c r="A3294" t="n">
        <v>390</v>
      </c>
      <c r="B3294" t="inlineStr">
        <is>
          <t>Cumplimiento Plan Anual por escuela</t>
        </is>
      </c>
      <c r="C3294" t="inlineStr">
        <is>
          <t>Planeación Estratégica</t>
        </is>
      </c>
      <c r="D3294" t="inlineStr">
        <is>
          <t>Semestral</t>
        </is>
      </c>
      <c r="E3294" t="inlineStr">
        <is>
          <t>Positivo</t>
        </is>
      </c>
      <c r="F3294" s="105" t="n">
        <v>45930</v>
      </c>
      <c r="G3294" t="inlineStr">
        <is>
          <t>390-2025-09-30</t>
        </is>
      </c>
      <c r="H3294" t="inlineStr">
        <is>
          <t>ESCUELA DE DERECHO Y GOBIERNO</t>
        </is>
      </c>
      <c r="I3294" t="n">
        <v>100</v>
      </c>
      <c r="J3294" t="n">
        <v>101.120002746582</v>
      </c>
      <c r="CB3294" t="n">
        <v>90</v>
      </c>
      <c r="CC3294" t="n">
        <v>89</v>
      </c>
    </row>
    <row r="3295">
      <c r="A3295" t="n">
        <v>390</v>
      </c>
      <c r="B3295" t="inlineStr">
        <is>
          <t>Cumplimiento Plan Anual por escuela</t>
        </is>
      </c>
      <c r="C3295" t="inlineStr">
        <is>
          <t>Planeación Estratégica</t>
        </is>
      </c>
      <c r="D3295" t="inlineStr">
        <is>
          <t>Semestral</t>
        </is>
      </c>
      <c r="E3295" t="inlineStr">
        <is>
          <t>Positivo</t>
        </is>
      </c>
      <c r="F3295" s="105" t="n">
        <v>45930</v>
      </c>
      <c r="G3295" t="inlineStr">
        <is>
          <t>390-2025-09-30</t>
        </is>
      </c>
      <c r="H3295" t="inlineStr">
        <is>
          <t>ESCUELA DE MARKETING Y BRANDING</t>
        </is>
      </c>
      <c r="I3295" t="n">
        <v>100</v>
      </c>
      <c r="J3295" t="n">
        <v>99.16999816894531</v>
      </c>
      <c r="CB3295" t="n">
        <v>88</v>
      </c>
      <c r="CC3295" t="n">
        <v>88.73999999999999</v>
      </c>
    </row>
    <row r="3296">
      <c r="A3296" t="n">
        <v>390</v>
      </c>
      <c r="B3296" t="inlineStr">
        <is>
          <t>Cumplimiento Plan Anual por escuela</t>
        </is>
      </c>
      <c r="C3296" t="inlineStr">
        <is>
          <t>Planeación Estratégica</t>
        </is>
      </c>
      <c r="D3296" t="inlineStr">
        <is>
          <t>Semestral</t>
        </is>
      </c>
      <c r="E3296" t="inlineStr">
        <is>
          <t>Positivo</t>
        </is>
      </c>
      <c r="F3296" s="105" t="n">
        <v>45930</v>
      </c>
      <c r="G3296" t="inlineStr">
        <is>
          <t>390-2025-09-30</t>
        </is>
      </c>
      <c r="H3296" t="inlineStr">
        <is>
          <t>ESCUELA DE PSIC, TALENTO HUM Y SOC</t>
        </is>
      </c>
      <c r="I3296" t="n">
        <v>100</v>
      </c>
      <c r="J3296" t="n">
        <v>101.120002746582</v>
      </c>
      <c r="CB3296" t="n">
        <v>90</v>
      </c>
      <c r="CC3296" t="n">
        <v>89</v>
      </c>
    </row>
    <row r="3297">
      <c r="A3297" t="n">
        <v>414</v>
      </c>
      <c r="B3297" t="inlineStr">
        <is>
          <t>Cumplimiento Plan Anual Rectoría</t>
        </is>
      </c>
      <c r="C3297" t="inlineStr">
        <is>
          <t>Planeación Estratégica</t>
        </is>
      </c>
      <c r="D3297" t="inlineStr">
        <is>
          <t>Semestral</t>
        </is>
      </c>
      <c r="E3297" t="inlineStr">
        <is>
          <t>Positivo</t>
        </is>
      </c>
      <c r="F3297" s="105" t="n">
        <v>45930</v>
      </c>
      <c r="G3297" t="inlineStr">
        <is>
          <t>414-2025-09-30</t>
        </is>
      </c>
      <c r="H3297" t="inlineStr">
        <is>
          <t>Vicerrectoría de crecimiento</t>
        </is>
      </c>
      <c r="I3297" t="n">
        <v>100</v>
      </c>
      <c r="J3297" t="n">
        <v>91.83999633789062</v>
      </c>
      <c r="CD3297" t="n">
        <v>90</v>
      </c>
      <c r="CE3297" t="n">
        <v>98</v>
      </c>
    </row>
    <row r="3298">
      <c r="A3298" t="n">
        <v>414</v>
      </c>
      <c r="B3298" t="inlineStr">
        <is>
          <t>Cumplimiento Plan Anual Rectoría</t>
        </is>
      </c>
      <c r="C3298" t="inlineStr">
        <is>
          <t>Planeación Estratégica</t>
        </is>
      </c>
      <c r="D3298" t="inlineStr">
        <is>
          <t>Semestral</t>
        </is>
      </c>
      <c r="E3298" t="inlineStr">
        <is>
          <t>Positivo</t>
        </is>
      </c>
      <c r="F3298" s="105" t="n">
        <v>45930</v>
      </c>
      <c r="G3298" t="inlineStr">
        <is>
          <t>414-2025-09-30</t>
        </is>
      </c>
      <c r="H3298" t="inlineStr">
        <is>
          <t>Vicerrectoría del estudiante</t>
        </is>
      </c>
      <c r="I3298" t="n">
        <v>100</v>
      </c>
      <c r="J3298" t="n">
        <v>92</v>
      </c>
      <c r="CD3298" t="n">
        <v>92</v>
      </c>
      <c r="CE3298" t="n">
        <v>100</v>
      </c>
    </row>
    <row r="3299">
      <c r="A3299" t="n">
        <v>414</v>
      </c>
      <c r="B3299" t="inlineStr">
        <is>
          <t>Cumplimiento Plan Anual Rectoría</t>
        </is>
      </c>
      <c r="C3299" t="inlineStr">
        <is>
          <t>Planeación Estratégica</t>
        </is>
      </c>
      <c r="D3299" t="inlineStr">
        <is>
          <t>Semestral</t>
        </is>
      </c>
      <c r="E3299" t="inlineStr">
        <is>
          <t>Positivo</t>
        </is>
      </c>
      <c r="F3299" s="105" t="n">
        <v>45930</v>
      </c>
      <c r="G3299" t="inlineStr">
        <is>
          <t>414-2025-09-30</t>
        </is>
      </c>
      <c r="H3299" t="inlineStr">
        <is>
          <t>Vicerrectoría financiera</t>
        </is>
      </c>
      <c r="I3299" t="n">
        <v>100</v>
      </c>
      <c r="J3299" t="n">
        <v>87.77999877929688</v>
      </c>
      <c r="CD3299" t="n">
        <v>79</v>
      </c>
      <c r="CE3299" t="n">
        <v>90</v>
      </c>
    </row>
    <row r="3300">
      <c r="A3300" t="n">
        <v>414</v>
      </c>
      <c r="B3300" t="inlineStr">
        <is>
          <t>Cumplimiento Plan Anual Rectoría</t>
        </is>
      </c>
      <c r="C3300" t="inlineStr">
        <is>
          <t>Planeación Estratégica</t>
        </is>
      </c>
      <c r="D3300" t="inlineStr">
        <is>
          <t>Semestral</t>
        </is>
      </c>
      <c r="E3300" t="inlineStr">
        <is>
          <t>Positivo</t>
        </is>
      </c>
      <c r="F3300" s="105" t="n">
        <v>45930</v>
      </c>
      <c r="G3300" t="inlineStr">
        <is>
          <t>414-2025-09-30</t>
        </is>
      </c>
      <c r="H3300" t="inlineStr">
        <is>
          <t>Vicerrectoría académica</t>
        </is>
      </c>
      <c r="I3300" t="n">
        <v>100</v>
      </c>
      <c r="J3300" t="n">
        <v>102.0400009155273</v>
      </c>
      <c r="CD3300" t="n">
        <v>100</v>
      </c>
      <c r="CE3300" t="n">
        <v>98</v>
      </c>
    </row>
    <row r="3301">
      <c r="A3301" t="n">
        <v>414</v>
      </c>
      <c r="B3301" t="inlineStr">
        <is>
          <t>Cumplimiento Plan Anual Rectoría</t>
        </is>
      </c>
      <c r="C3301" t="inlineStr">
        <is>
          <t>Planeación Estratégica</t>
        </is>
      </c>
      <c r="D3301" t="inlineStr">
        <is>
          <t>Semestral</t>
        </is>
      </c>
      <c r="E3301" t="inlineStr">
        <is>
          <t>Positivo</t>
        </is>
      </c>
      <c r="F3301" s="105" t="n">
        <v>45930</v>
      </c>
      <c r="G3301" t="inlineStr">
        <is>
          <t>414-2025-09-30</t>
        </is>
      </c>
      <c r="H3301" t="inlineStr">
        <is>
          <t>Gerencia de estrategia</t>
        </is>
      </c>
      <c r="I3301" t="n">
        <v>100</v>
      </c>
      <c r="J3301" t="n">
        <v>99.88999938964844</v>
      </c>
      <c r="CD3301" t="n">
        <v>87.90000000000001</v>
      </c>
      <c r="CE3301" t="n">
        <v>88</v>
      </c>
    </row>
    <row r="3302">
      <c r="A3302" t="n">
        <v>414</v>
      </c>
      <c r="B3302" t="inlineStr">
        <is>
          <t>Cumplimiento Plan Anual Rectoría</t>
        </is>
      </c>
      <c r="C3302" t="inlineStr">
        <is>
          <t>Planeación Estratégica</t>
        </is>
      </c>
      <c r="D3302" t="inlineStr">
        <is>
          <t>Semestral</t>
        </is>
      </c>
      <c r="E3302" t="inlineStr">
        <is>
          <t>Positivo</t>
        </is>
      </c>
      <c r="F3302" s="105" t="n">
        <v>45930</v>
      </c>
      <c r="G3302" t="inlineStr">
        <is>
          <t>414-2025-09-30</t>
        </is>
      </c>
      <c r="H3302" t="inlineStr">
        <is>
          <t>Gerencia sede Medellín</t>
        </is>
      </c>
      <c r="I3302" t="n">
        <v>100</v>
      </c>
      <c r="J3302" t="n">
        <v>105.2600021362305</v>
      </c>
      <c r="CD3302" t="n">
        <v>100</v>
      </c>
      <c r="CE3302" t="n">
        <v>95</v>
      </c>
    </row>
    <row r="3303">
      <c r="A3303" t="n">
        <v>414</v>
      </c>
      <c r="B3303" t="inlineStr">
        <is>
          <t>Cumplimiento Plan Anual Rectoría</t>
        </is>
      </c>
      <c r="C3303" t="inlineStr">
        <is>
          <t>Planeación Estratégica</t>
        </is>
      </c>
      <c r="D3303" t="inlineStr">
        <is>
          <t>Semestral</t>
        </is>
      </c>
      <c r="E3303" t="inlineStr">
        <is>
          <t>Positivo</t>
        </is>
      </c>
      <c r="F3303" s="105" t="n">
        <v>45930</v>
      </c>
      <c r="G3303" t="inlineStr">
        <is>
          <t>414-2025-09-30</t>
        </is>
      </c>
      <c r="H3303" t="inlineStr">
        <is>
          <t>Secretaria general</t>
        </is>
      </c>
      <c r="I3303" t="n">
        <v>100</v>
      </c>
      <c r="J3303" t="n">
        <v>93.09999847412109</v>
      </c>
      <c r="CD3303" t="n">
        <v>81</v>
      </c>
      <c r="CE3303" t="n">
        <v>87</v>
      </c>
    </row>
    <row r="3304">
      <c r="A3304" t="n">
        <v>414</v>
      </c>
      <c r="B3304" t="inlineStr">
        <is>
          <t>Cumplimiento Plan Anual Rectoría</t>
        </is>
      </c>
      <c r="C3304" t="inlineStr">
        <is>
          <t>Planeación Estratégica</t>
        </is>
      </c>
      <c r="D3304" t="inlineStr">
        <is>
          <t>Semestral</t>
        </is>
      </c>
      <c r="E3304" t="inlineStr">
        <is>
          <t>Positivo</t>
        </is>
      </c>
      <c r="F3304" s="105" t="n">
        <v>45930</v>
      </c>
      <c r="G3304" t="inlineStr">
        <is>
          <t>414-2025-09-30</t>
        </is>
      </c>
      <c r="H3304" t="inlineStr">
        <is>
          <t>Gerencia de educación virtual</t>
        </is>
      </c>
      <c r="I3304" t="n">
        <v>100</v>
      </c>
      <c r="J3304" t="n">
        <v>92.68000030517578</v>
      </c>
      <c r="CD3304" t="n">
        <v>76</v>
      </c>
      <c r="CE3304" t="n">
        <v>82</v>
      </c>
    </row>
    <row r="3305">
      <c r="A3305" t="n">
        <v>414</v>
      </c>
      <c r="B3305" t="inlineStr">
        <is>
          <t>Cumplimiento Plan Anual Rectoría</t>
        </is>
      </c>
      <c r="C3305" t="inlineStr">
        <is>
          <t>Planeación Estratégica</t>
        </is>
      </c>
      <c r="D3305" t="inlineStr">
        <is>
          <t>Semestral</t>
        </is>
      </c>
      <c r="E3305" t="inlineStr">
        <is>
          <t>Positivo</t>
        </is>
      </c>
      <c r="F3305" s="105" t="n">
        <v>45930</v>
      </c>
      <c r="G3305" t="inlineStr">
        <is>
          <t>414-2025-09-30</t>
        </is>
      </c>
      <c r="H3305" t="inlineStr">
        <is>
          <t>Gerencia de  talento humano y desarrollo</t>
        </is>
      </c>
      <c r="I3305" t="n">
        <v>100</v>
      </c>
      <c r="J3305" t="n">
        <v>77.77999877929688</v>
      </c>
      <c r="CD3305" t="n">
        <v>63</v>
      </c>
      <c r="CE3305" t="n">
        <v>81</v>
      </c>
    </row>
    <row r="3306">
      <c r="A3306" t="n">
        <v>415</v>
      </c>
      <c r="B3306" t="inlineStr">
        <is>
          <t>Cumplimiento Plan Anual Vicerrectoría del estudiante</t>
        </is>
      </c>
      <c r="C3306" t="inlineStr">
        <is>
          <t>Planeación Estratégica</t>
        </is>
      </c>
      <c r="D3306" t="inlineStr">
        <is>
          <t>Semestral</t>
        </is>
      </c>
      <c r="E3306" t="inlineStr">
        <is>
          <t>Positivo</t>
        </is>
      </c>
      <c r="F3306" s="105" t="n">
        <v>45930</v>
      </c>
      <c r="G3306" t="inlineStr">
        <is>
          <t>415-2025-09-30</t>
        </is>
      </c>
      <c r="H3306" t="inlineStr">
        <is>
          <t>Gerencia de operaciones</t>
        </is>
      </c>
      <c r="I3306" t="n">
        <v>100</v>
      </c>
      <c r="J3306" t="n">
        <v>98.90000152587891</v>
      </c>
      <c r="CF3306" t="n">
        <v>90</v>
      </c>
      <c r="CG3306" t="n">
        <v>91</v>
      </c>
    </row>
    <row r="3307">
      <c r="A3307" t="n">
        <v>415</v>
      </c>
      <c r="B3307" t="inlineStr">
        <is>
          <t>Cumplimiento Plan Anual Vicerrectoría del estudiante</t>
        </is>
      </c>
      <c r="C3307" t="inlineStr">
        <is>
          <t>Planeación Estratégica</t>
        </is>
      </c>
      <c r="D3307" t="inlineStr">
        <is>
          <t>Semestral</t>
        </is>
      </c>
      <c r="E3307" t="inlineStr">
        <is>
          <t>Positivo</t>
        </is>
      </c>
      <c r="F3307" s="105" t="n">
        <v>45930</v>
      </c>
      <c r="G3307" t="inlineStr">
        <is>
          <t>415-2025-09-30</t>
        </is>
      </c>
      <c r="H3307" t="inlineStr">
        <is>
          <t>Gerencia de servicio y permanencia</t>
        </is>
      </c>
      <c r="I3307" t="n">
        <v>100</v>
      </c>
      <c r="J3307" t="n">
        <v>89.80000305175781</v>
      </c>
      <c r="CF3307" t="n">
        <v>88</v>
      </c>
      <c r="CG3307" t="n">
        <v>98</v>
      </c>
    </row>
    <row r="3308">
      <c r="A3308" t="n">
        <v>415</v>
      </c>
      <c r="B3308" t="inlineStr">
        <is>
          <t>Cumplimiento Plan Anual Vicerrectoría del estudiante</t>
        </is>
      </c>
      <c r="C3308" t="inlineStr">
        <is>
          <t>Planeación Estratégica</t>
        </is>
      </c>
      <c r="D3308" t="inlineStr">
        <is>
          <t>Semestral</t>
        </is>
      </c>
      <c r="E3308" t="inlineStr">
        <is>
          <t>Positivo</t>
        </is>
      </c>
      <c r="F3308" s="105" t="n">
        <v>45930</v>
      </c>
      <c r="G3308" t="inlineStr">
        <is>
          <t>415-2025-09-30</t>
        </is>
      </c>
      <c r="H3308" t="inlineStr">
        <is>
          <t>Gerencia de tecnología e innovación digital</t>
        </is>
      </c>
      <c r="I3308" t="n">
        <v>100</v>
      </c>
      <c r="J3308" t="n">
        <v>86.16999816894531</v>
      </c>
      <c r="CF3308" t="n">
        <v>81</v>
      </c>
      <c r="CG3308" t="n">
        <v>94</v>
      </c>
    </row>
    <row r="3309">
      <c r="A3309" t="n">
        <v>415</v>
      </c>
      <c r="B3309" t="inlineStr">
        <is>
          <t>Cumplimiento Plan Anual Vicerrectoría del estudiante</t>
        </is>
      </c>
      <c r="C3309" t="inlineStr">
        <is>
          <t>Planeación Estratégica</t>
        </is>
      </c>
      <c r="D3309" t="inlineStr">
        <is>
          <t>Semestral</t>
        </is>
      </c>
      <c r="E3309" t="inlineStr">
        <is>
          <t>Positivo</t>
        </is>
      </c>
      <c r="F3309" s="105" t="n">
        <v>45930</v>
      </c>
      <c r="G3309" t="inlineStr">
        <is>
          <t>415-2025-09-30</t>
        </is>
      </c>
      <c r="H3309" t="inlineStr">
        <is>
          <t>BI y analítica</t>
        </is>
      </c>
      <c r="I3309" t="n">
        <v>100</v>
      </c>
      <c r="J3309" t="n">
        <v>119.6100006103516</v>
      </c>
      <c r="CF3309" t="n">
        <v>61</v>
      </c>
      <c r="CG3309" t="n">
        <v>51</v>
      </c>
    </row>
    <row r="3310">
      <c r="A3310" t="n">
        <v>415</v>
      </c>
      <c r="B3310" t="inlineStr">
        <is>
          <t>Cumplimiento Plan Anual Vicerrectoría del estudiante</t>
        </is>
      </c>
      <c r="C3310" t="inlineStr">
        <is>
          <t>Planeación Estratégica</t>
        </is>
      </c>
      <c r="D3310" t="inlineStr">
        <is>
          <t>Semestral</t>
        </is>
      </c>
      <c r="E3310" t="inlineStr">
        <is>
          <t>Positivo</t>
        </is>
      </c>
      <c r="F3310" s="105" t="n">
        <v>45930</v>
      </c>
      <c r="G3310" t="inlineStr">
        <is>
          <t>415-2025-09-30</t>
        </is>
      </c>
      <c r="H3310" t="inlineStr">
        <is>
          <t>Dirección nacional de registro y control</t>
        </is>
      </c>
      <c r="I3310" t="n">
        <v>100</v>
      </c>
      <c r="J3310" t="n">
        <v>98.91999816894531</v>
      </c>
      <c r="CF3310" t="n">
        <v>92</v>
      </c>
      <c r="CG3310" t="n">
        <v>93</v>
      </c>
    </row>
    <row r="3311">
      <c r="A3311" t="n">
        <v>415</v>
      </c>
      <c r="B3311" t="inlineStr">
        <is>
          <t>Cumplimiento Plan Anual Vicerrectoría del estudiante</t>
        </is>
      </c>
      <c r="C3311" t="inlineStr">
        <is>
          <t>Planeación Estratégica</t>
        </is>
      </c>
      <c r="D3311" t="inlineStr">
        <is>
          <t>Semestral</t>
        </is>
      </c>
      <c r="E3311" t="inlineStr">
        <is>
          <t>Positivo</t>
        </is>
      </c>
      <c r="F3311" s="105" t="n">
        <v>45930</v>
      </c>
      <c r="G3311" t="inlineStr">
        <is>
          <t>415-2025-09-30</t>
        </is>
      </c>
      <c r="H3311" t="inlineStr">
        <is>
          <t>Dirección de Experiencia E Inclusion</t>
        </is>
      </c>
      <c r="I3311" t="n">
        <v>100</v>
      </c>
      <c r="J3311" t="n">
        <v>101.1100006103516</v>
      </c>
      <c r="CF3311" t="n">
        <v>91</v>
      </c>
      <c r="CG3311" t="n">
        <v>90</v>
      </c>
    </row>
    <row r="3312">
      <c r="A3312" t="n">
        <v>415</v>
      </c>
      <c r="B3312" t="inlineStr">
        <is>
          <t>Cumplimiento Plan Anual Vicerrectoría del estudiante</t>
        </is>
      </c>
      <c r="C3312" t="inlineStr">
        <is>
          <t>Planeación Estratégica</t>
        </is>
      </c>
      <c r="D3312" t="inlineStr">
        <is>
          <t>Semestral</t>
        </is>
      </c>
      <c r="E3312" t="inlineStr">
        <is>
          <t>Positivo</t>
        </is>
      </c>
      <c r="F3312" s="105" t="n">
        <v>45930</v>
      </c>
      <c r="G3312" t="inlineStr">
        <is>
          <t>415-2025-09-30</t>
        </is>
      </c>
      <c r="H3312" t="inlineStr">
        <is>
          <t>Direccion bienestar universitario y huella grancolombiana</t>
        </is>
      </c>
      <c r="I3312" t="n">
        <v>100</v>
      </c>
      <c r="J3312" t="n">
        <v>82.47000122070312</v>
      </c>
      <c r="CF3312" t="n">
        <v>80</v>
      </c>
      <c r="CG3312" t="n">
        <v>97</v>
      </c>
    </row>
    <row r="3313">
      <c r="A3313" t="n">
        <v>415</v>
      </c>
      <c r="B3313" t="inlineStr">
        <is>
          <t>Cumplimiento Plan Anual Vicerrectoría del estudiante</t>
        </is>
      </c>
      <c r="C3313" t="inlineStr">
        <is>
          <t>Planeación Estratégica</t>
        </is>
      </c>
      <c r="D3313" t="inlineStr">
        <is>
          <t>Semestral</t>
        </is>
      </c>
      <c r="E3313" t="inlineStr">
        <is>
          <t>Positivo</t>
        </is>
      </c>
      <c r="F3313" s="105" t="n">
        <v>45930</v>
      </c>
      <c r="G3313" t="inlineStr">
        <is>
          <t>415-2025-09-30</t>
        </is>
      </c>
      <c r="H3313" t="inlineStr">
        <is>
          <t>Director de gobierno digital</t>
        </is>
      </c>
      <c r="I3313" t="n">
        <v>100</v>
      </c>
      <c r="J3313" t="n">
        <v>90.43000030517578</v>
      </c>
      <c r="CF3313" t="n">
        <v>85</v>
      </c>
      <c r="CG3313" t="n">
        <v>94</v>
      </c>
    </row>
    <row r="3314">
      <c r="A3314" t="n">
        <v>415</v>
      </c>
      <c r="B3314" t="inlineStr">
        <is>
          <t>Cumplimiento Plan Anual Vicerrectoría del estudiante</t>
        </is>
      </c>
      <c r="C3314" t="inlineStr">
        <is>
          <t>Planeación Estratégica</t>
        </is>
      </c>
      <c r="D3314" t="inlineStr">
        <is>
          <t>Semestral</t>
        </is>
      </c>
      <c r="E3314" t="inlineStr">
        <is>
          <t>Positivo</t>
        </is>
      </c>
      <c r="F3314" s="105" t="n">
        <v>45930</v>
      </c>
      <c r="G3314" t="inlineStr">
        <is>
          <t>415-2025-09-30</t>
        </is>
      </c>
      <c r="H3314" t="inlineStr">
        <is>
          <t>Gerente de innovación y producto</t>
        </is>
      </c>
      <c r="I3314" t="n">
        <v>100</v>
      </c>
      <c r="J3314" t="n">
        <v>0</v>
      </c>
      <c r="CF3314" t="n">
        <v>0</v>
      </c>
      <c r="CG3314" t="n">
        <v>0</v>
      </c>
    </row>
    <row r="3315">
      <c r="A3315" t="n">
        <v>415</v>
      </c>
      <c r="B3315" t="inlineStr">
        <is>
          <t>Cumplimiento Plan Anual Vicerrectoría del estudiante</t>
        </is>
      </c>
      <c r="C3315" t="inlineStr">
        <is>
          <t>Planeación Estratégica</t>
        </is>
      </c>
      <c r="D3315" t="inlineStr">
        <is>
          <t>Semestral</t>
        </is>
      </c>
      <c r="E3315" t="inlineStr">
        <is>
          <t>Positivo</t>
        </is>
      </c>
      <c r="F3315" s="105" t="n">
        <v>45930</v>
      </c>
      <c r="G3315" t="inlineStr">
        <is>
          <t>415-2025-09-30</t>
        </is>
      </c>
      <c r="H3315" t="inlineStr">
        <is>
          <t>Dirección de desarrollo e innovación</t>
        </is>
      </c>
      <c r="I3315" t="n">
        <v>100</v>
      </c>
      <c r="J3315" t="n">
        <v>90.31999969482422</v>
      </c>
      <c r="CF3315" t="n">
        <v>84</v>
      </c>
      <c r="CG3315" t="n">
        <v>93</v>
      </c>
    </row>
    <row r="3316">
      <c r="A3316" t="n">
        <v>415</v>
      </c>
      <c r="B3316" t="inlineStr">
        <is>
          <t>Cumplimiento Plan Anual Vicerrectoría del estudiante</t>
        </is>
      </c>
      <c r="C3316" t="inlineStr">
        <is>
          <t>Planeación Estratégica</t>
        </is>
      </c>
      <c r="D3316" t="inlineStr">
        <is>
          <t>Semestral</t>
        </is>
      </c>
      <c r="E3316" t="inlineStr">
        <is>
          <t>Positivo</t>
        </is>
      </c>
      <c r="F3316" s="105" t="n">
        <v>45930</v>
      </c>
      <c r="G3316" t="inlineStr">
        <is>
          <t>415-2025-09-30</t>
        </is>
      </c>
      <c r="H3316" t="inlineStr">
        <is>
          <t>Director de operaciones IT</t>
        </is>
      </c>
      <c r="I3316" t="n">
        <v>100</v>
      </c>
      <c r="J3316" t="n">
        <v>102.0599975585938</v>
      </c>
      <c r="CF3316" t="n">
        <v>99</v>
      </c>
      <c r="CG3316" t="n">
        <v>97</v>
      </c>
    </row>
    <row r="3317">
      <c r="A3317" t="n">
        <v>415</v>
      </c>
      <c r="B3317" t="inlineStr">
        <is>
          <t>Cumplimiento Plan Anual Vicerrectoría del estudiante</t>
        </is>
      </c>
      <c r="C3317" t="inlineStr">
        <is>
          <t>Planeación Estratégica</t>
        </is>
      </c>
      <c r="D3317" t="inlineStr">
        <is>
          <t>Semestral</t>
        </is>
      </c>
      <c r="E3317" t="inlineStr">
        <is>
          <t>Positivo</t>
        </is>
      </c>
      <c r="F3317" s="105" t="n">
        <v>45930</v>
      </c>
      <c r="G3317" t="inlineStr">
        <is>
          <t>415-2025-09-30</t>
        </is>
      </c>
      <c r="H3317" t="inlineStr">
        <is>
          <t>Director de operaciones integrales</t>
        </is>
      </c>
      <c r="I3317" t="n">
        <v>100</v>
      </c>
      <c r="J3317" t="n">
        <v>94.68000030517578</v>
      </c>
      <c r="CF3317" t="n">
        <v>89</v>
      </c>
      <c r="CG3317" t="n">
        <v>94</v>
      </c>
    </row>
    <row r="3318">
      <c r="A3318" t="n">
        <v>415</v>
      </c>
      <c r="B3318" t="inlineStr">
        <is>
          <t>Cumplimiento Plan Anual Vicerrectoría del estudiante</t>
        </is>
      </c>
      <c r="C3318" t="inlineStr">
        <is>
          <t>Planeación Estratégica</t>
        </is>
      </c>
      <c r="D3318" t="inlineStr">
        <is>
          <t>Semestral</t>
        </is>
      </c>
      <c r="E3318" t="inlineStr">
        <is>
          <t>Positivo</t>
        </is>
      </c>
      <c r="F3318" s="105" t="n">
        <v>45930</v>
      </c>
      <c r="G3318" t="inlineStr">
        <is>
          <t>415-2025-09-30</t>
        </is>
      </c>
      <c r="H3318" t="inlineStr">
        <is>
          <t>Director de permanencia</t>
        </is>
      </c>
      <c r="I3318" t="n">
        <v>100</v>
      </c>
      <c r="J3318" t="n">
        <v>96</v>
      </c>
      <c r="CF3318" t="n">
        <v>96</v>
      </c>
      <c r="CG3318" t="n">
        <v>100</v>
      </c>
    </row>
    <row r="3319">
      <c r="A3319" t="n">
        <v>415</v>
      </c>
      <c r="B3319" t="inlineStr">
        <is>
          <t>Cumplimiento Plan Anual Vicerrectoría del estudiante</t>
        </is>
      </c>
      <c r="C3319" t="inlineStr">
        <is>
          <t>Planeación Estratégica</t>
        </is>
      </c>
      <c r="D3319" t="inlineStr">
        <is>
          <t>Semestral</t>
        </is>
      </c>
      <c r="E3319" t="inlineStr">
        <is>
          <t>Positivo</t>
        </is>
      </c>
      <c r="F3319" s="105" t="n">
        <v>45930</v>
      </c>
      <c r="G3319" t="inlineStr">
        <is>
          <t>415-2025-09-30</t>
        </is>
      </c>
      <c r="H3319" t="inlineStr">
        <is>
          <t>Director de servicio</t>
        </is>
      </c>
      <c r="I3319" t="n">
        <v>100</v>
      </c>
      <c r="J3319" t="n">
        <v>91.75</v>
      </c>
      <c r="CF3319" t="n">
        <v>89</v>
      </c>
      <c r="CG3319" t="n">
        <v>97</v>
      </c>
    </row>
    <row r="3320">
      <c r="A3320" t="n">
        <v>416</v>
      </c>
      <c r="B3320" t="inlineStr">
        <is>
          <t>Cumplimiento Plan Anual Vicerrectoría de crecimiento</t>
        </is>
      </c>
      <c r="C3320" t="inlineStr">
        <is>
          <t>Planeación Estratégica</t>
        </is>
      </c>
      <c r="D3320" t="inlineStr">
        <is>
          <t>Semestral</t>
        </is>
      </c>
      <c r="E3320" t="inlineStr">
        <is>
          <t>Positivo</t>
        </is>
      </c>
      <c r="F3320" s="105" t="n">
        <v>45930</v>
      </c>
      <c r="G3320" t="inlineStr">
        <is>
          <t>416-2025-09-30</t>
        </is>
      </c>
      <c r="H3320" t="inlineStr">
        <is>
          <t>Gerencia de matriculas</t>
        </is>
      </c>
      <c r="I3320" t="n">
        <v>100</v>
      </c>
      <c r="J3320" t="n">
        <v>100</v>
      </c>
      <c r="CH3320" t="n">
        <v>95</v>
      </c>
      <c r="CI3320" t="n">
        <v>95</v>
      </c>
    </row>
    <row r="3321">
      <c r="A3321" t="n">
        <v>416</v>
      </c>
      <c r="B3321" t="inlineStr">
        <is>
          <t>Cumplimiento Plan Anual Vicerrectoría de crecimiento</t>
        </is>
      </c>
      <c r="C3321" t="inlineStr">
        <is>
          <t>Planeación Estratégica</t>
        </is>
      </c>
      <c r="D3321" t="inlineStr">
        <is>
          <t>Semestral</t>
        </is>
      </c>
      <c r="E3321" t="inlineStr">
        <is>
          <t>Positivo</t>
        </is>
      </c>
      <c r="F3321" s="105" t="n">
        <v>45930</v>
      </c>
      <c r="G3321" t="inlineStr">
        <is>
          <t>416-2025-09-30</t>
        </is>
      </c>
      <c r="H3321" t="inlineStr">
        <is>
          <t>Gerencia de mercadeo</t>
        </is>
      </c>
      <c r="I3321" t="n">
        <v>100</v>
      </c>
      <c r="J3321" t="n">
        <v>88</v>
      </c>
      <c r="CH3321" t="n">
        <v>88</v>
      </c>
      <c r="CI3321" t="n">
        <v>100</v>
      </c>
    </row>
    <row r="3322">
      <c r="A3322" t="n">
        <v>416</v>
      </c>
      <c r="B3322" t="inlineStr">
        <is>
          <t>Cumplimiento Plan Anual Vicerrectoría de crecimiento</t>
        </is>
      </c>
      <c r="C3322" t="inlineStr">
        <is>
          <t>Planeación Estratégica</t>
        </is>
      </c>
      <c r="D3322" t="inlineStr">
        <is>
          <t>Semestral</t>
        </is>
      </c>
      <c r="E3322" t="inlineStr">
        <is>
          <t>Positivo</t>
        </is>
      </c>
      <c r="F3322" s="105" t="n">
        <v>45930</v>
      </c>
      <c r="G3322" t="inlineStr">
        <is>
          <t>416-2025-09-30</t>
        </is>
      </c>
      <c r="H3322" t="inlineStr">
        <is>
          <t>Gerencia de servicios corporativos</t>
        </is>
      </c>
      <c r="I3322" t="n">
        <v>100</v>
      </c>
      <c r="J3322" t="n">
        <v>98</v>
      </c>
      <c r="CH3322" t="n">
        <v>98</v>
      </c>
      <c r="CI3322" t="n">
        <v>100</v>
      </c>
    </row>
    <row r="3323">
      <c r="A3323" t="n">
        <v>416</v>
      </c>
      <c r="B3323" t="inlineStr">
        <is>
          <t>Cumplimiento Plan Anual Vicerrectoría de crecimiento</t>
        </is>
      </c>
      <c r="C3323" t="inlineStr">
        <is>
          <t>Planeación Estratégica</t>
        </is>
      </c>
      <c r="D3323" t="inlineStr">
        <is>
          <t>Semestral</t>
        </is>
      </c>
      <c r="E3323" t="inlineStr">
        <is>
          <t>Positivo</t>
        </is>
      </c>
      <c r="F3323" s="105" t="n">
        <v>45930</v>
      </c>
      <c r="G3323" t="inlineStr">
        <is>
          <t>416-2025-09-30</t>
        </is>
      </c>
      <c r="H3323" t="inlineStr">
        <is>
          <t>Director B2B y B2C</t>
        </is>
      </c>
      <c r="I3323" t="n">
        <v>100</v>
      </c>
      <c r="J3323" t="n">
        <v>105.2600021362305</v>
      </c>
      <c r="CH3323" t="n">
        <v>100</v>
      </c>
      <c r="CI3323" t="n">
        <v>95</v>
      </c>
    </row>
    <row r="3324">
      <c r="A3324" t="n">
        <v>416</v>
      </c>
      <c r="B3324" t="inlineStr">
        <is>
          <t>Cumplimiento Plan Anual Vicerrectoría de crecimiento</t>
        </is>
      </c>
      <c r="C3324" t="inlineStr">
        <is>
          <t>Planeación Estratégica</t>
        </is>
      </c>
      <c r="D3324" t="inlineStr">
        <is>
          <t>Semestral</t>
        </is>
      </c>
      <c r="E3324" t="inlineStr">
        <is>
          <t>Positivo</t>
        </is>
      </c>
      <c r="F3324" s="105" t="n">
        <v>45930</v>
      </c>
      <c r="G3324" t="inlineStr">
        <is>
          <t>416-2025-09-30</t>
        </is>
      </c>
      <c r="H3324" t="inlineStr">
        <is>
          <t>Director de producto</t>
        </is>
      </c>
      <c r="I3324" t="n">
        <v>100</v>
      </c>
      <c r="J3324" t="n">
        <v>87.62999725341797</v>
      </c>
      <c r="CH3324" t="n">
        <v>85</v>
      </c>
      <c r="CI3324" t="n">
        <v>97</v>
      </c>
    </row>
    <row r="3325">
      <c r="A3325" t="n">
        <v>416</v>
      </c>
      <c r="B3325" t="inlineStr">
        <is>
          <t>Cumplimiento Plan Anual Vicerrectoría de crecimiento</t>
        </is>
      </c>
      <c r="C3325" t="inlineStr">
        <is>
          <t>Planeación Estratégica</t>
        </is>
      </c>
      <c r="D3325" t="inlineStr">
        <is>
          <t>Semestral</t>
        </is>
      </c>
      <c r="E3325" t="inlineStr">
        <is>
          <t>Positivo</t>
        </is>
      </c>
      <c r="F3325" s="105" t="n">
        <v>45930</v>
      </c>
      <c r="G3325" t="inlineStr">
        <is>
          <t>416-2025-09-30</t>
        </is>
      </c>
      <c r="H3325" t="inlineStr">
        <is>
          <t>Director de estrategia marca</t>
        </is>
      </c>
      <c r="I3325" t="n">
        <v>100</v>
      </c>
      <c r="J3325" t="n">
        <v>100</v>
      </c>
      <c r="CH3325" t="n">
        <v>100</v>
      </c>
      <c r="CI3325" t="n">
        <v>100</v>
      </c>
    </row>
    <row r="3326">
      <c r="A3326" t="n">
        <v>417</v>
      </c>
      <c r="B3326" t="inlineStr">
        <is>
          <t>Cumplimiento Plan Anual Vicerrectoría Financiera</t>
        </is>
      </c>
      <c r="C3326" t="inlineStr">
        <is>
          <t>Planeación Estratégica</t>
        </is>
      </c>
      <c r="D3326" t="inlineStr">
        <is>
          <t>Semestral</t>
        </is>
      </c>
      <c r="E3326" t="inlineStr">
        <is>
          <t>Positivo</t>
        </is>
      </c>
      <c r="F3326" s="105" t="n">
        <v>45930</v>
      </c>
      <c r="G3326" t="inlineStr">
        <is>
          <t>417-2025-09-30</t>
        </is>
      </c>
      <c r="H3326" t="inlineStr">
        <is>
          <t>Dirección de contabilidad</t>
        </is>
      </c>
      <c r="I3326" t="n">
        <v>100</v>
      </c>
      <c r="J3326" t="n">
        <v>98.94999694824219</v>
      </c>
      <c r="CJ3326" t="n">
        <v>94</v>
      </c>
      <c r="CK3326" t="n">
        <v>95</v>
      </c>
    </row>
    <row r="3327">
      <c r="A3327" t="n">
        <v>417</v>
      </c>
      <c r="B3327" t="inlineStr">
        <is>
          <t>Cumplimiento Plan Anual Vicerrectoría Financiera</t>
        </is>
      </c>
      <c r="C3327" t="inlineStr">
        <is>
          <t>Planeación Estratégica</t>
        </is>
      </c>
      <c r="D3327" t="inlineStr">
        <is>
          <t>Semestral</t>
        </is>
      </c>
      <c r="E3327" t="inlineStr">
        <is>
          <t>Positivo</t>
        </is>
      </c>
      <c r="F3327" s="105" t="n">
        <v>45930</v>
      </c>
      <c r="G3327" t="inlineStr">
        <is>
          <t>417-2025-09-30</t>
        </is>
      </c>
      <c r="H3327" t="inlineStr">
        <is>
          <t>Dirección de infraestructura</t>
        </is>
      </c>
      <c r="I3327" t="n">
        <v>100</v>
      </c>
      <c r="J3327" t="n">
        <v>82.61000061035156</v>
      </c>
      <c r="CJ3327" t="n">
        <v>76</v>
      </c>
      <c r="CK3327" t="n">
        <v>92</v>
      </c>
    </row>
    <row r="3328">
      <c r="A3328" t="n">
        <v>417</v>
      </c>
      <c r="B3328" t="inlineStr">
        <is>
          <t>Cumplimiento Plan Anual Vicerrectoría Financiera</t>
        </is>
      </c>
      <c r="C3328" t="inlineStr">
        <is>
          <t>Planeación Estratégica</t>
        </is>
      </c>
      <c r="D3328" t="inlineStr">
        <is>
          <t>Semestral</t>
        </is>
      </c>
      <c r="E3328" t="inlineStr">
        <is>
          <t>Positivo</t>
        </is>
      </c>
      <c r="F3328" s="105" t="n">
        <v>45930</v>
      </c>
      <c r="G3328" t="inlineStr">
        <is>
          <t>417-2025-09-30</t>
        </is>
      </c>
      <c r="H3328" t="inlineStr">
        <is>
          <t>Dirección planeación financiera y tesorería</t>
        </is>
      </c>
      <c r="I3328" t="n">
        <v>100</v>
      </c>
      <c r="J3328" t="n">
        <v>104.4400024414062</v>
      </c>
      <c r="CJ3328" t="n">
        <v>94</v>
      </c>
      <c r="CK3328" t="n">
        <v>90</v>
      </c>
    </row>
    <row r="3329">
      <c r="A3329" t="n">
        <v>417</v>
      </c>
      <c r="B3329" t="inlineStr">
        <is>
          <t>Cumplimiento Plan Anual Vicerrectoría Financiera</t>
        </is>
      </c>
      <c r="C3329" t="inlineStr">
        <is>
          <t>Planeación Estratégica</t>
        </is>
      </c>
      <c r="D3329" t="inlineStr">
        <is>
          <t>Semestral</t>
        </is>
      </c>
      <c r="E3329" t="inlineStr">
        <is>
          <t>Positivo</t>
        </is>
      </c>
      <c r="F3329" s="105" t="n">
        <v>45930</v>
      </c>
      <c r="G3329" t="inlineStr">
        <is>
          <t>417-2025-09-30</t>
        </is>
      </c>
      <c r="H3329" t="inlineStr">
        <is>
          <t>Dirección de relacionamiento de CSU</t>
        </is>
      </c>
      <c r="I3329" t="n">
        <v>100</v>
      </c>
      <c r="J3329" t="n">
        <v>101.120002746582</v>
      </c>
      <c r="CJ3329" t="n">
        <v>90</v>
      </c>
      <c r="CK3329" t="n">
        <v>89</v>
      </c>
    </row>
    <row r="3330">
      <c r="A3330" t="n">
        <v>417</v>
      </c>
      <c r="B3330" t="inlineStr">
        <is>
          <t>Cumplimiento Plan Anual Vicerrectoría Financiera</t>
        </is>
      </c>
      <c r="C3330" t="inlineStr">
        <is>
          <t>Planeación Estratégica</t>
        </is>
      </c>
      <c r="D3330" t="inlineStr">
        <is>
          <t>Semestral</t>
        </is>
      </c>
      <c r="E3330" t="inlineStr">
        <is>
          <t>Positivo</t>
        </is>
      </c>
      <c r="F3330" s="105" t="n">
        <v>45930</v>
      </c>
      <c r="G3330" t="inlineStr">
        <is>
          <t>417-2025-09-30</t>
        </is>
      </c>
      <c r="H3330" t="inlineStr">
        <is>
          <t>Dirección de compras y abastecimiento</t>
        </is>
      </c>
      <c r="I3330" t="n">
        <v>100</v>
      </c>
      <c r="J3330" t="n">
        <v>104.6500015258789</v>
      </c>
      <c r="CJ3330" t="n">
        <v>90</v>
      </c>
      <c r="CK3330" t="n">
        <v>86</v>
      </c>
    </row>
    <row r="3331">
      <c r="A3331" t="n">
        <v>417</v>
      </c>
      <c r="B3331" t="inlineStr">
        <is>
          <t>Cumplimiento Plan Anual Vicerrectoría Financiera</t>
        </is>
      </c>
      <c r="C3331" t="inlineStr">
        <is>
          <t>Planeación Estratégica</t>
        </is>
      </c>
      <c r="D3331" t="inlineStr">
        <is>
          <t>Semestral</t>
        </is>
      </c>
      <c r="E3331" t="inlineStr">
        <is>
          <t>Positivo</t>
        </is>
      </c>
      <c r="F3331" s="105" t="n">
        <v>45930</v>
      </c>
      <c r="G3331" t="inlineStr">
        <is>
          <t>417-2025-09-30</t>
        </is>
      </c>
      <c r="H3331" t="inlineStr">
        <is>
          <t>Dirección de servicios administrativos</t>
        </is>
      </c>
      <c r="I3331" t="n">
        <v>100</v>
      </c>
      <c r="J3331" t="n">
        <v>104.2600021362305</v>
      </c>
      <c r="CJ3331" t="n">
        <v>98</v>
      </c>
      <c r="CK3331" t="n">
        <v>94</v>
      </c>
    </row>
    <row r="3332">
      <c r="A3332" t="n">
        <v>418</v>
      </c>
      <c r="B3332" t="inlineStr">
        <is>
          <t>Cumplimiento Plan Anual Vicerrectoría Académica</t>
        </is>
      </c>
      <c r="C3332" t="inlineStr">
        <is>
          <t>Planeación Estratégica</t>
        </is>
      </c>
      <c r="D3332" t="inlineStr">
        <is>
          <t>Semestral</t>
        </is>
      </c>
      <c r="E3332" t="inlineStr">
        <is>
          <t>Positivo</t>
        </is>
      </c>
      <c r="F3332" s="105" t="n">
        <v>45930</v>
      </c>
      <c r="G3332" t="inlineStr">
        <is>
          <t>418-2025-09-30</t>
        </is>
      </c>
      <c r="H3332" t="inlineStr">
        <is>
          <t>Dirección aseguramiento de la calidad</t>
        </is>
      </c>
      <c r="I3332" t="n">
        <v>100</v>
      </c>
      <c r="J3332" t="n">
        <v>107.2300033569336</v>
      </c>
      <c r="CL3332" t="n">
        <v>89</v>
      </c>
      <c r="CM3332" t="n">
        <v>83</v>
      </c>
    </row>
    <row r="3333">
      <c r="A3333" t="n">
        <v>418</v>
      </c>
      <c r="B3333" t="inlineStr">
        <is>
          <t>Cumplimiento Plan Anual Vicerrectoría Académica</t>
        </is>
      </c>
      <c r="C3333" t="inlineStr">
        <is>
          <t>Planeación Estratégica</t>
        </is>
      </c>
      <c r="D3333" t="inlineStr">
        <is>
          <t>Semestral</t>
        </is>
      </c>
      <c r="E3333" t="inlineStr">
        <is>
          <t>Positivo</t>
        </is>
      </c>
      <c r="F3333" s="105" t="n">
        <v>45930</v>
      </c>
      <c r="G3333" t="inlineStr">
        <is>
          <t>418-2025-09-30</t>
        </is>
      </c>
      <c r="H3333" t="inlineStr">
        <is>
          <t>Dirección investigación innovación y creación</t>
        </is>
      </c>
      <c r="I3333" t="n">
        <v>100</v>
      </c>
      <c r="J3333" t="n">
        <v>81.51999664306641</v>
      </c>
      <c r="CL3333" t="n">
        <v>75</v>
      </c>
      <c r="CM3333" t="n">
        <v>92</v>
      </c>
    </row>
    <row r="3334">
      <c r="A3334" t="n">
        <v>418</v>
      </c>
      <c r="B3334" t="inlineStr">
        <is>
          <t>Cumplimiento Plan Anual Vicerrectoría Académica</t>
        </is>
      </c>
      <c r="C3334" t="inlineStr">
        <is>
          <t>Planeación Estratégica</t>
        </is>
      </c>
      <c r="D3334" t="inlineStr">
        <is>
          <t>Semestral</t>
        </is>
      </c>
      <c r="E3334" t="inlineStr">
        <is>
          <t>Positivo</t>
        </is>
      </c>
      <c r="F3334" s="105" t="n">
        <v>45930</v>
      </c>
      <c r="G3334" t="inlineStr">
        <is>
          <t>418-2025-09-30</t>
        </is>
      </c>
      <c r="H3334" t="inlineStr">
        <is>
          <t>Dirección relaciones nacionales e internacionales</t>
        </is>
      </c>
      <c r="I3334" t="n">
        <v>100</v>
      </c>
      <c r="J3334" t="n">
        <v>91.75</v>
      </c>
      <c r="CL3334" t="n">
        <v>89</v>
      </c>
      <c r="CM3334" t="n">
        <v>97</v>
      </c>
    </row>
    <row r="3335">
      <c r="A3335" t="n">
        <v>418</v>
      </c>
      <c r="B3335" t="inlineStr">
        <is>
          <t>Cumplimiento Plan Anual Vicerrectoría Académica</t>
        </is>
      </c>
      <c r="C3335" t="inlineStr">
        <is>
          <t>Planeación Estratégica</t>
        </is>
      </c>
      <c r="D3335" t="inlineStr">
        <is>
          <t>Semestral</t>
        </is>
      </c>
      <c r="E3335" t="inlineStr">
        <is>
          <t>Positivo</t>
        </is>
      </c>
      <c r="F3335" s="105" t="n">
        <v>45930</v>
      </c>
      <c r="G3335" t="inlineStr">
        <is>
          <t>418-2025-09-30</t>
        </is>
      </c>
      <c r="H3335" t="inlineStr">
        <is>
          <t>Secretaria académica y de extensión</t>
        </is>
      </c>
      <c r="I3335" t="n">
        <v>100</v>
      </c>
      <c r="J3335" t="n">
        <v>101.0999984741211</v>
      </c>
      <c r="CL3335" t="n">
        <v>92</v>
      </c>
      <c r="CM3335" t="n">
        <v>91</v>
      </c>
    </row>
    <row r="3336">
      <c r="A3336" t="n">
        <v>418</v>
      </c>
      <c r="B3336" t="inlineStr">
        <is>
          <t>Cumplimiento Plan Anual Vicerrectoría Académica</t>
        </is>
      </c>
      <c r="C3336" t="inlineStr">
        <is>
          <t>Planeación Estratégica</t>
        </is>
      </c>
      <c r="D3336" t="inlineStr">
        <is>
          <t>Semestral</t>
        </is>
      </c>
      <c r="E3336" t="inlineStr">
        <is>
          <t>Positivo</t>
        </is>
      </c>
      <c r="F3336" s="105" t="n">
        <v>45930</v>
      </c>
      <c r="G3336" t="inlineStr">
        <is>
          <t>418-2025-09-30</t>
        </is>
      </c>
      <c r="H3336" t="inlineStr">
        <is>
          <t>Dirección de docencia</t>
        </is>
      </c>
      <c r="I3336" t="n">
        <v>100</v>
      </c>
      <c r="J3336" t="n">
        <v>0</v>
      </c>
      <c r="CL3336" t="n">
        <v>0</v>
      </c>
      <c r="CM3336" t="n">
        <v>0</v>
      </c>
    </row>
    <row r="3337">
      <c r="A3337" t="n">
        <v>418</v>
      </c>
      <c r="B3337" t="inlineStr">
        <is>
          <t>Cumplimiento Plan Anual Vicerrectoría Académica</t>
        </is>
      </c>
      <c r="C3337" t="inlineStr">
        <is>
          <t>Planeación Estratégica</t>
        </is>
      </c>
      <c r="D3337" t="inlineStr">
        <is>
          <t>Semestral</t>
        </is>
      </c>
      <c r="E3337" t="inlineStr">
        <is>
          <t>Positivo</t>
        </is>
      </c>
      <c r="F3337" s="105" t="n">
        <v>45930</v>
      </c>
      <c r="G3337" t="inlineStr">
        <is>
          <t>418-2025-09-30</t>
        </is>
      </c>
      <c r="H3337" t="inlineStr">
        <is>
          <t>Dirección de currículo presencial y virtual</t>
        </is>
      </c>
      <c r="I3337" t="n">
        <v>100</v>
      </c>
      <c r="J3337" t="n">
        <v>81.51999664306641</v>
      </c>
      <c r="CL3337" t="n">
        <v>75</v>
      </c>
      <c r="CM3337" t="n">
        <v>92</v>
      </c>
    </row>
    <row r="3338">
      <c r="A3338" t="n">
        <v>418</v>
      </c>
      <c r="B3338" t="inlineStr">
        <is>
          <t>Cumplimiento Plan Anual Vicerrectoría Académica</t>
        </is>
      </c>
      <c r="C3338" t="inlineStr">
        <is>
          <t>Planeación Estratégica</t>
        </is>
      </c>
      <c r="D3338" t="inlineStr">
        <is>
          <t>Semestral</t>
        </is>
      </c>
      <c r="E3338" t="inlineStr">
        <is>
          <t>Positivo</t>
        </is>
      </c>
      <c r="F3338" s="105" t="n">
        <v>45930</v>
      </c>
      <c r="G3338" t="inlineStr">
        <is>
          <t>418-2025-09-30</t>
        </is>
      </c>
      <c r="H3338" t="inlineStr">
        <is>
          <t>Facultad ingeniería diseño e innovación</t>
        </is>
      </c>
      <c r="I3338" t="n">
        <v>100</v>
      </c>
      <c r="J3338" t="n">
        <v>90.72000122070312</v>
      </c>
      <c r="CL3338" t="n">
        <v>88</v>
      </c>
      <c r="CM3338" t="n">
        <v>97</v>
      </c>
    </row>
    <row r="3339">
      <c r="A3339" t="n">
        <v>418</v>
      </c>
      <c r="B3339" t="inlineStr">
        <is>
          <t>Cumplimiento Plan Anual Vicerrectoría Académica</t>
        </is>
      </c>
      <c r="C3339" t="inlineStr">
        <is>
          <t>Planeación Estratégica</t>
        </is>
      </c>
      <c r="D3339" t="inlineStr">
        <is>
          <t>Semestral</t>
        </is>
      </c>
      <c r="E3339" t="inlineStr">
        <is>
          <t>Positivo</t>
        </is>
      </c>
      <c r="F3339" s="105" t="n">
        <v>45930</v>
      </c>
      <c r="G3339" t="inlineStr">
        <is>
          <t>418-2025-09-30</t>
        </is>
      </c>
      <c r="H3339" t="inlineStr">
        <is>
          <t>Facultad negocios gestión y sostenibilidad</t>
        </is>
      </c>
      <c r="I3339" t="n">
        <v>100</v>
      </c>
      <c r="J3339" t="n">
        <v>96.83999633789062</v>
      </c>
      <c r="CL3339" t="n">
        <v>92</v>
      </c>
      <c r="CM3339" t="n">
        <v>95</v>
      </c>
    </row>
    <row r="3340">
      <c r="A3340" t="n">
        <v>418</v>
      </c>
      <c r="B3340" t="inlineStr">
        <is>
          <t>Cumplimiento Plan Anual Vicerrectoría Académica</t>
        </is>
      </c>
      <c r="C3340" t="inlineStr">
        <is>
          <t>Planeación Estratégica</t>
        </is>
      </c>
      <c r="D3340" t="inlineStr">
        <is>
          <t>Semestral</t>
        </is>
      </c>
      <c r="E3340" t="inlineStr">
        <is>
          <t>Positivo</t>
        </is>
      </c>
      <c r="F3340" s="105" t="n">
        <v>45930</v>
      </c>
      <c r="G3340" t="inlineStr">
        <is>
          <t>418-2025-09-30</t>
        </is>
      </c>
      <c r="H3340" t="inlineStr">
        <is>
          <t>Facultad sociedad cultura y creatividad</t>
        </is>
      </c>
      <c r="I3340" t="n">
        <v>100</v>
      </c>
      <c r="J3340" t="n">
        <v>101.0299987792969</v>
      </c>
      <c r="CL3340" t="n">
        <v>98</v>
      </c>
      <c r="CM3340" t="n">
        <v>97</v>
      </c>
    </row>
    <row r="3341">
      <c r="A3341" t="n">
        <v>420</v>
      </c>
      <c r="B3341" t="inlineStr">
        <is>
          <t>Cumplimiento Plan Anual Gerencia de estrategia</t>
        </is>
      </c>
      <c r="C3341" t="inlineStr">
        <is>
          <t>Planeación Estratégica</t>
        </is>
      </c>
      <c r="D3341" t="inlineStr">
        <is>
          <t>Semestral</t>
        </is>
      </c>
      <c r="E3341" t="inlineStr">
        <is>
          <t>Positivo</t>
        </is>
      </c>
      <c r="F3341" s="105" t="n">
        <v>45930</v>
      </c>
      <c r="G3341" t="inlineStr">
        <is>
          <t>420-2025-09-30</t>
        </is>
      </c>
      <c r="H3341" t="inlineStr">
        <is>
          <t>SGA</t>
        </is>
      </c>
      <c r="I3341" t="n">
        <v>100</v>
      </c>
      <c r="J3341" t="n">
        <v>127.2699966430664</v>
      </c>
      <c r="CN3341" t="n">
        <v>84</v>
      </c>
      <c r="CO3341" t="n">
        <v>66</v>
      </c>
    </row>
    <row r="3342">
      <c r="A3342" t="n">
        <v>420</v>
      </c>
      <c r="B3342" t="inlineStr">
        <is>
          <t>Cumplimiento Plan Anual Gerencia de estrategia</t>
        </is>
      </c>
      <c r="C3342" t="inlineStr">
        <is>
          <t>Planeación Estratégica</t>
        </is>
      </c>
      <c r="D3342" t="inlineStr">
        <is>
          <t>Semestral</t>
        </is>
      </c>
      <c r="E3342" t="inlineStr">
        <is>
          <t>Positivo</t>
        </is>
      </c>
      <c r="F3342" s="105" t="n">
        <v>45930</v>
      </c>
      <c r="G3342" t="inlineStr">
        <is>
          <t>420-2025-09-30</t>
        </is>
      </c>
      <c r="H3342" t="inlineStr">
        <is>
          <t>Riesgos</t>
        </is>
      </c>
      <c r="I3342" t="n">
        <v>100</v>
      </c>
      <c r="J3342" t="n">
        <v>97.83000183105469</v>
      </c>
      <c r="CN3342" t="n">
        <v>90</v>
      </c>
      <c r="CO3342" t="n">
        <v>92</v>
      </c>
    </row>
    <row r="3343">
      <c r="A3343" t="n">
        <v>420</v>
      </c>
      <c r="B3343" t="inlineStr">
        <is>
          <t>Cumplimiento Plan Anual Gerencia de estrategia</t>
        </is>
      </c>
      <c r="C3343" t="inlineStr">
        <is>
          <t>Planeación Estratégica</t>
        </is>
      </c>
      <c r="D3343" t="inlineStr">
        <is>
          <t>Semestral</t>
        </is>
      </c>
      <c r="E3343" t="inlineStr">
        <is>
          <t>Positivo</t>
        </is>
      </c>
      <c r="F3343" s="105" t="n">
        <v>45930</v>
      </c>
      <c r="G3343" t="inlineStr">
        <is>
          <t>420-2025-09-30</t>
        </is>
      </c>
      <c r="H3343" t="inlineStr">
        <is>
          <t>Auditoría</t>
        </is>
      </c>
      <c r="I3343" t="n">
        <v>100</v>
      </c>
      <c r="J3343" t="n">
        <v>84.87999725341797</v>
      </c>
      <c r="CN3343" t="n">
        <v>73</v>
      </c>
      <c r="CO3343" t="n">
        <v>86</v>
      </c>
    </row>
    <row r="3344">
      <c r="A3344" t="n">
        <v>420</v>
      </c>
      <c r="B3344" t="inlineStr">
        <is>
          <t>Cumplimiento Plan Anual Gerencia de estrategia</t>
        </is>
      </c>
      <c r="C3344" t="inlineStr">
        <is>
          <t>Planeación Estratégica</t>
        </is>
      </c>
      <c r="D3344" t="inlineStr">
        <is>
          <t>Semestral</t>
        </is>
      </c>
      <c r="E3344" t="inlineStr">
        <is>
          <t>Positivo</t>
        </is>
      </c>
      <c r="F3344" s="105" t="n">
        <v>45930</v>
      </c>
      <c r="G3344" t="inlineStr">
        <is>
          <t>420-2025-09-30</t>
        </is>
      </c>
      <c r="H3344" t="inlineStr">
        <is>
          <t>Planeación estratégica</t>
        </is>
      </c>
      <c r="I3344" t="n">
        <v>100</v>
      </c>
      <c r="J3344" t="n">
        <v>95.79000091552734</v>
      </c>
      <c r="CN3344" t="n">
        <v>91</v>
      </c>
      <c r="CO3344" t="n">
        <v>95</v>
      </c>
    </row>
    <row r="3345">
      <c r="A3345" t="n">
        <v>420</v>
      </c>
      <c r="B3345" t="inlineStr">
        <is>
          <t>Cumplimiento Plan Anual Gerencia de estrategia</t>
        </is>
      </c>
      <c r="C3345" t="inlineStr">
        <is>
          <t>Planeación Estratégica</t>
        </is>
      </c>
      <c r="D3345" t="inlineStr">
        <is>
          <t>Semestral</t>
        </is>
      </c>
      <c r="E3345" t="inlineStr">
        <is>
          <t>Positivo</t>
        </is>
      </c>
      <c r="F3345" s="105" t="n">
        <v>45930</v>
      </c>
      <c r="G3345" t="inlineStr">
        <is>
          <t>420-2025-09-30</t>
        </is>
      </c>
      <c r="H3345" t="inlineStr">
        <is>
          <t>Estudios Internos</t>
        </is>
      </c>
      <c r="I3345" t="n">
        <v>100</v>
      </c>
      <c r="J3345" t="n">
        <v>100</v>
      </c>
      <c r="CN3345" t="n">
        <v>98</v>
      </c>
      <c r="CO3345" t="n">
        <v>98</v>
      </c>
    </row>
    <row r="3346">
      <c r="A3346" t="n">
        <v>420</v>
      </c>
      <c r="B3346" t="inlineStr">
        <is>
          <t>Cumplimiento Plan Anual Gerencia de estrategia</t>
        </is>
      </c>
      <c r="C3346" t="inlineStr">
        <is>
          <t>Planeación Estratégica</t>
        </is>
      </c>
      <c r="D3346" t="inlineStr">
        <is>
          <t>Semestral</t>
        </is>
      </c>
      <c r="E3346" t="inlineStr">
        <is>
          <t>Positivo</t>
        </is>
      </c>
      <c r="F3346" s="105" t="n">
        <v>45930</v>
      </c>
      <c r="G3346" t="inlineStr">
        <is>
          <t>420-2025-09-30</t>
        </is>
      </c>
      <c r="H3346" t="inlineStr">
        <is>
          <t>SGC</t>
        </is>
      </c>
      <c r="I3346" t="n">
        <v>100</v>
      </c>
      <c r="J3346" t="n">
        <v>96</v>
      </c>
      <c r="CN3346" t="n">
        <v>72</v>
      </c>
      <c r="CO3346" t="n">
        <v>75</v>
      </c>
    </row>
    <row r="3347">
      <c r="A3347" t="n">
        <v>432</v>
      </c>
      <c r="B3347" t="inlineStr">
        <is>
          <t>Intervención a la gestión del riesgo de los colaboradores</t>
        </is>
      </c>
      <c r="C3347" t="inlineStr">
        <is>
          <t>GESTIÓN DE SEGURIDAD Y SALUD EN EL TRABAJO</t>
        </is>
      </c>
      <c r="D3347" t="inlineStr">
        <is>
          <t>Semestral</t>
        </is>
      </c>
      <c r="E3347" t="inlineStr">
        <is>
          <t>Positivo</t>
        </is>
      </c>
      <c r="F3347" s="105" t="n">
        <v>45930</v>
      </c>
      <c r="G3347" t="inlineStr">
        <is>
          <t>432-2025-09-30</t>
        </is>
      </c>
      <c r="H3347" t="inlineStr">
        <is>
          <t>Plan estratégico de seguridad vial</t>
        </is>
      </c>
      <c r="I3347" t="n">
        <v>90</v>
      </c>
      <c r="J3347" t="n">
        <v>100</v>
      </c>
      <c r="CS3347" t="n">
        <v>10</v>
      </c>
      <c r="CT3347" t="n">
        <v>10</v>
      </c>
    </row>
    <row r="3348">
      <c r="A3348" t="n">
        <v>432</v>
      </c>
      <c r="B3348" t="inlineStr">
        <is>
          <t>Intervención a la gestión del riesgo de los colaboradores</t>
        </is>
      </c>
      <c r="C3348" t="inlineStr">
        <is>
          <t>GESTIÓN DE SEGURIDAD Y SALUD EN EL TRABAJO</t>
        </is>
      </c>
      <c r="D3348" t="inlineStr">
        <is>
          <t>Semestral</t>
        </is>
      </c>
      <c r="E3348" t="inlineStr">
        <is>
          <t>Positivo</t>
        </is>
      </c>
      <c r="F3348" s="105" t="n">
        <v>45930</v>
      </c>
      <c r="G3348" t="inlineStr">
        <is>
          <t>432-2025-09-30</t>
        </is>
      </c>
      <c r="H3348" t="inlineStr">
        <is>
          <t>Plan de gestión de riesgo psicosocial</t>
        </is>
      </c>
      <c r="I3348" t="n">
        <v>90</v>
      </c>
      <c r="J3348" t="n">
        <v>100</v>
      </c>
      <c r="CS3348" t="n">
        <v>13</v>
      </c>
      <c r="CT3348" t="n">
        <v>13</v>
      </c>
    </row>
    <row r="3349">
      <c r="A3349" t="n">
        <v>432</v>
      </c>
      <c r="B3349" t="inlineStr">
        <is>
          <t>Intervención a la gestión del riesgo de los colaboradores</t>
        </is>
      </c>
      <c r="C3349" t="inlineStr">
        <is>
          <t>GESTIÓN DE SEGURIDAD Y SALUD EN EL TRABAJO</t>
        </is>
      </c>
      <c r="D3349" t="inlineStr">
        <is>
          <t>Semestral</t>
        </is>
      </c>
      <c r="E3349" t="inlineStr">
        <is>
          <t>Positivo</t>
        </is>
      </c>
      <c r="F3349" s="105" t="n">
        <v>45930</v>
      </c>
      <c r="G3349" t="inlineStr">
        <is>
          <t>432-2025-09-30</t>
        </is>
      </c>
      <c r="H3349" t="inlineStr">
        <is>
          <t>Plan de gestión osteomuscular</t>
        </is>
      </c>
      <c r="I3349" t="n">
        <v>90</v>
      </c>
      <c r="J3349" t="n">
        <v>100</v>
      </c>
      <c r="CS3349" t="n">
        <v>9</v>
      </c>
      <c r="CT3349" t="n">
        <v>9</v>
      </c>
    </row>
    <row r="3350">
      <c r="A3350" t="n">
        <v>432</v>
      </c>
      <c r="B3350" t="inlineStr">
        <is>
          <t>Intervención a la gestión del riesgo de los colaboradores</t>
        </is>
      </c>
      <c r="C3350" t="inlineStr">
        <is>
          <t>GESTIÓN DE SEGURIDAD Y SALUD EN EL TRABAJO</t>
        </is>
      </c>
      <c r="D3350" t="inlineStr">
        <is>
          <t>Semestral</t>
        </is>
      </c>
      <c r="E3350" t="inlineStr">
        <is>
          <t>Positivo</t>
        </is>
      </c>
      <c r="F3350" s="105" t="n">
        <v>45930</v>
      </c>
      <c r="G3350" t="inlineStr">
        <is>
          <t>432-2025-09-30</t>
        </is>
      </c>
      <c r="H3350" t="inlineStr">
        <is>
          <t>Plan de gestión de riesgo químico</t>
        </is>
      </c>
      <c r="I3350" t="n">
        <v>90</v>
      </c>
      <c r="J3350" t="n">
        <v>100</v>
      </c>
      <c r="CS3350" t="n">
        <v>18</v>
      </c>
      <c r="CT3350" t="n">
        <v>18</v>
      </c>
    </row>
    <row r="3351">
      <c r="A3351" t="n">
        <v>432</v>
      </c>
      <c r="B3351" t="inlineStr">
        <is>
          <t>Intervención a la gestión del riesgo de los colaboradores</t>
        </is>
      </c>
      <c r="C3351" t="inlineStr">
        <is>
          <t>GESTIÓN DE SEGURIDAD Y SALUD EN EL TRABAJO</t>
        </is>
      </c>
      <c r="D3351" t="inlineStr">
        <is>
          <t>Semestral</t>
        </is>
      </c>
      <c r="E3351" t="inlineStr">
        <is>
          <t>Positivo</t>
        </is>
      </c>
      <c r="F3351" s="105" t="n">
        <v>45930</v>
      </c>
      <c r="G3351" t="inlineStr">
        <is>
          <t>432-2025-09-30</t>
        </is>
      </c>
      <c r="H3351" t="inlineStr">
        <is>
          <t>Plan de de gestión conservación de la voz</t>
        </is>
      </c>
      <c r="I3351" t="n">
        <v>90</v>
      </c>
      <c r="J3351" t="n">
        <v>100</v>
      </c>
      <c r="CS3351" t="n">
        <v>2</v>
      </c>
      <c r="CT3351" t="n">
        <v>2</v>
      </c>
    </row>
    <row r="3352">
      <c r="A3352" t="n">
        <v>432</v>
      </c>
      <c r="B3352" t="inlineStr">
        <is>
          <t>Intervención a la gestión del riesgo de los colaboradores</t>
        </is>
      </c>
      <c r="C3352" t="inlineStr">
        <is>
          <t>GESTIÓN DE SEGURIDAD Y SALUD EN EL TRABAJO</t>
        </is>
      </c>
      <c r="D3352" t="inlineStr">
        <is>
          <t>Semestral</t>
        </is>
      </c>
      <c r="E3352" t="inlineStr">
        <is>
          <t>Positivo</t>
        </is>
      </c>
      <c r="F3352" s="105" t="n">
        <v>45930</v>
      </c>
      <c r="G3352" t="inlineStr">
        <is>
          <t>432-2025-09-30</t>
        </is>
      </c>
      <c r="H3352" t="inlineStr">
        <is>
          <t>Plan de gestión riesgo biológico</t>
        </is>
      </c>
      <c r="I3352" t="n">
        <v>90</v>
      </c>
      <c r="J3352" t="n">
        <v>100</v>
      </c>
      <c r="CS3352" t="n">
        <v>5</v>
      </c>
      <c r="CT3352" t="n">
        <v>5</v>
      </c>
    </row>
    <row r="3353">
      <c r="A3353" t="n">
        <v>432</v>
      </c>
      <c r="B3353" t="inlineStr">
        <is>
          <t>Intervención a la gestión del riesgo de los colaboradores</t>
        </is>
      </c>
      <c r="C3353" t="inlineStr">
        <is>
          <t>GESTIÓN DE SEGURIDAD Y SALUD EN EL TRABAJO</t>
        </is>
      </c>
      <c r="D3353" t="inlineStr">
        <is>
          <t>Semestral</t>
        </is>
      </c>
      <c r="E3353" t="inlineStr">
        <is>
          <t>Positivo</t>
        </is>
      </c>
      <c r="F3353" s="105" t="n">
        <v>45930</v>
      </c>
      <c r="G3353" t="inlineStr">
        <is>
          <t>432-2025-09-30</t>
        </is>
      </c>
      <c r="H3353" t="inlineStr">
        <is>
          <t>Plan de gestión Teletrabajadores</t>
        </is>
      </c>
      <c r="I3353" t="n">
        <v>90</v>
      </c>
      <c r="J3353" t="n">
        <v>100</v>
      </c>
      <c r="CS3353" t="n">
        <v>9</v>
      </c>
      <c r="CT3353" t="n">
        <v>9</v>
      </c>
    </row>
    <row r="3354">
      <c r="A3354" t="n">
        <v>432</v>
      </c>
      <c r="B3354" t="inlineStr">
        <is>
          <t>Intervención a la gestión del riesgo de los colaboradores</t>
        </is>
      </c>
      <c r="C3354" t="inlineStr">
        <is>
          <t>GESTIÓN DE SEGURIDAD Y SALUD EN EL TRABAJO</t>
        </is>
      </c>
      <c r="D3354" t="inlineStr">
        <is>
          <t>Semestral</t>
        </is>
      </c>
      <c r="E3354" t="inlineStr">
        <is>
          <t>Positivo</t>
        </is>
      </c>
      <c r="F3354" s="105" t="n">
        <v>45930</v>
      </c>
      <c r="G3354" t="inlineStr">
        <is>
          <t>432-2025-09-30</t>
        </is>
      </c>
      <c r="H3354" t="inlineStr">
        <is>
          <t>Plan de gestión inspecciones de seguridad</t>
        </is>
      </c>
      <c r="I3354" t="n">
        <v>90</v>
      </c>
      <c r="J3354" t="n">
        <v>100</v>
      </c>
      <c r="CS3354" t="n">
        <v>20</v>
      </c>
      <c r="CT3354" t="n">
        <v>20</v>
      </c>
    </row>
    <row r="3355">
      <c r="A3355" t="n">
        <v>432</v>
      </c>
      <c r="B3355" t="inlineStr">
        <is>
          <t>Intervención a la gestión del riesgo de los colaboradores</t>
        </is>
      </c>
      <c r="C3355" t="inlineStr">
        <is>
          <t>GESTIÓN DE SEGURIDAD Y SALUD EN EL TRABAJO</t>
        </is>
      </c>
      <c r="D3355" t="inlineStr">
        <is>
          <t>Semestral</t>
        </is>
      </c>
      <c r="E3355" t="inlineStr">
        <is>
          <t>Positivo</t>
        </is>
      </c>
      <c r="F3355" s="105" t="n">
        <v>45930</v>
      </c>
      <c r="G3355" t="inlineStr">
        <is>
          <t>432-2025-09-30</t>
        </is>
      </c>
      <c r="H3355" t="inlineStr">
        <is>
          <t>Plan de gestión TAR</t>
        </is>
      </c>
      <c r="I3355" t="n">
        <v>90</v>
      </c>
      <c r="J3355" t="n">
        <v>100</v>
      </c>
      <c r="CS3355" t="n">
        <v>7</v>
      </c>
      <c r="CT3355" t="n">
        <v>7</v>
      </c>
    </row>
    <row r="3356">
      <c r="A3356" t="n">
        <v>456</v>
      </c>
      <c r="B3356" t="inlineStr">
        <is>
          <t>Impacto de campañas de Mailing</t>
        </is>
      </c>
      <c r="C3356" t="inlineStr">
        <is>
          <t>Comunicaciones Internas</t>
        </is>
      </c>
      <c r="D3356" t="inlineStr">
        <is>
          <t>Semestral</t>
        </is>
      </c>
      <c r="E3356" t="inlineStr">
        <is>
          <t>Positivo</t>
        </is>
      </c>
      <c r="F3356" s="105" t="n">
        <v>45930</v>
      </c>
      <c r="G3356" t="inlineStr">
        <is>
          <t>456-2025-09-30</t>
        </is>
      </c>
      <c r="H3356" t="inlineStr">
        <is>
          <t>Colaboradores</t>
        </is>
      </c>
      <c r="I3356" t="n">
        <v>100</v>
      </c>
      <c r="J3356" t="n">
        <v>116.6699981689453</v>
      </c>
      <c r="DY3356" t="n">
        <v>60</v>
      </c>
      <c r="DZ3356" t="n">
        <v>70</v>
      </c>
    </row>
    <row r="3357">
      <c r="A3357" t="n">
        <v>456</v>
      </c>
      <c r="B3357" t="inlineStr">
        <is>
          <t>Impacto de campañas de Mailing</t>
        </is>
      </c>
      <c r="C3357" t="inlineStr">
        <is>
          <t>Comunicaciones Internas</t>
        </is>
      </c>
      <c r="D3357" t="inlineStr">
        <is>
          <t>Semestral</t>
        </is>
      </c>
      <c r="E3357" t="inlineStr">
        <is>
          <t>Positivo</t>
        </is>
      </c>
      <c r="F3357" s="105" t="n">
        <v>45930</v>
      </c>
      <c r="G3357" t="inlineStr">
        <is>
          <t>456-2025-09-30</t>
        </is>
      </c>
      <c r="H3357" t="inlineStr">
        <is>
          <t>Estudiantes</t>
        </is>
      </c>
      <c r="I3357" t="n">
        <v>100</v>
      </c>
      <c r="J3357" t="n">
        <v>160</v>
      </c>
      <c r="DY3357" t="n">
        <v>20</v>
      </c>
      <c r="DZ3357" t="n">
        <v>32</v>
      </c>
    </row>
    <row r="3358">
      <c r="A3358" t="n">
        <v>456</v>
      </c>
      <c r="B3358" t="inlineStr">
        <is>
          <t>Impacto de campañas de Mailing</t>
        </is>
      </c>
      <c r="C3358" t="inlineStr">
        <is>
          <t>Comunicaciones Internas</t>
        </is>
      </c>
      <c r="D3358" t="inlineStr">
        <is>
          <t>Semestral</t>
        </is>
      </c>
      <c r="E3358" t="inlineStr">
        <is>
          <t>Positivo</t>
        </is>
      </c>
      <c r="F3358" s="105" t="n">
        <v>45930</v>
      </c>
      <c r="G3358" t="inlineStr">
        <is>
          <t>456-2025-09-30</t>
        </is>
      </c>
      <c r="H3358" t="inlineStr">
        <is>
          <t>Graduados</t>
        </is>
      </c>
      <c r="I3358" t="n">
        <v>100</v>
      </c>
      <c r="J3358" t="n">
        <v>100</v>
      </c>
      <c r="DY3358" t="n">
        <v>22</v>
      </c>
      <c r="DZ3358" t="n">
        <v>22</v>
      </c>
    </row>
    <row r="3359">
      <c r="A3359" t="n">
        <v>457</v>
      </c>
      <c r="B3359" t="inlineStr">
        <is>
          <t>Apertura de enlaces en mensajes de texto</t>
        </is>
      </c>
      <c r="C3359" t="inlineStr">
        <is>
          <t>Comunicaciones Internas</t>
        </is>
      </c>
      <c r="D3359" t="inlineStr">
        <is>
          <t>Semestral</t>
        </is>
      </c>
      <c r="E3359" t="inlineStr">
        <is>
          <t>Positivo</t>
        </is>
      </c>
      <c r="F3359" s="105" t="n">
        <v>45930</v>
      </c>
      <c r="G3359" t="inlineStr">
        <is>
          <t>457-2025-09-30</t>
        </is>
      </c>
      <c r="H3359" t="inlineStr">
        <is>
          <t>Colaboradores</t>
        </is>
      </c>
      <c r="I3359" t="n">
        <v>100</v>
      </c>
      <c r="J3359" t="n">
        <v>100</v>
      </c>
      <c r="EA3359" t="n">
        <v>2</v>
      </c>
      <c r="EB3359" t="n">
        <v>2</v>
      </c>
    </row>
    <row r="3360">
      <c r="A3360" t="n">
        <v>457</v>
      </c>
      <c r="B3360" t="inlineStr">
        <is>
          <t>Apertura de enlaces en mensajes de texto</t>
        </is>
      </c>
      <c r="C3360" t="inlineStr">
        <is>
          <t>Comunicaciones Internas</t>
        </is>
      </c>
      <c r="D3360" t="inlineStr">
        <is>
          <t>Semestral</t>
        </is>
      </c>
      <c r="E3360" t="inlineStr">
        <is>
          <t>Positivo</t>
        </is>
      </c>
      <c r="F3360" s="105" t="n">
        <v>45930</v>
      </c>
      <c r="G3360" t="inlineStr">
        <is>
          <t>457-2025-09-30</t>
        </is>
      </c>
      <c r="H3360" t="inlineStr">
        <is>
          <t>Estudiantes</t>
        </is>
      </c>
      <c r="I3360" t="n">
        <v>100</v>
      </c>
      <c r="J3360" t="n">
        <v>66.66999816894531</v>
      </c>
      <c r="EA3360" t="n">
        <v>3</v>
      </c>
      <c r="EB3360" t="n">
        <v>2</v>
      </c>
    </row>
    <row r="3361">
      <c r="A3361" t="n">
        <v>457</v>
      </c>
      <c r="B3361" t="inlineStr">
        <is>
          <t>Apertura de enlaces en mensajes de texto</t>
        </is>
      </c>
      <c r="C3361" t="inlineStr">
        <is>
          <t>Comunicaciones Internas</t>
        </is>
      </c>
      <c r="D3361" t="inlineStr">
        <is>
          <t>Semestral</t>
        </is>
      </c>
      <c r="E3361" t="inlineStr">
        <is>
          <t>Positivo</t>
        </is>
      </c>
      <c r="F3361" s="105" t="n">
        <v>45930</v>
      </c>
      <c r="G3361" t="inlineStr">
        <is>
          <t>457-2025-09-30</t>
        </is>
      </c>
      <c r="H3361" t="inlineStr">
        <is>
          <t>Graduados</t>
        </is>
      </c>
      <c r="I3361" t="n">
        <v>100</v>
      </c>
      <c r="J3361" t="n">
        <v>100</v>
      </c>
      <c r="EA3361" t="n">
        <v>2</v>
      </c>
      <c r="EB3361" t="n">
        <v>2</v>
      </c>
    </row>
    <row r="3362">
      <c r="A3362" t="n">
        <v>469</v>
      </c>
      <c r="B3362" t="inlineStr">
        <is>
          <t>Cumplimiento Plan Anual Áreas sede Medellín</t>
        </is>
      </c>
      <c r="C3362" t="inlineStr">
        <is>
          <t>Planeación Estratégica</t>
        </is>
      </c>
      <c r="D3362" t="inlineStr">
        <is>
          <t>Semestral</t>
        </is>
      </c>
      <c r="E3362" t="inlineStr">
        <is>
          <t>Positivo</t>
        </is>
      </c>
      <c r="F3362" s="105" t="n">
        <v>45930</v>
      </c>
      <c r="G3362" t="inlineStr">
        <is>
          <t>469-2025-09-30</t>
        </is>
      </c>
      <c r="H3362" t="inlineStr">
        <is>
          <t>FSCC- DERECHO Y GOBIERNO-DERECHO</t>
        </is>
      </c>
      <c r="I3362" t="n">
        <v>100</v>
      </c>
      <c r="J3362" t="n">
        <v>100</v>
      </c>
      <c r="DF3362" t="n">
        <v>89</v>
      </c>
      <c r="DG3362" t="n">
        <v>89</v>
      </c>
    </row>
    <row r="3363">
      <c r="A3363" t="n">
        <v>469</v>
      </c>
      <c r="B3363" t="inlineStr">
        <is>
          <t>Cumplimiento Plan Anual Áreas sede Medellín</t>
        </is>
      </c>
      <c r="C3363" t="inlineStr">
        <is>
          <t>Planeación Estratégica</t>
        </is>
      </c>
      <c r="D3363" t="inlineStr">
        <is>
          <t>Semestral</t>
        </is>
      </c>
      <c r="E3363" t="inlineStr">
        <is>
          <t>Positivo</t>
        </is>
      </c>
      <c r="F3363" s="105" t="n">
        <v>45930</v>
      </c>
      <c r="G3363" t="inlineStr">
        <is>
          <t>469-2025-09-30</t>
        </is>
      </c>
      <c r="H3363" t="inlineStr">
        <is>
          <t>FIDI-DISEÑO-DISEÑO GRAFICO</t>
        </is>
      </c>
      <c r="I3363" t="n">
        <v>100</v>
      </c>
      <c r="J3363" t="n">
        <v>0</v>
      </c>
      <c r="DF3363" t="n">
        <v>0</v>
      </c>
      <c r="DG3363" t="n">
        <v>0</v>
      </c>
    </row>
    <row r="3364">
      <c r="A3364" t="n">
        <v>469</v>
      </c>
      <c r="B3364" t="inlineStr">
        <is>
          <t>Cumplimiento Plan Anual Áreas sede Medellín</t>
        </is>
      </c>
      <c r="C3364" t="inlineStr">
        <is>
          <t>Planeación Estratégica</t>
        </is>
      </c>
      <c r="D3364" t="inlineStr">
        <is>
          <t>Semestral</t>
        </is>
      </c>
      <c r="E3364" t="inlineStr">
        <is>
          <t>Positivo</t>
        </is>
      </c>
      <c r="F3364" s="105" t="n">
        <v>45930</v>
      </c>
      <c r="G3364" t="inlineStr">
        <is>
          <t>469-2025-09-30</t>
        </is>
      </c>
      <c r="H3364" t="inlineStr">
        <is>
          <t>FIDI-TIC -INGENIERIA DE SISTEMAS</t>
        </is>
      </c>
      <c r="I3364" t="n">
        <v>100</v>
      </c>
      <c r="J3364" t="n">
        <v>96.38999938964844</v>
      </c>
      <c r="DF3364" t="n">
        <v>80</v>
      </c>
      <c r="DG3364" t="n">
        <v>83</v>
      </c>
    </row>
    <row r="3365">
      <c r="A3365" t="n">
        <v>469</v>
      </c>
      <c r="B3365" t="inlineStr">
        <is>
          <t>Cumplimiento Plan Anual Áreas sede Medellín</t>
        </is>
      </c>
      <c r="C3365" t="inlineStr">
        <is>
          <t>Planeación Estratégica</t>
        </is>
      </c>
      <c r="D3365" t="inlineStr">
        <is>
          <t>Semestral</t>
        </is>
      </c>
      <c r="E3365" t="inlineStr">
        <is>
          <t>Positivo</t>
        </is>
      </c>
      <c r="F3365" s="105" t="n">
        <v>45930</v>
      </c>
      <c r="G3365" t="inlineStr">
        <is>
          <t>469-2025-09-30</t>
        </is>
      </c>
      <c r="H3365" t="inlineStr">
        <is>
          <t>FIDI-OPINA-INGENIERIA INDUSTRIAL</t>
        </is>
      </c>
      <c r="I3365" t="n">
        <v>100</v>
      </c>
      <c r="J3365" t="n">
        <v>100</v>
      </c>
      <c r="DF3365" t="n">
        <v>86</v>
      </c>
      <c r="DG3365" t="n">
        <v>86</v>
      </c>
    </row>
    <row r="3366">
      <c r="A3366" t="n">
        <v>469</v>
      </c>
      <c r="B3366" t="inlineStr">
        <is>
          <t>Cumplimiento Plan Anual Áreas sede Medellín</t>
        </is>
      </c>
      <c r="C3366" t="inlineStr">
        <is>
          <t>Planeación Estratégica</t>
        </is>
      </c>
      <c r="D3366" t="inlineStr">
        <is>
          <t>Semestral</t>
        </is>
      </c>
      <c r="E3366" t="inlineStr">
        <is>
          <t>Positivo</t>
        </is>
      </c>
      <c r="F3366" s="105" t="n">
        <v>45930</v>
      </c>
      <c r="G3366" t="inlineStr">
        <is>
          <t>469-2025-09-30</t>
        </is>
      </c>
      <c r="H3366" t="inlineStr">
        <is>
          <t>FNGS-NEG Y DLLO INTER-NEGOCIOS INTERNACIONALES</t>
        </is>
      </c>
      <c r="I3366" t="n">
        <v>100</v>
      </c>
      <c r="J3366" t="n">
        <v>107.6900024414062</v>
      </c>
      <c r="DF3366" t="n">
        <v>98</v>
      </c>
      <c r="DG3366" t="n">
        <v>91</v>
      </c>
    </row>
    <row r="3367">
      <c r="A3367" t="n">
        <v>469</v>
      </c>
      <c r="B3367" t="inlineStr">
        <is>
          <t>Cumplimiento Plan Anual Áreas sede Medellín</t>
        </is>
      </c>
      <c r="C3367" t="inlineStr">
        <is>
          <t>Planeación Estratégica</t>
        </is>
      </c>
      <c r="D3367" t="inlineStr">
        <is>
          <t>Semestral</t>
        </is>
      </c>
      <c r="E3367" t="inlineStr">
        <is>
          <t>Positivo</t>
        </is>
      </c>
      <c r="F3367" s="105" t="n">
        <v>45930</v>
      </c>
      <c r="G3367" t="inlineStr">
        <is>
          <t>469-2025-09-30</t>
        </is>
      </c>
      <c r="H3367" t="inlineStr">
        <is>
          <t>FSCC- EST.PSIC,TH Y SOC- PSICOLOGIA</t>
        </is>
      </c>
      <c r="I3367" t="n">
        <v>100</v>
      </c>
      <c r="J3367" t="n">
        <v>100</v>
      </c>
      <c r="DF3367" t="n">
        <v>83</v>
      </c>
      <c r="DG3367" t="n">
        <v>83</v>
      </c>
    </row>
    <row r="3368">
      <c r="A3368" t="n">
        <v>469</v>
      </c>
      <c r="B3368" t="inlineStr">
        <is>
          <t>Cumplimiento Plan Anual Áreas sede Medellín</t>
        </is>
      </c>
      <c r="C3368" t="inlineStr">
        <is>
          <t>Planeación Estratégica</t>
        </is>
      </c>
      <c r="D3368" t="inlineStr">
        <is>
          <t>Semestral</t>
        </is>
      </c>
      <c r="E3368" t="inlineStr">
        <is>
          <t>Positivo</t>
        </is>
      </c>
      <c r="F3368" s="105" t="n">
        <v>45930</v>
      </c>
      <c r="G3368" t="inlineStr">
        <is>
          <t>469-2025-09-30</t>
        </is>
      </c>
      <c r="H3368" t="inlineStr">
        <is>
          <t>FIDI-CIENCIAS BÁSICAS MED</t>
        </is>
      </c>
      <c r="I3368" t="n">
        <v>100</v>
      </c>
      <c r="J3368" t="n">
        <v>87.63999938964844</v>
      </c>
      <c r="DF3368" t="n">
        <v>78</v>
      </c>
      <c r="DG3368" t="n">
        <v>89</v>
      </c>
    </row>
    <row r="3369">
      <c r="A3369" t="n">
        <v>469</v>
      </c>
      <c r="B3369" t="inlineStr">
        <is>
          <t>Cumplimiento Plan Anual Áreas sede Medellín</t>
        </is>
      </c>
      <c r="C3369" t="inlineStr">
        <is>
          <t>Planeación Estratégica</t>
        </is>
      </c>
      <c r="D3369" t="inlineStr">
        <is>
          <t>Semestral</t>
        </is>
      </c>
      <c r="E3369" t="inlineStr">
        <is>
          <t>Positivo</t>
        </is>
      </c>
      <c r="F3369" s="105" t="n">
        <v>45930</v>
      </c>
      <c r="G3369" t="inlineStr">
        <is>
          <t>469-2025-09-30</t>
        </is>
      </c>
      <c r="H3369" t="inlineStr">
        <is>
          <t>FSCC - MARKETING MED</t>
        </is>
      </c>
      <c r="I3369" t="n">
        <v>100</v>
      </c>
      <c r="J3369" t="n">
        <v>84.26999664306641</v>
      </c>
      <c r="DF3369" t="n">
        <v>75</v>
      </c>
      <c r="DG3369" t="n">
        <v>89</v>
      </c>
    </row>
    <row r="3370">
      <c r="A3370" t="n">
        <v>469</v>
      </c>
      <c r="B3370" t="inlineStr">
        <is>
          <t>Cumplimiento Plan Anual Áreas sede Medellín</t>
        </is>
      </c>
      <c r="C3370" t="inlineStr">
        <is>
          <t>Planeación Estratégica</t>
        </is>
      </c>
      <c r="D3370" t="inlineStr">
        <is>
          <t>Semestral</t>
        </is>
      </c>
      <c r="E3370" t="inlineStr">
        <is>
          <t>Positivo</t>
        </is>
      </c>
      <c r="F3370" s="105" t="n">
        <v>45930</v>
      </c>
      <c r="G3370" t="inlineStr">
        <is>
          <t>469-2025-09-30</t>
        </is>
      </c>
      <c r="H3370" t="inlineStr">
        <is>
          <t>ADMON DE EMPRESAS</t>
        </is>
      </c>
      <c r="I3370" t="n">
        <v>100</v>
      </c>
      <c r="J3370" t="n">
        <v>65.22000122070312</v>
      </c>
      <c r="DF3370" t="n">
        <v>60</v>
      </c>
      <c r="DG3370" t="n">
        <v>92</v>
      </c>
    </row>
    <row r="3371">
      <c r="A3371" t="n">
        <v>470</v>
      </c>
      <c r="B3371" t="inlineStr">
        <is>
          <t>Cumplimiento plan anual Secretaria académica y de extensión</t>
        </is>
      </c>
      <c r="C3371" t="inlineStr">
        <is>
          <t>Planeación Estratégica</t>
        </is>
      </c>
      <c r="D3371" t="inlineStr">
        <is>
          <t>Semestral</t>
        </is>
      </c>
      <c r="E3371" t="inlineStr">
        <is>
          <t>Positivo</t>
        </is>
      </c>
      <c r="F3371" s="105" t="n">
        <v>45930</v>
      </c>
      <c r="G3371" t="inlineStr">
        <is>
          <t>470-2025-09-30</t>
        </is>
      </c>
      <c r="H3371" t="inlineStr">
        <is>
          <t>DIRECTOR SISTEMA NACIONAL DE BIBLIOTECAS</t>
        </is>
      </c>
      <c r="I3371" t="n">
        <v>100</v>
      </c>
      <c r="J3371" t="n">
        <v>100</v>
      </c>
      <c r="DH3371" t="n">
        <v>87</v>
      </c>
      <c r="DI3371" t="n">
        <v>87</v>
      </c>
    </row>
    <row r="3372">
      <c r="A3372" t="n">
        <v>470</v>
      </c>
      <c r="B3372" t="inlineStr">
        <is>
          <t>Cumplimiento plan anual Secretaria académica y de extensión</t>
        </is>
      </c>
      <c r="C3372" t="inlineStr">
        <is>
          <t>Planeación Estratégica</t>
        </is>
      </c>
      <c r="D3372" t="inlineStr">
        <is>
          <t>Semestral</t>
        </is>
      </c>
      <c r="E3372" t="inlineStr">
        <is>
          <t>Positivo</t>
        </is>
      </c>
      <c r="F3372" s="105" t="n">
        <v>45930</v>
      </c>
      <c r="G3372" t="inlineStr">
        <is>
          <t>470-2025-09-30</t>
        </is>
      </c>
      <c r="H3372" t="inlineStr">
        <is>
          <t>DIRECTOR CENTRO MEDIOS AUDIOVISUALES</t>
        </is>
      </c>
      <c r="I3372" t="n">
        <v>100</v>
      </c>
      <c r="J3372" t="n">
        <v>106.379997253418</v>
      </c>
      <c r="DH3372" t="n">
        <v>100</v>
      </c>
      <c r="DI3372" t="n">
        <v>94</v>
      </c>
    </row>
    <row r="3373">
      <c r="A3373" t="n">
        <v>470</v>
      </c>
      <c r="B3373" t="inlineStr">
        <is>
          <t>Cumplimiento plan anual Secretaria académica y de extensión</t>
        </is>
      </c>
      <c r="C3373" t="inlineStr">
        <is>
          <t>Planeación Estratégica</t>
        </is>
      </c>
      <c r="D3373" t="inlineStr">
        <is>
          <t>Semestral</t>
        </is>
      </c>
      <c r="E3373" t="inlineStr">
        <is>
          <t>Positivo</t>
        </is>
      </c>
      <c r="F3373" s="105" t="n">
        <v>45930</v>
      </c>
      <c r="G3373" t="inlineStr">
        <is>
          <t>470-2025-09-30</t>
        </is>
      </c>
      <c r="H3373" t="inlineStr">
        <is>
          <t>DIRECTOR AGENCIA TROMPO</t>
        </is>
      </c>
      <c r="I3373" t="n">
        <v>100</v>
      </c>
      <c r="J3373" t="n">
        <v>103.0899963378906</v>
      </c>
      <c r="DH3373" t="n">
        <v>100</v>
      </c>
      <c r="DI3373" t="n">
        <v>97</v>
      </c>
    </row>
    <row r="3374">
      <c r="A3374" t="n">
        <v>470</v>
      </c>
      <c r="B3374" t="inlineStr">
        <is>
          <t>Cumplimiento plan anual Secretaria académica y de extensión</t>
        </is>
      </c>
      <c r="C3374" t="inlineStr">
        <is>
          <t>Planeación Estratégica</t>
        </is>
      </c>
      <c r="D3374" t="inlineStr">
        <is>
          <t>Semestral</t>
        </is>
      </c>
      <c r="E3374" t="inlineStr">
        <is>
          <t>Positivo</t>
        </is>
      </c>
      <c r="F3374" s="105" t="n">
        <v>45930</v>
      </c>
      <c r="G3374" t="inlineStr">
        <is>
          <t>470-2025-09-30</t>
        </is>
      </c>
      <c r="H3374" t="inlineStr">
        <is>
          <t>DIRECTOR DE GRADUADOS Y PROYECCION EMP.</t>
        </is>
      </c>
      <c r="I3374" t="n">
        <v>100</v>
      </c>
      <c r="J3374" t="n">
        <v>103.2300033569336</v>
      </c>
      <c r="DH3374" t="n">
        <v>96</v>
      </c>
      <c r="DI3374" t="n">
        <v>93</v>
      </c>
    </row>
    <row r="3375">
      <c r="A3375" t="n">
        <v>470</v>
      </c>
      <c r="B3375" t="inlineStr">
        <is>
          <t>Cumplimiento plan anual Secretaria académica y de extensión</t>
        </is>
      </c>
      <c r="C3375" t="inlineStr">
        <is>
          <t>Planeación Estratégica</t>
        </is>
      </c>
      <c r="D3375" t="inlineStr">
        <is>
          <t>Semestral</t>
        </is>
      </c>
      <c r="E3375" t="inlineStr">
        <is>
          <t>Positivo</t>
        </is>
      </c>
      <c r="F3375" s="105" t="n">
        <v>45930</v>
      </c>
      <c r="G3375" t="inlineStr">
        <is>
          <t>470-2025-09-30</t>
        </is>
      </c>
      <c r="H3375" t="inlineStr">
        <is>
          <t>DIRECTOR EDITORIAL</t>
        </is>
      </c>
      <c r="I3375" t="n">
        <v>100</v>
      </c>
      <c r="J3375" t="n">
        <v>115.2900009155273</v>
      </c>
      <c r="DH3375" t="n">
        <v>98</v>
      </c>
      <c r="DI3375" t="n">
        <v>85</v>
      </c>
    </row>
    <row r="3376">
      <c r="A3376" t="n">
        <v>471</v>
      </c>
      <c r="B3376" t="inlineStr">
        <is>
          <t>Cumplimiento plan anual Gerencia de Talento Humano</t>
        </is>
      </c>
      <c r="C3376" t="inlineStr">
        <is>
          <t>Planeación Estratégica</t>
        </is>
      </c>
      <c r="D3376" t="inlineStr">
        <is>
          <t>Semestral</t>
        </is>
      </c>
      <c r="E3376" t="inlineStr">
        <is>
          <t>Positivo</t>
        </is>
      </c>
      <c r="F3376" s="105" t="n">
        <v>45930</v>
      </c>
      <c r="G3376" t="inlineStr">
        <is>
          <t>471-2025-09-30</t>
        </is>
      </c>
      <c r="H3376" t="inlineStr">
        <is>
          <t>DIRECTOR DE BIENESTAR Y RELAC. LABORALES</t>
        </is>
      </c>
      <c r="I3376" t="n">
        <v>100</v>
      </c>
      <c r="J3376" t="n">
        <v>93.55000305175781</v>
      </c>
      <c r="DJ3376" t="n">
        <v>87</v>
      </c>
      <c r="DK3376" t="n">
        <v>93</v>
      </c>
    </row>
    <row r="3377">
      <c r="A3377" t="n">
        <v>471</v>
      </c>
      <c r="B3377" t="inlineStr">
        <is>
          <t>Cumplimiento plan anual Gerencia de Talento Humano</t>
        </is>
      </c>
      <c r="C3377" t="inlineStr">
        <is>
          <t>Planeación Estratégica</t>
        </is>
      </c>
      <c r="D3377" t="inlineStr">
        <is>
          <t>Semestral</t>
        </is>
      </c>
      <c r="E3377" t="inlineStr">
        <is>
          <t>Positivo</t>
        </is>
      </c>
      <c r="F3377" s="105" t="n">
        <v>45930</v>
      </c>
      <c r="G3377" t="inlineStr">
        <is>
          <t>471-2025-09-30</t>
        </is>
      </c>
      <c r="H3377" t="inlineStr">
        <is>
          <t>DIRECTOR DE FORMACION Y DESARROLLO</t>
        </is>
      </c>
      <c r="I3377" t="n">
        <v>100</v>
      </c>
      <c r="J3377" t="n">
        <v>106.5899963378906</v>
      </c>
      <c r="DJ3377" t="n">
        <v>97</v>
      </c>
      <c r="DK3377" t="n">
        <v>91</v>
      </c>
    </row>
    <row r="3378">
      <c r="A3378" t="n">
        <v>471</v>
      </c>
      <c r="B3378" t="inlineStr">
        <is>
          <t>Cumplimiento plan anual Gerencia de Talento Humano</t>
        </is>
      </c>
      <c r="C3378" t="inlineStr">
        <is>
          <t>Planeación Estratégica</t>
        </is>
      </c>
      <c r="D3378" t="inlineStr">
        <is>
          <t>Semestral</t>
        </is>
      </c>
      <c r="E3378" t="inlineStr">
        <is>
          <t>Positivo</t>
        </is>
      </c>
      <c r="F3378" s="105" t="n">
        <v>45930</v>
      </c>
      <c r="G3378" t="inlineStr">
        <is>
          <t>471-2025-09-30</t>
        </is>
      </c>
      <c r="H3378" t="inlineStr">
        <is>
          <t>DIRECTOR DE RELACIONES PUBLICAS Y PROTOC</t>
        </is>
      </c>
      <c r="I3378" t="n">
        <v>100</v>
      </c>
      <c r="J3378" t="n">
        <v>102.129997253418</v>
      </c>
      <c r="DJ3378" t="n">
        <v>96</v>
      </c>
      <c r="DK3378" t="n">
        <v>94</v>
      </c>
    </row>
    <row r="3379">
      <c r="A3379" t="n">
        <v>471</v>
      </c>
      <c r="B3379" t="inlineStr">
        <is>
          <t>Cumplimiento plan anual Gerencia de Talento Humano</t>
        </is>
      </c>
      <c r="C3379" t="inlineStr">
        <is>
          <t>Planeación Estratégica</t>
        </is>
      </c>
      <c r="D3379" t="inlineStr">
        <is>
          <t>Semestral</t>
        </is>
      </c>
      <c r="E3379" t="inlineStr">
        <is>
          <t>Positivo</t>
        </is>
      </c>
      <c r="F3379" s="105" t="n">
        <v>45930</v>
      </c>
      <c r="G3379" t="inlineStr">
        <is>
          <t>471-2025-09-30</t>
        </is>
      </c>
      <c r="H3379" t="inlineStr">
        <is>
          <t>DIRECTOR DE COMUNICACIONES</t>
        </is>
      </c>
      <c r="I3379" t="n">
        <v>100</v>
      </c>
      <c r="J3379" t="n">
        <v>73.68000030517578</v>
      </c>
      <c r="DJ3379" t="n">
        <v>70</v>
      </c>
      <c r="DK3379" t="n">
        <v>95</v>
      </c>
    </row>
    <row r="3380">
      <c r="A3380" t="n">
        <v>471</v>
      </c>
      <c r="B3380" t="inlineStr">
        <is>
          <t>Cumplimiento plan anual Gerencia de Talento Humano</t>
        </is>
      </c>
      <c r="C3380" t="inlineStr">
        <is>
          <t>Planeación Estratégica</t>
        </is>
      </c>
      <c r="D3380" t="inlineStr">
        <is>
          <t>Semestral</t>
        </is>
      </c>
      <c r="E3380" t="inlineStr">
        <is>
          <t>Positivo</t>
        </is>
      </c>
      <c r="F3380" s="105" t="n">
        <v>45930</v>
      </c>
      <c r="G3380" t="inlineStr">
        <is>
          <t>471-2025-09-30</t>
        </is>
      </c>
      <c r="H3380" t="inlineStr">
        <is>
          <t>DIRECTOR DE ADMON LABORAL Y COMPENSACION</t>
        </is>
      </c>
      <c r="I3380" t="n">
        <v>100</v>
      </c>
      <c r="J3380" t="n">
        <v>113.9499969482422</v>
      </c>
      <c r="DJ3380" t="n">
        <v>98</v>
      </c>
      <c r="DK3380" t="n">
        <v>86</v>
      </c>
    </row>
    <row r="3381">
      <c r="A3381" t="n">
        <v>471</v>
      </c>
      <c r="B3381" t="inlineStr">
        <is>
          <t>Cumplimiento plan anual Gerencia de Talento Humano</t>
        </is>
      </c>
      <c r="C3381" t="inlineStr">
        <is>
          <t>Planeación Estratégica</t>
        </is>
      </c>
      <c r="D3381" t="inlineStr">
        <is>
          <t>Semestral</t>
        </is>
      </c>
      <c r="E3381" t="inlineStr">
        <is>
          <t>Positivo</t>
        </is>
      </c>
      <c r="F3381" s="105" t="n">
        <v>45930</v>
      </c>
      <c r="G3381" t="inlineStr">
        <is>
          <t>471-2025-09-30</t>
        </is>
      </c>
      <c r="H3381" t="inlineStr">
        <is>
          <t>DIRECTOR DE GESTION DE TALENTO</t>
        </is>
      </c>
      <c r="I3381" t="n">
        <v>100</v>
      </c>
      <c r="J3381" t="n">
        <v>82.11000061035156</v>
      </c>
      <c r="DJ3381" t="n">
        <v>78</v>
      </c>
      <c r="DK3381" t="n">
        <v>95</v>
      </c>
    </row>
    <row r="3382">
      <c r="A3382" t="n">
        <v>471</v>
      </c>
      <c r="B3382" t="inlineStr">
        <is>
          <t>Cumplimiento plan anual Gerencia de Talento Humano</t>
        </is>
      </c>
      <c r="C3382" t="inlineStr">
        <is>
          <t>Planeación Estratégica</t>
        </is>
      </c>
      <c r="D3382" t="inlineStr">
        <is>
          <t>Semestral</t>
        </is>
      </c>
      <c r="E3382" t="inlineStr">
        <is>
          <t>Positivo</t>
        </is>
      </c>
      <c r="F3382" s="105" t="n">
        <v>45930</v>
      </c>
      <c r="G3382" t="inlineStr">
        <is>
          <t>471-2025-09-30</t>
        </is>
      </c>
      <c r="H3382" t="inlineStr">
        <is>
          <t>DIRECTOR DE COMUN. EXTERNAS SED MEDELLIN</t>
        </is>
      </c>
      <c r="I3382" t="n">
        <v>100</v>
      </c>
      <c r="J3382" t="n">
        <v>120.4800033569336</v>
      </c>
      <c r="DJ3382" t="n">
        <v>100</v>
      </c>
      <c r="DK3382" t="n">
        <v>83</v>
      </c>
    </row>
    <row r="3383">
      <c r="A3383" t="n">
        <v>510</v>
      </c>
      <c r="B3383" t="inlineStr">
        <is>
          <t>Frecuencia de incidentes de riesgos</t>
        </is>
      </c>
      <c r="C3383" t="inlineStr">
        <is>
          <t>GESTIÓN DE RIESGOS</t>
        </is>
      </c>
      <c r="D3383" t="inlineStr">
        <is>
          <t>Semestral</t>
        </is>
      </c>
      <c r="E3383" t="inlineStr">
        <is>
          <t>Positivo</t>
        </is>
      </c>
      <c r="F3383" s="105" t="n">
        <v>45930</v>
      </c>
      <c r="G3383" t="inlineStr">
        <is>
          <t>510-2025-09-30</t>
        </is>
      </c>
      <c r="H3383" t="inlineStr">
        <is>
          <t>Revisión y asesorías</t>
        </is>
      </c>
      <c r="EL3383" t="n">
        <v>0</v>
      </c>
      <c r="EM3383" t="n">
        <v>128</v>
      </c>
    </row>
    <row r="3384">
      <c r="A3384" t="n">
        <v>511</v>
      </c>
      <c r="B3384" t="inlineStr">
        <is>
          <t>Eficacia de controles</t>
        </is>
      </c>
      <c r="C3384" t="inlineStr">
        <is>
          <t>GESTIÓN DE RIESGOS</t>
        </is>
      </c>
      <c r="D3384" t="inlineStr">
        <is>
          <t>Semestral</t>
        </is>
      </c>
      <c r="E3384" t="inlineStr">
        <is>
          <t>Positivo</t>
        </is>
      </c>
      <c r="F3384" s="105" t="n">
        <v>45930</v>
      </c>
      <c r="G3384" t="inlineStr">
        <is>
          <t>511-2025-09-30</t>
        </is>
      </c>
      <c r="H3384" t="inlineStr">
        <is>
          <t>Estratégicos</t>
        </is>
      </c>
      <c r="J3384" t="n">
        <v>80.84999847412109</v>
      </c>
      <c r="EN3384" t="n">
        <v>38</v>
      </c>
      <c r="EO3384" t="n">
        <v>47</v>
      </c>
    </row>
    <row r="3385">
      <c r="A3385" t="n">
        <v>511</v>
      </c>
      <c r="B3385" t="inlineStr">
        <is>
          <t>Eficacia de controles</t>
        </is>
      </c>
      <c r="C3385" t="inlineStr">
        <is>
          <t>GESTIÓN DE RIESGOS</t>
        </is>
      </c>
      <c r="D3385" t="inlineStr">
        <is>
          <t>Semestral</t>
        </is>
      </c>
      <c r="E3385" t="inlineStr">
        <is>
          <t>Positivo</t>
        </is>
      </c>
      <c r="F3385" s="105" t="n">
        <v>45930</v>
      </c>
      <c r="G3385" t="inlineStr">
        <is>
          <t>511-2025-09-30</t>
        </is>
      </c>
      <c r="H3385" t="inlineStr">
        <is>
          <t>Proyectos</t>
        </is>
      </c>
      <c r="J3385" t="n">
        <v>100</v>
      </c>
      <c r="EN3385" t="n">
        <v>48</v>
      </c>
      <c r="EO3385" t="n">
        <v>48</v>
      </c>
    </row>
    <row r="3386">
      <c r="A3386" t="n">
        <v>511</v>
      </c>
      <c r="B3386" t="inlineStr">
        <is>
          <t>Eficacia de controles</t>
        </is>
      </c>
      <c r="C3386" t="inlineStr">
        <is>
          <t>GESTIÓN DE RIESGOS</t>
        </is>
      </c>
      <c r="D3386" t="inlineStr">
        <is>
          <t>Semestral</t>
        </is>
      </c>
      <c r="E3386" t="inlineStr">
        <is>
          <t>Positivo</t>
        </is>
      </c>
      <c r="F3386" s="105" t="n">
        <v>45930</v>
      </c>
      <c r="G3386" t="inlineStr">
        <is>
          <t>511-2025-09-30</t>
        </is>
      </c>
      <c r="H3386" t="inlineStr">
        <is>
          <t>Financieros</t>
        </is>
      </c>
      <c r="J3386" t="n">
        <v>100</v>
      </c>
      <c r="EN3386" t="n">
        <v>21</v>
      </c>
      <c r="EO3386" t="n">
        <v>21</v>
      </c>
    </row>
    <row r="3387">
      <c r="A3387" t="n">
        <v>511</v>
      </c>
      <c r="B3387" t="inlineStr">
        <is>
          <t>Eficacia de controles</t>
        </is>
      </c>
      <c r="C3387" t="inlineStr">
        <is>
          <t>GESTIÓN DE RIESGOS</t>
        </is>
      </c>
      <c r="D3387" t="inlineStr">
        <is>
          <t>Semestral</t>
        </is>
      </c>
      <c r="E3387" t="inlineStr">
        <is>
          <t>Positivo</t>
        </is>
      </c>
      <c r="F3387" s="105" t="n">
        <v>45930</v>
      </c>
      <c r="G3387" t="inlineStr">
        <is>
          <t>511-2025-09-30</t>
        </is>
      </c>
      <c r="H3387" t="inlineStr">
        <is>
          <t>Legal/ Cumplimiento</t>
        </is>
      </c>
      <c r="J3387" t="n">
        <v>92.86000061035156</v>
      </c>
      <c r="EN3387" t="n">
        <v>13</v>
      </c>
      <c r="EO3387" t="n">
        <v>14</v>
      </c>
    </row>
    <row r="3388">
      <c r="A3388" t="n">
        <v>511</v>
      </c>
      <c r="B3388" t="inlineStr">
        <is>
          <t>Eficacia de controles</t>
        </is>
      </c>
      <c r="C3388" t="inlineStr">
        <is>
          <t>GESTIÓN DE RIESGOS</t>
        </is>
      </c>
      <c r="D3388" t="inlineStr">
        <is>
          <t>Semestral</t>
        </is>
      </c>
      <c r="E3388" t="inlineStr">
        <is>
          <t>Positivo</t>
        </is>
      </c>
      <c r="F3388" s="105" t="n">
        <v>45930</v>
      </c>
      <c r="G3388" t="inlineStr">
        <is>
          <t>511-2025-09-30</t>
        </is>
      </c>
      <c r="H3388" t="inlineStr">
        <is>
          <t>Tecnológico</t>
        </is>
      </c>
      <c r="J3388" t="n">
        <v>75</v>
      </c>
      <c r="EN3388" t="n">
        <v>9</v>
      </c>
      <c r="EO3388" t="n">
        <v>12</v>
      </c>
    </row>
    <row r="3389">
      <c r="A3389" t="n">
        <v>511</v>
      </c>
      <c r="B3389" t="inlineStr">
        <is>
          <t>Eficacia de controles</t>
        </is>
      </c>
      <c r="C3389" t="inlineStr">
        <is>
          <t>GESTIÓN DE RIESGOS</t>
        </is>
      </c>
      <c r="D3389" t="inlineStr">
        <is>
          <t>Semestral</t>
        </is>
      </c>
      <c r="E3389" t="inlineStr">
        <is>
          <t>Positivo</t>
        </is>
      </c>
      <c r="F3389" s="105" t="n">
        <v>45930</v>
      </c>
      <c r="G3389" t="inlineStr">
        <is>
          <t>511-2025-09-30</t>
        </is>
      </c>
      <c r="H3389" t="inlineStr">
        <is>
          <t>Operativos</t>
        </is>
      </c>
      <c r="J3389" t="n">
        <v>82.31999969482422</v>
      </c>
      <c r="EN3389" t="n">
        <v>163</v>
      </c>
      <c r="EO3389" t="n">
        <v>198</v>
      </c>
    </row>
    <row r="3390">
      <c r="A3390" t="n">
        <v>511</v>
      </c>
      <c r="B3390" t="inlineStr">
        <is>
          <t>Eficacia de controles</t>
        </is>
      </c>
      <c r="C3390" t="inlineStr">
        <is>
          <t>GESTIÓN DE RIESGOS</t>
        </is>
      </c>
      <c r="D3390" t="inlineStr">
        <is>
          <t>Semestral</t>
        </is>
      </c>
      <c r="E3390" t="inlineStr">
        <is>
          <t>Positivo</t>
        </is>
      </c>
      <c r="F3390" s="105" t="n">
        <v>45930</v>
      </c>
      <c r="G3390" t="inlineStr">
        <is>
          <t>511-2025-09-30</t>
        </is>
      </c>
      <c r="H3390" t="inlineStr">
        <is>
          <t>Reputacionales</t>
        </is>
      </c>
      <c r="J3390" t="n">
        <v>100</v>
      </c>
      <c r="EN3390" t="n">
        <v>12</v>
      </c>
      <c r="EO3390" t="n">
        <v>12</v>
      </c>
    </row>
    <row r="3391">
      <c r="A3391" t="n">
        <v>529</v>
      </c>
      <c r="B3391" t="inlineStr">
        <is>
          <t>Oportunidad en la solución de solicitudes de infraestructura</t>
        </is>
      </c>
      <c r="C3391" t="inlineStr">
        <is>
          <t>Gestión Infraestructura Física</t>
        </is>
      </c>
      <c r="D3391" t="inlineStr">
        <is>
          <t>Semestral</t>
        </is>
      </c>
      <c r="E3391" t="inlineStr">
        <is>
          <t>Positivo</t>
        </is>
      </c>
      <c r="F3391" s="105" t="n">
        <v>45930</v>
      </c>
      <c r="G3391" t="inlineStr">
        <is>
          <t>529-2025-09-30</t>
        </is>
      </c>
      <c r="H3391" t="inlineStr">
        <is>
          <t>Bogotá</t>
        </is>
      </c>
      <c r="I3391" t="n">
        <v>90</v>
      </c>
      <c r="J3391" t="n">
        <v>96.19000244140625</v>
      </c>
      <c r="FJ3391" t="n">
        <v>210</v>
      </c>
      <c r="FK3391" t="n">
        <v>202</v>
      </c>
    </row>
    <row r="3392">
      <c r="A3392" t="n">
        <v>529</v>
      </c>
      <c r="B3392" t="inlineStr">
        <is>
          <t>Oportunidad en la solución de solicitudes de infraestructura</t>
        </is>
      </c>
      <c r="C3392" t="inlineStr">
        <is>
          <t>Gestión Infraestructura Física</t>
        </is>
      </c>
      <c r="D3392" t="inlineStr">
        <is>
          <t>Semestral</t>
        </is>
      </c>
      <c r="E3392" t="inlineStr">
        <is>
          <t>Positivo</t>
        </is>
      </c>
      <c r="F3392" s="105" t="n">
        <v>45930</v>
      </c>
      <c r="G3392" t="inlineStr">
        <is>
          <t>529-2025-09-30</t>
        </is>
      </c>
      <c r="H3392" t="inlineStr">
        <is>
          <t>Medellín</t>
        </is>
      </c>
      <c r="I3392" t="n">
        <v>90</v>
      </c>
      <c r="J3392" t="n">
        <v>100</v>
      </c>
      <c r="FJ3392" t="n">
        <v>95</v>
      </c>
      <c r="FK3392" t="n">
        <v>95</v>
      </c>
    </row>
    <row r="3393">
      <c r="A3393" t="n">
        <v>208</v>
      </c>
      <c r="B3393" t="inlineStr">
        <is>
          <t>Consumo de Agua m3 Mensual</t>
        </is>
      </c>
      <c r="C3393" t="inlineStr">
        <is>
          <t>GESTIÓN AMBIENTAL</t>
        </is>
      </c>
      <c r="D3393" t="inlineStr">
        <is>
          <t>Mensual</t>
        </is>
      </c>
      <c r="E3393" t="inlineStr">
        <is>
          <t>Negativo</t>
        </is>
      </c>
      <c r="F3393" s="105" t="n">
        <v>45961</v>
      </c>
      <c r="G3393" t="inlineStr">
        <is>
          <t>208-2025-10-31</t>
        </is>
      </c>
      <c r="H3393" t="inlineStr">
        <is>
          <t>Campus Bogotá</t>
        </is>
      </c>
      <c r="I3393" t="n">
        <v>950</v>
      </c>
      <c r="J3393" t="n">
        <v>686</v>
      </c>
      <c r="K3393" t="n">
        <v>686</v>
      </c>
    </row>
    <row r="3394">
      <c r="A3394" t="n">
        <v>208</v>
      </c>
      <c r="B3394" t="inlineStr">
        <is>
          <t>Consumo de Agua m3 Mensual</t>
        </is>
      </c>
      <c r="C3394" t="inlineStr">
        <is>
          <t>GESTIÓN AMBIENTAL</t>
        </is>
      </c>
      <c r="D3394" t="inlineStr">
        <is>
          <t>Mensual</t>
        </is>
      </c>
      <c r="E3394" t="inlineStr">
        <is>
          <t>Negativo</t>
        </is>
      </c>
      <c r="F3394" s="105" t="n">
        <v>45961</v>
      </c>
      <c r="G3394" t="inlineStr">
        <is>
          <t>208-2025-10-31</t>
        </is>
      </c>
      <c r="H3394" t="inlineStr">
        <is>
          <t>City Campus</t>
        </is>
      </c>
      <c r="I3394" t="n">
        <v>350</v>
      </c>
      <c r="J3394" t="n">
        <v>358.5</v>
      </c>
      <c r="K3394" t="n">
        <v>358.5</v>
      </c>
    </row>
    <row r="3395">
      <c r="A3395" t="n">
        <v>208</v>
      </c>
      <c r="B3395" t="inlineStr">
        <is>
          <t>Consumo de Agua m3 Mensual</t>
        </is>
      </c>
      <c r="C3395" t="inlineStr">
        <is>
          <t>GESTIÓN AMBIENTAL</t>
        </is>
      </c>
      <c r="D3395" t="inlineStr">
        <is>
          <t>Mensual</t>
        </is>
      </c>
      <c r="E3395" t="inlineStr">
        <is>
          <t>Negativo</t>
        </is>
      </c>
      <c r="F3395" s="105" t="n">
        <v>45961</v>
      </c>
      <c r="G3395" t="inlineStr">
        <is>
          <t>208-2025-10-31</t>
        </is>
      </c>
      <c r="H3395" t="inlineStr">
        <is>
          <t>Campus-Medellín</t>
        </is>
      </c>
      <c r="I3395" t="n">
        <v>200</v>
      </c>
      <c r="J3395" t="n">
        <v>194</v>
      </c>
      <c r="K3395" t="n">
        <v>194</v>
      </c>
    </row>
    <row r="3396">
      <c r="A3396" t="n">
        <v>208</v>
      </c>
      <c r="B3396" t="inlineStr">
        <is>
          <t>Consumo de Agua m3 Mensual</t>
        </is>
      </c>
      <c r="C3396" t="inlineStr">
        <is>
          <t>GESTIÓN AMBIENTAL</t>
        </is>
      </c>
      <c r="D3396" t="inlineStr">
        <is>
          <t>Mensual</t>
        </is>
      </c>
      <c r="E3396" t="inlineStr">
        <is>
          <t>Negativo</t>
        </is>
      </c>
      <c r="F3396" s="105" t="n">
        <v>45961</v>
      </c>
      <c r="G3396" t="inlineStr">
        <is>
          <t>208-2025-10-31</t>
        </is>
      </c>
      <c r="H3396" t="inlineStr">
        <is>
          <t>Sede Bienestar - Medellín</t>
        </is>
      </c>
      <c r="I3396" t="n">
        <v>0</v>
      </c>
      <c r="J3396" t="n">
        <v>0</v>
      </c>
      <c r="K3396" t="n">
        <v>0</v>
      </c>
    </row>
    <row r="3397">
      <c r="A3397" t="n">
        <v>208</v>
      </c>
      <c r="B3397" t="inlineStr">
        <is>
          <t>Consumo de Agua m3 Mensual</t>
        </is>
      </c>
      <c r="C3397" t="inlineStr">
        <is>
          <t>GESTIÓN AMBIENTAL</t>
        </is>
      </c>
      <c r="D3397" t="inlineStr">
        <is>
          <t>Mensual</t>
        </is>
      </c>
      <c r="E3397" t="inlineStr">
        <is>
          <t>Negativo</t>
        </is>
      </c>
      <c r="F3397" s="105" t="n">
        <v>45961</v>
      </c>
      <c r="G3397" t="inlineStr">
        <is>
          <t>208-2025-10-31</t>
        </is>
      </c>
      <c r="H3397" t="inlineStr">
        <is>
          <t>Consultorio Psicología - Medellin</t>
        </is>
      </c>
      <c r="I3397" t="n">
        <v>25</v>
      </c>
      <c r="J3397" t="n">
        <v>18</v>
      </c>
      <c r="K3397" t="n">
        <v>18</v>
      </c>
    </row>
    <row r="3398">
      <c r="A3398" t="n">
        <v>208</v>
      </c>
      <c r="B3398" t="inlineStr">
        <is>
          <t>Consumo de Agua m3 Mensual</t>
        </is>
      </c>
      <c r="C3398" t="inlineStr">
        <is>
          <t>GESTIÓN AMBIENTAL</t>
        </is>
      </c>
      <c r="D3398" t="inlineStr">
        <is>
          <t>Mensual</t>
        </is>
      </c>
      <c r="E3398" t="inlineStr">
        <is>
          <t>Negativo</t>
        </is>
      </c>
      <c r="F3398" s="105" t="n">
        <v>45961</v>
      </c>
      <c r="G3398" t="inlineStr">
        <is>
          <t>208-2025-10-31</t>
        </is>
      </c>
      <c r="H3398" t="inlineStr">
        <is>
          <t>Sede Posgrado-Calle 85</t>
        </is>
      </c>
      <c r="I3398" t="n">
        <v>25</v>
      </c>
      <c r="J3398" t="n">
        <v>4</v>
      </c>
      <c r="K3398" t="n">
        <v>4</v>
      </c>
    </row>
    <row r="3399">
      <c r="A3399" t="n">
        <v>214</v>
      </c>
      <c r="B3399" t="inlineStr">
        <is>
          <t>Generación de Residuos Sólidos Mensual</t>
        </is>
      </c>
      <c r="C3399" t="inlineStr">
        <is>
          <t>GESTIÓN AMBIENTAL</t>
        </is>
      </c>
      <c r="D3399" t="inlineStr">
        <is>
          <t>Mensual</t>
        </is>
      </c>
      <c r="E3399" t="inlineStr">
        <is>
          <t>Negativo</t>
        </is>
      </c>
      <c r="F3399" s="105" t="n">
        <v>45961</v>
      </c>
      <c r="G3399" t="inlineStr">
        <is>
          <t>214-2025-10-31</t>
        </is>
      </c>
      <c r="H3399" t="inlineStr">
        <is>
          <t>City Campus</t>
        </is>
      </c>
      <c r="I3399" t="n">
        <v>1000</v>
      </c>
      <c r="J3399" t="n">
        <v>1201.599975585938</v>
      </c>
      <c r="L3399" t="n">
        <v>274.45</v>
      </c>
      <c r="M3399" t="n">
        <v>927.15</v>
      </c>
    </row>
    <row r="3400">
      <c r="A3400" t="n">
        <v>214</v>
      </c>
      <c r="B3400" t="inlineStr">
        <is>
          <t>Generación de Residuos Sólidos Mensual</t>
        </is>
      </c>
      <c r="C3400" t="inlineStr">
        <is>
          <t>GESTIÓN AMBIENTAL</t>
        </is>
      </c>
      <c r="D3400" t="inlineStr">
        <is>
          <t>Mensual</t>
        </is>
      </c>
      <c r="E3400" t="inlineStr">
        <is>
          <t>Negativo</t>
        </is>
      </c>
      <c r="F3400" s="105" t="n">
        <v>45961</v>
      </c>
      <c r="G3400" t="inlineStr">
        <is>
          <t>214-2025-10-31</t>
        </is>
      </c>
      <c r="H3400" t="inlineStr">
        <is>
          <t>Sede Posgrado-Calle 85</t>
        </is>
      </c>
      <c r="I3400" t="n">
        <v>7500</v>
      </c>
      <c r="J3400" t="n">
        <v>72.43000030517578</v>
      </c>
      <c r="L3400" t="n">
        <v>22.73</v>
      </c>
      <c r="M3400" t="n">
        <v>49.7</v>
      </c>
    </row>
    <row r="3401">
      <c r="A3401" t="n">
        <v>214</v>
      </c>
      <c r="B3401" t="inlineStr">
        <is>
          <t>Generación de Residuos Sólidos Mensual</t>
        </is>
      </c>
      <c r="C3401" t="inlineStr">
        <is>
          <t>GESTIÓN AMBIENTAL</t>
        </is>
      </c>
      <c r="D3401" t="inlineStr">
        <is>
          <t>Mensual</t>
        </is>
      </c>
      <c r="E3401" t="inlineStr">
        <is>
          <t>Negativo</t>
        </is>
      </c>
      <c r="F3401" s="105" t="n">
        <v>45961</v>
      </c>
      <c r="G3401" t="inlineStr">
        <is>
          <t>214-2025-10-31</t>
        </is>
      </c>
      <c r="H3401" t="inlineStr">
        <is>
          <t>Campus-Medellín</t>
        </is>
      </c>
      <c r="I3401" t="n">
        <v>1000</v>
      </c>
      <c r="J3401" t="n">
        <v>734.2000122070312</v>
      </c>
      <c r="L3401" t="n">
        <v>0</v>
      </c>
      <c r="M3401" t="n">
        <v>734.2</v>
      </c>
    </row>
    <row r="3402">
      <c r="A3402" t="n">
        <v>214</v>
      </c>
      <c r="B3402" t="inlineStr">
        <is>
          <t>Generación de Residuos Sólidos Mensual</t>
        </is>
      </c>
      <c r="C3402" t="inlineStr">
        <is>
          <t>GESTIÓN AMBIENTAL</t>
        </is>
      </c>
      <c r="D3402" t="inlineStr">
        <is>
          <t>Mensual</t>
        </is>
      </c>
      <c r="E3402" t="inlineStr">
        <is>
          <t>Negativo</t>
        </is>
      </c>
      <c r="F3402" s="105" t="n">
        <v>45961</v>
      </c>
      <c r="G3402" t="inlineStr">
        <is>
          <t>214-2025-10-31</t>
        </is>
      </c>
      <c r="H3402" t="inlineStr">
        <is>
          <t>Sede Bienestar - Medellín</t>
        </is>
      </c>
      <c r="I3402" t="n">
        <v>1</v>
      </c>
      <c r="J3402" t="n">
        <v>176.2899932861328</v>
      </c>
      <c r="L3402" t="n">
        <v>23.54</v>
      </c>
      <c r="M3402" t="n">
        <v>152.75</v>
      </c>
    </row>
    <row r="3403">
      <c r="A3403" t="n">
        <v>214</v>
      </c>
      <c r="B3403" t="inlineStr">
        <is>
          <t>Generación de Residuos Sólidos Mensual</t>
        </is>
      </c>
      <c r="C3403" t="inlineStr">
        <is>
          <t>GESTIÓN AMBIENTAL</t>
        </is>
      </c>
      <c r="D3403" t="inlineStr">
        <is>
          <t>Mensual</t>
        </is>
      </c>
      <c r="E3403" t="inlineStr">
        <is>
          <t>Negativo</t>
        </is>
      </c>
      <c r="F3403" s="105" t="n">
        <v>45961</v>
      </c>
      <c r="G3403" t="inlineStr">
        <is>
          <t>214-2025-10-31</t>
        </is>
      </c>
      <c r="H3403" t="inlineStr">
        <is>
          <t>Consultorio Psicología - Medellin</t>
        </is>
      </c>
      <c r="I3403" t="n">
        <v>1</v>
      </c>
      <c r="J3403" t="n">
        <v>32.36000061035156</v>
      </c>
      <c r="L3403" t="n">
        <v>8.66</v>
      </c>
      <c r="M3403" t="n">
        <v>23.7</v>
      </c>
    </row>
    <row r="3404">
      <c r="A3404" t="n">
        <v>214</v>
      </c>
      <c r="B3404" t="inlineStr">
        <is>
          <t>Generación de Residuos Sólidos Mensual</t>
        </is>
      </c>
      <c r="C3404" t="inlineStr">
        <is>
          <t>GESTIÓN AMBIENTAL</t>
        </is>
      </c>
      <c r="D3404" t="inlineStr">
        <is>
          <t>Mensual</t>
        </is>
      </c>
      <c r="E3404" t="inlineStr">
        <is>
          <t>Negativo</t>
        </is>
      </c>
      <c r="F3404" s="105" t="n">
        <v>45961</v>
      </c>
      <c r="G3404" t="inlineStr">
        <is>
          <t>214-2025-10-31</t>
        </is>
      </c>
      <c r="H3404" t="inlineStr">
        <is>
          <t>Campus Bogotá</t>
        </is>
      </c>
      <c r="I3404" t="n">
        <v>5500</v>
      </c>
      <c r="J3404" t="n">
        <v>1781.68994140625</v>
      </c>
      <c r="L3404" t="n">
        <v>235.45</v>
      </c>
      <c r="M3404" t="n">
        <v>1546.24</v>
      </c>
    </row>
    <row r="3405">
      <c r="A3405" t="n">
        <v>217</v>
      </c>
      <c r="B3405" t="inlineStr">
        <is>
          <t>Aprovechamiento de Residuos</t>
        </is>
      </c>
      <c r="C3405" t="inlineStr">
        <is>
          <t>GESTIÓN AMBIENTAL</t>
        </is>
      </c>
      <c r="D3405" t="inlineStr">
        <is>
          <t>Mensual</t>
        </is>
      </c>
      <c r="E3405" t="inlineStr">
        <is>
          <t>Positivo</t>
        </is>
      </c>
      <c r="F3405" s="105" t="n">
        <v>45961</v>
      </c>
      <c r="G3405" t="inlineStr">
        <is>
          <t>217-2025-10-31</t>
        </is>
      </c>
      <c r="H3405" t="inlineStr">
        <is>
          <t>City Campus</t>
        </is>
      </c>
      <c r="I3405" t="n">
        <v>20</v>
      </c>
      <c r="J3405" t="n">
        <v>55.70999908447266</v>
      </c>
      <c r="L3405" t="n">
        <v>274.45</v>
      </c>
      <c r="M3405" t="n">
        <v>927.15</v>
      </c>
      <c r="AS3405" t="n">
        <v>669.45</v>
      </c>
    </row>
    <row r="3406">
      <c r="A3406" t="n">
        <v>217</v>
      </c>
      <c r="B3406" t="inlineStr">
        <is>
          <t>Aprovechamiento de Residuos</t>
        </is>
      </c>
      <c r="C3406" t="inlineStr">
        <is>
          <t>GESTIÓN AMBIENTAL</t>
        </is>
      </c>
      <c r="D3406" t="inlineStr">
        <is>
          <t>Mensual</t>
        </is>
      </c>
      <c r="E3406" t="inlineStr">
        <is>
          <t>Positivo</t>
        </is>
      </c>
      <c r="F3406" s="105" t="n">
        <v>45961</v>
      </c>
      <c r="G3406" t="inlineStr">
        <is>
          <t>217-2025-10-31</t>
        </is>
      </c>
      <c r="H3406" t="inlineStr">
        <is>
          <t>Sede Posgrado-Calle 85</t>
        </is>
      </c>
      <c r="I3406" t="n">
        <v>20</v>
      </c>
      <c r="J3406" t="n">
        <v>31.3799991607666</v>
      </c>
      <c r="L3406" t="n">
        <v>22.73</v>
      </c>
      <c r="M3406" t="n">
        <v>49.7</v>
      </c>
      <c r="AS3406" t="n">
        <v>22.73</v>
      </c>
    </row>
    <row r="3407">
      <c r="A3407" t="n">
        <v>217</v>
      </c>
      <c r="B3407" t="inlineStr">
        <is>
          <t>Aprovechamiento de Residuos</t>
        </is>
      </c>
      <c r="C3407" t="inlineStr">
        <is>
          <t>GESTIÓN AMBIENTAL</t>
        </is>
      </c>
      <c r="D3407" t="inlineStr">
        <is>
          <t>Mensual</t>
        </is>
      </c>
      <c r="E3407" t="inlineStr">
        <is>
          <t>Positivo</t>
        </is>
      </c>
      <c r="F3407" s="105" t="n">
        <v>45961</v>
      </c>
      <c r="G3407" t="inlineStr">
        <is>
          <t>217-2025-10-31</t>
        </is>
      </c>
      <c r="H3407" t="inlineStr">
        <is>
          <t>Campus-Medellín</t>
        </is>
      </c>
      <c r="I3407" t="n">
        <v>20</v>
      </c>
      <c r="J3407" t="n">
        <v>0</v>
      </c>
      <c r="L3407" t="n">
        <v>0</v>
      </c>
      <c r="M3407" t="n">
        <v>734.2</v>
      </c>
      <c r="AS3407" t="n">
        <v>0</v>
      </c>
    </row>
    <row r="3408">
      <c r="A3408" t="n">
        <v>217</v>
      </c>
      <c r="B3408" t="inlineStr">
        <is>
          <t>Aprovechamiento de Residuos</t>
        </is>
      </c>
      <c r="C3408" t="inlineStr">
        <is>
          <t>GESTIÓN AMBIENTAL</t>
        </is>
      </c>
      <c r="D3408" t="inlineStr">
        <is>
          <t>Mensual</t>
        </is>
      </c>
      <c r="E3408" t="inlineStr">
        <is>
          <t>Positivo</t>
        </is>
      </c>
      <c r="F3408" s="105" t="n">
        <v>45961</v>
      </c>
      <c r="G3408" t="inlineStr">
        <is>
          <t>217-2025-10-31</t>
        </is>
      </c>
      <c r="H3408" t="inlineStr">
        <is>
          <t>Sede Bienestar - Medellín</t>
        </is>
      </c>
      <c r="I3408" t="n">
        <v>20</v>
      </c>
      <c r="J3408" t="n">
        <v>13.35000038146973</v>
      </c>
      <c r="L3408" t="n">
        <v>23.54</v>
      </c>
      <c r="M3408" t="n">
        <v>152.75</v>
      </c>
      <c r="AS3408" t="n">
        <v>23.54</v>
      </c>
    </row>
    <row r="3409">
      <c r="A3409" t="n">
        <v>217</v>
      </c>
      <c r="B3409" t="inlineStr">
        <is>
          <t>Aprovechamiento de Residuos</t>
        </is>
      </c>
      <c r="C3409" t="inlineStr">
        <is>
          <t>GESTIÓN AMBIENTAL</t>
        </is>
      </c>
      <c r="D3409" t="inlineStr">
        <is>
          <t>Mensual</t>
        </is>
      </c>
      <c r="E3409" t="inlineStr">
        <is>
          <t>Positivo</t>
        </is>
      </c>
      <c r="F3409" s="105" t="n">
        <v>45961</v>
      </c>
      <c r="G3409" t="inlineStr">
        <is>
          <t>217-2025-10-31</t>
        </is>
      </c>
      <c r="H3409" t="inlineStr">
        <is>
          <t>Consultorio Psicología - Medellin</t>
        </is>
      </c>
      <c r="I3409" t="n">
        <v>20</v>
      </c>
      <c r="J3409" t="n">
        <v>26.76000022888184</v>
      </c>
      <c r="L3409" t="n">
        <v>8.66</v>
      </c>
      <c r="M3409" t="n">
        <v>23.7</v>
      </c>
      <c r="AS3409" t="n">
        <v>8.66</v>
      </c>
    </row>
    <row r="3410">
      <c r="A3410" t="n">
        <v>217</v>
      </c>
      <c r="B3410" t="inlineStr">
        <is>
          <t>Aprovechamiento de Residuos</t>
        </is>
      </c>
      <c r="C3410" t="inlineStr">
        <is>
          <t>GESTIÓN AMBIENTAL</t>
        </is>
      </c>
      <c r="D3410" t="inlineStr">
        <is>
          <t>Mensual</t>
        </is>
      </c>
      <c r="E3410" t="inlineStr">
        <is>
          <t>Positivo</t>
        </is>
      </c>
      <c r="F3410" s="105" t="n">
        <v>45961</v>
      </c>
      <c r="G3410" t="inlineStr">
        <is>
          <t>217-2025-10-31</t>
        </is>
      </c>
      <c r="H3410" t="inlineStr">
        <is>
          <t>Campus Bogotá</t>
        </is>
      </c>
      <c r="I3410" t="n">
        <v>20</v>
      </c>
      <c r="J3410" t="n">
        <v>292.6199951171875</v>
      </c>
      <c r="L3410" t="n">
        <v>235.45</v>
      </c>
      <c r="M3410" t="n">
        <v>1546.24</v>
      </c>
      <c r="AS3410" t="n">
        <v>5213.65</v>
      </c>
    </row>
    <row r="3411">
      <c r="A3411" t="n">
        <v>218</v>
      </c>
      <c r="B3411" t="inlineStr">
        <is>
          <t>Consumo de Energía Eléctrica kWh Mensual</t>
        </is>
      </c>
      <c r="C3411" t="inlineStr">
        <is>
          <t>GESTIÓN AMBIENTAL</t>
        </is>
      </c>
      <c r="D3411" t="inlineStr">
        <is>
          <t>Mensual</t>
        </is>
      </c>
      <c r="E3411" t="inlineStr">
        <is>
          <t>Negativo</t>
        </is>
      </c>
      <c r="F3411" s="105" t="n">
        <v>45961</v>
      </c>
      <c r="G3411" t="inlineStr">
        <is>
          <t>218-2025-10-31</t>
        </is>
      </c>
      <c r="H3411" t="inlineStr">
        <is>
          <t>Campus Bogotá</t>
        </is>
      </c>
      <c r="I3411" t="n">
        <v>76000</v>
      </c>
      <c r="J3411" t="n">
        <v>71285.75</v>
      </c>
      <c r="N3411" t="n">
        <v>71285.75</v>
      </c>
    </row>
    <row r="3412">
      <c r="A3412" t="n">
        <v>218</v>
      </c>
      <c r="B3412" t="inlineStr">
        <is>
          <t>Consumo de Energía Eléctrica kWh Mensual</t>
        </is>
      </c>
      <c r="C3412" t="inlineStr">
        <is>
          <t>GESTIÓN AMBIENTAL</t>
        </is>
      </c>
      <c r="D3412" t="inlineStr">
        <is>
          <t>Mensual</t>
        </is>
      </c>
      <c r="E3412" t="inlineStr">
        <is>
          <t>Negativo</t>
        </is>
      </c>
      <c r="F3412" s="105" t="n">
        <v>45961</v>
      </c>
      <c r="G3412" t="inlineStr">
        <is>
          <t>218-2025-10-31</t>
        </is>
      </c>
      <c r="H3412" t="inlineStr">
        <is>
          <t>Sede Posgrado-Calle 85</t>
        </is>
      </c>
      <c r="I3412" t="n">
        <v>5000</v>
      </c>
      <c r="J3412" t="n">
        <v>4620</v>
      </c>
      <c r="N3412" t="n">
        <v>4620</v>
      </c>
    </row>
    <row r="3413">
      <c r="A3413" t="n">
        <v>218</v>
      </c>
      <c r="B3413" t="inlineStr">
        <is>
          <t>Consumo de Energía Eléctrica kWh Mensual</t>
        </is>
      </c>
      <c r="C3413" t="inlineStr">
        <is>
          <t>GESTIÓN AMBIENTAL</t>
        </is>
      </c>
      <c r="D3413" t="inlineStr">
        <is>
          <t>Mensual</t>
        </is>
      </c>
      <c r="E3413" t="inlineStr">
        <is>
          <t>Negativo</t>
        </is>
      </c>
      <c r="F3413" s="105" t="n">
        <v>45961</v>
      </c>
      <c r="G3413" t="inlineStr">
        <is>
          <t>218-2025-10-31</t>
        </is>
      </c>
      <c r="H3413" t="inlineStr">
        <is>
          <t>Campus-Medellín</t>
        </is>
      </c>
      <c r="I3413" t="n">
        <v>24000</v>
      </c>
      <c r="J3413" t="n">
        <v>16956</v>
      </c>
      <c r="N3413" t="n">
        <v>16956</v>
      </c>
    </row>
    <row r="3414">
      <c r="A3414" t="n">
        <v>218</v>
      </c>
      <c r="B3414" t="inlineStr">
        <is>
          <t>Consumo de Energía Eléctrica kWh Mensual</t>
        </is>
      </c>
      <c r="C3414" t="inlineStr">
        <is>
          <t>GESTIÓN AMBIENTAL</t>
        </is>
      </c>
      <c r="D3414" t="inlineStr">
        <is>
          <t>Mensual</t>
        </is>
      </c>
      <c r="E3414" t="inlineStr">
        <is>
          <t>Negativo</t>
        </is>
      </c>
      <c r="F3414" s="105" t="n">
        <v>45961</v>
      </c>
      <c r="G3414" t="inlineStr">
        <is>
          <t>218-2025-10-31</t>
        </is>
      </c>
      <c r="H3414" t="inlineStr">
        <is>
          <t>Sede Bienestar - Medellín</t>
        </is>
      </c>
      <c r="I3414" t="n">
        <v>5000</v>
      </c>
      <c r="J3414" t="n">
        <v>7748</v>
      </c>
      <c r="N3414" t="n">
        <v>7748</v>
      </c>
    </row>
    <row r="3415">
      <c r="A3415" t="n">
        <v>218</v>
      </c>
      <c r="B3415" t="inlineStr">
        <is>
          <t>Consumo de Energía Eléctrica kWh Mensual</t>
        </is>
      </c>
      <c r="C3415" t="inlineStr">
        <is>
          <t>GESTIÓN AMBIENTAL</t>
        </is>
      </c>
      <c r="D3415" t="inlineStr">
        <is>
          <t>Mensual</t>
        </is>
      </c>
      <c r="E3415" t="inlineStr">
        <is>
          <t>Negativo</t>
        </is>
      </c>
      <c r="F3415" s="105" t="n">
        <v>45961</v>
      </c>
      <c r="G3415" t="inlineStr">
        <is>
          <t>218-2025-10-31</t>
        </is>
      </c>
      <c r="H3415" t="inlineStr">
        <is>
          <t>Consultorio Psicología - Medellin</t>
        </is>
      </c>
      <c r="I3415" t="n">
        <v>2000</v>
      </c>
      <c r="J3415" t="n">
        <v>2566</v>
      </c>
      <c r="N3415" t="n">
        <v>2566</v>
      </c>
    </row>
    <row r="3416">
      <c r="A3416" t="n">
        <v>218</v>
      </c>
      <c r="B3416" t="inlineStr">
        <is>
          <t>Consumo de Energía Eléctrica kWh Mensual</t>
        </is>
      </c>
      <c r="C3416" t="inlineStr">
        <is>
          <t>GESTIÓN AMBIENTAL</t>
        </is>
      </c>
      <c r="D3416" t="inlineStr">
        <is>
          <t>Mensual</t>
        </is>
      </c>
      <c r="E3416" t="inlineStr">
        <is>
          <t>Negativo</t>
        </is>
      </c>
      <c r="F3416" s="105" t="n">
        <v>45961</v>
      </c>
      <c r="G3416" t="inlineStr">
        <is>
          <t>218-2025-10-31</t>
        </is>
      </c>
      <c r="H3416" t="inlineStr">
        <is>
          <t>City Campus</t>
        </is>
      </c>
      <c r="I3416" t="n">
        <v>76000</v>
      </c>
      <c r="J3416" t="n">
        <v>47310</v>
      </c>
      <c r="N3416" t="n">
        <v>47310</v>
      </c>
    </row>
    <row r="3417">
      <c r="A3417" t="n">
        <v>225</v>
      </c>
      <c r="B3417" t="inlineStr">
        <is>
          <t>Acciones para el Cuidado y Mantenimiento de las Especies de Flora y el Suelo de las Áreas Naturales</t>
        </is>
      </c>
      <c r="C3417" t="inlineStr">
        <is>
          <t>GESTIÓN AMBIENTAL</t>
        </is>
      </c>
      <c r="D3417" t="inlineStr">
        <is>
          <t>Mensual</t>
        </is>
      </c>
      <c r="E3417" t="inlineStr">
        <is>
          <t>Positivo</t>
        </is>
      </c>
      <c r="F3417" s="105" t="n">
        <v>45961</v>
      </c>
      <c r="G3417" t="inlineStr">
        <is>
          <t>225-2025-10-31</t>
        </is>
      </c>
      <c r="H3417" t="inlineStr">
        <is>
          <t>Campus Bogotá</t>
        </is>
      </c>
      <c r="I3417" t="n">
        <v>1</v>
      </c>
      <c r="J3417" t="n">
        <v>0</v>
      </c>
      <c r="AT3417" t="n">
        <v>0</v>
      </c>
    </row>
    <row r="3418">
      <c r="A3418" t="n">
        <v>225</v>
      </c>
      <c r="B3418" t="inlineStr">
        <is>
          <t>Acciones para el Cuidado y Mantenimiento de las Especies de Flora y el Suelo de las Áreas Naturales</t>
        </is>
      </c>
      <c r="C3418" t="inlineStr">
        <is>
          <t>GESTIÓN AMBIENTAL</t>
        </is>
      </c>
      <c r="D3418" t="inlineStr">
        <is>
          <t>Mensual</t>
        </is>
      </c>
      <c r="E3418" t="inlineStr">
        <is>
          <t>Positivo</t>
        </is>
      </c>
      <c r="F3418" s="105" t="n">
        <v>45961</v>
      </c>
      <c r="G3418" t="inlineStr">
        <is>
          <t>225-2025-10-31</t>
        </is>
      </c>
      <c r="H3418" t="inlineStr">
        <is>
          <t>City Campus</t>
        </is>
      </c>
      <c r="I3418" t="n">
        <v>1</v>
      </c>
      <c r="J3418" t="n">
        <v>0</v>
      </c>
      <c r="AT3418" t="n">
        <v>0</v>
      </c>
    </row>
    <row r="3419">
      <c r="A3419" t="n">
        <v>225</v>
      </c>
      <c r="B3419" t="inlineStr">
        <is>
          <t>Acciones para el Cuidado y Mantenimiento de las Especies de Flora y el Suelo de las Áreas Naturales</t>
        </is>
      </c>
      <c r="C3419" t="inlineStr">
        <is>
          <t>GESTIÓN AMBIENTAL</t>
        </is>
      </c>
      <c r="D3419" t="inlineStr">
        <is>
          <t>Mensual</t>
        </is>
      </c>
      <c r="E3419" t="inlineStr">
        <is>
          <t>Positivo</t>
        </is>
      </c>
      <c r="F3419" s="105" t="n">
        <v>45961</v>
      </c>
      <c r="G3419" t="inlineStr">
        <is>
          <t>225-2025-10-31</t>
        </is>
      </c>
      <c r="H3419" t="inlineStr">
        <is>
          <t>Sede Posgrado-Calle 85</t>
        </is>
      </c>
      <c r="I3419" t="n">
        <v>1</v>
      </c>
      <c r="J3419" t="n">
        <v>0</v>
      </c>
      <c r="AT3419" t="n">
        <v>0</v>
      </c>
    </row>
    <row r="3420">
      <c r="A3420" t="n">
        <v>225</v>
      </c>
      <c r="B3420" t="inlineStr">
        <is>
          <t>Acciones para el Cuidado y Mantenimiento de las Especies de Flora y el Suelo de las Áreas Naturales</t>
        </is>
      </c>
      <c r="C3420" t="inlineStr">
        <is>
          <t>GESTIÓN AMBIENTAL</t>
        </is>
      </c>
      <c r="D3420" t="inlineStr">
        <is>
          <t>Mensual</t>
        </is>
      </c>
      <c r="E3420" t="inlineStr">
        <is>
          <t>Positivo</t>
        </is>
      </c>
      <c r="F3420" s="105" t="n">
        <v>45961</v>
      </c>
      <c r="G3420" t="inlineStr">
        <is>
          <t>225-2025-10-31</t>
        </is>
      </c>
      <c r="H3420" t="inlineStr">
        <is>
          <t>Campus-Medellín</t>
        </is>
      </c>
      <c r="I3420" t="n">
        <v>1</v>
      </c>
      <c r="J3420" t="n">
        <v>0</v>
      </c>
      <c r="AT3420" t="n">
        <v>0</v>
      </c>
    </row>
    <row r="3421">
      <c r="A3421" t="n">
        <v>225</v>
      </c>
      <c r="B3421" t="inlineStr">
        <is>
          <t>Acciones para el Cuidado y Mantenimiento de las Especies de Flora y el Suelo de las Áreas Naturales</t>
        </is>
      </c>
      <c r="C3421" t="inlineStr">
        <is>
          <t>GESTIÓN AMBIENTAL</t>
        </is>
      </c>
      <c r="D3421" t="inlineStr">
        <is>
          <t>Mensual</t>
        </is>
      </c>
      <c r="E3421" t="inlineStr">
        <is>
          <t>Positivo</t>
        </is>
      </c>
      <c r="F3421" s="105" t="n">
        <v>45961</v>
      </c>
      <c r="G3421" t="inlineStr">
        <is>
          <t>225-2025-10-31</t>
        </is>
      </c>
      <c r="H3421" t="inlineStr">
        <is>
          <t>Consultorio Psicología - Medellin</t>
        </is>
      </c>
      <c r="I3421" t="n">
        <v>1</v>
      </c>
      <c r="J3421" t="n">
        <v>0</v>
      </c>
      <c r="AT3421" t="n">
        <v>0</v>
      </c>
    </row>
    <row r="3422">
      <c r="A3422" t="n">
        <v>225</v>
      </c>
      <c r="B3422" t="inlineStr">
        <is>
          <t>Acciones para el Cuidado y Mantenimiento de las Especies de Flora y el Suelo de las Áreas Naturales</t>
        </is>
      </c>
      <c r="C3422" t="inlineStr">
        <is>
          <t>GESTIÓN AMBIENTAL</t>
        </is>
      </c>
      <c r="D3422" t="inlineStr">
        <is>
          <t>Mensual</t>
        </is>
      </c>
      <c r="E3422" t="inlineStr">
        <is>
          <t>Positivo</t>
        </is>
      </c>
      <c r="F3422" s="105" t="n">
        <v>45961</v>
      </c>
      <c r="G3422" t="inlineStr">
        <is>
          <t>225-2025-10-31</t>
        </is>
      </c>
      <c r="H3422" t="inlineStr">
        <is>
          <t>Sede Bienestar - Medellín</t>
        </is>
      </c>
      <c r="I3422" t="n">
        <v>1</v>
      </c>
      <c r="J3422" t="n">
        <v>11</v>
      </c>
      <c r="AT3422" t="n">
        <v>11</v>
      </c>
    </row>
    <row r="3423">
      <c r="A3423" t="n">
        <v>239</v>
      </c>
      <c r="B3423" t="inlineStr">
        <is>
          <t>Portafolio de Proyectos - Metrica</t>
        </is>
      </c>
      <c r="C3423" t="inlineStr">
        <is>
          <t>Gestión de Proyectos</t>
        </is>
      </c>
      <c r="D3423" t="inlineStr">
        <is>
          <t>Mensual</t>
        </is>
      </c>
      <c r="E3423" t="inlineStr">
        <is>
          <t>Positivo</t>
        </is>
      </c>
      <c r="F3423" s="105" t="n">
        <v>45961</v>
      </c>
      <c r="G3423" t="inlineStr">
        <is>
          <t>239-2025-10-31</t>
        </is>
      </c>
      <c r="H3423" t="inlineStr">
        <is>
          <t>Planificación</t>
        </is>
      </c>
      <c r="J3423" t="n">
        <v>2</v>
      </c>
      <c r="AU3423" t="n">
        <v>2</v>
      </c>
    </row>
    <row r="3424">
      <c r="A3424" t="n">
        <v>239</v>
      </c>
      <c r="B3424" t="inlineStr">
        <is>
          <t>Portafolio de Proyectos - Metrica</t>
        </is>
      </c>
      <c r="C3424" t="inlineStr">
        <is>
          <t>Gestión de Proyectos</t>
        </is>
      </c>
      <c r="D3424" t="inlineStr">
        <is>
          <t>Mensual</t>
        </is>
      </c>
      <c r="E3424" t="inlineStr">
        <is>
          <t>Positivo</t>
        </is>
      </c>
      <c r="F3424" s="105" t="n">
        <v>45961</v>
      </c>
      <c r="G3424" t="inlineStr">
        <is>
          <t>239-2025-10-31</t>
        </is>
      </c>
      <c r="H3424" t="inlineStr">
        <is>
          <t>Ejecución</t>
        </is>
      </c>
      <c r="J3424" t="n">
        <v>12</v>
      </c>
      <c r="AU3424" t="n">
        <v>12</v>
      </c>
    </row>
    <row r="3425">
      <c r="A3425" t="n">
        <v>239</v>
      </c>
      <c r="B3425" t="inlineStr">
        <is>
          <t>Portafolio de Proyectos - Metrica</t>
        </is>
      </c>
      <c r="C3425" t="inlineStr">
        <is>
          <t>Gestión de Proyectos</t>
        </is>
      </c>
      <c r="D3425" t="inlineStr">
        <is>
          <t>Mensual</t>
        </is>
      </c>
      <c r="E3425" t="inlineStr">
        <is>
          <t>Positivo</t>
        </is>
      </c>
      <c r="F3425" s="105" t="n">
        <v>45961</v>
      </c>
      <c r="G3425" t="inlineStr">
        <is>
          <t>239-2025-10-31</t>
        </is>
      </c>
      <c r="H3425" t="inlineStr">
        <is>
          <t>Cierre</t>
        </is>
      </c>
      <c r="J3425" t="n">
        <v>2</v>
      </c>
      <c r="AU3425" t="n">
        <v>2</v>
      </c>
    </row>
    <row r="3426">
      <c r="A3426" t="n">
        <v>239</v>
      </c>
      <c r="B3426" t="inlineStr">
        <is>
          <t>Portafolio de Proyectos - Metrica</t>
        </is>
      </c>
      <c r="C3426" t="inlineStr">
        <is>
          <t>Gestión de Proyectos</t>
        </is>
      </c>
      <c r="D3426" t="inlineStr">
        <is>
          <t>Mensual</t>
        </is>
      </c>
      <c r="E3426" t="inlineStr">
        <is>
          <t>Positivo</t>
        </is>
      </c>
      <c r="F3426" s="105" t="n">
        <v>45961</v>
      </c>
      <c r="G3426" t="inlineStr">
        <is>
          <t>239-2025-10-31</t>
        </is>
      </c>
      <c r="H3426" t="inlineStr">
        <is>
          <t>Stand by</t>
        </is>
      </c>
      <c r="J3426" t="n">
        <v>4</v>
      </c>
      <c r="AU3426" t="n">
        <v>4</v>
      </c>
    </row>
    <row r="3427">
      <c r="A3427" t="n">
        <v>239</v>
      </c>
      <c r="B3427" t="inlineStr">
        <is>
          <t>Portafolio de Proyectos - Metrica</t>
        </is>
      </c>
      <c r="C3427" t="inlineStr">
        <is>
          <t>Gestión de Proyectos</t>
        </is>
      </c>
      <c r="D3427" t="inlineStr">
        <is>
          <t>Mensual</t>
        </is>
      </c>
      <c r="E3427" t="inlineStr">
        <is>
          <t>Positivo</t>
        </is>
      </c>
      <c r="F3427" s="105" t="n">
        <v>45961</v>
      </c>
      <c r="G3427" t="inlineStr">
        <is>
          <t>239-2025-10-31</t>
        </is>
      </c>
      <c r="H3427" t="inlineStr">
        <is>
          <t>Finalizados</t>
        </is>
      </c>
      <c r="J3427" t="n">
        <v>23</v>
      </c>
      <c r="AU3427" t="n">
        <v>23</v>
      </c>
    </row>
    <row r="3428">
      <c r="A3428" t="n">
        <v>434</v>
      </c>
      <c r="B3428" t="inlineStr">
        <is>
          <t>Generación de Residuos Peligrosos Mensual</t>
        </is>
      </c>
      <c r="C3428" t="inlineStr">
        <is>
          <t>GESTIÓN AMBIENTAL</t>
        </is>
      </c>
      <c r="D3428" t="inlineStr">
        <is>
          <t>Mensual</t>
        </is>
      </c>
      <c r="E3428" t="inlineStr">
        <is>
          <t>Negativo</t>
        </is>
      </c>
      <c r="F3428" s="105" t="n">
        <v>45961</v>
      </c>
      <c r="G3428" t="inlineStr">
        <is>
          <t>434-2025-10-31</t>
        </is>
      </c>
      <c r="H3428" t="inlineStr">
        <is>
          <t>Campus Bogotá</t>
        </is>
      </c>
      <c r="I3428" t="n">
        <v>100</v>
      </c>
      <c r="J3428" t="n">
        <v>4006.199951171875</v>
      </c>
      <c r="AV3428" t="n">
        <v>4006.2</v>
      </c>
    </row>
    <row r="3429">
      <c r="A3429" t="n">
        <v>434</v>
      </c>
      <c r="B3429" t="inlineStr">
        <is>
          <t>Generación de Residuos Peligrosos Mensual</t>
        </is>
      </c>
      <c r="C3429" t="inlineStr">
        <is>
          <t>GESTIÓN AMBIENTAL</t>
        </is>
      </c>
      <c r="D3429" t="inlineStr">
        <is>
          <t>Mensual</t>
        </is>
      </c>
      <c r="E3429" t="inlineStr">
        <is>
          <t>Negativo</t>
        </is>
      </c>
      <c r="F3429" s="105" t="n">
        <v>45961</v>
      </c>
      <c r="G3429" t="inlineStr">
        <is>
          <t>434-2025-10-31</t>
        </is>
      </c>
      <c r="H3429" t="inlineStr">
        <is>
          <t>City Campus</t>
        </is>
      </c>
      <c r="I3429" t="n">
        <v>25</v>
      </c>
      <c r="J3429" t="n">
        <v>68.45999908447266</v>
      </c>
      <c r="AV3429" t="n">
        <v>68.45999999999999</v>
      </c>
    </row>
    <row r="3430">
      <c r="A3430" t="n">
        <v>434</v>
      </c>
      <c r="B3430" t="inlineStr">
        <is>
          <t>Generación de Residuos Peligrosos Mensual</t>
        </is>
      </c>
      <c r="C3430" t="inlineStr">
        <is>
          <t>GESTIÓN AMBIENTAL</t>
        </is>
      </c>
      <c r="D3430" t="inlineStr">
        <is>
          <t>Mensual</t>
        </is>
      </c>
      <c r="E3430" t="inlineStr">
        <is>
          <t>Negativo</t>
        </is>
      </c>
      <c r="F3430" s="105" t="n">
        <v>45961</v>
      </c>
      <c r="G3430" t="inlineStr">
        <is>
          <t>434-2025-10-31</t>
        </is>
      </c>
      <c r="H3430" t="inlineStr">
        <is>
          <t>Sede Posgrado-Calle 85</t>
        </is>
      </c>
      <c r="I3430" t="n">
        <v>200</v>
      </c>
      <c r="J3430" t="n">
        <v>0</v>
      </c>
      <c r="AV3430" t="n">
        <v>0</v>
      </c>
    </row>
    <row r="3431">
      <c r="A3431" t="n">
        <v>434</v>
      </c>
      <c r="B3431" t="inlineStr">
        <is>
          <t>Generación de Residuos Peligrosos Mensual</t>
        </is>
      </c>
      <c r="C3431" t="inlineStr">
        <is>
          <t>GESTIÓN AMBIENTAL</t>
        </is>
      </c>
      <c r="D3431" t="inlineStr">
        <is>
          <t>Mensual</t>
        </is>
      </c>
      <c r="E3431" t="inlineStr">
        <is>
          <t>Negativo</t>
        </is>
      </c>
      <c r="F3431" s="105" t="n">
        <v>45961</v>
      </c>
      <c r="G3431" t="inlineStr">
        <is>
          <t>434-2025-10-31</t>
        </is>
      </c>
      <c r="H3431" t="inlineStr">
        <is>
          <t>Sede Bienestar - Medellín</t>
        </is>
      </c>
      <c r="I3431" t="n">
        <v>10</v>
      </c>
      <c r="J3431" t="n">
        <v>0.1000000014901161</v>
      </c>
      <c r="AV3431" t="n">
        <v>0.1</v>
      </c>
    </row>
    <row r="3432">
      <c r="A3432" t="n">
        <v>434</v>
      </c>
      <c r="B3432" t="inlineStr">
        <is>
          <t>Generación de Residuos Peligrosos Mensual</t>
        </is>
      </c>
      <c r="C3432" t="inlineStr">
        <is>
          <t>GESTIÓN AMBIENTAL</t>
        </is>
      </c>
      <c r="D3432" t="inlineStr">
        <is>
          <t>Mensual</t>
        </is>
      </c>
      <c r="E3432" t="inlineStr">
        <is>
          <t>Negativo</t>
        </is>
      </c>
      <c r="F3432" s="105" t="n">
        <v>45961</v>
      </c>
      <c r="G3432" t="inlineStr">
        <is>
          <t>434-2025-10-31</t>
        </is>
      </c>
      <c r="H3432" t="inlineStr">
        <is>
          <t>Consultorio Psicología - Medellin</t>
        </is>
      </c>
      <c r="I3432" t="n">
        <v>200</v>
      </c>
      <c r="J3432" t="n">
        <v>0</v>
      </c>
      <c r="AV3432" t="n">
        <v>0</v>
      </c>
    </row>
    <row r="3433">
      <c r="A3433" t="n">
        <v>434</v>
      </c>
      <c r="B3433" t="inlineStr">
        <is>
          <t>Generación de Residuos Peligrosos Mensual</t>
        </is>
      </c>
      <c r="C3433" t="inlineStr">
        <is>
          <t>GESTIÓN AMBIENTAL</t>
        </is>
      </c>
      <c r="D3433" t="inlineStr">
        <is>
          <t>Mensual</t>
        </is>
      </c>
      <c r="E3433" t="inlineStr">
        <is>
          <t>Negativo</t>
        </is>
      </c>
      <c r="F3433" s="105" t="n">
        <v>45961</v>
      </c>
      <c r="G3433" t="inlineStr">
        <is>
          <t>434-2025-10-31</t>
        </is>
      </c>
      <c r="H3433" t="inlineStr">
        <is>
          <t>Campus-Medellín</t>
        </is>
      </c>
      <c r="I3433" t="n">
        <v>25</v>
      </c>
      <c r="J3433" t="n">
        <v>449.7000122070312</v>
      </c>
      <c r="AV3433" t="n">
        <v>449.7</v>
      </c>
    </row>
    <row r="3434">
      <c r="A3434" t="n">
        <v>436</v>
      </c>
      <c r="B3434" t="inlineStr">
        <is>
          <t>ANS documentos operativos</t>
        </is>
      </c>
      <c r="C3434" t="inlineStr">
        <is>
          <t>Gestión de calidad</t>
        </is>
      </c>
      <c r="D3434" t="inlineStr">
        <is>
          <t>Mensual</t>
        </is>
      </c>
      <c r="E3434" t="inlineStr">
        <is>
          <t>Negativo</t>
        </is>
      </c>
      <c r="F3434" s="105" t="n">
        <v>45961</v>
      </c>
      <c r="G3434" t="inlineStr">
        <is>
          <t>436-2025-10-31</t>
        </is>
      </c>
      <c r="H3434" t="inlineStr">
        <is>
          <t>Solicitud Documental</t>
        </is>
      </c>
      <c r="I3434" t="n">
        <v>7</v>
      </c>
      <c r="J3434" t="n">
        <v>4.739999771118164</v>
      </c>
      <c r="CP3434" t="n">
        <v>4.74</v>
      </c>
    </row>
    <row r="3435">
      <c r="A3435" t="n">
        <v>436</v>
      </c>
      <c r="B3435" t="inlineStr">
        <is>
          <t>ANS documentos operativos</t>
        </is>
      </c>
      <c r="C3435" t="inlineStr">
        <is>
          <t>Gestión de calidad</t>
        </is>
      </c>
      <c r="D3435" t="inlineStr">
        <is>
          <t>Mensual</t>
        </is>
      </c>
      <c r="E3435" t="inlineStr">
        <is>
          <t>Negativo</t>
        </is>
      </c>
      <c r="F3435" s="105" t="n">
        <v>45961</v>
      </c>
      <c r="G3435" t="inlineStr">
        <is>
          <t>436-2025-10-31</t>
        </is>
      </c>
      <c r="H3435" t="inlineStr">
        <is>
          <t>Flujo de aprobación</t>
        </is>
      </c>
      <c r="I3435" t="n">
        <v>7</v>
      </c>
      <c r="J3435" t="n">
        <v>10.75</v>
      </c>
      <c r="CP3435" t="n">
        <v>10.75</v>
      </c>
    </row>
    <row r="3436">
      <c r="A3436" t="n">
        <v>485</v>
      </c>
      <c r="B3436" t="inlineStr">
        <is>
          <t>Oportunidad en el cierre de acciones</t>
        </is>
      </c>
      <c r="C3436" t="inlineStr">
        <is>
          <t>Gestión de calidad</t>
        </is>
      </c>
      <c r="D3436" t="inlineStr">
        <is>
          <t>Mensual</t>
        </is>
      </c>
      <c r="E3436" t="inlineStr">
        <is>
          <t>Positivo</t>
        </is>
      </c>
      <c r="F3436" s="105" t="n">
        <v>45961</v>
      </c>
      <c r="G3436" t="inlineStr">
        <is>
          <t>485-2025-10-31</t>
        </is>
      </c>
      <c r="H3436" t="inlineStr">
        <is>
          <t>Auditoría externa</t>
        </is>
      </c>
      <c r="I3436" t="n">
        <v>80</v>
      </c>
      <c r="J3436" t="n">
        <v>100</v>
      </c>
      <c r="EC3436" t="n">
        <v>1</v>
      </c>
      <c r="ED3436" t="n">
        <v>1</v>
      </c>
    </row>
    <row r="3437">
      <c r="A3437" t="n">
        <v>485</v>
      </c>
      <c r="B3437" t="inlineStr">
        <is>
          <t>Oportunidad en el cierre de acciones</t>
        </is>
      </c>
      <c r="C3437" t="inlineStr">
        <is>
          <t>Gestión de calidad</t>
        </is>
      </c>
      <c r="D3437" t="inlineStr">
        <is>
          <t>Mensual</t>
        </is>
      </c>
      <c r="E3437" t="inlineStr">
        <is>
          <t>Positivo</t>
        </is>
      </c>
      <c r="F3437" s="105" t="n">
        <v>45961</v>
      </c>
      <c r="G3437" t="inlineStr">
        <is>
          <t>485-2025-10-31</t>
        </is>
      </c>
      <c r="H3437" t="inlineStr">
        <is>
          <t>Indicadores</t>
        </is>
      </c>
      <c r="I3437" t="n">
        <v>80</v>
      </c>
      <c r="J3437" t="n">
        <v>100</v>
      </c>
      <c r="EC3437" t="n">
        <v>2</v>
      </c>
      <c r="ED3437" t="n">
        <v>2</v>
      </c>
    </row>
    <row r="3438">
      <c r="A3438" t="n">
        <v>485</v>
      </c>
      <c r="B3438" t="inlineStr">
        <is>
          <t>Oportunidad en el cierre de acciones</t>
        </is>
      </c>
      <c r="C3438" t="inlineStr">
        <is>
          <t>Gestión de calidad</t>
        </is>
      </c>
      <c r="D3438" t="inlineStr">
        <is>
          <t>Mensual</t>
        </is>
      </c>
      <c r="E3438" t="inlineStr">
        <is>
          <t>Positivo</t>
        </is>
      </c>
      <c r="F3438" s="105" t="n">
        <v>45961</v>
      </c>
      <c r="G3438" t="inlineStr">
        <is>
          <t>485-2025-10-31</t>
        </is>
      </c>
      <c r="H3438" t="inlineStr">
        <is>
          <t>Riesgos</t>
        </is>
      </c>
      <c r="I3438" t="n">
        <v>80</v>
      </c>
      <c r="J3438" t="n">
        <v>0</v>
      </c>
      <c r="EC3438" t="n">
        <v>0</v>
      </c>
      <c r="ED3438" t="n">
        <v>0</v>
      </c>
    </row>
    <row r="3439">
      <c r="A3439" t="n">
        <v>485</v>
      </c>
      <c r="B3439" t="inlineStr">
        <is>
          <t>Oportunidad en el cierre de acciones</t>
        </is>
      </c>
      <c r="C3439" t="inlineStr">
        <is>
          <t>Gestión de calidad</t>
        </is>
      </c>
      <c r="D3439" t="inlineStr">
        <is>
          <t>Mensual</t>
        </is>
      </c>
      <c r="E3439" t="inlineStr">
        <is>
          <t>Positivo</t>
        </is>
      </c>
      <c r="F3439" s="105" t="n">
        <v>45961</v>
      </c>
      <c r="G3439" t="inlineStr">
        <is>
          <t>485-2025-10-31</t>
        </is>
      </c>
      <c r="H3439" t="inlineStr">
        <is>
          <t>Autoevaluación</t>
        </is>
      </c>
      <c r="I3439" t="n">
        <v>80</v>
      </c>
      <c r="J3439" t="n">
        <v>0</v>
      </c>
      <c r="EC3439" t="n">
        <v>0</v>
      </c>
      <c r="ED3439" t="n">
        <v>0</v>
      </c>
    </row>
    <row r="3440">
      <c r="A3440" t="n">
        <v>485</v>
      </c>
      <c r="B3440" t="inlineStr">
        <is>
          <t>Oportunidad en el cierre de acciones</t>
        </is>
      </c>
      <c r="C3440" t="inlineStr">
        <is>
          <t>Gestión de calidad</t>
        </is>
      </c>
      <c r="D3440" t="inlineStr">
        <is>
          <t>Mensual</t>
        </is>
      </c>
      <c r="E3440" t="inlineStr">
        <is>
          <t>Positivo</t>
        </is>
      </c>
      <c r="F3440" s="105" t="n">
        <v>45961</v>
      </c>
      <c r="G3440" t="inlineStr">
        <is>
          <t>485-2025-10-31</t>
        </is>
      </c>
      <c r="H3440" t="inlineStr">
        <is>
          <t>Entes de control</t>
        </is>
      </c>
      <c r="I3440" t="n">
        <v>80</v>
      </c>
      <c r="J3440" t="n">
        <v>0</v>
      </c>
      <c r="EC3440" t="n">
        <v>0</v>
      </c>
      <c r="ED3440" t="n">
        <v>0</v>
      </c>
    </row>
    <row r="3441">
      <c r="A3441" t="n">
        <v>485</v>
      </c>
      <c r="B3441" t="inlineStr">
        <is>
          <t>Oportunidad en el cierre de acciones</t>
        </is>
      </c>
      <c r="C3441" t="inlineStr">
        <is>
          <t>Gestión de calidad</t>
        </is>
      </c>
      <c r="D3441" t="inlineStr">
        <is>
          <t>Mensual</t>
        </is>
      </c>
      <c r="E3441" t="inlineStr">
        <is>
          <t>Positivo</t>
        </is>
      </c>
      <c r="F3441" s="105" t="n">
        <v>45961</v>
      </c>
      <c r="G3441" t="inlineStr">
        <is>
          <t>485-2025-10-31</t>
        </is>
      </c>
      <c r="H3441" t="inlineStr">
        <is>
          <t>Seguimiento y control</t>
        </is>
      </c>
      <c r="I3441" t="n">
        <v>80</v>
      </c>
      <c r="J3441" t="n">
        <v>0</v>
      </c>
      <c r="EC3441" t="n">
        <v>0</v>
      </c>
      <c r="ED3441" t="n">
        <v>0</v>
      </c>
    </row>
    <row r="3442">
      <c r="A3442" t="n">
        <v>485</v>
      </c>
      <c r="B3442" t="inlineStr">
        <is>
          <t>Oportunidad en el cierre de acciones</t>
        </is>
      </c>
      <c r="C3442" t="inlineStr">
        <is>
          <t>Gestión de calidad</t>
        </is>
      </c>
      <c r="D3442" t="inlineStr">
        <is>
          <t>Mensual</t>
        </is>
      </c>
      <c r="E3442" t="inlineStr">
        <is>
          <t>Positivo</t>
        </is>
      </c>
      <c r="F3442" s="105" t="n">
        <v>45961</v>
      </c>
      <c r="G3442" t="inlineStr">
        <is>
          <t>485-2025-10-31</t>
        </is>
      </c>
      <c r="H3442" t="inlineStr">
        <is>
          <t>Experiencia</t>
        </is>
      </c>
      <c r="I3442" t="n">
        <v>80</v>
      </c>
      <c r="J3442" t="n">
        <v>0</v>
      </c>
      <c r="EC3442" t="n">
        <v>0</v>
      </c>
      <c r="ED3442" t="n">
        <v>0</v>
      </c>
    </row>
    <row r="3443">
      <c r="A3443" t="n">
        <v>485</v>
      </c>
      <c r="B3443" t="inlineStr">
        <is>
          <t>Oportunidad en el cierre de acciones</t>
        </is>
      </c>
      <c r="C3443" t="inlineStr">
        <is>
          <t>Gestión de calidad</t>
        </is>
      </c>
      <c r="D3443" t="inlineStr">
        <is>
          <t>Mensual</t>
        </is>
      </c>
      <c r="E3443" t="inlineStr">
        <is>
          <t>Positivo</t>
        </is>
      </c>
      <c r="F3443" s="105" t="n">
        <v>45961</v>
      </c>
      <c r="G3443" t="inlineStr">
        <is>
          <t>485-2025-10-31</t>
        </is>
      </c>
      <c r="H3443" t="inlineStr">
        <is>
          <t>Revisión por la dirección</t>
        </is>
      </c>
      <c r="I3443" t="n">
        <v>80</v>
      </c>
      <c r="J3443" t="n">
        <v>0</v>
      </c>
      <c r="EC3443" t="n">
        <v>0</v>
      </c>
      <c r="ED3443" t="n">
        <v>0</v>
      </c>
    </row>
    <row r="3444">
      <c r="A3444" t="n">
        <v>488</v>
      </c>
      <c r="B3444" t="inlineStr">
        <is>
          <t>Oportunidad en el cierre de actividades de los planes de mejora</t>
        </is>
      </c>
      <c r="C3444" t="inlineStr">
        <is>
          <t>Gestión de calidad</t>
        </is>
      </c>
      <c r="D3444" t="inlineStr">
        <is>
          <t>Mensual</t>
        </is>
      </c>
      <c r="E3444" t="inlineStr">
        <is>
          <t>Positivo</t>
        </is>
      </c>
      <c r="F3444" s="105" t="n">
        <v>45961</v>
      </c>
      <c r="G3444" t="inlineStr">
        <is>
          <t>488-2025-10-31</t>
        </is>
      </c>
      <c r="H3444" t="inlineStr">
        <is>
          <t>Auditoría interna</t>
        </is>
      </c>
      <c r="I3444" t="n">
        <v>85</v>
      </c>
      <c r="J3444" t="n">
        <v>82.34999847412109</v>
      </c>
      <c r="EE3444" t="n">
        <v>14</v>
      </c>
      <c r="EF3444" t="n">
        <v>17</v>
      </c>
    </row>
    <row r="3445">
      <c r="A3445" t="n">
        <v>488</v>
      </c>
      <c r="B3445" t="inlineStr">
        <is>
          <t>Oportunidad en el cierre de actividades de los planes de mejora</t>
        </is>
      </c>
      <c r="C3445" t="inlineStr">
        <is>
          <t>Gestión de calidad</t>
        </is>
      </c>
      <c r="D3445" t="inlineStr">
        <is>
          <t>Mensual</t>
        </is>
      </c>
      <c r="E3445" t="inlineStr">
        <is>
          <t>Positivo</t>
        </is>
      </c>
      <c r="F3445" s="105" t="n">
        <v>45961</v>
      </c>
      <c r="G3445" t="inlineStr">
        <is>
          <t>488-2025-10-31</t>
        </is>
      </c>
      <c r="H3445" t="inlineStr">
        <is>
          <t>Auditoría externa</t>
        </is>
      </c>
      <c r="I3445" t="n">
        <v>85</v>
      </c>
      <c r="J3445" t="n">
        <v>0</v>
      </c>
      <c r="EE3445" t="n">
        <v>0</v>
      </c>
      <c r="EF3445" t="n">
        <v>0</v>
      </c>
    </row>
    <row r="3446">
      <c r="A3446" t="n">
        <v>488</v>
      </c>
      <c r="B3446" t="inlineStr">
        <is>
          <t>Oportunidad en el cierre de actividades de los planes de mejora</t>
        </is>
      </c>
      <c r="C3446" t="inlineStr">
        <is>
          <t>Gestión de calidad</t>
        </is>
      </c>
      <c r="D3446" t="inlineStr">
        <is>
          <t>Mensual</t>
        </is>
      </c>
      <c r="E3446" t="inlineStr">
        <is>
          <t>Positivo</t>
        </is>
      </c>
      <c r="F3446" s="105" t="n">
        <v>45961</v>
      </c>
      <c r="G3446" t="inlineStr">
        <is>
          <t>488-2025-10-31</t>
        </is>
      </c>
      <c r="H3446" t="inlineStr">
        <is>
          <t>Indicadores</t>
        </is>
      </c>
      <c r="I3446" t="n">
        <v>85</v>
      </c>
      <c r="J3446" t="n">
        <v>83.33000183105469</v>
      </c>
      <c r="EE3446" t="n">
        <v>5</v>
      </c>
      <c r="EF3446" t="n">
        <v>6</v>
      </c>
    </row>
    <row r="3447">
      <c r="A3447" t="n">
        <v>488</v>
      </c>
      <c r="B3447" t="inlineStr">
        <is>
          <t>Oportunidad en el cierre de actividades de los planes de mejora</t>
        </is>
      </c>
      <c r="C3447" t="inlineStr">
        <is>
          <t>Gestión de calidad</t>
        </is>
      </c>
      <c r="D3447" t="inlineStr">
        <is>
          <t>Mensual</t>
        </is>
      </c>
      <c r="E3447" t="inlineStr">
        <is>
          <t>Positivo</t>
        </is>
      </c>
      <c r="F3447" s="105" t="n">
        <v>45961</v>
      </c>
      <c r="G3447" t="inlineStr">
        <is>
          <t>488-2025-10-31</t>
        </is>
      </c>
      <c r="H3447" t="inlineStr">
        <is>
          <t>Riesgos</t>
        </is>
      </c>
      <c r="I3447" t="n">
        <v>85</v>
      </c>
      <c r="J3447" t="n">
        <v>97.83000183105469</v>
      </c>
      <c r="EE3447" t="n">
        <v>45</v>
      </c>
      <c r="EF3447" t="n">
        <v>46</v>
      </c>
    </row>
    <row r="3448">
      <c r="A3448" t="n">
        <v>488</v>
      </c>
      <c r="B3448" t="inlineStr">
        <is>
          <t>Oportunidad en el cierre de actividades de los planes de mejora</t>
        </is>
      </c>
      <c r="C3448" t="inlineStr">
        <is>
          <t>Gestión de calidad</t>
        </is>
      </c>
      <c r="D3448" t="inlineStr">
        <is>
          <t>Mensual</t>
        </is>
      </c>
      <c r="E3448" t="inlineStr">
        <is>
          <t>Positivo</t>
        </is>
      </c>
      <c r="F3448" s="105" t="n">
        <v>45961</v>
      </c>
      <c r="G3448" t="inlineStr">
        <is>
          <t>488-2025-10-31</t>
        </is>
      </c>
      <c r="H3448" t="inlineStr">
        <is>
          <t>Autoevaluación</t>
        </is>
      </c>
      <c r="I3448" t="n">
        <v>85</v>
      </c>
      <c r="J3448" t="n">
        <v>0</v>
      </c>
      <c r="EE3448" t="n">
        <v>0</v>
      </c>
      <c r="EF3448" t="n">
        <v>0</v>
      </c>
    </row>
    <row r="3449">
      <c r="A3449" t="n">
        <v>488</v>
      </c>
      <c r="B3449" t="inlineStr">
        <is>
          <t>Oportunidad en el cierre de actividades de los planes de mejora</t>
        </is>
      </c>
      <c r="C3449" t="inlineStr">
        <is>
          <t>Gestión de calidad</t>
        </is>
      </c>
      <c r="D3449" t="inlineStr">
        <is>
          <t>Mensual</t>
        </is>
      </c>
      <c r="E3449" t="inlineStr">
        <is>
          <t>Positivo</t>
        </is>
      </c>
      <c r="F3449" s="105" t="n">
        <v>45961</v>
      </c>
      <c r="G3449" t="inlineStr">
        <is>
          <t>488-2025-10-31</t>
        </is>
      </c>
      <c r="H3449" t="inlineStr">
        <is>
          <t>Entes de control</t>
        </is>
      </c>
      <c r="I3449" t="n">
        <v>85</v>
      </c>
      <c r="J3449" t="n">
        <v>0</v>
      </c>
      <c r="EE3449" t="n">
        <v>0</v>
      </c>
      <c r="EF3449" t="n">
        <v>0</v>
      </c>
    </row>
    <row r="3450">
      <c r="A3450" t="n">
        <v>488</v>
      </c>
      <c r="B3450" t="inlineStr">
        <is>
          <t>Oportunidad en el cierre de actividades de los planes de mejora</t>
        </is>
      </c>
      <c r="C3450" t="inlineStr">
        <is>
          <t>Gestión de calidad</t>
        </is>
      </c>
      <c r="D3450" t="inlineStr">
        <is>
          <t>Mensual</t>
        </is>
      </c>
      <c r="E3450" t="inlineStr">
        <is>
          <t>Positivo</t>
        </is>
      </c>
      <c r="F3450" s="105" t="n">
        <v>45961</v>
      </c>
      <c r="G3450" t="inlineStr">
        <is>
          <t>488-2025-10-31</t>
        </is>
      </c>
      <c r="H3450" t="inlineStr">
        <is>
          <t>Seguimiento y control</t>
        </is>
      </c>
      <c r="I3450" t="n">
        <v>85</v>
      </c>
      <c r="J3450" t="n">
        <v>73.80999755859375</v>
      </c>
      <c r="EE3450" t="n">
        <v>31</v>
      </c>
      <c r="EF3450" t="n">
        <v>42</v>
      </c>
    </row>
    <row r="3451">
      <c r="A3451" t="n">
        <v>488</v>
      </c>
      <c r="B3451" t="inlineStr">
        <is>
          <t>Oportunidad en el cierre de actividades de los planes de mejora</t>
        </is>
      </c>
      <c r="C3451" t="inlineStr">
        <is>
          <t>Gestión de calidad</t>
        </is>
      </c>
      <c r="D3451" t="inlineStr">
        <is>
          <t>Mensual</t>
        </is>
      </c>
      <c r="E3451" t="inlineStr">
        <is>
          <t>Positivo</t>
        </is>
      </c>
      <c r="F3451" s="105" t="n">
        <v>45961</v>
      </c>
      <c r="G3451" t="inlineStr">
        <is>
          <t>488-2025-10-31</t>
        </is>
      </c>
      <c r="H3451" t="inlineStr">
        <is>
          <t>Experiencia</t>
        </is>
      </c>
      <c r="I3451" t="n">
        <v>85</v>
      </c>
      <c r="J3451" t="n">
        <v>0</v>
      </c>
      <c r="EE3451" t="n">
        <v>0</v>
      </c>
      <c r="EF3451" t="n">
        <v>0</v>
      </c>
    </row>
    <row r="3452">
      <c r="A3452" t="n">
        <v>488</v>
      </c>
      <c r="B3452" t="inlineStr">
        <is>
          <t>Oportunidad en el cierre de actividades de los planes de mejora</t>
        </is>
      </c>
      <c r="C3452" t="inlineStr">
        <is>
          <t>Gestión de calidad</t>
        </is>
      </c>
      <c r="D3452" t="inlineStr">
        <is>
          <t>Mensual</t>
        </is>
      </c>
      <c r="E3452" t="inlineStr">
        <is>
          <t>Positivo</t>
        </is>
      </c>
      <c r="F3452" s="105" t="n">
        <v>45961</v>
      </c>
      <c r="G3452" t="inlineStr">
        <is>
          <t>488-2025-10-31</t>
        </is>
      </c>
      <c r="H3452" t="inlineStr">
        <is>
          <t>Revisión por la dirección</t>
        </is>
      </c>
      <c r="I3452" t="n">
        <v>85</v>
      </c>
      <c r="J3452" t="n">
        <v>0</v>
      </c>
      <c r="EE3452" t="n">
        <v>0</v>
      </c>
      <c r="EF3452" t="n">
        <v>0</v>
      </c>
    </row>
    <row r="3453">
      <c r="A3453" t="n">
        <v>208</v>
      </c>
      <c r="B3453" t="inlineStr">
        <is>
          <t>Consumo de Agua m3 Mensual</t>
        </is>
      </c>
      <c r="C3453" t="inlineStr">
        <is>
          <t>GESTIÓN AMBIENTAL</t>
        </is>
      </c>
      <c r="D3453" t="inlineStr">
        <is>
          <t>Mensual</t>
        </is>
      </c>
      <c r="E3453" t="inlineStr">
        <is>
          <t>Negativo</t>
        </is>
      </c>
      <c r="F3453" s="105" t="n">
        <v>45991</v>
      </c>
      <c r="G3453" t="inlineStr">
        <is>
          <t>208-2025-11-30</t>
        </is>
      </c>
      <c r="H3453" t="inlineStr">
        <is>
          <t>Campus Bogotá</t>
        </is>
      </c>
      <c r="I3453" t="n">
        <v>950</v>
      </c>
      <c r="J3453" t="n">
        <v>671</v>
      </c>
      <c r="K3453" t="n">
        <v>671</v>
      </c>
    </row>
    <row r="3454">
      <c r="A3454" t="n">
        <v>208</v>
      </c>
      <c r="B3454" t="inlineStr">
        <is>
          <t>Consumo de Agua m3 Mensual</t>
        </is>
      </c>
      <c r="C3454" t="inlineStr">
        <is>
          <t>GESTIÓN AMBIENTAL</t>
        </is>
      </c>
      <c r="D3454" t="inlineStr">
        <is>
          <t>Mensual</t>
        </is>
      </c>
      <c r="E3454" t="inlineStr">
        <is>
          <t>Negativo</t>
        </is>
      </c>
      <c r="F3454" s="105" t="n">
        <v>45991</v>
      </c>
      <c r="G3454" t="inlineStr">
        <is>
          <t>208-2025-11-30</t>
        </is>
      </c>
      <c r="H3454" t="inlineStr">
        <is>
          <t>City Campus</t>
        </is>
      </c>
      <c r="I3454" t="n">
        <v>350</v>
      </c>
      <c r="J3454" t="n">
        <v>266</v>
      </c>
      <c r="K3454" t="n">
        <v>266</v>
      </c>
    </row>
    <row r="3455">
      <c r="A3455" t="n">
        <v>208</v>
      </c>
      <c r="B3455" t="inlineStr">
        <is>
          <t>Consumo de Agua m3 Mensual</t>
        </is>
      </c>
      <c r="C3455" t="inlineStr">
        <is>
          <t>GESTIÓN AMBIENTAL</t>
        </is>
      </c>
      <c r="D3455" t="inlineStr">
        <is>
          <t>Mensual</t>
        </is>
      </c>
      <c r="E3455" t="inlineStr">
        <is>
          <t>Negativo</t>
        </is>
      </c>
      <c r="F3455" s="105" t="n">
        <v>45991</v>
      </c>
      <c r="G3455" t="inlineStr">
        <is>
          <t>208-2025-11-30</t>
        </is>
      </c>
      <c r="H3455" t="inlineStr">
        <is>
          <t>Sede Posgrado-Calle 85</t>
        </is>
      </c>
      <c r="I3455" t="n">
        <v>25</v>
      </c>
      <c r="J3455" t="n">
        <v>4</v>
      </c>
      <c r="K3455" t="n">
        <v>4</v>
      </c>
    </row>
    <row r="3456">
      <c r="A3456" t="n">
        <v>208</v>
      </c>
      <c r="B3456" t="inlineStr">
        <is>
          <t>Consumo de Agua m3 Mensual</t>
        </is>
      </c>
      <c r="C3456" t="inlineStr">
        <is>
          <t>GESTIÓN AMBIENTAL</t>
        </is>
      </c>
      <c r="D3456" t="inlineStr">
        <is>
          <t>Mensual</t>
        </is>
      </c>
      <c r="E3456" t="inlineStr">
        <is>
          <t>Negativo</t>
        </is>
      </c>
      <c r="F3456" s="105" t="n">
        <v>45991</v>
      </c>
      <c r="G3456" t="inlineStr">
        <is>
          <t>208-2025-11-30</t>
        </is>
      </c>
      <c r="H3456" t="inlineStr">
        <is>
          <t>Campus-Medellín</t>
        </is>
      </c>
      <c r="I3456" t="n">
        <v>200</v>
      </c>
      <c r="J3456" t="n">
        <v>168</v>
      </c>
      <c r="K3456" t="n">
        <v>168</v>
      </c>
    </row>
    <row r="3457">
      <c r="A3457" t="n">
        <v>208</v>
      </c>
      <c r="B3457" t="inlineStr">
        <is>
          <t>Consumo de Agua m3 Mensual</t>
        </is>
      </c>
      <c r="C3457" t="inlineStr">
        <is>
          <t>GESTIÓN AMBIENTAL</t>
        </is>
      </c>
      <c r="D3457" t="inlineStr">
        <is>
          <t>Mensual</t>
        </is>
      </c>
      <c r="E3457" t="inlineStr">
        <is>
          <t>Negativo</t>
        </is>
      </c>
      <c r="F3457" s="105" t="n">
        <v>45991</v>
      </c>
      <c r="G3457" t="inlineStr">
        <is>
          <t>208-2025-11-30</t>
        </is>
      </c>
      <c r="H3457" t="inlineStr">
        <is>
          <t>Sede Bienestar - Medellín</t>
        </is>
      </c>
      <c r="I3457" t="n">
        <v>0</v>
      </c>
      <c r="J3457" t="n">
        <v>0</v>
      </c>
      <c r="K3457" t="n">
        <v>0</v>
      </c>
    </row>
    <row r="3458">
      <c r="A3458" t="n">
        <v>208</v>
      </c>
      <c r="B3458" t="inlineStr">
        <is>
          <t>Consumo de Agua m3 Mensual</t>
        </is>
      </c>
      <c r="C3458" t="inlineStr">
        <is>
          <t>GESTIÓN AMBIENTAL</t>
        </is>
      </c>
      <c r="D3458" t="inlineStr">
        <is>
          <t>Mensual</t>
        </is>
      </c>
      <c r="E3458" t="inlineStr">
        <is>
          <t>Negativo</t>
        </is>
      </c>
      <c r="F3458" s="105" t="n">
        <v>45991</v>
      </c>
      <c r="G3458" t="inlineStr">
        <is>
          <t>208-2025-11-30</t>
        </is>
      </c>
      <c r="H3458" t="inlineStr">
        <is>
          <t>Consultorio Psicología - Medellin</t>
        </is>
      </c>
      <c r="I3458" t="n">
        <v>25</v>
      </c>
      <c r="J3458" t="n">
        <v>17</v>
      </c>
      <c r="K3458" t="n">
        <v>17</v>
      </c>
    </row>
    <row r="3459">
      <c r="A3459" t="n">
        <v>214</v>
      </c>
      <c r="B3459" t="inlineStr">
        <is>
          <t>Generación de Residuos Sólidos Mensual</t>
        </is>
      </c>
      <c r="C3459" t="inlineStr">
        <is>
          <t>GESTIÓN AMBIENTAL</t>
        </is>
      </c>
      <c r="D3459" t="inlineStr">
        <is>
          <t>Mensual</t>
        </is>
      </c>
      <c r="E3459" t="inlineStr">
        <is>
          <t>Negativo</t>
        </is>
      </c>
      <c r="F3459" s="105" t="n">
        <v>45991</v>
      </c>
      <c r="G3459" t="inlineStr">
        <is>
          <t>214-2025-11-30</t>
        </is>
      </c>
      <c r="H3459" t="inlineStr">
        <is>
          <t>Campus Bogotá</t>
        </is>
      </c>
      <c r="I3459" t="n">
        <v>5500</v>
      </c>
      <c r="J3459" t="n">
        <v>2866.3798828125</v>
      </c>
      <c r="L3459" t="n">
        <v>1071.44</v>
      </c>
      <c r="M3459" t="n">
        <v>1794.94</v>
      </c>
    </row>
    <row r="3460">
      <c r="A3460" t="n">
        <v>214</v>
      </c>
      <c r="B3460" t="inlineStr">
        <is>
          <t>Generación de Residuos Sólidos Mensual</t>
        </is>
      </c>
      <c r="C3460" t="inlineStr">
        <is>
          <t>GESTIÓN AMBIENTAL</t>
        </is>
      </c>
      <c r="D3460" t="inlineStr">
        <is>
          <t>Mensual</t>
        </is>
      </c>
      <c r="E3460" t="inlineStr">
        <is>
          <t>Negativo</t>
        </is>
      </c>
      <c r="F3460" s="105" t="n">
        <v>45991</v>
      </c>
      <c r="G3460" t="inlineStr">
        <is>
          <t>214-2025-11-30</t>
        </is>
      </c>
      <c r="H3460" t="inlineStr">
        <is>
          <t>Sede Posgrado-Calle 85</t>
        </is>
      </c>
      <c r="I3460" t="n">
        <v>7500</v>
      </c>
      <c r="J3460" t="n">
        <v>48.97999954223633</v>
      </c>
      <c r="L3460" t="n">
        <v>2.9</v>
      </c>
      <c r="M3460" t="n">
        <v>46.08</v>
      </c>
    </row>
    <row r="3461">
      <c r="A3461" t="n">
        <v>214</v>
      </c>
      <c r="B3461" t="inlineStr">
        <is>
          <t>Generación de Residuos Sólidos Mensual</t>
        </is>
      </c>
      <c r="C3461" t="inlineStr">
        <is>
          <t>GESTIÓN AMBIENTAL</t>
        </is>
      </c>
      <c r="D3461" t="inlineStr">
        <is>
          <t>Mensual</t>
        </is>
      </c>
      <c r="E3461" t="inlineStr">
        <is>
          <t>Negativo</t>
        </is>
      </c>
      <c r="F3461" s="105" t="n">
        <v>45991</v>
      </c>
      <c r="G3461" t="inlineStr">
        <is>
          <t>214-2025-11-30</t>
        </is>
      </c>
      <c r="H3461" t="inlineStr">
        <is>
          <t>Campus-Medellín</t>
        </is>
      </c>
      <c r="I3461" t="n">
        <v>1000</v>
      </c>
      <c r="J3461" t="n">
        <v>1052.300048828125</v>
      </c>
      <c r="L3461" t="n">
        <v>0</v>
      </c>
      <c r="M3461" t="n">
        <v>1052.3</v>
      </c>
    </row>
    <row r="3462">
      <c r="A3462" t="n">
        <v>214</v>
      </c>
      <c r="B3462" t="inlineStr">
        <is>
          <t>Generación de Residuos Sólidos Mensual</t>
        </is>
      </c>
      <c r="C3462" t="inlineStr">
        <is>
          <t>GESTIÓN AMBIENTAL</t>
        </is>
      </c>
      <c r="D3462" t="inlineStr">
        <is>
          <t>Mensual</t>
        </is>
      </c>
      <c r="E3462" t="inlineStr">
        <is>
          <t>Negativo</t>
        </is>
      </c>
      <c r="F3462" s="105" t="n">
        <v>45991</v>
      </c>
      <c r="G3462" t="inlineStr">
        <is>
          <t>214-2025-11-30</t>
        </is>
      </c>
      <c r="H3462" t="inlineStr">
        <is>
          <t>Sede Bienestar - Medellín</t>
        </is>
      </c>
      <c r="I3462" t="n">
        <v>1</v>
      </c>
      <c r="J3462" t="n">
        <v>146.8800048828125</v>
      </c>
      <c r="L3462" t="n">
        <v>20.3</v>
      </c>
      <c r="M3462" t="n">
        <v>126.58</v>
      </c>
    </row>
    <row r="3463">
      <c r="A3463" t="n">
        <v>214</v>
      </c>
      <c r="B3463" t="inlineStr">
        <is>
          <t>Generación de Residuos Sólidos Mensual</t>
        </is>
      </c>
      <c r="C3463" t="inlineStr">
        <is>
          <t>GESTIÓN AMBIENTAL</t>
        </is>
      </c>
      <c r="D3463" t="inlineStr">
        <is>
          <t>Mensual</t>
        </is>
      </c>
      <c r="E3463" t="inlineStr">
        <is>
          <t>Negativo</t>
        </is>
      </c>
      <c r="F3463" s="105" t="n">
        <v>45991</v>
      </c>
      <c r="G3463" t="inlineStr">
        <is>
          <t>214-2025-11-30</t>
        </is>
      </c>
      <c r="H3463" t="inlineStr">
        <is>
          <t>Consultorio Psicología - Medellin</t>
        </is>
      </c>
      <c r="I3463" t="n">
        <v>1</v>
      </c>
      <c r="J3463" t="n">
        <v>31.05999946594238</v>
      </c>
      <c r="L3463" t="n">
        <v>9.66</v>
      </c>
      <c r="M3463" t="n">
        <v>21.4</v>
      </c>
    </row>
    <row r="3464">
      <c r="A3464" t="n">
        <v>214</v>
      </c>
      <c r="B3464" t="inlineStr">
        <is>
          <t>Generación de Residuos Sólidos Mensual</t>
        </is>
      </c>
      <c r="C3464" t="inlineStr">
        <is>
          <t>GESTIÓN AMBIENTAL</t>
        </is>
      </c>
      <c r="D3464" t="inlineStr">
        <is>
          <t>Mensual</t>
        </is>
      </c>
      <c r="E3464" t="inlineStr">
        <is>
          <t>Negativo</t>
        </is>
      </c>
      <c r="F3464" s="105" t="n">
        <v>45991</v>
      </c>
      <c r="G3464" t="inlineStr">
        <is>
          <t>214-2025-11-30</t>
        </is>
      </c>
      <c r="H3464" t="inlineStr">
        <is>
          <t>City Campus</t>
        </is>
      </c>
      <c r="I3464" t="n">
        <v>1000</v>
      </c>
      <c r="J3464" t="n">
        <v>1118.400024414062</v>
      </c>
      <c r="L3464" t="n">
        <v>153.56</v>
      </c>
      <c r="M3464" t="n">
        <v>964.84</v>
      </c>
    </row>
    <row r="3465">
      <c r="A3465" t="n">
        <v>217</v>
      </c>
      <c r="B3465" t="inlineStr">
        <is>
          <t>Aprovechamiento de Residuos</t>
        </is>
      </c>
      <c r="C3465" t="inlineStr">
        <is>
          <t>GESTIÓN AMBIENTAL</t>
        </is>
      </c>
      <c r="D3465" t="inlineStr">
        <is>
          <t>Mensual</t>
        </is>
      </c>
      <c r="E3465" t="inlineStr">
        <is>
          <t>Positivo</t>
        </is>
      </c>
      <c r="F3465" s="105" t="n">
        <v>45991</v>
      </c>
      <c r="G3465" t="inlineStr">
        <is>
          <t>217-2025-11-30</t>
        </is>
      </c>
      <c r="H3465" t="inlineStr">
        <is>
          <t>Campus Bogotá</t>
        </is>
      </c>
      <c r="I3465" t="n">
        <v>20</v>
      </c>
      <c r="J3465" t="n">
        <v>409.6600036621094</v>
      </c>
      <c r="L3465" t="n">
        <v>1071.44</v>
      </c>
      <c r="M3465" t="n">
        <v>1794.94</v>
      </c>
      <c r="AS3465" t="n">
        <v>11742.36</v>
      </c>
    </row>
    <row r="3466">
      <c r="A3466" t="n">
        <v>217</v>
      </c>
      <c r="B3466" t="inlineStr">
        <is>
          <t>Aprovechamiento de Residuos</t>
        </is>
      </c>
      <c r="C3466" t="inlineStr">
        <is>
          <t>GESTIÓN AMBIENTAL</t>
        </is>
      </c>
      <c r="D3466" t="inlineStr">
        <is>
          <t>Mensual</t>
        </is>
      </c>
      <c r="E3466" t="inlineStr">
        <is>
          <t>Positivo</t>
        </is>
      </c>
      <c r="F3466" s="105" t="n">
        <v>45991</v>
      </c>
      <c r="G3466" t="inlineStr">
        <is>
          <t>217-2025-11-30</t>
        </is>
      </c>
      <c r="H3466" t="inlineStr">
        <is>
          <t>Sede Posgrado-Calle 85</t>
        </is>
      </c>
      <c r="I3466" t="n">
        <v>20</v>
      </c>
      <c r="J3466" t="n">
        <v>5.920000076293945</v>
      </c>
      <c r="L3466" t="n">
        <v>2.9</v>
      </c>
      <c r="M3466" t="n">
        <v>46.08</v>
      </c>
      <c r="AS3466" t="n">
        <v>2.9</v>
      </c>
    </row>
    <row r="3467">
      <c r="A3467" t="n">
        <v>217</v>
      </c>
      <c r="B3467" t="inlineStr">
        <is>
          <t>Aprovechamiento de Residuos</t>
        </is>
      </c>
      <c r="C3467" t="inlineStr">
        <is>
          <t>GESTIÓN AMBIENTAL</t>
        </is>
      </c>
      <c r="D3467" t="inlineStr">
        <is>
          <t>Mensual</t>
        </is>
      </c>
      <c r="E3467" t="inlineStr">
        <is>
          <t>Positivo</t>
        </is>
      </c>
      <c r="F3467" s="105" t="n">
        <v>45991</v>
      </c>
      <c r="G3467" t="inlineStr">
        <is>
          <t>217-2025-11-30</t>
        </is>
      </c>
      <c r="H3467" t="inlineStr">
        <is>
          <t>Campus-Medellín</t>
        </is>
      </c>
      <c r="I3467" t="n">
        <v>20</v>
      </c>
      <c r="J3467" t="n">
        <v>1.519999980926514</v>
      </c>
      <c r="L3467" t="n">
        <v>0</v>
      </c>
      <c r="M3467" t="n">
        <v>1052.3</v>
      </c>
      <c r="AS3467" t="n">
        <v>16.02</v>
      </c>
    </row>
    <row r="3468">
      <c r="A3468" t="n">
        <v>217</v>
      </c>
      <c r="B3468" t="inlineStr">
        <is>
          <t>Aprovechamiento de Residuos</t>
        </is>
      </c>
      <c r="C3468" t="inlineStr">
        <is>
          <t>GESTIÓN AMBIENTAL</t>
        </is>
      </c>
      <c r="D3468" t="inlineStr">
        <is>
          <t>Mensual</t>
        </is>
      </c>
      <c r="E3468" t="inlineStr">
        <is>
          <t>Positivo</t>
        </is>
      </c>
      <c r="F3468" s="105" t="n">
        <v>45991</v>
      </c>
      <c r="G3468" t="inlineStr">
        <is>
          <t>217-2025-11-30</t>
        </is>
      </c>
      <c r="H3468" t="inlineStr">
        <is>
          <t>Sede Bienestar - Medellín</t>
        </is>
      </c>
      <c r="I3468" t="n">
        <v>20</v>
      </c>
      <c r="J3468" t="n">
        <v>13.81999969482422</v>
      </c>
      <c r="L3468" t="n">
        <v>20.3</v>
      </c>
      <c r="M3468" t="n">
        <v>126.58</v>
      </c>
      <c r="AS3468" t="n">
        <v>20.3</v>
      </c>
    </row>
    <row r="3469">
      <c r="A3469" t="n">
        <v>217</v>
      </c>
      <c r="B3469" t="inlineStr">
        <is>
          <t>Aprovechamiento de Residuos</t>
        </is>
      </c>
      <c r="C3469" t="inlineStr">
        <is>
          <t>GESTIÓN AMBIENTAL</t>
        </is>
      </c>
      <c r="D3469" t="inlineStr">
        <is>
          <t>Mensual</t>
        </is>
      </c>
      <c r="E3469" t="inlineStr">
        <is>
          <t>Positivo</t>
        </is>
      </c>
      <c r="F3469" s="105" t="n">
        <v>45991</v>
      </c>
      <c r="G3469" t="inlineStr">
        <is>
          <t>217-2025-11-30</t>
        </is>
      </c>
      <c r="H3469" t="inlineStr">
        <is>
          <t>Consultorio Psicología - Medellin</t>
        </is>
      </c>
      <c r="I3469" t="n">
        <v>20</v>
      </c>
      <c r="J3469" t="n">
        <v>31.10000038146973</v>
      </c>
      <c r="L3469" t="n">
        <v>9.66</v>
      </c>
      <c r="M3469" t="n">
        <v>21.4</v>
      </c>
      <c r="AS3469" t="n">
        <v>9.66</v>
      </c>
    </row>
    <row r="3470">
      <c r="A3470" t="n">
        <v>217</v>
      </c>
      <c r="B3470" t="inlineStr">
        <is>
          <t>Aprovechamiento de Residuos</t>
        </is>
      </c>
      <c r="C3470" t="inlineStr">
        <is>
          <t>GESTIÓN AMBIENTAL</t>
        </is>
      </c>
      <c r="D3470" t="inlineStr">
        <is>
          <t>Mensual</t>
        </is>
      </c>
      <c r="E3470" t="inlineStr">
        <is>
          <t>Positivo</t>
        </is>
      </c>
      <c r="F3470" s="105" t="n">
        <v>45991</v>
      </c>
      <c r="G3470" t="inlineStr">
        <is>
          <t>217-2025-11-30</t>
        </is>
      </c>
      <c r="H3470" t="inlineStr">
        <is>
          <t>City Campus</t>
        </is>
      </c>
      <c r="I3470" t="n">
        <v>20</v>
      </c>
      <c r="J3470" t="n">
        <v>23.71999931335449</v>
      </c>
      <c r="L3470" t="n">
        <v>153.56</v>
      </c>
      <c r="M3470" t="n">
        <v>964.84</v>
      </c>
      <c r="AS3470" t="n">
        <v>265.26</v>
      </c>
    </row>
    <row r="3471">
      <c r="A3471" t="n">
        <v>218</v>
      </c>
      <c r="B3471" t="inlineStr">
        <is>
          <t>Consumo de Energía Eléctrica kWh Mensual</t>
        </is>
      </c>
      <c r="C3471" t="inlineStr">
        <is>
          <t>GESTIÓN AMBIENTAL</t>
        </is>
      </c>
      <c r="D3471" t="inlineStr">
        <is>
          <t>Mensual</t>
        </is>
      </c>
      <c r="E3471" t="inlineStr">
        <is>
          <t>Negativo</t>
        </is>
      </c>
      <c r="F3471" s="105" t="n">
        <v>45991</v>
      </c>
      <c r="G3471" t="inlineStr">
        <is>
          <t>218-2025-11-30</t>
        </is>
      </c>
      <c r="H3471" t="inlineStr">
        <is>
          <t>City Campus</t>
        </is>
      </c>
      <c r="I3471" t="n">
        <v>76000</v>
      </c>
      <c r="J3471" t="n">
        <v>43320</v>
      </c>
      <c r="N3471" t="n">
        <v>43320</v>
      </c>
    </row>
    <row r="3472">
      <c r="A3472" t="n">
        <v>218</v>
      </c>
      <c r="B3472" t="inlineStr">
        <is>
          <t>Consumo de Energía Eléctrica kWh Mensual</t>
        </is>
      </c>
      <c r="C3472" t="inlineStr">
        <is>
          <t>GESTIÓN AMBIENTAL</t>
        </is>
      </c>
      <c r="D3472" t="inlineStr">
        <is>
          <t>Mensual</t>
        </is>
      </c>
      <c r="E3472" t="inlineStr">
        <is>
          <t>Negativo</t>
        </is>
      </c>
      <c r="F3472" s="105" t="n">
        <v>45991</v>
      </c>
      <c r="G3472" t="inlineStr">
        <is>
          <t>218-2025-11-30</t>
        </is>
      </c>
      <c r="H3472" t="inlineStr">
        <is>
          <t>Sede Posgrado-Calle 85</t>
        </is>
      </c>
      <c r="I3472" t="n">
        <v>5000</v>
      </c>
      <c r="J3472" t="n">
        <v>4920</v>
      </c>
      <c r="N3472" t="n">
        <v>4920</v>
      </c>
    </row>
    <row r="3473">
      <c r="A3473" t="n">
        <v>218</v>
      </c>
      <c r="B3473" t="inlineStr">
        <is>
          <t>Consumo de Energía Eléctrica kWh Mensual</t>
        </is>
      </c>
      <c r="C3473" t="inlineStr">
        <is>
          <t>GESTIÓN AMBIENTAL</t>
        </is>
      </c>
      <c r="D3473" t="inlineStr">
        <is>
          <t>Mensual</t>
        </is>
      </c>
      <c r="E3473" t="inlineStr">
        <is>
          <t>Negativo</t>
        </is>
      </c>
      <c r="F3473" s="105" t="n">
        <v>45991</v>
      </c>
      <c r="G3473" t="inlineStr">
        <is>
          <t>218-2025-11-30</t>
        </is>
      </c>
      <c r="H3473" t="inlineStr">
        <is>
          <t>Campus-Medellín</t>
        </is>
      </c>
      <c r="I3473" t="n">
        <v>24000</v>
      </c>
      <c r="J3473" t="n">
        <v>17697</v>
      </c>
      <c r="N3473" t="n">
        <v>17697</v>
      </c>
    </row>
    <row r="3474">
      <c r="A3474" t="n">
        <v>218</v>
      </c>
      <c r="B3474" t="inlineStr">
        <is>
          <t>Consumo de Energía Eléctrica kWh Mensual</t>
        </is>
      </c>
      <c r="C3474" t="inlineStr">
        <is>
          <t>GESTIÓN AMBIENTAL</t>
        </is>
      </c>
      <c r="D3474" t="inlineStr">
        <is>
          <t>Mensual</t>
        </is>
      </c>
      <c r="E3474" t="inlineStr">
        <is>
          <t>Negativo</t>
        </is>
      </c>
      <c r="F3474" s="105" t="n">
        <v>45991</v>
      </c>
      <c r="G3474" t="inlineStr">
        <is>
          <t>218-2025-11-30</t>
        </is>
      </c>
      <c r="H3474" t="inlineStr">
        <is>
          <t>Sede Bienestar - Medellín</t>
        </is>
      </c>
      <c r="I3474" t="n">
        <v>5000</v>
      </c>
      <c r="J3474" t="n">
        <v>7642</v>
      </c>
      <c r="N3474" t="n">
        <v>7642</v>
      </c>
    </row>
    <row r="3475">
      <c r="A3475" t="n">
        <v>218</v>
      </c>
      <c r="B3475" t="inlineStr">
        <is>
          <t>Consumo de Energía Eléctrica kWh Mensual</t>
        </is>
      </c>
      <c r="C3475" t="inlineStr">
        <is>
          <t>GESTIÓN AMBIENTAL</t>
        </is>
      </c>
      <c r="D3475" t="inlineStr">
        <is>
          <t>Mensual</t>
        </is>
      </c>
      <c r="E3475" t="inlineStr">
        <is>
          <t>Negativo</t>
        </is>
      </c>
      <c r="F3475" s="105" t="n">
        <v>45991</v>
      </c>
      <c r="G3475" t="inlineStr">
        <is>
          <t>218-2025-11-30</t>
        </is>
      </c>
      <c r="H3475" t="inlineStr">
        <is>
          <t>Consultorio Psicología - Medellin</t>
        </is>
      </c>
      <c r="I3475" t="n">
        <v>2000</v>
      </c>
      <c r="J3475" t="n">
        <v>2350</v>
      </c>
      <c r="N3475" t="n">
        <v>2350</v>
      </c>
    </row>
    <row r="3476">
      <c r="A3476" t="n">
        <v>218</v>
      </c>
      <c r="B3476" t="inlineStr">
        <is>
          <t>Consumo de Energía Eléctrica kWh Mensual</t>
        </is>
      </c>
      <c r="C3476" t="inlineStr">
        <is>
          <t>GESTIÓN AMBIENTAL</t>
        </is>
      </c>
      <c r="D3476" t="inlineStr">
        <is>
          <t>Mensual</t>
        </is>
      </c>
      <c r="E3476" t="inlineStr">
        <is>
          <t>Negativo</t>
        </is>
      </c>
      <c r="F3476" s="105" t="n">
        <v>45991</v>
      </c>
      <c r="G3476" t="inlineStr">
        <is>
          <t>218-2025-11-30</t>
        </is>
      </c>
      <c r="H3476" t="inlineStr">
        <is>
          <t>Campus Bogotá</t>
        </is>
      </c>
      <c r="I3476" t="n">
        <v>76000</v>
      </c>
      <c r="J3476" t="n">
        <v>67490.75</v>
      </c>
      <c r="N3476" t="n">
        <v>67490.75</v>
      </c>
    </row>
    <row r="3477">
      <c r="A3477" t="n">
        <v>225</v>
      </c>
      <c r="B3477" t="inlineStr">
        <is>
          <t>Acciones para el Cuidado y Mantenimiento de las Especies de Flora y el Suelo de las Áreas Naturales</t>
        </is>
      </c>
      <c r="C3477" t="inlineStr">
        <is>
          <t>GESTIÓN AMBIENTAL</t>
        </is>
      </c>
      <c r="D3477" t="inlineStr">
        <is>
          <t>Mensual</t>
        </is>
      </c>
      <c r="E3477" t="inlineStr">
        <is>
          <t>Positivo</t>
        </is>
      </c>
      <c r="F3477" s="105" t="n">
        <v>45991</v>
      </c>
      <c r="G3477" t="inlineStr">
        <is>
          <t>225-2025-11-30</t>
        </is>
      </c>
      <c r="H3477" t="inlineStr">
        <is>
          <t>Campus Bogotá</t>
        </is>
      </c>
      <c r="I3477" t="n">
        <v>1</v>
      </c>
      <c r="J3477" t="n">
        <v>9</v>
      </c>
      <c r="AT3477" t="n">
        <v>9</v>
      </c>
    </row>
    <row r="3478">
      <c r="A3478" t="n">
        <v>225</v>
      </c>
      <c r="B3478" t="inlineStr">
        <is>
          <t>Acciones para el Cuidado y Mantenimiento de las Especies de Flora y el Suelo de las Áreas Naturales</t>
        </is>
      </c>
      <c r="C3478" t="inlineStr">
        <is>
          <t>GESTIÓN AMBIENTAL</t>
        </is>
      </c>
      <c r="D3478" t="inlineStr">
        <is>
          <t>Mensual</t>
        </is>
      </c>
      <c r="E3478" t="inlineStr">
        <is>
          <t>Positivo</t>
        </is>
      </c>
      <c r="F3478" s="105" t="n">
        <v>45991</v>
      </c>
      <c r="G3478" t="inlineStr">
        <is>
          <t>225-2025-11-30</t>
        </is>
      </c>
      <c r="H3478" t="inlineStr">
        <is>
          <t>City Campus</t>
        </is>
      </c>
      <c r="I3478" t="n">
        <v>1</v>
      </c>
      <c r="J3478" t="n">
        <v>2</v>
      </c>
      <c r="AT3478" t="n">
        <v>2</v>
      </c>
    </row>
    <row r="3479">
      <c r="A3479" t="n">
        <v>225</v>
      </c>
      <c r="B3479" t="inlineStr">
        <is>
          <t>Acciones para el Cuidado y Mantenimiento de las Especies de Flora y el Suelo de las Áreas Naturales</t>
        </is>
      </c>
      <c r="C3479" t="inlineStr">
        <is>
          <t>GESTIÓN AMBIENTAL</t>
        </is>
      </c>
      <c r="D3479" t="inlineStr">
        <is>
          <t>Mensual</t>
        </is>
      </c>
      <c r="E3479" t="inlineStr">
        <is>
          <t>Positivo</t>
        </is>
      </c>
      <c r="F3479" s="105" t="n">
        <v>45991</v>
      </c>
      <c r="G3479" t="inlineStr">
        <is>
          <t>225-2025-11-30</t>
        </is>
      </c>
      <c r="H3479" t="inlineStr">
        <is>
          <t>Sede Posgrado-Calle 85</t>
        </is>
      </c>
      <c r="I3479" t="n">
        <v>1</v>
      </c>
      <c r="J3479" t="n">
        <v>0</v>
      </c>
      <c r="AT3479" t="n">
        <v>0</v>
      </c>
    </row>
    <row r="3480">
      <c r="A3480" t="n">
        <v>225</v>
      </c>
      <c r="B3480" t="inlineStr">
        <is>
          <t>Acciones para el Cuidado y Mantenimiento de las Especies de Flora y el Suelo de las Áreas Naturales</t>
        </is>
      </c>
      <c r="C3480" t="inlineStr">
        <is>
          <t>GESTIÓN AMBIENTAL</t>
        </is>
      </c>
      <c r="D3480" t="inlineStr">
        <is>
          <t>Mensual</t>
        </is>
      </c>
      <c r="E3480" t="inlineStr">
        <is>
          <t>Positivo</t>
        </is>
      </c>
      <c r="F3480" s="105" t="n">
        <v>45991</v>
      </c>
      <c r="G3480" t="inlineStr">
        <is>
          <t>225-2025-11-30</t>
        </is>
      </c>
      <c r="H3480" t="inlineStr">
        <is>
          <t>Campus-Medellín</t>
        </is>
      </c>
      <c r="I3480" t="n">
        <v>1</v>
      </c>
      <c r="J3480" t="n">
        <v>12</v>
      </c>
      <c r="AT3480" t="n">
        <v>12</v>
      </c>
    </row>
    <row r="3481">
      <c r="A3481" t="n">
        <v>225</v>
      </c>
      <c r="B3481" t="inlineStr">
        <is>
          <t>Acciones para el Cuidado y Mantenimiento de las Especies de Flora y el Suelo de las Áreas Naturales</t>
        </is>
      </c>
      <c r="C3481" t="inlineStr">
        <is>
          <t>GESTIÓN AMBIENTAL</t>
        </is>
      </c>
      <c r="D3481" t="inlineStr">
        <is>
          <t>Mensual</t>
        </is>
      </c>
      <c r="E3481" t="inlineStr">
        <is>
          <t>Positivo</t>
        </is>
      </c>
      <c r="F3481" s="105" t="n">
        <v>45991</v>
      </c>
      <c r="G3481" t="inlineStr">
        <is>
          <t>225-2025-11-30</t>
        </is>
      </c>
      <c r="H3481" t="inlineStr">
        <is>
          <t>Sede Bienestar - Medellín</t>
        </is>
      </c>
      <c r="I3481" t="n">
        <v>1</v>
      </c>
      <c r="J3481" t="n">
        <v>1</v>
      </c>
      <c r="AT3481" t="n">
        <v>1</v>
      </c>
    </row>
    <row r="3482">
      <c r="A3482" t="n">
        <v>225</v>
      </c>
      <c r="B3482" t="inlineStr">
        <is>
          <t>Acciones para el Cuidado y Mantenimiento de las Especies de Flora y el Suelo de las Áreas Naturales</t>
        </is>
      </c>
      <c r="C3482" t="inlineStr">
        <is>
          <t>GESTIÓN AMBIENTAL</t>
        </is>
      </c>
      <c r="D3482" t="inlineStr">
        <is>
          <t>Mensual</t>
        </is>
      </c>
      <c r="E3482" t="inlineStr">
        <is>
          <t>Positivo</t>
        </is>
      </c>
      <c r="F3482" s="105" t="n">
        <v>45991</v>
      </c>
      <c r="G3482" t="inlineStr">
        <is>
          <t>225-2025-11-30</t>
        </is>
      </c>
      <c r="H3482" t="inlineStr">
        <is>
          <t>Consultorio Psicología - Medellin</t>
        </is>
      </c>
      <c r="I3482" t="n">
        <v>1</v>
      </c>
      <c r="J3482" t="n">
        <v>1</v>
      </c>
      <c r="AT3482" t="n">
        <v>1</v>
      </c>
    </row>
    <row r="3483">
      <c r="A3483" t="n">
        <v>239</v>
      </c>
      <c r="B3483" t="inlineStr">
        <is>
          <t>Portafolio de Proyectos - Metrica</t>
        </is>
      </c>
      <c r="C3483" t="inlineStr">
        <is>
          <t>Gestión de Proyectos</t>
        </is>
      </c>
      <c r="D3483" t="inlineStr">
        <is>
          <t>Mensual</t>
        </is>
      </c>
      <c r="E3483" t="inlineStr">
        <is>
          <t>Positivo</t>
        </is>
      </c>
      <c r="F3483" s="105" t="n">
        <v>45991</v>
      </c>
      <c r="G3483" t="inlineStr">
        <is>
          <t>239-2025-11-30</t>
        </is>
      </c>
      <c r="H3483" t="inlineStr">
        <is>
          <t>Planificación</t>
        </is>
      </c>
      <c r="J3483" t="n">
        <v>2</v>
      </c>
      <c r="AU3483" t="n">
        <v>2</v>
      </c>
    </row>
    <row r="3484">
      <c r="A3484" t="n">
        <v>239</v>
      </c>
      <c r="B3484" t="inlineStr">
        <is>
          <t>Portafolio de Proyectos - Metrica</t>
        </is>
      </c>
      <c r="C3484" t="inlineStr">
        <is>
          <t>Gestión de Proyectos</t>
        </is>
      </c>
      <c r="D3484" t="inlineStr">
        <is>
          <t>Mensual</t>
        </is>
      </c>
      <c r="E3484" t="inlineStr">
        <is>
          <t>Positivo</t>
        </is>
      </c>
      <c r="F3484" s="105" t="n">
        <v>45991</v>
      </c>
      <c r="G3484" t="inlineStr">
        <is>
          <t>239-2025-11-30</t>
        </is>
      </c>
      <c r="H3484" t="inlineStr">
        <is>
          <t>Ejecución</t>
        </is>
      </c>
      <c r="J3484" t="n">
        <v>12</v>
      </c>
      <c r="AU3484" t="n">
        <v>12</v>
      </c>
    </row>
    <row r="3485">
      <c r="A3485" t="n">
        <v>239</v>
      </c>
      <c r="B3485" t="inlineStr">
        <is>
          <t>Portafolio de Proyectos - Metrica</t>
        </is>
      </c>
      <c r="C3485" t="inlineStr">
        <is>
          <t>Gestión de Proyectos</t>
        </is>
      </c>
      <c r="D3485" t="inlineStr">
        <is>
          <t>Mensual</t>
        </is>
      </c>
      <c r="E3485" t="inlineStr">
        <is>
          <t>Positivo</t>
        </is>
      </c>
      <c r="F3485" s="105" t="n">
        <v>45991</v>
      </c>
      <c r="G3485" t="inlineStr">
        <is>
          <t>239-2025-11-30</t>
        </is>
      </c>
      <c r="H3485" t="inlineStr">
        <is>
          <t>Cierre</t>
        </is>
      </c>
      <c r="J3485" t="n">
        <v>3</v>
      </c>
      <c r="AU3485" t="n">
        <v>3</v>
      </c>
    </row>
    <row r="3486">
      <c r="A3486" t="n">
        <v>239</v>
      </c>
      <c r="B3486" t="inlineStr">
        <is>
          <t>Portafolio de Proyectos - Metrica</t>
        </is>
      </c>
      <c r="C3486" t="inlineStr">
        <is>
          <t>Gestión de Proyectos</t>
        </is>
      </c>
      <c r="D3486" t="inlineStr">
        <is>
          <t>Mensual</t>
        </is>
      </c>
      <c r="E3486" t="inlineStr">
        <is>
          <t>Positivo</t>
        </is>
      </c>
      <c r="F3486" s="105" t="n">
        <v>45991</v>
      </c>
      <c r="G3486" t="inlineStr">
        <is>
          <t>239-2025-11-30</t>
        </is>
      </c>
      <c r="H3486" t="inlineStr">
        <is>
          <t>Finalizados</t>
        </is>
      </c>
      <c r="J3486" t="n">
        <v>23</v>
      </c>
      <c r="AU3486" t="n">
        <v>23</v>
      </c>
    </row>
    <row r="3487">
      <c r="A3487" t="n">
        <v>239</v>
      </c>
      <c r="B3487" t="inlineStr">
        <is>
          <t>Portafolio de Proyectos - Metrica</t>
        </is>
      </c>
      <c r="C3487" t="inlineStr">
        <is>
          <t>Gestión de Proyectos</t>
        </is>
      </c>
      <c r="D3487" t="inlineStr">
        <is>
          <t>Mensual</t>
        </is>
      </c>
      <c r="E3487" t="inlineStr">
        <is>
          <t>Positivo</t>
        </is>
      </c>
      <c r="F3487" s="105" t="n">
        <v>45991</v>
      </c>
      <c r="G3487" t="inlineStr">
        <is>
          <t>239-2025-11-30</t>
        </is>
      </c>
      <c r="H3487" t="inlineStr">
        <is>
          <t>Stand by</t>
        </is>
      </c>
      <c r="J3487" t="n">
        <v>3</v>
      </c>
      <c r="AU3487" t="n">
        <v>3</v>
      </c>
    </row>
    <row r="3488">
      <c r="A3488" t="n">
        <v>434</v>
      </c>
      <c r="B3488" t="inlineStr">
        <is>
          <t>Generación de Residuos Peligrosos Mensual</t>
        </is>
      </c>
      <c r="C3488" t="inlineStr">
        <is>
          <t>GESTIÓN AMBIENTAL</t>
        </is>
      </c>
      <c r="D3488" t="inlineStr">
        <is>
          <t>Mensual</t>
        </is>
      </c>
      <c r="E3488" t="inlineStr">
        <is>
          <t>Negativo</t>
        </is>
      </c>
      <c r="F3488" s="105" t="n">
        <v>45991</v>
      </c>
      <c r="G3488" t="inlineStr">
        <is>
          <t>434-2025-11-30</t>
        </is>
      </c>
      <c r="H3488" t="inlineStr">
        <is>
          <t>City Campus</t>
        </is>
      </c>
      <c r="I3488" t="n">
        <v>25</v>
      </c>
      <c r="J3488" t="n">
        <v>142.2599945068359</v>
      </c>
      <c r="AV3488" t="n">
        <v>142.26</v>
      </c>
    </row>
    <row r="3489">
      <c r="A3489" t="n">
        <v>434</v>
      </c>
      <c r="B3489" t="inlineStr">
        <is>
          <t>Generación de Residuos Peligrosos Mensual</t>
        </is>
      </c>
      <c r="C3489" t="inlineStr">
        <is>
          <t>GESTIÓN AMBIENTAL</t>
        </is>
      </c>
      <c r="D3489" t="inlineStr">
        <is>
          <t>Mensual</t>
        </is>
      </c>
      <c r="E3489" t="inlineStr">
        <is>
          <t>Negativo</t>
        </is>
      </c>
      <c r="F3489" s="105" t="n">
        <v>45991</v>
      </c>
      <c r="G3489" t="inlineStr">
        <is>
          <t>434-2025-11-30</t>
        </is>
      </c>
      <c r="H3489" t="inlineStr">
        <is>
          <t>Sede Posgrado-Calle 85</t>
        </is>
      </c>
      <c r="I3489" t="n">
        <v>200</v>
      </c>
      <c r="J3489" t="n">
        <v>0</v>
      </c>
      <c r="AV3489" t="n">
        <v>0</v>
      </c>
    </row>
    <row r="3490">
      <c r="A3490" t="n">
        <v>434</v>
      </c>
      <c r="B3490" t="inlineStr">
        <is>
          <t>Generación de Residuos Peligrosos Mensual</t>
        </is>
      </c>
      <c r="C3490" t="inlineStr">
        <is>
          <t>GESTIÓN AMBIENTAL</t>
        </is>
      </c>
      <c r="D3490" t="inlineStr">
        <is>
          <t>Mensual</t>
        </is>
      </c>
      <c r="E3490" t="inlineStr">
        <is>
          <t>Negativo</t>
        </is>
      </c>
      <c r="F3490" s="105" t="n">
        <v>45991</v>
      </c>
      <c r="G3490" t="inlineStr">
        <is>
          <t>434-2025-11-30</t>
        </is>
      </c>
      <c r="H3490" t="inlineStr">
        <is>
          <t>Campus-Medellín</t>
        </is>
      </c>
      <c r="I3490" t="n">
        <v>25</v>
      </c>
      <c r="J3490" t="n">
        <v>17.29999923706055</v>
      </c>
      <c r="AV3490" t="n">
        <v>17.3</v>
      </c>
    </row>
    <row r="3491">
      <c r="A3491" t="n">
        <v>434</v>
      </c>
      <c r="B3491" t="inlineStr">
        <is>
          <t>Generación de Residuos Peligrosos Mensual</t>
        </is>
      </c>
      <c r="C3491" t="inlineStr">
        <is>
          <t>GESTIÓN AMBIENTAL</t>
        </is>
      </c>
      <c r="D3491" t="inlineStr">
        <is>
          <t>Mensual</t>
        </is>
      </c>
      <c r="E3491" t="inlineStr">
        <is>
          <t>Negativo</t>
        </is>
      </c>
      <c r="F3491" s="105" t="n">
        <v>45991</v>
      </c>
      <c r="G3491" t="inlineStr">
        <is>
          <t>434-2025-11-30</t>
        </is>
      </c>
      <c r="H3491" t="inlineStr">
        <is>
          <t>Sede Bienestar - Medellín</t>
        </is>
      </c>
      <c r="I3491" t="n">
        <v>10</v>
      </c>
      <c r="J3491" t="n">
        <v>0.2000000029802322</v>
      </c>
      <c r="AV3491" t="n">
        <v>0.2</v>
      </c>
    </row>
    <row r="3492">
      <c r="A3492" t="n">
        <v>434</v>
      </c>
      <c r="B3492" t="inlineStr">
        <is>
          <t>Generación de Residuos Peligrosos Mensual</t>
        </is>
      </c>
      <c r="C3492" t="inlineStr">
        <is>
          <t>GESTIÓN AMBIENTAL</t>
        </is>
      </c>
      <c r="D3492" t="inlineStr">
        <is>
          <t>Mensual</t>
        </is>
      </c>
      <c r="E3492" t="inlineStr">
        <is>
          <t>Negativo</t>
        </is>
      </c>
      <c r="F3492" s="105" t="n">
        <v>45991</v>
      </c>
      <c r="G3492" t="inlineStr">
        <is>
          <t>434-2025-11-30</t>
        </is>
      </c>
      <c r="H3492" t="inlineStr">
        <is>
          <t>Consultorio Psicología - Medellin</t>
        </is>
      </c>
      <c r="I3492" t="n">
        <v>200</v>
      </c>
      <c r="J3492" t="n">
        <v>0</v>
      </c>
      <c r="AV3492" t="n">
        <v>0</v>
      </c>
    </row>
    <row r="3493">
      <c r="A3493" t="n">
        <v>434</v>
      </c>
      <c r="B3493" t="inlineStr">
        <is>
          <t>Generación de Residuos Peligrosos Mensual</t>
        </is>
      </c>
      <c r="C3493" t="inlineStr">
        <is>
          <t>GESTIÓN AMBIENTAL</t>
        </is>
      </c>
      <c r="D3493" t="inlineStr">
        <is>
          <t>Mensual</t>
        </is>
      </c>
      <c r="E3493" t="inlineStr">
        <is>
          <t>Negativo</t>
        </is>
      </c>
      <c r="F3493" s="105" t="n">
        <v>45991</v>
      </c>
      <c r="G3493" t="inlineStr">
        <is>
          <t>434-2025-11-30</t>
        </is>
      </c>
      <c r="H3493" t="inlineStr">
        <is>
          <t>Campus Bogotá</t>
        </is>
      </c>
      <c r="I3493" t="n">
        <v>100</v>
      </c>
      <c r="J3493" t="n">
        <v>125.3899993896484</v>
      </c>
      <c r="AV3493" t="n">
        <v>125.39</v>
      </c>
    </row>
    <row r="3494">
      <c r="A3494" t="n">
        <v>436</v>
      </c>
      <c r="B3494" t="inlineStr">
        <is>
          <t>ANS documentos operativos</t>
        </is>
      </c>
      <c r="C3494" t="inlineStr">
        <is>
          <t>Gestión de calidad</t>
        </is>
      </c>
      <c r="D3494" t="inlineStr">
        <is>
          <t>Mensual</t>
        </is>
      </c>
      <c r="E3494" t="inlineStr">
        <is>
          <t>Negativo</t>
        </is>
      </c>
      <c r="F3494" s="105" t="n">
        <v>45991</v>
      </c>
      <c r="G3494" t="inlineStr">
        <is>
          <t>436-2025-11-30</t>
        </is>
      </c>
      <c r="H3494" t="inlineStr">
        <is>
          <t>Solicitud Documental</t>
        </is>
      </c>
      <c r="I3494" t="n">
        <v>7</v>
      </c>
      <c r="J3494" t="n">
        <v>4</v>
      </c>
      <c r="CP3494" t="n">
        <v>4</v>
      </c>
    </row>
    <row r="3495">
      <c r="A3495" t="n">
        <v>436</v>
      </c>
      <c r="B3495" t="inlineStr">
        <is>
          <t>ANS documentos operativos</t>
        </is>
      </c>
      <c r="C3495" t="inlineStr">
        <is>
          <t>Gestión de calidad</t>
        </is>
      </c>
      <c r="D3495" t="inlineStr">
        <is>
          <t>Mensual</t>
        </is>
      </c>
      <c r="E3495" t="inlineStr">
        <is>
          <t>Negativo</t>
        </is>
      </c>
      <c r="F3495" s="105" t="n">
        <v>45991</v>
      </c>
      <c r="G3495" t="inlineStr">
        <is>
          <t>436-2025-11-30</t>
        </is>
      </c>
      <c r="H3495" t="inlineStr">
        <is>
          <t>Flujo de aprobación</t>
        </is>
      </c>
      <c r="I3495" t="n">
        <v>7</v>
      </c>
      <c r="J3495" t="n">
        <v>4.119999885559082</v>
      </c>
      <c r="CP3495" t="n">
        <v>4.12</v>
      </c>
    </row>
    <row r="3496">
      <c r="A3496" t="n">
        <v>485</v>
      </c>
      <c r="B3496" t="inlineStr">
        <is>
          <t>Oportunidad en el cierre de acciones</t>
        </is>
      </c>
      <c r="C3496" t="inlineStr">
        <is>
          <t>Gestión de calidad</t>
        </is>
      </c>
      <c r="D3496" t="inlineStr">
        <is>
          <t>Mensual</t>
        </is>
      </c>
      <c r="E3496" t="inlineStr">
        <is>
          <t>Positivo</t>
        </is>
      </c>
      <c r="F3496" s="105" t="n">
        <v>45991</v>
      </c>
      <c r="G3496" t="inlineStr">
        <is>
          <t>485-2025-11-30</t>
        </is>
      </c>
      <c r="H3496" t="inlineStr">
        <is>
          <t>Autoevaluación</t>
        </is>
      </c>
      <c r="I3496" t="n">
        <v>80</v>
      </c>
      <c r="J3496" t="n">
        <v>0</v>
      </c>
      <c r="EC3496" t="n">
        <v>0</v>
      </c>
      <c r="ED3496" t="n">
        <v>0</v>
      </c>
    </row>
    <row r="3497">
      <c r="A3497" t="n">
        <v>485</v>
      </c>
      <c r="B3497" t="inlineStr">
        <is>
          <t>Oportunidad en el cierre de acciones</t>
        </is>
      </c>
      <c r="C3497" t="inlineStr">
        <is>
          <t>Gestión de calidad</t>
        </is>
      </c>
      <c r="D3497" t="inlineStr">
        <is>
          <t>Mensual</t>
        </is>
      </c>
      <c r="E3497" t="inlineStr">
        <is>
          <t>Positivo</t>
        </is>
      </c>
      <c r="F3497" s="105" t="n">
        <v>45991</v>
      </c>
      <c r="G3497" t="inlineStr">
        <is>
          <t>485-2025-11-30</t>
        </is>
      </c>
      <c r="H3497" t="inlineStr">
        <is>
          <t>Entes de control</t>
        </is>
      </c>
      <c r="I3497" t="n">
        <v>80</v>
      </c>
      <c r="J3497" t="n">
        <v>0</v>
      </c>
      <c r="EC3497" t="n">
        <v>0</v>
      </c>
      <c r="ED3497" t="n">
        <v>0</v>
      </c>
    </row>
    <row r="3498">
      <c r="A3498" t="n">
        <v>485</v>
      </c>
      <c r="B3498" t="inlineStr">
        <is>
          <t>Oportunidad en el cierre de acciones</t>
        </is>
      </c>
      <c r="C3498" t="inlineStr">
        <is>
          <t>Gestión de calidad</t>
        </is>
      </c>
      <c r="D3498" t="inlineStr">
        <is>
          <t>Mensual</t>
        </is>
      </c>
      <c r="E3498" t="inlineStr">
        <is>
          <t>Positivo</t>
        </is>
      </c>
      <c r="F3498" s="105" t="n">
        <v>45991</v>
      </c>
      <c r="G3498" t="inlineStr">
        <is>
          <t>485-2025-11-30</t>
        </is>
      </c>
      <c r="H3498" t="inlineStr">
        <is>
          <t>Seguimiento y control</t>
        </is>
      </c>
      <c r="I3498" t="n">
        <v>80</v>
      </c>
      <c r="J3498" t="n">
        <v>50</v>
      </c>
      <c r="EC3498" t="n">
        <v>1</v>
      </c>
      <c r="ED3498" t="n">
        <v>2</v>
      </c>
    </row>
    <row r="3499">
      <c r="A3499" t="n">
        <v>485</v>
      </c>
      <c r="B3499" t="inlineStr">
        <is>
          <t>Oportunidad en el cierre de acciones</t>
        </is>
      </c>
      <c r="C3499" t="inlineStr">
        <is>
          <t>Gestión de calidad</t>
        </is>
      </c>
      <c r="D3499" t="inlineStr">
        <is>
          <t>Mensual</t>
        </is>
      </c>
      <c r="E3499" t="inlineStr">
        <is>
          <t>Positivo</t>
        </is>
      </c>
      <c r="F3499" s="105" t="n">
        <v>45991</v>
      </c>
      <c r="G3499" t="inlineStr">
        <is>
          <t>485-2025-11-30</t>
        </is>
      </c>
      <c r="H3499" t="inlineStr">
        <is>
          <t>Experiencia</t>
        </is>
      </c>
      <c r="I3499" t="n">
        <v>80</v>
      </c>
      <c r="J3499" t="n">
        <v>0</v>
      </c>
      <c r="EC3499" t="n">
        <v>0</v>
      </c>
      <c r="ED3499" t="n">
        <v>0</v>
      </c>
    </row>
    <row r="3500">
      <c r="A3500" t="n">
        <v>485</v>
      </c>
      <c r="B3500" t="inlineStr">
        <is>
          <t>Oportunidad en el cierre de acciones</t>
        </is>
      </c>
      <c r="C3500" t="inlineStr">
        <is>
          <t>Gestión de calidad</t>
        </is>
      </c>
      <c r="D3500" t="inlineStr">
        <is>
          <t>Mensual</t>
        </is>
      </c>
      <c r="E3500" t="inlineStr">
        <is>
          <t>Positivo</t>
        </is>
      </c>
      <c r="F3500" s="105" t="n">
        <v>45991</v>
      </c>
      <c r="G3500" t="inlineStr">
        <is>
          <t>485-2025-11-30</t>
        </is>
      </c>
      <c r="H3500" t="inlineStr">
        <is>
          <t>Revisión por la dirección</t>
        </is>
      </c>
      <c r="I3500" t="n">
        <v>80</v>
      </c>
      <c r="J3500" t="n">
        <v>0</v>
      </c>
      <c r="EC3500" t="n">
        <v>0</v>
      </c>
      <c r="ED3500" t="n">
        <v>0</v>
      </c>
    </row>
    <row r="3501">
      <c r="A3501" t="n">
        <v>485</v>
      </c>
      <c r="B3501" t="inlineStr">
        <is>
          <t>Oportunidad en el cierre de acciones</t>
        </is>
      </c>
      <c r="C3501" t="inlineStr">
        <is>
          <t>Gestión de calidad</t>
        </is>
      </c>
      <c r="D3501" t="inlineStr">
        <is>
          <t>Mensual</t>
        </is>
      </c>
      <c r="E3501" t="inlineStr">
        <is>
          <t>Positivo</t>
        </is>
      </c>
      <c r="F3501" s="105" t="n">
        <v>45991</v>
      </c>
      <c r="G3501" t="inlineStr">
        <is>
          <t>485-2025-11-30</t>
        </is>
      </c>
      <c r="H3501" t="inlineStr">
        <is>
          <t>Riesgos</t>
        </is>
      </c>
      <c r="I3501" t="n">
        <v>80</v>
      </c>
      <c r="J3501" t="n">
        <v>100</v>
      </c>
      <c r="EC3501" t="n">
        <v>5</v>
      </c>
      <c r="ED3501" t="n">
        <v>5</v>
      </c>
    </row>
    <row r="3502">
      <c r="A3502" t="n">
        <v>488</v>
      </c>
      <c r="B3502" t="inlineStr">
        <is>
          <t>Oportunidad en el cierre de actividades de los planes de mejora</t>
        </is>
      </c>
      <c r="C3502" t="inlineStr">
        <is>
          <t>Gestión de calidad</t>
        </is>
      </c>
      <c r="D3502" t="inlineStr">
        <is>
          <t>Mensual</t>
        </is>
      </c>
      <c r="E3502" t="inlineStr">
        <is>
          <t>Positivo</t>
        </is>
      </c>
      <c r="F3502" s="105" t="n">
        <v>45991</v>
      </c>
      <c r="G3502" t="inlineStr">
        <is>
          <t>488-2025-11-30</t>
        </is>
      </c>
      <c r="H3502" t="inlineStr">
        <is>
          <t>Auditoría interna</t>
        </is>
      </c>
      <c r="I3502" t="n">
        <v>85</v>
      </c>
      <c r="J3502" t="n">
        <v>70.58999633789062</v>
      </c>
      <c r="EE3502" t="n">
        <v>12</v>
      </c>
      <c r="EF3502" t="n">
        <v>17</v>
      </c>
    </row>
    <row r="3503">
      <c r="A3503" t="n">
        <v>488</v>
      </c>
      <c r="B3503" t="inlineStr">
        <is>
          <t>Oportunidad en el cierre de actividades de los planes de mejora</t>
        </is>
      </c>
      <c r="C3503" t="inlineStr">
        <is>
          <t>Gestión de calidad</t>
        </is>
      </c>
      <c r="D3503" t="inlineStr">
        <is>
          <t>Mensual</t>
        </is>
      </c>
      <c r="E3503" t="inlineStr">
        <is>
          <t>Positivo</t>
        </is>
      </c>
      <c r="F3503" s="105" t="n">
        <v>45991</v>
      </c>
      <c r="G3503" t="inlineStr">
        <is>
          <t>488-2025-11-30</t>
        </is>
      </c>
      <c r="H3503" t="inlineStr">
        <is>
          <t>Auditoría externa</t>
        </is>
      </c>
      <c r="I3503" t="n">
        <v>85</v>
      </c>
      <c r="J3503" t="n">
        <v>0</v>
      </c>
      <c r="EE3503" t="n">
        <v>0</v>
      </c>
      <c r="EF3503" t="n">
        <v>0</v>
      </c>
    </row>
    <row r="3504">
      <c r="A3504" t="n">
        <v>488</v>
      </c>
      <c r="B3504" t="inlineStr">
        <is>
          <t>Oportunidad en el cierre de actividades de los planes de mejora</t>
        </is>
      </c>
      <c r="C3504" t="inlineStr">
        <is>
          <t>Gestión de calidad</t>
        </is>
      </c>
      <c r="D3504" t="inlineStr">
        <is>
          <t>Mensual</t>
        </is>
      </c>
      <c r="E3504" t="inlineStr">
        <is>
          <t>Positivo</t>
        </is>
      </c>
      <c r="F3504" s="105" t="n">
        <v>45991</v>
      </c>
      <c r="G3504" t="inlineStr">
        <is>
          <t>488-2025-11-30</t>
        </is>
      </c>
      <c r="H3504" t="inlineStr">
        <is>
          <t>Indicadores</t>
        </is>
      </c>
      <c r="I3504" t="n">
        <v>85</v>
      </c>
      <c r="J3504" t="n">
        <v>100</v>
      </c>
      <c r="EE3504" t="n">
        <v>5</v>
      </c>
      <c r="EF3504" t="n">
        <v>5</v>
      </c>
    </row>
    <row r="3505">
      <c r="A3505" t="n">
        <v>488</v>
      </c>
      <c r="B3505" t="inlineStr">
        <is>
          <t>Oportunidad en el cierre de actividades de los planes de mejora</t>
        </is>
      </c>
      <c r="C3505" t="inlineStr">
        <is>
          <t>Gestión de calidad</t>
        </is>
      </c>
      <c r="D3505" t="inlineStr">
        <is>
          <t>Mensual</t>
        </is>
      </c>
      <c r="E3505" t="inlineStr">
        <is>
          <t>Positivo</t>
        </is>
      </c>
      <c r="F3505" s="105" t="n">
        <v>45991</v>
      </c>
      <c r="G3505" t="inlineStr">
        <is>
          <t>488-2025-11-30</t>
        </is>
      </c>
      <c r="H3505" t="inlineStr">
        <is>
          <t>Riesgos</t>
        </is>
      </c>
      <c r="I3505" t="n">
        <v>85</v>
      </c>
      <c r="J3505" t="n">
        <v>74.29000091552734</v>
      </c>
      <c r="EE3505" t="n">
        <v>26</v>
      </c>
      <c r="EF3505" t="n">
        <v>35</v>
      </c>
    </row>
    <row r="3506">
      <c r="A3506" t="n">
        <v>488</v>
      </c>
      <c r="B3506" t="inlineStr">
        <is>
          <t>Oportunidad en el cierre de actividades de los planes de mejora</t>
        </is>
      </c>
      <c r="C3506" t="inlineStr">
        <is>
          <t>Gestión de calidad</t>
        </is>
      </c>
      <c r="D3506" t="inlineStr">
        <is>
          <t>Mensual</t>
        </is>
      </c>
      <c r="E3506" t="inlineStr">
        <is>
          <t>Positivo</t>
        </is>
      </c>
      <c r="F3506" s="105" t="n">
        <v>45991</v>
      </c>
      <c r="G3506" t="inlineStr">
        <is>
          <t>488-2025-11-30</t>
        </is>
      </c>
      <c r="H3506" t="inlineStr">
        <is>
          <t>Autoevaluación</t>
        </is>
      </c>
      <c r="I3506" t="n">
        <v>85</v>
      </c>
      <c r="J3506" t="n">
        <v>0</v>
      </c>
      <c r="EE3506" t="n">
        <v>0</v>
      </c>
      <c r="EF3506" t="n">
        <v>0</v>
      </c>
    </row>
    <row r="3507">
      <c r="A3507" t="n">
        <v>488</v>
      </c>
      <c r="B3507" t="inlineStr">
        <is>
          <t>Oportunidad en el cierre de actividades de los planes de mejora</t>
        </is>
      </c>
      <c r="C3507" t="inlineStr">
        <is>
          <t>Gestión de calidad</t>
        </is>
      </c>
      <c r="D3507" t="inlineStr">
        <is>
          <t>Mensual</t>
        </is>
      </c>
      <c r="E3507" t="inlineStr">
        <is>
          <t>Positivo</t>
        </is>
      </c>
      <c r="F3507" s="105" t="n">
        <v>45991</v>
      </c>
      <c r="G3507" t="inlineStr">
        <is>
          <t>488-2025-11-30</t>
        </is>
      </c>
      <c r="H3507" t="inlineStr">
        <is>
          <t>Entes de control</t>
        </is>
      </c>
      <c r="I3507" t="n">
        <v>85</v>
      </c>
      <c r="J3507" t="n">
        <v>0</v>
      </c>
      <c r="EE3507" t="n">
        <v>0</v>
      </c>
      <c r="EF3507" t="n">
        <v>0</v>
      </c>
    </row>
    <row r="3508">
      <c r="A3508" t="n">
        <v>488</v>
      </c>
      <c r="B3508" t="inlineStr">
        <is>
          <t>Oportunidad en el cierre de actividades de los planes de mejora</t>
        </is>
      </c>
      <c r="C3508" t="inlineStr">
        <is>
          <t>Gestión de calidad</t>
        </is>
      </c>
      <c r="D3508" t="inlineStr">
        <is>
          <t>Mensual</t>
        </is>
      </c>
      <c r="E3508" t="inlineStr">
        <is>
          <t>Positivo</t>
        </is>
      </c>
      <c r="F3508" s="105" t="n">
        <v>45991</v>
      </c>
      <c r="G3508" t="inlineStr">
        <is>
          <t>488-2025-11-30</t>
        </is>
      </c>
      <c r="H3508" t="inlineStr">
        <is>
          <t>Experiencia</t>
        </is>
      </c>
      <c r="I3508" t="n">
        <v>85</v>
      </c>
      <c r="J3508" t="n">
        <v>0</v>
      </c>
      <c r="EE3508" t="n">
        <v>0</v>
      </c>
      <c r="EF3508" t="n">
        <v>0</v>
      </c>
    </row>
    <row r="3509">
      <c r="A3509" t="n">
        <v>488</v>
      </c>
      <c r="B3509" t="inlineStr">
        <is>
          <t>Oportunidad en el cierre de actividades de los planes de mejora</t>
        </is>
      </c>
      <c r="C3509" t="inlineStr">
        <is>
          <t>Gestión de calidad</t>
        </is>
      </c>
      <c r="D3509" t="inlineStr">
        <is>
          <t>Mensual</t>
        </is>
      </c>
      <c r="E3509" t="inlineStr">
        <is>
          <t>Positivo</t>
        </is>
      </c>
      <c r="F3509" s="105" t="n">
        <v>45991</v>
      </c>
      <c r="G3509" t="inlineStr">
        <is>
          <t>488-2025-11-30</t>
        </is>
      </c>
      <c r="H3509" t="inlineStr">
        <is>
          <t>Revisión por la dirección</t>
        </is>
      </c>
      <c r="I3509" t="n">
        <v>85</v>
      </c>
      <c r="J3509" t="n">
        <v>100</v>
      </c>
      <c r="EE3509" t="n">
        <v>3</v>
      </c>
      <c r="EF3509" t="n">
        <v>3</v>
      </c>
    </row>
    <row r="3510">
      <c r="A3510" t="n">
        <v>488</v>
      </c>
      <c r="B3510" t="inlineStr">
        <is>
          <t>Oportunidad en el cierre de actividades de los planes de mejora</t>
        </is>
      </c>
      <c r="C3510" t="inlineStr">
        <is>
          <t>Gestión de calidad</t>
        </is>
      </c>
      <c r="D3510" t="inlineStr">
        <is>
          <t>Mensual</t>
        </is>
      </c>
      <c r="E3510" t="inlineStr">
        <is>
          <t>Positivo</t>
        </is>
      </c>
      <c r="F3510" s="105" t="n">
        <v>45991</v>
      </c>
      <c r="G3510" t="inlineStr">
        <is>
          <t>488-2025-11-30</t>
        </is>
      </c>
      <c r="H3510" t="inlineStr">
        <is>
          <t>Seguimiento y control</t>
        </is>
      </c>
      <c r="I3510" t="n">
        <v>85</v>
      </c>
      <c r="J3510" t="n">
        <v>72.5</v>
      </c>
      <c r="EE3510" t="n">
        <v>29</v>
      </c>
      <c r="EF3510" t="n">
        <v>40</v>
      </c>
    </row>
    <row r="3511">
      <c r="A3511" t="n">
        <v>509</v>
      </c>
      <c r="B3511" t="inlineStr">
        <is>
          <t>Cumplimiento a cronograma de proyectos 2025</t>
        </is>
      </c>
      <c r="C3511" t="inlineStr">
        <is>
          <t>Gestión de Proyectos</t>
        </is>
      </c>
      <c r="D3511" t="inlineStr">
        <is>
          <t>Mensual</t>
        </is>
      </c>
      <c r="E3511" t="inlineStr">
        <is>
          <t>Positivo</t>
        </is>
      </c>
      <c r="F3511" s="105" t="n">
        <v>45991</v>
      </c>
      <c r="G3511" t="inlineStr">
        <is>
          <t>509-2025-11-30</t>
        </is>
      </c>
      <c r="H3511" t="inlineStr">
        <is>
          <t>Acreditación Institucional fase III Etapa de evaluación externa o evaluación por pares</t>
        </is>
      </c>
      <c r="I3511" t="n">
        <v>90</v>
      </c>
      <c r="J3511" t="n">
        <v>100</v>
      </c>
      <c r="EJ3511" t="n">
        <v>91</v>
      </c>
      <c r="EK3511" t="n">
        <v>91</v>
      </c>
    </row>
    <row r="3512">
      <c r="A3512" t="n">
        <v>509</v>
      </c>
      <c r="B3512" t="inlineStr">
        <is>
          <t>Cumplimiento a cronograma de proyectos 2025</t>
        </is>
      </c>
      <c r="C3512" t="inlineStr">
        <is>
          <t>Gestión de Proyectos</t>
        </is>
      </c>
      <c r="D3512" t="inlineStr">
        <is>
          <t>Mensual</t>
        </is>
      </c>
      <c r="E3512" t="inlineStr">
        <is>
          <t>Positivo</t>
        </is>
      </c>
      <c r="F3512" s="105" t="n">
        <v>45991</v>
      </c>
      <c r="G3512" t="inlineStr">
        <is>
          <t>509-2025-11-30</t>
        </is>
      </c>
      <c r="H3512" t="inlineStr">
        <is>
          <t>Actualización de TRD y creación del Plan de Gestión documental</t>
        </is>
      </c>
      <c r="I3512" t="n">
        <v>90</v>
      </c>
      <c r="J3512" t="n">
        <v>91.11000061035156</v>
      </c>
      <c r="EJ3512" t="n">
        <v>90</v>
      </c>
      <c r="EK3512" t="n">
        <v>82</v>
      </c>
    </row>
    <row r="3513">
      <c r="A3513" t="n">
        <v>509</v>
      </c>
      <c r="B3513" t="inlineStr">
        <is>
          <t>Cumplimiento a cronograma de proyectos 2025</t>
        </is>
      </c>
      <c r="C3513" t="inlineStr">
        <is>
          <t>Gestión de Proyectos</t>
        </is>
      </c>
      <c r="D3513" t="inlineStr">
        <is>
          <t>Mensual</t>
        </is>
      </c>
      <c r="E3513" t="inlineStr">
        <is>
          <t>Positivo</t>
        </is>
      </c>
      <c r="F3513" s="105" t="n">
        <v>45991</v>
      </c>
      <c r="G3513" t="inlineStr">
        <is>
          <t>509-2025-11-30</t>
        </is>
      </c>
      <c r="H3513" t="inlineStr">
        <is>
          <t>Ecosistema E3</t>
        </is>
      </c>
      <c r="I3513" t="n">
        <v>90</v>
      </c>
      <c r="J3513" t="n">
        <v>100</v>
      </c>
      <c r="EJ3513" t="n">
        <v>100</v>
      </c>
      <c r="EK3513" t="n">
        <v>100</v>
      </c>
    </row>
    <row r="3514">
      <c r="A3514" t="n">
        <v>509</v>
      </c>
      <c r="B3514" t="inlineStr">
        <is>
          <t>Cumplimiento a cronograma de proyectos 2025</t>
        </is>
      </c>
      <c r="C3514" t="inlineStr">
        <is>
          <t>Gestión de Proyectos</t>
        </is>
      </c>
      <c r="D3514" t="inlineStr">
        <is>
          <t>Mensual</t>
        </is>
      </c>
      <c r="E3514" t="inlineStr">
        <is>
          <t>Positivo</t>
        </is>
      </c>
      <c r="F3514" s="105" t="n">
        <v>45991</v>
      </c>
      <c r="G3514" t="inlineStr">
        <is>
          <t>509-2025-11-30</t>
        </is>
      </c>
      <c r="H3514" t="inlineStr">
        <is>
          <t>Fortalecimiento de la investigación, la innovación y la creación</t>
        </is>
      </c>
      <c r="I3514" t="n">
        <v>90</v>
      </c>
      <c r="J3514" t="n">
        <v>98.69999694824219</v>
      </c>
      <c r="EJ3514" t="n">
        <v>77</v>
      </c>
      <c r="EK3514" t="n">
        <v>76</v>
      </c>
    </row>
    <row r="3515">
      <c r="A3515" t="n">
        <v>509</v>
      </c>
      <c r="B3515" t="inlineStr">
        <is>
          <t>Cumplimiento a cronograma de proyectos 2025</t>
        </is>
      </c>
      <c r="C3515" t="inlineStr">
        <is>
          <t>Gestión de Proyectos</t>
        </is>
      </c>
      <c r="D3515" t="inlineStr">
        <is>
          <t>Mensual</t>
        </is>
      </c>
      <c r="E3515" t="inlineStr">
        <is>
          <t>Positivo</t>
        </is>
      </c>
      <c r="F3515" s="105" t="n">
        <v>45991</v>
      </c>
      <c r="G3515" t="inlineStr">
        <is>
          <t>509-2025-11-30</t>
        </is>
      </c>
      <c r="H3515" t="inlineStr">
        <is>
          <t>Fortalecimiento de planta docente</t>
        </is>
      </c>
      <c r="I3515" t="n">
        <v>90</v>
      </c>
      <c r="J3515" t="n">
        <v>98.90000152587891</v>
      </c>
      <c r="EJ3515" t="n">
        <v>91</v>
      </c>
      <c r="EK3515" t="n">
        <v>90</v>
      </c>
    </row>
    <row r="3516">
      <c r="A3516" t="n">
        <v>509</v>
      </c>
      <c r="B3516" t="inlineStr">
        <is>
          <t>Cumplimiento a cronograma de proyectos 2025</t>
        </is>
      </c>
      <c r="C3516" t="inlineStr">
        <is>
          <t>Gestión de Proyectos</t>
        </is>
      </c>
      <c r="D3516" t="inlineStr">
        <is>
          <t>Mensual</t>
        </is>
      </c>
      <c r="E3516" t="inlineStr">
        <is>
          <t>Positivo</t>
        </is>
      </c>
      <c r="F3516" s="105" t="n">
        <v>45991</v>
      </c>
      <c r="G3516" t="inlineStr">
        <is>
          <t>509-2025-11-30</t>
        </is>
      </c>
      <c r="H3516" t="inlineStr">
        <is>
          <t>Gobierno de datos</t>
        </is>
      </c>
      <c r="I3516" t="n">
        <v>90</v>
      </c>
      <c r="J3516" t="n">
        <v>100</v>
      </c>
      <c r="EJ3516" t="n">
        <v>6</v>
      </c>
      <c r="EK3516" t="n">
        <v>6</v>
      </c>
    </row>
    <row r="3517">
      <c r="A3517" t="n">
        <v>509</v>
      </c>
      <c r="B3517" t="inlineStr">
        <is>
          <t>Cumplimiento a cronograma de proyectos 2025</t>
        </is>
      </c>
      <c r="C3517" t="inlineStr">
        <is>
          <t>Gestión de Proyectos</t>
        </is>
      </c>
      <c r="D3517" t="inlineStr">
        <is>
          <t>Mensual</t>
        </is>
      </c>
      <c r="E3517" t="inlineStr">
        <is>
          <t>Positivo</t>
        </is>
      </c>
      <c r="F3517" s="105" t="n">
        <v>45991</v>
      </c>
      <c r="G3517" t="inlineStr">
        <is>
          <t>509-2025-11-30</t>
        </is>
      </c>
      <c r="H3517" t="inlineStr">
        <is>
          <t>Herramientas de Gestión para el mejoramiento continuo</t>
        </is>
      </c>
      <c r="I3517" t="n">
        <v>90</v>
      </c>
      <c r="J3517" t="n">
        <v>95</v>
      </c>
      <c r="EJ3517" t="n">
        <v>60</v>
      </c>
      <c r="EK3517" t="n">
        <v>57</v>
      </c>
    </row>
    <row r="3518">
      <c r="A3518" t="n">
        <v>509</v>
      </c>
      <c r="B3518" t="inlineStr">
        <is>
          <t>Cumplimiento a cronograma de proyectos 2025</t>
        </is>
      </c>
      <c r="C3518" t="inlineStr">
        <is>
          <t>Gestión de Proyectos</t>
        </is>
      </c>
      <c r="D3518" t="inlineStr">
        <is>
          <t>Mensual</t>
        </is>
      </c>
      <c r="E3518" t="inlineStr">
        <is>
          <t>Positivo</t>
        </is>
      </c>
      <c r="F3518" s="105" t="n">
        <v>45991</v>
      </c>
      <c r="G3518" t="inlineStr">
        <is>
          <t>509-2025-11-30</t>
        </is>
      </c>
      <c r="H3518" t="inlineStr">
        <is>
          <t>Proyecto de Permanencia institucional</t>
        </is>
      </c>
      <c r="I3518" t="n">
        <v>90</v>
      </c>
      <c r="J3518" t="n">
        <v>97.94000244140625</v>
      </c>
      <c r="EJ3518" t="n">
        <v>97</v>
      </c>
      <c r="EK3518" t="n">
        <v>95</v>
      </c>
    </row>
    <row r="3519">
      <c r="A3519" t="n">
        <v>509</v>
      </c>
      <c r="B3519" t="inlineStr">
        <is>
          <t>Cumplimiento a cronograma de proyectos 2025</t>
        </is>
      </c>
      <c r="C3519" t="inlineStr">
        <is>
          <t>Gestión de Proyectos</t>
        </is>
      </c>
      <c r="D3519" t="inlineStr">
        <is>
          <t>Mensual</t>
        </is>
      </c>
      <c r="E3519" t="inlineStr">
        <is>
          <t>Positivo</t>
        </is>
      </c>
      <c r="F3519" s="105" t="n">
        <v>45991</v>
      </c>
      <c r="G3519" t="inlineStr">
        <is>
          <t>509-2025-11-30</t>
        </is>
      </c>
      <c r="H3519" t="inlineStr">
        <is>
          <t>Reingenieria de aplicaciones</t>
        </is>
      </c>
      <c r="I3519" t="n">
        <v>90</v>
      </c>
      <c r="J3519" t="n">
        <v>97.94000244140625</v>
      </c>
      <c r="EJ3519" t="n">
        <v>97</v>
      </c>
      <c r="EK3519" t="n">
        <v>95</v>
      </c>
    </row>
    <row r="3520">
      <c r="A3520" t="n">
        <v>509</v>
      </c>
      <c r="B3520" t="inlineStr">
        <is>
          <t>Cumplimiento a cronograma de proyectos 2025</t>
        </is>
      </c>
      <c r="C3520" t="inlineStr">
        <is>
          <t>Gestión de Proyectos</t>
        </is>
      </c>
      <c r="D3520" t="inlineStr">
        <is>
          <t>Mensual</t>
        </is>
      </c>
      <c r="E3520" t="inlineStr">
        <is>
          <t>Positivo</t>
        </is>
      </c>
      <c r="F3520" s="105" t="n">
        <v>45991</v>
      </c>
      <c r="G3520" t="inlineStr">
        <is>
          <t>509-2025-11-30</t>
        </is>
      </c>
      <c r="H3520" t="inlineStr">
        <is>
          <t>SOPHIA Sistema de Optimización y Programación Horaria Institucional  Académica  I Fase</t>
        </is>
      </c>
      <c r="I3520" t="n">
        <v>90</v>
      </c>
      <c r="J3520" t="n">
        <v>96.66999816894531</v>
      </c>
      <c r="EJ3520" t="n">
        <v>90</v>
      </c>
      <c r="EK3520" t="n">
        <v>87</v>
      </c>
    </row>
    <row r="3521">
      <c r="A3521" t="n">
        <v>509</v>
      </c>
      <c r="B3521" t="inlineStr">
        <is>
          <t>Cumplimiento a cronograma de proyectos 2025</t>
        </is>
      </c>
      <c r="C3521" t="inlineStr">
        <is>
          <t>Gestión de Proyectos</t>
        </is>
      </c>
      <c r="D3521" t="inlineStr">
        <is>
          <t>Mensual</t>
        </is>
      </c>
      <c r="E3521" t="inlineStr">
        <is>
          <t>Positivo</t>
        </is>
      </c>
      <c r="F3521" s="105" t="n">
        <v>45991</v>
      </c>
      <c r="G3521" t="inlineStr">
        <is>
          <t>509-2025-11-30</t>
        </is>
      </c>
      <c r="H3521" t="inlineStr">
        <is>
          <t>Modelo de seguimiento al graduado</t>
        </is>
      </c>
      <c r="I3521" t="n">
        <v>90</v>
      </c>
      <c r="J3521" t="n">
        <v>94.44000244140625</v>
      </c>
      <c r="EJ3521" t="n">
        <v>90</v>
      </c>
      <c r="EK3521" t="n">
        <v>85</v>
      </c>
    </row>
    <row r="3522">
      <c r="A3522" t="n">
        <v>509</v>
      </c>
      <c r="B3522" t="inlineStr">
        <is>
          <t>Cumplimiento a cronograma de proyectos 2025</t>
        </is>
      </c>
      <c r="C3522" t="inlineStr">
        <is>
          <t>Gestión de Proyectos</t>
        </is>
      </c>
      <c r="D3522" t="inlineStr">
        <is>
          <t>Mensual</t>
        </is>
      </c>
      <c r="E3522" t="inlineStr">
        <is>
          <t>Positivo</t>
        </is>
      </c>
      <c r="F3522" s="105" t="n">
        <v>45991</v>
      </c>
      <c r="G3522" t="inlineStr">
        <is>
          <t>509-2025-11-30</t>
        </is>
      </c>
      <c r="H3522" t="inlineStr">
        <is>
          <t>SER PRO Fase II</t>
        </is>
      </c>
      <c r="I3522" t="n">
        <v>90</v>
      </c>
      <c r="J3522" t="n">
        <v>0</v>
      </c>
      <c r="EJ3522" t="n">
        <v>0</v>
      </c>
      <c r="EK3522" t="n">
        <v>0</v>
      </c>
    </row>
    <row r="3523">
      <c r="A3523" t="n">
        <v>509</v>
      </c>
      <c r="B3523" t="inlineStr">
        <is>
          <t>Cumplimiento a cronograma de proyectos 2025</t>
        </is>
      </c>
      <c r="C3523" t="inlineStr">
        <is>
          <t>Gestión de Proyectos</t>
        </is>
      </c>
      <c r="D3523" t="inlineStr">
        <is>
          <t>Mensual</t>
        </is>
      </c>
      <c r="E3523" t="inlineStr">
        <is>
          <t>Positivo</t>
        </is>
      </c>
      <c r="F3523" s="105" t="n">
        <v>45991</v>
      </c>
      <c r="G3523" t="inlineStr">
        <is>
          <t>509-2025-11-30</t>
        </is>
      </c>
      <c r="H3523" t="inlineStr">
        <is>
          <t>Centro de Idiomas POLI</t>
        </is>
      </c>
      <c r="I3523" t="n">
        <v>90</v>
      </c>
      <c r="J3523" t="n">
        <v>0</v>
      </c>
      <c r="EJ3523" t="n">
        <v>0</v>
      </c>
      <c r="EK3523" t="n">
        <v>0</v>
      </c>
    </row>
    <row r="3524">
      <c r="A3524" t="n">
        <v>509</v>
      </c>
      <c r="B3524" t="inlineStr">
        <is>
          <t>Cumplimiento a cronograma de proyectos 2025</t>
        </is>
      </c>
      <c r="C3524" t="inlineStr">
        <is>
          <t>Gestión de Proyectos</t>
        </is>
      </c>
      <c r="D3524" t="inlineStr">
        <is>
          <t>Mensual</t>
        </is>
      </c>
      <c r="E3524" t="inlineStr">
        <is>
          <t>Positivo</t>
        </is>
      </c>
      <c r="F3524" s="105" t="n">
        <v>45991</v>
      </c>
      <c r="G3524" t="inlineStr">
        <is>
          <t>509-2025-11-30</t>
        </is>
      </c>
      <c r="H3524" t="inlineStr">
        <is>
          <t>Colegio Virtual</t>
        </is>
      </c>
      <c r="I3524" t="n">
        <v>90</v>
      </c>
      <c r="J3524" t="n">
        <v>0</v>
      </c>
      <c r="EJ3524" t="n">
        <v>0</v>
      </c>
      <c r="EK3524" t="n">
        <v>0</v>
      </c>
    </row>
    <row r="3525">
      <c r="A3525" t="n">
        <v>509</v>
      </c>
      <c r="B3525" t="inlineStr">
        <is>
          <t>Cumplimiento a cronograma de proyectos 2025</t>
        </is>
      </c>
      <c r="C3525" t="inlineStr">
        <is>
          <t>Gestión de Proyectos</t>
        </is>
      </c>
      <c r="D3525" t="inlineStr">
        <is>
          <t>Mensual</t>
        </is>
      </c>
      <c r="E3525" t="inlineStr">
        <is>
          <t>Positivo</t>
        </is>
      </c>
      <c r="F3525" s="105" t="n">
        <v>45991</v>
      </c>
      <c r="G3525" t="inlineStr">
        <is>
          <t>509-2025-11-30</t>
        </is>
      </c>
      <c r="H3525" t="inlineStr">
        <is>
          <t>Institución de educación para el trabajo y desarrollo humano IETDH</t>
        </is>
      </c>
      <c r="I3525" t="n">
        <v>90</v>
      </c>
      <c r="J3525" t="n">
        <v>0</v>
      </c>
      <c r="EJ3525" t="n">
        <v>0</v>
      </c>
      <c r="EK3525" t="n">
        <v>0</v>
      </c>
    </row>
    <row r="3526">
      <c r="A3526" t="n">
        <v>509</v>
      </c>
      <c r="B3526" t="inlineStr">
        <is>
          <t>Cumplimiento a cronograma de proyectos 2025</t>
        </is>
      </c>
      <c r="C3526" t="inlineStr">
        <is>
          <t>Gestión de Proyectos</t>
        </is>
      </c>
      <c r="D3526" t="inlineStr">
        <is>
          <t>Mensual</t>
        </is>
      </c>
      <c r="E3526" t="inlineStr">
        <is>
          <t>Positivo</t>
        </is>
      </c>
      <c r="F3526" s="105" t="n">
        <v>45991</v>
      </c>
      <c r="G3526" t="inlineStr">
        <is>
          <t>509-2025-11-30</t>
        </is>
      </c>
      <c r="H3526" t="inlineStr">
        <is>
          <t>Plataforma Tecnologica de Gestión de información Curricular</t>
        </is>
      </c>
      <c r="I3526" t="n">
        <v>90</v>
      </c>
      <c r="J3526" t="n">
        <v>92</v>
      </c>
      <c r="EJ3526" t="n">
        <v>75</v>
      </c>
      <c r="EK3526" t="n">
        <v>69</v>
      </c>
    </row>
    <row r="3527">
      <c r="A3527" t="n">
        <v>509</v>
      </c>
      <c r="B3527" t="inlineStr">
        <is>
          <t>Cumplimiento a cronograma de proyectos 2025</t>
        </is>
      </c>
      <c r="C3527" t="inlineStr">
        <is>
          <t>Gestión de Proyectos</t>
        </is>
      </c>
      <c r="D3527" t="inlineStr">
        <is>
          <t>Mensual</t>
        </is>
      </c>
      <c r="E3527" t="inlineStr">
        <is>
          <t>Positivo</t>
        </is>
      </c>
      <c r="F3527" s="105" t="n">
        <v>45991</v>
      </c>
      <c r="G3527" t="inlineStr">
        <is>
          <t>509-2025-11-30</t>
        </is>
      </c>
      <c r="H3527" t="inlineStr">
        <is>
          <t>Sistema de medición de resultados de aprendizaje</t>
        </is>
      </c>
      <c r="I3527" t="n">
        <v>90</v>
      </c>
      <c r="J3527" t="n">
        <v>0</v>
      </c>
      <c r="EJ3527" t="n">
        <v>0</v>
      </c>
      <c r="EK3527" t="n">
        <v>0</v>
      </c>
    </row>
    <row r="3528">
      <c r="A3528" t="n">
        <v>509</v>
      </c>
      <c r="B3528" t="inlineStr">
        <is>
          <t>Cumplimiento a cronograma de proyectos 2025</t>
        </is>
      </c>
      <c r="C3528" t="inlineStr">
        <is>
          <t>Gestión de Proyectos</t>
        </is>
      </c>
      <c r="D3528" t="inlineStr">
        <is>
          <t>Mensual</t>
        </is>
      </c>
      <c r="E3528" t="inlineStr">
        <is>
          <t>Positivo</t>
        </is>
      </c>
      <c r="F3528" s="105" t="n">
        <v>45991</v>
      </c>
      <c r="G3528" t="inlineStr">
        <is>
          <t>509-2025-11-30</t>
        </is>
      </c>
      <c r="H3528" t="inlineStr">
        <is>
          <t>ADN POLI</t>
        </is>
      </c>
      <c r="I3528" t="n">
        <v>90</v>
      </c>
      <c r="J3528" t="n">
        <v>100</v>
      </c>
      <c r="EJ3528" t="n">
        <v>67</v>
      </c>
      <c r="EK3528" t="n">
        <v>67</v>
      </c>
    </row>
    <row r="3529">
      <c r="A3529" t="n">
        <v>208</v>
      </c>
      <c r="B3529" t="inlineStr">
        <is>
          <t>Consumo de Agua m3 Mensual</t>
        </is>
      </c>
      <c r="C3529" t="inlineStr">
        <is>
          <t>GESTIÓN AMBIENTAL</t>
        </is>
      </c>
      <c r="D3529" t="inlineStr">
        <is>
          <t>Mensual</t>
        </is>
      </c>
      <c r="E3529" t="inlineStr">
        <is>
          <t>Negativo</t>
        </is>
      </c>
      <c r="F3529" s="105" t="n">
        <v>46022</v>
      </c>
      <c r="G3529" t="inlineStr">
        <is>
          <t>208-2025-12-31</t>
        </is>
      </c>
      <c r="H3529" t="inlineStr">
        <is>
          <t>Campus Bogotá</t>
        </is>
      </c>
      <c r="I3529" t="n">
        <v>950</v>
      </c>
      <c r="J3529" t="n">
        <v>643</v>
      </c>
      <c r="K3529" t="n">
        <v>643</v>
      </c>
    </row>
    <row r="3530">
      <c r="A3530" t="n">
        <v>208</v>
      </c>
      <c r="B3530" t="inlineStr">
        <is>
          <t>Consumo de Agua m3 Mensual</t>
        </is>
      </c>
      <c r="C3530" t="inlineStr">
        <is>
          <t>GESTIÓN AMBIENTAL</t>
        </is>
      </c>
      <c r="D3530" t="inlineStr">
        <is>
          <t>Mensual</t>
        </is>
      </c>
      <c r="E3530" t="inlineStr">
        <is>
          <t>Negativo</t>
        </is>
      </c>
      <c r="F3530" s="105" t="n">
        <v>46022</v>
      </c>
      <c r="G3530" t="inlineStr">
        <is>
          <t>208-2025-12-31</t>
        </is>
      </c>
      <c r="H3530" t="inlineStr">
        <is>
          <t>City Campus</t>
        </is>
      </c>
      <c r="I3530" t="n">
        <v>350</v>
      </c>
      <c r="J3530" t="n">
        <v>266</v>
      </c>
      <c r="K3530" t="n">
        <v>266</v>
      </c>
    </row>
    <row r="3531">
      <c r="A3531" t="n">
        <v>208</v>
      </c>
      <c r="B3531" t="inlineStr">
        <is>
          <t>Consumo de Agua m3 Mensual</t>
        </is>
      </c>
      <c r="C3531" t="inlineStr">
        <is>
          <t>GESTIÓN AMBIENTAL</t>
        </is>
      </c>
      <c r="D3531" t="inlineStr">
        <is>
          <t>Mensual</t>
        </is>
      </c>
      <c r="E3531" t="inlineStr">
        <is>
          <t>Negativo</t>
        </is>
      </c>
      <c r="F3531" s="105" t="n">
        <v>46022</v>
      </c>
      <c r="G3531" t="inlineStr">
        <is>
          <t>208-2025-12-31</t>
        </is>
      </c>
      <c r="H3531" t="inlineStr">
        <is>
          <t>Sede Posgrado-Calle 85</t>
        </is>
      </c>
      <c r="I3531" t="n">
        <v>25</v>
      </c>
      <c r="J3531" t="n">
        <v>14</v>
      </c>
      <c r="K3531" t="n">
        <v>14</v>
      </c>
    </row>
    <row r="3532">
      <c r="A3532" t="n">
        <v>208</v>
      </c>
      <c r="B3532" t="inlineStr">
        <is>
          <t>Consumo de Agua m3 Mensual</t>
        </is>
      </c>
      <c r="C3532" t="inlineStr">
        <is>
          <t>GESTIÓN AMBIENTAL</t>
        </is>
      </c>
      <c r="D3532" t="inlineStr">
        <is>
          <t>Mensual</t>
        </is>
      </c>
      <c r="E3532" t="inlineStr">
        <is>
          <t>Negativo</t>
        </is>
      </c>
      <c r="F3532" s="105" t="n">
        <v>46022</v>
      </c>
      <c r="G3532" t="inlineStr">
        <is>
          <t>208-2025-12-31</t>
        </is>
      </c>
      <c r="H3532" t="inlineStr">
        <is>
          <t>Campus-Medellín</t>
        </is>
      </c>
      <c r="I3532" t="n">
        <v>200</v>
      </c>
      <c r="J3532" t="n">
        <v>124</v>
      </c>
      <c r="K3532" t="n">
        <v>124</v>
      </c>
    </row>
    <row r="3533">
      <c r="A3533" t="n">
        <v>208</v>
      </c>
      <c r="B3533" t="inlineStr">
        <is>
          <t>Consumo de Agua m3 Mensual</t>
        </is>
      </c>
      <c r="C3533" t="inlineStr">
        <is>
          <t>GESTIÓN AMBIENTAL</t>
        </is>
      </c>
      <c r="D3533" t="inlineStr">
        <is>
          <t>Mensual</t>
        </is>
      </c>
      <c r="E3533" t="inlineStr">
        <is>
          <t>Negativo</t>
        </is>
      </c>
      <c r="F3533" s="105" t="n">
        <v>46022</v>
      </c>
      <c r="G3533" t="inlineStr">
        <is>
          <t>208-2025-12-31</t>
        </is>
      </c>
      <c r="H3533" t="inlineStr">
        <is>
          <t>Sede Bienestar - Medellín</t>
        </is>
      </c>
      <c r="I3533" t="n">
        <v>0</v>
      </c>
      <c r="J3533" t="n">
        <v>0</v>
      </c>
      <c r="K3533" t="n">
        <v>0</v>
      </c>
    </row>
    <row r="3534">
      <c r="A3534" t="n">
        <v>208</v>
      </c>
      <c r="B3534" t="inlineStr">
        <is>
          <t>Consumo de Agua m3 Mensual</t>
        </is>
      </c>
      <c r="C3534" t="inlineStr">
        <is>
          <t>GESTIÓN AMBIENTAL</t>
        </is>
      </c>
      <c r="D3534" t="inlineStr">
        <is>
          <t>Mensual</t>
        </is>
      </c>
      <c r="E3534" t="inlineStr">
        <is>
          <t>Negativo</t>
        </is>
      </c>
      <c r="F3534" s="105" t="n">
        <v>46022</v>
      </c>
      <c r="G3534" t="inlineStr">
        <is>
          <t>208-2025-12-31</t>
        </is>
      </c>
      <c r="H3534" t="inlineStr">
        <is>
          <t>Consultorio Psicología - Medellin</t>
        </is>
      </c>
      <c r="I3534" t="n">
        <v>25</v>
      </c>
      <c r="J3534" t="n">
        <v>12</v>
      </c>
      <c r="K3534" t="n">
        <v>12</v>
      </c>
    </row>
    <row r="3535">
      <c r="A3535" t="n">
        <v>214</v>
      </c>
      <c r="B3535" t="inlineStr">
        <is>
          <t>Generación de Residuos Sólidos Mensual</t>
        </is>
      </c>
      <c r="C3535" t="inlineStr">
        <is>
          <t>GESTIÓN AMBIENTAL</t>
        </is>
      </c>
      <c r="D3535" t="inlineStr">
        <is>
          <t>Mensual</t>
        </is>
      </c>
      <c r="E3535" t="inlineStr">
        <is>
          <t>Negativo</t>
        </is>
      </c>
      <c r="F3535" s="105" t="n">
        <v>46022</v>
      </c>
      <c r="G3535" t="inlineStr">
        <is>
          <t>214-2025-12-31</t>
        </is>
      </c>
      <c r="H3535" t="inlineStr">
        <is>
          <t>Campus Bogotá</t>
        </is>
      </c>
      <c r="I3535" t="n">
        <v>5500</v>
      </c>
      <c r="J3535" t="n">
        <v>1243.900024414062</v>
      </c>
      <c r="L3535" t="n">
        <v>315.38</v>
      </c>
      <c r="M3535" t="n">
        <v>928.52</v>
      </c>
    </row>
    <row r="3536">
      <c r="A3536" t="n">
        <v>214</v>
      </c>
      <c r="B3536" t="inlineStr">
        <is>
          <t>Generación de Residuos Sólidos Mensual</t>
        </is>
      </c>
      <c r="C3536" t="inlineStr">
        <is>
          <t>GESTIÓN AMBIENTAL</t>
        </is>
      </c>
      <c r="D3536" t="inlineStr">
        <is>
          <t>Mensual</t>
        </is>
      </c>
      <c r="E3536" t="inlineStr">
        <is>
          <t>Negativo</t>
        </is>
      </c>
      <c r="F3536" s="105" t="n">
        <v>46022</v>
      </c>
      <c r="G3536" t="inlineStr">
        <is>
          <t>214-2025-12-31</t>
        </is>
      </c>
      <c r="H3536" t="inlineStr">
        <is>
          <t>City Campus</t>
        </is>
      </c>
      <c r="I3536" t="n">
        <v>1000</v>
      </c>
      <c r="J3536" t="n">
        <v>162.1799926757812</v>
      </c>
      <c r="L3536" t="n">
        <v>28.62</v>
      </c>
      <c r="M3536" t="n">
        <v>133.56</v>
      </c>
    </row>
    <row r="3537">
      <c r="A3537" t="n">
        <v>214</v>
      </c>
      <c r="B3537" t="inlineStr">
        <is>
          <t>Generación de Residuos Sólidos Mensual</t>
        </is>
      </c>
      <c r="C3537" t="inlineStr">
        <is>
          <t>GESTIÓN AMBIENTAL</t>
        </is>
      </c>
      <c r="D3537" t="inlineStr">
        <is>
          <t>Mensual</t>
        </is>
      </c>
      <c r="E3537" t="inlineStr">
        <is>
          <t>Negativo</t>
        </is>
      </c>
      <c r="F3537" s="105" t="n">
        <v>46022</v>
      </c>
      <c r="G3537" t="inlineStr">
        <is>
          <t>214-2025-12-31</t>
        </is>
      </c>
      <c r="H3537" t="inlineStr">
        <is>
          <t>Sede Posgrado-Calle 85</t>
        </is>
      </c>
      <c r="I3537" t="n">
        <v>7500</v>
      </c>
      <c r="J3537" t="n">
        <v>26.3700008392334</v>
      </c>
      <c r="L3537" t="n">
        <v>8.18</v>
      </c>
      <c r="M3537" t="n">
        <v>18.19</v>
      </c>
    </row>
    <row r="3538">
      <c r="A3538" t="n">
        <v>214</v>
      </c>
      <c r="B3538" t="inlineStr">
        <is>
          <t>Generación de Residuos Sólidos Mensual</t>
        </is>
      </c>
      <c r="C3538" t="inlineStr">
        <is>
          <t>GESTIÓN AMBIENTAL</t>
        </is>
      </c>
      <c r="D3538" t="inlineStr">
        <is>
          <t>Mensual</t>
        </is>
      </c>
      <c r="E3538" t="inlineStr">
        <is>
          <t>Negativo</t>
        </is>
      </c>
      <c r="F3538" s="105" t="n">
        <v>46022</v>
      </c>
      <c r="G3538" t="inlineStr">
        <is>
          <t>214-2025-12-31</t>
        </is>
      </c>
      <c r="H3538" t="inlineStr">
        <is>
          <t>Sede Bienestar - Medellín</t>
        </is>
      </c>
      <c r="I3538" t="n">
        <v>1</v>
      </c>
      <c r="J3538" t="n">
        <v>27.79000091552734</v>
      </c>
      <c r="L3538" t="n">
        <v>0</v>
      </c>
      <c r="M3538" t="n">
        <v>27.79</v>
      </c>
    </row>
    <row r="3539">
      <c r="A3539" t="n">
        <v>214</v>
      </c>
      <c r="B3539" t="inlineStr">
        <is>
          <t>Generación de Residuos Sólidos Mensual</t>
        </is>
      </c>
      <c r="C3539" t="inlineStr">
        <is>
          <t>GESTIÓN AMBIENTAL</t>
        </is>
      </c>
      <c r="D3539" t="inlineStr">
        <is>
          <t>Mensual</t>
        </is>
      </c>
      <c r="E3539" t="inlineStr">
        <is>
          <t>Negativo</t>
        </is>
      </c>
      <c r="F3539" s="105" t="n">
        <v>46022</v>
      </c>
      <c r="G3539" t="inlineStr">
        <is>
          <t>214-2025-12-31</t>
        </is>
      </c>
      <c r="H3539" t="inlineStr">
        <is>
          <t>Consultorio Psicología - Medellin</t>
        </is>
      </c>
      <c r="I3539" t="n">
        <v>1</v>
      </c>
      <c r="J3539" t="n">
        <v>11.4399995803833</v>
      </c>
      <c r="L3539" t="n">
        <v>1.68</v>
      </c>
      <c r="M3539" t="n">
        <v>9.76</v>
      </c>
    </row>
    <row r="3540">
      <c r="A3540" t="n">
        <v>214</v>
      </c>
      <c r="B3540" t="inlineStr">
        <is>
          <t>Generación de Residuos Sólidos Mensual</t>
        </is>
      </c>
      <c r="C3540" t="inlineStr">
        <is>
          <t>GESTIÓN AMBIENTAL</t>
        </is>
      </c>
      <c r="D3540" t="inlineStr">
        <is>
          <t>Mensual</t>
        </is>
      </c>
      <c r="E3540" t="inlineStr">
        <is>
          <t>Negativo</t>
        </is>
      </c>
      <c r="F3540" s="105" t="n">
        <v>46022</v>
      </c>
      <c r="G3540" t="inlineStr">
        <is>
          <t>214-2025-12-31</t>
        </is>
      </c>
      <c r="H3540" t="inlineStr">
        <is>
          <t>Campus-Medellín</t>
        </is>
      </c>
      <c r="I3540" t="n">
        <v>1000</v>
      </c>
      <c r="J3540" t="n">
        <v>697.8599853515625</v>
      </c>
      <c r="L3540" t="n">
        <v>0</v>
      </c>
      <c r="M3540" t="n">
        <v>697.86</v>
      </c>
    </row>
    <row r="3541">
      <c r="A3541" t="n">
        <v>217</v>
      </c>
      <c r="B3541" t="inlineStr">
        <is>
          <t>Aprovechamiento de Residuos</t>
        </is>
      </c>
      <c r="C3541" t="inlineStr">
        <is>
          <t>GESTIÓN AMBIENTAL</t>
        </is>
      </c>
      <c r="D3541" t="inlineStr">
        <is>
          <t>Mensual</t>
        </is>
      </c>
      <c r="E3541" t="inlineStr">
        <is>
          <t>Positivo</t>
        </is>
      </c>
      <c r="F3541" s="105" t="n">
        <v>46022</v>
      </c>
      <c r="G3541" t="inlineStr">
        <is>
          <t>217-2025-12-31</t>
        </is>
      </c>
      <c r="H3541" t="inlineStr">
        <is>
          <t>Campus Bogotá</t>
        </is>
      </c>
      <c r="I3541" t="n">
        <v>20</v>
      </c>
      <c r="J3541" t="n">
        <v>80.41999816894531</v>
      </c>
      <c r="L3541" t="n">
        <v>315.38</v>
      </c>
      <c r="M3541" t="n">
        <v>928.52</v>
      </c>
      <c r="AS3541" t="n">
        <v>1000.38</v>
      </c>
    </row>
    <row r="3542">
      <c r="A3542" t="n">
        <v>217</v>
      </c>
      <c r="B3542" t="inlineStr">
        <is>
          <t>Aprovechamiento de Residuos</t>
        </is>
      </c>
      <c r="C3542" t="inlineStr">
        <is>
          <t>GESTIÓN AMBIENTAL</t>
        </is>
      </c>
      <c r="D3542" t="inlineStr">
        <is>
          <t>Mensual</t>
        </is>
      </c>
      <c r="E3542" t="inlineStr">
        <is>
          <t>Positivo</t>
        </is>
      </c>
      <c r="F3542" s="105" t="n">
        <v>46022</v>
      </c>
      <c r="G3542" t="inlineStr">
        <is>
          <t>217-2025-12-31</t>
        </is>
      </c>
      <c r="H3542" t="inlineStr">
        <is>
          <t>City Campus</t>
        </is>
      </c>
      <c r="I3542" t="n">
        <v>20</v>
      </c>
      <c r="J3542" t="n">
        <v>17.64999961853027</v>
      </c>
      <c r="L3542" t="n">
        <v>28.62</v>
      </c>
      <c r="M3542" t="n">
        <v>133.56</v>
      </c>
      <c r="AS3542" t="n">
        <v>28.62</v>
      </c>
    </row>
    <row r="3543">
      <c r="A3543" t="n">
        <v>217</v>
      </c>
      <c r="B3543" t="inlineStr">
        <is>
          <t>Aprovechamiento de Residuos</t>
        </is>
      </c>
      <c r="C3543" t="inlineStr">
        <is>
          <t>GESTIÓN AMBIENTAL</t>
        </is>
      </c>
      <c r="D3543" t="inlineStr">
        <is>
          <t>Mensual</t>
        </is>
      </c>
      <c r="E3543" t="inlineStr">
        <is>
          <t>Positivo</t>
        </is>
      </c>
      <c r="F3543" s="105" t="n">
        <v>46022</v>
      </c>
      <c r="G3543" t="inlineStr">
        <is>
          <t>217-2025-12-31</t>
        </is>
      </c>
      <c r="H3543" t="inlineStr">
        <is>
          <t>Sede Posgrado-Calle 85</t>
        </is>
      </c>
      <c r="I3543" t="n">
        <v>20</v>
      </c>
      <c r="J3543" t="n">
        <v>31.02000045776367</v>
      </c>
      <c r="L3543" t="n">
        <v>8.18</v>
      </c>
      <c r="M3543" t="n">
        <v>18.19</v>
      </c>
      <c r="AS3543" t="n">
        <v>8.18</v>
      </c>
    </row>
    <row r="3544">
      <c r="A3544" t="n">
        <v>217</v>
      </c>
      <c r="B3544" t="inlineStr">
        <is>
          <t>Aprovechamiento de Residuos</t>
        </is>
      </c>
      <c r="C3544" t="inlineStr">
        <is>
          <t>GESTIÓN AMBIENTAL</t>
        </is>
      </c>
      <c r="D3544" t="inlineStr">
        <is>
          <t>Mensual</t>
        </is>
      </c>
      <c r="E3544" t="inlineStr">
        <is>
          <t>Positivo</t>
        </is>
      </c>
      <c r="F3544" s="105" t="n">
        <v>46022</v>
      </c>
      <c r="G3544" t="inlineStr">
        <is>
          <t>217-2025-12-31</t>
        </is>
      </c>
      <c r="H3544" t="inlineStr">
        <is>
          <t>Sede Bienestar - Medellín</t>
        </is>
      </c>
      <c r="I3544" t="n">
        <v>20</v>
      </c>
      <c r="J3544" t="n">
        <v>0</v>
      </c>
      <c r="L3544" t="n">
        <v>0</v>
      </c>
      <c r="M3544" t="n">
        <v>27.79</v>
      </c>
      <c r="AS3544" t="n">
        <v>0</v>
      </c>
    </row>
    <row r="3545">
      <c r="A3545" t="n">
        <v>217</v>
      </c>
      <c r="B3545" t="inlineStr">
        <is>
          <t>Aprovechamiento de Residuos</t>
        </is>
      </c>
      <c r="C3545" t="inlineStr">
        <is>
          <t>GESTIÓN AMBIENTAL</t>
        </is>
      </c>
      <c r="D3545" t="inlineStr">
        <is>
          <t>Mensual</t>
        </is>
      </c>
      <c r="E3545" t="inlineStr">
        <is>
          <t>Positivo</t>
        </is>
      </c>
      <c r="F3545" s="105" t="n">
        <v>46022</v>
      </c>
      <c r="G3545" t="inlineStr">
        <is>
          <t>217-2025-12-31</t>
        </is>
      </c>
      <c r="H3545" t="inlineStr">
        <is>
          <t>Consultorio Psicología - Medellin</t>
        </is>
      </c>
      <c r="I3545" t="n">
        <v>20</v>
      </c>
      <c r="J3545" t="n">
        <v>14.6899995803833</v>
      </c>
      <c r="L3545" t="n">
        <v>1.68</v>
      </c>
      <c r="M3545" t="n">
        <v>9.76</v>
      </c>
      <c r="AS3545" t="n">
        <v>1.68</v>
      </c>
    </row>
    <row r="3546">
      <c r="A3546" t="n">
        <v>217</v>
      </c>
      <c r="B3546" t="inlineStr">
        <is>
          <t>Aprovechamiento de Residuos</t>
        </is>
      </c>
      <c r="C3546" t="inlineStr">
        <is>
          <t>GESTIÓN AMBIENTAL</t>
        </is>
      </c>
      <c r="D3546" t="inlineStr">
        <is>
          <t>Mensual</t>
        </is>
      </c>
      <c r="E3546" t="inlineStr">
        <is>
          <t>Positivo</t>
        </is>
      </c>
      <c r="F3546" s="105" t="n">
        <v>46022</v>
      </c>
      <c r="G3546" t="inlineStr">
        <is>
          <t>217-2025-12-31</t>
        </is>
      </c>
      <c r="H3546" t="inlineStr">
        <is>
          <t>Campus-Medellín</t>
        </is>
      </c>
      <c r="I3546" t="n">
        <v>20</v>
      </c>
      <c r="J3546" t="n">
        <v>1.429999947547913</v>
      </c>
      <c r="L3546" t="n">
        <v>0</v>
      </c>
      <c r="M3546" t="n">
        <v>697.86</v>
      </c>
      <c r="AS3546" t="n">
        <v>10</v>
      </c>
    </row>
    <row r="3547">
      <c r="A3547" t="n">
        <v>218</v>
      </c>
      <c r="B3547" t="inlineStr">
        <is>
          <t>Consumo de Energía Eléctrica kWh Mensual</t>
        </is>
      </c>
      <c r="C3547" t="inlineStr">
        <is>
          <t>GESTIÓN AMBIENTAL</t>
        </is>
      </c>
      <c r="D3547" t="inlineStr">
        <is>
          <t>Mensual</t>
        </is>
      </c>
      <c r="E3547" t="inlineStr">
        <is>
          <t>Negativo</t>
        </is>
      </c>
      <c r="F3547" s="105" t="n">
        <v>46022</v>
      </c>
      <c r="G3547" t="inlineStr">
        <is>
          <t>218-2025-12-31</t>
        </is>
      </c>
      <c r="H3547" t="inlineStr">
        <is>
          <t>Campus Bogotá</t>
        </is>
      </c>
      <c r="I3547" t="n">
        <v>76000</v>
      </c>
      <c r="J3547" t="n">
        <v>53458.0390625</v>
      </c>
      <c r="N3547" t="n">
        <v>53458.04</v>
      </c>
    </row>
    <row r="3548">
      <c r="A3548" t="n">
        <v>218</v>
      </c>
      <c r="B3548" t="inlineStr">
        <is>
          <t>Consumo de Energía Eléctrica kWh Mensual</t>
        </is>
      </c>
      <c r="C3548" t="inlineStr">
        <is>
          <t>GESTIÓN AMBIENTAL</t>
        </is>
      </c>
      <c r="D3548" t="inlineStr">
        <is>
          <t>Mensual</t>
        </is>
      </c>
      <c r="E3548" t="inlineStr">
        <is>
          <t>Negativo</t>
        </is>
      </c>
      <c r="F3548" s="105" t="n">
        <v>46022</v>
      </c>
      <c r="G3548" t="inlineStr">
        <is>
          <t>218-2025-12-31</t>
        </is>
      </c>
      <c r="H3548" t="inlineStr">
        <is>
          <t>City Campus</t>
        </is>
      </c>
      <c r="I3548" t="n">
        <v>76000</v>
      </c>
      <c r="J3548" t="n">
        <v>46170</v>
      </c>
      <c r="N3548" t="n">
        <v>46170</v>
      </c>
    </row>
    <row r="3549">
      <c r="A3549" t="n">
        <v>218</v>
      </c>
      <c r="B3549" t="inlineStr">
        <is>
          <t>Consumo de Energía Eléctrica kWh Mensual</t>
        </is>
      </c>
      <c r="C3549" t="inlineStr">
        <is>
          <t>GESTIÓN AMBIENTAL</t>
        </is>
      </c>
      <c r="D3549" t="inlineStr">
        <is>
          <t>Mensual</t>
        </is>
      </c>
      <c r="E3549" t="inlineStr">
        <is>
          <t>Negativo</t>
        </is>
      </c>
      <c r="F3549" s="105" t="n">
        <v>46022</v>
      </c>
      <c r="G3549" t="inlineStr">
        <is>
          <t>218-2025-12-31</t>
        </is>
      </c>
      <c r="H3549" t="inlineStr">
        <is>
          <t>Sede Posgrado-Calle 85</t>
        </is>
      </c>
      <c r="I3549" t="n">
        <v>5000</v>
      </c>
      <c r="J3549" t="n">
        <v>4080</v>
      </c>
      <c r="N3549" t="n">
        <v>4080</v>
      </c>
    </row>
    <row r="3550">
      <c r="A3550" t="n">
        <v>218</v>
      </c>
      <c r="B3550" t="inlineStr">
        <is>
          <t>Consumo de Energía Eléctrica kWh Mensual</t>
        </is>
      </c>
      <c r="C3550" t="inlineStr">
        <is>
          <t>GESTIÓN AMBIENTAL</t>
        </is>
      </c>
      <c r="D3550" t="inlineStr">
        <is>
          <t>Mensual</t>
        </is>
      </c>
      <c r="E3550" t="inlineStr">
        <is>
          <t>Negativo</t>
        </is>
      </c>
      <c r="F3550" s="105" t="n">
        <v>46022</v>
      </c>
      <c r="G3550" t="inlineStr">
        <is>
          <t>218-2025-12-31</t>
        </is>
      </c>
      <c r="H3550" t="inlineStr">
        <is>
          <t>Campus-Medellín</t>
        </is>
      </c>
      <c r="I3550" t="n">
        <v>24000</v>
      </c>
      <c r="J3550" t="n">
        <v>11717</v>
      </c>
      <c r="N3550" t="n">
        <v>11717</v>
      </c>
    </row>
    <row r="3551">
      <c r="A3551" t="n">
        <v>218</v>
      </c>
      <c r="B3551" t="inlineStr">
        <is>
          <t>Consumo de Energía Eléctrica kWh Mensual</t>
        </is>
      </c>
      <c r="C3551" t="inlineStr">
        <is>
          <t>GESTIÓN AMBIENTAL</t>
        </is>
      </c>
      <c r="D3551" t="inlineStr">
        <is>
          <t>Mensual</t>
        </is>
      </c>
      <c r="E3551" t="inlineStr">
        <is>
          <t>Negativo</t>
        </is>
      </c>
      <c r="F3551" s="105" t="n">
        <v>46022</v>
      </c>
      <c r="G3551" t="inlineStr">
        <is>
          <t>218-2025-12-31</t>
        </is>
      </c>
      <c r="H3551" t="inlineStr">
        <is>
          <t>Sede Bienestar - Medellín</t>
        </is>
      </c>
      <c r="I3551" t="n">
        <v>5000</v>
      </c>
      <c r="J3551" t="n">
        <v>6243</v>
      </c>
      <c r="N3551" t="n">
        <v>6243</v>
      </c>
    </row>
    <row r="3552">
      <c r="A3552" t="n">
        <v>218</v>
      </c>
      <c r="B3552" t="inlineStr">
        <is>
          <t>Consumo de Energía Eléctrica kWh Mensual</t>
        </is>
      </c>
      <c r="C3552" t="inlineStr">
        <is>
          <t>GESTIÓN AMBIENTAL</t>
        </is>
      </c>
      <c r="D3552" t="inlineStr">
        <is>
          <t>Mensual</t>
        </is>
      </c>
      <c r="E3552" t="inlineStr">
        <is>
          <t>Negativo</t>
        </is>
      </c>
      <c r="F3552" s="105" t="n">
        <v>46022</v>
      </c>
      <c r="G3552" t="inlineStr">
        <is>
          <t>218-2025-12-31</t>
        </is>
      </c>
      <c r="H3552" t="inlineStr">
        <is>
          <t>Consultorio Psicología - Medellin</t>
        </is>
      </c>
      <c r="I3552" t="n">
        <v>2000</v>
      </c>
      <c r="J3552" t="n">
        <v>2152</v>
      </c>
      <c r="N3552" t="n">
        <v>2152</v>
      </c>
    </row>
    <row r="3553">
      <c r="A3553" t="n">
        <v>225</v>
      </c>
      <c r="B3553" t="inlineStr">
        <is>
          <t>Acciones para el Cuidado y Mantenimiento de las Especies de Flora y el Suelo de las Áreas Naturales</t>
        </is>
      </c>
      <c r="C3553" t="inlineStr">
        <is>
          <t>GESTIÓN AMBIENTAL</t>
        </is>
      </c>
      <c r="D3553" t="inlineStr">
        <is>
          <t>Mensual</t>
        </is>
      </c>
      <c r="E3553" t="inlineStr">
        <is>
          <t>Positivo</t>
        </is>
      </c>
      <c r="F3553" s="105" t="n">
        <v>46022</v>
      </c>
      <c r="G3553" t="inlineStr">
        <is>
          <t>225-2025-12-31</t>
        </is>
      </c>
      <c r="H3553" t="inlineStr">
        <is>
          <t>Campus Bogotá</t>
        </is>
      </c>
      <c r="I3553" t="n">
        <v>1</v>
      </c>
      <c r="J3553" t="n">
        <v>0</v>
      </c>
      <c r="AT3553" t="n">
        <v>0</v>
      </c>
    </row>
    <row r="3554">
      <c r="A3554" t="n">
        <v>225</v>
      </c>
      <c r="B3554" t="inlineStr">
        <is>
          <t>Acciones para el Cuidado y Mantenimiento de las Especies de Flora y el Suelo de las Áreas Naturales</t>
        </is>
      </c>
      <c r="C3554" t="inlineStr">
        <is>
          <t>GESTIÓN AMBIENTAL</t>
        </is>
      </c>
      <c r="D3554" t="inlineStr">
        <is>
          <t>Mensual</t>
        </is>
      </c>
      <c r="E3554" t="inlineStr">
        <is>
          <t>Positivo</t>
        </is>
      </c>
      <c r="F3554" s="105" t="n">
        <v>46022</v>
      </c>
      <c r="G3554" t="inlineStr">
        <is>
          <t>225-2025-12-31</t>
        </is>
      </c>
      <c r="H3554" t="inlineStr">
        <is>
          <t>City Campus</t>
        </is>
      </c>
      <c r="I3554" t="n">
        <v>1</v>
      </c>
      <c r="J3554" t="n">
        <v>0</v>
      </c>
      <c r="AT3554" t="n">
        <v>0</v>
      </c>
    </row>
    <row r="3555">
      <c r="A3555" t="n">
        <v>225</v>
      </c>
      <c r="B3555" t="inlineStr">
        <is>
          <t>Acciones para el Cuidado y Mantenimiento de las Especies de Flora y el Suelo de las Áreas Naturales</t>
        </is>
      </c>
      <c r="C3555" t="inlineStr">
        <is>
          <t>GESTIÓN AMBIENTAL</t>
        </is>
      </c>
      <c r="D3555" t="inlineStr">
        <is>
          <t>Mensual</t>
        </is>
      </c>
      <c r="E3555" t="inlineStr">
        <is>
          <t>Positivo</t>
        </is>
      </c>
      <c r="F3555" s="105" t="n">
        <v>46022</v>
      </c>
      <c r="G3555" t="inlineStr">
        <is>
          <t>225-2025-12-31</t>
        </is>
      </c>
      <c r="H3555" t="inlineStr">
        <is>
          <t>Sede Posgrado-Calle 85</t>
        </is>
      </c>
      <c r="I3555" t="n">
        <v>1</v>
      </c>
      <c r="J3555" t="n">
        <v>0</v>
      </c>
      <c r="AT3555" t="n">
        <v>0</v>
      </c>
    </row>
    <row r="3556">
      <c r="A3556" t="n">
        <v>225</v>
      </c>
      <c r="B3556" t="inlineStr">
        <is>
          <t>Acciones para el Cuidado y Mantenimiento de las Especies de Flora y el Suelo de las Áreas Naturales</t>
        </is>
      </c>
      <c r="C3556" t="inlineStr">
        <is>
          <t>GESTIÓN AMBIENTAL</t>
        </is>
      </c>
      <c r="D3556" t="inlineStr">
        <is>
          <t>Mensual</t>
        </is>
      </c>
      <c r="E3556" t="inlineStr">
        <is>
          <t>Positivo</t>
        </is>
      </c>
      <c r="F3556" s="105" t="n">
        <v>46022</v>
      </c>
      <c r="G3556" t="inlineStr">
        <is>
          <t>225-2025-12-31</t>
        </is>
      </c>
      <c r="H3556" t="inlineStr">
        <is>
          <t>Campus-Medellín</t>
        </is>
      </c>
      <c r="I3556" t="n">
        <v>1</v>
      </c>
      <c r="J3556" t="n">
        <v>0</v>
      </c>
      <c r="AT3556" t="n">
        <v>0</v>
      </c>
    </row>
    <row r="3557">
      <c r="A3557" t="n">
        <v>225</v>
      </c>
      <c r="B3557" t="inlineStr">
        <is>
          <t>Acciones para el Cuidado y Mantenimiento de las Especies de Flora y el Suelo de las Áreas Naturales</t>
        </is>
      </c>
      <c r="C3557" t="inlineStr">
        <is>
          <t>GESTIÓN AMBIENTAL</t>
        </is>
      </c>
      <c r="D3557" t="inlineStr">
        <is>
          <t>Mensual</t>
        </is>
      </c>
      <c r="E3557" t="inlineStr">
        <is>
          <t>Positivo</t>
        </is>
      </c>
      <c r="F3557" s="105" t="n">
        <v>46022</v>
      </c>
      <c r="G3557" t="inlineStr">
        <is>
          <t>225-2025-12-31</t>
        </is>
      </c>
      <c r="H3557" t="inlineStr">
        <is>
          <t>Consultorio Psicología - Medellin</t>
        </is>
      </c>
      <c r="I3557" t="n">
        <v>1</v>
      </c>
      <c r="J3557" t="n">
        <v>0</v>
      </c>
      <c r="AT3557" t="n">
        <v>0</v>
      </c>
    </row>
    <row r="3558">
      <c r="A3558" t="n">
        <v>225</v>
      </c>
      <c r="B3558" t="inlineStr">
        <is>
          <t>Acciones para el Cuidado y Mantenimiento de las Especies de Flora y el Suelo de las Áreas Naturales</t>
        </is>
      </c>
      <c r="C3558" t="inlineStr">
        <is>
          <t>GESTIÓN AMBIENTAL</t>
        </is>
      </c>
      <c r="D3558" t="inlineStr">
        <is>
          <t>Mensual</t>
        </is>
      </c>
      <c r="E3558" t="inlineStr">
        <is>
          <t>Positivo</t>
        </is>
      </c>
      <c r="F3558" s="105" t="n">
        <v>46022</v>
      </c>
      <c r="G3558" t="inlineStr">
        <is>
          <t>225-2025-12-31</t>
        </is>
      </c>
      <c r="H3558" t="inlineStr">
        <is>
          <t>Sede Bienestar - Medellín</t>
        </is>
      </c>
      <c r="I3558" t="n">
        <v>1</v>
      </c>
      <c r="J3558" t="n">
        <v>0</v>
      </c>
      <c r="AT3558" t="n">
        <v>0</v>
      </c>
    </row>
    <row r="3559">
      <c r="A3559" t="n">
        <v>239</v>
      </c>
      <c r="B3559" t="inlineStr">
        <is>
          <t>Portafolio de Proyectos - Metrica</t>
        </is>
      </c>
      <c r="C3559" t="inlineStr">
        <is>
          <t>Gestión de Proyectos</t>
        </is>
      </c>
      <c r="D3559" t="inlineStr">
        <is>
          <t>Mensual</t>
        </is>
      </c>
      <c r="E3559" t="inlineStr">
        <is>
          <t>Positivo</t>
        </is>
      </c>
      <c r="F3559" s="105" t="n">
        <v>46022</v>
      </c>
      <c r="G3559" t="inlineStr">
        <is>
          <t>239-2025-12-31</t>
        </is>
      </c>
      <c r="H3559" t="inlineStr">
        <is>
          <t>Planificación</t>
        </is>
      </c>
      <c r="J3559" t="n">
        <v>2</v>
      </c>
      <c r="AU3559" t="n">
        <v>2</v>
      </c>
    </row>
    <row r="3560">
      <c r="A3560" t="n">
        <v>239</v>
      </c>
      <c r="B3560" t="inlineStr">
        <is>
          <t>Portafolio de Proyectos - Metrica</t>
        </is>
      </c>
      <c r="C3560" t="inlineStr">
        <is>
          <t>Gestión de Proyectos</t>
        </is>
      </c>
      <c r="D3560" t="inlineStr">
        <is>
          <t>Mensual</t>
        </is>
      </c>
      <c r="E3560" t="inlineStr">
        <is>
          <t>Positivo</t>
        </is>
      </c>
      <c r="F3560" s="105" t="n">
        <v>46022</v>
      </c>
      <c r="G3560" t="inlineStr">
        <is>
          <t>239-2025-12-31</t>
        </is>
      </c>
      <c r="H3560" t="inlineStr">
        <is>
          <t>Ejecución</t>
        </is>
      </c>
      <c r="J3560" t="n">
        <v>12</v>
      </c>
      <c r="AU3560" t="n">
        <v>12</v>
      </c>
    </row>
    <row r="3561">
      <c r="A3561" t="n">
        <v>239</v>
      </c>
      <c r="B3561" t="inlineStr">
        <is>
          <t>Portafolio de Proyectos - Metrica</t>
        </is>
      </c>
      <c r="C3561" t="inlineStr">
        <is>
          <t>Gestión de Proyectos</t>
        </is>
      </c>
      <c r="D3561" t="inlineStr">
        <is>
          <t>Mensual</t>
        </is>
      </c>
      <c r="E3561" t="inlineStr">
        <is>
          <t>Positivo</t>
        </is>
      </c>
      <c r="F3561" s="105" t="n">
        <v>46022</v>
      </c>
      <c r="G3561" t="inlineStr">
        <is>
          <t>239-2025-12-31</t>
        </is>
      </c>
      <c r="H3561" t="inlineStr">
        <is>
          <t>Cierre</t>
        </is>
      </c>
      <c r="J3561" t="n">
        <v>4</v>
      </c>
      <c r="AU3561" t="n">
        <v>4</v>
      </c>
    </row>
    <row r="3562">
      <c r="A3562" t="n">
        <v>239</v>
      </c>
      <c r="B3562" t="inlineStr">
        <is>
          <t>Portafolio de Proyectos - Metrica</t>
        </is>
      </c>
      <c r="C3562" t="inlineStr">
        <is>
          <t>Gestión de Proyectos</t>
        </is>
      </c>
      <c r="D3562" t="inlineStr">
        <is>
          <t>Mensual</t>
        </is>
      </c>
      <c r="E3562" t="inlineStr">
        <is>
          <t>Positivo</t>
        </is>
      </c>
      <c r="F3562" s="105" t="n">
        <v>46022</v>
      </c>
      <c r="G3562" t="inlineStr">
        <is>
          <t>239-2025-12-31</t>
        </is>
      </c>
      <c r="H3562" t="inlineStr">
        <is>
          <t>Stand by</t>
        </is>
      </c>
      <c r="J3562" t="n">
        <v>3</v>
      </c>
      <c r="AU3562" t="n">
        <v>3</v>
      </c>
    </row>
    <row r="3563">
      <c r="A3563" t="n">
        <v>239</v>
      </c>
      <c r="B3563" t="inlineStr">
        <is>
          <t>Portafolio de Proyectos - Metrica</t>
        </is>
      </c>
      <c r="C3563" t="inlineStr">
        <is>
          <t>Gestión de Proyectos</t>
        </is>
      </c>
      <c r="D3563" t="inlineStr">
        <is>
          <t>Mensual</t>
        </is>
      </c>
      <c r="E3563" t="inlineStr">
        <is>
          <t>Positivo</t>
        </is>
      </c>
      <c r="F3563" s="105" t="n">
        <v>46022</v>
      </c>
      <c r="G3563" t="inlineStr">
        <is>
          <t>239-2025-12-31</t>
        </is>
      </c>
      <c r="H3563" t="inlineStr">
        <is>
          <t>Finalizados</t>
        </is>
      </c>
      <c r="J3563" t="n">
        <v>23</v>
      </c>
      <c r="AU3563" t="n">
        <v>23</v>
      </c>
    </row>
    <row r="3564">
      <c r="A3564" t="n">
        <v>434</v>
      </c>
      <c r="B3564" t="inlineStr">
        <is>
          <t>Generación de Residuos Peligrosos Mensual</t>
        </is>
      </c>
      <c r="C3564" t="inlineStr">
        <is>
          <t>GESTIÓN AMBIENTAL</t>
        </is>
      </c>
      <c r="D3564" t="inlineStr">
        <is>
          <t>Mensual</t>
        </is>
      </c>
      <c r="E3564" t="inlineStr">
        <is>
          <t>Negativo</t>
        </is>
      </c>
      <c r="F3564" s="105" t="n">
        <v>46022</v>
      </c>
      <c r="G3564" t="inlineStr">
        <is>
          <t>434-2025-12-31</t>
        </is>
      </c>
      <c r="H3564" t="inlineStr">
        <is>
          <t>Campus Bogotá</t>
        </is>
      </c>
      <c r="I3564" t="n">
        <v>100</v>
      </c>
      <c r="J3564" t="n">
        <v>139.1499938964844</v>
      </c>
      <c r="AV3564" t="n">
        <v>139.15</v>
      </c>
    </row>
    <row r="3565">
      <c r="A3565" t="n">
        <v>434</v>
      </c>
      <c r="B3565" t="inlineStr">
        <is>
          <t>Generación de Residuos Peligrosos Mensual</t>
        </is>
      </c>
      <c r="C3565" t="inlineStr">
        <is>
          <t>GESTIÓN AMBIENTAL</t>
        </is>
      </c>
      <c r="D3565" t="inlineStr">
        <is>
          <t>Mensual</t>
        </is>
      </c>
      <c r="E3565" t="inlineStr">
        <is>
          <t>Negativo</t>
        </is>
      </c>
      <c r="F3565" s="105" t="n">
        <v>46022</v>
      </c>
      <c r="G3565" t="inlineStr">
        <is>
          <t>434-2025-12-31</t>
        </is>
      </c>
      <c r="H3565" t="inlineStr">
        <is>
          <t>City Campus</t>
        </is>
      </c>
      <c r="I3565" t="n">
        <v>25</v>
      </c>
      <c r="J3565" t="n">
        <v>0.4799999892711639</v>
      </c>
      <c r="AV3565" t="n">
        <v>0.48</v>
      </c>
    </row>
    <row r="3566">
      <c r="A3566" t="n">
        <v>434</v>
      </c>
      <c r="B3566" t="inlineStr">
        <is>
          <t>Generación de Residuos Peligrosos Mensual</t>
        </is>
      </c>
      <c r="C3566" t="inlineStr">
        <is>
          <t>GESTIÓN AMBIENTAL</t>
        </is>
      </c>
      <c r="D3566" t="inlineStr">
        <is>
          <t>Mensual</t>
        </is>
      </c>
      <c r="E3566" t="inlineStr">
        <is>
          <t>Negativo</t>
        </is>
      </c>
      <c r="F3566" s="105" t="n">
        <v>46022</v>
      </c>
      <c r="G3566" t="inlineStr">
        <is>
          <t>434-2025-12-31</t>
        </is>
      </c>
      <c r="H3566" t="inlineStr">
        <is>
          <t>Campus-Medellín</t>
        </is>
      </c>
      <c r="I3566" t="n">
        <v>25</v>
      </c>
      <c r="J3566" t="n">
        <v>10.39999961853027</v>
      </c>
      <c r="AV3566" t="n">
        <v>10.4</v>
      </c>
    </row>
    <row r="3567">
      <c r="A3567" t="n">
        <v>434</v>
      </c>
      <c r="B3567" t="inlineStr">
        <is>
          <t>Generación de Residuos Peligrosos Mensual</t>
        </is>
      </c>
      <c r="C3567" t="inlineStr">
        <is>
          <t>GESTIÓN AMBIENTAL</t>
        </is>
      </c>
      <c r="D3567" t="inlineStr">
        <is>
          <t>Mensual</t>
        </is>
      </c>
      <c r="E3567" t="inlineStr">
        <is>
          <t>Negativo</t>
        </is>
      </c>
      <c r="F3567" s="105" t="n">
        <v>46022</v>
      </c>
      <c r="G3567" t="inlineStr">
        <is>
          <t>434-2025-12-31</t>
        </is>
      </c>
      <c r="H3567" t="inlineStr">
        <is>
          <t>Sede Bienestar - Medellín</t>
        </is>
      </c>
      <c r="I3567" t="n">
        <v>10</v>
      </c>
      <c r="J3567" t="n">
        <v>0.1000000014901161</v>
      </c>
      <c r="AV3567" t="n">
        <v>0.1</v>
      </c>
    </row>
    <row r="3568">
      <c r="A3568" t="n">
        <v>436</v>
      </c>
      <c r="B3568" t="inlineStr">
        <is>
          <t>ANS documentos operativos</t>
        </is>
      </c>
      <c r="C3568" t="inlineStr">
        <is>
          <t>Gestión de calidad</t>
        </is>
      </c>
      <c r="D3568" t="inlineStr">
        <is>
          <t>Mensual</t>
        </is>
      </c>
      <c r="E3568" t="inlineStr">
        <is>
          <t>Negativo</t>
        </is>
      </c>
      <c r="F3568" s="105" t="n">
        <v>46022</v>
      </c>
      <c r="G3568" t="inlineStr">
        <is>
          <t>436-2025-12-31</t>
        </is>
      </c>
      <c r="H3568" t="inlineStr">
        <is>
          <t>Solicitud Documental</t>
        </is>
      </c>
      <c r="I3568" t="n">
        <v>7</v>
      </c>
      <c r="J3568" t="n">
        <v>5.170000076293945</v>
      </c>
      <c r="CP3568" t="n">
        <v>5.17</v>
      </c>
    </row>
    <row r="3569">
      <c r="A3569" t="n">
        <v>436</v>
      </c>
      <c r="B3569" t="inlineStr">
        <is>
          <t>ANS documentos operativos</t>
        </is>
      </c>
      <c r="C3569" t="inlineStr">
        <is>
          <t>Gestión de calidad</t>
        </is>
      </c>
      <c r="D3569" t="inlineStr">
        <is>
          <t>Mensual</t>
        </is>
      </c>
      <c r="E3569" t="inlineStr">
        <is>
          <t>Negativo</t>
        </is>
      </c>
      <c r="F3569" s="105" t="n">
        <v>46022</v>
      </c>
      <c r="G3569" t="inlineStr">
        <is>
          <t>436-2025-12-31</t>
        </is>
      </c>
      <c r="H3569" t="inlineStr">
        <is>
          <t>Flujo de aprobación</t>
        </is>
      </c>
      <c r="I3569" t="n">
        <v>7</v>
      </c>
      <c r="J3569" t="n">
        <v>6.599999904632568</v>
      </c>
      <c r="CP3569" t="n">
        <v>6.6</v>
      </c>
    </row>
    <row r="3570">
      <c r="A3570" t="n">
        <v>485</v>
      </c>
      <c r="B3570" t="inlineStr">
        <is>
          <t>Oportunidad en el cierre de acciones</t>
        </is>
      </c>
      <c r="C3570" t="inlineStr">
        <is>
          <t>Gestión de calidad</t>
        </is>
      </c>
      <c r="D3570" t="inlineStr">
        <is>
          <t>Mensual</t>
        </is>
      </c>
      <c r="E3570" t="inlineStr">
        <is>
          <t>Positivo</t>
        </is>
      </c>
      <c r="F3570" s="105" t="n">
        <v>46022</v>
      </c>
      <c r="G3570" t="inlineStr">
        <is>
          <t>485-2025-12-31</t>
        </is>
      </c>
      <c r="H3570" t="inlineStr">
        <is>
          <t>Auditoría interna</t>
        </is>
      </c>
      <c r="I3570" t="n">
        <v>80</v>
      </c>
      <c r="J3570" t="n">
        <v>0</v>
      </c>
      <c r="EC3570" t="n">
        <v>0</v>
      </c>
      <c r="ED3570" t="n">
        <v>0</v>
      </c>
    </row>
    <row r="3571">
      <c r="A3571" t="n">
        <v>485</v>
      </c>
      <c r="B3571" t="inlineStr">
        <is>
          <t>Oportunidad en el cierre de acciones</t>
        </is>
      </c>
      <c r="C3571" t="inlineStr">
        <is>
          <t>Gestión de calidad</t>
        </is>
      </c>
      <c r="D3571" t="inlineStr">
        <is>
          <t>Mensual</t>
        </is>
      </c>
      <c r="E3571" t="inlineStr">
        <is>
          <t>Positivo</t>
        </is>
      </c>
      <c r="F3571" s="105" t="n">
        <v>46022</v>
      </c>
      <c r="G3571" t="inlineStr">
        <is>
          <t>485-2025-12-31</t>
        </is>
      </c>
      <c r="H3571" t="inlineStr">
        <is>
          <t>Auditoría externa</t>
        </is>
      </c>
      <c r="I3571" t="n">
        <v>80</v>
      </c>
      <c r="J3571" t="n">
        <v>0</v>
      </c>
      <c r="EC3571" t="n">
        <v>0</v>
      </c>
      <c r="ED3571" t="n">
        <v>0</v>
      </c>
    </row>
    <row r="3572">
      <c r="A3572" t="n">
        <v>485</v>
      </c>
      <c r="B3572" t="inlineStr">
        <is>
          <t>Oportunidad en el cierre de acciones</t>
        </is>
      </c>
      <c r="C3572" t="inlineStr">
        <is>
          <t>Gestión de calidad</t>
        </is>
      </c>
      <c r="D3572" t="inlineStr">
        <is>
          <t>Mensual</t>
        </is>
      </c>
      <c r="E3572" t="inlineStr">
        <is>
          <t>Positivo</t>
        </is>
      </c>
      <c r="F3572" s="105" t="n">
        <v>46022</v>
      </c>
      <c r="G3572" t="inlineStr">
        <is>
          <t>485-2025-12-31</t>
        </is>
      </c>
      <c r="H3572" t="inlineStr">
        <is>
          <t>Indicadores</t>
        </is>
      </c>
      <c r="I3572" t="n">
        <v>80</v>
      </c>
      <c r="J3572" t="n">
        <v>0</v>
      </c>
      <c r="EC3572" t="n">
        <v>0</v>
      </c>
      <c r="ED3572" t="n">
        <v>0</v>
      </c>
    </row>
    <row r="3573">
      <c r="A3573" t="n">
        <v>485</v>
      </c>
      <c r="B3573" t="inlineStr">
        <is>
          <t>Oportunidad en el cierre de acciones</t>
        </is>
      </c>
      <c r="C3573" t="inlineStr">
        <is>
          <t>Gestión de calidad</t>
        </is>
      </c>
      <c r="D3573" t="inlineStr">
        <is>
          <t>Mensual</t>
        </is>
      </c>
      <c r="E3573" t="inlineStr">
        <is>
          <t>Positivo</t>
        </is>
      </c>
      <c r="F3573" s="105" t="n">
        <v>46022</v>
      </c>
      <c r="G3573" t="inlineStr">
        <is>
          <t>485-2025-12-31</t>
        </is>
      </c>
      <c r="H3573" t="inlineStr">
        <is>
          <t>Riesgos</t>
        </is>
      </c>
      <c r="I3573" t="n">
        <v>80</v>
      </c>
      <c r="J3573" t="n">
        <v>0</v>
      </c>
      <c r="EC3573" t="n">
        <v>0</v>
      </c>
      <c r="ED3573" t="n">
        <v>0</v>
      </c>
    </row>
    <row r="3574">
      <c r="A3574" t="n">
        <v>485</v>
      </c>
      <c r="B3574" t="inlineStr">
        <is>
          <t>Oportunidad en el cierre de acciones</t>
        </is>
      </c>
      <c r="C3574" t="inlineStr">
        <is>
          <t>Gestión de calidad</t>
        </is>
      </c>
      <c r="D3574" t="inlineStr">
        <is>
          <t>Mensual</t>
        </is>
      </c>
      <c r="E3574" t="inlineStr">
        <is>
          <t>Positivo</t>
        </is>
      </c>
      <c r="F3574" s="105" t="n">
        <v>46022</v>
      </c>
      <c r="G3574" t="inlineStr">
        <is>
          <t>485-2025-12-31</t>
        </is>
      </c>
      <c r="H3574" t="inlineStr">
        <is>
          <t>Autoevaluación</t>
        </is>
      </c>
      <c r="I3574" t="n">
        <v>80</v>
      </c>
      <c r="J3574" t="n">
        <v>0</v>
      </c>
      <c r="EC3574" t="n">
        <v>0</v>
      </c>
      <c r="ED3574" t="n">
        <v>0</v>
      </c>
    </row>
    <row r="3575">
      <c r="A3575" t="n">
        <v>485</v>
      </c>
      <c r="B3575" t="inlineStr">
        <is>
          <t>Oportunidad en el cierre de acciones</t>
        </is>
      </c>
      <c r="C3575" t="inlineStr">
        <is>
          <t>Gestión de calidad</t>
        </is>
      </c>
      <c r="D3575" t="inlineStr">
        <is>
          <t>Mensual</t>
        </is>
      </c>
      <c r="E3575" t="inlineStr">
        <is>
          <t>Positivo</t>
        </is>
      </c>
      <c r="F3575" s="105" t="n">
        <v>46022</v>
      </c>
      <c r="G3575" t="inlineStr">
        <is>
          <t>485-2025-12-31</t>
        </is>
      </c>
      <c r="H3575" t="inlineStr">
        <is>
          <t>Entes de control</t>
        </is>
      </c>
      <c r="I3575" t="n">
        <v>80</v>
      </c>
      <c r="J3575" t="n">
        <v>0</v>
      </c>
      <c r="EC3575" t="n">
        <v>0</v>
      </c>
      <c r="ED3575" t="n">
        <v>0</v>
      </c>
    </row>
    <row r="3576">
      <c r="A3576" t="n">
        <v>485</v>
      </c>
      <c r="B3576" t="inlineStr">
        <is>
          <t>Oportunidad en el cierre de acciones</t>
        </is>
      </c>
      <c r="C3576" t="inlineStr">
        <is>
          <t>Gestión de calidad</t>
        </is>
      </c>
      <c r="D3576" t="inlineStr">
        <is>
          <t>Mensual</t>
        </is>
      </c>
      <c r="E3576" t="inlineStr">
        <is>
          <t>Positivo</t>
        </is>
      </c>
      <c r="F3576" s="105" t="n">
        <v>46022</v>
      </c>
      <c r="G3576" t="inlineStr">
        <is>
          <t>485-2025-12-31</t>
        </is>
      </c>
      <c r="H3576" t="inlineStr">
        <is>
          <t>Seguimiento y control</t>
        </is>
      </c>
      <c r="I3576" t="n">
        <v>80</v>
      </c>
      <c r="J3576" t="n">
        <v>0</v>
      </c>
      <c r="EC3576" t="n">
        <v>0</v>
      </c>
      <c r="ED3576" t="n">
        <v>0</v>
      </c>
    </row>
    <row r="3577">
      <c r="A3577" t="n">
        <v>485</v>
      </c>
      <c r="B3577" t="inlineStr">
        <is>
          <t>Oportunidad en el cierre de acciones</t>
        </is>
      </c>
      <c r="C3577" t="inlineStr">
        <is>
          <t>Gestión de calidad</t>
        </is>
      </c>
      <c r="D3577" t="inlineStr">
        <is>
          <t>Mensual</t>
        </is>
      </c>
      <c r="E3577" t="inlineStr">
        <is>
          <t>Positivo</t>
        </is>
      </c>
      <c r="F3577" s="105" t="n">
        <v>46022</v>
      </c>
      <c r="G3577" t="inlineStr">
        <is>
          <t>485-2025-12-31</t>
        </is>
      </c>
      <c r="H3577" t="inlineStr">
        <is>
          <t>Experiencia</t>
        </is>
      </c>
      <c r="I3577" t="n">
        <v>80</v>
      </c>
      <c r="J3577" t="n">
        <v>0</v>
      </c>
      <c r="EC3577" t="n">
        <v>0</v>
      </c>
      <c r="ED3577" t="n">
        <v>0</v>
      </c>
    </row>
    <row r="3578">
      <c r="A3578" t="n">
        <v>485</v>
      </c>
      <c r="B3578" t="inlineStr">
        <is>
          <t>Oportunidad en el cierre de acciones</t>
        </is>
      </c>
      <c r="C3578" t="inlineStr">
        <is>
          <t>Gestión de calidad</t>
        </is>
      </c>
      <c r="D3578" t="inlineStr">
        <is>
          <t>Mensual</t>
        </is>
      </c>
      <c r="E3578" t="inlineStr">
        <is>
          <t>Positivo</t>
        </is>
      </c>
      <c r="F3578" s="105" t="n">
        <v>46022</v>
      </c>
      <c r="G3578" t="inlineStr">
        <is>
          <t>485-2025-12-31</t>
        </is>
      </c>
      <c r="H3578" t="inlineStr">
        <is>
          <t>Revisión por la dirección</t>
        </is>
      </c>
      <c r="I3578" t="n">
        <v>80</v>
      </c>
      <c r="J3578" t="n">
        <v>0</v>
      </c>
      <c r="EC3578" t="n">
        <v>0</v>
      </c>
      <c r="ED3578" t="n">
        <v>0</v>
      </c>
    </row>
    <row r="3579">
      <c r="A3579" t="n">
        <v>488</v>
      </c>
      <c r="B3579" t="inlineStr">
        <is>
          <t>Oportunidad en el cierre de actividades de los planes de mejora</t>
        </is>
      </c>
      <c r="C3579" t="inlineStr">
        <is>
          <t>Gestión de calidad</t>
        </is>
      </c>
      <c r="D3579" t="inlineStr">
        <is>
          <t>Mensual</t>
        </is>
      </c>
      <c r="E3579" t="inlineStr">
        <is>
          <t>Positivo</t>
        </is>
      </c>
      <c r="F3579" s="105" t="n">
        <v>46022</v>
      </c>
      <c r="G3579" t="inlineStr">
        <is>
          <t>488-2025-12-31</t>
        </is>
      </c>
      <c r="H3579" t="inlineStr">
        <is>
          <t>Auditoría interna</t>
        </is>
      </c>
      <c r="I3579" t="n">
        <v>85</v>
      </c>
      <c r="J3579" t="n">
        <v>20</v>
      </c>
      <c r="EE3579" t="n">
        <v>1</v>
      </c>
      <c r="EF3579" t="n">
        <v>5</v>
      </c>
    </row>
    <row r="3580">
      <c r="A3580" t="n">
        <v>488</v>
      </c>
      <c r="B3580" t="inlineStr">
        <is>
          <t>Oportunidad en el cierre de actividades de los planes de mejora</t>
        </is>
      </c>
      <c r="C3580" t="inlineStr">
        <is>
          <t>Gestión de calidad</t>
        </is>
      </c>
      <c r="D3580" t="inlineStr">
        <is>
          <t>Mensual</t>
        </is>
      </c>
      <c r="E3580" t="inlineStr">
        <is>
          <t>Positivo</t>
        </is>
      </c>
      <c r="F3580" s="105" t="n">
        <v>46022</v>
      </c>
      <c r="G3580" t="inlineStr">
        <is>
          <t>488-2025-12-31</t>
        </is>
      </c>
      <c r="H3580" t="inlineStr">
        <is>
          <t>Auditoría externa</t>
        </is>
      </c>
      <c r="I3580" t="n">
        <v>85</v>
      </c>
      <c r="J3580" t="n">
        <v>82.76000213623047</v>
      </c>
      <c r="EE3580" t="n">
        <v>24</v>
      </c>
      <c r="EF3580" t="n">
        <v>29</v>
      </c>
    </row>
    <row r="3581">
      <c r="A3581" t="n">
        <v>488</v>
      </c>
      <c r="B3581" t="inlineStr">
        <is>
          <t>Oportunidad en el cierre de actividades de los planes de mejora</t>
        </is>
      </c>
      <c r="C3581" t="inlineStr">
        <is>
          <t>Gestión de calidad</t>
        </is>
      </c>
      <c r="D3581" t="inlineStr">
        <is>
          <t>Mensual</t>
        </is>
      </c>
      <c r="E3581" t="inlineStr">
        <is>
          <t>Positivo</t>
        </is>
      </c>
      <c r="F3581" s="105" t="n">
        <v>46022</v>
      </c>
      <c r="G3581" t="inlineStr">
        <is>
          <t>488-2025-12-31</t>
        </is>
      </c>
      <c r="H3581" t="inlineStr">
        <is>
          <t>Indicadores</t>
        </is>
      </c>
      <c r="I3581" t="n">
        <v>85</v>
      </c>
      <c r="J3581" t="n">
        <v>40</v>
      </c>
      <c r="EE3581" t="n">
        <v>2</v>
      </c>
      <c r="EF3581" t="n">
        <v>5</v>
      </c>
    </row>
    <row r="3582">
      <c r="A3582" t="n">
        <v>488</v>
      </c>
      <c r="B3582" t="inlineStr">
        <is>
          <t>Oportunidad en el cierre de actividades de los planes de mejora</t>
        </is>
      </c>
      <c r="C3582" t="inlineStr">
        <is>
          <t>Gestión de calidad</t>
        </is>
      </c>
      <c r="D3582" t="inlineStr">
        <is>
          <t>Mensual</t>
        </is>
      </c>
      <c r="E3582" t="inlineStr">
        <is>
          <t>Positivo</t>
        </is>
      </c>
      <c r="F3582" s="105" t="n">
        <v>46022</v>
      </c>
      <c r="G3582" t="inlineStr">
        <is>
          <t>488-2025-12-31</t>
        </is>
      </c>
      <c r="H3582" t="inlineStr">
        <is>
          <t>Riesgos</t>
        </is>
      </c>
      <c r="I3582" t="n">
        <v>85</v>
      </c>
      <c r="J3582" t="n">
        <v>93.33000183105469</v>
      </c>
      <c r="EE3582" t="n">
        <v>28</v>
      </c>
      <c r="EF3582" t="n">
        <v>30</v>
      </c>
    </row>
    <row r="3583">
      <c r="A3583" t="n">
        <v>488</v>
      </c>
      <c r="B3583" t="inlineStr">
        <is>
          <t>Oportunidad en el cierre de actividades de los planes de mejora</t>
        </is>
      </c>
      <c r="C3583" t="inlineStr">
        <is>
          <t>Gestión de calidad</t>
        </is>
      </c>
      <c r="D3583" t="inlineStr">
        <is>
          <t>Mensual</t>
        </is>
      </c>
      <c r="E3583" t="inlineStr">
        <is>
          <t>Positivo</t>
        </is>
      </c>
      <c r="F3583" s="105" t="n">
        <v>46022</v>
      </c>
      <c r="G3583" t="inlineStr">
        <is>
          <t>488-2025-12-31</t>
        </is>
      </c>
      <c r="H3583" t="inlineStr">
        <is>
          <t>Autoevaluación</t>
        </is>
      </c>
      <c r="I3583" t="n">
        <v>85</v>
      </c>
      <c r="J3583" t="n">
        <v>0</v>
      </c>
      <c r="EE3583" t="n">
        <v>0</v>
      </c>
      <c r="EF3583" t="n">
        <v>0</v>
      </c>
    </row>
    <row r="3584">
      <c r="A3584" t="n">
        <v>488</v>
      </c>
      <c r="B3584" t="inlineStr">
        <is>
          <t>Oportunidad en el cierre de actividades de los planes de mejora</t>
        </is>
      </c>
      <c r="C3584" t="inlineStr">
        <is>
          <t>Gestión de calidad</t>
        </is>
      </c>
      <c r="D3584" t="inlineStr">
        <is>
          <t>Mensual</t>
        </is>
      </c>
      <c r="E3584" t="inlineStr">
        <is>
          <t>Positivo</t>
        </is>
      </c>
      <c r="F3584" s="105" t="n">
        <v>46022</v>
      </c>
      <c r="G3584" t="inlineStr">
        <is>
          <t>488-2025-12-31</t>
        </is>
      </c>
      <c r="H3584" t="inlineStr">
        <is>
          <t>Entes de control</t>
        </is>
      </c>
      <c r="I3584" t="n">
        <v>85</v>
      </c>
      <c r="J3584" t="n">
        <v>0</v>
      </c>
      <c r="EE3584" t="n">
        <v>0</v>
      </c>
      <c r="EF3584" t="n">
        <v>0</v>
      </c>
    </row>
    <row r="3585">
      <c r="A3585" t="n">
        <v>488</v>
      </c>
      <c r="B3585" t="inlineStr">
        <is>
          <t>Oportunidad en el cierre de actividades de los planes de mejora</t>
        </is>
      </c>
      <c r="C3585" t="inlineStr">
        <is>
          <t>Gestión de calidad</t>
        </is>
      </c>
      <c r="D3585" t="inlineStr">
        <is>
          <t>Mensual</t>
        </is>
      </c>
      <c r="E3585" t="inlineStr">
        <is>
          <t>Positivo</t>
        </is>
      </c>
      <c r="F3585" s="105" t="n">
        <v>46022</v>
      </c>
      <c r="G3585" t="inlineStr">
        <is>
          <t>488-2025-12-31</t>
        </is>
      </c>
      <c r="H3585" t="inlineStr">
        <is>
          <t>Experiencia</t>
        </is>
      </c>
      <c r="I3585" t="n">
        <v>85</v>
      </c>
      <c r="J3585" t="n">
        <v>0</v>
      </c>
      <c r="EE3585" t="n">
        <v>0</v>
      </c>
      <c r="EF3585" t="n">
        <v>0</v>
      </c>
    </row>
    <row r="3586">
      <c r="A3586" t="n">
        <v>488</v>
      </c>
      <c r="B3586" t="inlineStr">
        <is>
          <t>Oportunidad en el cierre de actividades de los planes de mejora</t>
        </is>
      </c>
      <c r="C3586" t="inlineStr">
        <is>
          <t>Gestión de calidad</t>
        </is>
      </c>
      <c r="D3586" t="inlineStr">
        <is>
          <t>Mensual</t>
        </is>
      </c>
      <c r="E3586" t="inlineStr">
        <is>
          <t>Positivo</t>
        </is>
      </c>
      <c r="F3586" s="105" t="n">
        <v>46022</v>
      </c>
      <c r="G3586" t="inlineStr">
        <is>
          <t>488-2025-12-31</t>
        </is>
      </c>
      <c r="H3586" t="inlineStr">
        <is>
          <t>Revisión por la dirección</t>
        </is>
      </c>
      <c r="I3586" t="n">
        <v>85</v>
      </c>
      <c r="J3586" t="n">
        <v>0</v>
      </c>
      <c r="EE3586" t="n">
        <v>0</v>
      </c>
      <c r="EF3586" t="n">
        <v>0</v>
      </c>
    </row>
    <row r="3587">
      <c r="A3587" t="n">
        <v>488</v>
      </c>
      <c r="B3587" t="inlineStr">
        <is>
          <t>Oportunidad en el cierre de actividades de los planes de mejora</t>
        </is>
      </c>
      <c r="C3587" t="inlineStr">
        <is>
          <t>Gestión de calidad</t>
        </is>
      </c>
      <c r="D3587" t="inlineStr">
        <is>
          <t>Mensual</t>
        </is>
      </c>
      <c r="E3587" t="inlineStr">
        <is>
          <t>Positivo</t>
        </is>
      </c>
      <c r="F3587" s="105" t="n">
        <v>46022</v>
      </c>
      <c r="G3587" t="inlineStr">
        <is>
          <t>488-2025-12-31</t>
        </is>
      </c>
      <c r="H3587" t="inlineStr">
        <is>
          <t>Seguimiento y control</t>
        </is>
      </c>
      <c r="I3587" t="n">
        <v>85</v>
      </c>
      <c r="J3587" t="n">
        <v>64.70999908447266</v>
      </c>
      <c r="EE3587" t="n">
        <v>11</v>
      </c>
      <c r="EF3587" t="n">
        <v>17</v>
      </c>
    </row>
    <row r="3588">
      <c r="A3588" t="n">
        <v>509</v>
      </c>
      <c r="B3588" t="inlineStr">
        <is>
          <t>Cumplimiento a cronograma de proyectos 2025</t>
        </is>
      </c>
      <c r="C3588" t="inlineStr">
        <is>
          <t>Gestión de Proyectos</t>
        </is>
      </c>
      <c r="D3588" t="inlineStr">
        <is>
          <t>Mensual</t>
        </is>
      </c>
      <c r="E3588" t="inlineStr">
        <is>
          <t>Positivo</t>
        </is>
      </c>
      <c r="F3588" s="105" t="n">
        <v>46022</v>
      </c>
      <c r="G3588" t="inlineStr">
        <is>
          <t>509-2025-12-31</t>
        </is>
      </c>
      <c r="H3588" t="inlineStr">
        <is>
          <t>Acreditación Institucional fase III Etapa de evaluación externa o evaluación por pares</t>
        </is>
      </c>
      <c r="I3588" t="n">
        <v>90</v>
      </c>
      <c r="J3588" t="n">
        <v>100</v>
      </c>
      <c r="EJ3588" t="n">
        <v>95</v>
      </c>
      <c r="EK3588" t="n">
        <v>95</v>
      </c>
    </row>
    <row r="3589">
      <c r="A3589" t="n">
        <v>509</v>
      </c>
      <c r="B3589" t="inlineStr">
        <is>
          <t>Cumplimiento a cronograma de proyectos 2025</t>
        </is>
      </c>
      <c r="C3589" t="inlineStr">
        <is>
          <t>Gestión de Proyectos</t>
        </is>
      </c>
      <c r="D3589" t="inlineStr">
        <is>
          <t>Mensual</t>
        </is>
      </c>
      <c r="E3589" t="inlineStr">
        <is>
          <t>Positivo</t>
        </is>
      </c>
      <c r="F3589" s="105" t="n">
        <v>46022</v>
      </c>
      <c r="G3589" t="inlineStr">
        <is>
          <t>509-2025-12-31</t>
        </is>
      </c>
      <c r="H3589" t="inlineStr">
        <is>
          <t>Actualización de TRD y creación del Plan de Gestión documental</t>
        </is>
      </c>
      <c r="I3589" t="n">
        <v>90</v>
      </c>
      <c r="J3589" t="n">
        <v>94.68000030517578</v>
      </c>
      <c r="EJ3589" t="n">
        <v>94</v>
      </c>
      <c r="EK3589" t="n">
        <v>89</v>
      </c>
    </row>
    <row r="3590">
      <c r="A3590" t="n">
        <v>509</v>
      </c>
      <c r="B3590" t="inlineStr">
        <is>
          <t>Cumplimiento a cronograma de proyectos 2025</t>
        </is>
      </c>
      <c r="C3590" t="inlineStr">
        <is>
          <t>Gestión de Proyectos</t>
        </is>
      </c>
      <c r="D3590" t="inlineStr">
        <is>
          <t>Mensual</t>
        </is>
      </c>
      <c r="E3590" t="inlineStr">
        <is>
          <t>Positivo</t>
        </is>
      </c>
      <c r="F3590" s="105" t="n">
        <v>46022</v>
      </c>
      <c r="G3590" t="inlineStr">
        <is>
          <t>509-2025-12-31</t>
        </is>
      </c>
      <c r="H3590" t="inlineStr">
        <is>
          <t>Ecosistema E3</t>
        </is>
      </c>
      <c r="I3590" t="n">
        <v>90</v>
      </c>
      <c r="J3590" t="n">
        <v>99</v>
      </c>
      <c r="EJ3590" t="n">
        <v>100</v>
      </c>
      <c r="EK3590" t="n">
        <v>99</v>
      </c>
    </row>
    <row r="3591">
      <c r="A3591" t="n">
        <v>509</v>
      </c>
      <c r="B3591" t="inlineStr">
        <is>
          <t>Cumplimiento a cronograma de proyectos 2025</t>
        </is>
      </c>
      <c r="C3591" t="inlineStr">
        <is>
          <t>Gestión de Proyectos</t>
        </is>
      </c>
      <c r="D3591" t="inlineStr">
        <is>
          <t>Mensual</t>
        </is>
      </c>
      <c r="E3591" t="inlineStr">
        <is>
          <t>Positivo</t>
        </is>
      </c>
      <c r="F3591" s="105" t="n">
        <v>46022</v>
      </c>
      <c r="G3591" t="inlineStr">
        <is>
          <t>509-2025-12-31</t>
        </is>
      </c>
      <c r="H3591" t="inlineStr">
        <is>
          <t>Fortalecimiento de la investigación, la innovación y la creación</t>
        </is>
      </c>
      <c r="I3591" t="n">
        <v>90</v>
      </c>
      <c r="J3591" t="n">
        <v>98.69999694824219</v>
      </c>
      <c r="EJ3591" t="n">
        <v>77</v>
      </c>
      <c r="EK3591" t="n">
        <v>76</v>
      </c>
    </row>
    <row r="3592">
      <c r="A3592" t="n">
        <v>509</v>
      </c>
      <c r="B3592" t="inlineStr">
        <is>
          <t>Cumplimiento a cronograma de proyectos 2025</t>
        </is>
      </c>
      <c r="C3592" t="inlineStr">
        <is>
          <t>Gestión de Proyectos</t>
        </is>
      </c>
      <c r="D3592" t="inlineStr">
        <is>
          <t>Mensual</t>
        </is>
      </c>
      <c r="E3592" t="inlineStr">
        <is>
          <t>Positivo</t>
        </is>
      </c>
      <c r="F3592" s="105" t="n">
        <v>46022</v>
      </c>
      <c r="G3592" t="inlineStr">
        <is>
          <t>509-2025-12-31</t>
        </is>
      </c>
      <c r="H3592" t="inlineStr">
        <is>
          <t>Fortalecimiento de planta docente</t>
        </is>
      </c>
      <c r="I3592" t="n">
        <v>90</v>
      </c>
      <c r="J3592" t="n">
        <v>98.90000152587891</v>
      </c>
      <c r="EJ3592" t="n">
        <v>91</v>
      </c>
      <c r="EK3592" t="n">
        <v>90</v>
      </c>
    </row>
    <row r="3593">
      <c r="A3593" t="n">
        <v>509</v>
      </c>
      <c r="B3593" t="inlineStr">
        <is>
          <t>Cumplimiento a cronograma de proyectos 2025</t>
        </is>
      </c>
      <c r="C3593" t="inlineStr">
        <is>
          <t>Gestión de Proyectos</t>
        </is>
      </c>
      <c r="D3593" t="inlineStr">
        <is>
          <t>Mensual</t>
        </is>
      </c>
      <c r="E3593" t="inlineStr">
        <is>
          <t>Positivo</t>
        </is>
      </c>
      <c r="F3593" s="105" t="n">
        <v>46022</v>
      </c>
      <c r="G3593" t="inlineStr">
        <is>
          <t>509-2025-12-31</t>
        </is>
      </c>
      <c r="H3593" t="inlineStr">
        <is>
          <t>Gobierno de datos</t>
        </is>
      </c>
      <c r="I3593" t="n">
        <v>90</v>
      </c>
      <c r="J3593" t="n">
        <v>100</v>
      </c>
      <c r="EJ3593" t="n">
        <v>8</v>
      </c>
      <c r="EK3593" t="n">
        <v>8</v>
      </c>
    </row>
    <row r="3594">
      <c r="A3594" t="n">
        <v>509</v>
      </c>
      <c r="B3594" t="inlineStr">
        <is>
          <t>Cumplimiento a cronograma de proyectos 2025</t>
        </is>
      </c>
      <c r="C3594" t="inlineStr">
        <is>
          <t>Gestión de Proyectos</t>
        </is>
      </c>
      <c r="D3594" t="inlineStr">
        <is>
          <t>Mensual</t>
        </is>
      </c>
      <c r="E3594" t="inlineStr">
        <is>
          <t>Positivo</t>
        </is>
      </c>
      <c r="F3594" s="105" t="n">
        <v>46022</v>
      </c>
      <c r="G3594" t="inlineStr">
        <is>
          <t>509-2025-12-31</t>
        </is>
      </c>
      <c r="H3594" t="inlineStr">
        <is>
          <t>Herramientas de Gestión para el mejoramiento continuo</t>
        </is>
      </c>
      <c r="I3594" t="n">
        <v>90</v>
      </c>
      <c r="J3594" t="n">
        <v>95</v>
      </c>
      <c r="EJ3594" t="n">
        <v>60</v>
      </c>
      <c r="EK3594" t="n">
        <v>57</v>
      </c>
    </row>
    <row r="3595">
      <c r="A3595" t="n">
        <v>509</v>
      </c>
      <c r="B3595" t="inlineStr">
        <is>
          <t>Cumplimiento a cronograma de proyectos 2025</t>
        </is>
      </c>
      <c r="C3595" t="inlineStr">
        <is>
          <t>Gestión de Proyectos</t>
        </is>
      </c>
      <c r="D3595" t="inlineStr">
        <is>
          <t>Mensual</t>
        </is>
      </c>
      <c r="E3595" t="inlineStr">
        <is>
          <t>Positivo</t>
        </is>
      </c>
      <c r="F3595" s="105" t="n">
        <v>46022</v>
      </c>
      <c r="G3595" t="inlineStr">
        <is>
          <t>509-2025-12-31</t>
        </is>
      </c>
      <c r="H3595" t="inlineStr">
        <is>
          <t>Proyecto de Permanencia institucional</t>
        </is>
      </c>
      <c r="I3595" t="n">
        <v>90</v>
      </c>
      <c r="J3595" t="n">
        <v>98.98000335693359</v>
      </c>
      <c r="EJ3595" t="n">
        <v>98</v>
      </c>
      <c r="EK3595" t="n">
        <v>97</v>
      </c>
    </row>
    <row r="3596">
      <c r="A3596" t="n">
        <v>509</v>
      </c>
      <c r="B3596" t="inlineStr">
        <is>
          <t>Cumplimiento a cronograma de proyectos 2025</t>
        </is>
      </c>
      <c r="C3596" t="inlineStr">
        <is>
          <t>Gestión de Proyectos</t>
        </is>
      </c>
      <c r="D3596" t="inlineStr">
        <is>
          <t>Mensual</t>
        </is>
      </c>
      <c r="E3596" t="inlineStr">
        <is>
          <t>Positivo</t>
        </is>
      </c>
      <c r="F3596" s="105" t="n">
        <v>46022</v>
      </c>
      <c r="G3596" t="inlineStr">
        <is>
          <t>509-2025-12-31</t>
        </is>
      </c>
      <c r="H3596" t="inlineStr">
        <is>
          <t>Reingenieria de aplicaciones</t>
        </is>
      </c>
      <c r="I3596" t="n">
        <v>90</v>
      </c>
      <c r="J3596" t="n">
        <v>96.91000366210938</v>
      </c>
      <c r="EJ3596" t="n">
        <v>97</v>
      </c>
      <c r="EK3596" t="n">
        <v>94</v>
      </c>
    </row>
    <row r="3597">
      <c r="A3597" t="n">
        <v>509</v>
      </c>
      <c r="B3597" t="inlineStr">
        <is>
          <t>Cumplimiento a cronograma de proyectos 2025</t>
        </is>
      </c>
      <c r="C3597" t="inlineStr">
        <is>
          <t>Gestión de Proyectos</t>
        </is>
      </c>
      <c r="D3597" t="inlineStr">
        <is>
          <t>Mensual</t>
        </is>
      </c>
      <c r="E3597" t="inlineStr">
        <is>
          <t>Positivo</t>
        </is>
      </c>
      <c r="F3597" s="105" t="n">
        <v>46022</v>
      </c>
      <c r="G3597" t="inlineStr">
        <is>
          <t>509-2025-12-31</t>
        </is>
      </c>
      <c r="H3597" t="inlineStr">
        <is>
          <t>SOPHIA Sistema de Optimización y Programación Horaria Institucional  Académica  I Fase</t>
        </is>
      </c>
      <c r="I3597" t="n">
        <v>90</v>
      </c>
      <c r="J3597" t="n">
        <v>96.66999816894531</v>
      </c>
      <c r="EJ3597" t="n">
        <v>90</v>
      </c>
      <c r="EK3597" t="n">
        <v>87</v>
      </c>
    </row>
    <row r="3598">
      <c r="A3598" t="n">
        <v>509</v>
      </c>
      <c r="B3598" t="inlineStr">
        <is>
          <t>Cumplimiento a cronograma de proyectos 2025</t>
        </is>
      </c>
      <c r="C3598" t="inlineStr">
        <is>
          <t>Gestión de Proyectos</t>
        </is>
      </c>
      <c r="D3598" t="inlineStr">
        <is>
          <t>Mensual</t>
        </is>
      </c>
      <c r="E3598" t="inlineStr">
        <is>
          <t>Positivo</t>
        </is>
      </c>
      <c r="F3598" s="105" t="n">
        <v>46022</v>
      </c>
      <c r="G3598" t="inlineStr">
        <is>
          <t>509-2025-12-31</t>
        </is>
      </c>
      <c r="H3598" t="inlineStr">
        <is>
          <t>Modelo de seguimiento al graduado</t>
        </is>
      </c>
      <c r="I3598" t="n">
        <v>90</v>
      </c>
      <c r="J3598" t="n">
        <v>94.73999786376953</v>
      </c>
      <c r="EJ3598" t="n">
        <v>95</v>
      </c>
      <c r="EK3598" t="n">
        <v>90</v>
      </c>
    </row>
    <row r="3599">
      <c r="A3599" t="n">
        <v>509</v>
      </c>
      <c r="B3599" t="inlineStr">
        <is>
          <t>Cumplimiento a cronograma de proyectos 2025</t>
        </is>
      </c>
      <c r="C3599" t="inlineStr">
        <is>
          <t>Gestión de Proyectos</t>
        </is>
      </c>
      <c r="D3599" t="inlineStr">
        <is>
          <t>Mensual</t>
        </is>
      </c>
      <c r="E3599" t="inlineStr">
        <is>
          <t>Positivo</t>
        </is>
      </c>
      <c r="F3599" s="105" t="n">
        <v>46022</v>
      </c>
      <c r="G3599" t="inlineStr">
        <is>
          <t>509-2025-12-31</t>
        </is>
      </c>
      <c r="H3599" t="inlineStr">
        <is>
          <t>SER PRO Fase II</t>
        </is>
      </c>
      <c r="I3599" t="n">
        <v>90</v>
      </c>
      <c r="J3599" t="n">
        <v>0</v>
      </c>
      <c r="EJ3599" t="n">
        <v>0</v>
      </c>
      <c r="EK3599" t="n">
        <v>0</v>
      </c>
    </row>
    <row r="3600">
      <c r="A3600" t="n">
        <v>509</v>
      </c>
      <c r="B3600" t="inlineStr">
        <is>
          <t>Cumplimiento a cronograma de proyectos 2025</t>
        </is>
      </c>
      <c r="C3600" t="inlineStr">
        <is>
          <t>Gestión de Proyectos</t>
        </is>
      </c>
      <c r="D3600" t="inlineStr">
        <is>
          <t>Mensual</t>
        </is>
      </c>
      <c r="E3600" t="inlineStr">
        <is>
          <t>Positivo</t>
        </is>
      </c>
      <c r="F3600" s="105" t="n">
        <v>46022</v>
      </c>
      <c r="G3600" t="inlineStr">
        <is>
          <t>509-2025-12-31</t>
        </is>
      </c>
      <c r="H3600" t="inlineStr">
        <is>
          <t>Centro de Idiomas POLI</t>
        </is>
      </c>
      <c r="I3600" t="n">
        <v>90</v>
      </c>
      <c r="J3600" t="n">
        <v>0</v>
      </c>
      <c r="EJ3600" t="n">
        <v>0</v>
      </c>
      <c r="EK3600" t="n">
        <v>0</v>
      </c>
    </row>
    <row r="3601">
      <c r="A3601" t="n">
        <v>509</v>
      </c>
      <c r="B3601" t="inlineStr">
        <is>
          <t>Cumplimiento a cronograma de proyectos 2025</t>
        </is>
      </c>
      <c r="C3601" t="inlineStr">
        <is>
          <t>Gestión de Proyectos</t>
        </is>
      </c>
      <c r="D3601" t="inlineStr">
        <is>
          <t>Mensual</t>
        </is>
      </c>
      <c r="E3601" t="inlineStr">
        <is>
          <t>Positivo</t>
        </is>
      </c>
      <c r="F3601" s="105" t="n">
        <v>46022</v>
      </c>
      <c r="G3601" t="inlineStr">
        <is>
          <t>509-2025-12-31</t>
        </is>
      </c>
      <c r="H3601" t="inlineStr">
        <is>
          <t>Colegio Virtual</t>
        </is>
      </c>
      <c r="I3601" t="n">
        <v>90</v>
      </c>
      <c r="J3601" t="n">
        <v>0</v>
      </c>
      <c r="EJ3601" t="n">
        <v>0</v>
      </c>
      <c r="EK3601" t="n">
        <v>0</v>
      </c>
    </row>
    <row r="3602">
      <c r="A3602" t="n">
        <v>509</v>
      </c>
      <c r="B3602" t="inlineStr">
        <is>
          <t>Cumplimiento a cronograma de proyectos 2025</t>
        </is>
      </c>
      <c r="C3602" t="inlineStr">
        <is>
          <t>Gestión de Proyectos</t>
        </is>
      </c>
      <c r="D3602" t="inlineStr">
        <is>
          <t>Mensual</t>
        </is>
      </c>
      <c r="E3602" t="inlineStr">
        <is>
          <t>Positivo</t>
        </is>
      </c>
      <c r="F3602" s="105" t="n">
        <v>46022</v>
      </c>
      <c r="G3602" t="inlineStr">
        <is>
          <t>509-2025-12-31</t>
        </is>
      </c>
      <c r="H3602" t="inlineStr">
        <is>
          <t>Institución de educación para el trabajo y desarrollo humano IETDH</t>
        </is>
      </c>
      <c r="I3602" t="n">
        <v>90</v>
      </c>
      <c r="J3602" t="n">
        <v>0</v>
      </c>
      <c r="EJ3602" t="n">
        <v>0</v>
      </c>
      <c r="EK3602" t="n">
        <v>0</v>
      </c>
    </row>
    <row r="3603">
      <c r="A3603" t="n">
        <v>509</v>
      </c>
      <c r="B3603" t="inlineStr">
        <is>
          <t>Cumplimiento a cronograma de proyectos 2025</t>
        </is>
      </c>
      <c r="C3603" t="inlineStr">
        <is>
          <t>Gestión de Proyectos</t>
        </is>
      </c>
      <c r="D3603" t="inlineStr">
        <is>
          <t>Mensual</t>
        </is>
      </c>
      <c r="E3603" t="inlineStr">
        <is>
          <t>Positivo</t>
        </is>
      </c>
      <c r="F3603" s="105" t="n">
        <v>46022</v>
      </c>
      <c r="G3603" t="inlineStr">
        <is>
          <t>509-2025-12-31</t>
        </is>
      </c>
      <c r="H3603" t="inlineStr">
        <is>
          <t>Plataforma Tecnologica de Gestión de información Curricular</t>
        </is>
      </c>
      <c r="I3603" t="n">
        <v>90</v>
      </c>
      <c r="J3603" t="n">
        <v>93.33000183105469</v>
      </c>
      <c r="EJ3603" t="n">
        <v>75</v>
      </c>
      <c r="EK3603" t="n">
        <v>70</v>
      </c>
    </row>
    <row r="3604">
      <c r="A3604" t="n">
        <v>509</v>
      </c>
      <c r="B3604" t="inlineStr">
        <is>
          <t>Cumplimiento a cronograma de proyectos 2025</t>
        </is>
      </c>
      <c r="C3604" t="inlineStr">
        <is>
          <t>Gestión de Proyectos</t>
        </is>
      </c>
      <c r="D3604" t="inlineStr">
        <is>
          <t>Mensual</t>
        </is>
      </c>
      <c r="E3604" t="inlineStr">
        <is>
          <t>Positivo</t>
        </is>
      </c>
      <c r="F3604" s="105" t="n">
        <v>46022</v>
      </c>
      <c r="G3604" t="inlineStr">
        <is>
          <t>509-2025-12-31</t>
        </is>
      </c>
      <c r="H3604" t="inlineStr">
        <is>
          <t>Sistema de medición de resultados de aprendizaje</t>
        </is>
      </c>
      <c r="I3604" t="n">
        <v>90</v>
      </c>
      <c r="J3604" t="n">
        <v>0</v>
      </c>
      <c r="EJ3604" t="n">
        <v>0</v>
      </c>
      <c r="EK3604" t="n">
        <v>0</v>
      </c>
    </row>
    <row r="3605">
      <c r="A3605" t="n">
        <v>509</v>
      </c>
      <c r="B3605" t="inlineStr">
        <is>
          <t>Cumplimiento a cronograma de proyectos 2025</t>
        </is>
      </c>
      <c r="C3605" t="inlineStr">
        <is>
          <t>Gestión de Proyectos</t>
        </is>
      </c>
      <c r="D3605" t="inlineStr">
        <is>
          <t>Mensual</t>
        </is>
      </c>
      <c r="E3605" t="inlineStr">
        <is>
          <t>Positivo</t>
        </is>
      </c>
      <c r="F3605" s="105" t="n">
        <v>46022</v>
      </c>
      <c r="G3605" t="inlineStr">
        <is>
          <t>509-2025-12-31</t>
        </is>
      </c>
      <c r="H3605" t="inlineStr">
        <is>
          <t>ADN POLI</t>
        </is>
      </c>
      <c r="I3605" t="n">
        <v>90</v>
      </c>
      <c r="J3605" t="n">
        <v>100</v>
      </c>
      <c r="EJ3605" t="n">
        <v>67</v>
      </c>
      <c r="EK3605" t="n">
        <v>67</v>
      </c>
    </row>
    <row r="3606">
      <c r="A3606" t="n">
        <v>203</v>
      </c>
      <c r="B3606" t="inlineStr">
        <is>
          <t>Cumplimiento de Ingresos</t>
        </is>
      </c>
      <c r="C3606" t="inlineStr">
        <is>
          <t>Planeación Financiera</t>
        </is>
      </c>
      <c r="D3606" t="inlineStr">
        <is>
          <t>Trimestral</t>
        </is>
      </c>
      <c r="E3606" t="inlineStr">
        <is>
          <t>Positivo</t>
        </is>
      </c>
      <c r="F3606" s="105" t="n">
        <v>46022</v>
      </c>
      <c r="G3606" t="inlineStr">
        <is>
          <t>203-2025-12-31</t>
        </is>
      </c>
      <c r="H3606" t="inlineStr">
        <is>
          <t>Ingresos por matriculas</t>
        </is>
      </c>
      <c r="I3606" t="n">
        <v>95</v>
      </c>
      <c r="J3606" t="n">
        <v>111.2799987792969</v>
      </c>
      <c r="BA3606" t="n">
        <v>279503836869</v>
      </c>
      <c r="BB3606" t="n">
        <v>311038928809</v>
      </c>
    </row>
    <row r="3607">
      <c r="A3607" t="n">
        <v>203</v>
      </c>
      <c r="B3607" t="inlineStr">
        <is>
          <t>Cumplimiento de Ingresos</t>
        </is>
      </c>
      <c r="C3607" t="inlineStr">
        <is>
          <t>Planeación Financiera</t>
        </is>
      </c>
      <c r="D3607" t="inlineStr">
        <is>
          <t>Trimestral</t>
        </is>
      </c>
      <c r="E3607" t="inlineStr">
        <is>
          <t>Positivo</t>
        </is>
      </c>
      <c r="F3607" s="105" t="n">
        <v>46022</v>
      </c>
      <c r="G3607" t="inlineStr">
        <is>
          <t>203-2025-12-31</t>
        </is>
      </c>
      <c r="H3607" t="inlineStr">
        <is>
          <t>Otros Ingresos</t>
        </is>
      </c>
      <c r="I3607" t="n">
        <v>95</v>
      </c>
      <c r="J3607" t="n">
        <v>117.0800018310547</v>
      </c>
      <c r="BA3607" t="n">
        <v>12742618008</v>
      </c>
      <c r="BB3607" t="n">
        <v>14919272182</v>
      </c>
    </row>
    <row r="3608">
      <c r="A3608" t="n">
        <v>203</v>
      </c>
      <c r="B3608" t="inlineStr">
        <is>
          <t>Cumplimiento de Ingresos</t>
        </is>
      </c>
      <c r="C3608" t="inlineStr">
        <is>
          <t>Planeación Financiera</t>
        </is>
      </c>
      <c r="D3608" t="inlineStr">
        <is>
          <t>Trimestral</t>
        </is>
      </c>
      <c r="E3608" t="inlineStr">
        <is>
          <t>Positivo</t>
        </is>
      </c>
      <c r="F3608" s="105" t="n">
        <v>46022</v>
      </c>
      <c r="G3608" t="inlineStr">
        <is>
          <t>203-2025-12-31</t>
        </is>
      </c>
      <c r="H3608" t="inlineStr">
        <is>
          <t>Programas especiales</t>
        </is>
      </c>
      <c r="I3608" t="n">
        <v>95</v>
      </c>
      <c r="J3608" t="n">
        <v>107.8300018310547</v>
      </c>
      <c r="BA3608" t="n">
        <v>17058242411</v>
      </c>
      <c r="BB3608" t="n">
        <v>18394058771</v>
      </c>
    </row>
    <row r="3609">
      <c r="A3609" t="n">
        <v>215</v>
      </c>
      <c r="B3609" t="inlineStr">
        <is>
          <t>Disminución de la Generación de Residuos per Cápita</t>
        </is>
      </c>
      <c r="C3609" t="inlineStr">
        <is>
          <t>GESTIÓN AMBIENTAL</t>
        </is>
      </c>
      <c r="D3609" t="inlineStr">
        <is>
          <t>Trimestral</t>
        </is>
      </c>
      <c r="E3609" t="inlineStr">
        <is>
          <t>Positivo</t>
        </is>
      </c>
      <c r="F3609" s="105" t="n">
        <v>46022</v>
      </c>
      <c r="G3609" t="inlineStr">
        <is>
          <t>215-2025-12-31</t>
        </is>
      </c>
      <c r="H3609" t="inlineStr">
        <is>
          <t>Campus Bogotá</t>
        </is>
      </c>
      <c r="I3609" t="n">
        <v>1</v>
      </c>
      <c r="J3609" t="n">
        <v>39.41999816894531</v>
      </c>
      <c r="AC3609" t="n">
        <v>1.04</v>
      </c>
      <c r="AD3609" t="n">
        <v>0.63</v>
      </c>
    </row>
    <row r="3610">
      <c r="A3610" t="n">
        <v>215</v>
      </c>
      <c r="B3610" t="inlineStr">
        <is>
          <t>Disminución de la Generación de Residuos per Cápita</t>
        </is>
      </c>
      <c r="C3610" t="inlineStr">
        <is>
          <t>GESTIÓN AMBIENTAL</t>
        </is>
      </c>
      <c r="D3610" t="inlineStr">
        <is>
          <t>Trimestral</t>
        </is>
      </c>
      <c r="E3610" t="inlineStr">
        <is>
          <t>Positivo</t>
        </is>
      </c>
      <c r="F3610" s="105" t="n">
        <v>46022</v>
      </c>
      <c r="G3610" t="inlineStr">
        <is>
          <t>215-2025-12-31</t>
        </is>
      </c>
      <c r="H3610" t="inlineStr">
        <is>
          <t>City Campus</t>
        </is>
      </c>
      <c r="I3610" t="n">
        <v>1</v>
      </c>
      <c r="J3610" t="n">
        <v>-37.13999938964844</v>
      </c>
      <c r="AC3610" t="n">
        <v>0.35</v>
      </c>
      <c r="AD3610" t="n">
        <v>0.48</v>
      </c>
    </row>
    <row r="3611">
      <c r="A3611" t="n">
        <v>215</v>
      </c>
      <c r="B3611" t="inlineStr">
        <is>
          <t>Disminución de la Generación de Residuos per Cápita</t>
        </is>
      </c>
      <c r="C3611" t="inlineStr">
        <is>
          <t>GESTIÓN AMBIENTAL</t>
        </is>
      </c>
      <c r="D3611" t="inlineStr">
        <is>
          <t>Trimestral</t>
        </is>
      </c>
      <c r="E3611" t="inlineStr">
        <is>
          <t>Positivo</t>
        </is>
      </c>
      <c r="F3611" s="105" t="n">
        <v>46022</v>
      </c>
      <c r="G3611" t="inlineStr">
        <is>
          <t>215-2025-12-31</t>
        </is>
      </c>
      <c r="H3611" t="inlineStr">
        <is>
          <t>Sede Posgrado-Calle 85</t>
        </is>
      </c>
      <c r="I3611" t="n">
        <v>1</v>
      </c>
      <c r="J3611" t="n">
        <v>-39.02000045776367</v>
      </c>
      <c r="AC3611" t="n">
        <v>0.82</v>
      </c>
      <c r="AD3611" t="n">
        <v>1.14</v>
      </c>
    </row>
    <row r="3612">
      <c r="A3612" t="n">
        <v>215</v>
      </c>
      <c r="B3612" t="inlineStr">
        <is>
          <t>Disminución de la Generación de Residuos per Cápita</t>
        </is>
      </c>
      <c r="C3612" t="inlineStr">
        <is>
          <t>GESTIÓN AMBIENTAL</t>
        </is>
      </c>
      <c r="D3612" t="inlineStr">
        <is>
          <t>Trimestral</t>
        </is>
      </c>
      <c r="E3612" t="inlineStr">
        <is>
          <t>Positivo</t>
        </is>
      </c>
      <c r="F3612" s="105" t="n">
        <v>46022</v>
      </c>
      <c r="G3612" t="inlineStr">
        <is>
          <t>215-2025-12-31</t>
        </is>
      </c>
      <c r="H3612" t="inlineStr">
        <is>
          <t>Sede Bienestar - Medellín</t>
        </is>
      </c>
      <c r="I3612" t="n">
        <v>1</v>
      </c>
      <c r="J3612" t="n">
        <v>-733.3300170898438</v>
      </c>
      <c r="AC3612" t="n">
        <v>0.03</v>
      </c>
      <c r="AD3612" t="n">
        <v>0.25</v>
      </c>
    </row>
    <row r="3613">
      <c r="A3613" t="n">
        <v>215</v>
      </c>
      <c r="B3613" t="inlineStr">
        <is>
          <t>Disminución de la Generación de Residuos per Cápita</t>
        </is>
      </c>
      <c r="C3613" t="inlineStr">
        <is>
          <t>GESTIÓN AMBIENTAL</t>
        </is>
      </c>
      <c r="D3613" t="inlineStr">
        <is>
          <t>Trimestral</t>
        </is>
      </c>
      <c r="E3613" t="inlineStr">
        <is>
          <t>Positivo</t>
        </is>
      </c>
      <c r="F3613" s="105" t="n">
        <v>46022</v>
      </c>
      <c r="G3613" t="inlineStr">
        <is>
          <t>215-2025-12-31</t>
        </is>
      </c>
      <c r="H3613" t="inlineStr">
        <is>
          <t>Consultorio Psicología - Medellin</t>
        </is>
      </c>
      <c r="I3613" t="n">
        <v>1</v>
      </c>
      <c r="J3613" t="n">
        <v>-1.269999980926514</v>
      </c>
      <c r="AC3613" t="n">
        <v>3.16</v>
      </c>
      <c r="AD3613" t="n">
        <v>3.2</v>
      </c>
    </row>
    <row r="3614">
      <c r="A3614" t="n">
        <v>215</v>
      </c>
      <c r="B3614" t="inlineStr">
        <is>
          <t>Disminución de la Generación de Residuos per Cápita</t>
        </is>
      </c>
      <c r="C3614" t="inlineStr">
        <is>
          <t>GESTIÓN AMBIENTAL</t>
        </is>
      </c>
      <c r="D3614" t="inlineStr">
        <is>
          <t>Trimestral</t>
        </is>
      </c>
      <c r="E3614" t="inlineStr">
        <is>
          <t>Positivo</t>
        </is>
      </c>
      <c r="F3614" s="105" t="n">
        <v>46022</v>
      </c>
      <c r="G3614" t="inlineStr">
        <is>
          <t>215-2025-12-31</t>
        </is>
      </c>
      <c r="H3614" t="inlineStr">
        <is>
          <t>Campus-Medellín</t>
        </is>
      </c>
      <c r="I3614" t="n">
        <v>0</v>
      </c>
      <c r="J3614" t="n">
        <v>-20</v>
      </c>
      <c r="AC3614" t="n">
        <v>0.35</v>
      </c>
      <c r="AD3614" t="n">
        <v>0.42</v>
      </c>
    </row>
    <row r="3615">
      <c r="A3615" t="n">
        <v>219</v>
      </c>
      <c r="B3615" t="inlineStr">
        <is>
          <t>Disminución del Consumo de Energía Eléctrica per Cápita</t>
        </is>
      </c>
      <c r="C3615" t="inlineStr">
        <is>
          <t>GESTIÓN AMBIENTAL</t>
        </is>
      </c>
      <c r="D3615" t="inlineStr">
        <is>
          <t>Trimestral</t>
        </is>
      </c>
      <c r="E3615" t="inlineStr">
        <is>
          <t>Positivo</t>
        </is>
      </c>
      <c r="F3615" s="105" t="n">
        <v>46022</v>
      </c>
      <c r="G3615" t="inlineStr">
        <is>
          <t>219-2025-12-31</t>
        </is>
      </c>
      <c r="H3615" t="inlineStr">
        <is>
          <t>Campus Bogotá</t>
        </is>
      </c>
      <c r="I3615" t="n">
        <v>1</v>
      </c>
      <c r="J3615" t="n">
        <v>-1.919999957084656</v>
      </c>
      <c r="O3615" t="n">
        <v>2326</v>
      </c>
      <c r="P3615" t="n">
        <v>2279</v>
      </c>
      <c r="Q3615" t="n">
        <v>14235</v>
      </c>
      <c r="R3615" t="n">
        <v>0</v>
      </c>
      <c r="S3615" t="n">
        <v>2338</v>
      </c>
      <c r="T3615" t="n">
        <v>2240</v>
      </c>
      <c r="U3615" t="n">
        <v>14736</v>
      </c>
      <c r="V3615" t="n">
        <v>0</v>
      </c>
      <c r="W3615" t="n">
        <v>389075.4</v>
      </c>
      <c r="X3615" t="n">
        <v>391333.21</v>
      </c>
    </row>
    <row r="3616">
      <c r="A3616" t="n">
        <v>219</v>
      </c>
      <c r="B3616" t="inlineStr">
        <is>
          <t>Disminución del Consumo de Energía Eléctrica per Cápita</t>
        </is>
      </c>
      <c r="C3616" t="inlineStr">
        <is>
          <t>GESTIÓN AMBIENTAL</t>
        </is>
      </c>
      <c r="D3616" t="inlineStr">
        <is>
          <t>Trimestral</t>
        </is>
      </c>
      <c r="E3616" t="inlineStr">
        <is>
          <t>Positivo</t>
        </is>
      </c>
      <c r="F3616" s="105" t="n">
        <v>46022</v>
      </c>
      <c r="G3616" t="inlineStr">
        <is>
          <t>219-2025-12-31</t>
        </is>
      </c>
      <c r="H3616" t="inlineStr">
        <is>
          <t>City Campus</t>
        </is>
      </c>
      <c r="I3616" t="n">
        <v>1</v>
      </c>
      <c r="J3616" t="n">
        <v>-21.93000030517578</v>
      </c>
      <c r="O3616" t="n">
        <v>467</v>
      </c>
      <c r="P3616" t="n">
        <v>18</v>
      </c>
      <c r="Q3616" t="n">
        <v>8892</v>
      </c>
      <c r="R3616" t="n">
        <v>3010</v>
      </c>
      <c r="S3616" t="n">
        <v>483</v>
      </c>
      <c r="T3616" t="n">
        <v>23</v>
      </c>
      <c r="U3616" t="n">
        <v>11976</v>
      </c>
      <c r="V3616" t="n">
        <v>3010</v>
      </c>
      <c r="W3616" t="n">
        <v>265619</v>
      </c>
      <c r="X3616" t="n">
        <v>272460</v>
      </c>
    </row>
    <row r="3617">
      <c r="A3617" t="n">
        <v>219</v>
      </c>
      <c r="B3617" t="inlineStr">
        <is>
          <t>Disminución del Consumo de Energía Eléctrica per Cápita</t>
        </is>
      </c>
      <c r="C3617" t="inlineStr">
        <is>
          <t>GESTIÓN AMBIENTAL</t>
        </is>
      </c>
      <c r="D3617" t="inlineStr">
        <is>
          <t>Trimestral</t>
        </is>
      </c>
      <c r="E3617" t="inlineStr">
        <is>
          <t>Positivo</t>
        </is>
      </c>
      <c r="F3617" s="105" t="n">
        <v>46022</v>
      </c>
      <c r="G3617" t="inlineStr">
        <is>
          <t>219-2025-12-31</t>
        </is>
      </c>
      <c r="H3617" t="inlineStr">
        <is>
          <t>Campus-Medellín</t>
        </is>
      </c>
      <c r="I3617" t="n">
        <v>1</v>
      </c>
      <c r="J3617" t="n">
        <v>-18.6299991607666</v>
      </c>
      <c r="O3617" t="n">
        <v>355</v>
      </c>
      <c r="P3617" t="n">
        <v>853</v>
      </c>
      <c r="Q3617" t="n">
        <v>10724</v>
      </c>
      <c r="R3617" t="n">
        <v>144</v>
      </c>
      <c r="S3617" t="n">
        <v>387</v>
      </c>
      <c r="T3617" t="n">
        <v>810</v>
      </c>
      <c r="U3617" t="n">
        <v>13541</v>
      </c>
      <c r="V3617" t="n">
        <v>144</v>
      </c>
      <c r="W3617" t="n">
        <v>104194</v>
      </c>
      <c r="X3617" t="n">
        <v>108240</v>
      </c>
    </row>
    <row r="3618">
      <c r="A3618" t="n">
        <v>219</v>
      </c>
      <c r="B3618" t="inlineStr">
        <is>
          <t>Disminución del Consumo de Energía Eléctrica per Cápita</t>
        </is>
      </c>
      <c r="C3618" t="inlineStr">
        <is>
          <t>GESTIÓN AMBIENTAL</t>
        </is>
      </c>
      <c r="D3618" t="inlineStr">
        <is>
          <t>Trimestral</t>
        </is>
      </c>
      <c r="E3618" t="inlineStr">
        <is>
          <t>Positivo</t>
        </is>
      </c>
      <c r="F3618" s="105" t="n">
        <v>46022</v>
      </c>
      <c r="G3618" t="inlineStr">
        <is>
          <t>219-2025-12-31</t>
        </is>
      </c>
      <c r="H3618" t="inlineStr">
        <is>
          <t>Sede Bienestar - Medellín</t>
        </is>
      </c>
      <c r="I3618" t="n">
        <v>1</v>
      </c>
      <c r="J3618" t="n">
        <v>-4403.85009765625</v>
      </c>
      <c r="O3618" t="n">
        <v>36</v>
      </c>
      <c r="P3618" t="n">
        <v>30</v>
      </c>
      <c r="Q3618" t="n">
        <v>3402</v>
      </c>
      <c r="R3618" t="n">
        <v>0</v>
      </c>
      <c r="S3618" t="n">
        <v>24</v>
      </c>
      <c r="T3618" t="n">
        <v>24</v>
      </c>
      <c r="U3618" t="n">
        <v>3553</v>
      </c>
      <c r="V3618" t="n">
        <v>0</v>
      </c>
      <c r="W3618" t="n">
        <v>41640</v>
      </c>
      <c r="X3618" t="n">
        <v>960</v>
      </c>
    </row>
    <row r="3619">
      <c r="A3619" t="n">
        <v>219</v>
      </c>
      <c r="B3619" t="inlineStr">
        <is>
          <t>Disminución del Consumo de Energía Eléctrica per Cápita</t>
        </is>
      </c>
      <c r="C3619" t="inlineStr">
        <is>
          <t>GESTIÓN AMBIENTAL</t>
        </is>
      </c>
      <c r="D3619" t="inlineStr">
        <is>
          <t>Trimestral</t>
        </is>
      </c>
      <c r="E3619" t="inlineStr">
        <is>
          <t>Positivo</t>
        </is>
      </c>
      <c r="F3619" s="105" t="n">
        <v>46022</v>
      </c>
      <c r="G3619" t="inlineStr">
        <is>
          <t>219-2025-12-31</t>
        </is>
      </c>
      <c r="H3619" t="inlineStr">
        <is>
          <t>Consultorio Psicología - Medellin</t>
        </is>
      </c>
      <c r="I3619" t="n">
        <v>1</v>
      </c>
      <c r="J3619" t="n">
        <v>-48.5</v>
      </c>
      <c r="O3619" t="n">
        <v>12</v>
      </c>
      <c r="P3619" t="n">
        <v>10</v>
      </c>
      <c r="Q3619" t="n">
        <v>36</v>
      </c>
      <c r="R3619" t="n">
        <v>0</v>
      </c>
      <c r="S3619" t="n">
        <v>12</v>
      </c>
      <c r="T3619" t="n">
        <v>10</v>
      </c>
      <c r="U3619" t="n">
        <v>60</v>
      </c>
      <c r="V3619" t="n">
        <v>0</v>
      </c>
      <c r="W3619" t="n">
        <v>14788</v>
      </c>
      <c r="X3619" t="n">
        <v>14079</v>
      </c>
    </row>
    <row r="3620">
      <c r="A3620" t="n">
        <v>219</v>
      </c>
      <c r="B3620" t="inlineStr">
        <is>
          <t>Disminución del Consumo de Energía Eléctrica per Cápita</t>
        </is>
      </c>
      <c r="C3620" t="inlineStr">
        <is>
          <t>GESTIÓN AMBIENTAL</t>
        </is>
      </c>
      <c r="D3620" t="inlineStr">
        <is>
          <t>Trimestral</t>
        </is>
      </c>
      <c r="E3620" t="inlineStr">
        <is>
          <t>Positivo</t>
        </is>
      </c>
      <c r="F3620" s="105" t="n">
        <v>46022</v>
      </c>
      <c r="G3620" t="inlineStr">
        <is>
          <t>219-2025-12-31</t>
        </is>
      </c>
      <c r="H3620" t="inlineStr">
        <is>
          <t>Sede Posgrado-Calle 85</t>
        </is>
      </c>
      <c r="I3620" t="n">
        <v>1</v>
      </c>
      <c r="J3620" t="n">
        <v>-34.97000122070312</v>
      </c>
      <c r="O3620" t="n">
        <v>51</v>
      </c>
      <c r="P3620" t="n">
        <v>38</v>
      </c>
      <c r="Q3620" t="n">
        <v>135</v>
      </c>
      <c r="R3620" t="n">
        <v>0</v>
      </c>
      <c r="S3620" t="n">
        <v>51</v>
      </c>
      <c r="T3620" t="n">
        <v>38</v>
      </c>
      <c r="U3620" t="n">
        <v>189</v>
      </c>
      <c r="V3620" t="n">
        <v>0</v>
      </c>
      <c r="W3620" t="n">
        <v>26100</v>
      </c>
      <c r="X3620" t="n">
        <v>24000</v>
      </c>
    </row>
    <row r="3621">
      <c r="A3621" t="n">
        <v>220</v>
      </c>
      <c r="B3621" t="inlineStr">
        <is>
          <t>Disminución del Consumo de Agua per Cápita</t>
        </is>
      </c>
      <c r="C3621" t="inlineStr">
        <is>
          <t>GESTIÓN AMBIENTAL</t>
        </is>
      </c>
      <c r="D3621" t="inlineStr">
        <is>
          <t>Trimestral</t>
        </is>
      </c>
      <c r="E3621" t="inlineStr">
        <is>
          <t>Positivo</t>
        </is>
      </c>
      <c r="F3621" s="105" t="n">
        <v>46022</v>
      </c>
      <c r="G3621" t="inlineStr">
        <is>
          <t>220-2025-12-31</t>
        </is>
      </c>
      <c r="H3621" t="inlineStr">
        <is>
          <t>Campus Bogotá</t>
        </is>
      </c>
      <c r="I3621" t="n">
        <v>1</v>
      </c>
      <c r="J3621" t="n">
        <v>-3.869999885559082</v>
      </c>
      <c r="O3621" t="n">
        <v>2326</v>
      </c>
      <c r="P3621" t="n">
        <v>2279</v>
      </c>
      <c r="Q3621" t="n">
        <v>14235</v>
      </c>
      <c r="R3621" t="n">
        <v>0</v>
      </c>
      <c r="S3621" t="n">
        <v>2338</v>
      </c>
      <c r="T3621" t="n">
        <v>2240</v>
      </c>
      <c r="U3621" t="n">
        <v>14736</v>
      </c>
      <c r="V3621" t="n">
        <v>0</v>
      </c>
      <c r="Y3621" t="n">
        <v>3900</v>
      </c>
      <c r="Z3621" t="n">
        <v>3849</v>
      </c>
    </row>
    <row r="3622">
      <c r="A3622" t="n">
        <v>220</v>
      </c>
      <c r="B3622" t="inlineStr">
        <is>
          <t>Disminución del Consumo de Agua per Cápita</t>
        </is>
      </c>
      <c r="C3622" t="inlineStr">
        <is>
          <t>GESTIÓN AMBIENTAL</t>
        </is>
      </c>
      <c r="D3622" t="inlineStr">
        <is>
          <t>Trimestral</t>
        </is>
      </c>
      <c r="E3622" t="inlineStr">
        <is>
          <t>Positivo</t>
        </is>
      </c>
      <c r="F3622" s="105" t="n">
        <v>46022</v>
      </c>
      <c r="G3622" t="inlineStr">
        <is>
          <t>220-2025-12-31</t>
        </is>
      </c>
      <c r="H3622" t="inlineStr">
        <is>
          <t>City Campus</t>
        </is>
      </c>
      <c r="I3622" t="n">
        <v>1</v>
      </c>
      <c r="J3622" t="n">
        <v>-13.84000015258789</v>
      </c>
      <c r="O3622" t="n">
        <v>467</v>
      </c>
      <c r="P3622" t="n">
        <v>18</v>
      </c>
      <c r="Q3622" t="n">
        <v>8892</v>
      </c>
      <c r="R3622" t="n">
        <v>3010</v>
      </c>
      <c r="S3622" t="n">
        <v>483</v>
      </c>
      <c r="T3622" t="n">
        <v>23</v>
      </c>
      <c r="U3622" t="n">
        <v>11976</v>
      </c>
      <c r="V3622" t="n">
        <v>3010</v>
      </c>
      <c r="Y3622" t="n">
        <v>2069</v>
      </c>
      <c r="Z3622" t="n">
        <v>2273</v>
      </c>
    </row>
    <row r="3623">
      <c r="A3623" t="n">
        <v>220</v>
      </c>
      <c r="B3623" t="inlineStr">
        <is>
          <t>Disminución del Consumo de Agua per Cápita</t>
        </is>
      </c>
      <c r="C3623" t="inlineStr">
        <is>
          <t>GESTIÓN AMBIENTAL</t>
        </is>
      </c>
      <c r="D3623" t="inlineStr">
        <is>
          <t>Trimestral</t>
        </is>
      </c>
      <c r="E3623" t="inlineStr">
        <is>
          <t>Positivo</t>
        </is>
      </c>
      <c r="F3623" s="105" t="n">
        <v>46022</v>
      </c>
      <c r="G3623" t="inlineStr">
        <is>
          <t>220-2025-12-31</t>
        </is>
      </c>
      <c r="H3623" t="inlineStr">
        <is>
          <t>Sede Posgrado-Calle 85</t>
        </is>
      </c>
      <c r="I3623" t="n">
        <v>1</v>
      </c>
      <c r="J3623" t="n">
        <v>44.29999923706055</v>
      </c>
      <c r="O3623" t="n">
        <v>51</v>
      </c>
      <c r="P3623" t="n">
        <v>38</v>
      </c>
      <c r="Q3623" t="n">
        <v>135</v>
      </c>
      <c r="R3623" t="n">
        <v>0</v>
      </c>
      <c r="S3623" t="n">
        <v>51</v>
      </c>
      <c r="T3623" t="n">
        <v>38</v>
      </c>
      <c r="U3623" t="n">
        <v>189</v>
      </c>
      <c r="V3623" t="n">
        <v>0</v>
      </c>
      <c r="Y3623" t="n">
        <v>46</v>
      </c>
      <c r="Z3623" t="n">
        <v>102.5</v>
      </c>
    </row>
    <row r="3624">
      <c r="A3624" t="n">
        <v>220</v>
      </c>
      <c r="B3624" t="inlineStr">
        <is>
          <t>Disminución del Consumo de Agua per Cápita</t>
        </is>
      </c>
      <c r="C3624" t="inlineStr">
        <is>
          <t>GESTIÓN AMBIENTAL</t>
        </is>
      </c>
      <c r="D3624" t="inlineStr">
        <is>
          <t>Trimestral</t>
        </is>
      </c>
      <c r="E3624" t="inlineStr">
        <is>
          <t>Positivo</t>
        </is>
      </c>
      <c r="F3624" s="105" t="n">
        <v>46022</v>
      </c>
      <c r="G3624" t="inlineStr">
        <is>
          <t>220-2025-12-31</t>
        </is>
      </c>
      <c r="H3624" t="inlineStr">
        <is>
          <t>Campus-Medellín</t>
        </is>
      </c>
      <c r="I3624" t="n">
        <v>1</v>
      </c>
      <c r="J3624" t="n">
        <v>-8.229999542236328</v>
      </c>
      <c r="O3624" t="n">
        <v>355</v>
      </c>
      <c r="P3624" t="n">
        <v>853</v>
      </c>
      <c r="Q3624" t="n">
        <v>10724</v>
      </c>
      <c r="R3624" t="n">
        <v>144</v>
      </c>
      <c r="S3624" t="n">
        <v>387</v>
      </c>
      <c r="T3624" t="n">
        <v>810</v>
      </c>
      <c r="U3624" t="n">
        <v>13541</v>
      </c>
      <c r="V3624" t="n">
        <v>144</v>
      </c>
      <c r="Y3624" t="n">
        <v>988</v>
      </c>
      <c r="Z3624" t="n">
        <v>1125</v>
      </c>
    </row>
    <row r="3625">
      <c r="A3625" t="n">
        <v>220</v>
      </c>
      <c r="B3625" t="inlineStr">
        <is>
          <t>Disminución del Consumo de Agua per Cápita</t>
        </is>
      </c>
      <c r="C3625" t="inlineStr">
        <is>
          <t>GESTIÓN AMBIENTAL</t>
        </is>
      </c>
      <c r="D3625" t="inlineStr">
        <is>
          <t>Trimestral</t>
        </is>
      </c>
      <c r="E3625" t="inlineStr">
        <is>
          <t>Positivo</t>
        </is>
      </c>
      <c r="F3625" s="105" t="n">
        <v>46022</v>
      </c>
      <c r="G3625" t="inlineStr">
        <is>
          <t>220-2025-12-31</t>
        </is>
      </c>
      <c r="H3625" t="inlineStr">
        <is>
          <t>Sede Bienestar - Medellín</t>
        </is>
      </c>
      <c r="I3625" t="n">
        <v>1</v>
      </c>
      <c r="J3625" t="n">
        <v>0</v>
      </c>
      <c r="O3625" t="n">
        <v>36</v>
      </c>
      <c r="P3625" t="n">
        <v>30</v>
      </c>
      <c r="Q3625" t="n">
        <v>3402</v>
      </c>
      <c r="R3625" t="n">
        <v>0</v>
      </c>
      <c r="S3625" t="n">
        <v>24</v>
      </c>
      <c r="T3625" t="n">
        <v>24</v>
      </c>
      <c r="U3625" t="n">
        <v>3553</v>
      </c>
      <c r="V3625" t="n">
        <v>0</v>
      </c>
      <c r="Y3625" t="n">
        <v>0</v>
      </c>
      <c r="Z3625" t="n">
        <v>0</v>
      </c>
    </row>
    <row r="3626">
      <c r="A3626" t="n">
        <v>220</v>
      </c>
      <c r="B3626" t="inlineStr">
        <is>
          <t>Disminución del Consumo de Agua per Cápita</t>
        </is>
      </c>
      <c r="C3626" t="inlineStr">
        <is>
          <t>GESTIÓN AMBIENTAL</t>
        </is>
      </c>
      <c r="D3626" t="inlineStr">
        <is>
          <t>Trimestral</t>
        </is>
      </c>
      <c r="E3626" t="inlineStr">
        <is>
          <t>Positivo</t>
        </is>
      </c>
      <c r="F3626" s="105" t="n">
        <v>46022</v>
      </c>
      <c r="G3626" t="inlineStr">
        <is>
          <t>220-2025-12-31</t>
        </is>
      </c>
      <c r="H3626" t="inlineStr">
        <is>
          <t>Consultorio Psicología - Medellin</t>
        </is>
      </c>
      <c r="I3626" t="n">
        <v>1</v>
      </c>
      <c r="J3626" t="n">
        <v>-14037.9296875</v>
      </c>
      <c r="O3626" t="n">
        <v>12</v>
      </c>
      <c r="P3626" t="n">
        <v>10</v>
      </c>
      <c r="Q3626" t="n">
        <v>36</v>
      </c>
      <c r="R3626" t="n">
        <v>0</v>
      </c>
      <c r="S3626" t="n">
        <v>12</v>
      </c>
      <c r="T3626" t="n">
        <v>10</v>
      </c>
      <c r="U3626" t="n">
        <v>60</v>
      </c>
      <c r="V3626" t="n">
        <v>0</v>
      </c>
      <c r="Y3626" t="n">
        <v>100</v>
      </c>
      <c r="Z3626" t="n">
        <v>1</v>
      </c>
    </row>
    <row r="3627">
      <c r="A3627" t="n">
        <v>274</v>
      </c>
      <c r="B3627" t="inlineStr">
        <is>
          <t>Cumplimiento total estudiantes antiguos</t>
        </is>
      </c>
      <c r="C3627" t="inlineStr">
        <is>
          <t>Rematrícula</t>
        </is>
      </c>
      <c r="D3627" t="inlineStr">
        <is>
          <t>Trimestral</t>
        </is>
      </c>
      <c r="E3627" t="inlineStr">
        <is>
          <t>Positivo</t>
        </is>
      </c>
      <c r="F3627" s="105" t="n">
        <v>46022</v>
      </c>
      <c r="G3627" t="inlineStr">
        <is>
          <t>274-2025-12-31</t>
        </is>
      </c>
      <c r="H3627" t="inlineStr">
        <is>
          <t>Posgrado Presencial</t>
        </is>
      </c>
      <c r="I3627" t="n">
        <v>100</v>
      </c>
      <c r="J3627" t="n">
        <v>110.6100006103516</v>
      </c>
      <c r="BC3627" t="n">
        <v>396</v>
      </c>
      <c r="BD3627" t="n">
        <v>358</v>
      </c>
    </row>
    <row r="3628">
      <c r="A3628" t="n">
        <v>274</v>
      </c>
      <c r="B3628" t="inlineStr">
        <is>
          <t>Cumplimiento total estudiantes antiguos</t>
        </is>
      </c>
      <c r="C3628" t="inlineStr">
        <is>
          <t>Rematrícula</t>
        </is>
      </c>
      <c r="D3628" t="inlineStr">
        <is>
          <t>Trimestral</t>
        </is>
      </c>
      <c r="E3628" t="inlineStr">
        <is>
          <t>Positivo</t>
        </is>
      </c>
      <c r="F3628" s="105" t="n">
        <v>46022</v>
      </c>
      <c r="G3628" t="inlineStr">
        <is>
          <t>274-2025-12-31</t>
        </is>
      </c>
      <c r="H3628" t="inlineStr">
        <is>
          <t>Pregrado Presencial</t>
        </is>
      </c>
      <c r="I3628" t="n">
        <v>100</v>
      </c>
      <c r="J3628" t="n">
        <v>100.6500015258789</v>
      </c>
      <c r="BC3628" t="n">
        <v>7002</v>
      </c>
      <c r="BD3628" t="n">
        <v>6957</v>
      </c>
    </row>
    <row r="3629">
      <c r="A3629" t="n">
        <v>274</v>
      </c>
      <c r="B3629" t="inlineStr">
        <is>
          <t>Cumplimiento total estudiantes antiguos</t>
        </is>
      </c>
      <c r="C3629" t="inlineStr">
        <is>
          <t>Rematrícula</t>
        </is>
      </c>
      <c r="D3629" t="inlineStr">
        <is>
          <t>Trimestral</t>
        </is>
      </c>
      <c r="E3629" t="inlineStr">
        <is>
          <t>Positivo</t>
        </is>
      </c>
      <c r="F3629" s="105" t="n">
        <v>46022</v>
      </c>
      <c r="G3629" t="inlineStr">
        <is>
          <t>274-2025-12-31</t>
        </is>
      </c>
      <c r="H3629" t="inlineStr">
        <is>
          <t>Posgrado Virtual</t>
        </is>
      </c>
      <c r="I3629" t="n">
        <v>100</v>
      </c>
      <c r="J3629" t="n">
        <v>111.0899963378906</v>
      </c>
      <c r="BC3629" t="n">
        <v>2364</v>
      </c>
      <c r="BD3629" t="n">
        <v>2128</v>
      </c>
    </row>
    <row r="3630">
      <c r="A3630" t="n">
        <v>274</v>
      </c>
      <c r="B3630" t="inlineStr">
        <is>
          <t>Cumplimiento total estudiantes antiguos</t>
        </is>
      </c>
      <c r="C3630" t="inlineStr">
        <is>
          <t>Rematrícula</t>
        </is>
      </c>
      <c r="D3630" t="inlineStr">
        <is>
          <t>Trimestral</t>
        </is>
      </c>
      <c r="E3630" t="inlineStr">
        <is>
          <t>Positivo</t>
        </is>
      </c>
      <c r="F3630" s="105" t="n">
        <v>46022</v>
      </c>
      <c r="G3630" t="inlineStr">
        <is>
          <t>274-2025-12-31</t>
        </is>
      </c>
      <c r="H3630" t="inlineStr">
        <is>
          <t>Pregrado Virtual</t>
        </is>
      </c>
      <c r="I3630" t="n">
        <v>100</v>
      </c>
      <c r="J3630" t="n">
        <v>101.6699981689453</v>
      </c>
      <c r="BC3630" t="n">
        <v>35884</v>
      </c>
      <c r="BD3630" t="n">
        <v>35294</v>
      </c>
    </row>
    <row r="3631">
      <c r="A3631" t="n">
        <v>275</v>
      </c>
      <c r="B3631" t="inlineStr">
        <is>
          <t>Satisfacción Institucional por grupo de interes</t>
        </is>
      </c>
      <c r="C3631" t="inlineStr">
        <is>
          <t>EXPERIENCIA INSTITUCIONAL</t>
        </is>
      </c>
      <c r="D3631" t="inlineStr">
        <is>
          <t>Trimestral</t>
        </is>
      </c>
      <c r="E3631" t="inlineStr">
        <is>
          <t>Positivo</t>
        </is>
      </c>
      <c r="F3631" s="105" t="n">
        <v>46022</v>
      </c>
      <c r="G3631" t="inlineStr">
        <is>
          <t>275-2025-12-31</t>
        </is>
      </c>
      <c r="H3631" t="inlineStr">
        <is>
          <t>Docentes</t>
        </is>
      </c>
      <c r="I3631" t="n">
        <v>80</v>
      </c>
      <c r="J3631" t="n">
        <v>91.90000152587891</v>
      </c>
      <c r="EG3631" t="n">
        <v>91.90000000000001</v>
      </c>
    </row>
    <row r="3632">
      <c r="A3632" t="n">
        <v>275</v>
      </c>
      <c r="B3632" t="inlineStr">
        <is>
          <t>Satisfacción Institucional por grupo de interes</t>
        </is>
      </c>
      <c r="C3632" t="inlineStr">
        <is>
          <t>EXPERIENCIA INSTITUCIONAL</t>
        </is>
      </c>
      <c r="D3632" t="inlineStr">
        <is>
          <t>Trimestral</t>
        </is>
      </c>
      <c r="E3632" t="inlineStr">
        <is>
          <t>Positivo</t>
        </is>
      </c>
      <c r="F3632" s="105" t="n">
        <v>46022</v>
      </c>
      <c r="G3632" t="inlineStr">
        <is>
          <t>275-2025-12-31</t>
        </is>
      </c>
      <c r="H3632" t="inlineStr">
        <is>
          <t>Estudiantes</t>
        </is>
      </c>
      <c r="I3632" t="n">
        <v>80</v>
      </c>
      <c r="J3632" t="n">
        <v>89</v>
      </c>
      <c r="EG3632" t="n">
        <v>89</v>
      </c>
    </row>
    <row r="3633">
      <c r="A3633" t="n">
        <v>275</v>
      </c>
      <c r="B3633" t="inlineStr">
        <is>
          <t>Satisfacción Institucional por grupo de interes</t>
        </is>
      </c>
      <c r="C3633" t="inlineStr">
        <is>
          <t>EXPERIENCIA INSTITUCIONAL</t>
        </is>
      </c>
      <c r="D3633" t="inlineStr">
        <is>
          <t>Trimestral</t>
        </is>
      </c>
      <c r="E3633" t="inlineStr">
        <is>
          <t>Positivo</t>
        </is>
      </c>
      <c r="F3633" s="105" t="n">
        <v>46022</v>
      </c>
      <c r="G3633" t="inlineStr">
        <is>
          <t>275-2025-12-31</t>
        </is>
      </c>
      <c r="H3633" t="inlineStr">
        <is>
          <t>Administrativos</t>
        </is>
      </c>
      <c r="I3633" t="n">
        <v>80</v>
      </c>
      <c r="J3633" t="n">
        <v>94.09999847412109</v>
      </c>
      <c r="EG3633" t="n">
        <v>94.09999999999999</v>
      </c>
    </row>
    <row r="3634">
      <c r="A3634" t="n">
        <v>278</v>
      </c>
      <c r="B3634" t="inlineStr">
        <is>
          <t>Docentes contratados - Metrica</t>
        </is>
      </c>
      <c r="C3634" t="inlineStr">
        <is>
          <t>Gestión Docente</t>
        </is>
      </c>
      <c r="D3634" t="inlineStr">
        <is>
          <t>Trimestral</t>
        </is>
      </c>
      <c r="E3634" t="inlineStr">
        <is>
          <t>Positivo</t>
        </is>
      </c>
      <c r="F3634" s="105" t="n">
        <v>46022</v>
      </c>
      <c r="G3634" t="inlineStr">
        <is>
          <t>278-2025-12-31</t>
        </is>
      </c>
      <c r="H3634" t="inlineStr">
        <is>
          <t>Tiempo completo</t>
        </is>
      </c>
      <c r="J3634" t="n">
        <v>686</v>
      </c>
      <c r="BE3634" t="n">
        <v>686</v>
      </c>
    </row>
    <row r="3635">
      <c r="A3635" t="n">
        <v>278</v>
      </c>
      <c r="B3635" t="inlineStr">
        <is>
          <t>Docentes contratados - Metrica</t>
        </is>
      </c>
      <c r="C3635" t="inlineStr">
        <is>
          <t>Gestión Docente</t>
        </is>
      </c>
      <c r="D3635" t="inlineStr">
        <is>
          <t>Trimestral</t>
        </is>
      </c>
      <c r="E3635" t="inlineStr">
        <is>
          <t>Positivo</t>
        </is>
      </c>
      <c r="F3635" s="105" t="n">
        <v>46022</v>
      </c>
      <c r="G3635" t="inlineStr">
        <is>
          <t>278-2025-12-31</t>
        </is>
      </c>
      <c r="H3635" t="inlineStr">
        <is>
          <t>Medio tiempo</t>
        </is>
      </c>
      <c r="J3635" t="n">
        <v>289</v>
      </c>
      <c r="BE3635" t="n">
        <v>289</v>
      </c>
    </row>
    <row r="3636">
      <c r="A3636" t="n">
        <v>278</v>
      </c>
      <c r="B3636" t="inlineStr">
        <is>
          <t>Docentes contratados - Metrica</t>
        </is>
      </c>
      <c r="C3636" t="inlineStr">
        <is>
          <t>Gestión Docente</t>
        </is>
      </c>
      <c r="D3636" t="inlineStr">
        <is>
          <t>Trimestral</t>
        </is>
      </c>
      <c r="E3636" t="inlineStr">
        <is>
          <t>Positivo</t>
        </is>
      </c>
      <c r="F3636" s="105" t="n">
        <v>46022</v>
      </c>
      <c r="G3636" t="inlineStr">
        <is>
          <t>278-2025-12-31</t>
        </is>
      </c>
      <c r="H3636" t="inlineStr">
        <is>
          <t>Catedra</t>
        </is>
      </c>
      <c r="J3636" t="n">
        <v>96</v>
      </c>
      <c r="BE3636" t="n">
        <v>96</v>
      </c>
    </row>
    <row r="3637">
      <c r="A3637" t="n">
        <v>286</v>
      </c>
      <c r="B3637" t="inlineStr">
        <is>
          <t>Total docentes por nivel de estudios - Metrica</t>
        </is>
      </c>
      <c r="C3637" t="inlineStr">
        <is>
          <t>Gestión Docente</t>
        </is>
      </c>
      <c r="D3637" t="inlineStr">
        <is>
          <t>Trimestral</t>
        </is>
      </c>
      <c r="E3637" t="inlineStr">
        <is>
          <t>Positivo</t>
        </is>
      </c>
      <c r="F3637" s="105" t="n">
        <v>46022</v>
      </c>
      <c r="G3637" t="inlineStr">
        <is>
          <t>286-2025-12-31</t>
        </is>
      </c>
      <c r="H3637" t="inlineStr">
        <is>
          <t>Doctorado</t>
        </is>
      </c>
      <c r="J3637" t="n">
        <v>90</v>
      </c>
      <c r="BF3637" t="n">
        <v>90</v>
      </c>
    </row>
    <row r="3638">
      <c r="A3638" t="n">
        <v>286</v>
      </c>
      <c r="B3638" t="inlineStr">
        <is>
          <t>Total docentes por nivel de estudios - Metrica</t>
        </is>
      </c>
      <c r="C3638" t="inlineStr">
        <is>
          <t>Gestión Docente</t>
        </is>
      </c>
      <c r="D3638" t="inlineStr">
        <is>
          <t>Trimestral</t>
        </is>
      </c>
      <c r="E3638" t="inlineStr">
        <is>
          <t>Positivo</t>
        </is>
      </c>
      <c r="F3638" s="105" t="n">
        <v>46022</v>
      </c>
      <c r="G3638" t="inlineStr">
        <is>
          <t>286-2025-12-31</t>
        </is>
      </c>
      <c r="H3638" t="inlineStr">
        <is>
          <t>Especialización</t>
        </is>
      </c>
      <c r="J3638" t="n">
        <v>100</v>
      </c>
      <c r="BF3638" t="n">
        <v>100</v>
      </c>
    </row>
    <row r="3639">
      <c r="A3639" t="n">
        <v>286</v>
      </c>
      <c r="B3639" t="inlineStr">
        <is>
          <t>Total docentes por nivel de estudios - Metrica</t>
        </is>
      </c>
      <c r="C3639" t="inlineStr">
        <is>
          <t>Gestión Docente</t>
        </is>
      </c>
      <c r="D3639" t="inlineStr">
        <is>
          <t>Trimestral</t>
        </is>
      </c>
      <c r="E3639" t="inlineStr">
        <is>
          <t>Positivo</t>
        </is>
      </c>
      <c r="F3639" s="105" t="n">
        <v>46022</v>
      </c>
      <c r="G3639" t="inlineStr">
        <is>
          <t>286-2025-12-31</t>
        </is>
      </c>
      <c r="H3639" t="inlineStr">
        <is>
          <t>Pregrado</t>
        </is>
      </c>
      <c r="J3639" t="n">
        <v>64</v>
      </c>
      <c r="BF3639" t="n">
        <v>64</v>
      </c>
    </row>
    <row r="3640">
      <c r="A3640" t="n">
        <v>286</v>
      </c>
      <c r="B3640" t="inlineStr">
        <is>
          <t>Total docentes por nivel de estudios - Metrica</t>
        </is>
      </c>
      <c r="C3640" t="inlineStr">
        <is>
          <t>Gestión Docente</t>
        </is>
      </c>
      <c r="D3640" t="inlineStr">
        <is>
          <t>Trimestral</t>
        </is>
      </c>
      <c r="E3640" t="inlineStr">
        <is>
          <t>Positivo</t>
        </is>
      </c>
      <c r="F3640" s="105" t="n">
        <v>46022</v>
      </c>
      <c r="G3640" t="inlineStr">
        <is>
          <t>286-2025-12-31</t>
        </is>
      </c>
      <c r="H3640" t="inlineStr">
        <is>
          <t>Maestría</t>
        </is>
      </c>
      <c r="J3640" t="n">
        <v>817</v>
      </c>
      <c r="BF3640" t="n">
        <v>817</v>
      </c>
    </row>
    <row r="3641">
      <c r="A3641" t="n">
        <v>292</v>
      </c>
      <c r="B3641" t="inlineStr">
        <is>
          <t>Participación en Actividades deportivas</t>
        </is>
      </c>
      <c r="C3641" t="inlineStr">
        <is>
          <t>Cultura y Deporte</t>
        </is>
      </c>
      <c r="D3641" t="inlineStr">
        <is>
          <t>Trimestral</t>
        </is>
      </c>
      <c r="E3641" t="inlineStr">
        <is>
          <t>Positivo</t>
        </is>
      </c>
      <c r="F3641" s="105" t="n">
        <v>46022</v>
      </c>
      <c r="G3641" t="inlineStr">
        <is>
          <t>292-2025-12-31</t>
        </is>
      </c>
      <c r="H3641" t="inlineStr">
        <is>
          <t>Bogotá</t>
        </is>
      </c>
      <c r="I3641" t="n">
        <v>8</v>
      </c>
      <c r="J3641" t="n">
        <v>13.5600004196167</v>
      </c>
      <c r="BG3641" t="n">
        <v>2136</v>
      </c>
      <c r="BH3641" t="n">
        <v>1881</v>
      </c>
    </row>
    <row r="3642">
      <c r="A3642" t="n">
        <v>292</v>
      </c>
      <c r="B3642" t="inlineStr">
        <is>
          <t>Participación en Actividades deportivas</t>
        </is>
      </c>
      <c r="C3642" t="inlineStr">
        <is>
          <t>Cultura y Deporte</t>
        </is>
      </c>
      <c r="D3642" t="inlineStr">
        <is>
          <t>Trimestral</t>
        </is>
      </c>
      <c r="E3642" t="inlineStr">
        <is>
          <t>Positivo</t>
        </is>
      </c>
      <c r="F3642" s="105" t="n">
        <v>46022</v>
      </c>
      <c r="G3642" t="inlineStr">
        <is>
          <t>292-2025-12-31</t>
        </is>
      </c>
      <c r="H3642" t="inlineStr">
        <is>
          <t>Medellín</t>
        </is>
      </c>
      <c r="I3642" t="n">
        <v>8</v>
      </c>
      <c r="J3642" t="n">
        <v>27.79999923706055</v>
      </c>
      <c r="BG3642" t="n">
        <v>685</v>
      </c>
      <c r="BH3642" t="n">
        <v>536</v>
      </c>
    </row>
    <row r="3643">
      <c r="A3643" t="n">
        <v>292</v>
      </c>
      <c r="B3643" t="inlineStr">
        <is>
          <t>Participación en Actividades deportivas</t>
        </is>
      </c>
      <c r="C3643" t="inlineStr">
        <is>
          <t>Cultura y Deporte</t>
        </is>
      </c>
      <c r="D3643" t="inlineStr">
        <is>
          <t>Trimestral</t>
        </is>
      </c>
      <c r="E3643" t="inlineStr">
        <is>
          <t>Positivo</t>
        </is>
      </c>
      <c r="F3643" s="105" t="n">
        <v>46022</v>
      </c>
      <c r="G3643" t="inlineStr">
        <is>
          <t>292-2025-12-31</t>
        </is>
      </c>
      <c r="H3643" t="inlineStr">
        <is>
          <t>Virtual</t>
        </is>
      </c>
      <c r="I3643" t="n">
        <v>8</v>
      </c>
      <c r="J3643" t="n">
        <v>-12.07999992370605</v>
      </c>
      <c r="BG3643" t="n">
        <v>502</v>
      </c>
      <c r="BH3643" t="n">
        <v>571</v>
      </c>
    </row>
    <row r="3644">
      <c r="A3644" t="n">
        <v>294</v>
      </c>
      <c r="B3644" t="inlineStr">
        <is>
          <t>Participación en actividades culturales</t>
        </is>
      </c>
      <c r="C3644" t="inlineStr">
        <is>
          <t>Cultura y Deporte</t>
        </is>
      </c>
      <c r="D3644" t="inlineStr">
        <is>
          <t>Trimestral</t>
        </is>
      </c>
      <c r="E3644" t="inlineStr">
        <is>
          <t>Positivo</t>
        </is>
      </c>
      <c r="F3644" s="105" t="n">
        <v>46022</v>
      </c>
      <c r="G3644" t="inlineStr">
        <is>
          <t>294-2025-12-31</t>
        </is>
      </c>
      <c r="H3644" t="inlineStr">
        <is>
          <t>Bogotá</t>
        </is>
      </c>
      <c r="I3644" t="n">
        <v>8</v>
      </c>
      <c r="J3644" t="n">
        <v>62.72000122070312</v>
      </c>
      <c r="BI3644" t="n">
        <v>934</v>
      </c>
      <c r="BJ3644" t="n">
        <v>574</v>
      </c>
    </row>
    <row r="3645">
      <c r="A3645" t="n">
        <v>294</v>
      </c>
      <c r="B3645" t="inlineStr">
        <is>
          <t>Participación en actividades culturales</t>
        </is>
      </c>
      <c r="C3645" t="inlineStr">
        <is>
          <t>Cultura y Deporte</t>
        </is>
      </c>
      <c r="D3645" t="inlineStr">
        <is>
          <t>Trimestral</t>
        </is>
      </c>
      <c r="E3645" t="inlineStr">
        <is>
          <t>Positivo</t>
        </is>
      </c>
      <c r="F3645" s="105" t="n">
        <v>46022</v>
      </c>
      <c r="G3645" t="inlineStr">
        <is>
          <t>294-2025-12-31</t>
        </is>
      </c>
      <c r="H3645" t="inlineStr">
        <is>
          <t>Medellín</t>
        </is>
      </c>
      <c r="I3645" t="n">
        <v>8</v>
      </c>
      <c r="J3645" t="n">
        <v>57.56000137329102</v>
      </c>
      <c r="BI3645" t="n">
        <v>646</v>
      </c>
      <c r="BJ3645" t="n">
        <v>410</v>
      </c>
    </row>
    <row r="3646">
      <c r="A3646" t="n">
        <v>294</v>
      </c>
      <c r="B3646" t="inlineStr">
        <is>
          <t>Participación en actividades culturales</t>
        </is>
      </c>
      <c r="C3646" t="inlineStr">
        <is>
          <t>Cultura y Deporte</t>
        </is>
      </c>
      <c r="D3646" t="inlineStr">
        <is>
          <t>Trimestral</t>
        </is>
      </c>
      <c r="E3646" t="inlineStr">
        <is>
          <t>Positivo</t>
        </is>
      </c>
      <c r="F3646" s="105" t="n">
        <v>46022</v>
      </c>
      <c r="G3646" t="inlineStr">
        <is>
          <t>294-2025-12-31</t>
        </is>
      </c>
      <c r="H3646" t="inlineStr">
        <is>
          <t>Virtual</t>
        </is>
      </c>
      <c r="I3646" t="n">
        <v>8</v>
      </c>
      <c r="J3646" t="n">
        <v>10.19999980926514</v>
      </c>
      <c r="BI3646" t="n">
        <v>162</v>
      </c>
      <c r="BJ3646" t="n">
        <v>147</v>
      </c>
    </row>
    <row r="3647">
      <c r="A3647" t="n">
        <v>302</v>
      </c>
      <c r="B3647" t="inlineStr">
        <is>
          <t>N de solicitudes radicadas - (Metrica)</t>
        </is>
      </c>
      <c r="C3647" t="inlineStr">
        <is>
          <t>Centro de Medios Audiovisuales</t>
        </is>
      </c>
      <c r="D3647" t="inlineStr">
        <is>
          <t>Trimestral</t>
        </is>
      </c>
      <c r="E3647" t="inlineStr">
        <is>
          <t>Positivo</t>
        </is>
      </c>
      <c r="F3647" s="105" t="n">
        <v>46022</v>
      </c>
      <c r="G3647" t="inlineStr">
        <is>
          <t>302-2025-12-31</t>
        </is>
      </c>
      <c r="H3647" t="inlineStr">
        <is>
          <t>Equipos</t>
        </is>
      </c>
      <c r="J3647" t="n">
        <v>29088</v>
      </c>
      <c r="DL3647" t="n">
        <v>29088</v>
      </c>
    </row>
    <row r="3648">
      <c r="A3648" t="n">
        <v>302</v>
      </c>
      <c r="B3648" t="inlineStr">
        <is>
          <t>N de solicitudes radicadas - (Metrica)</t>
        </is>
      </c>
      <c r="C3648" t="inlineStr">
        <is>
          <t>Centro de Medios Audiovisuales</t>
        </is>
      </c>
      <c r="D3648" t="inlineStr">
        <is>
          <t>Trimestral</t>
        </is>
      </c>
      <c r="E3648" t="inlineStr">
        <is>
          <t>Positivo</t>
        </is>
      </c>
      <c r="F3648" s="105" t="n">
        <v>46022</v>
      </c>
      <c r="G3648" t="inlineStr">
        <is>
          <t>302-2025-12-31</t>
        </is>
      </c>
      <c r="H3648" t="inlineStr">
        <is>
          <t>Salas de postproducción</t>
        </is>
      </c>
      <c r="J3648" t="n">
        <v>796</v>
      </c>
      <c r="DL3648" t="n">
        <v>796</v>
      </c>
    </row>
    <row r="3649">
      <c r="A3649" t="n">
        <v>302</v>
      </c>
      <c r="B3649" t="inlineStr">
        <is>
          <t>N de solicitudes radicadas - (Metrica)</t>
        </is>
      </c>
      <c r="C3649" t="inlineStr">
        <is>
          <t>Centro de Medios Audiovisuales</t>
        </is>
      </c>
      <c r="D3649" t="inlineStr">
        <is>
          <t>Trimestral</t>
        </is>
      </c>
      <c r="E3649" t="inlineStr">
        <is>
          <t>Positivo</t>
        </is>
      </c>
      <c r="F3649" s="105" t="n">
        <v>46022</v>
      </c>
      <c r="G3649" t="inlineStr">
        <is>
          <t>302-2025-12-31</t>
        </is>
      </c>
      <c r="H3649" t="inlineStr">
        <is>
          <t>Estudios</t>
        </is>
      </c>
      <c r="J3649" t="n">
        <v>1024</v>
      </c>
      <c r="DL3649" t="n">
        <v>1024</v>
      </c>
    </row>
    <row r="3650">
      <c r="A3650" t="n">
        <v>302</v>
      </c>
      <c r="B3650" t="inlineStr">
        <is>
          <t>N de solicitudes radicadas - (Metrica)</t>
        </is>
      </c>
      <c r="C3650" t="inlineStr">
        <is>
          <t>Centro de Medios Audiovisuales</t>
        </is>
      </c>
      <c r="D3650" t="inlineStr">
        <is>
          <t>Trimestral</t>
        </is>
      </c>
      <c r="E3650" t="inlineStr">
        <is>
          <t>Positivo</t>
        </is>
      </c>
      <c r="F3650" s="105" t="n">
        <v>46022</v>
      </c>
      <c r="G3650" t="inlineStr">
        <is>
          <t>302-2025-12-31</t>
        </is>
      </c>
      <c r="H3650" t="inlineStr">
        <is>
          <t>Eventos</t>
        </is>
      </c>
      <c r="J3650" t="n">
        <v>463</v>
      </c>
      <c r="DL3650" t="n">
        <v>463</v>
      </c>
    </row>
    <row r="3651">
      <c r="A3651" t="n">
        <v>303</v>
      </c>
      <c r="B3651" t="inlineStr">
        <is>
          <t>Cumplimiento del cronograma de actividades de salud</t>
        </is>
      </c>
      <c r="C3651" t="inlineStr">
        <is>
          <t>Servicio de Salud</t>
        </is>
      </c>
      <c r="D3651" t="inlineStr">
        <is>
          <t>Trimestral</t>
        </is>
      </c>
      <c r="E3651" t="inlineStr">
        <is>
          <t>Positivo</t>
        </is>
      </c>
      <c r="F3651" s="105" t="n">
        <v>46022</v>
      </c>
      <c r="G3651" t="inlineStr">
        <is>
          <t>303-2025-12-31</t>
        </is>
      </c>
      <c r="H3651" t="inlineStr">
        <is>
          <t>Bogotá</t>
        </is>
      </c>
      <c r="I3651" t="n">
        <v>95</v>
      </c>
      <c r="J3651" t="n">
        <v>100</v>
      </c>
      <c r="BK3651" t="n">
        <v>11</v>
      </c>
      <c r="BL3651" t="n">
        <v>11</v>
      </c>
    </row>
    <row r="3652">
      <c r="A3652" t="n">
        <v>303</v>
      </c>
      <c r="B3652" t="inlineStr">
        <is>
          <t>Cumplimiento del cronograma de actividades de salud</t>
        </is>
      </c>
      <c r="C3652" t="inlineStr">
        <is>
          <t>Servicio de Salud</t>
        </is>
      </c>
      <c r="D3652" t="inlineStr">
        <is>
          <t>Trimestral</t>
        </is>
      </c>
      <c r="E3652" t="inlineStr">
        <is>
          <t>Positivo</t>
        </is>
      </c>
      <c r="F3652" s="105" t="n">
        <v>46022</v>
      </c>
      <c r="G3652" t="inlineStr">
        <is>
          <t>303-2025-12-31</t>
        </is>
      </c>
      <c r="H3652" t="inlineStr">
        <is>
          <t>Medellín</t>
        </is>
      </c>
      <c r="I3652" t="n">
        <v>95</v>
      </c>
      <c r="J3652" t="n">
        <v>100</v>
      </c>
      <c r="BK3652" t="n">
        <v>25</v>
      </c>
      <c r="BL3652" t="n">
        <v>25</v>
      </c>
    </row>
    <row r="3653">
      <c r="A3653" t="n">
        <v>303</v>
      </c>
      <c r="B3653" t="inlineStr">
        <is>
          <t>Cumplimiento del cronograma de actividades de salud</t>
        </is>
      </c>
      <c r="C3653" t="inlineStr">
        <is>
          <t>Servicio de Salud</t>
        </is>
      </c>
      <c r="D3653" t="inlineStr">
        <is>
          <t>Trimestral</t>
        </is>
      </c>
      <c r="E3653" t="inlineStr">
        <is>
          <t>Positivo</t>
        </is>
      </c>
      <c r="F3653" s="105" t="n">
        <v>46022</v>
      </c>
      <c r="G3653" t="inlineStr">
        <is>
          <t>303-2025-12-31</t>
        </is>
      </c>
      <c r="H3653" t="inlineStr">
        <is>
          <t>Virtual</t>
        </is>
      </c>
      <c r="I3653" t="n">
        <v>95</v>
      </c>
      <c r="J3653" t="n">
        <v>100</v>
      </c>
      <c r="BK3653" t="n">
        <v>18</v>
      </c>
      <c r="BL3653" t="n">
        <v>18</v>
      </c>
    </row>
    <row r="3654">
      <c r="A3654" t="n">
        <v>362</v>
      </c>
      <c r="B3654" t="inlineStr">
        <is>
          <t>Aseguramiento de matricula académica presencial</t>
        </is>
      </c>
      <c r="C3654" t="inlineStr">
        <is>
          <t>Operaciones Académicas</t>
        </is>
      </c>
      <c r="D3654" t="inlineStr">
        <is>
          <t>Trimestral</t>
        </is>
      </c>
      <c r="E3654" t="inlineStr">
        <is>
          <t>Positivo</t>
        </is>
      </c>
      <c r="F3654" s="105" t="n">
        <v>46022</v>
      </c>
      <c r="G3654" t="inlineStr">
        <is>
          <t>362-2025-12-31</t>
        </is>
      </c>
      <c r="H3654" t="inlineStr">
        <is>
          <t>Pregrado Presencial</t>
        </is>
      </c>
      <c r="I3654" t="n">
        <v>98</v>
      </c>
      <c r="J3654" t="n">
        <v>99.83000183105469</v>
      </c>
      <c r="CU3654" t="n">
        <v>8116</v>
      </c>
      <c r="CV3654" t="n">
        <v>8130</v>
      </c>
    </row>
    <row r="3655">
      <c r="A3655" t="n">
        <v>362</v>
      </c>
      <c r="B3655" t="inlineStr">
        <is>
          <t>Aseguramiento de matricula académica presencial</t>
        </is>
      </c>
      <c r="C3655" t="inlineStr">
        <is>
          <t>Operaciones Académicas</t>
        </is>
      </c>
      <c r="D3655" t="inlineStr">
        <is>
          <t>Trimestral</t>
        </is>
      </c>
      <c r="E3655" t="inlineStr">
        <is>
          <t>Positivo</t>
        </is>
      </c>
      <c r="F3655" s="105" t="n">
        <v>46022</v>
      </c>
      <c r="G3655" t="inlineStr">
        <is>
          <t>362-2025-12-31</t>
        </is>
      </c>
      <c r="H3655" t="inlineStr">
        <is>
          <t>Posgrado Presencial</t>
        </is>
      </c>
      <c r="I3655" t="n">
        <v>98</v>
      </c>
      <c r="J3655" t="n">
        <v>98.01999664306641</v>
      </c>
      <c r="CU3655" t="n">
        <v>593</v>
      </c>
      <c r="CV3655" t="n">
        <v>605</v>
      </c>
    </row>
    <row r="3656">
      <c r="A3656" t="n">
        <v>369</v>
      </c>
      <c r="B3656" t="inlineStr">
        <is>
          <t>Participación de POLI- voluntariados (Estudiantes- Colaboradores)</t>
        </is>
      </c>
      <c r="C3656" t="inlineStr">
        <is>
          <t>Gestión de la Responsabilidad Social</t>
        </is>
      </c>
      <c r="D3656" t="inlineStr">
        <is>
          <t>Trimestral</t>
        </is>
      </c>
      <c r="E3656" t="inlineStr">
        <is>
          <t>Positivo</t>
        </is>
      </c>
      <c r="F3656" s="105" t="n">
        <v>46022</v>
      </c>
      <c r="G3656" t="inlineStr">
        <is>
          <t>369-2025-12-31</t>
        </is>
      </c>
      <c r="H3656" t="inlineStr">
        <is>
          <t>Estudiantes</t>
        </is>
      </c>
      <c r="I3656" t="n">
        <v>100</v>
      </c>
      <c r="J3656" t="n">
        <v>95.91999816894531</v>
      </c>
      <c r="BM3656" t="n">
        <v>94</v>
      </c>
      <c r="BN3656" t="n">
        <v>98</v>
      </c>
    </row>
    <row r="3657">
      <c r="A3657" t="n">
        <v>369</v>
      </c>
      <c r="B3657" t="inlineStr">
        <is>
          <t>Participación de POLI- voluntariados (Estudiantes- Colaboradores)</t>
        </is>
      </c>
      <c r="C3657" t="inlineStr">
        <is>
          <t>Gestión de la Responsabilidad Social</t>
        </is>
      </c>
      <c r="D3657" t="inlineStr">
        <is>
          <t>Trimestral</t>
        </is>
      </c>
      <c r="E3657" t="inlineStr">
        <is>
          <t>Positivo</t>
        </is>
      </c>
      <c r="F3657" s="105" t="n">
        <v>46022</v>
      </c>
      <c r="G3657" t="inlineStr">
        <is>
          <t>369-2025-12-31</t>
        </is>
      </c>
      <c r="H3657" t="inlineStr">
        <is>
          <t>Colaboradores</t>
        </is>
      </c>
      <c r="I3657" t="n">
        <v>100</v>
      </c>
      <c r="J3657" t="n">
        <v>218.1799926757812</v>
      </c>
      <c r="BM3657" t="n">
        <v>24</v>
      </c>
      <c r="BN3657" t="n">
        <v>11</v>
      </c>
    </row>
    <row r="3658">
      <c r="A3658" t="n">
        <v>375</v>
      </c>
      <c r="B3658" t="inlineStr">
        <is>
          <t>Disponibilidad de catálogo de asignaturas pregrado y posgrado presencial</t>
        </is>
      </c>
      <c r="C3658" t="inlineStr">
        <is>
          <t>Operaciones Académicas</t>
        </is>
      </c>
      <c r="D3658" t="inlineStr">
        <is>
          <t>Trimestral</t>
        </is>
      </c>
      <c r="E3658" t="inlineStr">
        <is>
          <t>Positivo</t>
        </is>
      </c>
      <c r="F3658" s="105" t="n">
        <v>46022</v>
      </c>
      <c r="G3658" t="inlineStr">
        <is>
          <t>375-2025-12-31</t>
        </is>
      </c>
      <c r="H3658" t="inlineStr">
        <is>
          <t>Pregrado Presencial</t>
        </is>
      </c>
      <c r="I3658" t="n">
        <v>100</v>
      </c>
      <c r="J3658" t="n">
        <v>100</v>
      </c>
      <c r="CW3658" t="n">
        <v>829</v>
      </c>
      <c r="CX3658" t="n">
        <v>829</v>
      </c>
    </row>
    <row r="3659">
      <c r="A3659" t="n">
        <v>375</v>
      </c>
      <c r="B3659" t="inlineStr">
        <is>
          <t>Disponibilidad de catálogo de asignaturas pregrado y posgrado presencial</t>
        </is>
      </c>
      <c r="C3659" t="inlineStr">
        <is>
          <t>Operaciones Académicas</t>
        </is>
      </c>
      <c r="D3659" t="inlineStr">
        <is>
          <t>Trimestral</t>
        </is>
      </c>
      <c r="E3659" t="inlineStr">
        <is>
          <t>Positivo</t>
        </is>
      </c>
      <c r="F3659" s="105" t="n">
        <v>46022</v>
      </c>
      <c r="G3659" t="inlineStr">
        <is>
          <t>375-2025-12-31</t>
        </is>
      </c>
      <c r="H3659" t="inlineStr">
        <is>
          <t>Posgrado Presencial</t>
        </is>
      </c>
      <c r="I3659" t="n">
        <v>100</v>
      </c>
      <c r="J3659" t="n">
        <v>100</v>
      </c>
      <c r="CW3659" t="n">
        <v>364</v>
      </c>
      <c r="CX3659" t="n">
        <v>364</v>
      </c>
    </row>
    <row r="3660">
      <c r="A3660" t="n">
        <v>386</v>
      </c>
      <c r="B3660" t="inlineStr">
        <is>
          <t>Cumplimiento Meta comercial Educación para toda la vida por linea</t>
        </is>
      </c>
      <c r="C3660" t="inlineStr">
        <is>
          <t>Mercadeo y venta de educación para la vida</t>
        </is>
      </c>
      <c r="D3660" t="inlineStr">
        <is>
          <t>Trimestral</t>
        </is>
      </c>
      <c r="E3660" t="inlineStr">
        <is>
          <t>Positivo</t>
        </is>
      </c>
      <c r="F3660" s="105" t="n">
        <v>46022</v>
      </c>
      <c r="G3660" t="inlineStr">
        <is>
          <t>386-2025-12-31</t>
        </is>
      </c>
      <c r="H3660" t="inlineStr">
        <is>
          <t>B2B</t>
        </is>
      </c>
      <c r="I3660" t="n">
        <v>100</v>
      </c>
      <c r="J3660" t="n">
        <v>106.0699996948242</v>
      </c>
      <c r="BO3660" t="n">
        <v>4342163212</v>
      </c>
      <c r="BP3660" t="n">
        <v>4093698206</v>
      </c>
    </row>
    <row r="3661">
      <c r="A3661" t="n">
        <v>386</v>
      </c>
      <c r="B3661" t="inlineStr">
        <is>
          <t>Cumplimiento Meta comercial Educación para toda la vida por linea</t>
        </is>
      </c>
      <c r="C3661" t="inlineStr">
        <is>
          <t>Mercadeo y venta de educación para la vida</t>
        </is>
      </c>
      <c r="D3661" t="inlineStr">
        <is>
          <t>Trimestral</t>
        </is>
      </c>
      <c r="E3661" t="inlineStr">
        <is>
          <t>Positivo</t>
        </is>
      </c>
      <c r="F3661" s="105" t="n">
        <v>46022</v>
      </c>
      <c r="G3661" t="inlineStr">
        <is>
          <t>386-2025-12-31</t>
        </is>
      </c>
      <c r="H3661" t="inlineStr">
        <is>
          <t>B2G</t>
        </is>
      </c>
      <c r="I3661" t="n">
        <v>100</v>
      </c>
      <c r="J3661" t="n">
        <v>89.72000122070312</v>
      </c>
      <c r="BO3661" t="n">
        <v>6848139002</v>
      </c>
      <c r="BP3661" t="n">
        <v>7633001463</v>
      </c>
    </row>
    <row r="3662">
      <c r="A3662" t="n">
        <v>386</v>
      </c>
      <c r="B3662" t="inlineStr">
        <is>
          <t>Cumplimiento Meta comercial Educación para toda la vida por linea</t>
        </is>
      </c>
      <c r="C3662" t="inlineStr">
        <is>
          <t>Mercadeo y venta de educación para la vida</t>
        </is>
      </c>
      <c r="D3662" t="inlineStr">
        <is>
          <t>Trimestral</t>
        </is>
      </c>
      <c r="E3662" t="inlineStr">
        <is>
          <t>Positivo</t>
        </is>
      </c>
      <c r="F3662" s="105" t="n">
        <v>46022</v>
      </c>
      <c r="G3662" t="inlineStr">
        <is>
          <t>386-2025-12-31</t>
        </is>
      </c>
      <c r="H3662" t="inlineStr">
        <is>
          <t>Otros ingresos (Cursos -Opciones de grado)</t>
        </is>
      </c>
      <c r="I3662" t="n">
        <v>100</v>
      </c>
      <c r="J3662" t="n">
        <v>129.3600006103516</v>
      </c>
      <c r="BO3662" t="n">
        <v>7383847983</v>
      </c>
      <c r="BP3662" t="n">
        <v>5707998802</v>
      </c>
    </row>
    <row r="3663">
      <c r="A3663" t="n">
        <v>408</v>
      </c>
      <c r="B3663" t="inlineStr">
        <is>
          <t>Programas nuevos radicados por facultad</t>
        </is>
      </c>
      <c r="C3663" t="inlineStr">
        <is>
          <t>Creación, modificación y cierre de programas académicos</t>
        </is>
      </c>
      <c r="D3663" t="inlineStr">
        <is>
          <t>Trimestral</t>
        </is>
      </c>
      <c r="E3663" t="inlineStr">
        <is>
          <t>Positivo</t>
        </is>
      </c>
      <c r="F3663" s="105" t="n">
        <v>46022</v>
      </c>
      <c r="G3663" t="inlineStr">
        <is>
          <t>408-2025-12-31</t>
        </is>
      </c>
      <c r="H3663" t="inlineStr">
        <is>
          <t>Facultad sociedad cultura y creatividad</t>
        </is>
      </c>
      <c r="I3663" t="n">
        <v>100</v>
      </c>
      <c r="J3663" t="n">
        <v>100</v>
      </c>
      <c r="BR3663" t="n">
        <v>2</v>
      </c>
      <c r="BS3663" t="n">
        <v>2</v>
      </c>
    </row>
    <row r="3664">
      <c r="A3664" t="n">
        <v>427</v>
      </c>
      <c r="B3664" t="inlineStr">
        <is>
          <t>Consumo de Agua per Cápita Semestral</t>
        </is>
      </c>
      <c r="C3664" t="inlineStr">
        <is>
          <t>GESTIÓN AMBIENTAL</t>
        </is>
      </c>
      <c r="D3664" t="inlineStr">
        <is>
          <t>Trimestral</t>
        </is>
      </c>
      <c r="E3664" t="inlineStr">
        <is>
          <t>Negativo</t>
        </is>
      </c>
      <c r="F3664" s="105" t="n">
        <v>46022</v>
      </c>
      <c r="G3664" t="inlineStr">
        <is>
          <t>427-2025-12-31</t>
        </is>
      </c>
      <c r="H3664" t="inlineStr">
        <is>
          <t>Campus Bogotá</t>
        </is>
      </c>
      <c r="I3664" t="n">
        <v>0.3</v>
      </c>
      <c r="J3664" t="n">
        <v>0.2099999934434891</v>
      </c>
      <c r="O3664" t="n">
        <v>2326</v>
      </c>
      <c r="P3664" t="n">
        <v>2279</v>
      </c>
      <c r="Q3664" t="n">
        <v>14235</v>
      </c>
      <c r="R3664" t="n">
        <v>0</v>
      </c>
      <c r="Y3664" t="n">
        <v>3900</v>
      </c>
    </row>
    <row r="3665">
      <c r="A3665" t="n">
        <v>427</v>
      </c>
      <c r="B3665" t="inlineStr">
        <is>
          <t>Consumo de Agua per Cápita Semestral</t>
        </is>
      </c>
      <c r="C3665" t="inlineStr">
        <is>
          <t>GESTIÓN AMBIENTAL</t>
        </is>
      </c>
      <c r="D3665" t="inlineStr">
        <is>
          <t>Trimestral</t>
        </is>
      </c>
      <c r="E3665" t="inlineStr">
        <is>
          <t>Negativo</t>
        </is>
      </c>
      <c r="F3665" s="105" t="n">
        <v>46022</v>
      </c>
      <c r="G3665" t="inlineStr">
        <is>
          <t>427-2025-12-31</t>
        </is>
      </c>
      <c r="H3665" t="inlineStr">
        <is>
          <t>City Campus</t>
        </is>
      </c>
      <c r="I3665" t="n">
        <v>0.15</v>
      </c>
      <c r="J3665" t="n">
        <v>0.1700000017881393</v>
      </c>
      <c r="O3665" t="n">
        <v>467</v>
      </c>
      <c r="P3665" t="n">
        <v>18</v>
      </c>
      <c r="Q3665" t="n">
        <v>8892</v>
      </c>
      <c r="R3665" t="n">
        <v>3010</v>
      </c>
      <c r="Y3665" t="n">
        <v>2069</v>
      </c>
    </row>
    <row r="3666">
      <c r="A3666" t="n">
        <v>427</v>
      </c>
      <c r="B3666" t="inlineStr">
        <is>
          <t>Consumo de Agua per Cápita Semestral</t>
        </is>
      </c>
      <c r="C3666" t="inlineStr">
        <is>
          <t>GESTIÓN AMBIENTAL</t>
        </is>
      </c>
      <c r="D3666" t="inlineStr">
        <is>
          <t>Trimestral</t>
        </is>
      </c>
      <c r="E3666" t="inlineStr">
        <is>
          <t>Negativo</t>
        </is>
      </c>
      <c r="F3666" s="105" t="n">
        <v>46022</v>
      </c>
      <c r="G3666" t="inlineStr">
        <is>
          <t>427-2025-12-31</t>
        </is>
      </c>
      <c r="H3666" t="inlineStr">
        <is>
          <t>Campus-Medellín</t>
        </is>
      </c>
      <c r="I3666" t="n">
        <v>0.1</v>
      </c>
      <c r="J3666" t="n">
        <v>0.07999999821186066</v>
      </c>
      <c r="O3666" t="n">
        <v>355</v>
      </c>
      <c r="P3666" t="n">
        <v>853</v>
      </c>
      <c r="Q3666" t="n">
        <v>10724</v>
      </c>
      <c r="R3666" t="n">
        <v>144</v>
      </c>
      <c r="Y3666" t="n">
        <v>988</v>
      </c>
    </row>
    <row r="3667">
      <c r="A3667" t="n">
        <v>427</v>
      </c>
      <c r="B3667" t="inlineStr">
        <is>
          <t>Consumo de Agua per Cápita Semestral</t>
        </is>
      </c>
      <c r="C3667" t="inlineStr">
        <is>
          <t>GESTIÓN AMBIENTAL</t>
        </is>
      </c>
      <c r="D3667" t="inlineStr">
        <is>
          <t>Trimestral</t>
        </is>
      </c>
      <c r="E3667" t="inlineStr">
        <is>
          <t>Negativo</t>
        </is>
      </c>
      <c r="F3667" s="105" t="n">
        <v>46022</v>
      </c>
      <c r="G3667" t="inlineStr">
        <is>
          <t>427-2025-12-31</t>
        </is>
      </c>
      <c r="H3667" t="inlineStr">
        <is>
          <t>Sede Bienestar - Medellín</t>
        </is>
      </c>
      <c r="I3667" t="n">
        <v>0.2</v>
      </c>
      <c r="J3667" t="n">
        <v>0</v>
      </c>
      <c r="O3667" t="n">
        <v>36</v>
      </c>
      <c r="P3667" t="n">
        <v>30</v>
      </c>
      <c r="Q3667" t="n">
        <v>3402</v>
      </c>
      <c r="R3667" t="n">
        <v>0</v>
      </c>
      <c r="Y3667" t="n">
        <v>0</v>
      </c>
    </row>
    <row r="3668">
      <c r="A3668" t="n">
        <v>427</v>
      </c>
      <c r="B3668" t="inlineStr">
        <is>
          <t>Consumo de Agua per Cápita Semestral</t>
        </is>
      </c>
      <c r="C3668" t="inlineStr">
        <is>
          <t>GESTIÓN AMBIENTAL</t>
        </is>
      </c>
      <c r="D3668" t="inlineStr">
        <is>
          <t>Trimestral</t>
        </is>
      </c>
      <c r="E3668" t="inlineStr">
        <is>
          <t>Negativo</t>
        </is>
      </c>
      <c r="F3668" s="105" t="n">
        <v>46022</v>
      </c>
      <c r="G3668" t="inlineStr">
        <is>
          <t>427-2025-12-31</t>
        </is>
      </c>
      <c r="H3668" t="inlineStr">
        <is>
          <t>Consultorio Psicología - Medellin</t>
        </is>
      </c>
      <c r="I3668" t="n">
        <v>0.2</v>
      </c>
      <c r="J3668" t="n">
        <v>1.720000028610229</v>
      </c>
      <c r="O3668" t="n">
        <v>12</v>
      </c>
      <c r="P3668" t="n">
        <v>10</v>
      </c>
      <c r="Q3668" t="n">
        <v>36</v>
      </c>
      <c r="R3668" t="n">
        <v>0</v>
      </c>
      <c r="Y3668" t="n">
        <v>100</v>
      </c>
    </row>
    <row r="3669">
      <c r="A3669" t="n">
        <v>427</v>
      </c>
      <c r="B3669" t="inlineStr">
        <is>
          <t>Consumo de Agua per Cápita Semestral</t>
        </is>
      </c>
      <c r="C3669" t="inlineStr">
        <is>
          <t>GESTIÓN AMBIENTAL</t>
        </is>
      </c>
      <c r="D3669" t="inlineStr">
        <is>
          <t>Trimestral</t>
        </is>
      </c>
      <c r="E3669" t="inlineStr">
        <is>
          <t>Negativo</t>
        </is>
      </c>
      <c r="F3669" s="105" t="n">
        <v>46022</v>
      </c>
      <c r="G3669" t="inlineStr">
        <is>
          <t>427-2025-12-31</t>
        </is>
      </c>
      <c r="H3669" t="inlineStr">
        <is>
          <t>Sede Posgrado-Calle 85</t>
        </is>
      </c>
      <c r="I3669" t="n">
        <v>0.2</v>
      </c>
      <c r="J3669" t="n">
        <v>0.2099999934434891</v>
      </c>
      <c r="O3669" t="n">
        <v>51</v>
      </c>
      <c r="P3669" t="n">
        <v>38</v>
      </c>
      <c r="Q3669" t="n">
        <v>135</v>
      </c>
      <c r="R3669" t="n">
        <v>0</v>
      </c>
      <c r="Y3669" t="n">
        <v>46</v>
      </c>
    </row>
    <row r="3670">
      <c r="A3670" t="n">
        <v>428</v>
      </c>
      <c r="B3670" t="inlineStr">
        <is>
          <t>Consumo de Energía Eléctrica per Cápita Semestral</t>
        </is>
      </c>
      <c r="C3670" t="inlineStr">
        <is>
          <t>GESTIÓN AMBIENTAL</t>
        </is>
      </c>
      <c r="D3670" t="inlineStr">
        <is>
          <t>Trimestral</t>
        </is>
      </c>
      <c r="E3670" t="inlineStr">
        <is>
          <t>Negativo</t>
        </is>
      </c>
      <c r="F3670" s="105" t="n">
        <v>46022</v>
      </c>
      <c r="G3670" t="inlineStr">
        <is>
          <t>428-2025-12-31</t>
        </is>
      </c>
      <c r="H3670" t="inlineStr">
        <is>
          <t>Campus Bogotá</t>
        </is>
      </c>
      <c r="I3670" t="n">
        <v>22</v>
      </c>
      <c r="J3670" t="n">
        <v>20.64999961853027</v>
      </c>
      <c r="O3670" t="n">
        <v>2326</v>
      </c>
      <c r="P3670" t="n">
        <v>2279</v>
      </c>
      <c r="Q3670" t="n">
        <v>14235</v>
      </c>
      <c r="R3670" t="n">
        <v>0</v>
      </c>
      <c r="W3670" t="n">
        <v>389075.4</v>
      </c>
    </row>
    <row r="3671">
      <c r="A3671" t="n">
        <v>428</v>
      </c>
      <c r="B3671" t="inlineStr">
        <is>
          <t>Consumo de Energía Eléctrica per Cápita Semestral</t>
        </is>
      </c>
      <c r="C3671" t="inlineStr">
        <is>
          <t>GESTIÓN AMBIENTAL</t>
        </is>
      </c>
      <c r="D3671" t="inlineStr">
        <is>
          <t>Trimestral</t>
        </is>
      </c>
      <c r="E3671" t="inlineStr">
        <is>
          <t>Negativo</t>
        </is>
      </c>
      <c r="F3671" s="105" t="n">
        <v>46022</v>
      </c>
      <c r="G3671" t="inlineStr">
        <is>
          <t>428-2025-12-31</t>
        </is>
      </c>
      <c r="H3671" t="inlineStr">
        <is>
          <t>City Campus</t>
        </is>
      </c>
      <c r="I3671" t="n">
        <v>25</v>
      </c>
      <c r="J3671" t="n">
        <v>21.44000053405762</v>
      </c>
      <c r="O3671" t="n">
        <v>467</v>
      </c>
      <c r="P3671" t="n">
        <v>18</v>
      </c>
      <c r="Q3671" t="n">
        <v>8892</v>
      </c>
      <c r="R3671" t="n">
        <v>3010</v>
      </c>
      <c r="W3671" t="n">
        <v>265619</v>
      </c>
    </row>
    <row r="3672">
      <c r="A3672" t="n">
        <v>428</v>
      </c>
      <c r="B3672" t="inlineStr">
        <is>
          <t>Consumo de Energía Eléctrica per Cápita Semestral</t>
        </is>
      </c>
      <c r="C3672" t="inlineStr">
        <is>
          <t>GESTIÓN AMBIENTAL</t>
        </is>
      </c>
      <c r="D3672" t="inlineStr">
        <is>
          <t>Trimestral</t>
        </is>
      </c>
      <c r="E3672" t="inlineStr">
        <is>
          <t>Negativo</t>
        </is>
      </c>
      <c r="F3672" s="105" t="n">
        <v>46022</v>
      </c>
      <c r="G3672" t="inlineStr">
        <is>
          <t>428-2025-12-31</t>
        </is>
      </c>
      <c r="H3672" t="inlineStr">
        <is>
          <t>Campus-Medellín</t>
        </is>
      </c>
      <c r="I3672" t="n">
        <v>11</v>
      </c>
      <c r="J3672" t="n">
        <v>8.630000114440918</v>
      </c>
      <c r="O3672" t="n">
        <v>355</v>
      </c>
      <c r="P3672" t="n">
        <v>853</v>
      </c>
      <c r="Q3672" t="n">
        <v>10724</v>
      </c>
      <c r="R3672" t="n">
        <v>144</v>
      </c>
      <c r="W3672" t="n">
        <v>104194</v>
      </c>
    </row>
    <row r="3673">
      <c r="A3673" t="n">
        <v>428</v>
      </c>
      <c r="B3673" t="inlineStr">
        <is>
          <t>Consumo de Energía Eléctrica per Cápita Semestral</t>
        </is>
      </c>
      <c r="C3673" t="inlineStr">
        <is>
          <t>GESTIÓN AMBIENTAL</t>
        </is>
      </c>
      <c r="D3673" t="inlineStr">
        <is>
          <t>Trimestral</t>
        </is>
      </c>
      <c r="E3673" t="inlineStr">
        <is>
          <t>Negativo</t>
        </is>
      </c>
      <c r="F3673" s="105" t="n">
        <v>46022</v>
      </c>
      <c r="G3673" t="inlineStr">
        <is>
          <t>428-2025-12-31</t>
        </is>
      </c>
      <c r="H3673" t="inlineStr">
        <is>
          <t>Sede Bienestar - Medellín</t>
        </is>
      </c>
      <c r="I3673" t="n">
        <v>7</v>
      </c>
      <c r="J3673" t="n">
        <v>12.01000022888184</v>
      </c>
      <c r="O3673" t="n">
        <v>36</v>
      </c>
      <c r="P3673" t="n">
        <v>30</v>
      </c>
      <c r="Q3673" t="n">
        <v>3402</v>
      </c>
      <c r="R3673" t="n">
        <v>0</v>
      </c>
      <c r="W3673" t="n">
        <v>41640</v>
      </c>
    </row>
    <row r="3674">
      <c r="A3674" t="n">
        <v>428</v>
      </c>
      <c r="B3674" t="inlineStr">
        <is>
          <t>Consumo de Energía Eléctrica per Cápita Semestral</t>
        </is>
      </c>
      <c r="C3674" t="inlineStr">
        <is>
          <t>GESTIÓN AMBIENTAL</t>
        </is>
      </c>
      <c r="D3674" t="inlineStr">
        <is>
          <t>Trimestral</t>
        </is>
      </c>
      <c r="E3674" t="inlineStr">
        <is>
          <t>Negativo</t>
        </is>
      </c>
      <c r="F3674" s="105" t="n">
        <v>46022</v>
      </c>
      <c r="G3674" t="inlineStr">
        <is>
          <t>428-2025-12-31</t>
        </is>
      </c>
      <c r="H3674" t="inlineStr">
        <is>
          <t>Consultorio Psicología - Medellin</t>
        </is>
      </c>
      <c r="I3674" t="n">
        <v>1</v>
      </c>
      <c r="J3674" t="n">
        <v>254.9700012207031</v>
      </c>
      <c r="O3674" t="n">
        <v>12</v>
      </c>
      <c r="P3674" t="n">
        <v>10</v>
      </c>
      <c r="Q3674" t="n">
        <v>36</v>
      </c>
      <c r="R3674" t="n">
        <v>0</v>
      </c>
      <c r="W3674" t="n">
        <v>14788</v>
      </c>
    </row>
    <row r="3675">
      <c r="A3675" t="n">
        <v>428</v>
      </c>
      <c r="B3675" t="inlineStr">
        <is>
          <t>Consumo de Energía Eléctrica per Cápita Semestral</t>
        </is>
      </c>
      <c r="C3675" t="inlineStr">
        <is>
          <t>GESTIÓN AMBIENTAL</t>
        </is>
      </c>
      <c r="D3675" t="inlineStr">
        <is>
          <t>Trimestral</t>
        </is>
      </c>
      <c r="E3675" t="inlineStr">
        <is>
          <t>Negativo</t>
        </is>
      </c>
      <c r="F3675" s="105" t="n">
        <v>46022</v>
      </c>
      <c r="G3675" t="inlineStr">
        <is>
          <t>428-2025-12-31</t>
        </is>
      </c>
      <c r="H3675" t="inlineStr">
        <is>
          <t>Sede Posgrado-Calle 85</t>
        </is>
      </c>
      <c r="I3675" t="n">
        <v>1</v>
      </c>
      <c r="J3675" t="n">
        <v>116.5199966430664</v>
      </c>
      <c r="O3675" t="n">
        <v>51</v>
      </c>
      <c r="P3675" t="n">
        <v>38</v>
      </c>
      <c r="Q3675" t="n">
        <v>135</v>
      </c>
      <c r="R3675" t="n">
        <v>0</v>
      </c>
      <c r="W3675" t="n">
        <v>26100</v>
      </c>
    </row>
    <row r="3676">
      <c r="A3676" t="n">
        <v>429</v>
      </c>
      <c r="B3676" t="inlineStr">
        <is>
          <t>Generación de Residuos Sólidos per Cápita Semestral</t>
        </is>
      </c>
      <c r="C3676" t="inlineStr">
        <is>
          <t>GESTIÓN AMBIENTAL</t>
        </is>
      </c>
      <c r="D3676" t="inlineStr">
        <is>
          <t>Trimestral</t>
        </is>
      </c>
      <c r="E3676" t="inlineStr">
        <is>
          <t>Negativo</t>
        </is>
      </c>
      <c r="F3676" s="105" t="n">
        <v>46022</v>
      </c>
      <c r="G3676" t="inlineStr">
        <is>
          <t>429-2025-12-31</t>
        </is>
      </c>
      <c r="H3676" t="inlineStr">
        <is>
          <t>Campus Bogotá</t>
        </is>
      </c>
      <c r="I3676" t="n">
        <v>0.4</v>
      </c>
      <c r="J3676" t="n">
        <v>0.6299999952316284</v>
      </c>
      <c r="O3676" t="n">
        <v>2326</v>
      </c>
      <c r="P3676" t="n">
        <v>2279</v>
      </c>
      <c r="Q3676" t="n">
        <v>14235</v>
      </c>
      <c r="R3676" t="n">
        <v>0</v>
      </c>
      <c r="AA3676" t="n">
        <v>2018.94</v>
      </c>
      <c r="AB3676" t="n">
        <v>9890.93</v>
      </c>
    </row>
    <row r="3677">
      <c r="A3677" t="n">
        <v>429</v>
      </c>
      <c r="B3677" t="inlineStr">
        <is>
          <t>Generación de Residuos Sólidos per Cápita Semestral</t>
        </is>
      </c>
      <c r="C3677" t="inlineStr">
        <is>
          <t>GESTIÓN AMBIENTAL</t>
        </is>
      </c>
      <c r="D3677" t="inlineStr">
        <is>
          <t>Trimestral</t>
        </is>
      </c>
      <c r="E3677" t="inlineStr">
        <is>
          <t>Negativo</t>
        </is>
      </c>
      <c r="F3677" s="105" t="n">
        <v>46022</v>
      </c>
      <c r="G3677" t="inlineStr">
        <is>
          <t>429-2025-12-31</t>
        </is>
      </c>
      <c r="H3677" t="inlineStr">
        <is>
          <t>City Campus</t>
        </is>
      </c>
      <c r="I3677" t="n">
        <v>0.38</v>
      </c>
      <c r="J3677" t="n">
        <v>0.4799999892711639</v>
      </c>
      <c r="O3677" t="n">
        <v>467</v>
      </c>
      <c r="P3677" t="n">
        <v>18</v>
      </c>
      <c r="Q3677" t="n">
        <v>8892</v>
      </c>
      <c r="R3677" t="n">
        <v>3010</v>
      </c>
      <c r="AA3677" t="n">
        <v>1275.36</v>
      </c>
      <c r="AB3677" t="n">
        <v>4715.1</v>
      </c>
    </row>
    <row r="3678">
      <c r="A3678" t="n">
        <v>429</v>
      </c>
      <c r="B3678" t="inlineStr">
        <is>
          <t>Generación de Residuos Sólidos per Cápita Semestral</t>
        </is>
      </c>
      <c r="C3678" t="inlineStr">
        <is>
          <t>GESTIÓN AMBIENTAL</t>
        </is>
      </c>
      <c r="D3678" t="inlineStr">
        <is>
          <t>Trimestral</t>
        </is>
      </c>
      <c r="E3678" t="inlineStr">
        <is>
          <t>Negativo</t>
        </is>
      </c>
      <c r="F3678" s="105" t="n">
        <v>46022</v>
      </c>
      <c r="G3678" t="inlineStr">
        <is>
          <t>429-2025-12-31</t>
        </is>
      </c>
      <c r="H3678" t="inlineStr">
        <is>
          <t>Sede Posgrado-Calle 85</t>
        </is>
      </c>
      <c r="I3678" t="n">
        <v>0.76</v>
      </c>
      <c r="J3678" t="n">
        <v>1.139999985694885</v>
      </c>
      <c r="O3678" t="n">
        <v>51</v>
      </c>
      <c r="P3678" t="n">
        <v>38</v>
      </c>
      <c r="Q3678" t="n">
        <v>135</v>
      </c>
      <c r="R3678" t="n">
        <v>0</v>
      </c>
      <c r="AA3678" t="n">
        <v>71.38</v>
      </c>
      <c r="AB3678" t="n">
        <v>183.01</v>
      </c>
    </row>
    <row r="3679">
      <c r="A3679" t="n">
        <v>429</v>
      </c>
      <c r="B3679" t="inlineStr">
        <is>
          <t>Generación de Residuos Sólidos per Cápita Semestral</t>
        </is>
      </c>
      <c r="C3679" t="inlineStr">
        <is>
          <t>GESTIÓN AMBIENTAL</t>
        </is>
      </c>
      <c r="D3679" t="inlineStr">
        <is>
          <t>Trimestral</t>
        </is>
      </c>
      <c r="E3679" t="inlineStr">
        <is>
          <t>Negativo</t>
        </is>
      </c>
      <c r="F3679" s="105" t="n">
        <v>46022</v>
      </c>
      <c r="G3679" t="inlineStr">
        <is>
          <t>429-2025-12-31</t>
        </is>
      </c>
      <c r="H3679" t="inlineStr">
        <is>
          <t>Campus-Medellín</t>
        </is>
      </c>
      <c r="I3679" t="n">
        <v>0.41</v>
      </c>
      <c r="J3679" t="n">
        <v>0.4199999868869781</v>
      </c>
      <c r="O3679" t="n">
        <v>355</v>
      </c>
      <c r="P3679" t="n">
        <v>853</v>
      </c>
      <c r="Q3679" t="n">
        <v>10724</v>
      </c>
      <c r="R3679" t="n">
        <v>144</v>
      </c>
      <c r="AA3679" t="n">
        <v>320.08</v>
      </c>
      <c r="AB3679" t="n">
        <v>4809.46</v>
      </c>
    </row>
    <row r="3680">
      <c r="A3680" t="n">
        <v>429</v>
      </c>
      <c r="B3680" t="inlineStr">
        <is>
          <t>Generación de Residuos Sólidos per Cápita Semestral</t>
        </is>
      </c>
      <c r="C3680" t="inlineStr">
        <is>
          <t>GESTIÓN AMBIENTAL</t>
        </is>
      </c>
      <c r="D3680" t="inlineStr">
        <is>
          <t>Trimestral</t>
        </is>
      </c>
      <c r="E3680" t="inlineStr">
        <is>
          <t>Negativo</t>
        </is>
      </c>
      <c r="F3680" s="105" t="n">
        <v>46022</v>
      </c>
      <c r="G3680" t="inlineStr">
        <is>
          <t>429-2025-12-31</t>
        </is>
      </c>
      <c r="H3680" t="inlineStr">
        <is>
          <t>Sede Bienestar - Medellín</t>
        </is>
      </c>
      <c r="I3680" t="n">
        <v>0.76</v>
      </c>
      <c r="J3680" t="n">
        <v>0.25</v>
      </c>
      <c r="O3680" t="n">
        <v>36</v>
      </c>
      <c r="P3680" t="n">
        <v>30</v>
      </c>
      <c r="Q3680" t="n">
        <v>3402</v>
      </c>
      <c r="R3680" t="n">
        <v>0</v>
      </c>
      <c r="AA3680" t="n">
        <v>101.67</v>
      </c>
      <c r="AB3680" t="n">
        <v>760.65</v>
      </c>
    </row>
    <row r="3681">
      <c r="A3681" t="n">
        <v>429</v>
      </c>
      <c r="B3681" t="inlineStr">
        <is>
          <t>Generación de Residuos Sólidos per Cápita Semestral</t>
        </is>
      </c>
      <c r="C3681" t="inlineStr">
        <is>
          <t>GESTIÓN AMBIENTAL</t>
        </is>
      </c>
      <c r="D3681" t="inlineStr">
        <is>
          <t>Trimestral</t>
        </is>
      </c>
      <c r="E3681" t="inlineStr">
        <is>
          <t>Negativo</t>
        </is>
      </c>
      <c r="F3681" s="105" t="n">
        <v>46022</v>
      </c>
      <c r="G3681" t="inlineStr">
        <is>
          <t>429-2025-12-31</t>
        </is>
      </c>
      <c r="H3681" t="inlineStr">
        <is>
          <t>Consultorio Psicología - Medellin</t>
        </is>
      </c>
      <c r="I3681" t="n">
        <v>0.76</v>
      </c>
      <c r="J3681" t="n">
        <v>3.200000047683716</v>
      </c>
      <c r="O3681" t="n">
        <v>12</v>
      </c>
      <c r="P3681" t="n">
        <v>10</v>
      </c>
      <c r="Q3681" t="n">
        <v>36</v>
      </c>
      <c r="R3681" t="n">
        <v>0</v>
      </c>
      <c r="AA3681" t="n">
        <v>55.85</v>
      </c>
      <c r="AB3681" t="n">
        <v>129.98</v>
      </c>
    </row>
    <row r="3682">
      <c r="A3682" t="n">
        <v>430</v>
      </c>
      <c r="B3682" t="inlineStr">
        <is>
          <t>Cumplimiento ingresos por matriculas</t>
        </is>
      </c>
      <c r="C3682" t="inlineStr">
        <is>
          <t>Planeación Financiera</t>
        </is>
      </c>
      <c r="D3682" t="inlineStr">
        <is>
          <t>Trimestral</t>
        </is>
      </c>
      <c r="E3682" t="inlineStr">
        <is>
          <t>Positivo</t>
        </is>
      </c>
      <c r="F3682" s="105" t="n">
        <v>46022</v>
      </c>
      <c r="G3682" t="inlineStr">
        <is>
          <t>430-2025-12-31</t>
        </is>
      </c>
      <c r="H3682" t="inlineStr">
        <is>
          <t>Nuevos presencial</t>
        </is>
      </c>
      <c r="I3682" t="n">
        <v>95</v>
      </c>
      <c r="J3682" t="n">
        <v>111.6399993896484</v>
      </c>
      <c r="BT3682" t="n">
        <v>5077859383</v>
      </c>
      <c r="BU3682" t="n">
        <v>5668747521</v>
      </c>
    </row>
    <row r="3683">
      <c r="A3683" t="n">
        <v>430</v>
      </c>
      <c r="B3683" t="inlineStr">
        <is>
          <t>Cumplimiento ingresos por matriculas</t>
        </is>
      </c>
      <c r="C3683" t="inlineStr">
        <is>
          <t>Planeación Financiera</t>
        </is>
      </c>
      <c r="D3683" t="inlineStr">
        <is>
          <t>Trimestral</t>
        </is>
      </c>
      <c r="E3683" t="inlineStr">
        <is>
          <t>Positivo</t>
        </is>
      </c>
      <c r="F3683" s="105" t="n">
        <v>46022</v>
      </c>
      <c r="G3683" t="inlineStr">
        <is>
          <t>430-2025-12-31</t>
        </is>
      </c>
      <c r="H3683" t="inlineStr">
        <is>
          <t>Nuevos Virtual</t>
        </is>
      </c>
      <c r="I3683" t="n">
        <v>95</v>
      </c>
      <c r="J3683" t="n">
        <v>101.4899978637695</v>
      </c>
      <c r="BT3683" t="n">
        <v>20968626250</v>
      </c>
      <c r="BU3683" t="n">
        <v>21280774206</v>
      </c>
    </row>
    <row r="3684">
      <c r="A3684" t="n">
        <v>430</v>
      </c>
      <c r="B3684" t="inlineStr">
        <is>
          <t>Cumplimiento ingresos por matriculas</t>
        </is>
      </c>
      <c r="C3684" t="inlineStr">
        <is>
          <t>Planeación Financiera</t>
        </is>
      </c>
      <c r="D3684" t="inlineStr">
        <is>
          <t>Trimestral</t>
        </is>
      </c>
      <c r="E3684" t="inlineStr">
        <is>
          <t>Positivo</t>
        </is>
      </c>
      <c r="F3684" s="105" t="n">
        <v>46022</v>
      </c>
      <c r="G3684" t="inlineStr">
        <is>
          <t>430-2025-12-31</t>
        </is>
      </c>
      <c r="H3684" t="inlineStr">
        <is>
          <t>Antiguos Virtual</t>
        </is>
      </c>
      <c r="I3684" t="n">
        <v>95</v>
      </c>
      <c r="J3684" t="n">
        <v>118.4300003051758</v>
      </c>
      <c r="BT3684" t="n">
        <v>81061892240</v>
      </c>
      <c r="BU3684" t="n">
        <v>96004377074</v>
      </c>
    </row>
    <row r="3685">
      <c r="A3685" t="n">
        <v>430</v>
      </c>
      <c r="B3685" t="inlineStr">
        <is>
          <t>Cumplimiento ingresos por matriculas</t>
        </is>
      </c>
      <c r="C3685" t="inlineStr">
        <is>
          <t>Planeación Financiera</t>
        </is>
      </c>
      <c r="D3685" t="inlineStr">
        <is>
          <t>Trimestral</t>
        </is>
      </c>
      <c r="E3685" t="inlineStr">
        <is>
          <t>Positivo</t>
        </is>
      </c>
      <c r="F3685" s="105" t="n">
        <v>46022</v>
      </c>
      <c r="G3685" t="inlineStr">
        <is>
          <t>430-2025-12-31</t>
        </is>
      </c>
      <c r="H3685" t="inlineStr">
        <is>
          <t>Antiguos Presencial</t>
        </is>
      </c>
      <c r="I3685" t="n">
        <v>95</v>
      </c>
      <c r="J3685" t="n">
        <v>102.5199966430664</v>
      </c>
      <c r="BT3685" t="n">
        <v>35199212763</v>
      </c>
      <c r="BU3685" t="n">
        <v>36085084526</v>
      </c>
    </row>
    <row r="3686">
      <c r="A3686" t="n">
        <v>433</v>
      </c>
      <c r="B3686" t="inlineStr">
        <is>
          <t>Generación de Residuos Peligrosos per Cápita Semestral</t>
        </is>
      </c>
      <c r="C3686" t="inlineStr">
        <is>
          <t>GESTIÓN AMBIENTAL</t>
        </is>
      </c>
      <c r="D3686" t="inlineStr">
        <is>
          <t>Trimestral</t>
        </is>
      </c>
      <c r="E3686" t="inlineStr">
        <is>
          <t>Negativo</t>
        </is>
      </c>
      <c r="F3686" s="105" t="n">
        <v>46022</v>
      </c>
      <c r="G3686" t="inlineStr">
        <is>
          <t>433-2025-12-31</t>
        </is>
      </c>
      <c r="H3686" t="inlineStr">
        <is>
          <t>Campus Bogotá</t>
        </is>
      </c>
      <c r="I3686" t="n">
        <v>0.1</v>
      </c>
      <c r="J3686" t="n">
        <v>0.3700000047683716</v>
      </c>
      <c r="O3686" t="n">
        <v>2326</v>
      </c>
      <c r="P3686" t="n">
        <v>2279</v>
      </c>
      <c r="Q3686" t="n">
        <v>14235</v>
      </c>
      <c r="R3686" t="n">
        <v>0</v>
      </c>
      <c r="BV3686" t="n">
        <v>7056.86</v>
      </c>
    </row>
    <row r="3687">
      <c r="A3687" t="n">
        <v>433</v>
      </c>
      <c r="B3687" t="inlineStr">
        <is>
          <t>Generación de Residuos Peligrosos per Cápita Semestral</t>
        </is>
      </c>
      <c r="C3687" t="inlineStr">
        <is>
          <t>GESTIÓN AMBIENTAL</t>
        </is>
      </c>
      <c r="D3687" t="inlineStr">
        <is>
          <t>Trimestral</t>
        </is>
      </c>
      <c r="E3687" t="inlineStr">
        <is>
          <t>Negativo</t>
        </is>
      </c>
      <c r="F3687" s="105" t="n">
        <v>46022</v>
      </c>
      <c r="G3687" t="inlineStr">
        <is>
          <t>433-2025-12-31</t>
        </is>
      </c>
      <c r="H3687" t="inlineStr">
        <is>
          <t>City Campus</t>
        </is>
      </c>
      <c r="I3687" t="n">
        <v>0.05</v>
      </c>
      <c r="J3687" t="n">
        <v>0.02999999932944775</v>
      </c>
      <c r="O3687" t="n">
        <v>467</v>
      </c>
      <c r="P3687" t="n">
        <v>18</v>
      </c>
      <c r="Q3687" t="n">
        <v>8892</v>
      </c>
      <c r="R3687" t="n">
        <v>3010</v>
      </c>
      <c r="BV3687" t="n">
        <v>334.53</v>
      </c>
    </row>
    <row r="3688">
      <c r="A3688" t="n">
        <v>433</v>
      </c>
      <c r="B3688" t="inlineStr">
        <is>
          <t>Generación de Residuos Peligrosos per Cápita Semestral</t>
        </is>
      </c>
      <c r="C3688" t="inlineStr">
        <is>
          <t>GESTIÓN AMBIENTAL</t>
        </is>
      </c>
      <c r="D3688" t="inlineStr">
        <is>
          <t>Trimestral</t>
        </is>
      </c>
      <c r="E3688" t="inlineStr">
        <is>
          <t>Negativo</t>
        </is>
      </c>
      <c r="F3688" s="105" t="n">
        <v>46022</v>
      </c>
      <c r="G3688" t="inlineStr">
        <is>
          <t>433-2025-12-31</t>
        </is>
      </c>
      <c r="H3688" t="inlineStr">
        <is>
          <t>Sede Posgrado-Calle 85</t>
        </is>
      </c>
      <c r="I3688" t="n">
        <v>0.05</v>
      </c>
      <c r="J3688" t="n">
        <v>0</v>
      </c>
      <c r="O3688" t="n">
        <v>51</v>
      </c>
      <c r="P3688" t="n">
        <v>38</v>
      </c>
      <c r="Q3688" t="n">
        <v>135</v>
      </c>
      <c r="R3688" t="n">
        <v>0</v>
      </c>
      <c r="BV3688" t="n">
        <v>0</v>
      </c>
    </row>
    <row r="3689">
      <c r="A3689" t="n">
        <v>433</v>
      </c>
      <c r="B3689" t="inlineStr">
        <is>
          <t>Generación de Residuos Peligrosos per Cápita Semestral</t>
        </is>
      </c>
      <c r="C3689" t="inlineStr">
        <is>
          <t>GESTIÓN AMBIENTAL</t>
        </is>
      </c>
      <c r="D3689" t="inlineStr">
        <is>
          <t>Trimestral</t>
        </is>
      </c>
      <c r="E3689" t="inlineStr">
        <is>
          <t>Negativo</t>
        </is>
      </c>
      <c r="F3689" s="105" t="n">
        <v>46022</v>
      </c>
      <c r="G3689" t="inlineStr">
        <is>
          <t>433-2025-12-31</t>
        </is>
      </c>
      <c r="H3689" t="inlineStr">
        <is>
          <t>Sede Bienestar - Medellín</t>
        </is>
      </c>
      <c r="I3689" t="n">
        <v>0.05</v>
      </c>
      <c r="J3689" t="n">
        <v>0</v>
      </c>
      <c r="O3689" t="n">
        <v>36</v>
      </c>
      <c r="P3689" t="n">
        <v>30</v>
      </c>
      <c r="Q3689" t="n">
        <v>3402</v>
      </c>
      <c r="R3689" t="n">
        <v>0</v>
      </c>
      <c r="BV3689" t="n">
        <v>1.3</v>
      </c>
    </row>
    <row r="3690">
      <c r="A3690" t="n">
        <v>433</v>
      </c>
      <c r="B3690" t="inlineStr">
        <is>
          <t>Generación de Residuos Peligrosos per Cápita Semestral</t>
        </is>
      </c>
      <c r="C3690" t="inlineStr">
        <is>
          <t>GESTIÓN AMBIENTAL</t>
        </is>
      </c>
      <c r="D3690" t="inlineStr">
        <is>
          <t>Trimestral</t>
        </is>
      </c>
      <c r="E3690" t="inlineStr">
        <is>
          <t>Negativo</t>
        </is>
      </c>
      <c r="F3690" s="105" t="n">
        <v>46022</v>
      </c>
      <c r="G3690" t="inlineStr">
        <is>
          <t>433-2025-12-31</t>
        </is>
      </c>
      <c r="H3690" t="inlineStr">
        <is>
          <t>Consultorio Psicología - Medellin</t>
        </is>
      </c>
      <c r="I3690" t="n">
        <v>0.05</v>
      </c>
      <c r="J3690" t="n">
        <v>0</v>
      </c>
      <c r="O3690" t="n">
        <v>12</v>
      </c>
      <c r="P3690" t="n">
        <v>10</v>
      </c>
      <c r="Q3690" t="n">
        <v>36</v>
      </c>
      <c r="R3690" t="n">
        <v>0</v>
      </c>
      <c r="BV3690" t="n">
        <v>0</v>
      </c>
    </row>
    <row r="3691">
      <c r="A3691" t="n">
        <v>433</v>
      </c>
      <c r="B3691" t="inlineStr">
        <is>
          <t>Generación de Residuos Peligrosos per Cápita Semestral</t>
        </is>
      </c>
      <c r="C3691" t="inlineStr">
        <is>
          <t>GESTIÓN AMBIENTAL</t>
        </is>
      </c>
      <c r="D3691" t="inlineStr">
        <is>
          <t>Trimestral</t>
        </is>
      </c>
      <c r="E3691" t="inlineStr">
        <is>
          <t>Negativo</t>
        </is>
      </c>
      <c r="F3691" s="105" t="n">
        <v>46022</v>
      </c>
      <c r="G3691" t="inlineStr">
        <is>
          <t>433-2025-12-31</t>
        </is>
      </c>
      <c r="H3691" t="inlineStr">
        <is>
          <t>Campus-Medellín</t>
        </is>
      </c>
      <c r="I3691" t="n">
        <v>0.05</v>
      </c>
      <c r="J3691" t="n">
        <v>0.03999999910593033</v>
      </c>
      <c r="O3691" t="n">
        <v>355</v>
      </c>
      <c r="P3691" t="n">
        <v>853</v>
      </c>
      <c r="Q3691" t="n">
        <v>10724</v>
      </c>
      <c r="R3691" t="n">
        <v>144</v>
      </c>
      <c r="BV3691" t="n">
        <v>541</v>
      </c>
    </row>
    <row r="3692">
      <c r="A3692" t="n">
        <v>435</v>
      </c>
      <c r="B3692" t="inlineStr">
        <is>
          <t>Disminución de la Generación de Residuos Peligrosos per Cápita</t>
        </is>
      </c>
      <c r="C3692" t="inlineStr">
        <is>
          <t>GESTIÓN AMBIENTAL</t>
        </is>
      </c>
      <c r="D3692" t="inlineStr">
        <is>
          <t>Trimestral</t>
        </is>
      </c>
      <c r="E3692" t="inlineStr">
        <is>
          <t>Positivo</t>
        </is>
      </c>
      <c r="F3692" s="105" t="n">
        <v>46022</v>
      </c>
      <c r="G3692" t="inlineStr">
        <is>
          <t>435-2025-12-31</t>
        </is>
      </c>
      <c r="H3692" t="inlineStr">
        <is>
          <t>Campus Bogotá</t>
        </is>
      </c>
      <c r="I3692" t="n">
        <v>100</v>
      </c>
      <c r="J3692" t="n">
        <v>-640</v>
      </c>
      <c r="BW3692" t="n">
        <v>0.05</v>
      </c>
      <c r="BX3692" t="n">
        <v>0.37</v>
      </c>
    </row>
    <row r="3693">
      <c r="A3693" t="n">
        <v>435</v>
      </c>
      <c r="B3693" t="inlineStr">
        <is>
          <t>Disminución de la Generación de Residuos Peligrosos per Cápita</t>
        </is>
      </c>
      <c r="C3693" t="inlineStr">
        <is>
          <t>GESTIÓN AMBIENTAL</t>
        </is>
      </c>
      <c r="D3693" t="inlineStr">
        <is>
          <t>Trimestral</t>
        </is>
      </c>
      <c r="E3693" t="inlineStr">
        <is>
          <t>Positivo</t>
        </is>
      </c>
      <c r="F3693" s="105" t="n">
        <v>46022</v>
      </c>
      <c r="G3693" t="inlineStr">
        <is>
          <t>435-2025-12-31</t>
        </is>
      </c>
      <c r="H3693" t="inlineStr">
        <is>
          <t>Sede Posgrado-Calle 85</t>
        </is>
      </c>
      <c r="I3693" t="n">
        <v>100</v>
      </c>
      <c r="J3693" t="n">
        <v>0</v>
      </c>
      <c r="BW3693" t="n">
        <v>0</v>
      </c>
      <c r="BX3693" t="n">
        <v>0</v>
      </c>
    </row>
    <row r="3694">
      <c r="A3694" t="n">
        <v>435</v>
      </c>
      <c r="B3694" t="inlineStr">
        <is>
          <t>Disminución de la Generación de Residuos Peligrosos per Cápita</t>
        </is>
      </c>
      <c r="C3694" t="inlineStr">
        <is>
          <t>GESTIÓN AMBIENTAL</t>
        </is>
      </c>
      <c r="D3694" t="inlineStr">
        <is>
          <t>Trimestral</t>
        </is>
      </c>
      <c r="E3694" t="inlineStr">
        <is>
          <t>Positivo</t>
        </is>
      </c>
      <c r="F3694" s="105" t="n">
        <v>46022</v>
      </c>
      <c r="G3694" t="inlineStr">
        <is>
          <t>435-2025-12-31</t>
        </is>
      </c>
      <c r="H3694" t="inlineStr">
        <is>
          <t>Campus-Medellín</t>
        </is>
      </c>
      <c r="I3694" t="n">
        <v>100</v>
      </c>
      <c r="J3694" t="n">
        <v>-3900</v>
      </c>
      <c r="BW3694" t="n">
        <v>0.001</v>
      </c>
      <c r="BX3694" t="n">
        <v>0.04</v>
      </c>
    </row>
    <row r="3695">
      <c r="A3695" t="n">
        <v>435</v>
      </c>
      <c r="B3695" t="inlineStr">
        <is>
          <t>Disminución de la Generación de Residuos Peligrosos per Cápita</t>
        </is>
      </c>
      <c r="C3695" t="inlineStr">
        <is>
          <t>GESTIÓN AMBIENTAL</t>
        </is>
      </c>
      <c r="D3695" t="inlineStr">
        <is>
          <t>Trimestral</t>
        </is>
      </c>
      <c r="E3695" t="inlineStr">
        <is>
          <t>Positivo</t>
        </is>
      </c>
      <c r="F3695" s="105" t="n">
        <v>46022</v>
      </c>
      <c r="G3695" t="inlineStr">
        <is>
          <t>435-2025-12-31</t>
        </is>
      </c>
      <c r="H3695" t="inlineStr">
        <is>
          <t>Sede Bienestar - Medellín</t>
        </is>
      </c>
      <c r="I3695" t="n">
        <v>100</v>
      </c>
      <c r="J3695" t="n">
        <v>0</v>
      </c>
      <c r="BW3695" t="n">
        <v>0.001</v>
      </c>
      <c r="BX3695" t="n">
        <v>0.001</v>
      </c>
    </row>
    <row r="3696">
      <c r="A3696" t="n">
        <v>435</v>
      </c>
      <c r="B3696" t="inlineStr">
        <is>
          <t>Disminución de la Generación de Residuos Peligrosos per Cápita</t>
        </is>
      </c>
      <c r="C3696" t="inlineStr">
        <is>
          <t>GESTIÓN AMBIENTAL</t>
        </is>
      </c>
      <c r="D3696" t="inlineStr">
        <is>
          <t>Trimestral</t>
        </is>
      </c>
      <c r="E3696" t="inlineStr">
        <is>
          <t>Positivo</t>
        </is>
      </c>
      <c r="F3696" s="105" t="n">
        <v>46022</v>
      </c>
      <c r="G3696" t="inlineStr">
        <is>
          <t>435-2025-12-31</t>
        </is>
      </c>
      <c r="H3696" t="inlineStr">
        <is>
          <t>Consultorio Psicología - Medellin</t>
        </is>
      </c>
      <c r="I3696" t="n">
        <v>100</v>
      </c>
      <c r="J3696" t="n">
        <v>0</v>
      </c>
      <c r="BW3696" t="n">
        <v>0</v>
      </c>
      <c r="BX3696" t="n">
        <v>0</v>
      </c>
    </row>
    <row r="3697">
      <c r="A3697" t="n">
        <v>435</v>
      </c>
      <c r="B3697" t="inlineStr">
        <is>
          <t>Disminución de la Generación de Residuos Peligrosos per Cápita</t>
        </is>
      </c>
      <c r="C3697" t="inlineStr">
        <is>
          <t>GESTIÓN AMBIENTAL</t>
        </is>
      </c>
      <c r="D3697" t="inlineStr">
        <is>
          <t>Trimestral</t>
        </is>
      </c>
      <c r="E3697" t="inlineStr">
        <is>
          <t>Positivo</t>
        </is>
      </c>
      <c r="F3697" s="105" t="n">
        <v>46022</v>
      </c>
      <c r="G3697" t="inlineStr">
        <is>
          <t>435-2025-12-31</t>
        </is>
      </c>
      <c r="H3697" t="inlineStr">
        <is>
          <t>City Campus</t>
        </is>
      </c>
      <c r="I3697" t="n">
        <v>100</v>
      </c>
      <c r="J3697" t="n">
        <v>-2900</v>
      </c>
      <c r="BW3697" t="n">
        <v>0.001</v>
      </c>
      <c r="BX3697" t="n">
        <v>0.03</v>
      </c>
    </row>
    <row r="3698">
      <c r="A3698" t="n">
        <v>439</v>
      </c>
      <c r="B3698" t="inlineStr">
        <is>
          <t>Disponibilidad de catálogo de asignaturas pregrado y posgrado virtual</t>
        </is>
      </c>
      <c r="C3698" t="inlineStr">
        <is>
          <t>Operaciones Académicas</t>
        </is>
      </c>
      <c r="D3698" t="inlineStr">
        <is>
          <t>Trimestral</t>
        </is>
      </c>
      <c r="E3698" t="inlineStr">
        <is>
          <t>Positivo</t>
        </is>
      </c>
      <c r="F3698" s="105" t="n">
        <v>46022</v>
      </c>
      <c r="G3698" t="inlineStr">
        <is>
          <t>439-2025-12-31</t>
        </is>
      </c>
      <c r="H3698" t="inlineStr">
        <is>
          <t>Posgrado Virtual</t>
        </is>
      </c>
      <c r="I3698" t="n">
        <v>100</v>
      </c>
      <c r="J3698" t="n">
        <v>100</v>
      </c>
      <c r="CY3698" t="n">
        <v>342</v>
      </c>
      <c r="CZ3698" t="n">
        <v>342</v>
      </c>
    </row>
    <row r="3699">
      <c r="A3699" t="n">
        <v>439</v>
      </c>
      <c r="B3699" t="inlineStr">
        <is>
          <t>Disponibilidad de catálogo de asignaturas pregrado y posgrado virtual</t>
        </is>
      </c>
      <c r="C3699" t="inlineStr">
        <is>
          <t>Operaciones Académicas</t>
        </is>
      </c>
      <c r="D3699" t="inlineStr">
        <is>
          <t>Trimestral</t>
        </is>
      </c>
      <c r="E3699" t="inlineStr">
        <is>
          <t>Positivo</t>
        </is>
      </c>
      <c r="F3699" s="105" t="n">
        <v>46022</v>
      </c>
      <c r="G3699" t="inlineStr">
        <is>
          <t>439-2025-12-31</t>
        </is>
      </c>
      <c r="H3699" t="inlineStr">
        <is>
          <t>Pregrado Virtual</t>
        </is>
      </c>
      <c r="I3699" t="n">
        <v>100</v>
      </c>
      <c r="J3699" t="n">
        <v>100</v>
      </c>
      <c r="CY3699" t="n">
        <v>861</v>
      </c>
      <c r="CZ3699" t="n">
        <v>861</v>
      </c>
    </row>
    <row r="3700">
      <c r="A3700" t="n">
        <v>440</v>
      </c>
      <c r="B3700" t="inlineStr">
        <is>
          <t>Aseguramiento de matricula académica virtual</t>
        </is>
      </c>
      <c r="C3700" t="inlineStr">
        <is>
          <t>Operaciones Académicas</t>
        </is>
      </c>
      <c r="D3700" t="inlineStr">
        <is>
          <t>Trimestral</t>
        </is>
      </c>
      <c r="E3700" t="inlineStr">
        <is>
          <t>Positivo</t>
        </is>
      </c>
      <c r="F3700" s="105" t="n">
        <v>46022</v>
      </c>
      <c r="G3700" t="inlineStr">
        <is>
          <t>440-2025-12-31</t>
        </is>
      </c>
      <c r="H3700" t="inlineStr">
        <is>
          <t>Pregrado Virtual</t>
        </is>
      </c>
      <c r="I3700" t="n">
        <v>98</v>
      </c>
      <c r="J3700" t="n">
        <v>99.76999664306641</v>
      </c>
      <c r="DA3700" t="n">
        <v>43932</v>
      </c>
      <c r="DB3700" t="n">
        <v>44035</v>
      </c>
    </row>
    <row r="3701">
      <c r="A3701" t="n">
        <v>440</v>
      </c>
      <c r="B3701" t="inlineStr">
        <is>
          <t>Aseguramiento de matricula académica virtual</t>
        </is>
      </c>
      <c r="C3701" t="inlineStr">
        <is>
          <t>Operaciones Académicas</t>
        </is>
      </c>
      <c r="D3701" t="inlineStr">
        <is>
          <t>Trimestral</t>
        </is>
      </c>
      <c r="E3701" t="inlineStr">
        <is>
          <t>Positivo</t>
        </is>
      </c>
      <c r="F3701" s="105" t="n">
        <v>46022</v>
      </c>
      <c r="G3701" t="inlineStr">
        <is>
          <t>440-2025-12-31</t>
        </is>
      </c>
      <c r="H3701" t="inlineStr">
        <is>
          <t>Posgrado Virtual</t>
        </is>
      </c>
      <c r="I3701" t="n">
        <v>98</v>
      </c>
      <c r="J3701" t="n">
        <v>99.43000030517578</v>
      </c>
      <c r="DA3701" t="n">
        <v>4004</v>
      </c>
      <c r="DB3701" t="n">
        <v>4027</v>
      </c>
    </row>
    <row r="3702">
      <c r="A3702" t="n">
        <v>473</v>
      </c>
      <c r="B3702" t="inlineStr">
        <is>
          <t>Programas con planes de estudios definidos</t>
        </is>
      </c>
      <c r="C3702" t="inlineStr">
        <is>
          <t>Gestión, Evaluación e Innovación Curricular</t>
        </is>
      </c>
      <c r="D3702" t="inlineStr">
        <is>
          <t>Trimestral</t>
        </is>
      </c>
      <c r="E3702" t="inlineStr">
        <is>
          <t>Positivo</t>
        </is>
      </c>
      <c r="F3702" s="105" t="n">
        <v>46022</v>
      </c>
      <c r="G3702" t="inlineStr">
        <is>
          <t>473-2025-12-31</t>
        </is>
      </c>
      <c r="H3702" t="inlineStr">
        <is>
          <t>Nuevos Programas Académicos</t>
        </is>
      </c>
      <c r="I3702" t="n">
        <v>100</v>
      </c>
      <c r="J3702" t="n">
        <v>0</v>
      </c>
      <c r="DM3702" t="n">
        <v>0</v>
      </c>
      <c r="DN3702" t="n">
        <v>0</v>
      </c>
    </row>
    <row r="3703">
      <c r="A3703" t="n">
        <v>473</v>
      </c>
      <c r="B3703" t="inlineStr">
        <is>
          <t>Programas con planes de estudios definidos</t>
        </is>
      </c>
      <c r="C3703" t="inlineStr">
        <is>
          <t>Gestión, Evaluación e Innovación Curricular</t>
        </is>
      </c>
      <c r="D3703" t="inlineStr">
        <is>
          <t>Trimestral</t>
        </is>
      </c>
      <c r="E3703" t="inlineStr">
        <is>
          <t>Positivo</t>
        </is>
      </c>
      <c r="F3703" s="105" t="n">
        <v>46022</v>
      </c>
      <c r="G3703" t="inlineStr">
        <is>
          <t>473-2025-12-31</t>
        </is>
      </c>
      <c r="H3703" t="inlineStr">
        <is>
          <t>Programas Renovación, modificación y acreditación</t>
        </is>
      </c>
      <c r="I3703" t="n">
        <v>100</v>
      </c>
      <c r="J3703" t="n">
        <v>0</v>
      </c>
      <c r="DM3703" t="n">
        <v>0</v>
      </c>
      <c r="DN3703" t="n">
        <v>0</v>
      </c>
    </row>
    <row r="3704">
      <c r="A3704" t="n">
        <v>473</v>
      </c>
      <c r="B3704" t="inlineStr">
        <is>
          <t>Programas con planes de estudios definidos</t>
        </is>
      </c>
      <c r="C3704" t="inlineStr">
        <is>
          <t>Gestión, Evaluación e Innovación Curricular</t>
        </is>
      </c>
      <c r="D3704" t="inlineStr">
        <is>
          <t>Trimestral</t>
        </is>
      </c>
      <c r="E3704" t="inlineStr">
        <is>
          <t>Positivo</t>
        </is>
      </c>
      <c r="F3704" s="105" t="n">
        <v>46022</v>
      </c>
      <c r="G3704" t="inlineStr">
        <is>
          <t>473-2025-12-31</t>
        </is>
      </c>
      <c r="H3704" t="inlineStr">
        <is>
          <t>Mantenimiento de programas</t>
        </is>
      </c>
      <c r="I3704" t="n">
        <v>100</v>
      </c>
      <c r="J3704" t="n">
        <v>0</v>
      </c>
      <c r="DM3704" t="n">
        <v>0</v>
      </c>
      <c r="DN3704" t="n">
        <v>0</v>
      </c>
    </row>
    <row r="3705">
      <c r="A3705" t="n">
        <v>476</v>
      </c>
      <c r="B3705" t="inlineStr">
        <is>
          <t>Programas con resultados de aprendizaje definidos</t>
        </is>
      </c>
      <c r="C3705" t="inlineStr">
        <is>
          <t>Gestión, Evaluación e Innovación Curricular</t>
        </is>
      </c>
      <c r="D3705" t="inlineStr">
        <is>
          <t>Trimestral</t>
        </is>
      </c>
      <c r="E3705" t="inlineStr">
        <is>
          <t>Positivo</t>
        </is>
      </c>
      <c r="F3705" s="105" t="n">
        <v>46022</v>
      </c>
      <c r="G3705" t="inlineStr">
        <is>
          <t>476-2025-12-31</t>
        </is>
      </c>
      <c r="H3705" t="inlineStr">
        <is>
          <t>Mantenimiento de programas</t>
        </is>
      </c>
      <c r="I3705" t="n">
        <v>100</v>
      </c>
      <c r="J3705" t="n">
        <v>100</v>
      </c>
      <c r="DQ3705" t="n">
        <v>36</v>
      </c>
      <c r="DR3705" t="n">
        <v>36</v>
      </c>
    </row>
    <row r="3706">
      <c r="A3706" t="n">
        <v>519</v>
      </c>
      <c r="B3706" t="inlineStr">
        <is>
          <t>% de publicaciones con sentimiento neutro o negativo</t>
        </is>
      </c>
      <c r="C3706" t="inlineStr">
        <is>
          <t>Comunicaciones Externas</t>
        </is>
      </c>
      <c r="D3706" t="inlineStr">
        <is>
          <t>Trimestral</t>
        </is>
      </c>
      <c r="E3706" t="inlineStr">
        <is>
          <t>Positivo</t>
        </is>
      </c>
      <c r="F3706" s="105" t="n">
        <v>46022</v>
      </c>
      <c r="G3706" t="inlineStr">
        <is>
          <t>519-2025-12-31</t>
        </is>
      </c>
      <c r="H3706" t="inlineStr">
        <is>
          <t>Negativo</t>
        </is>
      </c>
      <c r="I3706" t="n">
        <v>100</v>
      </c>
      <c r="J3706" t="n">
        <v>148.1499938964844</v>
      </c>
      <c r="EP3706" t="n">
        <v>2</v>
      </c>
      <c r="EQ3706" t="n">
        <v>1.35</v>
      </c>
    </row>
    <row r="3707">
      <c r="A3707" t="n">
        <v>519</v>
      </c>
      <c r="B3707" t="inlineStr">
        <is>
          <t>% de publicaciones con sentimiento neutro o negativo</t>
        </is>
      </c>
      <c r="C3707" t="inlineStr">
        <is>
          <t>Comunicaciones Externas</t>
        </is>
      </c>
      <c r="D3707" t="inlineStr">
        <is>
          <t>Trimestral</t>
        </is>
      </c>
      <c r="E3707" t="inlineStr">
        <is>
          <t>Positivo</t>
        </is>
      </c>
      <c r="F3707" s="105" t="n">
        <v>46022</v>
      </c>
      <c r="G3707" t="inlineStr">
        <is>
          <t>519-2025-12-31</t>
        </is>
      </c>
      <c r="H3707" t="inlineStr">
        <is>
          <t>Neutro</t>
        </is>
      </c>
      <c r="I3707" t="n">
        <v>100</v>
      </c>
      <c r="J3707" t="n">
        <v>114.1100006103516</v>
      </c>
      <c r="EP3707" t="n">
        <v>38</v>
      </c>
      <c r="EQ3707" t="n">
        <v>33.3</v>
      </c>
    </row>
    <row r="3708">
      <c r="A3708" t="n">
        <v>523</v>
      </c>
      <c r="B3708" t="inlineStr">
        <is>
          <t>Ingresos totales de educación para la vida</t>
        </is>
      </c>
      <c r="C3708" t="inlineStr">
        <is>
          <t>Planeación Financiera</t>
        </is>
      </c>
      <c r="D3708" t="inlineStr">
        <is>
          <t>Trimestral</t>
        </is>
      </c>
      <c r="E3708" t="inlineStr">
        <is>
          <t>Positivo</t>
        </is>
      </c>
      <c r="F3708" s="105" t="n">
        <v>46022</v>
      </c>
      <c r="G3708" t="inlineStr">
        <is>
          <t>523-2025-12-31</t>
        </is>
      </c>
      <c r="H3708" t="inlineStr">
        <is>
          <t>B2G</t>
        </is>
      </c>
      <c r="I3708" t="n">
        <v>95</v>
      </c>
      <c r="J3708" t="n">
        <v>85.88999938964844</v>
      </c>
      <c r="ER3708" t="n">
        <v>4791179140</v>
      </c>
      <c r="ES3708" t="n">
        <v>4114986324</v>
      </c>
    </row>
    <row r="3709">
      <c r="A3709" t="n">
        <v>523</v>
      </c>
      <c r="B3709" t="inlineStr">
        <is>
          <t>Ingresos totales de educación para la vida</t>
        </is>
      </c>
      <c r="C3709" t="inlineStr">
        <is>
          <t>Planeación Financiera</t>
        </is>
      </c>
      <c r="D3709" t="inlineStr">
        <is>
          <t>Trimestral</t>
        </is>
      </c>
      <c r="E3709" t="inlineStr">
        <is>
          <t>Positivo</t>
        </is>
      </c>
      <c r="F3709" s="105" t="n">
        <v>46022</v>
      </c>
      <c r="G3709" t="inlineStr">
        <is>
          <t>523-2025-12-31</t>
        </is>
      </c>
      <c r="H3709" t="inlineStr">
        <is>
          <t>Opciones de grado</t>
        </is>
      </c>
      <c r="I3709" t="n">
        <v>95</v>
      </c>
      <c r="J3709" t="n">
        <v>103.9100036621094</v>
      </c>
      <c r="ER3709" t="n">
        <v>2480947219</v>
      </c>
      <c r="ES3709" t="n">
        <v>2577870000</v>
      </c>
    </row>
    <row r="3710">
      <c r="A3710" t="n">
        <v>523</v>
      </c>
      <c r="B3710" t="inlineStr">
        <is>
          <t>Ingresos totales de educación para la vida</t>
        </is>
      </c>
      <c r="C3710" t="inlineStr">
        <is>
          <t>Planeación Financiera</t>
        </is>
      </c>
      <c r="D3710" t="inlineStr">
        <is>
          <t>Trimestral</t>
        </is>
      </c>
      <c r="E3710" t="inlineStr">
        <is>
          <t>Positivo</t>
        </is>
      </c>
      <c r="F3710" s="105" t="n">
        <v>46022</v>
      </c>
      <c r="G3710" t="inlineStr">
        <is>
          <t>523-2025-12-31</t>
        </is>
      </c>
      <c r="H3710" t="inlineStr">
        <is>
          <t>B2B- B2C</t>
        </is>
      </c>
      <c r="I3710" t="n">
        <v>95</v>
      </c>
      <c r="J3710" t="n">
        <v>105.1800003051758</v>
      </c>
      <c r="ER3710" t="n">
        <v>2940238740</v>
      </c>
      <c r="ES3710" t="n">
        <v>3092685378</v>
      </c>
    </row>
    <row r="3711">
      <c r="A3711" t="n">
        <v>524</v>
      </c>
      <c r="B3711" t="inlineStr">
        <is>
          <t>Total Leads por canales de captación</t>
        </is>
      </c>
      <c r="C3711" t="inlineStr">
        <is>
          <t>Mercadeo de programas académicos</t>
        </is>
      </c>
      <c r="D3711" t="inlineStr">
        <is>
          <t>Trimestral</t>
        </is>
      </c>
      <c r="E3711" t="inlineStr">
        <is>
          <t>Positivo</t>
        </is>
      </c>
      <c r="F3711" s="105" t="n">
        <v>46022</v>
      </c>
      <c r="G3711" t="inlineStr">
        <is>
          <t>524-2025-12-31</t>
        </is>
      </c>
      <c r="H3711" t="inlineStr">
        <is>
          <t>Digital</t>
        </is>
      </c>
      <c r="I3711" t="n">
        <v>143.412</v>
      </c>
      <c r="J3711" t="n">
        <v>99.63999938964844</v>
      </c>
      <c r="ET3711" t="n">
        <v>87620</v>
      </c>
      <c r="EU3711" t="n">
        <v>87937</v>
      </c>
    </row>
    <row r="3712">
      <c r="A3712" t="n">
        <v>524</v>
      </c>
      <c r="B3712" t="inlineStr">
        <is>
          <t>Total Leads por canales de captación</t>
        </is>
      </c>
      <c r="C3712" t="inlineStr">
        <is>
          <t>Mercadeo de programas académicos</t>
        </is>
      </c>
      <c r="D3712" t="inlineStr">
        <is>
          <t>Trimestral</t>
        </is>
      </c>
      <c r="E3712" t="inlineStr">
        <is>
          <t>Positivo</t>
        </is>
      </c>
      <c r="F3712" s="105" t="n">
        <v>46022</v>
      </c>
      <c r="G3712" t="inlineStr">
        <is>
          <t>524-2025-12-31</t>
        </is>
      </c>
      <c r="H3712" t="inlineStr">
        <is>
          <t>BTL</t>
        </is>
      </c>
      <c r="I3712" t="n">
        <v>143.412</v>
      </c>
      <c r="J3712" t="n">
        <v>69.75</v>
      </c>
      <c r="ET3712" t="n">
        <v>3539</v>
      </c>
      <c r="EU3712" t="n">
        <v>5074</v>
      </c>
    </row>
    <row r="3713">
      <c r="A3713" t="n">
        <v>524</v>
      </c>
      <c r="B3713" t="inlineStr">
        <is>
          <t>Total Leads por canales de captación</t>
        </is>
      </c>
      <c r="C3713" t="inlineStr">
        <is>
          <t>Mercadeo de programas académicos</t>
        </is>
      </c>
      <c r="D3713" t="inlineStr">
        <is>
          <t>Trimestral</t>
        </is>
      </c>
      <c r="E3713" t="inlineStr">
        <is>
          <t>Positivo</t>
        </is>
      </c>
      <c r="F3713" s="105" t="n">
        <v>46022</v>
      </c>
      <c r="G3713" t="inlineStr">
        <is>
          <t>524-2025-12-31</t>
        </is>
      </c>
      <c r="H3713" t="inlineStr">
        <is>
          <t>CSU-High School-B2B</t>
        </is>
      </c>
      <c r="I3713" t="n">
        <v>143.412</v>
      </c>
      <c r="J3713" t="n">
        <v>116.2300033569336</v>
      </c>
      <c r="ET3713" t="n">
        <v>43583</v>
      </c>
      <c r="EU3713" t="n">
        <v>37497</v>
      </c>
    </row>
    <row r="3714">
      <c r="A3714" t="n">
        <v>524</v>
      </c>
      <c r="B3714" t="inlineStr">
        <is>
          <t>Total Leads por canales de captación</t>
        </is>
      </c>
      <c r="C3714" t="inlineStr">
        <is>
          <t>Mercadeo de programas académicos</t>
        </is>
      </c>
      <c r="D3714" t="inlineStr">
        <is>
          <t>Trimestral</t>
        </is>
      </c>
      <c r="E3714" t="inlineStr">
        <is>
          <t>Positivo</t>
        </is>
      </c>
      <c r="F3714" s="105" t="n">
        <v>46022</v>
      </c>
      <c r="G3714" t="inlineStr">
        <is>
          <t>524-2025-12-31</t>
        </is>
      </c>
      <c r="H3714" t="inlineStr">
        <is>
          <t>Whatsapp</t>
        </is>
      </c>
      <c r="I3714" t="n">
        <v>143.412</v>
      </c>
      <c r="J3714" t="n">
        <v>125.8600006103516</v>
      </c>
      <c r="ET3714" t="n">
        <v>1280</v>
      </c>
      <c r="EU3714" t="n">
        <v>1017</v>
      </c>
    </row>
    <row r="3715">
      <c r="A3715" t="n">
        <v>524</v>
      </c>
      <c r="B3715" t="inlineStr">
        <is>
          <t>Total Leads por canales de captación</t>
        </is>
      </c>
      <c r="C3715" t="inlineStr">
        <is>
          <t>Mercadeo de programas académicos</t>
        </is>
      </c>
      <c r="D3715" t="inlineStr">
        <is>
          <t>Trimestral</t>
        </is>
      </c>
      <c r="E3715" t="inlineStr">
        <is>
          <t>Positivo</t>
        </is>
      </c>
      <c r="F3715" s="105" t="n">
        <v>46022</v>
      </c>
      <c r="G3715" t="inlineStr">
        <is>
          <t>524-2025-12-31</t>
        </is>
      </c>
      <c r="H3715" t="inlineStr">
        <is>
          <t>Inbound</t>
        </is>
      </c>
      <c r="I3715" t="n">
        <v>143.412</v>
      </c>
      <c r="J3715" t="n">
        <v>236.5899963378906</v>
      </c>
      <c r="ET3715" t="n">
        <v>1843</v>
      </c>
      <c r="EU3715" t="n">
        <v>779</v>
      </c>
    </row>
    <row r="3716">
      <c r="A3716" t="n">
        <v>524</v>
      </c>
      <c r="B3716" t="inlineStr">
        <is>
          <t>Total Leads por canales de captación</t>
        </is>
      </c>
      <c r="C3716" t="inlineStr">
        <is>
          <t>Mercadeo de programas académicos</t>
        </is>
      </c>
      <c r="D3716" t="inlineStr">
        <is>
          <t>Trimestral</t>
        </is>
      </c>
      <c r="E3716" t="inlineStr">
        <is>
          <t>Positivo</t>
        </is>
      </c>
      <c r="F3716" s="105" t="n">
        <v>46022</v>
      </c>
      <c r="G3716" t="inlineStr">
        <is>
          <t>524-2025-12-31</t>
        </is>
      </c>
      <c r="H3716" t="inlineStr">
        <is>
          <t>ATL</t>
        </is>
      </c>
      <c r="I3716" t="n">
        <v>143.412</v>
      </c>
      <c r="J3716" t="n">
        <v>128.3600006103516</v>
      </c>
      <c r="ET3716" t="n">
        <v>14259</v>
      </c>
      <c r="EU3716" t="n">
        <v>11109</v>
      </c>
    </row>
    <row r="3717">
      <c r="A3717" t="n">
        <v>532</v>
      </c>
      <c r="B3717" t="inlineStr">
        <is>
          <t>Actividades de Cooperación en Internacionalización</t>
        </is>
      </c>
      <c r="C3717" t="inlineStr">
        <is>
          <t>VISIBILIDAD NACIONAL E INTERNACIONAL</t>
        </is>
      </c>
      <c r="D3717" t="inlineStr">
        <is>
          <t>Trimestral</t>
        </is>
      </c>
      <c r="E3717" t="inlineStr">
        <is>
          <t>Positivo</t>
        </is>
      </c>
      <c r="F3717" s="105" t="n">
        <v>46022</v>
      </c>
      <c r="G3717" t="inlineStr">
        <is>
          <t>532-2025-12-31</t>
        </is>
      </c>
      <c r="H3717" t="inlineStr">
        <is>
          <t>Organización de escenarios de visibilidad nacional e internacional</t>
        </is>
      </c>
      <c r="I3717" t="n">
        <v>100</v>
      </c>
      <c r="J3717" t="n">
        <v>233.3300018310547</v>
      </c>
      <c r="EV3717" t="n">
        <v>70</v>
      </c>
      <c r="EW3717" t="n">
        <v>30</v>
      </c>
    </row>
    <row r="3718">
      <c r="A3718" t="n">
        <v>532</v>
      </c>
      <c r="B3718" t="inlineStr">
        <is>
          <t>Actividades de Cooperación en Internacionalización</t>
        </is>
      </c>
      <c r="C3718" t="inlineStr">
        <is>
          <t>VISIBILIDAD NACIONAL E INTERNACIONAL</t>
        </is>
      </c>
      <c r="D3718" t="inlineStr">
        <is>
          <t>Trimestral</t>
        </is>
      </c>
      <c r="E3718" t="inlineStr">
        <is>
          <t>Positivo</t>
        </is>
      </c>
      <c r="F3718" s="105" t="n">
        <v>46022</v>
      </c>
      <c r="G3718" t="inlineStr">
        <is>
          <t>532-2025-12-31</t>
        </is>
      </c>
      <c r="H3718" t="inlineStr">
        <is>
          <t>Clases espejo</t>
        </is>
      </c>
      <c r="I3718" t="n">
        <v>100</v>
      </c>
      <c r="J3718" t="n">
        <v>109</v>
      </c>
      <c r="EV3718" t="n">
        <v>109</v>
      </c>
      <c r="EW3718" t="n">
        <v>100</v>
      </c>
    </row>
    <row r="3719">
      <c r="A3719" t="n">
        <v>532</v>
      </c>
      <c r="B3719" t="inlineStr">
        <is>
          <t>Actividades de Cooperación en Internacionalización</t>
        </is>
      </c>
      <c r="C3719" t="inlineStr">
        <is>
          <t>VISIBILIDAD NACIONAL E INTERNACIONAL</t>
        </is>
      </c>
      <c r="D3719" t="inlineStr">
        <is>
          <t>Trimestral</t>
        </is>
      </c>
      <c r="E3719" t="inlineStr">
        <is>
          <t>Positivo</t>
        </is>
      </c>
      <c r="F3719" s="105" t="n">
        <v>46022</v>
      </c>
      <c r="G3719" t="inlineStr">
        <is>
          <t>532-2025-12-31</t>
        </is>
      </c>
      <c r="H3719" t="inlineStr">
        <is>
          <t>Seminarios y cursos internacionales virtuales impartidos y certificados por entidades externas</t>
        </is>
      </c>
      <c r="I3719" t="n">
        <v>100</v>
      </c>
      <c r="J3719" t="n">
        <v>150</v>
      </c>
      <c r="EV3719" t="n">
        <v>9</v>
      </c>
      <c r="EW3719" t="n">
        <v>6</v>
      </c>
    </row>
    <row r="3720">
      <c r="A3720" t="n">
        <v>532</v>
      </c>
      <c r="B3720" t="inlineStr">
        <is>
          <t>Actividades de Cooperación en Internacionalización</t>
        </is>
      </c>
      <c r="C3720" t="inlineStr">
        <is>
          <t>VISIBILIDAD NACIONAL E INTERNACIONAL</t>
        </is>
      </c>
      <c r="D3720" t="inlineStr">
        <is>
          <t>Trimestral</t>
        </is>
      </c>
      <c r="E3720" t="inlineStr">
        <is>
          <t>Positivo</t>
        </is>
      </c>
      <c r="F3720" s="105" t="n">
        <v>46022</v>
      </c>
      <c r="G3720" t="inlineStr">
        <is>
          <t>532-2025-12-31</t>
        </is>
      </c>
      <c r="H3720" t="inlineStr">
        <is>
          <t>N de asignaturas COIL - (Collaborative Online International Learning)</t>
        </is>
      </c>
      <c r="I3720" t="n">
        <v>100</v>
      </c>
      <c r="J3720" t="n">
        <v>116</v>
      </c>
      <c r="EV3720" t="n">
        <v>29</v>
      </c>
      <c r="EW3720" t="n">
        <v>25</v>
      </c>
    </row>
    <row r="3721">
      <c r="A3721" t="n">
        <v>533</v>
      </c>
      <c r="B3721" t="inlineStr">
        <is>
          <t>Participación de estudiantes externos invitados a actividades de cooperación nacional e internacional</t>
        </is>
      </c>
      <c r="C3721" t="inlineStr">
        <is>
          <t>VISIBILIDAD NACIONAL E INTERNACIONAL</t>
        </is>
      </c>
      <c r="D3721" t="inlineStr">
        <is>
          <t>Trimestral</t>
        </is>
      </c>
      <c r="E3721" t="inlineStr">
        <is>
          <t>Positivo</t>
        </is>
      </c>
      <c r="F3721" s="105" t="n">
        <v>46022</v>
      </c>
      <c r="G3721" t="inlineStr">
        <is>
          <t>533-2025-12-31</t>
        </is>
      </c>
      <c r="H3721" t="inlineStr">
        <is>
          <t>Movilidad Física Entrante Estudiantes</t>
        </is>
      </c>
      <c r="I3721" t="n">
        <v>100</v>
      </c>
      <c r="J3721" t="n">
        <v>246.25</v>
      </c>
      <c r="EX3721" t="n">
        <v>80</v>
      </c>
      <c r="EY3721" t="n">
        <v>197</v>
      </c>
    </row>
    <row r="3722">
      <c r="A3722" t="n">
        <v>533</v>
      </c>
      <c r="B3722" t="inlineStr">
        <is>
          <t>Participación de estudiantes externos invitados a actividades de cooperación nacional e internacional</t>
        </is>
      </c>
      <c r="C3722" t="inlineStr">
        <is>
          <t>VISIBILIDAD NACIONAL E INTERNACIONAL</t>
        </is>
      </c>
      <c r="D3722" t="inlineStr">
        <is>
          <t>Trimestral</t>
        </is>
      </c>
      <c r="E3722" t="inlineStr">
        <is>
          <t>Positivo</t>
        </is>
      </c>
      <c r="F3722" s="105" t="n">
        <v>46022</v>
      </c>
      <c r="G3722" t="inlineStr">
        <is>
          <t>533-2025-12-31</t>
        </is>
      </c>
      <c r="H3722" t="inlineStr">
        <is>
          <t>Participación estudiantes invitados en eventos académicos virtuales en Poli</t>
        </is>
      </c>
      <c r="I3722" t="n">
        <v>100</v>
      </c>
      <c r="J3722" t="n">
        <v>171.1300048828125</v>
      </c>
      <c r="EX3722" t="n">
        <v>800</v>
      </c>
      <c r="EY3722" t="n">
        <v>1369</v>
      </c>
    </row>
    <row r="3723">
      <c r="A3723" t="n">
        <v>534</v>
      </c>
      <c r="B3723" t="inlineStr">
        <is>
          <t>Participación de estudiantes POLI en actividades de cooperación nacional e internacional</t>
        </is>
      </c>
      <c r="C3723" t="inlineStr">
        <is>
          <t>VISIBILIDAD NACIONAL E INTERNACIONAL</t>
        </is>
      </c>
      <c r="D3723" t="inlineStr">
        <is>
          <t>Trimestral</t>
        </is>
      </c>
      <c r="E3723" t="inlineStr">
        <is>
          <t>Positivo</t>
        </is>
      </c>
      <c r="F3723" s="105" t="n">
        <v>46022</v>
      </c>
      <c r="G3723" t="inlineStr">
        <is>
          <t>534-2025-12-31</t>
        </is>
      </c>
      <c r="H3723" t="inlineStr">
        <is>
          <t>Movilidad Física Saliente Estudiantes</t>
        </is>
      </c>
      <c r="I3723" t="n">
        <v>100</v>
      </c>
      <c r="J3723" t="n">
        <v>165.2899932861328</v>
      </c>
      <c r="EZ3723" t="n">
        <v>170</v>
      </c>
      <c r="FA3723" t="n">
        <v>281</v>
      </c>
    </row>
    <row r="3724">
      <c r="A3724" t="n">
        <v>534</v>
      </c>
      <c r="B3724" t="inlineStr">
        <is>
          <t>Participación de estudiantes POLI en actividades de cooperación nacional e internacional</t>
        </is>
      </c>
      <c r="C3724" t="inlineStr">
        <is>
          <t>VISIBILIDAD NACIONAL E INTERNACIONAL</t>
        </is>
      </c>
      <c r="D3724" t="inlineStr">
        <is>
          <t>Trimestral</t>
        </is>
      </c>
      <c r="E3724" t="inlineStr">
        <is>
          <t>Positivo</t>
        </is>
      </c>
      <c r="F3724" s="105" t="n">
        <v>46022</v>
      </c>
      <c r="G3724" t="inlineStr">
        <is>
          <t>534-2025-12-31</t>
        </is>
      </c>
      <c r="H3724" t="inlineStr">
        <is>
          <t>Participación estudiantes Poli en eventos académicos nacionales e internacionales virtuales</t>
        </is>
      </c>
      <c r="I3724" t="n">
        <v>100</v>
      </c>
      <c r="J3724" t="n">
        <v>129.3000030517578</v>
      </c>
      <c r="EZ3724" t="n">
        <v>1000</v>
      </c>
      <c r="FA3724" t="n">
        <v>1293</v>
      </c>
    </row>
    <row r="3725">
      <c r="A3725" t="n">
        <v>535</v>
      </c>
      <c r="B3725" t="inlineStr">
        <is>
          <t>Participación de profesores externos invitados a actividades de cooperación nacional e internacional</t>
        </is>
      </c>
      <c r="C3725" t="inlineStr">
        <is>
          <t>VISIBILIDAD NACIONAL E INTERNACIONAL</t>
        </is>
      </c>
      <c r="D3725" t="inlineStr">
        <is>
          <t>Trimestral</t>
        </is>
      </c>
      <c r="E3725" t="inlineStr">
        <is>
          <t>Positivo</t>
        </is>
      </c>
      <c r="F3725" s="105" t="n">
        <v>46022</v>
      </c>
      <c r="G3725" t="inlineStr">
        <is>
          <t>535-2025-12-31</t>
        </is>
      </c>
      <c r="H3725" t="inlineStr">
        <is>
          <t>Movilidad Física Entrantes Profesores</t>
        </is>
      </c>
      <c r="I3725" t="n">
        <v>100</v>
      </c>
      <c r="J3725" t="n">
        <v>154.5500030517578</v>
      </c>
      <c r="FB3725" t="n">
        <v>55</v>
      </c>
      <c r="FC3725" t="n">
        <v>85</v>
      </c>
    </row>
    <row r="3726">
      <c r="A3726" t="n">
        <v>535</v>
      </c>
      <c r="B3726" t="inlineStr">
        <is>
          <t>Participación de profesores externos invitados a actividades de cooperación nacional e internacional</t>
        </is>
      </c>
      <c r="C3726" t="inlineStr">
        <is>
          <t>VISIBILIDAD NACIONAL E INTERNACIONAL</t>
        </is>
      </c>
      <c r="D3726" t="inlineStr">
        <is>
          <t>Trimestral</t>
        </is>
      </c>
      <c r="E3726" t="inlineStr">
        <is>
          <t>Positivo</t>
        </is>
      </c>
      <c r="F3726" s="105" t="n">
        <v>46022</v>
      </c>
      <c r="G3726" t="inlineStr">
        <is>
          <t>535-2025-12-31</t>
        </is>
      </c>
      <c r="H3726" t="inlineStr">
        <is>
          <t>Participación docentes invitados en eventos académicos virtuales en Poli</t>
        </is>
      </c>
      <c r="I3726" t="n">
        <v>100</v>
      </c>
      <c r="J3726" t="n">
        <v>247.5</v>
      </c>
      <c r="FB3726" t="n">
        <v>80</v>
      </c>
      <c r="FC3726" t="n">
        <v>198</v>
      </c>
    </row>
    <row r="3727">
      <c r="A3727" t="n">
        <v>536</v>
      </c>
      <c r="B3727" t="inlineStr">
        <is>
          <t>Participación de profesores POLI en actividades de cooperación nacional e internacional</t>
        </is>
      </c>
      <c r="C3727" t="inlineStr">
        <is>
          <t>VISIBILIDAD NACIONAL E INTERNACIONAL</t>
        </is>
      </c>
      <c r="D3727" t="inlineStr">
        <is>
          <t>Trimestral</t>
        </is>
      </c>
      <c r="E3727" t="inlineStr">
        <is>
          <t>Positivo</t>
        </is>
      </c>
      <c r="F3727" s="105" t="n">
        <v>46022</v>
      </c>
      <c r="G3727" t="inlineStr">
        <is>
          <t>536-2025-12-31</t>
        </is>
      </c>
      <c r="H3727" t="inlineStr">
        <is>
          <t>Movilidad Física Profesores Salientes</t>
        </is>
      </c>
      <c r="I3727" t="n">
        <v>100</v>
      </c>
      <c r="J3727" t="n">
        <v>160</v>
      </c>
      <c r="FD3727" t="n">
        <v>85</v>
      </c>
      <c r="FE3727" t="n">
        <v>136</v>
      </c>
    </row>
    <row r="3728">
      <c r="A3728" t="n">
        <v>536</v>
      </c>
      <c r="B3728" t="inlineStr">
        <is>
          <t>Participación de profesores POLI en actividades de cooperación nacional e internacional</t>
        </is>
      </c>
      <c r="C3728" t="inlineStr">
        <is>
          <t>VISIBILIDAD NACIONAL E INTERNACIONAL</t>
        </is>
      </c>
      <c r="D3728" t="inlineStr">
        <is>
          <t>Trimestral</t>
        </is>
      </c>
      <c r="E3728" t="inlineStr">
        <is>
          <t>Positivo</t>
        </is>
      </c>
      <c r="F3728" s="105" t="n">
        <v>46022</v>
      </c>
      <c r="G3728" t="inlineStr">
        <is>
          <t>536-2025-12-31</t>
        </is>
      </c>
      <c r="H3728" t="inlineStr">
        <is>
          <t>Participación docentes Poli en eventos académicos nacionales e internacionales virtuales</t>
        </is>
      </c>
      <c r="I3728" t="n">
        <v>100</v>
      </c>
      <c r="J3728" t="n">
        <v>650</v>
      </c>
      <c r="FD3728" t="n">
        <v>22</v>
      </c>
      <c r="FE3728" t="n">
        <v>143</v>
      </c>
    </row>
    <row r="3729">
      <c r="A3729" t="n">
        <v>544</v>
      </c>
      <c r="B3729" t="inlineStr">
        <is>
          <t>Producción de ambientes inmersivos LEI</t>
        </is>
      </c>
      <c r="C3729" t="inlineStr">
        <is>
          <t>LEI</t>
        </is>
      </c>
      <c r="D3729" t="inlineStr">
        <is>
          <t>Trimestral</t>
        </is>
      </c>
      <c r="E3729" t="inlineStr">
        <is>
          <t>Positivo</t>
        </is>
      </c>
      <c r="F3729" s="105" t="n">
        <v>46022</v>
      </c>
      <c r="G3729" t="inlineStr">
        <is>
          <t>544-2025-12-31</t>
        </is>
      </c>
      <c r="H3729" t="inlineStr">
        <is>
          <t>Diseño pedagógico</t>
        </is>
      </c>
      <c r="I3729" t="n">
        <v>100</v>
      </c>
      <c r="J3729" t="n">
        <v>150</v>
      </c>
      <c r="FH3729" t="n">
        <v>2</v>
      </c>
      <c r="FI3729" t="n">
        <v>3</v>
      </c>
    </row>
    <row r="3730">
      <c r="A3730" t="n">
        <v>544</v>
      </c>
      <c r="B3730" t="inlineStr">
        <is>
          <t>Producción de ambientes inmersivos LEI</t>
        </is>
      </c>
      <c r="C3730" t="inlineStr">
        <is>
          <t>LEI</t>
        </is>
      </c>
      <c r="D3730" t="inlineStr">
        <is>
          <t>Trimestral</t>
        </is>
      </c>
      <c r="E3730" t="inlineStr">
        <is>
          <t>Positivo</t>
        </is>
      </c>
      <c r="F3730" s="105" t="n">
        <v>46022</v>
      </c>
      <c r="G3730" t="inlineStr">
        <is>
          <t>544-2025-12-31</t>
        </is>
      </c>
      <c r="H3730" t="inlineStr">
        <is>
          <t>Desarrollo</t>
        </is>
      </c>
      <c r="I3730" t="n">
        <v>100</v>
      </c>
      <c r="J3730" t="n">
        <v>200</v>
      </c>
      <c r="FH3730" t="n">
        <v>2</v>
      </c>
      <c r="FI3730" t="n">
        <v>4</v>
      </c>
    </row>
    <row r="3731">
      <c r="A3731" t="n">
        <v>544</v>
      </c>
      <c r="B3731" t="inlineStr">
        <is>
          <t>Producción de ambientes inmersivos LEI</t>
        </is>
      </c>
      <c r="C3731" t="inlineStr">
        <is>
          <t>LEI</t>
        </is>
      </c>
      <c r="D3731" t="inlineStr">
        <is>
          <t>Trimestral</t>
        </is>
      </c>
      <c r="E3731" t="inlineStr">
        <is>
          <t>Positivo</t>
        </is>
      </c>
      <c r="F3731" s="105" t="n">
        <v>46022</v>
      </c>
      <c r="G3731" t="inlineStr">
        <is>
          <t>544-2025-12-31</t>
        </is>
      </c>
      <c r="H3731" t="inlineStr">
        <is>
          <t>Implementación</t>
        </is>
      </c>
      <c r="I3731" t="n">
        <v>100</v>
      </c>
      <c r="J3731" t="n">
        <v>200</v>
      </c>
      <c r="FH3731" t="n">
        <v>2</v>
      </c>
      <c r="FI3731" t="n">
        <v>4</v>
      </c>
    </row>
    <row r="3732">
      <c r="A3732" t="n">
        <v>544</v>
      </c>
      <c r="B3732" t="inlineStr">
        <is>
          <t>Producción de ambientes inmersivos LEI</t>
        </is>
      </c>
      <c r="C3732" t="inlineStr">
        <is>
          <t>LEI</t>
        </is>
      </c>
      <c r="D3732" t="inlineStr">
        <is>
          <t>Trimestral</t>
        </is>
      </c>
      <c r="E3732" t="inlineStr">
        <is>
          <t>Positivo</t>
        </is>
      </c>
      <c r="F3732" s="105" t="n">
        <v>46022</v>
      </c>
      <c r="G3732" t="inlineStr">
        <is>
          <t>544-2025-12-31</t>
        </is>
      </c>
      <c r="H3732" t="inlineStr">
        <is>
          <t>Pruebas</t>
        </is>
      </c>
      <c r="I3732" t="n">
        <v>100</v>
      </c>
      <c r="J3732" t="n">
        <v>100</v>
      </c>
      <c r="FH3732" t="n">
        <v>2</v>
      </c>
      <c r="FI3732" t="n">
        <v>2</v>
      </c>
    </row>
    <row r="3733">
      <c r="A3733" t="n">
        <v>213</v>
      </c>
      <c r="B3733" t="inlineStr">
        <is>
          <t>Cumplimiento del Plan Anual del Sistema de Gestión Ambiental</t>
        </is>
      </c>
      <c r="C3733" t="inlineStr">
        <is>
          <t>GESTIÓN AMBIENTAL</t>
        </is>
      </c>
      <c r="D3733" t="inlineStr">
        <is>
          <t>Semestral</t>
        </is>
      </c>
      <c r="E3733" t="inlineStr">
        <is>
          <t>Positivo</t>
        </is>
      </c>
      <c r="F3733" s="105" t="n">
        <v>46022</v>
      </c>
      <c r="G3733" t="inlineStr">
        <is>
          <t>213-2025-12-31</t>
        </is>
      </c>
      <c r="H3733" t="inlineStr">
        <is>
          <t>Plan de Gestión Integral de Residuos</t>
        </is>
      </c>
      <c r="I3733" t="n">
        <v>90</v>
      </c>
      <c r="J3733" t="n">
        <v>100</v>
      </c>
      <c r="AW3733" t="n">
        <v>75</v>
      </c>
      <c r="AX3733" t="n">
        <v>75</v>
      </c>
    </row>
    <row r="3734">
      <c r="A3734" t="n">
        <v>213</v>
      </c>
      <c r="B3734" t="inlineStr">
        <is>
          <t>Cumplimiento del Plan Anual del Sistema de Gestión Ambiental</t>
        </is>
      </c>
      <c r="C3734" t="inlineStr">
        <is>
          <t>GESTIÓN AMBIENTAL</t>
        </is>
      </c>
      <c r="D3734" t="inlineStr">
        <is>
          <t>Semestral</t>
        </is>
      </c>
      <c r="E3734" t="inlineStr">
        <is>
          <t>Positivo</t>
        </is>
      </c>
      <c r="F3734" s="105" t="n">
        <v>46022</v>
      </c>
      <c r="G3734" t="inlineStr">
        <is>
          <t>213-2025-12-31</t>
        </is>
      </c>
      <c r="H3734" t="inlineStr">
        <is>
          <t>Programa de Gestión del Ahorro y Uso Eficiente de la Energía</t>
        </is>
      </c>
      <c r="I3734" t="n">
        <v>90</v>
      </c>
      <c r="J3734" t="n">
        <v>100</v>
      </c>
      <c r="AW3734" t="n">
        <v>6</v>
      </c>
      <c r="AX3734" t="n">
        <v>6</v>
      </c>
    </row>
    <row r="3735">
      <c r="A3735" t="n">
        <v>213</v>
      </c>
      <c r="B3735" t="inlineStr">
        <is>
          <t>Cumplimiento del Plan Anual del Sistema de Gestión Ambiental</t>
        </is>
      </c>
      <c r="C3735" t="inlineStr">
        <is>
          <t>GESTIÓN AMBIENTAL</t>
        </is>
      </c>
      <c r="D3735" t="inlineStr">
        <is>
          <t>Semestral</t>
        </is>
      </c>
      <c r="E3735" t="inlineStr">
        <is>
          <t>Positivo</t>
        </is>
      </c>
      <c r="F3735" s="105" t="n">
        <v>46022</v>
      </c>
      <c r="G3735" t="inlineStr">
        <is>
          <t>213-2025-12-31</t>
        </is>
      </c>
      <c r="H3735" t="inlineStr">
        <is>
          <t>Programa de Gestión del la Calidad del Aire,  Ruido Ambiental y Publicidad Exterior Visual</t>
        </is>
      </c>
      <c r="I3735" t="n">
        <v>90</v>
      </c>
      <c r="J3735" t="n">
        <v>100</v>
      </c>
      <c r="AW3735" t="n">
        <v>4</v>
      </c>
      <c r="AX3735" t="n">
        <v>4</v>
      </c>
    </row>
    <row r="3736">
      <c r="A3736" t="n">
        <v>213</v>
      </c>
      <c r="B3736" t="inlineStr">
        <is>
          <t>Cumplimiento del Plan Anual del Sistema de Gestión Ambiental</t>
        </is>
      </c>
      <c r="C3736" t="inlineStr">
        <is>
          <t>GESTIÓN AMBIENTAL</t>
        </is>
      </c>
      <c r="D3736" t="inlineStr">
        <is>
          <t>Semestral</t>
        </is>
      </c>
      <c r="E3736" t="inlineStr">
        <is>
          <t>Positivo</t>
        </is>
      </c>
      <c r="F3736" s="105" t="n">
        <v>46022</v>
      </c>
      <c r="G3736" t="inlineStr">
        <is>
          <t>213-2025-12-31</t>
        </is>
      </c>
      <c r="H3736" t="inlineStr">
        <is>
          <t>Programa de Gestión de Áreas Naturales</t>
        </is>
      </c>
      <c r="I3736" t="n">
        <v>90</v>
      </c>
      <c r="J3736" t="n">
        <v>100</v>
      </c>
      <c r="AW3736" t="n">
        <v>9</v>
      </c>
      <c r="AX3736" t="n">
        <v>9</v>
      </c>
    </row>
    <row r="3737">
      <c r="A3737" t="n">
        <v>213</v>
      </c>
      <c r="B3737" t="inlineStr">
        <is>
          <t>Cumplimiento del Plan Anual del Sistema de Gestión Ambiental</t>
        </is>
      </c>
      <c r="C3737" t="inlineStr">
        <is>
          <t>GESTIÓN AMBIENTAL</t>
        </is>
      </c>
      <c r="D3737" t="inlineStr">
        <is>
          <t>Semestral</t>
        </is>
      </c>
      <c r="E3737" t="inlineStr">
        <is>
          <t>Positivo</t>
        </is>
      </c>
      <c r="F3737" s="105" t="n">
        <v>46022</v>
      </c>
      <c r="G3737" t="inlineStr">
        <is>
          <t>213-2025-12-31</t>
        </is>
      </c>
      <c r="H3737" t="inlineStr">
        <is>
          <t>Programa de Gestión de la Medición y Compensación de Gases de Efecto Invernadero</t>
        </is>
      </c>
      <c r="I3737" t="n">
        <v>90</v>
      </c>
      <c r="J3737" t="n">
        <v>100</v>
      </c>
      <c r="AW3737" t="n">
        <v>5</v>
      </c>
      <c r="AX3737" t="n">
        <v>5</v>
      </c>
    </row>
    <row r="3738">
      <c r="A3738" t="n">
        <v>213</v>
      </c>
      <c r="B3738" t="inlineStr">
        <is>
          <t>Cumplimiento del Plan Anual del Sistema de Gestión Ambiental</t>
        </is>
      </c>
      <c r="C3738" t="inlineStr">
        <is>
          <t>GESTIÓN AMBIENTAL</t>
        </is>
      </c>
      <c r="D3738" t="inlineStr">
        <is>
          <t>Semestral</t>
        </is>
      </c>
      <c r="E3738" t="inlineStr">
        <is>
          <t>Positivo</t>
        </is>
      </c>
      <c r="F3738" s="105" t="n">
        <v>46022</v>
      </c>
      <c r="G3738" t="inlineStr">
        <is>
          <t>213-2025-12-31</t>
        </is>
      </c>
      <c r="H3738" t="inlineStr">
        <is>
          <t>Programa Gestión de la Educación y Comunicación Ambiental</t>
        </is>
      </c>
      <c r="I3738" t="n">
        <v>90</v>
      </c>
      <c r="J3738" t="n">
        <v>100</v>
      </c>
      <c r="AW3738" t="n">
        <v>26</v>
      </c>
      <c r="AX3738" t="n">
        <v>26</v>
      </c>
    </row>
    <row r="3739">
      <c r="A3739" t="n">
        <v>213</v>
      </c>
      <c r="B3739" t="inlineStr">
        <is>
          <t>Cumplimiento del Plan Anual del Sistema de Gestión Ambiental</t>
        </is>
      </c>
      <c r="C3739" t="inlineStr">
        <is>
          <t>GESTIÓN AMBIENTAL</t>
        </is>
      </c>
      <c r="D3739" t="inlineStr">
        <is>
          <t>Semestral</t>
        </is>
      </c>
      <c r="E3739" t="inlineStr">
        <is>
          <t>Positivo</t>
        </is>
      </c>
      <c r="F3739" s="105" t="n">
        <v>46022</v>
      </c>
      <c r="G3739" t="inlineStr">
        <is>
          <t>213-2025-12-31</t>
        </is>
      </c>
      <c r="H3739" t="inlineStr">
        <is>
          <t>Actividades de Gestión</t>
        </is>
      </c>
      <c r="I3739" t="n">
        <v>90</v>
      </c>
      <c r="J3739" t="n">
        <v>100</v>
      </c>
      <c r="AW3739" t="n">
        <v>38</v>
      </c>
      <c r="AX3739" t="n">
        <v>38</v>
      </c>
    </row>
    <row r="3740">
      <c r="A3740" t="n">
        <v>213</v>
      </c>
      <c r="B3740" t="inlineStr">
        <is>
          <t>Cumplimiento del Plan Anual del Sistema de Gestión Ambiental</t>
        </is>
      </c>
      <c r="C3740" t="inlineStr">
        <is>
          <t>GESTIÓN AMBIENTAL</t>
        </is>
      </c>
      <c r="D3740" t="inlineStr">
        <is>
          <t>Semestral</t>
        </is>
      </c>
      <c r="E3740" t="inlineStr">
        <is>
          <t>Positivo</t>
        </is>
      </c>
      <c r="F3740" s="105" t="n">
        <v>46022</v>
      </c>
      <c r="G3740" t="inlineStr">
        <is>
          <t>213-2025-12-31</t>
        </is>
      </c>
      <c r="H3740" t="inlineStr">
        <is>
          <t>Programa de Gestión de la Calidad, Ahorro y Uso Eficiente del Agua</t>
        </is>
      </c>
      <c r="I3740" t="n">
        <v>90</v>
      </c>
      <c r="J3740" t="n">
        <v>100</v>
      </c>
      <c r="AW3740" t="n">
        <v>22</v>
      </c>
      <c r="AX3740" t="n">
        <v>22</v>
      </c>
    </row>
    <row r="3741">
      <c r="A3741" t="n">
        <v>238</v>
      </c>
      <c r="B3741" t="inlineStr">
        <is>
          <t>Cumplimiento de la Protección del Medio Ambiente</t>
        </is>
      </c>
      <c r="C3741" t="inlineStr">
        <is>
          <t>GESTIÓN AMBIENTAL</t>
        </is>
      </c>
      <c r="D3741" t="inlineStr">
        <is>
          <t>Semestral</t>
        </is>
      </c>
      <c r="E3741" t="inlineStr">
        <is>
          <t>Positivo</t>
        </is>
      </c>
      <c r="F3741" s="105" t="n">
        <v>46022</v>
      </c>
      <c r="G3741" t="inlineStr">
        <is>
          <t>238-2025-12-31</t>
        </is>
      </c>
      <c r="H3741" t="inlineStr">
        <is>
          <t>Cumplimiento del Plan Anual del SGA</t>
        </is>
      </c>
      <c r="I3741" t="n">
        <v>90</v>
      </c>
      <c r="J3741" t="n">
        <v>68.41999816894531</v>
      </c>
      <c r="AY3741" t="n">
        <v>26</v>
      </c>
      <c r="AZ3741" t="n">
        <v>38</v>
      </c>
    </row>
    <row r="3742">
      <c r="A3742" t="n">
        <v>238</v>
      </c>
      <c r="B3742" t="inlineStr">
        <is>
          <t>Cumplimiento de la Protección del Medio Ambiente</t>
        </is>
      </c>
      <c r="C3742" t="inlineStr">
        <is>
          <t>GESTIÓN AMBIENTAL</t>
        </is>
      </c>
      <c r="D3742" t="inlineStr">
        <is>
          <t>Semestral</t>
        </is>
      </c>
      <c r="E3742" t="inlineStr">
        <is>
          <t>Positivo</t>
        </is>
      </c>
      <c r="F3742" s="105" t="n">
        <v>46022</v>
      </c>
      <c r="G3742" t="inlineStr">
        <is>
          <t>238-2025-12-31</t>
        </is>
      </c>
      <c r="H3742" t="inlineStr">
        <is>
          <t>Cumplimiento Gestión Integral de Residuos</t>
        </is>
      </c>
      <c r="I3742" t="n">
        <v>90</v>
      </c>
      <c r="J3742" t="n">
        <v>64.29000091552734</v>
      </c>
      <c r="AY3742" t="n">
        <v>9</v>
      </c>
      <c r="AZ3742" t="n">
        <v>14</v>
      </c>
    </row>
    <row r="3743">
      <c r="A3743" t="n">
        <v>238</v>
      </c>
      <c r="B3743" t="inlineStr">
        <is>
          <t>Cumplimiento de la Protección del Medio Ambiente</t>
        </is>
      </c>
      <c r="C3743" t="inlineStr">
        <is>
          <t>GESTIÓN AMBIENTAL</t>
        </is>
      </c>
      <c r="D3743" t="inlineStr">
        <is>
          <t>Semestral</t>
        </is>
      </c>
      <c r="E3743" t="inlineStr">
        <is>
          <t>Positivo</t>
        </is>
      </c>
      <c r="F3743" s="105" t="n">
        <v>46022</v>
      </c>
      <c r="G3743" t="inlineStr">
        <is>
          <t>238-2025-12-31</t>
        </is>
      </c>
      <c r="H3743" t="inlineStr">
        <is>
          <t>Cumplimiento Gestión del Ahorro y Uso Eficiente de Energía</t>
        </is>
      </c>
      <c r="I3743" t="n">
        <v>90</v>
      </c>
      <c r="J3743" t="n">
        <v>80</v>
      </c>
      <c r="AY3743" t="n">
        <v>4</v>
      </c>
      <c r="AZ3743" t="n">
        <v>5</v>
      </c>
    </row>
    <row r="3744">
      <c r="A3744" t="n">
        <v>238</v>
      </c>
      <c r="B3744" t="inlineStr">
        <is>
          <t>Cumplimiento de la Protección del Medio Ambiente</t>
        </is>
      </c>
      <c r="C3744" t="inlineStr">
        <is>
          <t>GESTIÓN AMBIENTAL</t>
        </is>
      </c>
      <c r="D3744" t="inlineStr">
        <is>
          <t>Semestral</t>
        </is>
      </c>
      <c r="E3744" t="inlineStr">
        <is>
          <t>Positivo</t>
        </is>
      </c>
      <c r="F3744" s="105" t="n">
        <v>46022</v>
      </c>
      <c r="G3744" t="inlineStr">
        <is>
          <t>238-2025-12-31</t>
        </is>
      </c>
      <c r="H3744" t="inlineStr">
        <is>
          <t>Cumplimiento Gestión de la Calidad, Ahorro y Uso Eficiente del Agua</t>
        </is>
      </c>
      <c r="I3744" t="n">
        <v>90</v>
      </c>
      <c r="J3744" t="n">
        <v>57.13999938964844</v>
      </c>
      <c r="AY3744" t="n">
        <v>4</v>
      </c>
      <c r="AZ3744" t="n">
        <v>7</v>
      </c>
    </row>
    <row r="3745">
      <c r="A3745" t="n">
        <v>238</v>
      </c>
      <c r="B3745" t="inlineStr">
        <is>
          <t>Cumplimiento de la Protección del Medio Ambiente</t>
        </is>
      </c>
      <c r="C3745" t="inlineStr">
        <is>
          <t>GESTIÓN AMBIENTAL</t>
        </is>
      </c>
      <c r="D3745" t="inlineStr">
        <is>
          <t>Semestral</t>
        </is>
      </c>
      <c r="E3745" t="inlineStr">
        <is>
          <t>Positivo</t>
        </is>
      </c>
      <c r="F3745" s="105" t="n">
        <v>46022</v>
      </c>
      <c r="G3745" t="inlineStr">
        <is>
          <t>238-2025-12-31</t>
        </is>
      </c>
      <c r="H3745" t="inlineStr">
        <is>
          <t>Cumplimiento Gestión del la Calidad del Aire,  Ruido Ambiental y Publicidad Exterior Visual</t>
        </is>
      </c>
      <c r="I3745" t="n">
        <v>90</v>
      </c>
      <c r="J3745" t="n">
        <v>50</v>
      </c>
      <c r="AY3745" t="n">
        <v>1</v>
      </c>
      <c r="AZ3745" t="n">
        <v>2</v>
      </c>
    </row>
    <row r="3746">
      <c r="A3746" t="n">
        <v>238</v>
      </c>
      <c r="B3746" t="inlineStr">
        <is>
          <t>Cumplimiento de la Protección del Medio Ambiente</t>
        </is>
      </c>
      <c r="C3746" t="inlineStr">
        <is>
          <t>GESTIÓN AMBIENTAL</t>
        </is>
      </c>
      <c r="D3746" t="inlineStr">
        <is>
          <t>Semestral</t>
        </is>
      </c>
      <c r="E3746" t="inlineStr">
        <is>
          <t>Positivo</t>
        </is>
      </c>
      <c r="F3746" s="105" t="n">
        <v>46022</v>
      </c>
      <c r="G3746" t="inlineStr">
        <is>
          <t>238-2025-12-31</t>
        </is>
      </c>
      <c r="H3746" t="inlineStr">
        <is>
          <t>Cumplimiento Gestión de Áreas Naturales</t>
        </is>
      </c>
      <c r="I3746" t="n">
        <v>90</v>
      </c>
      <c r="J3746" t="n">
        <v>33.33000183105469</v>
      </c>
      <c r="AY3746" t="n">
        <v>1</v>
      </c>
      <c r="AZ3746" t="n">
        <v>3</v>
      </c>
    </row>
    <row r="3747">
      <c r="A3747" t="n">
        <v>238</v>
      </c>
      <c r="B3747" t="inlineStr">
        <is>
          <t>Cumplimiento de la Protección del Medio Ambiente</t>
        </is>
      </c>
      <c r="C3747" t="inlineStr">
        <is>
          <t>GESTIÓN AMBIENTAL</t>
        </is>
      </c>
      <c r="D3747" t="inlineStr">
        <is>
          <t>Semestral</t>
        </is>
      </c>
      <c r="E3747" t="inlineStr">
        <is>
          <t>Positivo</t>
        </is>
      </c>
      <c r="F3747" s="105" t="n">
        <v>46022</v>
      </c>
      <c r="G3747" t="inlineStr">
        <is>
          <t>238-2025-12-31</t>
        </is>
      </c>
      <c r="H3747" t="inlineStr">
        <is>
          <t>Cumplimiento Gestión de la Educación y Comunicación Ambiental</t>
        </is>
      </c>
      <c r="I3747" t="n">
        <v>90</v>
      </c>
      <c r="J3747" t="n">
        <v>100</v>
      </c>
      <c r="AY3747" t="n">
        <v>3</v>
      </c>
      <c r="AZ3747" t="n">
        <v>3</v>
      </c>
    </row>
    <row r="3748">
      <c r="A3748" t="n">
        <v>238</v>
      </c>
      <c r="B3748" t="inlineStr">
        <is>
          <t>Cumplimiento de la Protección del Medio Ambiente</t>
        </is>
      </c>
      <c r="C3748" t="inlineStr">
        <is>
          <t>GESTIÓN AMBIENTAL</t>
        </is>
      </c>
      <c r="D3748" t="inlineStr">
        <is>
          <t>Semestral</t>
        </is>
      </c>
      <c r="E3748" t="inlineStr">
        <is>
          <t>Positivo</t>
        </is>
      </c>
      <c r="F3748" s="105" t="n">
        <v>46022</v>
      </c>
      <c r="G3748" t="inlineStr">
        <is>
          <t>238-2025-12-31</t>
        </is>
      </c>
      <c r="H3748" t="inlineStr">
        <is>
          <t>Cumplimiento Gestión de la Medición y Compensación de GEI</t>
        </is>
      </c>
      <c r="I3748" t="n">
        <v>90</v>
      </c>
      <c r="J3748" t="n">
        <v>100</v>
      </c>
      <c r="AY3748" t="n">
        <v>3</v>
      </c>
      <c r="AZ3748" t="n">
        <v>3</v>
      </c>
    </row>
    <row r="3749">
      <c r="A3749" t="n">
        <v>306</v>
      </c>
      <c r="B3749" t="inlineStr">
        <is>
          <t>Seguimiento KPI Plan de Desarrollo Institucional</t>
        </is>
      </c>
      <c r="C3749" t="inlineStr">
        <is>
          <t>Desempeño Institucional</t>
        </is>
      </c>
      <c r="D3749" t="inlineStr">
        <is>
          <t>Semestral</t>
        </is>
      </c>
      <c r="E3749" t="inlineStr">
        <is>
          <t>Positivo</t>
        </is>
      </c>
      <c r="F3749" s="105" t="n">
        <v>46022</v>
      </c>
      <c r="G3749" t="inlineStr">
        <is>
          <t>306-2025-12-31</t>
        </is>
      </c>
      <c r="H3749" t="inlineStr">
        <is>
          <t>Calidad</t>
        </is>
      </c>
      <c r="I3749" t="n">
        <v>100</v>
      </c>
      <c r="J3749" t="n">
        <v>99.69999694824219</v>
      </c>
      <c r="BY3749" t="n">
        <v>99.7</v>
      </c>
    </row>
    <row r="3750">
      <c r="A3750" t="n">
        <v>306</v>
      </c>
      <c r="B3750" t="inlineStr">
        <is>
          <t>Seguimiento KPI Plan de Desarrollo Institucional</t>
        </is>
      </c>
      <c r="C3750" t="inlineStr">
        <is>
          <t>Desempeño Institucional</t>
        </is>
      </c>
      <c r="D3750" t="inlineStr">
        <is>
          <t>Semestral</t>
        </is>
      </c>
      <c r="E3750" t="inlineStr">
        <is>
          <t>Positivo</t>
        </is>
      </c>
      <c r="F3750" s="105" t="n">
        <v>46022</v>
      </c>
      <c r="G3750" t="inlineStr">
        <is>
          <t>306-2025-12-31</t>
        </is>
      </c>
      <c r="H3750" t="inlineStr">
        <is>
          <t>Expansión</t>
        </is>
      </c>
      <c r="I3750" t="n">
        <v>100</v>
      </c>
      <c r="J3750" t="n">
        <v>109</v>
      </c>
      <c r="BY3750" t="n">
        <v>109</v>
      </c>
    </row>
    <row r="3751">
      <c r="A3751" t="n">
        <v>306</v>
      </c>
      <c r="B3751" t="inlineStr">
        <is>
          <t>Seguimiento KPI Plan de Desarrollo Institucional</t>
        </is>
      </c>
      <c r="C3751" t="inlineStr">
        <is>
          <t>Desempeño Institucional</t>
        </is>
      </c>
      <c r="D3751" t="inlineStr">
        <is>
          <t>Semestral</t>
        </is>
      </c>
      <c r="E3751" t="inlineStr">
        <is>
          <t>Positivo</t>
        </is>
      </c>
      <c r="F3751" s="105" t="n">
        <v>46022</v>
      </c>
      <c r="G3751" t="inlineStr">
        <is>
          <t>306-2025-12-31</t>
        </is>
      </c>
      <c r="H3751" t="inlineStr">
        <is>
          <t>Educación para toda la vida</t>
        </is>
      </c>
      <c r="I3751" t="n">
        <v>100</v>
      </c>
      <c r="J3751" t="n">
        <v>110</v>
      </c>
      <c r="BY3751" t="n">
        <v>110</v>
      </c>
    </row>
    <row r="3752">
      <c r="A3752" t="n">
        <v>306</v>
      </c>
      <c r="B3752" t="inlineStr">
        <is>
          <t>Seguimiento KPI Plan de Desarrollo Institucional</t>
        </is>
      </c>
      <c r="C3752" t="inlineStr">
        <is>
          <t>Desempeño Institucional</t>
        </is>
      </c>
      <c r="D3752" t="inlineStr">
        <is>
          <t>Semestral</t>
        </is>
      </c>
      <c r="E3752" t="inlineStr">
        <is>
          <t>Positivo</t>
        </is>
      </c>
      <c r="F3752" s="105" t="n">
        <v>46022</v>
      </c>
      <c r="G3752" t="inlineStr">
        <is>
          <t>306-2025-12-31</t>
        </is>
      </c>
      <c r="H3752" t="inlineStr">
        <is>
          <t>Experiencia</t>
        </is>
      </c>
      <c r="I3752" t="n">
        <v>100</v>
      </c>
      <c r="J3752" t="n">
        <v>103</v>
      </c>
      <c r="BY3752" t="n">
        <v>103</v>
      </c>
    </row>
    <row r="3753">
      <c r="A3753" t="n">
        <v>306</v>
      </c>
      <c r="B3753" t="inlineStr">
        <is>
          <t>Seguimiento KPI Plan de Desarrollo Institucional</t>
        </is>
      </c>
      <c r="C3753" t="inlineStr">
        <is>
          <t>Desempeño Institucional</t>
        </is>
      </c>
      <c r="D3753" t="inlineStr">
        <is>
          <t>Semestral</t>
        </is>
      </c>
      <c r="E3753" t="inlineStr">
        <is>
          <t>Positivo</t>
        </is>
      </c>
      <c r="F3753" s="105" t="n">
        <v>46022</v>
      </c>
      <c r="G3753" t="inlineStr">
        <is>
          <t>306-2025-12-31</t>
        </is>
      </c>
      <c r="H3753" t="inlineStr">
        <is>
          <t>Sostenibilidad</t>
        </is>
      </c>
      <c r="I3753" t="n">
        <v>100</v>
      </c>
      <c r="J3753" t="n">
        <v>112</v>
      </c>
      <c r="BY3753" t="n">
        <v>112</v>
      </c>
    </row>
    <row r="3754">
      <c r="A3754" t="n">
        <v>306</v>
      </c>
      <c r="B3754" t="inlineStr">
        <is>
          <t>Seguimiento KPI Plan de Desarrollo Institucional</t>
        </is>
      </c>
      <c r="C3754" t="inlineStr">
        <is>
          <t>Desempeño Institucional</t>
        </is>
      </c>
      <c r="D3754" t="inlineStr">
        <is>
          <t>Semestral</t>
        </is>
      </c>
      <c r="E3754" t="inlineStr">
        <is>
          <t>Positivo</t>
        </is>
      </c>
      <c r="F3754" s="105" t="n">
        <v>46022</v>
      </c>
      <c r="G3754" t="inlineStr">
        <is>
          <t>306-2025-12-31</t>
        </is>
      </c>
      <c r="H3754" t="inlineStr">
        <is>
          <t>Trasformación Organizacional</t>
        </is>
      </c>
      <c r="I3754" t="n">
        <v>100</v>
      </c>
      <c r="J3754" t="n">
        <v>112</v>
      </c>
      <c r="BY3754" t="n">
        <v>112</v>
      </c>
    </row>
    <row r="3755">
      <c r="A3755" t="n">
        <v>373</v>
      </c>
      <c r="B3755" t="inlineStr">
        <is>
          <t>Cumplimiento de planes anuales por líneas</t>
        </is>
      </c>
      <c r="C3755" t="inlineStr">
        <is>
          <t>Planeación Estratégica</t>
        </is>
      </c>
      <c r="D3755" t="inlineStr">
        <is>
          <t>Semestral</t>
        </is>
      </c>
      <c r="E3755" t="inlineStr">
        <is>
          <t>Positivo</t>
        </is>
      </c>
      <c r="F3755" s="105" t="n">
        <v>46022</v>
      </c>
      <c r="G3755" t="inlineStr">
        <is>
          <t>373-2025-12-31</t>
        </is>
      </c>
      <c r="H3755" t="inlineStr">
        <is>
          <t>Calidad</t>
        </is>
      </c>
      <c r="I3755" t="n">
        <v>100</v>
      </c>
      <c r="J3755" t="n">
        <v>100</v>
      </c>
      <c r="BZ3755" t="n">
        <v>100</v>
      </c>
      <c r="CA3755" t="n">
        <v>100</v>
      </c>
    </row>
    <row r="3756">
      <c r="A3756" t="n">
        <v>373</v>
      </c>
      <c r="B3756" t="inlineStr">
        <is>
          <t>Cumplimiento de planes anuales por líneas</t>
        </is>
      </c>
      <c r="C3756" t="inlineStr">
        <is>
          <t>Planeación Estratégica</t>
        </is>
      </c>
      <c r="D3756" t="inlineStr">
        <is>
          <t>Semestral</t>
        </is>
      </c>
      <c r="E3756" t="inlineStr">
        <is>
          <t>Positivo</t>
        </is>
      </c>
      <c r="F3756" s="105" t="n">
        <v>46022</v>
      </c>
      <c r="G3756" t="inlineStr">
        <is>
          <t>373-2025-12-31</t>
        </is>
      </c>
      <c r="H3756" t="inlineStr">
        <is>
          <t>Educación para toda la vida</t>
        </is>
      </c>
      <c r="I3756" t="n">
        <v>100</v>
      </c>
      <c r="J3756" t="n">
        <v>98</v>
      </c>
      <c r="BZ3756" t="n">
        <v>98</v>
      </c>
      <c r="CA3756" t="n">
        <v>100</v>
      </c>
    </row>
    <row r="3757">
      <c r="A3757" t="n">
        <v>373</v>
      </c>
      <c r="B3757" t="inlineStr">
        <is>
          <t>Cumplimiento de planes anuales por líneas</t>
        </is>
      </c>
      <c r="C3757" t="inlineStr">
        <is>
          <t>Planeación Estratégica</t>
        </is>
      </c>
      <c r="D3757" t="inlineStr">
        <is>
          <t>Semestral</t>
        </is>
      </c>
      <c r="E3757" t="inlineStr">
        <is>
          <t>Positivo</t>
        </is>
      </c>
      <c r="F3757" s="105" t="n">
        <v>46022</v>
      </c>
      <c r="G3757" t="inlineStr">
        <is>
          <t>373-2025-12-31</t>
        </is>
      </c>
      <c r="H3757" t="inlineStr">
        <is>
          <t>Trasformación Organizacional</t>
        </is>
      </c>
      <c r="I3757" t="n">
        <v>100</v>
      </c>
      <c r="J3757" t="n">
        <v>100</v>
      </c>
      <c r="BZ3757" t="n">
        <v>100</v>
      </c>
      <c r="CA3757" t="n">
        <v>100</v>
      </c>
    </row>
    <row r="3758">
      <c r="A3758" t="n">
        <v>373</v>
      </c>
      <c r="B3758" t="inlineStr">
        <is>
          <t>Cumplimiento de planes anuales por líneas</t>
        </is>
      </c>
      <c r="C3758" t="inlineStr">
        <is>
          <t>Planeación Estratégica</t>
        </is>
      </c>
      <c r="D3758" t="inlineStr">
        <is>
          <t>Semestral</t>
        </is>
      </c>
      <c r="E3758" t="inlineStr">
        <is>
          <t>Positivo</t>
        </is>
      </c>
      <c r="F3758" s="105" t="n">
        <v>46022</v>
      </c>
      <c r="G3758" t="inlineStr">
        <is>
          <t>373-2025-12-31</t>
        </is>
      </c>
      <c r="H3758" t="inlineStr">
        <is>
          <t>Experiencia</t>
        </is>
      </c>
      <c r="I3758" t="n">
        <v>100</v>
      </c>
      <c r="J3758" t="n">
        <v>99</v>
      </c>
      <c r="BZ3758" t="n">
        <v>99</v>
      </c>
      <c r="CA3758" t="n">
        <v>100</v>
      </c>
    </row>
    <row r="3759">
      <c r="A3759" t="n">
        <v>373</v>
      </c>
      <c r="B3759" t="inlineStr">
        <is>
          <t>Cumplimiento de planes anuales por líneas</t>
        </is>
      </c>
      <c r="C3759" t="inlineStr">
        <is>
          <t>Planeación Estratégica</t>
        </is>
      </c>
      <c r="D3759" t="inlineStr">
        <is>
          <t>Semestral</t>
        </is>
      </c>
      <c r="E3759" t="inlineStr">
        <is>
          <t>Positivo</t>
        </is>
      </c>
      <c r="F3759" s="105" t="n">
        <v>46022</v>
      </c>
      <c r="G3759" t="inlineStr">
        <is>
          <t>373-2025-12-31</t>
        </is>
      </c>
      <c r="H3759" t="inlineStr">
        <is>
          <t>Sostenibilidad</t>
        </is>
      </c>
      <c r="I3759" t="n">
        <v>100</v>
      </c>
      <c r="J3759" t="n">
        <v>99</v>
      </c>
      <c r="BZ3759" t="n">
        <v>99</v>
      </c>
      <c r="CA3759" t="n">
        <v>100</v>
      </c>
    </row>
    <row r="3760">
      <c r="A3760" t="n">
        <v>373</v>
      </c>
      <c r="B3760" t="inlineStr">
        <is>
          <t>Cumplimiento de planes anuales por líneas</t>
        </is>
      </c>
      <c r="C3760" t="inlineStr">
        <is>
          <t>Planeación Estratégica</t>
        </is>
      </c>
      <c r="D3760" t="inlineStr">
        <is>
          <t>Semestral</t>
        </is>
      </c>
      <c r="E3760" t="inlineStr">
        <is>
          <t>Positivo</t>
        </is>
      </c>
      <c r="F3760" s="105" t="n">
        <v>46022</v>
      </c>
      <c r="G3760" t="inlineStr">
        <is>
          <t>373-2025-12-31</t>
        </is>
      </c>
      <c r="H3760" t="inlineStr">
        <is>
          <t>Expansión</t>
        </is>
      </c>
      <c r="I3760" t="n">
        <v>100</v>
      </c>
      <c r="J3760" t="n">
        <v>100</v>
      </c>
      <c r="BZ3760" t="n">
        <v>100</v>
      </c>
      <c r="CA3760" t="n">
        <v>100</v>
      </c>
    </row>
    <row r="3761">
      <c r="A3761" t="n">
        <v>390</v>
      </c>
      <c r="B3761" t="inlineStr">
        <is>
          <t>Cumplimiento Plan Anual por escuela</t>
        </is>
      </c>
      <c r="C3761" t="inlineStr">
        <is>
          <t>Planeación Estratégica</t>
        </is>
      </c>
      <c r="D3761" t="inlineStr">
        <is>
          <t>Semestral</t>
        </is>
      </c>
      <c r="E3761" t="inlineStr">
        <is>
          <t>Positivo</t>
        </is>
      </c>
      <c r="F3761" s="105" t="n">
        <v>46022</v>
      </c>
      <c r="G3761" t="inlineStr">
        <is>
          <t>390-2025-12-31</t>
        </is>
      </c>
      <c r="H3761" t="inlineStr">
        <is>
          <t>ESCUELA DE CIENCIAS BÁSICAS</t>
        </is>
      </c>
      <c r="I3761" t="n">
        <v>100</v>
      </c>
      <c r="J3761" t="n">
        <v>100</v>
      </c>
      <c r="CB3761" t="n">
        <v>100</v>
      </c>
      <c r="CC3761" t="n">
        <v>100</v>
      </c>
    </row>
    <row r="3762">
      <c r="A3762" t="n">
        <v>390</v>
      </c>
      <c r="B3762" t="inlineStr">
        <is>
          <t>Cumplimiento Plan Anual por escuela</t>
        </is>
      </c>
      <c r="C3762" t="inlineStr">
        <is>
          <t>Planeación Estratégica</t>
        </is>
      </c>
      <c r="D3762" t="inlineStr">
        <is>
          <t>Semestral</t>
        </is>
      </c>
      <c r="E3762" t="inlineStr">
        <is>
          <t>Positivo</t>
        </is>
      </c>
      <c r="F3762" s="105" t="n">
        <v>46022</v>
      </c>
      <c r="G3762" t="inlineStr">
        <is>
          <t>390-2025-12-31</t>
        </is>
      </c>
      <c r="H3762" t="inlineStr">
        <is>
          <t>ESCUELA DE  DISEÑO</t>
        </is>
      </c>
      <c r="I3762" t="n">
        <v>100</v>
      </c>
      <c r="J3762" t="n">
        <v>98.16999816894531</v>
      </c>
      <c r="CB3762" t="n">
        <v>98.17</v>
      </c>
      <c r="CC3762" t="n">
        <v>100</v>
      </c>
    </row>
    <row r="3763">
      <c r="A3763" t="n">
        <v>390</v>
      </c>
      <c r="B3763" t="inlineStr">
        <is>
          <t>Cumplimiento Plan Anual por escuela</t>
        </is>
      </c>
      <c r="C3763" t="inlineStr">
        <is>
          <t>Planeación Estratégica</t>
        </is>
      </c>
      <c r="D3763" t="inlineStr">
        <is>
          <t>Semestral</t>
        </is>
      </c>
      <c r="E3763" t="inlineStr">
        <is>
          <t>Positivo</t>
        </is>
      </c>
      <c r="F3763" s="105" t="n">
        <v>46022</v>
      </c>
      <c r="G3763" t="inlineStr">
        <is>
          <t>390-2025-12-31</t>
        </is>
      </c>
      <c r="H3763" t="inlineStr">
        <is>
          <t>ESCUELA DE OPTIMIZACIÓN, INFRA Y AUTO</t>
        </is>
      </c>
      <c r="I3763" t="n">
        <v>100</v>
      </c>
      <c r="J3763" t="n">
        <v>100</v>
      </c>
      <c r="CB3763" t="n">
        <v>100</v>
      </c>
      <c r="CC3763" t="n">
        <v>100</v>
      </c>
    </row>
    <row r="3764">
      <c r="A3764" t="n">
        <v>390</v>
      </c>
      <c r="B3764" t="inlineStr">
        <is>
          <t>Cumplimiento Plan Anual por escuela</t>
        </is>
      </c>
      <c r="C3764" t="inlineStr">
        <is>
          <t>Planeación Estratégica</t>
        </is>
      </c>
      <c r="D3764" t="inlineStr">
        <is>
          <t>Semestral</t>
        </is>
      </c>
      <c r="E3764" t="inlineStr">
        <is>
          <t>Positivo</t>
        </is>
      </c>
      <c r="F3764" s="105" t="n">
        <v>46022</v>
      </c>
      <c r="G3764" t="inlineStr">
        <is>
          <t>390-2025-12-31</t>
        </is>
      </c>
      <c r="H3764" t="inlineStr">
        <is>
          <t>ESCUELA TIC</t>
        </is>
      </c>
      <c r="I3764" t="n">
        <v>100</v>
      </c>
      <c r="J3764" t="n">
        <v>100</v>
      </c>
      <c r="CB3764" t="n">
        <v>100</v>
      </c>
      <c r="CC3764" t="n">
        <v>100</v>
      </c>
    </row>
    <row r="3765">
      <c r="A3765" t="n">
        <v>390</v>
      </c>
      <c r="B3765" t="inlineStr">
        <is>
          <t>Cumplimiento Plan Anual por escuela</t>
        </is>
      </c>
      <c r="C3765" t="inlineStr">
        <is>
          <t>Planeación Estratégica</t>
        </is>
      </c>
      <c r="D3765" t="inlineStr">
        <is>
          <t>Semestral</t>
        </is>
      </c>
      <c r="E3765" t="inlineStr">
        <is>
          <t>Positivo</t>
        </is>
      </c>
      <c r="F3765" s="105" t="n">
        <v>46022</v>
      </c>
      <c r="G3765" t="inlineStr">
        <is>
          <t>390-2025-12-31</t>
        </is>
      </c>
      <c r="H3765" t="inlineStr">
        <is>
          <t>ESCUELA DE ADMINISTRACIÓN Y COMPETITIVIDAD</t>
        </is>
      </c>
      <c r="I3765" t="n">
        <v>100</v>
      </c>
      <c r="J3765" t="n">
        <v>99.16999816894531</v>
      </c>
      <c r="CB3765" t="n">
        <v>99.17</v>
      </c>
      <c r="CC3765" t="n">
        <v>100</v>
      </c>
    </row>
    <row r="3766">
      <c r="A3766" t="n">
        <v>390</v>
      </c>
      <c r="B3766" t="inlineStr">
        <is>
          <t>Cumplimiento Plan Anual por escuela</t>
        </is>
      </c>
      <c r="C3766" t="inlineStr">
        <is>
          <t>Planeación Estratégica</t>
        </is>
      </c>
      <c r="D3766" t="inlineStr">
        <is>
          <t>Semestral</t>
        </is>
      </c>
      <c r="E3766" t="inlineStr">
        <is>
          <t>Positivo</t>
        </is>
      </c>
      <c r="F3766" s="105" t="n">
        <v>46022</v>
      </c>
      <c r="G3766" t="inlineStr">
        <is>
          <t>390-2025-12-31</t>
        </is>
      </c>
      <c r="H3766" t="inlineStr">
        <is>
          <t>ESCUELA DE CONTABILIDAD INTERNACIONAL</t>
        </is>
      </c>
      <c r="I3766" t="n">
        <v>100</v>
      </c>
      <c r="J3766" t="n">
        <v>100</v>
      </c>
      <c r="CB3766" t="n">
        <v>100</v>
      </c>
      <c r="CC3766" t="n">
        <v>100</v>
      </c>
    </row>
    <row r="3767">
      <c r="A3767" t="n">
        <v>390</v>
      </c>
      <c r="B3767" t="inlineStr">
        <is>
          <t>Cumplimiento Plan Anual por escuela</t>
        </is>
      </c>
      <c r="C3767" t="inlineStr">
        <is>
          <t>Planeación Estratégica</t>
        </is>
      </c>
      <c r="D3767" t="inlineStr">
        <is>
          <t>Semestral</t>
        </is>
      </c>
      <c r="E3767" t="inlineStr">
        <is>
          <t>Positivo</t>
        </is>
      </c>
      <c r="F3767" s="105" t="n">
        <v>46022</v>
      </c>
      <c r="G3767" t="inlineStr">
        <is>
          <t>390-2025-12-31</t>
        </is>
      </c>
      <c r="H3767" t="inlineStr">
        <is>
          <t>ESCUELA DE NEGOCIOS Y DESARROLLO INTERNACIONAL</t>
        </is>
      </c>
      <c r="I3767" t="n">
        <v>100</v>
      </c>
      <c r="J3767" t="n">
        <v>100</v>
      </c>
      <c r="CB3767" t="n">
        <v>100</v>
      </c>
      <c r="CC3767" t="n">
        <v>100</v>
      </c>
    </row>
    <row r="3768">
      <c r="A3768" t="n">
        <v>390</v>
      </c>
      <c r="B3768" t="inlineStr">
        <is>
          <t>Cumplimiento Plan Anual por escuela</t>
        </is>
      </c>
      <c r="C3768" t="inlineStr">
        <is>
          <t>Planeación Estratégica</t>
        </is>
      </c>
      <c r="D3768" t="inlineStr">
        <is>
          <t>Semestral</t>
        </is>
      </c>
      <c r="E3768" t="inlineStr">
        <is>
          <t>Positivo</t>
        </is>
      </c>
      <c r="F3768" s="105" t="n">
        <v>46022</v>
      </c>
      <c r="G3768" t="inlineStr">
        <is>
          <t>390-2025-12-31</t>
        </is>
      </c>
      <c r="H3768" t="inlineStr">
        <is>
          <t>ESCUELA DE COMUNICACIÓN ARTES VISUALES Y DIGITALES</t>
        </is>
      </c>
      <c r="I3768" t="n">
        <v>100</v>
      </c>
      <c r="J3768" t="n">
        <v>100</v>
      </c>
      <c r="CB3768" t="n">
        <v>100</v>
      </c>
      <c r="CC3768" t="n">
        <v>100</v>
      </c>
    </row>
    <row r="3769">
      <c r="A3769" t="n">
        <v>390</v>
      </c>
      <c r="B3769" t="inlineStr">
        <is>
          <t>Cumplimiento Plan Anual por escuela</t>
        </is>
      </c>
      <c r="C3769" t="inlineStr">
        <is>
          <t>Planeación Estratégica</t>
        </is>
      </c>
      <c r="D3769" t="inlineStr">
        <is>
          <t>Semestral</t>
        </is>
      </c>
      <c r="E3769" t="inlineStr">
        <is>
          <t>Positivo</t>
        </is>
      </c>
      <c r="F3769" s="105" t="n">
        <v>46022</v>
      </c>
      <c r="G3769" t="inlineStr">
        <is>
          <t>390-2025-12-31</t>
        </is>
      </c>
      <c r="H3769" t="inlineStr">
        <is>
          <t>ESCUELA DE EDUCACIÓN E INNOVACIÓN</t>
        </is>
      </c>
      <c r="I3769" t="n">
        <v>100</v>
      </c>
      <c r="J3769" t="n">
        <v>100</v>
      </c>
      <c r="CB3769" t="n">
        <v>100</v>
      </c>
      <c r="CC3769" t="n">
        <v>100</v>
      </c>
    </row>
    <row r="3770">
      <c r="A3770" t="n">
        <v>390</v>
      </c>
      <c r="B3770" t="inlineStr">
        <is>
          <t>Cumplimiento Plan Anual por escuela</t>
        </is>
      </c>
      <c r="C3770" t="inlineStr">
        <is>
          <t>Planeación Estratégica</t>
        </is>
      </c>
      <c r="D3770" t="inlineStr">
        <is>
          <t>Semestral</t>
        </is>
      </c>
      <c r="E3770" t="inlineStr">
        <is>
          <t>Positivo</t>
        </is>
      </c>
      <c r="F3770" s="105" t="n">
        <v>46022</v>
      </c>
      <c r="G3770" t="inlineStr">
        <is>
          <t>390-2025-12-31</t>
        </is>
      </c>
      <c r="H3770" t="inlineStr">
        <is>
          <t>ESCUELA DE DERECHO Y GOBIERNO</t>
        </is>
      </c>
      <c r="I3770" t="n">
        <v>100</v>
      </c>
      <c r="J3770" t="n">
        <v>100</v>
      </c>
      <c r="CB3770" t="n">
        <v>100</v>
      </c>
      <c r="CC3770" t="n">
        <v>100</v>
      </c>
    </row>
    <row r="3771">
      <c r="A3771" t="n">
        <v>390</v>
      </c>
      <c r="B3771" t="inlineStr">
        <is>
          <t>Cumplimiento Plan Anual por escuela</t>
        </is>
      </c>
      <c r="C3771" t="inlineStr">
        <is>
          <t>Planeación Estratégica</t>
        </is>
      </c>
      <c r="D3771" t="inlineStr">
        <is>
          <t>Semestral</t>
        </is>
      </c>
      <c r="E3771" t="inlineStr">
        <is>
          <t>Positivo</t>
        </is>
      </c>
      <c r="F3771" s="105" t="n">
        <v>46022</v>
      </c>
      <c r="G3771" t="inlineStr">
        <is>
          <t>390-2025-12-31</t>
        </is>
      </c>
      <c r="H3771" t="inlineStr">
        <is>
          <t>ESCUELA DE MARKETING Y BRANDING</t>
        </is>
      </c>
      <c r="I3771" t="n">
        <v>100</v>
      </c>
      <c r="J3771" t="n">
        <v>100</v>
      </c>
      <c r="CB3771" t="n">
        <v>100</v>
      </c>
      <c r="CC3771" t="n">
        <v>100</v>
      </c>
    </row>
    <row r="3772">
      <c r="A3772" t="n">
        <v>390</v>
      </c>
      <c r="B3772" t="inlineStr">
        <is>
          <t>Cumplimiento Plan Anual por escuela</t>
        </is>
      </c>
      <c r="C3772" t="inlineStr">
        <is>
          <t>Planeación Estratégica</t>
        </is>
      </c>
      <c r="D3772" t="inlineStr">
        <is>
          <t>Semestral</t>
        </is>
      </c>
      <c r="E3772" t="inlineStr">
        <is>
          <t>Positivo</t>
        </is>
      </c>
      <c r="F3772" s="105" t="n">
        <v>46022</v>
      </c>
      <c r="G3772" t="inlineStr">
        <is>
          <t>390-2025-12-31</t>
        </is>
      </c>
      <c r="H3772" t="inlineStr">
        <is>
          <t>ESCUELA DE PSIC, TALENTO HUM Y SOC</t>
        </is>
      </c>
      <c r="I3772" t="n">
        <v>100</v>
      </c>
      <c r="J3772" t="n">
        <v>100</v>
      </c>
      <c r="CB3772" t="n">
        <v>100</v>
      </c>
      <c r="CC3772" t="n">
        <v>100</v>
      </c>
    </row>
    <row r="3773">
      <c r="A3773" t="n">
        <v>414</v>
      </c>
      <c r="B3773" t="inlineStr">
        <is>
          <t>Cumplimiento Plan Anual Rectoría</t>
        </is>
      </c>
      <c r="C3773" t="inlineStr">
        <is>
          <t>Planeación Estratégica</t>
        </is>
      </c>
      <c r="D3773" t="inlineStr">
        <is>
          <t>Semestral</t>
        </is>
      </c>
      <c r="E3773" t="inlineStr">
        <is>
          <t>Positivo</t>
        </is>
      </c>
      <c r="F3773" s="105" t="n">
        <v>46022</v>
      </c>
      <c r="G3773" t="inlineStr">
        <is>
          <t>414-2025-12-31</t>
        </is>
      </c>
      <c r="H3773" t="inlineStr">
        <is>
          <t>Vicerrectoría de crecimiento</t>
        </is>
      </c>
      <c r="I3773" t="n">
        <v>100</v>
      </c>
      <c r="J3773" t="n">
        <v>100</v>
      </c>
      <c r="CD3773" t="n">
        <v>100</v>
      </c>
      <c r="CE3773" t="n">
        <v>100</v>
      </c>
    </row>
    <row r="3774">
      <c r="A3774" t="n">
        <v>414</v>
      </c>
      <c r="B3774" t="inlineStr">
        <is>
          <t>Cumplimiento Plan Anual Rectoría</t>
        </is>
      </c>
      <c r="C3774" t="inlineStr">
        <is>
          <t>Planeación Estratégica</t>
        </is>
      </c>
      <c r="D3774" t="inlineStr">
        <is>
          <t>Semestral</t>
        </is>
      </c>
      <c r="E3774" t="inlineStr">
        <is>
          <t>Positivo</t>
        </is>
      </c>
      <c r="F3774" s="105" t="n">
        <v>46022</v>
      </c>
      <c r="G3774" t="inlineStr">
        <is>
          <t>414-2025-12-31</t>
        </is>
      </c>
      <c r="H3774" t="inlineStr">
        <is>
          <t>Vicerrectoría del estudiante</t>
        </is>
      </c>
      <c r="I3774" t="n">
        <v>100</v>
      </c>
      <c r="J3774" t="n">
        <v>100</v>
      </c>
      <c r="CD3774" t="n">
        <v>100</v>
      </c>
      <c r="CE3774" t="n">
        <v>100</v>
      </c>
    </row>
    <row r="3775">
      <c r="A3775" t="n">
        <v>414</v>
      </c>
      <c r="B3775" t="inlineStr">
        <is>
          <t>Cumplimiento Plan Anual Rectoría</t>
        </is>
      </c>
      <c r="C3775" t="inlineStr">
        <is>
          <t>Planeación Estratégica</t>
        </is>
      </c>
      <c r="D3775" t="inlineStr">
        <is>
          <t>Semestral</t>
        </is>
      </c>
      <c r="E3775" t="inlineStr">
        <is>
          <t>Positivo</t>
        </is>
      </c>
      <c r="F3775" s="105" t="n">
        <v>46022</v>
      </c>
      <c r="G3775" t="inlineStr">
        <is>
          <t>414-2025-12-31</t>
        </is>
      </c>
      <c r="H3775" t="inlineStr">
        <is>
          <t>Vicerrectoría financiera</t>
        </is>
      </c>
      <c r="I3775" t="n">
        <v>100</v>
      </c>
      <c r="J3775" t="n">
        <v>91.12000274658203</v>
      </c>
      <c r="CD3775" t="n">
        <v>91.12</v>
      </c>
      <c r="CE3775" t="n">
        <v>100</v>
      </c>
    </row>
    <row r="3776">
      <c r="A3776" t="n">
        <v>414</v>
      </c>
      <c r="B3776" t="inlineStr">
        <is>
          <t>Cumplimiento Plan Anual Rectoría</t>
        </is>
      </c>
      <c r="C3776" t="inlineStr">
        <is>
          <t>Planeación Estratégica</t>
        </is>
      </c>
      <c r="D3776" t="inlineStr">
        <is>
          <t>Semestral</t>
        </is>
      </c>
      <c r="E3776" t="inlineStr">
        <is>
          <t>Positivo</t>
        </is>
      </c>
      <c r="F3776" s="105" t="n">
        <v>46022</v>
      </c>
      <c r="G3776" t="inlineStr">
        <is>
          <t>414-2025-12-31</t>
        </is>
      </c>
      <c r="H3776" t="inlineStr">
        <is>
          <t>Vicerrectoría académica</t>
        </is>
      </c>
      <c r="I3776" t="n">
        <v>100</v>
      </c>
      <c r="J3776" t="n">
        <v>100</v>
      </c>
      <c r="CD3776" t="n">
        <v>100</v>
      </c>
      <c r="CE3776" t="n">
        <v>100</v>
      </c>
    </row>
    <row r="3777">
      <c r="A3777" t="n">
        <v>414</v>
      </c>
      <c r="B3777" t="inlineStr">
        <is>
          <t>Cumplimiento Plan Anual Rectoría</t>
        </is>
      </c>
      <c r="C3777" t="inlineStr">
        <is>
          <t>Planeación Estratégica</t>
        </is>
      </c>
      <c r="D3777" t="inlineStr">
        <is>
          <t>Semestral</t>
        </is>
      </c>
      <c r="E3777" t="inlineStr">
        <is>
          <t>Positivo</t>
        </is>
      </c>
      <c r="F3777" s="105" t="n">
        <v>46022</v>
      </c>
      <c r="G3777" t="inlineStr">
        <is>
          <t>414-2025-12-31</t>
        </is>
      </c>
      <c r="H3777" t="inlineStr">
        <is>
          <t>Gerencia de estrategia</t>
        </is>
      </c>
      <c r="I3777" t="n">
        <v>100</v>
      </c>
      <c r="J3777" t="n">
        <v>100</v>
      </c>
      <c r="CD3777" t="n">
        <v>100</v>
      </c>
      <c r="CE3777" t="n">
        <v>100</v>
      </c>
    </row>
    <row r="3778">
      <c r="A3778" t="n">
        <v>414</v>
      </c>
      <c r="B3778" t="inlineStr">
        <is>
          <t>Cumplimiento Plan Anual Rectoría</t>
        </is>
      </c>
      <c r="C3778" t="inlineStr">
        <is>
          <t>Planeación Estratégica</t>
        </is>
      </c>
      <c r="D3778" t="inlineStr">
        <is>
          <t>Semestral</t>
        </is>
      </c>
      <c r="E3778" t="inlineStr">
        <is>
          <t>Positivo</t>
        </is>
      </c>
      <c r="F3778" s="105" t="n">
        <v>46022</v>
      </c>
      <c r="G3778" t="inlineStr">
        <is>
          <t>414-2025-12-31</t>
        </is>
      </c>
      <c r="H3778" t="inlineStr">
        <is>
          <t>Gerencia de  talento humano y desarrollo</t>
        </is>
      </c>
      <c r="I3778" t="n">
        <v>100</v>
      </c>
      <c r="J3778" t="n">
        <v>98.75</v>
      </c>
      <c r="CD3778" t="n">
        <v>98.75</v>
      </c>
      <c r="CE3778" t="n">
        <v>100</v>
      </c>
    </row>
    <row r="3779">
      <c r="A3779" t="n">
        <v>414</v>
      </c>
      <c r="B3779" t="inlineStr">
        <is>
          <t>Cumplimiento Plan Anual Rectoría</t>
        </is>
      </c>
      <c r="C3779" t="inlineStr">
        <is>
          <t>Planeación Estratégica</t>
        </is>
      </c>
      <c r="D3779" t="inlineStr">
        <is>
          <t>Semestral</t>
        </is>
      </c>
      <c r="E3779" t="inlineStr">
        <is>
          <t>Positivo</t>
        </is>
      </c>
      <c r="F3779" s="105" t="n">
        <v>46022</v>
      </c>
      <c r="G3779" t="inlineStr">
        <is>
          <t>414-2025-12-31</t>
        </is>
      </c>
      <c r="H3779" t="inlineStr">
        <is>
          <t>Gerencia sede Medellín</t>
        </is>
      </c>
      <c r="I3779" t="n">
        <v>100</v>
      </c>
      <c r="J3779" t="n">
        <v>100</v>
      </c>
      <c r="CD3779" t="n">
        <v>100</v>
      </c>
      <c r="CE3779" t="n">
        <v>100</v>
      </c>
    </row>
    <row r="3780">
      <c r="A3780" t="n">
        <v>414</v>
      </c>
      <c r="B3780" t="inlineStr">
        <is>
          <t>Cumplimiento Plan Anual Rectoría</t>
        </is>
      </c>
      <c r="C3780" t="inlineStr">
        <is>
          <t>Planeación Estratégica</t>
        </is>
      </c>
      <c r="D3780" t="inlineStr">
        <is>
          <t>Semestral</t>
        </is>
      </c>
      <c r="E3780" t="inlineStr">
        <is>
          <t>Positivo</t>
        </is>
      </c>
      <c r="F3780" s="105" t="n">
        <v>46022</v>
      </c>
      <c r="G3780" t="inlineStr">
        <is>
          <t>414-2025-12-31</t>
        </is>
      </c>
      <c r="H3780" t="inlineStr">
        <is>
          <t>Secretaria general</t>
        </is>
      </c>
      <c r="I3780" t="n">
        <v>100</v>
      </c>
      <c r="J3780" t="n">
        <v>100</v>
      </c>
      <c r="CD3780" t="n">
        <v>100</v>
      </c>
      <c r="CE3780" t="n">
        <v>100</v>
      </c>
    </row>
    <row r="3781">
      <c r="A3781" t="n">
        <v>414</v>
      </c>
      <c r="B3781" t="inlineStr">
        <is>
          <t>Cumplimiento Plan Anual Rectoría</t>
        </is>
      </c>
      <c r="C3781" t="inlineStr">
        <is>
          <t>Planeación Estratégica</t>
        </is>
      </c>
      <c r="D3781" t="inlineStr">
        <is>
          <t>Semestral</t>
        </is>
      </c>
      <c r="E3781" t="inlineStr">
        <is>
          <t>Positivo</t>
        </is>
      </c>
      <c r="F3781" s="105" t="n">
        <v>46022</v>
      </c>
      <c r="G3781" t="inlineStr">
        <is>
          <t>414-2025-12-31</t>
        </is>
      </c>
      <c r="H3781" t="inlineStr">
        <is>
          <t>Gerencia de educación virtual</t>
        </is>
      </c>
      <c r="I3781" t="n">
        <v>100</v>
      </c>
      <c r="J3781" t="n">
        <v>100</v>
      </c>
      <c r="CD3781" t="n">
        <v>100</v>
      </c>
      <c r="CE3781" t="n">
        <v>100</v>
      </c>
    </row>
    <row r="3782">
      <c r="A3782" t="n">
        <v>415</v>
      </c>
      <c r="B3782" t="inlineStr">
        <is>
          <t>Cumplimiento Plan Anual Vicerrectoría del estudiante</t>
        </is>
      </c>
      <c r="C3782" t="inlineStr">
        <is>
          <t>Planeación Estratégica</t>
        </is>
      </c>
      <c r="D3782" t="inlineStr">
        <is>
          <t>Semestral</t>
        </is>
      </c>
      <c r="E3782" t="inlineStr">
        <is>
          <t>Positivo</t>
        </is>
      </c>
      <c r="F3782" s="105" t="n">
        <v>46022</v>
      </c>
      <c r="G3782" t="inlineStr">
        <is>
          <t>415-2025-12-31</t>
        </is>
      </c>
      <c r="H3782" t="inlineStr">
        <is>
          <t>Gerencia de operaciones</t>
        </is>
      </c>
      <c r="I3782" t="n">
        <v>100</v>
      </c>
      <c r="J3782" t="n">
        <v>100</v>
      </c>
      <c r="CF3782" t="n">
        <v>100</v>
      </c>
      <c r="CG3782" t="n">
        <v>100</v>
      </c>
    </row>
    <row r="3783">
      <c r="A3783" t="n">
        <v>415</v>
      </c>
      <c r="B3783" t="inlineStr">
        <is>
          <t>Cumplimiento Plan Anual Vicerrectoría del estudiante</t>
        </is>
      </c>
      <c r="C3783" t="inlineStr">
        <is>
          <t>Planeación Estratégica</t>
        </is>
      </c>
      <c r="D3783" t="inlineStr">
        <is>
          <t>Semestral</t>
        </is>
      </c>
      <c r="E3783" t="inlineStr">
        <is>
          <t>Positivo</t>
        </is>
      </c>
      <c r="F3783" s="105" t="n">
        <v>46022</v>
      </c>
      <c r="G3783" t="inlineStr">
        <is>
          <t>415-2025-12-31</t>
        </is>
      </c>
      <c r="H3783" t="inlineStr">
        <is>
          <t>Gerencia de servicio y permanencia</t>
        </is>
      </c>
      <c r="I3783" t="n">
        <v>100</v>
      </c>
      <c r="J3783" t="n">
        <v>100</v>
      </c>
      <c r="CF3783" t="n">
        <v>100</v>
      </c>
      <c r="CG3783" t="n">
        <v>100</v>
      </c>
    </row>
    <row r="3784">
      <c r="A3784" t="n">
        <v>415</v>
      </c>
      <c r="B3784" t="inlineStr">
        <is>
          <t>Cumplimiento Plan Anual Vicerrectoría del estudiante</t>
        </is>
      </c>
      <c r="C3784" t="inlineStr">
        <is>
          <t>Planeación Estratégica</t>
        </is>
      </c>
      <c r="D3784" t="inlineStr">
        <is>
          <t>Semestral</t>
        </is>
      </c>
      <c r="E3784" t="inlineStr">
        <is>
          <t>Positivo</t>
        </is>
      </c>
      <c r="F3784" s="105" t="n">
        <v>46022</v>
      </c>
      <c r="G3784" t="inlineStr">
        <is>
          <t>415-2025-12-31</t>
        </is>
      </c>
      <c r="H3784" t="inlineStr">
        <is>
          <t>Gerencia de tecnología e innovación digital</t>
        </is>
      </c>
      <c r="I3784" t="n">
        <v>100</v>
      </c>
      <c r="J3784" t="n">
        <v>100</v>
      </c>
      <c r="CF3784" t="n">
        <v>100</v>
      </c>
      <c r="CG3784" t="n">
        <v>100</v>
      </c>
    </row>
    <row r="3785">
      <c r="A3785" t="n">
        <v>415</v>
      </c>
      <c r="B3785" t="inlineStr">
        <is>
          <t>Cumplimiento Plan Anual Vicerrectoría del estudiante</t>
        </is>
      </c>
      <c r="C3785" t="inlineStr">
        <is>
          <t>Planeación Estratégica</t>
        </is>
      </c>
      <c r="D3785" t="inlineStr">
        <is>
          <t>Semestral</t>
        </is>
      </c>
      <c r="E3785" t="inlineStr">
        <is>
          <t>Positivo</t>
        </is>
      </c>
      <c r="F3785" s="105" t="n">
        <v>46022</v>
      </c>
      <c r="G3785" t="inlineStr">
        <is>
          <t>415-2025-12-31</t>
        </is>
      </c>
      <c r="H3785" t="inlineStr">
        <is>
          <t>BI y analítica</t>
        </is>
      </c>
      <c r="I3785" t="n">
        <v>100</v>
      </c>
      <c r="J3785" t="n">
        <v>100</v>
      </c>
      <c r="CF3785" t="n">
        <v>100</v>
      </c>
      <c r="CG3785" t="n">
        <v>100</v>
      </c>
    </row>
    <row r="3786">
      <c r="A3786" t="n">
        <v>415</v>
      </c>
      <c r="B3786" t="inlineStr">
        <is>
          <t>Cumplimiento Plan Anual Vicerrectoría del estudiante</t>
        </is>
      </c>
      <c r="C3786" t="inlineStr">
        <is>
          <t>Planeación Estratégica</t>
        </is>
      </c>
      <c r="D3786" t="inlineStr">
        <is>
          <t>Semestral</t>
        </is>
      </c>
      <c r="E3786" t="inlineStr">
        <is>
          <t>Positivo</t>
        </is>
      </c>
      <c r="F3786" s="105" t="n">
        <v>46022</v>
      </c>
      <c r="G3786" t="inlineStr">
        <is>
          <t>415-2025-12-31</t>
        </is>
      </c>
      <c r="H3786" t="inlineStr">
        <is>
          <t>Dirección nacional de registro y control</t>
        </is>
      </c>
      <c r="I3786" t="n">
        <v>100</v>
      </c>
      <c r="J3786" t="n">
        <v>100</v>
      </c>
      <c r="CF3786" t="n">
        <v>100</v>
      </c>
      <c r="CG3786" t="n">
        <v>100</v>
      </c>
    </row>
    <row r="3787">
      <c r="A3787" t="n">
        <v>415</v>
      </c>
      <c r="B3787" t="inlineStr">
        <is>
          <t>Cumplimiento Plan Anual Vicerrectoría del estudiante</t>
        </is>
      </c>
      <c r="C3787" t="inlineStr">
        <is>
          <t>Planeación Estratégica</t>
        </is>
      </c>
      <c r="D3787" t="inlineStr">
        <is>
          <t>Semestral</t>
        </is>
      </c>
      <c r="E3787" t="inlineStr">
        <is>
          <t>Positivo</t>
        </is>
      </c>
      <c r="F3787" s="105" t="n">
        <v>46022</v>
      </c>
      <c r="G3787" t="inlineStr">
        <is>
          <t>415-2025-12-31</t>
        </is>
      </c>
      <c r="H3787" t="inlineStr">
        <is>
          <t>Dirección de Experiencia E Inclusion</t>
        </is>
      </c>
      <c r="I3787" t="n">
        <v>100</v>
      </c>
      <c r="J3787" t="n">
        <v>99.25</v>
      </c>
      <c r="CF3787" t="n">
        <v>99.25</v>
      </c>
      <c r="CG3787" t="n">
        <v>100</v>
      </c>
    </row>
    <row r="3788">
      <c r="A3788" t="n">
        <v>415</v>
      </c>
      <c r="B3788" t="inlineStr">
        <is>
          <t>Cumplimiento Plan Anual Vicerrectoría del estudiante</t>
        </is>
      </c>
      <c r="C3788" t="inlineStr">
        <is>
          <t>Planeación Estratégica</t>
        </is>
      </c>
      <c r="D3788" t="inlineStr">
        <is>
          <t>Semestral</t>
        </is>
      </c>
      <c r="E3788" t="inlineStr">
        <is>
          <t>Positivo</t>
        </is>
      </c>
      <c r="F3788" s="105" t="n">
        <v>46022</v>
      </c>
      <c r="G3788" t="inlineStr">
        <is>
          <t>415-2025-12-31</t>
        </is>
      </c>
      <c r="H3788" t="inlineStr">
        <is>
          <t>Direccion bienestar universitario y huella grancolombiana</t>
        </is>
      </c>
      <c r="I3788" t="n">
        <v>100</v>
      </c>
      <c r="J3788" t="n">
        <v>91.59999847412109</v>
      </c>
      <c r="CF3788" t="n">
        <v>91.59999999999999</v>
      </c>
      <c r="CG3788" t="n">
        <v>100</v>
      </c>
    </row>
    <row r="3789">
      <c r="A3789" t="n">
        <v>415</v>
      </c>
      <c r="B3789" t="inlineStr">
        <is>
          <t>Cumplimiento Plan Anual Vicerrectoría del estudiante</t>
        </is>
      </c>
      <c r="C3789" t="inlineStr">
        <is>
          <t>Planeación Estratégica</t>
        </is>
      </c>
      <c r="D3789" t="inlineStr">
        <is>
          <t>Semestral</t>
        </is>
      </c>
      <c r="E3789" t="inlineStr">
        <is>
          <t>Positivo</t>
        </is>
      </c>
      <c r="F3789" s="105" t="n">
        <v>46022</v>
      </c>
      <c r="G3789" t="inlineStr">
        <is>
          <t>415-2025-12-31</t>
        </is>
      </c>
      <c r="H3789" t="inlineStr">
        <is>
          <t>Director de gobierno digital</t>
        </is>
      </c>
      <c r="I3789" t="n">
        <v>100</v>
      </c>
      <c r="J3789" t="n">
        <v>100</v>
      </c>
      <c r="CF3789" t="n">
        <v>100</v>
      </c>
      <c r="CG3789" t="n">
        <v>100</v>
      </c>
    </row>
    <row r="3790">
      <c r="A3790" t="n">
        <v>415</v>
      </c>
      <c r="B3790" t="inlineStr">
        <is>
          <t>Cumplimiento Plan Anual Vicerrectoría del estudiante</t>
        </is>
      </c>
      <c r="C3790" t="inlineStr">
        <is>
          <t>Planeación Estratégica</t>
        </is>
      </c>
      <c r="D3790" t="inlineStr">
        <is>
          <t>Semestral</t>
        </is>
      </c>
      <c r="E3790" t="inlineStr">
        <is>
          <t>Positivo</t>
        </is>
      </c>
      <c r="F3790" s="105" t="n">
        <v>46022</v>
      </c>
      <c r="G3790" t="inlineStr">
        <is>
          <t>415-2025-12-31</t>
        </is>
      </c>
      <c r="H3790" t="inlineStr">
        <is>
          <t>Dirección de desarrollo e innovación</t>
        </is>
      </c>
      <c r="I3790" t="n">
        <v>100</v>
      </c>
      <c r="J3790" t="n">
        <v>100</v>
      </c>
      <c r="CF3790" t="n">
        <v>100</v>
      </c>
      <c r="CG3790" t="n">
        <v>100</v>
      </c>
    </row>
    <row r="3791">
      <c r="A3791" t="n">
        <v>415</v>
      </c>
      <c r="B3791" t="inlineStr">
        <is>
          <t>Cumplimiento Plan Anual Vicerrectoría del estudiante</t>
        </is>
      </c>
      <c r="C3791" t="inlineStr">
        <is>
          <t>Planeación Estratégica</t>
        </is>
      </c>
      <c r="D3791" t="inlineStr">
        <is>
          <t>Semestral</t>
        </is>
      </c>
      <c r="E3791" t="inlineStr">
        <is>
          <t>Positivo</t>
        </is>
      </c>
      <c r="F3791" s="105" t="n">
        <v>46022</v>
      </c>
      <c r="G3791" t="inlineStr">
        <is>
          <t>415-2025-12-31</t>
        </is>
      </c>
      <c r="H3791" t="inlineStr">
        <is>
          <t>Director de operaciones integrales</t>
        </is>
      </c>
      <c r="I3791" t="n">
        <v>100</v>
      </c>
      <c r="J3791" t="n">
        <v>100</v>
      </c>
      <c r="CF3791" t="n">
        <v>100</v>
      </c>
      <c r="CG3791" t="n">
        <v>100</v>
      </c>
    </row>
    <row r="3792">
      <c r="A3792" t="n">
        <v>415</v>
      </c>
      <c r="B3792" t="inlineStr">
        <is>
          <t>Cumplimiento Plan Anual Vicerrectoría del estudiante</t>
        </is>
      </c>
      <c r="C3792" t="inlineStr">
        <is>
          <t>Planeación Estratégica</t>
        </is>
      </c>
      <c r="D3792" t="inlineStr">
        <is>
          <t>Semestral</t>
        </is>
      </c>
      <c r="E3792" t="inlineStr">
        <is>
          <t>Positivo</t>
        </is>
      </c>
      <c r="F3792" s="105" t="n">
        <v>46022</v>
      </c>
      <c r="G3792" t="inlineStr">
        <is>
          <t>415-2025-12-31</t>
        </is>
      </c>
      <c r="H3792" t="inlineStr">
        <is>
          <t>Director de permanencia</t>
        </is>
      </c>
      <c r="I3792" t="n">
        <v>100</v>
      </c>
      <c r="J3792" t="n">
        <v>100</v>
      </c>
      <c r="CF3792" t="n">
        <v>100</v>
      </c>
      <c r="CG3792" t="n">
        <v>100</v>
      </c>
    </row>
    <row r="3793">
      <c r="A3793" t="n">
        <v>415</v>
      </c>
      <c r="B3793" t="inlineStr">
        <is>
          <t>Cumplimiento Plan Anual Vicerrectoría del estudiante</t>
        </is>
      </c>
      <c r="C3793" t="inlineStr">
        <is>
          <t>Planeación Estratégica</t>
        </is>
      </c>
      <c r="D3793" t="inlineStr">
        <is>
          <t>Semestral</t>
        </is>
      </c>
      <c r="E3793" t="inlineStr">
        <is>
          <t>Positivo</t>
        </is>
      </c>
      <c r="F3793" s="105" t="n">
        <v>46022</v>
      </c>
      <c r="G3793" t="inlineStr">
        <is>
          <t>415-2025-12-31</t>
        </is>
      </c>
      <c r="H3793" t="inlineStr">
        <is>
          <t>Director de servicio</t>
        </is>
      </c>
      <c r="I3793" t="n">
        <v>100</v>
      </c>
      <c r="J3793" t="n">
        <v>100</v>
      </c>
      <c r="CF3793" t="n">
        <v>100</v>
      </c>
      <c r="CG3793" t="n">
        <v>100</v>
      </c>
    </row>
    <row r="3794">
      <c r="A3794" t="n">
        <v>415</v>
      </c>
      <c r="B3794" t="inlineStr">
        <is>
          <t>Cumplimiento Plan Anual Vicerrectoría del estudiante</t>
        </is>
      </c>
      <c r="C3794" t="inlineStr">
        <is>
          <t>Planeación Estratégica</t>
        </is>
      </c>
      <c r="D3794" t="inlineStr">
        <is>
          <t>Semestral</t>
        </is>
      </c>
      <c r="E3794" t="inlineStr">
        <is>
          <t>Positivo</t>
        </is>
      </c>
      <c r="F3794" s="105" t="n">
        <v>46022</v>
      </c>
      <c r="G3794" t="inlineStr">
        <is>
          <t>415-2025-12-31</t>
        </is>
      </c>
      <c r="H3794" t="inlineStr">
        <is>
          <t>Director de operaciones IT</t>
        </is>
      </c>
      <c r="I3794" t="n">
        <v>100</v>
      </c>
      <c r="J3794" t="n">
        <v>100</v>
      </c>
      <c r="CF3794" t="n">
        <v>100</v>
      </c>
      <c r="CG3794" t="n">
        <v>100</v>
      </c>
    </row>
    <row r="3795">
      <c r="A3795" t="n">
        <v>416</v>
      </c>
      <c r="B3795" t="inlineStr">
        <is>
          <t>Cumplimiento Plan Anual Vicerrectoría de crecimiento</t>
        </is>
      </c>
      <c r="C3795" t="inlineStr">
        <is>
          <t>Planeación Estratégica</t>
        </is>
      </c>
      <c r="D3795" t="inlineStr">
        <is>
          <t>Semestral</t>
        </is>
      </c>
      <c r="E3795" t="inlineStr">
        <is>
          <t>Positivo</t>
        </is>
      </c>
      <c r="F3795" s="105" t="n">
        <v>46022</v>
      </c>
      <c r="G3795" t="inlineStr">
        <is>
          <t>416-2025-12-31</t>
        </is>
      </c>
      <c r="H3795" t="inlineStr">
        <is>
          <t>Gerencia de matriculas</t>
        </is>
      </c>
      <c r="I3795" t="n">
        <v>100</v>
      </c>
      <c r="J3795" t="n">
        <v>100</v>
      </c>
      <c r="CH3795" t="n">
        <v>100</v>
      </c>
      <c r="CI3795" t="n">
        <v>100</v>
      </c>
    </row>
    <row r="3796">
      <c r="A3796" t="n">
        <v>416</v>
      </c>
      <c r="B3796" t="inlineStr">
        <is>
          <t>Cumplimiento Plan Anual Vicerrectoría de crecimiento</t>
        </is>
      </c>
      <c r="C3796" t="inlineStr">
        <is>
          <t>Planeación Estratégica</t>
        </is>
      </c>
      <c r="D3796" t="inlineStr">
        <is>
          <t>Semestral</t>
        </is>
      </c>
      <c r="E3796" t="inlineStr">
        <is>
          <t>Positivo</t>
        </is>
      </c>
      <c r="F3796" s="105" t="n">
        <v>46022</v>
      </c>
      <c r="G3796" t="inlineStr">
        <is>
          <t>416-2025-12-31</t>
        </is>
      </c>
      <c r="H3796" t="inlineStr">
        <is>
          <t>Gerencia de mercadeo</t>
        </is>
      </c>
      <c r="I3796" t="n">
        <v>100</v>
      </c>
      <c r="J3796" t="n">
        <v>100</v>
      </c>
      <c r="CH3796" t="n">
        <v>100</v>
      </c>
      <c r="CI3796" t="n">
        <v>100</v>
      </c>
    </row>
    <row r="3797">
      <c r="A3797" t="n">
        <v>416</v>
      </c>
      <c r="B3797" t="inlineStr">
        <is>
          <t>Cumplimiento Plan Anual Vicerrectoría de crecimiento</t>
        </is>
      </c>
      <c r="C3797" t="inlineStr">
        <is>
          <t>Planeación Estratégica</t>
        </is>
      </c>
      <c r="D3797" t="inlineStr">
        <is>
          <t>Semestral</t>
        </is>
      </c>
      <c r="E3797" t="inlineStr">
        <is>
          <t>Positivo</t>
        </is>
      </c>
      <c r="F3797" s="105" t="n">
        <v>46022</v>
      </c>
      <c r="G3797" t="inlineStr">
        <is>
          <t>416-2025-12-31</t>
        </is>
      </c>
      <c r="H3797" t="inlineStr">
        <is>
          <t>Gerencia de servicios corporativos</t>
        </is>
      </c>
      <c r="I3797" t="n">
        <v>100</v>
      </c>
      <c r="J3797" t="n">
        <v>100</v>
      </c>
      <c r="CH3797" t="n">
        <v>100</v>
      </c>
      <c r="CI3797" t="n">
        <v>100</v>
      </c>
    </row>
    <row r="3798">
      <c r="A3798" t="n">
        <v>416</v>
      </c>
      <c r="B3798" t="inlineStr">
        <is>
          <t>Cumplimiento Plan Anual Vicerrectoría de crecimiento</t>
        </is>
      </c>
      <c r="C3798" t="inlineStr">
        <is>
          <t>Planeación Estratégica</t>
        </is>
      </c>
      <c r="D3798" t="inlineStr">
        <is>
          <t>Semestral</t>
        </is>
      </c>
      <c r="E3798" t="inlineStr">
        <is>
          <t>Positivo</t>
        </is>
      </c>
      <c r="F3798" s="105" t="n">
        <v>46022</v>
      </c>
      <c r="G3798" t="inlineStr">
        <is>
          <t>416-2025-12-31</t>
        </is>
      </c>
      <c r="H3798" t="inlineStr">
        <is>
          <t>Director B2B y B2C</t>
        </is>
      </c>
      <c r="I3798" t="n">
        <v>100</v>
      </c>
      <c r="J3798" t="n">
        <v>100</v>
      </c>
      <c r="CH3798" t="n">
        <v>100</v>
      </c>
      <c r="CI3798" t="n">
        <v>100</v>
      </c>
    </row>
    <row r="3799">
      <c r="A3799" t="n">
        <v>416</v>
      </c>
      <c r="B3799" t="inlineStr">
        <is>
          <t>Cumplimiento Plan Anual Vicerrectoría de crecimiento</t>
        </is>
      </c>
      <c r="C3799" t="inlineStr">
        <is>
          <t>Planeación Estratégica</t>
        </is>
      </c>
      <c r="D3799" t="inlineStr">
        <is>
          <t>Semestral</t>
        </is>
      </c>
      <c r="E3799" t="inlineStr">
        <is>
          <t>Positivo</t>
        </is>
      </c>
      <c r="F3799" s="105" t="n">
        <v>46022</v>
      </c>
      <c r="G3799" t="inlineStr">
        <is>
          <t>416-2025-12-31</t>
        </is>
      </c>
      <c r="H3799" t="inlineStr">
        <is>
          <t>Director de producto</t>
        </is>
      </c>
      <c r="I3799" t="n">
        <v>100</v>
      </c>
      <c r="J3799" t="n">
        <v>100</v>
      </c>
      <c r="CH3799" t="n">
        <v>100</v>
      </c>
      <c r="CI3799" t="n">
        <v>100</v>
      </c>
    </row>
    <row r="3800">
      <c r="A3800" t="n">
        <v>416</v>
      </c>
      <c r="B3800" t="inlineStr">
        <is>
          <t>Cumplimiento Plan Anual Vicerrectoría de crecimiento</t>
        </is>
      </c>
      <c r="C3800" t="inlineStr">
        <is>
          <t>Planeación Estratégica</t>
        </is>
      </c>
      <c r="D3800" t="inlineStr">
        <is>
          <t>Semestral</t>
        </is>
      </c>
      <c r="E3800" t="inlineStr">
        <is>
          <t>Positivo</t>
        </is>
      </c>
      <c r="F3800" s="105" t="n">
        <v>46022</v>
      </c>
      <c r="G3800" t="inlineStr">
        <is>
          <t>416-2025-12-31</t>
        </is>
      </c>
      <c r="H3800" t="inlineStr">
        <is>
          <t>Director de estrategia marca</t>
        </is>
      </c>
      <c r="I3800" t="n">
        <v>100</v>
      </c>
      <c r="J3800" t="n">
        <v>100</v>
      </c>
      <c r="CH3800" t="n">
        <v>100</v>
      </c>
      <c r="CI3800" t="n">
        <v>100</v>
      </c>
    </row>
    <row r="3801">
      <c r="A3801" t="n">
        <v>417</v>
      </c>
      <c r="B3801" t="inlineStr">
        <is>
          <t>Cumplimiento Plan Anual Vicerrectoría Financiera</t>
        </is>
      </c>
      <c r="C3801" t="inlineStr">
        <is>
          <t>Planeación Estratégica</t>
        </is>
      </c>
      <c r="D3801" t="inlineStr">
        <is>
          <t>Semestral</t>
        </is>
      </c>
      <c r="E3801" t="inlineStr">
        <is>
          <t>Positivo</t>
        </is>
      </c>
      <c r="F3801" s="105" t="n">
        <v>46022</v>
      </c>
      <c r="G3801" t="inlineStr">
        <is>
          <t>417-2025-12-31</t>
        </is>
      </c>
      <c r="H3801" t="inlineStr">
        <is>
          <t>Dirección de contabilidad</t>
        </is>
      </c>
      <c r="I3801" t="n">
        <v>100</v>
      </c>
      <c r="J3801" t="n">
        <v>100</v>
      </c>
      <c r="CJ3801" t="n">
        <v>100</v>
      </c>
      <c r="CK3801" t="n">
        <v>100</v>
      </c>
    </row>
    <row r="3802">
      <c r="A3802" t="n">
        <v>417</v>
      </c>
      <c r="B3802" t="inlineStr">
        <is>
          <t>Cumplimiento Plan Anual Vicerrectoría Financiera</t>
        </is>
      </c>
      <c r="C3802" t="inlineStr">
        <is>
          <t>Planeación Estratégica</t>
        </is>
      </c>
      <c r="D3802" t="inlineStr">
        <is>
          <t>Semestral</t>
        </is>
      </c>
      <c r="E3802" t="inlineStr">
        <is>
          <t>Positivo</t>
        </is>
      </c>
      <c r="F3802" s="105" t="n">
        <v>46022</v>
      </c>
      <c r="G3802" t="inlineStr">
        <is>
          <t>417-2025-12-31</t>
        </is>
      </c>
      <c r="H3802" t="inlineStr">
        <is>
          <t>Dirección planeación financiera y tesorería</t>
        </is>
      </c>
      <c r="I3802" t="n">
        <v>100</v>
      </c>
      <c r="J3802" t="n">
        <v>100</v>
      </c>
      <c r="CJ3802" t="n">
        <v>100</v>
      </c>
      <c r="CK3802" t="n">
        <v>100</v>
      </c>
    </row>
    <row r="3803">
      <c r="A3803" t="n">
        <v>417</v>
      </c>
      <c r="B3803" t="inlineStr">
        <is>
          <t>Cumplimiento Plan Anual Vicerrectoría Financiera</t>
        </is>
      </c>
      <c r="C3803" t="inlineStr">
        <is>
          <t>Planeación Estratégica</t>
        </is>
      </c>
      <c r="D3803" t="inlineStr">
        <is>
          <t>Semestral</t>
        </is>
      </c>
      <c r="E3803" t="inlineStr">
        <is>
          <t>Positivo</t>
        </is>
      </c>
      <c r="F3803" s="105" t="n">
        <v>46022</v>
      </c>
      <c r="G3803" t="inlineStr">
        <is>
          <t>417-2025-12-31</t>
        </is>
      </c>
      <c r="H3803" t="inlineStr">
        <is>
          <t>Dirección de relacionamiento de CSU</t>
        </is>
      </c>
      <c r="I3803" t="n">
        <v>100</v>
      </c>
      <c r="J3803" t="n">
        <v>100</v>
      </c>
      <c r="CJ3803" t="n">
        <v>100</v>
      </c>
      <c r="CK3803" t="n">
        <v>100</v>
      </c>
    </row>
    <row r="3804">
      <c r="A3804" t="n">
        <v>417</v>
      </c>
      <c r="B3804" t="inlineStr">
        <is>
          <t>Cumplimiento Plan Anual Vicerrectoría Financiera</t>
        </is>
      </c>
      <c r="C3804" t="inlineStr">
        <is>
          <t>Planeación Estratégica</t>
        </is>
      </c>
      <c r="D3804" t="inlineStr">
        <is>
          <t>Semestral</t>
        </is>
      </c>
      <c r="E3804" t="inlineStr">
        <is>
          <t>Positivo</t>
        </is>
      </c>
      <c r="F3804" s="105" t="n">
        <v>46022</v>
      </c>
      <c r="G3804" t="inlineStr">
        <is>
          <t>417-2025-12-31</t>
        </is>
      </c>
      <c r="H3804" t="inlineStr">
        <is>
          <t>Dirección de servicios administrativos</t>
        </is>
      </c>
      <c r="I3804" t="n">
        <v>100</v>
      </c>
      <c r="J3804" t="n">
        <v>100</v>
      </c>
      <c r="CJ3804" t="n">
        <v>100</v>
      </c>
      <c r="CK3804" t="n">
        <v>100</v>
      </c>
    </row>
    <row r="3805">
      <c r="A3805" t="n">
        <v>417</v>
      </c>
      <c r="B3805" t="inlineStr">
        <is>
          <t>Cumplimiento Plan Anual Vicerrectoría Financiera</t>
        </is>
      </c>
      <c r="C3805" t="inlineStr">
        <is>
          <t>Planeación Estratégica</t>
        </is>
      </c>
      <c r="D3805" t="inlineStr">
        <is>
          <t>Semestral</t>
        </is>
      </c>
      <c r="E3805" t="inlineStr">
        <is>
          <t>Positivo</t>
        </is>
      </c>
      <c r="F3805" s="105" t="n">
        <v>46022</v>
      </c>
      <c r="G3805" t="inlineStr">
        <is>
          <t>417-2025-12-31</t>
        </is>
      </c>
      <c r="H3805" t="inlineStr">
        <is>
          <t>Dirección de compras y abastecimiento</t>
        </is>
      </c>
      <c r="I3805" t="n">
        <v>100</v>
      </c>
      <c r="J3805" t="n">
        <v>99</v>
      </c>
      <c r="CJ3805" t="n">
        <v>99</v>
      </c>
      <c r="CK3805" t="n">
        <v>100</v>
      </c>
    </row>
    <row r="3806">
      <c r="A3806" t="n">
        <v>417</v>
      </c>
      <c r="B3806" t="inlineStr">
        <is>
          <t>Cumplimiento Plan Anual Vicerrectoría Financiera</t>
        </is>
      </c>
      <c r="C3806" t="inlineStr">
        <is>
          <t>Planeación Estratégica</t>
        </is>
      </c>
      <c r="D3806" t="inlineStr">
        <is>
          <t>Semestral</t>
        </is>
      </c>
      <c r="E3806" t="inlineStr">
        <is>
          <t>Positivo</t>
        </is>
      </c>
      <c r="F3806" s="105" t="n">
        <v>46022</v>
      </c>
      <c r="G3806" t="inlineStr">
        <is>
          <t>417-2025-12-31</t>
        </is>
      </c>
      <c r="H3806" t="inlineStr">
        <is>
          <t>Dirección de infraestructura</t>
        </is>
      </c>
      <c r="I3806" t="n">
        <v>100</v>
      </c>
      <c r="J3806" t="n">
        <v>88.95999908447266</v>
      </c>
      <c r="CJ3806" t="n">
        <v>88.95999999999999</v>
      </c>
      <c r="CK3806" t="n">
        <v>100</v>
      </c>
    </row>
    <row r="3807">
      <c r="A3807" t="n">
        <v>418</v>
      </c>
      <c r="B3807" t="inlineStr">
        <is>
          <t>Cumplimiento Plan Anual Vicerrectoría Académica</t>
        </is>
      </c>
      <c r="C3807" t="inlineStr">
        <is>
          <t>Planeación Estratégica</t>
        </is>
      </c>
      <c r="D3807" t="inlineStr">
        <is>
          <t>Semestral</t>
        </is>
      </c>
      <c r="E3807" t="inlineStr">
        <is>
          <t>Positivo</t>
        </is>
      </c>
      <c r="F3807" s="105" t="n">
        <v>46022</v>
      </c>
      <c r="G3807" t="inlineStr">
        <is>
          <t>418-2025-12-31</t>
        </is>
      </c>
      <c r="H3807" t="inlineStr">
        <is>
          <t>Dirección aseguramiento de la calidad</t>
        </is>
      </c>
      <c r="I3807" t="n">
        <v>100</v>
      </c>
      <c r="J3807" t="n">
        <v>100</v>
      </c>
      <c r="CL3807" t="n">
        <v>100</v>
      </c>
      <c r="CM3807" t="n">
        <v>100</v>
      </c>
    </row>
    <row r="3808">
      <c r="A3808" t="n">
        <v>418</v>
      </c>
      <c r="B3808" t="inlineStr">
        <is>
          <t>Cumplimiento Plan Anual Vicerrectoría Académica</t>
        </is>
      </c>
      <c r="C3808" t="inlineStr">
        <is>
          <t>Planeación Estratégica</t>
        </is>
      </c>
      <c r="D3808" t="inlineStr">
        <is>
          <t>Semestral</t>
        </is>
      </c>
      <c r="E3808" t="inlineStr">
        <is>
          <t>Positivo</t>
        </is>
      </c>
      <c r="F3808" s="105" t="n">
        <v>46022</v>
      </c>
      <c r="G3808" t="inlineStr">
        <is>
          <t>418-2025-12-31</t>
        </is>
      </c>
      <c r="H3808" t="inlineStr">
        <is>
          <t>Dirección investigación innovación y creación</t>
        </is>
      </c>
      <c r="I3808" t="n">
        <v>100</v>
      </c>
      <c r="J3808" t="n">
        <v>99.37999725341797</v>
      </c>
      <c r="CL3808" t="n">
        <v>99.38</v>
      </c>
      <c r="CM3808" t="n">
        <v>100</v>
      </c>
    </row>
    <row r="3809">
      <c r="A3809" t="n">
        <v>418</v>
      </c>
      <c r="B3809" t="inlineStr">
        <is>
          <t>Cumplimiento Plan Anual Vicerrectoría Académica</t>
        </is>
      </c>
      <c r="C3809" t="inlineStr">
        <is>
          <t>Planeación Estratégica</t>
        </is>
      </c>
      <c r="D3809" t="inlineStr">
        <is>
          <t>Semestral</t>
        </is>
      </c>
      <c r="E3809" t="inlineStr">
        <is>
          <t>Positivo</t>
        </is>
      </c>
      <c r="F3809" s="105" t="n">
        <v>46022</v>
      </c>
      <c r="G3809" t="inlineStr">
        <is>
          <t>418-2025-12-31</t>
        </is>
      </c>
      <c r="H3809" t="inlineStr">
        <is>
          <t>Dirección relaciones nacionales e internacionales</t>
        </is>
      </c>
      <c r="I3809" t="n">
        <v>100</v>
      </c>
      <c r="J3809" t="n">
        <v>97.5</v>
      </c>
      <c r="CL3809" t="n">
        <v>97.5</v>
      </c>
      <c r="CM3809" t="n">
        <v>100</v>
      </c>
    </row>
    <row r="3810">
      <c r="A3810" t="n">
        <v>418</v>
      </c>
      <c r="B3810" t="inlineStr">
        <is>
          <t>Cumplimiento Plan Anual Vicerrectoría Académica</t>
        </is>
      </c>
      <c r="C3810" t="inlineStr">
        <is>
          <t>Planeación Estratégica</t>
        </is>
      </c>
      <c r="D3810" t="inlineStr">
        <is>
          <t>Semestral</t>
        </is>
      </c>
      <c r="E3810" t="inlineStr">
        <is>
          <t>Positivo</t>
        </is>
      </c>
      <c r="F3810" s="105" t="n">
        <v>46022</v>
      </c>
      <c r="G3810" t="inlineStr">
        <is>
          <t>418-2025-12-31</t>
        </is>
      </c>
      <c r="H3810" t="inlineStr">
        <is>
          <t>Secretaria académica y de extensión</t>
        </is>
      </c>
      <c r="I3810" t="n">
        <v>100</v>
      </c>
      <c r="J3810" t="n">
        <v>100</v>
      </c>
      <c r="CL3810" t="n">
        <v>100</v>
      </c>
      <c r="CM3810" t="n">
        <v>100</v>
      </c>
    </row>
    <row r="3811">
      <c r="A3811" t="n">
        <v>418</v>
      </c>
      <c r="B3811" t="inlineStr">
        <is>
          <t>Cumplimiento Plan Anual Vicerrectoría Académica</t>
        </is>
      </c>
      <c r="C3811" t="inlineStr">
        <is>
          <t>Planeación Estratégica</t>
        </is>
      </c>
      <c r="D3811" t="inlineStr">
        <is>
          <t>Semestral</t>
        </is>
      </c>
      <c r="E3811" t="inlineStr">
        <is>
          <t>Positivo</t>
        </is>
      </c>
      <c r="F3811" s="105" t="n">
        <v>46022</v>
      </c>
      <c r="G3811" t="inlineStr">
        <is>
          <t>418-2025-12-31</t>
        </is>
      </c>
      <c r="H3811" t="inlineStr">
        <is>
          <t>Dirección de currículo presencial y virtual</t>
        </is>
      </c>
      <c r="I3811" t="n">
        <v>100</v>
      </c>
      <c r="J3811" t="n">
        <v>100</v>
      </c>
      <c r="CL3811" t="n">
        <v>100</v>
      </c>
      <c r="CM3811" t="n">
        <v>100</v>
      </c>
    </row>
    <row r="3812">
      <c r="A3812" t="n">
        <v>418</v>
      </c>
      <c r="B3812" t="inlineStr">
        <is>
          <t>Cumplimiento Plan Anual Vicerrectoría Académica</t>
        </is>
      </c>
      <c r="C3812" t="inlineStr">
        <is>
          <t>Planeación Estratégica</t>
        </is>
      </c>
      <c r="D3812" t="inlineStr">
        <is>
          <t>Semestral</t>
        </is>
      </c>
      <c r="E3812" t="inlineStr">
        <is>
          <t>Positivo</t>
        </is>
      </c>
      <c r="F3812" s="105" t="n">
        <v>46022</v>
      </c>
      <c r="G3812" t="inlineStr">
        <is>
          <t>418-2025-12-31</t>
        </is>
      </c>
      <c r="H3812" t="inlineStr">
        <is>
          <t>Facultad ingeniería diseño e innovación</t>
        </is>
      </c>
      <c r="I3812" t="n">
        <v>100</v>
      </c>
      <c r="J3812" t="n">
        <v>100</v>
      </c>
      <c r="CL3812" t="n">
        <v>100</v>
      </c>
      <c r="CM3812" t="n">
        <v>100</v>
      </c>
    </row>
    <row r="3813">
      <c r="A3813" t="n">
        <v>418</v>
      </c>
      <c r="B3813" t="inlineStr">
        <is>
          <t>Cumplimiento Plan Anual Vicerrectoría Académica</t>
        </is>
      </c>
      <c r="C3813" t="inlineStr">
        <is>
          <t>Planeación Estratégica</t>
        </is>
      </c>
      <c r="D3813" t="inlineStr">
        <is>
          <t>Semestral</t>
        </is>
      </c>
      <c r="E3813" t="inlineStr">
        <is>
          <t>Positivo</t>
        </is>
      </c>
      <c r="F3813" s="105" t="n">
        <v>46022</v>
      </c>
      <c r="G3813" t="inlineStr">
        <is>
          <t>418-2025-12-31</t>
        </is>
      </c>
      <c r="H3813" t="inlineStr">
        <is>
          <t>Facultad negocios gestión y sostenibilidad</t>
        </is>
      </c>
      <c r="I3813" t="n">
        <v>100</v>
      </c>
      <c r="J3813" t="n">
        <v>100</v>
      </c>
      <c r="CL3813" t="n">
        <v>100</v>
      </c>
      <c r="CM3813" t="n">
        <v>100</v>
      </c>
    </row>
    <row r="3814">
      <c r="A3814" t="n">
        <v>418</v>
      </c>
      <c r="B3814" t="inlineStr">
        <is>
          <t>Cumplimiento Plan Anual Vicerrectoría Académica</t>
        </is>
      </c>
      <c r="C3814" t="inlineStr">
        <is>
          <t>Planeación Estratégica</t>
        </is>
      </c>
      <c r="D3814" t="inlineStr">
        <is>
          <t>Semestral</t>
        </is>
      </c>
      <c r="E3814" t="inlineStr">
        <is>
          <t>Positivo</t>
        </is>
      </c>
      <c r="F3814" s="105" t="n">
        <v>46022</v>
      </c>
      <c r="G3814" t="inlineStr">
        <is>
          <t>418-2025-12-31</t>
        </is>
      </c>
      <c r="H3814" t="inlineStr">
        <is>
          <t>Facultad sociedad cultura y creatividad</t>
        </is>
      </c>
      <c r="I3814" t="n">
        <v>100</v>
      </c>
      <c r="J3814" t="n">
        <v>100</v>
      </c>
      <c r="CL3814" t="n">
        <v>100</v>
      </c>
      <c r="CM3814" t="n">
        <v>100</v>
      </c>
    </row>
    <row r="3815">
      <c r="A3815" t="n">
        <v>420</v>
      </c>
      <c r="B3815" t="inlineStr">
        <is>
          <t>Cumplimiento Plan Anual Gerencia de estrategia</t>
        </is>
      </c>
      <c r="C3815" t="inlineStr">
        <is>
          <t>Planeación Estratégica</t>
        </is>
      </c>
      <c r="D3815" t="inlineStr">
        <is>
          <t>Semestral</t>
        </is>
      </c>
      <c r="E3815" t="inlineStr">
        <is>
          <t>Positivo</t>
        </is>
      </c>
      <c r="F3815" s="105" t="n">
        <v>46022</v>
      </c>
      <c r="G3815" t="inlineStr">
        <is>
          <t>420-2025-12-31</t>
        </is>
      </c>
      <c r="H3815" t="inlineStr">
        <is>
          <t>SGC</t>
        </is>
      </c>
      <c r="I3815" t="n">
        <v>100</v>
      </c>
      <c r="J3815" t="n">
        <v>100</v>
      </c>
      <c r="CN3815" t="n">
        <v>100</v>
      </c>
      <c r="CO3815" t="n">
        <v>100</v>
      </c>
    </row>
    <row r="3816">
      <c r="A3816" t="n">
        <v>420</v>
      </c>
      <c r="B3816" t="inlineStr">
        <is>
          <t>Cumplimiento Plan Anual Gerencia de estrategia</t>
        </is>
      </c>
      <c r="C3816" t="inlineStr">
        <is>
          <t>Planeación Estratégica</t>
        </is>
      </c>
      <c r="D3816" t="inlineStr">
        <is>
          <t>Semestral</t>
        </is>
      </c>
      <c r="E3816" t="inlineStr">
        <is>
          <t>Positivo</t>
        </is>
      </c>
      <c r="F3816" s="105" t="n">
        <v>46022</v>
      </c>
      <c r="G3816" t="inlineStr">
        <is>
          <t>420-2025-12-31</t>
        </is>
      </c>
      <c r="H3816" t="inlineStr">
        <is>
          <t>SGA</t>
        </is>
      </c>
      <c r="I3816" t="n">
        <v>100</v>
      </c>
      <c r="J3816" t="n">
        <v>100</v>
      </c>
      <c r="CN3816" t="n">
        <v>100</v>
      </c>
      <c r="CO3816" t="n">
        <v>100</v>
      </c>
    </row>
    <row r="3817">
      <c r="A3817" t="n">
        <v>420</v>
      </c>
      <c r="B3817" t="inlineStr">
        <is>
          <t>Cumplimiento Plan Anual Gerencia de estrategia</t>
        </is>
      </c>
      <c r="C3817" t="inlineStr">
        <is>
          <t>Planeación Estratégica</t>
        </is>
      </c>
      <c r="D3817" t="inlineStr">
        <is>
          <t>Semestral</t>
        </is>
      </c>
      <c r="E3817" t="inlineStr">
        <is>
          <t>Positivo</t>
        </is>
      </c>
      <c r="F3817" s="105" t="n">
        <v>46022</v>
      </c>
      <c r="G3817" t="inlineStr">
        <is>
          <t>420-2025-12-31</t>
        </is>
      </c>
      <c r="H3817" t="inlineStr">
        <is>
          <t>Riesgos</t>
        </is>
      </c>
      <c r="I3817" t="n">
        <v>100</v>
      </c>
      <c r="J3817" t="n">
        <v>100</v>
      </c>
      <c r="CN3817" t="n">
        <v>100</v>
      </c>
      <c r="CO3817" t="n">
        <v>100</v>
      </c>
    </row>
    <row r="3818">
      <c r="A3818" t="n">
        <v>420</v>
      </c>
      <c r="B3818" t="inlineStr">
        <is>
          <t>Cumplimiento Plan Anual Gerencia de estrategia</t>
        </is>
      </c>
      <c r="C3818" t="inlineStr">
        <is>
          <t>Planeación Estratégica</t>
        </is>
      </c>
      <c r="D3818" t="inlineStr">
        <is>
          <t>Semestral</t>
        </is>
      </c>
      <c r="E3818" t="inlineStr">
        <is>
          <t>Positivo</t>
        </is>
      </c>
      <c r="F3818" s="105" t="n">
        <v>46022</v>
      </c>
      <c r="G3818" t="inlineStr">
        <is>
          <t>420-2025-12-31</t>
        </is>
      </c>
      <c r="H3818" t="inlineStr">
        <is>
          <t>Auditoría</t>
        </is>
      </c>
      <c r="I3818" t="n">
        <v>100</v>
      </c>
      <c r="J3818" t="n">
        <v>100</v>
      </c>
      <c r="CN3818" t="n">
        <v>100</v>
      </c>
      <c r="CO3818" t="n">
        <v>100</v>
      </c>
    </row>
    <row r="3819">
      <c r="A3819" t="n">
        <v>420</v>
      </c>
      <c r="B3819" t="inlineStr">
        <is>
          <t>Cumplimiento Plan Anual Gerencia de estrategia</t>
        </is>
      </c>
      <c r="C3819" t="inlineStr">
        <is>
          <t>Planeación Estratégica</t>
        </is>
      </c>
      <c r="D3819" t="inlineStr">
        <is>
          <t>Semestral</t>
        </is>
      </c>
      <c r="E3819" t="inlineStr">
        <is>
          <t>Positivo</t>
        </is>
      </c>
      <c r="F3819" s="105" t="n">
        <v>46022</v>
      </c>
      <c r="G3819" t="inlineStr">
        <is>
          <t>420-2025-12-31</t>
        </is>
      </c>
      <c r="H3819" t="inlineStr">
        <is>
          <t>Planeación estratégica</t>
        </is>
      </c>
      <c r="I3819" t="n">
        <v>100</v>
      </c>
      <c r="J3819" t="n">
        <v>100</v>
      </c>
      <c r="CN3819" t="n">
        <v>100</v>
      </c>
      <c r="CO3819" t="n">
        <v>100</v>
      </c>
    </row>
    <row r="3820">
      <c r="A3820" t="n">
        <v>420</v>
      </c>
      <c r="B3820" t="inlineStr">
        <is>
          <t>Cumplimiento Plan Anual Gerencia de estrategia</t>
        </is>
      </c>
      <c r="C3820" t="inlineStr">
        <is>
          <t>Planeación Estratégica</t>
        </is>
      </c>
      <c r="D3820" t="inlineStr">
        <is>
          <t>Semestral</t>
        </is>
      </c>
      <c r="E3820" t="inlineStr">
        <is>
          <t>Positivo</t>
        </is>
      </c>
      <c r="F3820" s="105" t="n">
        <v>46022</v>
      </c>
      <c r="G3820" t="inlineStr">
        <is>
          <t>420-2025-12-31</t>
        </is>
      </c>
      <c r="H3820" t="inlineStr">
        <is>
          <t>Estudios Internos</t>
        </is>
      </c>
      <c r="I3820" t="n">
        <v>100</v>
      </c>
      <c r="J3820" t="n">
        <v>100</v>
      </c>
      <c r="CN3820" t="n">
        <v>100</v>
      </c>
      <c r="CO3820" t="n">
        <v>100</v>
      </c>
    </row>
    <row r="3821">
      <c r="A3821" t="n">
        <v>432</v>
      </c>
      <c r="B3821" t="inlineStr">
        <is>
          <t>Intervención a la gestión del riesgo de los colaboradores</t>
        </is>
      </c>
      <c r="C3821" t="inlineStr">
        <is>
          <t>GESTIÓN DE SEGURIDAD Y SALUD EN EL TRABAJO</t>
        </is>
      </c>
      <c r="D3821" t="inlineStr">
        <is>
          <t>Semestral</t>
        </is>
      </c>
      <c r="E3821" t="inlineStr">
        <is>
          <t>Positivo</t>
        </is>
      </c>
      <c r="F3821" s="105" t="n">
        <v>46022</v>
      </c>
      <c r="G3821" t="inlineStr">
        <is>
          <t>432-2025-12-31</t>
        </is>
      </c>
      <c r="H3821" t="inlineStr">
        <is>
          <t>Plan de gestión de riesgo psicosocial</t>
        </is>
      </c>
      <c r="I3821" t="n">
        <v>90</v>
      </c>
      <c r="J3821" t="n">
        <v>100</v>
      </c>
      <c r="CS3821" t="n">
        <v>7</v>
      </c>
      <c r="CT3821" t="n">
        <v>7</v>
      </c>
    </row>
    <row r="3822">
      <c r="A3822" t="n">
        <v>432</v>
      </c>
      <c r="B3822" t="inlineStr">
        <is>
          <t>Intervención a la gestión del riesgo de los colaboradores</t>
        </is>
      </c>
      <c r="C3822" t="inlineStr">
        <is>
          <t>GESTIÓN DE SEGURIDAD Y SALUD EN EL TRABAJO</t>
        </is>
      </c>
      <c r="D3822" t="inlineStr">
        <is>
          <t>Semestral</t>
        </is>
      </c>
      <c r="E3822" t="inlineStr">
        <is>
          <t>Positivo</t>
        </is>
      </c>
      <c r="F3822" s="105" t="n">
        <v>46022</v>
      </c>
      <c r="G3822" t="inlineStr">
        <is>
          <t>432-2025-12-31</t>
        </is>
      </c>
      <c r="H3822" t="inlineStr">
        <is>
          <t>Plan de gestión osteomuscular</t>
        </is>
      </c>
      <c r="I3822" t="n">
        <v>90</v>
      </c>
      <c r="J3822" t="n">
        <v>100</v>
      </c>
      <c r="CS3822" t="n">
        <v>14</v>
      </c>
      <c r="CT3822" t="n">
        <v>14</v>
      </c>
    </row>
    <row r="3823">
      <c r="A3823" t="n">
        <v>432</v>
      </c>
      <c r="B3823" t="inlineStr">
        <is>
          <t>Intervención a la gestión del riesgo de los colaboradores</t>
        </is>
      </c>
      <c r="C3823" t="inlineStr">
        <is>
          <t>GESTIÓN DE SEGURIDAD Y SALUD EN EL TRABAJO</t>
        </is>
      </c>
      <c r="D3823" t="inlineStr">
        <is>
          <t>Semestral</t>
        </is>
      </c>
      <c r="E3823" t="inlineStr">
        <is>
          <t>Positivo</t>
        </is>
      </c>
      <c r="F3823" s="105" t="n">
        <v>46022</v>
      </c>
      <c r="G3823" t="inlineStr">
        <is>
          <t>432-2025-12-31</t>
        </is>
      </c>
      <c r="H3823" t="inlineStr">
        <is>
          <t>Plan de gestión TAR</t>
        </is>
      </c>
      <c r="I3823" t="n">
        <v>90</v>
      </c>
      <c r="J3823" t="n">
        <v>100</v>
      </c>
      <c r="CS3823" t="n">
        <v>11</v>
      </c>
      <c r="CT3823" t="n">
        <v>11</v>
      </c>
    </row>
    <row r="3824">
      <c r="A3824" t="n">
        <v>432</v>
      </c>
      <c r="B3824" t="inlineStr">
        <is>
          <t>Intervención a la gestión del riesgo de los colaboradores</t>
        </is>
      </c>
      <c r="C3824" t="inlineStr">
        <is>
          <t>GESTIÓN DE SEGURIDAD Y SALUD EN EL TRABAJO</t>
        </is>
      </c>
      <c r="D3824" t="inlineStr">
        <is>
          <t>Semestral</t>
        </is>
      </c>
      <c r="E3824" t="inlineStr">
        <is>
          <t>Positivo</t>
        </is>
      </c>
      <c r="F3824" s="105" t="n">
        <v>46022</v>
      </c>
      <c r="G3824" t="inlineStr">
        <is>
          <t>432-2025-12-31</t>
        </is>
      </c>
      <c r="H3824" t="inlineStr">
        <is>
          <t>Plan de gestión de riesgo químico</t>
        </is>
      </c>
      <c r="I3824" t="n">
        <v>90</v>
      </c>
      <c r="J3824" t="n">
        <v>100</v>
      </c>
      <c r="CS3824" t="n">
        <v>14</v>
      </c>
      <c r="CT3824" t="n">
        <v>14</v>
      </c>
    </row>
    <row r="3825">
      <c r="A3825" t="n">
        <v>432</v>
      </c>
      <c r="B3825" t="inlineStr">
        <is>
          <t>Intervención a la gestión del riesgo de los colaboradores</t>
        </is>
      </c>
      <c r="C3825" t="inlineStr">
        <is>
          <t>GESTIÓN DE SEGURIDAD Y SALUD EN EL TRABAJO</t>
        </is>
      </c>
      <c r="D3825" t="inlineStr">
        <is>
          <t>Semestral</t>
        </is>
      </c>
      <c r="E3825" t="inlineStr">
        <is>
          <t>Positivo</t>
        </is>
      </c>
      <c r="F3825" s="105" t="n">
        <v>46022</v>
      </c>
      <c r="G3825" t="inlineStr">
        <is>
          <t>432-2025-12-31</t>
        </is>
      </c>
      <c r="H3825" t="inlineStr">
        <is>
          <t>Plan de de gestión conservación de la voz</t>
        </is>
      </c>
      <c r="I3825" t="n">
        <v>90</v>
      </c>
      <c r="J3825" t="n">
        <v>100</v>
      </c>
      <c r="CS3825" t="n">
        <v>4</v>
      </c>
      <c r="CT3825" t="n">
        <v>4</v>
      </c>
    </row>
    <row r="3826">
      <c r="A3826" t="n">
        <v>432</v>
      </c>
      <c r="B3826" t="inlineStr">
        <is>
          <t>Intervención a la gestión del riesgo de los colaboradores</t>
        </is>
      </c>
      <c r="C3826" t="inlineStr">
        <is>
          <t>GESTIÓN DE SEGURIDAD Y SALUD EN EL TRABAJO</t>
        </is>
      </c>
      <c r="D3826" t="inlineStr">
        <is>
          <t>Semestral</t>
        </is>
      </c>
      <c r="E3826" t="inlineStr">
        <is>
          <t>Positivo</t>
        </is>
      </c>
      <c r="F3826" s="105" t="n">
        <v>46022</v>
      </c>
      <c r="G3826" t="inlineStr">
        <is>
          <t>432-2025-12-31</t>
        </is>
      </c>
      <c r="H3826" t="inlineStr">
        <is>
          <t>Plan de gestión riesgo biológico</t>
        </is>
      </c>
      <c r="I3826" t="n">
        <v>90</v>
      </c>
      <c r="J3826" t="n">
        <v>100</v>
      </c>
      <c r="CS3826" t="n">
        <v>2</v>
      </c>
      <c r="CT3826" t="n">
        <v>2</v>
      </c>
    </row>
    <row r="3827">
      <c r="A3827" t="n">
        <v>432</v>
      </c>
      <c r="B3827" t="inlineStr">
        <is>
          <t>Intervención a la gestión del riesgo de los colaboradores</t>
        </is>
      </c>
      <c r="C3827" t="inlineStr">
        <is>
          <t>GESTIÓN DE SEGURIDAD Y SALUD EN EL TRABAJO</t>
        </is>
      </c>
      <c r="D3827" t="inlineStr">
        <is>
          <t>Semestral</t>
        </is>
      </c>
      <c r="E3827" t="inlineStr">
        <is>
          <t>Positivo</t>
        </is>
      </c>
      <c r="F3827" s="105" t="n">
        <v>46022</v>
      </c>
      <c r="G3827" t="inlineStr">
        <is>
          <t>432-2025-12-31</t>
        </is>
      </c>
      <c r="H3827" t="inlineStr">
        <is>
          <t>Plan de gestión Teletrabajadores</t>
        </is>
      </c>
      <c r="I3827" t="n">
        <v>90</v>
      </c>
      <c r="J3827" t="n">
        <v>100</v>
      </c>
      <c r="CS3827" t="n">
        <v>5</v>
      </c>
      <c r="CT3827" t="n">
        <v>5</v>
      </c>
    </row>
    <row r="3828">
      <c r="A3828" t="n">
        <v>432</v>
      </c>
      <c r="B3828" t="inlineStr">
        <is>
          <t>Intervención a la gestión del riesgo de los colaboradores</t>
        </is>
      </c>
      <c r="C3828" t="inlineStr">
        <is>
          <t>GESTIÓN DE SEGURIDAD Y SALUD EN EL TRABAJO</t>
        </is>
      </c>
      <c r="D3828" t="inlineStr">
        <is>
          <t>Semestral</t>
        </is>
      </c>
      <c r="E3828" t="inlineStr">
        <is>
          <t>Positivo</t>
        </is>
      </c>
      <c r="F3828" s="105" t="n">
        <v>46022</v>
      </c>
      <c r="G3828" t="inlineStr">
        <is>
          <t>432-2025-12-31</t>
        </is>
      </c>
      <c r="H3828" t="inlineStr">
        <is>
          <t>Plan de gestión inspecciones de seguridad</t>
        </is>
      </c>
      <c r="I3828" t="n">
        <v>90</v>
      </c>
      <c r="J3828" t="n">
        <v>100</v>
      </c>
      <c r="CS3828" t="n">
        <v>15</v>
      </c>
      <c r="CT3828" t="n">
        <v>15</v>
      </c>
    </row>
    <row r="3829">
      <c r="A3829" t="n">
        <v>432</v>
      </c>
      <c r="B3829" t="inlineStr">
        <is>
          <t>Intervención a la gestión del riesgo de los colaboradores</t>
        </is>
      </c>
      <c r="C3829" t="inlineStr">
        <is>
          <t>GESTIÓN DE SEGURIDAD Y SALUD EN EL TRABAJO</t>
        </is>
      </c>
      <c r="D3829" t="inlineStr">
        <is>
          <t>Semestral</t>
        </is>
      </c>
      <c r="E3829" t="inlineStr">
        <is>
          <t>Positivo</t>
        </is>
      </c>
      <c r="F3829" s="105" t="n">
        <v>46022</v>
      </c>
      <c r="G3829" t="inlineStr">
        <is>
          <t>432-2025-12-31</t>
        </is>
      </c>
      <c r="H3829" t="inlineStr">
        <is>
          <t>Plan estratégico de seguridad vial</t>
        </is>
      </c>
      <c r="I3829" t="n">
        <v>90</v>
      </c>
      <c r="J3829" t="n">
        <v>100</v>
      </c>
      <c r="CS3829" t="n">
        <v>15</v>
      </c>
      <c r="CT3829" t="n">
        <v>15</v>
      </c>
    </row>
    <row r="3830">
      <c r="A3830" t="n">
        <v>456</v>
      </c>
      <c r="B3830" t="inlineStr">
        <is>
          <t>Impacto de campañas de Mailing</t>
        </is>
      </c>
      <c r="C3830" t="inlineStr">
        <is>
          <t>Comunicaciones Internas</t>
        </is>
      </c>
      <c r="D3830" t="inlineStr">
        <is>
          <t>Semestral</t>
        </is>
      </c>
      <c r="E3830" t="inlineStr">
        <is>
          <t>Positivo</t>
        </is>
      </c>
      <c r="F3830" s="105" t="n">
        <v>46022</v>
      </c>
      <c r="G3830" t="inlineStr">
        <is>
          <t>456-2025-12-31</t>
        </is>
      </c>
      <c r="H3830" t="inlineStr">
        <is>
          <t>Colaboradores</t>
        </is>
      </c>
      <c r="I3830" t="n">
        <v>100</v>
      </c>
      <c r="J3830" t="n">
        <v>106.6699981689453</v>
      </c>
      <c r="DY3830" t="n">
        <v>60</v>
      </c>
      <c r="DZ3830" t="n">
        <v>64</v>
      </c>
    </row>
    <row r="3831">
      <c r="A3831" t="n">
        <v>456</v>
      </c>
      <c r="B3831" t="inlineStr">
        <is>
          <t>Impacto de campañas de Mailing</t>
        </is>
      </c>
      <c r="C3831" t="inlineStr">
        <is>
          <t>Comunicaciones Internas</t>
        </is>
      </c>
      <c r="D3831" t="inlineStr">
        <is>
          <t>Semestral</t>
        </is>
      </c>
      <c r="E3831" t="inlineStr">
        <is>
          <t>Positivo</t>
        </is>
      </c>
      <c r="F3831" s="105" t="n">
        <v>46022</v>
      </c>
      <c r="G3831" t="inlineStr">
        <is>
          <t>456-2025-12-31</t>
        </is>
      </c>
      <c r="H3831" t="inlineStr">
        <is>
          <t>Estudiantes</t>
        </is>
      </c>
      <c r="I3831" t="n">
        <v>100</v>
      </c>
      <c r="J3831" t="n">
        <v>153.3300018310547</v>
      </c>
      <c r="DY3831" t="n">
        <v>15</v>
      </c>
      <c r="DZ3831" t="n">
        <v>23</v>
      </c>
    </row>
    <row r="3832">
      <c r="A3832" t="n">
        <v>456</v>
      </c>
      <c r="B3832" t="inlineStr">
        <is>
          <t>Impacto de campañas de Mailing</t>
        </is>
      </c>
      <c r="C3832" t="inlineStr">
        <is>
          <t>Comunicaciones Internas</t>
        </is>
      </c>
      <c r="D3832" t="inlineStr">
        <is>
          <t>Semestral</t>
        </is>
      </c>
      <c r="E3832" t="inlineStr">
        <is>
          <t>Positivo</t>
        </is>
      </c>
      <c r="F3832" s="105" t="n">
        <v>46022</v>
      </c>
      <c r="G3832" t="inlineStr">
        <is>
          <t>456-2025-12-31</t>
        </is>
      </c>
      <c r="H3832" t="inlineStr">
        <is>
          <t>Graduados</t>
        </is>
      </c>
      <c r="I3832" t="n">
        <v>100</v>
      </c>
      <c r="J3832" t="n">
        <v>109.0899963378906</v>
      </c>
      <c r="DY3832" t="n">
        <v>22</v>
      </c>
      <c r="DZ3832" t="n">
        <v>24</v>
      </c>
    </row>
    <row r="3833">
      <c r="A3833" t="n">
        <v>457</v>
      </c>
      <c r="B3833" t="inlineStr">
        <is>
          <t>Apertura de enlaces en mensajes de texto</t>
        </is>
      </c>
      <c r="C3833" t="inlineStr">
        <is>
          <t>Comunicaciones Internas</t>
        </is>
      </c>
      <c r="D3833" t="inlineStr">
        <is>
          <t>Semestral</t>
        </is>
      </c>
      <c r="E3833" t="inlineStr">
        <is>
          <t>Positivo</t>
        </is>
      </c>
      <c r="F3833" s="105" t="n">
        <v>46022</v>
      </c>
      <c r="G3833" t="inlineStr">
        <is>
          <t>457-2025-12-31</t>
        </is>
      </c>
      <c r="H3833" t="inlineStr">
        <is>
          <t>Colaboradores</t>
        </is>
      </c>
      <c r="I3833" t="n">
        <v>100</v>
      </c>
      <c r="J3833" t="n">
        <v>50</v>
      </c>
      <c r="EA3833" t="n">
        <v>2</v>
      </c>
      <c r="EB3833" t="n">
        <v>1</v>
      </c>
    </row>
    <row r="3834">
      <c r="A3834" t="n">
        <v>457</v>
      </c>
      <c r="B3834" t="inlineStr">
        <is>
          <t>Apertura de enlaces en mensajes de texto</t>
        </is>
      </c>
      <c r="C3834" t="inlineStr">
        <is>
          <t>Comunicaciones Internas</t>
        </is>
      </c>
      <c r="D3834" t="inlineStr">
        <is>
          <t>Semestral</t>
        </is>
      </c>
      <c r="E3834" t="inlineStr">
        <is>
          <t>Positivo</t>
        </is>
      </c>
      <c r="F3834" s="105" t="n">
        <v>46022</v>
      </c>
      <c r="G3834" t="inlineStr">
        <is>
          <t>457-2025-12-31</t>
        </is>
      </c>
      <c r="H3834" t="inlineStr">
        <is>
          <t>Estudiantes</t>
        </is>
      </c>
      <c r="I3834" t="n">
        <v>100</v>
      </c>
      <c r="J3834" t="n">
        <v>100</v>
      </c>
      <c r="EA3834" t="n">
        <v>2</v>
      </c>
      <c r="EB3834" t="n">
        <v>2</v>
      </c>
    </row>
    <row r="3835">
      <c r="A3835" t="n">
        <v>457</v>
      </c>
      <c r="B3835" t="inlineStr">
        <is>
          <t>Apertura de enlaces en mensajes de texto</t>
        </is>
      </c>
      <c r="C3835" t="inlineStr">
        <is>
          <t>Comunicaciones Internas</t>
        </is>
      </c>
      <c r="D3835" t="inlineStr">
        <is>
          <t>Semestral</t>
        </is>
      </c>
      <c r="E3835" t="inlineStr">
        <is>
          <t>Positivo</t>
        </is>
      </c>
      <c r="F3835" s="105" t="n">
        <v>46022</v>
      </c>
      <c r="G3835" t="inlineStr">
        <is>
          <t>457-2025-12-31</t>
        </is>
      </c>
      <c r="H3835" t="inlineStr">
        <is>
          <t>Graduados</t>
        </is>
      </c>
      <c r="I3835" t="n">
        <v>100</v>
      </c>
      <c r="J3835" t="n">
        <v>100</v>
      </c>
      <c r="EA3835" t="n">
        <v>2</v>
      </c>
      <c r="EB3835" t="n">
        <v>2</v>
      </c>
    </row>
    <row r="3836">
      <c r="A3836" t="n">
        <v>469</v>
      </c>
      <c r="B3836" t="inlineStr">
        <is>
          <t>Cumplimiento Plan Anual Áreas sede Medellín</t>
        </is>
      </c>
      <c r="C3836" t="inlineStr">
        <is>
          <t>Planeación Estratégica</t>
        </is>
      </c>
      <c r="D3836" t="inlineStr">
        <is>
          <t>Semestral</t>
        </is>
      </c>
      <c r="E3836" t="inlineStr">
        <is>
          <t>Positivo</t>
        </is>
      </c>
      <c r="F3836" s="105" t="n">
        <v>46022</v>
      </c>
      <c r="G3836" t="inlineStr">
        <is>
          <t>469-2025-12-31</t>
        </is>
      </c>
      <c r="H3836" t="inlineStr">
        <is>
          <t>FSCC- DERECHO Y GOBIERNO-DERECHO</t>
        </is>
      </c>
      <c r="I3836" t="n">
        <v>100</v>
      </c>
      <c r="J3836" t="n">
        <v>100</v>
      </c>
      <c r="DF3836" t="n">
        <v>100</v>
      </c>
      <c r="DG3836" t="n">
        <v>100</v>
      </c>
    </row>
    <row r="3837">
      <c r="A3837" t="n">
        <v>469</v>
      </c>
      <c r="B3837" t="inlineStr">
        <is>
          <t>Cumplimiento Plan Anual Áreas sede Medellín</t>
        </is>
      </c>
      <c r="C3837" t="inlineStr">
        <is>
          <t>Planeación Estratégica</t>
        </is>
      </c>
      <c r="D3837" t="inlineStr">
        <is>
          <t>Semestral</t>
        </is>
      </c>
      <c r="E3837" t="inlineStr">
        <is>
          <t>Positivo</t>
        </is>
      </c>
      <c r="F3837" s="105" t="n">
        <v>46022</v>
      </c>
      <c r="G3837" t="inlineStr">
        <is>
          <t>469-2025-12-31</t>
        </is>
      </c>
      <c r="H3837" t="inlineStr">
        <is>
          <t>FIDI-TIC -INGENIERIA DE SISTEMAS</t>
        </is>
      </c>
      <c r="I3837" t="n">
        <v>100</v>
      </c>
      <c r="J3837" t="n">
        <v>100</v>
      </c>
      <c r="DF3837" t="n">
        <v>100</v>
      </c>
      <c r="DG3837" t="n">
        <v>100</v>
      </c>
    </row>
    <row r="3838">
      <c r="A3838" t="n">
        <v>469</v>
      </c>
      <c r="B3838" t="inlineStr">
        <is>
          <t>Cumplimiento Plan Anual Áreas sede Medellín</t>
        </is>
      </c>
      <c r="C3838" t="inlineStr">
        <is>
          <t>Planeación Estratégica</t>
        </is>
      </c>
      <c r="D3838" t="inlineStr">
        <is>
          <t>Semestral</t>
        </is>
      </c>
      <c r="E3838" t="inlineStr">
        <is>
          <t>Positivo</t>
        </is>
      </c>
      <c r="F3838" s="105" t="n">
        <v>46022</v>
      </c>
      <c r="G3838" t="inlineStr">
        <is>
          <t>469-2025-12-31</t>
        </is>
      </c>
      <c r="H3838" t="inlineStr">
        <is>
          <t>FIDI-OPINA-INGENIERIA INDUSTRIAL</t>
        </is>
      </c>
      <c r="I3838" t="n">
        <v>100</v>
      </c>
      <c r="J3838" t="n">
        <v>100</v>
      </c>
      <c r="DF3838" t="n">
        <v>100</v>
      </c>
      <c r="DG3838" t="n">
        <v>100</v>
      </c>
    </row>
    <row r="3839">
      <c r="A3839" t="n">
        <v>469</v>
      </c>
      <c r="B3839" t="inlineStr">
        <is>
          <t>Cumplimiento Plan Anual Áreas sede Medellín</t>
        </is>
      </c>
      <c r="C3839" t="inlineStr">
        <is>
          <t>Planeación Estratégica</t>
        </is>
      </c>
      <c r="D3839" t="inlineStr">
        <is>
          <t>Semestral</t>
        </is>
      </c>
      <c r="E3839" t="inlineStr">
        <is>
          <t>Positivo</t>
        </is>
      </c>
      <c r="F3839" s="105" t="n">
        <v>46022</v>
      </c>
      <c r="G3839" t="inlineStr">
        <is>
          <t>469-2025-12-31</t>
        </is>
      </c>
      <c r="H3839" t="inlineStr">
        <is>
          <t>FNGS-NEG Y DLLO INTER-NEGOCIOS INTERNACIONALES</t>
        </is>
      </c>
      <c r="I3839" t="n">
        <v>100</v>
      </c>
      <c r="J3839" t="n">
        <v>100</v>
      </c>
      <c r="DF3839" t="n">
        <v>100</v>
      </c>
      <c r="DG3839" t="n">
        <v>100</v>
      </c>
    </row>
    <row r="3840">
      <c r="A3840" t="n">
        <v>469</v>
      </c>
      <c r="B3840" t="inlineStr">
        <is>
          <t>Cumplimiento Plan Anual Áreas sede Medellín</t>
        </is>
      </c>
      <c r="C3840" t="inlineStr">
        <is>
          <t>Planeación Estratégica</t>
        </is>
      </c>
      <c r="D3840" t="inlineStr">
        <is>
          <t>Semestral</t>
        </is>
      </c>
      <c r="E3840" t="inlineStr">
        <is>
          <t>Positivo</t>
        </is>
      </c>
      <c r="F3840" s="105" t="n">
        <v>46022</v>
      </c>
      <c r="G3840" t="inlineStr">
        <is>
          <t>469-2025-12-31</t>
        </is>
      </c>
      <c r="H3840" t="inlineStr">
        <is>
          <t>FSCC- EST.PSIC,TH Y SOC- PSICOLOGIA</t>
        </is>
      </c>
      <c r="I3840" t="n">
        <v>100</v>
      </c>
      <c r="J3840" t="n">
        <v>100</v>
      </c>
      <c r="DF3840" t="n">
        <v>100</v>
      </c>
      <c r="DG3840" t="n">
        <v>100</v>
      </c>
    </row>
    <row r="3841">
      <c r="A3841" t="n">
        <v>469</v>
      </c>
      <c r="B3841" t="inlineStr">
        <is>
          <t>Cumplimiento Plan Anual Áreas sede Medellín</t>
        </is>
      </c>
      <c r="C3841" t="inlineStr">
        <is>
          <t>Planeación Estratégica</t>
        </is>
      </c>
      <c r="D3841" t="inlineStr">
        <is>
          <t>Semestral</t>
        </is>
      </c>
      <c r="E3841" t="inlineStr">
        <is>
          <t>Positivo</t>
        </is>
      </c>
      <c r="F3841" s="105" t="n">
        <v>46022</v>
      </c>
      <c r="G3841" t="inlineStr">
        <is>
          <t>469-2025-12-31</t>
        </is>
      </c>
      <c r="H3841" t="inlineStr">
        <is>
          <t>FIDI-CIENCIAS BÁSICAS MED</t>
        </is>
      </c>
      <c r="I3841" t="n">
        <v>100</v>
      </c>
      <c r="J3841" t="n">
        <v>100</v>
      </c>
      <c r="DF3841" t="n">
        <v>100</v>
      </c>
      <c r="DG3841" t="n">
        <v>100</v>
      </c>
    </row>
    <row r="3842">
      <c r="A3842" t="n">
        <v>469</v>
      </c>
      <c r="B3842" t="inlineStr">
        <is>
          <t>Cumplimiento Plan Anual Áreas sede Medellín</t>
        </is>
      </c>
      <c r="C3842" t="inlineStr">
        <is>
          <t>Planeación Estratégica</t>
        </is>
      </c>
      <c r="D3842" t="inlineStr">
        <is>
          <t>Semestral</t>
        </is>
      </c>
      <c r="E3842" t="inlineStr">
        <is>
          <t>Positivo</t>
        </is>
      </c>
      <c r="F3842" s="105" t="n">
        <v>46022</v>
      </c>
      <c r="G3842" t="inlineStr">
        <is>
          <t>469-2025-12-31</t>
        </is>
      </c>
      <c r="H3842" t="inlineStr">
        <is>
          <t>ADMON DE EMPRESAS</t>
        </is>
      </c>
      <c r="I3842" t="n">
        <v>100</v>
      </c>
      <c r="J3842" t="n">
        <v>93</v>
      </c>
      <c r="DF3842" t="n">
        <v>93</v>
      </c>
      <c r="DG3842" t="n">
        <v>100</v>
      </c>
    </row>
    <row r="3843">
      <c r="A3843" t="n">
        <v>469</v>
      </c>
      <c r="B3843" t="inlineStr">
        <is>
          <t>Cumplimiento Plan Anual Áreas sede Medellín</t>
        </is>
      </c>
      <c r="C3843" t="inlineStr">
        <is>
          <t>Planeación Estratégica</t>
        </is>
      </c>
      <c r="D3843" t="inlineStr">
        <is>
          <t>Semestral</t>
        </is>
      </c>
      <c r="E3843" t="inlineStr">
        <is>
          <t>Positivo</t>
        </is>
      </c>
      <c r="F3843" s="105" t="n">
        <v>46022</v>
      </c>
      <c r="G3843" t="inlineStr">
        <is>
          <t>469-2025-12-31</t>
        </is>
      </c>
      <c r="H3843" t="inlineStr">
        <is>
          <t>FSCC - MARKETING MED</t>
        </is>
      </c>
      <c r="I3843" t="n">
        <v>100</v>
      </c>
      <c r="J3843" t="n">
        <v>100</v>
      </c>
      <c r="DF3843" t="n">
        <v>100</v>
      </c>
      <c r="DG3843" t="n">
        <v>100</v>
      </c>
    </row>
    <row r="3844">
      <c r="A3844" t="n">
        <v>470</v>
      </c>
      <c r="B3844" t="inlineStr">
        <is>
          <t>Cumplimiento plan anual Secretaria académica y de extensión</t>
        </is>
      </c>
      <c r="C3844" t="inlineStr">
        <is>
          <t>Planeación Estratégica</t>
        </is>
      </c>
      <c r="D3844" t="inlineStr">
        <is>
          <t>Semestral</t>
        </is>
      </c>
      <c r="E3844" t="inlineStr">
        <is>
          <t>Positivo</t>
        </is>
      </c>
      <c r="F3844" s="105" t="n">
        <v>46022</v>
      </c>
      <c r="G3844" t="inlineStr">
        <is>
          <t>470-2025-12-31</t>
        </is>
      </c>
      <c r="H3844" t="inlineStr">
        <is>
          <t>DIRECTOR SISTEMA NACIONAL DE BIBLIOTECAS</t>
        </is>
      </c>
      <c r="I3844" t="n">
        <v>100</v>
      </c>
      <c r="J3844" t="n">
        <v>100</v>
      </c>
      <c r="DH3844" t="n">
        <v>100</v>
      </c>
      <c r="DI3844" t="n">
        <v>100</v>
      </c>
    </row>
    <row r="3845">
      <c r="A3845" t="n">
        <v>470</v>
      </c>
      <c r="B3845" t="inlineStr">
        <is>
          <t>Cumplimiento plan anual Secretaria académica y de extensión</t>
        </is>
      </c>
      <c r="C3845" t="inlineStr">
        <is>
          <t>Planeación Estratégica</t>
        </is>
      </c>
      <c r="D3845" t="inlineStr">
        <is>
          <t>Semestral</t>
        </is>
      </c>
      <c r="E3845" t="inlineStr">
        <is>
          <t>Positivo</t>
        </is>
      </c>
      <c r="F3845" s="105" t="n">
        <v>46022</v>
      </c>
      <c r="G3845" t="inlineStr">
        <is>
          <t>470-2025-12-31</t>
        </is>
      </c>
      <c r="H3845" t="inlineStr">
        <is>
          <t>DIRECTOR CENTRO MEDIOS AUDIOVISUALES</t>
        </is>
      </c>
      <c r="I3845" t="n">
        <v>100</v>
      </c>
      <c r="J3845" t="n">
        <v>100</v>
      </c>
      <c r="DH3845" t="n">
        <v>100</v>
      </c>
      <c r="DI3845" t="n">
        <v>100</v>
      </c>
    </row>
    <row r="3846">
      <c r="A3846" t="n">
        <v>470</v>
      </c>
      <c r="B3846" t="inlineStr">
        <is>
          <t>Cumplimiento plan anual Secretaria académica y de extensión</t>
        </is>
      </c>
      <c r="C3846" t="inlineStr">
        <is>
          <t>Planeación Estratégica</t>
        </is>
      </c>
      <c r="D3846" t="inlineStr">
        <is>
          <t>Semestral</t>
        </is>
      </c>
      <c r="E3846" t="inlineStr">
        <is>
          <t>Positivo</t>
        </is>
      </c>
      <c r="F3846" s="105" t="n">
        <v>46022</v>
      </c>
      <c r="G3846" t="inlineStr">
        <is>
          <t>470-2025-12-31</t>
        </is>
      </c>
      <c r="H3846" t="inlineStr">
        <is>
          <t>DIRECTOR AGENCIA TROMPO</t>
        </is>
      </c>
      <c r="I3846" t="n">
        <v>100</v>
      </c>
      <c r="J3846" t="n">
        <v>100</v>
      </c>
      <c r="DH3846" t="n">
        <v>100</v>
      </c>
      <c r="DI3846" t="n">
        <v>100</v>
      </c>
    </row>
    <row r="3847">
      <c r="A3847" t="n">
        <v>470</v>
      </c>
      <c r="B3847" t="inlineStr">
        <is>
          <t>Cumplimiento plan anual Secretaria académica y de extensión</t>
        </is>
      </c>
      <c r="C3847" t="inlineStr">
        <is>
          <t>Planeación Estratégica</t>
        </is>
      </c>
      <c r="D3847" t="inlineStr">
        <is>
          <t>Semestral</t>
        </is>
      </c>
      <c r="E3847" t="inlineStr">
        <is>
          <t>Positivo</t>
        </is>
      </c>
      <c r="F3847" s="105" t="n">
        <v>46022</v>
      </c>
      <c r="G3847" t="inlineStr">
        <is>
          <t>470-2025-12-31</t>
        </is>
      </c>
      <c r="H3847" t="inlineStr">
        <is>
          <t>DIRECTOR DE GRADUADOS Y PROYECCION EMP.</t>
        </is>
      </c>
      <c r="I3847" t="n">
        <v>100</v>
      </c>
      <c r="J3847" t="n">
        <v>100</v>
      </c>
      <c r="DH3847" t="n">
        <v>100</v>
      </c>
      <c r="DI3847" t="n">
        <v>100</v>
      </c>
    </row>
    <row r="3848">
      <c r="A3848" t="n">
        <v>470</v>
      </c>
      <c r="B3848" t="inlineStr">
        <is>
          <t>Cumplimiento plan anual Secretaria académica y de extensión</t>
        </is>
      </c>
      <c r="C3848" t="inlineStr">
        <is>
          <t>Planeación Estratégica</t>
        </is>
      </c>
      <c r="D3848" t="inlineStr">
        <is>
          <t>Semestral</t>
        </is>
      </c>
      <c r="E3848" t="inlineStr">
        <is>
          <t>Positivo</t>
        </is>
      </c>
      <c r="F3848" s="105" t="n">
        <v>46022</v>
      </c>
      <c r="G3848" t="inlineStr">
        <is>
          <t>470-2025-12-31</t>
        </is>
      </c>
      <c r="H3848" t="inlineStr">
        <is>
          <t>DIRECTOR EDITORIAL</t>
        </is>
      </c>
      <c r="I3848" t="n">
        <v>100</v>
      </c>
      <c r="J3848" t="n">
        <v>100</v>
      </c>
      <c r="DH3848" t="n">
        <v>100</v>
      </c>
      <c r="DI3848" t="n">
        <v>100</v>
      </c>
    </row>
    <row r="3849">
      <c r="A3849" t="n">
        <v>471</v>
      </c>
      <c r="B3849" t="inlineStr">
        <is>
          <t>Cumplimiento plan anual Gerencia de Talento Humano</t>
        </is>
      </c>
      <c r="C3849" t="inlineStr">
        <is>
          <t>Planeación Estratégica</t>
        </is>
      </c>
      <c r="D3849" t="inlineStr">
        <is>
          <t>Semestral</t>
        </is>
      </c>
      <c r="E3849" t="inlineStr">
        <is>
          <t>Positivo</t>
        </is>
      </c>
      <c r="F3849" s="105" t="n">
        <v>46022</v>
      </c>
      <c r="G3849" t="inlineStr">
        <is>
          <t>471-2025-12-31</t>
        </is>
      </c>
      <c r="H3849" t="inlineStr">
        <is>
          <t>DIRECTOR DE BIENESTAR Y RELAC. LABORALES</t>
        </is>
      </c>
      <c r="I3849" t="n">
        <v>100</v>
      </c>
      <c r="J3849" t="n">
        <v>99</v>
      </c>
      <c r="DJ3849" t="n">
        <v>99</v>
      </c>
      <c r="DK3849" t="n">
        <v>100</v>
      </c>
    </row>
    <row r="3850">
      <c r="A3850" t="n">
        <v>471</v>
      </c>
      <c r="B3850" t="inlineStr">
        <is>
          <t>Cumplimiento plan anual Gerencia de Talento Humano</t>
        </is>
      </c>
      <c r="C3850" t="inlineStr">
        <is>
          <t>Planeación Estratégica</t>
        </is>
      </c>
      <c r="D3850" t="inlineStr">
        <is>
          <t>Semestral</t>
        </is>
      </c>
      <c r="E3850" t="inlineStr">
        <is>
          <t>Positivo</t>
        </is>
      </c>
      <c r="F3850" s="105" t="n">
        <v>46022</v>
      </c>
      <c r="G3850" t="inlineStr">
        <is>
          <t>471-2025-12-31</t>
        </is>
      </c>
      <c r="H3850" t="inlineStr">
        <is>
          <t>DIRECTOR DE FORMACION Y DESARROLLO</t>
        </is>
      </c>
      <c r="I3850" t="n">
        <v>100</v>
      </c>
      <c r="J3850" t="n">
        <v>100</v>
      </c>
      <c r="DJ3850" t="n">
        <v>100</v>
      </c>
      <c r="DK3850" t="n">
        <v>100</v>
      </c>
    </row>
    <row r="3851">
      <c r="A3851" t="n">
        <v>471</v>
      </c>
      <c r="B3851" t="inlineStr">
        <is>
          <t>Cumplimiento plan anual Gerencia de Talento Humano</t>
        </is>
      </c>
      <c r="C3851" t="inlineStr">
        <is>
          <t>Planeación Estratégica</t>
        </is>
      </c>
      <c r="D3851" t="inlineStr">
        <is>
          <t>Semestral</t>
        </is>
      </c>
      <c r="E3851" t="inlineStr">
        <is>
          <t>Positivo</t>
        </is>
      </c>
      <c r="F3851" s="105" t="n">
        <v>46022</v>
      </c>
      <c r="G3851" t="inlineStr">
        <is>
          <t>471-2025-12-31</t>
        </is>
      </c>
      <c r="H3851" t="inlineStr">
        <is>
          <t>DIRECTOR DE COMUN. EXTERNAS SED MEDELLIN</t>
        </is>
      </c>
      <c r="I3851" t="n">
        <v>100</v>
      </c>
      <c r="J3851" t="n">
        <v>100</v>
      </c>
      <c r="DJ3851" t="n">
        <v>100</v>
      </c>
      <c r="DK3851" t="n">
        <v>100</v>
      </c>
    </row>
    <row r="3852">
      <c r="A3852" t="n">
        <v>471</v>
      </c>
      <c r="B3852" t="inlineStr">
        <is>
          <t>Cumplimiento plan anual Gerencia de Talento Humano</t>
        </is>
      </c>
      <c r="C3852" t="inlineStr">
        <is>
          <t>Planeación Estratégica</t>
        </is>
      </c>
      <c r="D3852" t="inlineStr">
        <is>
          <t>Semestral</t>
        </is>
      </c>
      <c r="E3852" t="inlineStr">
        <is>
          <t>Positivo</t>
        </is>
      </c>
      <c r="F3852" s="105" t="n">
        <v>46022</v>
      </c>
      <c r="G3852" t="inlineStr">
        <is>
          <t>471-2025-12-31</t>
        </is>
      </c>
      <c r="H3852" t="inlineStr">
        <is>
          <t>DIRECTOR DE RELACIONES PUBLICAS Y PROTOC</t>
        </is>
      </c>
      <c r="I3852" t="n">
        <v>100</v>
      </c>
      <c r="J3852" t="n">
        <v>100</v>
      </c>
      <c r="DJ3852" t="n">
        <v>100</v>
      </c>
      <c r="DK3852" t="n">
        <v>100</v>
      </c>
    </row>
    <row r="3853">
      <c r="A3853" t="n">
        <v>471</v>
      </c>
      <c r="B3853" t="inlineStr">
        <is>
          <t>Cumplimiento plan anual Gerencia de Talento Humano</t>
        </is>
      </c>
      <c r="C3853" t="inlineStr">
        <is>
          <t>Planeación Estratégica</t>
        </is>
      </c>
      <c r="D3853" t="inlineStr">
        <is>
          <t>Semestral</t>
        </is>
      </c>
      <c r="E3853" t="inlineStr">
        <is>
          <t>Positivo</t>
        </is>
      </c>
      <c r="F3853" s="105" t="n">
        <v>46022</v>
      </c>
      <c r="G3853" t="inlineStr">
        <is>
          <t>471-2025-12-31</t>
        </is>
      </c>
      <c r="H3853" t="inlineStr">
        <is>
          <t>DIRECTOR DE COMUNICACIONES</t>
        </is>
      </c>
      <c r="I3853" t="n">
        <v>100</v>
      </c>
      <c r="J3853" t="n">
        <v>100</v>
      </c>
      <c r="DJ3853" t="n">
        <v>100</v>
      </c>
      <c r="DK3853" t="n">
        <v>100</v>
      </c>
    </row>
    <row r="3854">
      <c r="A3854" t="n">
        <v>471</v>
      </c>
      <c r="B3854" t="inlineStr">
        <is>
          <t>Cumplimiento plan anual Gerencia de Talento Humano</t>
        </is>
      </c>
      <c r="C3854" t="inlineStr">
        <is>
          <t>Planeación Estratégica</t>
        </is>
      </c>
      <c r="D3854" t="inlineStr">
        <is>
          <t>Semestral</t>
        </is>
      </c>
      <c r="E3854" t="inlineStr">
        <is>
          <t>Positivo</t>
        </is>
      </c>
      <c r="F3854" s="105" t="n">
        <v>46022</v>
      </c>
      <c r="G3854" t="inlineStr">
        <is>
          <t>471-2025-12-31</t>
        </is>
      </c>
      <c r="H3854" t="inlineStr">
        <is>
          <t>DIRECTOR DE ADMON LABORAL Y COMPENSACION</t>
        </is>
      </c>
      <c r="I3854" t="n">
        <v>100</v>
      </c>
      <c r="J3854" t="n">
        <v>100</v>
      </c>
      <c r="DJ3854" t="n">
        <v>100</v>
      </c>
      <c r="DK3854" t="n">
        <v>100</v>
      </c>
    </row>
    <row r="3855">
      <c r="A3855" t="n">
        <v>471</v>
      </c>
      <c r="B3855" t="inlineStr">
        <is>
          <t>Cumplimiento plan anual Gerencia de Talento Humano</t>
        </is>
      </c>
      <c r="C3855" t="inlineStr">
        <is>
          <t>Planeación Estratégica</t>
        </is>
      </c>
      <c r="D3855" t="inlineStr">
        <is>
          <t>Semestral</t>
        </is>
      </c>
      <c r="E3855" t="inlineStr">
        <is>
          <t>Positivo</t>
        </is>
      </c>
      <c r="F3855" s="105" t="n">
        <v>46022</v>
      </c>
      <c r="G3855" t="inlineStr">
        <is>
          <t>471-2025-12-31</t>
        </is>
      </c>
      <c r="H3855" t="inlineStr">
        <is>
          <t>DIRECTOR DE GESTION DE TALENTO</t>
        </is>
      </c>
      <c r="I3855" t="n">
        <v>100</v>
      </c>
      <c r="J3855" t="n">
        <v>100</v>
      </c>
      <c r="DJ3855" t="n">
        <v>100</v>
      </c>
      <c r="DK3855" t="n">
        <v>100</v>
      </c>
    </row>
    <row r="3856">
      <c r="A3856" t="n">
        <v>510</v>
      </c>
      <c r="B3856" t="inlineStr">
        <is>
          <t>Frecuencia de incidentes de riesgos</t>
        </is>
      </c>
      <c r="C3856" t="inlineStr">
        <is>
          <t>GESTIÓN DE RIESGOS</t>
        </is>
      </c>
      <c r="D3856" t="inlineStr">
        <is>
          <t>Semestral</t>
        </is>
      </c>
      <c r="E3856" t="inlineStr">
        <is>
          <t>Positivo</t>
        </is>
      </c>
      <c r="F3856" s="105" t="n">
        <v>46022</v>
      </c>
      <c r="G3856" t="inlineStr">
        <is>
          <t>510-2025-12-31</t>
        </is>
      </c>
      <c r="H3856" t="inlineStr">
        <is>
          <t>Revisión y asesorías</t>
        </is>
      </c>
      <c r="J3856" t="n">
        <v>0</v>
      </c>
      <c r="EL3856" t="n">
        <v>0</v>
      </c>
      <c r="EM3856" t="n">
        <v>140</v>
      </c>
    </row>
    <row r="3857">
      <c r="A3857" t="n">
        <v>511</v>
      </c>
      <c r="B3857" t="inlineStr">
        <is>
          <t>Eficacia de controles</t>
        </is>
      </c>
      <c r="C3857" t="inlineStr">
        <is>
          <t>GESTIÓN DE RIESGOS</t>
        </is>
      </c>
      <c r="D3857" t="inlineStr">
        <is>
          <t>Semestral</t>
        </is>
      </c>
      <c r="E3857" t="inlineStr">
        <is>
          <t>Positivo</t>
        </is>
      </c>
      <c r="F3857" s="105" t="n">
        <v>46022</v>
      </c>
      <c r="G3857" t="inlineStr">
        <is>
          <t>511-2025-12-31</t>
        </is>
      </c>
      <c r="H3857" t="inlineStr">
        <is>
          <t>Estratégicos</t>
        </is>
      </c>
      <c r="J3857" t="n">
        <v>74.29000091552734</v>
      </c>
      <c r="EN3857" t="n">
        <v>26</v>
      </c>
      <c r="EO3857" t="n">
        <v>35</v>
      </c>
    </row>
    <row r="3858">
      <c r="A3858" t="n">
        <v>511</v>
      </c>
      <c r="B3858" t="inlineStr">
        <is>
          <t>Eficacia de controles</t>
        </is>
      </c>
      <c r="C3858" t="inlineStr">
        <is>
          <t>GESTIÓN DE RIESGOS</t>
        </is>
      </c>
      <c r="D3858" t="inlineStr">
        <is>
          <t>Semestral</t>
        </is>
      </c>
      <c r="E3858" t="inlineStr">
        <is>
          <t>Positivo</t>
        </is>
      </c>
      <c r="F3858" s="105" t="n">
        <v>46022</v>
      </c>
      <c r="G3858" t="inlineStr">
        <is>
          <t>511-2025-12-31</t>
        </is>
      </c>
      <c r="H3858" t="inlineStr">
        <is>
          <t>Proyectos</t>
        </is>
      </c>
      <c r="J3858" t="n">
        <v>100</v>
      </c>
      <c r="EN3858" t="n">
        <v>11</v>
      </c>
      <c r="EO3858" t="n">
        <v>11</v>
      </c>
    </row>
    <row r="3859">
      <c r="A3859" t="n">
        <v>511</v>
      </c>
      <c r="B3859" t="inlineStr">
        <is>
          <t>Eficacia de controles</t>
        </is>
      </c>
      <c r="C3859" t="inlineStr">
        <is>
          <t>GESTIÓN DE RIESGOS</t>
        </is>
      </c>
      <c r="D3859" t="inlineStr">
        <is>
          <t>Semestral</t>
        </is>
      </c>
      <c r="E3859" t="inlineStr">
        <is>
          <t>Positivo</t>
        </is>
      </c>
      <c r="F3859" s="105" t="n">
        <v>46022</v>
      </c>
      <c r="G3859" t="inlineStr">
        <is>
          <t>511-2025-12-31</t>
        </is>
      </c>
      <c r="H3859" t="inlineStr">
        <is>
          <t>Financieros</t>
        </is>
      </c>
      <c r="J3859" t="n">
        <v>100</v>
      </c>
      <c r="EN3859" t="n">
        <v>24</v>
      </c>
      <c r="EO3859" t="n">
        <v>24</v>
      </c>
    </row>
    <row r="3860">
      <c r="A3860" t="n">
        <v>511</v>
      </c>
      <c r="B3860" t="inlineStr">
        <is>
          <t>Eficacia de controles</t>
        </is>
      </c>
      <c r="C3860" t="inlineStr">
        <is>
          <t>GESTIÓN DE RIESGOS</t>
        </is>
      </c>
      <c r="D3860" t="inlineStr">
        <is>
          <t>Semestral</t>
        </is>
      </c>
      <c r="E3860" t="inlineStr">
        <is>
          <t>Positivo</t>
        </is>
      </c>
      <c r="F3860" s="105" t="n">
        <v>46022</v>
      </c>
      <c r="G3860" t="inlineStr">
        <is>
          <t>511-2025-12-31</t>
        </is>
      </c>
      <c r="H3860" t="inlineStr">
        <is>
          <t>Legal/ Cumplimiento</t>
        </is>
      </c>
      <c r="J3860" t="n">
        <v>93.33000183105469</v>
      </c>
      <c r="EN3860" t="n">
        <v>14</v>
      </c>
      <c r="EO3860" t="n">
        <v>15</v>
      </c>
    </row>
    <row r="3861">
      <c r="A3861" t="n">
        <v>511</v>
      </c>
      <c r="B3861" t="inlineStr">
        <is>
          <t>Eficacia de controles</t>
        </is>
      </c>
      <c r="C3861" t="inlineStr">
        <is>
          <t>GESTIÓN DE RIESGOS</t>
        </is>
      </c>
      <c r="D3861" t="inlineStr">
        <is>
          <t>Semestral</t>
        </is>
      </c>
      <c r="E3861" t="inlineStr">
        <is>
          <t>Positivo</t>
        </is>
      </c>
      <c r="F3861" s="105" t="n">
        <v>46022</v>
      </c>
      <c r="G3861" t="inlineStr">
        <is>
          <t>511-2025-12-31</t>
        </is>
      </c>
      <c r="H3861" t="inlineStr">
        <is>
          <t>Tecnológico</t>
        </is>
      </c>
      <c r="J3861" t="n">
        <v>100</v>
      </c>
      <c r="EN3861" t="n">
        <v>8</v>
      </c>
      <c r="EO3861" t="n">
        <v>8</v>
      </c>
    </row>
    <row r="3862">
      <c r="A3862" t="n">
        <v>511</v>
      </c>
      <c r="B3862" t="inlineStr">
        <is>
          <t>Eficacia de controles</t>
        </is>
      </c>
      <c r="C3862" t="inlineStr">
        <is>
          <t>GESTIÓN DE RIESGOS</t>
        </is>
      </c>
      <c r="D3862" t="inlineStr">
        <is>
          <t>Semestral</t>
        </is>
      </c>
      <c r="E3862" t="inlineStr">
        <is>
          <t>Positivo</t>
        </is>
      </c>
      <c r="F3862" s="105" t="n">
        <v>46022</v>
      </c>
      <c r="G3862" t="inlineStr">
        <is>
          <t>511-2025-12-31</t>
        </is>
      </c>
      <c r="H3862" t="inlineStr">
        <is>
          <t>Operativos</t>
        </is>
      </c>
      <c r="J3862" t="n">
        <v>81.66000366210938</v>
      </c>
      <c r="EN3862" t="n">
        <v>138</v>
      </c>
      <c r="EO3862" t="n">
        <v>169</v>
      </c>
    </row>
    <row r="3863">
      <c r="A3863" t="n">
        <v>511</v>
      </c>
      <c r="B3863" t="inlineStr">
        <is>
          <t>Eficacia de controles</t>
        </is>
      </c>
      <c r="C3863" t="inlineStr">
        <is>
          <t>GESTIÓN DE RIESGOS</t>
        </is>
      </c>
      <c r="D3863" t="inlineStr">
        <is>
          <t>Semestral</t>
        </is>
      </c>
      <c r="E3863" t="inlineStr">
        <is>
          <t>Positivo</t>
        </is>
      </c>
      <c r="F3863" s="105" t="n">
        <v>46022</v>
      </c>
      <c r="G3863" t="inlineStr">
        <is>
          <t>511-2025-12-31</t>
        </is>
      </c>
      <c r="H3863" t="inlineStr">
        <is>
          <t>Reputacionales</t>
        </is>
      </c>
      <c r="J3863" t="n">
        <v>100</v>
      </c>
      <c r="EN3863" t="n">
        <v>7</v>
      </c>
      <c r="EO3863" t="n">
        <v>7</v>
      </c>
    </row>
    <row r="3864">
      <c r="A3864" t="n">
        <v>529</v>
      </c>
      <c r="B3864" t="inlineStr">
        <is>
          <t>Oportunidad en la solución de solicitudes de infraestructura</t>
        </is>
      </c>
      <c r="C3864" t="inlineStr">
        <is>
          <t>Gestión Infraestructura Física</t>
        </is>
      </c>
      <c r="D3864" t="inlineStr">
        <is>
          <t>Semestral</t>
        </is>
      </c>
      <c r="E3864" t="inlineStr">
        <is>
          <t>Positivo</t>
        </is>
      </c>
      <c r="F3864" s="105" t="n">
        <v>46022</v>
      </c>
      <c r="G3864" t="inlineStr">
        <is>
          <t>529-2025-12-31</t>
        </is>
      </c>
      <c r="H3864" t="inlineStr">
        <is>
          <t>Bogotá</t>
        </is>
      </c>
      <c r="I3864" t="n">
        <v>90</v>
      </c>
      <c r="J3864" t="n">
        <v>96</v>
      </c>
      <c r="FJ3864" t="n">
        <v>50</v>
      </c>
      <c r="FK3864" t="n">
        <v>48</v>
      </c>
    </row>
    <row r="3865">
      <c r="A3865" t="n">
        <v>529</v>
      </c>
      <c r="B3865" t="inlineStr">
        <is>
          <t>Oportunidad en la solución de solicitudes de infraestructura</t>
        </is>
      </c>
      <c r="C3865" t="inlineStr">
        <is>
          <t>Gestión Infraestructura Física</t>
        </is>
      </c>
      <c r="D3865" t="inlineStr">
        <is>
          <t>Semestral</t>
        </is>
      </c>
      <c r="E3865" t="inlineStr">
        <is>
          <t>Positivo</t>
        </is>
      </c>
      <c r="F3865" s="105" t="n">
        <v>46022</v>
      </c>
      <c r="G3865" t="inlineStr">
        <is>
          <t>529-2025-12-31</t>
        </is>
      </c>
      <c r="H3865" t="inlineStr">
        <is>
          <t>Medellín</t>
        </is>
      </c>
      <c r="I3865" t="n">
        <v>90</v>
      </c>
      <c r="J3865" t="n">
        <v>98.98000335693359</v>
      </c>
      <c r="FJ3865" t="n">
        <v>98</v>
      </c>
      <c r="FK3865" t="n">
        <v>97</v>
      </c>
    </row>
    <row r="3866">
      <c r="A3866" t="n">
        <v>216</v>
      </c>
      <c r="B3866" t="inlineStr">
        <is>
          <t>Disposición Ambientalmente Adecuada de Residuos Peligrosos</t>
        </is>
      </c>
      <c r="C3866" t="inlineStr">
        <is>
          <t>GESTIÓN AMBIENTAL</t>
        </is>
      </c>
      <c r="D3866" t="inlineStr">
        <is>
          <t>Anual</t>
        </is>
      </c>
      <c r="E3866" t="inlineStr">
        <is>
          <t>Positivo</t>
        </is>
      </c>
      <c r="F3866" s="105" t="n">
        <v>46022</v>
      </c>
      <c r="G3866" t="inlineStr">
        <is>
          <t>216-2025-12-31</t>
        </is>
      </c>
      <c r="H3866" t="inlineStr">
        <is>
          <t>Campus Bogotá</t>
        </is>
      </c>
      <c r="I3866" t="n">
        <v>100</v>
      </c>
      <c r="J3866" t="n">
        <v>100</v>
      </c>
      <c r="AE3866" t="n">
        <v>9001.27</v>
      </c>
      <c r="AF3866" t="n">
        <v>9001.27</v>
      </c>
    </row>
    <row r="3867">
      <c r="A3867" t="n">
        <v>216</v>
      </c>
      <c r="B3867" t="inlineStr">
        <is>
          <t>Disposición Ambientalmente Adecuada de Residuos Peligrosos</t>
        </is>
      </c>
      <c r="C3867" t="inlineStr">
        <is>
          <t>GESTIÓN AMBIENTAL</t>
        </is>
      </c>
      <c r="D3867" t="inlineStr">
        <is>
          <t>Anual</t>
        </is>
      </c>
      <c r="E3867" t="inlineStr">
        <is>
          <t>Positivo</t>
        </is>
      </c>
      <c r="F3867" s="105" t="n">
        <v>46022</v>
      </c>
      <c r="G3867" t="inlineStr">
        <is>
          <t>216-2025-12-31</t>
        </is>
      </c>
      <c r="H3867" t="inlineStr">
        <is>
          <t>City Campus</t>
        </is>
      </c>
      <c r="I3867" t="n">
        <v>100</v>
      </c>
      <c r="J3867" t="n">
        <v>100</v>
      </c>
      <c r="AE3867" t="n">
        <v>271.68</v>
      </c>
      <c r="AF3867" t="n">
        <v>271.68</v>
      </c>
    </row>
    <row r="3868">
      <c r="A3868" t="n">
        <v>216</v>
      </c>
      <c r="B3868" t="inlineStr">
        <is>
          <t>Disposición Ambientalmente Adecuada de Residuos Peligrosos</t>
        </is>
      </c>
      <c r="C3868" t="inlineStr">
        <is>
          <t>GESTIÓN AMBIENTAL</t>
        </is>
      </c>
      <c r="D3868" t="inlineStr">
        <is>
          <t>Anual</t>
        </is>
      </c>
      <c r="E3868" t="inlineStr">
        <is>
          <t>Positivo</t>
        </is>
      </c>
      <c r="F3868" s="105" t="n">
        <v>46022</v>
      </c>
      <c r="G3868" t="inlineStr">
        <is>
          <t>216-2025-12-31</t>
        </is>
      </c>
      <c r="H3868" t="inlineStr">
        <is>
          <t>Sede Posgrado-Calle 85</t>
        </is>
      </c>
      <c r="I3868" t="n">
        <v>100</v>
      </c>
      <c r="J3868" t="n">
        <v>0</v>
      </c>
      <c r="AE3868" t="n">
        <v>0</v>
      </c>
      <c r="AF3868" t="n">
        <v>0</v>
      </c>
    </row>
    <row r="3869">
      <c r="A3869" t="n">
        <v>216</v>
      </c>
      <c r="B3869" t="inlineStr">
        <is>
          <t>Disposición Ambientalmente Adecuada de Residuos Peligrosos</t>
        </is>
      </c>
      <c r="C3869" t="inlineStr">
        <is>
          <t>GESTIÓN AMBIENTAL</t>
        </is>
      </c>
      <c r="D3869" t="inlineStr">
        <is>
          <t>Anual</t>
        </is>
      </c>
      <c r="E3869" t="inlineStr">
        <is>
          <t>Positivo</t>
        </is>
      </c>
      <c r="F3869" s="105" t="n">
        <v>46022</v>
      </c>
      <c r="G3869" t="inlineStr">
        <is>
          <t>216-2025-12-31</t>
        </is>
      </c>
      <c r="H3869" t="inlineStr">
        <is>
          <t>Campus-Medellín</t>
        </is>
      </c>
      <c r="I3869" t="n">
        <v>100</v>
      </c>
      <c r="J3869" t="n">
        <v>100</v>
      </c>
      <c r="AE3869" t="n">
        <v>541</v>
      </c>
      <c r="AF3869" t="n">
        <v>541</v>
      </c>
    </row>
    <row r="3870">
      <c r="A3870" t="n">
        <v>216</v>
      </c>
      <c r="B3870" t="inlineStr">
        <is>
          <t>Disposición Ambientalmente Adecuada de Residuos Peligrosos</t>
        </is>
      </c>
      <c r="C3870" t="inlineStr">
        <is>
          <t>GESTIÓN AMBIENTAL</t>
        </is>
      </c>
      <c r="D3870" t="inlineStr">
        <is>
          <t>Anual</t>
        </is>
      </c>
      <c r="E3870" t="inlineStr">
        <is>
          <t>Positivo</t>
        </is>
      </c>
      <c r="F3870" s="105" t="n">
        <v>46022</v>
      </c>
      <c r="G3870" t="inlineStr">
        <is>
          <t>216-2025-12-31</t>
        </is>
      </c>
      <c r="H3870" t="inlineStr">
        <is>
          <t>Sede Bienestar - Medellín</t>
        </is>
      </c>
      <c r="I3870" t="n">
        <v>100</v>
      </c>
      <c r="J3870" t="n">
        <v>100</v>
      </c>
      <c r="AE3870" t="n">
        <v>1.3</v>
      </c>
      <c r="AF3870" t="n">
        <v>1.3</v>
      </c>
    </row>
    <row r="3871">
      <c r="A3871" t="n">
        <v>216</v>
      </c>
      <c r="B3871" t="inlineStr">
        <is>
          <t>Disposición Ambientalmente Adecuada de Residuos Peligrosos</t>
        </is>
      </c>
      <c r="C3871" t="inlineStr">
        <is>
          <t>GESTIÓN AMBIENTAL</t>
        </is>
      </c>
      <c r="D3871" t="inlineStr">
        <is>
          <t>Anual</t>
        </is>
      </c>
      <c r="E3871" t="inlineStr">
        <is>
          <t>Positivo</t>
        </is>
      </c>
      <c r="F3871" s="105" t="n">
        <v>46022</v>
      </c>
      <c r="G3871" t="inlineStr">
        <is>
          <t>216-2025-12-31</t>
        </is>
      </c>
      <c r="H3871" t="inlineStr">
        <is>
          <t>Consultorio Psicología - Medellin</t>
        </is>
      </c>
      <c r="I3871" t="n">
        <v>100</v>
      </c>
      <c r="J3871" t="n">
        <v>0</v>
      </c>
      <c r="AE3871" t="n">
        <v>0</v>
      </c>
      <c r="AF3871" t="n">
        <v>0</v>
      </c>
    </row>
    <row r="3872">
      <c r="A3872" t="n">
        <v>221</v>
      </c>
      <c r="B3872" t="inlineStr">
        <is>
          <t>Riesgo de la Calidad del Agua Potable</t>
        </is>
      </c>
      <c r="C3872" t="inlineStr">
        <is>
          <t>GESTIÓN AMBIENTAL</t>
        </is>
      </c>
      <c r="D3872" t="inlineStr">
        <is>
          <t>Anual</t>
        </is>
      </c>
      <c r="E3872" t="inlineStr">
        <is>
          <t>Positivo</t>
        </is>
      </c>
      <c r="F3872" s="105" t="n">
        <v>46022</v>
      </c>
      <c r="G3872" t="inlineStr">
        <is>
          <t>221-2025-12-31</t>
        </is>
      </c>
      <c r="H3872" t="inlineStr">
        <is>
          <t>Campus Bogotá</t>
        </is>
      </c>
      <c r="I3872" t="n">
        <v>100</v>
      </c>
      <c r="J3872" t="n">
        <v>10</v>
      </c>
      <c r="AG3872" t="n">
        <v>1</v>
      </c>
      <c r="AH3872" t="n">
        <v>10</v>
      </c>
    </row>
    <row r="3873">
      <c r="A3873" t="n">
        <v>221</v>
      </c>
      <c r="B3873" t="inlineStr">
        <is>
          <t>Riesgo de la Calidad del Agua Potable</t>
        </is>
      </c>
      <c r="C3873" t="inlineStr">
        <is>
          <t>GESTIÓN AMBIENTAL</t>
        </is>
      </c>
      <c r="D3873" t="inlineStr">
        <is>
          <t>Anual</t>
        </is>
      </c>
      <c r="E3873" t="inlineStr">
        <is>
          <t>Positivo</t>
        </is>
      </c>
      <c r="F3873" s="105" t="n">
        <v>46022</v>
      </c>
      <c r="G3873" t="inlineStr">
        <is>
          <t>221-2025-12-31</t>
        </is>
      </c>
      <c r="H3873" t="inlineStr">
        <is>
          <t>City Campus</t>
        </is>
      </c>
      <c r="I3873" t="n">
        <v>100</v>
      </c>
      <c r="J3873" t="n">
        <v>0</v>
      </c>
      <c r="AG3873" t="n">
        <v>0</v>
      </c>
      <c r="AH3873" t="n">
        <v>5</v>
      </c>
    </row>
    <row r="3874">
      <c r="A3874" t="n">
        <v>221</v>
      </c>
      <c r="B3874" t="inlineStr">
        <is>
          <t>Riesgo de la Calidad del Agua Potable</t>
        </is>
      </c>
      <c r="C3874" t="inlineStr">
        <is>
          <t>GESTIÓN AMBIENTAL</t>
        </is>
      </c>
      <c r="D3874" t="inlineStr">
        <is>
          <t>Anual</t>
        </is>
      </c>
      <c r="E3874" t="inlineStr">
        <is>
          <t>Positivo</t>
        </is>
      </c>
      <c r="F3874" s="105" t="n">
        <v>46022</v>
      </c>
      <c r="G3874" t="inlineStr">
        <is>
          <t>221-2025-12-31</t>
        </is>
      </c>
      <c r="H3874" t="inlineStr">
        <is>
          <t>Campus-Medellín</t>
        </is>
      </c>
      <c r="I3874" t="n">
        <v>100</v>
      </c>
      <c r="J3874" t="n">
        <v>100</v>
      </c>
      <c r="AG3874" t="n">
        <v>3</v>
      </c>
      <c r="AH3874" t="n">
        <v>3</v>
      </c>
    </row>
    <row r="3875">
      <c r="A3875" t="n">
        <v>221</v>
      </c>
      <c r="B3875" t="inlineStr">
        <is>
          <t>Riesgo de la Calidad del Agua Potable</t>
        </is>
      </c>
      <c r="C3875" t="inlineStr">
        <is>
          <t>GESTIÓN AMBIENTAL</t>
        </is>
      </c>
      <c r="D3875" t="inlineStr">
        <is>
          <t>Anual</t>
        </is>
      </c>
      <c r="E3875" t="inlineStr">
        <is>
          <t>Positivo</t>
        </is>
      </c>
      <c r="F3875" s="105" t="n">
        <v>46022</v>
      </c>
      <c r="G3875" t="inlineStr">
        <is>
          <t>221-2025-12-31</t>
        </is>
      </c>
      <c r="H3875" t="inlineStr">
        <is>
          <t>Sede Bienestar - Medellín</t>
        </is>
      </c>
      <c r="I3875" t="n">
        <v>100</v>
      </c>
      <c r="J3875" t="n">
        <v>0</v>
      </c>
      <c r="AG3875" t="n">
        <v>0</v>
      </c>
      <c r="AH3875" t="n">
        <v>0</v>
      </c>
    </row>
    <row r="3876">
      <c r="A3876" t="n">
        <v>221</v>
      </c>
      <c r="B3876" t="inlineStr">
        <is>
          <t>Riesgo de la Calidad del Agua Potable</t>
        </is>
      </c>
      <c r="C3876" t="inlineStr">
        <is>
          <t>GESTIÓN AMBIENTAL</t>
        </is>
      </c>
      <c r="D3876" t="inlineStr">
        <is>
          <t>Anual</t>
        </is>
      </c>
      <c r="E3876" t="inlineStr">
        <is>
          <t>Positivo</t>
        </is>
      </c>
      <c r="F3876" s="105" t="n">
        <v>46022</v>
      </c>
      <c r="G3876" t="inlineStr">
        <is>
          <t>221-2025-12-31</t>
        </is>
      </c>
      <c r="H3876" t="inlineStr">
        <is>
          <t>Consultorio Psicología - Medellin</t>
        </is>
      </c>
      <c r="I3876" t="n">
        <v>100</v>
      </c>
      <c r="J3876" t="n">
        <v>0</v>
      </c>
      <c r="AG3876" t="n">
        <v>0</v>
      </c>
      <c r="AH3876" t="n">
        <v>0</v>
      </c>
    </row>
    <row r="3877">
      <c r="A3877" t="n">
        <v>221</v>
      </c>
      <c r="B3877" t="inlineStr">
        <is>
          <t>Riesgo de la Calidad del Agua Potable</t>
        </is>
      </c>
      <c r="C3877" t="inlineStr">
        <is>
          <t>GESTIÓN AMBIENTAL</t>
        </is>
      </c>
      <c r="D3877" t="inlineStr">
        <is>
          <t>Anual</t>
        </is>
      </c>
      <c r="E3877" t="inlineStr">
        <is>
          <t>Positivo</t>
        </is>
      </c>
      <c r="F3877" s="105" t="n">
        <v>46022</v>
      </c>
      <c r="G3877" t="inlineStr">
        <is>
          <t>221-2025-12-31</t>
        </is>
      </c>
      <c r="H3877" t="inlineStr">
        <is>
          <t>Sede Posgrado-Calle 85</t>
        </is>
      </c>
      <c r="I3877" t="n">
        <v>100</v>
      </c>
      <c r="J3877" t="n">
        <v>0</v>
      </c>
      <c r="AG3877" t="n">
        <v>0</v>
      </c>
      <c r="AH3877" t="n">
        <v>2</v>
      </c>
    </row>
    <row r="3878">
      <c r="A3878" t="n">
        <v>222</v>
      </c>
      <c r="B3878" t="inlineStr">
        <is>
          <t>Calidad de las Aguas Residuales Domesticas</t>
        </is>
      </c>
      <c r="C3878" t="inlineStr">
        <is>
          <t>GESTIÓN AMBIENTAL</t>
        </is>
      </c>
      <c r="D3878" t="inlineStr">
        <is>
          <t>Anual</t>
        </is>
      </c>
      <c r="E3878" t="inlineStr">
        <is>
          <t>Positivo</t>
        </is>
      </c>
      <c r="F3878" s="105" t="n">
        <v>46022</v>
      </c>
      <c r="G3878" t="inlineStr">
        <is>
          <t>222-2025-12-31</t>
        </is>
      </c>
      <c r="H3878" t="inlineStr">
        <is>
          <t>Campus Bogotá</t>
        </is>
      </c>
      <c r="I3878" t="n">
        <v>90</v>
      </c>
      <c r="J3878" t="n">
        <v>68.75</v>
      </c>
      <c r="AI3878" t="n">
        <v>11</v>
      </c>
      <c r="AJ3878" t="n">
        <v>16</v>
      </c>
    </row>
    <row r="3879">
      <c r="A3879" t="n">
        <v>223</v>
      </c>
      <c r="B3879" t="inlineStr">
        <is>
          <t>Registro de Publicidad Exterior Visual</t>
        </is>
      </c>
      <c r="C3879" t="inlineStr">
        <is>
          <t>GESTIÓN AMBIENTAL</t>
        </is>
      </c>
      <c r="D3879" t="inlineStr">
        <is>
          <t>Anual</t>
        </is>
      </c>
      <c r="E3879" t="inlineStr">
        <is>
          <t>Positivo</t>
        </is>
      </c>
      <c r="F3879" s="105" t="n">
        <v>46022</v>
      </c>
      <c r="G3879" t="inlineStr">
        <is>
          <t>223-2025-12-31</t>
        </is>
      </c>
      <c r="H3879" t="inlineStr">
        <is>
          <t>Medellín</t>
        </is>
      </c>
      <c r="I3879" t="n">
        <v>100</v>
      </c>
      <c r="J3879" t="n">
        <v>100</v>
      </c>
      <c r="DC3879" t="n">
        <v>2</v>
      </c>
      <c r="DD3879" t="n">
        <v>2</v>
      </c>
    </row>
    <row r="3880">
      <c r="A3880" t="n">
        <v>223</v>
      </c>
      <c r="B3880" t="inlineStr">
        <is>
          <t>Registro de Publicidad Exterior Visual</t>
        </is>
      </c>
      <c r="C3880" t="inlineStr">
        <is>
          <t>GESTIÓN AMBIENTAL</t>
        </is>
      </c>
      <c r="D3880" t="inlineStr">
        <is>
          <t>Anual</t>
        </is>
      </c>
      <c r="E3880" t="inlineStr">
        <is>
          <t>Positivo</t>
        </is>
      </c>
      <c r="F3880" s="105" t="n">
        <v>46022</v>
      </c>
      <c r="G3880" t="inlineStr">
        <is>
          <t>223-2025-12-31</t>
        </is>
      </c>
      <c r="H3880" t="inlineStr">
        <is>
          <t>Bogotá</t>
        </is>
      </c>
      <c r="I3880" t="n">
        <v>100</v>
      </c>
      <c r="J3880" t="n">
        <v>90</v>
      </c>
      <c r="DC3880" t="n">
        <v>9</v>
      </c>
      <c r="DD3880" t="n">
        <v>10</v>
      </c>
    </row>
    <row r="3881">
      <c r="A3881" t="n">
        <v>224</v>
      </c>
      <c r="B3881" t="inlineStr">
        <is>
          <t>Cumplimiento Nivel de Emisión de Ruido</t>
        </is>
      </c>
      <c r="C3881" t="inlineStr">
        <is>
          <t>GESTIÓN AMBIENTAL</t>
        </is>
      </c>
      <c r="D3881" t="inlineStr">
        <is>
          <t>Anual</t>
        </is>
      </c>
      <c r="E3881" t="inlineStr">
        <is>
          <t>Positivo</t>
        </is>
      </c>
      <c r="F3881" s="105" t="n">
        <v>46022</v>
      </c>
      <c r="G3881" t="inlineStr">
        <is>
          <t>224-2025-12-31</t>
        </is>
      </c>
      <c r="H3881" t="inlineStr">
        <is>
          <t>Campus Bogotá</t>
        </is>
      </c>
      <c r="I3881" t="n">
        <v>100</v>
      </c>
      <c r="J3881" t="n">
        <v>100</v>
      </c>
      <c r="AK3881" t="n">
        <v>4</v>
      </c>
      <c r="AL3881" t="n">
        <v>4</v>
      </c>
    </row>
    <row r="3882">
      <c r="A3882" t="n">
        <v>224</v>
      </c>
      <c r="B3882" t="inlineStr">
        <is>
          <t>Cumplimiento Nivel de Emisión de Ruido</t>
        </is>
      </c>
      <c r="C3882" t="inlineStr">
        <is>
          <t>GESTIÓN AMBIENTAL</t>
        </is>
      </c>
      <c r="D3882" t="inlineStr">
        <is>
          <t>Anual</t>
        </is>
      </c>
      <c r="E3882" t="inlineStr">
        <is>
          <t>Positivo</t>
        </is>
      </c>
      <c r="F3882" s="105" t="n">
        <v>46022</v>
      </c>
      <c r="G3882" t="inlineStr">
        <is>
          <t>224-2025-12-31</t>
        </is>
      </c>
      <c r="H3882" t="inlineStr">
        <is>
          <t>Sede Posgrado-Calle 85</t>
        </is>
      </c>
      <c r="I3882" t="n">
        <v>100</v>
      </c>
      <c r="J3882" t="n">
        <v>0</v>
      </c>
      <c r="AK3882" t="n">
        <v>0</v>
      </c>
      <c r="AL3882" t="n">
        <v>0</v>
      </c>
    </row>
    <row r="3883">
      <c r="A3883" t="n">
        <v>224</v>
      </c>
      <c r="B3883" t="inlineStr">
        <is>
          <t>Cumplimiento Nivel de Emisión de Ruido</t>
        </is>
      </c>
      <c r="C3883" t="inlineStr">
        <is>
          <t>GESTIÓN AMBIENTAL</t>
        </is>
      </c>
      <c r="D3883" t="inlineStr">
        <is>
          <t>Anual</t>
        </is>
      </c>
      <c r="E3883" t="inlineStr">
        <is>
          <t>Positivo</t>
        </is>
      </c>
      <c r="F3883" s="105" t="n">
        <v>46022</v>
      </c>
      <c r="G3883" t="inlineStr">
        <is>
          <t>224-2025-12-31</t>
        </is>
      </c>
      <c r="H3883" t="inlineStr">
        <is>
          <t>Campus-Medellín</t>
        </is>
      </c>
      <c r="I3883" t="n">
        <v>100</v>
      </c>
      <c r="J3883" t="n">
        <v>100</v>
      </c>
      <c r="AK3883" t="n">
        <v>2</v>
      </c>
      <c r="AL3883" t="n">
        <v>2</v>
      </c>
    </row>
    <row r="3884">
      <c r="A3884" t="n">
        <v>224</v>
      </c>
      <c r="B3884" t="inlineStr">
        <is>
          <t>Cumplimiento Nivel de Emisión de Ruido</t>
        </is>
      </c>
      <c r="C3884" t="inlineStr">
        <is>
          <t>GESTIÓN AMBIENTAL</t>
        </is>
      </c>
      <c r="D3884" t="inlineStr">
        <is>
          <t>Anual</t>
        </is>
      </c>
      <c r="E3884" t="inlineStr">
        <is>
          <t>Positivo</t>
        </is>
      </c>
      <c r="F3884" s="105" t="n">
        <v>46022</v>
      </c>
      <c r="G3884" t="inlineStr">
        <is>
          <t>224-2025-12-31</t>
        </is>
      </c>
      <c r="H3884" t="inlineStr">
        <is>
          <t>Sede Bienestar - Medellín</t>
        </is>
      </c>
      <c r="I3884" t="n">
        <v>100</v>
      </c>
      <c r="J3884" t="n">
        <v>100</v>
      </c>
      <c r="AK3884" t="n">
        <v>1</v>
      </c>
      <c r="AL3884" t="n">
        <v>1</v>
      </c>
    </row>
    <row r="3885">
      <c r="A3885" t="n">
        <v>224</v>
      </c>
      <c r="B3885" t="inlineStr">
        <is>
          <t>Cumplimiento Nivel de Emisión de Ruido</t>
        </is>
      </c>
      <c r="C3885" t="inlineStr">
        <is>
          <t>GESTIÓN AMBIENTAL</t>
        </is>
      </c>
      <c r="D3885" t="inlineStr">
        <is>
          <t>Anual</t>
        </is>
      </c>
      <c r="E3885" t="inlineStr">
        <is>
          <t>Positivo</t>
        </is>
      </c>
      <c r="F3885" s="105" t="n">
        <v>46022</v>
      </c>
      <c r="G3885" t="inlineStr">
        <is>
          <t>224-2025-12-31</t>
        </is>
      </c>
      <c r="H3885" t="inlineStr">
        <is>
          <t>Consultorio Psicología - Medellin</t>
        </is>
      </c>
      <c r="I3885" t="n">
        <v>100</v>
      </c>
      <c r="J3885" t="n">
        <v>0</v>
      </c>
      <c r="AK3885" t="n">
        <v>0</v>
      </c>
      <c r="AL3885" t="n">
        <v>0</v>
      </c>
    </row>
    <row r="3886">
      <c r="A3886" t="n">
        <v>224</v>
      </c>
      <c r="B3886" t="inlineStr">
        <is>
          <t>Cumplimiento Nivel de Emisión de Ruido</t>
        </is>
      </c>
      <c r="C3886" t="inlineStr">
        <is>
          <t>GESTIÓN AMBIENTAL</t>
        </is>
      </c>
      <c r="D3886" t="inlineStr">
        <is>
          <t>Anual</t>
        </is>
      </c>
      <c r="E3886" t="inlineStr">
        <is>
          <t>Positivo</t>
        </is>
      </c>
      <c r="F3886" s="105" t="n">
        <v>46022</v>
      </c>
      <c r="G3886" t="inlineStr">
        <is>
          <t>224-2025-12-31</t>
        </is>
      </c>
      <c r="H3886" t="inlineStr">
        <is>
          <t>City Campus</t>
        </is>
      </c>
      <c r="I3886" t="n">
        <v>100</v>
      </c>
      <c r="J3886" t="n">
        <v>100</v>
      </c>
      <c r="AK3886" t="n">
        <v>1</v>
      </c>
      <c r="AL3886" t="n">
        <v>1</v>
      </c>
    </row>
    <row r="3887">
      <c r="A3887" t="n">
        <v>542</v>
      </c>
      <c r="B3887" t="inlineStr">
        <is>
          <t>Tasa de cotización del graduado - Metrica</t>
        </is>
      </c>
      <c r="C3887" t="inlineStr">
        <is>
          <t>Gestión de Graduados</t>
        </is>
      </c>
      <c r="D3887" t="inlineStr">
        <is>
          <t>Anual</t>
        </is>
      </c>
      <c r="E3887" t="inlineStr">
        <is>
          <t>Positivo</t>
        </is>
      </c>
      <c r="F3887" s="105" t="n">
        <v>46022</v>
      </c>
      <c r="G3887" t="inlineStr">
        <is>
          <t>542-2025-12-31</t>
        </is>
      </c>
      <c r="H3887" t="inlineStr">
        <is>
          <t>Momento 0</t>
        </is>
      </c>
      <c r="J3887" t="n">
        <v>80.01999664306641</v>
      </c>
      <c r="FL3887" t="n">
        <v>6280</v>
      </c>
      <c r="FM3887" t="n">
        <v>5025</v>
      </c>
    </row>
    <row r="3888">
      <c r="A3888" t="n">
        <v>542</v>
      </c>
      <c r="B3888" t="inlineStr">
        <is>
          <t>Tasa de cotización del graduado - Metrica</t>
        </is>
      </c>
      <c r="C3888" t="inlineStr">
        <is>
          <t>Gestión de Graduados</t>
        </is>
      </c>
      <c r="D3888" t="inlineStr">
        <is>
          <t>Anual</t>
        </is>
      </c>
      <c r="E3888" t="inlineStr">
        <is>
          <t>Positivo</t>
        </is>
      </c>
      <c r="F3888" s="105" t="n">
        <v>46022</v>
      </c>
      <c r="G3888" t="inlineStr">
        <is>
          <t>542-2025-12-31</t>
        </is>
      </c>
      <c r="H3888" t="inlineStr">
        <is>
          <t>Momento 1</t>
        </is>
      </c>
      <c r="J3888" t="n">
        <v>80.68000030517578</v>
      </c>
      <c r="FL3888" t="n">
        <v>1175</v>
      </c>
      <c r="FM3888" t="n">
        <v>948</v>
      </c>
    </row>
    <row r="3889">
      <c r="A3889" t="n">
        <v>542</v>
      </c>
      <c r="B3889" t="inlineStr">
        <is>
          <t>Tasa de cotización del graduado - Metrica</t>
        </is>
      </c>
      <c r="C3889" t="inlineStr">
        <is>
          <t>Gestión de Graduados</t>
        </is>
      </c>
      <c r="D3889" t="inlineStr">
        <is>
          <t>Anual</t>
        </is>
      </c>
      <c r="E3889" t="inlineStr">
        <is>
          <t>Positivo</t>
        </is>
      </c>
      <c r="F3889" s="105" t="n">
        <v>46022</v>
      </c>
      <c r="G3889" t="inlineStr">
        <is>
          <t>542-2025-12-31</t>
        </is>
      </c>
      <c r="H3889" t="inlineStr">
        <is>
          <t>Momento 5</t>
        </is>
      </c>
      <c r="J3889" t="n">
        <v>83.83999633789062</v>
      </c>
      <c r="FL3889" t="n">
        <v>631</v>
      </c>
      <c r="FM3889" t="n">
        <v>529</v>
      </c>
    </row>
    <row r="3890">
      <c r="A3890" t="n">
        <v>542</v>
      </c>
      <c r="B3890" t="inlineStr">
        <is>
          <t>Tasa de cotización del graduado - Metrica</t>
        </is>
      </c>
      <c r="C3890" t="inlineStr">
        <is>
          <t>Gestión de Graduados</t>
        </is>
      </c>
      <c r="D3890" t="inlineStr">
        <is>
          <t>Anual</t>
        </is>
      </c>
      <c r="E3890" t="inlineStr">
        <is>
          <t>Positivo</t>
        </is>
      </c>
      <c r="F3890" s="105" t="n">
        <v>46022</v>
      </c>
      <c r="G3890" t="inlineStr">
        <is>
          <t>542-2025-12-31</t>
        </is>
      </c>
      <c r="H3890" t="inlineStr">
        <is>
          <t>Institucional</t>
        </is>
      </c>
      <c r="J3890" t="n">
        <v>80.41000366210938</v>
      </c>
      <c r="FL3890" t="n">
        <v>8086</v>
      </c>
      <c r="FM3890" t="n">
        <v>6502</v>
      </c>
    </row>
    <row r="3891">
      <c r="A3891" t="n">
        <v>546</v>
      </c>
      <c r="B3891" t="inlineStr">
        <is>
          <t>Tasa de participación de graduados en instrumentos de seguimiento (M0, M1, M5)</t>
        </is>
      </c>
      <c r="C3891" t="inlineStr">
        <is>
          <t>Gestión de Graduados</t>
        </is>
      </c>
      <c r="D3891" t="inlineStr">
        <is>
          <t>Anual</t>
        </is>
      </c>
      <c r="E3891" t="inlineStr">
        <is>
          <t>Positivo</t>
        </is>
      </c>
      <c r="F3891" s="105" t="n">
        <v>46022</v>
      </c>
      <c r="G3891" t="inlineStr">
        <is>
          <t>546-2025-12-31</t>
        </is>
      </c>
      <c r="H3891" t="inlineStr">
        <is>
          <t>Momento 0</t>
        </is>
      </c>
      <c r="I3891" t="n">
        <v>90</v>
      </c>
      <c r="J3891" t="n">
        <v>98.79000091552734</v>
      </c>
      <c r="FN3891" t="n">
        <v>6285</v>
      </c>
      <c r="FO3891" t="n">
        <v>6362</v>
      </c>
    </row>
    <row r="3892">
      <c r="A3892" t="n">
        <v>546</v>
      </c>
      <c r="B3892" t="inlineStr">
        <is>
          <t>Tasa de participación de graduados en instrumentos de seguimiento (M0, M1, M5)</t>
        </is>
      </c>
      <c r="C3892" t="inlineStr">
        <is>
          <t>Gestión de Graduados</t>
        </is>
      </c>
      <c r="D3892" t="inlineStr">
        <is>
          <t>Anual</t>
        </is>
      </c>
      <c r="E3892" t="inlineStr">
        <is>
          <t>Positivo</t>
        </is>
      </c>
      <c r="F3892" s="105" t="n">
        <v>46022</v>
      </c>
      <c r="G3892" t="inlineStr">
        <is>
          <t>546-2025-12-31</t>
        </is>
      </c>
      <c r="H3892" t="inlineStr">
        <is>
          <t>Momento 1</t>
        </is>
      </c>
      <c r="I3892" t="n">
        <v>9</v>
      </c>
      <c r="J3892" t="n">
        <v>8.590000152587891</v>
      </c>
      <c r="FN3892" t="n">
        <v>1175</v>
      </c>
      <c r="FO3892" t="n">
        <v>13671</v>
      </c>
    </row>
    <row r="3893">
      <c r="A3893" t="n">
        <v>546</v>
      </c>
      <c r="B3893" t="inlineStr">
        <is>
          <t>Tasa de participación de graduados en instrumentos de seguimiento (M0, M1, M5)</t>
        </is>
      </c>
      <c r="C3893" t="inlineStr">
        <is>
          <t>Gestión de Graduados</t>
        </is>
      </c>
      <c r="D3893" t="inlineStr">
        <is>
          <t>Anual</t>
        </is>
      </c>
      <c r="E3893" t="inlineStr">
        <is>
          <t>Positivo</t>
        </is>
      </c>
      <c r="F3893" s="105" t="n">
        <v>46022</v>
      </c>
      <c r="G3893" t="inlineStr">
        <is>
          <t>546-2025-12-31</t>
        </is>
      </c>
      <c r="H3893" t="inlineStr">
        <is>
          <t>Momento 5</t>
        </is>
      </c>
      <c r="I3893" t="n">
        <v>3.5</v>
      </c>
      <c r="J3893" t="n">
        <v>6</v>
      </c>
      <c r="FN3893" t="n">
        <v>631</v>
      </c>
      <c r="FO3893" t="n">
        <v>10522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Indicador</t>
        </is>
      </c>
      <c r="C1" t="inlineStr">
        <is>
          <t>Clasificacion</t>
        </is>
      </c>
      <c r="D1" t="inlineStr">
        <is>
          <t>Proceso</t>
        </is>
      </c>
      <c r="E1" t="inlineStr">
        <is>
          <t>Periodicidad</t>
        </is>
      </c>
      <c r="F1" t="inlineStr">
        <is>
          <t>Sentido</t>
        </is>
      </c>
      <c r="G1" t="inlineStr">
        <is>
          <t>Tipo_API</t>
        </is>
      </c>
      <c r="H1" t="inlineStr">
        <is>
          <t>Estado</t>
        </is>
      </c>
      <c r="I1" t="inlineStr">
        <is>
          <t>Fuente</t>
        </is>
      </c>
      <c r="J1" t="inlineStr">
        <is>
          <t>TipoCalculo</t>
        </is>
      </c>
      <c r="K1" t="inlineStr">
        <is>
          <t>Asociacion</t>
        </is>
      </c>
      <c r="L1" t="inlineStr">
        <is>
          <t>Formato_Valores</t>
        </is>
      </c>
    </row>
    <row r="2">
      <c r="A2" t="n">
        <v>68</v>
      </c>
      <c r="B2" t="inlineStr">
        <is>
          <t>Evaluación de desempeño a proveedores críticos</t>
        </is>
      </c>
      <c r="C2" t="inlineStr">
        <is>
          <t>Operativo</t>
        </is>
      </c>
      <c r="D2" t="inlineStr">
        <is>
          <t>GESTIÓN DE ABASTECIMIENTO</t>
        </is>
      </c>
      <c r="E2" t="inlineStr">
        <is>
          <t>Semestral</t>
        </is>
      </c>
      <c r="F2" t="inlineStr">
        <is>
          <t>Positivo</t>
        </is>
      </c>
      <c r="G2" t="inlineStr">
        <is>
          <t>Serie Unica</t>
        </is>
      </c>
      <c r="H2" t="inlineStr">
        <is>
          <t>Activo</t>
        </is>
      </c>
      <c r="I2" t="inlineStr">
        <is>
          <t>API</t>
        </is>
      </c>
      <c r="J2" t="inlineStr">
        <is>
          <t>Promedio</t>
        </is>
      </c>
      <c r="K2" t="inlineStr"/>
      <c r="L2" t="inlineStr">
        <is>
          <t>%</t>
        </is>
      </c>
    </row>
    <row r="3">
      <c r="A3" t="n">
        <v>69</v>
      </c>
      <c r="B3" t="inlineStr">
        <is>
          <t>Oportunidad de Respuesta Solicitudes de Compra No Licitadas</t>
        </is>
      </c>
      <c r="C3" t="inlineStr">
        <is>
          <t>Operativo</t>
        </is>
      </c>
      <c r="D3" t="inlineStr">
        <is>
          <t>GESTIÓN DE ABASTECIMIENTO</t>
        </is>
      </c>
      <c r="E3" t="inlineStr">
        <is>
          <t>Trimestral</t>
        </is>
      </c>
      <c r="F3" t="inlineStr">
        <is>
          <t>Positivo</t>
        </is>
      </c>
      <c r="G3" t="inlineStr">
        <is>
          <t>Serie Unica</t>
        </is>
      </c>
      <c r="H3" t="inlineStr">
        <is>
          <t>Activo</t>
        </is>
      </c>
      <c r="I3" t="inlineStr">
        <is>
          <t>API</t>
        </is>
      </c>
      <c r="J3" t="inlineStr">
        <is>
          <t>Promedio</t>
        </is>
      </c>
      <c r="K3" t="inlineStr"/>
      <c r="L3" t="inlineStr">
        <is>
          <t>%</t>
        </is>
      </c>
    </row>
    <row r="4">
      <c r="A4" t="n">
        <v>73</v>
      </c>
      <c r="B4" t="inlineStr">
        <is>
          <t>Tiempo respuesta selección y contratación de colaboradores de planta</t>
        </is>
      </c>
      <c r="C4" t="inlineStr">
        <is>
          <t>Operativo</t>
        </is>
      </c>
      <c r="D4" t="inlineStr">
        <is>
          <t>GESTIÓN Y DESARROLLO DEL TALENTO HUMANO</t>
        </is>
      </c>
      <c r="E4" t="inlineStr">
        <is>
          <t>Semestral</t>
        </is>
      </c>
      <c r="F4" t="inlineStr">
        <is>
          <t>Negativo</t>
        </is>
      </c>
      <c r="G4" t="inlineStr">
        <is>
          <t>Serie Unica</t>
        </is>
      </c>
      <c r="H4" t="inlineStr">
        <is>
          <t>Activo</t>
        </is>
      </c>
      <c r="I4" t="inlineStr">
        <is>
          <t>API</t>
        </is>
      </c>
      <c r="J4" t="inlineStr">
        <is>
          <t>Promedio</t>
        </is>
      </c>
      <c r="K4" t="inlineStr"/>
      <c r="L4" t="inlineStr">
        <is>
          <t>Días</t>
        </is>
      </c>
    </row>
    <row r="5">
      <c r="A5" t="n">
        <v>74</v>
      </c>
      <c r="B5" t="inlineStr">
        <is>
          <t>Efectividad en las contrataciones</t>
        </is>
      </c>
      <c r="C5" t="inlineStr">
        <is>
          <t>Operativo</t>
        </is>
      </c>
      <c r="D5" t="inlineStr">
        <is>
          <t>GESTIÓN Y DESARROLLO DEL TALENTO HUMANO</t>
        </is>
      </c>
      <c r="E5" t="inlineStr">
        <is>
          <t>Semestral</t>
        </is>
      </c>
      <c r="F5" t="inlineStr">
        <is>
          <t>Positivo</t>
        </is>
      </c>
      <c r="G5" t="inlineStr">
        <is>
          <t>Serie Unica</t>
        </is>
      </c>
      <c r="H5" t="inlineStr">
        <is>
          <t>Activo</t>
        </is>
      </c>
      <c r="I5" t="inlineStr">
        <is>
          <t>API</t>
        </is>
      </c>
      <c r="J5" t="inlineStr">
        <is>
          <t>Promedio</t>
        </is>
      </c>
      <c r="K5" t="inlineStr"/>
      <c r="L5" t="inlineStr">
        <is>
          <t>%</t>
        </is>
      </c>
    </row>
    <row r="6">
      <c r="A6" t="n">
        <v>77</v>
      </c>
      <c r="B6" t="inlineStr">
        <is>
          <t>Disponibilidad de servicios tecnológicos</t>
        </is>
      </c>
      <c r="C6" t="inlineStr">
        <is>
          <t>Estratégico</t>
        </is>
      </c>
      <c r="D6" t="inlineStr">
        <is>
          <t>GESTIÓN DE LA TECNOLOGÍA E INNOVACIÓN DIGITAL</t>
        </is>
      </c>
      <c r="E6" t="inlineStr">
        <is>
          <t>Mensual</t>
        </is>
      </c>
      <c r="F6" t="inlineStr">
        <is>
          <t>Positivo</t>
        </is>
      </c>
      <c r="G6" t="inlineStr">
        <is>
          <t>Serie Unica</t>
        </is>
      </c>
      <c r="H6" t="inlineStr">
        <is>
          <t>Activo</t>
        </is>
      </c>
      <c r="I6" t="inlineStr">
        <is>
          <t>API</t>
        </is>
      </c>
      <c r="J6" t="inlineStr">
        <is>
          <t>Promedio</t>
        </is>
      </c>
      <c r="K6" t="inlineStr"/>
      <c r="L6" t="inlineStr">
        <is>
          <t>%</t>
        </is>
      </c>
    </row>
    <row r="7">
      <c r="A7" t="n">
        <v>78</v>
      </c>
      <c r="B7" t="inlineStr">
        <is>
          <t>Cumplimiento programa de auditoría</t>
        </is>
      </c>
      <c r="C7" t="inlineStr">
        <is>
          <t>Estratégico</t>
        </is>
      </c>
      <c r="D7" t="inlineStr">
        <is>
          <t>AUDITORÍA INTERNA</t>
        </is>
      </c>
      <c r="E7" t="inlineStr">
        <is>
          <t>Bimestral</t>
        </is>
      </c>
      <c r="F7" t="inlineStr">
        <is>
          <t>Positivo</t>
        </is>
      </c>
      <c r="G7" t="inlineStr"/>
      <c r="H7" t="inlineStr">
        <is>
          <t>Historico</t>
        </is>
      </c>
      <c r="I7" t="inlineStr">
        <is>
          <t>Historico</t>
        </is>
      </c>
      <c r="J7" t="inlineStr">
        <is>
          <t>Promedio</t>
        </is>
      </c>
      <c r="K7" t="inlineStr"/>
      <c r="L7" t="inlineStr">
        <is>
          <t>%</t>
        </is>
      </c>
    </row>
    <row r="8">
      <c r="A8" t="n">
        <v>79</v>
      </c>
      <c r="B8" t="inlineStr">
        <is>
          <t>Cierre Eficaz De Oportunidades De Mejora De Auditoria Interna</t>
        </is>
      </c>
      <c r="C8" t="inlineStr">
        <is>
          <t>Operativo</t>
        </is>
      </c>
      <c r="D8" t="inlineStr">
        <is>
          <t>AUDITORÍA INTERNA</t>
        </is>
      </c>
      <c r="E8" t="inlineStr">
        <is>
          <t>Bimestral</t>
        </is>
      </c>
      <c r="F8" t="inlineStr">
        <is>
          <t>Positivo</t>
        </is>
      </c>
      <c r="G8" t="inlineStr"/>
      <c r="H8" t="inlineStr">
        <is>
          <t>Historico</t>
        </is>
      </c>
      <c r="I8" t="inlineStr">
        <is>
          <t>Historico</t>
        </is>
      </c>
      <c r="J8" t="inlineStr">
        <is>
          <t>Promedio</t>
        </is>
      </c>
      <c r="K8" t="inlineStr"/>
      <c r="L8" t="inlineStr">
        <is>
          <t>%</t>
        </is>
      </c>
    </row>
    <row r="9">
      <c r="A9" t="n">
        <v>84</v>
      </c>
      <c r="B9" t="inlineStr">
        <is>
          <t>Funcionamiento del COPASST</t>
        </is>
      </c>
      <c r="C9" t="inlineStr">
        <is>
          <t>Estratégico</t>
        </is>
      </c>
      <c r="D9" t="inlineStr">
        <is>
          <t>GESTIÓN DE SEGURIDAD Y SALUD EN EL TRABAJO</t>
        </is>
      </c>
      <c r="E9" t="inlineStr">
        <is>
          <t>Anual</t>
        </is>
      </c>
      <c r="F9" t="inlineStr">
        <is>
          <t>Positivo</t>
        </is>
      </c>
      <c r="G9" t="inlineStr">
        <is>
          <t>Serie Unica</t>
        </is>
      </c>
      <c r="H9" t="inlineStr">
        <is>
          <t>Activo</t>
        </is>
      </c>
      <c r="I9" t="inlineStr">
        <is>
          <t>API</t>
        </is>
      </c>
      <c r="J9" t="inlineStr">
        <is>
          <t>Cierre</t>
        </is>
      </c>
      <c r="K9" t="inlineStr"/>
      <c r="L9" t="inlineStr">
        <is>
          <t>%</t>
        </is>
      </c>
    </row>
    <row r="10">
      <c r="A10" t="n">
        <v>85</v>
      </c>
      <c r="B10" t="inlineStr">
        <is>
          <t>Plan de Emergencias</t>
        </is>
      </c>
      <c r="C10" t="inlineStr">
        <is>
          <t>Operativo</t>
        </is>
      </c>
      <c r="D10" t="inlineStr">
        <is>
          <t>GESTIÓN DE SEGURIDAD Y SALUD EN EL TRABAJO</t>
        </is>
      </c>
      <c r="E10" t="inlineStr">
        <is>
          <t>Anual</t>
        </is>
      </c>
      <c r="F10" t="inlineStr">
        <is>
          <t>Positivo</t>
        </is>
      </c>
      <c r="G10" t="inlineStr">
        <is>
          <t>Serie Unica</t>
        </is>
      </c>
      <c r="H10" t="inlineStr">
        <is>
          <t>Activo</t>
        </is>
      </c>
      <c r="I10" t="inlineStr">
        <is>
          <t>API</t>
        </is>
      </c>
      <c r="J10" t="inlineStr">
        <is>
          <t>Cierre</t>
        </is>
      </c>
      <c r="K10" t="inlineStr"/>
      <c r="L10" t="inlineStr">
        <is>
          <t>%</t>
        </is>
      </c>
    </row>
    <row r="11">
      <c r="A11" t="n">
        <v>86</v>
      </c>
      <c r="B11" t="inlineStr">
        <is>
          <t>Reporte e investigación</t>
        </is>
      </c>
      <c r="C11" t="inlineStr">
        <is>
          <t>Estratégico</t>
        </is>
      </c>
      <c r="D11" t="inlineStr">
        <is>
          <t>GESTIÓN DE SEGURIDAD Y SALUD EN EL TRABAJO</t>
        </is>
      </c>
      <c r="E11" t="inlineStr">
        <is>
          <t>Semestral</t>
        </is>
      </c>
      <c r="F11" t="inlineStr">
        <is>
          <t>Positivo</t>
        </is>
      </c>
      <c r="G11" t="inlineStr">
        <is>
          <t>Serie Unica</t>
        </is>
      </c>
      <c r="H11" t="inlineStr">
        <is>
          <t>Activo</t>
        </is>
      </c>
      <c r="I11" t="inlineStr">
        <is>
          <t>API</t>
        </is>
      </c>
      <c r="J11" t="inlineStr">
        <is>
          <t>Promedio</t>
        </is>
      </c>
      <c r="K11" t="inlineStr"/>
      <c r="L11" t="inlineStr">
        <is>
          <t>%</t>
        </is>
      </c>
    </row>
    <row r="12">
      <c r="A12" t="n">
        <v>87</v>
      </c>
      <c r="B12" t="inlineStr">
        <is>
          <t>Autoevaluación</t>
        </is>
      </c>
      <c r="C12" t="inlineStr">
        <is>
          <t>Operativo</t>
        </is>
      </c>
      <c r="D12" t="inlineStr">
        <is>
          <t>GESTIÓN DE SEGURIDAD Y SALUD EN EL TRABAJO</t>
        </is>
      </c>
      <c r="E12" t="inlineStr">
        <is>
          <t>Anual</t>
        </is>
      </c>
      <c r="F12" t="inlineStr">
        <is>
          <t>Positivo</t>
        </is>
      </c>
      <c r="G12" t="inlineStr">
        <is>
          <t>Serie Unica</t>
        </is>
      </c>
      <c r="H12" t="inlineStr">
        <is>
          <t>Activo</t>
        </is>
      </c>
      <c r="I12" t="inlineStr">
        <is>
          <t>API</t>
        </is>
      </c>
      <c r="J12" t="inlineStr">
        <is>
          <t>Cierre</t>
        </is>
      </c>
      <c r="K12" t="inlineStr"/>
      <c r="L12" t="inlineStr">
        <is>
          <t>%</t>
        </is>
      </c>
    </row>
    <row r="13">
      <c r="A13" t="n">
        <v>88</v>
      </c>
      <c r="B13" t="inlineStr">
        <is>
          <t>Ejecución del plan de trabajo</t>
        </is>
      </c>
      <c r="C13" t="inlineStr">
        <is>
          <t>Operativo</t>
        </is>
      </c>
      <c r="D13" t="inlineStr">
        <is>
          <t>GESTIÓN DE SEGURIDAD Y SALUD EN EL TRABAJO</t>
        </is>
      </c>
      <c r="E13" t="inlineStr">
        <is>
          <t>Anual</t>
        </is>
      </c>
      <c r="F13" t="inlineStr">
        <is>
          <t>Positivo</t>
        </is>
      </c>
      <c r="G13" t="inlineStr">
        <is>
          <t>Serie Unica</t>
        </is>
      </c>
      <c r="H13" t="inlineStr">
        <is>
          <t>Activo</t>
        </is>
      </c>
      <c r="I13" t="inlineStr">
        <is>
          <t>API</t>
        </is>
      </c>
      <c r="J13" t="inlineStr">
        <is>
          <t>Cierre</t>
        </is>
      </c>
      <c r="K13" t="inlineStr"/>
      <c r="L13" t="inlineStr">
        <is>
          <t>%</t>
        </is>
      </c>
    </row>
    <row r="14">
      <c r="A14" t="n">
        <v>89</v>
      </c>
      <c r="B14" t="inlineStr">
        <is>
          <t>Ejecución plan de capacitación</t>
        </is>
      </c>
      <c r="C14" t="inlineStr">
        <is>
          <t>Operativo</t>
        </is>
      </c>
      <c r="D14" t="inlineStr">
        <is>
          <t>GESTIÓN DE SEGURIDAD Y SALUD EN EL TRABAJO</t>
        </is>
      </c>
      <c r="E14" t="inlineStr">
        <is>
          <t>Anual</t>
        </is>
      </c>
      <c r="F14" t="inlineStr">
        <is>
          <t>Positivo</t>
        </is>
      </c>
      <c r="G14" t="inlineStr">
        <is>
          <t>Serie Unica</t>
        </is>
      </c>
      <c r="H14" t="inlineStr">
        <is>
          <t>Activo</t>
        </is>
      </c>
      <c r="I14" t="inlineStr">
        <is>
          <t>API</t>
        </is>
      </c>
      <c r="J14" t="inlineStr">
        <is>
          <t>Cierre</t>
        </is>
      </c>
      <c r="K14" t="inlineStr"/>
      <c r="L14" t="inlineStr">
        <is>
          <t>%</t>
        </is>
      </c>
    </row>
    <row r="15">
      <c r="A15" t="n">
        <v>90</v>
      </c>
      <c r="B15" t="inlineStr">
        <is>
          <t>Ejecución de Simulacros</t>
        </is>
      </c>
      <c r="C15" t="inlineStr">
        <is>
          <t>Operativo</t>
        </is>
      </c>
      <c r="D15" t="inlineStr">
        <is>
          <t>GESTIÓN DE SEGURIDAD Y SALUD EN EL TRABAJO</t>
        </is>
      </c>
      <c r="E15" t="inlineStr">
        <is>
          <t>Anual</t>
        </is>
      </c>
      <c r="F15" t="inlineStr">
        <is>
          <t>Positivo</t>
        </is>
      </c>
      <c r="G15" t="inlineStr">
        <is>
          <t>Serie Unica</t>
        </is>
      </c>
      <c r="H15" t="inlineStr">
        <is>
          <t>Activo</t>
        </is>
      </c>
      <c r="I15" t="inlineStr">
        <is>
          <t>API</t>
        </is>
      </c>
      <c r="J15" t="inlineStr">
        <is>
          <t>Cierre</t>
        </is>
      </c>
      <c r="K15" t="inlineStr"/>
      <c r="L15" t="inlineStr">
        <is>
          <t>%</t>
        </is>
      </c>
    </row>
    <row r="16">
      <c r="A16" t="n">
        <v>91</v>
      </c>
      <c r="B16" t="inlineStr">
        <is>
          <t>Participación en capacitaciones SST</t>
        </is>
      </c>
      <c r="C16" t="inlineStr">
        <is>
          <t>Operativo</t>
        </is>
      </c>
      <c r="D16" t="inlineStr">
        <is>
          <t>GESTIÓN DE SEGURIDAD Y SALUD EN EL TRABAJO</t>
        </is>
      </c>
      <c r="E16" t="inlineStr">
        <is>
          <t>Anual</t>
        </is>
      </c>
      <c r="F16" t="inlineStr">
        <is>
          <t>Positivo</t>
        </is>
      </c>
      <c r="G16" t="inlineStr">
        <is>
          <t>Serie Unica</t>
        </is>
      </c>
      <c r="H16" t="inlineStr">
        <is>
          <t>Activo</t>
        </is>
      </c>
      <c r="I16" t="inlineStr">
        <is>
          <t>API</t>
        </is>
      </c>
      <c r="J16" t="inlineStr">
        <is>
          <t>Cierre</t>
        </is>
      </c>
      <c r="K16" t="inlineStr"/>
      <c r="L16" t="inlineStr">
        <is>
          <t>%</t>
        </is>
      </c>
    </row>
    <row r="17">
      <c r="A17" t="n">
        <v>92</v>
      </c>
      <c r="B17" t="inlineStr">
        <is>
          <t>Evaluación condiciones de salud (examen médico)</t>
        </is>
      </c>
      <c r="C17" t="inlineStr">
        <is>
          <t>Operativo</t>
        </is>
      </c>
      <c r="D17" t="inlineStr">
        <is>
          <t>GESTIÓN DE SEGURIDAD Y SALUD EN EL TRABAJO</t>
        </is>
      </c>
      <c r="E17" t="inlineStr">
        <is>
          <t>Anual</t>
        </is>
      </c>
      <c r="F17" t="inlineStr">
        <is>
          <t>Positivo</t>
        </is>
      </c>
      <c r="G17" t="inlineStr">
        <is>
          <t>Serie Unica</t>
        </is>
      </c>
      <c r="H17" t="inlineStr">
        <is>
          <t>Activo</t>
        </is>
      </c>
      <c r="I17" t="inlineStr">
        <is>
          <t>API</t>
        </is>
      </c>
      <c r="J17" t="inlineStr">
        <is>
          <t>Cierre</t>
        </is>
      </c>
      <c r="K17" t="inlineStr"/>
      <c r="L17" t="inlineStr">
        <is>
          <t>%</t>
        </is>
      </c>
    </row>
    <row r="18">
      <c r="A18" t="n">
        <v>94</v>
      </c>
      <c r="B18" t="inlineStr">
        <is>
          <t>Cobertura Elementos de Protección Personal</t>
        </is>
      </c>
      <c r="C18" t="inlineStr">
        <is>
          <t>Operativo</t>
        </is>
      </c>
      <c r="D18" t="inlineStr">
        <is>
          <t>GESTIÓN DE SEGURIDAD Y SALUD EN EL TRABAJO</t>
        </is>
      </c>
      <c r="E18" t="inlineStr">
        <is>
          <t>Anual</t>
        </is>
      </c>
      <c r="F18" t="inlineStr">
        <is>
          <t>Positivo</t>
        </is>
      </c>
      <c r="G18" t="inlineStr">
        <is>
          <t>Serie Unica</t>
        </is>
      </c>
      <c r="H18" t="inlineStr">
        <is>
          <t>Activo</t>
        </is>
      </c>
      <c r="I18" t="inlineStr">
        <is>
          <t>API</t>
        </is>
      </c>
      <c r="J18" t="inlineStr">
        <is>
          <t>Cierre</t>
        </is>
      </c>
      <c r="K18" t="inlineStr"/>
      <c r="L18" t="inlineStr">
        <is>
          <t>%</t>
        </is>
      </c>
    </row>
    <row r="19">
      <c r="A19" t="n">
        <v>95</v>
      </c>
      <c r="B19" t="inlineStr">
        <is>
          <t>Inspecciones de seguridad</t>
        </is>
      </c>
      <c r="C19" t="inlineStr">
        <is>
          <t>Operativo</t>
        </is>
      </c>
      <c r="D19" t="inlineStr">
        <is>
          <t>GESTIÓN DE SEGURIDAD Y SALUD EN EL TRABAJO</t>
        </is>
      </c>
      <c r="E19" t="inlineStr">
        <is>
          <t>Semestral</t>
        </is>
      </c>
      <c r="F19" t="inlineStr">
        <is>
          <t>Positivo</t>
        </is>
      </c>
      <c r="G19" t="inlineStr">
        <is>
          <t>Serie Unica</t>
        </is>
      </c>
      <c r="H19" t="inlineStr">
        <is>
          <t>Activo</t>
        </is>
      </c>
      <c r="I19" t="inlineStr">
        <is>
          <t>API</t>
        </is>
      </c>
      <c r="J19" t="inlineStr">
        <is>
          <t>Promedio</t>
        </is>
      </c>
      <c r="K19" t="inlineStr"/>
      <c r="L19" t="inlineStr">
        <is>
          <t>%</t>
        </is>
      </c>
    </row>
    <row r="20">
      <c r="A20" t="n">
        <v>96</v>
      </c>
      <c r="B20" t="inlineStr">
        <is>
          <t>Inducción Institucional</t>
        </is>
      </c>
      <c r="C20" t="inlineStr">
        <is>
          <t>Operativo</t>
        </is>
      </c>
      <c r="D20" t="inlineStr">
        <is>
          <t>GESTIÓN DE SEGURIDAD Y SALUD EN EL TRABAJO</t>
        </is>
      </c>
      <c r="E20" t="inlineStr">
        <is>
          <t>Anual</t>
        </is>
      </c>
      <c r="F20" t="inlineStr">
        <is>
          <t>Positivo</t>
        </is>
      </c>
      <c r="G20" t="inlineStr"/>
      <c r="H20" t="inlineStr">
        <is>
          <t>Historico</t>
        </is>
      </c>
      <c r="I20" t="inlineStr">
        <is>
          <t>Historico</t>
        </is>
      </c>
      <c r="J20" t="inlineStr">
        <is>
          <t>Cierre</t>
        </is>
      </c>
      <c r="K20" t="inlineStr"/>
      <c r="L20" t="inlineStr">
        <is>
          <t>ENT</t>
        </is>
      </c>
    </row>
    <row r="21">
      <c r="A21" t="n">
        <v>100</v>
      </c>
      <c r="B21" t="inlineStr">
        <is>
          <t>Cumplimiento de requisitos legales SST</t>
        </is>
      </c>
      <c r="C21" t="inlineStr">
        <is>
          <t>Operativo</t>
        </is>
      </c>
      <c r="D21" t="inlineStr">
        <is>
          <t>GESTIÓN DE SEGURIDAD Y SALUD EN EL TRABAJO</t>
        </is>
      </c>
      <c r="E21" t="inlineStr">
        <is>
          <t>Anual</t>
        </is>
      </c>
      <c r="F21" t="inlineStr">
        <is>
          <t>Positivo</t>
        </is>
      </c>
      <c r="G21" t="inlineStr">
        <is>
          <t>Serie Unica</t>
        </is>
      </c>
      <c r="H21" t="inlineStr">
        <is>
          <t>Activo</t>
        </is>
      </c>
      <c r="I21" t="inlineStr">
        <is>
          <t>API</t>
        </is>
      </c>
      <c r="J21" t="inlineStr">
        <is>
          <t>Cierre</t>
        </is>
      </c>
      <c r="K21" t="inlineStr"/>
      <c r="L21" t="inlineStr">
        <is>
          <t>%</t>
        </is>
      </c>
    </row>
    <row r="22">
      <c r="A22" t="n">
        <v>104</v>
      </c>
      <c r="B22" t="inlineStr">
        <is>
          <t>Tasa de accidentalidad</t>
        </is>
      </c>
      <c r="C22" t="inlineStr">
        <is>
          <t>Operativo</t>
        </is>
      </c>
      <c r="D22" t="inlineStr">
        <is>
          <t>GESTIÓN DE SEGURIDAD Y SALUD EN EL TRABAJO</t>
        </is>
      </c>
      <c r="E22" t="inlineStr">
        <is>
          <t>Anual</t>
        </is>
      </c>
      <c r="F22" t="inlineStr">
        <is>
          <t>Negativo</t>
        </is>
      </c>
      <c r="G22" t="inlineStr">
        <is>
          <t>Serie Unica</t>
        </is>
      </c>
      <c r="H22" t="inlineStr">
        <is>
          <t>Activo</t>
        </is>
      </c>
      <c r="I22" t="inlineStr">
        <is>
          <t>API</t>
        </is>
      </c>
      <c r="J22" t="inlineStr">
        <is>
          <t>Cierre</t>
        </is>
      </c>
      <c r="K22" t="inlineStr"/>
      <c r="L22" t="inlineStr">
        <is>
          <t>DEC</t>
        </is>
      </c>
    </row>
    <row r="23">
      <c r="A23" t="n">
        <v>106</v>
      </c>
      <c r="B23" t="inlineStr">
        <is>
          <t>Mortalidad de los accidentes laborales</t>
        </is>
      </c>
      <c r="C23" t="inlineStr">
        <is>
          <t>Operativo</t>
        </is>
      </c>
      <c r="D23" t="inlineStr">
        <is>
          <t>GESTIÓN DE SEGURIDAD Y SALUD EN EL TRABAJO</t>
        </is>
      </c>
      <c r="E23" t="inlineStr">
        <is>
          <t>Anual</t>
        </is>
      </c>
      <c r="F23" t="inlineStr">
        <is>
          <t>Negativo</t>
        </is>
      </c>
      <c r="G23" t="inlineStr">
        <is>
          <t>Serie Unica</t>
        </is>
      </c>
      <c r="H23" t="inlineStr">
        <is>
          <t>Activo</t>
        </is>
      </c>
      <c r="I23" t="inlineStr">
        <is>
          <t>API</t>
        </is>
      </c>
      <c r="J23" t="inlineStr">
        <is>
          <t>Cierre</t>
        </is>
      </c>
      <c r="K23" t="inlineStr"/>
      <c r="L23" t="inlineStr">
        <is>
          <t>DEC</t>
        </is>
      </c>
    </row>
    <row r="24">
      <c r="A24" t="n">
        <v>109</v>
      </c>
      <c r="B24" t="inlineStr">
        <is>
          <t>Nivel de Satisfacción Servicios Prestados</t>
        </is>
      </c>
      <c r="C24" t="inlineStr">
        <is>
          <t>Estratégico</t>
        </is>
      </c>
      <c r="D24" t="inlineStr">
        <is>
          <t>Comunicaciones Internas</t>
        </is>
      </c>
      <c r="E24" t="inlineStr">
        <is>
          <t>Anual</t>
        </is>
      </c>
      <c r="F24" t="inlineStr">
        <is>
          <t>Positivo</t>
        </is>
      </c>
      <c r="G24" t="inlineStr">
        <is>
          <t>Serie Unica</t>
        </is>
      </c>
      <c r="H24" t="inlineStr">
        <is>
          <t>Activo</t>
        </is>
      </c>
      <c r="I24" t="inlineStr">
        <is>
          <t>API</t>
        </is>
      </c>
      <c r="J24" t="inlineStr">
        <is>
          <t>Cierre</t>
        </is>
      </c>
      <c r="K24" t="inlineStr"/>
      <c r="L24" t="inlineStr">
        <is>
          <t>%</t>
        </is>
      </c>
    </row>
    <row r="25">
      <c r="A25" t="n">
        <v>110</v>
      </c>
      <c r="B25" t="inlineStr">
        <is>
          <t>Nivel de Satisfacción Servicios Prestados</t>
        </is>
      </c>
      <c r="C25" t="inlineStr">
        <is>
          <t>Estratégico</t>
        </is>
      </c>
      <c r="D25" t="inlineStr">
        <is>
          <t>GESTIÓN FINANCIERA</t>
        </is>
      </c>
      <c r="E25" t="inlineStr">
        <is>
          <t>Anual</t>
        </is>
      </c>
      <c r="F25" t="inlineStr">
        <is>
          <t>Positivo</t>
        </is>
      </c>
      <c r="G25" t="inlineStr"/>
      <c r="H25" t="inlineStr">
        <is>
          <t>Historico</t>
        </is>
      </c>
      <c r="I25" t="inlineStr">
        <is>
          <t>Historico</t>
        </is>
      </c>
      <c r="J25" t="inlineStr">
        <is>
          <t>Cierre</t>
        </is>
      </c>
      <c r="K25" t="inlineStr"/>
      <c r="L25" t="inlineStr">
        <is>
          <t>%</t>
        </is>
      </c>
    </row>
    <row r="26">
      <c r="A26" t="n">
        <v>111</v>
      </c>
      <c r="B26" t="inlineStr">
        <is>
          <t>Nivel de Satisfacción Servicios Prestados</t>
        </is>
      </c>
      <c r="C26" t="inlineStr">
        <is>
          <t>Operativo</t>
        </is>
      </c>
      <c r="D26" t="inlineStr">
        <is>
          <t>GESTIÓN DE ABASTECIMIENTO</t>
        </is>
      </c>
      <c r="E26" t="inlineStr">
        <is>
          <t>Trimestral</t>
        </is>
      </c>
      <c r="F26" t="inlineStr">
        <is>
          <t>Positivo</t>
        </is>
      </c>
      <c r="G26" t="inlineStr">
        <is>
          <t>Serie Unica</t>
        </is>
      </c>
      <c r="H26" t="inlineStr">
        <is>
          <t>Activo</t>
        </is>
      </c>
      <c r="I26" t="inlineStr">
        <is>
          <t>API</t>
        </is>
      </c>
      <c r="J26" t="inlineStr">
        <is>
          <t>Promedio</t>
        </is>
      </c>
      <c r="K26" t="inlineStr"/>
      <c r="L26" t="inlineStr">
        <is>
          <t>%</t>
        </is>
      </c>
    </row>
    <row r="27">
      <c r="A27" t="n">
        <v>112</v>
      </c>
      <c r="B27" t="inlineStr">
        <is>
          <t>Nivel de Satisfacción Servicios Prestados</t>
        </is>
      </c>
      <c r="C27" t="inlineStr">
        <is>
          <t>Estratégico</t>
        </is>
      </c>
      <c r="D27" t="inlineStr">
        <is>
          <t>Gestión Infraestructura Física</t>
        </is>
      </c>
      <c r="E27" t="inlineStr">
        <is>
          <t>Anual</t>
        </is>
      </c>
      <c r="F27" t="inlineStr">
        <is>
          <t>Positivo</t>
        </is>
      </c>
      <c r="G27" t="inlineStr">
        <is>
          <t>Serie Unica</t>
        </is>
      </c>
      <c r="H27" t="inlineStr">
        <is>
          <t>Activo</t>
        </is>
      </c>
      <c r="I27" t="inlineStr">
        <is>
          <t>API</t>
        </is>
      </c>
      <c r="J27" t="inlineStr">
        <is>
          <t>Cierre</t>
        </is>
      </c>
      <c r="K27" t="inlineStr"/>
      <c r="L27" t="inlineStr">
        <is>
          <t>%</t>
        </is>
      </c>
    </row>
    <row r="28">
      <c r="A28" t="n">
        <v>113</v>
      </c>
      <c r="B28" t="inlineStr">
        <is>
          <t>Nivel de Satisfacción Servicios Prestados</t>
        </is>
      </c>
      <c r="C28" t="inlineStr">
        <is>
          <t>Operativo</t>
        </is>
      </c>
      <c r="D28" t="inlineStr">
        <is>
          <t>GESTIÓN Y DESARROLLO DEL TALENTO HUMANO</t>
        </is>
      </c>
      <c r="E28" t="inlineStr">
        <is>
          <t>Anual</t>
        </is>
      </c>
      <c r="F28" t="inlineStr">
        <is>
          <t>Positivo</t>
        </is>
      </c>
      <c r="G28" t="inlineStr">
        <is>
          <t>Serie Unica</t>
        </is>
      </c>
      <c r="H28" t="inlineStr">
        <is>
          <t>Activo</t>
        </is>
      </c>
      <c r="I28" t="inlineStr">
        <is>
          <t>API</t>
        </is>
      </c>
      <c r="J28" t="inlineStr">
        <is>
          <t>Cierre</t>
        </is>
      </c>
      <c r="K28" t="inlineStr"/>
      <c r="L28" t="inlineStr">
        <is>
          <t>%</t>
        </is>
      </c>
    </row>
    <row r="29">
      <c r="A29" t="n">
        <v>114</v>
      </c>
      <c r="B29" t="inlineStr">
        <is>
          <t>Nivel de Satisfacción Servicios Prestados</t>
        </is>
      </c>
      <c r="C29" t="inlineStr">
        <is>
          <t>Estratégico</t>
        </is>
      </c>
      <c r="D29" t="inlineStr">
        <is>
          <t>GESTIÓN DE LA TECNOLOGÍA E INNOVACIÓN DIGITAL</t>
        </is>
      </c>
      <c r="E29" t="inlineStr">
        <is>
          <t>Anual</t>
        </is>
      </c>
      <c r="F29" t="inlineStr">
        <is>
          <t>Positivo</t>
        </is>
      </c>
      <c r="G29" t="inlineStr">
        <is>
          <t>Serie Unica</t>
        </is>
      </c>
      <c r="H29" t="inlineStr">
        <is>
          <t>Activo</t>
        </is>
      </c>
      <c r="I29" t="inlineStr">
        <is>
          <t>API</t>
        </is>
      </c>
      <c r="J29" t="inlineStr">
        <is>
          <t>Cierre</t>
        </is>
      </c>
      <c r="K29" t="inlineStr"/>
      <c r="L29" t="inlineStr">
        <is>
          <t>%</t>
        </is>
      </c>
    </row>
    <row r="30">
      <c r="A30" t="n">
        <v>115</v>
      </c>
      <c r="B30" t="inlineStr">
        <is>
          <t>Nivel de Satisfacción Servicios Prestados</t>
        </is>
      </c>
      <c r="C30" t="inlineStr">
        <is>
          <t>Estratégico</t>
        </is>
      </c>
      <c r="D30" t="inlineStr">
        <is>
          <t>GESTIÓN DE SEGURIDAD Y SALUD EN EL TRABAJO</t>
        </is>
      </c>
      <c r="E30" t="inlineStr">
        <is>
          <t>Anual</t>
        </is>
      </c>
      <c r="F30" t="inlineStr">
        <is>
          <t>Positivo</t>
        </is>
      </c>
      <c r="G30" t="inlineStr">
        <is>
          <t>Serie Unica</t>
        </is>
      </c>
      <c r="H30" t="inlineStr">
        <is>
          <t>Activo</t>
        </is>
      </c>
      <c r="I30" t="inlineStr">
        <is>
          <t>API</t>
        </is>
      </c>
      <c r="J30" t="inlineStr">
        <is>
          <t>Cierre</t>
        </is>
      </c>
      <c r="K30" t="inlineStr"/>
      <c r="L30" t="inlineStr">
        <is>
          <t>%</t>
        </is>
      </c>
    </row>
    <row r="31">
      <c r="A31" t="n">
        <v>116</v>
      </c>
      <c r="B31" t="inlineStr">
        <is>
          <t>Nivel de Satisfacción Servicios Prestados</t>
        </is>
      </c>
      <c r="C31" t="inlineStr">
        <is>
          <t>Estratégico</t>
        </is>
      </c>
      <c r="D31" t="inlineStr">
        <is>
          <t>AUDITORÍA INTERNA</t>
        </is>
      </c>
      <c r="E31" t="inlineStr">
        <is>
          <t>Anual</t>
        </is>
      </c>
      <c r="F31" t="inlineStr">
        <is>
          <t>Positivo</t>
        </is>
      </c>
      <c r="G31" t="inlineStr">
        <is>
          <t>Serie Unica</t>
        </is>
      </c>
      <c r="H31" t="inlineStr">
        <is>
          <t>Activo</t>
        </is>
      </c>
      <c r="I31" t="inlineStr">
        <is>
          <t>API</t>
        </is>
      </c>
      <c r="J31" t="inlineStr">
        <is>
          <t>Cierre</t>
        </is>
      </c>
      <c r="K31" t="inlineStr"/>
      <c r="L31" t="inlineStr">
        <is>
          <t>%</t>
        </is>
      </c>
    </row>
    <row r="32">
      <c r="A32" t="n">
        <v>117</v>
      </c>
      <c r="B32" t="inlineStr">
        <is>
          <t>Nivel de Satisfacción Servicios Prestados</t>
        </is>
      </c>
      <c r="C32" t="inlineStr">
        <is>
          <t>Estratégico</t>
        </is>
      </c>
      <c r="D32" t="inlineStr">
        <is>
          <t>GESTIÓN AMBIENTAL</t>
        </is>
      </c>
      <c r="E32" t="inlineStr">
        <is>
          <t>Anual</t>
        </is>
      </c>
      <c r="F32" t="inlineStr">
        <is>
          <t>Positivo</t>
        </is>
      </c>
      <c r="G32" t="inlineStr">
        <is>
          <t>Serie Unica</t>
        </is>
      </c>
      <c r="H32" t="inlineStr">
        <is>
          <t>Activo</t>
        </is>
      </c>
      <c r="I32" t="inlineStr">
        <is>
          <t>API</t>
        </is>
      </c>
      <c r="J32" t="inlineStr">
        <is>
          <t>Cierre</t>
        </is>
      </c>
      <c r="K32" t="inlineStr"/>
      <c r="L32" t="inlineStr">
        <is>
          <t>%</t>
        </is>
      </c>
    </row>
    <row r="33">
      <c r="A33" t="n">
        <v>118</v>
      </c>
      <c r="B33" t="inlineStr">
        <is>
          <t>Nivel de Satisfacción del sistema de gestión de calidad</t>
        </is>
      </c>
      <c r="C33" t="inlineStr">
        <is>
          <t>Estratégico</t>
        </is>
      </c>
      <c r="D33" t="inlineStr">
        <is>
          <t>Gestión de calidad</t>
        </is>
      </c>
      <c r="E33" t="inlineStr">
        <is>
          <t>Anual</t>
        </is>
      </c>
      <c r="F33" t="inlineStr">
        <is>
          <t>Positivo</t>
        </is>
      </c>
      <c r="G33" t="inlineStr">
        <is>
          <t>Serie Unica</t>
        </is>
      </c>
      <c r="H33" t="inlineStr">
        <is>
          <t>Activo</t>
        </is>
      </c>
      <c r="I33" t="inlineStr">
        <is>
          <t>API</t>
        </is>
      </c>
      <c r="J33" t="inlineStr">
        <is>
          <t>Cierre</t>
        </is>
      </c>
      <c r="K33" t="inlineStr"/>
      <c r="L33" t="inlineStr">
        <is>
          <t>%</t>
        </is>
      </c>
    </row>
    <row r="34">
      <c r="A34" t="n">
        <v>121</v>
      </c>
      <c r="B34" t="inlineStr">
        <is>
          <t>Ejecución presupuestal de la nómina acumulada</t>
        </is>
      </c>
      <c r="C34" t="inlineStr">
        <is>
          <t>Operativo</t>
        </is>
      </c>
      <c r="D34" t="inlineStr">
        <is>
          <t>GESTIÓN Y DESARROLLO DEL TALENTO HUMANO</t>
        </is>
      </c>
      <c r="E34" t="inlineStr">
        <is>
          <t>Mensual</t>
        </is>
      </c>
      <c r="F34" t="inlineStr">
        <is>
          <t>Negativo</t>
        </is>
      </c>
      <c r="G34" t="inlineStr">
        <is>
          <t>Serie Unica</t>
        </is>
      </c>
      <c r="H34" t="inlineStr">
        <is>
          <t>Activo</t>
        </is>
      </c>
      <c r="I34" t="inlineStr">
        <is>
          <t>API</t>
        </is>
      </c>
      <c r="J34" t="inlineStr">
        <is>
          <t>Cierre</t>
        </is>
      </c>
      <c r="K34" t="inlineStr"/>
      <c r="L34" t="inlineStr">
        <is>
          <t>$</t>
        </is>
      </c>
    </row>
    <row r="35">
      <c r="A35" t="n">
        <v>122</v>
      </c>
      <c r="B35" t="inlineStr">
        <is>
          <t>Eficacia en la solicitud documental- por periodo</t>
        </is>
      </c>
      <c r="C35" t="inlineStr">
        <is>
          <t>Operativo</t>
        </is>
      </c>
      <c r="D35" t="inlineStr">
        <is>
          <t>Gestión de calidad</t>
        </is>
      </c>
      <c r="E35" t="inlineStr">
        <is>
          <t>Mensual</t>
        </is>
      </c>
      <c r="F35" t="inlineStr">
        <is>
          <t>Positivo</t>
        </is>
      </c>
      <c r="G35" t="inlineStr">
        <is>
          <t>Serie Unica</t>
        </is>
      </c>
      <c r="H35" t="inlineStr">
        <is>
          <t>Activo</t>
        </is>
      </c>
      <c r="I35" t="inlineStr">
        <is>
          <t>API</t>
        </is>
      </c>
      <c r="J35" t="inlineStr">
        <is>
          <t>Promedio</t>
        </is>
      </c>
      <c r="K35" t="inlineStr"/>
      <c r="L35" t="inlineStr">
        <is>
          <t>%</t>
        </is>
      </c>
    </row>
    <row r="36">
      <c r="A36" t="n">
        <v>124</v>
      </c>
      <c r="B36" t="inlineStr">
        <is>
          <t>Indice de Frecuencia de accidentalidad</t>
        </is>
      </c>
      <c r="C36" t="inlineStr">
        <is>
          <t>Operativo</t>
        </is>
      </c>
      <c r="D36" t="inlineStr">
        <is>
          <t>GESTIÓN DE SEGURIDAD Y SALUD EN EL TRABAJO</t>
        </is>
      </c>
      <c r="E36" t="inlineStr">
        <is>
          <t>Mensual</t>
        </is>
      </c>
      <c r="F36" t="inlineStr">
        <is>
          <t>Negativo</t>
        </is>
      </c>
      <c r="G36" t="inlineStr">
        <is>
          <t>Serie Unica</t>
        </is>
      </c>
      <c r="H36" t="inlineStr">
        <is>
          <t>Activo</t>
        </is>
      </c>
      <c r="I36" t="inlineStr">
        <is>
          <t>API</t>
        </is>
      </c>
      <c r="J36" t="inlineStr">
        <is>
          <t>Promedio</t>
        </is>
      </c>
      <c r="K36" t="inlineStr"/>
      <c r="L36" t="inlineStr">
        <is>
          <t>DEC</t>
        </is>
      </c>
    </row>
    <row r="37">
      <c r="A37" t="n">
        <v>125</v>
      </c>
      <c r="B37" t="inlineStr">
        <is>
          <t>Indice de severidad</t>
        </is>
      </c>
      <c r="C37" t="inlineStr">
        <is>
          <t>Operativo</t>
        </is>
      </c>
      <c r="D37" t="inlineStr">
        <is>
          <t>GESTIÓN DE SEGURIDAD Y SALUD EN EL TRABAJO</t>
        </is>
      </c>
      <c r="E37" t="inlineStr">
        <is>
          <t>Mensual</t>
        </is>
      </c>
      <c r="F37" t="inlineStr">
        <is>
          <t>Negativo</t>
        </is>
      </c>
      <c r="G37" t="inlineStr">
        <is>
          <t>Serie Unica</t>
        </is>
      </c>
      <c r="H37" t="inlineStr">
        <is>
          <t>Activo</t>
        </is>
      </c>
      <c r="I37" t="inlineStr">
        <is>
          <t>API</t>
        </is>
      </c>
      <c r="J37" t="inlineStr">
        <is>
          <t>Promedio</t>
        </is>
      </c>
      <c r="K37" t="inlineStr"/>
      <c r="L37" t="inlineStr">
        <is>
          <t>DEC</t>
        </is>
      </c>
    </row>
    <row r="38">
      <c r="A38" t="n">
        <v>126</v>
      </c>
      <c r="B38" t="inlineStr">
        <is>
          <t>Indice de Prevalencia EL Enfermedad laboral</t>
        </is>
      </c>
      <c r="C38" t="inlineStr">
        <is>
          <t>Operativo</t>
        </is>
      </c>
      <c r="D38" t="inlineStr">
        <is>
          <t>GESTIÓN DE SEGURIDAD Y SALUD EN EL TRABAJO</t>
        </is>
      </c>
      <c r="E38" t="inlineStr">
        <is>
          <t>Anual</t>
        </is>
      </c>
      <c r="F38" t="inlineStr">
        <is>
          <t>Negativo</t>
        </is>
      </c>
      <c r="G38" t="inlineStr">
        <is>
          <t>Serie Unica</t>
        </is>
      </c>
      <c r="H38" t="inlineStr">
        <is>
          <t>Activo</t>
        </is>
      </c>
      <c r="I38" t="inlineStr">
        <is>
          <t>API</t>
        </is>
      </c>
      <c r="J38" t="inlineStr">
        <is>
          <t>Cierre</t>
        </is>
      </c>
      <c r="K38" t="inlineStr"/>
      <c r="L38" t="inlineStr">
        <is>
          <t>DEC</t>
        </is>
      </c>
    </row>
    <row r="39">
      <c r="A39" t="n">
        <v>127</v>
      </c>
      <c r="B39" t="inlineStr">
        <is>
          <t>Indice de Incidencia EL Enfermedad laboral</t>
        </is>
      </c>
      <c r="C39" t="inlineStr">
        <is>
          <t>Operativo</t>
        </is>
      </c>
      <c r="D39" t="inlineStr">
        <is>
          <t>GESTIÓN DE SEGURIDAD Y SALUD EN EL TRABAJO</t>
        </is>
      </c>
      <c r="E39" t="inlineStr">
        <is>
          <t>Anual</t>
        </is>
      </c>
      <c r="F39" t="inlineStr">
        <is>
          <t>Negativo</t>
        </is>
      </c>
      <c r="G39" t="inlineStr">
        <is>
          <t>Serie Unica</t>
        </is>
      </c>
      <c r="H39" t="inlineStr">
        <is>
          <t>Activo</t>
        </is>
      </c>
      <c r="I39" t="inlineStr">
        <is>
          <t>API</t>
        </is>
      </c>
      <c r="J39" t="inlineStr">
        <is>
          <t>Cierre</t>
        </is>
      </c>
      <c r="K39" t="inlineStr"/>
      <c r="L39" t="inlineStr">
        <is>
          <t>DEC</t>
        </is>
      </c>
    </row>
    <row r="40">
      <c r="A40" t="n">
        <v>128</v>
      </c>
      <c r="B40" t="inlineStr">
        <is>
          <t>Ausentísmo por causa médica</t>
        </is>
      </c>
      <c r="C40" t="inlineStr">
        <is>
          <t>Operativo</t>
        </is>
      </c>
      <c r="D40" t="inlineStr">
        <is>
          <t>GESTIÓN DE SEGURIDAD Y SALUD EN EL TRABAJO</t>
        </is>
      </c>
      <c r="E40" t="inlineStr">
        <is>
          <t>Mensual</t>
        </is>
      </c>
      <c r="F40" t="inlineStr">
        <is>
          <t>Negativo</t>
        </is>
      </c>
      <c r="G40" t="inlineStr">
        <is>
          <t>Serie Unica</t>
        </is>
      </c>
      <c r="H40" t="inlineStr">
        <is>
          <t>Activo</t>
        </is>
      </c>
      <c r="I40" t="inlineStr">
        <is>
          <t>API</t>
        </is>
      </c>
      <c r="J40" t="inlineStr">
        <is>
          <t>Promedio</t>
        </is>
      </c>
      <c r="K40" t="inlineStr"/>
      <c r="L40" t="inlineStr">
        <is>
          <t>DEC</t>
        </is>
      </c>
    </row>
    <row r="41">
      <c r="A41" t="n">
        <v>133</v>
      </c>
      <c r="B41" t="inlineStr">
        <is>
          <t>Nivel de Satisfacción Servicios Prestados</t>
        </is>
      </c>
      <c r="C41" t="inlineStr">
        <is>
          <t>Estratégico</t>
        </is>
      </c>
      <c r="D41" t="inlineStr">
        <is>
          <t>VISIBILIDAD NACIONAL E INTERNACIONAL</t>
        </is>
      </c>
      <c r="E41" t="inlineStr">
        <is>
          <t>Anual</t>
        </is>
      </c>
      <c r="F41" t="inlineStr">
        <is>
          <t>Positivo</t>
        </is>
      </c>
      <c r="G41" t="inlineStr">
        <is>
          <t>Serie Unica</t>
        </is>
      </c>
      <c r="H41" t="inlineStr">
        <is>
          <t>Activo</t>
        </is>
      </c>
      <c r="I41" t="inlineStr">
        <is>
          <t>API</t>
        </is>
      </c>
      <c r="J41" t="inlineStr">
        <is>
          <t>Cierre</t>
        </is>
      </c>
      <c r="K41" t="inlineStr"/>
      <c r="L41" t="inlineStr">
        <is>
          <t>%</t>
        </is>
      </c>
    </row>
    <row r="42">
      <c r="A42" t="n">
        <v>136</v>
      </c>
      <c r="B42" t="inlineStr">
        <is>
          <t>Ejecución de actividades culturales</t>
        </is>
      </c>
      <c r="C42" t="inlineStr">
        <is>
          <t>Operativo</t>
        </is>
      </c>
      <c r="D42" t="inlineStr">
        <is>
          <t>Biblioteca Institucional</t>
        </is>
      </c>
      <c r="E42" t="inlineStr">
        <is>
          <t>Semestral</t>
        </is>
      </c>
      <c r="F42" t="inlineStr">
        <is>
          <t>Positivo</t>
        </is>
      </c>
      <c r="G42" t="inlineStr"/>
      <c r="H42" t="inlineStr">
        <is>
          <t>Historico</t>
        </is>
      </c>
      <c r="I42" t="inlineStr">
        <is>
          <t>Historico</t>
        </is>
      </c>
      <c r="J42" t="inlineStr">
        <is>
          <t>Promedio</t>
        </is>
      </c>
      <c r="K42" t="inlineStr"/>
      <c r="L42" t="inlineStr">
        <is>
          <t>%</t>
        </is>
      </c>
    </row>
    <row r="43">
      <c r="A43" t="n">
        <v>137</v>
      </c>
      <c r="B43" t="inlineStr">
        <is>
          <t>Ejecución de Talleres de formación</t>
        </is>
      </c>
      <c r="C43" t="inlineStr">
        <is>
          <t>Operativo</t>
        </is>
      </c>
      <c r="D43" t="inlineStr">
        <is>
          <t>Biblioteca Institucional</t>
        </is>
      </c>
      <c r="E43" t="inlineStr">
        <is>
          <t>Trimestral</t>
        </is>
      </c>
      <c r="F43" t="inlineStr">
        <is>
          <t>Positivo</t>
        </is>
      </c>
      <c r="G43" t="inlineStr"/>
      <c r="H43" t="inlineStr">
        <is>
          <t>Historico</t>
        </is>
      </c>
      <c r="I43" t="inlineStr">
        <is>
          <t>Historico</t>
        </is>
      </c>
      <c r="J43" t="inlineStr">
        <is>
          <t>Promedio</t>
        </is>
      </c>
      <c r="K43" t="inlineStr"/>
      <c r="L43" t="inlineStr">
        <is>
          <t>ENT</t>
        </is>
      </c>
    </row>
    <row r="44">
      <c r="A44" t="n">
        <v>139</v>
      </c>
      <c r="B44" t="inlineStr">
        <is>
          <t>Ejecución presupuestal del gasto</t>
        </is>
      </c>
      <c r="C44" t="inlineStr">
        <is>
          <t>Operativo</t>
        </is>
      </c>
      <c r="D44" t="inlineStr">
        <is>
          <t>Biblioteca Institucional</t>
        </is>
      </c>
      <c r="E44" t="inlineStr">
        <is>
          <t>Mensual</t>
        </is>
      </c>
      <c r="F44" t="inlineStr">
        <is>
          <t>Negativo</t>
        </is>
      </c>
      <c r="G44" t="inlineStr"/>
      <c r="H44" t="inlineStr">
        <is>
          <t>Historico</t>
        </is>
      </c>
      <c r="I44" t="inlineStr">
        <is>
          <t>Historico</t>
        </is>
      </c>
      <c r="J44" t="inlineStr">
        <is>
          <t>Cierre</t>
        </is>
      </c>
      <c r="K44" t="inlineStr"/>
      <c r="L44" t="inlineStr">
        <is>
          <t>$</t>
        </is>
      </c>
    </row>
    <row r="45">
      <c r="A45" t="n">
        <v>143</v>
      </c>
      <c r="B45" t="inlineStr">
        <is>
          <t>Proyectos de investigación e innovación- Metrica</t>
        </is>
      </c>
      <c r="C45" t="inlineStr">
        <is>
          <t>Operativo</t>
        </is>
      </c>
      <c r="D45" t="inlineStr">
        <is>
          <t>Investigación, desarrollo tecnológico, innovación y creación</t>
        </is>
      </c>
      <c r="E45" t="inlineStr">
        <is>
          <t>Semestral</t>
        </is>
      </c>
      <c r="F45" t="inlineStr">
        <is>
          <t>Positivo</t>
        </is>
      </c>
      <c r="G45" t="inlineStr">
        <is>
          <t>Serie Unica</t>
        </is>
      </c>
      <c r="H45" t="inlineStr">
        <is>
          <t>Activo</t>
        </is>
      </c>
      <c r="I45" t="inlineStr">
        <is>
          <t>API</t>
        </is>
      </c>
      <c r="J45" t="inlineStr">
        <is>
          <t>Promedio</t>
        </is>
      </c>
      <c r="K45" t="inlineStr"/>
      <c r="L45" t="inlineStr">
        <is>
          <t>ENT</t>
        </is>
      </c>
    </row>
    <row r="46">
      <c r="A46" t="n">
        <v>144</v>
      </c>
      <c r="B46" t="inlineStr">
        <is>
          <t>Productos de investigación</t>
        </is>
      </c>
      <c r="C46" t="inlineStr">
        <is>
          <t>Estratégico</t>
        </is>
      </c>
      <c r="D46" t="inlineStr">
        <is>
          <t>Investigación, desarrollo tecnológico, innovación y creación</t>
        </is>
      </c>
      <c r="E46" t="inlineStr">
        <is>
          <t>Anual</t>
        </is>
      </c>
      <c r="F46" t="inlineStr">
        <is>
          <t>Positivo</t>
        </is>
      </c>
      <c r="G46" t="inlineStr">
        <is>
          <t>Serie Unica</t>
        </is>
      </c>
      <c r="H46" t="inlineStr">
        <is>
          <t>Activo</t>
        </is>
      </c>
      <c r="I46" t="inlineStr">
        <is>
          <t>API</t>
        </is>
      </c>
      <c r="J46" t="inlineStr">
        <is>
          <t>Cierre</t>
        </is>
      </c>
      <c r="K46" t="inlineStr"/>
      <c r="L46" t="inlineStr">
        <is>
          <t>DEC</t>
        </is>
      </c>
    </row>
    <row r="47">
      <c r="A47" t="n">
        <v>145</v>
      </c>
      <c r="B47" t="inlineStr">
        <is>
          <t>Semilleros de Investigación, Innovación y Creación</t>
        </is>
      </c>
      <c r="C47" t="inlineStr">
        <is>
          <t>Estratégico</t>
        </is>
      </c>
      <c r="D47" t="inlineStr">
        <is>
          <t>Formación para la investigación, creación e innovación</t>
        </is>
      </c>
      <c r="E47" t="inlineStr">
        <is>
          <t>Semestral</t>
        </is>
      </c>
      <c r="F47" t="inlineStr">
        <is>
          <t>Positivo</t>
        </is>
      </c>
      <c r="G47" t="inlineStr">
        <is>
          <t>Serie Unica</t>
        </is>
      </c>
      <c r="H47" t="inlineStr">
        <is>
          <t>Activo</t>
        </is>
      </c>
      <c r="I47" t="inlineStr">
        <is>
          <t>API</t>
        </is>
      </c>
      <c r="J47" t="inlineStr">
        <is>
          <t>Promedio</t>
        </is>
      </c>
      <c r="K47" t="inlineStr"/>
      <c r="L47" t="inlineStr">
        <is>
          <t>ENT</t>
        </is>
      </c>
    </row>
    <row r="48">
      <c r="A48" t="n">
        <v>146</v>
      </c>
      <c r="B48" t="inlineStr">
        <is>
          <t>Docentes vinculados a investigación</t>
        </is>
      </c>
      <c r="C48" t="inlineStr">
        <is>
          <t>Estratégico</t>
        </is>
      </c>
      <c r="D48" t="inlineStr">
        <is>
          <t>Investigación, desarrollo tecnológico, innovación y creación</t>
        </is>
      </c>
      <c r="E48" t="inlineStr">
        <is>
          <t>Semestral</t>
        </is>
      </c>
      <c r="F48" t="inlineStr">
        <is>
          <t>Positivo</t>
        </is>
      </c>
      <c r="G48" t="inlineStr">
        <is>
          <t>Serie Unica</t>
        </is>
      </c>
      <c r="H48" t="inlineStr">
        <is>
          <t>Activo</t>
        </is>
      </c>
      <c r="I48" t="inlineStr">
        <is>
          <t>API</t>
        </is>
      </c>
      <c r="J48" t="inlineStr">
        <is>
          <t>Promedio</t>
        </is>
      </c>
      <c r="K48" t="inlineStr"/>
      <c r="L48" t="inlineStr">
        <is>
          <t>ENT</t>
        </is>
      </c>
    </row>
    <row r="49">
      <c r="A49" t="n">
        <v>147</v>
      </c>
      <c r="B49" t="inlineStr">
        <is>
          <t>Grupos de investigación categorizados</t>
        </is>
      </c>
      <c r="C49" t="inlineStr">
        <is>
          <t>Operativo</t>
        </is>
      </c>
      <c r="D49" t="inlineStr">
        <is>
          <t>Investigación, desarrollo tecnológico, innovación y creación</t>
        </is>
      </c>
      <c r="E49" t="inlineStr">
        <is>
          <t>Anual</t>
        </is>
      </c>
      <c r="F49" t="inlineStr">
        <is>
          <t>Positivo</t>
        </is>
      </c>
      <c r="G49" t="inlineStr">
        <is>
          <t>Serie Unica</t>
        </is>
      </c>
      <c r="H49" t="inlineStr">
        <is>
          <t>Activo</t>
        </is>
      </c>
      <c r="I49" t="inlineStr">
        <is>
          <t>API</t>
        </is>
      </c>
      <c r="J49" t="inlineStr">
        <is>
          <t>Cierre</t>
        </is>
      </c>
      <c r="K49" t="inlineStr"/>
      <c r="L49" t="inlineStr">
        <is>
          <t>ENT</t>
        </is>
      </c>
    </row>
    <row r="50">
      <c r="A50" t="n">
        <v>148</v>
      </c>
      <c r="B50" t="inlineStr">
        <is>
          <t>Estudiantes vinculados a investigación</t>
        </is>
      </c>
      <c r="C50" t="inlineStr">
        <is>
          <t>Estratégico</t>
        </is>
      </c>
      <c r="D50" t="inlineStr">
        <is>
          <t>Formación para la investigación, creación e innovación</t>
        </is>
      </c>
      <c r="E50" t="inlineStr">
        <is>
          <t>Semestral</t>
        </is>
      </c>
      <c r="F50" t="inlineStr">
        <is>
          <t>Positivo</t>
        </is>
      </c>
      <c r="G50" t="inlineStr">
        <is>
          <t>Serie Unica</t>
        </is>
      </c>
      <c r="H50" t="inlineStr">
        <is>
          <t>Activo</t>
        </is>
      </c>
      <c r="I50" t="inlineStr">
        <is>
          <t>API</t>
        </is>
      </c>
      <c r="J50" t="inlineStr">
        <is>
          <t>Promedio</t>
        </is>
      </c>
      <c r="K50" t="inlineStr"/>
      <c r="L50" t="inlineStr">
        <is>
          <t>%</t>
        </is>
      </c>
    </row>
    <row r="51">
      <c r="A51" t="n">
        <v>150</v>
      </c>
      <c r="B51" t="inlineStr">
        <is>
          <t>Nivel de Satisfacción Servicios Prestados- Investigación, desarrollo tecnológico, innovación y creación</t>
        </is>
      </c>
      <c r="C51" t="inlineStr">
        <is>
          <t>Estratégico</t>
        </is>
      </c>
      <c r="D51" t="inlineStr">
        <is>
          <t>Investigación, desarrollo tecnológico, innovación y creación</t>
        </is>
      </c>
      <c r="E51" t="inlineStr">
        <is>
          <t>Anual</t>
        </is>
      </c>
      <c r="F51" t="inlineStr">
        <is>
          <t>Positivo</t>
        </is>
      </c>
      <c r="G51" t="inlineStr">
        <is>
          <t>Serie Unica</t>
        </is>
      </c>
      <c r="H51" t="inlineStr">
        <is>
          <t>Activo</t>
        </is>
      </c>
      <c r="I51" t="inlineStr">
        <is>
          <t>API</t>
        </is>
      </c>
      <c r="J51" t="inlineStr">
        <is>
          <t>Cierre</t>
        </is>
      </c>
      <c r="K51" t="inlineStr"/>
      <c r="L51" t="inlineStr">
        <is>
          <t>%</t>
        </is>
      </c>
    </row>
    <row r="52">
      <c r="A52" t="n">
        <v>151</v>
      </c>
      <c r="B52" t="inlineStr">
        <is>
          <t>Nivel de Satisfacción Servicios Prestados</t>
        </is>
      </c>
      <c r="C52" t="inlineStr">
        <is>
          <t>Estratégico</t>
        </is>
      </c>
      <c r="D52" t="inlineStr">
        <is>
          <t>Biblioteca Institucional</t>
        </is>
      </c>
      <c r="E52" t="inlineStr">
        <is>
          <t>Anual</t>
        </is>
      </c>
      <c r="F52" t="inlineStr">
        <is>
          <t>Positivo</t>
        </is>
      </c>
      <c r="G52" t="inlineStr">
        <is>
          <t>Serie Unica</t>
        </is>
      </c>
      <c r="H52" t="inlineStr">
        <is>
          <t>Activo</t>
        </is>
      </c>
      <c r="I52" t="inlineStr">
        <is>
          <t>API</t>
        </is>
      </c>
      <c r="J52" t="inlineStr">
        <is>
          <t>Cierre</t>
        </is>
      </c>
      <c r="K52" t="inlineStr"/>
      <c r="L52" t="inlineStr">
        <is>
          <t>%</t>
        </is>
      </c>
    </row>
    <row r="53">
      <c r="A53" t="n">
        <v>157</v>
      </c>
      <c r="B53" t="inlineStr">
        <is>
          <t>Indexación de bases de datos o SIRES</t>
        </is>
      </c>
      <c r="C53" t="inlineStr">
        <is>
          <t>Estratégico</t>
        </is>
      </c>
      <c r="D53" t="inlineStr">
        <is>
          <t>Editorial y Publicaciones</t>
        </is>
      </c>
      <c r="E53" t="inlineStr">
        <is>
          <t>Anual</t>
        </is>
      </c>
      <c r="F53" t="inlineStr">
        <is>
          <t>Positivo</t>
        </is>
      </c>
      <c r="G53" t="inlineStr"/>
      <c r="H53" t="inlineStr">
        <is>
          <t>Historico</t>
        </is>
      </c>
      <c r="I53" t="inlineStr">
        <is>
          <t>Historico</t>
        </is>
      </c>
      <c r="J53" t="inlineStr">
        <is>
          <t>Cierre</t>
        </is>
      </c>
      <c r="K53" t="inlineStr"/>
      <c r="L53" t="inlineStr">
        <is>
          <t>ENT</t>
        </is>
      </c>
    </row>
    <row r="54">
      <c r="A54" t="n">
        <v>159</v>
      </c>
      <c r="B54" t="inlineStr">
        <is>
          <t>Nivel de Satisfacción Servicios Prestados</t>
        </is>
      </c>
      <c r="C54" t="inlineStr">
        <is>
          <t>Estratégico</t>
        </is>
      </c>
      <c r="D54" t="inlineStr">
        <is>
          <t>Editorial y Publicaciones</t>
        </is>
      </c>
      <c r="E54" t="inlineStr">
        <is>
          <t>Semestral</t>
        </is>
      </c>
      <c r="F54" t="inlineStr">
        <is>
          <t>Positivo</t>
        </is>
      </c>
      <c r="G54" t="inlineStr">
        <is>
          <t>Serie Unica</t>
        </is>
      </c>
      <c r="H54" t="inlineStr">
        <is>
          <t>Activo</t>
        </is>
      </c>
      <c r="I54" t="inlineStr">
        <is>
          <t>API</t>
        </is>
      </c>
      <c r="J54" t="inlineStr">
        <is>
          <t>Promedio</t>
        </is>
      </c>
      <c r="K54" t="inlineStr"/>
      <c r="L54" t="inlineStr">
        <is>
          <t>%</t>
        </is>
      </c>
    </row>
    <row r="55">
      <c r="A55" t="n">
        <v>167</v>
      </c>
      <c r="B55" t="inlineStr">
        <is>
          <t>Satisfacción actividades plan de bienestar</t>
        </is>
      </c>
      <c r="C55" t="inlineStr">
        <is>
          <t>Operativo</t>
        </is>
      </c>
      <c r="D55" t="inlineStr">
        <is>
          <t>GESTIÓN Y DESARROLLO DEL TALENTO HUMANO</t>
        </is>
      </c>
      <c r="E55" t="inlineStr">
        <is>
          <t>Semestral</t>
        </is>
      </c>
      <c r="F55" t="inlineStr">
        <is>
          <t>Positivo</t>
        </is>
      </c>
      <c r="G55" t="inlineStr">
        <is>
          <t>Serie Unica</t>
        </is>
      </c>
      <c r="H55" t="inlineStr">
        <is>
          <t>Activo</t>
        </is>
      </c>
      <c r="I55" t="inlineStr">
        <is>
          <t>API</t>
        </is>
      </c>
      <c r="J55" t="inlineStr">
        <is>
          <t>Promedio</t>
        </is>
      </c>
      <c r="K55" t="inlineStr"/>
      <c r="L55" t="inlineStr">
        <is>
          <t>%</t>
        </is>
      </c>
    </row>
    <row r="56">
      <c r="A56" t="n">
        <v>172</v>
      </c>
      <c r="B56" t="inlineStr">
        <is>
          <t>Cumplimiento plan operativo del SGC</t>
        </is>
      </c>
      <c r="C56" t="inlineStr">
        <is>
          <t>Operativo</t>
        </is>
      </c>
      <c r="D56" t="inlineStr">
        <is>
          <t>Gestión de calidad</t>
        </is>
      </c>
      <c r="E56" t="inlineStr">
        <is>
          <t>Mensual</t>
        </is>
      </c>
      <c r="F56" t="inlineStr">
        <is>
          <t>Positivo</t>
        </is>
      </c>
      <c r="G56" t="inlineStr">
        <is>
          <t>Serie Unica</t>
        </is>
      </c>
      <c r="H56" t="inlineStr">
        <is>
          <t>Activo</t>
        </is>
      </c>
      <c r="I56" t="inlineStr">
        <is>
          <t>API</t>
        </is>
      </c>
      <c r="J56" t="inlineStr">
        <is>
          <t>Promedio</t>
        </is>
      </c>
      <c r="K56" t="inlineStr"/>
      <c r="L56" t="inlineStr">
        <is>
          <t>%</t>
        </is>
      </c>
    </row>
    <row r="57">
      <c r="A57" t="n">
        <v>174</v>
      </c>
      <c r="B57" t="inlineStr">
        <is>
          <t>Cumplimiento Plan de Formación SGC</t>
        </is>
      </c>
      <c r="C57" t="inlineStr">
        <is>
          <t>Operativo</t>
        </is>
      </c>
      <c r="D57" t="inlineStr">
        <is>
          <t>Gestión de calidad</t>
        </is>
      </c>
      <c r="E57" t="inlineStr">
        <is>
          <t>Semestral</t>
        </is>
      </c>
      <c r="F57" t="inlineStr">
        <is>
          <t>Positivo</t>
        </is>
      </c>
      <c r="G57" t="inlineStr"/>
      <c r="H57" t="inlineStr">
        <is>
          <t>Historico</t>
        </is>
      </c>
      <c r="I57" t="inlineStr">
        <is>
          <t>Historico</t>
        </is>
      </c>
      <c r="J57" t="inlineStr">
        <is>
          <t>Cierre</t>
        </is>
      </c>
      <c r="K57" t="inlineStr"/>
      <c r="L57" t="inlineStr">
        <is>
          <t>%</t>
        </is>
      </c>
    </row>
    <row r="58">
      <c r="A58" t="n">
        <v>176</v>
      </c>
      <c r="B58" t="inlineStr">
        <is>
          <t>Cumplimiento Planes de Mejora</t>
        </is>
      </c>
      <c r="C58" t="inlineStr">
        <is>
          <t>Operativo</t>
        </is>
      </c>
      <c r="D58" t="inlineStr">
        <is>
          <t>Gestión de calidad</t>
        </is>
      </c>
      <c r="E58" t="inlineStr">
        <is>
          <t>Mensual</t>
        </is>
      </c>
      <c r="F58" t="inlineStr">
        <is>
          <t>Positivo</t>
        </is>
      </c>
      <c r="G58" t="inlineStr"/>
      <c r="H58" t="inlineStr">
        <is>
          <t>Historico</t>
        </is>
      </c>
      <c r="I58" t="inlineStr">
        <is>
          <t>Historico</t>
        </is>
      </c>
      <c r="J58" t="inlineStr">
        <is>
          <t>Promedio</t>
        </is>
      </c>
      <c r="K58" t="inlineStr"/>
      <c r="L58" t="inlineStr">
        <is>
          <t>%</t>
        </is>
      </c>
    </row>
    <row r="59">
      <c r="A59" t="n">
        <v>193</v>
      </c>
      <c r="B59" t="inlineStr">
        <is>
          <t>Porcentaje de Cumplimiento del Acuerdo de Nivel de Servicio (ANS)</t>
        </is>
      </c>
      <c r="C59" t="inlineStr">
        <is>
          <t>Estratégico</t>
        </is>
      </c>
      <c r="D59" t="inlineStr">
        <is>
          <t>Servicio</t>
        </is>
      </c>
      <c r="E59" t="inlineStr">
        <is>
          <t>Semestral</t>
        </is>
      </c>
      <c r="F59" t="inlineStr">
        <is>
          <t>Positivo</t>
        </is>
      </c>
      <c r="G59" t="inlineStr">
        <is>
          <t>Serie Unica</t>
        </is>
      </c>
      <c r="H59" t="inlineStr">
        <is>
          <t>Activo</t>
        </is>
      </c>
      <c r="I59" t="inlineStr">
        <is>
          <t>API</t>
        </is>
      </c>
      <c r="J59" t="inlineStr">
        <is>
          <t>Promedio</t>
        </is>
      </c>
      <c r="K59" t="inlineStr"/>
      <c r="L59" t="inlineStr">
        <is>
          <t>%</t>
        </is>
      </c>
    </row>
    <row r="60">
      <c r="A60" t="n">
        <v>194</v>
      </c>
      <c r="B60" t="inlineStr">
        <is>
          <t>Índice de satisfacción del estudiante (SSI)</t>
        </is>
      </c>
      <c r="C60" t="inlineStr">
        <is>
          <t>Estratégico</t>
        </is>
      </c>
      <c r="D60" t="inlineStr">
        <is>
          <t>Servicio</t>
        </is>
      </c>
      <c r="E60" t="inlineStr">
        <is>
          <t>Semestral</t>
        </is>
      </c>
      <c r="F60" t="inlineStr">
        <is>
          <t>Positivo</t>
        </is>
      </c>
      <c r="G60" t="inlineStr"/>
      <c r="H60" t="inlineStr">
        <is>
          <t>Historico</t>
        </is>
      </c>
      <c r="I60" t="inlineStr">
        <is>
          <t>Historico</t>
        </is>
      </c>
      <c r="J60" t="inlineStr">
        <is>
          <t>Cierre</t>
        </is>
      </c>
      <c r="K60" t="inlineStr"/>
      <c r="L60" t="inlineStr">
        <is>
          <t>%</t>
        </is>
      </c>
    </row>
    <row r="61">
      <c r="A61" t="n">
        <v>195</v>
      </c>
      <c r="B61" t="inlineStr">
        <is>
          <t>NPS- Net Promotor Score</t>
        </is>
      </c>
      <c r="C61" t="inlineStr">
        <is>
          <t>Estratégico</t>
        </is>
      </c>
      <c r="D61" t="inlineStr">
        <is>
          <t>Servicio</t>
        </is>
      </c>
      <c r="E61" t="inlineStr">
        <is>
          <t>Semestral</t>
        </is>
      </c>
      <c r="F61" t="inlineStr">
        <is>
          <t>Positivo</t>
        </is>
      </c>
      <c r="G61" t="inlineStr"/>
      <c r="H61" t="inlineStr">
        <is>
          <t>Historico</t>
        </is>
      </c>
      <c r="I61" t="inlineStr">
        <is>
          <t>Historico</t>
        </is>
      </c>
      <c r="J61" t="inlineStr">
        <is>
          <t>Promedio</t>
        </is>
      </c>
      <c r="K61" t="inlineStr"/>
      <c r="L61" t="inlineStr">
        <is>
          <t>ENT</t>
        </is>
      </c>
    </row>
    <row r="62">
      <c r="A62" t="n">
        <v>196</v>
      </c>
      <c r="B62" t="inlineStr">
        <is>
          <t>(% de solicitudes procesos Pareto)</t>
        </is>
      </c>
      <c r="C62" t="inlineStr">
        <is>
          <t>Estratégico</t>
        </is>
      </c>
      <c r="D62" t="inlineStr">
        <is>
          <t>Servicio</t>
        </is>
      </c>
      <c r="E62" t="inlineStr">
        <is>
          <t>Semestral</t>
        </is>
      </c>
      <c r="F62" t="inlineStr">
        <is>
          <t>Negativo</t>
        </is>
      </c>
      <c r="G62" t="inlineStr"/>
      <c r="H62" t="inlineStr">
        <is>
          <t>Historico</t>
        </is>
      </c>
      <c r="I62" t="inlineStr">
        <is>
          <t>Historico</t>
        </is>
      </c>
      <c r="J62" t="inlineStr">
        <is>
          <t>Cierre</t>
        </is>
      </c>
      <c r="K62" t="inlineStr"/>
      <c r="L62" t="inlineStr">
        <is>
          <t>%</t>
        </is>
      </c>
    </row>
    <row r="63">
      <c r="A63" t="n">
        <v>197</v>
      </c>
      <c r="B63" t="inlineStr">
        <is>
          <t>Cumplimiento cronograma Mantenimiento de Equipos</t>
        </is>
      </c>
      <c r="C63" t="inlineStr">
        <is>
          <t>Estratégico</t>
        </is>
      </c>
      <c r="D63" t="inlineStr">
        <is>
          <t>Gestión Infraestructura Física</t>
        </is>
      </c>
      <c r="E63" t="inlineStr">
        <is>
          <t>Trimestral</t>
        </is>
      </c>
      <c r="F63" t="inlineStr">
        <is>
          <t>Positivo</t>
        </is>
      </c>
      <c r="G63" t="inlineStr">
        <is>
          <t>Serie Unica</t>
        </is>
      </c>
      <c r="H63" t="inlineStr">
        <is>
          <t>Activo</t>
        </is>
      </c>
      <c r="I63" t="inlineStr">
        <is>
          <t>API</t>
        </is>
      </c>
      <c r="J63" t="inlineStr">
        <is>
          <t>Promedio</t>
        </is>
      </c>
      <c r="K63" t="inlineStr"/>
      <c r="L63" t="inlineStr">
        <is>
          <t>%</t>
        </is>
      </c>
    </row>
    <row r="64">
      <c r="A64" t="n">
        <v>199</v>
      </c>
      <c r="B64" t="inlineStr">
        <is>
          <t>Nivel de cumplimiento de eficacia las capacitaciones</t>
        </is>
      </c>
      <c r="C64" t="inlineStr">
        <is>
          <t>Operativo</t>
        </is>
      </c>
      <c r="D64" t="inlineStr">
        <is>
          <t>GESTIÓN Y DESARROLLO DEL TALENTO HUMANO</t>
        </is>
      </c>
      <c r="E64" t="inlineStr">
        <is>
          <t>Semestral</t>
        </is>
      </c>
      <c r="F64" t="inlineStr">
        <is>
          <t>Positivo</t>
        </is>
      </c>
      <c r="G64" t="inlineStr">
        <is>
          <t>Serie Unica</t>
        </is>
      </c>
      <c r="H64" t="inlineStr">
        <is>
          <t>Activo</t>
        </is>
      </c>
      <c r="I64" t="inlineStr">
        <is>
          <t>API</t>
        </is>
      </c>
      <c r="J64" t="inlineStr">
        <is>
          <t>Promedio</t>
        </is>
      </c>
      <c r="K64" t="inlineStr"/>
      <c r="L64" t="inlineStr">
        <is>
          <t>%</t>
        </is>
      </c>
    </row>
    <row r="65">
      <c r="A65" t="n">
        <v>200</v>
      </c>
      <c r="B65" t="inlineStr">
        <is>
          <t>Nivel de efectividad de las capacitaciones</t>
        </is>
      </c>
      <c r="C65" t="inlineStr">
        <is>
          <t>Estratégico</t>
        </is>
      </c>
      <c r="D65" t="inlineStr">
        <is>
          <t>GESTIÓN Y DESARROLLO DEL TALENTO HUMANO</t>
        </is>
      </c>
      <c r="E65" t="inlineStr">
        <is>
          <t>Anual</t>
        </is>
      </c>
      <c r="F65" t="inlineStr">
        <is>
          <t>Positivo</t>
        </is>
      </c>
      <c r="G65" t="inlineStr">
        <is>
          <t>Serie Unica</t>
        </is>
      </c>
      <c r="H65" t="inlineStr">
        <is>
          <t>Activo</t>
        </is>
      </c>
      <c r="I65" t="inlineStr">
        <is>
          <t>API</t>
        </is>
      </c>
      <c r="J65" t="inlineStr">
        <is>
          <t>Cierre</t>
        </is>
      </c>
      <c r="K65" t="inlineStr"/>
      <c r="L65" t="inlineStr">
        <is>
          <t>%</t>
        </is>
      </c>
    </row>
    <row r="66">
      <c r="A66" t="n">
        <v>202</v>
      </c>
      <c r="B66" t="inlineStr">
        <is>
          <t>Great Place to Work</t>
        </is>
      </c>
      <c r="C66" t="inlineStr">
        <is>
          <t>Estratégico</t>
        </is>
      </c>
      <c r="D66" t="inlineStr">
        <is>
          <t>GESTIÓN Y DESARROLLO DEL TALENTO HUMANO</t>
        </is>
      </c>
      <c r="E66" t="inlineStr">
        <is>
          <t>Anual</t>
        </is>
      </c>
      <c r="F66" t="inlineStr">
        <is>
          <t>Positivo</t>
        </is>
      </c>
      <c r="G66" t="inlineStr">
        <is>
          <t>Serie Unica</t>
        </is>
      </c>
      <c r="H66" t="inlineStr">
        <is>
          <t>Activo</t>
        </is>
      </c>
      <c r="I66" t="inlineStr">
        <is>
          <t>API</t>
        </is>
      </c>
      <c r="J66" t="inlineStr">
        <is>
          <t>Cierre</t>
        </is>
      </c>
      <c r="K66" t="inlineStr"/>
      <c r="L66" t="inlineStr">
        <is>
          <t>DEC</t>
        </is>
      </c>
    </row>
    <row r="67">
      <c r="A67" t="n">
        <v>203</v>
      </c>
      <c r="B67" t="inlineStr">
        <is>
          <t>Cumplimiento de Ingresos</t>
        </is>
      </c>
      <c r="C67" t="inlineStr">
        <is>
          <t>Estratégico</t>
        </is>
      </c>
      <c r="D67" t="inlineStr">
        <is>
          <t>Planeación Financiera</t>
        </is>
      </c>
      <c r="E67" t="inlineStr">
        <is>
          <t>Semestral</t>
        </is>
      </c>
      <c r="F67" t="inlineStr">
        <is>
          <t>Positivo</t>
        </is>
      </c>
      <c r="G67" t="inlineStr">
        <is>
          <t>Multiserie</t>
        </is>
      </c>
      <c r="H67" t="inlineStr">
        <is>
          <t>Activo</t>
        </is>
      </c>
      <c r="I67" t="inlineStr">
        <is>
          <t>API</t>
        </is>
      </c>
      <c r="J67" t="inlineStr">
        <is>
          <t>Cierre</t>
        </is>
      </c>
      <c r="K67" t="inlineStr"/>
      <c r="L67" t="inlineStr">
        <is>
          <t>$</t>
        </is>
      </c>
    </row>
    <row r="68">
      <c r="A68" t="n">
        <v>204</v>
      </c>
      <c r="B68" t="inlineStr">
        <is>
          <t>Caja</t>
        </is>
      </c>
      <c r="C68" t="inlineStr">
        <is>
          <t>Estratégico</t>
        </is>
      </c>
      <c r="D68" t="inlineStr">
        <is>
          <t>Planeación Financiera</t>
        </is>
      </c>
      <c r="E68" t="inlineStr">
        <is>
          <t>Semestral</t>
        </is>
      </c>
      <c r="F68" t="inlineStr">
        <is>
          <t>Positivo</t>
        </is>
      </c>
      <c r="G68" t="inlineStr">
        <is>
          <t>Serie Unica</t>
        </is>
      </c>
      <c r="H68" t="inlineStr">
        <is>
          <t>Activo</t>
        </is>
      </c>
      <c r="I68" t="inlineStr">
        <is>
          <t>API</t>
        </is>
      </c>
      <c r="J68" t="inlineStr">
        <is>
          <t>Cierre</t>
        </is>
      </c>
      <c r="K68" t="inlineStr"/>
      <c r="L68" t="inlineStr">
        <is>
          <t>$</t>
        </is>
      </c>
    </row>
    <row r="69">
      <c r="A69" t="n">
        <v>205</v>
      </c>
      <c r="B69" t="inlineStr">
        <is>
          <t>Utilidad Neta</t>
        </is>
      </c>
      <c r="C69" t="inlineStr">
        <is>
          <t>Estratégico</t>
        </is>
      </c>
      <c r="D69" t="inlineStr">
        <is>
          <t>Planeación Financiera</t>
        </is>
      </c>
      <c r="E69" t="inlineStr">
        <is>
          <t>Semestral</t>
        </is>
      </c>
      <c r="F69" t="inlineStr">
        <is>
          <t>Positivo</t>
        </is>
      </c>
      <c r="G69" t="inlineStr">
        <is>
          <t>Serie Unica</t>
        </is>
      </c>
      <c r="H69" t="inlineStr">
        <is>
          <t>Activo</t>
        </is>
      </c>
      <c r="I69" t="inlineStr">
        <is>
          <t>API</t>
        </is>
      </c>
      <c r="J69" t="inlineStr">
        <is>
          <t>Cierre</t>
        </is>
      </c>
      <c r="K69" t="inlineStr"/>
      <c r="L69" t="inlineStr">
        <is>
          <t>$</t>
        </is>
      </c>
    </row>
    <row r="70">
      <c r="A70" t="n">
        <v>206</v>
      </c>
      <c r="B70" t="inlineStr">
        <is>
          <t>Inversión en CAPEX de la utilidad anterior</t>
        </is>
      </c>
      <c r="C70" t="inlineStr">
        <is>
          <t>Estratégico</t>
        </is>
      </c>
      <c r="D70" t="inlineStr">
        <is>
          <t>Planeación Financiera</t>
        </is>
      </c>
      <c r="E70" t="inlineStr">
        <is>
          <t>Anual</t>
        </is>
      </c>
      <c r="F70" t="inlineStr">
        <is>
          <t>Positivo</t>
        </is>
      </c>
      <c r="G70" t="inlineStr">
        <is>
          <t>Serie Unica</t>
        </is>
      </c>
      <c r="H70" t="inlineStr">
        <is>
          <t>Activo</t>
        </is>
      </c>
      <c r="I70" t="inlineStr">
        <is>
          <t>API</t>
        </is>
      </c>
      <c r="J70" t="inlineStr">
        <is>
          <t>Cierre</t>
        </is>
      </c>
      <c r="K70" t="inlineStr"/>
      <c r="L70" t="inlineStr">
        <is>
          <t>%</t>
        </is>
      </c>
    </row>
    <row r="71">
      <c r="A71" t="n">
        <v>207</v>
      </c>
      <c r="B71" t="inlineStr">
        <is>
          <t>Nivel de Cumplimiento Opex</t>
        </is>
      </c>
      <c r="C71" t="inlineStr">
        <is>
          <t>Estratégico</t>
        </is>
      </c>
      <c r="D71" t="inlineStr">
        <is>
          <t>Planeación Financiera</t>
        </is>
      </c>
      <c r="E71" t="inlineStr">
        <is>
          <t>Semestral</t>
        </is>
      </c>
      <c r="F71" t="inlineStr">
        <is>
          <t>Negativo</t>
        </is>
      </c>
      <c r="G71" t="inlineStr">
        <is>
          <t>Serie Unica</t>
        </is>
      </c>
      <c r="H71" t="inlineStr">
        <is>
          <t>Activo</t>
        </is>
      </c>
      <c r="I71" t="inlineStr">
        <is>
          <t>API</t>
        </is>
      </c>
      <c r="J71" t="inlineStr">
        <is>
          <t>Cierre</t>
        </is>
      </c>
      <c r="K71" t="inlineStr"/>
      <c r="L71" t="inlineStr">
        <is>
          <t>$</t>
        </is>
      </c>
    </row>
    <row r="72">
      <c r="A72" t="n">
        <v>208</v>
      </c>
      <c r="B72" t="inlineStr">
        <is>
          <t>Consumo de Agua m3 Mensual</t>
        </is>
      </c>
      <c r="C72" t="inlineStr">
        <is>
          <t>Operativo</t>
        </is>
      </c>
      <c r="D72" t="inlineStr">
        <is>
          <t>GESTIÓN AMBIENTAL</t>
        </is>
      </c>
      <c r="E72" t="inlineStr">
        <is>
          <t>Mensual</t>
        </is>
      </c>
      <c r="F72" t="inlineStr">
        <is>
          <t>Negativo</t>
        </is>
      </c>
      <c r="G72" t="inlineStr">
        <is>
          <t>Multiserie</t>
        </is>
      </c>
      <c r="H72" t="inlineStr">
        <is>
          <t>Activo</t>
        </is>
      </c>
      <c r="I72" t="inlineStr">
        <is>
          <t>API</t>
        </is>
      </c>
      <c r="J72" t="inlineStr">
        <is>
          <t>Promedio</t>
        </is>
      </c>
      <c r="K72" t="inlineStr"/>
      <c r="L72" t="inlineStr">
        <is>
          <t>m3</t>
        </is>
      </c>
    </row>
    <row r="73">
      <c r="A73" t="n">
        <v>213</v>
      </c>
      <c r="B73" t="inlineStr">
        <is>
          <t>Cumplimiento del Plan Anual del Sistema de Gestión Ambiental</t>
        </is>
      </c>
      <c r="C73" t="inlineStr">
        <is>
          <t>Estratégico</t>
        </is>
      </c>
      <c r="D73" t="inlineStr">
        <is>
          <t>GESTIÓN AMBIENTAL</t>
        </is>
      </c>
      <c r="E73" t="inlineStr">
        <is>
          <t>Trimestral</t>
        </is>
      </c>
      <c r="F73" t="inlineStr">
        <is>
          <t>Positivo</t>
        </is>
      </c>
      <c r="G73" t="inlineStr">
        <is>
          <t>Multiserie</t>
        </is>
      </c>
      <c r="H73" t="inlineStr">
        <is>
          <t>Activo</t>
        </is>
      </c>
      <c r="I73" t="inlineStr">
        <is>
          <t>API</t>
        </is>
      </c>
      <c r="J73" t="inlineStr">
        <is>
          <t>Cierre</t>
        </is>
      </c>
      <c r="K73" t="inlineStr"/>
      <c r="L73" t="inlineStr">
        <is>
          <t>%</t>
        </is>
      </c>
    </row>
    <row r="74">
      <c r="A74" t="n">
        <v>214</v>
      </c>
      <c r="B74" t="inlineStr">
        <is>
          <t>Generación de Residuos Sólidos Mensual</t>
        </is>
      </c>
      <c r="C74" t="inlineStr">
        <is>
          <t>Operativo</t>
        </is>
      </c>
      <c r="D74" t="inlineStr">
        <is>
          <t>GESTIÓN AMBIENTAL</t>
        </is>
      </c>
      <c r="E74" t="inlineStr">
        <is>
          <t>Mensual</t>
        </is>
      </c>
      <c r="F74" t="inlineStr">
        <is>
          <t>Negativo</t>
        </is>
      </c>
      <c r="G74" t="inlineStr">
        <is>
          <t>Multiserie</t>
        </is>
      </c>
      <c r="H74" t="inlineStr">
        <is>
          <t>Activo</t>
        </is>
      </c>
      <c r="I74" t="inlineStr">
        <is>
          <t>API</t>
        </is>
      </c>
      <c r="J74" t="inlineStr">
        <is>
          <t>Acumulado</t>
        </is>
      </c>
      <c r="K74" t="inlineStr"/>
      <c r="L74" t="inlineStr">
        <is>
          <t>Kg</t>
        </is>
      </c>
    </row>
    <row r="75">
      <c r="A75" t="n">
        <v>215</v>
      </c>
      <c r="B75" t="inlineStr">
        <is>
          <t>Disminución de la Generación de Residuos per Cápita</t>
        </is>
      </c>
      <c r="C75" t="inlineStr">
        <is>
          <t>Operativo</t>
        </is>
      </c>
      <c r="D75" t="inlineStr">
        <is>
          <t>GESTIÓN AMBIENTAL</t>
        </is>
      </c>
      <c r="E75" t="inlineStr">
        <is>
          <t>Semestral</t>
        </is>
      </c>
      <c r="F75" t="inlineStr">
        <is>
          <t>Positivo</t>
        </is>
      </c>
      <c r="G75" t="inlineStr">
        <is>
          <t>Multiserie</t>
        </is>
      </c>
      <c r="H75" t="inlineStr">
        <is>
          <t>Activo</t>
        </is>
      </c>
      <c r="I75" t="inlineStr">
        <is>
          <t>API</t>
        </is>
      </c>
      <c r="J75" t="inlineStr">
        <is>
          <t>Promedio</t>
        </is>
      </c>
      <c r="K75" t="inlineStr"/>
      <c r="L75" t="inlineStr">
        <is>
          <t>%</t>
        </is>
      </c>
    </row>
    <row r="76">
      <c r="A76" t="n">
        <v>216</v>
      </c>
      <c r="B76" t="inlineStr">
        <is>
          <t>Disposición Ambientalmente Adecuada de Residuos Peligrosos</t>
        </is>
      </c>
      <c r="C76" t="inlineStr">
        <is>
          <t>Estratégico</t>
        </is>
      </c>
      <c r="D76" t="inlineStr">
        <is>
          <t>GESTIÓN AMBIENTAL</t>
        </is>
      </c>
      <c r="E76" t="inlineStr">
        <is>
          <t>Anual</t>
        </is>
      </c>
      <c r="F76" t="inlineStr">
        <is>
          <t>Positivo</t>
        </is>
      </c>
      <c r="G76" t="inlineStr">
        <is>
          <t>Multiserie</t>
        </is>
      </c>
      <c r="H76" t="inlineStr">
        <is>
          <t>Activo</t>
        </is>
      </c>
      <c r="I76" t="inlineStr">
        <is>
          <t>API</t>
        </is>
      </c>
      <c r="J76" t="inlineStr">
        <is>
          <t>Promedio</t>
        </is>
      </c>
      <c r="K76" t="inlineStr"/>
      <c r="L76" t="inlineStr">
        <is>
          <t>%</t>
        </is>
      </c>
    </row>
    <row r="77">
      <c r="A77" t="n">
        <v>217</v>
      </c>
      <c r="B77" t="inlineStr">
        <is>
          <t>Aprovechamiento de Residuos</t>
        </is>
      </c>
      <c r="C77" t="inlineStr">
        <is>
          <t>Estratégico</t>
        </is>
      </c>
      <c r="D77" t="inlineStr">
        <is>
          <t>GESTIÓN AMBIENTAL</t>
        </is>
      </c>
      <c r="E77" t="inlineStr">
        <is>
          <t>Mensual</t>
        </is>
      </c>
      <c r="F77" t="inlineStr">
        <is>
          <t>Positivo</t>
        </is>
      </c>
      <c r="G77" t="inlineStr">
        <is>
          <t>Multiserie</t>
        </is>
      </c>
      <c r="H77" t="inlineStr">
        <is>
          <t>Activo</t>
        </is>
      </c>
      <c r="I77" t="inlineStr">
        <is>
          <t>API</t>
        </is>
      </c>
      <c r="J77" t="inlineStr">
        <is>
          <t>Acumulado</t>
        </is>
      </c>
      <c r="K77" t="inlineStr"/>
      <c r="L77" t="inlineStr">
        <is>
          <t>%</t>
        </is>
      </c>
    </row>
    <row r="78">
      <c r="A78" t="n">
        <v>218</v>
      </c>
      <c r="B78" t="inlineStr">
        <is>
          <t>Consumo de Energía Eléctrica kWh Mensual</t>
        </is>
      </c>
      <c r="C78" t="inlineStr">
        <is>
          <t>Operativo</t>
        </is>
      </c>
      <c r="D78" t="inlineStr">
        <is>
          <t>GESTIÓN AMBIENTAL</t>
        </is>
      </c>
      <c r="E78" t="inlineStr">
        <is>
          <t>Mensual</t>
        </is>
      </c>
      <c r="F78" t="inlineStr">
        <is>
          <t>Negativo</t>
        </is>
      </c>
      <c r="G78" t="inlineStr">
        <is>
          <t>Multiserie</t>
        </is>
      </c>
      <c r="H78" t="inlineStr">
        <is>
          <t>Activo</t>
        </is>
      </c>
      <c r="I78" t="inlineStr">
        <is>
          <t>API</t>
        </is>
      </c>
      <c r="J78" t="inlineStr">
        <is>
          <t>Acumulado</t>
        </is>
      </c>
      <c r="K78" t="inlineStr"/>
      <c r="L78" t="inlineStr">
        <is>
          <t>kWh</t>
        </is>
      </c>
    </row>
    <row r="79">
      <c r="A79" t="n">
        <v>219</v>
      </c>
      <c r="B79" t="inlineStr">
        <is>
          <t>Disminución del Consumo de Energía Eléctrica per Cápita</t>
        </is>
      </c>
      <c r="C79" t="inlineStr">
        <is>
          <t>Operativo</t>
        </is>
      </c>
      <c r="D79" t="inlineStr">
        <is>
          <t>GESTIÓN AMBIENTAL</t>
        </is>
      </c>
      <c r="E79" t="inlineStr">
        <is>
          <t>Semestral</t>
        </is>
      </c>
      <c r="F79" t="inlineStr">
        <is>
          <t>Positivo</t>
        </is>
      </c>
      <c r="G79" t="inlineStr">
        <is>
          <t>Multiserie</t>
        </is>
      </c>
      <c r="H79" t="inlineStr">
        <is>
          <t>Activo</t>
        </is>
      </c>
      <c r="I79" t="inlineStr">
        <is>
          <t>API</t>
        </is>
      </c>
      <c r="J79" t="inlineStr">
        <is>
          <t>Promedio</t>
        </is>
      </c>
      <c r="K79" t="inlineStr"/>
      <c r="L79" t="inlineStr">
        <is>
          <t>%</t>
        </is>
      </c>
    </row>
    <row r="80">
      <c r="A80" t="n">
        <v>220</v>
      </c>
      <c r="B80" t="inlineStr">
        <is>
          <t>Disminución del Consumo de Agua per Cápita</t>
        </is>
      </c>
      <c r="C80" t="inlineStr">
        <is>
          <t>Operativo</t>
        </is>
      </c>
      <c r="D80" t="inlineStr">
        <is>
          <t>GESTIÓN AMBIENTAL</t>
        </is>
      </c>
      <c r="E80" t="inlineStr">
        <is>
          <t>Semestral</t>
        </is>
      </c>
      <c r="F80" t="inlineStr">
        <is>
          <t>Positivo</t>
        </is>
      </c>
      <c r="G80" t="inlineStr">
        <is>
          <t>Multiserie</t>
        </is>
      </c>
      <c r="H80" t="inlineStr">
        <is>
          <t>Activo</t>
        </is>
      </c>
      <c r="I80" t="inlineStr">
        <is>
          <t>API</t>
        </is>
      </c>
      <c r="J80" t="inlineStr">
        <is>
          <t>Promedio</t>
        </is>
      </c>
      <c r="K80" t="inlineStr"/>
      <c r="L80" t="inlineStr">
        <is>
          <t>%</t>
        </is>
      </c>
    </row>
    <row r="81">
      <c r="A81" t="n">
        <v>221</v>
      </c>
      <c r="B81" t="inlineStr">
        <is>
          <t>Riesgo de la Calidad del Agua Potable</t>
        </is>
      </c>
      <c r="C81" t="inlineStr">
        <is>
          <t>Operativo</t>
        </is>
      </c>
      <c r="D81" t="inlineStr">
        <is>
          <t>GESTIÓN AMBIENTAL</t>
        </is>
      </c>
      <c r="E81" t="inlineStr">
        <is>
          <t>Anual</t>
        </is>
      </c>
      <c r="F81" t="inlineStr">
        <is>
          <t>Positivo</t>
        </is>
      </c>
      <c r="G81" t="inlineStr">
        <is>
          <t>Multiserie</t>
        </is>
      </c>
      <c r="H81" t="inlineStr">
        <is>
          <t>Activo</t>
        </is>
      </c>
      <c r="I81" t="inlineStr">
        <is>
          <t>API</t>
        </is>
      </c>
      <c r="J81" t="inlineStr">
        <is>
          <t>Promedio</t>
        </is>
      </c>
      <c r="K81" t="inlineStr"/>
      <c r="L81" t="inlineStr">
        <is>
          <t>%</t>
        </is>
      </c>
    </row>
    <row r="82">
      <c r="A82" t="n">
        <v>222</v>
      </c>
      <c r="B82" t="inlineStr">
        <is>
          <t>Calidad de las Aguas Residuales Domesticas</t>
        </is>
      </c>
      <c r="C82" t="inlineStr">
        <is>
          <t>Operativo</t>
        </is>
      </c>
      <c r="D82" t="inlineStr">
        <is>
          <t>GESTIÓN AMBIENTAL</t>
        </is>
      </c>
      <c r="E82" t="inlineStr">
        <is>
          <t>Anual</t>
        </is>
      </c>
      <c r="F82" t="inlineStr">
        <is>
          <t>Positivo</t>
        </is>
      </c>
      <c r="G82" t="inlineStr">
        <is>
          <t>Multiserie</t>
        </is>
      </c>
      <c r="H82" t="inlineStr">
        <is>
          <t>Activo</t>
        </is>
      </c>
      <c r="I82" t="inlineStr">
        <is>
          <t>API</t>
        </is>
      </c>
      <c r="J82" t="inlineStr">
        <is>
          <t>Acumulado</t>
        </is>
      </c>
      <c r="K82" t="inlineStr"/>
      <c r="L82" t="inlineStr">
        <is>
          <t>%</t>
        </is>
      </c>
    </row>
    <row r="83">
      <c r="A83" t="n">
        <v>223</v>
      </c>
      <c r="B83" t="inlineStr">
        <is>
          <t>Registro de Publicidad Exterior Visual</t>
        </is>
      </c>
      <c r="C83" t="inlineStr">
        <is>
          <t>Operativo</t>
        </is>
      </c>
      <c r="D83" t="inlineStr">
        <is>
          <t>GESTIÓN AMBIENTAL</t>
        </is>
      </c>
      <c r="E83" t="inlineStr">
        <is>
          <t>Anual</t>
        </is>
      </c>
      <c r="F83" t="inlineStr">
        <is>
          <t>Positivo</t>
        </is>
      </c>
      <c r="G83" t="inlineStr">
        <is>
          <t>Multiserie</t>
        </is>
      </c>
      <c r="H83" t="inlineStr">
        <is>
          <t>Activo</t>
        </is>
      </c>
      <c r="I83" t="inlineStr">
        <is>
          <t>API</t>
        </is>
      </c>
      <c r="J83" t="inlineStr">
        <is>
          <t>Cierre</t>
        </is>
      </c>
      <c r="K83" t="inlineStr"/>
      <c r="L83" t="inlineStr">
        <is>
          <t>%</t>
        </is>
      </c>
    </row>
    <row r="84">
      <c r="A84" t="n">
        <v>224</v>
      </c>
      <c r="B84" t="inlineStr">
        <is>
          <t>Cumplimiento Nivel de Emisión de Ruido</t>
        </is>
      </c>
      <c r="C84" t="inlineStr">
        <is>
          <t>Operativo</t>
        </is>
      </c>
      <c r="D84" t="inlineStr">
        <is>
          <t>GESTIÓN AMBIENTAL</t>
        </is>
      </c>
      <c r="E84" t="inlineStr">
        <is>
          <t>Anual</t>
        </is>
      </c>
      <c r="F84" t="inlineStr">
        <is>
          <t>Positivo</t>
        </is>
      </c>
      <c r="G84" t="inlineStr">
        <is>
          <t>Multiserie</t>
        </is>
      </c>
      <c r="H84" t="inlineStr">
        <is>
          <t>Activo</t>
        </is>
      </c>
      <c r="I84" t="inlineStr">
        <is>
          <t>API</t>
        </is>
      </c>
      <c r="J84" t="inlineStr">
        <is>
          <t>Acumulado</t>
        </is>
      </c>
      <c r="K84" t="inlineStr"/>
      <c r="L84" t="inlineStr">
        <is>
          <t>%</t>
        </is>
      </c>
    </row>
    <row r="85">
      <c r="A85" t="n">
        <v>225</v>
      </c>
      <c r="B85" t="inlineStr">
        <is>
          <t>Acciones para el Cuidado y Mantenimiento de las Especies de Flora y el Suelo de las Áreas Naturales</t>
        </is>
      </c>
      <c r="C85" t="inlineStr">
        <is>
          <t>Operativo</t>
        </is>
      </c>
      <c r="D85" t="inlineStr">
        <is>
          <t>GESTIÓN AMBIENTAL</t>
        </is>
      </c>
      <c r="E85" t="inlineStr">
        <is>
          <t>Mensual</t>
        </is>
      </c>
      <c r="F85" t="inlineStr">
        <is>
          <t>Positivo</t>
        </is>
      </c>
      <c r="G85" t="inlineStr">
        <is>
          <t>Multiserie</t>
        </is>
      </c>
      <c r="H85" t="inlineStr">
        <is>
          <t>Activo</t>
        </is>
      </c>
      <c r="I85" t="inlineStr">
        <is>
          <t>API</t>
        </is>
      </c>
      <c r="J85" t="inlineStr">
        <is>
          <t>Promedio</t>
        </is>
      </c>
      <c r="K85" t="inlineStr"/>
      <c r="L85" t="inlineStr">
        <is>
          <t>%</t>
        </is>
      </c>
    </row>
    <row r="86">
      <c r="A86" t="n">
        <v>226</v>
      </c>
      <c r="B86" t="inlineStr">
        <is>
          <t>Generación de Gases de Efecto Invernadero</t>
        </is>
      </c>
      <c r="C86" t="inlineStr">
        <is>
          <t>Operativo</t>
        </is>
      </c>
      <c r="D86" t="inlineStr">
        <is>
          <t>GESTIÓN AMBIENTAL</t>
        </is>
      </c>
      <c r="E86" t="inlineStr">
        <is>
          <t>Anual</t>
        </is>
      </c>
      <c r="F86" t="inlineStr">
        <is>
          <t>Positivo</t>
        </is>
      </c>
      <c r="G86" t="inlineStr">
        <is>
          <t>Multiserie</t>
        </is>
      </c>
      <c r="H86" t="inlineStr">
        <is>
          <t>Activo</t>
        </is>
      </c>
      <c r="I86" t="inlineStr">
        <is>
          <t>API</t>
        </is>
      </c>
      <c r="J86" t="inlineStr">
        <is>
          <t>Cierre</t>
        </is>
      </c>
      <c r="K86" t="inlineStr"/>
      <c r="L86" t="inlineStr">
        <is>
          <t>%</t>
        </is>
      </c>
    </row>
    <row r="87">
      <c r="A87" t="n">
        <v>227</v>
      </c>
      <c r="B87" t="inlineStr">
        <is>
          <t>Generación de Gases de Efecto Invernadero per Cápita</t>
        </is>
      </c>
      <c r="C87" t="inlineStr">
        <is>
          <t>Operativo</t>
        </is>
      </c>
      <c r="D87" t="inlineStr">
        <is>
          <t>GESTIÓN AMBIENTAL</t>
        </is>
      </c>
      <c r="E87" t="inlineStr">
        <is>
          <t>Anual</t>
        </is>
      </c>
      <c r="F87" t="inlineStr">
        <is>
          <t>Negativo</t>
        </is>
      </c>
      <c r="G87" t="inlineStr">
        <is>
          <t>Multiserie</t>
        </is>
      </c>
      <c r="H87" t="inlineStr">
        <is>
          <t>Activo</t>
        </is>
      </c>
      <c r="I87" t="inlineStr">
        <is>
          <t>API</t>
        </is>
      </c>
      <c r="J87" t="inlineStr">
        <is>
          <t>Promedio</t>
        </is>
      </c>
      <c r="K87" t="inlineStr"/>
      <c r="L87" t="inlineStr">
        <is>
          <t>%</t>
        </is>
      </c>
    </row>
    <row r="88">
      <c r="A88" t="n">
        <v>228</v>
      </c>
      <c r="B88" t="inlineStr">
        <is>
          <t>Compensación de Gases de Efecto Invernadero</t>
        </is>
      </c>
      <c r="C88" t="inlineStr">
        <is>
          <t>Operativo</t>
        </is>
      </c>
      <c r="D88" t="inlineStr">
        <is>
          <t>GESTIÓN AMBIENTAL</t>
        </is>
      </c>
      <c r="E88" t="inlineStr">
        <is>
          <t>Anual</t>
        </is>
      </c>
      <c r="F88" t="inlineStr">
        <is>
          <t>Positivo</t>
        </is>
      </c>
      <c r="G88" t="inlineStr">
        <is>
          <t>Multiserie</t>
        </is>
      </c>
      <c r="H88" t="inlineStr">
        <is>
          <t>Activo</t>
        </is>
      </c>
      <c r="I88" t="inlineStr">
        <is>
          <t>API</t>
        </is>
      </c>
      <c r="J88" t="inlineStr">
        <is>
          <t>Cierre</t>
        </is>
      </c>
      <c r="K88" t="inlineStr"/>
      <c r="L88" t="inlineStr">
        <is>
          <t>tCO2e</t>
        </is>
      </c>
    </row>
    <row r="89">
      <c r="A89" t="n">
        <v>230</v>
      </c>
      <c r="B89" t="inlineStr">
        <is>
          <t>Ejecución de Eventos de Formación en Materia Ambiental</t>
        </is>
      </c>
      <c r="C89" t="inlineStr">
        <is>
          <t>Operativo</t>
        </is>
      </c>
      <c r="D89" t="inlineStr">
        <is>
          <t>GESTIÓN AMBIENTAL</t>
        </is>
      </c>
      <c r="E89" t="inlineStr">
        <is>
          <t>Semestral</t>
        </is>
      </c>
      <c r="F89" t="inlineStr">
        <is>
          <t>Positivo</t>
        </is>
      </c>
      <c r="G89" t="inlineStr">
        <is>
          <t>Serie Unica</t>
        </is>
      </c>
      <c r="H89" t="inlineStr">
        <is>
          <t>Activo</t>
        </is>
      </c>
      <c r="I89" t="inlineStr">
        <is>
          <t>API</t>
        </is>
      </c>
      <c r="J89" t="inlineStr">
        <is>
          <t>Promedio</t>
        </is>
      </c>
      <c r="K89" t="inlineStr"/>
      <c r="L89" t="inlineStr">
        <is>
          <t>%</t>
        </is>
      </c>
    </row>
    <row r="90">
      <c r="A90" t="n">
        <v>231</v>
      </c>
      <c r="B90" t="inlineStr">
        <is>
          <t>Asistencia Eventos de Formación en Materia Ambiental</t>
        </is>
      </c>
      <c r="C90" t="inlineStr">
        <is>
          <t>Operativo</t>
        </is>
      </c>
      <c r="D90" t="inlineStr">
        <is>
          <t>GESTIÓN AMBIENTAL</t>
        </is>
      </c>
      <c r="E90" t="inlineStr">
        <is>
          <t>Semestral</t>
        </is>
      </c>
      <c r="F90" t="inlineStr">
        <is>
          <t>Positivo</t>
        </is>
      </c>
      <c r="G90" t="inlineStr">
        <is>
          <t>Serie Unica</t>
        </is>
      </c>
      <c r="H90" t="inlineStr">
        <is>
          <t>Activo</t>
        </is>
      </c>
      <c r="I90" t="inlineStr">
        <is>
          <t>API</t>
        </is>
      </c>
      <c r="J90" t="inlineStr">
        <is>
          <t>Acumulado</t>
        </is>
      </c>
      <c r="K90" t="inlineStr"/>
      <c r="L90" t="inlineStr">
        <is>
          <t>%</t>
        </is>
      </c>
    </row>
    <row r="91">
      <c r="A91" t="n">
        <v>232</v>
      </c>
      <c r="B91" t="inlineStr">
        <is>
          <t>Ejecución de las Comunicaciones en Materia Ambiental</t>
        </is>
      </c>
      <c r="C91" t="inlineStr">
        <is>
          <t>Operativo</t>
        </is>
      </c>
      <c r="D91" t="inlineStr">
        <is>
          <t>GESTIÓN AMBIENTAL</t>
        </is>
      </c>
      <c r="E91" t="inlineStr">
        <is>
          <t>Semestral</t>
        </is>
      </c>
      <c r="F91" t="inlineStr">
        <is>
          <t>Positivo</t>
        </is>
      </c>
      <c r="G91" t="inlineStr">
        <is>
          <t>Serie Unica</t>
        </is>
      </c>
      <c r="H91" t="inlineStr">
        <is>
          <t>Activo</t>
        </is>
      </c>
      <c r="I91" t="inlineStr">
        <is>
          <t>API</t>
        </is>
      </c>
      <c r="J91" t="inlineStr">
        <is>
          <t>Acumulado</t>
        </is>
      </c>
      <c r="K91" t="inlineStr"/>
      <c r="L91" t="inlineStr">
        <is>
          <t>%</t>
        </is>
      </c>
    </row>
    <row r="92">
      <c r="A92" t="n">
        <v>233</v>
      </c>
      <c r="B92" t="inlineStr">
        <is>
          <t>Impacto de las Comunicaciones Correo Electrónico</t>
        </is>
      </c>
      <c r="C92" t="inlineStr">
        <is>
          <t>Operativo</t>
        </is>
      </c>
      <c r="D92" t="inlineStr">
        <is>
          <t>GESTIÓN AMBIENTAL</t>
        </is>
      </c>
      <c r="E92" t="inlineStr">
        <is>
          <t>Trimestral</t>
        </is>
      </c>
      <c r="F92" t="inlineStr">
        <is>
          <t>Positivo</t>
        </is>
      </c>
      <c r="G92" t="inlineStr">
        <is>
          <t>Serie Unica</t>
        </is>
      </c>
      <c r="H92" t="inlineStr">
        <is>
          <t>Activo</t>
        </is>
      </c>
      <c r="I92" t="inlineStr">
        <is>
          <t>API</t>
        </is>
      </c>
      <c r="J92" t="inlineStr">
        <is>
          <t>Promedio</t>
        </is>
      </c>
      <c r="K92" t="inlineStr"/>
      <c r="L92" t="inlineStr">
        <is>
          <t>%</t>
        </is>
      </c>
    </row>
    <row r="93">
      <c r="A93" t="n">
        <v>234</v>
      </c>
      <c r="B93" t="inlineStr">
        <is>
          <t>Impacto de las Comunicaciones en Materia Ambiental a Través de Redes Sociales - Instagram</t>
        </is>
      </c>
      <c r="C93" t="inlineStr">
        <is>
          <t>Operativo</t>
        </is>
      </c>
      <c r="D93" t="inlineStr">
        <is>
          <t>GESTIÓN AMBIENTAL</t>
        </is>
      </c>
      <c r="E93" t="inlineStr">
        <is>
          <t>Trimestral</t>
        </is>
      </c>
      <c r="F93" t="inlineStr">
        <is>
          <t>Positivo</t>
        </is>
      </c>
      <c r="G93" t="inlineStr">
        <is>
          <t>Serie Unica</t>
        </is>
      </c>
      <c r="H93" t="inlineStr">
        <is>
          <t>Activo</t>
        </is>
      </c>
      <c r="I93" t="inlineStr">
        <is>
          <t>API</t>
        </is>
      </c>
      <c r="J93" t="inlineStr">
        <is>
          <t>Promedio</t>
        </is>
      </c>
      <c r="K93" t="inlineStr"/>
      <c r="L93" t="inlineStr">
        <is>
          <t>ENT</t>
        </is>
      </c>
    </row>
    <row r="94">
      <c r="A94" t="n">
        <v>235</v>
      </c>
      <c r="B94" t="inlineStr">
        <is>
          <t>Cumplimiento de Requisitos Legales Ambientales Aplicables</t>
        </is>
      </c>
      <c r="C94" t="inlineStr">
        <is>
          <t>Operativo</t>
        </is>
      </c>
      <c r="D94" t="inlineStr">
        <is>
          <t>GESTIÓN AMBIENTAL</t>
        </is>
      </c>
      <c r="E94" t="inlineStr">
        <is>
          <t>Anual</t>
        </is>
      </c>
      <c r="F94" t="inlineStr">
        <is>
          <t>Positivo</t>
        </is>
      </c>
      <c r="G94" t="inlineStr">
        <is>
          <t>Serie Unica</t>
        </is>
      </c>
      <c r="H94" t="inlineStr">
        <is>
          <t>Activo</t>
        </is>
      </c>
      <c r="I94" t="inlineStr">
        <is>
          <t>API</t>
        </is>
      </c>
      <c r="J94" t="inlineStr">
        <is>
          <t>Cierre</t>
        </is>
      </c>
      <c r="K94" t="inlineStr"/>
      <c r="L94" t="inlineStr">
        <is>
          <t>%</t>
        </is>
      </c>
    </row>
    <row r="95">
      <c r="A95" t="n">
        <v>236</v>
      </c>
      <c r="B95" t="inlineStr">
        <is>
          <t>Actos Administrativos o Decisiones Judiciales Ambientales</t>
        </is>
      </c>
      <c r="C95" t="inlineStr">
        <is>
          <t>Operativo</t>
        </is>
      </c>
      <c r="D95" t="inlineStr">
        <is>
          <t>GESTIÓN AMBIENTAL</t>
        </is>
      </c>
      <c r="E95" t="inlineStr">
        <is>
          <t>Anual</t>
        </is>
      </c>
      <c r="F95" t="inlineStr">
        <is>
          <t>Negativo</t>
        </is>
      </c>
      <c r="G95" t="inlineStr">
        <is>
          <t>Serie Unica</t>
        </is>
      </c>
      <c r="H95" t="inlineStr">
        <is>
          <t>Activo</t>
        </is>
      </c>
      <c r="I95" t="inlineStr">
        <is>
          <t>API</t>
        </is>
      </c>
      <c r="J95" t="inlineStr">
        <is>
          <t>Cierre</t>
        </is>
      </c>
      <c r="K95" t="inlineStr"/>
      <c r="L95" t="inlineStr">
        <is>
          <t>%</t>
        </is>
      </c>
    </row>
    <row r="96">
      <c r="A96" t="n">
        <v>238</v>
      </c>
      <c r="B96" t="inlineStr">
        <is>
          <t>Cumplimiento de la Protección del Medio Ambiente</t>
        </is>
      </c>
      <c r="C96" t="inlineStr">
        <is>
          <t>Estratégico</t>
        </is>
      </c>
      <c r="D96" t="inlineStr">
        <is>
          <t>GESTIÓN AMBIENTAL</t>
        </is>
      </c>
      <c r="E96" t="inlineStr">
        <is>
          <t>Trimestral</t>
        </is>
      </c>
      <c r="F96" t="inlineStr">
        <is>
          <t>Positivo</t>
        </is>
      </c>
      <c r="G96" t="inlineStr">
        <is>
          <t>Multiserie</t>
        </is>
      </c>
      <c r="H96" t="inlineStr">
        <is>
          <t>Activo</t>
        </is>
      </c>
      <c r="I96" t="inlineStr">
        <is>
          <t>API</t>
        </is>
      </c>
      <c r="J96" t="inlineStr">
        <is>
          <t>Promedio</t>
        </is>
      </c>
      <c r="K96" t="inlineStr"/>
      <c r="L96" t="inlineStr">
        <is>
          <t>%</t>
        </is>
      </c>
    </row>
    <row r="97">
      <c r="A97" t="n">
        <v>239</v>
      </c>
      <c r="B97" t="inlineStr">
        <is>
          <t>Portafolio de Proyectos - Metrica</t>
        </is>
      </c>
      <c r="C97" t="inlineStr">
        <is>
          <t>Operativo</t>
        </is>
      </c>
      <c r="D97" t="inlineStr">
        <is>
          <t>Gestión de Proyectos</t>
        </is>
      </c>
      <c r="E97" t="inlineStr">
        <is>
          <t>Mensual</t>
        </is>
      </c>
      <c r="F97" t="inlineStr">
        <is>
          <t>Positivo</t>
        </is>
      </c>
      <c r="G97" t="inlineStr">
        <is>
          <t>Multiserie</t>
        </is>
      </c>
      <c r="H97" t="inlineStr">
        <is>
          <t>Activo</t>
        </is>
      </c>
      <c r="I97" t="inlineStr">
        <is>
          <t>API</t>
        </is>
      </c>
      <c r="J97" t="inlineStr">
        <is>
          <t>Cierre</t>
        </is>
      </c>
      <c r="K97" t="inlineStr"/>
      <c r="L97" t="inlineStr">
        <is>
          <t>ENT</t>
        </is>
      </c>
    </row>
    <row r="98">
      <c r="A98" t="n">
        <v>240</v>
      </c>
      <c r="B98" t="inlineStr">
        <is>
          <t>Cumplimiento de Gestión De Proyectos Cerrados</t>
        </is>
      </c>
      <c r="C98" t="inlineStr">
        <is>
          <t>Operativo</t>
        </is>
      </c>
      <c r="D98" t="inlineStr">
        <is>
          <t>Gestión de Proyectos</t>
        </is>
      </c>
      <c r="E98" t="inlineStr">
        <is>
          <t>Trimestral</t>
        </is>
      </c>
      <c r="F98" t="inlineStr">
        <is>
          <t>Positivo</t>
        </is>
      </c>
      <c r="G98" t="inlineStr">
        <is>
          <t>Serie Unica</t>
        </is>
      </c>
      <c r="H98" t="inlineStr">
        <is>
          <t>Activo</t>
        </is>
      </c>
      <c r="I98" t="inlineStr">
        <is>
          <t>API</t>
        </is>
      </c>
      <c r="J98" t="inlineStr">
        <is>
          <t>Promedio</t>
        </is>
      </c>
      <c r="K98" t="inlineStr"/>
      <c r="L98" t="inlineStr">
        <is>
          <t>%</t>
        </is>
      </c>
    </row>
    <row r="99">
      <c r="A99" t="n">
        <v>241</v>
      </c>
      <c r="B99" t="inlineStr">
        <is>
          <t>Cumplimiento de gestión de proyectos fase inicio</t>
        </is>
      </c>
      <c r="C99" t="inlineStr">
        <is>
          <t>Operativo</t>
        </is>
      </c>
      <c r="D99" t="inlineStr">
        <is>
          <t>Gestión de Proyectos</t>
        </is>
      </c>
      <c r="E99" t="inlineStr">
        <is>
          <t>Mensual</t>
        </is>
      </c>
      <c r="F99" t="inlineStr">
        <is>
          <t>Positivo</t>
        </is>
      </c>
      <c r="G99" t="inlineStr">
        <is>
          <t>Serie Unica</t>
        </is>
      </c>
      <c r="H99" t="inlineStr">
        <is>
          <t>Activo</t>
        </is>
      </c>
      <c r="I99" t="inlineStr">
        <is>
          <t>API</t>
        </is>
      </c>
      <c r="J99" t="inlineStr">
        <is>
          <t>Promedio</t>
        </is>
      </c>
      <c r="K99" t="inlineStr"/>
      <c r="L99" t="inlineStr">
        <is>
          <t>%</t>
        </is>
      </c>
    </row>
    <row r="100">
      <c r="A100" t="n">
        <v>242</v>
      </c>
      <c r="B100" t="inlineStr">
        <is>
          <t>Cumplimiento a cronograma de proyectos</t>
        </is>
      </c>
      <c r="C100" t="inlineStr">
        <is>
          <t>Estratégico</t>
        </is>
      </c>
      <c r="D100" t="inlineStr">
        <is>
          <t>Gestión de Proyectos</t>
        </is>
      </c>
      <c r="E100" t="inlineStr">
        <is>
          <t>Mensual</t>
        </is>
      </c>
      <c r="F100" t="inlineStr">
        <is>
          <t>Positivo</t>
        </is>
      </c>
      <c r="G100" t="inlineStr"/>
      <c r="H100" t="inlineStr">
        <is>
          <t>Historico</t>
        </is>
      </c>
      <c r="I100" t="inlineStr">
        <is>
          <t>Historico</t>
        </is>
      </c>
      <c r="J100" t="inlineStr">
        <is>
          <t>Cierre</t>
        </is>
      </c>
      <c r="K100" t="inlineStr"/>
      <c r="L100" t="inlineStr">
        <is>
          <t>%</t>
        </is>
      </c>
    </row>
    <row r="101">
      <c r="A101" t="n">
        <v>243</v>
      </c>
      <c r="B101" t="inlineStr">
        <is>
          <t>Cumplimiento de gestión de proyectos control de cambios</t>
        </is>
      </c>
      <c r="C101" t="inlineStr">
        <is>
          <t>Operativo</t>
        </is>
      </c>
      <c r="D101" t="inlineStr">
        <is>
          <t>Gestión de Proyectos</t>
        </is>
      </c>
      <c r="E101" t="inlineStr">
        <is>
          <t>Mensual</t>
        </is>
      </c>
      <c r="F101" t="inlineStr">
        <is>
          <t>Negativo</t>
        </is>
      </c>
      <c r="G101" t="inlineStr"/>
      <c r="H101" t="inlineStr">
        <is>
          <t>Historico</t>
        </is>
      </c>
      <c r="I101" t="inlineStr">
        <is>
          <t>Historico</t>
        </is>
      </c>
      <c r="J101" t="inlineStr">
        <is>
          <t>Promedio</t>
        </is>
      </c>
      <c r="K101" t="inlineStr"/>
      <c r="L101" t="inlineStr">
        <is>
          <t>%</t>
        </is>
      </c>
    </row>
    <row r="102">
      <c r="A102" t="n">
        <v>244</v>
      </c>
      <c r="B102" t="inlineStr">
        <is>
          <t>GreenMetric - Nacional</t>
        </is>
      </c>
      <c r="C102" t="inlineStr">
        <is>
          <t>Estratégico</t>
        </is>
      </c>
      <c r="D102" t="inlineStr">
        <is>
          <t>GESTIÓN AMBIENTAL</t>
        </is>
      </c>
      <c r="E102" t="inlineStr">
        <is>
          <t>Anual</t>
        </is>
      </c>
      <c r="F102" t="inlineStr">
        <is>
          <t>Negativo</t>
        </is>
      </c>
      <c r="G102" t="inlineStr">
        <is>
          <t>Serie Unica</t>
        </is>
      </c>
      <c r="H102" t="inlineStr">
        <is>
          <t>Activo</t>
        </is>
      </c>
      <c r="I102" t="inlineStr">
        <is>
          <t>API</t>
        </is>
      </c>
      <c r="J102" t="inlineStr">
        <is>
          <t>Cierre</t>
        </is>
      </c>
      <c r="K102" t="inlineStr"/>
      <c r="L102" t="inlineStr">
        <is>
          <t>ENT</t>
        </is>
      </c>
    </row>
    <row r="103">
      <c r="A103" t="n">
        <v>245</v>
      </c>
      <c r="B103" t="inlineStr">
        <is>
          <t>Tasa de Permanencia Intersemestral</t>
        </is>
      </c>
      <c r="C103" t="inlineStr">
        <is>
          <t>Estratégico</t>
        </is>
      </c>
      <c r="D103" t="inlineStr">
        <is>
          <t>Permanencia</t>
        </is>
      </c>
      <c r="E103" t="inlineStr">
        <is>
          <t>Semestral</t>
        </is>
      </c>
      <c r="F103" t="inlineStr">
        <is>
          <t>Positivo</t>
        </is>
      </c>
      <c r="G103" t="inlineStr">
        <is>
          <t>Serie Unica</t>
        </is>
      </c>
      <c r="H103" t="inlineStr">
        <is>
          <t>Activo</t>
        </is>
      </c>
      <c r="I103" t="inlineStr">
        <is>
          <t>API</t>
        </is>
      </c>
      <c r="J103" t="inlineStr">
        <is>
          <t>Cierre</t>
        </is>
      </c>
      <c r="K103" t="inlineStr"/>
      <c r="L103" t="inlineStr">
        <is>
          <t>%</t>
        </is>
      </c>
    </row>
    <row r="104">
      <c r="A104" t="n">
        <v>246</v>
      </c>
      <c r="B104" t="inlineStr">
        <is>
          <t>Satisfacción del proceso de grados presencial</t>
        </is>
      </c>
      <c r="C104" t="inlineStr">
        <is>
          <t>Estratégico</t>
        </is>
      </c>
      <c r="D104" t="inlineStr">
        <is>
          <t>Registro y Control</t>
        </is>
      </c>
      <c r="E104" t="inlineStr">
        <is>
          <t>Semestral</t>
        </is>
      </c>
      <c r="F104" t="inlineStr">
        <is>
          <t>Positivo</t>
        </is>
      </c>
      <c r="G104" t="inlineStr">
        <is>
          <t>Serie Unica</t>
        </is>
      </c>
      <c r="H104" t="inlineStr">
        <is>
          <t>Activo</t>
        </is>
      </c>
      <c r="I104" t="inlineStr">
        <is>
          <t>API</t>
        </is>
      </c>
      <c r="J104" t="inlineStr">
        <is>
          <t>Cierre</t>
        </is>
      </c>
      <c r="K104" t="inlineStr"/>
      <c r="L104" t="inlineStr">
        <is>
          <t>%</t>
        </is>
      </c>
    </row>
    <row r="105">
      <c r="A105" t="n">
        <v>247</v>
      </c>
      <c r="B105" t="inlineStr">
        <is>
          <t>Solicitud de certificados</t>
        </is>
      </c>
      <c r="C105" t="inlineStr">
        <is>
          <t>Operativo</t>
        </is>
      </c>
      <c r="D105" t="inlineStr">
        <is>
          <t>Registro y Control</t>
        </is>
      </c>
      <c r="E105" t="inlineStr">
        <is>
          <t>Mensual</t>
        </is>
      </c>
      <c r="F105" t="inlineStr">
        <is>
          <t>Positivo</t>
        </is>
      </c>
      <c r="G105" t="inlineStr"/>
      <c r="H105" t="inlineStr">
        <is>
          <t>Historico</t>
        </is>
      </c>
      <c r="I105" t="inlineStr">
        <is>
          <t>Historico</t>
        </is>
      </c>
      <c r="J105" t="inlineStr">
        <is>
          <t>Promedio</t>
        </is>
      </c>
      <c r="K105" t="inlineStr"/>
      <c r="L105" t="inlineStr">
        <is>
          <t>DEC</t>
        </is>
      </c>
    </row>
    <row r="106">
      <c r="A106" t="n">
        <v>248</v>
      </c>
      <c r="B106" t="inlineStr">
        <is>
          <t>Programas con reforzamiento curricular</t>
        </is>
      </c>
      <c r="C106" t="inlineStr">
        <is>
          <t>Estratégico</t>
        </is>
      </c>
      <c r="D106" t="inlineStr">
        <is>
          <t>Gestión, Evaluación e Innovación Curricular</t>
        </is>
      </c>
      <c r="E106" t="inlineStr">
        <is>
          <t>Semestral</t>
        </is>
      </c>
      <c r="F106" t="inlineStr">
        <is>
          <t>Positivo</t>
        </is>
      </c>
      <c r="G106" t="inlineStr"/>
      <c r="H106" t="inlineStr">
        <is>
          <t>Historico</t>
        </is>
      </c>
      <c r="I106" t="inlineStr">
        <is>
          <t>Historico</t>
        </is>
      </c>
      <c r="J106" t="inlineStr">
        <is>
          <t>Acumulado</t>
        </is>
      </c>
      <c r="K106" t="inlineStr"/>
      <c r="L106" t="inlineStr">
        <is>
          <t>ENT</t>
        </is>
      </c>
    </row>
    <row r="107">
      <c r="A107" t="n">
        <v>249</v>
      </c>
      <c r="B107" t="inlineStr">
        <is>
          <t>Programas con matriz de resultado de aprendizaje</t>
        </is>
      </c>
      <c r="C107" t="inlineStr">
        <is>
          <t>Estratégico</t>
        </is>
      </c>
      <c r="D107" t="inlineStr">
        <is>
          <t>Gestión, Evaluación e Innovación Curricular</t>
        </is>
      </c>
      <c r="E107" t="inlineStr">
        <is>
          <t>Semestral</t>
        </is>
      </c>
      <c r="F107" t="inlineStr">
        <is>
          <t>Positivo</t>
        </is>
      </c>
      <c r="G107" t="inlineStr"/>
      <c r="H107" t="inlineStr">
        <is>
          <t>Historico</t>
        </is>
      </c>
      <c r="I107" t="inlineStr">
        <is>
          <t>Historico</t>
        </is>
      </c>
      <c r="J107" t="inlineStr">
        <is>
          <t>Acumulado</t>
        </is>
      </c>
      <c r="K107" t="inlineStr"/>
      <c r="L107" t="inlineStr">
        <is>
          <t>ENT</t>
        </is>
      </c>
    </row>
    <row r="108">
      <c r="A108" t="n">
        <v>251</v>
      </c>
      <c r="B108" t="inlineStr">
        <is>
          <t>Subprocesos Con indicadores definidos</t>
        </is>
      </c>
      <c r="C108" t="inlineStr">
        <is>
          <t>Estratégico</t>
        </is>
      </c>
      <c r="D108" t="inlineStr">
        <is>
          <t>Desempeño Institucional</t>
        </is>
      </c>
      <c r="E108" t="inlineStr">
        <is>
          <t>Trimestral</t>
        </is>
      </c>
      <c r="F108" t="inlineStr">
        <is>
          <t>Positivo</t>
        </is>
      </c>
      <c r="G108" t="inlineStr">
        <is>
          <t>Serie Unica</t>
        </is>
      </c>
      <c r="H108" t="inlineStr">
        <is>
          <t>Activo</t>
        </is>
      </c>
      <c r="I108" t="inlineStr">
        <is>
          <t>API</t>
        </is>
      </c>
      <c r="J108" t="inlineStr">
        <is>
          <t>Cierre</t>
        </is>
      </c>
      <c r="K108" t="inlineStr"/>
      <c r="L108" t="inlineStr">
        <is>
          <t>%</t>
        </is>
      </c>
    </row>
    <row r="109">
      <c r="A109" t="n">
        <v>252</v>
      </c>
      <c r="B109" t="inlineStr">
        <is>
          <t>Tasa de Permanencia Intersemestral de Estudiantes Ingresantes</t>
        </is>
      </c>
      <c r="C109" t="inlineStr">
        <is>
          <t>Estratégico</t>
        </is>
      </c>
      <c r="D109" t="inlineStr">
        <is>
          <t>Permanencia</t>
        </is>
      </c>
      <c r="E109" t="inlineStr">
        <is>
          <t>Semestral</t>
        </is>
      </c>
      <c r="F109" t="inlineStr">
        <is>
          <t>Positivo</t>
        </is>
      </c>
      <c r="G109" t="inlineStr">
        <is>
          <t>Serie Unica</t>
        </is>
      </c>
      <c r="H109" t="inlineStr">
        <is>
          <t>Activo</t>
        </is>
      </c>
      <c r="I109" t="inlineStr">
        <is>
          <t>API</t>
        </is>
      </c>
      <c r="J109" t="inlineStr">
        <is>
          <t>Cierre</t>
        </is>
      </c>
      <c r="K109" t="inlineStr"/>
      <c r="L109" t="inlineStr">
        <is>
          <t>%</t>
        </is>
      </c>
    </row>
    <row r="110">
      <c r="A110" t="n">
        <v>253</v>
      </c>
      <c r="B110" t="inlineStr">
        <is>
          <t>Oportunidad en la entrega de informes de auditoria</t>
        </is>
      </c>
      <c r="C110" t="inlineStr">
        <is>
          <t>Estratégico</t>
        </is>
      </c>
      <c r="D110" t="inlineStr">
        <is>
          <t>AUDITORÍA INTERNA</t>
        </is>
      </c>
      <c r="E110" t="inlineStr">
        <is>
          <t>Bimestral</t>
        </is>
      </c>
      <c r="F110" t="inlineStr">
        <is>
          <t>Negativo</t>
        </is>
      </c>
      <c r="G110" t="inlineStr"/>
      <c r="H110" t="inlineStr">
        <is>
          <t>Historico</t>
        </is>
      </c>
      <c r="I110" t="inlineStr">
        <is>
          <t>Historico</t>
        </is>
      </c>
      <c r="J110" t="inlineStr">
        <is>
          <t>Promedio</t>
        </is>
      </c>
      <c r="K110" t="inlineStr"/>
      <c r="L110" t="inlineStr">
        <is>
          <t>Días</t>
        </is>
      </c>
    </row>
    <row r="111">
      <c r="A111" t="n">
        <v>254</v>
      </c>
      <c r="B111" t="inlineStr">
        <is>
          <t>Áreas con reportes de plan de retos</t>
        </is>
      </c>
      <c r="C111" t="inlineStr">
        <is>
          <t>Estratégico</t>
        </is>
      </c>
      <c r="D111" t="inlineStr">
        <is>
          <t>Planeación Estratégica</t>
        </is>
      </c>
      <c r="E111" t="inlineStr">
        <is>
          <t>Trimestral</t>
        </is>
      </c>
      <c r="F111" t="inlineStr">
        <is>
          <t>Positivo</t>
        </is>
      </c>
      <c r="G111" t="inlineStr">
        <is>
          <t>Serie Unica</t>
        </is>
      </c>
      <c r="H111" t="inlineStr">
        <is>
          <t>Activo</t>
        </is>
      </c>
      <c r="I111" t="inlineStr">
        <is>
          <t>API</t>
        </is>
      </c>
      <c r="J111" t="inlineStr">
        <is>
          <t>Cierre</t>
        </is>
      </c>
      <c r="K111" t="inlineStr"/>
      <c r="L111" t="inlineStr">
        <is>
          <t>ENT</t>
        </is>
      </c>
    </row>
    <row r="112">
      <c r="A112" t="n">
        <v>255</v>
      </c>
      <c r="B112" t="inlineStr">
        <is>
          <t>Informe anual de índice H</t>
        </is>
      </c>
      <c r="C112" t="inlineStr">
        <is>
          <t>Estratégico</t>
        </is>
      </c>
      <c r="D112" t="inlineStr">
        <is>
          <t>Editorial y Publicaciones</t>
        </is>
      </c>
      <c r="E112" t="inlineStr">
        <is>
          <t>Anual</t>
        </is>
      </c>
      <c r="F112" t="inlineStr">
        <is>
          <t>Positivo</t>
        </is>
      </c>
      <c r="G112" t="inlineStr">
        <is>
          <t>Multiserie</t>
        </is>
      </c>
      <c r="H112" t="inlineStr">
        <is>
          <t>Activo</t>
        </is>
      </c>
      <c r="I112" t="inlineStr">
        <is>
          <t>API</t>
        </is>
      </c>
      <c r="J112" t="inlineStr">
        <is>
          <t>Cierre</t>
        </is>
      </c>
      <c r="K112" t="inlineStr"/>
      <c r="L112" t="inlineStr">
        <is>
          <t>ENT</t>
        </is>
      </c>
    </row>
    <row r="113">
      <c r="A113" t="n">
        <v>256</v>
      </c>
      <c r="B113" t="inlineStr">
        <is>
          <t>Publicaciones editadas por la editorial</t>
        </is>
      </c>
      <c r="C113" t="inlineStr">
        <is>
          <t>Estratégico</t>
        </is>
      </c>
      <c r="D113" t="inlineStr">
        <is>
          <t>Editorial y Publicaciones</t>
        </is>
      </c>
      <c r="E113" t="inlineStr">
        <is>
          <t>Semestral</t>
        </is>
      </c>
      <c r="F113" t="inlineStr">
        <is>
          <t>Positivo</t>
        </is>
      </c>
      <c r="G113" t="inlineStr">
        <is>
          <t>Serie Unica</t>
        </is>
      </c>
      <c r="H113" t="inlineStr">
        <is>
          <t>Activo</t>
        </is>
      </c>
      <c r="I113" t="inlineStr">
        <is>
          <t>API</t>
        </is>
      </c>
      <c r="J113" t="inlineStr">
        <is>
          <t>Acumulado</t>
        </is>
      </c>
      <c r="K113" t="inlineStr"/>
      <c r="L113" t="inlineStr">
        <is>
          <t>ENT</t>
        </is>
      </c>
    </row>
    <row r="114">
      <c r="A114" t="n">
        <v>257</v>
      </c>
      <c r="B114" t="inlineStr">
        <is>
          <t>N de publicaciones aprobadas en convocatorias</t>
        </is>
      </c>
      <c r="C114" t="inlineStr">
        <is>
          <t>Estratégico</t>
        </is>
      </c>
      <c r="D114" t="inlineStr">
        <is>
          <t>Editorial y Publicaciones</t>
        </is>
      </c>
      <c r="E114" t="inlineStr">
        <is>
          <t>Semestral</t>
        </is>
      </c>
      <c r="F114" t="inlineStr">
        <is>
          <t>Positivo</t>
        </is>
      </c>
      <c r="G114" t="inlineStr"/>
      <c r="H114" t="inlineStr">
        <is>
          <t>Historico</t>
        </is>
      </c>
      <c r="I114" t="inlineStr">
        <is>
          <t>Historico</t>
        </is>
      </c>
      <c r="J114" t="inlineStr">
        <is>
          <t>Cierre</t>
        </is>
      </c>
      <c r="K114" t="inlineStr"/>
      <c r="L114" t="inlineStr">
        <is>
          <t>ENT</t>
        </is>
      </c>
    </row>
    <row r="115">
      <c r="A115" t="n">
        <v>259</v>
      </c>
      <c r="B115" t="inlineStr">
        <is>
          <t>Subprocesos con indicadores reportados oportunamente</t>
        </is>
      </c>
      <c r="C115" t="inlineStr">
        <is>
          <t>Operativo</t>
        </is>
      </c>
      <c r="D115" t="inlineStr">
        <is>
          <t>Desempeño Institucional</t>
        </is>
      </c>
      <c r="E115" t="inlineStr">
        <is>
          <t>Trimestral</t>
        </is>
      </c>
      <c r="F115" t="inlineStr">
        <is>
          <t>Positivo</t>
        </is>
      </c>
      <c r="G115" t="inlineStr"/>
      <c r="H115" t="inlineStr">
        <is>
          <t>Historico</t>
        </is>
      </c>
      <c r="I115" t="inlineStr">
        <is>
          <t>Historico</t>
        </is>
      </c>
      <c r="J115" t="inlineStr">
        <is>
          <t>Cierre</t>
        </is>
      </c>
      <c r="K115" t="inlineStr"/>
      <c r="L115" t="inlineStr">
        <is>
          <t>%</t>
        </is>
      </c>
    </row>
    <row r="116">
      <c r="A116" t="n">
        <v>260</v>
      </c>
      <c r="B116" t="inlineStr">
        <is>
          <t>CES- Costumer Effort Score del proceso de Rematrícula</t>
        </is>
      </c>
      <c r="C116" t="inlineStr">
        <is>
          <t>Estratégico</t>
        </is>
      </c>
      <c r="D116" t="inlineStr">
        <is>
          <t>Rematrícula</t>
        </is>
      </c>
      <c r="E116" t="inlineStr">
        <is>
          <t>Semestral</t>
        </is>
      </c>
      <c r="F116" t="inlineStr">
        <is>
          <t>Negativo</t>
        </is>
      </c>
      <c r="G116" t="inlineStr">
        <is>
          <t>Serie Unica</t>
        </is>
      </c>
      <c r="H116" t="inlineStr">
        <is>
          <t>Activo</t>
        </is>
      </c>
      <c r="I116" t="inlineStr">
        <is>
          <t>API</t>
        </is>
      </c>
      <c r="J116" t="inlineStr">
        <is>
          <t>Cierre</t>
        </is>
      </c>
      <c r="K116" t="inlineStr"/>
      <c r="L116" t="inlineStr">
        <is>
          <t>DEC</t>
        </is>
      </c>
    </row>
    <row r="117">
      <c r="A117" t="n">
        <v>261</v>
      </c>
      <c r="B117" t="inlineStr">
        <is>
          <t>CES- Costumer Effort Score del proceso de Saber Pro</t>
        </is>
      </c>
      <c r="C117" t="inlineStr">
        <is>
          <t>Estratégico</t>
        </is>
      </c>
      <c r="D117" t="inlineStr">
        <is>
          <t>Servicio</t>
        </is>
      </c>
      <c r="E117" t="inlineStr">
        <is>
          <t>Semestral</t>
        </is>
      </c>
      <c r="F117" t="inlineStr">
        <is>
          <t>Negativo</t>
        </is>
      </c>
      <c r="G117" t="inlineStr">
        <is>
          <t>Serie Unica</t>
        </is>
      </c>
      <c r="H117" t="inlineStr">
        <is>
          <t>Activo</t>
        </is>
      </c>
      <c r="I117" t="inlineStr">
        <is>
          <t>API</t>
        </is>
      </c>
      <c r="J117" t="inlineStr">
        <is>
          <t>Cierre</t>
        </is>
      </c>
      <c r="K117" t="inlineStr"/>
      <c r="L117" t="inlineStr">
        <is>
          <t>DEC</t>
        </is>
      </c>
    </row>
    <row r="118">
      <c r="A118" t="n">
        <v>262</v>
      </c>
      <c r="B118" t="inlineStr">
        <is>
          <t>Reducción de número de sentencias condenatorias en contra del Poli</t>
        </is>
      </c>
      <c r="C118" t="inlineStr">
        <is>
          <t>Estratégico</t>
        </is>
      </c>
      <c r="D118" t="inlineStr">
        <is>
          <t>GESTIÓN JURÍDICA Y NORMATIVA</t>
        </is>
      </c>
      <c r="E118" t="inlineStr">
        <is>
          <t>Semestral</t>
        </is>
      </c>
      <c r="F118" t="inlineStr">
        <is>
          <t>Negativo</t>
        </is>
      </c>
      <c r="G118" t="inlineStr">
        <is>
          <t>Serie Unica</t>
        </is>
      </c>
      <c r="H118" t="inlineStr">
        <is>
          <t>Activo</t>
        </is>
      </c>
      <c r="I118" t="inlineStr">
        <is>
          <t>API</t>
        </is>
      </c>
      <c r="J118" t="inlineStr">
        <is>
          <t>Cierre</t>
        </is>
      </c>
      <c r="K118" t="inlineStr"/>
      <c r="L118" t="inlineStr">
        <is>
          <t>%</t>
        </is>
      </c>
    </row>
    <row r="119">
      <c r="A119" t="n">
        <v>263</v>
      </c>
      <c r="B119" t="inlineStr">
        <is>
          <t>Oportunidad de respuesta de PQRS</t>
        </is>
      </c>
      <c r="C119" t="inlineStr">
        <is>
          <t>Estratégico</t>
        </is>
      </c>
      <c r="D119" t="inlineStr">
        <is>
          <t>GESTIÓN JURÍDICA Y NORMATIVA</t>
        </is>
      </c>
      <c r="E119" t="inlineStr">
        <is>
          <t>Trimestral</t>
        </is>
      </c>
      <c r="F119" t="inlineStr">
        <is>
          <t>Positivo</t>
        </is>
      </c>
      <c r="G119" t="inlineStr">
        <is>
          <t>Serie Unica</t>
        </is>
      </c>
      <c r="H119" t="inlineStr">
        <is>
          <t>Activo</t>
        </is>
      </c>
      <c r="I119" t="inlineStr">
        <is>
          <t>API</t>
        </is>
      </c>
      <c r="J119" t="inlineStr">
        <is>
          <t>Promedio</t>
        </is>
      </c>
      <c r="K119" t="inlineStr"/>
      <c r="L119" t="inlineStr">
        <is>
          <t>%</t>
        </is>
      </c>
    </row>
    <row r="120">
      <c r="A120" t="n">
        <v>264</v>
      </c>
      <c r="B120" t="inlineStr">
        <is>
          <t>Eficiencia Emisión De Conceptos Jurídicos (Educación)</t>
        </is>
      </c>
      <c r="C120" t="inlineStr">
        <is>
          <t>Estratégico</t>
        </is>
      </c>
      <c r="D120" t="inlineStr">
        <is>
          <t>GESTIÓN JURÍDICA Y NORMATIVA</t>
        </is>
      </c>
      <c r="E120" t="inlineStr">
        <is>
          <t>Semestral</t>
        </is>
      </c>
      <c r="F120" t="inlineStr">
        <is>
          <t>Positivo</t>
        </is>
      </c>
      <c r="G120" t="inlineStr"/>
      <c r="H120" t="inlineStr">
        <is>
          <t>Historico</t>
        </is>
      </c>
      <c r="I120" t="inlineStr">
        <is>
          <t>Historico</t>
        </is>
      </c>
      <c r="J120" t="inlineStr">
        <is>
          <t>Promedio</t>
        </is>
      </c>
      <c r="K120" t="inlineStr"/>
      <c r="L120" t="inlineStr">
        <is>
          <t>%</t>
        </is>
      </c>
    </row>
    <row r="121">
      <c r="A121" t="n">
        <v>265</v>
      </c>
      <c r="B121" t="inlineStr">
        <is>
          <t>Eficiencia Emisión De Conceptos Jurídicos (Jurídicos)</t>
        </is>
      </c>
      <c r="C121" t="inlineStr">
        <is>
          <t>Estratégico</t>
        </is>
      </c>
      <c r="D121" t="inlineStr">
        <is>
          <t>GESTIÓN JURÍDICA Y NORMATIVA</t>
        </is>
      </c>
      <c r="E121" t="inlineStr">
        <is>
          <t>Trimestral</t>
        </is>
      </c>
      <c r="F121" t="inlineStr">
        <is>
          <t>Positivo</t>
        </is>
      </c>
      <c r="G121" t="inlineStr">
        <is>
          <t>Serie Unica</t>
        </is>
      </c>
      <c r="H121" t="inlineStr">
        <is>
          <t>Activo</t>
        </is>
      </c>
      <c r="I121" t="inlineStr">
        <is>
          <t>API</t>
        </is>
      </c>
      <c r="J121" t="inlineStr">
        <is>
          <t>Promedio</t>
        </is>
      </c>
      <c r="K121" t="inlineStr"/>
      <c r="L121" t="inlineStr">
        <is>
          <t>%</t>
        </is>
      </c>
    </row>
    <row r="122">
      <c r="A122" t="n">
        <v>266</v>
      </c>
      <c r="B122" t="inlineStr">
        <is>
          <t>Oportunidad en la elaboración de contratos</t>
        </is>
      </c>
      <c r="C122" t="inlineStr">
        <is>
          <t>Estratégico</t>
        </is>
      </c>
      <c r="D122" t="inlineStr">
        <is>
          <t>GESTIÓN JURÍDICA Y NORMATIVA</t>
        </is>
      </c>
      <c r="E122" t="inlineStr">
        <is>
          <t>Trimestral</t>
        </is>
      </c>
      <c r="F122" t="inlineStr">
        <is>
          <t>Positivo</t>
        </is>
      </c>
      <c r="G122" t="inlineStr">
        <is>
          <t>Serie Unica</t>
        </is>
      </c>
      <c r="H122" t="inlineStr">
        <is>
          <t>Activo</t>
        </is>
      </c>
      <c r="I122" t="inlineStr">
        <is>
          <t>API</t>
        </is>
      </c>
      <c r="J122" t="inlineStr">
        <is>
          <t>Promedio</t>
        </is>
      </c>
      <c r="K122" t="inlineStr"/>
      <c r="L122" t="inlineStr">
        <is>
          <t>%</t>
        </is>
      </c>
    </row>
    <row r="123">
      <c r="A123" t="n">
        <v>268</v>
      </c>
      <c r="B123" t="inlineStr">
        <is>
          <t>Cantidad de usuarios - (Metrica)</t>
        </is>
      </c>
      <c r="C123" t="inlineStr">
        <is>
          <t>Estratégico</t>
        </is>
      </c>
      <c r="D123" t="inlineStr">
        <is>
          <t>Centro de Medios Audiovisuales</t>
        </is>
      </c>
      <c r="E123" t="inlineStr">
        <is>
          <t>Semestral</t>
        </is>
      </c>
      <c r="F123" t="inlineStr">
        <is>
          <t>Positivo</t>
        </is>
      </c>
      <c r="G123" t="inlineStr">
        <is>
          <t>Serie Unica</t>
        </is>
      </c>
      <c r="H123" t="inlineStr">
        <is>
          <t>Activo</t>
        </is>
      </c>
      <c r="I123" t="inlineStr">
        <is>
          <t>API</t>
        </is>
      </c>
      <c r="J123" t="inlineStr">
        <is>
          <t>Cierre</t>
        </is>
      </c>
      <c r="K123" t="inlineStr"/>
      <c r="L123" t="inlineStr">
        <is>
          <t>ENT</t>
        </is>
      </c>
    </row>
    <row r="124">
      <c r="A124" t="n">
        <v>269</v>
      </c>
      <c r="B124" t="inlineStr">
        <is>
          <t>N de personas promedio por evento - (Metrica)</t>
        </is>
      </c>
      <c r="C124" t="inlineStr">
        <is>
          <t>Operativo</t>
        </is>
      </c>
      <c r="D124" t="inlineStr">
        <is>
          <t>Centro de Medios Audiovisuales</t>
        </is>
      </c>
      <c r="E124" t="inlineStr">
        <is>
          <t>Semestral</t>
        </is>
      </c>
      <c r="F124" t="inlineStr">
        <is>
          <t>Positivo</t>
        </is>
      </c>
      <c r="G124" t="inlineStr">
        <is>
          <t>Serie Unica</t>
        </is>
      </c>
      <c r="H124" t="inlineStr">
        <is>
          <t>Activo</t>
        </is>
      </c>
      <c r="I124" t="inlineStr">
        <is>
          <t>API</t>
        </is>
      </c>
      <c r="J124" t="inlineStr">
        <is>
          <t>Cierre</t>
        </is>
      </c>
      <c r="K124" t="inlineStr"/>
      <c r="L124" t="inlineStr">
        <is>
          <t>DEC</t>
        </is>
      </c>
    </row>
    <row r="125">
      <c r="A125" t="n">
        <v>270</v>
      </c>
      <c r="B125" t="inlineStr">
        <is>
          <t>N de horas promedio por evento - (Metrica)</t>
        </is>
      </c>
      <c r="C125" t="inlineStr">
        <is>
          <t>Operativo</t>
        </is>
      </c>
      <c r="D125" t="inlineStr">
        <is>
          <t>Centro de Medios Audiovisuales</t>
        </is>
      </c>
      <c r="E125" t="inlineStr">
        <is>
          <t>Semestral</t>
        </is>
      </c>
      <c r="F125" t="inlineStr">
        <is>
          <t>Positivo</t>
        </is>
      </c>
      <c r="G125" t="inlineStr">
        <is>
          <t>Serie Unica</t>
        </is>
      </c>
      <c r="H125" t="inlineStr">
        <is>
          <t>Activo</t>
        </is>
      </c>
      <c r="I125" t="inlineStr">
        <is>
          <t>API</t>
        </is>
      </c>
      <c r="J125" t="inlineStr">
        <is>
          <t>Cierre</t>
        </is>
      </c>
      <c r="K125" t="inlineStr"/>
      <c r="L125" t="inlineStr">
        <is>
          <t>ENT</t>
        </is>
      </c>
    </row>
    <row r="126">
      <c r="A126" t="n">
        <v>271</v>
      </c>
      <c r="B126" t="inlineStr">
        <is>
          <t>N de horas por solicitud - (Metrica)</t>
        </is>
      </c>
      <c r="C126" t="inlineStr">
        <is>
          <t>Operativo</t>
        </is>
      </c>
      <c r="D126" t="inlineStr">
        <is>
          <t>Centro de Medios Audiovisuales</t>
        </is>
      </c>
      <c r="E126" t="inlineStr">
        <is>
          <t>Semestral</t>
        </is>
      </c>
      <c r="F126" t="inlineStr">
        <is>
          <t>Positivo</t>
        </is>
      </c>
      <c r="G126" t="inlineStr">
        <is>
          <t>Serie Unica</t>
        </is>
      </c>
      <c r="H126" t="inlineStr">
        <is>
          <t>Activo</t>
        </is>
      </c>
      <c r="I126" t="inlineStr">
        <is>
          <t>API</t>
        </is>
      </c>
      <c r="J126" t="inlineStr">
        <is>
          <t>Cierre</t>
        </is>
      </c>
      <c r="K126" t="inlineStr"/>
      <c r="L126" t="inlineStr">
        <is>
          <t>ENT</t>
        </is>
      </c>
    </row>
    <row r="127">
      <c r="A127" t="n">
        <v>272</v>
      </c>
      <c r="B127" t="inlineStr">
        <is>
          <t>Proporción de accidentes de trabajo mortales</t>
        </is>
      </c>
      <c r="C127" t="inlineStr">
        <is>
          <t>Estratégico</t>
        </is>
      </c>
      <c r="D127" t="inlineStr">
        <is>
          <t>GESTIÓN DE SEGURIDAD Y SALUD EN EL TRABAJO</t>
        </is>
      </c>
      <c r="E127" t="inlineStr">
        <is>
          <t>Anual</t>
        </is>
      </c>
      <c r="F127" t="inlineStr">
        <is>
          <t>Negativo</t>
        </is>
      </c>
      <c r="G127" t="inlineStr">
        <is>
          <t>Serie Unica</t>
        </is>
      </c>
      <c r="H127" t="inlineStr">
        <is>
          <t>Activo</t>
        </is>
      </c>
      <c r="I127" t="inlineStr">
        <is>
          <t>API</t>
        </is>
      </c>
      <c r="J127" t="inlineStr">
        <is>
          <t>Cierre</t>
        </is>
      </c>
      <c r="K127" t="inlineStr"/>
      <c r="L127" t="inlineStr">
        <is>
          <t>ENT</t>
        </is>
      </c>
    </row>
    <row r="128">
      <c r="A128" t="n">
        <v>273</v>
      </c>
      <c r="B128" t="inlineStr">
        <is>
          <t>Número de programas con condiciones iniciales elaboradas y analizadas institucionalmente</t>
        </is>
      </c>
      <c r="C128" t="inlineStr">
        <is>
          <t>Estratégico</t>
        </is>
      </c>
      <c r="D128" t="inlineStr">
        <is>
          <t>Autoevaluación de programas académicos</t>
        </is>
      </c>
      <c r="E128" t="inlineStr">
        <is>
          <t>Semestral</t>
        </is>
      </c>
      <c r="F128" t="inlineStr">
        <is>
          <t>Positivo</t>
        </is>
      </c>
      <c r="G128" t="inlineStr">
        <is>
          <t>Serie Unica</t>
        </is>
      </c>
      <c r="H128" t="inlineStr">
        <is>
          <t>Activo</t>
        </is>
      </c>
      <c r="I128" t="inlineStr">
        <is>
          <t>API</t>
        </is>
      </c>
      <c r="J128" t="inlineStr">
        <is>
          <t>Acumulado</t>
        </is>
      </c>
      <c r="K128" t="inlineStr"/>
      <c r="L128" t="inlineStr">
        <is>
          <t>ENT</t>
        </is>
      </c>
    </row>
    <row r="129">
      <c r="A129" t="n">
        <v>274</v>
      </c>
      <c r="B129" t="inlineStr">
        <is>
          <t>Cumplimiento total estudiantes antiguos</t>
        </is>
      </c>
      <c r="C129" t="inlineStr">
        <is>
          <t>Estratégico</t>
        </is>
      </c>
      <c r="D129" t="inlineStr">
        <is>
          <t>Rematrícula</t>
        </is>
      </c>
      <c r="E129" t="inlineStr">
        <is>
          <t>Semestral</t>
        </is>
      </c>
      <c r="F129" t="inlineStr">
        <is>
          <t>Positivo</t>
        </is>
      </c>
      <c r="G129" t="inlineStr">
        <is>
          <t>Multiserie</t>
        </is>
      </c>
      <c r="H129" t="inlineStr">
        <is>
          <t>Activo</t>
        </is>
      </c>
      <c r="I129" t="inlineStr">
        <is>
          <t>API</t>
        </is>
      </c>
      <c r="J129" t="inlineStr">
        <is>
          <t>Acumulado</t>
        </is>
      </c>
      <c r="K129" t="inlineStr"/>
      <c r="L129" t="inlineStr">
        <is>
          <t>ENT</t>
        </is>
      </c>
    </row>
    <row r="130">
      <c r="A130" t="n">
        <v>275</v>
      </c>
      <c r="B130" t="inlineStr">
        <is>
          <t>Satisfacción Institucional por grupo de interes</t>
        </is>
      </c>
      <c r="C130" t="inlineStr">
        <is>
          <t>Estratégico</t>
        </is>
      </c>
      <c r="D130" t="inlineStr">
        <is>
          <t>EXPERIENCIA INSTITUCIONAL</t>
        </is>
      </c>
      <c r="E130" t="inlineStr">
        <is>
          <t>Semestral</t>
        </is>
      </c>
      <c r="F130" t="inlineStr">
        <is>
          <t>Positivo</t>
        </is>
      </c>
      <c r="G130" t="inlineStr">
        <is>
          <t>Multiserie</t>
        </is>
      </c>
      <c r="H130" t="inlineStr">
        <is>
          <t>Activo</t>
        </is>
      </c>
      <c r="I130" t="inlineStr">
        <is>
          <t>API</t>
        </is>
      </c>
      <c r="J130" t="inlineStr">
        <is>
          <t>Promedio</t>
        </is>
      </c>
      <c r="K130" t="inlineStr"/>
      <c r="L130" t="inlineStr">
        <is>
          <t>%</t>
        </is>
      </c>
    </row>
    <row r="131">
      <c r="A131" t="n">
        <v>276</v>
      </c>
      <c r="B131" t="inlineStr">
        <is>
          <t>Relación Estudiante-Docente Tiempo completo</t>
        </is>
      </c>
      <c r="C131" t="inlineStr">
        <is>
          <t>Estratégico</t>
        </is>
      </c>
      <c r="D131" t="inlineStr">
        <is>
          <t>Gestión Docente</t>
        </is>
      </c>
      <c r="E131" t="inlineStr">
        <is>
          <t>Semestral</t>
        </is>
      </c>
      <c r="F131" t="inlineStr">
        <is>
          <t>Negativo</t>
        </is>
      </c>
      <c r="G131" t="inlineStr">
        <is>
          <t>Serie Unica</t>
        </is>
      </c>
      <c r="H131" t="inlineStr">
        <is>
          <t>Activo</t>
        </is>
      </c>
      <c r="I131" t="inlineStr">
        <is>
          <t>API</t>
        </is>
      </c>
      <c r="J131" t="inlineStr">
        <is>
          <t>Cierre</t>
        </is>
      </c>
      <c r="K131" t="inlineStr"/>
      <c r="L131" t="inlineStr">
        <is>
          <t>ENT</t>
        </is>
      </c>
    </row>
    <row r="132">
      <c r="A132" t="n">
        <v>277</v>
      </c>
      <c r="B132" t="inlineStr">
        <is>
          <t>Relación estudiante docente TCE (Tiempo Completo Equivalente)</t>
        </is>
      </c>
      <c r="C132" t="inlineStr">
        <is>
          <t>Estratégico</t>
        </is>
      </c>
      <c r="D132" t="inlineStr">
        <is>
          <t>Gestión Docente</t>
        </is>
      </c>
      <c r="E132" t="inlineStr">
        <is>
          <t>Semestral</t>
        </is>
      </c>
      <c r="F132" t="inlineStr">
        <is>
          <t>Negativo</t>
        </is>
      </c>
      <c r="G132" t="inlineStr">
        <is>
          <t>Serie Unica</t>
        </is>
      </c>
      <c r="H132" t="inlineStr">
        <is>
          <t>Activo</t>
        </is>
      </c>
      <c r="I132" t="inlineStr">
        <is>
          <t>API</t>
        </is>
      </c>
      <c r="J132" t="inlineStr">
        <is>
          <t>Cierre</t>
        </is>
      </c>
      <c r="K132" t="inlineStr"/>
      <c r="L132" t="inlineStr">
        <is>
          <t>DEC</t>
        </is>
      </c>
    </row>
    <row r="133">
      <c r="A133" t="n">
        <v>278</v>
      </c>
      <c r="B133" t="inlineStr">
        <is>
          <t>Docentes contratados - Metrica</t>
        </is>
      </c>
      <c r="C133" t="inlineStr">
        <is>
          <t>Operativo</t>
        </is>
      </c>
      <c r="D133" t="inlineStr">
        <is>
          <t>Gestión Docente</t>
        </is>
      </c>
      <c r="E133" t="inlineStr">
        <is>
          <t>Semestral</t>
        </is>
      </c>
      <c r="F133" t="inlineStr">
        <is>
          <t>Positivo</t>
        </is>
      </c>
      <c r="G133" t="inlineStr">
        <is>
          <t>Multiserie</t>
        </is>
      </c>
      <c r="H133" t="inlineStr">
        <is>
          <t>Activo</t>
        </is>
      </c>
      <c r="I133" t="inlineStr">
        <is>
          <t>API</t>
        </is>
      </c>
      <c r="J133" t="inlineStr">
        <is>
          <t>Acumulado</t>
        </is>
      </c>
      <c r="K133" t="inlineStr"/>
      <c r="L133" t="inlineStr">
        <is>
          <t>ENT</t>
        </is>
      </c>
    </row>
    <row r="134">
      <c r="A134" t="n">
        <v>279</v>
      </c>
      <c r="B134" t="inlineStr">
        <is>
          <t>Docentes tiempo completo</t>
        </is>
      </c>
      <c r="C134" t="inlineStr">
        <is>
          <t>Operativo</t>
        </is>
      </c>
      <c r="D134" t="inlineStr">
        <is>
          <t>Gestión Docente</t>
        </is>
      </c>
      <c r="E134" t="inlineStr">
        <is>
          <t>Semestral</t>
        </is>
      </c>
      <c r="F134" t="inlineStr">
        <is>
          <t>Positivo</t>
        </is>
      </c>
      <c r="G134" t="inlineStr"/>
      <c r="H134" t="inlineStr">
        <is>
          <t>Historico</t>
        </is>
      </c>
      <c r="I134" t="inlineStr">
        <is>
          <t>Historico</t>
        </is>
      </c>
      <c r="J134" t="inlineStr">
        <is>
          <t>Acumulado</t>
        </is>
      </c>
      <c r="K134" t="inlineStr"/>
      <c r="L134" t="inlineStr">
        <is>
          <t>ENT</t>
        </is>
      </c>
    </row>
    <row r="135">
      <c r="A135" t="n">
        <v>280</v>
      </c>
      <c r="B135" t="inlineStr">
        <is>
          <t>Docentes medio tiempo</t>
        </is>
      </c>
      <c r="C135" t="inlineStr">
        <is>
          <t>Operativo</t>
        </is>
      </c>
      <c r="D135" t="inlineStr">
        <is>
          <t>Gestión Docente</t>
        </is>
      </c>
      <c r="E135" t="inlineStr">
        <is>
          <t>Semestral</t>
        </is>
      </c>
      <c r="F135" t="inlineStr">
        <is>
          <t>Positivo</t>
        </is>
      </c>
      <c r="G135" t="inlineStr"/>
      <c r="H135" t="inlineStr">
        <is>
          <t>Historico</t>
        </is>
      </c>
      <c r="I135" t="inlineStr">
        <is>
          <t>Historico</t>
        </is>
      </c>
      <c r="J135" t="inlineStr">
        <is>
          <t>Acumulado</t>
        </is>
      </c>
      <c r="K135" t="inlineStr"/>
      <c r="L135" t="inlineStr">
        <is>
          <t>ENT</t>
        </is>
      </c>
    </row>
    <row r="136">
      <c r="A136" t="n">
        <v>281</v>
      </c>
      <c r="B136" t="inlineStr">
        <is>
          <t>Docentes cátedra</t>
        </is>
      </c>
      <c r="C136" t="inlineStr">
        <is>
          <t>Operativo</t>
        </is>
      </c>
      <c r="D136" t="inlineStr">
        <is>
          <t>Gestión Docente</t>
        </is>
      </c>
      <c r="E136" t="inlineStr">
        <is>
          <t>Semestral</t>
        </is>
      </c>
      <c r="F136" t="inlineStr">
        <is>
          <t>Positivo</t>
        </is>
      </c>
      <c r="G136" t="inlineStr"/>
      <c r="H136" t="inlineStr">
        <is>
          <t>Historico</t>
        </is>
      </c>
      <c r="I136" t="inlineStr">
        <is>
          <t>Historico</t>
        </is>
      </c>
      <c r="J136" t="inlineStr">
        <is>
          <t>Acumulado</t>
        </is>
      </c>
      <c r="K136" t="inlineStr"/>
      <c r="L136" t="inlineStr">
        <is>
          <t>ENT</t>
        </is>
      </c>
    </row>
    <row r="137">
      <c r="A137" t="n">
        <v>282</v>
      </c>
      <c r="B137" t="inlineStr">
        <is>
          <t>Docentes evaluados</t>
        </is>
      </c>
      <c r="C137" t="inlineStr">
        <is>
          <t>Operativo</t>
        </is>
      </c>
      <c r="D137" t="inlineStr">
        <is>
          <t>Gestión Docente</t>
        </is>
      </c>
      <c r="E137" t="inlineStr">
        <is>
          <t>Semestral</t>
        </is>
      </c>
      <c r="F137" t="inlineStr">
        <is>
          <t>Positivo</t>
        </is>
      </c>
      <c r="G137" t="inlineStr">
        <is>
          <t>Serie Unica</t>
        </is>
      </c>
      <c r="H137" t="inlineStr">
        <is>
          <t>Activo</t>
        </is>
      </c>
      <c r="I137" t="inlineStr">
        <is>
          <t>API</t>
        </is>
      </c>
      <c r="J137" t="inlineStr">
        <is>
          <t>Acumulado</t>
        </is>
      </c>
      <c r="K137" t="inlineStr"/>
      <c r="L137" t="inlineStr">
        <is>
          <t>%</t>
        </is>
      </c>
    </row>
    <row r="138">
      <c r="A138" t="n">
        <v>283</v>
      </c>
      <c r="B138" t="inlineStr">
        <is>
          <t>Resultado evaluación docente</t>
        </is>
      </c>
      <c r="C138" t="inlineStr">
        <is>
          <t>Operativo</t>
        </is>
      </c>
      <c r="D138" t="inlineStr">
        <is>
          <t>Gestión Docente</t>
        </is>
      </c>
      <c r="E138" t="inlineStr">
        <is>
          <t>Semestral</t>
        </is>
      </c>
      <c r="F138" t="inlineStr">
        <is>
          <t>Positivo</t>
        </is>
      </c>
      <c r="G138" t="inlineStr">
        <is>
          <t>Serie Unica</t>
        </is>
      </c>
      <c r="H138" t="inlineStr">
        <is>
          <t>Activo</t>
        </is>
      </c>
      <c r="I138" t="inlineStr">
        <is>
          <t>API</t>
        </is>
      </c>
      <c r="J138" t="inlineStr">
        <is>
          <t>Cierre</t>
        </is>
      </c>
      <c r="K138" t="inlineStr"/>
      <c r="L138" t="inlineStr">
        <is>
          <t>DEC</t>
        </is>
      </c>
    </row>
    <row r="139">
      <c r="A139" t="n">
        <v>284</v>
      </c>
      <c r="B139" t="inlineStr">
        <is>
          <t>Número Horas semanales docentes</t>
        </is>
      </c>
      <c r="C139" t="inlineStr">
        <is>
          <t>Operativo</t>
        </is>
      </c>
      <c r="D139" t="inlineStr">
        <is>
          <t>Gestión Docente</t>
        </is>
      </c>
      <c r="E139" t="inlineStr">
        <is>
          <t>Semestral</t>
        </is>
      </c>
      <c r="F139" t="inlineStr">
        <is>
          <t>Positivo</t>
        </is>
      </c>
      <c r="G139" t="inlineStr"/>
      <c r="H139" t="inlineStr">
        <is>
          <t>Historico</t>
        </is>
      </c>
      <c r="I139" t="inlineStr">
        <is>
          <t>Historico</t>
        </is>
      </c>
      <c r="J139" t="inlineStr">
        <is>
          <t>Acumulado</t>
        </is>
      </c>
      <c r="K139" t="inlineStr"/>
      <c r="L139" t="inlineStr">
        <is>
          <t>ENT</t>
        </is>
      </c>
    </row>
    <row r="140">
      <c r="A140" t="n">
        <v>285</v>
      </c>
      <c r="B140" t="inlineStr">
        <is>
          <t>Docentes con plan de trabajo asignado</t>
        </is>
      </c>
      <c r="C140" t="inlineStr">
        <is>
          <t>Operativo</t>
        </is>
      </c>
      <c r="D140" t="inlineStr">
        <is>
          <t>Gestión Docente</t>
        </is>
      </c>
      <c r="E140" t="inlineStr">
        <is>
          <t>Semestral</t>
        </is>
      </c>
      <c r="F140" t="inlineStr">
        <is>
          <t>Positivo</t>
        </is>
      </c>
      <c r="G140" t="inlineStr">
        <is>
          <t>Serie Unica</t>
        </is>
      </c>
      <c r="H140" t="inlineStr">
        <is>
          <t>Activo</t>
        </is>
      </c>
      <c r="I140" t="inlineStr">
        <is>
          <t>API</t>
        </is>
      </c>
      <c r="J140" t="inlineStr">
        <is>
          <t>Cierre</t>
        </is>
      </c>
      <c r="K140" t="inlineStr"/>
      <c r="L140" t="inlineStr">
        <is>
          <t>%</t>
        </is>
      </c>
    </row>
    <row r="141">
      <c r="A141" t="n">
        <v>286</v>
      </c>
      <c r="B141" t="inlineStr">
        <is>
          <t>Total docentes por nivel de estudios - Metrica</t>
        </is>
      </c>
      <c r="C141" t="inlineStr">
        <is>
          <t>Operativo</t>
        </is>
      </c>
      <c r="D141" t="inlineStr">
        <is>
          <t>Gestión Docente</t>
        </is>
      </c>
      <c r="E141" t="inlineStr">
        <is>
          <t>Semestral</t>
        </is>
      </c>
      <c r="F141" t="inlineStr">
        <is>
          <t>Positivo</t>
        </is>
      </c>
      <c r="G141" t="inlineStr">
        <is>
          <t>Multiserie</t>
        </is>
      </c>
      <c r="H141" t="inlineStr">
        <is>
          <t>Activo</t>
        </is>
      </c>
      <c r="I141" t="inlineStr">
        <is>
          <t>API</t>
        </is>
      </c>
      <c r="J141" t="inlineStr">
        <is>
          <t>Acumulado</t>
        </is>
      </c>
      <c r="K141" t="inlineStr"/>
      <c r="L141" t="inlineStr">
        <is>
          <t>ENT</t>
        </is>
      </c>
    </row>
    <row r="142">
      <c r="A142" t="n">
        <v>288</v>
      </c>
      <c r="B142" t="inlineStr">
        <is>
          <t>Número docentes escalafonados presentados en convocatoria</t>
        </is>
      </c>
      <c r="C142" t="inlineStr">
        <is>
          <t>Operativo</t>
        </is>
      </c>
      <c r="D142" t="inlineStr">
        <is>
          <t>Gestión Docente</t>
        </is>
      </c>
      <c r="E142" t="inlineStr">
        <is>
          <t>Anual</t>
        </is>
      </c>
      <c r="F142" t="inlineStr">
        <is>
          <t>Positivo</t>
        </is>
      </c>
      <c r="G142" t="inlineStr">
        <is>
          <t>Serie Unica</t>
        </is>
      </c>
      <c r="H142" t="inlineStr">
        <is>
          <t>Activo</t>
        </is>
      </c>
      <c r="I142" t="inlineStr">
        <is>
          <t>API</t>
        </is>
      </c>
      <c r="J142" t="inlineStr">
        <is>
          <t>Cierre</t>
        </is>
      </c>
      <c r="K142" t="inlineStr"/>
      <c r="L142" t="inlineStr">
        <is>
          <t>ENT</t>
        </is>
      </c>
    </row>
    <row r="143">
      <c r="A143" t="n">
        <v>289</v>
      </c>
      <c r="B143" t="inlineStr">
        <is>
          <t>Cumplimiento plan de comunicaciones SGC</t>
        </is>
      </c>
      <c r="C143" t="inlineStr">
        <is>
          <t>Operativo</t>
        </is>
      </c>
      <c r="D143" t="inlineStr">
        <is>
          <t>Gestión de calidad</t>
        </is>
      </c>
      <c r="E143" t="inlineStr">
        <is>
          <t>Trimestral</t>
        </is>
      </c>
      <c r="F143" t="inlineStr">
        <is>
          <t>Positivo</t>
        </is>
      </c>
      <c r="G143" t="inlineStr"/>
      <c r="H143" t="inlineStr">
        <is>
          <t>Historico</t>
        </is>
      </c>
      <c r="I143" t="inlineStr">
        <is>
          <t>Historico</t>
        </is>
      </c>
      <c r="J143" t="inlineStr">
        <is>
          <t>Cierre</t>
        </is>
      </c>
      <c r="K143" t="inlineStr"/>
      <c r="L143" t="inlineStr">
        <is>
          <t>%</t>
        </is>
      </c>
    </row>
    <row r="144">
      <c r="A144" t="n">
        <v>290</v>
      </c>
      <c r="B144" t="inlineStr">
        <is>
          <t>Cierre eficaz de las oportunidades de mejora</t>
        </is>
      </c>
      <c r="C144" t="inlineStr">
        <is>
          <t>Estratégico</t>
        </is>
      </c>
      <c r="D144" t="inlineStr">
        <is>
          <t>Planificación POLISIGS</t>
        </is>
      </c>
      <c r="E144" t="inlineStr">
        <is>
          <t>Bimestral</t>
        </is>
      </c>
      <c r="F144" t="inlineStr">
        <is>
          <t>Positivo</t>
        </is>
      </c>
      <c r="G144" t="inlineStr">
        <is>
          <t>Multiserie</t>
        </is>
      </c>
      <c r="H144" t="inlineStr">
        <is>
          <t>Activo</t>
        </is>
      </c>
      <c r="I144" t="inlineStr">
        <is>
          <t>API</t>
        </is>
      </c>
      <c r="J144" t="inlineStr">
        <is>
          <t>Cierre</t>
        </is>
      </c>
      <c r="K144" t="inlineStr"/>
      <c r="L144" t="inlineStr">
        <is>
          <t>%</t>
        </is>
      </c>
    </row>
    <row r="145">
      <c r="A145" t="n">
        <v>291</v>
      </c>
      <c r="B145" t="inlineStr">
        <is>
          <t>Cumplimiento del cronograma de actividades deportivas</t>
        </is>
      </c>
      <c r="C145" t="inlineStr">
        <is>
          <t>Operativo</t>
        </is>
      </c>
      <c r="D145" t="inlineStr">
        <is>
          <t>Cultura y Deporte</t>
        </is>
      </c>
      <c r="E145" t="inlineStr">
        <is>
          <t>Semestral</t>
        </is>
      </c>
      <c r="F145" t="inlineStr">
        <is>
          <t>Positivo</t>
        </is>
      </c>
      <c r="G145" t="inlineStr"/>
      <c r="H145" t="inlineStr">
        <is>
          <t>Historico</t>
        </is>
      </c>
      <c r="I145" t="inlineStr">
        <is>
          <t>Historico</t>
        </is>
      </c>
      <c r="J145" t="inlineStr">
        <is>
          <t>Promedio</t>
        </is>
      </c>
      <c r="K145" t="inlineStr"/>
      <c r="L145" t="inlineStr">
        <is>
          <t>%</t>
        </is>
      </c>
    </row>
    <row r="146">
      <c r="A146" t="n">
        <v>292</v>
      </c>
      <c r="B146" t="inlineStr">
        <is>
          <t>Participación en Actividades deportivas</t>
        </is>
      </c>
      <c r="C146" t="inlineStr">
        <is>
          <t>Operativo</t>
        </is>
      </c>
      <c r="D146" t="inlineStr">
        <is>
          <t>Cultura y Deporte</t>
        </is>
      </c>
      <c r="E146" t="inlineStr">
        <is>
          <t>Semestral</t>
        </is>
      </c>
      <c r="F146" t="inlineStr">
        <is>
          <t>Positivo</t>
        </is>
      </c>
      <c r="G146" t="inlineStr">
        <is>
          <t>Multiserie</t>
        </is>
      </c>
      <c r="H146" t="inlineStr">
        <is>
          <t>Activo</t>
        </is>
      </c>
      <c r="I146" t="inlineStr">
        <is>
          <t>API</t>
        </is>
      </c>
      <c r="J146" t="inlineStr">
        <is>
          <t>Acumulado</t>
        </is>
      </c>
      <c r="K146" t="inlineStr"/>
      <c r="L146" t="inlineStr">
        <is>
          <t>%</t>
        </is>
      </c>
    </row>
    <row r="147">
      <c r="A147" t="n">
        <v>293</v>
      </c>
      <c r="B147" t="inlineStr">
        <is>
          <t>Cumplimiento del cronograma de actividades culturales</t>
        </is>
      </c>
      <c r="C147" t="inlineStr">
        <is>
          <t>Operativo</t>
        </is>
      </c>
      <c r="D147" t="inlineStr">
        <is>
          <t>Cultura y Deporte</t>
        </is>
      </c>
      <c r="E147" t="inlineStr">
        <is>
          <t>Semestral</t>
        </is>
      </c>
      <c r="F147" t="inlineStr">
        <is>
          <t>Positivo</t>
        </is>
      </c>
      <c r="G147" t="inlineStr"/>
      <c r="H147" t="inlineStr">
        <is>
          <t>Historico</t>
        </is>
      </c>
      <c r="I147" t="inlineStr">
        <is>
          <t>Historico</t>
        </is>
      </c>
      <c r="J147" t="inlineStr">
        <is>
          <t>Promedio</t>
        </is>
      </c>
      <c r="K147" t="inlineStr"/>
      <c r="L147" t="inlineStr">
        <is>
          <t>%</t>
        </is>
      </c>
    </row>
    <row r="148">
      <c r="A148" t="n">
        <v>294</v>
      </c>
      <c r="B148" t="inlineStr">
        <is>
          <t>Participación en actividades culturales</t>
        </is>
      </c>
      <c r="C148" t="inlineStr">
        <is>
          <t>Operativo</t>
        </is>
      </c>
      <c r="D148" t="inlineStr">
        <is>
          <t>Cultura y Deporte</t>
        </is>
      </c>
      <c r="E148" t="inlineStr">
        <is>
          <t>Semestral</t>
        </is>
      </c>
      <c r="F148" t="inlineStr">
        <is>
          <t>Positivo</t>
        </is>
      </c>
      <c r="G148" t="inlineStr">
        <is>
          <t>Multiserie</t>
        </is>
      </c>
      <c r="H148" t="inlineStr">
        <is>
          <t>Activo</t>
        </is>
      </c>
      <c r="I148" t="inlineStr">
        <is>
          <t>API</t>
        </is>
      </c>
      <c r="J148" t="inlineStr">
        <is>
          <t>Acumulado</t>
        </is>
      </c>
      <c r="K148" t="inlineStr"/>
      <c r="L148" t="inlineStr">
        <is>
          <t>%</t>
        </is>
      </c>
    </row>
    <row r="149">
      <c r="A149" t="n">
        <v>295</v>
      </c>
      <c r="B149" t="inlineStr">
        <is>
          <t>Cumplimiento Del Cierre Oportuno De Oportunidades De Mejora De Auditoria</t>
        </is>
      </c>
      <c r="C149" t="inlineStr">
        <is>
          <t>Operativo</t>
        </is>
      </c>
      <c r="D149" t="inlineStr">
        <is>
          <t>AUDITORÍA INTERNA</t>
        </is>
      </c>
      <c r="E149" t="inlineStr">
        <is>
          <t>Semestral</t>
        </is>
      </c>
      <c r="F149" t="inlineStr">
        <is>
          <t>Positivo</t>
        </is>
      </c>
      <c r="G149" t="inlineStr"/>
      <c r="H149" t="inlineStr">
        <is>
          <t>Historico</t>
        </is>
      </c>
      <c r="I149" t="inlineStr">
        <is>
          <t>Historico</t>
        </is>
      </c>
      <c r="J149" t="inlineStr">
        <is>
          <t>Promedio</t>
        </is>
      </c>
      <c r="K149" t="inlineStr"/>
      <c r="L149" t="inlineStr">
        <is>
          <t>ENT</t>
        </is>
      </c>
    </row>
    <row r="150">
      <c r="A150" t="n">
        <v>296</v>
      </c>
      <c r="B150" t="inlineStr">
        <is>
          <t>Gestión de riesgos por subprocesos</t>
        </is>
      </c>
      <c r="C150" t="inlineStr">
        <is>
          <t>Operativo</t>
        </is>
      </c>
      <c r="D150" t="inlineStr">
        <is>
          <t>GESTIÓN DE RIESGOS</t>
        </is>
      </c>
      <c r="E150" t="inlineStr">
        <is>
          <t>Bimestral</t>
        </is>
      </c>
      <c r="F150" t="inlineStr">
        <is>
          <t>Positivo</t>
        </is>
      </c>
      <c r="G150" t="inlineStr"/>
      <c r="H150" t="inlineStr">
        <is>
          <t>Historico</t>
        </is>
      </c>
      <c r="I150" t="inlineStr">
        <is>
          <t>Historico</t>
        </is>
      </c>
      <c r="J150" t="inlineStr">
        <is>
          <t>Promedio</t>
        </is>
      </c>
      <c r="K150" t="inlineStr"/>
      <c r="L150" t="inlineStr">
        <is>
          <t>DEC</t>
        </is>
      </c>
    </row>
    <row r="151">
      <c r="A151" t="n">
        <v>297</v>
      </c>
      <c r="B151" t="inlineStr">
        <is>
          <t>N de riesgos operacionales intervenidos</t>
        </is>
      </c>
      <c r="C151" t="inlineStr">
        <is>
          <t>Operativo</t>
        </is>
      </c>
      <c r="D151" t="inlineStr">
        <is>
          <t>GESTIÓN DE RIESGOS</t>
        </is>
      </c>
      <c r="E151" t="inlineStr">
        <is>
          <t>Bimestral</t>
        </is>
      </c>
      <c r="F151" t="inlineStr">
        <is>
          <t>Negativo</t>
        </is>
      </c>
      <c r="G151" t="inlineStr"/>
      <c r="H151" t="inlineStr">
        <is>
          <t>Historico</t>
        </is>
      </c>
      <c r="I151" t="inlineStr">
        <is>
          <t>Historico</t>
        </is>
      </c>
      <c r="J151" t="inlineStr">
        <is>
          <t>Promedio</t>
        </is>
      </c>
      <c r="K151" t="inlineStr"/>
      <c r="L151" t="inlineStr">
        <is>
          <t>DEC</t>
        </is>
      </c>
    </row>
    <row r="152">
      <c r="A152" t="n">
        <v>298</v>
      </c>
      <c r="B152" t="inlineStr">
        <is>
          <t>N de riesgos materializados</t>
        </is>
      </c>
      <c r="C152" t="inlineStr">
        <is>
          <t>Operativo</t>
        </is>
      </c>
      <c r="D152" t="inlineStr">
        <is>
          <t>GESTIÓN DE RIESGOS</t>
        </is>
      </c>
      <c r="E152" t="inlineStr">
        <is>
          <t>Semestral</t>
        </is>
      </c>
      <c r="F152" t="inlineStr">
        <is>
          <t>Negativo</t>
        </is>
      </c>
      <c r="G152" t="inlineStr"/>
      <c r="H152" t="inlineStr">
        <is>
          <t>Historico</t>
        </is>
      </c>
      <c r="I152" t="inlineStr">
        <is>
          <t>Historico</t>
        </is>
      </c>
      <c r="J152" t="inlineStr">
        <is>
          <t>Acumulado</t>
        </is>
      </c>
      <c r="K152" t="inlineStr"/>
      <c r="L152" t="inlineStr">
        <is>
          <t>ENT</t>
        </is>
      </c>
    </row>
    <row r="153">
      <c r="A153" t="n">
        <v>300</v>
      </c>
      <c r="B153" t="inlineStr">
        <is>
          <t>Cumplimiento de Inspecciones de control</t>
        </is>
      </c>
      <c r="C153" t="inlineStr">
        <is>
          <t>Operativo</t>
        </is>
      </c>
      <c r="D153" t="inlineStr">
        <is>
          <t>Administración de Servicios Generales</t>
        </is>
      </c>
      <c r="E153" t="inlineStr">
        <is>
          <t>Trimestral</t>
        </is>
      </c>
      <c r="F153" t="inlineStr">
        <is>
          <t>Positivo</t>
        </is>
      </c>
      <c r="G153" t="inlineStr">
        <is>
          <t>Serie Unica</t>
        </is>
      </c>
      <c r="H153" t="inlineStr">
        <is>
          <t>Activo</t>
        </is>
      </c>
      <c r="I153" t="inlineStr">
        <is>
          <t>API</t>
        </is>
      </c>
      <c r="J153" t="inlineStr">
        <is>
          <t>Promedio</t>
        </is>
      </c>
      <c r="K153" t="inlineStr"/>
      <c r="L153" t="inlineStr">
        <is>
          <t>%</t>
        </is>
      </c>
    </row>
    <row r="154">
      <c r="A154" t="n">
        <v>301</v>
      </c>
      <c r="B154" t="inlineStr">
        <is>
          <t>Cumplimiento plan de trabajo</t>
        </is>
      </c>
      <c r="C154" t="inlineStr">
        <is>
          <t>Operativo</t>
        </is>
      </c>
      <c r="D154" t="inlineStr">
        <is>
          <t>Administración de Servicios Generales</t>
        </is>
      </c>
      <c r="E154" t="inlineStr">
        <is>
          <t>Trimestral</t>
        </is>
      </c>
      <c r="F154" t="inlineStr">
        <is>
          <t>Positivo</t>
        </is>
      </c>
      <c r="G154" t="inlineStr">
        <is>
          <t>Serie Unica</t>
        </is>
      </c>
      <c r="H154" t="inlineStr">
        <is>
          <t>Activo</t>
        </is>
      </c>
      <c r="I154" t="inlineStr">
        <is>
          <t>API</t>
        </is>
      </c>
      <c r="J154" t="inlineStr">
        <is>
          <t>Promedio</t>
        </is>
      </c>
      <c r="K154" t="inlineStr"/>
      <c r="L154" t="inlineStr">
        <is>
          <t>%</t>
        </is>
      </c>
    </row>
    <row r="155">
      <c r="A155" t="n">
        <v>302</v>
      </c>
      <c r="B155" t="inlineStr">
        <is>
          <t>N de solicitudes radicadas - (Metrica)</t>
        </is>
      </c>
      <c r="C155" t="inlineStr">
        <is>
          <t>Operativo</t>
        </is>
      </c>
      <c r="D155" t="inlineStr">
        <is>
          <t>Centro de Medios Audiovisuales</t>
        </is>
      </c>
      <c r="E155" t="inlineStr">
        <is>
          <t>Semestral</t>
        </is>
      </c>
      <c r="F155" t="inlineStr">
        <is>
          <t>Positivo</t>
        </is>
      </c>
      <c r="G155" t="inlineStr">
        <is>
          <t>Multiserie</t>
        </is>
      </c>
      <c r="H155" t="inlineStr">
        <is>
          <t>Activo</t>
        </is>
      </c>
      <c r="I155" t="inlineStr">
        <is>
          <t>API</t>
        </is>
      </c>
      <c r="J155" t="inlineStr">
        <is>
          <t>Acumulado</t>
        </is>
      </c>
      <c r="K155" t="inlineStr"/>
      <c r="L155" t="inlineStr">
        <is>
          <t>ENT</t>
        </is>
      </c>
    </row>
    <row r="156">
      <c r="A156" t="n">
        <v>303</v>
      </c>
      <c r="B156" t="inlineStr">
        <is>
          <t>Cumplimiento del cronograma de actividades de salud</t>
        </is>
      </c>
      <c r="C156" t="inlineStr">
        <is>
          <t>Operativo</t>
        </is>
      </c>
      <c r="D156" t="inlineStr">
        <is>
          <t>Servicio de Salud</t>
        </is>
      </c>
      <c r="E156" t="inlineStr">
        <is>
          <t>Semestral</t>
        </is>
      </c>
      <c r="F156" t="inlineStr">
        <is>
          <t>Positivo</t>
        </is>
      </c>
      <c r="G156" t="inlineStr">
        <is>
          <t>Multiserie</t>
        </is>
      </c>
      <c r="H156" t="inlineStr">
        <is>
          <t>Activo</t>
        </is>
      </c>
      <c r="I156" t="inlineStr">
        <is>
          <t>API</t>
        </is>
      </c>
      <c r="J156" t="inlineStr">
        <is>
          <t>Acumulado</t>
        </is>
      </c>
      <c r="K156" t="inlineStr"/>
      <c r="L156" t="inlineStr">
        <is>
          <t>%</t>
        </is>
      </c>
    </row>
    <row r="157">
      <c r="A157" t="n">
        <v>304</v>
      </c>
      <c r="B157" t="inlineStr">
        <is>
          <t>Impacto de Campañas de promoción y prevención</t>
        </is>
      </c>
      <c r="C157" t="inlineStr">
        <is>
          <t>Operativo</t>
        </is>
      </c>
      <c r="D157" t="inlineStr">
        <is>
          <t>Servicio de Salud</t>
        </is>
      </c>
      <c r="E157" t="inlineStr">
        <is>
          <t>Semestral</t>
        </is>
      </c>
      <c r="F157" t="inlineStr">
        <is>
          <t>Positivo</t>
        </is>
      </c>
      <c r="G157" t="inlineStr">
        <is>
          <t>Serie Unica</t>
        </is>
      </c>
      <c r="H157" t="inlineStr">
        <is>
          <t>Activo</t>
        </is>
      </c>
      <c r="I157" t="inlineStr">
        <is>
          <t>API</t>
        </is>
      </c>
      <c r="J157" t="inlineStr">
        <is>
          <t>Acumulado</t>
        </is>
      </c>
      <c r="K157" t="inlineStr"/>
      <c r="L157" t="inlineStr">
        <is>
          <t>ENT</t>
        </is>
      </c>
    </row>
    <row r="158">
      <c r="A158" t="n">
        <v>305</v>
      </c>
      <c r="B158" t="inlineStr">
        <is>
          <t>Cumplimiento del plan anual de mantenimiento de equipos médicos</t>
        </is>
      </c>
      <c r="C158" t="inlineStr">
        <is>
          <t>Operativo</t>
        </is>
      </c>
      <c r="D158" t="inlineStr">
        <is>
          <t>Servicio de Salud</t>
        </is>
      </c>
      <c r="E158" t="inlineStr">
        <is>
          <t>Anual</t>
        </is>
      </c>
      <c r="F158" t="inlineStr">
        <is>
          <t>Positivo</t>
        </is>
      </c>
      <c r="G158" t="inlineStr"/>
      <c r="H158" t="inlineStr">
        <is>
          <t>Historico</t>
        </is>
      </c>
      <c r="I158" t="inlineStr">
        <is>
          <t>Historico</t>
        </is>
      </c>
      <c r="J158" t="inlineStr">
        <is>
          <t>Cierre</t>
        </is>
      </c>
      <c r="K158" t="inlineStr"/>
      <c r="L158" t="inlineStr">
        <is>
          <t>%</t>
        </is>
      </c>
    </row>
    <row r="159">
      <c r="A159" t="n">
        <v>306</v>
      </c>
      <c r="B159" t="inlineStr">
        <is>
          <t>Seguimiento KPI Plan de Desarrollo Institucional</t>
        </is>
      </c>
      <c r="C159" t="inlineStr">
        <is>
          <t>Estratégico</t>
        </is>
      </c>
      <c r="D159" t="inlineStr">
        <is>
          <t>Desempeño Institucional</t>
        </is>
      </c>
      <c r="E159" t="inlineStr">
        <is>
          <t>Trimestral</t>
        </is>
      </c>
      <c r="F159" t="inlineStr">
        <is>
          <t>Positivo</t>
        </is>
      </c>
      <c r="G159" t="inlineStr">
        <is>
          <t>Multiserie</t>
        </is>
      </c>
      <c r="H159" t="inlineStr">
        <is>
          <t>Activo</t>
        </is>
      </c>
      <c r="I159" t="inlineStr">
        <is>
          <t>API</t>
        </is>
      </c>
      <c r="J159" t="inlineStr">
        <is>
          <t>Promedio</t>
        </is>
      </c>
      <c r="K159" t="inlineStr"/>
      <c r="L159" t="inlineStr">
        <is>
          <t>%</t>
        </is>
      </c>
    </row>
    <row r="160">
      <c r="A160" t="n">
        <v>307</v>
      </c>
      <c r="B160" t="inlineStr">
        <is>
          <t>Organización de escenarios de visibilidad nacional e internacional</t>
        </is>
      </c>
      <c r="C160" t="inlineStr">
        <is>
          <t>Estratégico</t>
        </is>
      </c>
      <c r="D160" t="inlineStr">
        <is>
          <t>VISIBILIDAD NACIONAL E INTERNACIONAL</t>
        </is>
      </c>
      <c r="E160" t="inlineStr">
        <is>
          <t>Semestral</t>
        </is>
      </c>
      <c r="F160" t="inlineStr">
        <is>
          <t>Positivo</t>
        </is>
      </c>
      <c r="G160" t="inlineStr"/>
      <c r="H160" t="inlineStr">
        <is>
          <t>Historico</t>
        </is>
      </c>
      <c r="I160" t="inlineStr">
        <is>
          <t>Historico</t>
        </is>
      </c>
      <c r="J160" t="inlineStr">
        <is>
          <t>Acumulado</t>
        </is>
      </c>
      <c r="K160" t="inlineStr"/>
      <c r="L160" t="inlineStr">
        <is>
          <t>ENT</t>
        </is>
      </c>
    </row>
    <row r="161">
      <c r="A161" t="n">
        <v>308</v>
      </c>
      <c r="B161" t="inlineStr">
        <is>
          <t>Movilidad Física Entrantes Profesores</t>
        </is>
      </c>
      <c r="C161" t="inlineStr">
        <is>
          <t>Estratégico</t>
        </is>
      </c>
      <c r="D161" t="inlineStr">
        <is>
          <t>VISIBILIDAD NACIONAL E INTERNACIONAL</t>
        </is>
      </c>
      <c r="E161" t="inlineStr">
        <is>
          <t>Semestral</t>
        </is>
      </c>
      <c r="F161" t="inlineStr">
        <is>
          <t>Positivo</t>
        </is>
      </c>
      <c r="G161" t="inlineStr"/>
      <c r="H161" t="inlineStr">
        <is>
          <t>Historico</t>
        </is>
      </c>
      <c r="I161" t="inlineStr">
        <is>
          <t>Historico</t>
        </is>
      </c>
      <c r="J161" t="inlineStr">
        <is>
          <t>Acumulado</t>
        </is>
      </c>
      <c r="K161" t="inlineStr"/>
      <c r="L161" t="inlineStr">
        <is>
          <t>ENT</t>
        </is>
      </c>
    </row>
    <row r="162">
      <c r="A162" t="n">
        <v>309</v>
      </c>
      <c r="B162" t="inlineStr">
        <is>
          <t>Movilidad Física Profesores Salientes</t>
        </is>
      </c>
      <c r="C162" t="inlineStr">
        <is>
          <t>Estratégico</t>
        </is>
      </c>
      <c r="D162" t="inlineStr">
        <is>
          <t>VISIBILIDAD NACIONAL E INTERNACIONAL</t>
        </is>
      </c>
      <c r="E162" t="inlineStr">
        <is>
          <t>Semestral</t>
        </is>
      </c>
      <c r="F162" t="inlineStr">
        <is>
          <t>Positivo</t>
        </is>
      </c>
      <c r="G162" t="inlineStr"/>
      <c r="H162" t="inlineStr">
        <is>
          <t>Historico</t>
        </is>
      </c>
      <c r="I162" t="inlineStr">
        <is>
          <t>Historico</t>
        </is>
      </c>
      <c r="J162" t="inlineStr">
        <is>
          <t>Acumulado</t>
        </is>
      </c>
      <c r="K162" t="inlineStr"/>
      <c r="L162" t="inlineStr">
        <is>
          <t>ENT</t>
        </is>
      </c>
    </row>
    <row r="163">
      <c r="A163" t="n">
        <v>310</v>
      </c>
      <c r="B163" t="inlineStr">
        <is>
          <t>Movilidad Física Entrante Estudiantes</t>
        </is>
      </c>
      <c r="C163" t="inlineStr">
        <is>
          <t>Estratégico</t>
        </is>
      </c>
      <c r="D163" t="inlineStr">
        <is>
          <t>VISIBILIDAD NACIONAL E INTERNACIONAL</t>
        </is>
      </c>
      <c r="E163" t="inlineStr">
        <is>
          <t>Semestral</t>
        </is>
      </c>
      <c r="F163" t="inlineStr">
        <is>
          <t>Positivo</t>
        </is>
      </c>
      <c r="G163" t="inlineStr"/>
      <c r="H163" t="inlineStr">
        <is>
          <t>Historico</t>
        </is>
      </c>
      <c r="I163" t="inlineStr">
        <is>
          <t>Historico</t>
        </is>
      </c>
      <c r="J163" t="inlineStr">
        <is>
          <t>Acumulado</t>
        </is>
      </c>
      <c r="K163" t="inlineStr"/>
      <c r="L163" t="inlineStr">
        <is>
          <t>ENT</t>
        </is>
      </c>
    </row>
    <row r="164">
      <c r="A164" t="n">
        <v>311</v>
      </c>
      <c r="B164" t="inlineStr">
        <is>
          <t>Movilidad Física Saliente Estudiantes</t>
        </is>
      </c>
      <c r="C164" t="inlineStr">
        <is>
          <t>Estratégico</t>
        </is>
      </c>
      <c r="D164" t="inlineStr">
        <is>
          <t>VISIBILIDAD NACIONAL E INTERNACIONAL</t>
        </is>
      </c>
      <c r="E164" t="inlineStr">
        <is>
          <t>Semestral</t>
        </is>
      </c>
      <c r="F164" t="inlineStr">
        <is>
          <t>Positivo</t>
        </is>
      </c>
      <c r="G164" t="inlineStr"/>
      <c r="H164" t="inlineStr">
        <is>
          <t>Historico</t>
        </is>
      </c>
      <c r="I164" t="inlineStr">
        <is>
          <t>Historico</t>
        </is>
      </c>
      <c r="J164" t="inlineStr">
        <is>
          <t>Acumulado</t>
        </is>
      </c>
      <c r="K164" t="inlineStr"/>
      <c r="L164" t="inlineStr">
        <is>
          <t>ENT</t>
        </is>
      </c>
    </row>
    <row r="165">
      <c r="A165" t="n">
        <v>312</v>
      </c>
      <c r="B165" t="inlineStr">
        <is>
          <t>Clases espejo</t>
        </is>
      </c>
      <c r="C165" t="inlineStr">
        <is>
          <t>Estratégico</t>
        </is>
      </c>
      <c r="D165" t="inlineStr">
        <is>
          <t>VISIBILIDAD NACIONAL E INTERNACIONAL</t>
        </is>
      </c>
      <c r="E165" t="inlineStr">
        <is>
          <t>Semestral</t>
        </is>
      </c>
      <c r="F165" t="inlineStr">
        <is>
          <t>Positivo</t>
        </is>
      </c>
      <c r="G165" t="inlineStr"/>
      <c r="H165" t="inlineStr">
        <is>
          <t>Historico</t>
        </is>
      </c>
      <c r="I165" t="inlineStr">
        <is>
          <t>Historico</t>
        </is>
      </c>
      <c r="J165" t="inlineStr">
        <is>
          <t>Acumulado</t>
        </is>
      </c>
      <c r="K165" t="inlineStr"/>
      <c r="L165" t="inlineStr">
        <is>
          <t>ENT</t>
        </is>
      </c>
    </row>
    <row r="166">
      <c r="A166" t="n">
        <v>313</v>
      </c>
      <c r="B166" t="inlineStr">
        <is>
          <t>Seminarios y cursos internacionales virtuales impartidos y certificados por entidades externas</t>
        </is>
      </c>
      <c r="C166" t="inlineStr">
        <is>
          <t>Estratégico</t>
        </is>
      </c>
      <c r="D166" t="inlineStr">
        <is>
          <t>VISIBILIDAD NACIONAL E INTERNACIONAL</t>
        </is>
      </c>
      <c r="E166" t="inlineStr">
        <is>
          <t>Semestral</t>
        </is>
      </c>
      <c r="F166" t="inlineStr">
        <is>
          <t>Positivo</t>
        </is>
      </c>
      <c r="G166" t="inlineStr"/>
      <c r="H166" t="inlineStr">
        <is>
          <t>Historico</t>
        </is>
      </c>
      <c r="I166" t="inlineStr">
        <is>
          <t>Historico</t>
        </is>
      </c>
      <c r="J166" t="inlineStr">
        <is>
          <t>Acumulado</t>
        </is>
      </c>
      <c r="K166" t="inlineStr"/>
      <c r="L166" t="inlineStr">
        <is>
          <t>ENT</t>
        </is>
      </c>
    </row>
    <row r="167">
      <c r="A167" t="n">
        <v>314</v>
      </c>
      <c r="B167" t="inlineStr">
        <is>
          <t>N de asignaturas COIL - (Collaborative Online International Learning)</t>
        </is>
      </c>
      <c r="C167" t="inlineStr">
        <is>
          <t>Estratégico</t>
        </is>
      </c>
      <c r="D167" t="inlineStr">
        <is>
          <t>VISIBILIDAD NACIONAL E INTERNACIONAL</t>
        </is>
      </c>
      <c r="E167" t="inlineStr">
        <is>
          <t>Semestral</t>
        </is>
      </c>
      <c r="F167" t="inlineStr">
        <is>
          <t>Positivo</t>
        </is>
      </c>
      <c r="G167" t="inlineStr"/>
      <c r="H167" t="inlineStr">
        <is>
          <t>Historico</t>
        </is>
      </c>
      <c r="I167" t="inlineStr">
        <is>
          <t>Historico</t>
        </is>
      </c>
      <c r="J167" t="inlineStr">
        <is>
          <t>Acumulado</t>
        </is>
      </c>
      <c r="K167" t="inlineStr"/>
      <c r="L167" t="inlineStr">
        <is>
          <t>ENT</t>
        </is>
      </c>
    </row>
    <row r="168">
      <c r="A168" t="n">
        <v>315</v>
      </c>
      <c r="B168" t="inlineStr">
        <is>
          <t>Num de programas con convenios de doble titulación</t>
        </is>
      </c>
      <c r="C168" t="inlineStr">
        <is>
          <t>Operativo</t>
        </is>
      </c>
      <c r="D168" t="inlineStr">
        <is>
          <t>VISIBILIDAD NACIONAL E INTERNACIONAL</t>
        </is>
      </c>
      <c r="E168" t="inlineStr">
        <is>
          <t>Semestral</t>
        </is>
      </c>
      <c r="F168" t="inlineStr">
        <is>
          <t>Positivo</t>
        </is>
      </c>
      <c r="G168" t="inlineStr"/>
      <c r="H168" t="inlineStr">
        <is>
          <t>Historico</t>
        </is>
      </c>
      <c r="I168" t="inlineStr">
        <is>
          <t>Historico</t>
        </is>
      </c>
      <c r="J168" t="inlineStr">
        <is>
          <t>Acumulado</t>
        </is>
      </c>
      <c r="K168" t="inlineStr"/>
      <c r="L168" t="inlineStr">
        <is>
          <t>ENT</t>
        </is>
      </c>
    </row>
    <row r="169">
      <c r="A169" t="n">
        <v>316</v>
      </c>
      <c r="B169" t="inlineStr">
        <is>
          <t>Asignaturas con sesiones en segundo idioma</t>
        </is>
      </c>
      <c r="C169" t="inlineStr">
        <is>
          <t>Estratégico</t>
        </is>
      </c>
      <c r="D169" t="inlineStr">
        <is>
          <t>VISIBILIDAD NACIONAL E INTERNACIONAL</t>
        </is>
      </c>
      <c r="E169" t="inlineStr">
        <is>
          <t>Semestral</t>
        </is>
      </c>
      <c r="F169" t="inlineStr">
        <is>
          <t>Positivo</t>
        </is>
      </c>
      <c r="G169" t="inlineStr"/>
      <c r="H169" t="inlineStr">
        <is>
          <t>Historico</t>
        </is>
      </c>
      <c r="I169" t="inlineStr">
        <is>
          <t>Historico</t>
        </is>
      </c>
      <c r="J169" t="inlineStr">
        <is>
          <t>Acumulado</t>
        </is>
      </c>
      <c r="K169" t="inlineStr"/>
      <c r="L169" t="inlineStr">
        <is>
          <t>ENT</t>
        </is>
      </c>
    </row>
    <row r="170">
      <c r="A170" t="n">
        <v>317</v>
      </c>
      <c r="B170" t="inlineStr">
        <is>
          <t>Plan De Internacionalización A 7 Años</t>
        </is>
      </c>
      <c r="C170" t="inlineStr">
        <is>
          <t>Operativo</t>
        </is>
      </c>
      <c r="D170" t="inlineStr">
        <is>
          <t>VISIBILIDAD NACIONAL E INTERNACIONAL</t>
        </is>
      </c>
      <c r="E170" t="inlineStr">
        <is>
          <t>Anual</t>
        </is>
      </c>
      <c r="F170" t="inlineStr">
        <is>
          <t>Positivo</t>
        </is>
      </c>
      <c r="G170" t="inlineStr"/>
      <c r="H170" t="inlineStr">
        <is>
          <t>Historico</t>
        </is>
      </c>
      <c r="I170" t="inlineStr">
        <is>
          <t>Historico</t>
        </is>
      </c>
      <c r="J170" t="inlineStr">
        <is>
          <t>Cierre</t>
        </is>
      </c>
      <c r="K170" t="inlineStr"/>
      <c r="L170" t="inlineStr">
        <is>
          <t>ENT</t>
        </is>
      </c>
    </row>
    <row r="171">
      <c r="A171" t="n">
        <v>318</v>
      </c>
      <c r="B171" t="inlineStr">
        <is>
          <t>Convenios, alianzas activas con actividades en los últimos 5 años</t>
        </is>
      </c>
      <c r="C171" t="inlineStr">
        <is>
          <t>Operativo</t>
        </is>
      </c>
      <c r="D171" t="inlineStr">
        <is>
          <t>VISIBILIDAD NACIONAL E INTERNACIONAL</t>
        </is>
      </c>
      <c r="E171" t="inlineStr">
        <is>
          <t>Anual</t>
        </is>
      </c>
      <c r="F171" t="inlineStr">
        <is>
          <t>Positivo</t>
        </is>
      </c>
      <c r="G171" t="inlineStr">
        <is>
          <t>Serie Unica</t>
        </is>
      </c>
      <c r="H171" t="inlineStr">
        <is>
          <t>Activo</t>
        </is>
      </c>
      <c r="I171" t="inlineStr">
        <is>
          <t>API</t>
        </is>
      </c>
      <c r="J171" t="inlineStr">
        <is>
          <t>Cierre</t>
        </is>
      </c>
      <c r="K171" t="inlineStr"/>
      <c r="L171" t="inlineStr">
        <is>
          <t>%</t>
        </is>
      </c>
    </row>
    <row r="172">
      <c r="A172" t="n">
        <v>319</v>
      </c>
      <c r="B172" t="inlineStr">
        <is>
          <t>Nivel de cumplimiento de la gestión de internacionalización descrito en el plan de trabajo de la ORNI</t>
        </is>
      </c>
      <c r="C172" t="inlineStr">
        <is>
          <t>Operativo</t>
        </is>
      </c>
      <c r="D172" t="inlineStr">
        <is>
          <t>VISIBILIDAD NACIONAL E INTERNACIONAL</t>
        </is>
      </c>
      <c r="E172" t="inlineStr">
        <is>
          <t>Semestral</t>
        </is>
      </c>
      <c r="F172" t="inlineStr">
        <is>
          <t>Positivo</t>
        </is>
      </c>
      <c r="G172" t="inlineStr"/>
      <c r="H172" t="inlineStr">
        <is>
          <t>Historico</t>
        </is>
      </c>
      <c r="I172" t="inlineStr">
        <is>
          <t>Historico</t>
        </is>
      </c>
      <c r="J172" t="inlineStr">
        <is>
          <t>Acumulado</t>
        </is>
      </c>
      <c r="K172" t="inlineStr"/>
      <c r="L172" t="inlineStr">
        <is>
          <t>%</t>
        </is>
      </c>
    </row>
    <row r="173">
      <c r="A173" t="n">
        <v>320</v>
      </c>
      <c r="B173" t="inlineStr">
        <is>
          <t>Participación docentes Poli en eventos académicos internacionales virtuales</t>
        </is>
      </c>
      <c r="C173" t="inlineStr">
        <is>
          <t>Estratégico</t>
        </is>
      </c>
      <c r="D173" t="inlineStr">
        <is>
          <t>VISIBILIDAD NACIONAL E INTERNACIONAL</t>
        </is>
      </c>
      <c r="E173" t="inlineStr">
        <is>
          <t>Semestral</t>
        </is>
      </c>
      <c r="F173" t="inlineStr">
        <is>
          <t>Positivo</t>
        </is>
      </c>
      <c r="G173" t="inlineStr"/>
      <c r="H173" t="inlineStr">
        <is>
          <t>Historico</t>
        </is>
      </c>
      <c r="I173" t="inlineStr">
        <is>
          <t>Historico</t>
        </is>
      </c>
      <c r="J173" t="inlineStr">
        <is>
          <t>Acumulado</t>
        </is>
      </c>
      <c r="K173" t="inlineStr"/>
      <c r="L173" t="inlineStr">
        <is>
          <t>ENT</t>
        </is>
      </c>
    </row>
    <row r="174">
      <c r="A174" t="n">
        <v>321</v>
      </c>
      <c r="B174" t="inlineStr">
        <is>
          <t>Participación estudiantes Poli en eventos académicos internacionales virtuales</t>
        </is>
      </c>
      <c r="C174" t="inlineStr">
        <is>
          <t>Estratégico</t>
        </is>
      </c>
      <c r="D174" t="inlineStr">
        <is>
          <t>VISIBILIDAD NACIONAL E INTERNACIONAL</t>
        </is>
      </c>
      <c r="E174" t="inlineStr">
        <is>
          <t>Semestral</t>
        </is>
      </c>
      <c r="F174" t="inlineStr">
        <is>
          <t>Positivo</t>
        </is>
      </c>
      <c r="G174" t="inlineStr"/>
      <c r="H174" t="inlineStr">
        <is>
          <t>Historico</t>
        </is>
      </c>
      <c r="I174" t="inlineStr">
        <is>
          <t>Historico</t>
        </is>
      </c>
      <c r="J174" t="inlineStr">
        <is>
          <t>Acumulado</t>
        </is>
      </c>
      <c r="K174" t="inlineStr"/>
      <c r="L174" t="inlineStr">
        <is>
          <t>ENT</t>
        </is>
      </c>
    </row>
    <row r="175">
      <c r="A175" t="n">
        <v>323</v>
      </c>
      <c r="B175" t="inlineStr">
        <is>
          <t>Número de renovaciones de registro calificado</t>
        </is>
      </c>
      <c r="C175" t="inlineStr">
        <is>
          <t>Estratégico</t>
        </is>
      </c>
      <c r="D175" t="inlineStr">
        <is>
          <t>Creación, modificación y cierre de programas académicos</t>
        </is>
      </c>
      <c r="E175" t="inlineStr">
        <is>
          <t>Semestral</t>
        </is>
      </c>
      <c r="F175" t="inlineStr">
        <is>
          <t>Positivo</t>
        </is>
      </c>
      <c r="G175" t="inlineStr">
        <is>
          <t>Serie Unica</t>
        </is>
      </c>
      <c r="H175" t="inlineStr">
        <is>
          <t>Activo</t>
        </is>
      </c>
      <c r="I175" t="inlineStr">
        <is>
          <t>API</t>
        </is>
      </c>
      <c r="J175" t="inlineStr">
        <is>
          <t>Acumulado</t>
        </is>
      </c>
      <c r="K175" t="inlineStr"/>
      <c r="L175" t="inlineStr">
        <is>
          <t>ENT</t>
        </is>
      </c>
    </row>
    <row r="176">
      <c r="A176" t="n">
        <v>324</v>
      </c>
      <c r="B176" t="inlineStr">
        <is>
          <t>Número de programas nuevos radicados en el Ministerio de Educación</t>
        </is>
      </c>
      <c r="C176" t="inlineStr">
        <is>
          <t>Estratégico</t>
        </is>
      </c>
      <c r="D176" t="inlineStr">
        <is>
          <t>Creación, modificación y cierre de programas académicos</t>
        </is>
      </c>
      <c r="E176" t="inlineStr">
        <is>
          <t>Semestral</t>
        </is>
      </c>
      <c r="F176" t="inlineStr">
        <is>
          <t>Positivo</t>
        </is>
      </c>
      <c r="G176" t="inlineStr">
        <is>
          <t>Serie Unica</t>
        </is>
      </c>
      <c r="H176" t="inlineStr">
        <is>
          <t>Activo</t>
        </is>
      </c>
      <c r="I176" t="inlineStr">
        <is>
          <t>API</t>
        </is>
      </c>
      <c r="J176" t="inlineStr">
        <is>
          <t>Acumulado</t>
        </is>
      </c>
      <c r="K176" t="inlineStr"/>
      <c r="L176" t="inlineStr">
        <is>
          <t>ENT</t>
        </is>
      </c>
    </row>
    <row r="177">
      <c r="A177" t="n">
        <v>325</v>
      </c>
      <c r="B177" t="inlineStr">
        <is>
          <t>Número de programas nuevos con registro calificado aprobado - Metrica</t>
        </is>
      </c>
      <c r="C177" t="inlineStr">
        <is>
          <t>Estratégico</t>
        </is>
      </c>
      <c r="D177" t="inlineStr">
        <is>
          <t>Creación, modificación y cierre de programas académicos</t>
        </is>
      </c>
      <c r="E177" t="inlineStr">
        <is>
          <t>Semestral</t>
        </is>
      </c>
      <c r="F177" t="inlineStr">
        <is>
          <t>Positivo</t>
        </is>
      </c>
      <c r="G177" t="inlineStr">
        <is>
          <t>Serie Unica</t>
        </is>
      </c>
      <c r="H177" t="inlineStr">
        <is>
          <t>Activo</t>
        </is>
      </c>
      <c r="I177" t="inlineStr">
        <is>
          <t>API</t>
        </is>
      </c>
      <c r="J177" t="inlineStr">
        <is>
          <t>Acumulado</t>
        </is>
      </c>
      <c r="K177" t="inlineStr"/>
      <c r="L177" t="inlineStr">
        <is>
          <t>ENT</t>
        </is>
      </c>
    </row>
    <row r="178">
      <c r="A178" t="n">
        <v>326</v>
      </c>
      <c r="B178" t="inlineStr">
        <is>
          <t>Número de informes de autoevaluación con fines de acreditación en alta calidad radicados- Metrica</t>
        </is>
      </c>
      <c r="C178" t="inlineStr">
        <is>
          <t>Operativo</t>
        </is>
      </c>
      <c r="D178" t="inlineStr">
        <is>
          <t>Autoevaluación de programas académicos</t>
        </is>
      </c>
      <c r="E178" t="inlineStr">
        <is>
          <t>Anual</t>
        </is>
      </c>
      <c r="F178" t="inlineStr">
        <is>
          <t>Positivo</t>
        </is>
      </c>
      <c r="G178" t="inlineStr">
        <is>
          <t>Serie Unica</t>
        </is>
      </c>
      <c r="H178" t="inlineStr">
        <is>
          <t>Activo</t>
        </is>
      </c>
      <c r="I178" t="inlineStr">
        <is>
          <t>API</t>
        </is>
      </c>
      <c r="J178" t="inlineStr">
        <is>
          <t>Cierre</t>
        </is>
      </c>
      <c r="K178" t="inlineStr"/>
      <c r="L178" t="inlineStr">
        <is>
          <t>ENT</t>
        </is>
      </c>
    </row>
    <row r="179">
      <c r="A179" t="n">
        <v>327</v>
      </c>
      <c r="B179" t="inlineStr">
        <is>
          <t>Número de programas con obtención de acreditación por primera vez- Metrica</t>
        </is>
      </c>
      <c r="C179" t="inlineStr">
        <is>
          <t>Estratégico</t>
        </is>
      </c>
      <c r="D179" t="inlineStr">
        <is>
          <t>Autoevaluación de programas académicos</t>
        </is>
      </c>
      <c r="E179" t="inlineStr">
        <is>
          <t>Semestral</t>
        </is>
      </c>
      <c r="F179" t="inlineStr">
        <is>
          <t>Positivo</t>
        </is>
      </c>
      <c r="G179" t="inlineStr">
        <is>
          <t>Serie Unica</t>
        </is>
      </c>
      <c r="H179" t="inlineStr">
        <is>
          <t>Activo</t>
        </is>
      </c>
      <c r="I179" t="inlineStr">
        <is>
          <t>API</t>
        </is>
      </c>
      <c r="J179" t="inlineStr">
        <is>
          <t>Acumulado</t>
        </is>
      </c>
      <c r="K179" t="inlineStr"/>
      <c r="L179" t="inlineStr">
        <is>
          <t>ENT</t>
        </is>
      </c>
    </row>
    <row r="180">
      <c r="A180" t="n">
        <v>328</v>
      </c>
      <c r="B180" t="inlineStr">
        <is>
          <t>Nivel de encuestas obtenidas en el encuentro institucional de graduados</t>
        </is>
      </c>
      <c r="C180" t="inlineStr">
        <is>
          <t>Estratégico</t>
        </is>
      </c>
      <c r="D180" t="inlineStr">
        <is>
          <t>Gestión de Graduados</t>
        </is>
      </c>
      <c r="E180" t="inlineStr">
        <is>
          <t>Anual</t>
        </is>
      </c>
      <c r="F180" t="inlineStr">
        <is>
          <t>Positivo</t>
        </is>
      </c>
      <c r="G180" t="inlineStr"/>
      <c r="H180" t="inlineStr">
        <is>
          <t>Historico</t>
        </is>
      </c>
      <c r="I180" t="inlineStr">
        <is>
          <t>Historico</t>
        </is>
      </c>
      <c r="J180" t="inlineStr">
        <is>
          <t>Cierre</t>
        </is>
      </c>
      <c r="K180" t="inlineStr"/>
      <c r="L180" t="inlineStr">
        <is>
          <t>ENT</t>
        </is>
      </c>
    </row>
    <row r="181">
      <c r="A181" t="n">
        <v>329</v>
      </c>
      <c r="B181" t="inlineStr">
        <is>
          <t>Participación en actividades diseñadas para graduados</t>
        </is>
      </c>
      <c r="C181" t="inlineStr">
        <is>
          <t>Operativo</t>
        </is>
      </c>
      <c r="D181" t="inlineStr">
        <is>
          <t>Gestión de Graduados</t>
        </is>
      </c>
      <c r="E181" t="inlineStr">
        <is>
          <t>Anual</t>
        </is>
      </c>
      <c r="F181" t="inlineStr">
        <is>
          <t>Positivo</t>
        </is>
      </c>
      <c r="G181" t="inlineStr"/>
      <c r="H181" t="inlineStr">
        <is>
          <t>Historico</t>
        </is>
      </c>
      <c r="I181" t="inlineStr">
        <is>
          <t>Historico</t>
        </is>
      </c>
      <c r="J181" t="inlineStr">
        <is>
          <t>Cierre</t>
        </is>
      </c>
      <c r="K181" t="inlineStr"/>
      <c r="L181" t="inlineStr">
        <is>
          <t>ENT</t>
        </is>
      </c>
    </row>
    <row r="182">
      <c r="A182" t="n">
        <v>331</v>
      </c>
      <c r="B182" t="inlineStr">
        <is>
          <t>Nivel de empleabilidad del graduado</t>
        </is>
      </c>
      <c r="C182" t="inlineStr">
        <is>
          <t>Operativo</t>
        </is>
      </c>
      <c r="D182" t="inlineStr">
        <is>
          <t>Gestión de Graduados</t>
        </is>
      </c>
      <c r="E182" t="inlineStr">
        <is>
          <t>Anual</t>
        </is>
      </c>
      <c r="F182" t="inlineStr">
        <is>
          <t>Positivo</t>
        </is>
      </c>
      <c r="G182" t="inlineStr"/>
      <c r="H182" t="inlineStr">
        <is>
          <t>Historico</t>
        </is>
      </c>
      <c r="I182" t="inlineStr">
        <is>
          <t>Historico</t>
        </is>
      </c>
      <c r="J182" t="inlineStr">
        <is>
          <t>Cierre</t>
        </is>
      </c>
      <c r="K182" t="inlineStr"/>
      <c r="L182" t="inlineStr">
        <is>
          <t>%</t>
        </is>
      </c>
    </row>
    <row r="183">
      <c r="A183" t="n">
        <v>332</v>
      </c>
      <c r="B183" t="inlineStr">
        <is>
          <t>Índice de rotación</t>
        </is>
      </c>
      <c r="C183" t="inlineStr">
        <is>
          <t>Estratégico</t>
        </is>
      </c>
      <c r="D183" t="inlineStr">
        <is>
          <t>GESTIÓN Y DESARROLLO DEL TALENTO HUMANO</t>
        </is>
      </c>
      <c r="E183" t="inlineStr">
        <is>
          <t>Semestral</t>
        </is>
      </c>
      <c r="F183" t="inlineStr">
        <is>
          <t>Negativo</t>
        </is>
      </c>
      <c r="G183" t="inlineStr">
        <is>
          <t>Serie Unica</t>
        </is>
      </c>
      <c r="H183" t="inlineStr">
        <is>
          <t>Activo</t>
        </is>
      </c>
      <c r="I183" t="inlineStr">
        <is>
          <t>API</t>
        </is>
      </c>
      <c r="J183" t="inlineStr">
        <is>
          <t>Promedio</t>
        </is>
      </c>
      <c r="K183" t="inlineStr"/>
      <c r="L183" t="inlineStr">
        <is>
          <t>DEC</t>
        </is>
      </c>
    </row>
    <row r="184">
      <c r="A184" t="n">
        <v>334</v>
      </c>
      <c r="B184" t="inlineStr">
        <is>
          <t>Resultado de la evaluación 360 (evaluación por competencias)</t>
        </is>
      </c>
      <c r="C184" t="inlineStr">
        <is>
          <t>Operativo</t>
        </is>
      </c>
      <c r="D184" t="inlineStr">
        <is>
          <t>GESTIÓN Y DESARROLLO DEL TALENTO HUMANO</t>
        </is>
      </c>
      <c r="E184" t="inlineStr">
        <is>
          <t>Anual</t>
        </is>
      </c>
      <c r="F184" t="inlineStr">
        <is>
          <t>Positivo</t>
        </is>
      </c>
      <c r="G184" t="inlineStr">
        <is>
          <t>Serie Unica</t>
        </is>
      </c>
      <c r="H184" t="inlineStr">
        <is>
          <t>Activo</t>
        </is>
      </c>
      <c r="I184" t="inlineStr">
        <is>
          <t>API</t>
        </is>
      </c>
      <c r="J184" t="inlineStr">
        <is>
          <t>Cierre</t>
        </is>
      </c>
      <c r="K184" t="inlineStr"/>
      <c r="L184" t="inlineStr">
        <is>
          <t>ENT</t>
        </is>
      </c>
    </row>
    <row r="185">
      <c r="A185" t="n">
        <v>335</v>
      </c>
      <c r="B185" t="inlineStr">
        <is>
          <t>Cumplimiento de diagnóstico necesidades de capacitación por área</t>
        </is>
      </c>
      <c r="C185" t="inlineStr">
        <is>
          <t>Operativo</t>
        </is>
      </c>
      <c r="D185" t="inlineStr">
        <is>
          <t>GESTIÓN Y DESARROLLO DEL TALENTO HUMANO</t>
        </is>
      </c>
      <c r="E185" t="inlineStr">
        <is>
          <t>Anual</t>
        </is>
      </c>
      <c r="F185" t="inlineStr">
        <is>
          <t>Positivo</t>
        </is>
      </c>
      <c r="G185" t="inlineStr"/>
      <c r="H185" t="inlineStr">
        <is>
          <t>Historico</t>
        </is>
      </c>
      <c r="I185" t="inlineStr">
        <is>
          <t>Historico</t>
        </is>
      </c>
      <c r="J185" t="inlineStr">
        <is>
          <t>Cierre</t>
        </is>
      </c>
      <c r="K185" t="inlineStr"/>
      <c r="L185" t="inlineStr">
        <is>
          <t>%</t>
        </is>
      </c>
    </row>
    <row r="186">
      <c r="A186" t="n">
        <v>336</v>
      </c>
      <c r="B186" t="inlineStr">
        <is>
          <t>Materiales bibliográficos en formato físico con estado de perdida</t>
        </is>
      </c>
      <c r="C186" t="inlineStr">
        <is>
          <t>Operativo</t>
        </is>
      </c>
      <c r="D186" t="inlineStr">
        <is>
          <t>Biblioteca Institucional</t>
        </is>
      </c>
      <c r="E186" t="inlineStr">
        <is>
          <t>Anual</t>
        </is>
      </c>
      <c r="F186" t="inlineStr">
        <is>
          <t>Negativo</t>
        </is>
      </c>
      <c r="G186" t="inlineStr">
        <is>
          <t>Serie Unica</t>
        </is>
      </c>
      <c r="H186" t="inlineStr">
        <is>
          <t>Activo</t>
        </is>
      </c>
      <c r="I186" t="inlineStr">
        <is>
          <t>API</t>
        </is>
      </c>
      <c r="J186" t="inlineStr">
        <is>
          <t>Cierre</t>
        </is>
      </c>
      <c r="K186" t="inlineStr"/>
      <c r="L186" t="inlineStr">
        <is>
          <t>%</t>
        </is>
      </c>
    </row>
    <row r="187">
      <c r="A187" t="n">
        <v>337</v>
      </c>
      <c r="B187" t="inlineStr">
        <is>
          <t>Número de programas con renovación de acreditación en alta calidad - Metrica</t>
        </is>
      </c>
      <c r="C187" t="inlineStr">
        <is>
          <t>Estratégico</t>
        </is>
      </c>
      <c r="D187" t="inlineStr">
        <is>
          <t>Autoevaluación de programas académicos</t>
        </is>
      </c>
      <c r="E187" t="inlineStr">
        <is>
          <t>Semestral</t>
        </is>
      </c>
      <c r="F187" t="inlineStr">
        <is>
          <t>Positivo</t>
        </is>
      </c>
      <c r="G187" t="inlineStr">
        <is>
          <t>Serie Unica</t>
        </is>
      </c>
      <c r="H187" t="inlineStr">
        <is>
          <t>Activo</t>
        </is>
      </c>
      <c r="I187" t="inlineStr">
        <is>
          <t>API</t>
        </is>
      </c>
      <c r="J187" t="inlineStr">
        <is>
          <t>Acumulado</t>
        </is>
      </c>
      <c r="K187" t="inlineStr"/>
      <c r="L187" t="inlineStr">
        <is>
          <t>ENT</t>
        </is>
      </c>
    </row>
    <row r="188">
      <c r="A188" t="n">
        <v>338</v>
      </c>
      <c r="B188" t="inlineStr">
        <is>
          <t>Número de programas con condiciones iniciales aprobadas (indicador externo)- Metrica</t>
        </is>
      </c>
      <c r="C188" t="inlineStr">
        <is>
          <t>Estratégico</t>
        </is>
      </c>
      <c r="D188" t="inlineStr">
        <is>
          <t>Autoevaluación de programas académicos</t>
        </is>
      </c>
      <c r="E188" t="inlineStr">
        <is>
          <t>Semestral</t>
        </is>
      </c>
      <c r="F188" t="inlineStr">
        <is>
          <t>Positivo</t>
        </is>
      </c>
      <c r="G188" t="inlineStr">
        <is>
          <t>Serie Unica</t>
        </is>
      </c>
      <c r="H188" t="inlineStr">
        <is>
          <t>Activo</t>
        </is>
      </c>
      <c r="I188" t="inlineStr">
        <is>
          <t>API</t>
        </is>
      </c>
      <c r="J188" t="inlineStr">
        <is>
          <t>Acumulado</t>
        </is>
      </c>
      <c r="K188" t="inlineStr"/>
      <c r="L188" t="inlineStr">
        <is>
          <t>ENT</t>
        </is>
      </c>
    </row>
    <row r="189">
      <c r="A189" t="n">
        <v>339</v>
      </c>
      <c r="B189" t="inlineStr">
        <is>
          <t>Programas acreditables acreditados Sede Bogotá</t>
        </is>
      </c>
      <c r="C189" t="inlineStr">
        <is>
          <t>Estratégico</t>
        </is>
      </c>
      <c r="D189" t="inlineStr">
        <is>
          <t>Autoevaluación institucional</t>
        </is>
      </c>
      <c r="E189" t="inlineStr">
        <is>
          <t>Anual</t>
        </is>
      </c>
      <c r="F189" t="inlineStr">
        <is>
          <t>Positivo</t>
        </is>
      </c>
      <c r="G189" t="inlineStr">
        <is>
          <t>Serie Unica</t>
        </is>
      </c>
      <c r="H189" t="inlineStr">
        <is>
          <t>Activo</t>
        </is>
      </c>
      <c r="I189" t="inlineStr">
        <is>
          <t>API</t>
        </is>
      </c>
      <c r="J189" t="inlineStr">
        <is>
          <t>Cierre</t>
        </is>
      </c>
      <c r="K189" t="inlineStr"/>
      <c r="L189" t="inlineStr">
        <is>
          <t>%</t>
        </is>
      </c>
    </row>
    <row r="190">
      <c r="A190" t="n">
        <v>340</v>
      </c>
      <c r="B190" t="inlineStr">
        <is>
          <t>Cumplimiento cronograma revisiones locativas</t>
        </is>
      </c>
      <c r="C190" t="inlineStr">
        <is>
          <t>Operativo</t>
        </is>
      </c>
      <c r="D190" t="inlineStr">
        <is>
          <t>Gestión Infraestructura Física</t>
        </is>
      </c>
      <c r="E190" t="inlineStr">
        <is>
          <t>Trimestral</t>
        </is>
      </c>
      <c r="F190" t="inlineStr">
        <is>
          <t>Positivo</t>
        </is>
      </c>
      <c r="G190" t="inlineStr"/>
      <c r="H190" t="inlineStr">
        <is>
          <t>Historico</t>
        </is>
      </c>
      <c r="I190" t="inlineStr">
        <is>
          <t>Historico</t>
        </is>
      </c>
      <c r="J190" t="inlineStr">
        <is>
          <t>Cierre</t>
        </is>
      </c>
      <c r="K190" t="inlineStr"/>
      <c r="L190" t="inlineStr">
        <is>
          <t>%</t>
        </is>
      </c>
    </row>
    <row r="191">
      <c r="A191" t="n">
        <v>341</v>
      </c>
      <c r="B191" t="inlineStr">
        <is>
          <t>Eficiencia en la reducción de costos en la gestión del abastecimiento</t>
        </is>
      </c>
      <c r="C191" t="inlineStr">
        <is>
          <t>Estratégico</t>
        </is>
      </c>
      <c r="D191" t="inlineStr">
        <is>
          <t>GESTIÓN DE ABASTECIMIENTO</t>
        </is>
      </c>
      <c r="E191" t="inlineStr">
        <is>
          <t>Semestral</t>
        </is>
      </c>
      <c r="F191" t="inlineStr">
        <is>
          <t>Positivo</t>
        </is>
      </c>
      <c r="G191" t="inlineStr">
        <is>
          <t>Serie Unica</t>
        </is>
      </c>
      <c r="H191" t="inlineStr">
        <is>
          <t>Activo</t>
        </is>
      </c>
      <c r="I191" t="inlineStr">
        <is>
          <t>API</t>
        </is>
      </c>
      <c r="J191" t="inlineStr">
        <is>
          <t>Acumulado</t>
        </is>
      </c>
      <c r="K191" t="inlineStr"/>
      <c r="L191" t="inlineStr">
        <is>
          <t>$</t>
        </is>
      </c>
    </row>
    <row r="192">
      <c r="A192" t="n">
        <v>344</v>
      </c>
      <c r="B192" t="inlineStr">
        <is>
          <t>Cumplimiento del plan de Inducción institucional</t>
        </is>
      </c>
      <c r="C192" t="inlineStr">
        <is>
          <t>Estratégico</t>
        </is>
      </c>
      <c r="D192" t="inlineStr">
        <is>
          <t>GESTIÓN Y DESARROLLO DEL TALENTO HUMANO</t>
        </is>
      </c>
      <c r="E192" t="inlineStr">
        <is>
          <t>Semestral</t>
        </is>
      </c>
      <c r="F192" t="inlineStr">
        <is>
          <t>Positivo</t>
        </is>
      </c>
      <c r="G192" t="inlineStr">
        <is>
          <t>Serie Unica</t>
        </is>
      </c>
      <c r="H192" t="inlineStr">
        <is>
          <t>Activo</t>
        </is>
      </c>
      <c r="I192" t="inlineStr">
        <is>
          <t>API</t>
        </is>
      </c>
      <c r="J192" t="inlineStr">
        <is>
          <t>Promedio</t>
        </is>
      </c>
      <c r="K192" t="inlineStr"/>
      <c r="L192" t="inlineStr">
        <is>
          <t>%</t>
        </is>
      </c>
    </row>
    <row r="193">
      <c r="A193" t="n">
        <v>345</v>
      </c>
      <c r="B193" t="inlineStr">
        <is>
          <t>% de profesores impactados plan de desarrollo docente</t>
        </is>
      </c>
      <c r="C193" t="inlineStr">
        <is>
          <t>Operativo</t>
        </is>
      </c>
      <c r="D193" t="inlineStr">
        <is>
          <t>GESTIÓN Y DESARROLLO DEL TALENTO HUMANO</t>
        </is>
      </c>
      <c r="E193" t="inlineStr">
        <is>
          <t>Anual</t>
        </is>
      </c>
      <c r="F193" t="inlineStr">
        <is>
          <t>Positivo</t>
        </is>
      </c>
      <c r="G193" t="inlineStr"/>
      <c r="H193" t="inlineStr">
        <is>
          <t>Historico</t>
        </is>
      </c>
      <c r="I193" t="inlineStr">
        <is>
          <t>Historico</t>
        </is>
      </c>
      <c r="J193" t="inlineStr">
        <is>
          <t>Cierre</t>
        </is>
      </c>
      <c r="K193" t="inlineStr"/>
      <c r="L193" t="inlineStr">
        <is>
          <t>%</t>
        </is>
      </c>
    </row>
    <row r="194">
      <c r="A194" t="n">
        <v>346</v>
      </c>
      <c r="B194" t="inlineStr">
        <is>
          <t>% de profesores impactados en actividades de Bienestar</t>
        </is>
      </c>
      <c r="C194" t="inlineStr">
        <is>
          <t>Operativo</t>
        </is>
      </c>
      <c r="D194" t="inlineStr">
        <is>
          <t>GESTIÓN Y DESARROLLO DEL TALENTO HUMANO</t>
        </is>
      </c>
      <c r="E194" t="inlineStr">
        <is>
          <t>Anual</t>
        </is>
      </c>
      <c r="F194" t="inlineStr">
        <is>
          <t>Positivo</t>
        </is>
      </c>
      <c r="G194" t="inlineStr">
        <is>
          <t>Serie Unica</t>
        </is>
      </c>
      <c r="H194" t="inlineStr">
        <is>
          <t>Activo</t>
        </is>
      </c>
      <c r="I194" t="inlineStr">
        <is>
          <t>API</t>
        </is>
      </c>
      <c r="J194" t="inlineStr">
        <is>
          <t>Cierre</t>
        </is>
      </c>
      <c r="K194" t="inlineStr"/>
      <c r="L194" t="inlineStr">
        <is>
          <t>%</t>
        </is>
      </c>
    </row>
    <row r="195">
      <c r="A195" t="n">
        <v>347</v>
      </c>
      <c r="B195" t="inlineStr">
        <is>
          <t>Legalizaciones y anticipos</t>
        </is>
      </c>
      <c r="C195" t="inlineStr">
        <is>
          <t>Operativo</t>
        </is>
      </c>
      <c r="D195" t="inlineStr">
        <is>
          <t>Contabilidad</t>
        </is>
      </c>
      <c r="E195" t="inlineStr">
        <is>
          <t>Trimestral</t>
        </is>
      </c>
      <c r="F195" t="inlineStr">
        <is>
          <t>Negativo</t>
        </is>
      </c>
      <c r="G195" t="inlineStr">
        <is>
          <t>Serie Unica</t>
        </is>
      </c>
      <c r="H195" t="inlineStr">
        <is>
          <t>Activo</t>
        </is>
      </c>
      <c r="I195" t="inlineStr">
        <is>
          <t>API</t>
        </is>
      </c>
      <c r="J195" t="inlineStr">
        <is>
          <t>Promedio</t>
        </is>
      </c>
      <c r="K195" t="inlineStr"/>
      <c r="L195" t="inlineStr">
        <is>
          <t>ENT</t>
        </is>
      </c>
    </row>
    <row r="196">
      <c r="A196" t="n">
        <v>348</v>
      </c>
      <c r="B196" t="inlineStr">
        <is>
          <t>Cuentas por pagar</t>
        </is>
      </c>
      <c r="C196" t="inlineStr">
        <is>
          <t>Operativo</t>
        </is>
      </c>
      <c r="D196" t="inlineStr">
        <is>
          <t>Contabilidad</t>
        </is>
      </c>
      <c r="E196" t="inlineStr">
        <is>
          <t>Trimestral</t>
        </is>
      </c>
      <c r="F196" t="inlineStr">
        <is>
          <t>Positivo</t>
        </is>
      </c>
      <c r="G196" t="inlineStr">
        <is>
          <t>Serie Unica</t>
        </is>
      </c>
      <c r="H196" t="inlineStr">
        <is>
          <t>Activo</t>
        </is>
      </c>
      <c r="I196" t="inlineStr">
        <is>
          <t>API</t>
        </is>
      </c>
      <c r="J196" t="inlineStr">
        <is>
          <t>Promedio</t>
        </is>
      </c>
      <c r="K196" t="inlineStr"/>
      <c r="L196" t="inlineStr">
        <is>
          <t>%</t>
        </is>
      </c>
    </row>
    <row r="197">
      <c r="A197" t="n">
        <v>351</v>
      </c>
      <c r="B197" t="inlineStr">
        <is>
          <t>Partidas conciliatorias de bancos</t>
        </is>
      </c>
      <c r="C197" t="inlineStr">
        <is>
          <t>Operativo</t>
        </is>
      </c>
      <c r="D197" t="inlineStr">
        <is>
          <t>Contabilidad</t>
        </is>
      </c>
      <c r="E197" t="inlineStr">
        <is>
          <t>Trimestral</t>
        </is>
      </c>
      <c r="F197" t="inlineStr">
        <is>
          <t>Negativo</t>
        </is>
      </c>
      <c r="G197" t="inlineStr">
        <is>
          <t>Serie Unica</t>
        </is>
      </c>
      <c r="H197" t="inlineStr">
        <is>
          <t>Activo</t>
        </is>
      </c>
      <c r="I197" t="inlineStr">
        <is>
          <t>API</t>
        </is>
      </c>
      <c r="J197" t="inlineStr">
        <is>
          <t>Promedio</t>
        </is>
      </c>
      <c r="K197" t="inlineStr"/>
      <c r="L197" t="inlineStr">
        <is>
          <t>DEC</t>
        </is>
      </c>
    </row>
    <row r="198">
      <c r="A198" t="n">
        <v>352</v>
      </c>
      <c r="B198" t="inlineStr">
        <is>
          <t>Nivel de facturas generadas con error</t>
        </is>
      </c>
      <c r="C198" t="inlineStr">
        <is>
          <t>Operativo</t>
        </is>
      </c>
      <c r="D198" t="inlineStr">
        <is>
          <t>Contabilidad</t>
        </is>
      </c>
      <c r="E198" t="inlineStr">
        <is>
          <t>Trimestral</t>
        </is>
      </c>
      <c r="F198" t="inlineStr">
        <is>
          <t>Negativo</t>
        </is>
      </c>
      <c r="G198" t="inlineStr">
        <is>
          <t>Serie Unica</t>
        </is>
      </c>
      <c r="H198" t="inlineStr">
        <is>
          <t>Activo</t>
        </is>
      </c>
      <c r="I198" t="inlineStr">
        <is>
          <t>API</t>
        </is>
      </c>
      <c r="J198" t="inlineStr">
        <is>
          <t>Promedio</t>
        </is>
      </c>
      <c r="K198" t="inlineStr"/>
      <c r="L198" t="inlineStr">
        <is>
          <t>%</t>
        </is>
      </c>
    </row>
    <row r="199">
      <c r="A199" t="n">
        <v>353</v>
      </c>
      <c r="B199" t="inlineStr">
        <is>
          <t>Cobertura de tableros BI en procesos</t>
        </is>
      </c>
      <c r="C199" t="inlineStr">
        <is>
          <t>Estratégico</t>
        </is>
      </c>
      <c r="D199" t="inlineStr">
        <is>
          <t>DATOS Y ANALÍTICA</t>
        </is>
      </c>
      <c r="E199" t="inlineStr">
        <is>
          <t>Semestral</t>
        </is>
      </c>
      <c r="F199" t="inlineStr">
        <is>
          <t>Positivo</t>
        </is>
      </c>
      <c r="G199" t="inlineStr"/>
      <c r="H199" t="inlineStr">
        <is>
          <t>Historico</t>
        </is>
      </c>
      <c r="I199" t="inlineStr">
        <is>
          <t>Historico</t>
        </is>
      </c>
      <c r="J199" t="inlineStr">
        <is>
          <t>Cierre</t>
        </is>
      </c>
      <c r="K199" t="inlineStr"/>
      <c r="L199" t="inlineStr">
        <is>
          <t>ENT</t>
        </is>
      </c>
    </row>
    <row r="200">
      <c r="A200" t="n">
        <v>354</v>
      </c>
      <c r="B200" t="inlineStr">
        <is>
          <t>Plan de formación en analitica</t>
        </is>
      </c>
      <c r="C200" t="inlineStr">
        <is>
          <t>Operativo</t>
        </is>
      </c>
      <c r="D200" t="inlineStr">
        <is>
          <t>DATOS Y ANALÍTICA</t>
        </is>
      </c>
      <c r="E200" t="inlineStr">
        <is>
          <t>Semestral</t>
        </is>
      </c>
      <c r="F200" t="inlineStr">
        <is>
          <t>Positivo</t>
        </is>
      </c>
      <c r="G200" t="inlineStr"/>
      <c r="H200" t="inlineStr">
        <is>
          <t>Historico</t>
        </is>
      </c>
      <c r="I200" t="inlineStr">
        <is>
          <t>Historico</t>
        </is>
      </c>
      <c r="J200" t="inlineStr">
        <is>
          <t>Cierre</t>
        </is>
      </c>
      <c r="K200" t="inlineStr"/>
      <c r="L200" t="inlineStr">
        <is>
          <t>DEC</t>
        </is>
      </c>
    </row>
    <row r="201">
      <c r="A201" t="n">
        <v>355</v>
      </c>
      <c r="B201" t="inlineStr">
        <is>
          <t>Indice de liquidez</t>
        </is>
      </c>
      <c r="C201" t="inlineStr">
        <is>
          <t>Estratégico</t>
        </is>
      </c>
      <c r="D201" t="inlineStr">
        <is>
          <t>Tesorería</t>
        </is>
      </c>
      <c r="E201" t="inlineStr">
        <is>
          <t>Anual</t>
        </is>
      </c>
      <c r="F201" t="inlineStr">
        <is>
          <t>Positivo</t>
        </is>
      </c>
      <c r="G201" t="inlineStr">
        <is>
          <t>Serie Unica</t>
        </is>
      </c>
      <c r="H201" t="inlineStr">
        <is>
          <t>Activo</t>
        </is>
      </c>
      <c r="I201" t="inlineStr">
        <is>
          <t>API</t>
        </is>
      </c>
      <c r="J201" t="inlineStr">
        <is>
          <t>Cierre</t>
        </is>
      </c>
      <c r="K201" t="inlineStr"/>
      <c r="L201" t="inlineStr">
        <is>
          <t>DEC</t>
        </is>
      </c>
    </row>
    <row r="202">
      <c r="A202" t="n">
        <v>356</v>
      </c>
      <c r="B202" t="inlineStr">
        <is>
          <t>Indice de Endeudamiento</t>
        </is>
      </c>
      <c r="C202" t="inlineStr">
        <is>
          <t>Estratégico</t>
        </is>
      </c>
      <c r="D202" t="inlineStr">
        <is>
          <t>Tesorería</t>
        </is>
      </c>
      <c r="E202" t="inlineStr">
        <is>
          <t>Semestral</t>
        </is>
      </c>
      <c r="F202" t="inlineStr">
        <is>
          <t>Negativo</t>
        </is>
      </c>
      <c r="G202" t="inlineStr">
        <is>
          <t>Serie Unica</t>
        </is>
      </c>
      <c r="H202" t="inlineStr">
        <is>
          <t>Activo</t>
        </is>
      </c>
      <c r="I202" t="inlineStr">
        <is>
          <t>API</t>
        </is>
      </c>
      <c r="J202" t="inlineStr">
        <is>
          <t>Promedio</t>
        </is>
      </c>
      <c r="K202" t="inlineStr"/>
      <c r="L202" t="inlineStr">
        <is>
          <t>%</t>
        </is>
      </c>
    </row>
    <row r="203">
      <c r="A203" t="n">
        <v>357</v>
      </c>
      <c r="B203" t="inlineStr">
        <is>
          <t>Cartera - Metrica</t>
        </is>
      </c>
      <c r="C203" t="inlineStr">
        <is>
          <t>Estratégico</t>
        </is>
      </c>
      <c r="D203" t="inlineStr">
        <is>
          <t>Tesorería</t>
        </is>
      </c>
      <c r="E203" t="inlineStr">
        <is>
          <t>Semestral</t>
        </is>
      </c>
      <c r="F203" t="inlineStr">
        <is>
          <t>Positivo</t>
        </is>
      </c>
      <c r="G203" t="inlineStr">
        <is>
          <t>Serie Unica</t>
        </is>
      </c>
      <c r="H203" t="inlineStr">
        <is>
          <t>Activo</t>
        </is>
      </c>
      <c r="I203" t="inlineStr">
        <is>
          <t>API</t>
        </is>
      </c>
      <c r="J203" t="inlineStr">
        <is>
          <t>Cierre</t>
        </is>
      </c>
      <c r="K203" t="inlineStr"/>
      <c r="L203" t="inlineStr">
        <is>
          <t>$</t>
        </is>
      </c>
    </row>
    <row r="204">
      <c r="A204" t="n">
        <v>358</v>
      </c>
      <c r="B204" t="inlineStr">
        <is>
          <t>Nivel de acompañamiento a estudiantes en práctica</t>
        </is>
      </c>
      <c r="C204" t="inlineStr">
        <is>
          <t>Operativo</t>
        </is>
      </c>
      <c r="D204" t="inlineStr">
        <is>
          <t>Prácticas</t>
        </is>
      </c>
      <c r="E204" t="inlineStr">
        <is>
          <t>Semestral</t>
        </is>
      </c>
      <c r="F204" t="inlineStr">
        <is>
          <t>Positivo</t>
        </is>
      </c>
      <c r="G204" t="inlineStr">
        <is>
          <t>Serie Unica</t>
        </is>
      </c>
      <c r="H204" t="inlineStr">
        <is>
          <t>Activo</t>
        </is>
      </c>
      <c r="I204" t="inlineStr">
        <is>
          <t>API</t>
        </is>
      </c>
      <c r="J204" t="inlineStr">
        <is>
          <t>Promedio</t>
        </is>
      </c>
      <c r="K204" t="inlineStr"/>
      <c r="L204" t="inlineStr">
        <is>
          <t>%</t>
        </is>
      </c>
    </row>
    <row r="205">
      <c r="A205" t="n">
        <v>359</v>
      </c>
      <c r="B205" t="inlineStr">
        <is>
          <t>Satisfacción Institucional CSAT</t>
        </is>
      </c>
      <c r="C205" t="inlineStr">
        <is>
          <t>Estratégico</t>
        </is>
      </c>
      <c r="D205" t="inlineStr">
        <is>
          <t>EXPERIENCIA INSTITUCIONAL</t>
        </is>
      </c>
      <c r="E205" t="inlineStr">
        <is>
          <t>Semestral</t>
        </is>
      </c>
      <c r="F205" t="inlineStr">
        <is>
          <t>Positivo</t>
        </is>
      </c>
      <c r="G205" t="inlineStr">
        <is>
          <t>Serie Unica</t>
        </is>
      </c>
      <c r="H205" t="inlineStr">
        <is>
          <t>Activo</t>
        </is>
      </c>
      <c r="I205" t="inlineStr">
        <is>
          <t>API</t>
        </is>
      </c>
      <c r="J205" t="inlineStr">
        <is>
          <t>Cierre</t>
        </is>
      </c>
      <c r="K205" t="inlineStr"/>
      <c r="L205" t="inlineStr">
        <is>
          <t>%</t>
        </is>
      </c>
    </row>
    <row r="206">
      <c r="A206" t="n">
        <v>360</v>
      </c>
      <c r="B206" t="inlineStr">
        <is>
          <t>Cumplimiento de cronogramas</t>
        </is>
      </c>
      <c r="C206" t="inlineStr">
        <is>
          <t>Operativo</t>
        </is>
      </c>
      <c r="D206" t="inlineStr">
        <is>
          <t>EXPERIENCIA INSTITUCIONAL</t>
        </is>
      </c>
      <c r="E206" t="inlineStr">
        <is>
          <t>Semestral</t>
        </is>
      </c>
      <c r="F206" t="inlineStr">
        <is>
          <t>Positivo</t>
        </is>
      </c>
      <c r="G206" t="inlineStr"/>
      <c r="H206" t="inlineStr">
        <is>
          <t>Historico</t>
        </is>
      </c>
      <c r="I206" t="inlineStr">
        <is>
          <t>Historico</t>
        </is>
      </c>
      <c r="J206" t="inlineStr">
        <is>
          <t>Cierre</t>
        </is>
      </c>
      <c r="K206" t="inlineStr"/>
      <c r="L206" t="inlineStr">
        <is>
          <t>%</t>
        </is>
      </c>
    </row>
    <row r="207">
      <c r="A207" t="n">
        <v>361</v>
      </c>
      <c r="B207" t="inlineStr">
        <is>
          <t>Índice de Inclusión</t>
        </is>
      </c>
      <c r="C207" t="inlineStr">
        <is>
          <t>Estratégico</t>
        </is>
      </c>
      <c r="D207" t="inlineStr">
        <is>
          <t>Gestión de la Responsabilidad Social</t>
        </is>
      </c>
      <c r="E207" t="inlineStr">
        <is>
          <t>Anual</t>
        </is>
      </c>
      <c r="F207" t="inlineStr">
        <is>
          <t>Positivo</t>
        </is>
      </c>
      <c r="G207" t="inlineStr">
        <is>
          <t>Serie Unica</t>
        </is>
      </c>
      <c r="H207" t="inlineStr">
        <is>
          <t>Activo</t>
        </is>
      </c>
      <c r="I207" t="inlineStr">
        <is>
          <t>API</t>
        </is>
      </c>
      <c r="J207" t="inlineStr">
        <is>
          <t>Cierre</t>
        </is>
      </c>
      <c r="K207" t="inlineStr"/>
      <c r="L207" t="inlineStr">
        <is>
          <t>DEC</t>
        </is>
      </c>
    </row>
    <row r="208">
      <c r="A208" t="n">
        <v>362</v>
      </c>
      <c r="B208" t="inlineStr">
        <is>
          <t>Aseguramiento de matricula académica presencial</t>
        </is>
      </c>
      <c r="C208" t="inlineStr">
        <is>
          <t>Operativo</t>
        </is>
      </c>
      <c r="D208" t="inlineStr">
        <is>
          <t>Operaciones Académicas</t>
        </is>
      </c>
      <c r="E208" t="inlineStr">
        <is>
          <t>Semestral</t>
        </is>
      </c>
      <c r="F208" t="inlineStr">
        <is>
          <t>Positivo</t>
        </is>
      </c>
      <c r="G208" t="inlineStr">
        <is>
          <t>Multiserie</t>
        </is>
      </c>
      <c r="H208" t="inlineStr">
        <is>
          <t>Activo</t>
        </is>
      </c>
      <c r="I208" t="inlineStr">
        <is>
          <t>API</t>
        </is>
      </c>
      <c r="J208" t="inlineStr">
        <is>
          <t>Acumulado</t>
        </is>
      </c>
      <c r="K208" t="inlineStr"/>
      <c r="L208" t="inlineStr">
        <is>
          <t>%</t>
        </is>
      </c>
    </row>
    <row r="209">
      <c r="A209" t="n">
        <v>363</v>
      </c>
      <c r="B209" t="inlineStr">
        <is>
          <t>Seguimiento a la parametrización de aulas master y secciones de asignaturas</t>
        </is>
      </c>
      <c r="C209" t="inlineStr">
        <is>
          <t>Operativo</t>
        </is>
      </c>
      <c r="D209" t="inlineStr">
        <is>
          <t>Operaciones Académicas</t>
        </is>
      </c>
      <c r="E209" t="inlineStr">
        <is>
          <t>Semestral</t>
        </is>
      </c>
      <c r="F209" t="inlineStr">
        <is>
          <t>Positivo</t>
        </is>
      </c>
      <c r="G209" t="inlineStr">
        <is>
          <t>Serie Unica</t>
        </is>
      </c>
      <c r="H209" t="inlineStr">
        <is>
          <t>Activo</t>
        </is>
      </c>
      <c r="I209" t="inlineStr">
        <is>
          <t>API</t>
        </is>
      </c>
      <c r="J209" t="inlineStr">
        <is>
          <t>Promedio</t>
        </is>
      </c>
      <c r="K209" t="inlineStr"/>
      <c r="L209" t="inlineStr">
        <is>
          <t>%</t>
        </is>
      </c>
    </row>
    <row r="210">
      <c r="A210" t="n">
        <v>364</v>
      </c>
      <c r="B210" t="inlineStr">
        <is>
          <t>Impacto de actividades de Responsabilidad y proyección</t>
        </is>
      </c>
      <c r="C210" t="inlineStr">
        <is>
          <t>Operativo</t>
        </is>
      </c>
      <c r="D210" t="inlineStr">
        <is>
          <t>Gestión de la Responsabilidad Social</t>
        </is>
      </c>
      <c r="E210" t="inlineStr">
        <is>
          <t>Semestral</t>
        </is>
      </c>
      <c r="F210" t="inlineStr">
        <is>
          <t>Positivo</t>
        </is>
      </c>
      <c r="G210" t="inlineStr">
        <is>
          <t>Serie Unica</t>
        </is>
      </c>
      <c r="H210" t="inlineStr">
        <is>
          <t>Activo</t>
        </is>
      </c>
      <c r="I210" t="inlineStr">
        <is>
          <t>API</t>
        </is>
      </c>
      <c r="J210" t="inlineStr">
        <is>
          <t>Acumulado</t>
        </is>
      </c>
      <c r="K210" t="inlineStr"/>
      <c r="L210" t="inlineStr">
        <is>
          <t>ENT</t>
        </is>
      </c>
    </row>
    <row r="211">
      <c r="A211" t="n">
        <v>365</v>
      </c>
      <c r="B211" t="inlineStr">
        <is>
          <t>Seguimiento de asignación docente a NRC Pregrado-Posgrado Presencial</t>
        </is>
      </c>
      <c r="C211" t="inlineStr">
        <is>
          <t>Estratégico</t>
        </is>
      </c>
      <c r="D211" t="inlineStr">
        <is>
          <t>Operaciones Académica pregrado y posgrado presencial.</t>
        </is>
      </c>
      <c r="E211" t="inlineStr">
        <is>
          <t>Semestral</t>
        </is>
      </c>
      <c r="F211" t="inlineStr">
        <is>
          <t>Positivo</t>
        </is>
      </c>
      <c r="G211" t="inlineStr"/>
      <c r="H211" t="inlineStr">
        <is>
          <t>Historico</t>
        </is>
      </c>
      <c r="I211" t="inlineStr">
        <is>
          <t>Historico</t>
        </is>
      </c>
      <c r="J211" t="inlineStr">
        <is>
          <t>Promedio</t>
        </is>
      </c>
      <c r="K211" t="inlineStr"/>
      <c r="L211" t="inlineStr">
        <is>
          <t>%</t>
        </is>
      </c>
    </row>
    <row r="212">
      <c r="A212" t="n">
        <v>366</v>
      </c>
      <c r="B212" t="inlineStr">
        <is>
          <t>Normalización de cobros pecuniarios</t>
        </is>
      </c>
      <c r="C212" t="inlineStr">
        <is>
          <t>Operativo</t>
        </is>
      </c>
      <c r="D212" t="inlineStr">
        <is>
          <t>Operaciones Académicas</t>
        </is>
      </c>
      <c r="E212" t="inlineStr">
        <is>
          <t>Anual</t>
        </is>
      </c>
      <c r="F212" t="inlineStr">
        <is>
          <t>Positivo</t>
        </is>
      </c>
      <c r="G212" t="inlineStr">
        <is>
          <t>Serie Unica</t>
        </is>
      </c>
      <c r="H212" t="inlineStr">
        <is>
          <t>Activo</t>
        </is>
      </c>
      <c r="I212" t="inlineStr">
        <is>
          <t>API</t>
        </is>
      </c>
      <c r="J212" t="inlineStr">
        <is>
          <t>Cierre</t>
        </is>
      </c>
      <c r="K212" t="inlineStr"/>
      <c r="L212" t="inlineStr">
        <is>
          <t>ENT</t>
        </is>
      </c>
    </row>
    <row r="213">
      <c r="A213" t="n">
        <v>367</v>
      </c>
      <c r="B213" t="inlineStr">
        <is>
          <t>Estudiantes con Becas</t>
        </is>
      </c>
      <c r="C213" t="inlineStr">
        <is>
          <t>Estratégico</t>
        </is>
      </c>
      <c r="D213" t="inlineStr">
        <is>
          <t>Gestión de la Responsabilidad Social</t>
        </is>
      </c>
      <c r="E213" t="inlineStr">
        <is>
          <t>Anual</t>
        </is>
      </c>
      <c r="F213" t="inlineStr">
        <is>
          <t>Positivo</t>
        </is>
      </c>
      <c r="G213" t="inlineStr">
        <is>
          <t>Serie Unica</t>
        </is>
      </c>
      <c r="H213" t="inlineStr">
        <is>
          <t>Activo</t>
        </is>
      </c>
      <c r="I213" t="inlineStr">
        <is>
          <t>API</t>
        </is>
      </c>
      <c r="J213" t="inlineStr">
        <is>
          <t>Cierre</t>
        </is>
      </c>
      <c r="K213" t="inlineStr"/>
      <c r="L213" t="inlineStr">
        <is>
          <t>%</t>
        </is>
      </c>
    </row>
    <row r="214">
      <c r="A214" t="n">
        <v>368</v>
      </c>
      <c r="B214" t="inlineStr">
        <is>
          <t>Satisfacción de los estudiantes de Educación para toda la vida</t>
        </is>
      </c>
      <c r="C214" t="inlineStr">
        <is>
          <t>Operativo</t>
        </is>
      </c>
      <c r="D214" t="inlineStr">
        <is>
          <t>Operación de nuevos negocios y CI</t>
        </is>
      </c>
      <c r="E214" t="inlineStr">
        <is>
          <t>Trimestral</t>
        </is>
      </c>
      <c r="F214" t="inlineStr">
        <is>
          <t>Positivo</t>
        </is>
      </c>
      <c r="G214" t="inlineStr">
        <is>
          <t>Serie Unica</t>
        </is>
      </c>
      <c r="H214" t="inlineStr">
        <is>
          <t>Activo</t>
        </is>
      </c>
      <c r="I214" t="inlineStr">
        <is>
          <t>API</t>
        </is>
      </c>
      <c r="J214" t="inlineStr">
        <is>
          <t>Promedio</t>
        </is>
      </c>
      <c r="K214" t="inlineStr"/>
      <c r="L214" t="inlineStr">
        <is>
          <t>%</t>
        </is>
      </c>
    </row>
    <row r="215">
      <c r="A215" t="n">
        <v>369</v>
      </c>
      <c r="B215" t="inlineStr">
        <is>
          <t>Participación de POLI- voluntariados (Estudiantes- Colaboradores)</t>
        </is>
      </c>
      <c r="C215" t="inlineStr">
        <is>
          <t>Estratégico</t>
        </is>
      </c>
      <c r="D215" t="inlineStr">
        <is>
          <t>Gestión de la Responsabilidad Social</t>
        </is>
      </c>
      <c r="E215" t="inlineStr">
        <is>
          <t>Semestral</t>
        </is>
      </c>
      <c r="F215" t="inlineStr">
        <is>
          <t>Positivo</t>
        </is>
      </c>
      <c r="G215" t="inlineStr">
        <is>
          <t>Multiserie</t>
        </is>
      </c>
      <c r="H215" t="inlineStr">
        <is>
          <t>Activo</t>
        </is>
      </c>
      <c r="I215" t="inlineStr">
        <is>
          <t>API</t>
        </is>
      </c>
      <c r="J215" t="inlineStr">
        <is>
          <t>Acumulado</t>
        </is>
      </c>
      <c r="K215" t="inlineStr"/>
      <c r="L215" t="inlineStr">
        <is>
          <t>ENT</t>
        </is>
      </c>
    </row>
    <row r="216">
      <c r="A216" t="n">
        <v>370</v>
      </c>
      <c r="B216" t="inlineStr">
        <is>
          <t>Oportunidades de mejora - Huella Verde</t>
        </is>
      </c>
      <c r="C216" t="inlineStr">
        <is>
          <t>Operativo</t>
        </is>
      </c>
      <c r="D216" t="inlineStr">
        <is>
          <t>Gestión de la Responsabilidad Social</t>
        </is>
      </c>
      <c r="E216" t="inlineStr">
        <is>
          <t>Semestral</t>
        </is>
      </c>
      <c r="F216" t="inlineStr">
        <is>
          <t>Positivo</t>
        </is>
      </c>
      <c r="G216" t="inlineStr"/>
      <c r="H216" t="inlineStr">
        <is>
          <t>Historico</t>
        </is>
      </c>
      <c r="I216" t="inlineStr">
        <is>
          <t>Historico</t>
        </is>
      </c>
      <c r="J216" t="inlineStr">
        <is>
          <t>Cierre</t>
        </is>
      </c>
      <c r="K216" t="inlineStr"/>
      <c r="L216" t="inlineStr">
        <is>
          <t>ENT</t>
        </is>
      </c>
    </row>
    <row r="217">
      <c r="A217" t="n">
        <v>371</v>
      </c>
      <c r="B217" t="inlineStr">
        <is>
          <t>Recaudación de fondos</t>
        </is>
      </c>
      <c r="C217" t="inlineStr">
        <is>
          <t>Estratégico</t>
        </is>
      </c>
      <c r="D217" t="inlineStr">
        <is>
          <t>Gestión de la Responsabilidad Social</t>
        </is>
      </c>
      <c r="E217" t="inlineStr">
        <is>
          <t>Semestral</t>
        </is>
      </c>
      <c r="F217" t="inlineStr">
        <is>
          <t>Positivo</t>
        </is>
      </c>
      <c r="G217" t="inlineStr">
        <is>
          <t>Serie Unica</t>
        </is>
      </c>
      <c r="H217" t="inlineStr">
        <is>
          <t>Activo</t>
        </is>
      </c>
      <c r="I217" t="inlineStr">
        <is>
          <t>API</t>
        </is>
      </c>
      <c r="J217" t="inlineStr">
        <is>
          <t>Acumulado</t>
        </is>
      </c>
      <c r="K217" t="inlineStr"/>
      <c r="L217" t="inlineStr">
        <is>
          <t>$</t>
        </is>
      </c>
    </row>
    <row r="218">
      <c r="A218" t="n">
        <v>372</v>
      </c>
      <c r="B218" t="inlineStr">
        <is>
          <t>Satisfacción de los clientes corporativos Educación para toda la vida</t>
        </is>
      </c>
      <c r="C218" t="inlineStr">
        <is>
          <t>Operativo</t>
        </is>
      </c>
      <c r="D218" t="inlineStr">
        <is>
          <t>Operación de nuevos negocios y CI</t>
        </is>
      </c>
      <c r="E218" t="inlineStr">
        <is>
          <t>Trimestral</t>
        </is>
      </c>
      <c r="F218" t="inlineStr">
        <is>
          <t>Positivo</t>
        </is>
      </c>
      <c r="G218" t="inlineStr">
        <is>
          <t>Serie Unica</t>
        </is>
      </c>
      <c r="H218" t="inlineStr">
        <is>
          <t>Activo</t>
        </is>
      </c>
      <c r="I218" t="inlineStr">
        <is>
          <t>API</t>
        </is>
      </c>
      <c r="J218" t="inlineStr">
        <is>
          <t>Promedio</t>
        </is>
      </c>
      <c r="K218" t="inlineStr"/>
      <c r="L218" t="inlineStr">
        <is>
          <t>%</t>
        </is>
      </c>
    </row>
    <row r="219">
      <c r="A219" t="n">
        <v>373</v>
      </c>
      <c r="B219" t="inlineStr">
        <is>
          <t>Cumplimiento de planes anuales por líneas</t>
        </is>
      </c>
      <c r="C219" t="inlineStr">
        <is>
          <t>Estratégico</t>
        </is>
      </c>
      <c r="D219" t="inlineStr">
        <is>
          <t>Planeación Estratégica</t>
        </is>
      </c>
      <c r="E219" t="inlineStr">
        <is>
          <t>Trimestral</t>
        </is>
      </c>
      <c r="F219" t="inlineStr">
        <is>
          <t>Positivo</t>
        </is>
      </c>
      <c r="G219" t="inlineStr">
        <is>
          <t>Multiserie</t>
        </is>
      </c>
      <c r="H219" t="inlineStr">
        <is>
          <t>Activo</t>
        </is>
      </c>
      <c r="I219" t="inlineStr">
        <is>
          <t>API</t>
        </is>
      </c>
      <c r="J219" t="inlineStr">
        <is>
          <t>Promedio</t>
        </is>
      </c>
      <c r="K219" t="inlineStr"/>
      <c r="L219" t="inlineStr">
        <is>
          <t>%</t>
        </is>
      </c>
    </row>
    <row r="220">
      <c r="A220" t="n">
        <v>374</v>
      </c>
      <c r="B220" t="inlineStr">
        <is>
          <t>Disponibilidad de máster modalidad virtual</t>
        </is>
      </c>
      <c r="C220" t="inlineStr">
        <is>
          <t>Operativo</t>
        </is>
      </c>
      <c r="D220" t="inlineStr">
        <is>
          <t>Operaciones Académica pregrado y posgrado virtual</t>
        </is>
      </c>
      <c r="E220" t="inlineStr">
        <is>
          <t>Semestral</t>
        </is>
      </c>
      <c r="F220" t="inlineStr">
        <is>
          <t>Positivo</t>
        </is>
      </c>
      <c r="G220" t="inlineStr"/>
      <c r="H220" t="inlineStr">
        <is>
          <t>Historico</t>
        </is>
      </c>
      <c r="I220" t="inlineStr">
        <is>
          <t>Historico</t>
        </is>
      </c>
      <c r="J220" t="inlineStr">
        <is>
          <t>Promedio</t>
        </is>
      </c>
      <c r="K220" t="inlineStr"/>
      <c r="L220" t="inlineStr">
        <is>
          <t>ENT</t>
        </is>
      </c>
    </row>
    <row r="221">
      <c r="A221" t="n">
        <v>375</v>
      </c>
      <c r="B221" t="inlineStr">
        <is>
          <t>Disponibilidad de catálogo de asignaturas pregrado y posgrado presencial</t>
        </is>
      </c>
      <c r="C221" t="inlineStr">
        <is>
          <t>Operativo</t>
        </is>
      </c>
      <c r="D221" t="inlineStr">
        <is>
          <t>Operaciones Académicas</t>
        </is>
      </c>
      <c r="E221" t="inlineStr">
        <is>
          <t>Semestral</t>
        </is>
      </c>
      <c r="F221" t="inlineStr">
        <is>
          <t>Positivo</t>
        </is>
      </c>
      <c r="G221" t="inlineStr">
        <is>
          <t>Multiserie</t>
        </is>
      </c>
      <c r="H221" t="inlineStr">
        <is>
          <t>Activo</t>
        </is>
      </c>
      <c r="I221" t="inlineStr">
        <is>
          <t>API</t>
        </is>
      </c>
      <c r="J221" t="inlineStr">
        <is>
          <t>Promedio</t>
        </is>
      </c>
      <c r="K221" t="inlineStr"/>
      <c r="L221" t="inlineStr">
        <is>
          <t>%</t>
        </is>
      </c>
    </row>
    <row r="222">
      <c r="A222" t="n">
        <v>376</v>
      </c>
      <c r="B222" t="inlineStr">
        <is>
          <t>Cumplimiento EBITDA</t>
        </is>
      </c>
      <c r="C222" t="inlineStr">
        <is>
          <t>Estratégico</t>
        </is>
      </c>
      <c r="D222" t="inlineStr">
        <is>
          <t>Planeación Financiera</t>
        </is>
      </c>
      <c r="E222" t="inlineStr">
        <is>
          <t>Semestral</t>
        </is>
      </c>
      <c r="F222" t="inlineStr">
        <is>
          <t>Positivo</t>
        </is>
      </c>
      <c r="G222" t="inlineStr">
        <is>
          <t>Serie Unica</t>
        </is>
      </c>
      <c r="H222" t="inlineStr">
        <is>
          <t>Activo</t>
        </is>
      </c>
      <c r="I222" t="inlineStr">
        <is>
          <t>API</t>
        </is>
      </c>
      <c r="J222" t="inlineStr">
        <is>
          <t>Cierre</t>
        </is>
      </c>
      <c r="K222" t="inlineStr"/>
      <c r="L222" t="inlineStr">
        <is>
          <t>$</t>
        </is>
      </c>
    </row>
    <row r="223">
      <c r="A223" t="n">
        <v>377</v>
      </c>
      <c r="B223" t="inlineStr">
        <is>
          <t>CAPEX</t>
        </is>
      </c>
      <c r="C223" t="inlineStr">
        <is>
          <t>Estratégico</t>
        </is>
      </c>
      <c r="D223" t="inlineStr">
        <is>
          <t>Planeación Financiera</t>
        </is>
      </c>
      <c r="E223" t="inlineStr">
        <is>
          <t>Anual</t>
        </is>
      </c>
      <c r="F223" t="inlineStr">
        <is>
          <t>Positivo</t>
        </is>
      </c>
      <c r="G223" t="inlineStr">
        <is>
          <t>Serie Unica</t>
        </is>
      </c>
      <c r="H223" t="inlineStr">
        <is>
          <t>Activo</t>
        </is>
      </c>
      <c r="I223" t="inlineStr">
        <is>
          <t>API</t>
        </is>
      </c>
      <c r="J223" t="inlineStr">
        <is>
          <t>Cierre</t>
        </is>
      </c>
      <c r="K223" t="inlineStr"/>
      <c r="L223" t="inlineStr">
        <is>
          <t>$</t>
        </is>
      </c>
    </row>
    <row r="224">
      <c r="A224" t="n">
        <v>378</v>
      </c>
      <c r="B224" t="inlineStr">
        <is>
          <t>Proyectos tecnológicos</t>
        </is>
      </c>
      <c r="C224" t="inlineStr">
        <is>
          <t>Estratégico</t>
        </is>
      </c>
      <c r="D224" t="inlineStr">
        <is>
          <t>GESTIÓN DE LA TECNOLOGÍA E INNOVACIÓN DIGITAL</t>
        </is>
      </c>
      <c r="E224" t="inlineStr">
        <is>
          <t>Mensual</t>
        </is>
      </c>
      <c r="F224" t="inlineStr">
        <is>
          <t>Positivo</t>
        </is>
      </c>
      <c r="G224" t="inlineStr"/>
      <c r="H224" t="inlineStr">
        <is>
          <t>Historico</t>
        </is>
      </c>
      <c r="I224" t="inlineStr">
        <is>
          <t>Historico</t>
        </is>
      </c>
      <c r="J224" t="inlineStr">
        <is>
          <t>Promedio</t>
        </is>
      </c>
      <c r="K224" t="inlineStr"/>
      <c r="L224" t="inlineStr">
        <is>
          <t>%</t>
        </is>
      </c>
    </row>
    <row r="225">
      <c r="A225" t="n">
        <v>379</v>
      </c>
      <c r="B225" t="inlineStr">
        <is>
          <t>Total estudiantes nuevos</t>
        </is>
      </c>
      <c r="C225" t="inlineStr">
        <is>
          <t>Estratégico</t>
        </is>
      </c>
      <c r="D225" t="inlineStr">
        <is>
          <t>Inscripción, admisión y matrícula de estudiantes nuevos</t>
        </is>
      </c>
      <c r="E225" t="inlineStr">
        <is>
          <t>Semestral</t>
        </is>
      </c>
      <c r="F225" t="inlineStr">
        <is>
          <t>Positivo</t>
        </is>
      </c>
      <c r="G225" t="inlineStr">
        <is>
          <t>Serie Unica</t>
        </is>
      </c>
      <c r="H225" t="inlineStr">
        <is>
          <t>Activo</t>
        </is>
      </c>
      <c r="I225" t="inlineStr">
        <is>
          <t>API</t>
        </is>
      </c>
      <c r="J225" t="inlineStr">
        <is>
          <t>Acumulado</t>
        </is>
      </c>
      <c r="K225" t="inlineStr"/>
      <c r="L225" t="inlineStr">
        <is>
          <t>ENT</t>
        </is>
      </c>
    </row>
    <row r="226">
      <c r="A226" t="n">
        <v>380</v>
      </c>
      <c r="B226" t="inlineStr">
        <is>
          <t>Ingresos de matriculas de estudiantes nuevos</t>
        </is>
      </c>
      <c r="C226" t="inlineStr">
        <is>
          <t>Estratégico</t>
        </is>
      </c>
      <c r="D226" t="inlineStr">
        <is>
          <t>Inscripción, admisión y matrícula de estudiantes nuevos</t>
        </is>
      </c>
      <c r="E226" t="inlineStr">
        <is>
          <t>Semestral</t>
        </is>
      </c>
      <c r="F226" t="inlineStr">
        <is>
          <t>Positivo</t>
        </is>
      </c>
      <c r="G226" t="inlineStr"/>
      <c r="H226" t="inlineStr">
        <is>
          <t>Historico</t>
        </is>
      </c>
      <c r="I226" t="inlineStr">
        <is>
          <t>Historico</t>
        </is>
      </c>
      <c r="J226" t="inlineStr">
        <is>
          <t>Acumulado</t>
        </is>
      </c>
      <c r="K226" t="inlineStr"/>
      <c r="L226" t="inlineStr">
        <is>
          <t>$</t>
        </is>
      </c>
    </row>
    <row r="227">
      <c r="A227" t="n">
        <v>381</v>
      </c>
      <c r="B227" t="inlineStr">
        <is>
          <t>Cumplimiento de matrículas pregrado presencial nuevos</t>
        </is>
      </c>
      <c r="C227" t="inlineStr">
        <is>
          <t>Estratégico</t>
        </is>
      </c>
      <c r="D227" t="inlineStr">
        <is>
          <t>Inscripción, admisión y matrícula de estudiantes nuevos</t>
        </is>
      </c>
      <c r="E227" t="inlineStr">
        <is>
          <t>Semestral</t>
        </is>
      </c>
      <c r="F227" t="inlineStr">
        <is>
          <t>Positivo</t>
        </is>
      </c>
      <c r="G227" t="inlineStr">
        <is>
          <t>Serie Unica</t>
        </is>
      </c>
      <c r="H227" t="inlineStr">
        <is>
          <t>Activo</t>
        </is>
      </c>
      <c r="I227" t="inlineStr">
        <is>
          <t>API</t>
        </is>
      </c>
      <c r="J227" t="inlineStr">
        <is>
          <t>Acumulado</t>
        </is>
      </c>
      <c r="K227" t="inlineStr"/>
      <c r="L227" t="inlineStr">
        <is>
          <t>ENT</t>
        </is>
      </c>
    </row>
    <row r="228">
      <c r="A228" t="n">
        <v>382</v>
      </c>
      <c r="B228" t="inlineStr">
        <is>
          <t>Cumplimiento de matrículas pregrado virtual nuevos</t>
        </is>
      </c>
      <c r="C228" t="inlineStr">
        <is>
          <t>Estratégico</t>
        </is>
      </c>
      <c r="D228" t="inlineStr">
        <is>
          <t>Inscripción, admisión y matrícula de estudiantes nuevos</t>
        </is>
      </c>
      <c r="E228" t="inlineStr">
        <is>
          <t>Semestral</t>
        </is>
      </c>
      <c r="F228" t="inlineStr">
        <is>
          <t>Positivo</t>
        </is>
      </c>
      <c r="G228" t="inlineStr">
        <is>
          <t>Serie Unica</t>
        </is>
      </c>
      <c r="H228" t="inlineStr">
        <is>
          <t>Activo</t>
        </is>
      </c>
      <c r="I228" t="inlineStr">
        <is>
          <t>API</t>
        </is>
      </c>
      <c r="J228" t="inlineStr">
        <is>
          <t>Acumulado</t>
        </is>
      </c>
      <c r="K228" t="inlineStr"/>
      <c r="L228" t="inlineStr">
        <is>
          <t>ENT</t>
        </is>
      </c>
    </row>
    <row r="229">
      <c r="A229" t="n">
        <v>383</v>
      </c>
      <c r="B229" t="inlineStr">
        <is>
          <t>Cumplimiento de matrículas posgrado virtual nuevos</t>
        </is>
      </c>
      <c r="C229" t="inlineStr">
        <is>
          <t>Operativo</t>
        </is>
      </c>
      <c r="D229" t="inlineStr">
        <is>
          <t>Inscripción, admisión y matrícula de estudiantes nuevos</t>
        </is>
      </c>
      <c r="E229" t="inlineStr">
        <is>
          <t>Semestral</t>
        </is>
      </c>
      <c r="F229" t="inlineStr">
        <is>
          <t>Positivo</t>
        </is>
      </c>
      <c r="G229" t="inlineStr">
        <is>
          <t>Serie Unica</t>
        </is>
      </c>
      <c r="H229" t="inlineStr">
        <is>
          <t>Activo</t>
        </is>
      </c>
      <c r="I229" t="inlineStr">
        <is>
          <t>API</t>
        </is>
      </c>
      <c r="J229" t="inlineStr">
        <is>
          <t>Acumulado</t>
        </is>
      </c>
      <c r="K229" t="inlineStr"/>
      <c r="L229" t="inlineStr">
        <is>
          <t>ENT</t>
        </is>
      </c>
    </row>
    <row r="230">
      <c r="A230" t="n">
        <v>384</v>
      </c>
      <c r="B230" t="inlineStr">
        <is>
          <t>Cumplimiento de matrículas posgrado presencial nuevos</t>
        </is>
      </c>
      <c r="C230" t="inlineStr">
        <is>
          <t>Operativo</t>
        </is>
      </c>
      <c r="D230" t="inlineStr">
        <is>
          <t>Inscripción, admisión y matrícula de estudiantes nuevos</t>
        </is>
      </c>
      <c r="E230" t="inlineStr">
        <is>
          <t>Semestral</t>
        </is>
      </c>
      <c r="F230" t="inlineStr">
        <is>
          <t>Positivo</t>
        </is>
      </c>
      <c r="G230" t="inlineStr">
        <is>
          <t>Serie Unica</t>
        </is>
      </c>
      <c r="H230" t="inlineStr">
        <is>
          <t>Activo</t>
        </is>
      </c>
      <c r="I230" t="inlineStr">
        <is>
          <t>API</t>
        </is>
      </c>
      <c r="J230" t="inlineStr">
        <is>
          <t>Acumulado</t>
        </is>
      </c>
      <c r="K230" t="inlineStr"/>
      <c r="L230" t="inlineStr">
        <is>
          <t>ENT</t>
        </is>
      </c>
    </row>
    <row r="231">
      <c r="A231" t="n">
        <v>385</v>
      </c>
      <c r="B231" t="inlineStr">
        <is>
          <t>Ingresos totales de educación para la vida</t>
        </is>
      </c>
      <c r="C231" t="inlineStr">
        <is>
          <t>Estratégico</t>
        </is>
      </c>
      <c r="D231" t="inlineStr">
        <is>
          <t>Mercadeo y venta de educación para la vida</t>
        </is>
      </c>
      <c r="E231" t="inlineStr">
        <is>
          <t>Semestral</t>
        </is>
      </c>
      <c r="F231" t="inlineStr">
        <is>
          <t>Positivo</t>
        </is>
      </c>
      <c r="G231" t="inlineStr">
        <is>
          <t>Serie Unica</t>
        </is>
      </c>
      <c r="H231" t="inlineStr">
        <is>
          <t>Activo</t>
        </is>
      </c>
      <c r="I231" t="inlineStr">
        <is>
          <t>API</t>
        </is>
      </c>
      <c r="J231" t="inlineStr">
        <is>
          <t>Cierre</t>
        </is>
      </c>
      <c r="K231" t="inlineStr"/>
      <c r="L231" t="inlineStr">
        <is>
          <t>$</t>
        </is>
      </c>
    </row>
    <row r="232">
      <c r="A232" t="n">
        <v>386</v>
      </c>
      <c r="B232" t="inlineStr">
        <is>
          <t>Cumplimiento Meta comercial Educación para toda la vida por linea</t>
        </is>
      </c>
      <c r="C232" t="inlineStr">
        <is>
          <t>Estratégico</t>
        </is>
      </c>
      <c r="D232" t="inlineStr">
        <is>
          <t>Mercadeo y venta de educación para la vida</t>
        </is>
      </c>
      <c r="E232" t="inlineStr">
        <is>
          <t>Semestral</t>
        </is>
      </c>
      <c r="F232" t="inlineStr">
        <is>
          <t>Positivo</t>
        </is>
      </c>
      <c r="G232" t="inlineStr">
        <is>
          <t>Multiserie</t>
        </is>
      </c>
      <c r="H232" t="inlineStr">
        <is>
          <t>Activo</t>
        </is>
      </c>
      <c r="I232" t="inlineStr">
        <is>
          <t>API</t>
        </is>
      </c>
      <c r="J232" t="inlineStr">
        <is>
          <t>Acumulado</t>
        </is>
      </c>
      <c r="K232" t="inlineStr"/>
      <c r="L232" t="inlineStr">
        <is>
          <t>%</t>
        </is>
      </c>
    </row>
    <row r="233">
      <c r="A233" t="n">
        <v>387</v>
      </c>
      <c r="B233" t="inlineStr">
        <is>
          <t>Programas con reforzamiento curricular por escuela</t>
        </is>
      </c>
      <c r="C233" t="inlineStr">
        <is>
          <t>Estratégico</t>
        </is>
      </c>
      <c r="D233" t="inlineStr">
        <is>
          <t>Gestión, Evaluación e Innovación Curricular</t>
        </is>
      </c>
      <c r="E233" t="inlineStr">
        <is>
          <t>Semestral</t>
        </is>
      </c>
      <c r="F233" t="inlineStr">
        <is>
          <t>Positivo</t>
        </is>
      </c>
      <c r="G233" t="inlineStr"/>
      <c r="H233" t="inlineStr">
        <is>
          <t>Historico</t>
        </is>
      </c>
      <c r="I233" t="inlineStr">
        <is>
          <t>Historico</t>
        </is>
      </c>
      <c r="J233" t="inlineStr">
        <is>
          <t>Promedio</t>
        </is>
      </c>
      <c r="K233" t="inlineStr"/>
      <c r="L233" t="inlineStr">
        <is>
          <t>ENT</t>
        </is>
      </c>
    </row>
    <row r="234">
      <c r="A234" t="n">
        <v>388</v>
      </c>
      <c r="B234" t="inlineStr">
        <is>
          <t>Programas con matriz de resultados de aprendizaje por escuela</t>
        </is>
      </c>
      <c r="C234" t="inlineStr">
        <is>
          <t>Estratégico</t>
        </is>
      </c>
      <c r="D234" t="inlineStr">
        <is>
          <t>Gestión, Evaluación e Innovación Curricular</t>
        </is>
      </c>
      <c r="E234" t="inlineStr">
        <is>
          <t>Semestral</t>
        </is>
      </c>
      <c r="F234" t="inlineStr">
        <is>
          <t>Positivo</t>
        </is>
      </c>
      <c r="G234" t="inlineStr"/>
      <c r="H234" t="inlineStr">
        <is>
          <t>Historico</t>
        </is>
      </c>
      <c r="I234" t="inlineStr">
        <is>
          <t>Historico</t>
        </is>
      </c>
      <c r="J234" t="inlineStr">
        <is>
          <t>Promedio</t>
        </is>
      </c>
      <c r="K234" t="inlineStr"/>
      <c r="L234" t="inlineStr">
        <is>
          <t>ENT</t>
        </is>
      </c>
    </row>
    <row r="235">
      <c r="A235" t="n">
        <v>389</v>
      </c>
      <c r="B235" t="inlineStr">
        <is>
          <t>Permanencia por escuela</t>
        </is>
      </c>
      <c r="C235" t="inlineStr">
        <is>
          <t>Estratégico</t>
        </is>
      </c>
      <c r="D235" t="inlineStr">
        <is>
          <t>Gestión de Unidades Académicas</t>
        </is>
      </c>
      <c r="E235" t="inlineStr">
        <is>
          <t>Semestral</t>
        </is>
      </c>
      <c r="F235" t="inlineStr">
        <is>
          <t>Positivo</t>
        </is>
      </c>
      <c r="G235" t="inlineStr">
        <is>
          <t>Multiserie</t>
        </is>
      </c>
      <c r="H235" t="inlineStr">
        <is>
          <t>Activo</t>
        </is>
      </c>
      <c r="I235" t="inlineStr">
        <is>
          <t>API</t>
        </is>
      </c>
      <c r="J235" t="inlineStr">
        <is>
          <t>Promedio</t>
        </is>
      </c>
      <c r="K235" t="inlineStr"/>
      <c r="L235" t="inlineStr">
        <is>
          <t>%</t>
        </is>
      </c>
    </row>
    <row r="236">
      <c r="A236" t="n">
        <v>390</v>
      </c>
      <c r="B236" t="inlineStr">
        <is>
          <t>Cumplimiento Plan Anual por escuela</t>
        </is>
      </c>
      <c r="C236" t="inlineStr">
        <is>
          <t>Estratégico</t>
        </is>
      </c>
      <c r="D236" t="inlineStr">
        <is>
          <t>Planeación Estratégica</t>
        </is>
      </c>
      <c r="E236" t="inlineStr">
        <is>
          <t>Trimestral</t>
        </is>
      </c>
      <c r="F236" t="inlineStr">
        <is>
          <t>Positivo</t>
        </is>
      </c>
      <c r="G236" t="inlineStr">
        <is>
          <t>Multiserie</t>
        </is>
      </c>
      <c r="H236" t="inlineStr">
        <is>
          <t>Activo</t>
        </is>
      </c>
      <c r="I236" t="inlineStr">
        <is>
          <t>API</t>
        </is>
      </c>
      <c r="J236" t="inlineStr">
        <is>
          <t>Cierre</t>
        </is>
      </c>
      <c r="K236" t="inlineStr">
        <is>
          <t>Plan de retos</t>
        </is>
      </c>
      <c r="L236" t="inlineStr">
        <is>
          <t>%</t>
        </is>
      </c>
    </row>
    <row r="237">
      <c r="A237" t="n">
        <v>391</v>
      </c>
      <c r="B237" t="inlineStr">
        <is>
          <t>Satisfacción del cliente con campañas integradas de marketing</t>
        </is>
      </c>
      <c r="C237" t="inlineStr">
        <is>
          <t>Estratégico</t>
        </is>
      </c>
      <c r="D237" t="inlineStr">
        <is>
          <t>Gestión de campañas integradas de marketing</t>
        </is>
      </c>
      <c r="E237" t="inlineStr">
        <is>
          <t>Semestral</t>
        </is>
      </c>
      <c r="F237" t="inlineStr">
        <is>
          <t>Positivo</t>
        </is>
      </c>
      <c r="G237" t="inlineStr"/>
      <c r="H237" t="inlineStr">
        <is>
          <t>Historico</t>
        </is>
      </c>
      <c r="I237" t="inlineStr">
        <is>
          <t>Historico</t>
        </is>
      </c>
      <c r="J237" t="inlineStr">
        <is>
          <t>Promedio</t>
        </is>
      </c>
      <c r="K237" t="inlineStr"/>
      <c r="L237" t="inlineStr">
        <is>
          <t>%</t>
        </is>
      </c>
    </row>
    <row r="238">
      <c r="A238" t="n">
        <v>392</v>
      </c>
      <c r="B238" t="inlineStr">
        <is>
          <t>Ahorro institucional con base en la monetización de los servicios</t>
        </is>
      </c>
      <c r="C238" t="inlineStr">
        <is>
          <t>Estratégico</t>
        </is>
      </c>
      <c r="D238" t="inlineStr">
        <is>
          <t>Gestión de campañas integradas de marketing</t>
        </is>
      </c>
      <c r="E238" t="inlineStr">
        <is>
          <t>Anual</t>
        </is>
      </c>
      <c r="F238" t="inlineStr">
        <is>
          <t>Positivo</t>
        </is>
      </c>
      <c r="G238" t="inlineStr">
        <is>
          <t>Serie Unica</t>
        </is>
      </c>
      <c r="H238" t="inlineStr">
        <is>
          <t>Activo</t>
        </is>
      </c>
      <c r="I238" t="inlineStr">
        <is>
          <t>API</t>
        </is>
      </c>
      <c r="J238" t="inlineStr">
        <is>
          <t>Cierre</t>
        </is>
      </c>
      <c r="K238" t="inlineStr"/>
      <c r="L238" t="inlineStr">
        <is>
          <t>$</t>
        </is>
      </c>
    </row>
    <row r="239">
      <c r="A239" t="n">
        <v>393</v>
      </c>
      <c r="B239" t="inlineStr">
        <is>
          <t>Disminución de los tiempos empleados en el desarrollo de las solicitudes</t>
        </is>
      </c>
      <c r="C239" t="inlineStr">
        <is>
          <t>Operativo</t>
        </is>
      </c>
      <c r="D239" t="inlineStr">
        <is>
          <t>Gestión de campañas integradas de marketing</t>
        </is>
      </c>
      <c r="E239" t="inlineStr">
        <is>
          <t>Anual</t>
        </is>
      </c>
      <c r="F239" t="inlineStr">
        <is>
          <t>Negativo</t>
        </is>
      </c>
      <c r="G239" t="inlineStr">
        <is>
          <t>Serie Unica</t>
        </is>
      </c>
      <c r="H239" t="inlineStr">
        <is>
          <t>Activo</t>
        </is>
      </c>
      <c r="I239" t="inlineStr">
        <is>
          <t>API</t>
        </is>
      </c>
      <c r="J239" t="inlineStr">
        <is>
          <t>Cierre</t>
        </is>
      </c>
      <c r="K239" t="inlineStr"/>
      <c r="L239" t="inlineStr">
        <is>
          <t>DEC</t>
        </is>
      </c>
    </row>
    <row r="240">
      <c r="A240" t="n">
        <v>394</v>
      </c>
      <c r="B240" t="inlineStr">
        <is>
          <t>Publicaciones en medios de comunicación Tier 1 y Tier 2</t>
        </is>
      </c>
      <c r="C240" t="inlineStr">
        <is>
          <t>Estratégico</t>
        </is>
      </c>
      <c r="D240" t="inlineStr">
        <is>
          <t>Comunicaciones Externas</t>
        </is>
      </c>
      <c r="E240" t="inlineStr">
        <is>
          <t>Trimestral</t>
        </is>
      </c>
      <c r="F240" t="inlineStr">
        <is>
          <t>Positivo</t>
        </is>
      </c>
      <c r="G240" t="inlineStr">
        <is>
          <t>Serie Unica</t>
        </is>
      </c>
      <c r="H240" t="inlineStr">
        <is>
          <t>Activo</t>
        </is>
      </c>
      <c r="I240" t="inlineStr">
        <is>
          <t>API</t>
        </is>
      </c>
      <c r="J240" t="inlineStr">
        <is>
          <t>Promedio</t>
        </is>
      </c>
      <c r="K240" t="inlineStr"/>
      <c r="L240" t="inlineStr">
        <is>
          <t>ENT</t>
        </is>
      </c>
    </row>
    <row r="241">
      <c r="A241" t="n">
        <v>395</v>
      </c>
      <c r="B241" t="inlineStr">
        <is>
          <t>Publicaciones en medios de comunicación de la región Antioquia</t>
        </is>
      </c>
      <c r="C241" t="inlineStr">
        <is>
          <t>Operativo</t>
        </is>
      </c>
      <c r="D241" t="inlineStr">
        <is>
          <t>Comunicaciones Externas</t>
        </is>
      </c>
      <c r="E241" t="inlineStr">
        <is>
          <t>Trimestral</t>
        </is>
      </c>
      <c r="F241" t="inlineStr">
        <is>
          <t>Positivo</t>
        </is>
      </c>
      <c r="G241" t="inlineStr">
        <is>
          <t>Serie Unica</t>
        </is>
      </c>
      <c r="H241" t="inlineStr">
        <is>
          <t>Activo</t>
        </is>
      </c>
      <c r="I241" t="inlineStr">
        <is>
          <t>API</t>
        </is>
      </c>
      <c r="J241" t="inlineStr">
        <is>
          <t>Promedio</t>
        </is>
      </c>
      <c r="K241" t="inlineStr"/>
      <c r="L241" t="inlineStr">
        <is>
          <t>ENT</t>
        </is>
      </c>
    </row>
    <row r="242">
      <c r="A242" t="n">
        <v>396</v>
      </c>
      <c r="B242" t="inlineStr">
        <is>
          <t>Publicaciones en el Campus Virtual</t>
        </is>
      </c>
      <c r="C242" t="inlineStr">
        <is>
          <t>Operativo</t>
        </is>
      </c>
      <c r="D242" t="inlineStr">
        <is>
          <t>Diseño de Contenido Virtual</t>
        </is>
      </c>
      <c r="E242" t="inlineStr">
        <is>
          <t>Semestral</t>
        </is>
      </c>
      <c r="F242" t="inlineStr">
        <is>
          <t>Positivo</t>
        </is>
      </c>
      <c r="G242" t="inlineStr"/>
      <c r="H242" t="inlineStr">
        <is>
          <t>Historico</t>
        </is>
      </c>
      <c r="I242" t="inlineStr">
        <is>
          <t>Historico</t>
        </is>
      </c>
      <c r="J242" t="inlineStr">
        <is>
          <t>Acumulado</t>
        </is>
      </c>
      <c r="K242" t="inlineStr"/>
      <c r="L242" t="inlineStr">
        <is>
          <t>DEC</t>
        </is>
      </c>
    </row>
    <row r="243">
      <c r="A243" t="n">
        <v>397</v>
      </c>
      <c r="B243" t="inlineStr">
        <is>
          <t>Gestión de casos del Estudio de Grabación Virtual</t>
        </is>
      </c>
      <c r="C243" t="inlineStr">
        <is>
          <t>Operativo</t>
        </is>
      </c>
      <c r="D243" t="inlineStr">
        <is>
          <t>Diseño de Contenido Virtual</t>
        </is>
      </c>
      <c r="E243" t="inlineStr">
        <is>
          <t>Semestral</t>
        </is>
      </c>
      <c r="F243" t="inlineStr">
        <is>
          <t>Positivo</t>
        </is>
      </c>
      <c r="G243" t="inlineStr">
        <is>
          <t>Serie Unica</t>
        </is>
      </c>
      <c r="H243" t="inlineStr">
        <is>
          <t>Activo</t>
        </is>
      </c>
      <c r="I243" t="inlineStr">
        <is>
          <t>API</t>
        </is>
      </c>
      <c r="J243" t="inlineStr">
        <is>
          <t>Promedio</t>
        </is>
      </c>
      <c r="K243" t="inlineStr"/>
      <c r="L243" t="inlineStr">
        <is>
          <t>%</t>
        </is>
      </c>
    </row>
    <row r="244">
      <c r="A244" t="n">
        <v>398</v>
      </c>
      <c r="B244" t="inlineStr">
        <is>
          <t>Participación en actividades de desarrollo de Cultura y Formación Emprendedora</t>
        </is>
      </c>
      <c r="C244" t="inlineStr">
        <is>
          <t>Operativo</t>
        </is>
      </c>
      <c r="D244" t="inlineStr">
        <is>
          <t>Emprendimiento</t>
        </is>
      </c>
      <c r="E244" t="inlineStr">
        <is>
          <t>Semestral</t>
        </is>
      </c>
      <c r="F244" t="inlineStr">
        <is>
          <t>Positivo</t>
        </is>
      </c>
      <c r="G244" t="inlineStr">
        <is>
          <t>Serie Unica</t>
        </is>
      </c>
      <c r="H244" t="inlineStr">
        <is>
          <t>Activo</t>
        </is>
      </c>
      <c r="I244" t="inlineStr">
        <is>
          <t>API</t>
        </is>
      </c>
      <c r="J244" t="inlineStr">
        <is>
          <t>Acumulado</t>
        </is>
      </c>
      <c r="K244" t="inlineStr"/>
      <c r="L244" t="inlineStr">
        <is>
          <t>ENT</t>
        </is>
      </c>
    </row>
    <row r="245">
      <c r="A245" t="n">
        <v>399</v>
      </c>
      <c r="B245" t="inlineStr">
        <is>
          <t>Sesiones de Acompañamiento a emprendedores en creación de empresas</t>
        </is>
      </c>
      <c r="C245" t="inlineStr">
        <is>
          <t>Operativo</t>
        </is>
      </c>
      <c r="D245" t="inlineStr">
        <is>
          <t>Emprendimiento</t>
        </is>
      </c>
      <c r="E245" t="inlineStr">
        <is>
          <t>Semestral</t>
        </is>
      </c>
      <c r="F245" t="inlineStr">
        <is>
          <t>Positivo</t>
        </is>
      </c>
      <c r="G245" t="inlineStr">
        <is>
          <t>Serie Unica</t>
        </is>
      </c>
      <c r="H245" t="inlineStr">
        <is>
          <t>Activo</t>
        </is>
      </c>
      <c r="I245" t="inlineStr">
        <is>
          <t>API</t>
        </is>
      </c>
      <c r="J245" t="inlineStr">
        <is>
          <t>Acumulado</t>
        </is>
      </c>
      <c r="K245" t="inlineStr"/>
      <c r="L245" t="inlineStr">
        <is>
          <t>ENT</t>
        </is>
      </c>
    </row>
    <row r="246">
      <c r="A246" t="n">
        <v>400</v>
      </c>
      <c r="B246" t="inlineStr">
        <is>
          <t>Puesta en marcha de proyectos de emprendimiento</t>
        </is>
      </c>
      <c r="C246" t="inlineStr">
        <is>
          <t>Operativo</t>
        </is>
      </c>
      <c r="D246" t="inlineStr">
        <is>
          <t>Emprendimiento</t>
        </is>
      </c>
      <c r="E246" t="inlineStr">
        <is>
          <t>Semestral</t>
        </is>
      </c>
      <c r="F246" t="inlineStr">
        <is>
          <t>Positivo</t>
        </is>
      </c>
      <c r="G246" t="inlineStr">
        <is>
          <t>Serie Unica</t>
        </is>
      </c>
      <c r="H246" t="inlineStr">
        <is>
          <t>Activo</t>
        </is>
      </c>
      <c r="I246" t="inlineStr">
        <is>
          <t>API</t>
        </is>
      </c>
      <c r="J246" t="inlineStr">
        <is>
          <t>Acumulado</t>
        </is>
      </c>
      <c r="K246" t="inlineStr"/>
      <c r="L246" t="inlineStr">
        <is>
          <t>ENT</t>
        </is>
      </c>
    </row>
    <row r="247">
      <c r="A247" t="n">
        <v>401</v>
      </c>
      <c r="B247" t="inlineStr">
        <is>
          <t>Producción de nuevos MI-Books</t>
        </is>
      </c>
      <c r="C247" t="inlineStr">
        <is>
          <t>Operativo</t>
        </is>
      </c>
      <c r="D247" t="inlineStr">
        <is>
          <t>LEI</t>
        </is>
      </c>
      <c r="E247" t="inlineStr">
        <is>
          <t>Semestral</t>
        </is>
      </c>
      <c r="F247" t="inlineStr">
        <is>
          <t>Positivo</t>
        </is>
      </c>
      <c r="G247" t="inlineStr">
        <is>
          <t>Serie Unica</t>
        </is>
      </c>
      <c r="H247" t="inlineStr">
        <is>
          <t>Activo</t>
        </is>
      </c>
      <c r="I247" t="inlineStr">
        <is>
          <t>API</t>
        </is>
      </c>
      <c r="J247" t="inlineStr">
        <is>
          <t>Acumulado</t>
        </is>
      </c>
      <c r="K247" t="inlineStr"/>
      <c r="L247" t="inlineStr">
        <is>
          <t>ENT</t>
        </is>
      </c>
    </row>
    <row r="248">
      <c r="A248" t="n">
        <v>402</v>
      </c>
      <c r="B248" t="inlineStr">
        <is>
          <t>Informe anual de consulta de MI-Books</t>
        </is>
      </c>
      <c r="C248" t="inlineStr">
        <is>
          <t>Estratégico</t>
        </is>
      </c>
      <c r="D248" t="inlineStr">
        <is>
          <t>LEI</t>
        </is>
      </c>
      <c r="E248" t="inlineStr">
        <is>
          <t>Anual</t>
        </is>
      </c>
      <c r="F248" t="inlineStr">
        <is>
          <t>Positivo</t>
        </is>
      </c>
      <c r="G248" t="inlineStr">
        <is>
          <t>Serie Unica</t>
        </is>
      </c>
      <c r="H248" t="inlineStr">
        <is>
          <t>Activo</t>
        </is>
      </c>
      <c r="I248" t="inlineStr">
        <is>
          <t>API</t>
        </is>
      </c>
      <c r="J248" t="inlineStr">
        <is>
          <t>Cierre</t>
        </is>
      </c>
      <c r="K248" t="inlineStr"/>
      <c r="L248" t="inlineStr">
        <is>
          <t>ENT</t>
        </is>
      </c>
    </row>
    <row r="249">
      <c r="A249" t="n">
        <v>403</v>
      </c>
      <c r="B249" t="inlineStr">
        <is>
          <t>Número de estudiantes que ha realizado la simulación (Metrica)</t>
        </is>
      </c>
      <c r="C249" t="inlineStr">
        <is>
          <t>Estratégico</t>
        </is>
      </c>
      <c r="D249" t="inlineStr">
        <is>
          <t>LEI</t>
        </is>
      </c>
      <c r="E249" t="inlineStr">
        <is>
          <t>Semestral</t>
        </is>
      </c>
      <c r="F249" t="inlineStr">
        <is>
          <t>Positivo</t>
        </is>
      </c>
      <c r="G249" t="inlineStr">
        <is>
          <t>Serie Unica</t>
        </is>
      </c>
      <c r="H249" t="inlineStr">
        <is>
          <t>Activo</t>
        </is>
      </c>
      <c r="I249" t="inlineStr">
        <is>
          <t>API</t>
        </is>
      </c>
      <c r="J249" t="inlineStr">
        <is>
          <t>Acumulado</t>
        </is>
      </c>
      <c r="K249" t="inlineStr"/>
      <c r="L249" t="inlineStr">
        <is>
          <t>ENT</t>
        </is>
      </c>
    </row>
    <row r="250">
      <c r="A250" t="n">
        <v>404</v>
      </c>
      <c r="B250" t="inlineStr">
        <is>
          <t>Casos presentados y solucionados</t>
        </is>
      </c>
      <c r="C250" t="inlineStr">
        <is>
          <t>Estratégico</t>
        </is>
      </c>
      <c r="D250" t="inlineStr">
        <is>
          <t>LEI</t>
        </is>
      </c>
      <c r="E250" t="inlineStr">
        <is>
          <t>Semestral</t>
        </is>
      </c>
      <c r="F250" t="inlineStr">
        <is>
          <t>Negativo</t>
        </is>
      </c>
      <c r="G250" t="inlineStr"/>
      <c r="H250" t="inlineStr">
        <is>
          <t>Historico</t>
        </is>
      </c>
      <c r="I250" t="inlineStr">
        <is>
          <t>Historico</t>
        </is>
      </c>
      <c r="J250" t="inlineStr">
        <is>
          <t>Promedio</t>
        </is>
      </c>
      <c r="K250" t="inlineStr"/>
      <c r="L250" t="inlineStr">
        <is>
          <t>%</t>
        </is>
      </c>
    </row>
    <row r="251">
      <c r="A251" t="n">
        <v>405</v>
      </c>
      <c r="B251" t="inlineStr">
        <is>
          <t>Proyecto de reingenieria y arquitectura de software LEI</t>
        </is>
      </c>
      <c r="C251" t="inlineStr">
        <is>
          <t>Estratégico</t>
        </is>
      </c>
      <c r="D251" t="inlineStr">
        <is>
          <t>LEI</t>
        </is>
      </c>
      <c r="E251" t="inlineStr">
        <is>
          <t>Semestral</t>
        </is>
      </c>
      <c r="F251" t="inlineStr">
        <is>
          <t>Positivo</t>
        </is>
      </c>
      <c r="G251" t="inlineStr"/>
      <c r="H251" t="inlineStr">
        <is>
          <t>Historico</t>
        </is>
      </c>
      <c r="I251" t="inlineStr">
        <is>
          <t>Historico</t>
        </is>
      </c>
      <c r="J251" t="inlineStr">
        <is>
          <t>Cierre</t>
        </is>
      </c>
      <c r="K251" t="inlineStr"/>
      <c r="L251" t="inlineStr">
        <is>
          <t>%</t>
        </is>
      </c>
    </row>
    <row r="252">
      <c r="A252" t="n">
        <v>406</v>
      </c>
      <c r="B252" t="inlineStr">
        <is>
          <t>Programas con condiciones iniciales aprobadas por facultad</t>
        </is>
      </c>
      <c r="C252" t="inlineStr">
        <is>
          <t>Estratégico</t>
        </is>
      </c>
      <c r="D252" t="inlineStr">
        <is>
          <t>Autoevaluación de programas académicos</t>
        </is>
      </c>
      <c r="E252" t="inlineStr">
        <is>
          <t>Semestral</t>
        </is>
      </c>
      <c r="F252" t="inlineStr">
        <is>
          <t>Positivo</t>
        </is>
      </c>
      <c r="G252" t="inlineStr"/>
      <c r="H252" t="inlineStr">
        <is>
          <t>Historico</t>
        </is>
      </c>
      <c r="I252" t="inlineStr">
        <is>
          <t>Historico</t>
        </is>
      </c>
      <c r="J252" t="inlineStr">
        <is>
          <t>Acumulado</t>
        </is>
      </c>
      <c r="K252" t="inlineStr"/>
      <c r="L252" t="inlineStr">
        <is>
          <t>ENT</t>
        </is>
      </c>
    </row>
    <row r="253">
      <c r="A253" t="n">
        <v>407</v>
      </c>
      <c r="B253" t="inlineStr">
        <is>
          <t>Programas 1ra fase de condiciones iniciales radicadas por facultad</t>
        </is>
      </c>
      <c r="C253" t="inlineStr">
        <is>
          <t>Estratégico</t>
        </is>
      </c>
      <c r="D253" t="inlineStr">
        <is>
          <t>Autoevaluación de programas académicos</t>
        </is>
      </c>
      <c r="E253" t="inlineStr">
        <is>
          <t>Semestral</t>
        </is>
      </c>
      <c r="F253" t="inlineStr">
        <is>
          <t>Positivo</t>
        </is>
      </c>
      <c r="G253" t="inlineStr"/>
      <c r="H253" t="inlineStr">
        <is>
          <t>Historico</t>
        </is>
      </c>
      <c r="I253" t="inlineStr">
        <is>
          <t>Historico</t>
        </is>
      </c>
      <c r="J253" t="inlineStr">
        <is>
          <t>Acumulado</t>
        </is>
      </c>
      <c r="K253" t="inlineStr"/>
      <c r="L253" t="inlineStr">
        <is>
          <t>ENT</t>
        </is>
      </c>
    </row>
    <row r="254">
      <c r="A254" t="n">
        <v>408</v>
      </c>
      <c r="B254" t="inlineStr">
        <is>
          <t>Programas nuevos radicados por facultad</t>
        </is>
      </c>
      <c r="C254" t="inlineStr">
        <is>
          <t>Estratégico</t>
        </is>
      </c>
      <c r="D254" t="inlineStr">
        <is>
          <t>Creación, modificación y cierre de programas académicos</t>
        </is>
      </c>
      <c r="E254" t="inlineStr">
        <is>
          <t>Semestral</t>
        </is>
      </c>
      <c r="F254" t="inlineStr">
        <is>
          <t>Positivo</t>
        </is>
      </c>
      <c r="G254" t="inlineStr">
        <is>
          <t>Multiserie</t>
        </is>
      </c>
      <c r="H254" t="inlineStr">
        <is>
          <t>Activo</t>
        </is>
      </c>
      <c r="I254" t="inlineStr">
        <is>
          <t>API</t>
        </is>
      </c>
      <c r="J254" t="inlineStr">
        <is>
          <t>Acumulado</t>
        </is>
      </c>
      <c r="K254" t="inlineStr"/>
      <c r="L254" t="inlineStr">
        <is>
          <t>ENT</t>
        </is>
      </c>
    </row>
    <row r="255">
      <c r="A255" t="n">
        <v>409</v>
      </c>
      <c r="B255" t="inlineStr">
        <is>
          <t>Oportunidad en tiempo de envios</t>
        </is>
      </c>
      <c r="C255" t="inlineStr">
        <is>
          <t>Operativo</t>
        </is>
      </c>
      <c r="D255" t="inlineStr">
        <is>
          <t>GESTIÓN JURÍDICA Y NORMATIVA</t>
        </is>
      </c>
      <c r="E255" t="inlineStr">
        <is>
          <t>Trimestral</t>
        </is>
      </c>
      <c r="F255" t="inlineStr">
        <is>
          <t>Positivo</t>
        </is>
      </c>
      <c r="G255" t="inlineStr">
        <is>
          <t>Multiserie</t>
        </is>
      </c>
      <c r="H255" t="inlineStr">
        <is>
          <t>Activo</t>
        </is>
      </c>
      <c r="I255" t="inlineStr">
        <is>
          <t>API</t>
        </is>
      </c>
      <c r="J255" t="inlineStr">
        <is>
          <t>Acumulado</t>
        </is>
      </c>
      <c r="K255" t="inlineStr"/>
      <c r="L255" t="inlineStr">
        <is>
          <t>%</t>
        </is>
      </c>
    </row>
    <row r="256">
      <c r="A256" t="n">
        <v>410</v>
      </c>
      <c r="B256" t="inlineStr">
        <is>
          <t>Solicitudes de gestión documental</t>
        </is>
      </c>
      <c r="C256" t="inlineStr">
        <is>
          <t>Operativo</t>
        </is>
      </c>
      <c r="D256" t="inlineStr">
        <is>
          <t>GESTIÓN JURÍDICA Y NORMATIVA</t>
        </is>
      </c>
      <c r="E256" t="inlineStr">
        <is>
          <t>Trimestral</t>
        </is>
      </c>
      <c r="F256" t="inlineStr">
        <is>
          <t>Positivo</t>
        </is>
      </c>
      <c r="G256" t="inlineStr"/>
      <c r="H256" t="inlineStr">
        <is>
          <t>Historico</t>
        </is>
      </c>
      <c r="I256" t="inlineStr">
        <is>
          <t>Historico</t>
        </is>
      </c>
      <c r="J256" t="inlineStr">
        <is>
          <t>Acumulado</t>
        </is>
      </c>
      <c r="K256" t="inlineStr"/>
      <c r="L256" t="inlineStr">
        <is>
          <t>%</t>
        </is>
      </c>
    </row>
    <row r="257">
      <c r="A257" t="n">
        <v>411</v>
      </c>
      <c r="B257" t="inlineStr">
        <is>
          <t>Cumplimiento Planes De Relacionamiento</t>
        </is>
      </c>
      <c r="C257" t="inlineStr">
        <is>
          <t>Operativo</t>
        </is>
      </c>
      <c r="D257" t="inlineStr">
        <is>
          <t>Comunicaciones Externas</t>
        </is>
      </c>
      <c r="E257" t="inlineStr">
        <is>
          <t>Semestral</t>
        </is>
      </c>
      <c r="F257" t="inlineStr">
        <is>
          <t>Positivo</t>
        </is>
      </c>
      <c r="G257" t="inlineStr"/>
      <c r="H257" t="inlineStr">
        <is>
          <t>Historico</t>
        </is>
      </c>
      <c r="I257" t="inlineStr">
        <is>
          <t>Historico</t>
        </is>
      </c>
      <c r="J257" t="inlineStr">
        <is>
          <t>Promedio</t>
        </is>
      </c>
      <c r="K257" t="inlineStr"/>
      <c r="L257" t="inlineStr">
        <is>
          <t>%</t>
        </is>
      </c>
    </row>
    <row r="258">
      <c r="A258" t="n">
        <v>412</v>
      </c>
      <c r="B258" t="inlineStr">
        <is>
          <t>Participación en eventos externos de impacto</t>
        </is>
      </c>
      <c r="C258" t="inlineStr">
        <is>
          <t>Operativo</t>
        </is>
      </c>
      <c r="D258" t="inlineStr">
        <is>
          <t>Comunicaciones Externas</t>
        </is>
      </c>
      <c r="E258" t="inlineStr">
        <is>
          <t>Anual</t>
        </is>
      </c>
      <c r="F258" t="inlineStr">
        <is>
          <t>Positivo</t>
        </is>
      </c>
      <c r="G258" t="inlineStr"/>
      <c r="H258" t="inlineStr">
        <is>
          <t>Historico</t>
        </is>
      </c>
      <c r="I258" t="inlineStr">
        <is>
          <t>Historico</t>
        </is>
      </c>
      <c r="J258" t="inlineStr">
        <is>
          <t>Cierre</t>
        </is>
      </c>
      <c r="K258" t="inlineStr"/>
      <c r="L258" t="inlineStr">
        <is>
          <t>%</t>
        </is>
      </c>
    </row>
    <row r="259">
      <c r="A259" t="n">
        <v>413</v>
      </c>
      <c r="B259" t="inlineStr">
        <is>
          <t>Participación del Poli como sede o patrocinador</t>
        </is>
      </c>
      <c r="C259" t="inlineStr">
        <is>
          <t>Operativo</t>
        </is>
      </c>
      <c r="D259" t="inlineStr">
        <is>
          <t>Comunicaciones Externas</t>
        </is>
      </c>
      <c r="E259" t="inlineStr">
        <is>
          <t>Anual</t>
        </is>
      </c>
      <c r="F259" t="inlineStr">
        <is>
          <t>Positivo</t>
        </is>
      </c>
      <c r="G259" t="inlineStr">
        <is>
          <t>Serie Unica</t>
        </is>
      </c>
      <c r="H259" t="inlineStr">
        <is>
          <t>Activo</t>
        </is>
      </c>
      <c r="I259" t="inlineStr">
        <is>
          <t>API</t>
        </is>
      </c>
      <c r="J259" t="inlineStr">
        <is>
          <t>Cierre</t>
        </is>
      </c>
      <c r="K259" t="inlineStr"/>
      <c r="L259" t="inlineStr">
        <is>
          <t>ENT</t>
        </is>
      </c>
    </row>
    <row r="260">
      <c r="A260" t="n">
        <v>414</v>
      </c>
      <c r="B260" t="inlineStr">
        <is>
          <t>Cumplimiento Plan Anual Rectoría</t>
        </is>
      </c>
      <c r="C260" t="inlineStr">
        <is>
          <t>Estratégico</t>
        </is>
      </c>
      <c r="D260" t="inlineStr">
        <is>
          <t>Planeación Estratégica</t>
        </is>
      </c>
      <c r="E260" t="inlineStr">
        <is>
          <t>Trimestral</t>
        </is>
      </c>
      <c r="F260" t="inlineStr">
        <is>
          <t>Positivo</t>
        </is>
      </c>
      <c r="G260" t="inlineStr">
        <is>
          <t>Multiserie</t>
        </is>
      </c>
      <c r="H260" t="inlineStr">
        <is>
          <t>Activo</t>
        </is>
      </c>
      <c r="I260" t="inlineStr">
        <is>
          <t>API</t>
        </is>
      </c>
      <c r="J260" t="inlineStr">
        <is>
          <t>Cierre</t>
        </is>
      </c>
      <c r="K260" t="inlineStr">
        <is>
          <t>Plan de retos</t>
        </is>
      </c>
      <c r="L260" t="inlineStr">
        <is>
          <t>ENT</t>
        </is>
      </c>
    </row>
    <row r="261">
      <c r="A261" t="n">
        <v>415</v>
      </c>
      <c r="B261" t="inlineStr">
        <is>
          <t>Cumplimiento Plan Anual Vicerrectoría del estudiante</t>
        </is>
      </c>
      <c r="C261" t="inlineStr">
        <is>
          <t>Estratégico</t>
        </is>
      </c>
      <c r="D261" t="inlineStr">
        <is>
          <t>Planeación Estratégica</t>
        </is>
      </c>
      <c r="E261" t="inlineStr">
        <is>
          <t>Trimestral</t>
        </is>
      </c>
      <c r="F261" t="inlineStr">
        <is>
          <t>Positivo</t>
        </is>
      </c>
      <c r="G261" t="inlineStr">
        <is>
          <t>Multiserie</t>
        </is>
      </c>
      <c r="H261" t="inlineStr">
        <is>
          <t>Activo</t>
        </is>
      </c>
      <c r="I261" t="inlineStr">
        <is>
          <t>API</t>
        </is>
      </c>
      <c r="J261" t="inlineStr">
        <is>
          <t>Cierre</t>
        </is>
      </c>
      <c r="K261" t="inlineStr">
        <is>
          <t>Plan de retos</t>
        </is>
      </c>
      <c r="L261" t="inlineStr">
        <is>
          <t>%</t>
        </is>
      </c>
    </row>
    <row r="262">
      <c r="A262" t="n">
        <v>416</v>
      </c>
      <c r="B262" t="inlineStr">
        <is>
          <t>Cumplimiento Plan Anual Vicerrectoría de crecimiento</t>
        </is>
      </c>
      <c r="C262" t="inlineStr">
        <is>
          <t>Estratégico</t>
        </is>
      </c>
      <c r="D262" t="inlineStr">
        <is>
          <t>Planeación Estratégica</t>
        </is>
      </c>
      <c r="E262" t="inlineStr">
        <is>
          <t>Trimestral</t>
        </is>
      </c>
      <c r="F262" t="inlineStr">
        <is>
          <t>Positivo</t>
        </is>
      </c>
      <c r="G262" t="inlineStr">
        <is>
          <t>Multiserie</t>
        </is>
      </c>
      <c r="H262" t="inlineStr">
        <is>
          <t>Activo</t>
        </is>
      </c>
      <c r="I262" t="inlineStr">
        <is>
          <t>API</t>
        </is>
      </c>
      <c r="J262" t="inlineStr">
        <is>
          <t>Cierre</t>
        </is>
      </c>
      <c r="K262" t="inlineStr">
        <is>
          <t>Plan de retos</t>
        </is>
      </c>
      <c r="L262" t="inlineStr">
        <is>
          <t>%</t>
        </is>
      </c>
    </row>
    <row r="263">
      <c r="A263" t="n">
        <v>417</v>
      </c>
      <c r="B263" t="inlineStr">
        <is>
          <t>Cumplimiento Plan Anual Vicerrectoría Financiera</t>
        </is>
      </c>
      <c r="C263" t="inlineStr">
        <is>
          <t>Estratégico</t>
        </is>
      </c>
      <c r="D263" t="inlineStr">
        <is>
          <t>Planeación Estratégica</t>
        </is>
      </c>
      <c r="E263" t="inlineStr">
        <is>
          <t>Trimestral</t>
        </is>
      </c>
      <c r="F263" t="inlineStr">
        <is>
          <t>Positivo</t>
        </is>
      </c>
      <c r="G263" t="inlineStr">
        <is>
          <t>Multiserie</t>
        </is>
      </c>
      <c r="H263" t="inlineStr">
        <is>
          <t>Activo</t>
        </is>
      </c>
      <c r="I263" t="inlineStr">
        <is>
          <t>API</t>
        </is>
      </c>
      <c r="J263" t="inlineStr">
        <is>
          <t>Cierre</t>
        </is>
      </c>
      <c r="K263" t="inlineStr">
        <is>
          <t>Plan de retos</t>
        </is>
      </c>
      <c r="L263" t="inlineStr">
        <is>
          <t>%</t>
        </is>
      </c>
    </row>
    <row r="264">
      <c r="A264" t="n">
        <v>418</v>
      </c>
      <c r="B264" t="inlineStr">
        <is>
          <t>Cumplimiento Plan Anual Vicerrectoría Académica</t>
        </is>
      </c>
      <c r="C264" t="inlineStr">
        <is>
          <t>Estratégico</t>
        </is>
      </c>
      <c r="D264" t="inlineStr">
        <is>
          <t>Planeación Estratégica</t>
        </is>
      </c>
      <c r="E264" t="inlineStr">
        <is>
          <t>Trimestral</t>
        </is>
      </c>
      <c r="F264" t="inlineStr">
        <is>
          <t>Positivo</t>
        </is>
      </c>
      <c r="G264" t="inlineStr">
        <is>
          <t>Multiserie</t>
        </is>
      </c>
      <c r="H264" t="inlineStr">
        <is>
          <t>Activo</t>
        </is>
      </c>
      <c r="I264" t="inlineStr">
        <is>
          <t>API</t>
        </is>
      </c>
      <c r="J264" t="inlineStr">
        <is>
          <t>Cierre</t>
        </is>
      </c>
      <c r="K264" t="inlineStr">
        <is>
          <t>Plan de retos</t>
        </is>
      </c>
      <c r="L264" t="inlineStr">
        <is>
          <t>%</t>
        </is>
      </c>
    </row>
    <row r="265">
      <c r="A265" t="n">
        <v>419</v>
      </c>
      <c r="B265" t="inlineStr">
        <is>
          <t>Cumplimiento Plan Anual Áreas sede Medellín</t>
        </is>
      </c>
      <c r="C265" t="inlineStr">
        <is>
          <t>Estratégico</t>
        </is>
      </c>
      <c r="D265" t="inlineStr">
        <is>
          <t>Planeación Estratégica</t>
        </is>
      </c>
      <c r="E265" t="inlineStr">
        <is>
          <t>Trimestral</t>
        </is>
      </c>
      <c r="F265" t="inlineStr">
        <is>
          <t>Positivo</t>
        </is>
      </c>
      <c r="G265" t="inlineStr"/>
      <c r="H265" t="inlineStr">
        <is>
          <t>Historico</t>
        </is>
      </c>
      <c r="I265" t="inlineStr">
        <is>
          <t>Historico</t>
        </is>
      </c>
      <c r="J265" t="inlineStr">
        <is>
          <t>Cierre</t>
        </is>
      </c>
      <c r="K265" t="inlineStr">
        <is>
          <t>Plan de retos</t>
        </is>
      </c>
      <c r="L265" t="inlineStr">
        <is>
          <t>%</t>
        </is>
      </c>
    </row>
    <row r="266">
      <c r="A266" t="n">
        <v>420</v>
      </c>
      <c r="B266" t="inlineStr">
        <is>
          <t>Cumplimiento Plan Anual Gerencia de estrategia</t>
        </is>
      </c>
      <c r="C266" t="inlineStr">
        <is>
          <t>Estratégico</t>
        </is>
      </c>
      <c r="D266" t="inlineStr">
        <is>
          <t>Planeación Estratégica</t>
        </is>
      </c>
      <c r="E266" t="inlineStr">
        <is>
          <t>Trimestral</t>
        </is>
      </c>
      <c r="F266" t="inlineStr">
        <is>
          <t>Positivo</t>
        </is>
      </c>
      <c r="G266" t="inlineStr">
        <is>
          <t>Multiserie</t>
        </is>
      </c>
      <c r="H266" t="inlineStr">
        <is>
          <t>Activo</t>
        </is>
      </c>
      <c r="I266" t="inlineStr">
        <is>
          <t>API</t>
        </is>
      </c>
      <c r="J266" t="inlineStr">
        <is>
          <t>Cierre</t>
        </is>
      </c>
      <c r="K266" t="inlineStr">
        <is>
          <t>Plan de retos</t>
        </is>
      </c>
      <c r="L266" t="inlineStr">
        <is>
          <t>%</t>
        </is>
      </c>
    </row>
    <row r="267">
      <c r="A267" t="n">
        <v>421</v>
      </c>
      <c r="B267" t="inlineStr">
        <is>
          <t>Total Leads por canales de captación</t>
        </is>
      </c>
      <c r="C267" t="inlineStr">
        <is>
          <t>Operativo</t>
        </is>
      </c>
      <c r="D267" t="inlineStr">
        <is>
          <t>Mercadeo de programas académicos</t>
        </is>
      </c>
      <c r="E267" t="inlineStr">
        <is>
          <t>Semestral</t>
        </is>
      </c>
      <c r="F267" t="inlineStr">
        <is>
          <t>Positivo</t>
        </is>
      </c>
      <c r="G267" t="inlineStr"/>
      <c r="H267" t="inlineStr">
        <is>
          <t>Historico</t>
        </is>
      </c>
      <c r="I267" t="inlineStr">
        <is>
          <t>Historico</t>
        </is>
      </c>
      <c r="J267" t="inlineStr">
        <is>
          <t>Acumulado</t>
        </is>
      </c>
      <c r="K267" t="inlineStr"/>
      <c r="L267" t="inlineStr">
        <is>
          <t>ENT</t>
        </is>
      </c>
    </row>
    <row r="268">
      <c r="A268" t="n">
        <v>422</v>
      </c>
      <c r="B268" t="inlineStr">
        <is>
          <t>Total conversión</t>
        </is>
      </c>
      <c r="C268" t="inlineStr">
        <is>
          <t>Estratégico</t>
        </is>
      </c>
      <c r="D268" t="inlineStr">
        <is>
          <t>Mercadeo de programas académicos</t>
        </is>
      </c>
      <c r="E268" t="inlineStr">
        <is>
          <t>Semestral</t>
        </is>
      </c>
      <c r="F268" t="inlineStr">
        <is>
          <t>Positivo</t>
        </is>
      </c>
      <c r="G268" t="inlineStr">
        <is>
          <t>Serie Unica</t>
        </is>
      </c>
      <c r="H268" t="inlineStr">
        <is>
          <t>Activo</t>
        </is>
      </c>
      <c r="I268" t="inlineStr">
        <is>
          <t>API</t>
        </is>
      </c>
      <c r="J268" t="inlineStr">
        <is>
          <t>Cierre</t>
        </is>
      </c>
      <c r="K268" t="inlineStr"/>
      <c r="L268" t="inlineStr">
        <is>
          <t>%</t>
        </is>
      </c>
    </row>
    <row r="269">
      <c r="A269" t="n">
        <v>423</v>
      </c>
      <c r="B269" t="inlineStr">
        <is>
          <t>Brand equity</t>
        </is>
      </c>
      <c r="C269" t="inlineStr">
        <is>
          <t>Estratégico</t>
        </is>
      </c>
      <c r="D269" t="inlineStr">
        <is>
          <t>Mercadeo de programas académicos</t>
        </is>
      </c>
      <c r="E269" t="inlineStr">
        <is>
          <t>Anual</t>
        </is>
      </c>
      <c r="F269" t="inlineStr">
        <is>
          <t>Positivo</t>
        </is>
      </c>
      <c r="G269" t="inlineStr">
        <is>
          <t>Serie Unica</t>
        </is>
      </c>
      <c r="H269" t="inlineStr">
        <is>
          <t>Activo</t>
        </is>
      </c>
      <c r="I269" t="inlineStr">
        <is>
          <t>API</t>
        </is>
      </c>
      <c r="J269" t="inlineStr">
        <is>
          <t>Cierre</t>
        </is>
      </c>
      <c r="K269" t="inlineStr"/>
      <c r="L269" t="inlineStr">
        <is>
          <t>DEC</t>
        </is>
      </c>
    </row>
    <row r="270">
      <c r="A270" t="n">
        <v>424</v>
      </c>
      <c r="B270" t="inlineStr">
        <is>
          <t>Conocimiento espontáneo</t>
        </is>
      </c>
      <c r="C270" t="inlineStr">
        <is>
          <t>Estratégico</t>
        </is>
      </c>
      <c r="D270" t="inlineStr">
        <is>
          <t>Mercadeo de programas académicos</t>
        </is>
      </c>
      <c r="E270" t="inlineStr">
        <is>
          <t>Anual</t>
        </is>
      </c>
      <c r="F270" t="inlineStr">
        <is>
          <t>Positivo</t>
        </is>
      </c>
      <c r="G270" t="inlineStr">
        <is>
          <t>Serie Unica</t>
        </is>
      </c>
      <c r="H270" t="inlineStr">
        <is>
          <t>Activo</t>
        </is>
      </c>
      <c r="I270" t="inlineStr">
        <is>
          <t>API</t>
        </is>
      </c>
      <c r="J270" t="inlineStr">
        <is>
          <t>Cierre</t>
        </is>
      </c>
      <c r="K270" t="inlineStr"/>
      <c r="L270" t="inlineStr">
        <is>
          <t>ENT</t>
        </is>
      </c>
    </row>
    <row r="271">
      <c r="A271" t="n">
        <v>425</v>
      </c>
      <c r="B271" t="inlineStr">
        <is>
          <t>Cumplimiento Leads Educación para la vida</t>
        </is>
      </c>
      <c r="C271" t="inlineStr">
        <is>
          <t>Operativo</t>
        </is>
      </c>
      <c r="D271" t="inlineStr">
        <is>
          <t>Mercadeo y venta de educación para la vida</t>
        </is>
      </c>
      <c r="E271" t="inlineStr">
        <is>
          <t>Semestral</t>
        </is>
      </c>
      <c r="F271" t="inlineStr">
        <is>
          <t>Positivo</t>
        </is>
      </c>
      <c r="G271" t="inlineStr"/>
      <c r="H271" t="inlineStr">
        <is>
          <t>Historico</t>
        </is>
      </c>
      <c r="I271" t="inlineStr">
        <is>
          <t>Historico</t>
        </is>
      </c>
      <c r="J271" t="inlineStr">
        <is>
          <t>Acumulado</t>
        </is>
      </c>
      <c r="K271" t="inlineStr"/>
      <c r="L271" t="inlineStr">
        <is>
          <t>ENT</t>
        </is>
      </c>
    </row>
    <row r="272">
      <c r="A272" t="n">
        <v>426</v>
      </c>
      <c r="B272" t="inlineStr">
        <is>
          <t>Cumplimiento en la respuesta a solicitudes de comunicaciones internas</t>
        </is>
      </c>
      <c r="C272" t="inlineStr">
        <is>
          <t>Operativo</t>
        </is>
      </c>
      <c r="D272" t="inlineStr">
        <is>
          <t>Comunicaciones Internas</t>
        </is>
      </c>
      <c r="E272" t="inlineStr">
        <is>
          <t>Semestral</t>
        </is>
      </c>
      <c r="F272" t="inlineStr">
        <is>
          <t>Positivo</t>
        </is>
      </c>
      <c r="G272" t="inlineStr">
        <is>
          <t>Serie Unica</t>
        </is>
      </c>
      <c r="H272" t="inlineStr">
        <is>
          <t>Activo</t>
        </is>
      </c>
      <c r="I272" t="inlineStr">
        <is>
          <t>API</t>
        </is>
      </c>
      <c r="J272" t="inlineStr">
        <is>
          <t>Promedio</t>
        </is>
      </c>
      <c r="K272" t="inlineStr"/>
      <c r="L272" t="inlineStr">
        <is>
          <t>%</t>
        </is>
      </c>
    </row>
    <row r="273">
      <c r="A273" t="n">
        <v>427</v>
      </c>
      <c r="B273" t="inlineStr">
        <is>
          <t>Consumo de Agua per Cápita Semestral</t>
        </is>
      </c>
      <c r="C273" t="inlineStr">
        <is>
          <t>Operativo</t>
        </is>
      </c>
      <c r="D273" t="inlineStr">
        <is>
          <t>GESTIÓN AMBIENTAL</t>
        </is>
      </c>
      <c r="E273" t="inlineStr">
        <is>
          <t>Semestral</t>
        </is>
      </c>
      <c r="F273" t="inlineStr">
        <is>
          <t>Negativo</t>
        </is>
      </c>
      <c r="G273" t="inlineStr">
        <is>
          <t>Multiserie</t>
        </is>
      </c>
      <c r="H273" t="inlineStr">
        <is>
          <t>Activo</t>
        </is>
      </c>
      <c r="I273" t="inlineStr">
        <is>
          <t>API</t>
        </is>
      </c>
      <c r="J273" t="inlineStr">
        <is>
          <t>Promedio</t>
        </is>
      </c>
      <c r="K273" t="inlineStr"/>
      <c r="L273" t="inlineStr">
        <is>
          <t>DEC</t>
        </is>
      </c>
    </row>
    <row r="274">
      <c r="A274" t="n">
        <v>428</v>
      </c>
      <c r="B274" t="inlineStr">
        <is>
          <t>Consumo de Energía Eléctrica per Cápita Semestral</t>
        </is>
      </c>
      <c r="C274" t="inlineStr">
        <is>
          <t>Operativo</t>
        </is>
      </c>
      <c r="D274" t="inlineStr">
        <is>
          <t>GESTIÓN AMBIENTAL</t>
        </is>
      </c>
      <c r="E274" t="inlineStr">
        <is>
          <t>Semestral</t>
        </is>
      </c>
      <c r="F274" t="inlineStr">
        <is>
          <t>Negativo</t>
        </is>
      </c>
      <c r="G274" t="inlineStr">
        <is>
          <t>Multiserie</t>
        </is>
      </c>
      <c r="H274" t="inlineStr">
        <is>
          <t>Activo</t>
        </is>
      </c>
      <c r="I274" t="inlineStr">
        <is>
          <t>API</t>
        </is>
      </c>
      <c r="J274" t="inlineStr">
        <is>
          <t>Promedio</t>
        </is>
      </c>
      <c r="K274" t="inlineStr"/>
      <c r="L274" t="inlineStr">
        <is>
          <t>kWh</t>
        </is>
      </c>
    </row>
    <row r="275">
      <c r="A275" t="n">
        <v>429</v>
      </c>
      <c r="B275" t="inlineStr">
        <is>
          <t>Generación de Residuos Sólidos per Cápita Semestral</t>
        </is>
      </c>
      <c r="C275" t="inlineStr">
        <is>
          <t>Operativo</t>
        </is>
      </c>
      <c r="D275" t="inlineStr">
        <is>
          <t>GESTIÓN AMBIENTAL</t>
        </is>
      </c>
      <c r="E275" t="inlineStr">
        <is>
          <t>Semestral</t>
        </is>
      </c>
      <c r="F275" t="inlineStr">
        <is>
          <t>Negativo</t>
        </is>
      </c>
      <c r="G275" t="inlineStr">
        <is>
          <t>Multiserie</t>
        </is>
      </c>
      <c r="H275" t="inlineStr">
        <is>
          <t>Activo</t>
        </is>
      </c>
      <c r="I275" t="inlineStr">
        <is>
          <t>API</t>
        </is>
      </c>
      <c r="J275" t="inlineStr">
        <is>
          <t>Promedio</t>
        </is>
      </c>
      <c r="K275" t="inlineStr"/>
      <c r="L275" t="inlineStr">
        <is>
          <t>DEC</t>
        </is>
      </c>
    </row>
    <row r="276">
      <c r="A276" t="n">
        <v>430</v>
      </c>
      <c r="B276" t="inlineStr">
        <is>
          <t>Cumplimiento ingresos por matriculas</t>
        </is>
      </c>
      <c r="C276" t="inlineStr">
        <is>
          <t>Estratégico</t>
        </is>
      </c>
      <c r="D276" t="inlineStr">
        <is>
          <t>Planeación Financiera</t>
        </is>
      </c>
      <c r="E276" t="inlineStr">
        <is>
          <t>Semestral</t>
        </is>
      </c>
      <c r="F276" t="inlineStr">
        <is>
          <t>Positivo</t>
        </is>
      </c>
      <c r="G276" t="inlineStr">
        <is>
          <t>Multiserie</t>
        </is>
      </c>
      <c r="H276" t="inlineStr">
        <is>
          <t>Activo</t>
        </is>
      </c>
      <c r="I276" t="inlineStr">
        <is>
          <t>API</t>
        </is>
      </c>
      <c r="J276" t="inlineStr">
        <is>
          <t>Cierre</t>
        </is>
      </c>
      <c r="K276" t="inlineStr"/>
      <c r="L276" t="inlineStr">
        <is>
          <t>%</t>
        </is>
      </c>
    </row>
    <row r="277">
      <c r="A277" t="n">
        <v>431</v>
      </c>
      <c r="B277" t="inlineStr">
        <is>
          <t>Gestión de casos de salud que impactan a los colaboradores</t>
        </is>
      </c>
      <c r="C277" t="inlineStr">
        <is>
          <t>Operativo</t>
        </is>
      </c>
      <c r="D277" t="inlineStr">
        <is>
          <t>GESTIÓN DE SEGURIDAD Y SALUD EN EL TRABAJO</t>
        </is>
      </c>
      <c r="E277" t="inlineStr">
        <is>
          <t>Trimestral</t>
        </is>
      </c>
      <c r="F277" t="inlineStr">
        <is>
          <t>Positivo</t>
        </is>
      </c>
      <c r="G277" t="inlineStr">
        <is>
          <t>Serie Unica</t>
        </is>
      </c>
      <c r="H277" t="inlineStr">
        <is>
          <t>Activo</t>
        </is>
      </c>
      <c r="I277" t="inlineStr">
        <is>
          <t>API</t>
        </is>
      </c>
      <c r="J277" t="inlineStr">
        <is>
          <t>Promedio</t>
        </is>
      </c>
      <c r="K277" t="inlineStr"/>
      <c r="L277" t="inlineStr">
        <is>
          <t>%</t>
        </is>
      </c>
    </row>
    <row r="278">
      <c r="A278" t="n">
        <v>432</v>
      </c>
      <c r="B278" t="inlineStr">
        <is>
          <t>Intervención a la gestión del riesgo de los colaboradores</t>
        </is>
      </c>
      <c r="C278" t="inlineStr">
        <is>
          <t>Operativo</t>
        </is>
      </c>
      <c r="D278" t="inlineStr">
        <is>
          <t>GESTIÓN DE SEGURIDAD Y SALUD EN EL TRABAJO</t>
        </is>
      </c>
      <c r="E278" t="inlineStr">
        <is>
          <t>Trimestral</t>
        </is>
      </c>
      <c r="F278" t="inlineStr">
        <is>
          <t>Positivo</t>
        </is>
      </c>
      <c r="G278" t="inlineStr">
        <is>
          <t>Multiserie</t>
        </is>
      </c>
      <c r="H278" t="inlineStr">
        <is>
          <t>Activo</t>
        </is>
      </c>
      <c r="I278" t="inlineStr">
        <is>
          <t>API</t>
        </is>
      </c>
      <c r="J278" t="inlineStr">
        <is>
          <t>Promedio</t>
        </is>
      </c>
      <c r="K278" t="inlineStr"/>
      <c r="L278" t="inlineStr">
        <is>
          <t>%</t>
        </is>
      </c>
    </row>
    <row r="279">
      <c r="A279" t="n">
        <v>433</v>
      </c>
      <c r="B279" t="inlineStr">
        <is>
          <t>Generación de Residuos Peligrosos per Cápita Semestral</t>
        </is>
      </c>
      <c r="C279" t="inlineStr">
        <is>
          <t>Operativo</t>
        </is>
      </c>
      <c r="D279" t="inlineStr">
        <is>
          <t>GESTIÓN AMBIENTAL</t>
        </is>
      </c>
      <c r="E279" t="inlineStr">
        <is>
          <t>Semestral</t>
        </is>
      </c>
      <c r="F279" t="inlineStr">
        <is>
          <t>Negativo</t>
        </is>
      </c>
      <c r="G279" t="inlineStr">
        <is>
          <t>Multiserie</t>
        </is>
      </c>
      <c r="H279" t="inlineStr">
        <is>
          <t>Activo</t>
        </is>
      </c>
      <c r="I279" t="inlineStr">
        <is>
          <t>API</t>
        </is>
      </c>
      <c r="J279" t="inlineStr">
        <is>
          <t>Promedio</t>
        </is>
      </c>
      <c r="K279" t="inlineStr"/>
      <c r="L279" t="inlineStr">
        <is>
          <t>DEC</t>
        </is>
      </c>
    </row>
    <row r="280">
      <c r="A280" t="n">
        <v>434</v>
      </c>
      <c r="B280" t="inlineStr">
        <is>
          <t>Generación de Residuos Peligrosos Mensual</t>
        </is>
      </c>
      <c r="C280" t="inlineStr">
        <is>
          <t>Operativo</t>
        </is>
      </c>
      <c r="D280" t="inlineStr">
        <is>
          <t>GESTIÓN AMBIENTAL</t>
        </is>
      </c>
      <c r="E280" t="inlineStr">
        <is>
          <t>Mensual</t>
        </is>
      </c>
      <c r="F280" t="inlineStr">
        <is>
          <t>Negativo</t>
        </is>
      </c>
      <c r="G280" t="inlineStr">
        <is>
          <t>Multiserie</t>
        </is>
      </c>
      <c r="H280" t="inlineStr">
        <is>
          <t>Activo</t>
        </is>
      </c>
      <c r="I280" t="inlineStr">
        <is>
          <t>API</t>
        </is>
      </c>
      <c r="J280" t="inlineStr">
        <is>
          <t>Acumulado</t>
        </is>
      </c>
      <c r="K280" t="inlineStr"/>
      <c r="L280" t="inlineStr">
        <is>
          <t>Kg</t>
        </is>
      </c>
    </row>
    <row r="281">
      <c r="A281" t="n">
        <v>435</v>
      </c>
      <c r="B281" t="inlineStr">
        <is>
          <t>Disminución de la Generación de Residuos Peligrosos per Cápita</t>
        </is>
      </c>
      <c r="C281" t="inlineStr">
        <is>
          <t>Operativo</t>
        </is>
      </c>
      <c r="D281" t="inlineStr">
        <is>
          <t>GESTIÓN AMBIENTAL</t>
        </is>
      </c>
      <c r="E281" t="inlineStr">
        <is>
          <t>Semestral</t>
        </is>
      </c>
      <c r="F281" t="inlineStr">
        <is>
          <t>Positivo</t>
        </is>
      </c>
      <c r="G281" t="inlineStr">
        <is>
          <t>Multiserie</t>
        </is>
      </c>
      <c r="H281" t="inlineStr">
        <is>
          <t>Activo</t>
        </is>
      </c>
      <c r="I281" t="inlineStr">
        <is>
          <t>API</t>
        </is>
      </c>
      <c r="J281" t="inlineStr">
        <is>
          <t>Promedio</t>
        </is>
      </c>
      <c r="K281" t="inlineStr"/>
      <c r="L281" t="inlineStr">
        <is>
          <t>%</t>
        </is>
      </c>
    </row>
    <row r="282">
      <c r="A282" t="n">
        <v>436</v>
      </c>
      <c r="B282" t="inlineStr">
        <is>
          <t>ANS documentos operativos</t>
        </is>
      </c>
      <c r="C282" t="inlineStr">
        <is>
          <t>Operativo</t>
        </is>
      </c>
      <c r="D282" t="inlineStr">
        <is>
          <t>Gestión de calidad</t>
        </is>
      </c>
      <c r="E282" t="inlineStr">
        <is>
          <t>Mensual</t>
        </is>
      </c>
      <c r="F282" t="inlineStr">
        <is>
          <t>Negativo</t>
        </is>
      </c>
      <c r="G282" t="inlineStr">
        <is>
          <t>Multiserie</t>
        </is>
      </c>
      <c r="H282" t="inlineStr">
        <is>
          <t>Activo</t>
        </is>
      </c>
      <c r="I282" t="inlineStr">
        <is>
          <t>API</t>
        </is>
      </c>
      <c r="J282" t="inlineStr">
        <is>
          <t>Promedio</t>
        </is>
      </c>
      <c r="K282" t="inlineStr"/>
      <c r="L282" t="inlineStr">
        <is>
          <t>Días</t>
        </is>
      </c>
    </row>
    <row r="283">
      <c r="A283" t="n">
        <v>437</v>
      </c>
      <c r="B283" t="inlineStr">
        <is>
          <t>Nivel de Satisfacción Servicios Prestados - Riesgos</t>
        </is>
      </c>
      <c r="C283" t="inlineStr">
        <is>
          <t>Estratégico</t>
        </is>
      </c>
      <c r="D283" t="inlineStr">
        <is>
          <t>GESTIÓN DE RIESGOS</t>
        </is>
      </c>
      <c r="E283" t="inlineStr">
        <is>
          <t>Anual</t>
        </is>
      </c>
      <c r="F283" t="inlineStr">
        <is>
          <t>Positivo</t>
        </is>
      </c>
      <c r="G283" t="inlineStr">
        <is>
          <t>Serie Unica</t>
        </is>
      </c>
      <c r="H283" t="inlineStr">
        <is>
          <t>Activo</t>
        </is>
      </c>
      <c r="I283" t="inlineStr">
        <is>
          <t>API</t>
        </is>
      </c>
      <c r="J283" t="inlineStr">
        <is>
          <t>Cierre</t>
        </is>
      </c>
      <c r="K283" t="inlineStr"/>
      <c r="L283" t="inlineStr">
        <is>
          <t>%</t>
        </is>
      </c>
    </row>
    <row r="284">
      <c r="A284" t="n">
        <v>438</v>
      </c>
      <c r="B284" t="inlineStr">
        <is>
          <t>Seguimiento de asignación docente a NRC Pregrado-Posgrado Virtual</t>
        </is>
      </c>
      <c r="C284" t="inlineStr">
        <is>
          <t>Estratégico</t>
        </is>
      </c>
      <c r="D284" t="inlineStr">
        <is>
          <t>Operaciones Académica pregrado y posgrado virtual</t>
        </is>
      </c>
      <c r="E284" t="inlineStr">
        <is>
          <t>Semestral</t>
        </is>
      </c>
      <c r="F284" t="inlineStr">
        <is>
          <t>Positivo</t>
        </is>
      </c>
      <c r="G284" t="inlineStr"/>
      <c r="H284" t="inlineStr">
        <is>
          <t>Historico</t>
        </is>
      </c>
      <c r="I284" t="inlineStr">
        <is>
          <t>Historico</t>
        </is>
      </c>
      <c r="J284" t="inlineStr">
        <is>
          <t>Promedio</t>
        </is>
      </c>
      <c r="K284" t="inlineStr"/>
      <c r="L284" t="inlineStr">
        <is>
          <t>ENT</t>
        </is>
      </c>
    </row>
    <row r="285">
      <c r="A285" t="n">
        <v>439</v>
      </c>
      <c r="B285" t="inlineStr">
        <is>
          <t>Disponibilidad de catálogo de asignaturas pregrado y posgrado virtual</t>
        </is>
      </c>
      <c r="C285" t="inlineStr">
        <is>
          <t>Operativo</t>
        </is>
      </c>
      <c r="D285" t="inlineStr">
        <is>
          <t>Operaciones Académicas</t>
        </is>
      </c>
      <c r="E285" t="inlineStr">
        <is>
          <t>Semestral</t>
        </is>
      </c>
      <c r="F285" t="inlineStr">
        <is>
          <t>Positivo</t>
        </is>
      </c>
      <c r="G285" t="inlineStr">
        <is>
          <t>Multiserie</t>
        </is>
      </c>
      <c r="H285" t="inlineStr">
        <is>
          <t>Activo</t>
        </is>
      </c>
      <c r="I285" t="inlineStr">
        <is>
          <t>API</t>
        </is>
      </c>
      <c r="J285" t="inlineStr">
        <is>
          <t>Promedio</t>
        </is>
      </c>
      <c r="K285" t="inlineStr"/>
      <c r="L285" t="inlineStr">
        <is>
          <t>%</t>
        </is>
      </c>
    </row>
    <row r="286">
      <c r="A286" t="n">
        <v>440</v>
      </c>
      <c r="B286" t="inlineStr">
        <is>
          <t>Aseguramiento de matricula académica virtual</t>
        </is>
      </c>
      <c r="C286" t="inlineStr">
        <is>
          <t>Operativo</t>
        </is>
      </c>
      <c r="D286" t="inlineStr">
        <is>
          <t>Operaciones Académicas</t>
        </is>
      </c>
      <c r="E286" t="inlineStr">
        <is>
          <t>Semestral</t>
        </is>
      </c>
      <c r="F286" t="inlineStr">
        <is>
          <t>Positivo</t>
        </is>
      </c>
      <c r="G286" t="inlineStr">
        <is>
          <t>Multiserie</t>
        </is>
      </c>
      <c r="H286" t="inlineStr">
        <is>
          <t>Activo</t>
        </is>
      </c>
      <c r="I286" t="inlineStr">
        <is>
          <t>API</t>
        </is>
      </c>
      <c r="J286" t="inlineStr">
        <is>
          <t>Acumulado</t>
        </is>
      </c>
      <c r="K286" t="inlineStr"/>
      <c r="L286" t="inlineStr">
        <is>
          <t>%</t>
        </is>
      </c>
    </row>
    <row r="287">
      <c r="A287" t="n">
        <v>441</v>
      </c>
      <c r="B287" t="inlineStr">
        <is>
          <t>Cumplimiento a cronograma de proyectos 2024</t>
        </is>
      </c>
      <c r="C287" t="inlineStr">
        <is>
          <t>Estratégico</t>
        </is>
      </c>
      <c r="D287" t="inlineStr">
        <is>
          <t>Gestión de Proyectos</t>
        </is>
      </c>
      <c r="E287" t="inlineStr">
        <is>
          <t>Mensual</t>
        </is>
      </c>
      <c r="F287" t="inlineStr">
        <is>
          <t>Positivo</t>
        </is>
      </c>
      <c r="G287" t="inlineStr"/>
      <c r="H287" t="inlineStr">
        <is>
          <t>Historico</t>
        </is>
      </c>
      <c r="I287" t="inlineStr">
        <is>
          <t>Historico</t>
        </is>
      </c>
      <c r="J287" t="inlineStr">
        <is>
          <t>Cierre</t>
        </is>
      </c>
      <c r="K287" t="inlineStr"/>
      <c r="L287" t="inlineStr">
        <is>
          <t>%</t>
        </is>
      </c>
    </row>
    <row r="288">
      <c r="A288" t="n">
        <v>442</v>
      </c>
      <c r="B288" t="inlineStr">
        <is>
          <t>Participación de docentes invitados en eventos académicos virtuales en Poli</t>
        </is>
      </c>
      <c r="C288" t="inlineStr">
        <is>
          <t>Estratégico</t>
        </is>
      </c>
      <c r="D288" t="inlineStr">
        <is>
          <t>VISIBILIDAD NACIONAL E INTERNACIONAL</t>
        </is>
      </c>
      <c r="E288" t="inlineStr">
        <is>
          <t>Semestral</t>
        </is>
      </c>
      <c r="F288" t="inlineStr">
        <is>
          <t>Positivo</t>
        </is>
      </c>
      <c r="G288" t="inlineStr"/>
      <c r="H288" t="inlineStr">
        <is>
          <t>Historico</t>
        </is>
      </c>
      <c r="I288" t="inlineStr">
        <is>
          <t>Historico</t>
        </is>
      </c>
      <c r="J288" t="inlineStr">
        <is>
          <t>Acumulado</t>
        </is>
      </c>
      <c r="K288" t="inlineStr"/>
      <c r="L288" t="inlineStr">
        <is>
          <t>ENT</t>
        </is>
      </c>
    </row>
    <row r="289">
      <c r="A289" t="n">
        <v>443</v>
      </c>
      <c r="B289" t="inlineStr">
        <is>
          <t>Participación de estudiantes invitados en eventos académicos virtuales en Poli</t>
        </is>
      </c>
      <c r="C289" t="inlineStr">
        <is>
          <t>Estratégico</t>
        </is>
      </c>
      <c r="D289" t="inlineStr">
        <is>
          <t>VISIBILIDAD NACIONAL E INTERNACIONAL</t>
        </is>
      </c>
      <c r="E289" t="inlineStr">
        <is>
          <t>Semestral</t>
        </is>
      </c>
      <c r="F289" t="inlineStr">
        <is>
          <t>Positivo</t>
        </is>
      </c>
      <c r="G289" t="inlineStr"/>
      <c r="H289" t="inlineStr">
        <is>
          <t>Historico</t>
        </is>
      </c>
      <c r="I289" t="inlineStr">
        <is>
          <t>Historico</t>
        </is>
      </c>
      <c r="J289" t="inlineStr">
        <is>
          <t>Acumulado</t>
        </is>
      </c>
      <c r="K289" t="inlineStr"/>
      <c r="L289" t="inlineStr">
        <is>
          <t>ENT</t>
        </is>
      </c>
    </row>
    <row r="290">
      <c r="A290" t="n">
        <v>444</v>
      </c>
      <c r="B290" t="inlineStr">
        <is>
          <t>CES Proceso de grados</t>
        </is>
      </c>
      <c r="C290" t="inlineStr">
        <is>
          <t>Operativo</t>
        </is>
      </c>
      <c r="D290" t="inlineStr">
        <is>
          <t>Registro y Control</t>
        </is>
      </c>
      <c r="E290" t="inlineStr">
        <is>
          <t>Semestral</t>
        </is>
      </c>
      <c r="F290" t="inlineStr">
        <is>
          <t>Negativo</t>
        </is>
      </c>
      <c r="G290" t="inlineStr">
        <is>
          <t>Serie Unica</t>
        </is>
      </c>
      <c r="H290" t="inlineStr">
        <is>
          <t>Activo</t>
        </is>
      </c>
      <c r="I290" t="inlineStr">
        <is>
          <t>API</t>
        </is>
      </c>
      <c r="J290" t="inlineStr">
        <is>
          <t>Promedio</t>
        </is>
      </c>
      <c r="K290" t="inlineStr"/>
      <c r="L290" t="inlineStr">
        <is>
          <t>DEC</t>
        </is>
      </c>
    </row>
    <row r="291">
      <c r="A291" t="n">
        <v>445</v>
      </c>
      <c r="B291" t="inlineStr">
        <is>
          <t>Satisfacción del proceso de grados virtual</t>
        </is>
      </c>
      <c r="C291" t="inlineStr">
        <is>
          <t>Operativo</t>
        </is>
      </c>
      <c r="D291" t="inlineStr">
        <is>
          <t>Registro y Control</t>
        </is>
      </c>
      <c r="E291" t="inlineStr">
        <is>
          <t>Semestral</t>
        </is>
      </c>
      <c r="F291" t="inlineStr">
        <is>
          <t>Positivo</t>
        </is>
      </c>
      <c r="G291" t="inlineStr">
        <is>
          <t>Serie Unica</t>
        </is>
      </c>
      <c r="H291" t="inlineStr">
        <is>
          <t>Activo</t>
        </is>
      </c>
      <c r="I291" t="inlineStr">
        <is>
          <t>API</t>
        </is>
      </c>
      <c r="J291" t="inlineStr">
        <is>
          <t>Promedio</t>
        </is>
      </c>
      <c r="K291" t="inlineStr"/>
      <c r="L291" t="inlineStr">
        <is>
          <t>%</t>
        </is>
      </c>
    </row>
    <row r="292">
      <c r="A292" t="n">
        <v>447</v>
      </c>
      <c r="B292" t="inlineStr">
        <is>
          <t>Participación en actividades culturales</t>
        </is>
      </c>
      <c r="C292" t="inlineStr">
        <is>
          <t>Operativo</t>
        </is>
      </c>
      <c r="D292" t="inlineStr">
        <is>
          <t>Biblioteca Institucional</t>
        </is>
      </c>
      <c r="E292" t="inlineStr">
        <is>
          <t>Semestral</t>
        </is>
      </c>
      <c r="F292" t="inlineStr">
        <is>
          <t>Positivo</t>
        </is>
      </c>
      <c r="G292" t="inlineStr">
        <is>
          <t>Serie Unica</t>
        </is>
      </c>
      <c r="H292" t="inlineStr">
        <is>
          <t>Activo</t>
        </is>
      </c>
      <c r="I292" t="inlineStr">
        <is>
          <t>API</t>
        </is>
      </c>
      <c r="J292" t="inlineStr">
        <is>
          <t>Cierre</t>
        </is>
      </c>
      <c r="K292" t="inlineStr"/>
      <c r="L292" t="inlineStr">
        <is>
          <t>%</t>
        </is>
      </c>
    </row>
    <row r="293">
      <c r="A293" t="n">
        <v>448</v>
      </c>
      <c r="B293" t="inlineStr">
        <is>
          <t>Participación en actividades de formación</t>
        </is>
      </c>
      <c r="C293" t="inlineStr">
        <is>
          <t>Operativo</t>
        </is>
      </c>
      <c r="D293" t="inlineStr">
        <is>
          <t>Biblioteca Institucional</t>
        </is>
      </c>
      <c r="E293" t="inlineStr">
        <is>
          <t>Semestral</t>
        </is>
      </c>
      <c r="F293" t="inlineStr">
        <is>
          <t>Positivo</t>
        </is>
      </c>
      <c r="G293" t="inlineStr">
        <is>
          <t>Serie Unica</t>
        </is>
      </c>
      <c r="H293" t="inlineStr">
        <is>
          <t>Activo</t>
        </is>
      </c>
      <c r="I293" t="inlineStr">
        <is>
          <t>API</t>
        </is>
      </c>
      <c r="J293" t="inlineStr">
        <is>
          <t>Cierre</t>
        </is>
      </c>
      <c r="K293" t="inlineStr"/>
      <c r="L293" t="inlineStr">
        <is>
          <t>%</t>
        </is>
      </c>
    </row>
    <row r="294">
      <c r="A294" t="n">
        <v>449</v>
      </c>
      <c r="B294" t="inlineStr">
        <is>
          <t>Cumplimiento en la supervisión y monitoreo a los planes de tratamiento de los riesgos institucionales en nivel alto y extremo</t>
        </is>
      </c>
      <c r="C294" t="inlineStr">
        <is>
          <t>Operativo</t>
        </is>
      </c>
      <c r="D294" t="inlineStr">
        <is>
          <t>GESTIÓN DE RIESGOS</t>
        </is>
      </c>
      <c r="E294" t="inlineStr">
        <is>
          <t>Trimestral</t>
        </is>
      </c>
      <c r="F294" t="inlineStr">
        <is>
          <t>Positivo</t>
        </is>
      </c>
      <c r="G294" t="inlineStr"/>
      <c r="H294" t="inlineStr">
        <is>
          <t>Historico</t>
        </is>
      </c>
      <c r="I294" t="inlineStr">
        <is>
          <t>Historico</t>
        </is>
      </c>
      <c r="J294" t="inlineStr">
        <is>
          <t>Promedio</t>
        </is>
      </c>
      <c r="K294" t="inlineStr"/>
      <c r="L294" t="inlineStr">
        <is>
          <t>%</t>
        </is>
      </c>
    </row>
    <row r="295">
      <c r="A295" t="n">
        <v>451</v>
      </c>
      <c r="B295" t="inlineStr">
        <is>
          <t>% de publicaciones con sentimiento positivo</t>
        </is>
      </c>
      <c r="C295" t="inlineStr">
        <is>
          <t>Operativo</t>
        </is>
      </c>
      <c r="D295" t="inlineStr">
        <is>
          <t>Comunicaciones Externas</t>
        </is>
      </c>
      <c r="E295" t="inlineStr">
        <is>
          <t>Semestral</t>
        </is>
      </c>
      <c r="F295" t="inlineStr">
        <is>
          <t>Positivo</t>
        </is>
      </c>
      <c r="G295" t="inlineStr">
        <is>
          <t>Serie Unica</t>
        </is>
      </c>
      <c r="H295" t="inlineStr">
        <is>
          <t>Activo</t>
        </is>
      </c>
      <c r="I295" t="inlineStr">
        <is>
          <t>API</t>
        </is>
      </c>
      <c r="J295" t="inlineStr">
        <is>
          <t>Promedio</t>
        </is>
      </c>
      <c r="K295" t="inlineStr"/>
      <c r="L295" t="inlineStr">
        <is>
          <t>%</t>
        </is>
      </c>
    </row>
    <row r="296">
      <c r="A296" t="n">
        <v>452</v>
      </c>
      <c r="B296" t="inlineStr">
        <is>
          <t>Seguimiento a eventos internos y externos institucionales</t>
        </is>
      </c>
      <c r="C296" t="inlineStr">
        <is>
          <t>Operativo</t>
        </is>
      </c>
      <c r="D296" t="inlineStr">
        <is>
          <t>Comunicaciones Externas</t>
        </is>
      </c>
      <c r="E296" t="inlineStr">
        <is>
          <t>Semestral</t>
        </is>
      </c>
      <c r="F296" t="inlineStr">
        <is>
          <t>Positivo</t>
        </is>
      </c>
      <c r="G296" t="inlineStr">
        <is>
          <t>Serie Unica</t>
        </is>
      </c>
      <c r="H296" t="inlineStr">
        <is>
          <t>Activo</t>
        </is>
      </c>
      <c r="I296" t="inlineStr">
        <is>
          <t>API</t>
        </is>
      </c>
      <c r="J296" t="inlineStr">
        <is>
          <t>Promedio</t>
        </is>
      </c>
      <c r="K296" t="inlineStr"/>
      <c r="L296" t="inlineStr">
        <is>
          <t>%</t>
        </is>
      </c>
    </row>
    <row r="297">
      <c r="A297" t="n">
        <v>453</v>
      </c>
      <c r="B297" t="inlineStr">
        <is>
          <t>Número de cursos diseñados</t>
        </is>
      </c>
      <c r="C297" t="inlineStr">
        <is>
          <t>Operativo</t>
        </is>
      </c>
      <c r="D297" t="inlineStr">
        <is>
          <t>Diseño de Contenido Virtual</t>
        </is>
      </c>
      <c r="E297" t="inlineStr">
        <is>
          <t>Trimestral</t>
        </is>
      </c>
      <c r="F297" t="inlineStr">
        <is>
          <t>Positivo</t>
        </is>
      </c>
      <c r="G297" t="inlineStr">
        <is>
          <t>Serie Unica</t>
        </is>
      </c>
      <c r="H297" t="inlineStr">
        <is>
          <t>Activo</t>
        </is>
      </c>
      <c r="I297" t="inlineStr">
        <is>
          <t>API</t>
        </is>
      </c>
      <c r="J297" t="inlineStr">
        <is>
          <t>Acumulado</t>
        </is>
      </c>
      <c r="K297" t="inlineStr"/>
      <c r="L297" t="inlineStr">
        <is>
          <t>%</t>
        </is>
      </c>
    </row>
    <row r="298">
      <c r="A298" t="n">
        <v>454</v>
      </c>
      <c r="B298" t="inlineStr">
        <is>
          <t>Satisfacción de la calidad del contenido</t>
        </is>
      </c>
      <c r="C298" t="inlineStr">
        <is>
          <t>Estratégico</t>
        </is>
      </c>
      <c r="D298" t="inlineStr">
        <is>
          <t>Diseño de Contenido Virtual</t>
        </is>
      </c>
      <c r="E298" t="inlineStr">
        <is>
          <t>Trimestral</t>
        </is>
      </c>
      <c r="F298" t="inlineStr">
        <is>
          <t>Positivo</t>
        </is>
      </c>
      <c r="G298" t="inlineStr"/>
      <c r="H298" t="inlineStr">
        <is>
          <t>Historico</t>
        </is>
      </c>
      <c r="I298" t="inlineStr">
        <is>
          <t>Historico</t>
        </is>
      </c>
      <c r="J298" t="inlineStr">
        <is>
          <t>Promedio</t>
        </is>
      </c>
      <c r="K298" t="inlineStr"/>
      <c r="L298" t="inlineStr">
        <is>
          <t>%</t>
        </is>
      </c>
    </row>
    <row r="299">
      <c r="A299" t="n">
        <v>455</v>
      </c>
      <c r="B299" t="inlineStr">
        <is>
          <t>ANS Diseño de contenidos virtuales</t>
        </is>
      </c>
      <c r="C299" t="inlineStr">
        <is>
          <t>Estratégico</t>
        </is>
      </c>
      <c r="D299" t="inlineStr">
        <is>
          <t>Diseño de Contenido Virtual</t>
        </is>
      </c>
      <c r="E299" t="inlineStr">
        <is>
          <t>Trimestral</t>
        </is>
      </c>
      <c r="F299" t="inlineStr">
        <is>
          <t>Positivo</t>
        </is>
      </c>
      <c r="G299" t="inlineStr">
        <is>
          <t>Serie Unica</t>
        </is>
      </c>
      <c r="H299" t="inlineStr">
        <is>
          <t>Activo</t>
        </is>
      </c>
      <c r="I299" t="inlineStr">
        <is>
          <t>API</t>
        </is>
      </c>
      <c r="J299" t="inlineStr">
        <is>
          <t>Promedio</t>
        </is>
      </c>
      <c r="K299" t="inlineStr"/>
      <c r="L299" t="inlineStr">
        <is>
          <t>%</t>
        </is>
      </c>
    </row>
    <row r="300">
      <c r="A300" t="n">
        <v>456</v>
      </c>
      <c r="B300" t="inlineStr">
        <is>
          <t>Impacto de campañas de Mailing</t>
        </is>
      </c>
      <c r="C300" t="inlineStr">
        <is>
          <t>Operativo</t>
        </is>
      </c>
      <c r="D300" t="inlineStr">
        <is>
          <t>Comunicaciones Internas</t>
        </is>
      </c>
      <c r="E300" t="inlineStr">
        <is>
          <t>Trimestral</t>
        </is>
      </c>
      <c r="F300" t="inlineStr">
        <is>
          <t>Positivo</t>
        </is>
      </c>
      <c r="G300" t="inlineStr">
        <is>
          <t>Multiserie</t>
        </is>
      </c>
      <c r="H300" t="inlineStr">
        <is>
          <t>Activo</t>
        </is>
      </c>
      <c r="I300" t="inlineStr">
        <is>
          <t>API</t>
        </is>
      </c>
      <c r="J300" t="inlineStr">
        <is>
          <t>Promedio</t>
        </is>
      </c>
      <c r="K300" t="inlineStr"/>
      <c r="L300" t="inlineStr">
        <is>
          <t>%</t>
        </is>
      </c>
    </row>
    <row r="301">
      <c r="A301" t="n">
        <v>457</v>
      </c>
      <c r="B301" t="inlineStr">
        <is>
          <t>Apertura de enlaces en mensajes de texto</t>
        </is>
      </c>
      <c r="C301" t="inlineStr">
        <is>
          <t>Operativo</t>
        </is>
      </c>
      <c r="D301" t="inlineStr">
        <is>
          <t>Comunicaciones Internas</t>
        </is>
      </c>
      <c r="E301" t="inlineStr">
        <is>
          <t>Trimestral</t>
        </is>
      </c>
      <c r="F301" t="inlineStr">
        <is>
          <t>Positivo</t>
        </is>
      </c>
      <c r="G301" t="inlineStr">
        <is>
          <t>Multiserie</t>
        </is>
      </c>
      <c r="H301" t="inlineStr">
        <is>
          <t>Activo</t>
        </is>
      </c>
      <c r="I301" t="inlineStr">
        <is>
          <t>API</t>
        </is>
      </c>
      <c r="J301" t="inlineStr">
        <is>
          <t>Promedio</t>
        </is>
      </c>
      <c r="K301" t="inlineStr"/>
      <c r="L301" t="inlineStr">
        <is>
          <t>%</t>
        </is>
      </c>
    </row>
    <row r="302">
      <c r="A302" t="n">
        <v>459</v>
      </c>
      <c r="B302" t="inlineStr">
        <is>
          <t>Número de publicaciones e historias</t>
        </is>
      </c>
      <c r="C302" t="inlineStr">
        <is>
          <t>Operativo</t>
        </is>
      </c>
      <c r="D302" t="inlineStr">
        <is>
          <t>Comunicaciones Externas</t>
        </is>
      </c>
      <c r="E302" t="inlineStr">
        <is>
          <t>Trimestral</t>
        </is>
      </c>
      <c r="F302" t="inlineStr">
        <is>
          <t>Positivo</t>
        </is>
      </c>
      <c r="G302" t="inlineStr"/>
      <c r="H302" t="inlineStr">
        <is>
          <t>Historico</t>
        </is>
      </c>
      <c r="I302" t="inlineStr">
        <is>
          <t>Historico</t>
        </is>
      </c>
      <c r="J302" t="inlineStr">
        <is>
          <t>Promedio</t>
        </is>
      </c>
      <c r="K302" t="inlineStr"/>
      <c r="L302" t="inlineStr">
        <is>
          <t>%</t>
        </is>
      </c>
    </row>
    <row r="303">
      <c r="A303" t="n">
        <v>460</v>
      </c>
      <c r="B303" t="inlineStr">
        <is>
          <t>% de profesores (Contrato Indefinido- Fijo) impactados plan de desarrollo docente</t>
        </is>
      </c>
      <c r="C303" t="inlineStr">
        <is>
          <t>Operativo</t>
        </is>
      </c>
      <c r="D303" t="inlineStr">
        <is>
          <t>GESTIÓN Y DESARROLLO DEL TALENTO HUMANO</t>
        </is>
      </c>
      <c r="E303" t="inlineStr">
        <is>
          <t>Anual</t>
        </is>
      </c>
      <c r="F303" t="inlineStr">
        <is>
          <t>Positivo</t>
        </is>
      </c>
      <c r="G303" t="inlineStr">
        <is>
          <t>Serie Unica</t>
        </is>
      </c>
      <c r="H303" t="inlineStr">
        <is>
          <t>Activo</t>
        </is>
      </c>
      <c r="I303" t="inlineStr">
        <is>
          <t>API</t>
        </is>
      </c>
      <c r="J303" t="inlineStr">
        <is>
          <t>Cierre</t>
        </is>
      </c>
      <c r="K303" t="inlineStr"/>
      <c r="L303" t="inlineStr">
        <is>
          <t>%</t>
        </is>
      </c>
    </row>
    <row r="304">
      <c r="A304" t="n">
        <v>462</v>
      </c>
      <c r="B304" t="inlineStr">
        <is>
          <t>Nivel Esfuerzo Editorial</t>
        </is>
      </c>
      <c r="C304" t="inlineStr">
        <is>
          <t>Operativo</t>
        </is>
      </c>
      <c r="D304" t="inlineStr">
        <is>
          <t>Editorial y Publicaciones</t>
        </is>
      </c>
      <c r="E304" t="inlineStr">
        <is>
          <t>Semestral</t>
        </is>
      </c>
      <c r="F304" t="inlineStr">
        <is>
          <t>Positivo</t>
        </is>
      </c>
      <c r="G304" t="inlineStr"/>
      <c r="H304" t="inlineStr">
        <is>
          <t>Historico</t>
        </is>
      </c>
      <c r="I304" t="inlineStr">
        <is>
          <t>Historico</t>
        </is>
      </c>
      <c r="J304" t="inlineStr">
        <is>
          <t>Promedio</t>
        </is>
      </c>
      <c r="K304" t="inlineStr"/>
      <c r="L304" t="inlineStr">
        <is>
          <t>%</t>
        </is>
      </c>
    </row>
    <row r="305">
      <c r="A305" t="n">
        <v>463</v>
      </c>
      <c r="B305" t="inlineStr">
        <is>
          <t>Cumplimiento de las acciones del Plan de mejoramiento GPW</t>
        </is>
      </c>
      <c r="C305" t="inlineStr">
        <is>
          <t>Estratégico</t>
        </is>
      </c>
      <c r="D305" t="inlineStr">
        <is>
          <t>GESTIÓN Y DESARROLLO DEL TALENTO HUMANO</t>
        </is>
      </c>
      <c r="E305" t="inlineStr">
        <is>
          <t>Semestral</t>
        </is>
      </c>
      <c r="F305" t="inlineStr">
        <is>
          <t>Positivo</t>
        </is>
      </c>
      <c r="G305" t="inlineStr"/>
      <c r="H305" t="inlineStr">
        <is>
          <t>Historico</t>
        </is>
      </c>
      <c r="I305" t="inlineStr">
        <is>
          <t>Historico</t>
        </is>
      </c>
      <c r="J305" t="inlineStr">
        <is>
          <t>Cierre</t>
        </is>
      </c>
      <c r="K305" t="inlineStr"/>
      <c r="L305" t="inlineStr">
        <is>
          <t>%</t>
        </is>
      </c>
    </row>
    <row r="306">
      <c r="A306" t="n">
        <v>465</v>
      </c>
      <c r="B306" t="inlineStr">
        <is>
          <t>% de depuración histórico  SNIES</t>
        </is>
      </c>
      <c r="C306" t="inlineStr">
        <is>
          <t>Estratégico</t>
        </is>
      </c>
      <c r="D306" t="inlineStr">
        <is>
          <t>DATOS Y ANALÍTICA</t>
        </is>
      </c>
      <c r="E306" t="inlineStr">
        <is>
          <t>Semestral</t>
        </is>
      </c>
      <c r="F306" t="inlineStr">
        <is>
          <t>Positivo</t>
        </is>
      </c>
      <c r="G306" t="inlineStr"/>
      <c r="H306" t="inlineStr">
        <is>
          <t>Historico</t>
        </is>
      </c>
      <c r="I306" t="inlineStr">
        <is>
          <t>Historico</t>
        </is>
      </c>
      <c r="J306" t="inlineStr">
        <is>
          <t>Cierre</t>
        </is>
      </c>
      <c r="K306" t="inlineStr"/>
      <c r="L306" t="inlineStr">
        <is>
          <t>%</t>
        </is>
      </c>
    </row>
    <row r="307">
      <c r="A307" t="n">
        <v>466</v>
      </c>
      <c r="B307" t="inlineStr">
        <is>
          <t>NPS Estudiantes</t>
        </is>
      </c>
      <c r="C307" t="inlineStr">
        <is>
          <t>Estratégico</t>
        </is>
      </c>
      <c r="D307" t="inlineStr">
        <is>
          <t>EXPERIENCIA INSTITUCIONAL</t>
        </is>
      </c>
      <c r="E307" t="inlineStr">
        <is>
          <t>Semestral</t>
        </is>
      </c>
      <c r="F307" t="inlineStr">
        <is>
          <t>Positivo</t>
        </is>
      </c>
      <c r="G307" t="inlineStr">
        <is>
          <t>Serie Unica</t>
        </is>
      </c>
      <c r="H307" t="inlineStr">
        <is>
          <t>Activo</t>
        </is>
      </c>
      <c r="I307" t="inlineStr">
        <is>
          <t>API</t>
        </is>
      </c>
      <c r="J307" t="inlineStr">
        <is>
          <t>Promedio</t>
        </is>
      </c>
      <c r="K307" t="inlineStr"/>
      <c r="L307" t="inlineStr">
        <is>
          <t>DEC</t>
        </is>
      </c>
    </row>
    <row r="308">
      <c r="A308" t="n">
        <v>467</v>
      </c>
      <c r="B308" t="inlineStr">
        <is>
          <t>NPS Graduados</t>
        </is>
      </c>
      <c r="C308" t="inlineStr">
        <is>
          <t>Estratégico</t>
        </is>
      </c>
      <c r="D308" t="inlineStr">
        <is>
          <t>EXPERIENCIA INSTITUCIONAL</t>
        </is>
      </c>
      <c r="E308" t="inlineStr">
        <is>
          <t>Semestral</t>
        </is>
      </c>
      <c r="F308" t="inlineStr">
        <is>
          <t>Positivo</t>
        </is>
      </c>
      <c r="G308" t="inlineStr">
        <is>
          <t>Serie Unica</t>
        </is>
      </c>
      <c r="H308" t="inlineStr">
        <is>
          <t>Activo</t>
        </is>
      </c>
      <c r="I308" t="inlineStr">
        <is>
          <t>API</t>
        </is>
      </c>
      <c r="J308" t="inlineStr">
        <is>
          <t>Promedio</t>
        </is>
      </c>
      <c r="K308" t="inlineStr"/>
      <c r="L308" t="inlineStr">
        <is>
          <t>DEC</t>
        </is>
      </c>
    </row>
    <row r="309">
      <c r="A309" t="n">
        <v>468</v>
      </c>
      <c r="B309" t="inlineStr">
        <is>
          <t>CES General</t>
        </is>
      </c>
      <c r="C309" t="inlineStr">
        <is>
          <t>Estratégico</t>
        </is>
      </c>
      <c r="D309" t="inlineStr">
        <is>
          <t>EXPERIENCIA INSTITUCIONAL</t>
        </is>
      </c>
      <c r="E309" t="inlineStr">
        <is>
          <t>Semestral</t>
        </is>
      </c>
      <c r="F309" t="inlineStr">
        <is>
          <t>Negativo</t>
        </is>
      </c>
      <c r="G309" t="inlineStr">
        <is>
          <t>Serie Unica</t>
        </is>
      </c>
      <c r="H309" t="inlineStr">
        <is>
          <t>Activo</t>
        </is>
      </c>
      <c r="I309" t="inlineStr">
        <is>
          <t>API</t>
        </is>
      </c>
      <c r="J309" t="inlineStr">
        <is>
          <t>Promedio</t>
        </is>
      </c>
      <c r="K309" t="inlineStr"/>
      <c r="L309" t="inlineStr">
        <is>
          <t>DEC</t>
        </is>
      </c>
    </row>
    <row r="310">
      <c r="A310" t="n">
        <v>469</v>
      </c>
      <c r="B310" t="inlineStr">
        <is>
          <t>Cumplimiento Plan Anual Áreas sede Medellín</t>
        </is>
      </c>
      <c r="C310" t="inlineStr">
        <is>
          <t>Estratégico</t>
        </is>
      </c>
      <c r="D310" t="inlineStr">
        <is>
          <t>Planeación Estratégica</t>
        </is>
      </c>
      <c r="E310" t="inlineStr">
        <is>
          <t>Trimestral</t>
        </is>
      </c>
      <c r="F310" t="inlineStr">
        <is>
          <t>Positivo</t>
        </is>
      </c>
      <c r="G310" t="inlineStr">
        <is>
          <t>Multiserie</t>
        </is>
      </c>
      <c r="H310" t="inlineStr">
        <is>
          <t>Activo</t>
        </is>
      </c>
      <c r="I310" t="inlineStr">
        <is>
          <t>API</t>
        </is>
      </c>
      <c r="J310" t="inlineStr">
        <is>
          <t>Cierre</t>
        </is>
      </c>
      <c r="K310" t="inlineStr">
        <is>
          <t>Plan de retos</t>
        </is>
      </c>
      <c r="L310" t="inlineStr">
        <is>
          <t>%</t>
        </is>
      </c>
    </row>
    <row r="311">
      <c r="A311" t="n">
        <v>470</v>
      </c>
      <c r="B311" t="inlineStr">
        <is>
          <t>Cumplimiento plan anual Secretaria académica y de extensión</t>
        </is>
      </c>
      <c r="C311" t="inlineStr">
        <is>
          <t>Estratégico</t>
        </is>
      </c>
      <c r="D311" t="inlineStr">
        <is>
          <t>Planeación Estratégica</t>
        </is>
      </c>
      <c r="E311" t="inlineStr">
        <is>
          <t>Trimestral</t>
        </is>
      </c>
      <c r="F311" t="inlineStr">
        <is>
          <t>Positivo</t>
        </is>
      </c>
      <c r="G311" t="inlineStr">
        <is>
          <t>Multiserie</t>
        </is>
      </c>
      <c r="H311" t="inlineStr">
        <is>
          <t>Activo</t>
        </is>
      </c>
      <c r="I311" t="inlineStr">
        <is>
          <t>API</t>
        </is>
      </c>
      <c r="J311" t="inlineStr">
        <is>
          <t>Cierre</t>
        </is>
      </c>
      <c r="K311" t="inlineStr">
        <is>
          <t>Plan de retos</t>
        </is>
      </c>
      <c r="L311" t="inlineStr">
        <is>
          <t>%</t>
        </is>
      </c>
    </row>
    <row r="312">
      <c r="A312" t="n">
        <v>471</v>
      </c>
      <c r="B312" t="inlineStr">
        <is>
          <t>Cumplimiento plan anual Gerencia de Talento Humano</t>
        </is>
      </c>
      <c r="C312" t="inlineStr">
        <is>
          <t>Estratégico</t>
        </is>
      </c>
      <c r="D312" t="inlineStr">
        <is>
          <t>Planeación Estratégica</t>
        </is>
      </c>
      <c r="E312" t="inlineStr">
        <is>
          <t>Trimestral</t>
        </is>
      </c>
      <c r="F312" t="inlineStr">
        <is>
          <t>Positivo</t>
        </is>
      </c>
      <c r="G312" t="inlineStr">
        <is>
          <t>Multiserie</t>
        </is>
      </c>
      <c r="H312" t="inlineStr">
        <is>
          <t>Activo</t>
        </is>
      </c>
      <c r="I312" t="inlineStr">
        <is>
          <t>API</t>
        </is>
      </c>
      <c r="J312" t="inlineStr">
        <is>
          <t>Cierre</t>
        </is>
      </c>
      <c r="K312" t="inlineStr">
        <is>
          <t>Plan de retos</t>
        </is>
      </c>
      <c r="L312" t="inlineStr">
        <is>
          <t>%</t>
        </is>
      </c>
    </row>
    <row r="313">
      <c r="A313" t="n">
        <v>472</v>
      </c>
      <c r="B313" t="inlineStr">
        <is>
          <t>Cobertura de Recolección de Variables ADA (Arquitectura de datos para la analitica)</t>
        </is>
      </c>
      <c r="C313" t="inlineStr">
        <is>
          <t>Estratégico</t>
        </is>
      </c>
      <c r="D313" t="inlineStr">
        <is>
          <t>DATOS Y ANALÍTICA</t>
        </is>
      </c>
      <c r="E313" t="inlineStr">
        <is>
          <t>Semestral</t>
        </is>
      </c>
      <c r="F313" t="inlineStr">
        <is>
          <t>Positivo</t>
        </is>
      </c>
      <c r="G313" t="inlineStr"/>
      <c r="H313" t="inlineStr">
        <is>
          <t>Historico</t>
        </is>
      </c>
      <c r="I313" t="inlineStr">
        <is>
          <t>Historico</t>
        </is>
      </c>
      <c r="J313" t="inlineStr">
        <is>
          <t>Cierre</t>
        </is>
      </c>
      <c r="K313" t="inlineStr"/>
      <c r="L313" t="inlineStr">
        <is>
          <t>%</t>
        </is>
      </c>
    </row>
    <row r="314">
      <c r="A314" t="n">
        <v>473</v>
      </c>
      <c r="B314" t="inlineStr">
        <is>
          <t>Programas con planes de estudios definidos</t>
        </is>
      </c>
      <c r="C314" t="inlineStr">
        <is>
          <t>Estratégico</t>
        </is>
      </c>
      <c r="D314" t="inlineStr">
        <is>
          <t>Gestión, Evaluación e Innovación Curricular</t>
        </is>
      </c>
      <c r="E314" t="inlineStr">
        <is>
          <t>Semestral</t>
        </is>
      </c>
      <c r="F314" t="inlineStr">
        <is>
          <t>Positivo</t>
        </is>
      </c>
      <c r="G314" t="inlineStr">
        <is>
          <t>Multiserie</t>
        </is>
      </c>
      <c r="H314" t="inlineStr">
        <is>
          <t>Activo</t>
        </is>
      </c>
      <c r="I314" t="inlineStr">
        <is>
          <t>API</t>
        </is>
      </c>
      <c r="J314" t="inlineStr">
        <is>
          <t>Promedio</t>
        </is>
      </c>
      <c r="K314" t="inlineStr"/>
      <c r="L314" t="inlineStr">
        <is>
          <t>ENT</t>
        </is>
      </c>
    </row>
    <row r="315">
      <c r="A315" t="n">
        <v>474</v>
      </c>
      <c r="B315" t="inlineStr">
        <is>
          <t>Programas con planes de estudios definidos por escuela (Nuevos Programas)</t>
        </is>
      </c>
      <c r="C315" t="inlineStr">
        <is>
          <t>Estratégico</t>
        </is>
      </c>
      <c r="D315" t="inlineStr">
        <is>
          <t>Gestión de Unidades Académicas</t>
        </is>
      </c>
      <c r="E315" t="inlineStr">
        <is>
          <t>Semestral</t>
        </is>
      </c>
      <c r="F315" t="inlineStr">
        <is>
          <t>Positivo</t>
        </is>
      </c>
      <c r="G315" t="inlineStr">
        <is>
          <t>Multiserie</t>
        </is>
      </c>
      <c r="H315" t="inlineStr">
        <is>
          <t>Activo</t>
        </is>
      </c>
      <c r="I315" t="inlineStr">
        <is>
          <t>API</t>
        </is>
      </c>
      <c r="J315" t="inlineStr">
        <is>
          <t>Promedio</t>
        </is>
      </c>
      <c r="K315" t="inlineStr"/>
      <c r="L315" t="inlineStr">
        <is>
          <t>ENT</t>
        </is>
      </c>
    </row>
    <row r="316">
      <c r="A316" t="n">
        <v>475</v>
      </c>
      <c r="B316" t="inlineStr">
        <is>
          <t>Número de renovaciones de registro calificado radicadas al MEN</t>
        </is>
      </c>
      <c r="C316" t="inlineStr">
        <is>
          <t>Estratégico</t>
        </is>
      </c>
      <c r="D316" t="inlineStr">
        <is>
          <t>Creación, modificación y cierre de programas académicos</t>
        </is>
      </c>
      <c r="E316" t="inlineStr">
        <is>
          <t>Semestral</t>
        </is>
      </c>
      <c r="F316" t="inlineStr">
        <is>
          <t>Positivo</t>
        </is>
      </c>
      <c r="G316" t="inlineStr">
        <is>
          <t>Serie Unica</t>
        </is>
      </c>
      <c r="H316" t="inlineStr">
        <is>
          <t>Activo</t>
        </is>
      </c>
      <c r="I316" t="inlineStr">
        <is>
          <t>API</t>
        </is>
      </c>
      <c r="J316" t="inlineStr">
        <is>
          <t>Acumulado</t>
        </is>
      </c>
      <c r="K316" t="inlineStr"/>
      <c r="L316" t="inlineStr">
        <is>
          <t>ENT</t>
        </is>
      </c>
    </row>
    <row r="317">
      <c r="A317" t="n">
        <v>476</v>
      </c>
      <c r="B317" t="inlineStr">
        <is>
          <t>Programas con resultados de aprendizaje definidos</t>
        </is>
      </c>
      <c r="C317" t="inlineStr">
        <is>
          <t>Estratégico</t>
        </is>
      </c>
      <c r="D317" t="inlineStr">
        <is>
          <t>Gestión, Evaluación e Innovación Curricular</t>
        </is>
      </c>
      <c r="E317" t="inlineStr">
        <is>
          <t>Semestral</t>
        </is>
      </c>
      <c r="F317" t="inlineStr">
        <is>
          <t>Positivo</t>
        </is>
      </c>
      <c r="G317" t="inlineStr">
        <is>
          <t>Multiserie</t>
        </is>
      </c>
      <c r="H317" t="inlineStr">
        <is>
          <t>Activo</t>
        </is>
      </c>
      <c r="I317" t="inlineStr">
        <is>
          <t>API</t>
        </is>
      </c>
      <c r="J317" t="inlineStr">
        <is>
          <t>Promedio</t>
        </is>
      </c>
      <c r="K317" t="inlineStr"/>
      <c r="L317" t="inlineStr">
        <is>
          <t>ENT</t>
        </is>
      </c>
    </row>
    <row r="318">
      <c r="A318" t="n">
        <v>477</v>
      </c>
      <c r="B318" t="inlineStr">
        <is>
          <t>Programas con planes de estudios definidos por escuela (Programas Renovación, modificación y acreditación)</t>
        </is>
      </c>
      <c r="C318" t="inlineStr">
        <is>
          <t>Estratégico</t>
        </is>
      </c>
      <c r="D318" t="inlineStr">
        <is>
          <t>Gestión de Unidades Académicas</t>
        </is>
      </c>
      <c r="E318" t="inlineStr">
        <is>
          <t>Semestral</t>
        </is>
      </c>
      <c r="F318" t="inlineStr">
        <is>
          <t>Positivo</t>
        </is>
      </c>
      <c r="G318" t="inlineStr">
        <is>
          <t>Multiserie</t>
        </is>
      </c>
      <c r="H318" t="inlineStr">
        <is>
          <t>Activo</t>
        </is>
      </c>
      <c r="I318" t="inlineStr">
        <is>
          <t>API</t>
        </is>
      </c>
      <c r="J318" t="inlineStr">
        <is>
          <t>Acumulado</t>
        </is>
      </c>
      <c r="K318" t="inlineStr"/>
      <c r="L318" t="inlineStr">
        <is>
          <t>ENT</t>
        </is>
      </c>
    </row>
    <row r="319">
      <c r="A319" t="n">
        <v>478</v>
      </c>
      <c r="B319" t="inlineStr">
        <is>
          <t>Programas con planes de estudios definidos por escuela (Mantenimiento de programas)</t>
        </is>
      </c>
      <c r="C319" t="inlineStr">
        <is>
          <t>Estratégico</t>
        </is>
      </c>
      <c r="D319" t="inlineStr">
        <is>
          <t>Gestión de Unidades Académicas</t>
        </is>
      </c>
      <c r="E319" t="inlineStr">
        <is>
          <t>Semestral</t>
        </is>
      </c>
      <c r="F319" t="inlineStr">
        <is>
          <t>Positivo</t>
        </is>
      </c>
      <c r="G319" t="inlineStr">
        <is>
          <t>Multiserie</t>
        </is>
      </c>
      <c r="H319" t="inlineStr">
        <is>
          <t>Activo</t>
        </is>
      </c>
      <c r="I319" t="inlineStr">
        <is>
          <t>API</t>
        </is>
      </c>
      <c r="J319" t="inlineStr">
        <is>
          <t>Acumulado</t>
        </is>
      </c>
      <c r="K319" t="inlineStr"/>
      <c r="L319" t="inlineStr">
        <is>
          <t>ENT</t>
        </is>
      </c>
    </row>
    <row r="320">
      <c r="A320" t="n">
        <v>479</v>
      </c>
      <c r="B320" t="inlineStr">
        <is>
          <t>Programas con resultados de aprendizaje definidos por escuela (Nuevos Programas)</t>
        </is>
      </c>
      <c r="C320" t="inlineStr">
        <is>
          <t>Estratégico</t>
        </is>
      </c>
      <c r="D320" t="inlineStr">
        <is>
          <t>Gestión de Unidades Académicas</t>
        </is>
      </c>
      <c r="E320" t="inlineStr">
        <is>
          <t>Semestral</t>
        </is>
      </c>
      <c r="F320" t="inlineStr">
        <is>
          <t>Positivo</t>
        </is>
      </c>
      <c r="G320" t="inlineStr">
        <is>
          <t>Multiserie</t>
        </is>
      </c>
      <c r="H320" t="inlineStr">
        <is>
          <t>Activo</t>
        </is>
      </c>
      <c r="I320" t="inlineStr">
        <is>
          <t>API</t>
        </is>
      </c>
      <c r="J320" t="inlineStr">
        <is>
          <t>Acumulado</t>
        </is>
      </c>
      <c r="K320" t="inlineStr"/>
      <c r="L320" t="inlineStr">
        <is>
          <t>ENT</t>
        </is>
      </c>
    </row>
    <row r="321">
      <c r="A321" t="n">
        <v>480</v>
      </c>
      <c r="B321" t="inlineStr">
        <is>
          <t>Programas con resultados de aprendizaje definidos por escuela (Programas Renovación, modificación y acreditación)</t>
        </is>
      </c>
      <c r="C321" t="inlineStr">
        <is>
          <t>Estratégico</t>
        </is>
      </c>
      <c r="D321" t="inlineStr">
        <is>
          <t>Gestión de Unidades Académicas</t>
        </is>
      </c>
      <c r="E321" t="inlineStr">
        <is>
          <t>Semestral</t>
        </is>
      </c>
      <c r="F321" t="inlineStr">
        <is>
          <t>Positivo</t>
        </is>
      </c>
      <c r="G321" t="inlineStr">
        <is>
          <t>Multiserie</t>
        </is>
      </c>
      <c r="H321" t="inlineStr">
        <is>
          <t>Activo</t>
        </is>
      </c>
      <c r="I321" t="inlineStr">
        <is>
          <t>API</t>
        </is>
      </c>
      <c r="J321" t="inlineStr">
        <is>
          <t>Acumulado</t>
        </is>
      </c>
      <c r="K321" t="inlineStr"/>
      <c r="L321" t="inlineStr">
        <is>
          <t>ENT</t>
        </is>
      </c>
    </row>
    <row r="322">
      <c r="A322" t="n">
        <v>481</v>
      </c>
      <c r="B322" t="inlineStr">
        <is>
          <t>Solicitudes de documentación completadas</t>
        </is>
      </c>
      <c r="C322" t="inlineStr">
        <is>
          <t>Operativo</t>
        </is>
      </c>
      <c r="D322" t="inlineStr">
        <is>
          <t>Gestión, Evaluación e Innovación Curricular</t>
        </is>
      </c>
      <c r="E322" t="inlineStr">
        <is>
          <t>Semestral</t>
        </is>
      </c>
      <c r="F322" t="inlineStr">
        <is>
          <t>Positivo</t>
        </is>
      </c>
      <c r="G322" t="inlineStr">
        <is>
          <t>Multiserie</t>
        </is>
      </c>
      <c r="H322" t="inlineStr">
        <is>
          <t>Activo</t>
        </is>
      </c>
      <c r="I322" t="inlineStr">
        <is>
          <t>API</t>
        </is>
      </c>
      <c r="J322" t="inlineStr">
        <is>
          <t>Acumulado</t>
        </is>
      </c>
      <c r="K322" t="inlineStr"/>
      <c r="L322" t="inlineStr">
        <is>
          <t>%</t>
        </is>
      </c>
    </row>
    <row r="323">
      <c r="A323" t="n">
        <v>483</v>
      </c>
      <c r="B323" t="inlineStr">
        <is>
          <t>Tasa de incremento en la resolución de solicitudes de la vicerrectoría de crecimiento</t>
        </is>
      </c>
      <c r="C323" t="inlineStr">
        <is>
          <t>Operativo</t>
        </is>
      </c>
      <c r="D323" t="inlineStr">
        <is>
          <t>Gestión de campañas integradas de marketing</t>
        </is>
      </c>
      <c r="E323" t="inlineStr">
        <is>
          <t>Anual</t>
        </is>
      </c>
      <c r="F323" t="inlineStr">
        <is>
          <t>Positivo</t>
        </is>
      </c>
      <c r="G323" t="inlineStr"/>
      <c r="H323" t="inlineStr">
        <is>
          <t>Historico</t>
        </is>
      </c>
      <c r="I323" t="inlineStr">
        <is>
          <t>Historico</t>
        </is>
      </c>
      <c r="J323" t="inlineStr">
        <is>
          <t>Cierre</t>
        </is>
      </c>
      <c r="K323" t="inlineStr"/>
      <c r="L323" t="inlineStr">
        <is>
          <t>ENT</t>
        </is>
      </c>
    </row>
    <row r="324">
      <c r="A324" t="n">
        <v>484</v>
      </c>
      <c r="B324" t="inlineStr">
        <is>
          <t>Cumplimiento del Programa de la Cultura del Autocuidado</t>
        </is>
      </c>
      <c r="C324" t="inlineStr">
        <is>
          <t>Operativo</t>
        </is>
      </c>
      <c r="D324" t="inlineStr">
        <is>
          <t>GESTIÓN DE SEGURIDAD Y SALUD EN EL TRABAJO</t>
        </is>
      </c>
      <c r="E324" t="inlineStr">
        <is>
          <t>Trimestral</t>
        </is>
      </c>
      <c r="F324" t="inlineStr">
        <is>
          <t>Positivo</t>
        </is>
      </c>
      <c r="G324" t="inlineStr">
        <is>
          <t>Serie Unica</t>
        </is>
      </c>
      <c r="H324" t="inlineStr">
        <is>
          <t>Activo</t>
        </is>
      </c>
      <c r="I324" t="inlineStr">
        <is>
          <t>API</t>
        </is>
      </c>
      <c r="J324" t="inlineStr">
        <is>
          <t>Promedio</t>
        </is>
      </c>
      <c r="K324" t="inlineStr"/>
      <c r="L324" t="inlineStr">
        <is>
          <t>%</t>
        </is>
      </c>
    </row>
    <row r="325">
      <c r="A325" t="n">
        <v>485</v>
      </c>
      <c r="B325" t="inlineStr">
        <is>
          <t>Oportunidad en el cierre de acciones</t>
        </is>
      </c>
      <c r="C325" t="inlineStr">
        <is>
          <t>Operativo</t>
        </is>
      </c>
      <c r="D325" t="inlineStr">
        <is>
          <t>Gestión de calidad</t>
        </is>
      </c>
      <c r="E325" t="inlineStr">
        <is>
          <t>Mensual</t>
        </is>
      </c>
      <c r="F325" t="inlineStr">
        <is>
          <t>Positivo</t>
        </is>
      </c>
      <c r="G325" t="inlineStr">
        <is>
          <t>Multiserie</t>
        </is>
      </c>
      <c r="H325" t="inlineStr">
        <is>
          <t>Activo</t>
        </is>
      </c>
      <c r="I325" t="inlineStr">
        <is>
          <t>API</t>
        </is>
      </c>
      <c r="J325" t="inlineStr">
        <is>
          <t>Promedio</t>
        </is>
      </c>
      <c r="K325" t="inlineStr"/>
      <c r="L325" t="inlineStr">
        <is>
          <t>%</t>
        </is>
      </c>
    </row>
    <row r="326">
      <c r="A326" t="n">
        <v>486</v>
      </c>
      <c r="B326" t="inlineStr">
        <is>
          <t>Número de visitas a la página web</t>
        </is>
      </c>
      <c r="C326" t="inlineStr">
        <is>
          <t>Operativo</t>
        </is>
      </c>
      <c r="D326" t="inlineStr">
        <is>
          <t>Comunicaciones Internas</t>
        </is>
      </c>
      <c r="E326" t="inlineStr">
        <is>
          <t>Semestral</t>
        </is>
      </c>
      <c r="F326" t="inlineStr">
        <is>
          <t>Positivo</t>
        </is>
      </c>
      <c r="G326" t="inlineStr">
        <is>
          <t>Serie Unica</t>
        </is>
      </c>
      <c r="H326" t="inlineStr">
        <is>
          <t>Activo</t>
        </is>
      </c>
      <c r="I326" t="inlineStr">
        <is>
          <t>API</t>
        </is>
      </c>
      <c r="J326" t="inlineStr">
        <is>
          <t>Acumulado</t>
        </is>
      </c>
      <c r="K326" t="inlineStr"/>
      <c r="L326" t="inlineStr">
        <is>
          <t>%</t>
        </is>
      </c>
    </row>
    <row r="327">
      <c r="A327" t="n">
        <v>487</v>
      </c>
      <c r="B327" t="inlineStr">
        <is>
          <t>Número Impactados Talleres de formación</t>
        </is>
      </c>
      <c r="C327" t="inlineStr">
        <is>
          <t>Operativo</t>
        </is>
      </c>
      <c r="D327" t="inlineStr">
        <is>
          <t>Centro de Medios Audiovisuales</t>
        </is>
      </c>
      <c r="E327" t="inlineStr">
        <is>
          <t>Anual</t>
        </is>
      </c>
      <c r="F327" t="inlineStr">
        <is>
          <t>Positivo</t>
        </is>
      </c>
      <c r="G327" t="inlineStr">
        <is>
          <t>Serie Unica</t>
        </is>
      </c>
      <c r="H327" t="inlineStr">
        <is>
          <t>Activo</t>
        </is>
      </c>
      <c r="I327" t="inlineStr">
        <is>
          <t>API</t>
        </is>
      </c>
      <c r="J327" t="inlineStr">
        <is>
          <t>Cierre</t>
        </is>
      </c>
      <c r="K327" t="inlineStr"/>
      <c r="L327" t="inlineStr">
        <is>
          <t>%</t>
        </is>
      </c>
    </row>
    <row r="328">
      <c r="A328" t="n">
        <v>488</v>
      </c>
      <c r="B328" t="inlineStr">
        <is>
          <t>Oportunidad en el cierre de actividades de los planes de mejora</t>
        </is>
      </c>
      <c r="C328" t="inlineStr">
        <is>
          <t>Operativo</t>
        </is>
      </c>
      <c r="D328" t="inlineStr">
        <is>
          <t>Gestión de calidad</t>
        </is>
      </c>
      <c r="E328" t="inlineStr">
        <is>
          <t>Mensual</t>
        </is>
      </c>
      <c r="F328" t="inlineStr">
        <is>
          <t>Positivo</t>
        </is>
      </c>
      <c r="G328" t="inlineStr">
        <is>
          <t>Multiserie</t>
        </is>
      </c>
      <c r="H328" t="inlineStr">
        <is>
          <t>Activo</t>
        </is>
      </c>
      <c r="I328" t="inlineStr">
        <is>
          <t>API</t>
        </is>
      </c>
      <c r="J328" t="inlineStr">
        <is>
          <t>Promedio</t>
        </is>
      </c>
      <c r="K328" t="inlineStr"/>
      <c r="L328" t="inlineStr">
        <is>
          <t>%</t>
        </is>
      </c>
    </row>
    <row r="329">
      <c r="A329" t="n">
        <v>489</v>
      </c>
      <c r="B329" t="inlineStr">
        <is>
          <t>Cumplimiento en la evaluación de las oportunidades de mejora (OM)</t>
        </is>
      </c>
      <c r="C329" t="inlineStr">
        <is>
          <t>Operativo</t>
        </is>
      </c>
      <c r="D329" t="inlineStr">
        <is>
          <t>Gestión de calidad</t>
        </is>
      </c>
      <c r="E329" t="inlineStr">
        <is>
          <t>Mensual</t>
        </is>
      </c>
      <c r="F329" t="inlineStr">
        <is>
          <t>Positivo</t>
        </is>
      </c>
      <c r="G329" t="inlineStr"/>
      <c r="H329" t="inlineStr">
        <is>
          <t>Historico</t>
        </is>
      </c>
      <c r="I329" t="inlineStr">
        <is>
          <t>Historico</t>
        </is>
      </c>
      <c r="J329" t="inlineStr">
        <is>
          <t>Promedio</t>
        </is>
      </c>
      <c r="K329" t="inlineStr"/>
      <c r="L329" t="inlineStr">
        <is>
          <t>%</t>
        </is>
      </c>
    </row>
    <row r="330">
      <c r="A330" t="n">
        <v>490</v>
      </c>
      <c r="B330" t="inlineStr">
        <is>
          <t>Nivel de Satisfacción Servicios Prestados - Planeación Estratégica</t>
        </is>
      </c>
      <c r="C330" t="inlineStr">
        <is>
          <t>Estratégico</t>
        </is>
      </c>
      <c r="D330" t="inlineStr">
        <is>
          <t>Planeación Estratégica</t>
        </is>
      </c>
      <c r="E330" t="inlineStr">
        <is>
          <t>Anual</t>
        </is>
      </c>
      <c r="F330" t="inlineStr">
        <is>
          <t>Positivo</t>
        </is>
      </c>
      <c r="G330" t="inlineStr">
        <is>
          <t>Serie Unica</t>
        </is>
      </c>
      <c r="H330" t="inlineStr">
        <is>
          <t>Activo</t>
        </is>
      </c>
      <c r="I330" t="inlineStr">
        <is>
          <t>API</t>
        </is>
      </c>
      <c r="J330" t="inlineStr">
        <is>
          <t>Cierre</t>
        </is>
      </c>
      <c r="K330" t="inlineStr"/>
      <c r="L330" t="inlineStr">
        <is>
          <t>%</t>
        </is>
      </c>
    </row>
    <row r="331">
      <c r="A331" t="n">
        <v>491</v>
      </c>
      <c r="B331" t="inlineStr">
        <is>
          <t>Nivel de Satisfacción Servicios Prestados - Gestión de proyectos</t>
        </is>
      </c>
      <c r="C331" t="inlineStr">
        <is>
          <t>Estratégico</t>
        </is>
      </c>
      <c r="D331" t="inlineStr">
        <is>
          <t>Gestión de Proyectos</t>
        </is>
      </c>
      <c r="E331" t="inlineStr">
        <is>
          <t>Anual</t>
        </is>
      </c>
      <c r="F331" t="inlineStr">
        <is>
          <t>Positivo</t>
        </is>
      </c>
      <c r="G331" t="inlineStr">
        <is>
          <t>Serie Unica</t>
        </is>
      </c>
      <c r="H331" t="inlineStr">
        <is>
          <t>Activo</t>
        </is>
      </c>
      <c r="I331" t="inlineStr">
        <is>
          <t>API</t>
        </is>
      </c>
      <c r="J331" t="inlineStr">
        <is>
          <t>Cierre</t>
        </is>
      </c>
      <c r="K331" t="inlineStr"/>
      <c r="L331" t="inlineStr">
        <is>
          <t>%</t>
        </is>
      </c>
    </row>
    <row r="332">
      <c r="A332" t="n">
        <v>492</v>
      </c>
      <c r="B332" t="inlineStr">
        <is>
          <t>Nivel de Satisfacción Servicios Prestados - Desempeño Institucional</t>
        </is>
      </c>
      <c r="C332" t="inlineStr">
        <is>
          <t>Estratégico</t>
        </is>
      </c>
      <c r="D332" t="inlineStr">
        <is>
          <t>Desempeño Institucional</t>
        </is>
      </c>
      <c r="E332" t="inlineStr">
        <is>
          <t>Anual</t>
        </is>
      </c>
      <c r="F332" t="inlineStr">
        <is>
          <t>Positivo</t>
        </is>
      </c>
      <c r="G332" t="inlineStr">
        <is>
          <t>Serie Unica</t>
        </is>
      </c>
      <c r="H332" t="inlineStr">
        <is>
          <t>Activo</t>
        </is>
      </c>
      <c r="I332" t="inlineStr">
        <is>
          <t>API</t>
        </is>
      </c>
      <c r="J332" t="inlineStr">
        <is>
          <t>Cierre</t>
        </is>
      </c>
      <c r="K332" t="inlineStr"/>
      <c r="L332" t="inlineStr">
        <is>
          <t>%</t>
        </is>
      </c>
    </row>
    <row r="333">
      <c r="A333" t="n">
        <v>493</v>
      </c>
      <c r="B333" t="inlineStr">
        <is>
          <t>Nivel de Satisfacción Servicios Prestados - Gestión Jurídica Y Normativa</t>
        </is>
      </c>
      <c r="C333" t="inlineStr">
        <is>
          <t>Estratégico</t>
        </is>
      </c>
      <c r="D333" t="inlineStr">
        <is>
          <t>GESTIÓN JURÍDICA Y NORMATIVA</t>
        </is>
      </c>
      <c r="E333" t="inlineStr">
        <is>
          <t>Anual</t>
        </is>
      </c>
      <c r="F333" t="inlineStr">
        <is>
          <t>Positivo</t>
        </is>
      </c>
      <c r="G333" t="inlineStr">
        <is>
          <t>Serie Unica</t>
        </is>
      </c>
      <c r="H333" t="inlineStr">
        <is>
          <t>Activo</t>
        </is>
      </c>
      <c r="I333" t="inlineStr">
        <is>
          <t>API</t>
        </is>
      </c>
      <c r="J333" t="inlineStr">
        <is>
          <t>Cierre</t>
        </is>
      </c>
      <c r="K333" t="inlineStr"/>
      <c r="L333" t="inlineStr">
        <is>
          <t>%</t>
        </is>
      </c>
    </row>
    <row r="334">
      <c r="A334" t="n">
        <v>494</v>
      </c>
      <c r="B334" t="inlineStr">
        <is>
          <t>Nivel de Satisfacción Servicios Prestados - Administración De Servicios Generales</t>
        </is>
      </c>
      <c r="C334" t="inlineStr">
        <is>
          <t>Estratégico</t>
        </is>
      </c>
      <c r="D334" t="inlineStr">
        <is>
          <t>Administración de Servicios Generales</t>
        </is>
      </c>
      <c r="E334" t="inlineStr">
        <is>
          <t>Anual</t>
        </is>
      </c>
      <c r="F334" t="inlineStr">
        <is>
          <t>Positivo</t>
        </is>
      </c>
      <c r="G334" t="inlineStr">
        <is>
          <t>Serie Unica</t>
        </is>
      </c>
      <c r="H334" t="inlineStr">
        <is>
          <t>Activo</t>
        </is>
      </c>
      <c r="I334" t="inlineStr">
        <is>
          <t>API</t>
        </is>
      </c>
      <c r="J334" t="inlineStr">
        <is>
          <t>Cierre</t>
        </is>
      </c>
      <c r="K334" t="inlineStr"/>
      <c r="L334" t="inlineStr">
        <is>
          <t>%</t>
        </is>
      </c>
    </row>
    <row r="335">
      <c r="A335" t="n">
        <v>495</v>
      </c>
      <c r="B335" t="inlineStr">
        <is>
          <t>Nivel de Satisfacción Servicios Prestados - Contabilidad</t>
        </is>
      </c>
      <c r="C335" t="inlineStr">
        <is>
          <t>Estratégico</t>
        </is>
      </c>
      <c r="D335" t="inlineStr">
        <is>
          <t>Contabilidad</t>
        </is>
      </c>
      <c r="E335" t="inlineStr">
        <is>
          <t>Anual</t>
        </is>
      </c>
      <c r="F335" t="inlineStr">
        <is>
          <t>Positivo</t>
        </is>
      </c>
      <c r="G335" t="inlineStr">
        <is>
          <t>Serie Unica</t>
        </is>
      </c>
      <c r="H335" t="inlineStr">
        <is>
          <t>Activo</t>
        </is>
      </c>
      <c r="I335" t="inlineStr">
        <is>
          <t>API</t>
        </is>
      </c>
      <c r="J335" t="inlineStr">
        <is>
          <t>Cierre</t>
        </is>
      </c>
      <c r="K335" t="inlineStr"/>
      <c r="L335" t="inlineStr">
        <is>
          <t>%</t>
        </is>
      </c>
    </row>
    <row r="336">
      <c r="A336" t="n">
        <v>496</v>
      </c>
      <c r="B336" t="inlineStr">
        <is>
          <t>Nivel de Satisfacción Servicios Prestados - Planeación Financiera</t>
        </is>
      </c>
      <c r="C336" t="inlineStr">
        <is>
          <t>Estratégico</t>
        </is>
      </c>
      <c r="D336" t="inlineStr">
        <is>
          <t>Planeación Financiera</t>
        </is>
      </c>
      <c r="E336" t="inlineStr">
        <is>
          <t>Anual</t>
        </is>
      </c>
      <c r="F336" t="inlineStr">
        <is>
          <t>Positivo</t>
        </is>
      </c>
      <c r="G336" t="inlineStr">
        <is>
          <t>Serie Unica</t>
        </is>
      </c>
      <c r="H336" t="inlineStr">
        <is>
          <t>Activo</t>
        </is>
      </c>
      <c r="I336" t="inlineStr">
        <is>
          <t>API</t>
        </is>
      </c>
      <c r="J336" t="inlineStr">
        <is>
          <t>Cierre</t>
        </is>
      </c>
      <c r="K336" t="inlineStr"/>
      <c r="L336" t="inlineStr">
        <is>
          <t>%</t>
        </is>
      </c>
    </row>
    <row r="337">
      <c r="A337" t="n">
        <v>497</v>
      </c>
      <c r="B337" t="inlineStr">
        <is>
          <t>Nivel de Satisfacción Servicios Prestados - Tesorería</t>
        </is>
      </c>
      <c r="C337" t="inlineStr">
        <is>
          <t>Estratégico</t>
        </is>
      </c>
      <c r="D337" t="inlineStr">
        <is>
          <t>Tesorería</t>
        </is>
      </c>
      <c r="E337" t="inlineStr">
        <is>
          <t>Anual</t>
        </is>
      </c>
      <c r="F337" t="inlineStr">
        <is>
          <t>Positivo</t>
        </is>
      </c>
      <c r="G337" t="inlineStr">
        <is>
          <t>Serie Unica</t>
        </is>
      </c>
      <c r="H337" t="inlineStr">
        <is>
          <t>Activo</t>
        </is>
      </c>
      <c r="I337" t="inlineStr">
        <is>
          <t>API</t>
        </is>
      </c>
      <c r="J337" t="inlineStr">
        <is>
          <t>Cierre</t>
        </is>
      </c>
      <c r="K337" t="inlineStr"/>
      <c r="L337" t="inlineStr">
        <is>
          <t>%</t>
        </is>
      </c>
    </row>
    <row r="338">
      <c r="A338" t="n">
        <v>498</v>
      </c>
      <c r="B338" t="inlineStr">
        <is>
          <t>Nivel de Satisfacción Servicios Prestados - Centro de Medios Audiovisuales</t>
        </is>
      </c>
      <c r="C338" t="inlineStr">
        <is>
          <t>Estratégico</t>
        </is>
      </c>
      <c r="D338" t="inlineStr">
        <is>
          <t>Centro de Medios Audiovisuales</t>
        </is>
      </c>
      <c r="E338" t="inlineStr">
        <is>
          <t>Anual</t>
        </is>
      </c>
      <c r="F338" t="inlineStr">
        <is>
          <t>Positivo</t>
        </is>
      </c>
      <c r="G338" t="inlineStr">
        <is>
          <t>Serie Unica</t>
        </is>
      </c>
      <c r="H338" t="inlineStr">
        <is>
          <t>Activo</t>
        </is>
      </c>
      <c r="I338" t="inlineStr">
        <is>
          <t>API</t>
        </is>
      </c>
      <c r="J338" t="inlineStr">
        <is>
          <t>Cierre</t>
        </is>
      </c>
      <c r="K338" t="inlineStr"/>
      <c r="L338" t="inlineStr">
        <is>
          <t>%</t>
        </is>
      </c>
    </row>
    <row r="339">
      <c r="A339" t="n">
        <v>499</v>
      </c>
      <c r="B339" t="inlineStr">
        <is>
          <t>Nivel de Satisfacción Servicios Prestados - Datos y analítica</t>
        </is>
      </c>
      <c r="C339" t="inlineStr">
        <is>
          <t>Estratégico</t>
        </is>
      </c>
      <c r="D339" t="inlineStr">
        <is>
          <t>DATOS Y ANALÍTICA</t>
        </is>
      </c>
      <c r="E339" t="inlineStr">
        <is>
          <t>Anual</t>
        </is>
      </c>
      <c r="F339" t="inlineStr">
        <is>
          <t>Positivo</t>
        </is>
      </c>
      <c r="G339" t="inlineStr">
        <is>
          <t>Serie Unica</t>
        </is>
      </c>
      <c r="H339" t="inlineStr">
        <is>
          <t>Activo</t>
        </is>
      </c>
      <c r="I339" t="inlineStr">
        <is>
          <t>API</t>
        </is>
      </c>
      <c r="J339" t="inlineStr">
        <is>
          <t>Cierre</t>
        </is>
      </c>
      <c r="K339" t="inlineStr"/>
      <c r="L339" t="inlineStr">
        <is>
          <t>%</t>
        </is>
      </c>
    </row>
    <row r="340">
      <c r="A340" t="n">
        <v>500</v>
      </c>
      <c r="B340" t="inlineStr">
        <is>
          <t>Nivel de Satisfacción Servicios Prestados -Servicio de Salud</t>
        </is>
      </c>
      <c r="C340" t="inlineStr">
        <is>
          <t>Estratégico</t>
        </is>
      </c>
      <c r="D340" t="inlineStr">
        <is>
          <t>Servicio de Salud</t>
        </is>
      </c>
      <c r="E340" t="inlineStr">
        <is>
          <t>Anual</t>
        </is>
      </c>
      <c r="F340" t="inlineStr">
        <is>
          <t>Positivo</t>
        </is>
      </c>
      <c r="G340" t="inlineStr">
        <is>
          <t>Serie Unica</t>
        </is>
      </c>
      <c r="H340" t="inlineStr">
        <is>
          <t>Activo</t>
        </is>
      </c>
      <c r="I340" t="inlineStr">
        <is>
          <t>API</t>
        </is>
      </c>
      <c r="J340" t="inlineStr">
        <is>
          <t>Cierre</t>
        </is>
      </c>
      <c r="K340" t="inlineStr"/>
      <c r="L340" t="inlineStr">
        <is>
          <t>%</t>
        </is>
      </c>
    </row>
    <row r="341">
      <c r="A341" t="n">
        <v>501</v>
      </c>
      <c r="B341" t="inlineStr">
        <is>
          <t>Nivel de Satisfacción Servicios Prestados -Gestión, evaluación e innovación curricular</t>
        </is>
      </c>
      <c r="C341" t="inlineStr">
        <is>
          <t>Estratégico</t>
        </is>
      </c>
      <c r="D341" t="inlineStr">
        <is>
          <t>Gestión, Evaluación e Innovación Curricular</t>
        </is>
      </c>
      <c r="E341" t="inlineStr">
        <is>
          <t>Anual</t>
        </is>
      </c>
      <c r="F341" t="inlineStr">
        <is>
          <t>Positivo</t>
        </is>
      </c>
      <c r="G341" t="inlineStr">
        <is>
          <t>Serie Unica</t>
        </is>
      </c>
      <c r="H341" t="inlineStr">
        <is>
          <t>Activo</t>
        </is>
      </c>
      <c r="I341" t="inlineStr">
        <is>
          <t>API</t>
        </is>
      </c>
      <c r="J341" t="inlineStr">
        <is>
          <t>Cierre</t>
        </is>
      </c>
      <c r="K341" t="inlineStr"/>
      <c r="L341" t="inlineStr">
        <is>
          <t>%</t>
        </is>
      </c>
    </row>
    <row r="342">
      <c r="A342" t="n">
        <v>502</v>
      </c>
      <c r="B342" t="inlineStr">
        <is>
          <t>Nivel de Satisfacción Servicios Prestados -Formación para la investigación, creación e innovación</t>
        </is>
      </c>
      <c r="C342" t="inlineStr">
        <is>
          <t>Estratégico</t>
        </is>
      </c>
      <c r="D342" t="inlineStr">
        <is>
          <t>Formación para la investigación, creación e innovación</t>
        </is>
      </c>
      <c r="E342" t="inlineStr">
        <is>
          <t>Anual</t>
        </is>
      </c>
      <c r="F342" t="inlineStr">
        <is>
          <t>Positivo</t>
        </is>
      </c>
      <c r="G342" t="inlineStr">
        <is>
          <t>Serie Unica</t>
        </is>
      </c>
      <c r="H342" t="inlineStr">
        <is>
          <t>Activo</t>
        </is>
      </c>
      <c r="I342" t="inlineStr">
        <is>
          <t>API</t>
        </is>
      </c>
      <c r="J342" t="inlineStr">
        <is>
          <t>Cierre</t>
        </is>
      </c>
      <c r="K342" t="inlineStr"/>
      <c r="L342" t="inlineStr">
        <is>
          <t>%</t>
        </is>
      </c>
    </row>
    <row r="343">
      <c r="A343" t="n">
        <v>503</v>
      </c>
      <c r="B343" t="inlineStr">
        <is>
          <t>Nivel de Satisfacción Servicios Prestados -Gestión de Unidades Académicas</t>
        </is>
      </c>
      <c r="C343" t="inlineStr">
        <is>
          <t>Estratégico</t>
        </is>
      </c>
      <c r="D343" t="inlineStr">
        <is>
          <t>Gestión de Unidades Académicas</t>
        </is>
      </c>
      <c r="E343" t="inlineStr">
        <is>
          <t>Anual</t>
        </is>
      </c>
      <c r="F343" t="inlineStr">
        <is>
          <t>Positivo</t>
        </is>
      </c>
      <c r="G343" t="inlineStr">
        <is>
          <t>Serie Unica</t>
        </is>
      </c>
      <c r="H343" t="inlineStr">
        <is>
          <t>Activo</t>
        </is>
      </c>
      <c r="I343" t="inlineStr">
        <is>
          <t>API</t>
        </is>
      </c>
      <c r="J343" t="inlineStr">
        <is>
          <t>Cierre</t>
        </is>
      </c>
      <c r="K343" t="inlineStr"/>
      <c r="L343" t="inlineStr">
        <is>
          <t>%</t>
        </is>
      </c>
    </row>
    <row r="344">
      <c r="A344" t="n">
        <v>504</v>
      </c>
      <c r="B344" t="inlineStr">
        <is>
          <t>Nivel de Satisfacción Servicios Prestados - LEI</t>
        </is>
      </c>
      <c r="C344" t="inlineStr">
        <is>
          <t>Estratégico</t>
        </is>
      </c>
      <c r="D344" t="inlineStr">
        <is>
          <t>LEI</t>
        </is>
      </c>
      <c r="E344" t="inlineStr">
        <is>
          <t>Anual</t>
        </is>
      </c>
      <c r="F344" t="inlineStr">
        <is>
          <t>Positivo</t>
        </is>
      </c>
      <c r="G344" t="inlineStr">
        <is>
          <t>Serie Unica</t>
        </is>
      </c>
      <c r="H344" t="inlineStr">
        <is>
          <t>Activo</t>
        </is>
      </c>
      <c r="I344" t="inlineStr">
        <is>
          <t>API</t>
        </is>
      </c>
      <c r="J344" t="inlineStr">
        <is>
          <t>Cierre</t>
        </is>
      </c>
      <c r="K344" t="inlineStr"/>
      <c r="L344" t="inlineStr">
        <is>
          <t>%</t>
        </is>
      </c>
    </row>
    <row r="345">
      <c r="A345" t="n">
        <v>505</v>
      </c>
      <c r="B345" t="inlineStr">
        <is>
          <t>Nivel de Satisfacción Servicios Prestados - Mercadeo de programas académicos</t>
        </is>
      </c>
      <c r="C345" t="inlineStr">
        <is>
          <t>Estratégico</t>
        </is>
      </c>
      <c r="D345" t="inlineStr">
        <is>
          <t>Mercadeo de programas académicos</t>
        </is>
      </c>
      <c r="E345" t="inlineStr">
        <is>
          <t>Anual</t>
        </is>
      </c>
      <c r="F345" t="inlineStr">
        <is>
          <t>Positivo</t>
        </is>
      </c>
      <c r="G345" t="inlineStr">
        <is>
          <t>Serie Unica</t>
        </is>
      </c>
      <c r="H345" t="inlineStr">
        <is>
          <t>Activo</t>
        </is>
      </c>
      <c r="I345" t="inlineStr">
        <is>
          <t>API</t>
        </is>
      </c>
      <c r="J345" t="inlineStr">
        <is>
          <t>Cierre</t>
        </is>
      </c>
      <c r="K345" t="inlineStr"/>
      <c r="L345" t="inlineStr">
        <is>
          <t>%</t>
        </is>
      </c>
    </row>
    <row r="346">
      <c r="A346" t="n">
        <v>506</v>
      </c>
      <c r="B346" t="inlineStr">
        <is>
          <t>Nivel de Satisfacción Servicios Prestados - Prácticas</t>
        </is>
      </c>
      <c r="C346" t="inlineStr">
        <is>
          <t>Estratégico</t>
        </is>
      </c>
      <c r="D346" t="inlineStr">
        <is>
          <t>Prácticas</t>
        </is>
      </c>
      <c r="E346" t="inlineStr">
        <is>
          <t>Semestral</t>
        </is>
      </c>
      <c r="F346" t="inlineStr">
        <is>
          <t>Positivo</t>
        </is>
      </c>
      <c r="G346" t="inlineStr">
        <is>
          <t>Serie Unica</t>
        </is>
      </c>
      <c r="H346" t="inlineStr">
        <is>
          <t>Activo</t>
        </is>
      </c>
      <c r="I346" t="inlineStr">
        <is>
          <t>API</t>
        </is>
      </c>
      <c r="J346" t="inlineStr">
        <is>
          <t>Cierre</t>
        </is>
      </c>
      <c r="K346" t="inlineStr"/>
      <c r="L346" t="inlineStr">
        <is>
          <t>%</t>
        </is>
      </c>
    </row>
    <row r="347">
      <c r="A347" t="n">
        <v>507</v>
      </c>
      <c r="B347" t="inlineStr">
        <is>
          <t>Nivel de Satisfacción Servicios Prestados -Cultura y Deporte</t>
        </is>
      </c>
      <c r="C347" t="inlineStr">
        <is>
          <t>Estratégico</t>
        </is>
      </c>
      <c r="D347" t="inlineStr">
        <is>
          <t>Cultura y Deporte</t>
        </is>
      </c>
      <c r="E347" t="inlineStr">
        <is>
          <t>Semestral</t>
        </is>
      </c>
      <c r="F347" t="inlineStr">
        <is>
          <t>Positivo</t>
        </is>
      </c>
      <c r="G347" t="inlineStr">
        <is>
          <t>Serie Unica</t>
        </is>
      </c>
      <c r="H347" t="inlineStr">
        <is>
          <t>Activo</t>
        </is>
      </c>
      <c r="I347" t="inlineStr">
        <is>
          <t>API</t>
        </is>
      </c>
      <c r="J347" t="inlineStr">
        <is>
          <t>Cierre</t>
        </is>
      </c>
      <c r="K347" t="inlineStr"/>
      <c r="L347" t="inlineStr">
        <is>
          <t>%</t>
        </is>
      </c>
    </row>
    <row r="348">
      <c r="A348" t="n">
        <v>508</v>
      </c>
      <c r="B348" t="inlineStr">
        <is>
          <t>Nivel de Satisfacción Servicios Prestados - Diseño y contenido virtual</t>
        </is>
      </c>
      <c r="C348" t="inlineStr">
        <is>
          <t>Estratégico</t>
        </is>
      </c>
      <c r="D348" t="inlineStr">
        <is>
          <t>Diseño de Contenido Virtual</t>
        </is>
      </c>
      <c r="E348" t="inlineStr">
        <is>
          <t>Anual</t>
        </is>
      </c>
      <c r="F348" t="inlineStr">
        <is>
          <t>Positivo</t>
        </is>
      </c>
      <c r="G348" t="inlineStr">
        <is>
          <t>Serie Unica</t>
        </is>
      </c>
      <c r="H348" t="inlineStr">
        <is>
          <t>Activo</t>
        </is>
      </c>
      <c r="I348" t="inlineStr">
        <is>
          <t>API</t>
        </is>
      </c>
      <c r="J348" t="inlineStr">
        <is>
          <t>Cierre</t>
        </is>
      </c>
      <c r="K348" t="inlineStr"/>
      <c r="L348" t="inlineStr">
        <is>
          <t>%</t>
        </is>
      </c>
    </row>
    <row r="349">
      <c r="A349" t="n">
        <v>509</v>
      </c>
      <c r="B349" t="inlineStr">
        <is>
          <t>Cumplimiento a cronograma de proyectos 2025</t>
        </is>
      </c>
      <c r="C349" t="inlineStr">
        <is>
          <t>Estratégico</t>
        </is>
      </c>
      <c r="D349" t="inlineStr">
        <is>
          <t>Gestión de Proyectos</t>
        </is>
      </c>
      <c r="E349" t="inlineStr">
        <is>
          <t>Mensual</t>
        </is>
      </c>
      <c r="F349" t="inlineStr">
        <is>
          <t>Positivo</t>
        </is>
      </c>
      <c r="G349" t="inlineStr">
        <is>
          <t>Multiserie</t>
        </is>
      </c>
      <c r="H349" t="inlineStr">
        <is>
          <t>Activo</t>
        </is>
      </c>
      <c r="I349" t="inlineStr">
        <is>
          <t>API</t>
        </is>
      </c>
      <c r="J349" t="inlineStr">
        <is>
          <t>Cierre</t>
        </is>
      </c>
      <c r="K349" t="inlineStr"/>
      <c r="L349" t="inlineStr">
        <is>
          <t>%</t>
        </is>
      </c>
    </row>
    <row r="350">
      <c r="A350" t="n">
        <v>510</v>
      </c>
      <c r="B350" t="inlineStr">
        <is>
          <t>Frecuencia de incidentes de riesgos</t>
        </is>
      </c>
      <c r="C350" t="inlineStr">
        <is>
          <t>Operativo</t>
        </is>
      </c>
      <c r="D350" t="inlineStr">
        <is>
          <t>GESTIÓN DE RIESGOS</t>
        </is>
      </c>
      <c r="E350" t="inlineStr">
        <is>
          <t>Trimestral</t>
        </is>
      </c>
      <c r="F350" t="inlineStr">
        <is>
          <t>Positivo</t>
        </is>
      </c>
      <c r="G350" t="inlineStr">
        <is>
          <t>Multiserie</t>
        </is>
      </c>
      <c r="H350" t="inlineStr">
        <is>
          <t>Activo</t>
        </is>
      </c>
      <c r="I350" t="inlineStr">
        <is>
          <t>API</t>
        </is>
      </c>
      <c r="J350" t="inlineStr">
        <is>
          <t>Acumulado</t>
        </is>
      </c>
      <c r="K350" t="inlineStr"/>
      <c r="L350" t="inlineStr">
        <is>
          <t>%</t>
        </is>
      </c>
    </row>
    <row r="351">
      <c r="A351" t="n">
        <v>511</v>
      </c>
      <c r="B351" t="inlineStr">
        <is>
          <t>Eficacia de controles</t>
        </is>
      </c>
      <c r="C351" t="inlineStr">
        <is>
          <t>Operativo</t>
        </is>
      </c>
      <c r="D351" t="inlineStr">
        <is>
          <t>GESTIÓN DE RIESGOS</t>
        </is>
      </c>
      <c r="E351" t="inlineStr">
        <is>
          <t>Trimestral</t>
        </is>
      </c>
      <c r="F351" t="inlineStr">
        <is>
          <t>Positivo</t>
        </is>
      </c>
      <c r="G351" t="inlineStr">
        <is>
          <t>Multiserie</t>
        </is>
      </c>
      <c r="H351" t="inlineStr">
        <is>
          <t>Activo</t>
        </is>
      </c>
      <c r="I351" t="inlineStr">
        <is>
          <t>API</t>
        </is>
      </c>
      <c r="J351" t="inlineStr">
        <is>
          <t>Acumulado</t>
        </is>
      </c>
      <c r="K351" t="inlineStr"/>
      <c r="L351" t="inlineStr">
        <is>
          <t>%</t>
        </is>
      </c>
    </row>
    <row r="352">
      <c r="A352" t="n">
        <v>513</v>
      </c>
      <c r="B352" t="inlineStr">
        <is>
          <t>Nivel de cumplimiento del plan de seguimiento a controles</t>
        </is>
      </c>
      <c r="C352" t="inlineStr">
        <is>
          <t>Operativo</t>
        </is>
      </c>
      <c r="D352" t="inlineStr">
        <is>
          <t>GESTIÓN DE RIESGOS</t>
        </is>
      </c>
      <c r="E352" t="inlineStr">
        <is>
          <t>Trimestral</t>
        </is>
      </c>
      <c r="F352" t="inlineStr">
        <is>
          <t>Positivo</t>
        </is>
      </c>
      <c r="G352" t="inlineStr">
        <is>
          <t>Serie Unica</t>
        </is>
      </c>
      <c r="H352" t="inlineStr">
        <is>
          <t>Activo</t>
        </is>
      </c>
      <c r="I352" t="inlineStr">
        <is>
          <t>API</t>
        </is>
      </c>
      <c r="J352" t="inlineStr">
        <is>
          <t>Promedio</t>
        </is>
      </c>
      <c r="K352" t="inlineStr"/>
      <c r="L352" t="inlineStr">
        <is>
          <t>%</t>
        </is>
      </c>
    </row>
    <row r="353">
      <c r="A353" t="n">
        <v>514</v>
      </c>
      <c r="B353" t="inlineStr">
        <is>
          <t>Respuesta ante nuevas necesidades de control</t>
        </is>
      </c>
      <c r="C353" t="inlineStr">
        <is>
          <t>Operativo</t>
        </is>
      </c>
      <c r="D353" t="inlineStr">
        <is>
          <t>GESTIÓN DE RIESGOS</t>
        </is>
      </c>
      <c r="E353" t="inlineStr">
        <is>
          <t>Semestral</t>
        </is>
      </c>
      <c r="F353" t="inlineStr">
        <is>
          <t>Positivo</t>
        </is>
      </c>
      <c r="G353" t="inlineStr">
        <is>
          <t>Serie Unica</t>
        </is>
      </c>
      <c r="H353" t="inlineStr">
        <is>
          <t>Activo</t>
        </is>
      </c>
      <c r="I353" t="inlineStr">
        <is>
          <t>API</t>
        </is>
      </c>
      <c r="J353" t="inlineStr">
        <is>
          <t>Promedio</t>
        </is>
      </c>
      <c r="K353" t="inlineStr"/>
      <c r="L353" t="inlineStr">
        <is>
          <t>%</t>
        </is>
      </c>
    </row>
    <row r="354">
      <c r="A354" t="n">
        <v>515</v>
      </c>
      <c r="B354" t="inlineStr">
        <is>
          <t>Porcentaje de procesos de control implementados</t>
        </is>
      </c>
      <c r="C354" t="inlineStr">
        <is>
          <t>Estratégico</t>
        </is>
      </c>
      <c r="D354" t="inlineStr">
        <is>
          <t>GESTIÓN DE LA TECNOLOGÍA E INNOVACIÓN DIGITAL</t>
        </is>
      </c>
      <c r="E354" t="inlineStr">
        <is>
          <t>Semestral</t>
        </is>
      </c>
      <c r="F354" t="inlineStr">
        <is>
          <t>Positivo</t>
        </is>
      </c>
      <c r="G354" t="inlineStr">
        <is>
          <t>Serie Unica</t>
        </is>
      </c>
      <c r="H354" t="inlineStr">
        <is>
          <t>Activo</t>
        </is>
      </c>
      <c r="I354" t="inlineStr">
        <is>
          <t>API</t>
        </is>
      </c>
      <c r="J354" t="inlineStr">
        <is>
          <t>Promedio</t>
        </is>
      </c>
      <c r="K354" t="inlineStr"/>
      <c r="L354" t="inlineStr">
        <is>
          <t>%</t>
        </is>
      </c>
    </row>
    <row r="355">
      <c r="A355" t="n">
        <v>516</v>
      </c>
      <c r="B355" t="inlineStr">
        <is>
          <t>Porcentaje de colaboradores formados en ciberseguridad</t>
        </is>
      </c>
      <c r="C355" t="inlineStr">
        <is>
          <t>Operativo</t>
        </is>
      </c>
      <c r="D355" t="inlineStr">
        <is>
          <t>GESTIÓN DE LA TECNOLOGÍA E INNOVACIÓN DIGITAL</t>
        </is>
      </c>
      <c r="E355" t="inlineStr">
        <is>
          <t>Semestral</t>
        </is>
      </c>
      <c r="F355" t="inlineStr">
        <is>
          <t>Positivo</t>
        </is>
      </c>
      <c r="G355" t="inlineStr">
        <is>
          <t>Serie Unica</t>
        </is>
      </c>
      <c r="H355" t="inlineStr">
        <is>
          <t>Activo</t>
        </is>
      </c>
      <c r="I355" t="inlineStr">
        <is>
          <t>API</t>
        </is>
      </c>
      <c r="J355" t="inlineStr">
        <is>
          <t>Promedio</t>
        </is>
      </c>
      <c r="K355" t="inlineStr"/>
      <c r="L355" t="inlineStr">
        <is>
          <t>%</t>
        </is>
      </c>
    </row>
    <row r="356">
      <c r="A356" t="n">
        <v>518</v>
      </c>
      <c r="B356" t="inlineStr">
        <is>
          <t>Cumplimiento programa de auditoría</t>
        </is>
      </c>
      <c r="C356" t="inlineStr">
        <is>
          <t>Estratégico</t>
        </is>
      </c>
      <c r="D356" t="inlineStr">
        <is>
          <t>AUDITORÍA INTERNA</t>
        </is>
      </c>
      <c r="E356" t="inlineStr">
        <is>
          <t>Trimestral</t>
        </is>
      </c>
      <c r="F356" t="inlineStr">
        <is>
          <t>Positivo</t>
        </is>
      </c>
      <c r="G356" t="inlineStr">
        <is>
          <t>Serie Unica</t>
        </is>
      </c>
      <c r="H356" t="inlineStr">
        <is>
          <t>Activo</t>
        </is>
      </c>
      <c r="I356" t="inlineStr">
        <is>
          <t>API</t>
        </is>
      </c>
      <c r="J356" t="inlineStr">
        <is>
          <t>Cierre</t>
        </is>
      </c>
      <c r="K356" t="inlineStr"/>
      <c r="L356" t="inlineStr">
        <is>
          <t>%</t>
        </is>
      </c>
    </row>
    <row r="357">
      <c r="A357" t="n">
        <v>519</v>
      </c>
      <c r="B357" t="inlineStr">
        <is>
          <t>% de publicaciones con sentimiento neutro o negativo</t>
        </is>
      </c>
      <c r="C357" t="inlineStr">
        <is>
          <t>Operativo</t>
        </is>
      </c>
      <c r="D357" t="inlineStr">
        <is>
          <t>Comunicaciones Externas</t>
        </is>
      </c>
      <c r="E357" t="inlineStr">
        <is>
          <t>Semestral</t>
        </is>
      </c>
      <c r="F357" t="inlineStr">
        <is>
          <t>Positivo</t>
        </is>
      </c>
      <c r="G357" t="inlineStr">
        <is>
          <t>Multiserie</t>
        </is>
      </c>
      <c r="H357" t="inlineStr">
        <is>
          <t>Activo</t>
        </is>
      </c>
      <c r="I357" t="inlineStr">
        <is>
          <t>API</t>
        </is>
      </c>
      <c r="J357" t="inlineStr">
        <is>
          <t>Promedio</t>
        </is>
      </c>
      <c r="K357" t="inlineStr"/>
      <c r="L357" t="inlineStr">
        <is>
          <t>%</t>
        </is>
      </c>
    </row>
    <row r="358">
      <c r="A358" t="n">
        <v>522</v>
      </c>
      <c r="B358" t="inlineStr">
        <is>
          <t>Asignaturas o modulos con mecanismos de evaluación implementados</t>
        </is>
      </c>
      <c r="C358" t="inlineStr">
        <is>
          <t>Estratégico</t>
        </is>
      </c>
      <c r="D358" t="inlineStr">
        <is>
          <t>Gestión, Evaluación e Innovación Curricular</t>
        </is>
      </c>
      <c r="E358" t="inlineStr">
        <is>
          <t>Anual</t>
        </is>
      </c>
      <c r="F358" t="inlineStr">
        <is>
          <t>Positivo</t>
        </is>
      </c>
      <c r="G358" t="inlineStr">
        <is>
          <t>Serie Unica</t>
        </is>
      </c>
      <c r="H358" t="inlineStr">
        <is>
          <t>Activo</t>
        </is>
      </c>
      <c r="I358" t="inlineStr">
        <is>
          <t>API</t>
        </is>
      </c>
      <c r="J358" t="inlineStr">
        <is>
          <t>Cierre</t>
        </is>
      </c>
      <c r="K358" t="inlineStr"/>
      <c r="L358" t="inlineStr">
        <is>
          <t>ENT</t>
        </is>
      </c>
    </row>
    <row r="359">
      <c r="A359" t="n">
        <v>523</v>
      </c>
      <c r="B359" t="inlineStr">
        <is>
          <t>Ingresos totales de educación para la vida</t>
        </is>
      </c>
      <c r="C359" t="inlineStr">
        <is>
          <t>Estratégico</t>
        </is>
      </c>
      <c r="D359" t="inlineStr">
        <is>
          <t>Planeación Financiera</t>
        </is>
      </c>
      <c r="E359" t="inlineStr">
        <is>
          <t>Semestral</t>
        </is>
      </c>
      <c r="F359" t="inlineStr">
        <is>
          <t>Positivo</t>
        </is>
      </c>
      <c r="G359" t="inlineStr">
        <is>
          <t>Multiserie</t>
        </is>
      </c>
      <c r="H359" t="inlineStr">
        <is>
          <t>Activo</t>
        </is>
      </c>
      <c r="I359" t="inlineStr">
        <is>
          <t>API</t>
        </is>
      </c>
      <c r="J359" t="inlineStr">
        <is>
          <t>Cierre</t>
        </is>
      </c>
      <c r="K359" t="inlineStr"/>
      <c r="L359" t="inlineStr">
        <is>
          <t>DEC</t>
        </is>
      </c>
    </row>
    <row r="360">
      <c r="A360" t="n">
        <v>524</v>
      </c>
      <c r="B360" t="inlineStr">
        <is>
          <t>Total Leads por canales de captación</t>
        </is>
      </c>
      <c r="C360" t="inlineStr">
        <is>
          <t>Operativo</t>
        </is>
      </c>
      <c r="D360" t="inlineStr">
        <is>
          <t>Mercadeo de programas académicos</t>
        </is>
      </c>
      <c r="E360" t="inlineStr">
        <is>
          <t>Semestral</t>
        </is>
      </c>
      <c r="F360" t="inlineStr">
        <is>
          <t>Positivo</t>
        </is>
      </c>
      <c r="G360" t="inlineStr">
        <is>
          <t>Multiserie</t>
        </is>
      </c>
      <c r="H360" t="inlineStr">
        <is>
          <t>Activo</t>
        </is>
      </c>
      <c r="I360" t="inlineStr">
        <is>
          <t>API</t>
        </is>
      </c>
      <c r="J360" t="inlineStr">
        <is>
          <t>Acumulado</t>
        </is>
      </c>
      <c r="K360" t="inlineStr"/>
      <c r="L360" t="inlineStr">
        <is>
          <t>ENT</t>
        </is>
      </c>
    </row>
    <row r="361">
      <c r="A361" t="n">
        <v>526</v>
      </c>
      <c r="B361" t="inlineStr">
        <is>
          <t>Cumplimiento Politica Polisigs</t>
        </is>
      </c>
      <c r="C361" t="inlineStr">
        <is>
          <t>Operativo</t>
        </is>
      </c>
      <c r="D361" t="inlineStr">
        <is>
          <t>Planificación POLISIGS</t>
        </is>
      </c>
      <c r="E361" t="inlineStr">
        <is>
          <t>Trimestral</t>
        </is>
      </c>
      <c r="F361" t="inlineStr">
        <is>
          <t>Positivo</t>
        </is>
      </c>
      <c r="G361" t="inlineStr">
        <is>
          <t>Serie Unica</t>
        </is>
      </c>
      <c r="H361" t="inlineStr">
        <is>
          <t>Activo</t>
        </is>
      </c>
      <c r="I361" t="inlineStr">
        <is>
          <t>API</t>
        </is>
      </c>
      <c r="J361" t="inlineStr">
        <is>
          <t>Promedio</t>
        </is>
      </c>
      <c r="K361" t="inlineStr"/>
      <c r="L361" t="inlineStr">
        <is>
          <t>%</t>
        </is>
      </c>
    </row>
    <row r="362">
      <c r="A362" t="n">
        <v>527</v>
      </c>
      <c r="B362" t="inlineStr">
        <is>
          <t>Participación de Grupos de Interés en la construcción del nuevo plan de desarrollo (PDI)</t>
        </is>
      </c>
      <c r="C362" t="inlineStr">
        <is>
          <t>Estratégico</t>
        </is>
      </c>
      <c r="D362" t="inlineStr">
        <is>
          <t>Planeación Estratégica</t>
        </is>
      </c>
      <c r="E362" t="inlineStr">
        <is>
          <t>Anual</t>
        </is>
      </c>
      <c r="F362" t="inlineStr">
        <is>
          <t>Positivo</t>
        </is>
      </c>
      <c r="G362" t="inlineStr">
        <is>
          <t>Serie Unica</t>
        </is>
      </c>
      <c r="H362" t="inlineStr">
        <is>
          <t>Activo</t>
        </is>
      </c>
      <c r="I362" t="inlineStr">
        <is>
          <t>API</t>
        </is>
      </c>
      <c r="J362" t="inlineStr"/>
      <c r="K362" t="inlineStr"/>
      <c r="L362" t="inlineStr">
        <is>
          <t>%</t>
        </is>
      </c>
    </row>
    <row r="363">
      <c r="A363" t="n">
        <v>528</v>
      </c>
      <c r="B363" t="inlineStr">
        <is>
          <t>Participación de la comunidad en la Rendición de Cuentas</t>
        </is>
      </c>
      <c r="C363" t="inlineStr">
        <is>
          <t>Estratégico</t>
        </is>
      </c>
      <c r="D363" t="inlineStr">
        <is>
          <t>Planeación Estratégica</t>
        </is>
      </c>
      <c r="E363" t="inlineStr">
        <is>
          <t>Anual</t>
        </is>
      </c>
      <c r="F363" t="inlineStr">
        <is>
          <t>Positivo</t>
        </is>
      </c>
      <c r="G363" t="inlineStr">
        <is>
          <t>Serie Unica</t>
        </is>
      </c>
      <c r="H363" t="inlineStr">
        <is>
          <t>Activo</t>
        </is>
      </c>
      <c r="I363" t="inlineStr">
        <is>
          <t>API</t>
        </is>
      </c>
      <c r="J363" t="inlineStr">
        <is>
          <t>Cierre</t>
        </is>
      </c>
      <c r="K363" t="inlineStr"/>
      <c r="L363" t="inlineStr">
        <is>
          <t>ENT</t>
        </is>
      </c>
    </row>
    <row r="364">
      <c r="A364" t="n">
        <v>529</v>
      </c>
      <c r="B364" t="inlineStr">
        <is>
          <t>Oportunidad en la solución de solicitudes de infraestructura</t>
        </is>
      </c>
      <c r="C364" t="inlineStr">
        <is>
          <t>Operativo</t>
        </is>
      </c>
      <c r="D364" t="inlineStr">
        <is>
          <t>Gestión Infraestructura Física</t>
        </is>
      </c>
      <c r="E364" t="inlineStr">
        <is>
          <t>Trimestral</t>
        </is>
      </c>
      <c r="F364" t="inlineStr">
        <is>
          <t>Positivo</t>
        </is>
      </c>
      <c r="G364" t="inlineStr">
        <is>
          <t>Multiserie</t>
        </is>
      </c>
      <c r="H364" t="inlineStr">
        <is>
          <t>Activo</t>
        </is>
      </c>
      <c r="I364" t="inlineStr">
        <is>
          <t>API</t>
        </is>
      </c>
      <c r="J364" t="inlineStr">
        <is>
          <t>Acumulado</t>
        </is>
      </c>
      <c r="K364" t="inlineStr"/>
      <c r="L364" t="inlineStr">
        <is>
          <t>%</t>
        </is>
      </c>
    </row>
    <row r="365">
      <c r="A365" t="n">
        <v>530</v>
      </c>
      <c r="B365" t="inlineStr">
        <is>
          <t>Índice de Cumplimiento del Sprint</t>
        </is>
      </c>
      <c r="C365" t="inlineStr">
        <is>
          <t>Estratégico</t>
        </is>
      </c>
      <c r="D365" t="inlineStr">
        <is>
          <t>GESTIÓN DE LA TECNOLOGÍA E INNOVACIÓN DIGITAL</t>
        </is>
      </c>
      <c r="E365" t="inlineStr">
        <is>
          <t>Semestral</t>
        </is>
      </c>
      <c r="F365" t="inlineStr">
        <is>
          <t>Positivo</t>
        </is>
      </c>
      <c r="G365" t="inlineStr">
        <is>
          <t>Serie Unica</t>
        </is>
      </c>
      <c r="H365" t="inlineStr">
        <is>
          <t>Activo</t>
        </is>
      </c>
      <c r="I365" t="inlineStr">
        <is>
          <t>API</t>
        </is>
      </c>
      <c r="J365" t="inlineStr">
        <is>
          <t>Promedio</t>
        </is>
      </c>
      <c r="K365" t="inlineStr"/>
      <c r="L365" t="inlineStr">
        <is>
          <t>%</t>
        </is>
      </c>
    </row>
    <row r="366">
      <c r="A366" t="n">
        <v>531</v>
      </c>
      <c r="B366" t="inlineStr">
        <is>
          <t>Eficiencia de capacidad instalada</t>
        </is>
      </c>
      <c r="C366" t="inlineStr">
        <is>
          <t>Estratégico</t>
        </is>
      </c>
      <c r="D366" t="inlineStr">
        <is>
          <t>GESTIÓN DE LA TECNOLOGÍA E INNOVACIÓN DIGITAL</t>
        </is>
      </c>
      <c r="E366" t="inlineStr">
        <is>
          <t>Semestral</t>
        </is>
      </c>
      <c r="F366" t="inlineStr">
        <is>
          <t>Positivo</t>
        </is>
      </c>
      <c r="G366" t="inlineStr">
        <is>
          <t>Serie Unica</t>
        </is>
      </c>
      <c r="H366" t="inlineStr">
        <is>
          <t>Activo</t>
        </is>
      </c>
      <c r="I366" t="inlineStr">
        <is>
          <t>API</t>
        </is>
      </c>
      <c r="J366" t="inlineStr">
        <is>
          <t>Promedio</t>
        </is>
      </c>
      <c r="K366" t="inlineStr"/>
      <c r="L366" t="inlineStr">
        <is>
          <t>%</t>
        </is>
      </c>
    </row>
    <row r="367">
      <c r="A367" t="n">
        <v>532</v>
      </c>
      <c r="B367" t="inlineStr">
        <is>
          <t>Actividades de Cooperación en Internacionalización</t>
        </is>
      </c>
      <c r="C367" t="inlineStr">
        <is>
          <t>Estratégico</t>
        </is>
      </c>
      <c r="D367" t="inlineStr">
        <is>
          <t>VISIBILIDAD NACIONAL E INTERNACIONAL</t>
        </is>
      </c>
      <c r="E367" t="inlineStr">
        <is>
          <t>Semestral</t>
        </is>
      </c>
      <c r="F367" t="inlineStr">
        <is>
          <t>Positivo</t>
        </is>
      </c>
      <c r="G367" t="inlineStr">
        <is>
          <t>Multiserie</t>
        </is>
      </c>
      <c r="H367" t="inlineStr">
        <is>
          <t>Activo</t>
        </is>
      </c>
      <c r="I367" t="inlineStr">
        <is>
          <t>API</t>
        </is>
      </c>
      <c r="J367" t="inlineStr">
        <is>
          <t>Acumulado</t>
        </is>
      </c>
      <c r="K367" t="inlineStr"/>
      <c r="L367" t="inlineStr">
        <is>
          <t>%</t>
        </is>
      </c>
    </row>
    <row r="368">
      <c r="A368" t="n">
        <v>533</v>
      </c>
      <c r="B368" t="inlineStr">
        <is>
          <t>Participación de estudiantes externos invitados a actividades de cooperación nacional e internacional</t>
        </is>
      </c>
      <c r="C368" t="inlineStr">
        <is>
          <t>Estratégico</t>
        </is>
      </c>
      <c r="D368" t="inlineStr">
        <is>
          <t>VISIBILIDAD NACIONAL E INTERNACIONAL</t>
        </is>
      </c>
      <c r="E368" t="inlineStr">
        <is>
          <t>Semestral</t>
        </is>
      </c>
      <c r="F368" t="inlineStr">
        <is>
          <t>Positivo</t>
        </is>
      </c>
      <c r="G368" t="inlineStr">
        <is>
          <t>Multiserie</t>
        </is>
      </c>
      <c r="H368" t="inlineStr">
        <is>
          <t>Activo</t>
        </is>
      </c>
      <c r="I368" t="inlineStr">
        <is>
          <t>API</t>
        </is>
      </c>
      <c r="J368" t="inlineStr">
        <is>
          <t>Acumulado</t>
        </is>
      </c>
      <c r="K368" t="inlineStr"/>
      <c r="L368" t="inlineStr">
        <is>
          <t>%</t>
        </is>
      </c>
    </row>
    <row r="369">
      <c r="A369" t="n">
        <v>534</v>
      </c>
      <c r="B369" t="inlineStr">
        <is>
          <t>Participación de estudiantes POLI en actividades de cooperación nacional e internacional</t>
        </is>
      </c>
      <c r="C369" t="inlineStr">
        <is>
          <t>Estratégico</t>
        </is>
      </c>
      <c r="D369" t="inlineStr">
        <is>
          <t>VISIBILIDAD NACIONAL E INTERNACIONAL</t>
        </is>
      </c>
      <c r="E369" t="inlineStr">
        <is>
          <t>Semestral</t>
        </is>
      </c>
      <c r="F369" t="inlineStr">
        <is>
          <t>Positivo</t>
        </is>
      </c>
      <c r="G369" t="inlineStr">
        <is>
          <t>Multiserie</t>
        </is>
      </c>
      <c r="H369" t="inlineStr">
        <is>
          <t>Activo</t>
        </is>
      </c>
      <c r="I369" t="inlineStr">
        <is>
          <t>API</t>
        </is>
      </c>
      <c r="J369" t="inlineStr">
        <is>
          <t>Acumulado</t>
        </is>
      </c>
      <c r="K369" t="inlineStr"/>
      <c r="L369" t="inlineStr">
        <is>
          <t>%</t>
        </is>
      </c>
    </row>
    <row r="370">
      <c r="A370" t="n">
        <v>535</v>
      </c>
      <c r="B370" t="inlineStr">
        <is>
          <t>Participación de profesores externos invitados a actividades de cooperación nacional e internacional</t>
        </is>
      </c>
      <c r="C370" t="inlineStr">
        <is>
          <t>Estratégico</t>
        </is>
      </c>
      <c r="D370" t="inlineStr">
        <is>
          <t>VISIBILIDAD NACIONAL E INTERNACIONAL</t>
        </is>
      </c>
      <c r="E370" t="inlineStr">
        <is>
          <t>Semestral</t>
        </is>
      </c>
      <c r="F370" t="inlineStr">
        <is>
          <t>Positivo</t>
        </is>
      </c>
      <c r="G370" t="inlineStr">
        <is>
          <t>Multiserie</t>
        </is>
      </c>
      <c r="H370" t="inlineStr">
        <is>
          <t>Activo</t>
        </is>
      </c>
      <c r="I370" t="inlineStr">
        <is>
          <t>API</t>
        </is>
      </c>
      <c r="J370" t="inlineStr">
        <is>
          <t>Acumulado</t>
        </is>
      </c>
      <c r="K370" t="inlineStr"/>
      <c r="L370" t="inlineStr">
        <is>
          <t>%</t>
        </is>
      </c>
    </row>
    <row r="371">
      <c r="A371" t="n">
        <v>536</v>
      </c>
      <c r="B371" t="inlineStr">
        <is>
          <t>Participación de profesores POLI en actividades de cooperación nacional e internacional</t>
        </is>
      </c>
      <c r="C371" t="inlineStr">
        <is>
          <t>Estratégico</t>
        </is>
      </c>
      <c r="D371" t="inlineStr">
        <is>
          <t>VISIBILIDAD NACIONAL E INTERNACIONAL</t>
        </is>
      </c>
      <c r="E371" t="inlineStr">
        <is>
          <t>Semestral</t>
        </is>
      </c>
      <c r="F371" t="inlineStr">
        <is>
          <t>Positivo</t>
        </is>
      </c>
      <c r="G371" t="inlineStr">
        <is>
          <t>Multiserie</t>
        </is>
      </c>
      <c r="H371" t="inlineStr">
        <is>
          <t>Activo</t>
        </is>
      </c>
      <c r="I371" t="inlineStr">
        <is>
          <t>API</t>
        </is>
      </c>
      <c r="J371" t="inlineStr">
        <is>
          <t>Acumulado</t>
        </is>
      </c>
      <c r="K371" t="inlineStr"/>
      <c r="L371" t="inlineStr">
        <is>
          <t>%</t>
        </is>
      </c>
    </row>
    <row r="372">
      <c r="A372" t="n">
        <v>537</v>
      </c>
      <c r="B372" t="inlineStr">
        <is>
          <t>FCR- Resolución en primer contacto</t>
        </is>
      </c>
      <c r="C372" t="inlineStr">
        <is>
          <t>Estratégico</t>
        </is>
      </c>
      <c r="D372" t="inlineStr">
        <is>
          <t>Servicio</t>
        </is>
      </c>
      <c r="E372" t="inlineStr">
        <is>
          <t>Semestral</t>
        </is>
      </c>
      <c r="F372" t="inlineStr">
        <is>
          <t>Positivo</t>
        </is>
      </c>
      <c r="G372" t="inlineStr">
        <is>
          <t>Serie Unica</t>
        </is>
      </c>
      <c r="H372" t="inlineStr">
        <is>
          <t>Activo</t>
        </is>
      </c>
      <c r="I372" t="inlineStr">
        <is>
          <t>API</t>
        </is>
      </c>
      <c r="J372" t="inlineStr">
        <is>
          <t>Cierre</t>
        </is>
      </c>
      <c r="K372" t="inlineStr"/>
      <c r="L372" t="inlineStr">
        <is>
          <t>ENT</t>
        </is>
      </c>
    </row>
    <row r="373">
      <c r="A373" t="n">
        <v>538</v>
      </c>
      <c r="B373" t="inlineStr">
        <is>
          <t>Cumplimiento de sesiones de socialización de planeación académica</t>
        </is>
      </c>
      <c r="C373" t="inlineStr">
        <is>
          <t>Operativo</t>
        </is>
      </c>
      <c r="D373" t="inlineStr">
        <is>
          <t>Registro y Control</t>
        </is>
      </c>
      <c r="E373" t="inlineStr">
        <is>
          <t>Semestral</t>
        </is>
      </c>
      <c r="F373" t="inlineStr">
        <is>
          <t>Positivo</t>
        </is>
      </c>
      <c r="G373" t="inlineStr">
        <is>
          <t>Serie Unica</t>
        </is>
      </c>
      <c r="H373" t="inlineStr">
        <is>
          <t>Activo</t>
        </is>
      </c>
      <c r="I373" t="inlineStr">
        <is>
          <t>API</t>
        </is>
      </c>
      <c r="J373" t="inlineStr">
        <is>
          <t>Promedio</t>
        </is>
      </c>
      <c r="K373" t="inlineStr"/>
      <c r="L373" t="inlineStr">
        <is>
          <t>%</t>
        </is>
      </c>
    </row>
    <row r="374">
      <c r="A374" t="n">
        <v>539</v>
      </c>
      <c r="B374" t="inlineStr">
        <is>
          <t>CES emisión de certificados</t>
        </is>
      </c>
      <c r="C374" t="inlineStr">
        <is>
          <t>Operativo</t>
        </is>
      </c>
      <c r="D374" t="inlineStr">
        <is>
          <t>Registro y Control</t>
        </is>
      </c>
      <c r="E374" t="inlineStr">
        <is>
          <t>Semestral</t>
        </is>
      </c>
      <c r="F374" t="inlineStr">
        <is>
          <t>Negativo</t>
        </is>
      </c>
      <c r="G374" t="inlineStr">
        <is>
          <t>Serie Unica</t>
        </is>
      </c>
      <c r="H374" t="inlineStr">
        <is>
          <t>Activo</t>
        </is>
      </c>
      <c r="I374" t="inlineStr">
        <is>
          <t>API</t>
        </is>
      </c>
      <c r="J374" t="inlineStr">
        <is>
          <t>Promedio</t>
        </is>
      </c>
      <c r="K374" t="inlineStr"/>
      <c r="L374" t="inlineStr">
        <is>
          <t>DEC</t>
        </is>
      </c>
    </row>
    <row r="375">
      <c r="A375" t="n">
        <v>540</v>
      </c>
      <c r="B375" t="inlineStr">
        <is>
          <t>Nivel de Calidad de los Datos Cargados al SNIES</t>
        </is>
      </c>
      <c r="C375" t="inlineStr">
        <is>
          <t>Estratégico</t>
        </is>
      </c>
      <c r="D375" t="inlineStr">
        <is>
          <t>DATOS Y ANALÍTICA</t>
        </is>
      </c>
      <c r="E375" t="inlineStr">
        <is>
          <t>Semestral</t>
        </is>
      </c>
      <c r="F375" t="inlineStr">
        <is>
          <t>Positivo</t>
        </is>
      </c>
      <c r="G375" t="inlineStr">
        <is>
          <t>Serie Unica</t>
        </is>
      </c>
      <c r="H375" t="inlineStr">
        <is>
          <t>Activo</t>
        </is>
      </c>
      <c r="I375" t="inlineStr">
        <is>
          <t>API</t>
        </is>
      </c>
      <c r="J375" t="inlineStr">
        <is>
          <t>Promedio</t>
        </is>
      </c>
      <c r="K375" t="inlineStr"/>
      <c r="L375" t="inlineStr">
        <is>
          <t>%</t>
        </is>
      </c>
    </row>
    <row r="376">
      <c r="A376" t="n">
        <v>541</v>
      </c>
      <c r="B376" t="inlineStr">
        <is>
          <t>Participación de graduados en actividades de empleabilidad y relacionamiento</t>
        </is>
      </c>
      <c r="C376" t="inlineStr">
        <is>
          <t>Operativo</t>
        </is>
      </c>
      <c r="D376" t="inlineStr">
        <is>
          <t>Gestión de Graduados</t>
        </is>
      </c>
      <c r="E376" t="inlineStr">
        <is>
          <t>Anual</t>
        </is>
      </c>
      <c r="F376" t="inlineStr">
        <is>
          <t>Positivo</t>
        </is>
      </c>
      <c r="G376" t="inlineStr">
        <is>
          <t>Serie Unica</t>
        </is>
      </c>
      <c r="H376" t="inlineStr">
        <is>
          <t>Activo</t>
        </is>
      </c>
      <c r="I376" t="inlineStr">
        <is>
          <t>API</t>
        </is>
      </c>
      <c r="J376" t="inlineStr">
        <is>
          <t>Cierre</t>
        </is>
      </c>
      <c r="K376" t="inlineStr"/>
      <c r="L376" t="inlineStr">
        <is>
          <t>%</t>
        </is>
      </c>
    </row>
    <row r="377">
      <c r="A377" t="n">
        <v>542</v>
      </c>
      <c r="B377" t="inlineStr">
        <is>
          <t>Tasa de cotización del graduado - Metrica</t>
        </is>
      </c>
      <c r="C377" t="inlineStr">
        <is>
          <t>Estratégico</t>
        </is>
      </c>
      <c r="D377" t="inlineStr">
        <is>
          <t>Gestión de Graduados</t>
        </is>
      </c>
      <c r="E377" t="inlineStr">
        <is>
          <t>Anual</t>
        </is>
      </c>
      <c r="F377" t="inlineStr">
        <is>
          <t>Positivo</t>
        </is>
      </c>
      <c r="G377" t="inlineStr">
        <is>
          <t>Multiserie</t>
        </is>
      </c>
      <c r="H377" t="inlineStr">
        <is>
          <t>Activo</t>
        </is>
      </c>
      <c r="I377" t="inlineStr">
        <is>
          <t>API</t>
        </is>
      </c>
      <c r="J377" t="inlineStr">
        <is>
          <t>Promedio</t>
        </is>
      </c>
      <c r="K377" t="inlineStr"/>
      <c r="L377" t="inlineStr">
        <is>
          <t>%</t>
        </is>
      </c>
    </row>
    <row r="378">
      <c r="A378" t="n">
        <v>543</v>
      </c>
      <c r="B378" t="inlineStr">
        <is>
          <t>Tasa de interacción por usuario</t>
        </is>
      </c>
      <c r="C378" t="inlineStr">
        <is>
          <t>Operativo</t>
        </is>
      </c>
      <c r="D378" t="inlineStr">
        <is>
          <t>Editorial y Publicaciones</t>
        </is>
      </c>
      <c r="E378" t="inlineStr">
        <is>
          <t>Semestral</t>
        </is>
      </c>
      <c r="F378" t="inlineStr">
        <is>
          <t>Positivo</t>
        </is>
      </c>
      <c r="G378" t="inlineStr">
        <is>
          <t>Multiserie</t>
        </is>
      </c>
      <c r="H378" t="inlineStr">
        <is>
          <t>Activo</t>
        </is>
      </c>
      <c r="I378" t="inlineStr">
        <is>
          <t>API</t>
        </is>
      </c>
      <c r="J378" t="inlineStr">
        <is>
          <t>Acumulado</t>
        </is>
      </c>
      <c r="K378" t="inlineStr"/>
      <c r="L378" t="inlineStr">
        <is>
          <t>ENT</t>
        </is>
      </c>
    </row>
    <row r="379">
      <c r="A379" t="n">
        <v>544</v>
      </c>
      <c r="B379" t="inlineStr">
        <is>
          <t>Producción de ambientes inmersivos LEI</t>
        </is>
      </c>
      <c r="C379" t="inlineStr">
        <is>
          <t>Operativo</t>
        </is>
      </c>
      <c r="D379" t="inlineStr">
        <is>
          <t>LEI</t>
        </is>
      </c>
      <c r="E379" t="inlineStr">
        <is>
          <t>Semestral</t>
        </is>
      </c>
      <c r="F379" t="inlineStr">
        <is>
          <t>Positivo</t>
        </is>
      </c>
      <c r="G379" t="inlineStr">
        <is>
          <t>Multiserie</t>
        </is>
      </c>
      <c r="H379" t="inlineStr">
        <is>
          <t>Activo</t>
        </is>
      </c>
      <c r="I379" t="inlineStr">
        <is>
          <t>API</t>
        </is>
      </c>
      <c r="J379" t="inlineStr">
        <is>
          <t>Promedio</t>
        </is>
      </c>
      <c r="K379" t="inlineStr"/>
      <c r="L379" t="inlineStr">
        <is>
          <t>ENT</t>
        </is>
      </c>
    </row>
    <row r="380">
      <c r="A380" t="n">
        <v>546</v>
      </c>
      <c r="B380" t="inlineStr">
        <is>
          <t>Tasa de participación de graduados en instrumentos de seguimiento (M0, M1, M5)</t>
        </is>
      </c>
      <c r="C380" t="inlineStr">
        <is>
          <t>Estratégico</t>
        </is>
      </c>
      <c r="D380" t="inlineStr">
        <is>
          <t>Gestión de Graduados</t>
        </is>
      </c>
      <c r="E380" t="inlineStr">
        <is>
          <t>Anual</t>
        </is>
      </c>
      <c r="F380" t="inlineStr">
        <is>
          <t>Positivo</t>
        </is>
      </c>
      <c r="G380" t="inlineStr">
        <is>
          <t>Multiserie</t>
        </is>
      </c>
      <c r="H380" t="inlineStr">
        <is>
          <t>Activo</t>
        </is>
      </c>
      <c r="I380" t="inlineStr">
        <is>
          <t>API</t>
        </is>
      </c>
      <c r="J380" t="inlineStr">
        <is>
          <t>Promedio</t>
        </is>
      </c>
      <c r="K380" t="inlineStr"/>
      <c r="L380" t="inlineStr">
        <is>
          <t>ENT</t>
        </is>
      </c>
    </row>
    <row r="381">
      <c r="A381" t="n">
        <v>547</v>
      </c>
      <c r="B381" t="inlineStr">
        <is>
          <t>Nivel de satisfacción del graduado con la institución</t>
        </is>
      </c>
      <c r="C381" t="inlineStr">
        <is>
          <t>Estratégico</t>
        </is>
      </c>
      <c r="D381" t="inlineStr">
        <is>
          <t>Gestión de Graduados</t>
        </is>
      </c>
      <c r="E381" t="inlineStr">
        <is>
          <t>Anual</t>
        </is>
      </c>
      <c r="F381" t="inlineStr">
        <is>
          <t>Positivo</t>
        </is>
      </c>
      <c r="G381" t="inlineStr">
        <is>
          <t>Serie Unica</t>
        </is>
      </c>
      <c r="H381" t="inlineStr">
        <is>
          <t>Activo</t>
        </is>
      </c>
      <c r="I381" t="inlineStr">
        <is>
          <t>API</t>
        </is>
      </c>
      <c r="J381" t="inlineStr">
        <is>
          <t>Cierre</t>
        </is>
      </c>
      <c r="K381" t="inlineStr"/>
      <c r="L381" t="inlineStr">
        <is>
          <t>%</t>
        </is>
      </c>
    </row>
    <row r="382">
      <c r="A382" t="n">
        <v>550</v>
      </c>
      <c r="B382" t="inlineStr">
        <is>
          <t>Nivel de satisfacción con las actividades de formación</t>
        </is>
      </c>
      <c r="C382" t="inlineStr">
        <is>
          <t>Operativo</t>
        </is>
      </c>
      <c r="D382" t="inlineStr">
        <is>
          <t>Emprendimiento</t>
        </is>
      </c>
      <c r="E382" t="inlineStr">
        <is>
          <t>Semestral</t>
        </is>
      </c>
      <c r="F382" t="inlineStr">
        <is>
          <t>Positivo</t>
        </is>
      </c>
      <c r="G382" t="inlineStr">
        <is>
          <t>Serie Unica</t>
        </is>
      </c>
      <c r="H382" t="inlineStr">
        <is>
          <t>Activo</t>
        </is>
      </c>
      <c r="I382" t="inlineStr">
        <is>
          <t>API</t>
        </is>
      </c>
      <c r="J382" t="inlineStr">
        <is>
          <t>Cierre</t>
        </is>
      </c>
      <c r="K382" t="inlineStr"/>
      <c r="L382" t="inlineStr">
        <is>
          <t>%</t>
        </is>
      </c>
    </row>
    <row r="383">
      <c r="A383" t="n">
        <v>551</v>
      </c>
      <c r="B383" t="inlineStr">
        <is>
          <t>Evaluación del desempeño de los mentores</t>
        </is>
      </c>
      <c r="C383" t="inlineStr">
        <is>
          <t>Operativo</t>
        </is>
      </c>
      <c r="D383" t="inlineStr">
        <is>
          <t>Emprendimiento</t>
        </is>
      </c>
      <c r="E383" t="inlineStr">
        <is>
          <t>Semestral</t>
        </is>
      </c>
      <c r="F383" t="inlineStr">
        <is>
          <t>Positivo</t>
        </is>
      </c>
      <c r="G383" t="inlineStr">
        <is>
          <t>Serie Unica</t>
        </is>
      </c>
      <c r="H383" t="inlineStr">
        <is>
          <t>Activo</t>
        </is>
      </c>
      <c r="I383" t="inlineStr">
        <is>
          <t>API</t>
        </is>
      </c>
      <c r="J383" t="inlineStr">
        <is>
          <t>Promedio</t>
        </is>
      </c>
      <c r="K383" t="inlineStr"/>
      <c r="L383" t="inlineStr">
        <is>
          <t>DEC</t>
        </is>
      </c>
    </row>
    <row r="384">
      <c r="A384" t="n">
        <v>552</v>
      </c>
      <c r="B384" t="inlineStr">
        <is>
          <t>Nivel de Satisfacción Servicios Prestados -Gestión de la Responsabilidad Social</t>
        </is>
      </c>
      <c r="C384" t="inlineStr">
        <is>
          <t>Estratégico</t>
        </is>
      </c>
      <c r="D384" t="inlineStr">
        <is>
          <t>Gestión de la Responsabilidad Social</t>
        </is>
      </c>
      <c r="E384" t="inlineStr">
        <is>
          <t>Anual</t>
        </is>
      </c>
      <c r="F384" t="inlineStr">
        <is>
          <t>Positivo</t>
        </is>
      </c>
      <c r="G384" t="inlineStr">
        <is>
          <t>Serie Unica</t>
        </is>
      </c>
      <c r="H384" t="inlineStr">
        <is>
          <t>Activo</t>
        </is>
      </c>
      <c r="I384" t="inlineStr">
        <is>
          <t>API</t>
        </is>
      </c>
      <c r="J384" t="inlineStr">
        <is>
          <t>Cierre</t>
        </is>
      </c>
      <c r="K384" t="inlineStr"/>
      <c r="L384" t="inlineStr">
        <is>
          <t>%</t>
        </is>
      </c>
    </row>
    <row r="385">
      <c r="A385" t="n">
        <v>553</v>
      </c>
      <c r="B385" t="inlineStr">
        <is>
          <t>Nivel de Satisfacción Servicios Prestados -Inscripción, admisión y matrícula de estudiantes nuevos</t>
        </is>
      </c>
      <c r="C385" t="inlineStr">
        <is>
          <t>Estratégico</t>
        </is>
      </c>
      <c r="D385" t="inlineStr">
        <is>
          <t>Inscripción, admisión y matrícula de estudiantes nuevos</t>
        </is>
      </c>
      <c r="E385" t="inlineStr">
        <is>
          <t>Anual</t>
        </is>
      </c>
      <c r="F385" t="inlineStr">
        <is>
          <t>Positivo</t>
        </is>
      </c>
      <c r="G385" t="inlineStr">
        <is>
          <t>Serie Unica</t>
        </is>
      </c>
      <c r="H385" t="inlineStr">
        <is>
          <t>Activo</t>
        </is>
      </c>
      <c r="I385" t="inlineStr">
        <is>
          <t>API</t>
        </is>
      </c>
      <c r="J385" t="inlineStr">
        <is>
          <t>Cierre</t>
        </is>
      </c>
      <c r="K385" t="inlineStr"/>
      <c r="L385" t="inlineStr">
        <is>
          <t>%</t>
        </is>
      </c>
    </row>
    <row r="386">
      <c r="A386" t="n">
        <v>554</v>
      </c>
      <c r="B386" t="inlineStr">
        <is>
          <t>Nivel de Satisfacción Servicios Prestados -Permanencia</t>
        </is>
      </c>
      <c r="C386" t="inlineStr">
        <is>
          <t>Estratégico</t>
        </is>
      </c>
      <c r="D386" t="inlineStr">
        <is>
          <t>Permanencia</t>
        </is>
      </c>
      <c r="E386" t="inlineStr">
        <is>
          <t>Semestral</t>
        </is>
      </c>
      <c r="F386" t="inlineStr">
        <is>
          <t>Positivo</t>
        </is>
      </c>
      <c r="G386" t="inlineStr">
        <is>
          <t>Serie Unica</t>
        </is>
      </c>
      <c r="H386" t="inlineStr">
        <is>
          <t>Activo</t>
        </is>
      </c>
      <c r="I386" t="inlineStr">
        <is>
          <t>API</t>
        </is>
      </c>
      <c r="J386" t="inlineStr">
        <is>
          <t>Cierre</t>
        </is>
      </c>
      <c r="K386" t="inlineStr"/>
      <c r="L386" t="inlineStr">
        <is>
          <t>%</t>
        </is>
      </c>
    </row>
    <row r="387">
      <c r="A387" t="n">
        <v>555</v>
      </c>
      <c r="B387" t="inlineStr">
        <is>
          <t>Nivel de Satisfacción Servicios Prestados -Mercadeo y venta de educación para la vida</t>
        </is>
      </c>
      <c r="C387" t="inlineStr">
        <is>
          <t>Estratégico</t>
        </is>
      </c>
      <c r="D387" t="inlineStr">
        <is>
          <t>Mercadeo y venta de educación para la vida</t>
        </is>
      </c>
      <c r="E387" t="inlineStr">
        <is>
          <t>Semestral</t>
        </is>
      </c>
      <c r="F387" t="inlineStr">
        <is>
          <t>Positivo</t>
        </is>
      </c>
      <c r="G387" t="inlineStr">
        <is>
          <t>Serie Unica</t>
        </is>
      </c>
      <c r="H387" t="inlineStr">
        <is>
          <t>Activo</t>
        </is>
      </c>
      <c r="I387" t="inlineStr">
        <is>
          <t>API</t>
        </is>
      </c>
      <c r="J387" t="inlineStr">
        <is>
          <t>Cierre</t>
        </is>
      </c>
      <c r="K387" t="inlineStr"/>
      <c r="L387" t="inlineStr">
        <is>
          <t>%</t>
        </is>
      </c>
    </row>
    <row r="388">
      <c r="A388" t="n">
        <v>556</v>
      </c>
      <c r="B388" t="inlineStr">
        <is>
          <t>Cumplimiento Plan de formación Institucional</t>
        </is>
      </c>
      <c r="C388" t="inlineStr">
        <is>
          <t>Estratégico</t>
        </is>
      </c>
      <c r="D388" t="inlineStr">
        <is>
          <t>GESTIÓN Y DESARROLLO DEL TALENTO HUMANO</t>
        </is>
      </c>
      <c r="E388" t="inlineStr">
        <is>
          <t>Anual</t>
        </is>
      </c>
      <c r="F388" t="inlineStr">
        <is>
          <t>Positivo</t>
        </is>
      </c>
      <c r="G388" t="inlineStr">
        <is>
          <t>Serie Unica</t>
        </is>
      </c>
      <c r="H388" t="inlineStr">
        <is>
          <t>Activo</t>
        </is>
      </c>
      <c r="I388" t="inlineStr">
        <is>
          <t>API</t>
        </is>
      </c>
      <c r="J388" t="inlineStr">
        <is>
          <t>Cierre</t>
        </is>
      </c>
      <c r="K388" t="inlineStr"/>
      <c r="L388" t="inlineStr">
        <is>
          <t>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Licec Ximena Silva Goyeneche</dc:creator>
  <dcterms:created xsi:type="dcterms:W3CDTF">2023-08-01T19:57:41Z</dcterms:created>
  <dcterms:modified xsi:type="dcterms:W3CDTF">2026-04-07T14:35:35Z</dcterms:modified>
  <cp:lastModifiedBy>Licec Ximena Silva Goyeneche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0x0101004B3553A73F55864994CAF6806DB2233B</vt:lpwstr>
  </property>
  <property name="MediaServiceImageTags" fmtid="{D5CDD505-2E9C-101B-9397-08002B2CF9AE}" pid="3">
    <vt:lpwstr/>
  </property>
</Properties>
</file>